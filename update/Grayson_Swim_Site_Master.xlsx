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wimmers" sheetId="2" state="visible" r:id="rId2"/>
    <sheet xmlns:r="http://schemas.openxmlformats.org/officeDocument/2006/relationships" name="02_Swimmer_Sources" sheetId="3" state="visible" r:id="rId3"/>
    <sheet xmlns:r="http://schemas.openxmlformats.org/officeDocument/2006/relationships" name="03_Events" sheetId="4" state="visible" r:id="rId4"/>
    <sheet xmlns:r="http://schemas.openxmlformats.org/officeDocument/2006/relationships" name="04_Swims" sheetId="5" state="visible" r:id="rId5"/>
    <sheet xmlns:r="http://schemas.openxmlformats.org/officeDocument/2006/relationships" name="05_Record_Benchmarks" sheetId="6" state="visible" r:id="rId6"/>
    <sheet xmlns:r="http://schemas.openxmlformats.org/officeDocument/2006/relationships" name="06_Record_History" sheetId="7" state="visible" r:id="rId7"/>
    <sheet xmlns:r="http://schemas.openxmlformats.org/officeDocument/2006/relationships" name="07_AllTime_Candidates" sheetId="8" state="visible" r:id="rId8"/>
    <sheet xmlns:r="http://schemas.openxmlformats.org/officeDocument/2006/relationships" name="08_Media" sheetId="9" state="visible" r:id="rId9"/>
    <sheet xmlns:r="http://schemas.openxmlformats.org/officeDocument/2006/relationships" name="09_Import_Log" sheetId="10" state="visible" r:id="rId10"/>
    <sheet xmlns:r="http://schemas.openxmlformats.org/officeDocument/2006/relationships" name="A_Record_Counts" sheetId="11" state="visible" r:id="rId11"/>
    <sheet xmlns:r="http://schemas.openxmlformats.org/officeDocument/2006/relationships" name="A_Outstanding_Records" sheetId="12" state="visible" r:id="rId12"/>
    <sheet xmlns:r="http://schemas.openxmlformats.org/officeDocument/2006/relationships" name="A_Consistency" sheetId="13" state="visible" r:id="rId13"/>
    <sheet xmlns:r="http://schemas.openxmlformats.org/officeDocument/2006/relationships" name="A_Trend_Models" sheetId="14" state="visible" r:id="rId14"/>
    <sheet xmlns:r="http://schemas.openxmlformats.org/officeDocument/2006/relationships" name="A_Progression_Coverage" sheetId="15" state="visible" r:id="rId15"/>
    <sheet xmlns:r="http://schemas.openxmlformats.org/officeDocument/2006/relationships" name="QA_Checks" sheetId="16" state="visible" r:id="rId16"/>
  </sheets>
  <definedNames>
    <definedName name="_xlnm._FilterDatabase" localSheetId="4" hidden="1">'04_Swims'!$A$4:$AJ$2845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1">
    <numFmt numFmtId="164" formatCode="yyyy\-mm\-dd"/>
    <numFmt numFmtId="165" formatCode="dd\ mmm\ yyyy"/>
    <numFmt numFmtId="166" formatCode="0.000%"/>
    <numFmt numFmtId="167" formatCode="dd\ mmm\ yyyy\ hh:mm"/>
    <numFmt numFmtId="168" formatCode="dd mmm yyyy"/>
    <numFmt numFmtId="169" formatCode="0.0000"/>
    <numFmt numFmtId="170" formatCode="0.000000"/>
    <numFmt numFmtId="171" formatCode="yyyy-mm-dd h:mm:ss"/>
    <numFmt numFmtId="172" formatCode="0.0%"/>
    <numFmt numFmtId="173" formatCode="0.000"/>
    <numFmt numFmtId="174" formatCode="d mmm 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i val="1"/>
      <color rgb="FF6B728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11111"/>
      <sz val="11"/>
    </font>
    <font>
      <name val="Cambria"/>
      <charset val="1"/>
      <family val="0"/>
      <color rgb="FF0066CC"/>
      <sz val="11"/>
    </font>
    <font>
      <name val="Cambria"/>
      <charset val="1"/>
      <family val="0"/>
      <b val="1"/>
      <color rgb="FF071B33"/>
      <sz val="12"/>
    </font>
    <font>
      <name val="Cambria"/>
      <charset val="1"/>
      <family val="0"/>
      <color rgb="FF16803A"/>
      <sz val="11"/>
    </font>
    <font>
      <b val="1"/>
      <color rgb="00071B33"/>
      <sz val="12"/>
    </font>
    <font>
      <b val="1"/>
      <color rgb="00FFFFFF"/>
    </font>
    <font>
      <b val="1"/>
      <color rgb="00FFFFFF"/>
      <sz val="16"/>
    </font>
    <font>
      <i val="1"/>
      <color rgb="006B7280"/>
      <sz val="10"/>
    </font>
    <font>
      <color rgb="0016803A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071B33"/>
        <bgColor rgb="FF111111"/>
      </patternFill>
    </fill>
    <fill>
      <patternFill patternType="solid">
        <fgColor rgb="00071B33"/>
      </patternFill>
    </fill>
    <fill>
      <patternFill patternType="solid">
        <fgColor rgb="00FFF8CC"/>
      </patternFill>
    </fill>
    <fill>
      <patternFill patternType="solid">
        <fgColor rgb="00DFF0D8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164" fontId="7" fillId="0" borderId="0" applyAlignment="1" pivotButton="0" quotePrefix="0" xfId="0">
      <alignment horizontal="general" vertical="center"/>
    </xf>
    <xf numFmtId="164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165" fontId="8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6" fontId="7" fillId="0" borderId="0" applyAlignment="1" pivotButton="0" quotePrefix="0" xfId="0">
      <alignment horizontal="general" vertical="center"/>
    </xf>
    <xf numFmtId="165" fontId="0" fillId="0" borderId="0" applyAlignment="1" pivotButton="0" quotePrefix="0" xfId="0">
      <alignment horizontal="general" vertical="center"/>
    </xf>
    <xf numFmtId="167" fontId="0" fillId="0" borderId="0" applyAlignment="1" pivotButton="0" quotePrefix="0" xfId="0">
      <alignment horizontal="general" vertical="center"/>
    </xf>
    <xf numFmtId="166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164" fontId="7" fillId="0" borderId="0" applyAlignment="1" pivotButton="0" quotePrefix="0" xfId="0">
      <alignment horizontal="general" vertical="center"/>
    </xf>
    <xf numFmtId="164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11" fillId="0" borderId="0" pivotButton="0" quotePrefix="0" xfId="0"/>
    <xf numFmtId="0" fontId="12" fillId="3" borderId="0" applyAlignment="1" pivotButton="0" quotePrefix="0" xfId="0">
      <alignment vertical="center" wrapText="1"/>
    </xf>
    <xf numFmtId="165" fontId="8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168" fontId="15" fillId="0" borderId="0" pivotButton="0" quotePrefix="0" xfId="0"/>
    <xf numFmtId="0" fontId="16" fillId="0" borderId="0" pivotButton="0" quotePrefix="0" xfId="0"/>
    <xf numFmtId="2" fontId="15" fillId="0" borderId="0" pivotButton="0" quotePrefix="0" xfId="0"/>
    <xf numFmtId="169" fontId="16" fillId="0" borderId="0" pivotButton="0" quotePrefix="0" xfId="0"/>
    <xf numFmtId="170" fontId="16" fillId="0" borderId="0" pivotButton="0" quotePrefix="0" xfId="0"/>
    <xf numFmtId="166" fontId="7" fillId="0" borderId="0" applyAlignment="1" pivotButton="0" quotePrefix="0" xfId="0">
      <alignment horizontal="general" vertical="center"/>
    </xf>
    <xf numFmtId="165" fontId="0" fillId="0" borderId="0" applyAlignment="1" pivotButton="0" quotePrefix="0" xfId="0">
      <alignment horizontal="general" vertical="center"/>
    </xf>
    <xf numFmtId="167" fontId="0" fillId="0" borderId="0" applyAlignment="1" pivotButton="0" quotePrefix="0" xfId="0">
      <alignment horizontal="general" vertical="center"/>
    </xf>
    <xf numFmtId="171" fontId="0" fillId="0" borderId="0" pivotButton="0" quotePrefix="0" xfId="0"/>
    <xf numFmtId="166" fontId="0" fillId="0" borderId="0" applyAlignment="1" pivotButton="0" quotePrefix="0" xfId="0">
      <alignment horizontal="general" vertical="center"/>
    </xf>
    <xf numFmtId="172" fontId="0" fillId="0" borderId="0" pivotButton="0" quotePrefix="0" xfId="0"/>
    <xf numFmtId="10" fontId="15" fillId="0" borderId="0" pivotButton="0" quotePrefix="0" xfId="0"/>
    <xf numFmtId="173" fontId="0" fillId="0" borderId="0" pivotButton="0" quotePrefix="0" xfId="0"/>
    <xf numFmtId="0" fontId="0" fillId="4" borderId="0" pivotButton="0" quotePrefix="0" xfId="0"/>
    <xf numFmtId="173" fontId="0" fillId="4" borderId="0" pivotButton="0" quotePrefix="0" xfId="0"/>
    <xf numFmtId="2" fontId="0" fillId="0" borderId="0" pivotButton="0" quotePrefix="0" xfId="0"/>
    <xf numFmtId="0" fontId="0" fillId="5" borderId="0" pivotButton="0" quotePrefix="0" xfId="0"/>
    <xf numFmtId="168" fontId="15" fillId="0" borderId="0" pivotButton="0" quotePrefix="0" xfId="0"/>
    <xf numFmtId="169" fontId="16" fillId="0" borderId="0" pivotButton="0" quotePrefix="0" xfId="0"/>
    <xf numFmtId="170" fontId="16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3" fontId="0" fillId="4" borderId="0" pivotButton="0" quotePrefix="0" xfId="0"/>
    <xf numFmtId="172" fontId="15" fillId="0" borderId="0" pivotButton="0" quotePrefix="0" xfId="0"/>
    <xf numFmtId="174" fontId="7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8">
    <dxf>
      <fill>
        <patternFill patternType="solid">
          <fgColor rgb="FF071B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16803A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3D52E"/>
          <bgColor rgb="FF000000"/>
        </patternFill>
      </fill>
    </dxf>
    <dxf>
      <fill>
        <patternFill patternType="solid">
          <fgColor rgb="FFF4D738"/>
          <bgColor rgb="FF000000"/>
        </patternFill>
      </fill>
    </dxf>
    <dxf>
      <fill>
        <patternFill patternType="solid">
          <fgColor rgb="FFF5D83D"/>
          <bgColor rgb="FF000000"/>
        </patternFill>
      </fill>
    </dxf>
    <dxf>
      <fill>
        <patternFill patternType="solid">
          <fgColor rgb="FFF6DC53"/>
          <bgColor rgb="FF000000"/>
        </patternFill>
      </fill>
    </dxf>
    <dxf>
      <fill>
        <patternFill patternType="solid">
          <fgColor rgb="FFF6DD55"/>
          <bgColor rgb="FF000000"/>
        </patternFill>
      </fill>
    </dxf>
    <dxf>
      <fill>
        <patternFill patternType="solid">
          <fgColor rgb="FFF7DF60"/>
          <bgColor rgb="FF000000"/>
        </patternFill>
      </fill>
    </dxf>
    <dxf>
      <fill>
        <patternFill patternType="solid">
          <fgColor rgb="FFF7DF61"/>
          <bgColor rgb="FF000000"/>
        </patternFill>
      </fill>
    </dxf>
    <dxf>
      <fill>
        <patternFill patternType="solid">
          <fgColor rgb="FFF8E067"/>
          <bgColor rgb="FF000000"/>
        </patternFill>
      </fill>
    </dxf>
    <dxf>
      <fill>
        <patternFill patternType="solid">
          <fgColor rgb="FFF8E069"/>
          <bgColor rgb="FF000000"/>
        </patternFill>
      </fill>
    </dxf>
    <dxf>
      <fill>
        <patternFill patternType="solid">
          <fgColor rgb="FFF8E06A"/>
          <bgColor rgb="FF000000"/>
        </patternFill>
      </fill>
    </dxf>
    <dxf>
      <fill>
        <patternFill patternType="solid">
          <fgColor rgb="FFF8E16C"/>
          <bgColor rgb="FF000000"/>
        </patternFill>
      </fill>
    </dxf>
    <dxf>
      <fill>
        <patternFill patternType="solid">
          <fgColor rgb="FFF9E271"/>
          <bgColor rgb="FF000000"/>
        </patternFill>
      </fill>
    </dxf>
    <dxf>
      <fill>
        <patternFill patternType="solid">
          <fgColor rgb="FFF9E47B"/>
          <bgColor rgb="FF000000"/>
        </patternFill>
      </fill>
    </dxf>
    <dxf>
      <fill>
        <patternFill patternType="solid">
          <fgColor rgb="FFFAE581"/>
          <bgColor rgb="FF000000"/>
        </patternFill>
      </fill>
    </dxf>
    <dxf>
      <fill>
        <patternFill patternType="solid">
          <fgColor rgb="FFFAE582"/>
          <bgColor rgb="FF000000"/>
        </patternFill>
      </fill>
    </dxf>
    <dxf>
      <fill>
        <patternFill patternType="solid">
          <fgColor rgb="FFFAE584"/>
          <bgColor rgb="FF000000"/>
        </patternFill>
      </fill>
    </dxf>
    <dxf>
      <fill>
        <patternFill patternType="solid">
          <fgColor rgb="FFFAE689"/>
          <bgColor rgb="FF000000"/>
        </patternFill>
      </fill>
    </dxf>
    <dxf>
      <fill>
        <patternFill patternType="solid">
          <fgColor rgb="FFFAE68A"/>
          <bgColor rgb="FF000000"/>
        </patternFill>
      </fill>
    </dxf>
    <dxf>
      <fill>
        <patternFill patternType="solid">
          <fgColor rgb="FFFAE68B"/>
          <bgColor rgb="FF000000"/>
        </patternFill>
      </fill>
    </dxf>
    <dxf>
      <fill>
        <patternFill patternType="solid">
          <fgColor rgb="FFFBE68B"/>
          <bgColor rgb="FF000000"/>
        </patternFill>
      </fill>
    </dxf>
    <dxf>
      <fill>
        <patternFill patternType="solid">
          <fgColor rgb="FFFBE78D"/>
          <bgColor rgb="FF000000"/>
        </patternFill>
      </fill>
    </dxf>
    <dxf>
      <fill>
        <patternFill patternType="solid">
          <fgColor rgb="FFFBE78F"/>
          <bgColor rgb="FF000000"/>
        </patternFill>
      </fill>
    </dxf>
    <dxf>
      <fill>
        <patternFill patternType="solid">
          <fgColor rgb="FFFBE790"/>
          <bgColor rgb="FF000000"/>
        </patternFill>
      </fill>
    </dxf>
    <dxf>
      <fill>
        <patternFill patternType="solid">
          <fgColor rgb="FFFBE893"/>
          <bgColor rgb="FF000000"/>
        </patternFill>
      </fill>
    </dxf>
    <dxf>
      <fill>
        <patternFill patternType="solid">
          <fgColor rgb="FFFBE894"/>
          <bgColor rgb="FF000000"/>
        </patternFill>
      </fill>
    </dxf>
    <dxf>
      <fill>
        <patternFill patternType="solid">
          <fgColor rgb="FFFBE895"/>
          <bgColor rgb="FF000000"/>
        </patternFill>
      </fill>
    </dxf>
    <dxf>
      <fill>
        <patternFill patternType="solid">
          <fgColor rgb="FFFBE996"/>
          <bgColor rgb="FF000000"/>
        </patternFill>
      </fill>
    </dxf>
    <dxf>
      <fill>
        <patternFill patternType="solid">
          <fgColor rgb="FFFBE997"/>
          <bgColor rgb="FF000000"/>
        </patternFill>
      </fill>
    </dxf>
    <dxf>
      <fill>
        <patternFill patternType="solid">
          <fgColor rgb="FFFCE998"/>
          <bgColor rgb="FF000000"/>
        </patternFill>
      </fill>
    </dxf>
    <dxf>
      <fill>
        <patternFill patternType="solid">
          <fgColor rgb="FFFCE999"/>
          <bgColor rgb="FF000000"/>
        </patternFill>
      </fill>
    </dxf>
    <dxf>
      <fill>
        <patternFill patternType="solid">
          <fgColor rgb="FFFCE99A"/>
          <bgColor rgb="FF000000"/>
        </patternFill>
      </fill>
    </dxf>
    <dxf>
      <fill>
        <patternFill patternType="solid">
          <fgColor rgb="FFFCE99B"/>
          <bgColor rgb="FF000000"/>
        </patternFill>
      </fill>
    </dxf>
    <dxf>
      <fill>
        <patternFill patternType="solid">
          <fgColor rgb="FFFCEA9C"/>
          <bgColor rgb="FF000000"/>
        </patternFill>
      </fill>
    </dxf>
    <dxf>
      <fill>
        <patternFill patternType="solid">
          <fgColor rgb="FFFCEA9D"/>
          <bgColor rgb="FF000000"/>
        </patternFill>
      </fill>
    </dxf>
    <dxf>
      <fill>
        <patternFill patternType="solid">
          <fgColor rgb="FFFCEA9F"/>
          <bgColor rgb="FF000000"/>
        </patternFill>
      </fill>
    </dxf>
    <dxf>
      <fill>
        <patternFill patternType="solid">
          <fgColor rgb="FFFCEAA0"/>
          <bgColor rgb="FF000000"/>
        </patternFill>
      </fill>
    </dxf>
    <dxf>
      <fill>
        <patternFill patternType="solid">
          <fgColor rgb="FFFCEBA1"/>
          <bgColor rgb="FF000000"/>
        </patternFill>
      </fill>
    </dxf>
    <dxf>
      <fill>
        <patternFill patternType="solid">
          <fgColor rgb="FFFCEBA2"/>
          <bgColor rgb="FF000000"/>
        </patternFill>
      </fill>
    </dxf>
    <dxf>
      <fill>
        <patternFill patternType="solid">
          <fgColor rgb="FFFCEBA3"/>
          <bgColor rgb="FF000000"/>
        </patternFill>
      </fill>
    </dxf>
    <dxf>
      <fill>
        <patternFill patternType="solid">
          <fgColor rgb="FFFCEBA4"/>
          <bgColor rgb="FF000000"/>
        </patternFill>
      </fill>
    </dxf>
    <dxf>
      <fill>
        <patternFill patternType="solid">
          <fgColor rgb="FFFCEBA5"/>
          <bgColor rgb="FF000000"/>
        </patternFill>
      </fill>
    </dxf>
    <dxf>
      <fill>
        <patternFill patternType="solid">
          <fgColor rgb="FFFDEBA5"/>
          <bgColor rgb="FF000000"/>
        </patternFill>
      </fill>
    </dxf>
    <dxf>
      <fill>
        <patternFill patternType="solid">
          <fgColor rgb="FFFDEBA6"/>
          <bgColor rgb="FF000000"/>
        </patternFill>
      </fill>
    </dxf>
    <dxf>
      <fill>
        <patternFill patternType="solid">
          <fgColor rgb="FFFDECA6"/>
          <bgColor rgb="FF000000"/>
        </patternFill>
      </fill>
    </dxf>
    <dxf>
      <fill>
        <patternFill patternType="solid">
          <fgColor rgb="FFFDECA7"/>
          <bgColor rgb="FF000000"/>
        </patternFill>
      </fill>
    </dxf>
    <dxf>
      <fill>
        <patternFill patternType="solid">
          <fgColor rgb="FFFDECA8"/>
          <bgColor rgb="FF000000"/>
        </patternFill>
      </fill>
    </dxf>
    <dxf>
      <fill>
        <patternFill patternType="solid">
          <fgColor rgb="FFFDECA9"/>
          <bgColor rgb="FF000000"/>
        </patternFill>
      </fill>
    </dxf>
    <dxf>
      <fill>
        <patternFill patternType="solid">
          <fgColor rgb="FFFDECAA"/>
          <bgColor rgb="FF000000"/>
        </patternFill>
      </fill>
    </dxf>
    <dxf>
      <fill>
        <patternFill patternType="solid">
          <fgColor rgb="FFFDECAB"/>
          <bgColor rgb="FF000000"/>
        </patternFill>
      </fill>
    </dxf>
    <dxf>
      <fill>
        <patternFill patternType="solid">
          <fgColor rgb="FFFDECAC"/>
          <bgColor rgb="FF000000"/>
        </patternFill>
      </fill>
    </dxf>
    <dxf>
      <fill>
        <patternFill patternType="solid">
          <fgColor rgb="FFFDEDAC"/>
          <bgColor rgb="FF000000"/>
        </patternFill>
      </fill>
    </dxf>
    <dxf>
      <fill>
        <patternFill patternType="solid">
          <fgColor rgb="FFFDEDAF"/>
          <bgColor rgb="FF000000"/>
        </patternFill>
      </fill>
    </dxf>
    <dxf>
      <fill>
        <patternFill patternType="solid">
          <fgColor rgb="FFFDEDB0"/>
          <bgColor rgb="FF000000"/>
        </patternFill>
      </fill>
    </dxf>
    <dxf>
      <fill>
        <patternFill patternType="solid">
          <fgColor rgb="FFFDEDB1"/>
          <bgColor rgb="FF000000"/>
        </patternFill>
      </fill>
    </dxf>
    <dxf>
      <fill>
        <patternFill patternType="solid">
          <fgColor rgb="FFFDEEB2"/>
          <bgColor rgb="FF000000"/>
        </patternFill>
      </fill>
    </dxf>
    <dxf>
      <fill>
        <patternFill patternType="solid">
          <fgColor rgb="FFFEEEB2"/>
          <bgColor rgb="FF000000"/>
        </patternFill>
      </fill>
    </dxf>
    <dxf>
      <fill>
        <patternFill patternType="solid">
          <fgColor rgb="FFFEEEB3"/>
          <bgColor rgb="FF000000"/>
        </patternFill>
      </fill>
    </dxf>
    <dxf>
      <fill>
        <patternFill patternType="solid">
          <fgColor rgb="FFFEEEB4"/>
          <bgColor rgb="FF000000"/>
        </patternFill>
      </fill>
    </dxf>
    <dxf>
      <fill>
        <patternFill patternType="solid">
          <fgColor rgb="FFFEEEB5"/>
          <bgColor rgb="FF000000"/>
        </patternFill>
      </fill>
    </dxf>
    <dxf>
      <fill>
        <patternFill patternType="solid">
          <fgColor rgb="FFFEEEB6"/>
          <bgColor rgb="FF000000"/>
        </patternFill>
      </fill>
    </dxf>
    <dxf>
      <fill>
        <patternFill patternType="solid">
          <fgColor rgb="FFFEEFB7"/>
          <bgColor rgb="FF000000"/>
        </patternFill>
      </fill>
    </dxf>
    <dxf>
      <fill>
        <patternFill patternType="solid">
          <fgColor rgb="FFFEEFB8"/>
          <bgColor rgb="FF000000"/>
        </patternFill>
      </fill>
    </dxf>
    <dxf>
      <fill>
        <patternFill patternType="solid">
          <fgColor rgb="FFFEEFB9"/>
          <bgColor rgb="FF000000"/>
        </patternFill>
      </fill>
    </dxf>
    <dxf>
      <fill>
        <patternFill patternType="solid">
          <fgColor rgb="FFFEEFBA"/>
          <bgColor rgb="FF000000"/>
        </patternFill>
      </fill>
    </dxf>
    <dxf>
      <fill>
        <patternFill patternType="solid">
          <fgColor rgb="FFFEEFBB"/>
          <bgColor rgb="FF000000"/>
        </patternFill>
      </fill>
    </dxf>
    <dxf>
      <fill>
        <patternFill patternType="solid">
          <fgColor rgb="FFFEEFBC"/>
          <bgColor rgb="FF000000"/>
        </patternFill>
      </fill>
    </dxf>
    <dxf>
      <fill>
        <patternFill patternType="solid">
          <fgColor rgb="FFFEF0BC"/>
          <bgColor rgb="FF000000"/>
        </patternFill>
      </fill>
    </dxf>
    <dxf>
      <fill>
        <patternFill patternType="solid">
          <fgColor rgb="FFFEF0BD"/>
          <bgColor rgb="FF000000"/>
        </patternFill>
      </fill>
    </dxf>
    <dxf>
      <fill>
        <patternFill patternType="solid">
          <fgColor rgb="FFFEF0BE"/>
          <bgColor rgb="FF000000"/>
        </patternFill>
      </fill>
    </dxf>
    <dxf>
      <fill>
        <patternFill patternType="solid">
          <fgColor rgb="FFFEF0BF"/>
          <bgColor rgb="FF000000"/>
        </patternFill>
      </fill>
    </dxf>
    <dxf>
      <fill>
        <patternFill patternType="solid">
          <fgColor rgb="FFFFF0BF"/>
          <bgColor rgb="FF000000"/>
        </patternFill>
      </fill>
    </dxf>
    <dxf>
      <fill>
        <patternFill patternType="solid">
          <fgColor rgb="FFFFF0C0"/>
          <bgColor rgb="FF000000"/>
        </patternFill>
      </fill>
    </dxf>
    <dxf>
      <fill>
        <patternFill patternType="solid">
          <fgColor rgb="FFFFF0C1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FFF1C2"/>
          <bgColor rgb="FF000000"/>
        </patternFill>
      </fill>
    </dxf>
    <dxf>
      <fill>
        <patternFill patternType="solid">
          <fgColor rgb="FFFFF1C3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ill>
        <patternFill patternType="solid">
          <fgColor rgb="FFFFF1C5"/>
          <bgColor rgb="FF000000"/>
        </patternFill>
      </fill>
    </dxf>
    <dxf>
      <fill>
        <patternFill patternType="solid">
          <fgColor rgb="FFFFF1C6"/>
          <bgColor rgb="FF000000"/>
        </patternFill>
      </fill>
    </dxf>
    <dxf>
      <fill>
        <patternFill patternType="solid">
          <fgColor rgb="FFFFF1C7"/>
          <bgColor rgb="FF000000"/>
        </patternFill>
      </fill>
    </dxf>
    <dxf>
      <fill>
        <patternFill patternType="solid">
          <fgColor rgb="FFFFF2C7"/>
          <bgColor rgb="FF000000"/>
        </patternFill>
      </fill>
    </dxf>
    <dxf>
      <fill>
        <patternFill patternType="solid">
          <fgColor rgb="FFFFF2C8"/>
          <bgColor rgb="FF000000"/>
        </patternFill>
      </fill>
    </dxf>
    <dxf>
      <fill>
        <patternFill patternType="solid">
          <fgColor rgb="FFFFF2C9"/>
          <bgColor rgb="FF000000"/>
        </patternFill>
      </fill>
    </dxf>
    <dxf>
      <fill>
        <patternFill patternType="solid">
          <fgColor rgb="FFFFF2CA"/>
          <bgColor rgb="FF000000"/>
        </patternFill>
      </fill>
    </dxf>
    <dxf>
      <fill>
        <patternFill patternType="solid">
          <fgColor rgb="FFFFF2C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3CE"/>
          <bgColor rgb="FF000000"/>
        </patternFill>
      </fill>
    </dxf>
    <dxf>
      <fill>
        <patternFill patternType="solid">
          <fgColor rgb="FFFFF3CF"/>
          <bgColor rgb="FF000000"/>
        </patternFill>
      </fill>
    </dxf>
    <dxf>
      <fill>
        <patternFill patternType="solid">
          <fgColor rgb="FFFFF3D0"/>
          <bgColor rgb="FF000000"/>
        </patternFill>
      </fill>
    </dxf>
    <dxf>
      <fill>
        <patternFill patternType="solid">
          <fgColor rgb="FFFFF4D0"/>
          <bgColor rgb="FF000000"/>
        </patternFill>
      </fill>
    </dxf>
    <dxf>
      <fill>
        <patternFill patternType="solid">
          <fgColor rgb="FFFFF4D1"/>
          <bgColor rgb="FF000000"/>
        </patternFill>
      </fill>
    </dxf>
    <dxf>
      <fill>
        <patternFill patternType="solid">
          <fgColor rgb="FFFFF4D2"/>
          <bgColor rgb="FF000000"/>
        </patternFill>
      </fill>
    </dxf>
    <dxf>
      <fill>
        <patternFill patternType="solid">
          <fgColor rgb="FFFFF4D3"/>
          <bgColor rgb="FF000000"/>
        </patternFill>
      </fill>
    </dxf>
    <dxf>
      <fill>
        <patternFill patternType="solid">
          <fgColor rgb="FFFFF4D4"/>
          <bgColor rgb="FF000000"/>
        </patternFill>
      </fill>
    </dxf>
    <dxf>
      <fill>
        <patternFill patternType="solid">
          <fgColor rgb="FFFFF5D4"/>
          <bgColor rgb="FF000000"/>
        </patternFill>
      </fill>
    </dxf>
    <dxf>
      <fill>
        <patternFill patternType="solid">
          <fgColor rgb="FFFFF5D5"/>
          <bgColor rgb="FF000000"/>
        </patternFill>
      </fill>
    </dxf>
    <dxf>
      <fill>
        <patternFill patternType="solid">
          <fgColor rgb="FFFFF5D6"/>
          <bgColor rgb="FF000000"/>
        </patternFill>
      </fill>
    </dxf>
    <dxf>
      <fill>
        <patternFill patternType="solid">
          <fgColor rgb="FFFFF5D7"/>
          <bgColor rgb="FF000000"/>
        </patternFill>
      </fill>
    </dxf>
    <dxf>
      <fill>
        <patternFill patternType="solid">
          <fgColor rgb="FFFFF5D8"/>
          <bgColor rgb="FF000000"/>
        </patternFill>
      </fill>
    </dxf>
    <dxf>
      <fill>
        <patternFill patternType="solid">
          <fgColor rgb="FFFFF6D9"/>
          <bgColor rgb="FF000000"/>
        </patternFill>
      </fill>
    </dxf>
    <dxf>
      <fill>
        <patternFill patternType="solid">
          <fgColor rgb="FFFFF6DA"/>
          <bgColor rgb="FF000000"/>
        </patternFill>
      </fill>
    </dxf>
    <dxf>
      <fill>
        <patternFill patternType="solid">
          <fgColor rgb="FFFFF6DB"/>
          <bgColor rgb="FF000000"/>
        </patternFill>
      </fill>
    </dxf>
    <dxf>
      <fill>
        <patternFill patternType="solid">
          <fgColor rgb="FFFFF7DC"/>
          <bgColor rgb="FF000000"/>
        </patternFill>
      </fill>
    </dxf>
    <dxf>
      <fill>
        <patternFill patternType="solid">
          <fgColor rgb="FFFFF7DD"/>
          <bgColor rgb="FF000000"/>
        </patternFill>
      </fill>
    </dxf>
    <dxf>
      <fill>
        <patternFill patternType="solid">
          <fgColor rgb="FFFFF7DE"/>
          <bgColor rgb="FF000000"/>
        </patternFill>
      </fill>
    </dxf>
    <dxf>
      <fill>
        <patternFill patternType="solid">
          <fgColor rgb="FFFFF7D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8E2"/>
          <bgColor rgb="FF000000"/>
        </patternFill>
      </fill>
    </dxf>
    <dxf>
      <fill>
        <patternFill patternType="solid">
          <fgColor rgb="FFFFF8E3"/>
          <bgColor rgb="FF000000"/>
        </patternFill>
      </fill>
    </dxf>
    <dxf>
      <fill>
        <patternFill patternType="solid">
          <fgColor rgb="FFFFF8E4"/>
          <bgColor rgb="FF000000"/>
        </patternFill>
      </fill>
    </dxf>
    <dxf>
      <fill>
        <patternFill patternType="solid">
          <fgColor rgb="FFFFF9E4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F9E7"/>
          <bgColor rgb="FF000000"/>
        </patternFill>
      </fill>
    </dxf>
    <dxf>
      <fill>
        <patternFill patternType="solid">
          <fgColor rgb="FFFFF9E8"/>
          <bgColor rgb="FF000000"/>
        </patternFill>
      </fill>
    </dxf>
    <dxf>
      <fill>
        <patternFill patternType="solid">
          <fgColor rgb="FFFFFAE8"/>
          <bgColor rgb="FF000000"/>
        </patternFill>
      </fill>
    </dxf>
    <dxf>
      <fill>
        <patternFill patternType="solid">
          <fgColor rgb="FFFFFAE9"/>
          <bgColor rgb="FF000000"/>
        </patternFill>
      </fill>
    </dxf>
    <dxf>
      <fill>
        <patternFill patternType="solid">
          <fgColor rgb="FFFFFAEA"/>
          <bgColor rgb="FF000000"/>
        </patternFill>
      </fill>
    </dxf>
    <dxf>
      <fill>
        <patternFill patternType="solid">
          <fgColor rgb="FFFFFAEB"/>
          <bgColor rgb="FF000000"/>
        </patternFill>
      </fill>
    </dxf>
    <dxf>
      <fill>
        <patternFill patternType="solid">
          <fgColor rgb="FFFFFAEC"/>
          <bgColor rgb="FF000000"/>
        </patternFill>
      </fill>
    </dxf>
    <dxf>
      <fill>
        <patternFill patternType="solid">
          <fgColor rgb="FFFFFBEC"/>
          <bgColor rgb="FF000000"/>
        </patternFill>
      </fill>
    </dxf>
    <dxf>
      <fill>
        <patternFill patternType="solid">
          <fgColor rgb="FFFFFBED"/>
          <bgColor rgb="FF000000"/>
        </patternFill>
      </fill>
    </dxf>
    <dxf>
      <fill>
        <patternFill patternType="solid">
          <fgColor rgb="FFFFFBEE"/>
          <bgColor rgb="FF000000"/>
        </patternFill>
      </fill>
    </dxf>
    <dxf>
      <fill>
        <patternFill patternType="solid">
          <fgColor rgb="FFFFFBEF"/>
          <bgColor rgb="FF000000"/>
        </patternFill>
      </fill>
    </dxf>
    <dxf>
      <fill>
        <patternFill patternType="solid">
          <fgColor rgb="FFFFFBF0"/>
          <bgColor rgb="FF000000"/>
        </patternFill>
      </fill>
    </dxf>
    <dxf>
      <fill>
        <patternFill patternType="solid">
          <fgColor rgb="FFFFFCF0"/>
          <bgColor rgb="FF000000"/>
        </patternFill>
      </fill>
    </dxf>
    <dxf>
      <fill>
        <patternFill patternType="solid">
          <fgColor rgb="FFFFFCF1"/>
          <bgColor rgb="FF000000"/>
        </patternFill>
      </fill>
    </dxf>
    <dxf>
      <fill>
        <patternFill patternType="solid">
          <fgColor rgb="FFFFFCF2"/>
          <bgColor rgb="FF000000"/>
        </patternFill>
      </fill>
    </dxf>
    <dxf>
      <fill>
        <patternFill patternType="solid">
          <fgColor rgb="FFFFFCF3"/>
          <bgColor rgb="FF000000"/>
        </patternFill>
      </fill>
    </dxf>
    <dxf>
      <fill>
        <patternFill patternType="solid">
          <fgColor rgb="FFFFFCF4"/>
          <bgColor rgb="FF000000"/>
        </patternFill>
      </fill>
    </dxf>
    <dxf>
      <fill>
        <patternFill patternType="solid">
          <fgColor rgb="FFFFFDF4"/>
          <bgColor rgb="FF000000"/>
        </patternFill>
      </fill>
    </dxf>
    <dxf>
      <fill>
        <patternFill patternType="solid">
          <fgColor rgb="FFFFFDF5"/>
          <bgColor rgb="FF000000"/>
        </patternFill>
      </fill>
    </dxf>
    <dxf>
      <fill>
        <patternFill patternType="solid">
          <fgColor rgb="FFFFFDF6"/>
          <bgColor rgb="FF000000"/>
        </patternFill>
      </fill>
    </dxf>
    <dxf>
      <fill>
        <patternFill patternType="solid">
          <fgColor rgb="FFFFFDF7"/>
          <bgColor rgb="FF000000"/>
        </patternFill>
      </fill>
    </dxf>
    <dxf>
      <fill>
        <patternFill patternType="solid">
          <fgColor rgb="FFFFFEF8"/>
          <bgColor rgb="FF000000"/>
        </patternFill>
      </fill>
    </dxf>
    <dxf>
      <fill>
        <patternFill patternType="solid">
          <fgColor rgb="FFFFFEF9"/>
          <bgColor rgb="FF000000"/>
        </patternFill>
      </fill>
    </dxf>
    <dxf>
      <fill>
        <patternFill patternType="solid">
          <fgColor rgb="FFFFFEFA"/>
          <bgColor rgb="FF000000"/>
        </patternFill>
      </fill>
    </dxf>
    <dxf>
      <fill>
        <patternFill patternType="solid">
          <fgColor rgb="FFFFFEFB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FFC"/>
          <bgColor rgb="FF000000"/>
        </patternFill>
      </fill>
    </dxf>
    <dxf>
      <fill>
        <patternFill patternType="solid">
          <fgColor rgb="FFFFFFFD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F5D93F"/>
          <bgColor rgb="FF000000"/>
        </patternFill>
      </fill>
    </dxf>
    <dxf>
      <fill>
        <patternFill patternType="solid">
          <fgColor rgb="FFF5DA47"/>
          <bgColor rgb="FF000000"/>
        </patternFill>
      </fill>
    </dxf>
    <dxf>
      <fill>
        <patternFill patternType="solid">
          <fgColor rgb="FFF8E16E"/>
          <bgColor rgb="FF000000"/>
        </patternFill>
      </fill>
    </dxf>
    <dxf>
      <fill>
        <patternFill patternType="solid">
          <fgColor rgb="FFFAE585"/>
          <bgColor rgb="FF000000"/>
        </patternFill>
      </fill>
    </dxf>
    <dxf>
      <fill>
        <patternFill patternType="solid">
          <fgColor rgb="FFFAE686"/>
          <bgColor rgb="FF000000"/>
        </patternFill>
      </fill>
    </dxf>
    <dxf>
      <fill>
        <patternFill patternType="solid">
          <fgColor rgb="FFFBE891"/>
          <bgColor rgb="FF000000"/>
        </patternFill>
      </fill>
    </dxf>
    <dxf>
      <fill>
        <patternFill patternType="solid">
          <fgColor rgb="FFFFFD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80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71B33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Swimmers" displayName="tblSwimmers" ref="A4:I22" headerRowCount="1" totalsRowCount="0" totalsRowShown="0">
  <autoFilter ref="A4:I22"/>
  <tableColumns count="9">
    <tableColumn id="1" name="SwimmerID"/>
    <tableColumn id="2" name="Display Name"/>
    <tableColumn id="3" name="Full Name"/>
    <tableColumn id="4" name="Sex"/>
    <tableColumn id="5" name="DOB"/>
    <tableColumn id="6" name="Group"/>
    <tableColumn id="7" name="Nation"/>
    <tableColumn id="8" name="Club"/>
    <tableColumn id="9" name="Public Flag"/>
  </tableColumns>
</table>
</file>

<file path=xl/tables/table2.xml><?xml version="1.0" encoding="utf-8"?>
<table xmlns="http://schemas.openxmlformats.org/spreadsheetml/2006/main" id="2" name="tblSwimmerSources" displayName="tblSwimmerSources" ref="A4:G23" headerRowCount="1" totalsRowCount="0" totalsRowShown="0">
  <autoFilter ref="A4:G23"/>
  <tableColumns count="7">
    <tableColumn id="1" name="SwimmerID"/>
    <tableColumn id="2" name="Display Name"/>
    <tableColumn id="3" name="Source"/>
    <tableColumn id="4" name="External ID"/>
    <tableColumn id="5" name="URL"/>
    <tableColumn id="6" name="Active"/>
    <tableColumn id="7" name="Notes"/>
  </tableColumns>
</table>
</file>

<file path=xl/tables/table3.xml><?xml version="1.0" encoding="utf-8"?>
<table xmlns="http://schemas.openxmlformats.org/spreadsheetml/2006/main" id="3" name="tblEvents" displayName="tblEvents" ref="A4:H40" headerRowCount="1" totalsRowCount="0" totalsRowShown="0">
  <autoFilter ref="A4:H40"/>
  <tableColumns count="8">
    <tableColumn id="1" name="EventID"/>
    <tableColumn id="2" name="Course"/>
    <tableColumn id="3" name="Distance"/>
    <tableColumn id="4" name="Stroke"/>
    <tableColumn id="5" name="Event"/>
    <tableColumn id="6" name="Display Name"/>
    <tableColumn id="7" name="Progression Flag"/>
    <tableColumn id="8" name="Consistency Flag"/>
  </tableColumns>
</table>
</file>

<file path=xl/tables/table4.xml><?xml version="1.0" encoding="utf-8"?>
<table xmlns="http://schemas.openxmlformats.org/spreadsheetml/2006/main" id="4" name="tblSwims" displayName="tblSwims" ref="A4:AJ2845" headerRowCount="1">
  <autoFilter ref="A4:AJ2845"/>
  <tableColumns count="36">
    <tableColumn id="1" name="SwimID"/>
    <tableColumn id="2" name="SwimmerID"/>
    <tableColumn id="3" name="Display Name"/>
    <tableColumn id="4" name="Source"/>
    <tableColumn id="5" name="Source Profile ID"/>
    <tableColumn id="6" name="Source Race ID"/>
    <tableColumn id="7" name="Swim Date"/>
    <tableColumn id="8" name="Meet"/>
    <tableColumn id="9" name="Meet ID"/>
    <tableColumn id="10" name="Session"/>
    <tableColumn id="11" name="Round"/>
    <tableColumn id="12" name="Round Order"/>
    <tableColumn id="13" name="Course"/>
    <tableColumn id="14" name="Distance"/>
    <tableColumn id="15" name="Stroke"/>
    <tableColumn id="16" name="Event"/>
    <tableColumn id="17" name="EventID"/>
    <tableColumn id="18" name="Time Seconds"/>
    <tableColumn id="19" name="Time Display"/>
    <tableColumn id="20" name="Exact Age"/>
    <tableColumn id="21" name="Age Year"/>
    <tableColumn id="22" name="Relay Lead-off"/>
    <tableColumn id="23" name="Legal"/>
    <tableColumn id="24" name="Exhibition"/>
    <tableColumn id="25" name="Heat"/>
    <tableColumn id="26" name="Lane"/>
    <tableColumn id="27" name="Place"/>
    <tableColumn id="28" name="Source URL"/>
    <tableColumn id="29" name="Acquisition Batch"/>
    <tableColumn id="30" name="Duplicate Key"/>
    <tableColumn id="31" name="Race Order"/>
    <tableColumn id="32" name="Prior Faster Count"/>
    <tableColumn id="33" name="Top 5 At Time"/>
    <tableColumn id="34" name="Top 10 At Time"/>
    <tableColumn id="35" name="In Consistency Window"/>
    <tableColumn id="36" name="QC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RecordBenchmarks" displayName="tblRecordBenchmarks" ref="A4:X424" headerRowCount="1" totalsRowCount="0" totalsRowShown="0">
  <autoFilter ref="A4:X424"/>
  <tableColumns count="24">
    <tableColumn id="1" name="Record Key"/>
    <tableColumn id="2" name="Course"/>
    <tableColumn id="3" name="Sex"/>
    <tableColumn id="4" name="Age"/>
    <tableColumn id="5" name="Event"/>
    <tableColumn id="6" name="Record Holder(s)"/>
    <tableColumn id="7" name="Holder 1"/>
    <tableColumn id="8" name="Holder 2"/>
    <tableColumn id="9" name="Record Time"/>
    <tableColumn id="10" name="Record Seconds"/>
    <tableColumn id="11" name="Record Date(s)"/>
    <tableColumn id="12" name="Record Basis"/>
    <tableColumn id="13" name="Record Source URL"/>
    <tableColumn id="14" name="Joint Record?"/>
    <tableColumn id="15" name="Top 20 Eligible?"/>
    <tableColumn id="16" name="Next Fastest Swimmer"/>
    <tableColumn id="17" name="Next Fastest Time"/>
    <tableColumn id="18" name="Next Fastest Seconds"/>
    <tableColumn id="19" name="Margin %"/>
    <tableColumn id="20" name="Comparator Verified?"/>
    <tableColumn id="21" name="Outstanding Rank"/>
    <tableColumn id="22" name="Outstanding Key"/>
    <tableColumn id="23" name="Review Notes"/>
    <tableColumn id="24" name="Source Notes"/>
  </tableColumns>
</table>
</file>

<file path=xl/tables/table6.xml><?xml version="1.0" encoding="utf-8"?>
<table xmlns="http://schemas.openxmlformats.org/spreadsheetml/2006/main" id="6" name="tblRecordHistory" displayName="tblRecordHistory" ref="A4:L443" headerRowCount="1" totalsRowCount="0" totalsRowShown="0">
  <autoFilter ref="A4:L443"/>
  <tableColumns count="12">
    <tableColumn id="1" name="HistoryID"/>
    <tableColumn id="2" name="Record Key"/>
    <tableColumn id="3" name="Course"/>
    <tableColumn id="4" name="Sex"/>
    <tableColumn id="5" name="Age"/>
    <tableColumn id="6" name="Event"/>
    <tableColumn id="7" name="Holder"/>
    <tableColumn id="8" name="Time"/>
    <tableColumn id="9" name="Effective From"/>
    <tableColumn id="10" name="Effective To"/>
    <tableColumn id="11" name="Current Flag"/>
    <tableColumn id="12" name="Source URL"/>
  </tableColumns>
</table>
</file>

<file path=xl/tables/table7.xml><?xml version="1.0" encoding="utf-8"?>
<table xmlns="http://schemas.openxmlformats.org/spreadsheetml/2006/main" id="7" name="tblAllTimeCandidates" displayName="tblAllTimeCandidates" ref="A4:L424" headerRowCount="1" totalsRowCount="0" totalsRowShown="0">
  <autoFilter ref="A4:L424"/>
  <tableColumns count="12">
    <tableColumn id="1" name="Record Key"/>
    <tableColumn id="2" name="Candidate Rank"/>
    <tableColumn id="3" name="Course"/>
    <tableColumn id="4" name="Sex"/>
    <tableColumn id="5" name="Age"/>
    <tableColumn id="6" name="Event"/>
    <tableColumn id="7" name="Swimmer"/>
    <tableColumn id="8" name="Time"/>
    <tableColumn id="9" name="Time Seconds"/>
    <tableColumn id="10" name="Verified?"/>
    <tableColumn id="11" name="Source / Notes"/>
    <tableColumn id="12" name="Last Checked"/>
  </tableColumns>
</table>
</file>

<file path=xl/tables/table8.xml><?xml version="1.0" encoding="utf-8"?>
<table xmlns="http://schemas.openxmlformats.org/spreadsheetml/2006/main" id="8" name="tblImportLog" displayName="tblImportLog" ref="A4:I11" headerRowCount="1" totalsRowCount="0" totalsRowShown="0">
  <autoFilter ref="A4:I9"/>
  <tableColumns count="9">
    <tableColumn id="1" name="BatchID"/>
    <tableColumn id="2" name="Source"/>
    <tableColumn id="3" name="File / URL"/>
    <tableColumn id="4" name="Source As At"/>
    <tableColumn id="5" name="Imported At"/>
    <tableColumn id="6" name="Rows Loaded"/>
    <tableColumn id="7" name="Status"/>
    <tableColumn id="8" name="Notes"/>
    <tableColumn id="9" name="Private/Public"/>
  </tableColumns>
</table>
</file>

<file path=xl/tables/table9.xml><?xml version="1.0" encoding="utf-8"?>
<table xmlns="http://schemas.openxmlformats.org/spreadsheetml/2006/main" id="9" name="tblRecordCounts" displayName="tblRecordCounts" ref="A4:G111" headerRowCount="1" totalsRowCount="0" totalsRowShown="0">
  <autoFilter ref="A4:G111"/>
  <tableColumns count="7">
    <tableColumn id="1" name="Sex"/>
    <tableColumn id="2" name="Swimmer"/>
    <tableColumn id="3" name="SCM"/>
    <tableColumn id="4" name="LCM"/>
    <tableColumn id="5" name="Total"/>
    <tableColumn id="6" name="Rank"/>
    <tableColumn id="7" name="Sort Key"/>
  </tableColumns>
</table>
</file>

<file path=xl/tables/table10.xml><?xml version="1.0" encoding="utf-8"?>
<table xmlns="http://schemas.openxmlformats.org/spreadsheetml/2006/main" id="10" name="tblOutstandingRecords" displayName="tblOutstandingRecords" ref="A4:K44" headerRowCount="1" totalsRowCount="0" totalsRowShown="0">
  <autoFilter ref="A4:K44"/>
  <tableColumns count="11">
    <tableColumn id="1" name="Sex"/>
    <tableColumn id="2" name="Rank"/>
    <tableColumn id="3" name="Swimmer"/>
    <tableColumn id="4" name="Event"/>
    <tableColumn id="5" name="Course"/>
    <tableColumn id="6" name="Age"/>
    <tableColumn id="7" name="Record Time"/>
    <tableColumn id="8" name="Next Fastest Swimmer"/>
    <tableColumn id="9" name="Next Fastest Time"/>
    <tableColumn id="10" name="Margin %"/>
    <tableColumn id="11" name="Record Key"/>
  </tableColumns>
</table>
</file>

<file path=xl/tables/table11.xml><?xml version="1.0" encoding="utf-8"?>
<table xmlns="http://schemas.openxmlformats.org/spreadsheetml/2006/main" id="11" name="tblConsistency" displayName="tblConsistency" ref="A4:N12" headerRowCount="1">
  <autoFilter ref="A4:N12"/>
  <tableColumns count="14">
    <tableColumn id="1" name="Course"/>
    <tableColumn id="2" name="Event"/>
    <tableColumn id="3" name="Swims Since 2024"/>
    <tableColumn id="4" name="Top 5 At Time"/>
    <tableColumn id="5" name="Top 5 %"/>
    <tableColumn id="6" name="Top 10 At Time"/>
    <tableColumn id="7" name="Top 10 %"/>
    <tableColumn id="8" name="Selected Trend"/>
    <tableColumn id="9" name="Residual SD (s)"/>
    <tableColumn id="10" name="Residual SD (%)"/>
    <tableColumn id="11" name="MAE (s)"/>
    <tableColumn id="12" name="MAE (%)"/>
    <tableColumn id="13" name="CV MAE (s)"/>
    <tableColumn id="14" name="Model 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rendModels" displayName="tblTrendModels" ref="A4:G52" headerRowCount="1">
  <autoFilter ref="A4:G52"/>
  <tableColumns count="7">
    <tableColumn id="1" name="Course"/>
    <tableColumn id="2" name="Event"/>
    <tableColumn id="3" name="Model"/>
    <tableColumn id="4" name="CV MAE (s)"/>
    <tableColumn id="5" name="Selected?"/>
    <tableColumn id="6" name="Model Complexity"/>
    <tableColumn id="7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rogressionCoverage" displayName="tblProgressionCoverage" ref="A4:I148" headerRowCount="1">
  <autoFilter ref="A4:I148"/>
  <tableColumns count="9">
    <tableColumn id="1" name="Swimmer"/>
    <tableColumn id="2" name="Group"/>
    <tableColumn id="3" name="Course"/>
    <tableColumn id="4" name="Event"/>
    <tableColumn id="5" name="Swims &lt; age 21"/>
    <tableColumn id="6" name="Minimum exact age"/>
    <tableColumn id="7" name="Maximum exact age"/>
    <tableColumn id="8" name="Earliest swim year"/>
    <tableColumn id="9" name="Latest swim yea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QA" displayName="tblQA" ref="A4:E17" headerRowCount="1">
  <autoFilter ref="A4:E17"/>
  <tableColumns count="5">
    <tableColumn id="1" name="Check"/>
    <tableColumn id="2" name="Result"/>
    <tableColumn id="3" name="Expected / Threshold"/>
    <tableColumn id="4" name="Status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0" customWidth="1" style="16" min="1" max="1"/>
    <col width="42" customWidth="1" style="16" min="2" max="2"/>
    <col width="65" customWidth="1" style="16" min="3" max="3"/>
  </cols>
  <sheetData>
    <row r="1" ht="25.5" customHeight="1" s="17">
      <c r="A1" s="18" t="inlineStr">
        <is>
          <t>Grayson Swim Site - master control</t>
        </is>
      </c>
    </row>
    <row r="2" ht="31.5" customHeight="1" s="17">
      <c r="A2" s="19" t="inlineStr">
        <is>
          <t>Private master workbook. Do not publish this workbook to the public GitHub repository.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</row>
    <row r="4" ht="30" customHeight="1" s="17">
      <c r="A4" s="21" t="inlineStr">
        <is>
          <t>Setting</t>
        </is>
      </c>
      <c r="B4" s="21" t="inlineStr">
        <is>
          <t>Value</t>
        </is>
      </c>
      <c r="C4" s="21" t="inlineStr">
        <is>
          <t>Purpose</t>
        </is>
      </c>
      <c r="D4" s="20" t="n"/>
      <c r="E4" s="20" t="n"/>
      <c r="F4" s="20" t="n"/>
    </row>
    <row r="5" ht="15" customHeight="1" s="17">
      <c r="A5" s="20" t="inlineStr">
        <is>
          <t>Workbook version</t>
        </is>
      </c>
      <c r="B5" s="22" t="inlineStr">
        <is>
          <t>3.0</t>
        </is>
      </c>
      <c r="C5" s="20" t="inlineStr">
        <is>
          <t>All-event Grayson consistency build; canonical swimmer IDs reconciled</t>
        </is>
      </c>
      <c r="D5" s="20" t="n"/>
      <c r="E5" s="20" t="n"/>
      <c r="F5" s="20" t="n"/>
    </row>
    <row r="6" ht="15" customHeight="1" s="17">
      <c r="A6" s="20" t="inlineStr">
        <is>
          <t>Build date</t>
        </is>
      </c>
      <c r="B6" s="59" t="n">
        <v>46305</v>
      </c>
      <c r="C6" s="20" t="inlineStr">
        <is>
          <t>Current build date</t>
        </is>
      </c>
      <c r="D6" s="20" t="n"/>
      <c r="E6" s="20" t="n"/>
      <c r="F6" s="20" t="n"/>
    </row>
    <row r="7" ht="15" customHeight="1" s="17">
      <c r="A7" s="20" t="inlineStr">
        <is>
          <t>Consistency analysis start</t>
        </is>
      </c>
      <c r="B7" s="24" t="n">
        <v>45292</v>
      </c>
      <c r="C7" s="20" t="inlineStr">
        <is>
          <t>Fixed start date requested by user</t>
        </is>
      </c>
      <c r="D7" s="20" t="n"/>
      <c r="E7" s="20" t="n"/>
      <c r="F7" s="20" t="n"/>
    </row>
    <row r="8" ht="15" customHeight="1" s="17">
      <c r="A8" s="20" t="inlineStr">
        <is>
          <t>Progression maximum age</t>
        </is>
      </c>
      <c r="B8" s="25" t="inlineStr">
        <is>
          <t>Through age 20 (&lt;21.0 exact age)</t>
        </is>
      </c>
      <c r="C8" s="20" t="inlineStr">
        <is>
          <t>Do not plot comparison performances after age 20</t>
        </is>
      </c>
      <c r="D8" s="20" t="n"/>
      <c r="E8" s="20" t="n"/>
      <c r="F8" s="20" t="n"/>
    </row>
    <row r="9" ht="15" customHeight="1" s="17">
      <c r="A9" s="20" t="inlineStr">
        <is>
          <t>Progression population</t>
        </is>
      </c>
      <c r="B9" s="22" t="inlineStr">
        <is>
          <t>Male only</t>
        </is>
      </c>
      <c r="C9" s="20" t="inlineStr">
        <is>
          <t>Comparison page scope</t>
        </is>
      </c>
      <c r="D9" s="20" t="n"/>
      <c r="E9" s="20" t="n"/>
      <c r="F9" s="20" t="n"/>
    </row>
    <row r="10" ht="15" customHeight="1" s="17">
      <c r="A10" s="20" t="inlineStr">
        <is>
          <t>Exact age denominator</t>
        </is>
      </c>
      <c r="B10" s="22" t="n">
        <v>365.2425</v>
      </c>
      <c r="C10" s="20" t="inlineStr">
        <is>
          <t>Days per tropical year approximation</t>
        </is>
      </c>
      <c r="D10" s="20" t="n"/>
      <c r="E10" s="20" t="n"/>
      <c r="F10" s="20" t="n"/>
    </row>
    <row r="11" ht="15" customHeight="1" s="17">
      <c r="A11" s="20" t="inlineStr">
        <is>
          <t>Margin formula</t>
        </is>
      </c>
      <c r="B11" s="22" t="inlineStr">
        <is>
          <t>(next-fastest - record) / next-fastest</t>
        </is>
      </c>
      <c r="C11" s="20" t="inlineStr">
        <is>
          <t>Percent faster than next-fastest different swimmer</t>
        </is>
      </c>
      <c r="D11" s="20" t="n"/>
      <c r="E11" s="20" t="n"/>
      <c r="F11" s="20" t="n"/>
    </row>
    <row r="12" ht="15" customHeight="1" s="17">
      <c r="A12" s="20" t="inlineStr">
        <is>
          <t>Next-fastest rule</t>
        </is>
      </c>
      <c r="B12" s="22" t="inlineStr">
        <is>
          <t>Different swimmer</t>
        </is>
      </c>
      <c r="C12" s="20" t="inlineStr">
        <is>
          <t>Own previous record is not an eligible comparator</t>
        </is>
      </c>
      <c r="D12" s="20" t="n"/>
      <c r="E12" s="20" t="n"/>
      <c r="F12" s="20" t="n"/>
    </row>
    <row r="13" ht="15" customHeight="1" s="17">
      <c r="A13" s="20" t="inlineStr">
        <is>
          <t>Joint record rule</t>
        </is>
      </c>
      <c r="B13" s="22" t="inlineStr">
        <is>
          <t>0% vs joint holder</t>
        </is>
      </c>
      <c r="C13" s="20" t="inlineStr">
        <is>
          <t>Another joint record holder is the next-fastest different swimmer</t>
        </is>
      </c>
      <c r="D13" s="20" t="n"/>
      <c r="E13" s="20" t="n"/>
      <c r="F13" s="20" t="n"/>
    </row>
    <row r="14" ht="15" customHeight="1" s="17">
      <c r="A14" s="20" t="inlineStr">
        <is>
          <t>Public DOB policy</t>
        </is>
      </c>
      <c r="B14" s="22" t="inlineStr">
        <is>
          <t>Do not export DOBs</t>
        </is>
      </c>
      <c r="C14" s="20" t="inlineStr">
        <is>
          <t>DOB retained only in private master workbook</t>
        </is>
      </c>
      <c r="D14" s="20" t="n"/>
      <c r="E14" s="20" t="n"/>
      <c r="F14" s="20" t="n"/>
    </row>
    <row r="15" ht="15" customHeight="1" s="17">
      <c r="A15" s="20" t="inlineStr">
        <is>
          <t>Trend selection</t>
        </is>
      </c>
      <c r="B15" s="22" t="inlineStr">
        <is>
          <t>Cross-validated parsimonious best fit</t>
        </is>
      </c>
      <c r="C15" s="20" t="inlineStr">
        <is>
          <t>Leave-one-meet-out where meet identifiers are available</t>
        </is>
      </c>
      <c r="D15" s="20" t="n"/>
      <c r="E15" s="20" t="n"/>
      <c r="F15" s="20" t="n"/>
    </row>
    <row r="16" ht="15" customHeight="1" s="17">
      <c r="A16" s="20" t="inlineStr">
        <is>
          <t>All-event consistency scope</t>
        </is>
      </c>
      <c r="B16" s="20" t="inlineStr">
        <is>
          <t>All Grayson SCM/LCM event-course combinations with a swim since 1 Jan 2024</t>
        </is>
      </c>
      <c r="C16" s="20" t="inlineStr">
        <is>
          <t>Dynamic from SwimCloud all-event history plus audited supplements</t>
        </is>
      </c>
      <c r="D16" s="20" t="n"/>
      <c r="E16" s="20" t="n"/>
      <c r="F16" s="20" t="n"/>
    </row>
    <row r="17" ht="15" customHeight="1" s="17">
      <c r="A17" s="20" t="n"/>
      <c r="B17" s="20" t="n"/>
      <c r="C17" s="20" t="n"/>
      <c r="D17" s="20" t="n"/>
      <c r="E17" s="20" t="n"/>
      <c r="F17" s="20" t="n"/>
    </row>
    <row r="18" ht="15" customHeight="1" s="17">
      <c r="A18" s="26" t="inlineStr">
        <is>
          <t>Trend model candidates</t>
        </is>
      </c>
      <c r="B18" s="20" t="n"/>
      <c r="C18" s="20" t="n"/>
      <c r="D18" s="20" t="n"/>
      <c r="E18" s="20" t="n"/>
      <c r="F18" s="20" t="n"/>
    </row>
    <row r="19" ht="30" customHeight="1" s="17">
      <c r="A19" s="21" t="inlineStr">
        <is>
          <t>Model</t>
        </is>
      </c>
      <c r="B19" s="21" t="inlineStr">
        <is>
          <t>Horizontal asymptote?</t>
        </is>
      </c>
      <c r="C19" s="21" t="inlineStr">
        <is>
          <t>Role</t>
        </is>
      </c>
      <c r="D19" s="20" t="n"/>
      <c r="E19" s="20" t="n"/>
      <c r="F19" s="20" t="n"/>
    </row>
    <row r="20" ht="15" customHeight="1" s="17">
      <c r="A20" s="20" t="inlineStr">
        <is>
          <t>Linear</t>
        </is>
      </c>
      <c r="B20" s="20" t="inlineStr">
        <is>
          <t>No</t>
        </is>
      </c>
      <c r="C20" s="20" t="inlineStr">
        <is>
          <t>Transparent baseline</t>
        </is>
      </c>
      <c r="D20" s="20" t="n"/>
      <c r="E20" s="20" t="n"/>
      <c r="F20" s="20" t="n"/>
    </row>
    <row r="21" ht="15" customHeight="1" s="17">
      <c r="A21" s="20" t="inlineStr">
        <is>
          <t>Quadratic</t>
        </is>
      </c>
      <c r="B21" s="20" t="inlineStr">
        <is>
          <t>No</t>
        </is>
      </c>
      <c r="C21" s="20" t="inlineStr">
        <is>
          <t>Captures curvature but can turn unrealistically</t>
        </is>
      </c>
      <c r="D21" s="20" t="n"/>
      <c r="E21" s="20" t="n"/>
      <c r="F21" s="20" t="n"/>
    </row>
    <row r="22" ht="15" customHeight="1" s="17">
      <c r="A22" s="20" t="inlineStr">
        <is>
          <t>Logarithmic</t>
        </is>
      </c>
      <c r="B22" s="20" t="inlineStr">
        <is>
          <t>No</t>
        </is>
      </c>
      <c r="C22" s="20" t="inlineStr">
        <is>
          <t>Diminishing improvement; no true floor</t>
        </is>
      </c>
      <c r="D22" s="20" t="n"/>
      <c r="E22" s="20" t="n"/>
      <c r="F22" s="20" t="n"/>
    </row>
    <row r="23" ht="15" customHeight="1" s="17">
      <c r="A23" s="20" t="inlineStr">
        <is>
          <t>Asymptotic exponential</t>
        </is>
      </c>
      <c r="B23" s="20" t="inlineStr">
        <is>
          <t>Yes</t>
        </is>
      </c>
      <c r="C23" s="20" t="inlineStr">
        <is>
          <t>Biologically plausible flattening curve</t>
        </is>
      </c>
      <c r="D23" s="20" t="n"/>
      <c r="E23" s="20" t="n"/>
      <c r="F23" s="20" t="n"/>
    </row>
    <row r="24" ht="15" customHeight="1" s="17">
      <c r="A24" s="20" t="inlineStr">
        <is>
          <t>Stretched exponential</t>
        </is>
      </c>
      <c r="B24" s="20" t="inlineStr">
        <is>
          <t>Yes</t>
        </is>
      </c>
      <c r="C24" s="20" t="inlineStr">
        <is>
          <t>Flexible asymptotic curve</t>
        </is>
      </c>
      <c r="D24" s="20" t="n"/>
      <c r="E24" s="20" t="n"/>
      <c r="F24" s="20" t="n"/>
    </row>
    <row r="25" ht="15" customHeight="1" s="17">
      <c r="A25" s="20" t="inlineStr">
        <is>
          <t>Smoothing spline</t>
        </is>
      </c>
      <c r="B25" s="20" t="inlineStr">
        <is>
          <t>No explicit</t>
        </is>
      </c>
      <c r="C25" s="20" t="inlineStr">
        <is>
          <t>Descriptive benchmark; avoid using for extrapolation</t>
        </is>
      </c>
      <c r="D25" s="20" t="n"/>
      <c r="E25" s="20" t="n"/>
      <c r="F25" s="20" t="n"/>
    </row>
    <row r="28">
      <c r="A28" s="27" t="inlineStr">
        <is>
          <t>Acquisition status</t>
        </is>
      </c>
    </row>
    <row r="29" ht="30" customHeight="1" s="17">
      <c r="A29" s="28" t="inlineStr">
        <is>
          <t>Item</t>
        </is>
      </c>
      <c r="B29" s="28" t="inlineStr">
        <is>
          <t>Value</t>
        </is>
      </c>
      <c r="C29" s="28" t="inlineStr">
        <is>
          <t>Status</t>
        </is>
      </c>
    </row>
    <row r="30">
      <c r="A30" s="16" t="inlineStr">
        <is>
          <t>SwimCloud API v6</t>
        </is>
      </c>
      <c r="B30" s="16" t="inlineStr">
        <is>
          <t>19 profiles / 152 target event calls / 126 non-empty event histories / 2,834 raw swims</t>
        </is>
      </c>
      <c r="C30" s="16" t="inlineStr">
        <is>
          <t>Complete</t>
        </is>
      </c>
    </row>
    <row r="31">
      <c r="A31" s="16" t="inlineStr">
        <is>
          <t>NZSC 2026 all-event supplement source</t>
        </is>
      </c>
      <c r="B31" s="16" t="inlineStr">
        <is>
          <t>https://swimdadnz.github.io/NZSC_2026/</t>
        </is>
      </c>
      <c r="C31" s="16" t="inlineStr">
        <is>
          <t>Used only for Grayson meet swims not yet present in SwimCloud at acquisition time.</t>
        </is>
      </c>
    </row>
    <row r="32">
      <c r="A32" s="16" t="inlineStr">
        <is>
          <t>Grayson canonical selected-event swims</t>
        </is>
      </c>
      <c r="B32" s="16" t="n">
        <v>101</v>
      </c>
      <c r="C32" s="16" t="inlineStr">
        <is>
          <t>Complete for eight requested events</t>
        </is>
      </c>
    </row>
    <row r="33">
      <c r="A33" s="16" t="inlineStr">
        <is>
          <t>Grayson all-event consistency</t>
        </is>
      </c>
      <c r="B33" s="16" t="inlineStr">
        <is>
          <t>See included v7 Grayson-only acquisition</t>
        </is>
      </c>
      <c r="C33" s="16" t="inlineStr">
        <is>
          <t>Pending additional acquisition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6" min="1" max="1"/>
    <col width="24" customWidth="1" style="16" min="2" max="3"/>
    <col width="8" customWidth="1" style="16" min="4" max="4"/>
    <col width="15" customWidth="1" style="16" min="5" max="5"/>
    <col width="26" customWidth="1" style="16" min="6" max="6"/>
    <col width="12" customWidth="1" style="16" min="7" max="7"/>
    <col width="20" customWidth="1" style="16" min="8" max="8"/>
    <col width="12" customWidth="1" style="16" min="9" max="9"/>
  </cols>
  <sheetData>
    <row r="1" ht="25.5" customHeight="1" s="17">
      <c r="A1" s="18" t="inlineStr">
        <is>
          <t>Swimmers</t>
        </is>
      </c>
    </row>
    <row r="2" ht="31.5" customHeight="1" s="17">
      <c r="A2" s="19" t="inlineStr">
        <is>
          <t>Canonical swimmer table. Exact DOB is private and is not exported to the website.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 s="17">
      <c r="A4" s="21" t="inlineStr">
        <is>
          <t>SwimmerID</t>
        </is>
      </c>
      <c r="B4" s="21" t="inlineStr">
        <is>
          <t>Display Name</t>
        </is>
      </c>
      <c r="C4" s="21" t="inlineStr">
        <is>
          <t>Full Name</t>
        </is>
      </c>
      <c r="D4" s="21" t="inlineStr">
        <is>
          <t>Sex</t>
        </is>
      </c>
      <c r="E4" s="21" t="inlineStr">
        <is>
          <t>DOB</t>
        </is>
      </c>
      <c r="F4" s="21" t="inlineStr">
        <is>
          <t>Group</t>
        </is>
      </c>
      <c r="G4" s="21" t="inlineStr">
        <is>
          <t>Nation</t>
        </is>
      </c>
      <c r="H4" s="21" t="inlineStr">
        <is>
          <t>Club</t>
        </is>
      </c>
      <c r="I4" s="21" t="inlineStr">
        <is>
          <t>Public Flag</t>
        </is>
      </c>
    </row>
    <row r="5" ht="15" customHeight="1" s="17">
      <c r="A5" s="20" t="inlineStr">
        <is>
          <t>SW001</t>
        </is>
      </c>
      <c r="B5" s="20" t="inlineStr">
        <is>
          <t>Grayson Coulter</t>
        </is>
      </c>
      <c r="C5" s="20" t="inlineStr">
        <is>
          <t>Grayson Coulter</t>
        </is>
      </c>
      <c r="D5" s="20" t="inlineStr">
        <is>
          <t>M</t>
        </is>
      </c>
      <c r="E5" s="29" t="n">
        <v>40925</v>
      </c>
      <c r="F5" s="20" t="inlineStr">
        <is>
          <t>Grayson</t>
        </is>
      </c>
      <c r="G5" s="20" t="n"/>
      <c r="H5" s="20" t="n"/>
      <c r="I5" s="20" t="inlineStr">
        <is>
          <t>YES</t>
        </is>
      </c>
    </row>
    <row r="6" ht="15" customHeight="1" s="17">
      <c r="A6" s="20" t="inlineStr">
        <is>
          <t>SW002</t>
        </is>
      </c>
      <c r="B6" s="20" t="inlineStr">
        <is>
          <t>Miron Bunakov</t>
        </is>
      </c>
      <c r="C6" s="20" t="inlineStr">
        <is>
          <t>Miron Bunakov</t>
        </is>
      </c>
      <c r="D6" s="20" t="inlineStr">
        <is>
          <t>M</t>
        </is>
      </c>
      <c r="E6" s="29" t="n">
        <v>40800</v>
      </c>
      <c r="F6" s="20" t="inlineStr">
        <is>
          <t>Current age group star</t>
        </is>
      </c>
      <c r="G6" s="20" t="n"/>
      <c r="H6" s="20" t="n"/>
      <c r="I6" s="20" t="inlineStr">
        <is>
          <t>YES</t>
        </is>
      </c>
    </row>
    <row r="7" ht="15" customHeight="1" s="17">
      <c r="A7" s="20" t="inlineStr">
        <is>
          <t>SW003</t>
        </is>
      </c>
      <c r="B7" s="20" t="inlineStr">
        <is>
          <t>Luka Mijatovic</t>
        </is>
      </c>
      <c r="C7" s="20" t="inlineStr">
        <is>
          <t>Luka Mijatovic</t>
        </is>
      </c>
      <c r="D7" s="20" t="inlineStr">
        <is>
          <t>M</t>
        </is>
      </c>
      <c r="E7" s="29" t="n">
        <v>39925</v>
      </c>
      <c r="F7" s="20" t="inlineStr">
        <is>
          <t>Current age group star</t>
        </is>
      </c>
      <c r="G7" s="20" t="n"/>
      <c r="H7" s="20" t="n"/>
      <c r="I7" s="20" t="inlineStr">
        <is>
          <t>YES</t>
        </is>
      </c>
    </row>
    <row r="8" ht="15" customHeight="1" s="17">
      <c r="A8" s="20" t="inlineStr">
        <is>
          <t>SW004</t>
        </is>
      </c>
      <c r="B8" s="20" t="inlineStr">
        <is>
          <t>Lubo Liu-Tchorbadjiyski</t>
        </is>
      </c>
      <c r="C8" s="20" t="inlineStr">
        <is>
          <t>Lubo Liu-Tchorbadjiyski</t>
        </is>
      </c>
      <c r="D8" s="20" t="inlineStr">
        <is>
          <t>M</t>
        </is>
      </c>
      <c r="E8" s="29" t="n">
        <v>40836</v>
      </c>
      <c r="F8" s="20" t="inlineStr">
        <is>
          <t>Current age group star</t>
        </is>
      </c>
      <c r="G8" s="20" t="n"/>
      <c r="H8" s="20" t="n"/>
      <c r="I8" s="20" t="inlineStr">
        <is>
          <t>YES</t>
        </is>
      </c>
    </row>
    <row r="9" ht="15" customHeight="1" s="17">
      <c r="A9" s="20" t="inlineStr">
        <is>
          <t>SW005</t>
        </is>
      </c>
      <c r="B9" s="20" t="inlineStr">
        <is>
          <t>Thomas Heilman</t>
        </is>
      </c>
      <c r="C9" s="20" t="inlineStr">
        <is>
          <t>Thomas Heilman</t>
        </is>
      </c>
      <c r="D9" s="20" t="inlineStr">
        <is>
          <t>M</t>
        </is>
      </c>
      <c r="E9" s="29" t="n">
        <v>39120</v>
      </c>
      <c r="F9" s="20" t="inlineStr">
        <is>
          <t>Current age group star</t>
        </is>
      </c>
      <c r="G9" s="20" t="n"/>
      <c r="H9" s="20" t="n"/>
      <c r="I9" s="20" t="inlineStr">
        <is>
          <t>YES</t>
        </is>
      </c>
    </row>
    <row r="10" ht="15" customHeight="1" s="17">
      <c r="A10" s="20" t="inlineStr">
        <is>
          <t>SW006</t>
        </is>
      </c>
      <c r="B10" s="20" t="inlineStr">
        <is>
          <t>Tajus Juska</t>
        </is>
      </c>
      <c r="C10" s="20" t="inlineStr">
        <is>
          <t>Tajus Juska</t>
        </is>
      </c>
      <c r="D10" s="20" t="inlineStr">
        <is>
          <t>M</t>
        </is>
      </c>
      <c r="E10" s="29" t="n">
        <v>39830</v>
      </c>
      <c r="F10" s="20" t="inlineStr">
        <is>
          <t>Current age group star</t>
        </is>
      </c>
      <c r="G10" s="20" t="n"/>
      <c r="H10" s="20" t="n"/>
      <c r="I10" s="20" t="inlineStr">
        <is>
          <t>YES</t>
        </is>
      </c>
    </row>
    <row r="11" ht="15" customHeight="1" s="17">
      <c r="A11" s="20" t="inlineStr">
        <is>
          <t>SW007</t>
        </is>
      </c>
      <c r="B11" s="20" t="inlineStr">
        <is>
          <t>Laon Kim</t>
        </is>
      </c>
      <c r="C11" s="20" t="inlineStr">
        <is>
          <t>Laon Kim</t>
        </is>
      </c>
      <c r="D11" s="20" t="inlineStr">
        <is>
          <t>M</t>
        </is>
      </c>
      <c r="E11" s="29" t="n">
        <v>39591</v>
      </c>
      <c r="F11" s="20" t="inlineStr">
        <is>
          <t>Current age group star</t>
        </is>
      </c>
      <c r="G11" s="20" t="n"/>
      <c r="H11" s="20" t="n"/>
      <c r="I11" s="20" t="inlineStr">
        <is>
          <t>YES</t>
        </is>
      </c>
    </row>
    <row r="12" ht="15" customHeight="1" s="17">
      <c r="A12" s="20" t="inlineStr">
        <is>
          <t>SW008</t>
        </is>
      </c>
      <c r="B12" s="20" t="inlineStr">
        <is>
          <t>Jacob Whittle</t>
        </is>
      </c>
      <c r="C12" s="20" t="inlineStr">
        <is>
          <t>Jacob Whittle</t>
        </is>
      </c>
      <c r="D12" s="20" t="inlineStr">
        <is>
          <t>M</t>
        </is>
      </c>
      <c r="E12" s="29" t="n">
        <v>38255</v>
      </c>
      <c r="F12" s="20" t="inlineStr">
        <is>
          <t>Historical champion</t>
        </is>
      </c>
      <c r="G12" s="20" t="n"/>
      <c r="H12" s="20" t="n"/>
      <c r="I12" s="20" t="inlineStr">
        <is>
          <t>YES</t>
        </is>
      </c>
    </row>
    <row r="13" ht="15" customHeight="1" s="17">
      <c r="A13" s="20" t="inlineStr">
        <is>
          <t>SW009</t>
        </is>
      </c>
      <c r="B13" s="20" t="inlineStr">
        <is>
          <t>David Popovici</t>
        </is>
      </c>
      <c r="C13" s="20" t="inlineStr">
        <is>
          <t>David Popovici</t>
        </is>
      </c>
      <c r="D13" s="20" t="inlineStr">
        <is>
          <t>M</t>
        </is>
      </c>
      <c r="E13" s="29" t="n">
        <v>38245</v>
      </c>
      <c r="F13" s="20" t="inlineStr">
        <is>
          <t>Historical champion</t>
        </is>
      </c>
      <c r="G13" s="20" t="n"/>
      <c r="H13" s="20" t="n"/>
      <c r="I13" s="20" t="inlineStr">
        <is>
          <t>YES</t>
        </is>
      </c>
    </row>
    <row r="14" ht="15" customHeight="1" s="17">
      <c r="A14" s="20" t="inlineStr">
        <is>
          <t>SW010</t>
        </is>
      </c>
      <c r="B14" s="20" t="inlineStr">
        <is>
          <t>Caeleb Dressel</t>
        </is>
      </c>
      <c r="C14" s="20" t="inlineStr">
        <is>
          <t>Caeleb Dressel</t>
        </is>
      </c>
      <c r="D14" s="20" t="inlineStr">
        <is>
          <t>M</t>
        </is>
      </c>
      <c r="E14" s="29" t="n">
        <v>35293</v>
      </c>
      <c r="F14" s="20" t="inlineStr">
        <is>
          <t>Historical champion</t>
        </is>
      </c>
      <c r="G14" s="20" t="n"/>
      <c r="H14" s="20" t="n"/>
      <c r="I14" s="20" t="inlineStr">
        <is>
          <t>YES</t>
        </is>
      </c>
    </row>
    <row r="15" ht="15" customHeight="1" s="17">
      <c r="A15" s="20" t="inlineStr">
        <is>
          <t>SW011</t>
        </is>
      </c>
      <c r="B15" s="20" t="inlineStr">
        <is>
          <t>Kyle Chalmers</t>
        </is>
      </c>
      <c r="C15" s="20" t="inlineStr">
        <is>
          <t>Kyle Chalmers</t>
        </is>
      </c>
      <c r="D15" s="20" t="inlineStr">
        <is>
          <t>M</t>
        </is>
      </c>
      <c r="E15" s="29" t="n">
        <v>35971</v>
      </c>
      <c r="F15" s="20" t="inlineStr">
        <is>
          <t>Historical champion</t>
        </is>
      </c>
      <c r="G15" s="20" t="n"/>
      <c r="H15" s="20" t="n"/>
      <c r="I15" s="20" t="inlineStr">
        <is>
          <t>YES</t>
        </is>
      </c>
    </row>
    <row r="16" ht="15" customHeight="1" s="17">
      <c r="A16" s="20" t="inlineStr">
        <is>
          <t>SW012</t>
        </is>
      </c>
      <c r="B16" s="20" t="inlineStr">
        <is>
          <t>Flynn Southam</t>
        </is>
      </c>
      <c r="C16" s="20" t="inlineStr">
        <is>
          <t>Flynn Southam</t>
        </is>
      </c>
      <c r="D16" s="20" t="inlineStr">
        <is>
          <t>M</t>
        </is>
      </c>
      <c r="E16" s="29" t="n">
        <v>38508</v>
      </c>
      <c r="F16" s="20" t="inlineStr">
        <is>
          <t>Historical champion</t>
        </is>
      </c>
      <c r="G16" s="20" t="n"/>
      <c r="H16" s="20" t="n"/>
      <c r="I16" s="20" t="inlineStr">
        <is>
          <t>YES</t>
        </is>
      </c>
    </row>
    <row r="17" ht="15" customHeight="1" s="17">
      <c r="A17" s="20" t="inlineStr">
        <is>
          <t>SW013</t>
        </is>
      </c>
      <c r="B17" s="20" t="inlineStr">
        <is>
          <t>Lewis Clareburt</t>
        </is>
      </c>
      <c r="C17" s="20" t="inlineStr">
        <is>
          <t>Lewis Clareburt</t>
        </is>
      </c>
      <c r="D17" s="20" t="inlineStr">
        <is>
          <t>M</t>
        </is>
      </c>
      <c r="E17" s="29" t="n">
        <v>36345</v>
      </c>
      <c r="F17" s="20" t="inlineStr">
        <is>
          <t>Historical champion</t>
        </is>
      </c>
      <c r="G17" s="20" t="n"/>
      <c r="H17" s="20" t="n"/>
      <c r="I17" s="20" t="inlineStr">
        <is>
          <t>YES</t>
        </is>
      </c>
    </row>
    <row r="18" ht="15" customHeight="1" s="17">
      <c r="A18" s="20" t="inlineStr">
        <is>
          <t>SW014</t>
        </is>
      </c>
      <c r="B18" s="20" t="inlineStr">
        <is>
          <t>Luke Hobson</t>
        </is>
      </c>
      <c r="C18" s="20" t="inlineStr">
        <is>
          <t>Luke Hobson</t>
        </is>
      </c>
      <c r="D18" s="20" t="inlineStr">
        <is>
          <t>M</t>
        </is>
      </c>
      <c r="E18" s="29" t="n">
        <v>37797</v>
      </c>
      <c r="F18" s="20" t="inlineStr">
        <is>
          <t>Historical champion</t>
        </is>
      </c>
      <c r="G18" s="20" t="n"/>
      <c r="H18" s="20" t="n"/>
      <c r="I18" s="20" t="inlineStr">
        <is>
          <t>YES</t>
        </is>
      </c>
    </row>
    <row r="19" ht="15" customHeight="1" s="17">
      <c r="A19" s="20" t="inlineStr">
        <is>
          <t>SW015</t>
        </is>
      </c>
      <c r="B19" s="20" t="inlineStr">
        <is>
          <t>Jack Alexy</t>
        </is>
      </c>
      <c r="C19" s="20" t="inlineStr">
        <is>
          <t>Jack Alexy</t>
        </is>
      </c>
      <c r="D19" s="20" t="inlineStr">
        <is>
          <t>M</t>
        </is>
      </c>
      <c r="E19" s="29" t="n">
        <v>37640</v>
      </c>
      <c r="F19" s="20" t="inlineStr">
        <is>
          <t>Historical champion</t>
        </is>
      </c>
      <c r="G19" s="20" t="n"/>
      <c r="H19" s="20" t="n"/>
      <c r="I19" s="20" t="inlineStr">
        <is>
          <t>YES</t>
        </is>
      </c>
    </row>
    <row r="20" ht="15" customHeight="1" s="17">
      <c r="A20" s="20" t="inlineStr">
        <is>
          <t>SW016</t>
        </is>
      </c>
      <c r="B20" s="20" t="inlineStr">
        <is>
          <t>Duncan Scott</t>
        </is>
      </c>
      <c r="C20" s="20" t="inlineStr">
        <is>
          <t>Duncan Scott</t>
        </is>
      </c>
      <c r="D20" s="20" t="inlineStr">
        <is>
          <t>M</t>
        </is>
      </c>
      <c r="E20" s="29" t="n">
        <v>35556</v>
      </c>
      <c r="F20" s="20" t="inlineStr">
        <is>
          <t>Historical champion</t>
        </is>
      </c>
      <c r="G20" s="20" t="n"/>
      <c r="H20" s="20" t="n"/>
      <c r="I20" s="20" t="inlineStr">
        <is>
          <t>YES</t>
        </is>
      </c>
    </row>
    <row r="21" ht="15" customHeight="1" s="17">
      <c r="A21" s="20" t="inlineStr">
        <is>
          <t>SW017</t>
        </is>
      </c>
      <c r="B21" s="20" t="inlineStr">
        <is>
          <t>Egor Kornev</t>
        </is>
      </c>
      <c r="C21" s="20" t="inlineStr">
        <is>
          <t>Egor Kornev</t>
        </is>
      </c>
      <c r="D21" s="20" t="inlineStr">
        <is>
          <t>M</t>
        </is>
      </c>
      <c r="E21" s="29" t="n">
        <v>38023</v>
      </c>
      <c r="F21" s="20" t="inlineStr">
        <is>
          <t>Historical champion</t>
        </is>
      </c>
      <c r="G21" s="20" t="n"/>
      <c r="H21" s="20" t="n"/>
      <c r="I21" s="20" t="inlineStr">
        <is>
          <t>YES</t>
        </is>
      </c>
    </row>
    <row r="22" ht="15" customHeight="1" s="17">
      <c r="A22" s="20" t="inlineStr">
        <is>
          <t>SW018</t>
        </is>
      </c>
      <c r="B22" s="20" t="inlineStr">
        <is>
          <t>Kristof Milak</t>
        </is>
      </c>
      <c r="C22" s="20" t="inlineStr">
        <is>
          <t>Kristof Milak</t>
        </is>
      </c>
      <c r="D22" s="20" t="inlineStr">
        <is>
          <t>M</t>
        </is>
      </c>
      <c r="E22" s="29" t="n">
        <v>36576</v>
      </c>
      <c r="F22" s="20" t="inlineStr">
        <is>
          <t>Historical champion</t>
        </is>
      </c>
      <c r="G22" s="20" t="n"/>
      <c r="H22" s="20" t="n"/>
      <c r="I22" s="20" t="inlineStr">
        <is>
          <t>YES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6" min="1" max="1"/>
    <col width="24" customWidth="1" style="16" min="2" max="2"/>
    <col width="14" customWidth="1" style="16" min="3" max="4"/>
    <col width="52" customWidth="1" style="16" min="5" max="5"/>
    <col width="10" customWidth="1" style="16" min="6" max="6"/>
    <col width="30" customWidth="1" style="16" min="7" max="7"/>
  </cols>
  <sheetData>
    <row r="1" ht="25.5" customHeight="1" s="17">
      <c r="A1" s="18" t="inlineStr">
        <is>
          <t>Swimmer sources</t>
        </is>
      </c>
    </row>
    <row r="2" ht="31.5" customHeight="1" s="17">
      <c r="A2" s="19" t="inlineStr">
        <is>
          <t>One swimmer can have multiple source profiles. Grayson's two SwimCloud profiles map to one canonical swimmer.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</row>
    <row r="4" ht="30" customHeight="1" s="17">
      <c r="A4" s="21" t="inlineStr">
        <is>
          <t>SwimmerID</t>
        </is>
      </c>
      <c r="B4" s="21" t="inlineStr">
        <is>
          <t>Display Name</t>
        </is>
      </c>
      <c r="C4" s="21" t="inlineStr">
        <is>
          <t>Source</t>
        </is>
      </c>
      <c r="D4" s="21" t="inlineStr">
        <is>
          <t>External ID</t>
        </is>
      </c>
      <c r="E4" s="21" t="inlineStr">
        <is>
          <t>URL</t>
        </is>
      </c>
      <c r="F4" s="21" t="inlineStr">
        <is>
          <t>Active</t>
        </is>
      </c>
      <c r="G4" s="21" t="inlineStr">
        <is>
          <t>Notes</t>
        </is>
      </c>
    </row>
    <row r="5" ht="15" customHeight="1" s="17">
      <c r="A5" s="30" t="inlineStr">
        <is>
          <t>SW001</t>
        </is>
      </c>
      <c r="B5" s="30" t="inlineStr">
        <is>
          <t>Grayson Coulter</t>
        </is>
      </c>
      <c r="C5" s="30" t="inlineStr">
        <is>
          <t>SwimCloud</t>
        </is>
      </c>
      <c r="D5" s="30" t="inlineStr">
        <is>
          <t>3637780</t>
        </is>
      </c>
      <c r="E5" s="30" t="inlineStr">
        <is>
          <t>https://www.swimcloud.com/swimmer/3637780/</t>
        </is>
      </c>
      <c r="F5" s="30" t="inlineStr">
        <is>
          <t>YES</t>
        </is>
      </c>
      <c r="G5" s="20" t="n"/>
    </row>
    <row r="6" ht="15" customHeight="1" s="17">
      <c r="A6" s="30" t="inlineStr">
        <is>
          <t>SW001</t>
        </is>
      </c>
      <c r="B6" s="30" t="inlineStr">
        <is>
          <t>Grayson Coulter</t>
        </is>
      </c>
      <c r="C6" s="30" t="inlineStr">
        <is>
          <t>SwimCloud</t>
        </is>
      </c>
      <c r="D6" s="30" t="inlineStr">
        <is>
          <t>3651023</t>
        </is>
      </c>
      <c r="E6" s="30" t="inlineStr">
        <is>
          <t>https://www.swimcloud.com/swimmer/3651023/</t>
        </is>
      </c>
      <c r="F6" s="30" t="inlineStr">
        <is>
          <t>YES</t>
        </is>
      </c>
      <c r="G6" s="20" t="n"/>
    </row>
    <row r="7" ht="15" customHeight="1" s="17">
      <c r="A7" s="30" t="inlineStr">
        <is>
          <t>SW002</t>
        </is>
      </c>
      <c r="B7" s="30" t="inlineStr">
        <is>
          <t>Miron Bunakov</t>
        </is>
      </c>
      <c r="C7" s="30" t="inlineStr">
        <is>
          <t>SwimCloud</t>
        </is>
      </c>
      <c r="D7" s="30" t="inlineStr">
        <is>
          <t>3360584</t>
        </is>
      </c>
      <c r="E7" s="30" t="inlineStr">
        <is>
          <t>https://www.swimcloud.com/swimmer/3360584/</t>
        </is>
      </c>
      <c r="F7" s="30" t="inlineStr">
        <is>
          <t>YES</t>
        </is>
      </c>
      <c r="G7" s="20" t="n"/>
    </row>
    <row r="8" ht="15" customHeight="1" s="17">
      <c r="A8" s="30" t="inlineStr">
        <is>
          <t>SW003</t>
        </is>
      </c>
      <c r="B8" s="30" t="inlineStr">
        <is>
          <t>Luka Mijatovic</t>
        </is>
      </c>
      <c r="C8" s="30" t="inlineStr">
        <is>
          <t>SwimCloud</t>
        </is>
      </c>
      <c r="D8" s="30" t="inlineStr">
        <is>
          <t>2415996</t>
        </is>
      </c>
      <c r="E8" s="30" t="inlineStr">
        <is>
          <t>https://www.swimcloud.com/swimmer/2415996/</t>
        </is>
      </c>
      <c r="F8" s="30" t="inlineStr">
        <is>
          <t>YES</t>
        </is>
      </c>
      <c r="G8" s="20" t="n"/>
    </row>
    <row r="9" ht="15" customHeight="1" s="17">
      <c r="A9" s="30" t="inlineStr">
        <is>
          <t>SW004</t>
        </is>
      </c>
      <c r="B9" s="30" t="inlineStr">
        <is>
          <t>Lubo Liu-Tchorbadjiyski</t>
        </is>
      </c>
      <c r="C9" s="30" t="inlineStr">
        <is>
          <t>SwimCloud</t>
        </is>
      </c>
      <c r="D9" s="30" t="inlineStr">
        <is>
          <t>3102544</t>
        </is>
      </c>
      <c r="E9" s="30" t="inlineStr">
        <is>
          <t>https://www.swimcloud.com/swimmer/3102544/</t>
        </is>
      </c>
      <c r="F9" s="30" t="inlineStr">
        <is>
          <t>YES</t>
        </is>
      </c>
      <c r="G9" s="20" t="n"/>
    </row>
    <row r="10" ht="15" customHeight="1" s="17">
      <c r="A10" s="30" t="inlineStr">
        <is>
          <t>SW005</t>
        </is>
      </c>
      <c r="B10" s="30" t="inlineStr">
        <is>
          <t>Thomas Heilman</t>
        </is>
      </c>
      <c r="C10" s="30" t="inlineStr">
        <is>
          <t>SwimCloud</t>
        </is>
      </c>
      <c r="D10" s="30" t="inlineStr">
        <is>
          <t>1336401</t>
        </is>
      </c>
      <c r="E10" s="30" t="inlineStr">
        <is>
          <t>https://www.swimcloud.com/swimmer/1336401/</t>
        </is>
      </c>
      <c r="F10" s="30" t="inlineStr">
        <is>
          <t>YES</t>
        </is>
      </c>
      <c r="G10" s="20" t="n"/>
    </row>
    <row r="11" ht="15" customHeight="1" s="17">
      <c r="A11" s="30" t="inlineStr">
        <is>
          <t>SW006</t>
        </is>
      </c>
      <c r="B11" s="30" t="inlineStr">
        <is>
          <t>Tajus Juska</t>
        </is>
      </c>
      <c r="C11" s="30" t="inlineStr">
        <is>
          <t>SwimCloud</t>
        </is>
      </c>
      <c r="D11" s="30" t="inlineStr">
        <is>
          <t>2116196</t>
        </is>
      </c>
      <c r="E11" s="30" t="inlineStr">
        <is>
          <t>https://www.swimcloud.com/swimmer/2116196/</t>
        </is>
      </c>
      <c r="F11" s="30" t="inlineStr">
        <is>
          <t>YES</t>
        </is>
      </c>
      <c r="G11" s="20" t="n"/>
    </row>
    <row r="12" ht="15" customHeight="1" s="17">
      <c r="A12" s="30" t="inlineStr">
        <is>
          <t>SW007</t>
        </is>
      </c>
      <c r="B12" s="30" t="inlineStr">
        <is>
          <t>Laon Kim</t>
        </is>
      </c>
      <c r="C12" s="30" t="inlineStr">
        <is>
          <t>SwimCloud</t>
        </is>
      </c>
      <c r="D12" s="30" t="inlineStr">
        <is>
          <t>2829279</t>
        </is>
      </c>
      <c r="E12" s="30" t="inlineStr">
        <is>
          <t>https://www.swimcloud.com/swimmer/2829279/</t>
        </is>
      </c>
      <c r="F12" s="30" t="inlineStr">
        <is>
          <t>YES</t>
        </is>
      </c>
      <c r="G12" s="20" t="n"/>
    </row>
    <row r="13" ht="15" customHeight="1" s="17">
      <c r="A13" s="30" t="inlineStr">
        <is>
          <t>SW008</t>
        </is>
      </c>
      <c r="B13" s="30" t="inlineStr">
        <is>
          <t>Jacob Whittle</t>
        </is>
      </c>
      <c r="C13" s="30" t="inlineStr">
        <is>
          <t>SwimCloud</t>
        </is>
      </c>
      <c r="D13" s="30" t="inlineStr">
        <is>
          <t>1133535</t>
        </is>
      </c>
      <c r="E13" s="30" t="inlineStr">
        <is>
          <t>https://www.swimcloud.com/swimmer/1133535/</t>
        </is>
      </c>
      <c r="F13" s="30" t="inlineStr">
        <is>
          <t>YES</t>
        </is>
      </c>
      <c r="G13" s="20" t="n"/>
    </row>
    <row r="14" ht="15" customHeight="1" s="17">
      <c r="A14" s="30" t="inlineStr">
        <is>
          <t>SW009</t>
        </is>
      </c>
      <c r="B14" s="30" t="inlineStr">
        <is>
          <t>David Popovici</t>
        </is>
      </c>
      <c r="C14" s="30" t="inlineStr">
        <is>
          <t>SwimCloud</t>
        </is>
      </c>
      <c r="D14" s="30" t="inlineStr">
        <is>
          <t>1405298</t>
        </is>
      </c>
      <c r="E14" s="30" t="inlineStr">
        <is>
          <t>https://www.swimcloud.com/swimmer/1405298/</t>
        </is>
      </c>
      <c r="F14" s="30" t="inlineStr">
        <is>
          <t>YES</t>
        </is>
      </c>
      <c r="G14" s="20" t="n"/>
    </row>
    <row r="15" ht="15" customHeight="1" s="17">
      <c r="A15" s="30" t="inlineStr">
        <is>
          <t>SW010</t>
        </is>
      </c>
      <c r="B15" s="30" t="inlineStr">
        <is>
          <t>Caeleb Dressel</t>
        </is>
      </c>
      <c r="C15" s="30" t="inlineStr">
        <is>
          <t>SwimCloud</t>
        </is>
      </c>
      <c r="D15" s="30" t="inlineStr">
        <is>
          <t>2361642</t>
        </is>
      </c>
      <c r="E15" s="30" t="inlineStr">
        <is>
          <t>https://www.swimcloud.com/swimmer/2361642/</t>
        </is>
      </c>
      <c r="F15" s="30" t="inlineStr">
        <is>
          <t>YES</t>
        </is>
      </c>
      <c r="G15" s="20" t="n"/>
    </row>
    <row r="16" ht="15" customHeight="1" s="17">
      <c r="A16" s="30" t="inlineStr">
        <is>
          <t>SW011</t>
        </is>
      </c>
      <c r="B16" s="30" t="inlineStr">
        <is>
          <t>Kyle Chalmers</t>
        </is>
      </c>
      <c r="C16" s="30" t="inlineStr">
        <is>
          <t>SwimCloud</t>
        </is>
      </c>
      <c r="D16" s="30" t="inlineStr">
        <is>
          <t>419989</t>
        </is>
      </c>
      <c r="E16" s="30" t="inlineStr">
        <is>
          <t>https://www.swimcloud.com/swimmer/419989/</t>
        </is>
      </c>
      <c r="F16" s="30" t="inlineStr">
        <is>
          <t>YES</t>
        </is>
      </c>
      <c r="G16" s="20" t="n"/>
    </row>
    <row r="17" ht="15" customHeight="1" s="17">
      <c r="A17" s="30" t="inlineStr">
        <is>
          <t>SW012</t>
        </is>
      </c>
      <c r="B17" s="30" t="inlineStr">
        <is>
          <t>Flynn Southam</t>
        </is>
      </c>
      <c r="C17" s="30" t="inlineStr">
        <is>
          <t>SwimCloud</t>
        </is>
      </c>
      <c r="D17" s="30" t="inlineStr">
        <is>
          <t>956278</t>
        </is>
      </c>
      <c r="E17" s="30" t="inlineStr">
        <is>
          <t>https://www.swimcloud.com/swimmer/956278/</t>
        </is>
      </c>
      <c r="F17" s="30" t="inlineStr">
        <is>
          <t>YES</t>
        </is>
      </c>
      <c r="G17" s="20" t="n"/>
    </row>
    <row r="18" ht="15" customHeight="1" s="17">
      <c r="A18" s="30" t="inlineStr">
        <is>
          <t>SW013</t>
        </is>
      </c>
      <c r="B18" s="30" t="inlineStr">
        <is>
          <t>Lewis Clareburt</t>
        </is>
      </c>
      <c r="C18" s="30" t="inlineStr">
        <is>
          <t>SwimCloud</t>
        </is>
      </c>
      <c r="D18" s="30" t="inlineStr">
        <is>
          <t>3464011</t>
        </is>
      </c>
      <c r="E18" s="30" t="inlineStr">
        <is>
          <t>https://www.swimcloud.com/swimmer/3464011/</t>
        </is>
      </c>
      <c r="F18" s="30" t="inlineStr">
        <is>
          <t>YES</t>
        </is>
      </c>
      <c r="G18" s="20" t="n"/>
    </row>
    <row r="19" ht="15" customHeight="1" s="17">
      <c r="A19" s="30" t="inlineStr">
        <is>
          <t>SW014</t>
        </is>
      </c>
      <c r="B19" s="30" t="inlineStr">
        <is>
          <t>Luke Hobson</t>
        </is>
      </c>
      <c r="C19" s="30" t="inlineStr">
        <is>
          <t>SwimCloud</t>
        </is>
      </c>
      <c r="D19" s="30" t="inlineStr">
        <is>
          <t>576911</t>
        </is>
      </c>
      <c r="E19" s="30" t="inlineStr">
        <is>
          <t>https://www.swimcloud.com/swimmer/576911/</t>
        </is>
      </c>
      <c r="F19" s="30" t="inlineStr">
        <is>
          <t>YES</t>
        </is>
      </c>
      <c r="G19" s="20" t="n"/>
    </row>
    <row r="20" ht="15" customHeight="1" s="17">
      <c r="A20" s="30" t="inlineStr">
        <is>
          <t>SW015</t>
        </is>
      </c>
      <c r="B20" s="30" t="inlineStr">
        <is>
          <t>Jack Alexy</t>
        </is>
      </c>
      <c r="C20" s="30" t="inlineStr">
        <is>
          <t>SwimCloud</t>
        </is>
      </c>
      <c r="D20" s="30" t="inlineStr">
        <is>
          <t>503872</t>
        </is>
      </c>
      <c r="E20" s="30" t="inlineStr">
        <is>
          <t>https://www.swimcloud.com/swimmer/503872/</t>
        </is>
      </c>
      <c r="F20" s="30" t="inlineStr">
        <is>
          <t>YES</t>
        </is>
      </c>
      <c r="G20" s="20" t="n"/>
    </row>
    <row r="21" ht="15" customHeight="1" s="17">
      <c r="A21" s="30" t="inlineStr">
        <is>
          <t>SW016</t>
        </is>
      </c>
      <c r="B21" s="30" t="inlineStr">
        <is>
          <t>Duncan Scott</t>
        </is>
      </c>
      <c r="C21" s="30" t="inlineStr">
        <is>
          <t>SwimCloud</t>
        </is>
      </c>
      <c r="D21" s="30" t="inlineStr">
        <is>
          <t>375606</t>
        </is>
      </c>
      <c r="E21" s="30" t="inlineStr">
        <is>
          <t>https://www.swimcloud.com/swimmer/375606/</t>
        </is>
      </c>
      <c r="F21" s="30" t="inlineStr">
        <is>
          <t>YES</t>
        </is>
      </c>
      <c r="G21" s="20" t="n"/>
    </row>
    <row r="22" ht="15" customHeight="1" s="17">
      <c r="A22" s="30" t="inlineStr">
        <is>
          <t>SW017</t>
        </is>
      </c>
      <c r="B22" s="30" t="inlineStr">
        <is>
          <t>Egor Kornev</t>
        </is>
      </c>
      <c r="C22" s="30" t="inlineStr">
        <is>
          <t>SwimCloud</t>
        </is>
      </c>
      <c r="D22" s="30" t="inlineStr">
        <is>
          <t>1139582</t>
        </is>
      </c>
      <c r="E22" s="30" t="inlineStr">
        <is>
          <t>https://www.swimcloud.com/swimmer/1139582/</t>
        </is>
      </c>
      <c r="F22" s="30" t="inlineStr">
        <is>
          <t>YES</t>
        </is>
      </c>
      <c r="G22" s="20" t="n"/>
    </row>
    <row r="23" ht="15" customHeight="1" s="17">
      <c r="A23" s="30" t="inlineStr">
        <is>
          <t>SW018</t>
        </is>
      </c>
      <c r="B23" s="30" t="inlineStr">
        <is>
          <t>Kristof Milak</t>
        </is>
      </c>
      <c r="C23" s="30" t="inlineStr">
        <is>
          <t>SwimCloud</t>
        </is>
      </c>
      <c r="D23" s="30" t="inlineStr">
        <is>
          <t>508643</t>
        </is>
      </c>
      <c r="E23" s="30" t="inlineStr">
        <is>
          <t>https://www.swimcloud.com/swimmer/508643/</t>
        </is>
      </c>
      <c r="F23" s="30" t="inlineStr">
        <is>
          <t>YES</t>
        </is>
      </c>
      <c r="G23" s="20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16" min="1" max="1"/>
    <col width="10" customWidth="1" style="16" min="2" max="3"/>
    <col width="16" customWidth="1" style="16" min="4" max="4"/>
    <col width="18" customWidth="1" style="16" min="5" max="5"/>
    <col width="24" customWidth="1" style="16" min="6" max="6"/>
    <col width="18" customWidth="1" style="16" min="7" max="8"/>
  </cols>
  <sheetData>
    <row r="1" ht="25.5" customHeight="1" s="17">
      <c r="A1" s="18" t="inlineStr">
        <is>
          <t>Events</t>
        </is>
      </c>
    </row>
    <row r="2" ht="31.5" customHeight="1" s="17">
      <c r="A2" s="19" t="inlineStr">
        <is>
          <t>Standard LCM/SCM event dimension. Progression Flag identifies the eight requested comparison charts.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</row>
    <row r="4" ht="30" customHeight="1" s="17">
      <c r="A4" s="21" t="inlineStr">
        <is>
          <t>EventID</t>
        </is>
      </c>
      <c r="B4" s="21" t="inlineStr">
        <is>
          <t>Course</t>
        </is>
      </c>
      <c r="C4" s="21" t="inlineStr">
        <is>
          <t>Distance</t>
        </is>
      </c>
      <c r="D4" s="21" t="inlineStr">
        <is>
          <t>Stroke</t>
        </is>
      </c>
      <c r="E4" s="21" t="inlineStr">
        <is>
          <t>Event</t>
        </is>
      </c>
      <c r="F4" s="21" t="inlineStr">
        <is>
          <t>Display Name</t>
        </is>
      </c>
      <c r="G4" s="21" t="inlineStr">
        <is>
          <t>Progression Flag</t>
        </is>
      </c>
      <c r="H4" s="21" t="inlineStr">
        <is>
          <t>Consistency Flag</t>
        </is>
      </c>
    </row>
    <row r="5" ht="15" customHeight="1" s="17">
      <c r="A5" s="20" t="inlineStr">
        <is>
          <t>LCM_50_BACK</t>
        </is>
      </c>
      <c r="B5" s="20" t="inlineStr">
        <is>
          <t>LCM</t>
        </is>
      </c>
      <c r="C5" s="20" t="n">
        <v>50</v>
      </c>
      <c r="D5" s="20" t="inlineStr">
        <is>
          <t>Back</t>
        </is>
      </c>
      <c r="E5" s="20" t="inlineStr">
        <is>
          <t>50 Back</t>
        </is>
      </c>
      <c r="F5" s="20" t="inlineStr">
        <is>
          <t>50 Back LCM</t>
        </is>
      </c>
      <c r="G5" s="20" t="inlineStr">
        <is>
          <t>NO</t>
        </is>
      </c>
      <c r="H5" s="20" t="inlineStr">
        <is>
          <t>YES</t>
        </is>
      </c>
    </row>
    <row r="6" ht="15" customHeight="1" s="17">
      <c r="A6" s="20" t="inlineStr">
        <is>
          <t>LCM_50_BREAST</t>
        </is>
      </c>
      <c r="B6" s="20" t="inlineStr">
        <is>
          <t>LCM</t>
        </is>
      </c>
      <c r="C6" s="20" t="n">
        <v>50</v>
      </c>
      <c r="D6" s="20" t="inlineStr">
        <is>
          <t>Breast</t>
        </is>
      </c>
      <c r="E6" s="20" t="inlineStr">
        <is>
          <t>50 Breast</t>
        </is>
      </c>
      <c r="F6" s="20" t="inlineStr">
        <is>
          <t>50 Breast LCM</t>
        </is>
      </c>
      <c r="G6" s="20" t="inlineStr">
        <is>
          <t>NO</t>
        </is>
      </c>
      <c r="H6" s="20" t="inlineStr">
        <is>
          <t>YES</t>
        </is>
      </c>
    </row>
    <row r="7" ht="15" customHeight="1" s="17">
      <c r="A7" s="20" t="inlineStr">
        <is>
          <t>LCM_50_FLY</t>
        </is>
      </c>
      <c r="B7" s="20" t="inlineStr">
        <is>
          <t>LCM</t>
        </is>
      </c>
      <c r="C7" s="20" t="n">
        <v>50</v>
      </c>
      <c r="D7" s="20" t="inlineStr">
        <is>
          <t>Fly</t>
        </is>
      </c>
      <c r="E7" s="20" t="inlineStr">
        <is>
          <t>50 Fly</t>
        </is>
      </c>
      <c r="F7" s="20" t="inlineStr">
        <is>
          <t>50 Fly LCM</t>
        </is>
      </c>
      <c r="G7" s="20" t="inlineStr">
        <is>
          <t>NO</t>
        </is>
      </c>
      <c r="H7" s="20" t="inlineStr">
        <is>
          <t>YES</t>
        </is>
      </c>
    </row>
    <row r="8" ht="15" customHeight="1" s="17">
      <c r="A8" s="20" t="inlineStr">
        <is>
          <t>LCM_50_FREE</t>
        </is>
      </c>
      <c r="B8" s="20" t="inlineStr">
        <is>
          <t>LCM</t>
        </is>
      </c>
      <c r="C8" s="20" t="n">
        <v>50</v>
      </c>
      <c r="D8" s="20" t="inlineStr">
        <is>
          <t>Free</t>
        </is>
      </c>
      <c r="E8" s="20" t="inlineStr">
        <is>
          <t>50 Free</t>
        </is>
      </c>
      <c r="F8" s="20" t="inlineStr">
        <is>
          <t>50 Free LCM</t>
        </is>
      </c>
      <c r="G8" s="20" t="inlineStr">
        <is>
          <t>NO</t>
        </is>
      </c>
      <c r="H8" s="20" t="inlineStr">
        <is>
          <t>YES</t>
        </is>
      </c>
    </row>
    <row r="9" ht="15" customHeight="1" s="17">
      <c r="A9" s="20" t="inlineStr">
        <is>
          <t>LCM_100_BACK</t>
        </is>
      </c>
      <c r="B9" s="20" t="inlineStr">
        <is>
          <t>LCM</t>
        </is>
      </c>
      <c r="C9" s="20" t="n">
        <v>100</v>
      </c>
      <c r="D9" s="20" t="inlineStr">
        <is>
          <t>Back</t>
        </is>
      </c>
      <c r="E9" s="20" t="inlineStr">
        <is>
          <t>100 Back</t>
        </is>
      </c>
      <c r="F9" s="20" t="inlineStr">
        <is>
          <t>100 Back LCM</t>
        </is>
      </c>
      <c r="G9" s="20" t="inlineStr">
        <is>
          <t>NO</t>
        </is>
      </c>
      <c r="H9" s="20" t="inlineStr">
        <is>
          <t>YES</t>
        </is>
      </c>
    </row>
    <row r="10" ht="15" customHeight="1" s="17">
      <c r="A10" s="20" t="inlineStr">
        <is>
          <t>LCM_100_BREAST</t>
        </is>
      </c>
      <c r="B10" s="20" t="inlineStr">
        <is>
          <t>LCM</t>
        </is>
      </c>
      <c r="C10" s="20" t="n">
        <v>100</v>
      </c>
      <c r="D10" s="20" t="inlineStr">
        <is>
          <t>Breast</t>
        </is>
      </c>
      <c r="E10" s="20" t="inlineStr">
        <is>
          <t>100 Breast</t>
        </is>
      </c>
      <c r="F10" s="20" t="inlineStr">
        <is>
          <t>100 Breast LCM</t>
        </is>
      </c>
      <c r="G10" s="20" t="inlineStr">
        <is>
          <t>NO</t>
        </is>
      </c>
      <c r="H10" s="20" t="inlineStr">
        <is>
          <t>YES</t>
        </is>
      </c>
    </row>
    <row r="11" ht="15" customHeight="1" s="17">
      <c r="A11" s="20" t="inlineStr">
        <is>
          <t>LCM_100_FLY</t>
        </is>
      </c>
      <c r="B11" s="20" t="inlineStr">
        <is>
          <t>LCM</t>
        </is>
      </c>
      <c r="C11" s="20" t="n">
        <v>100</v>
      </c>
      <c r="D11" s="20" t="inlineStr">
        <is>
          <t>Fly</t>
        </is>
      </c>
      <c r="E11" s="20" t="inlineStr">
        <is>
          <t>100 Fly</t>
        </is>
      </c>
      <c r="F11" s="20" t="inlineStr">
        <is>
          <t>100 Fly LCM</t>
        </is>
      </c>
      <c r="G11" s="20" t="inlineStr">
        <is>
          <t>YES</t>
        </is>
      </c>
      <c r="H11" s="20" t="inlineStr">
        <is>
          <t>YES</t>
        </is>
      </c>
    </row>
    <row r="12" ht="15" customHeight="1" s="17">
      <c r="A12" s="20" t="inlineStr">
        <is>
          <t>LCM_100_FREE</t>
        </is>
      </c>
      <c r="B12" s="20" t="inlineStr">
        <is>
          <t>LCM</t>
        </is>
      </c>
      <c r="C12" s="20" t="n">
        <v>100</v>
      </c>
      <c r="D12" s="20" t="inlineStr">
        <is>
          <t>Free</t>
        </is>
      </c>
      <c r="E12" s="20" t="inlineStr">
        <is>
          <t>100 Free</t>
        </is>
      </c>
      <c r="F12" s="20" t="inlineStr">
        <is>
          <t>100 Free LCM</t>
        </is>
      </c>
      <c r="G12" s="20" t="inlineStr">
        <is>
          <t>YES</t>
        </is>
      </c>
      <c r="H12" s="20" t="inlineStr">
        <is>
          <t>YES</t>
        </is>
      </c>
    </row>
    <row r="13" ht="15" customHeight="1" s="17">
      <c r="A13" s="20" t="inlineStr">
        <is>
          <t>LCM_100_IM</t>
        </is>
      </c>
      <c r="B13" s="20" t="inlineStr">
        <is>
          <t>LCM</t>
        </is>
      </c>
      <c r="C13" s="20" t="n">
        <v>100</v>
      </c>
      <c r="D13" s="20" t="inlineStr">
        <is>
          <t>IM</t>
        </is>
      </c>
      <c r="E13" s="20" t="inlineStr">
        <is>
          <t>100 IM</t>
        </is>
      </c>
      <c r="F13" s="20" t="inlineStr">
        <is>
          <t>100 IM LCM</t>
        </is>
      </c>
      <c r="G13" s="20" t="inlineStr">
        <is>
          <t>NO</t>
        </is>
      </c>
      <c r="H13" s="20" t="inlineStr">
        <is>
          <t>YES</t>
        </is>
      </c>
    </row>
    <row r="14" ht="15" customHeight="1" s="17">
      <c r="A14" s="20" t="inlineStr">
        <is>
          <t>LCM_200_BACK</t>
        </is>
      </c>
      <c r="B14" s="20" t="inlineStr">
        <is>
          <t>LCM</t>
        </is>
      </c>
      <c r="C14" s="20" t="n">
        <v>200</v>
      </c>
      <c r="D14" s="20" t="inlineStr">
        <is>
          <t>Back</t>
        </is>
      </c>
      <c r="E14" s="20" t="inlineStr">
        <is>
          <t>200 Back</t>
        </is>
      </c>
      <c r="F14" s="20" t="inlineStr">
        <is>
          <t>200 Back LCM</t>
        </is>
      </c>
      <c r="G14" s="20" t="inlineStr">
        <is>
          <t>NO</t>
        </is>
      </c>
      <c r="H14" s="20" t="inlineStr">
        <is>
          <t>YES</t>
        </is>
      </c>
    </row>
    <row r="15" ht="15" customHeight="1" s="17">
      <c r="A15" s="20" t="inlineStr">
        <is>
          <t>LCM_200_BREAST</t>
        </is>
      </c>
      <c r="B15" s="20" t="inlineStr">
        <is>
          <t>LCM</t>
        </is>
      </c>
      <c r="C15" s="20" t="n">
        <v>200</v>
      </c>
      <c r="D15" s="20" t="inlineStr">
        <is>
          <t>Breast</t>
        </is>
      </c>
      <c r="E15" s="20" t="inlineStr">
        <is>
          <t>200 Breast</t>
        </is>
      </c>
      <c r="F15" s="20" t="inlineStr">
        <is>
          <t>200 Breast LCM</t>
        </is>
      </c>
      <c r="G15" s="20" t="inlineStr">
        <is>
          <t>NO</t>
        </is>
      </c>
      <c r="H15" s="20" t="inlineStr">
        <is>
          <t>YES</t>
        </is>
      </c>
    </row>
    <row r="16" ht="15" customHeight="1" s="17">
      <c r="A16" s="20" t="inlineStr">
        <is>
          <t>LCM_200_FLY</t>
        </is>
      </c>
      <c r="B16" s="20" t="inlineStr">
        <is>
          <t>LCM</t>
        </is>
      </c>
      <c r="C16" s="20" t="n">
        <v>200</v>
      </c>
      <c r="D16" s="20" t="inlineStr">
        <is>
          <t>Fly</t>
        </is>
      </c>
      <c r="E16" s="20" t="inlineStr">
        <is>
          <t>200 Fly</t>
        </is>
      </c>
      <c r="F16" s="20" t="inlineStr">
        <is>
          <t>200 Fly LCM</t>
        </is>
      </c>
      <c r="G16" s="20" t="inlineStr">
        <is>
          <t>NO</t>
        </is>
      </c>
      <c r="H16" s="20" t="inlineStr">
        <is>
          <t>YES</t>
        </is>
      </c>
    </row>
    <row r="17" ht="15" customHeight="1" s="17">
      <c r="A17" s="20" t="inlineStr">
        <is>
          <t>LCM_200_FREE</t>
        </is>
      </c>
      <c r="B17" s="20" t="inlineStr">
        <is>
          <t>LCM</t>
        </is>
      </c>
      <c r="C17" s="20" t="n">
        <v>200</v>
      </c>
      <c r="D17" s="20" t="inlineStr">
        <is>
          <t>Free</t>
        </is>
      </c>
      <c r="E17" s="20" t="inlineStr">
        <is>
          <t>200 Free</t>
        </is>
      </c>
      <c r="F17" s="20" t="inlineStr">
        <is>
          <t>200 Free LCM</t>
        </is>
      </c>
      <c r="G17" s="20" t="inlineStr">
        <is>
          <t>YES</t>
        </is>
      </c>
      <c r="H17" s="20" t="inlineStr">
        <is>
          <t>YES</t>
        </is>
      </c>
    </row>
    <row r="18" ht="15" customHeight="1" s="17">
      <c r="A18" s="20" t="inlineStr">
        <is>
          <t>LCM_200_IM</t>
        </is>
      </c>
      <c r="B18" s="20" t="inlineStr">
        <is>
          <t>LCM</t>
        </is>
      </c>
      <c r="C18" s="20" t="n">
        <v>200</v>
      </c>
      <c r="D18" s="20" t="inlineStr">
        <is>
          <t>IM</t>
        </is>
      </c>
      <c r="E18" s="20" t="inlineStr">
        <is>
          <t>200 IM</t>
        </is>
      </c>
      <c r="F18" s="20" t="inlineStr">
        <is>
          <t>200 IM LCM</t>
        </is>
      </c>
      <c r="G18" s="20" t="inlineStr">
        <is>
          <t>NO</t>
        </is>
      </c>
      <c r="H18" s="20" t="inlineStr">
        <is>
          <t>YES</t>
        </is>
      </c>
    </row>
    <row r="19" ht="15" customHeight="1" s="17">
      <c r="A19" s="20" t="inlineStr">
        <is>
          <t>LCM_400_FREE</t>
        </is>
      </c>
      <c r="B19" s="20" t="inlineStr">
        <is>
          <t>LCM</t>
        </is>
      </c>
      <c r="C19" s="20" t="n">
        <v>400</v>
      </c>
      <c r="D19" s="20" t="inlineStr">
        <is>
          <t>Free</t>
        </is>
      </c>
      <c r="E19" s="20" t="inlineStr">
        <is>
          <t>400 Free</t>
        </is>
      </c>
      <c r="F19" s="20" t="inlineStr">
        <is>
          <t>400 Free LCM</t>
        </is>
      </c>
      <c r="G19" s="20" t="inlineStr">
        <is>
          <t>YES</t>
        </is>
      </c>
      <c r="H19" s="20" t="inlineStr">
        <is>
          <t>YES</t>
        </is>
      </c>
    </row>
    <row r="20" ht="15" customHeight="1" s="17">
      <c r="A20" s="20" t="inlineStr">
        <is>
          <t>LCM_400_IM</t>
        </is>
      </c>
      <c r="B20" s="20" t="inlineStr">
        <is>
          <t>LCM</t>
        </is>
      </c>
      <c r="C20" s="20" t="n">
        <v>400</v>
      </c>
      <c r="D20" s="20" t="inlineStr">
        <is>
          <t>IM</t>
        </is>
      </c>
      <c r="E20" s="20" t="inlineStr">
        <is>
          <t>400 IM</t>
        </is>
      </c>
      <c r="F20" s="20" t="inlineStr">
        <is>
          <t>400 IM LCM</t>
        </is>
      </c>
      <c r="G20" s="20" t="inlineStr">
        <is>
          <t>NO</t>
        </is>
      </c>
      <c r="H20" s="20" t="inlineStr">
        <is>
          <t>YES</t>
        </is>
      </c>
    </row>
    <row r="21" ht="15" customHeight="1" s="17">
      <c r="A21" s="20" t="inlineStr">
        <is>
          <t>LCM_800_FREE</t>
        </is>
      </c>
      <c r="B21" s="20" t="inlineStr">
        <is>
          <t>LCM</t>
        </is>
      </c>
      <c r="C21" s="20" t="n">
        <v>800</v>
      </c>
      <c r="D21" s="20" t="inlineStr">
        <is>
          <t>Free</t>
        </is>
      </c>
      <c r="E21" s="20" t="inlineStr">
        <is>
          <t>800 Free</t>
        </is>
      </c>
      <c r="F21" s="20" t="inlineStr">
        <is>
          <t>800 Free LCM</t>
        </is>
      </c>
      <c r="G21" s="20" t="inlineStr">
        <is>
          <t>NO</t>
        </is>
      </c>
      <c r="H21" s="20" t="inlineStr">
        <is>
          <t>YES</t>
        </is>
      </c>
    </row>
    <row r="22" ht="15" customHeight="1" s="17">
      <c r="A22" s="20" t="inlineStr">
        <is>
          <t>LCM_1500_FREE</t>
        </is>
      </c>
      <c r="B22" s="20" t="inlineStr">
        <is>
          <t>LCM</t>
        </is>
      </c>
      <c r="C22" s="20" t="n">
        <v>1500</v>
      </c>
      <c r="D22" s="20" t="inlineStr">
        <is>
          <t>Free</t>
        </is>
      </c>
      <c r="E22" s="20" t="inlineStr">
        <is>
          <t>1500 Free</t>
        </is>
      </c>
      <c r="F22" s="20" t="inlineStr">
        <is>
          <t>1500 Free LCM</t>
        </is>
      </c>
      <c r="G22" s="20" t="inlineStr">
        <is>
          <t>NO</t>
        </is>
      </c>
      <c r="H22" s="20" t="inlineStr">
        <is>
          <t>YES</t>
        </is>
      </c>
    </row>
    <row r="23" ht="15" customHeight="1" s="17">
      <c r="A23" s="20" t="inlineStr">
        <is>
          <t>SCM_50_BACK</t>
        </is>
      </c>
      <c r="B23" s="20" t="inlineStr">
        <is>
          <t>SCM</t>
        </is>
      </c>
      <c r="C23" s="20" t="n">
        <v>50</v>
      </c>
      <c r="D23" s="20" t="inlineStr">
        <is>
          <t>Back</t>
        </is>
      </c>
      <c r="E23" s="20" t="inlineStr">
        <is>
          <t>50 Back</t>
        </is>
      </c>
      <c r="F23" s="20" t="inlineStr">
        <is>
          <t>50 Back SCM</t>
        </is>
      </c>
      <c r="G23" s="20" t="inlineStr">
        <is>
          <t>NO</t>
        </is>
      </c>
      <c r="H23" s="20" t="inlineStr">
        <is>
          <t>YES</t>
        </is>
      </c>
    </row>
    <row r="24" ht="15" customHeight="1" s="17">
      <c r="A24" s="20" t="inlineStr">
        <is>
          <t>SCM_50_BREAST</t>
        </is>
      </c>
      <c r="B24" s="20" t="inlineStr">
        <is>
          <t>SCM</t>
        </is>
      </c>
      <c r="C24" s="20" t="n">
        <v>50</v>
      </c>
      <c r="D24" s="20" t="inlineStr">
        <is>
          <t>Breast</t>
        </is>
      </c>
      <c r="E24" s="20" t="inlineStr">
        <is>
          <t>50 Breast</t>
        </is>
      </c>
      <c r="F24" s="20" t="inlineStr">
        <is>
          <t>50 Breast SCM</t>
        </is>
      </c>
      <c r="G24" s="20" t="inlineStr">
        <is>
          <t>NO</t>
        </is>
      </c>
      <c r="H24" s="20" t="inlineStr">
        <is>
          <t>YES</t>
        </is>
      </c>
    </row>
    <row r="25" ht="15" customHeight="1" s="17">
      <c r="A25" s="20" t="inlineStr">
        <is>
          <t>SCM_50_FLY</t>
        </is>
      </c>
      <c r="B25" s="20" t="inlineStr">
        <is>
          <t>SCM</t>
        </is>
      </c>
      <c r="C25" s="20" t="n">
        <v>50</v>
      </c>
      <c r="D25" s="20" t="inlineStr">
        <is>
          <t>Fly</t>
        </is>
      </c>
      <c r="E25" s="20" t="inlineStr">
        <is>
          <t>50 Fly</t>
        </is>
      </c>
      <c r="F25" s="20" t="inlineStr">
        <is>
          <t>50 Fly SCM</t>
        </is>
      </c>
      <c r="G25" s="20" t="inlineStr">
        <is>
          <t>NO</t>
        </is>
      </c>
      <c r="H25" s="20" t="inlineStr">
        <is>
          <t>YES</t>
        </is>
      </c>
    </row>
    <row r="26" ht="15" customHeight="1" s="17">
      <c r="A26" s="20" t="inlineStr">
        <is>
          <t>SCM_50_FREE</t>
        </is>
      </c>
      <c r="B26" s="20" t="inlineStr">
        <is>
          <t>SCM</t>
        </is>
      </c>
      <c r="C26" s="20" t="n">
        <v>50</v>
      </c>
      <c r="D26" s="20" t="inlineStr">
        <is>
          <t>Free</t>
        </is>
      </c>
      <c r="E26" s="20" t="inlineStr">
        <is>
          <t>50 Free</t>
        </is>
      </c>
      <c r="F26" s="20" t="inlineStr">
        <is>
          <t>50 Free SCM</t>
        </is>
      </c>
      <c r="G26" s="20" t="inlineStr">
        <is>
          <t>NO</t>
        </is>
      </c>
      <c r="H26" s="20" t="inlineStr">
        <is>
          <t>YES</t>
        </is>
      </c>
    </row>
    <row r="27" ht="15" customHeight="1" s="17">
      <c r="A27" s="20" t="inlineStr">
        <is>
          <t>SCM_100_BACK</t>
        </is>
      </c>
      <c r="B27" s="20" t="inlineStr">
        <is>
          <t>SCM</t>
        </is>
      </c>
      <c r="C27" s="20" t="n">
        <v>100</v>
      </c>
      <c r="D27" s="20" t="inlineStr">
        <is>
          <t>Back</t>
        </is>
      </c>
      <c r="E27" s="20" t="inlineStr">
        <is>
          <t>100 Back</t>
        </is>
      </c>
      <c r="F27" s="20" t="inlineStr">
        <is>
          <t>100 Back SCM</t>
        </is>
      </c>
      <c r="G27" s="20" t="inlineStr">
        <is>
          <t>NO</t>
        </is>
      </c>
      <c r="H27" s="20" t="inlineStr">
        <is>
          <t>YES</t>
        </is>
      </c>
    </row>
    <row r="28" ht="15" customHeight="1" s="17">
      <c r="A28" s="20" t="inlineStr">
        <is>
          <t>SCM_100_BREAST</t>
        </is>
      </c>
      <c r="B28" s="20" t="inlineStr">
        <is>
          <t>SCM</t>
        </is>
      </c>
      <c r="C28" s="20" t="n">
        <v>100</v>
      </c>
      <c r="D28" s="20" t="inlineStr">
        <is>
          <t>Breast</t>
        </is>
      </c>
      <c r="E28" s="20" t="inlineStr">
        <is>
          <t>100 Breast</t>
        </is>
      </c>
      <c r="F28" s="20" t="inlineStr">
        <is>
          <t>100 Breast SCM</t>
        </is>
      </c>
      <c r="G28" s="20" t="inlineStr">
        <is>
          <t>NO</t>
        </is>
      </c>
      <c r="H28" s="20" t="inlineStr">
        <is>
          <t>YES</t>
        </is>
      </c>
    </row>
    <row r="29" ht="15" customHeight="1" s="17">
      <c r="A29" s="20" t="inlineStr">
        <is>
          <t>SCM_100_FLY</t>
        </is>
      </c>
      <c r="B29" s="20" t="inlineStr">
        <is>
          <t>SCM</t>
        </is>
      </c>
      <c r="C29" s="20" t="n">
        <v>100</v>
      </c>
      <c r="D29" s="20" t="inlineStr">
        <is>
          <t>Fly</t>
        </is>
      </c>
      <c r="E29" s="20" t="inlineStr">
        <is>
          <t>100 Fly</t>
        </is>
      </c>
      <c r="F29" s="20" t="inlineStr">
        <is>
          <t>100 Fly SCM</t>
        </is>
      </c>
      <c r="G29" s="20" t="inlineStr">
        <is>
          <t>YES</t>
        </is>
      </c>
      <c r="H29" s="20" t="inlineStr">
        <is>
          <t>YES</t>
        </is>
      </c>
    </row>
    <row r="30" ht="15" customHeight="1" s="17">
      <c r="A30" s="20" t="inlineStr">
        <is>
          <t>SCM_100_FREE</t>
        </is>
      </c>
      <c r="B30" s="20" t="inlineStr">
        <is>
          <t>SCM</t>
        </is>
      </c>
      <c r="C30" s="20" t="n">
        <v>100</v>
      </c>
      <c r="D30" s="20" t="inlineStr">
        <is>
          <t>Free</t>
        </is>
      </c>
      <c r="E30" s="20" t="inlineStr">
        <is>
          <t>100 Free</t>
        </is>
      </c>
      <c r="F30" s="20" t="inlineStr">
        <is>
          <t>100 Free SCM</t>
        </is>
      </c>
      <c r="G30" s="20" t="inlineStr">
        <is>
          <t>YES</t>
        </is>
      </c>
      <c r="H30" s="20" t="inlineStr">
        <is>
          <t>YES</t>
        </is>
      </c>
    </row>
    <row r="31" ht="15" customHeight="1" s="17">
      <c r="A31" s="20" t="inlineStr">
        <is>
          <t>SCM_100_IM</t>
        </is>
      </c>
      <c r="B31" s="20" t="inlineStr">
        <is>
          <t>SCM</t>
        </is>
      </c>
      <c r="C31" s="20" t="n">
        <v>100</v>
      </c>
      <c r="D31" s="20" t="inlineStr">
        <is>
          <t>IM</t>
        </is>
      </c>
      <c r="E31" s="20" t="inlineStr">
        <is>
          <t>100 IM</t>
        </is>
      </c>
      <c r="F31" s="20" t="inlineStr">
        <is>
          <t>100 IM SCM</t>
        </is>
      </c>
      <c r="G31" s="20" t="inlineStr">
        <is>
          <t>NO</t>
        </is>
      </c>
      <c r="H31" s="20" t="inlineStr">
        <is>
          <t>YES</t>
        </is>
      </c>
    </row>
    <row r="32" ht="15" customHeight="1" s="17">
      <c r="A32" s="20" t="inlineStr">
        <is>
          <t>SCM_200_BACK</t>
        </is>
      </c>
      <c r="B32" s="20" t="inlineStr">
        <is>
          <t>SCM</t>
        </is>
      </c>
      <c r="C32" s="20" t="n">
        <v>200</v>
      </c>
      <c r="D32" s="20" t="inlineStr">
        <is>
          <t>Back</t>
        </is>
      </c>
      <c r="E32" s="20" t="inlineStr">
        <is>
          <t>200 Back</t>
        </is>
      </c>
      <c r="F32" s="20" t="inlineStr">
        <is>
          <t>200 Back SCM</t>
        </is>
      </c>
      <c r="G32" s="20" t="inlineStr">
        <is>
          <t>NO</t>
        </is>
      </c>
      <c r="H32" s="20" t="inlineStr">
        <is>
          <t>YES</t>
        </is>
      </c>
    </row>
    <row r="33" ht="15" customHeight="1" s="17">
      <c r="A33" s="20" t="inlineStr">
        <is>
          <t>SCM_200_BREAST</t>
        </is>
      </c>
      <c r="B33" s="20" t="inlineStr">
        <is>
          <t>SCM</t>
        </is>
      </c>
      <c r="C33" s="20" t="n">
        <v>200</v>
      </c>
      <c r="D33" s="20" t="inlineStr">
        <is>
          <t>Breast</t>
        </is>
      </c>
      <c r="E33" s="20" t="inlineStr">
        <is>
          <t>200 Breast</t>
        </is>
      </c>
      <c r="F33" s="20" t="inlineStr">
        <is>
          <t>200 Breast SCM</t>
        </is>
      </c>
      <c r="G33" s="20" t="inlineStr">
        <is>
          <t>NO</t>
        </is>
      </c>
      <c r="H33" s="20" t="inlineStr">
        <is>
          <t>YES</t>
        </is>
      </c>
    </row>
    <row r="34" ht="15" customHeight="1" s="17">
      <c r="A34" s="20" t="inlineStr">
        <is>
          <t>SCM_200_FLY</t>
        </is>
      </c>
      <c r="B34" s="20" t="inlineStr">
        <is>
          <t>SCM</t>
        </is>
      </c>
      <c r="C34" s="20" t="n">
        <v>200</v>
      </c>
      <c r="D34" s="20" t="inlineStr">
        <is>
          <t>Fly</t>
        </is>
      </c>
      <c r="E34" s="20" t="inlineStr">
        <is>
          <t>200 Fly</t>
        </is>
      </c>
      <c r="F34" s="20" t="inlineStr">
        <is>
          <t>200 Fly SCM</t>
        </is>
      </c>
      <c r="G34" s="20" t="inlineStr">
        <is>
          <t>NO</t>
        </is>
      </c>
      <c r="H34" s="20" t="inlineStr">
        <is>
          <t>YES</t>
        </is>
      </c>
    </row>
    <row r="35" ht="15" customHeight="1" s="17">
      <c r="A35" s="20" t="inlineStr">
        <is>
          <t>SCM_200_FREE</t>
        </is>
      </c>
      <c r="B35" s="20" t="inlineStr">
        <is>
          <t>SCM</t>
        </is>
      </c>
      <c r="C35" s="20" t="n">
        <v>200</v>
      </c>
      <c r="D35" s="20" t="inlineStr">
        <is>
          <t>Free</t>
        </is>
      </c>
      <c r="E35" s="20" t="inlineStr">
        <is>
          <t>200 Free</t>
        </is>
      </c>
      <c r="F35" s="20" t="inlineStr">
        <is>
          <t>200 Free SCM</t>
        </is>
      </c>
      <c r="G35" s="20" t="inlineStr">
        <is>
          <t>YES</t>
        </is>
      </c>
      <c r="H35" s="20" t="inlineStr">
        <is>
          <t>YES</t>
        </is>
      </c>
    </row>
    <row r="36" ht="15" customHeight="1" s="17">
      <c r="A36" s="20" t="inlineStr">
        <is>
          <t>SCM_200_IM</t>
        </is>
      </c>
      <c r="B36" s="20" t="inlineStr">
        <is>
          <t>SCM</t>
        </is>
      </c>
      <c r="C36" s="20" t="n">
        <v>200</v>
      </c>
      <c r="D36" s="20" t="inlineStr">
        <is>
          <t>IM</t>
        </is>
      </c>
      <c r="E36" s="20" t="inlineStr">
        <is>
          <t>200 IM</t>
        </is>
      </c>
      <c r="F36" s="20" t="inlineStr">
        <is>
          <t>200 IM SCM</t>
        </is>
      </c>
      <c r="G36" s="20" t="inlineStr">
        <is>
          <t>NO</t>
        </is>
      </c>
      <c r="H36" s="20" t="inlineStr">
        <is>
          <t>YES</t>
        </is>
      </c>
    </row>
    <row r="37" ht="15" customHeight="1" s="17">
      <c r="A37" s="20" t="inlineStr">
        <is>
          <t>SCM_400_FREE</t>
        </is>
      </c>
      <c r="B37" s="20" t="inlineStr">
        <is>
          <t>SCM</t>
        </is>
      </c>
      <c r="C37" s="20" t="n">
        <v>400</v>
      </c>
      <c r="D37" s="20" t="inlineStr">
        <is>
          <t>Free</t>
        </is>
      </c>
      <c r="E37" s="20" t="inlineStr">
        <is>
          <t>400 Free</t>
        </is>
      </c>
      <c r="F37" s="20" t="inlineStr">
        <is>
          <t>400 Free SCM</t>
        </is>
      </c>
      <c r="G37" s="20" t="inlineStr">
        <is>
          <t>YES</t>
        </is>
      </c>
      <c r="H37" s="20" t="inlineStr">
        <is>
          <t>YES</t>
        </is>
      </c>
    </row>
    <row r="38" ht="15" customHeight="1" s="17">
      <c r="A38" s="20" t="inlineStr">
        <is>
          <t>SCM_400_IM</t>
        </is>
      </c>
      <c r="B38" s="20" t="inlineStr">
        <is>
          <t>SCM</t>
        </is>
      </c>
      <c r="C38" s="20" t="n">
        <v>400</v>
      </c>
      <c r="D38" s="20" t="inlineStr">
        <is>
          <t>IM</t>
        </is>
      </c>
      <c r="E38" s="20" t="inlineStr">
        <is>
          <t>400 IM</t>
        </is>
      </c>
      <c r="F38" s="20" t="inlineStr">
        <is>
          <t>400 IM SCM</t>
        </is>
      </c>
      <c r="G38" s="20" t="inlineStr">
        <is>
          <t>NO</t>
        </is>
      </c>
      <c r="H38" s="20" t="inlineStr">
        <is>
          <t>YES</t>
        </is>
      </c>
    </row>
    <row r="39" ht="15" customHeight="1" s="17">
      <c r="A39" s="20" t="inlineStr">
        <is>
          <t>SCM_800_FREE</t>
        </is>
      </c>
      <c r="B39" s="20" t="inlineStr">
        <is>
          <t>SCM</t>
        </is>
      </c>
      <c r="C39" s="20" t="n">
        <v>800</v>
      </c>
      <c r="D39" s="20" t="inlineStr">
        <is>
          <t>Free</t>
        </is>
      </c>
      <c r="E39" s="20" t="inlineStr">
        <is>
          <t>800 Free</t>
        </is>
      </c>
      <c r="F39" s="20" t="inlineStr">
        <is>
          <t>800 Free SCM</t>
        </is>
      </c>
      <c r="G39" s="20" t="inlineStr">
        <is>
          <t>NO</t>
        </is>
      </c>
      <c r="H39" s="20" t="inlineStr">
        <is>
          <t>YES</t>
        </is>
      </c>
    </row>
    <row r="40" ht="15" customHeight="1" s="17">
      <c r="A40" s="20" t="inlineStr">
        <is>
          <t>SCM_1500_FREE</t>
        </is>
      </c>
      <c r="B40" s="20" t="inlineStr">
        <is>
          <t>SCM</t>
        </is>
      </c>
      <c r="C40" s="20" t="n">
        <v>1500</v>
      </c>
      <c r="D40" s="20" t="inlineStr">
        <is>
          <t>Free</t>
        </is>
      </c>
      <c r="E40" s="20" t="inlineStr">
        <is>
          <t>1500 Free</t>
        </is>
      </c>
      <c r="F40" s="20" t="inlineStr">
        <is>
          <t>1500 Free SCM</t>
        </is>
      </c>
      <c r="G40" s="20" t="inlineStr">
        <is>
          <t>NO</t>
        </is>
      </c>
      <c r="H40" s="20" t="inlineStr">
        <is>
          <t>YES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7" min="1" max="1"/>
    <col width="11" customWidth="1" style="17" min="2" max="2"/>
    <col width="25" customWidth="1" style="17" min="3" max="3"/>
    <col width="22" customWidth="1" style="17" min="4" max="4"/>
    <col width="16" customWidth="1" style="17" min="5" max="5"/>
    <col width="16" customWidth="1" style="17" min="6" max="6"/>
    <col width="14" customWidth="1" style="17" min="7" max="7"/>
    <col width="42" customWidth="1" style="17" min="8" max="8"/>
    <col width="13" customWidth="1" style="17" min="9" max="9"/>
    <col width="10" customWidth="1" style="17" min="10" max="10"/>
    <col width="10" customWidth="1" style="17" min="11" max="11"/>
    <col width="11" customWidth="1" style="17" min="12" max="12"/>
    <col width="9" customWidth="1" style="17" min="13" max="13"/>
    <col width="10" customWidth="1" style="17" min="14" max="14"/>
    <col width="11" customWidth="1" style="17" min="15" max="15"/>
    <col width="14" customWidth="1" style="17" min="16" max="16"/>
    <col width="18" customWidth="1" style="17" min="17" max="17"/>
    <col width="13" customWidth="1" style="17" min="18" max="18"/>
    <col width="13" customWidth="1" style="17" min="19" max="19"/>
    <col width="11" customWidth="1" style="17" min="20" max="20"/>
    <col width="10" customWidth="1" style="17" min="21" max="21"/>
    <col width="15" customWidth="1" style="17" min="22" max="22"/>
    <col width="9" customWidth="1" style="17" min="23" max="23"/>
    <col width="11" customWidth="1" style="17" min="24" max="24"/>
    <col width="8" customWidth="1" style="17" min="25" max="25"/>
    <col width="8" customWidth="1" style="17" min="26" max="26"/>
    <col width="8" customWidth="1" style="17" min="27" max="27"/>
    <col width="55" customWidth="1" style="17" min="28" max="28"/>
    <col width="28" customWidth="1" style="17" min="29" max="29"/>
    <col width="45" customWidth="1" style="17" min="30" max="30"/>
    <col width="14" customWidth="1" style="17" min="31" max="31"/>
    <col width="15" customWidth="1" style="17" min="32" max="32"/>
    <col width="12" customWidth="1" style="17" min="33" max="33"/>
    <col width="13" customWidth="1" style="17" min="34" max="34"/>
    <col width="18" customWidth="1" style="17" min="35" max="35"/>
    <col width="11" customWidth="1" style="17" min="36" max="36"/>
  </cols>
  <sheetData>
    <row r="1" ht="26" customHeight="1" s="17">
      <c r="A1" s="31" t="inlineStr">
        <is>
          <t>Swims</t>
        </is>
      </c>
    </row>
    <row r="2" ht="32" customHeight="1" s="17">
      <c r="A2" s="32" t="inlineStr">
        <is>
          <t>Normalized performance database. One row per legal performance; Grayson's two SwimCloud profiles are merged to one canonical swimmer. Formula helper columns support the consistency analysis.</t>
        </is>
      </c>
    </row>
    <row r="4" ht="30" customHeight="1" s="17">
      <c r="A4" s="28" t="inlineStr">
        <is>
          <t>SwimID</t>
        </is>
      </c>
      <c r="B4" s="28" t="inlineStr">
        <is>
          <t>SwimmerID</t>
        </is>
      </c>
      <c r="C4" s="28" t="inlineStr">
        <is>
          <t>Display Name</t>
        </is>
      </c>
      <c r="D4" s="28" t="inlineStr">
        <is>
          <t>Source</t>
        </is>
      </c>
      <c r="E4" s="28" t="inlineStr">
        <is>
          <t>Source Profile ID</t>
        </is>
      </c>
      <c r="F4" s="28" t="inlineStr">
        <is>
          <t>Source Race ID</t>
        </is>
      </c>
      <c r="G4" s="28" t="inlineStr">
        <is>
          <t>Swim Date</t>
        </is>
      </c>
      <c r="H4" s="28" t="inlineStr">
        <is>
          <t>Meet</t>
        </is>
      </c>
      <c r="I4" s="28" t="inlineStr">
        <is>
          <t>Meet ID</t>
        </is>
      </c>
      <c r="J4" s="28" t="inlineStr">
        <is>
          <t>Session</t>
        </is>
      </c>
      <c r="K4" s="28" t="inlineStr">
        <is>
          <t>Round</t>
        </is>
      </c>
      <c r="L4" s="28" t="inlineStr">
        <is>
          <t>Round Order</t>
        </is>
      </c>
      <c r="M4" s="28" t="inlineStr">
        <is>
          <t>Course</t>
        </is>
      </c>
      <c r="N4" s="28" t="inlineStr">
        <is>
          <t>Distance</t>
        </is>
      </c>
      <c r="O4" s="28" t="inlineStr">
        <is>
          <t>Stroke</t>
        </is>
      </c>
      <c r="P4" s="28" t="inlineStr">
        <is>
          <t>Event</t>
        </is>
      </c>
      <c r="Q4" s="28" t="inlineStr">
        <is>
          <t>EventID</t>
        </is>
      </c>
      <c r="R4" s="28" t="inlineStr">
        <is>
          <t>Time Seconds</t>
        </is>
      </c>
      <c r="S4" s="28" t="inlineStr">
        <is>
          <t>Time Display</t>
        </is>
      </c>
      <c r="T4" s="28" t="inlineStr">
        <is>
          <t>Exact Age</t>
        </is>
      </c>
      <c r="U4" s="28" t="inlineStr">
        <is>
          <t>Age Year</t>
        </is>
      </c>
      <c r="V4" s="28" t="inlineStr">
        <is>
          <t>Relay Lead-off</t>
        </is>
      </c>
      <c r="W4" s="28" t="inlineStr">
        <is>
          <t>Legal</t>
        </is>
      </c>
      <c r="X4" s="28" t="inlineStr">
        <is>
          <t>Exhibition</t>
        </is>
      </c>
      <c r="Y4" s="28" t="inlineStr">
        <is>
          <t>Heat</t>
        </is>
      </c>
      <c r="Z4" s="28" t="inlineStr">
        <is>
          <t>Lane</t>
        </is>
      </c>
      <c r="AA4" s="28" t="inlineStr">
        <is>
          <t>Place</t>
        </is>
      </c>
      <c r="AB4" s="28" t="inlineStr">
        <is>
          <t>Source URL</t>
        </is>
      </c>
      <c r="AC4" s="28" t="inlineStr">
        <is>
          <t>Acquisition Batch</t>
        </is>
      </c>
      <c r="AD4" s="28" t="inlineStr">
        <is>
          <t>Duplicate Key</t>
        </is>
      </c>
      <c r="AE4" s="28" t="inlineStr">
        <is>
          <t>Race Order</t>
        </is>
      </c>
      <c r="AF4" s="28" t="inlineStr">
        <is>
          <t>Prior Faster Count</t>
        </is>
      </c>
      <c r="AG4" s="28" t="inlineStr">
        <is>
          <t>Top 5 At Time</t>
        </is>
      </c>
      <c r="AH4" s="28" t="inlineStr">
        <is>
          <t>Top 10 At Time</t>
        </is>
      </c>
      <c r="AI4" s="28" t="inlineStr">
        <is>
          <t>In Consistency Window</t>
        </is>
      </c>
      <c r="AJ4" s="28" t="inlineStr">
        <is>
          <t>QC Status</t>
        </is>
      </c>
    </row>
    <row r="5" s="17">
      <c r="A5" s="33" t="inlineStr">
        <is>
          <t>SM000001</t>
        </is>
      </c>
      <c r="B5" s="33" t="inlineStr">
        <is>
          <t>SW010</t>
        </is>
      </c>
      <c r="C5" s="33" t="inlineStr">
        <is>
          <t>Caeleb Dressel</t>
        </is>
      </c>
      <c r="D5" s="33" t="inlineStr">
        <is>
          <t>SwimCloud</t>
        </is>
      </c>
      <c r="E5" s="33" t="inlineStr">
        <is>
          <t>2361642</t>
        </is>
      </c>
      <c r="F5" s="33" t="inlineStr">
        <is>
          <t>88639280</t>
        </is>
      </c>
      <c r="G5" s="51" t="n">
        <v>37757</v>
      </c>
      <c r="H5" s="33" t="inlineStr">
        <is>
          <t>2003 Bolles School Sharks LC Invite</t>
        </is>
      </c>
      <c r="I5" s="33" t="inlineStr">
        <is>
          <t>251562</t>
        </is>
      </c>
      <c r="J5" s="33" t="inlineStr"/>
      <c r="K5" s="33" t="inlineStr">
        <is>
          <t>TIM</t>
        </is>
      </c>
      <c r="L5" s="35">
        <f>IF(K5="FIN",3,IF(OR(K5="SEM",K5="SEMI"),2,IF(OR(K5="PRE",K5="HEAT"),1,IF(V5="YES",4,2))))</f>
        <v/>
      </c>
      <c r="M5" s="33" t="inlineStr">
        <is>
          <t>LCM</t>
        </is>
      </c>
      <c r="N5" s="33" t="n">
        <v>100</v>
      </c>
      <c r="O5" s="33" t="inlineStr">
        <is>
          <t>Free</t>
        </is>
      </c>
      <c r="P5" s="33" t="inlineStr">
        <is>
          <t>100 Free</t>
        </is>
      </c>
      <c r="Q5" s="33" t="inlineStr">
        <is>
          <t>LCM_100_FREE</t>
        </is>
      </c>
      <c r="R5" s="36" t="n">
        <v>104.58</v>
      </c>
      <c r="S5" s="35">
        <f>IF(R5="","",IF(R5&gt;=60,INT(R5/60)&amp;":"&amp;TEXT(MOD(R5,60),"00.00"),TEXT(R5,"0.00")))</f>
        <v/>
      </c>
      <c r="T5" s="52">
        <f>IFERROR((G5-INDEX('01_Swimmers'!$E$5:$E$22,MATCH(B5,'01_Swimmers'!$A$5:$A$22,0)))/'00_Control'!$B$10,"")</f>
        <v/>
      </c>
      <c r="U5" s="35">
        <f>IF(T5="","",INT(T5))</f>
        <v/>
      </c>
      <c r="V5" s="33" t="inlineStr">
        <is>
          <t>NO</t>
        </is>
      </c>
      <c r="W5" s="33" t="inlineStr">
        <is>
          <t>YES</t>
        </is>
      </c>
      <c r="X5" s="33" t="inlineStr">
        <is>
          <t>NO</t>
        </is>
      </c>
      <c r="Y5" s="33" t="n">
        <v>1</v>
      </c>
      <c r="Z5" s="33" t="n">
        <v>7</v>
      </c>
      <c r="AA5" s="33" t="inlineStr">
        <is>
          <t>3</t>
        </is>
      </c>
      <c r="AB5" s="33" t="inlineStr">
        <is>
          <t>https://www.swimcloud.com/results/251562/event/50/?id=88639280#time88639280</t>
        </is>
      </c>
      <c r="AC5" s="33" t="inlineStr">
        <is>
          <t>SwimCloud API v6 2026-10-08</t>
        </is>
      </c>
      <c r="AD5" s="33" t="inlineStr">
        <is>
          <t>Caeleb Dressel|2003-05-16|LCM|100|Free|104.58|2003 Bolles School Sharks LC Invite|TIM|False</t>
        </is>
      </c>
      <c r="AE5" s="53">
        <f>G5+L5/1000+ROW()/1000000000</f>
        <v/>
      </c>
      <c r="AF5" s="35">
        <f>IF(C5&lt;&gt;"Grayson Coulter","",COUNTIFS($C$5:$C$2991,"Grayson Coulter",$Q$5:$Q$2991,Q5,$AE$5:$AE$2991,"&lt;="&amp;AE5,$R$5:$R$2991,"&lt;"&amp;R5))</f>
        <v/>
      </c>
      <c r="AG5" s="35">
        <f>IF(OR(C5&lt;&gt;"Grayson Coulter",G5&lt;'00_Control'!$B$7),"",--(AF5&lt;5))</f>
        <v/>
      </c>
      <c r="AH5" s="35">
        <f>IF(OR(C5&lt;&gt;"Grayson Coulter",G5&lt;'00_Control'!$B$7),"",--(AF5&lt;10))</f>
        <v/>
      </c>
      <c r="AI5" s="35">
        <f>IF(AND(C5="Grayson Coulter",G5&gt;='00_Control'!$B$7),"YES","NO")</f>
        <v/>
      </c>
      <c r="AJ5" s="33" t="inlineStr">
        <is>
          <t>OK</t>
        </is>
      </c>
    </row>
    <row r="6">
      <c r="A6" s="33" t="inlineStr">
        <is>
          <t>SM000002</t>
        </is>
      </c>
      <c r="B6" s="33" t="inlineStr">
        <is>
          <t>SW010</t>
        </is>
      </c>
      <c r="C6" s="33" t="inlineStr">
        <is>
          <t>Caeleb Dressel</t>
        </is>
      </c>
      <c r="D6" s="33" t="inlineStr">
        <is>
          <t>SwimCloud</t>
        </is>
      </c>
      <c r="E6" s="33" t="inlineStr">
        <is>
          <t>2361642</t>
        </is>
      </c>
      <c r="F6" s="33" t="inlineStr">
        <is>
          <t>86946527</t>
        </is>
      </c>
      <c r="G6" s="51" t="n">
        <v>38492</v>
      </c>
      <c r="H6" s="33" t="inlineStr">
        <is>
          <t>2005 MARLIN MAY MEET</t>
        </is>
      </c>
      <c r="I6" s="33" t="inlineStr">
        <is>
          <t>250113</t>
        </is>
      </c>
      <c r="J6" s="33" t="inlineStr"/>
      <c r="K6" s="33" t="inlineStr">
        <is>
          <t>TIM</t>
        </is>
      </c>
      <c r="L6" s="35">
        <f>IF(K6="FIN",3,IF(OR(K6="SEM",K6="SEMI"),2,IF(OR(K6="PRE",K6="HEAT"),1,IF(V6="YES",4,2))))</f>
        <v/>
      </c>
      <c r="M6" s="33" t="inlineStr">
        <is>
          <t>LCM</t>
        </is>
      </c>
      <c r="N6" s="33" t="n">
        <v>100</v>
      </c>
      <c r="O6" s="33" t="inlineStr">
        <is>
          <t>Free</t>
        </is>
      </c>
      <c r="P6" s="33" t="inlineStr">
        <is>
          <t>100 Free</t>
        </is>
      </c>
      <c r="Q6" s="33" t="inlineStr">
        <is>
          <t>LCM_100_FREE</t>
        </is>
      </c>
      <c r="R6" s="36" t="n">
        <v>78.48999999999999</v>
      </c>
      <c r="S6" s="35">
        <f>IF(R6="","",IF(R6&gt;=60,INT(R6/60)&amp;":"&amp;TEXT(MOD(R6,60),"00.00"),TEXT(R6,"0.00")))</f>
        <v/>
      </c>
      <c r="T6" s="52">
        <f>IFERROR((G6-INDEX('01_Swimmers'!$E$5:$E$22,MATCH(B6,'01_Swimmers'!$A$5:$A$22,0)))/'00_Control'!$B$10,"")</f>
        <v/>
      </c>
      <c r="U6" s="35">
        <f>IF(T6="","",INT(T6))</f>
        <v/>
      </c>
      <c r="V6" s="33" t="inlineStr">
        <is>
          <t>NO</t>
        </is>
      </c>
      <c r="W6" s="33" t="inlineStr">
        <is>
          <t>YES</t>
        </is>
      </c>
      <c r="X6" s="33" t="inlineStr">
        <is>
          <t>NO</t>
        </is>
      </c>
      <c r="Y6" s="33" t="n">
        <v>2</v>
      </c>
      <c r="Z6" s="33" t="n">
        <v>8</v>
      </c>
      <c r="AA6" s="33" t="inlineStr">
        <is>
          <t>1</t>
        </is>
      </c>
      <c r="AB6" s="33" t="inlineStr">
        <is>
          <t>https://www.swimcloud.com/results/250113/event/6/?id=86946527#time86946527</t>
        </is>
      </c>
      <c r="AC6" s="33" t="inlineStr">
        <is>
          <t>SwimCloud API v6 2026-10-08</t>
        </is>
      </c>
      <c r="AD6" s="33" t="inlineStr">
        <is>
          <t>Caeleb Dressel|2005-05-20|LCM|100|Free|78.49|2005 MARLIN MAY MEET|TIM|False</t>
        </is>
      </c>
      <c r="AE6" s="53">
        <f>G6+L6/1000+ROW()/1000000000</f>
        <v/>
      </c>
      <c r="AF6" s="35">
        <f>IF(C6&lt;&gt;"Grayson Coulter","",COUNTIFS($C$5:$C$2991,"Grayson Coulter",$Q$5:$Q$2991,Q6,$AE$5:$AE$2991,"&lt;="&amp;AE6,$R$5:$R$2991,"&lt;"&amp;R6))</f>
        <v/>
      </c>
      <c r="AG6" s="35">
        <f>IF(OR(C6&lt;&gt;"Grayson Coulter",G6&lt;'00_Control'!$B$7),"",--(AF6&lt;5))</f>
        <v/>
      </c>
      <c r="AH6" s="35">
        <f>IF(OR(C6&lt;&gt;"Grayson Coulter",G6&lt;'00_Control'!$B$7),"",--(AF6&lt;10))</f>
        <v/>
      </c>
      <c r="AI6" s="35">
        <f>IF(AND(C6="Grayson Coulter",G6&gt;='00_Control'!$B$7),"YES","NO")</f>
        <v/>
      </c>
      <c r="AJ6" s="33" t="inlineStr">
        <is>
          <t>OK</t>
        </is>
      </c>
    </row>
    <row r="7">
      <c r="A7" s="33" t="inlineStr">
        <is>
          <t>SM000003</t>
        </is>
      </c>
      <c r="B7" s="33" t="inlineStr">
        <is>
          <t>SW010</t>
        </is>
      </c>
      <c r="C7" s="33" t="inlineStr">
        <is>
          <t>Caeleb Dressel</t>
        </is>
      </c>
      <c r="D7" s="33" t="inlineStr">
        <is>
          <t>SwimCloud</t>
        </is>
      </c>
      <c r="E7" s="33" t="inlineStr">
        <is>
          <t>2361642</t>
        </is>
      </c>
      <c r="F7" s="33" t="inlineStr">
        <is>
          <t>86926540</t>
        </is>
      </c>
      <c r="G7" s="51" t="n">
        <v>38512</v>
      </c>
      <c r="H7" s="33" t="inlineStr">
        <is>
          <t>Daytona Beach Swimming 2005 Su</t>
        </is>
      </c>
      <c r="I7" s="33" t="inlineStr">
        <is>
          <t>250102</t>
        </is>
      </c>
      <c r="J7" s="33" t="inlineStr"/>
      <c r="K7" s="33" t="inlineStr">
        <is>
          <t>TIM</t>
        </is>
      </c>
      <c r="L7" s="35">
        <f>IF(K7="FIN",3,IF(OR(K7="SEM",K7="SEMI"),2,IF(OR(K7="PRE",K7="HEAT"),1,IF(V7="YES",4,2))))</f>
        <v/>
      </c>
      <c r="M7" s="33" t="inlineStr">
        <is>
          <t>LCM</t>
        </is>
      </c>
      <c r="N7" s="33" t="n">
        <v>100</v>
      </c>
      <c r="O7" s="33" t="inlineStr">
        <is>
          <t>Free</t>
        </is>
      </c>
      <c r="P7" s="33" t="inlineStr">
        <is>
          <t>100 Free</t>
        </is>
      </c>
      <c r="Q7" s="33" t="inlineStr">
        <is>
          <t>LCM_100_FREE</t>
        </is>
      </c>
      <c r="R7" s="36" t="n">
        <v>81.26000000000001</v>
      </c>
      <c r="S7" s="35">
        <f>IF(R7="","",IF(R7&gt;=60,INT(R7/60)&amp;":"&amp;TEXT(MOD(R7,60),"00.00"),TEXT(R7,"0.00")))</f>
        <v/>
      </c>
      <c r="T7" s="52">
        <f>IFERROR((G7-INDEX('01_Swimmers'!$E$5:$E$22,MATCH(B7,'01_Swimmers'!$A$5:$A$22,0)))/'00_Control'!$B$10,"")</f>
        <v/>
      </c>
      <c r="U7" s="35">
        <f>IF(T7="","",INT(T7))</f>
        <v/>
      </c>
      <c r="V7" s="33" t="inlineStr">
        <is>
          <t>NO</t>
        </is>
      </c>
      <c r="W7" s="33" t="inlineStr">
        <is>
          <t>YES</t>
        </is>
      </c>
      <c r="X7" s="33" t="inlineStr">
        <is>
          <t>NO</t>
        </is>
      </c>
      <c r="Y7" s="33" t="n">
        <v>1</v>
      </c>
      <c r="Z7" s="33" t="n">
        <v>2</v>
      </c>
      <c r="AA7" s="33" t="inlineStr">
        <is>
          <t>8</t>
        </is>
      </c>
      <c r="AB7" s="33" t="inlineStr">
        <is>
          <t>https://www.swimcloud.com/results/250102/event/112/?id=86926540#time86926540</t>
        </is>
      </c>
      <c r="AC7" s="33" t="inlineStr">
        <is>
          <t>SwimCloud API v6 2026-10-08</t>
        </is>
      </c>
      <c r="AD7" s="33" t="inlineStr">
        <is>
          <t>Caeleb Dressel|2005-06-09|LCM|100|Free|81.26|Daytona Beach Swimming 2005 Su|TIM|False</t>
        </is>
      </c>
      <c r="AE7" s="53">
        <f>G7+L7/1000+ROW()/1000000000</f>
        <v/>
      </c>
      <c r="AF7" s="35">
        <f>IF(C7&lt;&gt;"Grayson Coulter","",COUNTIFS($C$5:$C$2991,"Grayson Coulter",$Q$5:$Q$2991,Q7,$AE$5:$AE$2991,"&lt;="&amp;AE7,$R$5:$R$2991,"&lt;"&amp;R7))</f>
        <v/>
      </c>
      <c r="AG7" s="35">
        <f>IF(OR(C7&lt;&gt;"Grayson Coulter",G7&lt;'00_Control'!$B$7),"",--(AF7&lt;5))</f>
        <v/>
      </c>
      <c r="AH7" s="35">
        <f>IF(OR(C7&lt;&gt;"Grayson Coulter",G7&lt;'00_Control'!$B$7),"",--(AF7&lt;10))</f>
        <v/>
      </c>
      <c r="AI7" s="35">
        <f>IF(AND(C7="Grayson Coulter",G7&gt;='00_Control'!$B$7),"YES","NO")</f>
        <v/>
      </c>
      <c r="AJ7" s="33" t="inlineStr">
        <is>
          <t>OK</t>
        </is>
      </c>
    </row>
    <row r="8">
      <c r="A8" s="33" t="inlineStr">
        <is>
          <t>SM000004</t>
        </is>
      </c>
      <c r="B8" s="33" t="inlineStr">
        <is>
          <t>SW010</t>
        </is>
      </c>
      <c r="C8" s="33" t="inlineStr">
        <is>
          <t>Caeleb Dressel</t>
        </is>
      </c>
      <c r="D8" s="33" t="inlineStr">
        <is>
          <t>SwimCloud</t>
        </is>
      </c>
      <c r="E8" s="33" t="inlineStr">
        <is>
          <t>2361642</t>
        </is>
      </c>
      <c r="F8" s="33" t="inlineStr">
        <is>
          <t>85685937</t>
        </is>
      </c>
      <c r="G8" s="51" t="n">
        <v>38836</v>
      </c>
      <c r="H8" s="33" t="inlineStr">
        <is>
          <t>Highlander Long Course Invitat</t>
        </is>
      </c>
      <c r="I8" s="33" t="inlineStr">
        <is>
          <t>248680</t>
        </is>
      </c>
      <c r="J8" s="33" t="inlineStr"/>
      <c r="K8" s="33" t="inlineStr">
        <is>
          <t>TIM</t>
        </is>
      </c>
      <c r="L8" s="35">
        <f>IF(K8="FIN",3,IF(OR(K8="SEM",K8="SEMI"),2,IF(OR(K8="PRE",K8="HEAT"),1,IF(V8="YES",4,2))))</f>
        <v/>
      </c>
      <c r="M8" s="33" t="inlineStr">
        <is>
          <t>LCM</t>
        </is>
      </c>
      <c r="N8" s="33" t="n">
        <v>100</v>
      </c>
      <c r="O8" s="33" t="inlineStr">
        <is>
          <t>Free</t>
        </is>
      </c>
      <c r="P8" s="33" t="inlineStr">
        <is>
          <t>100 Free</t>
        </is>
      </c>
      <c r="Q8" s="33" t="inlineStr">
        <is>
          <t>LCM_100_FREE</t>
        </is>
      </c>
      <c r="R8" s="36" t="n">
        <v>70.27</v>
      </c>
      <c r="S8" s="35">
        <f>IF(R8="","",IF(R8&gt;=60,INT(R8/60)&amp;":"&amp;TEXT(MOD(R8,60),"00.00"),TEXT(R8,"0.00")))</f>
        <v/>
      </c>
      <c r="T8" s="52">
        <f>IFERROR((G8-INDEX('01_Swimmers'!$E$5:$E$22,MATCH(B8,'01_Swimmers'!$A$5:$A$22,0)))/'00_Control'!$B$10,"")</f>
        <v/>
      </c>
      <c r="U8" s="35">
        <f>IF(T8="","",INT(T8))</f>
        <v/>
      </c>
      <c r="V8" s="33" t="inlineStr">
        <is>
          <t>NO</t>
        </is>
      </c>
      <c r="W8" s="33" t="inlineStr">
        <is>
          <t>YES</t>
        </is>
      </c>
      <c r="X8" s="33" t="inlineStr">
        <is>
          <t>NO</t>
        </is>
      </c>
      <c r="Y8" s="33" t="n">
        <v>5</v>
      </c>
      <c r="Z8" s="33" t="n">
        <v>4</v>
      </c>
      <c r="AA8" s="33" t="inlineStr">
        <is>
          <t>2</t>
        </is>
      </c>
      <c r="AB8" s="33" t="inlineStr">
        <is>
          <t>https://www.swimcloud.com/results/248680/event/38/?id=85685937#time85685937</t>
        </is>
      </c>
      <c r="AC8" s="33" t="inlineStr">
        <is>
          <t>SwimCloud API v6 2026-10-08</t>
        </is>
      </c>
      <c r="AD8" s="33" t="inlineStr">
        <is>
          <t>Caeleb Dressel|2006-04-29|LCM|100|Free|70.27|Highlander Long Course Invitat|TIM|False</t>
        </is>
      </c>
      <c r="AE8" s="53">
        <f>G8+L8/1000+ROW()/1000000000</f>
        <v/>
      </c>
      <c r="AF8" s="35">
        <f>IF(C8&lt;&gt;"Grayson Coulter","",COUNTIFS($C$5:$C$2991,"Grayson Coulter",$Q$5:$Q$2991,Q8,$AE$5:$AE$2991,"&lt;="&amp;AE8,$R$5:$R$2991,"&lt;"&amp;R8))</f>
        <v/>
      </c>
      <c r="AG8" s="35">
        <f>IF(OR(C8&lt;&gt;"Grayson Coulter",G8&lt;'00_Control'!$B$7),"",--(AF8&lt;5))</f>
        <v/>
      </c>
      <c r="AH8" s="35">
        <f>IF(OR(C8&lt;&gt;"Grayson Coulter",G8&lt;'00_Control'!$B$7),"",--(AF8&lt;10))</f>
        <v/>
      </c>
      <c r="AI8" s="35">
        <f>IF(AND(C8="Grayson Coulter",G8&gt;='00_Control'!$B$7),"YES","NO")</f>
        <v/>
      </c>
      <c r="AJ8" s="33" t="inlineStr">
        <is>
          <t>OK</t>
        </is>
      </c>
    </row>
    <row r="9">
      <c r="A9" s="33" t="inlineStr">
        <is>
          <t>SM000005</t>
        </is>
      </c>
      <c r="B9" s="33" t="inlineStr">
        <is>
          <t>SW010</t>
        </is>
      </c>
      <c r="C9" s="33" t="inlineStr">
        <is>
          <t>Caeleb Dressel</t>
        </is>
      </c>
      <c r="D9" s="33" t="inlineStr">
        <is>
          <t>SwimCloud</t>
        </is>
      </c>
      <c r="E9" s="33" t="inlineStr">
        <is>
          <t>2361642</t>
        </is>
      </c>
      <c r="F9" s="33" t="inlineStr">
        <is>
          <t>85654045</t>
        </is>
      </c>
      <c r="G9" s="51" t="n">
        <v>38857</v>
      </c>
      <c r="H9" s="33" t="inlineStr">
        <is>
          <t>2006 FL Marlin May Meet</t>
        </is>
      </c>
      <c r="I9" s="33" t="inlineStr">
        <is>
          <t>248665</t>
        </is>
      </c>
      <c r="J9" s="33" t="inlineStr"/>
      <c r="K9" s="33" t="inlineStr">
        <is>
          <t>TIM</t>
        </is>
      </c>
      <c r="L9" s="35">
        <f>IF(K9="FIN",3,IF(OR(K9="SEM",K9="SEMI"),2,IF(OR(K9="PRE",K9="HEAT"),1,IF(V9="YES",4,2))))</f>
        <v/>
      </c>
      <c r="M9" s="33" t="inlineStr">
        <is>
          <t>LCM</t>
        </is>
      </c>
      <c r="N9" s="33" t="n">
        <v>100</v>
      </c>
      <c r="O9" s="33" t="inlineStr">
        <is>
          <t>Free</t>
        </is>
      </c>
      <c r="P9" s="33" t="inlineStr">
        <is>
          <t>100 Free</t>
        </is>
      </c>
      <c r="Q9" s="33" t="inlineStr">
        <is>
          <t>LCM_100_FREE</t>
        </is>
      </c>
      <c r="R9" s="36" t="n">
        <v>70.59</v>
      </c>
      <c r="S9" s="35">
        <f>IF(R9="","",IF(R9&gt;=60,INT(R9/60)&amp;":"&amp;TEXT(MOD(R9,60),"00.00"),TEXT(R9,"0.00")))</f>
        <v/>
      </c>
      <c r="T9" s="52">
        <f>IFERROR((G9-INDEX('01_Swimmers'!$E$5:$E$22,MATCH(B9,'01_Swimmers'!$A$5:$A$22,0)))/'00_Control'!$B$10,"")</f>
        <v/>
      </c>
      <c r="U9" s="35">
        <f>IF(T9="","",INT(T9))</f>
        <v/>
      </c>
      <c r="V9" s="33" t="inlineStr">
        <is>
          <t>NO</t>
        </is>
      </c>
      <c r="W9" s="33" t="inlineStr">
        <is>
          <t>YES</t>
        </is>
      </c>
      <c r="X9" s="33" t="inlineStr">
        <is>
          <t>NO</t>
        </is>
      </c>
      <c r="Y9" s="33" t="n">
        <v>4</v>
      </c>
      <c r="Z9" s="33" t="n">
        <v>4</v>
      </c>
      <c r="AA9" s="33" t="inlineStr">
        <is>
          <t>1</t>
        </is>
      </c>
      <c r="AB9" s="33" t="inlineStr">
        <is>
          <t>https://www.swimcloud.com/results/248665/event/6/?id=85654045#time85654045</t>
        </is>
      </c>
      <c r="AC9" s="33" t="inlineStr">
        <is>
          <t>SwimCloud API v6 2026-10-08</t>
        </is>
      </c>
      <c r="AD9" s="33" t="inlineStr">
        <is>
          <t>Caeleb Dressel|2006-05-20|LCM|100|Free|70.59|2006 FL Marlin May Meet|TIM|False</t>
        </is>
      </c>
      <c r="AE9" s="53">
        <f>G9+L9/1000+ROW()/1000000000</f>
        <v/>
      </c>
      <c r="AF9" s="35">
        <f>IF(C9&lt;&gt;"Grayson Coulter","",COUNTIFS($C$5:$C$2991,"Grayson Coulter",$Q$5:$Q$2991,Q9,$AE$5:$AE$2991,"&lt;="&amp;AE9,$R$5:$R$2991,"&lt;"&amp;R9))</f>
        <v/>
      </c>
      <c r="AG9" s="35">
        <f>IF(OR(C9&lt;&gt;"Grayson Coulter",G9&lt;'00_Control'!$B$7),"",--(AF9&lt;5))</f>
        <v/>
      </c>
      <c r="AH9" s="35">
        <f>IF(OR(C9&lt;&gt;"Grayson Coulter",G9&lt;'00_Control'!$B$7),"",--(AF9&lt;10))</f>
        <v/>
      </c>
      <c r="AI9" s="35">
        <f>IF(AND(C9="Grayson Coulter",G9&gt;='00_Control'!$B$7),"YES","NO")</f>
        <v/>
      </c>
      <c r="AJ9" s="33" t="inlineStr">
        <is>
          <t>OK</t>
        </is>
      </c>
    </row>
    <row r="10">
      <c r="A10" s="33" t="inlineStr">
        <is>
          <t>SM000006</t>
        </is>
      </c>
      <c r="B10" s="33" t="inlineStr">
        <is>
          <t>SW010</t>
        </is>
      </c>
      <c r="C10" s="33" t="inlineStr">
        <is>
          <t>Caeleb Dressel</t>
        </is>
      </c>
      <c r="D10" s="33" t="inlineStr">
        <is>
          <t>SwimCloud</t>
        </is>
      </c>
      <c r="E10" s="33" t="inlineStr">
        <is>
          <t>2361642</t>
        </is>
      </c>
      <c r="F10" s="33" t="inlineStr">
        <is>
          <t>85608130</t>
        </is>
      </c>
      <c r="G10" s="51" t="n">
        <v>38878</v>
      </c>
      <c r="H10" s="33" t="inlineStr">
        <is>
          <t>2006 Stonewood Invitational</t>
        </is>
      </c>
      <c r="I10" s="33" t="inlineStr">
        <is>
          <t>248614</t>
        </is>
      </c>
      <c r="J10" s="33" t="inlineStr"/>
      <c r="K10" s="33" t="inlineStr">
        <is>
          <t>TIM</t>
        </is>
      </c>
      <c r="L10" s="35">
        <f>IF(K10="FIN",3,IF(OR(K10="SEM",K10="SEMI"),2,IF(OR(K10="PRE",K10="HEAT"),1,IF(V10="YES",4,2))))</f>
        <v/>
      </c>
      <c r="M10" s="33" t="inlineStr">
        <is>
          <t>LCM</t>
        </is>
      </c>
      <c r="N10" s="33" t="n">
        <v>100</v>
      </c>
      <c r="O10" s="33" t="inlineStr">
        <is>
          <t>Fly</t>
        </is>
      </c>
      <c r="P10" s="33" t="inlineStr">
        <is>
          <t>100 Fly</t>
        </is>
      </c>
      <c r="Q10" s="33" t="inlineStr">
        <is>
          <t>LCM_100_FLY</t>
        </is>
      </c>
      <c r="R10" s="36" t="n">
        <v>79.55</v>
      </c>
      <c r="S10" s="35">
        <f>IF(R10="","",IF(R10&gt;=60,INT(R10/60)&amp;":"&amp;TEXT(MOD(R10,60),"00.00"),TEXT(R10,"0.00")))</f>
        <v/>
      </c>
      <c r="T10" s="52">
        <f>IFERROR((G10-INDEX('01_Swimmers'!$E$5:$E$22,MATCH(B10,'01_Swimmers'!$A$5:$A$22,0)))/'00_Control'!$B$10,"")</f>
        <v/>
      </c>
      <c r="U10" s="35">
        <f>IF(T10="","",INT(T10))</f>
        <v/>
      </c>
      <c r="V10" s="33" t="inlineStr">
        <is>
          <t>NO</t>
        </is>
      </c>
      <c r="W10" s="33" t="inlineStr">
        <is>
          <t>YES</t>
        </is>
      </c>
      <c r="X10" s="33" t="inlineStr">
        <is>
          <t>NO</t>
        </is>
      </c>
      <c r="Y10" s="33" t="n">
        <v>3</v>
      </c>
      <c r="Z10" s="33" t="n">
        <v>4</v>
      </c>
      <c r="AA10" s="33" t="inlineStr">
        <is>
          <t>1</t>
        </is>
      </c>
      <c r="AB10" s="33" t="inlineStr">
        <is>
          <t>https://www.swimcloud.com/results/248614/event/78/?id=85608130#time85608130</t>
        </is>
      </c>
      <c r="AC10" s="33" t="inlineStr">
        <is>
          <t>SwimCloud API v6 2026-10-08</t>
        </is>
      </c>
      <c r="AD10" s="33" t="inlineStr">
        <is>
          <t>Caeleb Dressel|2006-06-10|LCM|100|Fly|79.55|2006 Stonewood Invitational|TIM|False</t>
        </is>
      </c>
      <c r="AE10" s="53">
        <f>G10+L10/1000+ROW()/1000000000</f>
        <v/>
      </c>
      <c r="AF10" s="35">
        <f>IF(C10&lt;&gt;"Grayson Coulter","",COUNTIFS($C$5:$C$2991,"Grayson Coulter",$Q$5:$Q$2991,Q10,$AE$5:$AE$2991,"&lt;="&amp;AE10,$R$5:$R$2991,"&lt;"&amp;R10))</f>
        <v/>
      </c>
      <c r="AG10" s="35">
        <f>IF(OR(C10&lt;&gt;"Grayson Coulter",G10&lt;'00_Control'!$B$7),"",--(AF10&lt;5))</f>
        <v/>
      </c>
      <c r="AH10" s="35">
        <f>IF(OR(C10&lt;&gt;"Grayson Coulter",G10&lt;'00_Control'!$B$7),"",--(AF10&lt;10))</f>
        <v/>
      </c>
      <c r="AI10" s="35">
        <f>IF(AND(C10="Grayson Coulter",G10&gt;='00_Control'!$B$7),"YES","NO")</f>
        <v/>
      </c>
      <c r="AJ10" s="33" t="inlineStr">
        <is>
          <t>OK</t>
        </is>
      </c>
    </row>
    <row r="11">
      <c r="A11" s="33" t="inlineStr">
        <is>
          <t>SM000007</t>
        </is>
      </c>
      <c r="B11" s="33" t="inlineStr">
        <is>
          <t>SW010</t>
        </is>
      </c>
      <c r="C11" s="33" t="inlineStr">
        <is>
          <t>Caeleb Dressel</t>
        </is>
      </c>
      <c r="D11" s="33" t="inlineStr">
        <is>
          <t>SwimCloud</t>
        </is>
      </c>
      <c r="E11" s="33" t="inlineStr">
        <is>
          <t>2361642</t>
        </is>
      </c>
      <c r="F11" s="33" t="inlineStr">
        <is>
          <t>85607143</t>
        </is>
      </c>
      <c r="G11" s="51" t="n">
        <v>38878</v>
      </c>
      <c r="H11" s="33" t="inlineStr">
        <is>
          <t>2006 Stonewood Invitational</t>
        </is>
      </c>
      <c r="I11" s="33" t="inlineStr">
        <is>
          <t>248614</t>
        </is>
      </c>
      <c r="J11" s="33" t="inlineStr"/>
      <c r="K11" s="33" t="inlineStr">
        <is>
          <t>TIM</t>
        </is>
      </c>
      <c r="L11" s="35">
        <f>IF(K11="FIN",3,IF(OR(K11="SEM",K11="SEMI"),2,IF(OR(K11="PRE",K11="HEAT"),1,IF(V11="YES",4,2))))</f>
        <v/>
      </c>
      <c r="M11" s="33" t="inlineStr">
        <is>
          <t>LCM</t>
        </is>
      </c>
      <c r="N11" s="33" t="n">
        <v>100</v>
      </c>
      <c r="O11" s="33" t="inlineStr">
        <is>
          <t>Free</t>
        </is>
      </c>
      <c r="P11" s="33" t="inlineStr">
        <is>
          <t>100 Free</t>
        </is>
      </c>
      <c r="Q11" s="33" t="inlineStr">
        <is>
          <t>LCM_100_FREE</t>
        </is>
      </c>
      <c r="R11" s="36" t="n">
        <v>67.97</v>
      </c>
      <c r="S11" s="35">
        <f>IF(R11="","",IF(R11&gt;=60,INT(R11/60)&amp;":"&amp;TEXT(MOD(R11,60),"00.00"),TEXT(R11,"0.00")))</f>
        <v/>
      </c>
      <c r="T11" s="52">
        <f>IFERROR((G11-INDEX('01_Swimmers'!$E$5:$E$22,MATCH(B11,'01_Swimmers'!$A$5:$A$22,0)))/'00_Control'!$B$10,"")</f>
        <v/>
      </c>
      <c r="U11" s="35">
        <f>IF(T11="","",INT(T11))</f>
        <v/>
      </c>
      <c r="V11" s="33" t="inlineStr">
        <is>
          <t>NO</t>
        </is>
      </c>
      <c r="W11" s="33" t="inlineStr">
        <is>
          <t>YES</t>
        </is>
      </c>
      <c r="X11" s="33" t="inlineStr">
        <is>
          <t>NO</t>
        </is>
      </c>
      <c r="Y11" s="33" t="n">
        <v>6</v>
      </c>
      <c r="Z11" s="33" t="n">
        <v>4</v>
      </c>
      <c r="AA11" s="33" t="inlineStr">
        <is>
          <t>1</t>
        </is>
      </c>
      <c r="AB11" s="33" t="inlineStr">
        <is>
          <t>https://www.swimcloud.com/results/248614/event/82/?id=85607143#time85607143</t>
        </is>
      </c>
      <c r="AC11" s="33" t="inlineStr">
        <is>
          <t>SwimCloud API v6 2026-10-08</t>
        </is>
      </c>
      <c r="AD11" s="33" t="inlineStr">
        <is>
          <t>Caeleb Dressel|2006-06-10|LCM|100|Free|67.97|2006 Stonewood Invitational|TIM|False</t>
        </is>
      </c>
      <c r="AE11" s="53">
        <f>G11+L11/1000+ROW()/1000000000</f>
        <v/>
      </c>
      <c r="AF11" s="35">
        <f>IF(C11&lt;&gt;"Grayson Coulter","",COUNTIFS($C$5:$C$2991,"Grayson Coulter",$Q$5:$Q$2991,Q11,$AE$5:$AE$2991,"&lt;="&amp;AE11,$R$5:$R$2991,"&lt;"&amp;R11))</f>
        <v/>
      </c>
      <c r="AG11" s="35">
        <f>IF(OR(C11&lt;&gt;"Grayson Coulter",G11&lt;'00_Control'!$B$7),"",--(AF11&lt;5))</f>
        <v/>
      </c>
      <c r="AH11" s="35">
        <f>IF(OR(C11&lt;&gt;"Grayson Coulter",G11&lt;'00_Control'!$B$7),"",--(AF11&lt;10))</f>
        <v/>
      </c>
      <c r="AI11" s="35">
        <f>IF(AND(C11="Grayson Coulter",G11&gt;='00_Control'!$B$7),"YES","NO")</f>
        <v/>
      </c>
      <c r="AJ11" s="33" t="inlineStr">
        <is>
          <t>OK</t>
        </is>
      </c>
    </row>
    <row r="12">
      <c r="A12" s="33" t="inlineStr">
        <is>
          <t>SM000008</t>
        </is>
      </c>
      <c r="B12" s="33" t="inlineStr">
        <is>
          <t>SW010</t>
        </is>
      </c>
      <c r="C12" s="33" t="inlineStr">
        <is>
          <t>Caeleb Dressel</t>
        </is>
      </c>
      <c r="D12" s="33" t="inlineStr">
        <is>
          <t>SwimCloud</t>
        </is>
      </c>
      <c r="E12" s="33" t="inlineStr">
        <is>
          <t>2361642</t>
        </is>
      </c>
      <c r="F12" s="33" t="inlineStr">
        <is>
          <t>85544054</t>
        </is>
      </c>
      <c r="G12" s="51" t="n">
        <v>38897</v>
      </c>
      <c r="H12" s="33" t="inlineStr">
        <is>
          <t>Speedo Summer Classic LC Invit</t>
        </is>
      </c>
      <c r="I12" s="33" t="inlineStr">
        <is>
          <t>248588</t>
        </is>
      </c>
      <c r="J12" s="33" t="inlineStr"/>
      <c r="K12" s="33" t="inlineStr">
        <is>
          <t>TIM</t>
        </is>
      </c>
      <c r="L12" s="35">
        <f>IF(K12="FIN",3,IF(OR(K12="SEM",K12="SEMI"),2,IF(OR(K12="PRE",K12="HEAT"),1,IF(V12="YES",4,2))))</f>
        <v/>
      </c>
      <c r="M12" s="33" t="inlineStr">
        <is>
          <t>LCM</t>
        </is>
      </c>
      <c r="N12" s="33" t="n">
        <v>400</v>
      </c>
      <c r="O12" s="33" t="inlineStr">
        <is>
          <t>Free</t>
        </is>
      </c>
      <c r="P12" s="33" t="inlineStr">
        <is>
          <t>400 Free</t>
        </is>
      </c>
      <c r="Q12" s="33" t="inlineStr">
        <is>
          <t>LCM_400_FREE</t>
        </is>
      </c>
      <c r="R12" s="36" t="n">
        <v>318.65</v>
      </c>
      <c r="S12" s="35">
        <f>IF(R12="","",IF(R12&gt;=60,INT(R12/60)&amp;":"&amp;TEXT(MOD(R12,60),"00.00"),TEXT(R12,"0.00")))</f>
        <v/>
      </c>
      <c r="T12" s="52">
        <f>IFERROR((G12-INDEX('01_Swimmers'!$E$5:$E$22,MATCH(B12,'01_Swimmers'!$A$5:$A$22,0)))/'00_Control'!$B$10,"")</f>
        <v/>
      </c>
      <c r="U12" s="35">
        <f>IF(T12="","",INT(T12))</f>
        <v/>
      </c>
      <c r="V12" s="33" t="inlineStr">
        <is>
          <t>NO</t>
        </is>
      </c>
      <c r="W12" s="33" t="inlineStr">
        <is>
          <t>YES</t>
        </is>
      </c>
      <c r="X12" s="33" t="inlineStr">
        <is>
          <t>NO</t>
        </is>
      </c>
      <c r="Y12" s="33" t="n">
        <v>1</v>
      </c>
      <c r="Z12" s="33" t="n">
        <v>6</v>
      </c>
      <c r="AA12" s="33" t="inlineStr">
        <is>
          <t>1</t>
        </is>
      </c>
      <c r="AB12" s="33" t="inlineStr">
        <is>
          <t>https://www.swimcloud.com/results/248588/event/2/?id=85544054#time85544054</t>
        </is>
      </c>
      <c r="AC12" s="33" t="inlineStr">
        <is>
          <t>SwimCloud API v6 2026-10-08</t>
        </is>
      </c>
      <c r="AD12" s="33" t="inlineStr">
        <is>
          <t>Caeleb Dressel|2006-06-29|LCM|400|Free|318.65|Speedo Summer Classic LC Invit|TIM|False</t>
        </is>
      </c>
      <c r="AE12" s="53">
        <f>G12+L12/1000+ROW()/1000000000</f>
        <v/>
      </c>
      <c r="AF12" s="35">
        <f>IF(C12&lt;&gt;"Grayson Coulter","",COUNTIFS($C$5:$C$2991,"Grayson Coulter",$Q$5:$Q$2991,Q12,$AE$5:$AE$2991,"&lt;="&amp;AE12,$R$5:$R$2991,"&lt;"&amp;R12))</f>
        <v/>
      </c>
      <c r="AG12" s="35">
        <f>IF(OR(C12&lt;&gt;"Grayson Coulter",G12&lt;'00_Control'!$B$7),"",--(AF12&lt;5))</f>
        <v/>
      </c>
      <c r="AH12" s="35">
        <f>IF(OR(C12&lt;&gt;"Grayson Coulter",G12&lt;'00_Control'!$B$7),"",--(AF12&lt;10))</f>
        <v/>
      </c>
      <c r="AI12" s="35">
        <f>IF(AND(C12="Grayson Coulter",G12&gt;='00_Control'!$B$7),"YES","NO")</f>
        <v/>
      </c>
      <c r="AJ12" s="33" t="inlineStr">
        <is>
          <t>OK</t>
        </is>
      </c>
    </row>
    <row r="13">
      <c r="A13" s="33" t="inlineStr">
        <is>
          <t>SM000009</t>
        </is>
      </c>
      <c r="B13" s="33" t="inlineStr">
        <is>
          <t>SW010</t>
        </is>
      </c>
      <c r="C13" s="33" t="inlineStr">
        <is>
          <t>Caeleb Dressel</t>
        </is>
      </c>
      <c r="D13" s="33" t="inlineStr">
        <is>
          <t>SwimCloud</t>
        </is>
      </c>
      <c r="E13" s="33" t="inlineStr">
        <is>
          <t>2361642</t>
        </is>
      </c>
      <c r="F13" s="33" t="inlineStr">
        <is>
          <t>85543634</t>
        </is>
      </c>
      <c r="G13" s="51" t="n">
        <v>38898</v>
      </c>
      <c r="H13" s="33" t="inlineStr">
        <is>
          <t>Speedo Summer Classic LC Invit</t>
        </is>
      </c>
      <c r="I13" s="33" t="inlineStr">
        <is>
          <t>248588</t>
        </is>
      </c>
      <c r="J13" s="33" t="inlineStr"/>
      <c r="K13" s="33" t="inlineStr">
        <is>
          <t>TIM</t>
        </is>
      </c>
      <c r="L13" s="35">
        <f>IF(K13="FIN",3,IF(OR(K13="SEM",K13="SEMI"),2,IF(OR(K13="PRE",K13="HEAT"),1,IF(V13="YES",4,2))))</f>
        <v/>
      </c>
      <c r="M13" s="33" t="inlineStr">
        <is>
          <t>LCM</t>
        </is>
      </c>
      <c r="N13" s="33" t="n">
        <v>200</v>
      </c>
      <c r="O13" s="33" t="inlineStr">
        <is>
          <t>Free</t>
        </is>
      </c>
      <c r="P13" s="33" t="inlineStr">
        <is>
          <t>200 Free</t>
        </is>
      </c>
      <c r="Q13" s="33" t="inlineStr">
        <is>
          <t>LCM_200_FREE</t>
        </is>
      </c>
      <c r="R13" s="36" t="n">
        <v>150.46</v>
      </c>
      <c r="S13" s="35">
        <f>IF(R13="","",IF(R13&gt;=60,INT(R13/60)&amp;":"&amp;TEXT(MOD(R13,60),"00.00"),TEXT(R13,"0.00")))</f>
        <v/>
      </c>
      <c r="T13" s="52">
        <f>IFERROR((G13-INDEX('01_Swimmers'!$E$5:$E$22,MATCH(B13,'01_Swimmers'!$A$5:$A$22,0)))/'00_Control'!$B$10,"")</f>
        <v/>
      </c>
      <c r="U13" s="35">
        <f>IF(T13="","",INT(T13))</f>
        <v/>
      </c>
      <c r="V13" s="33" t="inlineStr">
        <is>
          <t>NO</t>
        </is>
      </c>
      <c r="W13" s="33" t="inlineStr">
        <is>
          <t>YES</t>
        </is>
      </c>
      <c r="X13" s="33" t="inlineStr">
        <is>
          <t>NO</t>
        </is>
      </c>
      <c r="Y13" s="33" t="n">
        <v>2</v>
      </c>
      <c r="Z13" s="33" t="n">
        <v>4</v>
      </c>
      <c r="AA13" s="33" t="inlineStr">
        <is>
          <t>1</t>
        </is>
      </c>
      <c r="AB13" s="33" t="inlineStr">
        <is>
          <t>https://www.swimcloud.com/results/248588/event/34/?id=85543634#time85543634</t>
        </is>
      </c>
      <c r="AC13" s="33" t="inlineStr">
        <is>
          <t>SwimCloud API v6 2026-10-08</t>
        </is>
      </c>
      <c r="AD13" s="33" t="inlineStr">
        <is>
          <t>Caeleb Dressel|2006-06-30|LCM|200|Free|150.46|Speedo Summer Classic LC Invit|TIM|False</t>
        </is>
      </c>
      <c r="AE13" s="53">
        <f>G13+L13/1000+ROW()/1000000000</f>
        <v/>
      </c>
      <c r="AF13" s="35">
        <f>IF(C13&lt;&gt;"Grayson Coulter","",COUNTIFS($C$5:$C$2991,"Grayson Coulter",$Q$5:$Q$2991,Q13,$AE$5:$AE$2991,"&lt;="&amp;AE13,$R$5:$R$2991,"&lt;"&amp;R13))</f>
        <v/>
      </c>
      <c r="AG13" s="35">
        <f>IF(OR(C13&lt;&gt;"Grayson Coulter",G13&lt;'00_Control'!$B$7),"",--(AF13&lt;5))</f>
        <v/>
      </c>
      <c r="AH13" s="35">
        <f>IF(OR(C13&lt;&gt;"Grayson Coulter",G13&lt;'00_Control'!$B$7),"",--(AF13&lt;10))</f>
        <v/>
      </c>
      <c r="AI13" s="35">
        <f>IF(AND(C13="Grayson Coulter",G13&gt;='00_Control'!$B$7),"YES","NO")</f>
        <v/>
      </c>
      <c r="AJ13" s="33" t="inlineStr">
        <is>
          <t>OK</t>
        </is>
      </c>
    </row>
    <row r="14">
      <c r="A14" s="33" t="inlineStr">
        <is>
          <t>SM000010</t>
        </is>
      </c>
      <c r="B14" s="33" t="inlineStr">
        <is>
          <t>SW010</t>
        </is>
      </c>
      <c r="C14" s="33" t="inlineStr">
        <is>
          <t>Caeleb Dressel</t>
        </is>
      </c>
      <c r="D14" s="33" t="inlineStr">
        <is>
          <t>SwimCloud</t>
        </is>
      </c>
      <c r="E14" s="33" t="inlineStr">
        <is>
          <t>2361642</t>
        </is>
      </c>
      <c r="F14" s="33" t="inlineStr">
        <is>
          <t>85435502</t>
        </is>
      </c>
      <c r="G14" s="51" t="n">
        <v>38918</v>
      </c>
      <c r="H14" s="33" t="inlineStr">
        <is>
          <t>2006 LC JO Championships</t>
        </is>
      </c>
      <c r="I14" s="33" t="inlineStr">
        <is>
          <t>248449</t>
        </is>
      </c>
      <c r="J14" s="33" t="inlineStr"/>
      <c r="K14" s="33" t="inlineStr">
        <is>
          <t>TIM</t>
        </is>
      </c>
      <c r="L14" s="35">
        <f>IF(K14="FIN",3,IF(OR(K14="SEM",K14="SEMI"),2,IF(OR(K14="PRE",K14="HEAT"),1,IF(V14="YES",4,2))))</f>
        <v/>
      </c>
      <c r="M14" s="33" t="inlineStr">
        <is>
          <t>LCM</t>
        </is>
      </c>
      <c r="N14" s="33" t="n">
        <v>400</v>
      </c>
      <c r="O14" s="33" t="inlineStr">
        <is>
          <t>Free</t>
        </is>
      </c>
      <c r="P14" s="33" t="inlineStr">
        <is>
          <t>400 Free</t>
        </is>
      </c>
      <c r="Q14" s="33" t="inlineStr">
        <is>
          <t>LCM_400_FREE</t>
        </is>
      </c>
      <c r="R14" s="36" t="n">
        <v>316.79</v>
      </c>
      <c r="S14" s="35">
        <f>IF(R14="","",IF(R14&gt;=60,INT(R14/60)&amp;":"&amp;TEXT(MOD(R14,60),"00.00"),TEXT(R14,"0.00")))</f>
        <v/>
      </c>
      <c r="T14" s="52">
        <f>IFERROR((G14-INDEX('01_Swimmers'!$E$5:$E$22,MATCH(B14,'01_Swimmers'!$A$5:$A$22,0)))/'00_Control'!$B$10,"")</f>
        <v/>
      </c>
      <c r="U14" s="35">
        <f>IF(T14="","",INT(T14))</f>
        <v/>
      </c>
      <c r="V14" s="33" t="inlineStr">
        <is>
          <t>NO</t>
        </is>
      </c>
      <c r="W14" s="33" t="inlineStr">
        <is>
          <t>YES</t>
        </is>
      </c>
      <c r="X14" s="33" t="inlineStr">
        <is>
          <t>NO</t>
        </is>
      </c>
      <c r="Y14" s="33" t="n">
        <v>1</v>
      </c>
      <c r="Z14" s="33" t="n">
        <v>2</v>
      </c>
      <c r="AA14" s="33" t="inlineStr">
        <is>
          <t>8</t>
        </is>
      </c>
      <c r="AB14" s="33" t="inlineStr">
        <is>
          <t>https://www.swimcloud.com/results/248449/event/2/?id=85435502#time85435502</t>
        </is>
      </c>
      <c r="AC14" s="33" t="inlineStr">
        <is>
          <t>SwimCloud API v6 2026-10-08</t>
        </is>
      </c>
      <c r="AD14" s="33" t="inlineStr">
        <is>
          <t>Caeleb Dressel|2006-07-20|LCM|400|Free|316.79|2006 LC JO Championships|TIM|False</t>
        </is>
      </c>
      <c r="AE14" s="53">
        <f>G14+L14/1000+ROW()/1000000000</f>
        <v/>
      </c>
      <c r="AF14" s="35">
        <f>IF(C14&lt;&gt;"Grayson Coulter","",COUNTIFS($C$5:$C$2991,"Grayson Coulter",$Q$5:$Q$2991,Q14,$AE$5:$AE$2991,"&lt;="&amp;AE14,$R$5:$R$2991,"&lt;"&amp;R14))</f>
        <v/>
      </c>
      <c r="AG14" s="35">
        <f>IF(OR(C14&lt;&gt;"Grayson Coulter",G14&lt;'00_Control'!$B$7),"",--(AF14&lt;5))</f>
        <v/>
      </c>
      <c r="AH14" s="35">
        <f>IF(OR(C14&lt;&gt;"Grayson Coulter",G14&lt;'00_Control'!$B$7),"",--(AF14&lt;10))</f>
        <v/>
      </c>
      <c r="AI14" s="35">
        <f>IF(AND(C14="Grayson Coulter",G14&gt;='00_Control'!$B$7),"YES","NO")</f>
        <v/>
      </c>
      <c r="AJ14" s="33" t="inlineStr">
        <is>
          <t>OK</t>
        </is>
      </c>
    </row>
    <row r="15">
      <c r="A15" s="33" t="inlineStr">
        <is>
          <t>SM000011</t>
        </is>
      </c>
      <c r="B15" s="33" t="inlineStr">
        <is>
          <t>SW010</t>
        </is>
      </c>
      <c r="C15" s="33" t="inlineStr">
        <is>
          <t>Caeleb Dressel</t>
        </is>
      </c>
      <c r="D15" s="33" t="inlineStr">
        <is>
          <t>SwimCloud</t>
        </is>
      </c>
      <c r="E15" s="33" t="inlineStr">
        <is>
          <t>2361642</t>
        </is>
      </c>
      <c r="F15" s="33" t="inlineStr">
        <is>
          <t>85435532</t>
        </is>
      </c>
      <c r="G15" s="51" t="n">
        <v>38919</v>
      </c>
      <c r="H15" s="33" t="inlineStr">
        <is>
          <t>2006 LC JO Championships</t>
        </is>
      </c>
      <c r="I15" s="33" t="inlineStr">
        <is>
          <t>248449</t>
        </is>
      </c>
      <c r="J15" s="33" t="inlineStr"/>
      <c r="K15" s="33" t="inlineStr">
        <is>
          <t>TIM</t>
        </is>
      </c>
      <c r="L15" s="35">
        <f>IF(K15="FIN",3,IF(OR(K15="SEM",K15="SEMI"),2,IF(OR(K15="PRE",K15="HEAT"),1,IF(V15="YES",4,2))))</f>
        <v/>
      </c>
      <c r="M15" s="33" t="inlineStr">
        <is>
          <t>LCM</t>
        </is>
      </c>
      <c r="N15" s="33" t="n">
        <v>200</v>
      </c>
      <c r="O15" s="33" t="inlineStr">
        <is>
          <t>Free</t>
        </is>
      </c>
      <c r="P15" s="33" t="inlineStr">
        <is>
          <t>200 Free</t>
        </is>
      </c>
      <c r="Q15" s="33" t="inlineStr">
        <is>
          <t>LCM_200_FREE</t>
        </is>
      </c>
      <c r="R15" s="36" t="n">
        <v>147.05</v>
      </c>
      <c r="S15" s="35">
        <f>IF(R15="","",IF(R15&gt;=60,INT(R15/60)&amp;":"&amp;TEXT(MOD(R15,60),"00.00"),TEXT(R15,"0.00")))</f>
        <v/>
      </c>
      <c r="T15" s="52">
        <f>IFERROR((G15-INDEX('01_Swimmers'!$E$5:$E$22,MATCH(B15,'01_Swimmers'!$A$5:$A$22,0)))/'00_Control'!$B$10,"")</f>
        <v/>
      </c>
      <c r="U15" s="35">
        <f>IF(T15="","",INT(T15))</f>
        <v/>
      </c>
      <c r="V15" s="33" t="inlineStr">
        <is>
          <t>NO</t>
        </is>
      </c>
      <c r="W15" s="33" t="inlineStr">
        <is>
          <t>YES</t>
        </is>
      </c>
      <c r="X15" s="33" t="inlineStr">
        <is>
          <t>NO</t>
        </is>
      </c>
      <c r="Y15" s="33" t="n">
        <v>5</v>
      </c>
      <c r="Z15" s="33" t="n">
        <v>2</v>
      </c>
      <c r="AA15" s="33" t="inlineStr">
        <is>
          <t>5</t>
        </is>
      </c>
      <c r="AB15" s="33" t="inlineStr">
        <is>
          <t>https://www.swimcloud.com/results/248449/event/18/?id=85435532#time85435532</t>
        </is>
      </c>
      <c r="AC15" s="33" t="inlineStr">
        <is>
          <t>SwimCloud API v6 2026-10-08</t>
        </is>
      </c>
      <c r="AD15" s="33" t="inlineStr">
        <is>
          <t>Caeleb Dressel|2006-07-21|LCM|200|Free|147.05|2006 LC JO Championships|TIM|False</t>
        </is>
      </c>
      <c r="AE15" s="53">
        <f>G15+L15/1000+ROW()/1000000000</f>
        <v/>
      </c>
      <c r="AF15" s="35">
        <f>IF(C15&lt;&gt;"Grayson Coulter","",COUNTIFS($C$5:$C$2991,"Grayson Coulter",$Q$5:$Q$2991,Q15,$AE$5:$AE$2991,"&lt;="&amp;AE15,$R$5:$R$2991,"&lt;"&amp;R15))</f>
        <v/>
      </c>
      <c r="AG15" s="35">
        <f>IF(OR(C15&lt;&gt;"Grayson Coulter",G15&lt;'00_Control'!$B$7),"",--(AF15&lt;5))</f>
        <v/>
      </c>
      <c r="AH15" s="35">
        <f>IF(OR(C15&lt;&gt;"Grayson Coulter",G15&lt;'00_Control'!$B$7),"",--(AF15&lt;10))</f>
        <v/>
      </c>
      <c r="AI15" s="35">
        <f>IF(AND(C15="Grayson Coulter",G15&gt;='00_Control'!$B$7),"YES","NO")</f>
        <v/>
      </c>
      <c r="AJ15" s="33" t="inlineStr">
        <is>
          <t>OK</t>
        </is>
      </c>
    </row>
    <row r="16">
      <c r="A16" s="33" t="inlineStr">
        <is>
          <t>SM000012</t>
        </is>
      </c>
      <c r="B16" s="33" t="inlineStr">
        <is>
          <t>SW010</t>
        </is>
      </c>
      <c r="C16" s="33" t="inlineStr">
        <is>
          <t>Caeleb Dressel</t>
        </is>
      </c>
      <c r="D16" s="33" t="inlineStr">
        <is>
          <t>SwimCloud</t>
        </is>
      </c>
      <c r="E16" s="33" t="inlineStr">
        <is>
          <t>2361642</t>
        </is>
      </c>
      <c r="F16" s="33" t="inlineStr">
        <is>
          <t>85435649</t>
        </is>
      </c>
      <c r="G16" s="51" t="n">
        <v>38921</v>
      </c>
      <c r="H16" s="33" t="inlineStr">
        <is>
          <t>2006 LC JO Championships</t>
        </is>
      </c>
      <c r="I16" s="33" t="inlineStr">
        <is>
          <t>248449</t>
        </is>
      </c>
      <c r="J16" s="33" t="inlineStr"/>
      <c r="K16" s="33" t="inlineStr">
        <is>
          <t>TIM</t>
        </is>
      </c>
      <c r="L16" s="35">
        <f>IF(K16="FIN",3,IF(OR(K16="SEM",K16="SEMI"),2,IF(OR(K16="PRE",K16="HEAT"),1,IF(V16="YES",4,2))))</f>
        <v/>
      </c>
      <c r="M16" s="33" t="inlineStr">
        <is>
          <t>LCM</t>
        </is>
      </c>
      <c r="N16" s="33" t="n">
        <v>100</v>
      </c>
      <c r="O16" s="33" t="inlineStr">
        <is>
          <t>Free</t>
        </is>
      </c>
      <c r="P16" s="33" t="inlineStr">
        <is>
          <t>100 Free</t>
        </is>
      </c>
      <c r="Q16" s="33" t="inlineStr">
        <is>
          <t>LCM_100_FREE</t>
        </is>
      </c>
      <c r="R16" s="36" t="n">
        <v>66.81999999999999</v>
      </c>
      <c r="S16" s="35">
        <f>IF(R16="","",IF(R16&gt;=60,INT(R16/60)&amp;":"&amp;TEXT(MOD(R16,60),"00.00"),TEXT(R16,"0.00")))</f>
        <v/>
      </c>
      <c r="T16" s="52">
        <f>IFERROR((G16-INDEX('01_Swimmers'!$E$5:$E$22,MATCH(B16,'01_Swimmers'!$A$5:$A$22,0)))/'00_Control'!$B$10,"")</f>
        <v/>
      </c>
      <c r="U16" s="35">
        <f>IF(T16="","",INT(T16))</f>
        <v/>
      </c>
      <c r="V16" s="33" t="inlineStr">
        <is>
          <t>NO</t>
        </is>
      </c>
      <c r="W16" s="33" t="inlineStr">
        <is>
          <t>YES</t>
        </is>
      </c>
      <c r="X16" s="33" t="inlineStr">
        <is>
          <t>NO</t>
        </is>
      </c>
      <c r="Y16" s="33" t="n">
        <v>5</v>
      </c>
      <c r="Z16" s="33" t="n">
        <v>3</v>
      </c>
      <c r="AA16" s="33" t="inlineStr">
        <is>
          <t>3</t>
        </is>
      </c>
      <c r="AB16" s="33" t="inlineStr">
        <is>
          <t>https://www.swimcloud.com/results/248449/event/84/?id=85435649#time85435649</t>
        </is>
      </c>
      <c r="AC16" s="33" t="inlineStr">
        <is>
          <t>SwimCloud API v6 2026-10-08</t>
        </is>
      </c>
      <c r="AD16" s="33" t="inlineStr">
        <is>
          <t>Caeleb Dressel|2006-07-23|LCM|100|Free|66.82|2006 LC JO Championships|TIM|False</t>
        </is>
      </c>
      <c r="AE16" s="53">
        <f>G16+L16/1000+ROW()/1000000000</f>
        <v/>
      </c>
      <c r="AF16" s="35">
        <f>IF(C16&lt;&gt;"Grayson Coulter","",COUNTIFS($C$5:$C$2991,"Grayson Coulter",$Q$5:$Q$2991,Q16,$AE$5:$AE$2991,"&lt;="&amp;AE16,$R$5:$R$2991,"&lt;"&amp;R16))</f>
        <v/>
      </c>
      <c r="AG16" s="35">
        <f>IF(OR(C16&lt;&gt;"Grayson Coulter",G16&lt;'00_Control'!$B$7),"",--(AF16&lt;5))</f>
        <v/>
      </c>
      <c r="AH16" s="35">
        <f>IF(OR(C16&lt;&gt;"Grayson Coulter",G16&lt;'00_Control'!$B$7),"",--(AF16&lt;10))</f>
        <v/>
      </c>
      <c r="AI16" s="35">
        <f>IF(AND(C16="Grayson Coulter",G16&gt;='00_Control'!$B$7),"YES","NO")</f>
        <v/>
      </c>
      <c r="AJ16" s="33" t="inlineStr">
        <is>
          <t>OK</t>
        </is>
      </c>
    </row>
    <row r="17">
      <c r="A17" s="33" t="inlineStr">
        <is>
          <t>SM000013</t>
        </is>
      </c>
      <c r="B17" s="33" t="inlineStr">
        <is>
          <t>SW010</t>
        </is>
      </c>
      <c r="C17" s="33" t="inlineStr">
        <is>
          <t>Caeleb Dressel</t>
        </is>
      </c>
      <c r="D17" s="33" t="inlineStr">
        <is>
          <t>SwimCloud</t>
        </is>
      </c>
      <c r="E17" s="33" t="inlineStr">
        <is>
          <t>2361642</t>
        </is>
      </c>
      <c r="F17" s="33" t="inlineStr">
        <is>
          <t>84611951</t>
        </is>
      </c>
      <c r="G17" s="51" t="n">
        <v>39200</v>
      </c>
      <c r="H17" s="33" t="inlineStr">
        <is>
          <t>2007 FL Highlander Long Course Invitat</t>
        </is>
      </c>
      <c r="I17" s="33" t="inlineStr">
        <is>
          <t>247935</t>
        </is>
      </c>
      <c r="J17" s="33" t="inlineStr"/>
      <c r="K17" s="33" t="inlineStr">
        <is>
          <t>TIM</t>
        </is>
      </c>
      <c r="L17" s="35">
        <f>IF(K17="FIN",3,IF(OR(K17="SEM",K17="SEMI"),2,IF(OR(K17="PRE",K17="HEAT"),1,IF(V17="YES",4,2))))</f>
        <v/>
      </c>
      <c r="M17" s="33" t="inlineStr">
        <is>
          <t>LCM</t>
        </is>
      </c>
      <c r="N17" s="33" t="n">
        <v>100</v>
      </c>
      <c r="O17" s="33" t="inlineStr">
        <is>
          <t>Fly</t>
        </is>
      </c>
      <c r="P17" s="33" t="inlineStr">
        <is>
          <t>100 Fly</t>
        </is>
      </c>
      <c r="Q17" s="33" t="inlineStr">
        <is>
          <t>LCM_100_FLY</t>
        </is>
      </c>
      <c r="R17" s="36" t="n">
        <v>75.86</v>
      </c>
      <c r="S17" s="35">
        <f>IF(R17="","",IF(R17&gt;=60,INT(R17/60)&amp;":"&amp;TEXT(MOD(R17,60),"00.00"),TEXT(R17,"0.00")))</f>
        <v/>
      </c>
      <c r="T17" s="52">
        <f>IFERROR((G17-INDEX('01_Swimmers'!$E$5:$E$22,MATCH(B17,'01_Swimmers'!$A$5:$A$22,0)))/'00_Control'!$B$10,"")</f>
        <v/>
      </c>
      <c r="U17" s="35">
        <f>IF(T17="","",INT(T17))</f>
        <v/>
      </c>
      <c r="V17" s="33" t="inlineStr">
        <is>
          <t>NO</t>
        </is>
      </c>
      <c r="W17" s="33" t="inlineStr">
        <is>
          <t>YES</t>
        </is>
      </c>
      <c r="X17" s="33" t="inlineStr">
        <is>
          <t>NO</t>
        </is>
      </c>
      <c r="Y17" s="33" t="n">
        <v>1</v>
      </c>
      <c r="Z17" s="33" t="n">
        <v>4</v>
      </c>
      <c r="AA17" s="33" t="inlineStr">
        <is>
          <t>1</t>
        </is>
      </c>
      <c r="AB17" s="33" t="inlineStr">
        <is>
          <t>https://www.swimcloud.com/results/247935/event/48/?id=84611951#time84611951</t>
        </is>
      </c>
      <c r="AC17" s="33" t="inlineStr">
        <is>
          <t>SwimCloud API v6 2026-10-08</t>
        </is>
      </c>
      <c r="AD17" s="33" t="inlineStr">
        <is>
          <t>Caeleb Dressel|2007-04-28|LCM|100|Fly|75.86|2007 FL Highlander Long Course Invitat|TIM|False</t>
        </is>
      </c>
      <c r="AE17" s="53">
        <f>G17+L17/1000+ROW()/1000000000</f>
        <v/>
      </c>
      <c r="AF17" s="35">
        <f>IF(C17&lt;&gt;"Grayson Coulter","",COUNTIFS($C$5:$C$2991,"Grayson Coulter",$Q$5:$Q$2991,Q17,$AE$5:$AE$2991,"&lt;="&amp;AE17,$R$5:$R$2991,"&lt;"&amp;R17))</f>
        <v/>
      </c>
      <c r="AG17" s="35">
        <f>IF(OR(C17&lt;&gt;"Grayson Coulter",G17&lt;'00_Control'!$B$7),"",--(AF17&lt;5))</f>
        <v/>
      </c>
      <c r="AH17" s="35">
        <f>IF(OR(C17&lt;&gt;"Grayson Coulter",G17&lt;'00_Control'!$B$7),"",--(AF17&lt;10))</f>
        <v/>
      </c>
      <c r="AI17" s="35">
        <f>IF(AND(C17="Grayson Coulter",G17&gt;='00_Control'!$B$7),"YES","NO")</f>
        <v/>
      </c>
      <c r="AJ17" s="33" t="inlineStr">
        <is>
          <t>OK</t>
        </is>
      </c>
    </row>
    <row r="18">
      <c r="A18" s="33" t="inlineStr">
        <is>
          <t>SM000014</t>
        </is>
      </c>
      <c r="B18" s="33" t="inlineStr">
        <is>
          <t>SW010</t>
        </is>
      </c>
      <c r="C18" s="33" t="inlineStr">
        <is>
          <t>Caeleb Dressel</t>
        </is>
      </c>
      <c r="D18" s="33" t="inlineStr">
        <is>
          <t>SwimCloud</t>
        </is>
      </c>
      <c r="E18" s="33" t="inlineStr">
        <is>
          <t>2361642</t>
        </is>
      </c>
      <c r="F18" s="33" t="inlineStr">
        <is>
          <t>84609983</t>
        </is>
      </c>
      <c r="G18" s="51" t="n">
        <v>39200</v>
      </c>
      <c r="H18" s="33" t="inlineStr">
        <is>
          <t>2007 FL Highlander Long Course Invitat</t>
        </is>
      </c>
      <c r="I18" s="33" t="inlineStr">
        <is>
          <t>247935</t>
        </is>
      </c>
      <c r="J18" s="33" t="inlineStr"/>
      <c r="K18" s="33" t="inlineStr">
        <is>
          <t>TIM</t>
        </is>
      </c>
      <c r="L18" s="35">
        <f>IF(K18="FIN",3,IF(OR(K18="SEM",K18="SEMI"),2,IF(OR(K18="PRE",K18="HEAT"),1,IF(V18="YES",4,2))))</f>
        <v/>
      </c>
      <c r="M18" s="33" t="inlineStr">
        <is>
          <t>LCM</t>
        </is>
      </c>
      <c r="N18" s="33" t="n">
        <v>100</v>
      </c>
      <c r="O18" s="33" t="inlineStr">
        <is>
          <t>Free</t>
        </is>
      </c>
      <c r="P18" s="33" t="inlineStr">
        <is>
          <t>100 Free</t>
        </is>
      </c>
      <c r="Q18" s="33" t="inlineStr">
        <is>
          <t>LCM_100_FREE</t>
        </is>
      </c>
      <c r="R18" s="36" t="n">
        <v>68.17</v>
      </c>
      <c r="S18" s="35">
        <f>IF(R18="","",IF(R18&gt;=60,INT(R18/60)&amp;":"&amp;TEXT(MOD(R18,60),"00.00"),TEXT(R18,"0.00")))</f>
        <v/>
      </c>
      <c r="T18" s="52">
        <f>IFERROR((G18-INDEX('01_Swimmers'!$E$5:$E$22,MATCH(B18,'01_Swimmers'!$A$5:$A$22,0)))/'00_Control'!$B$10,"")</f>
        <v/>
      </c>
      <c r="U18" s="35">
        <f>IF(T18="","",INT(T18))</f>
        <v/>
      </c>
      <c r="V18" s="33" t="inlineStr">
        <is>
          <t>NO</t>
        </is>
      </c>
      <c r="W18" s="33" t="inlineStr">
        <is>
          <t>YES</t>
        </is>
      </c>
      <c r="X18" s="33" t="inlineStr">
        <is>
          <t>NO</t>
        </is>
      </c>
      <c r="Y18" s="33" t="n">
        <v>5</v>
      </c>
      <c r="Z18" s="33" t="n">
        <v>4</v>
      </c>
      <c r="AA18" s="33" t="inlineStr">
        <is>
          <t>1</t>
        </is>
      </c>
      <c r="AB18" s="33" t="inlineStr">
        <is>
          <t>https://www.swimcloud.com/results/247935/event/38/?id=84609983#time84609983</t>
        </is>
      </c>
      <c r="AC18" s="33" t="inlineStr">
        <is>
          <t>SwimCloud API v6 2026-10-08</t>
        </is>
      </c>
      <c r="AD18" s="33" t="inlineStr">
        <is>
          <t>Caeleb Dressel|2007-04-28|LCM|100|Free|68.17|2007 FL Highlander Long Course Invitat|TIM|False</t>
        </is>
      </c>
      <c r="AE18" s="53">
        <f>G18+L18/1000+ROW()/1000000000</f>
        <v/>
      </c>
      <c r="AF18" s="35">
        <f>IF(C18&lt;&gt;"Grayson Coulter","",COUNTIFS($C$5:$C$2991,"Grayson Coulter",$Q$5:$Q$2991,Q18,$AE$5:$AE$2991,"&lt;="&amp;AE18,$R$5:$R$2991,"&lt;"&amp;R18))</f>
        <v/>
      </c>
      <c r="AG18" s="35">
        <f>IF(OR(C18&lt;&gt;"Grayson Coulter",G18&lt;'00_Control'!$B$7),"",--(AF18&lt;5))</f>
        <v/>
      </c>
      <c r="AH18" s="35">
        <f>IF(OR(C18&lt;&gt;"Grayson Coulter",G18&lt;'00_Control'!$B$7),"",--(AF18&lt;10))</f>
        <v/>
      </c>
      <c r="AI18" s="35">
        <f>IF(AND(C18="Grayson Coulter",G18&gt;='00_Control'!$B$7),"YES","NO")</f>
        <v/>
      </c>
      <c r="AJ18" s="33" t="inlineStr">
        <is>
          <t>OK</t>
        </is>
      </c>
    </row>
    <row r="19">
      <c r="A19" s="33" t="inlineStr">
        <is>
          <t>SM000015</t>
        </is>
      </c>
      <c r="B19" s="33" t="inlineStr">
        <is>
          <t>SW010</t>
        </is>
      </c>
      <c r="C19" s="33" t="inlineStr">
        <is>
          <t>Caeleb Dressel</t>
        </is>
      </c>
      <c r="D19" s="33" t="inlineStr">
        <is>
          <t>SwimCloud</t>
        </is>
      </c>
      <c r="E19" s="33" t="inlineStr">
        <is>
          <t>2361642</t>
        </is>
      </c>
      <c r="F19" s="33" t="inlineStr">
        <is>
          <t>84612007</t>
        </is>
      </c>
      <c r="G19" s="51" t="n">
        <v>39201</v>
      </c>
      <c r="H19" s="33" t="inlineStr">
        <is>
          <t>2007 FL Highlander Long Course Invitat</t>
        </is>
      </c>
      <c r="I19" s="33" t="inlineStr">
        <is>
          <t>247935</t>
        </is>
      </c>
      <c r="J19" s="33" t="inlineStr"/>
      <c r="K19" s="33" t="inlineStr">
        <is>
          <t>TIM</t>
        </is>
      </c>
      <c r="L19" s="35">
        <f>IF(K19="FIN",3,IF(OR(K19="SEM",K19="SEMI"),2,IF(OR(K19="PRE",K19="HEAT"),1,IF(V19="YES",4,2))))</f>
        <v/>
      </c>
      <c r="M19" s="33" t="inlineStr">
        <is>
          <t>LCM</t>
        </is>
      </c>
      <c r="N19" s="33" t="n">
        <v>200</v>
      </c>
      <c r="O19" s="33" t="inlineStr">
        <is>
          <t>Free</t>
        </is>
      </c>
      <c r="P19" s="33" t="inlineStr">
        <is>
          <t>200 Free</t>
        </is>
      </c>
      <c r="Q19" s="33" t="inlineStr">
        <is>
          <t>LCM_200_FREE</t>
        </is>
      </c>
      <c r="R19" s="36" t="n">
        <v>145.75</v>
      </c>
      <c r="S19" s="35">
        <f>IF(R19="","",IF(R19&gt;=60,INT(R19/60)&amp;":"&amp;TEXT(MOD(R19,60),"00.00"),TEXT(R19,"0.00")))</f>
        <v/>
      </c>
      <c r="T19" s="52">
        <f>IFERROR((G19-INDEX('01_Swimmers'!$E$5:$E$22,MATCH(B19,'01_Swimmers'!$A$5:$A$22,0)))/'00_Control'!$B$10,"")</f>
        <v/>
      </c>
      <c r="U19" s="35">
        <f>IF(T19="","",INT(T19))</f>
        <v/>
      </c>
      <c r="V19" s="33" t="inlineStr">
        <is>
          <t>NO</t>
        </is>
      </c>
      <c r="W19" s="33" t="inlineStr">
        <is>
          <t>YES</t>
        </is>
      </c>
      <c r="X19" s="33" t="inlineStr">
        <is>
          <t>NO</t>
        </is>
      </c>
      <c r="Y19" s="33" t="n">
        <v>2</v>
      </c>
      <c r="Z19" s="33" t="n">
        <v>4</v>
      </c>
      <c r="AA19" s="33" t="inlineStr">
        <is>
          <t>1</t>
        </is>
      </c>
      <c r="AB19" s="33" t="inlineStr">
        <is>
          <t>https://www.swimcloud.com/results/247935/event/98/?id=84612007#time84612007</t>
        </is>
      </c>
      <c r="AC19" s="33" t="inlineStr">
        <is>
          <t>SwimCloud API v6 2026-10-08</t>
        </is>
      </c>
      <c r="AD19" s="33" t="inlineStr">
        <is>
          <t>Caeleb Dressel|2007-04-29|LCM|200|Free|145.75|2007 FL Highlander Long Course Invitat|TIM|False</t>
        </is>
      </c>
      <c r="AE19" s="53">
        <f>G19+L19/1000+ROW()/1000000000</f>
        <v/>
      </c>
      <c r="AF19" s="35">
        <f>IF(C19&lt;&gt;"Grayson Coulter","",COUNTIFS($C$5:$C$2991,"Grayson Coulter",$Q$5:$Q$2991,Q19,$AE$5:$AE$2991,"&lt;="&amp;AE19,$R$5:$R$2991,"&lt;"&amp;R19))</f>
        <v/>
      </c>
      <c r="AG19" s="35">
        <f>IF(OR(C19&lt;&gt;"Grayson Coulter",G19&lt;'00_Control'!$B$7),"",--(AF19&lt;5))</f>
        <v/>
      </c>
      <c r="AH19" s="35">
        <f>IF(OR(C19&lt;&gt;"Grayson Coulter",G19&lt;'00_Control'!$B$7),"",--(AF19&lt;10))</f>
        <v/>
      </c>
      <c r="AI19" s="35">
        <f>IF(AND(C19="Grayson Coulter",G19&gt;='00_Control'!$B$7),"YES","NO")</f>
        <v/>
      </c>
      <c r="AJ19" s="33" t="inlineStr">
        <is>
          <t>OK</t>
        </is>
      </c>
    </row>
    <row r="20">
      <c r="A20" s="33" t="inlineStr">
        <is>
          <t>SM000016</t>
        </is>
      </c>
      <c r="B20" s="33" t="inlineStr">
        <is>
          <t>SW010</t>
        </is>
      </c>
      <c r="C20" s="33" t="inlineStr">
        <is>
          <t>Caeleb Dressel</t>
        </is>
      </c>
      <c r="D20" s="33" t="inlineStr">
        <is>
          <t>SwimCloud</t>
        </is>
      </c>
      <c r="E20" s="33" t="inlineStr">
        <is>
          <t>2361642</t>
        </is>
      </c>
      <c r="F20" s="33" t="inlineStr">
        <is>
          <t>84580884</t>
        </is>
      </c>
      <c r="G20" s="51" t="n">
        <v>39214</v>
      </c>
      <c r="H20" s="33" t="inlineStr">
        <is>
          <t>Bolles May LC Invitational</t>
        </is>
      </c>
      <c r="I20" s="33" t="inlineStr">
        <is>
          <t>247915</t>
        </is>
      </c>
      <c r="J20" s="33" t="inlineStr"/>
      <c r="K20" s="33" t="inlineStr">
        <is>
          <t>TIM</t>
        </is>
      </c>
      <c r="L20" s="35">
        <f>IF(K20="FIN",3,IF(OR(K20="SEM",K20="SEMI"),2,IF(OR(K20="PRE",K20="HEAT"),1,IF(V20="YES",4,2))))</f>
        <v/>
      </c>
      <c r="M20" s="33" t="inlineStr">
        <is>
          <t>LCM</t>
        </is>
      </c>
      <c r="N20" s="33" t="n">
        <v>100</v>
      </c>
      <c r="O20" s="33" t="inlineStr">
        <is>
          <t>Fly</t>
        </is>
      </c>
      <c r="P20" s="33" t="inlineStr">
        <is>
          <t>100 Fly</t>
        </is>
      </c>
      <c r="Q20" s="33" t="inlineStr">
        <is>
          <t>LCM_100_FLY</t>
        </is>
      </c>
      <c r="R20" s="36" t="n">
        <v>74.31</v>
      </c>
      <c r="S20" s="35">
        <f>IF(R20="","",IF(R20&gt;=60,INT(R20/60)&amp;":"&amp;TEXT(MOD(R20,60),"00.00"),TEXT(R20,"0.00")))</f>
        <v/>
      </c>
      <c r="T20" s="52">
        <f>IFERROR((G20-INDEX('01_Swimmers'!$E$5:$E$22,MATCH(B20,'01_Swimmers'!$A$5:$A$22,0)))/'00_Control'!$B$10,"")</f>
        <v/>
      </c>
      <c r="U20" s="35">
        <f>IF(T20="","",INT(T20))</f>
        <v/>
      </c>
      <c r="V20" s="33" t="inlineStr">
        <is>
          <t>NO</t>
        </is>
      </c>
      <c r="W20" s="33" t="inlineStr">
        <is>
          <t>YES</t>
        </is>
      </c>
      <c r="X20" s="33" t="inlineStr">
        <is>
          <t>NO</t>
        </is>
      </c>
      <c r="Y20" s="33" t="n">
        <v>1</v>
      </c>
      <c r="Z20" s="33" t="n">
        <v>7</v>
      </c>
      <c r="AA20" s="33" t="inlineStr">
        <is>
          <t>19</t>
        </is>
      </c>
      <c r="AB20" s="33" t="inlineStr">
        <is>
          <t>https://www.swimcloud.com/results/247915/event/8/?id=84580884#time84580884</t>
        </is>
      </c>
      <c r="AC20" s="33" t="inlineStr">
        <is>
          <t>SwimCloud API v6 2026-10-08</t>
        </is>
      </c>
      <c r="AD20" s="33" t="inlineStr">
        <is>
          <t>Caeleb Dressel|2007-05-12|LCM|100|Fly|74.31|Bolles May LC Invitational|TIM|False</t>
        </is>
      </c>
      <c r="AE20" s="53">
        <f>G20+L20/1000+ROW()/1000000000</f>
        <v/>
      </c>
      <c r="AF20" s="35">
        <f>IF(C20&lt;&gt;"Grayson Coulter","",COUNTIFS($C$5:$C$2991,"Grayson Coulter",$Q$5:$Q$2991,Q20,$AE$5:$AE$2991,"&lt;="&amp;AE20,$R$5:$R$2991,"&lt;"&amp;R20))</f>
        <v/>
      </c>
      <c r="AG20" s="35">
        <f>IF(OR(C20&lt;&gt;"Grayson Coulter",G20&lt;'00_Control'!$B$7),"",--(AF20&lt;5))</f>
        <v/>
      </c>
      <c r="AH20" s="35">
        <f>IF(OR(C20&lt;&gt;"Grayson Coulter",G20&lt;'00_Control'!$B$7),"",--(AF20&lt;10))</f>
        <v/>
      </c>
      <c r="AI20" s="35">
        <f>IF(AND(C20="Grayson Coulter",G20&gt;='00_Control'!$B$7),"YES","NO")</f>
        <v/>
      </c>
      <c r="AJ20" s="33" t="inlineStr">
        <is>
          <t>OK</t>
        </is>
      </c>
    </row>
    <row r="21">
      <c r="A21" s="33" t="inlineStr">
        <is>
          <t>SM000017</t>
        </is>
      </c>
      <c r="B21" s="33" t="inlineStr">
        <is>
          <t>SW010</t>
        </is>
      </c>
      <c r="C21" s="33" t="inlineStr">
        <is>
          <t>Caeleb Dressel</t>
        </is>
      </c>
      <c r="D21" s="33" t="inlineStr">
        <is>
          <t>SwimCloud</t>
        </is>
      </c>
      <c r="E21" s="33" t="inlineStr">
        <is>
          <t>2361642</t>
        </is>
      </c>
      <c r="F21" s="33" t="inlineStr">
        <is>
          <t>84579795</t>
        </is>
      </c>
      <c r="G21" s="51" t="n">
        <v>39214</v>
      </c>
      <c r="H21" s="33" t="inlineStr">
        <is>
          <t>Bolles May LC Invitational</t>
        </is>
      </c>
      <c r="I21" s="33" t="inlineStr">
        <is>
          <t>247915</t>
        </is>
      </c>
      <c r="J21" s="33" t="inlineStr"/>
      <c r="K21" s="33" t="inlineStr">
        <is>
          <t>TIM</t>
        </is>
      </c>
      <c r="L21" s="35">
        <f>IF(K21="FIN",3,IF(OR(K21="SEM",K21="SEMI"),2,IF(OR(K21="PRE",K21="HEAT"),1,IF(V21="YES",4,2))))</f>
        <v/>
      </c>
      <c r="M21" s="33" t="inlineStr">
        <is>
          <t>LCM</t>
        </is>
      </c>
      <c r="N21" s="33" t="n">
        <v>100</v>
      </c>
      <c r="O21" s="33" t="inlineStr">
        <is>
          <t>Free</t>
        </is>
      </c>
      <c r="P21" s="33" t="inlineStr">
        <is>
          <t>100 Free</t>
        </is>
      </c>
      <c r="Q21" s="33" t="inlineStr">
        <is>
          <t>LCM_100_FREE</t>
        </is>
      </c>
      <c r="R21" s="36" t="n">
        <v>65.08</v>
      </c>
      <c r="S21" s="35">
        <f>IF(R21="","",IF(R21&gt;=60,INT(R21/60)&amp;":"&amp;TEXT(MOD(R21,60),"00.00"),TEXT(R21,"0.00")))</f>
        <v/>
      </c>
      <c r="T21" s="52">
        <f>IFERROR((G21-INDEX('01_Swimmers'!$E$5:$E$22,MATCH(B21,'01_Swimmers'!$A$5:$A$22,0)))/'00_Control'!$B$10,"")</f>
        <v/>
      </c>
      <c r="U21" s="35">
        <f>IF(T21="","",INT(T21))</f>
        <v/>
      </c>
      <c r="V21" s="33" t="inlineStr">
        <is>
          <t>NO</t>
        </is>
      </c>
      <c r="W21" s="33" t="inlineStr">
        <is>
          <t>YES</t>
        </is>
      </c>
      <c r="X21" s="33" t="inlineStr">
        <is>
          <t>NO</t>
        </is>
      </c>
      <c r="Y21" s="33" t="n">
        <v>1</v>
      </c>
      <c r="Z21" s="33" t="n">
        <v>5</v>
      </c>
      <c r="AA21" s="33" t="inlineStr">
        <is>
          <t>23</t>
        </is>
      </c>
      <c r="AB21" s="33" t="inlineStr">
        <is>
          <t>https://www.swimcloud.com/results/247915/event/20/?id=84579795#time84579795</t>
        </is>
      </c>
      <c r="AC21" s="33" t="inlineStr">
        <is>
          <t>SwimCloud API v6 2026-10-08</t>
        </is>
      </c>
      <c r="AD21" s="33" t="inlineStr">
        <is>
          <t>Caeleb Dressel|2007-05-12|LCM|100|Free|65.08|Bolles May LC Invitational|TIM|False</t>
        </is>
      </c>
      <c r="AE21" s="53">
        <f>G21+L21/1000+ROW()/1000000000</f>
        <v/>
      </c>
      <c r="AF21" s="35">
        <f>IF(C21&lt;&gt;"Grayson Coulter","",COUNTIFS($C$5:$C$2991,"Grayson Coulter",$Q$5:$Q$2991,Q21,$AE$5:$AE$2991,"&lt;="&amp;AE21,$R$5:$R$2991,"&lt;"&amp;R21))</f>
        <v/>
      </c>
      <c r="AG21" s="35">
        <f>IF(OR(C21&lt;&gt;"Grayson Coulter",G21&lt;'00_Control'!$B$7),"",--(AF21&lt;5))</f>
        <v/>
      </c>
      <c r="AH21" s="35">
        <f>IF(OR(C21&lt;&gt;"Grayson Coulter",G21&lt;'00_Control'!$B$7),"",--(AF21&lt;10))</f>
        <v/>
      </c>
      <c r="AI21" s="35">
        <f>IF(AND(C21="Grayson Coulter",G21&gt;='00_Control'!$B$7),"YES","NO")</f>
        <v/>
      </c>
      <c r="AJ21" s="33" t="inlineStr">
        <is>
          <t>OK</t>
        </is>
      </c>
    </row>
    <row r="22">
      <c r="A22" s="33" t="inlineStr">
        <is>
          <t>SM000018</t>
        </is>
      </c>
      <c r="B22" s="33" t="inlineStr">
        <is>
          <t>SW010</t>
        </is>
      </c>
      <c r="C22" s="33" t="inlineStr">
        <is>
          <t>Caeleb Dressel</t>
        </is>
      </c>
      <c r="D22" s="33" t="inlineStr">
        <is>
          <t>SwimCloud</t>
        </is>
      </c>
      <c r="E22" s="33" t="inlineStr">
        <is>
          <t>2361642</t>
        </is>
      </c>
      <c r="F22" s="33" t="inlineStr">
        <is>
          <t>84560325</t>
        </is>
      </c>
      <c r="G22" s="51" t="n">
        <v>39234</v>
      </c>
      <c r="H22" s="33" t="inlineStr">
        <is>
          <t>SAC Long Course Invitational 2</t>
        </is>
      </c>
      <c r="I22" s="33" t="inlineStr">
        <is>
          <t>247900</t>
        </is>
      </c>
      <c r="J22" s="33" t="inlineStr"/>
      <c r="K22" s="33" t="inlineStr">
        <is>
          <t>TIM</t>
        </is>
      </c>
      <c r="L22" s="35">
        <f>IF(K22="FIN",3,IF(OR(K22="SEM",K22="SEMI"),2,IF(OR(K22="PRE",K22="HEAT"),1,IF(V22="YES",4,2))))</f>
        <v/>
      </c>
      <c r="M22" s="33" t="inlineStr">
        <is>
          <t>LCM</t>
        </is>
      </c>
      <c r="N22" s="33" t="n">
        <v>200</v>
      </c>
      <c r="O22" s="33" t="inlineStr">
        <is>
          <t>Free</t>
        </is>
      </c>
      <c r="P22" s="33" t="inlineStr">
        <is>
          <t>200 Free</t>
        </is>
      </c>
      <c r="Q22" s="33" t="inlineStr">
        <is>
          <t>LCM_200_FREE</t>
        </is>
      </c>
      <c r="R22" s="36" t="n">
        <v>145.42</v>
      </c>
      <c r="S22" s="35">
        <f>IF(R22="","",IF(R22&gt;=60,INT(R22/60)&amp;":"&amp;TEXT(MOD(R22,60),"00.00"),TEXT(R22,"0.00")))</f>
        <v/>
      </c>
      <c r="T22" s="52">
        <f>IFERROR((G22-INDEX('01_Swimmers'!$E$5:$E$22,MATCH(B22,'01_Swimmers'!$A$5:$A$22,0)))/'00_Control'!$B$10,"")</f>
        <v/>
      </c>
      <c r="U22" s="35">
        <f>IF(T22="","",INT(T22))</f>
        <v/>
      </c>
      <c r="V22" s="33" t="inlineStr">
        <is>
          <t>NO</t>
        </is>
      </c>
      <c r="W22" s="33" t="inlineStr">
        <is>
          <t>YES</t>
        </is>
      </c>
      <c r="X22" s="33" t="inlineStr">
        <is>
          <t>NO</t>
        </is>
      </c>
      <c r="Y22" s="33" t="n">
        <v>2</v>
      </c>
      <c r="Z22" s="33" t="n">
        <v>4</v>
      </c>
      <c r="AA22" s="33" t="inlineStr">
        <is>
          <t>1</t>
        </is>
      </c>
      <c r="AB22" s="33" t="inlineStr">
        <is>
          <t>https://www.swimcloud.com/results/247900/event/2/?id=84560325#time84560325</t>
        </is>
      </c>
      <c r="AC22" s="33" t="inlineStr">
        <is>
          <t>SwimCloud API v6 2026-10-08</t>
        </is>
      </c>
      <c r="AD22" s="33" t="inlineStr">
        <is>
          <t>Caeleb Dressel|2007-06-01|LCM|200|Free|145.42|SAC Long Course Invitational 2|TIM|False</t>
        </is>
      </c>
      <c r="AE22" s="53">
        <f>G22+L22/1000+ROW()/1000000000</f>
        <v/>
      </c>
      <c r="AF22" s="35">
        <f>IF(C22&lt;&gt;"Grayson Coulter","",COUNTIFS($C$5:$C$2991,"Grayson Coulter",$Q$5:$Q$2991,Q22,$AE$5:$AE$2991,"&lt;="&amp;AE22,$R$5:$R$2991,"&lt;"&amp;R22))</f>
        <v/>
      </c>
      <c r="AG22" s="35">
        <f>IF(OR(C22&lt;&gt;"Grayson Coulter",G22&lt;'00_Control'!$B$7),"",--(AF22&lt;5))</f>
        <v/>
      </c>
      <c r="AH22" s="35">
        <f>IF(OR(C22&lt;&gt;"Grayson Coulter",G22&lt;'00_Control'!$B$7),"",--(AF22&lt;10))</f>
        <v/>
      </c>
      <c r="AI22" s="35">
        <f>IF(AND(C22="Grayson Coulter",G22&gt;='00_Control'!$B$7),"YES","NO")</f>
        <v/>
      </c>
      <c r="AJ22" s="33" t="inlineStr">
        <is>
          <t>OK</t>
        </is>
      </c>
    </row>
    <row r="23">
      <c r="A23" s="33" t="inlineStr">
        <is>
          <t>SM000019</t>
        </is>
      </c>
      <c r="B23" s="33" t="inlineStr">
        <is>
          <t>SW010</t>
        </is>
      </c>
      <c r="C23" s="33" t="inlineStr">
        <is>
          <t>Caeleb Dressel</t>
        </is>
      </c>
      <c r="D23" s="33" t="inlineStr">
        <is>
          <t>SwimCloud</t>
        </is>
      </c>
      <c r="E23" s="33" t="inlineStr">
        <is>
          <t>2361642</t>
        </is>
      </c>
      <c r="F23" s="33" t="inlineStr">
        <is>
          <t>84560358</t>
        </is>
      </c>
      <c r="G23" s="51" t="n">
        <v>39235</v>
      </c>
      <c r="H23" s="33" t="inlineStr">
        <is>
          <t>SAC Long Course Invitational 2</t>
        </is>
      </c>
      <c r="I23" s="33" t="inlineStr">
        <is>
          <t>247900</t>
        </is>
      </c>
      <c r="J23" s="33" t="inlineStr"/>
      <c r="K23" s="33" t="inlineStr">
        <is>
          <t>TIM</t>
        </is>
      </c>
      <c r="L23" s="35">
        <f>IF(K23="FIN",3,IF(OR(K23="SEM",K23="SEMI"),2,IF(OR(K23="PRE",K23="HEAT"),1,IF(V23="YES",4,2))))</f>
        <v/>
      </c>
      <c r="M23" s="33" t="inlineStr">
        <is>
          <t>LCM</t>
        </is>
      </c>
      <c r="N23" s="33" t="n">
        <v>100</v>
      </c>
      <c r="O23" s="33" t="inlineStr">
        <is>
          <t>Free</t>
        </is>
      </c>
      <c r="P23" s="33" t="inlineStr">
        <is>
          <t>100 Free</t>
        </is>
      </c>
      <c r="Q23" s="33" t="inlineStr">
        <is>
          <t>LCM_100_FREE</t>
        </is>
      </c>
      <c r="R23" s="36" t="n">
        <v>66.53</v>
      </c>
      <c r="S23" s="35">
        <f>IF(R23="","",IF(R23&gt;=60,INT(R23/60)&amp;":"&amp;TEXT(MOD(R23,60),"00.00"),TEXT(R23,"0.00")))</f>
        <v/>
      </c>
      <c r="T23" s="52">
        <f>IFERROR((G23-INDEX('01_Swimmers'!$E$5:$E$22,MATCH(B23,'01_Swimmers'!$A$5:$A$22,0)))/'00_Control'!$B$10,"")</f>
        <v/>
      </c>
      <c r="U23" s="35">
        <f>IF(T23="","",INT(T23))</f>
        <v/>
      </c>
      <c r="V23" s="33" t="inlineStr">
        <is>
          <t>NO</t>
        </is>
      </c>
      <c r="W23" s="33" t="inlineStr">
        <is>
          <t>YES</t>
        </is>
      </c>
      <c r="X23" s="33" t="inlineStr">
        <is>
          <t>NO</t>
        </is>
      </c>
      <c r="Y23" s="33" t="n">
        <v>4</v>
      </c>
      <c r="Z23" s="33" t="n">
        <v>4</v>
      </c>
      <c r="AA23" s="33" t="inlineStr">
        <is>
          <t>1</t>
        </is>
      </c>
      <c r="AB23" s="33" t="inlineStr">
        <is>
          <t>https://www.swimcloud.com/results/247900/event/40/?id=84560358#time84560358</t>
        </is>
      </c>
      <c r="AC23" s="33" t="inlineStr">
        <is>
          <t>SwimCloud API v6 2026-10-08</t>
        </is>
      </c>
      <c r="AD23" s="33" t="inlineStr">
        <is>
          <t>Caeleb Dressel|2007-06-02|LCM|100|Free|66.53|SAC Long Course Invitational 2|TIM|False</t>
        </is>
      </c>
      <c r="AE23" s="53">
        <f>G23+L23/1000+ROW()/1000000000</f>
        <v/>
      </c>
      <c r="AF23" s="35">
        <f>IF(C23&lt;&gt;"Grayson Coulter","",COUNTIFS($C$5:$C$2991,"Grayson Coulter",$Q$5:$Q$2991,Q23,$AE$5:$AE$2991,"&lt;="&amp;AE23,$R$5:$R$2991,"&lt;"&amp;R23))</f>
        <v/>
      </c>
      <c r="AG23" s="35">
        <f>IF(OR(C23&lt;&gt;"Grayson Coulter",G23&lt;'00_Control'!$B$7),"",--(AF23&lt;5))</f>
        <v/>
      </c>
      <c r="AH23" s="35">
        <f>IF(OR(C23&lt;&gt;"Grayson Coulter",G23&lt;'00_Control'!$B$7),"",--(AF23&lt;10))</f>
        <v/>
      </c>
      <c r="AI23" s="35">
        <f>IF(AND(C23="Grayson Coulter",G23&gt;='00_Control'!$B$7),"YES","NO")</f>
        <v/>
      </c>
      <c r="AJ23" s="33" t="inlineStr">
        <is>
          <t>OK</t>
        </is>
      </c>
    </row>
    <row r="24">
      <c r="A24" s="33" t="inlineStr">
        <is>
          <t>SM000020</t>
        </is>
      </c>
      <c r="B24" s="33" t="inlineStr">
        <is>
          <t>SW010</t>
        </is>
      </c>
      <c r="C24" s="33" t="inlineStr">
        <is>
          <t>Caeleb Dressel</t>
        </is>
      </c>
      <c r="D24" s="33" t="inlineStr">
        <is>
          <t>SwimCloud</t>
        </is>
      </c>
      <c r="E24" s="33" t="inlineStr">
        <is>
          <t>2361642</t>
        </is>
      </c>
      <c r="F24" s="33" t="inlineStr">
        <is>
          <t>84560374</t>
        </is>
      </c>
      <c r="G24" s="51" t="n">
        <v>39236</v>
      </c>
      <c r="H24" s="33" t="inlineStr">
        <is>
          <t>SAC Long Course Invitational 2</t>
        </is>
      </c>
      <c r="I24" s="33" t="inlineStr">
        <is>
          <t>247900</t>
        </is>
      </c>
      <c r="J24" s="33" t="inlineStr"/>
      <c r="K24" s="33" t="inlineStr">
        <is>
          <t>TIM</t>
        </is>
      </c>
      <c r="L24" s="35">
        <f>IF(K24="FIN",3,IF(OR(K24="SEM",K24="SEMI"),2,IF(OR(K24="PRE",K24="HEAT"),1,IF(V24="YES",4,2))))</f>
        <v/>
      </c>
      <c r="M24" s="33" t="inlineStr">
        <is>
          <t>LCM</t>
        </is>
      </c>
      <c r="N24" s="33" t="n">
        <v>100</v>
      </c>
      <c r="O24" s="33" t="inlineStr">
        <is>
          <t>Fly</t>
        </is>
      </c>
      <c r="P24" s="33" t="inlineStr">
        <is>
          <t>100 Fly</t>
        </is>
      </c>
      <c r="Q24" s="33" t="inlineStr">
        <is>
          <t>LCM_100_FLY</t>
        </is>
      </c>
      <c r="R24" s="36" t="n">
        <v>74.22</v>
      </c>
      <c r="S24" s="35">
        <f>IF(R24="","",IF(R24&gt;=60,INT(R24/60)&amp;":"&amp;TEXT(MOD(R24,60),"00.00"),TEXT(R24,"0.00")))</f>
        <v/>
      </c>
      <c r="T24" s="52">
        <f>IFERROR((G24-INDEX('01_Swimmers'!$E$5:$E$22,MATCH(B24,'01_Swimmers'!$A$5:$A$22,0)))/'00_Control'!$B$10,"")</f>
        <v/>
      </c>
      <c r="U24" s="35">
        <f>IF(T24="","",INT(T24))</f>
        <v/>
      </c>
      <c r="V24" s="33" t="inlineStr">
        <is>
          <t>NO</t>
        </is>
      </c>
      <c r="W24" s="33" t="inlineStr">
        <is>
          <t>YES</t>
        </is>
      </c>
      <c r="X24" s="33" t="inlineStr">
        <is>
          <t>NO</t>
        </is>
      </c>
      <c r="Y24" s="33" t="n">
        <v>2</v>
      </c>
      <c r="Z24" s="33" t="n">
        <v>4</v>
      </c>
      <c r="AA24" s="33" t="inlineStr">
        <is>
          <t>1</t>
        </is>
      </c>
      <c r="AB24" s="33" t="inlineStr">
        <is>
          <t>https://www.swimcloud.com/results/247900/event/104/?id=84560374#time84560374</t>
        </is>
      </c>
      <c r="AC24" s="33" t="inlineStr">
        <is>
          <t>SwimCloud API v6 2026-10-08</t>
        </is>
      </c>
      <c r="AD24" s="33" t="inlineStr">
        <is>
          <t>Caeleb Dressel|2007-06-03|LCM|100|Fly|74.22|SAC Long Course Invitational 2|TIM|False</t>
        </is>
      </c>
      <c r="AE24" s="53">
        <f>G24+L24/1000+ROW()/1000000000</f>
        <v/>
      </c>
      <c r="AF24" s="35">
        <f>IF(C24&lt;&gt;"Grayson Coulter","",COUNTIFS($C$5:$C$2991,"Grayson Coulter",$Q$5:$Q$2991,Q24,$AE$5:$AE$2991,"&lt;="&amp;AE24,$R$5:$R$2991,"&lt;"&amp;R24))</f>
        <v/>
      </c>
      <c r="AG24" s="35">
        <f>IF(OR(C24&lt;&gt;"Grayson Coulter",G24&lt;'00_Control'!$B$7),"",--(AF24&lt;5))</f>
        <v/>
      </c>
      <c r="AH24" s="35">
        <f>IF(OR(C24&lt;&gt;"Grayson Coulter",G24&lt;'00_Control'!$B$7),"",--(AF24&lt;10))</f>
        <v/>
      </c>
      <c r="AI24" s="35">
        <f>IF(AND(C24="Grayson Coulter",G24&gt;='00_Control'!$B$7),"YES","NO")</f>
        <v/>
      </c>
      <c r="AJ24" s="33" t="inlineStr">
        <is>
          <t>OK</t>
        </is>
      </c>
    </row>
    <row r="25">
      <c r="A25" s="33" t="inlineStr">
        <is>
          <t>SM000021</t>
        </is>
      </c>
      <c r="B25" s="33" t="inlineStr">
        <is>
          <t>SW010</t>
        </is>
      </c>
      <c r="C25" s="33" t="inlineStr">
        <is>
          <t>Caeleb Dressel</t>
        </is>
      </c>
      <c r="D25" s="33" t="inlineStr">
        <is>
          <t>SwimCloud</t>
        </is>
      </c>
      <c r="E25" s="33" t="inlineStr">
        <is>
          <t>2361642</t>
        </is>
      </c>
      <c r="F25" s="33" t="inlineStr">
        <is>
          <t>84440135</t>
        </is>
      </c>
      <c r="G25" s="51" t="n">
        <v>39261</v>
      </c>
      <c r="H25" s="33" t="inlineStr">
        <is>
          <t>Speedo Summer Classic LC Invit</t>
        </is>
      </c>
      <c r="I25" s="33" t="inlineStr">
        <is>
          <t>247785</t>
        </is>
      </c>
      <c r="J25" s="33" t="inlineStr"/>
      <c r="K25" s="33" t="inlineStr">
        <is>
          <t>TIM</t>
        </is>
      </c>
      <c r="L25" s="35">
        <f>IF(K25="FIN",3,IF(OR(K25="SEM",K25="SEMI"),2,IF(OR(K25="PRE",K25="HEAT"),1,IF(V25="YES",4,2))))</f>
        <v/>
      </c>
      <c r="M25" s="33" t="inlineStr">
        <is>
          <t>LCM</t>
        </is>
      </c>
      <c r="N25" s="33" t="n">
        <v>400</v>
      </c>
      <c r="O25" s="33" t="inlineStr">
        <is>
          <t>Free</t>
        </is>
      </c>
      <c r="P25" s="33" t="inlineStr">
        <is>
          <t>400 Free</t>
        </is>
      </c>
      <c r="Q25" s="33" t="inlineStr">
        <is>
          <t>LCM_400_FREE</t>
        </is>
      </c>
      <c r="R25" s="36" t="n">
        <v>297.57</v>
      </c>
      <c r="S25" s="35">
        <f>IF(R25="","",IF(R25&gt;=60,INT(R25/60)&amp;":"&amp;TEXT(MOD(R25,60),"00.00"),TEXT(R25,"0.00")))</f>
        <v/>
      </c>
      <c r="T25" s="52">
        <f>IFERROR((G25-INDEX('01_Swimmers'!$E$5:$E$22,MATCH(B25,'01_Swimmers'!$A$5:$A$22,0)))/'00_Control'!$B$10,"")</f>
        <v/>
      </c>
      <c r="U25" s="35">
        <f>IF(T25="","",INT(T25))</f>
        <v/>
      </c>
      <c r="V25" s="33" t="inlineStr">
        <is>
          <t>NO</t>
        </is>
      </c>
      <c r="W25" s="33" t="inlineStr">
        <is>
          <t>YES</t>
        </is>
      </c>
      <c r="X25" s="33" t="inlineStr">
        <is>
          <t>NO</t>
        </is>
      </c>
      <c r="Y25" s="33" t="n">
        <v>1</v>
      </c>
      <c r="Z25" s="33" t="n">
        <v>4</v>
      </c>
      <c r="AA25" s="33" t="inlineStr">
        <is>
          <t>1</t>
        </is>
      </c>
      <c r="AB25" s="33" t="inlineStr">
        <is>
          <t>https://www.swimcloud.com/results/247785/event/2/?id=84440135#time84440135</t>
        </is>
      </c>
      <c r="AC25" s="33" t="inlineStr">
        <is>
          <t>SwimCloud API v6 2026-10-08</t>
        </is>
      </c>
      <c r="AD25" s="33" t="inlineStr">
        <is>
          <t>Caeleb Dressel|2007-06-28|LCM|400|Free|297.57|Speedo Summer Classic LC Invit|TIM|False</t>
        </is>
      </c>
      <c r="AE25" s="53">
        <f>G25+L25/1000+ROW()/1000000000</f>
        <v/>
      </c>
      <c r="AF25" s="35">
        <f>IF(C25&lt;&gt;"Grayson Coulter","",COUNTIFS($C$5:$C$2991,"Grayson Coulter",$Q$5:$Q$2991,Q25,$AE$5:$AE$2991,"&lt;="&amp;AE25,$R$5:$R$2991,"&lt;"&amp;R25))</f>
        <v/>
      </c>
      <c r="AG25" s="35">
        <f>IF(OR(C25&lt;&gt;"Grayson Coulter",G25&lt;'00_Control'!$B$7),"",--(AF25&lt;5))</f>
        <v/>
      </c>
      <c r="AH25" s="35">
        <f>IF(OR(C25&lt;&gt;"Grayson Coulter",G25&lt;'00_Control'!$B$7),"",--(AF25&lt;10))</f>
        <v/>
      </c>
      <c r="AI25" s="35">
        <f>IF(AND(C25="Grayson Coulter",G25&gt;='00_Control'!$B$7),"YES","NO")</f>
        <v/>
      </c>
      <c r="AJ25" s="33" t="inlineStr">
        <is>
          <t>OK</t>
        </is>
      </c>
    </row>
    <row r="26">
      <c r="A26" s="33" t="inlineStr">
        <is>
          <t>SM000022</t>
        </is>
      </c>
      <c r="B26" s="33" t="inlineStr">
        <is>
          <t>SW010</t>
        </is>
      </c>
      <c r="C26" s="33" t="inlineStr">
        <is>
          <t>Caeleb Dressel</t>
        </is>
      </c>
      <c r="D26" s="33" t="inlineStr">
        <is>
          <t>SwimCloud</t>
        </is>
      </c>
      <c r="E26" s="33" t="inlineStr">
        <is>
          <t>2361642</t>
        </is>
      </c>
      <c r="F26" s="33" t="inlineStr">
        <is>
          <t>84439901</t>
        </is>
      </c>
      <c r="G26" s="51" t="n">
        <v>39262</v>
      </c>
      <c r="H26" s="33" t="inlineStr">
        <is>
          <t>Speedo Summer Classic LC Invit</t>
        </is>
      </c>
      <c r="I26" s="33" t="inlineStr">
        <is>
          <t>247785</t>
        </is>
      </c>
      <c r="J26" s="33" t="inlineStr"/>
      <c r="K26" s="33" t="inlineStr">
        <is>
          <t>TIM</t>
        </is>
      </c>
      <c r="L26" s="35">
        <f>IF(K26="FIN",3,IF(OR(K26="SEM",K26="SEMI"),2,IF(OR(K26="PRE",K26="HEAT"),1,IF(V26="YES",4,2))))</f>
        <v/>
      </c>
      <c r="M26" s="33" t="inlineStr">
        <is>
          <t>LCM</t>
        </is>
      </c>
      <c r="N26" s="33" t="n">
        <v>200</v>
      </c>
      <c r="O26" s="33" t="inlineStr">
        <is>
          <t>Free</t>
        </is>
      </c>
      <c r="P26" s="33" t="inlineStr">
        <is>
          <t>200 Free</t>
        </is>
      </c>
      <c r="Q26" s="33" t="inlineStr">
        <is>
          <t>LCM_200_FREE</t>
        </is>
      </c>
      <c r="R26" s="36" t="n">
        <v>140.84</v>
      </c>
      <c r="S26" s="35">
        <f>IF(R26="","",IF(R26&gt;=60,INT(R26/60)&amp;":"&amp;TEXT(MOD(R26,60),"00.00"),TEXT(R26,"0.00")))</f>
        <v/>
      </c>
      <c r="T26" s="52">
        <f>IFERROR((G26-INDEX('01_Swimmers'!$E$5:$E$22,MATCH(B26,'01_Swimmers'!$A$5:$A$22,0)))/'00_Control'!$B$10,"")</f>
        <v/>
      </c>
      <c r="U26" s="35">
        <f>IF(T26="","",INT(T26))</f>
        <v/>
      </c>
      <c r="V26" s="33" t="inlineStr">
        <is>
          <t>NO</t>
        </is>
      </c>
      <c r="W26" s="33" t="inlineStr">
        <is>
          <t>YES</t>
        </is>
      </c>
      <c r="X26" s="33" t="inlineStr">
        <is>
          <t>NO</t>
        </is>
      </c>
      <c r="Y26" s="33" t="n">
        <v>4</v>
      </c>
      <c r="Z26" s="33" t="n">
        <v>4</v>
      </c>
      <c r="AA26" s="33" t="inlineStr">
        <is>
          <t>1</t>
        </is>
      </c>
      <c r="AB26" s="33" t="inlineStr">
        <is>
          <t>https://www.swimcloud.com/results/247785/event/40/?id=84439901#time84439901</t>
        </is>
      </c>
      <c r="AC26" s="33" t="inlineStr">
        <is>
          <t>SwimCloud API v6 2026-10-08</t>
        </is>
      </c>
      <c r="AD26" s="33" t="inlineStr">
        <is>
          <t>Caeleb Dressel|2007-06-29|LCM|200|Free|140.84|Speedo Summer Classic LC Invit|TIM|False</t>
        </is>
      </c>
      <c r="AE26" s="53">
        <f>G26+L26/1000+ROW()/1000000000</f>
        <v/>
      </c>
      <c r="AF26" s="35">
        <f>IF(C26&lt;&gt;"Grayson Coulter","",COUNTIFS($C$5:$C$2991,"Grayson Coulter",$Q$5:$Q$2991,Q26,$AE$5:$AE$2991,"&lt;="&amp;AE26,$R$5:$R$2991,"&lt;"&amp;R26))</f>
        <v/>
      </c>
      <c r="AG26" s="35">
        <f>IF(OR(C26&lt;&gt;"Grayson Coulter",G26&lt;'00_Control'!$B$7),"",--(AF26&lt;5))</f>
        <v/>
      </c>
      <c r="AH26" s="35">
        <f>IF(OR(C26&lt;&gt;"Grayson Coulter",G26&lt;'00_Control'!$B$7),"",--(AF26&lt;10))</f>
        <v/>
      </c>
      <c r="AI26" s="35">
        <f>IF(AND(C26="Grayson Coulter",G26&gt;='00_Control'!$B$7),"YES","NO")</f>
        <v/>
      </c>
      <c r="AJ26" s="33" t="inlineStr">
        <is>
          <t>OK</t>
        </is>
      </c>
    </row>
    <row r="27">
      <c r="A27" s="33" t="inlineStr">
        <is>
          <t>SM000023</t>
        </is>
      </c>
      <c r="B27" s="33" t="inlineStr">
        <is>
          <t>SW010</t>
        </is>
      </c>
      <c r="C27" s="33" t="inlineStr">
        <is>
          <t>Caeleb Dressel</t>
        </is>
      </c>
      <c r="D27" s="33" t="inlineStr">
        <is>
          <t>SwimCloud</t>
        </is>
      </c>
      <c r="E27" s="33" t="inlineStr">
        <is>
          <t>2361642</t>
        </is>
      </c>
      <c r="F27" s="33" t="inlineStr">
        <is>
          <t>84293200</t>
        </is>
      </c>
      <c r="G27" s="51" t="n">
        <v>39283</v>
      </c>
      <c r="H27" s="33" t="inlineStr">
        <is>
          <t>2007 FL Swim JO LC Championshi</t>
        </is>
      </c>
      <c r="I27" s="33" t="inlineStr">
        <is>
          <t>247592</t>
        </is>
      </c>
      <c r="J27" s="33" t="inlineStr"/>
      <c r="K27" s="33" t="inlineStr">
        <is>
          <t>TIM</t>
        </is>
      </c>
      <c r="L27" s="35">
        <f>IF(K27="FIN",3,IF(OR(K27="SEM",K27="SEMI"),2,IF(OR(K27="PRE",K27="HEAT"),1,IF(V27="YES",4,2))))</f>
        <v/>
      </c>
      <c r="M27" s="33" t="inlineStr">
        <is>
          <t>LCM</t>
        </is>
      </c>
      <c r="N27" s="33" t="n">
        <v>200</v>
      </c>
      <c r="O27" s="33" t="inlineStr">
        <is>
          <t>Free</t>
        </is>
      </c>
      <c r="P27" s="33" t="inlineStr">
        <is>
          <t>200 Free</t>
        </is>
      </c>
      <c r="Q27" s="33" t="inlineStr">
        <is>
          <t>LCM_200_FREE</t>
        </is>
      </c>
      <c r="R27" s="36" t="n">
        <v>139.15</v>
      </c>
      <c r="S27" s="35">
        <f>IF(R27="","",IF(R27&gt;=60,INT(R27/60)&amp;":"&amp;TEXT(MOD(R27,60),"00.00"),TEXT(R27,"0.00")))</f>
        <v/>
      </c>
      <c r="T27" s="52">
        <f>IFERROR((G27-INDEX('01_Swimmers'!$E$5:$E$22,MATCH(B27,'01_Swimmers'!$A$5:$A$22,0)))/'00_Control'!$B$10,"")</f>
        <v/>
      </c>
      <c r="U27" s="35">
        <f>IF(T27="","",INT(T27))</f>
        <v/>
      </c>
      <c r="V27" s="33" t="inlineStr">
        <is>
          <t>NO</t>
        </is>
      </c>
      <c r="W27" s="33" t="inlineStr">
        <is>
          <t>YES</t>
        </is>
      </c>
      <c r="X27" s="33" t="inlineStr">
        <is>
          <t>NO</t>
        </is>
      </c>
      <c r="Y27" s="33" t="n">
        <v>4</v>
      </c>
      <c r="Z27" s="33" t="n">
        <v>4</v>
      </c>
      <c r="AA27" s="33" t="inlineStr">
        <is>
          <t>1</t>
        </is>
      </c>
      <c r="AB27" s="33" t="inlineStr">
        <is>
          <t>https://www.swimcloud.com/results/247592/event/18/?id=84293200#time84293200</t>
        </is>
      </c>
      <c r="AC27" s="33" t="inlineStr">
        <is>
          <t>SwimCloud API v6 2026-10-08</t>
        </is>
      </c>
      <c r="AD27" s="33" t="inlineStr">
        <is>
          <t>Caeleb Dressel|2007-07-20|LCM|200|Free|139.15|2007 FL Swim JO LC Championshi|TIM|False</t>
        </is>
      </c>
      <c r="AE27" s="53">
        <f>G27+L27/1000+ROW()/1000000000</f>
        <v/>
      </c>
      <c r="AF27" s="35">
        <f>IF(C27&lt;&gt;"Grayson Coulter","",COUNTIFS($C$5:$C$2991,"Grayson Coulter",$Q$5:$Q$2991,Q27,$AE$5:$AE$2991,"&lt;="&amp;AE27,$R$5:$R$2991,"&lt;"&amp;R27))</f>
        <v/>
      </c>
      <c r="AG27" s="35">
        <f>IF(OR(C27&lt;&gt;"Grayson Coulter",G27&lt;'00_Control'!$B$7),"",--(AF27&lt;5))</f>
        <v/>
      </c>
      <c r="AH27" s="35">
        <f>IF(OR(C27&lt;&gt;"Grayson Coulter",G27&lt;'00_Control'!$B$7),"",--(AF27&lt;10))</f>
        <v/>
      </c>
      <c r="AI27" s="35">
        <f>IF(AND(C27="Grayson Coulter",G27&gt;='00_Control'!$B$7),"YES","NO")</f>
        <v/>
      </c>
      <c r="AJ27" s="33" t="inlineStr">
        <is>
          <t>OK</t>
        </is>
      </c>
    </row>
    <row r="28">
      <c r="A28" s="33" t="inlineStr">
        <is>
          <t>SM000024</t>
        </is>
      </c>
      <c r="B28" s="33" t="inlineStr">
        <is>
          <t>SW010</t>
        </is>
      </c>
      <c r="C28" s="33" t="inlineStr">
        <is>
          <t>Caeleb Dressel</t>
        </is>
      </c>
      <c r="D28" s="33" t="inlineStr">
        <is>
          <t>SwimCloud</t>
        </is>
      </c>
      <c r="E28" s="33" t="inlineStr">
        <is>
          <t>2361642</t>
        </is>
      </c>
      <c r="F28" s="33" t="inlineStr">
        <is>
          <t>84293261</t>
        </is>
      </c>
      <c r="G28" s="51" t="n">
        <v>39284</v>
      </c>
      <c r="H28" s="33" t="inlineStr">
        <is>
          <t>2007 FL Swim JO LC Championshi</t>
        </is>
      </c>
      <c r="I28" s="33" t="inlineStr">
        <is>
          <t>247592</t>
        </is>
      </c>
      <c r="J28" s="33" t="inlineStr"/>
      <c r="K28" s="33" t="inlineStr">
        <is>
          <t>TIM</t>
        </is>
      </c>
      <c r="L28" s="35">
        <f>IF(K28="FIN",3,IF(OR(K28="SEM",K28="SEMI"),2,IF(OR(K28="PRE",K28="HEAT"),1,IF(V28="YES",4,2))))</f>
        <v/>
      </c>
      <c r="M28" s="33" t="inlineStr">
        <is>
          <t>LCM</t>
        </is>
      </c>
      <c r="N28" s="33" t="n">
        <v>100</v>
      </c>
      <c r="O28" s="33" t="inlineStr">
        <is>
          <t>Fly</t>
        </is>
      </c>
      <c r="P28" s="33" t="inlineStr">
        <is>
          <t>100 Fly</t>
        </is>
      </c>
      <c r="Q28" s="33" t="inlineStr">
        <is>
          <t>LCM_100_FLY</t>
        </is>
      </c>
      <c r="R28" s="36" t="n">
        <v>73.25</v>
      </c>
      <c r="S28" s="35">
        <f>IF(R28="","",IF(R28&gt;=60,INT(R28/60)&amp;":"&amp;TEXT(MOD(R28,60),"00.00"),TEXT(R28,"0.00")))</f>
        <v/>
      </c>
      <c r="T28" s="52">
        <f>IFERROR((G28-INDEX('01_Swimmers'!$E$5:$E$22,MATCH(B28,'01_Swimmers'!$A$5:$A$22,0)))/'00_Control'!$B$10,"")</f>
        <v/>
      </c>
      <c r="U28" s="35">
        <f>IF(T28="","",INT(T28))</f>
        <v/>
      </c>
      <c r="V28" s="33" t="inlineStr">
        <is>
          <t>NO</t>
        </is>
      </c>
      <c r="W28" s="33" t="inlineStr">
        <is>
          <t>YES</t>
        </is>
      </c>
      <c r="X28" s="33" t="inlineStr">
        <is>
          <t>NO</t>
        </is>
      </c>
      <c r="Y28" s="33" t="n">
        <v>4</v>
      </c>
      <c r="Z28" s="33" t="n">
        <v>4</v>
      </c>
      <c r="AA28" s="33" t="inlineStr">
        <is>
          <t>1</t>
        </is>
      </c>
      <c r="AB28" s="33" t="inlineStr">
        <is>
          <t>https://www.swimcloud.com/results/247592/event/48/?id=84293261#time84293261</t>
        </is>
      </c>
      <c r="AC28" s="33" t="inlineStr">
        <is>
          <t>SwimCloud API v6 2026-10-08</t>
        </is>
      </c>
      <c r="AD28" s="33" t="inlineStr">
        <is>
          <t>Caeleb Dressel|2007-07-21|LCM|100|Fly|73.25|2007 FL Swim JO LC Championshi|TIM|False</t>
        </is>
      </c>
      <c r="AE28" s="53">
        <f>G28+L28/1000+ROW()/1000000000</f>
        <v/>
      </c>
      <c r="AF28" s="35">
        <f>IF(C28&lt;&gt;"Grayson Coulter","",COUNTIFS($C$5:$C$2991,"Grayson Coulter",$Q$5:$Q$2991,Q28,$AE$5:$AE$2991,"&lt;="&amp;AE28,$R$5:$R$2991,"&lt;"&amp;R28))</f>
        <v/>
      </c>
      <c r="AG28" s="35">
        <f>IF(OR(C28&lt;&gt;"Grayson Coulter",G28&lt;'00_Control'!$B$7),"",--(AF28&lt;5))</f>
        <v/>
      </c>
      <c r="AH28" s="35">
        <f>IF(OR(C28&lt;&gt;"Grayson Coulter",G28&lt;'00_Control'!$B$7),"",--(AF28&lt;10))</f>
        <v/>
      </c>
      <c r="AI28" s="35">
        <f>IF(AND(C28="Grayson Coulter",G28&gt;='00_Control'!$B$7),"YES","NO")</f>
        <v/>
      </c>
      <c r="AJ28" s="33" t="inlineStr">
        <is>
          <t>OK</t>
        </is>
      </c>
    </row>
    <row r="29">
      <c r="A29" s="33" t="inlineStr">
        <is>
          <t>SM000025</t>
        </is>
      </c>
      <c r="B29" s="33" t="inlineStr">
        <is>
          <t>SW010</t>
        </is>
      </c>
      <c r="C29" s="33" t="inlineStr">
        <is>
          <t>Caeleb Dressel</t>
        </is>
      </c>
      <c r="D29" s="33" t="inlineStr">
        <is>
          <t>SwimCloud</t>
        </is>
      </c>
      <c r="E29" s="33" t="inlineStr">
        <is>
          <t>2361642</t>
        </is>
      </c>
      <c r="F29" s="33" t="inlineStr">
        <is>
          <t>84293318</t>
        </is>
      </c>
      <c r="G29" s="51" t="n">
        <v>39285</v>
      </c>
      <c r="H29" s="33" t="inlineStr">
        <is>
          <t>2007 FL Swim JO LC Championshi</t>
        </is>
      </c>
      <c r="I29" s="33" t="inlineStr">
        <is>
          <t>247592</t>
        </is>
      </c>
      <c r="J29" s="33" t="inlineStr"/>
      <c r="K29" s="33" t="inlineStr">
        <is>
          <t>TIM</t>
        </is>
      </c>
      <c r="L29" s="35">
        <f>IF(K29="FIN",3,IF(OR(K29="SEM",K29="SEMI"),2,IF(OR(K29="PRE",K29="HEAT"),1,IF(V29="YES",4,2))))</f>
        <v/>
      </c>
      <c r="M29" s="33" t="inlineStr">
        <is>
          <t>LCM</t>
        </is>
      </c>
      <c r="N29" s="33" t="n">
        <v>100</v>
      </c>
      <c r="O29" s="33" t="inlineStr">
        <is>
          <t>Free</t>
        </is>
      </c>
      <c r="P29" s="33" t="inlineStr">
        <is>
          <t>100 Free</t>
        </is>
      </c>
      <c r="Q29" s="33" t="inlineStr">
        <is>
          <t>LCM_100_FREE</t>
        </is>
      </c>
      <c r="R29" s="36" t="n">
        <v>63.22</v>
      </c>
      <c r="S29" s="35">
        <f>IF(R29="","",IF(R29&gt;=60,INT(R29/60)&amp;":"&amp;TEXT(MOD(R29,60),"00.00"),TEXT(R29,"0.00")))</f>
        <v/>
      </c>
      <c r="T29" s="52">
        <f>IFERROR((G29-INDEX('01_Swimmers'!$E$5:$E$22,MATCH(B29,'01_Swimmers'!$A$5:$A$22,0)))/'00_Control'!$B$10,"")</f>
        <v/>
      </c>
      <c r="U29" s="35">
        <f>IF(T29="","",INT(T29))</f>
        <v/>
      </c>
      <c r="V29" s="33" t="inlineStr">
        <is>
          <t>NO</t>
        </is>
      </c>
      <c r="W29" s="33" t="inlineStr">
        <is>
          <t>YES</t>
        </is>
      </c>
      <c r="X29" s="33" t="inlineStr">
        <is>
          <t>NO</t>
        </is>
      </c>
      <c r="Y29" s="33" t="n">
        <v>5</v>
      </c>
      <c r="Z29" s="33" t="n">
        <v>4</v>
      </c>
      <c r="AA29" s="33" t="inlineStr">
        <is>
          <t>1</t>
        </is>
      </c>
      <c r="AB29" s="33" t="inlineStr">
        <is>
          <t>https://www.swimcloud.com/results/247592/event/84/?id=84293318#time84293318</t>
        </is>
      </c>
      <c r="AC29" s="33" t="inlineStr">
        <is>
          <t>SwimCloud API v6 2026-10-08</t>
        </is>
      </c>
      <c r="AD29" s="33" t="inlineStr">
        <is>
          <t>Caeleb Dressel|2007-07-22|LCM|100|Free|63.22|2007 FL Swim JO LC Championshi|TIM|False</t>
        </is>
      </c>
      <c r="AE29" s="53">
        <f>G29+L29/1000+ROW()/1000000000</f>
        <v/>
      </c>
      <c r="AF29" s="35">
        <f>IF(C29&lt;&gt;"Grayson Coulter","",COUNTIFS($C$5:$C$2991,"Grayson Coulter",$Q$5:$Q$2991,Q29,$AE$5:$AE$2991,"&lt;="&amp;AE29,$R$5:$R$2991,"&lt;"&amp;R29))</f>
        <v/>
      </c>
      <c r="AG29" s="35">
        <f>IF(OR(C29&lt;&gt;"Grayson Coulter",G29&lt;'00_Control'!$B$7),"",--(AF29&lt;5))</f>
        <v/>
      </c>
      <c r="AH29" s="35">
        <f>IF(OR(C29&lt;&gt;"Grayson Coulter",G29&lt;'00_Control'!$B$7),"",--(AF29&lt;10))</f>
        <v/>
      </c>
      <c r="AI29" s="35">
        <f>IF(AND(C29="Grayson Coulter",G29&gt;='00_Control'!$B$7),"YES","NO")</f>
        <v/>
      </c>
      <c r="AJ29" s="33" t="inlineStr">
        <is>
          <t>OK</t>
        </is>
      </c>
    </row>
    <row r="30">
      <c r="A30" s="33" t="inlineStr">
        <is>
          <t>SM000026</t>
        </is>
      </c>
      <c r="B30" s="33" t="inlineStr">
        <is>
          <t>SW010</t>
        </is>
      </c>
      <c r="C30" s="33" t="inlineStr">
        <is>
          <t>Caeleb Dressel</t>
        </is>
      </c>
      <c r="D30" s="33" t="inlineStr">
        <is>
          <t>SwimCloud</t>
        </is>
      </c>
      <c r="E30" s="33" t="inlineStr">
        <is>
          <t>2361642</t>
        </is>
      </c>
      <c r="F30" s="33" t="inlineStr">
        <is>
          <t>82778513</t>
        </is>
      </c>
      <c r="G30" s="51" t="n">
        <v>39613</v>
      </c>
      <c r="H30" s="33" t="inlineStr">
        <is>
          <t>2008 Brown and Brown</t>
        </is>
      </c>
      <c r="I30" s="33" t="inlineStr">
        <is>
          <t>245874</t>
        </is>
      </c>
      <c r="J30" s="33" t="inlineStr"/>
      <c r="K30" s="33" t="inlineStr">
        <is>
          <t>TIM</t>
        </is>
      </c>
      <c r="L30" s="35">
        <f>IF(K30="FIN",3,IF(OR(K30="SEM",K30="SEMI"),2,IF(OR(K30="PRE",K30="HEAT"),1,IF(V30="YES",4,2))))</f>
        <v/>
      </c>
      <c r="M30" s="33" t="inlineStr">
        <is>
          <t>LCM</t>
        </is>
      </c>
      <c r="N30" s="33" t="n">
        <v>100</v>
      </c>
      <c r="O30" s="33" t="inlineStr">
        <is>
          <t>Free</t>
        </is>
      </c>
      <c r="P30" s="33" t="inlineStr">
        <is>
          <t>100 Free</t>
        </is>
      </c>
      <c r="Q30" s="33" t="inlineStr">
        <is>
          <t>LCM_100_FREE</t>
        </is>
      </c>
      <c r="R30" s="36" t="n">
        <v>62.64</v>
      </c>
      <c r="S30" s="35">
        <f>IF(R30="","",IF(R30&gt;=60,INT(R30/60)&amp;":"&amp;TEXT(MOD(R30,60),"00.00"),TEXT(R30,"0.00")))</f>
        <v/>
      </c>
      <c r="T30" s="52">
        <f>IFERROR((G30-INDEX('01_Swimmers'!$E$5:$E$22,MATCH(B30,'01_Swimmers'!$A$5:$A$22,0)))/'00_Control'!$B$10,"")</f>
        <v/>
      </c>
      <c r="U30" s="35">
        <f>IF(T30="","",INT(T30))</f>
        <v/>
      </c>
      <c r="V30" s="33" t="inlineStr">
        <is>
          <t>NO</t>
        </is>
      </c>
      <c r="W30" s="33" t="inlineStr">
        <is>
          <t>YES</t>
        </is>
      </c>
      <c r="X30" s="33" t="inlineStr">
        <is>
          <t>NO</t>
        </is>
      </c>
      <c r="Y30" s="33" t="n">
        <v>3</v>
      </c>
      <c r="Z30" s="33" t="n">
        <v>4</v>
      </c>
      <c r="AA30" s="33" t="inlineStr">
        <is>
          <t>1</t>
        </is>
      </c>
      <c r="AB30" s="33" t="inlineStr">
        <is>
          <t>https://www.swimcloud.com/results/245874/event/60/?id=82778513#time82778513</t>
        </is>
      </c>
      <c r="AC30" s="33" t="inlineStr">
        <is>
          <t>SwimCloud API v6 2026-10-08</t>
        </is>
      </c>
      <c r="AD30" s="33" t="inlineStr">
        <is>
          <t>Caeleb Dressel|2008-06-14|LCM|100|Free|62.64|2008 Brown and Brown|TIM|False</t>
        </is>
      </c>
      <c r="AE30" s="53">
        <f>G30+L30/1000+ROW()/1000000000</f>
        <v/>
      </c>
      <c r="AF30" s="35">
        <f>IF(C30&lt;&gt;"Grayson Coulter","",COUNTIFS($C$5:$C$2991,"Grayson Coulter",$Q$5:$Q$2991,Q30,$AE$5:$AE$2991,"&lt;="&amp;AE30,$R$5:$R$2991,"&lt;"&amp;R30))</f>
        <v/>
      </c>
      <c r="AG30" s="35">
        <f>IF(OR(C30&lt;&gt;"Grayson Coulter",G30&lt;'00_Control'!$B$7),"",--(AF30&lt;5))</f>
        <v/>
      </c>
      <c r="AH30" s="35">
        <f>IF(OR(C30&lt;&gt;"Grayson Coulter",G30&lt;'00_Control'!$B$7),"",--(AF30&lt;10))</f>
        <v/>
      </c>
      <c r="AI30" s="35">
        <f>IF(AND(C30="Grayson Coulter",G30&gt;='00_Control'!$B$7),"YES","NO")</f>
        <v/>
      </c>
      <c r="AJ30" s="33" t="inlineStr">
        <is>
          <t>OK</t>
        </is>
      </c>
    </row>
    <row r="31">
      <c r="A31" s="33" t="inlineStr">
        <is>
          <t>SM000027</t>
        </is>
      </c>
      <c r="B31" s="33" t="inlineStr">
        <is>
          <t>SW010</t>
        </is>
      </c>
      <c r="C31" s="33" t="inlineStr">
        <is>
          <t>Caeleb Dressel</t>
        </is>
      </c>
      <c r="D31" s="33" t="inlineStr">
        <is>
          <t>SwimCloud</t>
        </is>
      </c>
      <c r="E31" s="33" t="inlineStr">
        <is>
          <t>2361642</t>
        </is>
      </c>
      <c r="F31" s="33" t="inlineStr">
        <is>
          <t>82778527</t>
        </is>
      </c>
      <c r="G31" s="51" t="n">
        <v>39614</v>
      </c>
      <c r="H31" s="33" t="inlineStr">
        <is>
          <t>2008 Brown and Brown</t>
        </is>
      </c>
      <c r="I31" s="33" t="inlineStr">
        <is>
          <t>245874</t>
        </is>
      </c>
      <c r="J31" s="33" t="inlineStr"/>
      <c r="K31" s="33" t="inlineStr">
        <is>
          <t>TIM</t>
        </is>
      </c>
      <c r="L31" s="35">
        <f>IF(K31="FIN",3,IF(OR(K31="SEM",K31="SEMI"),2,IF(OR(K31="PRE",K31="HEAT"),1,IF(V31="YES",4,2))))</f>
        <v/>
      </c>
      <c r="M31" s="33" t="inlineStr">
        <is>
          <t>LCM</t>
        </is>
      </c>
      <c r="N31" s="33" t="n">
        <v>200</v>
      </c>
      <c r="O31" s="33" t="inlineStr">
        <is>
          <t>Free</t>
        </is>
      </c>
      <c r="P31" s="33" t="inlineStr">
        <is>
          <t>200 Free</t>
        </is>
      </c>
      <c r="Q31" s="33" t="inlineStr">
        <is>
          <t>LCM_200_FREE</t>
        </is>
      </c>
      <c r="R31" s="36" t="n">
        <v>135.99</v>
      </c>
      <c r="S31" s="35">
        <f>IF(R31="","",IF(R31&gt;=60,INT(R31/60)&amp;":"&amp;TEXT(MOD(R31,60),"00.00"),TEXT(R31,"0.00")))</f>
        <v/>
      </c>
      <c r="T31" s="52">
        <f>IFERROR((G31-INDEX('01_Swimmers'!$E$5:$E$22,MATCH(B31,'01_Swimmers'!$A$5:$A$22,0)))/'00_Control'!$B$10,"")</f>
        <v/>
      </c>
      <c r="U31" s="35">
        <f>IF(T31="","",INT(T31))</f>
        <v/>
      </c>
      <c r="V31" s="33" t="inlineStr">
        <is>
          <t>NO</t>
        </is>
      </c>
      <c r="W31" s="33" t="inlineStr">
        <is>
          <t>YES</t>
        </is>
      </c>
      <c r="X31" s="33" t="inlineStr">
        <is>
          <t>NO</t>
        </is>
      </c>
      <c r="Y31" s="33" t="n">
        <v>1</v>
      </c>
      <c r="Z31" s="33" t="n">
        <v>2</v>
      </c>
      <c r="AA31" s="33" t="inlineStr">
        <is>
          <t>1</t>
        </is>
      </c>
      <c r="AB31" s="33" t="inlineStr">
        <is>
          <t>https://www.swimcloud.com/results/245874/event/94/?id=82778527#time82778527</t>
        </is>
      </c>
      <c r="AC31" s="33" t="inlineStr">
        <is>
          <t>SwimCloud API v6 2026-10-08</t>
        </is>
      </c>
      <c r="AD31" s="33" t="inlineStr">
        <is>
          <t>Caeleb Dressel|2008-06-15|LCM|200|Free|135.99|2008 Brown and Brown|TIM|False</t>
        </is>
      </c>
      <c r="AE31" s="53">
        <f>G31+L31/1000+ROW()/1000000000</f>
        <v/>
      </c>
      <c r="AF31" s="35">
        <f>IF(C31&lt;&gt;"Grayson Coulter","",COUNTIFS($C$5:$C$2991,"Grayson Coulter",$Q$5:$Q$2991,Q31,$AE$5:$AE$2991,"&lt;="&amp;AE31,$R$5:$R$2991,"&lt;"&amp;R31))</f>
        <v/>
      </c>
      <c r="AG31" s="35">
        <f>IF(OR(C31&lt;&gt;"Grayson Coulter",G31&lt;'00_Control'!$B$7),"",--(AF31&lt;5))</f>
        <v/>
      </c>
      <c r="AH31" s="35">
        <f>IF(OR(C31&lt;&gt;"Grayson Coulter",G31&lt;'00_Control'!$B$7),"",--(AF31&lt;10))</f>
        <v/>
      </c>
      <c r="AI31" s="35">
        <f>IF(AND(C31="Grayson Coulter",G31&gt;='00_Control'!$B$7),"YES","NO")</f>
        <v/>
      </c>
      <c r="AJ31" s="33" t="inlineStr">
        <is>
          <t>OK</t>
        </is>
      </c>
    </row>
    <row r="32">
      <c r="A32" s="33" t="inlineStr">
        <is>
          <t>SM000028</t>
        </is>
      </c>
      <c r="B32" s="33" t="inlineStr">
        <is>
          <t>SW010</t>
        </is>
      </c>
      <c r="C32" s="33" t="inlineStr">
        <is>
          <t>Caeleb Dressel</t>
        </is>
      </c>
      <c r="D32" s="33" t="inlineStr">
        <is>
          <t>SwimCloud</t>
        </is>
      </c>
      <c r="E32" s="33" t="inlineStr">
        <is>
          <t>2361642</t>
        </is>
      </c>
      <c r="F32" s="33" t="inlineStr">
        <is>
          <t>82703787</t>
        </is>
      </c>
      <c r="G32" s="51" t="n">
        <v>39627</v>
      </c>
      <c r="H32" s="33" t="inlineStr">
        <is>
          <t>TYR Summer Classic LC Invitati</t>
        </is>
      </c>
      <c r="I32" s="33" t="inlineStr">
        <is>
          <t>245580</t>
        </is>
      </c>
      <c r="J32" s="33" t="inlineStr"/>
      <c r="K32" s="33" t="inlineStr">
        <is>
          <t>TIM</t>
        </is>
      </c>
      <c r="L32" s="35">
        <f>IF(K32="FIN",3,IF(OR(K32="SEM",K32="SEMI"),2,IF(OR(K32="PRE",K32="HEAT"),1,IF(V32="YES",4,2))))</f>
        <v/>
      </c>
      <c r="M32" s="33" t="inlineStr">
        <is>
          <t>LCM</t>
        </is>
      </c>
      <c r="N32" s="33" t="n">
        <v>400</v>
      </c>
      <c r="O32" s="33" t="inlineStr">
        <is>
          <t>Free</t>
        </is>
      </c>
      <c r="P32" s="33" t="inlineStr">
        <is>
          <t>400 Free</t>
        </is>
      </c>
      <c r="Q32" s="33" t="inlineStr">
        <is>
          <t>LCM_400_FREE</t>
        </is>
      </c>
      <c r="R32" s="36" t="n">
        <v>294.34</v>
      </c>
      <c r="S32" s="35">
        <f>IF(R32="","",IF(R32&gt;=60,INT(R32/60)&amp;":"&amp;TEXT(MOD(R32,60),"00.00"),TEXT(R32,"0.00")))</f>
        <v/>
      </c>
      <c r="T32" s="52">
        <f>IFERROR((G32-INDEX('01_Swimmers'!$E$5:$E$22,MATCH(B32,'01_Swimmers'!$A$5:$A$22,0)))/'00_Control'!$B$10,"")</f>
        <v/>
      </c>
      <c r="U32" s="35">
        <f>IF(T32="","",INT(T32))</f>
        <v/>
      </c>
      <c r="V32" s="33" t="inlineStr">
        <is>
          <t>NO</t>
        </is>
      </c>
      <c r="W32" s="33" t="inlineStr">
        <is>
          <t>YES</t>
        </is>
      </c>
      <c r="X32" s="33" t="inlineStr">
        <is>
          <t>NO</t>
        </is>
      </c>
      <c r="Y32" s="33" t="n">
        <v>2</v>
      </c>
      <c r="Z32" s="33" t="n">
        <v>5</v>
      </c>
      <c r="AA32" s="33" t="inlineStr">
        <is>
          <t>2</t>
        </is>
      </c>
      <c r="AB32" s="33" t="inlineStr">
        <is>
          <t>https://www.swimcloud.com/results/245580/event/68/?id=82703787#time82703787</t>
        </is>
      </c>
      <c r="AC32" s="33" t="inlineStr">
        <is>
          <t>SwimCloud API v6 2026-10-08</t>
        </is>
      </c>
      <c r="AD32" s="33" t="inlineStr">
        <is>
          <t>Caeleb Dressel|2008-06-28|LCM|400|Free|294.34|TYR Summer Classic LC Invitati|TIM|False</t>
        </is>
      </c>
      <c r="AE32" s="53">
        <f>G32+L32/1000+ROW()/1000000000</f>
        <v/>
      </c>
      <c r="AF32" s="35">
        <f>IF(C32&lt;&gt;"Grayson Coulter","",COUNTIFS($C$5:$C$2991,"Grayson Coulter",$Q$5:$Q$2991,Q32,$AE$5:$AE$2991,"&lt;="&amp;AE32,$R$5:$R$2991,"&lt;"&amp;R32))</f>
        <v/>
      </c>
      <c r="AG32" s="35">
        <f>IF(OR(C32&lt;&gt;"Grayson Coulter",G32&lt;'00_Control'!$B$7),"",--(AF32&lt;5))</f>
        <v/>
      </c>
      <c r="AH32" s="35">
        <f>IF(OR(C32&lt;&gt;"Grayson Coulter",G32&lt;'00_Control'!$B$7),"",--(AF32&lt;10))</f>
        <v/>
      </c>
      <c r="AI32" s="35">
        <f>IF(AND(C32="Grayson Coulter",G32&gt;='00_Control'!$B$7),"YES","NO")</f>
        <v/>
      </c>
      <c r="AJ32" s="33" t="inlineStr">
        <is>
          <t>OK</t>
        </is>
      </c>
    </row>
    <row r="33">
      <c r="A33" s="33" t="inlineStr">
        <is>
          <t>SM000029</t>
        </is>
      </c>
      <c r="B33" s="33" t="inlineStr">
        <is>
          <t>SW010</t>
        </is>
      </c>
      <c r="C33" s="33" t="inlineStr">
        <is>
          <t>Caeleb Dressel</t>
        </is>
      </c>
      <c r="D33" s="33" t="inlineStr">
        <is>
          <t>SwimCloud</t>
        </is>
      </c>
      <c r="E33" s="33" t="inlineStr">
        <is>
          <t>2361642</t>
        </is>
      </c>
      <c r="F33" s="33" t="inlineStr">
        <is>
          <t>82703822</t>
        </is>
      </c>
      <c r="G33" s="51" t="n">
        <v>39628</v>
      </c>
      <c r="H33" s="33" t="inlineStr">
        <is>
          <t>TYR Summer Classic LC Invitati</t>
        </is>
      </c>
      <c r="I33" s="33" t="inlineStr">
        <is>
          <t>245580</t>
        </is>
      </c>
      <c r="J33" s="33" t="inlineStr"/>
      <c r="K33" s="33" t="inlineStr">
        <is>
          <t>TIM</t>
        </is>
      </c>
      <c r="L33" s="35">
        <f>IF(K33="FIN",3,IF(OR(K33="SEM",K33="SEMI"),2,IF(OR(K33="PRE",K33="HEAT"),1,IF(V33="YES",4,2))))</f>
        <v/>
      </c>
      <c r="M33" s="33" t="inlineStr">
        <is>
          <t>LCM</t>
        </is>
      </c>
      <c r="N33" s="33" t="n">
        <v>100</v>
      </c>
      <c r="O33" s="33" t="inlineStr">
        <is>
          <t>Fly</t>
        </is>
      </c>
      <c r="P33" s="33" t="inlineStr">
        <is>
          <t>100 Fly</t>
        </is>
      </c>
      <c r="Q33" s="33" t="inlineStr">
        <is>
          <t>LCM_100_FLY</t>
        </is>
      </c>
      <c r="R33" s="36" t="n">
        <v>71.59</v>
      </c>
      <c r="S33" s="35">
        <f>IF(R33="","",IF(R33&gt;=60,INT(R33/60)&amp;":"&amp;TEXT(MOD(R33,60),"00.00"),TEXT(R33,"0.00")))</f>
        <v/>
      </c>
      <c r="T33" s="52">
        <f>IFERROR((G33-INDEX('01_Swimmers'!$E$5:$E$22,MATCH(B33,'01_Swimmers'!$A$5:$A$22,0)))/'00_Control'!$B$10,"")</f>
        <v/>
      </c>
      <c r="U33" s="35">
        <f>IF(T33="","",INT(T33))</f>
        <v/>
      </c>
      <c r="V33" s="33" t="inlineStr">
        <is>
          <t>NO</t>
        </is>
      </c>
      <c r="W33" s="33" t="inlineStr">
        <is>
          <t>YES</t>
        </is>
      </c>
      <c r="X33" s="33" t="inlineStr">
        <is>
          <t>NO</t>
        </is>
      </c>
      <c r="Y33" s="33" t="n">
        <v>2</v>
      </c>
      <c r="Z33" s="33" t="n">
        <v>5</v>
      </c>
      <c r="AA33" s="33" t="inlineStr">
        <is>
          <t>2</t>
        </is>
      </c>
      <c r="AB33" s="33" t="inlineStr">
        <is>
          <t>https://www.swimcloud.com/results/245580/event/100/?id=82703822#time82703822</t>
        </is>
      </c>
      <c r="AC33" s="33" t="inlineStr">
        <is>
          <t>SwimCloud API v6 2026-10-08</t>
        </is>
      </c>
      <c r="AD33" s="33" t="inlineStr">
        <is>
          <t>Caeleb Dressel|2008-06-29|LCM|100|Fly|71.59|TYR Summer Classic LC Invitati|TIM|False</t>
        </is>
      </c>
      <c r="AE33" s="53">
        <f>G33+L33/1000+ROW()/1000000000</f>
        <v/>
      </c>
      <c r="AF33" s="35">
        <f>IF(C33&lt;&gt;"Grayson Coulter","",COUNTIFS($C$5:$C$2991,"Grayson Coulter",$Q$5:$Q$2991,Q33,$AE$5:$AE$2991,"&lt;="&amp;AE33,$R$5:$R$2991,"&lt;"&amp;R33))</f>
        <v/>
      </c>
      <c r="AG33" s="35">
        <f>IF(OR(C33&lt;&gt;"Grayson Coulter",G33&lt;'00_Control'!$B$7),"",--(AF33&lt;5))</f>
        <v/>
      </c>
      <c r="AH33" s="35">
        <f>IF(OR(C33&lt;&gt;"Grayson Coulter",G33&lt;'00_Control'!$B$7),"",--(AF33&lt;10))</f>
        <v/>
      </c>
      <c r="AI33" s="35">
        <f>IF(AND(C33="Grayson Coulter",G33&gt;='00_Control'!$B$7),"YES","NO")</f>
        <v/>
      </c>
      <c r="AJ33" s="33" t="inlineStr">
        <is>
          <t>OK</t>
        </is>
      </c>
    </row>
    <row r="34">
      <c r="A34" s="33" t="inlineStr">
        <is>
          <t>SM000030</t>
        </is>
      </c>
      <c r="B34" s="33" t="inlineStr">
        <is>
          <t>SW010</t>
        </is>
      </c>
      <c r="C34" s="33" t="inlineStr">
        <is>
          <t>Caeleb Dressel</t>
        </is>
      </c>
      <c r="D34" s="33" t="inlineStr">
        <is>
          <t>SwimCloud</t>
        </is>
      </c>
      <c r="E34" s="33" t="inlineStr">
        <is>
          <t>2361642</t>
        </is>
      </c>
      <c r="F34" s="33" t="inlineStr">
        <is>
          <t>82558558</t>
        </is>
      </c>
      <c r="G34" s="51" t="n">
        <v>39646</v>
      </c>
      <c r="H34" s="33" t="inlineStr">
        <is>
          <t>2008 FL Swimming JO LC Champio</t>
        </is>
      </c>
      <c r="I34" s="33" t="inlineStr">
        <is>
          <t>245276</t>
        </is>
      </c>
      <c r="J34" s="33" t="inlineStr"/>
      <c r="K34" s="33" t="inlineStr">
        <is>
          <t>PRE</t>
        </is>
      </c>
      <c r="L34" s="35">
        <f>IF(K34="FIN",3,IF(OR(K34="SEM",K34="SEMI"),2,IF(OR(K34="PRE",K34="HEAT"),1,IF(V34="YES",4,2))))</f>
        <v/>
      </c>
      <c r="M34" s="33" t="inlineStr">
        <is>
          <t>LCM</t>
        </is>
      </c>
      <c r="N34" s="33" t="n">
        <v>100</v>
      </c>
      <c r="O34" s="33" t="inlineStr">
        <is>
          <t>Free</t>
        </is>
      </c>
      <c r="P34" s="33" t="inlineStr">
        <is>
          <t>100 Free</t>
        </is>
      </c>
      <c r="Q34" s="33" t="inlineStr">
        <is>
          <t>LCM_100_FREE</t>
        </is>
      </c>
      <c r="R34" s="36" t="n">
        <v>61.15</v>
      </c>
      <c r="S34" s="35">
        <f>IF(R34="","",IF(R34&gt;=60,INT(R34/60)&amp;":"&amp;TEXT(MOD(R34,60),"00.00"),TEXT(R34,"0.00")))</f>
        <v/>
      </c>
      <c r="T34" s="52">
        <f>IFERROR((G34-INDEX('01_Swimmers'!$E$5:$E$22,MATCH(B34,'01_Swimmers'!$A$5:$A$22,0)))/'00_Control'!$B$10,"")</f>
        <v/>
      </c>
      <c r="U34" s="35">
        <f>IF(T34="","",INT(T34))</f>
        <v/>
      </c>
      <c r="V34" s="33" t="inlineStr">
        <is>
          <t>NO</t>
        </is>
      </c>
      <c r="W34" s="33" t="inlineStr">
        <is>
          <t>YES</t>
        </is>
      </c>
      <c r="X34" s="33" t="inlineStr">
        <is>
          <t>NO</t>
        </is>
      </c>
      <c r="Y34" s="33" t="n">
        <v>6</v>
      </c>
      <c r="Z34" s="33" t="n">
        <v>4</v>
      </c>
      <c r="AA34" s="33" t="inlineStr">
        <is>
          <t>1</t>
        </is>
      </c>
      <c r="AB34" s="33" t="inlineStr">
        <is>
          <t>https://www.swimcloud.com/results/245276/event/10/?id=82558558#time82558558</t>
        </is>
      </c>
      <c r="AC34" s="33" t="inlineStr">
        <is>
          <t>SwimCloud API v6 2026-10-08</t>
        </is>
      </c>
      <c r="AD34" s="33" t="inlineStr">
        <is>
          <t>Caeleb Dressel|2008-07-17|LCM|100|Free|61.15|2008 FL Swimming JO LC Champio|PRE|False</t>
        </is>
      </c>
      <c r="AE34" s="53">
        <f>G34+L34/1000+ROW()/1000000000</f>
        <v/>
      </c>
      <c r="AF34" s="35">
        <f>IF(C34&lt;&gt;"Grayson Coulter","",COUNTIFS($C$5:$C$2991,"Grayson Coulter",$Q$5:$Q$2991,Q34,$AE$5:$AE$2991,"&lt;="&amp;AE34,$R$5:$R$2991,"&lt;"&amp;R34))</f>
        <v/>
      </c>
      <c r="AG34" s="35">
        <f>IF(OR(C34&lt;&gt;"Grayson Coulter",G34&lt;'00_Control'!$B$7),"",--(AF34&lt;5))</f>
        <v/>
      </c>
      <c r="AH34" s="35">
        <f>IF(OR(C34&lt;&gt;"Grayson Coulter",G34&lt;'00_Control'!$B$7),"",--(AF34&lt;10))</f>
        <v/>
      </c>
      <c r="AI34" s="35">
        <f>IF(AND(C34="Grayson Coulter",G34&gt;='00_Control'!$B$7),"YES","NO")</f>
        <v/>
      </c>
      <c r="AJ34" s="33" t="inlineStr">
        <is>
          <t>OK</t>
        </is>
      </c>
    </row>
    <row r="35">
      <c r="A35" s="33" t="inlineStr">
        <is>
          <t>SM000031</t>
        </is>
      </c>
      <c r="B35" s="33" t="inlineStr">
        <is>
          <t>SW010</t>
        </is>
      </c>
      <c r="C35" s="33" t="inlineStr">
        <is>
          <t>Caeleb Dressel</t>
        </is>
      </c>
      <c r="D35" s="33" t="inlineStr">
        <is>
          <t>SwimCloud</t>
        </is>
      </c>
      <c r="E35" s="33" t="inlineStr">
        <is>
          <t>2361642</t>
        </is>
      </c>
      <c r="F35" s="33" t="inlineStr">
        <is>
          <t>82558559</t>
        </is>
      </c>
      <c r="G35" s="51" t="n">
        <v>39646</v>
      </c>
      <c r="H35" s="33" t="inlineStr">
        <is>
          <t>2008 FL Swimming JO LC Champio</t>
        </is>
      </c>
      <c r="I35" s="33" t="inlineStr">
        <is>
          <t>245276</t>
        </is>
      </c>
      <c r="J35" s="33" t="inlineStr"/>
      <c r="K35" s="33" t="inlineStr">
        <is>
          <t>FIN</t>
        </is>
      </c>
      <c r="L35" s="35">
        <f>IF(K35="FIN",3,IF(OR(K35="SEM",K35="SEMI"),2,IF(OR(K35="PRE",K35="HEAT"),1,IF(V35="YES",4,2))))</f>
        <v/>
      </c>
      <c r="M35" s="33" t="inlineStr">
        <is>
          <t>LCM</t>
        </is>
      </c>
      <c r="N35" s="33" t="n">
        <v>100</v>
      </c>
      <c r="O35" s="33" t="inlineStr">
        <is>
          <t>Free</t>
        </is>
      </c>
      <c r="P35" s="33" t="inlineStr">
        <is>
          <t>100 Free</t>
        </is>
      </c>
      <c r="Q35" s="33" t="inlineStr">
        <is>
          <t>LCM_100_FREE</t>
        </is>
      </c>
      <c r="R35" s="36" t="n">
        <v>60.72</v>
      </c>
      <c r="S35" s="35">
        <f>IF(R35="","",IF(R35&gt;=60,INT(R35/60)&amp;":"&amp;TEXT(MOD(R35,60),"00.00"),TEXT(R35,"0.00")))</f>
        <v/>
      </c>
      <c r="T35" s="52">
        <f>IFERROR((G35-INDEX('01_Swimmers'!$E$5:$E$22,MATCH(B35,'01_Swimmers'!$A$5:$A$22,0)))/'00_Control'!$B$10,"")</f>
        <v/>
      </c>
      <c r="U35" s="35">
        <f>IF(T35="","",INT(T35))</f>
        <v/>
      </c>
      <c r="V35" s="33" t="inlineStr">
        <is>
          <t>NO</t>
        </is>
      </c>
      <c r="W35" s="33" t="inlineStr">
        <is>
          <t>YES</t>
        </is>
      </c>
      <c r="X35" s="33" t="inlineStr">
        <is>
          <t>NO</t>
        </is>
      </c>
      <c r="Y35" s="33" t="n">
        <v>1</v>
      </c>
      <c r="Z35" s="33" t="n">
        <v>4</v>
      </c>
      <c r="AA35" s="33" t="inlineStr">
        <is>
          <t>2</t>
        </is>
      </c>
      <c r="AB35" s="33" t="inlineStr">
        <is>
          <t>https://www.swimcloud.com/results/245276/event/10/?id=82558559#time82558559</t>
        </is>
      </c>
      <c r="AC35" s="33" t="inlineStr">
        <is>
          <t>SwimCloud API v6 2026-10-08</t>
        </is>
      </c>
      <c r="AD35" s="33" t="inlineStr">
        <is>
          <t>Caeleb Dressel|2008-07-17|LCM|100|Free|60.72|2008 FL Swimming JO LC Champio|FIN|False</t>
        </is>
      </c>
      <c r="AE35" s="53">
        <f>G35+L35/1000+ROW()/1000000000</f>
        <v/>
      </c>
      <c r="AF35" s="35">
        <f>IF(C35&lt;&gt;"Grayson Coulter","",COUNTIFS($C$5:$C$2991,"Grayson Coulter",$Q$5:$Q$2991,Q35,$AE$5:$AE$2991,"&lt;="&amp;AE35,$R$5:$R$2991,"&lt;"&amp;R35))</f>
        <v/>
      </c>
      <c r="AG35" s="35">
        <f>IF(OR(C35&lt;&gt;"Grayson Coulter",G35&lt;'00_Control'!$B$7),"",--(AF35&lt;5))</f>
        <v/>
      </c>
      <c r="AH35" s="35">
        <f>IF(OR(C35&lt;&gt;"Grayson Coulter",G35&lt;'00_Control'!$B$7),"",--(AF35&lt;10))</f>
        <v/>
      </c>
      <c r="AI35" s="35">
        <f>IF(AND(C35="Grayson Coulter",G35&gt;='00_Control'!$B$7),"YES","NO")</f>
        <v/>
      </c>
      <c r="AJ35" s="33" t="inlineStr">
        <is>
          <t>OK</t>
        </is>
      </c>
    </row>
    <row r="36">
      <c r="A36" s="33" t="inlineStr">
        <is>
          <t>SM000032</t>
        </is>
      </c>
      <c r="B36" s="33" t="inlineStr">
        <is>
          <t>SW010</t>
        </is>
      </c>
      <c r="C36" s="33" t="inlineStr">
        <is>
          <t>Caeleb Dressel</t>
        </is>
      </c>
      <c r="D36" s="33" t="inlineStr">
        <is>
          <t>SwimCloud</t>
        </is>
      </c>
      <c r="E36" s="33" t="inlineStr">
        <is>
          <t>2361642</t>
        </is>
      </c>
      <c r="F36" s="33" t="inlineStr">
        <is>
          <t>82558678</t>
        </is>
      </c>
      <c r="G36" s="51" t="n">
        <v>39647</v>
      </c>
      <c r="H36" s="33" t="inlineStr">
        <is>
          <t>2008 FL Swimming JO LC Champio</t>
        </is>
      </c>
      <c r="I36" s="33" t="inlineStr">
        <is>
          <t>245276</t>
        </is>
      </c>
      <c r="J36" s="33" t="inlineStr"/>
      <c r="K36" s="33" t="inlineStr">
        <is>
          <t>PRE</t>
        </is>
      </c>
      <c r="L36" s="35">
        <f>IF(K36="FIN",3,IF(OR(K36="SEM",K36="SEMI"),2,IF(OR(K36="PRE",K36="HEAT"),1,IF(V36="YES",4,2))))</f>
        <v/>
      </c>
      <c r="M36" s="33" t="inlineStr">
        <is>
          <t>LCM</t>
        </is>
      </c>
      <c r="N36" s="33" t="n">
        <v>200</v>
      </c>
      <c r="O36" s="33" t="inlineStr">
        <is>
          <t>Free</t>
        </is>
      </c>
      <c r="P36" s="33" t="inlineStr">
        <is>
          <t>200 Free</t>
        </is>
      </c>
      <c r="Q36" s="33" t="inlineStr">
        <is>
          <t>LCM_200_FREE</t>
        </is>
      </c>
      <c r="R36" s="36" t="n">
        <v>135.93</v>
      </c>
      <c r="S36" s="35">
        <f>IF(R36="","",IF(R36&gt;=60,INT(R36/60)&amp;":"&amp;TEXT(MOD(R36,60),"00.00"),TEXT(R36,"0.00")))</f>
        <v/>
      </c>
      <c r="T36" s="52">
        <f>IFERROR((G36-INDEX('01_Swimmers'!$E$5:$E$22,MATCH(B36,'01_Swimmers'!$A$5:$A$22,0)))/'00_Control'!$B$10,"")</f>
        <v/>
      </c>
      <c r="U36" s="35">
        <f>IF(T36="","",INT(T36))</f>
        <v/>
      </c>
      <c r="V36" s="33" t="inlineStr">
        <is>
          <t>NO</t>
        </is>
      </c>
      <c r="W36" s="33" t="inlineStr">
        <is>
          <t>YES</t>
        </is>
      </c>
      <c r="X36" s="33" t="inlineStr">
        <is>
          <t>NO</t>
        </is>
      </c>
      <c r="Y36" s="33" t="n">
        <v>5</v>
      </c>
      <c r="Z36" s="33" t="n">
        <v>4</v>
      </c>
      <c r="AA36" s="33" t="inlineStr">
        <is>
          <t>3</t>
        </is>
      </c>
      <c r="AB36" s="33" t="inlineStr">
        <is>
          <t>https://www.swimcloud.com/results/245276/event/34/?id=82558678#time82558678</t>
        </is>
      </c>
      <c r="AC36" s="33" t="inlineStr">
        <is>
          <t>SwimCloud API v6 2026-10-08</t>
        </is>
      </c>
      <c r="AD36" s="33" t="inlineStr">
        <is>
          <t>Caeleb Dressel|2008-07-18|LCM|200|Free|135.93|2008 FL Swimming JO LC Champio|PRE|False</t>
        </is>
      </c>
      <c r="AE36" s="53">
        <f>G36+L36/1000+ROW()/1000000000</f>
        <v/>
      </c>
      <c r="AF36" s="35">
        <f>IF(C36&lt;&gt;"Grayson Coulter","",COUNTIFS($C$5:$C$2991,"Grayson Coulter",$Q$5:$Q$2991,Q36,$AE$5:$AE$2991,"&lt;="&amp;AE36,$R$5:$R$2991,"&lt;"&amp;R36))</f>
        <v/>
      </c>
      <c r="AG36" s="35">
        <f>IF(OR(C36&lt;&gt;"Grayson Coulter",G36&lt;'00_Control'!$B$7),"",--(AF36&lt;5))</f>
        <v/>
      </c>
      <c r="AH36" s="35">
        <f>IF(OR(C36&lt;&gt;"Grayson Coulter",G36&lt;'00_Control'!$B$7),"",--(AF36&lt;10))</f>
        <v/>
      </c>
      <c r="AI36" s="35">
        <f>IF(AND(C36="Grayson Coulter",G36&gt;='00_Control'!$B$7),"YES","NO")</f>
        <v/>
      </c>
      <c r="AJ36" s="33" t="inlineStr">
        <is>
          <t>OK</t>
        </is>
      </c>
    </row>
    <row r="37">
      <c r="A37" s="33" t="inlineStr">
        <is>
          <t>SM000033</t>
        </is>
      </c>
      <c r="B37" s="33" t="inlineStr">
        <is>
          <t>SW010</t>
        </is>
      </c>
      <c r="C37" s="33" t="inlineStr">
        <is>
          <t>Caeleb Dressel</t>
        </is>
      </c>
      <c r="D37" s="33" t="inlineStr">
        <is>
          <t>SwimCloud</t>
        </is>
      </c>
      <c r="E37" s="33" t="inlineStr">
        <is>
          <t>2361642</t>
        </is>
      </c>
      <c r="F37" s="33" t="inlineStr">
        <is>
          <t>82558679</t>
        </is>
      </c>
      <c r="G37" s="51" t="n">
        <v>39647</v>
      </c>
      <c r="H37" s="33" t="inlineStr">
        <is>
          <t>2008 FL Swimming JO LC Champio</t>
        </is>
      </c>
      <c r="I37" s="33" t="inlineStr">
        <is>
          <t>245276</t>
        </is>
      </c>
      <c r="J37" s="33" t="inlineStr"/>
      <c r="K37" s="33" t="inlineStr">
        <is>
          <t>FIN</t>
        </is>
      </c>
      <c r="L37" s="35">
        <f>IF(K37="FIN",3,IF(OR(K37="SEM",K37="SEMI"),2,IF(OR(K37="PRE",K37="HEAT"),1,IF(V37="YES",4,2))))</f>
        <v/>
      </c>
      <c r="M37" s="33" t="inlineStr">
        <is>
          <t>LCM</t>
        </is>
      </c>
      <c r="N37" s="33" t="n">
        <v>200</v>
      </c>
      <c r="O37" s="33" t="inlineStr">
        <is>
          <t>Free</t>
        </is>
      </c>
      <c r="P37" s="33" t="inlineStr">
        <is>
          <t>200 Free</t>
        </is>
      </c>
      <c r="Q37" s="33" t="inlineStr">
        <is>
          <t>LCM_200_FREE</t>
        </is>
      </c>
      <c r="R37" s="36" t="n">
        <v>132.56</v>
      </c>
      <c r="S37" s="35">
        <f>IF(R37="","",IF(R37&gt;=60,INT(R37/60)&amp;":"&amp;TEXT(MOD(R37,60),"00.00"),TEXT(R37,"0.00")))</f>
        <v/>
      </c>
      <c r="T37" s="52">
        <f>IFERROR((G37-INDEX('01_Swimmers'!$E$5:$E$22,MATCH(B37,'01_Swimmers'!$A$5:$A$22,0)))/'00_Control'!$B$10,"")</f>
        <v/>
      </c>
      <c r="U37" s="35">
        <f>IF(T37="","",INT(T37))</f>
        <v/>
      </c>
      <c r="V37" s="33" t="inlineStr">
        <is>
          <t>NO</t>
        </is>
      </c>
      <c r="W37" s="33" t="inlineStr">
        <is>
          <t>YES</t>
        </is>
      </c>
      <c r="X37" s="33" t="inlineStr">
        <is>
          <t>NO</t>
        </is>
      </c>
      <c r="Y37" s="33" t="n">
        <v>1</v>
      </c>
      <c r="Z37" s="33" t="n">
        <v>3</v>
      </c>
      <c r="AA37" s="33" t="inlineStr">
        <is>
          <t>2</t>
        </is>
      </c>
      <c r="AB37" s="33" t="inlineStr">
        <is>
          <t>https://www.swimcloud.com/results/245276/event/34/?id=82558679#time82558679</t>
        </is>
      </c>
      <c r="AC37" s="33" t="inlineStr">
        <is>
          <t>SwimCloud API v6 2026-10-08</t>
        </is>
      </c>
      <c r="AD37" s="33" t="inlineStr">
        <is>
          <t>Caeleb Dressel|2008-07-18|LCM|200|Free|132.56|2008 FL Swimming JO LC Champio|FIN|False</t>
        </is>
      </c>
      <c r="AE37" s="53">
        <f>G37+L37/1000+ROW()/1000000000</f>
        <v/>
      </c>
      <c r="AF37" s="35">
        <f>IF(C37&lt;&gt;"Grayson Coulter","",COUNTIFS($C$5:$C$2991,"Grayson Coulter",$Q$5:$Q$2991,Q37,$AE$5:$AE$2991,"&lt;="&amp;AE37,$R$5:$R$2991,"&lt;"&amp;R37))</f>
        <v/>
      </c>
      <c r="AG37" s="35">
        <f>IF(OR(C37&lt;&gt;"Grayson Coulter",G37&lt;'00_Control'!$B$7),"",--(AF37&lt;5))</f>
        <v/>
      </c>
      <c r="AH37" s="35">
        <f>IF(OR(C37&lt;&gt;"Grayson Coulter",G37&lt;'00_Control'!$B$7),"",--(AF37&lt;10))</f>
        <v/>
      </c>
      <c r="AI37" s="35">
        <f>IF(AND(C37="Grayson Coulter",G37&gt;='00_Control'!$B$7),"YES","NO")</f>
        <v/>
      </c>
      <c r="AJ37" s="33" t="inlineStr">
        <is>
          <t>OK</t>
        </is>
      </c>
    </row>
    <row r="38">
      <c r="A38" s="33" t="inlineStr">
        <is>
          <t>SM000034</t>
        </is>
      </c>
      <c r="B38" s="33" t="inlineStr">
        <is>
          <t>SW010</t>
        </is>
      </c>
      <c r="C38" s="33" t="inlineStr">
        <is>
          <t>Caeleb Dressel</t>
        </is>
      </c>
      <c r="D38" s="33" t="inlineStr">
        <is>
          <t>SwimCloud</t>
        </is>
      </c>
      <c r="E38" s="33" t="inlineStr">
        <is>
          <t>2361642</t>
        </is>
      </c>
      <c r="F38" s="33" t="inlineStr">
        <is>
          <t>82558727</t>
        </is>
      </c>
      <c r="G38" s="51" t="n">
        <v>39648</v>
      </c>
      <c r="H38" s="33" t="inlineStr">
        <is>
          <t>2008 FL Swimming JO LC Champio</t>
        </is>
      </c>
      <c r="I38" s="33" t="inlineStr">
        <is>
          <t>245276</t>
        </is>
      </c>
      <c r="J38" s="33" t="inlineStr"/>
      <c r="K38" s="33" t="inlineStr">
        <is>
          <t>PRE</t>
        </is>
      </c>
      <c r="L38" s="35">
        <f>IF(K38="FIN",3,IF(OR(K38="SEM",K38="SEMI"),2,IF(OR(K38="PRE",K38="HEAT"),1,IF(V38="YES",4,2))))</f>
        <v/>
      </c>
      <c r="M38" s="33" t="inlineStr">
        <is>
          <t>LCM</t>
        </is>
      </c>
      <c r="N38" s="33" t="n">
        <v>100</v>
      </c>
      <c r="O38" s="33" t="inlineStr">
        <is>
          <t>Fly</t>
        </is>
      </c>
      <c r="P38" s="33" t="inlineStr">
        <is>
          <t>100 Fly</t>
        </is>
      </c>
      <c r="Q38" s="33" t="inlineStr">
        <is>
          <t>LCM_100_FLY</t>
        </is>
      </c>
      <c r="R38" s="36" t="n">
        <v>70.23999999999999</v>
      </c>
      <c r="S38" s="35">
        <f>IF(R38="","",IF(R38&gt;=60,INT(R38/60)&amp;":"&amp;TEXT(MOD(R38,60),"00.00"),TEXT(R38,"0.00")))</f>
        <v/>
      </c>
      <c r="T38" s="52">
        <f>IFERROR((G38-INDEX('01_Swimmers'!$E$5:$E$22,MATCH(B38,'01_Swimmers'!$A$5:$A$22,0)))/'00_Control'!$B$10,"")</f>
        <v/>
      </c>
      <c r="U38" s="35">
        <f>IF(T38="","",INT(T38))</f>
        <v/>
      </c>
      <c r="V38" s="33" t="inlineStr">
        <is>
          <t>NO</t>
        </is>
      </c>
      <c r="W38" s="33" t="inlineStr">
        <is>
          <t>YES</t>
        </is>
      </c>
      <c r="X38" s="33" t="inlineStr">
        <is>
          <t>NO</t>
        </is>
      </c>
      <c r="Y38" s="33" t="n">
        <v>4</v>
      </c>
      <c r="Z38" s="33" t="n">
        <v>5</v>
      </c>
      <c r="AA38" s="33" t="inlineStr">
        <is>
          <t>4</t>
        </is>
      </c>
      <c r="AB38" s="33" t="inlineStr">
        <is>
          <t>https://www.swimcloud.com/results/245276/event/52/?id=82558727#time82558727</t>
        </is>
      </c>
      <c r="AC38" s="33" t="inlineStr">
        <is>
          <t>SwimCloud API v6 2026-10-08</t>
        </is>
      </c>
      <c r="AD38" s="33" t="inlineStr">
        <is>
          <t>Caeleb Dressel|2008-07-19|LCM|100|Fly|70.24|2008 FL Swimming JO LC Champio|PRE|False</t>
        </is>
      </c>
      <c r="AE38" s="53">
        <f>G38+L38/1000+ROW()/1000000000</f>
        <v/>
      </c>
      <c r="AF38" s="35">
        <f>IF(C38&lt;&gt;"Grayson Coulter","",COUNTIFS($C$5:$C$2991,"Grayson Coulter",$Q$5:$Q$2991,Q38,$AE$5:$AE$2991,"&lt;="&amp;AE38,$R$5:$R$2991,"&lt;"&amp;R38))</f>
        <v/>
      </c>
      <c r="AG38" s="35">
        <f>IF(OR(C38&lt;&gt;"Grayson Coulter",G38&lt;'00_Control'!$B$7),"",--(AF38&lt;5))</f>
        <v/>
      </c>
      <c r="AH38" s="35">
        <f>IF(OR(C38&lt;&gt;"Grayson Coulter",G38&lt;'00_Control'!$B$7),"",--(AF38&lt;10))</f>
        <v/>
      </c>
      <c r="AI38" s="35">
        <f>IF(AND(C38="Grayson Coulter",G38&gt;='00_Control'!$B$7),"YES","NO")</f>
        <v/>
      </c>
      <c r="AJ38" s="33" t="inlineStr">
        <is>
          <t>OK</t>
        </is>
      </c>
    </row>
    <row r="39">
      <c r="A39" s="33" t="inlineStr">
        <is>
          <t>SM000035</t>
        </is>
      </c>
      <c r="B39" s="33" t="inlineStr">
        <is>
          <t>SW010</t>
        </is>
      </c>
      <c r="C39" s="33" t="inlineStr">
        <is>
          <t>Caeleb Dressel</t>
        </is>
      </c>
      <c r="D39" s="33" t="inlineStr">
        <is>
          <t>SwimCloud</t>
        </is>
      </c>
      <c r="E39" s="33" t="inlineStr">
        <is>
          <t>2361642</t>
        </is>
      </c>
      <c r="F39" s="33" t="inlineStr">
        <is>
          <t>82558728</t>
        </is>
      </c>
      <c r="G39" s="51" t="n">
        <v>39648</v>
      </c>
      <c r="H39" s="33" t="inlineStr">
        <is>
          <t>2008 FL Swimming JO LC Champio</t>
        </is>
      </c>
      <c r="I39" s="33" t="inlineStr">
        <is>
          <t>245276</t>
        </is>
      </c>
      <c r="J39" s="33" t="inlineStr"/>
      <c r="K39" s="33" t="inlineStr">
        <is>
          <t>FIN</t>
        </is>
      </c>
      <c r="L39" s="35">
        <f>IF(K39="FIN",3,IF(OR(K39="SEM",K39="SEMI"),2,IF(OR(K39="PRE",K39="HEAT"),1,IF(V39="YES",4,2))))</f>
        <v/>
      </c>
      <c r="M39" s="33" t="inlineStr">
        <is>
          <t>LCM</t>
        </is>
      </c>
      <c r="N39" s="33" t="n">
        <v>100</v>
      </c>
      <c r="O39" s="33" t="inlineStr">
        <is>
          <t>Fly</t>
        </is>
      </c>
      <c r="P39" s="33" t="inlineStr">
        <is>
          <t>100 Fly</t>
        </is>
      </c>
      <c r="Q39" s="33" t="inlineStr">
        <is>
          <t>LCM_100_FLY</t>
        </is>
      </c>
      <c r="R39" s="36" t="n">
        <v>68.55</v>
      </c>
      <c r="S39" s="35">
        <f>IF(R39="","",IF(R39&gt;=60,INT(R39/60)&amp;":"&amp;TEXT(MOD(R39,60),"00.00"),TEXT(R39,"0.00")))</f>
        <v/>
      </c>
      <c r="T39" s="52">
        <f>IFERROR((G39-INDEX('01_Swimmers'!$E$5:$E$22,MATCH(B39,'01_Swimmers'!$A$5:$A$22,0)))/'00_Control'!$B$10,"")</f>
        <v/>
      </c>
      <c r="U39" s="35">
        <f>IF(T39="","",INT(T39))</f>
        <v/>
      </c>
      <c r="V39" s="33" t="inlineStr">
        <is>
          <t>NO</t>
        </is>
      </c>
      <c r="W39" s="33" t="inlineStr">
        <is>
          <t>YES</t>
        </is>
      </c>
      <c r="X39" s="33" t="inlineStr">
        <is>
          <t>NO</t>
        </is>
      </c>
      <c r="Y39" s="33" t="n">
        <v>1</v>
      </c>
      <c r="Z39" s="33" t="n">
        <v>6</v>
      </c>
      <c r="AA39" s="33" t="inlineStr">
        <is>
          <t>2</t>
        </is>
      </c>
      <c r="AB39" s="33" t="inlineStr">
        <is>
          <t>https://www.swimcloud.com/results/245276/event/52/?id=82558728#time82558728</t>
        </is>
      </c>
      <c r="AC39" s="33" t="inlineStr">
        <is>
          <t>SwimCloud API v6 2026-10-08</t>
        </is>
      </c>
      <c r="AD39" s="33" t="inlineStr">
        <is>
          <t>Caeleb Dressel|2008-07-19|LCM|100|Fly|68.55|2008 FL Swimming JO LC Champio|FIN|False</t>
        </is>
      </c>
      <c r="AE39" s="53">
        <f>G39+L39/1000+ROW()/1000000000</f>
        <v/>
      </c>
      <c r="AF39" s="35">
        <f>IF(C39&lt;&gt;"Grayson Coulter","",COUNTIFS($C$5:$C$2991,"Grayson Coulter",$Q$5:$Q$2991,Q39,$AE$5:$AE$2991,"&lt;="&amp;AE39,$R$5:$R$2991,"&lt;"&amp;R39))</f>
        <v/>
      </c>
      <c r="AG39" s="35">
        <f>IF(OR(C39&lt;&gt;"Grayson Coulter",G39&lt;'00_Control'!$B$7),"",--(AF39&lt;5))</f>
        <v/>
      </c>
      <c r="AH39" s="35">
        <f>IF(OR(C39&lt;&gt;"Grayson Coulter",G39&lt;'00_Control'!$B$7),"",--(AF39&lt;10))</f>
        <v/>
      </c>
      <c r="AI39" s="35">
        <f>IF(AND(C39="Grayson Coulter",G39&gt;='00_Control'!$B$7),"YES","NO")</f>
        <v/>
      </c>
      <c r="AJ39" s="33" t="inlineStr">
        <is>
          <t>OK</t>
        </is>
      </c>
    </row>
    <row r="40">
      <c r="A40" s="33" t="inlineStr">
        <is>
          <t>SM000036</t>
        </is>
      </c>
      <c r="B40" s="33" t="inlineStr">
        <is>
          <t>SW010</t>
        </is>
      </c>
      <c r="C40" s="33" t="inlineStr">
        <is>
          <t>Caeleb Dressel</t>
        </is>
      </c>
      <c r="D40" s="33" t="inlineStr">
        <is>
          <t>SwimCloud</t>
        </is>
      </c>
      <c r="E40" s="33" t="inlineStr">
        <is>
          <t>2361642</t>
        </is>
      </c>
      <c r="F40" s="33" t="inlineStr">
        <is>
          <t>82431827</t>
        </is>
      </c>
      <c r="G40" s="51" t="n">
        <v>39659</v>
      </c>
      <c r="H40" s="33" t="inlineStr">
        <is>
          <t>2008 Southern Zone Champs</t>
        </is>
      </c>
      <c r="I40" s="33" t="inlineStr">
        <is>
          <t>245093</t>
        </is>
      </c>
      <c r="J40" s="33" t="inlineStr"/>
      <c r="K40" s="33" t="inlineStr">
        <is>
          <t>PRE</t>
        </is>
      </c>
      <c r="L40" s="35">
        <f>IF(K40="FIN",3,IF(OR(K40="SEM",K40="SEMI"),2,IF(OR(K40="PRE",K40="HEAT"),1,IF(V40="YES",4,2))))</f>
        <v/>
      </c>
      <c r="M40" s="33" t="inlineStr">
        <is>
          <t>LCM</t>
        </is>
      </c>
      <c r="N40" s="33" t="n">
        <v>100</v>
      </c>
      <c r="O40" s="33" t="inlineStr">
        <is>
          <t>Fly</t>
        </is>
      </c>
      <c r="P40" s="33" t="inlineStr">
        <is>
          <t>100 Fly</t>
        </is>
      </c>
      <c r="Q40" s="33" t="inlineStr">
        <is>
          <t>LCM_100_FLY</t>
        </is>
      </c>
      <c r="R40" s="36" t="n">
        <v>70.76000000000001</v>
      </c>
      <c r="S40" s="35">
        <f>IF(R40="","",IF(R40&gt;=60,INT(R40/60)&amp;":"&amp;TEXT(MOD(R40,60),"00.00"),TEXT(R40,"0.00")))</f>
        <v/>
      </c>
      <c r="T40" s="52">
        <f>IFERROR((G40-INDEX('01_Swimmers'!$E$5:$E$22,MATCH(B40,'01_Swimmers'!$A$5:$A$22,0)))/'00_Control'!$B$10,"")</f>
        <v/>
      </c>
      <c r="U40" s="35">
        <f>IF(T40="","",INT(T40))</f>
        <v/>
      </c>
      <c r="V40" s="33" t="inlineStr">
        <is>
          <t>NO</t>
        </is>
      </c>
      <c r="W40" s="33" t="inlineStr">
        <is>
          <t>YES</t>
        </is>
      </c>
      <c r="X40" s="33" t="inlineStr">
        <is>
          <t>NO</t>
        </is>
      </c>
      <c r="Y40" s="33" t="n">
        <v>3</v>
      </c>
      <c r="Z40" s="33" t="n">
        <v>3</v>
      </c>
      <c r="AA40" s="33" t="inlineStr">
        <is>
          <t>22</t>
        </is>
      </c>
      <c r="AB40" s="33" t="inlineStr">
        <is>
          <t>https://www.swimcloud.com/results/245093/event/16/?id=82431827#time82431827</t>
        </is>
      </c>
      <c r="AC40" s="33" t="inlineStr">
        <is>
          <t>SwimCloud API v6 2026-10-08</t>
        </is>
      </c>
      <c r="AD40" s="33" t="inlineStr">
        <is>
          <t>Caeleb Dressel|2008-07-30|LCM|100|Fly|70.76|2008 Southern Zone Champs|PRE|False</t>
        </is>
      </c>
      <c r="AE40" s="53">
        <f>G40+L40/1000+ROW()/1000000000</f>
        <v/>
      </c>
      <c r="AF40" s="35">
        <f>IF(C40&lt;&gt;"Grayson Coulter","",COUNTIFS($C$5:$C$2991,"Grayson Coulter",$Q$5:$Q$2991,Q40,$AE$5:$AE$2991,"&lt;="&amp;AE40,$R$5:$R$2991,"&lt;"&amp;R40))</f>
        <v/>
      </c>
      <c r="AG40" s="35">
        <f>IF(OR(C40&lt;&gt;"Grayson Coulter",G40&lt;'00_Control'!$B$7),"",--(AF40&lt;5))</f>
        <v/>
      </c>
      <c r="AH40" s="35">
        <f>IF(OR(C40&lt;&gt;"Grayson Coulter",G40&lt;'00_Control'!$B$7),"",--(AF40&lt;10))</f>
        <v/>
      </c>
      <c r="AI40" s="35">
        <f>IF(AND(C40="Grayson Coulter",G40&gt;='00_Control'!$B$7),"YES","NO")</f>
        <v/>
      </c>
      <c r="AJ40" s="33" t="inlineStr">
        <is>
          <t>OK</t>
        </is>
      </c>
    </row>
    <row r="41">
      <c r="A41" s="33" t="inlineStr">
        <is>
          <t>SM000037</t>
        </is>
      </c>
      <c r="B41" s="33" t="inlineStr">
        <is>
          <t>SW010</t>
        </is>
      </c>
      <c r="C41" s="33" t="inlineStr">
        <is>
          <t>Caeleb Dressel</t>
        </is>
      </c>
      <c r="D41" s="33" t="inlineStr">
        <is>
          <t>SwimCloud</t>
        </is>
      </c>
      <c r="E41" s="33" t="inlineStr">
        <is>
          <t>2361642</t>
        </is>
      </c>
      <c r="F41" s="33" t="inlineStr">
        <is>
          <t>82431763</t>
        </is>
      </c>
      <c r="G41" s="51" t="n">
        <v>39659</v>
      </c>
      <c r="H41" s="33" t="inlineStr">
        <is>
          <t>2008 Southern Zone Champs</t>
        </is>
      </c>
      <c r="I41" s="33" t="inlineStr">
        <is>
          <t>245093</t>
        </is>
      </c>
      <c r="J41" s="33" t="inlineStr"/>
      <c r="K41" s="33" t="inlineStr">
        <is>
          <t>PRE</t>
        </is>
      </c>
      <c r="L41" s="35">
        <f>IF(K41="FIN",3,IF(OR(K41="SEM",K41="SEMI"),2,IF(OR(K41="PRE",K41="HEAT"),1,IF(V41="YES",4,2))))</f>
        <v/>
      </c>
      <c r="M41" s="33" t="inlineStr">
        <is>
          <t>LCM</t>
        </is>
      </c>
      <c r="N41" s="33" t="n">
        <v>200</v>
      </c>
      <c r="O41" s="33" t="inlineStr">
        <is>
          <t>Free</t>
        </is>
      </c>
      <c r="P41" s="33" t="inlineStr">
        <is>
          <t>200 Free</t>
        </is>
      </c>
      <c r="Q41" s="33" t="inlineStr">
        <is>
          <t>LCM_200_FREE</t>
        </is>
      </c>
      <c r="R41" s="36" t="n">
        <v>134.91</v>
      </c>
      <c r="S41" s="35">
        <f>IF(R41="","",IF(R41&gt;=60,INT(R41/60)&amp;":"&amp;TEXT(MOD(R41,60),"00.00"),TEXT(R41,"0.00")))</f>
        <v/>
      </c>
      <c r="T41" s="52">
        <f>IFERROR((G41-INDEX('01_Swimmers'!$E$5:$E$22,MATCH(B41,'01_Swimmers'!$A$5:$A$22,0)))/'00_Control'!$B$10,"")</f>
        <v/>
      </c>
      <c r="U41" s="35">
        <f>IF(T41="","",INT(T41))</f>
        <v/>
      </c>
      <c r="V41" s="33" t="inlineStr">
        <is>
          <t>NO</t>
        </is>
      </c>
      <c r="W41" s="33" t="inlineStr">
        <is>
          <t>YES</t>
        </is>
      </c>
      <c r="X41" s="33" t="inlineStr">
        <is>
          <t>NO</t>
        </is>
      </c>
      <c r="Y41" s="33" t="n">
        <v>4</v>
      </c>
      <c r="Z41" s="33" t="n">
        <v>3</v>
      </c>
      <c r="AA41" s="33" t="inlineStr">
        <is>
          <t>20</t>
        </is>
      </c>
      <c r="AB41" s="33" t="inlineStr">
        <is>
          <t>https://www.swimcloud.com/results/245093/event/4/?id=82431763#time82431763</t>
        </is>
      </c>
      <c r="AC41" s="33" t="inlineStr">
        <is>
          <t>SwimCloud API v6 2026-10-08</t>
        </is>
      </c>
      <c r="AD41" s="33" t="inlineStr">
        <is>
          <t>Caeleb Dressel|2008-07-30|LCM|200|Free|134.91|2008 Southern Zone Champs|PRE|False</t>
        </is>
      </c>
      <c r="AE41" s="53">
        <f>G41+L41/1000+ROW()/1000000000</f>
        <v/>
      </c>
      <c r="AF41" s="35">
        <f>IF(C41&lt;&gt;"Grayson Coulter","",COUNTIFS($C$5:$C$2991,"Grayson Coulter",$Q$5:$Q$2991,Q41,$AE$5:$AE$2991,"&lt;="&amp;AE41,$R$5:$R$2991,"&lt;"&amp;R41))</f>
        <v/>
      </c>
      <c r="AG41" s="35">
        <f>IF(OR(C41&lt;&gt;"Grayson Coulter",G41&lt;'00_Control'!$B$7),"",--(AF41&lt;5))</f>
        <v/>
      </c>
      <c r="AH41" s="35">
        <f>IF(OR(C41&lt;&gt;"Grayson Coulter",G41&lt;'00_Control'!$B$7),"",--(AF41&lt;10))</f>
        <v/>
      </c>
      <c r="AI41" s="35">
        <f>IF(AND(C41="Grayson Coulter",G41&gt;='00_Control'!$B$7),"YES","NO")</f>
        <v/>
      </c>
      <c r="AJ41" s="33" t="inlineStr">
        <is>
          <t>OK</t>
        </is>
      </c>
    </row>
    <row r="42">
      <c r="A42" s="33" t="inlineStr">
        <is>
          <t>SM000038</t>
        </is>
      </c>
      <c r="B42" s="33" t="inlineStr">
        <is>
          <t>SW010</t>
        </is>
      </c>
      <c r="C42" s="33" t="inlineStr">
        <is>
          <t>Caeleb Dressel</t>
        </is>
      </c>
      <c r="D42" s="33" t="inlineStr">
        <is>
          <t>SwimCloud</t>
        </is>
      </c>
      <c r="E42" s="33" t="inlineStr">
        <is>
          <t>2361642</t>
        </is>
      </c>
      <c r="F42" s="33" t="inlineStr">
        <is>
          <t>82431983</t>
        </is>
      </c>
      <c r="G42" s="51" t="n">
        <v>39661</v>
      </c>
      <c r="H42" s="33" t="inlineStr">
        <is>
          <t>2008 Southern Zone Champs</t>
        </is>
      </c>
      <c r="I42" s="33" t="inlineStr">
        <is>
          <t>245093</t>
        </is>
      </c>
      <c r="J42" s="33" t="inlineStr"/>
      <c r="K42" s="33" t="inlineStr">
        <is>
          <t>PRE</t>
        </is>
      </c>
      <c r="L42" s="35">
        <f>IF(K42="FIN",3,IF(OR(K42="SEM",K42="SEMI"),2,IF(OR(K42="PRE",K42="HEAT"),1,IF(V42="YES",4,2))))</f>
        <v/>
      </c>
      <c r="M42" s="33" t="inlineStr">
        <is>
          <t>LCM</t>
        </is>
      </c>
      <c r="N42" s="33" t="n">
        <v>100</v>
      </c>
      <c r="O42" s="33" t="inlineStr">
        <is>
          <t>Free</t>
        </is>
      </c>
      <c r="P42" s="33" t="inlineStr">
        <is>
          <t>100 Free</t>
        </is>
      </c>
      <c r="Q42" s="33" t="inlineStr">
        <is>
          <t>LCM_100_FREE</t>
        </is>
      </c>
      <c r="R42" s="36" t="n">
        <v>59.76</v>
      </c>
      <c r="S42" s="35">
        <f>IF(R42="","",IF(R42&gt;=60,INT(R42/60)&amp;":"&amp;TEXT(MOD(R42,60),"00.00"),TEXT(R42,"0.00")))</f>
        <v/>
      </c>
      <c r="T42" s="52">
        <f>IFERROR((G42-INDEX('01_Swimmers'!$E$5:$E$22,MATCH(B42,'01_Swimmers'!$A$5:$A$22,0)))/'00_Control'!$B$10,"")</f>
        <v/>
      </c>
      <c r="U42" s="35">
        <f>IF(T42="","",INT(T42))</f>
        <v/>
      </c>
      <c r="V42" s="33" t="inlineStr">
        <is>
          <t>NO</t>
        </is>
      </c>
      <c r="W42" s="33" t="inlineStr">
        <is>
          <t>YES</t>
        </is>
      </c>
      <c r="X42" s="33" t="inlineStr">
        <is>
          <t>NO</t>
        </is>
      </c>
      <c r="Y42" s="33" t="n">
        <v>4</v>
      </c>
      <c r="Z42" s="33" t="n">
        <v>4</v>
      </c>
      <c r="AA42" s="33" t="inlineStr">
        <is>
          <t>3</t>
        </is>
      </c>
      <c r="AB42" s="33" t="inlineStr">
        <is>
          <t>https://www.swimcloud.com/results/245093/event/54/?id=82431983#time82431983</t>
        </is>
      </c>
      <c r="AC42" s="33" t="inlineStr">
        <is>
          <t>SwimCloud API v6 2026-10-08</t>
        </is>
      </c>
      <c r="AD42" s="33" t="inlineStr">
        <is>
          <t>Caeleb Dressel|2008-08-01|LCM|100|Free|59.76|2008 Southern Zone Champs|PRE|False</t>
        </is>
      </c>
      <c r="AE42" s="53">
        <f>G42+L42/1000+ROW()/1000000000</f>
        <v/>
      </c>
      <c r="AF42" s="35">
        <f>IF(C42&lt;&gt;"Grayson Coulter","",COUNTIFS($C$5:$C$2991,"Grayson Coulter",$Q$5:$Q$2991,Q42,$AE$5:$AE$2991,"&lt;="&amp;AE42,$R$5:$R$2991,"&lt;"&amp;R42))</f>
        <v/>
      </c>
      <c r="AG42" s="35">
        <f>IF(OR(C42&lt;&gt;"Grayson Coulter",G42&lt;'00_Control'!$B$7),"",--(AF42&lt;5))</f>
        <v/>
      </c>
      <c r="AH42" s="35">
        <f>IF(OR(C42&lt;&gt;"Grayson Coulter",G42&lt;'00_Control'!$B$7),"",--(AF42&lt;10))</f>
        <v/>
      </c>
      <c r="AI42" s="35">
        <f>IF(AND(C42="Grayson Coulter",G42&gt;='00_Control'!$B$7),"YES","NO")</f>
        <v/>
      </c>
      <c r="AJ42" s="33" t="inlineStr">
        <is>
          <t>OK</t>
        </is>
      </c>
    </row>
    <row r="43">
      <c r="A43" s="33" t="inlineStr">
        <is>
          <t>SM000039</t>
        </is>
      </c>
      <c r="B43" s="33" t="inlineStr">
        <is>
          <t>SW010</t>
        </is>
      </c>
      <c r="C43" s="33" t="inlineStr">
        <is>
          <t>Caeleb Dressel</t>
        </is>
      </c>
      <c r="D43" s="33" t="inlineStr">
        <is>
          <t>SwimCloud</t>
        </is>
      </c>
      <c r="E43" s="33" t="inlineStr">
        <is>
          <t>2361642</t>
        </is>
      </c>
      <c r="F43" s="33" t="inlineStr">
        <is>
          <t>82431984</t>
        </is>
      </c>
      <c r="G43" s="51" t="n">
        <v>39661</v>
      </c>
      <c r="H43" s="33" t="inlineStr">
        <is>
          <t>2008 Southern Zone Champs</t>
        </is>
      </c>
      <c r="I43" s="33" t="inlineStr">
        <is>
          <t>245093</t>
        </is>
      </c>
      <c r="J43" s="33" t="inlineStr"/>
      <c r="K43" s="33" t="inlineStr">
        <is>
          <t>FIN</t>
        </is>
      </c>
      <c r="L43" s="35">
        <f>IF(K43="FIN",3,IF(OR(K43="SEM",K43="SEMI"),2,IF(OR(K43="PRE",K43="HEAT"),1,IF(V43="YES",4,2))))</f>
        <v/>
      </c>
      <c r="M43" s="33" t="inlineStr">
        <is>
          <t>LCM</t>
        </is>
      </c>
      <c r="N43" s="33" t="n">
        <v>100</v>
      </c>
      <c r="O43" s="33" t="inlineStr">
        <is>
          <t>Free</t>
        </is>
      </c>
      <c r="P43" s="33" t="inlineStr">
        <is>
          <t>100 Free</t>
        </is>
      </c>
      <c r="Q43" s="33" t="inlineStr">
        <is>
          <t>LCM_100_FREE</t>
        </is>
      </c>
      <c r="R43" s="36" t="n">
        <v>60.03</v>
      </c>
      <c r="S43" s="35">
        <f>IF(R43="","",IF(R43&gt;=60,INT(R43/60)&amp;":"&amp;TEXT(MOD(R43,60),"00.00"),TEXT(R43,"0.00")))</f>
        <v/>
      </c>
      <c r="T43" s="52">
        <f>IFERROR((G43-INDEX('01_Swimmers'!$E$5:$E$22,MATCH(B43,'01_Swimmers'!$A$5:$A$22,0)))/'00_Control'!$B$10,"")</f>
        <v/>
      </c>
      <c r="U43" s="35">
        <f>IF(T43="","",INT(T43))</f>
        <v/>
      </c>
      <c r="V43" s="33" t="inlineStr">
        <is>
          <t>NO</t>
        </is>
      </c>
      <c r="W43" s="33" t="inlineStr">
        <is>
          <t>YES</t>
        </is>
      </c>
      <c r="X43" s="33" t="inlineStr">
        <is>
          <t>NO</t>
        </is>
      </c>
      <c r="Y43" s="33" t="n">
        <v>1</v>
      </c>
      <c r="Z43" s="33" t="n">
        <v>4</v>
      </c>
      <c r="AA43" s="33" t="inlineStr">
        <is>
          <t>9</t>
        </is>
      </c>
      <c r="AB43" s="33" t="inlineStr">
        <is>
          <t>https://www.swimcloud.com/results/245093/event/54/?id=82431984#time82431984</t>
        </is>
      </c>
      <c r="AC43" s="33" t="inlineStr">
        <is>
          <t>SwimCloud API v6 2026-10-08</t>
        </is>
      </c>
      <c r="AD43" s="33" t="inlineStr">
        <is>
          <t>Caeleb Dressel|2008-08-01|LCM|100|Free|60.03|2008 Southern Zone Champs|FIN|False</t>
        </is>
      </c>
      <c r="AE43" s="53">
        <f>G43+L43/1000+ROW()/1000000000</f>
        <v/>
      </c>
      <c r="AF43" s="35">
        <f>IF(C43&lt;&gt;"Grayson Coulter","",COUNTIFS($C$5:$C$2991,"Grayson Coulter",$Q$5:$Q$2991,Q43,$AE$5:$AE$2991,"&lt;="&amp;AE43,$R$5:$R$2991,"&lt;"&amp;R43))</f>
        <v/>
      </c>
      <c r="AG43" s="35">
        <f>IF(OR(C43&lt;&gt;"Grayson Coulter",G43&lt;'00_Control'!$B$7),"",--(AF43&lt;5))</f>
        <v/>
      </c>
      <c r="AH43" s="35">
        <f>IF(OR(C43&lt;&gt;"Grayson Coulter",G43&lt;'00_Control'!$B$7),"",--(AF43&lt;10))</f>
        <v/>
      </c>
      <c r="AI43" s="35">
        <f>IF(AND(C43="Grayson Coulter",G43&gt;='00_Control'!$B$7),"YES","NO")</f>
        <v/>
      </c>
      <c r="AJ43" s="33" t="inlineStr">
        <is>
          <t>OK</t>
        </is>
      </c>
    </row>
    <row r="44">
      <c r="A44" s="33" t="inlineStr">
        <is>
          <t>SM000040</t>
        </is>
      </c>
      <c r="B44" s="33" t="inlineStr">
        <is>
          <t>SW010</t>
        </is>
      </c>
      <c r="C44" s="33" t="inlineStr">
        <is>
          <t>Caeleb Dressel</t>
        </is>
      </c>
      <c r="D44" s="33" t="inlineStr">
        <is>
          <t>SwimCloud</t>
        </is>
      </c>
      <c r="E44" s="33" t="inlineStr">
        <is>
          <t>2361642</t>
        </is>
      </c>
      <c r="F44" s="33" t="inlineStr">
        <is>
          <t>81528401</t>
        </is>
      </c>
      <c r="G44" s="51" t="n">
        <v>39837</v>
      </c>
      <c r="H44" s="33" t="inlineStr">
        <is>
          <t>Daytona Beach Long Course Invi</t>
        </is>
      </c>
      <c r="I44" s="33" t="inlineStr">
        <is>
          <t>243116</t>
        </is>
      </c>
      <c r="J44" s="33" t="inlineStr"/>
      <c r="K44" s="33" t="inlineStr">
        <is>
          <t>TIM</t>
        </is>
      </c>
      <c r="L44" s="35">
        <f>IF(K44="FIN",3,IF(OR(K44="SEM",K44="SEMI"),2,IF(OR(K44="PRE",K44="HEAT"),1,IF(V44="YES",4,2))))</f>
        <v/>
      </c>
      <c r="M44" s="33" t="inlineStr">
        <is>
          <t>LCM</t>
        </is>
      </c>
      <c r="N44" s="33" t="n">
        <v>100</v>
      </c>
      <c r="O44" s="33" t="inlineStr">
        <is>
          <t>Free</t>
        </is>
      </c>
      <c r="P44" s="33" t="inlineStr">
        <is>
          <t>100 Free</t>
        </is>
      </c>
      <c r="Q44" s="33" t="inlineStr">
        <is>
          <t>LCM_100_FREE</t>
        </is>
      </c>
      <c r="R44" s="36" t="n">
        <v>60.53</v>
      </c>
      <c r="S44" s="35">
        <f>IF(R44="","",IF(R44&gt;=60,INT(R44/60)&amp;":"&amp;TEXT(MOD(R44,60),"00.00"),TEXT(R44,"0.00")))</f>
        <v/>
      </c>
      <c r="T44" s="52">
        <f>IFERROR((G44-INDEX('01_Swimmers'!$E$5:$E$22,MATCH(B44,'01_Swimmers'!$A$5:$A$22,0)))/'00_Control'!$B$10,"")</f>
        <v/>
      </c>
      <c r="U44" s="35">
        <f>IF(T44="","",INT(T44))</f>
        <v/>
      </c>
      <c r="V44" s="33" t="inlineStr">
        <is>
          <t>NO</t>
        </is>
      </c>
      <c r="W44" s="33" t="inlineStr">
        <is>
          <t>YES</t>
        </is>
      </c>
      <c r="X44" s="33" t="inlineStr">
        <is>
          <t>NO</t>
        </is>
      </c>
      <c r="Y44" s="33" t="n">
        <v>3</v>
      </c>
      <c r="Z44" s="33" t="n">
        <v>2</v>
      </c>
      <c r="AA44" s="33" t="inlineStr">
        <is>
          <t>17</t>
        </is>
      </c>
      <c r="AB44" s="33" t="inlineStr">
        <is>
          <t>https://www.swimcloud.com/results/243116/event/16/?id=81528401#time81528401</t>
        </is>
      </c>
      <c r="AC44" s="33" t="inlineStr">
        <is>
          <t>SwimCloud API v6 2026-10-08</t>
        </is>
      </c>
      <c r="AD44" s="33" t="inlineStr">
        <is>
          <t>Caeleb Dressel|2009-01-24|LCM|100|Free|60.53|Daytona Beach Long Course Invi|TIM|False</t>
        </is>
      </c>
      <c r="AE44" s="53">
        <f>G44+L44/1000+ROW()/1000000000</f>
        <v/>
      </c>
      <c r="AF44" s="35">
        <f>IF(C44&lt;&gt;"Grayson Coulter","",COUNTIFS($C$5:$C$2991,"Grayson Coulter",$Q$5:$Q$2991,Q44,$AE$5:$AE$2991,"&lt;="&amp;AE44,$R$5:$R$2991,"&lt;"&amp;R44))</f>
        <v/>
      </c>
      <c r="AG44" s="35">
        <f>IF(OR(C44&lt;&gt;"Grayson Coulter",G44&lt;'00_Control'!$B$7),"",--(AF44&lt;5))</f>
        <v/>
      </c>
      <c r="AH44" s="35">
        <f>IF(OR(C44&lt;&gt;"Grayson Coulter",G44&lt;'00_Control'!$B$7),"",--(AF44&lt;10))</f>
        <v/>
      </c>
      <c r="AI44" s="35">
        <f>IF(AND(C44="Grayson Coulter",G44&gt;='00_Control'!$B$7),"YES","NO")</f>
        <v/>
      </c>
      <c r="AJ44" s="33" t="inlineStr">
        <is>
          <t>OK</t>
        </is>
      </c>
    </row>
    <row r="45">
      <c r="A45" s="33" t="inlineStr">
        <is>
          <t>SM000041</t>
        </is>
      </c>
      <c r="B45" s="33" t="inlineStr">
        <is>
          <t>SW010</t>
        </is>
      </c>
      <c r="C45" s="33" t="inlineStr">
        <is>
          <t>Caeleb Dressel</t>
        </is>
      </c>
      <c r="D45" s="33" t="inlineStr">
        <is>
          <t>SwimCloud</t>
        </is>
      </c>
      <c r="E45" s="33" t="inlineStr">
        <is>
          <t>2361642</t>
        </is>
      </c>
      <c r="F45" s="33" t="inlineStr">
        <is>
          <t>81007044</t>
        </is>
      </c>
      <c r="G45" s="51" t="n">
        <v>39928</v>
      </c>
      <c r="H45" s="33" t="inlineStr">
        <is>
          <t>2009 FL Bolles Sprint Explosion</t>
        </is>
      </c>
      <c r="I45" s="33" t="inlineStr">
        <is>
          <t>242471</t>
        </is>
      </c>
      <c r="J45" s="33" t="inlineStr"/>
      <c r="K45" s="33" t="inlineStr">
        <is>
          <t>TIM</t>
        </is>
      </c>
      <c r="L45" s="35">
        <f>IF(K45="FIN",3,IF(OR(K45="SEM",K45="SEMI"),2,IF(OR(K45="PRE",K45="HEAT"),1,IF(V45="YES",4,2))))</f>
        <v/>
      </c>
      <c r="M45" s="33" t="inlineStr">
        <is>
          <t>LCM</t>
        </is>
      </c>
      <c r="N45" s="33" t="n">
        <v>100</v>
      </c>
      <c r="O45" s="33" t="inlineStr">
        <is>
          <t>Fly</t>
        </is>
      </c>
      <c r="P45" s="33" t="inlineStr">
        <is>
          <t>100 Fly</t>
        </is>
      </c>
      <c r="Q45" s="33" t="inlineStr">
        <is>
          <t>LCM_100_FLY</t>
        </is>
      </c>
      <c r="R45" s="36" t="n">
        <v>66.41</v>
      </c>
      <c r="S45" s="35">
        <f>IF(R45="","",IF(R45&gt;=60,INT(R45/60)&amp;":"&amp;TEXT(MOD(R45,60),"00.00"),TEXT(R45,"0.00")))</f>
        <v/>
      </c>
      <c r="T45" s="52">
        <f>IFERROR((G45-INDEX('01_Swimmers'!$E$5:$E$22,MATCH(B45,'01_Swimmers'!$A$5:$A$22,0)))/'00_Control'!$B$10,"")</f>
        <v/>
      </c>
      <c r="U45" s="35">
        <f>IF(T45="","",INT(T45))</f>
        <v/>
      </c>
      <c r="V45" s="33" t="inlineStr">
        <is>
          <t>NO</t>
        </is>
      </c>
      <c r="W45" s="33" t="inlineStr">
        <is>
          <t>YES</t>
        </is>
      </c>
      <c r="X45" s="33" t="inlineStr">
        <is>
          <t>NO</t>
        </is>
      </c>
      <c r="Y45" s="33" t="n">
        <v>1</v>
      </c>
      <c r="Z45" s="33" t="n">
        <v>4</v>
      </c>
      <c r="AA45" s="33" t="inlineStr">
        <is>
          <t>1</t>
        </is>
      </c>
      <c r="AB45" s="33" t="inlineStr">
        <is>
          <t>https://www.swimcloud.com/results/242471/event/44/?id=81007044#time81007044</t>
        </is>
      </c>
      <c r="AC45" s="33" t="inlineStr">
        <is>
          <t>SwimCloud API v6 2026-10-08</t>
        </is>
      </c>
      <c r="AD45" s="33" t="inlineStr">
        <is>
          <t>Caeleb Dressel|2009-04-25|LCM|100|Fly|66.41|2009 FL Bolles Sprint Explosion|TIM|False</t>
        </is>
      </c>
      <c r="AE45" s="53">
        <f>G45+L45/1000+ROW()/1000000000</f>
        <v/>
      </c>
      <c r="AF45" s="35">
        <f>IF(C45&lt;&gt;"Grayson Coulter","",COUNTIFS($C$5:$C$2991,"Grayson Coulter",$Q$5:$Q$2991,Q45,$AE$5:$AE$2991,"&lt;="&amp;AE45,$R$5:$R$2991,"&lt;"&amp;R45))</f>
        <v/>
      </c>
      <c r="AG45" s="35">
        <f>IF(OR(C45&lt;&gt;"Grayson Coulter",G45&lt;'00_Control'!$B$7),"",--(AF45&lt;5))</f>
        <v/>
      </c>
      <c r="AH45" s="35">
        <f>IF(OR(C45&lt;&gt;"Grayson Coulter",G45&lt;'00_Control'!$B$7),"",--(AF45&lt;10))</f>
        <v/>
      </c>
      <c r="AI45" s="35">
        <f>IF(AND(C45="Grayson Coulter",G45&gt;='00_Control'!$B$7),"YES","NO")</f>
        <v/>
      </c>
      <c r="AJ45" s="33" t="inlineStr">
        <is>
          <t>OK</t>
        </is>
      </c>
    </row>
    <row r="46">
      <c r="A46" s="33" t="inlineStr">
        <is>
          <t>SM000042</t>
        </is>
      </c>
      <c r="B46" s="33" t="inlineStr">
        <is>
          <t>SW010</t>
        </is>
      </c>
      <c r="C46" s="33" t="inlineStr">
        <is>
          <t>Caeleb Dressel</t>
        </is>
      </c>
      <c r="D46" s="33" t="inlineStr">
        <is>
          <t>SwimCloud</t>
        </is>
      </c>
      <c r="E46" s="33" t="inlineStr">
        <is>
          <t>2361642</t>
        </is>
      </c>
      <c r="F46" s="33" t="inlineStr">
        <is>
          <t>80683815</t>
        </is>
      </c>
      <c r="G46" s="51" t="n">
        <v>40010</v>
      </c>
      <c r="H46" s="33" t="inlineStr">
        <is>
          <t>2009 FL Swimming LC Junior Olympics</t>
        </is>
      </c>
      <c r="I46" s="33" t="inlineStr">
        <is>
          <t>241968</t>
        </is>
      </c>
      <c r="J46" s="33" t="inlineStr"/>
      <c r="K46" s="33" t="inlineStr">
        <is>
          <t>PRE</t>
        </is>
      </c>
      <c r="L46" s="35">
        <f>IF(K46="FIN",3,IF(OR(K46="SEM",K46="SEMI"),2,IF(OR(K46="PRE",K46="HEAT"),1,IF(V46="YES",4,2))))</f>
        <v/>
      </c>
      <c r="M46" s="33" t="inlineStr">
        <is>
          <t>LCM</t>
        </is>
      </c>
      <c r="N46" s="33" t="n">
        <v>100</v>
      </c>
      <c r="O46" s="33" t="inlineStr">
        <is>
          <t>Free</t>
        </is>
      </c>
      <c r="P46" s="33" t="inlineStr">
        <is>
          <t>100 Free</t>
        </is>
      </c>
      <c r="Q46" s="33" t="inlineStr">
        <is>
          <t>LCM_100_FREE</t>
        </is>
      </c>
      <c r="R46" s="36" t="n">
        <v>58.52</v>
      </c>
      <c r="S46" s="35">
        <f>IF(R46="","",IF(R46&gt;=60,INT(R46/60)&amp;":"&amp;TEXT(MOD(R46,60),"00.00"),TEXT(R46,"0.00")))</f>
        <v/>
      </c>
      <c r="T46" s="52">
        <f>IFERROR((G46-INDEX('01_Swimmers'!$E$5:$E$22,MATCH(B46,'01_Swimmers'!$A$5:$A$22,0)))/'00_Control'!$B$10,"")</f>
        <v/>
      </c>
      <c r="U46" s="35">
        <f>IF(T46="","",INT(T46))</f>
        <v/>
      </c>
      <c r="V46" s="33" t="inlineStr">
        <is>
          <t>NO</t>
        </is>
      </c>
      <c r="W46" s="33" t="inlineStr">
        <is>
          <t>YES</t>
        </is>
      </c>
      <c r="X46" s="33" t="inlineStr">
        <is>
          <t>NO</t>
        </is>
      </c>
      <c r="Y46" s="33" t="n">
        <v>6</v>
      </c>
      <c r="Z46" s="33" t="n">
        <v>4</v>
      </c>
      <c r="AA46" s="33" t="inlineStr">
        <is>
          <t>1</t>
        </is>
      </c>
      <c r="AB46" s="33" t="inlineStr">
        <is>
          <t>https://www.swimcloud.com/results/241968/event/4/?id=80683815#time80683815</t>
        </is>
      </c>
      <c r="AC46" s="33" t="inlineStr">
        <is>
          <t>SwimCloud API v6 2026-10-08</t>
        </is>
      </c>
      <c r="AD46" s="33" t="inlineStr">
        <is>
          <t>Caeleb Dressel|2009-07-16|LCM|100|Free|58.52|2009 FL Swimming LC Junior Olympics|PRE|False</t>
        </is>
      </c>
      <c r="AE46" s="53">
        <f>G46+L46/1000+ROW()/1000000000</f>
        <v/>
      </c>
      <c r="AF46" s="35">
        <f>IF(C46&lt;&gt;"Grayson Coulter","",COUNTIFS($C$5:$C$2991,"Grayson Coulter",$Q$5:$Q$2991,Q46,$AE$5:$AE$2991,"&lt;="&amp;AE46,$R$5:$R$2991,"&lt;"&amp;R46))</f>
        <v/>
      </c>
      <c r="AG46" s="35">
        <f>IF(OR(C46&lt;&gt;"Grayson Coulter",G46&lt;'00_Control'!$B$7),"",--(AF46&lt;5))</f>
        <v/>
      </c>
      <c r="AH46" s="35">
        <f>IF(OR(C46&lt;&gt;"Grayson Coulter",G46&lt;'00_Control'!$B$7),"",--(AF46&lt;10))</f>
        <v/>
      </c>
      <c r="AI46" s="35">
        <f>IF(AND(C46="Grayson Coulter",G46&gt;='00_Control'!$B$7),"YES","NO")</f>
        <v/>
      </c>
      <c r="AJ46" s="33" t="inlineStr">
        <is>
          <t>OK</t>
        </is>
      </c>
    </row>
    <row r="47">
      <c r="A47" s="33" t="inlineStr">
        <is>
          <t>SM000043</t>
        </is>
      </c>
      <c r="B47" s="33" t="inlineStr">
        <is>
          <t>SW010</t>
        </is>
      </c>
      <c r="C47" s="33" t="inlineStr">
        <is>
          <t>Caeleb Dressel</t>
        </is>
      </c>
      <c r="D47" s="33" t="inlineStr">
        <is>
          <t>SwimCloud</t>
        </is>
      </c>
      <c r="E47" s="33" t="inlineStr">
        <is>
          <t>2361642</t>
        </is>
      </c>
      <c r="F47" s="33" t="inlineStr">
        <is>
          <t>80683816</t>
        </is>
      </c>
      <c r="G47" s="51" t="n">
        <v>40010</v>
      </c>
      <c r="H47" s="33" t="inlineStr">
        <is>
          <t>2009 FL Swimming LC Junior Olympics</t>
        </is>
      </c>
      <c r="I47" s="33" t="inlineStr">
        <is>
          <t>241968</t>
        </is>
      </c>
      <c r="J47" s="33" t="inlineStr"/>
      <c r="K47" s="33" t="inlineStr">
        <is>
          <t>FIN</t>
        </is>
      </c>
      <c r="L47" s="35">
        <f>IF(K47="FIN",3,IF(OR(K47="SEM",K47="SEMI"),2,IF(OR(K47="PRE",K47="HEAT"),1,IF(V47="YES",4,2))))</f>
        <v/>
      </c>
      <c r="M47" s="33" t="inlineStr">
        <is>
          <t>LCM</t>
        </is>
      </c>
      <c r="N47" s="33" t="n">
        <v>100</v>
      </c>
      <c r="O47" s="33" t="inlineStr">
        <is>
          <t>Free</t>
        </is>
      </c>
      <c r="P47" s="33" t="inlineStr">
        <is>
          <t>100 Free</t>
        </is>
      </c>
      <c r="Q47" s="33" t="inlineStr">
        <is>
          <t>LCM_100_FREE</t>
        </is>
      </c>
      <c r="R47" s="36" t="n">
        <v>57.79</v>
      </c>
      <c r="S47" s="35">
        <f>IF(R47="","",IF(R47&gt;=60,INT(R47/60)&amp;":"&amp;TEXT(MOD(R47,60),"00.00"),TEXT(R47,"0.00")))</f>
        <v/>
      </c>
      <c r="T47" s="52">
        <f>IFERROR((G47-INDEX('01_Swimmers'!$E$5:$E$22,MATCH(B47,'01_Swimmers'!$A$5:$A$22,0)))/'00_Control'!$B$10,"")</f>
        <v/>
      </c>
      <c r="U47" s="35">
        <f>IF(T47="","",INT(T47))</f>
        <v/>
      </c>
      <c r="V47" s="33" t="inlineStr">
        <is>
          <t>NO</t>
        </is>
      </c>
      <c r="W47" s="33" t="inlineStr">
        <is>
          <t>YES</t>
        </is>
      </c>
      <c r="X47" s="33" t="inlineStr">
        <is>
          <t>NO</t>
        </is>
      </c>
      <c r="Y47" s="33" t="n">
        <v>1</v>
      </c>
      <c r="Z47" s="33" t="n">
        <v>4</v>
      </c>
      <c r="AA47" s="33" t="inlineStr">
        <is>
          <t>1</t>
        </is>
      </c>
      <c r="AB47" s="33" t="inlineStr">
        <is>
          <t>https://www.swimcloud.com/results/241968/event/4/?id=80683816#time80683816</t>
        </is>
      </c>
      <c r="AC47" s="33" t="inlineStr">
        <is>
          <t>SwimCloud API v6 2026-10-08</t>
        </is>
      </c>
      <c r="AD47" s="33" t="inlineStr">
        <is>
          <t>Caeleb Dressel|2009-07-16|LCM|100|Free|57.79|2009 FL Swimming LC Junior Olympics|FIN|False</t>
        </is>
      </c>
      <c r="AE47" s="53">
        <f>G47+L47/1000+ROW()/1000000000</f>
        <v/>
      </c>
      <c r="AF47" s="35">
        <f>IF(C47&lt;&gt;"Grayson Coulter","",COUNTIFS($C$5:$C$2991,"Grayson Coulter",$Q$5:$Q$2991,Q47,$AE$5:$AE$2991,"&lt;="&amp;AE47,$R$5:$R$2991,"&lt;"&amp;R47))</f>
        <v/>
      </c>
      <c r="AG47" s="35">
        <f>IF(OR(C47&lt;&gt;"Grayson Coulter",G47&lt;'00_Control'!$B$7),"",--(AF47&lt;5))</f>
        <v/>
      </c>
      <c r="AH47" s="35">
        <f>IF(OR(C47&lt;&gt;"Grayson Coulter",G47&lt;'00_Control'!$B$7),"",--(AF47&lt;10))</f>
        <v/>
      </c>
      <c r="AI47" s="35">
        <f>IF(AND(C47="Grayson Coulter",G47&gt;='00_Control'!$B$7),"YES","NO")</f>
        <v/>
      </c>
      <c r="AJ47" s="33" t="inlineStr">
        <is>
          <t>OK</t>
        </is>
      </c>
    </row>
    <row r="48">
      <c r="A48" s="33" t="inlineStr">
        <is>
          <t>SM000044</t>
        </is>
      </c>
      <c r="B48" s="33" t="inlineStr">
        <is>
          <t>SW010</t>
        </is>
      </c>
      <c r="C48" s="33" t="inlineStr">
        <is>
          <t>Caeleb Dressel</t>
        </is>
      </c>
      <c r="D48" s="33" t="inlineStr">
        <is>
          <t>SwimCloud</t>
        </is>
      </c>
      <c r="E48" s="33" t="inlineStr">
        <is>
          <t>2361642</t>
        </is>
      </c>
      <c r="F48" s="33" t="inlineStr">
        <is>
          <t>80681584</t>
        </is>
      </c>
      <c r="G48" s="51" t="n">
        <v>40011</v>
      </c>
      <c r="H48" s="33" t="inlineStr">
        <is>
          <t>2009 FL Swimming LC Junior Olympics</t>
        </is>
      </c>
      <c r="I48" s="33" t="inlineStr">
        <is>
          <t>241968</t>
        </is>
      </c>
      <c r="J48" s="33" t="inlineStr"/>
      <c r="K48" s="33" t="inlineStr">
        <is>
          <t>PRE</t>
        </is>
      </c>
      <c r="L48" s="35">
        <f>IF(K48="FIN",3,IF(OR(K48="SEM",K48="SEMI"),2,IF(OR(K48="PRE",K48="HEAT"),1,IF(V48="YES",4,2))))</f>
        <v/>
      </c>
      <c r="M48" s="33" t="inlineStr">
        <is>
          <t>LCM</t>
        </is>
      </c>
      <c r="N48" s="33" t="n">
        <v>200</v>
      </c>
      <c r="O48" s="33" t="inlineStr">
        <is>
          <t>Free</t>
        </is>
      </c>
      <c r="P48" s="33" t="inlineStr">
        <is>
          <t>200 Free</t>
        </is>
      </c>
      <c r="Q48" s="33" t="inlineStr">
        <is>
          <t>LCM_200_FREE</t>
        </is>
      </c>
      <c r="R48" s="36" t="n">
        <v>130.26</v>
      </c>
      <c r="S48" s="35">
        <f>IF(R48="","",IF(R48&gt;=60,INT(R48/60)&amp;":"&amp;TEXT(MOD(R48,60),"00.00"),TEXT(R48,"0.00")))</f>
        <v/>
      </c>
      <c r="T48" s="52">
        <f>IFERROR((G48-INDEX('01_Swimmers'!$E$5:$E$22,MATCH(B48,'01_Swimmers'!$A$5:$A$22,0)))/'00_Control'!$B$10,"")</f>
        <v/>
      </c>
      <c r="U48" s="35">
        <f>IF(T48="","",INT(T48))</f>
        <v/>
      </c>
      <c r="V48" s="33" t="inlineStr">
        <is>
          <t>NO</t>
        </is>
      </c>
      <c r="W48" s="33" t="inlineStr">
        <is>
          <t>YES</t>
        </is>
      </c>
      <c r="X48" s="33" t="inlineStr">
        <is>
          <t>NO</t>
        </is>
      </c>
      <c r="Y48" s="33" t="n">
        <v>6</v>
      </c>
      <c r="Z48" s="33" t="n">
        <v>4</v>
      </c>
      <c r="AA48" s="33" t="inlineStr">
        <is>
          <t>1</t>
        </is>
      </c>
      <c r="AB48" s="33" t="inlineStr">
        <is>
          <t>https://www.swimcloud.com/results/241968/event/32/?id=80681584#time80681584</t>
        </is>
      </c>
      <c r="AC48" s="33" t="inlineStr">
        <is>
          <t>SwimCloud API v6 2026-10-08</t>
        </is>
      </c>
      <c r="AD48" s="33" t="inlineStr">
        <is>
          <t>Caeleb Dressel|2009-07-17|LCM|200|Free|130.26|2009 FL Swimming LC Junior Olympics|PRE|False</t>
        </is>
      </c>
      <c r="AE48" s="53">
        <f>G48+L48/1000+ROW()/1000000000</f>
        <v/>
      </c>
      <c r="AF48" s="35">
        <f>IF(C48&lt;&gt;"Grayson Coulter","",COUNTIFS($C$5:$C$2991,"Grayson Coulter",$Q$5:$Q$2991,Q48,$AE$5:$AE$2991,"&lt;="&amp;AE48,$R$5:$R$2991,"&lt;"&amp;R48))</f>
        <v/>
      </c>
      <c r="AG48" s="35">
        <f>IF(OR(C48&lt;&gt;"Grayson Coulter",G48&lt;'00_Control'!$B$7),"",--(AF48&lt;5))</f>
        <v/>
      </c>
      <c r="AH48" s="35">
        <f>IF(OR(C48&lt;&gt;"Grayson Coulter",G48&lt;'00_Control'!$B$7),"",--(AF48&lt;10))</f>
        <v/>
      </c>
      <c r="AI48" s="35">
        <f>IF(AND(C48="Grayson Coulter",G48&gt;='00_Control'!$B$7),"YES","NO")</f>
        <v/>
      </c>
      <c r="AJ48" s="33" t="inlineStr">
        <is>
          <t>OK</t>
        </is>
      </c>
    </row>
    <row r="49">
      <c r="A49" s="33" t="inlineStr">
        <is>
          <t>SM000045</t>
        </is>
      </c>
      <c r="B49" s="33" t="inlineStr">
        <is>
          <t>SW010</t>
        </is>
      </c>
      <c r="C49" s="33" t="inlineStr">
        <is>
          <t>Caeleb Dressel</t>
        </is>
      </c>
      <c r="D49" s="33" t="inlineStr">
        <is>
          <t>SwimCloud</t>
        </is>
      </c>
      <c r="E49" s="33" t="inlineStr">
        <is>
          <t>2361642</t>
        </is>
      </c>
      <c r="F49" s="33" t="inlineStr">
        <is>
          <t>80681585</t>
        </is>
      </c>
      <c r="G49" s="51" t="n">
        <v>40011</v>
      </c>
      <c r="H49" s="33" t="inlineStr">
        <is>
          <t>2009 FL Swimming LC Junior Olympics</t>
        </is>
      </c>
      <c r="I49" s="33" t="inlineStr">
        <is>
          <t>241968</t>
        </is>
      </c>
      <c r="J49" s="33" t="inlineStr"/>
      <c r="K49" s="33" t="inlineStr">
        <is>
          <t>FIN</t>
        </is>
      </c>
      <c r="L49" s="35">
        <f>IF(K49="FIN",3,IF(OR(K49="SEM",K49="SEMI"),2,IF(OR(K49="PRE",K49="HEAT"),1,IF(V49="YES",4,2))))</f>
        <v/>
      </c>
      <c r="M49" s="33" t="inlineStr">
        <is>
          <t>LCM</t>
        </is>
      </c>
      <c r="N49" s="33" t="n">
        <v>200</v>
      </c>
      <c r="O49" s="33" t="inlineStr">
        <is>
          <t>Free</t>
        </is>
      </c>
      <c r="P49" s="33" t="inlineStr">
        <is>
          <t>200 Free</t>
        </is>
      </c>
      <c r="Q49" s="33" t="inlineStr">
        <is>
          <t>LCM_200_FREE</t>
        </is>
      </c>
      <c r="R49" s="36" t="n">
        <v>126.26</v>
      </c>
      <c r="S49" s="35">
        <f>IF(R49="","",IF(R49&gt;=60,INT(R49/60)&amp;":"&amp;TEXT(MOD(R49,60),"00.00"),TEXT(R49,"0.00")))</f>
        <v/>
      </c>
      <c r="T49" s="52">
        <f>IFERROR((G49-INDEX('01_Swimmers'!$E$5:$E$22,MATCH(B49,'01_Swimmers'!$A$5:$A$22,0)))/'00_Control'!$B$10,"")</f>
        <v/>
      </c>
      <c r="U49" s="35">
        <f>IF(T49="","",INT(T49))</f>
        <v/>
      </c>
      <c r="V49" s="33" t="inlineStr">
        <is>
          <t>NO</t>
        </is>
      </c>
      <c r="W49" s="33" t="inlineStr">
        <is>
          <t>YES</t>
        </is>
      </c>
      <c r="X49" s="33" t="inlineStr">
        <is>
          <t>NO</t>
        </is>
      </c>
      <c r="Y49" s="33" t="n">
        <v>1</v>
      </c>
      <c r="Z49" s="33" t="n">
        <v>4</v>
      </c>
      <c r="AA49" s="33" t="inlineStr">
        <is>
          <t>1</t>
        </is>
      </c>
      <c r="AB49" s="33" t="inlineStr">
        <is>
          <t>https://www.swimcloud.com/results/241968/event/32/?id=80681585#time80681585</t>
        </is>
      </c>
      <c r="AC49" s="33" t="inlineStr">
        <is>
          <t>SwimCloud API v6 2026-10-08</t>
        </is>
      </c>
      <c r="AD49" s="33" t="inlineStr">
        <is>
          <t>Caeleb Dressel|2009-07-17|LCM|200|Free|126.26|2009 FL Swimming LC Junior Olympics|FIN|False</t>
        </is>
      </c>
      <c r="AE49" s="53">
        <f>G49+L49/1000+ROW()/1000000000</f>
        <v/>
      </c>
      <c r="AF49" s="35">
        <f>IF(C49&lt;&gt;"Grayson Coulter","",COUNTIFS($C$5:$C$2991,"Grayson Coulter",$Q$5:$Q$2991,Q49,$AE$5:$AE$2991,"&lt;="&amp;AE49,$R$5:$R$2991,"&lt;"&amp;R49))</f>
        <v/>
      </c>
      <c r="AG49" s="35">
        <f>IF(OR(C49&lt;&gt;"Grayson Coulter",G49&lt;'00_Control'!$B$7),"",--(AF49&lt;5))</f>
        <v/>
      </c>
      <c r="AH49" s="35">
        <f>IF(OR(C49&lt;&gt;"Grayson Coulter",G49&lt;'00_Control'!$B$7),"",--(AF49&lt;10))</f>
        <v/>
      </c>
      <c r="AI49" s="35">
        <f>IF(AND(C49="Grayson Coulter",G49&gt;='00_Control'!$B$7),"YES","NO")</f>
        <v/>
      </c>
      <c r="AJ49" s="33" t="inlineStr">
        <is>
          <t>OK</t>
        </is>
      </c>
    </row>
    <row r="50">
      <c r="A50" s="33" t="inlineStr">
        <is>
          <t>SM000046</t>
        </is>
      </c>
      <c r="B50" s="33" t="inlineStr">
        <is>
          <t>SW010</t>
        </is>
      </c>
      <c r="C50" s="33" t="inlineStr">
        <is>
          <t>Caeleb Dressel</t>
        </is>
      </c>
      <c r="D50" s="33" t="inlineStr">
        <is>
          <t>SwimCloud</t>
        </is>
      </c>
      <c r="E50" s="33" t="inlineStr">
        <is>
          <t>2361642</t>
        </is>
      </c>
      <c r="F50" s="33" t="inlineStr">
        <is>
          <t>80681644</t>
        </is>
      </c>
      <c r="G50" s="51" t="n">
        <v>40012</v>
      </c>
      <c r="H50" s="33" t="inlineStr">
        <is>
          <t>2009 FL Swimming LC Junior Olympics</t>
        </is>
      </c>
      <c r="I50" s="33" t="inlineStr">
        <is>
          <t>241968</t>
        </is>
      </c>
      <c r="J50" s="33" t="inlineStr"/>
      <c r="K50" s="33" t="inlineStr">
        <is>
          <t>PRE</t>
        </is>
      </c>
      <c r="L50" s="35">
        <f>IF(K50="FIN",3,IF(OR(K50="SEM",K50="SEMI"),2,IF(OR(K50="PRE",K50="HEAT"),1,IF(V50="YES",4,2))))</f>
        <v/>
      </c>
      <c r="M50" s="33" t="inlineStr">
        <is>
          <t>LCM</t>
        </is>
      </c>
      <c r="N50" s="33" t="n">
        <v>100</v>
      </c>
      <c r="O50" s="33" t="inlineStr">
        <is>
          <t>Fly</t>
        </is>
      </c>
      <c r="P50" s="33" t="inlineStr">
        <is>
          <t>100 Fly</t>
        </is>
      </c>
      <c r="Q50" s="33" t="inlineStr">
        <is>
          <t>LCM_100_FLY</t>
        </is>
      </c>
      <c r="R50" s="36" t="n">
        <v>65.28</v>
      </c>
      <c r="S50" s="35">
        <f>IF(R50="","",IF(R50&gt;=60,INT(R50/60)&amp;":"&amp;TEXT(MOD(R50,60),"00.00"),TEXT(R50,"0.00")))</f>
        <v/>
      </c>
      <c r="T50" s="52">
        <f>IFERROR((G50-INDEX('01_Swimmers'!$E$5:$E$22,MATCH(B50,'01_Swimmers'!$A$5:$A$22,0)))/'00_Control'!$B$10,"")</f>
        <v/>
      </c>
      <c r="U50" s="35">
        <f>IF(T50="","",INT(T50))</f>
        <v/>
      </c>
      <c r="V50" s="33" t="inlineStr">
        <is>
          <t>NO</t>
        </is>
      </c>
      <c r="W50" s="33" t="inlineStr">
        <is>
          <t>YES</t>
        </is>
      </c>
      <c r="X50" s="33" t="inlineStr">
        <is>
          <t>NO</t>
        </is>
      </c>
      <c r="Y50" s="33" t="n">
        <v>5</v>
      </c>
      <c r="Z50" s="33" t="n">
        <v>4</v>
      </c>
      <c r="AA50" s="33" t="inlineStr">
        <is>
          <t>1</t>
        </is>
      </c>
      <c r="AB50" s="33" t="inlineStr">
        <is>
          <t>https://www.swimcloud.com/results/241968/event/56/?id=80681644#time80681644</t>
        </is>
      </c>
      <c r="AC50" s="33" t="inlineStr">
        <is>
          <t>SwimCloud API v6 2026-10-08</t>
        </is>
      </c>
      <c r="AD50" s="33" t="inlineStr">
        <is>
          <t>Caeleb Dressel|2009-07-18|LCM|100|Fly|65.28|2009 FL Swimming LC Junior Olympics|PRE|False</t>
        </is>
      </c>
      <c r="AE50" s="53">
        <f>G50+L50/1000+ROW()/1000000000</f>
        <v/>
      </c>
      <c r="AF50" s="35">
        <f>IF(C50&lt;&gt;"Grayson Coulter","",COUNTIFS($C$5:$C$2991,"Grayson Coulter",$Q$5:$Q$2991,Q50,$AE$5:$AE$2991,"&lt;="&amp;AE50,$R$5:$R$2991,"&lt;"&amp;R50))</f>
        <v/>
      </c>
      <c r="AG50" s="35">
        <f>IF(OR(C50&lt;&gt;"Grayson Coulter",G50&lt;'00_Control'!$B$7),"",--(AF50&lt;5))</f>
        <v/>
      </c>
      <c r="AH50" s="35">
        <f>IF(OR(C50&lt;&gt;"Grayson Coulter",G50&lt;'00_Control'!$B$7),"",--(AF50&lt;10))</f>
        <v/>
      </c>
      <c r="AI50" s="35">
        <f>IF(AND(C50="Grayson Coulter",G50&gt;='00_Control'!$B$7),"YES","NO")</f>
        <v/>
      </c>
      <c r="AJ50" s="33" t="inlineStr">
        <is>
          <t>OK</t>
        </is>
      </c>
    </row>
    <row r="51">
      <c r="A51" s="33" t="inlineStr">
        <is>
          <t>SM000047</t>
        </is>
      </c>
      <c r="B51" s="33" t="inlineStr">
        <is>
          <t>SW010</t>
        </is>
      </c>
      <c r="C51" s="33" t="inlineStr">
        <is>
          <t>Caeleb Dressel</t>
        </is>
      </c>
      <c r="D51" s="33" t="inlineStr">
        <is>
          <t>SwimCloud</t>
        </is>
      </c>
      <c r="E51" s="33" t="inlineStr">
        <is>
          <t>2361642</t>
        </is>
      </c>
      <c r="F51" s="33" t="inlineStr">
        <is>
          <t>80681645</t>
        </is>
      </c>
      <c r="G51" s="51" t="n">
        <v>40012</v>
      </c>
      <c r="H51" s="33" t="inlineStr">
        <is>
          <t>2009 FL Swimming LC Junior Olympics</t>
        </is>
      </c>
      <c r="I51" s="33" t="inlineStr">
        <is>
          <t>241968</t>
        </is>
      </c>
      <c r="J51" s="33" t="inlineStr"/>
      <c r="K51" s="33" t="inlineStr">
        <is>
          <t>FIN</t>
        </is>
      </c>
      <c r="L51" s="35">
        <f>IF(K51="FIN",3,IF(OR(K51="SEM",K51="SEMI"),2,IF(OR(K51="PRE",K51="HEAT"),1,IF(V51="YES",4,2))))</f>
        <v/>
      </c>
      <c r="M51" s="33" t="inlineStr">
        <is>
          <t>LCM</t>
        </is>
      </c>
      <c r="N51" s="33" t="n">
        <v>100</v>
      </c>
      <c r="O51" s="33" t="inlineStr">
        <is>
          <t>Fly</t>
        </is>
      </c>
      <c r="P51" s="33" t="inlineStr">
        <is>
          <t>100 Fly</t>
        </is>
      </c>
      <c r="Q51" s="33" t="inlineStr">
        <is>
          <t>LCM_100_FLY</t>
        </is>
      </c>
      <c r="R51" s="36" t="n">
        <v>63.63</v>
      </c>
      <c r="S51" s="35">
        <f>IF(R51="","",IF(R51&gt;=60,INT(R51/60)&amp;":"&amp;TEXT(MOD(R51,60),"00.00"),TEXT(R51,"0.00")))</f>
        <v/>
      </c>
      <c r="T51" s="52">
        <f>IFERROR((G51-INDEX('01_Swimmers'!$E$5:$E$22,MATCH(B51,'01_Swimmers'!$A$5:$A$22,0)))/'00_Control'!$B$10,"")</f>
        <v/>
      </c>
      <c r="U51" s="35">
        <f>IF(T51="","",INT(T51))</f>
        <v/>
      </c>
      <c r="V51" s="33" t="inlineStr">
        <is>
          <t>NO</t>
        </is>
      </c>
      <c r="W51" s="33" t="inlineStr">
        <is>
          <t>YES</t>
        </is>
      </c>
      <c r="X51" s="33" t="inlineStr">
        <is>
          <t>NO</t>
        </is>
      </c>
      <c r="Y51" s="33" t="n">
        <v>1</v>
      </c>
      <c r="Z51" s="33" t="n">
        <v>4</v>
      </c>
      <c r="AA51" s="33" t="inlineStr">
        <is>
          <t>1</t>
        </is>
      </c>
      <c r="AB51" s="33" t="inlineStr">
        <is>
          <t>https://www.swimcloud.com/results/241968/event/56/?id=80681645#time80681645</t>
        </is>
      </c>
      <c r="AC51" s="33" t="inlineStr">
        <is>
          <t>SwimCloud API v6 2026-10-08</t>
        </is>
      </c>
      <c r="AD51" s="33" t="inlineStr">
        <is>
          <t>Caeleb Dressel|2009-07-18|LCM|100|Fly|63.63|2009 FL Swimming LC Junior Olympics|FIN|False</t>
        </is>
      </c>
      <c r="AE51" s="53">
        <f>G51+L51/1000+ROW()/1000000000</f>
        <v/>
      </c>
      <c r="AF51" s="35">
        <f>IF(C51&lt;&gt;"Grayson Coulter","",COUNTIFS($C$5:$C$2991,"Grayson Coulter",$Q$5:$Q$2991,Q51,$AE$5:$AE$2991,"&lt;="&amp;AE51,$R$5:$R$2991,"&lt;"&amp;R51))</f>
        <v/>
      </c>
      <c r="AG51" s="35">
        <f>IF(OR(C51&lt;&gt;"Grayson Coulter",G51&lt;'00_Control'!$B$7),"",--(AF51&lt;5))</f>
        <v/>
      </c>
      <c r="AH51" s="35">
        <f>IF(OR(C51&lt;&gt;"Grayson Coulter",G51&lt;'00_Control'!$B$7),"",--(AF51&lt;10))</f>
        <v/>
      </c>
      <c r="AI51" s="35">
        <f>IF(AND(C51="Grayson Coulter",G51&gt;='00_Control'!$B$7),"YES","NO")</f>
        <v/>
      </c>
      <c r="AJ51" s="33" t="inlineStr">
        <is>
          <t>OK</t>
        </is>
      </c>
    </row>
    <row r="52">
      <c r="A52" s="33" t="inlineStr">
        <is>
          <t>SM000048</t>
        </is>
      </c>
      <c r="B52" s="33" t="inlineStr">
        <is>
          <t>SW010</t>
        </is>
      </c>
      <c r="C52" s="33" t="inlineStr">
        <is>
          <t>Caeleb Dressel</t>
        </is>
      </c>
      <c r="D52" s="33" t="inlineStr">
        <is>
          <t>SwimCloud</t>
        </is>
      </c>
      <c r="E52" s="33" t="inlineStr">
        <is>
          <t>2361642</t>
        </is>
      </c>
      <c r="F52" s="33" t="inlineStr">
        <is>
          <t>80639537</t>
        </is>
      </c>
      <c r="G52" s="51" t="n">
        <v>40023</v>
      </c>
      <c r="H52" s="33" t="inlineStr">
        <is>
          <t>2009 SZ Age Group Championship</t>
        </is>
      </c>
      <c r="I52" s="33" t="inlineStr">
        <is>
          <t>241953</t>
        </is>
      </c>
      <c r="J52" s="33" t="inlineStr"/>
      <c r="K52" s="33" t="inlineStr">
        <is>
          <t>PRE</t>
        </is>
      </c>
      <c r="L52" s="35">
        <f>IF(K52="FIN",3,IF(OR(K52="SEM",K52="SEMI"),2,IF(OR(K52="PRE",K52="HEAT"),1,IF(V52="YES",4,2))))</f>
        <v/>
      </c>
      <c r="M52" s="33" t="inlineStr">
        <is>
          <t>LCM</t>
        </is>
      </c>
      <c r="N52" s="33" t="n">
        <v>100</v>
      </c>
      <c r="O52" s="33" t="inlineStr">
        <is>
          <t>Fly</t>
        </is>
      </c>
      <c r="P52" s="33" t="inlineStr">
        <is>
          <t>100 Fly</t>
        </is>
      </c>
      <c r="Q52" s="33" t="inlineStr">
        <is>
          <t>LCM_100_FLY</t>
        </is>
      </c>
      <c r="R52" s="36" t="n">
        <v>64.39</v>
      </c>
      <c r="S52" s="35">
        <f>IF(R52="","",IF(R52&gt;=60,INT(R52/60)&amp;":"&amp;TEXT(MOD(R52,60),"00.00"),TEXT(R52,"0.00")))</f>
        <v/>
      </c>
      <c r="T52" s="52">
        <f>IFERROR((G52-INDEX('01_Swimmers'!$E$5:$E$22,MATCH(B52,'01_Swimmers'!$A$5:$A$22,0)))/'00_Control'!$B$10,"")</f>
        <v/>
      </c>
      <c r="U52" s="35">
        <f>IF(T52="","",INT(T52))</f>
        <v/>
      </c>
      <c r="V52" s="33" t="inlineStr">
        <is>
          <t>NO</t>
        </is>
      </c>
      <c r="W52" s="33" t="inlineStr">
        <is>
          <t>YES</t>
        </is>
      </c>
      <c r="X52" s="33" t="inlineStr">
        <is>
          <t>NO</t>
        </is>
      </c>
      <c r="Y52" s="33" t="n">
        <v>4</v>
      </c>
      <c r="Z52" s="33" t="n">
        <v>4</v>
      </c>
      <c r="AA52" s="33" t="inlineStr">
        <is>
          <t>3</t>
        </is>
      </c>
      <c r="AB52" s="33" t="inlineStr">
        <is>
          <t>https://www.swimcloud.com/results/241953/event/16/?id=80639537#time80639537</t>
        </is>
      </c>
      <c r="AC52" s="33" t="inlineStr">
        <is>
          <t>SwimCloud API v6 2026-10-08</t>
        </is>
      </c>
      <c r="AD52" s="33" t="inlineStr">
        <is>
          <t>Caeleb Dressel|2009-07-29|LCM|100|Fly|64.39|2009 SZ Age Group Championship|PRE|False</t>
        </is>
      </c>
      <c r="AE52" s="53">
        <f>G52+L52/1000+ROW()/1000000000</f>
        <v/>
      </c>
      <c r="AF52" s="35">
        <f>IF(C52&lt;&gt;"Grayson Coulter","",COUNTIFS($C$5:$C$2991,"Grayson Coulter",$Q$5:$Q$2991,Q52,$AE$5:$AE$2991,"&lt;="&amp;AE52,$R$5:$R$2991,"&lt;"&amp;R52))</f>
        <v/>
      </c>
      <c r="AG52" s="35">
        <f>IF(OR(C52&lt;&gt;"Grayson Coulter",G52&lt;'00_Control'!$B$7),"",--(AF52&lt;5))</f>
        <v/>
      </c>
      <c r="AH52" s="35">
        <f>IF(OR(C52&lt;&gt;"Grayson Coulter",G52&lt;'00_Control'!$B$7),"",--(AF52&lt;10))</f>
        <v/>
      </c>
      <c r="AI52" s="35">
        <f>IF(AND(C52="Grayson Coulter",G52&gt;='00_Control'!$B$7),"YES","NO")</f>
        <v/>
      </c>
      <c r="AJ52" s="33" t="inlineStr">
        <is>
          <t>OK</t>
        </is>
      </c>
    </row>
    <row r="53">
      <c r="A53" s="33" t="inlineStr">
        <is>
          <t>SM000049</t>
        </is>
      </c>
      <c r="B53" s="33" t="inlineStr">
        <is>
          <t>SW010</t>
        </is>
      </c>
      <c r="C53" s="33" t="inlineStr">
        <is>
          <t>Caeleb Dressel</t>
        </is>
      </c>
      <c r="D53" s="33" t="inlineStr">
        <is>
          <t>SwimCloud</t>
        </is>
      </c>
      <c r="E53" s="33" t="inlineStr">
        <is>
          <t>2361642</t>
        </is>
      </c>
      <c r="F53" s="33" t="inlineStr">
        <is>
          <t>80639538</t>
        </is>
      </c>
      <c r="G53" s="51" t="n">
        <v>40023</v>
      </c>
      <c r="H53" s="33" t="inlineStr">
        <is>
          <t>2009 SZ Age Group Championship</t>
        </is>
      </c>
      <c r="I53" s="33" t="inlineStr">
        <is>
          <t>241953</t>
        </is>
      </c>
      <c r="J53" s="33" t="inlineStr"/>
      <c r="K53" s="33" t="inlineStr">
        <is>
          <t>FIN</t>
        </is>
      </c>
      <c r="L53" s="35">
        <f>IF(K53="FIN",3,IF(OR(K53="SEM",K53="SEMI"),2,IF(OR(K53="PRE",K53="HEAT"),1,IF(V53="YES",4,2))))</f>
        <v/>
      </c>
      <c r="M53" s="33" t="inlineStr">
        <is>
          <t>LCM</t>
        </is>
      </c>
      <c r="N53" s="33" t="n">
        <v>100</v>
      </c>
      <c r="O53" s="33" t="inlineStr">
        <is>
          <t>Fly</t>
        </is>
      </c>
      <c r="P53" s="33" t="inlineStr">
        <is>
          <t>100 Fly</t>
        </is>
      </c>
      <c r="Q53" s="33" t="inlineStr">
        <is>
          <t>LCM_100_FLY</t>
        </is>
      </c>
      <c r="R53" s="36" t="n">
        <v>63.79</v>
      </c>
      <c r="S53" s="35">
        <f>IF(R53="","",IF(R53&gt;=60,INT(R53/60)&amp;":"&amp;TEXT(MOD(R53,60),"00.00"),TEXT(R53,"0.00")))</f>
        <v/>
      </c>
      <c r="T53" s="52">
        <f>IFERROR((G53-INDEX('01_Swimmers'!$E$5:$E$22,MATCH(B53,'01_Swimmers'!$A$5:$A$22,0)))/'00_Control'!$B$10,"")</f>
        <v/>
      </c>
      <c r="U53" s="35">
        <f>IF(T53="","",INT(T53))</f>
        <v/>
      </c>
      <c r="V53" s="33" t="inlineStr">
        <is>
          <t>NO</t>
        </is>
      </c>
      <c r="W53" s="33" t="inlineStr">
        <is>
          <t>YES</t>
        </is>
      </c>
      <c r="X53" s="33" t="inlineStr">
        <is>
          <t>NO</t>
        </is>
      </c>
      <c r="Y53" s="33" t="n">
        <v>1</v>
      </c>
      <c r="Z53" s="33" t="n">
        <v>3</v>
      </c>
      <c r="AA53" s="33" t="inlineStr">
        <is>
          <t>4</t>
        </is>
      </c>
      <c r="AB53" s="33" t="inlineStr">
        <is>
          <t>https://www.swimcloud.com/results/241953/event/16/?id=80639538#time80639538</t>
        </is>
      </c>
      <c r="AC53" s="33" t="inlineStr">
        <is>
          <t>SwimCloud API v6 2026-10-08</t>
        </is>
      </c>
      <c r="AD53" s="33" t="inlineStr">
        <is>
          <t>Caeleb Dressel|2009-07-29|LCM|100|Fly|63.79|2009 SZ Age Group Championship|FIN|False</t>
        </is>
      </c>
      <c r="AE53" s="53">
        <f>G53+L53/1000+ROW()/1000000000</f>
        <v/>
      </c>
      <c r="AF53" s="35">
        <f>IF(C53&lt;&gt;"Grayson Coulter","",COUNTIFS($C$5:$C$2991,"Grayson Coulter",$Q$5:$Q$2991,Q53,$AE$5:$AE$2991,"&lt;="&amp;AE53,$R$5:$R$2991,"&lt;"&amp;R53))</f>
        <v/>
      </c>
      <c r="AG53" s="35">
        <f>IF(OR(C53&lt;&gt;"Grayson Coulter",G53&lt;'00_Control'!$B$7),"",--(AF53&lt;5))</f>
        <v/>
      </c>
      <c r="AH53" s="35">
        <f>IF(OR(C53&lt;&gt;"Grayson Coulter",G53&lt;'00_Control'!$B$7),"",--(AF53&lt;10))</f>
        <v/>
      </c>
      <c r="AI53" s="35">
        <f>IF(AND(C53="Grayson Coulter",G53&gt;='00_Control'!$B$7),"YES","NO")</f>
        <v/>
      </c>
      <c r="AJ53" s="33" t="inlineStr">
        <is>
          <t>OK</t>
        </is>
      </c>
    </row>
    <row r="54">
      <c r="A54" s="33" t="inlineStr">
        <is>
          <t>SM000050</t>
        </is>
      </c>
      <c r="B54" s="33" t="inlineStr">
        <is>
          <t>SW010</t>
        </is>
      </c>
      <c r="C54" s="33" t="inlineStr">
        <is>
          <t>Caeleb Dressel</t>
        </is>
      </c>
      <c r="D54" s="33" t="inlineStr">
        <is>
          <t>SwimCloud</t>
        </is>
      </c>
      <c r="E54" s="33" t="inlineStr">
        <is>
          <t>2361642</t>
        </is>
      </c>
      <c r="F54" s="33" t="inlineStr">
        <is>
          <t>80639488</t>
        </is>
      </c>
      <c r="G54" s="51" t="n">
        <v>40023</v>
      </c>
      <c r="H54" s="33" t="inlineStr">
        <is>
          <t>2009 SZ Age Group Championship</t>
        </is>
      </c>
      <c r="I54" s="33" t="inlineStr">
        <is>
          <t>241953</t>
        </is>
      </c>
      <c r="J54" s="33" t="inlineStr"/>
      <c r="K54" s="33" t="inlineStr">
        <is>
          <t>PRE</t>
        </is>
      </c>
      <c r="L54" s="35">
        <f>IF(K54="FIN",3,IF(OR(K54="SEM",K54="SEMI"),2,IF(OR(K54="PRE",K54="HEAT"),1,IF(V54="YES",4,2))))</f>
        <v/>
      </c>
      <c r="M54" s="33" t="inlineStr">
        <is>
          <t>LCM</t>
        </is>
      </c>
      <c r="N54" s="33" t="n">
        <v>200</v>
      </c>
      <c r="O54" s="33" t="inlineStr">
        <is>
          <t>Free</t>
        </is>
      </c>
      <c r="P54" s="33" t="inlineStr">
        <is>
          <t>200 Free</t>
        </is>
      </c>
      <c r="Q54" s="33" t="inlineStr">
        <is>
          <t>LCM_200_FREE</t>
        </is>
      </c>
      <c r="R54" s="36" t="n">
        <v>125.6</v>
      </c>
      <c r="S54" s="35">
        <f>IF(R54="","",IF(R54&gt;=60,INT(R54/60)&amp;":"&amp;TEXT(MOD(R54,60),"00.00"),TEXT(R54,"0.00")))</f>
        <v/>
      </c>
      <c r="T54" s="52">
        <f>IFERROR((G54-INDEX('01_Swimmers'!$E$5:$E$22,MATCH(B54,'01_Swimmers'!$A$5:$A$22,0)))/'00_Control'!$B$10,"")</f>
        <v/>
      </c>
      <c r="U54" s="35">
        <f>IF(T54="","",INT(T54))</f>
        <v/>
      </c>
      <c r="V54" s="33" t="inlineStr">
        <is>
          <t>NO</t>
        </is>
      </c>
      <c r="W54" s="33" t="inlineStr">
        <is>
          <t>YES</t>
        </is>
      </c>
      <c r="X54" s="33" t="inlineStr">
        <is>
          <t>NO</t>
        </is>
      </c>
      <c r="Y54" s="33" t="n">
        <v>5</v>
      </c>
      <c r="Z54" s="33" t="n">
        <v>4</v>
      </c>
      <c r="AA54" s="33" t="inlineStr">
        <is>
          <t>1</t>
        </is>
      </c>
      <c r="AB54" s="33" t="inlineStr">
        <is>
          <t>https://www.swimcloud.com/results/241953/event/4/?id=80639488#time80639488</t>
        </is>
      </c>
      <c r="AC54" s="33" t="inlineStr">
        <is>
          <t>SwimCloud API v6 2026-10-08</t>
        </is>
      </c>
      <c r="AD54" s="33" t="inlineStr">
        <is>
          <t>Caeleb Dressel|2009-07-29|LCM|200|Free|125.6|2009 SZ Age Group Championship|PRE|False</t>
        </is>
      </c>
      <c r="AE54" s="53">
        <f>G54+L54/1000+ROW()/1000000000</f>
        <v/>
      </c>
      <c r="AF54" s="35">
        <f>IF(C54&lt;&gt;"Grayson Coulter","",COUNTIFS($C$5:$C$2991,"Grayson Coulter",$Q$5:$Q$2991,Q54,$AE$5:$AE$2991,"&lt;="&amp;AE54,$R$5:$R$2991,"&lt;"&amp;R54))</f>
        <v/>
      </c>
      <c r="AG54" s="35">
        <f>IF(OR(C54&lt;&gt;"Grayson Coulter",G54&lt;'00_Control'!$B$7),"",--(AF54&lt;5))</f>
        <v/>
      </c>
      <c r="AH54" s="35">
        <f>IF(OR(C54&lt;&gt;"Grayson Coulter",G54&lt;'00_Control'!$B$7),"",--(AF54&lt;10))</f>
        <v/>
      </c>
      <c r="AI54" s="35">
        <f>IF(AND(C54="Grayson Coulter",G54&gt;='00_Control'!$B$7),"YES","NO")</f>
        <v/>
      </c>
      <c r="AJ54" s="33" t="inlineStr">
        <is>
          <t>OK</t>
        </is>
      </c>
    </row>
    <row r="55">
      <c r="A55" s="33" t="inlineStr">
        <is>
          <t>SM000051</t>
        </is>
      </c>
      <c r="B55" s="33" t="inlineStr">
        <is>
          <t>SW010</t>
        </is>
      </c>
      <c r="C55" s="33" t="inlineStr">
        <is>
          <t>Caeleb Dressel</t>
        </is>
      </c>
      <c r="D55" s="33" t="inlineStr">
        <is>
          <t>SwimCloud</t>
        </is>
      </c>
      <c r="E55" s="33" t="inlineStr">
        <is>
          <t>2361642</t>
        </is>
      </c>
      <c r="F55" s="33" t="inlineStr">
        <is>
          <t>80639489</t>
        </is>
      </c>
      <c r="G55" s="51" t="n">
        <v>40023</v>
      </c>
      <c r="H55" s="33" t="inlineStr">
        <is>
          <t>2009 SZ Age Group Championship</t>
        </is>
      </c>
      <c r="I55" s="33" t="inlineStr">
        <is>
          <t>241953</t>
        </is>
      </c>
      <c r="J55" s="33" t="inlineStr"/>
      <c r="K55" s="33" t="inlineStr">
        <is>
          <t>FIN</t>
        </is>
      </c>
      <c r="L55" s="35">
        <f>IF(K55="FIN",3,IF(OR(K55="SEM",K55="SEMI"),2,IF(OR(K55="PRE",K55="HEAT"),1,IF(V55="YES",4,2))))</f>
        <v/>
      </c>
      <c r="M55" s="33" t="inlineStr">
        <is>
          <t>LCM</t>
        </is>
      </c>
      <c r="N55" s="33" t="n">
        <v>200</v>
      </c>
      <c r="O55" s="33" t="inlineStr">
        <is>
          <t>Free</t>
        </is>
      </c>
      <c r="P55" s="33" t="inlineStr">
        <is>
          <t>200 Free</t>
        </is>
      </c>
      <c r="Q55" s="33" t="inlineStr">
        <is>
          <t>LCM_200_FREE</t>
        </is>
      </c>
      <c r="R55" s="36" t="n">
        <v>125.27</v>
      </c>
      <c r="S55" s="35">
        <f>IF(R55="","",IF(R55&gt;=60,INT(R55/60)&amp;":"&amp;TEXT(MOD(R55,60),"00.00"),TEXT(R55,"0.00")))</f>
        <v/>
      </c>
      <c r="T55" s="52">
        <f>IFERROR((G55-INDEX('01_Swimmers'!$E$5:$E$22,MATCH(B55,'01_Swimmers'!$A$5:$A$22,0)))/'00_Control'!$B$10,"")</f>
        <v/>
      </c>
      <c r="U55" s="35">
        <f>IF(T55="","",INT(T55))</f>
        <v/>
      </c>
      <c r="V55" s="33" t="inlineStr">
        <is>
          <t>NO</t>
        </is>
      </c>
      <c r="W55" s="33" t="inlineStr">
        <is>
          <t>YES</t>
        </is>
      </c>
      <c r="X55" s="33" t="inlineStr">
        <is>
          <t>NO</t>
        </is>
      </c>
      <c r="Y55" s="33" t="n">
        <v>1</v>
      </c>
      <c r="Z55" s="33" t="n">
        <v>4</v>
      </c>
      <c r="AA55" s="33" t="inlineStr">
        <is>
          <t>2</t>
        </is>
      </c>
      <c r="AB55" s="33" t="inlineStr">
        <is>
          <t>https://www.swimcloud.com/results/241953/event/4/?id=80639489#time80639489</t>
        </is>
      </c>
      <c r="AC55" s="33" t="inlineStr">
        <is>
          <t>SwimCloud API v6 2026-10-08</t>
        </is>
      </c>
      <c r="AD55" s="33" t="inlineStr">
        <is>
          <t>Caeleb Dressel|2009-07-29|LCM|200|Free|125.27|2009 SZ Age Group Championship|FIN|False</t>
        </is>
      </c>
      <c r="AE55" s="53">
        <f>G55+L55/1000+ROW()/1000000000</f>
        <v/>
      </c>
      <c r="AF55" s="35">
        <f>IF(C55&lt;&gt;"Grayson Coulter","",COUNTIFS($C$5:$C$2991,"Grayson Coulter",$Q$5:$Q$2991,Q55,$AE$5:$AE$2991,"&lt;="&amp;AE55,$R$5:$R$2991,"&lt;"&amp;R55))</f>
        <v/>
      </c>
      <c r="AG55" s="35">
        <f>IF(OR(C55&lt;&gt;"Grayson Coulter",G55&lt;'00_Control'!$B$7),"",--(AF55&lt;5))</f>
        <v/>
      </c>
      <c r="AH55" s="35">
        <f>IF(OR(C55&lt;&gt;"Grayson Coulter",G55&lt;'00_Control'!$B$7),"",--(AF55&lt;10))</f>
        <v/>
      </c>
      <c r="AI55" s="35">
        <f>IF(AND(C55="Grayson Coulter",G55&gt;='00_Control'!$B$7),"YES","NO")</f>
        <v/>
      </c>
      <c r="AJ55" s="33" t="inlineStr">
        <is>
          <t>OK</t>
        </is>
      </c>
    </row>
    <row r="56">
      <c r="A56" s="33" t="inlineStr">
        <is>
          <t>SM000052</t>
        </is>
      </c>
      <c r="B56" s="33" t="inlineStr">
        <is>
          <t>SW010</t>
        </is>
      </c>
      <c r="C56" s="33" t="inlineStr">
        <is>
          <t>Caeleb Dressel</t>
        </is>
      </c>
      <c r="D56" s="33" t="inlineStr">
        <is>
          <t>SwimCloud</t>
        </is>
      </c>
      <c r="E56" s="33" t="inlineStr">
        <is>
          <t>2361642</t>
        </is>
      </c>
      <c r="F56" s="33" t="inlineStr">
        <is>
          <t>80641408</t>
        </is>
      </c>
      <c r="G56" s="51" t="n">
        <v>40025</v>
      </c>
      <c r="H56" s="33" t="inlineStr">
        <is>
          <t>2009 SZ Age Group Championship</t>
        </is>
      </c>
      <c r="I56" s="33" t="inlineStr">
        <is>
          <t>241953</t>
        </is>
      </c>
      <c r="J56" s="33" t="inlineStr"/>
      <c r="K56" s="33" t="inlineStr">
        <is>
          <t>PRE</t>
        </is>
      </c>
      <c r="L56" s="35">
        <f>IF(K56="FIN",3,IF(OR(K56="SEM",K56="SEMI"),2,IF(OR(K56="PRE",K56="HEAT"),1,IF(V56="YES",4,2))))</f>
        <v/>
      </c>
      <c r="M56" s="33" t="inlineStr">
        <is>
          <t>LCM</t>
        </is>
      </c>
      <c r="N56" s="33" t="n">
        <v>100</v>
      </c>
      <c r="O56" s="33" t="inlineStr">
        <is>
          <t>Free</t>
        </is>
      </c>
      <c r="P56" s="33" t="inlineStr">
        <is>
          <t>100 Free</t>
        </is>
      </c>
      <c r="Q56" s="33" t="inlineStr">
        <is>
          <t>LCM_100_FREE</t>
        </is>
      </c>
      <c r="R56" s="36" t="n">
        <v>58.04</v>
      </c>
      <c r="S56" s="35">
        <f>IF(R56="","",IF(R56&gt;=60,INT(R56/60)&amp;":"&amp;TEXT(MOD(R56,60),"00.00"),TEXT(R56,"0.00")))</f>
        <v/>
      </c>
      <c r="T56" s="52">
        <f>IFERROR((G56-INDEX('01_Swimmers'!$E$5:$E$22,MATCH(B56,'01_Swimmers'!$A$5:$A$22,0)))/'00_Control'!$B$10,"")</f>
        <v/>
      </c>
      <c r="U56" s="35">
        <f>IF(T56="","",INT(T56))</f>
        <v/>
      </c>
      <c r="V56" s="33" t="inlineStr">
        <is>
          <t>NO</t>
        </is>
      </c>
      <c r="W56" s="33" t="inlineStr">
        <is>
          <t>YES</t>
        </is>
      </c>
      <c r="X56" s="33" t="inlineStr">
        <is>
          <t>NO</t>
        </is>
      </c>
      <c r="Y56" s="33" t="n">
        <v>6</v>
      </c>
      <c r="Z56" s="33" t="n">
        <v>4</v>
      </c>
      <c r="AA56" s="33" t="inlineStr">
        <is>
          <t>2</t>
        </is>
      </c>
      <c r="AB56" s="33" t="inlineStr">
        <is>
          <t>https://www.swimcloud.com/results/241953/event/54/?id=80641408#time80641408</t>
        </is>
      </c>
      <c r="AC56" s="33" t="inlineStr">
        <is>
          <t>SwimCloud API v6 2026-10-08</t>
        </is>
      </c>
      <c r="AD56" s="33" t="inlineStr">
        <is>
          <t>Caeleb Dressel|2009-07-31|LCM|100|Free|58.04|2009 SZ Age Group Championship|PRE|False</t>
        </is>
      </c>
      <c r="AE56" s="53">
        <f>G56+L56/1000+ROW()/1000000000</f>
        <v/>
      </c>
      <c r="AF56" s="35">
        <f>IF(C56&lt;&gt;"Grayson Coulter","",COUNTIFS($C$5:$C$2991,"Grayson Coulter",$Q$5:$Q$2991,Q56,$AE$5:$AE$2991,"&lt;="&amp;AE56,$R$5:$R$2991,"&lt;"&amp;R56))</f>
        <v/>
      </c>
      <c r="AG56" s="35">
        <f>IF(OR(C56&lt;&gt;"Grayson Coulter",G56&lt;'00_Control'!$B$7),"",--(AF56&lt;5))</f>
        <v/>
      </c>
      <c r="AH56" s="35">
        <f>IF(OR(C56&lt;&gt;"Grayson Coulter",G56&lt;'00_Control'!$B$7),"",--(AF56&lt;10))</f>
        <v/>
      </c>
      <c r="AI56" s="35">
        <f>IF(AND(C56="Grayson Coulter",G56&gt;='00_Control'!$B$7),"YES","NO")</f>
        <v/>
      </c>
      <c r="AJ56" s="33" t="inlineStr">
        <is>
          <t>OK</t>
        </is>
      </c>
    </row>
    <row r="57">
      <c r="A57" s="33" t="inlineStr">
        <is>
          <t>SM000053</t>
        </is>
      </c>
      <c r="B57" s="33" t="inlineStr">
        <is>
          <t>SW010</t>
        </is>
      </c>
      <c r="C57" s="33" t="inlineStr">
        <is>
          <t>Caeleb Dressel</t>
        </is>
      </c>
      <c r="D57" s="33" t="inlineStr">
        <is>
          <t>SwimCloud</t>
        </is>
      </c>
      <c r="E57" s="33" t="inlineStr">
        <is>
          <t>2361642</t>
        </is>
      </c>
      <c r="F57" s="33" t="inlineStr">
        <is>
          <t>80641409</t>
        </is>
      </c>
      <c r="G57" s="51" t="n">
        <v>40025</v>
      </c>
      <c r="H57" s="33" t="inlineStr">
        <is>
          <t>2009 SZ Age Group Championship</t>
        </is>
      </c>
      <c r="I57" s="33" t="inlineStr">
        <is>
          <t>241953</t>
        </is>
      </c>
      <c r="J57" s="33" t="inlineStr"/>
      <c r="K57" s="33" t="inlineStr">
        <is>
          <t>FIN</t>
        </is>
      </c>
      <c r="L57" s="35">
        <f>IF(K57="FIN",3,IF(OR(K57="SEM",K57="SEMI"),2,IF(OR(K57="PRE",K57="HEAT"),1,IF(V57="YES",4,2))))</f>
        <v/>
      </c>
      <c r="M57" s="33" t="inlineStr">
        <is>
          <t>LCM</t>
        </is>
      </c>
      <c r="N57" s="33" t="n">
        <v>100</v>
      </c>
      <c r="O57" s="33" t="inlineStr">
        <is>
          <t>Free</t>
        </is>
      </c>
      <c r="P57" s="33" t="inlineStr">
        <is>
          <t>100 Free</t>
        </is>
      </c>
      <c r="Q57" s="33" t="inlineStr">
        <is>
          <t>LCM_100_FREE</t>
        </is>
      </c>
      <c r="R57" s="36" t="n">
        <v>57.6</v>
      </c>
      <c r="S57" s="35">
        <f>IF(R57="","",IF(R57&gt;=60,INT(R57/60)&amp;":"&amp;TEXT(MOD(R57,60),"00.00"),TEXT(R57,"0.00")))</f>
        <v/>
      </c>
      <c r="T57" s="52">
        <f>IFERROR((G57-INDEX('01_Swimmers'!$E$5:$E$22,MATCH(B57,'01_Swimmers'!$A$5:$A$22,0)))/'00_Control'!$B$10,"")</f>
        <v/>
      </c>
      <c r="U57" s="35">
        <f>IF(T57="","",INT(T57))</f>
        <v/>
      </c>
      <c r="V57" s="33" t="inlineStr">
        <is>
          <t>NO</t>
        </is>
      </c>
      <c r="W57" s="33" t="inlineStr">
        <is>
          <t>YES</t>
        </is>
      </c>
      <c r="X57" s="33" t="inlineStr">
        <is>
          <t>NO</t>
        </is>
      </c>
      <c r="Y57" s="33" t="n">
        <v>1</v>
      </c>
      <c r="Z57" s="33" t="n">
        <v>5</v>
      </c>
      <c r="AA57" s="33" t="inlineStr">
        <is>
          <t>3</t>
        </is>
      </c>
      <c r="AB57" s="33" t="inlineStr">
        <is>
          <t>https://www.swimcloud.com/results/241953/event/54/?id=80641409#time80641409</t>
        </is>
      </c>
      <c r="AC57" s="33" t="inlineStr">
        <is>
          <t>SwimCloud API v6 2026-10-08</t>
        </is>
      </c>
      <c r="AD57" s="33" t="inlineStr">
        <is>
          <t>Caeleb Dressel|2009-07-31|LCM|100|Free|57.6|2009 SZ Age Group Championship|FIN|False</t>
        </is>
      </c>
      <c r="AE57" s="53">
        <f>G57+L57/1000+ROW()/1000000000</f>
        <v/>
      </c>
      <c r="AF57" s="35">
        <f>IF(C57&lt;&gt;"Grayson Coulter","",COUNTIFS($C$5:$C$2991,"Grayson Coulter",$Q$5:$Q$2991,Q57,$AE$5:$AE$2991,"&lt;="&amp;AE57,$R$5:$R$2991,"&lt;"&amp;R57))</f>
        <v/>
      </c>
      <c r="AG57" s="35">
        <f>IF(OR(C57&lt;&gt;"Grayson Coulter",G57&lt;'00_Control'!$B$7),"",--(AF57&lt;5))</f>
        <v/>
      </c>
      <c r="AH57" s="35">
        <f>IF(OR(C57&lt;&gt;"Grayson Coulter",G57&lt;'00_Control'!$B$7),"",--(AF57&lt;10))</f>
        <v/>
      </c>
      <c r="AI57" s="35">
        <f>IF(AND(C57="Grayson Coulter",G57&gt;='00_Control'!$B$7),"YES","NO")</f>
        <v/>
      </c>
      <c r="AJ57" s="33" t="inlineStr">
        <is>
          <t>OK</t>
        </is>
      </c>
    </row>
    <row r="58">
      <c r="A58" s="33" t="inlineStr">
        <is>
          <t>SM000054</t>
        </is>
      </c>
      <c r="B58" s="33" t="inlineStr">
        <is>
          <t>SW010</t>
        </is>
      </c>
      <c r="C58" s="33" t="inlineStr">
        <is>
          <t>Caeleb Dressel</t>
        </is>
      </c>
      <c r="D58" s="33" t="inlineStr">
        <is>
          <t>SwimCloud</t>
        </is>
      </c>
      <c r="E58" s="33" t="inlineStr">
        <is>
          <t>2361642</t>
        </is>
      </c>
      <c r="F58" s="33" t="inlineStr">
        <is>
          <t>185840374</t>
        </is>
      </c>
      <c r="G58" s="51" t="n">
        <v>40256</v>
      </c>
      <c r="H58" s="33" t="inlineStr">
        <is>
          <t>Speedo Champions Series - Fort Lauderdale</t>
        </is>
      </c>
      <c r="I58" s="33" t="inlineStr">
        <is>
          <t>398652</t>
        </is>
      </c>
      <c r="J58" s="33" t="inlineStr"/>
      <c r="K58" s="33" t="inlineStr">
        <is>
          <t>PRE</t>
        </is>
      </c>
      <c r="L58" s="35">
        <f>IF(K58="FIN",3,IF(OR(K58="SEM",K58="SEMI"),2,IF(OR(K58="PRE",K58="HEAT"),1,IF(V58="YES",4,2))))</f>
        <v/>
      </c>
      <c r="M58" s="33" t="inlineStr">
        <is>
          <t>LCM</t>
        </is>
      </c>
      <c r="N58" s="33" t="n">
        <v>100</v>
      </c>
      <c r="O58" s="33" t="inlineStr">
        <is>
          <t>Fly</t>
        </is>
      </c>
      <c r="P58" s="33" t="inlineStr">
        <is>
          <t>100 Fly</t>
        </is>
      </c>
      <c r="Q58" s="33" t="inlineStr">
        <is>
          <t>LCM_100_FLY</t>
        </is>
      </c>
      <c r="R58" s="36" t="n">
        <v>64.77</v>
      </c>
      <c r="S58" s="35">
        <f>IF(R58="","",IF(R58&gt;=60,INT(R58/60)&amp;":"&amp;TEXT(MOD(R58,60),"00.00"),TEXT(R58,"0.00")))</f>
        <v/>
      </c>
      <c r="T58" s="52">
        <f>IFERROR((G58-INDEX('01_Swimmers'!$E$5:$E$22,MATCH(B58,'01_Swimmers'!$A$5:$A$22,0)))/'00_Control'!$B$10,"")</f>
        <v/>
      </c>
      <c r="U58" s="35">
        <f>IF(T58="","",INT(T58))</f>
        <v/>
      </c>
      <c r="V58" s="33" t="inlineStr">
        <is>
          <t>NO</t>
        </is>
      </c>
      <c r="W58" s="33" t="inlineStr">
        <is>
          <t>YES</t>
        </is>
      </c>
      <c r="X58" s="33" t="inlineStr">
        <is>
          <t>NO</t>
        </is>
      </c>
      <c r="Y58" s="33" t="n">
        <v>3</v>
      </c>
      <c r="Z58" s="33" t="n">
        <v>2</v>
      </c>
      <c r="AA58" s="33" t="inlineStr">
        <is>
          <t>92</t>
        </is>
      </c>
      <c r="AB58" s="33" t="inlineStr">
        <is>
          <t>https://www.swimcloud.com/results/398652/event/12/?id=185840374#time185840374</t>
        </is>
      </c>
      <c r="AC58" s="33" t="inlineStr">
        <is>
          <t>SwimCloud API v6 2026-10-08</t>
        </is>
      </c>
      <c r="AD58" s="33" t="inlineStr">
        <is>
          <t>Caeleb Dressel|2010-03-19|LCM|100|Fly|64.77|Speedo Champions Series - Fort Lauderdale|PRE|False</t>
        </is>
      </c>
      <c r="AE58" s="53">
        <f>G58+L58/1000+ROW()/1000000000</f>
        <v/>
      </c>
      <c r="AF58" s="35">
        <f>IF(C58&lt;&gt;"Grayson Coulter","",COUNTIFS($C$5:$C$2991,"Grayson Coulter",$Q$5:$Q$2991,Q58,$AE$5:$AE$2991,"&lt;="&amp;AE58,$R$5:$R$2991,"&lt;"&amp;R58))</f>
        <v/>
      </c>
      <c r="AG58" s="35">
        <f>IF(OR(C58&lt;&gt;"Grayson Coulter",G58&lt;'00_Control'!$B$7),"",--(AF58&lt;5))</f>
        <v/>
      </c>
      <c r="AH58" s="35">
        <f>IF(OR(C58&lt;&gt;"Grayson Coulter",G58&lt;'00_Control'!$B$7),"",--(AF58&lt;10))</f>
        <v/>
      </c>
      <c r="AI58" s="35">
        <f>IF(AND(C58="Grayson Coulter",G58&gt;='00_Control'!$B$7),"YES","NO")</f>
        <v/>
      </c>
      <c r="AJ58" s="33" t="inlineStr">
        <is>
          <t>OK</t>
        </is>
      </c>
    </row>
    <row r="59">
      <c r="A59" s="33" t="inlineStr">
        <is>
          <t>SM000055</t>
        </is>
      </c>
      <c r="B59" s="33" t="inlineStr">
        <is>
          <t>SW010</t>
        </is>
      </c>
      <c r="C59" s="33" t="inlineStr">
        <is>
          <t>Caeleb Dressel</t>
        </is>
      </c>
      <c r="D59" s="33" t="inlineStr">
        <is>
          <t>SwimCloud</t>
        </is>
      </c>
      <c r="E59" s="33" t="inlineStr">
        <is>
          <t>2361642</t>
        </is>
      </c>
      <c r="F59" s="33" t="inlineStr">
        <is>
          <t>185838894</t>
        </is>
      </c>
      <c r="G59" s="51" t="n">
        <v>40256</v>
      </c>
      <c r="H59" s="33" t="inlineStr">
        <is>
          <t>Speedo Champions Series - Fort Lauderdale</t>
        </is>
      </c>
      <c r="I59" s="33" t="inlineStr">
        <is>
          <t>398652</t>
        </is>
      </c>
      <c r="J59" s="33" t="inlineStr"/>
      <c r="K59" s="33" t="inlineStr">
        <is>
          <t>PRE</t>
        </is>
      </c>
      <c r="L59" s="35">
        <f>IF(K59="FIN",3,IF(OR(K59="SEM",K59="SEMI"),2,IF(OR(K59="PRE",K59="HEAT"),1,IF(V59="YES",4,2))))</f>
        <v/>
      </c>
      <c r="M59" s="33" t="inlineStr">
        <is>
          <t>LCM</t>
        </is>
      </c>
      <c r="N59" s="33" t="n">
        <v>200</v>
      </c>
      <c r="O59" s="33" t="inlineStr">
        <is>
          <t>Free</t>
        </is>
      </c>
      <c r="P59" s="33" t="inlineStr">
        <is>
          <t>200 Free</t>
        </is>
      </c>
      <c r="Q59" s="33" t="inlineStr">
        <is>
          <t>LCM_200_FREE</t>
        </is>
      </c>
      <c r="R59" s="36" t="n">
        <v>127.72</v>
      </c>
      <c r="S59" s="35">
        <f>IF(R59="","",IF(R59&gt;=60,INT(R59/60)&amp;":"&amp;TEXT(MOD(R59,60),"00.00"),TEXT(R59,"0.00")))</f>
        <v/>
      </c>
      <c r="T59" s="52">
        <f>IFERROR((G59-INDEX('01_Swimmers'!$E$5:$E$22,MATCH(B59,'01_Swimmers'!$A$5:$A$22,0)))/'00_Control'!$B$10,"")</f>
        <v/>
      </c>
      <c r="U59" s="35">
        <f>IF(T59="","",INT(T59))</f>
        <v/>
      </c>
      <c r="V59" s="33" t="inlineStr">
        <is>
          <t>NO</t>
        </is>
      </c>
      <c r="W59" s="33" t="inlineStr">
        <is>
          <t>YES</t>
        </is>
      </c>
      <c r="X59" s="33" t="inlineStr">
        <is>
          <t>NO</t>
        </is>
      </c>
      <c r="Y59" s="33" t="n">
        <v>9</v>
      </c>
      <c r="Z59" s="33" t="n">
        <v>9</v>
      </c>
      <c r="AA59" s="33" t="inlineStr">
        <is>
          <t>102</t>
        </is>
      </c>
      <c r="AB59" s="33" t="inlineStr">
        <is>
          <t>https://www.swimcloud.com/results/398652/event/8/?id=185838894#time185838894</t>
        </is>
      </c>
      <c r="AC59" s="33" t="inlineStr">
        <is>
          <t>SwimCloud API v6 2026-10-08</t>
        </is>
      </c>
      <c r="AD59" s="33" t="inlineStr">
        <is>
          <t>Caeleb Dressel|2010-03-19|LCM|200|Free|127.72|Speedo Champions Series - Fort Lauderdale|PRE|False</t>
        </is>
      </c>
      <c r="AE59" s="53">
        <f>G59+L59/1000+ROW()/1000000000</f>
        <v/>
      </c>
      <c r="AF59" s="35">
        <f>IF(C59&lt;&gt;"Grayson Coulter","",COUNTIFS($C$5:$C$2991,"Grayson Coulter",$Q$5:$Q$2991,Q59,$AE$5:$AE$2991,"&lt;="&amp;AE59,$R$5:$R$2991,"&lt;"&amp;R59))</f>
        <v/>
      </c>
      <c r="AG59" s="35">
        <f>IF(OR(C59&lt;&gt;"Grayson Coulter",G59&lt;'00_Control'!$B$7),"",--(AF59&lt;5))</f>
        <v/>
      </c>
      <c r="AH59" s="35">
        <f>IF(OR(C59&lt;&gt;"Grayson Coulter",G59&lt;'00_Control'!$B$7),"",--(AF59&lt;10))</f>
        <v/>
      </c>
      <c r="AI59" s="35">
        <f>IF(AND(C59="Grayson Coulter",G59&gt;='00_Control'!$B$7),"YES","NO")</f>
        <v/>
      </c>
      <c r="AJ59" s="33" t="inlineStr">
        <is>
          <t>OK</t>
        </is>
      </c>
    </row>
    <row r="60">
      <c r="A60" s="33" t="inlineStr">
        <is>
          <t>SM000056</t>
        </is>
      </c>
      <c r="B60" s="33" t="inlineStr">
        <is>
          <t>SW010</t>
        </is>
      </c>
      <c r="C60" s="33" t="inlineStr">
        <is>
          <t>Caeleb Dressel</t>
        </is>
      </c>
      <c r="D60" s="33" t="inlineStr">
        <is>
          <t>SwimCloud</t>
        </is>
      </c>
      <c r="E60" s="33" t="inlineStr">
        <is>
          <t>2361642</t>
        </is>
      </c>
      <c r="F60" s="33" t="inlineStr">
        <is>
          <t>185838579</t>
        </is>
      </c>
      <c r="G60" s="51" t="n">
        <v>40258</v>
      </c>
      <c r="H60" s="33" t="inlineStr">
        <is>
          <t>Speedo Champions Series - Fort Lauderdale</t>
        </is>
      </c>
      <c r="I60" s="33" t="inlineStr">
        <is>
          <t>398652</t>
        </is>
      </c>
      <c r="J60" s="33" t="inlineStr"/>
      <c r="K60" s="33" t="inlineStr">
        <is>
          <t>PRE</t>
        </is>
      </c>
      <c r="L60" s="35">
        <f>IF(K60="FIN",3,IF(OR(K60="SEM",K60="SEMI"),2,IF(OR(K60="PRE",K60="HEAT"),1,IF(V60="YES",4,2))))</f>
        <v/>
      </c>
      <c r="M60" s="33" t="inlineStr">
        <is>
          <t>LCM</t>
        </is>
      </c>
      <c r="N60" s="33" t="n">
        <v>100</v>
      </c>
      <c r="O60" s="33" t="inlineStr">
        <is>
          <t>Free</t>
        </is>
      </c>
      <c r="P60" s="33" t="inlineStr">
        <is>
          <t>100 Free</t>
        </is>
      </c>
      <c r="Q60" s="33" t="inlineStr">
        <is>
          <t>LCM_100_FREE</t>
        </is>
      </c>
      <c r="R60" s="36" t="n">
        <v>57.55</v>
      </c>
      <c r="S60" s="35">
        <f>IF(R60="","",IF(R60&gt;=60,INT(R60/60)&amp;":"&amp;TEXT(MOD(R60,60),"00.00"),TEXT(R60,"0.00")))</f>
        <v/>
      </c>
      <c r="T60" s="52">
        <f>IFERROR((G60-INDEX('01_Swimmers'!$E$5:$E$22,MATCH(B60,'01_Swimmers'!$A$5:$A$22,0)))/'00_Control'!$B$10,"")</f>
        <v/>
      </c>
      <c r="U60" s="35">
        <f>IF(T60="","",INT(T60))</f>
        <v/>
      </c>
      <c r="V60" s="33" t="inlineStr">
        <is>
          <t>NO</t>
        </is>
      </c>
      <c r="W60" s="33" t="inlineStr">
        <is>
          <t>YES</t>
        </is>
      </c>
      <c r="X60" s="33" t="inlineStr">
        <is>
          <t>NO</t>
        </is>
      </c>
      <c r="Y60" s="33" t="n">
        <v>5</v>
      </c>
      <c r="Z60" s="33" t="n">
        <v>1</v>
      </c>
      <c r="AA60" s="33" t="inlineStr">
        <is>
          <t>93</t>
        </is>
      </c>
      <c r="AB60" s="33" t="inlineStr">
        <is>
          <t>https://www.swimcloud.com/results/398652/event/30/?id=185838579#time185838579</t>
        </is>
      </c>
      <c r="AC60" s="33" t="inlineStr">
        <is>
          <t>SwimCloud API v6 2026-10-08</t>
        </is>
      </c>
      <c r="AD60" s="33" t="inlineStr">
        <is>
          <t>Caeleb Dressel|2010-03-21|LCM|100|Free|57.55|Speedo Champions Series - Fort Lauderdale|PRE|False</t>
        </is>
      </c>
      <c r="AE60" s="53">
        <f>G60+L60/1000+ROW()/1000000000</f>
        <v/>
      </c>
      <c r="AF60" s="35">
        <f>IF(C60&lt;&gt;"Grayson Coulter","",COUNTIFS($C$5:$C$2991,"Grayson Coulter",$Q$5:$Q$2991,Q60,$AE$5:$AE$2991,"&lt;="&amp;AE60,$R$5:$R$2991,"&lt;"&amp;R60))</f>
        <v/>
      </c>
      <c r="AG60" s="35">
        <f>IF(OR(C60&lt;&gt;"Grayson Coulter",G60&lt;'00_Control'!$B$7),"",--(AF60&lt;5))</f>
        <v/>
      </c>
      <c r="AH60" s="35">
        <f>IF(OR(C60&lt;&gt;"Grayson Coulter",G60&lt;'00_Control'!$B$7),"",--(AF60&lt;10))</f>
        <v/>
      </c>
      <c r="AI60" s="35">
        <f>IF(AND(C60="Grayson Coulter",G60&gt;='00_Control'!$B$7),"YES","NO")</f>
        <v/>
      </c>
      <c r="AJ60" s="33" t="inlineStr">
        <is>
          <t>OK</t>
        </is>
      </c>
    </row>
    <row r="61">
      <c r="A61" s="33" t="inlineStr">
        <is>
          <t>SM000057</t>
        </is>
      </c>
      <c r="B61" s="33" t="inlineStr">
        <is>
          <t>SW010</t>
        </is>
      </c>
      <c r="C61" s="33" t="inlineStr">
        <is>
          <t>Caeleb Dressel</t>
        </is>
      </c>
      <c r="D61" s="33" t="inlineStr">
        <is>
          <t>SwimCloud</t>
        </is>
      </c>
      <c r="E61" s="33" t="inlineStr">
        <is>
          <t>2361642</t>
        </is>
      </c>
      <c r="F61" s="33" t="inlineStr">
        <is>
          <t>188233445</t>
        </is>
      </c>
      <c r="G61" s="51" t="n">
        <v>40387</v>
      </c>
      <c r="H61" s="33" t="inlineStr">
        <is>
          <t>Southern Zone Championship</t>
        </is>
      </c>
      <c r="I61" s="33" t="inlineStr">
        <is>
          <t>401235</t>
        </is>
      </c>
      <c r="J61" s="33" t="inlineStr"/>
      <c r="K61" s="33" t="inlineStr">
        <is>
          <t>PRE</t>
        </is>
      </c>
      <c r="L61" s="35">
        <f>IF(K61="FIN",3,IF(OR(K61="SEM",K61="SEMI"),2,IF(OR(K61="PRE",K61="HEAT"),1,IF(V61="YES",4,2))))</f>
        <v/>
      </c>
      <c r="M61" s="33" t="inlineStr">
        <is>
          <t>LCM</t>
        </is>
      </c>
      <c r="N61" s="33" t="n">
        <v>100</v>
      </c>
      <c r="O61" s="33" t="inlineStr">
        <is>
          <t>Fly</t>
        </is>
      </c>
      <c r="P61" s="33" t="inlineStr">
        <is>
          <t>100 Fly</t>
        </is>
      </c>
      <c r="Q61" s="33" t="inlineStr">
        <is>
          <t>LCM_100_FLY</t>
        </is>
      </c>
      <c r="R61" s="36" t="n">
        <v>63.98</v>
      </c>
      <c r="S61" s="35">
        <f>IF(R61="","",IF(R61&gt;=60,INT(R61/60)&amp;":"&amp;TEXT(MOD(R61,60),"00.00"),TEXT(R61,"0.00")))</f>
        <v/>
      </c>
      <c r="T61" s="52">
        <f>IFERROR((G61-INDEX('01_Swimmers'!$E$5:$E$22,MATCH(B61,'01_Swimmers'!$A$5:$A$22,0)))/'00_Control'!$B$10,"")</f>
        <v/>
      </c>
      <c r="U61" s="35">
        <f>IF(T61="","",INT(T61))</f>
        <v/>
      </c>
      <c r="V61" s="33" t="inlineStr">
        <is>
          <t>NO</t>
        </is>
      </c>
      <c r="W61" s="33" t="inlineStr">
        <is>
          <t>YES</t>
        </is>
      </c>
      <c r="X61" s="33" t="inlineStr">
        <is>
          <t>NO</t>
        </is>
      </c>
      <c r="Y61" s="33" t="n">
        <v>3</v>
      </c>
      <c r="Z61" s="33" t="n">
        <v>8</v>
      </c>
      <c r="AA61" s="33" t="inlineStr">
        <is>
          <t>20</t>
        </is>
      </c>
      <c r="AB61" s="33" t="inlineStr">
        <is>
          <t>https://www.swimcloud.com/results/401235/event/18/?id=188233445#time188233445</t>
        </is>
      </c>
      <c r="AC61" s="33" t="inlineStr">
        <is>
          <t>SwimCloud API v6 2026-10-08</t>
        </is>
      </c>
      <c r="AD61" s="33" t="inlineStr">
        <is>
          <t>Caeleb Dressel|2010-07-28|LCM|100|Fly|63.98|Southern Zone Championship|PRE|False</t>
        </is>
      </c>
      <c r="AE61" s="53">
        <f>G61+L61/1000+ROW()/1000000000</f>
        <v/>
      </c>
      <c r="AF61" s="35">
        <f>IF(C61&lt;&gt;"Grayson Coulter","",COUNTIFS($C$5:$C$2991,"Grayson Coulter",$Q$5:$Q$2991,Q61,$AE$5:$AE$2991,"&lt;="&amp;AE61,$R$5:$R$2991,"&lt;"&amp;R61))</f>
        <v/>
      </c>
      <c r="AG61" s="35">
        <f>IF(OR(C61&lt;&gt;"Grayson Coulter",G61&lt;'00_Control'!$B$7),"",--(AF61&lt;5))</f>
        <v/>
      </c>
      <c r="AH61" s="35">
        <f>IF(OR(C61&lt;&gt;"Grayson Coulter",G61&lt;'00_Control'!$B$7),"",--(AF61&lt;10))</f>
        <v/>
      </c>
      <c r="AI61" s="35">
        <f>IF(AND(C61="Grayson Coulter",G61&gt;='00_Control'!$B$7),"YES","NO")</f>
        <v/>
      </c>
      <c r="AJ61" s="33" t="inlineStr">
        <is>
          <t>OK</t>
        </is>
      </c>
    </row>
    <row r="62">
      <c r="A62" s="33" t="inlineStr">
        <is>
          <t>SM000058</t>
        </is>
      </c>
      <c r="B62" s="33" t="inlineStr">
        <is>
          <t>SW010</t>
        </is>
      </c>
      <c r="C62" s="33" t="inlineStr">
        <is>
          <t>Caeleb Dressel</t>
        </is>
      </c>
      <c r="D62" s="33" t="inlineStr">
        <is>
          <t>SwimCloud</t>
        </is>
      </c>
      <c r="E62" s="33" t="inlineStr">
        <is>
          <t>2361642</t>
        </is>
      </c>
      <c r="F62" s="33" t="inlineStr">
        <is>
          <t>188233406</t>
        </is>
      </c>
      <c r="G62" s="51" t="n">
        <v>40387</v>
      </c>
      <c r="H62" s="33" t="inlineStr">
        <is>
          <t>Southern Zone Championship</t>
        </is>
      </c>
      <c r="I62" s="33" t="inlineStr">
        <is>
          <t>401235</t>
        </is>
      </c>
      <c r="J62" s="33" t="inlineStr"/>
      <c r="K62" s="33" t="inlineStr">
        <is>
          <t>PRE</t>
        </is>
      </c>
      <c r="L62" s="35">
        <f>IF(K62="FIN",3,IF(OR(K62="SEM",K62="SEMI"),2,IF(OR(K62="PRE",K62="HEAT"),1,IF(V62="YES",4,2))))</f>
        <v/>
      </c>
      <c r="M62" s="33" t="inlineStr">
        <is>
          <t>LCM</t>
        </is>
      </c>
      <c r="N62" s="33" t="n">
        <v>200</v>
      </c>
      <c r="O62" s="33" t="inlineStr">
        <is>
          <t>Free</t>
        </is>
      </c>
      <c r="P62" s="33" t="inlineStr">
        <is>
          <t>200 Free</t>
        </is>
      </c>
      <c r="Q62" s="33" t="inlineStr">
        <is>
          <t>LCM_200_FREE</t>
        </is>
      </c>
      <c r="R62" s="36" t="n">
        <v>122.59</v>
      </c>
      <c r="S62" s="35">
        <f>IF(R62="","",IF(R62&gt;=60,INT(R62/60)&amp;":"&amp;TEXT(MOD(R62,60),"00.00"),TEXT(R62,"0.00")))</f>
        <v/>
      </c>
      <c r="T62" s="52">
        <f>IFERROR((G62-INDEX('01_Swimmers'!$E$5:$E$22,MATCH(B62,'01_Swimmers'!$A$5:$A$22,0)))/'00_Control'!$B$10,"")</f>
        <v/>
      </c>
      <c r="U62" s="35">
        <f>IF(T62="","",INT(T62))</f>
        <v/>
      </c>
      <c r="V62" s="33" t="inlineStr">
        <is>
          <t>NO</t>
        </is>
      </c>
      <c r="W62" s="33" t="inlineStr">
        <is>
          <t>YES</t>
        </is>
      </c>
      <c r="X62" s="33" t="inlineStr">
        <is>
          <t>NO</t>
        </is>
      </c>
      <c r="Y62" s="33" t="n">
        <v>4</v>
      </c>
      <c r="Z62" s="33" t="n">
        <v>7</v>
      </c>
      <c r="AA62" s="33" t="inlineStr">
        <is>
          <t>17</t>
        </is>
      </c>
      <c r="AB62" s="33" t="inlineStr">
        <is>
          <t>https://www.swimcloud.com/results/401235/event/6/?id=188233406#time188233406</t>
        </is>
      </c>
      <c r="AC62" s="33" t="inlineStr">
        <is>
          <t>SwimCloud API v6 2026-10-08</t>
        </is>
      </c>
      <c r="AD62" s="33" t="inlineStr">
        <is>
          <t>Caeleb Dressel|2010-07-28|LCM|200|Free|122.59|Southern Zone Championship|PRE|False</t>
        </is>
      </c>
      <c r="AE62" s="53">
        <f>G62+L62/1000+ROW()/1000000000</f>
        <v/>
      </c>
      <c r="AF62" s="35">
        <f>IF(C62&lt;&gt;"Grayson Coulter","",COUNTIFS($C$5:$C$2991,"Grayson Coulter",$Q$5:$Q$2991,Q62,$AE$5:$AE$2991,"&lt;="&amp;AE62,$R$5:$R$2991,"&lt;"&amp;R62))</f>
        <v/>
      </c>
      <c r="AG62" s="35">
        <f>IF(OR(C62&lt;&gt;"Grayson Coulter",G62&lt;'00_Control'!$B$7),"",--(AF62&lt;5))</f>
        <v/>
      </c>
      <c r="AH62" s="35">
        <f>IF(OR(C62&lt;&gt;"Grayson Coulter",G62&lt;'00_Control'!$B$7),"",--(AF62&lt;10))</f>
        <v/>
      </c>
      <c r="AI62" s="35">
        <f>IF(AND(C62="Grayson Coulter",G62&gt;='00_Control'!$B$7),"YES","NO")</f>
        <v/>
      </c>
      <c r="AJ62" s="33" t="inlineStr">
        <is>
          <t>OK</t>
        </is>
      </c>
    </row>
    <row r="63">
      <c r="A63" s="33" t="inlineStr">
        <is>
          <t>SM000059</t>
        </is>
      </c>
      <c r="B63" s="33" t="inlineStr">
        <is>
          <t>SW010</t>
        </is>
      </c>
      <c r="C63" s="33" t="inlineStr">
        <is>
          <t>Caeleb Dressel</t>
        </is>
      </c>
      <c r="D63" s="33" t="inlineStr">
        <is>
          <t>SwimCloud</t>
        </is>
      </c>
      <c r="E63" s="33" t="inlineStr">
        <is>
          <t>2361642</t>
        </is>
      </c>
      <c r="F63" s="33" t="inlineStr">
        <is>
          <t>188235353</t>
        </is>
      </c>
      <c r="G63" s="51" t="n">
        <v>40388</v>
      </c>
      <c r="H63" s="33" t="inlineStr">
        <is>
          <t>Southern Zone Championship</t>
        </is>
      </c>
      <c r="I63" s="33" t="inlineStr">
        <is>
          <t>401235</t>
        </is>
      </c>
      <c r="J63" s="33" t="inlineStr"/>
      <c r="K63" s="33" t="inlineStr">
        <is>
          <t>PRE</t>
        </is>
      </c>
      <c r="L63" s="35">
        <f>IF(K63="FIN",3,IF(OR(K63="SEM",K63="SEMI"),2,IF(OR(K63="PRE",K63="HEAT"),1,IF(V63="YES",4,2))))</f>
        <v/>
      </c>
      <c r="M63" s="33" t="inlineStr">
        <is>
          <t>LCM</t>
        </is>
      </c>
      <c r="N63" s="33" t="n">
        <v>100</v>
      </c>
      <c r="O63" s="33" t="inlineStr">
        <is>
          <t>Free</t>
        </is>
      </c>
      <c r="P63" s="33" t="inlineStr">
        <is>
          <t>100 Free</t>
        </is>
      </c>
      <c r="Q63" s="33" t="inlineStr">
        <is>
          <t>LCM_100_FREE</t>
        </is>
      </c>
      <c r="R63" s="36" t="n">
        <v>55.6</v>
      </c>
      <c r="S63" s="35">
        <f>IF(R63="","",IF(R63&gt;=60,INT(R63/60)&amp;":"&amp;TEXT(MOD(R63,60),"00.00"),TEXT(R63,"0.00")))</f>
        <v/>
      </c>
      <c r="T63" s="52">
        <f>IFERROR((G63-INDEX('01_Swimmers'!$E$5:$E$22,MATCH(B63,'01_Swimmers'!$A$5:$A$22,0)))/'00_Control'!$B$10,"")</f>
        <v/>
      </c>
      <c r="U63" s="35">
        <f>IF(T63="","",INT(T63))</f>
        <v/>
      </c>
      <c r="V63" s="33" t="inlineStr">
        <is>
          <t>NO</t>
        </is>
      </c>
      <c r="W63" s="33" t="inlineStr">
        <is>
          <t>YES</t>
        </is>
      </c>
      <c r="X63" s="33" t="inlineStr">
        <is>
          <t>NO</t>
        </is>
      </c>
      <c r="Y63" s="33" t="n">
        <v>5</v>
      </c>
      <c r="Z63" s="33" t="n">
        <v>4</v>
      </c>
      <c r="AA63" s="33" t="inlineStr">
        <is>
          <t>5</t>
        </is>
      </c>
      <c r="AB63" s="33" t="inlineStr">
        <is>
          <t>https://www.swimcloud.com/results/401235/event/30/?id=188235353#time188235353</t>
        </is>
      </c>
      <c r="AC63" s="33" t="inlineStr">
        <is>
          <t>SwimCloud API v6 2026-10-08</t>
        </is>
      </c>
      <c r="AD63" s="33" t="inlineStr">
        <is>
          <t>Caeleb Dressel|2010-07-29|LCM|100|Free|55.6|Southern Zone Championship|PRE|False</t>
        </is>
      </c>
      <c r="AE63" s="53">
        <f>G63+L63/1000+ROW()/1000000000</f>
        <v/>
      </c>
      <c r="AF63" s="35">
        <f>IF(C63&lt;&gt;"Grayson Coulter","",COUNTIFS($C$5:$C$2991,"Grayson Coulter",$Q$5:$Q$2991,Q63,$AE$5:$AE$2991,"&lt;="&amp;AE63,$R$5:$R$2991,"&lt;"&amp;R63))</f>
        <v/>
      </c>
      <c r="AG63" s="35">
        <f>IF(OR(C63&lt;&gt;"Grayson Coulter",G63&lt;'00_Control'!$B$7),"",--(AF63&lt;5))</f>
        <v/>
      </c>
      <c r="AH63" s="35">
        <f>IF(OR(C63&lt;&gt;"Grayson Coulter",G63&lt;'00_Control'!$B$7),"",--(AF63&lt;10))</f>
        <v/>
      </c>
      <c r="AI63" s="35">
        <f>IF(AND(C63="Grayson Coulter",G63&gt;='00_Control'!$B$7),"YES","NO")</f>
        <v/>
      </c>
      <c r="AJ63" s="33" t="inlineStr">
        <is>
          <t>OK</t>
        </is>
      </c>
    </row>
    <row r="64">
      <c r="A64" s="33" t="inlineStr">
        <is>
          <t>SM000060</t>
        </is>
      </c>
      <c r="B64" s="33" t="inlineStr">
        <is>
          <t>SW010</t>
        </is>
      </c>
      <c r="C64" s="33" t="inlineStr">
        <is>
          <t>Caeleb Dressel</t>
        </is>
      </c>
      <c r="D64" s="33" t="inlineStr">
        <is>
          <t>SwimCloud</t>
        </is>
      </c>
      <c r="E64" s="33" t="inlineStr">
        <is>
          <t>2361642</t>
        </is>
      </c>
      <c r="F64" s="33" t="inlineStr">
        <is>
          <t>188234648</t>
        </is>
      </c>
      <c r="G64" s="51" t="n">
        <v>40388</v>
      </c>
      <c r="H64" s="33" t="inlineStr">
        <is>
          <t>Southern Zone Championship</t>
        </is>
      </c>
      <c r="I64" s="33" t="inlineStr">
        <is>
          <t>401235</t>
        </is>
      </c>
      <c r="J64" s="33" t="inlineStr"/>
      <c r="K64" s="33" t="inlineStr">
        <is>
          <t>FIN</t>
        </is>
      </c>
      <c r="L64" s="35">
        <f>IF(K64="FIN",3,IF(OR(K64="SEM",K64="SEMI"),2,IF(OR(K64="PRE",K64="HEAT"),1,IF(V64="YES",4,2))))</f>
        <v/>
      </c>
      <c r="M64" s="33" t="inlineStr">
        <is>
          <t>LCM</t>
        </is>
      </c>
      <c r="N64" s="33" t="n">
        <v>100</v>
      </c>
      <c r="O64" s="33" t="inlineStr">
        <is>
          <t>Free</t>
        </is>
      </c>
      <c r="P64" s="33" t="inlineStr">
        <is>
          <t>100 Free</t>
        </is>
      </c>
      <c r="Q64" s="33" t="inlineStr">
        <is>
          <t>LCM_100_FREE</t>
        </is>
      </c>
      <c r="R64" s="36" t="n">
        <v>54.97</v>
      </c>
      <c r="S64" s="35">
        <f>IF(R64="","",IF(R64&gt;=60,INT(R64/60)&amp;":"&amp;TEXT(MOD(R64,60),"00.00"),TEXT(R64,"0.00")))</f>
        <v/>
      </c>
      <c r="T64" s="52">
        <f>IFERROR((G64-INDEX('01_Swimmers'!$E$5:$E$22,MATCH(B64,'01_Swimmers'!$A$5:$A$22,0)))/'00_Control'!$B$10,"")</f>
        <v/>
      </c>
      <c r="U64" s="35">
        <f>IF(T64="","",INT(T64))</f>
        <v/>
      </c>
      <c r="V64" s="33" t="inlineStr">
        <is>
          <t>NO</t>
        </is>
      </c>
      <c r="W64" s="33" t="inlineStr">
        <is>
          <t>YES</t>
        </is>
      </c>
      <c r="X64" s="33" t="inlineStr">
        <is>
          <t>NO</t>
        </is>
      </c>
      <c r="Y64" s="33" t="n">
        <v>1</v>
      </c>
      <c r="Z64" s="33" t="n">
        <v>3</v>
      </c>
      <c r="AA64" s="33" t="inlineStr">
        <is>
          <t>4</t>
        </is>
      </c>
      <c r="AB64" s="33" t="inlineStr">
        <is>
          <t>https://www.swimcloud.com/results/401235/event/30/?id=188234648#time188234648</t>
        </is>
      </c>
      <c r="AC64" s="33" t="inlineStr">
        <is>
          <t>SwimCloud API v6 2026-10-08</t>
        </is>
      </c>
      <c r="AD64" s="33" t="inlineStr">
        <is>
          <t>Caeleb Dressel|2010-07-29|LCM|100|Free|54.97|Southern Zone Championship|FIN|False</t>
        </is>
      </c>
      <c r="AE64" s="53">
        <f>G64+L64/1000+ROW()/1000000000</f>
        <v/>
      </c>
      <c r="AF64" s="35">
        <f>IF(C64&lt;&gt;"Grayson Coulter","",COUNTIFS($C$5:$C$2991,"Grayson Coulter",$Q$5:$Q$2991,Q64,$AE$5:$AE$2991,"&lt;="&amp;AE64,$R$5:$R$2991,"&lt;"&amp;R64))</f>
        <v/>
      </c>
      <c r="AG64" s="35">
        <f>IF(OR(C64&lt;&gt;"Grayson Coulter",G64&lt;'00_Control'!$B$7),"",--(AF64&lt;5))</f>
        <v/>
      </c>
      <c r="AH64" s="35">
        <f>IF(OR(C64&lt;&gt;"Grayson Coulter",G64&lt;'00_Control'!$B$7),"",--(AF64&lt;10))</f>
        <v/>
      </c>
      <c r="AI64" s="35">
        <f>IF(AND(C64="Grayson Coulter",G64&gt;='00_Control'!$B$7),"YES","NO")</f>
        <v/>
      </c>
      <c r="AJ64" s="33" t="inlineStr">
        <is>
          <t>OK</t>
        </is>
      </c>
    </row>
    <row r="65">
      <c r="A65" s="33" t="inlineStr">
        <is>
          <t>SM000061</t>
        </is>
      </c>
      <c r="B65" s="33" t="inlineStr">
        <is>
          <t>SW010</t>
        </is>
      </c>
      <c r="C65" s="33" t="inlineStr">
        <is>
          <t>Caeleb Dressel</t>
        </is>
      </c>
      <c r="D65" s="33" t="inlineStr">
        <is>
          <t>SwimCloud</t>
        </is>
      </c>
      <c r="E65" s="33" t="inlineStr">
        <is>
          <t>2361642</t>
        </is>
      </c>
      <c r="F65" s="33" t="inlineStr">
        <is>
          <t>131152968</t>
        </is>
      </c>
      <c r="G65" s="51" t="n">
        <v>40764</v>
      </c>
      <c r="H65" s="33" t="inlineStr">
        <is>
          <t>Speedo Junior National Championships</t>
        </is>
      </c>
      <c r="I65" s="33" t="inlineStr">
        <is>
          <t>16194</t>
        </is>
      </c>
      <c r="J65" s="33" t="inlineStr"/>
      <c r="K65" s="33" t="inlineStr">
        <is>
          <t>PRE</t>
        </is>
      </c>
      <c r="L65" s="35">
        <f>IF(K65="FIN",3,IF(OR(K65="SEM",K65="SEMI"),2,IF(OR(K65="PRE",K65="HEAT"),1,IF(V65="YES",4,2))))</f>
        <v/>
      </c>
      <c r="M65" s="33" t="inlineStr">
        <is>
          <t>LCM</t>
        </is>
      </c>
      <c r="N65" s="33" t="n">
        <v>100</v>
      </c>
      <c r="O65" s="33" t="inlineStr">
        <is>
          <t>Free</t>
        </is>
      </c>
      <c r="P65" s="33" t="inlineStr">
        <is>
          <t>100 Free</t>
        </is>
      </c>
      <c r="Q65" s="33" t="inlineStr">
        <is>
          <t>LCM_100_FREE</t>
        </is>
      </c>
      <c r="R65" s="36" t="n">
        <v>52.53</v>
      </c>
      <c r="S65" s="35">
        <f>IF(R65="","",IF(R65&gt;=60,INT(R65/60)&amp;":"&amp;TEXT(MOD(R65,60),"00.00"),TEXT(R65,"0.00")))</f>
        <v/>
      </c>
      <c r="T65" s="52">
        <f>IFERROR((G65-INDEX('01_Swimmers'!$E$5:$E$22,MATCH(B65,'01_Swimmers'!$A$5:$A$22,0)))/'00_Control'!$B$10,"")</f>
        <v/>
      </c>
      <c r="U65" s="35">
        <f>IF(T65="","",INT(T65))</f>
        <v/>
      </c>
      <c r="V65" s="33" t="inlineStr">
        <is>
          <t>NO</t>
        </is>
      </c>
      <c r="W65" s="33" t="inlineStr">
        <is>
          <t>YES</t>
        </is>
      </c>
      <c r="X65" s="33" t="inlineStr">
        <is>
          <t>NO</t>
        </is>
      </c>
      <c r="Y65" s="33" t="n">
        <v>14</v>
      </c>
      <c r="Z65" s="33" t="n">
        <v>5</v>
      </c>
      <c r="AA65" s="33" t="inlineStr">
        <is>
          <t>50</t>
        </is>
      </c>
      <c r="AB65" s="33" t="inlineStr">
        <is>
          <t>https://www.swimcloud.com/results/16194/event/10/?id=131152968#time131152968</t>
        </is>
      </c>
      <c r="AC65" s="33" t="inlineStr">
        <is>
          <t>SwimCloud API v6 2026-10-08</t>
        </is>
      </c>
      <c r="AD65" s="33" t="inlineStr">
        <is>
          <t>Caeleb Dressel|2011-08-09|LCM|100|Free|52.53|Speedo Junior National Championships|PRE|False</t>
        </is>
      </c>
      <c r="AE65" s="53">
        <f>G65+L65/1000+ROW()/1000000000</f>
        <v/>
      </c>
      <c r="AF65" s="35">
        <f>IF(C65&lt;&gt;"Grayson Coulter","",COUNTIFS($C$5:$C$2991,"Grayson Coulter",$Q$5:$Q$2991,Q65,$AE$5:$AE$2991,"&lt;="&amp;AE65,$R$5:$R$2991,"&lt;"&amp;R65))</f>
        <v/>
      </c>
      <c r="AG65" s="35">
        <f>IF(OR(C65&lt;&gt;"Grayson Coulter",G65&lt;'00_Control'!$B$7),"",--(AF65&lt;5))</f>
        <v/>
      </c>
      <c r="AH65" s="35">
        <f>IF(OR(C65&lt;&gt;"Grayson Coulter",G65&lt;'00_Control'!$B$7),"",--(AF65&lt;10))</f>
        <v/>
      </c>
      <c r="AI65" s="35">
        <f>IF(AND(C65="Grayson Coulter",G65&gt;='00_Control'!$B$7),"YES","NO")</f>
        <v/>
      </c>
      <c r="AJ65" s="33" t="inlineStr">
        <is>
          <t>OK</t>
        </is>
      </c>
    </row>
    <row r="66">
      <c r="A66" s="33" t="inlineStr">
        <is>
          <t>SM000062</t>
        </is>
      </c>
      <c r="B66" s="33" t="inlineStr">
        <is>
          <t>SW010</t>
        </is>
      </c>
      <c r="C66" s="33" t="inlineStr">
        <is>
          <t>Caeleb Dressel</t>
        </is>
      </c>
      <c r="D66" s="33" t="inlineStr">
        <is>
          <t>SwimCloud</t>
        </is>
      </c>
      <c r="E66" s="33" t="inlineStr">
        <is>
          <t>2361642</t>
        </is>
      </c>
      <c r="F66" s="33" t="inlineStr">
        <is>
          <t>131153986</t>
        </is>
      </c>
      <c r="G66" s="51" t="n">
        <v>40766</v>
      </c>
      <c r="H66" s="33" t="inlineStr">
        <is>
          <t>Speedo Junior National Championships</t>
        </is>
      </c>
      <c r="I66" s="33" t="inlineStr">
        <is>
          <t>16194</t>
        </is>
      </c>
      <c r="J66" s="33" t="inlineStr"/>
      <c r="K66" s="33" t="inlineStr">
        <is>
          <t>PRE</t>
        </is>
      </c>
      <c r="L66" s="35">
        <f>IF(K66="FIN",3,IF(OR(K66="SEM",K66="SEMI"),2,IF(OR(K66="PRE",K66="HEAT"),1,IF(V66="YES",4,2))))</f>
        <v/>
      </c>
      <c r="M66" s="33" t="inlineStr">
        <is>
          <t>LCM</t>
        </is>
      </c>
      <c r="N66" s="33" t="n">
        <v>200</v>
      </c>
      <c r="O66" s="33" t="inlineStr">
        <is>
          <t>Free</t>
        </is>
      </c>
      <c r="P66" s="33" t="inlineStr">
        <is>
          <t>200 Free</t>
        </is>
      </c>
      <c r="Q66" s="33" t="inlineStr">
        <is>
          <t>LCM_200_FREE</t>
        </is>
      </c>
      <c r="R66" s="36" t="n">
        <v>116.59</v>
      </c>
      <c r="S66" s="35">
        <f>IF(R66="","",IF(R66&gt;=60,INT(R66/60)&amp;":"&amp;TEXT(MOD(R66,60),"00.00"),TEXT(R66,"0.00")))</f>
        <v/>
      </c>
      <c r="T66" s="52">
        <f>IFERROR((G66-INDEX('01_Swimmers'!$E$5:$E$22,MATCH(B66,'01_Swimmers'!$A$5:$A$22,0)))/'00_Control'!$B$10,"")</f>
        <v/>
      </c>
      <c r="U66" s="35">
        <f>IF(T66="","",INT(T66))</f>
        <v/>
      </c>
      <c r="V66" s="33" t="inlineStr">
        <is>
          <t>NO</t>
        </is>
      </c>
      <c r="W66" s="33" t="inlineStr">
        <is>
          <t>YES</t>
        </is>
      </c>
      <c r="X66" s="33" t="inlineStr">
        <is>
          <t>NO</t>
        </is>
      </c>
      <c r="Y66" s="33" t="n">
        <v>9</v>
      </c>
      <c r="Z66" s="33" t="n">
        <v>4</v>
      </c>
      <c r="AA66" s="33" t="inlineStr">
        <is>
          <t>96</t>
        </is>
      </c>
      <c r="AB66" s="33" t="inlineStr">
        <is>
          <t>https://www.swimcloud.com/results/16194/event/21/?id=131153986#time131153986</t>
        </is>
      </c>
      <c r="AC66" s="33" t="inlineStr">
        <is>
          <t>SwimCloud API v6 2026-10-08</t>
        </is>
      </c>
      <c r="AD66" s="33" t="inlineStr">
        <is>
          <t>Caeleb Dressel|2011-08-11|LCM|200|Free|116.59|Speedo Junior National Championships|PRE|False</t>
        </is>
      </c>
      <c r="AE66" s="53">
        <f>G66+L66/1000+ROW()/1000000000</f>
        <v/>
      </c>
      <c r="AF66" s="35">
        <f>IF(C66&lt;&gt;"Grayson Coulter","",COUNTIFS($C$5:$C$2991,"Grayson Coulter",$Q$5:$Q$2991,Q66,$AE$5:$AE$2991,"&lt;="&amp;AE66,$R$5:$R$2991,"&lt;"&amp;R66))</f>
        <v/>
      </c>
      <c r="AG66" s="35">
        <f>IF(OR(C66&lt;&gt;"Grayson Coulter",G66&lt;'00_Control'!$B$7),"",--(AF66&lt;5))</f>
        <v/>
      </c>
      <c r="AH66" s="35">
        <f>IF(OR(C66&lt;&gt;"Grayson Coulter",G66&lt;'00_Control'!$B$7),"",--(AF66&lt;10))</f>
        <v/>
      </c>
      <c r="AI66" s="35">
        <f>IF(AND(C66="Grayson Coulter",G66&gt;='00_Control'!$B$7),"YES","NO")</f>
        <v/>
      </c>
      <c r="AJ66" s="33" t="inlineStr">
        <is>
          <t>OK</t>
        </is>
      </c>
    </row>
    <row r="67">
      <c r="A67" s="33" t="inlineStr">
        <is>
          <t>SM000063</t>
        </is>
      </c>
      <c r="B67" s="33" t="inlineStr">
        <is>
          <t>SW010</t>
        </is>
      </c>
      <c r="C67" s="33" t="inlineStr">
        <is>
          <t>Caeleb Dressel</t>
        </is>
      </c>
      <c r="D67" s="33" t="inlineStr">
        <is>
          <t>SwimCloud</t>
        </is>
      </c>
      <c r="E67" s="33" t="inlineStr">
        <is>
          <t>2361642</t>
        </is>
      </c>
      <c r="F67" s="33" t="inlineStr">
        <is>
          <t>2503929</t>
        </is>
      </c>
      <c r="G67" s="51" t="n">
        <v>40949</v>
      </c>
      <c r="H67" s="33" t="inlineStr">
        <is>
          <t>USA Swimming Grand Prix - Missouri (18 &amp; Under Times)</t>
        </is>
      </c>
      <c r="I67" s="33" t="inlineStr">
        <is>
          <t>18544</t>
        </is>
      </c>
      <c r="J67" s="33" t="inlineStr"/>
      <c r="K67" s="33" t="inlineStr">
        <is>
          <t>PRE</t>
        </is>
      </c>
      <c r="L67" s="35">
        <f>IF(K67="FIN",3,IF(OR(K67="SEM",K67="SEMI"),2,IF(OR(K67="PRE",K67="HEAT"),1,IF(V67="YES",4,2))))</f>
        <v/>
      </c>
      <c r="M67" s="33" t="inlineStr">
        <is>
          <t>LCM</t>
        </is>
      </c>
      <c r="N67" s="33" t="n">
        <v>200</v>
      </c>
      <c r="O67" s="33" t="inlineStr">
        <is>
          <t>Free</t>
        </is>
      </c>
      <c r="P67" s="33" t="inlineStr">
        <is>
          <t>200 Free</t>
        </is>
      </c>
      <c r="Q67" s="33" t="inlineStr">
        <is>
          <t>LCM_200_FREE</t>
        </is>
      </c>
      <c r="R67" s="36" t="n">
        <v>120.5</v>
      </c>
      <c r="S67" s="35">
        <f>IF(R67="","",IF(R67&gt;=60,INT(R67/60)&amp;":"&amp;TEXT(MOD(R67,60),"00.00"),TEXT(R67,"0.00")))</f>
        <v/>
      </c>
      <c r="T67" s="52">
        <f>IFERROR((G67-INDEX('01_Swimmers'!$E$5:$E$22,MATCH(B67,'01_Swimmers'!$A$5:$A$22,0)))/'00_Control'!$B$10,"")</f>
        <v/>
      </c>
      <c r="U67" s="35">
        <f>IF(T67="","",INT(T67))</f>
        <v/>
      </c>
      <c r="V67" s="33" t="inlineStr">
        <is>
          <t>NO</t>
        </is>
      </c>
      <c r="W67" s="33" t="inlineStr">
        <is>
          <t>YES</t>
        </is>
      </c>
      <c r="X67" s="33" t="inlineStr">
        <is>
          <t>NO</t>
        </is>
      </c>
      <c r="Y67" s="33" t="n">
        <v>2</v>
      </c>
      <c r="Z67" s="33" t="n">
        <v>1</v>
      </c>
      <c r="AA67" s="33" t="inlineStr">
        <is>
          <t>79</t>
        </is>
      </c>
      <c r="AB67" s="33" t="inlineStr">
        <is>
          <t>https://www.swimcloud.com/results/18544/event/2/?id=2503929#time2503929</t>
        </is>
      </c>
      <c r="AC67" s="33" t="inlineStr">
        <is>
          <t>SwimCloud API v6 2026-10-08</t>
        </is>
      </c>
      <c r="AD67" s="33" t="inlineStr">
        <is>
          <t>Caeleb Dressel|2012-02-10|LCM|200|Free|120.5|USA Swimming Grand Prix - Missouri (18 &amp; Under Times)|PRE|False</t>
        </is>
      </c>
      <c r="AE67" s="53">
        <f>G67+L67/1000+ROW()/1000000000</f>
        <v/>
      </c>
      <c r="AF67" s="35">
        <f>IF(C67&lt;&gt;"Grayson Coulter","",COUNTIFS($C$5:$C$2991,"Grayson Coulter",$Q$5:$Q$2991,Q67,$AE$5:$AE$2991,"&lt;="&amp;AE67,$R$5:$R$2991,"&lt;"&amp;R67))</f>
        <v/>
      </c>
      <c r="AG67" s="35">
        <f>IF(OR(C67&lt;&gt;"Grayson Coulter",G67&lt;'00_Control'!$B$7),"",--(AF67&lt;5))</f>
        <v/>
      </c>
      <c r="AH67" s="35">
        <f>IF(OR(C67&lt;&gt;"Grayson Coulter",G67&lt;'00_Control'!$B$7),"",--(AF67&lt;10))</f>
        <v/>
      </c>
      <c r="AI67" s="35">
        <f>IF(AND(C67="Grayson Coulter",G67&gt;='00_Control'!$B$7),"YES","NO")</f>
        <v/>
      </c>
      <c r="AJ67" s="33" t="inlineStr">
        <is>
          <t>OK</t>
        </is>
      </c>
    </row>
    <row r="68">
      <c r="A68" s="33" t="inlineStr">
        <is>
          <t>SM000064</t>
        </is>
      </c>
      <c r="B68" s="33" t="inlineStr">
        <is>
          <t>SW010</t>
        </is>
      </c>
      <c r="C68" s="33" t="inlineStr">
        <is>
          <t>Caeleb Dressel</t>
        </is>
      </c>
      <c r="D68" s="33" t="inlineStr">
        <is>
          <t>SwimCloud</t>
        </is>
      </c>
      <c r="E68" s="33" t="inlineStr">
        <is>
          <t>2361642</t>
        </is>
      </c>
      <c r="F68" s="33" t="inlineStr">
        <is>
          <t>2504706</t>
        </is>
      </c>
      <c r="G68" s="51" t="n">
        <v>40950</v>
      </c>
      <c r="H68" s="33" t="inlineStr">
        <is>
          <t>USA Swimming Grand Prix - Missouri (18 &amp; Under Times)</t>
        </is>
      </c>
      <c r="I68" s="33" t="inlineStr">
        <is>
          <t>18544</t>
        </is>
      </c>
      <c r="J68" s="33" t="inlineStr"/>
      <c r="K68" s="33" t="inlineStr">
        <is>
          <t>TIM</t>
        </is>
      </c>
      <c r="L68" s="35">
        <f>IF(K68="FIN",3,IF(OR(K68="SEM",K68="SEMI"),2,IF(OR(K68="PRE",K68="HEAT"),1,IF(V68="YES",4,2))))</f>
        <v/>
      </c>
      <c r="M68" s="33" t="inlineStr">
        <is>
          <t>LCM</t>
        </is>
      </c>
      <c r="N68" s="33" t="n">
        <v>200</v>
      </c>
      <c r="O68" s="33" t="inlineStr">
        <is>
          <t>Free</t>
        </is>
      </c>
      <c r="P68" s="33" t="inlineStr">
        <is>
          <t>200 Free</t>
        </is>
      </c>
      <c r="Q68" s="33" t="inlineStr">
        <is>
          <t>LCM_200_FREE</t>
        </is>
      </c>
      <c r="R68" s="36" t="n">
        <v>118.7</v>
      </c>
      <c r="S68" s="35">
        <f>IF(R68="","",IF(R68&gt;=60,INT(R68/60)&amp;":"&amp;TEXT(MOD(R68,60),"00.00"),TEXT(R68,"0.00")))</f>
        <v/>
      </c>
      <c r="T68" s="52">
        <f>IFERROR((G68-INDEX('01_Swimmers'!$E$5:$E$22,MATCH(B68,'01_Swimmers'!$A$5:$A$22,0)))/'00_Control'!$B$10,"")</f>
        <v/>
      </c>
      <c r="U68" s="35">
        <f>IF(T68="","",INT(T68))</f>
        <v/>
      </c>
      <c r="V68" s="33" t="inlineStr">
        <is>
          <t>YES</t>
        </is>
      </c>
      <c r="W68" s="33" t="inlineStr">
        <is>
          <t>YES</t>
        </is>
      </c>
      <c r="X68" s="33" t="inlineStr">
        <is>
          <t>NO</t>
        </is>
      </c>
      <c r="Y68" s="33" t="n">
        <v>2</v>
      </c>
      <c r="Z68" s="33" t="n">
        <v>6</v>
      </c>
      <c r="AA68" s="33" t="inlineStr"/>
      <c r="AB68" s="33" t="inlineStr">
        <is>
          <t>https://www.swimcloud.com/results/18544/event/22/?id=2504412#time2504412</t>
        </is>
      </c>
      <c r="AC68" s="33" t="inlineStr">
        <is>
          <t>SwimCloud API v6 2026-10-08</t>
        </is>
      </c>
      <c r="AD68" s="33" t="inlineStr">
        <is>
          <t>Caeleb Dressel|2012-02-11|LCM|200|Free|118.7|USA Swimming Grand Prix - Missouri (18 &amp; Under Times)|TIM|True</t>
        </is>
      </c>
      <c r="AE68" s="53">
        <f>G68+L68/1000+ROW()/1000000000</f>
        <v/>
      </c>
      <c r="AF68" s="35">
        <f>IF(C68&lt;&gt;"Grayson Coulter","",COUNTIFS($C$5:$C$2991,"Grayson Coulter",$Q$5:$Q$2991,Q68,$AE$5:$AE$2991,"&lt;="&amp;AE68,$R$5:$R$2991,"&lt;"&amp;R68))</f>
        <v/>
      </c>
      <c r="AG68" s="35">
        <f>IF(OR(C68&lt;&gt;"Grayson Coulter",G68&lt;'00_Control'!$B$7),"",--(AF68&lt;5))</f>
        <v/>
      </c>
      <c r="AH68" s="35">
        <f>IF(OR(C68&lt;&gt;"Grayson Coulter",G68&lt;'00_Control'!$B$7),"",--(AF68&lt;10))</f>
        <v/>
      </c>
      <c r="AI68" s="35">
        <f>IF(AND(C68="Grayson Coulter",G68&gt;='00_Control'!$B$7),"YES","NO")</f>
        <v/>
      </c>
      <c r="AJ68" s="33" t="inlineStr">
        <is>
          <t>OK</t>
        </is>
      </c>
    </row>
    <row r="69">
      <c r="A69" s="33" t="inlineStr">
        <is>
          <t>SM000065</t>
        </is>
      </c>
      <c r="B69" s="33" t="inlineStr">
        <is>
          <t>SW010</t>
        </is>
      </c>
      <c r="C69" s="33" t="inlineStr">
        <is>
          <t>Caeleb Dressel</t>
        </is>
      </c>
      <c r="D69" s="33" t="inlineStr">
        <is>
          <t>SwimCloud</t>
        </is>
      </c>
      <c r="E69" s="33" t="inlineStr">
        <is>
          <t>2361642</t>
        </is>
      </c>
      <c r="F69" s="33" t="inlineStr">
        <is>
          <t>2502723</t>
        </is>
      </c>
      <c r="G69" s="51" t="n">
        <v>40951</v>
      </c>
      <c r="H69" s="33" t="inlineStr">
        <is>
          <t>USA Swimming Grand Prix - Missouri (18 &amp; Under Times)</t>
        </is>
      </c>
      <c r="I69" s="33" t="inlineStr">
        <is>
          <t>18544</t>
        </is>
      </c>
      <c r="J69" s="33" t="inlineStr"/>
      <c r="K69" s="33" t="inlineStr">
        <is>
          <t>PRE</t>
        </is>
      </c>
      <c r="L69" s="35">
        <f>IF(K69="FIN",3,IF(OR(K69="SEM",K69="SEMI"),2,IF(OR(K69="PRE",K69="HEAT"),1,IF(V69="YES",4,2))))</f>
        <v/>
      </c>
      <c r="M69" s="33" t="inlineStr">
        <is>
          <t>LCM</t>
        </is>
      </c>
      <c r="N69" s="33" t="n">
        <v>100</v>
      </c>
      <c r="O69" s="33" t="inlineStr">
        <is>
          <t>Free</t>
        </is>
      </c>
      <c r="P69" s="33" t="inlineStr">
        <is>
          <t>100 Free</t>
        </is>
      </c>
      <c r="Q69" s="33" t="inlineStr">
        <is>
          <t>LCM_100_FREE</t>
        </is>
      </c>
      <c r="R69" s="36" t="n">
        <v>52.54</v>
      </c>
      <c r="S69" s="35">
        <f>IF(R69="","",IF(R69&gt;=60,INT(R69/60)&amp;":"&amp;TEXT(MOD(R69,60),"00.00"),TEXT(R69,"0.00")))</f>
        <v/>
      </c>
      <c r="T69" s="52">
        <f>IFERROR((G69-INDEX('01_Swimmers'!$E$5:$E$22,MATCH(B69,'01_Swimmers'!$A$5:$A$22,0)))/'00_Control'!$B$10,"")</f>
        <v/>
      </c>
      <c r="U69" s="35">
        <f>IF(T69="","",INT(T69))</f>
        <v/>
      </c>
      <c r="V69" s="33" t="inlineStr">
        <is>
          <t>NO</t>
        </is>
      </c>
      <c r="W69" s="33" t="inlineStr">
        <is>
          <t>YES</t>
        </is>
      </c>
      <c r="X69" s="33" t="inlineStr">
        <is>
          <t>NO</t>
        </is>
      </c>
      <c r="Y69" s="33" t="n">
        <v>10</v>
      </c>
      <c r="Z69" s="33" t="n">
        <v>6</v>
      </c>
      <c r="AA69" s="33" t="inlineStr">
        <is>
          <t>28</t>
        </is>
      </c>
      <c r="AB69" s="33" t="inlineStr">
        <is>
          <t>https://www.swimcloud.com/results/18544/event/30/?id=2502723#time2502723</t>
        </is>
      </c>
      <c r="AC69" s="33" t="inlineStr">
        <is>
          <t>SwimCloud API v6 2026-10-08</t>
        </is>
      </c>
      <c r="AD69" s="33" t="inlineStr">
        <is>
          <t>Caeleb Dressel|2012-02-12|LCM|100|Free|52.54|USA Swimming Grand Prix - Missouri (18 &amp; Under Times)|PRE|False</t>
        </is>
      </c>
      <c r="AE69" s="53">
        <f>G69+L69/1000+ROW()/1000000000</f>
        <v/>
      </c>
      <c r="AF69" s="35">
        <f>IF(C69&lt;&gt;"Grayson Coulter","",COUNTIFS($C$5:$C$2991,"Grayson Coulter",$Q$5:$Q$2991,Q69,$AE$5:$AE$2991,"&lt;="&amp;AE69,$R$5:$R$2991,"&lt;"&amp;R69))</f>
        <v/>
      </c>
      <c r="AG69" s="35">
        <f>IF(OR(C69&lt;&gt;"Grayson Coulter",G69&lt;'00_Control'!$B$7),"",--(AF69&lt;5))</f>
        <v/>
      </c>
      <c r="AH69" s="35">
        <f>IF(OR(C69&lt;&gt;"Grayson Coulter",G69&lt;'00_Control'!$B$7),"",--(AF69&lt;10))</f>
        <v/>
      </c>
      <c r="AI69" s="35">
        <f>IF(AND(C69="Grayson Coulter",G69&gt;='00_Control'!$B$7),"YES","NO")</f>
        <v/>
      </c>
      <c r="AJ69" s="33" t="inlineStr">
        <is>
          <t>OK</t>
        </is>
      </c>
    </row>
    <row r="70">
      <c r="A70" s="33" t="inlineStr">
        <is>
          <t>SM000066</t>
        </is>
      </c>
      <c r="B70" s="33" t="inlineStr">
        <is>
          <t>SW010</t>
        </is>
      </c>
      <c r="C70" s="33" t="inlineStr">
        <is>
          <t>Caeleb Dressel</t>
        </is>
      </c>
      <c r="D70" s="33" t="inlineStr">
        <is>
          <t>SwimCloud</t>
        </is>
      </c>
      <c r="E70" s="33" t="inlineStr">
        <is>
          <t>2361642</t>
        </is>
      </c>
      <c r="F70" s="33" t="inlineStr">
        <is>
          <t>2502766</t>
        </is>
      </c>
      <c r="G70" s="51" t="n">
        <v>40951</v>
      </c>
      <c r="H70" s="33" t="inlineStr">
        <is>
          <t>USA Swimming Grand Prix - Missouri (18 &amp; Under Times)</t>
        </is>
      </c>
      <c r="I70" s="33" t="inlineStr">
        <is>
          <t>18544</t>
        </is>
      </c>
      <c r="J70" s="33" t="inlineStr"/>
      <c r="K70" s="33" t="inlineStr">
        <is>
          <t>FIN</t>
        </is>
      </c>
      <c r="L70" s="35">
        <f>IF(K70="FIN",3,IF(OR(K70="SEM",K70="SEMI"),2,IF(OR(K70="PRE",K70="HEAT"),1,IF(V70="YES",4,2))))</f>
        <v/>
      </c>
      <c r="M70" s="33" t="inlineStr">
        <is>
          <t>LCM</t>
        </is>
      </c>
      <c r="N70" s="33" t="n">
        <v>100</v>
      </c>
      <c r="O70" s="33" t="inlineStr">
        <is>
          <t>Free</t>
        </is>
      </c>
      <c r="P70" s="33" t="inlineStr">
        <is>
          <t>100 Free</t>
        </is>
      </c>
      <c r="Q70" s="33" t="inlineStr">
        <is>
          <t>LCM_100_FREE</t>
        </is>
      </c>
      <c r="R70" s="36" t="n">
        <v>52.48</v>
      </c>
      <c r="S70" s="35">
        <f>IF(R70="","",IF(R70&gt;=60,INT(R70/60)&amp;":"&amp;TEXT(MOD(R70,60),"00.00"),TEXT(R70,"0.00")))</f>
        <v/>
      </c>
      <c r="T70" s="52">
        <f>IFERROR((G70-INDEX('01_Swimmers'!$E$5:$E$22,MATCH(B70,'01_Swimmers'!$A$5:$A$22,0)))/'00_Control'!$B$10,"")</f>
        <v/>
      </c>
      <c r="U70" s="35">
        <f>IF(T70="","",INT(T70))</f>
        <v/>
      </c>
      <c r="V70" s="33" t="inlineStr">
        <is>
          <t>NO</t>
        </is>
      </c>
      <c r="W70" s="33" t="inlineStr">
        <is>
          <t>YES</t>
        </is>
      </c>
      <c r="X70" s="33" t="inlineStr">
        <is>
          <t>NO</t>
        </is>
      </c>
      <c r="Y70" s="33" t="n">
        <v>1</v>
      </c>
      <c r="Z70" s="33" t="n">
        <v>8</v>
      </c>
      <c r="AA70" s="33" t="inlineStr">
        <is>
          <t>22</t>
        </is>
      </c>
      <c r="AB70" s="33" t="inlineStr">
        <is>
          <t>https://www.swimcloud.com/results/18544/event/30/?id=2502766#time2502766</t>
        </is>
      </c>
      <c r="AC70" s="33" t="inlineStr">
        <is>
          <t>SwimCloud API v6 2026-10-08</t>
        </is>
      </c>
      <c r="AD70" s="33" t="inlineStr">
        <is>
          <t>Caeleb Dressel|2012-02-12|LCM|100|Free|52.48|USA Swimming Grand Prix - Missouri (18 &amp; Under Times)|FIN|False</t>
        </is>
      </c>
      <c r="AE70" s="53">
        <f>G70+L70/1000+ROW()/1000000000</f>
        <v/>
      </c>
      <c r="AF70" s="35">
        <f>IF(C70&lt;&gt;"Grayson Coulter","",COUNTIFS($C$5:$C$2991,"Grayson Coulter",$Q$5:$Q$2991,Q70,$AE$5:$AE$2991,"&lt;="&amp;AE70,$R$5:$R$2991,"&lt;"&amp;R70))</f>
        <v/>
      </c>
      <c r="AG70" s="35">
        <f>IF(OR(C70&lt;&gt;"Grayson Coulter",G70&lt;'00_Control'!$B$7),"",--(AF70&lt;5))</f>
        <v/>
      </c>
      <c r="AH70" s="35">
        <f>IF(OR(C70&lt;&gt;"Grayson Coulter",G70&lt;'00_Control'!$B$7),"",--(AF70&lt;10))</f>
        <v/>
      </c>
      <c r="AI70" s="35">
        <f>IF(AND(C70="Grayson Coulter",G70&gt;='00_Control'!$B$7),"YES","NO")</f>
        <v/>
      </c>
      <c r="AJ70" s="33" t="inlineStr">
        <is>
          <t>OK</t>
        </is>
      </c>
    </row>
    <row r="71">
      <c r="A71" s="33" t="inlineStr">
        <is>
          <t>SM000067</t>
        </is>
      </c>
      <c r="B71" s="33" t="inlineStr">
        <is>
          <t>SW010</t>
        </is>
      </c>
      <c r="C71" s="33" t="inlineStr">
        <is>
          <t>Caeleb Dressel</t>
        </is>
      </c>
      <c r="D71" s="33" t="inlineStr">
        <is>
          <t>SwimCloud</t>
        </is>
      </c>
      <c r="E71" s="33" t="inlineStr">
        <is>
          <t>2361642</t>
        </is>
      </c>
      <c r="F71" s="33" t="inlineStr">
        <is>
          <t>2757659</t>
        </is>
      </c>
      <c r="G71" s="51" t="n">
        <v>40984</v>
      </c>
      <c r="H71" s="33" t="inlineStr">
        <is>
          <t>Speedo Champions Series - Orlando, FL (18 &amp; Under)</t>
        </is>
      </c>
      <c r="I71" s="33" t="inlineStr">
        <is>
          <t>18896</t>
        </is>
      </c>
      <c r="J71" s="33" t="inlineStr"/>
      <c r="K71" s="33" t="inlineStr">
        <is>
          <t>PRE</t>
        </is>
      </c>
      <c r="L71" s="35">
        <f>IF(K71="FIN",3,IF(OR(K71="SEM",K71="SEMI"),2,IF(OR(K71="PRE",K71="HEAT"),1,IF(V71="YES",4,2))))</f>
        <v/>
      </c>
      <c r="M71" s="33" t="inlineStr">
        <is>
          <t>LCM</t>
        </is>
      </c>
      <c r="N71" s="33" t="n">
        <v>100</v>
      </c>
      <c r="O71" s="33" t="inlineStr">
        <is>
          <t>Fly</t>
        </is>
      </c>
      <c r="P71" s="33" t="inlineStr">
        <is>
          <t>100 Fly</t>
        </is>
      </c>
      <c r="Q71" s="33" t="inlineStr">
        <is>
          <t>LCM_100_FLY</t>
        </is>
      </c>
      <c r="R71" s="36" t="n">
        <v>59.72</v>
      </c>
      <c r="S71" s="35">
        <f>IF(R71="","",IF(R71&gt;=60,INT(R71/60)&amp;":"&amp;TEXT(MOD(R71,60),"00.00"),TEXT(R71,"0.00")))</f>
        <v/>
      </c>
      <c r="T71" s="52">
        <f>IFERROR((G71-INDEX('01_Swimmers'!$E$5:$E$22,MATCH(B71,'01_Swimmers'!$A$5:$A$22,0)))/'00_Control'!$B$10,"")</f>
        <v/>
      </c>
      <c r="U71" s="35">
        <f>IF(T71="","",INT(T71))</f>
        <v/>
      </c>
      <c r="V71" s="33" t="inlineStr">
        <is>
          <t>NO</t>
        </is>
      </c>
      <c r="W71" s="33" t="inlineStr">
        <is>
          <t>YES</t>
        </is>
      </c>
      <c r="X71" s="33" t="inlineStr">
        <is>
          <t>NO</t>
        </is>
      </c>
      <c r="Y71" s="33" t="n">
        <v>20</v>
      </c>
      <c r="Z71" s="33" t="n">
        <v>8</v>
      </c>
      <c r="AA71" s="33" t="inlineStr">
        <is>
          <t>55</t>
        </is>
      </c>
      <c r="AB71" s="33" t="inlineStr">
        <is>
          <t>https://www.swimcloud.com/results/18896/event/12/?id=2757659#time2757659</t>
        </is>
      </c>
      <c r="AC71" s="33" t="inlineStr">
        <is>
          <t>SwimCloud API v6 2026-10-08</t>
        </is>
      </c>
      <c r="AD71" s="33" t="inlineStr">
        <is>
          <t>Caeleb Dressel|2012-03-16|LCM|100|Fly|59.72|Speedo Champions Series - Orlando, FL (18 &amp; Under)|PRE|False</t>
        </is>
      </c>
      <c r="AE71" s="53">
        <f>G71+L71/1000+ROW()/1000000000</f>
        <v/>
      </c>
      <c r="AF71" s="35">
        <f>IF(C71&lt;&gt;"Grayson Coulter","",COUNTIFS($C$5:$C$2991,"Grayson Coulter",$Q$5:$Q$2991,Q71,$AE$5:$AE$2991,"&lt;="&amp;AE71,$R$5:$R$2991,"&lt;"&amp;R71))</f>
        <v/>
      </c>
      <c r="AG71" s="35">
        <f>IF(OR(C71&lt;&gt;"Grayson Coulter",G71&lt;'00_Control'!$B$7),"",--(AF71&lt;5))</f>
        <v/>
      </c>
      <c r="AH71" s="35">
        <f>IF(OR(C71&lt;&gt;"Grayson Coulter",G71&lt;'00_Control'!$B$7),"",--(AF71&lt;10))</f>
        <v/>
      </c>
      <c r="AI71" s="35">
        <f>IF(AND(C71="Grayson Coulter",G71&gt;='00_Control'!$B$7),"YES","NO")</f>
        <v/>
      </c>
      <c r="AJ71" s="33" t="inlineStr">
        <is>
          <t>OK</t>
        </is>
      </c>
    </row>
    <row r="72">
      <c r="A72" s="33" t="inlineStr">
        <is>
          <t>SM000068</t>
        </is>
      </c>
      <c r="B72" s="33" t="inlineStr">
        <is>
          <t>SW010</t>
        </is>
      </c>
      <c r="C72" s="33" t="inlineStr">
        <is>
          <t>Caeleb Dressel</t>
        </is>
      </c>
      <c r="D72" s="33" t="inlineStr">
        <is>
          <t>SwimCloud</t>
        </is>
      </c>
      <c r="E72" s="33" t="inlineStr">
        <is>
          <t>2361642</t>
        </is>
      </c>
      <c r="F72" s="33" t="inlineStr">
        <is>
          <t>2758506</t>
        </is>
      </c>
      <c r="G72" s="51" t="n">
        <v>40984</v>
      </c>
      <c r="H72" s="33" t="inlineStr">
        <is>
          <t>Speedo Champions Series - Orlando, FL (18 &amp; Under)</t>
        </is>
      </c>
      <c r="I72" s="33" t="inlineStr">
        <is>
          <t>18896</t>
        </is>
      </c>
      <c r="J72" s="33" t="inlineStr"/>
      <c r="K72" s="33" t="inlineStr">
        <is>
          <t>PRE</t>
        </is>
      </c>
      <c r="L72" s="35">
        <f>IF(K72="FIN",3,IF(OR(K72="SEM",K72="SEMI"),2,IF(OR(K72="PRE",K72="HEAT"),1,IF(V72="YES",4,2))))</f>
        <v/>
      </c>
      <c r="M72" s="33" t="inlineStr">
        <is>
          <t>LCM</t>
        </is>
      </c>
      <c r="N72" s="33" t="n">
        <v>200</v>
      </c>
      <c r="O72" s="33" t="inlineStr">
        <is>
          <t>Free</t>
        </is>
      </c>
      <c r="P72" s="33" t="inlineStr">
        <is>
          <t>200 Free</t>
        </is>
      </c>
      <c r="Q72" s="33" t="inlineStr">
        <is>
          <t>LCM_200_FREE</t>
        </is>
      </c>
      <c r="R72" s="36" t="n">
        <v>116.65</v>
      </c>
      <c r="S72" s="35">
        <f>IF(R72="","",IF(R72&gt;=60,INT(R72/60)&amp;":"&amp;TEXT(MOD(R72,60),"00.00"),TEXT(R72,"0.00")))</f>
        <v/>
      </c>
      <c r="T72" s="52">
        <f>IFERROR((G72-INDEX('01_Swimmers'!$E$5:$E$22,MATCH(B72,'01_Swimmers'!$A$5:$A$22,0)))/'00_Control'!$B$10,"")</f>
        <v/>
      </c>
      <c r="U72" s="35">
        <f>IF(T72="","",INT(T72))</f>
        <v/>
      </c>
      <c r="V72" s="33" t="inlineStr">
        <is>
          <t>NO</t>
        </is>
      </c>
      <c r="W72" s="33" t="inlineStr">
        <is>
          <t>YES</t>
        </is>
      </c>
      <c r="X72" s="33" t="inlineStr">
        <is>
          <t>NO</t>
        </is>
      </c>
      <c r="Y72" s="33" t="n">
        <v>5</v>
      </c>
      <c r="Z72" s="33" t="n">
        <v>5</v>
      </c>
      <c r="AA72" s="33" t="inlineStr">
        <is>
          <t>29</t>
        </is>
      </c>
      <c r="AB72" s="33" t="inlineStr">
        <is>
          <t>https://www.swimcloud.com/results/18896/event/8/?id=2758506#time2758506</t>
        </is>
      </c>
      <c r="AC72" s="33" t="inlineStr">
        <is>
          <t>SwimCloud API v6 2026-10-08</t>
        </is>
      </c>
      <c r="AD72" s="33" t="inlineStr">
        <is>
          <t>Caeleb Dressel|2012-03-16|LCM|200|Free|116.65|Speedo Champions Series - Orlando, FL (18 &amp; Under)|PRE|False</t>
        </is>
      </c>
      <c r="AE72" s="53">
        <f>G72+L72/1000+ROW()/1000000000</f>
        <v/>
      </c>
      <c r="AF72" s="35">
        <f>IF(C72&lt;&gt;"Grayson Coulter","",COUNTIFS($C$5:$C$2991,"Grayson Coulter",$Q$5:$Q$2991,Q72,$AE$5:$AE$2991,"&lt;="&amp;AE72,$R$5:$R$2991,"&lt;"&amp;R72))</f>
        <v/>
      </c>
      <c r="AG72" s="35">
        <f>IF(OR(C72&lt;&gt;"Grayson Coulter",G72&lt;'00_Control'!$B$7),"",--(AF72&lt;5))</f>
        <v/>
      </c>
      <c r="AH72" s="35">
        <f>IF(OR(C72&lt;&gt;"Grayson Coulter",G72&lt;'00_Control'!$B$7),"",--(AF72&lt;10))</f>
        <v/>
      </c>
      <c r="AI72" s="35">
        <f>IF(AND(C72="Grayson Coulter",G72&gt;='00_Control'!$B$7),"YES","NO")</f>
        <v/>
      </c>
      <c r="AJ72" s="33" t="inlineStr">
        <is>
          <t>OK</t>
        </is>
      </c>
    </row>
    <row r="73">
      <c r="A73" s="33" t="inlineStr">
        <is>
          <t>SM000069</t>
        </is>
      </c>
      <c r="B73" s="33" t="inlineStr">
        <is>
          <t>SW010</t>
        </is>
      </c>
      <c r="C73" s="33" t="inlineStr">
        <is>
          <t>Caeleb Dressel</t>
        </is>
      </c>
      <c r="D73" s="33" t="inlineStr">
        <is>
          <t>SwimCloud</t>
        </is>
      </c>
      <c r="E73" s="33" t="inlineStr">
        <is>
          <t>2361642</t>
        </is>
      </c>
      <c r="F73" s="33" t="inlineStr">
        <is>
          <t>2758582</t>
        </is>
      </c>
      <c r="G73" s="51" t="n">
        <v>40984</v>
      </c>
      <c r="H73" s="33" t="inlineStr">
        <is>
          <t>Speedo Champions Series - Orlando, FL (18 &amp; Under)</t>
        </is>
      </c>
      <c r="I73" s="33" t="inlineStr">
        <is>
          <t>18896</t>
        </is>
      </c>
      <c r="J73" s="33" t="inlineStr"/>
      <c r="K73" s="33" t="inlineStr">
        <is>
          <t>FIN</t>
        </is>
      </c>
      <c r="L73" s="35">
        <f>IF(K73="FIN",3,IF(OR(K73="SEM",K73="SEMI"),2,IF(OR(K73="PRE",K73="HEAT"),1,IF(V73="YES",4,2))))</f>
        <v/>
      </c>
      <c r="M73" s="33" t="inlineStr">
        <is>
          <t>LCM</t>
        </is>
      </c>
      <c r="N73" s="33" t="n">
        <v>200</v>
      </c>
      <c r="O73" s="33" t="inlineStr">
        <is>
          <t>Free</t>
        </is>
      </c>
      <c r="P73" s="33" t="inlineStr">
        <is>
          <t>200 Free</t>
        </is>
      </c>
      <c r="Q73" s="33" t="inlineStr">
        <is>
          <t>LCM_200_FREE</t>
        </is>
      </c>
      <c r="R73" s="36" t="n">
        <v>114.88</v>
      </c>
      <c r="S73" s="35">
        <f>IF(R73="","",IF(R73&gt;=60,INT(R73/60)&amp;":"&amp;TEXT(MOD(R73,60),"00.00"),TEXT(R73,"0.00")))</f>
        <v/>
      </c>
      <c r="T73" s="52">
        <f>IFERROR((G73-INDEX('01_Swimmers'!$E$5:$E$22,MATCH(B73,'01_Swimmers'!$A$5:$A$22,0)))/'00_Control'!$B$10,"")</f>
        <v/>
      </c>
      <c r="U73" s="35">
        <f>IF(T73="","",INT(T73))</f>
        <v/>
      </c>
      <c r="V73" s="33" t="inlineStr">
        <is>
          <t>NO</t>
        </is>
      </c>
      <c r="W73" s="33" t="inlineStr">
        <is>
          <t>YES</t>
        </is>
      </c>
      <c r="X73" s="33" t="inlineStr">
        <is>
          <t>NO</t>
        </is>
      </c>
      <c r="Y73" s="33" t="n">
        <v>3</v>
      </c>
      <c r="Z73" s="33" t="n">
        <v>2</v>
      </c>
      <c r="AA73" s="33" t="inlineStr">
        <is>
          <t>18</t>
        </is>
      </c>
      <c r="AB73" s="33" t="inlineStr">
        <is>
          <t>https://www.swimcloud.com/results/18896/event/8/?id=2758582#time2758582</t>
        </is>
      </c>
      <c r="AC73" s="33" t="inlineStr">
        <is>
          <t>SwimCloud API v6 2026-10-08</t>
        </is>
      </c>
      <c r="AD73" s="33" t="inlineStr">
        <is>
          <t>Caeleb Dressel|2012-03-16|LCM|200|Free|114.88|Speedo Champions Series - Orlando, FL (18 &amp; Under)|FIN|False</t>
        </is>
      </c>
      <c r="AE73" s="53">
        <f>G73+L73/1000+ROW()/1000000000</f>
        <v/>
      </c>
      <c r="AF73" s="35">
        <f>IF(C73&lt;&gt;"Grayson Coulter","",COUNTIFS($C$5:$C$2991,"Grayson Coulter",$Q$5:$Q$2991,Q73,$AE$5:$AE$2991,"&lt;="&amp;AE73,$R$5:$R$2991,"&lt;"&amp;R73))</f>
        <v/>
      </c>
      <c r="AG73" s="35">
        <f>IF(OR(C73&lt;&gt;"Grayson Coulter",G73&lt;'00_Control'!$B$7),"",--(AF73&lt;5))</f>
        <v/>
      </c>
      <c r="AH73" s="35">
        <f>IF(OR(C73&lt;&gt;"Grayson Coulter",G73&lt;'00_Control'!$B$7),"",--(AF73&lt;10))</f>
        <v/>
      </c>
      <c r="AI73" s="35">
        <f>IF(AND(C73="Grayson Coulter",G73&gt;='00_Control'!$B$7),"YES","NO")</f>
        <v/>
      </c>
      <c r="AJ73" s="33" t="inlineStr">
        <is>
          <t>OK</t>
        </is>
      </c>
    </row>
    <row r="74">
      <c r="A74" s="33" t="inlineStr">
        <is>
          <t>SM000070</t>
        </is>
      </c>
      <c r="B74" s="33" t="inlineStr">
        <is>
          <t>SW010</t>
        </is>
      </c>
      <c r="C74" s="33" t="inlineStr">
        <is>
          <t>Caeleb Dressel</t>
        </is>
      </c>
      <c r="D74" s="33" t="inlineStr">
        <is>
          <t>SwimCloud</t>
        </is>
      </c>
      <c r="E74" s="33" t="inlineStr">
        <is>
          <t>2361642</t>
        </is>
      </c>
      <c r="F74" s="33" t="inlineStr">
        <is>
          <t>2757894</t>
        </is>
      </c>
      <c r="G74" s="51" t="n">
        <v>40986</v>
      </c>
      <c r="H74" s="33" t="inlineStr">
        <is>
          <t>Speedo Champions Series - Orlando, FL (18 &amp; Under)</t>
        </is>
      </c>
      <c r="I74" s="33" t="inlineStr">
        <is>
          <t>18896</t>
        </is>
      </c>
      <c r="J74" s="33" t="inlineStr"/>
      <c r="K74" s="33" t="inlineStr">
        <is>
          <t>PRE</t>
        </is>
      </c>
      <c r="L74" s="35">
        <f>IF(K74="FIN",3,IF(OR(K74="SEM",K74="SEMI"),2,IF(OR(K74="PRE",K74="HEAT"),1,IF(V74="YES",4,2))))</f>
        <v/>
      </c>
      <c r="M74" s="33" t="inlineStr">
        <is>
          <t>LCM</t>
        </is>
      </c>
      <c r="N74" s="33" t="n">
        <v>100</v>
      </c>
      <c r="O74" s="33" t="inlineStr">
        <is>
          <t>Free</t>
        </is>
      </c>
      <c r="P74" s="33" t="inlineStr">
        <is>
          <t>100 Free</t>
        </is>
      </c>
      <c r="Q74" s="33" t="inlineStr">
        <is>
          <t>LCM_100_FREE</t>
        </is>
      </c>
      <c r="R74" s="36" t="n">
        <v>52.65</v>
      </c>
      <c r="S74" s="35">
        <f>IF(R74="","",IF(R74&gt;=60,INT(R74/60)&amp;":"&amp;TEXT(MOD(R74,60),"00.00"),TEXT(R74,"0.00")))</f>
        <v/>
      </c>
      <c r="T74" s="52">
        <f>IFERROR((G74-INDEX('01_Swimmers'!$E$5:$E$22,MATCH(B74,'01_Swimmers'!$A$5:$A$22,0)))/'00_Control'!$B$10,"")</f>
        <v/>
      </c>
      <c r="U74" s="35">
        <f>IF(T74="","",INT(T74))</f>
        <v/>
      </c>
      <c r="V74" s="33" t="inlineStr">
        <is>
          <t>NO</t>
        </is>
      </c>
      <c r="W74" s="33" t="inlineStr">
        <is>
          <t>YES</t>
        </is>
      </c>
      <c r="X74" s="33" t="inlineStr">
        <is>
          <t>NO</t>
        </is>
      </c>
      <c r="Y74" s="33" t="n">
        <v>22</v>
      </c>
      <c r="Z74" s="33" t="n">
        <v>5</v>
      </c>
      <c r="AA74" s="33" t="inlineStr">
        <is>
          <t>20</t>
        </is>
      </c>
      <c r="AB74" s="33" t="inlineStr">
        <is>
          <t>https://www.swimcloud.com/results/18896/event/30/?id=2757894#time2757894</t>
        </is>
      </c>
      <c r="AC74" s="33" t="inlineStr">
        <is>
          <t>SwimCloud API v6 2026-10-08</t>
        </is>
      </c>
      <c r="AD74" s="33" t="inlineStr">
        <is>
          <t>Caeleb Dressel|2012-03-18|LCM|100|Free|52.65|Speedo Champions Series - Orlando, FL (18 &amp; Under)|PRE|False</t>
        </is>
      </c>
      <c r="AE74" s="53">
        <f>G74+L74/1000+ROW()/1000000000</f>
        <v/>
      </c>
      <c r="AF74" s="35">
        <f>IF(C74&lt;&gt;"Grayson Coulter","",COUNTIFS($C$5:$C$2991,"Grayson Coulter",$Q$5:$Q$2991,Q74,$AE$5:$AE$2991,"&lt;="&amp;AE74,$R$5:$R$2991,"&lt;"&amp;R74))</f>
        <v/>
      </c>
      <c r="AG74" s="35">
        <f>IF(OR(C74&lt;&gt;"Grayson Coulter",G74&lt;'00_Control'!$B$7),"",--(AF74&lt;5))</f>
        <v/>
      </c>
      <c r="AH74" s="35">
        <f>IF(OR(C74&lt;&gt;"Grayson Coulter",G74&lt;'00_Control'!$B$7),"",--(AF74&lt;10))</f>
        <v/>
      </c>
      <c r="AI74" s="35">
        <f>IF(AND(C74="Grayson Coulter",G74&gt;='00_Control'!$B$7),"YES","NO")</f>
        <v/>
      </c>
      <c r="AJ74" s="33" t="inlineStr">
        <is>
          <t>OK</t>
        </is>
      </c>
    </row>
    <row r="75">
      <c r="A75" s="33" t="inlineStr">
        <is>
          <t>SM000071</t>
        </is>
      </c>
      <c r="B75" s="33" t="inlineStr">
        <is>
          <t>SW010</t>
        </is>
      </c>
      <c r="C75" s="33" t="inlineStr">
        <is>
          <t>Caeleb Dressel</t>
        </is>
      </c>
      <c r="D75" s="33" t="inlineStr">
        <is>
          <t>SwimCloud</t>
        </is>
      </c>
      <c r="E75" s="33" t="inlineStr">
        <is>
          <t>2361642</t>
        </is>
      </c>
      <c r="F75" s="33" t="inlineStr">
        <is>
          <t>2757959</t>
        </is>
      </c>
      <c r="G75" s="51" t="n">
        <v>40986</v>
      </c>
      <c r="H75" s="33" t="inlineStr">
        <is>
          <t>Speedo Champions Series - Orlando, FL (18 &amp; Under)</t>
        </is>
      </c>
      <c r="I75" s="33" t="inlineStr">
        <is>
          <t>18896</t>
        </is>
      </c>
      <c r="J75" s="33" t="inlineStr"/>
      <c r="K75" s="33" t="inlineStr">
        <is>
          <t>FIN</t>
        </is>
      </c>
      <c r="L75" s="35">
        <f>IF(K75="FIN",3,IF(OR(K75="SEM",K75="SEMI"),2,IF(OR(K75="PRE",K75="HEAT"),1,IF(V75="YES",4,2))))</f>
        <v/>
      </c>
      <c r="M75" s="33" t="inlineStr">
        <is>
          <t>LCM</t>
        </is>
      </c>
      <c r="N75" s="33" t="n">
        <v>100</v>
      </c>
      <c r="O75" s="33" t="inlineStr">
        <is>
          <t>Free</t>
        </is>
      </c>
      <c r="P75" s="33" t="inlineStr">
        <is>
          <t>100 Free</t>
        </is>
      </c>
      <c r="Q75" s="33" t="inlineStr">
        <is>
          <t>LCM_100_FREE</t>
        </is>
      </c>
      <c r="R75" s="36" t="n">
        <v>52.1</v>
      </c>
      <c r="S75" s="35">
        <f>IF(R75="","",IF(R75&gt;=60,INT(R75/60)&amp;":"&amp;TEXT(MOD(R75,60),"00.00"),TEXT(R75,"0.00")))</f>
        <v/>
      </c>
      <c r="T75" s="52">
        <f>IFERROR((G75-INDEX('01_Swimmers'!$E$5:$E$22,MATCH(B75,'01_Swimmers'!$A$5:$A$22,0)))/'00_Control'!$B$10,"")</f>
        <v/>
      </c>
      <c r="U75" s="35">
        <f>IF(T75="","",INT(T75))</f>
        <v/>
      </c>
      <c r="V75" s="33" t="inlineStr">
        <is>
          <t>NO</t>
        </is>
      </c>
      <c r="W75" s="33" t="inlineStr">
        <is>
          <t>YES</t>
        </is>
      </c>
      <c r="X75" s="33" t="inlineStr">
        <is>
          <t>NO</t>
        </is>
      </c>
      <c r="Y75" s="33" t="n">
        <v>3</v>
      </c>
      <c r="Z75" s="33" t="n">
        <v>5</v>
      </c>
      <c r="AA75" s="33" t="inlineStr">
        <is>
          <t>18</t>
        </is>
      </c>
      <c r="AB75" s="33" t="inlineStr">
        <is>
          <t>https://www.swimcloud.com/results/18896/event/30/?id=2757959#time2757959</t>
        </is>
      </c>
      <c r="AC75" s="33" t="inlineStr">
        <is>
          <t>SwimCloud API v6 2026-10-08</t>
        </is>
      </c>
      <c r="AD75" s="33" t="inlineStr">
        <is>
          <t>Caeleb Dressel|2012-03-18|LCM|100|Free|52.1|Speedo Champions Series - Orlando, FL (18 &amp; Under)|FIN|False</t>
        </is>
      </c>
      <c r="AE75" s="53">
        <f>G75+L75/1000+ROW()/1000000000</f>
        <v/>
      </c>
      <c r="AF75" s="35">
        <f>IF(C75&lt;&gt;"Grayson Coulter","",COUNTIFS($C$5:$C$2991,"Grayson Coulter",$Q$5:$Q$2991,Q75,$AE$5:$AE$2991,"&lt;="&amp;AE75,$R$5:$R$2991,"&lt;"&amp;R75))</f>
        <v/>
      </c>
      <c r="AG75" s="35">
        <f>IF(OR(C75&lt;&gt;"Grayson Coulter",G75&lt;'00_Control'!$B$7),"",--(AF75&lt;5))</f>
        <v/>
      </c>
      <c r="AH75" s="35">
        <f>IF(OR(C75&lt;&gt;"Grayson Coulter",G75&lt;'00_Control'!$B$7),"",--(AF75&lt;10))</f>
        <v/>
      </c>
      <c r="AI75" s="35">
        <f>IF(AND(C75="Grayson Coulter",G75&gt;='00_Control'!$B$7),"YES","NO")</f>
        <v/>
      </c>
      <c r="AJ75" s="33" t="inlineStr">
        <is>
          <t>OK</t>
        </is>
      </c>
    </row>
    <row r="76">
      <c r="A76" s="33" t="inlineStr">
        <is>
          <t>SM000072</t>
        </is>
      </c>
      <c r="B76" s="33" t="inlineStr">
        <is>
          <t>SW010</t>
        </is>
      </c>
      <c r="C76" s="33" t="inlineStr">
        <is>
          <t>Caeleb Dressel</t>
        </is>
      </c>
      <c r="D76" s="33" t="inlineStr">
        <is>
          <t>SwimCloud</t>
        </is>
      </c>
      <c r="E76" s="33" t="inlineStr">
        <is>
          <t>2361642</t>
        </is>
      </c>
      <c r="F76" s="33" t="inlineStr">
        <is>
          <t>28175934</t>
        </is>
      </c>
      <c r="G76" s="51" t="n">
        <v>41086</v>
      </c>
      <c r="H76" s="33" t="inlineStr">
        <is>
          <t>USA Olympic Team Trials</t>
        </is>
      </c>
      <c r="I76" s="33" t="inlineStr">
        <is>
          <t>149710</t>
        </is>
      </c>
      <c r="J76" s="33" t="inlineStr"/>
      <c r="K76" s="33" t="inlineStr">
        <is>
          <t>PRE</t>
        </is>
      </c>
      <c r="L76" s="35">
        <f>IF(K76="FIN",3,IF(OR(K76="SEM",K76="SEMI"),2,IF(OR(K76="PRE",K76="HEAT"),1,IF(V76="YES",4,2))))</f>
        <v/>
      </c>
      <c r="M76" s="33" t="inlineStr">
        <is>
          <t>LCM</t>
        </is>
      </c>
      <c r="N76" s="33" t="n">
        <v>200</v>
      </c>
      <c r="O76" s="33" t="inlineStr">
        <is>
          <t>Free</t>
        </is>
      </c>
      <c r="P76" s="33" t="inlineStr">
        <is>
          <t>200 Free</t>
        </is>
      </c>
      <c r="Q76" s="33" t="inlineStr">
        <is>
          <t>LCM_200_FREE</t>
        </is>
      </c>
      <c r="R76" s="36" t="n">
        <v>115.17</v>
      </c>
      <c r="S76" s="35">
        <f>IF(R76="","",IF(R76&gt;=60,INT(R76/60)&amp;":"&amp;TEXT(MOD(R76,60),"00.00"),TEXT(R76,"0.00")))</f>
        <v/>
      </c>
      <c r="T76" s="52">
        <f>IFERROR((G76-INDEX('01_Swimmers'!$E$5:$E$22,MATCH(B76,'01_Swimmers'!$A$5:$A$22,0)))/'00_Control'!$B$10,"")</f>
        <v/>
      </c>
      <c r="U76" s="35">
        <f>IF(T76="","",INT(T76))</f>
        <v/>
      </c>
      <c r="V76" s="33" t="inlineStr">
        <is>
          <t>NO</t>
        </is>
      </c>
      <c r="W76" s="33" t="inlineStr">
        <is>
          <t>YES</t>
        </is>
      </c>
      <c r="X76" s="33" t="inlineStr">
        <is>
          <t>NO</t>
        </is>
      </c>
      <c r="Y76" s="33" t="n">
        <v>6</v>
      </c>
      <c r="Z76" s="33" t="n">
        <v>1</v>
      </c>
      <c r="AA76" s="33" t="inlineStr">
        <is>
          <t>121</t>
        </is>
      </c>
      <c r="AB76" s="33" t="inlineStr">
        <is>
          <t>https://www.swimcloud.com/results/149710/event/7/?id=28175934#time28175934</t>
        </is>
      </c>
      <c r="AC76" s="33" t="inlineStr">
        <is>
          <t>SwimCloud API v6 2026-10-08</t>
        </is>
      </c>
      <c r="AD76" s="33" t="inlineStr">
        <is>
          <t>Caeleb Dressel|2012-06-26|LCM|200|Free|115.17|USA Olympic Team Trials|PRE|False</t>
        </is>
      </c>
      <c r="AE76" s="53">
        <f>G76+L76/1000+ROW()/1000000000</f>
        <v/>
      </c>
      <c r="AF76" s="35">
        <f>IF(C76&lt;&gt;"Grayson Coulter","",COUNTIFS($C$5:$C$2991,"Grayson Coulter",$Q$5:$Q$2991,Q76,$AE$5:$AE$2991,"&lt;="&amp;AE76,$R$5:$R$2991,"&lt;"&amp;R76))</f>
        <v/>
      </c>
      <c r="AG76" s="35">
        <f>IF(OR(C76&lt;&gt;"Grayson Coulter",G76&lt;'00_Control'!$B$7),"",--(AF76&lt;5))</f>
        <v/>
      </c>
      <c r="AH76" s="35">
        <f>IF(OR(C76&lt;&gt;"Grayson Coulter",G76&lt;'00_Control'!$B$7),"",--(AF76&lt;10))</f>
        <v/>
      </c>
      <c r="AI76" s="35">
        <f>IF(AND(C76="Grayson Coulter",G76&gt;='00_Control'!$B$7),"YES","NO")</f>
        <v/>
      </c>
      <c r="AJ76" s="33" t="inlineStr">
        <is>
          <t>OK</t>
        </is>
      </c>
    </row>
    <row r="77">
      <c r="A77" s="33" t="inlineStr">
        <is>
          <t>SM000073</t>
        </is>
      </c>
      <c r="B77" s="33" t="inlineStr">
        <is>
          <t>SW010</t>
        </is>
      </c>
      <c r="C77" s="33" t="inlineStr">
        <is>
          <t>Caeleb Dressel</t>
        </is>
      </c>
      <c r="D77" s="33" t="inlineStr">
        <is>
          <t>SwimCloud</t>
        </is>
      </c>
      <c r="E77" s="33" t="inlineStr">
        <is>
          <t>2361642</t>
        </is>
      </c>
      <c r="F77" s="33" t="inlineStr">
        <is>
          <t>28175935</t>
        </is>
      </c>
      <c r="G77" s="51" t="n">
        <v>41088</v>
      </c>
      <c r="H77" s="33" t="inlineStr">
        <is>
          <t>USA Olympic Team Trials</t>
        </is>
      </c>
      <c r="I77" s="33" t="inlineStr">
        <is>
          <t>149710</t>
        </is>
      </c>
      <c r="J77" s="33" t="inlineStr"/>
      <c r="K77" s="33" t="inlineStr">
        <is>
          <t>PRE</t>
        </is>
      </c>
      <c r="L77" s="35">
        <f>IF(K77="FIN",3,IF(OR(K77="SEM",K77="SEMI"),2,IF(OR(K77="PRE",K77="HEAT"),1,IF(V77="YES",4,2))))</f>
        <v/>
      </c>
      <c r="M77" s="33" t="inlineStr">
        <is>
          <t>LCM</t>
        </is>
      </c>
      <c r="N77" s="33" t="n">
        <v>100</v>
      </c>
      <c r="O77" s="33" t="inlineStr">
        <is>
          <t>Free</t>
        </is>
      </c>
      <c r="P77" s="33" t="inlineStr">
        <is>
          <t>100 Free</t>
        </is>
      </c>
      <c r="Q77" s="33" t="inlineStr">
        <is>
          <t>LCM_100_FREE</t>
        </is>
      </c>
      <c r="R77" s="36" t="n">
        <v>52.21</v>
      </c>
      <c r="S77" s="35">
        <f>IF(R77="","",IF(R77&gt;=60,INT(R77/60)&amp;":"&amp;TEXT(MOD(R77,60),"00.00"),TEXT(R77,"0.00")))</f>
        <v/>
      </c>
      <c r="T77" s="52">
        <f>IFERROR((G77-INDEX('01_Swimmers'!$E$5:$E$22,MATCH(B77,'01_Swimmers'!$A$5:$A$22,0)))/'00_Control'!$B$10,"")</f>
        <v/>
      </c>
      <c r="U77" s="35">
        <f>IF(T77="","",INT(T77))</f>
        <v/>
      </c>
      <c r="V77" s="33" t="inlineStr">
        <is>
          <t>NO</t>
        </is>
      </c>
      <c r="W77" s="33" t="inlineStr">
        <is>
          <t>YES</t>
        </is>
      </c>
      <c r="X77" s="33" t="inlineStr">
        <is>
          <t>NO</t>
        </is>
      </c>
      <c r="Y77" s="33" t="n">
        <v>3</v>
      </c>
      <c r="Z77" s="33" t="n">
        <v>4</v>
      </c>
      <c r="AA77" s="33" t="inlineStr">
        <is>
          <t>152</t>
        </is>
      </c>
      <c r="AB77" s="33" t="inlineStr">
        <is>
          <t>https://www.swimcloud.com/results/149710/event/14/?id=28175935#time28175935</t>
        </is>
      </c>
      <c r="AC77" s="33" t="inlineStr">
        <is>
          <t>SwimCloud API v6 2026-10-08</t>
        </is>
      </c>
      <c r="AD77" s="33" t="inlineStr">
        <is>
          <t>Caeleb Dressel|2012-06-28|LCM|100|Free|52.21|USA Olympic Team Trials|PRE|False</t>
        </is>
      </c>
      <c r="AE77" s="53">
        <f>G77+L77/1000+ROW()/1000000000</f>
        <v/>
      </c>
      <c r="AF77" s="35">
        <f>IF(C77&lt;&gt;"Grayson Coulter","",COUNTIFS($C$5:$C$2991,"Grayson Coulter",$Q$5:$Q$2991,Q77,$AE$5:$AE$2991,"&lt;="&amp;AE77,$R$5:$R$2991,"&lt;"&amp;R77))</f>
        <v/>
      </c>
      <c r="AG77" s="35">
        <f>IF(OR(C77&lt;&gt;"Grayson Coulter",G77&lt;'00_Control'!$B$7),"",--(AF77&lt;5))</f>
        <v/>
      </c>
      <c r="AH77" s="35">
        <f>IF(OR(C77&lt;&gt;"Grayson Coulter",G77&lt;'00_Control'!$B$7),"",--(AF77&lt;10))</f>
        <v/>
      </c>
      <c r="AI77" s="35">
        <f>IF(AND(C77="Grayson Coulter",G77&gt;='00_Control'!$B$7),"YES","NO")</f>
        <v/>
      </c>
      <c r="AJ77" s="33" t="inlineStr">
        <is>
          <t>OK</t>
        </is>
      </c>
    </row>
    <row r="78">
      <c r="A78" s="33" t="inlineStr">
        <is>
          <t>SM000074</t>
        </is>
      </c>
      <c r="B78" s="33" t="inlineStr">
        <is>
          <t>SW010</t>
        </is>
      </c>
      <c r="C78" s="33" t="inlineStr">
        <is>
          <t>Caeleb Dressel</t>
        </is>
      </c>
      <c r="D78" s="33" t="inlineStr">
        <is>
          <t>SwimCloud</t>
        </is>
      </c>
      <c r="E78" s="33" t="inlineStr">
        <is>
          <t>2361642</t>
        </is>
      </c>
      <c r="F78" s="33" t="inlineStr">
        <is>
          <t>28175938</t>
        </is>
      </c>
      <c r="G78" s="51" t="n">
        <v>41090</v>
      </c>
      <c r="H78" s="33" t="inlineStr">
        <is>
          <t>USA Olympic Team Trials</t>
        </is>
      </c>
      <c r="I78" s="33" t="inlineStr">
        <is>
          <t>149710</t>
        </is>
      </c>
      <c r="J78" s="33" t="inlineStr"/>
      <c r="K78" s="33" t="inlineStr">
        <is>
          <t>PRE</t>
        </is>
      </c>
      <c r="L78" s="35">
        <f>IF(K78="FIN",3,IF(OR(K78="SEM",K78="SEMI"),2,IF(OR(K78="PRE",K78="HEAT"),1,IF(V78="YES",4,2))))</f>
        <v/>
      </c>
      <c r="M78" s="33" t="inlineStr">
        <is>
          <t>LCM</t>
        </is>
      </c>
      <c r="N78" s="33" t="n">
        <v>100</v>
      </c>
      <c r="O78" s="33" t="inlineStr">
        <is>
          <t>Fly</t>
        </is>
      </c>
      <c r="P78" s="33" t="inlineStr">
        <is>
          <t>100 Fly</t>
        </is>
      </c>
      <c r="Q78" s="33" t="inlineStr">
        <is>
          <t>LCM_100_FLY</t>
        </is>
      </c>
      <c r="R78" s="36" t="n">
        <v>57.21</v>
      </c>
      <c r="S78" s="35">
        <f>IF(R78="","",IF(R78&gt;=60,INT(R78/60)&amp;":"&amp;TEXT(MOD(R78,60),"00.00"),TEXT(R78,"0.00")))</f>
        <v/>
      </c>
      <c r="T78" s="52">
        <f>IFERROR((G78-INDEX('01_Swimmers'!$E$5:$E$22,MATCH(B78,'01_Swimmers'!$A$5:$A$22,0)))/'00_Control'!$B$10,"")</f>
        <v/>
      </c>
      <c r="U78" s="35">
        <f>IF(T78="","",INT(T78))</f>
        <v/>
      </c>
      <c r="V78" s="33" t="inlineStr">
        <is>
          <t>NO</t>
        </is>
      </c>
      <c r="W78" s="33" t="inlineStr">
        <is>
          <t>YES</t>
        </is>
      </c>
      <c r="X78" s="33" t="inlineStr">
        <is>
          <t>NO</t>
        </is>
      </c>
      <c r="Y78" s="33" t="n">
        <v>2</v>
      </c>
      <c r="Z78" s="33" t="n">
        <v>8</v>
      </c>
      <c r="AA78" s="33" t="inlineStr">
        <is>
          <t>121</t>
        </is>
      </c>
      <c r="AB78" s="33" t="inlineStr">
        <is>
          <t>https://www.swimcloud.com/results/149710/event/23/?id=28175938#time28175938</t>
        </is>
      </c>
      <c r="AC78" s="33" t="inlineStr">
        <is>
          <t>SwimCloud API v6 2026-10-08</t>
        </is>
      </c>
      <c r="AD78" s="33" t="inlineStr">
        <is>
          <t>Caeleb Dressel|2012-06-30|LCM|100|Fly|57.21|USA Olympic Team Trials|PRE|False</t>
        </is>
      </c>
      <c r="AE78" s="53">
        <f>G78+L78/1000+ROW()/1000000000</f>
        <v/>
      </c>
      <c r="AF78" s="35">
        <f>IF(C78&lt;&gt;"Grayson Coulter","",COUNTIFS($C$5:$C$2991,"Grayson Coulter",$Q$5:$Q$2991,Q78,$AE$5:$AE$2991,"&lt;="&amp;AE78,$R$5:$R$2991,"&lt;"&amp;R78))</f>
        <v/>
      </c>
      <c r="AG78" s="35">
        <f>IF(OR(C78&lt;&gt;"Grayson Coulter",G78&lt;'00_Control'!$B$7),"",--(AF78&lt;5))</f>
        <v/>
      </c>
      <c r="AH78" s="35">
        <f>IF(OR(C78&lt;&gt;"Grayson Coulter",G78&lt;'00_Control'!$B$7),"",--(AF78&lt;10))</f>
        <v/>
      </c>
      <c r="AI78" s="35">
        <f>IF(AND(C78="Grayson Coulter",G78&gt;='00_Control'!$B$7),"YES","NO")</f>
        <v/>
      </c>
      <c r="AJ78" s="33" t="inlineStr">
        <is>
          <t>OK</t>
        </is>
      </c>
    </row>
    <row r="79">
      <c r="A79" s="33" t="inlineStr">
        <is>
          <t>SM000075</t>
        </is>
      </c>
      <c r="B79" s="33" t="inlineStr">
        <is>
          <t>SW010</t>
        </is>
      </c>
      <c r="C79" s="33" t="inlineStr">
        <is>
          <t>Caeleb Dressel</t>
        </is>
      </c>
      <c r="D79" s="33" t="inlineStr">
        <is>
          <t>SwimCloud</t>
        </is>
      </c>
      <c r="E79" s="33" t="inlineStr">
        <is>
          <t>2361642</t>
        </is>
      </c>
      <c r="F79" s="33" t="inlineStr">
        <is>
          <t>2839981</t>
        </is>
      </c>
      <c r="G79" s="51" t="n">
        <v>41135</v>
      </c>
      <c r="H79" s="33" t="inlineStr">
        <is>
          <t>Speedo Junior National Championships (LCM)</t>
        </is>
      </c>
      <c r="I79" s="33" t="inlineStr">
        <is>
          <t>18977</t>
        </is>
      </c>
      <c r="J79" s="33" t="inlineStr"/>
      <c r="K79" s="33" t="inlineStr">
        <is>
          <t>PRE</t>
        </is>
      </c>
      <c r="L79" s="35">
        <f>IF(K79="FIN",3,IF(OR(K79="SEM",K79="SEMI"),2,IF(OR(K79="PRE",K79="HEAT"),1,IF(V79="YES",4,2))))</f>
        <v/>
      </c>
      <c r="M79" s="33" t="inlineStr">
        <is>
          <t>LCM</t>
        </is>
      </c>
      <c r="N79" s="33" t="n">
        <v>100</v>
      </c>
      <c r="O79" s="33" t="inlineStr">
        <is>
          <t>Free</t>
        </is>
      </c>
      <c r="P79" s="33" t="inlineStr">
        <is>
          <t>100 Free</t>
        </is>
      </c>
      <c r="Q79" s="33" t="inlineStr">
        <is>
          <t>LCM_100_FREE</t>
        </is>
      </c>
      <c r="R79" s="36" t="n">
        <v>50.85</v>
      </c>
      <c r="S79" s="35">
        <f>IF(R79="","",IF(R79&gt;=60,INT(R79/60)&amp;":"&amp;TEXT(MOD(R79,60),"00.00"),TEXT(R79,"0.00")))</f>
        <v/>
      </c>
      <c r="T79" s="52">
        <f>IFERROR((G79-INDEX('01_Swimmers'!$E$5:$E$22,MATCH(B79,'01_Swimmers'!$A$5:$A$22,0)))/'00_Control'!$B$10,"")</f>
        <v/>
      </c>
      <c r="U79" s="35">
        <f>IF(T79="","",INT(T79))</f>
        <v/>
      </c>
      <c r="V79" s="33" t="inlineStr">
        <is>
          <t>NO</t>
        </is>
      </c>
      <c r="W79" s="33" t="inlineStr">
        <is>
          <t>YES</t>
        </is>
      </c>
      <c r="X79" s="33" t="inlineStr">
        <is>
          <t>NO</t>
        </is>
      </c>
      <c r="Y79" s="33" t="n">
        <v>9</v>
      </c>
      <c r="Z79" s="33" t="n">
        <v>3</v>
      </c>
      <c r="AA79" s="33" t="inlineStr">
        <is>
          <t>2</t>
        </is>
      </c>
      <c r="AB79" s="33" t="inlineStr">
        <is>
          <t>https://www.swimcloud.com/results/18977/event/10/?id=2839981#time2839981</t>
        </is>
      </c>
      <c r="AC79" s="33" t="inlineStr">
        <is>
          <t>SwimCloud API v6 2026-10-08</t>
        </is>
      </c>
      <c r="AD79" s="33" t="inlineStr">
        <is>
          <t>Caeleb Dressel|2012-08-14|LCM|100|Free|50.85|Speedo Junior National Championships (LCM)|PRE|False</t>
        </is>
      </c>
      <c r="AE79" s="53">
        <f>G79+L79/1000+ROW()/1000000000</f>
        <v/>
      </c>
      <c r="AF79" s="35">
        <f>IF(C79&lt;&gt;"Grayson Coulter","",COUNTIFS($C$5:$C$2991,"Grayson Coulter",$Q$5:$Q$2991,Q79,$AE$5:$AE$2991,"&lt;="&amp;AE79,$R$5:$R$2991,"&lt;"&amp;R79))</f>
        <v/>
      </c>
      <c r="AG79" s="35">
        <f>IF(OR(C79&lt;&gt;"Grayson Coulter",G79&lt;'00_Control'!$B$7),"",--(AF79&lt;5))</f>
        <v/>
      </c>
      <c r="AH79" s="35">
        <f>IF(OR(C79&lt;&gt;"Grayson Coulter",G79&lt;'00_Control'!$B$7),"",--(AF79&lt;10))</f>
        <v/>
      </c>
      <c r="AI79" s="35">
        <f>IF(AND(C79="Grayson Coulter",G79&gt;='00_Control'!$B$7),"YES","NO")</f>
        <v/>
      </c>
      <c r="AJ79" s="33" t="inlineStr">
        <is>
          <t>OK</t>
        </is>
      </c>
    </row>
    <row r="80">
      <c r="A80" s="33" t="inlineStr">
        <is>
          <t>SM000076</t>
        </is>
      </c>
      <c r="B80" s="33" t="inlineStr">
        <is>
          <t>SW010</t>
        </is>
      </c>
      <c r="C80" s="33" t="inlineStr">
        <is>
          <t>Caeleb Dressel</t>
        </is>
      </c>
      <c r="D80" s="33" t="inlineStr">
        <is>
          <t>SwimCloud</t>
        </is>
      </c>
      <c r="E80" s="33" t="inlineStr">
        <is>
          <t>2361642</t>
        </is>
      </c>
      <c r="F80" s="33" t="inlineStr">
        <is>
          <t>2840047</t>
        </is>
      </c>
      <c r="G80" s="51" t="n">
        <v>41135</v>
      </c>
      <c r="H80" s="33" t="inlineStr">
        <is>
          <t>Speedo Junior National Championships (LCM)</t>
        </is>
      </c>
      <c r="I80" s="33" t="inlineStr">
        <is>
          <t>18977</t>
        </is>
      </c>
      <c r="J80" s="33" t="inlineStr"/>
      <c r="K80" s="33" t="inlineStr">
        <is>
          <t>FIN</t>
        </is>
      </c>
      <c r="L80" s="35">
        <f>IF(K80="FIN",3,IF(OR(K80="SEM",K80="SEMI"),2,IF(OR(K80="PRE",K80="HEAT"),1,IF(V80="YES",4,2))))</f>
        <v/>
      </c>
      <c r="M80" s="33" t="inlineStr">
        <is>
          <t>LCM</t>
        </is>
      </c>
      <c r="N80" s="33" t="n">
        <v>100</v>
      </c>
      <c r="O80" s="33" t="inlineStr">
        <is>
          <t>Free</t>
        </is>
      </c>
      <c r="P80" s="33" t="inlineStr">
        <is>
          <t>100 Free</t>
        </is>
      </c>
      <c r="Q80" s="33" t="inlineStr">
        <is>
          <t>LCM_100_FREE</t>
        </is>
      </c>
      <c r="R80" s="36" t="n">
        <v>50.96</v>
      </c>
      <c r="S80" s="35">
        <f>IF(R80="","",IF(R80&gt;=60,INT(R80/60)&amp;":"&amp;TEXT(MOD(R80,60),"00.00"),TEXT(R80,"0.00")))</f>
        <v/>
      </c>
      <c r="T80" s="52">
        <f>IFERROR((G80-INDEX('01_Swimmers'!$E$5:$E$22,MATCH(B80,'01_Swimmers'!$A$5:$A$22,0)))/'00_Control'!$B$10,"")</f>
        <v/>
      </c>
      <c r="U80" s="35">
        <f>IF(T80="","",INT(T80))</f>
        <v/>
      </c>
      <c r="V80" s="33" t="inlineStr">
        <is>
          <t>NO</t>
        </is>
      </c>
      <c r="W80" s="33" t="inlineStr">
        <is>
          <t>YES</t>
        </is>
      </c>
      <c r="X80" s="33" t="inlineStr">
        <is>
          <t>NO</t>
        </is>
      </c>
      <c r="Y80" s="33" t="n">
        <v>3</v>
      </c>
      <c r="Z80" s="33" t="n">
        <v>5</v>
      </c>
      <c r="AA80" s="33" t="inlineStr">
        <is>
          <t>2</t>
        </is>
      </c>
      <c r="AB80" s="33" t="inlineStr">
        <is>
          <t>https://www.swimcloud.com/results/18977/event/10/?id=2840047#time2840047</t>
        </is>
      </c>
      <c r="AC80" s="33" t="inlineStr">
        <is>
          <t>SwimCloud API v6 2026-10-08</t>
        </is>
      </c>
      <c r="AD80" s="33" t="inlineStr">
        <is>
          <t>Caeleb Dressel|2012-08-14|LCM|100|Free|50.96|Speedo Junior National Championships (LCM)|FIN|False</t>
        </is>
      </c>
      <c r="AE80" s="53">
        <f>G80+L80/1000+ROW()/1000000000</f>
        <v/>
      </c>
      <c r="AF80" s="35">
        <f>IF(C80&lt;&gt;"Grayson Coulter","",COUNTIFS($C$5:$C$2991,"Grayson Coulter",$Q$5:$Q$2991,Q80,$AE$5:$AE$2991,"&lt;="&amp;AE80,$R$5:$R$2991,"&lt;"&amp;R80))</f>
        <v/>
      </c>
      <c r="AG80" s="35">
        <f>IF(OR(C80&lt;&gt;"Grayson Coulter",G80&lt;'00_Control'!$B$7),"",--(AF80&lt;5))</f>
        <v/>
      </c>
      <c r="AH80" s="35">
        <f>IF(OR(C80&lt;&gt;"Grayson Coulter",G80&lt;'00_Control'!$B$7),"",--(AF80&lt;10))</f>
        <v/>
      </c>
      <c r="AI80" s="35">
        <f>IF(AND(C80="Grayson Coulter",G80&gt;='00_Control'!$B$7),"YES","NO")</f>
        <v/>
      </c>
      <c r="AJ80" s="33" t="inlineStr">
        <is>
          <t>OK</t>
        </is>
      </c>
    </row>
    <row r="81">
      <c r="A81" s="33" t="inlineStr">
        <is>
          <t>SM000077</t>
        </is>
      </c>
      <c r="B81" s="33" t="inlineStr">
        <is>
          <t>SW010</t>
        </is>
      </c>
      <c r="C81" s="33" t="inlineStr">
        <is>
          <t>Caeleb Dressel</t>
        </is>
      </c>
      <c r="D81" s="33" t="inlineStr">
        <is>
          <t>SwimCloud</t>
        </is>
      </c>
      <c r="E81" s="33" t="inlineStr">
        <is>
          <t>2361642</t>
        </is>
      </c>
      <c r="F81" s="33" t="inlineStr">
        <is>
          <t>2840666</t>
        </is>
      </c>
      <c r="G81" s="51" t="n">
        <v>41136</v>
      </c>
      <c r="H81" s="33" t="inlineStr">
        <is>
          <t>Speedo Junior National Championships (LCM)</t>
        </is>
      </c>
      <c r="I81" s="33" t="inlineStr">
        <is>
          <t>18977</t>
        </is>
      </c>
      <c r="J81" s="33" t="inlineStr"/>
      <c r="K81" s="33" t="inlineStr">
        <is>
          <t>PRE</t>
        </is>
      </c>
      <c r="L81" s="35">
        <f>IF(K81="FIN",3,IF(OR(K81="SEM",K81="SEMI"),2,IF(OR(K81="PRE",K81="HEAT"),1,IF(V81="YES",4,2))))</f>
        <v/>
      </c>
      <c r="M81" s="33" t="inlineStr">
        <is>
          <t>LCM</t>
        </is>
      </c>
      <c r="N81" s="33" t="n">
        <v>100</v>
      </c>
      <c r="O81" s="33" t="inlineStr">
        <is>
          <t>Fly</t>
        </is>
      </c>
      <c r="P81" s="33" t="inlineStr">
        <is>
          <t>100 Fly</t>
        </is>
      </c>
      <c r="Q81" s="33" t="inlineStr">
        <is>
          <t>LCM_100_FLY</t>
        </is>
      </c>
      <c r="R81" s="36" t="n">
        <v>56.03</v>
      </c>
      <c r="S81" s="35">
        <f>IF(R81="","",IF(R81&gt;=60,INT(R81/60)&amp;":"&amp;TEXT(MOD(R81,60),"00.00"),TEXT(R81,"0.00")))</f>
        <v/>
      </c>
      <c r="T81" s="52">
        <f>IFERROR((G81-INDEX('01_Swimmers'!$E$5:$E$22,MATCH(B81,'01_Swimmers'!$A$5:$A$22,0)))/'00_Control'!$B$10,"")</f>
        <v/>
      </c>
      <c r="U81" s="35">
        <f>IF(T81="","",INT(T81))</f>
        <v/>
      </c>
      <c r="V81" s="33" t="inlineStr">
        <is>
          <t>NO</t>
        </is>
      </c>
      <c r="W81" s="33" t="inlineStr">
        <is>
          <t>YES</t>
        </is>
      </c>
      <c r="X81" s="33" t="inlineStr">
        <is>
          <t>NO</t>
        </is>
      </c>
      <c r="Y81" s="33" t="n">
        <v>13</v>
      </c>
      <c r="Z81" s="33" t="n">
        <v>6</v>
      </c>
      <c r="AA81" s="33" t="inlineStr">
        <is>
          <t>18</t>
        </is>
      </c>
      <c r="AB81" s="33" t="inlineStr">
        <is>
          <t>https://www.swimcloud.com/results/18977/event/18/?id=2840666#time2840666</t>
        </is>
      </c>
      <c r="AC81" s="33" t="inlineStr">
        <is>
          <t>SwimCloud API v6 2026-10-08</t>
        </is>
      </c>
      <c r="AD81" s="33" t="inlineStr">
        <is>
          <t>Caeleb Dressel|2012-08-15|LCM|100|Fly|56.03|Speedo Junior National Championships (LCM)|PRE|False</t>
        </is>
      </c>
      <c r="AE81" s="53">
        <f>G81+L81/1000+ROW()/1000000000</f>
        <v/>
      </c>
      <c r="AF81" s="35">
        <f>IF(C81&lt;&gt;"Grayson Coulter","",COUNTIFS($C$5:$C$2991,"Grayson Coulter",$Q$5:$Q$2991,Q81,$AE$5:$AE$2991,"&lt;="&amp;AE81,$R$5:$R$2991,"&lt;"&amp;R81))</f>
        <v/>
      </c>
      <c r="AG81" s="35">
        <f>IF(OR(C81&lt;&gt;"Grayson Coulter",G81&lt;'00_Control'!$B$7),"",--(AF81&lt;5))</f>
        <v/>
      </c>
      <c r="AH81" s="35">
        <f>IF(OR(C81&lt;&gt;"Grayson Coulter",G81&lt;'00_Control'!$B$7),"",--(AF81&lt;10))</f>
        <v/>
      </c>
      <c r="AI81" s="35">
        <f>IF(AND(C81="Grayson Coulter",G81&gt;='00_Control'!$B$7),"YES","NO")</f>
        <v/>
      </c>
      <c r="AJ81" s="33" t="inlineStr">
        <is>
          <t>OK</t>
        </is>
      </c>
    </row>
    <row r="82">
      <c r="A82" s="33" t="inlineStr">
        <is>
          <t>SM000078</t>
        </is>
      </c>
      <c r="B82" s="33" t="inlineStr">
        <is>
          <t>SW010</t>
        </is>
      </c>
      <c r="C82" s="33" t="inlineStr">
        <is>
          <t>Caeleb Dressel</t>
        </is>
      </c>
      <c r="D82" s="33" t="inlineStr">
        <is>
          <t>SwimCloud</t>
        </is>
      </c>
      <c r="E82" s="33" t="inlineStr">
        <is>
          <t>2361642</t>
        </is>
      </c>
      <c r="F82" s="33" t="inlineStr">
        <is>
          <t>2840752</t>
        </is>
      </c>
      <c r="G82" s="51" t="n">
        <v>41136</v>
      </c>
      <c r="H82" s="33" t="inlineStr">
        <is>
          <t>Speedo Junior National Championships (LCM)</t>
        </is>
      </c>
      <c r="I82" s="33" t="inlineStr">
        <is>
          <t>18977</t>
        </is>
      </c>
      <c r="J82" s="33" t="inlineStr"/>
      <c r="K82" s="33" t="inlineStr">
        <is>
          <t>FIN</t>
        </is>
      </c>
      <c r="L82" s="35">
        <f>IF(K82="FIN",3,IF(OR(K82="SEM",K82="SEMI"),2,IF(OR(K82="PRE",K82="HEAT"),1,IF(V82="YES",4,2))))</f>
        <v/>
      </c>
      <c r="M82" s="33" t="inlineStr">
        <is>
          <t>LCM</t>
        </is>
      </c>
      <c r="N82" s="33" t="n">
        <v>100</v>
      </c>
      <c r="O82" s="33" t="inlineStr">
        <is>
          <t>Fly</t>
        </is>
      </c>
      <c r="P82" s="33" t="inlineStr">
        <is>
          <t>100 Fly</t>
        </is>
      </c>
      <c r="Q82" s="33" t="inlineStr">
        <is>
          <t>LCM_100_FLY</t>
        </is>
      </c>
      <c r="R82" s="36" t="n">
        <v>55.18</v>
      </c>
      <c r="S82" s="35">
        <f>IF(R82="","",IF(R82&gt;=60,INT(R82/60)&amp;":"&amp;TEXT(MOD(R82,60),"00.00"),TEXT(R82,"0.00")))</f>
        <v/>
      </c>
      <c r="T82" s="52">
        <f>IFERROR((G82-INDEX('01_Swimmers'!$E$5:$E$22,MATCH(B82,'01_Swimmers'!$A$5:$A$22,0)))/'00_Control'!$B$10,"")</f>
        <v/>
      </c>
      <c r="U82" s="35">
        <f>IF(T82="","",INT(T82))</f>
        <v/>
      </c>
      <c r="V82" s="33" t="inlineStr">
        <is>
          <t>NO</t>
        </is>
      </c>
      <c r="W82" s="33" t="inlineStr">
        <is>
          <t>YES</t>
        </is>
      </c>
      <c r="X82" s="33" t="inlineStr">
        <is>
          <t>NO</t>
        </is>
      </c>
      <c r="Y82" s="33" t="n">
        <v>1</v>
      </c>
      <c r="Z82" s="33" t="n">
        <v>4</v>
      </c>
      <c r="AA82" s="33" t="inlineStr">
        <is>
          <t>17</t>
        </is>
      </c>
      <c r="AB82" s="33" t="inlineStr">
        <is>
          <t>https://www.swimcloud.com/results/18977/event/18/?id=2840752#time2840752</t>
        </is>
      </c>
      <c r="AC82" s="33" t="inlineStr">
        <is>
          <t>SwimCloud API v6 2026-10-08</t>
        </is>
      </c>
      <c r="AD82" s="33" t="inlineStr">
        <is>
          <t>Caeleb Dressel|2012-08-15|LCM|100|Fly|55.18|Speedo Junior National Championships (LCM)|FIN|False</t>
        </is>
      </c>
      <c r="AE82" s="53">
        <f>G82+L82/1000+ROW()/1000000000</f>
        <v/>
      </c>
      <c r="AF82" s="35">
        <f>IF(C82&lt;&gt;"Grayson Coulter","",COUNTIFS($C$5:$C$2991,"Grayson Coulter",$Q$5:$Q$2991,Q82,$AE$5:$AE$2991,"&lt;="&amp;AE82,$R$5:$R$2991,"&lt;"&amp;R82))</f>
        <v/>
      </c>
      <c r="AG82" s="35">
        <f>IF(OR(C82&lt;&gt;"Grayson Coulter",G82&lt;'00_Control'!$B$7),"",--(AF82&lt;5))</f>
        <v/>
      </c>
      <c r="AH82" s="35">
        <f>IF(OR(C82&lt;&gt;"Grayson Coulter",G82&lt;'00_Control'!$B$7),"",--(AF82&lt;10))</f>
        <v/>
      </c>
      <c r="AI82" s="35">
        <f>IF(AND(C82="Grayson Coulter",G82&gt;='00_Control'!$B$7),"YES","NO")</f>
        <v/>
      </c>
      <c r="AJ82" s="33" t="inlineStr">
        <is>
          <t>OK</t>
        </is>
      </c>
    </row>
    <row r="83">
      <c r="A83" s="33" t="inlineStr">
        <is>
          <t>SM000079</t>
        </is>
      </c>
      <c r="B83" s="33" t="inlineStr">
        <is>
          <t>SW010</t>
        </is>
      </c>
      <c r="C83" s="33" t="inlineStr">
        <is>
          <t>Caeleb Dressel</t>
        </is>
      </c>
      <c r="D83" s="33" t="inlineStr">
        <is>
          <t>SwimCloud</t>
        </is>
      </c>
      <c r="E83" s="33" t="inlineStr">
        <is>
          <t>2361642</t>
        </is>
      </c>
      <c r="F83" s="33" t="inlineStr">
        <is>
          <t>2841102</t>
        </is>
      </c>
      <c r="G83" s="51" t="n">
        <v>41137</v>
      </c>
      <c r="H83" s="33" t="inlineStr">
        <is>
          <t>Speedo Junior National Championships (LCM)</t>
        </is>
      </c>
      <c r="I83" s="33" t="inlineStr">
        <is>
          <t>18977</t>
        </is>
      </c>
      <c r="J83" s="33" t="inlineStr"/>
      <c r="K83" s="33" t="inlineStr">
        <is>
          <t>PRE</t>
        </is>
      </c>
      <c r="L83" s="35">
        <f>IF(K83="FIN",3,IF(OR(K83="SEM",K83="SEMI"),2,IF(OR(K83="PRE",K83="HEAT"),1,IF(V83="YES",4,2))))</f>
        <v/>
      </c>
      <c r="M83" s="33" t="inlineStr">
        <is>
          <t>LCM</t>
        </is>
      </c>
      <c r="N83" s="33" t="n">
        <v>200</v>
      </c>
      <c r="O83" s="33" t="inlineStr">
        <is>
          <t>Free</t>
        </is>
      </c>
      <c r="P83" s="33" t="inlineStr">
        <is>
          <t>200 Free</t>
        </is>
      </c>
      <c r="Q83" s="33" t="inlineStr">
        <is>
          <t>LCM_200_FREE</t>
        </is>
      </c>
      <c r="R83" s="36" t="n">
        <v>112.94</v>
      </c>
      <c r="S83" s="35">
        <f>IF(R83="","",IF(R83&gt;=60,INT(R83/60)&amp;":"&amp;TEXT(MOD(R83,60),"00.00"),TEXT(R83,"0.00")))</f>
        <v/>
      </c>
      <c r="T83" s="52">
        <f>IFERROR((G83-INDEX('01_Swimmers'!$E$5:$E$22,MATCH(B83,'01_Swimmers'!$A$5:$A$22,0)))/'00_Control'!$B$10,"")</f>
        <v/>
      </c>
      <c r="U83" s="35">
        <f>IF(T83="","",INT(T83))</f>
        <v/>
      </c>
      <c r="V83" s="33" t="inlineStr">
        <is>
          <t>NO</t>
        </is>
      </c>
      <c r="W83" s="33" t="inlineStr">
        <is>
          <t>YES</t>
        </is>
      </c>
      <c r="X83" s="33" t="inlineStr">
        <is>
          <t>NO</t>
        </is>
      </c>
      <c r="Y83" s="33" t="n">
        <v>15</v>
      </c>
      <c r="Z83" s="33" t="n">
        <v>5</v>
      </c>
      <c r="AA83" s="33" t="inlineStr">
        <is>
          <t>5</t>
        </is>
      </c>
      <c r="AB83" s="33" t="inlineStr">
        <is>
          <t>https://www.swimcloud.com/results/18977/event/21/?id=2841102#time2841102</t>
        </is>
      </c>
      <c r="AC83" s="33" t="inlineStr">
        <is>
          <t>SwimCloud API v6 2026-10-08</t>
        </is>
      </c>
      <c r="AD83" s="33" t="inlineStr">
        <is>
          <t>Caeleb Dressel|2012-08-16|LCM|200|Free|112.94|Speedo Junior National Championships (LCM)|PRE|False</t>
        </is>
      </c>
      <c r="AE83" s="53">
        <f>G83+L83/1000+ROW()/1000000000</f>
        <v/>
      </c>
      <c r="AF83" s="35">
        <f>IF(C83&lt;&gt;"Grayson Coulter","",COUNTIFS($C$5:$C$2991,"Grayson Coulter",$Q$5:$Q$2991,Q83,$AE$5:$AE$2991,"&lt;="&amp;AE83,$R$5:$R$2991,"&lt;"&amp;R83))</f>
        <v/>
      </c>
      <c r="AG83" s="35">
        <f>IF(OR(C83&lt;&gt;"Grayson Coulter",G83&lt;'00_Control'!$B$7),"",--(AF83&lt;5))</f>
        <v/>
      </c>
      <c r="AH83" s="35">
        <f>IF(OR(C83&lt;&gt;"Grayson Coulter",G83&lt;'00_Control'!$B$7),"",--(AF83&lt;10))</f>
        <v/>
      </c>
      <c r="AI83" s="35">
        <f>IF(AND(C83="Grayson Coulter",G83&gt;='00_Control'!$B$7),"YES","NO")</f>
        <v/>
      </c>
      <c r="AJ83" s="33" t="inlineStr">
        <is>
          <t>OK</t>
        </is>
      </c>
    </row>
    <row r="84">
      <c r="A84" s="33" t="inlineStr">
        <is>
          <t>SM000080</t>
        </is>
      </c>
      <c r="B84" s="33" t="inlineStr">
        <is>
          <t>SW010</t>
        </is>
      </c>
      <c r="C84" s="33" t="inlineStr">
        <is>
          <t>Caeleb Dressel</t>
        </is>
      </c>
      <c r="D84" s="33" t="inlineStr">
        <is>
          <t>SwimCloud</t>
        </is>
      </c>
      <c r="E84" s="33" t="inlineStr">
        <is>
          <t>2361642</t>
        </is>
      </c>
      <c r="F84" s="33" t="inlineStr">
        <is>
          <t>2841188</t>
        </is>
      </c>
      <c r="G84" s="51" t="n">
        <v>41137</v>
      </c>
      <c r="H84" s="33" t="inlineStr">
        <is>
          <t>Speedo Junior National Championships (LCM)</t>
        </is>
      </c>
      <c r="I84" s="33" t="inlineStr">
        <is>
          <t>18977</t>
        </is>
      </c>
      <c r="J84" s="33" t="inlineStr"/>
      <c r="K84" s="33" t="inlineStr">
        <is>
          <t>FIN</t>
        </is>
      </c>
      <c r="L84" s="35">
        <f>IF(K84="FIN",3,IF(OR(K84="SEM",K84="SEMI"),2,IF(OR(K84="PRE",K84="HEAT"),1,IF(V84="YES",4,2))))</f>
        <v/>
      </c>
      <c r="M84" s="33" t="inlineStr">
        <is>
          <t>LCM</t>
        </is>
      </c>
      <c r="N84" s="33" t="n">
        <v>200</v>
      </c>
      <c r="O84" s="33" t="inlineStr">
        <is>
          <t>Free</t>
        </is>
      </c>
      <c r="P84" s="33" t="inlineStr">
        <is>
          <t>200 Free</t>
        </is>
      </c>
      <c r="Q84" s="33" t="inlineStr">
        <is>
          <t>LCM_200_FREE</t>
        </is>
      </c>
      <c r="R84" s="36" t="n">
        <v>115.18</v>
      </c>
      <c r="S84" s="35">
        <f>IF(R84="","",IF(R84&gt;=60,INT(R84/60)&amp;":"&amp;TEXT(MOD(R84,60),"00.00"),TEXT(R84,"0.00")))</f>
        <v/>
      </c>
      <c r="T84" s="52">
        <f>IFERROR((G84-INDEX('01_Swimmers'!$E$5:$E$22,MATCH(B84,'01_Swimmers'!$A$5:$A$22,0)))/'00_Control'!$B$10,"")</f>
        <v/>
      </c>
      <c r="U84" s="35">
        <f>IF(T84="","",INT(T84))</f>
        <v/>
      </c>
      <c r="V84" s="33" t="inlineStr">
        <is>
          <t>NO</t>
        </is>
      </c>
      <c r="W84" s="33" t="inlineStr">
        <is>
          <t>YES</t>
        </is>
      </c>
      <c r="X84" s="33" t="inlineStr">
        <is>
          <t>NO</t>
        </is>
      </c>
      <c r="Y84" s="33" t="n">
        <v>3</v>
      </c>
      <c r="Z84" s="33" t="n">
        <v>2</v>
      </c>
      <c r="AA84" s="33" t="inlineStr">
        <is>
          <t>8</t>
        </is>
      </c>
      <c r="AB84" s="33" t="inlineStr">
        <is>
          <t>https://www.swimcloud.com/results/18977/event/21/?id=2841188#time2841188</t>
        </is>
      </c>
      <c r="AC84" s="33" t="inlineStr">
        <is>
          <t>SwimCloud API v6 2026-10-08</t>
        </is>
      </c>
      <c r="AD84" s="33" t="inlineStr">
        <is>
          <t>Caeleb Dressel|2012-08-16|LCM|200|Free|115.18|Speedo Junior National Championships (LCM)|FIN|False</t>
        </is>
      </c>
      <c r="AE84" s="53">
        <f>G84+L84/1000+ROW()/1000000000</f>
        <v/>
      </c>
      <c r="AF84" s="35">
        <f>IF(C84&lt;&gt;"Grayson Coulter","",COUNTIFS($C$5:$C$2991,"Grayson Coulter",$Q$5:$Q$2991,Q84,$AE$5:$AE$2991,"&lt;="&amp;AE84,$R$5:$R$2991,"&lt;"&amp;R84))</f>
        <v/>
      </c>
      <c r="AG84" s="35">
        <f>IF(OR(C84&lt;&gt;"Grayson Coulter",G84&lt;'00_Control'!$B$7),"",--(AF84&lt;5))</f>
        <v/>
      </c>
      <c r="AH84" s="35">
        <f>IF(OR(C84&lt;&gt;"Grayson Coulter",G84&lt;'00_Control'!$B$7),"",--(AF84&lt;10))</f>
        <v/>
      </c>
      <c r="AI84" s="35">
        <f>IF(AND(C84="Grayson Coulter",G84&gt;='00_Control'!$B$7),"YES","NO")</f>
        <v/>
      </c>
      <c r="AJ84" s="33" t="inlineStr">
        <is>
          <t>OK</t>
        </is>
      </c>
    </row>
    <row r="85">
      <c r="A85" s="33" t="inlineStr">
        <is>
          <t>SM000081</t>
        </is>
      </c>
      <c r="B85" s="33" t="inlineStr">
        <is>
          <t>SW010</t>
        </is>
      </c>
      <c r="C85" s="33" t="inlineStr">
        <is>
          <t>Caeleb Dressel</t>
        </is>
      </c>
      <c r="D85" s="33" t="inlineStr">
        <is>
          <t>SwimCloud</t>
        </is>
      </c>
      <c r="E85" s="33" t="inlineStr">
        <is>
          <t>2361642</t>
        </is>
      </c>
      <c r="F85" s="33" t="inlineStr">
        <is>
          <t>75242330</t>
        </is>
      </c>
      <c r="G85" s="51" t="n">
        <v>41404</v>
      </c>
      <c r="H85" s="33" t="inlineStr">
        <is>
          <t>2013 Arena Grand Prix at Charl</t>
        </is>
      </c>
      <c r="I85" s="33" t="inlineStr">
        <is>
          <t>237776</t>
        </is>
      </c>
      <c r="J85" s="33" t="inlineStr"/>
      <c r="K85" s="33" t="inlineStr">
        <is>
          <t>PRE</t>
        </is>
      </c>
      <c r="L85" s="35">
        <f>IF(K85="FIN",3,IF(OR(K85="SEM",K85="SEMI"),2,IF(OR(K85="PRE",K85="HEAT"),1,IF(V85="YES",4,2))))</f>
        <v/>
      </c>
      <c r="M85" s="33" t="inlineStr">
        <is>
          <t>LCM</t>
        </is>
      </c>
      <c r="N85" s="33" t="n">
        <v>100</v>
      </c>
      <c r="O85" s="33" t="inlineStr">
        <is>
          <t>Fly</t>
        </is>
      </c>
      <c r="P85" s="33" t="inlineStr">
        <is>
          <t>100 Fly</t>
        </is>
      </c>
      <c r="Q85" s="33" t="inlineStr">
        <is>
          <t>LCM_100_FLY</t>
        </is>
      </c>
      <c r="R85" s="36" t="n">
        <v>56.87</v>
      </c>
      <c r="S85" s="35">
        <f>IF(R85="","",IF(R85&gt;=60,INT(R85/60)&amp;":"&amp;TEXT(MOD(R85,60),"00.00"),TEXT(R85,"0.00")))</f>
        <v/>
      </c>
      <c r="T85" s="52">
        <f>IFERROR((G85-INDEX('01_Swimmers'!$E$5:$E$22,MATCH(B85,'01_Swimmers'!$A$5:$A$22,0)))/'00_Control'!$B$10,"")</f>
        <v/>
      </c>
      <c r="U85" s="35">
        <f>IF(T85="","",INT(T85))</f>
        <v/>
      </c>
      <c r="V85" s="33" t="inlineStr">
        <is>
          <t>NO</t>
        </is>
      </c>
      <c r="W85" s="33" t="inlineStr">
        <is>
          <t>YES</t>
        </is>
      </c>
      <c r="X85" s="33" t="inlineStr">
        <is>
          <t>NO</t>
        </is>
      </c>
      <c r="Y85" s="33" t="n">
        <v>10</v>
      </c>
      <c r="Z85" s="33" t="n">
        <v>7</v>
      </c>
      <c r="AA85" s="33" t="inlineStr">
        <is>
          <t>31</t>
        </is>
      </c>
      <c r="AB85" s="33" t="inlineStr">
        <is>
          <t>https://www.swimcloud.com/results/237776/event/10/?id=75242330#time75242330</t>
        </is>
      </c>
      <c r="AC85" s="33" t="inlineStr">
        <is>
          <t>SwimCloud API v6 2026-10-08</t>
        </is>
      </c>
      <c r="AD85" s="33" t="inlineStr">
        <is>
          <t>Caeleb Dressel|2013-05-10|LCM|100|Fly|56.87|2013 Arena Grand Prix at Charl|PRE|False</t>
        </is>
      </c>
      <c r="AE85" s="53">
        <f>G85+L85/1000+ROW()/1000000000</f>
        <v/>
      </c>
      <c r="AF85" s="35">
        <f>IF(C85&lt;&gt;"Grayson Coulter","",COUNTIFS($C$5:$C$2991,"Grayson Coulter",$Q$5:$Q$2991,Q85,$AE$5:$AE$2991,"&lt;="&amp;AE85,$R$5:$R$2991,"&lt;"&amp;R85))</f>
        <v/>
      </c>
      <c r="AG85" s="35">
        <f>IF(OR(C85&lt;&gt;"Grayson Coulter",G85&lt;'00_Control'!$B$7),"",--(AF85&lt;5))</f>
        <v/>
      </c>
      <c r="AH85" s="35">
        <f>IF(OR(C85&lt;&gt;"Grayson Coulter",G85&lt;'00_Control'!$B$7),"",--(AF85&lt;10))</f>
        <v/>
      </c>
      <c r="AI85" s="35">
        <f>IF(AND(C85="Grayson Coulter",G85&gt;='00_Control'!$B$7),"YES","NO")</f>
        <v/>
      </c>
      <c r="AJ85" s="33" t="inlineStr">
        <is>
          <t>OK</t>
        </is>
      </c>
    </row>
    <row r="86">
      <c r="A86" s="33" t="inlineStr">
        <is>
          <t>SM000082</t>
        </is>
      </c>
      <c r="B86" s="33" t="inlineStr">
        <is>
          <t>SW010</t>
        </is>
      </c>
      <c r="C86" s="33" t="inlineStr">
        <is>
          <t>Caeleb Dressel</t>
        </is>
      </c>
      <c r="D86" s="33" t="inlineStr">
        <is>
          <t>SwimCloud</t>
        </is>
      </c>
      <c r="E86" s="33" t="inlineStr">
        <is>
          <t>2361642</t>
        </is>
      </c>
      <c r="F86" s="33" t="inlineStr">
        <is>
          <t>75242331</t>
        </is>
      </c>
      <c r="G86" s="51" t="n">
        <v>41404</v>
      </c>
      <c r="H86" s="33" t="inlineStr">
        <is>
          <t>2013 Arena Grand Prix at Charl</t>
        </is>
      </c>
      <c r="I86" s="33" t="inlineStr">
        <is>
          <t>237776</t>
        </is>
      </c>
      <c r="J86" s="33" t="inlineStr"/>
      <c r="K86" s="33" t="inlineStr">
        <is>
          <t>FIN</t>
        </is>
      </c>
      <c r="L86" s="35">
        <f>IF(K86="FIN",3,IF(OR(K86="SEM",K86="SEMI"),2,IF(OR(K86="PRE",K86="HEAT"),1,IF(V86="YES",4,2))))</f>
        <v/>
      </c>
      <c r="M86" s="33" t="inlineStr">
        <is>
          <t>LCM</t>
        </is>
      </c>
      <c r="N86" s="33" t="n">
        <v>100</v>
      </c>
      <c r="O86" s="33" t="inlineStr">
        <is>
          <t>Fly</t>
        </is>
      </c>
      <c r="P86" s="33" t="inlineStr">
        <is>
          <t>100 Fly</t>
        </is>
      </c>
      <c r="Q86" s="33" t="inlineStr">
        <is>
          <t>LCM_100_FLY</t>
        </is>
      </c>
      <c r="R86" s="36" t="n">
        <v>55.77</v>
      </c>
      <c r="S86" s="35">
        <f>IF(R86="","",IF(R86&gt;=60,INT(R86/60)&amp;":"&amp;TEXT(MOD(R86,60),"00.00"),TEXT(R86,"0.00")))</f>
        <v/>
      </c>
      <c r="T86" s="52">
        <f>IFERROR((G86-INDEX('01_Swimmers'!$E$5:$E$22,MATCH(B86,'01_Swimmers'!$A$5:$A$22,0)))/'00_Control'!$B$10,"")</f>
        <v/>
      </c>
      <c r="U86" s="35">
        <f>IF(T86="","",INT(T86))</f>
        <v/>
      </c>
      <c r="V86" s="33" t="inlineStr">
        <is>
          <t>NO</t>
        </is>
      </c>
      <c r="W86" s="33" t="inlineStr">
        <is>
          <t>YES</t>
        </is>
      </c>
      <c r="X86" s="33" t="inlineStr">
        <is>
          <t>NO</t>
        </is>
      </c>
      <c r="Y86" s="33" t="n">
        <v>3</v>
      </c>
      <c r="Z86" s="33" t="n">
        <v>3</v>
      </c>
      <c r="AA86" s="33" t="inlineStr">
        <is>
          <t>25</t>
        </is>
      </c>
      <c r="AB86" s="33" t="inlineStr">
        <is>
          <t>https://www.swimcloud.com/results/237776/event/10/?id=75242331#time75242331</t>
        </is>
      </c>
      <c r="AC86" s="33" t="inlineStr">
        <is>
          <t>SwimCloud API v6 2026-10-08</t>
        </is>
      </c>
      <c r="AD86" s="33" t="inlineStr">
        <is>
          <t>Caeleb Dressel|2013-05-10|LCM|100|Fly|55.77|2013 Arena Grand Prix at Charl|FIN|False</t>
        </is>
      </c>
      <c r="AE86" s="53">
        <f>G86+L86/1000+ROW()/1000000000</f>
        <v/>
      </c>
      <c r="AF86" s="35">
        <f>IF(C86&lt;&gt;"Grayson Coulter","",COUNTIFS($C$5:$C$2991,"Grayson Coulter",$Q$5:$Q$2991,Q86,$AE$5:$AE$2991,"&lt;="&amp;AE86,$R$5:$R$2991,"&lt;"&amp;R86))</f>
        <v/>
      </c>
      <c r="AG86" s="35">
        <f>IF(OR(C86&lt;&gt;"Grayson Coulter",G86&lt;'00_Control'!$B$7),"",--(AF86&lt;5))</f>
        <v/>
      </c>
      <c r="AH86" s="35">
        <f>IF(OR(C86&lt;&gt;"Grayson Coulter",G86&lt;'00_Control'!$B$7),"",--(AF86&lt;10))</f>
        <v/>
      </c>
      <c r="AI86" s="35">
        <f>IF(AND(C86="Grayson Coulter",G86&gt;='00_Control'!$B$7),"YES","NO")</f>
        <v/>
      </c>
      <c r="AJ86" s="33" t="inlineStr">
        <is>
          <t>OK</t>
        </is>
      </c>
    </row>
    <row r="87">
      <c r="A87" s="33" t="inlineStr">
        <is>
          <t>SM000083</t>
        </is>
      </c>
      <c r="B87" s="33" t="inlineStr">
        <is>
          <t>SW010</t>
        </is>
      </c>
      <c r="C87" s="33" t="inlineStr">
        <is>
          <t>Caeleb Dressel</t>
        </is>
      </c>
      <c r="D87" s="33" t="inlineStr">
        <is>
          <t>SwimCloud</t>
        </is>
      </c>
      <c r="E87" s="33" t="inlineStr">
        <is>
          <t>2361642</t>
        </is>
      </c>
      <c r="F87" s="33" t="inlineStr">
        <is>
          <t>75241685</t>
        </is>
      </c>
      <c r="G87" s="51" t="n">
        <v>41404</v>
      </c>
      <c r="H87" s="33" t="inlineStr">
        <is>
          <t>2013 Arena Grand Prix at Charl</t>
        </is>
      </c>
      <c r="I87" s="33" t="inlineStr">
        <is>
          <t>237776</t>
        </is>
      </c>
      <c r="J87" s="33" t="inlineStr"/>
      <c r="K87" s="33" t="inlineStr">
        <is>
          <t>PRE</t>
        </is>
      </c>
      <c r="L87" s="35">
        <f>IF(K87="FIN",3,IF(OR(K87="SEM",K87="SEMI"),2,IF(OR(K87="PRE",K87="HEAT"),1,IF(V87="YES",4,2))))</f>
        <v/>
      </c>
      <c r="M87" s="33" t="inlineStr">
        <is>
          <t>LCM</t>
        </is>
      </c>
      <c r="N87" s="33" t="n">
        <v>200</v>
      </c>
      <c r="O87" s="33" t="inlineStr">
        <is>
          <t>Free</t>
        </is>
      </c>
      <c r="P87" s="33" t="inlineStr">
        <is>
          <t>200 Free</t>
        </is>
      </c>
      <c r="Q87" s="33" t="inlineStr">
        <is>
          <t>LCM_200_FREE</t>
        </is>
      </c>
      <c r="R87" s="36" t="n">
        <v>115.34</v>
      </c>
      <c r="S87" s="35">
        <f>IF(R87="","",IF(R87&gt;=60,INT(R87/60)&amp;":"&amp;TEXT(MOD(R87,60),"00.00"),TEXT(R87,"0.00")))</f>
        <v/>
      </c>
      <c r="T87" s="52">
        <f>IFERROR((G87-INDEX('01_Swimmers'!$E$5:$E$22,MATCH(B87,'01_Swimmers'!$A$5:$A$22,0)))/'00_Control'!$B$10,"")</f>
        <v/>
      </c>
      <c r="U87" s="35">
        <f>IF(T87="","",INT(T87))</f>
        <v/>
      </c>
      <c r="V87" s="33" t="inlineStr">
        <is>
          <t>NO</t>
        </is>
      </c>
      <c r="W87" s="33" t="inlineStr">
        <is>
          <t>YES</t>
        </is>
      </c>
      <c r="X87" s="33" t="inlineStr">
        <is>
          <t>NO</t>
        </is>
      </c>
      <c r="Y87" s="33" t="n">
        <v>11</v>
      </c>
      <c r="Z87" s="33" t="n">
        <v>1</v>
      </c>
      <c r="AA87" s="33" t="inlineStr">
        <is>
          <t>45</t>
        </is>
      </c>
      <c r="AB87" s="33" t="inlineStr">
        <is>
          <t>https://www.swimcloud.com/results/237776/event/4/?id=75241685#time75241685</t>
        </is>
      </c>
      <c r="AC87" s="33" t="inlineStr">
        <is>
          <t>SwimCloud API v6 2026-10-08</t>
        </is>
      </c>
      <c r="AD87" s="33" t="inlineStr">
        <is>
          <t>Caeleb Dressel|2013-05-10|LCM|200|Free|115.34|2013 Arena Grand Prix at Charl|PRE|False</t>
        </is>
      </c>
      <c r="AE87" s="53">
        <f>G87+L87/1000+ROW()/1000000000</f>
        <v/>
      </c>
      <c r="AF87" s="35">
        <f>IF(C87&lt;&gt;"Grayson Coulter","",COUNTIFS($C$5:$C$2991,"Grayson Coulter",$Q$5:$Q$2991,Q87,$AE$5:$AE$2991,"&lt;="&amp;AE87,$R$5:$R$2991,"&lt;"&amp;R87))</f>
        <v/>
      </c>
      <c r="AG87" s="35">
        <f>IF(OR(C87&lt;&gt;"Grayson Coulter",G87&lt;'00_Control'!$B$7),"",--(AF87&lt;5))</f>
        <v/>
      </c>
      <c r="AH87" s="35">
        <f>IF(OR(C87&lt;&gt;"Grayson Coulter",G87&lt;'00_Control'!$B$7),"",--(AF87&lt;10))</f>
        <v/>
      </c>
      <c r="AI87" s="35">
        <f>IF(AND(C87="Grayson Coulter",G87&gt;='00_Control'!$B$7),"YES","NO")</f>
        <v/>
      </c>
      <c r="AJ87" s="33" t="inlineStr">
        <is>
          <t>OK</t>
        </is>
      </c>
    </row>
    <row r="88">
      <c r="A88" s="33" t="inlineStr">
        <is>
          <t>SM000084</t>
        </is>
      </c>
      <c r="B88" s="33" t="inlineStr">
        <is>
          <t>SW010</t>
        </is>
      </c>
      <c r="C88" s="33" t="inlineStr">
        <is>
          <t>Caeleb Dressel</t>
        </is>
      </c>
      <c r="D88" s="33" t="inlineStr">
        <is>
          <t>SwimCloud</t>
        </is>
      </c>
      <c r="E88" s="33" t="inlineStr">
        <is>
          <t>2361642</t>
        </is>
      </c>
      <c r="F88" s="33" t="inlineStr">
        <is>
          <t>75241533</t>
        </is>
      </c>
      <c r="G88" s="51" t="n">
        <v>41406</v>
      </c>
      <c r="H88" s="33" t="inlineStr">
        <is>
          <t>2013 Arena Grand Prix at Charl</t>
        </is>
      </c>
      <c r="I88" s="33" t="inlineStr">
        <is>
          <t>237776</t>
        </is>
      </c>
      <c r="J88" s="33" t="inlineStr"/>
      <c r="K88" s="33" t="inlineStr">
        <is>
          <t>PRE</t>
        </is>
      </c>
      <c r="L88" s="35">
        <f>IF(K88="FIN",3,IF(OR(K88="SEM",K88="SEMI"),2,IF(OR(K88="PRE",K88="HEAT"),1,IF(V88="YES",4,2))))</f>
        <v/>
      </c>
      <c r="M88" s="33" t="inlineStr">
        <is>
          <t>LCM</t>
        </is>
      </c>
      <c r="N88" s="33" t="n">
        <v>100</v>
      </c>
      <c r="O88" s="33" t="inlineStr">
        <is>
          <t>Free</t>
        </is>
      </c>
      <c r="P88" s="33" t="inlineStr">
        <is>
          <t>100 Free</t>
        </is>
      </c>
      <c r="Q88" s="33" t="inlineStr">
        <is>
          <t>LCM_100_FREE</t>
        </is>
      </c>
      <c r="R88" s="36" t="n">
        <v>51</v>
      </c>
      <c r="S88" s="35">
        <f>IF(R88="","",IF(R88&gt;=60,INT(R88/60)&amp;":"&amp;TEXT(MOD(R88,60),"00.00"),TEXT(R88,"0.00")))</f>
        <v/>
      </c>
      <c r="T88" s="52">
        <f>IFERROR((G88-INDEX('01_Swimmers'!$E$5:$E$22,MATCH(B88,'01_Swimmers'!$A$5:$A$22,0)))/'00_Control'!$B$10,"")</f>
        <v/>
      </c>
      <c r="U88" s="35">
        <f>IF(T88="","",INT(T88))</f>
        <v/>
      </c>
      <c r="V88" s="33" t="inlineStr">
        <is>
          <t>NO</t>
        </is>
      </c>
      <c r="W88" s="33" t="inlineStr">
        <is>
          <t>YES</t>
        </is>
      </c>
      <c r="X88" s="33" t="inlineStr">
        <is>
          <t>NO</t>
        </is>
      </c>
      <c r="Y88" s="33" t="n">
        <v>11</v>
      </c>
      <c r="Z88" s="33" t="n">
        <v>3</v>
      </c>
      <c r="AA88" s="33" t="inlineStr">
        <is>
          <t>12</t>
        </is>
      </c>
      <c r="AB88" s="33" t="inlineStr">
        <is>
          <t>https://www.swimcloud.com/results/237776/event/37/?id=75241533#time75241533</t>
        </is>
      </c>
      <c r="AC88" s="33" t="inlineStr">
        <is>
          <t>SwimCloud API v6 2026-10-08</t>
        </is>
      </c>
      <c r="AD88" s="33" t="inlineStr">
        <is>
          <t>Caeleb Dressel|2013-05-12|LCM|100|Free|51.0|2013 Arena Grand Prix at Charl|PRE|False</t>
        </is>
      </c>
      <c r="AE88" s="53">
        <f>G88+L88/1000+ROW()/1000000000</f>
        <v/>
      </c>
      <c r="AF88" s="35">
        <f>IF(C88&lt;&gt;"Grayson Coulter","",COUNTIFS($C$5:$C$2991,"Grayson Coulter",$Q$5:$Q$2991,Q88,$AE$5:$AE$2991,"&lt;="&amp;AE88,$R$5:$R$2991,"&lt;"&amp;R88))</f>
        <v/>
      </c>
      <c r="AG88" s="35">
        <f>IF(OR(C88&lt;&gt;"Grayson Coulter",G88&lt;'00_Control'!$B$7),"",--(AF88&lt;5))</f>
        <v/>
      </c>
      <c r="AH88" s="35">
        <f>IF(OR(C88&lt;&gt;"Grayson Coulter",G88&lt;'00_Control'!$B$7),"",--(AF88&lt;10))</f>
        <v/>
      </c>
      <c r="AI88" s="35">
        <f>IF(AND(C88="Grayson Coulter",G88&gt;='00_Control'!$B$7),"YES","NO")</f>
        <v/>
      </c>
      <c r="AJ88" s="33" t="inlineStr">
        <is>
          <t>OK</t>
        </is>
      </c>
    </row>
    <row r="89">
      <c r="A89" s="33" t="inlineStr">
        <is>
          <t>SM000085</t>
        </is>
      </c>
      <c r="B89" s="33" t="inlineStr">
        <is>
          <t>SW010</t>
        </is>
      </c>
      <c r="C89" s="33" t="inlineStr">
        <is>
          <t>Caeleb Dressel</t>
        </is>
      </c>
      <c r="D89" s="33" t="inlineStr">
        <is>
          <t>SwimCloud</t>
        </is>
      </c>
      <c r="E89" s="33" t="inlineStr">
        <is>
          <t>2361642</t>
        </is>
      </c>
      <c r="F89" s="33" t="inlineStr">
        <is>
          <t>75241534</t>
        </is>
      </c>
      <c r="G89" s="51" t="n">
        <v>41406</v>
      </c>
      <c r="H89" s="33" t="inlineStr">
        <is>
          <t>2013 Arena Grand Prix at Charl</t>
        </is>
      </c>
      <c r="I89" s="33" t="inlineStr">
        <is>
          <t>237776</t>
        </is>
      </c>
      <c r="J89" s="33" t="inlineStr"/>
      <c r="K89" s="33" t="inlineStr">
        <is>
          <t>FIN</t>
        </is>
      </c>
      <c r="L89" s="35">
        <f>IF(K89="FIN",3,IF(OR(K89="SEM",K89="SEMI"),2,IF(OR(K89="PRE",K89="HEAT"),1,IF(V89="YES",4,2))))</f>
        <v/>
      </c>
      <c r="M89" s="33" t="inlineStr">
        <is>
          <t>LCM</t>
        </is>
      </c>
      <c r="N89" s="33" t="n">
        <v>100</v>
      </c>
      <c r="O89" s="33" t="inlineStr">
        <is>
          <t>Free</t>
        </is>
      </c>
      <c r="P89" s="33" t="inlineStr">
        <is>
          <t>100 Free</t>
        </is>
      </c>
      <c r="Q89" s="33" t="inlineStr">
        <is>
          <t>LCM_100_FREE</t>
        </is>
      </c>
      <c r="R89" s="36" t="n">
        <v>51.04</v>
      </c>
      <c r="S89" s="35">
        <f>IF(R89="","",IF(R89&gt;=60,INT(R89/60)&amp;":"&amp;TEXT(MOD(R89,60),"00.00"),TEXT(R89,"0.00")))</f>
        <v/>
      </c>
      <c r="T89" s="52">
        <f>IFERROR((G89-INDEX('01_Swimmers'!$E$5:$E$22,MATCH(B89,'01_Swimmers'!$A$5:$A$22,0)))/'00_Control'!$B$10,"")</f>
        <v/>
      </c>
      <c r="U89" s="35">
        <f>IF(T89="","",INT(T89))</f>
        <v/>
      </c>
      <c r="V89" s="33" t="inlineStr">
        <is>
          <t>NO</t>
        </is>
      </c>
      <c r="W89" s="33" t="inlineStr">
        <is>
          <t>YES</t>
        </is>
      </c>
      <c r="X89" s="33" t="inlineStr">
        <is>
          <t>NO</t>
        </is>
      </c>
      <c r="Y89" s="33" t="n">
        <v>1</v>
      </c>
      <c r="Z89" s="33" t="n">
        <v>4</v>
      </c>
      <c r="AA89" s="33" t="inlineStr">
        <is>
          <t>10</t>
        </is>
      </c>
      <c r="AB89" s="33" t="inlineStr">
        <is>
          <t>https://www.swimcloud.com/results/237776/event/37/?id=75241534#time75241534</t>
        </is>
      </c>
      <c r="AC89" s="33" t="inlineStr">
        <is>
          <t>SwimCloud API v6 2026-10-08</t>
        </is>
      </c>
      <c r="AD89" s="33" t="inlineStr">
        <is>
          <t>Caeleb Dressel|2013-05-12|LCM|100|Free|51.04|2013 Arena Grand Prix at Charl|FIN|False</t>
        </is>
      </c>
      <c r="AE89" s="53">
        <f>G89+L89/1000+ROW()/1000000000</f>
        <v/>
      </c>
      <c r="AF89" s="35">
        <f>IF(C89&lt;&gt;"Grayson Coulter","",COUNTIFS($C$5:$C$2991,"Grayson Coulter",$Q$5:$Q$2991,Q89,$AE$5:$AE$2991,"&lt;="&amp;AE89,$R$5:$R$2991,"&lt;"&amp;R89))</f>
        <v/>
      </c>
      <c r="AG89" s="35">
        <f>IF(OR(C89&lt;&gt;"Grayson Coulter",G89&lt;'00_Control'!$B$7),"",--(AF89&lt;5))</f>
        <v/>
      </c>
      <c r="AH89" s="35">
        <f>IF(OR(C89&lt;&gt;"Grayson Coulter",G89&lt;'00_Control'!$B$7),"",--(AF89&lt;10))</f>
        <v/>
      </c>
      <c r="AI89" s="35">
        <f>IF(AND(C89="Grayson Coulter",G89&gt;='00_Control'!$B$7),"YES","NO")</f>
        <v/>
      </c>
      <c r="AJ89" s="33" t="inlineStr">
        <is>
          <t>OK</t>
        </is>
      </c>
    </row>
    <row r="90">
      <c r="A90" s="33" t="inlineStr">
        <is>
          <t>SM000086</t>
        </is>
      </c>
      <c r="B90" s="33" t="inlineStr">
        <is>
          <t>SW010</t>
        </is>
      </c>
      <c r="C90" s="33" t="inlineStr">
        <is>
          <t>Caeleb Dressel</t>
        </is>
      </c>
      <c r="D90" s="33" t="inlineStr">
        <is>
          <t>SwimCloud</t>
        </is>
      </c>
      <c r="E90" s="33" t="inlineStr">
        <is>
          <t>2361642</t>
        </is>
      </c>
      <c r="F90" s="33" t="inlineStr">
        <is>
          <t>66524402</t>
        </is>
      </c>
      <c r="G90" s="51" t="n">
        <v>41450</v>
      </c>
      <c r="H90" s="33" t="inlineStr">
        <is>
          <t>USA Swimming Phillips 66 National Championships</t>
        </is>
      </c>
      <c r="I90" s="33" t="inlineStr">
        <is>
          <t>22341</t>
        </is>
      </c>
      <c r="J90" s="33" t="inlineStr"/>
      <c r="K90" s="33" t="inlineStr">
        <is>
          <t>PRE</t>
        </is>
      </c>
      <c r="L90" s="35">
        <f>IF(K90="FIN",3,IF(OR(K90="SEM",K90="SEMI"),2,IF(OR(K90="PRE",K90="HEAT"),1,IF(V90="YES",4,2))))</f>
        <v/>
      </c>
      <c r="M90" s="33" t="inlineStr">
        <is>
          <t>LCM</t>
        </is>
      </c>
      <c r="N90" s="33" t="n">
        <v>100</v>
      </c>
      <c r="O90" s="33" t="inlineStr">
        <is>
          <t>Free</t>
        </is>
      </c>
      <c r="P90" s="33" t="inlineStr">
        <is>
          <t>100 Free</t>
        </is>
      </c>
      <c r="Q90" s="33" t="inlineStr">
        <is>
          <t>LCM_100_FREE</t>
        </is>
      </c>
      <c r="R90" s="36" t="n">
        <v>49.63</v>
      </c>
      <c r="S90" s="35">
        <f>IF(R90="","",IF(R90&gt;=60,INT(R90/60)&amp;":"&amp;TEXT(MOD(R90,60),"00.00"),TEXT(R90,"0.00")))</f>
        <v/>
      </c>
      <c r="T90" s="52">
        <f>IFERROR((G90-INDEX('01_Swimmers'!$E$5:$E$22,MATCH(B90,'01_Swimmers'!$A$5:$A$22,0)))/'00_Control'!$B$10,"")</f>
        <v/>
      </c>
      <c r="U90" s="35">
        <f>IF(T90="","",INT(T90))</f>
        <v/>
      </c>
      <c r="V90" s="33" t="inlineStr">
        <is>
          <t>NO</t>
        </is>
      </c>
      <c r="W90" s="33" t="inlineStr">
        <is>
          <t>YES</t>
        </is>
      </c>
      <c r="X90" s="33" t="inlineStr">
        <is>
          <t>NO</t>
        </is>
      </c>
      <c r="Y90" s="33" t="n">
        <v>2</v>
      </c>
      <c r="Z90" s="33" t="n">
        <v>6</v>
      </c>
      <c r="AA90" s="33" t="inlineStr">
        <is>
          <t>8</t>
        </is>
      </c>
      <c r="AB90" s="33" t="inlineStr">
        <is>
          <t>https://www.swimcloud.com/results/22341/event/4/?id=66524402#time66524402</t>
        </is>
      </c>
      <c r="AC90" s="33" t="inlineStr">
        <is>
          <t>SwimCloud API v6 2026-10-08</t>
        </is>
      </c>
      <c r="AD90" s="33" t="inlineStr">
        <is>
          <t>Caeleb Dressel|2013-06-25|LCM|100|Free|49.63|USA Swimming Phillips 66 National Championships|PRE|False</t>
        </is>
      </c>
      <c r="AE90" s="53">
        <f>G90+L90/1000+ROW()/1000000000</f>
        <v/>
      </c>
      <c r="AF90" s="35">
        <f>IF(C90&lt;&gt;"Grayson Coulter","",COUNTIFS($C$5:$C$2991,"Grayson Coulter",$Q$5:$Q$2991,Q90,$AE$5:$AE$2991,"&lt;="&amp;AE90,$R$5:$R$2991,"&lt;"&amp;R90))</f>
        <v/>
      </c>
      <c r="AG90" s="35">
        <f>IF(OR(C90&lt;&gt;"Grayson Coulter",G90&lt;'00_Control'!$B$7),"",--(AF90&lt;5))</f>
        <v/>
      </c>
      <c r="AH90" s="35">
        <f>IF(OR(C90&lt;&gt;"Grayson Coulter",G90&lt;'00_Control'!$B$7),"",--(AF90&lt;10))</f>
        <v/>
      </c>
      <c r="AI90" s="35">
        <f>IF(AND(C90="Grayson Coulter",G90&gt;='00_Control'!$B$7),"YES","NO")</f>
        <v/>
      </c>
      <c r="AJ90" s="33" t="inlineStr">
        <is>
          <t>OK</t>
        </is>
      </c>
    </row>
    <row r="91">
      <c r="A91" s="33" t="inlineStr">
        <is>
          <t>SM000087</t>
        </is>
      </c>
      <c r="B91" s="33" t="inlineStr">
        <is>
          <t>SW010</t>
        </is>
      </c>
      <c r="C91" s="33" t="inlineStr">
        <is>
          <t>Caeleb Dressel</t>
        </is>
      </c>
      <c r="D91" s="33" t="inlineStr">
        <is>
          <t>SwimCloud</t>
        </is>
      </c>
      <c r="E91" s="33" t="inlineStr">
        <is>
          <t>2361642</t>
        </is>
      </c>
      <c r="F91" s="33" t="inlineStr">
        <is>
          <t>66524403</t>
        </is>
      </c>
      <c r="G91" s="51" t="n">
        <v>41450</v>
      </c>
      <c r="H91" s="33" t="inlineStr">
        <is>
          <t>USA Swimming Phillips 66 National Championships</t>
        </is>
      </c>
      <c r="I91" s="33" t="inlineStr">
        <is>
          <t>22341</t>
        </is>
      </c>
      <c r="J91" s="33" t="inlineStr"/>
      <c r="K91" s="33" t="inlineStr">
        <is>
          <t>FIN</t>
        </is>
      </c>
      <c r="L91" s="35">
        <f>IF(K91="FIN",3,IF(OR(K91="SEM",K91="SEMI"),2,IF(OR(K91="PRE",K91="HEAT"),1,IF(V91="YES",4,2))))</f>
        <v/>
      </c>
      <c r="M91" s="33" t="inlineStr">
        <is>
          <t>LCM</t>
        </is>
      </c>
      <c r="N91" s="33" t="n">
        <v>100</v>
      </c>
      <c r="O91" s="33" t="inlineStr">
        <is>
          <t>Free</t>
        </is>
      </c>
      <c r="P91" s="33" t="inlineStr">
        <is>
          <t>100 Free</t>
        </is>
      </c>
      <c r="Q91" s="33" t="inlineStr">
        <is>
          <t>LCM_100_FREE</t>
        </is>
      </c>
      <c r="R91" s="36" t="n">
        <v>49.5</v>
      </c>
      <c r="S91" s="35">
        <f>IF(R91="","",IF(R91&gt;=60,INT(R91/60)&amp;":"&amp;TEXT(MOD(R91,60),"00.00"),TEXT(R91,"0.00")))</f>
        <v/>
      </c>
      <c r="T91" s="52">
        <f>IFERROR((G91-INDEX('01_Swimmers'!$E$5:$E$22,MATCH(B91,'01_Swimmers'!$A$5:$A$22,0)))/'00_Control'!$B$10,"")</f>
        <v/>
      </c>
      <c r="U91" s="35">
        <f>IF(T91="","",INT(T91))</f>
        <v/>
      </c>
      <c r="V91" s="33" t="inlineStr">
        <is>
          <t>NO</t>
        </is>
      </c>
      <c r="W91" s="33" t="inlineStr">
        <is>
          <t>YES</t>
        </is>
      </c>
      <c r="X91" s="33" t="inlineStr">
        <is>
          <t>NO</t>
        </is>
      </c>
      <c r="Y91" s="33" t="n">
        <v>8</v>
      </c>
      <c r="Z91" s="33" t="n">
        <v>8</v>
      </c>
      <c r="AA91" s="33" t="inlineStr">
        <is>
          <t>8</t>
        </is>
      </c>
      <c r="AB91" s="33" t="inlineStr">
        <is>
          <t>https://www.swimcloud.com/results/22341/event/4/?id=66524403#time66524403</t>
        </is>
      </c>
      <c r="AC91" s="33" t="inlineStr">
        <is>
          <t>SwimCloud API v6 2026-10-08</t>
        </is>
      </c>
      <c r="AD91" s="33" t="inlineStr">
        <is>
          <t>Caeleb Dressel|2013-06-25|LCM|100|Free|49.5|USA Swimming Phillips 66 National Championships|FIN|False</t>
        </is>
      </c>
      <c r="AE91" s="53">
        <f>G91+L91/1000+ROW()/1000000000</f>
        <v/>
      </c>
      <c r="AF91" s="35">
        <f>IF(C91&lt;&gt;"Grayson Coulter","",COUNTIFS($C$5:$C$2991,"Grayson Coulter",$Q$5:$Q$2991,Q91,$AE$5:$AE$2991,"&lt;="&amp;AE91,$R$5:$R$2991,"&lt;"&amp;R91))</f>
        <v/>
      </c>
      <c r="AG91" s="35">
        <f>IF(OR(C91&lt;&gt;"Grayson Coulter",G91&lt;'00_Control'!$B$7),"",--(AF91&lt;5))</f>
        <v/>
      </c>
      <c r="AH91" s="35">
        <f>IF(OR(C91&lt;&gt;"Grayson Coulter",G91&lt;'00_Control'!$B$7),"",--(AF91&lt;10))</f>
        <v/>
      </c>
      <c r="AI91" s="35">
        <f>IF(AND(C91="Grayson Coulter",G91&gt;='00_Control'!$B$7),"YES","NO")</f>
        <v/>
      </c>
      <c r="AJ91" s="33" t="inlineStr">
        <is>
          <t>OK</t>
        </is>
      </c>
    </row>
    <row r="92">
      <c r="A92" s="33" t="inlineStr">
        <is>
          <t>SM000088</t>
        </is>
      </c>
      <c r="B92" s="33" t="inlineStr">
        <is>
          <t>SW010</t>
        </is>
      </c>
      <c r="C92" s="33" t="inlineStr">
        <is>
          <t>Caeleb Dressel</t>
        </is>
      </c>
      <c r="D92" s="33" t="inlineStr">
        <is>
          <t>SwimCloud</t>
        </is>
      </c>
      <c r="E92" s="33" t="inlineStr">
        <is>
          <t>2361642</t>
        </is>
      </c>
      <c r="F92" s="33" t="inlineStr">
        <is>
          <t>66524404</t>
        </is>
      </c>
      <c r="G92" s="51" t="n">
        <v>41451</v>
      </c>
      <c r="H92" s="33" t="inlineStr">
        <is>
          <t>USA Swimming Phillips 66 National Championships</t>
        </is>
      </c>
      <c r="I92" s="33" t="inlineStr">
        <is>
          <t>22341</t>
        </is>
      </c>
      <c r="J92" s="33" t="inlineStr"/>
      <c r="K92" s="33" t="inlineStr">
        <is>
          <t>PRE</t>
        </is>
      </c>
      <c r="L92" s="35">
        <f>IF(K92="FIN",3,IF(OR(K92="SEM",K92="SEMI"),2,IF(OR(K92="PRE",K92="HEAT"),1,IF(V92="YES",4,2))))</f>
        <v/>
      </c>
      <c r="M92" s="33" t="inlineStr">
        <is>
          <t>LCM</t>
        </is>
      </c>
      <c r="N92" s="33" t="n">
        <v>200</v>
      </c>
      <c r="O92" s="33" t="inlineStr">
        <is>
          <t>Free</t>
        </is>
      </c>
      <c r="P92" s="33" t="inlineStr">
        <is>
          <t>200 Free</t>
        </is>
      </c>
      <c r="Q92" s="33" t="inlineStr">
        <is>
          <t>LCM_200_FREE</t>
        </is>
      </c>
      <c r="R92" s="36" t="n">
        <v>110.69</v>
      </c>
      <c r="S92" s="35">
        <f>IF(R92="","",IF(R92&gt;=60,INT(R92/60)&amp;":"&amp;TEXT(MOD(R92,60),"00.00"),TEXT(R92,"0.00")))</f>
        <v/>
      </c>
      <c r="T92" s="52">
        <f>IFERROR((G92-INDEX('01_Swimmers'!$E$5:$E$22,MATCH(B92,'01_Swimmers'!$A$5:$A$22,0)))/'00_Control'!$B$10,"")</f>
        <v/>
      </c>
      <c r="U92" s="35">
        <f>IF(T92="","",INT(T92))</f>
        <v/>
      </c>
      <c r="V92" s="33" t="inlineStr">
        <is>
          <t>NO</t>
        </is>
      </c>
      <c r="W92" s="33" t="inlineStr">
        <is>
          <t>YES</t>
        </is>
      </c>
      <c r="X92" s="33" t="inlineStr">
        <is>
          <t>NO</t>
        </is>
      </c>
      <c r="Y92" s="33" t="n">
        <v>1</v>
      </c>
      <c r="Z92" s="33" t="n">
        <v>3</v>
      </c>
      <c r="AA92" s="33" t="inlineStr">
        <is>
          <t>18</t>
        </is>
      </c>
      <c r="AB92" s="33" t="inlineStr">
        <is>
          <t>https://www.swimcloud.com/results/22341/event/10/?id=66524404#time66524404</t>
        </is>
      </c>
      <c r="AC92" s="33" t="inlineStr">
        <is>
          <t>SwimCloud API v6 2026-10-08</t>
        </is>
      </c>
      <c r="AD92" s="33" t="inlineStr">
        <is>
          <t>Caeleb Dressel|2013-06-26|LCM|200|Free|110.69|USA Swimming Phillips 66 National Championships|PRE|False</t>
        </is>
      </c>
      <c r="AE92" s="53">
        <f>G92+L92/1000+ROW()/1000000000</f>
        <v/>
      </c>
      <c r="AF92" s="35">
        <f>IF(C92&lt;&gt;"Grayson Coulter","",COUNTIFS($C$5:$C$2991,"Grayson Coulter",$Q$5:$Q$2991,Q92,$AE$5:$AE$2991,"&lt;="&amp;AE92,$R$5:$R$2991,"&lt;"&amp;R92))</f>
        <v/>
      </c>
      <c r="AG92" s="35">
        <f>IF(OR(C92&lt;&gt;"Grayson Coulter",G92&lt;'00_Control'!$B$7),"",--(AF92&lt;5))</f>
        <v/>
      </c>
      <c r="AH92" s="35">
        <f>IF(OR(C92&lt;&gt;"Grayson Coulter",G92&lt;'00_Control'!$B$7),"",--(AF92&lt;10))</f>
        <v/>
      </c>
      <c r="AI92" s="35">
        <f>IF(AND(C92="Grayson Coulter",G92&gt;='00_Control'!$B$7),"YES","NO")</f>
        <v/>
      </c>
      <c r="AJ92" s="33" t="inlineStr">
        <is>
          <t>OK</t>
        </is>
      </c>
    </row>
    <row r="93">
      <c r="A93" s="33" t="inlineStr">
        <is>
          <t>SM000089</t>
        </is>
      </c>
      <c r="B93" s="33" t="inlineStr">
        <is>
          <t>SW010</t>
        </is>
      </c>
      <c r="C93" s="33" t="inlineStr">
        <is>
          <t>Caeleb Dressel</t>
        </is>
      </c>
      <c r="D93" s="33" t="inlineStr">
        <is>
          <t>SwimCloud</t>
        </is>
      </c>
      <c r="E93" s="33" t="inlineStr">
        <is>
          <t>2361642</t>
        </is>
      </c>
      <c r="F93" s="33" t="inlineStr">
        <is>
          <t>66524406</t>
        </is>
      </c>
      <c r="G93" s="51" t="n">
        <v>41451</v>
      </c>
      <c r="H93" s="33" t="inlineStr">
        <is>
          <t>USA Swimming Phillips 66 National Championships</t>
        </is>
      </c>
      <c r="I93" s="33" t="inlineStr">
        <is>
          <t>22341</t>
        </is>
      </c>
      <c r="J93" s="33" t="inlineStr"/>
      <c r="K93" s="33" t="inlineStr">
        <is>
          <t>SOP</t>
        </is>
      </c>
      <c r="L93" s="35">
        <f>IF(K93="FIN",3,IF(OR(K93="SEM",K93="SEMI"),2,IF(OR(K93="PRE",K93="HEAT"),1,IF(V93="YES",4,2))))</f>
        <v/>
      </c>
      <c r="M93" s="33" t="inlineStr">
        <is>
          <t>LCM</t>
        </is>
      </c>
      <c r="N93" s="33" t="n">
        <v>200</v>
      </c>
      <c r="O93" s="33" t="inlineStr">
        <is>
          <t>Free</t>
        </is>
      </c>
      <c r="P93" s="33" t="inlineStr">
        <is>
          <t>200 Free</t>
        </is>
      </c>
      <c r="Q93" s="33" t="inlineStr">
        <is>
          <t>LCM_200_FREE</t>
        </is>
      </c>
      <c r="R93" s="36" t="n">
        <v>110.47</v>
      </c>
      <c r="S93" s="35">
        <f>IF(R93="","",IF(R93&gt;=60,INT(R93/60)&amp;":"&amp;TEXT(MOD(R93,60),"00.00"),TEXT(R93,"0.00")))</f>
        <v/>
      </c>
      <c r="T93" s="52">
        <f>IFERROR((G93-INDEX('01_Swimmers'!$E$5:$E$22,MATCH(B93,'01_Swimmers'!$A$5:$A$22,0)))/'00_Control'!$B$10,"")</f>
        <v/>
      </c>
      <c r="U93" s="35">
        <f>IF(T93="","",INT(T93))</f>
        <v/>
      </c>
      <c r="V93" s="33" t="inlineStr">
        <is>
          <t>NO</t>
        </is>
      </c>
      <c r="W93" s="33" t="inlineStr">
        <is>
          <t>YES</t>
        </is>
      </c>
      <c r="X93" s="33" t="inlineStr">
        <is>
          <t>NO</t>
        </is>
      </c>
      <c r="Y93" s="33" t="n">
        <v>1</v>
      </c>
      <c r="Z93" s="33" t="n">
        <v>4</v>
      </c>
      <c r="AA93" s="33" t="inlineStr">
        <is>
          <t>1</t>
        </is>
      </c>
      <c r="AB93" s="33" t="inlineStr">
        <is>
          <t>https://www.swimcloud.com/results/22341/event/10/?id=66524406#time66524406</t>
        </is>
      </c>
      <c r="AC93" s="33" t="inlineStr">
        <is>
          <t>SwimCloud API v6 2026-10-08</t>
        </is>
      </c>
      <c r="AD93" s="33" t="inlineStr">
        <is>
          <t>Caeleb Dressel|2013-06-26|LCM|200|Free|110.47|USA Swimming Phillips 66 National Championships|SOP|False</t>
        </is>
      </c>
      <c r="AE93" s="53">
        <f>G93+L93/1000+ROW()/1000000000</f>
        <v/>
      </c>
      <c r="AF93" s="35">
        <f>IF(C93&lt;&gt;"Grayson Coulter","",COUNTIFS($C$5:$C$2991,"Grayson Coulter",$Q$5:$Q$2991,Q93,$AE$5:$AE$2991,"&lt;="&amp;AE93,$R$5:$R$2991,"&lt;"&amp;R93))</f>
        <v/>
      </c>
      <c r="AG93" s="35">
        <f>IF(OR(C93&lt;&gt;"Grayson Coulter",G93&lt;'00_Control'!$B$7),"",--(AF93&lt;5))</f>
        <v/>
      </c>
      <c r="AH93" s="35">
        <f>IF(OR(C93&lt;&gt;"Grayson Coulter",G93&lt;'00_Control'!$B$7),"",--(AF93&lt;10))</f>
        <v/>
      </c>
      <c r="AI93" s="35">
        <f>IF(AND(C93="Grayson Coulter",G93&gt;='00_Control'!$B$7),"YES","NO")</f>
        <v/>
      </c>
      <c r="AJ93" s="33" t="inlineStr">
        <is>
          <t>OK</t>
        </is>
      </c>
    </row>
    <row r="94">
      <c r="A94" s="33" t="inlineStr">
        <is>
          <t>SM000090</t>
        </is>
      </c>
      <c r="B94" s="33" t="inlineStr">
        <is>
          <t>SW010</t>
        </is>
      </c>
      <c r="C94" s="33" t="inlineStr">
        <is>
          <t>Caeleb Dressel</t>
        </is>
      </c>
      <c r="D94" s="33" t="inlineStr">
        <is>
          <t>SwimCloud</t>
        </is>
      </c>
      <c r="E94" s="33" t="inlineStr">
        <is>
          <t>2361642</t>
        </is>
      </c>
      <c r="F94" s="33" t="inlineStr">
        <is>
          <t>66524405</t>
        </is>
      </c>
      <c r="G94" s="51" t="n">
        <v>41451</v>
      </c>
      <c r="H94" s="33" t="inlineStr">
        <is>
          <t>USA Swimming Phillips 66 National Championships</t>
        </is>
      </c>
      <c r="I94" s="33" t="inlineStr">
        <is>
          <t>22341</t>
        </is>
      </c>
      <c r="J94" s="33" t="inlineStr"/>
      <c r="K94" s="33" t="inlineStr">
        <is>
          <t>FIN</t>
        </is>
      </c>
      <c r="L94" s="35">
        <f>IF(K94="FIN",3,IF(OR(K94="SEM",K94="SEMI"),2,IF(OR(K94="PRE",K94="HEAT"),1,IF(V94="YES",4,2))))</f>
        <v/>
      </c>
      <c r="M94" s="33" t="inlineStr">
        <is>
          <t>LCM</t>
        </is>
      </c>
      <c r="N94" s="33" t="n">
        <v>200</v>
      </c>
      <c r="O94" s="33" t="inlineStr">
        <is>
          <t>Free</t>
        </is>
      </c>
      <c r="P94" s="33" t="inlineStr">
        <is>
          <t>200 Free</t>
        </is>
      </c>
      <c r="Q94" s="33" t="inlineStr">
        <is>
          <t>LCM_200_FREE</t>
        </is>
      </c>
      <c r="R94" s="36" t="n">
        <v>109.83</v>
      </c>
      <c r="S94" s="35">
        <f>IF(R94="","",IF(R94&gt;=60,INT(R94/60)&amp;":"&amp;TEXT(MOD(R94,60),"00.00"),TEXT(R94,"0.00")))</f>
        <v/>
      </c>
      <c r="T94" s="52">
        <f>IFERROR((G94-INDEX('01_Swimmers'!$E$5:$E$22,MATCH(B94,'01_Swimmers'!$A$5:$A$22,0)))/'00_Control'!$B$10,"")</f>
        <v/>
      </c>
      <c r="U94" s="35">
        <f>IF(T94="","",INT(T94))</f>
        <v/>
      </c>
      <c r="V94" s="33" t="inlineStr">
        <is>
          <t>NO</t>
        </is>
      </c>
      <c r="W94" s="33" t="inlineStr">
        <is>
          <t>YES</t>
        </is>
      </c>
      <c r="X94" s="33" t="inlineStr">
        <is>
          <t>NO</t>
        </is>
      </c>
      <c r="Y94" s="33" t="n">
        <v>6</v>
      </c>
      <c r="Z94" s="33" t="n">
        <v>4</v>
      </c>
      <c r="AA94" s="33" t="inlineStr">
        <is>
          <t>17</t>
        </is>
      </c>
      <c r="AB94" s="33" t="inlineStr">
        <is>
          <t>https://www.swimcloud.com/results/22341/event/10/?id=66524405#time66524405</t>
        </is>
      </c>
      <c r="AC94" s="33" t="inlineStr">
        <is>
          <t>SwimCloud API v6 2026-10-08</t>
        </is>
      </c>
      <c r="AD94" s="33" t="inlineStr">
        <is>
          <t>Caeleb Dressel|2013-06-26|LCM|200|Free|109.83|USA Swimming Phillips 66 National Championships|FIN|False</t>
        </is>
      </c>
      <c r="AE94" s="53">
        <f>G94+L94/1000+ROW()/1000000000</f>
        <v/>
      </c>
      <c r="AF94" s="35">
        <f>IF(C94&lt;&gt;"Grayson Coulter","",COUNTIFS($C$5:$C$2991,"Grayson Coulter",$Q$5:$Q$2991,Q94,$AE$5:$AE$2991,"&lt;="&amp;AE94,$R$5:$R$2991,"&lt;"&amp;R94))</f>
        <v/>
      </c>
      <c r="AG94" s="35">
        <f>IF(OR(C94&lt;&gt;"Grayson Coulter",G94&lt;'00_Control'!$B$7),"",--(AF94&lt;5))</f>
        <v/>
      </c>
      <c r="AH94" s="35">
        <f>IF(OR(C94&lt;&gt;"Grayson Coulter",G94&lt;'00_Control'!$B$7),"",--(AF94&lt;10))</f>
        <v/>
      </c>
      <c r="AI94" s="35">
        <f>IF(AND(C94="Grayson Coulter",G94&gt;='00_Control'!$B$7),"YES","NO")</f>
        <v/>
      </c>
      <c r="AJ94" s="33" t="inlineStr">
        <is>
          <t>OK</t>
        </is>
      </c>
    </row>
    <row r="95">
      <c r="A95" s="33" t="inlineStr">
        <is>
          <t>SM000091</t>
        </is>
      </c>
      <c r="B95" s="33" t="inlineStr">
        <is>
          <t>SW010</t>
        </is>
      </c>
      <c r="C95" s="33" t="inlineStr">
        <is>
          <t>Caeleb Dressel</t>
        </is>
      </c>
      <c r="D95" s="33" t="inlineStr">
        <is>
          <t>SwimCloud</t>
        </is>
      </c>
      <c r="E95" s="33" t="inlineStr">
        <is>
          <t>2361642</t>
        </is>
      </c>
      <c r="F95" s="33" t="inlineStr">
        <is>
          <t>3814116</t>
        </is>
      </c>
      <c r="G95" s="51" t="n">
        <v>41474</v>
      </c>
      <c r="H95" s="33" t="inlineStr">
        <is>
          <t>Speedo Champions Series LCM - Orlando</t>
        </is>
      </c>
      <c r="I95" s="33" t="inlineStr">
        <is>
          <t>22008</t>
        </is>
      </c>
      <c r="J95" s="33" t="inlineStr"/>
      <c r="K95" s="33" t="inlineStr">
        <is>
          <t>PRE</t>
        </is>
      </c>
      <c r="L95" s="35">
        <f>IF(K95="FIN",3,IF(OR(K95="SEM",K95="SEMI"),2,IF(OR(K95="PRE",K95="HEAT"),1,IF(V95="YES",4,2))))</f>
        <v/>
      </c>
      <c r="M95" s="33" t="inlineStr">
        <is>
          <t>LCM</t>
        </is>
      </c>
      <c r="N95" s="33" t="n">
        <v>200</v>
      </c>
      <c r="O95" s="33" t="inlineStr">
        <is>
          <t>Free</t>
        </is>
      </c>
      <c r="P95" s="33" t="inlineStr">
        <is>
          <t>200 Free</t>
        </is>
      </c>
      <c r="Q95" s="33" t="inlineStr">
        <is>
          <t>LCM_200_FREE</t>
        </is>
      </c>
      <c r="R95" s="36" t="n">
        <v>115.4</v>
      </c>
      <c r="S95" s="35">
        <f>IF(R95="","",IF(R95&gt;=60,INT(R95/60)&amp;":"&amp;TEXT(MOD(R95,60),"00.00"),TEXT(R95,"0.00")))</f>
        <v/>
      </c>
      <c r="T95" s="52">
        <f>IFERROR((G95-INDEX('01_Swimmers'!$E$5:$E$22,MATCH(B95,'01_Swimmers'!$A$5:$A$22,0)))/'00_Control'!$B$10,"")</f>
        <v/>
      </c>
      <c r="U95" s="35">
        <f>IF(T95="","",INT(T95))</f>
        <v/>
      </c>
      <c r="V95" s="33" t="inlineStr">
        <is>
          <t>NO</t>
        </is>
      </c>
      <c r="W95" s="33" t="inlineStr">
        <is>
          <t>YES</t>
        </is>
      </c>
      <c r="X95" s="33" t="inlineStr">
        <is>
          <t>NO</t>
        </is>
      </c>
      <c r="Y95" s="33" t="n">
        <v>12</v>
      </c>
      <c r="Z95" s="33" t="n">
        <v>4</v>
      </c>
      <c r="AA95" s="33" t="inlineStr">
        <is>
          <t>6</t>
        </is>
      </c>
      <c r="AB95" s="33" t="inlineStr">
        <is>
          <t>https://www.swimcloud.com/results/22008/event/8/?id=3814116#time3814116</t>
        </is>
      </c>
      <c r="AC95" s="33" t="inlineStr">
        <is>
          <t>SwimCloud API v6 2026-10-08</t>
        </is>
      </c>
      <c r="AD95" s="33" t="inlineStr">
        <is>
          <t>Caeleb Dressel|2013-07-19|LCM|200|Free|115.4|Speedo Champions Series LCM - Orlando|PRE|False</t>
        </is>
      </c>
      <c r="AE95" s="53">
        <f>G95+L95/1000+ROW()/1000000000</f>
        <v/>
      </c>
      <c r="AF95" s="35">
        <f>IF(C95&lt;&gt;"Grayson Coulter","",COUNTIFS($C$5:$C$2991,"Grayson Coulter",$Q$5:$Q$2991,Q95,$AE$5:$AE$2991,"&lt;="&amp;AE95,$R$5:$R$2991,"&lt;"&amp;R95))</f>
        <v/>
      </c>
      <c r="AG95" s="35">
        <f>IF(OR(C95&lt;&gt;"Grayson Coulter",G95&lt;'00_Control'!$B$7),"",--(AF95&lt;5))</f>
        <v/>
      </c>
      <c r="AH95" s="35">
        <f>IF(OR(C95&lt;&gt;"Grayson Coulter",G95&lt;'00_Control'!$B$7),"",--(AF95&lt;10))</f>
        <v/>
      </c>
      <c r="AI95" s="35">
        <f>IF(AND(C95="Grayson Coulter",G95&gt;='00_Control'!$B$7),"YES","NO")</f>
        <v/>
      </c>
      <c r="AJ95" s="33" t="inlineStr">
        <is>
          <t>OK</t>
        </is>
      </c>
    </row>
    <row r="96">
      <c r="A96" s="33" t="inlineStr">
        <is>
          <t>SM000092</t>
        </is>
      </c>
      <c r="B96" s="33" t="inlineStr">
        <is>
          <t>SW010</t>
        </is>
      </c>
      <c r="C96" s="33" t="inlineStr">
        <is>
          <t>Caeleb Dressel</t>
        </is>
      </c>
      <c r="D96" s="33" t="inlineStr">
        <is>
          <t>SwimCloud</t>
        </is>
      </c>
      <c r="E96" s="33" t="inlineStr">
        <is>
          <t>2361642</t>
        </is>
      </c>
      <c r="F96" s="33" t="inlineStr">
        <is>
          <t>3814205</t>
        </is>
      </c>
      <c r="G96" s="51" t="n">
        <v>41474</v>
      </c>
      <c r="H96" s="33" t="inlineStr">
        <is>
          <t>Speedo Champions Series LCM - Orlando</t>
        </is>
      </c>
      <c r="I96" s="33" t="inlineStr">
        <is>
          <t>22008</t>
        </is>
      </c>
      <c r="J96" s="33" t="inlineStr"/>
      <c r="K96" s="33" t="inlineStr">
        <is>
          <t>FIN</t>
        </is>
      </c>
      <c r="L96" s="35">
        <f>IF(K96="FIN",3,IF(OR(K96="SEM",K96="SEMI"),2,IF(OR(K96="PRE",K96="HEAT"),1,IF(V96="YES",4,2))))</f>
        <v/>
      </c>
      <c r="M96" s="33" t="inlineStr">
        <is>
          <t>LCM</t>
        </is>
      </c>
      <c r="N96" s="33" t="n">
        <v>200</v>
      </c>
      <c r="O96" s="33" t="inlineStr">
        <is>
          <t>Free</t>
        </is>
      </c>
      <c r="P96" s="33" t="inlineStr">
        <is>
          <t>200 Free</t>
        </is>
      </c>
      <c r="Q96" s="33" t="inlineStr">
        <is>
          <t>LCM_200_FREE</t>
        </is>
      </c>
      <c r="R96" s="36" t="n">
        <v>114.59</v>
      </c>
      <c r="S96" s="35">
        <f>IF(R96="","",IF(R96&gt;=60,INT(R96/60)&amp;":"&amp;TEXT(MOD(R96,60),"00.00"),TEXT(R96,"0.00")))</f>
        <v/>
      </c>
      <c r="T96" s="52">
        <f>IFERROR((G96-INDEX('01_Swimmers'!$E$5:$E$22,MATCH(B96,'01_Swimmers'!$A$5:$A$22,0)))/'00_Control'!$B$10,"")</f>
        <v/>
      </c>
      <c r="U96" s="35">
        <f>IF(T96="","",INT(T96))</f>
        <v/>
      </c>
      <c r="V96" s="33" t="inlineStr">
        <is>
          <t>NO</t>
        </is>
      </c>
      <c r="W96" s="33" t="inlineStr">
        <is>
          <t>YES</t>
        </is>
      </c>
      <c r="X96" s="33" t="inlineStr">
        <is>
          <t>NO</t>
        </is>
      </c>
      <c r="Y96" s="33" t="n">
        <v>1</v>
      </c>
      <c r="Z96" s="33" t="n">
        <v>2</v>
      </c>
      <c r="AA96" s="33" t="inlineStr">
        <is>
          <t>4</t>
        </is>
      </c>
      <c r="AB96" s="33" t="inlineStr">
        <is>
          <t>https://www.swimcloud.com/results/22008/event/8/?id=3814205#time3814205</t>
        </is>
      </c>
      <c r="AC96" s="33" t="inlineStr">
        <is>
          <t>SwimCloud API v6 2026-10-08</t>
        </is>
      </c>
      <c r="AD96" s="33" t="inlineStr">
        <is>
          <t>Caeleb Dressel|2013-07-19|LCM|200|Free|114.59|Speedo Champions Series LCM - Orlando|FIN|False</t>
        </is>
      </c>
      <c r="AE96" s="53">
        <f>G96+L96/1000+ROW()/1000000000</f>
        <v/>
      </c>
      <c r="AF96" s="35">
        <f>IF(C96&lt;&gt;"Grayson Coulter","",COUNTIFS($C$5:$C$2991,"Grayson Coulter",$Q$5:$Q$2991,Q96,$AE$5:$AE$2991,"&lt;="&amp;AE96,$R$5:$R$2991,"&lt;"&amp;R96))</f>
        <v/>
      </c>
      <c r="AG96" s="35">
        <f>IF(OR(C96&lt;&gt;"Grayson Coulter",G96&lt;'00_Control'!$B$7),"",--(AF96&lt;5))</f>
        <v/>
      </c>
      <c r="AH96" s="35">
        <f>IF(OR(C96&lt;&gt;"Grayson Coulter",G96&lt;'00_Control'!$B$7),"",--(AF96&lt;10))</f>
        <v/>
      </c>
      <c r="AI96" s="35">
        <f>IF(AND(C96="Grayson Coulter",G96&gt;='00_Control'!$B$7),"YES","NO")</f>
        <v/>
      </c>
      <c r="AJ96" s="33" t="inlineStr">
        <is>
          <t>OK</t>
        </is>
      </c>
    </row>
    <row r="97">
      <c r="A97" s="33" t="inlineStr">
        <is>
          <t>SM000093</t>
        </is>
      </c>
      <c r="B97" s="33" t="inlineStr">
        <is>
          <t>SW010</t>
        </is>
      </c>
      <c r="C97" s="33" t="inlineStr">
        <is>
          <t>Caeleb Dressel</t>
        </is>
      </c>
      <c r="D97" s="33" t="inlineStr">
        <is>
          <t>SwimCloud</t>
        </is>
      </c>
      <c r="E97" s="33" t="inlineStr">
        <is>
          <t>2361642</t>
        </is>
      </c>
      <c r="F97" s="33" t="inlineStr">
        <is>
          <t>4038060</t>
        </is>
      </c>
      <c r="G97" s="51" t="n">
        <v>41492</v>
      </c>
      <c r="H97" s="33" t="inlineStr">
        <is>
          <t>USA Swimming Junior National Championships</t>
        </is>
      </c>
      <c r="I97" s="33" t="inlineStr">
        <is>
          <t>22337</t>
        </is>
      </c>
      <c r="J97" s="33" t="inlineStr"/>
      <c r="K97" s="33" t="inlineStr">
        <is>
          <t>PRE</t>
        </is>
      </c>
      <c r="L97" s="35">
        <f>IF(K97="FIN",3,IF(OR(K97="SEM",K97="SEMI"),2,IF(OR(K97="PRE",K97="HEAT"),1,IF(V97="YES",4,2))))</f>
        <v/>
      </c>
      <c r="M97" s="33" t="inlineStr">
        <is>
          <t>LCM</t>
        </is>
      </c>
      <c r="N97" s="33" t="n">
        <v>100</v>
      </c>
      <c r="O97" s="33" t="inlineStr">
        <is>
          <t>Free</t>
        </is>
      </c>
      <c r="P97" s="33" t="inlineStr">
        <is>
          <t>100 Free</t>
        </is>
      </c>
      <c r="Q97" s="33" t="inlineStr">
        <is>
          <t>LCM_100_FREE</t>
        </is>
      </c>
      <c r="R97" s="36" t="n">
        <v>49.28</v>
      </c>
      <c r="S97" s="35">
        <f>IF(R97="","",IF(R97&gt;=60,INT(R97/60)&amp;":"&amp;TEXT(MOD(R97,60),"00.00"),TEXT(R97,"0.00")))</f>
        <v/>
      </c>
      <c r="T97" s="52">
        <f>IFERROR((G97-INDEX('01_Swimmers'!$E$5:$E$22,MATCH(B97,'01_Swimmers'!$A$5:$A$22,0)))/'00_Control'!$B$10,"")</f>
        <v/>
      </c>
      <c r="U97" s="35">
        <f>IF(T97="","",INT(T97))</f>
        <v/>
      </c>
      <c r="V97" s="33" t="inlineStr">
        <is>
          <t>NO</t>
        </is>
      </c>
      <c r="W97" s="33" t="inlineStr">
        <is>
          <t>YES</t>
        </is>
      </c>
      <c r="X97" s="33" t="inlineStr">
        <is>
          <t>NO</t>
        </is>
      </c>
      <c r="Y97" s="33" t="n">
        <v>19</v>
      </c>
      <c r="Z97" s="33" t="n">
        <v>4</v>
      </c>
      <c r="AA97" s="33" t="inlineStr">
        <is>
          <t>1</t>
        </is>
      </c>
      <c r="AB97" s="33" t="inlineStr">
        <is>
          <t>https://www.swimcloud.com/results/22337/event/10/?id=4038060#time4038060</t>
        </is>
      </c>
      <c r="AC97" s="33" t="inlineStr">
        <is>
          <t>SwimCloud API v6 2026-10-08</t>
        </is>
      </c>
      <c r="AD97" s="33" t="inlineStr">
        <is>
          <t>Caeleb Dressel|2013-08-06|LCM|100|Free|49.28|USA Swimming Junior National Championships|PRE|False</t>
        </is>
      </c>
      <c r="AE97" s="53">
        <f>G97+L97/1000+ROW()/1000000000</f>
        <v/>
      </c>
      <c r="AF97" s="35">
        <f>IF(C97&lt;&gt;"Grayson Coulter","",COUNTIFS($C$5:$C$2991,"Grayson Coulter",$Q$5:$Q$2991,Q97,$AE$5:$AE$2991,"&lt;="&amp;AE97,$R$5:$R$2991,"&lt;"&amp;R97))</f>
        <v/>
      </c>
      <c r="AG97" s="35">
        <f>IF(OR(C97&lt;&gt;"Grayson Coulter",G97&lt;'00_Control'!$B$7),"",--(AF97&lt;5))</f>
        <v/>
      </c>
      <c r="AH97" s="35">
        <f>IF(OR(C97&lt;&gt;"Grayson Coulter",G97&lt;'00_Control'!$B$7),"",--(AF97&lt;10))</f>
        <v/>
      </c>
      <c r="AI97" s="35">
        <f>IF(AND(C97="Grayson Coulter",G97&gt;='00_Control'!$B$7),"YES","NO")</f>
        <v/>
      </c>
      <c r="AJ97" s="33" t="inlineStr">
        <is>
          <t>OK</t>
        </is>
      </c>
    </row>
    <row r="98">
      <c r="A98" s="33" t="inlineStr">
        <is>
          <t>SM000094</t>
        </is>
      </c>
      <c r="B98" s="33" t="inlineStr">
        <is>
          <t>SW010</t>
        </is>
      </c>
      <c r="C98" s="33" t="inlineStr">
        <is>
          <t>Caeleb Dressel</t>
        </is>
      </c>
      <c r="D98" s="33" t="inlineStr">
        <is>
          <t>SwimCloud</t>
        </is>
      </c>
      <c r="E98" s="33" t="inlineStr">
        <is>
          <t>2361642</t>
        </is>
      </c>
      <c r="F98" s="33" t="inlineStr">
        <is>
          <t>4038172</t>
        </is>
      </c>
      <c r="G98" s="51" t="n">
        <v>41492</v>
      </c>
      <c r="H98" s="33" t="inlineStr">
        <is>
          <t>USA Swimming Junior National Championships</t>
        </is>
      </c>
      <c r="I98" s="33" t="inlineStr">
        <is>
          <t>22337</t>
        </is>
      </c>
      <c r="J98" s="33" t="inlineStr"/>
      <c r="K98" s="33" t="inlineStr">
        <is>
          <t>FIN</t>
        </is>
      </c>
      <c r="L98" s="35">
        <f>IF(K98="FIN",3,IF(OR(K98="SEM",K98="SEMI"),2,IF(OR(K98="PRE",K98="HEAT"),1,IF(V98="YES",4,2))))</f>
        <v/>
      </c>
      <c r="M98" s="33" t="inlineStr">
        <is>
          <t>LCM</t>
        </is>
      </c>
      <c r="N98" s="33" t="n">
        <v>100</v>
      </c>
      <c r="O98" s="33" t="inlineStr">
        <is>
          <t>Free</t>
        </is>
      </c>
      <c r="P98" s="33" t="inlineStr">
        <is>
          <t>100 Free</t>
        </is>
      </c>
      <c r="Q98" s="33" t="inlineStr">
        <is>
          <t>LCM_100_FREE</t>
        </is>
      </c>
      <c r="R98" s="36" t="n">
        <v>49.61</v>
      </c>
      <c r="S98" s="35">
        <f>IF(R98="","",IF(R98&gt;=60,INT(R98/60)&amp;":"&amp;TEXT(MOD(R98,60),"00.00"),TEXT(R98,"0.00")))</f>
        <v/>
      </c>
      <c r="T98" s="52">
        <f>IFERROR((G98-INDEX('01_Swimmers'!$E$5:$E$22,MATCH(B98,'01_Swimmers'!$A$5:$A$22,0)))/'00_Control'!$B$10,"")</f>
        <v/>
      </c>
      <c r="U98" s="35">
        <f>IF(T98="","",INT(T98))</f>
        <v/>
      </c>
      <c r="V98" s="33" t="inlineStr">
        <is>
          <t>NO</t>
        </is>
      </c>
      <c r="W98" s="33" t="inlineStr">
        <is>
          <t>YES</t>
        </is>
      </c>
      <c r="X98" s="33" t="inlineStr">
        <is>
          <t>NO</t>
        </is>
      </c>
      <c r="Y98" s="33" t="n">
        <v>3</v>
      </c>
      <c r="Z98" s="33" t="n">
        <v>4</v>
      </c>
      <c r="AA98" s="33" t="inlineStr">
        <is>
          <t>1</t>
        </is>
      </c>
      <c r="AB98" s="33" t="inlineStr">
        <is>
          <t>https://www.swimcloud.com/results/22337/event/10/?id=4038172#time4038172</t>
        </is>
      </c>
      <c r="AC98" s="33" t="inlineStr">
        <is>
          <t>SwimCloud API v6 2026-10-08</t>
        </is>
      </c>
      <c r="AD98" s="33" t="inlineStr">
        <is>
          <t>Caeleb Dressel|2013-08-06|LCM|100|Free|49.61|USA Swimming Junior National Championships|FIN|False</t>
        </is>
      </c>
      <c r="AE98" s="53">
        <f>G98+L98/1000+ROW()/1000000000</f>
        <v/>
      </c>
      <c r="AF98" s="35">
        <f>IF(C98&lt;&gt;"Grayson Coulter","",COUNTIFS($C$5:$C$2991,"Grayson Coulter",$Q$5:$Q$2991,Q98,$AE$5:$AE$2991,"&lt;="&amp;AE98,$R$5:$R$2991,"&lt;"&amp;R98))</f>
        <v/>
      </c>
      <c r="AG98" s="35">
        <f>IF(OR(C98&lt;&gt;"Grayson Coulter",G98&lt;'00_Control'!$B$7),"",--(AF98&lt;5))</f>
        <v/>
      </c>
      <c r="AH98" s="35">
        <f>IF(OR(C98&lt;&gt;"Grayson Coulter",G98&lt;'00_Control'!$B$7),"",--(AF98&lt;10))</f>
        <v/>
      </c>
      <c r="AI98" s="35">
        <f>IF(AND(C98="Grayson Coulter",G98&gt;='00_Control'!$B$7),"YES","NO")</f>
        <v/>
      </c>
      <c r="AJ98" s="33" t="inlineStr">
        <is>
          <t>OK</t>
        </is>
      </c>
    </row>
    <row r="99">
      <c r="A99" s="33" t="inlineStr">
        <is>
          <t>SM000095</t>
        </is>
      </c>
      <c r="B99" s="33" t="inlineStr">
        <is>
          <t>SW010</t>
        </is>
      </c>
      <c r="C99" s="33" t="inlineStr">
        <is>
          <t>Caeleb Dressel</t>
        </is>
      </c>
      <c r="D99" s="33" t="inlineStr">
        <is>
          <t>SwimCloud</t>
        </is>
      </c>
      <c r="E99" s="33" t="inlineStr">
        <is>
          <t>2361642</t>
        </is>
      </c>
      <c r="F99" s="33" t="inlineStr">
        <is>
          <t>4040909</t>
        </is>
      </c>
      <c r="G99" s="51" t="n">
        <v>41493</v>
      </c>
      <c r="H99" s="33" t="inlineStr">
        <is>
          <t>USA Swimming Junior National Championships</t>
        </is>
      </c>
      <c r="I99" s="33" t="inlineStr">
        <is>
          <t>22337</t>
        </is>
      </c>
      <c r="J99" s="33" t="inlineStr"/>
      <c r="K99" s="33" t="inlineStr">
        <is>
          <t>PRE</t>
        </is>
      </c>
      <c r="L99" s="35">
        <f>IF(K99="FIN",3,IF(OR(K99="SEM",K99="SEMI"),2,IF(OR(K99="PRE",K99="HEAT"),1,IF(V99="YES",4,2))))</f>
        <v/>
      </c>
      <c r="M99" s="33" t="inlineStr">
        <is>
          <t>LCM</t>
        </is>
      </c>
      <c r="N99" s="33" t="n">
        <v>100</v>
      </c>
      <c r="O99" s="33" t="inlineStr">
        <is>
          <t>Fly</t>
        </is>
      </c>
      <c r="P99" s="33" t="inlineStr">
        <is>
          <t>100 Fly</t>
        </is>
      </c>
      <c r="Q99" s="33" t="inlineStr">
        <is>
          <t>LCM_100_FLY</t>
        </is>
      </c>
      <c r="R99" s="36" t="n">
        <v>53.7</v>
      </c>
      <c r="S99" s="35">
        <f>IF(R99="","",IF(R99&gt;=60,INT(R99/60)&amp;":"&amp;TEXT(MOD(R99,60),"00.00"),TEXT(R99,"0.00")))</f>
        <v/>
      </c>
      <c r="T99" s="52">
        <f>IFERROR((G99-INDEX('01_Swimmers'!$E$5:$E$22,MATCH(B99,'01_Swimmers'!$A$5:$A$22,0)))/'00_Control'!$B$10,"")</f>
        <v/>
      </c>
      <c r="U99" s="35">
        <f>IF(T99="","",INT(T99))</f>
        <v/>
      </c>
      <c r="V99" s="33" t="inlineStr">
        <is>
          <t>NO</t>
        </is>
      </c>
      <c r="W99" s="33" t="inlineStr">
        <is>
          <t>YES</t>
        </is>
      </c>
      <c r="X99" s="33" t="inlineStr">
        <is>
          <t>NO</t>
        </is>
      </c>
      <c r="Y99" s="33" t="n">
        <v>23</v>
      </c>
      <c r="Z99" s="33" t="n">
        <v>2</v>
      </c>
      <c r="AA99" s="33" t="inlineStr">
        <is>
          <t>4</t>
        </is>
      </c>
      <c r="AB99" s="33" t="inlineStr">
        <is>
          <t>https://www.swimcloud.com/results/22337/event/18/?id=4040909#time4040909</t>
        </is>
      </c>
      <c r="AC99" s="33" t="inlineStr">
        <is>
          <t>SwimCloud API v6 2026-10-08</t>
        </is>
      </c>
      <c r="AD99" s="33" t="inlineStr">
        <is>
          <t>Caeleb Dressel|2013-08-07|LCM|100|Fly|53.7|USA Swimming Junior National Championships|PRE|False</t>
        </is>
      </c>
      <c r="AE99" s="53">
        <f>G99+L99/1000+ROW()/1000000000</f>
        <v/>
      </c>
      <c r="AF99" s="35">
        <f>IF(C99&lt;&gt;"Grayson Coulter","",COUNTIFS($C$5:$C$2991,"Grayson Coulter",$Q$5:$Q$2991,Q99,$AE$5:$AE$2991,"&lt;="&amp;AE99,$R$5:$R$2991,"&lt;"&amp;R99))</f>
        <v/>
      </c>
      <c r="AG99" s="35">
        <f>IF(OR(C99&lt;&gt;"Grayson Coulter",G99&lt;'00_Control'!$B$7),"",--(AF99&lt;5))</f>
        <v/>
      </c>
      <c r="AH99" s="35">
        <f>IF(OR(C99&lt;&gt;"Grayson Coulter",G99&lt;'00_Control'!$B$7),"",--(AF99&lt;10))</f>
        <v/>
      </c>
      <c r="AI99" s="35">
        <f>IF(AND(C99="Grayson Coulter",G99&gt;='00_Control'!$B$7),"YES","NO")</f>
        <v/>
      </c>
      <c r="AJ99" s="33" t="inlineStr">
        <is>
          <t>OK</t>
        </is>
      </c>
    </row>
    <row r="100">
      <c r="A100" s="33" t="inlineStr">
        <is>
          <t>SM000096</t>
        </is>
      </c>
      <c r="B100" s="33" t="inlineStr">
        <is>
          <t>SW010</t>
        </is>
      </c>
      <c r="C100" s="33" t="inlineStr">
        <is>
          <t>Caeleb Dressel</t>
        </is>
      </c>
      <c r="D100" s="33" t="inlineStr">
        <is>
          <t>SwimCloud</t>
        </is>
      </c>
      <c r="E100" s="33" t="inlineStr">
        <is>
          <t>2361642</t>
        </is>
      </c>
      <c r="F100" s="33" t="inlineStr">
        <is>
          <t>4040984</t>
        </is>
      </c>
      <c r="G100" s="51" t="n">
        <v>41493</v>
      </c>
      <c r="H100" s="33" t="inlineStr">
        <is>
          <t>USA Swimming Junior National Championships</t>
        </is>
      </c>
      <c r="I100" s="33" t="inlineStr">
        <is>
          <t>22337</t>
        </is>
      </c>
      <c r="J100" s="33" t="inlineStr"/>
      <c r="K100" s="33" t="inlineStr">
        <is>
          <t>FIN</t>
        </is>
      </c>
      <c r="L100" s="35">
        <f>IF(K100="FIN",3,IF(OR(K100="SEM",K100="SEMI"),2,IF(OR(K100="PRE",K100="HEAT"),1,IF(V100="YES",4,2))))</f>
        <v/>
      </c>
      <c r="M100" s="33" t="inlineStr">
        <is>
          <t>LCM</t>
        </is>
      </c>
      <c r="N100" s="33" t="n">
        <v>100</v>
      </c>
      <c r="O100" s="33" t="inlineStr">
        <is>
          <t>Fly</t>
        </is>
      </c>
      <c r="P100" s="33" t="inlineStr">
        <is>
          <t>100 Fly</t>
        </is>
      </c>
      <c r="Q100" s="33" t="inlineStr">
        <is>
          <t>LCM_100_FLY</t>
        </is>
      </c>
      <c r="R100" s="36" t="n">
        <v>53.31</v>
      </c>
      <c r="S100" s="35">
        <f>IF(R100="","",IF(R100&gt;=60,INT(R100/60)&amp;":"&amp;TEXT(MOD(R100,60),"00.00"),TEXT(R100,"0.00")))</f>
        <v/>
      </c>
      <c r="T100" s="52">
        <f>IFERROR((G100-INDEX('01_Swimmers'!$E$5:$E$22,MATCH(B100,'01_Swimmers'!$A$5:$A$22,0)))/'00_Control'!$B$10,"")</f>
        <v/>
      </c>
      <c r="U100" s="35">
        <f>IF(T100="","",INT(T100))</f>
        <v/>
      </c>
      <c r="V100" s="33" t="inlineStr">
        <is>
          <t>NO</t>
        </is>
      </c>
      <c r="W100" s="33" t="inlineStr">
        <is>
          <t>YES</t>
        </is>
      </c>
      <c r="X100" s="33" t="inlineStr">
        <is>
          <t>NO</t>
        </is>
      </c>
      <c r="Y100" s="33" t="n">
        <v>3</v>
      </c>
      <c r="Z100" s="33" t="n">
        <v>6</v>
      </c>
      <c r="AA100" s="33" t="inlineStr">
        <is>
          <t>2</t>
        </is>
      </c>
      <c r="AB100" s="33" t="inlineStr">
        <is>
          <t>https://www.swimcloud.com/results/22337/event/18/?id=4040984#time4040984</t>
        </is>
      </c>
      <c r="AC100" s="33" t="inlineStr">
        <is>
          <t>SwimCloud API v6 2026-10-08</t>
        </is>
      </c>
      <c r="AD100" s="33" t="inlineStr">
        <is>
          <t>Caeleb Dressel|2013-08-07|LCM|100|Fly|53.31|USA Swimming Junior National Championships|FIN|False</t>
        </is>
      </c>
      <c r="AE100" s="53">
        <f>G100+L100/1000+ROW()/1000000000</f>
        <v/>
      </c>
      <c r="AF100" s="35">
        <f>IF(C100&lt;&gt;"Grayson Coulter","",COUNTIFS($C$5:$C$2991,"Grayson Coulter",$Q$5:$Q$2991,Q100,$AE$5:$AE$2991,"&lt;="&amp;AE100,$R$5:$R$2991,"&lt;"&amp;R100))</f>
        <v/>
      </c>
      <c r="AG100" s="35">
        <f>IF(OR(C100&lt;&gt;"Grayson Coulter",G100&lt;'00_Control'!$B$7),"",--(AF100&lt;5))</f>
        <v/>
      </c>
      <c r="AH100" s="35">
        <f>IF(OR(C100&lt;&gt;"Grayson Coulter",G100&lt;'00_Control'!$B$7),"",--(AF100&lt;10))</f>
        <v/>
      </c>
      <c r="AI100" s="35">
        <f>IF(AND(C100="Grayson Coulter",G100&gt;='00_Control'!$B$7),"YES","NO")</f>
        <v/>
      </c>
      <c r="AJ100" s="33" t="inlineStr">
        <is>
          <t>OK</t>
        </is>
      </c>
    </row>
    <row r="101">
      <c r="A101" s="33" t="inlineStr">
        <is>
          <t>SM000097</t>
        </is>
      </c>
      <c r="B101" s="33" t="inlineStr">
        <is>
          <t>SW010</t>
        </is>
      </c>
      <c r="C101" s="33" t="inlineStr">
        <is>
          <t>Caeleb Dressel</t>
        </is>
      </c>
      <c r="D101" s="33" t="inlineStr">
        <is>
          <t>SwimCloud</t>
        </is>
      </c>
      <c r="E101" s="33" t="inlineStr">
        <is>
          <t>2361642</t>
        </is>
      </c>
      <c r="F101" s="33" t="inlineStr">
        <is>
          <t>4037973</t>
        </is>
      </c>
      <c r="G101" s="51" t="n">
        <v>41494</v>
      </c>
      <c r="H101" s="33" t="inlineStr">
        <is>
          <t>USA Swimming Junior National Championships</t>
        </is>
      </c>
      <c r="I101" s="33" t="inlineStr">
        <is>
          <t>22337</t>
        </is>
      </c>
      <c r="J101" s="33" t="inlineStr"/>
      <c r="K101" s="33" t="inlineStr">
        <is>
          <t>PRE</t>
        </is>
      </c>
      <c r="L101" s="35">
        <f>IF(K101="FIN",3,IF(OR(K101="SEM",K101="SEMI"),2,IF(OR(K101="PRE",K101="HEAT"),1,IF(V101="YES",4,2))))</f>
        <v/>
      </c>
      <c r="M101" s="33" t="inlineStr">
        <is>
          <t>LCM</t>
        </is>
      </c>
      <c r="N101" s="33" t="n">
        <v>200</v>
      </c>
      <c r="O101" s="33" t="inlineStr">
        <is>
          <t>Free</t>
        </is>
      </c>
      <c r="P101" s="33" t="inlineStr">
        <is>
          <t>200 Free</t>
        </is>
      </c>
      <c r="Q101" s="33" t="inlineStr">
        <is>
          <t>LCM_200_FREE</t>
        </is>
      </c>
      <c r="R101" s="36" t="n">
        <v>111.69</v>
      </c>
      <c r="S101" s="35">
        <f>IF(R101="","",IF(R101&gt;=60,INT(R101/60)&amp;":"&amp;TEXT(MOD(R101,60),"00.00"),TEXT(R101,"0.00")))</f>
        <v/>
      </c>
      <c r="T101" s="52">
        <f>IFERROR((G101-INDEX('01_Swimmers'!$E$5:$E$22,MATCH(B101,'01_Swimmers'!$A$5:$A$22,0)))/'00_Control'!$B$10,"")</f>
        <v/>
      </c>
      <c r="U101" s="35">
        <f>IF(T101="","",INT(T101))</f>
        <v/>
      </c>
      <c r="V101" s="33" t="inlineStr">
        <is>
          <t>NO</t>
        </is>
      </c>
      <c r="W101" s="33" t="inlineStr">
        <is>
          <t>YES</t>
        </is>
      </c>
      <c r="X101" s="33" t="inlineStr">
        <is>
          <t>NO</t>
        </is>
      </c>
      <c r="Y101" s="33" t="n">
        <v>26</v>
      </c>
      <c r="Z101" s="33" t="n">
        <v>4</v>
      </c>
      <c r="AA101" s="33" t="inlineStr">
        <is>
          <t>9</t>
        </is>
      </c>
      <c r="AB101" s="33" t="inlineStr">
        <is>
          <t>https://www.swimcloud.com/results/22337/event/21/?id=4037973#time4037973</t>
        </is>
      </c>
      <c r="AC101" s="33" t="inlineStr">
        <is>
          <t>SwimCloud API v6 2026-10-08</t>
        </is>
      </c>
      <c r="AD101" s="33" t="inlineStr">
        <is>
          <t>Caeleb Dressel|2013-08-08|LCM|200|Free|111.69|USA Swimming Junior National Championships|PRE|False</t>
        </is>
      </c>
      <c r="AE101" s="53">
        <f>G101+L101/1000+ROW()/1000000000</f>
        <v/>
      </c>
      <c r="AF101" s="35">
        <f>IF(C101&lt;&gt;"Grayson Coulter","",COUNTIFS($C$5:$C$2991,"Grayson Coulter",$Q$5:$Q$2991,Q101,$AE$5:$AE$2991,"&lt;="&amp;AE101,$R$5:$R$2991,"&lt;"&amp;R101))</f>
        <v/>
      </c>
      <c r="AG101" s="35">
        <f>IF(OR(C101&lt;&gt;"Grayson Coulter",G101&lt;'00_Control'!$B$7),"",--(AF101&lt;5))</f>
        <v/>
      </c>
      <c r="AH101" s="35">
        <f>IF(OR(C101&lt;&gt;"Grayson Coulter",G101&lt;'00_Control'!$B$7),"",--(AF101&lt;10))</f>
        <v/>
      </c>
      <c r="AI101" s="35">
        <f>IF(AND(C101="Grayson Coulter",G101&gt;='00_Control'!$B$7),"YES","NO")</f>
        <v/>
      </c>
      <c r="AJ101" s="33" t="inlineStr">
        <is>
          <t>OK</t>
        </is>
      </c>
    </row>
    <row r="102">
      <c r="A102" s="33" t="inlineStr">
        <is>
          <t>SM000098</t>
        </is>
      </c>
      <c r="B102" s="33" t="inlineStr">
        <is>
          <t>SW010</t>
        </is>
      </c>
      <c r="C102" s="33" t="inlineStr">
        <is>
          <t>Caeleb Dressel</t>
        </is>
      </c>
      <c r="D102" s="33" t="inlineStr">
        <is>
          <t>SwimCloud</t>
        </is>
      </c>
      <c r="E102" s="33" t="inlineStr">
        <is>
          <t>2361642</t>
        </is>
      </c>
      <c r="F102" s="33" t="inlineStr">
        <is>
          <t>4037989</t>
        </is>
      </c>
      <c r="G102" s="51" t="n">
        <v>41494</v>
      </c>
      <c r="H102" s="33" t="inlineStr">
        <is>
          <t>USA Swimming Junior National Championships</t>
        </is>
      </c>
      <c r="I102" s="33" t="inlineStr">
        <is>
          <t>22337</t>
        </is>
      </c>
      <c r="J102" s="33" t="inlineStr"/>
      <c r="K102" s="33" t="inlineStr">
        <is>
          <t>FIN</t>
        </is>
      </c>
      <c r="L102" s="35">
        <f>IF(K102="FIN",3,IF(OR(K102="SEM",K102="SEMI"),2,IF(OR(K102="PRE",K102="HEAT"),1,IF(V102="YES",4,2))))</f>
        <v/>
      </c>
      <c r="M102" s="33" t="inlineStr">
        <is>
          <t>LCM</t>
        </is>
      </c>
      <c r="N102" s="33" t="n">
        <v>200</v>
      </c>
      <c r="O102" s="33" t="inlineStr">
        <is>
          <t>Free</t>
        </is>
      </c>
      <c r="P102" s="33" t="inlineStr">
        <is>
          <t>200 Free</t>
        </is>
      </c>
      <c r="Q102" s="33" t="inlineStr">
        <is>
          <t>LCM_200_FREE</t>
        </is>
      </c>
      <c r="R102" s="36" t="n">
        <v>108.64</v>
      </c>
      <c r="S102" s="35">
        <f>IF(R102="","",IF(R102&gt;=60,INT(R102/60)&amp;":"&amp;TEXT(MOD(R102,60),"00.00"),TEXT(R102,"0.00")))</f>
        <v/>
      </c>
      <c r="T102" s="52">
        <f>IFERROR((G102-INDEX('01_Swimmers'!$E$5:$E$22,MATCH(B102,'01_Swimmers'!$A$5:$A$22,0)))/'00_Control'!$B$10,"")</f>
        <v/>
      </c>
      <c r="U102" s="35">
        <f>IF(T102="","",INT(T102))</f>
        <v/>
      </c>
      <c r="V102" s="33" t="inlineStr">
        <is>
          <t>NO</t>
        </is>
      </c>
      <c r="W102" s="33" t="inlineStr">
        <is>
          <t>YES</t>
        </is>
      </c>
      <c r="X102" s="33" t="inlineStr">
        <is>
          <t>NO</t>
        </is>
      </c>
      <c r="Y102" s="33" t="n">
        <v>2</v>
      </c>
      <c r="Z102" s="33" t="n">
        <v>4</v>
      </c>
      <c r="AA102" s="33" t="inlineStr">
        <is>
          <t>9</t>
        </is>
      </c>
      <c r="AB102" s="33" t="inlineStr">
        <is>
          <t>https://www.swimcloud.com/results/22337/event/21/?id=4037989#time4037989</t>
        </is>
      </c>
      <c r="AC102" s="33" t="inlineStr">
        <is>
          <t>SwimCloud API v6 2026-10-08</t>
        </is>
      </c>
      <c r="AD102" s="33" t="inlineStr">
        <is>
          <t>Caeleb Dressel|2013-08-08|LCM|200|Free|108.64|USA Swimming Junior National Championships|FIN|False</t>
        </is>
      </c>
      <c r="AE102" s="53">
        <f>G102+L102/1000+ROW()/1000000000</f>
        <v/>
      </c>
      <c r="AF102" s="35">
        <f>IF(C102&lt;&gt;"Grayson Coulter","",COUNTIFS($C$5:$C$2991,"Grayson Coulter",$Q$5:$Q$2991,Q102,$AE$5:$AE$2991,"&lt;="&amp;AE102,$R$5:$R$2991,"&lt;"&amp;R102))</f>
        <v/>
      </c>
      <c r="AG102" s="35">
        <f>IF(OR(C102&lt;&gt;"Grayson Coulter",G102&lt;'00_Control'!$B$7),"",--(AF102&lt;5))</f>
        <v/>
      </c>
      <c r="AH102" s="35">
        <f>IF(OR(C102&lt;&gt;"Grayson Coulter",G102&lt;'00_Control'!$B$7),"",--(AF102&lt;10))</f>
        <v/>
      </c>
      <c r="AI102" s="35">
        <f>IF(AND(C102="Grayson Coulter",G102&gt;='00_Control'!$B$7),"YES","NO")</f>
        <v/>
      </c>
      <c r="AJ102" s="33" t="inlineStr">
        <is>
          <t>OK</t>
        </is>
      </c>
    </row>
    <row r="103">
      <c r="A103" s="33" t="inlineStr">
        <is>
          <t>SM000099</t>
        </is>
      </c>
      <c r="B103" s="33" t="inlineStr">
        <is>
          <t>SW010</t>
        </is>
      </c>
      <c r="C103" s="33" t="inlineStr">
        <is>
          <t>Caeleb Dressel</t>
        </is>
      </c>
      <c r="D103" s="33" t="inlineStr">
        <is>
          <t>SwimCloud</t>
        </is>
      </c>
      <c r="E103" s="33" t="inlineStr">
        <is>
          <t>2361642</t>
        </is>
      </c>
      <c r="F103" s="33" t="inlineStr">
        <is>
          <t>140749634</t>
        </is>
      </c>
      <c r="G103" s="51" t="n">
        <v>41831</v>
      </c>
      <c r="H103" s="33" t="inlineStr">
        <is>
          <t>Bulldog Grand Slam</t>
        </is>
      </c>
      <c r="I103" s="33" t="inlineStr">
        <is>
          <t>31664</t>
        </is>
      </c>
      <c r="J103" s="33" t="inlineStr"/>
      <c r="K103" s="33" t="inlineStr">
        <is>
          <t>PRE</t>
        </is>
      </c>
      <c r="L103" s="35">
        <f>IF(K103="FIN",3,IF(OR(K103="SEM",K103="SEMI"),2,IF(OR(K103="PRE",K103="HEAT"),1,IF(V103="YES",4,2))))</f>
        <v/>
      </c>
      <c r="M103" s="33" t="inlineStr">
        <is>
          <t>LCM</t>
        </is>
      </c>
      <c r="N103" s="33" t="n">
        <v>100</v>
      </c>
      <c r="O103" s="33" t="inlineStr">
        <is>
          <t>Fly</t>
        </is>
      </c>
      <c r="P103" s="33" t="inlineStr">
        <is>
          <t>100 Fly</t>
        </is>
      </c>
      <c r="Q103" s="33" t="inlineStr">
        <is>
          <t>LCM_100_FLY</t>
        </is>
      </c>
      <c r="R103" s="36" t="n">
        <v>54.98</v>
      </c>
      <c r="S103" s="35">
        <f>IF(R103="","",IF(R103&gt;=60,INT(R103/60)&amp;":"&amp;TEXT(MOD(R103,60),"00.00"),TEXT(R103,"0.00")))</f>
        <v/>
      </c>
      <c r="T103" s="52">
        <f>IFERROR((G103-INDEX('01_Swimmers'!$E$5:$E$22,MATCH(B103,'01_Swimmers'!$A$5:$A$22,0)))/'00_Control'!$B$10,"")</f>
        <v/>
      </c>
      <c r="U103" s="35">
        <f>IF(T103="","",INT(T103))</f>
        <v/>
      </c>
      <c r="V103" s="33" t="inlineStr">
        <is>
          <t>NO</t>
        </is>
      </c>
      <c r="W103" s="33" t="inlineStr">
        <is>
          <t>YES</t>
        </is>
      </c>
      <c r="X103" s="33" t="inlineStr">
        <is>
          <t>NO</t>
        </is>
      </c>
      <c r="Y103" s="33" t="n">
        <v>12</v>
      </c>
      <c r="Z103" s="33" t="n">
        <v>5</v>
      </c>
      <c r="AA103" s="33" t="inlineStr">
        <is>
          <t>10</t>
        </is>
      </c>
      <c r="AB103" s="33" t="inlineStr">
        <is>
          <t>https://www.swimcloud.com/results/31664/event/8/?id=140749634#time140749634</t>
        </is>
      </c>
      <c r="AC103" s="33" t="inlineStr">
        <is>
          <t>SwimCloud API v6 2026-10-08</t>
        </is>
      </c>
      <c r="AD103" s="33" t="inlineStr">
        <is>
          <t>Caeleb Dressel|2014-07-11|LCM|100|Fly|54.98|Bulldog Grand Slam|PRE|False</t>
        </is>
      </c>
      <c r="AE103" s="53">
        <f>G103+L103/1000+ROW()/1000000000</f>
        <v/>
      </c>
      <c r="AF103" s="35">
        <f>IF(C103&lt;&gt;"Grayson Coulter","",COUNTIFS($C$5:$C$2991,"Grayson Coulter",$Q$5:$Q$2991,Q103,$AE$5:$AE$2991,"&lt;="&amp;AE103,$R$5:$R$2991,"&lt;"&amp;R103))</f>
        <v/>
      </c>
      <c r="AG103" s="35">
        <f>IF(OR(C103&lt;&gt;"Grayson Coulter",G103&lt;'00_Control'!$B$7),"",--(AF103&lt;5))</f>
        <v/>
      </c>
      <c r="AH103" s="35">
        <f>IF(OR(C103&lt;&gt;"Grayson Coulter",G103&lt;'00_Control'!$B$7),"",--(AF103&lt;10))</f>
        <v/>
      </c>
      <c r="AI103" s="35">
        <f>IF(AND(C103="Grayson Coulter",G103&gt;='00_Control'!$B$7),"YES","NO")</f>
        <v/>
      </c>
      <c r="AJ103" s="33" t="inlineStr">
        <is>
          <t>OK</t>
        </is>
      </c>
    </row>
    <row r="104">
      <c r="A104" s="33" t="inlineStr">
        <is>
          <t>SM000100</t>
        </is>
      </c>
      <c r="B104" s="33" t="inlineStr">
        <is>
          <t>SW010</t>
        </is>
      </c>
      <c r="C104" s="33" t="inlineStr">
        <is>
          <t>Caeleb Dressel</t>
        </is>
      </c>
      <c r="D104" s="33" t="inlineStr">
        <is>
          <t>SwimCloud</t>
        </is>
      </c>
      <c r="E104" s="33" t="inlineStr">
        <is>
          <t>2361642</t>
        </is>
      </c>
      <c r="F104" s="33" t="inlineStr">
        <is>
          <t>140749635</t>
        </is>
      </c>
      <c r="G104" s="51" t="n">
        <v>41831</v>
      </c>
      <c r="H104" s="33" t="inlineStr">
        <is>
          <t>Bulldog Grand Slam</t>
        </is>
      </c>
      <c r="I104" s="33" t="inlineStr">
        <is>
          <t>31664</t>
        </is>
      </c>
      <c r="J104" s="33" t="inlineStr"/>
      <c r="K104" s="33" t="inlineStr">
        <is>
          <t>FIN</t>
        </is>
      </c>
      <c r="L104" s="35">
        <f>IF(K104="FIN",3,IF(OR(K104="SEM",K104="SEMI"),2,IF(OR(K104="PRE",K104="HEAT"),1,IF(V104="YES",4,2))))</f>
        <v/>
      </c>
      <c r="M104" s="33" t="inlineStr">
        <is>
          <t>LCM</t>
        </is>
      </c>
      <c r="N104" s="33" t="n">
        <v>100</v>
      </c>
      <c r="O104" s="33" t="inlineStr">
        <is>
          <t>Fly</t>
        </is>
      </c>
      <c r="P104" s="33" t="inlineStr">
        <is>
          <t>100 Fly</t>
        </is>
      </c>
      <c r="Q104" s="33" t="inlineStr">
        <is>
          <t>LCM_100_FLY</t>
        </is>
      </c>
      <c r="R104" s="36" t="n">
        <v>54.41</v>
      </c>
      <c r="S104" s="35">
        <f>IF(R104="","",IF(R104&gt;=60,INT(R104/60)&amp;":"&amp;TEXT(MOD(R104,60),"00.00"),TEXT(R104,"0.00")))</f>
        <v/>
      </c>
      <c r="T104" s="52">
        <f>IFERROR((G104-INDEX('01_Swimmers'!$E$5:$E$22,MATCH(B104,'01_Swimmers'!$A$5:$A$22,0)))/'00_Control'!$B$10,"")</f>
        <v/>
      </c>
      <c r="U104" s="35">
        <f>IF(T104="","",INT(T104))</f>
        <v/>
      </c>
      <c r="V104" s="33" t="inlineStr">
        <is>
          <t>NO</t>
        </is>
      </c>
      <c r="W104" s="33" t="inlineStr">
        <is>
          <t>YES</t>
        </is>
      </c>
      <c r="X104" s="33" t="inlineStr">
        <is>
          <t>NO</t>
        </is>
      </c>
      <c r="Y104" s="33" t="n">
        <v>3</v>
      </c>
      <c r="Z104" s="33" t="n">
        <v>5</v>
      </c>
      <c r="AA104" s="33" t="inlineStr">
        <is>
          <t>10</t>
        </is>
      </c>
      <c r="AB104" s="33" t="inlineStr">
        <is>
          <t>https://www.swimcloud.com/results/31664/event/8/?id=140749635#time140749635</t>
        </is>
      </c>
      <c r="AC104" s="33" t="inlineStr">
        <is>
          <t>SwimCloud API v6 2026-10-08</t>
        </is>
      </c>
      <c r="AD104" s="33" t="inlineStr">
        <is>
          <t>Caeleb Dressel|2014-07-11|LCM|100|Fly|54.41|Bulldog Grand Slam|FIN|False</t>
        </is>
      </c>
      <c r="AE104" s="53">
        <f>G104+L104/1000+ROW()/1000000000</f>
        <v/>
      </c>
      <c r="AF104" s="35">
        <f>IF(C104&lt;&gt;"Grayson Coulter","",COUNTIFS($C$5:$C$2991,"Grayson Coulter",$Q$5:$Q$2991,Q104,$AE$5:$AE$2991,"&lt;="&amp;AE104,$R$5:$R$2991,"&lt;"&amp;R104))</f>
        <v/>
      </c>
      <c r="AG104" s="35">
        <f>IF(OR(C104&lt;&gt;"Grayson Coulter",G104&lt;'00_Control'!$B$7),"",--(AF104&lt;5))</f>
        <v/>
      </c>
      <c r="AH104" s="35">
        <f>IF(OR(C104&lt;&gt;"Grayson Coulter",G104&lt;'00_Control'!$B$7),"",--(AF104&lt;10))</f>
        <v/>
      </c>
      <c r="AI104" s="35">
        <f>IF(AND(C104="Grayson Coulter",G104&gt;='00_Control'!$B$7),"YES","NO")</f>
        <v/>
      </c>
      <c r="AJ104" s="33" t="inlineStr">
        <is>
          <t>OK</t>
        </is>
      </c>
    </row>
    <row r="105">
      <c r="A105" s="33" t="inlineStr">
        <is>
          <t>SM000101</t>
        </is>
      </c>
      <c r="B105" s="33" t="inlineStr">
        <is>
          <t>SW010</t>
        </is>
      </c>
      <c r="C105" s="33" t="inlineStr">
        <is>
          <t>Caeleb Dressel</t>
        </is>
      </c>
      <c r="D105" s="33" t="inlineStr">
        <is>
          <t>SwimCloud</t>
        </is>
      </c>
      <c r="E105" s="33" t="inlineStr">
        <is>
          <t>2361642</t>
        </is>
      </c>
      <c r="F105" s="33" t="inlineStr">
        <is>
          <t>140748873</t>
        </is>
      </c>
      <c r="G105" s="51" t="n">
        <v>41831</v>
      </c>
      <c r="H105" s="33" t="inlineStr">
        <is>
          <t>Bulldog Grand Slam</t>
        </is>
      </c>
      <c r="I105" s="33" t="inlineStr">
        <is>
          <t>31664</t>
        </is>
      </c>
      <c r="J105" s="33" t="inlineStr"/>
      <c r="K105" s="33" t="inlineStr">
        <is>
          <t>PRE</t>
        </is>
      </c>
      <c r="L105" s="35">
        <f>IF(K105="FIN",3,IF(OR(K105="SEM",K105="SEMI"),2,IF(OR(K105="PRE",K105="HEAT"),1,IF(V105="YES",4,2))))</f>
        <v/>
      </c>
      <c r="M105" s="33" t="inlineStr">
        <is>
          <t>LCM</t>
        </is>
      </c>
      <c r="N105" s="33" t="n">
        <v>200</v>
      </c>
      <c r="O105" s="33" t="inlineStr">
        <is>
          <t>Free</t>
        </is>
      </c>
      <c r="P105" s="33" t="inlineStr">
        <is>
          <t>200 Free</t>
        </is>
      </c>
      <c r="Q105" s="33" t="inlineStr">
        <is>
          <t>LCM_200_FREE</t>
        </is>
      </c>
      <c r="R105" s="36" t="n">
        <v>116.4</v>
      </c>
      <c r="S105" s="35">
        <f>IF(R105="","",IF(R105&gt;=60,INT(R105/60)&amp;":"&amp;TEXT(MOD(R105,60),"00.00"),TEXT(R105,"0.00")))</f>
        <v/>
      </c>
      <c r="T105" s="52">
        <f>IFERROR((G105-INDEX('01_Swimmers'!$E$5:$E$22,MATCH(B105,'01_Swimmers'!$A$5:$A$22,0)))/'00_Control'!$B$10,"")</f>
        <v/>
      </c>
      <c r="U105" s="35">
        <f>IF(T105="","",INT(T105))</f>
        <v/>
      </c>
      <c r="V105" s="33" t="inlineStr">
        <is>
          <t>NO</t>
        </is>
      </c>
      <c r="W105" s="33" t="inlineStr">
        <is>
          <t>YES</t>
        </is>
      </c>
      <c r="X105" s="33" t="inlineStr">
        <is>
          <t>NO</t>
        </is>
      </c>
      <c r="Y105" s="33" t="n">
        <v>14</v>
      </c>
      <c r="Z105" s="33" t="n">
        <v>6</v>
      </c>
      <c r="AA105" s="33" t="inlineStr">
        <is>
          <t>37</t>
        </is>
      </c>
      <c r="AB105" s="33" t="inlineStr">
        <is>
          <t>https://www.swimcloud.com/results/31664/event/4/?id=140748873#time140748873</t>
        </is>
      </c>
      <c r="AC105" s="33" t="inlineStr">
        <is>
          <t>SwimCloud API v6 2026-10-08</t>
        </is>
      </c>
      <c r="AD105" s="33" t="inlineStr">
        <is>
          <t>Caeleb Dressel|2014-07-11|LCM|200|Free|116.4|Bulldog Grand Slam|PRE|False</t>
        </is>
      </c>
      <c r="AE105" s="53">
        <f>G105+L105/1000+ROW()/1000000000</f>
        <v/>
      </c>
      <c r="AF105" s="35">
        <f>IF(C105&lt;&gt;"Grayson Coulter","",COUNTIFS($C$5:$C$2991,"Grayson Coulter",$Q$5:$Q$2991,Q105,$AE$5:$AE$2991,"&lt;="&amp;AE105,$R$5:$R$2991,"&lt;"&amp;R105))</f>
        <v/>
      </c>
      <c r="AG105" s="35">
        <f>IF(OR(C105&lt;&gt;"Grayson Coulter",G105&lt;'00_Control'!$B$7),"",--(AF105&lt;5))</f>
        <v/>
      </c>
      <c r="AH105" s="35">
        <f>IF(OR(C105&lt;&gt;"Grayson Coulter",G105&lt;'00_Control'!$B$7),"",--(AF105&lt;10))</f>
        <v/>
      </c>
      <c r="AI105" s="35">
        <f>IF(AND(C105="Grayson Coulter",G105&gt;='00_Control'!$B$7),"YES","NO")</f>
        <v/>
      </c>
      <c r="AJ105" s="33" t="inlineStr">
        <is>
          <t>OK</t>
        </is>
      </c>
    </row>
    <row r="106">
      <c r="A106" s="33" t="inlineStr">
        <is>
          <t>SM000102</t>
        </is>
      </c>
      <c r="B106" s="33" t="inlineStr">
        <is>
          <t>SW010</t>
        </is>
      </c>
      <c r="C106" s="33" t="inlineStr">
        <is>
          <t>Caeleb Dressel</t>
        </is>
      </c>
      <c r="D106" s="33" t="inlineStr">
        <is>
          <t>SwimCloud</t>
        </is>
      </c>
      <c r="E106" s="33" t="inlineStr">
        <is>
          <t>2361642</t>
        </is>
      </c>
      <c r="F106" s="33" t="inlineStr">
        <is>
          <t>140749779</t>
        </is>
      </c>
      <c r="G106" s="51" t="n">
        <v>41833</v>
      </c>
      <c r="H106" s="33" t="inlineStr">
        <is>
          <t>Bulldog Grand Slam</t>
        </is>
      </c>
      <c r="I106" s="33" t="inlineStr">
        <is>
          <t>31664</t>
        </is>
      </c>
      <c r="J106" s="33" t="inlineStr"/>
      <c r="K106" s="33" t="inlineStr">
        <is>
          <t>PRE</t>
        </is>
      </c>
      <c r="L106" s="35">
        <f>IF(K106="FIN",3,IF(OR(K106="SEM",K106="SEMI"),2,IF(OR(K106="PRE",K106="HEAT"),1,IF(V106="YES",4,2))))</f>
        <v/>
      </c>
      <c r="M106" s="33" t="inlineStr">
        <is>
          <t>LCM</t>
        </is>
      </c>
      <c r="N106" s="33" t="n">
        <v>100</v>
      </c>
      <c r="O106" s="33" t="inlineStr">
        <is>
          <t>Free</t>
        </is>
      </c>
      <c r="P106" s="33" t="inlineStr">
        <is>
          <t>100 Free</t>
        </is>
      </c>
      <c r="Q106" s="33" t="inlineStr">
        <is>
          <t>LCM_100_FREE</t>
        </is>
      </c>
      <c r="R106" s="36" t="n">
        <v>50.7</v>
      </c>
      <c r="S106" s="35">
        <f>IF(R106="","",IF(R106&gt;=60,INT(R106/60)&amp;":"&amp;TEXT(MOD(R106,60),"00.00"),TEXT(R106,"0.00")))</f>
        <v/>
      </c>
      <c r="T106" s="52">
        <f>IFERROR((G106-INDEX('01_Swimmers'!$E$5:$E$22,MATCH(B106,'01_Swimmers'!$A$5:$A$22,0)))/'00_Control'!$B$10,"")</f>
        <v/>
      </c>
      <c r="U106" s="35">
        <f>IF(T106="","",INT(T106))</f>
        <v/>
      </c>
      <c r="V106" s="33" t="inlineStr">
        <is>
          <t>NO</t>
        </is>
      </c>
      <c r="W106" s="33" t="inlineStr">
        <is>
          <t>YES</t>
        </is>
      </c>
      <c r="X106" s="33" t="inlineStr">
        <is>
          <t>NO</t>
        </is>
      </c>
      <c r="Y106" s="33" t="n">
        <v>15</v>
      </c>
      <c r="Z106" s="33" t="n">
        <v>5</v>
      </c>
      <c r="AA106" s="33" t="inlineStr">
        <is>
          <t>9</t>
        </is>
      </c>
      <c r="AB106" s="33" t="inlineStr">
        <is>
          <t>https://www.swimcloud.com/results/31664/event/28/?id=140749779#time140749779</t>
        </is>
      </c>
      <c r="AC106" s="33" t="inlineStr">
        <is>
          <t>SwimCloud API v6 2026-10-08</t>
        </is>
      </c>
      <c r="AD106" s="33" t="inlineStr">
        <is>
          <t>Caeleb Dressel|2014-07-13|LCM|100|Free|50.7|Bulldog Grand Slam|PRE|False</t>
        </is>
      </c>
      <c r="AE106" s="53">
        <f>G106+L106/1000+ROW()/1000000000</f>
        <v/>
      </c>
      <c r="AF106" s="35">
        <f>IF(C106&lt;&gt;"Grayson Coulter","",COUNTIFS($C$5:$C$2991,"Grayson Coulter",$Q$5:$Q$2991,Q106,$AE$5:$AE$2991,"&lt;="&amp;AE106,$R$5:$R$2991,"&lt;"&amp;R106))</f>
        <v/>
      </c>
      <c r="AG106" s="35">
        <f>IF(OR(C106&lt;&gt;"Grayson Coulter",G106&lt;'00_Control'!$B$7),"",--(AF106&lt;5))</f>
        <v/>
      </c>
      <c r="AH106" s="35">
        <f>IF(OR(C106&lt;&gt;"Grayson Coulter",G106&lt;'00_Control'!$B$7),"",--(AF106&lt;10))</f>
        <v/>
      </c>
      <c r="AI106" s="35">
        <f>IF(AND(C106="Grayson Coulter",G106&gt;='00_Control'!$B$7),"YES","NO")</f>
        <v/>
      </c>
      <c r="AJ106" s="33" t="inlineStr">
        <is>
          <t>OK</t>
        </is>
      </c>
    </row>
    <row r="107">
      <c r="A107" s="33" t="inlineStr">
        <is>
          <t>SM000103</t>
        </is>
      </c>
      <c r="B107" s="33" t="inlineStr">
        <is>
          <t>SW010</t>
        </is>
      </c>
      <c r="C107" s="33" t="inlineStr">
        <is>
          <t>Caeleb Dressel</t>
        </is>
      </c>
      <c r="D107" s="33" t="inlineStr">
        <is>
          <t>SwimCloud</t>
        </is>
      </c>
      <c r="E107" s="33" t="inlineStr">
        <is>
          <t>2361642</t>
        </is>
      </c>
      <c r="F107" s="33" t="inlineStr">
        <is>
          <t>140749780</t>
        </is>
      </c>
      <c r="G107" s="51" t="n">
        <v>41833</v>
      </c>
      <c r="H107" s="33" t="inlineStr">
        <is>
          <t>Bulldog Grand Slam</t>
        </is>
      </c>
      <c r="I107" s="33" t="inlineStr">
        <is>
          <t>31664</t>
        </is>
      </c>
      <c r="J107" s="33" t="inlineStr"/>
      <c r="K107" s="33" t="inlineStr">
        <is>
          <t>FIN</t>
        </is>
      </c>
      <c r="L107" s="35">
        <f>IF(K107="FIN",3,IF(OR(K107="SEM",K107="SEMI"),2,IF(OR(K107="PRE",K107="HEAT"),1,IF(V107="YES",4,2))))</f>
        <v/>
      </c>
      <c r="M107" s="33" t="inlineStr">
        <is>
          <t>LCM</t>
        </is>
      </c>
      <c r="N107" s="33" t="n">
        <v>100</v>
      </c>
      <c r="O107" s="33" t="inlineStr">
        <is>
          <t>Free</t>
        </is>
      </c>
      <c r="P107" s="33" t="inlineStr">
        <is>
          <t>100 Free</t>
        </is>
      </c>
      <c r="Q107" s="33" t="inlineStr">
        <is>
          <t>LCM_100_FREE</t>
        </is>
      </c>
      <c r="R107" s="36" t="n">
        <v>50.76</v>
      </c>
      <c r="S107" s="35">
        <f>IF(R107="","",IF(R107&gt;=60,INT(R107/60)&amp;":"&amp;TEXT(MOD(R107,60),"00.00"),TEXT(R107,"0.00")))</f>
        <v/>
      </c>
      <c r="T107" s="52">
        <f>IFERROR((G107-INDEX('01_Swimmers'!$E$5:$E$22,MATCH(B107,'01_Swimmers'!$A$5:$A$22,0)))/'00_Control'!$B$10,"")</f>
        <v/>
      </c>
      <c r="U107" s="35">
        <f>IF(T107="","",INT(T107))</f>
        <v/>
      </c>
      <c r="V107" s="33" t="inlineStr">
        <is>
          <t>NO</t>
        </is>
      </c>
      <c r="W107" s="33" t="inlineStr">
        <is>
          <t>YES</t>
        </is>
      </c>
      <c r="X107" s="33" t="inlineStr">
        <is>
          <t>NO</t>
        </is>
      </c>
      <c r="Y107" s="33" t="n">
        <v>3</v>
      </c>
      <c r="Z107" s="33" t="n">
        <v>4</v>
      </c>
      <c r="AA107" s="33" t="inlineStr">
        <is>
          <t>13</t>
        </is>
      </c>
      <c r="AB107" s="33" t="inlineStr">
        <is>
          <t>https://www.swimcloud.com/results/31664/event/28/?id=140749780#time140749780</t>
        </is>
      </c>
      <c r="AC107" s="33" t="inlineStr">
        <is>
          <t>SwimCloud API v6 2026-10-08</t>
        </is>
      </c>
      <c r="AD107" s="33" t="inlineStr">
        <is>
          <t>Caeleb Dressel|2014-07-13|LCM|100|Free|50.76|Bulldog Grand Slam|FIN|False</t>
        </is>
      </c>
      <c r="AE107" s="53">
        <f>G107+L107/1000+ROW()/1000000000</f>
        <v/>
      </c>
      <c r="AF107" s="35">
        <f>IF(C107&lt;&gt;"Grayson Coulter","",COUNTIFS($C$5:$C$2991,"Grayson Coulter",$Q$5:$Q$2991,Q107,$AE$5:$AE$2991,"&lt;="&amp;AE107,$R$5:$R$2991,"&lt;"&amp;R107))</f>
        <v/>
      </c>
      <c r="AG107" s="35">
        <f>IF(OR(C107&lt;&gt;"Grayson Coulter",G107&lt;'00_Control'!$B$7),"",--(AF107&lt;5))</f>
        <v/>
      </c>
      <c r="AH107" s="35">
        <f>IF(OR(C107&lt;&gt;"Grayson Coulter",G107&lt;'00_Control'!$B$7),"",--(AF107&lt;10))</f>
        <v/>
      </c>
      <c r="AI107" s="35">
        <f>IF(AND(C107="Grayson Coulter",G107&gt;='00_Control'!$B$7),"YES","NO")</f>
        <v/>
      </c>
      <c r="AJ107" s="33" t="inlineStr">
        <is>
          <t>OK</t>
        </is>
      </c>
    </row>
    <row r="108">
      <c r="A108" s="33" t="inlineStr">
        <is>
          <t>SM000104</t>
        </is>
      </c>
      <c r="B108" s="33" t="inlineStr">
        <is>
          <t>SW010</t>
        </is>
      </c>
      <c r="C108" s="33" t="inlineStr">
        <is>
          <t>Caeleb Dressel</t>
        </is>
      </c>
      <c r="D108" s="33" t="inlineStr">
        <is>
          <t>SwimCloud</t>
        </is>
      </c>
      <c r="E108" s="33" t="inlineStr">
        <is>
          <t>2361642</t>
        </is>
      </c>
      <c r="F108" s="33" t="inlineStr">
        <is>
          <t>5190183</t>
        </is>
      </c>
      <c r="G108" s="51" t="n">
        <v>41857</v>
      </c>
      <c r="H108" s="33" t="inlineStr">
        <is>
          <t>Phillips 66 Summer National Championships</t>
        </is>
      </c>
      <c r="I108" s="33" t="inlineStr">
        <is>
          <t>26547</t>
        </is>
      </c>
      <c r="J108" s="33" t="inlineStr"/>
      <c r="K108" s="33" t="inlineStr">
        <is>
          <t>PRE</t>
        </is>
      </c>
      <c r="L108" s="35">
        <f>IF(K108="FIN",3,IF(OR(K108="SEM",K108="SEMI"),2,IF(OR(K108="PRE",K108="HEAT"),1,IF(V108="YES",4,2))))</f>
        <v/>
      </c>
      <c r="M108" s="33" t="inlineStr">
        <is>
          <t>LCM</t>
        </is>
      </c>
      <c r="N108" s="33" t="n">
        <v>100</v>
      </c>
      <c r="O108" s="33" t="inlineStr">
        <is>
          <t>Free</t>
        </is>
      </c>
      <c r="P108" s="33" t="inlineStr">
        <is>
          <t>100 Free</t>
        </is>
      </c>
      <c r="Q108" s="33" t="inlineStr">
        <is>
          <t>LCM_100_FREE</t>
        </is>
      </c>
      <c r="R108" s="36" t="n">
        <v>49.93</v>
      </c>
      <c r="S108" s="35">
        <f>IF(R108="","",IF(R108&gt;=60,INT(R108/60)&amp;":"&amp;TEXT(MOD(R108,60),"00.00"),TEXT(R108,"0.00")))</f>
        <v/>
      </c>
      <c r="T108" s="52">
        <f>IFERROR((G108-INDEX('01_Swimmers'!$E$5:$E$22,MATCH(B108,'01_Swimmers'!$A$5:$A$22,0)))/'00_Control'!$B$10,"")</f>
        <v/>
      </c>
      <c r="U108" s="35">
        <f>IF(T108="","",INT(T108))</f>
        <v/>
      </c>
      <c r="V108" s="33" t="inlineStr">
        <is>
          <t>NO</t>
        </is>
      </c>
      <c r="W108" s="33" t="inlineStr">
        <is>
          <t>YES</t>
        </is>
      </c>
      <c r="X108" s="33" t="inlineStr">
        <is>
          <t>NO</t>
        </is>
      </c>
      <c r="Y108" s="33" t="n">
        <v>9</v>
      </c>
      <c r="Z108" s="33" t="n">
        <v>3</v>
      </c>
      <c r="AA108" s="33" t="inlineStr">
        <is>
          <t>31</t>
        </is>
      </c>
      <c r="AB108" s="33" t="inlineStr">
        <is>
          <t>https://www.swimcloud.com/results/26547/event/4/?id=5190183#time5190183</t>
        </is>
      </c>
      <c r="AC108" s="33" t="inlineStr">
        <is>
          <t>SwimCloud API v6 2026-10-08</t>
        </is>
      </c>
      <c r="AD108" s="33" t="inlineStr">
        <is>
          <t>Caeleb Dressel|2014-08-06|LCM|100|Free|49.93|Phillips 66 Summer National Championships|PRE|False</t>
        </is>
      </c>
      <c r="AE108" s="53">
        <f>G108+L108/1000+ROW()/1000000000</f>
        <v/>
      </c>
      <c r="AF108" s="35">
        <f>IF(C108&lt;&gt;"Grayson Coulter","",COUNTIFS($C$5:$C$2991,"Grayson Coulter",$Q$5:$Q$2991,Q108,$AE$5:$AE$2991,"&lt;="&amp;AE108,$R$5:$R$2991,"&lt;"&amp;R108))</f>
        <v/>
      </c>
      <c r="AG108" s="35">
        <f>IF(OR(C108&lt;&gt;"Grayson Coulter",G108&lt;'00_Control'!$B$7),"",--(AF108&lt;5))</f>
        <v/>
      </c>
      <c r="AH108" s="35">
        <f>IF(OR(C108&lt;&gt;"Grayson Coulter",G108&lt;'00_Control'!$B$7),"",--(AF108&lt;10))</f>
        <v/>
      </c>
      <c r="AI108" s="35">
        <f>IF(AND(C108="Grayson Coulter",G108&gt;='00_Control'!$B$7),"YES","NO")</f>
        <v/>
      </c>
      <c r="AJ108" s="33" t="inlineStr">
        <is>
          <t>OK</t>
        </is>
      </c>
    </row>
    <row r="109">
      <c r="A109" s="33" t="inlineStr">
        <is>
          <t>SM000105</t>
        </is>
      </c>
      <c r="B109" s="33" t="inlineStr">
        <is>
          <t>SW010</t>
        </is>
      </c>
      <c r="C109" s="33" t="inlineStr">
        <is>
          <t>Caeleb Dressel</t>
        </is>
      </c>
      <c r="D109" s="33" t="inlineStr">
        <is>
          <t>SwimCloud</t>
        </is>
      </c>
      <c r="E109" s="33" t="inlineStr">
        <is>
          <t>2361642</t>
        </is>
      </c>
      <c r="F109" s="33" t="inlineStr">
        <is>
          <t>5190237</t>
        </is>
      </c>
      <c r="G109" s="51" t="n">
        <v>41857</v>
      </c>
      <c r="H109" s="33" t="inlineStr">
        <is>
          <t>Phillips 66 Summer National Championships</t>
        </is>
      </c>
      <c r="I109" s="33" t="inlineStr">
        <is>
          <t>26547</t>
        </is>
      </c>
      <c r="J109" s="33" t="inlineStr"/>
      <c r="K109" s="33" t="inlineStr">
        <is>
          <t>FIN</t>
        </is>
      </c>
      <c r="L109" s="35">
        <f>IF(K109="FIN",3,IF(OR(K109="SEM",K109="SEMI"),2,IF(OR(K109="PRE",K109="HEAT"),1,IF(V109="YES",4,2))))</f>
        <v/>
      </c>
      <c r="M109" s="33" t="inlineStr">
        <is>
          <t>LCM</t>
        </is>
      </c>
      <c r="N109" s="33" t="n">
        <v>100</v>
      </c>
      <c r="O109" s="33" t="inlineStr">
        <is>
          <t>Free</t>
        </is>
      </c>
      <c r="P109" s="33" t="inlineStr">
        <is>
          <t>100 Free</t>
        </is>
      </c>
      <c r="Q109" s="33" t="inlineStr">
        <is>
          <t>LCM_100_FREE</t>
        </is>
      </c>
      <c r="R109" s="36" t="n">
        <v>51.3</v>
      </c>
      <c r="S109" s="35">
        <f>IF(R109="","",IF(R109&gt;=60,INT(R109/60)&amp;":"&amp;TEXT(MOD(R109,60),"00.00"),TEXT(R109,"0.00")))</f>
        <v/>
      </c>
      <c r="T109" s="52">
        <f>IFERROR((G109-INDEX('01_Swimmers'!$E$5:$E$22,MATCH(B109,'01_Swimmers'!$A$5:$A$22,0)))/'00_Control'!$B$10,"")</f>
        <v/>
      </c>
      <c r="U109" s="35">
        <f>IF(T109="","",INT(T109))</f>
        <v/>
      </c>
      <c r="V109" s="33" t="inlineStr">
        <is>
          <t>NO</t>
        </is>
      </c>
      <c r="W109" s="33" t="inlineStr">
        <is>
          <t>YES</t>
        </is>
      </c>
      <c r="X109" s="33" t="inlineStr">
        <is>
          <t>NO</t>
        </is>
      </c>
      <c r="Y109" s="33" t="n">
        <v>1</v>
      </c>
      <c r="Z109" s="33" t="n">
        <v>3</v>
      </c>
      <c r="AA109" s="33" t="inlineStr">
        <is>
          <t>24</t>
        </is>
      </c>
      <c r="AB109" s="33" t="inlineStr">
        <is>
          <t>https://www.swimcloud.com/results/26547/event/4/?id=5190237#time5190237</t>
        </is>
      </c>
      <c r="AC109" s="33" t="inlineStr">
        <is>
          <t>SwimCloud API v6 2026-10-08</t>
        </is>
      </c>
      <c r="AD109" s="33" t="inlineStr">
        <is>
          <t>Caeleb Dressel|2014-08-06|LCM|100|Free|51.3|Phillips 66 Summer National Championships|FIN|False</t>
        </is>
      </c>
      <c r="AE109" s="53">
        <f>G109+L109/1000+ROW()/1000000000</f>
        <v/>
      </c>
      <c r="AF109" s="35">
        <f>IF(C109&lt;&gt;"Grayson Coulter","",COUNTIFS($C$5:$C$2991,"Grayson Coulter",$Q$5:$Q$2991,Q109,$AE$5:$AE$2991,"&lt;="&amp;AE109,$R$5:$R$2991,"&lt;"&amp;R109))</f>
        <v/>
      </c>
      <c r="AG109" s="35">
        <f>IF(OR(C109&lt;&gt;"Grayson Coulter",G109&lt;'00_Control'!$B$7),"",--(AF109&lt;5))</f>
        <v/>
      </c>
      <c r="AH109" s="35">
        <f>IF(OR(C109&lt;&gt;"Grayson Coulter",G109&lt;'00_Control'!$B$7),"",--(AF109&lt;10))</f>
        <v/>
      </c>
      <c r="AI109" s="35">
        <f>IF(AND(C109="Grayson Coulter",G109&gt;='00_Control'!$B$7),"YES","NO")</f>
        <v/>
      </c>
      <c r="AJ109" s="33" t="inlineStr">
        <is>
          <t>OK</t>
        </is>
      </c>
    </row>
    <row r="110">
      <c r="A110" s="33" t="inlineStr">
        <is>
          <t>SM000106</t>
        </is>
      </c>
      <c r="B110" s="33" t="inlineStr">
        <is>
          <t>SW010</t>
        </is>
      </c>
      <c r="C110" s="33" t="inlineStr">
        <is>
          <t>Caeleb Dressel</t>
        </is>
      </c>
      <c r="D110" s="33" t="inlineStr">
        <is>
          <t>SwimCloud</t>
        </is>
      </c>
      <c r="E110" s="33" t="inlineStr">
        <is>
          <t>2361642</t>
        </is>
      </c>
      <c r="F110" s="33" t="inlineStr">
        <is>
          <t>5191901</t>
        </is>
      </c>
      <c r="G110" s="51" t="n">
        <v>41858</v>
      </c>
      <c r="H110" s="33" t="inlineStr">
        <is>
          <t>Phillips 66 Summer National Championships</t>
        </is>
      </c>
      <c r="I110" s="33" t="inlineStr">
        <is>
          <t>26547</t>
        </is>
      </c>
      <c r="J110" s="33" t="inlineStr"/>
      <c r="K110" s="33" t="inlineStr">
        <is>
          <t>PRE</t>
        </is>
      </c>
      <c r="L110" s="35">
        <f>IF(K110="FIN",3,IF(OR(K110="SEM",K110="SEMI"),2,IF(OR(K110="PRE",K110="HEAT"),1,IF(V110="YES",4,2))))</f>
        <v/>
      </c>
      <c r="M110" s="33" t="inlineStr">
        <is>
          <t>LCM</t>
        </is>
      </c>
      <c r="N110" s="33" t="n">
        <v>200</v>
      </c>
      <c r="O110" s="33" t="inlineStr">
        <is>
          <t>Free</t>
        </is>
      </c>
      <c r="P110" s="33" t="inlineStr">
        <is>
          <t>200 Free</t>
        </is>
      </c>
      <c r="Q110" s="33" t="inlineStr">
        <is>
          <t>LCM_200_FREE</t>
        </is>
      </c>
      <c r="R110" s="36" t="n">
        <v>115.74</v>
      </c>
      <c r="S110" s="35">
        <f>IF(R110="","",IF(R110&gt;=60,INT(R110/60)&amp;":"&amp;TEXT(MOD(R110,60),"00.00"),TEXT(R110,"0.00")))</f>
        <v/>
      </c>
      <c r="T110" s="52">
        <f>IFERROR((G110-INDEX('01_Swimmers'!$E$5:$E$22,MATCH(B110,'01_Swimmers'!$A$5:$A$22,0)))/'00_Control'!$B$10,"")</f>
        <v/>
      </c>
      <c r="U110" s="35">
        <f>IF(T110="","",INT(T110))</f>
        <v/>
      </c>
      <c r="V110" s="33" t="inlineStr">
        <is>
          <t>NO</t>
        </is>
      </c>
      <c r="W110" s="33" t="inlineStr">
        <is>
          <t>YES</t>
        </is>
      </c>
      <c r="X110" s="33" t="inlineStr">
        <is>
          <t>NO</t>
        </is>
      </c>
      <c r="Y110" s="33" t="n">
        <v>10</v>
      </c>
      <c r="Z110" s="33" t="n">
        <v>3</v>
      </c>
      <c r="AA110" s="33" t="inlineStr">
        <is>
          <t>83</t>
        </is>
      </c>
      <c r="AB110" s="33" t="inlineStr">
        <is>
          <t>https://www.swimcloud.com/results/26547/event/10/?id=5191901#time5191901</t>
        </is>
      </c>
      <c r="AC110" s="33" t="inlineStr">
        <is>
          <t>SwimCloud API v6 2026-10-08</t>
        </is>
      </c>
      <c r="AD110" s="33" t="inlineStr">
        <is>
          <t>Caeleb Dressel|2014-08-07|LCM|200|Free|115.74|Phillips 66 Summer National Championships|PRE|False</t>
        </is>
      </c>
      <c r="AE110" s="53">
        <f>G110+L110/1000+ROW()/1000000000</f>
        <v/>
      </c>
      <c r="AF110" s="35">
        <f>IF(C110&lt;&gt;"Grayson Coulter","",COUNTIFS($C$5:$C$2991,"Grayson Coulter",$Q$5:$Q$2991,Q110,$AE$5:$AE$2991,"&lt;="&amp;AE110,$R$5:$R$2991,"&lt;"&amp;R110))</f>
        <v/>
      </c>
      <c r="AG110" s="35">
        <f>IF(OR(C110&lt;&gt;"Grayson Coulter",G110&lt;'00_Control'!$B$7),"",--(AF110&lt;5))</f>
        <v/>
      </c>
      <c r="AH110" s="35">
        <f>IF(OR(C110&lt;&gt;"Grayson Coulter",G110&lt;'00_Control'!$B$7),"",--(AF110&lt;10))</f>
        <v/>
      </c>
      <c r="AI110" s="35">
        <f>IF(AND(C110="Grayson Coulter",G110&gt;='00_Control'!$B$7),"YES","NO")</f>
        <v/>
      </c>
      <c r="AJ110" s="33" t="inlineStr">
        <is>
          <t>OK</t>
        </is>
      </c>
    </row>
    <row r="111">
      <c r="A111" s="33" t="inlineStr">
        <is>
          <t>SM000107</t>
        </is>
      </c>
      <c r="B111" s="33" t="inlineStr">
        <is>
          <t>SW010</t>
        </is>
      </c>
      <c r="C111" s="33" t="inlineStr">
        <is>
          <t>Caeleb Dressel</t>
        </is>
      </c>
      <c r="D111" s="33" t="inlineStr">
        <is>
          <t>SwimCloud</t>
        </is>
      </c>
      <c r="E111" s="33" t="inlineStr">
        <is>
          <t>2361642</t>
        </is>
      </c>
      <c r="F111" s="33" t="inlineStr">
        <is>
          <t>5191270</t>
        </is>
      </c>
      <c r="G111" s="51" t="n">
        <v>41859</v>
      </c>
      <c r="H111" s="33" t="inlineStr">
        <is>
          <t>Phillips 66 Summer National Championships</t>
        </is>
      </c>
      <c r="I111" s="33" t="inlineStr">
        <is>
          <t>26547</t>
        </is>
      </c>
      <c r="J111" s="33" t="inlineStr"/>
      <c r="K111" s="33" t="inlineStr">
        <is>
          <t>PRE</t>
        </is>
      </c>
      <c r="L111" s="35">
        <f>IF(K111="FIN",3,IF(OR(K111="SEM",K111="SEMI"),2,IF(OR(K111="PRE",K111="HEAT"),1,IF(V111="YES",4,2))))</f>
        <v/>
      </c>
      <c r="M111" s="33" t="inlineStr">
        <is>
          <t>LCM</t>
        </is>
      </c>
      <c r="N111" s="33" t="n">
        <v>100</v>
      </c>
      <c r="O111" s="33" t="inlineStr">
        <is>
          <t>Fly</t>
        </is>
      </c>
      <c r="P111" s="33" t="inlineStr">
        <is>
          <t>100 Fly</t>
        </is>
      </c>
      <c r="Q111" s="33" t="inlineStr">
        <is>
          <t>LCM_100_FLY</t>
        </is>
      </c>
      <c r="R111" s="36" t="n">
        <v>55.54</v>
      </c>
      <c r="S111" s="35">
        <f>IF(R111="","",IF(R111&gt;=60,INT(R111/60)&amp;":"&amp;TEXT(MOD(R111,60),"00.00"),TEXT(R111,"0.00")))</f>
        <v/>
      </c>
      <c r="T111" s="52">
        <f>IFERROR((G111-INDEX('01_Swimmers'!$E$5:$E$22,MATCH(B111,'01_Swimmers'!$A$5:$A$22,0)))/'00_Control'!$B$10,"")</f>
        <v/>
      </c>
      <c r="U111" s="35">
        <f>IF(T111="","",INT(T111))</f>
        <v/>
      </c>
      <c r="V111" s="33" t="inlineStr">
        <is>
          <t>NO</t>
        </is>
      </c>
      <c r="W111" s="33" t="inlineStr">
        <is>
          <t>YES</t>
        </is>
      </c>
      <c r="X111" s="33" t="inlineStr">
        <is>
          <t>NO</t>
        </is>
      </c>
      <c r="Y111" s="33" t="n">
        <v>8</v>
      </c>
      <c r="Z111" s="33" t="n">
        <v>7</v>
      </c>
      <c r="AA111" s="33" t="inlineStr">
        <is>
          <t>60</t>
        </is>
      </c>
      <c r="AB111" s="33" t="inlineStr">
        <is>
          <t>https://www.swimcloud.com/results/26547/event/21/?id=5191270#time5191270</t>
        </is>
      </c>
      <c r="AC111" s="33" t="inlineStr">
        <is>
          <t>SwimCloud API v6 2026-10-08</t>
        </is>
      </c>
      <c r="AD111" s="33" t="inlineStr">
        <is>
          <t>Caeleb Dressel|2014-08-08|LCM|100|Fly|55.54|Phillips 66 Summer National Championships|PRE|False</t>
        </is>
      </c>
      <c r="AE111" s="53">
        <f>G111+L111/1000+ROW()/1000000000</f>
        <v/>
      </c>
      <c r="AF111" s="35">
        <f>IF(C111&lt;&gt;"Grayson Coulter","",COUNTIFS($C$5:$C$2991,"Grayson Coulter",$Q$5:$Q$2991,Q111,$AE$5:$AE$2991,"&lt;="&amp;AE111,$R$5:$R$2991,"&lt;"&amp;R111))</f>
        <v/>
      </c>
      <c r="AG111" s="35">
        <f>IF(OR(C111&lt;&gt;"Grayson Coulter",G111&lt;'00_Control'!$B$7),"",--(AF111&lt;5))</f>
        <v/>
      </c>
      <c r="AH111" s="35">
        <f>IF(OR(C111&lt;&gt;"Grayson Coulter",G111&lt;'00_Control'!$B$7),"",--(AF111&lt;10))</f>
        <v/>
      </c>
      <c r="AI111" s="35">
        <f>IF(AND(C111="Grayson Coulter",G111&gt;='00_Control'!$B$7),"YES","NO")</f>
        <v/>
      </c>
      <c r="AJ111" s="33" t="inlineStr">
        <is>
          <t>OK</t>
        </is>
      </c>
    </row>
    <row r="112">
      <c r="A112" s="33" t="inlineStr">
        <is>
          <t>SM000108</t>
        </is>
      </c>
      <c r="B112" s="33" t="inlineStr">
        <is>
          <t>SW010</t>
        </is>
      </c>
      <c r="C112" s="33" t="inlineStr">
        <is>
          <t>Caeleb Dressel</t>
        </is>
      </c>
      <c r="D112" s="33" t="inlineStr">
        <is>
          <t>SwimCloud</t>
        </is>
      </c>
      <c r="E112" s="33" t="inlineStr">
        <is>
          <t>2361642</t>
        </is>
      </c>
      <c r="F112" s="33" t="inlineStr">
        <is>
          <t>151116120</t>
        </is>
      </c>
      <c r="G112" s="51" t="n">
        <v>42139</v>
      </c>
      <c r="H112" s="33" t="inlineStr">
        <is>
          <t>2015 Arena Pro Swim Series - Charlotte</t>
        </is>
      </c>
      <c r="I112" s="33" t="inlineStr">
        <is>
          <t>40096</t>
        </is>
      </c>
      <c r="J112" s="33" t="inlineStr"/>
      <c r="K112" s="33" t="inlineStr">
        <is>
          <t>PRE</t>
        </is>
      </c>
      <c r="L112" s="35">
        <f>IF(K112="FIN",3,IF(OR(K112="SEM",K112="SEMI"),2,IF(OR(K112="PRE",K112="HEAT"),1,IF(V112="YES",4,2))))</f>
        <v/>
      </c>
      <c r="M112" s="33" t="inlineStr">
        <is>
          <t>LCM</t>
        </is>
      </c>
      <c r="N112" s="33" t="n">
        <v>100</v>
      </c>
      <c r="O112" s="33" t="inlineStr">
        <is>
          <t>Fly</t>
        </is>
      </c>
      <c r="P112" s="33" t="inlineStr">
        <is>
          <t>100 Fly</t>
        </is>
      </c>
      <c r="Q112" s="33" t="inlineStr">
        <is>
          <t>LCM_100_FLY</t>
        </is>
      </c>
      <c r="R112" s="36" t="n">
        <v>56.69</v>
      </c>
      <c r="S112" s="35">
        <f>IF(R112="","",IF(R112&gt;=60,INT(R112/60)&amp;":"&amp;TEXT(MOD(R112,60),"00.00"),TEXT(R112,"0.00")))</f>
        <v/>
      </c>
      <c r="T112" s="52">
        <f>IFERROR((G112-INDEX('01_Swimmers'!$E$5:$E$22,MATCH(B112,'01_Swimmers'!$A$5:$A$22,0)))/'00_Control'!$B$10,"")</f>
        <v/>
      </c>
      <c r="U112" s="35">
        <f>IF(T112="","",INT(T112))</f>
        <v/>
      </c>
      <c r="V112" s="33" t="inlineStr">
        <is>
          <t>NO</t>
        </is>
      </c>
      <c r="W112" s="33" t="inlineStr">
        <is>
          <t>YES</t>
        </is>
      </c>
      <c r="X112" s="33" t="inlineStr">
        <is>
          <t>NO</t>
        </is>
      </c>
      <c r="Y112" s="33" t="n">
        <v>5</v>
      </c>
      <c r="Z112" s="33" t="n">
        <v>7</v>
      </c>
      <c r="AA112" s="33" t="inlineStr">
        <is>
          <t>62</t>
        </is>
      </c>
      <c r="AB112" s="33" t="inlineStr">
        <is>
          <t>https://www.swimcloud.com/results/40096/event/10/?id=151116120#time151116120</t>
        </is>
      </c>
      <c r="AC112" s="33" t="inlineStr">
        <is>
          <t>SwimCloud API v6 2026-10-08</t>
        </is>
      </c>
      <c r="AD112" s="33" t="inlineStr">
        <is>
          <t>Caeleb Dressel|2015-05-15|LCM|100|Fly|56.69|2015 Arena Pro Swim Series - Charlotte|PRE|False</t>
        </is>
      </c>
      <c r="AE112" s="53">
        <f>G112+L112/1000+ROW()/1000000000</f>
        <v/>
      </c>
      <c r="AF112" s="35">
        <f>IF(C112&lt;&gt;"Grayson Coulter","",COUNTIFS($C$5:$C$2991,"Grayson Coulter",$Q$5:$Q$2991,Q112,$AE$5:$AE$2991,"&lt;="&amp;AE112,$R$5:$R$2991,"&lt;"&amp;R112))</f>
        <v/>
      </c>
      <c r="AG112" s="35">
        <f>IF(OR(C112&lt;&gt;"Grayson Coulter",G112&lt;'00_Control'!$B$7),"",--(AF112&lt;5))</f>
        <v/>
      </c>
      <c r="AH112" s="35">
        <f>IF(OR(C112&lt;&gt;"Grayson Coulter",G112&lt;'00_Control'!$B$7),"",--(AF112&lt;10))</f>
        <v/>
      </c>
      <c r="AI112" s="35">
        <f>IF(AND(C112="Grayson Coulter",G112&gt;='00_Control'!$B$7),"YES","NO")</f>
        <v/>
      </c>
      <c r="AJ112" s="33" t="inlineStr">
        <is>
          <t>OK</t>
        </is>
      </c>
    </row>
    <row r="113">
      <c r="A113" s="33" t="inlineStr">
        <is>
          <t>SM000109</t>
        </is>
      </c>
      <c r="B113" s="33" t="inlineStr">
        <is>
          <t>SW010</t>
        </is>
      </c>
      <c r="C113" s="33" t="inlineStr">
        <is>
          <t>Caeleb Dressel</t>
        </is>
      </c>
      <c r="D113" s="33" t="inlineStr">
        <is>
          <t>SwimCloud</t>
        </is>
      </c>
      <c r="E113" s="33" t="inlineStr">
        <is>
          <t>2361642</t>
        </is>
      </c>
      <c r="F113" s="33" t="inlineStr">
        <is>
          <t>151116891</t>
        </is>
      </c>
      <c r="G113" s="51" t="n">
        <v>42139</v>
      </c>
      <c r="H113" s="33" t="inlineStr">
        <is>
          <t>2015 Arena Pro Swim Series - Charlotte</t>
        </is>
      </c>
      <c r="I113" s="33" t="inlineStr">
        <is>
          <t>40096</t>
        </is>
      </c>
      <c r="J113" s="33" t="inlineStr"/>
      <c r="K113" s="33" t="inlineStr">
        <is>
          <t>PRE</t>
        </is>
      </c>
      <c r="L113" s="35">
        <f>IF(K113="FIN",3,IF(OR(K113="SEM",K113="SEMI"),2,IF(OR(K113="PRE",K113="HEAT"),1,IF(V113="YES",4,2))))</f>
        <v/>
      </c>
      <c r="M113" s="33" t="inlineStr">
        <is>
          <t>LCM</t>
        </is>
      </c>
      <c r="N113" s="33" t="n">
        <v>200</v>
      </c>
      <c r="O113" s="33" t="inlineStr">
        <is>
          <t>Free</t>
        </is>
      </c>
      <c r="P113" s="33" t="inlineStr">
        <is>
          <t>200 Free</t>
        </is>
      </c>
      <c r="Q113" s="33" t="inlineStr">
        <is>
          <t>LCM_200_FREE</t>
        </is>
      </c>
      <c r="R113" s="36" t="n">
        <v>117.45</v>
      </c>
      <c r="S113" s="35">
        <f>IF(R113="","",IF(R113&gt;=60,INT(R113/60)&amp;":"&amp;TEXT(MOD(R113,60),"00.00"),TEXT(R113,"0.00")))</f>
        <v/>
      </c>
      <c r="T113" s="52">
        <f>IFERROR((G113-INDEX('01_Swimmers'!$E$5:$E$22,MATCH(B113,'01_Swimmers'!$A$5:$A$22,0)))/'00_Control'!$B$10,"")</f>
        <v/>
      </c>
      <c r="U113" s="35">
        <f>IF(T113="","",INT(T113))</f>
        <v/>
      </c>
      <c r="V113" s="33" t="inlineStr">
        <is>
          <t>NO</t>
        </is>
      </c>
      <c r="W113" s="33" t="inlineStr">
        <is>
          <t>YES</t>
        </is>
      </c>
      <c r="X113" s="33" t="inlineStr">
        <is>
          <t>NO</t>
        </is>
      </c>
      <c r="Y113" s="33" t="n">
        <v>6</v>
      </c>
      <c r="Z113" s="33" t="n">
        <v>7</v>
      </c>
      <c r="AA113" s="33" t="inlineStr">
        <is>
          <t>83</t>
        </is>
      </c>
      <c r="AB113" s="33" t="inlineStr">
        <is>
          <t>https://www.swimcloud.com/results/40096/event/4/?id=151116891#time151116891</t>
        </is>
      </c>
      <c r="AC113" s="33" t="inlineStr">
        <is>
          <t>SwimCloud API v6 2026-10-08</t>
        </is>
      </c>
      <c r="AD113" s="33" t="inlineStr">
        <is>
          <t>Caeleb Dressel|2015-05-15|LCM|200|Free|117.45|2015 Arena Pro Swim Series - Charlotte|PRE|False</t>
        </is>
      </c>
      <c r="AE113" s="53">
        <f>G113+L113/1000+ROW()/1000000000</f>
        <v/>
      </c>
      <c r="AF113" s="35">
        <f>IF(C113&lt;&gt;"Grayson Coulter","",COUNTIFS($C$5:$C$2991,"Grayson Coulter",$Q$5:$Q$2991,Q113,$AE$5:$AE$2991,"&lt;="&amp;AE113,$R$5:$R$2991,"&lt;"&amp;R113))</f>
        <v/>
      </c>
      <c r="AG113" s="35">
        <f>IF(OR(C113&lt;&gt;"Grayson Coulter",G113&lt;'00_Control'!$B$7),"",--(AF113&lt;5))</f>
        <v/>
      </c>
      <c r="AH113" s="35">
        <f>IF(OR(C113&lt;&gt;"Grayson Coulter",G113&lt;'00_Control'!$B$7),"",--(AF113&lt;10))</f>
        <v/>
      </c>
      <c r="AI113" s="35">
        <f>IF(AND(C113="Grayson Coulter",G113&gt;='00_Control'!$B$7),"YES","NO")</f>
        <v/>
      </c>
      <c r="AJ113" s="33" t="inlineStr">
        <is>
          <t>OK</t>
        </is>
      </c>
    </row>
    <row r="114">
      <c r="A114" s="33" t="inlineStr">
        <is>
          <t>SM000110</t>
        </is>
      </c>
      <c r="B114" s="33" t="inlineStr">
        <is>
          <t>SW010</t>
        </is>
      </c>
      <c r="C114" s="33" t="inlineStr">
        <is>
          <t>Caeleb Dressel</t>
        </is>
      </c>
      <c r="D114" s="33" t="inlineStr">
        <is>
          <t>SwimCloud</t>
        </is>
      </c>
      <c r="E114" s="33" t="inlineStr">
        <is>
          <t>2361642</t>
        </is>
      </c>
      <c r="F114" s="33" t="inlineStr">
        <is>
          <t>151116497</t>
        </is>
      </c>
      <c r="G114" s="51" t="n">
        <v>42141</v>
      </c>
      <c r="H114" s="33" t="inlineStr">
        <is>
          <t>2015 Arena Pro Swim Series - Charlotte</t>
        </is>
      </c>
      <c r="I114" s="33" t="inlineStr">
        <is>
          <t>40096</t>
        </is>
      </c>
      <c r="J114" s="33" t="inlineStr"/>
      <c r="K114" s="33" t="inlineStr">
        <is>
          <t>PRE</t>
        </is>
      </c>
      <c r="L114" s="35">
        <f>IF(K114="FIN",3,IF(OR(K114="SEM",K114="SEMI"),2,IF(OR(K114="PRE",K114="HEAT"),1,IF(V114="YES",4,2))))</f>
        <v/>
      </c>
      <c r="M114" s="33" t="inlineStr">
        <is>
          <t>LCM</t>
        </is>
      </c>
      <c r="N114" s="33" t="n">
        <v>100</v>
      </c>
      <c r="O114" s="33" t="inlineStr">
        <is>
          <t>Free</t>
        </is>
      </c>
      <c r="P114" s="33" t="inlineStr">
        <is>
          <t>100 Free</t>
        </is>
      </c>
      <c r="Q114" s="33" t="inlineStr">
        <is>
          <t>LCM_100_FREE</t>
        </is>
      </c>
      <c r="R114" s="36" t="n">
        <v>52.49</v>
      </c>
      <c r="S114" s="35">
        <f>IF(R114="","",IF(R114&gt;=60,INT(R114/60)&amp;":"&amp;TEXT(MOD(R114,60),"00.00"),TEXT(R114,"0.00")))</f>
        <v/>
      </c>
      <c r="T114" s="52">
        <f>IFERROR((G114-INDEX('01_Swimmers'!$E$5:$E$22,MATCH(B114,'01_Swimmers'!$A$5:$A$22,0)))/'00_Control'!$B$10,"")</f>
        <v/>
      </c>
      <c r="U114" s="35">
        <f>IF(T114="","",INT(T114))</f>
        <v/>
      </c>
      <c r="V114" s="33" t="inlineStr">
        <is>
          <t>NO</t>
        </is>
      </c>
      <c r="W114" s="33" t="inlineStr">
        <is>
          <t>YES</t>
        </is>
      </c>
      <c r="X114" s="33" t="inlineStr">
        <is>
          <t>NO</t>
        </is>
      </c>
      <c r="Y114" s="33" t="n">
        <v>7</v>
      </c>
      <c r="Z114" s="33" t="n">
        <v>2</v>
      </c>
      <c r="AA114" s="33" t="inlineStr">
        <is>
          <t>61</t>
        </is>
      </c>
      <c r="AB114" s="33" t="inlineStr">
        <is>
          <t>https://www.swimcloud.com/results/40096/event/37/?id=151116497#time151116497</t>
        </is>
      </c>
      <c r="AC114" s="33" t="inlineStr">
        <is>
          <t>SwimCloud API v6 2026-10-08</t>
        </is>
      </c>
      <c r="AD114" s="33" t="inlineStr">
        <is>
          <t>Caeleb Dressel|2015-05-17|LCM|100|Free|52.49|2015 Arena Pro Swim Series - Charlotte|PRE|False</t>
        </is>
      </c>
      <c r="AE114" s="53">
        <f>G114+L114/1000+ROW()/1000000000</f>
        <v/>
      </c>
      <c r="AF114" s="35">
        <f>IF(C114&lt;&gt;"Grayson Coulter","",COUNTIFS($C$5:$C$2991,"Grayson Coulter",$Q$5:$Q$2991,Q114,$AE$5:$AE$2991,"&lt;="&amp;AE114,$R$5:$R$2991,"&lt;"&amp;R114))</f>
        <v/>
      </c>
      <c r="AG114" s="35">
        <f>IF(OR(C114&lt;&gt;"Grayson Coulter",G114&lt;'00_Control'!$B$7),"",--(AF114&lt;5))</f>
        <v/>
      </c>
      <c r="AH114" s="35">
        <f>IF(OR(C114&lt;&gt;"Grayson Coulter",G114&lt;'00_Control'!$B$7),"",--(AF114&lt;10))</f>
        <v/>
      </c>
      <c r="AI114" s="35">
        <f>IF(AND(C114="Grayson Coulter",G114&gt;='00_Control'!$B$7),"YES","NO")</f>
        <v/>
      </c>
      <c r="AJ114" s="33" t="inlineStr">
        <is>
          <t>OK</t>
        </is>
      </c>
    </row>
    <row r="115">
      <c r="A115" s="33" t="inlineStr">
        <is>
          <t>SM000111</t>
        </is>
      </c>
      <c r="B115" s="33" t="inlineStr">
        <is>
          <t>SW010</t>
        </is>
      </c>
      <c r="C115" s="33" t="inlineStr">
        <is>
          <t>Caeleb Dressel</t>
        </is>
      </c>
      <c r="D115" s="33" t="inlineStr">
        <is>
          <t>SwimCloud</t>
        </is>
      </c>
      <c r="E115" s="33" t="inlineStr">
        <is>
          <t>2361642</t>
        </is>
      </c>
      <c r="F115" s="33" t="inlineStr">
        <is>
          <t>6428494</t>
        </is>
      </c>
      <c r="G115" s="51" t="n">
        <v>42195</v>
      </c>
      <c r="H115" s="33" t="inlineStr">
        <is>
          <t>Southern Zone Senior Championships</t>
        </is>
      </c>
      <c r="I115" s="33" t="inlineStr">
        <is>
          <t>39838</t>
        </is>
      </c>
      <c r="J115" s="33" t="inlineStr"/>
      <c r="K115" s="33" t="inlineStr">
        <is>
          <t>PRE</t>
        </is>
      </c>
      <c r="L115" s="35">
        <f>IF(K115="FIN",3,IF(OR(K115="SEM",K115="SEMI"),2,IF(OR(K115="PRE",K115="HEAT"),1,IF(V115="YES",4,2))))</f>
        <v/>
      </c>
      <c r="M115" s="33" t="inlineStr">
        <is>
          <t>LCM</t>
        </is>
      </c>
      <c r="N115" s="33" t="n">
        <v>100</v>
      </c>
      <c r="O115" s="33" t="inlineStr">
        <is>
          <t>Fly</t>
        </is>
      </c>
      <c r="P115" s="33" t="inlineStr">
        <is>
          <t>100 Fly</t>
        </is>
      </c>
      <c r="Q115" s="33" t="inlineStr">
        <is>
          <t>LCM_100_FLY</t>
        </is>
      </c>
      <c r="R115" s="36" t="n">
        <v>54.95</v>
      </c>
      <c r="S115" s="35">
        <f>IF(R115="","",IF(R115&gt;=60,INT(R115/60)&amp;":"&amp;TEXT(MOD(R115,60),"00.00"),TEXT(R115,"0.00")))</f>
        <v/>
      </c>
      <c r="T115" s="52">
        <f>IFERROR((G115-INDEX('01_Swimmers'!$E$5:$E$22,MATCH(B115,'01_Swimmers'!$A$5:$A$22,0)))/'00_Control'!$B$10,"")</f>
        <v/>
      </c>
      <c r="U115" s="35">
        <f>IF(T115="","",INT(T115))</f>
        <v/>
      </c>
      <c r="V115" s="33" t="inlineStr">
        <is>
          <t>NO</t>
        </is>
      </c>
      <c r="W115" s="33" t="inlineStr">
        <is>
          <t>YES</t>
        </is>
      </c>
      <c r="X115" s="33" t="inlineStr">
        <is>
          <t>NO</t>
        </is>
      </c>
      <c r="Y115" s="33" t="n">
        <v>18</v>
      </c>
      <c r="Z115" s="33" t="n">
        <v>4</v>
      </c>
      <c r="AA115" s="33" t="inlineStr">
        <is>
          <t>3</t>
        </is>
      </c>
      <c r="AB115" s="33" t="inlineStr">
        <is>
          <t>https://www.swimcloud.com/results/39838/event/14/?id=6428494#time6428494</t>
        </is>
      </c>
      <c r="AC115" s="33" t="inlineStr">
        <is>
          <t>SwimCloud API v6 2026-10-08</t>
        </is>
      </c>
      <c r="AD115" s="33" t="inlineStr">
        <is>
          <t>Caeleb Dressel|2015-07-10|LCM|100|Fly|54.95|Southern Zone Senior Championships|PRE|False</t>
        </is>
      </c>
      <c r="AE115" s="53">
        <f>G115+L115/1000+ROW()/1000000000</f>
        <v/>
      </c>
      <c r="AF115" s="35">
        <f>IF(C115&lt;&gt;"Grayson Coulter","",COUNTIFS($C$5:$C$2991,"Grayson Coulter",$Q$5:$Q$2991,Q115,$AE$5:$AE$2991,"&lt;="&amp;AE115,$R$5:$R$2991,"&lt;"&amp;R115))</f>
        <v/>
      </c>
      <c r="AG115" s="35">
        <f>IF(OR(C115&lt;&gt;"Grayson Coulter",G115&lt;'00_Control'!$B$7),"",--(AF115&lt;5))</f>
        <v/>
      </c>
      <c r="AH115" s="35">
        <f>IF(OR(C115&lt;&gt;"Grayson Coulter",G115&lt;'00_Control'!$B$7),"",--(AF115&lt;10))</f>
        <v/>
      </c>
      <c r="AI115" s="35">
        <f>IF(AND(C115="Grayson Coulter",G115&gt;='00_Control'!$B$7),"YES","NO")</f>
        <v/>
      </c>
      <c r="AJ115" s="33" t="inlineStr">
        <is>
          <t>OK</t>
        </is>
      </c>
    </row>
    <row r="116">
      <c r="A116" s="33" t="inlineStr">
        <is>
          <t>SM000112</t>
        </is>
      </c>
      <c r="B116" s="33" t="inlineStr">
        <is>
          <t>SW010</t>
        </is>
      </c>
      <c r="C116" s="33" t="inlineStr">
        <is>
          <t>Caeleb Dressel</t>
        </is>
      </c>
      <c r="D116" s="33" t="inlineStr">
        <is>
          <t>SwimCloud</t>
        </is>
      </c>
      <c r="E116" s="33" t="inlineStr">
        <is>
          <t>2361642</t>
        </is>
      </c>
      <c r="F116" s="33" t="inlineStr">
        <is>
          <t>6522397</t>
        </is>
      </c>
      <c r="G116" s="51" t="n">
        <v>42195</v>
      </c>
      <c r="H116" s="33" t="inlineStr">
        <is>
          <t>Speedo Champions Series - Orlando</t>
        </is>
      </c>
      <c r="I116" s="33" t="inlineStr">
        <is>
          <t>42623</t>
        </is>
      </c>
      <c r="J116" s="33" t="inlineStr"/>
      <c r="K116" s="33" t="inlineStr">
        <is>
          <t>PRE</t>
        </is>
      </c>
      <c r="L116" s="35">
        <f>IF(K116="FIN",3,IF(OR(K116="SEM",K116="SEMI"),2,IF(OR(K116="PRE",K116="HEAT"),1,IF(V116="YES",4,2))))</f>
        <v/>
      </c>
      <c r="M116" s="33" t="inlineStr">
        <is>
          <t>LCM</t>
        </is>
      </c>
      <c r="N116" s="33" t="n">
        <v>100</v>
      </c>
      <c r="O116" s="33" t="inlineStr">
        <is>
          <t>Fly</t>
        </is>
      </c>
      <c r="P116" s="33" t="inlineStr">
        <is>
          <t>100 Fly</t>
        </is>
      </c>
      <c r="Q116" s="33" t="inlineStr">
        <is>
          <t>LCM_100_FLY</t>
        </is>
      </c>
      <c r="R116" s="36" t="n">
        <v>54.95</v>
      </c>
      <c r="S116" s="35">
        <f>IF(R116="","",IF(R116&gt;=60,INT(R116/60)&amp;":"&amp;TEXT(MOD(R116,60),"00.00"),TEXT(R116,"0.00")))</f>
        <v/>
      </c>
      <c r="T116" s="52">
        <f>IFERROR((G116-INDEX('01_Swimmers'!$E$5:$E$22,MATCH(B116,'01_Swimmers'!$A$5:$A$22,0)))/'00_Control'!$B$10,"")</f>
        <v/>
      </c>
      <c r="U116" s="35">
        <f>IF(T116="","",INT(T116))</f>
        <v/>
      </c>
      <c r="V116" s="33" t="inlineStr">
        <is>
          <t>NO</t>
        </is>
      </c>
      <c r="W116" s="33" t="inlineStr">
        <is>
          <t>YES</t>
        </is>
      </c>
      <c r="X116" s="33" t="inlineStr">
        <is>
          <t>NO</t>
        </is>
      </c>
      <c r="Y116" s="33" t="n">
        <v>18</v>
      </c>
      <c r="Z116" s="33" t="n">
        <v>4</v>
      </c>
      <c r="AA116" s="33" t="inlineStr">
        <is>
          <t>3</t>
        </is>
      </c>
      <c r="AB116" s="33" t="inlineStr">
        <is>
          <t>https://www.swimcloud.com/results/42623/event/14/?id=6522397#time6522397</t>
        </is>
      </c>
      <c r="AC116" s="33" t="inlineStr">
        <is>
          <t>SwimCloud API v6 2026-10-08</t>
        </is>
      </c>
      <c r="AD116" s="33" t="inlineStr">
        <is>
          <t>Caeleb Dressel|2015-07-10|LCM|100|Fly|54.95|Speedo Champions Series - Orlando|PRE|False</t>
        </is>
      </c>
      <c r="AE116" s="53">
        <f>G116+L116/1000+ROW()/1000000000</f>
        <v/>
      </c>
      <c r="AF116" s="35">
        <f>IF(C116&lt;&gt;"Grayson Coulter","",COUNTIFS($C$5:$C$2991,"Grayson Coulter",$Q$5:$Q$2991,Q116,$AE$5:$AE$2991,"&lt;="&amp;AE116,$R$5:$R$2991,"&lt;"&amp;R116))</f>
        <v/>
      </c>
      <c r="AG116" s="35">
        <f>IF(OR(C116&lt;&gt;"Grayson Coulter",G116&lt;'00_Control'!$B$7),"",--(AF116&lt;5))</f>
        <v/>
      </c>
      <c r="AH116" s="35">
        <f>IF(OR(C116&lt;&gt;"Grayson Coulter",G116&lt;'00_Control'!$B$7),"",--(AF116&lt;10))</f>
        <v/>
      </c>
      <c r="AI116" s="35">
        <f>IF(AND(C116="Grayson Coulter",G116&gt;='00_Control'!$B$7),"YES","NO")</f>
        <v/>
      </c>
      <c r="AJ116" s="33" t="inlineStr">
        <is>
          <t>OK</t>
        </is>
      </c>
    </row>
    <row r="117">
      <c r="A117" s="33" t="inlineStr">
        <is>
          <t>SM000113</t>
        </is>
      </c>
      <c r="B117" s="33" t="inlineStr">
        <is>
          <t>SW010</t>
        </is>
      </c>
      <c r="C117" s="33" t="inlineStr">
        <is>
          <t>Caeleb Dressel</t>
        </is>
      </c>
      <c r="D117" s="33" t="inlineStr">
        <is>
          <t>SwimCloud</t>
        </is>
      </c>
      <c r="E117" s="33" t="inlineStr">
        <is>
          <t>2361642</t>
        </is>
      </c>
      <c r="F117" s="33" t="inlineStr">
        <is>
          <t>6428648</t>
        </is>
      </c>
      <c r="G117" s="51" t="n">
        <v>42195</v>
      </c>
      <c r="H117" s="33" t="inlineStr">
        <is>
          <t>Southern Zone Senior Championships</t>
        </is>
      </c>
      <c r="I117" s="33" t="inlineStr">
        <is>
          <t>39838</t>
        </is>
      </c>
      <c r="J117" s="33" t="inlineStr"/>
      <c r="K117" s="33" t="inlineStr">
        <is>
          <t>FIN</t>
        </is>
      </c>
      <c r="L117" s="35">
        <f>IF(K117="FIN",3,IF(OR(K117="SEM",K117="SEMI"),2,IF(OR(K117="PRE",K117="HEAT"),1,IF(V117="YES",4,2))))</f>
        <v/>
      </c>
      <c r="M117" s="33" t="inlineStr">
        <is>
          <t>LCM</t>
        </is>
      </c>
      <c r="N117" s="33" t="n">
        <v>100</v>
      </c>
      <c r="O117" s="33" t="inlineStr">
        <is>
          <t>Fly</t>
        </is>
      </c>
      <c r="P117" s="33" t="inlineStr">
        <is>
          <t>100 Fly</t>
        </is>
      </c>
      <c r="Q117" s="33" t="inlineStr">
        <is>
          <t>LCM_100_FLY</t>
        </is>
      </c>
      <c r="R117" s="36" t="n">
        <v>52.96</v>
      </c>
      <c r="S117" s="35">
        <f>IF(R117="","",IF(R117&gt;=60,INT(R117/60)&amp;":"&amp;TEXT(MOD(R117,60),"00.00"),TEXT(R117,"0.00")))</f>
        <v/>
      </c>
      <c r="T117" s="52">
        <f>IFERROR((G117-INDEX('01_Swimmers'!$E$5:$E$22,MATCH(B117,'01_Swimmers'!$A$5:$A$22,0)))/'00_Control'!$B$10,"")</f>
        <v/>
      </c>
      <c r="U117" s="35">
        <f>IF(T117="","",INT(T117))</f>
        <v/>
      </c>
      <c r="V117" s="33" t="inlineStr">
        <is>
          <t>NO</t>
        </is>
      </c>
      <c r="W117" s="33" t="inlineStr">
        <is>
          <t>YES</t>
        </is>
      </c>
      <c r="X117" s="33" t="inlineStr">
        <is>
          <t>NO</t>
        </is>
      </c>
      <c r="Y117" s="33" t="n">
        <v>1</v>
      </c>
      <c r="Z117" s="33" t="n">
        <v>3</v>
      </c>
      <c r="AA117" s="33" t="inlineStr">
        <is>
          <t>1</t>
        </is>
      </c>
      <c r="AB117" s="33" t="inlineStr">
        <is>
          <t>https://www.swimcloud.com/results/39838/event/14/?id=6428648#time6428648</t>
        </is>
      </c>
      <c r="AC117" s="33" t="inlineStr">
        <is>
          <t>SwimCloud API v6 2026-10-08</t>
        </is>
      </c>
      <c r="AD117" s="33" t="inlineStr">
        <is>
          <t>Caeleb Dressel|2015-07-10|LCM|100|Fly|52.96|Southern Zone Senior Championships|FIN|False</t>
        </is>
      </c>
      <c r="AE117" s="53">
        <f>G117+L117/1000+ROW()/1000000000</f>
        <v/>
      </c>
      <c r="AF117" s="35">
        <f>IF(C117&lt;&gt;"Grayson Coulter","",COUNTIFS($C$5:$C$2991,"Grayson Coulter",$Q$5:$Q$2991,Q117,$AE$5:$AE$2991,"&lt;="&amp;AE117,$R$5:$R$2991,"&lt;"&amp;R117))</f>
        <v/>
      </c>
      <c r="AG117" s="35">
        <f>IF(OR(C117&lt;&gt;"Grayson Coulter",G117&lt;'00_Control'!$B$7),"",--(AF117&lt;5))</f>
        <v/>
      </c>
      <c r="AH117" s="35">
        <f>IF(OR(C117&lt;&gt;"Grayson Coulter",G117&lt;'00_Control'!$B$7),"",--(AF117&lt;10))</f>
        <v/>
      </c>
      <c r="AI117" s="35">
        <f>IF(AND(C117="Grayson Coulter",G117&gt;='00_Control'!$B$7),"YES","NO")</f>
        <v/>
      </c>
      <c r="AJ117" s="33" t="inlineStr">
        <is>
          <t>OK</t>
        </is>
      </c>
    </row>
    <row r="118">
      <c r="A118" s="33" t="inlineStr">
        <is>
          <t>SM000114</t>
        </is>
      </c>
      <c r="B118" s="33" t="inlineStr">
        <is>
          <t>SW010</t>
        </is>
      </c>
      <c r="C118" s="33" t="inlineStr">
        <is>
          <t>Caeleb Dressel</t>
        </is>
      </c>
      <c r="D118" s="33" t="inlineStr">
        <is>
          <t>SwimCloud</t>
        </is>
      </c>
      <c r="E118" s="33" t="inlineStr">
        <is>
          <t>2361642</t>
        </is>
      </c>
      <c r="F118" s="33" t="inlineStr">
        <is>
          <t>6522551</t>
        </is>
      </c>
      <c r="G118" s="51" t="n">
        <v>42195</v>
      </c>
      <c r="H118" s="33" t="inlineStr">
        <is>
          <t>Speedo Champions Series - Orlando</t>
        </is>
      </c>
      <c r="I118" s="33" t="inlineStr">
        <is>
          <t>42623</t>
        </is>
      </c>
      <c r="J118" s="33" t="inlineStr"/>
      <c r="K118" s="33" t="inlineStr">
        <is>
          <t>FIN</t>
        </is>
      </c>
      <c r="L118" s="35">
        <f>IF(K118="FIN",3,IF(OR(K118="SEM",K118="SEMI"),2,IF(OR(K118="PRE",K118="HEAT"),1,IF(V118="YES",4,2))))</f>
        <v/>
      </c>
      <c r="M118" s="33" t="inlineStr">
        <is>
          <t>LCM</t>
        </is>
      </c>
      <c r="N118" s="33" t="n">
        <v>100</v>
      </c>
      <c r="O118" s="33" t="inlineStr">
        <is>
          <t>Fly</t>
        </is>
      </c>
      <c r="P118" s="33" t="inlineStr">
        <is>
          <t>100 Fly</t>
        </is>
      </c>
      <c r="Q118" s="33" t="inlineStr">
        <is>
          <t>LCM_100_FLY</t>
        </is>
      </c>
      <c r="R118" s="36" t="n">
        <v>52.96</v>
      </c>
      <c r="S118" s="35">
        <f>IF(R118="","",IF(R118&gt;=60,INT(R118/60)&amp;":"&amp;TEXT(MOD(R118,60),"00.00"),TEXT(R118,"0.00")))</f>
        <v/>
      </c>
      <c r="T118" s="52">
        <f>IFERROR((G118-INDEX('01_Swimmers'!$E$5:$E$22,MATCH(B118,'01_Swimmers'!$A$5:$A$22,0)))/'00_Control'!$B$10,"")</f>
        <v/>
      </c>
      <c r="U118" s="35">
        <f>IF(T118="","",INT(T118))</f>
        <v/>
      </c>
      <c r="V118" s="33" t="inlineStr">
        <is>
          <t>NO</t>
        </is>
      </c>
      <c r="W118" s="33" t="inlineStr">
        <is>
          <t>YES</t>
        </is>
      </c>
      <c r="X118" s="33" t="inlineStr">
        <is>
          <t>NO</t>
        </is>
      </c>
      <c r="Y118" s="33" t="n">
        <v>1</v>
      </c>
      <c r="Z118" s="33" t="n">
        <v>3</v>
      </c>
      <c r="AA118" s="33" t="inlineStr">
        <is>
          <t>1</t>
        </is>
      </c>
      <c r="AB118" s="33" t="inlineStr">
        <is>
          <t>https://www.swimcloud.com/results/42623/event/14/?id=6522551#time6522551</t>
        </is>
      </c>
      <c r="AC118" s="33" t="inlineStr">
        <is>
          <t>SwimCloud API v6 2026-10-08</t>
        </is>
      </c>
      <c r="AD118" s="33" t="inlineStr">
        <is>
          <t>Caeleb Dressel|2015-07-10|LCM|100|Fly|52.96|Speedo Champions Series - Orlando|FIN|False</t>
        </is>
      </c>
      <c r="AE118" s="53">
        <f>G118+L118/1000+ROW()/1000000000</f>
        <v/>
      </c>
      <c r="AF118" s="35">
        <f>IF(C118&lt;&gt;"Grayson Coulter","",COUNTIFS($C$5:$C$2991,"Grayson Coulter",$Q$5:$Q$2991,Q118,$AE$5:$AE$2991,"&lt;="&amp;AE118,$R$5:$R$2991,"&lt;"&amp;R118))</f>
        <v/>
      </c>
      <c r="AG118" s="35">
        <f>IF(OR(C118&lt;&gt;"Grayson Coulter",G118&lt;'00_Control'!$B$7),"",--(AF118&lt;5))</f>
        <v/>
      </c>
      <c r="AH118" s="35">
        <f>IF(OR(C118&lt;&gt;"Grayson Coulter",G118&lt;'00_Control'!$B$7),"",--(AF118&lt;10))</f>
        <v/>
      </c>
      <c r="AI118" s="35">
        <f>IF(AND(C118="Grayson Coulter",G118&gt;='00_Control'!$B$7),"YES","NO")</f>
        <v/>
      </c>
      <c r="AJ118" s="33" t="inlineStr">
        <is>
          <t>OK</t>
        </is>
      </c>
    </row>
    <row r="119">
      <c r="A119" s="33" t="inlineStr">
        <is>
          <t>SM000115</t>
        </is>
      </c>
      <c r="B119" s="33" t="inlineStr">
        <is>
          <t>SW010</t>
        </is>
      </c>
      <c r="C119" s="33" t="inlineStr">
        <is>
          <t>Caeleb Dressel</t>
        </is>
      </c>
      <c r="D119" s="33" t="inlineStr">
        <is>
          <t>SwimCloud</t>
        </is>
      </c>
      <c r="E119" s="33" t="inlineStr">
        <is>
          <t>2361642</t>
        </is>
      </c>
      <c r="F119" s="33" t="inlineStr">
        <is>
          <t>6428318</t>
        </is>
      </c>
      <c r="G119" s="51" t="n">
        <v>42195</v>
      </c>
      <c r="H119" s="33" t="inlineStr">
        <is>
          <t>Southern Zone Senior Championships</t>
        </is>
      </c>
      <c r="I119" s="33" t="inlineStr">
        <is>
          <t>39838</t>
        </is>
      </c>
      <c r="J119" s="33" t="inlineStr"/>
      <c r="K119" s="33" t="inlineStr">
        <is>
          <t>PRE</t>
        </is>
      </c>
      <c r="L119" s="35">
        <f>IF(K119="FIN",3,IF(OR(K119="SEM",K119="SEMI"),2,IF(OR(K119="PRE",K119="HEAT"),1,IF(V119="YES",4,2))))</f>
        <v/>
      </c>
      <c r="M119" s="33" t="inlineStr">
        <is>
          <t>LCM</t>
        </is>
      </c>
      <c r="N119" s="33" t="n">
        <v>200</v>
      </c>
      <c r="O119" s="33" t="inlineStr">
        <is>
          <t>Free</t>
        </is>
      </c>
      <c r="P119" s="33" t="inlineStr">
        <is>
          <t>200 Free</t>
        </is>
      </c>
      <c r="Q119" s="33" t="inlineStr">
        <is>
          <t>LCM_200_FREE</t>
        </is>
      </c>
      <c r="R119" s="36" t="n">
        <v>112.85</v>
      </c>
      <c r="S119" s="35">
        <f>IF(R119="","",IF(R119&gt;=60,INT(R119/60)&amp;":"&amp;TEXT(MOD(R119,60),"00.00"),TEXT(R119,"0.00")))</f>
        <v/>
      </c>
      <c r="T119" s="52">
        <f>IFERROR((G119-INDEX('01_Swimmers'!$E$5:$E$22,MATCH(B119,'01_Swimmers'!$A$5:$A$22,0)))/'00_Control'!$B$10,"")</f>
        <v/>
      </c>
      <c r="U119" s="35">
        <f>IF(T119="","",INT(T119))</f>
        <v/>
      </c>
      <c r="V119" s="33" t="inlineStr">
        <is>
          <t>NO</t>
        </is>
      </c>
      <c r="W119" s="33" t="inlineStr">
        <is>
          <t>YES</t>
        </is>
      </c>
      <c r="X119" s="33" t="inlineStr">
        <is>
          <t>NO</t>
        </is>
      </c>
      <c r="Y119" s="33" t="n">
        <v>5</v>
      </c>
      <c r="Z119" s="33" t="n">
        <v>4</v>
      </c>
      <c r="AA119" s="33" t="inlineStr">
        <is>
          <t>2</t>
        </is>
      </c>
      <c r="AB119" s="33" t="inlineStr">
        <is>
          <t>https://www.swimcloud.com/results/39838/event/8/?id=6428318#time6428318</t>
        </is>
      </c>
      <c r="AC119" s="33" t="inlineStr">
        <is>
          <t>SwimCloud API v6 2026-10-08</t>
        </is>
      </c>
      <c r="AD119" s="33" t="inlineStr">
        <is>
          <t>Caeleb Dressel|2015-07-10|LCM|200|Free|112.85|Southern Zone Senior Championships|PRE|False</t>
        </is>
      </c>
      <c r="AE119" s="53">
        <f>G119+L119/1000+ROW()/1000000000</f>
        <v/>
      </c>
      <c r="AF119" s="35">
        <f>IF(C119&lt;&gt;"Grayson Coulter","",COUNTIFS($C$5:$C$2991,"Grayson Coulter",$Q$5:$Q$2991,Q119,$AE$5:$AE$2991,"&lt;="&amp;AE119,$R$5:$R$2991,"&lt;"&amp;R119))</f>
        <v/>
      </c>
      <c r="AG119" s="35">
        <f>IF(OR(C119&lt;&gt;"Grayson Coulter",G119&lt;'00_Control'!$B$7),"",--(AF119&lt;5))</f>
        <v/>
      </c>
      <c r="AH119" s="35">
        <f>IF(OR(C119&lt;&gt;"Grayson Coulter",G119&lt;'00_Control'!$B$7),"",--(AF119&lt;10))</f>
        <v/>
      </c>
      <c r="AI119" s="35">
        <f>IF(AND(C119="Grayson Coulter",G119&gt;='00_Control'!$B$7),"YES","NO")</f>
        <v/>
      </c>
      <c r="AJ119" s="33" t="inlineStr">
        <is>
          <t>OK</t>
        </is>
      </c>
    </row>
    <row r="120">
      <c r="A120" s="33" t="inlineStr">
        <is>
          <t>SM000116</t>
        </is>
      </c>
      <c r="B120" s="33" t="inlineStr">
        <is>
          <t>SW010</t>
        </is>
      </c>
      <c r="C120" s="33" t="inlineStr">
        <is>
          <t>Caeleb Dressel</t>
        </is>
      </c>
      <c r="D120" s="33" t="inlineStr">
        <is>
          <t>SwimCloud</t>
        </is>
      </c>
      <c r="E120" s="33" t="inlineStr">
        <is>
          <t>2361642</t>
        </is>
      </c>
      <c r="F120" s="33" t="inlineStr">
        <is>
          <t>6522221</t>
        </is>
      </c>
      <c r="G120" s="51" t="n">
        <v>42195</v>
      </c>
      <c r="H120" s="33" t="inlineStr">
        <is>
          <t>Speedo Champions Series - Orlando</t>
        </is>
      </c>
      <c r="I120" s="33" t="inlineStr">
        <is>
          <t>42623</t>
        </is>
      </c>
      <c r="J120" s="33" t="inlineStr"/>
      <c r="K120" s="33" t="inlineStr">
        <is>
          <t>PRE</t>
        </is>
      </c>
      <c r="L120" s="35">
        <f>IF(K120="FIN",3,IF(OR(K120="SEM",K120="SEMI"),2,IF(OR(K120="PRE",K120="HEAT"),1,IF(V120="YES",4,2))))</f>
        <v/>
      </c>
      <c r="M120" s="33" t="inlineStr">
        <is>
          <t>LCM</t>
        </is>
      </c>
      <c r="N120" s="33" t="n">
        <v>200</v>
      </c>
      <c r="O120" s="33" t="inlineStr">
        <is>
          <t>Free</t>
        </is>
      </c>
      <c r="P120" s="33" t="inlineStr">
        <is>
          <t>200 Free</t>
        </is>
      </c>
      <c r="Q120" s="33" t="inlineStr">
        <is>
          <t>LCM_200_FREE</t>
        </is>
      </c>
      <c r="R120" s="36" t="n">
        <v>112.85</v>
      </c>
      <c r="S120" s="35">
        <f>IF(R120="","",IF(R120&gt;=60,INT(R120/60)&amp;":"&amp;TEXT(MOD(R120,60),"00.00"),TEXT(R120,"0.00")))</f>
        <v/>
      </c>
      <c r="T120" s="52">
        <f>IFERROR((G120-INDEX('01_Swimmers'!$E$5:$E$22,MATCH(B120,'01_Swimmers'!$A$5:$A$22,0)))/'00_Control'!$B$10,"")</f>
        <v/>
      </c>
      <c r="U120" s="35">
        <f>IF(T120="","",INT(T120))</f>
        <v/>
      </c>
      <c r="V120" s="33" t="inlineStr">
        <is>
          <t>NO</t>
        </is>
      </c>
      <c r="W120" s="33" t="inlineStr">
        <is>
          <t>YES</t>
        </is>
      </c>
      <c r="X120" s="33" t="inlineStr">
        <is>
          <t>NO</t>
        </is>
      </c>
      <c r="Y120" s="33" t="n">
        <v>5</v>
      </c>
      <c r="Z120" s="33" t="n">
        <v>4</v>
      </c>
      <c r="AA120" s="33" t="inlineStr">
        <is>
          <t>2</t>
        </is>
      </c>
      <c r="AB120" s="33" t="inlineStr">
        <is>
          <t>https://www.swimcloud.com/results/42623/event/8/?id=6522221#time6522221</t>
        </is>
      </c>
      <c r="AC120" s="33" t="inlineStr">
        <is>
          <t>SwimCloud API v6 2026-10-08</t>
        </is>
      </c>
      <c r="AD120" s="33" t="inlineStr">
        <is>
          <t>Caeleb Dressel|2015-07-10|LCM|200|Free|112.85|Speedo Champions Series - Orlando|PRE|False</t>
        </is>
      </c>
      <c r="AE120" s="53">
        <f>G120+L120/1000+ROW()/1000000000</f>
        <v/>
      </c>
      <c r="AF120" s="35">
        <f>IF(C120&lt;&gt;"Grayson Coulter","",COUNTIFS($C$5:$C$2991,"Grayson Coulter",$Q$5:$Q$2991,Q120,$AE$5:$AE$2991,"&lt;="&amp;AE120,$R$5:$R$2991,"&lt;"&amp;R120))</f>
        <v/>
      </c>
      <c r="AG120" s="35">
        <f>IF(OR(C120&lt;&gt;"Grayson Coulter",G120&lt;'00_Control'!$B$7),"",--(AF120&lt;5))</f>
        <v/>
      </c>
      <c r="AH120" s="35">
        <f>IF(OR(C120&lt;&gt;"Grayson Coulter",G120&lt;'00_Control'!$B$7),"",--(AF120&lt;10))</f>
        <v/>
      </c>
      <c r="AI120" s="35">
        <f>IF(AND(C120="Grayson Coulter",G120&gt;='00_Control'!$B$7),"YES","NO")</f>
        <v/>
      </c>
      <c r="AJ120" s="33" t="inlineStr">
        <is>
          <t>OK</t>
        </is>
      </c>
    </row>
    <row r="121">
      <c r="A121" s="33" t="inlineStr">
        <is>
          <t>SM000117</t>
        </is>
      </c>
      <c r="B121" s="33" t="inlineStr">
        <is>
          <t>SW010</t>
        </is>
      </c>
      <c r="C121" s="33" t="inlineStr">
        <is>
          <t>Caeleb Dressel</t>
        </is>
      </c>
      <c r="D121" s="33" t="inlineStr">
        <is>
          <t>SwimCloud</t>
        </is>
      </c>
      <c r="E121" s="33" t="inlineStr">
        <is>
          <t>2361642</t>
        </is>
      </c>
      <c r="F121" s="33" t="inlineStr">
        <is>
          <t>6428454</t>
        </is>
      </c>
      <c r="G121" s="51" t="n">
        <v>42195</v>
      </c>
      <c r="H121" s="33" t="inlineStr">
        <is>
          <t>Southern Zone Senior Championships</t>
        </is>
      </c>
      <c r="I121" s="33" t="inlineStr">
        <is>
          <t>39838</t>
        </is>
      </c>
      <c r="J121" s="33" t="inlineStr"/>
      <c r="K121" s="33" t="inlineStr">
        <is>
          <t>FIN</t>
        </is>
      </c>
      <c r="L121" s="35">
        <f>IF(K121="FIN",3,IF(OR(K121="SEM",K121="SEMI"),2,IF(OR(K121="PRE",K121="HEAT"),1,IF(V121="YES",4,2))))</f>
        <v/>
      </c>
      <c r="M121" s="33" t="inlineStr">
        <is>
          <t>LCM</t>
        </is>
      </c>
      <c r="N121" s="33" t="n">
        <v>200</v>
      </c>
      <c r="O121" s="33" t="inlineStr">
        <is>
          <t>Free</t>
        </is>
      </c>
      <c r="P121" s="33" t="inlineStr">
        <is>
          <t>200 Free</t>
        </is>
      </c>
      <c r="Q121" s="33" t="inlineStr">
        <is>
          <t>LCM_200_FREE</t>
        </is>
      </c>
      <c r="R121" s="36" t="n">
        <v>109.42</v>
      </c>
      <c r="S121" s="35">
        <f>IF(R121="","",IF(R121&gt;=60,INT(R121/60)&amp;":"&amp;TEXT(MOD(R121,60),"00.00"),TEXT(R121,"0.00")))</f>
        <v/>
      </c>
      <c r="T121" s="52">
        <f>IFERROR((G121-INDEX('01_Swimmers'!$E$5:$E$22,MATCH(B121,'01_Swimmers'!$A$5:$A$22,0)))/'00_Control'!$B$10,"")</f>
        <v/>
      </c>
      <c r="U121" s="35">
        <f>IF(T121="","",INT(T121))</f>
        <v/>
      </c>
      <c r="V121" s="33" t="inlineStr">
        <is>
          <t>NO</t>
        </is>
      </c>
      <c r="W121" s="33" t="inlineStr">
        <is>
          <t>YES</t>
        </is>
      </c>
      <c r="X121" s="33" t="inlineStr">
        <is>
          <t>NO</t>
        </is>
      </c>
      <c r="Y121" s="33" t="n">
        <v>1</v>
      </c>
      <c r="Z121" s="33" t="n">
        <v>5</v>
      </c>
      <c r="AA121" s="33" t="inlineStr">
        <is>
          <t>1</t>
        </is>
      </c>
      <c r="AB121" s="33" t="inlineStr">
        <is>
          <t>https://www.swimcloud.com/results/39838/event/8/?id=6428454#time6428454</t>
        </is>
      </c>
      <c r="AC121" s="33" t="inlineStr">
        <is>
          <t>SwimCloud API v6 2026-10-08</t>
        </is>
      </c>
      <c r="AD121" s="33" t="inlineStr">
        <is>
          <t>Caeleb Dressel|2015-07-10|LCM|200|Free|109.42|Southern Zone Senior Championships|FIN|False</t>
        </is>
      </c>
      <c r="AE121" s="53">
        <f>G121+L121/1000+ROW()/1000000000</f>
        <v/>
      </c>
      <c r="AF121" s="35">
        <f>IF(C121&lt;&gt;"Grayson Coulter","",COUNTIFS($C$5:$C$2991,"Grayson Coulter",$Q$5:$Q$2991,Q121,$AE$5:$AE$2991,"&lt;="&amp;AE121,$R$5:$R$2991,"&lt;"&amp;R121))</f>
        <v/>
      </c>
      <c r="AG121" s="35">
        <f>IF(OR(C121&lt;&gt;"Grayson Coulter",G121&lt;'00_Control'!$B$7),"",--(AF121&lt;5))</f>
        <v/>
      </c>
      <c r="AH121" s="35">
        <f>IF(OR(C121&lt;&gt;"Grayson Coulter",G121&lt;'00_Control'!$B$7),"",--(AF121&lt;10))</f>
        <v/>
      </c>
      <c r="AI121" s="35">
        <f>IF(AND(C121="Grayson Coulter",G121&gt;='00_Control'!$B$7),"YES","NO")</f>
        <v/>
      </c>
      <c r="AJ121" s="33" t="inlineStr">
        <is>
          <t>OK</t>
        </is>
      </c>
    </row>
    <row r="122">
      <c r="A122" s="33" t="inlineStr">
        <is>
          <t>SM000118</t>
        </is>
      </c>
      <c r="B122" s="33" t="inlineStr">
        <is>
          <t>SW010</t>
        </is>
      </c>
      <c r="C122" s="33" t="inlineStr">
        <is>
          <t>Caeleb Dressel</t>
        </is>
      </c>
      <c r="D122" s="33" t="inlineStr">
        <is>
          <t>SwimCloud</t>
        </is>
      </c>
      <c r="E122" s="33" t="inlineStr">
        <is>
          <t>2361642</t>
        </is>
      </c>
      <c r="F122" s="33" t="inlineStr">
        <is>
          <t>6522357</t>
        </is>
      </c>
      <c r="G122" s="51" t="n">
        <v>42195</v>
      </c>
      <c r="H122" s="33" t="inlineStr">
        <is>
          <t>Speedo Champions Series - Orlando</t>
        </is>
      </c>
      <c r="I122" s="33" t="inlineStr">
        <is>
          <t>42623</t>
        </is>
      </c>
      <c r="J122" s="33" t="inlineStr"/>
      <c r="K122" s="33" t="inlineStr">
        <is>
          <t>FIN</t>
        </is>
      </c>
      <c r="L122" s="35">
        <f>IF(K122="FIN",3,IF(OR(K122="SEM",K122="SEMI"),2,IF(OR(K122="PRE",K122="HEAT"),1,IF(V122="YES",4,2))))</f>
        <v/>
      </c>
      <c r="M122" s="33" t="inlineStr">
        <is>
          <t>LCM</t>
        </is>
      </c>
      <c r="N122" s="33" t="n">
        <v>200</v>
      </c>
      <c r="O122" s="33" t="inlineStr">
        <is>
          <t>Free</t>
        </is>
      </c>
      <c r="P122" s="33" t="inlineStr">
        <is>
          <t>200 Free</t>
        </is>
      </c>
      <c r="Q122" s="33" t="inlineStr">
        <is>
          <t>LCM_200_FREE</t>
        </is>
      </c>
      <c r="R122" s="36" t="n">
        <v>109.42</v>
      </c>
      <c r="S122" s="35">
        <f>IF(R122="","",IF(R122&gt;=60,INT(R122/60)&amp;":"&amp;TEXT(MOD(R122,60),"00.00"),TEXT(R122,"0.00")))</f>
        <v/>
      </c>
      <c r="T122" s="52">
        <f>IFERROR((G122-INDEX('01_Swimmers'!$E$5:$E$22,MATCH(B122,'01_Swimmers'!$A$5:$A$22,0)))/'00_Control'!$B$10,"")</f>
        <v/>
      </c>
      <c r="U122" s="35">
        <f>IF(T122="","",INT(T122))</f>
        <v/>
      </c>
      <c r="V122" s="33" t="inlineStr">
        <is>
          <t>NO</t>
        </is>
      </c>
      <c r="W122" s="33" t="inlineStr">
        <is>
          <t>YES</t>
        </is>
      </c>
      <c r="X122" s="33" t="inlineStr">
        <is>
          <t>NO</t>
        </is>
      </c>
      <c r="Y122" s="33" t="n">
        <v>1</v>
      </c>
      <c r="Z122" s="33" t="n">
        <v>5</v>
      </c>
      <c r="AA122" s="33" t="inlineStr">
        <is>
          <t>1</t>
        </is>
      </c>
      <c r="AB122" s="33" t="inlineStr">
        <is>
          <t>https://www.swimcloud.com/results/42623/event/8/?id=6522357#time6522357</t>
        </is>
      </c>
      <c r="AC122" s="33" t="inlineStr">
        <is>
          <t>SwimCloud API v6 2026-10-08</t>
        </is>
      </c>
      <c r="AD122" s="33" t="inlineStr">
        <is>
          <t>Caeleb Dressel|2015-07-10|LCM|200|Free|109.42|Speedo Champions Series - Orlando|FIN|False</t>
        </is>
      </c>
      <c r="AE122" s="53">
        <f>G122+L122/1000+ROW()/1000000000</f>
        <v/>
      </c>
      <c r="AF122" s="35">
        <f>IF(C122&lt;&gt;"Grayson Coulter","",COUNTIFS($C$5:$C$2991,"Grayson Coulter",$Q$5:$Q$2991,Q122,$AE$5:$AE$2991,"&lt;="&amp;AE122,$R$5:$R$2991,"&lt;"&amp;R122))</f>
        <v/>
      </c>
      <c r="AG122" s="35">
        <f>IF(OR(C122&lt;&gt;"Grayson Coulter",G122&lt;'00_Control'!$B$7),"",--(AF122&lt;5))</f>
        <v/>
      </c>
      <c r="AH122" s="35">
        <f>IF(OR(C122&lt;&gt;"Grayson Coulter",G122&lt;'00_Control'!$B$7),"",--(AF122&lt;10))</f>
        <v/>
      </c>
      <c r="AI122" s="35">
        <f>IF(AND(C122="Grayson Coulter",G122&gt;='00_Control'!$B$7),"YES","NO")</f>
        <v/>
      </c>
      <c r="AJ122" s="33" t="inlineStr">
        <is>
          <t>OK</t>
        </is>
      </c>
    </row>
    <row r="123">
      <c r="A123" s="33" t="inlineStr">
        <is>
          <t>SM000119</t>
        </is>
      </c>
      <c r="B123" s="33" t="inlineStr">
        <is>
          <t>SW010</t>
        </is>
      </c>
      <c r="C123" s="33" t="inlineStr">
        <is>
          <t>Caeleb Dressel</t>
        </is>
      </c>
      <c r="D123" s="33" t="inlineStr">
        <is>
          <t>SwimCloud</t>
        </is>
      </c>
      <c r="E123" s="33" t="inlineStr">
        <is>
          <t>2361642</t>
        </is>
      </c>
      <c r="F123" s="33" t="inlineStr">
        <is>
          <t>6430183</t>
        </is>
      </c>
      <c r="G123" s="51" t="n">
        <v>42197</v>
      </c>
      <c r="H123" s="33" t="inlineStr">
        <is>
          <t>Southern Zone Senior Championships</t>
        </is>
      </c>
      <c r="I123" s="33" t="inlineStr">
        <is>
          <t>39838</t>
        </is>
      </c>
      <c r="J123" s="33" t="inlineStr"/>
      <c r="K123" s="33" t="inlineStr">
        <is>
          <t>PRE</t>
        </is>
      </c>
      <c r="L123" s="35">
        <f>IF(K123="FIN",3,IF(OR(K123="SEM",K123="SEMI"),2,IF(OR(K123="PRE",K123="HEAT"),1,IF(V123="YES",4,2))))</f>
        <v/>
      </c>
      <c r="M123" s="33" t="inlineStr">
        <is>
          <t>LCM</t>
        </is>
      </c>
      <c r="N123" s="33" t="n">
        <v>100</v>
      </c>
      <c r="O123" s="33" t="inlineStr">
        <is>
          <t>Free</t>
        </is>
      </c>
      <c r="P123" s="33" t="inlineStr">
        <is>
          <t>100 Free</t>
        </is>
      </c>
      <c r="Q123" s="33" t="inlineStr">
        <is>
          <t>LCM_100_FREE</t>
        </is>
      </c>
      <c r="R123" s="36" t="n">
        <v>50.96</v>
      </c>
      <c r="S123" s="35">
        <f>IF(R123="","",IF(R123&gt;=60,INT(R123/60)&amp;":"&amp;TEXT(MOD(R123,60),"00.00"),TEXT(R123,"0.00")))</f>
        <v/>
      </c>
      <c r="T123" s="52">
        <f>IFERROR((G123-INDEX('01_Swimmers'!$E$5:$E$22,MATCH(B123,'01_Swimmers'!$A$5:$A$22,0)))/'00_Control'!$B$10,"")</f>
        <v/>
      </c>
      <c r="U123" s="35">
        <f>IF(T123="","",INT(T123))</f>
        <v/>
      </c>
      <c r="V123" s="33" t="inlineStr">
        <is>
          <t>NO</t>
        </is>
      </c>
      <c r="W123" s="33" t="inlineStr">
        <is>
          <t>YES</t>
        </is>
      </c>
      <c r="X123" s="33" t="inlineStr">
        <is>
          <t>NO</t>
        </is>
      </c>
      <c r="Y123" s="33" t="n">
        <v>22</v>
      </c>
      <c r="Z123" s="33" t="n">
        <v>4</v>
      </c>
      <c r="AA123" s="33" t="inlineStr">
        <is>
          <t>1</t>
        </is>
      </c>
      <c r="AB123" s="33" t="inlineStr">
        <is>
          <t>https://www.swimcloud.com/results/39838/event/36/?id=6430183#time6430183</t>
        </is>
      </c>
      <c r="AC123" s="33" t="inlineStr">
        <is>
          <t>SwimCloud API v6 2026-10-08</t>
        </is>
      </c>
      <c r="AD123" s="33" t="inlineStr">
        <is>
          <t>Caeleb Dressel|2015-07-12|LCM|100|Free|50.96|Southern Zone Senior Championships|PRE|False</t>
        </is>
      </c>
      <c r="AE123" s="53">
        <f>G123+L123/1000+ROW()/1000000000</f>
        <v/>
      </c>
      <c r="AF123" s="35">
        <f>IF(C123&lt;&gt;"Grayson Coulter","",COUNTIFS($C$5:$C$2991,"Grayson Coulter",$Q$5:$Q$2991,Q123,$AE$5:$AE$2991,"&lt;="&amp;AE123,$R$5:$R$2991,"&lt;"&amp;R123))</f>
        <v/>
      </c>
      <c r="AG123" s="35">
        <f>IF(OR(C123&lt;&gt;"Grayson Coulter",G123&lt;'00_Control'!$B$7),"",--(AF123&lt;5))</f>
        <v/>
      </c>
      <c r="AH123" s="35">
        <f>IF(OR(C123&lt;&gt;"Grayson Coulter",G123&lt;'00_Control'!$B$7),"",--(AF123&lt;10))</f>
        <v/>
      </c>
      <c r="AI123" s="35">
        <f>IF(AND(C123="Grayson Coulter",G123&gt;='00_Control'!$B$7),"YES","NO")</f>
        <v/>
      </c>
      <c r="AJ123" s="33" t="inlineStr">
        <is>
          <t>OK</t>
        </is>
      </c>
    </row>
    <row r="124">
      <c r="A124" s="33" t="inlineStr">
        <is>
          <t>SM000120</t>
        </is>
      </c>
      <c r="B124" s="33" t="inlineStr">
        <is>
          <t>SW010</t>
        </is>
      </c>
      <c r="C124" s="33" t="inlineStr">
        <is>
          <t>Caeleb Dressel</t>
        </is>
      </c>
      <c r="D124" s="33" t="inlineStr">
        <is>
          <t>SwimCloud</t>
        </is>
      </c>
      <c r="E124" s="33" t="inlineStr">
        <is>
          <t>2361642</t>
        </is>
      </c>
      <c r="F124" s="33" t="inlineStr">
        <is>
          <t>6524092</t>
        </is>
      </c>
      <c r="G124" s="51" t="n">
        <v>42197</v>
      </c>
      <c r="H124" s="33" t="inlineStr">
        <is>
          <t>Speedo Champions Series - Orlando</t>
        </is>
      </c>
      <c r="I124" s="33" t="inlineStr">
        <is>
          <t>42623</t>
        </is>
      </c>
      <c r="J124" s="33" t="inlineStr"/>
      <c r="K124" s="33" t="inlineStr">
        <is>
          <t>PRE</t>
        </is>
      </c>
      <c r="L124" s="35">
        <f>IF(K124="FIN",3,IF(OR(K124="SEM",K124="SEMI"),2,IF(OR(K124="PRE",K124="HEAT"),1,IF(V124="YES",4,2))))</f>
        <v/>
      </c>
      <c r="M124" s="33" t="inlineStr">
        <is>
          <t>LCM</t>
        </is>
      </c>
      <c r="N124" s="33" t="n">
        <v>100</v>
      </c>
      <c r="O124" s="33" t="inlineStr">
        <is>
          <t>Free</t>
        </is>
      </c>
      <c r="P124" s="33" t="inlineStr">
        <is>
          <t>100 Free</t>
        </is>
      </c>
      <c r="Q124" s="33" t="inlineStr">
        <is>
          <t>LCM_100_FREE</t>
        </is>
      </c>
      <c r="R124" s="36" t="n">
        <v>50.96</v>
      </c>
      <c r="S124" s="35">
        <f>IF(R124="","",IF(R124&gt;=60,INT(R124/60)&amp;":"&amp;TEXT(MOD(R124,60),"00.00"),TEXT(R124,"0.00")))</f>
        <v/>
      </c>
      <c r="T124" s="52">
        <f>IFERROR((G124-INDEX('01_Swimmers'!$E$5:$E$22,MATCH(B124,'01_Swimmers'!$A$5:$A$22,0)))/'00_Control'!$B$10,"")</f>
        <v/>
      </c>
      <c r="U124" s="35">
        <f>IF(T124="","",INT(T124))</f>
        <v/>
      </c>
      <c r="V124" s="33" t="inlineStr">
        <is>
          <t>NO</t>
        </is>
      </c>
      <c r="W124" s="33" t="inlineStr">
        <is>
          <t>YES</t>
        </is>
      </c>
      <c r="X124" s="33" t="inlineStr">
        <is>
          <t>NO</t>
        </is>
      </c>
      <c r="Y124" s="33" t="n">
        <v>22</v>
      </c>
      <c r="Z124" s="33" t="n">
        <v>4</v>
      </c>
      <c r="AA124" s="33" t="inlineStr">
        <is>
          <t>1</t>
        </is>
      </c>
      <c r="AB124" s="33" t="inlineStr">
        <is>
          <t>https://www.swimcloud.com/results/42623/event/36/?id=6524092#time6524092</t>
        </is>
      </c>
      <c r="AC124" s="33" t="inlineStr">
        <is>
          <t>SwimCloud API v6 2026-10-08</t>
        </is>
      </c>
      <c r="AD124" s="33" t="inlineStr">
        <is>
          <t>Caeleb Dressel|2015-07-12|LCM|100|Free|50.96|Speedo Champions Series - Orlando|PRE|False</t>
        </is>
      </c>
      <c r="AE124" s="53">
        <f>G124+L124/1000+ROW()/1000000000</f>
        <v/>
      </c>
      <c r="AF124" s="35">
        <f>IF(C124&lt;&gt;"Grayson Coulter","",COUNTIFS($C$5:$C$2991,"Grayson Coulter",$Q$5:$Q$2991,Q124,$AE$5:$AE$2991,"&lt;="&amp;AE124,$R$5:$R$2991,"&lt;"&amp;R124))</f>
        <v/>
      </c>
      <c r="AG124" s="35">
        <f>IF(OR(C124&lt;&gt;"Grayson Coulter",G124&lt;'00_Control'!$B$7),"",--(AF124&lt;5))</f>
        <v/>
      </c>
      <c r="AH124" s="35">
        <f>IF(OR(C124&lt;&gt;"Grayson Coulter",G124&lt;'00_Control'!$B$7),"",--(AF124&lt;10))</f>
        <v/>
      </c>
      <c r="AI124" s="35">
        <f>IF(AND(C124="Grayson Coulter",G124&gt;='00_Control'!$B$7),"YES","NO")</f>
        <v/>
      </c>
      <c r="AJ124" s="33" t="inlineStr">
        <is>
          <t>OK</t>
        </is>
      </c>
    </row>
    <row r="125">
      <c r="A125" s="33" t="inlineStr">
        <is>
          <t>SM000121</t>
        </is>
      </c>
      <c r="B125" s="33" t="inlineStr">
        <is>
          <t>SW010</t>
        </is>
      </c>
      <c r="C125" s="33" t="inlineStr">
        <is>
          <t>Caeleb Dressel</t>
        </is>
      </c>
      <c r="D125" s="33" t="inlineStr">
        <is>
          <t>SwimCloud</t>
        </is>
      </c>
      <c r="E125" s="33" t="inlineStr">
        <is>
          <t>2361642</t>
        </is>
      </c>
      <c r="F125" s="33" t="inlineStr">
        <is>
          <t>6430338</t>
        </is>
      </c>
      <c r="G125" s="51" t="n">
        <v>42197</v>
      </c>
      <c r="H125" s="33" t="inlineStr">
        <is>
          <t>Southern Zone Senior Championships</t>
        </is>
      </c>
      <c r="I125" s="33" t="inlineStr">
        <is>
          <t>39838</t>
        </is>
      </c>
      <c r="J125" s="33" t="inlineStr"/>
      <c r="K125" s="33" t="inlineStr">
        <is>
          <t>FIN</t>
        </is>
      </c>
      <c r="L125" s="35">
        <f>IF(K125="FIN",3,IF(OR(K125="SEM",K125="SEMI"),2,IF(OR(K125="PRE",K125="HEAT"),1,IF(V125="YES",4,2))))</f>
        <v/>
      </c>
      <c r="M125" s="33" t="inlineStr">
        <is>
          <t>LCM</t>
        </is>
      </c>
      <c r="N125" s="33" t="n">
        <v>100</v>
      </c>
      <c r="O125" s="33" t="inlineStr">
        <is>
          <t>Free</t>
        </is>
      </c>
      <c r="P125" s="33" t="inlineStr">
        <is>
          <t>100 Free</t>
        </is>
      </c>
      <c r="Q125" s="33" t="inlineStr">
        <is>
          <t>LCM_100_FREE</t>
        </is>
      </c>
      <c r="R125" s="36" t="n">
        <v>49.5</v>
      </c>
      <c r="S125" s="35">
        <f>IF(R125="","",IF(R125&gt;=60,INT(R125/60)&amp;":"&amp;TEXT(MOD(R125,60),"00.00"),TEXT(R125,"0.00")))</f>
        <v/>
      </c>
      <c r="T125" s="52">
        <f>IFERROR((G125-INDEX('01_Swimmers'!$E$5:$E$22,MATCH(B125,'01_Swimmers'!$A$5:$A$22,0)))/'00_Control'!$B$10,"")</f>
        <v/>
      </c>
      <c r="U125" s="35">
        <f>IF(T125="","",INT(T125))</f>
        <v/>
      </c>
      <c r="V125" s="33" t="inlineStr">
        <is>
          <t>NO</t>
        </is>
      </c>
      <c r="W125" s="33" t="inlineStr">
        <is>
          <t>YES</t>
        </is>
      </c>
      <c r="X125" s="33" t="inlineStr">
        <is>
          <t>NO</t>
        </is>
      </c>
      <c r="Y125" s="33" t="n">
        <v>1</v>
      </c>
      <c r="Z125" s="33" t="n">
        <v>4</v>
      </c>
      <c r="AA125" s="33" t="inlineStr">
        <is>
          <t>1</t>
        </is>
      </c>
      <c r="AB125" s="33" t="inlineStr">
        <is>
          <t>https://www.swimcloud.com/results/39838/event/36/?id=6430338#time6430338</t>
        </is>
      </c>
      <c r="AC125" s="33" t="inlineStr">
        <is>
          <t>SwimCloud API v6 2026-10-08</t>
        </is>
      </c>
      <c r="AD125" s="33" t="inlineStr">
        <is>
          <t>Caeleb Dressel|2015-07-12|LCM|100|Free|49.5|Southern Zone Senior Championships|FIN|False</t>
        </is>
      </c>
      <c r="AE125" s="53">
        <f>G125+L125/1000+ROW()/1000000000</f>
        <v/>
      </c>
      <c r="AF125" s="35">
        <f>IF(C125&lt;&gt;"Grayson Coulter","",COUNTIFS($C$5:$C$2991,"Grayson Coulter",$Q$5:$Q$2991,Q125,$AE$5:$AE$2991,"&lt;="&amp;AE125,$R$5:$R$2991,"&lt;"&amp;R125))</f>
        <v/>
      </c>
      <c r="AG125" s="35">
        <f>IF(OR(C125&lt;&gt;"Grayson Coulter",G125&lt;'00_Control'!$B$7),"",--(AF125&lt;5))</f>
        <v/>
      </c>
      <c r="AH125" s="35">
        <f>IF(OR(C125&lt;&gt;"Grayson Coulter",G125&lt;'00_Control'!$B$7),"",--(AF125&lt;10))</f>
        <v/>
      </c>
      <c r="AI125" s="35">
        <f>IF(AND(C125="Grayson Coulter",G125&gt;='00_Control'!$B$7),"YES","NO")</f>
        <v/>
      </c>
      <c r="AJ125" s="33" t="inlineStr">
        <is>
          <t>OK</t>
        </is>
      </c>
    </row>
    <row r="126">
      <c r="A126" s="33" t="inlineStr">
        <is>
          <t>SM000122</t>
        </is>
      </c>
      <c r="B126" s="33" t="inlineStr">
        <is>
          <t>SW010</t>
        </is>
      </c>
      <c r="C126" s="33" t="inlineStr">
        <is>
          <t>Caeleb Dressel</t>
        </is>
      </c>
      <c r="D126" s="33" t="inlineStr">
        <is>
          <t>SwimCloud</t>
        </is>
      </c>
      <c r="E126" s="33" t="inlineStr">
        <is>
          <t>2361642</t>
        </is>
      </c>
      <c r="F126" s="33" t="inlineStr">
        <is>
          <t>6524247</t>
        </is>
      </c>
      <c r="G126" s="51" t="n">
        <v>42197</v>
      </c>
      <c r="H126" s="33" t="inlineStr">
        <is>
          <t>Speedo Champions Series - Orlando</t>
        </is>
      </c>
      <c r="I126" s="33" t="inlineStr">
        <is>
          <t>42623</t>
        </is>
      </c>
      <c r="J126" s="33" t="inlineStr"/>
      <c r="K126" s="33" t="inlineStr">
        <is>
          <t>FIN</t>
        </is>
      </c>
      <c r="L126" s="35">
        <f>IF(K126="FIN",3,IF(OR(K126="SEM",K126="SEMI"),2,IF(OR(K126="PRE",K126="HEAT"),1,IF(V126="YES",4,2))))</f>
        <v/>
      </c>
      <c r="M126" s="33" t="inlineStr">
        <is>
          <t>LCM</t>
        </is>
      </c>
      <c r="N126" s="33" t="n">
        <v>100</v>
      </c>
      <c r="O126" s="33" t="inlineStr">
        <is>
          <t>Free</t>
        </is>
      </c>
      <c r="P126" s="33" t="inlineStr">
        <is>
          <t>100 Free</t>
        </is>
      </c>
      <c r="Q126" s="33" t="inlineStr">
        <is>
          <t>LCM_100_FREE</t>
        </is>
      </c>
      <c r="R126" s="36" t="n">
        <v>49.5</v>
      </c>
      <c r="S126" s="35">
        <f>IF(R126="","",IF(R126&gt;=60,INT(R126/60)&amp;":"&amp;TEXT(MOD(R126,60),"00.00"),TEXT(R126,"0.00")))</f>
        <v/>
      </c>
      <c r="T126" s="52">
        <f>IFERROR((G126-INDEX('01_Swimmers'!$E$5:$E$22,MATCH(B126,'01_Swimmers'!$A$5:$A$22,0)))/'00_Control'!$B$10,"")</f>
        <v/>
      </c>
      <c r="U126" s="35">
        <f>IF(T126="","",INT(T126))</f>
        <v/>
      </c>
      <c r="V126" s="33" t="inlineStr">
        <is>
          <t>NO</t>
        </is>
      </c>
      <c r="W126" s="33" t="inlineStr">
        <is>
          <t>YES</t>
        </is>
      </c>
      <c r="X126" s="33" t="inlineStr">
        <is>
          <t>NO</t>
        </is>
      </c>
      <c r="Y126" s="33" t="n">
        <v>1</v>
      </c>
      <c r="Z126" s="33" t="n">
        <v>4</v>
      </c>
      <c r="AA126" s="33" t="inlineStr">
        <is>
          <t>1</t>
        </is>
      </c>
      <c r="AB126" s="33" t="inlineStr">
        <is>
          <t>https://www.swimcloud.com/results/42623/event/36/?id=6524247#time6524247</t>
        </is>
      </c>
      <c r="AC126" s="33" t="inlineStr">
        <is>
          <t>SwimCloud API v6 2026-10-08</t>
        </is>
      </c>
      <c r="AD126" s="33" t="inlineStr">
        <is>
          <t>Caeleb Dressel|2015-07-12|LCM|100|Free|49.5|Speedo Champions Series - Orlando|FIN|False</t>
        </is>
      </c>
      <c r="AE126" s="53">
        <f>G126+L126/1000+ROW()/1000000000</f>
        <v/>
      </c>
      <c r="AF126" s="35">
        <f>IF(C126&lt;&gt;"Grayson Coulter","",COUNTIFS($C$5:$C$2991,"Grayson Coulter",$Q$5:$Q$2991,Q126,$AE$5:$AE$2991,"&lt;="&amp;AE126,$R$5:$R$2991,"&lt;"&amp;R126))</f>
        <v/>
      </c>
      <c r="AG126" s="35">
        <f>IF(OR(C126&lt;&gt;"Grayson Coulter",G126&lt;'00_Control'!$B$7),"",--(AF126&lt;5))</f>
        <v/>
      </c>
      <c r="AH126" s="35">
        <f>IF(OR(C126&lt;&gt;"Grayson Coulter",G126&lt;'00_Control'!$B$7),"",--(AF126&lt;10))</f>
        <v/>
      </c>
      <c r="AI126" s="35">
        <f>IF(AND(C126="Grayson Coulter",G126&gt;='00_Control'!$B$7),"YES","NO")</f>
        <v/>
      </c>
      <c r="AJ126" s="33" t="inlineStr">
        <is>
          <t>OK</t>
        </is>
      </c>
    </row>
    <row r="127">
      <c r="A127" s="33" t="inlineStr">
        <is>
          <t>SM000123</t>
        </is>
      </c>
      <c r="B127" s="33" t="inlineStr">
        <is>
          <t>SW010</t>
        </is>
      </c>
      <c r="C127" s="33" t="inlineStr">
        <is>
          <t>Caeleb Dressel</t>
        </is>
      </c>
      <c r="D127" s="33" t="inlineStr">
        <is>
          <t>SwimCloud</t>
        </is>
      </c>
      <c r="E127" s="33" t="inlineStr">
        <is>
          <t>2361642</t>
        </is>
      </c>
      <c r="F127" s="33" t="inlineStr">
        <is>
          <t>6432228</t>
        </is>
      </c>
      <c r="G127" s="51" t="n">
        <v>42197</v>
      </c>
      <c r="H127" s="33" t="inlineStr">
        <is>
          <t>Southern Zone Senior Championships</t>
        </is>
      </c>
      <c r="I127" s="33" t="inlineStr">
        <is>
          <t>39838</t>
        </is>
      </c>
      <c r="J127" s="33" t="inlineStr"/>
      <c r="K127" s="33" t="inlineStr">
        <is>
          <t>TIM</t>
        </is>
      </c>
      <c r="L127" s="35">
        <f>IF(K127="FIN",3,IF(OR(K127="SEM",K127="SEMI"),2,IF(OR(K127="PRE",K127="HEAT"),1,IF(V127="YES",4,2))))</f>
        <v/>
      </c>
      <c r="M127" s="33" t="inlineStr">
        <is>
          <t>LCM</t>
        </is>
      </c>
      <c r="N127" s="33" t="n">
        <v>100</v>
      </c>
      <c r="O127" s="33" t="inlineStr">
        <is>
          <t>Free</t>
        </is>
      </c>
      <c r="P127" s="33" t="inlineStr">
        <is>
          <t>100 Free</t>
        </is>
      </c>
      <c r="Q127" s="33" t="inlineStr">
        <is>
          <t>LCM_100_FREE</t>
        </is>
      </c>
      <c r="R127" s="36" t="n">
        <v>49.64</v>
      </c>
      <c r="S127" s="35">
        <f>IF(R127="","",IF(R127&gt;=60,INT(R127/60)&amp;":"&amp;TEXT(MOD(R127,60),"00.00"),TEXT(R127,"0.00")))</f>
        <v/>
      </c>
      <c r="T127" s="52">
        <f>IFERROR((G127-INDEX('01_Swimmers'!$E$5:$E$22,MATCH(B127,'01_Swimmers'!$A$5:$A$22,0)))/'00_Control'!$B$10,"")</f>
        <v/>
      </c>
      <c r="U127" s="35">
        <f>IF(T127="","",INT(T127))</f>
        <v/>
      </c>
      <c r="V127" s="33" t="inlineStr">
        <is>
          <t>YES</t>
        </is>
      </c>
      <c r="W127" s="33" t="inlineStr">
        <is>
          <t>YES</t>
        </is>
      </c>
      <c r="X127" s="33" t="inlineStr">
        <is>
          <t>NO</t>
        </is>
      </c>
      <c r="Y127" s="33" t="n">
        <v>4</v>
      </c>
      <c r="Z127" s="33" t="n">
        <v>3</v>
      </c>
      <c r="AA127" s="33" t="inlineStr"/>
      <c r="AB127" s="33" t="inlineStr">
        <is>
          <t>https://www.swimcloud.com/results/39838/event/42/?id=6431280#time6431280</t>
        </is>
      </c>
      <c r="AC127" s="33" t="inlineStr">
        <is>
          <t>SwimCloud API v6 2026-10-08</t>
        </is>
      </c>
      <c r="AD127" s="33" t="inlineStr">
        <is>
          <t>Caeleb Dressel|2015-07-12|LCM|100|Free|49.64|Southern Zone Senior Championships|TIM|True</t>
        </is>
      </c>
      <c r="AE127" s="53">
        <f>G127+L127/1000+ROW()/1000000000</f>
        <v/>
      </c>
      <c r="AF127" s="35">
        <f>IF(C127&lt;&gt;"Grayson Coulter","",COUNTIFS($C$5:$C$2991,"Grayson Coulter",$Q$5:$Q$2991,Q127,$AE$5:$AE$2991,"&lt;="&amp;AE127,$R$5:$R$2991,"&lt;"&amp;R127))</f>
        <v/>
      </c>
      <c r="AG127" s="35">
        <f>IF(OR(C127&lt;&gt;"Grayson Coulter",G127&lt;'00_Control'!$B$7),"",--(AF127&lt;5))</f>
        <v/>
      </c>
      <c r="AH127" s="35">
        <f>IF(OR(C127&lt;&gt;"Grayson Coulter",G127&lt;'00_Control'!$B$7),"",--(AF127&lt;10))</f>
        <v/>
      </c>
      <c r="AI127" s="35">
        <f>IF(AND(C127="Grayson Coulter",G127&gt;='00_Control'!$B$7),"YES","NO")</f>
        <v/>
      </c>
      <c r="AJ127" s="33" t="inlineStr">
        <is>
          <t>OK</t>
        </is>
      </c>
    </row>
    <row r="128">
      <c r="A128" s="33" t="inlineStr">
        <is>
          <t>SM000124</t>
        </is>
      </c>
      <c r="B128" s="33" t="inlineStr">
        <is>
          <t>SW010</t>
        </is>
      </c>
      <c r="C128" s="33" t="inlineStr">
        <is>
          <t>Caeleb Dressel</t>
        </is>
      </c>
      <c r="D128" s="33" t="inlineStr">
        <is>
          <t>SwimCloud</t>
        </is>
      </c>
      <c r="E128" s="33" t="inlineStr">
        <is>
          <t>2361642</t>
        </is>
      </c>
      <c r="F128" s="33" t="inlineStr">
        <is>
          <t>6526141</t>
        </is>
      </c>
      <c r="G128" s="51" t="n">
        <v>42197</v>
      </c>
      <c r="H128" s="33" t="inlineStr">
        <is>
          <t>Speedo Champions Series - Orlando</t>
        </is>
      </c>
      <c r="I128" s="33" t="inlineStr">
        <is>
          <t>42623</t>
        </is>
      </c>
      <c r="J128" s="33" t="inlineStr"/>
      <c r="K128" s="33" t="inlineStr">
        <is>
          <t>TIM</t>
        </is>
      </c>
      <c r="L128" s="35">
        <f>IF(K128="FIN",3,IF(OR(K128="SEM",K128="SEMI"),2,IF(OR(K128="PRE",K128="HEAT"),1,IF(V128="YES",4,2))))</f>
        <v/>
      </c>
      <c r="M128" s="33" t="inlineStr">
        <is>
          <t>LCM</t>
        </is>
      </c>
      <c r="N128" s="33" t="n">
        <v>100</v>
      </c>
      <c r="O128" s="33" t="inlineStr">
        <is>
          <t>Free</t>
        </is>
      </c>
      <c r="P128" s="33" t="inlineStr">
        <is>
          <t>100 Free</t>
        </is>
      </c>
      <c r="Q128" s="33" t="inlineStr">
        <is>
          <t>LCM_100_FREE</t>
        </is>
      </c>
      <c r="R128" s="36" t="n">
        <v>49.64</v>
      </c>
      <c r="S128" s="35">
        <f>IF(R128="","",IF(R128&gt;=60,INT(R128/60)&amp;":"&amp;TEXT(MOD(R128,60),"00.00"),TEXT(R128,"0.00")))</f>
        <v/>
      </c>
      <c r="T128" s="52">
        <f>IFERROR((G128-INDEX('01_Swimmers'!$E$5:$E$22,MATCH(B128,'01_Swimmers'!$A$5:$A$22,0)))/'00_Control'!$B$10,"")</f>
        <v/>
      </c>
      <c r="U128" s="35">
        <f>IF(T128="","",INT(T128))</f>
        <v/>
      </c>
      <c r="V128" s="33" t="inlineStr">
        <is>
          <t>YES</t>
        </is>
      </c>
      <c r="W128" s="33" t="inlineStr">
        <is>
          <t>YES</t>
        </is>
      </c>
      <c r="X128" s="33" t="inlineStr">
        <is>
          <t>NO</t>
        </is>
      </c>
      <c r="Y128" s="33" t="n">
        <v>4</v>
      </c>
      <c r="Z128" s="33" t="n">
        <v>3</v>
      </c>
      <c r="AA128" s="33" t="inlineStr"/>
      <c r="AB128" s="33" t="inlineStr">
        <is>
          <t>https://www.swimcloud.com/results/42623/event/42/?id=6525193#time6525193</t>
        </is>
      </c>
      <c r="AC128" s="33" t="inlineStr">
        <is>
          <t>SwimCloud API v6 2026-10-08</t>
        </is>
      </c>
      <c r="AD128" s="33" t="inlineStr">
        <is>
          <t>Caeleb Dressel|2015-07-12|LCM|100|Free|49.64|Speedo Champions Series - Orlando|TIM|True</t>
        </is>
      </c>
      <c r="AE128" s="53">
        <f>G128+L128/1000+ROW()/1000000000</f>
        <v/>
      </c>
      <c r="AF128" s="35">
        <f>IF(C128&lt;&gt;"Grayson Coulter","",COUNTIFS($C$5:$C$2991,"Grayson Coulter",$Q$5:$Q$2991,Q128,$AE$5:$AE$2991,"&lt;="&amp;AE128,$R$5:$R$2991,"&lt;"&amp;R128))</f>
        <v/>
      </c>
      <c r="AG128" s="35">
        <f>IF(OR(C128&lt;&gt;"Grayson Coulter",G128&lt;'00_Control'!$B$7),"",--(AF128&lt;5))</f>
        <v/>
      </c>
      <c r="AH128" s="35">
        <f>IF(OR(C128&lt;&gt;"Grayson Coulter",G128&lt;'00_Control'!$B$7),"",--(AF128&lt;10))</f>
        <v/>
      </c>
      <c r="AI128" s="35">
        <f>IF(AND(C128="Grayson Coulter",G128&gt;='00_Control'!$B$7),"YES","NO")</f>
        <v/>
      </c>
      <c r="AJ128" s="33" t="inlineStr">
        <is>
          <t>OK</t>
        </is>
      </c>
    </row>
    <row r="129">
      <c r="A129" s="33" t="inlineStr">
        <is>
          <t>SM000125</t>
        </is>
      </c>
      <c r="B129" s="33" t="inlineStr">
        <is>
          <t>SW010</t>
        </is>
      </c>
      <c r="C129" s="33" t="inlineStr">
        <is>
          <t>Caeleb Dressel</t>
        </is>
      </c>
      <c r="D129" s="33" t="inlineStr">
        <is>
          <t>SwimCloud</t>
        </is>
      </c>
      <c r="E129" s="33" t="inlineStr">
        <is>
          <t>2361642</t>
        </is>
      </c>
      <c r="F129" s="33" t="inlineStr">
        <is>
          <t>6358941</t>
        </is>
      </c>
      <c r="G129" s="51" t="n">
        <v>42223</v>
      </c>
      <c r="H129" s="33" t="inlineStr">
        <is>
          <t>2015 Phillips 66 National Championships</t>
        </is>
      </c>
      <c r="I129" s="33" t="inlineStr">
        <is>
          <t>29376</t>
        </is>
      </c>
      <c r="J129" s="33" t="inlineStr"/>
      <c r="K129" s="33" t="inlineStr">
        <is>
          <t>PRE</t>
        </is>
      </c>
      <c r="L129" s="35">
        <f>IF(K129="FIN",3,IF(OR(K129="SEM",K129="SEMI"),2,IF(OR(K129="PRE",K129="HEAT"),1,IF(V129="YES",4,2))))</f>
        <v/>
      </c>
      <c r="M129" s="33" t="inlineStr">
        <is>
          <t>LCM</t>
        </is>
      </c>
      <c r="N129" s="33" t="n">
        <v>200</v>
      </c>
      <c r="O129" s="33" t="inlineStr">
        <is>
          <t>Free</t>
        </is>
      </c>
      <c r="P129" s="33" t="inlineStr">
        <is>
          <t>200 Free</t>
        </is>
      </c>
      <c r="Q129" s="33" t="inlineStr">
        <is>
          <t>LCM_200_FREE</t>
        </is>
      </c>
      <c r="R129" s="36" t="n">
        <v>110.22</v>
      </c>
      <c r="S129" s="35">
        <f>IF(R129="","",IF(R129&gt;=60,INT(R129/60)&amp;":"&amp;TEXT(MOD(R129,60),"00.00"),TEXT(R129,"0.00")))</f>
        <v/>
      </c>
      <c r="T129" s="52">
        <f>IFERROR((G129-INDEX('01_Swimmers'!$E$5:$E$22,MATCH(B129,'01_Swimmers'!$A$5:$A$22,0)))/'00_Control'!$B$10,"")</f>
        <v/>
      </c>
      <c r="U129" s="35">
        <f>IF(T129="","",INT(T129))</f>
        <v/>
      </c>
      <c r="V129" s="33" t="inlineStr">
        <is>
          <t>NO</t>
        </is>
      </c>
      <c r="W129" s="33" t="inlineStr">
        <is>
          <t>YES</t>
        </is>
      </c>
      <c r="X129" s="33" t="inlineStr">
        <is>
          <t>NO</t>
        </is>
      </c>
      <c r="Y129" s="33" t="n">
        <v>11</v>
      </c>
      <c r="Z129" s="33" t="n">
        <v>6</v>
      </c>
      <c r="AA129" s="33" t="inlineStr">
        <is>
          <t>20</t>
        </is>
      </c>
      <c r="AB129" s="33" t="inlineStr">
        <is>
          <t>https://www.swimcloud.com/results/29376/event/9/?id=6358941#time6358941</t>
        </is>
      </c>
      <c r="AC129" s="33" t="inlineStr">
        <is>
          <t>SwimCloud API v6 2026-10-08</t>
        </is>
      </c>
      <c r="AD129" s="33" t="inlineStr">
        <is>
          <t>Caeleb Dressel|2015-08-07|LCM|200|Free|110.22|2015 Phillips 66 National Championships|PRE|False</t>
        </is>
      </c>
      <c r="AE129" s="53">
        <f>G129+L129/1000+ROW()/1000000000</f>
        <v/>
      </c>
      <c r="AF129" s="35">
        <f>IF(C129&lt;&gt;"Grayson Coulter","",COUNTIFS($C$5:$C$2991,"Grayson Coulter",$Q$5:$Q$2991,Q129,$AE$5:$AE$2991,"&lt;="&amp;AE129,$R$5:$R$2991,"&lt;"&amp;R129))</f>
        <v/>
      </c>
      <c r="AG129" s="35">
        <f>IF(OR(C129&lt;&gt;"Grayson Coulter",G129&lt;'00_Control'!$B$7),"",--(AF129&lt;5))</f>
        <v/>
      </c>
      <c r="AH129" s="35">
        <f>IF(OR(C129&lt;&gt;"Grayson Coulter",G129&lt;'00_Control'!$B$7),"",--(AF129&lt;10))</f>
        <v/>
      </c>
      <c r="AI129" s="35">
        <f>IF(AND(C129="Grayson Coulter",G129&gt;='00_Control'!$B$7),"YES","NO")</f>
        <v/>
      </c>
      <c r="AJ129" s="33" t="inlineStr">
        <is>
          <t>OK</t>
        </is>
      </c>
    </row>
    <row r="130">
      <c r="A130" s="33" t="inlineStr">
        <is>
          <t>SM000126</t>
        </is>
      </c>
      <c r="B130" s="33" t="inlineStr">
        <is>
          <t>SW010</t>
        </is>
      </c>
      <c r="C130" s="33" t="inlineStr">
        <is>
          <t>Caeleb Dressel</t>
        </is>
      </c>
      <c r="D130" s="33" t="inlineStr">
        <is>
          <t>SwimCloud</t>
        </is>
      </c>
      <c r="E130" s="33" t="inlineStr">
        <is>
          <t>2361642</t>
        </is>
      </c>
      <c r="F130" s="33" t="inlineStr">
        <is>
          <t>6358995</t>
        </is>
      </c>
      <c r="G130" s="51" t="n">
        <v>42223</v>
      </c>
      <c r="H130" s="33" t="inlineStr">
        <is>
          <t>2015 Phillips 66 National Championships</t>
        </is>
      </c>
      <c r="I130" s="33" t="inlineStr">
        <is>
          <t>29376</t>
        </is>
      </c>
      <c r="J130" s="33" t="inlineStr"/>
      <c r="K130" s="33" t="inlineStr">
        <is>
          <t>FIN</t>
        </is>
      </c>
      <c r="L130" s="35">
        <f>IF(K130="FIN",3,IF(OR(K130="SEM",K130="SEMI"),2,IF(OR(K130="PRE",K130="HEAT"),1,IF(V130="YES",4,2))))</f>
        <v/>
      </c>
      <c r="M130" s="33" t="inlineStr">
        <is>
          <t>LCM</t>
        </is>
      </c>
      <c r="N130" s="33" t="n">
        <v>200</v>
      </c>
      <c r="O130" s="33" t="inlineStr">
        <is>
          <t>Free</t>
        </is>
      </c>
      <c r="P130" s="33" t="inlineStr">
        <is>
          <t>200 Free</t>
        </is>
      </c>
      <c r="Q130" s="33" t="inlineStr">
        <is>
          <t>LCM_200_FREE</t>
        </is>
      </c>
      <c r="R130" s="36" t="n">
        <v>111.26</v>
      </c>
      <c r="S130" s="35">
        <f>IF(R130="","",IF(R130&gt;=60,INT(R130/60)&amp;":"&amp;TEXT(MOD(R130,60),"00.00"),TEXT(R130,"0.00")))</f>
        <v/>
      </c>
      <c r="T130" s="52">
        <f>IFERROR((G130-INDEX('01_Swimmers'!$E$5:$E$22,MATCH(B130,'01_Swimmers'!$A$5:$A$22,0)))/'00_Control'!$B$10,"")</f>
        <v/>
      </c>
      <c r="U130" s="35">
        <f>IF(T130="","",INT(T130))</f>
        <v/>
      </c>
      <c r="V130" s="33" t="inlineStr">
        <is>
          <t>NO</t>
        </is>
      </c>
      <c r="W130" s="33" t="inlineStr">
        <is>
          <t>YES</t>
        </is>
      </c>
      <c r="X130" s="33" t="inlineStr">
        <is>
          <t>NO</t>
        </is>
      </c>
      <c r="Y130" s="33" t="n">
        <v>1</v>
      </c>
      <c r="Z130" s="33" t="n">
        <v>4</v>
      </c>
      <c r="AA130" s="33" t="inlineStr">
        <is>
          <t>21</t>
        </is>
      </c>
      <c r="AB130" s="33" t="inlineStr">
        <is>
          <t>https://www.swimcloud.com/results/29376/event/9/?id=6358995#time6358995</t>
        </is>
      </c>
      <c r="AC130" s="33" t="inlineStr">
        <is>
          <t>SwimCloud API v6 2026-10-08</t>
        </is>
      </c>
      <c r="AD130" s="33" t="inlineStr">
        <is>
          <t>Caeleb Dressel|2015-08-07|LCM|200|Free|111.26|2015 Phillips 66 National Championships|FIN|False</t>
        </is>
      </c>
      <c r="AE130" s="53">
        <f>G130+L130/1000+ROW()/1000000000</f>
        <v/>
      </c>
      <c r="AF130" s="35">
        <f>IF(C130&lt;&gt;"Grayson Coulter","",COUNTIFS($C$5:$C$2991,"Grayson Coulter",$Q$5:$Q$2991,Q130,$AE$5:$AE$2991,"&lt;="&amp;AE130,$R$5:$R$2991,"&lt;"&amp;R130))</f>
        <v/>
      </c>
      <c r="AG130" s="35">
        <f>IF(OR(C130&lt;&gt;"Grayson Coulter",G130&lt;'00_Control'!$B$7),"",--(AF130&lt;5))</f>
        <v/>
      </c>
      <c r="AH130" s="35">
        <f>IF(OR(C130&lt;&gt;"Grayson Coulter",G130&lt;'00_Control'!$B$7),"",--(AF130&lt;10))</f>
        <v/>
      </c>
      <c r="AI130" s="35">
        <f>IF(AND(C130="Grayson Coulter",G130&gt;='00_Control'!$B$7),"YES","NO")</f>
        <v/>
      </c>
      <c r="AJ130" s="33" t="inlineStr">
        <is>
          <t>OK</t>
        </is>
      </c>
    </row>
    <row r="131">
      <c r="A131" s="33" t="inlineStr">
        <is>
          <t>SM000127</t>
        </is>
      </c>
      <c r="B131" s="33" t="inlineStr">
        <is>
          <t>SW010</t>
        </is>
      </c>
      <c r="C131" s="33" t="inlineStr">
        <is>
          <t>Caeleb Dressel</t>
        </is>
      </c>
      <c r="D131" s="33" t="inlineStr">
        <is>
          <t>SwimCloud</t>
        </is>
      </c>
      <c r="E131" s="33" t="inlineStr">
        <is>
          <t>2361642</t>
        </is>
      </c>
      <c r="F131" s="33" t="inlineStr">
        <is>
          <t>6357792</t>
        </is>
      </c>
      <c r="G131" s="51" t="n">
        <v>42225</v>
      </c>
      <c r="H131" s="33" t="inlineStr">
        <is>
          <t>2015 Phillips 66 National Championships</t>
        </is>
      </c>
      <c r="I131" s="33" t="inlineStr">
        <is>
          <t>29376</t>
        </is>
      </c>
      <c r="J131" s="33" t="inlineStr"/>
      <c r="K131" s="33" t="inlineStr">
        <is>
          <t>PRE</t>
        </is>
      </c>
      <c r="L131" s="35">
        <f>IF(K131="FIN",3,IF(OR(K131="SEM",K131="SEMI"),2,IF(OR(K131="PRE",K131="HEAT"),1,IF(V131="YES",4,2))))</f>
        <v/>
      </c>
      <c r="M131" s="33" t="inlineStr">
        <is>
          <t>LCM</t>
        </is>
      </c>
      <c r="N131" s="33" t="n">
        <v>100</v>
      </c>
      <c r="O131" s="33" t="inlineStr">
        <is>
          <t>Free</t>
        </is>
      </c>
      <c r="P131" s="33" t="inlineStr">
        <is>
          <t>100 Free</t>
        </is>
      </c>
      <c r="Q131" s="33" t="inlineStr">
        <is>
          <t>LCM_100_FREE</t>
        </is>
      </c>
      <c r="R131" s="36" t="n">
        <v>48.98</v>
      </c>
      <c r="S131" s="35">
        <f>IF(R131="","",IF(R131&gt;=60,INT(R131/60)&amp;":"&amp;TEXT(MOD(R131,60),"00.00"),TEXT(R131,"0.00")))</f>
        <v/>
      </c>
      <c r="T131" s="52">
        <f>IFERROR((G131-INDEX('01_Swimmers'!$E$5:$E$22,MATCH(B131,'01_Swimmers'!$A$5:$A$22,0)))/'00_Control'!$B$10,"")</f>
        <v/>
      </c>
      <c r="U131" s="35">
        <f>IF(T131="","",INT(T131))</f>
        <v/>
      </c>
      <c r="V131" s="33" t="inlineStr">
        <is>
          <t>NO</t>
        </is>
      </c>
      <c r="W131" s="33" t="inlineStr">
        <is>
          <t>YES</t>
        </is>
      </c>
      <c r="X131" s="33" t="inlineStr">
        <is>
          <t>NO</t>
        </is>
      </c>
      <c r="Y131" s="33" t="n">
        <v>7</v>
      </c>
      <c r="Z131" s="33" t="n">
        <v>7</v>
      </c>
      <c r="AA131" s="33" t="inlineStr">
        <is>
          <t>1</t>
        </is>
      </c>
      <c r="AB131" s="33" t="inlineStr">
        <is>
          <t>https://www.swimcloud.com/results/29376/event/20/?id=6357792#time6357792</t>
        </is>
      </c>
      <c r="AC131" s="33" t="inlineStr">
        <is>
          <t>SwimCloud API v6 2026-10-08</t>
        </is>
      </c>
      <c r="AD131" s="33" t="inlineStr">
        <is>
          <t>Caeleb Dressel|2015-08-09|LCM|100|Free|48.98|2015 Phillips 66 National Championships|PRE|False</t>
        </is>
      </c>
      <c r="AE131" s="53">
        <f>G131+L131/1000+ROW()/1000000000</f>
        <v/>
      </c>
      <c r="AF131" s="35">
        <f>IF(C131&lt;&gt;"Grayson Coulter","",COUNTIFS($C$5:$C$2991,"Grayson Coulter",$Q$5:$Q$2991,Q131,$AE$5:$AE$2991,"&lt;="&amp;AE131,$R$5:$R$2991,"&lt;"&amp;R131))</f>
        <v/>
      </c>
      <c r="AG131" s="35">
        <f>IF(OR(C131&lt;&gt;"Grayson Coulter",G131&lt;'00_Control'!$B$7),"",--(AF131&lt;5))</f>
        <v/>
      </c>
      <c r="AH131" s="35">
        <f>IF(OR(C131&lt;&gt;"Grayson Coulter",G131&lt;'00_Control'!$B$7),"",--(AF131&lt;10))</f>
        <v/>
      </c>
      <c r="AI131" s="35">
        <f>IF(AND(C131="Grayson Coulter",G131&gt;='00_Control'!$B$7),"YES","NO")</f>
        <v/>
      </c>
      <c r="AJ131" s="33" t="inlineStr">
        <is>
          <t>OK</t>
        </is>
      </c>
    </row>
    <row r="132">
      <c r="A132" s="33" t="inlineStr">
        <is>
          <t>SM000128</t>
        </is>
      </c>
      <c r="B132" s="33" t="inlineStr">
        <is>
          <t>SW010</t>
        </is>
      </c>
      <c r="C132" s="33" t="inlineStr">
        <is>
          <t>Caeleb Dressel</t>
        </is>
      </c>
      <c r="D132" s="33" t="inlineStr">
        <is>
          <t>SwimCloud</t>
        </is>
      </c>
      <c r="E132" s="33" t="inlineStr">
        <is>
          <t>2361642</t>
        </is>
      </c>
      <c r="F132" s="33" t="inlineStr">
        <is>
          <t>6357857</t>
        </is>
      </c>
      <c r="G132" s="51" t="n">
        <v>42225</v>
      </c>
      <c r="H132" s="33" t="inlineStr">
        <is>
          <t>2015 Phillips 66 National Championships</t>
        </is>
      </c>
      <c r="I132" s="33" t="inlineStr">
        <is>
          <t>29376</t>
        </is>
      </c>
      <c r="J132" s="33" t="inlineStr"/>
      <c r="K132" s="33" t="inlineStr">
        <is>
          <t>FIN</t>
        </is>
      </c>
      <c r="L132" s="35">
        <f>IF(K132="FIN",3,IF(OR(K132="SEM",K132="SEMI"),2,IF(OR(K132="PRE",K132="HEAT"),1,IF(V132="YES",4,2))))</f>
        <v/>
      </c>
      <c r="M132" s="33" t="inlineStr">
        <is>
          <t>LCM</t>
        </is>
      </c>
      <c r="N132" s="33" t="n">
        <v>100</v>
      </c>
      <c r="O132" s="33" t="inlineStr">
        <is>
          <t>Free</t>
        </is>
      </c>
      <c r="P132" s="33" t="inlineStr">
        <is>
          <t>100 Free</t>
        </is>
      </c>
      <c r="Q132" s="33" t="inlineStr">
        <is>
          <t>LCM_100_FREE</t>
        </is>
      </c>
      <c r="R132" s="36" t="n">
        <v>48.78</v>
      </c>
      <c r="S132" s="35">
        <f>IF(R132="","",IF(R132&gt;=60,INT(R132/60)&amp;":"&amp;TEXT(MOD(R132,60),"00.00"),TEXT(R132,"0.00")))</f>
        <v/>
      </c>
      <c r="T132" s="52">
        <f>IFERROR((G132-INDEX('01_Swimmers'!$E$5:$E$22,MATCH(B132,'01_Swimmers'!$A$5:$A$22,0)))/'00_Control'!$B$10,"")</f>
        <v/>
      </c>
      <c r="U132" s="35">
        <f>IF(T132="","",INT(T132))</f>
        <v/>
      </c>
      <c r="V132" s="33" t="inlineStr">
        <is>
          <t>NO</t>
        </is>
      </c>
      <c r="W132" s="33" t="inlineStr">
        <is>
          <t>YES</t>
        </is>
      </c>
      <c r="X132" s="33" t="inlineStr">
        <is>
          <t>NO</t>
        </is>
      </c>
      <c r="Y132" s="33" t="n">
        <v>3</v>
      </c>
      <c r="Z132" s="33" t="n">
        <v>4</v>
      </c>
      <c r="AA132" s="33" t="inlineStr">
        <is>
          <t>1</t>
        </is>
      </c>
      <c r="AB132" s="33" t="inlineStr">
        <is>
          <t>https://www.swimcloud.com/results/29376/event/20/?id=6357857#time6357857</t>
        </is>
      </c>
      <c r="AC132" s="33" t="inlineStr">
        <is>
          <t>SwimCloud API v6 2026-10-08</t>
        </is>
      </c>
      <c r="AD132" s="33" t="inlineStr">
        <is>
          <t>Caeleb Dressel|2015-08-09|LCM|100|Free|48.78|2015 Phillips 66 National Championships|FIN|False</t>
        </is>
      </c>
      <c r="AE132" s="53">
        <f>G132+L132/1000+ROW()/1000000000</f>
        <v/>
      </c>
      <c r="AF132" s="35">
        <f>IF(C132&lt;&gt;"Grayson Coulter","",COUNTIFS($C$5:$C$2991,"Grayson Coulter",$Q$5:$Q$2991,Q132,$AE$5:$AE$2991,"&lt;="&amp;AE132,$R$5:$R$2991,"&lt;"&amp;R132))</f>
        <v/>
      </c>
      <c r="AG132" s="35">
        <f>IF(OR(C132&lt;&gt;"Grayson Coulter",G132&lt;'00_Control'!$B$7),"",--(AF132&lt;5))</f>
        <v/>
      </c>
      <c r="AH132" s="35">
        <f>IF(OR(C132&lt;&gt;"Grayson Coulter",G132&lt;'00_Control'!$B$7),"",--(AF132&lt;10))</f>
        <v/>
      </c>
      <c r="AI132" s="35">
        <f>IF(AND(C132="Grayson Coulter",G132&gt;='00_Control'!$B$7),"YES","NO")</f>
        <v/>
      </c>
      <c r="AJ132" s="33" t="inlineStr">
        <is>
          <t>OK</t>
        </is>
      </c>
    </row>
    <row r="133">
      <c r="A133" s="33" t="inlineStr">
        <is>
          <t>SM000129</t>
        </is>
      </c>
      <c r="B133" s="33" t="inlineStr">
        <is>
          <t>SW010</t>
        </is>
      </c>
      <c r="C133" s="33" t="inlineStr">
        <is>
          <t>Caeleb Dressel</t>
        </is>
      </c>
      <c r="D133" s="33" t="inlineStr">
        <is>
          <t>SwimCloud</t>
        </is>
      </c>
      <c r="E133" s="33" t="inlineStr">
        <is>
          <t>2361642</t>
        </is>
      </c>
      <c r="F133" s="33" t="inlineStr">
        <is>
          <t>6969831</t>
        </is>
      </c>
      <c r="G133" s="51" t="n">
        <v>42226</v>
      </c>
      <c r="H133" s="33" t="inlineStr">
        <is>
          <t>2015 Phillips 66 National Championships Time Trials</t>
        </is>
      </c>
      <c r="I133" s="33" t="inlineStr">
        <is>
          <t>54165</t>
        </is>
      </c>
      <c r="J133" s="33" t="inlineStr"/>
      <c r="K133" s="33" t="inlineStr">
        <is>
          <t>TIM</t>
        </is>
      </c>
      <c r="L133" s="35">
        <f>IF(K133="FIN",3,IF(OR(K133="SEM",K133="SEMI"),2,IF(OR(K133="PRE",K133="HEAT"),1,IF(V133="YES",4,2))))</f>
        <v/>
      </c>
      <c r="M133" s="33" t="inlineStr">
        <is>
          <t>LCM</t>
        </is>
      </c>
      <c r="N133" s="33" t="n">
        <v>100</v>
      </c>
      <c r="O133" s="33" t="inlineStr">
        <is>
          <t>Fly</t>
        </is>
      </c>
      <c r="P133" s="33" t="inlineStr">
        <is>
          <t>100 Fly</t>
        </is>
      </c>
      <c r="Q133" s="33" t="inlineStr">
        <is>
          <t>LCM_100_FLY</t>
        </is>
      </c>
      <c r="R133" s="36" t="n">
        <v>52.99</v>
      </c>
      <c r="S133" s="35">
        <f>IF(R133="","",IF(R133&gt;=60,INT(R133/60)&amp;":"&amp;TEXT(MOD(R133,60),"00.00"),TEXT(R133,"0.00")))</f>
        <v/>
      </c>
      <c r="T133" s="52">
        <f>IFERROR((G133-INDEX('01_Swimmers'!$E$5:$E$22,MATCH(B133,'01_Swimmers'!$A$5:$A$22,0)))/'00_Control'!$B$10,"")</f>
        <v/>
      </c>
      <c r="U133" s="35">
        <f>IF(T133="","",INT(T133))</f>
        <v/>
      </c>
      <c r="V133" s="33" t="inlineStr">
        <is>
          <t>NO</t>
        </is>
      </c>
      <c r="W133" s="33" t="inlineStr">
        <is>
          <t>YES</t>
        </is>
      </c>
      <c r="X133" s="33" t="inlineStr">
        <is>
          <t>NO</t>
        </is>
      </c>
      <c r="Y133" s="33" t="n">
        <v>2</v>
      </c>
      <c r="Z133" s="33" t="n">
        <v>5</v>
      </c>
      <c r="AA133" s="33" t="inlineStr">
        <is>
          <t>2</t>
        </is>
      </c>
      <c r="AB133" s="33" t="inlineStr">
        <is>
          <t>https://www.swimcloud.com/results/54165/event/515/?id=6969831#time6969831</t>
        </is>
      </c>
      <c r="AC133" s="33" t="inlineStr">
        <is>
          <t>SwimCloud API v6 2026-10-08</t>
        </is>
      </c>
      <c r="AD133" s="33" t="inlineStr">
        <is>
          <t>Caeleb Dressel|2015-08-10|LCM|100|Fly|52.99|2015 Phillips 66 National Championships Time Trials|TIM|False</t>
        </is>
      </c>
      <c r="AE133" s="53">
        <f>G133+L133/1000+ROW()/1000000000</f>
        <v/>
      </c>
      <c r="AF133" s="35">
        <f>IF(C133&lt;&gt;"Grayson Coulter","",COUNTIFS($C$5:$C$2991,"Grayson Coulter",$Q$5:$Q$2991,Q133,$AE$5:$AE$2991,"&lt;="&amp;AE133,$R$5:$R$2991,"&lt;"&amp;R133))</f>
        <v/>
      </c>
      <c r="AG133" s="35">
        <f>IF(OR(C133&lt;&gt;"Grayson Coulter",G133&lt;'00_Control'!$B$7),"",--(AF133&lt;5))</f>
        <v/>
      </c>
      <c r="AH133" s="35">
        <f>IF(OR(C133&lt;&gt;"Grayson Coulter",G133&lt;'00_Control'!$B$7),"",--(AF133&lt;10))</f>
        <v/>
      </c>
      <c r="AI133" s="35">
        <f>IF(AND(C133="Grayson Coulter",G133&gt;='00_Control'!$B$7),"YES","NO")</f>
        <v/>
      </c>
      <c r="AJ133" s="33" t="inlineStr">
        <is>
          <t>OK</t>
        </is>
      </c>
    </row>
    <row r="134">
      <c r="A134" s="33" t="inlineStr">
        <is>
          <t>SM000130</t>
        </is>
      </c>
      <c r="B134" s="33" t="inlineStr">
        <is>
          <t>SW010</t>
        </is>
      </c>
      <c r="C134" s="33" t="inlineStr">
        <is>
          <t>Caeleb Dressel</t>
        </is>
      </c>
      <c r="D134" s="33" t="inlineStr">
        <is>
          <t>SwimCloud</t>
        </is>
      </c>
      <c r="E134" s="33" t="inlineStr">
        <is>
          <t>2361642</t>
        </is>
      </c>
      <c r="F134" s="33" t="inlineStr">
        <is>
          <t>7018901</t>
        </is>
      </c>
      <c r="G134" s="51" t="n">
        <v>42293</v>
      </c>
      <c r="H134" s="33" t="inlineStr">
        <is>
          <t>Texas vs. Florida, Indiana - LCM</t>
        </is>
      </c>
      <c r="I134" s="33" t="inlineStr">
        <is>
          <t>55151</t>
        </is>
      </c>
      <c r="J134" s="33" t="inlineStr"/>
      <c r="K134" s="33" t="inlineStr">
        <is>
          <t>TIM</t>
        </is>
      </c>
      <c r="L134" s="35">
        <f>IF(K134="FIN",3,IF(OR(K134="SEM",K134="SEMI"),2,IF(OR(K134="PRE",K134="HEAT"),1,IF(V134="YES",4,2))))</f>
        <v/>
      </c>
      <c r="M134" s="33" t="inlineStr">
        <is>
          <t>LCM</t>
        </is>
      </c>
      <c r="N134" s="33" t="n">
        <v>100</v>
      </c>
      <c r="O134" s="33" t="inlineStr">
        <is>
          <t>Fly</t>
        </is>
      </c>
      <c r="P134" s="33" t="inlineStr">
        <is>
          <t>100 Fly</t>
        </is>
      </c>
      <c r="Q134" s="33" t="inlineStr">
        <is>
          <t>LCM_100_FLY</t>
        </is>
      </c>
      <c r="R134" s="36" t="n">
        <v>53.99</v>
      </c>
      <c r="S134" s="35">
        <f>IF(R134="","",IF(R134&gt;=60,INT(R134/60)&amp;":"&amp;TEXT(MOD(R134,60),"00.00"),TEXT(R134,"0.00")))</f>
        <v/>
      </c>
      <c r="T134" s="52">
        <f>IFERROR((G134-INDEX('01_Swimmers'!$E$5:$E$22,MATCH(B134,'01_Swimmers'!$A$5:$A$22,0)))/'00_Control'!$B$10,"")</f>
        <v/>
      </c>
      <c r="U134" s="35">
        <f>IF(T134="","",INT(T134))</f>
        <v/>
      </c>
      <c r="V134" s="33" t="inlineStr">
        <is>
          <t>NO</t>
        </is>
      </c>
      <c r="W134" s="33" t="inlineStr">
        <is>
          <t>YES</t>
        </is>
      </c>
      <c r="X134" s="33" t="inlineStr">
        <is>
          <t>NO</t>
        </is>
      </c>
      <c r="Y134" s="33" t="n">
        <v>2</v>
      </c>
      <c r="Z134" s="33" t="n">
        <v>2</v>
      </c>
      <c r="AA134" s="33" t="inlineStr">
        <is>
          <t>1</t>
        </is>
      </c>
      <c r="AB134" s="33" t="inlineStr">
        <is>
          <t>https://www.swimcloud.com/results/55151/event/24/?id=7018901#time7018901</t>
        </is>
      </c>
      <c r="AC134" s="33" t="inlineStr">
        <is>
          <t>SwimCloud API v6 2026-10-08</t>
        </is>
      </c>
      <c r="AD134" s="33" t="inlineStr">
        <is>
          <t>Caeleb Dressel|2015-10-16|LCM|100|Fly|53.99|Texas vs. Florida, Indiana - LCM|TIM|False</t>
        </is>
      </c>
      <c r="AE134" s="53">
        <f>G134+L134/1000+ROW()/1000000000</f>
        <v/>
      </c>
      <c r="AF134" s="35">
        <f>IF(C134&lt;&gt;"Grayson Coulter","",COUNTIFS($C$5:$C$2991,"Grayson Coulter",$Q$5:$Q$2991,Q134,$AE$5:$AE$2991,"&lt;="&amp;AE134,$R$5:$R$2991,"&lt;"&amp;R134))</f>
        <v/>
      </c>
      <c r="AG134" s="35">
        <f>IF(OR(C134&lt;&gt;"Grayson Coulter",G134&lt;'00_Control'!$B$7),"",--(AF134&lt;5))</f>
        <v/>
      </c>
      <c r="AH134" s="35">
        <f>IF(OR(C134&lt;&gt;"Grayson Coulter",G134&lt;'00_Control'!$B$7),"",--(AF134&lt;10))</f>
        <v/>
      </c>
      <c r="AI134" s="35">
        <f>IF(AND(C134="Grayson Coulter",G134&gt;='00_Control'!$B$7),"YES","NO")</f>
        <v/>
      </c>
      <c r="AJ134" s="33" t="inlineStr">
        <is>
          <t>OK</t>
        </is>
      </c>
    </row>
    <row r="135">
      <c r="A135" s="33" t="inlineStr">
        <is>
          <t>SM000131</t>
        </is>
      </c>
      <c r="B135" s="33" t="inlineStr">
        <is>
          <t>SW010</t>
        </is>
      </c>
      <c r="C135" s="33" t="inlineStr">
        <is>
          <t>Caeleb Dressel</t>
        </is>
      </c>
      <c r="D135" s="33" t="inlineStr">
        <is>
          <t>SwimCloud</t>
        </is>
      </c>
      <c r="E135" s="33" t="inlineStr">
        <is>
          <t>2361642</t>
        </is>
      </c>
      <c r="F135" s="33" t="inlineStr">
        <is>
          <t>7018887</t>
        </is>
      </c>
      <c r="G135" s="51" t="n">
        <v>42293</v>
      </c>
      <c r="H135" s="33" t="inlineStr">
        <is>
          <t>Texas vs. Florida, Indiana - LCM</t>
        </is>
      </c>
      <c r="I135" s="33" t="inlineStr">
        <is>
          <t>55151</t>
        </is>
      </c>
      <c r="J135" s="33" t="inlineStr"/>
      <c r="K135" s="33" t="inlineStr">
        <is>
          <t>TIM</t>
        </is>
      </c>
      <c r="L135" s="35">
        <f>IF(K135="FIN",3,IF(OR(K135="SEM",K135="SEMI"),2,IF(OR(K135="PRE",K135="HEAT"),1,IF(V135="YES",4,2))))</f>
        <v/>
      </c>
      <c r="M135" s="33" t="inlineStr">
        <is>
          <t>LCM</t>
        </is>
      </c>
      <c r="N135" s="33" t="n">
        <v>100</v>
      </c>
      <c r="O135" s="33" t="inlineStr">
        <is>
          <t>Free</t>
        </is>
      </c>
      <c r="P135" s="33" t="inlineStr">
        <is>
          <t>100 Free</t>
        </is>
      </c>
      <c r="Q135" s="33" t="inlineStr">
        <is>
          <t>LCM_100_FREE</t>
        </is>
      </c>
      <c r="R135" s="36" t="n">
        <v>50.38</v>
      </c>
      <c r="S135" s="35">
        <f>IF(R135="","",IF(R135&gt;=60,INT(R135/60)&amp;":"&amp;TEXT(MOD(R135,60),"00.00"),TEXT(R135,"0.00")))</f>
        <v/>
      </c>
      <c r="T135" s="52">
        <f>IFERROR((G135-INDEX('01_Swimmers'!$E$5:$E$22,MATCH(B135,'01_Swimmers'!$A$5:$A$22,0)))/'00_Control'!$B$10,"")</f>
        <v/>
      </c>
      <c r="U135" s="35">
        <f>IF(T135="","",INT(T135))</f>
        <v/>
      </c>
      <c r="V135" s="33" t="inlineStr">
        <is>
          <t>NO</t>
        </is>
      </c>
      <c r="W135" s="33" t="inlineStr">
        <is>
          <t>YES</t>
        </is>
      </c>
      <c r="X135" s="33" t="inlineStr">
        <is>
          <t>NO</t>
        </is>
      </c>
      <c r="Y135" s="33" t="n">
        <v>2</v>
      </c>
      <c r="Z135" s="33" t="n">
        <v>5</v>
      </c>
      <c r="AA135" s="33" t="inlineStr">
        <is>
          <t>2</t>
        </is>
      </c>
      <c r="AB135" s="33" t="inlineStr">
        <is>
          <t>https://www.swimcloud.com/results/55151/event/16/?id=7018887#time7018887</t>
        </is>
      </c>
      <c r="AC135" s="33" t="inlineStr">
        <is>
          <t>SwimCloud API v6 2026-10-08</t>
        </is>
      </c>
      <c r="AD135" s="33" t="inlineStr">
        <is>
          <t>Caeleb Dressel|2015-10-16|LCM|100|Free|50.38|Texas vs. Florida, Indiana - LCM|TIM|False</t>
        </is>
      </c>
      <c r="AE135" s="53">
        <f>G135+L135/1000+ROW()/1000000000</f>
        <v/>
      </c>
      <c r="AF135" s="35">
        <f>IF(C135&lt;&gt;"Grayson Coulter","",COUNTIFS($C$5:$C$2991,"Grayson Coulter",$Q$5:$Q$2991,Q135,$AE$5:$AE$2991,"&lt;="&amp;AE135,$R$5:$R$2991,"&lt;"&amp;R135))</f>
        <v/>
      </c>
      <c r="AG135" s="35">
        <f>IF(OR(C135&lt;&gt;"Grayson Coulter",G135&lt;'00_Control'!$B$7),"",--(AF135&lt;5))</f>
        <v/>
      </c>
      <c r="AH135" s="35">
        <f>IF(OR(C135&lt;&gt;"Grayson Coulter",G135&lt;'00_Control'!$B$7),"",--(AF135&lt;10))</f>
        <v/>
      </c>
      <c r="AI135" s="35">
        <f>IF(AND(C135="Grayson Coulter",G135&gt;='00_Control'!$B$7),"YES","NO")</f>
        <v/>
      </c>
      <c r="AJ135" s="33" t="inlineStr">
        <is>
          <t>OK</t>
        </is>
      </c>
    </row>
    <row r="136">
      <c r="A136" s="33" t="inlineStr">
        <is>
          <t>SM000132</t>
        </is>
      </c>
      <c r="B136" s="33" t="inlineStr">
        <is>
          <t>SW010</t>
        </is>
      </c>
      <c r="C136" s="33" t="inlineStr">
        <is>
          <t>Caeleb Dressel</t>
        </is>
      </c>
      <c r="D136" s="33" t="inlineStr">
        <is>
          <t>SwimCloud</t>
        </is>
      </c>
      <c r="E136" s="33" t="inlineStr">
        <is>
          <t>2361642</t>
        </is>
      </c>
      <c r="F136" s="33" t="inlineStr">
        <is>
          <t>7067838</t>
        </is>
      </c>
      <c r="G136" s="51" t="n">
        <v>42307</v>
      </c>
      <c r="H136" s="33" t="inlineStr">
        <is>
          <t>Florida vs. Georgia</t>
        </is>
      </c>
      <c r="I136" s="33" t="inlineStr">
        <is>
          <t>55342</t>
        </is>
      </c>
      <c r="J136" s="33" t="inlineStr"/>
      <c r="K136" s="33" t="inlineStr">
        <is>
          <t>TIM</t>
        </is>
      </c>
      <c r="L136" s="35">
        <f>IF(K136="FIN",3,IF(OR(K136="SEM",K136="SEMI"),2,IF(OR(K136="PRE",K136="HEAT"),1,IF(V136="YES",4,2))))</f>
        <v/>
      </c>
      <c r="M136" s="33" t="inlineStr">
        <is>
          <t>LCM</t>
        </is>
      </c>
      <c r="N136" s="33" t="n">
        <v>100</v>
      </c>
      <c r="O136" s="33" t="inlineStr">
        <is>
          <t>Fly</t>
        </is>
      </c>
      <c r="P136" s="33" t="inlineStr">
        <is>
          <t>100 Fly</t>
        </is>
      </c>
      <c r="Q136" s="33" t="inlineStr">
        <is>
          <t>LCM_100_FLY</t>
        </is>
      </c>
      <c r="R136" s="36" t="n">
        <v>55.07</v>
      </c>
      <c r="S136" s="35">
        <f>IF(R136="","",IF(R136&gt;=60,INT(R136/60)&amp;":"&amp;TEXT(MOD(R136,60),"00.00"),TEXT(R136,"0.00")))</f>
        <v/>
      </c>
      <c r="T136" s="52">
        <f>IFERROR((G136-INDEX('01_Swimmers'!$E$5:$E$22,MATCH(B136,'01_Swimmers'!$A$5:$A$22,0)))/'00_Control'!$B$10,"")</f>
        <v/>
      </c>
      <c r="U136" s="35">
        <f>IF(T136="","",INT(T136))</f>
        <v/>
      </c>
      <c r="V136" s="33" t="inlineStr">
        <is>
          <t>NO</t>
        </is>
      </c>
      <c r="W136" s="33" t="inlineStr">
        <is>
          <t>YES</t>
        </is>
      </c>
      <c r="X136" s="33" t="inlineStr">
        <is>
          <t>NO</t>
        </is>
      </c>
      <c r="Y136" s="33" t="n">
        <v>1</v>
      </c>
      <c r="Z136" s="33" t="n">
        <v>6</v>
      </c>
      <c r="AA136" s="33" t="inlineStr">
        <is>
          <t>3</t>
        </is>
      </c>
      <c r="AB136" s="33" t="inlineStr">
        <is>
          <t>https://www.swimcloud.com/results/55342/event/28/?id=7067838#time7067838</t>
        </is>
      </c>
      <c r="AC136" s="33" t="inlineStr">
        <is>
          <t>SwimCloud API v6 2026-10-08</t>
        </is>
      </c>
      <c r="AD136" s="33" t="inlineStr">
        <is>
          <t>Caeleb Dressel|2015-10-30|LCM|100|Fly|55.07|Florida vs. Georgia|TIM|False</t>
        </is>
      </c>
      <c r="AE136" s="53">
        <f>G136+L136/1000+ROW()/1000000000</f>
        <v/>
      </c>
      <c r="AF136" s="35">
        <f>IF(C136&lt;&gt;"Grayson Coulter","",COUNTIFS($C$5:$C$2991,"Grayson Coulter",$Q$5:$Q$2991,Q136,$AE$5:$AE$2991,"&lt;="&amp;AE136,$R$5:$R$2991,"&lt;"&amp;R136))</f>
        <v/>
      </c>
      <c r="AG136" s="35">
        <f>IF(OR(C136&lt;&gt;"Grayson Coulter",G136&lt;'00_Control'!$B$7),"",--(AF136&lt;5))</f>
        <v/>
      </c>
      <c r="AH136" s="35">
        <f>IF(OR(C136&lt;&gt;"Grayson Coulter",G136&lt;'00_Control'!$B$7),"",--(AF136&lt;10))</f>
        <v/>
      </c>
      <c r="AI136" s="35">
        <f>IF(AND(C136="Grayson Coulter",G136&gt;='00_Control'!$B$7),"YES","NO")</f>
        <v/>
      </c>
      <c r="AJ136" s="33" t="inlineStr">
        <is>
          <t>OK</t>
        </is>
      </c>
    </row>
    <row r="137">
      <c r="A137" s="33" t="inlineStr">
        <is>
          <t>SM000133</t>
        </is>
      </c>
      <c r="B137" s="33" t="inlineStr">
        <is>
          <t>SW010</t>
        </is>
      </c>
      <c r="C137" s="33" t="inlineStr">
        <is>
          <t>Caeleb Dressel</t>
        </is>
      </c>
      <c r="D137" s="33" t="inlineStr">
        <is>
          <t>SwimCloud</t>
        </is>
      </c>
      <c r="E137" s="33" t="inlineStr">
        <is>
          <t>2361642</t>
        </is>
      </c>
      <c r="F137" s="33" t="inlineStr">
        <is>
          <t>7067830</t>
        </is>
      </c>
      <c r="G137" s="51" t="n">
        <v>42307</v>
      </c>
      <c r="H137" s="33" t="inlineStr">
        <is>
          <t>Florida vs. Georgia</t>
        </is>
      </c>
      <c r="I137" s="33" t="inlineStr">
        <is>
          <t>55342</t>
        </is>
      </c>
      <c r="J137" s="33" t="inlineStr"/>
      <c r="K137" s="33" t="inlineStr">
        <is>
          <t>TIM</t>
        </is>
      </c>
      <c r="L137" s="35">
        <f>IF(K137="FIN",3,IF(OR(K137="SEM",K137="SEMI"),2,IF(OR(K137="PRE",K137="HEAT"),1,IF(V137="YES",4,2))))</f>
        <v/>
      </c>
      <c r="M137" s="33" t="inlineStr">
        <is>
          <t>LCM</t>
        </is>
      </c>
      <c r="N137" s="33" t="n">
        <v>100</v>
      </c>
      <c r="O137" s="33" t="inlineStr">
        <is>
          <t>Free</t>
        </is>
      </c>
      <c r="P137" s="33" t="inlineStr">
        <is>
          <t>100 Free</t>
        </is>
      </c>
      <c r="Q137" s="33" t="inlineStr">
        <is>
          <t>LCM_100_FREE</t>
        </is>
      </c>
      <c r="R137" s="36" t="n">
        <v>51.61</v>
      </c>
      <c r="S137" s="35">
        <f>IF(R137="","",IF(R137&gt;=60,INT(R137/60)&amp;":"&amp;TEXT(MOD(R137,60),"00.00"),TEXT(R137,"0.00")))</f>
        <v/>
      </c>
      <c r="T137" s="52">
        <f>IFERROR((G137-INDEX('01_Swimmers'!$E$5:$E$22,MATCH(B137,'01_Swimmers'!$A$5:$A$22,0)))/'00_Control'!$B$10,"")</f>
        <v/>
      </c>
      <c r="U137" s="35">
        <f>IF(T137="","",INT(T137))</f>
        <v/>
      </c>
      <c r="V137" s="33" t="inlineStr">
        <is>
          <t>NO</t>
        </is>
      </c>
      <c r="W137" s="33" t="inlineStr">
        <is>
          <t>YES</t>
        </is>
      </c>
      <c r="X137" s="33" t="inlineStr">
        <is>
          <t>NO</t>
        </is>
      </c>
      <c r="Y137" s="33" t="n">
        <v>1</v>
      </c>
      <c r="Z137" s="33" t="n">
        <v>4</v>
      </c>
      <c r="AA137" s="33" t="inlineStr">
        <is>
          <t>1</t>
        </is>
      </c>
      <c r="AB137" s="33" t="inlineStr">
        <is>
          <t>https://www.swimcloud.com/results/55342/event/20/?id=7067830#time7067830</t>
        </is>
      </c>
      <c r="AC137" s="33" t="inlineStr">
        <is>
          <t>SwimCloud API v6 2026-10-08</t>
        </is>
      </c>
      <c r="AD137" s="33" t="inlineStr">
        <is>
          <t>Caeleb Dressel|2015-10-30|LCM|100|Free|51.61|Florida vs. Georgia|TIM|False</t>
        </is>
      </c>
      <c r="AE137" s="53">
        <f>G137+L137/1000+ROW()/1000000000</f>
        <v/>
      </c>
      <c r="AF137" s="35">
        <f>IF(C137&lt;&gt;"Grayson Coulter","",COUNTIFS($C$5:$C$2991,"Grayson Coulter",$Q$5:$Q$2991,Q137,$AE$5:$AE$2991,"&lt;="&amp;AE137,$R$5:$R$2991,"&lt;"&amp;R137))</f>
        <v/>
      </c>
      <c r="AG137" s="35">
        <f>IF(OR(C137&lt;&gt;"Grayson Coulter",G137&lt;'00_Control'!$B$7),"",--(AF137&lt;5))</f>
        <v/>
      </c>
      <c r="AH137" s="35">
        <f>IF(OR(C137&lt;&gt;"Grayson Coulter",G137&lt;'00_Control'!$B$7),"",--(AF137&lt;10))</f>
        <v/>
      </c>
      <c r="AI137" s="35">
        <f>IF(AND(C137="Grayson Coulter",G137&gt;='00_Control'!$B$7),"YES","NO")</f>
        <v/>
      </c>
      <c r="AJ137" s="33" t="inlineStr">
        <is>
          <t>OK</t>
        </is>
      </c>
    </row>
    <row r="138">
      <c r="A138" s="33" t="inlineStr">
        <is>
          <t>SM000134</t>
        </is>
      </c>
      <c r="B138" s="33" t="inlineStr">
        <is>
          <t>SW010</t>
        </is>
      </c>
      <c r="C138" s="33" t="inlineStr">
        <is>
          <t>Caeleb Dressel</t>
        </is>
      </c>
      <c r="D138" s="33" t="inlineStr">
        <is>
          <t>SwimCloud</t>
        </is>
      </c>
      <c r="E138" s="33" t="inlineStr">
        <is>
          <t>2361642</t>
        </is>
      </c>
      <c r="F138" s="33" t="inlineStr">
        <is>
          <t>7222966</t>
        </is>
      </c>
      <c r="G138" s="51" t="n">
        <v>42329</v>
      </c>
      <c r="H138" s="33" t="inlineStr">
        <is>
          <t>Ohio State Invitational</t>
        </is>
      </c>
      <c r="I138" s="33" t="inlineStr">
        <is>
          <t>56334</t>
        </is>
      </c>
      <c r="J138" s="33" t="inlineStr"/>
      <c r="K138" s="33" t="inlineStr">
        <is>
          <t>PRE</t>
        </is>
      </c>
      <c r="L138" s="35">
        <f>IF(K138="FIN",3,IF(OR(K138="SEM",K138="SEMI"),2,IF(OR(K138="PRE",K138="HEAT"),1,IF(V138="YES",4,2))))</f>
        <v/>
      </c>
      <c r="M138" s="33" t="inlineStr">
        <is>
          <t>LCM</t>
        </is>
      </c>
      <c r="N138" s="33" t="n">
        <v>100</v>
      </c>
      <c r="O138" s="33" t="inlineStr">
        <is>
          <t>Fly</t>
        </is>
      </c>
      <c r="P138" s="33" t="inlineStr">
        <is>
          <t>100 Fly</t>
        </is>
      </c>
      <c r="Q138" s="33" t="inlineStr">
        <is>
          <t>LCM_100_FLY</t>
        </is>
      </c>
      <c r="R138" s="36" t="n">
        <v>54.06</v>
      </c>
      <c r="S138" s="35">
        <f>IF(R138="","",IF(R138&gt;=60,INT(R138/60)&amp;":"&amp;TEXT(MOD(R138,60),"00.00"),TEXT(R138,"0.00")))</f>
        <v/>
      </c>
      <c r="T138" s="52">
        <f>IFERROR((G138-INDEX('01_Swimmers'!$E$5:$E$22,MATCH(B138,'01_Swimmers'!$A$5:$A$22,0)))/'00_Control'!$B$10,"")</f>
        <v/>
      </c>
      <c r="U138" s="35">
        <f>IF(T138="","",INT(T138))</f>
        <v/>
      </c>
      <c r="V138" s="33" t="inlineStr">
        <is>
          <t>NO</t>
        </is>
      </c>
      <c r="W138" s="33" t="inlineStr">
        <is>
          <t>YES</t>
        </is>
      </c>
      <c r="X138" s="33" t="inlineStr">
        <is>
          <t>NO</t>
        </is>
      </c>
      <c r="Y138" s="33" t="n">
        <v>2</v>
      </c>
      <c r="Z138" s="33" t="n">
        <v>5</v>
      </c>
      <c r="AA138" s="33" t="inlineStr">
        <is>
          <t>2</t>
        </is>
      </c>
      <c r="AB138" s="33" t="inlineStr">
        <is>
          <t>https://www.swimcloud.com/results/56334/event/16/?id=7222966#time7222966</t>
        </is>
      </c>
      <c r="AC138" s="33" t="inlineStr">
        <is>
          <t>SwimCloud API v6 2026-10-08</t>
        </is>
      </c>
      <c r="AD138" s="33" t="inlineStr">
        <is>
          <t>Caeleb Dressel|2015-11-21|LCM|100|Fly|54.06|Ohio State Invitational|PRE|False</t>
        </is>
      </c>
      <c r="AE138" s="53">
        <f>G138+L138/1000+ROW()/1000000000</f>
        <v/>
      </c>
      <c r="AF138" s="35">
        <f>IF(C138&lt;&gt;"Grayson Coulter","",COUNTIFS($C$5:$C$2991,"Grayson Coulter",$Q$5:$Q$2991,Q138,$AE$5:$AE$2991,"&lt;="&amp;AE138,$R$5:$R$2991,"&lt;"&amp;R138))</f>
        <v/>
      </c>
      <c r="AG138" s="35">
        <f>IF(OR(C138&lt;&gt;"Grayson Coulter",G138&lt;'00_Control'!$B$7),"",--(AF138&lt;5))</f>
        <v/>
      </c>
      <c r="AH138" s="35">
        <f>IF(OR(C138&lt;&gt;"Grayson Coulter",G138&lt;'00_Control'!$B$7),"",--(AF138&lt;10))</f>
        <v/>
      </c>
      <c r="AI138" s="35">
        <f>IF(AND(C138="Grayson Coulter",G138&gt;='00_Control'!$B$7),"YES","NO")</f>
        <v/>
      </c>
      <c r="AJ138" s="33" t="inlineStr">
        <is>
          <t>OK</t>
        </is>
      </c>
    </row>
    <row r="139">
      <c r="A139" s="33" t="inlineStr">
        <is>
          <t>SM000135</t>
        </is>
      </c>
      <c r="B139" s="33" t="inlineStr">
        <is>
          <t>SW010</t>
        </is>
      </c>
      <c r="C139" s="33" t="inlineStr">
        <is>
          <t>Caeleb Dressel</t>
        </is>
      </c>
      <c r="D139" s="33" t="inlineStr">
        <is>
          <t>SwimCloud</t>
        </is>
      </c>
      <c r="E139" s="33" t="inlineStr">
        <is>
          <t>2361642</t>
        </is>
      </c>
      <c r="F139" s="33" t="inlineStr">
        <is>
          <t>7223241</t>
        </is>
      </c>
      <c r="G139" s="51" t="n">
        <v>42330</v>
      </c>
      <c r="H139" s="33" t="inlineStr">
        <is>
          <t>Ohio State Invitational</t>
        </is>
      </c>
      <c r="I139" s="33" t="inlineStr">
        <is>
          <t>56334</t>
        </is>
      </c>
      <c r="J139" s="33" t="inlineStr"/>
      <c r="K139" s="33" t="inlineStr">
        <is>
          <t>PRE</t>
        </is>
      </c>
      <c r="L139" s="35">
        <f>IF(K139="FIN",3,IF(OR(K139="SEM",K139="SEMI"),2,IF(OR(K139="PRE",K139="HEAT"),1,IF(V139="YES",4,2))))</f>
        <v/>
      </c>
      <c r="M139" s="33" t="inlineStr">
        <is>
          <t>LCM</t>
        </is>
      </c>
      <c r="N139" s="33" t="n">
        <v>100</v>
      </c>
      <c r="O139" s="33" t="inlineStr">
        <is>
          <t>Free</t>
        </is>
      </c>
      <c r="P139" s="33" t="inlineStr">
        <is>
          <t>100 Free</t>
        </is>
      </c>
      <c r="Q139" s="33" t="inlineStr">
        <is>
          <t>LCM_100_FREE</t>
        </is>
      </c>
      <c r="R139" s="36" t="n">
        <v>49.99</v>
      </c>
      <c r="S139" s="35">
        <f>IF(R139="","",IF(R139&gt;=60,INT(R139/60)&amp;":"&amp;TEXT(MOD(R139,60),"00.00"),TEXT(R139,"0.00")))</f>
        <v/>
      </c>
      <c r="T139" s="52">
        <f>IFERROR((G139-INDEX('01_Swimmers'!$E$5:$E$22,MATCH(B139,'01_Swimmers'!$A$5:$A$22,0)))/'00_Control'!$B$10,"")</f>
        <v/>
      </c>
      <c r="U139" s="35">
        <f>IF(T139="","",INT(T139))</f>
        <v/>
      </c>
      <c r="V139" s="33" t="inlineStr">
        <is>
          <t>NO</t>
        </is>
      </c>
      <c r="W139" s="33" t="inlineStr">
        <is>
          <t>YES</t>
        </is>
      </c>
      <c r="X139" s="33" t="inlineStr">
        <is>
          <t>NO</t>
        </is>
      </c>
      <c r="Y139" s="33" t="n">
        <v>4</v>
      </c>
      <c r="Z139" s="33" t="n">
        <v>5</v>
      </c>
      <c r="AA139" s="33" t="inlineStr">
        <is>
          <t>1</t>
        </is>
      </c>
      <c r="AB139" s="33" t="inlineStr">
        <is>
          <t>https://www.swimcloud.com/results/56334/event/30/?id=7223241#time7223241</t>
        </is>
      </c>
      <c r="AC139" s="33" t="inlineStr">
        <is>
          <t>SwimCloud API v6 2026-10-08</t>
        </is>
      </c>
      <c r="AD139" s="33" t="inlineStr">
        <is>
          <t>Caeleb Dressel|2015-11-22|LCM|100|Free|49.99|Ohio State Invitational|PRE|False</t>
        </is>
      </c>
      <c r="AE139" s="53">
        <f>G139+L139/1000+ROW()/1000000000</f>
        <v/>
      </c>
      <c r="AF139" s="35">
        <f>IF(C139&lt;&gt;"Grayson Coulter","",COUNTIFS($C$5:$C$2991,"Grayson Coulter",$Q$5:$Q$2991,Q139,$AE$5:$AE$2991,"&lt;="&amp;AE139,$R$5:$R$2991,"&lt;"&amp;R139))</f>
        <v/>
      </c>
      <c r="AG139" s="35">
        <f>IF(OR(C139&lt;&gt;"Grayson Coulter",G139&lt;'00_Control'!$B$7),"",--(AF139&lt;5))</f>
        <v/>
      </c>
      <c r="AH139" s="35">
        <f>IF(OR(C139&lt;&gt;"Grayson Coulter",G139&lt;'00_Control'!$B$7),"",--(AF139&lt;10))</f>
        <v/>
      </c>
      <c r="AI139" s="35">
        <f>IF(AND(C139="Grayson Coulter",G139&gt;='00_Control'!$B$7),"YES","NO")</f>
        <v/>
      </c>
      <c r="AJ139" s="33" t="inlineStr">
        <is>
          <t>OK</t>
        </is>
      </c>
    </row>
    <row r="140">
      <c r="A140" s="33" t="inlineStr">
        <is>
          <t>SM000136</t>
        </is>
      </c>
      <c r="B140" s="33" t="inlineStr">
        <is>
          <t>SW010</t>
        </is>
      </c>
      <c r="C140" s="33" t="inlineStr">
        <is>
          <t>Caeleb Dressel</t>
        </is>
      </c>
      <c r="D140" s="33" t="inlineStr">
        <is>
          <t>SwimCloud</t>
        </is>
      </c>
      <c r="E140" s="33" t="inlineStr">
        <is>
          <t>2361642</t>
        </is>
      </c>
      <c r="F140" s="33" t="inlineStr">
        <is>
          <t>7447281</t>
        </is>
      </c>
      <c r="G140" s="51" t="n">
        <v>42392</v>
      </c>
      <c r="H140" s="33" t="inlineStr">
        <is>
          <t>Florida vs. Auburn</t>
        </is>
      </c>
      <c r="I140" s="33" t="inlineStr">
        <is>
          <t>57104</t>
        </is>
      </c>
      <c r="J140" s="33" t="inlineStr"/>
      <c r="K140" s="33" t="inlineStr">
        <is>
          <t>TIM</t>
        </is>
      </c>
      <c r="L140" s="35">
        <f>IF(K140="FIN",3,IF(OR(K140="SEM",K140="SEMI"),2,IF(OR(K140="PRE",K140="HEAT"),1,IF(V140="YES",4,2))))</f>
        <v/>
      </c>
      <c r="M140" s="33" t="inlineStr">
        <is>
          <t>LCM</t>
        </is>
      </c>
      <c r="N140" s="33" t="n">
        <v>100</v>
      </c>
      <c r="O140" s="33" t="inlineStr">
        <is>
          <t>Free</t>
        </is>
      </c>
      <c r="P140" s="33" t="inlineStr">
        <is>
          <t>100 Free</t>
        </is>
      </c>
      <c r="Q140" s="33" t="inlineStr">
        <is>
          <t>LCM_100_FREE</t>
        </is>
      </c>
      <c r="R140" s="36" t="n">
        <v>50.94</v>
      </c>
      <c r="S140" s="35">
        <f>IF(R140="","",IF(R140&gt;=60,INT(R140/60)&amp;":"&amp;TEXT(MOD(R140,60),"00.00"),TEXT(R140,"0.00")))</f>
        <v/>
      </c>
      <c r="T140" s="52">
        <f>IFERROR((G140-INDEX('01_Swimmers'!$E$5:$E$22,MATCH(B140,'01_Swimmers'!$A$5:$A$22,0)))/'00_Control'!$B$10,"")</f>
        <v/>
      </c>
      <c r="U140" s="35">
        <f>IF(T140="","",INT(T140))</f>
        <v/>
      </c>
      <c r="V140" s="33" t="inlineStr">
        <is>
          <t>NO</t>
        </is>
      </c>
      <c r="W140" s="33" t="inlineStr">
        <is>
          <t>YES</t>
        </is>
      </c>
      <c r="X140" s="33" t="inlineStr">
        <is>
          <t>NO</t>
        </is>
      </c>
      <c r="Y140" s="33" t="n">
        <v>1</v>
      </c>
      <c r="Z140" s="33" t="n">
        <v>8</v>
      </c>
      <c r="AA140" s="33" t="inlineStr">
        <is>
          <t>1</t>
        </is>
      </c>
      <c r="AB140" s="33" t="inlineStr">
        <is>
          <t>https://www.swimcloud.com/results/57104/event/20/?id=7447281#time7447281</t>
        </is>
      </c>
      <c r="AC140" s="33" t="inlineStr">
        <is>
          <t>SwimCloud API v6 2026-10-08</t>
        </is>
      </c>
      <c r="AD140" s="33" t="inlineStr">
        <is>
          <t>Caeleb Dressel|2016-01-23|LCM|100|Free|50.94|Florida vs. Auburn|TIM|False</t>
        </is>
      </c>
      <c r="AE140" s="53">
        <f>G140+L140/1000+ROW()/1000000000</f>
        <v/>
      </c>
      <c r="AF140" s="35">
        <f>IF(C140&lt;&gt;"Grayson Coulter","",COUNTIFS($C$5:$C$2991,"Grayson Coulter",$Q$5:$Q$2991,Q140,$AE$5:$AE$2991,"&lt;="&amp;AE140,$R$5:$R$2991,"&lt;"&amp;R140))</f>
        <v/>
      </c>
      <c r="AG140" s="35">
        <f>IF(OR(C140&lt;&gt;"Grayson Coulter",G140&lt;'00_Control'!$B$7),"",--(AF140&lt;5))</f>
        <v/>
      </c>
      <c r="AH140" s="35">
        <f>IF(OR(C140&lt;&gt;"Grayson Coulter",G140&lt;'00_Control'!$B$7),"",--(AF140&lt;10))</f>
        <v/>
      </c>
      <c r="AI140" s="35">
        <f>IF(AND(C140="Grayson Coulter",G140&gt;='00_Control'!$B$7),"YES","NO")</f>
        <v/>
      </c>
      <c r="AJ140" s="33" t="inlineStr">
        <is>
          <t>OK</t>
        </is>
      </c>
    </row>
    <row r="141">
      <c r="A141" s="33" t="inlineStr">
        <is>
          <t>SM000137</t>
        </is>
      </c>
      <c r="B141" s="33" t="inlineStr">
        <is>
          <t>SW010</t>
        </is>
      </c>
      <c r="C141" s="33" t="inlineStr">
        <is>
          <t>Caeleb Dressel</t>
        </is>
      </c>
      <c r="D141" s="33" t="inlineStr">
        <is>
          <t>SwimCloud</t>
        </is>
      </c>
      <c r="E141" s="33" t="inlineStr">
        <is>
          <t>2361642</t>
        </is>
      </c>
      <c r="F141" s="33" t="inlineStr">
        <is>
          <t>70610158</t>
        </is>
      </c>
      <c r="G141" s="51" t="n">
        <v>42524</v>
      </c>
      <c r="H141" s="33" t="inlineStr">
        <is>
          <t>2016 SE June Invite</t>
        </is>
      </c>
      <c r="I141" s="33" t="inlineStr">
        <is>
          <t>215975</t>
        </is>
      </c>
      <c r="J141" s="33" t="inlineStr"/>
      <c r="K141" s="33" t="inlineStr">
        <is>
          <t>PRE</t>
        </is>
      </c>
      <c r="L141" s="35">
        <f>IF(K141="FIN",3,IF(OR(K141="SEM",K141="SEMI"),2,IF(OR(K141="PRE",K141="HEAT"),1,IF(V141="YES",4,2))))</f>
        <v/>
      </c>
      <c r="M141" s="33" t="inlineStr">
        <is>
          <t>LCM</t>
        </is>
      </c>
      <c r="N141" s="33" t="n">
        <v>100</v>
      </c>
      <c r="O141" s="33" t="inlineStr">
        <is>
          <t>Free</t>
        </is>
      </c>
      <c r="P141" s="33" t="inlineStr">
        <is>
          <t>100 Free</t>
        </is>
      </c>
      <c r="Q141" s="33" t="inlineStr">
        <is>
          <t>LCM_100_FREE</t>
        </is>
      </c>
      <c r="R141" s="36" t="n">
        <v>50.71</v>
      </c>
      <c r="S141" s="35">
        <f>IF(R141="","",IF(R141&gt;=60,INT(R141/60)&amp;":"&amp;TEXT(MOD(R141,60),"00.00"),TEXT(R141,"0.00")))</f>
        <v/>
      </c>
      <c r="T141" s="52">
        <f>IFERROR((G141-INDEX('01_Swimmers'!$E$5:$E$22,MATCH(B141,'01_Swimmers'!$A$5:$A$22,0)))/'00_Control'!$B$10,"")</f>
        <v/>
      </c>
      <c r="U141" s="35">
        <f>IF(T141="","",INT(T141))</f>
        <v/>
      </c>
      <c r="V141" s="33" t="inlineStr">
        <is>
          <t>NO</t>
        </is>
      </c>
      <c r="W141" s="33" t="inlineStr">
        <is>
          <t>YES</t>
        </is>
      </c>
      <c r="X141" s="33" t="inlineStr">
        <is>
          <t>NO</t>
        </is>
      </c>
      <c r="Y141" s="33" t="n">
        <v>10</v>
      </c>
      <c r="Z141" s="33" t="n">
        <v>4</v>
      </c>
      <c r="AA141" s="33" t="inlineStr">
        <is>
          <t>1</t>
        </is>
      </c>
      <c r="AB141" s="33" t="inlineStr">
        <is>
          <t>https://www.swimcloud.com/results/215975/event/2/?id=70610158#time70610158</t>
        </is>
      </c>
      <c r="AC141" s="33" t="inlineStr">
        <is>
          <t>SwimCloud API v6 2026-10-08</t>
        </is>
      </c>
      <c r="AD141" s="33" t="inlineStr">
        <is>
          <t>Caeleb Dressel|2016-06-03|LCM|100|Free|50.71|2016 SE June Invite|PRE|False</t>
        </is>
      </c>
      <c r="AE141" s="53">
        <f>G141+L141/1000+ROW()/1000000000</f>
        <v/>
      </c>
      <c r="AF141" s="35">
        <f>IF(C141&lt;&gt;"Grayson Coulter","",COUNTIFS($C$5:$C$2991,"Grayson Coulter",$Q$5:$Q$2991,Q141,$AE$5:$AE$2991,"&lt;="&amp;AE141,$R$5:$R$2991,"&lt;"&amp;R141))</f>
        <v/>
      </c>
      <c r="AG141" s="35">
        <f>IF(OR(C141&lt;&gt;"Grayson Coulter",G141&lt;'00_Control'!$B$7),"",--(AF141&lt;5))</f>
        <v/>
      </c>
      <c r="AH141" s="35">
        <f>IF(OR(C141&lt;&gt;"Grayson Coulter",G141&lt;'00_Control'!$B$7),"",--(AF141&lt;10))</f>
        <v/>
      </c>
      <c r="AI141" s="35">
        <f>IF(AND(C141="Grayson Coulter",G141&gt;='00_Control'!$B$7),"YES","NO")</f>
        <v/>
      </c>
      <c r="AJ141" s="33" t="inlineStr">
        <is>
          <t>OK</t>
        </is>
      </c>
    </row>
    <row r="142">
      <c r="A142" s="33" t="inlineStr">
        <is>
          <t>SM000138</t>
        </is>
      </c>
      <c r="B142" s="33" t="inlineStr">
        <is>
          <t>SW010</t>
        </is>
      </c>
      <c r="C142" s="33" t="inlineStr">
        <is>
          <t>Caeleb Dressel</t>
        </is>
      </c>
      <c r="D142" s="33" t="inlineStr">
        <is>
          <t>SwimCloud</t>
        </is>
      </c>
      <c r="E142" s="33" t="inlineStr">
        <is>
          <t>2361642</t>
        </is>
      </c>
      <c r="F142" s="33" t="inlineStr">
        <is>
          <t>70610159</t>
        </is>
      </c>
      <c r="G142" s="51" t="n">
        <v>42524</v>
      </c>
      <c r="H142" s="33" t="inlineStr">
        <is>
          <t>2016 SE June Invite</t>
        </is>
      </c>
      <c r="I142" s="33" t="inlineStr">
        <is>
          <t>215975</t>
        </is>
      </c>
      <c r="J142" s="33" t="inlineStr"/>
      <c r="K142" s="33" t="inlineStr">
        <is>
          <t>FIN</t>
        </is>
      </c>
      <c r="L142" s="35">
        <f>IF(K142="FIN",3,IF(OR(K142="SEM",K142="SEMI"),2,IF(OR(K142="PRE",K142="HEAT"),1,IF(V142="YES",4,2))))</f>
        <v/>
      </c>
      <c r="M142" s="33" t="inlineStr">
        <is>
          <t>LCM</t>
        </is>
      </c>
      <c r="N142" s="33" t="n">
        <v>100</v>
      </c>
      <c r="O142" s="33" t="inlineStr">
        <is>
          <t>Free</t>
        </is>
      </c>
      <c r="P142" s="33" t="inlineStr">
        <is>
          <t>100 Free</t>
        </is>
      </c>
      <c r="Q142" s="33" t="inlineStr">
        <is>
          <t>LCM_100_FREE</t>
        </is>
      </c>
      <c r="R142" s="36" t="n">
        <v>48.74</v>
      </c>
      <c r="S142" s="35">
        <f>IF(R142="","",IF(R142&gt;=60,INT(R142/60)&amp;":"&amp;TEXT(MOD(R142,60),"00.00"),TEXT(R142,"0.00")))</f>
        <v/>
      </c>
      <c r="T142" s="52">
        <f>IFERROR((G142-INDEX('01_Swimmers'!$E$5:$E$22,MATCH(B142,'01_Swimmers'!$A$5:$A$22,0)))/'00_Control'!$B$10,"")</f>
        <v/>
      </c>
      <c r="U142" s="35">
        <f>IF(T142="","",INT(T142))</f>
        <v/>
      </c>
      <c r="V142" s="33" t="inlineStr">
        <is>
          <t>NO</t>
        </is>
      </c>
      <c r="W142" s="33" t="inlineStr">
        <is>
          <t>YES</t>
        </is>
      </c>
      <c r="X142" s="33" t="inlineStr">
        <is>
          <t>NO</t>
        </is>
      </c>
      <c r="Y142" s="33" t="n">
        <v>1</v>
      </c>
      <c r="Z142" s="33" t="n">
        <v>4</v>
      </c>
      <c r="AA142" s="33" t="inlineStr">
        <is>
          <t>1</t>
        </is>
      </c>
      <c r="AB142" s="33" t="inlineStr">
        <is>
          <t>https://www.swimcloud.com/results/215975/event/2/?id=70610159#time70610159</t>
        </is>
      </c>
      <c r="AC142" s="33" t="inlineStr">
        <is>
          <t>SwimCloud API v6 2026-10-08</t>
        </is>
      </c>
      <c r="AD142" s="33" t="inlineStr">
        <is>
          <t>Caeleb Dressel|2016-06-03|LCM|100|Free|48.74|2016 SE June Invite|FIN|False</t>
        </is>
      </c>
      <c r="AE142" s="53">
        <f>G142+L142/1000+ROW()/1000000000</f>
        <v/>
      </c>
      <c r="AF142" s="35">
        <f>IF(C142&lt;&gt;"Grayson Coulter","",COUNTIFS($C$5:$C$2991,"Grayson Coulter",$Q$5:$Q$2991,Q142,$AE$5:$AE$2991,"&lt;="&amp;AE142,$R$5:$R$2991,"&lt;"&amp;R142))</f>
        <v/>
      </c>
      <c r="AG142" s="35">
        <f>IF(OR(C142&lt;&gt;"Grayson Coulter",G142&lt;'00_Control'!$B$7),"",--(AF142&lt;5))</f>
        <v/>
      </c>
      <c r="AH142" s="35">
        <f>IF(OR(C142&lt;&gt;"Grayson Coulter",G142&lt;'00_Control'!$B$7),"",--(AF142&lt;10))</f>
        <v/>
      </c>
      <c r="AI142" s="35">
        <f>IF(AND(C142="Grayson Coulter",G142&gt;='00_Control'!$B$7),"YES","NO")</f>
        <v/>
      </c>
      <c r="AJ142" s="33" t="inlineStr">
        <is>
          <t>OK</t>
        </is>
      </c>
    </row>
    <row r="143">
      <c r="A143" s="33" t="inlineStr">
        <is>
          <t>SM000139</t>
        </is>
      </c>
      <c r="B143" s="33" t="inlineStr">
        <is>
          <t>SW010</t>
        </is>
      </c>
      <c r="C143" s="33" t="inlineStr">
        <is>
          <t>Caeleb Dressel</t>
        </is>
      </c>
      <c r="D143" s="33" t="inlineStr">
        <is>
          <t>SwimCloud</t>
        </is>
      </c>
      <c r="E143" s="33" t="inlineStr">
        <is>
          <t>2361642</t>
        </is>
      </c>
      <c r="F143" s="33" t="inlineStr">
        <is>
          <t>70609554</t>
        </is>
      </c>
      <c r="G143" s="51" t="n">
        <v>42525</v>
      </c>
      <c r="H143" s="33" t="inlineStr">
        <is>
          <t>2016 SE June Invite</t>
        </is>
      </c>
      <c r="I143" s="33" t="inlineStr">
        <is>
          <t>215975</t>
        </is>
      </c>
      <c r="J143" s="33" t="inlineStr"/>
      <c r="K143" s="33" t="inlineStr">
        <is>
          <t>PRE</t>
        </is>
      </c>
      <c r="L143" s="35">
        <f>IF(K143="FIN",3,IF(OR(K143="SEM",K143="SEMI"),2,IF(OR(K143="PRE",K143="HEAT"),1,IF(V143="YES",4,2))))</f>
        <v/>
      </c>
      <c r="M143" s="33" t="inlineStr">
        <is>
          <t>LCM</t>
        </is>
      </c>
      <c r="N143" s="33" t="n">
        <v>100</v>
      </c>
      <c r="O143" s="33" t="inlineStr">
        <is>
          <t>Fly</t>
        </is>
      </c>
      <c r="P143" s="33" t="inlineStr">
        <is>
          <t>100 Fly</t>
        </is>
      </c>
      <c r="Q143" s="33" t="inlineStr">
        <is>
          <t>LCM_100_FLY</t>
        </is>
      </c>
      <c r="R143" s="36" t="n">
        <v>55.17</v>
      </c>
      <c r="S143" s="35">
        <f>IF(R143="","",IF(R143&gt;=60,INT(R143/60)&amp;":"&amp;TEXT(MOD(R143,60),"00.00"),TEXT(R143,"0.00")))</f>
        <v/>
      </c>
      <c r="T143" s="52">
        <f>IFERROR((G143-INDEX('01_Swimmers'!$E$5:$E$22,MATCH(B143,'01_Swimmers'!$A$5:$A$22,0)))/'00_Control'!$B$10,"")</f>
        <v/>
      </c>
      <c r="U143" s="35">
        <f>IF(T143="","",INT(T143))</f>
        <v/>
      </c>
      <c r="V143" s="33" t="inlineStr">
        <is>
          <t>NO</t>
        </is>
      </c>
      <c r="W143" s="33" t="inlineStr">
        <is>
          <t>YES</t>
        </is>
      </c>
      <c r="X143" s="33" t="inlineStr">
        <is>
          <t>NO</t>
        </is>
      </c>
      <c r="Y143" s="33" t="n">
        <v>9</v>
      </c>
      <c r="Z143" s="33" t="n">
        <v>4</v>
      </c>
      <c r="AA143" s="33" t="inlineStr">
        <is>
          <t>5</t>
        </is>
      </c>
      <c r="AB143" s="33" t="inlineStr">
        <is>
          <t>https://www.swimcloud.com/results/215975/event/32/?id=70609554#time70609554</t>
        </is>
      </c>
      <c r="AC143" s="33" t="inlineStr">
        <is>
          <t>SwimCloud API v6 2026-10-08</t>
        </is>
      </c>
      <c r="AD143" s="33" t="inlineStr">
        <is>
          <t>Caeleb Dressel|2016-06-04|LCM|100|Fly|55.17|2016 SE June Invite|PRE|False</t>
        </is>
      </c>
      <c r="AE143" s="53">
        <f>G143+L143/1000+ROW()/1000000000</f>
        <v/>
      </c>
      <c r="AF143" s="35">
        <f>IF(C143&lt;&gt;"Grayson Coulter","",COUNTIFS($C$5:$C$2991,"Grayson Coulter",$Q$5:$Q$2991,Q143,$AE$5:$AE$2991,"&lt;="&amp;AE143,$R$5:$R$2991,"&lt;"&amp;R143))</f>
        <v/>
      </c>
      <c r="AG143" s="35">
        <f>IF(OR(C143&lt;&gt;"Grayson Coulter",G143&lt;'00_Control'!$B$7),"",--(AF143&lt;5))</f>
        <v/>
      </c>
      <c r="AH143" s="35">
        <f>IF(OR(C143&lt;&gt;"Grayson Coulter",G143&lt;'00_Control'!$B$7),"",--(AF143&lt;10))</f>
        <v/>
      </c>
      <c r="AI143" s="35">
        <f>IF(AND(C143="Grayson Coulter",G143&gt;='00_Control'!$B$7),"YES","NO")</f>
        <v/>
      </c>
      <c r="AJ143" s="33" t="inlineStr">
        <is>
          <t>OK</t>
        </is>
      </c>
    </row>
    <row r="144">
      <c r="A144" s="33" t="inlineStr">
        <is>
          <t>SM000140</t>
        </is>
      </c>
      <c r="B144" s="33" t="inlineStr">
        <is>
          <t>SW010</t>
        </is>
      </c>
      <c r="C144" s="33" t="inlineStr">
        <is>
          <t>Caeleb Dressel</t>
        </is>
      </c>
      <c r="D144" s="33" t="inlineStr">
        <is>
          <t>SwimCloud</t>
        </is>
      </c>
      <c r="E144" s="33" t="inlineStr">
        <is>
          <t>2361642</t>
        </is>
      </c>
      <c r="F144" s="33" t="inlineStr">
        <is>
          <t>70609666</t>
        </is>
      </c>
      <c r="G144" s="51" t="n">
        <v>42525</v>
      </c>
      <c r="H144" s="33" t="inlineStr">
        <is>
          <t>2016 SE June Invite</t>
        </is>
      </c>
      <c r="I144" s="33" t="inlineStr">
        <is>
          <t>215975</t>
        </is>
      </c>
      <c r="J144" s="33" t="inlineStr"/>
      <c r="K144" s="33" t="inlineStr">
        <is>
          <t>PRE</t>
        </is>
      </c>
      <c r="L144" s="35">
        <f>IF(K144="FIN",3,IF(OR(K144="SEM",K144="SEMI"),2,IF(OR(K144="PRE",K144="HEAT"),1,IF(V144="YES",4,2))))</f>
        <v/>
      </c>
      <c r="M144" s="33" t="inlineStr">
        <is>
          <t>LCM</t>
        </is>
      </c>
      <c r="N144" s="33" t="n">
        <v>200</v>
      </c>
      <c r="O144" s="33" t="inlineStr">
        <is>
          <t>Free</t>
        </is>
      </c>
      <c r="P144" s="33" t="inlineStr">
        <is>
          <t>200 Free</t>
        </is>
      </c>
      <c r="Q144" s="33" t="inlineStr">
        <is>
          <t>LCM_200_FREE</t>
        </is>
      </c>
      <c r="R144" s="36" t="n">
        <v>114.34</v>
      </c>
      <c r="S144" s="35">
        <f>IF(R144="","",IF(R144&gt;=60,INT(R144/60)&amp;":"&amp;TEXT(MOD(R144,60),"00.00"),TEXT(R144,"0.00")))</f>
        <v/>
      </c>
      <c r="T144" s="52">
        <f>IFERROR((G144-INDEX('01_Swimmers'!$E$5:$E$22,MATCH(B144,'01_Swimmers'!$A$5:$A$22,0)))/'00_Control'!$B$10,"")</f>
        <v/>
      </c>
      <c r="U144" s="35">
        <f>IF(T144="","",INT(T144))</f>
        <v/>
      </c>
      <c r="V144" s="33" t="inlineStr">
        <is>
          <t>NO</t>
        </is>
      </c>
      <c r="W144" s="33" t="inlineStr">
        <is>
          <t>YES</t>
        </is>
      </c>
      <c r="X144" s="33" t="inlineStr">
        <is>
          <t>NO</t>
        </is>
      </c>
      <c r="Y144" s="33" t="n">
        <v>10</v>
      </c>
      <c r="Z144" s="33" t="n">
        <v>5</v>
      </c>
      <c r="AA144" s="33" t="inlineStr">
        <is>
          <t>5</t>
        </is>
      </c>
      <c r="AB144" s="33" t="inlineStr">
        <is>
          <t>https://www.swimcloud.com/results/215975/event/40/?id=70609666#time70609666</t>
        </is>
      </c>
      <c r="AC144" s="33" t="inlineStr">
        <is>
          <t>SwimCloud API v6 2026-10-08</t>
        </is>
      </c>
      <c r="AD144" s="33" t="inlineStr">
        <is>
          <t>Caeleb Dressel|2016-06-04|LCM|200|Free|114.34|2016 SE June Invite|PRE|False</t>
        </is>
      </c>
      <c r="AE144" s="53">
        <f>G144+L144/1000+ROW()/1000000000</f>
        <v/>
      </c>
      <c r="AF144" s="35">
        <f>IF(C144&lt;&gt;"Grayson Coulter","",COUNTIFS($C$5:$C$2991,"Grayson Coulter",$Q$5:$Q$2991,Q144,$AE$5:$AE$2991,"&lt;="&amp;AE144,$R$5:$R$2991,"&lt;"&amp;R144))</f>
        <v/>
      </c>
      <c r="AG144" s="35">
        <f>IF(OR(C144&lt;&gt;"Grayson Coulter",G144&lt;'00_Control'!$B$7),"",--(AF144&lt;5))</f>
        <v/>
      </c>
      <c r="AH144" s="35">
        <f>IF(OR(C144&lt;&gt;"Grayson Coulter",G144&lt;'00_Control'!$B$7),"",--(AF144&lt;10))</f>
        <v/>
      </c>
      <c r="AI144" s="35">
        <f>IF(AND(C144="Grayson Coulter",G144&gt;='00_Control'!$B$7),"YES","NO")</f>
        <v/>
      </c>
      <c r="AJ144" s="33" t="inlineStr">
        <is>
          <t>OK</t>
        </is>
      </c>
    </row>
    <row r="145">
      <c r="A145" s="33" t="inlineStr">
        <is>
          <t>SM000141</t>
        </is>
      </c>
      <c r="B145" s="33" t="inlineStr">
        <is>
          <t>SW010</t>
        </is>
      </c>
      <c r="C145" s="33" t="inlineStr">
        <is>
          <t>Caeleb Dressel</t>
        </is>
      </c>
      <c r="D145" s="33" t="inlineStr">
        <is>
          <t>SwimCloud</t>
        </is>
      </c>
      <c r="E145" s="33" t="inlineStr">
        <is>
          <t>2361642</t>
        </is>
      </c>
      <c r="F145" s="33" t="inlineStr">
        <is>
          <t>70609667</t>
        </is>
      </c>
      <c r="G145" s="51" t="n">
        <v>42525</v>
      </c>
      <c r="H145" s="33" t="inlineStr">
        <is>
          <t>2016 SE June Invite</t>
        </is>
      </c>
      <c r="I145" s="33" t="inlineStr">
        <is>
          <t>215975</t>
        </is>
      </c>
      <c r="J145" s="33" t="inlineStr"/>
      <c r="K145" s="33" t="inlineStr">
        <is>
          <t>FIN</t>
        </is>
      </c>
      <c r="L145" s="35">
        <f>IF(K145="FIN",3,IF(OR(K145="SEM",K145="SEMI"),2,IF(OR(K145="PRE",K145="HEAT"),1,IF(V145="YES",4,2))))</f>
        <v/>
      </c>
      <c r="M145" s="33" t="inlineStr">
        <is>
          <t>LCM</t>
        </is>
      </c>
      <c r="N145" s="33" t="n">
        <v>200</v>
      </c>
      <c r="O145" s="33" t="inlineStr">
        <is>
          <t>Free</t>
        </is>
      </c>
      <c r="P145" s="33" t="inlineStr">
        <is>
          <t>200 Free</t>
        </is>
      </c>
      <c r="Q145" s="33" t="inlineStr">
        <is>
          <t>LCM_200_FREE</t>
        </is>
      </c>
      <c r="R145" s="36" t="n">
        <v>108.39</v>
      </c>
      <c r="S145" s="35">
        <f>IF(R145="","",IF(R145&gt;=60,INT(R145/60)&amp;":"&amp;TEXT(MOD(R145,60),"00.00"),TEXT(R145,"0.00")))</f>
        <v/>
      </c>
      <c r="T145" s="52">
        <f>IFERROR((G145-INDEX('01_Swimmers'!$E$5:$E$22,MATCH(B145,'01_Swimmers'!$A$5:$A$22,0)))/'00_Control'!$B$10,"")</f>
        <v/>
      </c>
      <c r="U145" s="35">
        <f>IF(T145="","",INT(T145))</f>
        <v/>
      </c>
      <c r="V145" s="33" t="inlineStr">
        <is>
          <t>NO</t>
        </is>
      </c>
      <c r="W145" s="33" t="inlineStr">
        <is>
          <t>YES</t>
        </is>
      </c>
      <c r="X145" s="33" t="inlineStr">
        <is>
          <t>NO</t>
        </is>
      </c>
      <c r="Y145" s="33" t="n">
        <v>1</v>
      </c>
      <c r="Z145" s="33" t="n">
        <v>2</v>
      </c>
      <c r="AA145" s="33" t="inlineStr">
        <is>
          <t>1</t>
        </is>
      </c>
      <c r="AB145" s="33" t="inlineStr">
        <is>
          <t>https://www.swimcloud.com/results/215975/event/40/?id=70609667#time70609667</t>
        </is>
      </c>
      <c r="AC145" s="33" t="inlineStr">
        <is>
          <t>SwimCloud API v6 2026-10-08</t>
        </is>
      </c>
      <c r="AD145" s="33" t="inlineStr">
        <is>
          <t>Caeleb Dressel|2016-06-04|LCM|200|Free|108.39|2016 SE June Invite|FIN|False</t>
        </is>
      </c>
      <c r="AE145" s="53">
        <f>G145+L145/1000+ROW()/1000000000</f>
        <v/>
      </c>
      <c r="AF145" s="35">
        <f>IF(C145&lt;&gt;"Grayson Coulter","",COUNTIFS($C$5:$C$2991,"Grayson Coulter",$Q$5:$Q$2991,Q145,$AE$5:$AE$2991,"&lt;="&amp;AE145,$R$5:$R$2991,"&lt;"&amp;R145))</f>
        <v/>
      </c>
      <c r="AG145" s="35">
        <f>IF(OR(C145&lt;&gt;"Grayson Coulter",G145&lt;'00_Control'!$B$7),"",--(AF145&lt;5))</f>
        <v/>
      </c>
      <c r="AH145" s="35">
        <f>IF(OR(C145&lt;&gt;"Grayson Coulter",G145&lt;'00_Control'!$B$7),"",--(AF145&lt;10))</f>
        <v/>
      </c>
      <c r="AI145" s="35">
        <f>IF(AND(C145="Grayson Coulter",G145&gt;='00_Control'!$B$7),"YES","NO")</f>
        <v/>
      </c>
      <c r="AJ145" s="33" t="inlineStr">
        <is>
          <t>OK</t>
        </is>
      </c>
    </row>
    <row r="146">
      <c r="A146" s="33" t="inlineStr">
        <is>
          <t>SM000142</t>
        </is>
      </c>
      <c r="B146" s="33" t="inlineStr">
        <is>
          <t>SW010</t>
        </is>
      </c>
      <c r="C146" s="33" t="inlineStr">
        <is>
          <t>Caeleb Dressel</t>
        </is>
      </c>
      <c r="D146" s="33" t="inlineStr">
        <is>
          <t>SwimCloud</t>
        </is>
      </c>
      <c r="E146" s="33" t="inlineStr">
        <is>
          <t>2361642</t>
        </is>
      </c>
      <c r="F146" s="33" t="inlineStr">
        <is>
          <t>141503407</t>
        </is>
      </c>
      <c r="G146" s="51" t="n">
        <v>42548</v>
      </c>
      <c r="H146" s="33" t="inlineStr">
        <is>
          <t>USA Swimming Olympic Team Trials</t>
        </is>
      </c>
      <c r="I146" s="33" t="inlineStr">
        <is>
          <t>54015</t>
        </is>
      </c>
      <c r="J146" s="33" t="inlineStr"/>
      <c r="K146" s="33" t="inlineStr">
        <is>
          <t>PRE</t>
        </is>
      </c>
      <c r="L146" s="35">
        <f>IF(K146="FIN",3,IF(OR(K146="SEM",K146="SEMI"),2,IF(OR(K146="PRE",K146="HEAT"),1,IF(V146="YES",4,2))))</f>
        <v/>
      </c>
      <c r="M146" s="33" t="inlineStr">
        <is>
          <t>LCM</t>
        </is>
      </c>
      <c r="N146" s="33" t="n">
        <v>200</v>
      </c>
      <c r="O146" s="33" t="inlineStr">
        <is>
          <t>Free</t>
        </is>
      </c>
      <c r="P146" s="33" t="inlineStr">
        <is>
          <t>200 Free</t>
        </is>
      </c>
      <c r="Q146" s="33" t="inlineStr">
        <is>
          <t>LCM_200_FREE</t>
        </is>
      </c>
      <c r="R146" s="36" t="n">
        <v>109.93</v>
      </c>
      <c r="S146" s="35">
        <f>IF(R146="","",IF(R146&gt;=60,INT(R146/60)&amp;":"&amp;TEXT(MOD(R146,60),"00.00"),TEXT(R146,"0.00")))</f>
        <v/>
      </c>
      <c r="T146" s="52">
        <f>IFERROR((G146-INDEX('01_Swimmers'!$E$5:$E$22,MATCH(B146,'01_Swimmers'!$A$5:$A$22,0)))/'00_Control'!$B$10,"")</f>
        <v/>
      </c>
      <c r="U146" s="35">
        <f>IF(T146="","",INT(T146))</f>
        <v/>
      </c>
      <c r="V146" s="33" t="inlineStr">
        <is>
          <t>NO</t>
        </is>
      </c>
      <c r="W146" s="33" t="inlineStr">
        <is>
          <t>YES</t>
        </is>
      </c>
      <c r="X146" s="33" t="inlineStr">
        <is>
          <t>NO</t>
        </is>
      </c>
      <c r="Y146" s="33" t="n">
        <v>10</v>
      </c>
      <c r="Z146" s="33" t="n">
        <v>3</v>
      </c>
      <c r="AA146" s="33" t="inlineStr">
        <is>
          <t>32</t>
        </is>
      </c>
      <c r="AB146" s="33" t="inlineStr">
        <is>
          <t>https://www.swimcloud.com/results/54015/event/7/?id=141503407#time141503407</t>
        </is>
      </c>
      <c r="AC146" s="33" t="inlineStr">
        <is>
          <t>SwimCloud API v6 2026-10-08</t>
        </is>
      </c>
      <c r="AD146" s="33" t="inlineStr">
        <is>
          <t>Caeleb Dressel|2016-06-27|LCM|200|Free|109.93|USA Swimming Olympic Team Trials|PRE|False</t>
        </is>
      </c>
      <c r="AE146" s="53">
        <f>G146+L146/1000+ROW()/1000000000</f>
        <v/>
      </c>
      <c r="AF146" s="35">
        <f>IF(C146&lt;&gt;"Grayson Coulter","",COUNTIFS($C$5:$C$2991,"Grayson Coulter",$Q$5:$Q$2991,Q146,$AE$5:$AE$2991,"&lt;="&amp;AE146,$R$5:$R$2991,"&lt;"&amp;R146))</f>
        <v/>
      </c>
      <c r="AG146" s="35">
        <f>IF(OR(C146&lt;&gt;"Grayson Coulter",G146&lt;'00_Control'!$B$7),"",--(AF146&lt;5))</f>
        <v/>
      </c>
      <c r="AH146" s="35">
        <f>IF(OR(C146&lt;&gt;"Grayson Coulter",G146&lt;'00_Control'!$B$7),"",--(AF146&lt;10))</f>
        <v/>
      </c>
      <c r="AI146" s="35">
        <f>IF(AND(C146="Grayson Coulter",G146&gt;='00_Control'!$B$7),"YES","NO")</f>
        <v/>
      </c>
      <c r="AJ146" s="33" t="inlineStr">
        <is>
          <t>OK</t>
        </is>
      </c>
    </row>
    <row r="147">
      <c r="A147" s="33" t="inlineStr">
        <is>
          <t>SM000143</t>
        </is>
      </c>
      <c r="B147" s="33" t="inlineStr">
        <is>
          <t>SW010</t>
        </is>
      </c>
      <c r="C147" s="33" t="inlineStr">
        <is>
          <t>Caeleb Dressel</t>
        </is>
      </c>
      <c r="D147" s="33" t="inlineStr">
        <is>
          <t>SwimCloud</t>
        </is>
      </c>
      <c r="E147" s="33" t="inlineStr">
        <is>
          <t>2361642</t>
        </is>
      </c>
      <c r="F147" s="33" t="inlineStr">
        <is>
          <t>141503408</t>
        </is>
      </c>
      <c r="G147" s="51" t="n">
        <v>42550</v>
      </c>
      <c r="H147" s="33" t="inlineStr">
        <is>
          <t>USA Swimming Olympic Team Trials</t>
        </is>
      </c>
      <c r="I147" s="33" t="inlineStr">
        <is>
          <t>54015</t>
        </is>
      </c>
      <c r="J147" s="33" t="inlineStr"/>
      <c r="K147" s="33" t="inlineStr">
        <is>
          <t>PRE</t>
        </is>
      </c>
      <c r="L147" s="35">
        <f>IF(K147="FIN",3,IF(OR(K147="SEM",K147="SEMI"),2,IF(OR(K147="PRE",K147="HEAT"),1,IF(V147="YES",4,2))))</f>
        <v/>
      </c>
      <c r="M147" s="33" t="inlineStr">
        <is>
          <t>LCM</t>
        </is>
      </c>
      <c r="N147" s="33" t="n">
        <v>100</v>
      </c>
      <c r="O147" s="33" t="inlineStr">
        <is>
          <t>Free</t>
        </is>
      </c>
      <c r="P147" s="33" t="inlineStr">
        <is>
          <t>100 Free</t>
        </is>
      </c>
      <c r="Q147" s="33" t="inlineStr">
        <is>
          <t>LCM_100_FREE</t>
        </is>
      </c>
      <c r="R147" s="36" t="n">
        <v>48.69</v>
      </c>
      <c r="S147" s="35">
        <f>IF(R147="","",IF(R147&gt;=60,INT(R147/60)&amp;":"&amp;TEXT(MOD(R147,60),"00.00"),TEXT(R147,"0.00")))</f>
        <v/>
      </c>
      <c r="T147" s="52">
        <f>IFERROR((G147-INDEX('01_Swimmers'!$E$5:$E$22,MATCH(B147,'01_Swimmers'!$A$5:$A$22,0)))/'00_Control'!$B$10,"")</f>
        <v/>
      </c>
      <c r="U147" s="35">
        <f>IF(T147="","",INT(T147))</f>
        <v/>
      </c>
      <c r="V147" s="33" t="inlineStr">
        <is>
          <t>NO</t>
        </is>
      </c>
      <c r="W147" s="33" t="inlineStr">
        <is>
          <t>YES</t>
        </is>
      </c>
      <c r="X147" s="33" t="inlineStr">
        <is>
          <t>NO</t>
        </is>
      </c>
      <c r="Y147" s="33" t="n">
        <v>8</v>
      </c>
      <c r="Z147" s="33" t="n">
        <v>5</v>
      </c>
      <c r="AA147" s="33" t="inlineStr">
        <is>
          <t>3</t>
        </is>
      </c>
      <c r="AB147" s="33" t="inlineStr">
        <is>
          <t>https://www.swimcloud.com/results/54015/event/14/?id=141503408#time141503408</t>
        </is>
      </c>
      <c r="AC147" s="33" t="inlineStr">
        <is>
          <t>SwimCloud API v6 2026-10-08</t>
        </is>
      </c>
      <c r="AD147" s="33" t="inlineStr">
        <is>
          <t>Caeleb Dressel|2016-06-29|LCM|100|Free|48.69|USA Swimming Olympic Team Trials|PRE|False</t>
        </is>
      </c>
      <c r="AE147" s="53">
        <f>G147+L147/1000+ROW()/1000000000</f>
        <v/>
      </c>
      <c r="AF147" s="35">
        <f>IF(C147&lt;&gt;"Grayson Coulter","",COUNTIFS($C$5:$C$2991,"Grayson Coulter",$Q$5:$Q$2991,Q147,$AE$5:$AE$2991,"&lt;="&amp;AE147,$R$5:$R$2991,"&lt;"&amp;R147))</f>
        <v/>
      </c>
      <c r="AG147" s="35">
        <f>IF(OR(C147&lt;&gt;"Grayson Coulter",G147&lt;'00_Control'!$B$7),"",--(AF147&lt;5))</f>
        <v/>
      </c>
      <c r="AH147" s="35">
        <f>IF(OR(C147&lt;&gt;"Grayson Coulter",G147&lt;'00_Control'!$B$7),"",--(AF147&lt;10))</f>
        <v/>
      </c>
      <c r="AI147" s="35">
        <f>IF(AND(C147="Grayson Coulter",G147&gt;='00_Control'!$B$7),"YES","NO")</f>
        <v/>
      </c>
      <c r="AJ147" s="33" t="inlineStr">
        <is>
          <t>OK</t>
        </is>
      </c>
    </row>
    <row r="148">
      <c r="A148" s="33" t="inlineStr">
        <is>
          <t>SM000144</t>
        </is>
      </c>
      <c r="B148" s="33" t="inlineStr">
        <is>
          <t>SW010</t>
        </is>
      </c>
      <c r="C148" s="33" t="inlineStr">
        <is>
          <t>Caeleb Dressel</t>
        </is>
      </c>
      <c r="D148" s="33" t="inlineStr">
        <is>
          <t>SwimCloud</t>
        </is>
      </c>
      <c r="E148" s="33" t="inlineStr">
        <is>
          <t>2361642</t>
        </is>
      </c>
      <c r="F148" s="33" t="inlineStr">
        <is>
          <t>141503409</t>
        </is>
      </c>
      <c r="G148" s="51" t="n">
        <v>42550</v>
      </c>
      <c r="H148" s="33" t="inlineStr">
        <is>
          <t>USA Swimming Olympic Team Trials</t>
        </is>
      </c>
      <c r="I148" s="33" t="inlineStr">
        <is>
          <t>54015</t>
        </is>
      </c>
      <c r="J148" s="33" t="inlineStr"/>
      <c r="K148" s="33" t="inlineStr">
        <is>
          <t>SEM</t>
        </is>
      </c>
      <c r="L148" s="35">
        <f>IF(K148="FIN",3,IF(OR(K148="SEM",K148="SEMI"),2,IF(OR(K148="PRE",K148="HEAT"),1,IF(V148="YES",4,2))))</f>
        <v/>
      </c>
      <c r="M148" s="33" t="inlineStr">
        <is>
          <t>LCM</t>
        </is>
      </c>
      <c r="N148" s="33" t="n">
        <v>100</v>
      </c>
      <c r="O148" s="33" t="inlineStr">
        <is>
          <t>Free</t>
        </is>
      </c>
      <c r="P148" s="33" t="inlineStr">
        <is>
          <t>100 Free</t>
        </is>
      </c>
      <c r="Q148" s="33" t="inlineStr">
        <is>
          <t>LCM_100_FREE</t>
        </is>
      </c>
      <c r="R148" s="36" t="n">
        <v>48.53</v>
      </c>
      <c r="S148" s="35">
        <f>IF(R148="","",IF(R148&gt;=60,INT(R148/60)&amp;":"&amp;TEXT(MOD(R148,60),"00.00"),TEXT(R148,"0.00")))</f>
        <v/>
      </c>
      <c r="T148" s="52">
        <f>IFERROR((G148-INDEX('01_Swimmers'!$E$5:$E$22,MATCH(B148,'01_Swimmers'!$A$5:$A$22,0)))/'00_Control'!$B$10,"")</f>
        <v/>
      </c>
      <c r="U148" s="35">
        <f>IF(T148="","",INT(T148))</f>
        <v/>
      </c>
      <c r="V148" s="33" t="inlineStr">
        <is>
          <t>NO</t>
        </is>
      </c>
      <c r="W148" s="33" t="inlineStr">
        <is>
          <t>YES</t>
        </is>
      </c>
      <c r="X148" s="33" t="inlineStr">
        <is>
          <t>NO</t>
        </is>
      </c>
      <c r="Y148" s="33" t="n">
        <v>2</v>
      </c>
      <c r="Z148" s="33" t="n">
        <v>5</v>
      </c>
      <c r="AA148" s="33" t="inlineStr">
        <is>
          <t>3</t>
        </is>
      </c>
      <c r="AB148" s="33" t="inlineStr">
        <is>
          <t>https://www.swimcloud.com/results/54015/event/14/?id=141503409#time141503409</t>
        </is>
      </c>
      <c r="AC148" s="33" t="inlineStr">
        <is>
          <t>SwimCloud API v6 2026-10-08</t>
        </is>
      </c>
      <c r="AD148" s="33" t="inlineStr">
        <is>
          <t>Caeleb Dressel|2016-06-29|LCM|100|Free|48.53|USA Swimming Olympic Team Trials|SEM|False</t>
        </is>
      </c>
      <c r="AE148" s="53">
        <f>G148+L148/1000+ROW()/1000000000</f>
        <v/>
      </c>
      <c r="AF148" s="35">
        <f>IF(C148&lt;&gt;"Grayson Coulter","",COUNTIFS($C$5:$C$2991,"Grayson Coulter",$Q$5:$Q$2991,Q148,$AE$5:$AE$2991,"&lt;="&amp;AE148,$R$5:$R$2991,"&lt;"&amp;R148))</f>
        <v/>
      </c>
      <c r="AG148" s="35">
        <f>IF(OR(C148&lt;&gt;"Grayson Coulter",G148&lt;'00_Control'!$B$7),"",--(AF148&lt;5))</f>
        <v/>
      </c>
      <c r="AH148" s="35">
        <f>IF(OR(C148&lt;&gt;"Grayson Coulter",G148&lt;'00_Control'!$B$7),"",--(AF148&lt;10))</f>
        <v/>
      </c>
      <c r="AI148" s="35">
        <f>IF(AND(C148="Grayson Coulter",G148&gt;='00_Control'!$B$7),"YES","NO")</f>
        <v/>
      </c>
      <c r="AJ148" s="33" t="inlineStr">
        <is>
          <t>OK</t>
        </is>
      </c>
    </row>
    <row r="149">
      <c r="A149" s="33" t="inlineStr">
        <is>
          <t>SM000145</t>
        </is>
      </c>
      <c r="B149" s="33" t="inlineStr">
        <is>
          <t>SW010</t>
        </is>
      </c>
      <c r="C149" s="33" t="inlineStr">
        <is>
          <t>Caeleb Dressel</t>
        </is>
      </c>
      <c r="D149" s="33" t="inlineStr">
        <is>
          <t>SwimCloud</t>
        </is>
      </c>
      <c r="E149" s="33" t="inlineStr">
        <is>
          <t>2361642</t>
        </is>
      </c>
      <c r="F149" s="33" t="inlineStr">
        <is>
          <t>141503410</t>
        </is>
      </c>
      <c r="G149" s="51" t="n">
        <v>42551</v>
      </c>
      <c r="H149" s="33" t="inlineStr">
        <is>
          <t>USA Swimming Olympic Team Trials</t>
        </is>
      </c>
      <c r="I149" s="33" t="inlineStr">
        <is>
          <t>54015</t>
        </is>
      </c>
      <c r="J149" s="33" t="inlineStr"/>
      <c r="K149" s="33" t="inlineStr">
        <is>
          <t>FIN</t>
        </is>
      </c>
      <c r="L149" s="35">
        <f>IF(K149="FIN",3,IF(OR(K149="SEM",K149="SEMI"),2,IF(OR(K149="PRE",K149="HEAT"),1,IF(V149="YES",4,2))))</f>
        <v/>
      </c>
      <c r="M149" s="33" t="inlineStr">
        <is>
          <t>LCM</t>
        </is>
      </c>
      <c r="N149" s="33" t="n">
        <v>100</v>
      </c>
      <c r="O149" s="33" t="inlineStr">
        <is>
          <t>Free</t>
        </is>
      </c>
      <c r="P149" s="33" t="inlineStr">
        <is>
          <t>100 Free</t>
        </is>
      </c>
      <c r="Q149" s="33" t="inlineStr">
        <is>
          <t>LCM_100_FREE</t>
        </is>
      </c>
      <c r="R149" s="36" t="n">
        <v>48.23</v>
      </c>
      <c r="S149" s="35">
        <f>IF(R149="","",IF(R149&gt;=60,INT(R149/60)&amp;":"&amp;TEXT(MOD(R149,60),"00.00"),TEXT(R149,"0.00")))</f>
        <v/>
      </c>
      <c r="T149" s="52">
        <f>IFERROR((G149-INDEX('01_Swimmers'!$E$5:$E$22,MATCH(B149,'01_Swimmers'!$A$5:$A$22,0)))/'00_Control'!$B$10,"")</f>
        <v/>
      </c>
      <c r="U149" s="35">
        <f>IF(T149="","",INT(T149))</f>
        <v/>
      </c>
      <c r="V149" s="33" t="inlineStr">
        <is>
          <t>NO</t>
        </is>
      </c>
      <c r="W149" s="33" t="inlineStr">
        <is>
          <t>YES</t>
        </is>
      </c>
      <c r="X149" s="33" t="inlineStr">
        <is>
          <t>NO</t>
        </is>
      </c>
      <c r="Y149" s="33" t="n">
        <v>1</v>
      </c>
      <c r="Z149" s="33" t="n">
        <v>3</v>
      </c>
      <c r="AA149" s="33" t="inlineStr">
        <is>
          <t>2</t>
        </is>
      </c>
      <c r="AB149" s="33" t="inlineStr">
        <is>
          <t>https://www.swimcloud.com/results/54015/event/14/?id=141503410#time141503410</t>
        </is>
      </c>
      <c r="AC149" s="33" t="inlineStr">
        <is>
          <t>SwimCloud API v6 2026-10-08</t>
        </is>
      </c>
      <c r="AD149" s="33" t="inlineStr">
        <is>
          <t>Caeleb Dressel|2016-06-30|LCM|100|Free|48.23|USA Swimming Olympic Team Trials|FIN|False</t>
        </is>
      </c>
      <c r="AE149" s="53">
        <f>G149+L149/1000+ROW()/1000000000</f>
        <v/>
      </c>
      <c r="AF149" s="35">
        <f>IF(C149&lt;&gt;"Grayson Coulter","",COUNTIFS($C$5:$C$2991,"Grayson Coulter",$Q$5:$Q$2991,Q149,$AE$5:$AE$2991,"&lt;="&amp;AE149,$R$5:$R$2991,"&lt;"&amp;R149))</f>
        <v/>
      </c>
      <c r="AG149" s="35">
        <f>IF(OR(C149&lt;&gt;"Grayson Coulter",G149&lt;'00_Control'!$B$7),"",--(AF149&lt;5))</f>
        <v/>
      </c>
      <c r="AH149" s="35">
        <f>IF(OR(C149&lt;&gt;"Grayson Coulter",G149&lt;'00_Control'!$B$7),"",--(AF149&lt;10))</f>
        <v/>
      </c>
      <c r="AI149" s="35">
        <f>IF(AND(C149="Grayson Coulter",G149&gt;='00_Control'!$B$7),"YES","NO")</f>
        <v/>
      </c>
      <c r="AJ149" s="33" t="inlineStr">
        <is>
          <t>OK</t>
        </is>
      </c>
    </row>
    <row r="150">
      <c r="A150" s="33" t="inlineStr">
        <is>
          <t>SM000146</t>
        </is>
      </c>
      <c r="B150" s="33" t="inlineStr">
        <is>
          <t>SW010</t>
        </is>
      </c>
      <c r="C150" s="33" t="inlineStr">
        <is>
          <t>Caeleb Dressel</t>
        </is>
      </c>
      <c r="D150" s="33" t="inlineStr">
        <is>
          <t>SwimCloud</t>
        </is>
      </c>
      <c r="E150" s="33" t="inlineStr">
        <is>
          <t>2361642</t>
        </is>
      </c>
      <c r="F150" s="33" t="inlineStr">
        <is>
          <t>141503415</t>
        </is>
      </c>
      <c r="G150" s="51" t="n">
        <v>42552</v>
      </c>
      <c r="H150" s="33" t="inlineStr">
        <is>
          <t>USA Swimming Olympic Team Trials</t>
        </is>
      </c>
      <c r="I150" s="33" t="inlineStr">
        <is>
          <t>54015</t>
        </is>
      </c>
      <c r="J150" s="33" t="inlineStr"/>
      <c r="K150" s="33" t="inlineStr">
        <is>
          <t>PRE</t>
        </is>
      </c>
      <c r="L150" s="35">
        <f>IF(K150="FIN",3,IF(OR(K150="SEM",K150="SEMI"),2,IF(OR(K150="PRE",K150="HEAT"),1,IF(V150="YES",4,2))))</f>
        <v/>
      </c>
      <c r="M150" s="33" t="inlineStr">
        <is>
          <t>LCM</t>
        </is>
      </c>
      <c r="N150" s="33" t="n">
        <v>100</v>
      </c>
      <c r="O150" s="33" t="inlineStr">
        <is>
          <t>Fly</t>
        </is>
      </c>
      <c r="P150" s="33" t="inlineStr">
        <is>
          <t>100 Fly</t>
        </is>
      </c>
      <c r="Q150" s="33" t="inlineStr">
        <is>
          <t>LCM_100_FLY</t>
        </is>
      </c>
      <c r="R150" s="36" t="n">
        <v>52.22</v>
      </c>
      <c r="S150" s="35">
        <f>IF(R150="","",IF(R150&gt;=60,INT(R150/60)&amp;":"&amp;TEXT(MOD(R150,60),"00.00"),TEXT(R150,"0.00")))</f>
        <v/>
      </c>
      <c r="T150" s="52">
        <f>IFERROR((G150-INDEX('01_Swimmers'!$E$5:$E$22,MATCH(B150,'01_Swimmers'!$A$5:$A$22,0)))/'00_Control'!$B$10,"")</f>
        <v/>
      </c>
      <c r="U150" s="35">
        <f>IF(T150="","",INT(T150))</f>
        <v/>
      </c>
      <c r="V150" s="33" t="inlineStr">
        <is>
          <t>NO</t>
        </is>
      </c>
      <c r="W150" s="33" t="inlineStr">
        <is>
          <t>YES</t>
        </is>
      </c>
      <c r="X150" s="33" t="inlineStr">
        <is>
          <t>NO</t>
        </is>
      </c>
      <c r="Y150" s="33" t="n">
        <v>14</v>
      </c>
      <c r="Z150" s="33" t="n">
        <v>2</v>
      </c>
      <c r="AA150" s="33" t="inlineStr">
        <is>
          <t>7</t>
        </is>
      </c>
      <c r="AB150" s="33" t="inlineStr">
        <is>
          <t>https://www.swimcloud.com/results/54015/event/23/?id=141503415#time141503415</t>
        </is>
      </c>
      <c r="AC150" s="33" t="inlineStr">
        <is>
          <t>SwimCloud API v6 2026-10-08</t>
        </is>
      </c>
      <c r="AD150" s="33" t="inlineStr">
        <is>
          <t>Caeleb Dressel|2016-07-01|LCM|100|Fly|52.22|USA Swimming Olympic Team Trials|PRE|False</t>
        </is>
      </c>
      <c r="AE150" s="53">
        <f>G150+L150/1000+ROW()/1000000000</f>
        <v/>
      </c>
      <c r="AF150" s="35">
        <f>IF(C150&lt;&gt;"Grayson Coulter","",COUNTIFS($C$5:$C$2991,"Grayson Coulter",$Q$5:$Q$2991,Q150,$AE$5:$AE$2991,"&lt;="&amp;AE150,$R$5:$R$2991,"&lt;"&amp;R150))</f>
        <v/>
      </c>
      <c r="AG150" s="35">
        <f>IF(OR(C150&lt;&gt;"Grayson Coulter",G150&lt;'00_Control'!$B$7),"",--(AF150&lt;5))</f>
        <v/>
      </c>
      <c r="AH150" s="35">
        <f>IF(OR(C150&lt;&gt;"Grayson Coulter",G150&lt;'00_Control'!$B$7),"",--(AF150&lt;10))</f>
        <v/>
      </c>
      <c r="AI150" s="35">
        <f>IF(AND(C150="Grayson Coulter",G150&gt;='00_Control'!$B$7),"YES","NO")</f>
        <v/>
      </c>
      <c r="AJ150" s="33" t="inlineStr">
        <is>
          <t>OK</t>
        </is>
      </c>
    </row>
    <row r="151">
      <c r="A151" s="33" t="inlineStr">
        <is>
          <t>SM000147</t>
        </is>
      </c>
      <c r="B151" s="33" t="inlineStr">
        <is>
          <t>SW010</t>
        </is>
      </c>
      <c r="C151" s="33" t="inlineStr">
        <is>
          <t>Caeleb Dressel</t>
        </is>
      </c>
      <c r="D151" s="33" t="inlineStr">
        <is>
          <t>SwimCloud</t>
        </is>
      </c>
      <c r="E151" s="33" t="inlineStr">
        <is>
          <t>2361642</t>
        </is>
      </c>
      <c r="F151" s="33" t="inlineStr">
        <is>
          <t>15004547</t>
        </is>
      </c>
      <c r="G151" s="51" t="n">
        <v>42591</v>
      </c>
      <c r="H151" s="33" t="inlineStr">
        <is>
          <t>2016 Olympic Games</t>
        </is>
      </c>
      <c r="I151" s="33" t="inlineStr">
        <is>
          <t>106117</t>
        </is>
      </c>
      <c r="J151" s="33" t="inlineStr"/>
      <c r="K151" s="33" t="inlineStr">
        <is>
          <t>PRE</t>
        </is>
      </c>
      <c r="L151" s="35">
        <f>IF(K151="FIN",3,IF(OR(K151="SEM",K151="SEMI"),2,IF(OR(K151="PRE",K151="HEAT"),1,IF(V151="YES",4,2))))</f>
        <v/>
      </c>
      <c r="M151" s="33" t="inlineStr">
        <is>
          <t>LCM</t>
        </is>
      </c>
      <c r="N151" s="33" t="n">
        <v>100</v>
      </c>
      <c r="O151" s="33" t="inlineStr">
        <is>
          <t>Free</t>
        </is>
      </c>
      <c r="P151" s="33" t="inlineStr">
        <is>
          <t>100 Free</t>
        </is>
      </c>
      <c r="Q151" s="33" t="inlineStr">
        <is>
          <t>LCM_100_FREE</t>
        </is>
      </c>
      <c r="R151" s="36" t="n">
        <v>47.91</v>
      </c>
      <c r="S151" s="35">
        <f>IF(R151="","",IF(R151&gt;=60,INT(R151/60)&amp;":"&amp;TEXT(MOD(R151,60),"00.00"),TEXT(R151,"0.00")))</f>
        <v/>
      </c>
      <c r="T151" s="52">
        <f>IFERROR((G151-INDEX('01_Swimmers'!$E$5:$E$22,MATCH(B151,'01_Swimmers'!$A$5:$A$22,0)))/'00_Control'!$B$10,"")</f>
        <v/>
      </c>
      <c r="U151" s="35">
        <f>IF(T151="","",INT(T151))</f>
        <v/>
      </c>
      <c r="V151" s="33" t="inlineStr">
        <is>
          <t>NO</t>
        </is>
      </c>
      <c r="W151" s="33" t="inlineStr">
        <is>
          <t>YES</t>
        </is>
      </c>
      <c r="X151" s="33" t="inlineStr">
        <is>
          <t>NO</t>
        </is>
      </c>
      <c r="Y151" s="33" t="n">
        <v>0</v>
      </c>
      <c r="Z151" s="33" t="n"/>
      <c r="AA151" s="33" t="inlineStr">
        <is>
          <t>18</t>
        </is>
      </c>
      <c r="AB151" s="33" t="inlineStr">
        <is>
          <t>https://www.swimcloud.com/results/106117/event/4/?id=15004547#time15004547</t>
        </is>
      </c>
      <c r="AC151" s="33" t="inlineStr">
        <is>
          <t>SwimCloud API v6 2026-10-08</t>
        </is>
      </c>
      <c r="AD151" s="33" t="inlineStr">
        <is>
          <t>Caeleb Dressel|2016-08-09|LCM|100|Free|47.91|2016 Olympic Games|PRE|False</t>
        </is>
      </c>
      <c r="AE151" s="53">
        <f>G151+L151/1000+ROW()/1000000000</f>
        <v/>
      </c>
      <c r="AF151" s="35">
        <f>IF(C151&lt;&gt;"Grayson Coulter","",COUNTIFS($C$5:$C$2991,"Grayson Coulter",$Q$5:$Q$2991,Q151,$AE$5:$AE$2991,"&lt;="&amp;AE151,$R$5:$R$2991,"&lt;"&amp;R151))</f>
        <v/>
      </c>
      <c r="AG151" s="35">
        <f>IF(OR(C151&lt;&gt;"Grayson Coulter",G151&lt;'00_Control'!$B$7),"",--(AF151&lt;5))</f>
        <v/>
      </c>
      <c r="AH151" s="35">
        <f>IF(OR(C151&lt;&gt;"Grayson Coulter",G151&lt;'00_Control'!$B$7),"",--(AF151&lt;10))</f>
        <v/>
      </c>
      <c r="AI151" s="35">
        <f>IF(AND(C151="Grayson Coulter",G151&gt;='00_Control'!$B$7),"YES","NO")</f>
        <v/>
      </c>
      <c r="AJ151" s="33" t="inlineStr">
        <is>
          <t>OK</t>
        </is>
      </c>
    </row>
    <row r="152">
      <c r="A152" s="33" t="inlineStr">
        <is>
          <t>SM000148</t>
        </is>
      </c>
      <c r="B152" s="33" t="inlineStr">
        <is>
          <t>SW010</t>
        </is>
      </c>
      <c r="C152" s="33" t="inlineStr">
        <is>
          <t>Caeleb Dressel</t>
        </is>
      </c>
      <c r="D152" s="33" t="inlineStr">
        <is>
          <t>SwimCloud</t>
        </is>
      </c>
      <c r="E152" s="33" t="inlineStr">
        <is>
          <t>2361642</t>
        </is>
      </c>
      <c r="F152" s="33" t="inlineStr">
        <is>
          <t>15004543</t>
        </is>
      </c>
      <c r="G152" s="51" t="n">
        <v>42591</v>
      </c>
      <c r="H152" s="33" t="inlineStr">
        <is>
          <t>2016 Olympic Games</t>
        </is>
      </c>
      <c r="I152" s="33" t="inlineStr">
        <is>
          <t>106117</t>
        </is>
      </c>
      <c r="J152" s="33" t="inlineStr"/>
      <c r="K152" s="33" t="inlineStr">
        <is>
          <t>PRE</t>
        </is>
      </c>
      <c r="L152" s="35">
        <f>IF(K152="FIN",3,IF(OR(K152="SEM",K152="SEMI"),2,IF(OR(K152="PRE",K152="HEAT"),1,IF(V152="YES",4,2))))</f>
        <v/>
      </c>
      <c r="M152" s="33" t="inlineStr">
        <is>
          <t>LCM</t>
        </is>
      </c>
      <c r="N152" s="33" t="n">
        <v>100</v>
      </c>
      <c r="O152" s="33" t="inlineStr">
        <is>
          <t>Free</t>
        </is>
      </c>
      <c r="P152" s="33" t="inlineStr">
        <is>
          <t>100 Free</t>
        </is>
      </c>
      <c r="Q152" s="33" t="inlineStr">
        <is>
          <t>LCM_100_FREE</t>
        </is>
      </c>
      <c r="R152" s="36" t="n">
        <v>47.97</v>
      </c>
      <c r="S152" s="35">
        <f>IF(R152="","",IF(R152&gt;=60,INT(R152/60)&amp;":"&amp;TEXT(MOD(R152,60),"00.00"),TEXT(R152,"0.00")))</f>
        <v/>
      </c>
      <c r="T152" s="52">
        <f>IFERROR((G152-INDEX('01_Swimmers'!$E$5:$E$22,MATCH(B152,'01_Swimmers'!$A$5:$A$22,0)))/'00_Control'!$B$10,"")</f>
        <v/>
      </c>
      <c r="U152" s="35">
        <f>IF(T152="","",INT(T152))</f>
        <v/>
      </c>
      <c r="V152" s="33" t="inlineStr">
        <is>
          <t>NO</t>
        </is>
      </c>
      <c r="W152" s="33" t="inlineStr">
        <is>
          <t>YES</t>
        </is>
      </c>
      <c r="X152" s="33" t="inlineStr">
        <is>
          <t>NO</t>
        </is>
      </c>
      <c r="Y152" s="33" t="n">
        <v>0</v>
      </c>
      <c r="Z152" s="33" t="n"/>
      <c r="AA152" s="33" t="inlineStr">
        <is>
          <t>5</t>
        </is>
      </c>
      <c r="AB152" s="33" t="inlineStr">
        <is>
          <t>https://www.swimcloud.com/results/106117/event/4/?id=15004543#time15004543</t>
        </is>
      </c>
      <c r="AC152" s="33" t="inlineStr">
        <is>
          <t>SwimCloud API v6 2026-10-08</t>
        </is>
      </c>
      <c r="AD152" s="33" t="inlineStr">
        <is>
          <t>Caeleb Dressel|2016-08-09|LCM|100|Free|47.97|2016 Olympic Games|PRE|False</t>
        </is>
      </c>
      <c r="AE152" s="53">
        <f>G152+L152/1000+ROW()/1000000000</f>
        <v/>
      </c>
      <c r="AF152" s="35">
        <f>IF(C152&lt;&gt;"Grayson Coulter","",COUNTIFS($C$5:$C$2991,"Grayson Coulter",$Q$5:$Q$2991,Q152,$AE$5:$AE$2991,"&lt;="&amp;AE152,$R$5:$R$2991,"&lt;"&amp;R152))</f>
        <v/>
      </c>
      <c r="AG152" s="35">
        <f>IF(OR(C152&lt;&gt;"Grayson Coulter",G152&lt;'00_Control'!$B$7),"",--(AF152&lt;5))</f>
        <v/>
      </c>
      <c r="AH152" s="35">
        <f>IF(OR(C152&lt;&gt;"Grayson Coulter",G152&lt;'00_Control'!$B$7),"",--(AF152&lt;10))</f>
        <v/>
      </c>
      <c r="AI152" s="35">
        <f>IF(AND(C152="Grayson Coulter",G152&gt;='00_Control'!$B$7),"YES","NO")</f>
        <v/>
      </c>
      <c r="AJ152" s="33" t="inlineStr">
        <is>
          <t>OK</t>
        </is>
      </c>
    </row>
    <row r="153">
      <c r="A153" s="33" t="inlineStr">
        <is>
          <t>SM000149</t>
        </is>
      </c>
      <c r="B153" s="33" t="inlineStr">
        <is>
          <t>SW010</t>
        </is>
      </c>
      <c r="C153" s="33" t="inlineStr">
        <is>
          <t>Caeleb Dressel</t>
        </is>
      </c>
      <c r="D153" s="33" t="inlineStr">
        <is>
          <t>SwimCloud</t>
        </is>
      </c>
      <c r="E153" s="33" t="inlineStr">
        <is>
          <t>2361642</t>
        </is>
      </c>
      <c r="F153" s="33" t="inlineStr">
        <is>
          <t>15004618</t>
        </is>
      </c>
      <c r="G153" s="51" t="n">
        <v>42591</v>
      </c>
      <c r="H153" s="33" t="inlineStr">
        <is>
          <t>2016 Olympic Games</t>
        </is>
      </c>
      <c r="I153" s="33" t="inlineStr">
        <is>
          <t>106117</t>
        </is>
      </c>
      <c r="J153" s="33" t="inlineStr"/>
      <c r="K153" s="33" t="inlineStr">
        <is>
          <t>FIN</t>
        </is>
      </c>
      <c r="L153" s="35">
        <f>IF(K153="FIN",3,IF(OR(K153="SEM",K153="SEMI"),2,IF(OR(K153="PRE",K153="HEAT"),1,IF(V153="YES",4,2))))</f>
        <v/>
      </c>
      <c r="M153" s="33" t="inlineStr">
        <is>
          <t>LCM</t>
        </is>
      </c>
      <c r="N153" s="33" t="n">
        <v>100</v>
      </c>
      <c r="O153" s="33" t="inlineStr">
        <is>
          <t>Free</t>
        </is>
      </c>
      <c r="P153" s="33" t="inlineStr">
        <is>
          <t>100 Free</t>
        </is>
      </c>
      <c r="Q153" s="33" t="inlineStr">
        <is>
          <t>LCM_100_FREE</t>
        </is>
      </c>
      <c r="R153" s="36" t="n">
        <v>48.02</v>
      </c>
      <c r="S153" s="35">
        <f>IF(R153="","",IF(R153&gt;=60,INT(R153/60)&amp;":"&amp;TEXT(MOD(R153,60),"00.00"),TEXT(R153,"0.00")))</f>
        <v/>
      </c>
      <c r="T153" s="52">
        <f>IFERROR((G153-INDEX('01_Swimmers'!$E$5:$E$22,MATCH(B153,'01_Swimmers'!$A$5:$A$22,0)))/'00_Control'!$B$10,"")</f>
        <v/>
      </c>
      <c r="U153" s="35">
        <f>IF(T153="","",INT(T153))</f>
        <v/>
      </c>
      <c r="V153" s="33" t="inlineStr">
        <is>
          <t>NO</t>
        </is>
      </c>
      <c r="W153" s="33" t="inlineStr">
        <is>
          <t>YES</t>
        </is>
      </c>
      <c r="X153" s="33" t="inlineStr">
        <is>
          <t>NO</t>
        </is>
      </c>
      <c r="Y153" s="33" t="n">
        <v>0</v>
      </c>
      <c r="Z153" s="33" t="n"/>
      <c r="AA153" s="33" t="inlineStr">
        <is>
          <t>6</t>
        </is>
      </c>
      <c r="AB153" s="33" t="inlineStr">
        <is>
          <t>https://www.swimcloud.com/results/106117/event/4/?id=15004618#time15004618</t>
        </is>
      </c>
      <c r="AC153" s="33" t="inlineStr">
        <is>
          <t>SwimCloud API v6 2026-10-08</t>
        </is>
      </c>
      <c r="AD153" s="33" t="inlineStr">
        <is>
          <t>Caeleb Dressel|2016-08-09|LCM|100|Free|48.02|2016 Olympic Games|FIN|False</t>
        </is>
      </c>
      <c r="AE153" s="53">
        <f>G153+L153/1000+ROW()/1000000000</f>
        <v/>
      </c>
      <c r="AF153" s="35">
        <f>IF(C153&lt;&gt;"Grayson Coulter","",COUNTIFS($C$5:$C$2991,"Grayson Coulter",$Q$5:$Q$2991,Q153,$AE$5:$AE$2991,"&lt;="&amp;AE153,$R$5:$R$2991,"&lt;"&amp;R153))</f>
        <v/>
      </c>
      <c r="AG153" s="35">
        <f>IF(OR(C153&lt;&gt;"Grayson Coulter",G153&lt;'00_Control'!$B$7),"",--(AF153&lt;5))</f>
        <v/>
      </c>
      <c r="AH153" s="35">
        <f>IF(OR(C153&lt;&gt;"Grayson Coulter",G153&lt;'00_Control'!$B$7),"",--(AF153&lt;10))</f>
        <v/>
      </c>
      <c r="AI153" s="35">
        <f>IF(AND(C153="Grayson Coulter",G153&gt;='00_Control'!$B$7),"YES","NO")</f>
        <v/>
      </c>
      <c r="AJ153" s="33" t="inlineStr">
        <is>
          <t>OK</t>
        </is>
      </c>
    </row>
    <row r="154">
      <c r="A154" s="33" t="inlineStr">
        <is>
          <t>SM000150</t>
        </is>
      </c>
      <c r="B154" s="33" t="inlineStr">
        <is>
          <t>SW010</t>
        </is>
      </c>
      <c r="C154" s="33" t="inlineStr">
        <is>
          <t>Caeleb Dressel</t>
        </is>
      </c>
      <c r="D154" s="33" t="inlineStr">
        <is>
          <t>SwimCloud</t>
        </is>
      </c>
      <c r="E154" s="33" t="inlineStr">
        <is>
          <t>2361642</t>
        </is>
      </c>
      <c r="F154" s="33" t="inlineStr">
        <is>
          <t>9135423</t>
        </is>
      </c>
      <c r="G154" s="51" t="n">
        <v>42888</v>
      </c>
      <c r="H154" s="33" t="inlineStr">
        <is>
          <t>Arena Pro Swim Series - Santa Clara</t>
        </is>
      </c>
      <c r="I154" s="33" t="inlineStr">
        <is>
          <t>76269</t>
        </is>
      </c>
      <c r="J154" s="33" t="inlineStr"/>
      <c r="K154" s="33" t="inlineStr">
        <is>
          <t>PRE</t>
        </is>
      </c>
      <c r="L154" s="35">
        <f>IF(K154="FIN",3,IF(OR(K154="SEM",K154="SEMI"),2,IF(OR(K154="PRE",K154="HEAT"),1,IF(V154="YES",4,2))))</f>
        <v/>
      </c>
      <c r="M154" s="33" t="inlineStr">
        <is>
          <t>LCM</t>
        </is>
      </c>
      <c r="N154" s="33" t="n">
        <v>100</v>
      </c>
      <c r="O154" s="33" t="inlineStr">
        <is>
          <t>Fly</t>
        </is>
      </c>
      <c r="P154" s="33" t="inlineStr">
        <is>
          <t>100 Fly</t>
        </is>
      </c>
      <c r="Q154" s="33" t="inlineStr">
        <is>
          <t>LCM_100_FLY</t>
        </is>
      </c>
      <c r="R154" s="36" t="n">
        <v>53.34</v>
      </c>
      <c r="S154" s="35">
        <f>IF(R154="","",IF(R154&gt;=60,INT(R154/60)&amp;":"&amp;TEXT(MOD(R154,60),"00.00"),TEXT(R154,"0.00")))</f>
        <v/>
      </c>
      <c r="T154" s="52">
        <f>IFERROR((G154-INDEX('01_Swimmers'!$E$5:$E$22,MATCH(B154,'01_Swimmers'!$A$5:$A$22,0)))/'00_Control'!$B$10,"")</f>
        <v/>
      </c>
      <c r="U154" s="35">
        <f>IF(T154="","",INT(T154))</f>
        <v/>
      </c>
      <c r="V154" s="33" t="inlineStr">
        <is>
          <t>NO</t>
        </is>
      </c>
      <c r="W154" s="33" t="inlineStr">
        <is>
          <t>YES</t>
        </is>
      </c>
      <c r="X154" s="33" t="inlineStr">
        <is>
          <t>NO</t>
        </is>
      </c>
      <c r="Y154" s="33" t="n">
        <v>7</v>
      </c>
      <c r="Z154" s="33" t="n">
        <v>6</v>
      </c>
      <c r="AA154" s="33" t="inlineStr">
        <is>
          <t>2</t>
        </is>
      </c>
      <c r="AB154" s="33" t="inlineStr">
        <is>
          <t>https://www.swimcloud.com/results/76269/event/4/?id=9135423#time9135423</t>
        </is>
      </c>
      <c r="AC154" s="33" t="inlineStr">
        <is>
          <t>SwimCloud API v6 2026-10-08</t>
        </is>
      </c>
      <c r="AD154" s="33" t="inlineStr">
        <is>
          <t>Caeleb Dressel|2017-06-02|LCM|100|Fly|53.34|Arena Pro Swim Series - Santa Clara|PRE|False</t>
        </is>
      </c>
      <c r="AE154" s="53">
        <f>G154+L154/1000+ROW()/1000000000</f>
        <v/>
      </c>
      <c r="AF154" s="35">
        <f>IF(C154&lt;&gt;"Grayson Coulter","",COUNTIFS($C$5:$C$2991,"Grayson Coulter",$Q$5:$Q$2991,Q154,$AE$5:$AE$2991,"&lt;="&amp;AE154,$R$5:$R$2991,"&lt;"&amp;R154))</f>
        <v/>
      </c>
      <c r="AG154" s="35">
        <f>IF(OR(C154&lt;&gt;"Grayson Coulter",G154&lt;'00_Control'!$B$7),"",--(AF154&lt;5))</f>
        <v/>
      </c>
      <c r="AH154" s="35">
        <f>IF(OR(C154&lt;&gt;"Grayson Coulter",G154&lt;'00_Control'!$B$7),"",--(AF154&lt;10))</f>
        <v/>
      </c>
      <c r="AI154" s="35">
        <f>IF(AND(C154="Grayson Coulter",G154&gt;='00_Control'!$B$7),"YES","NO")</f>
        <v/>
      </c>
      <c r="AJ154" s="33" t="inlineStr">
        <is>
          <t>OK</t>
        </is>
      </c>
    </row>
    <row r="155">
      <c r="A155" s="33" t="inlineStr">
        <is>
          <t>SM000151</t>
        </is>
      </c>
      <c r="B155" s="33" t="inlineStr">
        <is>
          <t>SW010</t>
        </is>
      </c>
      <c r="C155" s="33" t="inlineStr">
        <is>
          <t>Caeleb Dressel</t>
        </is>
      </c>
      <c r="D155" s="33" t="inlineStr">
        <is>
          <t>SwimCloud</t>
        </is>
      </c>
      <c r="E155" s="33" t="inlineStr">
        <is>
          <t>2361642</t>
        </is>
      </c>
      <c r="F155" s="33" t="inlineStr">
        <is>
          <t>9135468</t>
        </is>
      </c>
      <c r="G155" s="51" t="n">
        <v>42888</v>
      </c>
      <c r="H155" s="33" t="inlineStr">
        <is>
          <t>Arena Pro Swim Series - Santa Clara</t>
        </is>
      </c>
      <c r="I155" s="33" t="inlineStr">
        <is>
          <t>76269</t>
        </is>
      </c>
      <c r="J155" s="33" t="inlineStr"/>
      <c r="K155" s="33" t="inlineStr">
        <is>
          <t>FIN</t>
        </is>
      </c>
      <c r="L155" s="35">
        <f>IF(K155="FIN",3,IF(OR(K155="SEM",K155="SEMI"),2,IF(OR(K155="PRE",K155="HEAT"),1,IF(V155="YES",4,2))))</f>
        <v/>
      </c>
      <c r="M155" s="33" t="inlineStr">
        <is>
          <t>LCM</t>
        </is>
      </c>
      <c r="N155" s="33" t="n">
        <v>100</v>
      </c>
      <c r="O155" s="33" t="inlineStr">
        <is>
          <t>Fly</t>
        </is>
      </c>
      <c r="P155" s="33" t="inlineStr">
        <is>
          <t>100 Fly</t>
        </is>
      </c>
      <c r="Q155" s="33" t="inlineStr">
        <is>
          <t>LCM_100_FLY</t>
        </is>
      </c>
      <c r="R155" s="36" t="n">
        <v>52.29</v>
      </c>
      <c r="S155" s="35">
        <f>IF(R155="","",IF(R155&gt;=60,INT(R155/60)&amp;":"&amp;TEXT(MOD(R155,60),"00.00"),TEXT(R155,"0.00")))</f>
        <v/>
      </c>
      <c r="T155" s="52">
        <f>IFERROR((G155-INDEX('01_Swimmers'!$E$5:$E$22,MATCH(B155,'01_Swimmers'!$A$5:$A$22,0)))/'00_Control'!$B$10,"")</f>
        <v/>
      </c>
      <c r="U155" s="35">
        <f>IF(T155="","",INT(T155))</f>
        <v/>
      </c>
      <c r="V155" s="33" t="inlineStr">
        <is>
          <t>NO</t>
        </is>
      </c>
      <c r="W155" s="33" t="inlineStr">
        <is>
          <t>YES</t>
        </is>
      </c>
      <c r="X155" s="33" t="inlineStr">
        <is>
          <t>NO</t>
        </is>
      </c>
      <c r="Y155" s="33" t="n">
        <v>2</v>
      </c>
      <c r="Z155" s="33" t="n">
        <v>6</v>
      </c>
      <c r="AA155" s="33" t="inlineStr">
        <is>
          <t>2</t>
        </is>
      </c>
      <c r="AB155" s="33" t="inlineStr">
        <is>
          <t>https://www.swimcloud.com/results/76269/event/4/?id=9135468#time9135468</t>
        </is>
      </c>
      <c r="AC155" s="33" t="inlineStr">
        <is>
          <t>SwimCloud API v6 2026-10-08</t>
        </is>
      </c>
      <c r="AD155" s="33" t="inlineStr">
        <is>
          <t>Caeleb Dressel|2017-06-02|LCM|100|Fly|52.29|Arena Pro Swim Series - Santa Clara|FIN|False</t>
        </is>
      </c>
      <c r="AE155" s="53">
        <f>G155+L155/1000+ROW()/1000000000</f>
        <v/>
      </c>
      <c r="AF155" s="35">
        <f>IF(C155&lt;&gt;"Grayson Coulter","",COUNTIFS($C$5:$C$2991,"Grayson Coulter",$Q$5:$Q$2991,Q155,$AE$5:$AE$2991,"&lt;="&amp;AE155,$R$5:$R$2991,"&lt;"&amp;R155))</f>
        <v/>
      </c>
      <c r="AG155" s="35">
        <f>IF(OR(C155&lt;&gt;"Grayson Coulter",G155&lt;'00_Control'!$B$7),"",--(AF155&lt;5))</f>
        <v/>
      </c>
      <c r="AH155" s="35">
        <f>IF(OR(C155&lt;&gt;"Grayson Coulter",G155&lt;'00_Control'!$B$7),"",--(AF155&lt;10))</f>
        <v/>
      </c>
      <c r="AI155" s="35">
        <f>IF(AND(C155="Grayson Coulter",G155&gt;='00_Control'!$B$7),"YES","NO")</f>
        <v/>
      </c>
      <c r="AJ155" s="33" t="inlineStr">
        <is>
          <t>OK</t>
        </is>
      </c>
    </row>
    <row r="156">
      <c r="A156" s="33" t="inlineStr">
        <is>
          <t>SM000152</t>
        </is>
      </c>
      <c r="B156" s="33" t="inlineStr">
        <is>
          <t>SW010</t>
        </is>
      </c>
      <c r="C156" s="33" t="inlineStr">
        <is>
          <t>Caeleb Dressel</t>
        </is>
      </c>
      <c r="D156" s="33" t="inlineStr">
        <is>
          <t>SwimCloud</t>
        </is>
      </c>
      <c r="E156" s="33" t="inlineStr">
        <is>
          <t>2361642</t>
        </is>
      </c>
      <c r="F156" s="33" t="inlineStr">
        <is>
          <t>9134241</t>
        </is>
      </c>
      <c r="G156" s="51" t="n">
        <v>42888</v>
      </c>
      <c r="H156" s="33" t="inlineStr">
        <is>
          <t>Arena Pro Swim Series - Santa Clara</t>
        </is>
      </c>
      <c r="I156" s="33" t="inlineStr">
        <is>
          <t>76269</t>
        </is>
      </c>
      <c r="J156" s="33" t="inlineStr"/>
      <c r="K156" s="33" t="inlineStr">
        <is>
          <t>PRE</t>
        </is>
      </c>
      <c r="L156" s="35">
        <f>IF(K156="FIN",3,IF(OR(K156="SEM",K156="SEMI"),2,IF(OR(K156="PRE",K156="HEAT"),1,IF(V156="YES",4,2))))</f>
        <v/>
      </c>
      <c r="M156" s="33" t="inlineStr">
        <is>
          <t>LCM</t>
        </is>
      </c>
      <c r="N156" s="33" t="n">
        <v>100</v>
      </c>
      <c r="O156" s="33" t="inlineStr">
        <is>
          <t>Free</t>
        </is>
      </c>
      <c r="P156" s="33" t="inlineStr">
        <is>
          <t>100 Free</t>
        </is>
      </c>
      <c r="Q156" s="33" t="inlineStr">
        <is>
          <t>LCM_100_FREE</t>
        </is>
      </c>
      <c r="R156" s="36" t="n">
        <v>49.38</v>
      </c>
      <c r="S156" s="35">
        <f>IF(R156="","",IF(R156&gt;=60,INT(R156/60)&amp;":"&amp;TEXT(MOD(R156,60),"00.00"),TEXT(R156,"0.00")))</f>
        <v/>
      </c>
      <c r="T156" s="52">
        <f>IFERROR((G156-INDEX('01_Swimmers'!$E$5:$E$22,MATCH(B156,'01_Swimmers'!$A$5:$A$22,0)))/'00_Control'!$B$10,"")</f>
        <v/>
      </c>
      <c r="U156" s="35">
        <f>IF(T156="","",INT(T156))</f>
        <v/>
      </c>
      <c r="V156" s="33" t="inlineStr">
        <is>
          <t>NO</t>
        </is>
      </c>
      <c r="W156" s="33" t="inlineStr">
        <is>
          <t>YES</t>
        </is>
      </c>
      <c r="X156" s="33" t="inlineStr">
        <is>
          <t>NO</t>
        </is>
      </c>
      <c r="Y156" s="33" t="n">
        <v>11</v>
      </c>
      <c r="Z156" s="33" t="n">
        <v>5</v>
      </c>
      <c r="AA156" s="33" t="inlineStr">
        <is>
          <t>1</t>
        </is>
      </c>
      <c r="AB156" s="33" t="inlineStr">
        <is>
          <t>https://www.swimcloud.com/results/76269/event/8/?id=9134241#time9134241</t>
        </is>
      </c>
      <c r="AC156" s="33" t="inlineStr">
        <is>
          <t>SwimCloud API v6 2026-10-08</t>
        </is>
      </c>
      <c r="AD156" s="33" t="inlineStr">
        <is>
          <t>Caeleb Dressel|2017-06-02|LCM|100|Free|49.38|Arena Pro Swim Series - Santa Clara|PRE|False</t>
        </is>
      </c>
      <c r="AE156" s="53">
        <f>G156+L156/1000+ROW()/1000000000</f>
        <v/>
      </c>
      <c r="AF156" s="35">
        <f>IF(C156&lt;&gt;"Grayson Coulter","",COUNTIFS($C$5:$C$2991,"Grayson Coulter",$Q$5:$Q$2991,Q156,$AE$5:$AE$2991,"&lt;="&amp;AE156,$R$5:$R$2991,"&lt;"&amp;R156))</f>
        <v/>
      </c>
      <c r="AG156" s="35">
        <f>IF(OR(C156&lt;&gt;"Grayson Coulter",G156&lt;'00_Control'!$B$7),"",--(AF156&lt;5))</f>
        <v/>
      </c>
      <c r="AH156" s="35">
        <f>IF(OR(C156&lt;&gt;"Grayson Coulter",G156&lt;'00_Control'!$B$7),"",--(AF156&lt;10))</f>
        <v/>
      </c>
      <c r="AI156" s="35">
        <f>IF(AND(C156="Grayson Coulter",G156&gt;='00_Control'!$B$7),"YES","NO")</f>
        <v/>
      </c>
      <c r="AJ156" s="33" t="inlineStr">
        <is>
          <t>OK</t>
        </is>
      </c>
    </row>
    <row r="157">
      <c r="A157" s="33" t="inlineStr">
        <is>
          <t>SM000153</t>
        </is>
      </c>
      <c r="B157" s="33" t="inlineStr">
        <is>
          <t>SW010</t>
        </is>
      </c>
      <c r="C157" s="33" t="inlineStr">
        <is>
          <t>Caeleb Dressel</t>
        </is>
      </c>
      <c r="D157" s="33" t="inlineStr">
        <is>
          <t>SwimCloud</t>
        </is>
      </c>
      <c r="E157" s="33" t="inlineStr">
        <is>
          <t>2361642</t>
        </is>
      </c>
      <c r="F157" s="33" t="inlineStr">
        <is>
          <t>9134291</t>
        </is>
      </c>
      <c r="G157" s="51" t="n">
        <v>42888</v>
      </c>
      <c r="H157" s="33" t="inlineStr">
        <is>
          <t>Arena Pro Swim Series - Santa Clara</t>
        </is>
      </c>
      <c r="I157" s="33" t="inlineStr">
        <is>
          <t>76269</t>
        </is>
      </c>
      <c r="J157" s="33" t="inlineStr"/>
      <c r="K157" s="33" t="inlineStr">
        <is>
          <t>FIN</t>
        </is>
      </c>
      <c r="L157" s="35">
        <f>IF(K157="FIN",3,IF(OR(K157="SEM",K157="SEMI"),2,IF(OR(K157="PRE",K157="HEAT"),1,IF(V157="YES",4,2))))</f>
        <v/>
      </c>
      <c r="M157" s="33" t="inlineStr">
        <is>
          <t>LCM</t>
        </is>
      </c>
      <c r="N157" s="33" t="n">
        <v>100</v>
      </c>
      <c r="O157" s="33" t="inlineStr">
        <is>
          <t>Free</t>
        </is>
      </c>
      <c r="P157" s="33" t="inlineStr">
        <is>
          <t>100 Free</t>
        </is>
      </c>
      <c r="Q157" s="33" t="inlineStr">
        <is>
          <t>LCM_100_FREE</t>
        </is>
      </c>
      <c r="R157" s="36" t="n">
        <v>49.26</v>
      </c>
      <c r="S157" s="35">
        <f>IF(R157="","",IF(R157&gt;=60,INT(R157/60)&amp;":"&amp;TEXT(MOD(R157,60),"00.00"),TEXT(R157,"0.00")))</f>
        <v/>
      </c>
      <c r="T157" s="52">
        <f>IFERROR((G157-INDEX('01_Swimmers'!$E$5:$E$22,MATCH(B157,'01_Swimmers'!$A$5:$A$22,0)))/'00_Control'!$B$10,"")</f>
        <v/>
      </c>
      <c r="U157" s="35">
        <f>IF(T157="","",INT(T157))</f>
        <v/>
      </c>
      <c r="V157" s="33" t="inlineStr">
        <is>
          <t>NO</t>
        </is>
      </c>
      <c r="W157" s="33" t="inlineStr">
        <is>
          <t>YES</t>
        </is>
      </c>
      <c r="X157" s="33" t="inlineStr">
        <is>
          <t>NO</t>
        </is>
      </c>
      <c r="Y157" s="33" t="n">
        <v>2</v>
      </c>
      <c r="Z157" s="33" t="n">
        <v>5</v>
      </c>
      <c r="AA157" s="33" t="inlineStr">
        <is>
          <t>2</t>
        </is>
      </c>
      <c r="AB157" s="33" t="inlineStr">
        <is>
          <t>https://www.swimcloud.com/results/76269/event/8/?id=9134291#time9134291</t>
        </is>
      </c>
      <c r="AC157" s="33" t="inlineStr">
        <is>
          <t>SwimCloud API v6 2026-10-08</t>
        </is>
      </c>
      <c r="AD157" s="33" t="inlineStr">
        <is>
          <t>Caeleb Dressel|2017-06-02|LCM|100|Free|49.26|Arena Pro Swim Series - Santa Clara|FIN|False</t>
        </is>
      </c>
      <c r="AE157" s="53">
        <f>G157+L157/1000+ROW()/1000000000</f>
        <v/>
      </c>
      <c r="AF157" s="35">
        <f>IF(C157&lt;&gt;"Grayson Coulter","",COUNTIFS($C$5:$C$2991,"Grayson Coulter",$Q$5:$Q$2991,Q157,$AE$5:$AE$2991,"&lt;="&amp;AE157,$R$5:$R$2991,"&lt;"&amp;R157))</f>
        <v/>
      </c>
      <c r="AG157" s="35">
        <f>IF(OR(C157&lt;&gt;"Grayson Coulter",G157&lt;'00_Control'!$B$7),"",--(AF157&lt;5))</f>
        <v/>
      </c>
      <c r="AH157" s="35">
        <f>IF(OR(C157&lt;&gt;"Grayson Coulter",G157&lt;'00_Control'!$B$7),"",--(AF157&lt;10))</f>
        <v/>
      </c>
      <c r="AI157" s="35">
        <f>IF(AND(C157="Grayson Coulter",G157&gt;='00_Control'!$B$7),"YES","NO")</f>
        <v/>
      </c>
      <c r="AJ157" s="33" t="inlineStr">
        <is>
          <t>OK</t>
        </is>
      </c>
    </row>
    <row r="158">
      <c r="A158" s="33" t="inlineStr">
        <is>
          <t>SM000154</t>
        </is>
      </c>
      <c r="B158" s="33" t="inlineStr">
        <is>
          <t>SW010</t>
        </is>
      </c>
      <c r="C158" s="33" t="inlineStr">
        <is>
          <t>Caeleb Dressel</t>
        </is>
      </c>
      <c r="D158" s="33" t="inlineStr">
        <is>
          <t>SwimCloud</t>
        </is>
      </c>
      <c r="E158" s="33" t="inlineStr">
        <is>
          <t>2361642</t>
        </is>
      </c>
      <c r="F158" s="33" t="inlineStr">
        <is>
          <t>9137213</t>
        </is>
      </c>
      <c r="G158" s="51" t="n">
        <v>42913</v>
      </c>
      <c r="H158" s="33" t="inlineStr">
        <is>
          <t>Phillips 66 Summer National Championships</t>
        </is>
      </c>
      <c r="I158" s="33" t="inlineStr">
        <is>
          <t>76270</t>
        </is>
      </c>
      <c r="J158" s="33" t="inlineStr"/>
      <c r="K158" s="33" t="inlineStr">
        <is>
          <t>PRE</t>
        </is>
      </c>
      <c r="L158" s="35">
        <f>IF(K158="FIN",3,IF(OR(K158="SEM",K158="SEMI"),2,IF(OR(K158="PRE",K158="HEAT"),1,IF(V158="YES",4,2))))</f>
        <v/>
      </c>
      <c r="M158" s="33" t="inlineStr">
        <is>
          <t>LCM</t>
        </is>
      </c>
      <c r="N158" s="33" t="n">
        <v>100</v>
      </c>
      <c r="O158" s="33" t="inlineStr">
        <is>
          <t>Free</t>
        </is>
      </c>
      <c r="P158" s="33" t="inlineStr">
        <is>
          <t>100 Free</t>
        </is>
      </c>
      <c r="Q158" s="33" t="inlineStr">
        <is>
          <t>LCM_100_FREE</t>
        </is>
      </c>
      <c r="R158" s="36" t="n">
        <v>48.56</v>
      </c>
      <c r="S158" s="35">
        <f>IF(R158="","",IF(R158&gt;=60,INT(R158/60)&amp;":"&amp;TEXT(MOD(R158,60),"00.00"),TEXT(R158,"0.00")))</f>
        <v/>
      </c>
      <c r="T158" s="52">
        <f>IFERROR((G158-INDEX('01_Swimmers'!$E$5:$E$22,MATCH(B158,'01_Swimmers'!$A$5:$A$22,0)))/'00_Control'!$B$10,"")</f>
        <v/>
      </c>
      <c r="U158" s="35">
        <f>IF(T158="","",INT(T158))</f>
        <v/>
      </c>
      <c r="V158" s="33" t="inlineStr">
        <is>
          <t>NO</t>
        </is>
      </c>
      <c r="W158" s="33" t="inlineStr">
        <is>
          <t>YES</t>
        </is>
      </c>
      <c r="X158" s="33" t="inlineStr">
        <is>
          <t>NO</t>
        </is>
      </c>
      <c r="Y158" s="33" t="n">
        <v>9</v>
      </c>
      <c r="Z158" s="33" t="n">
        <v>4</v>
      </c>
      <c r="AA158" s="33" t="inlineStr">
        <is>
          <t>2</t>
        </is>
      </c>
      <c r="AB158" s="33" t="inlineStr">
        <is>
          <t>https://www.swimcloud.com/results/76270/event/4/?id=9137213#time9137213</t>
        </is>
      </c>
      <c r="AC158" s="33" t="inlineStr">
        <is>
          <t>SwimCloud API v6 2026-10-08</t>
        </is>
      </c>
      <c r="AD158" s="33" t="inlineStr">
        <is>
          <t>Caeleb Dressel|2017-06-27|LCM|100|Free|48.56|Phillips 66 Summer National Championships|PRE|False</t>
        </is>
      </c>
      <c r="AE158" s="53">
        <f>G158+L158/1000+ROW()/1000000000</f>
        <v/>
      </c>
      <c r="AF158" s="35">
        <f>IF(C158&lt;&gt;"Grayson Coulter","",COUNTIFS($C$5:$C$2991,"Grayson Coulter",$Q$5:$Q$2991,Q158,$AE$5:$AE$2991,"&lt;="&amp;AE158,$R$5:$R$2991,"&lt;"&amp;R158))</f>
        <v/>
      </c>
      <c r="AG158" s="35">
        <f>IF(OR(C158&lt;&gt;"Grayson Coulter",G158&lt;'00_Control'!$B$7),"",--(AF158&lt;5))</f>
        <v/>
      </c>
      <c r="AH158" s="35">
        <f>IF(OR(C158&lt;&gt;"Grayson Coulter",G158&lt;'00_Control'!$B$7),"",--(AF158&lt;10))</f>
        <v/>
      </c>
      <c r="AI158" s="35">
        <f>IF(AND(C158="Grayson Coulter",G158&gt;='00_Control'!$B$7),"YES","NO")</f>
        <v/>
      </c>
      <c r="AJ158" s="33" t="inlineStr">
        <is>
          <t>OK</t>
        </is>
      </c>
    </row>
    <row r="159">
      <c r="A159" s="33" t="inlineStr">
        <is>
          <t>SM000155</t>
        </is>
      </c>
      <c r="B159" s="33" t="inlineStr">
        <is>
          <t>SW010</t>
        </is>
      </c>
      <c r="C159" s="33" t="inlineStr">
        <is>
          <t>Caeleb Dressel</t>
        </is>
      </c>
      <c r="D159" s="33" t="inlineStr">
        <is>
          <t>SwimCloud</t>
        </is>
      </c>
      <c r="E159" s="33" t="inlineStr">
        <is>
          <t>2361642</t>
        </is>
      </c>
      <c r="F159" s="33" t="inlineStr">
        <is>
          <t>9137246</t>
        </is>
      </c>
      <c r="G159" s="51" t="n">
        <v>42913</v>
      </c>
      <c r="H159" s="33" t="inlineStr">
        <is>
          <t>Phillips 66 Summer National Championships</t>
        </is>
      </c>
      <c r="I159" s="33" t="inlineStr">
        <is>
          <t>76270</t>
        </is>
      </c>
      <c r="J159" s="33" t="inlineStr"/>
      <c r="K159" s="33" t="inlineStr">
        <is>
          <t>FIN</t>
        </is>
      </c>
      <c r="L159" s="35">
        <f>IF(K159="FIN",3,IF(OR(K159="SEM",K159="SEMI"),2,IF(OR(K159="PRE",K159="HEAT"),1,IF(V159="YES",4,2))))</f>
        <v/>
      </c>
      <c r="M159" s="33" t="inlineStr">
        <is>
          <t>LCM</t>
        </is>
      </c>
      <c r="N159" s="33" t="n">
        <v>100</v>
      </c>
      <c r="O159" s="33" t="inlineStr">
        <is>
          <t>Free</t>
        </is>
      </c>
      <c r="P159" s="33" t="inlineStr">
        <is>
          <t>100 Free</t>
        </is>
      </c>
      <c r="Q159" s="33" t="inlineStr">
        <is>
          <t>LCM_100_FREE</t>
        </is>
      </c>
      <c r="R159" s="36" t="n">
        <v>47.97</v>
      </c>
      <c r="S159" s="35">
        <f>IF(R159="","",IF(R159&gt;=60,INT(R159/60)&amp;":"&amp;TEXT(MOD(R159,60),"00.00"),TEXT(R159,"0.00")))</f>
        <v/>
      </c>
      <c r="T159" s="52">
        <f>IFERROR((G159-INDEX('01_Swimmers'!$E$5:$E$22,MATCH(B159,'01_Swimmers'!$A$5:$A$22,0)))/'00_Control'!$B$10,"")</f>
        <v/>
      </c>
      <c r="U159" s="35">
        <f>IF(T159="","",INT(T159))</f>
        <v/>
      </c>
      <c r="V159" s="33" t="inlineStr">
        <is>
          <t>NO</t>
        </is>
      </c>
      <c r="W159" s="33" t="inlineStr">
        <is>
          <t>YES</t>
        </is>
      </c>
      <c r="X159" s="33" t="inlineStr">
        <is>
          <t>NO</t>
        </is>
      </c>
      <c r="Y159" s="33" t="n">
        <v>3</v>
      </c>
      <c r="Z159" s="33" t="n">
        <v>3</v>
      </c>
      <c r="AA159" s="33" t="inlineStr">
        <is>
          <t>2</t>
        </is>
      </c>
      <c r="AB159" s="33" t="inlineStr">
        <is>
          <t>https://www.swimcloud.com/results/76270/event/4/?id=9137246#time9137246</t>
        </is>
      </c>
      <c r="AC159" s="33" t="inlineStr">
        <is>
          <t>SwimCloud API v6 2026-10-08</t>
        </is>
      </c>
      <c r="AD159" s="33" t="inlineStr">
        <is>
          <t>Caeleb Dressel|2017-06-27|LCM|100|Free|47.97|Phillips 66 Summer National Championships|FIN|False</t>
        </is>
      </c>
      <c r="AE159" s="53">
        <f>G159+L159/1000+ROW()/1000000000</f>
        <v/>
      </c>
      <c r="AF159" s="35">
        <f>IF(C159&lt;&gt;"Grayson Coulter","",COUNTIFS($C$5:$C$2991,"Grayson Coulter",$Q$5:$Q$2991,Q159,$AE$5:$AE$2991,"&lt;="&amp;AE159,$R$5:$R$2991,"&lt;"&amp;R159))</f>
        <v/>
      </c>
      <c r="AG159" s="35">
        <f>IF(OR(C159&lt;&gt;"Grayson Coulter",G159&lt;'00_Control'!$B$7),"",--(AF159&lt;5))</f>
        <v/>
      </c>
      <c r="AH159" s="35">
        <f>IF(OR(C159&lt;&gt;"Grayson Coulter",G159&lt;'00_Control'!$B$7),"",--(AF159&lt;10))</f>
        <v/>
      </c>
      <c r="AI159" s="35">
        <f>IF(AND(C159="Grayson Coulter",G159&gt;='00_Control'!$B$7),"YES","NO")</f>
        <v/>
      </c>
      <c r="AJ159" s="33" t="inlineStr">
        <is>
          <t>OK</t>
        </is>
      </c>
    </row>
    <row r="160">
      <c r="A160" s="33" t="inlineStr">
        <is>
          <t>SM000156</t>
        </is>
      </c>
      <c r="B160" s="33" t="inlineStr">
        <is>
          <t>SW010</t>
        </is>
      </c>
      <c r="C160" s="33" t="inlineStr">
        <is>
          <t>Caeleb Dressel</t>
        </is>
      </c>
      <c r="D160" s="33" t="inlineStr">
        <is>
          <t>SwimCloud</t>
        </is>
      </c>
      <c r="E160" s="33" t="inlineStr">
        <is>
          <t>2361642</t>
        </is>
      </c>
      <c r="F160" s="33" t="inlineStr">
        <is>
          <t>9137322</t>
        </is>
      </c>
      <c r="G160" s="51" t="n">
        <v>42914</v>
      </c>
      <c r="H160" s="33" t="inlineStr">
        <is>
          <t>Phillips 66 Summer National Championships</t>
        </is>
      </c>
      <c r="I160" s="33" t="inlineStr">
        <is>
          <t>76270</t>
        </is>
      </c>
      <c r="J160" s="33" t="inlineStr"/>
      <c r="K160" s="33" t="inlineStr">
        <is>
          <t>PRE</t>
        </is>
      </c>
      <c r="L160" s="35">
        <f>IF(K160="FIN",3,IF(OR(K160="SEM",K160="SEMI"),2,IF(OR(K160="PRE",K160="HEAT"),1,IF(V160="YES",4,2))))</f>
        <v/>
      </c>
      <c r="M160" s="33" t="inlineStr">
        <is>
          <t>LCM</t>
        </is>
      </c>
      <c r="N160" s="33" t="n">
        <v>200</v>
      </c>
      <c r="O160" s="33" t="inlineStr">
        <is>
          <t>Free</t>
        </is>
      </c>
      <c r="P160" s="33" t="inlineStr">
        <is>
          <t>200 Free</t>
        </is>
      </c>
      <c r="Q160" s="33" t="inlineStr">
        <is>
          <t>LCM_200_FREE</t>
        </is>
      </c>
      <c r="R160" s="36" t="n">
        <v>107.45</v>
      </c>
      <c r="S160" s="35">
        <f>IF(R160="","",IF(R160&gt;=60,INT(R160/60)&amp;":"&amp;TEXT(MOD(R160,60),"00.00"),TEXT(R160,"0.00")))</f>
        <v/>
      </c>
      <c r="T160" s="52">
        <f>IFERROR((G160-INDEX('01_Swimmers'!$E$5:$E$22,MATCH(B160,'01_Swimmers'!$A$5:$A$22,0)))/'00_Control'!$B$10,"")</f>
        <v/>
      </c>
      <c r="U160" s="35">
        <f>IF(T160="","",INT(T160))</f>
        <v/>
      </c>
      <c r="V160" s="33" t="inlineStr">
        <is>
          <t>NO</t>
        </is>
      </c>
      <c r="W160" s="33" t="inlineStr">
        <is>
          <t>YES</t>
        </is>
      </c>
      <c r="X160" s="33" t="inlineStr">
        <is>
          <t>NO</t>
        </is>
      </c>
      <c r="Y160" s="33" t="n">
        <v>9</v>
      </c>
      <c r="Z160" s="33" t="n">
        <v>6</v>
      </c>
      <c r="AA160" s="33" t="inlineStr">
        <is>
          <t>3</t>
        </is>
      </c>
      <c r="AB160" s="33" t="inlineStr">
        <is>
          <t>https://www.swimcloud.com/results/76270/event/8/?id=9137322#time9137322</t>
        </is>
      </c>
      <c r="AC160" s="33" t="inlineStr">
        <is>
          <t>SwimCloud API v6 2026-10-08</t>
        </is>
      </c>
      <c r="AD160" s="33" t="inlineStr">
        <is>
          <t>Caeleb Dressel|2017-06-28|LCM|200|Free|107.45|Phillips 66 Summer National Championships|PRE|False</t>
        </is>
      </c>
      <c r="AE160" s="53">
        <f>G160+L160/1000+ROW()/1000000000</f>
        <v/>
      </c>
      <c r="AF160" s="35">
        <f>IF(C160&lt;&gt;"Grayson Coulter","",COUNTIFS($C$5:$C$2991,"Grayson Coulter",$Q$5:$Q$2991,Q160,$AE$5:$AE$2991,"&lt;="&amp;AE160,$R$5:$R$2991,"&lt;"&amp;R160))</f>
        <v/>
      </c>
      <c r="AG160" s="35">
        <f>IF(OR(C160&lt;&gt;"Grayson Coulter",G160&lt;'00_Control'!$B$7),"",--(AF160&lt;5))</f>
        <v/>
      </c>
      <c r="AH160" s="35">
        <f>IF(OR(C160&lt;&gt;"Grayson Coulter",G160&lt;'00_Control'!$B$7),"",--(AF160&lt;10))</f>
        <v/>
      </c>
      <c r="AI160" s="35">
        <f>IF(AND(C160="Grayson Coulter",G160&gt;='00_Control'!$B$7),"YES","NO")</f>
        <v/>
      </c>
      <c r="AJ160" s="33" t="inlineStr">
        <is>
          <t>OK</t>
        </is>
      </c>
    </row>
    <row r="161">
      <c r="A161" s="33" t="inlineStr">
        <is>
          <t>SM000157</t>
        </is>
      </c>
      <c r="B161" s="33" t="inlineStr">
        <is>
          <t>SW010</t>
        </is>
      </c>
      <c r="C161" s="33" t="inlineStr">
        <is>
          <t>Caeleb Dressel</t>
        </is>
      </c>
      <c r="D161" s="33" t="inlineStr">
        <is>
          <t>SwimCloud</t>
        </is>
      </c>
      <c r="E161" s="33" t="inlineStr">
        <is>
          <t>2361642</t>
        </is>
      </c>
      <c r="F161" s="33" t="inlineStr">
        <is>
          <t>9137356</t>
        </is>
      </c>
      <c r="G161" s="51" t="n">
        <v>42914</v>
      </c>
      <c r="H161" s="33" t="inlineStr">
        <is>
          <t>Phillips 66 Summer National Championships</t>
        </is>
      </c>
      <c r="I161" s="33" t="inlineStr">
        <is>
          <t>76270</t>
        </is>
      </c>
      <c r="J161" s="33" t="inlineStr"/>
      <c r="K161" s="33" t="inlineStr">
        <is>
          <t>FIN</t>
        </is>
      </c>
      <c r="L161" s="35">
        <f>IF(K161="FIN",3,IF(OR(K161="SEM",K161="SEMI"),2,IF(OR(K161="PRE",K161="HEAT"),1,IF(V161="YES",4,2))))</f>
        <v/>
      </c>
      <c r="M161" s="33" t="inlineStr">
        <is>
          <t>LCM</t>
        </is>
      </c>
      <c r="N161" s="33" t="n">
        <v>200</v>
      </c>
      <c r="O161" s="33" t="inlineStr">
        <is>
          <t>Free</t>
        </is>
      </c>
      <c r="P161" s="33" t="inlineStr">
        <is>
          <t>200 Free</t>
        </is>
      </c>
      <c r="Q161" s="33" t="inlineStr">
        <is>
          <t>LCM_200_FREE</t>
        </is>
      </c>
      <c r="R161" s="36" t="n">
        <v>107.51</v>
      </c>
      <c r="S161" s="35">
        <f>IF(R161="","",IF(R161&gt;=60,INT(R161/60)&amp;":"&amp;TEXT(MOD(R161,60),"00.00"),TEXT(R161,"0.00")))</f>
        <v/>
      </c>
      <c r="T161" s="52">
        <f>IFERROR((G161-INDEX('01_Swimmers'!$E$5:$E$22,MATCH(B161,'01_Swimmers'!$A$5:$A$22,0)))/'00_Control'!$B$10,"")</f>
        <v/>
      </c>
      <c r="U161" s="35">
        <f>IF(T161="","",INT(T161))</f>
        <v/>
      </c>
      <c r="V161" s="33" t="inlineStr">
        <is>
          <t>NO</t>
        </is>
      </c>
      <c r="W161" s="33" t="inlineStr">
        <is>
          <t>YES</t>
        </is>
      </c>
      <c r="X161" s="33" t="inlineStr">
        <is>
          <t>NO</t>
        </is>
      </c>
      <c r="Y161" s="33" t="n">
        <v>3</v>
      </c>
      <c r="Z161" s="33" t="n">
        <v>3</v>
      </c>
      <c r="AA161" s="33" t="inlineStr">
        <is>
          <t>6</t>
        </is>
      </c>
      <c r="AB161" s="33" t="inlineStr">
        <is>
          <t>https://www.swimcloud.com/results/76270/event/8/?id=9137356#time9137356</t>
        </is>
      </c>
      <c r="AC161" s="33" t="inlineStr">
        <is>
          <t>SwimCloud API v6 2026-10-08</t>
        </is>
      </c>
      <c r="AD161" s="33" t="inlineStr">
        <is>
          <t>Caeleb Dressel|2017-06-28|LCM|200|Free|107.51|Phillips 66 Summer National Championships|FIN|False</t>
        </is>
      </c>
      <c r="AE161" s="53">
        <f>G161+L161/1000+ROW()/1000000000</f>
        <v/>
      </c>
      <c r="AF161" s="35">
        <f>IF(C161&lt;&gt;"Grayson Coulter","",COUNTIFS($C$5:$C$2991,"Grayson Coulter",$Q$5:$Q$2991,Q161,$AE$5:$AE$2991,"&lt;="&amp;AE161,$R$5:$R$2991,"&lt;"&amp;R161))</f>
        <v/>
      </c>
      <c r="AG161" s="35">
        <f>IF(OR(C161&lt;&gt;"Grayson Coulter",G161&lt;'00_Control'!$B$7),"",--(AF161&lt;5))</f>
        <v/>
      </c>
      <c r="AH161" s="35">
        <f>IF(OR(C161&lt;&gt;"Grayson Coulter",G161&lt;'00_Control'!$B$7),"",--(AF161&lt;10))</f>
        <v/>
      </c>
      <c r="AI161" s="35">
        <f>IF(AND(C161="Grayson Coulter",G161&gt;='00_Control'!$B$7),"YES","NO")</f>
        <v/>
      </c>
      <c r="AJ161" s="33" t="inlineStr">
        <is>
          <t>OK</t>
        </is>
      </c>
    </row>
    <row r="162">
      <c r="A162" s="33" t="inlineStr">
        <is>
          <t>SM000158</t>
        </is>
      </c>
      <c r="B162" s="33" t="inlineStr">
        <is>
          <t>SW010</t>
        </is>
      </c>
      <c r="C162" s="33" t="inlineStr">
        <is>
          <t>Caeleb Dressel</t>
        </is>
      </c>
      <c r="D162" s="33" t="inlineStr">
        <is>
          <t>SwimCloud</t>
        </is>
      </c>
      <c r="E162" s="33" t="inlineStr">
        <is>
          <t>2361642</t>
        </is>
      </c>
      <c r="F162" s="33" t="inlineStr">
        <is>
          <t>9138559</t>
        </is>
      </c>
      <c r="G162" s="51" t="n">
        <v>42915</v>
      </c>
      <c r="H162" s="33" t="inlineStr">
        <is>
          <t>Phillips 66 Summer National Championships</t>
        </is>
      </c>
      <c r="I162" s="33" t="inlineStr">
        <is>
          <t>76270</t>
        </is>
      </c>
      <c r="J162" s="33" t="inlineStr"/>
      <c r="K162" s="33" t="inlineStr">
        <is>
          <t>PRE</t>
        </is>
      </c>
      <c r="L162" s="35">
        <f>IF(K162="FIN",3,IF(OR(K162="SEM",K162="SEMI"),2,IF(OR(K162="PRE",K162="HEAT"),1,IF(V162="YES",4,2))))</f>
        <v/>
      </c>
      <c r="M162" s="33" t="inlineStr">
        <is>
          <t>LCM</t>
        </is>
      </c>
      <c r="N162" s="33" t="n">
        <v>100</v>
      </c>
      <c r="O162" s="33" t="inlineStr">
        <is>
          <t>Fly</t>
        </is>
      </c>
      <c r="P162" s="33" t="inlineStr">
        <is>
          <t>100 Fly</t>
        </is>
      </c>
      <c r="Q162" s="33" t="inlineStr">
        <is>
          <t>LCM_100_FLY</t>
        </is>
      </c>
      <c r="R162" s="36" t="n">
        <v>51.38</v>
      </c>
      <c r="S162" s="35">
        <f>IF(R162="","",IF(R162&gt;=60,INT(R162/60)&amp;":"&amp;TEXT(MOD(R162,60),"00.00"),TEXT(R162,"0.00")))</f>
        <v/>
      </c>
      <c r="T162" s="52">
        <f>IFERROR((G162-INDEX('01_Swimmers'!$E$5:$E$22,MATCH(B162,'01_Swimmers'!$A$5:$A$22,0)))/'00_Control'!$B$10,"")</f>
        <v/>
      </c>
      <c r="U162" s="35">
        <f>IF(T162="","",INT(T162))</f>
        <v/>
      </c>
      <c r="V162" s="33" t="inlineStr">
        <is>
          <t>NO</t>
        </is>
      </c>
      <c r="W162" s="33" t="inlineStr">
        <is>
          <t>YES</t>
        </is>
      </c>
      <c r="X162" s="33" t="inlineStr">
        <is>
          <t>NO</t>
        </is>
      </c>
      <c r="Y162" s="33" t="n">
        <v>8</v>
      </c>
      <c r="Z162" s="33" t="n">
        <v>5</v>
      </c>
      <c r="AA162" s="33" t="inlineStr">
        <is>
          <t>2</t>
        </is>
      </c>
      <c r="AB162" s="33" t="inlineStr">
        <is>
          <t>https://www.swimcloud.com/results/76270/event/18/?id=9138559#time9138559</t>
        </is>
      </c>
      <c r="AC162" s="33" t="inlineStr">
        <is>
          <t>SwimCloud API v6 2026-10-08</t>
        </is>
      </c>
      <c r="AD162" s="33" t="inlineStr">
        <is>
          <t>Caeleb Dressel|2017-06-29|LCM|100|Fly|51.38|Phillips 66 Summer National Championships|PRE|False</t>
        </is>
      </c>
      <c r="AE162" s="53">
        <f>G162+L162/1000+ROW()/1000000000</f>
        <v/>
      </c>
      <c r="AF162" s="35">
        <f>IF(C162&lt;&gt;"Grayson Coulter","",COUNTIFS($C$5:$C$2991,"Grayson Coulter",$Q$5:$Q$2991,Q162,$AE$5:$AE$2991,"&lt;="&amp;AE162,$R$5:$R$2991,"&lt;"&amp;R162))</f>
        <v/>
      </c>
      <c r="AG162" s="35">
        <f>IF(OR(C162&lt;&gt;"Grayson Coulter",G162&lt;'00_Control'!$B$7),"",--(AF162&lt;5))</f>
        <v/>
      </c>
      <c r="AH162" s="35">
        <f>IF(OR(C162&lt;&gt;"Grayson Coulter",G162&lt;'00_Control'!$B$7),"",--(AF162&lt;10))</f>
        <v/>
      </c>
      <c r="AI162" s="35">
        <f>IF(AND(C162="Grayson Coulter",G162&gt;='00_Control'!$B$7),"YES","NO")</f>
        <v/>
      </c>
      <c r="AJ162" s="33" t="inlineStr">
        <is>
          <t>OK</t>
        </is>
      </c>
    </row>
    <row r="163">
      <c r="A163" s="33" t="inlineStr">
        <is>
          <t>SM000159</t>
        </is>
      </c>
      <c r="B163" s="33" t="inlineStr">
        <is>
          <t>SW010</t>
        </is>
      </c>
      <c r="C163" s="33" t="inlineStr">
        <is>
          <t>Caeleb Dressel</t>
        </is>
      </c>
      <c r="D163" s="33" t="inlineStr">
        <is>
          <t>SwimCloud</t>
        </is>
      </c>
      <c r="E163" s="33" t="inlineStr">
        <is>
          <t>2361642</t>
        </is>
      </c>
      <c r="F163" s="33" t="inlineStr">
        <is>
          <t>9138629</t>
        </is>
      </c>
      <c r="G163" s="51" t="n">
        <v>42915</v>
      </c>
      <c r="H163" s="33" t="inlineStr">
        <is>
          <t>Phillips 66 Summer National Championships</t>
        </is>
      </c>
      <c r="I163" s="33" t="inlineStr">
        <is>
          <t>76270</t>
        </is>
      </c>
      <c r="J163" s="33" t="inlineStr"/>
      <c r="K163" s="33" t="inlineStr">
        <is>
          <t>FIN</t>
        </is>
      </c>
      <c r="L163" s="35">
        <f>IF(K163="FIN",3,IF(OR(K163="SEM",K163="SEMI"),2,IF(OR(K163="PRE",K163="HEAT"),1,IF(V163="YES",4,2))))</f>
        <v/>
      </c>
      <c r="M163" s="33" t="inlineStr">
        <is>
          <t>LCM</t>
        </is>
      </c>
      <c r="N163" s="33" t="n">
        <v>100</v>
      </c>
      <c r="O163" s="33" t="inlineStr">
        <is>
          <t>Fly</t>
        </is>
      </c>
      <c r="P163" s="33" t="inlineStr">
        <is>
          <t>100 Fly</t>
        </is>
      </c>
      <c r="Q163" s="33" t="inlineStr">
        <is>
          <t>LCM_100_FLY</t>
        </is>
      </c>
      <c r="R163" s="36" t="n">
        <v>50.87</v>
      </c>
      <c r="S163" s="35">
        <f>IF(R163="","",IF(R163&gt;=60,INT(R163/60)&amp;":"&amp;TEXT(MOD(R163,60),"00.00"),TEXT(R163,"0.00")))</f>
        <v/>
      </c>
      <c r="T163" s="52">
        <f>IFERROR((G163-INDEX('01_Swimmers'!$E$5:$E$22,MATCH(B163,'01_Swimmers'!$A$5:$A$22,0)))/'00_Control'!$B$10,"")</f>
        <v/>
      </c>
      <c r="U163" s="35">
        <f>IF(T163="","",INT(T163))</f>
        <v/>
      </c>
      <c r="V163" s="33" t="inlineStr">
        <is>
          <t>NO</t>
        </is>
      </c>
      <c r="W163" s="33" t="inlineStr">
        <is>
          <t>YES</t>
        </is>
      </c>
      <c r="X163" s="33" t="inlineStr">
        <is>
          <t>NO</t>
        </is>
      </c>
      <c r="Y163" s="33" t="n">
        <v>3</v>
      </c>
      <c r="Z163" s="33" t="n">
        <v>5</v>
      </c>
      <c r="AA163" s="33" t="inlineStr">
        <is>
          <t>1</t>
        </is>
      </c>
      <c r="AB163" s="33" t="inlineStr">
        <is>
          <t>https://www.swimcloud.com/results/76270/event/18/?id=9138629#time9138629</t>
        </is>
      </c>
      <c r="AC163" s="33" t="inlineStr">
        <is>
          <t>SwimCloud API v6 2026-10-08</t>
        </is>
      </c>
      <c r="AD163" s="33" t="inlineStr">
        <is>
          <t>Caeleb Dressel|2017-06-29|LCM|100|Fly|50.87|Phillips 66 Summer National Championships|FIN|False</t>
        </is>
      </c>
      <c r="AE163" s="53">
        <f>G163+L163/1000+ROW()/1000000000</f>
        <v/>
      </c>
      <c r="AF163" s="35">
        <f>IF(C163&lt;&gt;"Grayson Coulter","",COUNTIFS($C$5:$C$2991,"Grayson Coulter",$Q$5:$Q$2991,Q163,$AE$5:$AE$2991,"&lt;="&amp;AE163,$R$5:$R$2991,"&lt;"&amp;R163))</f>
        <v/>
      </c>
      <c r="AG163" s="35">
        <f>IF(OR(C163&lt;&gt;"Grayson Coulter",G163&lt;'00_Control'!$B$7),"",--(AF163&lt;5))</f>
        <v/>
      </c>
      <c r="AH163" s="35">
        <f>IF(OR(C163&lt;&gt;"Grayson Coulter",G163&lt;'00_Control'!$B$7),"",--(AF163&lt;10))</f>
        <v/>
      </c>
      <c r="AI163" s="35">
        <f>IF(AND(C163="Grayson Coulter",G163&gt;='00_Control'!$B$7),"YES","NO")</f>
        <v/>
      </c>
      <c r="AJ163" s="33" t="inlineStr">
        <is>
          <t>OK</t>
        </is>
      </c>
    </row>
    <row r="164">
      <c r="A164" s="33" t="inlineStr">
        <is>
          <t>SM000160</t>
        </is>
      </c>
      <c r="B164" s="33" t="inlineStr">
        <is>
          <t>SW010</t>
        </is>
      </c>
      <c r="C164" s="33" t="inlineStr">
        <is>
          <t>Caeleb Dressel</t>
        </is>
      </c>
      <c r="D164" s="33" t="inlineStr">
        <is>
          <t>SwimCloud</t>
        </is>
      </c>
      <c r="E164" s="33" t="inlineStr">
        <is>
          <t>2361642</t>
        </is>
      </c>
      <c r="F164" s="33" t="inlineStr">
        <is>
          <t>12265315</t>
        </is>
      </c>
      <c r="G164" s="51" t="n">
        <v>42939</v>
      </c>
      <c r="H164" s="33" t="inlineStr">
        <is>
          <t>17th FINA World Championships</t>
        </is>
      </c>
      <c r="I164" s="33" t="inlineStr">
        <is>
          <t>96880</t>
        </is>
      </c>
      <c r="J164" s="33" t="inlineStr"/>
      <c r="K164" s="33" t="inlineStr">
        <is>
          <t>FIN</t>
        </is>
      </c>
      <c r="L164" s="35">
        <f>IF(K164="FIN",3,IF(OR(K164="SEM",K164="SEMI"),2,IF(OR(K164="PRE",K164="HEAT"),1,IF(V164="YES",4,2))))</f>
        <v/>
      </c>
      <c r="M164" s="33" t="inlineStr">
        <is>
          <t>LCM</t>
        </is>
      </c>
      <c r="N164" s="33" t="n">
        <v>100</v>
      </c>
      <c r="O164" s="33" t="inlineStr">
        <is>
          <t>Free</t>
        </is>
      </c>
      <c r="P164" s="33" t="inlineStr">
        <is>
          <t>100 Free</t>
        </is>
      </c>
      <c r="Q164" s="33" t="inlineStr">
        <is>
          <t>LCM_100_FREE</t>
        </is>
      </c>
      <c r="R164" s="36" t="n">
        <v>47.26</v>
      </c>
      <c r="S164" s="35">
        <f>IF(R164="","",IF(R164&gt;=60,INT(R164/60)&amp;":"&amp;TEXT(MOD(R164,60),"00.00"),TEXT(R164,"0.00")))</f>
        <v/>
      </c>
      <c r="T164" s="52">
        <f>IFERROR((G164-INDEX('01_Swimmers'!$E$5:$E$22,MATCH(B164,'01_Swimmers'!$A$5:$A$22,0)))/'00_Control'!$B$10,"")</f>
        <v/>
      </c>
      <c r="U164" s="35">
        <f>IF(T164="","",INT(T164))</f>
        <v/>
      </c>
      <c r="V164" s="33" t="inlineStr">
        <is>
          <t>YES</t>
        </is>
      </c>
      <c r="W164" s="33" t="inlineStr">
        <is>
          <t>YES</t>
        </is>
      </c>
      <c r="X164" s="33" t="inlineStr">
        <is>
          <t>NO</t>
        </is>
      </c>
      <c r="Y164" s="33" t="n">
        <v>31</v>
      </c>
      <c r="Z164" s="33" t="n">
        <v>3</v>
      </c>
      <c r="AA164" s="33" t="inlineStr"/>
      <c r="AB164" s="33" t="inlineStr">
        <is>
          <t>https://www.swimcloud.com/results/96880/event/8/?id=12265081#time12265081</t>
        </is>
      </c>
      <c r="AC164" s="33" t="inlineStr">
        <is>
          <t>SwimCloud API v6 2026-10-08</t>
        </is>
      </c>
      <c r="AD164" s="33" t="inlineStr">
        <is>
          <t>Caeleb Dressel|2017-07-23|LCM|100|Free|47.26|17th FINA World Championships|FIN|True</t>
        </is>
      </c>
      <c r="AE164" s="53">
        <f>G164+L164/1000+ROW()/1000000000</f>
        <v/>
      </c>
      <c r="AF164" s="35">
        <f>IF(C164&lt;&gt;"Grayson Coulter","",COUNTIFS($C$5:$C$2991,"Grayson Coulter",$Q$5:$Q$2991,Q164,$AE$5:$AE$2991,"&lt;="&amp;AE164,$R$5:$R$2991,"&lt;"&amp;R164))</f>
        <v/>
      </c>
      <c r="AG164" s="35">
        <f>IF(OR(C164&lt;&gt;"Grayson Coulter",G164&lt;'00_Control'!$B$7),"",--(AF164&lt;5))</f>
        <v/>
      </c>
      <c r="AH164" s="35">
        <f>IF(OR(C164&lt;&gt;"Grayson Coulter",G164&lt;'00_Control'!$B$7),"",--(AF164&lt;10))</f>
        <v/>
      </c>
      <c r="AI164" s="35">
        <f>IF(AND(C164="Grayson Coulter",G164&gt;='00_Control'!$B$7),"YES","NO")</f>
        <v/>
      </c>
      <c r="AJ164" s="33" t="inlineStr">
        <is>
          <t>OK</t>
        </is>
      </c>
    </row>
    <row r="165">
      <c r="A165" s="33" t="inlineStr">
        <is>
          <t>SM000161</t>
        </is>
      </c>
      <c r="B165" s="33" t="inlineStr">
        <is>
          <t>SW010</t>
        </is>
      </c>
      <c r="C165" s="33" t="inlineStr">
        <is>
          <t>Caeleb Dressel</t>
        </is>
      </c>
      <c r="D165" s="33" t="inlineStr">
        <is>
          <t>SwimCloud</t>
        </is>
      </c>
      <c r="E165" s="33" t="inlineStr">
        <is>
          <t>2361642</t>
        </is>
      </c>
      <c r="F165" s="33" t="inlineStr">
        <is>
          <t>12262556</t>
        </is>
      </c>
      <c r="G165" s="51" t="n">
        <v>42942</v>
      </c>
      <c r="H165" s="33" t="inlineStr">
        <is>
          <t>17th FINA World Championships</t>
        </is>
      </c>
      <c r="I165" s="33" t="inlineStr">
        <is>
          <t>96880</t>
        </is>
      </c>
      <c r="J165" s="33" t="inlineStr"/>
      <c r="K165" s="33" t="inlineStr">
        <is>
          <t>PRE</t>
        </is>
      </c>
      <c r="L165" s="35">
        <f>IF(K165="FIN",3,IF(OR(K165="SEM",K165="SEMI"),2,IF(OR(K165="PRE",K165="HEAT"),1,IF(V165="YES",4,2))))</f>
        <v/>
      </c>
      <c r="M165" s="33" t="inlineStr">
        <is>
          <t>LCM</t>
        </is>
      </c>
      <c r="N165" s="33" t="n">
        <v>100</v>
      </c>
      <c r="O165" s="33" t="inlineStr">
        <is>
          <t>Free</t>
        </is>
      </c>
      <c r="P165" s="33" t="inlineStr">
        <is>
          <t>100 Free</t>
        </is>
      </c>
      <c r="Q165" s="33" t="inlineStr">
        <is>
          <t>LCM_100_FREE</t>
        </is>
      </c>
      <c r="R165" s="36" t="n">
        <v>48.26</v>
      </c>
      <c r="S165" s="35">
        <f>IF(R165="","",IF(R165&gt;=60,INT(R165/60)&amp;":"&amp;TEXT(MOD(R165,60),"00.00"),TEXT(R165,"0.00")))</f>
        <v/>
      </c>
      <c r="T165" s="52">
        <f>IFERROR((G165-INDEX('01_Swimmers'!$E$5:$E$22,MATCH(B165,'01_Swimmers'!$A$5:$A$22,0)))/'00_Control'!$B$10,"")</f>
        <v/>
      </c>
      <c r="U165" s="35">
        <f>IF(T165="","",INT(T165))</f>
        <v/>
      </c>
      <c r="V165" s="33" t="inlineStr">
        <is>
          <t>NO</t>
        </is>
      </c>
      <c r="W165" s="33" t="inlineStr">
        <is>
          <t>YES</t>
        </is>
      </c>
      <c r="X165" s="33" t="inlineStr">
        <is>
          <t>NO</t>
        </is>
      </c>
      <c r="Y165" s="33" t="n">
        <v>11</v>
      </c>
      <c r="Z165" s="33" t="n">
        <v>5</v>
      </c>
      <c r="AA165" s="33" t="inlineStr">
        <is>
          <t>3</t>
        </is>
      </c>
      <c r="AB165" s="33" t="inlineStr">
        <is>
          <t>https://www.swimcloud.com/results/96880/event/19/?id=12262556#time12262556</t>
        </is>
      </c>
      <c r="AC165" s="33" t="inlineStr">
        <is>
          <t>SwimCloud API v6 2026-10-08</t>
        </is>
      </c>
      <c r="AD165" s="33" t="inlineStr">
        <is>
          <t>Caeleb Dressel|2017-07-26|LCM|100|Free|48.26|17th FINA World Championships|PRE|False</t>
        </is>
      </c>
      <c r="AE165" s="53">
        <f>G165+L165/1000+ROW()/1000000000</f>
        <v/>
      </c>
      <c r="AF165" s="35">
        <f>IF(C165&lt;&gt;"Grayson Coulter","",COUNTIFS($C$5:$C$2991,"Grayson Coulter",$Q$5:$Q$2991,Q165,$AE$5:$AE$2991,"&lt;="&amp;AE165,$R$5:$R$2991,"&lt;"&amp;R165))</f>
        <v/>
      </c>
      <c r="AG165" s="35">
        <f>IF(OR(C165&lt;&gt;"Grayson Coulter",G165&lt;'00_Control'!$B$7),"",--(AF165&lt;5))</f>
        <v/>
      </c>
      <c r="AH165" s="35">
        <f>IF(OR(C165&lt;&gt;"Grayson Coulter",G165&lt;'00_Control'!$B$7),"",--(AF165&lt;10))</f>
        <v/>
      </c>
      <c r="AI165" s="35">
        <f>IF(AND(C165="Grayson Coulter",G165&gt;='00_Control'!$B$7),"YES","NO")</f>
        <v/>
      </c>
      <c r="AJ165" s="33" t="inlineStr">
        <is>
          <t>OK</t>
        </is>
      </c>
    </row>
    <row r="166">
      <c r="A166" s="33" t="inlineStr">
        <is>
          <t>SM000162</t>
        </is>
      </c>
      <c r="B166" s="33" t="inlineStr">
        <is>
          <t>SW010</t>
        </is>
      </c>
      <c r="C166" s="33" t="inlineStr">
        <is>
          <t>Caeleb Dressel</t>
        </is>
      </c>
      <c r="D166" s="33" t="inlineStr">
        <is>
          <t>SwimCloud</t>
        </is>
      </c>
      <c r="E166" s="33" t="inlineStr">
        <is>
          <t>2361642</t>
        </is>
      </c>
      <c r="F166" s="33" t="inlineStr">
        <is>
          <t>12262668</t>
        </is>
      </c>
      <c r="G166" s="51" t="n">
        <v>42942</v>
      </c>
      <c r="H166" s="33" t="inlineStr">
        <is>
          <t>17th FINA World Championships</t>
        </is>
      </c>
      <c r="I166" s="33" t="inlineStr">
        <is>
          <t>96880</t>
        </is>
      </c>
      <c r="J166" s="33" t="inlineStr"/>
      <c r="K166" s="33" t="inlineStr">
        <is>
          <t>SEM</t>
        </is>
      </c>
      <c r="L166" s="35">
        <f>IF(K166="FIN",3,IF(OR(K166="SEM",K166="SEMI"),2,IF(OR(K166="PRE",K166="HEAT"),1,IF(V166="YES",4,2))))</f>
        <v/>
      </c>
      <c r="M166" s="33" t="inlineStr">
        <is>
          <t>LCM</t>
        </is>
      </c>
      <c r="N166" s="33" t="n">
        <v>100</v>
      </c>
      <c r="O166" s="33" t="inlineStr">
        <is>
          <t>Free</t>
        </is>
      </c>
      <c r="P166" s="33" t="inlineStr">
        <is>
          <t>100 Free</t>
        </is>
      </c>
      <c r="Q166" s="33" t="inlineStr">
        <is>
          <t>LCM_100_FREE</t>
        </is>
      </c>
      <c r="R166" s="36" t="n">
        <v>47.66</v>
      </c>
      <c r="S166" s="35">
        <f>IF(R166="","",IF(R166&gt;=60,INT(R166/60)&amp;":"&amp;TEXT(MOD(R166,60),"00.00"),TEXT(R166,"0.00")))</f>
        <v/>
      </c>
      <c r="T166" s="52">
        <f>IFERROR((G166-INDEX('01_Swimmers'!$E$5:$E$22,MATCH(B166,'01_Swimmers'!$A$5:$A$22,0)))/'00_Control'!$B$10,"")</f>
        <v/>
      </c>
      <c r="U166" s="35">
        <f>IF(T166="","",INT(T166))</f>
        <v/>
      </c>
      <c r="V166" s="33" t="inlineStr">
        <is>
          <t>NO</t>
        </is>
      </c>
      <c r="W166" s="33" t="inlineStr">
        <is>
          <t>YES</t>
        </is>
      </c>
      <c r="X166" s="33" t="inlineStr">
        <is>
          <t>NO</t>
        </is>
      </c>
      <c r="Y166" s="33" t="n">
        <v>21</v>
      </c>
      <c r="Z166" s="33" t="n">
        <v>5</v>
      </c>
      <c r="AA166" s="33" t="inlineStr"/>
      <c r="AB166" s="33" t="inlineStr">
        <is>
          <t>https://www.swimcloud.com/results/96880/event/19/?id=12262668#time12262668</t>
        </is>
      </c>
      <c r="AC166" s="33" t="inlineStr">
        <is>
          <t>SwimCloud API v6 2026-10-08</t>
        </is>
      </c>
      <c r="AD166" s="33" t="inlineStr">
        <is>
          <t>Caeleb Dressel|2017-07-26|LCM|100|Free|47.66|17th FINA World Championships|SEM|False</t>
        </is>
      </c>
      <c r="AE166" s="53">
        <f>G166+L166/1000+ROW()/1000000000</f>
        <v/>
      </c>
      <c r="AF166" s="35">
        <f>IF(C166&lt;&gt;"Grayson Coulter","",COUNTIFS($C$5:$C$2991,"Grayson Coulter",$Q$5:$Q$2991,Q166,$AE$5:$AE$2991,"&lt;="&amp;AE166,$R$5:$R$2991,"&lt;"&amp;R166))</f>
        <v/>
      </c>
      <c r="AG166" s="35">
        <f>IF(OR(C166&lt;&gt;"Grayson Coulter",G166&lt;'00_Control'!$B$7),"",--(AF166&lt;5))</f>
        <v/>
      </c>
      <c r="AH166" s="35">
        <f>IF(OR(C166&lt;&gt;"Grayson Coulter",G166&lt;'00_Control'!$B$7),"",--(AF166&lt;10))</f>
        <v/>
      </c>
      <c r="AI166" s="35">
        <f>IF(AND(C166="Grayson Coulter",G166&gt;='00_Control'!$B$7),"YES","NO")</f>
        <v/>
      </c>
      <c r="AJ166" s="33" t="inlineStr">
        <is>
          <t>OK</t>
        </is>
      </c>
    </row>
    <row r="167">
      <c r="A167" s="33" t="inlineStr">
        <is>
          <t>SM000163</t>
        </is>
      </c>
      <c r="B167" s="33" t="inlineStr">
        <is>
          <t>SW010</t>
        </is>
      </c>
      <c r="C167" s="33" t="inlineStr">
        <is>
          <t>Caeleb Dressel</t>
        </is>
      </c>
      <c r="D167" s="33" t="inlineStr">
        <is>
          <t>SwimCloud</t>
        </is>
      </c>
      <c r="E167" s="33" t="inlineStr">
        <is>
          <t>2361642</t>
        </is>
      </c>
      <c r="F167" s="33" t="inlineStr">
        <is>
          <t>12262653</t>
        </is>
      </c>
      <c r="G167" s="51" t="n">
        <v>42943</v>
      </c>
      <c r="H167" s="33" t="inlineStr">
        <is>
          <t>17th FINA World Championships</t>
        </is>
      </c>
      <c r="I167" s="33" t="inlineStr">
        <is>
          <t>96880</t>
        </is>
      </c>
      <c r="J167" s="33" t="inlineStr"/>
      <c r="K167" s="33" t="inlineStr">
        <is>
          <t>FIN</t>
        </is>
      </c>
      <c r="L167" s="35">
        <f>IF(K167="FIN",3,IF(OR(K167="SEM",K167="SEMI"),2,IF(OR(K167="PRE",K167="HEAT"),1,IF(V167="YES",4,2))))</f>
        <v/>
      </c>
      <c r="M167" s="33" t="inlineStr">
        <is>
          <t>LCM</t>
        </is>
      </c>
      <c r="N167" s="33" t="n">
        <v>100</v>
      </c>
      <c r="O167" s="33" t="inlineStr">
        <is>
          <t>Free</t>
        </is>
      </c>
      <c r="P167" s="33" t="inlineStr">
        <is>
          <t>100 Free</t>
        </is>
      </c>
      <c r="Q167" s="33" t="inlineStr">
        <is>
          <t>LCM_100_FREE</t>
        </is>
      </c>
      <c r="R167" s="36" t="n">
        <v>47.17</v>
      </c>
      <c r="S167" s="35">
        <f>IF(R167="","",IF(R167&gt;=60,INT(R167/60)&amp;":"&amp;TEXT(MOD(R167,60),"00.00"),TEXT(R167,"0.00")))</f>
        <v/>
      </c>
      <c r="T167" s="52">
        <f>IFERROR((G167-INDEX('01_Swimmers'!$E$5:$E$22,MATCH(B167,'01_Swimmers'!$A$5:$A$22,0)))/'00_Control'!$B$10,"")</f>
        <v/>
      </c>
      <c r="U167" s="35">
        <f>IF(T167="","",INT(T167))</f>
        <v/>
      </c>
      <c r="V167" s="33" t="inlineStr">
        <is>
          <t>NO</t>
        </is>
      </c>
      <c r="W167" s="33" t="inlineStr">
        <is>
          <t>YES</t>
        </is>
      </c>
      <c r="X167" s="33" t="inlineStr">
        <is>
          <t>NO</t>
        </is>
      </c>
      <c r="Y167" s="33" t="n">
        <v>31</v>
      </c>
      <c r="Z167" s="33" t="n">
        <v>5</v>
      </c>
      <c r="AA167" s="33" t="inlineStr">
        <is>
          <t>1</t>
        </is>
      </c>
      <c r="AB167" s="33" t="inlineStr">
        <is>
          <t>https://www.swimcloud.com/results/96880/event/19/?id=12262653#time12262653</t>
        </is>
      </c>
      <c r="AC167" s="33" t="inlineStr">
        <is>
          <t>SwimCloud API v6 2026-10-08</t>
        </is>
      </c>
      <c r="AD167" s="33" t="inlineStr">
        <is>
          <t>Caeleb Dressel|2017-07-27|LCM|100|Free|47.17|17th FINA World Championships|FIN|False</t>
        </is>
      </c>
      <c r="AE167" s="53">
        <f>G167+L167/1000+ROW()/1000000000</f>
        <v/>
      </c>
      <c r="AF167" s="35">
        <f>IF(C167&lt;&gt;"Grayson Coulter","",COUNTIFS($C$5:$C$2991,"Grayson Coulter",$Q$5:$Q$2991,Q167,$AE$5:$AE$2991,"&lt;="&amp;AE167,$R$5:$R$2991,"&lt;"&amp;R167))</f>
        <v/>
      </c>
      <c r="AG167" s="35">
        <f>IF(OR(C167&lt;&gt;"Grayson Coulter",G167&lt;'00_Control'!$B$7),"",--(AF167&lt;5))</f>
        <v/>
      </c>
      <c r="AH167" s="35">
        <f>IF(OR(C167&lt;&gt;"Grayson Coulter",G167&lt;'00_Control'!$B$7),"",--(AF167&lt;10))</f>
        <v/>
      </c>
      <c r="AI167" s="35">
        <f>IF(AND(C167="Grayson Coulter",G167&gt;='00_Control'!$B$7),"YES","NO")</f>
        <v/>
      </c>
      <c r="AJ167" s="33" t="inlineStr">
        <is>
          <t>OK</t>
        </is>
      </c>
    </row>
    <row r="168">
      <c r="A168" s="33" t="inlineStr">
        <is>
          <t>SM000164</t>
        </is>
      </c>
      <c r="B168" s="33" t="inlineStr">
        <is>
          <t>SW010</t>
        </is>
      </c>
      <c r="C168" s="33" t="inlineStr">
        <is>
          <t>Caeleb Dressel</t>
        </is>
      </c>
      <c r="D168" s="33" t="inlineStr">
        <is>
          <t>SwimCloud</t>
        </is>
      </c>
      <c r="E168" s="33" t="inlineStr">
        <is>
          <t>2361642</t>
        </is>
      </c>
      <c r="F168" s="33" t="inlineStr">
        <is>
          <t>12264182</t>
        </is>
      </c>
      <c r="G168" s="51" t="n">
        <v>42944</v>
      </c>
      <c r="H168" s="33" t="inlineStr">
        <is>
          <t>17th FINA World Championships</t>
        </is>
      </c>
      <c r="I168" s="33" t="inlineStr">
        <is>
          <t>96880</t>
        </is>
      </c>
      <c r="J168" s="33" t="inlineStr"/>
      <c r="K168" s="33" t="inlineStr">
        <is>
          <t>PRE</t>
        </is>
      </c>
      <c r="L168" s="35">
        <f>IF(K168="FIN",3,IF(OR(K168="SEM",K168="SEMI"),2,IF(OR(K168="PRE",K168="HEAT"),1,IF(V168="YES",4,2))))</f>
        <v/>
      </c>
      <c r="M168" s="33" t="inlineStr">
        <is>
          <t>LCM</t>
        </is>
      </c>
      <c r="N168" s="33" t="n">
        <v>100</v>
      </c>
      <c r="O168" s="33" t="inlineStr">
        <is>
          <t>Fly</t>
        </is>
      </c>
      <c r="P168" s="33" t="inlineStr">
        <is>
          <t>100 Fly</t>
        </is>
      </c>
      <c r="Q168" s="33" t="inlineStr">
        <is>
          <t>LCM_100_FLY</t>
        </is>
      </c>
      <c r="R168" s="36" t="n">
        <v>50.08</v>
      </c>
      <c r="S168" s="35">
        <f>IF(R168="","",IF(R168&gt;=60,INT(R168/60)&amp;":"&amp;TEXT(MOD(R168,60),"00.00"),TEXT(R168,"0.00")))</f>
        <v/>
      </c>
      <c r="T168" s="52">
        <f>IFERROR((G168-INDEX('01_Swimmers'!$E$5:$E$22,MATCH(B168,'01_Swimmers'!$A$5:$A$22,0)))/'00_Control'!$B$10,"")</f>
        <v/>
      </c>
      <c r="U168" s="35">
        <f>IF(T168="","",INT(T168))</f>
        <v/>
      </c>
      <c r="V168" s="33" t="inlineStr">
        <is>
          <t>NO</t>
        </is>
      </c>
      <c r="W168" s="33" t="inlineStr">
        <is>
          <t>YES</t>
        </is>
      </c>
      <c r="X168" s="33" t="inlineStr">
        <is>
          <t>NO</t>
        </is>
      </c>
      <c r="Y168" s="33" t="n">
        <v>6</v>
      </c>
      <c r="Z168" s="33" t="n">
        <v>4</v>
      </c>
      <c r="AA168" s="33" t="inlineStr">
        <is>
          <t>1</t>
        </is>
      </c>
      <c r="AB168" s="33" t="inlineStr">
        <is>
          <t>https://www.swimcloud.com/results/96880/event/30/?id=12264182#time12264182</t>
        </is>
      </c>
      <c r="AC168" s="33" t="inlineStr">
        <is>
          <t>SwimCloud API v6 2026-10-08</t>
        </is>
      </c>
      <c r="AD168" s="33" t="inlineStr">
        <is>
          <t>Caeleb Dressel|2017-07-28|LCM|100|Fly|50.08|17th FINA World Championships|PRE|False</t>
        </is>
      </c>
      <c r="AE168" s="53">
        <f>G168+L168/1000+ROW()/1000000000</f>
        <v/>
      </c>
      <c r="AF168" s="35">
        <f>IF(C168&lt;&gt;"Grayson Coulter","",COUNTIFS($C$5:$C$2991,"Grayson Coulter",$Q$5:$Q$2991,Q168,$AE$5:$AE$2991,"&lt;="&amp;AE168,$R$5:$R$2991,"&lt;"&amp;R168))</f>
        <v/>
      </c>
      <c r="AG168" s="35">
        <f>IF(OR(C168&lt;&gt;"Grayson Coulter",G168&lt;'00_Control'!$B$7),"",--(AF168&lt;5))</f>
        <v/>
      </c>
      <c r="AH168" s="35">
        <f>IF(OR(C168&lt;&gt;"Grayson Coulter",G168&lt;'00_Control'!$B$7),"",--(AF168&lt;10))</f>
        <v/>
      </c>
      <c r="AI168" s="35">
        <f>IF(AND(C168="Grayson Coulter",G168&gt;='00_Control'!$B$7),"YES","NO")</f>
        <v/>
      </c>
      <c r="AJ168" s="33" t="inlineStr">
        <is>
          <t>OK</t>
        </is>
      </c>
    </row>
    <row r="169">
      <c r="A169" s="33" t="inlineStr">
        <is>
          <t>SM000165</t>
        </is>
      </c>
      <c r="B169" s="33" t="inlineStr">
        <is>
          <t>SW010</t>
        </is>
      </c>
      <c r="C169" s="33" t="inlineStr">
        <is>
          <t>Caeleb Dressel</t>
        </is>
      </c>
      <c r="D169" s="33" t="inlineStr">
        <is>
          <t>SwimCloud</t>
        </is>
      </c>
      <c r="E169" s="33" t="inlineStr">
        <is>
          <t>2361642</t>
        </is>
      </c>
      <c r="F169" s="33" t="inlineStr">
        <is>
          <t>12264206</t>
        </is>
      </c>
      <c r="G169" s="51" t="n">
        <v>42944</v>
      </c>
      <c r="H169" s="33" t="inlineStr">
        <is>
          <t>17th FINA World Championships</t>
        </is>
      </c>
      <c r="I169" s="33" t="inlineStr">
        <is>
          <t>96880</t>
        </is>
      </c>
      <c r="J169" s="33" t="inlineStr"/>
      <c r="K169" s="33" t="inlineStr">
        <is>
          <t>SEM</t>
        </is>
      </c>
      <c r="L169" s="35">
        <f>IF(K169="FIN",3,IF(OR(K169="SEM",K169="SEMI"),2,IF(OR(K169="PRE",K169="HEAT"),1,IF(V169="YES",4,2))))</f>
        <v/>
      </c>
      <c r="M169" s="33" t="inlineStr">
        <is>
          <t>LCM</t>
        </is>
      </c>
      <c r="N169" s="33" t="n">
        <v>100</v>
      </c>
      <c r="O169" s="33" t="inlineStr">
        <is>
          <t>Fly</t>
        </is>
      </c>
      <c r="P169" s="33" t="inlineStr">
        <is>
          <t>100 Fly</t>
        </is>
      </c>
      <c r="Q169" s="33" t="inlineStr">
        <is>
          <t>LCM_100_FLY</t>
        </is>
      </c>
      <c r="R169" s="36" t="n">
        <v>50.07</v>
      </c>
      <c r="S169" s="35">
        <f>IF(R169="","",IF(R169&gt;=60,INT(R169/60)&amp;":"&amp;TEXT(MOD(R169,60),"00.00"),TEXT(R169,"0.00")))</f>
        <v/>
      </c>
      <c r="T169" s="52">
        <f>IFERROR((G169-INDEX('01_Swimmers'!$E$5:$E$22,MATCH(B169,'01_Swimmers'!$A$5:$A$22,0)))/'00_Control'!$B$10,"")</f>
        <v/>
      </c>
      <c r="U169" s="35">
        <f>IF(T169="","",INT(T169))</f>
        <v/>
      </c>
      <c r="V169" s="33" t="inlineStr">
        <is>
          <t>NO</t>
        </is>
      </c>
      <c r="W169" s="33" t="inlineStr">
        <is>
          <t>YES</t>
        </is>
      </c>
      <c r="X169" s="33" t="inlineStr">
        <is>
          <t>NO</t>
        </is>
      </c>
      <c r="Y169" s="33" t="n">
        <v>21</v>
      </c>
      <c r="Z169" s="33" t="n">
        <v>4</v>
      </c>
      <c r="AA169" s="33" t="inlineStr"/>
      <c r="AB169" s="33" t="inlineStr">
        <is>
          <t>https://www.swimcloud.com/results/96880/event/30/?id=12264206#time12264206</t>
        </is>
      </c>
      <c r="AC169" s="33" t="inlineStr">
        <is>
          <t>SwimCloud API v6 2026-10-08</t>
        </is>
      </c>
      <c r="AD169" s="33" t="inlineStr">
        <is>
          <t>Caeleb Dressel|2017-07-28|LCM|100|Fly|50.07|17th FINA World Championships|SEM|False</t>
        </is>
      </c>
      <c r="AE169" s="53">
        <f>G169+L169/1000+ROW()/1000000000</f>
        <v/>
      </c>
      <c r="AF169" s="35">
        <f>IF(C169&lt;&gt;"Grayson Coulter","",COUNTIFS($C$5:$C$2991,"Grayson Coulter",$Q$5:$Q$2991,Q169,$AE$5:$AE$2991,"&lt;="&amp;AE169,$R$5:$R$2991,"&lt;"&amp;R169))</f>
        <v/>
      </c>
      <c r="AG169" s="35">
        <f>IF(OR(C169&lt;&gt;"Grayson Coulter",G169&lt;'00_Control'!$B$7),"",--(AF169&lt;5))</f>
        <v/>
      </c>
      <c r="AH169" s="35">
        <f>IF(OR(C169&lt;&gt;"Grayson Coulter",G169&lt;'00_Control'!$B$7),"",--(AF169&lt;10))</f>
        <v/>
      </c>
      <c r="AI169" s="35">
        <f>IF(AND(C169="Grayson Coulter",G169&gt;='00_Control'!$B$7),"YES","NO")</f>
        <v/>
      </c>
      <c r="AJ169" s="33" t="inlineStr">
        <is>
          <t>OK</t>
        </is>
      </c>
    </row>
    <row r="170">
      <c r="A170" s="33" t="inlineStr">
        <is>
          <t>SM000166</t>
        </is>
      </c>
      <c r="B170" s="33" t="inlineStr">
        <is>
          <t>SW010</t>
        </is>
      </c>
      <c r="C170" s="33" t="inlineStr">
        <is>
          <t>Caeleb Dressel</t>
        </is>
      </c>
      <c r="D170" s="33" t="inlineStr">
        <is>
          <t>SwimCloud</t>
        </is>
      </c>
      <c r="E170" s="33" t="inlineStr">
        <is>
          <t>2361642</t>
        </is>
      </c>
      <c r="F170" s="33" t="inlineStr">
        <is>
          <t>12264190</t>
        </is>
      </c>
      <c r="G170" s="51" t="n">
        <v>42945</v>
      </c>
      <c r="H170" s="33" t="inlineStr">
        <is>
          <t>17th FINA World Championships</t>
        </is>
      </c>
      <c r="I170" s="33" t="inlineStr">
        <is>
          <t>96880</t>
        </is>
      </c>
      <c r="J170" s="33" t="inlineStr"/>
      <c r="K170" s="33" t="inlineStr">
        <is>
          <t>FIN</t>
        </is>
      </c>
      <c r="L170" s="35">
        <f>IF(K170="FIN",3,IF(OR(K170="SEM",K170="SEMI"),2,IF(OR(K170="PRE",K170="HEAT"),1,IF(V170="YES",4,2))))</f>
        <v/>
      </c>
      <c r="M170" s="33" t="inlineStr">
        <is>
          <t>LCM</t>
        </is>
      </c>
      <c r="N170" s="33" t="n">
        <v>100</v>
      </c>
      <c r="O170" s="33" t="inlineStr">
        <is>
          <t>Fly</t>
        </is>
      </c>
      <c r="P170" s="33" t="inlineStr">
        <is>
          <t>100 Fly</t>
        </is>
      </c>
      <c r="Q170" s="33" t="inlineStr">
        <is>
          <t>LCM_100_FLY</t>
        </is>
      </c>
      <c r="R170" s="36" t="n">
        <v>49.86</v>
      </c>
      <c r="S170" s="35">
        <f>IF(R170="","",IF(R170&gt;=60,INT(R170/60)&amp;":"&amp;TEXT(MOD(R170,60),"00.00"),TEXT(R170,"0.00")))</f>
        <v/>
      </c>
      <c r="T170" s="52">
        <f>IFERROR((G170-INDEX('01_Swimmers'!$E$5:$E$22,MATCH(B170,'01_Swimmers'!$A$5:$A$22,0)))/'00_Control'!$B$10,"")</f>
        <v/>
      </c>
      <c r="U170" s="35">
        <f>IF(T170="","",INT(T170))</f>
        <v/>
      </c>
      <c r="V170" s="33" t="inlineStr">
        <is>
          <t>NO</t>
        </is>
      </c>
      <c r="W170" s="33" t="inlineStr">
        <is>
          <t>YES</t>
        </is>
      </c>
      <c r="X170" s="33" t="inlineStr">
        <is>
          <t>NO</t>
        </is>
      </c>
      <c r="Y170" s="33" t="n">
        <v>31</v>
      </c>
      <c r="Z170" s="33" t="n">
        <v>4</v>
      </c>
      <c r="AA170" s="33" t="inlineStr">
        <is>
          <t>1</t>
        </is>
      </c>
      <c r="AB170" s="33" t="inlineStr">
        <is>
          <t>https://www.swimcloud.com/results/96880/event/30/?id=12264190#time12264190</t>
        </is>
      </c>
      <c r="AC170" s="33" t="inlineStr">
        <is>
          <t>SwimCloud API v6 2026-10-08</t>
        </is>
      </c>
      <c r="AD170" s="33" t="inlineStr">
        <is>
          <t>Caeleb Dressel|2017-07-29|LCM|100|Fly|49.86|17th FINA World Championships|FIN|False</t>
        </is>
      </c>
      <c r="AE170" s="53">
        <f>G170+L170/1000+ROW()/1000000000</f>
        <v/>
      </c>
      <c r="AF170" s="35">
        <f>IF(C170&lt;&gt;"Grayson Coulter","",COUNTIFS($C$5:$C$2991,"Grayson Coulter",$Q$5:$Q$2991,Q170,$AE$5:$AE$2991,"&lt;="&amp;AE170,$R$5:$R$2991,"&lt;"&amp;R170))</f>
        <v/>
      </c>
      <c r="AG170" s="35">
        <f>IF(OR(C170&lt;&gt;"Grayson Coulter",G170&lt;'00_Control'!$B$7),"",--(AF170&lt;5))</f>
        <v/>
      </c>
      <c r="AH170" s="35">
        <f>IF(OR(C170&lt;&gt;"Grayson Coulter",G170&lt;'00_Control'!$B$7),"",--(AF170&lt;10))</f>
        <v/>
      </c>
      <c r="AI170" s="35">
        <f>IF(AND(C170="Grayson Coulter",G170&gt;='00_Control'!$B$7),"YES","NO")</f>
        <v/>
      </c>
      <c r="AJ170" s="33" t="inlineStr">
        <is>
          <t>OK</t>
        </is>
      </c>
    </row>
    <row r="171">
      <c r="A171" s="33" t="inlineStr">
        <is>
          <t>SM000167</t>
        </is>
      </c>
      <c r="B171" s="33" t="inlineStr">
        <is>
          <t>SW010</t>
        </is>
      </c>
      <c r="C171" s="33" t="inlineStr">
        <is>
          <t>Caeleb Dressel</t>
        </is>
      </c>
      <c r="D171" s="33" t="inlineStr">
        <is>
          <t>SwimCloud</t>
        </is>
      </c>
      <c r="E171" s="33" t="inlineStr">
        <is>
          <t>2361642</t>
        </is>
      </c>
      <c r="F171" s="33" t="inlineStr">
        <is>
          <t>12265283</t>
        </is>
      </c>
      <c r="G171" s="51" t="n">
        <v>42945</v>
      </c>
      <c r="H171" s="33" t="inlineStr">
        <is>
          <t>17th FINA World Championships</t>
        </is>
      </c>
      <c r="I171" s="33" t="inlineStr">
        <is>
          <t>96880</t>
        </is>
      </c>
      <c r="J171" s="33" t="inlineStr"/>
      <c r="K171" s="33" t="inlineStr">
        <is>
          <t>FIN</t>
        </is>
      </c>
      <c r="L171" s="35">
        <f>IF(K171="FIN",3,IF(OR(K171="SEM",K171="SEMI"),2,IF(OR(K171="PRE",K171="HEAT"),1,IF(V171="YES",4,2))))</f>
        <v/>
      </c>
      <c r="M171" s="33" t="inlineStr">
        <is>
          <t>LCM</t>
        </is>
      </c>
      <c r="N171" s="33" t="n">
        <v>100</v>
      </c>
      <c r="O171" s="33" t="inlineStr">
        <is>
          <t>Free</t>
        </is>
      </c>
      <c r="P171" s="33" t="inlineStr">
        <is>
          <t>100 Free</t>
        </is>
      </c>
      <c r="Q171" s="33" t="inlineStr">
        <is>
          <t>LCM_100_FREE</t>
        </is>
      </c>
      <c r="R171" s="36" t="n">
        <v>47.22</v>
      </c>
      <c r="S171" s="35">
        <f>IF(R171="","",IF(R171&gt;=60,INT(R171/60)&amp;":"&amp;TEXT(MOD(R171,60),"00.00"),TEXT(R171,"0.00")))</f>
        <v/>
      </c>
      <c r="T171" s="52">
        <f>IFERROR((G171-INDEX('01_Swimmers'!$E$5:$E$22,MATCH(B171,'01_Swimmers'!$A$5:$A$22,0)))/'00_Control'!$B$10,"")</f>
        <v/>
      </c>
      <c r="U171" s="35">
        <f>IF(T171="","",INT(T171))</f>
        <v/>
      </c>
      <c r="V171" s="33" t="inlineStr">
        <is>
          <t>YES</t>
        </is>
      </c>
      <c r="W171" s="33" t="inlineStr">
        <is>
          <t>YES</t>
        </is>
      </c>
      <c r="X171" s="33" t="inlineStr">
        <is>
          <t>NO</t>
        </is>
      </c>
      <c r="Y171" s="33" t="n">
        <v>31</v>
      </c>
      <c r="Z171" s="33" t="n">
        <v>5</v>
      </c>
      <c r="AA171" s="33" t="inlineStr"/>
      <c r="AB171" s="33" t="inlineStr">
        <is>
          <t>https://www.swimcloud.com/results/96880/event/37/?id=12265073#time12265073</t>
        </is>
      </c>
      <c r="AC171" s="33" t="inlineStr">
        <is>
          <t>SwimCloud API v6 2026-10-08</t>
        </is>
      </c>
      <c r="AD171" s="33" t="inlineStr">
        <is>
          <t>Caeleb Dressel|2017-07-29|LCM|100|Free|47.22|17th FINA World Championships|FIN|True</t>
        </is>
      </c>
      <c r="AE171" s="53">
        <f>G171+L171/1000+ROW()/1000000000</f>
        <v/>
      </c>
      <c r="AF171" s="35">
        <f>IF(C171&lt;&gt;"Grayson Coulter","",COUNTIFS($C$5:$C$2991,"Grayson Coulter",$Q$5:$Q$2991,Q171,$AE$5:$AE$2991,"&lt;="&amp;AE171,$R$5:$R$2991,"&lt;"&amp;R171))</f>
        <v/>
      </c>
      <c r="AG171" s="35">
        <f>IF(OR(C171&lt;&gt;"Grayson Coulter",G171&lt;'00_Control'!$B$7),"",--(AF171&lt;5))</f>
        <v/>
      </c>
      <c r="AH171" s="35">
        <f>IF(OR(C171&lt;&gt;"Grayson Coulter",G171&lt;'00_Control'!$B$7),"",--(AF171&lt;10))</f>
        <v/>
      </c>
      <c r="AI171" s="35">
        <f>IF(AND(C171="Grayson Coulter",G171&gt;='00_Control'!$B$7),"YES","NO")</f>
        <v/>
      </c>
      <c r="AJ171" s="33" t="inlineStr">
        <is>
          <t>OK</t>
        </is>
      </c>
    </row>
    <row r="172">
      <c r="A172" s="33" t="inlineStr">
        <is>
          <t>SM000168</t>
        </is>
      </c>
      <c r="B172" s="33" t="inlineStr">
        <is>
          <t>SW010</t>
        </is>
      </c>
      <c r="C172" s="33" t="inlineStr">
        <is>
          <t>Caeleb Dressel</t>
        </is>
      </c>
      <c r="D172" s="33" t="inlineStr">
        <is>
          <t>SwimCloud</t>
        </is>
      </c>
      <c r="E172" s="33" t="inlineStr">
        <is>
          <t>2361642</t>
        </is>
      </c>
      <c r="F172" s="33" t="inlineStr">
        <is>
          <t>19389722</t>
        </is>
      </c>
      <c r="G172" s="51" t="n">
        <v>43238</v>
      </c>
      <c r="H172" s="33" t="inlineStr">
        <is>
          <t>GA SCAT Atlanta Classic Swim Meet</t>
        </is>
      </c>
      <c r="I172" s="33" t="inlineStr">
        <is>
          <t>119471</t>
        </is>
      </c>
      <c r="J172" s="33" t="inlineStr"/>
      <c r="K172" s="33" t="inlineStr">
        <is>
          <t>PRE</t>
        </is>
      </c>
      <c r="L172" s="35">
        <f>IF(K172="FIN",3,IF(OR(K172="SEM",K172="SEMI"),2,IF(OR(K172="PRE",K172="HEAT"),1,IF(V172="YES",4,2))))</f>
        <v/>
      </c>
      <c r="M172" s="33" t="inlineStr">
        <is>
          <t>LCM</t>
        </is>
      </c>
      <c r="N172" s="33" t="n">
        <v>200</v>
      </c>
      <c r="O172" s="33" t="inlineStr">
        <is>
          <t>Free</t>
        </is>
      </c>
      <c r="P172" s="33" t="inlineStr">
        <is>
          <t>200 Free</t>
        </is>
      </c>
      <c r="Q172" s="33" t="inlineStr">
        <is>
          <t>LCM_200_FREE</t>
        </is>
      </c>
      <c r="R172" s="36" t="n">
        <v>115.04</v>
      </c>
      <c r="S172" s="35">
        <f>IF(R172="","",IF(R172&gt;=60,INT(R172/60)&amp;":"&amp;TEXT(MOD(R172,60),"00.00"),TEXT(R172,"0.00")))</f>
        <v/>
      </c>
      <c r="T172" s="52">
        <f>IFERROR((G172-INDEX('01_Swimmers'!$E$5:$E$22,MATCH(B172,'01_Swimmers'!$A$5:$A$22,0)))/'00_Control'!$B$10,"")</f>
        <v/>
      </c>
      <c r="U172" s="35">
        <f>IF(T172="","",INT(T172))</f>
        <v/>
      </c>
      <c r="V172" s="33" t="inlineStr">
        <is>
          <t>NO</t>
        </is>
      </c>
      <c r="W172" s="33" t="inlineStr">
        <is>
          <t>YES</t>
        </is>
      </c>
      <c r="X172" s="33" t="inlineStr">
        <is>
          <t>NO</t>
        </is>
      </c>
      <c r="Y172" s="33" t="n">
        <v>6</v>
      </c>
      <c r="Z172" s="33" t="n">
        <v>6</v>
      </c>
      <c r="AA172" s="33" t="inlineStr">
        <is>
          <t>16</t>
        </is>
      </c>
      <c r="AB172" s="33" t="inlineStr">
        <is>
          <t>https://www.swimcloud.com/results/119471/event/2/?id=19389722#time19389722</t>
        </is>
      </c>
      <c r="AC172" s="33" t="inlineStr">
        <is>
          <t>SwimCloud API v6 2026-10-08</t>
        </is>
      </c>
      <c r="AD172" s="33" t="inlineStr">
        <is>
          <t>Caeleb Dressel|2018-05-18|LCM|200|Free|115.04|GA SCAT Atlanta Classic Swim Meet|PRE|False</t>
        </is>
      </c>
      <c r="AE172" s="53">
        <f>G172+L172/1000+ROW()/1000000000</f>
        <v/>
      </c>
      <c r="AF172" s="35">
        <f>IF(C172&lt;&gt;"Grayson Coulter","",COUNTIFS($C$5:$C$2991,"Grayson Coulter",$Q$5:$Q$2991,Q172,$AE$5:$AE$2991,"&lt;="&amp;AE172,$R$5:$R$2991,"&lt;"&amp;R172))</f>
        <v/>
      </c>
      <c r="AG172" s="35">
        <f>IF(OR(C172&lt;&gt;"Grayson Coulter",G172&lt;'00_Control'!$B$7),"",--(AF172&lt;5))</f>
        <v/>
      </c>
      <c r="AH172" s="35">
        <f>IF(OR(C172&lt;&gt;"Grayson Coulter",G172&lt;'00_Control'!$B$7),"",--(AF172&lt;10))</f>
        <v/>
      </c>
      <c r="AI172" s="35">
        <f>IF(AND(C172="Grayson Coulter",G172&gt;='00_Control'!$B$7),"YES","NO")</f>
        <v/>
      </c>
      <c r="AJ172" s="33" t="inlineStr">
        <is>
          <t>OK</t>
        </is>
      </c>
    </row>
    <row r="173">
      <c r="A173" s="33" t="inlineStr">
        <is>
          <t>SM000169</t>
        </is>
      </c>
      <c r="B173" s="33" t="inlineStr">
        <is>
          <t>SW010</t>
        </is>
      </c>
      <c r="C173" s="33" t="inlineStr">
        <is>
          <t>Caeleb Dressel</t>
        </is>
      </c>
      <c r="D173" s="33" t="inlineStr">
        <is>
          <t>SwimCloud</t>
        </is>
      </c>
      <c r="E173" s="33" t="inlineStr">
        <is>
          <t>2361642</t>
        </is>
      </c>
      <c r="F173" s="33" t="inlineStr">
        <is>
          <t>19389723</t>
        </is>
      </c>
      <c r="G173" s="51" t="n">
        <v>43238</v>
      </c>
      <c r="H173" s="33" t="inlineStr">
        <is>
          <t>GA SCAT Atlanta Classic Swim Meet</t>
        </is>
      </c>
      <c r="I173" s="33" t="inlineStr">
        <is>
          <t>119471</t>
        </is>
      </c>
      <c r="J173" s="33" t="inlineStr"/>
      <c r="K173" s="33" t="inlineStr">
        <is>
          <t>FIN</t>
        </is>
      </c>
      <c r="L173" s="35">
        <f>IF(K173="FIN",3,IF(OR(K173="SEM",K173="SEMI"),2,IF(OR(K173="PRE",K173="HEAT"),1,IF(V173="YES",4,2))))</f>
        <v/>
      </c>
      <c r="M173" s="33" t="inlineStr">
        <is>
          <t>LCM</t>
        </is>
      </c>
      <c r="N173" s="33" t="n">
        <v>200</v>
      </c>
      <c r="O173" s="33" t="inlineStr">
        <is>
          <t>Free</t>
        </is>
      </c>
      <c r="P173" s="33" t="inlineStr">
        <is>
          <t>200 Free</t>
        </is>
      </c>
      <c r="Q173" s="33" t="inlineStr">
        <is>
          <t>LCM_200_FREE</t>
        </is>
      </c>
      <c r="R173" s="36" t="n">
        <v>111.96</v>
      </c>
      <c r="S173" s="35">
        <f>IF(R173="","",IF(R173&gt;=60,INT(R173/60)&amp;":"&amp;TEXT(MOD(R173,60),"00.00"),TEXT(R173,"0.00")))</f>
        <v/>
      </c>
      <c r="T173" s="52">
        <f>IFERROR((G173-INDEX('01_Swimmers'!$E$5:$E$22,MATCH(B173,'01_Swimmers'!$A$5:$A$22,0)))/'00_Control'!$B$10,"")</f>
        <v/>
      </c>
      <c r="U173" s="35">
        <f>IF(T173="","",INT(T173))</f>
        <v/>
      </c>
      <c r="V173" s="33" t="inlineStr">
        <is>
          <t>NO</t>
        </is>
      </c>
      <c r="W173" s="33" t="inlineStr">
        <is>
          <t>YES</t>
        </is>
      </c>
      <c r="X173" s="33" t="inlineStr">
        <is>
          <t>NO</t>
        </is>
      </c>
      <c r="Y173" s="33" t="n">
        <v>3</v>
      </c>
      <c r="Z173" s="33" t="n">
        <v>8</v>
      </c>
      <c r="AA173" s="33" t="inlineStr">
        <is>
          <t>11</t>
        </is>
      </c>
      <c r="AB173" s="33" t="inlineStr">
        <is>
          <t>https://www.swimcloud.com/results/119471/event/2/?id=19389723#time19389723</t>
        </is>
      </c>
      <c r="AC173" s="33" t="inlineStr">
        <is>
          <t>SwimCloud API v6 2026-10-08</t>
        </is>
      </c>
      <c r="AD173" s="33" t="inlineStr">
        <is>
          <t>Caeleb Dressel|2018-05-18|LCM|200|Free|111.96|GA SCAT Atlanta Classic Swim Meet|FIN|False</t>
        </is>
      </c>
      <c r="AE173" s="53">
        <f>G173+L173/1000+ROW()/1000000000</f>
        <v/>
      </c>
      <c r="AF173" s="35">
        <f>IF(C173&lt;&gt;"Grayson Coulter","",COUNTIFS($C$5:$C$2991,"Grayson Coulter",$Q$5:$Q$2991,Q173,$AE$5:$AE$2991,"&lt;="&amp;AE173,$R$5:$R$2991,"&lt;"&amp;R173))</f>
        <v/>
      </c>
      <c r="AG173" s="35">
        <f>IF(OR(C173&lt;&gt;"Grayson Coulter",G173&lt;'00_Control'!$B$7),"",--(AF173&lt;5))</f>
        <v/>
      </c>
      <c r="AH173" s="35">
        <f>IF(OR(C173&lt;&gt;"Grayson Coulter",G173&lt;'00_Control'!$B$7),"",--(AF173&lt;10))</f>
        <v/>
      </c>
      <c r="AI173" s="35">
        <f>IF(AND(C173="Grayson Coulter",G173&gt;='00_Control'!$B$7),"YES","NO")</f>
        <v/>
      </c>
      <c r="AJ173" s="33" t="inlineStr">
        <is>
          <t>OK</t>
        </is>
      </c>
    </row>
    <row r="174">
      <c r="A174" s="33" t="inlineStr">
        <is>
          <t>SM000170</t>
        </is>
      </c>
      <c r="B174" s="33" t="inlineStr">
        <is>
          <t>SW010</t>
        </is>
      </c>
      <c r="C174" s="33" t="inlineStr">
        <is>
          <t>Caeleb Dressel</t>
        </is>
      </c>
      <c r="D174" s="33" t="inlineStr">
        <is>
          <t>SwimCloud</t>
        </is>
      </c>
      <c r="E174" s="33" t="inlineStr">
        <is>
          <t>2361642</t>
        </is>
      </c>
      <c r="F174" s="33" t="inlineStr">
        <is>
          <t>19390007</t>
        </is>
      </c>
      <c r="G174" s="51" t="n">
        <v>43240</v>
      </c>
      <c r="H174" s="33" t="inlineStr">
        <is>
          <t>GA SCAT Atlanta Classic Swim Meet</t>
        </is>
      </c>
      <c r="I174" s="33" t="inlineStr">
        <is>
          <t>119471</t>
        </is>
      </c>
      <c r="J174" s="33" t="inlineStr"/>
      <c r="K174" s="33" t="inlineStr">
        <is>
          <t>PRE</t>
        </is>
      </c>
      <c r="L174" s="35">
        <f>IF(K174="FIN",3,IF(OR(K174="SEM",K174="SEMI"),2,IF(OR(K174="PRE",K174="HEAT"),1,IF(V174="YES",4,2))))</f>
        <v/>
      </c>
      <c r="M174" s="33" t="inlineStr">
        <is>
          <t>LCM</t>
        </is>
      </c>
      <c r="N174" s="33" t="n">
        <v>100</v>
      </c>
      <c r="O174" s="33" t="inlineStr">
        <is>
          <t>Free</t>
        </is>
      </c>
      <c r="P174" s="33" t="inlineStr">
        <is>
          <t>100 Free</t>
        </is>
      </c>
      <c r="Q174" s="33" t="inlineStr">
        <is>
          <t>LCM_100_FREE</t>
        </is>
      </c>
      <c r="R174" s="36" t="n">
        <v>51.32</v>
      </c>
      <c r="S174" s="35">
        <f>IF(R174="","",IF(R174&gt;=60,INT(R174/60)&amp;":"&amp;TEXT(MOD(R174,60),"00.00"),TEXT(R174,"0.00")))</f>
        <v/>
      </c>
      <c r="T174" s="52">
        <f>IFERROR((G174-INDEX('01_Swimmers'!$E$5:$E$22,MATCH(B174,'01_Swimmers'!$A$5:$A$22,0)))/'00_Control'!$B$10,"")</f>
        <v/>
      </c>
      <c r="U174" s="35">
        <f>IF(T174="","",INT(T174))</f>
        <v/>
      </c>
      <c r="V174" s="33" t="inlineStr">
        <is>
          <t>NO</t>
        </is>
      </c>
      <c r="W174" s="33" t="inlineStr">
        <is>
          <t>YES</t>
        </is>
      </c>
      <c r="X174" s="33" t="inlineStr">
        <is>
          <t>NO</t>
        </is>
      </c>
      <c r="Y174" s="33" t="n">
        <v>7</v>
      </c>
      <c r="Z174" s="33" t="n">
        <v>4</v>
      </c>
      <c r="AA174" s="33" t="inlineStr">
        <is>
          <t>7</t>
        </is>
      </c>
      <c r="AB174" s="33" t="inlineStr">
        <is>
          <t>https://www.swimcloud.com/results/119471/event/24/?id=19390007#time19390007</t>
        </is>
      </c>
      <c r="AC174" s="33" t="inlineStr">
        <is>
          <t>SwimCloud API v6 2026-10-08</t>
        </is>
      </c>
      <c r="AD174" s="33" t="inlineStr">
        <is>
          <t>Caeleb Dressel|2018-05-20|LCM|100|Free|51.32|GA SCAT Atlanta Classic Swim Meet|PRE|False</t>
        </is>
      </c>
      <c r="AE174" s="53">
        <f>G174+L174/1000+ROW()/1000000000</f>
        <v/>
      </c>
      <c r="AF174" s="35">
        <f>IF(C174&lt;&gt;"Grayson Coulter","",COUNTIFS($C$5:$C$2991,"Grayson Coulter",$Q$5:$Q$2991,Q174,$AE$5:$AE$2991,"&lt;="&amp;AE174,$R$5:$R$2991,"&lt;"&amp;R174))</f>
        <v/>
      </c>
      <c r="AG174" s="35">
        <f>IF(OR(C174&lt;&gt;"Grayson Coulter",G174&lt;'00_Control'!$B$7),"",--(AF174&lt;5))</f>
        <v/>
      </c>
      <c r="AH174" s="35">
        <f>IF(OR(C174&lt;&gt;"Grayson Coulter",G174&lt;'00_Control'!$B$7),"",--(AF174&lt;10))</f>
        <v/>
      </c>
      <c r="AI174" s="35">
        <f>IF(AND(C174="Grayson Coulter",G174&gt;='00_Control'!$B$7),"YES","NO")</f>
        <v/>
      </c>
      <c r="AJ174" s="33" t="inlineStr">
        <is>
          <t>OK</t>
        </is>
      </c>
    </row>
    <row r="175">
      <c r="A175" s="33" t="inlineStr">
        <is>
          <t>SM000171</t>
        </is>
      </c>
      <c r="B175" s="33" t="inlineStr">
        <is>
          <t>SW010</t>
        </is>
      </c>
      <c r="C175" s="33" t="inlineStr">
        <is>
          <t>Caeleb Dressel</t>
        </is>
      </c>
      <c r="D175" s="33" t="inlineStr">
        <is>
          <t>SwimCloud</t>
        </is>
      </c>
      <c r="E175" s="33" t="inlineStr">
        <is>
          <t>2361642</t>
        </is>
      </c>
      <c r="F175" s="33" t="inlineStr">
        <is>
          <t>19390008</t>
        </is>
      </c>
      <c r="G175" s="51" t="n">
        <v>43240</v>
      </c>
      <c r="H175" s="33" t="inlineStr">
        <is>
          <t>GA SCAT Atlanta Classic Swim Meet</t>
        </is>
      </c>
      <c r="I175" s="33" t="inlineStr">
        <is>
          <t>119471</t>
        </is>
      </c>
      <c r="J175" s="33" t="inlineStr"/>
      <c r="K175" s="33" t="inlineStr">
        <is>
          <t>FIN</t>
        </is>
      </c>
      <c r="L175" s="35">
        <f>IF(K175="FIN",3,IF(OR(K175="SEM",K175="SEMI"),2,IF(OR(K175="PRE",K175="HEAT"),1,IF(V175="YES",4,2))))</f>
        <v/>
      </c>
      <c r="M175" s="33" t="inlineStr">
        <is>
          <t>LCM</t>
        </is>
      </c>
      <c r="N175" s="33" t="n">
        <v>100</v>
      </c>
      <c r="O175" s="33" t="inlineStr">
        <is>
          <t>Free</t>
        </is>
      </c>
      <c r="P175" s="33" t="inlineStr">
        <is>
          <t>100 Free</t>
        </is>
      </c>
      <c r="Q175" s="33" t="inlineStr">
        <is>
          <t>LCM_100_FREE</t>
        </is>
      </c>
      <c r="R175" s="36" t="n">
        <v>49.65</v>
      </c>
      <c r="S175" s="35">
        <f>IF(R175="","",IF(R175&gt;=60,INT(R175/60)&amp;":"&amp;TEXT(MOD(R175,60),"00.00"),TEXT(R175,"0.00")))</f>
        <v/>
      </c>
      <c r="T175" s="52">
        <f>IFERROR((G175-INDEX('01_Swimmers'!$E$5:$E$22,MATCH(B175,'01_Swimmers'!$A$5:$A$22,0)))/'00_Control'!$B$10,"")</f>
        <v/>
      </c>
      <c r="U175" s="35">
        <f>IF(T175="","",INT(T175))</f>
        <v/>
      </c>
      <c r="V175" s="33" t="inlineStr">
        <is>
          <t>NO</t>
        </is>
      </c>
      <c r="W175" s="33" t="inlineStr">
        <is>
          <t>YES</t>
        </is>
      </c>
      <c r="X175" s="33" t="inlineStr">
        <is>
          <t>NO</t>
        </is>
      </c>
      <c r="Y175" s="33" t="n">
        <v>4</v>
      </c>
      <c r="Z175" s="33" t="n">
        <v>3</v>
      </c>
      <c r="AA175" s="33" t="inlineStr">
        <is>
          <t>1</t>
        </is>
      </c>
      <c r="AB175" s="33" t="inlineStr">
        <is>
          <t>https://www.swimcloud.com/results/119471/event/24/?id=19390008#time19390008</t>
        </is>
      </c>
      <c r="AC175" s="33" t="inlineStr">
        <is>
          <t>SwimCloud API v6 2026-10-08</t>
        </is>
      </c>
      <c r="AD175" s="33" t="inlineStr">
        <is>
          <t>Caeleb Dressel|2018-05-20|LCM|100|Free|49.65|GA SCAT Atlanta Classic Swim Meet|FIN|False</t>
        </is>
      </c>
      <c r="AE175" s="53">
        <f>G175+L175/1000+ROW()/1000000000</f>
        <v/>
      </c>
      <c r="AF175" s="35">
        <f>IF(C175&lt;&gt;"Grayson Coulter","",COUNTIFS($C$5:$C$2991,"Grayson Coulter",$Q$5:$Q$2991,Q175,$AE$5:$AE$2991,"&lt;="&amp;AE175,$R$5:$R$2991,"&lt;"&amp;R175))</f>
        <v/>
      </c>
      <c r="AG175" s="35">
        <f>IF(OR(C175&lt;&gt;"Grayson Coulter",G175&lt;'00_Control'!$B$7),"",--(AF175&lt;5))</f>
        <v/>
      </c>
      <c r="AH175" s="35">
        <f>IF(OR(C175&lt;&gt;"Grayson Coulter",G175&lt;'00_Control'!$B$7),"",--(AF175&lt;10))</f>
        <v/>
      </c>
      <c r="AI175" s="35">
        <f>IF(AND(C175="Grayson Coulter",G175&gt;='00_Control'!$B$7),"YES","NO")</f>
        <v/>
      </c>
      <c r="AJ175" s="33" t="inlineStr">
        <is>
          <t>OK</t>
        </is>
      </c>
    </row>
    <row r="176">
      <c r="A176" s="33" t="inlineStr">
        <is>
          <t>SM000172</t>
        </is>
      </c>
      <c r="B176" s="33" t="inlineStr">
        <is>
          <t>SW010</t>
        </is>
      </c>
      <c r="C176" s="33" t="inlineStr">
        <is>
          <t>Caeleb Dressel</t>
        </is>
      </c>
      <c r="D176" s="33" t="inlineStr">
        <is>
          <t>SwimCloud</t>
        </is>
      </c>
      <c r="E176" s="33" t="inlineStr">
        <is>
          <t>2361642</t>
        </is>
      </c>
      <c r="F176" s="33" t="inlineStr">
        <is>
          <t>18939900</t>
        </is>
      </c>
      <c r="G176" s="51" t="n">
        <v>43252</v>
      </c>
      <c r="H176" s="33" t="inlineStr">
        <is>
          <t>Mel Zajac Jr. Internation</t>
        </is>
      </c>
      <c r="I176" s="33" t="inlineStr">
        <is>
          <t>118125</t>
        </is>
      </c>
      <c r="J176" s="33" t="inlineStr"/>
      <c r="K176" s="33" t="inlineStr">
        <is>
          <t>PRE</t>
        </is>
      </c>
      <c r="L176" s="35">
        <f>IF(K176="FIN",3,IF(OR(K176="SEM",K176="SEMI"),2,IF(OR(K176="PRE",K176="HEAT"),1,IF(V176="YES",4,2))))</f>
        <v/>
      </c>
      <c r="M176" s="33" t="inlineStr">
        <is>
          <t>LCM</t>
        </is>
      </c>
      <c r="N176" s="33" t="n">
        <v>200</v>
      </c>
      <c r="O176" s="33" t="inlineStr">
        <is>
          <t>Free</t>
        </is>
      </c>
      <c r="P176" s="33" t="inlineStr">
        <is>
          <t>200 Free</t>
        </is>
      </c>
      <c r="Q176" s="33" t="inlineStr">
        <is>
          <t>LCM_200_FREE</t>
        </is>
      </c>
      <c r="R176" s="36" t="n">
        <v>112.41</v>
      </c>
      <c r="S176" s="35">
        <f>IF(R176="","",IF(R176&gt;=60,INT(R176/60)&amp;":"&amp;TEXT(MOD(R176,60),"00.00"),TEXT(R176,"0.00")))</f>
        <v/>
      </c>
      <c r="T176" s="52">
        <f>IFERROR((G176-INDEX('01_Swimmers'!$E$5:$E$22,MATCH(B176,'01_Swimmers'!$A$5:$A$22,0)))/'00_Control'!$B$10,"")</f>
        <v/>
      </c>
      <c r="U176" s="35">
        <f>IF(T176="","",INT(T176))</f>
        <v/>
      </c>
      <c r="V176" s="33" t="inlineStr">
        <is>
          <t>NO</t>
        </is>
      </c>
      <c r="W176" s="33" t="inlineStr">
        <is>
          <t>YES</t>
        </is>
      </c>
      <c r="X176" s="33" t="inlineStr">
        <is>
          <t>NO</t>
        </is>
      </c>
      <c r="Y176" s="33" t="n">
        <v>7</v>
      </c>
      <c r="Z176" s="33" t="n">
        <v>6</v>
      </c>
      <c r="AA176" s="33" t="inlineStr">
        <is>
          <t>3</t>
        </is>
      </c>
      <c r="AB176" s="33" t="inlineStr">
        <is>
          <t>https://www.swimcloud.com/results/118125/event/7/?id=18939900#time18939900</t>
        </is>
      </c>
      <c r="AC176" s="33" t="inlineStr">
        <is>
          <t>SwimCloud API v6 2026-10-08</t>
        </is>
      </c>
      <c r="AD176" s="33" t="inlineStr">
        <is>
          <t>Caeleb Dressel|2018-06-01|LCM|200|Free|112.41|Mel Zajac Jr. Internation|PRE|False</t>
        </is>
      </c>
      <c r="AE176" s="53">
        <f>G176+L176/1000+ROW()/1000000000</f>
        <v/>
      </c>
      <c r="AF176" s="35">
        <f>IF(C176&lt;&gt;"Grayson Coulter","",COUNTIFS($C$5:$C$2991,"Grayson Coulter",$Q$5:$Q$2991,Q176,$AE$5:$AE$2991,"&lt;="&amp;AE176,$R$5:$R$2991,"&lt;"&amp;R176))</f>
        <v/>
      </c>
      <c r="AG176" s="35">
        <f>IF(OR(C176&lt;&gt;"Grayson Coulter",G176&lt;'00_Control'!$B$7),"",--(AF176&lt;5))</f>
        <v/>
      </c>
      <c r="AH176" s="35">
        <f>IF(OR(C176&lt;&gt;"Grayson Coulter",G176&lt;'00_Control'!$B$7),"",--(AF176&lt;10))</f>
        <v/>
      </c>
      <c r="AI176" s="35">
        <f>IF(AND(C176="Grayson Coulter",G176&gt;='00_Control'!$B$7),"YES","NO")</f>
        <v/>
      </c>
      <c r="AJ176" s="33" t="inlineStr">
        <is>
          <t>OK</t>
        </is>
      </c>
    </row>
    <row r="177">
      <c r="A177" s="33" t="inlineStr">
        <is>
          <t>SM000173</t>
        </is>
      </c>
      <c r="B177" s="33" t="inlineStr">
        <is>
          <t>SW010</t>
        </is>
      </c>
      <c r="C177" s="33" t="inlineStr">
        <is>
          <t>Caeleb Dressel</t>
        </is>
      </c>
      <c r="D177" s="33" t="inlineStr">
        <is>
          <t>SwimCloud</t>
        </is>
      </c>
      <c r="E177" s="33" t="inlineStr">
        <is>
          <t>2361642</t>
        </is>
      </c>
      <c r="F177" s="33" t="inlineStr">
        <is>
          <t>18939983</t>
        </is>
      </c>
      <c r="G177" s="51" t="n">
        <v>43252</v>
      </c>
      <c r="H177" s="33" t="inlineStr">
        <is>
          <t>Mel Zajac Jr. Internation</t>
        </is>
      </c>
      <c r="I177" s="33" t="inlineStr">
        <is>
          <t>118125</t>
        </is>
      </c>
      <c r="J177" s="33" t="inlineStr"/>
      <c r="K177" s="33" t="inlineStr">
        <is>
          <t>FIN</t>
        </is>
      </c>
      <c r="L177" s="35">
        <f>IF(K177="FIN",3,IF(OR(K177="SEM",K177="SEMI"),2,IF(OR(K177="PRE",K177="HEAT"),1,IF(V177="YES",4,2))))</f>
        <v/>
      </c>
      <c r="M177" s="33" t="inlineStr">
        <is>
          <t>LCM</t>
        </is>
      </c>
      <c r="N177" s="33" t="n">
        <v>200</v>
      </c>
      <c r="O177" s="33" t="inlineStr">
        <is>
          <t>Free</t>
        </is>
      </c>
      <c r="P177" s="33" t="inlineStr">
        <is>
          <t>200 Free</t>
        </is>
      </c>
      <c r="Q177" s="33" t="inlineStr">
        <is>
          <t>LCM_200_FREE</t>
        </is>
      </c>
      <c r="R177" s="36" t="n">
        <v>108.73</v>
      </c>
      <c r="S177" s="35">
        <f>IF(R177="","",IF(R177&gt;=60,INT(R177/60)&amp;":"&amp;TEXT(MOD(R177,60),"00.00"),TEXT(R177,"0.00")))</f>
        <v/>
      </c>
      <c r="T177" s="52">
        <f>IFERROR((G177-INDEX('01_Swimmers'!$E$5:$E$22,MATCH(B177,'01_Swimmers'!$A$5:$A$22,0)))/'00_Control'!$B$10,"")</f>
        <v/>
      </c>
      <c r="U177" s="35">
        <f>IF(T177="","",INT(T177))</f>
        <v/>
      </c>
      <c r="V177" s="33" t="inlineStr">
        <is>
          <t>NO</t>
        </is>
      </c>
      <c r="W177" s="33" t="inlineStr">
        <is>
          <t>YES</t>
        </is>
      </c>
      <c r="X177" s="33" t="inlineStr">
        <is>
          <t>NO</t>
        </is>
      </c>
      <c r="Y177" s="33" t="n">
        <v>3</v>
      </c>
      <c r="Z177" s="33" t="n">
        <v>3</v>
      </c>
      <c r="AA177" s="33" t="inlineStr">
        <is>
          <t>1</t>
        </is>
      </c>
      <c r="AB177" s="33" t="inlineStr">
        <is>
          <t>https://www.swimcloud.com/results/118125/event/7/?id=18939983#time18939983</t>
        </is>
      </c>
      <c r="AC177" s="33" t="inlineStr">
        <is>
          <t>SwimCloud API v6 2026-10-08</t>
        </is>
      </c>
      <c r="AD177" s="33" t="inlineStr">
        <is>
          <t>Caeleb Dressel|2018-06-01|LCM|200|Free|108.73|Mel Zajac Jr. Internation|FIN|False</t>
        </is>
      </c>
      <c r="AE177" s="53">
        <f>G177+L177/1000+ROW()/1000000000</f>
        <v/>
      </c>
      <c r="AF177" s="35">
        <f>IF(C177&lt;&gt;"Grayson Coulter","",COUNTIFS($C$5:$C$2991,"Grayson Coulter",$Q$5:$Q$2991,Q177,$AE$5:$AE$2991,"&lt;="&amp;AE177,$R$5:$R$2991,"&lt;"&amp;R177))</f>
        <v/>
      </c>
      <c r="AG177" s="35">
        <f>IF(OR(C177&lt;&gt;"Grayson Coulter",G177&lt;'00_Control'!$B$7),"",--(AF177&lt;5))</f>
        <v/>
      </c>
      <c r="AH177" s="35">
        <f>IF(OR(C177&lt;&gt;"Grayson Coulter",G177&lt;'00_Control'!$B$7),"",--(AF177&lt;10))</f>
        <v/>
      </c>
      <c r="AI177" s="35">
        <f>IF(AND(C177="Grayson Coulter",G177&gt;='00_Control'!$B$7),"YES","NO")</f>
        <v/>
      </c>
      <c r="AJ177" s="33" t="inlineStr">
        <is>
          <t>OK</t>
        </is>
      </c>
    </row>
    <row r="178">
      <c r="A178" s="33" t="inlineStr">
        <is>
          <t>SM000174</t>
        </is>
      </c>
      <c r="B178" s="33" t="inlineStr">
        <is>
          <t>SW010</t>
        </is>
      </c>
      <c r="C178" s="33" t="inlineStr">
        <is>
          <t>Caeleb Dressel</t>
        </is>
      </c>
      <c r="D178" s="33" t="inlineStr">
        <is>
          <t>SwimCloud</t>
        </is>
      </c>
      <c r="E178" s="33" t="inlineStr">
        <is>
          <t>2361642</t>
        </is>
      </c>
      <c r="F178" s="33" t="inlineStr">
        <is>
          <t>18940213</t>
        </is>
      </c>
      <c r="G178" s="51" t="n">
        <v>43253</v>
      </c>
      <c r="H178" s="33" t="inlineStr">
        <is>
          <t>Mel Zajac Jr. Internation</t>
        </is>
      </c>
      <c r="I178" s="33" t="inlineStr">
        <is>
          <t>118125</t>
        </is>
      </c>
      <c r="J178" s="33" t="inlineStr"/>
      <c r="K178" s="33" t="inlineStr">
        <is>
          <t>PRE</t>
        </is>
      </c>
      <c r="L178" s="35">
        <f>IF(K178="FIN",3,IF(OR(K178="SEM",K178="SEMI"),2,IF(OR(K178="PRE",K178="HEAT"),1,IF(V178="YES",4,2))))</f>
        <v/>
      </c>
      <c r="M178" s="33" t="inlineStr">
        <is>
          <t>LCM</t>
        </is>
      </c>
      <c r="N178" s="33" t="n">
        <v>100</v>
      </c>
      <c r="O178" s="33" t="inlineStr">
        <is>
          <t>Fly</t>
        </is>
      </c>
      <c r="P178" s="33" t="inlineStr">
        <is>
          <t>100 Fly</t>
        </is>
      </c>
      <c r="Q178" s="33" t="inlineStr">
        <is>
          <t>LCM_100_FLY</t>
        </is>
      </c>
      <c r="R178" s="36" t="n">
        <v>54.28</v>
      </c>
      <c r="S178" s="35">
        <f>IF(R178="","",IF(R178&gt;=60,INT(R178/60)&amp;":"&amp;TEXT(MOD(R178,60),"00.00"),TEXT(R178,"0.00")))</f>
        <v/>
      </c>
      <c r="T178" s="52">
        <f>IFERROR((G178-INDEX('01_Swimmers'!$E$5:$E$22,MATCH(B178,'01_Swimmers'!$A$5:$A$22,0)))/'00_Control'!$B$10,"")</f>
        <v/>
      </c>
      <c r="U178" s="35">
        <f>IF(T178="","",INT(T178))</f>
        <v/>
      </c>
      <c r="V178" s="33" t="inlineStr">
        <is>
          <t>NO</t>
        </is>
      </c>
      <c r="W178" s="33" t="inlineStr">
        <is>
          <t>YES</t>
        </is>
      </c>
      <c r="X178" s="33" t="inlineStr">
        <is>
          <t>NO</t>
        </is>
      </c>
      <c r="Y178" s="33" t="n">
        <v>7</v>
      </c>
      <c r="Z178" s="33" t="n">
        <v>5</v>
      </c>
      <c r="AA178" s="33" t="inlineStr">
        <is>
          <t>2</t>
        </is>
      </c>
      <c r="AB178" s="33" t="inlineStr">
        <is>
          <t>https://www.swimcloud.com/results/118125/event/16/?id=18940213#time18940213</t>
        </is>
      </c>
      <c r="AC178" s="33" t="inlineStr">
        <is>
          <t>SwimCloud API v6 2026-10-08</t>
        </is>
      </c>
      <c r="AD178" s="33" t="inlineStr">
        <is>
          <t>Caeleb Dressel|2018-06-02|LCM|100|Fly|54.28|Mel Zajac Jr. Internation|PRE|False</t>
        </is>
      </c>
      <c r="AE178" s="53">
        <f>G178+L178/1000+ROW()/1000000000</f>
        <v/>
      </c>
      <c r="AF178" s="35">
        <f>IF(C178&lt;&gt;"Grayson Coulter","",COUNTIFS($C$5:$C$2991,"Grayson Coulter",$Q$5:$Q$2991,Q178,$AE$5:$AE$2991,"&lt;="&amp;AE178,$R$5:$R$2991,"&lt;"&amp;R178))</f>
        <v/>
      </c>
      <c r="AG178" s="35">
        <f>IF(OR(C178&lt;&gt;"Grayson Coulter",G178&lt;'00_Control'!$B$7),"",--(AF178&lt;5))</f>
        <v/>
      </c>
      <c r="AH178" s="35">
        <f>IF(OR(C178&lt;&gt;"Grayson Coulter",G178&lt;'00_Control'!$B$7),"",--(AF178&lt;10))</f>
        <v/>
      </c>
      <c r="AI178" s="35">
        <f>IF(AND(C178="Grayson Coulter",G178&gt;='00_Control'!$B$7),"YES","NO")</f>
        <v/>
      </c>
      <c r="AJ178" s="33" t="inlineStr">
        <is>
          <t>OK</t>
        </is>
      </c>
    </row>
    <row r="179">
      <c r="A179" s="33" t="inlineStr">
        <is>
          <t>SM000175</t>
        </is>
      </c>
      <c r="B179" s="33" t="inlineStr">
        <is>
          <t>SW010</t>
        </is>
      </c>
      <c r="C179" s="33" t="inlineStr">
        <is>
          <t>Caeleb Dressel</t>
        </is>
      </c>
      <c r="D179" s="33" t="inlineStr">
        <is>
          <t>SwimCloud</t>
        </is>
      </c>
      <c r="E179" s="33" t="inlineStr">
        <is>
          <t>2361642</t>
        </is>
      </c>
      <c r="F179" s="33" t="inlineStr">
        <is>
          <t>18940297</t>
        </is>
      </c>
      <c r="G179" s="51" t="n">
        <v>43253</v>
      </c>
      <c r="H179" s="33" t="inlineStr">
        <is>
          <t>Mel Zajac Jr. Internation</t>
        </is>
      </c>
      <c r="I179" s="33" t="inlineStr">
        <is>
          <t>118125</t>
        </is>
      </c>
      <c r="J179" s="33" t="inlineStr"/>
      <c r="K179" s="33" t="inlineStr">
        <is>
          <t>FIN</t>
        </is>
      </c>
      <c r="L179" s="35">
        <f>IF(K179="FIN",3,IF(OR(K179="SEM",K179="SEMI"),2,IF(OR(K179="PRE",K179="HEAT"),1,IF(V179="YES",4,2))))</f>
        <v/>
      </c>
      <c r="M179" s="33" t="inlineStr">
        <is>
          <t>LCM</t>
        </is>
      </c>
      <c r="N179" s="33" t="n">
        <v>100</v>
      </c>
      <c r="O179" s="33" t="inlineStr">
        <is>
          <t>Fly</t>
        </is>
      </c>
      <c r="P179" s="33" t="inlineStr">
        <is>
          <t>100 Fly</t>
        </is>
      </c>
      <c r="Q179" s="33" t="inlineStr">
        <is>
          <t>LCM_100_FLY</t>
        </is>
      </c>
      <c r="R179" s="36" t="n">
        <v>52.45</v>
      </c>
      <c r="S179" s="35">
        <f>IF(R179="","",IF(R179&gt;=60,INT(R179/60)&amp;":"&amp;TEXT(MOD(R179,60),"00.00"),TEXT(R179,"0.00")))</f>
        <v/>
      </c>
      <c r="T179" s="52">
        <f>IFERROR((G179-INDEX('01_Swimmers'!$E$5:$E$22,MATCH(B179,'01_Swimmers'!$A$5:$A$22,0)))/'00_Control'!$B$10,"")</f>
        <v/>
      </c>
      <c r="U179" s="35">
        <f>IF(T179="","",INT(T179))</f>
        <v/>
      </c>
      <c r="V179" s="33" t="inlineStr">
        <is>
          <t>NO</t>
        </is>
      </c>
      <c r="W179" s="33" t="inlineStr">
        <is>
          <t>YES</t>
        </is>
      </c>
      <c r="X179" s="33" t="inlineStr">
        <is>
          <t>NO</t>
        </is>
      </c>
      <c r="Y179" s="33" t="n">
        <v>3</v>
      </c>
      <c r="Z179" s="33" t="n">
        <v>5</v>
      </c>
      <c r="AA179" s="33" t="inlineStr">
        <is>
          <t>1</t>
        </is>
      </c>
      <c r="AB179" s="33" t="inlineStr">
        <is>
          <t>https://www.swimcloud.com/results/118125/event/16/?id=18940297#time18940297</t>
        </is>
      </c>
      <c r="AC179" s="33" t="inlineStr">
        <is>
          <t>SwimCloud API v6 2026-10-08</t>
        </is>
      </c>
      <c r="AD179" s="33" t="inlineStr">
        <is>
          <t>Caeleb Dressel|2018-06-02|LCM|100|Fly|52.45|Mel Zajac Jr. Internation|FIN|False</t>
        </is>
      </c>
      <c r="AE179" s="53">
        <f>G179+L179/1000+ROW()/1000000000</f>
        <v/>
      </c>
      <c r="AF179" s="35">
        <f>IF(C179&lt;&gt;"Grayson Coulter","",COUNTIFS($C$5:$C$2991,"Grayson Coulter",$Q$5:$Q$2991,Q179,$AE$5:$AE$2991,"&lt;="&amp;AE179,$R$5:$R$2991,"&lt;"&amp;R179))</f>
        <v/>
      </c>
      <c r="AG179" s="35">
        <f>IF(OR(C179&lt;&gt;"Grayson Coulter",G179&lt;'00_Control'!$B$7),"",--(AF179&lt;5))</f>
        <v/>
      </c>
      <c r="AH179" s="35">
        <f>IF(OR(C179&lt;&gt;"Grayson Coulter",G179&lt;'00_Control'!$B$7),"",--(AF179&lt;10))</f>
        <v/>
      </c>
      <c r="AI179" s="35">
        <f>IF(AND(C179="Grayson Coulter",G179&gt;='00_Control'!$B$7),"YES","NO")</f>
        <v/>
      </c>
      <c r="AJ179" s="33" t="inlineStr">
        <is>
          <t>OK</t>
        </is>
      </c>
    </row>
    <row r="180">
      <c r="A180" s="33" t="inlineStr">
        <is>
          <t>SM000176</t>
        </is>
      </c>
      <c r="B180" s="33" t="inlineStr">
        <is>
          <t>SW010</t>
        </is>
      </c>
      <c r="C180" s="33" t="inlineStr">
        <is>
          <t>Caeleb Dressel</t>
        </is>
      </c>
      <c r="D180" s="33" t="inlineStr">
        <is>
          <t>SwimCloud</t>
        </is>
      </c>
      <c r="E180" s="33" t="inlineStr">
        <is>
          <t>2361642</t>
        </is>
      </c>
      <c r="F180" s="33" t="inlineStr">
        <is>
          <t>18940495</t>
        </is>
      </c>
      <c r="G180" s="51" t="n">
        <v>43254</v>
      </c>
      <c r="H180" s="33" t="inlineStr">
        <is>
          <t>Mel Zajac Jr. Internation</t>
        </is>
      </c>
      <c r="I180" s="33" t="inlineStr">
        <is>
          <t>118125</t>
        </is>
      </c>
      <c r="J180" s="33" t="inlineStr"/>
      <c r="K180" s="33" t="inlineStr">
        <is>
          <t>PRE</t>
        </is>
      </c>
      <c r="L180" s="35">
        <f>IF(K180="FIN",3,IF(OR(K180="SEM",K180="SEMI"),2,IF(OR(K180="PRE",K180="HEAT"),1,IF(V180="YES",4,2))))</f>
        <v/>
      </c>
      <c r="M180" s="33" t="inlineStr">
        <is>
          <t>LCM</t>
        </is>
      </c>
      <c r="N180" s="33" t="n">
        <v>100</v>
      </c>
      <c r="O180" s="33" t="inlineStr">
        <is>
          <t>Free</t>
        </is>
      </c>
      <c r="P180" s="33" t="inlineStr">
        <is>
          <t>100 Free</t>
        </is>
      </c>
      <c r="Q180" s="33" t="inlineStr">
        <is>
          <t>LCM_100_FREE</t>
        </is>
      </c>
      <c r="R180" s="36" t="n">
        <v>50.68</v>
      </c>
      <c r="S180" s="35">
        <f>IF(R180="","",IF(R180&gt;=60,INT(R180/60)&amp;":"&amp;TEXT(MOD(R180,60),"00.00"),TEXT(R180,"0.00")))</f>
        <v/>
      </c>
      <c r="T180" s="52">
        <f>IFERROR((G180-INDEX('01_Swimmers'!$E$5:$E$22,MATCH(B180,'01_Swimmers'!$A$5:$A$22,0)))/'00_Control'!$B$10,"")</f>
        <v/>
      </c>
      <c r="U180" s="35">
        <f>IF(T180="","",INT(T180))</f>
        <v/>
      </c>
      <c r="V180" s="33" t="inlineStr">
        <is>
          <t>NO</t>
        </is>
      </c>
      <c r="W180" s="33" t="inlineStr">
        <is>
          <t>YES</t>
        </is>
      </c>
      <c r="X180" s="33" t="inlineStr">
        <is>
          <t>NO</t>
        </is>
      </c>
      <c r="Y180" s="33" t="n">
        <v>6</v>
      </c>
      <c r="Z180" s="33" t="n">
        <v>4</v>
      </c>
      <c r="AA180" s="33" t="inlineStr">
        <is>
          <t>2</t>
        </is>
      </c>
      <c r="AB180" s="33" t="inlineStr">
        <is>
          <t>https://www.swimcloud.com/results/118125/event/35/?id=18940495#time18940495</t>
        </is>
      </c>
      <c r="AC180" s="33" t="inlineStr">
        <is>
          <t>SwimCloud API v6 2026-10-08</t>
        </is>
      </c>
      <c r="AD180" s="33" t="inlineStr">
        <is>
          <t>Caeleb Dressel|2018-06-03|LCM|100|Free|50.68|Mel Zajac Jr. Internation|PRE|False</t>
        </is>
      </c>
      <c r="AE180" s="53">
        <f>G180+L180/1000+ROW()/1000000000</f>
        <v/>
      </c>
      <c r="AF180" s="35">
        <f>IF(C180&lt;&gt;"Grayson Coulter","",COUNTIFS($C$5:$C$2991,"Grayson Coulter",$Q$5:$Q$2991,Q180,$AE$5:$AE$2991,"&lt;="&amp;AE180,$R$5:$R$2991,"&lt;"&amp;R180))</f>
        <v/>
      </c>
      <c r="AG180" s="35">
        <f>IF(OR(C180&lt;&gt;"Grayson Coulter",G180&lt;'00_Control'!$B$7),"",--(AF180&lt;5))</f>
        <v/>
      </c>
      <c r="AH180" s="35">
        <f>IF(OR(C180&lt;&gt;"Grayson Coulter",G180&lt;'00_Control'!$B$7),"",--(AF180&lt;10))</f>
        <v/>
      </c>
      <c r="AI180" s="35">
        <f>IF(AND(C180="Grayson Coulter",G180&gt;='00_Control'!$B$7),"YES","NO")</f>
        <v/>
      </c>
      <c r="AJ180" s="33" t="inlineStr">
        <is>
          <t>OK</t>
        </is>
      </c>
    </row>
    <row r="181">
      <c r="A181" s="33" t="inlineStr">
        <is>
          <t>SM000177</t>
        </is>
      </c>
      <c r="B181" s="33" t="inlineStr">
        <is>
          <t>SW010</t>
        </is>
      </c>
      <c r="C181" s="33" t="inlineStr">
        <is>
          <t>Caeleb Dressel</t>
        </is>
      </c>
      <c r="D181" s="33" t="inlineStr">
        <is>
          <t>SwimCloud</t>
        </is>
      </c>
      <c r="E181" s="33" t="inlineStr">
        <is>
          <t>2361642</t>
        </is>
      </c>
      <c r="F181" s="33" t="inlineStr">
        <is>
          <t>18940638</t>
        </is>
      </c>
      <c r="G181" s="51" t="n">
        <v>43254</v>
      </c>
      <c r="H181" s="33" t="inlineStr">
        <is>
          <t>Mel Zajac Jr. Internation</t>
        </is>
      </c>
      <c r="I181" s="33" t="inlineStr">
        <is>
          <t>118125</t>
        </is>
      </c>
      <c r="J181" s="33" t="inlineStr"/>
      <c r="K181" s="33" t="inlineStr">
        <is>
          <t>FIN</t>
        </is>
      </c>
      <c r="L181" s="35">
        <f>IF(K181="FIN",3,IF(OR(K181="SEM",K181="SEMI"),2,IF(OR(K181="PRE",K181="HEAT"),1,IF(V181="YES",4,2))))</f>
        <v/>
      </c>
      <c r="M181" s="33" t="inlineStr">
        <is>
          <t>LCM</t>
        </is>
      </c>
      <c r="N181" s="33" t="n">
        <v>100</v>
      </c>
      <c r="O181" s="33" t="inlineStr">
        <is>
          <t>Free</t>
        </is>
      </c>
      <c r="P181" s="33" t="inlineStr">
        <is>
          <t>100 Free</t>
        </is>
      </c>
      <c r="Q181" s="33" t="inlineStr">
        <is>
          <t>LCM_100_FREE</t>
        </is>
      </c>
      <c r="R181" s="36" t="n">
        <v>49.58</v>
      </c>
      <c r="S181" s="35">
        <f>IF(R181="","",IF(R181&gt;=60,INT(R181/60)&amp;":"&amp;TEXT(MOD(R181,60),"00.00"),TEXT(R181,"0.00")))</f>
        <v/>
      </c>
      <c r="T181" s="52">
        <f>IFERROR((G181-INDEX('01_Swimmers'!$E$5:$E$22,MATCH(B181,'01_Swimmers'!$A$5:$A$22,0)))/'00_Control'!$B$10,"")</f>
        <v/>
      </c>
      <c r="U181" s="35">
        <f>IF(T181="","",INT(T181))</f>
        <v/>
      </c>
      <c r="V181" s="33" t="inlineStr">
        <is>
          <t>NO</t>
        </is>
      </c>
      <c r="W181" s="33" t="inlineStr">
        <is>
          <t>YES</t>
        </is>
      </c>
      <c r="X181" s="33" t="inlineStr">
        <is>
          <t>NO</t>
        </is>
      </c>
      <c r="Y181" s="33" t="n">
        <v>3</v>
      </c>
      <c r="Z181" s="33" t="n">
        <v>5</v>
      </c>
      <c r="AA181" s="33" t="inlineStr">
        <is>
          <t>2</t>
        </is>
      </c>
      <c r="AB181" s="33" t="inlineStr">
        <is>
          <t>https://www.swimcloud.com/results/118125/event/35/?id=18940638#time18940638</t>
        </is>
      </c>
      <c r="AC181" s="33" t="inlineStr">
        <is>
          <t>SwimCloud API v6 2026-10-08</t>
        </is>
      </c>
      <c r="AD181" s="33" t="inlineStr">
        <is>
          <t>Caeleb Dressel|2018-06-03|LCM|100|Free|49.58|Mel Zajac Jr. Internation|FIN|False</t>
        </is>
      </c>
      <c r="AE181" s="53">
        <f>G181+L181/1000+ROW()/1000000000</f>
        <v/>
      </c>
      <c r="AF181" s="35">
        <f>IF(C181&lt;&gt;"Grayson Coulter","",COUNTIFS($C$5:$C$2991,"Grayson Coulter",$Q$5:$Q$2991,Q181,$AE$5:$AE$2991,"&lt;="&amp;AE181,$R$5:$R$2991,"&lt;"&amp;R181))</f>
        <v/>
      </c>
      <c r="AG181" s="35">
        <f>IF(OR(C181&lt;&gt;"Grayson Coulter",G181&lt;'00_Control'!$B$7),"",--(AF181&lt;5))</f>
        <v/>
      </c>
      <c r="AH181" s="35">
        <f>IF(OR(C181&lt;&gt;"Grayson Coulter",G181&lt;'00_Control'!$B$7),"",--(AF181&lt;10))</f>
        <v/>
      </c>
      <c r="AI181" s="35">
        <f>IF(AND(C181="Grayson Coulter",G181&gt;='00_Control'!$B$7),"YES","NO")</f>
        <v/>
      </c>
      <c r="AJ181" s="33" t="inlineStr">
        <is>
          <t>OK</t>
        </is>
      </c>
    </row>
    <row r="182">
      <c r="A182" s="33" t="inlineStr">
        <is>
          <t>SM000178</t>
        </is>
      </c>
      <c r="B182" s="33" t="inlineStr">
        <is>
          <t>SW010</t>
        </is>
      </c>
      <c r="C182" s="33" t="inlineStr">
        <is>
          <t>Caeleb Dressel</t>
        </is>
      </c>
      <c r="D182" s="33" t="inlineStr">
        <is>
          <t>SwimCloud</t>
        </is>
      </c>
      <c r="E182" s="33" t="inlineStr">
        <is>
          <t>2361642</t>
        </is>
      </c>
      <c r="F182" s="33" t="inlineStr">
        <is>
          <t>18207687</t>
        </is>
      </c>
      <c r="G182" s="51" t="n">
        <v>43259</v>
      </c>
      <c r="H182" s="33" t="inlineStr">
        <is>
          <t>TYR Pro Swim Series - Santa Clara</t>
        </is>
      </c>
      <c r="I182" s="33" t="inlineStr">
        <is>
          <t>116513</t>
        </is>
      </c>
      <c r="J182" s="33" t="inlineStr"/>
      <c r="K182" s="33" t="inlineStr">
        <is>
          <t>PRE</t>
        </is>
      </c>
      <c r="L182" s="35">
        <f>IF(K182="FIN",3,IF(OR(K182="SEM",K182="SEMI"),2,IF(OR(K182="PRE",K182="HEAT"),1,IF(V182="YES",4,2))))</f>
        <v/>
      </c>
      <c r="M182" s="33" t="inlineStr">
        <is>
          <t>LCM</t>
        </is>
      </c>
      <c r="N182" s="33" t="n">
        <v>100</v>
      </c>
      <c r="O182" s="33" t="inlineStr">
        <is>
          <t>Fly</t>
        </is>
      </c>
      <c r="P182" s="33" t="inlineStr">
        <is>
          <t>100 Fly</t>
        </is>
      </c>
      <c r="Q182" s="33" t="inlineStr">
        <is>
          <t>LCM_100_FLY</t>
        </is>
      </c>
      <c r="R182" s="36" t="n">
        <v>53.15</v>
      </c>
      <c r="S182" s="35">
        <f>IF(R182="","",IF(R182&gt;=60,INT(R182/60)&amp;":"&amp;TEXT(MOD(R182,60),"00.00"),TEXT(R182,"0.00")))</f>
        <v/>
      </c>
      <c r="T182" s="52">
        <f>IFERROR((G182-INDEX('01_Swimmers'!$E$5:$E$22,MATCH(B182,'01_Swimmers'!$A$5:$A$22,0)))/'00_Control'!$B$10,"")</f>
        <v/>
      </c>
      <c r="U182" s="35">
        <f>IF(T182="","",INT(T182))</f>
        <v/>
      </c>
      <c r="V182" s="33" t="inlineStr">
        <is>
          <t>NO</t>
        </is>
      </c>
      <c r="W182" s="33" t="inlineStr">
        <is>
          <t>YES</t>
        </is>
      </c>
      <c r="X182" s="33" t="inlineStr">
        <is>
          <t>NO</t>
        </is>
      </c>
      <c r="Y182" s="33" t="n">
        <v>7</v>
      </c>
      <c r="Z182" s="33" t="n">
        <v>5</v>
      </c>
      <c r="AA182" s="33" t="inlineStr">
        <is>
          <t>4</t>
        </is>
      </c>
      <c r="AB182" s="33" t="inlineStr">
        <is>
          <t>https://www.swimcloud.com/results/116513/event/6/?id=18207687#time18207687</t>
        </is>
      </c>
      <c r="AC182" s="33" t="inlineStr">
        <is>
          <t>SwimCloud API v6 2026-10-08</t>
        </is>
      </c>
      <c r="AD182" s="33" t="inlineStr">
        <is>
          <t>Caeleb Dressel|2018-06-08|LCM|100|Fly|53.15|TYR Pro Swim Series - Santa Clara|PRE|False</t>
        </is>
      </c>
      <c r="AE182" s="53">
        <f>G182+L182/1000+ROW()/1000000000</f>
        <v/>
      </c>
      <c r="AF182" s="35">
        <f>IF(C182&lt;&gt;"Grayson Coulter","",COUNTIFS($C$5:$C$2991,"Grayson Coulter",$Q$5:$Q$2991,Q182,$AE$5:$AE$2991,"&lt;="&amp;AE182,$R$5:$R$2991,"&lt;"&amp;R182))</f>
        <v/>
      </c>
      <c r="AG182" s="35">
        <f>IF(OR(C182&lt;&gt;"Grayson Coulter",G182&lt;'00_Control'!$B$7),"",--(AF182&lt;5))</f>
        <v/>
      </c>
      <c r="AH182" s="35">
        <f>IF(OR(C182&lt;&gt;"Grayson Coulter",G182&lt;'00_Control'!$B$7),"",--(AF182&lt;10))</f>
        <v/>
      </c>
      <c r="AI182" s="35">
        <f>IF(AND(C182="Grayson Coulter",G182&gt;='00_Control'!$B$7),"YES","NO")</f>
        <v/>
      </c>
      <c r="AJ182" s="33" t="inlineStr">
        <is>
          <t>OK</t>
        </is>
      </c>
    </row>
    <row r="183">
      <c r="A183" s="33" t="inlineStr">
        <is>
          <t>SM000179</t>
        </is>
      </c>
      <c r="B183" s="33" t="inlineStr">
        <is>
          <t>SW010</t>
        </is>
      </c>
      <c r="C183" s="33" t="inlineStr">
        <is>
          <t>Caeleb Dressel</t>
        </is>
      </c>
      <c r="D183" s="33" t="inlineStr">
        <is>
          <t>SwimCloud</t>
        </is>
      </c>
      <c r="E183" s="33" t="inlineStr">
        <is>
          <t>2361642</t>
        </is>
      </c>
      <c r="F183" s="33" t="inlineStr">
        <is>
          <t>18207775</t>
        </is>
      </c>
      <c r="G183" s="51" t="n">
        <v>43259</v>
      </c>
      <c r="H183" s="33" t="inlineStr">
        <is>
          <t>TYR Pro Swim Series - Santa Clara</t>
        </is>
      </c>
      <c r="I183" s="33" t="inlineStr">
        <is>
          <t>116513</t>
        </is>
      </c>
      <c r="J183" s="33" t="inlineStr"/>
      <c r="K183" s="33" t="inlineStr">
        <is>
          <t>FIN</t>
        </is>
      </c>
      <c r="L183" s="35">
        <f>IF(K183="FIN",3,IF(OR(K183="SEM",K183="SEMI"),2,IF(OR(K183="PRE",K183="HEAT"),1,IF(V183="YES",4,2))))</f>
        <v/>
      </c>
      <c r="M183" s="33" t="inlineStr">
        <is>
          <t>LCM</t>
        </is>
      </c>
      <c r="N183" s="33" t="n">
        <v>100</v>
      </c>
      <c r="O183" s="33" t="inlineStr">
        <is>
          <t>Fly</t>
        </is>
      </c>
      <c r="P183" s="33" t="inlineStr">
        <is>
          <t>100 Fly</t>
        </is>
      </c>
      <c r="Q183" s="33" t="inlineStr">
        <is>
          <t>LCM_100_FLY</t>
        </is>
      </c>
      <c r="R183" s="36" t="n">
        <v>52.2</v>
      </c>
      <c r="S183" s="35">
        <f>IF(R183="","",IF(R183&gt;=60,INT(R183/60)&amp;":"&amp;TEXT(MOD(R183,60),"00.00"),TEXT(R183,"0.00")))</f>
        <v/>
      </c>
      <c r="T183" s="52">
        <f>IFERROR((G183-INDEX('01_Swimmers'!$E$5:$E$22,MATCH(B183,'01_Swimmers'!$A$5:$A$22,0)))/'00_Control'!$B$10,"")</f>
        <v/>
      </c>
      <c r="U183" s="35">
        <f>IF(T183="","",INT(T183))</f>
        <v/>
      </c>
      <c r="V183" s="33" t="inlineStr">
        <is>
          <t>NO</t>
        </is>
      </c>
      <c r="W183" s="33" t="inlineStr">
        <is>
          <t>YES</t>
        </is>
      </c>
      <c r="X183" s="33" t="inlineStr">
        <is>
          <t>NO</t>
        </is>
      </c>
      <c r="Y183" s="33" t="n">
        <v>2</v>
      </c>
      <c r="Z183" s="33" t="n">
        <v>7</v>
      </c>
      <c r="AA183" s="33" t="inlineStr">
        <is>
          <t>1</t>
        </is>
      </c>
      <c r="AB183" s="33" t="inlineStr">
        <is>
          <t>https://www.swimcloud.com/results/116513/event/6/?id=18207775#time18207775</t>
        </is>
      </c>
      <c r="AC183" s="33" t="inlineStr">
        <is>
          <t>SwimCloud API v6 2026-10-08</t>
        </is>
      </c>
      <c r="AD183" s="33" t="inlineStr">
        <is>
          <t>Caeleb Dressel|2018-06-08|LCM|100|Fly|52.2|TYR Pro Swim Series - Santa Clara|FIN|False</t>
        </is>
      </c>
      <c r="AE183" s="53">
        <f>G183+L183/1000+ROW()/1000000000</f>
        <v/>
      </c>
      <c r="AF183" s="35">
        <f>IF(C183&lt;&gt;"Grayson Coulter","",COUNTIFS($C$5:$C$2991,"Grayson Coulter",$Q$5:$Q$2991,Q183,$AE$5:$AE$2991,"&lt;="&amp;AE183,$R$5:$R$2991,"&lt;"&amp;R183))</f>
        <v/>
      </c>
      <c r="AG183" s="35">
        <f>IF(OR(C183&lt;&gt;"Grayson Coulter",G183&lt;'00_Control'!$B$7),"",--(AF183&lt;5))</f>
        <v/>
      </c>
      <c r="AH183" s="35">
        <f>IF(OR(C183&lt;&gt;"Grayson Coulter",G183&lt;'00_Control'!$B$7),"",--(AF183&lt;10))</f>
        <v/>
      </c>
      <c r="AI183" s="35">
        <f>IF(AND(C183="Grayson Coulter",G183&gt;='00_Control'!$B$7),"YES","NO")</f>
        <v/>
      </c>
      <c r="AJ183" s="33" t="inlineStr">
        <is>
          <t>OK</t>
        </is>
      </c>
    </row>
    <row r="184">
      <c r="A184" s="33" t="inlineStr">
        <is>
          <t>SM000180</t>
        </is>
      </c>
      <c r="B184" s="33" t="inlineStr">
        <is>
          <t>SW010</t>
        </is>
      </c>
      <c r="C184" s="33" t="inlineStr">
        <is>
          <t>Caeleb Dressel</t>
        </is>
      </c>
      <c r="D184" s="33" t="inlineStr">
        <is>
          <t>SwimCloud</t>
        </is>
      </c>
      <c r="E184" s="33" t="inlineStr">
        <is>
          <t>2361642</t>
        </is>
      </c>
      <c r="F184" s="33" t="inlineStr">
        <is>
          <t>18209229</t>
        </is>
      </c>
      <c r="G184" s="51" t="n">
        <v>43260</v>
      </c>
      <c r="H184" s="33" t="inlineStr">
        <is>
          <t>TYR Pro Swim Series - Santa Clara</t>
        </is>
      </c>
      <c r="I184" s="33" t="inlineStr">
        <is>
          <t>116513</t>
        </is>
      </c>
      <c r="J184" s="33" t="inlineStr"/>
      <c r="K184" s="33" t="inlineStr">
        <is>
          <t>PRE</t>
        </is>
      </c>
      <c r="L184" s="35">
        <f>IF(K184="FIN",3,IF(OR(K184="SEM",K184="SEMI"),2,IF(OR(K184="PRE",K184="HEAT"),1,IF(V184="YES",4,2))))</f>
        <v/>
      </c>
      <c r="M184" s="33" t="inlineStr">
        <is>
          <t>LCM</t>
        </is>
      </c>
      <c r="N184" s="33" t="n">
        <v>100</v>
      </c>
      <c r="O184" s="33" t="inlineStr">
        <is>
          <t>Free</t>
        </is>
      </c>
      <c r="P184" s="33" t="inlineStr">
        <is>
          <t>100 Free</t>
        </is>
      </c>
      <c r="Q184" s="33" t="inlineStr">
        <is>
          <t>LCM_100_FREE</t>
        </is>
      </c>
      <c r="R184" s="36" t="n">
        <v>50.24</v>
      </c>
      <c r="S184" s="35">
        <f>IF(R184="","",IF(R184&gt;=60,INT(R184/60)&amp;":"&amp;TEXT(MOD(R184,60),"00.00"),TEXT(R184,"0.00")))</f>
        <v/>
      </c>
      <c r="T184" s="52">
        <f>IFERROR((G184-INDEX('01_Swimmers'!$E$5:$E$22,MATCH(B184,'01_Swimmers'!$A$5:$A$22,0)))/'00_Control'!$B$10,"")</f>
        <v/>
      </c>
      <c r="U184" s="35">
        <f>IF(T184="","",INT(T184))</f>
        <v/>
      </c>
      <c r="V184" s="33" t="inlineStr">
        <is>
          <t>NO</t>
        </is>
      </c>
      <c r="W184" s="33" t="inlineStr">
        <is>
          <t>YES</t>
        </is>
      </c>
      <c r="X184" s="33" t="inlineStr">
        <is>
          <t>NO</t>
        </is>
      </c>
      <c r="Y184" s="33" t="n">
        <v>7</v>
      </c>
      <c r="Z184" s="33" t="n">
        <v>5</v>
      </c>
      <c r="AA184" s="33" t="inlineStr">
        <is>
          <t>7</t>
        </is>
      </c>
      <c r="AB184" s="33" t="inlineStr">
        <is>
          <t>https://www.swimcloud.com/results/116513/event/23/?id=18209229#time18209229</t>
        </is>
      </c>
      <c r="AC184" s="33" t="inlineStr">
        <is>
          <t>SwimCloud API v6 2026-10-08</t>
        </is>
      </c>
      <c r="AD184" s="33" t="inlineStr">
        <is>
          <t>Caeleb Dressel|2018-06-09|LCM|100|Free|50.24|TYR Pro Swim Series - Santa Clara|PRE|False</t>
        </is>
      </c>
      <c r="AE184" s="53">
        <f>G184+L184/1000+ROW()/1000000000</f>
        <v/>
      </c>
      <c r="AF184" s="35">
        <f>IF(C184&lt;&gt;"Grayson Coulter","",COUNTIFS($C$5:$C$2991,"Grayson Coulter",$Q$5:$Q$2991,Q184,$AE$5:$AE$2991,"&lt;="&amp;AE184,$R$5:$R$2991,"&lt;"&amp;R184))</f>
        <v/>
      </c>
      <c r="AG184" s="35">
        <f>IF(OR(C184&lt;&gt;"Grayson Coulter",G184&lt;'00_Control'!$B$7),"",--(AF184&lt;5))</f>
        <v/>
      </c>
      <c r="AH184" s="35">
        <f>IF(OR(C184&lt;&gt;"Grayson Coulter",G184&lt;'00_Control'!$B$7),"",--(AF184&lt;10))</f>
        <v/>
      </c>
      <c r="AI184" s="35">
        <f>IF(AND(C184="Grayson Coulter",G184&gt;='00_Control'!$B$7),"YES","NO")</f>
        <v/>
      </c>
      <c r="AJ184" s="33" t="inlineStr">
        <is>
          <t>OK</t>
        </is>
      </c>
    </row>
    <row r="185">
      <c r="A185" s="33" t="inlineStr">
        <is>
          <t>SM000181</t>
        </is>
      </c>
      <c r="B185" s="33" t="inlineStr">
        <is>
          <t>SW010</t>
        </is>
      </c>
      <c r="C185" s="33" t="inlineStr">
        <is>
          <t>Caeleb Dressel</t>
        </is>
      </c>
      <c r="D185" s="33" t="inlineStr">
        <is>
          <t>SwimCloud</t>
        </is>
      </c>
      <c r="E185" s="33" t="inlineStr">
        <is>
          <t>2361642</t>
        </is>
      </c>
      <c r="F185" s="33" t="inlineStr">
        <is>
          <t>18209265</t>
        </is>
      </c>
      <c r="G185" s="51" t="n">
        <v>43260</v>
      </c>
      <c r="H185" s="33" t="inlineStr">
        <is>
          <t>TYR Pro Swim Series - Santa Clara</t>
        </is>
      </c>
      <c r="I185" s="33" t="inlineStr">
        <is>
          <t>116513</t>
        </is>
      </c>
      <c r="J185" s="33" t="inlineStr"/>
      <c r="K185" s="33" t="inlineStr">
        <is>
          <t>FIN</t>
        </is>
      </c>
      <c r="L185" s="35">
        <f>IF(K185="FIN",3,IF(OR(K185="SEM",K185="SEMI"),2,IF(OR(K185="PRE",K185="HEAT"),1,IF(V185="YES",4,2))))</f>
        <v/>
      </c>
      <c r="M185" s="33" t="inlineStr">
        <is>
          <t>LCM</t>
        </is>
      </c>
      <c r="N185" s="33" t="n">
        <v>100</v>
      </c>
      <c r="O185" s="33" t="inlineStr">
        <is>
          <t>Free</t>
        </is>
      </c>
      <c r="P185" s="33" t="inlineStr">
        <is>
          <t>100 Free</t>
        </is>
      </c>
      <c r="Q185" s="33" t="inlineStr">
        <is>
          <t>LCM_100_FREE</t>
        </is>
      </c>
      <c r="R185" s="36" t="n">
        <v>48.96</v>
      </c>
      <c r="S185" s="35">
        <f>IF(R185="","",IF(R185&gt;=60,INT(R185/60)&amp;":"&amp;TEXT(MOD(R185,60),"00.00"),TEXT(R185,"0.00")))</f>
        <v/>
      </c>
      <c r="T185" s="52">
        <f>IFERROR((G185-INDEX('01_Swimmers'!$E$5:$E$22,MATCH(B185,'01_Swimmers'!$A$5:$A$22,0)))/'00_Control'!$B$10,"")</f>
        <v/>
      </c>
      <c r="U185" s="35">
        <f>IF(T185="","",INT(T185))</f>
        <v/>
      </c>
      <c r="V185" s="33" t="inlineStr">
        <is>
          <t>NO</t>
        </is>
      </c>
      <c r="W185" s="33" t="inlineStr">
        <is>
          <t>YES</t>
        </is>
      </c>
      <c r="X185" s="33" t="inlineStr">
        <is>
          <t>NO</t>
        </is>
      </c>
      <c r="Y185" s="33" t="n">
        <v>2</v>
      </c>
      <c r="Z185" s="33" t="n">
        <v>2</v>
      </c>
      <c r="AA185" s="33" t="inlineStr">
        <is>
          <t>1</t>
        </is>
      </c>
      <c r="AB185" s="33" t="inlineStr">
        <is>
          <t>https://www.swimcloud.com/results/116513/event/23/?id=18209265#time18209265</t>
        </is>
      </c>
      <c r="AC185" s="33" t="inlineStr">
        <is>
          <t>SwimCloud API v6 2026-10-08</t>
        </is>
      </c>
      <c r="AD185" s="33" t="inlineStr">
        <is>
          <t>Caeleb Dressel|2018-06-09|LCM|100|Free|48.96|TYR Pro Swim Series - Santa Clara|FIN|False</t>
        </is>
      </c>
      <c r="AE185" s="53">
        <f>G185+L185/1000+ROW()/1000000000</f>
        <v/>
      </c>
      <c r="AF185" s="35">
        <f>IF(C185&lt;&gt;"Grayson Coulter","",COUNTIFS($C$5:$C$2991,"Grayson Coulter",$Q$5:$Q$2991,Q185,$AE$5:$AE$2991,"&lt;="&amp;AE185,$R$5:$R$2991,"&lt;"&amp;R185))</f>
        <v/>
      </c>
      <c r="AG185" s="35">
        <f>IF(OR(C185&lt;&gt;"Grayson Coulter",G185&lt;'00_Control'!$B$7),"",--(AF185&lt;5))</f>
        <v/>
      </c>
      <c r="AH185" s="35">
        <f>IF(OR(C185&lt;&gt;"Grayson Coulter",G185&lt;'00_Control'!$B$7),"",--(AF185&lt;10))</f>
        <v/>
      </c>
      <c r="AI185" s="35">
        <f>IF(AND(C185="Grayson Coulter",G185&gt;='00_Control'!$B$7),"YES","NO")</f>
        <v/>
      </c>
      <c r="AJ185" s="33" t="inlineStr">
        <is>
          <t>OK</t>
        </is>
      </c>
    </row>
    <row r="186">
      <c r="A186" s="33" t="inlineStr">
        <is>
          <t>SM000182</t>
        </is>
      </c>
      <c r="B186" s="33" t="inlineStr">
        <is>
          <t>SW010</t>
        </is>
      </c>
      <c r="C186" s="33" t="inlineStr">
        <is>
          <t>Caeleb Dressel</t>
        </is>
      </c>
      <c r="D186" s="33" t="inlineStr">
        <is>
          <t>SwimCloud</t>
        </is>
      </c>
      <c r="E186" s="33" t="inlineStr">
        <is>
          <t>2361642</t>
        </is>
      </c>
      <c r="F186" s="33" t="inlineStr">
        <is>
          <t>19262070</t>
        </is>
      </c>
      <c r="G186" s="51" t="n">
        <v>43288</v>
      </c>
      <c r="H186" s="33" t="inlineStr">
        <is>
          <t>Speedo Champions Series - Gainesville</t>
        </is>
      </c>
      <c r="I186" s="33" t="inlineStr">
        <is>
          <t>98106</t>
        </is>
      </c>
      <c r="J186" s="33" t="inlineStr"/>
      <c r="K186" s="33" t="inlineStr">
        <is>
          <t>PRE</t>
        </is>
      </c>
      <c r="L186" s="35">
        <f>IF(K186="FIN",3,IF(OR(K186="SEM",K186="SEMI"),2,IF(OR(K186="PRE",K186="HEAT"),1,IF(V186="YES",4,2))))</f>
        <v/>
      </c>
      <c r="M186" s="33" t="inlineStr">
        <is>
          <t>LCM</t>
        </is>
      </c>
      <c r="N186" s="33" t="n">
        <v>200</v>
      </c>
      <c r="O186" s="33" t="inlineStr">
        <is>
          <t>Free</t>
        </is>
      </c>
      <c r="P186" s="33" t="inlineStr">
        <is>
          <t>200 Free</t>
        </is>
      </c>
      <c r="Q186" s="33" t="inlineStr">
        <is>
          <t>LCM_200_FREE</t>
        </is>
      </c>
      <c r="R186" s="36" t="n">
        <v>112.26</v>
      </c>
      <c r="S186" s="35">
        <f>IF(R186="","",IF(R186&gt;=60,INT(R186/60)&amp;":"&amp;TEXT(MOD(R186,60),"00.00"),TEXT(R186,"0.00")))</f>
        <v/>
      </c>
      <c r="T186" s="52">
        <f>IFERROR((G186-INDEX('01_Swimmers'!$E$5:$E$22,MATCH(B186,'01_Swimmers'!$A$5:$A$22,0)))/'00_Control'!$B$10,"")</f>
        <v/>
      </c>
      <c r="U186" s="35">
        <f>IF(T186="","",INT(T186))</f>
        <v/>
      </c>
      <c r="V186" s="33" t="inlineStr">
        <is>
          <t>NO</t>
        </is>
      </c>
      <c r="W186" s="33" t="inlineStr">
        <is>
          <t>YES</t>
        </is>
      </c>
      <c r="X186" s="33" t="inlineStr">
        <is>
          <t>NO</t>
        </is>
      </c>
      <c r="Y186" s="33" t="n">
        <v>1</v>
      </c>
      <c r="Z186" s="33" t="n">
        <v>4</v>
      </c>
      <c r="AA186" s="33" t="inlineStr">
        <is>
          <t>1</t>
        </is>
      </c>
      <c r="AB186" s="33" t="inlineStr">
        <is>
          <t>https://www.swimcloud.com/results/98106/event/10/?id=19262070#time19262070</t>
        </is>
      </c>
      <c r="AC186" s="33" t="inlineStr">
        <is>
          <t>SwimCloud API v6 2026-10-08</t>
        </is>
      </c>
      <c r="AD186" s="33" t="inlineStr">
        <is>
          <t>Caeleb Dressel|2018-07-07|LCM|200|Free|112.26|Speedo Champions Series - Gainesville|PRE|False</t>
        </is>
      </c>
      <c r="AE186" s="53">
        <f>G186+L186/1000+ROW()/1000000000</f>
        <v/>
      </c>
      <c r="AF186" s="35">
        <f>IF(C186&lt;&gt;"Grayson Coulter","",COUNTIFS($C$5:$C$2991,"Grayson Coulter",$Q$5:$Q$2991,Q186,$AE$5:$AE$2991,"&lt;="&amp;AE186,$R$5:$R$2991,"&lt;"&amp;R186))</f>
        <v/>
      </c>
      <c r="AG186" s="35">
        <f>IF(OR(C186&lt;&gt;"Grayson Coulter",G186&lt;'00_Control'!$B$7),"",--(AF186&lt;5))</f>
        <v/>
      </c>
      <c r="AH186" s="35">
        <f>IF(OR(C186&lt;&gt;"Grayson Coulter",G186&lt;'00_Control'!$B$7),"",--(AF186&lt;10))</f>
        <v/>
      </c>
      <c r="AI186" s="35">
        <f>IF(AND(C186="Grayson Coulter",G186&gt;='00_Control'!$B$7),"YES","NO")</f>
        <v/>
      </c>
      <c r="AJ186" s="33" t="inlineStr">
        <is>
          <t>OK</t>
        </is>
      </c>
    </row>
    <row r="187">
      <c r="A187" s="33" t="inlineStr">
        <is>
          <t>SM000183</t>
        </is>
      </c>
      <c r="B187" s="33" t="inlineStr">
        <is>
          <t>SW010</t>
        </is>
      </c>
      <c r="C187" s="33" t="inlineStr">
        <is>
          <t>Caeleb Dressel</t>
        </is>
      </c>
      <c r="D187" s="33" t="inlineStr">
        <is>
          <t>SwimCloud</t>
        </is>
      </c>
      <c r="E187" s="33" t="inlineStr">
        <is>
          <t>2361642</t>
        </is>
      </c>
      <c r="F187" s="33" t="inlineStr">
        <is>
          <t>19262071</t>
        </is>
      </c>
      <c r="G187" s="51" t="n">
        <v>43288</v>
      </c>
      <c r="H187" s="33" t="inlineStr">
        <is>
          <t>Speedo Champions Series - Gainesville</t>
        </is>
      </c>
      <c r="I187" s="33" t="inlineStr">
        <is>
          <t>98106</t>
        </is>
      </c>
      <c r="J187" s="33" t="inlineStr"/>
      <c r="K187" s="33" t="inlineStr">
        <is>
          <t>FIN</t>
        </is>
      </c>
      <c r="L187" s="35">
        <f>IF(K187="FIN",3,IF(OR(K187="SEM",K187="SEMI"),2,IF(OR(K187="PRE",K187="HEAT"),1,IF(V187="YES",4,2))))</f>
        <v/>
      </c>
      <c r="M187" s="33" t="inlineStr">
        <is>
          <t>LCM</t>
        </is>
      </c>
      <c r="N187" s="33" t="n">
        <v>200</v>
      </c>
      <c r="O187" s="33" t="inlineStr">
        <is>
          <t>Free</t>
        </is>
      </c>
      <c r="P187" s="33" t="inlineStr">
        <is>
          <t>200 Free</t>
        </is>
      </c>
      <c r="Q187" s="33" t="inlineStr">
        <is>
          <t>LCM_200_FREE</t>
        </is>
      </c>
      <c r="R187" s="36" t="n">
        <v>113.42</v>
      </c>
      <c r="S187" s="35">
        <f>IF(R187="","",IF(R187&gt;=60,INT(R187/60)&amp;":"&amp;TEXT(MOD(R187,60),"00.00"),TEXT(R187,"0.00")))</f>
        <v/>
      </c>
      <c r="T187" s="52">
        <f>IFERROR((G187-INDEX('01_Swimmers'!$E$5:$E$22,MATCH(B187,'01_Swimmers'!$A$5:$A$22,0)))/'00_Control'!$B$10,"")</f>
        <v/>
      </c>
      <c r="U187" s="35">
        <f>IF(T187="","",INT(T187))</f>
        <v/>
      </c>
      <c r="V187" s="33" t="inlineStr">
        <is>
          <t>NO</t>
        </is>
      </c>
      <c r="W187" s="33" t="inlineStr">
        <is>
          <t>YES</t>
        </is>
      </c>
      <c r="X187" s="33" t="inlineStr">
        <is>
          <t>NO</t>
        </is>
      </c>
      <c r="Y187" s="33" t="n">
        <v>1</v>
      </c>
      <c r="Z187" s="33" t="n">
        <v>4</v>
      </c>
      <c r="AA187" s="33" t="inlineStr">
        <is>
          <t>6</t>
        </is>
      </c>
      <c r="AB187" s="33" t="inlineStr">
        <is>
          <t>https://www.swimcloud.com/results/98106/event/10/?id=19262071#time19262071</t>
        </is>
      </c>
      <c r="AC187" s="33" t="inlineStr">
        <is>
          <t>SwimCloud API v6 2026-10-08</t>
        </is>
      </c>
      <c r="AD187" s="33" t="inlineStr">
        <is>
          <t>Caeleb Dressel|2018-07-07|LCM|200|Free|113.42|Speedo Champions Series - Gainesville|FIN|False</t>
        </is>
      </c>
      <c r="AE187" s="53">
        <f>G187+L187/1000+ROW()/1000000000</f>
        <v/>
      </c>
      <c r="AF187" s="35">
        <f>IF(C187&lt;&gt;"Grayson Coulter","",COUNTIFS($C$5:$C$2991,"Grayson Coulter",$Q$5:$Q$2991,Q187,$AE$5:$AE$2991,"&lt;="&amp;AE187,$R$5:$R$2991,"&lt;"&amp;R187))</f>
        <v/>
      </c>
      <c r="AG187" s="35">
        <f>IF(OR(C187&lt;&gt;"Grayson Coulter",G187&lt;'00_Control'!$B$7),"",--(AF187&lt;5))</f>
        <v/>
      </c>
      <c r="AH187" s="35">
        <f>IF(OR(C187&lt;&gt;"Grayson Coulter",G187&lt;'00_Control'!$B$7),"",--(AF187&lt;10))</f>
        <v/>
      </c>
      <c r="AI187" s="35">
        <f>IF(AND(C187="Grayson Coulter",G187&gt;='00_Control'!$B$7),"YES","NO")</f>
        <v/>
      </c>
      <c r="AJ187" s="33" t="inlineStr">
        <is>
          <t>OK</t>
        </is>
      </c>
    </row>
    <row r="188">
      <c r="A188" s="33" t="inlineStr">
        <is>
          <t>SM000184</t>
        </is>
      </c>
      <c r="B188" s="33" t="inlineStr">
        <is>
          <t>SW010</t>
        </is>
      </c>
      <c r="C188" s="33" t="inlineStr">
        <is>
          <t>Caeleb Dressel</t>
        </is>
      </c>
      <c r="D188" s="33" t="inlineStr">
        <is>
          <t>SwimCloud</t>
        </is>
      </c>
      <c r="E188" s="33" t="inlineStr">
        <is>
          <t>2361642</t>
        </is>
      </c>
      <c r="F188" s="33" t="inlineStr">
        <is>
          <t>20147971</t>
        </is>
      </c>
      <c r="G188" s="51" t="n">
        <v>43306</v>
      </c>
      <c r="H188" s="33" t="inlineStr">
        <is>
          <t>Phillips 66 Summer National Championships</t>
        </is>
      </c>
      <c r="I188" s="33" t="inlineStr">
        <is>
          <t>120870</t>
        </is>
      </c>
      <c r="J188" s="33" t="inlineStr"/>
      <c r="K188" s="33" t="inlineStr">
        <is>
          <t>PRE</t>
        </is>
      </c>
      <c r="L188" s="35">
        <f>IF(K188="FIN",3,IF(OR(K188="SEM",K188="SEMI"),2,IF(OR(K188="PRE",K188="HEAT"),1,IF(V188="YES",4,2))))</f>
        <v/>
      </c>
      <c r="M188" s="33" t="inlineStr">
        <is>
          <t>LCM</t>
        </is>
      </c>
      <c r="N188" s="33" t="n">
        <v>100</v>
      </c>
      <c r="O188" s="33" t="inlineStr">
        <is>
          <t>Free</t>
        </is>
      </c>
      <c r="P188" s="33" t="inlineStr">
        <is>
          <t>100 Free</t>
        </is>
      </c>
      <c r="Q188" s="33" t="inlineStr">
        <is>
          <t>LCM_100_FREE</t>
        </is>
      </c>
      <c r="R188" s="36" t="n">
        <v>48.7</v>
      </c>
      <c r="S188" s="35">
        <f>IF(R188="","",IF(R188&gt;=60,INT(R188/60)&amp;":"&amp;TEXT(MOD(R188,60),"00.00"),TEXT(R188,"0.00")))</f>
        <v/>
      </c>
      <c r="T188" s="52">
        <f>IFERROR((G188-INDEX('01_Swimmers'!$E$5:$E$22,MATCH(B188,'01_Swimmers'!$A$5:$A$22,0)))/'00_Control'!$B$10,"")</f>
        <v/>
      </c>
      <c r="U188" s="35">
        <f>IF(T188="","",INT(T188))</f>
        <v/>
      </c>
      <c r="V188" s="33" t="inlineStr">
        <is>
          <t>NO</t>
        </is>
      </c>
      <c r="W188" s="33" t="inlineStr">
        <is>
          <t>YES</t>
        </is>
      </c>
      <c r="X188" s="33" t="inlineStr">
        <is>
          <t>NO</t>
        </is>
      </c>
      <c r="Y188" s="33" t="n">
        <v>10</v>
      </c>
      <c r="Z188" s="33" t="n">
        <v>4</v>
      </c>
      <c r="AA188" s="33" t="inlineStr">
        <is>
          <t>7</t>
        </is>
      </c>
      <c r="AB188" s="33" t="inlineStr">
        <is>
          <t>https://www.swimcloud.com/results/120870/event/4/?id=20147971#time20147971</t>
        </is>
      </c>
      <c r="AC188" s="33" t="inlineStr">
        <is>
          <t>SwimCloud API v6 2026-10-08</t>
        </is>
      </c>
      <c r="AD188" s="33" t="inlineStr">
        <is>
          <t>Caeleb Dressel|2018-07-25|LCM|100|Free|48.7|Phillips 66 Summer National Championships|PRE|False</t>
        </is>
      </c>
      <c r="AE188" s="53">
        <f>G188+L188/1000+ROW()/1000000000</f>
        <v/>
      </c>
      <c r="AF188" s="35">
        <f>IF(C188&lt;&gt;"Grayson Coulter","",COUNTIFS($C$5:$C$2991,"Grayson Coulter",$Q$5:$Q$2991,Q188,$AE$5:$AE$2991,"&lt;="&amp;AE188,$R$5:$R$2991,"&lt;"&amp;R188))</f>
        <v/>
      </c>
      <c r="AG188" s="35">
        <f>IF(OR(C188&lt;&gt;"Grayson Coulter",G188&lt;'00_Control'!$B$7),"",--(AF188&lt;5))</f>
        <v/>
      </c>
      <c r="AH188" s="35">
        <f>IF(OR(C188&lt;&gt;"Grayson Coulter",G188&lt;'00_Control'!$B$7),"",--(AF188&lt;10))</f>
        <v/>
      </c>
      <c r="AI188" s="35">
        <f>IF(AND(C188="Grayson Coulter",G188&gt;='00_Control'!$B$7),"YES","NO")</f>
        <v/>
      </c>
      <c r="AJ188" s="33" t="inlineStr">
        <is>
          <t>OK</t>
        </is>
      </c>
    </row>
    <row r="189">
      <c r="A189" s="33" t="inlineStr">
        <is>
          <t>SM000185</t>
        </is>
      </c>
      <c r="B189" s="33" t="inlineStr">
        <is>
          <t>SW010</t>
        </is>
      </c>
      <c r="C189" s="33" t="inlineStr">
        <is>
          <t>Caeleb Dressel</t>
        </is>
      </c>
      <c r="D189" s="33" t="inlineStr">
        <is>
          <t>SwimCloud</t>
        </is>
      </c>
      <c r="E189" s="33" t="inlineStr">
        <is>
          <t>2361642</t>
        </is>
      </c>
      <c r="F189" s="33" t="inlineStr">
        <is>
          <t>20147970</t>
        </is>
      </c>
      <c r="G189" s="51" t="n">
        <v>43306</v>
      </c>
      <c r="H189" s="33" t="inlineStr">
        <is>
          <t>Phillips 66 Summer National Championships</t>
        </is>
      </c>
      <c r="I189" s="33" t="inlineStr">
        <is>
          <t>120870</t>
        </is>
      </c>
      <c r="J189" s="33" t="inlineStr"/>
      <c r="K189" s="33" t="inlineStr">
        <is>
          <t>FIN</t>
        </is>
      </c>
      <c r="L189" s="35">
        <f>IF(K189="FIN",3,IF(OR(K189="SEM",K189="SEMI"),2,IF(OR(K189="PRE",K189="HEAT"),1,IF(V189="YES",4,2))))</f>
        <v/>
      </c>
      <c r="M189" s="33" t="inlineStr">
        <is>
          <t>LCM</t>
        </is>
      </c>
      <c r="N189" s="33" t="n">
        <v>100</v>
      </c>
      <c r="O189" s="33" t="inlineStr">
        <is>
          <t>Free</t>
        </is>
      </c>
      <c r="P189" s="33" t="inlineStr">
        <is>
          <t>100 Free</t>
        </is>
      </c>
      <c r="Q189" s="33" t="inlineStr">
        <is>
          <t>LCM_100_FREE</t>
        </is>
      </c>
      <c r="R189" s="36" t="n">
        <v>48.5</v>
      </c>
      <c r="S189" s="35">
        <f>IF(R189="","",IF(R189&gt;=60,INT(R189/60)&amp;":"&amp;TEXT(MOD(R189,60),"00.00"),TEXT(R189,"0.00")))</f>
        <v/>
      </c>
      <c r="T189" s="52">
        <f>IFERROR((G189-INDEX('01_Swimmers'!$E$5:$E$22,MATCH(B189,'01_Swimmers'!$A$5:$A$22,0)))/'00_Control'!$B$10,"")</f>
        <v/>
      </c>
      <c r="U189" s="35">
        <f>IF(T189="","",INT(T189))</f>
        <v/>
      </c>
      <c r="V189" s="33" t="inlineStr">
        <is>
          <t>NO</t>
        </is>
      </c>
      <c r="W189" s="33" t="inlineStr">
        <is>
          <t>YES</t>
        </is>
      </c>
      <c r="X189" s="33" t="inlineStr">
        <is>
          <t>NO</t>
        </is>
      </c>
      <c r="Y189" s="33" t="n">
        <v>1</v>
      </c>
      <c r="Z189" s="33" t="n">
        <v>1</v>
      </c>
      <c r="AA189" s="33" t="inlineStr">
        <is>
          <t>6</t>
        </is>
      </c>
      <c r="AB189" s="33" t="inlineStr">
        <is>
          <t>https://www.swimcloud.com/results/120870/event/4/?id=20147970#time20147970</t>
        </is>
      </c>
      <c r="AC189" s="33" t="inlineStr">
        <is>
          <t>SwimCloud API v6 2026-10-08</t>
        </is>
      </c>
      <c r="AD189" s="33" t="inlineStr">
        <is>
          <t>Caeleb Dressel|2018-07-25|LCM|100|Free|48.5|Phillips 66 Summer National Championships|FIN|False</t>
        </is>
      </c>
      <c r="AE189" s="53">
        <f>G189+L189/1000+ROW()/1000000000</f>
        <v/>
      </c>
      <c r="AF189" s="35">
        <f>IF(C189&lt;&gt;"Grayson Coulter","",COUNTIFS($C$5:$C$2991,"Grayson Coulter",$Q$5:$Q$2991,Q189,$AE$5:$AE$2991,"&lt;="&amp;AE189,$R$5:$R$2991,"&lt;"&amp;R189))</f>
        <v/>
      </c>
      <c r="AG189" s="35">
        <f>IF(OR(C189&lt;&gt;"Grayson Coulter",G189&lt;'00_Control'!$B$7),"",--(AF189&lt;5))</f>
        <v/>
      </c>
      <c r="AH189" s="35">
        <f>IF(OR(C189&lt;&gt;"Grayson Coulter",G189&lt;'00_Control'!$B$7),"",--(AF189&lt;10))</f>
        <v/>
      </c>
      <c r="AI189" s="35">
        <f>IF(AND(C189="Grayson Coulter",G189&gt;='00_Control'!$B$7),"YES","NO")</f>
        <v/>
      </c>
      <c r="AJ189" s="33" t="inlineStr">
        <is>
          <t>OK</t>
        </is>
      </c>
    </row>
    <row r="190">
      <c r="A190" s="33" t="inlineStr">
        <is>
          <t>SM000186</t>
        </is>
      </c>
      <c r="B190" s="33" t="inlineStr">
        <is>
          <t>SW010</t>
        </is>
      </c>
      <c r="C190" s="33" t="inlineStr">
        <is>
          <t>Caeleb Dressel</t>
        </is>
      </c>
      <c r="D190" s="33" t="inlineStr">
        <is>
          <t>SwimCloud</t>
        </is>
      </c>
      <c r="E190" s="33" t="inlineStr">
        <is>
          <t>2361642</t>
        </is>
      </c>
      <c r="F190" s="33" t="inlineStr">
        <is>
          <t>20147969</t>
        </is>
      </c>
      <c r="G190" s="51" t="n">
        <v>43308</v>
      </c>
      <c r="H190" s="33" t="inlineStr">
        <is>
          <t>Phillips 66 Summer National Championships</t>
        </is>
      </c>
      <c r="I190" s="33" t="inlineStr">
        <is>
          <t>120870</t>
        </is>
      </c>
      <c r="J190" s="33" t="inlineStr"/>
      <c r="K190" s="33" t="inlineStr">
        <is>
          <t>PRE</t>
        </is>
      </c>
      <c r="L190" s="35">
        <f>IF(K190="FIN",3,IF(OR(K190="SEM",K190="SEMI"),2,IF(OR(K190="PRE",K190="HEAT"),1,IF(V190="YES",4,2))))</f>
        <v/>
      </c>
      <c r="M190" s="33" t="inlineStr">
        <is>
          <t>LCM</t>
        </is>
      </c>
      <c r="N190" s="33" t="n">
        <v>100</v>
      </c>
      <c r="O190" s="33" t="inlineStr">
        <is>
          <t>Fly</t>
        </is>
      </c>
      <c r="P190" s="33" t="inlineStr">
        <is>
          <t>100 Fly</t>
        </is>
      </c>
      <c r="Q190" s="33" t="inlineStr">
        <is>
          <t>LCM_100_FLY</t>
        </is>
      </c>
      <c r="R190" s="36" t="n">
        <v>52</v>
      </c>
      <c r="S190" s="35">
        <f>IF(R190="","",IF(R190&gt;=60,INT(R190/60)&amp;":"&amp;TEXT(MOD(R190,60),"00.00"),TEXT(R190,"0.00")))</f>
        <v/>
      </c>
      <c r="T190" s="52">
        <f>IFERROR((G190-INDEX('01_Swimmers'!$E$5:$E$22,MATCH(B190,'01_Swimmers'!$A$5:$A$22,0)))/'00_Control'!$B$10,"")</f>
        <v/>
      </c>
      <c r="U190" s="35">
        <f>IF(T190="","",INT(T190))</f>
        <v/>
      </c>
      <c r="V190" s="33" t="inlineStr">
        <is>
          <t>NO</t>
        </is>
      </c>
      <c r="W190" s="33" t="inlineStr">
        <is>
          <t>YES</t>
        </is>
      </c>
      <c r="X190" s="33" t="inlineStr">
        <is>
          <t>NO</t>
        </is>
      </c>
      <c r="Y190" s="33" t="n">
        <v>12</v>
      </c>
      <c r="Z190" s="33" t="n">
        <v>4</v>
      </c>
      <c r="AA190" s="33" t="inlineStr">
        <is>
          <t>4</t>
        </is>
      </c>
      <c r="AB190" s="33" t="inlineStr">
        <is>
          <t>https://www.swimcloud.com/results/120870/event/18/?id=20147969#time20147969</t>
        </is>
      </c>
      <c r="AC190" s="33" t="inlineStr">
        <is>
          <t>SwimCloud API v6 2026-10-08</t>
        </is>
      </c>
      <c r="AD190" s="33" t="inlineStr">
        <is>
          <t>Caeleb Dressel|2018-07-27|LCM|100|Fly|52.0|Phillips 66 Summer National Championships|PRE|False</t>
        </is>
      </c>
      <c r="AE190" s="53">
        <f>G190+L190/1000+ROW()/1000000000</f>
        <v/>
      </c>
      <c r="AF190" s="35">
        <f>IF(C190&lt;&gt;"Grayson Coulter","",COUNTIFS($C$5:$C$2991,"Grayson Coulter",$Q$5:$Q$2991,Q190,$AE$5:$AE$2991,"&lt;="&amp;AE190,$R$5:$R$2991,"&lt;"&amp;R190))</f>
        <v/>
      </c>
      <c r="AG190" s="35">
        <f>IF(OR(C190&lt;&gt;"Grayson Coulter",G190&lt;'00_Control'!$B$7),"",--(AF190&lt;5))</f>
        <v/>
      </c>
      <c r="AH190" s="35">
        <f>IF(OR(C190&lt;&gt;"Grayson Coulter",G190&lt;'00_Control'!$B$7),"",--(AF190&lt;10))</f>
        <v/>
      </c>
      <c r="AI190" s="35">
        <f>IF(AND(C190="Grayson Coulter",G190&gt;='00_Control'!$B$7),"YES","NO")</f>
        <v/>
      </c>
      <c r="AJ190" s="33" t="inlineStr">
        <is>
          <t>OK</t>
        </is>
      </c>
    </row>
    <row r="191">
      <c r="A191" s="33" t="inlineStr">
        <is>
          <t>SM000187</t>
        </is>
      </c>
      <c r="B191" s="33" t="inlineStr">
        <is>
          <t>SW010</t>
        </is>
      </c>
      <c r="C191" s="33" t="inlineStr">
        <is>
          <t>Caeleb Dressel</t>
        </is>
      </c>
      <c r="D191" s="33" t="inlineStr">
        <is>
          <t>SwimCloud</t>
        </is>
      </c>
      <c r="E191" s="33" t="inlineStr">
        <is>
          <t>2361642</t>
        </is>
      </c>
      <c r="F191" s="33" t="inlineStr">
        <is>
          <t>20147968</t>
        </is>
      </c>
      <c r="G191" s="51" t="n">
        <v>43308</v>
      </c>
      <c r="H191" s="33" t="inlineStr">
        <is>
          <t>Phillips 66 Summer National Championships</t>
        </is>
      </c>
      <c r="I191" s="33" t="inlineStr">
        <is>
          <t>120870</t>
        </is>
      </c>
      <c r="J191" s="33" t="inlineStr"/>
      <c r="K191" s="33" t="inlineStr">
        <is>
          <t>FIN</t>
        </is>
      </c>
      <c r="L191" s="35">
        <f>IF(K191="FIN",3,IF(OR(K191="SEM",K191="SEMI"),2,IF(OR(K191="PRE",K191="HEAT"),1,IF(V191="YES",4,2))))</f>
        <v/>
      </c>
      <c r="M191" s="33" t="inlineStr">
        <is>
          <t>LCM</t>
        </is>
      </c>
      <c r="N191" s="33" t="n">
        <v>100</v>
      </c>
      <c r="O191" s="33" t="inlineStr">
        <is>
          <t>Fly</t>
        </is>
      </c>
      <c r="P191" s="33" t="inlineStr">
        <is>
          <t>100 Fly</t>
        </is>
      </c>
      <c r="Q191" s="33" t="inlineStr">
        <is>
          <t>LCM_100_FLY</t>
        </is>
      </c>
      <c r="R191" s="36" t="n">
        <v>50.5</v>
      </c>
      <c r="S191" s="35">
        <f>IF(R191="","",IF(R191&gt;=60,INT(R191/60)&amp;":"&amp;TEXT(MOD(R191,60),"00.00"),TEXT(R191,"0.00")))</f>
        <v/>
      </c>
      <c r="T191" s="52">
        <f>IFERROR((G191-INDEX('01_Swimmers'!$E$5:$E$22,MATCH(B191,'01_Swimmers'!$A$5:$A$22,0)))/'00_Control'!$B$10,"")</f>
        <v/>
      </c>
      <c r="U191" s="35">
        <f>IF(T191="","",INT(T191))</f>
        <v/>
      </c>
      <c r="V191" s="33" t="inlineStr">
        <is>
          <t>NO</t>
        </is>
      </c>
      <c r="W191" s="33" t="inlineStr">
        <is>
          <t>YES</t>
        </is>
      </c>
      <c r="X191" s="33" t="inlineStr">
        <is>
          <t>NO</t>
        </is>
      </c>
      <c r="Y191" s="33" t="n">
        <v>1</v>
      </c>
      <c r="Z191" s="33" t="n">
        <v>6</v>
      </c>
      <c r="AA191" s="33" t="inlineStr">
        <is>
          <t>1</t>
        </is>
      </c>
      <c r="AB191" s="33" t="inlineStr">
        <is>
          <t>https://www.swimcloud.com/results/120870/event/18/?id=20147968#time20147968</t>
        </is>
      </c>
      <c r="AC191" s="33" t="inlineStr">
        <is>
          <t>SwimCloud API v6 2026-10-08</t>
        </is>
      </c>
      <c r="AD191" s="33" t="inlineStr">
        <is>
          <t>Caeleb Dressel|2018-07-27|LCM|100|Fly|50.5|Phillips 66 Summer National Championships|FIN|False</t>
        </is>
      </c>
      <c r="AE191" s="53">
        <f>G191+L191/1000+ROW()/1000000000</f>
        <v/>
      </c>
      <c r="AF191" s="35">
        <f>IF(C191&lt;&gt;"Grayson Coulter","",COUNTIFS($C$5:$C$2991,"Grayson Coulter",$Q$5:$Q$2991,Q191,$AE$5:$AE$2991,"&lt;="&amp;AE191,$R$5:$R$2991,"&lt;"&amp;R191))</f>
        <v/>
      </c>
      <c r="AG191" s="35">
        <f>IF(OR(C191&lt;&gt;"Grayson Coulter",G191&lt;'00_Control'!$B$7),"",--(AF191&lt;5))</f>
        <v/>
      </c>
      <c r="AH191" s="35">
        <f>IF(OR(C191&lt;&gt;"Grayson Coulter",G191&lt;'00_Control'!$B$7),"",--(AF191&lt;10))</f>
        <v/>
      </c>
      <c r="AI191" s="35">
        <f>IF(AND(C191="Grayson Coulter",G191&gt;='00_Control'!$B$7),"YES","NO")</f>
        <v/>
      </c>
      <c r="AJ191" s="33" t="inlineStr">
        <is>
          <t>OK</t>
        </is>
      </c>
    </row>
    <row r="192">
      <c r="A192" s="33" t="inlineStr">
        <is>
          <t>SM000188</t>
        </is>
      </c>
      <c r="B192" s="33" t="inlineStr">
        <is>
          <t>SW010</t>
        </is>
      </c>
      <c r="C192" s="33" t="inlineStr">
        <is>
          <t>Caeleb Dressel</t>
        </is>
      </c>
      <c r="D192" s="33" t="inlineStr">
        <is>
          <t>SwimCloud</t>
        </is>
      </c>
      <c r="E192" s="33" t="inlineStr">
        <is>
          <t>2361642</t>
        </is>
      </c>
      <c r="F192" s="33" t="inlineStr">
        <is>
          <t>20180515</t>
        </is>
      </c>
      <c r="G192" s="51" t="n">
        <v>43322</v>
      </c>
      <c r="H192" s="33" t="inlineStr">
        <is>
          <t>Pan Pacific Championships</t>
        </is>
      </c>
      <c r="I192" s="33" t="inlineStr">
        <is>
          <t>122897</t>
        </is>
      </c>
      <c r="J192" s="33" t="inlineStr"/>
      <c r="K192" s="33" t="inlineStr">
        <is>
          <t>PRE</t>
        </is>
      </c>
      <c r="L192" s="35">
        <f>IF(K192="FIN",3,IF(OR(K192="SEM",K192="SEMI"),2,IF(OR(K192="PRE",K192="HEAT"),1,IF(V192="YES",4,2))))</f>
        <v/>
      </c>
      <c r="M192" s="33" t="inlineStr">
        <is>
          <t>LCM</t>
        </is>
      </c>
      <c r="N192" s="33" t="n">
        <v>100</v>
      </c>
      <c r="O192" s="33" t="inlineStr">
        <is>
          <t>Fly</t>
        </is>
      </c>
      <c r="P192" s="33" t="inlineStr">
        <is>
          <t>100 Fly</t>
        </is>
      </c>
      <c r="Q192" s="33" t="inlineStr">
        <is>
          <t>LCM_100_FLY</t>
        </is>
      </c>
      <c r="R192" s="36" t="n">
        <v>51.69</v>
      </c>
      <c r="S192" s="35">
        <f>IF(R192="","",IF(R192&gt;=60,INT(R192/60)&amp;":"&amp;TEXT(MOD(R192,60),"00.00"),TEXT(R192,"0.00")))</f>
        <v/>
      </c>
      <c r="T192" s="52">
        <f>IFERROR((G192-INDEX('01_Swimmers'!$E$5:$E$22,MATCH(B192,'01_Swimmers'!$A$5:$A$22,0)))/'00_Control'!$B$10,"")</f>
        <v/>
      </c>
      <c r="U192" s="35">
        <f>IF(T192="","",INT(T192))</f>
        <v/>
      </c>
      <c r="V192" s="33" t="inlineStr">
        <is>
          <t>NO</t>
        </is>
      </c>
      <c r="W192" s="33" t="inlineStr">
        <is>
          <t>YES</t>
        </is>
      </c>
      <c r="X192" s="33" t="inlineStr">
        <is>
          <t>NO</t>
        </is>
      </c>
      <c r="Y192" s="33" t="n">
        <v>4</v>
      </c>
      <c r="Z192" s="33" t="n">
        <v>4</v>
      </c>
      <c r="AA192" s="33" t="inlineStr">
        <is>
          <t>1</t>
        </is>
      </c>
      <c r="AB192" s="33" t="inlineStr">
        <is>
          <t>https://www.swimcloud.com/results/122897/event/25/?id=20180515#time20180515</t>
        </is>
      </c>
      <c r="AC192" s="33" t="inlineStr">
        <is>
          <t>SwimCloud API v6 2026-10-08</t>
        </is>
      </c>
      <c r="AD192" s="33" t="inlineStr">
        <is>
          <t>Caeleb Dressel|2018-08-10|LCM|100|Fly|51.69|Pan Pacific Championships|PRE|False</t>
        </is>
      </c>
      <c r="AE192" s="53">
        <f>G192+L192/1000+ROW()/1000000000</f>
        <v/>
      </c>
      <c r="AF192" s="35">
        <f>IF(C192&lt;&gt;"Grayson Coulter","",COUNTIFS($C$5:$C$2991,"Grayson Coulter",$Q$5:$Q$2991,Q192,$AE$5:$AE$2991,"&lt;="&amp;AE192,$R$5:$R$2991,"&lt;"&amp;R192))</f>
        <v/>
      </c>
      <c r="AG192" s="35">
        <f>IF(OR(C192&lt;&gt;"Grayson Coulter",G192&lt;'00_Control'!$B$7),"",--(AF192&lt;5))</f>
        <v/>
      </c>
      <c r="AH192" s="35">
        <f>IF(OR(C192&lt;&gt;"Grayson Coulter",G192&lt;'00_Control'!$B$7),"",--(AF192&lt;10))</f>
        <v/>
      </c>
      <c r="AI192" s="35">
        <f>IF(AND(C192="Grayson Coulter",G192&gt;='00_Control'!$B$7),"YES","NO")</f>
        <v/>
      </c>
      <c r="AJ192" s="33" t="inlineStr">
        <is>
          <t>OK</t>
        </is>
      </c>
    </row>
    <row r="193">
      <c r="A193" s="33" t="inlineStr">
        <is>
          <t>SM000189</t>
        </is>
      </c>
      <c r="B193" s="33" t="inlineStr">
        <is>
          <t>SW010</t>
        </is>
      </c>
      <c r="C193" s="33" t="inlineStr">
        <is>
          <t>Caeleb Dressel</t>
        </is>
      </c>
      <c r="D193" s="33" t="inlineStr">
        <is>
          <t>SwimCloud</t>
        </is>
      </c>
      <c r="E193" s="33" t="inlineStr">
        <is>
          <t>2361642</t>
        </is>
      </c>
      <c r="F193" s="33" t="inlineStr">
        <is>
          <t>20180504</t>
        </is>
      </c>
      <c r="G193" s="51" t="n">
        <v>43322</v>
      </c>
      <c r="H193" s="33" t="inlineStr">
        <is>
          <t>Pan Pacific Championships</t>
        </is>
      </c>
      <c r="I193" s="33" t="inlineStr">
        <is>
          <t>122897</t>
        </is>
      </c>
      <c r="J193" s="33" t="inlineStr"/>
      <c r="K193" s="33" t="inlineStr">
        <is>
          <t>FIN</t>
        </is>
      </c>
      <c r="L193" s="35">
        <f>IF(K193="FIN",3,IF(OR(K193="SEM",K193="SEMI"),2,IF(OR(K193="PRE",K193="HEAT"),1,IF(V193="YES",4,2))))</f>
        <v/>
      </c>
      <c r="M193" s="33" t="inlineStr">
        <is>
          <t>LCM</t>
        </is>
      </c>
      <c r="N193" s="33" t="n">
        <v>100</v>
      </c>
      <c r="O193" s="33" t="inlineStr">
        <is>
          <t>Fly</t>
        </is>
      </c>
      <c r="P193" s="33" t="inlineStr">
        <is>
          <t>100 Fly</t>
        </is>
      </c>
      <c r="Q193" s="33" t="inlineStr">
        <is>
          <t>LCM_100_FLY</t>
        </is>
      </c>
      <c r="R193" s="36" t="n">
        <v>50.75</v>
      </c>
      <c r="S193" s="35">
        <f>IF(R193="","",IF(R193&gt;=60,INT(R193/60)&amp;":"&amp;TEXT(MOD(R193,60),"00.00"),TEXT(R193,"0.00")))</f>
        <v/>
      </c>
      <c r="T193" s="52">
        <f>IFERROR((G193-INDEX('01_Swimmers'!$E$5:$E$22,MATCH(B193,'01_Swimmers'!$A$5:$A$22,0)))/'00_Control'!$B$10,"")</f>
        <v/>
      </c>
      <c r="U193" s="35">
        <f>IF(T193="","",INT(T193))</f>
        <v/>
      </c>
      <c r="V193" s="33" t="inlineStr">
        <is>
          <t>NO</t>
        </is>
      </c>
      <c r="W193" s="33" t="inlineStr">
        <is>
          <t>YES</t>
        </is>
      </c>
      <c r="X193" s="33" t="inlineStr">
        <is>
          <t>NO</t>
        </is>
      </c>
      <c r="Y193" s="33" t="n">
        <v>1</v>
      </c>
      <c r="Z193" s="33" t="n">
        <v>4</v>
      </c>
      <c r="AA193" s="33" t="inlineStr">
        <is>
          <t>1</t>
        </is>
      </c>
      <c r="AB193" s="33" t="inlineStr">
        <is>
          <t>https://www.swimcloud.com/results/122897/event/25/?id=20180504#time20180504</t>
        </is>
      </c>
      <c r="AC193" s="33" t="inlineStr">
        <is>
          <t>SwimCloud API v6 2026-10-08</t>
        </is>
      </c>
      <c r="AD193" s="33" t="inlineStr">
        <is>
          <t>Caeleb Dressel|2018-08-10|LCM|100|Fly|50.75|Pan Pacific Championships|FIN|False</t>
        </is>
      </c>
      <c r="AE193" s="53">
        <f>G193+L193/1000+ROW()/1000000000</f>
        <v/>
      </c>
      <c r="AF193" s="35">
        <f>IF(C193&lt;&gt;"Grayson Coulter","",COUNTIFS($C$5:$C$2991,"Grayson Coulter",$Q$5:$Q$2991,Q193,$AE$5:$AE$2991,"&lt;="&amp;AE193,$R$5:$R$2991,"&lt;"&amp;R193))</f>
        <v/>
      </c>
      <c r="AG193" s="35">
        <f>IF(OR(C193&lt;&gt;"Grayson Coulter",G193&lt;'00_Control'!$B$7),"",--(AF193&lt;5))</f>
        <v/>
      </c>
      <c r="AH193" s="35">
        <f>IF(OR(C193&lt;&gt;"Grayson Coulter",G193&lt;'00_Control'!$B$7),"",--(AF193&lt;10))</f>
        <v/>
      </c>
      <c r="AI193" s="35">
        <f>IF(AND(C193="Grayson Coulter",G193&gt;='00_Control'!$B$7),"YES","NO")</f>
        <v/>
      </c>
      <c r="AJ193" s="33" t="inlineStr">
        <is>
          <t>OK</t>
        </is>
      </c>
    </row>
    <row r="194">
      <c r="A194" s="33" t="inlineStr">
        <is>
          <t>SM000190</t>
        </is>
      </c>
      <c r="B194" s="33" t="inlineStr">
        <is>
          <t>SW010</t>
        </is>
      </c>
      <c r="C194" s="33" t="inlineStr">
        <is>
          <t>Caeleb Dressel</t>
        </is>
      </c>
      <c r="D194" s="33" t="inlineStr">
        <is>
          <t>SwimCloud</t>
        </is>
      </c>
      <c r="E194" s="33" t="inlineStr">
        <is>
          <t>2361642</t>
        </is>
      </c>
      <c r="F194" s="33" t="inlineStr">
        <is>
          <t>20180596</t>
        </is>
      </c>
      <c r="G194" s="51" t="n">
        <v>43322</v>
      </c>
      <c r="H194" s="33" t="inlineStr">
        <is>
          <t>Pan Pacific Championships</t>
        </is>
      </c>
      <c r="I194" s="33" t="inlineStr">
        <is>
          <t>122897</t>
        </is>
      </c>
      <c r="J194" s="33" t="inlineStr"/>
      <c r="K194" s="33" t="inlineStr">
        <is>
          <t>PRE</t>
        </is>
      </c>
      <c r="L194" s="35">
        <f>IF(K194="FIN",3,IF(OR(K194="SEM",K194="SEMI"),2,IF(OR(K194="PRE",K194="HEAT"),1,IF(V194="YES",4,2))))</f>
        <v/>
      </c>
      <c r="M194" s="33" t="inlineStr">
        <is>
          <t>LCM</t>
        </is>
      </c>
      <c r="N194" s="33" t="n">
        <v>100</v>
      </c>
      <c r="O194" s="33" t="inlineStr">
        <is>
          <t>Free</t>
        </is>
      </c>
      <c r="P194" s="33" t="inlineStr">
        <is>
          <t>100 Free</t>
        </is>
      </c>
      <c r="Q194" s="33" t="inlineStr">
        <is>
          <t>LCM_100_FREE</t>
        </is>
      </c>
      <c r="R194" s="36" t="n">
        <v>48.13</v>
      </c>
      <c r="S194" s="35">
        <f>IF(R194="","",IF(R194&gt;=60,INT(R194/60)&amp;":"&amp;TEXT(MOD(R194,60),"00.00"),TEXT(R194,"0.00")))</f>
        <v/>
      </c>
      <c r="T194" s="52">
        <f>IFERROR((G194-INDEX('01_Swimmers'!$E$5:$E$22,MATCH(B194,'01_Swimmers'!$A$5:$A$22,0)))/'00_Control'!$B$10,"")</f>
        <v/>
      </c>
      <c r="U194" s="35">
        <f>IF(T194="","",INT(T194))</f>
        <v/>
      </c>
      <c r="V194" s="33" t="inlineStr">
        <is>
          <t>NO</t>
        </is>
      </c>
      <c r="W194" s="33" t="inlineStr">
        <is>
          <t>YES</t>
        </is>
      </c>
      <c r="X194" s="33" t="inlineStr">
        <is>
          <t>NO</t>
        </is>
      </c>
      <c r="Y194" s="33" t="n">
        <v>5</v>
      </c>
      <c r="Z194" s="33" t="n">
        <v>4</v>
      </c>
      <c r="AA194" s="33" t="inlineStr">
        <is>
          <t>2</t>
        </is>
      </c>
      <c r="AB194" s="33" t="inlineStr">
        <is>
          <t>https://www.swimcloud.com/results/122897/event/16/?id=20180596#time20180596</t>
        </is>
      </c>
      <c r="AC194" s="33" t="inlineStr">
        <is>
          <t>SwimCloud API v6 2026-10-08</t>
        </is>
      </c>
      <c r="AD194" s="33" t="inlineStr">
        <is>
          <t>Caeleb Dressel|2018-08-10|LCM|100|Free|48.13|Pan Pacific Championships|PRE|False</t>
        </is>
      </c>
      <c r="AE194" s="53">
        <f>G194+L194/1000+ROW()/1000000000</f>
        <v/>
      </c>
      <c r="AF194" s="35">
        <f>IF(C194&lt;&gt;"Grayson Coulter","",COUNTIFS($C$5:$C$2991,"Grayson Coulter",$Q$5:$Q$2991,Q194,$AE$5:$AE$2991,"&lt;="&amp;AE194,$R$5:$R$2991,"&lt;"&amp;R194))</f>
        <v/>
      </c>
      <c r="AG194" s="35">
        <f>IF(OR(C194&lt;&gt;"Grayson Coulter",G194&lt;'00_Control'!$B$7),"",--(AF194&lt;5))</f>
        <v/>
      </c>
      <c r="AH194" s="35">
        <f>IF(OR(C194&lt;&gt;"Grayson Coulter",G194&lt;'00_Control'!$B$7),"",--(AF194&lt;10))</f>
        <v/>
      </c>
      <c r="AI194" s="35">
        <f>IF(AND(C194="Grayson Coulter",G194&gt;='00_Control'!$B$7),"YES","NO")</f>
        <v/>
      </c>
      <c r="AJ194" s="33" t="inlineStr">
        <is>
          <t>OK</t>
        </is>
      </c>
    </row>
    <row r="195">
      <c r="A195" s="33" t="inlineStr">
        <is>
          <t>SM000191</t>
        </is>
      </c>
      <c r="B195" s="33" t="inlineStr">
        <is>
          <t>SW010</t>
        </is>
      </c>
      <c r="C195" s="33" t="inlineStr">
        <is>
          <t>Caeleb Dressel</t>
        </is>
      </c>
      <c r="D195" s="33" t="inlineStr">
        <is>
          <t>SwimCloud</t>
        </is>
      </c>
      <c r="E195" s="33" t="inlineStr">
        <is>
          <t>2361642</t>
        </is>
      </c>
      <c r="F195" s="33" t="inlineStr">
        <is>
          <t>20180803</t>
        </is>
      </c>
      <c r="G195" s="51" t="n">
        <v>43322</v>
      </c>
      <c r="H195" s="33" t="inlineStr">
        <is>
          <t>Pan Pacific Championships</t>
        </is>
      </c>
      <c r="I195" s="33" t="inlineStr">
        <is>
          <t>122897</t>
        </is>
      </c>
      <c r="J195" s="33" t="inlineStr"/>
      <c r="K195" s="33" t="inlineStr">
        <is>
          <t>FIN</t>
        </is>
      </c>
      <c r="L195" s="35">
        <f>IF(K195="FIN",3,IF(OR(K195="SEM",K195="SEMI"),2,IF(OR(K195="PRE",K195="HEAT"),1,IF(V195="YES",4,2))))</f>
        <v/>
      </c>
      <c r="M195" s="33" t="inlineStr">
        <is>
          <t>LCM</t>
        </is>
      </c>
      <c r="N195" s="33" t="n">
        <v>100</v>
      </c>
      <c r="O195" s="33" t="inlineStr">
        <is>
          <t>Free</t>
        </is>
      </c>
      <c r="P195" s="33" t="inlineStr">
        <is>
          <t>100 Free</t>
        </is>
      </c>
      <c r="Q195" s="33" t="inlineStr">
        <is>
          <t>LCM_100_FREE</t>
        </is>
      </c>
      <c r="R195" s="36" t="n">
        <v>48.22</v>
      </c>
      <c r="S195" s="35">
        <f>IF(R195="","",IF(R195&gt;=60,INT(R195/60)&amp;":"&amp;TEXT(MOD(R195,60),"00.00"),TEXT(R195,"0.00")))</f>
        <v/>
      </c>
      <c r="T195" s="52">
        <f>IFERROR((G195-INDEX('01_Swimmers'!$E$5:$E$22,MATCH(B195,'01_Swimmers'!$A$5:$A$22,0)))/'00_Control'!$B$10,"")</f>
        <v/>
      </c>
      <c r="U195" s="35">
        <f>IF(T195="","",INT(T195))</f>
        <v/>
      </c>
      <c r="V195" s="33" t="inlineStr">
        <is>
          <t>NO</t>
        </is>
      </c>
      <c r="W195" s="33" t="inlineStr">
        <is>
          <t>YES</t>
        </is>
      </c>
      <c r="X195" s="33" t="inlineStr">
        <is>
          <t>NO</t>
        </is>
      </c>
      <c r="Y195" s="33" t="n">
        <v>1</v>
      </c>
      <c r="Z195" s="33" t="n">
        <v>5</v>
      </c>
      <c r="AA195" s="33" t="inlineStr">
        <is>
          <t>2</t>
        </is>
      </c>
      <c r="AB195" s="33" t="inlineStr">
        <is>
          <t>https://www.swimcloud.com/results/122897/event/16/?id=20180803#time20180803</t>
        </is>
      </c>
      <c r="AC195" s="33" t="inlineStr">
        <is>
          <t>SwimCloud API v6 2026-10-08</t>
        </is>
      </c>
      <c r="AD195" s="33" t="inlineStr">
        <is>
          <t>Caeleb Dressel|2018-08-10|LCM|100|Free|48.22|Pan Pacific Championships|FIN|False</t>
        </is>
      </c>
      <c r="AE195" s="53">
        <f>G195+L195/1000+ROW()/1000000000</f>
        <v/>
      </c>
      <c r="AF195" s="35">
        <f>IF(C195&lt;&gt;"Grayson Coulter","",COUNTIFS($C$5:$C$2991,"Grayson Coulter",$Q$5:$Q$2991,Q195,$AE$5:$AE$2991,"&lt;="&amp;AE195,$R$5:$R$2991,"&lt;"&amp;R195))</f>
        <v/>
      </c>
      <c r="AG195" s="35">
        <f>IF(OR(C195&lt;&gt;"Grayson Coulter",G195&lt;'00_Control'!$B$7),"",--(AF195&lt;5))</f>
        <v/>
      </c>
      <c r="AH195" s="35">
        <f>IF(OR(C195&lt;&gt;"Grayson Coulter",G195&lt;'00_Control'!$B$7),"",--(AF195&lt;10))</f>
        <v/>
      </c>
      <c r="AI195" s="35">
        <f>IF(AND(C195="Grayson Coulter",G195&gt;='00_Control'!$B$7),"YES","NO")</f>
        <v/>
      </c>
      <c r="AJ195" s="33" t="inlineStr">
        <is>
          <t>OK</t>
        </is>
      </c>
    </row>
    <row r="196">
      <c r="A196" s="33" t="inlineStr">
        <is>
          <t>SM000192</t>
        </is>
      </c>
      <c r="B196" s="33" t="inlineStr">
        <is>
          <t>SW010</t>
        </is>
      </c>
      <c r="C196" s="33" t="inlineStr">
        <is>
          <t>Caeleb Dressel</t>
        </is>
      </c>
      <c r="D196" s="33" t="inlineStr">
        <is>
          <t>SwimCloud</t>
        </is>
      </c>
      <c r="E196" s="33" t="inlineStr">
        <is>
          <t>2361642</t>
        </is>
      </c>
      <c r="F196" s="33" t="inlineStr">
        <is>
          <t>20180809</t>
        </is>
      </c>
      <c r="G196" s="51" t="n">
        <v>43322</v>
      </c>
      <c r="H196" s="33" t="inlineStr">
        <is>
          <t>Pan Pacific Championships</t>
        </is>
      </c>
      <c r="I196" s="33" t="inlineStr">
        <is>
          <t>122897</t>
        </is>
      </c>
      <c r="J196" s="33" t="inlineStr"/>
      <c r="K196" s="33" t="inlineStr">
        <is>
          <t>PRE</t>
        </is>
      </c>
      <c r="L196" s="35">
        <f>IF(K196="FIN",3,IF(OR(K196="SEM",K196="SEMI"),2,IF(OR(K196="PRE",K196="HEAT"),1,IF(V196="YES",4,2))))</f>
        <v/>
      </c>
      <c r="M196" s="33" t="inlineStr">
        <is>
          <t>LCM</t>
        </is>
      </c>
      <c r="N196" s="33" t="n">
        <v>200</v>
      </c>
      <c r="O196" s="33" t="inlineStr">
        <is>
          <t>Free</t>
        </is>
      </c>
      <c r="P196" s="33" t="inlineStr">
        <is>
          <t>200 Free</t>
        </is>
      </c>
      <c r="Q196" s="33" t="inlineStr">
        <is>
          <t>LCM_200_FREE</t>
        </is>
      </c>
      <c r="R196" s="36" t="n">
        <v>107.89</v>
      </c>
      <c r="S196" s="35">
        <f>IF(R196="","",IF(R196&gt;=60,INT(R196/60)&amp;":"&amp;TEXT(MOD(R196,60),"00.00"),TEXT(R196,"0.00")))</f>
        <v/>
      </c>
      <c r="T196" s="52">
        <f>IFERROR((G196-INDEX('01_Swimmers'!$E$5:$E$22,MATCH(B196,'01_Swimmers'!$A$5:$A$22,0)))/'00_Control'!$B$10,"")</f>
        <v/>
      </c>
      <c r="U196" s="35">
        <f>IF(T196="","",INT(T196))</f>
        <v/>
      </c>
      <c r="V196" s="33" t="inlineStr">
        <is>
          <t>NO</t>
        </is>
      </c>
      <c r="W196" s="33" t="inlineStr">
        <is>
          <t>YES</t>
        </is>
      </c>
      <c r="X196" s="33" t="inlineStr">
        <is>
          <t>NO</t>
        </is>
      </c>
      <c r="Y196" s="33" t="n">
        <v>5</v>
      </c>
      <c r="Z196" s="33" t="n">
        <v>7</v>
      </c>
      <c r="AA196" s="33" t="inlineStr">
        <is>
          <t>18</t>
        </is>
      </c>
      <c r="AB196" s="33" t="inlineStr">
        <is>
          <t>https://www.swimcloud.com/results/122897/event/17/?id=20180809#time20180809</t>
        </is>
      </c>
      <c r="AC196" s="33" t="inlineStr">
        <is>
          <t>SwimCloud API v6 2026-10-08</t>
        </is>
      </c>
      <c r="AD196" s="33" t="inlineStr">
        <is>
          <t>Caeleb Dressel|2018-08-10|LCM|200|Free|107.89|Pan Pacific Championships|PRE|False</t>
        </is>
      </c>
      <c r="AE196" s="53">
        <f>G196+L196/1000+ROW()/1000000000</f>
        <v/>
      </c>
      <c r="AF196" s="35">
        <f>IF(C196&lt;&gt;"Grayson Coulter","",COUNTIFS($C$5:$C$2991,"Grayson Coulter",$Q$5:$Q$2991,Q196,$AE$5:$AE$2991,"&lt;="&amp;AE196,$R$5:$R$2991,"&lt;"&amp;R196))</f>
        <v/>
      </c>
      <c r="AG196" s="35">
        <f>IF(OR(C196&lt;&gt;"Grayson Coulter",G196&lt;'00_Control'!$B$7),"",--(AF196&lt;5))</f>
        <v/>
      </c>
      <c r="AH196" s="35">
        <f>IF(OR(C196&lt;&gt;"Grayson Coulter",G196&lt;'00_Control'!$B$7),"",--(AF196&lt;10))</f>
        <v/>
      </c>
      <c r="AI196" s="35">
        <f>IF(AND(C196="Grayson Coulter",G196&gt;='00_Control'!$B$7),"YES","NO")</f>
        <v/>
      </c>
      <c r="AJ196" s="33" t="inlineStr">
        <is>
          <t>OK</t>
        </is>
      </c>
    </row>
    <row r="197">
      <c r="A197" s="33" t="inlineStr">
        <is>
          <t>SM000193</t>
        </is>
      </c>
      <c r="B197" s="33" t="inlineStr">
        <is>
          <t>SW010</t>
        </is>
      </c>
      <c r="C197" s="33" t="inlineStr">
        <is>
          <t>Caeleb Dressel</t>
        </is>
      </c>
      <c r="D197" s="33" t="inlineStr">
        <is>
          <t>SwimCloud</t>
        </is>
      </c>
      <c r="E197" s="33" t="inlineStr">
        <is>
          <t>2361642</t>
        </is>
      </c>
      <c r="F197" s="33" t="inlineStr">
        <is>
          <t>22327924</t>
        </is>
      </c>
      <c r="G197" s="51" t="n">
        <v>43445</v>
      </c>
      <c r="H197" s="33" t="inlineStr">
        <is>
          <t>14th FINA World Short Course Championships</t>
        </is>
      </c>
      <c r="I197" s="33" t="inlineStr">
        <is>
          <t>137600</t>
        </is>
      </c>
      <c r="J197" s="33" t="inlineStr"/>
      <c r="K197" s="33" t="inlineStr">
        <is>
          <t>FIN</t>
        </is>
      </c>
      <c r="L197" s="35">
        <f>IF(K197="FIN",3,IF(OR(K197="SEM",K197="SEMI"),2,IF(OR(K197="PRE",K197="HEAT"),1,IF(V197="YES",4,2))))</f>
        <v/>
      </c>
      <c r="M197" s="33" t="inlineStr">
        <is>
          <t>SCM</t>
        </is>
      </c>
      <c r="N197" s="33" t="n">
        <v>100</v>
      </c>
      <c r="O197" s="33" t="inlineStr">
        <is>
          <t>Free</t>
        </is>
      </c>
      <c r="P197" s="33" t="inlineStr">
        <is>
          <t>100 Free</t>
        </is>
      </c>
      <c r="Q197" s="33" t="inlineStr">
        <is>
          <t>SCM_100_FREE</t>
        </is>
      </c>
      <c r="R197" s="36" t="n">
        <v>45.66</v>
      </c>
      <c r="S197" s="35">
        <f>IF(R197="","",IF(R197&gt;=60,INT(R197/60)&amp;":"&amp;TEXT(MOD(R197,60),"00.00"),TEXT(R197,"0.00")))</f>
        <v/>
      </c>
      <c r="T197" s="52">
        <f>IFERROR((G197-INDEX('01_Swimmers'!$E$5:$E$22,MATCH(B197,'01_Swimmers'!$A$5:$A$22,0)))/'00_Control'!$B$10,"")</f>
        <v/>
      </c>
      <c r="U197" s="35">
        <f>IF(T197="","",INT(T197))</f>
        <v/>
      </c>
      <c r="V197" s="33" t="inlineStr">
        <is>
          <t>YES</t>
        </is>
      </c>
      <c r="W197" s="33" t="inlineStr">
        <is>
          <t>YES</t>
        </is>
      </c>
      <c r="X197" s="33" t="inlineStr">
        <is>
          <t>NO</t>
        </is>
      </c>
      <c r="Y197" s="33" t="n">
        <v>1</v>
      </c>
      <c r="Z197" s="33" t="n">
        <v>3</v>
      </c>
      <c r="AA197" s="33" t="inlineStr"/>
      <c r="AB197" s="33" t="inlineStr">
        <is>
          <t>https://www.swimcloud.com/results/137600/event/11/?id=22326664#time22326664</t>
        </is>
      </c>
      <c r="AC197" s="33" t="inlineStr">
        <is>
          <t>SwimCloud API v6 2026-10-08</t>
        </is>
      </c>
      <c r="AD197" s="33" t="inlineStr">
        <is>
          <t>Caeleb Dressel|2018-12-11|SCM|100|Free|45.66|14th FINA World Short Course Championships|FIN|True</t>
        </is>
      </c>
      <c r="AE197" s="53">
        <f>G197+L197/1000+ROW()/1000000000</f>
        <v/>
      </c>
      <c r="AF197" s="35">
        <f>IF(C197&lt;&gt;"Grayson Coulter","",COUNTIFS($C$5:$C$2991,"Grayson Coulter",$Q$5:$Q$2991,Q197,$AE$5:$AE$2991,"&lt;="&amp;AE197,$R$5:$R$2991,"&lt;"&amp;R197))</f>
        <v/>
      </c>
      <c r="AG197" s="35">
        <f>IF(OR(C197&lt;&gt;"Grayson Coulter",G197&lt;'00_Control'!$B$7),"",--(AF197&lt;5))</f>
        <v/>
      </c>
      <c r="AH197" s="35">
        <f>IF(OR(C197&lt;&gt;"Grayson Coulter",G197&lt;'00_Control'!$B$7),"",--(AF197&lt;10))</f>
        <v/>
      </c>
      <c r="AI197" s="35">
        <f>IF(AND(C197="Grayson Coulter",G197&gt;='00_Control'!$B$7),"YES","NO")</f>
        <v/>
      </c>
      <c r="AJ197" s="33" t="inlineStr">
        <is>
          <t>OK</t>
        </is>
      </c>
    </row>
    <row r="198">
      <c r="A198" s="33" t="inlineStr">
        <is>
          <t>SM000194</t>
        </is>
      </c>
      <c r="B198" s="33" t="inlineStr">
        <is>
          <t>SW010</t>
        </is>
      </c>
      <c r="C198" s="33" t="inlineStr">
        <is>
          <t>Caeleb Dressel</t>
        </is>
      </c>
      <c r="D198" s="33" t="inlineStr">
        <is>
          <t>SwimCloud</t>
        </is>
      </c>
      <c r="E198" s="33" t="inlineStr">
        <is>
          <t>2361642</t>
        </is>
      </c>
      <c r="F198" s="33" t="inlineStr">
        <is>
          <t>22326557</t>
        </is>
      </c>
      <c r="G198" s="51" t="n">
        <v>43446</v>
      </c>
      <c r="H198" s="33" t="inlineStr">
        <is>
          <t>14th FINA World Short Course Championships</t>
        </is>
      </c>
      <c r="I198" s="33" t="inlineStr">
        <is>
          <t>137600</t>
        </is>
      </c>
      <c r="J198" s="33" t="inlineStr"/>
      <c r="K198" s="33" t="inlineStr">
        <is>
          <t>PRE</t>
        </is>
      </c>
      <c r="L198" s="35">
        <f>IF(K198="FIN",3,IF(OR(K198="SEM",K198="SEMI"),2,IF(OR(K198="PRE",K198="HEAT"),1,IF(V198="YES",4,2))))</f>
        <v/>
      </c>
      <c r="M198" s="33" t="inlineStr">
        <is>
          <t>SCM</t>
        </is>
      </c>
      <c r="N198" s="33" t="n">
        <v>100</v>
      </c>
      <c r="O198" s="33" t="inlineStr">
        <is>
          <t>Fly</t>
        </is>
      </c>
      <c r="P198" s="33" t="inlineStr">
        <is>
          <t>100 Fly</t>
        </is>
      </c>
      <c r="Q198" s="33" t="inlineStr">
        <is>
          <t>SCM_100_FLY</t>
        </is>
      </c>
      <c r="R198" s="36" t="n">
        <v>49.23</v>
      </c>
      <c r="S198" s="35">
        <f>IF(R198="","",IF(R198&gt;=60,INT(R198/60)&amp;":"&amp;TEXT(MOD(R198,60),"00.00"),TEXT(R198,"0.00")))</f>
        <v/>
      </c>
      <c r="T198" s="52">
        <f>IFERROR((G198-INDEX('01_Swimmers'!$E$5:$E$22,MATCH(B198,'01_Swimmers'!$A$5:$A$22,0)))/'00_Control'!$B$10,"")</f>
        <v/>
      </c>
      <c r="U198" s="35">
        <f>IF(T198="","",INT(T198))</f>
        <v/>
      </c>
      <c r="V198" s="33" t="inlineStr">
        <is>
          <t>NO</t>
        </is>
      </c>
      <c r="W198" s="33" t="inlineStr">
        <is>
          <t>YES</t>
        </is>
      </c>
      <c r="X198" s="33" t="inlineStr">
        <is>
          <t>NO</t>
        </is>
      </c>
      <c r="Y198" s="33" t="n">
        <v>6</v>
      </c>
      <c r="Z198" s="33" t="n">
        <v>6</v>
      </c>
      <c r="AA198" s="33" t="inlineStr">
        <is>
          <t>1</t>
        </is>
      </c>
      <c r="AB198" s="33" t="inlineStr">
        <is>
          <t>https://www.swimcloud.com/results/137600/event/15/?id=22326557#time22326557</t>
        </is>
      </c>
      <c r="AC198" s="33" t="inlineStr">
        <is>
          <t>SwimCloud API v6 2026-10-08</t>
        </is>
      </c>
      <c r="AD198" s="33" t="inlineStr">
        <is>
          <t>Caeleb Dressel|2018-12-12|SCM|100|Fly|49.23|14th FINA World Short Course Championships|PRE|False</t>
        </is>
      </c>
      <c r="AE198" s="53">
        <f>G198+L198/1000+ROW()/1000000000</f>
        <v/>
      </c>
      <c r="AF198" s="35">
        <f>IF(C198&lt;&gt;"Grayson Coulter","",COUNTIFS($C$5:$C$2991,"Grayson Coulter",$Q$5:$Q$2991,Q198,$AE$5:$AE$2991,"&lt;="&amp;AE198,$R$5:$R$2991,"&lt;"&amp;R198))</f>
        <v/>
      </c>
      <c r="AG198" s="35">
        <f>IF(OR(C198&lt;&gt;"Grayson Coulter",G198&lt;'00_Control'!$B$7),"",--(AF198&lt;5))</f>
        <v/>
      </c>
      <c r="AH198" s="35">
        <f>IF(OR(C198&lt;&gt;"Grayson Coulter",G198&lt;'00_Control'!$B$7),"",--(AF198&lt;10))</f>
        <v/>
      </c>
      <c r="AI198" s="35">
        <f>IF(AND(C198="Grayson Coulter",G198&gt;='00_Control'!$B$7),"YES","NO")</f>
        <v/>
      </c>
      <c r="AJ198" s="33" t="inlineStr">
        <is>
          <t>OK</t>
        </is>
      </c>
    </row>
    <row r="199">
      <c r="A199" s="33" t="inlineStr">
        <is>
          <t>SM000195</t>
        </is>
      </c>
      <c r="B199" s="33" t="inlineStr">
        <is>
          <t>SW010</t>
        </is>
      </c>
      <c r="C199" s="33" t="inlineStr">
        <is>
          <t>Caeleb Dressel</t>
        </is>
      </c>
      <c r="D199" s="33" t="inlineStr">
        <is>
          <t>SwimCloud</t>
        </is>
      </c>
      <c r="E199" s="33" t="inlineStr">
        <is>
          <t>2361642</t>
        </is>
      </c>
      <c r="F199" s="33" t="inlineStr">
        <is>
          <t>22326558</t>
        </is>
      </c>
      <c r="G199" s="51" t="n">
        <v>43446</v>
      </c>
      <c r="H199" s="33" t="inlineStr">
        <is>
          <t>14th FINA World Short Course Championships</t>
        </is>
      </c>
      <c r="I199" s="33" t="inlineStr">
        <is>
          <t>137600</t>
        </is>
      </c>
      <c r="J199" s="33" t="inlineStr"/>
      <c r="K199" s="33" t="inlineStr">
        <is>
          <t>SEM</t>
        </is>
      </c>
      <c r="L199" s="35">
        <f>IF(K199="FIN",3,IF(OR(K199="SEM",K199="SEMI"),2,IF(OR(K199="PRE",K199="HEAT"),1,IF(V199="YES",4,2))))</f>
        <v/>
      </c>
      <c r="M199" s="33" t="inlineStr">
        <is>
          <t>SCM</t>
        </is>
      </c>
      <c r="N199" s="33" t="n">
        <v>100</v>
      </c>
      <c r="O199" s="33" t="inlineStr">
        <is>
          <t>Fly</t>
        </is>
      </c>
      <c r="P199" s="33" t="inlineStr">
        <is>
          <t>100 Fly</t>
        </is>
      </c>
      <c r="Q199" s="33" t="inlineStr">
        <is>
          <t>SCM_100_FLY</t>
        </is>
      </c>
      <c r="R199" s="36" t="n">
        <v>48.93</v>
      </c>
      <c r="S199" s="35">
        <f>IF(R199="","",IF(R199&gt;=60,INT(R199/60)&amp;":"&amp;TEXT(MOD(R199,60),"00.00"),TEXT(R199,"0.00")))</f>
        <v/>
      </c>
      <c r="T199" s="52">
        <f>IFERROR((G199-INDEX('01_Swimmers'!$E$5:$E$22,MATCH(B199,'01_Swimmers'!$A$5:$A$22,0)))/'00_Control'!$B$10,"")</f>
        <v/>
      </c>
      <c r="U199" s="35">
        <f>IF(T199="","",INT(T199))</f>
        <v/>
      </c>
      <c r="V199" s="33" t="inlineStr">
        <is>
          <t>NO</t>
        </is>
      </c>
      <c r="W199" s="33" t="inlineStr">
        <is>
          <t>YES</t>
        </is>
      </c>
      <c r="X199" s="33" t="inlineStr">
        <is>
          <t>NO</t>
        </is>
      </c>
      <c r="Y199" s="33" t="n">
        <v>2</v>
      </c>
      <c r="Z199" s="33" t="n">
        <v>4</v>
      </c>
      <c r="AA199" s="33" t="inlineStr">
        <is>
          <t>1</t>
        </is>
      </c>
      <c r="AB199" s="33" t="inlineStr">
        <is>
          <t>https://www.swimcloud.com/results/137600/event/15/?id=22326558#time22326558</t>
        </is>
      </c>
      <c r="AC199" s="33" t="inlineStr">
        <is>
          <t>SwimCloud API v6 2026-10-08</t>
        </is>
      </c>
      <c r="AD199" s="33" t="inlineStr">
        <is>
          <t>Caeleb Dressel|2018-12-12|SCM|100|Fly|48.93|14th FINA World Short Course Championships|SEM|False</t>
        </is>
      </c>
      <c r="AE199" s="53">
        <f>G199+L199/1000+ROW()/1000000000</f>
        <v/>
      </c>
      <c r="AF199" s="35">
        <f>IF(C199&lt;&gt;"Grayson Coulter","",COUNTIFS($C$5:$C$2991,"Grayson Coulter",$Q$5:$Q$2991,Q199,$AE$5:$AE$2991,"&lt;="&amp;AE199,$R$5:$R$2991,"&lt;"&amp;R199))</f>
        <v/>
      </c>
      <c r="AG199" s="35">
        <f>IF(OR(C199&lt;&gt;"Grayson Coulter",G199&lt;'00_Control'!$B$7),"",--(AF199&lt;5))</f>
        <v/>
      </c>
      <c r="AH199" s="35">
        <f>IF(OR(C199&lt;&gt;"Grayson Coulter",G199&lt;'00_Control'!$B$7),"",--(AF199&lt;10))</f>
        <v/>
      </c>
      <c r="AI199" s="35">
        <f>IF(AND(C199="Grayson Coulter",G199&gt;='00_Control'!$B$7),"YES","NO")</f>
        <v/>
      </c>
      <c r="AJ199" s="33" t="inlineStr">
        <is>
          <t>OK</t>
        </is>
      </c>
    </row>
    <row r="200">
      <c r="A200" s="33" t="inlineStr">
        <is>
          <t>SM000196</t>
        </is>
      </c>
      <c r="B200" s="33" t="inlineStr">
        <is>
          <t>SW010</t>
        </is>
      </c>
      <c r="C200" s="33" t="inlineStr">
        <is>
          <t>Caeleb Dressel</t>
        </is>
      </c>
      <c r="D200" s="33" t="inlineStr">
        <is>
          <t>SwimCloud</t>
        </is>
      </c>
      <c r="E200" s="33" t="inlineStr">
        <is>
          <t>2361642</t>
        </is>
      </c>
      <c r="F200" s="33" t="inlineStr">
        <is>
          <t>22326556</t>
        </is>
      </c>
      <c r="G200" s="51" t="n">
        <v>43447</v>
      </c>
      <c r="H200" s="33" t="inlineStr">
        <is>
          <t>14th FINA World Short Course Championships</t>
        </is>
      </c>
      <c r="I200" s="33" t="inlineStr">
        <is>
          <t>137600</t>
        </is>
      </c>
      <c r="J200" s="33" t="inlineStr"/>
      <c r="K200" s="33" t="inlineStr">
        <is>
          <t>FIN</t>
        </is>
      </c>
      <c r="L200" s="35">
        <f>IF(K200="FIN",3,IF(OR(K200="SEM",K200="SEMI"),2,IF(OR(K200="PRE",K200="HEAT"),1,IF(V200="YES",4,2))))</f>
        <v/>
      </c>
      <c r="M200" s="33" t="inlineStr">
        <is>
          <t>SCM</t>
        </is>
      </c>
      <c r="N200" s="33" t="n">
        <v>100</v>
      </c>
      <c r="O200" s="33" t="inlineStr">
        <is>
          <t>Fly</t>
        </is>
      </c>
      <c r="P200" s="33" t="inlineStr">
        <is>
          <t>100 Fly</t>
        </is>
      </c>
      <c r="Q200" s="33" t="inlineStr">
        <is>
          <t>SCM_100_FLY</t>
        </is>
      </c>
      <c r="R200" s="36" t="n">
        <v>48.71</v>
      </c>
      <c r="S200" s="35">
        <f>IF(R200="","",IF(R200&gt;=60,INT(R200/60)&amp;":"&amp;TEXT(MOD(R200,60),"00.00"),TEXT(R200,"0.00")))</f>
        <v/>
      </c>
      <c r="T200" s="52">
        <f>IFERROR((G200-INDEX('01_Swimmers'!$E$5:$E$22,MATCH(B200,'01_Swimmers'!$A$5:$A$22,0)))/'00_Control'!$B$10,"")</f>
        <v/>
      </c>
      <c r="U200" s="35">
        <f>IF(T200="","",INT(T200))</f>
        <v/>
      </c>
      <c r="V200" s="33" t="inlineStr">
        <is>
          <t>NO</t>
        </is>
      </c>
      <c r="W200" s="33" t="inlineStr">
        <is>
          <t>YES</t>
        </is>
      </c>
      <c r="X200" s="33" t="inlineStr">
        <is>
          <t>NO</t>
        </is>
      </c>
      <c r="Y200" s="33" t="n">
        <v>1</v>
      </c>
      <c r="Z200" s="33" t="n">
        <v>4</v>
      </c>
      <c r="AA200" s="33" t="inlineStr">
        <is>
          <t>2</t>
        </is>
      </c>
      <c r="AB200" s="33" t="inlineStr">
        <is>
          <t>https://www.swimcloud.com/results/137600/event/15/?id=22326556#time22326556</t>
        </is>
      </c>
      <c r="AC200" s="33" t="inlineStr">
        <is>
          <t>SwimCloud API v6 2026-10-08</t>
        </is>
      </c>
      <c r="AD200" s="33" t="inlineStr">
        <is>
          <t>Caeleb Dressel|2018-12-13|SCM|100|Fly|48.71|14th FINA World Short Course Championships|FIN|False</t>
        </is>
      </c>
      <c r="AE200" s="53">
        <f>G200+L200/1000+ROW()/1000000000</f>
        <v/>
      </c>
      <c r="AF200" s="35">
        <f>IF(C200&lt;&gt;"Grayson Coulter","",COUNTIFS($C$5:$C$2991,"Grayson Coulter",$Q$5:$Q$2991,Q200,$AE$5:$AE$2991,"&lt;="&amp;AE200,$R$5:$R$2991,"&lt;"&amp;R200))</f>
        <v/>
      </c>
      <c r="AG200" s="35">
        <f>IF(OR(C200&lt;&gt;"Grayson Coulter",G200&lt;'00_Control'!$B$7),"",--(AF200&lt;5))</f>
        <v/>
      </c>
      <c r="AH200" s="35">
        <f>IF(OR(C200&lt;&gt;"Grayson Coulter",G200&lt;'00_Control'!$B$7),"",--(AF200&lt;10))</f>
        <v/>
      </c>
      <c r="AI200" s="35">
        <f>IF(AND(C200="Grayson Coulter",G200&gt;='00_Control'!$B$7),"YES","NO")</f>
        <v/>
      </c>
      <c r="AJ200" s="33" t="inlineStr">
        <is>
          <t>OK</t>
        </is>
      </c>
    </row>
    <row r="201">
      <c r="A201" s="33" t="inlineStr">
        <is>
          <t>SM000197</t>
        </is>
      </c>
      <c r="B201" s="33" t="inlineStr">
        <is>
          <t>SW010</t>
        </is>
      </c>
      <c r="C201" s="33" t="inlineStr">
        <is>
          <t>Caeleb Dressel</t>
        </is>
      </c>
      <c r="D201" s="33" t="inlineStr">
        <is>
          <t>SwimCloud</t>
        </is>
      </c>
      <c r="E201" s="33" t="inlineStr">
        <is>
          <t>2361642</t>
        </is>
      </c>
      <c r="F201" s="33" t="inlineStr">
        <is>
          <t>22326560</t>
        </is>
      </c>
      <c r="G201" s="51" t="n">
        <v>43449</v>
      </c>
      <c r="H201" s="33" t="inlineStr">
        <is>
          <t>14th FINA World Short Course Championships</t>
        </is>
      </c>
      <c r="I201" s="33" t="inlineStr">
        <is>
          <t>137600</t>
        </is>
      </c>
      <c r="J201" s="33" t="inlineStr"/>
      <c r="K201" s="33" t="inlineStr">
        <is>
          <t>PRE</t>
        </is>
      </c>
      <c r="L201" s="35">
        <f>IF(K201="FIN",3,IF(OR(K201="SEM",K201="SEMI"),2,IF(OR(K201="PRE",K201="HEAT"),1,IF(V201="YES",4,2))))</f>
        <v/>
      </c>
      <c r="M201" s="33" t="inlineStr">
        <is>
          <t>SCM</t>
        </is>
      </c>
      <c r="N201" s="33" t="n">
        <v>100</v>
      </c>
      <c r="O201" s="33" t="inlineStr">
        <is>
          <t>Free</t>
        </is>
      </c>
      <c r="P201" s="33" t="inlineStr">
        <is>
          <t>100 Free</t>
        </is>
      </c>
      <c r="Q201" s="33" t="inlineStr">
        <is>
          <t>SCM_100_FREE</t>
        </is>
      </c>
      <c r="R201" s="36" t="n">
        <v>45.98</v>
      </c>
      <c r="S201" s="35">
        <f>IF(R201="","",IF(R201&gt;=60,INT(R201/60)&amp;":"&amp;TEXT(MOD(R201,60),"00.00"),TEXT(R201,"0.00")))</f>
        <v/>
      </c>
      <c r="T201" s="52">
        <f>IFERROR((G201-INDEX('01_Swimmers'!$E$5:$E$22,MATCH(B201,'01_Swimmers'!$A$5:$A$22,0)))/'00_Control'!$B$10,"")</f>
        <v/>
      </c>
      <c r="U201" s="35">
        <f>IF(T201="","",INT(T201))</f>
        <v/>
      </c>
      <c r="V201" s="33" t="inlineStr">
        <is>
          <t>NO</t>
        </is>
      </c>
      <c r="W201" s="33" t="inlineStr">
        <is>
          <t>YES</t>
        </is>
      </c>
      <c r="X201" s="33" t="inlineStr">
        <is>
          <t>NO</t>
        </is>
      </c>
      <c r="Y201" s="33" t="n">
        <v>9</v>
      </c>
      <c r="Z201" s="33" t="n"/>
      <c r="AA201" s="33" t="inlineStr">
        <is>
          <t>1</t>
        </is>
      </c>
      <c r="AB201" s="33" t="inlineStr">
        <is>
          <t>https://www.swimcloud.com/results/137600/event/37/?id=22326560#time22326560</t>
        </is>
      </c>
      <c r="AC201" s="33" t="inlineStr">
        <is>
          <t>SwimCloud API v6 2026-10-08</t>
        </is>
      </c>
      <c r="AD201" s="33" t="inlineStr">
        <is>
          <t>Caeleb Dressel|2018-12-15|SCM|100|Free|45.98|14th FINA World Short Course Championships|PRE|False</t>
        </is>
      </c>
      <c r="AE201" s="53">
        <f>G201+L201/1000+ROW()/1000000000</f>
        <v/>
      </c>
      <c r="AF201" s="35">
        <f>IF(C201&lt;&gt;"Grayson Coulter","",COUNTIFS($C$5:$C$2991,"Grayson Coulter",$Q$5:$Q$2991,Q201,$AE$5:$AE$2991,"&lt;="&amp;AE201,$R$5:$R$2991,"&lt;"&amp;R201))</f>
        <v/>
      </c>
      <c r="AG201" s="35">
        <f>IF(OR(C201&lt;&gt;"Grayson Coulter",G201&lt;'00_Control'!$B$7),"",--(AF201&lt;5))</f>
        <v/>
      </c>
      <c r="AH201" s="35">
        <f>IF(OR(C201&lt;&gt;"Grayson Coulter",G201&lt;'00_Control'!$B$7),"",--(AF201&lt;10))</f>
        <v/>
      </c>
      <c r="AI201" s="35">
        <f>IF(AND(C201="Grayson Coulter",G201&gt;='00_Control'!$B$7),"YES","NO")</f>
        <v/>
      </c>
      <c r="AJ201" s="33" t="inlineStr">
        <is>
          <t>OK</t>
        </is>
      </c>
    </row>
    <row r="202">
      <c r="A202" s="33" t="inlineStr">
        <is>
          <t>SM000198</t>
        </is>
      </c>
      <c r="B202" s="33" t="inlineStr">
        <is>
          <t>SW010</t>
        </is>
      </c>
      <c r="C202" s="33" t="inlineStr">
        <is>
          <t>Caeleb Dressel</t>
        </is>
      </c>
      <c r="D202" s="33" t="inlineStr">
        <is>
          <t>SwimCloud</t>
        </is>
      </c>
      <c r="E202" s="33" t="inlineStr">
        <is>
          <t>2361642</t>
        </is>
      </c>
      <c r="F202" s="33" t="inlineStr">
        <is>
          <t>22326561</t>
        </is>
      </c>
      <c r="G202" s="51" t="n">
        <v>43449</v>
      </c>
      <c r="H202" s="33" t="inlineStr">
        <is>
          <t>14th FINA World Short Course Championships</t>
        </is>
      </c>
      <c r="I202" s="33" t="inlineStr">
        <is>
          <t>137600</t>
        </is>
      </c>
      <c r="J202" s="33" t="inlineStr"/>
      <c r="K202" s="33" t="inlineStr">
        <is>
          <t>SEM</t>
        </is>
      </c>
      <c r="L202" s="35">
        <f>IF(K202="FIN",3,IF(OR(K202="SEM",K202="SEMI"),2,IF(OR(K202="PRE",K202="HEAT"),1,IF(V202="YES",4,2))))</f>
        <v/>
      </c>
      <c r="M202" s="33" t="inlineStr">
        <is>
          <t>SCM</t>
        </is>
      </c>
      <c r="N202" s="33" t="n">
        <v>100</v>
      </c>
      <c r="O202" s="33" t="inlineStr">
        <is>
          <t>Free</t>
        </is>
      </c>
      <c r="P202" s="33" t="inlineStr">
        <is>
          <t>100 Free</t>
        </is>
      </c>
      <c r="Q202" s="33" t="inlineStr">
        <is>
          <t>SCM_100_FREE</t>
        </is>
      </c>
      <c r="R202" s="36" t="n">
        <v>46.09</v>
      </c>
      <c r="S202" s="35">
        <f>IF(R202="","",IF(R202&gt;=60,INT(R202/60)&amp;":"&amp;TEXT(MOD(R202,60),"00.00"),TEXT(R202,"0.00")))</f>
        <v/>
      </c>
      <c r="T202" s="52">
        <f>IFERROR((G202-INDEX('01_Swimmers'!$E$5:$E$22,MATCH(B202,'01_Swimmers'!$A$5:$A$22,0)))/'00_Control'!$B$10,"")</f>
        <v/>
      </c>
      <c r="U202" s="35">
        <f>IF(T202="","",INT(T202))</f>
        <v/>
      </c>
      <c r="V202" s="33" t="inlineStr">
        <is>
          <t>NO</t>
        </is>
      </c>
      <c r="W202" s="33" t="inlineStr">
        <is>
          <t>YES</t>
        </is>
      </c>
      <c r="X202" s="33" t="inlineStr">
        <is>
          <t>NO</t>
        </is>
      </c>
      <c r="Y202" s="33" t="n">
        <v>2</v>
      </c>
      <c r="Z202" s="33" t="n">
        <v>4</v>
      </c>
      <c r="AA202" s="33" t="inlineStr">
        <is>
          <t>3</t>
        </is>
      </c>
      <c r="AB202" s="33" t="inlineStr">
        <is>
          <t>https://www.swimcloud.com/results/137600/event/37/?id=22326561#time22326561</t>
        </is>
      </c>
      <c r="AC202" s="33" t="inlineStr">
        <is>
          <t>SwimCloud API v6 2026-10-08</t>
        </is>
      </c>
      <c r="AD202" s="33" t="inlineStr">
        <is>
          <t>Caeleb Dressel|2018-12-15|SCM|100|Free|46.09|14th FINA World Short Course Championships|SEM|False</t>
        </is>
      </c>
      <c r="AE202" s="53">
        <f>G202+L202/1000+ROW()/1000000000</f>
        <v/>
      </c>
      <c r="AF202" s="35">
        <f>IF(C202&lt;&gt;"Grayson Coulter","",COUNTIFS($C$5:$C$2991,"Grayson Coulter",$Q$5:$Q$2991,Q202,$AE$5:$AE$2991,"&lt;="&amp;AE202,$R$5:$R$2991,"&lt;"&amp;R202))</f>
        <v/>
      </c>
      <c r="AG202" s="35">
        <f>IF(OR(C202&lt;&gt;"Grayson Coulter",G202&lt;'00_Control'!$B$7),"",--(AF202&lt;5))</f>
        <v/>
      </c>
      <c r="AH202" s="35">
        <f>IF(OR(C202&lt;&gt;"Grayson Coulter",G202&lt;'00_Control'!$B$7),"",--(AF202&lt;10))</f>
        <v/>
      </c>
      <c r="AI202" s="35">
        <f>IF(AND(C202="Grayson Coulter",G202&gt;='00_Control'!$B$7),"YES","NO")</f>
        <v/>
      </c>
      <c r="AJ202" s="33" t="inlineStr">
        <is>
          <t>OK</t>
        </is>
      </c>
    </row>
    <row r="203">
      <c r="A203" s="33" t="inlineStr">
        <is>
          <t>SM000199</t>
        </is>
      </c>
      <c r="B203" s="33" t="inlineStr">
        <is>
          <t>SW010</t>
        </is>
      </c>
      <c r="C203" s="33" t="inlineStr">
        <is>
          <t>Caeleb Dressel</t>
        </is>
      </c>
      <c r="D203" s="33" t="inlineStr">
        <is>
          <t>SwimCloud</t>
        </is>
      </c>
      <c r="E203" s="33" t="inlineStr">
        <is>
          <t>2361642</t>
        </is>
      </c>
      <c r="F203" s="33" t="inlineStr">
        <is>
          <t>22326559</t>
        </is>
      </c>
      <c r="G203" s="51" t="n">
        <v>43450</v>
      </c>
      <c r="H203" s="33" t="inlineStr">
        <is>
          <t>14th FINA World Short Course Championships</t>
        </is>
      </c>
      <c r="I203" s="33" t="inlineStr">
        <is>
          <t>137600</t>
        </is>
      </c>
      <c r="J203" s="33" t="inlineStr"/>
      <c r="K203" s="33" t="inlineStr">
        <is>
          <t>FIN</t>
        </is>
      </c>
      <c r="L203" s="35">
        <f>IF(K203="FIN",3,IF(OR(K203="SEM",K203="SEMI"),2,IF(OR(K203="PRE",K203="HEAT"),1,IF(V203="YES",4,2))))</f>
        <v/>
      </c>
      <c r="M203" s="33" t="inlineStr">
        <is>
          <t>SCM</t>
        </is>
      </c>
      <c r="N203" s="33" t="n">
        <v>100</v>
      </c>
      <c r="O203" s="33" t="inlineStr">
        <is>
          <t>Free</t>
        </is>
      </c>
      <c r="P203" s="33" t="inlineStr">
        <is>
          <t>100 Free</t>
        </is>
      </c>
      <c r="Q203" s="33" t="inlineStr">
        <is>
          <t>SCM_100_FREE</t>
        </is>
      </c>
      <c r="R203" s="36" t="n">
        <v>45.62</v>
      </c>
      <c r="S203" s="35">
        <f>IF(R203="","",IF(R203&gt;=60,INT(R203/60)&amp;":"&amp;TEXT(MOD(R203,60),"00.00"),TEXT(R203,"0.00")))</f>
        <v/>
      </c>
      <c r="T203" s="52">
        <f>IFERROR((G203-INDEX('01_Swimmers'!$E$5:$E$22,MATCH(B203,'01_Swimmers'!$A$5:$A$22,0)))/'00_Control'!$B$10,"")</f>
        <v/>
      </c>
      <c r="U203" s="35">
        <f>IF(T203="","",INT(T203))</f>
        <v/>
      </c>
      <c r="V203" s="33" t="inlineStr">
        <is>
          <t>NO</t>
        </is>
      </c>
      <c r="W203" s="33" t="inlineStr">
        <is>
          <t>YES</t>
        </is>
      </c>
      <c r="X203" s="33" t="inlineStr">
        <is>
          <t>NO</t>
        </is>
      </c>
      <c r="Y203" s="33" t="n">
        <v>1</v>
      </c>
      <c r="Z203" s="33" t="n">
        <v>3</v>
      </c>
      <c r="AA203" s="33" t="inlineStr">
        <is>
          <t>1</t>
        </is>
      </c>
      <c r="AB203" s="33" t="inlineStr">
        <is>
          <t>https://www.swimcloud.com/results/137600/event/37/?id=22326559#time22326559</t>
        </is>
      </c>
      <c r="AC203" s="33" t="inlineStr">
        <is>
          <t>SwimCloud API v6 2026-10-08</t>
        </is>
      </c>
      <c r="AD203" s="33" t="inlineStr">
        <is>
          <t>Caeleb Dressel|2018-12-16|SCM|100|Free|45.62|14th FINA World Short Course Championships|FIN|False</t>
        </is>
      </c>
      <c r="AE203" s="53">
        <f>G203+L203/1000+ROW()/1000000000</f>
        <v/>
      </c>
      <c r="AF203" s="35">
        <f>IF(C203&lt;&gt;"Grayson Coulter","",COUNTIFS($C$5:$C$2991,"Grayson Coulter",$Q$5:$Q$2991,Q203,$AE$5:$AE$2991,"&lt;="&amp;AE203,$R$5:$R$2991,"&lt;"&amp;R203))</f>
        <v/>
      </c>
      <c r="AG203" s="35">
        <f>IF(OR(C203&lt;&gt;"Grayson Coulter",G203&lt;'00_Control'!$B$7),"",--(AF203&lt;5))</f>
        <v/>
      </c>
      <c r="AH203" s="35">
        <f>IF(OR(C203&lt;&gt;"Grayson Coulter",G203&lt;'00_Control'!$B$7),"",--(AF203&lt;10))</f>
        <v/>
      </c>
      <c r="AI203" s="35">
        <f>IF(AND(C203="Grayson Coulter",G203&gt;='00_Control'!$B$7),"YES","NO")</f>
        <v/>
      </c>
      <c r="AJ203" s="33" t="inlineStr">
        <is>
          <t>OK</t>
        </is>
      </c>
    </row>
    <row r="204">
      <c r="A204" s="33" t="inlineStr">
        <is>
          <t>SM000200</t>
        </is>
      </c>
      <c r="B204" s="33" t="inlineStr">
        <is>
          <t>SW010</t>
        </is>
      </c>
      <c r="C204" s="33" t="inlineStr">
        <is>
          <t>Caeleb Dressel</t>
        </is>
      </c>
      <c r="D204" s="33" t="inlineStr">
        <is>
          <t>SwimCloud</t>
        </is>
      </c>
      <c r="E204" s="33" t="inlineStr">
        <is>
          <t>2361642</t>
        </is>
      </c>
      <c r="F204" s="33" t="inlineStr">
        <is>
          <t>25633574</t>
        </is>
      </c>
      <c r="G204" s="51" t="n">
        <v>43531</v>
      </c>
      <c r="H204" s="33" t="inlineStr">
        <is>
          <t>TYR Pro Swim Series - Des Moines</t>
        </is>
      </c>
      <c r="I204" s="33" t="inlineStr">
        <is>
          <t>128901</t>
        </is>
      </c>
      <c r="J204" s="33" t="inlineStr"/>
      <c r="K204" s="33" t="inlineStr">
        <is>
          <t>PRE</t>
        </is>
      </c>
      <c r="L204" s="35">
        <f>IF(K204="FIN",3,IF(OR(K204="SEM",K204="SEMI"),2,IF(OR(K204="PRE",K204="HEAT"),1,IF(V204="YES",4,2))))</f>
        <v/>
      </c>
      <c r="M204" s="33" t="inlineStr">
        <is>
          <t>LCM</t>
        </is>
      </c>
      <c r="N204" s="33" t="n">
        <v>100</v>
      </c>
      <c r="O204" s="33" t="inlineStr">
        <is>
          <t>Free</t>
        </is>
      </c>
      <c r="P204" s="33" t="inlineStr">
        <is>
          <t>100 Free</t>
        </is>
      </c>
      <c r="Q204" s="33" t="inlineStr">
        <is>
          <t>LCM_100_FREE</t>
        </is>
      </c>
      <c r="R204" s="36" t="n">
        <v>50.49</v>
      </c>
      <c r="S204" s="35">
        <f>IF(R204="","",IF(R204&gt;=60,INT(R204/60)&amp;":"&amp;TEXT(MOD(R204,60),"00.00"),TEXT(R204,"0.00")))</f>
        <v/>
      </c>
      <c r="T204" s="52">
        <f>IFERROR((G204-INDEX('01_Swimmers'!$E$5:$E$22,MATCH(B204,'01_Swimmers'!$A$5:$A$22,0)))/'00_Control'!$B$10,"")</f>
        <v/>
      </c>
      <c r="U204" s="35">
        <f>IF(T204="","",INT(T204))</f>
        <v/>
      </c>
      <c r="V204" s="33" t="inlineStr">
        <is>
          <t>NO</t>
        </is>
      </c>
      <c r="W204" s="33" t="inlineStr">
        <is>
          <t>YES</t>
        </is>
      </c>
      <c r="X204" s="33" t="inlineStr">
        <is>
          <t>NO</t>
        </is>
      </c>
      <c r="Y204" s="33" t="n">
        <v>9</v>
      </c>
      <c r="Z204" s="33" t="n">
        <v>4</v>
      </c>
      <c r="AA204" s="33" t="inlineStr">
        <is>
          <t>15</t>
        </is>
      </c>
      <c r="AB204" s="33" t="inlineStr">
        <is>
          <t>https://www.swimcloud.com/results/128901/event/4/?id=25633574#time25633574</t>
        </is>
      </c>
      <c r="AC204" s="33" t="inlineStr">
        <is>
          <t>SwimCloud API v6 2026-10-08</t>
        </is>
      </c>
      <c r="AD204" s="33" t="inlineStr">
        <is>
          <t>Caeleb Dressel|2019-03-07|LCM|100|Free|50.49|TYR Pro Swim Series - Des Moines|PRE|False</t>
        </is>
      </c>
      <c r="AE204" s="53">
        <f>G204+L204/1000+ROW()/1000000000</f>
        <v/>
      </c>
      <c r="AF204" s="35">
        <f>IF(C204&lt;&gt;"Grayson Coulter","",COUNTIFS($C$5:$C$2991,"Grayson Coulter",$Q$5:$Q$2991,Q204,$AE$5:$AE$2991,"&lt;="&amp;AE204,$R$5:$R$2991,"&lt;"&amp;R204))</f>
        <v/>
      </c>
      <c r="AG204" s="35">
        <f>IF(OR(C204&lt;&gt;"Grayson Coulter",G204&lt;'00_Control'!$B$7),"",--(AF204&lt;5))</f>
        <v/>
      </c>
      <c r="AH204" s="35">
        <f>IF(OR(C204&lt;&gt;"Grayson Coulter",G204&lt;'00_Control'!$B$7),"",--(AF204&lt;10))</f>
        <v/>
      </c>
      <c r="AI204" s="35">
        <f>IF(AND(C204="Grayson Coulter",G204&gt;='00_Control'!$B$7),"YES","NO")</f>
        <v/>
      </c>
      <c r="AJ204" s="33" t="inlineStr">
        <is>
          <t>OK</t>
        </is>
      </c>
    </row>
    <row r="205">
      <c r="A205" s="33" t="inlineStr">
        <is>
          <t>SM000201</t>
        </is>
      </c>
      <c r="B205" s="33" t="inlineStr">
        <is>
          <t>SW010</t>
        </is>
      </c>
      <c r="C205" s="33" t="inlineStr">
        <is>
          <t>Caeleb Dressel</t>
        </is>
      </c>
      <c r="D205" s="33" t="inlineStr">
        <is>
          <t>SwimCloud</t>
        </is>
      </c>
      <c r="E205" s="33" t="inlineStr">
        <is>
          <t>2361642</t>
        </is>
      </c>
      <c r="F205" s="33" t="inlineStr">
        <is>
          <t>25633575</t>
        </is>
      </c>
      <c r="G205" s="51" t="n">
        <v>43531</v>
      </c>
      <c r="H205" s="33" t="inlineStr">
        <is>
          <t>TYR Pro Swim Series - Des Moines</t>
        </is>
      </c>
      <c r="I205" s="33" t="inlineStr">
        <is>
          <t>128901</t>
        </is>
      </c>
      <c r="J205" s="33" t="inlineStr"/>
      <c r="K205" s="33" t="inlineStr">
        <is>
          <t>FIN</t>
        </is>
      </c>
      <c r="L205" s="35">
        <f>IF(K205="FIN",3,IF(OR(K205="SEM",K205="SEMI"),2,IF(OR(K205="PRE",K205="HEAT"),1,IF(V205="YES",4,2))))</f>
        <v/>
      </c>
      <c r="M205" s="33" t="inlineStr">
        <is>
          <t>LCM</t>
        </is>
      </c>
      <c r="N205" s="33" t="n">
        <v>100</v>
      </c>
      <c r="O205" s="33" t="inlineStr">
        <is>
          <t>Free</t>
        </is>
      </c>
      <c r="P205" s="33" t="inlineStr">
        <is>
          <t>100 Free</t>
        </is>
      </c>
      <c r="Q205" s="33" t="inlineStr">
        <is>
          <t>LCM_100_FREE</t>
        </is>
      </c>
      <c r="R205" s="36" t="n">
        <v>48.71</v>
      </c>
      <c r="S205" s="35">
        <f>IF(R205="","",IF(R205&gt;=60,INT(R205/60)&amp;":"&amp;TEXT(MOD(R205,60),"00.00"),TEXT(R205,"0.00")))</f>
        <v/>
      </c>
      <c r="T205" s="52">
        <f>IFERROR((G205-INDEX('01_Swimmers'!$E$5:$E$22,MATCH(B205,'01_Swimmers'!$A$5:$A$22,0)))/'00_Control'!$B$10,"")</f>
        <v/>
      </c>
      <c r="U205" s="35">
        <f>IF(T205="","",INT(T205))</f>
        <v/>
      </c>
      <c r="V205" s="33" t="inlineStr">
        <is>
          <t>NO</t>
        </is>
      </c>
      <c r="W205" s="33" t="inlineStr">
        <is>
          <t>YES</t>
        </is>
      </c>
      <c r="X205" s="33" t="inlineStr">
        <is>
          <t>NO</t>
        </is>
      </c>
      <c r="Y205" s="33" t="n">
        <v>1</v>
      </c>
      <c r="Z205" s="33" t="n">
        <v>7</v>
      </c>
      <c r="AA205" s="33" t="inlineStr">
        <is>
          <t>9</t>
        </is>
      </c>
      <c r="AB205" s="33" t="inlineStr">
        <is>
          <t>https://www.swimcloud.com/results/128901/event/4/?id=25633575#time25633575</t>
        </is>
      </c>
      <c r="AC205" s="33" t="inlineStr">
        <is>
          <t>SwimCloud API v6 2026-10-08</t>
        </is>
      </c>
      <c r="AD205" s="33" t="inlineStr">
        <is>
          <t>Caeleb Dressel|2019-03-07|LCM|100|Free|48.71|TYR Pro Swim Series - Des Moines|FIN|False</t>
        </is>
      </c>
      <c r="AE205" s="53">
        <f>G205+L205/1000+ROW()/1000000000</f>
        <v/>
      </c>
      <c r="AF205" s="35">
        <f>IF(C205&lt;&gt;"Grayson Coulter","",COUNTIFS($C$5:$C$2991,"Grayson Coulter",$Q$5:$Q$2991,Q205,$AE$5:$AE$2991,"&lt;="&amp;AE205,$R$5:$R$2991,"&lt;"&amp;R205))</f>
        <v/>
      </c>
      <c r="AG205" s="35">
        <f>IF(OR(C205&lt;&gt;"Grayson Coulter",G205&lt;'00_Control'!$B$7),"",--(AF205&lt;5))</f>
        <v/>
      </c>
      <c r="AH205" s="35">
        <f>IF(OR(C205&lt;&gt;"Grayson Coulter",G205&lt;'00_Control'!$B$7),"",--(AF205&lt;10))</f>
        <v/>
      </c>
      <c r="AI205" s="35">
        <f>IF(AND(C205="Grayson Coulter",G205&gt;='00_Control'!$B$7),"YES","NO")</f>
        <v/>
      </c>
      <c r="AJ205" s="33" t="inlineStr">
        <is>
          <t>OK</t>
        </is>
      </c>
    </row>
    <row r="206">
      <c r="A206" s="33" t="inlineStr">
        <is>
          <t>SM000202</t>
        </is>
      </c>
      <c r="B206" s="33" t="inlineStr">
        <is>
          <t>SW010</t>
        </is>
      </c>
      <c r="C206" s="33" t="inlineStr">
        <is>
          <t>Caeleb Dressel</t>
        </is>
      </c>
      <c r="D206" s="33" t="inlineStr">
        <is>
          <t>SwimCloud</t>
        </is>
      </c>
      <c r="E206" s="33" t="inlineStr">
        <is>
          <t>2361642</t>
        </is>
      </c>
      <c r="F206" s="33" t="inlineStr">
        <is>
          <t>25633676</t>
        </is>
      </c>
      <c r="G206" s="51" t="n">
        <v>43532</v>
      </c>
      <c r="H206" s="33" t="inlineStr">
        <is>
          <t>TYR Pro Swim Series - Des Moines</t>
        </is>
      </c>
      <c r="I206" s="33" t="inlineStr">
        <is>
          <t>128901</t>
        </is>
      </c>
      <c r="J206" s="33" t="inlineStr"/>
      <c r="K206" s="33" t="inlineStr">
        <is>
          <t>PRE</t>
        </is>
      </c>
      <c r="L206" s="35">
        <f>IF(K206="FIN",3,IF(OR(K206="SEM",K206="SEMI"),2,IF(OR(K206="PRE",K206="HEAT"),1,IF(V206="YES",4,2))))</f>
        <v/>
      </c>
      <c r="M206" s="33" t="inlineStr">
        <is>
          <t>LCM</t>
        </is>
      </c>
      <c r="N206" s="33" t="n">
        <v>200</v>
      </c>
      <c r="O206" s="33" t="inlineStr">
        <is>
          <t>Free</t>
        </is>
      </c>
      <c r="P206" s="33" t="inlineStr">
        <is>
          <t>200 Free</t>
        </is>
      </c>
      <c r="Q206" s="33" t="inlineStr">
        <is>
          <t>LCM_200_FREE</t>
        </is>
      </c>
      <c r="R206" s="36" t="n">
        <v>110.17</v>
      </c>
      <c r="S206" s="35">
        <f>IF(R206="","",IF(R206&gt;=60,INT(R206/60)&amp;":"&amp;TEXT(MOD(R206,60),"00.00"),TEXT(R206,"0.00")))</f>
        <v/>
      </c>
      <c r="T206" s="52">
        <f>IFERROR((G206-INDEX('01_Swimmers'!$E$5:$E$22,MATCH(B206,'01_Swimmers'!$A$5:$A$22,0)))/'00_Control'!$B$10,"")</f>
        <v/>
      </c>
      <c r="U206" s="35">
        <f>IF(T206="","",INT(T206))</f>
        <v/>
      </c>
      <c r="V206" s="33" t="inlineStr">
        <is>
          <t>NO</t>
        </is>
      </c>
      <c r="W206" s="33" t="inlineStr">
        <is>
          <t>YES</t>
        </is>
      </c>
      <c r="X206" s="33" t="inlineStr">
        <is>
          <t>NO</t>
        </is>
      </c>
      <c r="Y206" s="33" t="n">
        <v>5</v>
      </c>
      <c r="Z206" s="33" t="n">
        <v>5</v>
      </c>
      <c r="AA206" s="33" t="inlineStr">
        <is>
          <t>7</t>
        </is>
      </c>
      <c r="AB206" s="33" t="inlineStr">
        <is>
          <t>https://www.swimcloud.com/results/128901/event/14/?id=25633676#time25633676</t>
        </is>
      </c>
      <c r="AC206" s="33" t="inlineStr">
        <is>
          <t>SwimCloud API v6 2026-10-08</t>
        </is>
      </c>
      <c r="AD206" s="33" t="inlineStr">
        <is>
          <t>Caeleb Dressel|2019-03-08|LCM|200|Free|110.17|TYR Pro Swim Series - Des Moines|PRE|False</t>
        </is>
      </c>
      <c r="AE206" s="53">
        <f>G206+L206/1000+ROW()/1000000000</f>
        <v/>
      </c>
      <c r="AF206" s="35">
        <f>IF(C206&lt;&gt;"Grayson Coulter","",COUNTIFS($C$5:$C$2991,"Grayson Coulter",$Q$5:$Q$2991,Q206,$AE$5:$AE$2991,"&lt;="&amp;AE206,$R$5:$R$2991,"&lt;"&amp;R206))</f>
        <v/>
      </c>
      <c r="AG206" s="35">
        <f>IF(OR(C206&lt;&gt;"Grayson Coulter",G206&lt;'00_Control'!$B$7),"",--(AF206&lt;5))</f>
        <v/>
      </c>
      <c r="AH206" s="35">
        <f>IF(OR(C206&lt;&gt;"Grayson Coulter",G206&lt;'00_Control'!$B$7),"",--(AF206&lt;10))</f>
        <v/>
      </c>
      <c r="AI206" s="35">
        <f>IF(AND(C206="Grayson Coulter",G206&gt;='00_Control'!$B$7),"YES","NO")</f>
        <v/>
      </c>
      <c r="AJ206" s="33" t="inlineStr">
        <is>
          <t>OK</t>
        </is>
      </c>
    </row>
    <row r="207">
      <c r="A207" s="33" t="inlineStr">
        <is>
          <t>SM000203</t>
        </is>
      </c>
      <c r="B207" s="33" t="inlineStr">
        <is>
          <t>SW010</t>
        </is>
      </c>
      <c r="C207" s="33" t="inlineStr">
        <is>
          <t>Caeleb Dressel</t>
        </is>
      </c>
      <c r="D207" s="33" t="inlineStr">
        <is>
          <t>SwimCloud</t>
        </is>
      </c>
      <c r="E207" s="33" t="inlineStr">
        <is>
          <t>2361642</t>
        </is>
      </c>
      <c r="F207" s="33" t="inlineStr">
        <is>
          <t>25633677</t>
        </is>
      </c>
      <c r="G207" s="51" t="n">
        <v>43532</v>
      </c>
      <c r="H207" s="33" t="inlineStr">
        <is>
          <t>TYR Pro Swim Series - Des Moines</t>
        </is>
      </c>
      <c r="I207" s="33" t="inlineStr">
        <is>
          <t>128901</t>
        </is>
      </c>
      <c r="J207" s="33" t="inlineStr"/>
      <c r="K207" s="33" t="inlineStr">
        <is>
          <t>FIN</t>
        </is>
      </c>
      <c r="L207" s="35">
        <f>IF(K207="FIN",3,IF(OR(K207="SEM",K207="SEMI"),2,IF(OR(K207="PRE",K207="HEAT"),1,IF(V207="YES",4,2))))</f>
        <v/>
      </c>
      <c r="M207" s="33" t="inlineStr">
        <is>
          <t>LCM</t>
        </is>
      </c>
      <c r="N207" s="33" t="n">
        <v>200</v>
      </c>
      <c r="O207" s="33" t="inlineStr">
        <is>
          <t>Free</t>
        </is>
      </c>
      <c r="P207" s="33" t="inlineStr">
        <is>
          <t>200 Free</t>
        </is>
      </c>
      <c r="Q207" s="33" t="inlineStr">
        <is>
          <t>LCM_200_FREE</t>
        </is>
      </c>
      <c r="R207" s="36" t="n">
        <v>109.68</v>
      </c>
      <c r="S207" s="35">
        <f>IF(R207="","",IF(R207&gt;=60,INT(R207/60)&amp;":"&amp;TEXT(MOD(R207,60),"00.00"),TEXT(R207,"0.00")))</f>
        <v/>
      </c>
      <c r="T207" s="52">
        <f>IFERROR((G207-INDEX('01_Swimmers'!$E$5:$E$22,MATCH(B207,'01_Swimmers'!$A$5:$A$22,0)))/'00_Control'!$B$10,"")</f>
        <v/>
      </c>
      <c r="U207" s="35">
        <f>IF(T207="","",INT(T207))</f>
        <v/>
      </c>
      <c r="V207" s="33" t="inlineStr">
        <is>
          <t>NO</t>
        </is>
      </c>
      <c r="W207" s="33" t="inlineStr">
        <is>
          <t>YES</t>
        </is>
      </c>
      <c r="X207" s="33" t="inlineStr">
        <is>
          <t>NO</t>
        </is>
      </c>
      <c r="Y207" s="33" t="n">
        <v>2</v>
      </c>
      <c r="Z207" s="33" t="n">
        <v>1</v>
      </c>
      <c r="AA207" s="33" t="inlineStr">
        <is>
          <t>6</t>
        </is>
      </c>
      <c r="AB207" s="33" t="inlineStr">
        <is>
          <t>https://www.swimcloud.com/results/128901/event/14/?id=25633677#time25633677</t>
        </is>
      </c>
      <c r="AC207" s="33" t="inlineStr">
        <is>
          <t>SwimCloud API v6 2026-10-08</t>
        </is>
      </c>
      <c r="AD207" s="33" t="inlineStr">
        <is>
          <t>Caeleb Dressel|2019-03-08|LCM|200|Free|109.68|TYR Pro Swim Series - Des Moines|FIN|False</t>
        </is>
      </c>
      <c r="AE207" s="53">
        <f>G207+L207/1000+ROW()/1000000000</f>
        <v/>
      </c>
      <c r="AF207" s="35">
        <f>IF(C207&lt;&gt;"Grayson Coulter","",COUNTIFS($C$5:$C$2991,"Grayson Coulter",$Q$5:$Q$2991,Q207,$AE$5:$AE$2991,"&lt;="&amp;AE207,$R$5:$R$2991,"&lt;"&amp;R207))</f>
        <v/>
      </c>
      <c r="AG207" s="35">
        <f>IF(OR(C207&lt;&gt;"Grayson Coulter",G207&lt;'00_Control'!$B$7),"",--(AF207&lt;5))</f>
        <v/>
      </c>
      <c r="AH207" s="35">
        <f>IF(OR(C207&lt;&gt;"Grayson Coulter",G207&lt;'00_Control'!$B$7),"",--(AF207&lt;10))</f>
        <v/>
      </c>
      <c r="AI207" s="35">
        <f>IF(AND(C207="Grayson Coulter",G207&gt;='00_Control'!$B$7),"YES","NO")</f>
        <v/>
      </c>
      <c r="AJ207" s="33" t="inlineStr">
        <is>
          <t>OK</t>
        </is>
      </c>
    </row>
    <row r="208">
      <c r="A208" s="33" t="inlineStr">
        <is>
          <t>SM000204</t>
        </is>
      </c>
      <c r="B208" s="33" t="inlineStr">
        <is>
          <t>SW010</t>
        </is>
      </c>
      <c r="C208" s="33" t="inlineStr">
        <is>
          <t>Caeleb Dressel</t>
        </is>
      </c>
      <c r="D208" s="33" t="inlineStr">
        <is>
          <t>SwimCloud</t>
        </is>
      </c>
      <c r="E208" s="33" t="inlineStr">
        <is>
          <t>2361642</t>
        </is>
      </c>
      <c r="F208" s="33" t="inlineStr">
        <is>
          <t>25634874</t>
        </is>
      </c>
      <c r="G208" s="51" t="n">
        <v>43533</v>
      </c>
      <c r="H208" s="33" t="inlineStr">
        <is>
          <t>TYR Pro Swim Series - Des Moines</t>
        </is>
      </c>
      <c r="I208" s="33" t="inlineStr">
        <is>
          <t>128901</t>
        </is>
      </c>
      <c r="J208" s="33" t="inlineStr"/>
      <c r="K208" s="33" t="inlineStr">
        <is>
          <t>PRE</t>
        </is>
      </c>
      <c r="L208" s="35">
        <f>IF(K208="FIN",3,IF(OR(K208="SEM",K208="SEMI"),2,IF(OR(K208="PRE",K208="HEAT"),1,IF(V208="YES",4,2))))</f>
        <v/>
      </c>
      <c r="M208" s="33" t="inlineStr">
        <is>
          <t>LCM</t>
        </is>
      </c>
      <c r="N208" s="33" t="n">
        <v>100</v>
      </c>
      <c r="O208" s="33" t="inlineStr">
        <is>
          <t>Fly</t>
        </is>
      </c>
      <c r="P208" s="33" t="inlineStr">
        <is>
          <t>100 Fly</t>
        </is>
      </c>
      <c r="Q208" s="33" t="inlineStr">
        <is>
          <t>LCM_100_FLY</t>
        </is>
      </c>
      <c r="R208" s="36" t="n">
        <v>52.78</v>
      </c>
      <c r="S208" s="35">
        <f>IF(R208="","",IF(R208&gt;=60,INT(R208/60)&amp;":"&amp;TEXT(MOD(R208,60),"00.00"),TEXT(R208,"0.00")))</f>
        <v/>
      </c>
      <c r="T208" s="52">
        <f>IFERROR((G208-INDEX('01_Swimmers'!$E$5:$E$22,MATCH(B208,'01_Swimmers'!$A$5:$A$22,0)))/'00_Control'!$B$10,"")</f>
        <v/>
      </c>
      <c r="U208" s="35">
        <f>IF(T208="","",INT(T208))</f>
        <v/>
      </c>
      <c r="V208" s="33" t="inlineStr">
        <is>
          <t>NO</t>
        </is>
      </c>
      <c r="W208" s="33" t="inlineStr">
        <is>
          <t>YES</t>
        </is>
      </c>
      <c r="X208" s="33" t="inlineStr">
        <is>
          <t>NO</t>
        </is>
      </c>
      <c r="Y208" s="33" t="n">
        <v>5</v>
      </c>
      <c r="Z208" s="33" t="n">
        <v>4</v>
      </c>
      <c r="AA208" s="33" t="inlineStr">
        <is>
          <t>3</t>
        </is>
      </c>
      <c r="AB208" s="33" t="inlineStr">
        <is>
          <t>https://www.swimcloud.com/results/128901/event/31/?id=25634874#time25634874</t>
        </is>
      </c>
      <c r="AC208" s="33" t="inlineStr">
        <is>
          <t>SwimCloud API v6 2026-10-08</t>
        </is>
      </c>
      <c r="AD208" s="33" t="inlineStr">
        <is>
          <t>Caeleb Dressel|2019-03-09|LCM|100|Fly|52.78|TYR Pro Swim Series - Des Moines|PRE|False</t>
        </is>
      </c>
      <c r="AE208" s="53">
        <f>G208+L208/1000+ROW()/1000000000</f>
        <v/>
      </c>
      <c r="AF208" s="35">
        <f>IF(C208&lt;&gt;"Grayson Coulter","",COUNTIFS($C$5:$C$2991,"Grayson Coulter",$Q$5:$Q$2991,Q208,$AE$5:$AE$2991,"&lt;="&amp;AE208,$R$5:$R$2991,"&lt;"&amp;R208))</f>
        <v/>
      </c>
      <c r="AG208" s="35">
        <f>IF(OR(C208&lt;&gt;"Grayson Coulter",G208&lt;'00_Control'!$B$7),"",--(AF208&lt;5))</f>
        <v/>
      </c>
      <c r="AH208" s="35">
        <f>IF(OR(C208&lt;&gt;"Grayson Coulter",G208&lt;'00_Control'!$B$7),"",--(AF208&lt;10))</f>
        <v/>
      </c>
      <c r="AI208" s="35">
        <f>IF(AND(C208="Grayson Coulter",G208&gt;='00_Control'!$B$7),"YES","NO")</f>
        <v/>
      </c>
      <c r="AJ208" s="33" t="inlineStr">
        <is>
          <t>OK</t>
        </is>
      </c>
    </row>
    <row r="209">
      <c r="A209" s="33" t="inlineStr">
        <is>
          <t>SM000205</t>
        </is>
      </c>
      <c r="B209" s="33" t="inlineStr">
        <is>
          <t>SW010</t>
        </is>
      </c>
      <c r="C209" s="33" t="inlineStr">
        <is>
          <t>Caeleb Dressel</t>
        </is>
      </c>
      <c r="D209" s="33" t="inlineStr">
        <is>
          <t>SwimCloud</t>
        </is>
      </c>
      <c r="E209" s="33" t="inlineStr">
        <is>
          <t>2361642</t>
        </is>
      </c>
      <c r="F209" s="33" t="inlineStr">
        <is>
          <t>25634875</t>
        </is>
      </c>
      <c r="G209" s="51" t="n">
        <v>43533</v>
      </c>
      <c r="H209" s="33" t="inlineStr">
        <is>
          <t>TYR Pro Swim Series - Des Moines</t>
        </is>
      </c>
      <c r="I209" s="33" t="inlineStr">
        <is>
          <t>128901</t>
        </is>
      </c>
      <c r="J209" s="33" t="inlineStr"/>
      <c r="K209" s="33" t="inlineStr">
        <is>
          <t>FIN</t>
        </is>
      </c>
      <c r="L209" s="35">
        <f>IF(K209="FIN",3,IF(OR(K209="SEM",K209="SEMI"),2,IF(OR(K209="PRE",K209="HEAT"),1,IF(V209="YES",4,2))))</f>
        <v/>
      </c>
      <c r="M209" s="33" t="inlineStr">
        <is>
          <t>LCM</t>
        </is>
      </c>
      <c r="N209" s="33" t="n">
        <v>100</v>
      </c>
      <c r="O209" s="33" t="inlineStr">
        <is>
          <t>Fly</t>
        </is>
      </c>
      <c r="P209" s="33" t="inlineStr">
        <is>
          <t>100 Fly</t>
        </is>
      </c>
      <c r="Q209" s="33" t="inlineStr">
        <is>
          <t>LCM_100_FLY</t>
        </is>
      </c>
      <c r="R209" s="36" t="n">
        <v>51.51</v>
      </c>
      <c r="S209" s="35">
        <f>IF(R209="","",IF(R209&gt;=60,INT(R209/60)&amp;":"&amp;TEXT(MOD(R209,60),"00.00"),TEXT(R209,"0.00")))</f>
        <v/>
      </c>
      <c r="T209" s="52">
        <f>IFERROR((G209-INDEX('01_Swimmers'!$E$5:$E$22,MATCH(B209,'01_Swimmers'!$A$5:$A$22,0)))/'00_Control'!$B$10,"")</f>
        <v/>
      </c>
      <c r="U209" s="35">
        <f>IF(T209="","",INT(T209))</f>
        <v/>
      </c>
      <c r="V209" s="33" t="inlineStr">
        <is>
          <t>NO</t>
        </is>
      </c>
      <c r="W209" s="33" t="inlineStr">
        <is>
          <t>YES</t>
        </is>
      </c>
      <c r="X209" s="33" t="inlineStr">
        <is>
          <t>NO</t>
        </is>
      </c>
      <c r="Y209" s="33" t="n">
        <v>2</v>
      </c>
      <c r="Z209" s="33" t="n">
        <v>3</v>
      </c>
      <c r="AA209" s="33" t="inlineStr">
        <is>
          <t>1</t>
        </is>
      </c>
      <c r="AB209" s="33" t="inlineStr">
        <is>
          <t>https://www.swimcloud.com/results/128901/event/31/?id=25634875#time25634875</t>
        </is>
      </c>
      <c r="AC209" s="33" t="inlineStr">
        <is>
          <t>SwimCloud API v6 2026-10-08</t>
        </is>
      </c>
      <c r="AD209" s="33" t="inlineStr">
        <is>
          <t>Caeleb Dressel|2019-03-09|LCM|100|Fly|51.51|TYR Pro Swim Series - Des Moines|FIN|False</t>
        </is>
      </c>
      <c r="AE209" s="53">
        <f>G209+L209/1000+ROW()/1000000000</f>
        <v/>
      </c>
      <c r="AF209" s="35">
        <f>IF(C209&lt;&gt;"Grayson Coulter","",COUNTIFS($C$5:$C$2991,"Grayson Coulter",$Q$5:$Q$2991,Q209,$AE$5:$AE$2991,"&lt;="&amp;AE209,$R$5:$R$2991,"&lt;"&amp;R209))</f>
        <v/>
      </c>
      <c r="AG209" s="35">
        <f>IF(OR(C209&lt;&gt;"Grayson Coulter",G209&lt;'00_Control'!$B$7),"",--(AF209&lt;5))</f>
        <v/>
      </c>
      <c r="AH209" s="35">
        <f>IF(OR(C209&lt;&gt;"Grayson Coulter",G209&lt;'00_Control'!$B$7),"",--(AF209&lt;10))</f>
        <v/>
      </c>
      <c r="AI209" s="35">
        <f>IF(AND(C209="Grayson Coulter",G209&gt;='00_Control'!$B$7),"YES","NO")</f>
        <v/>
      </c>
      <c r="AJ209" s="33" t="inlineStr">
        <is>
          <t>OK</t>
        </is>
      </c>
    </row>
    <row r="210">
      <c r="A210" s="33" t="inlineStr">
        <is>
          <t>SM000206</t>
        </is>
      </c>
      <c r="B210" s="33" t="inlineStr">
        <is>
          <t>SW010</t>
        </is>
      </c>
      <c r="C210" s="33" t="inlineStr">
        <is>
          <t>Caeleb Dressel</t>
        </is>
      </c>
      <c r="D210" s="33" t="inlineStr">
        <is>
          <t>SwimCloud</t>
        </is>
      </c>
      <c r="E210" s="33" t="inlineStr">
        <is>
          <t>2361642</t>
        </is>
      </c>
      <c r="F210" s="33" t="inlineStr">
        <is>
          <t>25972442</t>
        </is>
      </c>
      <c r="G210" s="51" t="n">
        <v>43566</v>
      </c>
      <c r="H210" s="33" t="inlineStr">
        <is>
          <t>TYR Pro Swim Series - Richmond</t>
        </is>
      </c>
      <c r="I210" s="33" t="inlineStr">
        <is>
          <t>144820</t>
        </is>
      </c>
      <c r="J210" s="33" t="inlineStr"/>
      <c r="K210" s="33" t="inlineStr">
        <is>
          <t>PRE</t>
        </is>
      </c>
      <c r="L210" s="35">
        <f>IF(K210="FIN",3,IF(OR(K210="SEM",K210="SEMI"),2,IF(OR(K210="PRE",K210="HEAT"),1,IF(V210="YES",4,2))))</f>
        <v/>
      </c>
      <c r="M210" s="33" t="inlineStr">
        <is>
          <t>LCM</t>
        </is>
      </c>
      <c r="N210" s="33" t="n">
        <v>100</v>
      </c>
      <c r="O210" s="33" t="inlineStr">
        <is>
          <t>Fly</t>
        </is>
      </c>
      <c r="P210" s="33" t="inlineStr">
        <is>
          <t>100 Fly</t>
        </is>
      </c>
      <c r="Q210" s="33" t="inlineStr">
        <is>
          <t>LCM_100_FLY</t>
        </is>
      </c>
      <c r="R210" s="36" t="n">
        <v>52.55</v>
      </c>
      <c r="S210" s="35">
        <f>IF(R210="","",IF(R210&gt;=60,INT(R210/60)&amp;":"&amp;TEXT(MOD(R210,60),"00.00"),TEXT(R210,"0.00")))</f>
        <v/>
      </c>
      <c r="T210" s="52">
        <f>IFERROR((G210-INDEX('01_Swimmers'!$E$5:$E$22,MATCH(B210,'01_Swimmers'!$A$5:$A$22,0)))/'00_Control'!$B$10,"")</f>
        <v/>
      </c>
      <c r="U210" s="35">
        <f>IF(T210="","",INT(T210))</f>
        <v/>
      </c>
      <c r="V210" s="33" t="inlineStr">
        <is>
          <t>NO</t>
        </is>
      </c>
      <c r="W210" s="33" t="inlineStr">
        <is>
          <t>YES</t>
        </is>
      </c>
      <c r="X210" s="33" t="inlineStr">
        <is>
          <t>NO</t>
        </is>
      </c>
      <c r="Y210" s="33" t="n">
        <v>8</v>
      </c>
      <c r="Z210" s="33" t="n">
        <v>4</v>
      </c>
      <c r="AA210" s="33" t="inlineStr">
        <is>
          <t>1</t>
        </is>
      </c>
      <c r="AB210" s="33" t="inlineStr">
        <is>
          <t>https://www.swimcloud.com/results/144820/event/10/?id=25972442#time25972442</t>
        </is>
      </c>
      <c r="AC210" s="33" t="inlineStr">
        <is>
          <t>SwimCloud API v6 2026-10-08</t>
        </is>
      </c>
      <c r="AD210" s="33" t="inlineStr">
        <is>
          <t>Caeleb Dressel|2019-04-11|LCM|100|Fly|52.55|TYR Pro Swim Series - Richmond|PRE|False</t>
        </is>
      </c>
      <c r="AE210" s="53">
        <f>G210+L210/1000+ROW()/1000000000</f>
        <v/>
      </c>
      <c r="AF210" s="35">
        <f>IF(C210&lt;&gt;"Grayson Coulter","",COUNTIFS($C$5:$C$2991,"Grayson Coulter",$Q$5:$Q$2991,Q210,$AE$5:$AE$2991,"&lt;="&amp;AE210,$R$5:$R$2991,"&lt;"&amp;R210))</f>
        <v/>
      </c>
      <c r="AG210" s="35">
        <f>IF(OR(C210&lt;&gt;"Grayson Coulter",G210&lt;'00_Control'!$B$7),"",--(AF210&lt;5))</f>
        <v/>
      </c>
      <c r="AH210" s="35">
        <f>IF(OR(C210&lt;&gt;"Grayson Coulter",G210&lt;'00_Control'!$B$7),"",--(AF210&lt;10))</f>
        <v/>
      </c>
      <c r="AI210" s="35">
        <f>IF(AND(C210="Grayson Coulter",G210&gt;='00_Control'!$B$7),"YES","NO")</f>
        <v/>
      </c>
      <c r="AJ210" s="33" t="inlineStr">
        <is>
          <t>OK</t>
        </is>
      </c>
    </row>
    <row r="211">
      <c r="A211" s="33" t="inlineStr">
        <is>
          <t>SM000207</t>
        </is>
      </c>
      <c r="B211" s="33" t="inlineStr">
        <is>
          <t>SW010</t>
        </is>
      </c>
      <c r="C211" s="33" t="inlineStr">
        <is>
          <t>Caeleb Dressel</t>
        </is>
      </c>
      <c r="D211" s="33" t="inlineStr">
        <is>
          <t>SwimCloud</t>
        </is>
      </c>
      <c r="E211" s="33" t="inlineStr">
        <is>
          <t>2361642</t>
        </is>
      </c>
      <c r="F211" s="33" t="inlineStr">
        <is>
          <t>25972443</t>
        </is>
      </c>
      <c r="G211" s="51" t="n">
        <v>43566</v>
      </c>
      <c r="H211" s="33" t="inlineStr">
        <is>
          <t>TYR Pro Swim Series - Richmond</t>
        </is>
      </c>
      <c r="I211" s="33" t="inlineStr">
        <is>
          <t>144820</t>
        </is>
      </c>
      <c r="J211" s="33" t="inlineStr"/>
      <c r="K211" s="33" t="inlineStr">
        <is>
          <t>FIN</t>
        </is>
      </c>
      <c r="L211" s="35">
        <f>IF(K211="FIN",3,IF(OR(K211="SEM",K211="SEMI"),2,IF(OR(K211="PRE",K211="HEAT"),1,IF(V211="YES",4,2))))</f>
        <v/>
      </c>
      <c r="M211" s="33" t="inlineStr">
        <is>
          <t>LCM</t>
        </is>
      </c>
      <c r="N211" s="33" t="n">
        <v>100</v>
      </c>
      <c r="O211" s="33" t="inlineStr">
        <is>
          <t>Fly</t>
        </is>
      </c>
      <c r="P211" s="33" t="inlineStr">
        <is>
          <t>100 Fly</t>
        </is>
      </c>
      <c r="Q211" s="33" t="inlineStr">
        <is>
          <t>LCM_100_FLY</t>
        </is>
      </c>
      <c r="R211" s="36" t="n">
        <v>52.08</v>
      </c>
      <c r="S211" s="35">
        <f>IF(R211="","",IF(R211&gt;=60,INT(R211/60)&amp;":"&amp;TEXT(MOD(R211,60),"00.00"),TEXT(R211,"0.00")))</f>
        <v/>
      </c>
      <c r="T211" s="52">
        <f>IFERROR((G211-INDEX('01_Swimmers'!$E$5:$E$22,MATCH(B211,'01_Swimmers'!$A$5:$A$22,0)))/'00_Control'!$B$10,"")</f>
        <v/>
      </c>
      <c r="U211" s="35">
        <f>IF(T211="","",INT(T211))</f>
        <v/>
      </c>
      <c r="V211" s="33" t="inlineStr">
        <is>
          <t>NO</t>
        </is>
      </c>
      <c r="W211" s="33" t="inlineStr">
        <is>
          <t>YES</t>
        </is>
      </c>
      <c r="X211" s="33" t="inlineStr">
        <is>
          <t>NO</t>
        </is>
      </c>
      <c r="Y211" s="33" t="n">
        <v>2</v>
      </c>
      <c r="Z211" s="33" t="n">
        <v>4</v>
      </c>
      <c r="AA211" s="33" t="inlineStr">
        <is>
          <t>1</t>
        </is>
      </c>
      <c r="AB211" s="33" t="inlineStr">
        <is>
          <t>https://www.swimcloud.com/results/144820/event/10/?id=25972443#time25972443</t>
        </is>
      </c>
      <c r="AC211" s="33" t="inlineStr">
        <is>
          <t>SwimCloud API v6 2026-10-08</t>
        </is>
      </c>
      <c r="AD211" s="33" t="inlineStr">
        <is>
          <t>Caeleb Dressel|2019-04-11|LCM|100|Fly|52.08|TYR Pro Swim Series - Richmond|FIN|False</t>
        </is>
      </c>
      <c r="AE211" s="53">
        <f>G211+L211/1000+ROW()/1000000000</f>
        <v/>
      </c>
      <c r="AF211" s="35">
        <f>IF(C211&lt;&gt;"Grayson Coulter","",COUNTIFS($C$5:$C$2991,"Grayson Coulter",$Q$5:$Q$2991,Q211,$AE$5:$AE$2991,"&lt;="&amp;AE211,$R$5:$R$2991,"&lt;"&amp;R211))</f>
        <v/>
      </c>
      <c r="AG211" s="35">
        <f>IF(OR(C211&lt;&gt;"Grayson Coulter",G211&lt;'00_Control'!$B$7),"",--(AF211&lt;5))</f>
        <v/>
      </c>
      <c r="AH211" s="35">
        <f>IF(OR(C211&lt;&gt;"Grayson Coulter",G211&lt;'00_Control'!$B$7),"",--(AF211&lt;10))</f>
        <v/>
      </c>
      <c r="AI211" s="35">
        <f>IF(AND(C211="Grayson Coulter",G211&gt;='00_Control'!$B$7),"YES","NO")</f>
        <v/>
      </c>
      <c r="AJ211" s="33" t="inlineStr">
        <is>
          <t>OK</t>
        </is>
      </c>
    </row>
    <row r="212">
      <c r="A212" s="33" t="inlineStr">
        <is>
          <t>SM000208</t>
        </is>
      </c>
      <c r="B212" s="33" t="inlineStr">
        <is>
          <t>SW010</t>
        </is>
      </c>
      <c r="C212" s="33" t="inlineStr">
        <is>
          <t>Caeleb Dressel</t>
        </is>
      </c>
      <c r="D212" s="33" t="inlineStr">
        <is>
          <t>SwimCloud</t>
        </is>
      </c>
      <c r="E212" s="33" t="inlineStr">
        <is>
          <t>2361642</t>
        </is>
      </c>
      <c r="F212" s="33" t="inlineStr">
        <is>
          <t>25972346</t>
        </is>
      </c>
      <c r="G212" s="51" t="n">
        <v>43566</v>
      </c>
      <c r="H212" s="33" t="inlineStr">
        <is>
          <t>TYR Pro Swim Series - Richmond</t>
        </is>
      </c>
      <c r="I212" s="33" t="inlineStr">
        <is>
          <t>144820</t>
        </is>
      </c>
      <c r="J212" s="33" t="inlineStr"/>
      <c r="K212" s="33" t="inlineStr">
        <is>
          <t>PRE</t>
        </is>
      </c>
      <c r="L212" s="35">
        <f>IF(K212="FIN",3,IF(OR(K212="SEM",K212="SEMI"),2,IF(OR(K212="PRE",K212="HEAT"),1,IF(V212="YES",4,2))))</f>
        <v/>
      </c>
      <c r="M212" s="33" t="inlineStr">
        <is>
          <t>LCM</t>
        </is>
      </c>
      <c r="N212" s="33" t="n">
        <v>200</v>
      </c>
      <c r="O212" s="33" t="inlineStr">
        <is>
          <t>Free</t>
        </is>
      </c>
      <c r="P212" s="33" t="inlineStr">
        <is>
          <t>200 Free</t>
        </is>
      </c>
      <c r="Q212" s="33" t="inlineStr">
        <is>
          <t>LCM_200_FREE</t>
        </is>
      </c>
      <c r="R212" s="36" t="n">
        <v>109.67</v>
      </c>
      <c r="S212" s="35">
        <f>IF(R212="","",IF(R212&gt;=60,INT(R212/60)&amp;":"&amp;TEXT(MOD(R212,60),"00.00"),TEXT(R212,"0.00")))</f>
        <v/>
      </c>
      <c r="T212" s="52">
        <f>IFERROR((G212-INDEX('01_Swimmers'!$E$5:$E$22,MATCH(B212,'01_Swimmers'!$A$5:$A$22,0)))/'00_Control'!$B$10,"")</f>
        <v/>
      </c>
      <c r="U212" s="35">
        <f>IF(T212="","",INT(T212))</f>
        <v/>
      </c>
      <c r="V212" s="33" t="inlineStr">
        <is>
          <t>NO</t>
        </is>
      </c>
      <c r="W212" s="33" t="inlineStr">
        <is>
          <t>YES</t>
        </is>
      </c>
      <c r="X212" s="33" t="inlineStr">
        <is>
          <t>NO</t>
        </is>
      </c>
      <c r="Y212" s="33" t="n">
        <v>9</v>
      </c>
      <c r="Z212" s="33" t="n">
        <v>5</v>
      </c>
      <c r="AA212" s="33" t="inlineStr">
        <is>
          <t>2</t>
        </is>
      </c>
      <c r="AB212" s="33" t="inlineStr">
        <is>
          <t>https://www.swimcloud.com/results/144820/event/4/?id=25972346#time25972346</t>
        </is>
      </c>
      <c r="AC212" s="33" t="inlineStr">
        <is>
          <t>SwimCloud API v6 2026-10-08</t>
        </is>
      </c>
      <c r="AD212" s="33" t="inlineStr">
        <is>
          <t>Caeleb Dressel|2019-04-11|LCM|200|Free|109.67|TYR Pro Swim Series - Richmond|PRE|False</t>
        </is>
      </c>
      <c r="AE212" s="53">
        <f>G212+L212/1000+ROW()/1000000000</f>
        <v/>
      </c>
      <c r="AF212" s="35">
        <f>IF(C212&lt;&gt;"Grayson Coulter","",COUNTIFS($C$5:$C$2991,"Grayson Coulter",$Q$5:$Q$2991,Q212,$AE$5:$AE$2991,"&lt;="&amp;AE212,$R$5:$R$2991,"&lt;"&amp;R212))</f>
        <v/>
      </c>
      <c r="AG212" s="35">
        <f>IF(OR(C212&lt;&gt;"Grayson Coulter",G212&lt;'00_Control'!$B$7),"",--(AF212&lt;5))</f>
        <v/>
      </c>
      <c r="AH212" s="35">
        <f>IF(OR(C212&lt;&gt;"Grayson Coulter",G212&lt;'00_Control'!$B$7),"",--(AF212&lt;10))</f>
        <v/>
      </c>
      <c r="AI212" s="35">
        <f>IF(AND(C212="Grayson Coulter",G212&gt;='00_Control'!$B$7),"YES","NO")</f>
        <v/>
      </c>
      <c r="AJ212" s="33" t="inlineStr">
        <is>
          <t>OK</t>
        </is>
      </c>
    </row>
    <row r="213">
      <c r="A213" s="33" t="inlineStr">
        <is>
          <t>SM000209</t>
        </is>
      </c>
      <c r="B213" s="33" t="inlineStr">
        <is>
          <t>SW010</t>
        </is>
      </c>
      <c r="C213" s="33" t="inlineStr">
        <is>
          <t>Caeleb Dressel</t>
        </is>
      </c>
      <c r="D213" s="33" t="inlineStr">
        <is>
          <t>SwimCloud</t>
        </is>
      </c>
      <c r="E213" s="33" t="inlineStr">
        <is>
          <t>2361642</t>
        </is>
      </c>
      <c r="F213" s="33" t="inlineStr">
        <is>
          <t>25972347</t>
        </is>
      </c>
      <c r="G213" s="51" t="n">
        <v>43566</v>
      </c>
      <c r="H213" s="33" t="inlineStr">
        <is>
          <t>TYR Pro Swim Series - Richmond</t>
        </is>
      </c>
      <c r="I213" s="33" t="inlineStr">
        <is>
          <t>144820</t>
        </is>
      </c>
      <c r="J213" s="33" t="inlineStr"/>
      <c r="K213" s="33" t="inlineStr">
        <is>
          <t>FIN</t>
        </is>
      </c>
      <c r="L213" s="35">
        <f>IF(K213="FIN",3,IF(OR(K213="SEM",K213="SEMI"),2,IF(OR(K213="PRE",K213="HEAT"),1,IF(V213="YES",4,2))))</f>
        <v/>
      </c>
      <c r="M213" s="33" t="inlineStr">
        <is>
          <t>LCM</t>
        </is>
      </c>
      <c r="N213" s="33" t="n">
        <v>200</v>
      </c>
      <c r="O213" s="33" t="inlineStr">
        <is>
          <t>Free</t>
        </is>
      </c>
      <c r="P213" s="33" t="inlineStr">
        <is>
          <t>200 Free</t>
        </is>
      </c>
      <c r="Q213" s="33" t="inlineStr">
        <is>
          <t>LCM_200_FREE</t>
        </is>
      </c>
      <c r="R213" s="36" t="n">
        <v>107.31</v>
      </c>
      <c r="S213" s="35">
        <f>IF(R213="","",IF(R213&gt;=60,INT(R213/60)&amp;":"&amp;TEXT(MOD(R213,60),"00.00"),TEXT(R213,"0.00")))</f>
        <v/>
      </c>
      <c r="T213" s="52">
        <f>IFERROR((G213-INDEX('01_Swimmers'!$E$5:$E$22,MATCH(B213,'01_Swimmers'!$A$5:$A$22,0)))/'00_Control'!$B$10,"")</f>
        <v/>
      </c>
      <c r="U213" s="35">
        <f>IF(T213="","",INT(T213))</f>
        <v/>
      </c>
      <c r="V213" s="33" t="inlineStr">
        <is>
          <t>NO</t>
        </is>
      </c>
      <c r="W213" s="33" t="inlineStr">
        <is>
          <t>YES</t>
        </is>
      </c>
      <c r="X213" s="33" t="inlineStr">
        <is>
          <t>NO</t>
        </is>
      </c>
      <c r="Y213" s="33" t="n">
        <v>2</v>
      </c>
      <c r="Z213" s="33" t="n">
        <v>5</v>
      </c>
      <c r="AA213" s="33" t="inlineStr">
        <is>
          <t>1</t>
        </is>
      </c>
      <c r="AB213" s="33" t="inlineStr">
        <is>
          <t>https://www.swimcloud.com/results/144820/event/4/?id=25972347#time25972347</t>
        </is>
      </c>
      <c r="AC213" s="33" t="inlineStr">
        <is>
          <t>SwimCloud API v6 2026-10-08</t>
        </is>
      </c>
      <c r="AD213" s="33" t="inlineStr">
        <is>
          <t>Caeleb Dressel|2019-04-11|LCM|200|Free|107.31|TYR Pro Swim Series - Richmond|FIN|False</t>
        </is>
      </c>
      <c r="AE213" s="53">
        <f>G213+L213/1000+ROW()/1000000000</f>
        <v/>
      </c>
      <c r="AF213" s="35">
        <f>IF(C213&lt;&gt;"Grayson Coulter","",COUNTIFS($C$5:$C$2991,"Grayson Coulter",$Q$5:$Q$2991,Q213,$AE$5:$AE$2991,"&lt;="&amp;AE213,$R$5:$R$2991,"&lt;"&amp;R213))</f>
        <v/>
      </c>
      <c r="AG213" s="35">
        <f>IF(OR(C213&lt;&gt;"Grayson Coulter",G213&lt;'00_Control'!$B$7),"",--(AF213&lt;5))</f>
        <v/>
      </c>
      <c r="AH213" s="35">
        <f>IF(OR(C213&lt;&gt;"Grayson Coulter",G213&lt;'00_Control'!$B$7),"",--(AF213&lt;10))</f>
        <v/>
      </c>
      <c r="AI213" s="35">
        <f>IF(AND(C213="Grayson Coulter",G213&gt;='00_Control'!$B$7),"YES","NO")</f>
        <v/>
      </c>
      <c r="AJ213" s="33" t="inlineStr">
        <is>
          <t>OK</t>
        </is>
      </c>
    </row>
    <row r="214">
      <c r="A214" s="33" t="inlineStr">
        <is>
          <t>SM000210</t>
        </is>
      </c>
      <c r="B214" s="33" t="inlineStr">
        <is>
          <t>SW010</t>
        </is>
      </c>
      <c r="C214" s="33" t="inlineStr">
        <is>
          <t>Caeleb Dressel</t>
        </is>
      </c>
      <c r="D214" s="33" t="inlineStr">
        <is>
          <t>SwimCloud</t>
        </is>
      </c>
      <c r="E214" s="33" t="inlineStr">
        <is>
          <t>2361642</t>
        </is>
      </c>
      <c r="F214" s="33" t="inlineStr">
        <is>
          <t>26519825</t>
        </is>
      </c>
      <c r="G214" s="51" t="n">
        <v>43602</v>
      </c>
      <c r="H214" s="33" t="inlineStr">
        <is>
          <t>GA SCAT Atlanta Classic Swim Meet</t>
        </is>
      </c>
      <c r="I214" s="33" t="inlineStr">
        <is>
          <t>129504</t>
        </is>
      </c>
      <c r="J214" s="33" t="inlineStr"/>
      <c r="K214" s="33" t="inlineStr">
        <is>
          <t>PRE</t>
        </is>
      </c>
      <c r="L214" s="35">
        <f>IF(K214="FIN",3,IF(OR(K214="SEM",K214="SEMI"),2,IF(OR(K214="PRE",K214="HEAT"),1,IF(V214="YES",4,2))))</f>
        <v/>
      </c>
      <c r="M214" s="33" t="inlineStr">
        <is>
          <t>LCM</t>
        </is>
      </c>
      <c r="N214" s="33" t="n">
        <v>100</v>
      </c>
      <c r="O214" s="33" t="inlineStr">
        <is>
          <t>Fly</t>
        </is>
      </c>
      <c r="P214" s="33" t="inlineStr">
        <is>
          <t>100 Fly</t>
        </is>
      </c>
      <c r="Q214" s="33" t="inlineStr">
        <is>
          <t>LCM_100_FLY</t>
        </is>
      </c>
      <c r="R214" s="36" t="n">
        <v>53.15</v>
      </c>
      <c r="S214" s="35">
        <f>IF(R214="","",IF(R214&gt;=60,INT(R214/60)&amp;":"&amp;TEXT(MOD(R214,60),"00.00"),TEXT(R214,"0.00")))</f>
        <v/>
      </c>
      <c r="T214" s="52">
        <f>IFERROR((G214-INDEX('01_Swimmers'!$E$5:$E$22,MATCH(B214,'01_Swimmers'!$A$5:$A$22,0)))/'00_Control'!$B$10,"")</f>
        <v/>
      </c>
      <c r="U214" s="35">
        <f>IF(T214="","",INT(T214))</f>
        <v/>
      </c>
      <c r="V214" s="33" t="inlineStr">
        <is>
          <t>NO</t>
        </is>
      </c>
      <c r="W214" s="33" t="inlineStr">
        <is>
          <t>YES</t>
        </is>
      </c>
      <c r="X214" s="33" t="inlineStr">
        <is>
          <t>NO</t>
        </is>
      </c>
      <c r="Y214" s="33" t="n">
        <v>4</v>
      </c>
      <c r="Z214" s="33" t="n">
        <v>3</v>
      </c>
      <c r="AA214" s="33" t="inlineStr">
        <is>
          <t>1</t>
        </is>
      </c>
      <c r="AB214" s="33" t="inlineStr">
        <is>
          <t>https://www.swimcloud.com/results/129504/event/6/?id=26519825#time26519825</t>
        </is>
      </c>
      <c r="AC214" s="33" t="inlineStr">
        <is>
          <t>SwimCloud API v6 2026-10-08</t>
        </is>
      </c>
      <c r="AD214" s="33" t="inlineStr">
        <is>
          <t>Caeleb Dressel|2019-05-17|LCM|100|Fly|53.15|GA SCAT Atlanta Classic Swim Meet|PRE|False</t>
        </is>
      </c>
      <c r="AE214" s="53">
        <f>G214+L214/1000+ROW()/1000000000</f>
        <v/>
      </c>
      <c r="AF214" s="35">
        <f>IF(C214&lt;&gt;"Grayson Coulter","",COUNTIFS($C$5:$C$2991,"Grayson Coulter",$Q$5:$Q$2991,Q214,$AE$5:$AE$2991,"&lt;="&amp;AE214,$R$5:$R$2991,"&lt;"&amp;R214))</f>
        <v/>
      </c>
      <c r="AG214" s="35">
        <f>IF(OR(C214&lt;&gt;"Grayson Coulter",G214&lt;'00_Control'!$B$7),"",--(AF214&lt;5))</f>
        <v/>
      </c>
      <c r="AH214" s="35">
        <f>IF(OR(C214&lt;&gt;"Grayson Coulter",G214&lt;'00_Control'!$B$7),"",--(AF214&lt;10))</f>
        <v/>
      </c>
      <c r="AI214" s="35">
        <f>IF(AND(C214="Grayson Coulter",G214&gt;='00_Control'!$B$7),"YES","NO")</f>
        <v/>
      </c>
      <c r="AJ214" s="33" t="inlineStr">
        <is>
          <t>OK</t>
        </is>
      </c>
    </row>
    <row r="215">
      <c r="A215" s="33" t="inlineStr">
        <is>
          <t>SM000211</t>
        </is>
      </c>
      <c r="B215" s="33" t="inlineStr">
        <is>
          <t>SW010</t>
        </is>
      </c>
      <c r="C215" s="33" t="inlineStr">
        <is>
          <t>Caeleb Dressel</t>
        </is>
      </c>
      <c r="D215" s="33" t="inlineStr">
        <is>
          <t>SwimCloud</t>
        </is>
      </c>
      <c r="E215" s="33" t="inlineStr">
        <is>
          <t>2361642</t>
        </is>
      </c>
      <c r="F215" s="33" t="inlineStr">
        <is>
          <t>26519826</t>
        </is>
      </c>
      <c r="G215" s="51" t="n">
        <v>43602</v>
      </c>
      <c r="H215" s="33" t="inlineStr">
        <is>
          <t>GA SCAT Atlanta Classic Swim Meet</t>
        </is>
      </c>
      <c r="I215" s="33" t="inlineStr">
        <is>
          <t>129504</t>
        </is>
      </c>
      <c r="J215" s="33" t="inlineStr"/>
      <c r="K215" s="33" t="inlineStr">
        <is>
          <t>FIN</t>
        </is>
      </c>
      <c r="L215" s="35">
        <f>IF(K215="FIN",3,IF(OR(K215="SEM",K215="SEMI"),2,IF(OR(K215="PRE",K215="HEAT"),1,IF(V215="YES",4,2))))</f>
        <v/>
      </c>
      <c r="M215" s="33" t="inlineStr">
        <is>
          <t>LCM</t>
        </is>
      </c>
      <c r="N215" s="33" t="n">
        <v>100</v>
      </c>
      <c r="O215" s="33" t="inlineStr">
        <is>
          <t>Fly</t>
        </is>
      </c>
      <c r="P215" s="33" t="inlineStr">
        <is>
          <t>100 Fly</t>
        </is>
      </c>
      <c r="Q215" s="33" t="inlineStr">
        <is>
          <t>LCM_100_FLY</t>
        </is>
      </c>
      <c r="R215" s="36" t="n">
        <v>51.41</v>
      </c>
      <c r="S215" s="35">
        <f>IF(R215="","",IF(R215&gt;=60,INT(R215/60)&amp;":"&amp;TEXT(MOD(R215,60),"00.00"),TEXT(R215,"0.00")))</f>
        <v/>
      </c>
      <c r="T215" s="52">
        <f>IFERROR((G215-INDEX('01_Swimmers'!$E$5:$E$22,MATCH(B215,'01_Swimmers'!$A$5:$A$22,0)))/'00_Control'!$B$10,"")</f>
        <v/>
      </c>
      <c r="U215" s="35">
        <f>IF(T215="","",INT(T215))</f>
        <v/>
      </c>
      <c r="V215" s="33" t="inlineStr">
        <is>
          <t>NO</t>
        </is>
      </c>
      <c r="W215" s="33" t="inlineStr">
        <is>
          <t>YES</t>
        </is>
      </c>
      <c r="X215" s="33" t="inlineStr">
        <is>
          <t>NO</t>
        </is>
      </c>
      <c r="Y215" s="33" t="n">
        <v>4</v>
      </c>
      <c r="Z215" s="33" t="n">
        <v>5</v>
      </c>
      <c r="AA215" s="33" t="inlineStr">
        <is>
          <t>1</t>
        </is>
      </c>
      <c r="AB215" s="33" t="inlineStr">
        <is>
          <t>https://www.swimcloud.com/results/129504/event/6/?id=26519826#time26519826</t>
        </is>
      </c>
      <c r="AC215" s="33" t="inlineStr">
        <is>
          <t>SwimCloud API v6 2026-10-08</t>
        </is>
      </c>
      <c r="AD215" s="33" t="inlineStr">
        <is>
          <t>Caeleb Dressel|2019-05-17|LCM|100|Fly|51.41|GA SCAT Atlanta Classic Swim Meet|FIN|False</t>
        </is>
      </c>
      <c r="AE215" s="53">
        <f>G215+L215/1000+ROW()/1000000000</f>
        <v/>
      </c>
      <c r="AF215" s="35">
        <f>IF(C215&lt;&gt;"Grayson Coulter","",COUNTIFS($C$5:$C$2991,"Grayson Coulter",$Q$5:$Q$2991,Q215,$AE$5:$AE$2991,"&lt;="&amp;AE215,$R$5:$R$2991,"&lt;"&amp;R215))</f>
        <v/>
      </c>
      <c r="AG215" s="35">
        <f>IF(OR(C215&lt;&gt;"Grayson Coulter",G215&lt;'00_Control'!$B$7),"",--(AF215&lt;5))</f>
        <v/>
      </c>
      <c r="AH215" s="35">
        <f>IF(OR(C215&lt;&gt;"Grayson Coulter",G215&lt;'00_Control'!$B$7),"",--(AF215&lt;10))</f>
        <v/>
      </c>
      <c r="AI215" s="35">
        <f>IF(AND(C215="Grayson Coulter",G215&gt;='00_Control'!$B$7),"YES","NO")</f>
        <v/>
      </c>
      <c r="AJ215" s="33" t="inlineStr">
        <is>
          <t>OK</t>
        </is>
      </c>
    </row>
    <row r="216">
      <c r="A216" s="33" t="inlineStr">
        <is>
          <t>SM000212</t>
        </is>
      </c>
      <c r="B216" s="33" t="inlineStr">
        <is>
          <t>SW010</t>
        </is>
      </c>
      <c r="C216" s="33" t="inlineStr">
        <is>
          <t>Caeleb Dressel</t>
        </is>
      </c>
      <c r="D216" s="33" t="inlineStr">
        <is>
          <t>SwimCloud</t>
        </is>
      </c>
      <c r="E216" s="33" t="inlineStr">
        <is>
          <t>2361642</t>
        </is>
      </c>
      <c r="F216" s="33" t="inlineStr">
        <is>
          <t>26520061</t>
        </is>
      </c>
      <c r="G216" s="51" t="n">
        <v>43604</v>
      </c>
      <c r="H216" s="33" t="inlineStr">
        <is>
          <t>GA SCAT Atlanta Classic Swim Meet</t>
        </is>
      </c>
      <c r="I216" s="33" t="inlineStr">
        <is>
          <t>129504</t>
        </is>
      </c>
      <c r="J216" s="33" t="inlineStr"/>
      <c r="K216" s="33" t="inlineStr">
        <is>
          <t>PRE</t>
        </is>
      </c>
      <c r="L216" s="35">
        <f>IF(K216="FIN",3,IF(OR(K216="SEM",K216="SEMI"),2,IF(OR(K216="PRE",K216="HEAT"),1,IF(V216="YES",4,2))))</f>
        <v/>
      </c>
      <c r="M216" s="33" t="inlineStr">
        <is>
          <t>LCM</t>
        </is>
      </c>
      <c r="N216" s="33" t="n">
        <v>100</v>
      </c>
      <c r="O216" s="33" t="inlineStr">
        <is>
          <t>Free</t>
        </is>
      </c>
      <c r="P216" s="33" t="inlineStr">
        <is>
          <t>100 Free</t>
        </is>
      </c>
      <c r="Q216" s="33" t="inlineStr">
        <is>
          <t>LCM_100_FREE</t>
        </is>
      </c>
      <c r="R216" s="36" t="n">
        <v>48.45</v>
      </c>
      <c r="S216" s="35">
        <f>IF(R216="","",IF(R216&gt;=60,INT(R216/60)&amp;":"&amp;TEXT(MOD(R216,60),"00.00"),TEXT(R216,"0.00")))</f>
        <v/>
      </c>
      <c r="T216" s="52">
        <f>IFERROR((G216-INDEX('01_Swimmers'!$E$5:$E$22,MATCH(B216,'01_Swimmers'!$A$5:$A$22,0)))/'00_Control'!$B$10,"")</f>
        <v/>
      </c>
      <c r="U216" s="35">
        <f>IF(T216="","",INT(T216))</f>
        <v/>
      </c>
      <c r="V216" s="33" t="inlineStr">
        <is>
          <t>NO</t>
        </is>
      </c>
      <c r="W216" s="33" t="inlineStr">
        <is>
          <t>YES</t>
        </is>
      </c>
      <c r="X216" s="33" t="inlineStr">
        <is>
          <t>NO</t>
        </is>
      </c>
      <c r="Y216" s="33" t="n">
        <v>12</v>
      </c>
      <c r="Z216" s="33" t="n">
        <v>6</v>
      </c>
      <c r="AA216" s="33" t="inlineStr">
        <is>
          <t>1</t>
        </is>
      </c>
      <c r="AB216" s="33" t="inlineStr">
        <is>
          <t>https://www.swimcloud.com/results/129504/event/24/?id=26520061#time26520061</t>
        </is>
      </c>
      <c r="AC216" s="33" t="inlineStr">
        <is>
          <t>SwimCloud API v6 2026-10-08</t>
        </is>
      </c>
      <c r="AD216" s="33" t="inlineStr">
        <is>
          <t>Caeleb Dressel|2019-05-19|LCM|100|Free|48.45|GA SCAT Atlanta Classic Swim Meet|PRE|False</t>
        </is>
      </c>
      <c r="AE216" s="53">
        <f>G216+L216/1000+ROW()/1000000000</f>
        <v/>
      </c>
      <c r="AF216" s="35">
        <f>IF(C216&lt;&gt;"Grayson Coulter","",COUNTIFS($C$5:$C$2991,"Grayson Coulter",$Q$5:$Q$2991,Q216,$AE$5:$AE$2991,"&lt;="&amp;AE216,$R$5:$R$2991,"&lt;"&amp;R216))</f>
        <v/>
      </c>
      <c r="AG216" s="35">
        <f>IF(OR(C216&lt;&gt;"Grayson Coulter",G216&lt;'00_Control'!$B$7),"",--(AF216&lt;5))</f>
        <v/>
      </c>
      <c r="AH216" s="35">
        <f>IF(OR(C216&lt;&gt;"Grayson Coulter",G216&lt;'00_Control'!$B$7),"",--(AF216&lt;10))</f>
        <v/>
      </c>
      <c r="AI216" s="35">
        <f>IF(AND(C216="Grayson Coulter",G216&gt;='00_Control'!$B$7),"YES","NO")</f>
        <v/>
      </c>
      <c r="AJ216" s="33" t="inlineStr">
        <is>
          <t>OK</t>
        </is>
      </c>
    </row>
    <row r="217">
      <c r="A217" s="33" t="inlineStr">
        <is>
          <t>SM000213</t>
        </is>
      </c>
      <c r="B217" s="33" t="inlineStr">
        <is>
          <t>SW010</t>
        </is>
      </c>
      <c r="C217" s="33" t="inlineStr">
        <is>
          <t>Caeleb Dressel</t>
        </is>
      </c>
      <c r="D217" s="33" t="inlineStr">
        <is>
          <t>SwimCloud</t>
        </is>
      </c>
      <c r="E217" s="33" t="inlineStr">
        <is>
          <t>2361642</t>
        </is>
      </c>
      <c r="F217" s="33" t="inlineStr">
        <is>
          <t>26520062</t>
        </is>
      </c>
      <c r="G217" s="51" t="n">
        <v>43604</v>
      </c>
      <c r="H217" s="33" t="inlineStr">
        <is>
          <t>GA SCAT Atlanta Classic Swim Meet</t>
        </is>
      </c>
      <c r="I217" s="33" t="inlineStr">
        <is>
          <t>129504</t>
        </is>
      </c>
      <c r="J217" s="33" t="inlineStr"/>
      <c r="K217" s="33" t="inlineStr">
        <is>
          <t>FIN</t>
        </is>
      </c>
      <c r="L217" s="35">
        <f>IF(K217="FIN",3,IF(OR(K217="SEM",K217="SEMI"),2,IF(OR(K217="PRE",K217="HEAT"),1,IF(V217="YES",4,2))))</f>
        <v/>
      </c>
      <c r="M217" s="33" t="inlineStr">
        <is>
          <t>LCM</t>
        </is>
      </c>
      <c r="N217" s="33" t="n">
        <v>100</v>
      </c>
      <c r="O217" s="33" t="inlineStr">
        <is>
          <t>Free</t>
        </is>
      </c>
      <c r="P217" s="33" t="inlineStr">
        <is>
          <t>100 Free</t>
        </is>
      </c>
      <c r="Q217" s="33" t="inlineStr">
        <is>
          <t>LCM_100_FREE</t>
        </is>
      </c>
      <c r="R217" s="36" t="n">
        <v>47.86</v>
      </c>
      <c r="S217" s="35">
        <f>IF(R217="","",IF(R217&gt;=60,INT(R217/60)&amp;":"&amp;TEXT(MOD(R217,60),"00.00"),TEXT(R217,"0.00")))</f>
        <v/>
      </c>
      <c r="T217" s="52">
        <f>IFERROR((G217-INDEX('01_Swimmers'!$E$5:$E$22,MATCH(B217,'01_Swimmers'!$A$5:$A$22,0)))/'00_Control'!$B$10,"")</f>
        <v/>
      </c>
      <c r="U217" s="35">
        <f>IF(T217="","",INT(T217))</f>
        <v/>
      </c>
      <c r="V217" s="33" t="inlineStr">
        <is>
          <t>NO</t>
        </is>
      </c>
      <c r="W217" s="33" t="inlineStr">
        <is>
          <t>YES</t>
        </is>
      </c>
      <c r="X217" s="33" t="inlineStr">
        <is>
          <t>NO</t>
        </is>
      </c>
      <c r="Y217" s="33" t="n">
        <v>4</v>
      </c>
      <c r="Z217" s="33" t="n">
        <v>5</v>
      </c>
      <c r="AA217" s="33" t="inlineStr">
        <is>
          <t>1</t>
        </is>
      </c>
      <c r="AB217" s="33" t="inlineStr">
        <is>
          <t>https://www.swimcloud.com/results/129504/event/24/?id=26520062#time26520062</t>
        </is>
      </c>
      <c r="AC217" s="33" t="inlineStr">
        <is>
          <t>SwimCloud API v6 2026-10-08</t>
        </is>
      </c>
      <c r="AD217" s="33" t="inlineStr">
        <is>
          <t>Caeleb Dressel|2019-05-19|LCM|100|Free|47.86|GA SCAT Atlanta Classic Swim Meet|FIN|False</t>
        </is>
      </c>
      <c r="AE217" s="53">
        <f>G217+L217/1000+ROW()/1000000000</f>
        <v/>
      </c>
      <c r="AF217" s="35">
        <f>IF(C217&lt;&gt;"Grayson Coulter","",COUNTIFS($C$5:$C$2991,"Grayson Coulter",$Q$5:$Q$2991,Q217,$AE$5:$AE$2991,"&lt;="&amp;AE217,$R$5:$R$2991,"&lt;"&amp;R217))</f>
        <v/>
      </c>
      <c r="AG217" s="35">
        <f>IF(OR(C217&lt;&gt;"Grayson Coulter",G217&lt;'00_Control'!$B$7),"",--(AF217&lt;5))</f>
        <v/>
      </c>
      <c r="AH217" s="35">
        <f>IF(OR(C217&lt;&gt;"Grayson Coulter",G217&lt;'00_Control'!$B$7),"",--(AF217&lt;10))</f>
        <v/>
      </c>
      <c r="AI217" s="35">
        <f>IF(AND(C217="Grayson Coulter",G217&gt;='00_Control'!$B$7),"YES","NO")</f>
        <v/>
      </c>
      <c r="AJ217" s="33" t="inlineStr">
        <is>
          <t>OK</t>
        </is>
      </c>
    </row>
    <row r="218">
      <c r="A218" s="33" t="inlineStr">
        <is>
          <t>SM000214</t>
        </is>
      </c>
      <c r="B218" s="33" t="inlineStr">
        <is>
          <t>SW010</t>
        </is>
      </c>
      <c r="C218" s="33" t="inlineStr">
        <is>
          <t>Caeleb Dressel</t>
        </is>
      </c>
      <c r="D218" s="33" t="inlineStr">
        <is>
          <t>SwimCloud</t>
        </is>
      </c>
      <c r="E218" s="33" t="inlineStr">
        <is>
          <t>2361642</t>
        </is>
      </c>
      <c r="F218" s="33" t="inlineStr">
        <is>
          <t>27007500</t>
        </is>
      </c>
      <c r="G218" s="51" t="n">
        <v>43637</v>
      </c>
      <c r="H218" s="33" t="inlineStr">
        <is>
          <t>CA MVN Fran Crippen Memorial Swim Meet of Champions</t>
        </is>
      </c>
      <c r="I218" s="33" t="inlineStr">
        <is>
          <t>129860</t>
        </is>
      </c>
      <c r="J218" s="33" t="inlineStr"/>
      <c r="K218" s="33" t="inlineStr">
        <is>
          <t>PRE</t>
        </is>
      </c>
      <c r="L218" s="35">
        <f>IF(K218="FIN",3,IF(OR(K218="SEM",K218="SEMI"),2,IF(OR(K218="PRE",K218="HEAT"),1,IF(V218="YES",4,2))))</f>
        <v/>
      </c>
      <c r="M218" s="33" t="inlineStr">
        <is>
          <t>LCM</t>
        </is>
      </c>
      <c r="N218" s="33" t="n">
        <v>100</v>
      </c>
      <c r="O218" s="33" t="inlineStr">
        <is>
          <t>Free</t>
        </is>
      </c>
      <c r="P218" s="33" t="inlineStr">
        <is>
          <t>100 Free</t>
        </is>
      </c>
      <c r="Q218" s="33" t="inlineStr">
        <is>
          <t>LCM_100_FREE</t>
        </is>
      </c>
      <c r="R218" s="36" t="n">
        <v>47.97</v>
      </c>
      <c r="S218" s="35">
        <f>IF(R218="","",IF(R218&gt;=60,INT(R218/60)&amp;":"&amp;TEXT(MOD(R218,60),"00.00"),TEXT(R218,"0.00")))</f>
        <v/>
      </c>
      <c r="T218" s="52">
        <f>IFERROR((G218-INDEX('01_Swimmers'!$E$5:$E$22,MATCH(B218,'01_Swimmers'!$A$5:$A$22,0)))/'00_Control'!$B$10,"")</f>
        <v/>
      </c>
      <c r="U218" s="35">
        <f>IF(T218="","",INT(T218))</f>
        <v/>
      </c>
      <c r="V218" s="33" t="inlineStr">
        <is>
          <t>NO</t>
        </is>
      </c>
      <c r="W218" s="33" t="inlineStr">
        <is>
          <t>YES</t>
        </is>
      </c>
      <c r="X218" s="33" t="inlineStr">
        <is>
          <t>NO</t>
        </is>
      </c>
      <c r="Y218" s="33" t="n">
        <v>3</v>
      </c>
      <c r="Z218" s="33" t="n">
        <v>4</v>
      </c>
      <c r="AA218" s="33" t="inlineStr">
        <is>
          <t>1</t>
        </is>
      </c>
      <c r="AB218" s="33" t="inlineStr">
        <is>
          <t>https://www.swimcloud.com/results/129860/event/8/?id=27007500#time27007500</t>
        </is>
      </c>
      <c r="AC218" s="33" t="inlineStr">
        <is>
          <t>SwimCloud API v6 2026-10-08</t>
        </is>
      </c>
      <c r="AD218" s="33" t="inlineStr">
        <is>
          <t>Caeleb Dressel|2019-06-21|LCM|100|Free|47.97|CA MVN Fran Crippen Memorial Swim Meet of Champions|PRE|False</t>
        </is>
      </c>
      <c r="AE218" s="53">
        <f>G218+L218/1000+ROW()/1000000000</f>
        <v/>
      </c>
      <c r="AF218" s="35">
        <f>IF(C218&lt;&gt;"Grayson Coulter","",COUNTIFS($C$5:$C$2991,"Grayson Coulter",$Q$5:$Q$2991,Q218,$AE$5:$AE$2991,"&lt;="&amp;AE218,$R$5:$R$2991,"&lt;"&amp;R218))</f>
        <v/>
      </c>
      <c r="AG218" s="35">
        <f>IF(OR(C218&lt;&gt;"Grayson Coulter",G218&lt;'00_Control'!$B$7),"",--(AF218&lt;5))</f>
        <v/>
      </c>
      <c r="AH218" s="35">
        <f>IF(OR(C218&lt;&gt;"Grayson Coulter",G218&lt;'00_Control'!$B$7),"",--(AF218&lt;10))</f>
        <v/>
      </c>
      <c r="AI218" s="35">
        <f>IF(AND(C218="Grayson Coulter",G218&gt;='00_Control'!$B$7),"YES","NO")</f>
        <v/>
      </c>
      <c r="AJ218" s="33" t="inlineStr">
        <is>
          <t>OK</t>
        </is>
      </c>
    </row>
    <row r="219">
      <c r="A219" s="33" t="inlineStr">
        <is>
          <t>SM000215</t>
        </is>
      </c>
      <c r="B219" s="33" t="inlineStr">
        <is>
          <t>SW010</t>
        </is>
      </c>
      <c r="C219" s="33" t="inlineStr">
        <is>
          <t>Caeleb Dressel</t>
        </is>
      </c>
      <c r="D219" s="33" t="inlineStr">
        <is>
          <t>SwimCloud</t>
        </is>
      </c>
      <c r="E219" s="33" t="inlineStr">
        <is>
          <t>2361642</t>
        </is>
      </c>
      <c r="F219" s="33" t="inlineStr">
        <is>
          <t>27007501</t>
        </is>
      </c>
      <c r="G219" s="51" t="n">
        <v>43637</v>
      </c>
      <c r="H219" s="33" t="inlineStr">
        <is>
          <t>CA MVN Fran Crippen Memorial Swim Meet of Champions</t>
        </is>
      </c>
      <c r="I219" s="33" t="inlineStr">
        <is>
          <t>129860</t>
        </is>
      </c>
      <c r="J219" s="33" t="inlineStr"/>
      <c r="K219" s="33" t="inlineStr">
        <is>
          <t>FIN</t>
        </is>
      </c>
      <c r="L219" s="35">
        <f>IF(K219="FIN",3,IF(OR(K219="SEM",K219="SEMI"),2,IF(OR(K219="PRE",K219="HEAT"),1,IF(V219="YES",4,2))))</f>
        <v/>
      </c>
      <c r="M219" s="33" t="inlineStr">
        <is>
          <t>LCM</t>
        </is>
      </c>
      <c r="N219" s="33" t="n">
        <v>100</v>
      </c>
      <c r="O219" s="33" t="inlineStr">
        <is>
          <t>Free</t>
        </is>
      </c>
      <c r="P219" s="33" t="inlineStr">
        <is>
          <t>100 Free</t>
        </is>
      </c>
      <c r="Q219" s="33" t="inlineStr">
        <is>
          <t>LCM_100_FREE</t>
        </is>
      </c>
      <c r="R219" s="36" t="n">
        <v>47.9</v>
      </c>
      <c r="S219" s="35">
        <f>IF(R219="","",IF(R219&gt;=60,INT(R219/60)&amp;":"&amp;TEXT(MOD(R219,60),"00.00"),TEXT(R219,"0.00")))</f>
        <v/>
      </c>
      <c r="T219" s="52">
        <f>IFERROR((G219-INDEX('01_Swimmers'!$E$5:$E$22,MATCH(B219,'01_Swimmers'!$A$5:$A$22,0)))/'00_Control'!$B$10,"")</f>
        <v/>
      </c>
      <c r="U219" s="35">
        <f>IF(T219="","",INT(T219))</f>
        <v/>
      </c>
      <c r="V219" s="33" t="inlineStr">
        <is>
          <t>NO</t>
        </is>
      </c>
      <c r="W219" s="33" t="inlineStr">
        <is>
          <t>YES</t>
        </is>
      </c>
      <c r="X219" s="33" t="inlineStr">
        <is>
          <t>NO</t>
        </is>
      </c>
      <c r="Y219" s="33" t="n">
        <v>3</v>
      </c>
      <c r="Z219" s="33" t="n">
        <v>4</v>
      </c>
      <c r="AA219" s="33" t="inlineStr">
        <is>
          <t>1</t>
        </is>
      </c>
      <c r="AB219" s="33" t="inlineStr">
        <is>
          <t>https://www.swimcloud.com/results/129860/event/8/?id=27007501#time27007501</t>
        </is>
      </c>
      <c r="AC219" s="33" t="inlineStr">
        <is>
          <t>SwimCloud API v6 2026-10-08</t>
        </is>
      </c>
      <c r="AD219" s="33" t="inlineStr">
        <is>
          <t>Caeleb Dressel|2019-06-21|LCM|100|Free|47.9|CA MVN Fran Crippen Memorial Swim Meet of Champions|FIN|False</t>
        </is>
      </c>
      <c r="AE219" s="53">
        <f>G219+L219/1000+ROW()/1000000000</f>
        <v/>
      </c>
      <c r="AF219" s="35">
        <f>IF(C219&lt;&gt;"Grayson Coulter","",COUNTIFS($C$5:$C$2991,"Grayson Coulter",$Q$5:$Q$2991,Q219,$AE$5:$AE$2991,"&lt;="&amp;AE219,$R$5:$R$2991,"&lt;"&amp;R219))</f>
        <v/>
      </c>
      <c r="AG219" s="35">
        <f>IF(OR(C219&lt;&gt;"Grayson Coulter",G219&lt;'00_Control'!$B$7),"",--(AF219&lt;5))</f>
        <v/>
      </c>
      <c r="AH219" s="35">
        <f>IF(OR(C219&lt;&gt;"Grayson Coulter",G219&lt;'00_Control'!$B$7),"",--(AF219&lt;10))</f>
        <v/>
      </c>
      <c r="AI219" s="35">
        <f>IF(AND(C219="Grayson Coulter",G219&gt;='00_Control'!$B$7),"YES","NO")</f>
        <v/>
      </c>
      <c r="AJ219" s="33" t="inlineStr">
        <is>
          <t>OK</t>
        </is>
      </c>
    </row>
    <row r="220">
      <c r="A220" s="33" t="inlineStr">
        <is>
          <t>SM000216</t>
        </is>
      </c>
      <c r="B220" s="33" t="inlineStr">
        <is>
          <t>SW010</t>
        </is>
      </c>
      <c r="C220" s="33" t="inlineStr">
        <is>
          <t>Caeleb Dressel</t>
        </is>
      </c>
      <c r="D220" s="33" t="inlineStr">
        <is>
          <t>SwimCloud</t>
        </is>
      </c>
      <c r="E220" s="33" t="inlineStr">
        <is>
          <t>2361642</t>
        </is>
      </c>
      <c r="F220" s="33" t="inlineStr">
        <is>
          <t>27008849</t>
        </is>
      </c>
      <c r="G220" s="51" t="n">
        <v>43638</v>
      </c>
      <c r="H220" s="33" t="inlineStr">
        <is>
          <t>CA MVN Fran Crippen Memorial Swim Meet of Champions</t>
        </is>
      </c>
      <c r="I220" s="33" t="inlineStr">
        <is>
          <t>129860</t>
        </is>
      </c>
      <c r="J220" s="33" t="inlineStr"/>
      <c r="K220" s="33" t="inlineStr">
        <is>
          <t>PRE</t>
        </is>
      </c>
      <c r="L220" s="35">
        <f>IF(K220="FIN",3,IF(OR(K220="SEM",K220="SEMI"),2,IF(OR(K220="PRE",K220="HEAT"),1,IF(V220="YES",4,2))))</f>
        <v/>
      </c>
      <c r="M220" s="33" t="inlineStr">
        <is>
          <t>LCM</t>
        </is>
      </c>
      <c r="N220" s="33" t="n">
        <v>200</v>
      </c>
      <c r="O220" s="33" t="inlineStr">
        <is>
          <t>Free</t>
        </is>
      </c>
      <c r="P220" s="33" t="inlineStr">
        <is>
          <t>200 Free</t>
        </is>
      </c>
      <c r="Q220" s="33" t="inlineStr">
        <is>
          <t>LCM_200_FREE</t>
        </is>
      </c>
      <c r="R220" s="36" t="n">
        <v>108.87</v>
      </c>
      <c r="S220" s="35">
        <f>IF(R220="","",IF(R220&gt;=60,INT(R220/60)&amp;":"&amp;TEXT(MOD(R220,60),"00.00"),TEXT(R220,"0.00")))</f>
        <v/>
      </c>
      <c r="T220" s="52">
        <f>IFERROR((G220-INDEX('01_Swimmers'!$E$5:$E$22,MATCH(B220,'01_Swimmers'!$A$5:$A$22,0)))/'00_Control'!$B$10,"")</f>
        <v/>
      </c>
      <c r="U220" s="35">
        <f>IF(T220="","",INT(T220))</f>
        <v/>
      </c>
      <c r="V220" s="33" t="inlineStr">
        <is>
          <t>NO</t>
        </is>
      </c>
      <c r="W220" s="33" t="inlineStr">
        <is>
          <t>YES</t>
        </is>
      </c>
      <c r="X220" s="33" t="inlineStr">
        <is>
          <t>NO</t>
        </is>
      </c>
      <c r="Y220" s="33" t="n">
        <v>2</v>
      </c>
      <c r="Z220" s="33" t="n">
        <v>5</v>
      </c>
      <c r="AA220" s="33" t="inlineStr">
        <is>
          <t>1</t>
        </is>
      </c>
      <c r="AB220" s="33" t="inlineStr">
        <is>
          <t>https://www.swimcloud.com/results/129860/event/18/?id=27008849#time27008849</t>
        </is>
      </c>
      <c r="AC220" s="33" t="inlineStr">
        <is>
          <t>SwimCloud API v6 2026-10-08</t>
        </is>
      </c>
      <c r="AD220" s="33" t="inlineStr">
        <is>
          <t>Caeleb Dressel|2019-06-22|LCM|200|Free|108.87|CA MVN Fran Crippen Memorial Swim Meet of Champions|PRE|False</t>
        </is>
      </c>
      <c r="AE220" s="53">
        <f>G220+L220/1000+ROW()/1000000000</f>
        <v/>
      </c>
      <c r="AF220" s="35">
        <f>IF(C220&lt;&gt;"Grayson Coulter","",COUNTIFS($C$5:$C$2991,"Grayson Coulter",$Q$5:$Q$2991,Q220,$AE$5:$AE$2991,"&lt;="&amp;AE220,$R$5:$R$2991,"&lt;"&amp;R220))</f>
        <v/>
      </c>
      <c r="AG220" s="35">
        <f>IF(OR(C220&lt;&gt;"Grayson Coulter",G220&lt;'00_Control'!$B$7),"",--(AF220&lt;5))</f>
        <v/>
      </c>
      <c r="AH220" s="35">
        <f>IF(OR(C220&lt;&gt;"Grayson Coulter",G220&lt;'00_Control'!$B$7),"",--(AF220&lt;10))</f>
        <v/>
      </c>
      <c r="AI220" s="35">
        <f>IF(AND(C220="Grayson Coulter",G220&gt;='00_Control'!$B$7),"YES","NO")</f>
        <v/>
      </c>
      <c r="AJ220" s="33" t="inlineStr">
        <is>
          <t>OK</t>
        </is>
      </c>
    </row>
    <row r="221">
      <c r="A221" s="33" t="inlineStr">
        <is>
          <t>SM000217</t>
        </is>
      </c>
      <c r="B221" s="33" t="inlineStr">
        <is>
          <t>SW010</t>
        </is>
      </c>
      <c r="C221" s="33" t="inlineStr">
        <is>
          <t>Caeleb Dressel</t>
        </is>
      </c>
      <c r="D221" s="33" t="inlineStr">
        <is>
          <t>SwimCloud</t>
        </is>
      </c>
      <c r="E221" s="33" t="inlineStr">
        <is>
          <t>2361642</t>
        </is>
      </c>
      <c r="F221" s="33" t="inlineStr">
        <is>
          <t>27008850</t>
        </is>
      </c>
      <c r="G221" s="51" t="n">
        <v>43638</v>
      </c>
      <c r="H221" s="33" t="inlineStr">
        <is>
          <t>CA MVN Fran Crippen Memorial Swim Meet of Champions</t>
        </is>
      </c>
      <c r="I221" s="33" t="inlineStr">
        <is>
          <t>129860</t>
        </is>
      </c>
      <c r="J221" s="33" t="inlineStr"/>
      <c r="K221" s="33" t="inlineStr">
        <is>
          <t>FIN</t>
        </is>
      </c>
      <c r="L221" s="35">
        <f>IF(K221="FIN",3,IF(OR(K221="SEM",K221="SEMI"),2,IF(OR(K221="PRE",K221="HEAT"),1,IF(V221="YES",4,2))))</f>
        <v/>
      </c>
      <c r="M221" s="33" t="inlineStr">
        <is>
          <t>LCM</t>
        </is>
      </c>
      <c r="N221" s="33" t="n">
        <v>200</v>
      </c>
      <c r="O221" s="33" t="inlineStr">
        <is>
          <t>Free</t>
        </is>
      </c>
      <c r="P221" s="33" t="inlineStr">
        <is>
          <t>200 Free</t>
        </is>
      </c>
      <c r="Q221" s="33" t="inlineStr">
        <is>
          <t>LCM_200_FREE</t>
        </is>
      </c>
      <c r="R221" s="36" t="n">
        <v>110.59</v>
      </c>
      <c r="S221" s="35">
        <f>IF(R221="","",IF(R221&gt;=60,INT(R221/60)&amp;":"&amp;TEXT(MOD(R221,60),"00.00"),TEXT(R221,"0.00")))</f>
        <v/>
      </c>
      <c r="T221" s="52">
        <f>IFERROR((G221-INDEX('01_Swimmers'!$E$5:$E$22,MATCH(B221,'01_Swimmers'!$A$5:$A$22,0)))/'00_Control'!$B$10,"")</f>
        <v/>
      </c>
      <c r="U221" s="35">
        <f>IF(T221="","",INT(T221))</f>
        <v/>
      </c>
      <c r="V221" s="33" t="inlineStr">
        <is>
          <t>NO</t>
        </is>
      </c>
      <c r="W221" s="33" t="inlineStr">
        <is>
          <t>YES</t>
        </is>
      </c>
      <c r="X221" s="33" t="inlineStr">
        <is>
          <t>NO</t>
        </is>
      </c>
      <c r="Y221" s="33" t="n">
        <v>3</v>
      </c>
      <c r="Z221" s="33" t="n">
        <v>4</v>
      </c>
      <c r="AA221" s="33" t="inlineStr">
        <is>
          <t>5</t>
        </is>
      </c>
      <c r="AB221" s="33" t="inlineStr">
        <is>
          <t>https://www.swimcloud.com/results/129860/event/18/?id=27008850#time27008850</t>
        </is>
      </c>
      <c r="AC221" s="33" t="inlineStr">
        <is>
          <t>SwimCloud API v6 2026-10-08</t>
        </is>
      </c>
      <c r="AD221" s="33" t="inlineStr">
        <is>
          <t>Caeleb Dressel|2019-06-22|LCM|200|Free|110.59|CA MVN Fran Crippen Memorial Swim Meet of Champions|FIN|False</t>
        </is>
      </c>
      <c r="AE221" s="53">
        <f>G221+L221/1000+ROW()/1000000000</f>
        <v/>
      </c>
      <c r="AF221" s="35">
        <f>IF(C221&lt;&gt;"Grayson Coulter","",COUNTIFS($C$5:$C$2991,"Grayson Coulter",$Q$5:$Q$2991,Q221,$AE$5:$AE$2991,"&lt;="&amp;AE221,$R$5:$R$2991,"&lt;"&amp;R221))</f>
        <v/>
      </c>
      <c r="AG221" s="35">
        <f>IF(OR(C221&lt;&gt;"Grayson Coulter",G221&lt;'00_Control'!$B$7),"",--(AF221&lt;5))</f>
        <v/>
      </c>
      <c r="AH221" s="35">
        <f>IF(OR(C221&lt;&gt;"Grayson Coulter",G221&lt;'00_Control'!$B$7),"",--(AF221&lt;10))</f>
        <v/>
      </c>
      <c r="AI221" s="35">
        <f>IF(AND(C221="Grayson Coulter",G221&gt;='00_Control'!$B$7),"YES","NO")</f>
        <v/>
      </c>
      <c r="AJ221" s="33" t="inlineStr">
        <is>
          <t>OK</t>
        </is>
      </c>
    </row>
    <row r="222">
      <c r="A222" s="33" t="inlineStr">
        <is>
          <t>SM000218</t>
        </is>
      </c>
      <c r="B222" s="33" t="inlineStr">
        <is>
          <t>SW010</t>
        </is>
      </c>
      <c r="C222" s="33" t="inlineStr">
        <is>
          <t>Caeleb Dressel</t>
        </is>
      </c>
      <c r="D222" s="33" t="inlineStr">
        <is>
          <t>SwimCloud</t>
        </is>
      </c>
      <c r="E222" s="33" t="inlineStr">
        <is>
          <t>2361642</t>
        </is>
      </c>
      <c r="F222" s="33" t="inlineStr">
        <is>
          <t>27009260</t>
        </is>
      </c>
      <c r="G222" s="51" t="n">
        <v>43639</v>
      </c>
      <c r="H222" s="33" t="inlineStr">
        <is>
          <t>CA MVN Fran Crippen Memorial Swim Meet of Champions</t>
        </is>
      </c>
      <c r="I222" s="33" t="inlineStr">
        <is>
          <t>129860</t>
        </is>
      </c>
      <c r="J222" s="33" t="inlineStr"/>
      <c r="K222" s="33" t="inlineStr">
        <is>
          <t>PRE</t>
        </is>
      </c>
      <c r="L222" s="35">
        <f>IF(K222="FIN",3,IF(OR(K222="SEM",K222="SEMI"),2,IF(OR(K222="PRE",K222="HEAT"),1,IF(V222="YES",4,2))))</f>
        <v/>
      </c>
      <c r="M222" s="33" t="inlineStr">
        <is>
          <t>LCM</t>
        </is>
      </c>
      <c r="N222" s="33" t="n">
        <v>100</v>
      </c>
      <c r="O222" s="33" t="inlineStr">
        <is>
          <t>Fly</t>
        </is>
      </c>
      <c r="P222" s="33" t="inlineStr">
        <is>
          <t>100 Fly</t>
        </is>
      </c>
      <c r="Q222" s="33" t="inlineStr">
        <is>
          <t>LCM_100_FLY</t>
        </is>
      </c>
      <c r="R222" s="36" t="n">
        <v>51.98</v>
      </c>
      <c r="S222" s="35">
        <f>IF(R222="","",IF(R222&gt;=60,INT(R222/60)&amp;":"&amp;TEXT(MOD(R222,60),"00.00"),TEXT(R222,"0.00")))</f>
        <v/>
      </c>
      <c r="T222" s="52">
        <f>IFERROR((G222-INDEX('01_Swimmers'!$E$5:$E$22,MATCH(B222,'01_Swimmers'!$A$5:$A$22,0)))/'00_Control'!$B$10,"")</f>
        <v/>
      </c>
      <c r="U222" s="35">
        <f>IF(T222="","",INT(T222))</f>
        <v/>
      </c>
      <c r="V222" s="33" t="inlineStr">
        <is>
          <t>NO</t>
        </is>
      </c>
      <c r="W222" s="33" t="inlineStr">
        <is>
          <t>YES</t>
        </is>
      </c>
      <c r="X222" s="33" t="inlineStr">
        <is>
          <t>NO</t>
        </is>
      </c>
      <c r="Y222" s="33" t="n">
        <v>1</v>
      </c>
      <c r="Z222" s="33" t="n">
        <v>4</v>
      </c>
      <c r="AA222" s="33" t="inlineStr">
        <is>
          <t>1</t>
        </is>
      </c>
      <c r="AB222" s="33" t="inlineStr">
        <is>
          <t>https://www.swimcloud.com/results/129860/event/34/?id=27009260#time27009260</t>
        </is>
      </c>
      <c r="AC222" s="33" t="inlineStr">
        <is>
          <t>SwimCloud API v6 2026-10-08</t>
        </is>
      </c>
      <c r="AD222" s="33" t="inlineStr">
        <is>
          <t>Caeleb Dressel|2019-06-23|LCM|100|Fly|51.98|CA MVN Fran Crippen Memorial Swim Meet of Champions|PRE|False</t>
        </is>
      </c>
      <c r="AE222" s="53">
        <f>G222+L222/1000+ROW()/1000000000</f>
        <v/>
      </c>
      <c r="AF222" s="35">
        <f>IF(C222&lt;&gt;"Grayson Coulter","",COUNTIFS($C$5:$C$2991,"Grayson Coulter",$Q$5:$Q$2991,Q222,$AE$5:$AE$2991,"&lt;="&amp;AE222,$R$5:$R$2991,"&lt;"&amp;R222))</f>
        <v/>
      </c>
      <c r="AG222" s="35">
        <f>IF(OR(C222&lt;&gt;"Grayson Coulter",G222&lt;'00_Control'!$B$7),"",--(AF222&lt;5))</f>
        <v/>
      </c>
      <c r="AH222" s="35">
        <f>IF(OR(C222&lt;&gt;"Grayson Coulter",G222&lt;'00_Control'!$B$7),"",--(AF222&lt;10))</f>
        <v/>
      </c>
      <c r="AI222" s="35">
        <f>IF(AND(C222="Grayson Coulter",G222&gt;='00_Control'!$B$7),"YES","NO")</f>
        <v/>
      </c>
      <c r="AJ222" s="33" t="inlineStr">
        <is>
          <t>OK</t>
        </is>
      </c>
    </row>
    <row r="223">
      <c r="A223" s="33" t="inlineStr">
        <is>
          <t>SM000219</t>
        </is>
      </c>
      <c r="B223" s="33" t="inlineStr">
        <is>
          <t>SW010</t>
        </is>
      </c>
      <c r="C223" s="33" t="inlineStr">
        <is>
          <t>Caeleb Dressel</t>
        </is>
      </c>
      <c r="D223" s="33" t="inlineStr">
        <is>
          <t>SwimCloud</t>
        </is>
      </c>
      <c r="E223" s="33" t="inlineStr">
        <is>
          <t>2361642</t>
        </is>
      </c>
      <c r="F223" s="33" t="inlineStr">
        <is>
          <t>27009261</t>
        </is>
      </c>
      <c r="G223" s="51" t="n">
        <v>43639</v>
      </c>
      <c r="H223" s="33" t="inlineStr">
        <is>
          <t>CA MVN Fran Crippen Memorial Swim Meet of Champions</t>
        </is>
      </c>
      <c r="I223" s="33" t="inlineStr">
        <is>
          <t>129860</t>
        </is>
      </c>
      <c r="J223" s="33" t="inlineStr"/>
      <c r="K223" s="33" t="inlineStr">
        <is>
          <t>FIN</t>
        </is>
      </c>
      <c r="L223" s="35">
        <f>IF(K223="FIN",3,IF(OR(K223="SEM",K223="SEMI"),2,IF(OR(K223="PRE",K223="HEAT"),1,IF(V223="YES",4,2))))</f>
        <v/>
      </c>
      <c r="M223" s="33" t="inlineStr">
        <is>
          <t>LCM</t>
        </is>
      </c>
      <c r="N223" s="33" t="n">
        <v>100</v>
      </c>
      <c r="O223" s="33" t="inlineStr">
        <is>
          <t>Fly</t>
        </is>
      </c>
      <c r="P223" s="33" t="inlineStr">
        <is>
          <t>100 Fly</t>
        </is>
      </c>
      <c r="Q223" s="33" t="inlineStr">
        <is>
          <t>LCM_100_FLY</t>
        </is>
      </c>
      <c r="R223" s="36" t="n">
        <v>50.36</v>
      </c>
      <c r="S223" s="35">
        <f>IF(R223="","",IF(R223&gt;=60,INT(R223/60)&amp;":"&amp;TEXT(MOD(R223,60),"00.00"),TEXT(R223,"0.00")))</f>
        <v/>
      </c>
      <c r="T223" s="52">
        <f>IFERROR((G223-INDEX('01_Swimmers'!$E$5:$E$22,MATCH(B223,'01_Swimmers'!$A$5:$A$22,0)))/'00_Control'!$B$10,"")</f>
        <v/>
      </c>
      <c r="U223" s="35">
        <f>IF(T223="","",INT(T223))</f>
        <v/>
      </c>
      <c r="V223" s="33" t="inlineStr">
        <is>
          <t>NO</t>
        </is>
      </c>
      <c r="W223" s="33" t="inlineStr">
        <is>
          <t>YES</t>
        </is>
      </c>
      <c r="X223" s="33" t="inlineStr">
        <is>
          <t>NO</t>
        </is>
      </c>
      <c r="Y223" s="33" t="n">
        <v>3</v>
      </c>
      <c r="Z223" s="33" t="n">
        <v>4</v>
      </c>
      <c r="AA223" s="33" t="inlineStr">
        <is>
          <t>1</t>
        </is>
      </c>
      <c r="AB223" s="33" t="inlineStr">
        <is>
          <t>https://www.swimcloud.com/results/129860/event/34/?id=27009261#time27009261</t>
        </is>
      </c>
      <c r="AC223" s="33" t="inlineStr">
        <is>
          <t>SwimCloud API v6 2026-10-08</t>
        </is>
      </c>
      <c r="AD223" s="33" t="inlineStr">
        <is>
          <t>Caeleb Dressel|2019-06-23|LCM|100|Fly|50.36|CA MVN Fran Crippen Memorial Swim Meet of Champions|FIN|False</t>
        </is>
      </c>
      <c r="AE223" s="53">
        <f>G223+L223/1000+ROW()/1000000000</f>
        <v/>
      </c>
      <c r="AF223" s="35">
        <f>IF(C223&lt;&gt;"Grayson Coulter","",COUNTIFS($C$5:$C$2991,"Grayson Coulter",$Q$5:$Q$2991,Q223,$AE$5:$AE$2991,"&lt;="&amp;AE223,$R$5:$R$2991,"&lt;"&amp;R223))</f>
        <v/>
      </c>
      <c r="AG223" s="35">
        <f>IF(OR(C223&lt;&gt;"Grayson Coulter",G223&lt;'00_Control'!$B$7),"",--(AF223&lt;5))</f>
        <v/>
      </c>
      <c r="AH223" s="35">
        <f>IF(OR(C223&lt;&gt;"Grayson Coulter",G223&lt;'00_Control'!$B$7),"",--(AF223&lt;10))</f>
        <v/>
      </c>
      <c r="AI223" s="35">
        <f>IF(AND(C223="Grayson Coulter",G223&gt;='00_Control'!$B$7),"YES","NO")</f>
        <v/>
      </c>
      <c r="AJ223" s="33" t="inlineStr">
        <is>
          <t>OK</t>
        </is>
      </c>
    </row>
    <row r="224">
      <c r="A224" s="33" t="inlineStr">
        <is>
          <t>SM000220</t>
        </is>
      </c>
      <c r="B224" s="33" t="inlineStr">
        <is>
          <t>SW010</t>
        </is>
      </c>
      <c r="C224" s="33" t="inlineStr">
        <is>
          <t>Caeleb Dressel</t>
        </is>
      </c>
      <c r="D224" s="33" t="inlineStr">
        <is>
          <t>SwimCloud</t>
        </is>
      </c>
      <c r="E224" s="33" t="inlineStr">
        <is>
          <t>2361642</t>
        </is>
      </c>
      <c r="F224" s="33" t="inlineStr">
        <is>
          <t>28191667</t>
        </is>
      </c>
      <c r="G224" s="51" t="n">
        <v>43667</v>
      </c>
      <c r="H224" s="33" t="inlineStr">
        <is>
          <t>18th FINA World Championships</t>
        </is>
      </c>
      <c r="I224" s="33" t="inlineStr">
        <is>
          <t>149555</t>
        </is>
      </c>
      <c r="J224" s="33" t="inlineStr"/>
      <c r="K224" s="33" t="inlineStr">
        <is>
          <t>FIN</t>
        </is>
      </c>
      <c r="L224" s="35">
        <f>IF(K224="FIN",3,IF(OR(K224="SEM",K224="SEMI"),2,IF(OR(K224="PRE",K224="HEAT"),1,IF(V224="YES",4,2))))</f>
        <v/>
      </c>
      <c r="M224" s="33" t="inlineStr">
        <is>
          <t>LCM</t>
        </is>
      </c>
      <c r="N224" s="33" t="n">
        <v>100</v>
      </c>
      <c r="O224" s="33" t="inlineStr">
        <is>
          <t>Free</t>
        </is>
      </c>
      <c r="P224" s="33" t="inlineStr">
        <is>
          <t>100 Free</t>
        </is>
      </c>
      <c r="Q224" s="33" t="inlineStr">
        <is>
          <t>LCM_100_FREE</t>
        </is>
      </c>
      <c r="R224" s="36" t="n">
        <v>47.63</v>
      </c>
      <c r="S224" s="35">
        <f>IF(R224="","",IF(R224&gt;=60,INT(R224/60)&amp;":"&amp;TEXT(MOD(R224,60),"00.00"),TEXT(R224,"0.00")))</f>
        <v/>
      </c>
      <c r="T224" s="52">
        <f>IFERROR((G224-INDEX('01_Swimmers'!$E$5:$E$22,MATCH(B224,'01_Swimmers'!$A$5:$A$22,0)))/'00_Control'!$B$10,"")</f>
        <v/>
      </c>
      <c r="U224" s="35">
        <f>IF(T224="","",INT(T224))</f>
        <v/>
      </c>
      <c r="V224" s="33" t="inlineStr">
        <is>
          <t>YES</t>
        </is>
      </c>
      <c r="W224" s="33" t="inlineStr">
        <is>
          <t>YES</t>
        </is>
      </c>
      <c r="X224" s="33" t="inlineStr">
        <is>
          <t>NO</t>
        </is>
      </c>
      <c r="Y224" s="33" t="n">
        <v>1</v>
      </c>
      <c r="Z224" s="33" t="n">
        <v>4</v>
      </c>
      <c r="AA224" s="33" t="inlineStr"/>
      <c r="AB224" s="33" t="inlineStr">
        <is>
          <t>https://www.swimcloud.com/results/149555/event/8/?id=28190587#time28190587</t>
        </is>
      </c>
      <c r="AC224" s="33" t="inlineStr">
        <is>
          <t>SwimCloud API v6 2026-10-08</t>
        </is>
      </c>
      <c r="AD224" s="33" t="inlineStr">
        <is>
          <t>Caeleb Dressel|2019-07-21|LCM|100|Free|47.63|18th FINA World Championships|FIN|True</t>
        </is>
      </c>
      <c r="AE224" s="53">
        <f>G224+L224/1000+ROW()/1000000000</f>
        <v/>
      </c>
      <c r="AF224" s="35">
        <f>IF(C224&lt;&gt;"Grayson Coulter","",COUNTIFS($C$5:$C$2991,"Grayson Coulter",$Q$5:$Q$2991,Q224,$AE$5:$AE$2991,"&lt;="&amp;AE224,$R$5:$R$2991,"&lt;"&amp;R224))</f>
        <v/>
      </c>
      <c r="AG224" s="35">
        <f>IF(OR(C224&lt;&gt;"Grayson Coulter",G224&lt;'00_Control'!$B$7),"",--(AF224&lt;5))</f>
        <v/>
      </c>
      <c r="AH224" s="35">
        <f>IF(OR(C224&lt;&gt;"Grayson Coulter",G224&lt;'00_Control'!$B$7),"",--(AF224&lt;10))</f>
        <v/>
      </c>
      <c r="AI224" s="35">
        <f>IF(AND(C224="Grayson Coulter",G224&gt;='00_Control'!$B$7),"YES","NO")</f>
        <v/>
      </c>
      <c r="AJ224" s="33" t="inlineStr">
        <is>
          <t>OK</t>
        </is>
      </c>
    </row>
    <row r="225">
      <c r="A225" s="33" t="inlineStr">
        <is>
          <t>SM000221</t>
        </is>
      </c>
      <c r="B225" s="33" t="inlineStr">
        <is>
          <t>SW010</t>
        </is>
      </c>
      <c r="C225" s="33" t="inlineStr">
        <is>
          <t>Caeleb Dressel</t>
        </is>
      </c>
      <c r="D225" s="33" t="inlineStr">
        <is>
          <t>SwimCloud</t>
        </is>
      </c>
      <c r="E225" s="33" t="inlineStr">
        <is>
          <t>2361642</t>
        </is>
      </c>
      <c r="F225" s="33" t="inlineStr">
        <is>
          <t>28190472</t>
        </is>
      </c>
      <c r="G225" s="51" t="n">
        <v>43670</v>
      </c>
      <c r="H225" s="33" t="inlineStr">
        <is>
          <t>18th FINA World Championships</t>
        </is>
      </c>
      <c r="I225" s="33" t="inlineStr">
        <is>
          <t>149555</t>
        </is>
      </c>
      <c r="J225" s="33" t="inlineStr"/>
      <c r="K225" s="33" t="inlineStr">
        <is>
          <t>PRE</t>
        </is>
      </c>
      <c r="L225" s="35">
        <f>IF(K225="FIN",3,IF(OR(K225="SEM",K225="SEMI"),2,IF(OR(K225="PRE",K225="HEAT"),1,IF(V225="YES",4,2))))</f>
        <v/>
      </c>
      <c r="M225" s="33" t="inlineStr">
        <is>
          <t>LCM</t>
        </is>
      </c>
      <c r="N225" s="33" t="n">
        <v>100</v>
      </c>
      <c r="O225" s="33" t="inlineStr">
        <is>
          <t>Free</t>
        </is>
      </c>
      <c r="P225" s="33" t="inlineStr">
        <is>
          <t>100 Free</t>
        </is>
      </c>
      <c r="Q225" s="33" t="inlineStr">
        <is>
          <t>LCM_100_FREE</t>
        </is>
      </c>
      <c r="R225" s="36" t="n">
        <v>47.32</v>
      </c>
      <c r="S225" s="35">
        <f>IF(R225="","",IF(R225&gt;=60,INT(R225/60)&amp;":"&amp;TEXT(MOD(R225,60),"00.00"),TEXT(R225,"0.00")))</f>
        <v/>
      </c>
      <c r="T225" s="52">
        <f>IFERROR((G225-INDEX('01_Swimmers'!$E$5:$E$22,MATCH(B225,'01_Swimmers'!$A$5:$A$22,0)))/'00_Control'!$B$10,"")</f>
        <v/>
      </c>
      <c r="U225" s="35">
        <f>IF(T225="","",INT(T225))</f>
        <v/>
      </c>
      <c r="V225" s="33" t="inlineStr">
        <is>
          <t>NO</t>
        </is>
      </c>
      <c r="W225" s="33" t="inlineStr">
        <is>
          <t>YES</t>
        </is>
      </c>
      <c r="X225" s="33" t="inlineStr">
        <is>
          <t>NO</t>
        </is>
      </c>
      <c r="Y225" s="33" t="n">
        <v>11</v>
      </c>
      <c r="Z225" s="33" t="n">
        <v>5</v>
      </c>
      <c r="AA225" s="33" t="inlineStr">
        <is>
          <t>1</t>
        </is>
      </c>
      <c r="AB225" s="33" t="inlineStr">
        <is>
          <t>https://www.swimcloud.com/results/149555/event/19/?id=28190472#time28190472</t>
        </is>
      </c>
      <c r="AC225" s="33" t="inlineStr">
        <is>
          <t>SwimCloud API v6 2026-10-08</t>
        </is>
      </c>
      <c r="AD225" s="33" t="inlineStr">
        <is>
          <t>Caeleb Dressel|2019-07-24|LCM|100|Free|47.32|18th FINA World Championships|PRE|False</t>
        </is>
      </c>
      <c r="AE225" s="53">
        <f>G225+L225/1000+ROW()/1000000000</f>
        <v/>
      </c>
      <c r="AF225" s="35">
        <f>IF(C225&lt;&gt;"Grayson Coulter","",COUNTIFS($C$5:$C$2991,"Grayson Coulter",$Q$5:$Q$2991,Q225,$AE$5:$AE$2991,"&lt;="&amp;AE225,$R$5:$R$2991,"&lt;"&amp;R225))</f>
        <v/>
      </c>
      <c r="AG225" s="35">
        <f>IF(OR(C225&lt;&gt;"Grayson Coulter",G225&lt;'00_Control'!$B$7),"",--(AF225&lt;5))</f>
        <v/>
      </c>
      <c r="AH225" s="35">
        <f>IF(OR(C225&lt;&gt;"Grayson Coulter",G225&lt;'00_Control'!$B$7),"",--(AF225&lt;10))</f>
        <v/>
      </c>
      <c r="AI225" s="35">
        <f>IF(AND(C225="Grayson Coulter",G225&gt;='00_Control'!$B$7),"YES","NO")</f>
        <v/>
      </c>
      <c r="AJ225" s="33" t="inlineStr">
        <is>
          <t>OK</t>
        </is>
      </c>
    </row>
    <row r="226">
      <c r="A226" s="33" t="inlineStr">
        <is>
          <t>SM000222</t>
        </is>
      </c>
      <c r="B226" s="33" t="inlineStr">
        <is>
          <t>SW010</t>
        </is>
      </c>
      <c r="C226" s="33" t="inlineStr">
        <is>
          <t>Caeleb Dressel</t>
        </is>
      </c>
      <c r="D226" s="33" t="inlineStr">
        <is>
          <t>SwimCloud</t>
        </is>
      </c>
      <c r="E226" s="33" t="inlineStr">
        <is>
          <t>2361642</t>
        </is>
      </c>
      <c r="F226" s="33" t="inlineStr">
        <is>
          <t>28190473</t>
        </is>
      </c>
      <c r="G226" s="51" t="n">
        <v>43670</v>
      </c>
      <c r="H226" s="33" t="inlineStr">
        <is>
          <t>18th FINA World Championships</t>
        </is>
      </c>
      <c r="I226" s="33" t="inlineStr">
        <is>
          <t>149555</t>
        </is>
      </c>
      <c r="J226" s="33" t="inlineStr"/>
      <c r="K226" s="33" t="inlineStr">
        <is>
          <t>SEM</t>
        </is>
      </c>
      <c r="L226" s="35">
        <f>IF(K226="FIN",3,IF(OR(K226="SEM",K226="SEMI"),2,IF(OR(K226="PRE",K226="HEAT"),1,IF(V226="YES",4,2))))</f>
        <v/>
      </c>
      <c r="M226" s="33" t="inlineStr">
        <is>
          <t>LCM</t>
        </is>
      </c>
      <c r="N226" s="33" t="n">
        <v>100</v>
      </c>
      <c r="O226" s="33" t="inlineStr">
        <is>
          <t>Free</t>
        </is>
      </c>
      <c r="P226" s="33" t="inlineStr">
        <is>
          <t>100 Free</t>
        </is>
      </c>
      <c r="Q226" s="33" t="inlineStr">
        <is>
          <t>LCM_100_FREE</t>
        </is>
      </c>
      <c r="R226" s="36" t="n">
        <v>47.35</v>
      </c>
      <c r="S226" s="35">
        <f>IF(R226="","",IF(R226&gt;=60,INT(R226/60)&amp;":"&amp;TEXT(MOD(R226,60),"00.00"),TEXT(R226,"0.00")))</f>
        <v/>
      </c>
      <c r="T226" s="52">
        <f>IFERROR((G226-INDEX('01_Swimmers'!$E$5:$E$22,MATCH(B226,'01_Swimmers'!$A$5:$A$22,0)))/'00_Control'!$B$10,"")</f>
        <v/>
      </c>
      <c r="U226" s="35">
        <f>IF(T226="","",INT(T226))</f>
        <v/>
      </c>
      <c r="V226" s="33" t="inlineStr">
        <is>
          <t>NO</t>
        </is>
      </c>
      <c r="W226" s="33" t="inlineStr">
        <is>
          <t>YES</t>
        </is>
      </c>
      <c r="X226" s="33" t="inlineStr">
        <is>
          <t>NO</t>
        </is>
      </c>
      <c r="Y226" s="33" t="n">
        <v>2</v>
      </c>
      <c r="Z226" s="33" t="n">
        <v>4</v>
      </c>
      <c r="AA226" s="33" t="inlineStr">
        <is>
          <t>1</t>
        </is>
      </c>
      <c r="AB226" s="33" t="inlineStr">
        <is>
          <t>https://www.swimcloud.com/results/149555/event/19/?id=28190473#time28190473</t>
        </is>
      </c>
      <c r="AC226" s="33" t="inlineStr">
        <is>
          <t>SwimCloud API v6 2026-10-08</t>
        </is>
      </c>
      <c r="AD226" s="33" t="inlineStr">
        <is>
          <t>Caeleb Dressel|2019-07-24|LCM|100|Free|47.35|18th FINA World Championships|SEM|False</t>
        </is>
      </c>
      <c r="AE226" s="53">
        <f>G226+L226/1000+ROW()/1000000000</f>
        <v/>
      </c>
      <c r="AF226" s="35">
        <f>IF(C226&lt;&gt;"Grayson Coulter","",COUNTIFS($C$5:$C$2991,"Grayson Coulter",$Q$5:$Q$2991,Q226,$AE$5:$AE$2991,"&lt;="&amp;AE226,$R$5:$R$2991,"&lt;"&amp;R226))</f>
        <v/>
      </c>
      <c r="AG226" s="35">
        <f>IF(OR(C226&lt;&gt;"Grayson Coulter",G226&lt;'00_Control'!$B$7),"",--(AF226&lt;5))</f>
        <v/>
      </c>
      <c r="AH226" s="35">
        <f>IF(OR(C226&lt;&gt;"Grayson Coulter",G226&lt;'00_Control'!$B$7),"",--(AF226&lt;10))</f>
        <v/>
      </c>
      <c r="AI226" s="35">
        <f>IF(AND(C226="Grayson Coulter",G226&gt;='00_Control'!$B$7),"YES","NO")</f>
        <v/>
      </c>
      <c r="AJ226" s="33" t="inlineStr">
        <is>
          <t>OK</t>
        </is>
      </c>
    </row>
    <row r="227">
      <c r="A227" s="33" t="inlineStr">
        <is>
          <t>SM000223</t>
        </is>
      </c>
      <c r="B227" s="33" t="inlineStr">
        <is>
          <t>SW010</t>
        </is>
      </c>
      <c r="C227" s="33" t="inlineStr">
        <is>
          <t>Caeleb Dressel</t>
        </is>
      </c>
      <c r="D227" s="33" t="inlineStr">
        <is>
          <t>SwimCloud</t>
        </is>
      </c>
      <c r="E227" s="33" t="inlineStr">
        <is>
          <t>2361642</t>
        </is>
      </c>
      <c r="F227" s="33" t="inlineStr">
        <is>
          <t>28190471</t>
        </is>
      </c>
      <c r="G227" s="51" t="n">
        <v>43671</v>
      </c>
      <c r="H227" s="33" t="inlineStr">
        <is>
          <t>18th FINA World Championships</t>
        </is>
      </c>
      <c r="I227" s="33" t="inlineStr">
        <is>
          <t>149555</t>
        </is>
      </c>
      <c r="J227" s="33" t="inlineStr"/>
      <c r="K227" s="33" t="inlineStr">
        <is>
          <t>FIN</t>
        </is>
      </c>
      <c r="L227" s="35">
        <f>IF(K227="FIN",3,IF(OR(K227="SEM",K227="SEMI"),2,IF(OR(K227="PRE",K227="HEAT"),1,IF(V227="YES",4,2))))</f>
        <v/>
      </c>
      <c r="M227" s="33" t="inlineStr">
        <is>
          <t>LCM</t>
        </is>
      </c>
      <c r="N227" s="33" t="n">
        <v>100</v>
      </c>
      <c r="O227" s="33" t="inlineStr">
        <is>
          <t>Free</t>
        </is>
      </c>
      <c r="P227" s="33" t="inlineStr">
        <is>
          <t>100 Free</t>
        </is>
      </c>
      <c r="Q227" s="33" t="inlineStr">
        <is>
          <t>LCM_100_FREE</t>
        </is>
      </c>
      <c r="R227" s="36" t="n">
        <v>46.96</v>
      </c>
      <c r="S227" s="35">
        <f>IF(R227="","",IF(R227&gt;=60,INT(R227/60)&amp;":"&amp;TEXT(MOD(R227,60),"00.00"),TEXT(R227,"0.00")))</f>
        <v/>
      </c>
      <c r="T227" s="52">
        <f>IFERROR((G227-INDEX('01_Swimmers'!$E$5:$E$22,MATCH(B227,'01_Swimmers'!$A$5:$A$22,0)))/'00_Control'!$B$10,"")</f>
        <v/>
      </c>
      <c r="U227" s="35">
        <f>IF(T227="","",INT(T227))</f>
        <v/>
      </c>
      <c r="V227" s="33" t="inlineStr">
        <is>
          <t>NO</t>
        </is>
      </c>
      <c r="W227" s="33" t="inlineStr">
        <is>
          <t>YES</t>
        </is>
      </c>
      <c r="X227" s="33" t="inlineStr">
        <is>
          <t>NO</t>
        </is>
      </c>
      <c r="Y227" s="33" t="n">
        <v>1</v>
      </c>
      <c r="Z227" s="33" t="n">
        <v>4</v>
      </c>
      <c r="AA227" s="33" t="inlineStr">
        <is>
          <t>1</t>
        </is>
      </c>
      <c r="AB227" s="33" t="inlineStr">
        <is>
          <t>https://www.swimcloud.com/results/149555/event/19/?id=28190471#time28190471</t>
        </is>
      </c>
      <c r="AC227" s="33" t="inlineStr">
        <is>
          <t>SwimCloud API v6 2026-10-08</t>
        </is>
      </c>
      <c r="AD227" s="33" t="inlineStr">
        <is>
          <t>Caeleb Dressel|2019-07-25|LCM|100|Free|46.96|18th FINA World Championships|FIN|False</t>
        </is>
      </c>
      <c r="AE227" s="53">
        <f>G227+L227/1000+ROW()/1000000000</f>
        <v/>
      </c>
      <c r="AF227" s="35">
        <f>IF(C227&lt;&gt;"Grayson Coulter","",COUNTIFS($C$5:$C$2991,"Grayson Coulter",$Q$5:$Q$2991,Q227,$AE$5:$AE$2991,"&lt;="&amp;AE227,$R$5:$R$2991,"&lt;"&amp;R227))</f>
        <v/>
      </c>
      <c r="AG227" s="35">
        <f>IF(OR(C227&lt;&gt;"Grayson Coulter",G227&lt;'00_Control'!$B$7),"",--(AF227&lt;5))</f>
        <v/>
      </c>
      <c r="AH227" s="35">
        <f>IF(OR(C227&lt;&gt;"Grayson Coulter",G227&lt;'00_Control'!$B$7),"",--(AF227&lt;10))</f>
        <v/>
      </c>
      <c r="AI227" s="35">
        <f>IF(AND(C227="Grayson Coulter",G227&gt;='00_Control'!$B$7),"YES","NO")</f>
        <v/>
      </c>
      <c r="AJ227" s="33" t="inlineStr">
        <is>
          <t>OK</t>
        </is>
      </c>
    </row>
    <row r="228">
      <c r="A228" s="33" t="inlineStr">
        <is>
          <t>SM000224</t>
        </is>
      </c>
      <c r="B228" s="33" t="inlineStr">
        <is>
          <t>SW010</t>
        </is>
      </c>
      <c r="C228" s="33" t="inlineStr">
        <is>
          <t>Caeleb Dressel</t>
        </is>
      </c>
      <c r="D228" s="33" t="inlineStr">
        <is>
          <t>SwimCloud</t>
        </is>
      </c>
      <c r="E228" s="33" t="inlineStr">
        <is>
          <t>2361642</t>
        </is>
      </c>
      <c r="F228" s="33" t="inlineStr">
        <is>
          <t>28190469</t>
        </is>
      </c>
      <c r="G228" s="51" t="n">
        <v>43672</v>
      </c>
      <c r="H228" s="33" t="inlineStr">
        <is>
          <t>18th FINA World Championships</t>
        </is>
      </c>
      <c r="I228" s="33" t="inlineStr">
        <is>
          <t>149555</t>
        </is>
      </c>
      <c r="J228" s="33" t="inlineStr"/>
      <c r="K228" s="33" t="inlineStr">
        <is>
          <t>PRE</t>
        </is>
      </c>
      <c r="L228" s="35">
        <f>IF(K228="FIN",3,IF(OR(K228="SEM",K228="SEMI"),2,IF(OR(K228="PRE",K228="HEAT"),1,IF(V228="YES",4,2))))</f>
        <v/>
      </c>
      <c r="M228" s="33" t="inlineStr">
        <is>
          <t>LCM</t>
        </is>
      </c>
      <c r="N228" s="33" t="n">
        <v>100</v>
      </c>
      <c r="O228" s="33" t="inlineStr">
        <is>
          <t>Fly</t>
        </is>
      </c>
      <c r="P228" s="33" t="inlineStr">
        <is>
          <t>100 Fly</t>
        </is>
      </c>
      <c r="Q228" s="33" t="inlineStr">
        <is>
          <t>LCM_100_FLY</t>
        </is>
      </c>
      <c r="R228" s="36" t="n">
        <v>50.28</v>
      </c>
      <c r="S228" s="35">
        <f>IF(R228="","",IF(R228&gt;=60,INT(R228/60)&amp;":"&amp;TEXT(MOD(R228,60),"00.00"),TEXT(R228,"0.00")))</f>
        <v/>
      </c>
      <c r="T228" s="52">
        <f>IFERROR((G228-INDEX('01_Swimmers'!$E$5:$E$22,MATCH(B228,'01_Swimmers'!$A$5:$A$22,0)))/'00_Control'!$B$10,"")</f>
        <v/>
      </c>
      <c r="U228" s="35">
        <f>IF(T228="","",INT(T228))</f>
        <v/>
      </c>
      <c r="V228" s="33" t="inlineStr">
        <is>
          <t>NO</t>
        </is>
      </c>
      <c r="W228" s="33" t="inlineStr">
        <is>
          <t>YES</t>
        </is>
      </c>
      <c r="X228" s="33" t="inlineStr">
        <is>
          <t>NO</t>
        </is>
      </c>
      <c r="Y228" s="33" t="n">
        <v>9</v>
      </c>
      <c r="Z228" s="33" t="n">
        <v>4</v>
      </c>
      <c r="AA228" s="33" t="inlineStr">
        <is>
          <t>1</t>
        </is>
      </c>
      <c r="AB228" s="33" t="inlineStr">
        <is>
          <t>https://www.swimcloud.com/results/149555/event/28/?id=28190469#time28190469</t>
        </is>
      </c>
      <c r="AC228" s="33" t="inlineStr">
        <is>
          <t>SwimCloud API v6 2026-10-08</t>
        </is>
      </c>
      <c r="AD228" s="33" t="inlineStr">
        <is>
          <t>Caeleb Dressel|2019-07-26|LCM|100|Fly|50.28|18th FINA World Championships|PRE|False</t>
        </is>
      </c>
      <c r="AE228" s="53">
        <f>G228+L228/1000+ROW()/1000000000</f>
        <v/>
      </c>
      <c r="AF228" s="35">
        <f>IF(C228&lt;&gt;"Grayson Coulter","",COUNTIFS($C$5:$C$2991,"Grayson Coulter",$Q$5:$Q$2991,Q228,$AE$5:$AE$2991,"&lt;="&amp;AE228,$R$5:$R$2991,"&lt;"&amp;R228))</f>
        <v/>
      </c>
      <c r="AG228" s="35">
        <f>IF(OR(C228&lt;&gt;"Grayson Coulter",G228&lt;'00_Control'!$B$7),"",--(AF228&lt;5))</f>
        <v/>
      </c>
      <c r="AH228" s="35">
        <f>IF(OR(C228&lt;&gt;"Grayson Coulter",G228&lt;'00_Control'!$B$7),"",--(AF228&lt;10))</f>
        <v/>
      </c>
      <c r="AI228" s="35">
        <f>IF(AND(C228="Grayson Coulter",G228&gt;='00_Control'!$B$7),"YES","NO")</f>
        <v/>
      </c>
      <c r="AJ228" s="33" t="inlineStr">
        <is>
          <t>OK</t>
        </is>
      </c>
    </row>
    <row r="229">
      <c r="A229" s="33" t="inlineStr">
        <is>
          <t>SM000225</t>
        </is>
      </c>
      <c r="B229" s="33" t="inlineStr">
        <is>
          <t>SW010</t>
        </is>
      </c>
      <c r="C229" s="33" t="inlineStr">
        <is>
          <t>Caeleb Dressel</t>
        </is>
      </c>
      <c r="D229" s="33" t="inlineStr">
        <is>
          <t>SwimCloud</t>
        </is>
      </c>
      <c r="E229" s="33" t="inlineStr">
        <is>
          <t>2361642</t>
        </is>
      </c>
      <c r="F229" s="33" t="inlineStr">
        <is>
          <t>28190470</t>
        </is>
      </c>
      <c r="G229" s="51" t="n">
        <v>43672</v>
      </c>
      <c r="H229" s="33" t="inlineStr">
        <is>
          <t>18th FINA World Championships</t>
        </is>
      </c>
      <c r="I229" s="33" t="inlineStr">
        <is>
          <t>149555</t>
        </is>
      </c>
      <c r="J229" s="33" t="inlineStr"/>
      <c r="K229" s="33" t="inlineStr">
        <is>
          <t>SEM</t>
        </is>
      </c>
      <c r="L229" s="35">
        <f>IF(K229="FIN",3,IF(OR(K229="SEM",K229="SEMI"),2,IF(OR(K229="PRE",K229="HEAT"),1,IF(V229="YES",4,2))))</f>
        <v/>
      </c>
      <c r="M229" s="33" t="inlineStr">
        <is>
          <t>LCM</t>
        </is>
      </c>
      <c r="N229" s="33" t="n">
        <v>100</v>
      </c>
      <c r="O229" s="33" t="inlineStr">
        <is>
          <t>Fly</t>
        </is>
      </c>
      <c r="P229" s="33" t="inlineStr">
        <is>
          <t>100 Fly</t>
        </is>
      </c>
      <c r="Q229" s="33" t="inlineStr">
        <is>
          <t>LCM_100_FLY</t>
        </is>
      </c>
      <c r="R229" s="36" t="n">
        <v>49.5</v>
      </c>
      <c r="S229" s="35">
        <f>IF(R229="","",IF(R229&gt;=60,INT(R229/60)&amp;":"&amp;TEXT(MOD(R229,60),"00.00"),TEXT(R229,"0.00")))</f>
        <v/>
      </c>
      <c r="T229" s="52">
        <f>IFERROR((G229-INDEX('01_Swimmers'!$E$5:$E$22,MATCH(B229,'01_Swimmers'!$A$5:$A$22,0)))/'00_Control'!$B$10,"")</f>
        <v/>
      </c>
      <c r="U229" s="35">
        <f>IF(T229="","",INT(T229))</f>
        <v/>
      </c>
      <c r="V229" s="33" t="inlineStr">
        <is>
          <t>NO</t>
        </is>
      </c>
      <c r="W229" s="33" t="inlineStr">
        <is>
          <t>YES</t>
        </is>
      </c>
      <c r="X229" s="33" t="inlineStr">
        <is>
          <t>NO</t>
        </is>
      </c>
      <c r="Y229" s="33" t="n">
        <v>2</v>
      </c>
      <c r="Z229" s="33" t="n">
        <v>4</v>
      </c>
      <c r="AA229" s="33" t="inlineStr">
        <is>
          <t>1</t>
        </is>
      </c>
      <c r="AB229" s="33" t="inlineStr">
        <is>
          <t>https://www.swimcloud.com/results/149555/event/28/?id=28190470#time28190470</t>
        </is>
      </c>
      <c r="AC229" s="33" t="inlineStr">
        <is>
          <t>SwimCloud API v6 2026-10-08</t>
        </is>
      </c>
      <c r="AD229" s="33" t="inlineStr">
        <is>
          <t>Caeleb Dressel|2019-07-26|LCM|100|Fly|49.5|18th FINA World Championships|SEM|False</t>
        </is>
      </c>
      <c r="AE229" s="53">
        <f>G229+L229/1000+ROW()/1000000000</f>
        <v/>
      </c>
      <c r="AF229" s="35">
        <f>IF(C229&lt;&gt;"Grayson Coulter","",COUNTIFS($C$5:$C$2991,"Grayson Coulter",$Q$5:$Q$2991,Q229,$AE$5:$AE$2991,"&lt;="&amp;AE229,$R$5:$R$2991,"&lt;"&amp;R229))</f>
        <v/>
      </c>
      <c r="AG229" s="35">
        <f>IF(OR(C229&lt;&gt;"Grayson Coulter",G229&lt;'00_Control'!$B$7),"",--(AF229&lt;5))</f>
        <v/>
      </c>
      <c r="AH229" s="35">
        <f>IF(OR(C229&lt;&gt;"Grayson Coulter",G229&lt;'00_Control'!$B$7),"",--(AF229&lt;10))</f>
        <v/>
      </c>
      <c r="AI229" s="35">
        <f>IF(AND(C229="Grayson Coulter",G229&gt;='00_Control'!$B$7),"YES","NO")</f>
        <v/>
      </c>
      <c r="AJ229" s="33" t="inlineStr">
        <is>
          <t>OK</t>
        </is>
      </c>
    </row>
    <row r="230">
      <c r="A230" s="33" t="inlineStr">
        <is>
          <t>SM000226</t>
        </is>
      </c>
      <c r="B230" s="33" t="inlineStr">
        <is>
          <t>SW010</t>
        </is>
      </c>
      <c r="C230" s="33" t="inlineStr">
        <is>
          <t>Caeleb Dressel</t>
        </is>
      </c>
      <c r="D230" s="33" t="inlineStr">
        <is>
          <t>SwimCloud</t>
        </is>
      </c>
      <c r="E230" s="33" t="inlineStr">
        <is>
          <t>2361642</t>
        </is>
      </c>
      <c r="F230" s="33" t="inlineStr">
        <is>
          <t>28190468</t>
        </is>
      </c>
      <c r="G230" s="51" t="n">
        <v>43673</v>
      </c>
      <c r="H230" s="33" t="inlineStr">
        <is>
          <t>18th FINA World Championships</t>
        </is>
      </c>
      <c r="I230" s="33" t="inlineStr">
        <is>
          <t>149555</t>
        </is>
      </c>
      <c r="J230" s="33" t="inlineStr"/>
      <c r="K230" s="33" t="inlineStr">
        <is>
          <t>FIN</t>
        </is>
      </c>
      <c r="L230" s="35">
        <f>IF(K230="FIN",3,IF(OR(K230="SEM",K230="SEMI"),2,IF(OR(K230="PRE",K230="HEAT"),1,IF(V230="YES",4,2))))</f>
        <v/>
      </c>
      <c r="M230" s="33" t="inlineStr">
        <is>
          <t>LCM</t>
        </is>
      </c>
      <c r="N230" s="33" t="n">
        <v>100</v>
      </c>
      <c r="O230" s="33" t="inlineStr">
        <is>
          <t>Fly</t>
        </is>
      </c>
      <c r="P230" s="33" t="inlineStr">
        <is>
          <t>100 Fly</t>
        </is>
      </c>
      <c r="Q230" s="33" t="inlineStr">
        <is>
          <t>LCM_100_FLY</t>
        </is>
      </c>
      <c r="R230" s="36" t="n">
        <v>49.66</v>
      </c>
      <c r="S230" s="35">
        <f>IF(R230="","",IF(R230&gt;=60,INT(R230/60)&amp;":"&amp;TEXT(MOD(R230,60),"00.00"),TEXT(R230,"0.00")))</f>
        <v/>
      </c>
      <c r="T230" s="52">
        <f>IFERROR((G230-INDEX('01_Swimmers'!$E$5:$E$22,MATCH(B230,'01_Swimmers'!$A$5:$A$22,0)))/'00_Control'!$B$10,"")</f>
        <v/>
      </c>
      <c r="U230" s="35">
        <f>IF(T230="","",INT(T230))</f>
        <v/>
      </c>
      <c r="V230" s="33" t="inlineStr">
        <is>
          <t>NO</t>
        </is>
      </c>
      <c r="W230" s="33" t="inlineStr">
        <is>
          <t>YES</t>
        </is>
      </c>
      <c r="X230" s="33" t="inlineStr">
        <is>
          <t>NO</t>
        </is>
      </c>
      <c r="Y230" s="33" t="n">
        <v>1</v>
      </c>
      <c r="Z230" s="33" t="n">
        <v>4</v>
      </c>
      <c r="AA230" s="33" t="inlineStr">
        <is>
          <t>1</t>
        </is>
      </c>
      <c r="AB230" s="33" t="inlineStr">
        <is>
          <t>https://www.swimcloud.com/results/149555/event/28/?id=28190468#time28190468</t>
        </is>
      </c>
      <c r="AC230" s="33" t="inlineStr">
        <is>
          <t>SwimCloud API v6 2026-10-08</t>
        </is>
      </c>
      <c r="AD230" s="33" t="inlineStr">
        <is>
          <t>Caeleb Dressel|2019-07-27|LCM|100|Fly|49.66|18th FINA World Championships|FIN|False</t>
        </is>
      </c>
      <c r="AE230" s="53">
        <f>G230+L230/1000+ROW()/1000000000</f>
        <v/>
      </c>
      <c r="AF230" s="35">
        <f>IF(C230&lt;&gt;"Grayson Coulter","",COUNTIFS($C$5:$C$2991,"Grayson Coulter",$Q$5:$Q$2991,Q230,$AE$5:$AE$2991,"&lt;="&amp;AE230,$R$5:$R$2991,"&lt;"&amp;R230))</f>
        <v/>
      </c>
      <c r="AG230" s="35">
        <f>IF(OR(C230&lt;&gt;"Grayson Coulter",G230&lt;'00_Control'!$B$7),"",--(AF230&lt;5))</f>
        <v/>
      </c>
      <c r="AH230" s="35">
        <f>IF(OR(C230&lt;&gt;"Grayson Coulter",G230&lt;'00_Control'!$B$7),"",--(AF230&lt;10))</f>
        <v/>
      </c>
      <c r="AI230" s="35">
        <f>IF(AND(C230="Grayson Coulter",G230&gt;='00_Control'!$B$7),"YES","NO")</f>
        <v/>
      </c>
      <c r="AJ230" s="33" t="inlineStr">
        <is>
          <t>OK</t>
        </is>
      </c>
    </row>
    <row r="231">
      <c r="A231" s="33" t="inlineStr">
        <is>
          <t>SM000227</t>
        </is>
      </c>
      <c r="B231" s="33" t="inlineStr">
        <is>
          <t>SW010</t>
        </is>
      </c>
      <c r="C231" s="33" t="inlineStr">
        <is>
          <t>Caeleb Dressel</t>
        </is>
      </c>
      <c r="D231" s="33" t="inlineStr">
        <is>
          <t>SwimCloud</t>
        </is>
      </c>
      <c r="E231" s="33" t="inlineStr">
        <is>
          <t>2361642</t>
        </is>
      </c>
      <c r="F231" s="33" t="inlineStr">
        <is>
          <t>28191691</t>
        </is>
      </c>
      <c r="G231" s="51" t="n">
        <v>43673</v>
      </c>
      <c r="H231" s="33" t="inlineStr">
        <is>
          <t>18th FINA World Championships</t>
        </is>
      </c>
      <c r="I231" s="33" t="inlineStr">
        <is>
          <t>149555</t>
        </is>
      </c>
      <c r="J231" s="33" t="inlineStr"/>
      <c r="K231" s="33" t="inlineStr">
        <is>
          <t>FIN</t>
        </is>
      </c>
      <c r="L231" s="35">
        <f>IF(K231="FIN",3,IF(OR(K231="SEM",K231="SEMI"),2,IF(OR(K231="PRE",K231="HEAT"),1,IF(V231="YES",4,2))))</f>
        <v/>
      </c>
      <c r="M231" s="33" t="inlineStr">
        <is>
          <t>LCM</t>
        </is>
      </c>
      <c r="N231" s="33" t="n">
        <v>100</v>
      </c>
      <c r="O231" s="33" t="inlineStr">
        <is>
          <t>Free</t>
        </is>
      </c>
      <c r="P231" s="33" t="inlineStr">
        <is>
          <t>100 Free</t>
        </is>
      </c>
      <c r="Q231" s="33" t="inlineStr">
        <is>
          <t>LCM_100_FREE</t>
        </is>
      </c>
      <c r="R231" s="36" t="n">
        <v>47.34</v>
      </c>
      <c r="S231" s="35">
        <f>IF(R231="","",IF(R231&gt;=60,INT(R231/60)&amp;":"&amp;TEXT(MOD(R231,60),"00.00"),TEXT(R231,"0.00")))</f>
        <v/>
      </c>
      <c r="T231" s="52">
        <f>IFERROR((G231-INDEX('01_Swimmers'!$E$5:$E$22,MATCH(B231,'01_Swimmers'!$A$5:$A$22,0)))/'00_Control'!$B$10,"")</f>
        <v/>
      </c>
      <c r="U231" s="35">
        <f>IF(T231="","",INT(T231))</f>
        <v/>
      </c>
      <c r="V231" s="33" t="inlineStr">
        <is>
          <t>YES</t>
        </is>
      </c>
      <c r="W231" s="33" t="inlineStr">
        <is>
          <t>YES</t>
        </is>
      </c>
      <c r="X231" s="33" t="inlineStr">
        <is>
          <t>NO</t>
        </is>
      </c>
      <c r="Y231" s="33" t="n">
        <v>1</v>
      </c>
      <c r="Z231" s="33" t="n">
        <v>4</v>
      </c>
      <c r="AA231" s="33" t="inlineStr"/>
      <c r="AB231" s="33" t="inlineStr">
        <is>
          <t>https://www.swimcloud.com/results/149555/event/37/?id=28190593#time28190593</t>
        </is>
      </c>
      <c r="AC231" s="33" t="inlineStr">
        <is>
          <t>SwimCloud API v6 2026-10-08</t>
        </is>
      </c>
      <c r="AD231" s="33" t="inlineStr">
        <is>
          <t>Caeleb Dressel|2019-07-27|LCM|100|Free|47.34|18th FINA World Championships|FIN|True</t>
        </is>
      </c>
      <c r="AE231" s="53">
        <f>G231+L231/1000+ROW()/1000000000</f>
        <v/>
      </c>
      <c r="AF231" s="35">
        <f>IF(C231&lt;&gt;"Grayson Coulter","",COUNTIFS($C$5:$C$2991,"Grayson Coulter",$Q$5:$Q$2991,Q231,$AE$5:$AE$2991,"&lt;="&amp;AE231,$R$5:$R$2991,"&lt;"&amp;R231))</f>
        <v/>
      </c>
      <c r="AG231" s="35">
        <f>IF(OR(C231&lt;&gt;"Grayson Coulter",G231&lt;'00_Control'!$B$7),"",--(AF231&lt;5))</f>
        <v/>
      </c>
      <c r="AH231" s="35">
        <f>IF(OR(C231&lt;&gt;"Grayson Coulter",G231&lt;'00_Control'!$B$7),"",--(AF231&lt;10))</f>
        <v/>
      </c>
      <c r="AI231" s="35">
        <f>IF(AND(C231="Grayson Coulter",G231&gt;='00_Control'!$B$7),"YES","NO")</f>
        <v/>
      </c>
      <c r="AJ231" s="33" t="inlineStr">
        <is>
          <t>OK</t>
        </is>
      </c>
    </row>
    <row r="232">
      <c r="A232" s="33" t="inlineStr">
        <is>
          <t>SM000228</t>
        </is>
      </c>
      <c r="B232" s="33" t="inlineStr">
        <is>
          <t>SW010</t>
        </is>
      </c>
      <c r="C232" s="33" t="inlineStr">
        <is>
          <t>Caeleb Dressel</t>
        </is>
      </c>
      <c r="D232" s="33" t="inlineStr">
        <is>
          <t>SwimCloud</t>
        </is>
      </c>
      <c r="E232" s="33" t="inlineStr">
        <is>
          <t>2361642</t>
        </is>
      </c>
      <c r="F232" s="33" t="inlineStr">
        <is>
          <t>31053087</t>
        </is>
      </c>
      <c r="G232" s="51" t="n">
        <v>43805</v>
      </c>
      <c r="H232" s="33" t="inlineStr">
        <is>
          <t>Toyota US Open</t>
        </is>
      </c>
      <c r="I232" s="33" t="inlineStr">
        <is>
          <t>145994</t>
        </is>
      </c>
      <c r="J232" s="33" t="inlineStr"/>
      <c r="K232" s="33" t="inlineStr">
        <is>
          <t>PRE</t>
        </is>
      </c>
      <c r="L232" s="35">
        <f>IF(K232="FIN",3,IF(OR(K232="SEM",K232="SEMI"),2,IF(OR(K232="PRE",K232="HEAT"),1,IF(V232="YES",4,2))))</f>
        <v/>
      </c>
      <c r="M232" s="33" t="inlineStr">
        <is>
          <t>LCM</t>
        </is>
      </c>
      <c r="N232" s="33" t="n">
        <v>200</v>
      </c>
      <c r="O232" s="33" t="inlineStr">
        <is>
          <t>Free</t>
        </is>
      </c>
      <c r="P232" s="33" t="inlineStr">
        <is>
          <t>200 Free</t>
        </is>
      </c>
      <c r="Q232" s="33" t="inlineStr">
        <is>
          <t>LCM_200_FREE</t>
        </is>
      </c>
      <c r="R232" s="36" t="n">
        <v>108.14</v>
      </c>
      <c r="S232" s="35">
        <f>IF(R232="","",IF(R232&gt;=60,INT(R232/60)&amp;":"&amp;TEXT(MOD(R232,60),"00.00"),TEXT(R232,"0.00")))</f>
        <v/>
      </c>
      <c r="T232" s="52">
        <f>IFERROR((G232-INDEX('01_Swimmers'!$E$5:$E$22,MATCH(B232,'01_Swimmers'!$A$5:$A$22,0)))/'00_Control'!$B$10,"")</f>
        <v/>
      </c>
      <c r="U232" s="35">
        <f>IF(T232="","",INT(T232))</f>
        <v/>
      </c>
      <c r="V232" s="33" t="inlineStr">
        <is>
          <t>NO</t>
        </is>
      </c>
      <c r="W232" s="33" t="inlineStr">
        <is>
          <t>YES</t>
        </is>
      </c>
      <c r="X232" s="33" t="inlineStr">
        <is>
          <t>NO</t>
        </is>
      </c>
      <c r="Y232" s="33" t="n">
        <v>6</v>
      </c>
      <c r="Z232" s="33" t="n">
        <v>3</v>
      </c>
      <c r="AA232" s="33" t="inlineStr">
        <is>
          <t>6</t>
        </is>
      </c>
      <c r="AB232" s="33" t="inlineStr">
        <is>
          <t>https://www.swimcloud.com/results/145994/event/14/?id=31053087#time31053087</t>
        </is>
      </c>
      <c r="AC232" s="33" t="inlineStr">
        <is>
          <t>SwimCloud API v6 2026-10-08</t>
        </is>
      </c>
      <c r="AD232" s="33" t="inlineStr">
        <is>
          <t>Caeleb Dressel|2019-12-06|LCM|200|Free|108.14|Toyota US Open|PRE|False</t>
        </is>
      </c>
      <c r="AE232" s="53">
        <f>G232+L232/1000+ROW()/1000000000</f>
        <v/>
      </c>
      <c r="AF232" s="35">
        <f>IF(C232&lt;&gt;"Grayson Coulter","",COUNTIFS($C$5:$C$2991,"Grayson Coulter",$Q$5:$Q$2991,Q232,$AE$5:$AE$2991,"&lt;="&amp;AE232,$R$5:$R$2991,"&lt;"&amp;R232))</f>
        <v/>
      </c>
      <c r="AG232" s="35">
        <f>IF(OR(C232&lt;&gt;"Grayson Coulter",G232&lt;'00_Control'!$B$7),"",--(AF232&lt;5))</f>
        <v/>
      </c>
      <c r="AH232" s="35">
        <f>IF(OR(C232&lt;&gt;"Grayson Coulter",G232&lt;'00_Control'!$B$7),"",--(AF232&lt;10))</f>
        <v/>
      </c>
      <c r="AI232" s="35">
        <f>IF(AND(C232="Grayson Coulter",G232&gt;='00_Control'!$B$7),"YES","NO")</f>
        <v/>
      </c>
      <c r="AJ232" s="33" t="inlineStr">
        <is>
          <t>OK</t>
        </is>
      </c>
    </row>
    <row r="233">
      <c r="A233" s="33" t="inlineStr">
        <is>
          <t>SM000229</t>
        </is>
      </c>
      <c r="B233" s="33" t="inlineStr">
        <is>
          <t>SW010</t>
        </is>
      </c>
      <c r="C233" s="33" t="inlineStr">
        <is>
          <t>Caeleb Dressel</t>
        </is>
      </c>
      <c r="D233" s="33" t="inlineStr">
        <is>
          <t>SwimCloud</t>
        </is>
      </c>
      <c r="E233" s="33" t="inlineStr">
        <is>
          <t>2361642</t>
        </is>
      </c>
      <c r="F233" s="33" t="inlineStr">
        <is>
          <t>31053088</t>
        </is>
      </c>
      <c r="G233" s="51" t="n">
        <v>43805</v>
      </c>
      <c r="H233" s="33" t="inlineStr">
        <is>
          <t>Toyota US Open</t>
        </is>
      </c>
      <c r="I233" s="33" t="inlineStr">
        <is>
          <t>145994</t>
        </is>
      </c>
      <c r="J233" s="33" t="inlineStr"/>
      <c r="K233" s="33" t="inlineStr">
        <is>
          <t>FIN</t>
        </is>
      </c>
      <c r="L233" s="35">
        <f>IF(K233="FIN",3,IF(OR(K233="SEM",K233="SEMI"),2,IF(OR(K233="PRE",K233="HEAT"),1,IF(V233="YES",4,2))))</f>
        <v/>
      </c>
      <c r="M233" s="33" t="inlineStr">
        <is>
          <t>LCM</t>
        </is>
      </c>
      <c r="N233" s="33" t="n">
        <v>200</v>
      </c>
      <c r="O233" s="33" t="inlineStr">
        <is>
          <t>Free</t>
        </is>
      </c>
      <c r="P233" s="33" t="inlineStr">
        <is>
          <t>200 Free</t>
        </is>
      </c>
      <c r="Q233" s="33" t="inlineStr">
        <is>
          <t>LCM_200_FREE</t>
        </is>
      </c>
      <c r="R233" s="36" t="n">
        <v>107.58</v>
      </c>
      <c r="S233" s="35">
        <f>IF(R233="","",IF(R233&gt;=60,INT(R233/60)&amp;":"&amp;TEXT(MOD(R233,60),"00.00"),TEXT(R233,"0.00")))</f>
        <v/>
      </c>
      <c r="T233" s="52">
        <f>IFERROR((G233-INDEX('01_Swimmers'!$E$5:$E$22,MATCH(B233,'01_Swimmers'!$A$5:$A$22,0)))/'00_Control'!$B$10,"")</f>
        <v/>
      </c>
      <c r="U233" s="35">
        <f>IF(T233="","",INT(T233))</f>
        <v/>
      </c>
      <c r="V233" s="33" t="inlineStr">
        <is>
          <t>NO</t>
        </is>
      </c>
      <c r="W233" s="33" t="inlineStr">
        <is>
          <t>YES</t>
        </is>
      </c>
      <c r="X233" s="33" t="inlineStr">
        <is>
          <t>NO</t>
        </is>
      </c>
      <c r="Y233" s="33" t="n">
        <v>2</v>
      </c>
      <c r="Z233" s="33" t="n">
        <v>7</v>
      </c>
      <c r="AA233" s="33" t="inlineStr">
        <is>
          <t>5</t>
        </is>
      </c>
      <c r="AB233" s="33" t="inlineStr">
        <is>
          <t>https://www.swimcloud.com/results/145994/event/14/?id=31053088#time31053088</t>
        </is>
      </c>
      <c r="AC233" s="33" t="inlineStr">
        <is>
          <t>SwimCloud API v6 2026-10-08</t>
        </is>
      </c>
      <c r="AD233" s="33" t="inlineStr">
        <is>
          <t>Caeleb Dressel|2019-12-06|LCM|200|Free|107.58|Toyota US Open|FIN|False</t>
        </is>
      </c>
      <c r="AE233" s="53">
        <f>G233+L233/1000+ROW()/1000000000</f>
        <v/>
      </c>
      <c r="AF233" s="35">
        <f>IF(C233&lt;&gt;"Grayson Coulter","",COUNTIFS($C$5:$C$2991,"Grayson Coulter",$Q$5:$Q$2991,Q233,$AE$5:$AE$2991,"&lt;="&amp;AE233,$R$5:$R$2991,"&lt;"&amp;R233))</f>
        <v/>
      </c>
      <c r="AG233" s="35">
        <f>IF(OR(C233&lt;&gt;"Grayson Coulter",G233&lt;'00_Control'!$B$7),"",--(AF233&lt;5))</f>
        <v/>
      </c>
      <c r="AH233" s="35">
        <f>IF(OR(C233&lt;&gt;"Grayson Coulter",G233&lt;'00_Control'!$B$7),"",--(AF233&lt;10))</f>
        <v/>
      </c>
      <c r="AI233" s="35">
        <f>IF(AND(C233="Grayson Coulter",G233&gt;='00_Control'!$B$7),"YES","NO")</f>
        <v/>
      </c>
      <c r="AJ233" s="33" t="inlineStr">
        <is>
          <t>OK</t>
        </is>
      </c>
    </row>
    <row r="234">
      <c r="A234" s="33" t="inlineStr">
        <is>
          <t>SM000230</t>
        </is>
      </c>
      <c r="B234" s="33" t="inlineStr">
        <is>
          <t>SW010</t>
        </is>
      </c>
      <c r="C234" s="33" t="inlineStr">
        <is>
          <t>Caeleb Dressel</t>
        </is>
      </c>
      <c r="D234" s="33" t="inlineStr">
        <is>
          <t>SwimCloud</t>
        </is>
      </c>
      <c r="E234" s="33" t="inlineStr">
        <is>
          <t>2361642</t>
        </is>
      </c>
      <c r="F234" s="33" t="inlineStr">
        <is>
          <t>34431115</t>
        </is>
      </c>
      <c r="G234" s="51" t="n">
        <v>43876</v>
      </c>
      <c r="H234" s="33" t="inlineStr">
        <is>
          <t>Florida Swimming OT Qualifier</t>
        </is>
      </c>
      <c r="I234" s="33" t="inlineStr">
        <is>
          <t>178306</t>
        </is>
      </c>
      <c r="J234" s="33" t="inlineStr"/>
      <c r="K234" s="33" t="inlineStr">
        <is>
          <t>PRE</t>
        </is>
      </c>
      <c r="L234" s="35">
        <f>IF(K234="FIN",3,IF(OR(K234="SEM",K234="SEMI"),2,IF(OR(K234="PRE",K234="HEAT"),1,IF(V234="YES",4,2))))</f>
        <v/>
      </c>
      <c r="M234" s="33" t="inlineStr">
        <is>
          <t>LCM</t>
        </is>
      </c>
      <c r="N234" s="33" t="n">
        <v>100</v>
      </c>
      <c r="O234" s="33" t="inlineStr">
        <is>
          <t>Fly</t>
        </is>
      </c>
      <c r="P234" s="33" t="inlineStr">
        <is>
          <t>100 Fly</t>
        </is>
      </c>
      <c r="Q234" s="33" t="inlineStr">
        <is>
          <t>LCM_100_FLY</t>
        </is>
      </c>
      <c r="R234" s="36" t="n">
        <v>55.43</v>
      </c>
      <c r="S234" s="35">
        <f>IF(R234="","",IF(R234&gt;=60,INT(R234/60)&amp;":"&amp;TEXT(MOD(R234,60),"00.00"),TEXT(R234,"0.00")))</f>
        <v/>
      </c>
      <c r="T234" s="52">
        <f>IFERROR((G234-INDEX('01_Swimmers'!$E$5:$E$22,MATCH(B234,'01_Swimmers'!$A$5:$A$22,0)))/'00_Control'!$B$10,"")</f>
        <v/>
      </c>
      <c r="U234" s="35">
        <f>IF(T234="","",INT(T234))</f>
        <v/>
      </c>
      <c r="V234" s="33" t="inlineStr">
        <is>
          <t>NO</t>
        </is>
      </c>
      <c r="W234" s="33" t="inlineStr">
        <is>
          <t>YES</t>
        </is>
      </c>
      <c r="X234" s="33" t="inlineStr">
        <is>
          <t>NO</t>
        </is>
      </c>
      <c r="Y234" s="33" t="n">
        <v>11</v>
      </c>
      <c r="Z234" s="33" t="n">
        <v>4</v>
      </c>
      <c r="AA234" s="33" t="inlineStr">
        <is>
          <t>2</t>
        </is>
      </c>
      <c r="AB234" s="33" t="inlineStr">
        <is>
          <t>https://www.swimcloud.com/results/178306/event/6/?id=34431115#time34431115</t>
        </is>
      </c>
      <c r="AC234" s="33" t="inlineStr">
        <is>
          <t>SwimCloud API v6 2026-10-08</t>
        </is>
      </c>
      <c r="AD234" s="33" t="inlineStr">
        <is>
          <t>Caeleb Dressel|2020-02-15|LCM|100|Fly|55.43|Florida Swimming OT Qualifier|PRE|False</t>
        </is>
      </c>
      <c r="AE234" s="53">
        <f>G234+L234/1000+ROW()/1000000000</f>
        <v/>
      </c>
      <c r="AF234" s="35">
        <f>IF(C234&lt;&gt;"Grayson Coulter","",COUNTIFS($C$5:$C$2991,"Grayson Coulter",$Q$5:$Q$2991,Q234,$AE$5:$AE$2991,"&lt;="&amp;AE234,$R$5:$R$2991,"&lt;"&amp;R234))</f>
        <v/>
      </c>
      <c r="AG234" s="35">
        <f>IF(OR(C234&lt;&gt;"Grayson Coulter",G234&lt;'00_Control'!$B$7),"",--(AF234&lt;5))</f>
        <v/>
      </c>
      <c r="AH234" s="35">
        <f>IF(OR(C234&lt;&gt;"Grayson Coulter",G234&lt;'00_Control'!$B$7),"",--(AF234&lt;10))</f>
        <v/>
      </c>
      <c r="AI234" s="35">
        <f>IF(AND(C234="Grayson Coulter",G234&gt;='00_Control'!$B$7),"YES","NO")</f>
        <v/>
      </c>
      <c r="AJ234" s="33" t="inlineStr">
        <is>
          <t>OK</t>
        </is>
      </c>
    </row>
    <row r="235">
      <c r="A235" s="33" t="inlineStr">
        <is>
          <t>SM000231</t>
        </is>
      </c>
      <c r="B235" s="33" t="inlineStr">
        <is>
          <t>SW010</t>
        </is>
      </c>
      <c r="C235" s="33" t="inlineStr">
        <is>
          <t>Caeleb Dressel</t>
        </is>
      </c>
      <c r="D235" s="33" t="inlineStr">
        <is>
          <t>SwimCloud</t>
        </is>
      </c>
      <c r="E235" s="33" t="inlineStr">
        <is>
          <t>2361642</t>
        </is>
      </c>
      <c r="F235" s="33" t="inlineStr">
        <is>
          <t>34431116</t>
        </is>
      </c>
      <c r="G235" s="51" t="n">
        <v>43876</v>
      </c>
      <c r="H235" s="33" t="inlineStr">
        <is>
          <t>Florida Swimming OT Qualifier</t>
        </is>
      </c>
      <c r="I235" s="33" t="inlineStr">
        <is>
          <t>178306</t>
        </is>
      </c>
      <c r="J235" s="33" t="inlineStr"/>
      <c r="K235" s="33" t="inlineStr">
        <is>
          <t>FIN</t>
        </is>
      </c>
      <c r="L235" s="35">
        <f>IF(K235="FIN",3,IF(OR(K235="SEM",K235="SEMI"),2,IF(OR(K235="PRE",K235="HEAT"),1,IF(V235="YES",4,2))))</f>
        <v/>
      </c>
      <c r="M235" s="33" t="inlineStr">
        <is>
          <t>LCM</t>
        </is>
      </c>
      <c r="N235" s="33" t="n">
        <v>100</v>
      </c>
      <c r="O235" s="33" t="inlineStr">
        <is>
          <t>Fly</t>
        </is>
      </c>
      <c r="P235" s="33" t="inlineStr">
        <is>
          <t>100 Fly</t>
        </is>
      </c>
      <c r="Q235" s="33" t="inlineStr">
        <is>
          <t>LCM_100_FLY</t>
        </is>
      </c>
      <c r="R235" s="36" t="n">
        <v>52.9</v>
      </c>
      <c r="S235" s="35">
        <f>IF(R235="","",IF(R235&gt;=60,INT(R235/60)&amp;":"&amp;TEXT(MOD(R235,60),"00.00"),TEXT(R235,"0.00")))</f>
        <v/>
      </c>
      <c r="T235" s="52">
        <f>IFERROR((G235-INDEX('01_Swimmers'!$E$5:$E$22,MATCH(B235,'01_Swimmers'!$A$5:$A$22,0)))/'00_Control'!$B$10,"")</f>
        <v/>
      </c>
      <c r="U235" s="35">
        <f>IF(T235="","",INT(T235))</f>
        <v/>
      </c>
      <c r="V235" s="33" t="inlineStr">
        <is>
          <t>NO</t>
        </is>
      </c>
      <c r="W235" s="33" t="inlineStr">
        <is>
          <t>YES</t>
        </is>
      </c>
      <c r="X235" s="33" t="inlineStr">
        <is>
          <t>NO</t>
        </is>
      </c>
      <c r="Y235" s="33" t="n">
        <v>2</v>
      </c>
      <c r="Z235" s="33" t="n">
        <v>5</v>
      </c>
      <c r="AA235" s="33" t="inlineStr">
        <is>
          <t>1</t>
        </is>
      </c>
      <c r="AB235" s="33" t="inlineStr">
        <is>
          <t>https://www.swimcloud.com/results/178306/event/6/?id=34431116#time34431116</t>
        </is>
      </c>
      <c r="AC235" s="33" t="inlineStr">
        <is>
          <t>SwimCloud API v6 2026-10-08</t>
        </is>
      </c>
      <c r="AD235" s="33" t="inlineStr">
        <is>
          <t>Caeleb Dressel|2020-02-15|LCM|100|Fly|52.9|Florida Swimming OT Qualifier|FIN|False</t>
        </is>
      </c>
      <c r="AE235" s="53">
        <f>G235+L235/1000+ROW()/1000000000</f>
        <v/>
      </c>
      <c r="AF235" s="35">
        <f>IF(C235&lt;&gt;"Grayson Coulter","",COUNTIFS($C$5:$C$2991,"Grayson Coulter",$Q$5:$Q$2991,Q235,$AE$5:$AE$2991,"&lt;="&amp;AE235,$R$5:$R$2991,"&lt;"&amp;R235))</f>
        <v/>
      </c>
      <c r="AG235" s="35">
        <f>IF(OR(C235&lt;&gt;"Grayson Coulter",G235&lt;'00_Control'!$B$7),"",--(AF235&lt;5))</f>
        <v/>
      </c>
      <c r="AH235" s="35">
        <f>IF(OR(C235&lt;&gt;"Grayson Coulter",G235&lt;'00_Control'!$B$7),"",--(AF235&lt;10))</f>
        <v/>
      </c>
      <c r="AI235" s="35">
        <f>IF(AND(C235="Grayson Coulter",G235&gt;='00_Control'!$B$7),"YES","NO")</f>
        <v/>
      </c>
      <c r="AJ235" s="33" t="inlineStr">
        <is>
          <t>OK</t>
        </is>
      </c>
    </row>
    <row r="236">
      <c r="A236" s="33" t="inlineStr">
        <is>
          <t>SM000232</t>
        </is>
      </c>
      <c r="B236" s="33" t="inlineStr">
        <is>
          <t>SW010</t>
        </is>
      </c>
      <c r="C236" s="33" t="inlineStr">
        <is>
          <t>Caeleb Dressel</t>
        </is>
      </c>
      <c r="D236" s="33" t="inlineStr">
        <is>
          <t>SwimCloud</t>
        </is>
      </c>
      <c r="E236" s="33" t="inlineStr">
        <is>
          <t>2361642</t>
        </is>
      </c>
      <c r="F236" s="33" t="inlineStr">
        <is>
          <t>34430998</t>
        </is>
      </c>
      <c r="G236" s="51" t="n">
        <v>43876</v>
      </c>
      <c r="H236" s="33" t="inlineStr">
        <is>
          <t>Florida Swimming OT Qualifier</t>
        </is>
      </c>
      <c r="I236" s="33" t="inlineStr">
        <is>
          <t>178306</t>
        </is>
      </c>
      <c r="J236" s="33" t="inlineStr"/>
      <c r="K236" s="33" t="inlineStr">
        <is>
          <t>PRE</t>
        </is>
      </c>
      <c r="L236" s="35">
        <f>IF(K236="FIN",3,IF(OR(K236="SEM",K236="SEMI"),2,IF(OR(K236="PRE",K236="HEAT"),1,IF(V236="YES",4,2))))</f>
        <v/>
      </c>
      <c r="M236" s="33" t="inlineStr">
        <is>
          <t>LCM</t>
        </is>
      </c>
      <c r="N236" s="33" t="n">
        <v>200</v>
      </c>
      <c r="O236" s="33" t="inlineStr">
        <is>
          <t>Free</t>
        </is>
      </c>
      <c r="P236" s="33" t="inlineStr">
        <is>
          <t>200 Free</t>
        </is>
      </c>
      <c r="Q236" s="33" t="inlineStr">
        <is>
          <t>LCM_200_FREE</t>
        </is>
      </c>
      <c r="R236" s="36" t="n">
        <v>115</v>
      </c>
      <c r="S236" s="35">
        <f>IF(R236="","",IF(R236&gt;=60,INT(R236/60)&amp;":"&amp;TEXT(MOD(R236,60),"00.00"),TEXT(R236,"0.00")))</f>
        <v/>
      </c>
      <c r="T236" s="52">
        <f>IFERROR((G236-INDEX('01_Swimmers'!$E$5:$E$22,MATCH(B236,'01_Swimmers'!$A$5:$A$22,0)))/'00_Control'!$B$10,"")</f>
        <v/>
      </c>
      <c r="U236" s="35">
        <f>IF(T236="","",INT(T236))</f>
        <v/>
      </c>
      <c r="V236" s="33" t="inlineStr">
        <is>
          <t>NO</t>
        </is>
      </c>
      <c r="W236" s="33" t="inlineStr">
        <is>
          <t>YES</t>
        </is>
      </c>
      <c r="X236" s="33" t="inlineStr">
        <is>
          <t>NO</t>
        </is>
      </c>
      <c r="Y236" s="33" t="n">
        <v>12</v>
      </c>
      <c r="Z236" s="33" t="n">
        <v>4</v>
      </c>
      <c r="AA236" s="33" t="inlineStr">
        <is>
          <t>7</t>
        </is>
      </c>
      <c r="AB236" s="33" t="inlineStr">
        <is>
          <t>https://www.swimcloud.com/results/178306/event/2/?id=34430998#time34430998</t>
        </is>
      </c>
      <c r="AC236" s="33" t="inlineStr">
        <is>
          <t>SwimCloud API v6 2026-10-08</t>
        </is>
      </c>
      <c r="AD236" s="33" t="inlineStr">
        <is>
          <t>Caeleb Dressel|2020-02-15|LCM|200|Free|115.0|Florida Swimming OT Qualifier|PRE|False</t>
        </is>
      </c>
      <c r="AE236" s="53">
        <f>G236+L236/1000+ROW()/1000000000</f>
        <v/>
      </c>
      <c r="AF236" s="35">
        <f>IF(C236&lt;&gt;"Grayson Coulter","",COUNTIFS($C$5:$C$2991,"Grayson Coulter",$Q$5:$Q$2991,Q236,$AE$5:$AE$2991,"&lt;="&amp;AE236,$R$5:$R$2991,"&lt;"&amp;R236))</f>
        <v/>
      </c>
      <c r="AG236" s="35">
        <f>IF(OR(C236&lt;&gt;"Grayson Coulter",G236&lt;'00_Control'!$B$7),"",--(AF236&lt;5))</f>
        <v/>
      </c>
      <c r="AH236" s="35">
        <f>IF(OR(C236&lt;&gt;"Grayson Coulter",G236&lt;'00_Control'!$B$7),"",--(AF236&lt;10))</f>
        <v/>
      </c>
      <c r="AI236" s="35">
        <f>IF(AND(C236="Grayson Coulter",G236&gt;='00_Control'!$B$7),"YES","NO")</f>
        <v/>
      </c>
      <c r="AJ236" s="33" t="inlineStr">
        <is>
          <t>OK</t>
        </is>
      </c>
    </row>
    <row r="237">
      <c r="A237" s="33" t="inlineStr">
        <is>
          <t>SM000233</t>
        </is>
      </c>
      <c r="B237" s="33" t="inlineStr">
        <is>
          <t>SW010</t>
        </is>
      </c>
      <c r="C237" s="33" t="inlineStr">
        <is>
          <t>Caeleb Dressel</t>
        </is>
      </c>
      <c r="D237" s="33" t="inlineStr">
        <is>
          <t>SwimCloud</t>
        </is>
      </c>
      <c r="E237" s="33" t="inlineStr">
        <is>
          <t>2361642</t>
        </is>
      </c>
      <c r="F237" s="33" t="inlineStr">
        <is>
          <t>34430999</t>
        </is>
      </c>
      <c r="G237" s="51" t="n">
        <v>43876</v>
      </c>
      <c r="H237" s="33" t="inlineStr">
        <is>
          <t>Florida Swimming OT Qualifier</t>
        </is>
      </c>
      <c r="I237" s="33" t="inlineStr">
        <is>
          <t>178306</t>
        </is>
      </c>
      <c r="J237" s="33" t="inlineStr"/>
      <c r="K237" s="33" t="inlineStr">
        <is>
          <t>FIN</t>
        </is>
      </c>
      <c r="L237" s="35">
        <f>IF(K237="FIN",3,IF(OR(K237="SEM",K237="SEMI"),2,IF(OR(K237="PRE",K237="HEAT"),1,IF(V237="YES",4,2))))</f>
        <v/>
      </c>
      <c r="M237" s="33" t="inlineStr">
        <is>
          <t>LCM</t>
        </is>
      </c>
      <c r="N237" s="33" t="n">
        <v>200</v>
      </c>
      <c r="O237" s="33" t="inlineStr">
        <is>
          <t>Free</t>
        </is>
      </c>
      <c r="P237" s="33" t="inlineStr">
        <is>
          <t>200 Free</t>
        </is>
      </c>
      <c r="Q237" s="33" t="inlineStr">
        <is>
          <t>LCM_200_FREE</t>
        </is>
      </c>
      <c r="R237" s="36" t="n">
        <v>109.99</v>
      </c>
      <c r="S237" s="35">
        <f>IF(R237="","",IF(R237&gt;=60,INT(R237/60)&amp;":"&amp;TEXT(MOD(R237,60),"00.00"),TEXT(R237,"0.00")))</f>
        <v/>
      </c>
      <c r="T237" s="52">
        <f>IFERROR((G237-INDEX('01_Swimmers'!$E$5:$E$22,MATCH(B237,'01_Swimmers'!$A$5:$A$22,0)))/'00_Control'!$B$10,"")</f>
        <v/>
      </c>
      <c r="U237" s="35">
        <f>IF(T237="","",INT(T237))</f>
        <v/>
      </c>
      <c r="V237" s="33" t="inlineStr">
        <is>
          <t>NO</t>
        </is>
      </c>
      <c r="W237" s="33" t="inlineStr">
        <is>
          <t>YES</t>
        </is>
      </c>
      <c r="X237" s="33" t="inlineStr">
        <is>
          <t>NO</t>
        </is>
      </c>
      <c r="Y237" s="33" t="n">
        <v>2</v>
      </c>
      <c r="Z237" s="33" t="n">
        <v>1</v>
      </c>
      <c r="AA237" s="33" t="inlineStr">
        <is>
          <t>1</t>
        </is>
      </c>
      <c r="AB237" s="33" t="inlineStr">
        <is>
          <t>https://www.swimcloud.com/results/178306/event/2/?id=34430999#time34430999</t>
        </is>
      </c>
      <c r="AC237" s="33" t="inlineStr">
        <is>
          <t>SwimCloud API v6 2026-10-08</t>
        </is>
      </c>
      <c r="AD237" s="33" t="inlineStr">
        <is>
          <t>Caeleb Dressel|2020-02-15|LCM|200|Free|109.99|Florida Swimming OT Qualifier|FIN|False</t>
        </is>
      </c>
      <c r="AE237" s="53">
        <f>G237+L237/1000+ROW()/1000000000</f>
        <v/>
      </c>
      <c r="AF237" s="35">
        <f>IF(C237&lt;&gt;"Grayson Coulter","",COUNTIFS($C$5:$C$2991,"Grayson Coulter",$Q$5:$Q$2991,Q237,$AE$5:$AE$2991,"&lt;="&amp;AE237,$R$5:$R$2991,"&lt;"&amp;R237))</f>
        <v/>
      </c>
      <c r="AG237" s="35">
        <f>IF(OR(C237&lt;&gt;"Grayson Coulter",G237&lt;'00_Control'!$B$7),"",--(AF237&lt;5))</f>
        <v/>
      </c>
      <c r="AH237" s="35">
        <f>IF(OR(C237&lt;&gt;"Grayson Coulter",G237&lt;'00_Control'!$B$7),"",--(AF237&lt;10))</f>
        <v/>
      </c>
      <c r="AI237" s="35">
        <f>IF(AND(C237="Grayson Coulter",G237&gt;='00_Control'!$B$7),"YES","NO")</f>
        <v/>
      </c>
      <c r="AJ237" s="33" t="inlineStr">
        <is>
          <t>OK</t>
        </is>
      </c>
    </row>
    <row r="238">
      <c r="A238" s="33" t="inlineStr">
        <is>
          <t>SM000234</t>
        </is>
      </c>
      <c r="B238" s="33" t="inlineStr">
        <is>
          <t>SW010</t>
        </is>
      </c>
      <c r="C238" s="33" t="inlineStr">
        <is>
          <t>Caeleb Dressel</t>
        </is>
      </c>
      <c r="D238" s="33" t="inlineStr">
        <is>
          <t>SwimCloud</t>
        </is>
      </c>
      <c r="E238" s="33" t="inlineStr">
        <is>
          <t>2361642</t>
        </is>
      </c>
      <c r="F238" s="33" t="inlineStr">
        <is>
          <t>34431430</t>
        </is>
      </c>
      <c r="G238" s="51" t="n">
        <v>43877</v>
      </c>
      <c r="H238" s="33" t="inlineStr">
        <is>
          <t>Florida Swimming OT Qualifier</t>
        </is>
      </c>
      <c r="I238" s="33" t="inlineStr">
        <is>
          <t>178306</t>
        </is>
      </c>
      <c r="J238" s="33" t="inlineStr"/>
      <c r="K238" s="33" t="inlineStr">
        <is>
          <t>PRE</t>
        </is>
      </c>
      <c r="L238" s="35">
        <f>IF(K238="FIN",3,IF(OR(K238="SEM",K238="SEMI"),2,IF(OR(K238="PRE",K238="HEAT"),1,IF(V238="YES",4,2))))</f>
        <v/>
      </c>
      <c r="M238" s="33" t="inlineStr">
        <is>
          <t>LCM</t>
        </is>
      </c>
      <c r="N238" s="33" t="n">
        <v>400</v>
      </c>
      <c r="O238" s="33" t="inlineStr">
        <is>
          <t>Free</t>
        </is>
      </c>
      <c r="P238" s="33" t="inlineStr">
        <is>
          <t>400 Free</t>
        </is>
      </c>
      <c r="Q238" s="33" t="inlineStr">
        <is>
          <t>LCM_400_FREE</t>
        </is>
      </c>
      <c r="R238" s="36" t="n">
        <v>248.14</v>
      </c>
      <c r="S238" s="35">
        <f>IF(R238="","",IF(R238&gt;=60,INT(R238/60)&amp;":"&amp;TEXT(MOD(R238,60),"00.00"),TEXT(R238,"0.00")))</f>
        <v/>
      </c>
      <c r="T238" s="52">
        <f>IFERROR((G238-INDEX('01_Swimmers'!$E$5:$E$22,MATCH(B238,'01_Swimmers'!$A$5:$A$22,0)))/'00_Control'!$B$10,"")</f>
        <v/>
      </c>
      <c r="U238" s="35">
        <f>IF(T238="","",INT(T238))</f>
        <v/>
      </c>
      <c r="V238" s="33" t="inlineStr">
        <is>
          <t>NO</t>
        </is>
      </c>
      <c r="W238" s="33" t="inlineStr">
        <is>
          <t>YES</t>
        </is>
      </c>
      <c r="X238" s="33" t="inlineStr">
        <is>
          <t>NO</t>
        </is>
      </c>
      <c r="Y238" s="33" t="n">
        <v>10</v>
      </c>
      <c r="Z238" s="33" t="n">
        <v>2</v>
      </c>
      <c r="AA238" s="33" t="inlineStr">
        <is>
          <t>15</t>
        </is>
      </c>
      <c r="AB238" s="33" t="inlineStr">
        <is>
          <t>https://www.swimcloud.com/results/178306/event/18/?id=34431430#time34431430</t>
        </is>
      </c>
      <c r="AC238" s="33" t="inlineStr">
        <is>
          <t>SwimCloud API v6 2026-10-08</t>
        </is>
      </c>
      <c r="AD238" s="33" t="inlineStr">
        <is>
          <t>Caeleb Dressel|2020-02-16|LCM|400|Free|248.14|Florida Swimming OT Qualifier|PRE|False</t>
        </is>
      </c>
      <c r="AE238" s="53">
        <f>G238+L238/1000+ROW()/1000000000</f>
        <v/>
      </c>
      <c r="AF238" s="35">
        <f>IF(C238&lt;&gt;"Grayson Coulter","",COUNTIFS($C$5:$C$2991,"Grayson Coulter",$Q$5:$Q$2991,Q238,$AE$5:$AE$2991,"&lt;="&amp;AE238,$R$5:$R$2991,"&lt;"&amp;R238))</f>
        <v/>
      </c>
      <c r="AG238" s="35">
        <f>IF(OR(C238&lt;&gt;"Grayson Coulter",G238&lt;'00_Control'!$B$7),"",--(AF238&lt;5))</f>
        <v/>
      </c>
      <c r="AH238" s="35">
        <f>IF(OR(C238&lt;&gt;"Grayson Coulter",G238&lt;'00_Control'!$B$7),"",--(AF238&lt;10))</f>
        <v/>
      </c>
      <c r="AI238" s="35">
        <f>IF(AND(C238="Grayson Coulter",G238&gt;='00_Control'!$B$7),"YES","NO")</f>
        <v/>
      </c>
      <c r="AJ238" s="33" t="inlineStr">
        <is>
          <t>OK</t>
        </is>
      </c>
    </row>
    <row r="239">
      <c r="A239" s="33" t="inlineStr">
        <is>
          <t>SM000235</t>
        </is>
      </c>
      <c r="B239" s="33" t="inlineStr">
        <is>
          <t>SW010</t>
        </is>
      </c>
      <c r="C239" s="33" t="inlineStr">
        <is>
          <t>Caeleb Dressel</t>
        </is>
      </c>
      <c r="D239" s="33" t="inlineStr">
        <is>
          <t>SwimCloud</t>
        </is>
      </c>
      <c r="E239" s="33" t="inlineStr">
        <is>
          <t>2361642</t>
        </is>
      </c>
      <c r="F239" s="33" t="inlineStr">
        <is>
          <t>34431431</t>
        </is>
      </c>
      <c r="G239" s="51" t="n">
        <v>43877</v>
      </c>
      <c r="H239" s="33" t="inlineStr">
        <is>
          <t>Florida Swimming OT Qualifier</t>
        </is>
      </c>
      <c r="I239" s="33" t="inlineStr">
        <is>
          <t>178306</t>
        </is>
      </c>
      <c r="J239" s="33" t="inlineStr"/>
      <c r="K239" s="33" t="inlineStr">
        <is>
          <t>FIN</t>
        </is>
      </c>
      <c r="L239" s="35">
        <f>IF(K239="FIN",3,IF(OR(K239="SEM",K239="SEMI"),2,IF(OR(K239="PRE",K239="HEAT"),1,IF(V239="YES",4,2))))</f>
        <v/>
      </c>
      <c r="M239" s="33" t="inlineStr">
        <is>
          <t>LCM</t>
        </is>
      </c>
      <c r="N239" s="33" t="n">
        <v>400</v>
      </c>
      <c r="O239" s="33" t="inlineStr">
        <is>
          <t>Free</t>
        </is>
      </c>
      <c r="P239" s="33" t="inlineStr">
        <is>
          <t>400 Free</t>
        </is>
      </c>
      <c r="Q239" s="33" t="inlineStr">
        <is>
          <t>LCM_400_FREE</t>
        </is>
      </c>
      <c r="R239" s="36" t="n">
        <v>240.06</v>
      </c>
      <c r="S239" s="35">
        <f>IF(R239="","",IF(R239&gt;=60,INT(R239/60)&amp;":"&amp;TEXT(MOD(R239,60),"00.00"),TEXT(R239,"0.00")))</f>
        <v/>
      </c>
      <c r="T239" s="52">
        <f>IFERROR((G239-INDEX('01_Swimmers'!$E$5:$E$22,MATCH(B239,'01_Swimmers'!$A$5:$A$22,0)))/'00_Control'!$B$10,"")</f>
        <v/>
      </c>
      <c r="U239" s="35">
        <f>IF(T239="","",INT(T239))</f>
        <v/>
      </c>
      <c r="V239" s="33" t="inlineStr">
        <is>
          <t>NO</t>
        </is>
      </c>
      <c r="W239" s="33" t="inlineStr">
        <is>
          <t>YES</t>
        </is>
      </c>
      <c r="X239" s="33" t="inlineStr">
        <is>
          <t>NO</t>
        </is>
      </c>
      <c r="Y239" s="33" t="n">
        <v>1</v>
      </c>
      <c r="Z239" s="33" t="n">
        <v>7</v>
      </c>
      <c r="AA239" s="33" t="inlineStr">
        <is>
          <t>9</t>
        </is>
      </c>
      <c r="AB239" s="33" t="inlineStr">
        <is>
          <t>https://www.swimcloud.com/results/178306/event/18/?id=34431431#time34431431</t>
        </is>
      </c>
      <c r="AC239" s="33" t="inlineStr">
        <is>
          <t>SwimCloud API v6 2026-10-08</t>
        </is>
      </c>
      <c r="AD239" s="33" t="inlineStr">
        <is>
          <t>Caeleb Dressel|2020-02-16|LCM|400|Free|240.06|Florida Swimming OT Qualifier|FIN|False</t>
        </is>
      </c>
      <c r="AE239" s="53">
        <f>G239+L239/1000+ROW()/1000000000</f>
        <v/>
      </c>
      <c r="AF239" s="35">
        <f>IF(C239&lt;&gt;"Grayson Coulter","",COUNTIFS($C$5:$C$2991,"Grayson Coulter",$Q$5:$Q$2991,Q239,$AE$5:$AE$2991,"&lt;="&amp;AE239,$R$5:$R$2991,"&lt;"&amp;R239))</f>
        <v/>
      </c>
      <c r="AG239" s="35">
        <f>IF(OR(C239&lt;&gt;"Grayson Coulter",G239&lt;'00_Control'!$B$7),"",--(AF239&lt;5))</f>
        <v/>
      </c>
      <c r="AH239" s="35">
        <f>IF(OR(C239&lt;&gt;"Grayson Coulter",G239&lt;'00_Control'!$B$7),"",--(AF239&lt;10))</f>
        <v/>
      </c>
      <c r="AI239" s="35">
        <f>IF(AND(C239="Grayson Coulter",G239&gt;='00_Control'!$B$7),"YES","NO")</f>
        <v/>
      </c>
      <c r="AJ239" s="33" t="inlineStr">
        <is>
          <t>OK</t>
        </is>
      </c>
    </row>
    <row r="240">
      <c r="A240" s="33" t="inlineStr">
        <is>
          <t>SM000236</t>
        </is>
      </c>
      <c r="B240" s="33" t="inlineStr">
        <is>
          <t>SW010</t>
        </is>
      </c>
      <c r="C240" s="33" t="inlineStr">
        <is>
          <t>Caeleb Dressel</t>
        </is>
      </c>
      <c r="D240" s="33" t="inlineStr">
        <is>
          <t>SwimCloud</t>
        </is>
      </c>
      <c r="E240" s="33" t="inlineStr">
        <is>
          <t>2361642</t>
        </is>
      </c>
      <c r="F240" s="33" t="inlineStr">
        <is>
          <t>34431722</t>
        </is>
      </c>
      <c r="G240" s="51" t="n">
        <v>43878</v>
      </c>
      <c r="H240" s="33" t="inlineStr">
        <is>
          <t>Florida Swimming OT Qualifier</t>
        </is>
      </c>
      <c r="I240" s="33" t="inlineStr">
        <is>
          <t>178306</t>
        </is>
      </c>
      <c r="J240" s="33" t="inlineStr"/>
      <c r="K240" s="33" t="inlineStr">
        <is>
          <t>PRE</t>
        </is>
      </c>
      <c r="L240" s="35">
        <f>IF(K240="FIN",3,IF(OR(K240="SEM",K240="SEMI"),2,IF(OR(K240="PRE",K240="HEAT"),1,IF(V240="YES",4,2))))</f>
        <v/>
      </c>
      <c r="M240" s="33" t="inlineStr">
        <is>
          <t>LCM</t>
        </is>
      </c>
      <c r="N240" s="33" t="n">
        <v>100</v>
      </c>
      <c r="O240" s="33" t="inlineStr">
        <is>
          <t>Free</t>
        </is>
      </c>
      <c r="P240" s="33" t="inlineStr">
        <is>
          <t>100 Free</t>
        </is>
      </c>
      <c r="Q240" s="33" t="inlineStr">
        <is>
          <t>LCM_100_FREE</t>
        </is>
      </c>
      <c r="R240" s="36" t="n">
        <v>50.5</v>
      </c>
      <c r="S240" s="35">
        <f>IF(R240="","",IF(R240&gt;=60,INT(R240/60)&amp;":"&amp;TEXT(MOD(R240,60),"00.00"),TEXT(R240,"0.00")))</f>
        <v/>
      </c>
      <c r="T240" s="52">
        <f>IFERROR((G240-INDEX('01_Swimmers'!$E$5:$E$22,MATCH(B240,'01_Swimmers'!$A$5:$A$22,0)))/'00_Control'!$B$10,"")</f>
        <v/>
      </c>
      <c r="U240" s="35">
        <f>IF(T240="","",INT(T240))</f>
        <v/>
      </c>
      <c r="V240" s="33" t="inlineStr">
        <is>
          <t>NO</t>
        </is>
      </c>
      <c r="W240" s="33" t="inlineStr">
        <is>
          <t>YES</t>
        </is>
      </c>
      <c r="X240" s="33" t="inlineStr">
        <is>
          <t>NO</t>
        </is>
      </c>
      <c r="Y240" s="33" t="n">
        <v>12</v>
      </c>
      <c r="Z240" s="33" t="n">
        <v>4</v>
      </c>
      <c r="AA240" s="33" t="inlineStr">
        <is>
          <t>1</t>
        </is>
      </c>
      <c r="AB240" s="33" t="inlineStr">
        <is>
          <t>https://www.swimcloud.com/results/178306/event/24/?id=34431722#time34431722</t>
        </is>
      </c>
      <c r="AC240" s="33" t="inlineStr">
        <is>
          <t>SwimCloud API v6 2026-10-08</t>
        </is>
      </c>
      <c r="AD240" s="33" t="inlineStr">
        <is>
          <t>Caeleb Dressel|2020-02-17|LCM|100|Free|50.5|Florida Swimming OT Qualifier|PRE|False</t>
        </is>
      </c>
      <c r="AE240" s="53">
        <f>G240+L240/1000+ROW()/1000000000</f>
        <v/>
      </c>
      <c r="AF240" s="35">
        <f>IF(C240&lt;&gt;"Grayson Coulter","",COUNTIFS($C$5:$C$2991,"Grayson Coulter",$Q$5:$Q$2991,Q240,$AE$5:$AE$2991,"&lt;="&amp;AE240,$R$5:$R$2991,"&lt;"&amp;R240))</f>
        <v/>
      </c>
      <c r="AG240" s="35">
        <f>IF(OR(C240&lt;&gt;"Grayson Coulter",G240&lt;'00_Control'!$B$7),"",--(AF240&lt;5))</f>
        <v/>
      </c>
      <c r="AH240" s="35">
        <f>IF(OR(C240&lt;&gt;"Grayson Coulter",G240&lt;'00_Control'!$B$7),"",--(AF240&lt;10))</f>
        <v/>
      </c>
      <c r="AI240" s="35">
        <f>IF(AND(C240="Grayson Coulter",G240&gt;='00_Control'!$B$7),"YES","NO")</f>
        <v/>
      </c>
      <c r="AJ240" s="33" t="inlineStr">
        <is>
          <t>OK</t>
        </is>
      </c>
    </row>
    <row r="241">
      <c r="A241" s="33" t="inlineStr">
        <is>
          <t>SM000237</t>
        </is>
      </c>
      <c r="B241" s="33" t="inlineStr">
        <is>
          <t>SW010</t>
        </is>
      </c>
      <c r="C241" s="33" t="inlineStr">
        <is>
          <t>Caeleb Dressel</t>
        </is>
      </c>
      <c r="D241" s="33" t="inlineStr">
        <is>
          <t>SwimCloud</t>
        </is>
      </c>
      <c r="E241" s="33" t="inlineStr">
        <is>
          <t>2361642</t>
        </is>
      </c>
      <c r="F241" s="33" t="inlineStr">
        <is>
          <t>34431723</t>
        </is>
      </c>
      <c r="G241" s="51" t="n">
        <v>43878</v>
      </c>
      <c r="H241" s="33" t="inlineStr">
        <is>
          <t>Florida Swimming OT Qualifier</t>
        </is>
      </c>
      <c r="I241" s="33" t="inlineStr">
        <is>
          <t>178306</t>
        </is>
      </c>
      <c r="J241" s="33" t="inlineStr"/>
      <c r="K241" s="33" t="inlineStr">
        <is>
          <t>FIN</t>
        </is>
      </c>
      <c r="L241" s="35">
        <f>IF(K241="FIN",3,IF(OR(K241="SEM",K241="SEMI"),2,IF(OR(K241="PRE",K241="HEAT"),1,IF(V241="YES",4,2))))</f>
        <v/>
      </c>
      <c r="M241" s="33" t="inlineStr">
        <is>
          <t>LCM</t>
        </is>
      </c>
      <c r="N241" s="33" t="n">
        <v>100</v>
      </c>
      <c r="O241" s="33" t="inlineStr">
        <is>
          <t>Free</t>
        </is>
      </c>
      <c r="P241" s="33" t="inlineStr">
        <is>
          <t>100 Free</t>
        </is>
      </c>
      <c r="Q241" s="33" t="inlineStr">
        <is>
          <t>LCM_100_FREE</t>
        </is>
      </c>
      <c r="R241" s="36" t="n">
        <v>48.63</v>
      </c>
      <c r="S241" s="35">
        <f>IF(R241="","",IF(R241&gt;=60,INT(R241/60)&amp;":"&amp;TEXT(MOD(R241,60),"00.00"),TEXT(R241,"0.00")))</f>
        <v/>
      </c>
      <c r="T241" s="52">
        <f>IFERROR((G241-INDEX('01_Swimmers'!$E$5:$E$22,MATCH(B241,'01_Swimmers'!$A$5:$A$22,0)))/'00_Control'!$B$10,"")</f>
        <v/>
      </c>
      <c r="U241" s="35">
        <f>IF(T241="","",INT(T241))</f>
        <v/>
      </c>
      <c r="V241" s="33" t="inlineStr">
        <is>
          <t>NO</t>
        </is>
      </c>
      <c r="W241" s="33" t="inlineStr">
        <is>
          <t>YES</t>
        </is>
      </c>
      <c r="X241" s="33" t="inlineStr">
        <is>
          <t>NO</t>
        </is>
      </c>
      <c r="Y241" s="33" t="n">
        <v>2</v>
      </c>
      <c r="Z241" s="33" t="n">
        <v>4</v>
      </c>
      <c r="AA241" s="33" t="inlineStr">
        <is>
          <t>1</t>
        </is>
      </c>
      <c r="AB241" s="33" t="inlineStr">
        <is>
          <t>https://www.swimcloud.com/results/178306/event/24/?id=34431723#time34431723</t>
        </is>
      </c>
      <c r="AC241" s="33" t="inlineStr">
        <is>
          <t>SwimCloud API v6 2026-10-08</t>
        </is>
      </c>
      <c r="AD241" s="33" t="inlineStr">
        <is>
          <t>Caeleb Dressel|2020-02-17|LCM|100|Free|48.63|Florida Swimming OT Qualifier|FIN|False</t>
        </is>
      </c>
      <c r="AE241" s="53">
        <f>G241+L241/1000+ROW()/1000000000</f>
        <v/>
      </c>
      <c r="AF241" s="35">
        <f>IF(C241&lt;&gt;"Grayson Coulter","",COUNTIFS($C$5:$C$2991,"Grayson Coulter",$Q$5:$Q$2991,Q241,$AE$5:$AE$2991,"&lt;="&amp;AE241,$R$5:$R$2991,"&lt;"&amp;R241))</f>
        <v/>
      </c>
      <c r="AG241" s="35">
        <f>IF(OR(C241&lt;&gt;"Grayson Coulter",G241&lt;'00_Control'!$B$7),"",--(AF241&lt;5))</f>
        <v/>
      </c>
      <c r="AH241" s="35">
        <f>IF(OR(C241&lt;&gt;"Grayson Coulter",G241&lt;'00_Control'!$B$7),"",--(AF241&lt;10))</f>
        <v/>
      </c>
      <c r="AI241" s="35">
        <f>IF(AND(C241="Grayson Coulter",G241&gt;='00_Control'!$B$7),"YES","NO")</f>
        <v/>
      </c>
      <c r="AJ241" s="33" t="inlineStr">
        <is>
          <t>OK</t>
        </is>
      </c>
    </row>
    <row r="242">
      <c r="A242" s="33" t="inlineStr">
        <is>
          <t>SM000238</t>
        </is>
      </c>
      <c r="B242" s="33" t="inlineStr">
        <is>
          <t>SW010</t>
        </is>
      </c>
      <c r="C242" s="33" t="inlineStr">
        <is>
          <t>Caeleb Dressel</t>
        </is>
      </c>
      <c r="D242" s="33" t="inlineStr">
        <is>
          <t>SwimCloud</t>
        </is>
      </c>
      <c r="E242" s="33" t="inlineStr">
        <is>
          <t>2361642</t>
        </is>
      </c>
      <c r="F242" s="33" t="inlineStr">
        <is>
          <t>35322293</t>
        </is>
      </c>
      <c r="G242" s="51" t="n">
        <v>43895</v>
      </c>
      <c r="H242" s="33" t="inlineStr">
        <is>
          <t>2020 TYR Pro Swim Series - Des Moines</t>
        </is>
      </c>
      <c r="I242" s="33" t="inlineStr">
        <is>
          <t>164220</t>
        </is>
      </c>
      <c r="J242" s="33" t="inlineStr"/>
      <c r="K242" s="33" t="inlineStr">
        <is>
          <t>PRE</t>
        </is>
      </c>
      <c r="L242" s="35">
        <f>IF(K242="FIN",3,IF(OR(K242="SEM",K242="SEMI"),2,IF(OR(K242="PRE",K242="HEAT"),1,IF(V242="YES",4,2))))</f>
        <v/>
      </c>
      <c r="M242" s="33" t="inlineStr">
        <is>
          <t>LCM</t>
        </is>
      </c>
      <c r="N242" s="33" t="n">
        <v>100</v>
      </c>
      <c r="O242" s="33" t="inlineStr">
        <is>
          <t>Free</t>
        </is>
      </c>
      <c r="P242" s="33" t="inlineStr">
        <is>
          <t>100 Free</t>
        </is>
      </c>
      <c r="Q242" s="33" t="inlineStr">
        <is>
          <t>LCM_100_FREE</t>
        </is>
      </c>
      <c r="R242" s="36" t="n">
        <v>49.89</v>
      </c>
      <c r="S242" s="35">
        <f>IF(R242="","",IF(R242&gt;=60,INT(R242/60)&amp;":"&amp;TEXT(MOD(R242,60),"00.00"),TEXT(R242,"0.00")))</f>
        <v/>
      </c>
      <c r="T242" s="52">
        <f>IFERROR((G242-INDEX('01_Swimmers'!$E$5:$E$22,MATCH(B242,'01_Swimmers'!$A$5:$A$22,0)))/'00_Control'!$B$10,"")</f>
        <v/>
      </c>
      <c r="U242" s="35">
        <f>IF(T242="","",INT(T242))</f>
        <v/>
      </c>
      <c r="V242" s="33" t="inlineStr">
        <is>
          <t>NO</t>
        </is>
      </c>
      <c r="W242" s="33" t="inlineStr">
        <is>
          <t>YES</t>
        </is>
      </c>
      <c r="X242" s="33" t="inlineStr">
        <is>
          <t>NO</t>
        </is>
      </c>
      <c r="Y242" s="33" t="n">
        <v>7</v>
      </c>
      <c r="Z242" s="33" t="n">
        <v>4</v>
      </c>
      <c r="AA242" s="33" t="inlineStr">
        <is>
          <t>11</t>
        </is>
      </c>
      <c r="AB242" s="33" t="inlineStr">
        <is>
          <t>https://www.swimcloud.com/results/164220/event/4/?id=35322293#time35322293</t>
        </is>
      </c>
      <c r="AC242" s="33" t="inlineStr">
        <is>
          <t>SwimCloud API v6 2026-10-08</t>
        </is>
      </c>
      <c r="AD242" s="33" t="inlineStr">
        <is>
          <t>Caeleb Dressel|2020-03-05|LCM|100|Free|49.89|2020 TYR Pro Swim Series - Des Moines|PRE|False</t>
        </is>
      </c>
      <c r="AE242" s="53">
        <f>G242+L242/1000+ROW()/1000000000</f>
        <v/>
      </c>
      <c r="AF242" s="35">
        <f>IF(C242&lt;&gt;"Grayson Coulter","",COUNTIFS($C$5:$C$2991,"Grayson Coulter",$Q$5:$Q$2991,Q242,$AE$5:$AE$2991,"&lt;="&amp;AE242,$R$5:$R$2991,"&lt;"&amp;R242))</f>
        <v/>
      </c>
      <c r="AG242" s="35">
        <f>IF(OR(C242&lt;&gt;"Grayson Coulter",G242&lt;'00_Control'!$B$7),"",--(AF242&lt;5))</f>
        <v/>
      </c>
      <c r="AH242" s="35">
        <f>IF(OR(C242&lt;&gt;"Grayson Coulter",G242&lt;'00_Control'!$B$7),"",--(AF242&lt;10))</f>
        <v/>
      </c>
      <c r="AI242" s="35">
        <f>IF(AND(C242="Grayson Coulter",G242&gt;='00_Control'!$B$7),"YES","NO")</f>
        <v/>
      </c>
      <c r="AJ242" s="33" t="inlineStr">
        <is>
          <t>OK</t>
        </is>
      </c>
    </row>
    <row r="243">
      <c r="A243" s="33" t="inlineStr">
        <is>
          <t>SM000239</t>
        </is>
      </c>
      <c r="B243" s="33" t="inlineStr">
        <is>
          <t>SW010</t>
        </is>
      </c>
      <c r="C243" s="33" t="inlineStr">
        <is>
          <t>Caeleb Dressel</t>
        </is>
      </c>
      <c r="D243" s="33" t="inlineStr">
        <is>
          <t>SwimCloud</t>
        </is>
      </c>
      <c r="E243" s="33" t="inlineStr">
        <is>
          <t>2361642</t>
        </is>
      </c>
      <c r="F243" s="33" t="inlineStr">
        <is>
          <t>35322294</t>
        </is>
      </c>
      <c r="G243" s="51" t="n">
        <v>43895</v>
      </c>
      <c r="H243" s="33" t="inlineStr">
        <is>
          <t>2020 TYR Pro Swim Series - Des Moines</t>
        </is>
      </c>
      <c r="I243" s="33" t="inlineStr">
        <is>
          <t>164220</t>
        </is>
      </c>
      <c r="J243" s="33" t="inlineStr"/>
      <c r="K243" s="33" t="inlineStr">
        <is>
          <t>FIN</t>
        </is>
      </c>
      <c r="L243" s="35">
        <f>IF(K243="FIN",3,IF(OR(K243="SEM",K243="SEMI"),2,IF(OR(K243="PRE",K243="HEAT"),1,IF(V243="YES",4,2))))</f>
        <v/>
      </c>
      <c r="M243" s="33" t="inlineStr">
        <is>
          <t>LCM</t>
        </is>
      </c>
      <c r="N243" s="33" t="n">
        <v>100</v>
      </c>
      <c r="O243" s="33" t="inlineStr">
        <is>
          <t>Free</t>
        </is>
      </c>
      <c r="P243" s="33" t="inlineStr">
        <is>
          <t>100 Free</t>
        </is>
      </c>
      <c r="Q243" s="33" t="inlineStr">
        <is>
          <t>LCM_100_FREE</t>
        </is>
      </c>
      <c r="R243" s="36" t="n">
        <v>48.68</v>
      </c>
      <c r="S243" s="35">
        <f>IF(R243="","",IF(R243&gt;=60,INT(R243/60)&amp;":"&amp;TEXT(MOD(R243,60),"00.00"),TEXT(R243,"0.00")))</f>
        <v/>
      </c>
      <c r="T243" s="52">
        <f>IFERROR((G243-INDEX('01_Swimmers'!$E$5:$E$22,MATCH(B243,'01_Swimmers'!$A$5:$A$22,0)))/'00_Control'!$B$10,"")</f>
        <v/>
      </c>
      <c r="U243" s="35">
        <f>IF(T243="","",INT(T243))</f>
        <v/>
      </c>
      <c r="V243" s="33" t="inlineStr">
        <is>
          <t>NO</t>
        </is>
      </c>
      <c r="W243" s="33" t="inlineStr">
        <is>
          <t>YES</t>
        </is>
      </c>
      <c r="X243" s="33" t="inlineStr">
        <is>
          <t>NO</t>
        </is>
      </c>
      <c r="Y243" s="33" t="n">
        <v>1</v>
      </c>
      <c r="Z243" s="33" t="n">
        <v>3</v>
      </c>
      <c r="AA243" s="33" t="inlineStr">
        <is>
          <t>10</t>
        </is>
      </c>
      <c r="AB243" s="33" t="inlineStr">
        <is>
          <t>https://www.swimcloud.com/results/164220/event/4/?id=35322294#time35322294</t>
        </is>
      </c>
      <c r="AC243" s="33" t="inlineStr">
        <is>
          <t>SwimCloud API v6 2026-10-08</t>
        </is>
      </c>
      <c r="AD243" s="33" t="inlineStr">
        <is>
          <t>Caeleb Dressel|2020-03-05|LCM|100|Free|48.68|2020 TYR Pro Swim Series - Des Moines|FIN|False</t>
        </is>
      </c>
      <c r="AE243" s="53">
        <f>G243+L243/1000+ROW()/1000000000</f>
        <v/>
      </c>
      <c r="AF243" s="35">
        <f>IF(C243&lt;&gt;"Grayson Coulter","",COUNTIFS($C$5:$C$2991,"Grayson Coulter",$Q$5:$Q$2991,Q243,$AE$5:$AE$2991,"&lt;="&amp;AE243,$R$5:$R$2991,"&lt;"&amp;R243))</f>
        <v/>
      </c>
      <c r="AG243" s="35">
        <f>IF(OR(C243&lt;&gt;"Grayson Coulter",G243&lt;'00_Control'!$B$7),"",--(AF243&lt;5))</f>
        <v/>
      </c>
      <c r="AH243" s="35">
        <f>IF(OR(C243&lt;&gt;"Grayson Coulter",G243&lt;'00_Control'!$B$7),"",--(AF243&lt;10))</f>
        <v/>
      </c>
      <c r="AI243" s="35">
        <f>IF(AND(C243="Grayson Coulter",G243&gt;='00_Control'!$B$7),"YES","NO")</f>
        <v/>
      </c>
      <c r="AJ243" s="33" t="inlineStr">
        <is>
          <t>OK</t>
        </is>
      </c>
    </row>
    <row r="244">
      <c r="A244" s="33" t="inlineStr">
        <is>
          <t>SM000240</t>
        </is>
      </c>
      <c r="B244" s="33" t="inlineStr">
        <is>
          <t>SW010</t>
        </is>
      </c>
      <c r="C244" s="33" t="inlineStr">
        <is>
          <t>Caeleb Dressel</t>
        </is>
      </c>
      <c r="D244" s="33" t="inlineStr">
        <is>
          <t>SwimCloud</t>
        </is>
      </c>
      <c r="E244" s="33" t="inlineStr">
        <is>
          <t>2361642</t>
        </is>
      </c>
      <c r="F244" s="33" t="inlineStr">
        <is>
          <t>35323271</t>
        </is>
      </c>
      <c r="G244" s="51" t="n">
        <v>43896</v>
      </c>
      <c r="H244" s="33" t="inlineStr">
        <is>
          <t>2020 TYR Pro Swim Series - Des Moines</t>
        </is>
      </c>
      <c r="I244" s="33" t="inlineStr">
        <is>
          <t>164220</t>
        </is>
      </c>
      <c r="J244" s="33" t="inlineStr"/>
      <c r="K244" s="33" t="inlineStr">
        <is>
          <t>PRE</t>
        </is>
      </c>
      <c r="L244" s="35">
        <f>IF(K244="FIN",3,IF(OR(K244="SEM",K244="SEMI"),2,IF(OR(K244="PRE",K244="HEAT"),1,IF(V244="YES",4,2))))</f>
        <v/>
      </c>
      <c r="M244" s="33" t="inlineStr">
        <is>
          <t>LCM</t>
        </is>
      </c>
      <c r="N244" s="33" t="n">
        <v>100</v>
      </c>
      <c r="O244" s="33" t="inlineStr">
        <is>
          <t>Fly</t>
        </is>
      </c>
      <c r="P244" s="33" t="inlineStr">
        <is>
          <t>100 Fly</t>
        </is>
      </c>
      <c r="Q244" s="33" t="inlineStr">
        <is>
          <t>LCM_100_FLY</t>
        </is>
      </c>
      <c r="R244" s="36" t="n">
        <v>52.4</v>
      </c>
      <c r="S244" s="35">
        <f>IF(R244="","",IF(R244&gt;=60,INT(R244/60)&amp;":"&amp;TEXT(MOD(R244,60),"00.00"),TEXT(R244,"0.00")))</f>
        <v/>
      </c>
      <c r="T244" s="52">
        <f>IFERROR((G244-INDEX('01_Swimmers'!$E$5:$E$22,MATCH(B244,'01_Swimmers'!$A$5:$A$22,0)))/'00_Control'!$B$10,"")</f>
        <v/>
      </c>
      <c r="U244" s="35">
        <f>IF(T244="","",INT(T244))</f>
        <v/>
      </c>
      <c r="V244" s="33" t="inlineStr">
        <is>
          <t>NO</t>
        </is>
      </c>
      <c r="W244" s="33" t="inlineStr">
        <is>
          <t>YES</t>
        </is>
      </c>
      <c r="X244" s="33" t="inlineStr">
        <is>
          <t>NO</t>
        </is>
      </c>
      <c r="Y244" s="33" t="n">
        <v>5</v>
      </c>
      <c r="Z244" s="33" t="n">
        <v>4</v>
      </c>
      <c r="AA244" s="33" t="inlineStr">
        <is>
          <t>3</t>
        </is>
      </c>
      <c r="AB244" s="33" t="inlineStr">
        <is>
          <t>https://www.swimcloud.com/results/164220/event/18/?id=35323271#time35323271</t>
        </is>
      </c>
      <c r="AC244" s="33" t="inlineStr">
        <is>
          <t>SwimCloud API v6 2026-10-08</t>
        </is>
      </c>
      <c r="AD244" s="33" t="inlineStr">
        <is>
          <t>Caeleb Dressel|2020-03-06|LCM|100|Fly|52.4|2020 TYR Pro Swim Series - Des Moines|PRE|False</t>
        </is>
      </c>
      <c r="AE244" s="53">
        <f>G244+L244/1000+ROW()/1000000000</f>
        <v/>
      </c>
      <c r="AF244" s="35">
        <f>IF(C244&lt;&gt;"Grayson Coulter","",COUNTIFS($C$5:$C$2991,"Grayson Coulter",$Q$5:$Q$2991,Q244,$AE$5:$AE$2991,"&lt;="&amp;AE244,$R$5:$R$2991,"&lt;"&amp;R244))</f>
        <v/>
      </c>
      <c r="AG244" s="35">
        <f>IF(OR(C244&lt;&gt;"Grayson Coulter",G244&lt;'00_Control'!$B$7),"",--(AF244&lt;5))</f>
        <v/>
      </c>
      <c r="AH244" s="35">
        <f>IF(OR(C244&lt;&gt;"Grayson Coulter",G244&lt;'00_Control'!$B$7),"",--(AF244&lt;10))</f>
        <v/>
      </c>
      <c r="AI244" s="35">
        <f>IF(AND(C244="Grayson Coulter",G244&gt;='00_Control'!$B$7),"YES","NO")</f>
        <v/>
      </c>
      <c r="AJ244" s="33" t="inlineStr">
        <is>
          <t>OK</t>
        </is>
      </c>
    </row>
    <row r="245">
      <c r="A245" s="33" t="inlineStr">
        <is>
          <t>SM000241</t>
        </is>
      </c>
      <c r="B245" s="33" t="inlineStr">
        <is>
          <t>SW010</t>
        </is>
      </c>
      <c r="C245" s="33" t="inlineStr">
        <is>
          <t>Caeleb Dressel</t>
        </is>
      </c>
      <c r="D245" s="33" t="inlineStr">
        <is>
          <t>SwimCloud</t>
        </is>
      </c>
      <c r="E245" s="33" t="inlineStr">
        <is>
          <t>2361642</t>
        </is>
      </c>
      <c r="F245" s="33" t="inlineStr">
        <is>
          <t>35323272</t>
        </is>
      </c>
      <c r="G245" s="51" t="n">
        <v>43896</v>
      </c>
      <c r="H245" s="33" t="inlineStr">
        <is>
          <t>2020 TYR Pro Swim Series - Des Moines</t>
        </is>
      </c>
      <c r="I245" s="33" t="inlineStr">
        <is>
          <t>164220</t>
        </is>
      </c>
      <c r="J245" s="33" t="inlineStr"/>
      <c r="K245" s="33" t="inlineStr">
        <is>
          <t>FIN</t>
        </is>
      </c>
      <c r="L245" s="35">
        <f>IF(K245="FIN",3,IF(OR(K245="SEM",K245="SEMI"),2,IF(OR(K245="PRE",K245="HEAT"),1,IF(V245="YES",4,2))))</f>
        <v/>
      </c>
      <c r="M245" s="33" t="inlineStr">
        <is>
          <t>LCM</t>
        </is>
      </c>
      <c r="N245" s="33" t="n">
        <v>100</v>
      </c>
      <c r="O245" s="33" t="inlineStr">
        <is>
          <t>Fly</t>
        </is>
      </c>
      <c r="P245" s="33" t="inlineStr">
        <is>
          <t>100 Fly</t>
        </is>
      </c>
      <c r="Q245" s="33" t="inlineStr">
        <is>
          <t>LCM_100_FLY</t>
        </is>
      </c>
      <c r="R245" s="36" t="n">
        <v>50.92</v>
      </c>
      <c r="S245" s="35">
        <f>IF(R245="","",IF(R245&gt;=60,INT(R245/60)&amp;":"&amp;TEXT(MOD(R245,60),"00.00"),TEXT(R245,"0.00")))</f>
        <v/>
      </c>
      <c r="T245" s="52">
        <f>IFERROR((G245-INDEX('01_Swimmers'!$E$5:$E$22,MATCH(B245,'01_Swimmers'!$A$5:$A$22,0)))/'00_Control'!$B$10,"")</f>
        <v/>
      </c>
      <c r="U245" s="35">
        <f>IF(T245="","",INT(T245))</f>
        <v/>
      </c>
      <c r="V245" s="33" t="inlineStr">
        <is>
          <t>NO</t>
        </is>
      </c>
      <c r="W245" s="33" t="inlineStr">
        <is>
          <t>YES</t>
        </is>
      </c>
      <c r="X245" s="33" t="inlineStr">
        <is>
          <t>NO</t>
        </is>
      </c>
      <c r="Y245" s="33" t="n">
        <v>2</v>
      </c>
      <c r="Z245" s="33" t="n">
        <v>3</v>
      </c>
      <c r="AA245" s="33" t="inlineStr">
        <is>
          <t>1</t>
        </is>
      </c>
      <c r="AB245" s="33" t="inlineStr">
        <is>
          <t>https://www.swimcloud.com/results/164220/event/18/?id=35323272#time35323272</t>
        </is>
      </c>
      <c r="AC245" s="33" t="inlineStr">
        <is>
          <t>SwimCloud API v6 2026-10-08</t>
        </is>
      </c>
      <c r="AD245" s="33" t="inlineStr">
        <is>
          <t>Caeleb Dressel|2020-03-06|LCM|100|Fly|50.92|2020 TYR Pro Swim Series - Des Moines|FIN|False</t>
        </is>
      </c>
      <c r="AE245" s="53">
        <f>G245+L245/1000+ROW()/1000000000</f>
        <v/>
      </c>
      <c r="AF245" s="35">
        <f>IF(C245&lt;&gt;"Grayson Coulter","",COUNTIFS($C$5:$C$2991,"Grayson Coulter",$Q$5:$Q$2991,Q245,$AE$5:$AE$2991,"&lt;="&amp;AE245,$R$5:$R$2991,"&lt;"&amp;R245))</f>
        <v/>
      </c>
      <c r="AG245" s="35">
        <f>IF(OR(C245&lt;&gt;"Grayson Coulter",G245&lt;'00_Control'!$B$7),"",--(AF245&lt;5))</f>
        <v/>
      </c>
      <c r="AH245" s="35">
        <f>IF(OR(C245&lt;&gt;"Grayson Coulter",G245&lt;'00_Control'!$B$7),"",--(AF245&lt;10))</f>
        <v/>
      </c>
      <c r="AI245" s="35">
        <f>IF(AND(C245="Grayson Coulter",G245&gt;='00_Control'!$B$7),"YES","NO")</f>
        <v/>
      </c>
      <c r="AJ245" s="33" t="inlineStr">
        <is>
          <t>OK</t>
        </is>
      </c>
    </row>
    <row r="246">
      <c r="A246" s="33" t="inlineStr">
        <is>
          <t>SM000242</t>
        </is>
      </c>
      <c r="B246" s="33" t="inlineStr">
        <is>
          <t>SW010</t>
        </is>
      </c>
      <c r="C246" s="33" t="inlineStr">
        <is>
          <t>Caeleb Dressel</t>
        </is>
      </c>
      <c r="D246" s="33" t="inlineStr">
        <is>
          <t>SwimCloud</t>
        </is>
      </c>
      <c r="E246" s="33" t="inlineStr">
        <is>
          <t>2361642</t>
        </is>
      </c>
      <c r="F246" s="33" t="inlineStr">
        <is>
          <t>35322377</t>
        </is>
      </c>
      <c r="G246" s="51" t="n">
        <v>43896</v>
      </c>
      <c r="H246" s="33" t="inlineStr">
        <is>
          <t>2020 TYR Pro Swim Series - Des Moines</t>
        </is>
      </c>
      <c r="I246" s="33" t="inlineStr">
        <is>
          <t>164220</t>
        </is>
      </c>
      <c r="J246" s="33" t="inlineStr"/>
      <c r="K246" s="33" t="inlineStr">
        <is>
          <t>PRE</t>
        </is>
      </c>
      <c r="L246" s="35">
        <f>IF(K246="FIN",3,IF(OR(K246="SEM",K246="SEMI"),2,IF(OR(K246="PRE",K246="HEAT"),1,IF(V246="YES",4,2))))</f>
        <v/>
      </c>
      <c r="M246" s="33" t="inlineStr">
        <is>
          <t>LCM</t>
        </is>
      </c>
      <c r="N246" s="33" t="n">
        <v>200</v>
      </c>
      <c r="O246" s="33" t="inlineStr">
        <is>
          <t>Free</t>
        </is>
      </c>
      <c r="P246" s="33" t="inlineStr">
        <is>
          <t>200 Free</t>
        </is>
      </c>
      <c r="Q246" s="33" t="inlineStr">
        <is>
          <t>LCM_200_FREE</t>
        </is>
      </c>
      <c r="R246" s="36" t="n">
        <v>108.83</v>
      </c>
      <c r="S246" s="35">
        <f>IF(R246="","",IF(R246&gt;=60,INT(R246/60)&amp;":"&amp;TEXT(MOD(R246,60),"00.00"),TEXT(R246,"0.00")))</f>
        <v/>
      </c>
      <c r="T246" s="52">
        <f>IFERROR((G246-INDEX('01_Swimmers'!$E$5:$E$22,MATCH(B246,'01_Swimmers'!$A$5:$A$22,0)))/'00_Control'!$B$10,"")</f>
        <v/>
      </c>
      <c r="U246" s="35">
        <f>IF(T246="","",INT(T246))</f>
        <v/>
      </c>
      <c r="V246" s="33" t="inlineStr">
        <is>
          <t>NO</t>
        </is>
      </c>
      <c r="W246" s="33" t="inlineStr">
        <is>
          <t>YES</t>
        </is>
      </c>
      <c r="X246" s="33" t="inlineStr">
        <is>
          <t>NO</t>
        </is>
      </c>
      <c r="Y246" s="33" t="n">
        <v>5</v>
      </c>
      <c r="Z246" s="33" t="n">
        <v>3</v>
      </c>
      <c r="AA246" s="33" t="inlineStr">
        <is>
          <t>2</t>
        </is>
      </c>
      <c r="AB246" s="33" t="inlineStr">
        <is>
          <t>https://www.swimcloud.com/results/164220/event/12/?id=35322377#time35322377</t>
        </is>
      </c>
      <c r="AC246" s="33" t="inlineStr">
        <is>
          <t>SwimCloud API v6 2026-10-08</t>
        </is>
      </c>
      <c r="AD246" s="33" t="inlineStr">
        <is>
          <t>Caeleb Dressel|2020-03-06|LCM|200|Free|108.83|2020 TYR Pro Swim Series - Des Moines|PRE|False</t>
        </is>
      </c>
      <c r="AE246" s="53">
        <f>G246+L246/1000+ROW()/1000000000</f>
        <v/>
      </c>
      <c r="AF246" s="35">
        <f>IF(C246&lt;&gt;"Grayson Coulter","",COUNTIFS($C$5:$C$2991,"Grayson Coulter",$Q$5:$Q$2991,Q246,$AE$5:$AE$2991,"&lt;="&amp;AE246,$R$5:$R$2991,"&lt;"&amp;R246))</f>
        <v/>
      </c>
      <c r="AG246" s="35">
        <f>IF(OR(C246&lt;&gt;"Grayson Coulter",G246&lt;'00_Control'!$B$7),"",--(AF246&lt;5))</f>
        <v/>
      </c>
      <c r="AH246" s="35">
        <f>IF(OR(C246&lt;&gt;"Grayson Coulter",G246&lt;'00_Control'!$B$7),"",--(AF246&lt;10))</f>
        <v/>
      </c>
      <c r="AI246" s="35">
        <f>IF(AND(C246="Grayson Coulter",G246&gt;='00_Control'!$B$7),"YES","NO")</f>
        <v/>
      </c>
      <c r="AJ246" s="33" t="inlineStr">
        <is>
          <t>OK</t>
        </is>
      </c>
    </row>
    <row r="247">
      <c r="A247" s="33" t="inlineStr">
        <is>
          <t>SM000243</t>
        </is>
      </c>
      <c r="B247" s="33" t="inlineStr">
        <is>
          <t>SW010</t>
        </is>
      </c>
      <c r="C247" s="33" t="inlineStr">
        <is>
          <t>Caeleb Dressel</t>
        </is>
      </c>
      <c r="D247" s="33" t="inlineStr">
        <is>
          <t>SwimCloud</t>
        </is>
      </c>
      <c r="E247" s="33" t="inlineStr">
        <is>
          <t>2361642</t>
        </is>
      </c>
      <c r="F247" s="33" t="inlineStr">
        <is>
          <t>35322378</t>
        </is>
      </c>
      <c r="G247" s="51" t="n">
        <v>43896</v>
      </c>
      <c r="H247" s="33" t="inlineStr">
        <is>
          <t>2020 TYR Pro Swim Series - Des Moines</t>
        </is>
      </c>
      <c r="I247" s="33" t="inlineStr">
        <is>
          <t>164220</t>
        </is>
      </c>
      <c r="J247" s="33" t="inlineStr"/>
      <c r="K247" s="33" t="inlineStr">
        <is>
          <t>FIN</t>
        </is>
      </c>
      <c r="L247" s="35">
        <f>IF(K247="FIN",3,IF(OR(K247="SEM",K247="SEMI"),2,IF(OR(K247="PRE",K247="HEAT"),1,IF(V247="YES",4,2))))</f>
        <v/>
      </c>
      <c r="M247" s="33" t="inlineStr">
        <is>
          <t>LCM</t>
        </is>
      </c>
      <c r="N247" s="33" t="n">
        <v>200</v>
      </c>
      <c r="O247" s="33" t="inlineStr">
        <is>
          <t>Free</t>
        </is>
      </c>
      <c r="P247" s="33" t="inlineStr">
        <is>
          <t>200 Free</t>
        </is>
      </c>
      <c r="Q247" s="33" t="inlineStr">
        <is>
          <t>LCM_200_FREE</t>
        </is>
      </c>
      <c r="R247" s="36" t="n">
        <v>107.55</v>
      </c>
      <c r="S247" s="35">
        <f>IF(R247="","",IF(R247&gt;=60,INT(R247/60)&amp;":"&amp;TEXT(MOD(R247,60),"00.00"),TEXT(R247,"0.00")))</f>
        <v/>
      </c>
      <c r="T247" s="52">
        <f>IFERROR((G247-INDEX('01_Swimmers'!$E$5:$E$22,MATCH(B247,'01_Swimmers'!$A$5:$A$22,0)))/'00_Control'!$B$10,"")</f>
        <v/>
      </c>
      <c r="U247" s="35">
        <f>IF(T247="","",INT(T247))</f>
        <v/>
      </c>
      <c r="V247" s="33" t="inlineStr">
        <is>
          <t>NO</t>
        </is>
      </c>
      <c r="W247" s="33" t="inlineStr">
        <is>
          <t>YES</t>
        </is>
      </c>
      <c r="X247" s="33" t="inlineStr">
        <is>
          <t>NO</t>
        </is>
      </c>
      <c r="Y247" s="33" t="n">
        <v>2</v>
      </c>
      <c r="Z247" s="33" t="n">
        <v>5</v>
      </c>
      <c r="AA247" s="33" t="inlineStr">
        <is>
          <t>3</t>
        </is>
      </c>
      <c r="AB247" s="33" t="inlineStr">
        <is>
          <t>https://www.swimcloud.com/results/164220/event/12/?id=35322378#time35322378</t>
        </is>
      </c>
      <c r="AC247" s="33" t="inlineStr">
        <is>
          <t>SwimCloud API v6 2026-10-08</t>
        </is>
      </c>
      <c r="AD247" s="33" t="inlineStr">
        <is>
          <t>Caeleb Dressel|2020-03-06|LCM|200|Free|107.55|2020 TYR Pro Swim Series - Des Moines|FIN|False</t>
        </is>
      </c>
      <c r="AE247" s="53">
        <f>G247+L247/1000+ROW()/1000000000</f>
        <v/>
      </c>
      <c r="AF247" s="35">
        <f>IF(C247&lt;&gt;"Grayson Coulter","",COUNTIFS($C$5:$C$2991,"Grayson Coulter",$Q$5:$Q$2991,Q247,$AE$5:$AE$2991,"&lt;="&amp;AE247,$R$5:$R$2991,"&lt;"&amp;R247))</f>
        <v/>
      </c>
      <c r="AG247" s="35">
        <f>IF(OR(C247&lt;&gt;"Grayson Coulter",G247&lt;'00_Control'!$B$7),"",--(AF247&lt;5))</f>
        <v/>
      </c>
      <c r="AH247" s="35">
        <f>IF(OR(C247&lt;&gt;"Grayson Coulter",G247&lt;'00_Control'!$B$7),"",--(AF247&lt;10))</f>
        <v/>
      </c>
      <c r="AI247" s="35">
        <f>IF(AND(C247="Grayson Coulter",G247&gt;='00_Control'!$B$7),"YES","NO")</f>
        <v/>
      </c>
      <c r="AJ247" s="33" t="inlineStr">
        <is>
          <t>OK</t>
        </is>
      </c>
    </row>
    <row r="248">
      <c r="A248" s="33" t="inlineStr">
        <is>
          <t>SM000244</t>
        </is>
      </c>
      <c r="B248" s="33" t="inlineStr">
        <is>
          <t>SW010</t>
        </is>
      </c>
      <c r="C248" s="33" t="inlineStr">
        <is>
          <t>Caeleb Dressel</t>
        </is>
      </c>
      <c r="D248" s="33" t="inlineStr">
        <is>
          <t>SwimCloud</t>
        </is>
      </c>
      <c r="E248" s="33" t="inlineStr">
        <is>
          <t>2361642</t>
        </is>
      </c>
      <c r="F248" s="33" t="inlineStr">
        <is>
          <t>36857858</t>
        </is>
      </c>
      <c r="G248" s="51" t="n">
        <v>44119</v>
      </c>
      <c r="H248" s="33" t="inlineStr">
        <is>
          <t>International Swim League - Match 1</t>
        </is>
      </c>
      <c r="I248" s="33" t="inlineStr">
        <is>
          <t>184412</t>
        </is>
      </c>
      <c r="J248" s="33" t="inlineStr"/>
      <c r="K248" s="33" t="inlineStr">
        <is>
          <t>TIM</t>
        </is>
      </c>
      <c r="L248" s="35">
        <f>IF(K248="FIN",3,IF(OR(K248="SEM",K248="SEMI"),2,IF(OR(K248="PRE",K248="HEAT"),1,IF(V248="YES",4,2))))</f>
        <v/>
      </c>
      <c r="M248" s="33" t="inlineStr">
        <is>
          <t>SCM</t>
        </is>
      </c>
      <c r="N248" s="33" t="n">
        <v>100</v>
      </c>
      <c r="O248" s="33" t="inlineStr">
        <is>
          <t>Free</t>
        </is>
      </c>
      <c r="P248" s="33" t="inlineStr">
        <is>
          <t>100 Free</t>
        </is>
      </c>
      <c r="Q248" s="33" t="inlineStr">
        <is>
          <t>SCM_100_FREE</t>
        </is>
      </c>
      <c r="R248" s="36" t="n">
        <v>45.87</v>
      </c>
      <c r="S248" s="35">
        <f>IF(R248="","",IF(R248&gt;=60,INT(R248/60)&amp;":"&amp;TEXT(MOD(R248,60),"00.00"),TEXT(R248,"0.00")))</f>
        <v/>
      </c>
      <c r="T248" s="52">
        <f>IFERROR((G248-INDEX('01_Swimmers'!$E$5:$E$22,MATCH(B248,'01_Swimmers'!$A$5:$A$22,0)))/'00_Control'!$B$10,"")</f>
        <v/>
      </c>
      <c r="U248" s="35">
        <f>IF(T248="","",INT(T248))</f>
        <v/>
      </c>
      <c r="V248" s="33" t="inlineStr">
        <is>
          <t>NO</t>
        </is>
      </c>
      <c r="W248" s="33" t="inlineStr">
        <is>
          <t>YES</t>
        </is>
      </c>
      <c r="X248" s="33" t="inlineStr">
        <is>
          <t>NO</t>
        </is>
      </c>
      <c r="Y248" s="33" t="n"/>
      <c r="Z248" s="33" t="n"/>
      <c r="AA248" s="33" t="inlineStr">
        <is>
          <t>1</t>
        </is>
      </c>
      <c r="AB248" s="33" t="inlineStr">
        <is>
          <t>https://www.swimcloud.com/results/184412/event/24/?id=36857858#time36857858</t>
        </is>
      </c>
      <c r="AC248" s="33" t="inlineStr">
        <is>
          <t>SwimCloud API v6 2026-10-08</t>
        </is>
      </c>
      <c r="AD248" s="33" t="inlineStr">
        <is>
          <t>Caeleb Dressel|2020-10-15|SCM|100|Free|45.87|International Swim League - Match 1|TIM|False</t>
        </is>
      </c>
      <c r="AE248" s="53">
        <f>G248+L248/1000+ROW()/1000000000</f>
        <v/>
      </c>
      <c r="AF248" s="35">
        <f>IF(C248&lt;&gt;"Grayson Coulter","",COUNTIFS($C$5:$C$2991,"Grayson Coulter",$Q$5:$Q$2991,Q248,$AE$5:$AE$2991,"&lt;="&amp;AE248,$R$5:$R$2991,"&lt;"&amp;R248))</f>
        <v/>
      </c>
      <c r="AG248" s="35">
        <f>IF(OR(C248&lt;&gt;"Grayson Coulter",G248&lt;'00_Control'!$B$7),"",--(AF248&lt;5))</f>
        <v/>
      </c>
      <c r="AH248" s="35">
        <f>IF(OR(C248&lt;&gt;"Grayson Coulter",G248&lt;'00_Control'!$B$7),"",--(AF248&lt;10))</f>
        <v/>
      </c>
      <c r="AI248" s="35">
        <f>IF(AND(C248="Grayson Coulter",G248&gt;='00_Control'!$B$7),"YES","NO")</f>
        <v/>
      </c>
      <c r="AJ248" s="33" t="inlineStr">
        <is>
          <t>OK</t>
        </is>
      </c>
    </row>
    <row r="249">
      <c r="A249" s="33" t="inlineStr">
        <is>
          <t>SM000245</t>
        </is>
      </c>
      <c r="B249" s="33" t="inlineStr">
        <is>
          <t>SW010</t>
        </is>
      </c>
      <c r="C249" s="33" t="inlineStr">
        <is>
          <t>Caeleb Dressel</t>
        </is>
      </c>
      <c r="D249" s="33" t="inlineStr">
        <is>
          <t>SwimCloud</t>
        </is>
      </c>
      <c r="E249" s="33" t="inlineStr">
        <is>
          <t>2361642</t>
        </is>
      </c>
      <c r="F249" s="33" t="inlineStr">
        <is>
          <t>36847320</t>
        </is>
      </c>
      <c r="G249" s="51" t="n">
        <v>44119</v>
      </c>
      <c r="H249" s="33" t="inlineStr">
        <is>
          <t>International Swim League - Match 1</t>
        </is>
      </c>
      <c r="I249" s="33" t="inlineStr">
        <is>
          <t>184412</t>
        </is>
      </c>
      <c r="J249" s="33" t="inlineStr"/>
      <c r="K249" s="33" t="inlineStr">
        <is>
          <t>TIM</t>
        </is>
      </c>
      <c r="L249" s="35">
        <f>IF(K249="FIN",3,IF(OR(K249="SEM",K249="SEMI"),2,IF(OR(K249="PRE",K249="HEAT"),1,IF(V249="YES",4,2))))</f>
        <v/>
      </c>
      <c r="M249" s="33" t="inlineStr">
        <is>
          <t>SCM</t>
        </is>
      </c>
      <c r="N249" s="33" t="n">
        <v>100</v>
      </c>
      <c r="O249" s="33" t="inlineStr">
        <is>
          <t>Free</t>
        </is>
      </c>
      <c r="P249" s="33" t="inlineStr">
        <is>
          <t>100 Free</t>
        </is>
      </c>
      <c r="Q249" s="33" t="inlineStr">
        <is>
          <t>SCM_100_FREE</t>
        </is>
      </c>
      <c r="R249" s="36" t="n">
        <v>46.8</v>
      </c>
      <c r="S249" s="35">
        <f>IF(R249="","",IF(R249&gt;=60,INT(R249/60)&amp;":"&amp;TEXT(MOD(R249,60),"00.00"),TEXT(R249,"0.00")))</f>
        <v/>
      </c>
      <c r="T249" s="52">
        <f>IFERROR((G249-INDEX('01_Swimmers'!$E$5:$E$22,MATCH(B249,'01_Swimmers'!$A$5:$A$22,0)))/'00_Control'!$B$10,"")</f>
        <v/>
      </c>
      <c r="U249" s="35">
        <f>IF(T249="","",INT(T249))</f>
        <v/>
      </c>
      <c r="V249" s="33" t="inlineStr">
        <is>
          <t>YES</t>
        </is>
      </c>
      <c r="W249" s="33" t="inlineStr">
        <is>
          <t>YES</t>
        </is>
      </c>
      <c r="X249" s="33" t="inlineStr">
        <is>
          <t>NO</t>
        </is>
      </c>
      <c r="Y249" s="33" t="n"/>
      <c r="Z249" s="33" t="n"/>
      <c r="AA249" s="33" t="inlineStr"/>
      <c r="AB249" s="33" t="inlineStr">
        <is>
          <t>https://www.swimcloud.com/results/184412/event/14/?id=36847319#time36847319</t>
        </is>
      </c>
      <c r="AC249" s="33" t="inlineStr">
        <is>
          <t>SwimCloud API v6 2026-10-08</t>
        </is>
      </c>
      <c r="AD249" s="33" t="inlineStr">
        <is>
          <t>Caeleb Dressel|2020-10-15|SCM|100|Free|46.8|International Swim League - Match 1|TIM|True</t>
        </is>
      </c>
      <c r="AE249" s="53">
        <f>G249+L249/1000+ROW()/1000000000</f>
        <v/>
      </c>
      <c r="AF249" s="35">
        <f>IF(C249&lt;&gt;"Grayson Coulter","",COUNTIFS($C$5:$C$2991,"Grayson Coulter",$Q$5:$Q$2991,Q249,$AE$5:$AE$2991,"&lt;="&amp;AE249,$R$5:$R$2991,"&lt;"&amp;R249))</f>
        <v/>
      </c>
      <c r="AG249" s="35">
        <f>IF(OR(C249&lt;&gt;"Grayson Coulter",G249&lt;'00_Control'!$B$7),"",--(AF249&lt;5))</f>
        <v/>
      </c>
      <c r="AH249" s="35">
        <f>IF(OR(C249&lt;&gt;"Grayson Coulter",G249&lt;'00_Control'!$B$7),"",--(AF249&lt;10))</f>
        <v/>
      </c>
      <c r="AI249" s="35">
        <f>IF(AND(C249="Grayson Coulter",G249&gt;='00_Control'!$B$7),"YES","NO")</f>
        <v/>
      </c>
      <c r="AJ249" s="33" t="inlineStr">
        <is>
          <t>OK</t>
        </is>
      </c>
    </row>
    <row r="250">
      <c r="A250" s="33" t="inlineStr">
        <is>
          <t>SM000246</t>
        </is>
      </c>
      <c r="B250" s="33" t="inlineStr">
        <is>
          <t>SW010</t>
        </is>
      </c>
      <c r="C250" s="33" t="inlineStr">
        <is>
          <t>Caeleb Dressel</t>
        </is>
      </c>
      <c r="D250" s="33" t="inlineStr">
        <is>
          <t>SwimCloud</t>
        </is>
      </c>
      <c r="E250" s="33" t="inlineStr">
        <is>
          <t>2361642</t>
        </is>
      </c>
      <c r="F250" s="33" t="inlineStr">
        <is>
          <t>36753050</t>
        </is>
      </c>
      <c r="G250" s="51" t="n">
        <v>44120</v>
      </c>
      <c r="H250" s="33" t="inlineStr">
        <is>
          <t>International Swim League - Match 1</t>
        </is>
      </c>
      <c r="I250" s="33" t="inlineStr">
        <is>
          <t>184412</t>
        </is>
      </c>
      <c r="J250" s="33" t="inlineStr"/>
      <c r="K250" s="33" t="inlineStr">
        <is>
          <t>TIM</t>
        </is>
      </c>
      <c r="L250" s="35">
        <f>IF(K250="FIN",3,IF(OR(K250="SEM",K250="SEMI"),2,IF(OR(K250="PRE",K250="HEAT"),1,IF(V250="YES",4,2))))</f>
        <v/>
      </c>
      <c r="M250" s="33" t="inlineStr">
        <is>
          <t>SCM</t>
        </is>
      </c>
      <c r="N250" s="33" t="n">
        <v>100</v>
      </c>
      <c r="O250" s="33" t="inlineStr">
        <is>
          <t>Fly</t>
        </is>
      </c>
      <c r="P250" s="33" t="inlineStr">
        <is>
          <t>100 Fly</t>
        </is>
      </c>
      <c r="Q250" s="33" t="inlineStr">
        <is>
          <t>SCM_100_FLY</t>
        </is>
      </c>
      <c r="R250" s="36" t="n">
        <v>49.62</v>
      </c>
      <c r="S250" s="35">
        <f>IF(R250="","",IF(R250&gt;=60,INT(R250/60)&amp;":"&amp;TEXT(MOD(R250,60),"00.00"),TEXT(R250,"0.00")))</f>
        <v/>
      </c>
      <c r="T250" s="52">
        <f>IFERROR((G250-INDEX('01_Swimmers'!$E$5:$E$22,MATCH(B250,'01_Swimmers'!$A$5:$A$22,0)))/'00_Control'!$B$10,"")</f>
        <v/>
      </c>
      <c r="U250" s="35">
        <f>IF(T250="","",INT(T250))</f>
        <v/>
      </c>
      <c r="V250" s="33" t="inlineStr">
        <is>
          <t>NO</t>
        </is>
      </c>
      <c r="W250" s="33" t="inlineStr">
        <is>
          <t>YES</t>
        </is>
      </c>
      <c r="X250" s="33" t="inlineStr">
        <is>
          <t>NO</t>
        </is>
      </c>
      <c r="Y250" s="33" t="n"/>
      <c r="Z250" s="33" t="n"/>
      <c r="AA250" s="33" t="inlineStr">
        <is>
          <t>2</t>
        </is>
      </c>
      <c r="AB250" s="33" t="inlineStr">
        <is>
          <t>https://www.swimcloud.com/results/184412/event/2/?id=36753050#time36753050</t>
        </is>
      </c>
      <c r="AC250" s="33" t="inlineStr">
        <is>
          <t>SwimCloud API v6 2026-10-08</t>
        </is>
      </c>
      <c r="AD250" s="33" t="inlineStr">
        <is>
          <t>Caeleb Dressel|2020-10-16|SCM|100|Fly|49.62|International Swim League - Match 1|TIM|False</t>
        </is>
      </c>
      <c r="AE250" s="53">
        <f>G250+L250/1000+ROW()/1000000000</f>
        <v/>
      </c>
      <c r="AF250" s="35">
        <f>IF(C250&lt;&gt;"Grayson Coulter","",COUNTIFS($C$5:$C$2991,"Grayson Coulter",$Q$5:$Q$2991,Q250,$AE$5:$AE$2991,"&lt;="&amp;AE250,$R$5:$R$2991,"&lt;"&amp;R250))</f>
        <v/>
      </c>
      <c r="AG250" s="35">
        <f>IF(OR(C250&lt;&gt;"Grayson Coulter",G250&lt;'00_Control'!$B$7),"",--(AF250&lt;5))</f>
        <v/>
      </c>
      <c r="AH250" s="35">
        <f>IF(OR(C250&lt;&gt;"Grayson Coulter",G250&lt;'00_Control'!$B$7),"",--(AF250&lt;10))</f>
        <v/>
      </c>
      <c r="AI250" s="35">
        <f>IF(AND(C250="Grayson Coulter",G250&gt;='00_Control'!$B$7),"YES","NO")</f>
        <v/>
      </c>
      <c r="AJ250" s="33" t="inlineStr">
        <is>
          <t>OK</t>
        </is>
      </c>
    </row>
    <row r="251">
      <c r="A251" s="33" t="inlineStr">
        <is>
          <t>SM000247</t>
        </is>
      </c>
      <c r="B251" s="33" t="inlineStr">
        <is>
          <t>SW010</t>
        </is>
      </c>
      <c r="C251" s="33" t="inlineStr">
        <is>
          <t>Caeleb Dressel</t>
        </is>
      </c>
      <c r="D251" s="33" t="inlineStr">
        <is>
          <t>SwimCloud</t>
        </is>
      </c>
      <c r="E251" s="33" t="inlineStr">
        <is>
          <t>2361642</t>
        </is>
      </c>
      <c r="F251" s="33" t="inlineStr">
        <is>
          <t>36964360</t>
        </is>
      </c>
      <c r="G251" s="51" t="n">
        <v>44129</v>
      </c>
      <c r="H251" s="33" t="inlineStr">
        <is>
          <t>International Swim League - Match 4</t>
        </is>
      </c>
      <c r="I251" s="33" t="inlineStr">
        <is>
          <t>185126</t>
        </is>
      </c>
      <c r="J251" s="33" t="inlineStr"/>
      <c r="K251" s="33" t="inlineStr">
        <is>
          <t>TIM</t>
        </is>
      </c>
      <c r="L251" s="35">
        <f>IF(K251="FIN",3,IF(OR(K251="SEM",K251="SEMI"),2,IF(OR(K251="PRE",K251="HEAT"),1,IF(V251="YES",4,2))))</f>
        <v/>
      </c>
      <c r="M251" s="33" t="inlineStr">
        <is>
          <t>SCM</t>
        </is>
      </c>
      <c r="N251" s="33" t="n">
        <v>100</v>
      </c>
      <c r="O251" s="33" t="inlineStr">
        <is>
          <t>Fly</t>
        </is>
      </c>
      <c r="P251" s="33" t="inlineStr">
        <is>
          <t>100 Fly</t>
        </is>
      </c>
      <c r="Q251" s="33" t="inlineStr">
        <is>
          <t>SCM_100_FLY</t>
        </is>
      </c>
      <c r="R251" s="36" t="n">
        <v>49.35</v>
      </c>
      <c r="S251" s="35">
        <f>IF(R251="","",IF(R251&gt;=60,INT(R251/60)&amp;":"&amp;TEXT(MOD(R251,60),"00.00"),TEXT(R251,"0.00")))</f>
        <v/>
      </c>
      <c r="T251" s="52">
        <f>IFERROR((G251-INDEX('01_Swimmers'!$E$5:$E$22,MATCH(B251,'01_Swimmers'!$A$5:$A$22,0)))/'00_Control'!$B$10,"")</f>
        <v/>
      </c>
      <c r="U251" s="35">
        <f>IF(T251="","",INT(T251))</f>
        <v/>
      </c>
      <c r="V251" s="33" t="inlineStr">
        <is>
          <t>NO</t>
        </is>
      </c>
      <c r="W251" s="33" t="inlineStr">
        <is>
          <t>YES</t>
        </is>
      </c>
      <c r="X251" s="33" t="inlineStr">
        <is>
          <t>NO</t>
        </is>
      </c>
      <c r="Y251" s="33" t="n"/>
      <c r="Z251" s="33" t="n"/>
      <c r="AA251" s="33" t="inlineStr">
        <is>
          <t>1</t>
        </is>
      </c>
      <c r="AB251" s="33" t="inlineStr">
        <is>
          <t>https://www.swimcloud.com/results/185126/event/2/?id=36964360#time36964360</t>
        </is>
      </c>
      <c r="AC251" s="33" t="inlineStr">
        <is>
          <t>SwimCloud API v6 2026-10-08</t>
        </is>
      </c>
      <c r="AD251" s="33" t="inlineStr">
        <is>
          <t>Caeleb Dressel|2020-10-25|SCM|100|Fly|49.35|International Swim League - Match 4|TIM|False</t>
        </is>
      </c>
      <c r="AE251" s="53">
        <f>G251+L251/1000+ROW()/1000000000</f>
        <v/>
      </c>
      <c r="AF251" s="35">
        <f>IF(C251&lt;&gt;"Grayson Coulter","",COUNTIFS($C$5:$C$2991,"Grayson Coulter",$Q$5:$Q$2991,Q251,$AE$5:$AE$2991,"&lt;="&amp;AE251,$R$5:$R$2991,"&lt;"&amp;R251))</f>
        <v/>
      </c>
      <c r="AG251" s="35">
        <f>IF(OR(C251&lt;&gt;"Grayson Coulter",G251&lt;'00_Control'!$B$7),"",--(AF251&lt;5))</f>
        <v/>
      </c>
      <c r="AH251" s="35">
        <f>IF(OR(C251&lt;&gt;"Grayson Coulter",G251&lt;'00_Control'!$B$7),"",--(AF251&lt;10))</f>
        <v/>
      </c>
      <c r="AI251" s="35">
        <f>IF(AND(C251="Grayson Coulter",G251&gt;='00_Control'!$B$7),"YES","NO")</f>
        <v/>
      </c>
      <c r="AJ251" s="33" t="inlineStr">
        <is>
          <t>OK</t>
        </is>
      </c>
    </row>
    <row r="252">
      <c r="A252" s="33" t="inlineStr">
        <is>
          <t>SM000248</t>
        </is>
      </c>
      <c r="B252" s="33" t="inlineStr">
        <is>
          <t>SW010</t>
        </is>
      </c>
      <c r="C252" s="33" t="inlineStr">
        <is>
          <t>Caeleb Dressel</t>
        </is>
      </c>
      <c r="D252" s="33" t="inlineStr">
        <is>
          <t>SwimCloud</t>
        </is>
      </c>
      <c r="E252" s="33" t="inlineStr">
        <is>
          <t>2361642</t>
        </is>
      </c>
      <c r="F252" s="33" t="inlineStr">
        <is>
          <t>37033147</t>
        </is>
      </c>
      <c r="G252" s="51" t="n">
        <v>44130</v>
      </c>
      <c r="H252" s="33" t="inlineStr">
        <is>
          <t>International Swim League - Match 4</t>
        </is>
      </c>
      <c r="I252" s="33" t="inlineStr">
        <is>
          <t>185126</t>
        </is>
      </c>
      <c r="J252" s="33" t="inlineStr"/>
      <c r="K252" s="33" t="inlineStr">
        <is>
          <t>TIM</t>
        </is>
      </c>
      <c r="L252" s="35">
        <f>IF(K252="FIN",3,IF(OR(K252="SEM",K252="SEMI"),2,IF(OR(K252="PRE",K252="HEAT"),1,IF(V252="YES",4,2))))</f>
        <v/>
      </c>
      <c r="M252" s="33" t="inlineStr">
        <is>
          <t>SCM</t>
        </is>
      </c>
      <c r="N252" s="33" t="n">
        <v>100</v>
      </c>
      <c r="O252" s="33" t="inlineStr">
        <is>
          <t>Free</t>
        </is>
      </c>
      <c r="P252" s="33" t="inlineStr">
        <is>
          <t>100 Free</t>
        </is>
      </c>
      <c r="Q252" s="33" t="inlineStr">
        <is>
          <t>SCM_100_FREE</t>
        </is>
      </c>
      <c r="R252" s="36" t="n">
        <v>46.42</v>
      </c>
      <c r="S252" s="35">
        <f>IF(R252="","",IF(R252&gt;=60,INT(R252/60)&amp;":"&amp;TEXT(MOD(R252,60),"00.00"),TEXT(R252,"0.00")))</f>
        <v/>
      </c>
      <c r="T252" s="52">
        <f>IFERROR((G252-INDEX('01_Swimmers'!$E$5:$E$22,MATCH(B252,'01_Swimmers'!$A$5:$A$22,0)))/'00_Control'!$B$10,"")</f>
        <v/>
      </c>
      <c r="U252" s="35">
        <f>IF(T252="","",INT(T252))</f>
        <v/>
      </c>
      <c r="V252" s="33" t="inlineStr">
        <is>
          <t>NO</t>
        </is>
      </c>
      <c r="W252" s="33" t="inlineStr">
        <is>
          <t>YES</t>
        </is>
      </c>
      <c r="X252" s="33" t="inlineStr">
        <is>
          <t>NO</t>
        </is>
      </c>
      <c r="Y252" s="33" t="n"/>
      <c r="Z252" s="33" t="n"/>
      <c r="AA252" s="33" t="inlineStr">
        <is>
          <t>2</t>
        </is>
      </c>
      <c r="AB252" s="33" t="inlineStr">
        <is>
          <t>https://www.swimcloud.com/results/185126/event/22/?id=37033147#time37033147</t>
        </is>
      </c>
      <c r="AC252" s="33" t="inlineStr">
        <is>
          <t>SwimCloud API v6 2026-10-08</t>
        </is>
      </c>
      <c r="AD252" s="33" t="inlineStr">
        <is>
          <t>Caeleb Dressel|2020-10-26|SCM|100|Free|46.42|International Swim League - Match 4|TIM|False</t>
        </is>
      </c>
      <c r="AE252" s="53">
        <f>G252+L252/1000+ROW()/1000000000</f>
        <v/>
      </c>
      <c r="AF252" s="35">
        <f>IF(C252&lt;&gt;"Grayson Coulter","",COUNTIFS($C$5:$C$2991,"Grayson Coulter",$Q$5:$Q$2991,Q252,$AE$5:$AE$2991,"&lt;="&amp;AE252,$R$5:$R$2991,"&lt;"&amp;R252))</f>
        <v/>
      </c>
      <c r="AG252" s="35">
        <f>IF(OR(C252&lt;&gt;"Grayson Coulter",G252&lt;'00_Control'!$B$7),"",--(AF252&lt;5))</f>
        <v/>
      </c>
      <c r="AH252" s="35">
        <f>IF(OR(C252&lt;&gt;"Grayson Coulter",G252&lt;'00_Control'!$B$7),"",--(AF252&lt;10))</f>
        <v/>
      </c>
      <c r="AI252" s="35">
        <f>IF(AND(C252="Grayson Coulter",G252&gt;='00_Control'!$B$7),"YES","NO")</f>
        <v/>
      </c>
      <c r="AJ252" s="33" t="inlineStr">
        <is>
          <t>OK</t>
        </is>
      </c>
    </row>
    <row r="253">
      <c r="A253" s="33" t="inlineStr">
        <is>
          <t>SM000249</t>
        </is>
      </c>
      <c r="B253" s="33" t="inlineStr">
        <is>
          <t>SW010</t>
        </is>
      </c>
      <c r="C253" s="33" t="inlineStr">
        <is>
          <t>Caeleb Dressel</t>
        </is>
      </c>
      <c r="D253" s="33" t="inlineStr">
        <is>
          <t>SwimCloud</t>
        </is>
      </c>
      <c r="E253" s="33" t="inlineStr">
        <is>
          <t>2361642</t>
        </is>
      </c>
      <c r="F253" s="33" t="inlineStr">
        <is>
          <t>65886210</t>
        </is>
      </c>
      <c r="G253" s="51" t="n">
        <v>44140</v>
      </c>
      <c r="H253" s="33" t="inlineStr">
        <is>
          <t>International Swim League - Match 8</t>
        </is>
      </c>
      <c r="I253" s="33" t="inlineStr">
        <is>
          <t>185450</t>
        </is>
      </c>
      <c r="J253" s="33" t="inlineStr"/>
      <c r="K253" s="33" t="inlineStr">
        <is>
          <t>FIN</t>
        </is>
      </c>
      <c r="L253" s="35">
        <f>IF(K253="FIN",3,IF(OR(K253="SEM",K253="SEMI"),2,IF(OR(K253="PRE",K253="HEAT"),1,IF(V253="YES",4,2))))</f>
        <v/>
      </c>
      <c r="M253" s="33" t="inlineStr">
        <is>
          <t>SCM</t>
        </is>
      </c>
      <c r="N253" s="33" t="n">
        <v>100</v>
      </c>
      <c r="O253" s="33" t="inlineStr">
        <is>
          <t>Fly</t>
        </is>
      </c>
      <c r="P253" s="33" t="inlineStr">
        <is>
          <t>100 Fly</t>
        </is>
      </c>
      <c r="Q253" s="33" t="inlineStr">
        <is>
          <t>SCM_100_FLY</t>
        </is>
      </c>
      <c r="R253" s="36" t="n">
        <v>49.33</v>
      </c>
      <c r="S253" s="35">
        <f>IF(R253="","",IF(R253&gt;=60,INT(R253/60)&amp;":"&amp;TEXT(MOD(R253,60),"00.00"),TEXT(R253,"0.00")))</f>
        <v/>
      </c>
      <c r="T253" s="52">
        <f>IFERROR((G253-INDEX('01_Swimmers'!$E$5:$E$22,MATCH(B253,'01_Swimmers'!$A$5:$A$22,0)))/'00_Control'!$B$10,"")</f>
        <v/>
      </c>
      <c r="U253" s="35">
        <f>IF(T253="","",INT(T253))</f>
        <v/>
      </c>
      <c r="V253" s="33" t="inlineStr">
        <is>
          <t>NO</t>
        </is>
      </c>
      <c r="W253" s="33" t="inlineStr">
        <is>
          <t>YES</t>
        </is>
      </c>
      <c r="X253" s="33" t="inlineStr">
        <is>
          <t>NO</t>
        </is>
      </c>
      <c r="Y253" s="33" t="n">
        <v>1</v>
      </c>
      <c r="Z253" s="33" t="n">
        <v>5</v>
      </c>
      <c r="AA253" s="33" t="inlineStr">
        <is>
          <t>1</t>
        </is>
      </c>
      <c r="AB253" s="33" t="inlineStr">
        <is>
          <t>https://www.swimcloud.com/results/185450/event/2/?id=65886210#time65886210</t>
        </is>
      </c>
      <c r="AC253" s="33" t="inlineStr">
        <is>
          <t>SwimCloud API v6 2026-10-08</t>
        </is>
      </c>
      <c r="AD253" s="33" t="inlineStr">
        <is>
          <t>Caeleb Dressel|2020-11-05|SCM|100|Fly|49.33|International Swim League - Match 8|FIN|False</t>
        </is>
      </c>
      <c r="AE253" s="53">
        <f>G253+L253/1000+ROW()/1000000000</f>
        <v/>
      </c>
      <c r="AF253" s="35">
        <f>IF(C253&lt;&gt;"Grayson Coulter","",COUNTIFS($C$5:$C$2991,"Grayson Coulter",$Q$5:$Q$2991,Q253,$AE$5:$AE$2991,"&lt;="&amp;AE253,$R$5:$R$2991,"&lt;"&amp;R253))</f>
        <v/>
      </c>
      <c r="AG253" s="35">
        <f>IF(OR(C253&lt;&gt;"Grayson Coulter",G253&lt;'00_Control'!$B$7),"",--(AF253&lt;5))</f>
        <v/>
      </c>
      <c r="AH253" s="35">
        <f>IF(OR(C253&lt;&gt;"Grayson Coulter",G253&lt;'00_Control'!$B$7),"",--(AF253&lt;10))</f>
        <v/>
      </c>
      <c r="AI253" s="35">
        <f>IF(AND(C253="Grayson Coulter",G253&gt;='00_Control'!$B$7),"YES","NO")</f>
        <v/>
      </c>
      <c r="AJ253" s="33" t="inlineStr">
        <is>
          <t>OK</t>
        </is>
      </c>
    </row>
    <row r="254">
      <c r="A254" s="33" t="inlineStr">
        <is>
          <t>SM000250</t>
        </is>
      </c>
      <c r="B254" s="33" t="inlineStr">
        <is>
          <t>SW010</t>
        </is>
      </c>
      <c r="C254" s="33" t="inlineStr">
        <is>
          <t>Caeleb Dressel</t>
        </is>
      </c>
      <c r="D254" s="33" t="inlineStr">
        <is>
          <t>SwimCloud</t>
        </is>
      </c>
      <c r="E254" s="33" t="inlineStr">
        <is>
          <t>2361642</t>
        </is>
      </c>
      <c r="F254" s="33" t="inlineStr">
        <is>
          <t>65886211</t>
        </is>
      </c>
      <c r="G254" s="51" t="n">
        <v>44141</v>
      </c>
      <c r="H254" s="33" t="inlineStr">
        <is>
          <t>International Swim League - Match 8</t>
        </is>
      </c>
      <c r="I254" s="33" t="inlineStr">
        <is>
          <t>185450</t>
        </is>
      </c>
      <c r="J254" s="33" t="inlineStr"/>
      <c r="K254" s="33" t="inlineStr">
        <is>
          <t>FIN</t>
        </is>
      </c>
      <c r="L254" s="35">
        <f>IF(K254="FIN",3,IF(OR(K254="SEM",K254="SEMI"),2,IF(OR(K254="PRE",K254="HEAT"),1,IF(V254="YES",4,2))))</f>
        <v/>
      </c>
      <c r="M254" s="33" t="inlineStr">
        <is>
          <t>SCM</t>
        </is>
      </c>
      <c r="N254" s="33" t="n">
        <v>100</v>
      </c>
      <c r="O254" s="33" t="inlineStr">
        <is>
          <t>Free</t>
        </is>
      </c>
      <c r="P254" s="33" t="inlineStr">
        <is>
          <t>100 Free</t>
        </is>
      </c>
      <c r="Q254" s="33" t="inlineStr">
        <is>
          <t>SCM_100_FREE</t>
        </is>
      </c>
      <c r="R254" s="36" t="n">
        <v>46.12</v>
      </c>
      <c r="S254" s="35">
        <f>IF(R254="","",IF(R254&gt;=60,INT(R254/60)&amp;":"&amp;TEXT(MOD(R254,60),"00.00"),TEXT(R254,"0.00")))</f>
        <v/>
      </c>
      <c r="T254" s="52">
        <f>IFERROR((G254-INDEX('01_Swimmers'!$E$5:$E$22,MATCH(B254,'01_Swimmers'!$A$5:$A$22,0)))/'00_Control'!$B$10,"")</f>
        <v/>
      </c>
      <c r="U254" s="35">
        <f>IF(T254="","",INT(T254))</f>
        <v/>
      </c>
      <c r="V254" s="33" t="inlineStr">
        <is>
          <t>NO</t>
        </is>
      </c>
      <c r="W254" s="33" t="inlineStr">
        <is>
          <t>YES</t>
        </is>
      </c>
      <c r="X254" s="33" t="inlineStr">
        <is>
          <t>NO</t>
        </is>
      </c>
      <c r="Y254" s="33" t="n">
        <v>1</v>
      </c>
      <c r="Z254" s="33" t="n">
        <v>3</v>
      </c>
      <c r="AA254" s="33" t="inlineStr">
        <is>
          <t>1</t>
        </is>
      </c>
      <c r="AB254" s="33" t="inlineStr">
        <is>
          <t>https://www.swimcloud.com/results/185450/event/22/?id=65886211#time65886211</t>
        </is>
      </c>
      <c r="AC254" s="33" t="inlineStr">
        <is>
          <t>SwimCloud API v6 2026-10-08</t>
        </is>
      </c>
      <c r="AD254" s="33" t="inlineStr">
        <is>
          <t>Caeleb Dressel|2020-11-06|SCM|100|Free|46.12|International Swim League - Match 8|FIN|False</t>
        </is>
      </c>
      <c r="AE254" s="53">
        <f>G254+L254/1000+ROW()/1000000000</f>
        <v/>
      </c>
      <c r="AF254" s="35">
        <f>IF(C254&lt;&gt;"Grayson Coulter","",COUNTIFS($C$5:$C$2991,"Grayson Coulter",$Q$5:$Q$2991,Q254,$AE$5:$AE$2991,"&lt;="&amp;AE254,$R$5:$R$2991,"&lt;"&amp;R254))</f>
        <v/>
      </c>
      <c r="AG254" s="35">
        <f>IF(OR(C254&lt;&gt;"Grayson Coulter",G254&lt;'00_Control'!$B$7),"",--(AF254&lt;5))</f>
        <v/>
      </c>
      <c r="AH254" s="35">
        <f>IF(OR(C254&lt;&gt;"Grayson Coulter",G254&lt;'00_Control'!$B$7),"",--(AF254&lt;10))</f>
        <v/>
      </c>
      <c r="AI254" s="35">
        <f>IF(AND(C254="Grayson Coulter",G254&gt;='00_Control'!$B$7),"YES","NO")</f>
        <v/>
      </c>
      <c r="AJ254" s="33" t="inlineStr">
        <is>
          <t>OK</t>
        </is>
      </c>
    </row>
    <row r="255">
      <c r="A255" s="33" t="inlineStr">
        <is>
          <t>SM000251</t>
        </is>
      </c>
      <c r="B255" s="33" t="inlineStr">
        <is>
          <t>SW010</t>
        </is>
      </c>
      <c r="C255" s="33" t="inlineStr">
        <is>
          <t>Caeleb Dressel</t>
        </is>
      </c>
      <c r="D255" s="33" t="inlineStr">
        <is>
          <t>SwimCloud</t>
        </is>
      </c>
      <c r="E255" s="33" t="inlineStr">
        <is>
          <t>2361642</t>
        </is>
      </c>
      <c r="F255" s="33" t="inlineStr">
        <is>
          <t>65686056</t>
        </is>
      </c>
      <c r="G255" s="51" t="n">
        <v>44144</v>
      </c>
      <c r="H255" s="33" t="inlineStr">
        <is>
          <t>International Swim League - Match 10</t>
        </is>
      </c>
      <c r="I255" s="33" t="inlineStr">
        <is>
          <t>185453</t>
        </is>
      </c>
      <c r="J255" s="33" t="inlineStr"/>
      <c r="K255" s="33" t="inlineStr">
        <is>
          <t>FIN</t>
        </is>
      </c>
      <c r="L255" s="35">
        <f>IF(K255="FIN",3,IF(OR(K255="SEM",K255="SEMI"),2,IF(OR(K255="PRE",K255="HEAT"),1,IF(V255="YES",4,2))))</f>
        <v/>
      </c>
      <c r="M255" s="33" t="inlineStr">
        <is>
          <t>SCM</t>
        </is>
      </c>
      <c r="N255" s="33" t="n">
        <v>100</v>
      </c>
      <c r="O255" s="33" t="inlineStr">
        <is>
          <t>Fly</t>
        </is>
      </c>
      <c r="P255" s="33" t="inlineStr">
        <is>
          <t>100 Fly</t>
        </is>
      </c>
      <c r="Q255" s="33" t="inlineStr">
        <is>
          <t>SCM_100_FLY</t>
        </is>
      </c>
      <c r="R255" s="36" t="n">
        <v>49.02</v>
      </c>
      <c r="S255" s="35">
        <f>IF(R255="","",IF(R255&gt;=60,INT(R255/60)&amp;":"&amp;TEXT(MOD(R255,60),"00.00"),TEXT(R255,"0.00")))</f>
        <v/>
      </c>
      <c r="T255" s="52">
        <f>IFERROR((G255-INDEX('01_Swimmers'!$E$5:$E$22,MATCH(B255,'01_Swimmers'!$A$5:$A$22,0)))/'00_Control'!$B$10,"")</f>
        <v/>
      </c>
      <c r="U255" s="35">
        <f>IF(T255="","",INT(T255))</f>
        <v/>
      </c>
      <c r="V255" s="33" t="inlineStr">
        <is>
          <t>NO</t>
        </is>
      </c>
      <c r="W255" s="33" t="inlineStr">
        <is>
          <t>YES</t>
        </is>
      </c>
      <c r="X255" s="33" t="inlineStr">
        <is>
          <t>NO</t>
        </is>
      </c>
      <c r="Y255" s="33" t="n">
        <v>1</v>
      </c>
      <c r="Z255" s="33" t="n">
        <v>5</v>
      </c>
      <c r="AA255" s="33" t="inlineStr">
        <is>
          <t>1</t>
        </is>
      </c>
      <c r="AB255" s="33" t="inlineStr">
        <is>
          <t>https://www.swimcloud.com/results/185453/event/2/?id=65686056#time65686056</t>
        </is>
      </c>
      <c r="AC255" s="33" t="inlineStr">
        <is>
          <t>SwimCloud API v6 2026-10-08</t>
        </is>
      </c>
      <c r="AD255" s="33" t="inlineStr">
        <is>
          <t>Caeleb Dressel|2020-11-09|SCM|100|Fly|49.02|International Swim League - Match 10|FIN|False</t>
        </is>
      </c>
      <c r="AE255" s="53">
        <f>G255+L255/1000+ROW()/1000000000</f>
        <v/>
      </c>
      <c r="AF255" s="35">
        <f>IF(C255&lt;&gt;"Grayson Coulter","",COUNTIFS($C$5:$C$2991,"Grayson Coulter",$Q$5:$Q$2991,Q255,$AE$5:$AE$2991,"&lt;="&amp;AE255,$R$5:$R$2991,"&lt;"&amp;R255))</f>
        <v/>
      </c>
      <c r="AG255" s="35">
        <f>IF(OR(C255&lt;&gt;"Grayson Coulter",G255&lt;'00_Control'!$B$7),"",--(AF255&lt;5))</f>
        <v/>
      </c>
      <c r="AH255" s="35">
        <f>IF(OR(C255&lt;&gt;"Grayson Coulter",G255&lt;'00_Control'!$B$7),"",--(AF255&lt;10))</f>
        <v/>
      </c>
      <c r="AI255" s="35">
        <f>IF(AND(C255="Grayson Coulter",G255&gt;='00_Control'!$B$7),"YES","NO")</f>
        <v/>
      </c>
      <c r="AJ255" s="33" t="inlineStr">
        <is>
          <t>OK</t>
        </is>
      </c>
    </row>
    <row r="256">
      <c r="A256" s="33" t="inlineStr">
        <is>
          <t>SM000252</t>
        </is>
      </c>
      <c r="B256" s="33" t="inlineStr">
        <is>
          <t>SW010</t>
        </is>
      </c>
      <c r="C256" s="33" t="inlineStr">
        <is>
          <t>Caeleb Dressel</t>
        </is>
      </c>
      <c r="D256" s="33" t="inlineStr">
        <is>
          <t>SwimCloud</t>
        </is>
      </c>
      <c r="E256" s="33" t="inlineStr">
        <is>
          <t>2361642</t>
        </is>
      </c>
      <c r="F256" s="33" t="inlineStr">
        <is>
          <t>65686057</t>
        </is>
      </c>
      <c r="G256" s="51" t="n">
        <v>44145</v>
      </c>
      <c r="H256" s="33" t="inlineStr">
        <is>
          <t>International Swim League - Match 10</t>
        </is>
      </c>
      <c r="I256" s="33" t="inlineStr">
        <is>
          <t>185453</t>
        </is>
      </c>
      <c r="J256" s="33" t="inlineStr"/>
      <c r="K256" s="33" t="inlineStr">
        <is>
          <t>FIN</t>
        </is>
      </c>
      <c r="L256" s="35">
        <f>IF(K256="FIN",3,IF(OR(K256="SEM",K256="SEMI"),2,IF(OR(K256="PRE",K256="HEAT"),1,IF(V256="YES",4,2))))</f>
        <v/>
      </c>
      <c r="M256" s="33" t="inlineStr">
        <is>
          <t>SCM</t>
        </is>
      </c>
      <c r="N256" s="33" t="n">
        <v>100</v>
      </c>
      <c r="O256" s="33" t="inlineStr">
        <is>
          <t>Free</t>
        </is>
      </c>
      <c r="P256" s="33" t="inlineStr">
        <is>
          <t>100 Free</t>
        </is>
      </c>
      <c r="Q256" s="33" t="inlineStr">
        <is>
          <t>SCM_100_FREE</t>
        </is>
      </c>
      <c r="R256" s="36" t="n">
        <v>45.56</v>
      </c>
      <c r="S256" s="35">
        <f>IF(R256="","",IF(R256&gt;=60,INT(R256/60)&amp;":"&amp;TEXT(MOD(R256,60),"00.00"),TEXT(R256,"0.00")))</f>
        <v/>
      </c>
      <c r="T256" s="52">
        <f>IFERROR((G256-INDEX('01_Swimmers'!$E$5:$E$22,MATCH(B256,'01_Swimmers'!$A$5:$A$22,0)))/'00_Control'!$B$10,"")</f>
        <v/>
      </c>
      <c r="U256" s="35">
        <f>IF(T256="","",INT(T256))</f>
        <v/>
      </c>
      <c r="V256" s="33" t="inlineStr">
        <is>
          <t>NO</t>
        </is>
      </c>
      <c r="W256" s="33" t="inlineStr">
        <is>
          <t>YES</t>
        </is>
      </c>
      <c r="X256" s="33" t="inlineStr">
        <is>
          <t>NO</t>
        </is>
      </c>
      <c r="Y256" s="33" t="n">
        <v>1</v>
      </c>
      <c r="Z256" s="33" t="n">
        <v>3</v>
      </c>
      <c r="AA256" s="33" t="inlineStr">
        <is>
          <t>1</t>
        </is>
      </c>
      <c r="AB256" s="33" t="inlineStr">
        <is>
          <t>https://www.swimcloud.com/results/185453/event/22/?id=65686057#time65686057</t>
        </is>
      </c>
      <c r="AC256" s="33" t="inlineStr">
        <is>
          <t>SwimCloud API v6 2026-10-08</t>
        </is>
      </c>
      <c r="AD256" s="33" t="inlineStr">
        <is>
          <t>Caeleb Dressel|2020-11-10|SCM|100|Free|45.56|International Swim League - Match 10|FIN|False</t>
        </is>
      </c>
      <c r="AE256" s="53">
        <f>G256+L256/1000+ROW()/1000000000</f>
        <v/>
      </c>
      <c r="AF256" s="35">
        <f>IF(C256&lt;&gt;"Grayson Coulter","",COUNTIFS($C$5:$C$2991,"Grayson Coulter",$Q$5:$Q$2991,Q256,$AE$5:$AE$2991,"&lt;="&amp;AE256,$R$5:$R$2991,"&lt;"&amp;R256))</f>
        <v/>
      </c>
      <c r="AG256" s="35">
        <f>IF(OR(C256&lt;&gt;"Grayson Coulter",G256&lt;'00_Control'!$B$7),"",--(AF256&lt;5))</f>
        <v/>
      </c>
      <c r="AH256" s="35">
        <f>IF(OR(C256&lt;&gt;"Grayson Coulter",G256&lt;'00_Control'!$B$7),"",--(AF256&lt;10))</f>
        <v/>
      </c>
      <c r="AI256" s="35">
        <f>IF(AND(C256="Grayson Coulter",G256&gt;='00_Control'!$B$7),"YES","NO")</f>
        <v/>
      </c>
      <c r="AJ256" s="33" t="inlineStr">
        <is>
          <t>OK</t>
        </is>
      </c>
    </row>
    <row r="257">
      <c r="A257" s="33" t="inlineStr">
        <is>
          <t>SM000253</t>
        </is>
      </c>
      <c r="B257" s="33" t="inlineStr">
        <is>
          <t>SW010</t>
        </is>
      </c>
      <c r="C257" s="33" t="inlineStr">
        <is>
          <t>Caeleb Dressel</t>
        </is>
      </c>
      <c r="D257" s="33" t="inlineStr">
        <is>
          <t>SwimCloud</t>
        </is>
      </c>
      <c r="E257" s="33" t="inlineStr">
        <is>
          <t>2361642</t>
        </is>
      </c>
      <c r="F257" s="33" t="inlineStr">
        <is>
          <t>65683656</t>
        </is>
      </c>
      <c r="G257" s="51" t="n">
        <v>44150</v>
      </c>
      <c r="H257" s="33" t="inlineStr">
        <is>
          <t>International Swim League - Semi-Final</t>
        </is>
      </c>
      <c r="I257" s="33" t="inlineStr">
        <is>
          <t>185455</t>
        </is>
      </c>
      <c r="J257" s="33" t="inlineStr"/>
      <c r="K257" s="33" t="inlineStr">
        <is>
          <t>FIN</t>
        </is>
      </c>
      <c r="L257" s="35">
        <f>IF(K257="FIN",3,IF(OR(K257="SEM",K257="SEMI"),2,IF(OR(K257="PRE",K257="HEAT"),1,IF(V257="YES",4,2))))</f>
        <v/>
      </c>
      <c r="M257" s="33" t="inlineStr">
        <is>
          <t>SCM</t>
        </is>
      </c>
      <c r="N257" s="33" t="n">
        <v>100</v>
      </c>
      <c r="O257" s="33" t="inlineStr">
        <is>
          <t>Fly</t>
        </is>
      </c>
      <c r="P257" s="33" t="inlineStr">
        <is>
          <t>100 Fly</t>
        </is>
      </c>
      <c r="Q257" s="33" t="inlineStr">
        <is>
          <t>SCM_100_FLY</t>
        </is>
      </c>
      <c r="R257" s="36" t="n">
        <v>48.92</v>
      </c>
      <c r="S257" s="35">
        <f>IF(R257="","",IF(R257&gt;=60,INT(R257/60)&amp;":"&amp;TEXT(MOD(R257,60),"00.00"),TEXT(R257,"0.00")))</f>
        <v/>
      </c>
      <c r="T257" s="52">
        <f>IFERROR((G257-INDEX('01_Swimmers'!$E$5:$E$22,MATCH(B257,'01_Swimmers'!$A$5:$A$22,0)))/'00_Control'!$B$10,"")</f>
        <v/>
      </c>
      <c r="U257" s="35">
        <f>IF(T257="","",INT(T257))</f>
        <v/>
      </c>
      <c r="V257" s="33" t="inlineStr">
        <is>
          <t>NO</t>
        </is>
      </c>
      <c r="W257" s="33" t="inlineStr">
        <is>
          <t>YES</t>
        </is>
      </c>
      <c r="X257" s="33" t="inlineStr">
        <is>
          <t>NO</t>
        </is>
      </c>
      <c r="Y257" s="33" t="n">
        <v>1</v>
      </c>
      <c r="Z257" s="33" t="n">
        <v>3</v>
      </c>
      <c r="AA257" s="33" t="inlineStr">
        <is>
          <t>1</t>
        </is>
      </c>
      <c r="AB257" s="33" t="inlineStr">
        <is>
          <t>https://www.swimcloud.com/results/185455/event/2/?id=65683656#time65683656</t>
        </is>
      </c>
      <c r="AC257" s="33" t="inlineStr">
        <is>
          <t>SwimCloud API v6 2026-10-08</t>
        </is>
      </c>
      <c r="AD257" s="33" t="inlineStr">
        <is>
          <t>Caeleb Dressel|2020-11-15|SCM|100|Fly|48.92|International Swim League - Semi-Final|FIN|False</t>
        </is>
      </c>
      <c r="AE257" s="53">
        <f>G257+L257/1000+ROW()/1000000000</f>
        <v/>
      </c>
      <c r="AF257" s="35">
        <f>IF(C257&lt;&gt;"Grayson Coulter","",COUNTIFS($C$5:$C$2991,"Grayson Coulter",$Q$5:$Q$2991,Q257,$AE$5:$AE$2991,"&lt;="&amp;AE257,$R$5:$R$2991,"&lt;"&amp;R257))</f>
        <v/>
      </c>
      <c r="AG257" s="35">
        <f>IF(OR(C257&lt;&gt;"Grayson Coulter",G257&lt;'00_Control'!$B$7),"",--(AF257&lt;5))</f>
        <v/>
      </c>
      <c r="AH257" s="35">
        <f>IF(OR(C257&lt;&gt;"Grayson Coulter",G257&lt;'00_Control'!$B$7),"",--(AF257&lt;10))</f>
        <v/>
      </c>
      <c r="AI257" s="35">
        <f>IF(AND(C257="Grayson Coulter",G257&gt;='00_Control'!$B$7),"YES","NO")</f>
        <v/>
      </c>
      <c r="AJ257" s="33" t="inlineStr">
        <is>
          <t>OK</t>
        </is>
      </c>
    </row>
    <row r="258">
      <c r="A258" s="33" t="inlineStr">
        <is>
          <t>SM000254</t>
        </is>
      </c>
      <c r="B258" s="33" t="inlineStr">
        <is>
          <t>SW010</t>
        </is>
      </c>
      <c r="C258" s="33" t="inlineStr">
        <is>
          <t>Caeleb Dressel</t>
        </is>
      </c>
      <c r="D258" s="33" t="inlineStr">
        <is>
          <t>SwimCloud</t>
        </is>
      </c>
      <c r="E258" s="33" t="inlineStr">
        <is>
          <t>2361642</t>
        </is>
      </c>
      <c r="F258" s="33" t="inlineStr">
        <is>
          <t>65683657</t>
        </is>
      </c>
      <c r="G258" s="51" t="n">
        <v>44151</v>
      </c>
      <c r="H258" s="33" t="inlineStr">
        <is>
          <t>International Swim League - Semi-Final</t>
        </is>
      </c>
      <c r="I258" s="33" t="inlineStr">
        <is>
          <t>185455</t>
        </is>
      </c>
      <c r="J258" s="33" t="inlineStr"/>
      <c r="K258" s="33" t="inlineStr">
        <is>
          <t>FIN</t>
        </is>
      </c>
      <c r="L258" s="35">
        <f>IF(K258="FIN",3,IF(OR(K258="SEM",K258="SEMI"),2,IF(OR(K258="PRE",K258="HEAT"),1,IF(V258="YES",4,2))))</f>
        <v/>
      </c>
      <c r="M258" s="33" t="inlineStr">
        <is>
          <t>SCM</t>
        </is>
      </c>
      <c r="N258" s="33" t="n">
        <v>100</v>
      </c>
      <c r="O258" s="33" t="inlineStr">
        <is>
          <t>Free</t>
        </is>
      </c>
      <c r="P258" s="33" t="inlineStr">
        <is>
          <t>100 Free</t>
        </is>
      </c>
      <c r="Q258" s="33" t="inlineStr">
        <is>
          <t>SCM_100_FREE</t>
        </is>
      </c>
      <c r="R258" s="36" t="n">
        <v>45.2</v>
      </c>
      <c r="S258" s="35">
        <f>IF(R258="","",IF(R258&gt;=60,INT(R258/60)&amp;":"&amp;TEXT(MOD(R258,60),"00.00"),TEXT(R258,"0.00")))</f>
        <v/>
      </c>
      <c r="T258" s="52">
        <f>IFERROR((G258-INDEX('01_Swimmers'!$E$5:$E$22,MATCH(B258,'01_Swimmers'!$A$5:$A$22,0)))/'00_Control'!$B$10,"")</f>
        <v/>
      </c>
      <c r="U258" s="35">
        <f>IF(T258="","",INT(T258))</f>
        <v/>
      </c>
      <c r="V258" s="33" t="inlineStr">
        <is>
          <t>NO</t>
        </is>
      </c>
      <c r="W258" s="33" t="inlineStr">
        <is>
          <t>YES</t>
        </is>
      </c>
      <c r="X258" s="33" t="inlineStr">
        <is>
          <t>NO</t>
        </is>
      </c>
      <c r="Y258" s="33" t="n">
        <v>1</v>
      </c>
      <c r="Z258" s="33" t="n">
        <v>3</v>
      </c>
      <c r="AA258" s="33" t="inlineStr">
        <is>
          <t>1</t>
        </is>
      </c>
      <c r="AB258" s="33" t="inlineStr">
        <is>
          <t>https://www.swimcloud.com/results/185455/event/22/?id=65683657#time65683657</t>
        </is>
      </c>
      <c r="AC258" s="33" t="inlineStr">
        <is>
          <t>SwimCloud API v6 2026-10-08</t>
        </is>
      </c>
      <c r="AD258" s="33" t="inlineStr">
        <is>
          <t>Caeleb Dressel|2020-11-16|SCM|100|Free|45.2|International Swim League - Semi-Final|FIN|False</t>
        </is>
      </c>
      <c r="AE258" s="53">
        <f>G258+L258/1000+ROW()/1000000000</f>
        <v/>
      </c>
      <c r="AF258" s="35">
        <f>IF(C258&lt;&gt;"Grayson Coulter","",COUNTIFS($C$5:$C$2991,"Grayson Coulter",$Q$5:$Q$2991,Q258,$AE$5:$AE$2991,"&lt;="&amp;AE258,$R$5:$R$2991,"&lt;"&amp;R258))</f>
        <v/>
      </c>
      <c r="AG258" s="35">
        <f>IF(OR(C258&lt;&gt;"Grayson Coulter",G258&lt;'00_Control'!$B$7),"",--(AF258&lt;5))</f>
        <v/>
      </c>
      <c r="AH258" s="35">
        <f>IF(OR(C258&lt;&gt;"Grayson Coulter",G258&lt;'00_Control'!$B$7),"",--(AF258&lt;10))</f>
        <v/>
      </c>
      <c r="AI258" s="35">
        <f>IF(AND(C258="Grayson Coulter",G258&gt;='00_Control'!$B$7),"YES","NO")</f>
        <v/>
      </c>
      <c r="AJ258" s="33" t="inlineStr">
        <is>
          <t>OK</t>
        </is>
      </c>
    </row>
    <row r="259">
      <c r="A259" s="33" t="inlineStr">
        <is>
          <t>SM000255</t>
        </is>
      </c>
      <c r="B259" s="33" t="inlineStr">
        <is>
          <t>SW010</t>
        </is>
      </c>
      <c r="C259" s="33" t="inlineStr">
        <is>
          <t>Caeleb Dressel</t>
        </is>
      </c>
      <c r="D259" s="33" t="inlineStr">
        <is>
          <t>SwimCloud</t>
        </is>
      </c>
      <c r="E259" s="33" t="inlineStr">
        <is>
          <t>2361642</t>
        </is>
      </c>
      <c r="F259" s="33" t="inlineStr">
        <is>
          <t>65683116</t>
        </is>
      </c>
      <c r="G259" s="51" t="n">
        <v>44156</v>
      </c>
      <c r="H259" s="33" t="inlineStr">
        <is>
          <t>International Swim League - Final</t>
        </is>
      </c>
      <c r="I259" s="33" t="inlineStr">
        <is>
          <t>185456</t>
        </is>
      </c>
      <c r="J259" s="33" t="inlineStr"/>
      <c r="K259" s="33" t="inlineStr">
        <is>
          <t>FIN</t>
        </is>
      </c>
      <c r="L259" s="35">
        <f>IF(K259="FIN",3,IF(OR(K259="SEM",K259="SEMI"),2,IF(OR(K259="PRE",K259="HEAT"),1,IF(V259="YES",4,2))))</f>
        <v/>
      </c>
      <c r="M259" s="33" t="inlineStr">
        <is>
          <t>SCM</t>
        </is>
      </c>
      <c r="N259" s="33" t="n">
        <v>100</v>
      </c>
      <c r="O259" s="33" t="inlineStr">
        <is>
          <t>Fly</t>
        </is>
      </c>
      <c r="P259" s="33" t="inlineStr">
        <is>
          <t>100 Fly</t>
        </is>
      </c>
      <c r="Q259" s="33" t="inlineStr">
        <is>
          <t>SCM_100_FLY</t>
        </is>
      </c>
      <c r="R259" s="36" t="n">
        <v>47.78</v>
      </c>
      <c r="S259" s="35">
        <f>IF(R259="","",IF(R259&gt;=60,INT(R259/60)&amp;":"&amp;TEXT(MOD(R259,60),"00.00"),TEXT(R259,"0.00")))</f>
        <v/>
      </c>
      <c r="T259" s="52">
        <f>IFERROR((G259-INDEX('01_Swimmers'!$E$5:$E$22,MATCH(B259,'01_Swimmers'!$A$5:$A$22,0)))/'00_Control'!$B$10,"")</f>
        <v/>
      </c>
      <c r="U259" s="35">
        <f>IF(T259="","",INT(T259))</f>
        <v/>
      </c>
      <c r="V259" s="33" t="inlineStr">
        <is>
          <t>NO</t>
        </is>
      </c>
      <c r="W259" s="33" t="inlineStr">
        <is>
          <t>YES</t>
        </is>
      </c>
      <c r="X259" s="33" t="inlineStr">
        <is>
          <t>NO</t>
        </is>
      </c>
      <c r="Y259" s="33" t="n">
        <v>1</v>
      </c>
      <c r="Z259" s="33" t="n">
        <v>3</v>
      </c>
      <c r="AA259" s="33" t="inlineStr">
        <is>
          <t>1</t>
        </is>
      </c>
      <c r="AB259" s="33" t="inlineStr">
        <is>
          <t>https://www.swimcloud.com/results/185456/event/2/?id=65683116#time65683116</t>
        </is>
      </c>
      <c r="AC259" s="33" t="inlineStr">
        <is>
          <t>SwimCloud API v6 2026-10-08</t>
        </is>
      </c>
      <c r="AD259" s="33" t="inlineStr">
        <is>
          <t>Caeleb Dressel|2020-11-21|SCM|100|Fly|47.78|International Swim League - Final|FIN|False</t>
        </is>
      </c>
      <c r="AE259" s="53">
        <f>G259+L259/1000+ROW()/1000000000</f>
        <v/>
      </c>
      <c r="AF259" s="35">
        <f>IF(C259&lt;&gt;"Grayson Coulter","",COUNTIFS($C$5:$C$2991,"Grayson Coulter",$Q$5:$Q$2991,Q259,$AE$5:$AE$2991,"&lt;="&amp;AE259,$R$5:$R$2991,"&lt;"&amp;R259))</f>
        <v/>
      </c>
      <c r="AG259" s="35">
        <f>IF(OR(C259&lt;&gt;"Grayson Coulter",G259&lt;'00_Control'!$B$7),"",--(AF259&lt;5))</f>
        <v/>
      </c>
      <c r="AH259" s="35">
        <f>IF(OR(C259&lt;&gt;"Grayson Coulter",G259&lt;'00_Control'!$B$7),"",--(AF259&lt;10))</f>
        <v/>
      </c>
      <c r="AI259" s="35">
        <f>IF(AND(C259="Grayson Coulter",G259&gt;='00_Control'!$B$7),"YES","NO")</f>
        <v/>
      </c>
      <c r="AJ259" s="33" t="inlineStr">
        <is>
          <t>OK</t>
        </is>
      </c>
    </row>
    <row r="260">
      <c r="A260" s="33" t="inlineStr">
        <is>
          <t>SM000256</t>
        </is>
      </c>
      <c r="B260" s="33" t="inlineStr">
        <is>
          <t>SW010</t>
        </is>
      </c>
      <c r="C260" s="33" t="inlineStr">
        <is>
          <t>Caeleb Dressel</t>
        </is>
      </c>
      <c r="D260" s="33" t="inlineStr">
        <is>
          <t>SwimCloud</t>
        </is>
      </c>
      <c r="E260" s="33" t="inlineStr">
        <is>
          <t>2361642</t>
        </is>
      </c>
      <c r="F260" s="33" t="inlineStr">
        <is>
          <t>65683439</t>
        </is>
      </c>
      <c r="G260" s="51" t="n">
        <v>44156</v>
      </c>
      <c r="H260" s="33" t="inlineStr">
        <is>
          <t>International Swim League - Final</t>
        </is>
      </c>
      <c r="I260" s="33" t="inlineStr">
        <is>
          <t>185456</t>
        </is>
      </c>
      <c r="J260" s="33" t="inlineStr"/>
      <c r="K260" s="33" t="inlineStr">
        <is>
          <t>FIN</t>
        </is>
      </c>
      <c r="L260" s="35">
        <f>IF(K260="FIN",3,IF(OR(K260="SEM",K260="SEMI"),2,IF(OR(K260="PRE",K260="HEAT"),1,IF(V260="YES",4,2))))</f>
        <v/>
      </c>
      <c r="M260" s="33" t="inlineStr">
        <is>
          <t>SCM</t>
        </is>
      </c>
      <c r="N260" s="33" t="n">
        <v>100</v>
      </c>
      <c r="O260" s="33" t="inlineStr">
        <is>
          <t>Free</t>
        </is>
      </c>
      <c r="P260" s="33" t="inlineStr">
        <is>
          <t>100 Free</t>
        </is>
      </c>
      <c r="Q260" s="33" t="inlineStr">
        <is>
          <t>SCM_100_FREE</t>
        </is>
      </c>
      <c r="R260" s="36" t="n">
        <v>45.18</v>
      </c>
      <c r="S260" s="35">
        <f>IF(R260="","",IF(R260&gt;=60,INT(R260/60)&amp;":"&amp;TEXT(MOD(R260,60),"00.00"),TEXT(R260,"0.00")))</f>
        <v/>
      </c>
      <c r="T260" s="52">
        <f>IFERROR((G260-INDEX('01_Swimmers'!$E$5:$E$22,MATCH(B260,'01_Swimmers'!$A$5:$A$22,0)))/'00_Control'!$B$10,"")</f>
        <v/>
      </c>
      <c r="U260" s="35">
        <f>IF(T260="","",INT(T260))</f>
        <v/>
      </c>
      <c r="V260" s="33" t="inlineStr">
        <is>
          <t>YES</t>
        </is>
      </c>
      <c r="W260" s="33" t="inlineStr">
        <is>
          <t>YES</t>
        </is>
      </c>
      <c r="X260" s="33" t="inlineStr">
        <is>
          <t>NO</t>
        </is>
      </c>
      <c r="Y260" s="33" t="n">
        <v>1</v>
      </c>
      <c r="Z260" s="33" t="n">
        <v>3</v>
      </c>
      <c r="AA260" s="33" t="inlineStr"/>
      <c r="AB260" s="33" t="inlineStr">
        <is>
          <t>https://www.swimcloud.com/results/185456/event/14/?id=65683177#time65683177</t>
        </is>
      </c>
      <c r="AC260" s="33" t="inlineStr">
        <is>
          <t>SwimCloud API v6 2026-10-08</t>
        </is>
      </c>
      <c r="AD260" s="33" t="inlineStr">
        <is>
          <t>Caeleb Dressel|2020-11-21|SCM|100|Free|45.18|International Swim League - Final|FIN|True</t>
        </is>
      </c>
      <c r="AE260" s="53">
        <f>G260+L260/1000+ROW()/1000000000</f>
        <v/>
      </c>
      <c r="AF260" s="35">
        <f>IF(C260&lt;&gt;"Grayson Coulter","",COUNTIFS($C$5:$C$2991,"Grayson Coulter",$Q$5:$Q$2991,Q260,$AE$5:$AE$2991,"&lt;="&amp;AE260,$R$5:$R$2991,"&lt;"&amp;R260))</f>
        <v/>
      </c>
      <c r="AG260" s="35">
        <f>IF(OR(C260&lt;&gt;"Grayson Coulter",G260&lt;'00_Control'!$B$7),"",--(AF260&lt;5))</f>
        <v/>
      </c>
      <c r="AH260" s="35">
        <f>IF(OR(C260&lt;&gt;"Grayson Coulter",G260&lt;'00_Control'!$B$7),"",--(AF260&lt;10))</f>
        <v/>
      </c>
      <c r="AI260" s="35">
        <f>IF(AND(C260="Grayson Coulter",G260&gt;='00_Control'!$B$7),"YES","NO")</f>
        <v/>
      </c>
      <c r="AJ260" s="33" t="inlineStr">
        <is>
          <t>OK</t>
        </is>
      </c>
    </row>
    <row r="261">
      <c r="A261" s="33" t="inlineStr">
        <is>
          <t>SM000257</t>
        </is>
      </c>
      <c r="B261" s="33" t="inlineStr">
        <is>
          <t>SW010</t>
        </is>
      </c>
      <c r="C261" s="33" t="inlineStr">
        <is>
          <t>Caeleb Dressel</t>
        </is>
      </c>
      <c r="D261" s="33" t="inlineStr">
        <is>
          <t>SwimCloud</t>
        </is>
      </c>
      <c r="E261" s="33" t="inlineStr">
        <is>
          <t>2361642</t>
        </is>
      </c>
      <c r="F261" s="33" t="inlineStr">
        <is>
          <t>65683117</t>
        </is>
      </c>
      <c r="G261" s="51" t="n">
        <v>44157</v>
      </c>
      <c r="H261" s="33" t="inlineStr">
        <is>
          <t>International Swim League - Final</t>
        </is>
      </c>
      <c r="I261" s="33" t="inlineStr">
        <is>
          <t>185456</t>
        </is>
      </c>
      <c r="J261" s="33" t="inlineStr"/>
      <c r="K261" s="33" t="inlineStr">
        <is>
          <t>FIN</t>
        </is>
      </c>
      <c r="L261" s="35">
        <f>IF(K261="FIN",3,IF(OR(K261="SEM",K261="SEMI"),2,IF(OR(K261="PRE",K261="HEAT"),1,IF(V261="YES",4,2))))</f>
        <v/>
      </c>
      <c r="M261" s="33" t="inlineStr">
        <is>
          <t>SCM</t>
        </is>
      </c>
      <c r="N261" s="33" t="n">
        <v>100</v>
      </c>
      <c r="O261" s="33" t="inlineStr">
        <is>
          <t>Free</t>
        </is>
      </c>
      <c r="P261" s="33" t="inlineStr">
        <is>
          <t>100 Free</t>
        </is>
      </c>
      <c r="Q261" s="33" t="inlineStr">
        <is>
          <t>SCM_100_FREE</t>
        </is>
      </c>
      <c r="R261" s="36" t="n">
        <v>45.08</v>
      </c>
      <c r="S261" s="35">
        <f>IF(R261="","",IF(R261&gt;=60,INT(R261/60)&amp;":"&amp;TEXT(MOD(R261,60),"00.00"),TEXT(R261,"0.00")))</f>
        <v/>
      </c>
      <c r="T261" s="52">
        <f>IFERROR((G261-INDEX('01_Swimmers'!$E$5:$E$22,MATCH(B261,'01_Swimmers'!$A$5:$A$22,0)))/'00_Control'!$B$10,"")</f>
        <v/>
      </c>
      <c r="U261" s="35">
        <f>IF(T261="","",INT(T261))</f>
        <v/>
      </c>
      <c r="V261" s="33" t="inlineStr">
        <is>
          <t>NO</t>
        </is>
      </c>
      <c r="W261" s="33" t="inlineStr">
        <is>
          <t>YES</t>
        </is>
      </c>
      <c r="X261" s="33" t="inlineStr">
        <is>
          <t>NO</t>
        </is>
      </c>
      <c r="Y261" s="33" t="n">
        <v>1</v>
      </c>
      <c r="Z261" s="33" t="n">
        <v>3</v>
      </c>
      <c r="AA261" s="33" t="inlineStr">
        <is>
          <t>1</t>
        </is>
      </c>
      <c r="AB261" s="33" t="inlineStr">
        <is>
          <t>https://www.swimcloud.com/results/185456/event/22/?id=65683117#time65683117</t>
        </is>
      </c>
      <c r="AC261" s="33" t="inlineStr">
        <is>
          <t>SwimCloud API v6 2026-10-08</t>
        </is>
      </c>
      <c r="AD261" s="33" t="inlineStr">
        <is>
          <t>Caeleb Dressel|2020-11-22|SCM|100|Free|45.08|International Swim League - Final|FIN|False</t>
        </is>
      </c>
      <c r="AE261" s="53">
        <f>G261+L261/1000+ROW()/1000000000</f>
        <v/>
      </c>
      <c r="AF261" s="35">
        <f>IF(C261&lt;&gt;"Grayson Coulter","",COUNTIFS($C$5:$C$2991,"Grayson Coulter",$Q$5:$Q$2991,Q261,$AE$5:$AE$2991,"&lt;="&amp;AE261,$R$5:$R$2991,"&lt;"&amp;R261))</f>
        <v/>
      </c>
      <c r="AG261" s="35">
        <f>IF(OR(C261&lt;&gt;"Grayson Coulter",G261&lt;'00_Control'!$B$7),"",--(AF261&lt;5))</f>
        <v/>
      </c>
      <c r="AH261" s="35">
        <f>IF(OR(C261&lt;&gt;"Grayson Coulter",G261&lt;'00_Control'!$B$7),"",--(AF261&lt;10))</f>
        <v/>
      </c>
      <c r="AI261" s="35">
        <f>IF(AND(C261="Grayson Coulter",G261&gt;='00_Control'!$B$7),"YES","NO")</f>
        <v/>
      </c>
      <c r="AJ261" s="33" t="inlineStr">
        <is>
          <t>OK</t>
        </is>
      </c>
    </row>
    <row r="262">
      <c r="A262" s="33" t="inlineStr">
        <is>
          <t>SM000258</t>
        </is>
      </c>
      <c r="B262" s="33" t="inlineStr">
        <is>
          <t>SW010</t>
        </is>
      </c>
      <c r="C262" s="33" t="inlineStr">
        <is>
          <t>Caeleb Dressel</t>
        </is>
      </c>
      <c r="D262" s="33" t="inlineStr">
        <is>
          <t>SwimCloud</t>
        </is>
      </c>
      <c r="E262" s="33" t="inlineStr">
        <is>
          <t>2361642</t>
        </is>
      </c>
      <c r="F262" s="33" t="inlineStr">
        <is>
          <t>65683455</t>
        </is>
      </c>
      <c r="G262" s="51" t="n">
        <v>44157</v>
      </c>
      <c r="H262" s="33" t="inlineStr">
        <is>
          <t>International Swim League - Final</t>
        </is>
      </c>
      <c r="I262" s="33" t="inlineStr">
        <is>
          <t>185456</t>
        </is>
      </c>
      <c r="J262" s="33" t="inlineStr"/>
      <c r="K262" s="33" t="inlineStr">
        <is>
          <t>FIN</t>
        </is>
      </c>
      <c r="L262" s="35">
        <f>IF(K262="FIN",3,IF(OR(K262="SEM",K262="SEMI"),2,IF(OR(K262="PRE",K262="HEAT"),1,IF(V262="YES",4,2))))</f>
        <v/>
      </c>
      <c r="M262" s="33" t="inlineStr">
        <is>
          <t>SCM</t>
        </is>
      </c>
      <c r="N262" s="33" t="n">
        <v>100</v>
      </c>
      <c r="O262" s="33" t="inlineStr">
        <is>
          <t>Free</t>
        </is>
      </c>
      <c r="P262" s="33" t="inlineStr">
        <is>
          <t>100 Free</t>
        </is>
      </c>
      <c r="Q262" s="33" t="inlineStr">
        <is>
          <t>SCM_100_FREE</t>
        </is>
      </c>
      <c r="R262" s="36" t="n">
        <v>45.95</v>
      </c>
      <c r="S262" s="35">
        <f>IF(R262="","",IF(R262&gt;=60,INT(R262/60)&amp;":"&amp;TEXT(MOD(R262,60),"00.00"),TEXT(R262,"0.00")))</f>
        <v/>
      </c>
      <c r="T262" s="52">
        <f>IFERROR((G262-INDEX('01_Swimmers'!$E$5:$E$22,MATCH(B262,'01_Swimmers'!$A$5:$A$22,0)))/'00_Control'!$B$10,"")</f>
        <v/>
      </c>
      <c r="U262" s="35">
        <f>IF(T262="","",INT(T262))</f>
        <v/>
      </c>
      <c r="V262" s="33" t="inlineStr">
        <is>
          <t>YES</t>
        </is>
      </c>
      <c r="W262" s="33" t="inlineStr">
        <is>
          <t>YES</t>
        </is>
      </c>
      <c r="X262" s="33" t="inlineStr">
        <is>
          <t>NO</t>
        </is>
      </c>
      <c r="Y262" s="33" t="n">
        <v>1</v>
      </c>
      <c r="Z262" s="33" t="n">
        <v>3</v>
      </c>
      <c r="AA262" s="33" t="inlineStr"/>
      <c r="AB262" s="33" t="inlineStr">
        <is>
          <t>https://www.swimcloud.com/results/185456/event/35/?id=65683181#time65683181</t>
        </is>
      </c>
      <c r="AC262" s="33" t="inlineStr">
        <is>
          <t>SwimCloud API v6 2026-10-08</t>
        </is>
      </c>
      <c r="AD262" s="33" t="inlineStr">
        <is>
          <t>Caeleb Dressel|2020-11-22|SCM|100|Free|45.95|International Swim League - Final|FIN|True</t>
        </is>
      </c>
      <c r="AE262" s="53">
        <f>G262+L262/1000+ROW()/1000000000</f>
        <v/>
      </c>
      <c r="AF262" s="35">
        <f>IF(C262&lt;&gt;"Grayson Coulter","",COUNTIFS($C$5:$C$2991,"Grayson Coulter",$Q$5:$Q$2991,Q262,$AE$5:$AE$2991,"&lt;="&amp;AE262,$R$5:$R$2991,"&lt;"&amp;R262))</f>
        <v/>
      </c>
      <c r="AG262" s="35">
        <f>IF(OR(C262&lt;&gt;"Grayson Coulter",G262&lt;'00_Control'!$B$7),"",--(AF262&lt;5))</f>
        <v/>
      </c>
      <c r="AH262" s="35">
        <f>IF(OR(C262&lt;&gt;"Grayson Coulter",G262&lt;'00_Control'!$B$7),"",--(AF262&lt;10))</f>
        <v/>
      </c>
      <c r="AI262" s="35">
        <f>IF(AND(C262="Grayson Coulter",G262&gt;='00_Control'!$B$7),"YES","NO")</f>
        <v/>
      </c>
      <c r="AJ262" s="33" t="inlineStr">
        <is>
          <t>OK</t>
        </is>
      </c>
    </row>
    <row r="263">
      <c r="A263" s="33" t="inlineStr">
        <is>
          <t>SM000259</t>
        </is>
      </c>
      <c r="B263" s="33" t="inlineStr">
        <is>
          <t>SW010</t>
        </is>
      </c>
      <c r="C263" s="33" t="inlineStr">
        <is>
          <t>Caeleb Dressel</t>
        </is>
      </c>
      <c r="D263" s="33" t="inlineStr">
        <is>
          <t>SwimCloud</t>
        </is>
      </c>
      <c r="E263" s="33" t="inlineStr">
        <is>
          <t>2361642</t>
        </is>
      </c>
      <c r="F263" s="33" t="inlineStr">
        <is>
          <t>40746764</t>
        </is>
      </c>
      <c r="G263" s="51" t="n">
        <v>44259</v>
      </c>
      <c r="H263" s="33" t="inlineStr">
        <is>
          <t>TYR Pro Swim Series - San Antonio</t>
        </is>
      </c>
      <c r="I263" s="33" t="inlineStr">
        <is>
          <t>196232</t>
        </is>
      </c>
      <c r="J263" s="33" t="inlineStr"/>
      <c r="K263" s="33" t="inlineStr">
        <is>
          <t>PRE</t>
        </is>
      </c>
      <c r="L263" s="35">
        <f>IF(K263="FIN",3,IF(OR(K263="SEM",K263="SEMI"),2,IF(OR(K263="PRE",K263="HEAT"),1,IF(V263="YES",4,2))))</f>
        <v/>
      </c>
      <c r="M263" s="33" t="inlineStr">
        <is>
          <t>LCM</t>
        </is>
      </c>
      <c r="N263" s="33" t="n">
        <v>100</v>
      </c>
      <c r="O263" s="33" t="inlineStr">
        <is>
          <t>Free</t>
        </is>
      </c>
      <c r="P263" s="33" t="inlineStr">
        <is>
          <t>100 Free</t>
        </is>
      </c>
      <c r="Q263" s="33" t="inlineStr">
        <is>
          <t>LCM_100_FREE</t>
        </is>
      </c>
      <c r="R263" s="36" t="n">
        <v>50.25</v>
      </c>
      <c r="S263" s="35">
        <f>IF(R263="","",IF(R263&gt;=60,INT(R263/60)&amp;":"&amp;TEXT(MOD(R263,60),"00.00"),TEXT(R263,"0.00")))</f>
        <v/>
      </c>
      <c r="T263" s="52">
        <f>IFERROR((G263-INDEX('01_Swimmers'!$E$5:$E$22,MATCH(B263,'01_Swimmers'!$A$5:$A$22,0)))/'00_Control'!$B$10,"")</f>
        <v/>
      </c>
      <c r="U263" s="35">
        <f>IF(T263="","",INT(T263))</f>
        <v/>
      </c>
      <c r="V263" s="33" t="inlineStr">
        <is>
          <t>NO</t>
        </is>
      </c>
      <c r="W263" s="33" t="inlineStr">
        <is>
          <t>YES</t>
        </is>
      </c>
      <c r="X263" s="33" t="inlineStr">
        <is>
          <t>NO</t>
        </is>
      </c>
      <c r="Y263" s="33" t="n">
        <v>6</v>
      </c>
      <c r="Z263" s="33" t="n">
        <v>4</v>
      </c>
      <c r="AA263" s="33" t="inlineStr">
        <is>
          <t>10</t>
        </is>
      </c>
      <c r="AB263" s="33" t="inlineStr">
        <is>
          <t>https://www.swimcloud.com/results/196232/event/4/?id=40746764#time40746764</t>
        </is>
      </c>
      <c r="AC263" s="33" t="inlineStr">
        <is>
          <t>SwimCloud API v6 2026-10-08</t>
        </is>
      </c>
      <c r="AD263" s="33" t="inlineStr">
        <is>
          <t>Caeleb Dressel|2021-03-04|LCM|100|Free|50.25|TYR Pro Swim Series - San Antonio|PRE|False</t>
        </is>
      </c>
      <c r="AE263" s="53">
        <f>G263+L263/1000+ROW()/1000000000</f>
        <v/>
      </c>
      <c r="AF263" s="35">
        <f>IF(C263&lt;&gt;"Grayson Coulter","",COUNTIFS($C$5:$C$2991,"Grayson Coulter",$Q$5:$Q$2991,Q263,$AE$5:$AE$2991,"&lt;="&amp;AE263,$R$5:$R$2991,"&lt;"&amp;R263))</f>
        <v/>
      </c>
      <c r="AG263" s="35">
        <f>IF(OR(C263&lt;&gt;"Grayson Coulter",G263&lt;'00_Control'!$B$7),"",--(AF263&lt;5))</f>
        <v/>
      </c>
      <c r="AH263" s="35">
        <f>IF(OR(C263&lt;&gt;"Grayson Coulter",G263&lt;'00_Control'!$B$7),"",--(AF263&lt;10))</f>
        <v/>
      </c>
      <c r="AI263" s="35">
        <f>IF(AND(C263="Grayson Coulter",G263&gt;='00_Control'!$B$7),"YES","NO")</f>
        <v/>
      </c>
      <c r="AJ263" s="33" t="inlineStr">
        <is>
          <t>OK</t>
        </is>
      </c>
    </row>
    <row r="264">
      <c r="A264" s="33" t="inlineStr">
        <is>
          <t>SM000260</t>
        </is>
      </c>
      <c r="B264" s="33" t="inlineStr">
        <is>
          <t>SW010</t>
        </is>
      </c>
      <c r="C264" s="33" t="inlineStr">
        <is>
          <t>Caeleb Dressel</t>
        </is>
      </c>
      <c r="D264" s="33" t="inlineStr">
        <is>
          <t>SwimCloud</t>
        </is>
      </c>
      <c r="E264" s="33" t="inlineStr">
        <is>
          <t>2361642</t>
        </is>
      </c>
      <c r="F264" s="33" t="inlineStr">
        <is>
          <t>40746765</t>
        </is>
      </c>
      <c r="G264" s="51" t="n">
        <v>44259</v>
      </c>
      <c r="H264" s="33" t="inlineStr">
        <is>
          <t>TYR Pro Swim Series - San Antonio</t>
        </is>
      </c>
      <c r="I264" s="33" t="inlineStr">
        <is>
          <t>196232</t>
        </is>
      </c>
      <c r="J264" s="33" t="inlineStr"/>
      <c r="K264" s="33" t="inlineStr">
        <is>
          <t>FIN</t>
        </is>
      </c>
      <c r="L264" s="35">
        <f>IF(K264="FIN",3,IF(OR(K264="SEM",K264="SEMI"),2,IF(OR(K264="PRE",K264="HEAT"),1,IF(V264="YES",4,2))))</f>
        <v/>
      </c>
      <c r="M264" s="33" t="inlineStr">
        <is>
          <t>LCM</t>
        </is>
      </c>
      <c r="N264" s="33" t="n">
        <v>100</v>
      </c>
      <c r="O264" s="33" t="inlineStr">
        <is>
          <t>Free</t>
        </is>
      </c>
      <c r="P264" s="33" t="inlineStr">
        <is>
          <t>100 Free</t>
        </is>
      </c>
      <c r="Q264" s="33" t="inlineStr">
        <is>
          <t>LCM_100_FREE</t>
        </is>
      </c>
      <c r="R264" s="36" t="n">
        <v>49.75</v>
      </c>
      <c r="S264" s="35">
        <f>IF(R264="","",IF(R264&gt;=60,INT(R264/60)&amp;":"&amp;TEXT(MOD(R264,60),"00.00"),TEXT(R264,"0.00")))</f>
        <v/>
      </c>
      <c r="T264" s="52">
        <f>IFERROR((G264-INDEX('01_Swimmers'!$E$5:$E$22,MATCH(B264,'01_Swimmers'!$A$5:$A$22,0)))/'00_Control'!$B$10,"")</f>
        <v/>
      </c>
      <c r="U264" s="35">
        <f>IF(T264="","",INT(T264))</f>
        <v/>
      </c>
      <c r="V264" s="33" t="inlineStr">
        <is>
          <t>NO</t>
        </is>
      </c>
      <c r="W264" s="33" t="inlineStr">
        <is>
          <t>YES</t>
        </is>
      </c>
      <c r="X264" s="33" t="inlineStr">
        <is>
          <t>NO</t>
        </is>
      </c>
      <c r="Y264" s="33" t="n">
        <v>1</v>
      </c>
      <c r="Z264" s="33" t="n">
        <v>3</v>
      </c>
      <c r="AA264" s="33" t="inlineStr">
        <is>
          <t>11</t>
        </is>
      </c>
      <c r="AB264" s="33" t="inlineStr">
        <is>
          <t>https://www.swimcloud.com/results/196232/event/4/?id=40746765#time40746765</t>
        </is>
      </c>
      <c r="AC264" s="33" t="inlineStr">
        <is>
          <t>SwimCloud API v6 2026-10-08</t>
        </is>
      </c>
      <c r="AD264" s="33" t="inlineStr">
        <is>
          <t>Caeleb Dressel|2021-03-04|LCM|100|Free|49.75|TYR Pro Swim Series - San Antonio|FIN|False</t>
        </is>
      </c>
      <c r="AE264" s="53">
        <f>G264+L264/1000+ROW()/1000000000</f>
        <v/>
      </c>
      <c r="AF264" s="35">
        <f>IF(C264&lt;&gt;"Grayson Coulter","",COUNTIFS($C$5:$C$2991,"Grayson Coulter",$Q$5:$Q$2991,Q264,$AE$5:$AE$2991,"&lt;="&amp;AE264,$R$5:$R$2991,"&lt;"&amp;R264))</f>
        <v/>
      </c>
      <c r="AG264" s="35">
        <f>IF(OR(C264&lt;&gt;"Grayson Coulter",G264&lt;'00_Control'!$B$7),"",--(AF264&lt;5))</f>
        <v/>
      </c>
      <c r="AH264" s="35">
        <f>IF(OR(C264&lt;&gt;"Grayson Coulter",G264&lt;'00_Control'!$B$7),"",--(AF264&lt;10))</f>
        <v/>
      </c>
      <c r="AI264" s="35">
        <f>IF(AND(C264="Grayson Coulter",G264&gt;='00_Control'!$B$7),"YES","NO")</f>
        <v/>
      </c>
      <c r="AJ264" s="33" t="inlineStr">
        <is>
          <t>OK</t>
        </is>
      </c>
    </row>
    <row r="265">
      <c r="A265" s="33" t="inlineStr">
        <is>
          <t>SM000261</t>
        </is>
      </c>
      <c r="B265" s="33" t="inlineStr">
        <is>
          <t>SW010</t>
        </is>
      </c>
      <c r="C265" s="33" t="inlineStr">
        <is>
          <t>Caeleb Dressel</t>
        </is>
      </c>
      <c r="D265" s="33" t="inlineStr">
        <is>
          <t>SwimCloud</t>
        </is>
      </c>
      <c r="E265" s="33" t="inlineStr">
        <is>
          <t>2361642</t>
        </is>
      </c>
      <c r="F265" s="33" t="inlineStr">
        <is>
          <t>92540058</t>
        </is>
      </c>
      <c r="G265" s="51" t="n">
        <v>44281</v>
      </c>
      <c r="H265" s="33" t="inlineStr">
        <is>
          <t>2021 ISCA International Senior Cup</t>
        </is>
      </c>
      <c r="I265" s="33" t="inlineStr">
        <is>
          <t>189425</t>
        </is>
      </c>
      <c r="J265" s="33" t="inlineStr"/>
      <c r="K265" s="33" t="inlineStr">
        <is>
          <t>FIN</t>
        </is>
      </c>
      <c r="L265" s="35">
        <f>IF(K265="FIN",3,IF(OR(K265="SEM",K265="SEMI"),2,IF(OR(K265="PRE",K265="HEAT"),1,IF(V265="YES",4,2))))</f>
        <v/>
      </c>
      <c r="M265" s="33" t="inlineStr">
        <is>
          <t>LCM</t>
        </is>
      </c>
      <c r="N265" s="33" t="n">
        <v>100</v>
      </c>
      <c r="O265" s="33" t="inlineStr">
        <is>
          <t>Fly</t>
        </is>
      </c>
      <c r="P265" s="33" t="inlineStr">
        <is>
          <t>100 Fly</t>
        </is>
      </c>
      <c r="Q265" s="33" t="inlineStr">
        <is>
          <t>LCM_100_FLY</t>
        </is>
      </c>
      <c r="R265" s="36" t="n">
        <v>51.69</v>
      </c>
      <c r="S265" s="35">
        <f>IF(R265="","",IF(R265&gt;=60,INT(R265/60)&amp;":"&amp;TEXT(MOD(R265,60),"00.00"),TEXT(R265,"0.00")))</f>
        <v/>
      </c>
      <c r="T265" s="52">
        <f>IFERROR((G265-INDEX('01_Swimmers'!$E$5:$E$22,MATCH(B265,'01_Swimmers'!$A$5:$A$22,0)))/'00_Control'!$B$10,"")</f>
        <v/>
      </c>
      <c r="U265" s="35">
        <f>IF(T265="","",INT(T265))</f>
        <v/>
      </c>
      <c r="V265" s="33" t="inlineStr">
        <is>
          <t>NO</t>
        </is>
      </c>
      <c r="W265" s="33" t="inlineStr">
        <is>
          <t>YES</t>
        </is>
      </c>
      <c r="X265" s="33" t="inlineStr">
        <is>
          <t>NO</t>
        </is>
      </c>
      <c r="Y265" s="33" t="n">
        <v>6</v>
      </c>
      <c r="Z265" s="33" t="n">
        <v>5</v>
      </c>
      <c r="AA265" s="33" t="inlineStr">
        <is>
          <t>1</t>
        </is>
      </c>
      <c r="AB265" s="33" t="inlineStr">
        <is>
          <t>https://www.swimcloud.com/results/189425/event/50/?id=92540058#time92540058</t>
        </is>
      </c>
      <c r="AC265" s="33" t="inlineStr">
        <is>
          <t>SwimCloud API v6 2026-10-08</t>
        </is>
      </c>
      <c r="AD265" s="33" t="inlineStr">
        <is>
          <t>Caeleb Dressel|2021-03-26|LCM|100|Fly|51.69|2021 ISCA International Senior Cup|FIN|False</t>
        </is>
      </c>
      <c r="AE265" s="53">
        <f>G265+L265/1000+ROW()/1000000000</f>
        <v/>
      </c>
      <c r="AF265" s="35">
        <f>IF(C265&lt;&gt;"Grayson Coulter","",COUNTIFS($C$5:$C$2991,"Grayson Coulter",$Q$5:$Q$2991,Q265,$AE$5:$AE$2991,"&lt;="&amp;AE265,$R$5:$R$2991,"&lt;"&amp;R265))</f>
        <v/>
      </c>
      <c r="AG265" s="35">
        <f>IF(OR(C265&lt;&gt;"Grayson Coulter",G265&lt;'00_Control'!$B$7),"",--(AF265&lt;5))</f>
        <v/>
      </c>
      <c r="AH265" s="35">
        <f>IF(OR(C265&lt;&gt;"Grayson Coulter",G265&lt;'00_Control'!$B$7),"",--(AF265&lt;10))</f>
        <v/>
      </c>
      <c r="AI265" s="35">
        <f>IF(AND(C265="Grayson Coulter",G265&gt;='00_Control'!$B$7),"YES","NO")</f>
        <v/>
      </c>
      <c r="AJ265" s="33" t="inlineStr">
        <is>
          <t>OK</t>
        </is>
      </c>
    </row>
    <row r="266">
      <c r="A266" s="33" t="inlineStr">
        <is>
          <t>SM000262</t>
        </is>
      </c>
      <c r="B266" s="33" t="inlineStr">
        <is>
          <t>SW010</t>
        </is>
      </c>
      <c r="C266" s="33" t="inlineStr">
        <is>
          <t>Caeleb Dressel</t>
        </is>
      </c>
      <c r="D266" s="33" t="inlineStr">
        <is>
          <t>SwimCloud</t>
        </is>
      </c>
      <c r="E266" s="33" t="inlineStr">
        <is>
          <t>2361642</t>
        </is>
      </c>
      <c r="F266" s="33" t="inlineStr">
        <is>
          <t>92538890</t>
        </is>
      </c>
      <c r="G266" s="51" t="n">
        <v>44281</v>
      </c>
      <c r="H266" s="33" t="inlineStr">
        <is>
          <t>2021 ISCA International Senior Cup</t>
        </is>
      </c>
      <c r="I266" s="33" t="inlineStr">
        <is>
          <t>189425</t>
        </is>
      </c>
      <c r="J266" s="33" t="inlineStr"/>
      <c r="K266" s="33" t="inlineStr">
        <is>
          <t>FIN</t>
        </is>
      </c>
      <c r="L266" s="35">
        <f>IF(K266="FIN",3,IF(OR(K266="SEM",K266="SEMI"),2,IF(OR(K266="PRE",K266="HEAT"),1,IF(V266="YES",4,2))))</f>
        <v/>
      </c>
      <c r="M266" s="33" t="inlineStr">
        <is>
          <t>LCM</t>
        </is>
      </c>
      <c r="N266" s="33" t="n">
        <v>200</v>
      </c>
      <c r="O266" s="33" t="inlineStr">
        <is>
          <t>Free</t>
        </is>
      </c>
      <c r="P266" s="33" t="inlineStr">
        <is>
          <t>200 Free</t>
        </is>
      </c>
      <c r="Q266" s="33" t="inlineStr">
        <is>
          <t>LCM_200_FREE</t>
        </is>
      </c>
      <c r="R266" s="36" t="n">
        <v>109.26</v>
      </c>
      <c r="S266" s="35">
        <f>IF(R266="","",IF(R266&gt;=60,INT(R266/60)&amp;":"&amp;TEXT(MOD(R266,60),"00.00"),TEXT(R266,"0.00")))</f>
        <v/>
      </c>
      <c r="T266" s="52">
        <f>IFERROR((G266-INDEX('01_Swimmers'!$E$5:$E$22,MATCH(B266,'01_Swimmers'!$A$5:$A$22,0)))/'00_Control'!$B$10,"")</f>
        <v/>
      </c>
      <c r="U266" s="35">
        <f>IF(T266="","",INT(T266))</f>
        <v/>
      </c>
      <c r="V266" s="33" t="inlineStr">
        <is>
          <t>NO</t>
        </is>
      </c>
      <c r="W266" s="33" t="inlineStr">
        <is>
          <t>YES</t>
        </is>
      </c>
      <c r="X266" s="33" t="inlineStr">
        <is>
          <t>NO</t>
        </is>
      </c>
      <c r="Y266" s="33" t="n">
        <v>6</v>
      </c>
      <c r="Z266" s="33" t="n">
        <v>5</v>
      </c>
      <c r="AA266" s="33" t="inlineStr">
        <is>
          <t>3</t>
        </is>
      </c>
      <c r="AB266" s="33" t="inlineStr">
        <is>
          <t>https://www.swimcloud.com/results/189425/event/58/?id=92538890#time92538890</t>
        </is>
      </c>
      <c r="AC266" s="33" t="inlineStr">
        <is>
          <t>SwimCloud API v6 2026-10-08</t>
        </is>
      </c>
      <c r="AD266" s="33" t="inlineStr">
        <is>
          <t>Caeleb Dressel|2021-03-26|LCM|200|Free|109.26|2021 ISCA International Senior Cup|FIN|False</t>
        </is>
      </c>
      <c r="AE266" s="53">
        <f>G266+L266/1000+ROW()/1000000000</f>
        <v/>
      </c>
      <c r="AF266" s="35">
        <f>IF(C266&lt;&gt;"Grayson Coulter","",COUNTIFS($C$5:$C$2991,"Grayson Coulter",$Q$5:$Q$2991,Q266,$AE$5:$AE$2991,"&lt;="&amp;AE266,$R$5:$R$2991,"&lt;"&amp;R266))</f>
        <v/>
      </c>
      <c r="AG266" s="35">
        <f>IF(OR(C266&lt;&gt;"Grayson Coulter",G266&lt;'00_Control'!$B$7),"",--(AF266&lt;5))</f>
        <v/>
      </c>
      <c r="AH266" s="35">
        <f>IF(OR(C266&lt;&gt;"Grayson Coulter",G266&lt;'00_Control'!$B$7),"",--(AF266&lt;10))</f>
        <v/>
      </c>
      <c r="AI266" s="35">
        <f>IF(AND(C266="Grayson Coulter",G266&gt;='00_Control'!$B$7),"YES","NO")</f>
        <v/>
      </c>
      <c r="AJ266" s="33" t="inlineStr">
        <is>
          <t>OK</t>
        </is>
      </c>
    </row>
    <row r="267">
      <c r="A267" s="33" t="inlineStr">
        <is>
          <t>SM000263</t>
        </is>
      </c>
      <c r="B267" s="33" t="inlineStr">
        <is>
          <t>SW010</t>
        </is>
      </c>
      <c r="C267" s="33" t="inlineStr">
        <is>
          <t>Caeleb Dressel</t>
        </is>
      </c>
      <c r="D267" s="33" t="inlineStr">
        <is>
          <t>SwimCloud</t>
        </is>
      </c>
      <c r="E267" s="33" t="inlineStr">
        <is>
          <t>2361642</t>
        </is>
      </c>
      <c r="F267" s="33" t="inlineStr">
        <is>
          <t>92539085</t>
        </is>
      </c>
      <c r="G267" s="51" t="n">
        <v>44282</v>
      </c>
      <c r="H267" s="33" t="inlineStr">
        <is>
          <t>2021 ISCA International Senior Cup</t>
        </is>
      </c>
      <c r="I267" s="33" t="inlineStr">
        <is>
          <t>189425</t>
        </is>
      </c>
      <c r="J267" s="33" t="inlineStr"/>
      <c r="K267" s="33" t="inlineStr">
        <is>
          <t>FIN</t>
        </is>
      </c>
      <c r="L267" s="35">
        <f>IF(K267="FIN",3,IF(OR(K267="SEM",K267="SEMI"),2,IF(OR(K267="PRE",K267="HEAT"),1,IF(V267="YES",4,2))))</f>
        <v/>
      </c>
      <c r="M267" s="33" t="inlineStr">
        <is>
          <t>LCM</t>
        </is>
      </c>
      <c r="N267" s="33" t="n">
        <v>100</v>
      </c>
      <c r="O267" s="33" t="inlineStr">
        <is>
          <t>Free</t>
        </is>
      </c>
      <c r="P267" s="33" t="inlineStr">
        <is>
          <t>100 Free</t>
        </is>
      </c>
      <c r="Q267" s="33" t="inlineStr">
        <is>
          <t>LCM_100_FREE</t>
        </is>
      </c>
      <c r="R267" s="36" t="n">
        <v>48.84</v>
      </c>
      <c r="S267" s="35">
        <f>IF(R267="","",IF(R267&gt;=60,INT(R267/60)&amp;":"&amp;TEXT(MOD(R267,60),"00.00"),TEXT(R267,"0.00")))</f>
        <v/>
      </c>
      <c r="T267" s="52">
        <f>IFERROR((G267-INDEX('01_Swimmers'!$E$5:$E$22,MATCH(B267,'01_Swimmers'!$A$5:$A$22,0)))/'00_Control'!$B$10,"")</f>
        <v/>
      </c>
      <c r="U267" s="35">
        <f>IF(T267="","",INT(T267))</f>
        <v/>
      </c>
      <c r="V267" s="33" t="inlineStr">
        <is>
          <t>NO</t>
        </is>
      </c>
      <c r="W267" s="33" t="inlineStr">
        <is>
          <t>YES</t>
        </is>
      </c>
      <c r="X267" s="33" t="inlineStr">
        <is>
          <t>NO</t>
        </is>
      </c>
      <c r="Y267" s="33" t="n">
        <v>6</v>
      </c>
      <c r="Z267" s="33" t="n">
        <v>5</v>
      </c>
      <c r="AA267" s="33" t="inlineStr">
        <is>
          <t>1</t>
        </is>
      </c>
      <c r="AB267" s="33" t="inlineStr">
        <is>
          <t>https://www.swimcloud.com/results/189425/event/66/?id=92539085#time92539085</t>
        </is>
      </c>
      <c r="AC267" s="33" t="inlineStr">
        <is>
          <t>SwimCloud API v6 2026-10-08</t>
        </is>
      </c>
      <c r="AD267" s="33" t="inlineStr">
        <is>
          <t>Caeleb Dressel|2021-03-27|LCM|100|Free|48.84|2021 ISCA International Senior Cup|FIN|False</t>
        </is>
      </c>
      <c r="AE267" s="53">
        <f>G267+L267/1000+ROW()/1000000000</f>
        <v/>
      </c>
      <c r="AF267" s="35">
        <f>IF(C267&lt;&gt;"Grayson Coulter","",COUNTIFS($C$5:$C$2991,"Grayson Coulter",$Q$5:$Q$2991,Q267,$AE$5:$AE$2991,"&lt;="&amp;AE267,$R$5:$R$2991,"&lt;"&amp;R267))</f>
        <v/>
      </c>
      <c r="AG267" s="35">
        <f>IF(OR(C267&lt;&gt;"Grayson Coulter",G267&lt;'00_Control'!$B$7),"",--(AF267&lt;5))</f>
        <v/>
      </c>
      <c r="AH267" s="35">
        <f>IF(OR(C267&lt;&gt;"Grayson Coulter",G267&lt;'00_Control'!$B$7),"",--(AF267&lt;10))</f>
        <v/>
      </c>
      <c r="AI267" s="35">
        <f>IF(AND(C267="Grayson Coulter",G267&gt;='00_Control'!$B$7),"YES","NO")</f>
        <v/>
      </c>
      <c r="AJ267" s="33" t="inlineStr">
        <is>
          <t>OK</t>
        </is>
      </c>
    </row>
    <row r="268">
      <c r="A268" s="33" t="inlineStr">
        <is>
          <t>SM000264</t>
        </is>
      </c>
      <c r="B268" s="33" t="inlineStr">
        <is>
          <t>SW010</t>
        </is>
      </c>
      <c r="C268" s="33" t="inlineStr">
        <is>
          <t>Caeleb Dressel</t>
        </is>
      </c>
      <c r="D268" s="33" t="inlineStr">
        <is>
          <t>SwimCloud</t>
        </is>
      </c>
      <c r="E268" s="33" t="inlineStr">
        <is>
          <t>2361642</t>
        </is>
      </c>
      <c r="F268" s="33" t="inlineStr">
        <is>
          <t>41946890</t>
        </is>
      </c>
      <c r="G268" s="51" t="n">
        <v>44294</v>
      </c>
      <c r="H268" s="33" t="inlineStr">
        <is>
          <t>TYR Pro Swim Series - Mission Viejo</t>
        </is>
      </c>
      <c r="I268" s="33" t="inlineStr">
        <is>
          <t>196831</t>
        </is>
      </c>
      <c r="J268" s="33" t="inlineStr"/>
      <c r="K268" s="33" t="inlineStr">
        <is>
          <t>PRE</t>
        </is>
      </c>
      <c r="L268" s="35">
        <f>IF(K268="FIN",3,IF(OR(K268="SEM",K268="SEMI"),2,IF(OR(K268="PRE",K268="HEAT"),1,IF(V268="YES",4,2))))</f>
        <v/>
      </c>
      <c r="M268" s="33" t="inlineStr">
        <is>
          <t>LCM</t>
        </is>
      </c>
      <c r="N268" s="33" t="n">
        <v>100</v>
      </c>
      <c r="O268" s="33" t="inlineStr">
        <is>
          <t>Fly</t>
        </is>
      </c>
      <c r="P268" s="33" t="inlineStr">
        <is>
          <t>100 Fly</t>
        </is>
      </c>
      <c r="Q268" s="33" t="inlineStr">
        <is>
          <t>LCM_100_FLY</t>
        </is>
      </c>
      <c r="R268" s="36" t="n">
        <v>52.6</v>
      </c>
      <c r="S268" s="35">
        <f>IF(R268="","",IF(R268&gt;=60,INT(R268/60)&amp;":"&amp;TEXT(MOD(R268,60),"00.00"),TEXT(R268,"0.00")))</f>
        <v/>
      </c>
      <c r="T268" s="52">
        <f>IFERROR((G268-INDEX('01_Swimmers'!$E$5:$E$22,MATCH(B268,'01_Swimmers'!$A$5:$A$22,0)))/'00_Control'!$B$10,"")</f>
        <v/>
      </c>
      <c r="U268" s="35">
        <f>IF(T268="","",INT(T268))</f>
        <v/>
      </c>
      <c r="V268" s="33" t="inlineStr">
        <is>
          <t>NO</t>
        </is>
      </c>
      <c r="W268" s="33" t="inlineStr">
        <is>
          <t>YES</t>
        </is>
      </c>
      <c r="X268" s="33" t="inlineStr">
        <is>
          <t>NO</t>
        </is>
      </c>
      <c r="Y268" s="33" t="n">
        <v>4</v>
      </c>
      <c r="Z268" s="33" t="n">
        <v>4</v>
      </c>
      <c r="AA268" s="33" t="inlineStr">
        <is>
          <t>7</t>
        </is>
      </c>
      <c r="AB268" s="33" t="inlineStr">
        <is>
          <t>https://www.swimcloud.com/results/196831/event/8/?id=41946890#time41946890</t>
        </is>
      </c>
      <c r="AC268" s="33" t="inlineStr">
        <is>
          <t>SwimCloud API v6 2026-10-08</t>
        </is>
      </c>
      <c r="AD268" s="33" t="inlineStr">
        <is>
          <t>Caeleb Dressel|2021-04-08|LCM|100|Fly|52.6|TYR Pro Swim Series - Mission Viejo|PRE|False</t>
        </is>
      </c>
      <c r="AE268" s="53">
        <f>G268+L268/1000+ROW()/1000000000</f>
        <v/>
      </c>
      <c r="AF268" s="35">
        <f>IF(C268&lt;&gt;"Grayson Coulter","",COUNTIFS($C$5:$C$2991,"Grayson Coulter",$Q$5:$Q$2991,Q268,$AE$5:$AE$2991,"&lt;="&amp;AE268,$R$5:$R$2991,"&lt;"&amp;R268))</f>
        <v/>
      </c>
      <c r="AG268" s="35">
        <f>IF(OR(C268&lt;&gt;"Grayson Coulter",G268&lt;'00_Control'!$B$7),"",--(AF268&lt;5))</f>
        <v/>
      </c>
      <c r="AH268" s="35">
        <f>IF(OR(C268&lt;&gt;"Grayson Coulter",G268&lt;'00_Control'!$B$7),"",--(AF268&lt;10))</f>
        <v/>
      </c>
      <c r="AI268" s="35">
        <f>IF(AND(C268="Grayson Coulter",G268&gt;='00_Control'!$B$7),"YES","NO")</f>
        <v/>
      </c>
      <c r="AJ268" s="33" t="inlineStr">
        <is>
          <t>OK</t>
        </is>
      </c>
    </row>
    <row r="269">
      <c r="A269" s="33" t="inlineStr">
        <is>
          <t>SM000265</t>
        </is>
      </c>
      <c r="B269" s="33" t="inlineStr">
        <is>
          <t>SW010</t>
        </is>
      </c>
      <c r="C269" s="33" t="inlineStr">
        <is>
          <t>Caeleb Dressel</t>
        </is>
      </c>
      <c r="D269" s="33" t="inlineStr">
        <is>
          <t>SwimCloud</t>
        </is>
      </c>
      <c r="E269" s="33" t="inlineStr">
        <is>
          <t>2361642</t>
        </is>
      </c>
      <c r="F269" s="33" t="inlineStr">
        <is>
          <t>41946891</t>
        </is>
      </c>
      <c r="G269" s="51" t="n">
        <v>44294</v>
      </c>
      <c r="H269" s="33" t="inlineStr">
        <is>
          <t>TYR Pro Swim Series - Mission Viejo</t>
        </is>
      </c>
      <c r="I269" s="33" t="inlineStr">
        <is>
          <t>196831</t>
        </is>
      </c>
      <c r="J269" s="33" t="inlineStr"/>
      <c r="K269" s="33" t="inlineStr">
        <is>
          <t>FIN</t>
        </is>
      </c>
      <c r="L269" s="35">
        <f>IF(K269="FIN",3,IF(OR(K269="SEM",K269="SEMI"),2,IF(OR(K269="PRE",K269="HEAT"),1,IF(V269="YES",4,2))))</f>
        <v/>
      </c>
      <c r="M269" s="33" t="inlineStr">
        <is>
          <t>LCM</t>
        </is>
      </c>
      <c r="N269" s="33" t="n">
        <v>100</v>
      </c>
      <c r="O269" s="33" t="inlineStr">
        <is>
          <t>Fly</t>
        </is>
      </c>
      <c r="P269" s="33" t="inlineStr">
        <is>
          <t>100 Fly</t>
        </is>
      </c>
      <c r="Q269" s="33" t="inlineStr">
        <is>
          <t>LCM_100_FLY</t>
        </is>
      </c>
      <c r="R269" s="36" t="n">
        <v>51.61</v>
      </c>
      <c r="S269" s="35">
        <f>IF(R269="","",IF(R269&gt;=60,INT(R269/60)&amp;":"&amp;TEXT(MOD(R269,60),"00.00"),TEXT(R269,"0.00")))</f>
        <v/>
      </c>
      <c r="T269" s="52">
        <f>IFERROR((G269-INDEX('01_Swimmers'!$E$5:$E$22,MATCH(B269,'01_Swimmers'!$A$5:$A$22,0)))/'00_Control'!$B$10,"")</f>
        <v/>
      </c>
      <c r="U269" s="35">
        <f>IF(T269="","",INT(T269))</f>
        <v/>
      </c>
      <c r="V269" s="33" t="inlineStr">
        <is>
          <t>NO</t>
        </is>
      </c>
      <c r="W269" s="33" t="inlineStr">
        <is>
          <t>YES</t>
        </is>
      </c>
      <c r="X269" s="33" t="inlineStr">
        <is>
          <t>NO</t>
        </is>
      </c>
      <c r="Y269" s="33" t="n">
        <v>2</v>
      </c>
      <c r="Z269" s="33" t="n">
        <v>1</v>
      </c>
      <c r="AA269" s="33" t="inlineStr">
        <is>
          <t>1</t>
        </is>
      </c>
      <c r="AB269" s="33" t="inlineStr">
        <is>
          <t>https://www.swimcloud.com/results/196831/event/8/?id=41946891#time41946891</t>
        </is>
      </c>
      <c r="AC269" s="33" t="inlineStr">
        <is>
          <t>SwimCloud API v6 2026-10-08</t>
        </is>
      </c>
      <c r="AD269" s="33" t="inlineStr">
        <is>
          <t>Caeleb Dressel|2021-04-08|LCM|100|Fly|51.61|TYR Pro Swim Series - Mission Viejo|FIN|False</t>
        </is>
      </c>
      <c r="AE269" s="53">
        <f>G269+L269/1000+ROW()/1000000000</f>
        <v/>
      </c>
      <c r="AF269" s="35">
        <f>IF(C269&lt;&gt;"Grayson Coulter","",COUNTIFS($C$5:$C$2991,"Grayson Coulter",$Q$5:$Q$2991,Q269,$AE$5:$AE$2991,"&lt;="&amp;AE269,$R$5:$R$2991,"&lt;"&amp;R269))</f>
        <v/>
      </c>
      <c r="AG269" s="35">
        <f>IF(OR(C269&lt;&gt;"Grayson Coulter",G269&lt;'00_Control'!$B$7),"",--(AF269&lt;5))</f>
        <v/>
      </c>
      <c r="AH269" s="35">
        <f>IF(OR(C269&lt;&gt;"Grayson Coulter",G269&lt;'00_Control'!$B$7),"",--(AF269&lt;10))</f>
        <v/>
      </c>
      <c r="AI269" s="35">
        <f>IF(AND(C269="Grayson Coulter",G269&gt;='00_Control'!$B$7),"YES","NO")</f>
        <v/>
      </c>
      <c r="AJ269" s="33" t="inlineStr">
        <is>
          <t>OK</t>
        </is>
      </c>
    </row>
    <row r="270">
      <c r="A270" s="33" t="inlineStr">
        <is>
          <t>SM000266</t>
        </is>
      </c>
      <c r="B270" s="33" t="inlineStr">
        <is>
          <t>SW010</t>
        </is>
      </c>
      <c r="C270" s="33" t="inlineStr">
        <is>
          <t>Caeleb Dressel</t>
        </is>
      </c>
      <c r="D270" s="33" t="inlineStr">
        <is>
          <t>SwimCloud</t>
        </is>
      </c>
      <c r="E270" s="33" t="inlineStr">
        <is>
          <t>2361642</t>
        </is>
      </c>
      <c r="F270" s="33" t="inlineStr">
        <is>
          <t>41947102</t>
        </is>
      </c>
      <c r="G270" s="51" t="n">
        <v>44294</v>
      </c>
      <c r="H270" s="33" t="inlineStr">
        <is>
          <t>TYR Pro Swim Series - Mission Viejo</t>
        </is>
      </c>
      <c r="I270" s="33" t="inlineStr">
        <is>
          <t>196831</t>
        </is>
      </c>
      <c r="J270" s="33" t="inlineStr"/>
      <c r="K270" s="33" t="inlineStr">
        <is>
          <t>PRE</t>
        </is>
      </c>
      <c r="L270" s="35">
        <f>IF(K270="FIN",3,IF(OR(K270="SEM",K270="SEMI"),2,IF(OR(K270="PRE",K270="HEAT"),1,IF(V270="YES",4,2))))</f>
        <v/>
      </c>
      <c r="M270" s="33" t="inlineStr">
        <is>
          <t>LCM</t>
        </is>
      </c>
      <c r="N270" s="33" t="n">
        <v>200</v>
      </c>
      <c r="O270" s="33" t="inlineStr">
        <is>
          <t>Free</t>
        </is>
      </c>
      <c r="P270" s="33" t="inlineStr">
        <is>
          <t>200 Free</t>
        </is>
      </c>
      <c r="Q270" s="33" t="inlineStr">
        <is>
          <t>LCM_200_FREE</t>
        </is>
      </c>
      <c r="R270" s="36" t="n">
        <v>108.69</v>
      </c>
      <c r="S270" s="35">
        <f>IF(R270="","",IF(R270&gt;=60,INT(R270/60)&amp;":"&amp;TEXT(MOD(R270,60),"00.00"),TEXT(R270,"0.00")))</f>
        <v/>
      </c>
      <c r="T270" s="52">
        <f>IFERROR((G270-INDEX('01_Swimmers'!$E$5:$E$22,MATCH(B270,'01_Swimmers'!$A$5:$A$22,0)))/'00_Control'!$B$10,"")</f>
        <v/>
      </c>
      <c r="U270" s="35">
        <f>IF(T270="","",INT(T270))</f>
        <v/>
      </c>
      <c r="V270" s="33" t="inlineStr">
        <is>
          <t>NO</t>
        </is>
      </c>
      <c r="W270" s="33" t="inlineStr">
        <is>
          <t>YES</t>
        </is>
      </c>
      <c r="X270" s="33" t="inlineStr">
        <is>
          <t>NO</t>
        </is>
      </c>
      <c r="Y270" s="33" t="n">
        <v>3</v>
      </c>
      <c r="Z270" s="33" t="n">
        <v>5</v>
      </c>
      <c r="AA270" s="33" t="inlineStr">
        <is>
          <t>4</t>
        </is>
      </c>
      <c r="AB270" s="33" t="inlineStr">
        <is>
          <t>https://www.swimcloud.com/results/196831/event/4/?id=41947102#time41947102</t>
        </is>
      </c>
      <c r="AC270" s="33" t="inlineStr">
        <is>
          <t>SwimCloud API v6 2026-10-08</t>
        </is>
      </c>
      <c r="AD270" s="33" t="inlineStr">
        <is>
          <t>Caeleb Dressel|2021-04-08|LCM|200|Free|108.69|TYR Pro Swim Series - Mission Viejo|PRE|False</t>
        </is>
      </c>
      <c r="AE270" s="53">
        <f>G270+L270/1000+ROW()/1000000000</f>
        <v/>
      </c>
      <c r="AF270" s="35">
        <f>IF(C270&lt;&gt;"Grayson Coulter","",COUNTIFS($C$5:$C$2991,"Grayson Coulter",$Q$5:$Q$2991,Q270,$AE$5:$AE$2991,"&lt;="&amp;AE270,$R$5:$R$2991,"&lt;"&amp;R270))</f>
        <v/>
      </c>
      <c r="AG270" s="35">
        <f>IF(OR(C270&lt;&gt;"Grayson Coulter",G270&lt;'00_Control'!$B$7),"",--(AF270&lt;5))</f>
        <v/>
      </c>
      <c r="AH270" s="35">
        <f>IF(OR(C270&lt;&gt;"Grayson Coulter",G270&lt;'00_Control'!$B$7),"",--(AF270&lt;10))</f>
        <v/>
      </c>
      <c r="AI270" s="35">
        <f>IF(AND(C270="Grayson Coulter",G270&gt;='00_Control'!$B$7),"YES","NO")</f>
        <v/>
      </c>
      <c r="AJ270" s="33" t="inlineStr">
        <is>
          <t>OK</t>
        </is>
      </c>
    </row>
    <row r="271">
      <c r="A271" s="33" t="inlineStr">
        <is>
          <t>SM000267</t>
        </is>
      </c>
      <c r="B271" s="33" t="inlineStr">
        <is>
          <t>SW010</t>
        </is>
      </c>
      <c r="C271" s="33" t="inlineStr">
        <is>
          <t>Caeleb Dressel</t>
        </is>
      </c>
      <c r="D271" s="33" t="inlineStr">
        <is>
          <t>SwimCloud</t>
        </is>
      </c>
      <c r="E271" s="33" t="inlineStr">
        <is>
          <t>2361642</t>
        </is>
      </c>
      <c r="F271" s="33" t="inlineStr">
        <is>
          <t>41947103</t>
        </is>
      </c>
      <c r="G271" s="51" t="n">
        <v>44294</v>
      </c>
      <c r="H271" s="33" t="inlineStr">
        <is>
          <t>TYR Pro Swim Series - Mission Viejo</t>
        </is>
      </c>
      <c r="I271" s="33" t="inlineStr">
        <is>
          <t>196831</t>
        </is>
      </c>
      <c r="J271" s="33" t="inlineStr"/>
      <c r="K271" s="33" t="inlineStr">
        <is>
          <t>FIN</t>
        </is>
      </c>
      <c r="L271" s="35">
        <f>IF(K271="FIN",3,IF(OR(K271="SEM",K271="SEMI"),2,IF(OR(K271="PRE",K271="HEAT"),1,IF(V271="YES",4,2))))</f>
        <v/>
      </c>
      <c r="M271" s="33" t="inlineStr">
        <is>
          <t>LCM</t>
        </is>
      </c>
      <c r="N271" s="33" t="n">
        <v>200</v>
      </c>
      <c r="O271" s="33" t="inlineStr">
        <is>
          <t>Free</t>
        </is>
      </c>
      <c r="P271" s="33" t="inlineStr">
        <is>
          <t>200 Free</t>
        </is>
      </c>
      <c r="Q271" s="33" t="inlineStr">
        <is>
          <t>LCM_200_FREE</t>
        </is>
      </c>
      <c r="R271" s="36" t="n">
        <v>107.57</v>
      </c>
      <c r="S271" s="35">
        <f>IF(R271="","",IF(R271&gt;=60,INT(R271/60)&amp;":"&amp;TEXT(MOD(R271,60),"00.00"),TEXT(R271,"0.00")))</f>
        <v/>
      </c>
      <c r="T271" s="52">
        <f>IFERROR((G271-INDEX('01_Swimmers'!$E$5:$E$22,MATCH(B271,'01_Swimmers'!$A$5:$A$22,0)))/'00_Control'!$B$10,"")</f>
        <v/>
      </c>
      <c r="U271" s="35">
        <f>IF(T271="","",INT(T271))</f>
        <v/>
      </c>
      <c r="V271" s="33" t="inlineStr">
        <is>
          <t>NO</t>
        </is>
      </c>
      <c r="W271" s="33" t="inlineStr">
        <is>
          <t>YES</t>
        </is>
      </c>
      <c r="X271" s="33" t="inlineStr">
        <is>
          <t>NO</t>
        </is>
      </c>
      <c r="Y271" s="33" t="n">
        <v>2</v>
      </c>
      <c r="Z271" s="33" t="n">
        <v>6</v>
      </c>
      <c r="AA271" s="33" t="inlineStr">
        <is>
          <t>1</t>
        </is>
      </c>
      <c r="AB271" s="33" t="inlineStr">
        <is>
          <t>https://www.swimcloud.com/results/196831/event/4/?id=41947103#time41947103</t>
        </is>
      </c>
      <c r="AC271" s="33" t="inlineStr">
        <is>
          <t>SwimCloud API v6 2026-10-08</t>
        </is>
      </c>
      <c r="AD271" s="33" t="inlineStr">
        <is>
          <t>Caeleb Dressel|2021-04-08|LCM|200|Free|107.57|TYR Pro Swim Series - Mission Viejo|FIN|False</t>
        </is>
      </c>
      <c r="AE271" s="53">
        <f>G271+L271/1000+ROW()/1000000000</f>
        <v/>
      </c>
      <c r="AF271" s="35">
        <f>IF(C271&lt;&gt;"Grayson Coulter","",COUNTIFS($C$5:$C$2991,"Grayson Coulter",$Q$5:$Q$2991,Q271,$AE$5:$AE$2991,"&lt;="&amp;AE271,$R$5:$R$2991,"&lt;"&amp;R271))</f>
        <v/>
      </c>
      <c r="AG271" s="35">
        <f>IF(OR(C271&lt;&gt;"Grayson Coulter",G271&lt;'00_Control'!$B$7),"",--(AF271&lt;5))</f>
        <v/>
      </c>
      <c r="AH271" s="35">
        <f>IF(OR(C271&lt;&gt;"Grayson Coulter",G271&lt;'00_Control'!$B$7),"",--(AF271&lt;10))</f>
        <v/>
      </c>
      <c r="AI271" s="35">
        <f>IF(AND(C271="Grayson Coulter",G271&gt;='00_Control'!$B$7),"YES","NO")</f>
        <v/>
      </c>
      <c r="AJ271" s="33" t="inlineStr">
        <is>
          <t>OK</t>
        </is>
      </c>
    </row>
    <row r="272">
      <c r="A272" s="33" t="inlineStr">
        <is>
          <t>SM000268</t>
        </is>
      </c>
      <c r="B272" s="33" t="inlineStr">
        <is>
          <t>SW010</t>
        </is>
      </c>
      <c r="C272" s="33" t="inlineStr">
        <is>
          <t>Caeleb Dressel</t>
        </is>
      </c>
      <c r="D272" s="33" t="inlineStr">
        <is>
          <t>SwimCloud</t>
        </is>
      </c>
      <c r="E272" s="33" t="inlineStr">
        <is>
          <t>2361642</t>
        </is>
      </c>
      <c r="F272" s="33" t="inlineStr">
        <is>
          <t>41947195</t>
        </is>
      </c>
      <c r="G272" s="51" t="n">
        <v>44296</v>
      </c>
      <c r="H272" s="33" t="inlineStr">
        <is>
          <t>TYR Pro Swim Series - Mission Viejo</t>
        </is>
      </c>
      <c r="I272" s="33" t="inlineStr">
        <is>
          <t>196831</t>
        </is>
      </c>
      <c r="J272" s="33" t="inlineStr"/>
      <c r="K272" s="33" t="inlineStr">
        <is>
          <t>PRE</t>
        </is>
      </c>
      <c r="L272" s="35">
        <f>IF(K272="FIN",3,IF(OR(K272="SEM",K272="SEMI"),2,IF(OR(K272="PRE",K272="HEAT"),1,IF(V272="YES",4,2))))</f>
        <v/>
      </c>
      <c r="M272" s="33" t="inlineStr">
        <is>
          <t>LCM</t>
        </is>
      </c>
      <c r="N272" s="33" t="n">
        <v>100</v>
      </c>
      <c r="O272" s="33" t="inlineStr">
        <is>
          <t>Free</t>
        </is>
      </c>
      <c r="P272" s="33" t="inlineStr">
        <is>
          <t>100 Free</t>
        </is>
      </c>
      <c r="Q272" s="33" t="inlineStr">
        <is>
          <t>LCM_100_FREE</t>
        </is>
      </c>
      <c r="R272" s="36" t="n">
        <v>48.82</v>
      </c>
      <c r="S272" s="35">
        <f>IF(R272="","",IF(R272&gt;=60,INT(R272/60)&amp;":"&amp;TEXT(MOD(R272,60),"00.00"),TEXT(R272,"0.00")))</f>
        <v/>
      </c>
      <c r="T272" s="52">
        <f>IFERROR((G272-INDEX('01_Swimmers'!$E$5:$E$22,MATCH(B272,'01_Swimmers'!$A$5:$A$22,0)))/'00_Control'!$B$10,"")</f>
        <v/>
      </c>
      <c r="U272" s="35">
        <f>IF(T272="","",INT(T272))</f>
        <v/>
      </c>
      <c r="V272" s="33" t="inlineStr">
        <is>
          <t>NO</t>
        </is>
      </c>
      <c r="W272" s="33" t="inlineStr">
        <is>
          <t>YES</t>
        </is>
      </c>
      <c r="X272" s="33" t="inlineStr">
        <is>
          <t>NO</t>
        </is>
      </c>
      <c r="Y272" s="33" t="n">
        <v>5</v>
      </c>
      <c r="Z272" s="33" t="n">
        <v>4</v>
      </c>
      <c r="AA272" s="33" t="inlineStr">
        <is>
          <t>1</t>
        </is>
      </c>
      <c r="AB272" s="33" t="inlineStr">
        <is>
          <t>https://www.swimcloud.com/results/196831/event/28/?id=41947195#time41947195</t>
        </is>
      </c>
      <c r="AC272" s="33" t="inlineStr">
        <is>
          <t>SwimCloud API v6 2026-10-08</t>
        </is>
      </c>
      <c r="AD272" s="33" t="inlineStr">
        <is>
          <t>Caeleb Dressel|2021-04-10|LCM|100|Free|48.82|TYR Pro Swim Series - Mission Viejo|PRE|False</t>
        </is>
      </c>
      <c r="AE272" s="53">
        <f>G272+L272/1000+ROW()/1000000000</f>
        <v/>
      </c>
      <c r="AF272" s="35">
        <f>IF(C272&lt;&gt;"Grayson Coulter","",COUNTIFS($C$5:$C$2991,"Grayson Coulter",$Q$5:$Q$2991,Q272,$AE$5:$AE$2991,"&lt;="&amp;AE272,$R$5:$R$2991,"&lt;"&amp;R272))</f>
        <v/>
      </c>
      <c r="AG272" s="35">
        <f>IF(OR(C272&lt;&gt;"Grayson Coulter",G272&lt;'00_Control'!$B$7),"",--(AF272&lt;5))</f>
        <v/>
      </c>
      <c r="AH272" s="35">
        <f>IF(OR(C272&lt;&gt;"Grayson Coulter",G272&lt;'00_Control'!$B$7),"",--(AF272&lt;10))</f>
        <v/>
      </c>
      <c r="AI272" s="35">
        <f>IF(AND(C272="Grayson Coulter",G272&gt;='00_Control'!$B$7),"YES","NO")</f>
        <v/>
      </c>
      <c r="AJ272" s="33" t="inlineStr">
        <is>
          <t>OK</t>
        </is>
      </c>
    </row>
    <row r="273">
      <c r="A273" s="33" t="inlineStr">
        <is>
          <t>SM000269</t>
        </is>
      </c>
      <c r="B273" s="33" t="inlineStr">
        <is>
          <t>SW010</t>
        </is>
      </c>
      <c r="C273" s="33" t="inlineStr">
        <is>
          <t>Caeleb Dressel</t>
        </is>
      </c>
      <c r="D273" s="33" t="inlineStr">
        <is>
          <t>SwimCloud</t>
        </is>
      </c>
      <c r="E273" s="33" t="inlineStr">
        <is>
          <t>2361642</t>
        </is>
      </c>
      <c r="F273" s="33" t="inlineStr">
        <is>
          <t>41762199</t>
        </is>
      </c>
      <c r="G273" s="51" t="n">
        <v>44330</v>
      </c>
      <c r="H273" s="33" t="inlineStr">
        <is>
          <t>2021 GA SA Mizuno Atlanta Classic</t>
        </is>
      </c>
      <c r="I273" s="33" t="inlineStr">
        <is>
          <t>198307</t>
        </is>
      </c>
      <c r="J273" s="33" t="inlineStr"/>
      <c r="K273" s="33" t="inlineStr">
        <is>
          <t>PRE</t>
        </is>
      </c>
      <c r="L273" s="35">
        <f>IF(K273="FIN",3,IF(OR(K273="SEM",K273="SEMI"),2,IF(OR(K273="PRE",K273="HEAT"),1,IF(V273="YES",4,2))))</f>
        <v/>
      </c>
      <c r="M273" s="33" t="inlineStr">
        <is>
          <t>LCM</t>
        </is>
      </c>
      <c r="N273" s="33" t="n">
        <v>100</v>
      </c>
      <c r="O273" s="33" t="inlineStr">
        <is>
          <t>Fly</t>
        </is>
      </c>
      <c r="P273" s="33" t="inlineStr">
        <is>
          <t>100 Fly</t>
        </is>
      </c>
      <c r="Q273" s="33" t="inlineStr">
        <is>
          <t>LCM_100_FLY</t>
        </is>
      </c>
      <c r="R273" s="36" t="n">
        <v>51.92</v>
      </c>
      <c r="S273" s="35">
        <f>IF(R273="","",IF(R273&gt;=60,INT(R273/60)&amp;":"&amp;TEXT(MOD(R273,60),"00.00"),TEXT(R273,"0.00")))</f>
        <v/>
      </c>
      <c r="T273" s="52">
        <f>IFERROR((G273-INDEX('01_Swimmers'!$E$5:$E$22,MATCH(B273,'01_Swimmers'!$A$5:$A$22,0)))/'00_Control'!$B$10,"")</f>
        <v/>
      </c>
      <c r="U273" s="35">
        <f>IF(T273="","",INT(T273))</f>
        <v/>
      </c>
      <c r="V273" s="33" t="inlineStr">
        <is>
          <t>NO</t>
        </is>
      </c>
      <c r="W273" s="33" t="inlineStr">
        <is>
          <t>YES</t>
        </is>
      </c>
      <c r="X273" s="33" t="inlineStr">
        <is>
          <t>NO</t>
        </is>
      </c>
      <c r="Y273" s="33" t="n">
        <v>11</v>
      </c>
      <c r="Z273" s="33" t="n">
        <v>4</v>
      </c>
      <c r="AA273" s="33" t="inlineStr">
        <is>
          <t>1</t>
        </is>
      </c>
      <c r="AB273" s="33" t="inlineStr">
        <is>
          <t>https://www.swimcloud.com/results/198307/event/6/?id=41762199#time41762199</t>
        </is>
      </c>
      <c r="AC273" s="33" t="inlineStr">
        <is>
          <t>SwimCloud API v6 2026-10-08</t>
        </is>
      </c>
      <c r="AD273" s="33" t="inlineStr">
        <is>
          <t>Caeleb Dressel|2021-05-14|LCM|100|Fly|51.92|2021 GA SA Mizuno Atlanta Classic|PRE|False</t>
        </is>
      </c>
      <c r="AE273" s="53">
        <f>G273+L273/1000+ROW()/1000000000</f>
        <v/>
      </c>
      <c r="AF273" s="35">
        <f>IF(C273&lt;&gt;"Grayson Coulter","",COUNTIFS($C$5:$C$2991,"Grayson Coulter",$Q$5:$Q$2991,Q273,$AE$5:$AE$2991,"&lt;="&amp;AE273,$R$5:$R$2991,"&lt;"&amp;R273))</f>
        <v/>
      </c>
      <c r="AG273" s="35">
        <f>IF(OR(C273&lt;&gt;"Grayson Coulter",G273&lt;'00_Control'!$B$7),"",--(AF273&lt;5))</f>
        <v/>
      </c>
      <c r="AH273" s="35">
        <f>IF(OR(C273&lt;&gt;"Grayson Coulter",G273&lt;'00_Control'!$B$7),"",--(AF273&lt;10))</f>
        <v/>
      </c>
      <c r="AI273" s="35">
        <f>IF(AND(C273="Grayson Coulter",G273&gt;='00_Control'!$B$7),"YES","NO")</f>
        <v/>
      </c>
      <c r="AJ273" s="33" t="inlineStr">
        <is>
          <t>OK</t>
        </is>
      </c>
    </row>
    <row r="274">
      <c r="A274" s="33" t="inlineStr">
        <is>
          <t>SM000270</t>
        </is>
      </c>
      <c r="B274" s="33" t="inlineStr">
        <is>
          <t>SW010</t>
        </is>
      </c>
      <c r="C274" s="33" t="inlineStr">
        <is>
          <t>Caeleb Dressel</t>
        </is>
      </c>
      <c r="D274" s="33" t="inlineStr">
        <is>
          <t>SwimCloud</t>
        </is>
      </c>
      <c r="E274" s="33" t="inlineStr">
        <is>
          <t>2361642</t>
        </is>
      </c>
      <c r="F274" s="33" t="inlineStr">
        <is>
          <t>41762200</t>
        </is>
      </c>
      <c r="G274" s="51" t="n">
        <v>44330</v>
      </c>
      <c r="H274" s="33" t="inlineStr">
        <is>
          <t>2021 GA SA Mizuno Atlanta Classic</t>
        </is>
      </c>
      <c r="I274" s="33" t="inlineStr">
        <is>
          <t>198307</t>
        </is>
      </c>
      <c r="J274" s="33" t="inlineStr"/>
      <c r="K274" s="33" t="inlineStr">
        <is>
          <t>FIN</t>
        </is>
      </c>
      <c r="L274" s="35">
        <f>IF(K274="FIN",3,IF(OR(K274="SEM",K274="SEMI"),2,IF(OR(K274="PRE",K274="HEAT"),1,IF(V274="YES",4,2))))</f>
        <v/>
      </c>
      <c r="M274" s="33" t="inlineStr">
        <is>
          <t>LCM</t>
        </is>
      </c>
      <c r="N274" s="33" t="n">
        <v>100</v>
      </c>
      <c r="O274" s="33" t="inlineStr">
        <is>
          <t>Fly</t>
        </is>
      </c>
      <c r="P274" s="33" t="inlineStr">
        <is>
          <t>100 Fly</t>
        </is>
      </c>
      <c r="Q274" s="33" t="inlineStr">
        <is>
          <t>LCM_100_FLY</t>
        </is>
      </c>
      <c r="R274" s="36" t="n">
        <v>51.15</v>
      </c>
      <c r="S274" s="35">
        <f>IF(R274="","",IF(R274&gt;=60,INT(R274/60)&amp;":"&amp;TEXT(MOD(R274,60),"00.00"),TEXT(R274,"0.00")))</f>
        <v/>
      </c>
      <c r="T274" s="52">
        <f>IFERROR((G274-INDEX('01_Swimmers'!$E$5:$E$22,MATCH(B274,'01_Swimmers'!$A$5:$A$22,0)))/'00_Control'!$B$10,"")</f>
        <v/>
      </c>
      <c r="U274" s="35">
        <f>IF(T274="","",INT(T274))</f>
        <v/>
      </c>
      <c r="V274" s="33" t="inlineStr">
        <is>
          <t>NO</t>
        </is>
      </c>
      <c r="W274" s="33" t="inlineStr">
        <is>
          <t>YES</t>
        </is>
      </c>
      <c r="X274" s="33" t="inlineStr">
        <is>
          <t>NO</t>
        </is>
      </c>
      <c r="Y274" s="33" t="n">
        <v>4</v>
      </c>
      <c r="Z274" s="33" t="n">
        <v>4</v>
      </c>
      <c r="AA274" s="33" t="inlineStr">
        <is>
          <t>1</t>
        </is>
      </c>
      <c r="AB274" s="33" t="inlineStr">
        <is>
          <t>https://www.swimcloud.com/results/198307/event/6/?id=41762200#time41762200</t>
        </is>
      </c>
      <c r="AC274" s="33" t="inlineStr">
        <is>
          <t>SwimCloud API v6 2026-10-08</t>
        </is>
      </c>
      <c r="AD274" s="33" t="inlineStr">
        <is>
          <t>Caeleb Dressel|2021-05-14|LCM|100|Fly|51.15|2021 GA SA Mizuno Atlanta Classic|FIN|False</t>
        </is>
      </c>
      <c r="AE274" s="53">
        <f>G274+L274/1000+ROW()/1000000000</f>
        <v/>
      </c>
      <c r="AF274" s="35">
        <f>IF(C274&lt;&gt;"Grayson Coulter","",COUNTIFS($C$5:$C$2991,"Grayson Coulter",$Q$5:$Q$2991,Q274,$AE$5:$AE$2991,"&lt;="&amp;AE274,$R$5:$R$2991,"&lt;"&amp;R274))</f>
        <v/>
      </c>
      <c r="AG274" s="35">
        <f>IF(OR(C274&lt;&gt;"Grayson Coulter",G274&lt;'00_Control'!$B$7),"",--(AF274&lt;5))</f>
        <v/>
      </c>
      <c r="AH274" s="35">
        <f>IF(OR(C274&lt;&gt;"Grayson Coulter",G274&lt;'00_Control'!$B$7),"",--(AF274&lt;10))</f>
        <v/>
      </c>
      <c r="AI274" s="35">
        <f>IF(AND(C274="Grayson Coulter",G274&gt;='00_Control'!$B$7),"YES","NO")</f>
        <v/>
      </c>
      <c r="AJ274" s="33" t="inlineStr">
        <is>
          <t>OK</t>
        </is>
      </c>
    </row>
    <row r="275">
      <c r="A275" s="33" t="inlineStr">
        <is>
          <t>SM000271</t>
        </is>
      </c>
      <c r="B275" s="33" t="inlineStr">
        <is>
          <t>SW010</t>
        </is>
      </c>
      <c r="C275" s="33" t="inlineStr">
        <is>
          <t>Caeleb Dressel</t>
        </is>
      </c>
      <c r="D275" s="33" t="inlineStr">
        <is>
          <t>SwimCloud</t>
        </is>
      </c>
      <c r="E275" s="33" t="inlineStr">
        <is>
          <t>2361642</t>
        </is>
      </c>
      <c r="F275" s="33" t="inlineStr">
        <is>
          <t>41761343</t>
        </is>
      </c>
      <c r="G275" s="51" t="n">
        <v>44330</v>
      </c>
      <c r="H275" s="33" t="inlineStr">
        <is>
          <t>2021 GA SA Mizuno Atlanta Classic</t>
        </is>
      </c>
      <c r="I275" s="33" t="inlineStr">
        <is>
          <t>198307</t>
        </is>
      </c>
      <c r="J275" s="33" t="inlineStr"/>
      <c r="K275" s="33" t="inlineStr">
        <is>
          <t>PRE</t>
        </is>
      </c>
      <c r="L275" s="35">
        <f>IF(K275="FIN",3,IF(OR(K275="SEM",K275="SEMI"),2,IF(OR(K275="PRE",K275="HEAT"),1,IF(V275="YES",4,2))))</f>
        <v/>
      </c>
      <c r="M275" s="33" t="inlineStr">
        <is>
          <t>LCM</t>
        </is>
      </c>
      <c r="N275" s="33" t="n">
        <v>200</v>
      </c>
      <c r="O275" s="33" t="inlineStr">
        <is>
          <t>Free</t>
        </is>
      </c>
      <c r="P275" s="33" t="inlineStr">
        <is>
          <t>200 Free</t>
        </is>
      </c>
      <c r="Q275" s="33" t="inlineStr">
        <is>
          <t>LCM_200_FREE</t>
        </is>
      </c>
      <c r="R275" s="36" t="n">
        <v>109.35</v>
      </c>
      <c r="S275" s="35">
        <f>IF(R275="","",IF(R275&gt;=60,INT(R275/60)&amp;":"&amp;TEXT(MOD(R275,60),"00.00"),TEXT(R275,"0.00")))</f>
        <v/>
      </c>
      <c r="T275" s="52">
        <f>IFERROR((G275-INDEX('01_Swimmers'!$E$5:$E$22,MATCH(B275,'01_Swimmers'!$A$5:$A$22,0)))/'00_Control'!$B$10,"")</f>
        <v/>
      </c>
      <c r="U275" s="35">
        <f>IF(T275="","",INT(T275))</f>
        <v/>
      </c>
      <c r="V275" s="33" t="inlineStr">
        <is>
          <t>NO</t>
        </is>
      </c>
      <c r="W275" s="33" t="inlineStr">
        <is>
          <t>YES</t>
        </is>
      </c>
      <c r="X275" s="33" t="inlineStr">
        <is>
          <t>NO</t>
        </is>
      </c>
      <c r="Y275" s="33" t="n">
        <v>10</v>
      </c>
      <c r="Z275" s="33" t="n">
        <v>5</v>
      </c>
      <c r="AA275" s="33" t="inlineStr">
        <is>
          <t>7</t>
        </is>
      </c>
      <c r="AB275" s="33" t="inlineStr">
        <is>
          <t>https://www.swimcloud.com/results/198307/event/2/?id=41761343#time41761343</t>
        </is>
      </c>
      <c r="AC275" s="33" t="inlineStr">
        <is>
          <t>SwimCloud API v6 2026-10-08</t>
        </is>
      </c>
      <c r="AD275" s="33" t="inlineStr">
        <is>
          <t>Caeleb Dressel|2021-05-14|LCM|200|Free|109.35|2021 GA SA Mizuno Atlanta Classic|PRE|False</t>
        </is>
      </c>
      <c r="AE275" s="53">
        <f>G275+L275/1000+ROW()/1000000000</f>
        <v/>
      </c>
      <c r="AF275" s="35">
        <f>IF(C275&lt;&gt;"Grayson Coulter","",COUNTIFS($C$5:$C$2991,"Grayson Coulter",$Q$5:$Q$2991,Q275,$AE$5:$AE$2991,"&lt;="&amp;AE275,$R$5:$R$2991,"&lt;"&amp;R275))</f>
        <v/>
      </c>
      <c r="AG275" s="35">
        <f>IF(OR(C275&lt;&gt;"Grayson Coulter",G275&lt;'00_Control'!$B$7),"",--(AF275&lt;5))</f>
        <v/>
      </c>
      <c r="AH275" s="35">
        <f>IF(OR(C275&lt;&gt;"Grayson Coulter",G275&lt;'00_Control'!$B$7),"",--(AF275&lt;10))</f>
        <v/>
      </c>
      <c r="AI275" s="35">
        <f>IF(AND(C275="Grayson Coulter",G275&gt;='00_Control'!$B$7),"YES","NO")</f>
        <v/>
      </c>
      <c r="AJ275" s="33" t="inlineStr">
        <is>
          <t>OK</t>
        </is>
      </c>
    </row>
    <row r="276">
      <c r="A276" s="33" t="inlineStr">
        <is>
          <t>SM000272</t>
        </is>
      </c>
      <c r="B276" s="33" t="inlineStr">
        <is>
          <t>SW010</t>
        </is>
      </c>
      <c r="C276" s="33" t="inlineStr">
        <is>
          <t>Caeleb Dressel</t>
        </is>
      </c>
      <c r="D276" s="33" t="inlineStr">
        <is>
          <t>SwimCloud</t>
        </is>
      </c>
      <c r="E276" s="33" t="inlineStr">
        <is>
          <t>2361642</t>
        </is>
      </c>
      <c r="F276" s="33" t="inlineStr">
        <is>
          <t>41761344</t>
        </is>
      </c>
      <c r="G276" s="51" t="n">
        <v>44330</v>
      </c>
      <c r="H276" s="33" t="inlineStr">
        <is>
          <t>2021 GA SA Mizuno Atlanta Classic</t>
        </is>
      </c>
      <c r="I276" s="33" t="inlineStr">
        <is>
          <t>198307</t>
        </is>
      </c>
      <c r="J276" s="33" t="inlineStr"/>
      <c r="K276" s="33" t="inlineStr">
        <is>
          <t>FIN</t>
        </is>
      </c>
      <c r="L276" s="35">
        <f>IF(K276="FIN",3,IF(OR(K276="SEM",K276="SEMI"),2,IF(OR(K276="PRE",K276="HEAT"),1,IF(V276="YES",4,2))))</f>
        <v/>
      </c>
      <c r="M276" s="33" t="inlineStr">
        <is>
          <t>LCM</t>
        </is>
      </c>
      <c r="N276" s="33" t="n">
        <v>200</v>
      </c>
      <c r="O276" s="33" t="inlineStr">
        <is>
          <t>Free</t>
        </is>
      </c>
      <c r="P276" s="33" t="inlineStr">
        <is>
          <t>200 Free</t>
        </is>
      </c>
      <c r="Q276" s="33" t="inlineStr">
        <is>
          <t>LCM_200_FREE</t>
        </is>
      </c>
      <c r="R276" s="36" t="n">
        <v>107.42</v>
      </c>
      <c r="S276" s="35">
        <f>IF(R276="","",IF(R276&gt;=60,INT(R276/60)&amp;":"&amp;TEXT(MOD(R276,60),"00.00"),TEXT(R276,"0.00")))</f>
        <v/>
      </c>
      <c r="T276" s="52">
        <f>IFERROR((G276-INDEX('01_Swimmers'!$E$5:$E$22,MATCH(B276,'01_Swimmers'!$A$5:$A$22,0)))/'00_Control'!$B$10,"")</f>
        <v/>
      </c>
      <c r="U276" s="35">
        <f>IF(T276="","",INT(T276))</f>
        <v/>
      </c>
      <c r="V276" s="33" t="inlineStr">
        <is>
          <t>NO</t>
        </is>
      </c>
      <c r="W276" s="33" t="inlineStr">
        <is>
          <t>YES</t>
        </is>
      </c>
      <c r="X276" s="33" t="inlineStr">
        <is>
          <t>NO</t>
        </is>
      </c>
      <c r="Y276" s="33" t="n">
        <v>4</v>
      </c>
      <c r="Z276" s="33" t="n">
        <v>1</v>
      </c>
      <c r="AA276" s="33" t="inlineStr">
        <is>
          <t>4</t>
        </is>
      </c>
      <c r="AB276" s="33" t="inlineStr">
        <is>
          <t>https://www.swimcloud.com/results/198307/event/2/?id=41761344#time41761344</t>
        </is>
      </c>
      <c r="AC276" s="33" t="inlineStr">
        <is>
          <t>SwimCloud API v6 2026-10-08</t>
        </is>
      </c>
      <c r="AD276" s="33" t="inlineStr">
        <is>
          <t>Caeleb Dressel|2021-05-14|LCM|200|Free|107.42|2021 GA SA Mizuno Atlanta Classic|FIN|False</t>
        </is>
      </c>
      <c r="AE276" s="53">
        <f>G276+L276/1000+ROW()/1000000000</f>
        <v/>
      </c>
      <c r="AF276" s="35">
        <f>IF(C276&lt;&gt;"Grayson Coulter","",COUNTIFS($C$5:$C$2991,"Grayson Coulter",$Q$5:$Q$2991,Q276,$AE$5:$AE$2991,"&lt;="&amp;AE276,$R$5:$R$2991,"&lt;"&amp;R276))</f>
        <v/>
      </c>
      <c r="AG276" s="35">
        <f>IF(OR(C276&lt;&gt;"Grayson Coulter",G276&lt;'00_Control'!$B$7),"",--(AF276&lt;5))</f>
        <v/>
      </c>
      <c r="AH276" s="35">
        <f>IF(OR(C276&lt;&gt;"Grayson Coulter",G276&lt;'00_Control'!$B$7),"",--(AF276&lt;10))</f>
        <v/>
      </c>
      <c r="AI276" s="35">
        <f>IF(AND(C276="Grayson Coulter",G276&gt;='00_Control'!$B$7),"YES","NO")</f>
        <v/>
      </c>
      <c r="AJ276" s="33" t="inlineStr">
        <is>
          <t>OK</t>
        </is>
      </c>
    </row>
    <row r="277">
      <c r="A277" s="33" t="inlineStr">
        <is>
          <t>SM000273</t>
        </is>
      </c>
      <c r="B277" s="33" t="inlineStr">
        <is>
          <t>SW010</t>
        </is>
      </c>
      <c r="C277" s="33" t="inlineStr">
        <is>
          <t>Caeleb Dressel</t>
        </is>
      </c>
      <c r="D277" s="33" t="inlineStr">
        <is>
          <t>SwimCloud</t>
        </is>
      </c>
      <c r="E277" s="33" t="inlineStr">
        <is>
          <t>2361642</t>
        </is>
      </c>
      <c r="F277" s="33" t="inlineStr">
        <is>
          <t>41763426</t>
        </is>
      </c>
      <c r="G277" s="51" t="n">
        <v>44331</v>
      </c>
      <c r="H277" s="33" t="inlineStr">
        <is>
          <t>2021 GA SA Mizuno Atlanta Classic</t>
        </is>
      </c>
      <c r="I277" s="33" t="inlineStr">
        <is>
          <t>198307</t>
        </is>
      </c>
      <c r="J277" s="33" t="inlineStr"/>
      <c r="K277" s="33" t="inlineStr">
        <is>
          <t>TIM</t>
        </is>
      </c>
      <c r="L277" s="35">
        <f>IF(K277="FIN",3,IF(OR(K277="SEM",K277="SEMI"),2,IF(OR(K277="PRE",K277="HEAT"),1,IF(V277="YES",4,2))))</f>
        <v/>
      </c>
      <c r="M277" s="33" t="inlineStr">
        <is>
          <t>LCM</t>
        </is>
      </c>
      <c r="N277" s="33" t="n">
        <v>100</v>
      </c>
      <c r="O277" s="33" t="inlineStr">
        <is>
          <t>Free</t>
        </is>
      </c>
      <c r="P277" s="33" t="inlineStr">
        <is>
          <t>100 Free</t>
        </is>
      </c>
      <c r="Q277" s="33" t="inlineStr">
        <is>
          <t>LCM_100_FREE</t>
        </is>
      </c>
      <c r="R277" s="36" t="n">
        <v>48.67</v>
      </c>
      <c r="S277" s="35">
        <f>IF(R277="","",IF(R277&gt;=60,INT(R277/60)&amp;":"&amp;TEXT(MOD(R277,60),"00.00"),TEXT(R277,"0.00")))</f>
        <v/>
      </c>
      <c r="T277" s="52">
        <f>IFERROR((G277-INDEX('01_Swimmers'!$E$5:$E$22,MATCH(B277,'01_Swimmers'!$A$5:$A$22,0)))/'00_Control'!$B$10,"")</f>
        <v/>
      </c>
      <c r="U277" s="35">
        <f>IF(T277="","",INT(T277))</f>
        <v/>
      </c>
      <c r="V277" s="33" t="inlineStr">
        <is>
          <t>NO</t>
        </is>
      </c>
      <c r="W277" s="33" t="inlineStr">
        <is>
          <t>YES</t>
        </is>
      </c>
      <c r="X277" s="33" t="inlineStr">
        <is>
          <t>NO</t>
        </is>
      </c>
      <c r="Y277" s="33" t="n">
        <v>1</v>
      </c>
      <c r="Z277" s="33" t="n">
        <v>1</v>
      </c>
      <c r="AA277" s="33" t="inlineStr">
        <is>
          <t>1</t>
        </is>
      </c>
      <c r="AB277" s="33" t="inlineStr">
        <is>
          <t>https://www.swimcloud.com/results/198307/event/224/?id=41763426#time41763426</t>
        </is>
      </c>
      <c r="AC277" s="33" t="inlineStr">
        <is>
          <t>SwimCloud API v6 2026-10-08</t>
        </is>
      </c>
      <c r="AD277" s="33" t="inlineStr">
        <is>
          <t>Caeleb Dressel|2021-05-15|LCM|100|Free|48.67|2021 GA SA Mizuno Atlanta Classic|TIM|False</t>
        </is>
      </c>
      <c r="AE277" s="53">
        <f>G277+L277/1000+ROW()/1000000000</f>
        <v/>
      </c>
      <c r="AF277" s="35">
        <f>IF(C277&lt;&gt;"Grayson Coulter","",COUNTIFS($C$5:$C$2991,"Grayson Coulter",$Q$5:$Q$2991,Q277,$AE$5:$AE$2991,"&lt;="&amp;AE277,$R$5:$R$2991,"&lt;"&amp;R277))</f>
        <v/>
      </c>
      <c r="AG277" s="35">
        <f>IF(OR(C277&lt;&gt;"Grayson Coulter",G277&lt;'00_Control'!$B$7),"",--(AF277&lt;5))</f>
        <v/>
      </c>
      <c r="AH277" s="35">
        <f>IF(OR(C277&lt;&gt;"Grayson Coulter",G277&lt;'00_Control'!$B$7),"",--(AF277&lt;10))</f>
        <v/>
      </c>
      <c r="AI277" s="35">
        <f>IF(AND(C277="Grayson Coulter",G277&gt;='00_Control'!$B$7),"YES","NO")</f>
        <v/>
      </c>
      <c r="AJ277" s="33" t="inlineStr">
        <is>
          <t>OK</t>
        </is>
      </c>
    </row>
    <row r="278">
      <c r="A278" s="33" t="inlineStr">
        <is>
          <t>SM000274</t>
        </is>
      </c>
      <c r="B278" s="33" t="inlineStr">
        <is>
          <t>SW010</t>
        </is>
      </c>
      <c r="C278" s="33" t="inlineStr">
        <is>
          <t>Caeleb Dressel</t>
        </is>
      </c>
      <c r="D278" s="33" t="inlineStr">
        <is>
          <t>SwimCloud</t>
        </is>
      </c>
      <c r="E278" s="33" t="inlineStr">
        <is>
          <t>2361642</t>
        </is>
      </c>
      <c r="F278" s="33" t="inlineStr">
        <is>
          <t>41762817</t>
        </is>
      </c>
      <c r="G278" s="51" t="n">
        <v>44332</v>
      </c>
      <c r="H278" s="33" t="inlineStr">
        <is>
          <t>2021 GA SA Mizuno Atlanta Classic</t>
        </is>
      </c>
      <c r="I278" s="33" t="inlineStr">
        <is>
          <t>198307</t>
        </is>
      </c>
      <c r="J278" s="33" t="inlineStr"/>
      <c r="K278" s="33" t="inlineStr">
        <is>
          <t>PRE</t>
        </is>
      </c>
      <c r="L278" s="35">
        <f>IF(K278="FIN",3,IF(OR(K278="SEM",K278="SEMI"),2,IF(OR(K278="PRE",K278="HEAT"),1,IF(V278="YES",4,2))))</f>
        <v/>
      </c>
      <c r="M278" s="33" t="inlineStr">
        <is>
          <t>LCM</t>
        </is>
      </c>
      <c r="N278" s="33" t="n">
        <v>100</v>
      </c>
      <c r="O278" s="33" t="inlineStr">
        <is>
          <t>Free</t>
        </is>
      </c>
      <c r="P278" s="33" t="inlineStr">
        <is>
          <t>100 Free</t>
        </is>
      </c>
      <c r="Q278" s="33" t="inlineStr">
        <is>
          <t>LCM_100_FREE</t>
        </is>
      </c>
      <c r="R278" s="36" t="n">
        <v>48</v>
      </c>
      <c r="S278" s="35">
        <f>IF(R278="","",IF(R278&gt;=60,INT(R278/60)&amp;":"&amp;TEXT(MOD(R278,60),"00.00"),TEXT(R278,"0.00")))</f>
        <v/>
      </c>
      <c r="T278" s="52">
        <f>IFERROR((G278-INDEX('01_Swimmers'!$E$5:$E$22,MATCH(B278,'01_Swimmers'!$A$5:$A$22,0)))/'00_Control'!$B$10,"")</f>
        <v/>
      </c>
      <c r="U278" s="35">
        <f>IF(T278="","",INT(T278))</f>
        <v/>
      </c>
      <c r="V278" s="33" t="inlineStr">
        <is>
          <t>NO</t>
        </is>
      </c>
      <c r="W278" s="33" t="inlineStr">
        <is>
          <t>YES</t>
        </is>
      </c>
      <c r="X278" s="33" t="inlineStr">
        <is>
          <t>NO</t>
        </is>
      </c>
      <c r="Y278" s="33" t="n">
        <v>13</v>
      </c>
      <c r="Z278" s="33" t="n">
        <v>4</v>
      </c>
      <c r="AA278" s="33" t="inlineStr">
        <is>
          <t>1</t>
        </is>
      </c>
      <c r="AB278" s="33" t="inlineStr">
        <is>
          <t>https://www.swimcloud.com/results/198307/event/24/?id=41762817#time41762817</t>
        </is>
      </c>
      <c r="AC278" s="33" t="inlineStr">
        <is>
          <t>SwimCloud API v6 2026-10-08</t>
        </is>
      </c>
      <c r="AD278" s="33" t="inlineStr">
        <is>
          <t>Caeleb Dressel|2021-05-16|LCM|100|Free|48.0|2021 GA SA Mizuno Atlanta Classic|PRE|False</t>
        </is>
      </c>
      <c r="AE278" s="53">
        <f>G278+L278/1000+ROW()/1000000000</f>
        <v/>
      </c>
      <c r="AF278" s="35">
        <f>IF(C278&lt;&gt;"Grayson Coulter","",COUNTIFS($C$5:$C$2991,"Grayson Coulter",$Q$5:$Q$2991,Q278,$AE$5:$AE$2991,"&lt;="&amp;AE278,$R$5:$R$2991,"&lt;"&amp;R278))</f>
        <v/>
      </c>
      <c r="AG278" s="35">
        <f>IF(OR(C278&lt;&gt;"Grayson Coulter",G278&lt;'00_Control'!$B$7),"",--(AF278&lt;5))</f>
        <v/>
      </c>
      <c r="AH278" s="35">
        <f>IF(OR(C278&lt;&gt;"Grayson Coulter",G278&lt;'00_Control'!$B$7),"",--(AF278&lt;10))</f>
        <v/>
      </c>
      <c r="AI278" s="35">
        <f>IF(AND(C278="Grayson Coulter",G278&gt;='00_Control'!$B$7),"YES","NO")</f>
        <v/>
      </c>
      <c r="AJ278" s="33" t="inlineStr">
        <is>
          <t>OK</t>
        </is>
      </c>
    </row>
    <row r="279">
      <c r="A279" s="33" t="inlineStr">
        <is>
          <t>SM000275</t>
        </is>
      </c>
      <c r="B279" s="33" t="inlineStr">
        <is>
          <t>SW010</t>
        </is>
      </c>
      <c r="C279" s="33" t="inlineStr">
        <is>
          <t>Caeleb Dressel</t>
        </is>
      </c>
      <c r="D279" s="33" t="inlineStr">
        <is>
          <t>SwimCloud</t>
        </is>
      </c>
      <c r="E279" s="33" t="inlineStr">
        <is>
          <t>2361642</t>
        </is>
      </c>
      <c r="F279" s="33" t="inlineStr">
        <is>
          <t>42382996</t>
        </is>
      </c>
      <c r="G279" s="51" t="n">
        <v>44361</v>
      </c>
      <c r="H279" s="33" t="inlineStr">
        <is>
          <t>USA Olympic Team Trials - Wave 2</t>
        </is>
      </c>
      <c r="I279" s="33" t="inlineStr">
        <is>
          <t>197324</t>
        </is>
      </c>
      <c r="J279" s="33" t="inlineStr"/>
      <c r="K279" s="33" t="inlineStr">
        <is>
          <t>PRE</t>
        </is>
      </c>
      <c r="L279" s="35">
        <f>IF(K279="FIN",3,IF(OR(K279="SEM",K279="SEMI"),2,IF(OR(K279="PRE",K279="HEAT"),1,IF(V279="YES",4,2))))</f>
        <v/>
      </c>
      <c r="M279" s="33" t="inlineStr">
        <is>
          <t>LCM</t>
        </is>
      </c>
      <c r="N279" s="33" t="n">
        <v>200</v>
      </c>
      <c r="O279" s="33" t="inlineStr">
        <is>
          <t>Free</t>
        </is>
      </c>
      <c r="P279" s="33" t="inlineStr">
        <is>
          <t>200 Free</t>
        </is>
      </c>
      <c r="Q279" s="33" t="inlineStr">
        <is>
          <t>LCM_200_FREE</t>
        </is>
      </c>
      <c r="R279" s="36" t="n">
        <v>106.63</v>
      </c>
      <c r="S279" s="35">
        <f>IF(R279="","",IF(R279&gt;=60,INT(R279/60)&amp;":"&amp;TEXT(MOD(R279,60),"00.00"),TEXT(R279,"0.00")))</f>
        <v/>
      </c>
      <c r="T279" s="52">
        <f>IFERROR((G279-INDEX('01_Swimmers'!$E$5:$E$22,MATCH(B279,'01_Swimmers'!$A$5:$A$22,0)))/'00_Control'!$B$10,"")</f>
        <v/>
      </c>
      <c r="U279" s="35">
        <f>IF(T279="","",INT(T279))</f>
        <v/>
      </c>
      <c r="V279" s="33" t="inlineStr">
        <is>
          <t>NO</t>
        </is>
      </c>
      <c r="W279" s="33" t="inlineStr">
        <is>
          <t>YES</t>
        </is>
      </c>
      <c r="X279" s="33" t="inlineStr">
        <is>
          <t>NO</t>
        </is>
      </c>
      <c r="Y279" s="33" t="n">
        <v>7</v>
      </c>
      <c r="Z279" s="33" t="n">
        <v>6</v>
      </c>
      <c r="AA279" s="33" t="inlineStr">
        <is>
          <t>2</t>
        </is>
      </c>
      <c r="AB279" s="33" t="inlineStr">
        <is>
          <t>https://www.swimcloud.com/results/197324/event/7/?id=42382996#time42382996</t>
        </is>
      </c>
      <c r="AC279" s="33" t="inlineStr">
        <is>
          <t>SwimCloud API v6 2026-10-08</t>
        </is>
      </c>
      <c r="AD279" s="33" t="inlineStr">
        <is>
          <t>Caeleb Dressel|2021-06-14|LCM|200|Free|106.63|USA Olympic Team Trials - Wave 2|PRE|False</t>
        </is>
      </c>
      <c r="AE279" s="53">
        <f>G279+L279/1000+ROW()/1000000000</f>
        <v/>
      </c>
      <c r="AF279" s="35">
        <f>IF(C279&lt;&gt;"Grayson Coulter","",COUNTIFS($C$5:$C$2991,"Grayson Coulter",$Q$5:$Q$2991,Q279,$AE$5:$AE$2991,"&lt;="&amp;AE279,$R$5:$R$2991,"&lt;"&amp;R279))</f>
        <v/>
      </c>
      <c r="AG279" s="35">
        <f>IF(OR(C279&lt;&gt;"Grayson Coulter",G279&lt;'00_Control'!$B$7),"",--(AF279&lt;5))</f>
        <v/>
      </c>
      <c r="AH279" s="35">
        <f>IF(OR(C279&lt;&gt;"Grayson Coulter",G279&lt;'00_Control'!$B$7),"",--(AF279&lt;10))</f>
        <v/>
      </c>
      <c r="AI279" s="35">
        <f>IF(AND(C279="Grayson Coulter",G279&gt;='00_Control'!$B$7),"YES","NO")</f>
        <v/>
      </c>
      <c r="AJ279" s="33" t="inlineStr">
        <is>
          <t>OK</t>
        </is>
      </c>
    </row>
    <row r="280">
      <c r="A280" s="33" t="inlineStr">
        <is>
          <t>SM000276</t>
        </is>
      </c>
      <c r="B280" s="33" t="inlineStr">
        <is>
          <t>SW010</t>
        </is>
      </c>
      <c r="C280" s="33" t="inlineStr">
        <is>
          <t>Caeleb Dressel</t>
        </is>
      </c>
      <c r="D280" s="33" t="inlineStr">
        <is>
          <t>SwimCloud</t>
        </is>
      </c>
      <c r="E280" s="33" t="inlineStr">
        <is>
          <t>2361642</t>
        </is>
      </c>
      <c r="F280" s="33" t="inlineStr">
        <is>
          <t>42382211</t>
        </is>
      </c>
      <c r="G280" s="51" t="n">
        <v>44363</v>
      </c>
      <c r="H280" s="33" t="inlineStr">
        <is>
          <t>USA Olympic Team Trials - Wave 2</t>
        </is>
      </c>
      <c r="I280" s="33" t="inlineStr">
        <is>
          <t>197324</t>
        </is>
      </c>
      <c r="J280" s="33" t="inlineStr"/>
      <c r="K280" s="33" t="inlineStr">
        <is>
          <t>PRE</t>
        </is>
      </c>
      <c r="L280" s="35">
        <f>IF(K280="FIN",3,IF(OR(K280="SEM",K280="SEMI"),2,IF(OR(K280="PRE",K280="HEAT"),1,IF(V280="YES",4,2))))</f>
        <v/>
      </c>
      <c r="M280" s="33" t="inlineStr">
        <is>
          <t>LCM</t>
        </is>
      </c>
      <c r="N280" s="33" t="n">
        <v>100</v>
      </c>
      <c r="O280" s="33" t="inlineStr">
        <is>
          <t>Free</t>
        </is>
      </c>
      <c r="P280" s="33" t="inlineStr">
        <is>
          <t>100 Free</t>
        </is>
      </c>
      <c r="Q280" s="33" t="inlineStr">
        <is>
          <t>LCM_100_FREE</t>
        </is>
      </c>
      <c r="R280" s="36" t="n">
        <v>48.25</v>
      </c>
      <c r="S280" s="35">
        <f>IF(R280="","",IF(R280&gt;=60,INT(R280/60)&amp;":"&amp;TEXT(MOD(R280,60),"00.00"),TEXT(R280,"0.00")))</f>
        <v/>
      </c>
      <c r="T280" s="52">
        <f>IFERROR((G280-INDEX('01_Swimmers'!$E$5:$E$22,MATCH(B280,'01_Swimmers'!$A$5:$A$22,0)))/'00_Control'!$B$10,"")</f>
        <v/>
      </c>
      <c r="U280" s="35">
        <f>IF(T280="","",INT(T280))</f>
        <v/>
      </c>
      <c r="V280" s="33" t="inlineStr">
        <is>
          <t>NO</t>
        </is>
      </c>
      <c r="W280" s="33" t="inlineStr">
        <is>
          <t>YES</t>
        </is>
      </c>
      <c r="X280" s="33" t="inlineStr">
        <is>
          <t>NO</t>
        </is>
      </c>
      <c r="Y280" s="33" t="n">
        <v>8</v>
      </c>
      <c r="Z280" s="33" t="n">
        <v>4</v>
      </c>
      <c r="AA280" s="33" t="inlineStr">
        <is>
          <t>5</t>
        </is>
      </c>
      <c r="AB280" s="33" t="inlineStr">
        <is>
          <t>https://www.swimcloud.com/results/197324/event/15/?id=42382211#time42382211</t>
        </is>
      </c>
      <c r="AC280" s="33" t="inlineStr">
        <is>
          <t>SwimCloud API v6 2026-10-08</t>
        </is>
      </c>
      <c r="AD280" s="33" t="inlineStr">
        <is>
          <t>Caeleb Dressel|2021-06-16|LCM|100|Free|48.25|USA Olympic Team Trials - Wave 2|PRE|False</t>
        </is>
      </c>
      <c r="AE280" s="53">
        <f>G280+L280/1000+ROW()/1000000000</f>
        <v/>
      </c>
      <c r="AF280" s="35">
        <f>IF(C280&lt;&gt;"Grayson Coulter","",COUNTIFS($C$5:$C$2991,"Grayson Coulter",$Q$5:$Q$2991,Q280,$AE$5:$AE$2991,"&lt;="&amp;AE280,$R$5:$R$2991,"&lt;"&amp;R280))</f>
        <v/>
      </c>
      <c r="AG280" s="35">
        <f>IF(OR(C280&lt;&gt;"Grayson Coulter",G280&lt;'00_Control'!$B$7),"",--(AF280&lt;5))</f>
        <v/>
      </c>
      <c r="AH280" s="35">
        <f>IF(OR(C280&lt;&gt;"Grayson Coulter",G280&lt;'00_Control'!$B$7),"",--(AF280&lt;10))</f>
        <v/>
      </c>
      <c r="AI280" s="35">
        <f>IF(AND(C280="Grayson Coulter",G280&gt;='00_Control'!$B$7),"YES","NO")</f>
        <v/>
      </c>
      <c r="AJ280" s="33" t="inlineStr">
        <is>
          <t>OK</t>
        </is>
      </c>
    </row>
    <row r="281">
      <c r="A281" s="33" t="inlineStr">
        <is>
          <t>SM000277</t>
        </is>
      </c>
      <c r="B281" s="33" t="inlineStr">
        <is>
          <t>SW010</t>
        </is>
      </c>
      <c r="C281" s="33" t="inlineStr">
        <is>
          <t>Caeleb Dressel</t>
        </is>
      </c>
      <c r="D281" s="33" t="inlineStr">
        <is>
          <t>SwimCloud</t>
        </is>
      </c>
      <c r="E281" s="33" t="inlineStr">
        <is>
          <t>2361642</t>
        </is>
      </c>
      <c r="F281" s="33" t="inlineStr">
        <is>
          <t>42383593</t>
        </is>
      </c>
      <c r="G281" s="51" t="n">
        <v>44363</v>
      </c>
      <c r="H281" s="33" t="inlineStr">
        <is>
          <t>USA Olympic Team Trials - Wave 2</t>
        </is>
      </c>
      <c r="I281" s="33" t="inlineStr">
        <is>
          <t>197324</t>
        </is>
      </c>
      <c r="J281" s="33" t="inlineStr"/>
      <c r="K281" s="33" t="inlineStr">
        <is>
          <t>SEM</t>
        </is>
      </c>
      <c r="L281" s="35">
        <f>IF(K281="FIN",3,IF(OR(K281="SEM",K281="SEMI"),2,IF(OR(K281="PRE",K281="HEAT"),1,IF(V281="YES",4,2))))</f>
        <v/>
      </c>
      <c r="M281" s="33" t="inlineStr">
        <is>
          <t>LCM</t>
        </is>
      </c>
      <c r="N281" s="33" t="n">
        <v>100</v>
      </c>
      <c r="O281" s="33" t="inlineStr">
        <is>
          <t>Free</t>
        </is>
      </c>
      <c r="P281" s="33" t="inlineStr">
        <is>
          <t>100 Free</t>
        </is>
      </c>
      <c r="Q281" s="33" t="inlineStr">
        <is>
          <t>LCM_100_FREE</t>
        </is>
      </c>
      <c r="R281" s="36" t="n">
        <v>47.77</v>
      </c>
      <c r="S281" s="35">
        <f>IF(R281="","",IF(R281&gt;=60,INT(R281/60)&amp;":"&amp;TEXT(MOD(R281,60),"00.00"),TEXT(R281,"0.00")))</f>
        <v/>
      </c>
      <c r="T281" s="52">
        <f>IFERROR((G281-INDEX('01_Swimmers'!$E$5:$E$22,MATCH(B281,'01_Swimmers'!$A$5:$A$22,0)))/'00_Control'!$B$10,"")</f>
        <v/>
      </c>
      <c r="U281" s="35">
        <f>IF(T281="","",INT(T281))</f>
        <v/>
      </c>
      <c r="V281" s="33" t="inlineStr">
        <is>
          <t>NO</t>
        </is>
      </c>
      <c r="W281" s="33" t="inlineStr">
        <is>
          <t>YES</t>
        </is>
      </c>
      <c r="X281" s="33" t="inlineStr">
        <is>
          <t>NO</t>
        </is>
      </c>
      <c r="Y281" s="33" t="n">
        <v>2</v>
      </c>
      <c r="Z281" s="33" t="n">
        <v>3</v>
      </c>
      <c r="AA281" s="33" t="inlineStr">
        <is>
          <t>1</t>
        </is>
      </c>
      <c r="AB281" s="33" t="inlineStr">
        <is>
          <t>https://www.swimcloud.com/results/197324/event/15/?id=42383593#time42383593</t>
        </is>
      </c>
      <c r="AC281" s="33" t="inlineStr">
        <is>
          <t>SwimCloud API v6 2026-10-08</t>
        </is>
      </c>
      <c r="AD281" s="33" t="inlineStr">
        <is>
          <t>Caeleb Dressel|2021-06-16|LCM|100|Free|47.77|USA Olympic Team Trials - Wave 2|SEM|False</t>
        </is>
      </c>
      <c r="AE281" s="53">
        <f>G281+L281/1000+ROW()/1000000000</f>
        <v/>
      </c>
      <c r="AF281" s="35">
        <f>IF(C281&lt;&gt;"Grayson Coulter","",COUNTIFS($C$5:$C$2991,"Grayson Coulter",$Q$5:$Q$2991,Q281,$AE$5:$AE$2991,"&lt;="&amp;AE281,$R$5:$R$2991,"&lt;"&amp;R281))</f>
        <v/>
      </c>
      <c r="AG281" s="35">
        <f>IF(OR(C281&lt;&gt;"Grayson Coulter",G281&lt;'00_Control'!$B$7),"",--(AF281&lt;5))</f>
        <v/>
      </c>
      <c r="AH281" s="35">
        <f>IF(OR(C281&lt;&gt;"Grayson Coulter",G281&lt;'00_Control'!$B$7),"",--(AF281&lt;10))</f>
        <v/>
      </c>
      <c r="AI281" s="35">
        <f>IF(AND(C281="Grayson Coulter",G281&gt;='00_Control'!$B$7),"YES","NO")</f>
        <v/>
      </c>
      <c r="AJ281" s="33" t="inlineStr">
        <is>
          <t>OK</t>
        </is>
      </c>
    </row>
    <row r="282">
      <c r="A282" s="33" t="inlineStr">
        <is>
          <t>SM000278</t>
        </is>
      </c>
      <c r="B282" s="33" t="inlineStr">
        <is>
          <t>SW010</t>
        </is>
      </c>
      <c r="C282" s="33" t="inlineStr">
        <is>
          <t>Caeleb Dressel</t>
        </is>
      </c>
      <c r="D282" s="33" t="inlineStr">
        <is>
          <t>SwimCloud</t>
        </is>
      </c>
      <c r="E282" s="33" t="inlineStr">
        <is>
          <t>2361642</t>
        </is>
      </c>
      <c r="F282" s="33" t="inlineStr">
        <is>
          <t>42382212</t>
        </is>
      </c>
      <c r="G282" s="51" t="n">
        <v>44363</v>
      </c>
      <c r="H282" s="33" t="inlineStr">
        <is>
          <t>USA Olympic Team Trials - Wave 2</t>
        </is>
      </c>
      <c r="I282" s="33" t="inlineStr">
        <is>
          <t>197324</t>
        </is>
      </c>
      <c r="J282" s="33" t="inlineStr"/>
      <c r="K282" s="33" t="inlineStr">
        <is>
          <t>FIN</t>
        </is>
      </c>
      <c r="L282" s="35">
        <f>IF(K282="FIN",3,IF(OR(K282="SEM",K282="SEMI"),2,IF(OR(K282="PRE",K282="HEAT"),1,IF(V282="YES",4,2))))</f>
        <v/>
      </c>
      <c r="M282" s="33" t="inlineStr">
        <is>
          <t>LCM</t>
        </is>
      </c>
      <c r="N282" s="33" t="n">
        <v>100</v>
      </c>
      <c r="O282" s="33" t="inlineStr">
        <is>
          <t>Free</t>
        </is>
      </c>
      <c r="P282" s="33" t="inlineStr">
        <is>
          <t>100 Free</t>
        </is>
      </c>
      <c r="Q282" s="33" t="inlineStr">
        <is>
          <t>LCM_100_FREE</t>
        </is>
      </c>
      <c r="R282" s="36" t="n">
        <v>47.39</v>
      </c>
      <c r="S282" s="35">
        <f>IF(R282="","",IF(R282&gt;=60,INT(R282/60)&amp;":"&amp;TEXT(MOD(R282,60),"00.00"),TEXT(R282,"0.00")))</f>
        <v/>
      </c>
      <c r="T282" s="52">
        <f>IFERROR((G282-INDEX('01_Swimmers'!$E$5:$E$22,MATCH(B282,'01_Swimmers'!$A$5:$A$22,0)))/'00_Control'!$B$10,"")</f>
        <v/>
      </c>
      <c r="U282" s="35">
        <f>IF(T282="","",INT(T282))</f>
        <v/>
      </c>
      <c r="V282" s="33" t="inlineStr">
        <is>
          <t>NO</t>
        </is>
      </c>
      <c r="W282" s="33" t="inlineStr">
        <is>
          <t>YES</t>
        </is>
      </c>
      <c r="X282" s="33" t="inlineStr">
        <is>
          <t>NO</t>
        </is>
      </c>
      <c r="Y282" s="33" t="n">
        <v>1</v>
      </c>
      <c r="Z282" s="33" t="n">
        <v>4</v>
      </c>
      <c r="AA282" s="33" t="inlineStr">
        <is>
          <t>1</t>
        </is>
      </c>
      <c r="AB282" s="33" t="inlineStr">
        <is>
          <t>https://www.swimcloud.com/results/197324/event/15/?id=42382212#time42382212</t>
        </is>
      </c>
      <c r="AC282" s="33" t="inlineStr">
        <is>
          <t>SwimCloud API v6 2026-10-08</t>
        </is>
      </c>
      <c r="AD282" s="33" t="inlineStr">
        <is>
          <t>Caeleb Dressel|2021-06-16|LCM|100|Free|47.39|USA Olympic Team Trials - Wave 2|FIN|False</t>
        </is>
      </c>
      <c r="AE282" s="53">
        <f>G282+L282/1000+ROW()/1000000000</f>
        <v/>
      </c>
      <c r="AF282" s="35">
        <f>IF(C282&lt;&gt;"Grayson Coulter","",COUNTIFS($C$5:$C$2991,"Grayson Coulter",$Q$5:$Q$2991,Q282,$AE$5:$AE$2991,"&lt;="&amp;AE282,$R$5:$R$2991,"&lt;"&amp;R282))</f>
        <v/>
      </c>
      <c r="AG282" s="35">
        <f>IF(OR(C282&lt;&gt;"Grayson Coulter",G282&lt;'00_Control'!$B$7),"",--(AF282&lt;5))</f>
        <v/>
      </c>
      <c r="AH282" s="35">
        <f>IF(OR(C282&lt;&gt;"Grayson Coulter",G282&lt;'00_Control'!$B$7),"",--(AF282&lt;10))</f>
        <v/>
      </c>
      <c r="AI282" s="35">
        <f>IF(AND(C282="Grayson Coulter",G282&gt;='00_Control'!$B$7),"YES","NO")</f>
        <v/>
      </c>
      <c r="AJ282" s="33" t="inlineStr">
        <is>
          <t>OK</t>
        </is>
      </c>
    </row>
    <row r="283">
      <c r="A283" s="33" t="inlineStr">
        <is>
          <t>SM000279</t>
        </is>
      </c>
      <c r="B283" s="33" t="inlineStr">
        <is>
          <t>SW010</t>
        </is>
      </c>
      <c r="C283" s="33" t="inlineStr">
        <is>
          <t>Caeleb Dressel</t>
        </is>
      </c>
      <c r="D283" s="33" t="inlineStr">
        <is>
          <t>SwimCloud</t>
        </is>
      </c>
      <c r="E283" s="33" t="inlineStr">
        <is>
          <t>2361642</t>
        </is>
      </c>
      <c r="F283" s="33" t="inlineStr">
        <is>
          <t>42382545</t>
        </is>
      </c>
      <c r="G283" s="51" t="n">
        <v>44365</v>
      </c>
      <c r="H283" s="33" t="inlineStr">
        <is>
          <t>USA Olympic Team Trials - Wave 2</t>
        </is>
      </c>
      <c r="I283" s="33" t="inlineStr">
        <is>
          <t>197324</t>
        </is>
      </c>
      <c r="J283" s="33" t="inlineStr"/>
      <c r="K283" s="33" t="inlineStr">
        <is>
          <t>PRE</t>
        </is>
      </c>
      <c r="L283" s="35">
        <f>IF(K283="FIN",3,IF(OR(K283="SEM",K283="SEMI"),2,IF(OR(K283="PRE",K283="HEAT"),1,IF(V283="YES",4,2))))</f>
        <v/>
      </c>
      <c r="M283" s="33" t="inlineStr">
        <is>
          <t>LCM</t>
        </is>
      </c>
      <c r="N283" s="33" t="n">
        <v>100</v>
      </c>
      <c r="O283" s="33" t="inlineStr">
        <is>
          <t>Fly</t>
        </is>
      </c>
      <c r="P283" s="33" t="inlineStr">
        <is>
          <t>100 Fly</t>
        </is>
      </c>
      <c r="Q283" s="33" t="inlineStr">
        <is>
          <t>LCM_100_FLY</t>
        </is>
      </c>
      <c r="R283" s="36" t="n">
        <v>50.17</v>
      </c>
      <c r="S283" s="35">
        <f>IF(R283="","",IF(R283&gt;=60,INT(R283/60)&amp;":"&amp;TEXT(MOD(R283,60),"00.00"),TEXT(R283,"0.00")))</f>
        <v/>
      </c>
      <c r="T283" s="52">
        <f>IFERROR((G283-INDEX('01_Swimmers'!$E$5:$E$22,MATCH(B283,'01_Swimmers'!$A$5:$A$22,0)))/'00_Control'!$B$10,"")</f>
        <v/>
      </c>
      <c r="U283" s="35">
        <f>IF(T283="","",INT(T283))</f>
        <v/>
      </c>
      <c r="V283" s="33" t="inlineStr">
        <is>
          <t>NO</t>
        </is>
      </c>
      <c r="W283" s="33" t="inlineStr">
        <is>
          <t>YES</t>
        </is>
      </c>
      <c r="X283" s="33" t="inlineStr">
        <is>
          <t>NO</t>
        </is>
      </c>
      <c r="Y283" s="33" t="n">
        <v>9</v>
      </c>
      <c r="Z283" s="33" t="n">
        <v>4</v>
      </c>
      <c r="AA283" s="33" t="inlineStr">
        <is>
          <t>1</t>
        </is>
      </c>
      <c r="AB283" s="33" t="inlineStr">
        <is>
          <t>https://www.swimcloud.com/results/197324/event/24/?id=42382545#time42382545</t>
        </is>
      </c>
      <c r="AC283" s="33" t="inlineStr">
        <is>
          <t>SwimCloud API v6 2026-10-08</t>
        </is>
      </c>
      <c r="AD283" s="33" t="inlineStr">
        <is>
          <t>Caeleb Dressel|2021-06-18|LCM|100|Fly|50.17|USA Olympic Team Trials - Wave 2|PRE|False</t>
        </is>
      </c>
      <c r="AE283" s="53">
        <f>G283+L283/1000+ROW()/1000000000</f>
        <v/>
      </c>
      <c r="AF283" s="35">
        <f>IF(C283&lt;&gt;"Grayson Coulter","",COUNTIFS($C$5:$C$2991,"Grayson Coulter",$Q$5:$Q$2991,Q283,$AE$5:$AE$2991,"&lt;="&amp;AE283,$R$5:$R$2991,"&lt;"&amp;R283))</f>
        <v/>
      </c>
      <c r="AG283" s="35">
        <f>IF(OR(C283&lt;&gt;"Grayson Coulter",G283&lt;'00_Control'!$B$7),"",--(AF283&lt;5))</f>
        <v/>
      </c>
      <c r="AH283" s="35">
        <f>IF(OR(C283&lt;&gt;"Grayson Coulter",G283&lt;'00_Control'!$B$7),"",--(AF283&lt;10))</f>
        <v/>
      </c>
      <c r="AI283" s="35">
        <f>IF(AND(C283="Grayson Coulter",G283&gt;='00_Control'!$B$7),"YES","NO")</f>
        <v/>
      </c>
      <c r="AJ283" s="33" t="inlineStr">
        <is>
          <t>OK</t>
        </is>
      </c>
    </row>
    <row r="284">
      <c r="A284" s="33" t="inlineStr">
        <is>
          <t>SM000280</t>
        </is>
      </c>
      <c r="B284" s="33" t="inlineStr">
        <is>
          <t>SW010</t>
        </is>
      </c>
      <c r="C284" s="33" t="inlineStr">
        <is>
          <t>Caeleb Dressel</t>
        </is>
      </c>
      <c r="D284" s="33" t="inlineStr">
        <is>
          <t>SwimCloud</t>
        </is>
      </c>
      <c r="E284" s="33" t="inlineStr">
        <is>
          <t>2361642</t>
        </is>
      </c>
      <c r="F284" s="33" t="inlineStr">
        <is>
          <t>42383594</t>
        </is>
      </c>
      <c r="G284" s="51" t="n">
        <v>44365</v>
      </c>
      <c r="H284" s="33" t="inlineStr">
        <is>
          <t>USA Olympic Team Trials - Wave 2</t>
        </is>
      </c>
      <c r="I284" s="33" t="inlineStr">
        <is>
          <t>197324</t>
        </is>
      </c>
      <c r="J284" s="33" t="inlineStr"/>
      <c r="K284" s="33" t="inlineStr">
        <is>
          <t>SEM</t>
        </is>
      </c>
      <c r="L284" s="35">
        <f>IF(K284="FIN",3,IF(OR(K284="SEM",K284="SEMI"),2,IF(OR(K284="PRE",K284="HEAT"),1,IF(V284="YES",4,2))))</f>
        <v/>
      </c>
      <c r="M284" s="33" t="inlineStr">
        <is>
          <t>LCM</t>
        </is>
      </c>
      <c r="N284" s="33" t="n">
        <v>100</v>
      </c>
      <c r="O284" s="33" t="inlineStr">
        <is>
          <t>Fly</t>
        </is>
      </c>
      <c r="P284" s="33" t="inlineStr">
        <is>
          <t>100 Fly</t>
        </is>
      </c>
      <c r="Q284" s="33" t="inlineStr">
        <is>
          <t>LCM_100_FLY</t>
        </is>
      </c>
      <c r="R284" s="36" t="n">
        <v>49.76</v>
      </c>
      <c r="S284" s="35">
        <f>IF(R284="","",IF(R284&gt;=60,INT(R284/60)&amp;":"&amp;TEXT(MOD(R284,60),"00.00"),TEXT(R284,"0.00")))</f>
        <v/>
      </c>
      <c r="T284" s="52">
        <f>IFERROR((G284-INDEX('01_Swimmers'!$E$5:$E$22,MATCH(B284,'01_Swimmers'!$A$5:$A$22,0)))/'00_Control'!$B$10,"")</f>
        <v/>
      </c>
      <c r="U284" s="35">
        <f>IF(T284="","",INT(T284))</f>
        <v/>
      </c>
      <c r="V284" s="33" t="inlineStr">
        <is>
          <t>NO</t>
        </is>
      </c>
      <c r="W284" s="33" t="inlineStr">
        <is>
          <t>YES</t>
        </is>
      </c>
      <c r="X284" s="33" t="inlineStr">
        <is>
          <t>NO</t>
        </is>
      </c>
      <c r="Y284" s="33" t="n">
        <v>2</v>
      </c>
      <c r="Z284" s="33" t="n">
        <v>4</v>
      </c>
      <c r="AA284" s="33" t="inlineStr">
        <is>
          <t>1</t>
        </is>
      </c>
      <c r="AB284" s="33" t="inlineStr">
        <is>
          <t>https://www.swimcloud.com/results/197324/event/24/?id=42383594#time42383594</t>
        </is>
      </c>
      <c r="AC284" s="33" t="inlineStr">
        <is>
          <t>SwimCloud API v6 2026-10-08</t>
        </is>
      </c>
      <c r="AD284" s="33" t="inlineStr">
        <is>
          <t>Caeleb Dressel|2021-06-18|LCM|100|Fly|49.76|USA Olympic Team Trials - Wave 2|SEM|False</t>
        </is>
      </c>
      <c r="AE284" s="53">
        <f>G284+L284/1000+ROW()/1000000000</f>
        <v/>
      </c>
      <c r="AF284" s="35">
        <f>IF(C284&lt;&gt;"Grayson Coulter","",COUNTIFS($C$5:$C$2991,"Grayson Coulter",$Q$5:$Q$2991,Q284,$AE$5:$AE$2991,"&lt;="&amp;AE284,$R$5:$R$2991,"&lt;"&amp;R284))</f>
        <v/>
      </c>
      <c r="AG284" s="35">
        <f>IF(OR(C284&lt;&gt;"Grayson Coulter",G284&lt;'00_Control'!$B$7),"",--(AF284&lt;5))</f>
        <v/>
      </c>
      <c r="AH284" s="35">
        <f>IF(OR(C284&lt;&gt;"Grayson Coulter",G284&lt;'00_Control'!$B$7),"",--(AF284&lt;10))</f>
        <v/>
      </c>
      <c r="AI284" s="35">
        <f>IF(AND(C284="Grayson Coulter",G284&gt;='00_Control'!$B$7),"YES","NO")</f>
        <v/>
      </c>
      <c r="AJ284" s="33" t="inlineStr">
        <is>
          <t>OK</t>
        </is>
      </c>
    </row>
    <row r="285">
      <c r="A285" s="33" t="inlineStr">
        <is>
          <t>SM000281</t>
        </is>
      </c>
      <c r="B285" s="33" t="inlineStr">
        <is>
          <t>SW010</t>
        </is>
      </c>
      <c r="C285" s="33" t="inlineStr">
        <is>
          <t>Caeleb Dressel</t>
        </is>
      </c>
      <c r="D285" s="33" t="inlineStr">
        <is>
          <t>SwimCloud</t>
        </is>
      </c>
      <c r="E285" s="33" t="inlineStr">
        <is>
          <t>2361642</t>
        </is>
      </c>
      <c r="F285" s="33" t="inlineStr">
        <is>
          <t>42382546</t>
        </is>
      </c>
      <c r="G285" s="51" t="n">
        <v>44365</v>
      </c>
      <c r="H285" s="33" t="inlineStr">
        <is>
          <t>USA Olympic Team Trials - Wave 2</t>
        </is>
      </c>
      <c r="I285" s="33" t="inlineStr">
        <is>
          <t>197324</t>
        </is>
      </c>
      <c r="J285" s="33" t="inlineStr"/>
      <c r="K285" s="33" t="inlineStr">
        <is>
          <t>FIN</t>
        </is>
      </c>
      <c r="L285" s="35">
        <f>IF(K285="FIN",3,IF(OR(K285="SEM",K285="SEMI"),2,IF(OR(K285="PRE",K285="HEAT"),1,IF(V285="YES",4,2))))</f>
        <v/>
      </c>
      <c r="M285" s="33" t="inlineStr">
        <is>
          <t>LCM</t>
        </is>
      </c>
      <c r="N285" s="33" t="n">
        <v>100</v>
      </c>
      <c r="O285" s="33" t="inlineStr">
        <is>
          <t>Fly</t>
        </is>
      </c>
      <c r="P285" s="33" t="inlineStr">
        <is>
          <t>100 Fly</t>
        </is>
      </c>
      <c r="Q285" s="33" t="inlineStr">
        <is>
          <t>LCM_100_FLY</t>
        </is>
      </c>
      <c r="R285" s="36" t="n">
        <v>49.87</v>
      </c>
      <c r="S285" s="35">
        <f>IF(R285="","",IF(R285&gt;=60,INT(R285/60)&amp;":"&amp;TEXT(MOD(R285,60),"00.00"),TEXT(R285,"0.00")))</f>
        <v/>
      </c>
      <c r="T285" s="52">
        <f>IFERROR((G285-INDEX('01_Swimmers'!$E$5:$E$22,MATCH(B285,'01_Swimmers'!$A$5:$A$22,0)))/'00_Control'!$B$10,"")</f>
        <v/>
      </c>
      <c r="U285" s="35">
        <f>IF(T285="","",INT(T285))</f>
        <v/>
      </c>
      <c r="V285" s="33" t="inlineStr">
        <is>
          <t>NO</t>
        </is>
      </c>
      <c r="W285" s="33" t="inlineStr">
        <is>
          <t>YES</t>
        </is>
      </c>
      <c r="X285" s="33" t="inlineStr">
        <is>
          <t>NO</t>
        </is>
      </c>
      <c r="Y285" s="33" t="n">
        <v>1</v>
      </c>
      <c r="Z285" s="33" t="n">
        <v>4</v>
      </c>
      <c r="AA285" s="33" t="inlineStr">
        <is>
          <t>1</t>
        </is>
      </c>
      <c r="AB285" s="33" t="inlineStr">
        <is>
          <t>https://www.swimcloud.com/results/197324/event/24/?id=42382546#time42382546</t>
        </is>
      </c>
      <c r="AC285" s="33" t="inlineStr">
        <is>
          <t>SwimCloud API v6 2026-10-08</t>
        </is>
      </c>
      <c r="AD285" s="33" t="inlineStr">
        <is>
          <t>Caeleb Dressel|2021-06-18|LCM|100|Fly|49.87|USA Olympic Team Trials - Wave 2|FIN|False</t>
        </is>
      </c>
      <c r="AE285" s="53">
        <f>G285+L285/1000+ROW()/1000000000</f>
        <v/>
      </c>
      <c r="AF285" s="35">
        <f>IF(C285&lt;&gt;"Grayson Coulter","",COUNTIFS($C$5:$C$2991,"Grayson Coulter",$Q$5:$Q$2991,Q285,$AE$5:$AE$2991,"&lt;="&amp;AE285,$R$5:$R$2991,"&lt;"&amp;R285))</f>
        <v/>
      </c>
      <c r="AG285" s="35">
        <f>IF(OR(C285&lt;&gt;"Grayson Coulter",G285&lt;'00_Control'!$B$7),"",--(AF285&lt;5))</f>
        <v/>
      </c>
      <c r="AH285" s="35">
        <f>IF(OR(C285&lt;&gt;"Grayson Coulter",G285&lt;'00_Control'!$B$7),"",--(AF285&lt;10))</f>
        <v/>
      </c>
      <c r="AI285" s="35">
        <f>IF(AND(C285="Grayson Coulter",G285&gt;='00_Control'!$B$7),"YES","NO")</f>
        <v/>
      </c>
      <c r="AJ285" s="33" t="inlineStr">
        <is>
          <t>OK</t>
        </is>
      </c>
    </row>
    <row r="286">
      <c r="A286" s="33" t="inlineStr">
        <is>
          <t>SM000282</t>
        </is>
      </c>
      <c r="B286" s="33" t="inlineStr">
        <is>
          <t>SW010</t>
        </is>
      </c>
      <c r="C286" s="33" t="inlineStr">
        <is>
          <t>Caeleb Dressel</t>
        </is>
      </c>
      <c r="D286" s="33" t="inlineStr">
        <is>
          <t>SwimCloud</t>
        </is>
      </c>
      <c r="E286" s="33" t="inlineStr">
        <is>
          <t>2361642</t>
        </is>
      </c>
      <c r="F286" s="33" t="inlineStr">
        <is>
          <t>43579865</t>
        </is>
      </c>
      <c r="G286" s="51" t="n">
        <v>44401</v>
      </c>
      <c r="H286" s="33" t="inlineStr">
        <is>
          <t>Olympic Games</t>
        </is>
      </c>
      <c r="I286" s="33" t="inlineStr">
        <is>
          <t>130521</t>
        </is>
      </c>
      <c r="J286" s="33" t="inlineStr"/>
      <c r="K286" s="33" t="inlineStr">
        <is>
          <t>PRE</t>
        </is>
      </c>
      <c r="L286" s="35">
        <f>IF(K286="FIN",3,IF(OR(K286="SEM",K286="SEMI"),2,IF(OR(K286="PRE",K286="HEAT"),1,IF(V286="YES",4,2))))</f>
        <v/>
      </c>
      <c r="M286" s="33" t="inlineStr">
        <is>
          <t>LCM</t>
        </is>
      </c>
      <c r="N286" s="33" t="n">
        <v>100</v>
      </c>
      <c r="O286" s="33" t="inlineStr">
        <is>
          <t>Fly</t>
        </is>
      </c>
      <c r="P286" s="33" t="inlineStr">
        <is>
          <t>100 Fly</t>
        </is>
      </c>
      <c r="Q286" s="33" t="inlineStr">
        <is>
          <t>LCM_100_FLY</t>
        </is>
      </c>
      <c r="R286" s="36" t="n">
        <v>50.39</v>
      </c>
      <c r="S286" s="35">
        <f>IF(R286="","",IF(R286&gt;=60,INT(R286/60)&amp;":"&amp;TEXT(MOD(R286,60),"00.00"),TEXT(R286,"0.00")))</f>
        <v/>
      </c>
      <c r="T286" s="52">
        <f>IFERROR((G286-INDEX('01_Swimmers'!$E$5:$E$22,MATCH(B286,'01_Swimmers'!$A$5:$A$22,0)))/'00_Control'!$B$10,"")</f>
        <v/>
      </c>
      <c r="U286" s="35">
        <f>IF(T286="","",INT(T286))</f>
        <v/>
      </c>
      <c r="V286" s="33" t="inlineStr">
        <is>
          <t>NO</t>
        </is>
      </c>
      <c r="W286" s="33" t="inlineStr">
        <is>
          <t>YES</t>
        </is>
      </c>
      <c r="X286" s="33" t="inlineStr">
        <is>
          <t>NO</t>
        </is>
      </c>
      <c r="Y286" s="33" t="n"/>
      <c r="Z286" s="33" t="n"/>
      <c r="AA286" s="33" t="inlineStr">
        <is>
          <t>1</t>
        </is>
      </c>
      <c r="AB286" s="33" t="inlineStr">
        <is>
          <t>https://www.swimcloud.com/results/130521/event/53/?id=43579865#time43579865</t>
        </is>
      </c>
      <c r="AC286" s="33" t="inlineStr">
        <is>
          <t>SwimCloud API v6 2026-10-08</t>
        </is>
      </c>
      <c r="AD286" s="33" t="inlineStr">
        <is>
          <t>Caeleb Dressel|2021-07-24|LCM|100|Fly|50.39|Olympic Games|PRE|False</t>
        </is>
      </c>
      <c r="AE286" s="53">
        <f>G286+L286/1000+ROW()/1000000000</f>
        <v/>
      </c>
      <c r="AF286" s="35">
        <f>IF(C286&lt;&gt;"Grayson Coulter","",COUNTIFS($C$5:$C$2991,"Grayson Coulter",$Q$5:$Q$2991,Q286,$AE$5:$AE$2991,"&lt;="&amp;AE286,$R$5:$R$2991,"&lt;"&amp;R286))</f>
        <v/>
      </c>
      <c r="AG286" s="35">
        <f>IF(OR(C286&lt;&gt;"Grayson Coulter",G286&lt;'00_Control'!$B$7),"",--(AF286&lt;5))</f>
        <v/>
      </c>
      <c r="AH286" s="35">
        <f>IF(OR(C286&lt;&gt;"Grayson Coulter",G286&lt;'00_Control'!$B$7),"",--(AF286&lt;10))</f>
        <v/>
      </c>
      <c r="AI286" s="35">
        <f>IF(AND(C286="Grayson Coulter",G286&gt;='00_Control'!$B$7),"YES","NO")</f>
        <v/>
      </c>
      <c r="AJ286" s="33" t="inlineStr">
        <is>
          <t>OK</t>
        </is>
      </c>
    </row>
    <row r="287">
      <c r="A287" s="33" t="inlineStr">
        <is>
          <t>SM000283</t>
        </is>
      </c>
      <c r="B287" s="33" t="inlineStr">
        <is>
          <t>SW010</t>
        </is>
      </c>
      <c r="C287" s="33" t="inlineStr">
        <is>
          <t>Caeleb Dressel</t>
        </is>
      </c>
      <c r="D287" s="33" t="inlineStr">
        <is>
          <t>SwimCloud</t>
        </is>
      </c>
      <c r="E287" s="33" t="inlineStr">
        <is>
          <t>2361642</t>
        </is>
      </c>
      <c r="F287" s="33" t="inlineStr">
        <is>
          <t>43582106</t>
        </is>
      </c>
      <c r="G287" s="51" t="n">
        <v>44401</v>
      </c>
      <c r="H287" s="33" t="inlineStr">
        <is>
          <t>Olympic Games</t>
        </is>
      </c>
      <c r="I287" s="33" t="inlineStr">
        <is>
          <t>130521</t>
        </is>
      </c>
      <c r="J287" s="33" t="inlineStr"/>
      <c r="K287" s="33" t="inlineStr">
        <is>
          <t>SEM</t>
        </is>
      </c>
      <c r="L287" s="35">
        <f>IF(K287="FIN",3,IF(OR(K287="SEM",K287="SEMI"),2,IF(OR(K287="PRE",K287="HEAT"),1,IF(V287="YES",4,2))))</f>
        <v/>
      </c>
      <c r="M287" s="33" t="inlineStr">
        <is>
          <t>LCM</t>
        </is>
      </c>
      <c r="N287" s="33" t="n">
        <v>100</v>
      </c>
      <c r="O287" s="33" t="inlineStr">
        <is>
          <t>Fly</t>
        </is>
      </c>
      <c r="P287" s="33" t="inlineStr">
        <is>
          <t>100 Fly</t>
        </is>
      </c>
      <c r="Q287" s="33" t="inlineStr">
        <is>
          <t>LCM_100_FLY</t>
        </is>
      </c>
      <c r="R287" s="36" t="n">
        <v>49.71</v>
      </c>
      <c r="S287" s="35">
        <f>IF(R287="","",IF(R287&gt;=60,INT(R287/60)&amp;":"&amp;TEXT(MOD(R287,60),"00.00"),TEXT(R287,"0.00")))</f>
        <v/>
      </c>
      <c r="T287" s="52">
        <f>IFERROR((G287-INDEX('01_Swimmers'!$E$5:$E$22,MATCH(B287,'01_Swimmers'!$A$5:$A$22,0)))/'00_Control'!$B$10,"")</f>
        <v/>
      </c>
      <c r="U287" s="35">
        <f>IF(T287="","",INT(T287))</f>
        <v/>
      </c>
      <c r="V287" s="33" t="inlineStr">
        <is>
          <t>NO</t>
        </is>
      </c>
      <c r="W287" s="33" t="inlineStr">
        <is>
          <t>YES</t>
        </is>
      </c>
      <c r="X287" s="33" t="inlineStr">
        <is>
          <t>NO</t>
        </is>
      </c>
      <c r="Y287" s="33" t="n">
        <v>2</v>
      </c>
      <c r="Z287" s="33" t="n">
        <v>4</v>
      </c>
      <c r="AA287" s="33" t="inlineStr">
        <is>
          <t>1</t>
        </is>
      </c>
      <c r="AB287" s="33" t="inlineStr">
        <is>
          <t>https://www.swimcloud.com/results/130521/event/53/?id=43582106#time43582106</t>
        </is>
      </c>
      <c r="AC287" s="33" t="inlineStr">
        <is>
          <t>SwimCloud API v6 2026-10-08</t>
        </is>
      </c>
      <c r="AD287" s="33" t="inlineStr">
        <is>
          <t>Caeleb Dressel|2021-07-24|LCM|100|Fly|49.71|Olympic Games|SEM|False</t>
        </is>
      </c>
      <c r="AE287" s="53">
        <f>G287+L287/1000+ROW()/1000000000</f>
        <v/>
      </c>
      <c r="AF287" s="35">
        <f>IF(C287&lt;&gt;"Grayson Coulter","",COUNTIFS($C$5:$C$2991,"Grayson Coulter",$Q$5:$Q$2991,Q287,$AE$5:$AE$2991,"&lt;="&amp;AE287,$R$5:$R$2991,"&lt;"&amp;R287))</f>
        <v/>
      </c>
      <c r="AG287" s="35">
        <f>IF(OR(C287&lt;&gt;"Grayson Coulter",G287&lt;'00_Control'!$B$7),"",--(AF287&lt;5))</f>
        <v/>
      </c>
      <c r="AH287" s="35">
        <f>IF(OR(C287&lt;&gt;"Grayson Coulter",G287&lt;'00_Control'!$B$7),"",--(AF287&lt;10))</f>
        <v/>
      </c>
      <c r="AI287" s="35">
        <f>IF(AND(C287="Grayson Coulter",G287&gt;='00_Control'!$B$7),"YES","NO")</f>
        <v/>
      </c>
      <c r="AJ287" s="33" t="inlineStr">
        <is>
          <t>OK</t>
        </is>
      </c>
    </row>
    <row r="288">
      <c r="A288" s="33" t="inlineStr">
        <is>
          <t>SM000284</t>
        </is>
      </c>
      <c r="B288" s="33" t="inlineStr">
        <is>
          <t>SW010</t>
        </is>
      </c>
      <c r="C288" s="33" t="inlineStr">
        <is>
          <t>Caeleb Dressel</t>
        </is>
      </c>
      <c r="D288" s="33" t="inlineStr">
        <is>
          <t>SwimCloud</t>
        </is>
      </c>
      <c r="E288" s="33" t="inlineStr">
        <is>
          <t>2361642</t>
        </is>
      </c>
      <c r="F288" s="33" t="inlineStr">
        <is>
          <t>43582121</t>
        </is>
      </c>
      <c r="G288" s="51" t="n">
        <v>44401</v>
      </c>
      <c r="H288" s="33" t="inlineStr">
        <is>
          <t>Olympic Games</t>
        </is>
      </c>
      <c r="I288" s="33" t="inlineStr">
        <is>
          <t>130521</t>
        </is>
      </c>
      <c r="J288" s="33" t="inlineStr"/>
      <c r="K288" s="33" t="inlineStr">
        <is>
          <t>FIN</t>
        </is>
      </c>
      <c r="L288" s="35">
        <f>IF(K288="FIN",3,IF(OR(K288="SEM",K288="SEMI"),2,IF(OR(K288="PRE",K288="HEAT"),1,IF(V288="YES",4,2))))</f>
        <v/>
      </c>
      <c r="M288" s="33" t="inlineStr">
        <is>
          <t>LCM</t>
        </is>
      </c>
      <c r="N288" s="33" t="n">
        <v>100</v>
      </c>
      <c r="O288" s="33" t="inlineStr">
        <is>
          <t>Fly</t>
        </is>
      </c>
      <c r="P288" s="33" t="inlineStr">
        <is>
          <t>100 Fly</t>
        </is>
      </c>
      <c r="Q288" s="33" t="inlineStr">
        <is>
          <t>LCM_100_FLY</t>
        </is>
      </c>
      <c r="R288" s="36" t="n">
        <v>49.45</v>
      </c>
      <c r="S288" s="35">
        <f>IF(R288="","",IF(R288&gt;=60,INT(R288/60)&amp;":"&amp;TEXT(MOD(R288,60),"00.00"),TEXT(R288,"0.00")))</f>
        <v/>
      </c>
      <c r="T288" s="52">
        <f>IFERROR((G288-INDEX('01_Swimmers'!$E$5:$E$22,MATCH(B288,'01_Swimmers'!$A$5:$A$22,0)))/'00_Control'!$B$10,"")</f>
        <v/>
      </c>
      <c r="U288" s="35">
        <f>IF(T288="","",INT(T288))</f>
        <v/>
      </c>
      <c r="V288" s="33" t="inlineStr">
        <is>
          <t>NO</t>
        </is>
      </c>
      <c r="W288" s="33" t="inlineStr">
        <is>
          <t>YES</t>
        </is>
      </c>
      <c r="X288" s="33" t="inlineStr">
        <is>
          <t>NO</t>
        </is>
      </c>
      <c r="Y288" s="33" t="n">
        <v>1</v>
      </c>
      <c r="Z288" s="33" t="n">
        <v>4</v>
      </c>
      <c r="AA288" s="33" t="inlineStr">
        <is>
          <t>1</t>
        </is>
      </c>
      <c r="AB288" s="33" t="inlineStr">
        <is>
          <t>https://www.swimcloud.com/results/130521/event/53/?id=43582121#time43582121</t>
        </is>
      </c>
      <c r="AC288" s="33" t="inlineStr">
        <is>
          <t>SwimCloud API v6 2026-10-08</t>
        </is>
      </c>
      <c r="AD288" s="33" t="inlineStr">
        <is>
          <t>Caeleb Dressel|2021-07-24|LCM|100|Fly|49.45|Olympic Games|FIN|False</t>
        </is>
      </c>
      <c r="AE288" s="53">
        <f>G288+L288/1000+ROW()/1000000000</f>
        <v/>
      </c>
      <c r="AF288" s="35">
        <f>IF(C288&lt;&gt;"Grayson Coulter","",COUNTIFS($C$5:$C$2991,"Grayson Coulter",$Q$5:$Q$2991,Q288,$AE$5:$AE$2991,"&lt;="&amp;AE288,$R$5:$R$2991,"&lt;"&amp;R288))</f>
        <v/>
      </c>
      <c r="AG288" s="35">
        <f>IF(OR(C288&lt;&gt;"Grayson Coulter",G288&lt;'00_Control'!$B$7),"",--(AF288&lt;5))</f>
        <v/>
      </c>
      <c r="AH288" s="35">
        <f>IF(OR(C288&lt;&gt;"Grayson Coulter",G288&lt;'00_Control'!$B$7),"",--(AF288&lt;10))</f>
        <v/>
      </c>
      <c r="AI288" s="35">
        <f>IF(AND(C288="Grayson Coulter",G288&gt;='00_Control'!$B$7),"YES","NO")</f>
        <v/>
      </c>
      <c r="AJ288" s="33" t="inlineStr">
        <is>
          <t>OK</t>
        </is>
      </c>
    </row>
    <row r="289">
      <c r="A289" s="33" t="inlineStr">
        <is>
          <t>SM000285</t>
        </is>
      </c>
      <c r="B289" s="33" t="inlineStr">
        <is>
          <t>SW010</t>
        </is>
      </c>
      <c r="C289" s="33" t="inlineStr">
        <is>
          <t>Caeleb Dressel</t>
        </is>
      </c>
      <c r="D289" s="33" t="inlineStr">
        <is>
          <t>SwimCloud</t>
        </is>
      </c>
      <c r="E289" s="33" t="inlineStr">
        <is>
          <t>2361642</t>
        </is>
      </c>
      <c r="F289" s="33" t="inlineStr">
        <is>
          <t>43395931</t>
        </is>
      </c>
      <c r="G289" s="51" t="n">
        <v>44401</v>
      </c>
      <c r="H289" s="33" t="inlineStr">
        <is>
          <t>Olympic Games</t>
        </is>
      </c>
      <c r="I289" s="33" t="inlineStr">
        <is>
          <t>130521</t>
        </is>
      </c>
      <c r="J289" s="33" t="inlineStr"/>
      <c r="K289" s="33" t="inlineStr">
        <is>
          <t>PRE</t>
        </is>
      </c>
      <c r="L289" s="35">
        <f>IF(K289="FIN",3,IF(OR(K289="SEM",K289="SEMI"),2,IF(OR(K289="PRE",K289="HEAT"),1,IF(V289="YES",4,2))))</f>
        <v/>
      </c>
      <c r="M289" s="33" t="inlineStr">
        <is>
          <t>LCM</t>
        </is>
      </c>
      <c r="N289" s="33" t="n">
        <v>100</v>
      </c>
      <c r="O289" s="33" t="inlineStr">
        <is>
          <t>Free</t>
        </is>
      </c>
      <c r="P289" s="33" t="inlineStr">
        <is>
          <t>100 Free</t>
        </is>
      </c>
      <c r="Q289" s="33" t="inlineStr">
        <is>
          <t>LCM_100_FREE</t>
        </is>
      </c>
      <c r="R289" s="36" t="n">
        <v>47.73</v>
      </c>
      <c r="S289" s="35">
        <f>IF(R289="","",IF(R289&gt;=60,INT(R289/60)&amp;":"&amp;TEXT(MOD(R289,60),"00.00"),TEXT(R289,"0.00")))</f>
        <v/>
      </c>
      <c r="T289" s="52">
        <f>IFERROR((G289-INDEX('01_Swimmers'!$E$5:$E$22,MATCH(B289,'01_Swimmers'!$A$5:$A$22,0)))/'00_Control'!$B$10,"")</f>
        <v/>
      </c>
      <c r="U289" s="35">
        <f>IF(T289="","",INT(T289))</f>
        <v/>
      </c>
      <c r="V289" s="33" t="inlineStr">
        <is>
          <t>NO</t>
        </is>
      </c>
      <c r="W289" s="33" t="inlineStr">
        <is>
          <t>YES</t>
        </is>
      </c>
      <c r="X289" s="33" t="inlineStr">
        <is>
          <t>NO</t>
        </is>
      </c>
      <c r="Y289" s="33" t="n">
        <v>9</v>
      </c>
      <c r="Z289" s="33" t="n">
        <v>4</v>
      </c>
      <c r="AA289" s="33" t="inlineStr">
        <is>
          <t>2</t>
        </is>
      </c>
      <c r="AB289" s="33" t="inlineStr">
        <is>
          <t>https://www.swimcloud.com/results/130521/event/71/?id=43395931#time43395931</t>
        </is>
      </c>
      <c r="AC289" s="33" t="inlineStr">
        <is>
          <t>SwimCloud API v6 2026-10-08</t>
        </is>
      </c>
      <c r="AD289" s="33" t="inlineStr">
        <is>
          <t>Caeleb Dressel|2021-07-24|LCM|100|Free|47.73|Olympic Games|PRE|False</t>
        </is>
      </c>
      <c r="AE289" s="53">
        <f>G289+L289/1000+ROW()/1000000000</f>
        <v/>
      </c>
      <c r="AF289" s="35">
        <f>IF(C289&lt;&gt;"Grayson Coulter","",COUNTIFS($C$5:$C$2991,"Grayson Coulter",$Q$5:$Q$2991,Q289,$AE$5:$AE$2991,"&lt;="&amp;AE289,$R$5:$R$2991,"&lt;"&amp;R289))</f>
        <v/>
      </c>
      <c r="AG289" s="35">
        <f>IF(OR(C289&lt;&gt;"Grayson Coulter",G289&lt;'00_Control'!$B$7),"",--(AF289&lt;5))</f>
        <v/>
      </c>
      <c r="AH289" s="35">
        <f>IF(OR(C289&lt;&gt;"Grayson Coulter",G289&lt;'00_Control'!$B$7),"",--(AF289&lt;10))</f>
        <v/>
      </c>
      <c r="AI289" s="35">
        <f>IF(AND(C289="Grayson Coulter",G289&gt;='00_Control'!$B$7),"YES","NO")</f>
        <v/>
      </c>
      <c r="AJ289" s="33" t="inlineStr">
        <is>
          <t>OK</t>
        </is>
      </c>
    </row>
    <row r="290">
      <c r="A290" s="33" t="inlineStr">
        <is>
          <t>SM000286</t>
        </is>
      </c>
      <c r="B290" s="33" t="inlineStr">
        <is>
          <t>SW010</t>
        </is>
      </c>
      <c r="C290" s="33" t="inlineStr">
        <is>
          <t>Caeleb Dressel</t>
        </is>
      </c>
      <c r="D290" s="33" t="inlineStr">
        <is>
          <t>SwimCloud</t>
        </is>
      </c>
      <c r="E290" s="33" t="inlineStr">
        <is>
          <t>2361642</t>
        </is>
      </c>
      <c r="F290" s="33" t="inlineStr">
        <is>
          <t>43395940</t>
        </is>
      </c>
      <c r="G290" s="51" t="n">
        <v>44401</v>
      </c>
      <c r="H290" s="33" t="inlineStr">
        <is>
          <t>Olympic Games</t>
        </is>
      </c>
      <c r="I290" s="33" t="inlineStr">
        <is>
          <t>130521</t>
        </is>
      </c>
      <c r="J290" s="33" t="inlineStr"/>
      <c r="K290" s="33" t="inlineStr">
        <is>
          <t>SEM</t>
        </is>
      </c>
      <c r="L290" s="35">
        <f>IF(K290="FIN",3,IF(OR(K290="SEM",K290="SEMI"),2,IF(OR(K290="PRE",K290="HEAT"),1,IF(V290="YES",4,2))))</f>
        <v/>
      </c>
      <c r="M290" s="33" t="inlineStr">
        <is>
          <t>LCM</t>
        </is>
      </c>
      <c r="N290" s="33" t="n">
        <v>100</v>
      </c>
      <c r="O290" s="33" t="inlineStr">
        <is>
          <t>Free</t>
        </is>
      </c>
      <c r="P290" s="33" t="inlineStr">
        <is>
          <t>100 Free</t>
        </is>
      </c>
      <c r="Q290" s="33" t="inlineStr">
        <is>
          <t>LCM_100_FREE</t>
        </is>
      </c>
      <c r="R290" s="36" t="n">
        <v>47.23</v>
      </c>
      <c r="S290" s="35">
        <f>IF(R290="","",IF(R290&gt;=60,INT(R290/60)&amp;":"&amp;TEXT(MOD(R290,60),"00.00"),TEXT(R290,"0.00")))</f>
        <v/>
      </c>
      <c r="T290" s="52">
        <f>IFERROR((G290-INDEX('01_Swimmers'!$E$5:$E$22,MATCH(B290,'01_Swimmers'!$A$5:$A$22,0)))/'00_Control'!$B$10,"")</f>
        <v/>
      </c>
      <c r="U290" s="35">
        <f>IF(T290="","",INT(T290))</f>
        <v/>
      </c>
      <c r="V290" s="33" t="inlineStr">
        <is>
          <t>NO</t>
        </is>
      </c>
      <c r="W290" s="33" t="inlineStr">
        <is>
          <t>YES</t>
        </is>
      </c>
      <c r="X290" s="33" t="inlineStr">
        <is>
          <t>NO</t>
        </is>
      </c>
      <c r="Y290" s="33" t="n">
        <v>2</v>
      </c>
      <c r="Z290" s="33" t="n">
        <v>5</v>
      </c>
      <c r="AA290" s="33" t="inlineStr">
        <is>
          <t>2</t>
        </is>
      </c>
      <c r="AB290" s="33" t="inlineStr">
        <is>
          <t>https://www.swimcloud.com/results/130521/event/71/?id=43395940#time43395940</t>
        </is>
      </c>
      <c r="AC290" s="33" t="inlineStr">
        <is>
          <t>SwimCloud API v6 2026-10-08</t>
        </is>
      </c>
      <c r="AD290" s="33" t="inlineStr">
        <is>
          <t>Caeleb Dressel|2021-07-24|LCM|100|Free|47.23|Olympic Games|SEM|False</t>
        </is>
      </c>
      <c r="AE290" s="53">
        <f>G290+L290/1000+ROW()/1000000000</f>
        <v/>
      </c>
      <c r="AF290" s="35">
        <f>IF(C290&lt;&gt;"Grayson Coulter","",COUNTIFS($C$5:$C$2991,"Grayson Coulter",$Q$5:$Q$2991,Q290,$AE$5:$AE$2991,"&lt;="&amp;AE290,$R$5:$R$2991,"&lt;"&amp;R290))</f>
        <v/>
      </c>
      <c r="AG290" s="35">
        <f>IF(OR(C290&lt;&gt;"Grayson Coulter",G290&lt;'00_Control'!$B$7),"",--(AF290&lt;5))</f>
        <v/>
      </c>
      <c r="AH290" s="35">
        <f>IF(OR(C290&lt;&gt;"Grayson Coulter",G290&lt;'00_Control'!$B$7),"",--(AF290&lt;10))</f>
        <v/>
      </c>
      <c r="AI290" s="35">
        <f>IF(AND(C290="Grayson Coulter",G290&gt;='00_Control'!$B$7),"YES","NO")</f>
        <v/>
      </c>
      <c r="AJ290" s="33" t="inlineStr">
        <is>
          <t>OK</t>
        </is>
      </c>
    </row>
    <row r="291">
      <c r="A291" s="33" t="inlineStr">
        <is>
          <t>SM000287</t>
        </is>
      </c>
      <c r="B291" s="33" t="inlineStr">
        <is>
          <t>SW010</t>
        </is>
      </c>
      <c r="C291" s="33" t="inlineStr">
        <is>
          <t>Caeleb Dressel</t>
        </is>
      </c>
      <c r="D291" s="33" t="inlineStr">
        <is>
          <t>SwimCloud</t>
        </is>
      </c>
      <c r="E291" s="33" t="inlineStr">
        <is>
          <t>2361642</t>
        </is>
      </c>
      <c r="F291" s="33" t="inlineStr">
        <is>
          <t>43395956</t>
        </is>
      </c>
      <c r="G291" s="51" t="n">
        <v>44401</v>
      </c>
      <c r="H291" s="33" t="inlineStr">
        <is>
          <t>Olympic Games</t>
        </is>
      </c>
      <c r="I291" s="33" t="inlineStr">
        <is>
          <t>130521</t>
        </is>
      </c>
      <c r="J291" s="33" t="inlineStr"/>
      <c r="K291" s="33" t="inlineStr">
        <is>
          <t>FIN</t>
        </is>
      </c>
      <c r="L291" s="35">
        <f>IF(K291="FIN",3,IF(OR(K291="SEM",K291="SEMI"),2,IF(OR(K291="PRE",K291="HEAT"),1,IF(V291="YES",4,2))))</f>
        <v/>
      </c>
      <c r="M291" s="33" t="inlineStr">
        <is>
          <t>LCM</t>
        </is>
      </c>
      <c r="N291" s="33" t="n">
        <v>100</v>
      </c>
      <c r="O291" s="33" t="inlineStr">
        <is>
          <t>Free</t>
        </is>
      </c>
      <c r="P291" s="33" t="inlineStr">
        <is>
          <t>100 Free</t>
        </is>
      </c>
      <c r="Q291" s="33" t="inlineStr">
        <is>
          <t>LCM_100_FREE</t>
        </is>
      </c>
      <c r="R291" s="36" t="n">
        <v>47.02</v>
      </c>
      <c r="S291" s="35">
        <f>IF(R291="","",IF(R291&gt;=60,INT(R291/60)&amp;":"&amp;TEXT(MOD(R291,60),"00.00"),TEXT(R291,"0.00")))</f>
        <v/>
      </c>
      <c r="T291" s="52">
        <f>IFERROR((G291-INDEX('01_Swimmers'!$E$5:$E$22,MATCH(B291,'01_Swimmers'!$A$5:$A$22,0)))/'00_Control'!$B$10,"")</f>
        <v/>
      </c>
      <c r="U291" s="35">
        <f>IF(T291="","",INT(T291))</f>
        <v/>
      </c>
      <c r="V291" s="33" t="inlineStr">
        <is>
          <t>NO</t>
        </is>
      </c>
      <c r="W291" s="33" t="inlineStr">
        <is>
          <t>YES</t>
        </is>
      </c>
      <c r="X291" s="33" t="inlineStr">
        <is>
          <t>NO</t>
        </is>
      </c>
      <c r="Y291" s="33" t="n">
        <v>2</v>
      </c>
      <c r="Z291" s="33" t="n">
        <v>5</v>
      </c>
      <c r="AA291" s="33" t="inlineStr">
        <is>
          <t>1</t>
        </is>
      </c>
      <c r="AB291" s="33" t="inlineStr">
        <is>
          <t>https://www.swimcloud.com/results/130521/event/71/?id=43395956#time43395956</t>
        </is>
      </c>
      <c r="AC291" s="33" t="inlineStr">
        <is>
          <t>SwimCloud API v6 2026-10-08</t>
        </is>
      </c>
      <c r="AD291" s="33" t="inlineStr">
        <is>
          <t>Caeleb Dressel|2021-07-24|LCM|100|Free|47.02|Olympic Games|FIN|False</t>
        </is>
      </c>
      <c r="AE291" s="53">
        <f>G291+L291/1000+ROW()/1000000000</f>
        <v/>
      </c>
      <c r="AF291" s="35">
        <f>IF(C291&lt;&gt;"Grayson Coulter","",COUNTIFS($C$5:$C$2991,"Grayson Coulter",$Q$5:$Q$2991,Q291,$AE$5:$AE$2991,"&lt;="&amp;AE291,$R$5:$R$2991,"&lt;"&amp;R291))</f>
        <v/>
      </c>
      <c r="AG291" s="35">
        <f>IF(OR(C291&lt;&gt;"Grayson Coulter",G291&lt;'00_Control'!$B$7),"",--(AF291&lt;5))</f>
        <v/>
      </c>
      <c r="AH291" s="35">
        <f>IF(OR(C291&lt;&gt;"Grayson Coulter",G291&lt;'00_Control'!$B$7),"",--(AF291&lt;10))</f>
        <v/>
      </c>
      <c r="AI291" s="35">
        <f>IF(AND(C291="Grayson Coulter",G291&gt;='00_Control'!$B$7),"YES","NO")</f>
        <v/>
      </c>
      <c r="AJ291" s="33" t="inlineStr">
        <is>
          <t>OK</t>
        </is>
      </c>
    </row>
    <row r="292">
      <c r="A292" s="33" t="inlineStr">
        <is>
          <t>SM000288</t>
        </is>
      </c>
      <c r="B292" s="33" t="inlineStr">
        <is>
          <t>SW010</t>
        </is>
      </c>
      <c r="C292" s="33" t="inlineStr">
        <is>
          <t>Caeleb Dressel</t>
        </is>
      </c>
      <c r="D292" s="33" t="inlineStr">
        <is>
          <t>SwimCloud</t>
        </is>
      </c>
      <c r="E292" s="33" t="inlineStr">
        <is>
          <t>2361642</t>
        </is>
      </c>
      <c r="F292" s="33" t="inlineStr">
        <is>
          <t>43347635</t>
        </is>
      </c>
      <c r="G292" s="51" t="n">
        <v>44401</v>
      </c>
      <c r="H292" s="33" t="inlineStr">
        <is>
          <t>Olympic Games</t>
        </is>
      </c>
      <c r="I292" s="33" t="inlineStr">
        <is>
          <t>130521</t>
        </is>
      </c>
      <c r="J292" s="33" t="inlineStr"/>
      <c r="K292" s="33" t="inlineStr">
        <is>
          <t>FIN</t>
        </is>
      </c>
      <c r="L292" s="35">
        <f>IF(K292="FIN",3,IF(OR(K292="SEM",K292="SEMI"),2,IF(OR(K292="PRE",K292="HEAT"),1,IF(V292="YES",4,2))))</f>
        <v/>
      </c>
      <c r="M292" s="33" t="inlineStr">
        <is>
          <t>LCM</t>
        </is>
      </c>
      <c r="N292" s="33" t="n">
        <v>100</v>
      </c>
      <c r="O292" s="33" t="inlineStr">
        <is>
          <t>Free</t>
        </is>
      </c>
      <c r="P292" s="33" t="inlineStr">
        <is>
          <t>100 Free</t>
        </is>
      </c>
      <c r="Q292" s="33" t="inlineStr">
        <is>
          <t>LCM_100_FREE</t>
        </is>
      </c>
      <c r="R292" s="36" t="n">
        <v>47.26</v>
      </c>
      <c r="S292" s="35">
        <f>IF(R292="","",IF(R292&gt;=60,INT(R292/60)&amp;":"&amp;TEXT(MOD(R292,60),"00.00"),TEXT(R292,"0.00")))</f>
        <v/>
      </c>
      <c r="T292" s="52">
        <f>IFERROR((G292-INDEX('01_Swimmers'!$E$5:$E$22,MATCH(B292,'01_Swimmers'!$A$5:$A$22,0)))/'00_Control'!$B$10,"")</f>
        <v/>
      </c>
      <c r="U292" s="35">
        <f>IF(T292="","",INT(T292))</f>
        <v/>
      </c>
      <c r="V292" s="33" t="inlineStr">
        <is>
          <t>YES</t>
        </is>
      </c>
      <c r="W292" s="33" t="inlineStr">
        <is>
          <t>YES</t>
        </is>
      </c>
      <c r="X292" s="33" t="inlineStr">
        <is>
          <t>NO</t>
        </is>
      </c>
      <c r="Y292" s="33" t="n">
        <v>1</v>
      </c>
      <c r="Z292" s="33" t="n">
        <v>5</v>
      </c>
      <c r="AA292" s="33" t="inlineStr"/>
      <c r="AB292" s="33" t="inlineStr">
        <is>
          <t>https://www.swimcloud.com/results/130521/event/86/?id=43347590#time43347590</t>
        </is>
      </c>
      <c r="AC292" s="33" t="inlineStr">
        <is>
          <t>SwimCloud API v6 2026-10-08</t>
        </is>
      </c>
      <c r="AD292" s="33" t="inlineStr">
        <is>
          <t>Caeleb Dressel|2021-07-24|LCM|100|Free|47.26|Olympic Games|FIN|True</t>
        </is>
      </c>
      <c r="AE292" s="53">
        <f>G292+L292/1000+ROW()/1000000000</f>
        <v/>
      </c>
      <c r="AF292" s="35">
        <f>IF(C292&lt;&gt;"Grayson Coulter","",COUNTIFS($C$5:$C$2991,"Grayson Coulter",$Q$5:$Q$2991,Q292,$AE$5:$AE$2991,"&lt;="&amp;AE292,$R$5:$R$2991,"&lt;"&amp;R292))</f>
        <v/>
      </c>
      <c r="AG292" s="35">
        <f>IF(OR(C292&lt;&gt;"Grayson Coulter",G292&lt;'00_Control'!$B$7),"",--(AF292&lt;5))</f>
        <v/>
      </c>
      <c r="AH292" s="35">
        <f>IF(OR(C292&lt;&gt;"Grayson Coulter",G292&lt;'00_Control'!$B$7),"",--(AF292&lt;10))</f>
        <v/>
      </c>
      <c r="AI292" s="35">
        <f>IF(AND(C292="Grayson Coulter",G292&gt;='00_Control'!$B$7),"YES","NO")</f>
        <v/>
      </c>
      <c r="AJ292" s="33" t="inlineStr">
        <is>
          <t>OK</t>
        </is>
      </c>
    </row>
    <row r="293">
      <c r="A293" s="33" t="inlineStr">
        <is>
          <t>SM000289</t>
        </is>
      </c>
      <c r="B293" s="33" t="inlineStr">
        <is>
          <t>SW010</t>
        </is>
      </c>
      <c r="C293" s="33" t="inlineStr">
        <is>
          <t>Caeleb Dressel</t>
        </is>
      </c>
      <c r="D293" s="33" t="inlineStr">
        <is>
          <t>SwimCloud</t>
        </is>
      </c>
      <c r="E293" s="33" t="inlineStr">
        <is>
          <t>2361642</t>
        </is>
      </c>
      <c r="F293" s="33" t="inlineStr">
        <is>
          <t>43887680</t>
        </is>
      </c>
      <c r="G293" s="51" t="n">
        <v>44436</v>
      </c>
      <c r="H293" s="33" t="inlineStr">
        <is>
          <t>ISL - Season 3, Match 2</t>
        </is>
      </c>
      <c r="I293" s="33" t="inlineStr">
        <is>
          <t>202858</t>
        </is>
      </c>
      <c r="J293" s="33" t="inlineStr"/>
      <c r="K293" s="33" t="inlineStr">
        <is>
          <t>FIN</t>
        </is>
      </c>
      <c r="L293" s="35">
        <f>IF(K293="FIN",3,IF(OR(K293="SEM",K293="SEMI"),2,IF(OR(K293="PRE",K293="HEAT"),1,IF(V293="YES",4,2))))</f>
        <v/>
      </c>
      <c r="M293" s="33" t="inlineStr">
        <is>
          <t>SCM</t>
        </is>
      </c>
      <c r="N293" s="33" t="n">
        <v>100</v>
      </c>
      <c r="O293" s="33" t="inlineStr">
        <is>
          <t>Fly</t>
        </is>
      </c>
      <c r="P293" s="33" t="inlineStr">
        <is>
          <t>100 Fly</t>
        </is>
      </c>
      <c r="Q293" s="33" t="inlineStr">
        <is>
          <t>SCM_100_FLY</t>
        </is>
      </c>
      <c r="R293" s="36" t="n">
        <v>49.03</v>
      </c>
      <c r="S293" s="35">
        <f>IF(R293="","",IF(R293&gt;=60,INT(R293/60)&amp;":"&amp;TEXT(MOD(R293,60),"00.00"),TEXT(R293,"0.00")))</f>
        <v/>
      </c>
      <c r="T293" s="52">
        <f>IFERROR((G293-INDEX('01_Swimmers'!$E$5:$E$22,MATCH(B293,'01_Swimmers'!$A$5:$A$22,0)))/'00_Control'!$B$10,"")</f>
        <v/>
      </c>
      <c r="U293" s="35">
        <f>IF(T293="","",INT(T293))</f>
        <v/>
      </c>
      <c r="V293" s="33" t="inlineStr">
        <is>
          <t>NO</t>
        </is>
      </c>
      <c r="W293" s="33" t="inlineStr">
        <is>
          <t>YES</t>
        </is>
      </c>
      <c r="X293" s="33" t="inlineStr">
        <is>
          <t>NO</t>
        </is>
      </c>
      <c r="Y293" s="33" t="n">
        <v>1</v>
      </c>
      <c r="Z293" s="33" t="n">
        <v>4</v>
      </c>
      <c r="AA293" s="33" t="inlineStr">
        <is>
          <t>1</t>
        </is>
      </c>
      <c r="AB293" s="33" t="inlineStr">
        <is>
          <t>https://www.swimcloud.com/results/202858/event/2/?id=43887680#time43887680</t>
        </is>
      </c>
      <c r="AC293" s="33" t="inlineStr">
        <is>
          <t>SwimCloud API v6 2026-10-08</t>
        </is>
      </c>
      <c r="AD293" s="33" t="inlineStr">
        <is>
          <t>Caeleb Dressel|2021-08-28|SCM|100|Fly|49.03|ISL - Season 3, Match 2|FIN|False</t>
        </is>
      </c>
      <c r="AE293" s="53">
        <f>G293+L293/1000+ROW()/1000000000</f>
        <v/>
      </c>
      <c r="AF293" s="35">
        <f>IF(C293&lt;&gt;"Grayson Coulter","",COUNTIFS($C$5:$C$2991,"Grayson Coulter",$Q$5:$Q$2991,Q293,$AE$5:$AE$2991,"&lt;="&amp;AE293,$R$5:$R$2991,"&lt;"&amp;R293))</f>
        <v/>
      </c>
      <c r="AG293" s="35">
        <f>IF(OR(C293&lt;&gt;"Grayson Coulter",G293&lt;'00_Control'!$B$7),"",--(AF293&lt;5))</f>
        <v/>
      </c>
      <c r="AH293" s="35">
        <f>IF(OR(C293&lt;&gt;"Grayson Coulter",G293&lt;'00_Control'!$B$7),"",--(AF293&lt;10))</f>
        <v/>
      </c>
      <c r="AI293" s="35">
        <f>IF(AND(C293="Grayson Coulter",G293&gt;='00_Control'!$B$7),"YES","NO")</f>
        <v/>
      </c>
      <c r="AJ293" s="33" t="inlineStr">
        <is>
          <t>OK</t>
        </is>
      </c>
    </row>
    <row r="294">
      <c r="A294" s="33" t="inlineStr">
        <is>
          <t>SM000290</t>
        </is>
      </c>
      <c r="B294" s="33" t="inlineStr">
        <is>
          <t>SW010</t>
        </is>
      </c>
      <c r="C294" s="33" t="inlineStr">
        <is>
          <t>Caeleb Dressel</t>
        </is>
      </c>
      <c r="D294" s="33" t="inlineStr">
        <is>
          <t>SwimCloud</t>
        </is>
      </c>
      <c r="E294" s="33" t="inlineStr">
        <is>
          <t>2361642</t>
        </is>
      </c>
      <c r="F294" s="33" t="inlineStr">
        <is>
          <t>43887681</t>
        </is>
      </c>
      <c r="G294" s="51" t="n">
        <v>44437</v>
      </c>
      <c r="H294" s="33" t="inlineStr">
        <is>
          <t>ISL - Season 3, Match 2</t>
        </is>
      </c>
      <c r="I294" s="33" t="inlineStr">
        <is>
          <t>202858</t>
        </is>
      </c>
      <c r="J294" s="33" t="inlineStr"/>
      <c r="K294" s="33" t="inlineStr">
        <is>
          <t>FIN</t>
        </is>
      </c>
      <c r="L294" s="35">
        <f>IF(K294="FIN",3,IF(OR(K294="SEM",K294="SEMI"),2,IF(OR(K294="PRE",K294="HEAT"),1,IF(V294="YES",4,2))))</f>
        <v/>
      </c>
      <c r="M294" s="33" t="inlineStr">
        <is>
          <t>SCM</t>
        </is>
      </c>
      <c r="N294" s="33" t="n">
        <v>100</v>
      </c>
      <c r="O294" s="33" t="inlineStr">
        <is>
          <t>Free</t>
        </is>
      </c>
      <c r="P294" s="33" t="inlineStr">
        <is>
          <t>100 Free</t>
        </is>
      </c>
      <c r="Q294" s="33" t="inlineStr">
        <is>
          <t>SCM_100_FREE</t>
        </is>
      </c>
      <c r="R294" s="36" t="n">
        <v>45.94</v>
      </c>
      <c r="S294" s="35">
        <f>IF(R294="","",IF(R294&gt;=60,INT(R294/60)&amp;":"&amp;TEXT(MOD(R294,60),"00.00"),TEXT(R294,"0.00")))</f>
        <v/>
      </c>
      <c r="T294" s="52">
        <f>IFERROR((G294-INDEX('01_Swimmers'!$E$5:$E$22,MATCH(B294,'01_Swimmers'!$A$5:$A$22,0)))/'00_Control'!$B$10,"")</f>
        <v/>
      </c>
      <c r="U294" s="35">
        <f>IF(T294="","",INT(T294))</f>
        <v/>
      </c>
      <c r="V294" s="33" t="inlineStr">
        <is>
          <t>NO</t>
        </is>
      </c>
      <c r="W294" s="33" t="inlineStr">
        <is>
          <t>YES</t>
        </is>
      </c>
      <c r="X294" s="33" t="inlineStr">
        <is>
          <t>NO</t>
        </is>
      </c>
      <c r="Y294" s="33" t="n">
        <v>1</v>
      </c>
      <c r="Z294" s="33" t="n">
        <v>3</v>
      </c>
      <c r="AA294" s="33" t="inlineStr">
        <is>
          <t>1</t>
        </is>
      </c>
      <c r="AB294" s="33" t="inlineStr">
        <is>
          <t>https://www.swimcloud.com/results/202858/event/22/?id=43887681#time43887681</t>
        </is>
      </c>
      <c r="AC294" s="33" t="inlineStr">
        <is>
          <t>SwimCloud API v6 2026-10-08</t>
        </is>
      </c>
      <c r="AD294" s="33" t="inlineStr">
        <is>
          <t>Caeleb Dressel|2021-08-29|SCM|100|Free|45.94|ISL - Season 3, Match 2|FIN|False</t>
        </is>
      </c>
      <c r="AE294" s="53">
        <f>G294+L294/1000+ROW()/1000000000</f>
        <v/>
      </c>
      <c r="AF294" s="35">
        <f>IF(C294&lt;&gt;"Grayson Coulter","",COUNTIFS($C$5:$C$2991,"Grayson Coulter",$Q$5:$Q$2991,Q294,$AE$5:$AE$2991,"&lt;="&amp;AE294,$R$5:$R$2991,"&lt;"&amp;R294))</f>
        <v/>
      </c>
      <c r="AG294" s="35">
        <f>IF(OR(C294&lt;&gt;"Grayson Coulter",G294&lt;'00_Control'!$B$7),"",--(AF294&lt;5))</f>
        <v/>
      </c>
      <c r="AH294" s="35">
        <f>IF(OR(C294&lt;&gt;"Grayson Coulter",G294&lt;'00_Control'!$B$7),"",--(AF294&lt;10))</f>
        <v/>
      </c>
      <c r="AI294" s="35">
        <f>IF(AND(C294="Grayson Coulter",G294&gt;='00_Control'!$B$7),"YES","NO")</f>
        <v/>
      </c>
      <c r="AJ294" s="33" t="inlineStr">
        <is>
          <t>OK</t>
        </is>
      </c>
    </row>
    <row r="295">
      <c r="A295" s="33" t="inlineStr">
        <is>
          <t>SM000291</t>
        </is>
      </c>
      <c r="B295" s="33" t="inlineStr">
        <is>
          <t>SW010</t>
        </is>
      </c>
      <c r="C295" s="33" t="inlineStr">
        <is>
          <t>Caeleb Dressel</t>
        </is>
      </c>
      <c r="D295" s="33" t="inlineStr">
        <is>
          <t>SwimCloud</t>
        </is>
      </c>
      <c r="E295" s="33" t="inlineStr">
        <is>
          <t>2361642</t>
        </is>
      </c>
      <c r="F295" s="33" t="inlineStr">
        <is>
          <t>43909392</t>
        </is>
      </c>
      <c r="G295" s="51" t="n">
        <v>44443</v>
      </c>
      <c r="H295" s="33" t="inlineStr">
        <is>
          <t>ISL - Season 3, Match 4</t>
        </is>
      </c>
      <c r="I295" s="33" t="inlineStr">
        <is>
          <t>203032</t>
        </is>
      </c>
      <c r="J295" s="33" t="inlineStr"/>
      <c r="K295" s="33" t="inlineStr">
        <is>
          <t>FIN</t>
        </is>
      </c>
      <c r="L295" s="35">
        <f>IF(K295="FIN",3,IF(OR(K295="SEM",K295="SEMI"),2,IF(OR(K295="PRE",K295="HEAT"),1,IF(V295="YES",4,2))))</f>
        <v/>
      </c>
      <c r="M295" s="33" t="inlineStr">
        <is>
          <t>SCM</t>
        </is>
      </c>
      <c r="N295" s="33" t="n">
        <v>100</v>
      </c>
      <c r="O295" s="33" t="inlineStr">
        <is>
          <t>Fly</t>
        </is>
      </c>
      <c r="P295" s="33" t="inlineStr">
        <is>
          <t>100 Fly</t>
        </is>
      </c>
      <c r="Q295" s="33" t="inlineStr">
        <is>
          <t>SCM_100_FLY</t>
        </is>
      </c>
      <c r="R295" s="36" t="n">
        <v>48.53</v>
      </c>
      <c r="S295" s="35">
        <f>IF(R295="","",IF(R295&gt;=60,INT(R295/60)&amp;":"&amp;TEXT(MOD(R295,60),"00.00"),TEXT(R295,"0.00")))</f>
        <v/>
      </c>
      <c r="T295" s="52">
        <f>IFERROR((G295-INDEX('01_Swimmers'!$E$5:$E$22,MATCH(B295,'01_Swimmers'!$A$5:$A$22,0)))/'00_Control'!$B$10,"")</f>
        <v/>
      </c>
      <c r="U295" s="35">
        <f>IF(T295="","",INT(T295))</f>
        <v/>
      </c>
      <c r="V295" s="33" t="inlineStr">
        <is>
          <t>NO</t>
        </is>
      </c>
      <c r="W295" s="33" t="inlineStr">
        <is>
          <t>YES</t>
        </is>
      </c>
      <c r="X295" s="33" t="inlineStr">
        <is>
          <t>NO</t>
        </is>
      </c>
      <c r="Y295" s="33" t="n">
        <v>1</v>
      </c>
      <c r="Z295" s="33" t="n">
        <v>4</v>
      </c>
      <c r="AA295" s="33" t="inlineStr">
        <is>
          <t>1</t>
        </is>
      </c>
      <c r="AB295" s="33" t="inlineStr">
        <is>
          <t>https://www.swimcloud.com/results/203032/event/2/?id=43909392#time43909392</t>
        </is>
      </c>
      <c r="AC295" s="33" t="inlineStr">
        <is>
          <t>SwimCloud API v6 2026-10-08</t>
        </is>
      </c>
      <c r="AD295" s="33" t="inlineStr">
        <is>
          <t>Caeleb Dressel|2021-09-04|SCM|100|Fly|48.53|ISL - Season 3, Match 4|FIN|False</t>
        </is>
      </c>
      <c r="AE295" s="53">
        <f>G295+L295/1000+ROW()/1000000000</f>
        <v/>
      </c>
      <c r="AF295" s="35">
        <f>IF(C295&lt;&gt;"Grayson Coulter","",COUNTIFS($C$5:$C$2991,"Grayson Coulter",$Q$5:$Q$2991,Q295,$AE$5:$AE$2991,"&lt;="&amp;AE295,$R$5:$R$2991,"&lt;"&amp;R295))</f>
        <v/>
      </c>
      <c r="AG295" s="35">
        <f>IF(OR(C295&lt;&gt;"Grayson Coulter",G295&lt;'00_Control'!$B$7),"",--(AF295&lt;5))</f>
        <v/>
      </c>
      <c r="AH295" s="35">
        <f>IF(OR(C295&lt;&gt;"Grayson Coulter",G295&lt;'00_Control'!$B$7),"",--(AF295&lt;10))</f>
        <v/>
      </c>
      <c r="AI295" s="35">
        <f>IF(AND(C295="Grayson Coulter",G295&gt;='00_Control'!$B$7),"YES","NO")</f>
        <v/>
      </c>
      <c r="AJ295" s="33" t="inlineStr">
        <is>
          <t>OK</t>
        </is>
      </c>
    </row>
    <row r="296">
      <c r="A296" s="33" t="inlineStr">
        <is>
          <t>SM000292</t>
        </is>
      </c>
      <c r="B296" s="33" t="inlineStr">
        <is>
          <t>SW010</t>
        </is>
      </c>
      <c r="C296" s="33" t="inlineStr">
        <is>
          <t>Caeleb Dressel</t>
        </is>
      </c>
      <c r="D296" s="33" t="inlineStr">
        <is>
          <t>SwimCloud</t>
        </is>
      </c>
      <c r="E296" s="33" t="inlineStr">
        <is>
          <t>2361642</t>
        </is>
      </c>
      <c r="F296" s="33" t="inlineStr">
        <is>
          <t>43909393</t>
        </is>
      </c>
      <c r="G296" s="51" t="n">
        <v>44444</v>
      </c>
      <c r="H296" s="33" t="inlineStr">
        <is>
          <t>ISL - Season 3, Match 4</t>
        </is>
      </c>
      <c r="I296" s="33" t="inlineStr">
        <is>
          <t>203032</t>
        </is>
      </c>
      <c r="J296" s="33" t="inlineStr"/>
      <c r="K296" s="33" t="inlineStr">
        <is>
          <t>FIN</t>
        </is>
      </c>
      <c r="L296" s="35">
        <f>IF(K296="FIN",3,IF(OR(K296="SEM",K296="SEMI"),2,IF(OR(K296="PRE",K296="HEAT"),1,IF(V296="YES",4,2))))</f>
        <v/>
      </c>
      <c r="M296" s="33" t="inlineStr">
        <is>
          <t>SCM</t>
        </is>
      </c>
      <c r="N296" s="33" t="n">
        <v>100</v>
      </c>
      <c r="O296" s="33" t="inlineStr">
        <is>
          <t>Free</t>
        </is>
      </c>
      <c r="P296" s="33" t="inlineStr">
        <is>
          <t>100 Free</t>
        </is>
      </c>
      <c r="Q296" s="33" t="inlineStr">
        <is>
          <t>SCM_100_FREE</t>
        </is>
      </c>
      <c r="R296" s="36" t="n">
        <v>45.47</v>
      </c>
      <c r="S296" s="35">
        <f>IF(R296="","",IF(R296&gt;=60,INT(R296/60)&amp;":"&amp;TEXT(MOD(R296,60),"00.00"),TEXT(R296,"0.00")))</f>
        <v/>
      </c>
      <c r="T296" s="52">
        <f>IFERROR((G296-INDEX('01_Swimmers'!$E$5:$E$22,MATCH(B296,'01_Swimmers'!$A$5:$A$22,0)))/'00_Control'!$B$10,"")</f>
        <v/>
      </c>
      <c r="U296" s="35">
        <f>IF(T296="","",INT(T296))</f>
        <v/>
      </c>
      <c r="V296" s="33" t="inlineStr">
        <is>
          <t>NO</t>
        </is>
      </c>
      <c r="W296" s="33" t="inlineStr">
        <is>
          <t>YES</t>
        </is>
      </c>
      <c r="X296" s="33" t="inlineStr">
        <is>
          <t>NO</t>
        </is>
      </c>
      <c r="Y296" s="33" t="n">
        <v>1</v>
      </c>
      <c r="Z296" s="33" t="n">
        <v>3</v>
      </c>
      <c r="AA296" s="33" t="inlineStr">
        <is>
          <t>1</t>
        </is>
      </c>
      <c r="AB296" s="33" t="inlineStr">
        <is>
          <t>https://www.swimcloud.com/results/203032/event/22/?id=43909393#time43909393</t>
        </is>
      </c>
      <c r="AC296" s="33" t="inlineStr">
        <is>
          <t>SwimCloud API v6 2026-10-08</t>
        </is>
      </c>
      <c r="AD296" s="33" t="inlineStr">
        <is>
          <t>Caeleb Dressel|2021-09-05|SCM|100|Free|45.47|ISL - Season 3, Match 4|FIN|False</t>
        </is>
      </c>
      <c r="AE296" s="53">
        <f>G296+L296/1000+ROW()/1000000000</f>
        <v/>
      </c>
      <c r="AF296" s="35">
        <f>IF(C296&lt;&gt;"Grayson Coulter","",COUNTIFS($C$5:$C$2991,"Grayson Coulter",$Q$5:$Q$2991,Q296,$AE$5:$AE$2991,"&lt;="&amp;AE296,$R$5:$R$2991,"&lt;"&amp;R296))</f>
        <v/>
      </c>
      <c r="AG296" s="35">
        <f>IF(OR(C296&lt;&gt;"Grayson Coulter",G296&lt;'00_Control'!$B$7),"",--(AF296&lt;5))</f>
        <v/>
      </c>
      <c r="AH296" s="35">
        <f>IF(OR(C296&lt;&gt;"Grayson Coulter",G296&lt;'00_Control'!$B$7),"",--(AF296&lt;10))</f>
        <v/>
      </c>
      <c r="AI296" s="35">
        <f>IF(AND(C296="Grayson Coulter",G296&gt;='00_Control'!$B$7),"YES","NO")</f>
        <v/>
      </c>
      <c r="AJ296" s="33" t="inlineStr">
        <is>
          <t>OK</t>
        </is>
      </c>
    </row>
    <row r="297">
      <c r="A297" s="33" t="inlineStr">
        <is>
          <t>SM000293</t>
        </is>
      </c>
      <c r="B297" s="33" t="inlineStr">
        <is>
          <t>SW010</t>
        </is>
      </c>
      <c r="C297" s="33" t="inlineStr">
        <is>
          <t>Caeleb Dressel</t>
        </is>
      </c>
      <c r="D297" s="33" t="inlineStr">
        <is>
          <t>SwimCloud</t>
        </is>
      </c>
      <c r="E297" s="33" t="inlineStr">
        <is>
          <t>2361642</t>
        </is>
      </c>
      <c r="F297" s="33" t="inlineStr">
        <is>
          <t>43976322</t>
        </is>
      </c>
      <c r="G297" s="51" t="n">
        <v>44450</v>
      </c>
      <c r="H297" s="33" t="inlineStr">
        <is>
          <t>ISL - Season 3, Match 6</t>
        </is>
      </c>
      <c r="I297" s="33" t="inlineStr">
        <is>
          <t>203628</t>
        </is>
      </c>
      <c r="J297" s="33" t="inlineStr"/>
      <c r="K297" s="33" t="inlineStr">
        <is>
          <t>FIN</t>
        </is>
      </c>
      <c r="L297" s="35">
        <f>IF(K297="FIN",3,IF(OR(K297="SEM",K297="SEMI"),2,IF(OR(K297="PRE",K297="HEAT"),1,IF(V297="YES",4,2))))</f>
        <v/>
      </c>
      <c r="M297" s="33" t="inlineStr">
        <is>
          <t>SCM</t>
        </is>
      </c>
      <c r="N297" s="33" t="n">
        <v>100</v>
      </c>
      <c r="O297" s="33" t="inlineStr">
        <is>
          <t>Fly</t>
        </is>
      </c>
      <c r="P297" s="33" t="inlineStr">
        <is>
          <t>100 Fly</t>
        </is>
      </c>
      <c r="Q297" s="33" t="inlineStr">
        <is>
          <t>SCM_100_FLY</t>
        </is>
      </c>
      <c r="R297" s="36" t="n">
        <v>48.71</v>
      </c>
      <c r="S297" s="35">
        <f>IF(R297="","",IF(R297&gt;=60,INT(R297/60)&amp;":"&amp;TEXT(MOD(R297,60),"00.00"),TEXT(R297,"0.00")))</f>
        <v/>
      </c>
      <c r="T297" s="52">
        <f>IFERROR((G297-INDEX('01_Swimmers'!$E$5:$E$22,MATCH(B297,'01_Swimmers'!$A$5:$A$22,0)))/'00_Control'!$B$10,"")</f>
        <v/>
      </c>
      <c r="U297" s="35">
        <f>IF(T297="","",INT(T297))</f>
        <v/>
      </c>
      <c r="V297" s="33" t="inlineStr">
        <is>
          <t>NO</t>
        </is>
      </c>
      <c r="W297" s="33" t="inlineStr">
        <is>
          <t>YES</t>
        </is>
      </c>
      <c r="X297" s="33" t="inlineStr">
        <is>
          <t>NO</t>
        </is>
      </c>
      <c r="Y297" s="33" t="n">
        <v>1</v>
      </c>
      <c r="Z297" s="33" t="n">
        <v>4</v>
      </c>
      <c r="AA297" s="33" t="inlineStr">
        <is>
          <t>1</t>
        </is>
      </c>
      <c r="AB297" s="33" t="inlineStr">
        <is>
          <t>https://www.swimcloud.com/results/203628/event/2/?id=43976322#time43976322</t>
        </is>
      </c>
      <c r="AC297" s="33" t="inlineStr">
        <is>
          <t>SwimCloud API v6 2026-10-08</t>
        </is>
      </c>
      <c r="AD297" s="33" t="inlineStr">
        <is>
          <t>Caeleb Dressel|2021-09-11|SCM|100|Fly|48.71|ISL - Season 3, Match 6|FIN|False</t>
        </is>
      </c>
      <c r="AE297" s="53">
        <f>G297+L297/1000+ROW()/1000000000</f>
        <v/>
      </c>
      <c r="AF297" s="35">
        <f>IF(C297&lt;&gt;"Grayson Coulter","",COUNTIFS($C$5:$C$2991,"Grayson Coulter",$Q$5:$Q$2991,Q297,$AE$5:$AE$2991,"&lt;="&amp;AE297,$R$5:$R$2991,"&lt;"&amp;R297))</f>
        <v/>
      </c>
      <c r="AG297" s="35">
        <f>IF(OR(C297&lt;&gt;"Grayson Coulter",G297&lt;'00_Control'!$B$7),"",--(AF297&lt;5))</f>
        <v/>
      </c>
      <c r="AH297" s="35">
        <f>IF(OR(C297&lt;&gt;"Grayson Coulter",G297&lt;'00_Control'!$B$7),"",--(AF297&lt;10))</f>
        <v/>
      </c>
      <c r="AI297" s="35">
        <f>IF(AND(C297="Grayson Coulter",G297&gt;='00_Control'!$B$7),"YES","NO")</f>
        <v/>
      </c>
      <c r="AJ297" s="33" t="inlineStr">
        <is>
          <t>OK</t>
        </is>
      </c>
    </row>
    <row r="298">
      <c r="A298" s="33" t="inlineStr">
        <is>
          <t>SM000294</t>
        </is>
      </c>
      <c r="B298" s="33" t="inlineStr">
        <is>
          <t>SW010</t>
        </is>
      </c>
      <c r="C298" s="33" t="inlineStr">
        <is>
          <t>Caeleb Dressel</t>
        </is>
      </c>
      <c r="D298" s="33" t="inlineStr">
        <is>
          <t>SwimCloud</t>
        </is>
      </c>
      <c r="E298" s="33" t="inlineStr">
        <is>
          <t>2361642</t>
        </is>
      </c>
      <c r="F298" s="33" t="inlineStr">
        <is>
          <t>49033345</t>
        </is>
      </c>
      <c r="G298" s="51" t="n">
        <v>44533</v>
      </c>
      <c r="H298" s="33" t="inlineStr">
        <is>
          <t>ISL Season 3 Championship</t>
        </is>
      </c>
      <c r="I298" s="33" t="inlineStr">
        <is>
          <t>212422</t>
        </is>
      </c>
      <c r="J298" s="33" t="inlineStr"/>
      <c r="K298" s="33" t="inlineStr">
        <is>
          <t>FIN</t>
        </is>
      </c>
      <c r="L298" s="35">
        <f>IF(K298="FIN",3,IF(OR(K298="SEM",K298="SEMI"),2,IF(OR(K298="PRE",K298="HEAT"),1,IF(V298="YES",4,2))))</f>
        <v/>
      </c>
      <c r="M298" s="33" t="inlineStr">
        <is>
          <t>SCM</t>
        </is>
      </c>
      <c r="N298" s="33" t="n">
        <v>100</v>
      </c>
      <c r="O298" s="33" t="inlineStr">
        <is>
          <t>Fly</t>
        </is>
      </c>
      <c r="P298" s="33" t="inlineStr">
        <is>
          <t>100 Fly</t>
        </is>
      </c>
      <c r="Q298" s="33" t="inlineStr">
        <is>
          <t>SCM_100_FLY</t>
        </is>
      </c>
      <c r="R298" s="36" t="n">
        <v>49.23</v>
      </c>
      <c r="S298" s="35">
        <f>IF(R298="","",IF(R298&gt;=60,INT(R298/60)&amp;":"&amp;TEXT(MOD(R298,60),"00.00"),TEXT(R298,"0.00")))</f>
        <v/>
      </c>
      <c r="T298" s="52">
        <f>IFERROR((G298-INDEX('01_Swimmers'!$E$5:$E$22,MATCH(B298,'01_Swimmers'!$A$5:$A$22,0)))/'00_Control'!$B$10,"")</f>
        <v/>
      </c>
      <c r="U298" s="35">
        <f>IF(T298="","",INT(T298))</f>
        <v/>
      </c>
      <c r="V298" s="33" t="inlineStr">
        <is>
          <t>NO</t>
        </is>
      </c>
      <c r="W298" s="33" t="inlineStr">
        <is>
          <t>YES</t>
        </is>
      </c>
      <c r="X298" s="33" t="inlineStr">
        <is>
          <t>NO</t>
        </is>
      </c>
      <c r="Y298" s="33" t="n">
        <v>1</v>
      </c>
      <c r="Z298" s="33" t="n">
        <v>4</v>
      </c>
      <c r="AA298" s="33" t="inlineStr">
        <is>
          <t>2</t>
        </is>
      </c>
      <c r="AB298" s="33" t="inlineStr">
        <is>
          <t>https://www.swimcloud.com/results/212422/event/2/?id=49033345#time49033345</t>
        </is>
      </c>
      <c r="AC298" s="33" t="inlineStr">
        <is>
          <t>SwimCloud API v6 2026-10-08</t>
        </is>
      </c>
      <c r="AD298" s="33" t="inlineStr">
        <is>
          <t>Caeleb Dressel|2021-12-03|SCM|100|Fly|49.23|ISL Season 3 Championship|FIN|False</t>
        </is>
      </c>
      <c r="AE298" s="53">
        <f>G298+L298/1000+ROW()/1000000000</f>
        <v/>
      </c>
      <c r="AF298" s="35">
        <f>IF(C298&lt;&gt;"Grayson Coulter","",COUNTIFS($C$5:$C$2991,"Grayson Coulter",$Q$5:$Q$2991,Q298,$AE$5:$AE$2991,"&lt;="&amp;AE298,$R$5:$R$2991,"&lt;"&amp;R298))</f>
        <v/>
      </c>
      <c r="AG298" s="35">
        <f>IF(OR(C298&lt;&gt;"Grayson Coulter",G298&lt;'00_Control'!$B$7),"",--(AF298&lt;5))</f>
        <v/>
      </c>
      <c r="AH298" s="35">
        <f>IF(OR(C298&lt;&gt;"Grayson Coulter",G298&lt;'00_Control'!$B$7),"",--(AF298&lt;10))</f>
        <v/>
      </c>
      <c r="AI298" s="35">
        <f>IF(AND(C298="Grayson Coulter",G298&gt;='00_Control'!$B$7),"YES","NO")</f>
        <v/>
      </c>
      <c r="AJ298" s="33" t="inlineStr">
        <is>
          <t>OK</t>
        </is>
      </c>
    </row>
    <row r="299">
      <c r="A299" s="33" t="inlineStr">
        <is>
          <t>SM000295</t>
        </is>
      </c>
      <c r="B299" s="33" t="inlineStr">
        <is>
          <t>SW010</t>
        </is>
      </c>
      <c r="C299" s="33" t="inlineStr">
        <is>
          <t>Caeleb Dressel</t>
        </is>
      </c>
      <c r="D299" s="33" t="inlineStr">
        <is>
          <t>SwimCloud</t>
        </is>
      </c>
      <c r="E299" s="33" t="inlineStr">
        <is>
          <t>2361642</t>
        </is>
      </c>
      <c r="F299" s="33" t="inlineStr">
        <is>
          <t>58925019</t>
        </is>
      </c>
      <c r="G299" s="51" t="n">
        <v>44603</v>
      </c>
      <c r="H299" s="33" t="inlineStr">
        <is>
          <t>Speedo Sectionals - Orlando</t>
        </is>
      </c>
      <c r="I299" s="33" t="inlineStr">
        <is>
          <t>212640</t>
        </is>
      </c>
      <c r="J299" s="33" t="inlineStr"/>
      <c r="K299" s="33" t="inlineStr">
        <is>
          <t>PRE</t>
        </is>
      </c>
      <c r="L299" s="35">
        <f>IF(K299="FIN",3,IF(OR(K299="SEM",K299="SEMI"),2,IF(OR(K299="PRE",K299="HEAT"),1,IF(V299="YES",4,2))))</f>
        <v/>
      </c>
      <c r="M299" s="33" t="inlineStr">
        <is>
          <t>LCM</t>
        </is>
      </c>
      <c r="N299" s="33" t="n">
        <v>100</v>
      </c>
      <c r="O299" s="33" t="inlineStr">
        <is>
          <t>Fly</t>
        </is>
      </c>
      <c r="P299" s="33" t="inlineStr">
        <is>
          <t>100 Fly</t>
        </is>
      </c>
      <c r="Q299" s="33" t="inlineStr">
        <is>
          <t>LCM_100_FLY</t>
        </is>
      </c>
      <c r="R299" s="36" t="n">
        <v>53.31</v>
      </c>
      <c r="S299" s="35">
        <f>IF(R299="","",IF(R299&gt;=60,INT(R299/60)&amp;":"&amp;TEXT(MOD(R299,60),"00.00"),TEXT(R299,"0.00")))</f>
        <v/>
      </c>
      <c r="T299" s="52">
        <f>IFERROR((G299-INDEX('01_Swimmers'!$E$5:$E$22,MATCH(B299,'01_Swimmers'!$A$5:$A$22,0)))/'00_Control'!$B$10,"")</f>
        <v/>
      </c>
      <c r="U299" s="35">
        <f>IF(T299="","",INT(T299))</f>
        <v/>
      </c>
      <c r="V299" s="33" t="inlineStr">
        <is>
          <t>NO</t>
        </is>
      </c>
      <c r="W299" s="33" t="inlineStr">
        <is>
          <t>YES</t>
        </is>
      </c>
      <c r="X299" s="33" t="inlineStr">
        <is>
          <t>NO</t>
        </is>
      </c>
      <c r="Y299" s="33" t="n">
        <v>1</v>
      </c>
      <c r="Z299" s="33" t="n">
        <v>4</v>
      </c>
      <c r="AA299" s="33" t="inlineStr">
        <is>
          <t>1</t>
        </is>
      </c>
      <c r="AB299" s="33" t="inlineStr">
        <is>
          <t>https://www.swimcloud.com/results/212640/event/14/?id=58925019#time58925019</t>
        </is>
      </c>
      <c r="AC299" s="33" t="inlineStr">
        <is>
          <t>SwimCloud API v6 2026-10-08</t>
        </is>
      </c>
      <c r="AD299" s="33" t="inlineStr">
        <is>
          <t>Caeleb Dressel|2022-02-11|LCM|100|Fly|53.31|Speedo Sectionals - Orlando|PRE|False</t>
        </is>
      </c>
      <c r="AE299" s="53">
        <f>G299+L299/1000+ROW()/1000000000</f>
        <v/>
      </c>
      <c r="AF299" s="35">
        <f>IF(C299&lt;&gt;"Grayson Coulter","",COUNTIFS($C$5:$C$2991,"Grayson Coulter",$Q$5:$Q$2991,Q299,$AE$5:$AE$2991,"&lt;="&amp;AE299,$R$5:$R$2991,"&lt;"&amp;R299))</f>
        <v/>
      </c>
      <c r="AG299" s="35">
        <f>IF(OR(C299&lt;&gt;"Grayson Coulter",G299&lt;'00_Control'!$B$7),"",--(AF299&lt;5))</f>
        <v/>
      </c>
      <c r="AH299" s="35">
        <f>IF(OR(C299&lt;&gt;"Grayson Coulter",G299&lt;'00_Control'!$B$7),"",--(AF299&lt;10))</f>
        <v/>
      </c>
      <c r="AI299" s="35">
        <f>IF(AND(C299="Grayson Coulter",G299&gt;='00_Control'!$B$7),"YES","NO")</f>
        <v/>
      </c>
      <c r="AJ299" s="33" t="inlineStr">
        <is>
          <t>OK</t>
        </is>
      </c>
    </row>
    <row r="300">
      <c r="A300" s="33" t="inlineStr">
        <is>
          <t>SM000296</t>
        </is>
      </c>
      <c r="B300" s="33" t="inlineStr">
        <is>
          <t>SW010</t>
        </is>
      </c>
      <c r="C300" s="33" t="inlineStr">
        <is>
          <t>Caeleb Dressel</t>
        </is>
      </c>
      <c r="D300" s="33" t="inlineStr">
        <is>
          <t>SwimCloud</t>
        </is>
      </c>
      <c r="E300" s="33" t="inlineStr">
        <is>
          <t>2361642</t>
        </is>
      </c>
      <c r="F300" s="33" t="inlineStr">
        <is>
          <t>58925020</t>
        </is>
      </c>
      <c r="G300" s="51" t="n">
        <v>44603</v>
      </c>
      <c r="H300" s="33" t="inlineStr">
        <is>
          <t>Speedo Sectionals - Orlando</t>
        </is>
      </c>
      <c r="I300" s="33" t="inlineStr">
        <is>
          <t>212640</t>
        </is>
      </c>
      <c r="J300" s="33" t="inlineStr"/>
      <c r="K300" s="33" t="inlineStr">
        <is>
          <t>FIN</t>
        </is>
      </c>
      <c r="L300" s="35">
        <f>IF(K300="FIN",3,IF(OR(K300="SEM",K300="SEMI"),2,IF(OR(K300="PRE",K300="HEAT"),1,IF(V300="YES",4,2))))</f>
        <v/>
      </c>
      <c r="M300" s="33" t="inlineStr">
        <is>
          <t>LCM</t>
        </is>
      </c>
      <c r="N300" s="33" t="n">
        <v>100</v>
      </c>
      <c r="O300" s="33" t="inlineStr">
        <is>
          <t>Fly</t>
        </is>
      </c>
      <c r="P300" s="33" t="inlineStr">
        <is>
          <t>100 Fly</t>
        </is>
      </c>
      <c r="Q300" s="33" t="inlineStr">
        <is>
          <t>LCM_100_FLY</t>
        </is>
      </c>
      <c r="R300" s="36" t="n">
        <v>51.95</v>
      </c>
      <c r="S300" s="35">
        <f>IF(R300="","",IF(R300&gt;=60,INT(R300/60)&amp;":"&amp;TEXT(MOD(R300,60),"00.00"),TEXT(R300,"0.00")))</f>
        <v/>
      </c>
      <c r="T300" s="52">
        <f>IFERROR((G300-INDEX('01_Swimmers'!$E$5:$E$22,MATCH(B300,'01_Swimmers'!$A$5:$A$22,0)))/'00_Control'!$B$10,"")</f>
        <v/>
      </c>
      <c r="U300" s="35">
        <f>IF(T300="","",INT(T300))</f>
        <v/>
      </c>
      <c r="V300" s="33" t="inlineStr">
        <is>
          <t>NO</t>
        </is>
      </c>
      <c r="W300" s="33" t="inlineStr">
        <is>
          <t>YES</t>
        </is>
      </c>
      <c r="X300" s="33" t="inlineStr">
        <is>
          <t>NO</t>
        </is>
      </c>
      <c r="Y300" s="33" t="n">
        <v>1</v>
      </c>
      <c r="Z300" s="33" t="n">
        <v>4</v>
      </c>
      <c r="AA300" s="33" t="inlineStr">
        <is>
          <t>1</t>
        </is>
      </c>
      <c r="AB300" s="33" t="inlineStr">
        <is>
          <t>https://www.swimcloud.com/results/212640/event/14/?id=58925020#time58925020</t>
        </is>
      </c>
      <c r="AC300" s="33" t="inlineStr">
        <is>
          <t>SwimCloud API v6 2026-10-08</t>
        </is>
      </c>
      <c r="AD300" s="33" t="inlineStr">
        <is>
          <t>Caeleb Dressel|2022-02-11|LCM|100|Fly|51.95|Speedo Sectionals - Orlando|FIN|False</t>
        </is>
      </c>
      <c r="AE300" s="53">
        <f>G300+L300/1000+ROW()/1000000000</f>
        <v/>
      </c>
      <c r="AF300" s="35">
        <f>IF(C300&lt;&gt;"Grayson Coulter","",COUNTIFS($C$5:$C$2991,"Grayson Coulter",$Q$5:$Q$2991,Q300,$AE$5:$AE$2991,"&lt;="&amp;AE300,$R$5:$R$2991,"&lt;"&amp;R300))</f>
        <v/>
      </c>
      <c r="AG300" s="35">
        <f>IF(OR(C300&lt;&gt;"Grayson Coulter",G300&lt;'00_Control'!$B$7),"",--(AF300&lt;5))</f>
        <v/>
      </c>
      <c r="AH300" s="35">
        <f>IF(OR(C300&lt;&gt;"Grayson Coulter",G300&lt;'00_Control'!$B$7),"",--(AF300&lt;10))</f>
        <v/>
      </c>
      <c r="AI300" s="35">
        <f>IF(AND(C300="Grayson Coulter",G300&gt;='00_Control'!$B$7),"YES","NO")</f>
        <v/>
      </c>
      <c r="AJ300" s="33" t="inlineStr">
        <is>
          <t>OK</t>
        </is>
      </c>
    </row>
    <row r="301">
      <c r="A301" s="33" t="inlineStr">
        <is>
          <t>SM000297</t>
        </is>
      </c>
      <c r="B301" s="33" t="inlineStr">
        <is>
          <t>SW010</t>
        </is>
      </c>
      <c r="C301" s="33" t="inlineStr">
        <is>
          <t>Caeleb Dressel</t>
        </is>
      </c>
      <c r="D301" s="33" t="inlineStr">
        <is>
          <t>SwimCloud</t>
        </is>
      </c>
      <c r="E301" s="33" t="inlineStr">
        <is>
          <t>2361642</t>
        </is>
      </c>
      <c r="F301" s="33" t="inlineStr">
        <is>
          <t>58925702</t>
        </is>
      </c>
      <c r="G301" s="51" t="n">
        <v>44603</v>
      </c>
      <c r="H301" s="33" t="inlineStr">
        <is>
          <t>Speedo Sectionals - Orlando</t>
        </is>
      </c>
      <c r="I301" s="33" t="inlineStr">
        <is>
          <t>212640</t>
        </is>
      </c>
      <c r="J301" s="33" t="inlineStr"/>
      <c r="K301" s="33" t="inlineStr">
        <is>
          <t>PRE</t>
        </is>
      </c>
      <c r="L301" s="35">
        <f>IF(K301="FIN",3,IF(OR(K301="SEM",K301="SEMI"),2,IF(OR(K301="PRE",K301="HEAT"),1,IF(V301="YES",4,2))))</f>
        <v/>
      </c>
      <c r="M301" s="33" t="inlineStr">
        <is>
          <t>LCM</t>
        </is>
      </c>
      <c r="N301" s="33" t="n">
        <v>200</v>
      </c>
      <c r="O301" s="33" t="inlineStr">
        <is>
          <t>Free</t>
        </is>
      </c>
      <c r="P301" s="33" t="inlineStr">
        <is>
          <t>200 Free</t>
        </is>
      </c>
      <c r="Q301" s="33" t="inlineStr">
        <is>
          <t>LCM_200_FREE</t>
        </is>
      </c>
      <c r="R301" s="36" t="n">
        <v>113.41</v>
      </c>
      <c r="S301" s="35">
        <f>IF(R301="","",IF(R301&gt;=60,INT(R301/60)&amp;":"&amp;TEXT(MOD(R301,60),"00.00"),TEXT(R301,"0.00")))</f>
        <v/>
      </c>
      <c r="T301" s="52">
        <f>IFERROR((G301-INDEX('01_Swimmers'!$E$5:$E$22,MATCH(B301,'01_Swimmers'!$A$5:$A$22,0)))/'00_Control'!$B$10,"")</f>
        <v/>
      </c>
      <c r="U301" s="35">
        <f>IF(T301="","",INT(T301))</f>
        <v/>
      </c>
      <c r="V301" s="33" t="inlineStr">
        <is>
          <t>NO</t>
        </is>
      </c>
      <c r="W301" s="33" t="inlineStr">
        <is>
          <t>YES</t>
        </is>
      </c>
      <c r="X301" s="33" t="inlineStr">
        <is>
          <t>NO</t>
        </is>
      </c>
      <c r="Y301" s="33" t="n">
        <v>1</v>
      </c>
      <c r="Z301" s="33" t="n">
        <v>4</v>
      </c>
      <c r="AA301" s="33" t="inlineStr">
        <is>
          <t>1</t>
        </is>
      </c>
      <c r="AB301" s="33" t="inlineStr">
        <is>
          <t>https://www.swimcloud.com/results/212640/event/10/?id=58925702#time58925702</t>
        </is>
      </c>
      <c r="AC301" s="33" t="inlineStr">
        <is>
          <t>SwimCloud API v6 2026-10-08</t>
        </is>
      </c>
      <c r="AD301" s="33" t="inlineStr">
        <is>
          <t>Caeleb Dressel|2022-02-11|LCM|200|Free|113.41|Speedo Sectionals - Orlando|PRE|False</t>
        </is>
      </c>
      <c r="AE301" s="53">
        <f>G301+L301/1000+ROW()/1000000000</f>
        <v/>
      </c>
      <c r="AF301" s="35">
        <f>IF(C301&lt;&gt;"Grayson Coulter","",COUNTIFS($C$5:$C$2991,"Grayson Coulter",$Q$5:$Q$2991,Q301,$AE$5:$AE$2991,"&lt;="&amp;AE301,$R$5:$R$2991,"&lt;"&amp;R301))</f>
        <v/>
      </c>
      <c r="AG301" s="35">
        <f>IF(OR(C301&lt;&gt;"Grayson Coulter",G301&lt;'00_Control'!$B$7),"",--(AF301&lt;5))</f>
        <v/>
      </c>
      <c r="AH301" s="35">
        <f>IF(OR(C301&lt;&gt;"Grayson Coulter",G301&lt;'00_Control'!$B$7),"",--(AF301&lt;10))</f>
        <v/>
      </c>
      <c r="AI301" s="35">
        <f>IF(AND(C301="Grayson Coulter",G301&gt;='00_Control'!$B$7),"YES","NO")</f>
        <v/>
      </c>
      <c r="AJ301" s="33" t="inlineStr">
        <is>
          <t>OK</t>
        </is>
      </c>
    </row>
    <row r="302">
      <c r="A302" s="33" t="inlineStr">
        <is>
          <t>SM000298</t>
        </is>
      </c>
      <c r="B302" s="33" t="inlineStr">
        <is>
          <t>SW010</t>
        </is>
      </c>
      <c r="C302" s="33" t="inlineStr">
        <is>
          <t>Caeleb Dressel</t>
        </is>
      </c>
      <c r="D302" s="33" t="inlineStr">
        <is>
          <t>SwimCloud</t>
        </is>
      </c>
      <c r="E302" s="33" t="inlineStr">
        <is>
          <t>2361642</t>
        </is>
      </c>
      <c r="F302" s="33" t="inlineStr">
        <is>
          <t>58925703</t>
        </is>
      </c>
      <c r="G302" s="51" t="n">
        <v>44603</v>
      </c>
      <c r="H302" s="33" t="inlineStr">
        <is>
          <t>Speedo Sectionals - Orlando</t>
        </is>
      </c>
      <c r="I302" s="33" t="inlineStr">
        <is>
          <t>212640</t>
        </is>
      </c>
      <c r="J302" s="33" t="inlineStr"/>
      <c r="K302" s="33" t="inlineStr">
        <is>
          <t>FIN</t>
        </is>
      </c>
      <c r="L302" s="35">
        <f>IF(K302="FIN",3,IF(OR(K302="SEM",K302="SEMI"),2,IF(OR(K302="PRE",K302="HEAT"),1,IF(V302="YES",4,2))))</f>
        <v/>
      </c>
      <c r="M302" s="33" t="inlineStr">
        <is>
          <t>LCM</t>
        </is>
      </c>
      <c r="N302" s="33" t="n">
        <v>200</v>
      </c>
      <c r="O302" s="33" t="inlineStr">
        <is>
          <t>Free</t>
        </is>
      </c>
      <c r="P302" s="33" t="inlineStr">
        <is>
          <t>200 Free</t>
        </is>
      </c>
      <c r="Q302" s="33" t="inlineStr">
        <is>
          <t>LCM_200_FREE</t>
        </is>
      </c>
      <c r="R302" s="36" t="n">
        <v>109.96</v>
      </c>
      <c r="S302" s="35">
        <f>IF(R302="","",IF(R302&gt;=60,INT(R302/60)&amp;":"&amp;TEXT(MOD(R302,60),"00.00"),TEXT(R302,"0.00")))</f>
        <v/>
      </c>
      <c r="T302" s="52">
        <f>IFERROR((G302-INDEX('01_Swimmers'!$E$5:$E$22,MATCH(B302,'01_Swimmers'!$A$5:$A$22,0)))/'00_Control'!$B$10,"")</f>
        <v/>
      </c>
      <c r="U302" s="35">
        <f>IF(T302="","",INT(T302))</f>
        <v/>
      </c>
      <c r="V302" s="33" t="inlineStr">
        <is>
          <t>NO</t>
        </is>
      </c>
      <c r="W302" s="33" t="inlineStr">
        <is>
          <t>YES</t>
        </is>
      </c>
      <c r="X302" s="33" t="inlineStr">
        <is>
          <t>NO</t>
        </is>
      </c>
      <c r="Y302" s="33" t="n">
        <v>1</v>
      </c>
      <c r="Z302" s="33" t="n">
        <v>4</v>
      </c>
      <c r="AA302" s="33" t="inlineStr">
        <is>
          <t>1</t>
        </is>
      </c>
      <c r="AB302" s="33" t="inlineStr">
        <is>
          <t>https://www.swimcloud.com/results/212640/event/10/?id=58925703#time58925703</t>
        </is>
      </c>
      <c r="AC302" s="33" t="inlineStr">
        <is>
          <t>SwimCloud API v6 2026-10-08</t>
        </is>
      </c>
      <c r="AD302" s="33" t="inlineStr">
        <is>
          <t>Caeleb Dressel|2022-02-11|LCM|200|Free|109.96|Speedo Sectionals - Orlando|FIN|False</t>
        </is>
      </c>
      <c r="AE302" s="53">
        <f>G302+L302/1000+ROW()/1000000000</f>
        <v/>
      </c>
      <c r="AF302" s="35">
        <f>IF(C302&lt;&gt;"Grayson Coulter","",COUNTIFS($C$5:$C$2991,"Grayson Coulter",$Q$5:$Q$2991,Q302,$AE$5:$AE$2991,"&lt;="&amp;AE302,$R$5:$R$2991,"&lt;"&amp;R302))</f>
        <v/>
      </c>
      <c r="AG302" s="35">
        <f>IF(OR(C302&lt;&gt;"Grayson Coulter",G302&lt;'00_Control'!$B$7),"",--(AF302&lt;5))</f>
        <v/>
      </c>
      <c r="AH302" s="35">
        <f>IF(OR(C302&lt;&gt;"Grayson Coulter",G302&lt;'00_Control'!$B$7),"",--(AF302&lt;10))</f>
        <v/>
      </c>
      <c r="AI302" s="35">
        <f>IF(AND(C302="Grayson Coulter",G302&gt;='00_Control'!$B$7),"YES","NO")</f>
        <v/>
      </c>
      <c r="AJ302" s="33" t="inlineStr">
        <is>
          <t>OK</t>
        </is>
      </c>
    </row>
    <row r="303">
      <c r="A303" s="33" t="inlineStr">
        <is>
          <t>SM000299</t>
        </is>
      </c>
      <c r="B303" s="33" t="inlineStr">
        <is>
          <t>SW010</t>
        </is>
      </c>
      <c r="C303" s="33" t="inlineStr">
        <is>
          <t>Caeleb Dressel</t>
        </is>
      </c>
      <c r="D303" s="33" t="inlineStr">
        <is>
          <t>SwimCloud</t>
        </is>
      </c>
      <c r="E303" s="33" t="inlineStr">
        <is>
          <t>2361642</t>
        </is>
      </c>
      <c r="F303" s="33" t="inlineStr">
        <is>
          <t>58927028</t>
        </is>
      </c>
      <c r="G303" s="51" t="n">
        <v>44604</v>
      </c>
      <c r="H303" s="33" t="inlineStr">
        <is>
          <t>Speedo Sectionals - Orlando</t>
        </is>
      </c>
      <c r="I303" s="33" t="inlineStr">
        <is>
          <t>212640</t>
        </is>
      </c>
      <c r="J303" s="33" t="inlineStr"/>
      <c r="K303" s="33" t="inlineStr">
        <is>
          <t>TIM</t>
        </is>
      </c>
      <c r="L303" s="35">
        <f>IF(K303="FIN",3,IF(OR(K303="SEM",K303="SEMI"),2,IF(OR(K303="PRE",K303="HEAT"),1,IF(V303="YES",4,2))))</f>
        <v/>
      </c>
      <c r="M303" s="33" t="inlineStr">
        <is>
          <t>LCM</t>
        </is>
      </c>
      <c r="N303" s="33" t="n">
        <v>100</v>
      </c>
      <c r="O303" s="33" t="inlineStr">
        <is>
          <t>Free</t>
        </is>
      </c>
      <c r="P303" s="33" t="inlineStr">
        <is>
          <t>100 Free</t>
        </is>
      </c>
      <c r="Q303" s="33" t="inlineStr">
        <is>
          <t>LCM_100_FREE</t>
        </is>
      </c>
      <c r="R303" s="36" t="n">
        <v>49.72</v>
      </c>
      <c r="S303" s="35">
        <f>IF(R303="","",IF(R303&gt;=60,INT(R303/60)&amp;":"&amp;TEXT(MOD(R303,60),"00.00"),TEXT(R303,"0.00")))</f>
        <v/>
      </c>
      <c r="T303" s="52">
        <f>IFERROR((G303-INDEX('01_Swimmers'!$E$5:$E$22,MATCH(B303,'01_Swimmers'!$A$5:$A$22,0)))/'00_Control'!$B$10,"")</f>
        <v/>
      </c>
      <c r="U303" s="35">
        <f>IF(T303="","",INT(T303))</f>
        <v/>
      </c>
      <c r="V303" s="33" t="inlineStr">
        <is>
          <t>NO</t>
        </is>
      </c>
      <c r="W303" s="33" t="inlineStr">
        <is>
          <t>YES</t>
        </is>
      </c>
      <c r="X303" s="33" t="inlineStr">
        <is>
          <t>NO</t>
        </is>
      </c>
      <c r="Y303" s="33" t="n">
        <v>1</v>
      </c>
      <c r="Z303" s="33" t="n">
        <v>4</v>
      </c>
      <c r="AA303" s="33" t="inlineStr">
        <is>
          <t>1</t>
        </is>
      </c>
      <c r="AB303" s="33" t="inlineStr">
        <is>
          <t>https://www.swimcloud.com/results/212640/event/236/?id=58927028#time58927028</t>
        </is>
      </c>
      <c r="AC303" s="33" t="inlineStr">
        <is>
          <t>SwimCloud API v6 2026-10-08</t>
        </is>
      </c>
      <c r="AD303" s="33" t="inlineStr">
        <is>
          <t>Caeleb Dressel|2022-02-12|LCM|100|Free|49.72|Speedo Sectionals - Orlando|TIM|False</t>
        </is>
      </c>
      <c r="AE303" s="53">
        <f>G303+L303/1000+ROW()/1000000000</f>
        <v/>
      </c>
      <c r="AF303" s="35">
        <f>IF(C303&lt;&gt;"Grayson Coulter","",COUNTIFS($C$5:$C$2991,"Grayson Coulter",$Q$5:$Q$2991,Q303,$AE$5:$AE$2991,"&lt;="&amp;AE303,$R$5:$R$2991,"&lt;"&amp;R303))</f>
        <v/>
      </c>
      <c r="AG303" s="35">
        <f>IF(OR(C303&lt;&gt;"Grayson Coulter",G303&lt;'00_Control'!$B$7),"",--(AF303&lt;5))</f>
        <v/>
      </c>
      <c r="AH303" s="35">
        <f>IF(OR(C303&lt;&gt;"Grayson Coulter",G303&lt;'00_Control'!$B$7),"",--(AF303&lt;10))</f>
        <v/>
      </c>
      <c r="AI303" s="35">
        <f>IF(AND(C303="Grayson Coulter",G303&gt;='00_Control'!$B$7),"YES","NO")</f>
        <v/>
      </c>
      <c r="AJ303" s="33" t="inlineStr">
        <is>
          <t>OK</t>
        </is>
      </c>
    </row>
    <row r="304">
      <c r="A304" s="33" t="inlineStr">
        <is>
          <t>SM000300</t>
        </is>
      </c>
      <c r="B304" s="33" t="inlineStr">
        <is>
          <t>SW010</t>
        </is>
      </c>
      <c r="C304" s="33" t="inlineStr">
        <is>
          <t>Caeleb Dressel</t>
        </is>
      </c>
      <c r="D304" s="33" t="inlineStr">
        <is>
          <t>SwimCloud</t>
        </is>
      </c>
      <c r="E304" s="33" t="inlineStr">
        <is>
          <t>2361642</t>
        </is>
      </c>
      <c r="F304" s="33" t="inlineStr">
        <is>
          <t>60303480</t>
        </is>
      </c>
      <c r="G304" s="51" t="n">
        <v>44623</v>
      </c>
      <c r="H304" s="33" t="inlineStr">
        <is>
          <t>2022 IN TYR Pro Swim Series - Westmont</t>
        </is>
      </c>
      <c r="I304" s="33" t="inlineStr">
        <is>
          <t>203549</t>
        </is>
      </c>
      <c r="J304" s="33" t="inlineStr"/>
      <c r="K304" s="33" t="inlineStr">
        <is>
          <t>PRE</t>
        </is>
      </c>
      <c r="L304" s="35">
        <f>IF(K304="FIN",3,IF(OR(K304="SEM",K304="SEMI"),2,IF(OR(K304="PRE",K304="HEAT"),1,IF(V304="YES",4,2))))</f>
        <v/>
      </c>
      <c r="M304" s="33" t="inlineStr">
        <is>
          <t>LCM</t>
        </is>
      </c>
      <c r="N304" s="33" t="n">
        <v>100</v>
      </c>
      <c r="O304" s="33" t="inlineStr">
        <is>
          <t>Free</t>
        </is>
      </c>
      <c r="P304" s="33" t="inlineStr">
        <is>
          <t>100 Free</t>
        </is>
      </c>
      <c r="Q304" s="33" t="inlineStr">
        <is>
          <t>LCM_100_FREE</t>
        </is>
      </c>
      <c r="R304" s="36" t="n">
        <v>49.62</v>
      </c>
      <c r="S304" s="35">
        <f>IF(R304="","",IF(R304&gt;=60,INT(R304/60)&amp;":"&amp;TEXT(MOD(R304,60),"00.00"),TEXT(R304,"0.00")))</f>
        <v/>
      </c>
      <c r="T304" s="52">
        <f>IFERROR((G304-INDEX('01_Swimmers'!$E$5:$E$22,MATCH(B304,'01_Swimmers'!$A$5:$A$22,0)))/'00_Control'!$B$10,"")</f>
        <v/>
      </c>
      <c r="U304" s="35">
        <f>IF(T304="","",INT(T304))</f>
        <v/>
      </c>
      <c r="V304" s="33" t="inlineStr">
        <is>
          <t>NO</t>
        </is>
      </c>
      <c r="W304" s="33" t="inlineStr">
        <is>
          <t>YES</t>
        </is>
      </c>
      <c r="X304" s="33" t="inlineStr">
        <is>
          <t>NO</t>
        </is>
      </c>
      <c r="Y304" s="33" t="n">
        <v>2</v>
      </c>
      <c r="Z304" s="33" t="n">
        <v>5</v>
      </c>
      <c r="AA304" s="33" t="inlineStr">
        <is>
          <t>2</t>
        </is>
      </c>
      <c r="AB304" s="33" t="inlineStr">
        <is>
          <t>https://www.swimcloud.com/results/203549/event/4/?id=60303480#time60303480</t>
        </is>
      </c>
      <c r="AC304" s="33" t="inlineStr">
        <is>
          <t>SwimCloud API v6 2026-10-08</t>
        </is>
      </c>
      <c r="AD304" s="33" t="inlineStr">
        <is>
          <t>Caeleb Dressel|2022-03-03|LCM|100|Free|49.62|2022 IN TYR Pro Swim Series - Westmont|PRE|False</t>
        </is>
      </c>
      <c r="AE304" s="53">
        <f>G304+L304/1000+ROW()/1000000000</f>
        <v/>
      </c>
      <c r="AF304" s="35">
        <f>IF(C304&lt;&gt;"Grayson Coulter","",COUNTIFS($C$5:$C$2991,"Grayson Coulter",$Q$5:$Q$2991,Q304,$AE$5:$AE$2991,"&lt;="&amp;AE304,$R$5:$R$2991,"&lt;"&amp;R304))</f>
        <v/>
      </c>
      <c r="AG304" s="35">
        <f>IF(OR(C304&lt;&gt;"Grayson Coulter",G304&lt;'00_Control'!$B$7),"",--(AF304&lt;5))</f>
        <v/>
      </c>
      <c r="AH304" s="35">
        <f>IF(OR(C304&lt;&gt;"Grayson Coulter",G304&lt;'00_Control'!$B$7),"",--(AF304&lt;10))</f>
        <v/>
      </c>
      <c r="AI304" s="35">
        <f>IF(AND(C304="Grayson Coulter",G304&gt;='00_Control'!$B$7),"YES","NO")</f>
        <v/>
      </c>
      <c r="AJ304" s="33" t="inlineStr">
        <is>
          <t>OK</t>
        </is>
      </c>
    </row>
    <row r="305">
      <c r="A305" s="33" t="inlineStr">
        <is>
          <t>SM000301</t>
        </is>
      </c>
      <c r="B305" s="33" t="inlineStr">
        <is>
          <t>SW010</t>
        </is>
      </c>
      <c r="C305" s="33" t="inlineStr">
        <is>
          <t>Caeleb Dressel</t>
        </is>
      </c>
      <c r="D305" s="33" t="inlineStr">
        <is>
          <t>SwimCloud</t>
        </is>
      </c>
      <c r="E305" s="33" t="inlineStr">
        <is>
          <t>2361642</t>
        </is>
      </c>
      <c r="F305" s="33" t="inlineStr">
        <is>
          <t>60303481</t>
        </is>
      </c>
      <c r="G305" s="51" t="n">
        <v>44623</v>
      </c>
      <c r="H305" s="33" t="inlineStr">
        <is>
          <t>2022 IN TYR Pro Swim Series - Westmont</t>
        </is>
      </c>
      <c r="I305" s="33" t="inlineStr">
        <is>
          <t>203549</t>
        </is>
      </c>
      <c r="J305" s="33" t="inlineStr"/>
      <c r="K305" s="33" t="inlineStr">
        <is>
          <t>FIN</t>
        </is>
      </c>
      <c r="L305" s="35">
        <f>IF(K305="FIN",3,IF(OR(K305="SEM",K305="SEMI"),2,IF(OR(K305="PRE",K305="HEAT"),1,IF(V305="YES",4,2))))</f>
        <v/>
      </c>
      <c r="M305" s="33" t="inlineStr">
        <is>
          <t>LCM</t>
        </is>
      </c>
      <c r="N305" s="33" t="n">
        <v>100</v>
      </c>
      <c r="O305" s="33" t="inlineStr">
        <is>
          <t>Free</t>
        </is>
      </c>
      <c r="P305" s="33" t="inlineStr">
        <is>
          <t>100 Free</t>
        </is>
      </c>
      <c r="Q305" s="33" t="inlineStr">
        <is>
          <t>LCM_100_FREE</t>
        </is>
      </c>
      <c r="R305" s="36" t="n">
        <v>49.54</v>
      </c>
      <c r="S305" s="35">
        <f>IF(R305="","",IF(R305&gt;=60,INT(R305/60)&amp;":"&amp;TEXT(MOD(R305,60),"00.00"),TEXT(R305,"0.00")))</f>
        <v/>
      </c>
      <c r="T305" s="52">
        <f>IFERROR((G305-INDEX('01_Swimmers'!$E$5:$E$22,MATCH(B305,'01_Swimmers'!$A$5:$A$22,0)))/'00_Control'!$B$10,"")</f>
        <v/>
      </c>
      <c r="U305" s="35">
        <f>IF(T305="","",INT(T305))</f>
        <v/>
      </c>
      <c r="V305" s="33" t="inlineStr">
        <is>
          <t>NO</t>
        </is>
      </c>
      <c r="W305" s="33" t="inlineStr">
        <is>
          <t>YES</t>
        </is>
      </c>
      <c r="X305" s="33" t="inlineStr">
        <is>
          <t>NO</t>
        </is>
      </c>
      <c r="Y305" s="33" t="n">
        <v>2</v>
      </c>
      <c r="Z305" s="33" t="n">
        <v>6</v>
      </c>
      <c r="AA305" s="33" t="inlineStr">
        <is>
          <t>4</t>
        </is>
      </c>
      <c r="AB305" s="33" t="inlineStr">
        <is>
          <t>https://www.swimcloud.com/results/203549/event/4/?id=60303481#time60303481</t>
        </is>
      </c>
      <c r="AC305" s="33" t="inlineStr">
        <is>
          <t>SwimCloud API v6 2026-10-08</t>
        </is>
      </c>
      <c r="AD305" s="33" t="inlineStr">
        <is>
          <t>Caeleb Dressel|2022-03-03|LCM|100|Free|49.54|2022 IN TYR Pro Swim Series - Westmont|FIN|False</t>
        </is>
      </c>
      <c r="AE305" s="53">
        <f>G305+L305/1000+ROW()/1000000000</f>
        <v/>
      </c>
      <c r="AF305" s="35">
        <f>IF(C305&lt;&gt;"Grayson Coulter","",COUNTIFS($C$5:$C$2991,"Grayson Coulter",$Q$5:$Q$2991,Q305,$AE$5:$AE$2991,"&lt;="&amp;AE305,$R$5:$R$2991,"&lt;"&amp;R305))</f>
        <v/>
      </c>
      <c r="AG305" s="35">
        <f>IF(OR(C305&lt;&gt;"Grayson Coulter",G305&lt;'00_Control'!$B$7),"",--(AF305&lt;5))</f>
        <v/>
      </c>
      <c r="AH305" s="35">
        <f>IF(OR(C305&lt;&gt;"Grayson Coulter",G305&lt;'00_Control'!$B$7),"",--(AF305&lt;10))</f>
        <v/>
      </c>
      <c r="AI305" s="35">
        <f>IF(AND(C305="Grayson Coulter",G305&gt;='00_Control'!$B$7),"YES","NO")</f>
        <v/>
      </c>
      <c r="AJ305" s="33" t="inlineStr">
        <is>
          <t>OK</t>
        </is>
      </c>
    </row>
    <row r="306">
      <c r="A306" s="33" t="inlineStr">
        <is>
          <t>SM000302</t>
        </is>
      </c>
      <c r="B306" s="33" t="inlineStr">
        <is>
          <t>SW010</t>
        </is>
      </c>
      <c r="C306" s="33" t="inlineStr">
        <is>
          <t>Caeleb Dressel</t>
        </is>
      </c>
      <c r="D306" s="33" t="inlineStr">
        <is>
          <t>SwimCloud</t>
        </is>
      </c>
      <c r="E306" s="33" t="inlineStr">
        <is>
          <t>2361642</t>
        </is>
      </c>
      <c r="F306" s="33" t="inlineStr">
        <is>
          <t>60303527</t>
        </is>
      </c>
      <c r="G306" s="51" t="n">
        <v>44624</v>
      </c>
      <c r="H306" s="33" t="inlineStr">
        <is>
          <t>2022 IN TYR Pro Swim Series - Westmont</t>
        </is>
      </c>
      <c r="I306" s="33" t="inlineStr">
        <is>
          <t>203549</t>
        </is>
      </c>
      <c r="J306" s="33" t="inlineStr"/>
      <c r="K306" s="33" t="inlineStr">
        <is>
          <t>PRE</t>
        </is>
      </c>
      <c r="L306" s="35">
        <f>IF(K306="FIN",3,IF(OR(K306="SEM",K306="SEMI"),2,IF(OR(K306="PRE",K306="HEAT"),1,IF(V306="YES",4,2))))</f>
        <v/>
      </c>
      <c r="M306" s="33" t="inlineStr">
        <is>
          <t>LCM</t>
        </is>
      </c>
      <c r="N306" s="33" t="n">
        <v>100</v>
      </c>
      <c r="O306" s="33" t="inlineStr">
        <is>
          <t>Fly</t>
        </is>
      </c>
      <c r="P306" s="33" t="inlineStr">
        <is>
          <t>100 Fly</t>
        </is>
      </c>
      <c r="Q306" s="33" t="inlineStr">
        <is>
          <t>LCM_100_FLY</t>
        </is>
      </c>
      <c r="R306" s="36" t="n">
        <v>52.95</v>
      </c>
      <c r="S306" s="35">
        <f>IF(R306="","",IF(R306&gt;=60,INT(R306/60)&amp;":"&amp;TEXT(MOD(R306,60),"00.00"),TEXT(R306,"0.00")))</f>
        <v/>
      </c>
      <c r="T306" s="52">
        <f>IFERROR((G306-INDEX('01_Swimmers'!$E$5:$E$22,MATCH(B306,'01_Swimmers'!$A$5:$A$22,0)))/'00_Control'!$B$10,"")</f>
        <v/>
      </c>
      <c r="U306" s="35">
        <f>IF(T306="","",INT(T306))</f>
        <v/>
      </c>
      <c r="V306" s="33" t="inlineStr">
        <is>
          <t>NO</t>
        </is>
      </c>
      <c r="W306" s="33" t="inlineStr">
        <is>
          <t>YES</t>
        </is>
      </c>
      <c r="X306" s="33" t="inlineStr">
        <is>
          <t>NO</t>
        </is>
      </c>
      <c r="Y306" s="33" t="n">
        <v>2</v>
      </c>
      <c r="Z306" s="33" t="n">
        <v>5</v>
      </c>
      <c r="AA306" s="33" t="inlineStr">
        <is>
          <t>5</t>
        </is>
      </c>
      <c r="AB306" s="33" t="inlineStr">
        <is>
          <t>https://www.swimcloud.com/results/203549/event/18/?id=60303527#time60303527</t>
        </is>
      </c>
      <c r="AC306" s="33" t="inlineStr">
        <is>
          <t>SwimCloud API v6 2026-10-08</t>
        </is>
      </c>
      <c r="AD306" s="33" t="inlineStr">
        <is>
          <t>Caeleb Dressel|2022-03-04|LCM|100|Fly|52.95|2022 IN TYR Pro Swim Series - Westmont|PRE|False</t>
        </is>
      </c>
      <c r="AE306" s="53">
        <f>G306+L306/1000+ROW()/1000000000</f>
        <v/>
      </c>
      <c r="AF306" s="35">
        <f>IF(C306&lt;&gt;"Grayson Coulter","",COUNTIFS($C$5:$C$2991,"Grayson Coulter",$Q$5:$Q$2991,Q306,$AE$5:$AE$2991,"&lt;="&amp;AE306,$R$5:$R$2991,"&lt;"&amp;R306))</f>
        <v/>
      </c>
      <c r="AG306" s="35">
        <f>IF(OR(C306&lt;&gt;"Grayson Coulter",G306&lt;'00_Control'!$B$7),"",--(AF306&lt;5))</f>
        <v/>
      </c>
      <c r="AH306" s="35">
        <f>IF(OR(C306&lt;&gt;"Grayson Coulter",G306&lt;'00_Control'!$B$7),"",--(AF306&lt;10))</f>
        <v/>
      </c>
      <c r="AI306" s="35">
        <f>IF(AND(C306="Grayson Coulter",G306&gt;='00_Control'!$B$7),"YES","NO")</f>
        <v/>
      </c>
      <c r="AJ306" s="33" t="inlineStr">
        <is>
          <t>OK</t>
        </is>
      </c>
    </row>
    <row r="307">
      <c r="A307" s="33" t="inlineStr">
        <is>
          <t>SM000303</t>
        </is>
      </c>
      <c r="B307" s="33" t="inlineStr">
        <is>
          <t>SW010</t>
        </is>
      </c>
      <c r="C307" s="33" t="inlineStr">
        <is>
          <t>Caeleb Dressel</t>
        </is>
      </c>
      <c r="D307" s="33" t="inlineStr">
        <is>
          <t>SwimCloud</t>
        </is>
      </c>
      <c r="E307" s="33" t="inlineStr">
        <is>
          <t>2361642</t>
        </is>
      </c>
      <c r="F307" s="33" t="inlineStr">
        <is>
          <t>60303528</t>
        </is>
      </c>
      <c r="G307" s="51" t="n">
        <v>44624</v>
      </c>
      <c r="H307" s="33" t="inlineStr">
        <is>
          <t>2022 IN TYR Pro Swim Series - Westmont</t>
        </is>
      </c>
      <c r="I307" s="33" t="inlineStr">
        <is>
          <t>203549</t>
        </is>
      </c>
      <c r="J307" s="33" t="inlineStr"/>
      <c r="K307" s="33" t="inlineStr">
        <is>
          <t>FIN</t>
        </is>
      </c>
      <c r="L307" s="35">
        <f>IF(K307="FIN",3,IF(OR(K307="SEM",K307="SEMI"),2,IF(OR(K307="PRE",K307="HEAT"),1,IF(V307="YES",4,2))))</f>
        <v/>
      </c>
      <c r="M307" s="33" t="inlineStr">
        <is>
          <t>LCM</t>
        </is>
      </c>
      <c r="N307" s="33" t="n">
        <v>100</v>
      </c>
      <c r="O307" s="33" t="inlineStr">
        <is>
          <t>Fly</t>
        </is>
      </c>
      <c r="P307" s="33" t="inlineStr">
        <is>
          <t>100 Fly</t>
        </is>
      </c>
      <c r="Q307" s="33" t="inlineStr">
        <is>
          <t>LCM_100_FLY</t>
        </is>
      </c>
      <c r="R307" s="36" t="n">
        <v>51.79</v>
      </c>
      <c r="S307" s="35">
        <f>IF(R307="","",IF(R307&gt;=60,INT(R307/60)&amp;":"&amp;TEXT(MOD(R307,60),"00.00"),TEXT(R307,"0.00")))</f>
        <v/>
      </c>
      <c r="T307" s="52">
        <f>IFERROR((G307-INDEX('01_Swimmers'!$E$5:$E$22,MATCH(B307,'01_Swimmers'!$A$5:$A$22,0)))/'00_Control'!$B$10,"")</f>
        <v/>
      </c>
      <c r="U307" s="35">
        <f>IF(T307="","",INT(T307))</f>
        <v/>
      </c>
      <c r="V307" s="33" t="inlineStr">
        <is>
          <t>NO</t>
        </is>
      </c>
      <c r="W307" s="33" t="inlineStr">
        <is>
          <t>YES</t>
        </is>
      </c>
      <c r="X307" s="33" t="inlineStr">
        <is>
          <t>NO</t>
        </is>
      </c>
      <c r="Y307" s="33" t="n">
        <v>2</v>
      </c>
      <c r="Z307" s="33" t="n">
        <v>7</v>
      </c>
      <c r="AA307" s="33" t="inlineStr">
        <is>
          <t>3</t>
        </is>
      </c>
      <c r="AB307" s="33" t="inlineStr">
        <is>
          <t>https://www.swimcloud.com/results/203549/event/18/?id=60303528#time60303528</t>
        </is>
      </c>
      <c r="AC307" s="33" t="inlineStr">
        <is>
          <t>SwimCloud API v6 2026-10-08</t>
        </is>
      </c>
      <c r="AD307" s="33" t="inlineStr">
        <is>
          <t>Caeleb Dressel|2022-03-04|LCM|100|Fly|51.79|2022 IN TYR Pro Swim Series - Westmont|FIN|False</t>
        </is>
      </c>
      <c r="AE307" s="53">
        <f>G307+L307/1000+ROW()/1000000000</f>
        <v/>
      </c>
      <c r="AF307" s="35">
        <f>IF(C307&lt;&gt;"Grayson Coulter","",COUNTIFS($C$5:$C$2991,"Grayson Coulter",$Q$5:$Q$2991,Q307,$AE$5:$AE$2991,"&lt;="&amp;AE307,$R$5:$R$2991,"&lt;"&amp;R307))</f>
        <v/>
      </c>
      <c r="AG307" s="35">
        <f>IF(OR(C307&lt;&gt;"Grayson Coulter",G307&lt;'00_Control'!$B$7),"",--(AF307&lt;5))</f>
        <v/>
      </c>
      <c r="AH307" s="35">
        <f>IF(OR(C307&lt;&gt;"Grayson Coulter",G307&lt;'00_Control'!$B$7),"",--(AF307&lt;10))</f>
        <v/>
      </c>
      <c r="AI307" s="35">
        <f>IF(AND(C307="Grayson Coulter",G307&gt;='00_Control'!$B$7),"YES","NO")</f>
        <v/>
      </c>
      <c r="AJ307" s="33" t="inlineStr">
        <is>
          <t>OK</t>
        </is>
      </c>
    </row>
    <row r="308">
      <c r="A308" s="33" t="inlineStr">
        <is>
          <t>SM000304</t>
        </is>
      </c>
      <c r="B308" s="33" t="inlineStr">
        <is>
          <t>SW010</t>
        </is>
      </c>
      <c r="C308" s="33" t="inlineStr">
        <is>
          <t>Caeleb Dressel</t>
        </is>
      </c>
      <c r="D308" s="33" t="inlineStr">
        <is>
          <t>SwimCloud</t>
        </is>
      </c>
      <c r="E308" s="33" t="inlineStr">
        <is>
          <t>2361642</t>
        </is>
      </c>
      <c r="F308" s="33" t="inlineStr">
        <is>
          <t>60303653</t>
        </is>
      </c>
      <c r="G308" s="51" t="n">
        <v>44624</v>
      </c>
      <c r="H308" s="33" t="inlineStr">
        <is>
          <t>2022 IN TYR Pro Swim Series - Westmont</t>
        </is>
      </c>
      <c r="I308" s="33" t="inlineStr">
        <is>
          <t>203549</t>
        </is>
      </c>
      <c r="J308" s="33" t="inlineStr"/>
      <c r="K308" s="33" t="inlineStr">
        <is>
          <t>PRE</t>
        </is>
      </c>
      <c r="L308" s="35">
        <f>IF(K308="FIN",3,IF(OR(K308="SEM",K308="SEMI"),2,IF(OR(K308="PRE",K308="HEAT"),1,IF(V308="YES",4,2))))</f>
        <v/>
      </c>
      <c r="M308" s="33" t="inlineStr">
        <is>
          <t>LCM</t>
        </is>
      </c>
      <c r="N308" s="33" t="n">
        <v>200</v>
      </c>
      <c r="O308" s="33" t="inlineStr">
        <is>
          <t>Free</t>
        </is>
      </c>
      <c r="P308" s="33" t="inlineStr">
        <is>
          <t>200 Free</t>
        </is>
      </c>
      <c r="Q308" s="33" t="inlineStr">
        <is>
          <t>LCM_200_FREE</t>
        </is>
      </c>
      <c r="R308" s="36" t="n">
        <v>111.57</v>
      </c>
      <c r="S308" s="35">
        <f>IF(R308="","",IF(R308&gt;=60,INT(R308/60)&amp;":"&amp;TEXT(MOD(R308,60),"00.00"),TEXT(R308,"0.00")))</f>
        <v/>
      </c>
      <c r="T308" s="52">
        <f>IFERROR((G308-INDEX('01_Swimmers'!$E$5:$E$22,MATCH(B308,'01_Swimmers'!$A$5:$A$22,0)))/'00_Control'!$B$10,"")</f>
        <v/>
      </c>
      <c r="U308" s="35">
        <f>IF(T308="","",INT(T308))</f>
        <v/>
      </c>
      <c r="V308" s="33" t="inlineStr">
        <is>
          <t>NO</t>
        </is>
      </c>
      <c r="W308" s="33" t="inlineStr">
        <is>
          <t>YES</t>
        </is>
      </c>
      <c r="X308" s="33" t="inlineStr">
        <is>
          <t>NO</t>
        </is>
      </c>
      <c r="Y308" s="33" t="n">
        <v>2</v>
      </c>
      <c r="Z308" s="33" t="n">
        <v>6</v>
      </c>
      <c r="AA308" s="33" t="inlineStr">
        <is>
          <t>8</t>
        </is>
      </c>
      <c r="AB308" s="33" t="inlineStr">
        <is>
          <t>https://www.swimcloud.com/results/203549/event/12/?id=60303653#time60303653</t>
        </is>
      </c>
      <c r="AC308" s="33" t="inlineStr">
        <is>
          <t>SwimCloud API v6 2026-10-08</t>
        </is>
      </c>
      <c r="AD308" s="33" t="inlineStr">
        <is>
          <t>Caeleb Dressel|2022-03-04|LCM|200|Free|111.57|2022 IN TYR Pro Swim Series - Westmont|PRE|False</t>
        </is>
      </c>
      <c r="AE308" s="53">
        <f>G308+L308/1000+ROW()/1000000000</f>
        <v/>
      </c>
      <c r="AF308" s="35">
        <f>IF(C308&lt;&gt;"Grayson Coulter","",COUNTIFS($C$5:$C$2991,"Grayson Coulter",$Q$5:$Q$2991,Q308,$AE$5:$AE$2991,"&lt;="&amp;AE308,$R$5:$R$2991,"&lt;"&amp;R308))</f>
        <v/>
      </c>
      <c r="AG308" s="35">
        <f>IF(OR(C308&lt;&gt;"Grayson Coulter",G308&lt;'00_Control'!$B$7),"",--(AF308&lt;5))</f>
        <v/>
      </c>
      <c r="AH308" s="35">
        <f>IF(OR(C308&lt;&gt;"Grayson Coulter",G308&lt;'00_Control'!$B$7),"",--(AF308&lt;10))</f>
        <v/>
      </c>
      <c r="AI308" s="35">
        <f>IF(AND(C308="Grayson Coulter",G308&gt;='00_Control'!$B$7),"YES","NO")</f>
        <v/>
      </c>
      <c r="AJ308" s="33" t="inlineStr">
        <is>
          <t>OK</t>
        </is>
      </c>
    </row>
    <row r="309">
      <c r="A309" s="33" t="inlineStr">
        <is>
          <t>SM000305</t>
        </is>
      </c>
      <c r="B309" s="33" t="inlineStr">
        <is>
          <t>SW010</t>
        </is>
      </c>
      <c r="C309" s="33" t="inlineStr">
        <is>
          <t>Caeleb Dressel</t>
        </is>
      </c>
      <c r="D309" s="33" t="inlineStr">
        <is>
          <t>SwimCloud</t>
        </is>
      </c>
      <c r="E309" s="33" t="inlineStr">
        <is>
          <t>2361642</t>
        </is>
      </c>
      <c r="F309" s="33" t="inlineStr">
        <is>
          <t>60303654</t>
        </is>
      </c>
      <c r="G309" s="51" t="n">
        <v>44624</v>
      </c>
      <c r="H309" s="33" t="inlineStr">
        <is>
          <t>2022 IN TYR Pro Swim Series - Westmont</t>
        </is>
      </c>
      <c r="I309" s="33" t="inlineStr">
        <is>
          <t>203549</t>
        </is>
      </c>
      <c r="J309" s="33" t="inlineStr"/>
      <c r="K309" s="33" t="inlineStr">
        <is>
          <t>FIN</t>
        </is>
      </c>
      <c r="L309" s="35">
        <f>IF(K309="FIN",3,IF(OR(K309="SEM",K309="SEMI"),2,IF(OR(K309="PRE",K309="HEAT"),1,IF(V309="YES",4,2))))</f>
        <v/>
      </c>
      <c r="M309" s="33" t="inlineStr">
        <is>
          <t>LCM</t>
        </is>
      </c>
      <c r="N309" s="33" t="n">
        <v>200</v>
      </c>
      <c r="O309" s="33" t="inlineStr">
        <is>
          <t>Free</t>
        </is>
      </c>
      <c r="P309" s="33" t="inlineStr">
        <is>
          <t>200 Free</t>
        </is>
      </c>
      <c r="Q309" s="33" t="inlineStr">
        <is>
          <t>LCM_200_FREE</t>
        </is>
      </c>
      <c r="R309" s="36" t="n">
        <v>110.54</v>
      </c>
      <c r="S309" s="35">
        <f>IF(R309="","",IF(R309&gt;=60,INT(R309/60)&amp;":"&amp;TEXT(MOD(R309,60),"00.00"),TEXT(R309,"0.00")))</f>
        <v/>
      </c>
      <c r="T309" s="52">
        <f>IFERROR((G309-INDEX('01_Swimmers'!$E$5:$E$22,MATCH(B309,'01_Swimmers'!$A$5:$A$22,0)))/'00_Control'!$B$10,"")</f>
        <v/>
      </c>
      <c r="U309" s="35">
        <f>IF(T309="","",INT(T309))</f>
        <v/>
      </c>
      <c r="V309" s="33" t="inlineStr">
        <is>
          <t>NO</t>
        </is>
      </c>
      <c r="W309" s="33" t="inlineStr">
        <is>
          <t>YES</t>
        </is>
      </c>
      <c r="X309" s="33" t="inlineStr">
        <is>
          <t>NO</t>
        </is>
      </c>
      <c r="Y309" s="33" t="n">
        <v>2</v>
      </c>
      <c r="Z309" s="33" t="n">
        <v>9</v>
      </c>
      <c r="AA309" s="33" t="inlineStr">
        <is>
          <t>6</t>
        </is>
      </c>
      <c r="AB309" s="33" t="inlineStr">
        <is>
          <t>https://www.swimcloud.com/results/203549/event/12/?id=60303654#time60303654</t>
        </is>
      </c>
      <c r="AC309" s="33" t="inlineStr">
        <is>
          <t>SwimCloud API v6 2026-10-08</t>
        </is>
      </c>
      <c r="AD309" s="33" t="inlineStr">
        <is>
          <t>Caeleb Dressel|2022-03-04|LCM|200|Free|110.54|2022 IN TYR Pro Swim Series - Westmont|FIN|False</t>
        </is>
      </c>
      <c r="AE309" s="53">
        <f>G309+L309/1000+ROW()/1000000000</f>
        <v/>
      </c>
      <c r="AF309" s="35">
        <f>IF(C309&lt;&gt;"Grayson Coulter","",COUNTIFS($C$5:$C$2991,"Grayson Coulter",$Q$5:$Q$2991,Q309,$AE$5:$AE$2991,"&lt;="&amp;AE309,$R$5:$R$2991,"&lt;"&amp;R309))</f>
        <v/>
      </c>
      <c r="AG309" s="35">
        <f>IF(OR(C309&lt;&gt;"Grayson Coulter",G309&lt;'00_Control'!$B$7),"",--(AF309&lt;5))</f>
        <v/>
      </c>
      <c r="AH309" s="35">
        <f>IF(OR(C309&lt;&gt;"Grayson Coulter",G309&lt;'00_Control'!$B$7),"",--(AF309&lt;10))</f>
        <v/>
      </c>
      <c r="AI309" s="35">
        <f>IF(AND(C309="Grayson Coulter",G309&gt;='00_Control'!$B$7),"YES","NO")</f>
        <v/>
      </c>
      <c r="AJ309" s="33" t="inlineStr">
        <is>
          <t>OK</t>
        </is>
      </c>
    </row>
    <row r="310">
      <c r="A310" s="33" t="inlineStr">
        <is>
          <t>SM000306</t>
        </is>
      </c>
      <c r="B310" s="33" t="inlineStr">
        <is>
          <t>SW010</t>
        </is>
      </c>
      <c r="C310" s="33" t="inlineStr">
        <is>
          <t>Caeleb Dressel</t>
        </is>
      </c>
      <c r="D310" s="33" t="inlineStr">
        <is>
          <t>SwimCloud</t>
        </is>
      </c>
      <c r="E310" s="33" t="inlineStr">
        <is>
          <t>2361642</t>
        </is>
      </c>
      <c r="F310" s="33" t="inlineStr">
        <is>
          <t>61747095</t>
        </is>
      </c>
      <c r="G310" s="51" t="n">
        <v>44651</v>
      </c>
      <c r="H310" s="33" t="inlineStr">
        <is>
          <t>TYR Pro Swim Series - San Antonio</t>
        </is>
      </c>
      <c r="I310" s="33" t="inlineStr">
        <is>
          <t>203550</t>
        </is>
      </c>
      <c r="J310" s="33" t="inlineStr"/>
      <c r="K310" s="33" t="inlineStr">
        <is>
          <t>PRE</t>
        </is>
      </c>
      <c r="L310" s="35">
        <f>IF(K310="FIN",3,IF(OR(K310="SEM",K310="SEMI"),2,IF(OR(K310="PRE",K310="HEAT"),1,IF(V310="YES",4,2))))</f>
        <v/>
      </c>
      <c r="M310" s="33" t="inlineStr">
        <is>
          <t>LCM</t>
        </is>
      </c>
      <c r="N310" s="33" t="n">
        <v>100</v>
      </c>
      <c r="O310" s="33" t="inlineStr">
        <is>
          <t>Fly</t>
        </is>
      </c>
      <c r="P310" s="33" t="inlineStr">
        <is>
          <t>100 Fly</t>
        </is>
      </c>
      <c r="Q310" s="33" t="inlineStr">
        <is>
          <t>LCM_100_FLY</t>
        </is>
      </c>
      <c r="R310" s="36" t="n">
        <v>53.07</v>
      </c>
      <c r="S310" s="35">
        <f>IF(R310="","",IF(R310&gt;=60,INT(R310/60)&amp;":"&amp;TEXT(MOD(R310,60),"00.00"),TEXT(R310,"0.00")))</f>
        <v/>
      </c>
      <c r="T310" s="52">
        <f>IFERROR((G310-INDEX('01_Swimmers'!$E$5:$E$22,MATCH(B310,'01_Swimmers'!$A$5:$A$22,0)))/'00_Control'!$B$10,"")</f>
        <v/>
      </c>
      <c r="U310" s="35">
        <f>IF(T310="","",INT(T310))</f>
        <v/>
      </c>
      <c r="V310" s="33" t="inlineStr">
        <is>
          <t>NO</t>
        </is>
      </c>
      <c r="W310" s="33" t="inlineStr">
        <is>
          <t>YES</t>
        </is>
      </c>
      <c r="X310" s="33" t="inlineStr">
        <is>
          <t>NO</t>
        </is>
      </c>
      <c r="Y310" s="33" t="n">
        <v>7</v>
      </c>
      <c r="Z310" s="33" t="n">
        <v>4</v>
      </c>
      <c r="AA310" s="33" t="inlineStr">
        <is>
          <t>5</t>
        </is>
      </c>
      <c r="AB310" s="33" t="inlineStr">
        <is>
          <t>https://www.swimcloud.com/results/203550/event/8/?id=61747095#time61747095</t>
        </is>
      </c>
      <c r="AC310" s="33" t="inlineStr">
        <is>
          <t>SwimCloud API v6 2026-10-08</t>
        </is>
      </c>
      <c r="AD310" s="33" t="inlineStr">
        <is>
          <t>Caeleb Dressel|2022-03-31|LCM|100|Fly|53.07|TYR Pro Swim Series - San Antonio|PRE|False</t>
        </is>
      </c>
      <c r="AE310" s="53">
        <f>G310+L310/1000+ROW()/1000000000</f>
        <v/>
      </c>
      <c r="AF310" s="35">
        <f>IF(C310&lt;&gt;"Grayson Coulter","",COUNTIFS($C$5:$C$2991,"Grayson Coulter",$Q$5:$Q$2991,Q310,$AE$5:$AE$2991,"&lt;="&amp;AE310,$R$5:$R$2991,"&lt;"&amp;R310))</f>
        <v/>
      </c>
      <c r="AG310" s="35">
        <f>IF(OR(C310&lt;&gt;"Grayson Coulter",G310&lt;'00_Control'!$B$7),"",--(AF310&lt;5))</f>
        <v/>
      </c>
      <c r="AH310" s="35">
        <f>IF(OR(C310&lt;&gt;"Grayson Coulter",G310&lt;'00_Control'!$B$7),"",--(AF310&lt;10))</f>
        <v/>
      </c>
      <c r="AI310" s="35">
        <f>IF(AND(C310="Grayson Coulter",G310&gt;='00_Control'!$B$7),"YES","NO")</f>
        <v/>
      </c>
      <c r="AJ310" s="33" t="inlineStr">
        <is>
          <t>OK</t>
        </is>
      </c>
    </row>
    <row r="311">
      <c r="A311" s="33" t="inlineStr">
        <is>
          <t>SM000307</t>
        </is>
      </c>
      <c r="B311" s="33" t="inlineStr">
        <is>
          <t>SW010</t>
        </is>
      </c>
      <c r="C311" s="33" t="inlineStr">
        <is>
          <t>Caeleb Dressel</t>
        </is>
      </c>
      <c r="D311" s="33" t="inlineStr">
        <is>
          <t>SwimCloud</t>
        </is>
      </c>
      <c r="E311" s="33" t="inlineStr">
        <is>
          <t>2361642</t>
        </is>
      </c>
      <c r="F311" s="33" t="inlineStr">
        <is>
          <t>61747096</t>
        </is>
      </c>
      <c r="G311" s="51" t="n">
        <v>44651</v>
      </c>
      <c r="H311" s="33" t="inlineStr">
        <is>
          <t>TYR Pro Swim Series - San Antonio</t>
        </is>
      </c>
      <c r="I311" s="33" t="inlineStr">
        <is>
          <t>203550</t>
        </is>
      </c>
      <c r="J311" s="33" t="inlineStr"/>
      <c r="K311" s="33" t="inlineStr">
        <is>
          <t>FIN</t>
        </is>
      </c>
      <c r="L311" s="35">
        <f>IF(K311="FIN",3,IF(OR(K311="SEM",K311="SEMI"),2,IF(OR(K311="PRE",K311="HEAT"),1,IF(V311="YES",4,2))))</f>
        <v/>
      </c>
      <c r="M311" s="33" t="inlineStr">
        <is>
          <t>LCM</t>
        </is>
      </c>
      <c r="N311" s="33" t="n">
        <v>100</v>
      </c>
      <c r="O311" s="33" t="inlineStr">
        <is>
          <t>Fly</t>
        </is>
      </c>
      <c r="P311" s="33" t="inlineStr">
        <is>
          <t>100 Fly</t>
        </is>
      </c>
      <c r="Q311" s="33" t="inlineStr">
        <is>
          <t>LCM_100_FLY</t>
        </is>
      </c>
      <c r="R311" s="36" t="n">
        <v>51.79</v>
      </c>
      <c r="S311" s="35">
        <f>IF(R311="","",IF(R311&gt;=60,INT(R311/60)&amp;":"&amp;TEXT(MOD(R311,60),"00.00"),TEXT(R311,"0.00")))</f>
        <v/>
      </c>
      <c r="T311" s="52">
        <f>IFERROR((G311-INDEX('01_Swimmers'!$E$5:$E$22,MATCH(B311,'01_Swimmers'!$A$5:$A$22,0)))/'00_Control'!$B$10,"")</f>
        <v/>
      </c>
      <c r="U311" s="35">
        <f>IF(T311="","",INT(T311))</f>
        <v/>
      </c>
      <c r="V311" s="33" t="inlineStr">
        <is>
          <t>NO</t>
        </is>
      </c>
      <c r="W311" s="33" t="inlineStr">
        <is>
          <t>YES</t>
        </is>
      </c>
      <c r="X311" s="33" t="inlineStr">
        <is>
          <t>NO</t>
        </is>
      </c>
      <c r="Y311" s="33" t="n">
        <v>2</v>
      </c>
      <c r="Z311" s="33" t="n">
        <v>2</v>
      </c>
      <c r="AA311" s="33" t="inlineStr">
        <is>
          <t>2</t>
        </is>
      </c>
      <c r="AB311" s="33" t="inlineStr">
        <is>
          <t>https://www.swimcloud.com/results/203550/event/8/?id=61747096#time61747096</t>
        </is>
      </c>
      <c r="AC311" s="33" t="inlineStr">
        <is>
          <t>SwimCloud API v6 2026-10-08</t>
        </is>
      </c>
      <c r="AD311" s="33" t="inlineStr">
        <is>
          <t>Caeleb Dressel|2022-03-31|LCM|100|Fly|51.79|TYR Pro Swim Series - San Antonio|FIN|False</t>
        </is>
      </c>
      <c r="AE311" s="53">
        <f>G311+L311/1000+ROW()/1000000000</f>
        <v/>
      </c>
      <c r="AF311" s="35">
        <f>IF(C311&lt;&gt;"Grayson Coulter","",COUNTIFS($C$5:$C$2991,"Grayson Coulter",$Q$5:$Q$2991,Q311,$AE$5:$AE$2991,"&lt;="&amp;AE311,$R$5:$R$2991,"&lt;"&amp;R311))</f>
        <v/>
      </c>
      <c r="AG311" s="35">
        <f>IF(OR(C311&lt;&gt;"Grayson Coulter",G311&lt;'00_Control'!$B$7),"",--(AF311&lt;5))</f>
        <v/>
      </c>
      <c r="AH311" s="35">
        <f>IF(OR(C311&lt;&gt;"Grayson Coulter",G311&lt;'00_Control'!$B$7),"",--(AF311&lt;10))</f>
        <v/>
      </c>
      <c r="AI311" s="35">
        <f>IF(AND(C311="Grayson Coulter",G311&gt;='00_Control'!$B$7),"YES","NO")</f>
        <v/>
      </c>
      <c r="AJ311" s="33" t="inlineStr">
        <is>
          <t>OK</t>
        </is>
      </c>
    </row>
    <row r="312">
      <c r="A312" s="33" t="inlineStr">
        <is>
          <t>SM000308</t>
        </is>
      </c>
      <c r="B312" s="33" t="inlineStr">
        <is>
          <t>SW010</t>
        </is>
      </c>
      <c r="C312" s="33" t="inlineStr">
        <is>
          <t>Caeleb Dressel</t>
        </is>
      </c>
      <c r="D312" s="33" t="inlineStr">
        <is>
          <t>SwimCloud</t>
        </is>
      </c>
      <c r="E312" s="33" t="inlineStr">
        <is>
          <t>2361642</t>
        </is>
      </c>
      <c r="F312" s="33" t="inlineStr">
        <is>
          <t>61748233</t>
        </is>
      </c>
      <c r="G312" s="51" t="n">
        <v>44651</v>
      </c>
      <c r="H312" s="33" t="inlineStr">
        <is>
          <t>TYR Pro Swim Series - San Antonio</t>
        </is>
      </c>
      <c r="I312" s="33" t="inlineStr">
        <is>
          <t>203550</t>
        </is>
      </c>
      <c r="J312" s="33" t="inlineStr"/>
      <c r="K312" s="33" t="inlineStr">
        <is>
          <t>PRE</t>
        </is>
      </c>
      <c r="L312" s="35">
        <f>IF(K312="FIN",3,IF(OR(K312="SEM",K312="SEMI"),2,IF(OR(K312="PRE",K312="HEAT"),1,IF(V312="YES",4,2))))</f>
        <v/>
      </c>
      <c r="M312" s="33" t="inlineStr">
        <is>
          <t>LCM</t>
        </is>
      </c>
      <c r="N312" s="33" t="n">
        <v>200</v>
      </c>
      <c r="O312" s="33" t="inlineStr">
        <is>
          <t>Free</t>
        </is>
      </c>
      <c r="P312" s="33" t="inlineStr">
        <is>
          <t>200 Free</t>
        </is>
      </c>
      <c r="Q312" s="33" t="inlineStr">
        <is>
          <t>LCM_200_FREE</t>
        </is>
      </c>
      <c r="R312" s="36" t="n">
        <v>111.86</v>
      </c>
      <c r="S312" s="35">
        <f>IF(R312="","",IF(R312&gt;=60,INT(R312/60)&amp;":"&amp;TEXT(MOD(R312,60),"00.00"),TEXT(R312,"0.00")))</f>
        <v/>
      </c>
      <c r="T312" s="52">
        <f>IFERROR((G312-INDEX('01_Swimmers'!$E$5:$E$22,MATCH(B312,'01_Swimmers'!$A$5:$A$22,0)))/'00_Control'!$B$10,"")</f>
        <v/>
      </c>
      <c r="U312" s="35">
        <f>IF(T312="","",INT(T312))</f>
        <v/>
      </c>
      <c r="V312" s="33" t="inlineStr">
        <is>
          <t>NO</t>
        </is>
      </c>
      <c r="W312" s="33" t="inlineStr">
        <is>
          <t>YES</t>
        </is>
      </c>
      <c r="X312" s="33" t="inlineStr">
        <is>
          <t>NO</t>
        </is>
      </c>
      <c r="Y312" s="33" t="n">
        <v>4</v>
      </c>
      <c r="Z312" s="33" t="n">
        <v>4</v>
      </c>
      <c r="AA312" s="33" t="inlineStr">
        <is>
          <t>9</t>
        </is>
      </c>
      <c r="AB312" s="33" t="inlineStr">
        <is>
          <t>https://www.swimcloud.com/results/203550/event/4/?id=61748233#time61748233</t>
        </is>
      </c>
      <c r="AC312" s="33" t="inlineStr">
        <is>
          <t>SwimCloud API v6 2026-10-08</t>
        </is>
      </c>
      <c r="AD312" s="33" t="inlineStr">
        <is>
          <t>Caeleb Dressel|2022-03-31|LCM|200|Free|111.86|TYR Pro Swim Series - San Antonio|PRE|False</t>
        </is>
      </c>
      <c r="AE312" s="53">
        <f>G312+L312/1000+ROW()/1000000000</f>
        <v/>
      </c>
      <c r="AF312" s="35">
        <f>IF(C312&lt;&gt;"Grayson Coulter","",COUNTIFS($C$5:$C$2991,"Grayson Coulter",$Q$5:$Q$2991,Q312,$AE$5:$AE$2991,"&lt;="&amp;AE312,$R$5:$R$2991,"&lt;"&amp;R312))</f>
        <v/>
      </c>
      <c r="AG312" s="35">
        <f>IF(OR(C312&lt;&gt;"Grayson Coulter",G312&lt;'00_Control'!$B$7),"",--(AF312&lt;5))</f>
        <v/>
      </c>
      <c r="AH312" s="35">
        <f>IF(OR(C312&lt;&gt;"Grayson Coulter",G312&lt;'00_Control'!$B$7),"",--(AF312&lt;10))</f>
        <v/>
      </c>
      <c r="AI312" s="35">
        <f>IF(AND(C312="Grayson Coulter",G312&gt;='00_Control'!$B$7),"YES","NO")</f>
        <v/>
      </c>
      <c r="AJ312" s="33" t="inlineStr">
        <is>
          <t>OK</t>
        </is>
      </c>
    </row>
    <row r="313">
      <c r="A313" s="33" t="inlineStr">
        <is>
          <t>SM000309</t>
        </is>
      </c>
      <c r="B313" s="33" t="inlineStr">
        <is>
          <t>SW010</t>
        </is>
      </c>
      <c r="C313" s="33" t="inlineStr">
        <is>
          <t>Caeleb Dressel</t>
        </is>
      </c>
      <c r="D313" s="33" t="inlineStr">
        <is>
          <t>SwimCloud</t>
        </is>
      </c>
      <c r="E313" s="33" t="inlineStr">
        <is>
          <t>2361642</t>
        </is>
      </c>
      <c r="F313" s="33" t="inlineStr">
        <is>
          <t>61748234</t>
        </is>
      </c>
      <c r="G313" s="51" t="n">
        <v>44651</v>
      </c>
      <c r="H313" s="33" t="inlineStr">
        <is>
          <t>TYR Pro Swim Series - San Antonio</t>
        </is>
      </c>
      <c r="I313" s="33" t="inlineStr">
        <is>
          <t>203550</t>
        </is>
      </c>
      <c r="J313" s="33" t="inlineStr"/>
      <c r="K313" s="33" t="inlineStr">
        <is>
          <t>FIN</t>
        </is>
      </c>
      <c r="L313" s="35">
        <f>IF(K313="FIN",3,IF(OR(K313="SEM",K313="SEMI"),2,IF(OR(K313="PRE",K313="HEAT"),1,IF(V313="YES",4,2))))</f>
        <v/>
      </c>
      <c r="M313" s="33" t="inlineStr">
        <is>
          <t>LCM</t>
        </is>
      </c>
      <c r="N313" s="33" t="n">
        <v>200</v>
      </c>
      <c r="O313" s="33" t="inlineStr">
        <is>
          <t>Free</t>
        </is>
      </c>
      <c r="P313" s="33" t="inlineStr">
        <is>
          <t>200 Free</t>
        </is>
      </c>
      <c r="Q313" s="33" t="inlineStr">
        <is>
          <t>LCM_200_FREE</t>
        </is>
      </c>
      <c r="R313" s="36" t="n">
        <v>109.12</v>
      </c>
      <c r="S313" s="35">
        <f>IF(R313="","",IF(R313&gt;=60,INT(R313/60)&amp;":"&amp;TEXT(MOD(R313,60),"00.00"),TEXT(R313,"0.00")))</f>
        <v/>
      </c>
      <c r="T313" s="52">
        <f>IFERROR((G313-INDEX('01_Swimmers'!$E$5:$E$22,MATCH(B313,'01_Swimmers'!$A$5:$A$22,0)))/'00_Control'!$B$10,"")</f>
        <v/>
      </c>
      <c r="U313" s="35">
        <f>IF(T313="","",INT(T313))</f>
        <v/>
      </c>
      <c r="V313" s="33" t="inlineStr">
        <is>
          <t>NO</t>
        </is>
      </c>
      <c r="W313" s="33" t="inlineStr">
        <is>
          <t>YES</t>
        </is>
      </c>
      <c r="X313" s="33" t="inlineStr">
        <is>
          <t>NO</t>
        </is>
      </c>
      <c r="Y313" s="33" t="n">
        <v>2</v>
      </c>
      <c r="Z313" s="33" t="n">
        <v>8</v>
      </c>
      <c r="AA313" s="33" t="inlineStr">
        <is>
          <t>4</t>
        </is>
      </c>
      <c r="AB313" s="33" t="inlineStr">
        <is>
          <t>https://www.swimcloud.com/results/203550/event/4/?id=61748234#time61748234</t>
        </is>
      </c>
      <c r="AC313" s="33" t="inlineStr">
        <is>
          <t>SwimCloud API v6 2026-10-08</t>
        </is>
      </c>
      <c r="AD313" s="33" t="inlineStr">
        <is>
          <t>Caeleb Dressel|2022-03-31|LCM|200|Free|109.12|TYR Pro Swim Series - San Antonio|FIN|False</t>
        </is>
      </c>
      <c r="AE313" s="53">
        <f>G313+L313/1000+ROW()/1000000000</f>
        <v/>
      </c>
      <c r="AF313" s="35">
        <f>IF(C313&lt;&gt;"Grayson Coulter","",COUNTIFS($C$5:$C$2991,"Grayson Coulter",$Q$5:$Q$2991,Q313,$AE$5:$AE$2991,"&lt;="&amp;AE313,$R$5:$R$2991,"&lt;"&amp;R313))</f>
        <v/>
      </c>
      <c r="AG313" s="35">
        <f>IF(OR(C313&lt;&gt;"Grayson Coulter",G313&lt;'00_Control'!$B$7),"",--(AF313&lt;5))</f>
        <v/>
      </c>
      <c r="AH313" s="35">
        <f>IF(OR(C313&lt;&gt;"Grayson Coulter",G313&lt;'00_Control'!$B$7),"",--(AF313&lt;10))</f>
        <v/>
      </c>
      <c r="AI313" s="35">
        <f>IF(AND(C313="Grayson Coulter",G313&gt;='00_Control'!$B$7),"YES","NO")</f>
        <v/>
      </c>
      <c r="AJ313" s="33" t="inlineStr">
        <is>
          <t>OK</t>
        </is>
      </c>
    </row>
    <row r="314">
      <c r="A314" s="33" t="inlineStr">
        <is>
          <t>SM000310</t>
        </is>
      </c>
      <c r="B314" s="33" t="inlineStr">
        <is>
          <t>SW010</t>
        </is>
      </c>
      <c r="C314" s="33" t="inlineStr">
        <is>
          <t>Caeleb Dressel</t>
        </is>
      </c>
      <c r="D314" s="33" t="inlineStr">
        <is>
          <t>SwimCloud</t>
        </is>
      </c>
      <c r="E314" s="33" t="inlineStr">
        <is>
          <t>2361642</t>
        </is>
      </c>
      <c r="F314" s="33" t="inlineStr">
        <is>
          <t>61747609</t>
        </is>
      </c>
      <c r="G314" s="51" t="n">
        <v>44653</v>
      </c>
      <c r="H314" s="33" t="inlineStr">
        <is>
          <t>TYR Pro Swim Series - San Antonio</t>
        </is>
      </c>
      <c r="I314" s="33" t="inlineStr">
        <is>
          <t>203550</t>
        </is>
      </c>
      <c r="J314" s="33" t="inlineStr"/>
      <c r="K314" s="33" t="inlineStr">
        <is>
          <t>PRE</t>
        </is>
      </c>
      <c r="L314" s="35">
        <f>IF(K314="FIN",3,IF(OR(K314="SEM",K314="SEMI"),2,IF(OR(K314="PRE",K314="HEAT"),1,IF(V314="YES",4,2))))</f>
        <v/>
      </c>
      <c r="M314" s="33" t="inlineStr">
        <is>
          <t>LCM</t>
        </is>
      </c>
      <c r="N314" s="33" t="n">
        <v>100</v>
      </c>
      <c r="O314" s="33" t="inlineStr">
        <is>
          <t>Free</t>
        </is>
      </c>
      <c r="P314" s="33" t="inlineStr">
        <is>
          <t>100 Free</t>
        </is>
      </c>
      <c r="Q314" s="33" t="inlineStr">
        <is>
          <t>LCM_100_FREE</t>
        </is>
      </c>
      <c r="R314" s="36" t="n">
        <v>49.67</v>
      </c>
      <c r="S314" s="35">
        <f>IF(R314="","",IF(R314&gt;=60,INT(R314/60)&amp;":"&amp;TEXT(MOD(R314,60),"00.00"),TEXT(R314,"0.00")))</f>
        <v/>
      </c>
      <c r="T314" s="52">
        <f>IFERROR((G314-INDEX('01_Swimmers'!$E$5:$E$22,MATCH(B314,'01_Swimmers'!$A$5:$A$22,0)))/'00_Control'!$B$10,"")</f>
        <v/>
      </c>
      <c r="U314" s="35">
        <f>IF(T314="","",INT(T314))</f>
        <v/>
      </c>
      <c r="V314" s="33" t="inlineStr">
        <is>
          <t>NO</t>
        </is>
      </c>
      <c r="W314" s="33" t="inlineStr">
        <is>
          <t>YES</t>
        </is>
      </c>
      <c r="X314" s="33" t="inlineStr">
        <is>
          <t>NO</t>
        </is>
      </c>
      <c r="Y314" s="33" t="n">
        <v>8</v>
      </c>
      <c r="Z314" s="33" t="n">
        <v>4</v>
      </c>
      <c r="AA314" s="33" t="inlineStr">
        <is>
          <t>7</t>
        </is>
      </c>
      <c r="AB314" s="33" t="inlineStr">
        <is>
          <t>https://www.swimcloud.com/results/203550/event/28/?id=61747609#time61747609</t>
        </is>
      </c>
      <c r="AC314" s="33" t="inlineStr">
        <is>
          <t>SwimCloud API v6 2026-10-08</t>
        </is>
      </c>
      <c r="AD314" s="33" t="inlineStr">
        <is>
          <t>Caeleb Dressel|2022-04-02|LCM|100|Free|49.67|TYR Pro Swim Series - San Antonio|PRE|False</t>
        </is>
      </c>
      <c r="AE314" s="53">
        <f>G314+L314/1000+ROW()/1000000000</f>
        <v/>
      </c>
      <c r="AF314" s="35">
        <f>IF(C314&lt;&gt;"Grayson Coulter","",COUNTIFS($C$5:$C$2991,"Grayson Coulter",$Q$5:$Q$2991,Q314,$AE$5:$AE$2991,"&lt;="&amp;AE314,$R$5:$R$2991,"&lt;"&amp;R314))</f>
        <v/>
      </c>
      <c r="AG314" s="35">
        <f>IF(OR(C314&lt;&gt;"Grayson Coulter",G314&lt;'00_Control'!$B$7),"",--(AF314&lt;5))</f>
        <v/>
      </c>
      <c r="AH314" s="35">
        <f>IF(OR(C314&lt;&gt;"Grayson Coulter",G314&lt;'00_Control'!$B$7),"",--(AF314&lt;10))</f>
        <v/>
      </c>
      <c r="AI314" s="35">
        <f>IF(AND(C314="Grayson Coulter",G314&gt;='00_Control'!$B$7),"YES","NO")</f>
        <v/>
      </c>
      <c r="AJ314" s="33" t="inlineStr">
        <is>
          <t>OK</t>
        </is>
      </c>
    </row>
    <row r="315">
      <c r="A315" s="33" t="inlineStr">
        <is>
          <t>SM000311</t>
        </is>
      </c>
      <c r="B315" s="33" t="inlineStr">
        <is>
          <t>SW010</t>
        </is>
      </c>
      <c r="C315" s="33" t="inlineStr">
        <is>
          <t>Caeleb Dressel</t>
        </is>
      </c>
      <c r="D315" s="33" t="inlineStr">
        <is>
          <t>SwimCloud</t>
        </is>
      </c>
      <c r="E315" s="33" t="inlineStr">
        <is>
          <t>2361642</t>
        </is>
      </c>
      <c r="F315" s="33" t="inlineStr">
        <is>
          <t>61747610</t>
        </is>
      </c>
      <c r="G315" s="51" t="n">
        <v>44653</v>
      </c>
      <c r="H315" s="33" t="inlineStr">
        <is>
          <t>TYR Pro Swim Series - San Antonio</t>
        </is>
      </c>
      <c r="I315" s="33" t="inlineStr">
        <is>
          <t>203550</t>
        </is>
      </c>
      <c r="J315" s="33" t="inlineStr"/>
      <c r="K315" s="33" t="inlineStr">
        <is>
          <t>FIN</t>
        </is>
      </c>
      <c r="L315" s="35">
        <f>IF(K315="FIN",3,IF(OR(K315="SEM",K315="SEMI"),2,IF(OR(K315="PRE",K315="HEAT"),1,IF(V315="YES",4,2))))</f>
        <v/>
      </c>
      <c r="M315" s="33" t="inlineStr">
        <is>
          <t>LCM</t>
        </is>
      </c>
      <c r="N315" s="33" t="n">
        <v>100</v>
      </c>
      <c r="O315" s="33" t="inlineStr">
        <is>
          <t>Free</t>
        </is>
      </c>
      <c r="P315" s="33" t="inlineStr">
        <is>
          <t>100 Free</t>
        </is>
      </c>
      <c r="Q315" s="33" t="inlineStr">
        <is>
          <t>LCM_100_FREE</t>
        </is>
      </c>
      <c r="R315" s="36" t="n">
        <v>49.13</v>
      </c>
      <c r="S315" s="35">
        <f>IF(R315="","",IF(R315&gt;=60,INT(R315/60)&amp;":"&amp;TEXT(MOD(R315,60),"00.00"),TEXT(R315,"0.00")))</f>
        <v/>
      </c>
      <c r="T315" s="52">
        <f>IFERROR((G315-INDEX('01_Swimmers'!$E$5:$E$22,MATCH(B315,'01_Swimmers'!$A$5:$A$22,0)))/'00_Control'!$B$10,"")</f>
        <v/>
      </c>
      <c r="U315" s="35">
        <f>IF(T315="","",INT(T315))</f>
        <v/>
      </c>
      <c r="V315" s="33" t="inlineStr">
        <is>
          <t>NO</t>
        </is>
      </c>
      <c r="W315" s="33" t="inlineStr">
        <is>
          <t>YES</t>
        </is>
      </c>
      <c r="X315" s="33" t="inlineStr">
        <is>
          <t>NO</t>
        </is>
      </c>
      <c r="Y315" s="33" t="n">
        <v>2</v>
      </c>
      <c r="Z315" s="33" t="n">
        <v>1</v>
      </c>
      <c r="AA315" s="33" t="inlineStr">
        <is>
          <t>1</t>
        </is>
      </c>
      <c r="AB315" s="33" t="inlineStr">
        <is>
          <t>https://www.swimcloud.com/results/203550/event/28/?id=61747610#time61747610</t>
        </is>
      </c>
      <c r="AC315" s="33" t="inlineStr">
        <is>
          <t>SwimCloud API v6 2026-10-08</t>
        </is>
      </c>
      <c r="AD315" s="33" t="inlineStr">
        <is>
          <t>Caeleb Dressel|2022-04-02|LCM|100|Free|49.13|TYR Pro Swim Series - San Antonio|FIN|False</t>
        </is>
      </c>
      <c r="AE315" s="53">
        <f>G315+L315/1000+ROW()/1000000000</f>
        <v/>
      </c>
      <c r="AF315" s="35">
        <f>IF(C315&lt;&gt;"Grayson Coulter","",COUNTIFS($C$5:$C$2991,"Grayson Coulter",$Q$5:$Q$2991,Q315,$AE$5:$AE$2991,"&lt;="&amp;AE315,$R$5:$R$2991,"&lt;"&amp;R315))</f>
        <v/>
      </c>
      <c r="AG315" s="35">
        <f>IF(OR(C315&lt;&gt;"Grayson Coulter",G315&lt;'00_Control'!$B$7),"",--(AF315&lt;5))</f>
        <v/>
      </c>
      <c r="AH315" s="35">
        <f>IF(OR(C315&lt;&gt;"Grayson Coulter",G315&lt;'00_Control'!$B$7),"",--(AF315&lt;10))</f>
        <v/>
      </c>
      <c r="AI315" s="35">
        <f>IF(AND(C315="Grayson Coulter",G315&gt;='00_Control'!$B$7),"YES","NO")</f>
        <v/>
      </c>
      <c r="AJ315" s="33" t="inlineStr">
        <is>
          <t>OK</t>
        </is>
      </c>
    </row>
    <row r="316">
      <c r="A316" s="33" t="inlineStr">
        <is>
          <t>SM000312</t>
        </is>
      </c>
      <c r="B316" s="33" t="inlineStr">
        <is>
          <t>SW010</t>
        </is>
      </c>
      <c r="C316" s="33" t="inlineStr">
        <is>
          <t>Caeleb Dressel</t>
        </is>
      </c>
      <c r="D316" s="33" t="inlineStr">
        <is>
          <t>SwimCloud</t>
        </is>
      </c>
      <c r="E316" s="33" t="inlineStr">
        <is>
          <t>2361642</t>
        </is>
      </c>
      <c r="F316" s="33" t="inlineStr">
        <is>
          <t>64634256</t>
        </is>
      </c>
      <c r="G316" s="51" t="n">
        <v>44677</v>
      </c>
      <c r="H316" s="33" t="inlineStr">
        <is>
          <t>Phillips 66 International Team Trials</t>
        </is>
      </c>
      <c r="I316" s="33" t="inlineStr">
        <is>
          <t>203553</t>
        </is>
      </c>
      <c r="J316" s="33" t="inlineStr"/>
      <c r="K316" s="33" t="inlineStr">
        <is>
          <t>PRE</t>
        </is>
      </c>
      <c r="L316" s="35">
        <f>IF(K316="FIN",3,IF(OR(K316="SEM",K316="SEMI"),2,IF(OR(K316="PRE",K316="HEAT"),1,IF(V316="YES",4,2))))</f>
        <v/>
      </c>
      <c r="M316" s="33" t="inlineStr">
        <is>
          <t>LCM</t>
        </is>
      </c>
      <c r="N316" s="33" t="n">
        <v>100</v>
      </c>
      <c r="O316" s="33" t="inlineStr">
        <is>
          <t>Free</t>
        </is>
      </c>
      <c r="P316" s="33" t="inlineStr">
        <is>
          <t>100 Free</t>
        </is>
      </c>
      <c r="Q316" s="33" t="inlineStr">
        <is>
          <t>LCM_100_FREE</t>
        </is>
      </c>
      <c r="R316" s="36" t="n">
        <v>48.12</v>
      </c>
      <c r="S316" s="35">
        <f>IF(R316="","",IF(R316&gt;=60,INT(R316/60)&amp;":"&amp;TEXT(MOD(R316,60),"00.00"),TEXT(R316,"0.00")))</f>
        <v/>
      </c>
      <c r="T316" s="52">
        <f>IFERROR((G316-INDEX('01_Swimmers'!$E$5:$E$22,MATCH(B316,'01_Swimmers'!$A$5:$A$22,0)))/'00_Control'!$B$10,"")</f>
        <v/>
      </c>
      <c r="U316" s="35">
        <f>IF(T316="","",INT(T316))</f>
        <v/>
      </c>
      <c r="V316" s="33" t="inlineStr">
        <is>
          <t>NO</t>
        </is>
      </c>
      <c r="W316" s="33" t="inlineStr">
        <is>
          <t>YES</t>
        </is>
      </c>
      <c r="X316" s="33" t="inlineStr">
        <is>
          <t>NO</t>
        </is>
      </c>
      <c r="Y316" s="33" t="n">
        <v>7</v>
      </c>
      <c r="Z316" s="33" t="n">
        <v>4</v>
      </c>
      <c r="AA316" s="33" t="inlineStr">
        <is>
          <t>1</t>
        </is>
      </c>
      <c r="AB316" s="33" t="inlineStr">
        <is>
          <t>https://www.swimcloud.com/results/203553/event/4/?id=64634256#time64634256</t>
        </is>
      </c>
      <c r="AC316" s="33" t="inlineStr">
        <is>
          <t>SwimCloud API v6 2026-10-08</t>
        </is>
      </c>
      <c r="AD316" s="33" t="inlineStr">
        <is>
          <t>Caeleb Dressel|2022-04-26|LCM|100|Free|48.12|Phillips 66 International Team Trials|PRE|False</t>
        </is>
      </c>
      <c r="AE316" s="53">
        <f>G316+L316/1000+ROW()/1000000000</f>
        <v/>
      </c>
      <c r="AF316" s="35">
        <f>IF(C316&lt;&gt;"Grayson Coulter","",COUNTIFS($C$5:$C$2991,"Grayson Coulter",$Q$5:$Q$2991,Q316,$AE$5:$AE$2991,"&lt;="&amp;AE316,$R$5:$R$2991,"&lt;"&amp;R316))</f>
        <v/>
      </c>
      <c r="AG316" s="35">
        <f>IF(OR(C316&lt;&gt;"Grayson Coulter",G316&lt;'00_Control'!$B$7),"",--(AF316&lt;5))</f>
        <v/>
      </c>
      <c r="AH316" s="35">
        <f>IF(OR(C316&lt;&gt;"Grayson Coulter",G316&lt;'00_Control'!$B$7),"",--(AF316&lt;10))</f>
        <v/>
      </c>
      <c r="AI316" s="35">
        <f>IF(AND(C316="Grayson Coulter",G316&gt;='00_Control'!$B$7),"YES","NO")</f>
        <v/>
      </c>
      <c r="AJ316" s="33" t="inlineStr">
        <is>
          <t>OK</t>
        </is>
      </c>
    </row>
    <row r="317">
      <c r="A317" s="33" t="inlineStr">
        <is>
          <t>SM000313</t>
        </is>
      </c>
      <c r="B317" s="33" t="inlineStr">
        <is>
          <t>SW010</t>
        </is>
      </c>
      <c r="C317" s="33" t="inlineStr">
        <is>
          <t>Caeleb Dressel</t>
        </is>
      </c>
      <c r="D317" s="33" t="inlineStr">
        <is>
          <t>SwimCloud</t>
        </is>
      </c>
      <c r="E317" s="33" t="inlineStr">
        <is>
          <t>2361642</t>
        </is>
      </c>
      <c r="F317" s="33" t="inlineStr">
        <is>
          <t>64634255</t>
        </is>
      </c>
      <c r="G317" s="51" t="n">
        <v>44677</v>
      </c>
      <c r="H317" s="33" t="inlineStr">
        <is>
          <t>Phillips 66 International Team Trials</t>
        </is>
      </c>
      <c r="I317" s="33" t="inlineStr">
        <is>
          <t>203553</t>
        </is>
      </c>
      <c r="J317" s="33" t="inlineStr"/>
      <c r="K317" s="33" t="inlineStr">
        <is>
          <t>FIN</t>
        </is>
      </c>
      <c r="L317" s="35">
        <f>IF(K317="FIN",3,IF(OR(K317="SEM",K317="SEMI"),2,IF(OR(K317="PRE",K317="HEAT"),1,IF(V317="YES",4,2))))</f>
        <v/>
      </c>
      <c r="M317" s="33" t="inlineStr">
        <is>
          <t>LCM</t>
        </is>
      </c>
      <c r="N317" s="33" t="n">
        <v>100</v>
      </c>
      <c r="O317" s="33" t="inlineStr">
        <is>
          <t>Free</t>
        </is>
      </c>
      <c r="P317" s="33" t="inlineStr">
        <is>
          <t>100 Free</t>
        </is>
      </c>
      <c r="Q317" s="33" t="inlineStr">
        <is>
          <t>LCM_100_FREE</t>
        </is>
      </c>
      <c r="R317" s="36" t="n">
        <v>47.79</v>
      </c>
      <c r="S317" s="35">
        <f>IF(R317="","",IF(R317&gt;=60,INT(R317/60)&amp;":"&amp;TEXT(MOD(R317,60),"00.00"),TEXT(R317,"0.00")))</f>
        <v/>
      </c>
      <c r="T317" s="52">
        <f>IFERROR((G317-INDEX('01_Swimmers'!$E$5:$E$22,MATCH(B317,'01_Swimmers'!$A$5:$A$22,0)))/'00_Control'!$B$10,"")</f>
        <v/>
      </c>
      <c r="U317" s="35">
        <f>IF(T317="","",INT(T317))</f>
        <v/>
      </c>
      <c r="V317" s="33" t="inlineStr">
        <is>
          <t>NO</t>
        </is>
      </c>
      <c r="W317" s="33" t="inlineStr">
        <is>
          <t>YES</t>
        </is>
      </c>
      <c r="X317" s="33" t="inlineStr">
        <is>
          <t>NO</t>
        </is>
      </c>
      <c r="Y317" s="33" t="n">
        <v>1</v>
      </c>
      <c r="Z317" s="33" t="n">
        <v>4</v>
      </c>
      <c r="AA317" s="33" t="inlineStr">
        <is>
          <t>1</t>
        </is>
      </c>
      <c r="AB317" s="33" t="inlineStr">
        <is>
          <t>https://www.swimcloud.com/results/203553/event/4/?id=64634255#time64634255</t>
        </is>
      </c>
      <c r="AC317" s="33" t="inlineStr">
        <is>
          <t>SwimCloud API v6 2026-10-08</t>
        </is>
      </c>
      <c r="AD317" s="33" t="inlineStr">
        <is>
          <t>Caeleb Dressel|2022-04-26|LCM|100|Free|47.79|Phillips 66 International Team Trials|FIN|False</t>
        </is>
      </c>
      <c r="AE317" s="53">
        <f>G317+L317/1000+ROW()/1000000000</f>
        <v/>
      </c>
      <c r="AF317" s="35">
        <f>IF(C317&lt;&gt;"Grayson Coulter","",COUNTIFS($C$5:$C$2991,"Grayson Coulter",$Q$5:$Q$2991,Q317,$AE$5:$AE$2991,"&lt;="&amp;AE317,$R$5:$R$2991,"&lt;"&amp;R317))</f>
        <v/>
      </c>
      <c r="AG317" s="35">
        <f>IF(OR(C317&lt;&gt;"Grayson Coulter",G317&lt;'00_Control'!$B$7),"",--(AF317&lt;5))</f>
        <v/>
      </c>
      <c r="AH317" s="35">
        <f>IF(OR(C317&lt;&gt;"Grayson Coulter",G317&lt;'00_Control'!$B$7),"",--(AF317&lt;10))</f>
        <v/>
      </c>
      <c r="AI317" s="35">
        <f>IF(AND(C317="Grayson Coulter",G317&gt;='00_Control'!$B$7),"YES","NO")</f>
        <v/>
      </c>
      <c r="AJ317" s="33" t="inlineStr">
        <is>
          <t>OK</t>
        </is>
      </c>
    </row>
    <row r="318">
      <c r="A318" s="33" t="inlineStr">
        <is>
          <t>SM000314</t>
        </is>
      </c>
      <c r="B318" s="33" t="inlineStr">
        <is>
          <t>SW010</t>
        </is>
      </c>
      <c r="C318" s="33" t="inlineStr">
        <is>
          <t>Caeleb Dressel</t>
        </is>
      </c>
      <c r="D318" s="33" t="inlineStr">
        <is>
          <t>SwimCloud</t>
        </is>
      </c>
      <c r="E318" s="33" t="inlineStr">
        <is>
          <t>2361642</t>
        </is>
      </c>
      <c r="F318" s="33" t="inlineStr">
        <is>
          <t>64634254</t>
        </is>
      </c>
      <c r="G318" s="51" t="n">
        <v>44679</v>
      </c>
      <c r="H318" s="33" t="inlineStr">
        <is>
          <t>Phillips 66 International Team Trials</t>
        </is>
      </c>
      <c r="I318" s="33" t="inlineStr">
        <is>
          <t>203553</t>
        </is>
      </c>
      <c r="J318" s="33" t="inlineStr"/>
      <c r="K318" s="33" t="inlineStr">
        <is>
          <t>PRE</t>
        </is>
      </c>
      <c r="L318" s="35">
        <f>IF(K318="FIN",3,IF(OR(K318="SEM",K318="SEMI"),2,IF(OR(K318="PRE",K318="HEAT"),1,IF(V318="YES",4,2))))</f>
        <v/>
      </c>
      <c r="M318" s="33" t="inlineStr">
        <is>
          <t>LCM</t>
        </is>
      </c>
      <c r="N318" s="33" t="n">
        <v>100</v>
      </c>
      <c r="O318" s="33" t="inlineStr">
        <is>
          <t>Fly</t>
        </is>
      </c>
      <c r="P318" s="33" t="inlineStr">
        <is>
          <t>100 Fly</t>
        </is>
      </c>
      <c r="Q318" s="33" t="inlineStr">
        <is>
          <t>LCM_100_FLY</t>
        </is>
      </c>
      <c r="R318" s="36" t="n">
        <v>50.01</v>
      </c>
      <c r="S318" s="35">
        <f>IF(R318="","",IF(R318&gt;=60,INT(R318/60)&amp;":"&amp;TEXT(MOD(R318,60),"00.00"),TEXT(R318,"0.00")))</f>
        <v/>
      </c>
      <c r="T318" s="52">
        <f>IFERROR((G318-INDEX('01_Swimmers'!$E$5:$E$22,MATCH(B318,'01_Swimmers'!$A$5:$A$22,0)))/'00_Control'!$B$10,"")</f>
        <v/>
      </c>
      <c r="U318" s="35">
        <f>IF(T318="","",INT(T318))</f>
        <v/>
      </c>
      <c r="V318" s="33" t="inlineStr">
        <is>
          <t>NO</t>
        </is>
      </c>
      <c r="W318" s="33" t="inlineStr">
        <is>
          <t>YES</t>
        </is>
      </c>
      <c r="X318" s="33" t="inlineStr">
        <is>
          <t>NO</t>
        </is>
      </c>
      <c r="Y318" s="33" t="n">
        <v>6</v>
      </c>
      <c r="Z318" s="33" t="n">
        <v>4</v>
      </c>
      <c r="AA318" s="33" t="inlineStr">
        <is>
          <t>1</t>
        </is>
      </c>
      <c r="AB318" s="33" t="inlineStr">
        <is>
          <t>https://www.swimcloud.com/results/203553/event/18/?id=64634254#time64634254</t>
        </is>
      </c>
      <c r="AC318" s="33" t="inlineStr">
        <is>
          <t>SwimCloud API v6 2026-10-08</t>
        </is>
      </c>
      <c r="AD318" s="33" t="inlineStr">
        <is>
          <t>Caeleb Dressel|2022-04-28|LCM|100|Fly|50.01|Phillips 66 International Team Trials|PRE|False</t>
        </is>
      </c>
      <c r="AE318" s="53">
        <f>G318+L318/1000+ROW()/1000000000</f>
        <v/>
      </c>
      <c r="AF318" s="35">
        <f>IF(C318&lt;&gt;"Grayson Coulter","",COUNTIFS($C$5:$C$2991,"Grayson Coulter",$Q$5:$Q$2991,Q318,$AE$5:$AE$2991,"&lt;="&amp;AE318,$R$5:$R$2991,"&lt;"&amp;R318))</f>
        <v/>
      </c>
      <c r="AG318" s="35">
        <f>IF(OR(C318&lt;&gt;"Grayson Coulter",G318&lt;'00_Control'!$B$7),"",--(AF318&lt;5))</f>
        <v/>
      </c>
      <c r="AH318" s="35">
        <f>IF(OR(C318&lt;&gt;"Grayson Coulter",G318&lt;'00_Control'!$B$7),"",--(AF318&lt;10))</f>
        <v/>
      </c>
      <c r="AI318" s="35">
        <f>IF(AND(C318="Grayson Coulter",G318&gt;='00_Control'!$B$7),"YES","NO")</f>
        <v/>
      </c>
      <c r="AJ318" s="33" t="inlineStr">
        <is>
          <t>OK</t>
        </is>
      </c>
    </row>
    <row r="319">
      <c r="A319" s="33" t="inlineStr">
        <is>
          <t>SM000315</t>
        </is>
      </c>
      <c r="B319" s="33" t="inlineStr">
        <is>
          <t>SW010</t>
        </is>
      </c>
      <c r="C319" s="33" t="inlineStr">
        <is>
          <t>Caeleb Dressel</t>
        </is>
      </c>
      <c r="D319" s="33" t="inlineStr">
        <is>
          <t>SwimCloud</t>
        </is>
      </c>
      <c r="E319" s="33" t="inlineStr">
        <is>
          <t>2361642</t>
        </is>
      </c>
      <c r="F319" s="33" t="inlineStr">
        <is>
          <t>64634253</t>
        </is>
      </c>
      <c r="G319" s="51" t="n">
        <v>44679</v>
      </c>
      <c r="H319" s="33" t="inlineStr">
        <is>
          <t>Phillips 66 International Team Trials</t>
        </is>
      </c>
      <c r="I319" s="33" t="inlineStr">
        <is>
          <t>203553</t>
        </is>
      </c>
      <c r="J319" s="33" t="inlineStr"/>
      <c r="K319" s="33" t="inlineStr">
        <is>
          <t>FIN</t>
        </is>
      </c>
      <c r="L319" s="35">
        <f>IF(K319="FIN",3,IF(OR(K319="SEM",K319="SEMI"),2,IF(OR(K319="PRE",K319="HEAT"),1,IF(V319="YES",4,2))))</f>
        <v/>
      </c>
      <c r="M319" s="33" t="inlineStr">
        <is>
          <t>LCM</t>
        </is>
      </c>
      <c r="N319" s="33" t="n">
        <v>100</v>
      </c>
      <c r="O319" s="33" t="inlineStr">
        <is>
          <t>Fly</t>
        </is>
      </c>
      <c r="P319" s="33" t="inlineStr">
        <is>
          <t>100 Fly</t>
        </is>
      </c>
      <c r="Q319" s="33" t="inlineStr">
        <is>
          <t>LCM_100_FLY</t>
        </is>
      </c>
      <c r="R319" s="36" t="n">
        <v>50.2</v>
      </c>
      <c r="S319" s="35">
        <f>IF(R319="","",IF(R319&gt;=60,INT(R319/60)&amp;":"&amp;TEXT(MOD(R319,60),"00.00"),TEXT(R319,"0.00")))</f>
        <v/>
      </c>
      <c r="T319" s="52">
        <f>IFERROR((G319-INDEX('01_Swimmers'!$E$5:$E$22,MATCH(B319,'01_Swimmers'!$A$5:$A$22,0)))/'00_Control'!$B$10,"")</f>
        <v/>
      </c>
      <c r="U319" s="35">
        <f>IF(T319="","",INT(T319))</f>
        <v/>
      </c>
      <c r="V319" s="33" t="inlineStr">
        <is>
          <t>NO</t>
        </is>
      </c>
      <c r="W319" s="33" t="inlineStr">
        <is>
          <t>YES</t>
        </is>
      </c>
      <c r="X319" s="33" t="inlineStr">
        <is>
          <t>NO</t>
        </is>
      </c>
      <c r="Y319" s="33" t="n">
        <v>1</v>
      </c>
      <c r="Z319" s="33" t="n">
        <v>4</v>
      </c>
      <c r="AA319" s="33" t="inlineStr">
        <is>
          <t>1</t>
        </is>
      </c>
      <c r="AB319" s="33" t="inlineStr">
        <is>
          <t>https://www.swimcloud.com/results/203553/event/18/?id=64634253#time64634253</t>
        </is>
      </c>
      <c r="AC319" s="33" t="inlineStr">
        <is>
          <t>SwimCloud API v6 2026-10-08</t>
        </is>
      </c>
      <c r="AD319" s="33" t="inlineStr">
        <is>
          <t>Caeleb Dressel|2022-04-28|LCM|100|Fly|50.2|Phillips 66 International Team Trials|FIN|False</t>
        </is>
      </c>
      <c r="AE319" s="53">
        <f>G319+L319/1000+ROW()/1000000000</f>
        <v/>
      </c>
      <c r="AF319" s="35">
        <f>IF(C319&lt;&gt;"Grayson Coulter","",COUNTIFS($C$5:$C$2991,"Grayson Coulter",$Q$5:$Q$2991,Q319,$AE$5:$AE$2991,"&lt;="&amp;AE319,$R$5:$R$2991,"&lt;"&amp;R319))</f>
        <v/>
      </c>
      <c r="AG319" s="35">
        <f>IF(OR(C319&lt;&gt;"Grayson Coulter",G319&lt;'00_Control'!$B$7),"",--(AF319&lt;5))</f>
        <v/>
      </c>
      <c r="AH319" s="35">
        <f>IF(OR(C319&lt;&gt;"Grayson Coulter",G319&lt;'00_Control'!$B$7),"",--(AF319&lt;10))</f>
        <v/>
      </c>
      <c r="AI319" s="35">
        <f>IF(AND(C319="Grayson Coulter",G319&gt;='00_Control'!$B$7),"YES","NO")</f>
        <v/>
      </c>
      <c r="AJ319" s="33" t="inlineStr">
        <is>
          <t>OK</t>
        </is>
      </c>
    </row>
    <row r="320">
      <c r="A320" s="33" t="inlineStr">
        <is>
          <t>SM000316</t>
        </is>
      </c>
      <c r="B320" s="33" t="inlineStr">
        <is>
          <t>SW010</t>
        </is>
      </c>
      <c r="C320" s="33" t="inlineStr">
        <is>
          <t>Caeleb Dressel</t>
        </is>
      </c>
      <c r="D320" s="33" t="inlineStr">
        <is>
          <t>SwimCloud</t>
        </is>
      </c>
      <c r="E320" s="33" t="inlineStr">
        <is>
          <t>2361642</t>
        </is>
      </c>
      <c r="F320" s="33" t="inlineStr">
        <is>
          <t>67639338</t>
        </is>
      </c>
      <c r="G320" s="51" t="n">
        <v>44730</v>
      </c>
      <c r="H320" s="33" t="inlineStr">
        <is>
          <t>19th FINA World Championships</t>
        </is>
      </c>
      <c r="I320" s="33" t="inlineStr">
        <is>
          <t>222377</t>
        </is>
      </c>
      <c r="J320" s="33" t="inlineStr"/>
      <c r="K320" s="33" t="inlineStr">
        <is>
          <t>FIN</t>
        </is>
      </c>
      <c r="L320" s="35">
        <f>IF(K320="FIN",3,IF(OR(K320="SEM",K320="SEMI"),2,IF(OR(K320="PRE",K320="HEAT"),1,IF(V320="YES",4,2))))</f>
        <v/>
      </c>
      <c r="M320" s="33" t="inlineStr">
        <is>
          <t>LCM</t>
        </is>
      </c>
      <c r="N320" s="33" t="n">
        <v>100</v>
      </c>
      <c r="O320" s="33" t="inlineStr">
        <is>
          <t>Free</t>
        </is>
      </c>
      <c r="P320" s="33" t="inlineStr">
        <is>
          <t>100 Free</t>
        </is>
      </c>
      <c r="Q320" s="33" t="inlineStr">
        <is>
          <t>LCM_100_FREE</t>
        </is>
      </c>
      <c r="R320" s="36" t="n">
        <v>47.67</v>
      </c>
      <c r="S320" s="35">
        <f>IF(R320="","",IF(R320&gt;=60,INT(R320/60)&amp;":"&amp;TEXT(MOD(R320,60),"00.00"),TEXT(R320,"0.00")))</f>
        <v/>
      </c>
      <c r="T320" s="52">
        <f>IFERROR((G320-INDEX('01_Swimmers'!$E$5:$E$22,MATCH(B320,'01_Swimmers'!$A$5:$A$22,0)))/'00_Control'!$B$10,"")</f>
        <v/>
      </c>
      <c r="U320" s="35">
        <f>IF(T320="","",INT(T320))</f>
        <v/>
      </c>
      <c r="V320" s="33" t="inlineStr">
        <is>
          <t>YES</t>
        </is>
      </c>
      <c r="W320" s="33" t="inlineStr">
        <is>
          <t>YES</t>
        </is>
      </c>
      <c r="X320" s="33" t="inlineStr">
        <is>
          <t>NO</t>
        </is>
      </c>
      <c r="Y320" s="33" t="n">
        <v>1</v>
      </c>
      <c r="Z320" s="33" t="n">
        <v>4</v>
      </c>
      <c r="AA320" s="33" t="inlineStr"/>
      <c r="AB320" s="33" t="inlineStr">
        <is>
          <t>https://www.swimcloud.com/results/222377/event/9/?id=67637354#time67637354</t>
        </is>
      </c>
      <c r="AC320" s="33" t="inlineStr">
        <is>
          <t>SwimCloud API v6 2026-10-08</t>
        </is>
      </c>
      <c r="AD320" s="33" t="inlineStr">
        <is>
          <t>Caeleb Dressel|2022-06-18|LCM|100|Free|47.67|19th FINA World Championships|FIN|True</t>
        </is>
      </c>
      <c r="AE320" s="53">
        <f>G320+L320/1000+ROW()/1000000000</f>
        <v/>
      </c>
      <c r="AF320" s="35">
        <f>IF(C320&lt;&gt;"Grayson Coulter","",COUNTIFS($C$5:$C$2991,"Grayson Coulter",$Q$5:$Q$2991,Q320,$AE$5:$AE$2991,"&lt;="&amp;AE320,$R$5:$R$2991,"&lt;"&amp;R320))</f>
        <v/>
      </c>
      <c r="AG320" s="35">
        <f>IF(OR(C320&lt;&gt;"Grayson Coulter",G320&lt;'00_Control'!$B$7),"",--(AF320&lt;5))</f>
        <v/>
      </c>
      <c r="AH320" s="35">
        <f>IF(OR(C320&lt;&gt;"Grayson Coulter",G320&lt;'00_Control'!$B$7),"",--(AF320&lt;10))</f>
        <v/>
      </c>
      <c r="AI320" s="35">
        <f>IF(AND(C320="Grayson Coulter",G320&gt;='00_Control'!$B$7),"YES","NO")</f>
        <v/>
      </c>
      <c r="AJ320" s="33" t="inlineStr">
        <is>
          <t>OK</t>
        </is>
      </c>
    </row>
    <row r="321">
      <c r="A321" s="33" t="inlineStr">
        <is>
          <t>SM000317</t>
        </is>
      </c>
      <c r="B321" s="33" t="inlineStr">
        <is>
          <t>SW010</t>
        </is>
      </c>
      <c r="C321" s="33" t="inlineStr">
        <is>
          <t>Caeleb Dressel</t>
        </is>
      </c>
      <c r="D321" s="33" t="inlineStr">
        <is>
          <t>SwimCloud</t>
        </is>
      </c>
      <c r="E321" s="33" t="inlineStr">
        <is>
          <t>2361642</t>
        </is>
      </c>
      <c r="F321" s="33" t="inlineStr">
        <is>
          <t>67637565</t>
        </is>
      </c>
      <c r="G321" s="51" t="n">
        <v>44733</v>
      </c>
      <c r="H321" s="33" t="inlineStr">
        <is>
          <t>19th FINA World Championships</t>
        </is>
      </c>
      <c r="I321" s="33" t="inlineStr">
        <is>
          <t>222377</t>
        </is>
      </c>
      <c r="J321" s="33" t="inlineStr"/>
      <c r="K321" s="33" t="inlineStr">
        <is>
          <t>PRE</t>
        </is>
      </c>
      <c r="L321" s="35">
        <f>IF(K321="FIN",3,IF(OR(K321="SEM",K321="SEMI"),2,IF(OR(K321="PRE",K321="HEAT"),1,IF(V321="YES",4,2))))</f>
        <v/>
      </c>
      <c r="M321" s="33" t="inlineStr">
        <is>
          <t>LCM</t>
        </is>
      </c>
      <c r="N321" s="33" t="n">
        <v>100</v>
      </c>
      <c r="O321" s="33" t="inlineStr">
        <is>
          <t>Free</t>
        </is>
      </c>
      <c r="P321" s="33" t="inlineStr">
        <is>
          <t>100 Free</t>
        </is>
      </c>
      <c r="Q321" s="33" t="inlineStr">
        <is>
          <t>LCM_100_FREE</t>
        </is>
      </c>
      <c r="R321" s="36" t="n">
        <v>47.95</v>
      </c>
      <c r="S321" s="35">
        <f>IF(R321="","",IF(R321&gt;=60,INT(R321/60)&amp;":"&amp;TEXT(MOD(R321,60),"00.00"),TEXT(R321,"0.00")))</f>
        <v/>
      </c>
      <c r="T321" s="52">
        <f>IFERROR((G321-INDEX('01_Swimmers'!$E$5:$E$22,MATCH(B321,'01_Swimmers'!$A$5:$A$22,0)))/'00_Control'!$B$10,"")</f>
        <v/>
      </c>
      <c r="U321" s="35">
        <f>IF(T321="","",INT(T321))</f>
        <v/>
      </c>
      <c r="V321" s="33" t="inlineStr">
        <is>
          <t>NO</t>
        </is>
      </c>
      <c r="W321" s="33" t="inlineStr">
        <is>
          <t>YES</t>
        </is>
      </c>
      <c r="X321" s="33" t="inlineStr">
        <is>
          <t>NO</t>
        </is>
      </c>
      <c r="Y321" s="33" t="n">
        <v>11</v>
      </c>
      <c r="Z321" s="33" t="n">
        <v>4</v>
      </c>
      <c r="AA321" s="33" t="inlineStr">
        <is>
          <t>2</t>
        </is>
      </c>
      <c r="AB321" s="33" t="inlineStr">
        <is>
          <t>https://www.swimcloud.com/results/222377/event/20/?id=67637565#time67637565</t>
        </is>
      </c>
      <c r="AC321" s="33" t="inlineStr">
        <is>
          <t>SwimCloud API v6 2026-10-08</t>
        </is>
      </c>
      <c r="AD321" s="33" t="inlineStr">
        <is>
          <t>Caeleb Dressel|2022-06-21|LCM|100|Free|47.95|19th FINA World Championships|PRE|False</t>
        </is>
      </c>
      <c r="AE321" s="53">
        <f>G321+L321/1000+ROW()/1000000000</f>
        <v/>
      </c>
      <c r="AF321" s="35">
        <f>IF(C321&lt;&gt;"Grayson Coulter","",COUNTIFS($C$5:$C$2991,"Grayson Coulter",$Q$5:$Q$2991,Q321,$AE$5:$AE$2991,"&lt;="&amp;AE321,$R$5:$R$2991,"&lt;"&amp;R321))</f>
        <v/>
      </c>
      <c r="AG321" s="35">
        <f>IF(OR(C321&lt;&gt;"Grayson Coulter",G321&lt;'00_Control'!$B$7),"",--(AF321&lt;5))</f>
        <v/>
      </c>
      <c r="AH321" s="35">
        <f>IF(OR(C321&lt;&gt;"Grayson Coulter",G321&lt;'00_Control'!$B$7),"",--(AF321&lt;10))</f>
        <v/>
      </c>
      <c r="AI321" s="35">
        <f>IF(AND(C321="Grayson Coulter",G321&gt;='00_Control'!$B$7),"YES","NO")</f>
        <v/>
      </c>
      <c r="AJ321" s="33" t="inlineStr">
        <is>
          <t>OK</t>
        </is>
      </c>
    </row>
    <row r="322">
      <c r="A322" s="33" t="inlineStr">
        <is>
          <t>SM000318</t>
        </is>
      </c>
      <c r="B322" s="33" t="inlineStr">
        <is>
          <t>SW010</t>
        </is>
      </c>
      <c r="C322" s="33" t="inlineStr">
        <is>
          <t>Caeleb Dressel</t>
        </is>
      </c>
      <c r="D322" s="33" t="inlineStr">
        <is>
          <t>SwimCloud</t>
        </is>
      </c>
      <c r="E322" s="33" t="inlineStr">
        <is>
          <t>2361642</t>
        </is>
      </c>
      <c r="F322" s="33" t="inlineStr">
        <is>
          <t>101530851</t>
        </is>
      </c>
      <c r="G322" s="51" t="n">
        <v>45058</v>
      </c>
      <c r="H322" s="33" t="inlineStr">
        <is>
          <t>GA SA Speedo Atlanta Classic</t>
        </is>
      </c>
      <c r="I322" s="33" t="inlineStr">
        <is>
          <t>243112</t>
        </is>
      </c>
      <c r="J322" s="33" t="inlineStr"/>
      <c r="K322" s="33" t="inlineStr">
        <is>
          <t>PRE</t>
        </is>
      </c>
      <c r="L322" s="35">
        <f>IF(K322="FIN",3,IF(OR(K322="SEM",K322="SEMI"),2,IF(OR(K322="PRE",K322="HEAT"),1,IF(V322="YES",4,2))))</f>
        <v/>
      </c>
      <c r="M322" s="33" t="inlineStr">
        <is>
          <t>LCM</t>
        </is>
      </c>
      <c r="N322" s="33" t="n">
        <v>100</v>
      </c>
      <c r="O322" s="33" t="inlineStr">
        <is>
          <t>Fly</t>
        </is>
      </c>
      <c r="P322" s="33" t="inlineStr">
        <is>
          <t>100 Fly</t>
        </is>
      </c>
      <c r="Q322" s="33" t="inlineStr">
        <is>
          <t>LCM_100_FLY</t>
        </is>
      </c>
      <c r="R322" s="36" t="n">
        <v>53.6</v>
      </c>
      <c r="S322" s="35">
        <f>IF(R322="","",IF(R322&gt;=60,INT(R322/60)&amp;":"&amp;TEXT(MOD(R322,60),"00.00"),TEXT(R322,"0.00")))</f>
        <v/>
      </c>
      <c r="T322" s="52">
        <f>IFERROR((G322-INDEX('01_Swimmers'!$E$5:$E$22,MATCH(B322,'01_Swimmers'!$A$5:$A$22,0)))/'00_Control'!$B$10,"")</f>
        <v/>
      </c>
      <c r="U322" s="35">
        <f>IF(T322="","",INT(T322))</f>
        <v/>
      </c>
      <c r="V322" s="33" t="inlineStr">
        <is>
          <t>NO</t>
        </is>
      </c>
      <c r="W322" s="33" t="inlineStr">
        <is>
          <t>YES</t>
        </is>
      </c>
      <c r="X322" s="33" t="inlineStr">
        <is>
          <t>NO</t>
        </is>
      </c>
      <c r="Y322" s="33" t="n">
        <v>6</v>
      </c>
      <c r="Z322" s="33" t="n">
        <v>5</v>
      </c>
      <c r="AA322" s="33" t="inlineStr">
        <is>
          <t>3</t>
        </is>
      </c>
      <c r="AB322" s="33" t="inlineStr">
        <is>
          <t>https://www.swimcloud.com/results/243112/event/6/?id=101530851#time101530851</t>
        </is>
      </c>
      <c r="AC322" s="33" t="inlineStr">
        <is>
          <t>SwimCloud API v6 2026-10-08</t>
        </is>
      </c>
      <c r="AD322" s="33" t="inlineStr">
        <is>
          <t>Caeleb Dressel|2023-05-12|LCM|100|Fly|53.6|GA SA Speedo Atlanta Classic|PRE|False</t>
        </is>
      </c>
      <c r="AE322" s="53">
        <f>G322+L322/1000+ROW()/1000000000</f>
        <v/>
      </c>
      <c r="AF322" s="35">
        <f>IF(C322&lt;&gt;"Grayson Coulter","",COUNTIFS($C$5:$C$2991,"Grayson Coulter",$Q$5:$Q$2991,Q322,$AE$5:$AE$2991,"&lt;="&amp;AE322,$R$5:$R$2991,"&lt;"&amp;R322))</f>
        <v/>
      </c>
      <c r="AG322" s="35">
        <f>IF(OR(C322&lt;&gt;"Grayson Coulter",G322&lt;'00_Control'!$B$7),"",--(AF322&lt;5))</f>
        <v/>
      </c>
      <c r="AH322" s="35">
        <f>IF(OR(C322&lt;&gt;"Grayson Coulter",G322&lt;'00_Control'!$B$7),"",--(AF322&lt;10))</f>
        <v/>
      </c>
      <c r="AI322" s="35">
        <f>IF(AND(C322="Grayson Coulter",G322&gt;='00_Control'!$B$7),"YES","NO")</f>
        <v/>
      </c>
      <c r="AJ322" s="33" t="inlineStr">
        <is>
          <t>OK</t>
        </is>
      </c>
    </row>
    <row r="323">
      <c r="A323" s="33" t="inlineStr">
        <is>
          <t>SM000319</t>
        </is>
      </c>
      <c r="B323" s="33" t="inlineStr">
        <is>
          <t>SW010</t>
        </is>
      </c>
      <c r="C323" s="33" t="inlineStr">
        <is>
          <t>Caeleb Dressel</t>
        </is>
      </c>
      <c r="D323" s="33" t="inlineStr">
        <is>
          <t>SwimCloud</t>
        </is>
      </c>
      <c r="E323" s="33" t="inlineStr">
        <is>
          <t>2361642</t>
        </is>
      </c>
      <c r="F323" s="33" t="inlineStr">
        <is>
          <t>101530852</t>
        </is>
      </c>
      <c r="G323" s="51" t="n">
        <v>45058</v>
      </c>
      <c r="H323" s="33" t="inlineStr">
        <is>
          <t>GA SA Speedo Atlanta Classic</t>
        </is>
      </c>
      <c r="I323" s="33" t="inlineStr">
        <is>
          <t>243112</t>
        </is>
      </c>
      <c r="J323" s="33" t="inlineStr"/>
      <c r="K323" s="33" t="inlineStr">
        <is>
          <t>FIN</t>
        </is>
      </c>
      <c r="L323" s="35">
        <f>IF(K323="FIN",3,IF(OR(K323="SEM",K323="SEMI"),2,IF(OR(K323="PRE",K323="HEAT"),1,IF(V323="YES",4,2))))</f>
        <v/>
      </c>
      <c r="M323" s="33" t="inlineStr">
        <is>
          <t>LCM</t>
        </is>
      </c>
      <c r="N323" s="33" t="n">
        <v>100</v>
      </c>
      <c r="O323" s="33" t="inlineStr">
        <is>
          <t>Fly</t>
        </is>
      </c>
      <c r="P323" s="33" t="inlineStr">
        <is>
          <t>100 Fly</t>
        </is>
      </c>
      <c r="Q323" s="33" t="inlineStr">
        <is>
          <t>LCM_100_FLY</t>
        </is>
      </c>
      <c r="R323" s="36" t="n">
        <v>52.41</v>
      </c>
      <c r="S323" s="35">
        <f>IF(R323="","",IF(R323&gt;=60,INT(R323/60)&amp;":"&amp;TEXT(MOD(R323,60),"00.00"),TEXT(R323,"0.00")))</f>
        <v/>
      </c>
      <c r="T323" s="52">
        <f>IFERROR((G323-INDEX('01_Swimmers'!$E$5:$E$22,MATCH(B323,'01_Swimmers'!$A$5:$A$22,0)))/'00_Control'!$B$10,"")</f>
        <v/>
      </c>
      <c r="U323" s="35">
        <f>IF(T323="","",INT(T323))</f>
        <v/>
      </c>
      <c r="V323" s="33" t="inlineStr">
        <is>
          <t>NO</t>
        </is>
      </c>
      <c r="W323" s="33" t="inlineStr">
        <is>
          <t>YES</t>
        </is>
      </c>
      <c r="X323" s="33" t="inlineStr">
        <is>
          <t>NO</t>
        </is>
      </c>
      <c r="Y323" s="33" t="n">
        <v>4</v>
      </c>
      <c r="Z323" s="33" t="n">
        <v>3</v>
      </c>
      <c r="AA323" s="33" t="inlineStr">
        <is>
          <t>2</t>
        </is>
      </c>
      <c r="AB323" s="33" t="inlineStr">
        <is>
          <t>https://www.swimcloud.com/results/243112/event/6/?id=101530852#time101530852</t>
        </is>
      </c>
      <c r="AC323" s="33" t="inlineStr">
        <is>
          <t>SwimCloud API v6 2026-10-08</t>
        </is>
      </c>
      <c r="AD323" s="33" t="inlineStr">
        <is>
          <t>Caeleb Dressel|2023-05-12|LCM|100|Fly|52.41|GA SA Speedo Atlanta Classic|FIN|False</t>
        </is>
      </c>
      <c r="AE323" s="53">
        <f>G323+L323/1000+ROW()/1000000000</f>
        <v/>
      </c>
      <c r="AF323" s="35">
        <f>IF(C323&lt;&gt;"Grayson Coulter","",COUNTIFS($C$5:$C$2991,"Grayson Coulter",$Q$5:$Q$2991,Q323,$AE$5:$AE$2991,"&lt;="&amp;AE323,$R$5:$R$2991,"&lt;"&amp;R323))</f>
        <v/>
      </c>
      <c r="AG323" s="35">
        <f>IF(OR(C323&lt;&gt;"Grayson Coulter",G323&lt;'00_Control'!$B$7),"",--(AF323&lt;5))</f>
        <v/>
      </c>
      <c r="AH323" s="35">
        <f>IF(OR(C323&lt;&gt;"Grayson Coulter",G323&lt;'00_Control'!$B$7),"",--(AF323&lt;10))</f>
        <v/>
      </c>
      <c r="AI323" s="35">
        <f>IF(AND(C323="Grayson Coulter",G323&gt;='00_Control'!$B$7),"YES","NO")</f>
        <v/>
      </c>
      <c r="AJ323" s="33" t="inlineStr">
        <is>
          <t>OK</t>
        </is>
      </c>
    </row>
    <row r="324">
      <c r="A324" s="33" t="inlineStr">
        <is>
          <t>SM000320</t>
        </is>
      </c>
      <c r="B324" s="33" t="inlineStr">
        <is>
          <t>SW010</t>
        </is>
      </c>
      <c r="C324" s="33" t="inlineStr">
        <is>
          <t>Caeleb Dressel</t>
        </is>
      </c>
      <c r="D324" s="33" t="inlineStr">
        <is>
          <t>SwimCloud</t>
        </is>
      </c>
      <c r="E324" s="33" t="inlineStr">
        <is>
          <t>2361642</t>
        </is>
      </c>
      <c r="F324" s="33" t="inlineStr">
        <is>
          <t>101530723</t>
        </is>
      </c>
      <c r="G324" s="51" t="n">
        <v>45060</v>
      </c>
      <c r="H324" s="33" t="inlineStr">
        <is>
          <t>GA SA Speedo Atlanta Classic</t>
        </is>
      </c>
      <c r="I324" s="33" t="inlineStr">
        <is>
          <t>243112</t>
        </is>
      </c>
      <c r="J324" s="33" t="inlineStr"/>
      <c r="K324" s="33" t="inlineStr">
        <is>
          <t>PRE</t>
        </is>
      </c>
      <c r="L324" s="35">
        <f>IF(K324="FIN",3,IF(OR(K324="SEM",K324="SEMI"),2,IF(OR(K324="PRE",K324="HEAT"),1,IF(V324="YES",4,2))))</f>
        <v/>
      </c>
      <c r="M324" s="33" t="inlineStr">
        <is>
          <t>LCM</t>
        </is>
      </c>
      <c r="N324" s="33" t="n">
        <v>100</v>
      </c>
      <c r="O324" s="33" t="inlineStr">
        <is>
          <t>Free</t>
        </is>
      </c>
      <c r="P324" s="33" t="inlineStr">
        <is>
          <t>100 Free</t>
        </is>
      </c>
      <c r="Q324" s="33" t="inlineStr">
        <is>
          <t>LCM_100_FREE</t>
        </is>
      </c>
      <c r="R324" s="36" t="n">
        <v>50.29</v>
      </c>
      <c r="S324" s="35">
        <f>IF(R324="","",IF(R324&gt;=60,INT(R324/60)&amp;":"&amp;TEXT(MOD(R324,60),"00.00"),TEXT(R324,"0.00")))</f>
        <v/>
      </c>
      <c r="T324" s="52">
        <f>IFERROR((G324-INDEX('01_Swimmers'!$E$5:$E$22,MATCH(B324,'01_Swimmers'!$A$5:$A$22,0)))/'00_Control'!$B$10,"")</f>
        <v/>
      </c>
      <c r="U324" s="35">
        <f>IF(T324="","",INT(T324))</f>
        <v/>
      </c>
      <c r="V324" s="33" t="inlineStr">
        <is>
          <t>NO</t>
        </is>
      </c>
      <c r="W324" s="33" t="inlineStr">
        <is>
          <t>YES</t>
        </is>
      </c>
      <c r="X324" s="33" t="inlineStr">
        <is>
          <t>NO</t>
        </is>
      </c>
      <c r="Y324" s="33" t="n">
        <v>9</v>
      </c>
      <c r="Z324" s="33" t="n">
        <v>5</v>
      </c>
      <c r="AA324" s="33" t="inlineStr">
        <is>
          <t>5</t>
        </is>
      </c>
      <c r="AB324" s="33" t="inlineStr">
        <is>
          <t>https://www.swimcloud.com/results/243112/event/24/?id=101530723#time101530723</t>
        </is>
      </c>
      <c r="AC324" s="33" t="inlineStr">
        <is>
          <t>SwimCloud API v6 2026-10-08</t>
        </is>
      </c>
      <c r="AD324" s="33" t="inlineStr">
        <is>
          <t>Caeleb Dressel|2023-05-14|LCM|100|Free|50.29|GA SA Speedo Atlanta Classic|PRE|False</t>
        </is>
      </c>
      <c r="AE324" s="53">
        <f>G324+L324/1000+ROW()/1000000000</f>
        <v/>
      </c>
      <c r="AF324" s="35">
        <f>IF(C324&lt;&gt;"Grayson Coulter","",COUNTIFS($C$5:$C$2991,"Grayson Coulter",$Q$5:$Q$2991,Q324,$AE$5:$AE$2991,"&lt;="&amp;AE324,$R$5:$R$2991,"&lt;"&amp;R324))</f>
        <v/>
      </c>
      <c r="AG324" s="35">
        <f>IF(OR(C324&lt;&gt;"Grayson Coulter",G324&lt;'00_Control'!$B$7),"",--(AF324&lt;5))</f>
        <v/>
      </c>
      <c r="AH324" s="35">
        <f>IF(OR(C324&lt;&gt;"Grayson Coulter",G324&lt;'00_Control'!$B$7),"",--(AF324&lt;10))</f>
        <v/>
      </c>
      <c r="AI324" s="35">
        <f>IF(AND(C324="Grayson Coulter",G324&gt;='00_Control'!$B$7),"YES","NO")</f>
        <v/>
      </c>
      <c r="AJ324" s="33" t="inlineStr">
        <is>
          <t>OK</t>
        </is>
      </c>
    </row>
    <row r="325">
      <c r="A325" s="33" t="inlineStr">
        <is>
          <t>SM000321</t>
        </is>
      </c>
      <c r="B325" s="33" t="inlineStr">
        <is>
          <t>SW010</t>
        </is>
      </c>
      <c r="C325" s="33" t="inlineStr">
        <is>
          <t>Caeleb Dressel</t>
        </is>
      </c>
      <c r="D325" s="33" t="inlineStr">
        <is>
          <t>SwimCloud</t>
        </is>
      </c>
      <c r="E325" s="33" t="inlineStr">
        <is>
          <t>2361642</t>
        </is>
      </c>
      <c r="F325" s="33" t="inlineStr">
        <is>
          <t>108434927</t>
        </is>
      </c>
      <c r="G325" s="51" t="n">
        <v>45080</v>
      </c>
      <c r="H325" s="33" t="inlineStr">
        <is>
          <t>2023 FL FAST Senior Invite</t>
        </is>
      </c>
      <c r="I325" s="33" t="inlineStr">
        <is>
          <t>243192</t>
        </is>
      </c>
      <c r="J325" s="33" t="inlineStr"/>
      <c r="K325" s="33" t="inlineStr">
        <is>
          <t>TIM</t>
        </is>
      </c>
      <c r="L325" s="35">
        <f>IF(K325="FIN",3,IF(OR(K325="SEM",K325="SEMI"),2,IF(OR(K325="PRE",K325="HEAT"),1,IF(V325="YES",4,2))))</f>
        <v/>
      </c>
      <c r="M325" s="33" t="inlineStr">
        <is>
          <t>LCM</t>
        </is>
      </c>
      <c r="N325" s="33" t="n">
        <v>100</v>
      </c>
      <c r="O325" s="33" t="inlineStr">
        <is>
          <t>Free</t>
        </is>
      </c>
      <c r="P325" s="33" t="inlineStr">
        <is>
          <t>100 Free</t>
        </is>
      </c>
      <c r="Q325" s="33" t="inlineStr">
        <is>
          <t>LCM_100_FREE</t>
        </is>
      </c>
      <c r="R325" s="36" t="n">
        <v>49.8</v>
      </c>
      <c r="S325" s="35">
        <f>IF(R325="","",IF(R325&gt;=60,INT(R325/60)&amp;":"&amp;TEXT(MOD(R325,60),"00.00"),TEXT(R325,"0.00")))</f>
        <v/>
      </c>
      <c r="T325" s="52">
        <f>IFERROR((G325-INDEX('01_Swimmers'!$E$5:$E$22,MATCH(B325,'01_Swimmers'!$A$5:$A$22,0)))/'00_Control'!$B$10,"")</f>
        <v/>
      </c>
      <c r="U325" s="35">
        <f>IF(T325="","",INT(T325))</f>
        <v/>
      </c>
      <c r="V325" s="33" t="inlineStr">
        <is>
          <t>NO</t>
        </is>
      </c>
      <c r="W325" s="33" t="inlineStr">
        <is>
          <t>YES</t>
        </is>
      </c>
      <c r="X325" s="33" t="inlineStr">
        <is>
          <t>NO</t>
        </is>
      </c>
      <c r="Y325" s="33" t="n">
        <v>1</v>
      </c>
      <c r="Z325" s="33" t="n">
        <v>5</v>
      </c>
      <c r="AA325" s="33" t="inlineStr">
        <is>
          <t>2</t>
        </is>
      </c>
      <c r="AB325" s="33" t="inlineStr">
        <is>
          <t>https://www.swimcloud.com/results/243192/event/6/?id=108434927#time108434927</t>
        </is>
      </c>
      <c r="AC325" s="33" t="inlineStr">
        <is>
          <t>SwimCloud API v6 2026-10-08</t>
        </is>
      </c>
      <c r="AD325" s="33" t="inlineStr">
        <is>
          <t>Caeleb Dressel|2023-06-03|LCM|100|Free|49.8|2023 FL FAST Senior Invite|TIM|False</t>
        </is>
      </c>
      <c r="AE325" s="53">
        <f>G325+L325/1000+ROW()/1000000000</f>
        <v/>
      </c>
      <c r="AF325" s="35">
        <f>IF(C325&lt;&gt;"Grayson Coulter","",COUNTIFS($C$5:$C$2991,"Grayson Coulter",$Q$5:$Q$2991,Q325,$AE$5:$AE$2991,"&lt;="&amp;AE325,$R$5:$R$2991,"&lt;"&amp;R325))</f>
        <v/>
      </c>
      <c r="AG325" s="35">
        <f>IF(OR(C325&lt;&gt;"Grayson Coulter",G325&lt;'00_Control'!$B$7),"",--(AF325&lt;5))</f>
        <v/>
      </c>
      <c r="AH325" s="35">
        <f>IF(OR(C325&lt;&gt;"Grayson Coulter",G325&lt;'00_Control'!$B$7),"",--(AF325&lt;10))</f>
        <v/>
      </c>
      <c r="AI325" s="35">
        <f>IF(AND(C325="Grayson Coulter",G325&gt;='00_Control'!$B$7),"YES","NO")</f>
        <v/>
      </c>
      <c r="AJ325" s="33" t="inlineStr">
        <is>
          <t>OK</t>
        </is>
      </c>
    </row>
    <row r="326">
      <c r="A326" s="33" t="inlineStr">
        <is>
          <t>SM000322</t>
        </is>
      </c>
      <c r="B326" s="33" t="inlineStr">
        <is>
          <t>SW010</t>
        </is>
      </c>
      <c r="C326" s="33" t="inlineStr">
        <is>
          <t>Caeleb Dressel</t>
        </is>
      </c>
      <c r="D326" s="33" t="inlineStr">
        <is>
          <t>SwimCloud</t>
        </is>
      </c>
      <c r="E326" s="33" t="inlineStr">
        <is>
          <t>2361642</t>
        </is>
      </c>
      <c r="F326" s="33" t="inlineStr">
        <is>
          <t>103344699</t>
        </is>
      </c>
      <c r="G326" s="51" t="n">
        <v>45104</v>
      </c>
      <c r="H326" s="33" t="inlineStr">
        <is>
          <t>Phillips 66 USA National Championships</t>
        </is>
      </c>
      <c r="I326" s="33" t="inlineStr">
        <is>
          <t>234779</t>
        </is>
      </c>
      <c r="J326" s="33" t="inlineStr"/>
      <c r="K326" s="33" t="inlineStr">
        <is>
          <t>PRE</t>
        </is>
      </c>
      <c r="L326" s="35">
        <f>IF(K326="FIN",3,IF(OR(K326="SEM",K326="SEMI"),2,IF(OR(K326="PRE",K326="HEAT"),1,IF(V326="YES",4,2))))</f>
        <v/>
      </c>
      <c r="M326" s="33" t="inlineStr">
        <is>
          <t>LCM</t>
        </is>
      </c>
      <c r="N326" s="33" t="n">
        <v>100</v>
      </c>
      <c r="O326" s="33" t="inlineStr">
        <is>
          <t>Free</t>
        </is>
      </c>
      <c r="P326" s="33" t="inlineStr">
        <is>
          <t>100 Free</t>
        </is>
      </c>
      <c r="Q326" s="33" t="inlineStr">
        <is>
          <t>LCM_100_FREE</t>
        </is>
      </c>
      <c r="R326" s="36" t="n">
        <v>49.42</v>
      </c>
      <c r="S326" s="35">
        <f>IF(R326="","",IF(R326&gt;=60,INT(R326/60)&amp;":"&amp;TEXT(MOD(R326,60),"00.00"),TEXT(R326,"0.00")))</f>
        <v/>
      </c>
      <c r="T326" s="52">
        <f>IFERROR((G326-INDEX('01_Swimmers'!$E$5:$E$22,MATCH(B326,'01_Swimmers'!$A$5:$A$22,0)))/'00_Control'!$B$10,"")</f>
        <v/>
      </c>
      <c r="U326" s="35">
        <f>IF(T326="","",INT(T326))</f>
        <v/>
      </c>
      <c r="V326" s="33" t="inlineStr">
        <is>
          <t>NO</t>
        </is>
      </c>
      <c r="W326" s="33" t="inlineStr">
        <is>
          <t>YES</t>
        </is>
      </c>
      <c r="X326" s="33" t="inlineStr">
        <is>
          <t>NO</t>
        </is>
      </c>
      <c r="Y326" s="33" t="n">
        <v>8</v>
      </c>
      <c r="Z326" s="33" t="n">
        <v>4</v>
      </c>
      <c r="AA326" s="33" t="inlineStr">
        <is>
          <t>29</t>
        </is>
      </c>
      <c r="AB326" s="33" t="inlineStr">
        <is>
          <t>https://www.swimcloud.com/results/234779/event/4/?id=103344699#time103344699</t>
        </is>
      </c>
      <c r="AC326" s="33" t="inlineStr">
        <is>
          <t>SwimCloud API v6 2026-10-08</t>
        </is>
      </c>
      <c r="AD326" s="33" t="inlineStr">
        <is>
          <t>Caeleb Dressel|2023-06-27|LCM|100|Free|49.42|Phillips 66 USA National Championships|PRE|False</t>
        </is>
      </c>
      <c r="AE326" s="53">
        <f>G326+L326/1000+ROW()/1000000000</f>
        <v/>
      </c>
      <c r="AF326" s="35">
        <f>IF(C326&lt;&gt;"Grayson Coulter","",COUNTIFS($C$5:$C$2991,"Grayson Coulter",$Q$5:$Q$2991,Q326,$AE$5:$AE$2991,"&lt;="&amp;AE326,$R$5:$R$2991,"&lt;"&amp;R326))</f>
        <v/>
      </c>
      <c r="AG326" s="35">
        <f>IF(OR(C326&lt;&gt;"Grayson Coulter",G326&lt;'00_Control'!$B$7),"",--(AF326&lt;5))</f>
        <v/>
      </c>
      <c r="AH326" s="35">
        <f>IF(OR(C326&lt;&gt;"Grayson Coulter",G326&lt;'00_Control'!$B$7),"",--(AF326&lt;10))</f>
        <v/>
      </c>
      <c r="AI326" s="35">
        <f>IF(AND(C326="Grayson Coulter",G326&gt;='00_Control'!$B$7),"YES","NO")</f>
        <v/>
      </c>
      <c r="AJ326" s="33" t="inlineStr">
        <is>
          <t>OK</t>
        </is>
      </c>
    </row>
    <row r="327">
      <c r="A327" s="33" t="inlineStr">
        <is>
          <t>SM000323</t>
        </is>
      </c>
      <c r="B327" s="33" t="inlineStr">
        <is>
          <t>SW010</t>
        </is>
      </c>
      <c r="C327" s="33" t="inlineStr">
        <is>
          <t>Caeleb Dressel</t>
        </is>
      </c>
      <c r="D327" s="33" t="inlineStr">
        <is>
          <t>SwimCloud</t>
        </is>
      </c>
      <c r="E327" s="33" t="inlineStr">
        <is>
          <t>2361642</t>
        </is>
      </c>
      <c r="F327" s="33" t="inlineStr">
        <is>
          <t>103344698</t>
        </is>
      </c>
      <c r="G327" s="51" t="n">
        <v>45104</v>
      </c>
      <c r="H327" s="33" t="inlineStr">
        <is>
          <t>Phillips 66 USA National Championships</t>
        </is>
      </c>
      <c r="I327" s="33" t="inlineStr">
        <is>
          <t>234779</t>
        </is>
      </c>
      <c r="J327" s="33" t="inlineStr"/>
      <c r="K327" s="33" t="inlineStr">
        <is>
          <t>FIN</t>
        </is>
      </c>
      <c r="L327" s="35">
        <f>IF(K327="FIN",3,IF(OR(K327="SEM",K327="SEMI"),2,IF(OR(K327="PRE",K327="HEAT"),1,IF(V327="YES",4,2))))</f>
        <v/>
      </c>
      <c r="M327" s="33" t="inlineStr">
        <is>
          <t>LCM</t>
        </is>
      </c>
      <c r="N327" s="33" t="n">
        <v>100</v>
      </c>
      <c r="O327" s="33" t="inlineStr">
        <is>
          <t>Free</t>
        </is>
      </c>
      <c r="P327" s="33" t="inlineStr">
        <is>
          <t>100 Free</t>
        </is>
      </c>
      <c r="Q327" s="33" t="inlineStr">
        <is>
          <t>LCM_100_FREE</t>
        </is>
      </c>
      <c r="R327" s="36" t="n">
        <v>49.64</v>
      </c>
      <c r="S327" s="35">
        <f>IF(R327="","",IF(R327&gt;=60,INT(R327/60)&amp;":"&amp;TEXT(MOD(R327,60),"00.00"),TEXT(R327,"0.00")))</f>
        <v/>
      </c>
      <c r="T327" s="52">
        <f>IFERROR((G327-INDEX('01_Swimmers'!$E$5:$E$22,MATCH(B327,'01_Swimmers'!$A$5:$A$22,0)))/'00_Control'!$B$10,"")</f>
        <v/>
      </c>
      <c r="U327" s="35">
        <f>IF(T327="","",INT(T327))</f>
        <v/>
      </c>
      <c r="V327" s="33" t="inlineStr">
        <is>
          <t>NO</t>
        </is>
      </c>
      <c r="W327" s="33" t="inlineStr">
        <is>
          <t>YES</t>
        </is>
      </c>
      <c r="X327" s="33" t="inlineStr">
        <is>
          <t>NO</t>
        </is>
      </c>
      <c r="Y327" s="33" t="n">
        <v>3</v>
      </c>
      <c r="Z327" s="33" t="n">
        <v>6</v>
      </c>
      <c r="AA327" s="33" t="inlineStr">
        <is>
          <t>19</t>
        </is>
      </c>
      <c r="AB327" s="33" t="inlineStr">
        <is>
          <t>https://www.swimcloud.com/results/234779/event/4/?id=103344698#time103344698</t>
        </is>
      </c>
      <c r="AC327" s="33" t="inlineStr">
        <is>
          <t>SwimCloud API v6 2026-10-08</t>
        </is>
      </c>
      <c r="AD327" s="33" t="inlineStr">
        <is>
          <t>Caeleb Dressel|2023-06-27|LCM|100|Free|49.64|Phillips 66 USA National Championships|FIN|False</t>
        </is>
      </c>
      <c r="AE327" s="53">
        <f>G327+L327/1000+ROW()/1000000000</f>
        <v/>
      </c>
      <c r="AF327" s="35">
        <f>IF(C327&lt;&gt;"Grayson Coulter","",COUNTIFS($C$5:$C$2991,"Grayson Coulter",$Q$5:$Q$2991,Q327,$AE$5:$AE$2991,"&lt;="&amp;AE327,$R$5:$R$2991,"&lt;"&amp;R327))</f>
        <v/>
      </c>
      <c r="AG327" s="35">
        <f>IF(OR(C327&lt;&gt;"Grayson Coulter",G327&lt;'00_Control'!$B$7),"",--(AF327&lt;5))</f>
        <v/>
      </c>
      <c r="AH327" s="35">
        <f>IF(OR(C327&lt;&gt;"Grayson Coulter",G327&lt;'00_Control'!$B$7),"",--(AF327&lt;10))</f>
        <v/>
      </c>
      <c r="AI327" s="35">
        <f>IF(AND(C327="Grayson Coulter",G327&gt;='00_Control'!$B$7),"YES","NO")</f>
        <v/>
      </c>
      <c r="AJ327" s="33" t="inlineStr">
        <is>
          <t>OK</t>
        </is>
      </c>
    </row>
    <row r="328">
      <c r="A328" s="33" t="inlineStr">
        <is>
          <t>SM000324</t>
        </is>
      </c>
      <c r="B328" s="33" t="inlineStr">
        <is>
          <t>SW010</t>
        </is>
      </c>
      <c r="C328" s="33" t="inlineStr">
        <is>
          <t>Caeleb Dressel</t>
        </is>
      </c>
      <c r="D328" s="33" t="inlineStr">
        <is>
          <t>SwimCloud</t>
        </is>
      </c>
      <c r="E328" s="33" t="inlineStr">
        <is>
          <t>2361642</t>
        </is>
      </c>
      <c r="F328" s="33" t="inlineStr">
        <is>
          <t>103344697</t>
        </is>
      </c>
      <c r="G328" s="51" t="n">
        <v>45106</v>
      </c>
      <c r="H328" s="33" t="inlineStr">
        <is>
          <t>Phillips 66 USA National Championships</t>
        </is>
      </c>
      <c r="I328" s="33" t="inlineStr">
        <is>
          <t>234779</t>
        </is>
      </c>
      <c r="J328" s="33" t="inlineStr"/>
      <c r="K328" s="33" t="inlineStr">
        <is>
          <t>PRE</t>
        </is>
      </c>
      <c r="L328" s="35">
        <f>IF(K328="FIN",3,IF(OR(K328="SEM",K328="SEMI"),2,IF(OR(K328="PRE",K328="HEAT"),1,IF(V328="YES",4,2))))</f>
        <v/>
      </c>
      <c r="M328" s="33" t="inlineStr">
        <is>
          <t>LCM</t>
        </is>
      </c>
      <c r="N328" s="33" t="n">
        <v>100</v>
      </c>
      <c r="O328" s="33" t="inlineStr">
        <is>
          <t>Fly</t>
        </is>
      </c>
      <c r="P328" s="33" t="inlineStr">
        <is>
          <t>100 Fly</t>
        </is>
      </c>
      <c r="Q328" s="33" t="inlineStr">
        <is>
          <t>LCM_100_FLY</t>
        </is>
      </c>
      <c r="R328" s="36" t="n">
        <v>51.95</v>
      </c>
      <c r="S328" s="35">
        <f>IF(R328="","",IF(R328&gt;=60,INT(R328/60)&amp;":"&amp;TEXT(MOD(R328,60),"00.00"),TEXT(R328,"0.00")))</f>
        <v/>
      </c>
      <c r="T328" s="52">
        <f>IFERROR((G328-INDEX('01_Swimmers'!$E$5:$E$22,MATCH(B328,'01_Swimmers'!$A$5:$A$22,0)))/'00_Control'!$B$10,"")</f>
        <v/>
      </c>
      <c r="U328" s="35">
        <f>IF(T328="","",INT(T328))</f>
        <v/>
      </c>
      <c r="V328" s="33" t="inlineStr">
        <is>
          <t>NO</t>
        </is>
      </c>
      <c r="W328" s="33" t="inlineStr">
        <is>
          <t>YES</t>
        </is>
      </c>
      <c r="X328" s="33" t="inlineStr">
        <is>
          <t>NO</t>
        </is>
      </c>
      <c r="Y328" s="33" t="n">
        <v>7</v>
      </c>
      <c r="Z328" s="33" t="n">
        <v>4</v>
      </c>
      <c r="AA328" s="33" t="inlineStr">
        <is>
          <t>9</t>
        </is>
      </c>
      <c r="AB328" s="33" t="inlineStr">
        <is>
          <t>https://www.swimcloud.com/results/234779/event/18/?id=103344697#time103344697</t>
        </is>
      </c>
      <c r="AC328" s="33" t="inlineStr">
        <is>
          <t>SwimCloud API v6 2026-10-08</t>
        </is>
      </c>
      <c r="AD328" s="33" t="inlineStr">
        <is>
          <t>Caeleb Dressel|2023-06-29|LCM|100|Fly|51.95|Phillips 66 USA National Championships|PRE|False</t>
        </is>
      </c>
      <c r="AE328" s="53">
        <f>G328+L328/1000+ROW()/1000000000</f>
        <v/>
      </c>
      <c r="AF328" s="35">
        <f>IF(C328&lt;&gt;"Grayson Coulter","",COUNTIFS($C$5:$C$2991,"Grayson Coulter",$Q$5:$Q$2991,Q328,$AE$5:$AE$2991,"&lt;="&amp;AE328,$R$5:$R$2991,"&lt;"&amp;R328))</f>
        <v/>
      </c>
      <c r="AG328" s="35">
        <f>IF(OR(C328&lt;&gt;"Grayson Coulter",G328&lt;'00_Control'!$B$7),"",--(AF328&lt;5))</f>
        <v/>
      </c>
      <c r="AH328" s="35">
        <f>IF(OR(C328&lt;&gt;"Grayson Coulter",G328&lt;'00_Control'!$B$7),"",--(AF328&lt;10))</f>
        <v/>
      </c>
      <c r="AI328" s="35">
        <f>IF(AND(C328="Grayson Coulter",G328&gt;='00_Control'!$B$7),"YES","NO")</f>
        <v/>
      </c>
      <c r="AJ328" s="33" t="inlineStr">
        <is>
          <t>OK</t>
        </is>
      </c>
    </row>
    <row r="329">
      <c r="A329" s="33" t="inlineStr">
        <is>
          <t>SM000325</t>
        </is>
      </c>
      <c r="B329" s="33" t="inlineStr">
        <is>
          <t>SW010</t>
        </is>
      </c>
      <c r="C329" s="33" t="inlineStr">
        <is>
          <t>Caeleb Dressel</t>
        </is>
      </c>
      <c r="D329" s="33" t="inlineStr">
        <is>
          <t>SwimCloud</t>
        </is>
      </c>
      <c r="E329" s="33" t="inlineStr">
        <is>
          <t>2361642</t>
        </is>
      </c>
      <c r="F329" s="33" t="inlineStr">
        <is>
          <t>103344696</t>
        </is>
      </c>
      <c r="G329" s="51" t="n">
        <v>45106</v>
      </c>
      <c r="H329" s="33" t="inlineStr">
        <is>
          <t>Phillips 66 USA National Championships</t>
        </is>
      </c>
      <c r="I329" s="33" t="inlineStr">
        <is>
          <t>234779</t>
        </is>
      </c>
      <c r="J329" s="33" t="inlineStr"/>
      <c r="K329" s="33" t="inlineStr">
        <is>
          <t>FIN</t>
        </is>
      </c>
      <c r="L329" s="35">
        <f>IF(K329="FIN",3,IF(OR(K329="SEM",K329="SEMI"),2,IF(OR(K329="PRE",K329="HEAT"),1,IF(V329="YES",4,2))))</f>
        <v/>
      </c>
      <c r="M329" s="33" t="inlineStr">
        <is>
          <t>LCM</t>
        </is>
      </c>
      <c r="N329" s="33" t="n">
        <v>100</v>
      </c>
      <c r="O329" s="33" t="inlineStr">
        <is>
          <t>Fly</t>
        </is>
      </c>
      <c r="P329" s="33" t="inlineStr">
        <is>
          <t>100 Fly</t>
        </is>
      </c>
      <c r="Q329" s="33" t="inlineStr">
        <is>
          <t>LCM_100_FLY</t>
        </is>
      </c>
      <c r="R329" s="36" t="n">
        <v>51.66</v>
      </c>
      <c r="S329" s="35">
        <f>IF(R329="","",IF(R329&gt;=60,INT(R329/60)&amp;":"&amp;TEXT(MOD(R329,60),"00.00"),TEXT(R329,"0.00")))</f>
        <v/>
      </c>
      <c r="T329" s="52">
        <f>IFERROR((G329-INDEX('01_Swimmers'!$E$5:$E$22,MATCH(B329,'01_Swimmers'!$A$5:$A$22,0)))/'00_Control'!$B$10,"")</f>
        <v/>
      </c>
      <c r="U329" s="35">
        <f>IF(T329="","",INT(T329))</f>
        <v/>
      </c>
      <c r="V329" s="33" t="inlineStr">
        <is>
          <t>NO</t>
        </is>
      </c>
      <c r="W329" s="33" t="inlineStr">
        <is>
          <t>YES</t>
        </is>
      </c>
      <c r="X329" s="33" t="inlineStr">
        <is>
          <t>NO</t>
        </is>
      </c>
      <c r="Y329" s="33" t="n">
        <v>1</v>
      </c>
      <c r="Z329" s="33" t="n">
        <v>8</v>
      </c>
      <c r="AA329" s="33" t="inlineStr">
        <is>
          <t>5</t>
        </is>
      </c>
      <c r="AB329" s="33" t="inlineStr">
        <is>
          <t>https://www.swimcloud.com/results/234779/event/18/?id=103344696#time103344696</t>
        </is>
      </c>
      <c r="AC329" s="33" t="inlineStr">
        <is>
          <t>SwimCloud API v6 2026-10-08</t>
        </is>
      </c>
      <c r="AD329" s="33" t="inlineStr">
        <is>
          <t>Caeleb Dressel|2023-06-29|LCM|100|Fly|51.66|Phillips 66 USA National Championships|FIN|False</t>
        </is>
      </c>
      <c r="AE329" s="53">
        <f>G329+L329/1000+ROW()/1000000000</f>
        <v/>
      </c>
      <c r="AF329" s="35">
        <f>IF(C329&lt;&gt;"Grayson Coulter","",COUNTIFS($C$5:$C$2991,"Grayson Coulter",$Q$5:$Q$2991,Q329,$AE$5:$AE$2991,"&lt;="&amp;AE329,$R$5:$R$2991,"&lt;"&amp;R329))</f>
        <v/>
      </c>
      <c r="AG329" s="35">
        <f>IF(OR(C329&lt;&gt;"Grayson Coulter",G329&lt;'00_Control'!$B$7),"",--(AF329&lt;5))</f>
        <v/>
      </c>
      <c r="AH329" s="35">
        <f>IF(OR(C329&lt;&gt;"Grayson Coulter",G329&lt;'00_Control'!$B$7),"",--(AF329&lt;10))</f>
        <v/>
      </c>
      <c r="AI329" s="35">
        <f>IF(AND(C329="Grayson Coulter",G329&gt;='00_Control'!$B$7),"YES","NO")</f>
        <v/>
      </c>
      <c r="AJ329" s="33" t="inlineStr">
        <is>
          <t>OK</t>
        </is>
      </c>
    </row>
    <row r="330">
      <c r="A330" s="33" t="inlineStr">
        <is>
          <t>SM000326</t>
        </is>
      </c>
      <c r="B330" s="33" t="inlineStr">
        <is>
          <t>SW010</t>
        </is>
      </c>
      <c r="C330" s="33" t="inlineStr">
        <is>
          <t>Caeleb Dressel</t>
        </is>
      </c>
      <c r="D330" s="33" t="inlineStr">
        <is>
          <t>SwimCloud</t>
        </is>
      </c>
      <c r="E330" s="33" t="inlineStr">
        <is>
          <t>2361642</t>
        </is>
      </c>
      <c r="F330" s="33" t="inlineStr">
        <is>
          <t>111674127</t>
        </is>
      </c>
      <c r="G330" s="51" t="n">
        <v>45261</v>
      </c>
      <c r="H330" s="33" t="inlineStr">
        <is>
          <t>Toyota US Open Championships</t>
        </is>
      </c>
      <c r="I330" s="33" t="inlineStr">
        <is>
          <t>275534</t>
        </is>
      </c>
      <c r="J330" s="33" t="inlineStr"/>
      <c r="K330" s="33" t="inlineStr">
        <is>
          <t>PRE</t>
        </is>
      </c>
      <c r="L330" s="35">
        <f>IF(K330="FIN",3,IF(OR(K330="SEM",K330="SEMI"),2,IF(OR(K330="PRE",K330="HEAT"),1,IF(V330="YES",4,2))))</f>
        <v/>
      </c>
      <c r="M330" s="33" t="inlineStr">
        <is>
          <t>LCM</t>
        </is>
      </c>
      <c r="N330" s="33" t="n">
        <v>100</v>
      </c>
      <c r="O330" s="33" t="inlineStr">
        <is>
          <t>Fly</t>
        </is>
      </c>
      <c r="P330" s="33" t="inlineStr">
        <is>
          <t>100 Fly</t>
        </is>
      </c>
      <c r="Q330" s="33" t="inlineStr">
        <is>
          <t>LCM_100_FLY</t>
        </is>
      </c>
      <c r="R330" s="36" t="n">
        <v>51.83</v>
      </c>
      <c r="S330" s="35">
        <f>IF(R330="","",IF(R330&gt;=60,INT(R330/60)&amp;":"&amp;TEXT(MOD(R330,60),"00.00"),TEXT(R330,"0.00")))</f>
        <v/>
      </c>
      <c r="T330" s="52">
        <f>IFERROR((G330-INDEX('01_Swimmers'!$E$5:$E$22,MATCH(B330,'01_Swimmers'!$A$5:$A$22,0)))/'00_Control'!$B$10,"")</f>
        <v/>
      </c>
      <c r="U330" s="35">
        <f>IF(T330="","",INT(T330))</f>
        <v/>
      </c>
      <c r="V330" s="33" t="inlineStr">
        <is>
          <t>NO</t>
        </is>
      </c>
      <c r="W330" s="33" t="inlineStr">
        <is>
          <t>YES</t>
        </is>
      </c>
      <c r="X330" s="33" t="inlineStr">
        <is>
          <t>NO</t>
        </is>
      </c>
      <c r="Y330" s="33" t="n">
        <v>10</v>
      </c>
      <c r="Z330" s="33" t="n">
        <v>6</v>
      </c>
      <c r="AA330" s="33" t="inlineStr">
        <is>
          <t>3</t>
        </is>
      </c>
      <c r="AB330" s="33" t="inlineStr">
        <is>
          <t>https://www.swimcloud.com/results/275534/event/12/?id=111674127#time111674127</t>
        </is>
      </c>
      <c r="AC330" s="33" t="inlineStr">
        <is>
          <t>SwimCloud API v6 2026-10-08</t>
        </is>
      </c>
      <c r="AD330" s="33" t="inlineStr">
        <is>
          <t>Caeleb Dressel|2023-12-01|LCM|100|Fly|51.83|Toyota US Open Championships|PRE|False</t>
        </is>
      </c>
      <c r="AE330" s="53">
        <f>G330+L330/1000+ROW()/1000000000</f>
        <v/>
      </c>
      <c r="AF330" s="35">
        <f>IF(C330&lt;&gt;"Grayson Coulter","",COUNTIFS($C$5:$C$2991,"Grayson Coulter",$Q$5:$Q$2991,Q330,$AE$5:$AE$2991,"&lt;="&amp;AE330,$R$5:$R$2991,"&lt;"&amp;R330))</f>
        <v/>
      </c>
      <c r="AG330" s="35">
        <f>IF(OR(C330&lt;&gt;"Grayson Coulter",G330&lt;'00_Control'!$B$7),"",--(AF330&lt;5))</f>
        <v/>
      </c>
      <c r="AH330" s="35">
        <f>IF(OR(C330&lt;&gt;"Grayson Coulter",G330&lt;'00_Control'!$B$7),"",--(AF330&lt;10))</f>
        <v/>
      </c>
      <c r="AI330" s="35">
        <f>IF(AND(C330="Grayson Coulter",G330&gt;='00_Control'!$B$7),"YES","NO")</f>
        <v/>
      </c>
      <c r="AJ330" s="33" t="inlineStr">
        <is>
          <t>OK</t>
        </is>
      </c>
    </row>
    <row r="331">
      <c r="A331" s="33" t="inlineStr">
        <is>
          <t>SM000327</t>
        </is>
      </c>
      <c r="B331" s="33" t="inlineStr">
        <is>
          <t>SW010</t>
        </is>
      </c>
      <c r="C331" s="33" t="inlineStr">
        <is>
          <t>Caeleb Dressel</t>
        </is>
      </c>
      <c r="D331" s="33" t="inlineStr">
        <is>
          <t>SwimCloud</t>
        </is>
      </c>
      <c r="E331" s="33" t="inlineStr">
        <is>
          <t>2361642</t>
        </is>
      </c>
      <c r="F331" s="33" t="inlineStr">
        <is>
          <t>111674126</t>
        </is>
      </c>
      <c r="G331" s="51" t="n">
        <v>45261</v>
      </c>
      <c r="H331" s="33" t="inlineStr">
        <is>
          <t>Toyota US Open Championships</t>
        </is>
      </c>
      <c r="I331" s="33" t="inlineStr">
        <is>
          <t>275534</t>
        </is>
      </c>
      <c r="J331" s="33" t="inlineStr"/>
      <c r="K331" s="33" t="inlineStr">
        <is>
          <t>FIN</t>
        </is>
      </c>
      <c r="L331" s="35">
        <f>IF(K331="FIN",3,IF(OR(K331="SEM",K331="SEMI"),2,IF(OR(K331="PRE",K331="HEAT"),1,IF(V331="YES",4,2))))</f>
        <v/>
      </c>
      <c r="M331" s="33" t="inlineStr">
        <is>
          <t>LCM</t>
        </is>
      </c>
      <c r="N331" s="33" t="n">
        <v>100</v>
      </c>
      <c r="O331" s="33" t="inlineStr">
        <is>
          <t>Fly</t>
        </is>
      </c>
      <c r="P331" s="33" t="inlineStr">
        <is>
          <t>100 Fly</t>
        </is>
      </c>
      <c r="Q331" s="33" t="inlineStr">
        <is>
          <t>LCM_100_FLY</t>
        </is>
      </c>
      <c r="R331" s="36" t="n">
        <v>51.31</v>
      </c>
      <c r="S331" s="35">
        <f>IF(R331="","",IF(R331&gt;=60,INT(R331/60)&amp;":"&amp;TEXT(MOD(R331,60),"00.00"),TEXT(R331,"0.00")))</f>
        <v/>
      </c>
      <c r="T331" s="52">
        <f>IFERROR((G331-INDEX('01_Swimmers'!$E$5:$E$22,MATCH(B331,'01_Swimmers'!$A$5:$A$22,0)))/'00_Control'!$B$10,"")</f>
        <v/>
      </c>
      <c r="U331" s="35">
        <f>IF(T331="","",INT(T331))</f>
        <v/>
      </c>
      <c r="V331" s="33" t="inlineStr">
        <is>
          <t>NO</t>
        </is>
      </c>
      <c r="W331" s="33" t="inlineStr">
        <is>
          <t>YES</t>
        </is>
      </c>
      <c r="X331" s="33" t="inlineStr">
        <is>
          <t>NO</t>
        </is>
      </c>
      <c r="Y331" s="33" t="n">
        <v>1</v>
      </c>
      <c r="Z331" s="33" t="n">
        <v>3</v>
      </c>
      <c r="AA331" s="33" t="inlineStr">
        <is>
          <t>1</t>
        </is>
      </c>
      <c r="AB331" s="33" t="inlineStr">
        <is>
          <t>https://www.swimcloud.com/results/275534/event/12/?id=111674126#time111674126</t>
        </is>
      </c>
      <c r="AC331" s="33" t="inlineStr">
        <is>
          <t>SwimCloud API v6 2026-10-08</t>
        </is>
      </c>
      <c r="AD331" s="33" t="inlineStr">
        <is>
          <t>Caeleb Dressel|2023-12-01|LCM|100|Fly|51.31|Toyota US Open Championships|FIN|False</t>
        </is>
      </c>
      <c r="AE331" s="53">
        <f>G331+L331/1000+ROW()/1000000000</f>
        <v/>
      </c>
      <c r="AF331" s="35">
        <f>IF(C331&lt;&gt;"Grayson Coulter","",COUNTIFS($C$5:$C$2991,"Grayson Coulter",$Q$5:$Q$2991,Q331,$AE$5:$AE$2991,"&lt;="&amp;AE331,$R$5:$R$2991,"&lt;"&amp;R331))</f>
        <v/>
      </c>
      <c r="AG331" s="35">
        <f>IF(OR(C331&lt;&gt;"Grayson Coulter",G331&lt;'00_Control'!$B$7),"",--(AF331&lt;5))</f>
        <v/>
      </c>
      <c r="AH331" s="35">
        <f>IF(OR(C331&lt;&gt;"Grayson Coulter",G331&lt;'00_Control'!$B$7),"",--(AF331&lt;10))</f>
        <v/>
      </c>
      <c r="AI331" s="35">
        <f>IF(AND(C331="Grayson Coulter",G331&gt;='00_Control'!$B$7),"YES","NO")</f>
        <v/>
      </c>
      <c r="AJ331" s="33" t="inlineStr">
        <is>
          <t>OK</t>
        </is>
      </c>
    </row>
    <row r="332">
      <c r="A332" s="33" t="inlineStr">
        <is>
          <t>SM000328</t>
        </is>
      </c>
      <c r="B332" s="33" t="inlineStr">
        <is>
          <t>SW010</t>
        </is>
      </c>
      <c r="C332" s="33" t="inlineStr">
        <is>
          <t>Caeleb Dressel</t>
        </is>
      </c>
      <c r="D332" s="33" t="inlineStr">
        <is>
          <t>SwimCloud</t>
        </is>
      </c>
      <c r="E332" s="33" t="inlineStr">
        <is>
          <t>2361642</t>
        </is>
      </c>
      <c r="F332" s="33" t="inlineStr">
        <is>
          <t>111674129</t>
        </is>
      </c>
      <c r="G332" s="51" t="n">
        <v>45262</v>
      </c>
      <c r="H332" s="33" t="inlineStr">
        <is>
          <t>Toyota US Open Championships</t>
        </is>
      </c>
      <c r="I332" s="33" t="inlineStr">
        <is>
          <t>275534</t>
        </is>
      </c>
      <c r="J332" s="33" t="inlineStr"/>
      <c r="K332" s="33" t="inlineStr">
        <is>
          <t>PRE</t>
        </is>
      </c>
      <c r="L332" s="35">
        <f>IF(K332="FIN",3,IF(OR(K332="SEM",K332="SEMI"),2,IF(OR(K332="PRE",K332="HEAT"),1,IF(V332="YES",4,2))))</f>
        <v/>
      </c>
      <c r="M332" s="33" t="inlineStr">
        <is>
          <t>LCM</t>
        </is>
      </c>
      <c r="N332" s="33" t="n">
        <v>100</v>
      </c>
      <c r="O332" s="33" t="inlineStr">
        <is>
          <t>Free</t>
        </is>
      </c>
      <c r="P332" s="33" t="inlineStr">
        <is>
          <t>100 Free</t>
        </is>
      </c>
      <c r="Q332" s="33" t="inlineStr">
        <is>
          <t>LCM_100_FREE</t>
        </is>
      </c>
      <c r="R332" s="36" t="n">
        <v>49.05</v>
      </c>
      <c r="S332" s="35">
        <f>IF(R332="","",IF(R332&gt;=60,INT(R332/60)&amp;":"&amp;TEXT(MOD(R332,60),"00.00"),TEXT(R332,"0.00")))</f>
        <v/>
      </c>
      <c r="T332" s="52">
        <f>IFERROR((G332-INDEX('01_Swimmers'!$E$5:$E$22,MATCH(B332,'01_Swimmers'!$A$5:$A$22,0)))/'00_Control'!$B$10,"")</f>
        <v/>
      </c>
      <c r="U332" s="35">
        <f>IF(T332="","",INT(T332))</f>
        <v/>
      </c>
      <c r="V332" s="33" t="inlineStr">
        <is>
          <t>NO</t>
        </is>
      </c>
      <c r="W332" s="33" t="inlineStr">
        <is>
          <t>YES</t>
        </is>
      </c>
      <c r="X332" s="33" t="inlineStr">
        <is>
          <t>NO</t>
        </is>
      </c>
      <c r="Y332" s="33" t="n">
        <v>8</v>
      </c>
      <c r="Z332" s="33" t="n">
        <v>6</v>
      </c>
      <c r="AA332" s="33" t="inlineStr">
        <is>
          <t>11</t>
        </is>
      </c>
      <c r="AB332" s="33" t="inlineStr">
        <is>
          <t>https://www.swimcloud.com/results/275534/event/24/?id=111674129#time111674129</t>
        </is>
      </c>
      <c r="AC332" s="33" t="inlineStr">
        <is>
          <t>SwimCloud API v6 2026-10-08</t>
        </is>
      </c>
      <c r="AD332" s="33" t="inlineStr">
        <is>
          <t>Caeleb Dressel|2023-12-02|LCM|100|Free|49.05|Toyota US Open Championships|PRE|False</t>
        </is>
      </c>
      <c r="AE332" s="53">
        <f>G332+L332/1000+ROW()/1000000000</f>
        <v/>
      </c>
      <c r="AF332" s="35">
        <f>IF(C332&lt;&gt;"Grayson Coulter","",COUNTIFS($C$5:$C$2991,"Grayson Coulter",$Q$5:$Q$2991,Q332,$AE$5:$AE$2991,"&lt;="&amp;AE332,$R$5:$R$2991,"&lt;"&amp;R332))</f>
        <v/>
      </c>
      <c r="AG332" s="35">
        <f>IF(OR(C332&lt;&gt;"Grayson Coulter",G332&lt;'00_Control'!$B$7),"",--(AF332&lt;5))</f>
        <v/>
      </c>
      <c r="AH332" s="35">
        <f>IF(OR(C332&lt;&gt;"Grayson Coulter",G332&lt;'00_Control'!$B$7),"",--(AF332&lt;10))</f>
        <v/>
      </c>
      <c r="AI332" s="35">
        <f>IF(AND(C332="Grayson Coulter",G332&gt;='00_Control'!$B$7),"YES","NO")</f>
        <v/>
      </c>
      <c r="AJ332" s="33" t="inlineStr">
        <is>
          <t>OK</t>
        </is>
      </c>
    </row>
    <row r="333">
      <c r="A333" s="33" t="inlineStr">
        <is>
          <t>SM000329</t>
        </is>
      </c>
      <c r="B333" s="33" t="inlineStr">
        <is>
          <t>SW010</t>
        </is>
      </c>
      <c r="C333" s="33" t="inlineStr">
        <is>
          <t>Caeleb Dressel</t>
        </is>
      </c>
      <c r="D333" s="33" t="inlineStr">
        <is>
          <t>SwimCloud</t>
        </is>
      </c>
      <c r="E333" s="33" t="inlineStr">
        <is>
          <t>2361642</t>
        </is>
      </c>
      <c r="F333" s="33" t="inlineStr">
        <is>
          <t>111674128</t>
        </is>
      </c>
      <c r="G333" s="51" t="n">
        <v>45262</v>
      </c>
      <c r="H333" s="33" t="inlineStr">
        <is>
          <t>Toyota US Open Championships</t>
        </is>
      </c>
      <c r="I333" s="33" t="inlineStr">
        <is>
          <t>275534</t>
        </is>
      </c>
      <c r="J333" s="33" t="inlineStr"/>
      <c r="K333" s="33" t="inlineStr">
        <is>
          <t>FIN</t>
        </is>
      </c>
      <c r="L333" s="35">
        <f>IF(K333="FIN",3,IF(OR(K333="SEM",K333="SEMI"),2,IF(OR(K333="PRE",K333="HEAT"),1,IF(V333="YES",4,2))))</f>
        <v/>
      </c>
      <c r="M333" s="33" t="inlineStr">
        <is>
          <t>LCM</t>
        </is>
      </c>
      <c r="N333" s="33" t="n">
        <v>100</v>
      </c>
      <c r="O333" s="33" t="inlineStr">
        <is>
          <t>Free</t>
        </is>
      </c>
      <c r="P333" s="33" t="inlineStr">
        <is>
          <t>100 Free</t>
        </is>
      </c>
      <c r="Q333" s="33" t="inlineStr">
        <is>
          <t>LCM_100_FREE</t>
        </is>
      </c>
      <c r="R333" s="36" t="n">
        <v>48.85</v>
      </c>
      <c r="S333" s="35">
        <f>IF(R333="","",IF(R333&gt;=60,INT(R333/60)&amp;":"&amp;TEXT(MOD(R333,60),"00.00"),TEXT(R333,"0.00")))</f>
        <v/>
      </c>
      <c r="T333" s="52">
        <f>IFERROR((G333-INDEX('01_Swimmers'!$E$5:$E$22,MATCH(B333,'01_Swimmers'!$A$5:$A$22,0)))/'00_Control'!$B$10,"")</f>
        <v/>
      </c>
      <c r="U333" s="35">
        <f>IF(T333="","",INT(T333))</f>
        <v/>
      </c>
      <c r="V333" s="33" t="inlineStr">
        <is>
          <t>NO</t>
        </is>
      </c>
      <c r="W333" s="33" t="inlineStr">
        <is>
          <t>YES</t>
        </is>
      </c>
      <c r="X333" s="33" t="inlineStr">
        <is>
          <t>NO</t>
        </is>
      </c>
      <c r="Y333" s="33" t="n">
        <v>2</v>
      </c>
      <c r="Z333" s="33" t="n">
        <v>3</v>
      </c>
      <c r="AA333" s="33" t="inlineStr">
        <is>
          <t>10</t>
        </is>
      </c>
      <c r="AB333" s="33" t="inlineStr">
        <is>
          <t>https://www.swimcloud.com/results/275534/event/24/?id=111674128#time111674128</t>
        </is>
      </c>
      <c r="AC333" s="33" t="inlineStr">
        <is>
          <t>SwimCloud API v6 2026-10-08</t>
        </is>
      </c>
      <c r="AD333" s="33" t="inlineStr">
        <is>
          <t>Caeleb Dressel|2023-12-02|LCM|100|Free|48.85|Toyota US Open Championships|FIN|False</t>
        </is>
      </c>
      <c r="AE333" s="53">
        <f>G333+L333/1000+ROW()/1000000000</f>
        <v/>
      </c>
      <c r="AF333" s="35">
        <f>IF(C333&lt;&gt;"Grayson Coulter","",COUNTIFS($C$5:$C$2991,"Grayson Coulter",$Q$5:$Q$2991,Q333,$AE$5:$AE$2991,"&lt;="&amp;AE333,$R$5:$R$2991,"&lt;"&amp;R333))</f>
        <v/>
      </c>
      <c r="AG333" s="35">
        <f>IF(OR(C333&lt;&gt;"Grayson Coulter",G333&lt;'00_Control'!$B$7),"",--(AF333&lt;5))</f>
        <v/>
      </c>
      <c r="AH333" s="35">
        <f>IF(OR(C333&lt;&gt;"Grayson Coulter",G333&lt;'00_Control'!$B$7),"",--(AF333&lt;10))</f>
        <v/>
      </c>
      <c r="AI333" s="35">
        <f>IF(AND(C333="Grayson Coulter",G333&gt;='00_Control'!$B$7),"YES","NO")</f>
        <v/>
      </c>
      <c r="AJ333" s="33" t="inlineStr">
        <is>
          <t>OK</t>
        </is>
      </c>
    </row>
    <row r="334">
      <c r="A334" s="33" t="inlineStr">
        <is>
          <t>SM000330</t>
        </is>
      </c>
      <c r="B334" s="33" t="inlineStr">
        <is>
          <t>SW010</t>
        </is>
      </c>
      <c r="C334" s="33" t="inlineStr">
        <is>
          <t>Caeleb Dressel</t>
        </is>
      </c>
      <c r="D334" s="33" t="inlineStr">
        <is>
          <t>SwimCloud</t>
        </is>
      </c>
      <c r="E334" s="33" t="inlineStr">
        <is>
          <t>2361642</t>
        </is>
      </c>
      <c r="F334" s="33" t="inlineStr">
        <is>
          <t>122010394</t>
        </is>
      </c>
      <c r="G334" s="51" t="n">
        <v>45358</v>
      </c>
      <c r="H334" s="33" t="inlineStr">
        <is>
          <t>TYR Pro Swim Series - Westmont</t>
        </is>
      </c>
      <c r="I334" s="33" t="inlineStr">
        <is>
          <t>274520</t>
        </is>
      </c>
      <c r="J334" s="33" t="inlineStr"/>
      <c r="K334" s="33" t="inlineStr">
        <is>
          <t>PRE</t>
        </is>
      </c>
      <c r="L334" s="35">
        <f>IF(K334="FIN",3,IF(OR(K334="SEM",K334="SEMI"),2,IF(OR(K334="PRE",K334="HEAT"),1,IF(V334="YES",4,2))))</f>
        <v/>
      </c>
      <c r="M334" s="33" t="inlineStr">
        <is>
          <t>LCM</t>
        </is>
      </c>
      <c r="N334" s="33" t="n">
        <v>100</v>
      </c>
      <c r="O334" s="33" t="inlineStr">
        <is>
          <t>Fly</t>
        </is>
      </c>
      <c r="P334" s="33" t="inlineStr">
        <is>
          <t>100 Fly</t>
        </is>
      </c>
      <c r="Q334" s="33" t="inlineStr">
        <is>
          <t>LCM_100_FLY</t>
        </is>
      </c>
      <c r="R334" s="36" t="n">
        <v>52.31</v>
      </c>
      <c r="S334" s="35">
        <f>IF(R334="","",IF(R334&gt;=60,INT(R334/60)&amp;":"&amp;TEXT(MOD(R334,60),"00.00"),TEXT(R334,"0.00")))</f>
        <v/>
      </c>
      <c r="T334" s="52">
        <f>IFERROR((G334-INDEX('01_Swimmers'!$E$5:$E$22,MATCH(B334,'01_Swimmers'!$A$5:$A$22,0)))/'00_Control'!$B$10,"")</f>
        <v/>
      </c>
      <c r="U334" s="35">
        <f>IF(T334="","",INT(T334))</f>
        <v/>
      </c>
      <c r="V334" s="33" t="inlineStr">
        <is>
          <t>NO</t>
        </is>
      </c>
      <c r="W334" s="33" t="inlineStr">
        <is>
          <t>YES</t>
        </is>
      </c>
      <c r="X334" s="33" t="inlineStr">
        <is>
          <t>NO</t>
        </is>
      </c>
      <c r="Y334" s="33" t="n">
        <v>8</v>
      </c>
      <c r="Z334" s="33" t="n">
        <v>4</v>
      </c>
      <c r="AA334" s="33" t="inlineStr">
        <is>
          <t>2</t>
        </is>
      </c>
      <c r="AB334" s="33" t="inlineStr">
        <is>
          <t>https://www.swimcloud.com/results/274520/event/8/?id=122010394#time122010394</t>
        </is>
      </c>
      <c r="AC334" s="33" t="inlineStr">
        <is>
          <t>SwimCloud API v6 2026-10-08</t>
        </is>
      </c>
      <c r="AD334" s="33" t="inlineStr">
        <is>
          <t>Caeleb Dressel|2024-03-07|LCM|100|Fly|52.31|TYR Pro Swim Series - Westmont|PRE|False</t>
        </is>
      </c>
      <c r="AE334" s="53">
        <f>G334+L334/1000+ROW()/1000000000</f>
        <v/>
      </c>
      <c r="AF334" s="35">
        <f>IF(C334&lt;&gt;"Grayson Coulter","",COUNTIFS($C$5:$C$2991,"Grayson Coulter",$Q$5:$Q$2991,Q334,$AE$5:$AE$2991,"&lt;="&amp;AE334,$R$5:$R$2991,"&lt;"&amp;R334))</f>
        <v/>
      </c>
      <c r="AG334" s="35">
        <f>IF(OR(C334&lt;&gt;"Grayson Coulter",G334&lt;'00_Control'!$B$7),"",--(AF334&lt;5))</f>
        <v/>
      </c>
      <c r="AH334" s="35">
        <f>IF(OR(C334&lt;&gt;"Grayson Coulter",G334&lt;'00_Control'!$B$7),"",--(AF334&lt;10))</f>
        <v/>
      </c>
      <c r="AI334" s="35">
        <f>IF(AND(C334="Grayson Coulter",G334&gt;='00_Control'!$B$7),"YES","NO")</f>
        <v/>
      </c>
      <c r="AJ334" s="33" t="inlineStr">
        <is>
          <t>OK</t>
        </is>
      </c>
    </row>
    <row r="335">
      <c r="A335" s="33" t="inlineStr">
        <is>
          <t>SM000331</t>
        </is>
      </c>
      <c r="B335" s="33" t="inlineStr">
        <is>
          <t>SW010</t>
        </is>
      </c>
      <c r="C335" s="33" t="inlineStr">
        <is>
          <t>Caeleb Dressel</t>
        </is>
      </c>
      <c r="D335" s="33" t="inlineStr">
        <is>
          <t>SwimCloud</t>
        </is>
      </c>
      <c r="E335" s="33" t="inlineStr">
        <is>
          <t>2361642</t>
        </is>
      </c>
      <c r="F335" s="33" t="inlineStr">
        <is>
          <t>122010393</t>
        </is>
      </c>
      <c r="G335" s="51" t="n">
        <v>45358</v>
      </c>
      <c r="H335" s="33" t="inlineStr">
        <is>
          <t>TYR Pro Swim Series - Westmont</t>
        </is>
      </c>
      <c r="I335" s="33" t="inlineStr">
        <is>
          <t>274520</t>
        </is>
      </c>
      <c r="J335" s="33" t="inlineStr"/>
      <c r="K335" s="33" t="inlineStr">
        <is>
          <t>FIN</t>
        </is>
      </c>
      <c r="L335" s="35">
        <f>IF(K335="FIN",3,IF(OR(K335="SEM",K335="SEMI"),2,IF(OR(K335="PRE",K335="HEAT"),1,IF(V335="YES",4,2))))</f>
        <v/>
      </c>
      <c r="M335" s="33" t="inlineStr">
        <is>
          <t>LCM</t>
        </is>
      </c>
      <c r="N335" s="33" t="n">
        <v>100</v>
      </c>
      <c r="O335" s="33" t="inlineStr">
        <is>
          <t>Fly</t>
        </is>
      </c>
      <c r="P335" s="33" t="inlineStr">
        <is>
          <t>100 Fly</t>
        </is>
      </c>
      <c r="Q335" s="33" t="inlineStr">
        <is>
          <t>LCM_100_FLY</t>
        </is>
      </c>
      <c r="R335" s="36" t="n">
        <v>51.27</v>
      </c>
      <c r="S335" s="35">
        <f>IF(R335="","",IF(R335&gt;=60,INT(R335/60)&amp;":"&amp;TEXT(MOD(R335,60),"00.00"),TEXT(R335,"0.00")))</f>
        <v/>
      </c>
      <c r="T335" s="52">
        <f>IFERROR((G335-INDEX('01_Swimmers'!$E$5:$E$22,MATCH(B335,'01_Swimmers'!$A$5:$A$22,0)))/'00_Control'!$B$10,"")</f>
        <v/>
      </c>
      <c r="U335" s="35">
        <f>IF(T335="","",INT(T335))</f>
        <v/>
      </c>
      <c r="V335" s="33" t="inlineStr">
        <is>
          <t>NO</t>
        </is>
      </c>
      <c r="W335" s="33" t="inlineStr">
        <is>
          <t>YES</t>
        </is>
      </c>
      <c r="X335" s="33" t="inlineStr">
        <is>
          <t>NO</t>
        </is>
      </c>
      <c r="Y335" s="33" t="n">
        <v>1</v>
      </c>
      <c r="Z335" s="33" t="n">
        <v>5</v>
      </c>
      <c r="AA335" s="33" t="inlineStr">
        <is>
          <t>1</t>
        </is>
      </c>
      <c r="AB335" s="33" t="inlineStr">
        <is>
          <t>https://www.swimcloud.com/results/274520/event/8/?id=122010393#time122010393</t>
        </is>
      </c>
      <c r="AC335" s="33" t="inlineStr">
        <is>
          <t>SwimCloud API v6 2026-10-08</t>
        </is>
      </c>
      <c r="AD335" s="33" t="inlineStr">
        <is>
          <t>Caeleb Dressel|2024-03-07|LCM|100|Fly|51.27|TYR Pro Swim Series - Westmont|FIN|False</t>
        </is>
      </c>
      <c r="AE335" s="53">
        <f>G335+L335/1000+ROW()/1000000000</f>
        <v/>
      </c>
      <c r="AF335" s="35">
        <f>IF(C335&lt;&gt;"Grayson Coulter","",COUNTIFS($C$5:$C$2991,"Grayson Coulter",$Q$5:$Q$2991,Q335,$AE$5:$AE$2991,"&lt;="&amp;AE335,$R$5:$R$2991,"&lt;"&amp;R335))</f>
        <v/>
      </c>
      <c r="AG335" s="35">
        <f>IF(OR(C335&lt;&gt;"Grayson Coulter",G335&lt;'00_Control'!$B$7),"",--(AF335&lt;5))</f>
        <v/>
      </c>
      <c r="AH335" s="35">
        <f>IF(OR(C335&lt;&gt;"Grayson Coulter",G335&lt;'00_Control'!$B$7),"",--(AF335&lt;10))</f>
        <v/>
      </c>
      <c r="AI335" s="35">
        <f>IF(AND(C335="Grayson Coulter",G335&gt;='00_Control'!$B$7),"YES","NO")</f>
        <v/>
      </c>
      <c r="AJ335" s="33" t="inlineStr">
        <is>
          <t>OK</t>
        </is>
      </c>
    </row>
    <row r="336">
      <c r="A336" s="33" t="inlineStr">
        <is>
          <t>SM000332</t>
        </is>
      </c>
      <c r="B336" s="33" t="inlineStr">
        <is>
          <t>SW010</t>
        </is>
      </c>
      <c r="C336" s="33" t="inlineStr">
        <is>
          <t>Caeleb Dressel</t>
        </is>
      </c>
      <c r="D336" s="33" t="inlineStr">
        <is>
          <t>SwimCloud</t>
        </is>
      </c>
      <c r="E336" s="33" t="inlineStr">
        <is>
          <t>2361642</t>
        </is>
      </c>
      <c r="F336" s="33" t="inlineStr">
        <is>
          <t>122010396</t>
        </is>
      </c>
      <c r="G336" s="51" t="n">
        <v>45360</v>
      </c>
      <c r="H336" s="33" t="inlineStr">
        <is>
          <t>TYR Pro Swim Series - Westmont</t>
        </is>
      </c>
      <c r="I336" s="33" t="inlineStr">
        <is>
          <t>274520</t>
        </is>
      </c>
      <c r="J336" s="33" t="inlineStr"/>
      <c r="K336" s="33" t="inlineStr">
        <is>
          <t>PRE</t>
        </is>
      </c>
      <c r="L336" s="35">
        <f>IF(K336="FIN",3,IF(OR(K336="SEM",K336="SEMI"),2,IF(OR(K336="PRE",K336="HEAT"),1,IF(V336="YES",4,2))))</f>
        <v/>
      </c>
      <c r="M336" s="33" t="inlineStr">
        <is>
          <t>LCM</t>
        </is>
      </c>
      <c r="N336" s="33" t="n">
        <v>100</v>
      </c>
      <c r="O336" s="33" t="inlineStr">
        <is>
          <t>Free</t>
        </is>
      </c>
      <c r="P336" s="33" t="inlineStr">
        <is>
          <t>100 Free</t>
        </is>
      </c>
      <c r="Q336" s="33" t="inlineStr">
        <is>
          <t>LCM_100_FREE</t>
        </is>
      </c>
      <c r="R336" s="36" t="n">
        <v>49.11</v>
      </c>
      <c r="S336" s="35">
        <f>IF(R336="","",IF(R336&gt;=60,INT(R336/60)&amp;":"&amp;TEXT(MOD(R336,60),"00.00"),TEXT(R336,"0.00")))</f>
        <v/>
      </c>
      <c r="T336" s="52">
        <f>IFERROR((G336-INDEX('01_Swimmers'!$E$5:$E$22,MATCH(B336,'01_Swimmers'!$A$5:$A$22,0)))/'00_Control'!$B$10,"")</f>
        <v/>
      </c>
      <c r="U336" s="35">
        <f>IF(T336="","",INT(T336))</f>
        <v/>
      </c>
      <c r="V336" s="33" t="inlineStr">
        <is>
          <t>NO</t>
        </is>
      </c>
      <c r="W336" s="33" t="inlineStr">
        <is>
          <t>YES</t>
        </is>
      </c>
      <c r="X336" s="33" t="inlineStr">
        <is>
          <t>NO</t>
        </is>
      </c>
      <c r="Y336" s="33" t="n">
        <v>7</v>
      </c>
      <c r="Z336" s="33" t="n">
        <v>4</v>
      </c>
      <c r="AA336" s="33" t="inlineStr">
        <is>
          <t>7</t>
        </is>
      </c>
      <c r="AB336" s="33" t="inlineStr">
        <is>
          <t>https://www.swimcloud.com/results/274520/event/28/?id=122010396#time122010396</t>
        </is>
      </c>
      <c r="AC336" s="33" t="inlineStr">
        <is>
          <t>SwimCloud API v6 2026-10-08</t>
        </is>
      </c>
      <c r="AD336" s="33" t="inlineStr">
        <is>
          <t>Caeleb Dressel|2024-03-09|LCM|100|Free|49.11|TYR Pro Swim Series - Westmont|PRE|False</t>
        </is>
      </c>
      <c r="AE336" s="53">
        <f>G336+L336/1000+ROW()/1000000000</f>
        <v/>
      </c>
      <c r="AF336" s="35">
        <f>IF(C336&lt;&gt;"Grayson Coulter","",COUNTIFS($C$5:$C$2991,"Grayson Coulter",$Q$5:$Q$2991,Q336,$AE$5:$AE$2991,"&lt;="&amp;AE336,$R$5:$R$2991,"&lt;"&amp;R336))</f>
        <v/>
      </c>
      <c r="AG336" s="35">
        <f>IF(OR(C336&lt;&gt;"Grayson Coulter",G336&lt;'00_Control'!$B$7),"",--(AF336&lt;5))</f>
        <v/>
      </c>
      <c r="AH336" s="35">
        <f>IF(OR(C336&lt;&gt;"Grayson Coulter",G336&lt;'00_Control'!$B$7),"",--(AF336&lt;10))</f>
        <v/>
      </c>
      <c r="AI336" s="35">
        <f>IF(AND(C336="Grayson Coulter",G336&gt;='00_Control'!$B$7),"YES","NO")</f>
        <v/>
      </c>
      <c r="AJ336" s="33" t="inlineStr">
        <is>
          <t>OK</t>
        </is>
      </c>
    </row>
    <row r="337">
      <c r="A337" s="33" t="inlineStr">
        <is>
          <t>SM000333</t>
        </is>
      </c>
      <c r="B337" s="33" t="inlineStr">
        <is>
          <t>SW010</t>
        </is>
      </c>
      <c r="C337" s="33" t="inlineStr">
        <is>
          <t>Caeleb Dressel</t>
        </is>
      </c>
      <c r="D337" s="33" t="inlineStr">
        <is>
          <t>SwimCloud</t>
        </is>
      </c>
      <c r="E337" s="33" t="inlineStr">
        <is>
          <t>2361642</t>
        </is>
      </c>
      <c r="F337" s="33" t="inlineStr">
        <is>
          <t>122010395</t>
        </is>
      </c>
      <c r="G337" s="51" t="n">
        <v>45360</v>
      </c>
      <c r="H337" s="33" t="inlineStr">
        <is>
          <t>TYR Pro Swim Series - Westmont</t>
        </is>
      </c>
      <c r="I337" s="33" t="inlineStr">
        <is>
          <t>274520</t>
        </is>
      </c>
      <c r="J337" s="33" t="inlineStr"/>
      <c r="K337" s="33" t="inlineStr">
        <is>
          <t>FIN</t>
        </is>
      </c>
      <c r="L337" s="35">
        <f>IF(K337="FIN",3,IF(OR(K337="SEM",K337="SEMI"),2,IF(OR(K337="PRE",K337="HEAT"),1,IF(V337="YES",4,2))))</f>
        <v/>
      </c>
      <c r="M337" s="33" t="inlineStr">
        <is>
          <t>LCM</t>
        </is>
      </c>
      <c r="N337" s="33" t="n">
        <v>100</v>
      </c>
      <c r="O337" s="33" t="inlineStr">
        <is>
          <t>Free</t>
        </is>
      </c>
      <c r="P337" s="33" t="inlineStr">
        <is>
          <t>100 Free</t>
        </is>
      </c>
      <c r="Q337" s="33" t="inlineStr">
        <is>
          <t>LCM_100_FREE</t>
        </is>
      </c>
      <c r="R337" s="36" t="n">
        <v>48.57</v>
      </c>
      <c r="S337" s="35">
        <f>IF(R337="","",IF(R337&gt;=60,INT(R337/60)&amp;":"&amp;TEXT(MOD(R337,60),"00.00"),TEXT(R337,"0.00")))</f>
        <v/>
      </c>
      <c r="T337" s="52">
        <f>IFERROR((G337-INDEX('01_Swimmers'!$E$5:$E$22,MATCH(B337,'01_Swimmers'!$A$5:$A$22,0)))/'00_Control'!$B$10,"")</f>
        <v/>
      </c>
      <c r="U337" s="35">
        <f>IF(T337="","",INT(T337))</f>
        <v/>
      </c>
      <c r="V337" s="33" t="inlineStr">
        <is>
          <t>NO</t>
        </is>
      </c>
      <c r="W337" s="33" t="inlineStr">
        <is>
          <t>YES</t>
        </is>
      </c>
      <c r="X337" s="33" t="inlineStr">
        <is>
          <t>NO</t>
        </is>
      </c>
      <c r="Y337" s="33" t="n">
        <v>1</v>
      </c>
      <c r="Z337" s="33" t="n">
        <v>1</v>
      </c>
      <c r="AA337" s="33" t="inlineStr">
        <is>
          <t>2</t>
        </is>
      </c>
      <c r="AB337" s="33" t="inlineStr">
        <is>
          <t>https://www.swimcloud.com/results/274520/event/28/?id=122010395#time122010395</t>
        </is>
      </c>
      <c r="AC337" s="33" t="inlineStr">
        <is>
          <t>SwimCloud API v6 2026-10-08</t>
        </is>
      </c>
      <c r="AD337" s="33" t="inlineStr">
        <is>
          <t>Caeleb Dressel|2024-03-09|LCM|100|Free|48.57|TYR Pro Swim Series - Westmont|FIN|False</t>
        </is>
      </c>
      <c r="AE337" s="53">
        <f>G337+L337/1000+ROW()/1000000000</f>
        <v/>
      </c>
      <c r="AF337" s="35">
        <f>IF(C337&lt;&gt;"Grayson Coulter","",COUNTIFS($C$5:$C$2991,"Grayson Coulter",$Q$5:$Q$2991,Q337,$AE$5:$AE$2991,"&lt;="&amp;AE337,$R$5:$R$2991,"&lt;"&amp;R337))</f>
        <v/>
      </c>
      <c r="AG337" s="35">
        <f>IF(OR(C337&lt;&gt;"Grayson Coulter",G337&lt;'00_Control'!$B$7),"",--(AF337&lt;5))</f>
        <v/>
      </c>
      <c r="AH337" s="35">
        <f>IF(OR(C337&lt;&gt;"Grayson Coulter",G337&lt;'00_Control'!$B$7),"",--(AF337&lt;10))</f>
        <v/>
      </c>
      <c r="AI337" s="35">
        <f>IF(AND(C337="Grayson Coulter",G337&gt;='00_Control'!$B$7),"YES","NO")</f>
        <v/>
      </c>
      <c r="AJ337" s="33" t="inlineStr">
        <is>
          <t>OK</t>
        </is>
      </c>
    </row>
    <row r="338">
      <c r="A338" s="33" t="inlineStr">
        <is>
          <t>SM000334</t>
        </is>
      </c>
      <c r="B338" s="33" t="inlineStr">
        <is>
          <t>SW010</t>
        </is>
      </c>
      <c r="C338" s="33" t="inlineStr">
        <is>
          <t>Caeleb Dressel</t>
        </is>
      </c>
      <c r="D338" s="33" t="inlineStr">
        <is>
          <t>SwimCloud</t>
        </is>
      </c>
      <c r="E338" s="33" t="inlineStr">
        <is>
          <t>2361642</t>
        </is>
      </c>
      <c r="F338" s="33" t="inlineStr">
        <is>
          <t>124634013</t>
        </is>
      </c>
      <c r="G338" s="51" t="n">
        <v>45393</v>
      </c>
      <c r="H338" s="33" t="inlineStr">
        <is>
          <t>TYR Pro Swim Series - San Antonio</t>
        </is>
      </c>
      <c r="I338" s="33" t="inlineStr">
        <is>
          <t>274521</t>
        </is>
      </c>
      <c r="J338" s="33" t="inlineStr"/>
      <c r="K338" s="33" t="inlineStr">
        <is>
          <t>PRE</t>
        </is>
      </c>
      <c r="L338" s="35">
        <f>IF(K338="FIN",3,IF(OR(K338="SEM",K338="SEMI"),2,IF(OR(K338="PRE",K338="HEAT"),1,IF(V338="YES",4,2))))</f>
        <v/>
      </c>
      <c r="M338" s="33" t="inlineStr">
        <is>
          <t>LCM</t>
        </is>
      </c>
      <c r="N338" s="33" t="n">
        <v>100</v>
      </c>
      <c r="O338" s="33" t="inlineStr">
        <is>
          <t>Free</t>
        </is>
      </c>
      <c r="P338" s="33" t="inlineStr">
        <is>
          <t>100 Free</t>
        </is>
      </c>
      <c r="Q338" s="33" t="inlineStr">
        <is>
          <t>LCM_100_FREE</t>
        </is>
      </c>
      <c r="R338" s="36" t="n">
        <v>49.1</v>
      </c>
      <c r="S338" s="35">
        <f>IF(R338="","",IF(R338&gt;=60,INT(R338/60)&amp;":"&amp;TEXT(MOD(R338,60),"00.00"),TEXT(R338,"0.00")))</f>
        <v/>
      </c>
      <c r="T338" s="52">
        <f>IFERROR((G338-INDEX('01_Swimmers'!$E$5:$E$22,MATCH(B338,'01_Swimmers'!$A$5:$A$22,0)))/'00_Control'!$B$10,"")</f>
        <v/>
      </c>
      <c r="U338" s="35">
        <f>IF(T338="","",INT(T338))</f>
        <v/>
      </c>
      <c r="V338" s="33" t="inlineStr">
        <is>
          <t>NO</t>
        </is>
      </c>
      <c r="W338" s="33" t="inlineStr">
        <is>
          <t>YES</t>
        </is>
      </c>
      <c r="X338" s="33" t="inlineStr">
        <is>
          <t>NO</t>
        </is>
      </c>
      <c r="Y338" s="33" t="n">
        <v>15</v>
      </c>
      <c r="Z338" s="33" t="n">
        <v>4</v>
      </c>
      <c r="AA338" s="33" t="inlineStr">
        <is>
          <t>8</t>
        </is>
      </c>
      <c r="AB338" s="33" t="inlineStr">
        <is>
          <t>https://www.swimcloud.com/results/274521/event/4/?id=124634013#time124634013</t>
        </is>
      </c>
      <c r="AC338" s="33" t="inlineStr">
        <is>
          <t>SwimCloud API v6 2026-10-08</t>
        </is>
      </c>
      <c r="AD338" s="33" t="inlineStr">
        <is>
          <t>Caeleb Dressel|2024-04-11|LCM|100|Free|49.1|TYR Pro Swim Series - San Antonio|PRE|False</t>
        </is>
      </c>
      <c r="AE338" s="53">
        <f>G338+L338/1000+ROW()/1000000000</f>
        <v/>
      </c>
      <c r="AF338" s="35">
        <f>IF(C338&lt;&gt;"Grayson Coulter","",COUNTIFS($C$5:$C$2991,"Grayson Coulter",$Q$5:$Q$2991,Q338,$AE$5:$AE$2991,"&lt;="&amp;AE338,$R$5:$R$2991,"&lt;"&amp;R338))</f>
        <v/>
      </c>
      <c r="AG338" s="35">
        <f>IF(OR(C338&lt;&gt;"Grayson Coulter",G338&lt;'00_Control'!$B$7),"",--(AF338&lt;5))</f>
        <v/>
      </c>
      <c r="AH338" s="35">
        <f>IF(OR(C338&lt;&gt;"Grayson Coulter",G338&lt;'00_Control'!$B$7),"",--(AF338&lt;10))</f>
        <v/>
      </c>
      <c r="AI338" s="35">
        <f>IF(AND(C338="Grayson Coulter",G338&gt;='00_Control'!$B$7),"YES","NO")</f>
        <v/>
      </c>
      <c r="AJ338" s="33" t="inlineStr">
        <is>
          <t>OK</t>
        </is>
      </c>
    </row>
    <row r="339">
      <c r="A339" s="33" t="inlineStr">
        <is>
          <t>SM000335</t>
        </is>
      </c>
      <c r="B339" s="33" t="inlineStr">
        <is>
          <t>SW010</t>
        </is>
      </c>
      <c r="C339" s="33" t="inlineStr">
        <is>
          <t>Caeleb Dressel</t>
        </is>
      </c>
      <c r="D339" s="33" t="inlineStr">
        <is>
          <t>SwimCloud</t>
        </is>
      </c>
      <c r="E339" s="33" t="inlineStr">
        <is>
          <t>2361642</t>
        </is>
      </c>
      <c r="F339" s="33" t="inlineStr">
        <is>
          <t>124634014</t>
        </is>
      </c>
      <c r="G339" s="51" t="n">
        <v>45393</v>
      </c>
      <c r="H339" s="33" t="inlineStr">
        <is>
          <t>TYR Pro Swim Series - San Antonio</t>
        </is>
      </c>
      <c r="I339" s="33" t="inlineStr">
        <is>
          <t>274521</t>
        </is>
      </c>
      <c r="J339" s="33" t="inlineStr"/>
      <c r="K339" s="33" t="inlineStr">
        <is>
          <t>FIN</t>
        </is>
      </c>
      <c r="L339" s="35">
        <f>IF(K339="FIN",3,IF(OR(K339="SEM",K339="SEMI"),2,IF(OR(K339="PRE",K339="HEAT"),1,IF(V339="YES",4,2))))</f>
        <v/>
      </c>
      <c r="M339" s="33" t="inlineStr">
        <is>
          <t>LCM</t>
        </is>
      </c>
      <c r="N339" s="33" t="n">
        <v>100</v>
      </c>
      <c r="O339" s="33" t="inlineStr">
        <is>
          <t>Free</t>
        </is>
      </c>
      <c r="P339" s="33" t="inlineStr">
        <is>
          <t>100 Free</t>
        </is>
      </c>
      <c r="Q339" s="33" t="inlineStr">
        <is>
          <t>LCM_100_FREE</t>
        </is>
      </c>
      <c r="R339" s="36" t="n">
        <v>48.4</v>
      </c>
      <c r="S339" s="35">
        <f>IF(R339="","",IF(R339&gt;=60,INT(R339/60)&amp;":"&amp;TEXT(MOD(R339,60),"00.00"),TEXT(R339,"0.00")))</f>
        <v/>
      </c>
      <c r="T339" s="52">
        <f>IFERROR((G339-INDEX('01_Swimmers'!$E$5:$E$22,MATCH(B339,'01_Swimmers'!$A$5:$A$22,0)))/'00_Control'!$B$10,"")</f>
        <v/>
      </c>
      <c r="U339" s="35">
        <f>IF(T339="","",INT(T339))</f>
        <v/>
      </c>
      <c r="V339" s="33" t="inlineStr">
        <is>
          <t>NO</t>
        </is>
      </c>
      <c r="W339" s="33" t="inlineStr">
        <is>
          <t>YES</t>
        </is>
      </c>
      <c r="X339" s="33" t="inlineStr">
        <is>
          <t>NO</t>
        </is>
      </c>
      <c r="Y339" s="33" t="n">
        <v>2</v>
      </c>
      <c r="Z339" s="33" t="n">
        <v>8</v>
      </c>
      <c r="AA339" s="33" t="inlineStr">
        <is>
          <t>1</t>
        </is>
      </c>
      <c r="AB339" s="33" t="inlineStr">
        <is>
          <t>https://www.swimcloud.com/results/274521/event/4/?id=124634014#time124634014</t>
        </is>
      </c>
      <c r="AC339" s="33" t="inlineStr">
        <is>
          <t>SwimCloud API v6 2026-10-08</t>
        </is>
      </c>
      <c r="AD339" s="33" t="inlineStr">
        <is>
          <t>Caeleb Dressel|2024-04-11|LCM|100|Free|48.4|TYR Pro Swim Series - San Antonio|FIN|False</t>
        </is>
      </c>
      <c r="AE339" s="53">
        <f>G339+L339/1000+ROW()/1000000000</f>
        <v/>
      </c>
      <c r="AF339" s="35">
        <f>IF(C339&lt;&gt;"Grayson Coulter","",COUNTIFS($C$5:$C$2991,"Grayson Coulter",$Q$5:$Q$2991,Q339,$AE$5:$AE$2991,"&lt;="&amp;AE339,$R$5:$R$2991,"&lt;"&amp;R339))</f>
        <v/>
      </c>
      <c r="AG339" s="35">
        <f>IF(OR(C339&lt;&gt;"Grayson Coulter",G339&lt;'00_Control'!$B$7),"",--(AF339&lt;5))</f>
        <v/>
      </c>
      <c r="AH339" s="35">
        <f>IF(OR(C339&lt;&gt;"Grayson Coulter",G339&lt;'00_Control'!$B$7),"",--(AF339&lt;10))</f>
        <v/>
      </c>
      <c r="AI339" s="35">
        <f>IF(AND(C339="Grayson Coulter",G339&gt;='00_Control'!$B$7),"YES","NO")</f>
        <v/>
      </c>
      <c r="AJ339" s="33" t="inlineStr">
        <is>
          <t>OK</t>
        </is>
      </c>
    </row>
    <row r="340">
      <c r="A340" s="33" t="inlineStr">
        <is>
          <t>SM000336</t>
        </is>
      </c>
      <c r="B340" s="33" t="inlineStr">
        <is>
          <t>SW010</t>
        </is>
      </c>
      <c r="C340" s="33" t="inlineStr">
        <is>
          <t>Caeleb Dressel</t>
        </is>
      </c>
      <c r="D340" s="33" t="inlineStr">
        <is>
          <t>SwimCloud</t>
        </is>
      </c>
      <c r="E340" s="33" t="inlineStr">
        <is>
          <t>2361642</t>
        </is>
      </c>
      <c r="F340" s="33" t="inlineStr">
        <is>
          <t>124632597</t>
        </is>
      </c>
      <c r="G340" s="51" t="n">
        <v>45394</v>
      </c>
      <c r="H340" s="33" t="inlineStr">
        <is>
          <t>TYR Pro Swim Series - San Antonio</t>
        </is>
      </c>
      <c r="I340" s="33" t="inlineStr">
        <is>
          <t>274521</t>
        </is>
      </c>
      <c r="J340" s="33" t="inlineStr"/>
      <c r="K340" s="33" t="inlineStr">
        <is>
          <t>PRE</t>
        </is>
      </c>
      <c r="L340" s="35">
        <f>IF(K340="FIN",3,IF(OR(K340="SEM",K340="SEMI"),2,IF(OR(K340="PRE",K340="HEAT"),1,IF(V340="YES",4,2))))</f>
        <v/>
      </c>
      <c r="M340" s="33" t="inlineStr">
        <is>
          <t>LCM</t>
        </is>
      </c>
      <c r="N340" s="33" t="n">
        <v>100</v>
      </c>
      <c r="O340" s="33" t="inlineStr">
        <is>
          <t>Fly</t>
        </is>
      </c>
      <c r="P340" s="33" t="inlineStr">
        <is>
          <t>100 Fly</t>
        </is>
      </c>
      <c r="Q340" s="33" t="inlineStr">
        <is>
          <t>LCM_100_FLY</t>
        </is>
      </c>
      <c r="R340" s="36" t="n">
        <v>51.41</v>
      </c>
      <c r="S340" s="35">
        <f>IF(R340="","",IF(R340&gt;=60,INT(R340/60)&amp;":"&amp;TEXT(MOD(R340,60),"00.00"),TEXT(R340,"0.00")))</f>
        <v/>
      </c>
      <c r="T340" s="52">
        <f>IFERROR((G340-INDEX('01_Swimmers'!$E$5:$E$22,MATCH(B340,'01_Swimmers'!$A$5:$A$22,0)))/'00_Control'!$B$10,"")</f>
        <v/>
      </c>
      <c r="U340" s="35">
        <f>IF(T340="","",INT(T340))</f>
        <v/>
      </c>
      <c r="V340" s="33" t="inlineStr">
        <is>
          <t>NO</t>
        </is>
      </c>
      <c r="W340" s="33" t="inlineStr">
        <is>
          <t>YES</t>
        </is>
      </c>
      <c r="X340" s="33" t="inlineStr">
        <is>
          <t>NO</t>
        </is>
      </c>
      <c r="Y340" s="33" t="n">
        <v>12</v>
      </c>
      <c r="Z340" s="33" t="n">
        <v>4</v>
      </c>
      <c r="AA340" s="33" t="inlineStr">
        <is>
          <t>2</t>
        </is>
      </c>
      <c r="AB340" s="33" t="inlineStr">
        <is>
          <t>https://www.swimcloud.com/results/274521/event/18/?id=124632597#time124632597</t>
        </is>
      </c>
      <c r="AC340" s="33" t="inlineStr">
        <is>
          <t>SwimCloud API v6 2026-10-08</t>
        </is>
      </c>
      <c r="AD340" s="33" t="inlineStr">
        <is>
          <t>Caeleb Dressel|2024-04-12|LCM|100|Fly|51.41|TYR Pro Swim Series - San Antonio|PRE|False</t>
        </is>
      </c>
      <c r="AE340" s="53">
        <f>G340+L340/1000+ROW()/1000000000</f>
        <v/>
      </c>
      <c r="AF340" s="35">
        <f>IF(C340&lt;&gt;"Grayson Coulter","",COUNTIFS($C$5:$C$2991,"Grayson Coulter",$Q$5:$Q$2991,Q340,$AE$5:$AE$2991,"&lt;="&amp;AE340,$R$5:$R$2991,"&lt;"&amp;R340))</f>
        <v/>
      </c>
      <c r="AG340" s="35">
        <f>IF(OR(C340&lt;&gt;"Grayson Coulter",G340&lt;'00_Control'!$B$7),"",--(AF340&lt;5))</f>
        <v/>
      </c>
      <c r="AH340" s="35">
        <f>IF(OR(C340&lt;&gt;"Grayson Coulter",G340&lt;'00_Control'!$B$7),"",--(AF340&lt;10))</f>
        <v/>
      </c>
      <c r="AI340" s="35">
        <f>IF(AND(C340="Grayson Coulter",G340&gt;='00_Control'!$B$7),"YES","NO")</f>
        <v/>
      </c>
      <c r="AJ340" s="33" t="inlineStr">
        <is>
          <t>OK</t>
        </is>
      </c>
    </row>
    <row r="341">
      <c r="A341" s="33" t="inlineStr">
        <is>
          <t>SM000337</t>
        </is>
      </c>
      <c r="B341" s="33" t="inlineStr">
        <is>
          <t>SW010</t>
        </is>
      </c>
      <c r="C341" s="33" t="inlineStr">
        <is>
          <t>Caeleb Dressel</t>
        </is>
      </c>
      <c r="D341" s="33" t="inlineStr">
        <is>
          <t>SwimCloud</t>
        </is>
      </c>
      <c r="E341" s="33" t="inlineStr">
        <is>
          <t>2361642</t>
        </is>
      </c>
      <c r="F341" s="33" t="inlineStr">
        <is>
          <t>124632598</t>
        </is>
      </c>
      <c r="G341" s="51" t="n">
        <v>45394</v>
      </c>
      <c r="H341" s="33" t="inlineStr">
        <is>
          <t>TYR Pro Swim Series - San Antonio</t>
        </is>
      </c>
      <c r="I341" s="33" t="inlineStr">
        <is>
          <t>274521</t>
        </is>
      </c>
      <c r="J341" s="33" t="inlineStr"/>
      <c r="K341" s="33" t="inlineStr">
        <is>
          <t>FIN</t>
        </is>
      </c>
      <c r="L341" s="35">
        <f>IF(K341="FIN",3,IF(OR(K341="SEM",K341="SEMI"),2,IF(OR(K341="PRE",K341="HEAT"),1,IF(V341="YES",4,2))))</f>
        <v/>
      </c>
      <c r="M341" s="33" t="inlineStr">
        <is>
          <t>LCM</t>
        </is>
      </c>
      <c r="N341" s="33" t="n">
        <v>100</v>
      </c>
      <c r="O341" s="33" t="inlineStr">
        <is>
          <t>Fly</t>
        </is>
      </c>
      <c r="P341" s="33" t="inlineStr">
        <is>
          <t>100 Fly</t>
        </is>
      </c>
      <c r="Q341" s="33" t="inlineStr">
        <is>
          <t>LCM_100_FLY</t>
        </is>
      </c>
      <c r="R341" s="36" t="n">
        <v>50.84</v>
      </c>
      <c r="S341" s="35">
        <f>IF(R341="","",IF(R341&gt;=60,INT(R341/60)&amp;":"&amp;TEXT(MOD(R341,60),"00.00"),TEXT(R341,"0.00")))</f>
        <v/>
      </c>
      <c r="T341" s="52">
        <f>IFERROR((G341-INDEX('01_Swimmers'!$E$5:$E$22,MATCH(B341,'01_Swimmers'!$A$5:$A$22,0)))/'00_Control'!$B$10,"")</f>
        <v/>
      </c>
      <c r="U341" s="35">
        <f>IF(T341="","",INT(T341))</f>
        <v/>
      </c>
      <c r="V341" s="33" t="inlineStr">
        <is>
          <t>NO</t>
        </is>
      </c>
      <c r="W341" s="33" t="inlineStr">
        <is>
          <t>YES</t>
        </is>
      </c>
      <c r="X341" s="33" t="inlineStr">
        <is>
          <t>NO</t>
        </is>
      </c>
      <c r="Y341" s="33" t="n">
        <v>2</v>
      </c>
      <c r="Z341" s="33" t="n">
        <v>5</v>
      </c>
      <c r="AA341" s="33" t="inlineStr">
        <is>
          <t>1</t>
        </is>
      </c>
      <c r="AB341" s="33" t="inlineStr">
        <is>
          <t>https://www.swimcloud.com/results/274521/event/18/?id=124632598#time124632598</t>
        </is>
      </c>
      <c r="AC341" s="33" t="inlineStr">
        <is>
          <t>SwimCloud API v6 2026-10-08</t>
        </is>
      </c>
      <c r="AD341" s="33" t="inlineStr">
        <is>
          <t>Caeleb Dressel|2024-04-12|LCM|100|Fly|50.84|TYR Pro Swim Series - San Antonio|FIN|False</t>
        </is>
      </c>
      <c r="AE341" s="53">
        <f>G341+L341/1000+ROW()/1000000000</f>
        <v/>
      </c>
      <c r="AF341" s="35">
        <f>IF(C341&lt;&gt;"Grayson Coulter","",COUNTIFS($C$5:$C$2991,"Grayson Coulter",$Q$5:$Q$2991,Q341,$AE$5:$AE$2991,"&lt;="&amp;AE341,$R$5:$R$2991,"&lt;"&amp;R341))</f>
        <v/>
      </c>
      <c r="AG341" s="35">
        <f>IF(OR(C341&lt;&gt;"Grayson Coulter",G341&lt;'00_Control'!$B$7),"",--(AF341&lt;5))</f>
        <v/>
      </c>
      <c r="AH341" s="35">
        <f>IF(OR(C341&lt;&gt;"Grayson Coulter",G341&lt;'00_Control'!$B$7),"",--(AF341&lt;10))</f>
        <v/>
      </c>
      <c r="AI341" s="35">
        <f>IF(AND(C341="Grayson Coulter",G341&gt;='00_Control'!$B$7),"YES","NO")</f>
        <v/>
      </c>
      <c r="AJ341" s="33" t="inlineStr">
        <is>
          <t>OK</t>
        </is>
      </c>
    </row>
    <row r="342">
      <c r="A342" s="33" t="inlineStr">
        <is>
          <t>SM000338</t>
        </is>
      </c>
      <c r="B342" s="33" t="inlineStr">
        <is>
          <t>SW010</t>
        </is>
      </c>
      <c r="C342" s="33" t="inlineStr">
        <is>
          <t>Caeleb Dressel</t>
        </is>
      </c>
      <c r="D342" s="33" t="inlineStr">
        <is>
          <t>SwimCloud</t>
        </is>
      </c>
      <c r="E342" s="33" t="inlineStr">
        <is>
          <t>2361642</t>
        </is>
      </c>
      <c r="F342" s="33" t="inlineStr">
        <is>
          <t>126334666</t>
        </is>
      </c>
      <c r="G342" s="51" t="n">
        <v>45428</v>
      </c>
      <c r="H342" s="33" t="inlineStr">
        <is>
          <t>GA SA Atlanta Classic Driven by Jim Ellis Cadillac</t>
        </is>
      </c>
      <c r="I342" s="33" t="inlineStr">
        <is>
          <t>274527</t>
        </is>
      </c>
      <c r="J342" s="33" t="inlineStr"/>
      <c r="K342" s="33" t="inlineStr">
        <is>
          <t>PRE</t>
        </is>
      </c>
      <c r="L342" s="35">
        <f>IF(K342="FIN",3,IF(OR(K342="SEM",K342="SEMI"),2,IF(OR(K342="PRE",K342="HEAT"),1,IF(V342="YES",4,2))))</f>
        <v/>
      </c>
      <c r="M342" s="33" t="inlineStr">
        <is>
          <t>LCM</t>
        </is>
      </c>
      <c r="N342" s="33" t="n">
        <v>100</v>
      </c>
      <c r="O342" s="33" t="inlineStr">
        <is>
          <t>Free</t>
        </is>
      </c>
      <c r="P342" s="33" t="inlineStr">
        <is>
          <t>100 Free</t>
        </is>
      </c>
      <c r="Q342" s="33" t="inlineStr">
        <is>
          <t>LCM_100_FREE</t>
        </is>
      </c>
      <c r="R342" s="36" t="n">
        <v>48.69</v>
      </c>
      <c r="S342" s="35">
        <f>IF(R342="","",IF(R342&gt;=60,INT(R342/60)&amp;":"&amp;TEXT(MOD(R342,60),"00.00"),TEXT(R342,"0.00")))</f>
        <v/>
      </c>
      <c r="T342" s="52">
        <f>IFERROR((G342-INDEX('01_Swimmers'!$E$5:$E$22,MATCH(B342,'01_Swimmers'!$A$5:$A$22,0)))/'00_Control'!$B$10,"")</f>
        <v/>
      </c>
      <c r="U342" s="35">
        <f>IF(T342="","",INT(T342))</f>
        <v/>
      </c>
      <c r="V342" s="33" t="inlineStr">
        <is>
          <t>NO</t>
        </is>
      </c>
      <c r="W342" s="33" t="inlineStr">
        <is>
          <t>YES</t>
        </is>
      </c>
      <c r="X342" s="33" t="inlineStr">
        <is>
          <t>NO</t>
        </is>
      </c>
      <c r="Y342" s="33" t="n">
        <v>12</v>
      </c>
      <c r="Z342" s="33" t="n">
        <v>4</v>
      </c>
      <c r="AA342" s="33" t="inlineStr">
        <is>
          <t>1</t>
        </is>
      </c>
      <c r="AB342" s="33" t="inlineStr">
        <is>
          <t>https://www.swimcloud.com/results/274527/event/4/?id=126334666#time126334666</t>
        </is>
      </c>
      <c r="AC342" s="33" t="inlineStr">
        <is>
          <t>SwimCloud API v6 2026-10-08</t>
        </is>
      </c>
      <c r="AD342" s="33" t="inlineStr">
        <is>
          <t>Caeleb Dressel|2024-05-16|LCM|100|Free|48.69|GA SA Atlanta Classic Driven by Jim Ellis Cadillac|PRE|False</t>
        </is>
      </c>
      <c r="AE342" s="53">
        <f>G342+L342/1000+ROW()/1000000000</f>
        <v/>
      </c>
      <c r="AF342" s="35">
        <f>IF(C342&lt;&gt;"Grayson Coulter","",COUNTIFS($C$5:$C$2991,"Grayson Coulter",$Q$5:$Q$2991,Q342,$AE$5:$AE$2991,"&lt;="&amp;AE342,$R$5:$R$2991,"&lt;"&amp;R342))</f>
        <v/>
      </c>
      <c r="AG342" s="35">
        <f>IF(OR(C342&lt;&gt;"Grayson Coulter",G342&lt;'00_Control'!$B$7),"",--(AF342&lt;5))</f>
        <v/>
      </c>
      <c r="AH342" s="35">
        <f>IF(OR(C342&lt;&gt;"Grayson Coulter",G342&lt;'00_Control'!$B$7),"",--(AF342&lt;10))</f>
        <v/>
      </c>
      <c r="AI342" s="35">
        <f>IF(AND(C342="Grayson Coulter",G342&gt;='00_Control'!$B$7),"YES","NO")</f>
        <v/>
      </c>
      <c r="AJ342" s="33" t="inlineStr">
        <is>
          <t>OK</t>
        </is>
      </c>
    </row>
    <row r="343">
      <c r="A343" s="33" t="inlineStr">
        <is>
          <t>SM000339</t>
        </is>
      </c>
      <c r="B343" s="33" t="inlineStr">
        <is>
          <t>SW010</t>
        </is>
      </c>
      <c r="C343" s="33" t="inlineStr">
        <is>
          <t>Caeleb Dressel</t>
        </is>
      </c>
      <c r="D343" s="33" t="inlineStr">
        <is>
          <t>SwimCloud</t>
        </is>
      </c>
      <c r="E343" s="33" t="inlineStr">
        <is>
          <t>2361642</t>
        </is>
      </c>
      <c r="F343" s="33" t="inlineStr">
        <is>
          <t>126334667</t>
        </is>
      </c>
      <c r="G343" s="51" t="n">
        <v>45428</v>
      </c>
      <c r="H343" s="33" t="inlineStr">
        <is>
          <t>GA SA Atlanta Classic Driven by Jim Ellis Cadillac</t>
        </is>
      </c>
      <c r="I343" s="33" t="inlineStr">
        <is>
          <t>274527</t>
        </is>
      </c>
      <c r="J343" s="33" t="inlineStr"/>
      <c r="K343" s="33" t="inlineStr">
        <is>
          <t>FIN</t>
        </is>
      </c>
      <c r="L343" s="35">
        <f>IF(K343="FIN",3,IF(OR(K343="SEM",K343="SEMI"),2,IF(OR(K343="PRE",K343="HEAT"),1,IF(V343="YES",4,2))))</f>
        <v/>
      </c>
      <c r="M343" s="33" t="inlineStr">
        <is>
          <t>LCM</t>
        </is>
      </c>
      <c r="N343" s="33" t="n">
        <v>100</v>
      </c>
      <c r="O343" s="33" t="inlineStr">
        <is>
          <t>Free</t>
        </is>
      </c>
      <c r="P343" s="33" t="inlineStr">
        <is>
          <t>100 Free</t>
        </is>
      </c>
      <c r="Q343" s="33" t="inlineStr">
        <is>
          <t>LCM_100_FREE</t>
        </is>
      </c>
      <c r="R343" s="36" t="n">
        <v>48.3</v>
      </c>
      <c r="S343" s="35">
        <f>IF(R343="","",IF(R343&gt;=60,INT(R343/60)&amp;":"&amp;TEXT(MOD(R343,60),"00.00"),TEXT(R343,"0.00")))</f>
        <v/>
      </c>
      <c r="T343" s="52">
        <f>IFERROR((G343-INDEX('01_Swimmers'!$E$5:$E$22,MATCH(B343,'01_Swimmers'!$A$5:$A$22,0)))/'00_Control'!$B$10,"")</f>
        <v/>
      </c>
      <c r="U343" s="35">
        <f>IF(T343="","",INT(T343))</f>
        <v/>
      </c>
      <c r="V343" s="33" t="inlineStr">
        <is>
          <t>NO</t>
        </is>
      </c>
      <c r="W343" s="33" t="inlineStr">
        <is>
          <t>YES</t>
        </is>
      </c>
      <c r="X343" s="33" t="inlineStr">
        <is>
          <t>NO</t>
        </is>
      </c>
      <c r="Y343" s="33" t="n">
        <v>4</v>
      </c>
      <c r="Z343" s="33" t="n">
        <v>4</v>
      </c>
      <c r="AA343" s="33" t="inlineStr">
        <is>
          <t>1</t>
        </is>
      </c>
      <c r="AB343" s="33" t="inlineStr">
        <is>
          <t>https://www.swimcloud.com/results/274527/event/4/?id=126334667#time126334667</t>
        </is>
      </c>
      <c r="AC343" s="33" t="inlineStr">
        <is>
          <t>SwimCloud API v6 2026-10-08</t>
        </is>
      </c>
      <c r="AD343" s="33" t="inlineStr">
        <is>
          <t>Caeleb Dressel|2024-05-16|LCM|100|Free|48.3|GA SA Atlanta Classic Driven by Jim Ellis Cadillac|FIN|False</t>
        </is>
      </c>
      <c r="AE343" s="53">
        <f>G343+L343/1000+ROW()/1000000000</f>
        <v/>
      </c>
      <c r="AF343" s="35">
        <f>IF(C343&lt;&gt;"Grayson Coulter","",COUNTIFS($C$5:$C$2991,"Grayson Coulter",$Q$5:$Q$2991,Q343,$AE$5:$AE$2991,"&lt;="&amp;AE343,$R$5:$R$2991,"&lt;"&amp;R343))</f>
        <v/>
      </c>
      <c r="AG343" s="35">
        <f>IF(OR(C343&lt;&gt;"Grayson Coulter",G343&lt;'00_Control'!$B$7),"",--(AF343&lt;5))</f>
        <v/>
      </c>
      <c r="AH343" s="35">
        <f>IF(OR(C343&lt;&gt;"Grayson Coulter",G343&lt;'00_Control'!$B$7),"",--(AF343&lt;10))</f>
        <v/>
      </c>
      <c r="AI343" s="35">
        <f>IF(AND(C343="Grayson Coulter",G343&gt;='00_Control'!$B$7),"YES","NO")</f>
        <v/>
      </c>
      <c r="AJ343" s="33" t="inlineStr">
        <is>
          <t>OK</t>
        </is>
      </c>
    </row>
    <row r="344">
      <c r="A344" s="33" t="inlineStr">
        <is>
          <t>SM000340</t>
        </is>
      </c>
      <c r="B344" s="33" t="inlineStr">
        <is>
          <t>SW010</t>
        </is>
      </c>
      <c r="C344" s="33" t="inlineStr">
        <is>
          <t>Caeleb Dressel</t>
        </is>
      </c>
      <c r="D344" s="33" t="inlineStr">
        <is>
          <t>SwimCloud</t>
        </is>
      </c>
      <c r="E344" s="33" t="inlineStr">
        <is>
          <t>2361642</t>
        </is>
      </c>
      <c r="F344" s="33" t="inlineStr">
        <is>
          <t>126333511</t>
        </is>
      </c>
      <c r="G344" s="51" t="n">
        <v>45429</v>
      </c>
      <c r="H344" s="33" t="inlineStr">
        <is>
          <t>GA SA Atlanta Classic Driven by Jim Ellis Cadillac</t>
        </is>
      </c>
      <c r="I344" s="33" t="inlineStr">
        <is>
          <t>274527</t>
        </is>
      </c>
      <c r="J344" s="33" t="inlineStr"/>
      <c r="K344" s="33" t="inlineStr">
        <is>
          <t>PRE</t>
        </is>
      </c>
      <c r="L344" s="35">
        <f>IF(K344="FIN",3,IF(OR(K344="SEM",K344="SEMI"),2,IF(OR(K344="PRE",K344="HEAT"),1,IF(V344="YES",4,2))))</f>
        <v/>
      </c>
      <c r="M344" s="33" t="inlineStr">
        <is>
          <t>LCM</t>
        </is>
      </c>
      <c r="N344" s="33" t="n">
        <v>100</v>
      </c>
      <c r="O344" s="33" t="inlineStr">
        <is>
          <t>Fly</t>
        </is>
      </c>
      <c r="P344" s="33" t="inlineStr">
        <is>
          <t>100 Fly</t>
        </is>
      </c>
      <c r="Q344" s="33" t="inlineStr">
        <is>
          <t>LCM_100_FLY</t>
        </is>
      </c>
      <c r="R344" s="36" t="n">
        <v>52.17</v>
      </c>
      <c r="S344" s="35">
        <f>IF(R344="","",IF(R344&gt;=60,INT(R344/60)&amp;":"&amp;TEXT(MOD(R344,60),"00.00"),TEXT(R344,"0.00")))</f>
        <v/>
      </c>
      <c r="T344" s="52">
        <f>IFERROR((G344-INDEX('01_Swimmers'!$E$5:$E$22,MATCH(B344,'01_Swimmers'!$A$5:$A$22,0)))/'00_Control'!$B$10,"")</f>
        <v/>
      </c>
      <c r="U344" s="35">
        <f>IF(T344="","",INT(T344))</f>
        <v/>
      </c>
      <c r="V344" s="33" t="inlineStr">
        <is>
          <t>NO</t>
        </is>
      </c>
      <c r="W344" s="33" t="inlineStr">
        <is>
          <t>YES</t>
        </is>
      </c>
      <c r="X344" s="33" t="inlineStr">
        <is>
          <t>NO</t>
        </is>
      </c>
      <c r="Y344" s="33" t="n">
        <v>12</v>
      </c>
      <c r="Z344" s="33" t="n">
        <v>4</v>
      </c>
      <c r="AA344" s="33" t="inlineStr">
        <is>
          <t>2</t>
        </is>
      </c>
      <c r="AB344" s="33" t="inlineStr">
        <is>
          <t>https://www.swimcloud.com/results/274527/event/18/?id=126333511#time126333511</t>
        </is>
      </c>
      <c r="AC344" s="33" t="inlineStr">
        <is>
          <t>SwimCloud API v6 2026-10-08</t>
        </is>
      </c>
      <c r="AD344" s="33" t="inlineStr">
        <is>
          <t>Caeleb Dressel|2024-05-17|LCM|100|Fly|52.17|GA SA Atlanta Classic Driven by Jim Ellis Cadillac|PRE|False</t>
        </is>
      </c>
      <c r="AE344" s="53">
        <f>G344+L344/1000+ROW()/1000000000</f>
        <v/>
      </c>
      <c r="AF344" s="35">
        <f>IF(C344&lt;&gt;"Grayson Coulter","",COUNTIFS($C$5:$C$2991,"Grayson Coulter",$Q$5:$Q$2991,Q344,$AE$5:$AE$2991,"&lt;="&amp;AE344,$R$5:$R$2991,"&lt;"&amp;R344))</f>
        <v/>
      </c>
      <c r="AG344" s="35">
        <f>IF(OR(C344&lt;&gt;"Grayson Coulter",G344&lt;'00_Control'!$B$7),"",--(AF344&lt;5))</f>
        <v/>
      </c>
      <c r="AH344" s="35">
        <f>IF(OR(C344&lt;&gt;"Grayson Coulter",G344&lt;'00_Control'!$B$7),"",--(AF344&lt;10))</f>
        <v/>
      </c>
      <c r="AI344" s="35">
        <f>IF(AND(C344="Grayson Coulter",G344&gt;='00_Control'!$B$7),"YES","NO")</f>
        <v/>
      </c>
      <c r="AJ344" s="33" t="inlineStr">
        <is>
          <t>OK</t>
        </is>
      </c>
    </row>
    <row r="345">
      <c r="A345" s="33" t="inlineStr">
        <is>
          <t>SM000341</t>
        </is>
      </c>
      <c r="B345" s="33" t="inlineStr">
        <is>
          <t>SW010</t>
        </is>
      </c>
      <c r="C345" s="33" t="inlineStr">
        <is>
          <t>Caeleb Dressel</t>
        </is>
      </c>
      <c r="D345" s="33" t="inlineStr">
        <is>
          <t>SwimCloud</t>
        </is>
      </c>
      <c r="E345" s="33" t="inlineStr">
        <is>
          <t>2361642</t>
        </is>
      </c>
      <c r="F345" s="33" t="inlineStr">
        <is>
          <t>126333512</t>
        </is>
      </c>
      <c r="G345" s="51" t="n">
        <v>45429</v>
      </c>
      <c r="H345" s="33" t="inlineStr">
        <is>
          <t>GA SA Atlanta Classic Driven by Jim Ellis Cadillac</t>
        </is>
      </c>
      <c r="I345" s="33" t="inlineStr">
        <is>
          <t>274527</t>
        </is>
      </c>
      <c r="J345" s="33" t="inlineStr"/>
      <c r="K345" s="33" t="inlineStr">
        <is>
          <t>FIN</t>
        </is>
      </c>
      <c r="L345" s="35">
        <f>IF(K345="FIN",3,IF(OR(K345="SEM",K345="SEMI"),2,IF(OR(K345="PRE",K345="HEAT"),1,IF(V345="YES",4,2))))</f>
        <v/>
      </c>
      <c r="M345" s="33" t="inlineStr">
        <is>
          <t>LCM</t>
        </is>
      </c>
      <c r="N345" s="33" t="n">
        <v>100</v>
      </c>
      <c r="O345" s="33" t="inlineStr">
        <is>
          <t>Fly</t>
        </is>
      </c>
      <c r="P345" s="33" t="inlineStr">
        <is>
          <t>100 Fly</t>
        </is>
      </c>
      <c r="Q345" s="33" t="inlineStr">
        <is>
          <t>LCM_100_FLY</t>
        </is>
      </c>
      <c r="R345" s="36" t="n">
        <v>51.38</v>
      </c>
      <c r="S345" s="35">
        <f>IF(R345="","",IF(R345&gt;=60,INT(R345/60)&amp;":"&amp;TEXT(MOD(R345,60),"00.00"),TEXT(R345,"0.00")))</f>
        <v/>
      </c>
      <c r="T345" s="52">
        <f>IFERROR((G345-INDEX('01_Swimmers'!$E$5:$E$22,MATCH(B345,'01_Swimmers'!$A$5:$A$22,0)))/'00_Control'!$B$10,"")</f>
        <v/>
      </c>
      <c r="U345" s="35">
        <f>IF(T345="","",INT(T345))</f>
        <v/>
      </c>
      <c r="V345" s="33" t="inlineStr">
        <is>
          <t>NO</t>
        </is>
      </c>
      <c r="W345" s="33" t="inlineStr">
        <is>
          <t>YES</t>
        </is>
      </c>
      <c r="X345" s="33" t="inlineStr">
        <is>
          <t>NO</t>
        </is>
      </c>
      <c r="Y345" s="33" t="n">
        <v>4</v>
      </c>
      <c r="Z345" s="33" t="n">
        <v>5</v>
      </c>
      <c r="AA345" s="33" t="inlineStr">
        <is>
          <t>1</t>
        </is>
      </c>
      <c r="AB345" s="33" t="inlineStr">
        <is>
          <t>https://www.swimcloud.com/results/274527/event/18/?id=126333512#time126333512</t>
        </is>
      </c>
      <c r="AC345" s="33" t="inlineStr">
        <is>
          <t>SwimCloud API v6 2026-10-08</t>
        </is>
      </c>
      <c r="AD345" s="33" t="inlineStr">
        <is>
          <t>Caeleb Dressel|2024-05-17|LCM|100|Fly|51.38|GA SA Atlanta Classic Driven by Jim Ellis Cadillac|FIN|False</t>
        </is>
      </c>
      <c r="AE345" s="53">
        <f>G345+L345/1000+ROW()/1000000000</f>
        <v/>
      </c>
      <c r="AF345" s="35">
        <f>IF(C345&lt;&gt;"Grayson Coulter","",COUNTIFS($C$5:$C$2991,"Grayson Coulter",$Q$5:$Q$2991,Q345,$AE$5:$AE$2991,"&lt;="&amp;AE345,$R$5:$R$2991,"&lt;"&amp;R345))</f>
        <v/>
      </c>
      <c r="AG345" s="35">
        <f>IF(OR(C345&lt;&gt;"Grayson Coulter",G345&lt;'00_Control'!$B$7),"",--(AF345&lt;5))</f>
        <v/>
      </c>
      <c r="AH345" s="35">
        <f>IF(OR(C345&lt;&gt;"Grayson Coulter",G345&lt;'00_Control'!$B$7),"",--(AF345&lt;10))</f>
        <v/>
      </c>
      <c r="AI345" s="35">
        <f>IF(AND(C345="Grayson Coulter",G345&gt;='00_Control'!$B$7),"YES","NO")</f>
        <v/>
      </c>
      <c r="AJ345" s="33" t="inlineStr">
        <is>
          <t>OK</t>
        </is>
      </c>
    </row>
    <row r="346">
      <c r="A346" s="33" t="inlineStr">
        <is>
          <t>SM000342</t>
        </is>
      </c>
      <c r="B346" s="33" t="inlineStr">
        <is>
          <t>SW010</t>
        </is>
      </c>
      <c r="C346" s="33" t="inlineStr">
        <is>
          <t>Caeleb Dressel</t>
        </is>
      </c>
      <c r="D346" s="33" t="inlineStr">
        <is>
          <t>SwimCloud</t>
        </is>
      </c>
      <c r="E346" s="33" t="inlineStr">
        <is>
          <t>2361642</t>
        </is>
      </c>
      <c r="F346" s="33" t="inlineStr">
        <is>
          <t>126334914</t>
        </is>
      </c>
      <c r="G346" s="51" t="n">
        <v>45429</v>
      </c>
      <c r="H346" s="33" t="inlineStr">
        <is>
          <t>GA SA Atlanta Classic Driven by Jim Ellis Cadillac</t>
        </is>
      </c>
      <c r="I346" s="33" t="inlineStr">
        <is>
          <t>274527</t>
        </is>
      </c>
      <c r="J346" s="33" t="inlineStr"/>
      <c r="K346" s="33" t="inlineStr">
        <is>
          <t>PRE</t>
        </is>
      </c>
      <c r="L346" s="35">
        <f>IF(K346="FIN",3,IF(OR(K346="SEM",K346="SEMI"),2,IF(OR(K346="PRE",K346="HEAT"),1,IF(V346="YES",4,2))))</f>
        <v/>
      </c>
      <c r="M346" s="33" t="inlineStr">
        <is>
          <t>LCM</t>
        </is>
      </c>
      <c r="N346" s="33" t="n">
        <v>200</v>
      </c>
      <c r="O346" s="33" t="inlineStr">
        <is>
          <t>Free</t>
        </is>
      </c>
      <c r="P346" s="33" t="inlineStr">
        <is>
          <t>200 Free</t>
        </is>
      </c>
      <c r="Q346" s="33" t="inlineStr">
        <is>
          <t>LCM_200_FREE</t>
        </is>
      </c>
      <c r="R346" s="36" t="n">
        <v>109.08</v>
      </c>
      <c r="S346" s="35">
        <f>IF(R346="","",IF(R346&gt;=60,INT(R346/60)&amp;":"&amp;TEXT(MOD(R346,60),"00.00"),TEXT(R346,"0.00")))</f>
        <v/>
      </c>
      <c r="T346" s="52">
        <f>IFERROR((G346-INDEX('01_Swimmers'!$E$5:$E$22,MATCH(B346,'01_Swimmers'!$A$5:$A$22,0)))/'00_Control'!$B$10,"")</f>
        <v/>
      </c>
      <c r="U346" s="35">
        <f>IF(T346="","",INT(T346))</f>
        <v/>
      </c>
      <c r="V346" s="33" t="inlineStr">
        <is>
          <t>NO</t>
        </is>
      </c>
      <c r="W346" s="33" t="inlineStr">
        <is>
          <t>YES</t>
        </is>
      </c>
      <c r="X346" s="33" t="inlineStr">
        <is>
          <t>NO</t>
        </is>
      </c>
      <c r="Y346" s="33" t="n">
        <v>10</v>
      </c>
      <c r="Z346" s="33" t="n">
        <v>2</v>
      </c>
      <c r="AA346" s="33" t="inlineStr">
        <is>
          <t>7</t>
        </is>
      </c>
      <c r="AB346" s="33" t="inlineStr">
        <is>
          <t>https://www.swimcloud.com/results/274527/event/12/?id=126334914#time126334914</t>
        </is>
      </c>
      <c r="AC346" s="33" t="inlineStr">
        <is>
          <t>SwimCloud API v6 2026-10-08</t>
        </is>
      </c>
      <c r="AD346" s="33" t="inlineStr">
        <is>
          <t>Caeleb Dressel|2024-05-17|LCM|200|Free|109.08|GA SA Atlanta Classic Driven by Jim Ellis Cadillac|PRE|False</t>
        </is>
      </c>
      <c r="AE346" s="53">
        <f>G346+L346/1000+ROW()/1000000000</f>
        <v/>
      </c>
      <c r="AF346" s="35">
        <f>IF(C346&lt;&gt;"Grayson Coulter","",COUNTIFS($C$5:$C$2991,"Grayson Coulter",$Q$5:$Q$2991,Q346,$AE$5:$AE$2991,"&lt;="&amp;AE346,$R$5:$R$2991,"&lt;"&amp;R346))</f>
        <v/>
      </c>
      <c r="AG346" s="35">
        <f>IF(OR(C346&lt;&gt;"Grayson Coulter",G346&lt;'00_Control'!$B$7),"",--(AF346&lt;5))</f>
        <v/>
      </c>
      <c r="AH346" s="35">
        <f>IF(OR(C346&lt;&gt;"Grayson Coulter",G346&lt;'00_Control'!$B$7),"",--(AF346&lt;10))</f>
        <v/>
      </c>
      <c r="AI346" s="35">
        <f>IF(AND(C346="Grayson Coulter",G346&gt;='00_Control'!$B$7),"YES","NO")</f>
        <v/>
      </c>
      <c r="AJ346" s="33" t="inlineStr">
        <is>
          <t>OK</t>
        </is>
      </c>
    </row>
    <row r="347">
      <c r="A347" s="33" t="inlineStr">
        <is>
          <t>SM000343</t>
        </is>
      </c>
      <c r="B347" s="33" t="inlineStr">
        <is>
          <t>SW010</t>
        </is>
      </c>
      <c r="C347" s="33" t="inlineStr">
        <is>
          <t>Caeleb Dressel</t>
        </is>
      </c>
      <c r="D347" s="33" t="inlineStr">
        <is>
          <t>SwimCloud</t>
        </is>
      </c>
      <c r="E347" s="33" t="inlineStr">
        <is>
          <t>2361642</t>
        </is>
      </c>
      <c r="F347" s="33" t="inlineStr">
        <is>
          <t>126334915</t>
        </is>
      </c>
      <c r="G347" s="51" t="n">
        <v>45429</v>
      </c>
      <c r="H347" s="33" t="inlineStr">
        <is>
          <t>GA SA Atlanta Classic Driven by Jim Ellis Cadillac</t>
        </is>
      </c>
      <c r="I347" s="33" t="inlineStr">
        <is>
          <t>274527</t>
        </is>
      </c>
      <c r="J347" s="33" t="inlineStr"/>
      <c r="K347" s="33" t="inlineStr">
        <is>
          <t>FIN</t>
        </is>
      </c>
      <c r="L347" s="35">
        <f>IF(K347="FIN",3,IF(OR(K347="SEM",K347="SEMI"),2,IF(OR(K347="PRE",K347="HEAT"),1,IF(V347="YES",4,2))))</f>
        <v/>
      </c>
      <c r="M347" s="33" t="inlineStr">
        <is>
          <t>LCM</t>
        </is>
      </c>
      <c r="N347" s="33" t="n">
        <v>200</v>
      </c>
      <c r="O347" s="33" t="inlineStr">
        <is>
          <t>Free</t>
        </is>
      </c>
      <c r="P347" s="33" t="inlineStr">
        <is>
          <t>200 Free</t>
        </is>
      </c>
      <c r="Q347" s="33" t="inlineStr">
        <is>
          <t>LCM_200_FREE</t>
        </is>
      </c>
      <c r="R347" s="36" t="n">
        <v>107.38</v>
      </c>
      <c r="S347" s="35">
        <f>IF(R347="","",IF(R347&gt;=60,INT(R347/60)&amp;":"&amp;TEXT(MOD(R347,60),"00.00"),TEXT(R347,"0.00")))</f>
        <v/>
      </c>
      <c r="T347" s="52">
        <f>IFERROR((G347-INDEX('01_Swimmers'!$E$5:$E$22,MATCH(B347,'01_Swimmers'!$A$5:$A$22,0)))/'00_Control'!$B$10,"")</f>
        <v/>
      </c>
      <c r="U347" s="35">
        <f>IF(T347="","",INT(T347))</f>
        <v/>
      </c>
      <c r="V347" s="33" t="inlineStr">
        <is>
          <t>NO</t>
        </is>
      </c>
      <c r="W347" s="33" t="inlineStr">
        <is>
          <t>YES</t>
        </is>
      </c>
      <c r="X347" s="33" t="inlineStr">
        <is>
          <t>NO</t>
        </is>
      </c>
      <c r="Y347" s="33" t="n">
        <v>4</v>
      </c>
      <c r="Z347" s="33" t="n">
        <v>1</v>
      </c>
      <c r="AA347" s="33" t="inlineStr">
        <is>
          <t>4</t>
        </is>
      </c>
      <c r="AB347" s="33" t="inlineStr">
        <is>
          <t>https://www.swimcloud.com/results/274527/event/12/?id=126334915#time126334915</t>
        </is>
      </c>
      <c r="AC347" s="33" t="inlineStr">
        <is>
          <t>SwimCloud API v6 2026-10-08</t>
        </is>
      </c>
      <c r="AD347" s="33" t="inlineStr">
        <is>
          <t>Caeleb Dressel|2024-05-17|LCM|200|Free|107.38|GA SA Atlanta Classic Driven by Jim Ellis Cadillac|FIN|False</t>
        </is>
      </c>
      <c r="AE347" s="53">
        <f>G347+L347/1000+ROW()/1000000000</f>
        <v/>
      </c>
      <c r="AF347" s="35">
        <f>IF(C347&lt;&gt;"Grayson Coulter","",COUNTIFS($C$5:$C$2991,"Grayson Coulter",$Q$5:$Q$2991,Q347,$AE$5:$AE$2991,"&lt;="&amp;AE347,$R$5:$R$2991,"&lt;"&amp;R347))</f>
        <v/>
      </c>
      <c r="AG347" s="35">
        <f>IF(OR(C347&lt;&gt;"Grayson Coulter",G347&lt;'00_Control'!$B$7),"",--(AF347&lt;5))</f>
        <v/>
      </c>
      <c r="AH347" s="35">
        <f>IF(OR(C347&lt;&gt;"Grayson Coulter",G347&lt;'00_Control'!$B$7),"",--(AF347&lt;10))</f>
        <v/>
      </c>
      <c r="AI347" s="35">
        <f>IF(AND(C347="Grayson Coulter",G347&gt;='00_Control'!$B$7),"YES","NO")</f>
        <v/>
      </c>
      <c r="AJ347" s="33" t="inlineStr">
        <is>
          <t>OK</t>
        </is>
      </c>
    </row>
    <row r="348">
      <c r="A348" s="33" t="inlineStr">
        <is>
          <t>SM000344</t>
        </is>
      </c>
      <c r="B348" s="33" t="inlineStr">
        <is>
          <t>SW010</t>
        </is>
      </c>
      <c r="C348" s="33" t="inlineStr">
        <is>
          <t>Caeleb Dressel</t>
        </is>
      </c>
      <c r="D348" s="33" t="inlineStr">
        <is>
          <t>SwimCloud</t>
        </is>
      </c>
      <c r="E348" s="33" t="inlineStr">
        <is>
          <t>2361642</t>
        </is>
      </c>
      <c r="F348" s="33" t="inlineStr">
        <is>
          <t>128578211</t>
        </is>
      </c>
      <c r="G348" s="51" t="n">
        <v>45461</v>
      </c>
      <c r="H348" s="33" t="inlineStr">
        <is>
          <t>US Olympic Team Trials</t>
        </is>
      </c>
      <c r="I348" s="33" t="inlineStr">
        <is>
          <t>302718</t>
        </is>
      </c>
      <c r="J348" s="33" t="inlineStr"/>
      <c r="K348" s="33" t="inlineStr">
        <is>
          <t>PRE</t>
        </is>
      </c>
      <c r="L348" s="35">
        <f>IF(K348="FIN",3,IF(OR(K348="SEM",K348="SEMI"),2,IF(OR(K348="PRE",K348="HEAT"),1,IF(V348="YES",4,2))))</f>
        <v/>
      </c>
      <c r="M348" s="33" t="inlineStr">
        <is>
          <t>LCM</t>
        </is>
      </c>
      <c r="N348" s="33" t="n">
        <v>100</v>
      </c>
      <c r="O348" s="33" t="inlineStr">
        <is>
          <t>Free</t>
        </is>
      </c>
      <c r="P348" s="33" t="inlineStr">
        <is>
          <t>100 Free</t>
        </is>
      </c>
      <c r="Q348" s="33" t="inlineStr">
        <is>
          <t>LCM_100_FREE</t>
        </is>
      </c>
      <c r="R348" s="36" t="n">
        <v>47.82</v>
      </c>
      <c r="S348" s="35">
        <f>IF(R348="","",IF(R348&gt;=60,INT(R348/60)&amp;":"&amp;TEXT(MOD(R348,60),"00.00"),TEXT(R348,"0.00")))</f>
        <v/>
      </c>
      <c r="T348" s="52">
        <f>IFERROR((G348-INDEX('01_Swimmers'!$E$5:$E$22,MATCH(B348,'01_Swimmers'!$A$5:$A$22,0)))/'00_Control'!$B$10,"")</f>
        <v/>
      </c>
      <c r="U348" s="35">
        <f>IF(T348="","",INT(T348))</f>
        <v/>
      </c>
      <c r="V348" s="33" t="inlineStr">
        <is>
          <t>NO</t>
        </is>
      </c>
      <c r="W348" s="33" t="inlineStr">
        <is>
          <t>YES</t>
        </is>
      </c>
      <c r="X348" s="33" t="inlineStr">
        <is>
          <t>NO</t>
        </is>
      </c>
      <c r="Y348" s="33" t="n">
        <v>9</v>
      </c>
      <c r="Z348" s="33" t="n">
        <v>6</v>
      </c>
      <c r="AA348" s="33" t="inlineStr">
        <is>
          <t>3</t>
        </is>
      </c>
      <c r="AB348" s="33" t="inlineStr">
        <is>
          <t>https://www.swimcloud.com/results/302718/event/14/?id=128578211#time128578211</t>
        </is>
      </c>
      <c r="AC348" s="33" t="inlineStr">
        <is>
          <t>SwimCloud API v6 2026-10-08</t>
        </is>
      </c>
      <c r="AD348" s="33" t="inlineStr">
        <is>
          <t>Caeleb Dressel|2024-06-18|LCM|100|Free|47.82|US Olympic Team Trials|PRE|False</t>
        </is>
      </c>
      <c r="AE348" s="53">
        <f>G348+L348/1000+ROW()/1000000000</f>
        <v/>
      </c>
      <c r="AF348" s="35">
        <f>IF(C348&lt;&gt;"Grayson Coulter","",COUNTIFS($C$5:$C$2991,"Grayson Coulter",$Q$5:$Q$2991,Q348,$AE$5:$AE$2991,"&lt;="&amp;AE348,$R$5:$R$2991,"&lt;"&amp;R348))</f>
        <v/>
      </c>
      <c r="AG348" s="35">
        <f>IF(OR(C348&lt;&gt;"Grayson Coulter",G348&lt;'00_Control'!$B$7),"",--(AF348&lt;5))</f>
        <v/>
      </c>
      <c r="AH348" s="35">
        <f>IF(OR(C348&lt;&gt;"Grayson Coulter",G348&lt;'00_Control'!$B$7),"",--(AF348&lt;10))</f>
        <v/>
      </c>
      <c r="AI348" s="35">
        <f>IF(AND(C348="Grayson Coulter",G348&gt;='00_Control'!$B$7),"YES","NO")</f>
        <v/>
      </c>
      <c r="AJ348" s="33" t="inlineStr">
        <is>
          <t>OK</t>
        </is>
      </c>
    </row>
    <row r="349">
      <c r="A349" s="33" t="inlineStr">
        <is>
          <t>SM000345</t>
        </is>
      </c>
      <c r="B349" s="33" t="inlineStr">
        <is>
          <t>SW010</t>
        </is>
      </c>
      <c r="C349" s="33" t="inlineStr">
        <is>
          <t>Caeleb Dressel</t>
        </is>
      </c>
      <c r="D349" s="33" t="inlineStr">
        <is>
          <t>SwimCloud</t>
        </is>
      </c>
      <c r="E349" s="33" t="inlineStr">
        <is>
          <t>2361642</t>
        </is>
      </c>
      <c r="F349" s="33" t="inlineStr">
        <is>
          <t>128578212</t>
        </is>
      </c>
      <c r="G349" s="51" t="n">
        <v>45461</v>
      </c>
      <c r="H349" s="33" t="inlineStr">
        <is>
          <t>US Olympic Team Trials</t>
        </is>
      </c>
      <c r="I349" s="33" t="inlineStr">
        <is>
          <t>302718</t>
        </is>
      </c>
      <c r="J349" s="33" t="inlineStr"/>
      <c r="K349" s="33" t="inlineStr">
        <is>
          <t>SEM</t>
        </is>
      </c>
      <c r="L349" s="35">
        <f>IF(K349="FIN",3,IF(OR(K349="SEM",K349="SEMI"),2,IF(OR(K349="PRE",K349="HEAT"),1,IF(V349="YES",4,2))))</f>
        <v/>
      </c>
      <c r="M349" s="33" t="inlineStr">
        <is>
          <t>LCM</t>
        </is>
      </c>
      <c r="N349" s="33" t="n">
        <v>100</v>
      </c>
      <c r="O349" s="33" t="inlineStr">
        <is>
          <t>Free</t>
        </is>
      </c>
      <c r="P349" s="33" t="inlineStr">
        <is>
          <t>100 Free</t>
        </is>
      </c>
      <c r="Q349" s="33" t="inlineStr">
        <is>
          <t>LCM_100_FREE</t>
        </is>
      </c>
      <c r="R349" s="36" t="n">
        <v>47.53</v>
      </c>
      <c r="S349" s="35">
        <f>IF(R349="","",IF(R349&gt;=60,INT(R349/60)&amp;":"&amp;TEXT(MOD(R349,60),"00.00"),TEXT(R349,"0.00")))</f>
        <v/>
      </c>
      <c r="T349" s="52">
        <f>IFERROR((G349-INDEX('01_Swimmers'!$E$5:$E$22,MATCH(B349,'01_Swimmers'!$A$5:$A$22,0)))/'00_Control'!$B$10,"")</f>
        <v/>
      </c>
      <c r="U349" s="35">
        <f>IF(T349="","",INT(T349))</f>
        <v/>
      </c>
      <c r="V349" s="33" t="inlineStr">
        <is>
          <t>NO</t>
        </is>
      </c>
      <c r="W349" s="33" t="inlineStr">
        <is>
          <t>YES</t>
        </is>
      </c>
      <c r="X349" s="33" t="inlineStr">
        <is>
          <t>NO</t>
        </is>
      </c>
      <c r="Y349" s="33" t="n">
        <v>2</v>
      </c>
      <c r="Z349" s="33" t="n">
        <v>5</v>
      </c>
      <c r="AA349" s="33" t="inlineStr">
        <is>
          <t>3</t>
        </is>
      </c>
      <c r="AB349" s="33" t="inlineStr">
        <is>
          <t>https://www.swimcloud.com/results/302718/event/14/?id=128578212#time128578212</t>
        </is>
      </c>
      <c r="AC349" s="33" t="inlineStr">
        <is>
          <t>SwimCloud API v6 2026-10-08</t>
        </is>
      </c>
      <c r="AD349" s="33" t="inlineStr">
        <is>
          <t>Caeleb Dressel|2024-06-18|LCM|100|Free|47.53|US Olympic Team Trials|SEM|False</t>
        </is>
      </c>
      <c r="AE349" s="53">
        <f>G349+L349/1000+ROW()/1000000000</f>
        <v/>
      </c>
      <c r="AF349" s="35">
        <f>IF(C349&lt;&gt;"Grayson Coulter","",COUNTIFS($C$5:$C$2991,"Grayson Coulter",$Q$5:$Q$2991,Q349,$AE$5:$AE$2991,"&lt;="&amp;AE349,$R$5:$R$2991,"&lt;"&amp;R349))</f>
        <v/>
      </c>
      <c r="AG349" s="35">
        <f>IF(OR(C349&lt;&gt;"Grayson Coulter",G349&lt;'00_Control'!$B$7),"",--(AF349&lt;5))</f>
        <v/>
      </c>
      <c r="AH349" s="35">
        <f>IF(OR(C349&lt;&gt;"Grayson Coulter",G349&lt;'00_Control'!$B$7),"",--(AF349&lt;10))</f>
        <v/>
      </c>
      <c r="AI349" s="35">
        <f>IF(AND(C349="Grayson Coulter",G349&gt;='00_Control'!$B$7),"YES","NO")</f>
        <v/>
      </c>
      <c r="AJ349" s="33" t="inlineStr">
        <is>
          <t>OK</t>
        </is>
      </c>
    </row>
    <row r="350">
      <c r="A350" s="33" t="inlineStr">
        <is>
          <t>SM000346</t>
        </is>
      </c>
      <c r="B350" s="33" t="inlineStr">
        <is>
          <t>SW010</t>
        </is>
      </c>
      <c r="C350" s="33" t="inlineStr">
        <is>
          <t>Caeleb Dressel</t>
        </is>
      </c>
      <c r="D350" s="33" t="inlineStr">
        <is>
          <t>SwimCloud</t>
        </is>
      </c>
      <c r="E350" s="33" t="inlineStr">
        <is>
          <t>2361642</t>
        </is>
      </c>
      <c r="F350" s="33" t="inlineStr">
        <is>
          <t>128578210</t>
        </is>
      </c>
      <c r="G350" s="51" t="n">
        <v>45462</v>
      </c>
      <c r="H350" s="33" t="inlineStr">
        <is>
          <t>US Olympic Team Trials</t>
        </is>
      </c>
      <c r="I350" s="33" t="inlineStr">
        <is>
          <t>302718</t>
        </is>
      </c>
      <c r="J350" s="33" t="inlineStr"/>
      <c r="K350" s="33" t="inlineStr">
        <is>
          <t>FIN</t>
        </is>
      </c>
      <c r="L350" s="35">
        <f>IF(K350="FIN",3,IF(OR(K350="SEM",K350="SEMI"),2,IF(OR(K350="PRE",K350="HEAT"),1,IF(V350="YES",4,2))))</f>
        <v/>
      </c>
      <c r="M350" s="33" t="inlineStr">
        <is>
          <t>LCM</t>
        </is>
      </c>
      <c r="N350" s="33" t="n">
        <v>100</v>
      </c>
      <c r="O350" s="33" t="inlineStr">
        <is>
          <t>Free</t>
        </is>
      </c>
      <c r="P350" s="33" t="inlineStr">
        <is>
          <t>100 Free</t>
        </is>
      </c>
      <c r="Q350" s="33" t="inlineStr">
        <is>
          <t>LCM_100_FREE</t>
        </is>
      </c>
      <c r="R350" s="36" t="n">
        <v>47.53</v>
      </c>
      <c r="S350" s="35">
        <f>IF(R350="","",IF(R350&gt;=60,INT(R350/60)&amp;":"&amp;TEXT(MOD(R350,60),"00.00"),TEXT(R350,"0.00")))</f>
        <v/>
      </c>
      <c r="T350" s="52">
        <f>IFERROR((G350-INDEX('01_Swimmers'!$E$5:$E$22,MATCH(B350,'01_Swimmers'!$A$5:$A$22,0)))/'00_Control'!$B$10,"")</f>
        <v/>
      </c>
      <c r="U350" s="35">
        <f>IF(T350="","",INT(T350))</f>
        <v/>
      </c>
      <c r="V350" s="33" t="inlineStr">
        <is>
          <t>NO</t>
        </is>
      </c>
      <c r="W350" s="33" t="inlineStr">
        <is>
          <t>YES</t>
        </is>
      </c>
      <c r="X350" s="33" t="inlineStr">
        <is>
          <t>NO</t>
        </is>
      </c>
      <c r="Y350" s="33" t="n">
        <v>1</v>
      </c>
      <c r="Z350" s="33" t="n">
        <v>3</v>
      </c>
      <c r="AA350" s="33" t="inlineStr">
        <is>
          <t>3</t>
        </is>
      </c>
      <c r="AB350" s="33" t="inlineStr">
        <is>
          <t>https://www.swimcloud.com/results/302718/event/14/?id=128578210#time128578210</t>
        </is>
      </c>
      <c r="AC350" s="33" t="inlineStr">
        <is>
          <t>SwimCloud API v6 2026-10-08</t>
        </is>
      </c>
      <c r="AD350" s="33" t="inlineStr">
        <is>
          <t>Caeleb Dressel|2024-06-19|LCM|100|Free|47.53|US Olympic Team Trials|FIN|False</t>
        </is>
      </c>
      <c r="AE350" s="53">
        <f>G350+L350/1000+ROW()/1000000000</f>
        <v/>
      </c>
      <c r="AF350" s="35">
        <f>IF(C350&lt;&gt;"Grayson Coulter","",COUNTIFS($C$5:$C$2991,"Grayson Coulter",$Q$5:$Q$2991,Q350,$AE$5:$AE$2991,"&lt;="&amp;AE350,$R$5:$R$2991,"&lt;"&amp;R350))</f>
        <v/>
      </c>
      <c r="AG350" s="35">
        <f>IF(OR(C350&lt;&gt;"Grayson Coulter",G350&lt;'00_Control'!$B$7),"",--(AF350&lt;5))</f>
        <v/>
      </c>
      <c r="AH350" s="35">
        <f>IF(OR(C350&lt;&gt;"Grayson Coulter",G350&lt;'00_Control'!$B$7),"",--(AF350&lt;10))</f>
        <v/>
      </c>
      <c r="AI350" s="35">
        <f>IF(AND(C350="Grayson Coulter",G350&gt;='00_Control'!$B$7),"YES","NO")</f>
        <v/>
      </c>
      <c r="AJ350" s="33" t="inlineStr">
        <is>
          <t>OK</t>
        </is>
      </c>
    </row>
    <row r="351">
      <c r="A351" s="33" t="inlineStr">
        <is>
          <t>SM000347</t>
        </is>
      </c>
      <c r="B351" s="33" t="inlineStr">
        <is>
          <t>SW010</t>
        </is>
      </c>
      <c r="C351" s="33" t="inlineStr">
        <is>
          <t>Caeleb Dressel</t>
        </is>
      </c>
      <c r="D351" s="33" t="inlineStr">
        <is>
          <t>SwimCloud</t>
        </is>
      </c>
      <c r="E351" s="33" t="inlineStr">
        <is>
          <t>2361642</t>
        </is>
      </c>
      <c r="F351" s="33" t="inlineStr">
        <is>
          <t>128578208</t>
        </is>
      </c>
      <c r="G351" s="51" t="n">
        <v>45464</v>
      </c>
      <c r="H351" s="33" t="inlineStr">
        <is>
          <t>US Olympic Team Trials</t>
        </is>
      </c>
      <c r="I351" s="33" t="inlineStr">
        <is>
          <t>302718</t>
        </is>
      </c>
      <c r="J351" s="33" t="inlineStr"/>
      <c r="K351" s="33" t="inlineStr">
        <is>
          <t>PRE</t>
        </is>
      </c>
      <c r="L351" s="35">
        <f>IF(K351="FIN",3,IF(OR(K351="SEM",K351="SEMI"),2,IF(OR(K351="PRE",K351="HEAT"),1,IF(V351="YES",4,2))))</f>
        <v/>
      </c>
      <c r="M351" s="33" t="inlineStr">
        <is>
          <t>LCM</t>
        </is>
      </c>
      <c r="N351" s="33" t="n">
        <v>100</v>
      </c>
      <c r="O351" s="33" t="inlineStr">
        <is>
          <t>Fly</t>
        </is>
      </c>
      <c r="P351" s="33" t="inlineStr">
        <is>
          <t>100 Fly</t>
        </is>
      </c>
      <c r="Q351" s="33" t="inlineStr">
        <is>
          <t>LCM_100_FLY</t>
        </is>
      </c>
      <c r="R351" s="36" t="n">
        <v>51.14</v>
      </c>
      <c r="S351" s="35">
        <f>IF(R351="","",IF(R351&gt;=60,INT(R351/60)&amp;":"&amp;TEXT(MOD(R351,60),"00.00"),TEXT(R351,"0.00")))</f>
        <v/>
      </c>
      <c r="T351" s="52">
        <f>IFERROR((G351-INDEX('01_Swimmers'!$E$5:$E$22,MATCH(B351,'01_Swimmers'!$A$5:$A$22,0)))/'00_Control'!$B$10,"")</f>
        <v/>
      </c>
      <c r="U351" s="35">
        <f>IF(T351="","",INT(T351))</f>
        <v/>
      </c>
      <c r="V351" s="33" t="inlineStr">
        <is>
          <t>NO</t>
        </is>
      </c>
      <c r="W351" s="33" t="inlineStr">
        <is>
          <t>YES</t>
        </is>
      </c>
      <c r="X351" s="33" t="inlineStr">
        <is>
          <t>NO</t>
        </is>
      </c>
      <c r="Y351" s="33" t="n">
        <v>7</v>
      </c>
      <c r="Z351" s="33" t="n">
        <v>4</v>
      </c>
      <c r="AA351" s="33" t="inlineStr">
        <is>
          <t>1</t>
        </is>
      </c>
      <c r="AB351" s="33" t="inlineStr">
        <is>
          <t>https://www.swimcloud.com/results/302718/event/24/?id=128578208#time128578208</t>
        </is>
      </c>
      <c r="AC351" s="33" t="inlineStr">
        <is>
          <t>SwimCloud API v6 2026-10-08</t>
        </is>
      </c>
      <c r="AD351" s="33" t="inlineStr">
        <is>
          <t>Caeleb Dressel|2024-06-21|LCM|100|Fly|51.14|US Olympic Team Trials|PRE|False</t>
        </is>
      </c>
      <c r="AE351" s="53">
        <f>G351+L351/1000+ROW()/1000000000</f>
        <v/>
      </c>
      <c r="AF351" s="35">
        <f>IF(C351&lt;&gt;"Grayson Coulter","",COUNTIFS($C$5:$C$2991,"Grayson Coulter",$Q$5:$Q$2991,Q351,$AE$5:$AE$2991,"&lt;="&amp;AE351,$R$5:$R$2991,"&lt;"&amp;R351))</f>
        <v/>
      </c>
      <c r="AG351" s="35">
        <f>IF(OR(C351&lt;&gt;"Grayson Coulter",G351&lt;'00_Control'!$B$7),"",--(AF351&lt;5))</f>
        <v/>
      </c>
      <c r="AH351" s="35">
        <f>IF(OR(C351&lt;&gt;"Grayson Coulter",G351&lt;'00_Control'!$B$7),"",--(AF351&lt;10))</f>
        <v/>
      </c>
      <c r="AI351" s="35">
        <f>IF(AND(C351="Grayson Coulter",G351&gt;='00_Control'!$B$7),"YES","NO")</f>
        <v/>
      </c>
      <c r="AJ351" s="33" t="inlineStr">
        <is>
          <t>OK</t>
        </is>
      </c>
    </row>
    <row r="352">
      <c r="A352" s="33" t="inlineStr">
        <is>
          <t>SM000348</t>
        </is>
      </c>
      <c r="B352" s="33" t="inlineStr">
        <is>
          <t>SW010</t>
        </is>
      </c>
      <c r="C352" s="33" t="inlineStr">
        <is>
          <t>Caeleb Dressel</t>
        </is>
      </c>
      <c r="D352" s="33" t="inlineStr">
        <is>
          <t>SwimCloud</t>
        </is>
      </c>
      <c r="E352" s="33" t="inlineStr">
        <is>
          <t>2361642</t>
        </is>
      </c>
      <c r="F352" s="33" t="inlineStr">
        <is>
          <t>128578209</t>
        </is>
      </c>
      <c r="G352" s="51" t="n">
        <v>45464</v>
      </c>
      <c r="H352" s="33" t="inlineStr">
        <is>
          <t>US Olympic Team Trials</t>
        </is>
      </c>
      <c r="I352" s="33" t="inlineStr">
        <is>
          <t>302718</t>
        </is>
      </c>
      <c r="J352" s="33" t="inlineStr"/>
      <c r="K352" s="33" t="inlineStr">
        <is>
          <t>SEM</t>
        </is>
      </c>
      <c r="L352" s="35">
        <f>IF(K352="FIN",3,IF(OR(K352="SEM",K352="SEMI"),2,IF(OR(K352="PRE",K352="HEAT"),1,IF(V352="YES",4,2))))</f>
        <v/>
      </c>
      <c r="M352" s="33" t="inlineStr">
        <is>
          <t>LCM</t>
        </is>
      </c>
      <c r="N352" s="33" t="n">
        <v>100</v>
      </c>
      <c r="O352" s="33" t="inlineStr">
        <is>
          <t>Fly</t>
        </is>
      </c>
      <c r="P352" s="33" t="inlineStr">
        <is>
          <t>100 Fly</t>
        </is>
      </c>
      <c r="Q352" s="33" t="inlineStr">
        <is>
          <t>LCM_100_FLY</t>
        </is>
      </c>
      <c r="R352" s="36" t="n">
        <v>50.79</v>
      </c>
      <c r="S352" s="35">
        <f>IF(R352="","",IF(R352&gt;=60,INT(R352/60)&amp;":"&amp;TEXT(MOD(R352,60),"00.00"),TEXT(R352,"0.00")))</f>
        <v/>
      </c>
      <c r="T352" s="52">
        <f>IFERROR((G352-INDEX('01_Swimmers'!$E$5:$E$22,MATCH(B352,'01_Swimmers'!$A$5:$A$22,0)))/'00_Control'!$B$10,"")</f>
        <v/>
      </c>
      <c r="U352" s="35">
        <f>IF(T352="","",INT(T352))</f>
        <v/>
      </c>
      <c r="V352" s="33" t="inlineStr">
        <is>
          <t>NO</t>
        </is>
      </c>
      <c r="W352" s="33" t="inlineStr">
        <is>
          <t>YES</t>
        </is>
      </c>
      <c r="X352" s="33" t="inlineStr">
        <is>
          <t>NO</t>
        </is>
      </c>
      <c r="Y352" s="33" t="n">
        <v>2</v>
      </c>
      <c r="Z352" s="33" t="n">
        <v>4</v>
      </c>
      <c r="AA352" s="33" t="inlineStr">
        <is>
          <t>1</t>
        </is>
      </c>
      <c r="AB352" s="33" t="inlineStr">
        <is>
          <t>https://www.swimcloud.com/results/302718/event/24/?id=128578209#time128578209</t>
        </is>
      </c>
      <c r="AC352" s="33" t="inlineStr">
        <is>
          <t>SwimCloud API v6 2026-10-08</t>
        </is>
      </c>
      <c r="AD352" s="33" t="inlineStr">
        <is>
          <t>Caeleb Dressel|2024-06-21|LCM|100|Fly|50.79|US Olympic Team Trials|SEM|False</t>
        </is>
      </c>
      <c r="AE352" s="53">
        <f>G352+L352/1000+ROW()/1000000000</f>
        <v/>
      </c>
      <c r="AF352" s="35">
        <f>IF(C352&lt;&gt;"Grayson Coulter","",COUNTIFS($C$5:$C$2991,"Grayson Coulter",$Q$5:$Q$2991,Q352,$AE$5:$AE$2991,"&lt;="&amp;AE352,$R$5:$R$2991,"&lt;"&amp;R352))</f>
        <v/>
      </c>
      <c r="AG352" s="35">
        <f>IF(OR(C352&lt;&gt;"Grayson Coulter",G352&lt;'00_Control'!$B$7),"",--(AF352&lt;5))</f>
        <v/>
      </c>
      <c r="AH352" s="35">
        <f>IF(OR(C352&lt;&gt;"Grayson Coulter",G352&lt;'00_Control'!$B$7),"",--(AF352&lt;10))</f>
        <v/>
      </c>
      <c r="AI352" s="35">
        <f>IF(AND(C352="Grayson Coulter",G352&gt;='00_Control'!$B$7),"YES","NO")</f>
        <v/>
      </c>
      <c r="AJ352" s="33" t="inlineStr">
        <is>
          <t>OK</t>
        </is>
      </c>
    </row>
    <row r="353">
      <c r="A353" s="33" t="inlineStr">
        <is>
          <t>SM000349</t>
        </is>
      </c>
      <c r="B353" s="33" t="inlineStr">
        <is>
          <t>SW010</t>
        </is>
      </c>
      <c r="C353" s="33" t="inlineStr">
        <is>
          <t>Caeleb Dressel</t>
        </is>
      </c>
      <c r="D353" s="33" t="inlineStr">
        <is>
          <t>SwimCloud</t>
        </is>
      </c>
      <c r="E353" s="33" t="inlineStr">
        <is>
          <t>2361642</t>
        </is>
      </c>
      <c r="F353" s="33" t="inlineStr">
        <is>
          <t>128578207</t>
        </is>
      </c>
      <c r="G353" s="51" t="n">
        <v>45465</v>
      </c>
      <c r="H353" s="33" t="inlineStr">
        <is>
          <t>US Olympic Team Trials</t>
        </is>
      </c>
      <c r="I353" s="33" t="inlineStr">
        <is>
          <t>302718</t>
        </is>
      </c>
      <c r="J353" s="33" t="inlineStr"/>
      <c r="K353" s="33" t="inlineStr">
        <is>
          <t>FIN</t>
        </is>
      </c>
      <c r="L353" s="35">
        <f>IF(K353="FIN",3,IF(OR(K353="SEM",K353="SEMI"),2,IF(OR(K353="PRE",K353="HEAT"),1,IF(V353="YES",4,2))))</f>
        <v/>
      </c>
      <c r="M353" s="33" t="inlineStr">
        <is>
          <t>LCM</t>
        </is>
      </c>
      <c r="N353" s="33" t="n">
        <v>100</v>
      </c>
      <c r="O353" s="33" t="inlineStr">
        <is>
          <t>Fly</t>
        </is>
      </c>
      <c r="P353" s="33" t="inlineStr">
        <is>
          <t>100 Fly</t>
        </is>
      </c>
      <c r="Q353" s="33" t="inlineStr">
        <is>
          <t>LCM_100_FLY</t>
        </is>
      </c>
      <c r="R353" s="36" t="n">
        <v>50.19</v>
      </c>
      <c r="S353" s="35">
        <f>IF(R353="","",IF(R353&gt;=60,INT(R353/60)&amp;":"&amp;TEXT(MOD(R353,60),"00.00"),TEXT(R353,"0.00")))</f>
        <v/>
      </c>
      <c r="T353" s="52">
        <f>IFERROR((G353-INDEX('01_Swimmers'!$E$5:$E$22,MATCH(B353,'01_Swimmers'!$A$5:$A$22,0)))/'00_Control'!$B$10,"")</f>
        <v/>
      </c>
      <c r="U353" s="35">
        <f>IF(T353="","",INT(T353))</f>
        <v/>
      </c>
      <c r="V353" s="33" t="inlineStr">
        <is>
          <t>NO</t>
        </is>
      </c>
      <c r="W353" s="33" t="inlineStr">
        <is>
          <t>YES</t>
        </is>
      </c>
      <c r="X353" s="33" t="inlineStr">
        <is>
          <t>NO</t>
        </is>
      </c>
      <c r="Y353" s="33" t="n">
        <v>1</v>
      </c>
      <c r="Z353" s="33" t="n">
        <v>4</v>
      </c>
      <c r="AA353" s="33" t="inlineStr">
        <is>
          <t>1</t>
        </is>
      </c>
      <c r="AB353" s="33" t="inlineStr">
        <is>
          <t>https://www.swimcloud.com/results/302718/event/24/?id=128578207#time128578207</t>
        </is>
      </c>
      <c r="AC353" s="33" t="inlineStr">
        <is>
          <t>SwimCloud API v6 2026-10-08</t>
        </is>
      </c>
      <c r="AD353" s="33" t="inlineStr">
        <is>
          <t>Caeleb Dressel|2024-06-22|LCM|100|Fly|50.19|US Olympic Team Trials|FIN|False</t>
        </is>
      </c>
      <c r="AE353" s="53">
        <f>G353+L353/1000+ROW()/1000000000</f>
        <v/>
      </c>
      <c r="AF353" s="35">
        <f>IF(C353&lt;&gt;"Grayson Coulter","",COUNTIFS($C$5:$C$2991,"Grayson Coulter",$Q$5:$Q$2991,Q353,$AE$5:$AE$2991,"&lt;="&amp;AE353,$R$5:$R$2991,"&lt;"&amp;R353))</f>
        <v/>
      </c>
      <c r="AG353" s="35">
        <f>IF(OR(C353&lt;&gt;"Grayson Coulter",G353&lt;'00_Control'!$B$7),"",--(AF353&lt;5))</f>
        <v/>
      </c>
      <c r="AH353" s="35">
        <f>IF(OR(C353&lt;&gt;"Grayson Coulter",G353&lt;'00_Control'!$B$7),"",--(AF353&lt;10))</f>
        <v/>
      </c>
      <c r="AI353" s="35">
        <f>IF(AND(C353="Grayson Coulter",G353&gt;='00_Control'!$B$7),"YES","NO")</f>
        <v/>
      </c>
      <c r="AJ353" s="33" t="inlineStr">
        <is>
          <t>OK</t>
        </is>
      </c>
    </row>
    <row r="354">
      <c r="A354" s="33" t="inlineStr">
        <is>
          <t>SM000350</t>
        </is>
      </c>
      <c r="B354" s="33" t="inlineStr">
        <is>
          <t>SW010</t>
        </is>
      </c>
      <c r="C354" s="33" t="inlineStr">
        <is>
          <t>Caeleb Dressel</t>
        </is>
      </c>
      <c r="D354" s="33" t="inlineStr">
        <is>
          <t>SwimCloud</t>
        </is>
      </c>
      <c r="E354" s="33" t="inlineStr">
        <is>
          <t>2361642</t>
        </is>
      </c>
      <c r="F354" s="33" t="inlineStr">
        <is>
          <t>130573486</t>
        </is>
      </c>
      <c r="G354" s="51" t="n">
        <v>45500</v>
      </c>
      <c r="H354" s="33" t="inlineStr">
        <is>
          <t>Olympic Games</t>
        </is>
      </c>
      <c r="I354" s="33" t="inlineStr">
        <is>
          <t>2424</t>
        </is>
      </c>
      <c r="J354" s="33" t="inlineStr"/>
      <c r="K354" s="33" t="inlineStr">
        <is>
          <t>PRE</t>
        </is>
      </c>
      <c r="L354" s="35">
        <f>IF(K354="FIN",3,IF(OR(K354="SEM",K354="SEMI"),2,IF(OR(K354="PRE",K354="HEAT"),1,IF(V354="YES",4,2))))</f>
        <v/>
      </c>
      <c r="M354" s="33" t="inlineStr">
        <is>
          <t>LCM</t>
        </is>
      </c>
      <c r="N354" s="33" t="n">
        <v>100</v>
      </c>
      <c r="O354" s="33" t="inlineStr">
        <is>
          <t>Fly</t>
        </is>
      </c>
      <c r="P354" s="33" t="inlineStr">
        <is>
          <t>100 Fly</t>
        </is>
      </c>
      <c r="Q354" s="33" t="inlineStr">
        <is>
          <t>LCM_100_FLY</t>
        </is>
      </c>
      <c r="R354" s="36" t="n">
        <v>50.83</v>
      </c>
      <c r="S354" s="35">
        <f>IF(R354="","",IF(R354&gt;=60,INT(R354/60)&amp;":"&amp;TEXT(MOD(R354,60),"00.00"),TEXT(R354,"0.00")))</f>
        <v/>
      </c>
      <c r="T354" s="52">
        <f>IFERROR((G354-INDEX('01_Swimmers'!$E$5:$E$22,MATCH(B354,'01_Swimmers'!$A$5:$A$22,0)))/'00_Control'!$B$10,"")</f>
        <v/>
      </c>
      <c r="U354" s="35">
        <f>IF(T354="","",INT(T354))</f>
        <v/>
      </c>
      <c r="V354" s="33" t="inlineStr">
        <is>
          <t>NO</t>
        </is>
      </c>
      <c r="W354" s="33" t="inlineStr">
        <is>
          <t>YES</t>
        </is>
      </c>
      <c r="X354" s="33" t="inlineStr">
        <is>
          <t>NO</t>
        </is>
      </c>
      <c r="Y354" s="33" t="n">
        <v>5</v>
      </c>
      <c r="Z354" s="33" t="n">
        <v>3</v>
      </c>
      <c r="AA354" s="33" t="inlineStr">
        <is>
          <t>6</t>
        </is>
      </c>
      <c r="AB354" s="33" t="inlineStr">
        <is>
          <t>https://www.swimcloud.com/results/2424/event/402/?id=130573486#time130573486</t>
        </is>
      </c>
      <c r="AC354" s="33" t="inlineStr">
        <is>
          <t>SwimCloud API v6 2026-10-08</t>
        </is>
      </c>
      <c r="AD354" s="33" t="inlineStr">
        <is>
          <t>Caeleb Dressel|2024-07-27|LCM|100|Fly|50.83|Olympic Games|PRE|False</t>
        </is>
      </c>
      <c r="AE354" s="53">
        <f>G354+L354/1000+ROW()/1000000000</f>
        <v/>
      </c>
      <c r="AF354" s="35">
        <f>IF(C354&lt;&gt;"Grayson Coulter","",COUNTIFS($C$5:$C$2991,"Grayson Coulter",$Q$5:$Q$2991,Q354,$AE$5:$AE$2991,"&lt;="&amp;AE354,$R$5:$R$2991,"&lt;"&amp;R354))</f>
        <v/>
      </c>
      <c r="AG354" s="35">
        <f>IF(OR(C354&lt;&gt;"Grayson Coulter",G354&lt;'00_Control'!$B$7),"",--(AF354&lt;5))</f>
        <v/>
      </c>
      <c r="AH354" s="35">
        <f>IF(OR(C354&lt;&gt;"Grayson Coulter",G354&lt;'00_Control'!$B$7),"",--(AF354&lt;10))</f>
        <v/>
      </c>
      <c r="AI354" s="35">
        <f>IF(AND(C354="Grayson Coulter",G354&gt;='00_Control'!$B$7),"YES","NO")</f>
        <v/>
      </c>
      <c r="AJ354" s="33" t="inlineStr">
        <is>
          <t>OK</t>
        </is>
      </c>
    </row>
    <row r="355">
      <c r="A355" s="33" t="inlineStr">
        <is>
          <t>SM000351</t>
        </is>
      </c>
      <c r="B355" s="33" t="inlineStr">
        <is>
          <t>SW010</t>
        </is>
      </c>
      <c r="C355" s="33" t="inlineStr">
        <is>
          <t>Caeleb Dressel</t>
        </is>
      </c>
      <c r="D355" s="33" t="inlineStr">
        <is>
          <t>SwimCloud</t>
        </is>
      </c>
      <c r="E355" s="33" t="inlineStr">
        <is>
          <t>2361642</t>
        </is>
      </c>
      <c r="F355" s="33" t="inlineStr">
        <is>
          <t>130623061</t>
        </is>
      </c>
      <c r="G355" s="51" t="n">
        <v>45500</v>
      </c>
      <c r="H355" s="33" t="inlineStr">
        <is>
          <t>Olympic Games</t>
        </is>
      </c>
      <c r="I355" s="33" t="inlineStr">
        <is>
          <t>2424</t>
        </is>
      </c>
      <c r="J355" s="33" t="inlineStr"/>
      <c r="K355" s="33" t="inlineStr">
        <is>
          <t>SEM</t>
        </is>
      </c>
      <c r="L355" s="35">
        <f>IF(K355="FIN",3,IF(OR(K355="SEM",K355="SEMI"),2,IF(OR(K355="PRE",K355="HEAT"),1,IF(V355="YES",4,2))))</f>
        <v/>
      </c>
      <c r="M355" s="33" t="inlineStr">
        <is>
          <t>LCM</t>
        </is>
      </c>
      <c r="N355" s="33" t="n">
        <v>100</v>
      </c>
      <c r="O355" s="33" t="inlineStr">
        <is>
          <t>Fly</t>
        </is>
      </c>
      <c r="P355" s="33" t="inlineStr">
        <is>
          <t>100 Fly</t>
        </is>
      </c>
      <c r="Q355" s="33" t="inlineStr">
        <is>
          <t>LCM_100_FLY</t>
        </is>
      </c>
      <c r="R355" s="36" t="n">
        <v>51.57</v>
      </c>
      <c r="S355" s="35">
        <f>IF(R355="","",IF(R355&gt;=60,INT(R355/60)&amp;":"&amp;TEXT(MOD(R355,60),"00.00"),TEXT(R355,"0.00")))</f>
        <v/>
      </c>
      <c r="T355" s="52">
        <f>IFERROR((G355-INDEX('01_Swimmers'!$E$5:$E$22,MATCH(B355,'01_Swimmers'!$A$5:$A$22,0)))/'00_Control'!$B$10,"")</f>
        <v/>
      </c>
      <c r="U355" s="35">
        <f>IF(T355="","",INT(T355))</f>
        <v/>
      </c>
      <c r="V355" s="33" t="inlineStr">
        <is>
          <t>NO</t>
        </is>
      </c>
      <c r="W355" s="33" t="inlineStr">
        <is>
          <t>YES</t>
        </is>
      </c>
      <c r="X355" s="33" t="inlineStr">
        <is>
          <t>NO</t>
        </is>
      </c>
      <c r="Y355" s="33" t="n">
        <v>2</v>
      </c>
      <c r="Z355" s="33" t="n">
        <v>7</v>
      </c>
      <c r="AA355" s="33" t="inlineStr">
        <is>
          <t>13</t>
        </is>
      </c>
      <c r="AB355" s="33" t="inlineStr">
        <is>
          <t>https://www.swimcloud.com/results/2424/event/402/?id=130623061#time130623061</t>
        </is>
      </c>
      <c r="AC355" s="33" t="inlineStr">
        <is>
          <t>SwimCloud API v6 2026-10-08</t>
        </is>
      </c>
      <c r="AD355" s="33" t="inlineStr">
        <is>
          <t>Caeleb Dressel|2024-07-27|LCM|100|Fly|51.57|Olympic Games|SEM|False</t>
        </is>
      </c>
      <c r="AE355" s="53">
        <f>G355+L355/1000+ROW()/1000000000</f>
        <v/>
      </c>
      <c r="AF355" s="35">
        <f>IF(C355&lt;&gt;"Grayson Coulter","",COUNTIFS($C$5:$C$2991,"Grayson Coulter",$Q$5:$Q$2991,Q355,$AE$5:$AE$2991,"&lt;="&amp;AE355,$R$5:$R$2991,"&lt;"&amp;R355))</f>
        <v/>
      </c>
      <c r="AG355" s="35">
        <f>IF(OR(C355&lt;&gt;"Grayson Coulter",G355&lt;'00_Control'!$B$7),"",--(AF355&lt;5))</f>
        <v/>
      </c>
      <c r="AH355" s="35">
        <f>IF(OR(C355&lt;&gt;"Grayson Coulter",G355&lt;'00_Control'!$B$7),"",--(AF355&lt;10))</f>
        <v/>
      </c>
      <c r="AI355" s="35">
        <f>IF(AND(C355="Grayson Coulter",G355&gt;='00_Control'!$B$7),"YES","NO")</f>
        <v/>
      </c>
      <c r="AJ355" s="33" t="inlineStr">
        <is>
          <t>OK</t>
        </is>
      </c>
    </row>
    <row r="356">
      <c r="A356" s="33" t="inlineStr">
        <is>
          <t>SM000352</t>
        </is>
      </c>
      <c r="B356" s="33" t="inlineStr">
        <is>
          <t>SW010</t>
        </is>
      </c>
      <c r="C356" s="33" t="inlineStr">
        <is>
          <t>Caeleb Dressel</t>
        </is>
      </c>
      <c r="D356" s="33" t="inlineStr">
        <is>
          <t>SwimCloud</t>
        </is>
      </c>
      <c r="E356" s="33" t="inlineStr">
        <is>
          <t>2361642</t>
        </is>
      </c>
      <c r="F356" s="33" t="inlineStr">
        <is>
          <t>156038786</t>
        </is>
      </c>
      <c r="G356" s="51" t="n">
        <v>45856</v>
      </c>
      <c r="H356" s="33" t="inlineStr">
        <is>
          <t>Florida Senior Championships (50m)</t>
        </is>
      </c>
      <c r="I356" s="33" t="inlineStr">
        <is>
          <t>348743</t>
        </is>
      </c>
      <c r="J356" s="33" t="inlineStr"/>
      <c r="K356" s="33" t="inlineStr">
        <is>
          <t>PRE</t>
        </is>
      </c>
      <c r="L356" s="35">
        <f>IF(K356="FIN",3,IF(OR(K356="SEM",K356="SEMI"),2,IF(OR(K356="PRE",K356="HEAT"),1,IF(V356="YES",4,2))))</f>
        <v/>
      </c>
      <c r="M356" s="33" t="inlineStr">
        <is>
          <t>LCM</t>
        </is>
      </c>
      <c r="N356" s="33" t="n">
        <v>100</v>
      </c>
      <c r="O356" s="33" t="inlineStr">
        <is>
          <t>Fly</t>
        </is>
      </c>
      <c r="P356" s="33" t="inlineStr">
        <is>
          <t>100 Fly</t>
        </is>
      </c>
      <c r="Q356" s="33" t="inlineStr">
        <is>
          <t>LCM_100_FLY</t>
        </is>
      </c>
      <c r="R356" s="36" t="n">
        <v>53.11</v>
      </c>
      <c r="S356" s="35">
        <f>IF(R356="","",IF(R356&gt;=60,INT(R356/60)&amp;":"&amp;TEXT(MOD(R356,60),"00.00"),TEXT(R356,"0.00")))</f>
        <v/>
      </c>
      <c r="T356" s="52">
        <f>IFERROR((G356-INDEX('01_Swimmers'!$E$5:$E$22,MATCH(B356,'01_Swimmers'!$A$5:$A$22,0)))/'00_Control'!$B$10,"")</f>
        <v/>
      </c>
      <c r="U356" s="35">
        <f>IF(T356="","",INT(T356))</f>
        <v/>
      </c>
      <c r="V356" s="33" t="inlineStr">
        <is>
          <t>NO</t>
        </is>
      </c>
      <c r="W356" s="33" t="inlineStr">
        <is>
          <t>YES</t>
        </is>
      </c>
      <c r="X356" s="33" t="inlineStr">
        <is>
          <t>NO</t>
        </is>
      </c>
      <c r="Y356" s="33" t="n">
        <v>1</v>
      </c>
      <c r="Z356" s="33" t="n">
        <v>5</v>
      </c>
      <c r="AA356" s="33" t="inlineStr">
        <is>
          <t>1</t>
        </is>
      </c>
      <c r="AB356" s="33" t="inlineStr">
        <is>
          <t>https://www.swimcloud.com/results/348743/event/20/?id=156038786#time156038786</t>
        </is>
      </c>
      <c r="AC356" s="33" t="inlineStr">
        <is>
          <t>SwimCloud API v6 2026-10-08</t>
        </is>
      </c>
      <c r="AD356" s="33" t="inlineStr">
        <is>
          <t>Caeleb Dressel|2025-07-18|LCM|100|Fly|53.11|Florida Senior Championships (50m)|PRE|False</t>
        </is>
      </c>
      <c r="AE356" s="53">
        <f>G356+L356/1000+ROW()/1000000000</f>
        <v/>
      </c>
      <c r="AF356" s="35">
        <f>IF(C356&lt;&gt;"Grayson Coulter","",COUNTIFS($C$5:$C$2991,"Grayson Coulter",$Q$5:$Q$2991,Q356,$AE$5:$AE$2991,"&lt;="&amp;AE356,$R$5:$R$2991,"&lt;"&amp;R356))</f>
        <v/>
      </c>
      <c r="AG356" s="35">
        <f>IF(OR(C356&lt;&gt;"Grayson Coulter",G356&lt;'00_Control'!$B$7),"",--(AF356&lt;5))</f>
        <v/>
      </c>
      <c r="AH356" s="35">
        <f>IF(OR(C356&lt;&gt;"Grayson Coulter",G356&lt;'00_Control'!$B$7),"",--(AF356&lt;10))</f>
        <v/>
      </c>
      <c r="AI356" s="35">
        <f>IF(AND(C356="Grayson Coulter",G356&gt;='00_Control'!$B$7),"YES","NO")</f>
        <v/>
      </c>
      <c r="AJ356" s="33" t="inlineStr">
        <is>
          <t>OK</t>
        </is>
      </c>
    </row>
    <row r="357">
      <c r="A357" s="33" t="inlineStr">
        <is>
          <t>SM000353</t>
        </is>
      </c>
      <c r="B357" s="33" t="inlineStr">
        <is>
          <t>SW010</t>
        </is>
      </c>
      <c r="C357" s="33" t="inlineStr">
        <is>
          <t>Caeleb Dressel</t>
        </is>
      </c>
      <c r="D357" s="33" t="inlineStr">
        <is>
          <t>SwimCloud</t>
        </is>
      </c>
      <c r="E357" s="33" t="inlineStr">
        <is>
          <t>2361642</t>
        </is>
      </c>
      <c r="F357" s="33" t="inlineStr">
        <is>
          <t>156038787</t>
        </is>
      </c>
      <c r="G357" s="51" t="n">
        <v>45856</v>
      </c>
      <c r="H357" s="33" t="inlineStr">
        <is>
          <t>Florida Senior Championships (50m)</t>
        </is>
      </c>
      <c r="I357" s="33" t="inlineStr">
        <is>
          <t>348743</t>
        </is>
      </c>
      <c r="J357" s="33" t="inlineStr"/>
      <c r="K357" s="33" t="inlineStr">
        <is>
          <t>FIN</t>
        </is>
      </c>
      <c r="L357" s="35">
        <f>IF(K357="FIN",3,IF(OR(K357="SEM",K357="SEMI"),2,IF(OR(K357="PRE",K357="HEAT"),1,IF(V357="YES",4,2))))</f>
        <v/>
      </c>
      <c r="M357" s="33" t="inlineStr">
        <is>
          <t>LCM</t>
        </is>
      </c>
      <c r="N357" s="33" t="n">
        <v>100</v>
      </c>
      <c r="O357" s="33" t="inlineStr">
        <is>
          <t>Fly</t>
        </is>
      </c>
      <c r="P357" s="33" t="inlineStr">
        <is>
          <t>100 Fly</t>
        </is>
      </c>
      <c r="Q357" s="33" t="inlineStr">
        <is>
          <t>LCM_100_FLY</t>
        </is>
      </c>
      <c r="R357" s="36" t="n">
        <v>52.33</v>
      </c>
      <c r="S357" s="35">
        <f>IF(R357="","",IF(R357&gt;=60,INT(R357/60)&amp;":"&amp;TEXT(MOD(R357,60),"00.00"),TEXT(R357,"0.00")))</f>
        <v/>
      </c>
      <c r="T357" s="52">
        <f>IFERROR((G357-INDEX('01_Swimmers'!$E$5:$E$22,MATCH(B357,'01_Swimmers'!$A$5:$A$22,0)))/'00_Control'!$B$10,"")</f>
        <v/>
      </c>
      <c r="U357" s="35">
        <f>IF(T357="","",INT(T357))</f>
        <v/>
      </c>
      <c r="V357" s="33" t="inlineStr">
        <is>
          <t>NO</t>
        </is>
      </c>
      <c r="W357" s="33" t="inlineStr">
        <is>
          <t>YES</t>
        </is>
      </c>
      <c r="X357" s="33" t="inlineStr">
        <is>
          <t>NO</t>
        </is>
      </c>
      <c r="Y357" s="33" t="n">
        <v>1</v>
      </c>
      <c r="Z357" s="33" t="n">
        <v>5</v>
      </c>
      <c r="AA357" s="33" t="inlineStr">
        <is>
          <t>1</t>
        </is>
      </c>
      <c r="AB357" s="33" t="inlineStr">
        <is>
          <t>https://www.swimcloud.com/results/348743/event/20/?id=156038787#time156038787</t>
        </is>
      </c>
      <c r="AC357" s="33" t="inlineStr">
        <is>
          <t>SwimCloud API v6 2026-10-08</t>
        </is>
      </c>
      <c r="AD357" s="33" t="inlineStr">
        <is>
          <t>Caeleb Dressel|2025-07-18|LCM|100|Fly|52.33|Florida Senior Championships (50m)|FIN|False</t>
        </is>
      </c>
      <c r="AE357" s="53">
        <f>G357+L357/1000+ROW()/1000000000</f>
        <v/>
      </c>
      <c r="AF357" s="35">
        <f>IF(C357&lt;&gt;"Grayson Coulter","",COUNTIFS($C$5:$C$2991,"Grayson Coulter",$Q$5:$Q$2991,Q357,$AE$5:$AE$2991,"&lt;="&amp;AE357,$R$5:$R$2991,"&lt;"&amp;R357))</f>
        <v/>
      </c>
      <c r="AG357" s="35">
        <f>IF(OR(C357&lt;&gt;"Grayson Coulter",G357&lt;'00_Control'!$B$7),"",--(AF357&lt;5))</f>
        <v/>
      </c>
      <c r="AH357" s="35">
        <f>IF(OR(C357&lt;&gt;"Grayson Coulter",G357&lt;'00_Control'!$B$7),"",--(AF357&lt;10))</f>
        <v/>
      </c>
      <c r="AI357" s="35">
        <f>IF(AND(C357="Grayson Coulter",G357&gt;='00_Control'!$B$7),"YES","NO")</f>
        <v/>
      </c>
      <c r="AJ357" s="33" t="inlineStr">
        <is>
          <t>OK</t>
        </is>
      </c>
    </row>
    <row r="358">
      <c r="A358" s="33" t="inlineStr">
        <is>
          <t>SM000354</t>
        </is>
      </c>
      <c r="B358" s="33" t="inlineStr">
        <is>
          <t>SW010</t>
        </is>
      </c>
      <c r="C358" s="33" t="inlineStr">
        <is>
          <t>Caeleb Dressel</t>
        </is>
      </c>
      <c r="D358" s="33" t="inlineStr">
        <is>
          <t>SwimCloud</t>
        </is>
      </c>
      <c r="E358" s="33" t="inlineStr">
        <is>
          <t>2361642</t>
        </is>
      </c>
      <c r="F358" s="33" t="inlineStr">
        <is>
          <t>164093831</t>
        </is>
      </c>
      <c r="G358" s="51" t="n">
        <v>45996</v>
      </c>
      <c r="H358" s="33" t="inlineStr">
        <is>
          <t>Toyota US Open Championships</t>
        </is>
      </c>
      <c r="I358" s="33" t="inlineStr">
        <is>
          <t>344574</t>
        </is>
      </c>
      <c r="J358" s="33" t="inlineStr"/>
      <c r="K358" s="33" t="inlineStr">
        <is>
          <t>PRE</t>
        </is>
      </c>
      <c r="L358" s="35">
        <f>IF(K358="FIN",3,IF(OR(K358="SEM",K358="SEMI"),2,IF(OR(K358="PRE",K358="HEAT"),1,IF(V358="YES",4,2))))</f>
        <v/>
      </c>
      <c r="M358" s="33" t="inlineStr">
        <is>
          <t>LCM</t>
        </is>
      </c>
      <c r="N358" s="33" t="n">
        <v>100</v>
      </c>
      <c r="O358" s="33" t="inlineStr">
        <is>
          <t>Fly</t>
        </is>
      </c>
      <c r="P358" s="33" t="inlineStr">
        <is>
          <t>100 Fly</t>
        </is>
      </c>
      <c r="Q358" s="33" t="inlineStr">
        <is>
          <t>LCM_100_FLY</t>
        </is>
      </c>
      <c r="R358" s="36" t="n">
        <v>51.77</v>
      </c>
      <c r="S358" s="35">
        <f>IF(R358="","",IF(R358&gt;=60,INT(R358/60)&amp;":"&amp;TEXT(MOD(R358,60),"00.00"),TEXT(R358,"0.00")))</f>
        <v/>
      </c>
      <c r="T358" s="52">
        <f>IFERROR((G358-INDEX('01_Swimmers'!$E$5:$E$22,MATCH(B358,'01_Swimmers'!$A$5:$A$22,0)))/'00_Control'!$B$10,"")</f>
        <v/>
      </c>
      <c r="U358" s="35">
        <f>IF(T358="","",INT(T358))</f>
        <v/>
      </c>
      <c r="V358" s="33" t="inlineStr">
        <is>
          <t>NO</t>
        </is>
      </c>
      <c r="W358" s="33" t="inlineStr">
        <is>
          <t>YES</t>
        </is>
      </c>
      <c r="X358" s="33" t="inlineStr">
        <is>
          <t>NO</t>
        </is>
      </c>
      <c r="Y358" s="33" t="n">
        <v>6</v>
      </c>
      <c r="Z358" s="33" t="n">
        <v>6</v>
      </c>
      <c r="AA358" s="33" t="inlineStr">
        <is>
          <t>4</t>
        </is>
      </c>
      <c r="AB358" s="33" t="inlineStr">
        <is>
          <t>https://www.swimcloud.com/results/344574/event/14/?id=164093831#time164093831</t>
        </is>
      </c>
      <c r="AC358" s="33" t="inlineStr">
        <is>
          <t>SwimCloud API v6 2026-10-08</t>
        </is>
      </c>
      <c r="AD358" s="33" t="inlineStr">
        <is>
          <t>Caeleb Dressel|2025-12-05|LCM|100|Fly|51.77|Toyota US Open Championships|PRE|False</t>
        </is>
      </c>
      <c r="AE358" s="53">
        <f>G358+L358/1000+ROW()/1000000000</f>
        <v/>
      </c>
      <c r="AF358" s="35">
        <f>IF(C358&lt;&gt;"Grayson Coulter","",COUNTIFS($C$5:$C$2991,"Grayson Coulter",$Q$5:$Q$2991,Q358,$AE$5:$AE$2991,"&lt;="&amp;AE358,$R$5:$R$2991,"&lt;"&amp;R358))</f>
        <v/>
      </c>
      <c r="AG358" s="35">
        <f>IF(OR(C358&lt;&gt;"Grayson Coulter",G358&lt;'00_Control'!$B$7),"",--(AF358&lt;5))</f>
        <v/>
      </c>
      <c r="AH358" s="35">
        <f>IF(OR(C358&lt;&gt;"Grayson Coulter",G358&lt;'00_Control'!$B$7),"",--(AF358&lt;10))</f>
        <v/>
      </c>
      <c r="AI358" s="35">
        <f>IF(AND(C358="Grayson Coulter",G358&gt;='00_Control'!$B$7),"YES","NO")</f>
        <v/>
      </c>
      <c r="AJ358" s="33" t="inlineStr">
        <is>
          <t>OK</t>
        </is>
      </c>
    </row>
    <row r="359">
      <c r="A359" s="33" t="inlineStr">
        <is>
          <t>SM000355</t>
        </is>
      </c>
      <c r="B359" s="33" t="inlineStr">
        <is>
          <t>SW010</t>
        </is>
      </c>
      <c r="C359" s="33" t="inlineStr">
        <is>
          <t>Caeleb Dressel</t>
        </is>
      </c>
      <c r="D359" s="33" t="inlineStr">
        <is>
          <t>SwimCloud</t>
        </is>
      </c>
      <c r="E359" s="33" t="inlineStr">
        <is>
          <t>2361642</t>
        </is>
      </c>
      <c r="F359" s="33" t="inlineStr">
        <is>
          <t>164093830</t>
        </is>
      </c>
      <c r="G359" s="51" t="n">
        <v>45996</v>
      </c>
      <c r="H359" s="33" t="inlineStr">
        <is>
          <t>Toyota US Open Championships</t>
        </is>
      </c>
      <c r="I359" s="33" t="inlineStr">
        <is>
          <t>344574</t>
        </is>
      </c>
      <c r="J359" s="33" t="inlineStr"/>
      <c r="K359" s="33" t="inlineStr">
        <is>
          <t>FIN</t>
        </is>
      </c>
      <c r="L359" s="35">
        <f>IF(K359="FIN",3,IF(OR(K359="SEM",K359="SEMI"),2,IF(OR(K359="PRE",K359="HEAT"),1,IF(V359="YES",4,2))))</f>
        <v/>
      </c>
      <c r="M359" s="33" t="inlineStr">
        <is>
          <t>LCM</t>
        </is>
      </c>
      <c r="N359" s="33" t="n">
        <v>100</v>
      </c>
      <c r="O359" s="33" t="inlineStr">
        <is>
          <t>Fly</t>
        </is>
      </c>
      <c r="P359" s="33" t="inlineStr">
        <is>
          <t>100 Fly</t>
        </is>
      </c>
      <c r="Q359" s="33" t="inlineStr">
        <is>
          <t>LCM_100_FLY</t>
        </is>
      </c>
      <c r="R359" s="36" t="n">
        <v>51.33</v>
      </c>
      <c r="S359" s="35">
        <f>IF(R359="","",IF(R359&gt;=60,INT(R359/60)&amp;":"&amp;TEXT(MOD(R359,60),"00.00"),TEXT(R359,"0.00")))</f>
        <v/>
      </c>
      <c r="T359" s="52">
        <f>IFERROR((G359-INDEX('01_Swimmers'!$E$5:$E$22,MATCH(B359,'01_Swimmers'!$A$5:$A$22,0)))/'00_Control'!$B$10,"")</f>
        <v/>
      </c>
      <c r="U359" s="35">
        <f>IF(T359="","",INT(T359))</f>
        <v/>
      </c>
      <c r="V359" s="33" t="inlineStr">
        <is>
          <t>NO</t>
        </is>
      </c>
      <c r="W359" s="33" t="inlineStr">
        <is>
          <t>YES</t>
        </is>
      </c>
      <c r="X359" s="33" t="inlineStr">
        <is>
          <t>NO</t>
        </is>
      </c>
      <c r="Y359" s="33" t="n">
        <v>1</v>
      </c>
      <c r="Z359" s="33" t="n">
        <v>6</v>
      </c>
      <c r="AA359" s="33" t="inlineStr">
        <is>
          <t>4</t>
        </is>
      </c>
      <c r="AB359" s="33" t="inlineStr">
        <is>
          <t>https://www.swimcloud.com/results/344574/event/14/?id=164093830#time164093830</t>
        </is>
      </c>
      <c r="AC359" s="33" t="inlineStr">
        <is>
          <t>SwimCloud API v6 2026-10-08</t>
        </is>
      </c>
      <c r="AD359" s="33" t="inlineStr">
        <is>
          <t>Caeleb Dressel|2025-12-05|LCM|100|Fly|51.33|Toyota US Open Championships|FIN|False</t>
        </is>
      </c>
      <c r="AE359" s="53">
        <f>G359+L359/1000+ROW()/1000000000</f>
        <v/>
      </c>
      <c r="AF359" s="35">
        <f>IF(C359&lt;&gt;"Grayson Coulter","",COUNTIFS($C$5:$C$2991,"Grayson Coulter",$Q$5:$Q$2991,Q359,$AE$5:$AE$2991,"&lt;="&amp;AE359,$R$5:$R$2991,"&lt;"&amp;R359))</f>
        <v/>
      </c>
      <c r="AG359" s="35">
        <f>IF(OR(C359&lt;&gt;"Grayson Coulter",G359&lt;'00_Control'!$B$7),"",--(AF359&lt;5))</f>
        <v/>
      </c>
      <c r="AH359" s="35">
        <f>IF(OR(C359&lt;&gt;"Grayson Coulter",G359&lt;'00_Control'!$B$7),"",--(AF359&lt;10))</f>
        <v/>
      </c>
      <c r="AI359" s="35">
        <f>IF(AND(C359="Grayson Coulter",G359&gt;='00_Control'!$B$7),"YES","NO")</f>
        <v/>
      </c>
      <c r="AJ359" s="33" t="inlineStr">
        <is>
          <t>OK</t>
        </is>
      </c>
    </row>
    <row r="360">
      <c r="A360" s="33" t="inlineStr">
        <is>
          <t>SM000356</t>
        </is>
      </c>
      <c r="B360" s="33" t="inlineStr">
        <is>
          <t>SW010</t>
        </is>
      </c>
      <c r="C360" s="33" t="inlineStr">
        <is>
          <t>Caeleb Dressel</t>
        </is>
      </c>
      <c r="D360" s="33" t="inlineStr">
        <is>
          <t>SwimCloud</t>
        </is>
      </c>
      <c r="E360" s="33" t="inlineStr">
        <is>
          <t>2361642</t>
        </is>
      </c>
      <c r="F360" s="33" t="inlineStr">
        <is>
          <t>167939628</t>
        </is>
      </c>
      <c r="G360" s="51" t="n">
        <v>46037</v>
      </c>
      <c r="H360" s="33" t="inlineStr">
        <is>
          <t>TYR Pro Swim Series - Austin</t>
        </is>
      </c>
      <c r="I360" s="33" t="inlineStr">
        <is>
          <t>351184</t>
        </is>
      </c>
      <c r="J360" s="33" t="inlineStr"/>
      <c r="K360" s="33" t="inlineStr">
        <is>
          <t>PRE</t>
        </is>
      </c>
      <c r="L360" s="35">
        <f>IF(K360="FIN",3,IF(OR(K360="SEM",K360="SEMI"),2,IF(OR(K360="PRE",K360="HEAT"),1,IF(V360="YES",4,2))))</f>
        <v/>
      </c>
      <c r="M360" s="33" t="inlineStr">
        <is>
          <t>LCM</t>
        </is>
      </c>
      <c r="N360" s="33" t="n">
        <v>100</v>
      </c>
      <c r="O360" s="33" t="inlineStr">
        <is>
          <t>Fly</t>
        </is>
      </c>
      <c r="P360" s="33" t="inlineStr">
        <is>
          <t>100 Fly</t>
        </is>
      </c>
      <c r="Q360" s="33" t="inlineStr">
        <is>
          <t>LCM_100_FLY</t>
        </is>
      </c>
      <c r="R360" s="36" t="n">
        <v>52.25</v>
      </c>
      <c r="S360" s="35">
        <f>IF(R360="","",IF(R360&gt;=60,INT(R360/60)&amp;":"&amp;TEXT(MOD(R360,60),"00.00"),TEXT(R360,"0.00")))</f>
        <v/>
      </c>
      <c r="T360" s="52">
        <f>IFERROR((G360-INDEX('01_Swimmers'!$E$5:$E$22,MATCH(B360,'01_Swimmers'!$A$5:$A$22,0)))/'00_Control'!$B$10,"")</f>
        <v/>
      </c>
      <c r="U360" s="35">
        <f>IF(T360="","",INT(T360))</f>
        <v/>
      </c>
      <c r="V360" s="33" t="inlineStr">
        <is>
          <t>NO</t>
        </is>
      </c>
      <c r="W360" s="33" t="inlineStr">
        <is>
          <t>YES</t>
        </is>
      </c>
      <c r="X360" s="33" t="inlineStr">
        <is>
          <t>NO</t>
        </is>
      </c>
      <c r="Y360" s="33" t="n">
        <v>3</v>
      </c>
      <c r="Z360" s="33" t="n">
        <v>4</v>
      </c>
      <c r="AA360" s="33" t="inlineStr">
        <is>
          <t>1</t>
        </is>
      </c>
      <c r="AB360" s="33" t="inlineStr">
        <is>
          <t>https://www.swimcloud.com/results/351184/event/14/?id=167939628#time167939628</t>
        </is>
      </c>
      <c r="AC360" s="33" t="inlineStr">
        <is>
          <t>SwimCloud API v6 2026-10-08</t>
        </is>
      </c>
      <c r="AD360" s="33" t="inlineStr">
        <is>
          <t>Caeleb Dressel|2026-01-15|LCM|100|Fly|52.25|TYR Pro Swim Series - Austin|PRE|False</t>
        </is>
      </c>
      <c r="AE360" s="53">
        <f>G360+L360/1000+ROW()/1000000000</f>
        <v/>
      </c>
      <c r="AF360" s="35">
        <f>IF(C360&lt;&gt;"Grayson Coulter","",COUNTIFS($C$5:$C$2991,"Grayson Coulter",$Q$5:$Q$2991,Q360,$AE$5:$AE$2991,"&lt;="&amp;AE360,$R$5:$R$2991,"&lt;"&amp;R360))</f>
        <v/>
      </c>
      <c r="AG360" s="35">
        <f>IF(OR(C360&lt;&gt;"Grayson Coulter",G360&lt;'00_Control'!$B$7),"",--(AF360&lt;5))</f>
        <v/>
      </c>
      <c r="AH360" s="35">
        <f>IF(OR(C360&lt;&gt;"Grayson Coulter",G360&lt;'00_Control'!$B$7),"",--(AF360&lt;10))</f>
        <v/>
      </c>
      <c r="AI360" s="35">
        <f>IF(AND(C360="Grayson Coulter",G360&gt;='00_Control'!$B$7),"YES","NO")</f>
        <v/>
      </c>
      <c r="AJ360" s="33" t="inlineStr">
        <is>
          <t>OK</t>
        </is>
      </c>
    </row>
    <row r="361">
      <c r="A361" s="33" t="inlineStr">
        <is>
          <t>SM000357</t>
        </is>
      </c>
      <c r="B361" s="33" t="inlineStr">
        <is>
          <t>SW010</t>
        </is>
      </c>
      <c r="C361" s="33" t="inlineStr">
        <is>
          <t>Caeleb Dressel</t>
        </is>
      </c>
      <c r="D361" s="33" t="inlineStr">
        <is>
          <t>SwimCloud</t>
        </is>
      </c>
      <c r="E361" s="33" t="inlineStr">
        <is>
          <t>2361642</t>
        </is>
      </c>
      <c r="F361" s="33" t="inlineStr">
        <is>
          <t>167939627</t>
        </is>
      </c>
      <c r="G361" s="51" t="n">
        <v>46037</v>
      </c>
      <c r="H361" s="33" t="inlineStr">
        <is>
          <t>TYR Pro Swim Series - Austin</t>
        </is>
      </c>
      <c r="I361" s="33" t="inlineStr">
        <is>
          <t>351184</t>
        </is>
      </c>
      <c r="J361" s="33" t="inlineStr"/>
      <c r="K361" s="33" t="inlineStr">
        <is>
          <t>FIN</t>
        </is>
      </c>
      <c r="L361" s="35">
        <f>IF(K361="FIN",3,IF(OR(K361="SEM",K361="SEMI"),2,IF(OR(K361="PRE",K361="HEAT"),1,IF(V361="YES",4,2))))</f>
        <v/>
      </c>
      <c r="M361" s="33" t="inlineStr">
        <is>
          <t>LCM</t>
        </is>
      </c>
      <c r="N361" s="33" t="n">
        <v>100</v>
      </c>
      <c r="O361" s="33" t="inlineStr">
        <is>
          <t>Fly</t>
        </is>
      </c>
      <c r="P361" s="33" t="inlineStr">
        <is>
          <t>100 Fly</t>
        </is>
      </c>
      <c r="Q361" s="33" t="inlineStr">
        <is>
          <t>LCM_100_FLY</t>
        </is>
      </c>
      <c r="R361" s="36" t="n">
        <v>51.62</v>
      </c>
      <c r="S361" s="35">
        <f>IF(R361="","",IF(R361&gt;=60,INT(R361/60)&amp;":"&amp;TEXT(MOD(R361,60),"00.00"),TEXT(R361,"0.00")))</f>
        <v/>
      </c>
      <c r="T361" s="52">
        <f>IFERROR((G361-INDEX('01_Swimmers'!$E$5:$E$22,MATCH(B361,'01_Swimmers'!$A$5:$A$22,0)))/'00_Control'!$B$10,"")</f>
        <v/>
      </c>
      <c r="U361" s="35">
        <f>IF(T361="","",INT(T361))</f>
        <v/>
      </c>
      <c r="V361" s="33" t="inlineStr">
        <is>
          <t>NO</t>
        </is>
      </c>
      <c r="W361" s="33" t="inlineStr">
        <is>
          <t>YES</t>
        </is>
      </c>
      <c r="X361" s="33" t="inlineStr">
        <is>
          <t>NO</t>
        </is>
      </c>
      <c r="Y361" s="33" t="n">
        <v>1</v>
      </c>
      <c r="Z361" s="33" t="n">
        <v>4</v>
      </c>
      <c r="AA361" s="33" t="inlineStr">
        <is>
          <t>2</t>
        </is>
      </c>
      <c r="AB361" s="33" t="inlineStr">
        <is>
          <t>https://www.swimcloud.com/results/351184/event/14/?id=167939627#time167939627</t>
        </is>
      </c>
      <c r="AC361" s="33" t="inlineStr">
        <is>
          <t>SwimCloud API v6 2026-10-08</t>
        </is>
      </c>
      <c r="AD361" s="33" t="inlineStr">
        <is>
          <t>Caeleb Dressel|2026-01-15|LCM|100|Fly|51.62|TYR Pro Swim Series - Austin|FIN|False</t>
        </is>
      </c>
      <c r="AE361" s="53">
        <f>G361+L361/1000+ROW()/1000000000</f>
        <v/>
      </c>
      <c r="AF361" s="35">
        <f>IF(C361&lt;&gt;"Grayson Coulter","",COUNTIFS($C$5:$C$2991,"Grayson Coulter",$Q$5:$Q$2991,Q361,$AE$5:$AE$2991,"&lt;="&amp;AE361,$R$5:$R$2991,"&lt;"&amp;R361))</f>
        <v/>
      </c>
      <c r="AG361" s="35">
        <f>IF(OR(C361&lt;&gt;"Grayson Coulter",G361&lt;'00_Control'!$B$7),"",--(AF361&lt;5))</f>
        <v/>
      </c>
      <c r="AH361" s="35">
        <f>IF(OR(C361&lt;&gt;"Grayson Coulter",G361&lt;'00_Control'!$B$7),"",--(AF361&lt;10))</f>
        <v/>
      </c>
      <c r="AI361" s="35">
        <f>IF(AND(C361="Grayson Coulter",G361&gt;='00_Control'!$B$7),"YES","NO")</f>
        <v/>
      </c>
      <c r="AJ361" s="33" t="inlineStr">
        <is>
          <t>OK</t>
        </is>
      </c>
    </row>
    <row r="362">
      <c r="A362" s="33" t="inlineStr">
        <is>
          <t>SM000358</t>
        </is>
      </c>
      <c r="B362" s="33" t="inlineStr">
        <is>
          <t>SW010</t>
        </is>
      </c>
      <c r="C362" s="33" t="inlineStr">
        <is>
          <t>Caeleb Dressel</t>
        </is>
      </c>
      <c r="D362" s="33" t="inlineStr">
        <is>
          <t>SwimCloud</t>
        </is>
      </c>
      <c r="E362" s="33" t="inlineStr">
        <is>
          <t>2361642</t>
        </is>
      </c>
      <c r="F362" s="33" t="inlineStr">
        <is>
          <t>167939630</t>
        </is>
      </c>
      <c r="G362" s="51" t="n">
        <v>46039</v>
      </c>
      <c r="H362" s="33" t="inlineStr">
        <is>
          <t>TYR Pro Swim Series - Austin</t>
        </is>
      </c>
      <c r="I362" s="33" t="inlineStr">
        <is>
          <t>351184</t>
        </is>
      </c>
      <c r="J362" s="33" t="inlineStr"/>
      <c r="K362" s="33" t="inlineStr">
        <is>
          <t>PRE</t>
        </is>
      </c>
      <c r="L362" s="35">
        <f>IF(K362="FIN",3,IF(OR(K362="SEM",K362="SEMI"),2,IF(OR(K362="PRE",K362="HEAT"),1,IF(V362="YES",4,2))))</f>
        <v/>
      </c>
      <c r="M362" s="33" t="inlineStr">
        <is>
          <t>LCM</t>
        </is>
      </c>
      <c r="N362" s="33" t="n">
        <v>100</v>
      </c>
      <c r="O362" s="33" t="inlineStr">
        <is>
          <t>Free</t>
        </is>
      </c>
      <c r="P362" s="33" t="inlineStr">
        <is>
          <t>100 Free</t>
        </is>
      </c>
      <c r="Q362" s="33" t="inlineStr">
        <is>
          <t>LCM_100_FREE</t>
        </is>
      </c>
      <c r="R362" s="36" t="n">
        <v>49.27</v>
      </c>
      <c r="S362" s="35">
        <f>IF(R362="","",IF(R362&gt;=60,INT(R362/60)&amp;":"&amp;TEXT(MOD(R362,60),"00.00"),TEXT(R362,"0.00")))</f>
        <v/>
      </c>
      <c r="T362" s="52">
        <f>IFERROR((G362-INDEX('01_Swimmers'!$E$5:$E$22,MATCH(B362,'01_Swimmers'!$A$5:$A$22,0)))/'00_Control'!$B$10,"")</f>
        <v/>
      </c>
      <c r="U362" s="35">
        <f>IF(T362="","",INT(T362))</f>
        <v/>
      </c>
      <c r="V362" s="33" t="inlineStr">
        <is>
          <t>NO</t>
        </is>
      </c>
      <c r="W362" s="33" t="inlineStr">
        <is>
          <t>YES</t>
        </is>
      </c>
      <c r="X362" s="33" t="inlineStr">
        <is>
          <t>NO</t>
        </is>
      </c>
      <c r="Y362" s="33" t="n">
        <v>6</v>
      </c>
      <c r="Z362" s="33" t="n">
        <v>5</v>
      </c>
      <c r="AA362" s="33" t="inlineStr">
        <is>
          <t>9</t>
        </is>
      </c>
      <c r="AB362" s="33" t="inlineStr">
        <is>
          <t>https://www.swimcloud.com/results/351184/event/30/?id=167939630#time167939630</t>
        </is>
      </c>
      <c r="AC362" s="33" t="inlineStr">
        <is>
          <t>SwimCloud API v6 2026-10-08</t>
        </is>
      </c>
      <c r="AD362" s="33" t="inlineStr">
        <is>
          <t>Caeleb Dressel|2026-01-17|LCM|100|Free|49.27|TYR Pro Swim Series - Austin|PRE|False</t>
        </is>
      </c>
      <c r="AE362" s="53">
        <f>G362+L362/1000+ROW()/1000000000</f>
        <v/>
      </c>
      <c r="AF362" s="35">
        <f>IF(C362&lt;&gt;"Grayson Coulter","",COUNTIFS($C$5:$C$2991,"Grayson Coulter",$Q$5:$Q$2991,Q362,$AE$5:$AE$2991,"&lt;="&amp;AE362,$R$5:$R$2991,"&lt;"&amp;R362))</f>
        <v/>
      </c>
      <c r="AG362" s="35">
        <f>IF(OR(C362&lt;&gt;"Grayson Coulter",G362&lt;'00_Control'!$B$7),"",--(AF362&lt;5))</f>
        <v/>
      </c>
      <c r="AH362" s="35">
        <f>IF(OR(C362&lt;&gt;"Grayson Coulter",G362&lt;'00_Control'!$B$7),"",--(AF362&lt;10))</f>
        <v/>
      </c>
      <c r="AI362" s="35">
        <f>IF(AND(C362="Grayson Coulter",G362&gt;='00_Control'!$B$7),"YES","NO")</f>
        <v/>
      </c>
      <c r="AJ362" s="33" t="inlineStr">
        <is>
          <t>OK</t>
        </is>
      </c>
    </row>
    <row r="363">
      <c r="A363" s="33" t="inlineStr">
        <is>
          <t>SM000359</t>
        </is>
      </c>
      <c r="B363" s="33" t="inlineStr">
        <is>
          <t>SW010</t>
        </is>
      </c>
      <c r="C363" s="33" t="inlineStr">
        <is>
          <t>Caeleb Dressel</t>
        </is>
      </c>
      <c r="D363" s="33" t="inlineStr">
        <is>
          <t>SwimCloud</t>
        </is>
      </c>
      <c r="E363" s="33" t="inlineStr">
        <is>
          <t>2361642</t>
        </is>
      </c>
      <c r="F363" s="33" t="inlineStr">
        <is>
          <t>167939629</t>
        </is>
      </c>
      <c r="G363" s="51" t="n">
        <v>46039</v>
      </c>
      <c r="H363" s="33" t="inlineStr">
        <is>
          <t>TYR Pro Swim Series - Austin</t>
        </is>
      </c>
      <c r="I363" s="33" t="inlineStr">
        <is>
          <t>351184</t>
        </is>
      </c>
      <c r="J363" s="33" t="inlineStr"/>
      <c r="K363" s="33" t="inlineStr">
        <is>
          <t>FIN</t>
        </is>
      </c>
      <c r="L363" s="35">
        <f>IF(K363="FIN",3,IF(OR(K363="SEM",K363="SEMI"),2,IF(OR(K363="PRE",K363="HEAT"),1,IF(V363="YES",4,2))))</f>
        <v/>
      </c>
      <c r="M363" s="33" t="inlineStr">
        <is>
          <t>LCM</t>
        </is>
      </c>
      <c r="N363" s="33" t="n">
        <v>100</v>
      </c>
      <c r="O363" s="33" t="inlineStr">
        <is>
          <t>Free</t>
        </is>
      </c>
      <c r="P363" s="33" t="inlineStr">
        <is>
          <t>100 Free</t>
        </is>
      </c>
      <c r="Q363" s="33" t="inlineStr">
        <is>
          <t>LCM_100_FREE</t>
        </is>
      </c>
      <c r="R363" s="36" t="n">
        <v>49.72</v>
      </c>
      <c r="S363" s="35">
        <f>IF(R363="","",IF(R363&gt;=60,INT(R363/60)&amp;":"&amp;TEXT(MOD(R363,60),"00.00"),TEXT(R363,"0.00")))</f>
        <v/>
      </c>
      <c r="T363" s="52">
        <f>IFERROR((G363-INDEX('01_Swimmers'!$E$5:$E$22,MATCH(B363,'01_Swimmers'!$A$5:$A$22,0)))/'00_Control'!$B$10,"")</f>
        <v/>
      </c>
      <c r="U363" s="35">
        <f>IF(T363="","",INT(T363))</f>
        <v/>
      </c>
      <c r="V363" s="33" t="inlineStr">
        <is>
          <t>NO</t>
        </is>
      </c>
      <c r="W363" s="33" t="inlineStr">
        <is>
          <t>YES</t>
        </is>
      </c>
      <c r="X363" s="33" t="inlineStr">
        <is>
          <t>NO</t>
        </is>
      </c>
      <c r="Y363" s="33" t="n">
        <v>2</v>
      </c>
      <c r="Z363" s="33" t="n">
        <v>4</v>
      </c>
      <c r="AA363" s="33" t="inlineStr">
        <is>
          <t>9</t>
        </is>
      </c>
      <c r="AB363" s="33" t="inlineStr">
        <is>
          <t>https://www.swimcloud.com/results/351184/event/30/?id=167939629#time167939629</t>
        </is>
      </c>
      <c r="AC363" s="33" t="inlineStr">
        <is>
          <t>SwimCloud API v6 2026-10-08</t>
        </is>
      </c>
      <c r="AD363" s="33" t="inlineStr">
        <is>
          <t>Caeleb Dressel|2026-01-17|LCM|100|Free|49.72|TYR Pro Swim Series - Austin|FIN|False</t>
        </is>
      </c>
      <c r="AE363" s="53">
        <f>G363+L363/1000+ROW()/1000000000</f>
        <v/>
      </c>
      <c r="AF363" s="35">
        <f>IF(C363&lt;&gt;"Grayson Coulter","",COUNTIFS($C$5:$C$2991,"Grayson Coulter",$Q$5:$Q$2991,Q363,$AE$5:$AE$2991,"&lt;="&amp;AE363,$R$5:$R$2991,"&lt;"&amp;R363))</f>
        <v/>
      </c>
      <c r="AG363" s="35">
        <f>IF(OR(C363&lt;&gt;"Grayson Coulter",G363&lt;'00_Control'!$B$7),"",--(AF363&lt;5))</f>
        <v/>
      </c>
      <c r="AH363" s="35">
        <f>IF(OR(C363&lt;&gt;"Grayson Coulter",G363&lt;'00_Control'!$B$7),"",--(AF363&lt;10))</f>
        <v/>
      </c>
      <c r="AI363" s="35">
        <f>IF(AND(C363="Grayson Coulter",G363&gt;='00_Control'!$B$7),"YES","NO")</f>
        <v/>
      </c>
      <c r="AJ363" s="33" t="inlineStr">
        <is>
          <t>OK</t>
        </is>
      </c>
    </row>
    <row r="364">
      <c r="A364" s="33" t="inlineStr">
        <is>
          <t>SM000360</t>
        </is>
      </c>
      <c r="B364" s="33" t="inlineStr">
        <is>
          <t>SW010</t>
        </is>
      </c>
      <c r="C364" s="33" t="inlineStr">
        <is>
          <t>Caeleb Dressel</t>
        </is>
      </c>
      <c r="D364" s="33" t="inlineStr">
        <is>
          <t>SwimCloud</t>
        </is>
      </c>
      <c r="E364" s="33" t="inlineStr">
        <is>
          <t>2361642</t>
        </is>
      </c>
      <c r="F364" s="33" t="inlineStr">
        <is>
          <t>173277432</t>
        </is>
      </c>
      <c r="G364" s="51" t="n">
        <v>46085</v>
      </c>
      <c r="H364" s="33" t="inlineStr">
        <is>
          <t>TYR Pro Swim Series - Westmont</t>
        </is>
      </c>
      <c r="I364" s="33" t="inlineStr">
        <is>
          <t>381683</t>
        </is>
      </c>
      <c r="J364" s="33" t="inlineStr"/>
      <c r="K364" s="33" t="inlineStr">
        <is>
          <t>PRE</t>
        </is>
      </c>
      <c r="L364" s="35">
        <f>IF(K364="FIN",3,IF(OR(K364="SEM",K364="SEMI"),2,IF(OR(K364="PRE",K364="HEAT"),1,IF(V364="YES",4,2))))</f>
        <v/>
      </c>
      <c r="M364" s="33" t="inlineStr">
        <is>
          <t>LCM</t>
        </is>
      </c>
      <c r="N364" s="33" t="n">
        <v>100</v>
      </c>
      <c r="O364" s="33" t="inlineStr">
        <is>
          <t>Free</t>
        </is>
      </c>
      <c r="P364" s="33" t="inlineStr">
        <is>
          <t>100 Free</t>
        </is>
      </c>
      <c r="Q364" s="33" t="inlineStr">
        <is>
          <t>LCM_100_FREE</t>
        </is>
      </c>
      <c r="R364" s="36" t="n">
        <v>50.22</v>
      </c>
      <c r="S364" s="35">
        <f>IF(R364="","",IF(R364&gt;=60,INT(R364/60)&amp;":"&amp;TEXT(MOD(R364,60),"00.00"),TEXT(R364,"0.00")))</f>
        <v/>
      </c>
      <c r="T364" s="52">
        <f>IFERROR((G364-INDEX('01_Swimmers'!$E$5:$E$22,MATCH(B364,'01_Swimmers'!$A$5:$A$22,0)))/'00_Control'!$B$10,"")</f>
        <v/>
      </c>
      <c r="U364" s="35">
        <f>IF(T364="","",INT(T364))</f>
        <v/>
      </c>
      <c r="V364" s="33" t="inlineStr">
        <is>
          <t>NO</t>
        </is>
      </c>
      <c r="W364" s="33" t="inlineStr">
        <is>
          <t>YES</t>
        </is>
      </c>
      <c r="X364" s="33" t="inlineStr">
        <is>
          <t>NO</t>
        </is>
      </c>
      <c r="Y364" s="33" t="n">
        <v>6</v>
      </c>
      <c r="Z364" s="33" t="n">
        <v>4</v>
      </c>
      <c r="AA364" s="33" t="inlineStr">
        <is>
          <t>12</t>
        </is>
      </c>
      <c r="AB364" s="33" t="inlineStr">
        <is>
          <t>https://www.swimcloud.com/results/381683/event/8/?id=173277432#time173277432</t>
        </is>
      </c>
      <c r="AC364" s="33" t="inlineStr">
        <is>
          <t>SwimCloud API v6 2026-10-08</t>
        </is>
      </c>
      <c r="AD364" s="33" t="inlineStr">
        <is>
          <t>Caeleb Dressel|2026-03-04|LCM|100|Free|50.22|TYR Pro Swim Series - Westmont|PRE|False</t>
        </is>
      </c>
      <c r="AE364" s="53">
        <f>G364+L364/1000+ROW()/1000000000</f>
        <v/>
      </c>
      <c r="AF364" s="35">
        <f>IF(C364&lt;&gt;"Grayson Coulter","",COUNTIFS($C$5:$C$2991,"Grayson Coulter",$Q$5:$Q$2991,Q364,$AE$5:$AE$2991,"&lt;="&amp;AE364,$R$5:$R$2991,"&lt;"&amp;R364))</f>
        <v/>
      </c>
      <c r="AG364" s="35">
        <f>IF(OR(C364&lt;&gt;"Grayson Coulter",G364&lt;'00_Control'!$B$7),"",--(AF364&lt;5))</f>
        <v/>
      </c>
      <c r="AH364" s="35">
        <f>IF(OR(C364&lt;&gt;"Grayson Coulter",G364&lt;'00_Control'!$B$7),"",--(AF364&lt;10))</f>
        <v/>
      </c>
      <c r="AI364" s="35">
        <f>IF(AND(C364="Grayson Coulter",G364&gt;='00_Control'!$B$7),"YES","NO")</f>
        <v/>
      </c>
      <c r="AJ364" s="33" t="inlineStr">
        <is>
          <t>OK</t>
        </is>
      </c>
    </row>
    <row r="365">
      <c r="A365" s="33" t="inlineStr">
        <is>
          <t>SM000361</t>
        </is>
      </c>
      <c r="B365" s="33" t="inlineStr">
        <is>
          <t>SW010</t>
        </is>
      </c>
      <c r="C365" s="33" t="inlineStr">
        <is>
          <t>Caeleb Dressel</t>
        </is>
      </c>
      <c r="D365" s="33" t="inlineStr">
        <is>
          <t>SwimCloud</t>
        </is>
      </c>
      <c r="E365" s="33" t="inlineStr">
        <is>
          <t>2361642</t>
        </is>
      </c>
      <c r="F365" s="33" t="inlineStr">
        <is>
          <t>173275060</t>
        </is>
      </c>
      <c r="G365" s="51" t="n">
        <v>46088</v>
      </c>
      <c r="H365" s="33" t="inlineStr">
        <is>
          <t>TYR Pro Swim Series - Westmont Time Trials</t>
        </is>
      </c>
      <c r="I365" s="33" t="inlineStr">
        <is>
          <t>351185</t>
        </is>
      </c>
      <c r="J365" s="33" t="inlineStr"/>
      <c r="K365" s="33" t="inlineStr">
        <is>
          <t>TIM</t>
        </is>
      </c>
      <c r="L365" s="35">
        <f>IF(K365="FIN",3,IF(OR(K365="SEM",K365="SEMI"),2,IF(OR(K365="PRE",K365="HEAT"),1,IF(V365="YES",4,2))))</f>
        <v/>
      </c>
      <c r="M365" s="33" t="inlineStr">
        <is>
          <t>LCM</t>
        </is>
      </c>
      <c r="N365" s="33" t="n">
        <v>100</v>
      </c>
      <c r="O365" s="33" t="inlineStr">
        <is>
          <t>Fly</t>
        </is>
      </c>
      <c r="P365" s="33" t="inlineStr">
        <is>
          <t>100 Fly</t>
        </is>
      </c>
      <c r="Q365" s="33" t="inlineStr">
        <is>
          <t>LCM_100_FLY</t>
        </is>
      </c>
      <c r="R365" s="36" t="n">
        <v>53.1</v>
      </c>
      <c r="S365" s="35">
        <f>IF(R365="","",IF(R365&gt;=60,INT(R365/60)&amp;":"&amp;TEXT(MOD(R365,60),"00.00"),TEXT(R365,"0.00")))</f>
        <v/>
      </c>
      <c r="T365" s="52">
        <f>IFERROR((G365-INDEX('01_Swimmers'!$E$5:$E$22,MATCH(B365,'01_Swimmers'!$A$5:$A$22,0)))/'00_Control'!$B$10,"")</f>
        <v/>
      </c>
      <c r="U365" s="35">
        <f>IF(T365="","",INT(T365))</f>
        <v/>
      </c>
      <c r="V365" s="33" t="inlineStr">
        <is>
          <t>NO</t>
        </is>
      </c>
      <c r="W365" s="33" t="inlineStr">
        <is>
          <t>YES</t>
        </is>
      </c>
      <c r="X365" s="33" t="inlineStr">
        <is>
          <t>NO</t>
        </is>
      </c>
      <c r="Y365" s="33" t="n">
        <v>1</v>
      </c>
      <c r="Z365" s="33" t="n">
        <v>3</v>
      </c>
      <c r="AA365" s="33" t="inlineStr">
        <is>
          <t>1</t>
        </is>
      </c>
      <c r="AB365" s="33" t="inlineStr">
        <is>
          <t>https://www.swimcloud.com/results/351185/event/320/?id=173275060#time173275060</t>
        </is>
      </c>
      <c r="AC365" s="33" t="inlineStr">
        <is>
          <t>SwimCloud API v6 2026-10-08</t>
        </is>
      </c>
      <c r="AD365" s="33" t="inlineStr">
        <is>
          <t>Caeleb Dressel|2026-03-07|LCM|100|Fly|53.1|TYR Pro Swim Series - Westmont Time Trials|TIM|False</t>
        </is>
      </c>
      <c r="AE365" s="53">
        <f>G365+L365/1000+ROW()/1000000000</f>
        <v/>
      </c>
      <c r="AF365" s="35">
        <f>IF(C365&lt;&gt;"Grayson Coulter","",COUNTIFS($C$5:$C$2991,"Grayson Coulter",$Q$5:$Q$2991,Q365,$AE$5:$AE$2991,"&lt;="&amp;AE365,$R$5:$R$2991,"&lt;"&amp;R365))</f>
        <v/>
      </c>
      <c r="AG365" s="35">
        <f>IF(OR(C365&lt;&gt;"Grayson Coulter",G365&lt;'00_Control'!$B$7),"",--(AF365&lt;5))</f>
        <v/>
      </c>
      <c r="AH365" s="35">
        <f>IF(OR(C365&lt;&gt;"Grayson Coulter",G365&lt;'00_Control'!$B$7),"",--(AF365&lt;10))</f>
        <v/>
      </c>
      <c r="AI365" s="35">
        <f>IF(AND(C365="Grayson Coulter",G365&gt;='00_Control'!$B$7),"YES","NO")</f>
        <v/>
      </c>
      <c r="AJ365" s="33" t="inlineStr">
        <is>
          <t>OK</t>
        </is>
      </c>
    </row>
    <row r="366">
      <c r="A366" s="33" t="inlineStr">
        <is>
          <t>SM000362</t>
        </is>
      </c>
      <c r="B366" s="33" t="inlineStr">
        <is>
          <t>SW010</t>
        </is>
      </c>
      <c r="C366" s="33" t="inlineStr">
        <is>
          <t>Caeleb Dressel</t>
        </is>
      </c>
      <c r="D366" s="33" t="inlineStr">
        <is>
          <t>SwimCloud</t>
        </is>
      </c>
      <c r="E366" s="33" t="inlineStr">
        <is>
          <t>2361642</t>
        </is>
      </c>
      <c r="F366" s="33" t="inlineStr">
        <is>
          <t>176191817</t>
        </is>
      </c>
      <c r="G366" s="51" t="n">
        <v>46142</v>
      </c>
      <c r="H366" s="33" t="inlineStr">
        <is>
          <t>FG SFTL Fort Lauderdale Open</t>
        </is>
      </c>
      <c r="I366" s="33" t="inlineStr">
        <is>
          <t>367638</t>
        </is>
      </c>
      <c r="J366" s="33" t="inlineStr"/>
      <c r="K366" s="33" t="inlineStr">
        <is>
          <t>PRE</t>
        </is>
      </c>
      <c r="L366" s="35">
        <f>IF(K366="FIN",3,IF(OR(K366="SEM",K366="SEMI"),2,IF(OR(K366="PRE",K366="HEAT"),1,IF(V366="YES",4,2))))</f>
        <v/>
      </c>
      <c r="M366" s="33" t="inlineStr">
        <is>
          <t>LCM</t>
        </is>
      </c>
      <c r="N366" s="33" t="n">
        <v>100</v>
      </c>
      <c r="O366" s="33" t="inlineStr">
        <is>
          <t>Free</t>
        </is>
      </c>
      <c r="P366" s="33" t="inlineStr">
        <is>
          <t>100 Free</t>
        </is>
      </c>
      <c r="Q366" s="33" t="inlineStr">
        <is>
          <t>LCM_100_FREE</t>
        </is>
      </c>
      <c r="R366" s="36" t="n">
        <v>49.9</v>
      </c>
      <c r="S366" s="35">
        <f>IF(R366="","",IF(R366&gt;=60,INT(R366/60)&amp;":"&amp;TEXT(MOD(R366,60),"00.00"),TEXT(R366,"0.00")))</f>
        <v/>
      </c>
      <c r="T366" s="52">
        <f>IFERROR((G366-INDEX('01_Swimmers'!$E$5:$E$22,MATCH(B366,'01_Swimmers'!$A$5:$A$22,0)))/'00_Control'!$B$10,"")</f>
        <v/>
      </c>
      <c r="U366" s="35">
        <f>IF(T366="","",INT(T366))</f>
        <v/>
      </c>
      <c r="V366" s="33" t="inlineStr">
        <is>
          <t>NO</t>
        </is>
      </c>
      <c r="W366" s="33" t="inlineStr">
        <is>
          <t>YES</t>
        </is>
      </c>
      <c r="X366" s="33" t="inlineStr">
        <is>
          <t>NO</t>
        </is>
      </c>
      <c r="Y366" s="33" t="n">
        <v>10</v>
      </c>
      <c r="Z366" s="33" t="n">
        <v>5</v>
      </c>
      <c r="AA366" s="33" t="inlineStr">
        <is>
          <t>10</t>
        </is>
      </c>
      <c r="AB366" s="33" t="inlineStr">
        <is>
          <t>https://www.swimcloud.com/results/367638/event/4/?id=176191817#time176191817</t>
        </is>
      </c>
      <c r="AC366" s="33" t="inlineStr">
        <is>
          <t>SwimCloud API v6 2026-10-08</t>
        </is>
      </c>
      <c r="AD366" s="33" t="inlineStr">
        <is>
          <t>Caeleb Dressel|2026-04-30|LCM|100|Free|49.9|FG SFTL Fort Lauderdale Open|PRE|False</t>
        </is>
      </c>
      <c r="AE366" s="53">
        <f>G366+L366/1000+ROW()/1000000000</f>
        <v/>
      </c>
      <c r="AF366" s="35">
        <f>IF(C366&lt;&gt;"Grayson Coulter","",COUNTIFS($C$5:$C$2991,"Grayson Coulter",$Q$5:$Q$2991,Q366,$AE$5:$AE$2991,"&lt;="&amp;AE366,$R$5:$R$2991,"&lt;"&amp;R366))</f>
        <v/>
      </c>
      <c r="AG366" s="35">
        <f>IF(OR(C366&lt;&gt;"Grayson Coulter",G366&lt;'00_Control'!$B$7),"",--(AF366&lt;5))</f>
        <v/>
      </c>
      <c r="AH366" s="35">
        <f>IF(OR(C366&lt;&gt;"Grayson Coulter",G366&lt;'00_Control'!$B$7),"",--(AF366&lt;10))</f>
        <v/>
      </c>
      <c r="AI366" s="35">
        <f>IF(AND(C366="Grayson Coulter",G366&gt;='00_Control'!$B$7),"YES","NO")</f>
        <v/>
      </c>
      <c r="AJ366" s="33" t="inlineStr">
        <is>
          <t>OK</t>
        </is>
      </c>
    </row>
    <row r="367">
      <c r="A367" s="33" t="inlineStr">
        <is>
          <t>SM000363</t>
        </is>
      </c>
      <c r="B367" s="33" t="inlineStr">
        <is>
          <t>SW010</t>
        </is>
      </c>
      <c r="C367" s="33" t="inlineStr">
        <is>
          <t>Caeleb Dressel</t>
        </is>
      </c>
      <c r="D367" s="33" t="inlineStr">
        <is>
          <t>SwimCloud</t>
        </is>
      </c>
      <c r="E367" s="33" t="inlineStr">
        <is>
          <t>2361642</t>
        </is>
      </c>
      <c r="F367" s="33" t="inlineStr">
        <is>
          <t>176191818</t>
        </is>
      </c>
      <c r="G367" s="51" t="n">
        <v>46142</v>
      </c>
      <c r="H367" s="33" t="inlineStr">
        <is>
          <t>FG SFTL Fort Lauderdale Open</t>
        </is>
      </c>
      <c r="I367" s="33" t="inlineStr">
        <is>
          <t>367638</t>
        </is>
      </c>
      <c r="J367" s="33" t="inlineStr"/>
      <c r="K367" s="33" t="inlineStr">
        <is>
          <t>FIN</t>
        </is>
      </c>
      <c r="L367" s="35">
        <f>IF(K367="FIN",3,IF(OR(K367="SEM",K367="SEMI"),2,IF(OR(K367="PRE",K367="HEAT"),1,IF(V367="YES",4,2))))</f>
        <v/>
      </c>
      <c r="M367" s="33" t="inlineStr">
        <is>
          <t>LCM</t>
        </is>
      </c>
      <c r="N367" s="33" t="n">
        <v>100</v>
      </c>
      <c r="O367" s="33" t="inlineStr">
        <is>
          <t>Free</t>
        </is>
      </c>
      <c r="P367" s="33" t="inlineStr">
        <is>
          <t>100 Free</t>
        </is>
      </c>
      <c r="Q367" s="33" t="inlineStr">
        <is>
          <t>LCM_100_FREE</t>
        </is>
      </c>
      <c r="R367" s="36" t="n">
        <v>48.97</v>
      </c>
      <c r="S367" s="35">
        <f>IF(R367="","",IF(R367&gt;=60,INT(R367/60)&amp;":"&amp;TEXT(MOD(R367,60),"00.00"),TEXT(R367,"0.00")))</f>
        <v/>
      </c>
      <c r="T367" s="52">
        <f>IFERROR((G367-INDEX('01_Swimmers'!$E$5:$E$22,MATCH(B367,'01_Swimmers'!$A$5:$A$22,0)))/'00_Control'!$B$10,"")</f>
        <v/>
      </c>
      <c r="U367" s="35">
        <f>IF(T367="","",INT(T367))</f>
        <v/>
      </c>
      <c r="V367" s="33" t="inlineStr">
        <is>
          <t>NO</t>
        </is>
      </c>
      <c r="W367" s="33" t="inlineStr">
        <is>
          <t>YES</t>
        </is>
      </c>
      <c r="X367" s="33" t="inlineStr">
        <is>
          <t>NO</t>
        </is>
      </c>
      <c r="Y367" s="33" t="n">
        <v>1</v>
      </c>
      <c r="Z367" s="33" t="n">
        <v>6</v>
      </c>
      <c r="AA367" s="33" t="inlineStr">
        <is>
          <t>9</t>
        </is>
      </c>
      <c r="AB367" s="33" t="inlineStr">
        <is>
          <t>https://www.swimcloud.com/results/367638/event/4/?id=176191818#time176191818</t>
        </is>
      </c>
      <c r="AC367" s="33" t="inlineStr">
        <is>
          <t>SwimCloud API v6 2026-10-08</t>
        </is>
      </c>
      <c r="AD367" s="33" t="inlineStr">
        <is>
          <t>Caeleb Dressel|2026-04-30|LCM|100|Free|48.97|FG SFTL Fort Lauderdale Open|FIN|False</t>
        </is>
      </c>
      <c r="AE367" s="53">
        <f>G367+L367/1000+ROW()/1000000000</f>
        <v/>
      </c>
      <c r="AF367" s="35">
        <f>IF(C367&lt;&gt;"Grayson Coulter","",COUNTIFS($C$5:$C$2991,"Grayson Coulter",$Q$5:$Q$2991,Q367,$AE$5:$AE$2991,"&lt;="&amp;AE367,$R$5:$R$2991,"&lt;"&amp;R367))</f>
        <v/>
      </c>
      <c r="AG367" s="35">
        <f>IF(OR(C367&lt;&gt;"Grayson Coulter",G367&lt;'00_Control'!$B$7),"",--(AF367&lt;5))</f>
        <v/>
      </c>
      <c r="AH367" s="35">
        <f>IF(OR(C367&lt;&gt;"Grayson Coulter",G367&lt;'00_Control'!$B$7),"",--(AF367&lt;10))</f>
        <v/>
      </c>
      <c r="AI367" s="35">
        <f>IF(AND(C367="Grayson Coulter",G367&gt;='00_Control'!$B$7),"YES","NO")</f>
        <v/>
      </c>
      <c r="AJ367" s="33" t="inlineStr">
        <is>
          <t>OK</t>
        </is>
      </c>
    </row>
    <row r="368">
      <c r="A368" s="33" t="inlineStr">
        <is>
          <t>SM000364</t>
        </is>
      </c>
      <c r="B368" s="33" t="inlineStr">
        <is>
          <t>SW010</t>
        </is>
      </c>
      <c r="C368" s="33" t="inlineStr">
        <is>
          <t>Caeleb Dressel</t>
        </is>
      </c>
      <c r="D368" s="33" t="inlineStr">
        <is>
          <t>SwimCloud</t>
        </is>
      </c>
      <c r="E368" s="33" t="inlineStr">
        <is>
          <t>2361642</t>
        </is>
      </c>
      <c r="F368" s="33" t="inlineStr">
        <is>
          <t>176192671</t>
        </is>
      </c>
      <c r="G368" s="51" t="n">
        <v>46144</v>
      </c>
      <c r="H368" s="33" t="inlineStr">
        <is>
          <t>FG SFTL Fort Lauderdale Open</t>
        </is>
      </c>
      <c r="I368" s="33" t="inlineStr">
        <is>
          <t>367638</t>
        </is>
      </c>
      <c r="J368" s="33" t="inlineStr"/>
      <c r="K368" s="33" t="inlineStr">
        <is>
          <t>PRE</t>
        </is>
      </c>
      <c r="L368" s="35">
        <f>IF(K368="FIN",3,IF(OR(K368="SEM",K368="SEMI"),2,IF(OR(K368="PRE",K368="HEAT"),1,IF(V368="YES",4,2))))</f>
        <v/>
      </c>
      <c r="M368" s="33" t="inlineStr">
        <is>
          <t>LCM</t>
        </is>
      </c>
      <c r="N368" s="33" t="n">
        <v>100</v>
      </c>
      <c r="O368" s="33" t="inlineStr">
        <is>
          <t>Fly</t>
        </is>
      </c>
      <c r="P368" s="33" t="inlineStr">
        <is>
          <t>100 Fly</t>
        </is>
      </c>
      <c r="Q368" s="33" t="inlineStr">
        <is>
          <t>LCM_100_FLY</t>
        </is>
      </c>
      <c r="R368" s="36" t="n">
        <v>52.38</v>
      </c>
      <c r="S368" s="35">
        <f>IF(R368="","",IF(R368&gt;=60,INT(R368/60)&amp;":"&amp;TEXT(MOD(R368,60),"00.00"),TEXT(R368,"0.00")))</f>
        <v/>
      </c>
      <c r="T368" s="52">
        <f>IFERROR((G368-INDEX('01_Swimmers'!$E$5:$E$22,MATCH(B368,'01_Swimmers'!$A$5:$A$22,0)))/'00_Control'!$B$10,"")</f>
        <v/>
      </c>
      <c r="U368" s="35">
        <f>IF(T368="","",INT(T368))</f>
        <v/>
      </c>
      <c r="V368" s="33" t="inlineStr">
        <is>
          <t>NO</t>
        </is>
      </c>
      <c r="W368" s="33" t="inlineStr">
        <is>
          <t>YES</t>
        </is>
      </c>
      <c r="X368" s="33" t="inlineStr">
        <is>
          <t>NO</t>
        </is>
      </c>
      <c r="Y368" s="33" t="n">
        <v>6</v>
      </c>
      <c r="Z368" s="33" t="n">
        <v>5</v>
      </c>
      <c r="AA368" s="33" t="inlineStr">
        <is>
          <t>3</t>
        </is>
      </c>
      <c r="AB368" s="33" t="inlineStr">
        <is>
          <t>https://www.swimcloud.com/results/367638/event/30/?id=176192671#time176192671</t>
        </is>
      </c>
      <c r="AC368" s="33" t="inlineStr">
        <is>
          <t>SwimCloud API v6 2026-10-08</t>
        </is>
      </c>
      <c r="AD368" s="33" t="inlineStr">
        <is>
          <t>Caeleb Dressel|2026-05-02|LCM|100|Fly|52.38|FG SFTL Fort Lauderdale Open|PRE|False</t>
        </is>
      </c>
      <c r="AE368" s="53">
        <f>G368+L368/1000+ROW()/1000000000</f>
        <v/>
      </c>
      <c r="AF368" s="35">
        <f>IF(C368&lt;&gt;"Grayson Coulter","",COUNTIFS($C$5:$C$2991,"Grayson Coulter",$Q$5:$Q$2991,Q368,$AE$5:$AE$2991,"&lt;="&amp;AE368,$R$5:$R$2991,"&lt;"&amp;R368))</f>
        <v/>
      </c>
      <c r="AG368" s="35">
        <f>IF(OR(C368&lt;&gt;"Grayson Coulter",G368&lt;'00_Control'!$B$7),"",--(AF368&lt;5))</f>
        <v/>
      </c>
      <c r="AH368" s="35">
        <f>IF(OR(C368&lt;&gt;"Grayson Coulter",G368&lt;'00_Control'!$B$7),"",--(AF368&lt;10))</f>
        <v/>
      </c>
      <c r="AI368" s="35">
        <f>IF(AND(C368="Grayson Coulter",G368&gt;='00_Control'!$B$7),"YES","NO")</f>
        <v/>
      </c>
      <c r="AJ368" s="33" t="inlineStr">
        <is>
          <t>OK</t>
        </is>
      </c>
    </row>
    <row r="369">
      <c r="A369" s="33" t="inlineStr">
        <is>
          <t>SM000365</t>
        </is>
      </c>
      <c r="B369" s="33" t="inlineStr">
        <is>
          <t>SW010</t>
        </is>
      </c>
      <c r="C369" s="33" t="inlineStr">
        <is>
          <t>Caeleb Dressel</t>
        </is>
      </c>
      <c r="D369" s="33" t="inlineStr">
        <is>
          <t>SwimCloud</t>
        </is>
      </c>
      <c r="E369" s="33" t="inlineStr">
        <is>
          <t>2361642</t>
        </is>
      </c>
      <c r="F369" s="33" t="inlineStr">
        <is>
          <t>176192672</t>
        </is>
      </c>
      <c r="G369" s="51" t="n">
        <v>46144</v>
      </c>
      <c r="H369" s="33" t="inlineStr">
        <is>
          <t>FG SFTL Fort Lauderdale Open</t>
        </is>
      </c>
      <c r="I369" s="33" t="inlineStr">
        <is>
          <t>367638</t>
        </is>
      </c>
      <c r="J369" s="33" t="inlineStr"/>
      <c r="K369" s="33" t="inlineStr">
        <is>
          <t>FIN</t>
        </is>
      </c>
      <c r="L369" s="35">
        <f>IF(K369="FIN",3,IF(OR(K369="SEM",K369="SEMI"),2,IF(OR(K369="PRE",K369="HEAT"),1,IF(V369="YES",4,2))))</f>
        <v/>
      </c>
      <c r="M369" s="33" t="inlineStr">
        <is>
          <t>LCM</t>
        </is>
      </c>
      <c r="N369" s="33" t="n">
        <v>100</v>
      </c>
      <c r="O369" s="33" t="inlineStr">
        <is>
          <t>Fly</t>
        </is>
      </c>
      <c r="P369" s="33" t="inlineStr">
        <is>
          <t>100 Fly</t>
        </is>
      </c>
      <c r="Q369" s="33" t="inlineStr">
        <is>
          <t>LCM_100_FLY</t>
        </is>
      </c>
      <c r="R369" s="36" t="n">
        <v>51.26</v>
      </c>
      <c r="S369" s="35">
        <f>IF(R369="","",IF(R369&gt;=60,INT(R369/60)&amp;":"&amp;TEXT(MOD(R369,60),"00.00"),TEXT(R369,"0.00")))</f>
        <v/>
      </c>
      <c r="T369" s="52">
        <f>IFERROR((G369-INDEX('01_Swimmers'!$E$5:$E$22,MATCH(B369,'01_Swimmers'!$A$5:$A$22,0)))/'00_Control'!$B$10,"")</f>
        <v/>
      </c>
      <c r="U369" s="35">
        <f>IF(T369="","",INT(T369))</f>
        <v/>
      </c>
      <c r="V369" s="33" t="inlineStr">
        <is>
          <t>NO</t>
        </is>
      </c>
      <c r="W369" s="33" t="inlineStr">
        <is>
          <t>YES</t>
        </is>
      </c>
      <c r="X369" s="33" t="inlineStr">
        <is>
          <t>NO</t>
        </is>
      </c>
      <c r="Y369" s="33" t="n">
        <v>2</v>
      </c>
      <c r="Z369" s="33" t="n">
        <v>4</v>
      </c>
      <c r="AA369" s="33" t="inlineStr">
        <is>
          <t>3</t>
        </is>
      </c>
      <c r="AB369" s="33" t="inlineStr">
        <is>
          <t>https://www.swimcloud.com/results/367638/event/30/?id=176192672#time176192672</t>
        </is>
      </c>
      <c r="AC369" s="33" t="inlineStr">
        <is>
          <t>SwimCloud API v6 2026-10-08</t>
        </is>
      </c>
      <c r="AD369" s="33" t="inlineStr">
        <is>
          <t>Caeleb Dressel|2026-05-02|LCM|100|Fly|51.26|FG SFTL Fort Lauderdale Open|FIN|False</t>
        </is>
      </c>
      <c r="AE369" s="53">
        <f>G369+L369/1000+ROW()/1000000000</f>
        <v/>
      </c>
      <c r="AF369" s="35">
        <f>IF(C369&lt;&gt;"Grayson Coulter","",COUNTIFS($C$5:$C$2991,"Grayson Coulter",$Q$5:$Q$2991,Q369,$AE$5:$AE$2991,"&lt;="&amp;AE369,$R$5:$R$2991,"&lt;"&amp;R369))</f>
        <v/>
      </c>
      <c r="AG369" s="35">
        <f>IF(OR(C369&lt;&gt;"Grayson Coulter",G369&lt;'00_Control'!$B$7),"",--(AF369&lt;5))</f>
        <v/>
      </c>
      <c r="AH369" s="35">
        <f>IF(OR(C369&lt;&gt;"Grayson Coulter",G369&lt;'00_Control'!$B$7),"",--(AF369&lt;10))</f>
        <v/>
      </c>
      <c r="AI369" s="35">
        <f>IF(AND(C369="Grayson Coulter",G369&gt;='00_Control'!$B$7),"YES","NO")</f>
        <v/>
      </c>
      <c r="AJ369" s="33" t="inlineStr">
        <is>
          <t>OK</t>
        </is>
      </c>
    </row>
    <row r="370">
      <c r="A370" s="33" t="inlineStr">
        <is>
          <t>SM000366</t>
        </is>
      </c>
      <c r="B370" s="33" t="inlineStr">
        <is>
          <t>SW010</t>
        </is>
      </c>
      <c r="C370" s="33" t="inlineStr">
        <is>
          <t>Caeleb Dressel</t>
        </is>
      </c>
      <c r="D370" s="33" t="inlineStr">
        <is>
          <t>SwimCloud</t>
        </is>
      </c>
      <c r="E370" s="33" t="inlineStr">
        <is>
          <t>2361642</t>
        </is>
      </c>
      <c r="F370" s="33" t="inlineStr">
        <is>
          <t>179857098</t>
        </is>
      </c>
      <c r="G370" s="51" t="n">
        <v>46191</v>
      </c>
      <c r="H370" s="33" t="inlineStr">
        <is>
          <t>TYR Pro Swim Series - Indianapolis</t>
        </is>
      </c>
      <c r="I370" s="33" t="inlineStr">
        <is>
          <t>351187</t>
        </is>
      </c>
      <c r="J370" s="33" t="inlineStr"/>
      <c r="K370" s="33" t="inlineStr">
        <is>
          <t>PRE</t>
        </is>
      </c>
      <c r="L370" s="35">
        <f>IF(K370="FIN",3,IF(OR(K370="SEM",K370="SEMI"),2,IF(OR(K370="PRE",K370="HEAT"),1,IF(V370="YES",4,2))))</f>
        <v/>
      </c>
      <c r="M370" s="33" t="inlineStr">
        <is>
          <t>LCM</t>
        </is>
      </c>
      <c r="N370" s="33" t="n">
        <v>100</v>
      </c>
      <c r="O370" s="33" t="inlineStr">
        <is>
          <t>Fly</t>
        </is>
      </c>
      <c r="P370" s="33" t="inlineStr">
        <is>
          <t>100 Fly</t>
        </is>
      </c>
      <c r="Q370" s="33" t="inlineStr">
        <is>
          <t>LCM_100_FLY</t>
        </is>
      </c>
      <c r="R370" s="36" t="n">
        <v>52.98</v>
      </c>
      <c r="S370" s="35">
        <f>IF(R370="","",IF(R370&gt;=60,INT(R370/60)&amp;":"&amp;TEXT(MOD(R370,60),"00.00"),TEXT(R370,"0.00")))</f>
        <v/>
      </c>
      <c r="T370" s="52">
        <f>IFERROR((G370-INDEX('01_Swimmers'!$E$5:$E$22,MATCH(B370,'01_Swimmers'!$A$5:$A$22,0)))/'00_Control'!$B$10,"")</f>
        <v/>
      </c>
      <c r="U370" s="35">
        <f>IF(T370="","",INT(T370))</f>
        <v/>
      </c>
      <c r="V370" s="33" t="inlineStr">
        <is>
          <t>NO</t>
        </is>
      </c>
      <c r="W370" s="33" t="inlineStr">
        <is>
          <t>YES</t>
        </is>
      </c>
      <c r="X370" s="33" t="inlineStr">
        <is>
          <t>NO</t>
        </is>
      </c>
      <c r="Y370" s="33" t="n">
        <v>9</v>
      </c>
      <c r="Z370" s="33" t="n">
        <v>4</v>
      </c>
      <c r="AA370" s="33" t="inlineStr">
        <is>
          <t>11</t>
        </is>
      </c>
      <c r="AB370" s="33" t="inlineStr">
        <is>
          <t>https://www.swimcloud.com/results/351187/event/12/?id=179857098#time179857098</t>
        </is>
      </c>
      <c r="AC370" s="33" t="inlineStr">
        <is>
          <t>SwimCloud API v6 2026-10-08</t>
        </is>
      </c>
      <c r="AD370" s="33" t="inlineStr">
        <is>
          <t>Caeleb Dressel|2026-06-18|LCM|100|Fly|52.98|TYR Pro Swim Series - Indianapolis|PRE|False</t>
        </is>
      </c>
      <c r="AE370" s="53">
        <f>G370+L370/1000+ROW()/1000000000</f>
        <v/>
      </c>
      <c r="AF370" s="35">
        <f>IF(C370&lt;&gt;"Grayson Coulter","",COUNTIFS($C$5:$C$2991,"Grayson Coulter",$Q$5:$Q$2991,Q370,$AE$5:$AE$2991,"&lt;="&amp;AE370,$R$5:$R$2991,"&lt;"&amp;R370))</f>
        <v/>
      </c>
      <c r="AG370" s="35">
        <f>IF(OR(C370&lt;&gt;"Grayson Coulter",G370&lt;'00_Control'!$B$7),"",--(AF370&lt;5))</f>
        <v/>
      </c>
      <c r="AH370" s="35">
        <f>IF(OR(C370&lt;&gt;"Grayson Coulter",G370&lt;'00_Control'!$B$7),"",--(AF370&lt;10))</f>
        <v/>
      </c>
      <c r="AI370" s="35">
        <f>IF(AND(C370="Grayson Coulter",G370&gt;='00_Control'!$B$7),"YES","NO")</f>
        <v/>
      </c>
      <c r="AJ370" s="33" t="inlineStr">
        <is>
          <t>OK</t>
        </is>
      </c>
    </row>
    <row r="371">
      <c r="A371" s="33" t="inlineStr">
        <is>
          <t>SM000367</t>
        </is>
      </c>
      <c r="B371" s="33" t="inlineStr">
        <is>
          <t>SW010</t>
        </is>
      </c>
      <c r="C371" s="33" t="inlineStr">
        <is>
          <t>Caeleb Dressel</t>
        </is>
      </c>
      <c r="D371" s="33" t="inlineStr">
        <is>
          <t>SwimCloud</t>
        </is>
      </c>
      <c r="E371" s="33" t="inlineStr">
        <is>
          <t>2361642</t>
        </is>
      </c>
      <c r="F371" s="33" t="inlineStr">
        <is>
          <t>179857099</t>
        </is>
      </c>
      <c r="G371" s="51" t="n">
        <v>46191</v>
      </c>
      <c r="H371" s="33" t="inlineStr">
        <is>
          <t>TYR Pro Swim Series - Indianapolis</t>
        </is>
      </c>
      <c r="I371" s="33" t="inlineStr">
        <is>
          <t>351187</t>
        </is>
      </c>
      <c r="J371" s="33" t="inlineStr"/>
      <c r="K371" s="33" t="inlineStr">
        <is>
          <t>FIN</t>
        </is>
      </c>
      <c r="L371" s="35">
        <f>IF(K371="FIN",3,IF(OR(K371="SEM",K371="SEMI"),2,IF(OR(K371="PRE",K371="HEAT"),1,IF(V371="YES",4,2))))</f>
        <v/>
      </c>
      <c r="M371" s="33" t="inlineStr">
        <is>
          <t>LCM</t>
        </is>
      </c>
      <c r="N371" s="33" t="n">
        <v>100</v>
      </c>
      <c r="O371" s="33" t="inlineStr">
        <is>
          <t>Fly</t>
        </is>
      </c>
      <c r="P371" s="33" t="inlineStr">
        <is>
          <t>100 Fly</t>
        </is>
      </c>
      <c r="Q371" s="33" t="inlineStr">
        <is>
          <t>LCM_100_FLY</t>
        </is>
      </c>
      <c r="R371" s="36" t="n">
        <v>51.96</v>
      </c>
      <c r="S371" s="35">
        <f>IF(R371="","",IF(R371&gt;=60,INT(R371/60)&amp;":"&amp;TEXT(MOD(R371,60),"00.00"),TEXT(R371,"0.00")))</f>
        <v/>
      </c>
      <c r="T371" s="52">
        <f>IFERROR((G371-INDEX('01_Swimmers'!$E$5:$E$22,MATCH(B371,'01_Swimmers'!$A$5:$A$22,0)))/'00_Control'!$B$10,"")</f>
        <v/>
      </c>
      <c r="U371" s="35">
        <f>IF(T371="","",INT(T371))</f>
        <v/>
      </c>
      <c r="V371" s="33" t="inlineStr">
        <is>
          <t>NO</t>
        </is>
      </c>
      <c r="W371" s="33" t="inlineStr">
        <is>
          <t>YES</t>
        </is>
      </c>
      <c r="X371" s="33" t="inlineStr">
        <is>
          <t>NO</t>
        </is>
      </c>
      <c r="Y371" s="33" t="n">
        <v>1</v>
      </c>
      <c r="Z371" s="33" t="n">
        <v>5</v>
      </c>
      <c r="AA371" s="33" t="inlineStr">
        <is>
          <t>9</t>
        </is>
      </c>
      <c r="AB371" s="33" t="inlineStr">
        <is>
          <t>https://www.swimcloud.com/results/351187/event/12/?id=179857099#time179857099</t>
        </is>
      </c>
      <c r="AC371" s="33" t="inlineStr">
        <is>
          <t>SwimCloud API v6 2026-10-08</t>
        </is>
      </c>
      <c r="AD371" s="33" t="inlineStr">
        <is>
          <t>Caeleb Dressel|2026-06-18|LCM|100|Fly|51.96|TYR Pro Swim Series - Indianapolis|FIN|False</t>
        </is>
      </c>
      <c r="AE371" s="53">
        <f>G371+L371/1000+ROW()/1000000000</f>
        <v/>
      </c>
      <c r="AF371" s="35">
        <f>IF(C371&lt;&gt;"Grayson Coulter","",COUNTIFS($C$5:$C$2991,"Grayson Coulter",$Q$5:$Q$2991,Q371,$AE$5:$AE$2991,"&lt;="&amp;AE371,$R$5:$R$2991,"&lt;"&amp;R371))</f>
        <v/>
      </c>
      <c r="AG371" s="35">
        <f>IF(OR(C371&lt;&gt;"Grayson Coulter",G371&lt;'00_Control'!$B$7),"",--(AF371&lt;5))</f>
        <v/>
      </c>
      <c r="AH371" s="35">
        <f>IF(OR(C371&lt;&gt;"Grayson Coulter",G371&lt;'00_Control'!$B$7),"",--(AF371&lt;10))</f>
        <v/>
      </c>
      <c r="AI371" s="35">
        <f>IF(AND(C371="Grayson Coulter",G371&gt;='00_Control'!$B$7),"YES","NO")</f>
        <v/>
      </c>
      <c r="AJ371" s="33" t="inlineStr">
        <is>
          <t>OK</t>
        </is>
      </c>
    </row>
    <row r="372">
      <c r="A372" s="33" t="inlineStr">
        <is>
          <t>SM000368</t>
        </is>
      </c>
      <c r="B372" s="33" t="inlineStr">
        <is>
          <t>SW010</t>
        </is>
      </c>
      <c r="C372" s="33" t="inlineStr">
        <is>
          <t>Caeleb Dressel</t>
        </is>
      </c>
      <c r="D372" s="33" t="inlineStr">
        <is>
          <t>SwimCloud</t>
        </is>
      </c>
      <c r="E372" s="33" t="inlineStr">
        <is>
          <t>2361642</t>
        </is>
      </c>
      <c r="F372" s="33" t="inlineStr">
        <is>
          <t>179857397</t>
        </is>
      </c>
      <c r="G372" s="51" t="n">
        <v>46193</v>
      </c>
      <c r="H372" s="33" t="inlineStr">
        <is>
          <t>TYR Pro Swim Series - Indianapolis</t>
        </is>
      </c>
      <c r="I372" s="33" t="inlineStr">
        <is>
          <t>351187</t>
        </is>
      </c>
      <c r="J372" s="33" t="inlineStr"/>
      <c r="K372" s="33" t="inlineStr">
        <is>
          <t>PRE</t>
        </is>
      </c>
      <c r="L372" s="35">
        <f>IF(K372="FIN",3,IF(OR(K372="SEM",K372="SEMI"),2,IF(OR(K372="PRE",K372="HEAT"),1,IF(V372="YES",4,2))))</f>
        <v/>
      </c>
      <c r="M372" s="33" t="inlineStr">
        <is>
          <t>LCM</t>
        </is>
      </c>
      <c r="N372" s="33" t="n">
        <v>100</v>
      </c>
      <c r="O372" s="33" t="inlineStr">
        <is>
          <t>Free</t>
        </is>
      </c>
      <c r="P372" s="33" t="inlineStr">
        <is>
          <t>100 Free</t>
        </is>
      </c>
      <c r="Q372" s="33" t="inlineStr">
        <is>
          <t>LCM_100_FREE</t>
        </is>
      </c>
      <c r="R372" s="36" t="n">
        <v>49.69</v>
      </c>
      <c r="S372" s="35">
        <f>IF(R372="","",IF(R372&gt;=60,INT(R372/60)&amp;":"&amp;TEXT(MOD(R372,60),"00.00"),TEXT(R372,"0.00")))</f>
        <v/>
      </c>
      <c r="T372" s="52">
        <f>IFERROR((G372-INDEX('01_Swimmers'!$E$5:$E$22,MATCH(B372,'01_Swimmers'!$A$5:$A$22,0)))/'00_Control'!$B$10,"")</f>
        <v/>
      </c>
      <c r="U372" s="35">
        <f>IF(T372="","",INT(T372))</f>
        <v/>
      </c>
      <c r="V372" s="33" t="inlineStr">
        <is>
          <t>NO</t>
        </is>
      </c>
      <c r="W372" s="33" t="inlineStr">
        <is>
          <t>YES</t>
        </is>
      </c>
      <c r="X372" s="33" t="inlineStr">
        <is>
          <t>NO</t>
        </is>
      </c>
      <c r="Y372" s="33" t="n">
        <v>10</v>
      </c>
      <c r="Z372" s="33" t="n">
        <v>4</v>
      </c>
      <c r="AA372" s="33" t="inlineStr">
        <is>
          <t>18</t>
        </is>
      </c>
      <c r="AB372" s="33" t="inlineStr">
        <is>
          <t>https://www.swimcloud.com/results/351187/event/32/?id=179857397#time179857397</t>
        </is>
      </c>
      <c r="AC372" s="33" t="inlineStr">
        <is>
          <t>SwimCloud API v6 2026-10-08</t>
        </is>
      </c>
      <c r="AD372" s="33" t="inlineStr">
        <is>
          <t>Caeleb Dressel|2026-06-20|LCM|100|Free|49.69|TYR Pro Swim Series - Indianapolis|PRE|False</t>
        </is>
      </c>
      <c r="AE372" s="53">
        <f>G372+L372/1000+ROW()/1000000000</f>
        <v/>
      </c>
      <c r="AF372" s="35">
        <f>IF(C372&lt;&gt;"Grayson Coulter","",COUNTIFS($C$5:$C$2991,"Grayson Coulter",$Q$5:$Q$2991,Q372,$AE$5:$AE$2991,"&lt;="&amp;AE372,$R$5:$R$2991,"&lt;"&amp;R372))</f>
        <v/>
      </c>
      <c r="AG372" s="35">
        <f>IF(OR(C372&lt;&gt;"Grayson Coulter",G372&lt;'00_Control'!$B$7),"",--(AF372&lt;5))</f>
        <v/>
      </c>
      <c r="AH372" s="35">
        <f>IF(OR(C372&lt;&gt;"Grayson Coulter",G372&lt;'00_Control'!$B$7),"",--(AF372&lt;10))</f>
        <v/>
      </c>
      <c r="AI372" s="35">
        <f>IF(AND(C372="Grayson Coulter",G372&gt;='00_Control'!$B$7),"YES","NO")</f>
        <v/>
      </c>
      <c r="AJ372" s="33" t="inlineStr">
        <is>
          <t>OK</t>
        </is>
      </c>
    </row>
    <row r="373">
      <c r="A373" s="33" t="inlineStr">
        <is>
          <t>SM000369</t>
        </is>
      </c>
      <c r="B373" s="33" t="inlineStr">
        <is>
          <t>SW010</t>
        </is>
      </c>
      <c r="C373" s="33" t="inlineStr">
        <is>
          <t>Caeleb Dressel</t>
        </is>
      </c>
      <c r="D373" s="33" t="inlineStr">
        <is>
          <t>SwimCloud</t>
        </is>
      </c>
      <c r="E373" s="33" t="inlineStr">
        <is>
          <t>2361642</t>
        </is>
      </c>
      <c r="F373" s="33" t="inlineStr">
        <is>
          <t>179857398</t>
        </is>
      </c>
      <c r="G373" s="51" t="n">
        <v>46193</v>
      </c>
      <c r="H373" s="33" t="inlineStr">
        <is>
          <t>TYR Pro Swim Series - Indianapolis</t>
        </is>
      </c>
      <c r="I373" s="33" t="inlineStr">
        <is>
          <t>351187</t>
        </is>
      </c>
      <c r="J373" s="33" t="inlineStr"/>
      <c r="K373" s="33" t="inlineStr">
        <is>
          <t>FIN</t>
        </is>
      </c>
      <c r="L373" s="35">
        <f>IF(K373="FIN",3,IF(OR(K373="SEM",K373="SEMI"),2,IF(OR(K373="PRE",K373="HEAT"),1,IF(V373="YES",4,2))))</f>
        <v/>
      </c>
      <c r="M373" s="33" t="inlineStr">
        <is>
          <t>LCM</t>
        </is>
      </c>
      <c r="N373" s="33" t="n">
        <v>100</v>
      </c>
      <c r="O373" s="33" t="inlineStr">
        <is>
          <t>Free</t>
        </is>
      </c>
      <c r="P373" s="33" t="inlineStr">
        <is>
          <t>100 Free</t>
        </is>
      </c>
      <c r="Q373" s="33" t="inlineStr">
        <is>
          <t>LCM_100_FREE</t>
        </is>
      </c>
      <c r="R373" s="36" t="n">
        <v>48.65</v>
      </c>
      <c r="S373" s="35">
        <f>IF(R373="","",IF(R373&gt;=60,INT(R373/60)&amp;":"&amp;TEXT(MOD(R373,60),"00.00"),TEXT(R373,"0.00")))</f>
        <v/>
      </c>
      <c r="T373" s="52">
        <f>IFERROR((G373-INDEX('01_Swimmers'!$E$5:$E$22,MATCH(B373,'01_Swimmers'!$A$5:$A$22,0)))/'00_Control'!$B$10,"")</f>
        <v/>
      </c>
      <c r="U373" s="35">
        <f>IF(T373="","",INT(T373))</f>
        <v/>
      </c>
      <c r="V373" s="33" t="inlineStr">
        <is>
          <t>NO</t>
        </is>
      </c>
      <c r="W373" s="33" t="inlineStr">
        <is>
          <t>YES</t>
        </is>
      </c>
      <c r="X373" s="33" t="inlineStr">
        <is>
          <t>NO</t>
        </is>
      </c>
      <c r="Y373" s="33" t="n">
        <v>3</v>
      </c>
      <c r="Z373" s="33" t="n">
        <v>5</v>
      </c>
      <c r="AA373" s="33" t="inlineStr">
        <is>
          <t>17</t>
        </is>
      </c>
      <c r="AB373" s="33" t="inlineStr">
        <is>
          <t>https://www.swimcloud.com/results/351187/event/32/?id=179857398#time179857398</t>
        </is>
      </c>
      <c r="AC373" s="33" t="inlineStr">
        <is>
          <t>SwimCloud API v6 2026-10-08</t>
        </is>
      </c>
      <c r="AD373" s="33" t="inlineStr">
        <is>
          <t>Caeleb Dressel|2026-06-20|LCM|100|Free|48.65|TYR Pro Swim Series - Indianapolis|FIN|False</t>
        </is>
      </c>
      <c r="AE373" s="53">
        <f>G373+L373/1000+ROW()/1000000000</f>
        <v/>
      </c>
      <c r="AF373" s="35">
        <f>IF(C373&lt;&gt;"Grayson Coulter","",COUNTIFS($C$5:$C$2991,"Grayson Coulter",$Q$5:$Q$2991,Q373,$AE$5:$AE$2991,"&lt;="&amp;AE373,$R$5:$R$2991,"&lt;"&amp;R373))</f>
        <v/>
      </c>
      <c r="AG373" s="35">
        <f>IF(OR(C373&lt;&gt;"Grayson Coulter",G373&lt;'00_Control'!$B$7),"",--(AF373&lt;5))</f>
        <v/>
      </c>
      <c r="AH373" s="35">
        <f>IF(OR(C373&lt;&gt;"Grayson Coulter",G373&lt;'00_Control'!$B$7),"",--(AF373&lt;10))</f>
        <v/>
      </c>
      <c r="AI373" s="35">
        <f>IF(AND(C373="Grayson Coulter",G373&gt;='00_Control'!$B$7),"YES","NO")</f>
        <v/>
      </c>
      <c r="AJ373" s="33" t="inlineStr">
        <is>
          <t>OK</t>
        </is>
      </c>
    </row>
    <row r="374">
      <c r="A374" s="33" t="inlineStr">
        <is>
          <t>SM000370</t>
        </is>
      </c>
      <c r="B374" s="33" t="inlineStr">
        <is>
          <t>SW010</t>
        </is>
      </c>
      <c r="C374" s="33" t="inlineStr">
        <is>
          <t>Caeleb Dressel</t>
        </is>
      </c>
      <c r="D374" s="33" t="inlineStr">
        <is>
          <t>SwimCloud</t>
        </is>
      </c>
      <c r="E374" s="33" t="inlineStr">
        <is>
          <t>2361642</t>
        </is>
      </c>
      <c r="F374" s="33" t="inlineStr">
        <is>
          <t>182868345</t>
        </is>
      </c>
      <c r="G374" s="51" t="n">
        <v>46231</v>
      </c>
      <c r="H374" s="33" t="inlineStr">
        <is>
          <t>USA Swimming National Championships</t>
        </is>
      </c>
      <c r="I374" s="33" t="inlineStr">
        <is>
          <t>351189</t>
        </is>
      </c>
      <c r="J374" s="33" t="inlineStr"/>
      <c r="K374" s="33" t="inlineStr">
        <is>
          <t>PRE</t>
        </is>
      </c>
      <c r="L374" s="35">
        <f>IF(K374="FIN",3,IF(OR(K374="SEM",K374="SEMI"),2,IF(OR(K374="PRE",K374="HEAT"),1,IF(V374="YES",4,2))))</f>
        <v/>
      </c>
      <c r="M374" s="33" t="inlineStr">
        <is>
          <t>LCM</t>
        </is>
      </c>
      <c r="N374" s="33" t="n">
        <v>100</v>
      </c>
      <c r="O374" s="33" t="inlineStr">
        <is>
          <t>Free</t>
        </is>
      </c>
      <c r="P374" s="33" t="inlineStr">
        <is>
          <t>100 Free</t>
        </is>
      </c>
      <c r="Q374" s="33" t="inlineStr">
        <is>
          <t>LCM_100_FREE</t>
        </is>
      </c>
      <c r="R374" s="36" t="n">
        <v>47.98</v>
      </c>
      <c r="S374" s="35">
        <f>IF(R374="","",IF(R374&gt;=60,INT(R374/60)&amp;":"&amp;TEXT(MOD(R374,60),"00.00"),TEXT(R374,"0.00")))</f>
        <v/>
      </c>
      <c r="T374" s="52">
        <f>IFERROR((G374-INDEX('01_Swimmers'!$E$5:$E$22,MATCH(B374,'01_Swimmers'!$A$5:$A$22,0)))/'00_Control'!$B$10,"")</f>
        <v/>
      </c>
      <c r="U374" s="35">
        <f>IF(T374="","",INT(T374))</f>
        <v/>
      </c>
      <c r="V374" s="33" t="inlineStr">
        <is>
          <t>NO</t>
        </is>
      </c>
      <c r="W374" s="33" t="inlineStr">
        <is>
          <t>YES</t>
        </is>
      </c>
      <c r="X374" s="33" t="inlineStr">
        <is>
          <t>NO</t>
        </is>
      </c>
      <c r="Y374" s="33" t="n">
        <v>10</v>
      </c>
      <c r="Z374" s="33" t="n">
        <v>6</v>
      </c>
      <c r="AA374" s="33" t="inlineStr">
        <is>
          <t>4</t>
        </is>
      </c>
      <c r="AB374" s="33" t="inlineStr">
        <is>
          <t>https://www.swimcloud.com/results/351189/event/4/?id=182868345#time182868345</t>
        </is>
      </c>
      <c r="AC374" s="33" t="inlineStr">
        <is>
          <t>SwimCloud API v6 2026-10-08</t>
        </is>
      </c>
      <c r="AD374" s="33" t="inlineStr">
        <is>
          <t>Caeleb Dressel|2026-07-28|LCM|100|Free|47.98|USA Swimming National Championships|PRE|False</t>
        </is>
      </c>
      <c r="AE374" s="53">
        <f>G374+L374/1000+ROW()/1000000000</f>
        <v/>
      </c>
      <c r="AF374" s="35">
        <f>IF(C374&lt;&gt;"Grayson Coulter","",COUNTIFS($C$5:$C$2991,"Grayson Coulter",$Q$5:$Q$2991,Q374,$AE$5:$AE$2991,"&lt;="&amp;AE374,$R$5:$R$2991,"&lt;"&amp;R374))</f>
        <v/>
      </c>
      <c r="AG374" s="35">
        <f>IF(OR(C374&lt;&gt;"Grayson Coulter",G374&lt;'00_Control'!$B$7),"",--(AF374&lt;5))</f>
        <v/>
      </c>
      <c r="AH374" s="35">
        <f>IF(OR(C374&lt;&gt;"Grayson Coulter",G374&lt;'00_Control'!$B$7),"",--(AF374&lt;10))</f>
        <v/>
      </c>
      <c r="AI374" s="35">
        <f>IF(AND(C374="Grayson Coulter",G374&gt;='00_Control'!$B$7),"YES","NO")</f>
        <v/>
      </c>
      <c r="AJ374" s="33" t="inlineStr">
        <is>
          <t>OK</t>
        </is>
      </c>
    </row>
    <row r="375">
      <c r="A375" s="33" t="inlineStr">
        <is>
          <t>SM000371</t>
        </is>
      </c>
      <c r="B375" s="33" t="inlineStr">
        <is>
          <t>SW010</t>
        </is>
      </c>
      <c r="C375" s="33" t="inlineStr">
        <is>
          <t>Caeleb Dressel</t>
        </is>
      </c>
      <c r="D375" s="33" t="inlineStr">
        <is>
          <t>SwimCloud</t>
        </is>
      </c>
      <c r="E375" s="33" t="inlineStr">
        <is>
          <t>2361642</t>
        </is>
      </c>
      <c r="F375" s="33" t="inlineStr">
        <is>
          <t>182868344</t>
        </is>
      </c>
      <c r="G375" s="51" t="n">
        <v>46231</v>
      </c>
      <c r="H375" s="33" t="inlineStr">
        <is>
          <t>USA Swimming National Championships</t>
        </is>
      </c>
      <c r="I375" s="33" t="inlineStr">
        <is>
          <t>351189</t>
        </is>
      </c>
      <c r="J375" s="33" t="inlineStr"/>
      <c r="K375" s="33" t="inlineStr">
        <is>
          <t>FIN</t>
        </is>
      </c>
      <c r="L375" s="35">
        <f>IF(K375="FIN",3,IF(OR(K375="SEM",K375="SEMI"),2,IF(OR(K375="PRE",K375="HEAT"),1,IF(V375="YES",4,2))))</f>
        <v/>
      </c>
      <c r="M375" s="33" t="inlineStr">
        <is>
          <t>LCM</t>
        </is>
      </c>
      <c r="N375" s="33" t="n">
        <v>100</v>
      </c>
      <c r="O375" s="33" t="inlineStr">
        <is>
          <t>Free</t>
        </is>
      </c>
      <c r="P375" s="33" t="inlineStr">
        <is>
          <t>100 Free</t>
        </is>
      </c>
      <c r="Q375" s="33" t="inlineStr">
        <is>
          <t>LCM_100_FREE</t>
        </is>
      </c>
      <c r="R375" s="36" t="n">
        <v>47.7</v>
      </c>
      <c r="S375" s="35">
        <f>IF(R375="","",IF(R375&gt;=60,INT(R375/60)&amp;":"&amp;TEXT(MOD(R375,60),"00.00"),TEXT(R375,"0.00")))</f>
        <v/>
      </c>
      <c r="T375" s="52">
        <f>IFERROR((G375-INDEX('01_Swimmers'!$E$5:$E$22,MATCH(B375,'01_Swimmers'!$A$5:$A$22,0)))/'00_Control'!$B$10,"")</f>
        <v/>
      </c>
      <c r="U375" s="35">
        <f>IF(T375="","",INT(T375))</f>
        <v/>
      </c>
      <c r="V375" s="33" t="inlineStr">
        <is>
          <t>NO</t>
        </is>
      </c>
      <c r="W375" s="33" t="inlineStr">
        <is>
          <t>YES</t>
        </is>
      </c>
      <c r="X375" s="33" t="inlineStr">
        <is>
          <t>NO</t>
        </is>
      </c>
      <c r="Y375" s="33" t="n">
        <v>1</v>
      </c>
      <c r="Z375" s="33" t="n">
        <v>6</v>
      </c>
      <c r="AA375" s="33" t="inlineStr">
        <is>
          <t>1</t>
        </is>
      </c>
      <c r="AB375" s="33" t="inlineStr">
        <is>
          <t>https://www.swimcloud.com/results/351189/event/4/?id=182868344#time182868344</t>
        </is>
      </c>
      <c r="AC375" s="33" t="inlineStr">
        <is>
          <t>SwimCloud API v6 2026-10-08</t>
        </is>
      </c>
      <c r="AD375" s="33" t="inlineStr">
        <is>
          <t>Caeleb Dressel|2026-07-28|LCM|100|Free|47.7|USA Swimming National Championships|FIN|False</t>
        </is>
      </c>
      <c r="AE375" s="53">
        <f>G375+L375/1000+ROW()/1000000000</f>
        <v/>
      </c>
      <c r="AF375" s="35">
        <f>IF(C375&lt;&gt;"Grayson Coulter","",COUNTIFS($C$5:$C$2991,"Grayson Coulter",$Q$5:$Q$2991,Q375,$AE$5:$AE$2991,"&lt;="&amp;AE375,$R$5:$R$2991,"&lt;"&amp;R375))</f>
        <v/>
      </c>
      <c r="AG375" s="35">
        <f>IF(OR(C375&lt;&gt;"Grayson Coulter",G375&lt;'00_Control'!$B$7),"",--(AF375&lt;5))</f>
        <v/>
      </c>
      <c r="AH375" s="35">
        <f>IF(OR(C375&lt;&gt;"Grayson Coulter",G375&lt;'00_Control'!$B$7),"",--(AF375&lt;10))</f>
        <v/>
      </c>
      <c r="AI375" s="35">
        <f>IF(AND(C375="Grayson Coulter",G375&gt;='00_Control'!$B$7),"YES","NO")</f>
        <v/>
      </c>
      <c r="AJ375" s="33" t="inlineStr">
        <is>
          <t>OK</t>
        </is>
      </c>
    </row>
    <row r="376">
      <c r="A376" s="33" t="inlineStr">
        <is>
          <t>SM000372</t>
        </is>
      </c>
      <c r="B376" s="33" t="inlineStr">
        <is>
          <t>SW010</t>
        </is>
      </c>
      <c r="C376" s="33" t="inlineStr">
        <is>
          <t>Caeleb Dressel</t>
        </is>
      </c>
      <c r="D376" s="33" t="inlineStr">
        <is>
          <t>SwimCloud</t>
        </is>
      </c>
      <c r="E376" s="33" t="inlineStr">
        <is>
          <t>2361642</t>
        </is>
      </c>
      <c r="F376" s="33" t="inlineStr">
        <is>
          <t>182868343</t>
        </is>
      </c>
      <c r="G376" s="51" t="n">
        <v>46233</v>
      </c>
      <c r="H376" s="33" t="inlineStr">
        <is>
          <t>USA Swimming National Championships</t>
        </is>
      </c>
      <c r="I376" s="33" t="inlineStr">
        <is>
          <t>351189</t>
        </is>
      </c>
      <c r="J376" s="33" t="inlineStr"/>
      <c r="K376" s="33" t="inlineStr">
        <is>
          <t>PRE</t>
        </is>
      </c>
      <c r="L376" s="35">
        <f>IF(K376="FIN",3,IF(OR(K376="SEM",K376="SEMI"),2,IF(OR(K376="PRE",K376="HEAT"),1,IF(V376="YES",4,2))))</f>
        <v/>
      </c>
      <c r="M376" s="33" t="inlineStr">
        <is>
          <t>LCM</t>
        </is>
      </c>
      <c r="N376" s="33" t="n">
        <v>100</v>
      </c>
      <c r="O376" s="33" t="inlineStr">
        <is>
          <t>Fly</t>
        </is>
      </c>
      <c r="P376" s="33" t="inlineStr">
        <is>
          <t>100 Fly</t>
        </is>
      </c>
      <c r="Q376" s="33" t="inlineStr">
        <is>
          <t>LCM_100_FLY</t>
        </is>
      </c>
      <c r="R376" s="36" t="n">
        <v>50.55</v>
      </c>
      <c r="S376" s="35">
        <f>IF(R376="","",IF(R376&gt;=60,INT(R376/60)&amp;":"&amp;TEXT(MOD(R376,60),"00.00"),TEXT(R376,"0.00")))</f>
        <v/>
      </c>
      <c r="T376" s="52">
        <f>IFERROR((G376-INDEX('01_Swimmers'!$E$5:$E$22,MATCH(B376,'01_Swimmers'!$A$5:$A$22,0)))/'00_Control'!$B$10,"")</f>
        <v/>
      </c>
      <c r="U376" s="35">
        <f>IF(T376="","",INT(T376))</f>
        <v/>
      </c>
      <c r="V376" s="33" t="inlineStr">
        <is>
          <t>NO</t>
        </is>
      </c>
      <c r="W376" s="33" t="inlineStr">
        <is>
          <t>YES</t>
        </is>
      </c>
      <c r="X376" s="33" t="inlineStr">
        <is>
          <t>NO</t>
        </is>
      </c>
      <c r="Y376" s="33" t="n">
        <v>10</v>
      </c>
      <c r="Z376" s="33" t="n">
        <v>4</v>
      </c>
      <c r="AA376" s="33" t="inlineStr">
        <is>
          <t>1</t>
        </is>
      </c>
      <c r="AB376" s="33" t="inlineStr">
        <is>
          <t>https://www.swimcloud.com/results/351189/event/18/?id=182868343#time182868343</t>
        </is>
      </c>
      <c r="AC376" s="33" t="inlineStr">
        <is>
          <t>SwimCloud API v6 2026-10-08</t>
        </is>
      </c>
      <c r="AD376" s="33" t="inlineStr">
        <is>
          <t>Caeleb Dressel|2026-07-30|LCM|100|Fly|50.55|USA Swimming National Championships|PRE|False</t>
        </is>
      </c>
      <c r="AE376" s="53">
        <f>G376+L376/1000+ROW()/1000000000</f>
        <v/>
      </c>
      <c r="AF376" s="35">
        <f>IF(C376&lt;&gt;"Grayson Coulter","",COUNTIFS($C$5:$C$2991,"Grayson Coulter",$Q$5:$Q$2991,Q376,$AE$5:$AE$2991,"&lt;="&amp;AE376,$R$5:$R$2991,"&lt;"&amp;R376))</f>
        <v/>
      </c>
      <c r="AG376" s="35">
        <f>IF(OR(C376&lt;&gt;"Grayson Coulter",G376&lt;'00_Control'!$B$7),"",--(AF376&lt;5))</f>
        <v/>
      </c>
      <c r="AH376" s="35">
        <f>IF(OR(C376&lt;&gt;"Grayson Coulter",G376&lt;'00_Control'!$B$7),"",--(AF376&lt;10))</f>
        <v/>
      </c>
      <c r="AI376" s="35">
        <f>IF(AND(C376="Grayson Coulter",G376&gt;='00_Control'!$B$7),"YES","NO")</f>
        <v/>
      </c>
      <c r="AJ376" s="33" t="inlineStr">
        <is>
          <t>OK</t>
        </is>
      </c>
    </row>
    <row r="377">
      <c r="A377" s="33" t="inlineStr">
        <is>
          <t>SM000373</t>
        </is>
      </c>
      <c r="B377" s="33" t="inlineStr">
        <is>
          <t>SW010</t>
        </is>
      </c>
      <c r="C377" s="33" t="inlineStr">
        <is>
          <t>Caeleb Dressel</t>
        </is>
      </c>
      <c r="D377" s="33" t="inlineStr">
        <is>
          <t>SwimCloud</t>
        </is>
      </c>
      <c r="E377" s="33" t="inlineStr">
        <is>
          <t>2361642</t>
        </is>
      </c>
      <c r="F377" s="33" t="inlineStr">
        <is>
          <t>182868342</t>
        </is>
      </c>
      <c r="G377" s="51" t="n">
        <v>46233</v>
      </c>
      <c r="H377" s="33" t="inlineStr">
        <is>
          <t>USA Swimming National Championships</t>
        </is>
      </c>
      <c r="I377" s="33" t="inlineStr">
        <is>
          <t>351189</t>
        </is>
      </c>
      <c r="J377" s="33" t="inlineStr"/>
      <c r="K377" s="33" t="inlineStr">
        <is>
          <t>FIN</t>
        </is>
      </c>
      <c r="L377" s="35">
        <f>IF(K377="FIN",3,IF(OR(K377="SEM",K377="SEMI"),2,IF(OR(K377="PRE",K377="HEAT"),1,IF(V377="YES",4,2))))</f>
        <v/>
      </c>
      <c r="M377" s="33" t="inlineStr">
        <is>
          <t>LCM</t>
        </is>
      </c>
      <c r="N377" s="33" t="n">
        <v>100</v>
      </c>
      <c r="O377" s="33" t="inlineStr">
        <is>
          <t>Fly</t>
        </is>
      </c>
      <c r="P377" s="33" t="inlineStr">
        <is>
          <t>100 Fly</t>
        </is>
      </c>
      <c r="Q377" s="33" t="inlineStr">
        <is>
          <t>LCM_100_FLY</t>
        </is>
      </c>
      <c r="R377" s="36" t="n">
        <v>50.45</v>
      </c>
      <c r="S377" s="35">
        <f>IF(R377="","",IF(R377&gt;=60,INT(R377/60)&amp;":"&amp;TEXT(MOD(R377,60),"00.00"),TEXT(R377,"0.00")))</f>
        <v/>
      </c>
      <c r="T377" s="52">
        <f>IFERROR((G377-INDEX('01_Swimmers'!$E$5:$E$22,MATCH(B377,'01_Swimmers'!$A$5:$A$22,0)))/'00_Control'!$B$10,"")</f>
        <v/>
      </c>
      <c r="U377" s="35">
        <f>IF(T377="","",INT(T377))</f>
        <v/>
      </c>
      <c r="V377" s="33" t="inlineStr">
        <is>
          <t>NO</t>
        </is>
      </c>
      <c r="W377" s="33" t="inlineStr">
        <is>
          <t>YES</t>
        </is>
      </c>
      <c r="X377" s="33" t="inlineStr">
        <is>
          <t>NO</t>
        </is>
      </c>
      <c r="Y377" s="33" t="n">
        <v>1</v>
      </c>
      <c r="Z377" s="33" t="n">
        <v>4</v>
      </c>
      <c r="AA377" s="33" t="inlineStr">
        <is>
          <t>2</t>
        </is>
      </c>
      <c r="AB377" s="33" t="inlineStr">
        <is>
          <t>https://www.swimcloud.com/results/351189/event/18/?id=182868342#time182868342</t>
        </is>
      </c>
      <c r="AC377" s="33" t="inlineStr">
        <is>
          <t>SwimCloud API v6 2026-10-08</t>
        </is>
      </c>
      <c r="AD377" s="33" t="inlineStr">
        <is>
          <t>Caeleb Dressel|2026-07-30|LCM|100|Fly|50.45|USA Swimming National Championships|FIN|False</t>
        </is>
      </c>
      <c r="AE377" s="53">
        <f>G377+L377/1000+ROW()/1000000000</f>
        <v/>
      </c>
      <c r="AF377" s="35">
        <f>IF(C377&lt;&gt;"Grayson Coulter","",COUNTIFS($C$5:$C$2991,"Grayson Coulter",$Q$5:$Q$2991,Q377,$AE$5:$AE$2991,"&lt;="&amp;AE377,$R$5:$R$2991,"&lt;"&amp;R377))</f>
        <v/>
      </c>
      <c r="AG377" s="35">
        <f>IF(OR(C377&lt;&gt;"Grayson Coulter",G377&lt;'00_Control'!$B$7),"",--(AF377&lt;5))</f>
        <v/>
      </c>
      <c r="AH377" s="35">
        <f>IF(OR(C377&lt;&gt;"Grayson Coulter",G377&lt;'00_Control'!$B$7),"",--(AF377&lt;10))</f>
        <v/>
      </c>
      <c r="AI377" s="35">
        <f>IF(AND(C377="Grayson Coulter",G377&gt;='00_Control'!$B$7),"YES","NO")</f>
        <v/>
      </c>
      <c r="AJ377" s="33" t="inlineStr">
        <is>
          <t>OK</t>
        </is>
      </c>
    </row>
    <row r="378">
      <c r="A378" s="33" t="inlineStr">
        <is>
          <t>SM000374</t>
        </is>
      </c>
      <c r="B378" s="33" t="inlineStr">
        <is>
          <t>SW009</t>
        </is>
      </c>
      <c r="C378" s="33" t="inlineStr">
        <is>
          <t>David Popovici</t>
        </is>
      </c>
      <c r="D378" s="33" t="inlineStr">
        <is>
          <t>SwimCloud</t>
        </is>
      </c>
      <c r="E378" s="33" t="inlineStr">
        <is>
          <t>1405298</t>
        </is>
      </c>
      <c r="F378" s="33" t="inlineStr">
        <is>
          <t>20836944</t>
        </is>
      </c>
      <c r="G378" s="51" t="n">
        <v>43393</v>
      </c>
      <c r="H378" s="33" t="inlineStr">
        <is>
          <t xml:space="preserve">International Swimming Meeting "13 November" </t>
        </is>
      </c>
      <c r="I378" s="33" t="inlineStr">
        <is>
          <t>134393</t>
        </is>
      </c>
      <c r="J378" s="33" t="inlineStr"/>
      <c r="K378" s="33" t="inlineStr">
        <is>
          <t>PRE</t>
        </is>
      </c>
      <c r="L378" s="35">
        <f>IF(K378="FIN",3,IF(OR(K378="SEM",K378="SEMI"),2,IF(OR(K378="PRE",K378="HEAT"),1,IF(V378="YES",4,2))))</f>
        <v/>
      </c>
      <c r="M378" s="33" t="inlineStr">
        <is>
          <t>SCM</t>
        </is>
      </c>
      <c r="N378" s="33" t="n">
        <v>100</v>
      </c>
      <c r="O378" s="33" t="inlineStr">
        <is>
          <t>Free</t>
        </is>
      </c>
      <c r="P378" s="33" t="inlineStr">
        <is>
          <t>100 Free</t>
        </is>
      </c>
      <c r="Q378" s="33" t="inlineStr">
        <is>
          <t>SCM_100_FREE</t>
        </is>
      </c>
      <c r="R378" s="36" t="n">
        <v>52.57</v>
      </c>
      <c r="S378" s="35">
        <f>IF(R378="","",IF(R378&gt;=60,INT(R378/60)&amp;":"&amp;TEXT(MOD(R378,60),"00.00"),TEXT(R378,"0.00")))</f>
        <v/>
      </c>
      <c r="T378" s="52">
        <f>IFERROR((G378-INDEX('01_Swimmers'!$E$5:$E$22,MATCH(B378,'01_Swimmers'!$A$5:$A$22,0)))/'00_Control'!$B$10,"")</f>
        <v/>
      </c>
      <c r="U378" s="35">
        <f>IF(T378="","",INT(T378))</f>
        <v/>
      </c>
      <c r="V378" s="33" t="inlineStr">
        <is>
          <t>NO</t>
        </is>
      </c>
      <c r="W378" s="33" t="inlineStr">
        <is>
          <t>YES</t>
        </is>
      </c>
      <c r="X378" s="33" t="inlineStr">
        <is>
          <t>NO</t>
        </is>
      </c>
      <c r="Y378" s="33" t="n">
        <v>11</v>
      </c>
      <c r="Z378" s="33" t="n">
        <v>5</v>
      </c>
      <c r="AA378" s="33" t="inlineStr">
        <is>
          <t>2,1</t>
        </is>
      </c>
      <c r="AB378" s="33" t="inlineStr">
        <is>
          <t>https://www.swimcloud.com/results/134393/event/11/?id=20836944#time20836944</t>
        </is>
      </c>
      <c r="AC378" s="33" t="inlineStr">
        <is>
          <t>SwimCloud API v6 2026-10-08</t>
        </is>
      </c>
      <c r="AD378" s="33" t="inlineStr">
        <is>
          <t>David Popovici|2018-10-20|SCM|100|Free|52.57|International Swimming Meeting "13 November" |PRE|False</t>
        </is>
      </c>
      <c r="AE378" s="53">
        <f>G378+L378/1000+ROW()/1000000000</f>
        <v/>
      </c>
      <c r="AF378" s="35">
        <f>IF(C378&lt;&gt;"Grayson Coulter","",COUNTIFS($C$5:$C$2991,"Grayson Coulter",$Q$5:$Q$2991,Q378,$AE$5:$AE$2991,"&lt;="&amp;AE378,$R$5:$R$2991,"&lt;"&amp;R378))</f>
        <v/>
      </c>
      <c r="AG378" s="35">
        <f>IF(OR(C378&lt;&gt;"Grayson Coulter",G378&lt;'00_Control'!$B$7),"",--(AF378&lt;5))</f>
        <v/>
      </c>
      <c r="AH378" s="35">
        <f>IF(OR(C378&lt;&gt;"Grayson Coulter",G378&lt;'00_Control'!$B$7),"",--(AF378&lt;10))</f>
        <v/>
      </c>
      <c r="AI378" s="35">
        <f>IF(AND(C378="Grayson Coulter",G378&gt;='00_Control'!$B$7),"YES","NO")</f>
        <v/>
      </c>
      <c r="AJ378" s="33" t="inlineStr">
        <is>
          <t>OK</t>
        </is>
      </c>
    </row>
    <row r="379">
      <c r="A379" s="33" t="inlineStr">
        <is>
          <t>SM000375</t>
        </is>
      </c>
      <c r="B379" s="33" t="inlineStr">
        <is>
          <t>SW009</t>
        </is>
      </c>
      <c r="C379" s="33" t="inlineStr">
        <is>
          <t>David Popovici</t>
        </is>
      </c>
      <c r="D379" s="33" t="inlineStr">
        <is>
          <t>SwimCloud</t>
        </is>
      </c>
      <c r="E379" s="33" t="inlineStr">
        <is>
          <t>1405298</t>
        </is>
      </c>
      <c r="F379" s="33" t="inlineStr">
        <is>
          <t>20836952</t>
        </is>
      </c>
      <c r="G379" s="51" t="n">
        <v>43393</v>
      </c>
      <c r="H379" s="33" t="inlineStr">
        <is>
          <t xml:space="preserve">International Swimming Meeting "13 November" </t>
        </is>
      </c>
      <c r="I379" s="33" t="inlineStr">
        <is>
          <t>134393</t>
        </is>
      </c>
      <c r="J379" s="33" t="inlineStr"/>
      <c r="K379" s="33" t="inlineStr">
        <is>
          <t>FIN</t>
        </is>
      </c>
      <c r="L379" s="35">
        <f>IF(K379="FIN",3,IF(OR(K379="SEM",K379="SEMI"),2,IF(OR(K379="PRE",K379="HEAT"),1,IF(V379="YES",4,2))))</f>
        <v/>
      </c>
      <c r="M379" s="33" t="inlineStr">
        <is>
          <t>SCM</t>
        </is>
      </c>
      <c r="N379" s="33" t="n">
        <v>100</v>
      </c>
      <c r="O379" s="33" t="inlineStr">
        <is>
          <t>Free</t>
        </is>
      </c>
      <c r="P379" s="33" t="inlineStr">
        <is>
          <t>100 Free</t>
        </is>
      </c>
      <c r="Q379" s="33" t="inlineStr">
        <is>
          <t>SCM_100_FREE</t>
        </is>
      </c>
      <c r="R379" s="36" t="n">
        <v>51.53</v>
      </c>
      <c r="S379" s="35">
        <f>IF(R379="","",IF(R379&gt;=60,INT(R379/60)&amp;":"&amp;TEXT(MOD(R379,60),"00.00"),TEXT(R379,"0.00")))</f>
        <v/>
      </c>
      <c r="T379" s="52">
        <f>IFERROR((G379-INDEX('01_Swimmers'!$E$5:$E$22,MATCH(B379,'01_Swimmers'!$A$5:$A$22,0)))/'00_Control'!$B$10,"")</f>
        <v/>
      </c>
      <c r="U379" s="35">
        <f>IF(T379="","",INT(T379))</f>
        <v/>
      </c>
      <c r="V379" s="33" t="inlineStr">
        <is>
          <t>NO</t>
        </is>
      </c>
      <c r="W379" s="33" t="inlineStr">
        <is>
          <t>YES</t>
        </is>
      </c>
      <c r="X379" s="33" t="inlineStr">
        <is>
          <t>NO</t>
        </is>
      </c>
      <c r="Y379" s="33" t="n">
        <v>1</v>
      </c>
      <c r="Z379" s="33" t="n">
        <v>5</v>
      </c>
      <c r="AA379" s="33" t="inlineStr">
        <is>
          <t>2</t>
        </is>
      </c>
      <c r="AB379" s="33" t="inlineStr">
        <is>
          <t>https://www.swimcloud.com/results/134393/event/11/?id=20836952#time20836952</t>
        </is>
      </c>
      <c r="AC379" s="33" t="inlineStr">
        <is>
          <t>SwimCloud API v6 2026-10-08</t>
        </is>
      </c>
      <c r="AD379" s="33" t="inlineStr">
        <is>
          <t>David Popovici|2018-10-20|SCM|100|Free|51.53|International Swimming Meeting "13 November" |FIN|False</t>
        </is>
      </c>
      <c r="AE379" s="53">
        <f>G379+L379/1000+ROW()/1000000000</f>
        <v/>
      </c>
      <c r="AF379" s="35">
        <f>IF(C379&lt;&gt;"Grayson Coulter","",COUNTIFS($C$5:$C$2991,"Grayson Coulter",$Q$5:$Q$2991,Q379,$AE$5:$AE$2991,"&lt;="&amp;AE379,$R$5:$R$2991,"&lt;"&amp;R379))</f>
        <v/>
      </c>
      <c r="AG379" s="35">
        <f>IF(OR(C379&lt;&gt;"Grayson Coulter",G379&lt;'00_Control'!$B$7),"",--(AF379&lt;5))</f>
        <v/>
      </c>
      <c r="AH379" s="35">
        <f>IF(OR(C379&lt;&gt;"Grayson Coulter",G379&lt;'00_Control'!$B$7),"",--(AF379&lt;10))</f>
        <v/>
      </c>
      <c r="AI379" s="35">
        <f>IF(AND(C379="Grayson Coulter",G379&gt;='00_Control'!$B$7),"YES","NO")</f>
        <v/>
      </c>
      <c r="AJ379" s="33" t="inlineStr">
        <is>
          <t>OK</t>
        </is>
      </c>
    </row>
    <row r="380">
      <c r="A380" s="33" t="inlineStr">
        <is>
          <t>SM000376</t>
        </is>
      </c>
      <c r="B380" s="33" t="inlineStr">
        <is>
          <t>SW009</t>
        </is>
      </c>
      <c r="C380" s="33" t="inlineStr">
        <is>
          <t>David Popovici</t>
        </is>
      </c>
      <c r="D380" s="33" t="inlineStr">
        <is>
          <t>SwimCloud</t>
        </is>
      </c>
      <c r="E380" s="33" t="inlineStr">
        <is>
          <t>1405298</t>
        </is>
      </c>
      <c r="F380" s="33" t="inlineStr">
        <is>
          <t>20836947</t>
        </is>
      </c>
      <c r="G380" s="51" t="n">
        <v>43394</v>
      </c>
      <c r="H380" s="33" t="inlineStr">
        <is>
          <t xml:space="preserve">International Swimming Meeting "13 November" </t>
        </is>
      </c>
      <c r="I380" s="33" t="inlineStr">
        <is>
          <t>134393</t>
        </is>
      </c>
      <c r="J380" s="33" t="inlineStr"/>
      <c r="K380" s="33" t="inlineStr">
        <is>
          <t>PRE</t>
        </is>
      </c>
      <c r="L380" s="35">
        <f>IF(K380="FIN",3,IF(OR(K380="SEM",K380="SEMI"),2,IF(OR(K380="PRE",K380="HEAT"),1,IF(V380="YES",4,2))))</f>
        <v/>
      </c>
      <c r="M380" s="33" t="inlineStr">
        <is>
          <t>SCM</t>
        </is>
      </c>
      <c r="N380" s="33" t="n">
        <v>200</v>
      </c>
      <c r="O380" s="33" t="inlineStr">
        <is>
          <t>Free</t>
        </is>
      </c>
      <c r="P380" s="33" t="inlineStr">
        <is>
          <t>200 Free</t>
        </is>
      </c>
      <c r="Q380" s="33" t="inlineStr">
        <is>
          <t>SCM_200_FREE</t>
        </is>
      </c>
      <c r="R380" s="36" t="n">
        <v>118.07</v>
      </c>
      <c r="S380" s="35">
        <f>IF(R380="","",IF(R380&gt;=60,INT(R380/60)&amp;":"&amp;TEXT(MOD(R380,60),"00.00"),TEXT(R380,"0.00")))</f>
        <v/>
      </c>
      <c r="T380" s="52">
        <f>IFERROR((G380-INDEX('01_Swimmers'!$E$5:$E$22,MATCH(B380,'01_Swimmers'!$A$5:$A$22,0)))/'00_Control'!$B$10,"")</f>
        <v/>
      </c>
      <c r="U380" s="35">
        <f>IF(T380="","",INT(T380))</f>
        <v/>
      </c>
      <c r="V380" s="33" t="inlineStr">
        <is>
          <t>NO</t>
        </is>
      </c>
      <c r="W380" s="33" t="inlineStr">
        <is>
          <t>YES</t>
        </is>
      </c>
      <c r="X380" s="33" t="inlineStr">
        <is>
          <t>NO</t>
        </is>
      </c>
      <c r="Y380" s="33" t="n">
        <v>5</v>
      </c>
      <c r="Z380" s="33" t="n">
        <v>3</v>
      </c>
      <c r="AA380" s="33" t="inlineStr">
        <is>
          <t>5</t>
        </is>
      </c>
      <c r="AB380" s="33" t="inlineStr">
        <is>
          <t>https://www.swimcloud.com/results/134393/event/24/?id=20836947#time20836947</t>
        </is>
      </c>
      <c r="AC380" s="33" t="inlineStr">
        <is>
          <t>SwimCloud API v6 2026-10-08</t>
        </is>
      </c>
      <c r="AD380" s="33" t="inlineStr">
        <is>
          <t>David Popovici|2018-10-21|SCM|200|Free|118.07|International Swimming Meeting "13 November" |PRE|False</t>
        </is>
      </c>
      <c r="AE380" s="53">
        <f>G380+L380/1000+ROW()/1000000000</f>
        <v/>
      </c>
      <c r="AF380" s="35">
        <f>IF(C380&lt;&gt;"Grayson Coulter","",COUNTIFS($C$5:$C$2991,"Grayson Coulter",$Q$5:$Q$2991,Q380,$AE$5:$AE$2991,"&lt;="&amp;AE380,$R$5:$R$2991,"&lt;"&amp;R380))</f>
        <v/>
      </c>
      <c r="AG380" s="35">
        <f>IF(OR(C380&lt;&gt;"Grayson Coulter",G380&lt;'00_Control'!$B$7),"",--(AF380&lt;5))</f>
        <v/>
      </c>
      <c r="AH380" s="35">
        <f>IF(OR(C380&lt;&gt;"Grayson Coulter",G380&lt;'00_Control'!$B$7),"",--(AF380&lt;10))</f>
        <v/>
      </c>
      <c r="AI380" s="35">
        <f>IF(AND(C380="Grayson Coulter",G380&gt;='00_Control'!$B$7),"YES","NO")</f>
        <v/>
      </c>
      <c r="AJ380" s="33" t="inlineStr">
        <is>
          <t>OK</t>
        </is>
      </c>
    </row>
    <row r="381">
      <c r="A381" s="33" t="inlineStr">
        <is>
          <t>SM000377</t>
        </is>
      </c>
      <c r="B381" s="33" t="inlineStr">
        <is>
          <t>SW009</t>
        </is>
      </c>
      <c r="C381" s="33" t="inlineStr">
        <is>
          <t>David Popovici</t>
        </is>
      </c>
      <c r="D381" s="33" t="inlineStr">
        <is>
          <t>SwimCloud</t>
        </is>
      </c>
      <c r="E381" s="33" t="inlineStr">
        <is>
          <t>1405298</t>
        </is>
      </c>
      <c r="F381" s="33" t="inlineStr">
        <is>
          <t>20836955</t>
        </is>
      </c>
      <c r="G381" s="51" t="n">
        <v>43394</v>
      </c>
      <c r="H381" s="33" t="inlineStr">
        <is>
          <t xml:space="preserve">International Swimming Meeting "13 November" </t>
        </is>
      </c>
      <c r="I381" s="33" t="inlineStr">
        <is>
          <t>134393</t>
        </is>
      </c>
      <c r="J381" s="33" t="inlineStr"/>
      <c r="K381" s="33" t="inlineStr">
        <is>
          <t>FIN</t>
        </is>
      </c>
      <c r="L381" s="35">
        <f>IF(K381="FIN",3,IF(OR(K381="SEM",K381="SEMI"),2,IF(OR(K381="PRE",K381="HEAT"),1,IF(V381="YES",4,2))))</f>
        <v/>
      </c>
      <c r="M381" s="33" t="inlineStr">
        <is>
          <t>SCM</t>
        </is>
      </c>
      <c r="N381" s="33" t="n">
        <v>200</v>
      </c>
      <c r="O381" s="33" t="inlineStr">
        <is>
          <t>Free</t>
        </is>
      </c>
      <c r="P381" s="33" t="inlineStr">
        <is>
          <t>200 Free</t>
        </is>
      </c>
      <c r="Q381" s="33" t="inlineStr">
        <is>
          <t>SCM_200_FREE</t>
        </is>
      </c>
      <c r="R381" s="36" t="n">
        <v>114.45</v>
      </c>
      <c r="S381" s="35">
        <f>IF(R381="","",IF(R381&gt;=60,INT(R381/60)&amp;":"&amp;TEXT(MOD(R381,60),"00.00"),TEXT(R381,"0.00")))</f>
        <v/>
      </c>
      <c r="T381" s="52">
        <f>IFERROR((G381-INDEX('01_Swimmers'!$E$5:$E$22,MATCH(B381,'01_Swimmers'!$A$5:$A$22,0)))/'00_Control'!$B$10,"")</f>
        <v/>
      </c>
      <c r="U381" s="35">
        <f>IF(T381="","",INT(T381))</f>
        <v/>
      </c>
      <c r="V381" s="33" t="inlineStr">
        <is>
          <t>NO</t>
        </is>
      </c>
      <c r="W381" s="33" t="inlineStr">
        <is>
          <t>YES</t>
        </is>
      </c>
      <c r="X381" s="33" t="inlineStr">
        <is>
          <t>NO</t>
        </is>
      </c>
      <c r="Y381" s="33" t="n">
        <v>1</v>
      </c>
      <c r="Z381" s="33" t="n">
        <v>6</v>
      </c>
      <c r="AA381" s="33" t="inlineStr">
        <is>
          <t>2</t>
        </is>
      </c>
      <c r="AB381" s="33" t="inlineStr">
        <is>
          <t>https://www.swimcloud.com/results/134393/event/24/?id=20836955#time20836955</t>
        </is>
      </c>
      <c r="AC381" s="33" t="inlineStr">
        <is>
          <t>SwimCloud API v6 2026-10-08</t>
        </is>
      </c>
      <c r="AD381" s="33" t="inlineStr">
        <is>
          <t>David Popovici|2018-10-21|SCM|200|Free|114.45|International Swimming Meeting "13 November" |FIN|False</t>
        </is>
      </c>
      <c r="AE381" s="53">
        <f>G381+L381/1000+ROW()/1000000000</f>
        <v/>
      </c>
      <c r="AF381" s="35">
        <f>IF(C381&lt;&gt;"Grayson Coulter","",COUNTIFS($C$5:$C$2991,"Grayson Coulter",$Q$5:$Q$2991,Q381,$AE$5:$AE$2991,"&lt;="&amp;AE381,$R$5:$R$2991,"&lt;"&amp;R381))</f>
        <v/>
      </c>
      <c r="AG381" s="35">
        <f>IF(OR(C381&lt;&gt;"Grayson Coulter",G381&lt;'00_Control'!$B$7),"",--(AF381&lt;5))</f>
        <v/>
      </c>
      <c r="AH381" s="35">
        <f>IF(OR(C381&lt;&gt;"Grayson Coulter",G381&lt;'00_Control'!$B$7),"",--(AF381&lt;10))</f>
        <v/>
      </c>
      <c r="AI381" s="35">
        <f>IF(AND(C381="Grayson Coulter",G381&gt;='00_Control'!$B$7),"YES","NO")</f>
        <v/>
      </c>
      <c r="AJ381" s="33" t="inlineStr">
        <is>
          <t>OK</t>
        </is>
      </c>
    </row>
    <row r="382">
      <c r="A382" s="33" t="inlineStr">
        <is>
          <t>SM000378</t>
        </is>
      </c>
      <c r="B382" s="33" t="inlineStr">
        <is>
          <t>SW009</t>
        </is>
      </c>
      <c r="C382" s="33" t="inlineStr">
        <is>
          <t>David Popovici</t>
        </is>
      </c>
      <c r="D382" s="33" t="inlineStr">
        <is>
          <t>SwimCloud</t>
        </is>
      </c>
      <c r="E382" s="33" t="inlineStr">
        <is>
          <t>1405298</t>
        </is>
      </c>
      <c r="F382" s="33" t="inlineStr">
        <is>
          <t>32119795</t>
        </is>
      </c>
      <c r="G382" s="51" t="n">
        <v>43594</v>
      </c>
      <c r="H382" s="33" t="inlineStr">
        <is>
          <t>Romanian International Swimming Championships</t>
        </is>
      </c>
      <c r="I382" s="33" t="inlineStr">
        <is>
          <t>173464</t>
        </is>
      </c>
      <c r="J382" s="33" t="inlineStr"/>
      <c r="K382" s="33" t="inlineStr">
        <is>
          <t>PRE</t>
        </is>
      </c>
      <c r="L382" s="35">
        <f>IF(K382="FIN",3,IF(OR(K382="SEM",K382="SEMI"),2,IF(OR(K382="PRE",K382="HEAT"),1,IF(V382="YES",4,2))))</f>
        <v/>
      </c>
      <c r="M382" s="33" t="inlineStr">
        <is>
          <t>LCM</t>
        </is>
      </c>
      <c r="N382" s="33" t="n">
        <v>100</v>
      </c>
      <c r="O382" s="33" t="inlineStr">
        <is>
          <t>Free</t>
        </is>
      </c>
      <c r="P382" s="33" t="inlineStr">
        <is>
          <t>100 Free</t>
        </is>
      </c>
      <c r="Q382" s="33" t="inlineStr">
        <is>
          <t>LCM_100_FREE</t>
        </is>
      </c>
      <c r="R382" s="36" t="n">
        <v>51.24</v>
      </c>
      <c r="S382" s="35">
        <f>IF(R382="","",IF(R382&gt;=60,INT(R382/60)&amp;":"&amp;TEXT(MOD(R382,60),"00.00"),TEXT(R382,"0.00")))</f>
        <v/>
      </c>
      <c r="T382" s="52">
        <f>IFERROR((G382-INDEX('01_Swimmers'!$E$5:$E$22,MATCH(B382,'01_Swimmers'!$A$5:$A$22,0)))/'00_Control'!$B$10,"")</f>
        <v/>
      </c>
      <c r="U382" s="35">
        <f>IF(T382="","",INT(T382))</f>
        <v/>
      </c>
      <c r="V382" s="33" t="inlineStr">
        <is>
          <t>NO</t>
        </is>
      </c>
      <c r="W382" s="33" t="inlineStr">
        <is>
          <t>YES</t>
        </is>
      </c>
      <c r="X382" s="33" t="inlineStr">
        <is>
          <t>NO</t>
        </is>
      </c>
      <c r="Y382" s="33" t="n"/>
      <c r="Z382" s="33" t="n"/>
      <c r="AA382" s="33" t="inlineStr">
        <is>
          <t>2</t>
        </is>
      </c>
      <c r="AB382" s="33" t="inlineStr">
        <is>
          <t>https://www.swimcloud.com/results/173464/event/6/?id=32119795#time32119795</t>
        </is>
      </c>
      <c r="AC382" s="33" t="inlineStr">
        <is>
          <t>SwimCloud API v6 2026-10-08</t>
        </is>
      </c>
      <c r="AD382" s="33" t="inlineStr">
        <is>
          <t>David Popovici|2019-05-09|LCM|100|Free|51.24|Romanian International Swimming Championships|PRE|False</t>
        </is>
      </c>
      <c r="AE382" s="53">
        <f>G382+L382/1000+ROW()/1000000000</f>
        <v/>
      </c>
      <c r="AF382" s="35">
        <f>IF(C382&lt;&gt;"Grayson Coulter","",COUNTIFS($C$5:$C$2991,"Grayson Coulter",$Q$5:$Q$2991,Q382,$AE$5:$AE$2991,"&lt;="&amp;AE382,$R$5:$R$2991,"&lt;"&amp;R382))</f>
        <v/>
      </c>
      <c r="AG382" s="35">
        <f>IF(OR(C382&lt;&gt;"Grayson Coulter",G382&lt;'00_Control'!$B$7),"",--(AF382&lt;5))</f>
        <v/>
      </c>
      <c r="AH382" s="35">
        <f>IF(OR(C382&lt;&gt;"Grayson Coulter",G382&lt;'00_Control'!$B$7),"",--(AF382&lt;10))</f>
        <v/>
      </c>
      <c r="AI382" s="35">
        <f>IF(AND(C382="Grayson Coulter",G382&gt;='00_Control'!$B$7),"YES","NO")</f>
        <v/>
      </c>
      <c r="AJ382" s="33" t="inlineStr">
        <is>
          <t>OK</t>
        </is>
      </c>
    </row>
    <row r="383">
      <c r="A383" s="33" t="inlineStr">
        <is>
          <t>SM000379</t>
        </is>
      </c>
      <c r="B383" s="33" t="inlineStr">
        <is>
          <t>SW009</t>
        </is>
      </c>
      <c r="C383" s="33" t="inlineStr">
        <is>
          <t>David Popovici</t>
        </is>
      </c>
      <c r="D383" s="33" t="inlineStr">
        <is>
          <t>SwimCloud</t>
        </is>
      </c>
      <c r="E383" s="33" t="inlineStr">
        <is>
          <t>1405298</t>
        </is>
      </c>
      <c r="F383" s="33" t="inlineStr">
        <is>
          <t>32119796</t>
        </is>
      </c>
      <c r="G383" s="51" t="n">
        <v>43594</v>
      </c>
      <c r="H383" s="33" t="inlineStr">
        <is>
          <t>Romanian International Swimming Championships</t>
        </is>
      </c>
      <c r="I383" s="33" t="inlineStr">
        <is>
          <t>173464</t>
        </is>
      </c>
      <c r="J383" s="33" t="inlineStr"/>
      <c r="K383" s="33" t="inlineStr">
        <is>
          <t>PRE</t>
        </is>
      </c>
      <c r="L383" s="35">
        <f>IF(K383="FIN",3,IF(OR(K383="SEM",K383="SEMI"),2,IF(OR(K383="PRE",K383="HEAT"),1,IF(V383="YES",4,2))))</f>
        <v/>
      </c>
      <c r="M383" s="33" t="inlineStr">
        <is>
          <t>LCM</t>
        </is>
      </c>
      <c r="N383" s="33" t="n">
        <v>100</v>
      </c>
      <c r="O383" s="33" t="inlineStr">
        <is>
          <t>Free</t>
        </is>
      </c>
      <c r="P383" s="33" t="inlineStr">
        <is>
          <t>100 Free</t>
        </is>
      </c>
      <c r="Q383" s="33" t="inlineStr">
        <is>
          <t>LCM_100_FREE</t>
        </is>
      </c>
      <c r="R383" s="36" t="n">
        <v>51.24</v>
      </c>
      <c r="S383" s="35">
        <f>IF(R383="","",IF(R383&gt;=60,INT(R383/60)&amp;":"&amp;TEXT(MOD(R383,60),"00.00"),TEXT(R383,"0.00")))</f>
        <v/>
      </c>
      <c r="T383" s="52">
        <f>IFERROR((G383-INDEX('01_Swimmers'!$E$5:$E$22,MATCH(B383,'01_Swimmers'!$A$5:$A$22,0)))/'00_Control'!$B$10,"")</f>
        <v/>
      </c>
      <c r="U383" s="35">
        <f>IF(T383="","",INT(T383))</f>
        <v/>
      </c>
      <c r="V383" s="33" t="inlineStr">
        <is>
          <t>NO</t>
        </is>
      </c>
      <c r="W383" s="33" t="inlineStr">
        <is>
          <t>YES</t>
        </is>
      </c>
      <c r="X383" s="33" t="inlineStr">
        <is>
          <t>NO</t>
        </is>
      </c>
      <c r="Y383" s="33" t="n"/>
      <c r="Z383" s="33" t="n"/>
      <c r="AA383" s="33" t="inlineStr">
        <is>
          <t>1</t>
        </is>
      </c>
      <c r="AB383" s="33" t="inlineStr">
        <is>
          <t>https://www.swimcloud.com/results/173464/event/6/?id=32119796#time32119796</t>
        </is>
      </c>
      <c r="AC383" s="33" t="inlineStr">
        <is>
          <t>SwimCloud API v6 2026-10-08</t>
        </is>
      </c>
      <c r="AD383" s="33" t="inlineStr">
        <is>
          <t>David Popovici|2019-05-09|LCM|100|Free|51.24|Romanian International Swimming Championships|PRE|False</t>
        </is>
      </c>
      <c r="AE383" s="53">
        <f>G383+L383/1000+ROW()/1000000000</f>
        <v/>
      </c>
      <c r="AF383" s="35">
        <f>IF(C383&lt;&gt;"Grayson Coulter","",COUNTIFS($C$5:$C$2991,"Grayson Coulter",$Q$5:$Q$2991,Q383,$AE$5:$AE$2991,"&lt;="&amp;AE383,$R$5:$R$2991,"&lt;"&amp;R383))</f>
        <v/>
      </c>
      <c r="AG383" s="35">
        <f>IF(OR(C383&lt;&gt;"Grayson Coulter",G383&lt;'00_Control'!$B$7),"",--(AF383&lt;5))</f>
        <v/>
      </c>
      <c r="AH383" s="35">
        <f>IF(OR(C383&lt;&gt;"Grayson Coulter",G383&lt;'00_Control'!$B$7),"",--(AF383&lt;10))</f>
        <v/>
      </c>
      <c r="AI383" s="35">
        <f>IF(AND(C383="Grayson Coulter",G383&gt;='00_Control'!$B$7),"YES","NO")</f>
        <v/>
      </c>
      <c r="AJ383" s="33" t="inlineStr">
        <is>
          <t>OK</t>
        </is>
      </c>
    </row>
    <row r="384">
      <c r="A384" s="33" t="inlineStr">
        <is>
          <t>SM000380</t>
        </is>
      </c>
      <c r="B384" s="33" t="inlineStr">
        <is>
          <t>SW009</t>
        </is>
      </c>
      <c r="C384" s="33" t="inlineStr">
        <is>
          <t>David Popovici</t>
        </is>
      </c>
      <c r="D384" s="33" t="inlineStr">
        <is>
          <t>SwimCloud</t>
        </is>
      </c>
      <c r="E384" s="33" t="inlineStr">
        <is>
          <t>1405298</t>
        </is>
      </c>
      <c r="F384" s="33" t="inlineStr">
        <is>
          <t>32119799</t>
        </is>
      </c>
      <c r="G384" s="51" t="n">
        <v>43594</v>
      </c>
      <c r="H384" s="33" t="inlineStr">
        <is>
          <t>Romanian International Swimming Championships</t>
        </is>
      </c>
      <c r="I384" s="33" t="inlineStr">
        <is>
          <t>173464</t>
        </is>
      </c>
      <c r="J384" s="33" t="inlineStr"/>
      <c r="K384" s="33" t="inlineStr">
        <is>
          <t>FIN</t>
        </is>
      </c>
      <c r="L384" s="35">
        <f>IF(K384="FIN",3,IF(OR(K384="SEM",K384="SEMI"),2,IF(OR(K384="PRE",K384="HEAT"),1,IF(V384="YES",4,2))))</f>
        <v/>
      </c>
      <c r="M384" s="33" t="inlineStr">
        <is>
          <t>LCM</t>
        </is>
      </c>
      <c r="N384" s="33" t="n">
        <v>100</v>
      </c>
      <c r="O384" s="33" t="inlineStr">
        <is>
          <t>Free</t>
        </is>
      </c>
      <c r="P384" s="33" t="inlineStr">
        <is>
          <t>100 Free</t>
        </is>
      </c>
      <c r="Q384" s="33" t="inlineStr">
        <is>
          <t>LCM_100_FREE</t>
        </is>
      </c>
      <c r="R384" s="36" t="n">
        <v>51.51</v>
      </c>
      <c r="S384" s="35">
        <f>IF(R384="","",IF(R384&gt;=60,INT(R384/60)&amp;":"&amp;TEXT(MOD(R384,60),"00.00"),TEXT(R384,"0.00")))</f>
        <v/>
      </c>
      <c r="T384" s="52">
        <f>IFERROR((G384-INDEX('01_Swimmers'!$E$5:$E$22,MATCH(B384,'01_Swimmers'!$A$5:$A$22,0)))/'00_Control'!$B$10,"")</f>
        <v/>
      </c>
      <c r="U384" s="35">
        <f>IF(T384="","",INT(T384))</f>
        <v/>
      </c>
      <c r="V384" s="33" t="inlineStr">
        <is>
          <t>NO</t>
        </is>
      </c>
      <c r="W384" s="33" t="inlineStr">
        <is>
          <t>YES</t>
        </is>
      </c>
      <c r="X384" s="33" t="inlineStr">
        <is>
          <t>NO</t>
        </is>
      </c>
      <c r="Y384" s="33" t="n"/>
      <c r="Z384" s="33" t="n"/>
      <c r="AA384" s="33" t="inlineStr">
        <is>
          <t>5</t>
        </is>
      </c>
      <c r="AB384" s="33" t="inlineStr">
        <is>
          <t>https://www.swimcloud.com/results/173464/event/6/?id=32119799#time32119799</t>
        </is>
      </c>
      <c r="AC384" s="33" t="inlineStr">
        <is>
          <t>SwimCloud API v6 2026-10-08</t>
        </is>
      </c>
      <c r="AD384" s="33" t="inlineStr">
        <is>
          <t>David Popovici|2019-05-09|LCM|100|Free|51.51|Romanian International Swimming Championships|FIN|False</t>
        </is>
      </c>
      <c r="AE384" s="53">
        <f>G384+L384/1000+ROW()/1000000000</f>
        <v/>
      </c>
      <c r="AF384" s="35">
        <f>IF(C384&lt;&gt;"Grayson Coulter","",COUNTIFS($C$5:$C$2991,"Grayson Coulter",$Q$5:$Q$2991,Q384,$AE$5:$AE$2991,"&lt;="&amp;AE384,$R$5:$R$2991,"&lt;"&amp;R384))</f>
        <v/>
      </c>
      <c r="AG384" s="35">
        <f>IF(OR(C384&lt;&gt;"Grayson Coulter",G384&lt;'00_Control'!$B$7),"",--(AF384&lt;5))</f>
        <v/>
      </c>
      <c r="AH384" s="35">
        <f>IF(OR(C384&lt;&gt;"Grayson Coulter",G384&lt;'00_Control'!$B$7),"",--(AF384&lt;10))</f>
        <v/>
      </c>
      <c r="AI384" s="35">
        <f>IF(AND(C384="Grayson Coulter",G384&gt;='00_Control'!$B$7),"YES","NO")</f>
        <v/>
      </c>
      <c r="AJ384" s="33" t="inlineStr">
        <is>
          <t>OK</t>
        </is>
      </c>
    </row>
    <row r="385">
      <c r="A385" s="33" t="inlineStr">
        <is>
          <t>SM000381</t>
        </is>
      </c>
      <c r="B385" s="33" t="inlineStr">
        <is>
          <t>SW009</t>
        </is>
      </c>
      <c r="C385" s="33" t="inlineStr">
        <is>
          <t>David Popovici</t>
        </is>
      </c>
      <c r="D385" s="33" t="inlineStr">
        <is>
          <t>SwimCloud</t>
        </is>
      </c>
      <c r="E385" s="33" t="inlineStr">
        <is>
          <t>1405298</t>
        </is>
      </c>
      <c r="F385" s="33" t="inlineStr">
        <is>
          <t>32119800</t>
        </is>
      </c>
      <c r="G385" s="51" t="n">
        <v>43594</v>
      </c>
      <c r="H385" s="33" t="inlineStr">
        <is>
          <t>Romanian International Swimming Championships</t>
        </is>
      </c>
      <c r="I385" s="33" t="inlineStr">
        <is>
          <t>173464</t>
        </is>
      </c>
      <c r="J385" s="33" t="inlineStr"/>
      <c r="K385" s="33" t="inlineStr">
        <is>
          <t>FIN</t>
        </is>
      </c>
      <c r="L385" s="35">
        <f>IF(K385="FIN",3,IF(OR(K385="SEM",K385="SEMI"),2,IF(OR(K385="PRE",K385="HEAT"),1,IF(V385="YES",4,2))))</f>
        <v/>
      </c>
      <c r="M385" s="33" t="inlineStr">
        <is>
          <t>LCM</t>
        </is>
      </c>
      <c r="N385" s="33" t="n">
        <v>100</v>
      </c>
      <c r="O385" s="33" t="inlineStr">
        <is>
          <t>Free</t>
        </is>
      </c>
      <c r="P385" s="33" t="inlineStr">
        <is>
          <t>100 Free</t>
        </is>
      </c>
      <c r="Q385" s="33" t="inlineStr">
        <is>
          <t>LCM_100_FREE</t>
        </is>
      </c>
      <c r="R385" s="36" t="n">
        <v>51.51</v>
      </c>
      <c r="S385" s="35">
        <f>IF(R385="","",IF(R385&gt;=60,INT(R385/60)&amp;":"&amp;TEXT(MOD(R385,60),"00.00"),TEXT(R385,"0.00")))</f>
        <v/>
      </c>
      <c r="T385" s="52">
        <f>IFERROR((G385-INDEX('01_Swimmers'!$E$5:$E$22,MATCH(B385,'01_Swimmers'!$A$5:$A$22,0)))/'00_Control'!$B$10,"")</f>
        <v/>
      </c>
      <c r="U385" s="35">
        <f>IF(T385="","",INT(T385))</f>
        <v/>
      </c>
      <c r="V385" s="33" t="inlineStr">
        <is>
          <t>NO</t>
        </is>
      </c>
      <c r="W385" s="33" t="inlineStr">
        <is>
          <t>YES</t>
        </is>
      </c>
      <c r="X385" s="33" t="inlineStr">
        <is>
          <t>NO</t>
        </is>
      </c>
      <c r="Y385" s="33" t="n"/>
      <c r="Z385" s="33" t="n"/>
      <c r="AA385" s="33" t="inlineStr">
        <is>
          <t>1</t>
        </is>
      </c>
      <c r="AB385" s="33" t="inlineStr">
        <is>
          <t>https://www.swimcloud.com/results/173464/event/6/?id=32119800#time32119800</t>
        </is>
      </c>
      <c r="AC385" s="33" t="inlineStr">
        <is>
          <t>SwimCloud API v6 2026-10-08</t>
        </is>
      </c>
      <c r="AD385" s="33" t="inlineStr">
        <is>
          <t>David Popovici|2019-05-09|LCM|100|Free|51.51|Romanian International Swimming Championships|FIN|False</t>
        </is>
      </c>
      <c r="AE385" s="53">
        <f>G385+L385/1000+ROW()/1000000000</f>
        <v/>
      </c>
      <c r="AF385" s="35">
        <f>IF(C385&lt;&gt;"Grayson Coulter","",COUNTIFS($C$5:$C$2991,"Grayson Coulter",$Q$5:$Q$2991,Q385,$AE$5:$AE$2991,"&lt;="&amp;AE385,$R$5:$R$2991,"&lt;"&amp;R385))</f>
        <v/>
      </c>
      <c r="AG385" s="35">
        <f>IF(OR(C385&lt;&gt;"Grayson Coulter",G385&lt;'00_Control'!$B$7),"",--(AF385&lt;5))</f>
        <v/>
      </c>
      <c r="AH385" s="35">
        <f>IF(OR(C385&lt;&gt;"Grayson Coulter",G385&lt;'00_Control'!$B$7),"",--(AF385&lt;10))</f>
        <v/>
      </c>
      <c r="AI385" s="35">
        <f>IF(AND(C385="Grayson Coulter",G385&gt;='00_Control'!$B$7),"YES","NO")</f>
        <v/>
      </c>
      <c r="AJ385" s="33" t="inlineStr">
        <is>
          <t>OK</t>
        </is>
      </c>
    </row>
    <row r="386">
      <c r="A386" s="33" t="inlineStr">
        <is>
          <t>SM000382</t>
        </is>
      </c>
      <c r="B386" s="33" t="inlineStr">
        <is>
          <t>SW009</t>
        </is>
      </c>
      <c r="C386" s="33" t="inlineStr">
        <is>
          <t>David Popovici</t>
        </is>
      </c>
      <c r="D386" s="33" t="inlineStr">
        <is>
          <t>SwimCloud</t>
        </is>
      </c>
      <c r="E386" s="33" t="inlineStr">
        <is>
          <t>1405298</t>
        </is>
      </c>
      <c r="F386" s="33" t="inlineStr">
        <is>
          <t>32119803</t>
        </is>
      </c>
      <c r="G386" s="51" t="n">
        <v>43595</v>
      </c>
      <c r="H386" s="33" t="inlineStr">
        <is>
          <t>Romanian International Swimming Championships</t>
        </is>
      </c>
      <c r="I386" s="33" t="inlineStr">
        <is>
          <t>173464</t>
        </is>
      </c>
      <c r="J386" s="33" t="inlineStr"/>
      <c r="K386" s="33" t="inlineStr">
        <is>
          <t>PRE</t>
        </is>
      </c>
      <c r="L386" s="35">
        <f>IF(K386="FIN",3,IF(OR(K386="SEM",K386="SEMI"),2,IF(OR(K386="PRE",K386="HEAT"),1,IF(V386="YES",4,2))))</f>
        <v/>
      </c>
      <c r="M386" s="33" t="inlineStr">
        <is>
          <t>LCM</t>
        </is>
      </c>
      <c r="N386" s="33" t="n">
        <v>200</v>
      </c>
      <c r="O386" s="33" t="inlineStr">
        <is>
          <t>Free</t>
        </is>
      </c>
      <c r="P386" s="33" t="inlineStr">
        <is>
          <t>200 Free</t>
        </is>
      </c>
      <c r="Q386" s="33" t="inlineStr">
        <is>
          <t>LCM_200_FREE</t>
        </is>
      </c>
      <c r="R386" s="36" t="n">
        <v>115.76</v>
      </c>
      <c r="S386" s="35">
        <f>IF(R386="","",IF(R386&gt;=60,INT(R386/60)&amp;":"&amp;TEXT(MOD(R386,60),"00.00"),TEXT(R386,"0.00")))</f>
        <v/>
      </c>
      <c r="T386" s="52">
        <f>IFERROR((G386-INDEX('01_Swimmers'!$E$5:$E$22,MATCH(B386,'01_Swimmers'!$A$5:$A$22,0)))/'00_Control'!$B$10,"")</f>
        <v/>
      </c>
      <c r="U386" s="35">
        <f>IF(T386="","",INT(T386))</f>
        <v/>
      </c>
      <c r="V386" s="33" t="inlineStr">
        <is>
          <t>NO</t>
        </is>
      </c>
      <c r="W386" s="33" t="inlineStr">
        <is>
          <t>YES</t>
        </is>
      </c>
      <c r="X386" s="33" t="inlineStr">
        <is>
          <t>NO</t>
        </is>
      </c>
      <c r="Y386" s="33" t="n"/>
      <c r="Z386" s="33" t="n"/>
      <c r="AA386" s="33" t="inlineStr">
        <is>
          <t>1</t>
        </is>
      </c>
      <c r="AB386" s="33" t="inlineStr">
        <is>
          <t>https://www.swimcloud.com/results/173464/event/15/?id=32119803#time32119803</t>
        </is>
      </c>
      <c r="AC386" s="33" t="inlineStr">
        <is>
          <t>SwimCloud API v6 2026-10-08</t>
        </is>
      </c>
      <c r="AD386" s="33" t="inlineStr">
        <is>
          <t>David Popovici|2019-05-10|LCM|200|Free|115.76|Romanian International Swimming Championships|PRE|False</t>
        </is>
      </c>
      <c r="AE386" s="53">
        <f>G386+L386/1000+ROW()/1000000000</f>
        <v/>
      </c>
      <c r="AF386" s="35">
        <f>IF(C386&lt;&gt;"Grayson Coulter","",COUNTIFS($C$5:$C$2991,"Grayson Coulter",$Q$5:$Q$2991,Q386,$AE$5:$AE$2991,"&lt;="&amp;AE386,$R$5:$R$2991,"&lt;"&amp;R386))</f>
        <v/>
      </c>
      <c r="AG386" s="35">
        <f>IF(OR(C386&lt;&gt;"Grayson Coulter",G386&lt;'00_Control'!$B$7),"",--(AF386&lt;5))</f>
        <v/>
      </c>
      <c r="AH386" s="35">
        <f>IF(OR(C386&lt;&gt;"Grayson Coulter",G386&lt;'00_Control'!$B$7),"",--(AF386&lt;10))</f>
        <v/>
      </c>
      <c r="AI386" s="35">
        <f>IF(AND(C386="Grayson Coulter",G386&gt;='00_Control'!$B$7),"YES","NO")</f>
        <v/>
      </c>
      <c r="AJ386" s="33" t="inlineStr">
        <is>
          <t>OK</t>
        </is>
      </c>
    </row>
    <row r="387">
      <c r="A387" s="33" t="inlineStr">
        <is>
          <t>SM000383</t>
        </is>
      </c>
      <c r="B387" s="33" t="inlineStr">
        <is>
          <t>SW009</t>
        </is>
      </c>
      <c r="C387" s="33" t="inlineStr">
        <is>
          <t>David Popovici</t>
        </is>
      </c>
      <c r="D387" s="33" t="inlineStr">
        <is>
          <t>SwimCloud</t>
        </is>
      </c>
      <c r="E387" s="33" t="inlineStr">
        <is>
          <t>1405298</t>
        </is>
      </c>
      <c r="F387" s="33" t="inlineStr">
        <is>
          <t>32119804</t>
        </is>
      </c>
      <c r="G387" s="51" t="n">
        <v>43595</v>
      </c>
      <c r="H387" s="33" t="inlineStr">
        <is>
          <t>Romanian International Swimming Championships</t>
        </is>
      </c>
      <c r="I387" s="33" t="inlineStr">
        <is>
          <t>173464</t>
        </is>
      </c>
      <c r="J387" s="33" t="inlineStr"/>
      <c r="K387" s="33" t="inlineStr">
        <is>
          <t>PRE</t>
        </is>
      </c>
      <c r="L387" s="35">
        <f>IF(K387="FIN",3,IF(OR(K387="SEM",K387="SEMI"),2,IF(OR(K387="PRE",K387="HEAT"),1,IF(V387="YES",4,2))))</f>
        <v/>
      </c>
      <c r="M387" s="33" t="inlineStr">
        <is>
          <t>LCM</t>
        </is>
      </c>
      <c r="N387" s="33" t="n">
        <v>200</v>
      </c>
      <c r="O387" s="33" t="inlineStr">
        <is>
          <t>Free</t>
        </is>
      </c>
      <c r="P387" s="33" t="inlineStr">
        <is>
          <t>200 Free</t>
        </is>
      </c>
      <c r="Q387" s="33" t="inlineStr">
        <is>
          <t>LCM_200_FREE</t>
        </is>
      </c>
      <c r="R387" s="36" t="n">
        <v>115.76</v>
      </c>
      <c r="S387" s="35">
        <f>IF(R387="","",IF(R387&gt;=60,INT(R387/60)&amp;":"&amp;TEXT(MOD(R387,60),"00.00"),TEXT(R387,"0.00")))</f>
        <v/>
      </c>
      <c r="T387" s="52">
        <f>IFERROR((G387-INDEX('01_Swimmers'!$E$5:$E$22,MATCH(B387,'01_Swimmers'!$A$5:$A$22,0)))/'00_Control'!$B$10,"")</f>
        <v/>
      </c>
      <c r="U387" s="35">
        <f>IF(T387="","",INT(T387))</f>
        <v/>
      </c>
      <c r="V387" s="33" t="inlineStr">
        <is>
          <t>NO</t>
        </is>
      </c>
      <c r="W387" s="33" t="inlineStr">
        <is>
          <t>YES</t>
        </is>
      </c>
      <c r="X387" s="33" t="inlineStr">
        <is>
          <t>NO</t>
        </is>
      </c>
      <c r="Y387" s="33" t="n"/>
      <c r="Z387" s="33" t="n"/>
      <c r="AA387" s="33" t="inlineStr">
        <is>
          <t>1</t>
        </is>
      </c>
      <c r="AB387" s="33" t="inlineStr">
        <is>
          <t>https://www.swimcloud.com/results/173464/event/15/?id=32119804#time32119804</t>
        </is>
      </c>
      <c r="AC387" s="33" t="inlineStr">
        <is>
          <t>SwimCloud API v6 2026-10-08</t>
        </is>
      </c>
      <c r="AD387" s="33" t="inlineStr">
        <is>
          <t>David Popovici|2019-05-10|LCM|200|Free|115.76|Romanian International Swimming Championships|PRE|False</t>
        </is>
      </c>
      <c r="AE387" s="53">
        <f>G387+L387/1000+ROW()/1000000000</f>
        <v/>
      </c>
      <c r="AF387" s="35">
        <f>IF(C387&lt;&gt;"Grayson Coulter","",COUNTIFS($C$5:$C$2991,"Grayson Coulter",$Q$5:$Q$2991,Q387,$AE$5:$AE$2991,"&lt;="&amp;AE387,$R$5:$R$2991,"&lt;"&amp;R387))</f>
        <v/>
      </c>
      <c r="AG387" s="35">
        <f>IF(OR(C387&lt;&gt;"Grayson Coulter",G387&lt;'00_Control'!$B$7),"",--(AF387&lt;5))</f>
        <v/>
      </c>
      <c r="AH387" s="35">
        <f>IF(OR(C387&lt;&gt;"Grayson Coulter",G387&lt;'00_Control'!$B$7),"",--(AF387&lt;10))</f>
        <v/>
      </c>
      <c r="AI387" s="35">
        <f>IF(AND(C387="Grayson Coulter",G387&gt;='00_Control'!$B$7),"YES","NO")</f>
        <v/>
      </c>
      <c r="AJ387" s="33" t="inlineStr">
        <is>
          <t>OK</t>
        </is>
      </c>
    </row>
    <row r="388">
      <c r="A388" s="33" t="inlineStr">
        <is>
          <t>SM000384</t>
        </is>
      </c>
      <c r="B388" s="33" t="inlineStr">
        <is>
          <t>SW009</t>
        </is>
      </c>
      <c r="C388" s="33" t="inlineStr">
        <is>
          <t>David Popovici</t>
        </is>
      </c>
      <c r="D388" s="33" t="inlineStr">
        <is>
          <t>SwimCloud</t>
        </is>
      </c>
      <c r="E388" s="33" t="inlineStr">
        <is>
          <t>1405298</t>
        </is>
      </c>
      <c r="F388" s="33" t="inlineStr">
        <is>
          <t>32119805</t>
        </is>
      </c>
      <c r="G388" s="51" t="n">
        <v>43595</v>
      </c>
      <c r="H388" s="33" t="inlineStr">
        <is>
          <t>Romanian International Swimming Championships</t>
        </is>
      </c>
      <c r="I388" s="33" t="inlineStr">
        <is>
          <t>173464</t>
        </is>
      </c>
      <c r="J388" s="33" t="inlineStr"/>
      <c r="K388" s="33" t="inlineStr">
        <is>
          <t>FIN</t>
        </is>
      </c>
      <c r="L388" s="35">
        <f>IF(K388="FIN",3,IF(OR(K388="SEM",K388="SEMI"),2,IF(OR(K388="PRE",K388="HEAT"),1,IF(V388="YES",4,2))))</f>
        <v/>
      </c>
      <c r="M388" s="33" t="inlineStr">
        <is>
          <t>LCM</t>
        </is>
      </c>
      <c r="N388" s="33" t="n">
        <v>200</v>
      </c>
      <c r="O388" s="33" t="inlineStr">
        <is>
          <t>Free</t>
        </is>
      </c>
      <c r="P388" s="33" t="inlineStr">
        <is>
          <t>200 Free</t>
        </is>
      </c>
      <c r="Q388" s="33" t="inlineStr">
        <is>
          <t>LCM_200_FREE</t>
        </is>
      </c>
      <c r="R388" s="36" t="n">
        <v>113.55</v>
      </c>
      <c r="S388" s="35">
        <f>IF(R388="","",IF(R388&gt;=60,INT(R388/60)&amp;":"&amp;TEXT(MOD(R388,60),"00.00"),TEXT(R388,"0.00")))</f>
        <v/>
      </c>
      <c r="T388" s="52">
        <f>IFERROR((G388-INDEX('01_Swimmers'!$E$5:$E$22,MATCH(B388,'01_Swimmers'!$A$5:$A$22,0)))/'00_Control'!$B$10,"")</f>
        <v/>
      </c>
      <c r="U388" s="35">
        <f>IF(T388="","",INT(T388))</f>
        <v/>
      </c>
      <c r="V388" s="33" t="inlineStr">
        <is>
          <t>NO</t>
        </is>
      </c>
      <c r="W388" s="33" t="inlineStr">
        <is>
          <t>YES</t>
        </is>
      </c>
      <c r="X388" s="33" t="inlineStr">
        <is>
          <t>NO</t>
        </is>
      </c>
      <c r="Y388" s="33" t="n"/>
      <c r="Z388" s="33" t="n"/>
      <c r="AA388" s="33" t="inlineStr">
        <is>
          <t>2</t>
        </is>
      </c>
      <c r="AB388" s="33" t="inlineStr">
        <is>
          <t>https://www.swimcloud.com/results/173464/event/15/?id=32119805#time32119805</t>
        </is>
      </c>
      <c r="AC388" s="33" t="inlineStr">
        <is>
          <t>SwimCloud API v6 2026-10-08</t>
        </is>
      </c>
      <c r="AD388" s="33" t="inlineStr">
        <is>
          <t>David Popovici|2019-05-10|LCM|200|Free|113.55|Romanian International Swimming Championships|FIN|False</t>
        </is>
      </c>
      <c r="AE388" s="53">
        <f>G388+L388/1000+ROW()/1000000000</f>
        <v/>
      </c>
      <c r="AF388" s="35">
        <f>IF(C388&lt;&gt;"Grayson Coulter","",COUNTIFS($C$5:$C$2991,"Grayson Coulter",$Q$5:$Q$2991,Q388,$AE$5:$AE$2991,"&lt;="&amp;AE388,$R$5:$R$2991,"&lt;"&amp;R388))</f>
        <v/>
      </c>
      <c r="AG388" s="35">
        <f>IF(OR(C388&lt;&gt;"Grayson Coulter",G388&lt;'00_Control'!$B$7),"",--(AF388&lt;5))</f>
        <v/>
      </c>
      <c r="AH388" s="35">
        <f>IF(OR(C388&lt;&gt;"Grayson Coulter",G388&lt;'00_Control'!$B$7),"",--(AF388&lt;10))</f>
        <v/>
      </c>
      <c r="AI388" s="35">
        <f>IF(AND(C388="Grayson Coulter",G388&gt;='00_Control'!$B$7),"YES","NO")</f>
        <v/>
      </c>
      <c r="AJ388" s="33" t="inlineStr">
        <is>
          <t>OK</t>
        </is>
      </c>
    </row>
    <row r="389">
      <c r="A389" s="33" t="inlineStr">
        <is>
          <t>SM000385</t>
        </is>
      </c>
      <c r="B389" s="33" t="inlineStr">
        <is>
          <t>SW009</t>
        </is>
      </c>
      <c r="C389" s="33" t="inlineStr">
        <is>
          <t>David Popovici</t>
        </is>
      </c>
      <c r="D389" s="33" t="inlineStr">
        <is>
          <t>SwimCloud</t>
        </is>
      </c>
      <c r="E389" s="33" t="inlineStr">
        <is>
          <t>1405298</t>
        </is>
      </c>
      <c r="F389" s="33" t="inlineStr">
        <is>
          <t>32119806</t>
        </is>
      </c>
      <c r="G389" s="51" t="n">
        <v>43595</v>
      </c>
      <c r="H389" s="33" t="inlineStr">
        <is>
          <t>Romanian International Swimming Championships</t>
        </is>
      </c>
      <c r="I389" s="33" t="inlineStr">
        <is>
          <t>173464</t>
        </is>
      </c>
      <c r="J389" s="33" t="inlineStr"/>
      <c r="K389" s="33" t="inlineStr">
        <is>
          <t>FIN</t>
        </is>
      </c>
      <c r="L389" s="35">
        <f>IF(K389="FIN",3,IF(OR(K389="SEM",K389="SEMI"),2,IF(OR(K389="PRE",K389="HEAT"),1,IF(V389="YES",4,2))))</f>
        <v/>
      </c>
      <c r="M389" s="33" t="inlineStr">
        <is>
          <t>LCM</t>
        </is>
      </c>
      <c r="N389" s="33" t="n">
        <v>200</v>
      </c>
      <c r="O389" s="33" t="inlineStr">
        <is>
          <t>Free</t>
        </is>
      </c>
      <c r="P389" s="33" t="inlineStr">
        <is>
          <t>200 Free</t>
        </is>
      </c>
      <c r="Q389" s="33" t="inlineStr">
        <is>
          <t>LCM_200_FREE</t>
        </is>
      </c>
      <c r="R389" s="36" t="n">
        <v>113.55</v>
      </c>
      <c r="S389" s="35">
        <f>IF(R389="","",IF(R389&gt;=60,INT(R389/60)&amp;":"&amp;TEXT(MOD(R389,60),"00.00"),TEXT(R389,"0.00")))</f>
        <v/>
      </c>
      <c r="T389" s="52">
        <f>IFERROR((G389-INDEX('01_Swimmers'!$E$5:$E$22,MATCH(B389,'01_Swimmers'!$A$5:$A$22,0)))/'00_Control'!$B$10,"")</f>
        <v/>
      </c>
      <c r="U389" s="35">
        <f>IF(T389="","",INT(T389))</f>
        <v/>
      </c>
      <c r="V389" s="33" t="inlineStr">
        <is>
          <t>NO</t>
        </is>
      </c>
      <c r="W389" s="33" t="inlineStr">
        <is>
          <t>YES</t>
        </is>
      </c>
      <c r="X389" s="33" t="inlineStr">
        <is>
          <t>NO</t>
        </is>
      </c>
      <c r="Y389" s="33" t="n"/>
      <c r="Z389" s="33" t="n"/>
      <c r="AA389" s="33" t="inlineStr">
        <is>
          <t>1</t>
        </is>
      </c>
      <c r="AB389" s="33" t="inlineStr">
        <is>
          <t>https://www.swimcloud.com/results/173464/event/15/?id=32119806#time32119806</t>
        </is>
      </c>
      <c r="AC389" s="33" t="inlineStr">
        <is>
          <t>SwimCloud API v6 2026-10-08</t>
        </is>
      </c>
      <c r="AD389" s="33" t="inlineStr">
        <is>
          <t>David Popovici|2019-05-10|LCM|200|Free|113.55|Romanian International Swimming Championships|FIN|False</t>
        </is>
      </c>
      <c r="AE389" s="53">
        <f>G389+L389/1000+ROW()/1000000000</f>
        <v/>
      </c>
      <c r="AF389" s="35">
        <f>IF(C389&lt;&gt;"Grayson Coulter","",COUNTIFS($C$5:$C$2991,"Grayson Coulter",$Q$5:$Q$2991,Q389,$AE$5:$AE$2991,"&lt;="&amp;AE389,$R$5:$R$2991,"&lt;"&amp;R389))</f>
        <v/>
      </c>
      <c r="AG389" s="35">
        <f>IF(OR(C389&lt;&gt;"Grayson Coulter",G389&lt;'00_Control'!$B$7),"",--(AF389&lt;5))</f>
        <v/>
      </c>
      <c r="AH389" s="35">
        <f>IF(OR(C389&lt;&gt;"Grayson Coulter",G389&lt;'00_Control'!$B$7),"",--(AF389&lt;10))</f>
        <v/>
      </c>
      <c r="AI389" s="35">
        <f>IF(AND(C389="Grayson Coulter",G389&gt;='00_Control'!$B$7),"YES","NO")</f>
        <v/>
      </c>
      <c r="AJ389" s="33" t="inlineStr">
        <is>
          <t>OK</t>
        </is>
      </c>
    </row>
    <row r="390">
      <c r="A390" s="33" t="inlineStr">
        <is>
          <t>SM000386</t>
        </is>
      </c>
      <c r="B390" s="33" t="inlineStr">
        <is>
          <t>SW009</t>
        </is>
      </c>
      <c r="C390" s="33" t="inlineStr">
        <is>
          <t>David Popovici</t>
        </is>
      </c>
      <c r="D390" s="33" t="inlineStr">
        <is>
          <t>SwimCloud</t>
        </is>
      </c>
      <c r="E390" s="33" t="inlineStr">
        <is>
          <t>1405298</t>
        </is>
      </c>
      <c r="F390" s="33" t="inlineStr">
        <is>
          <t>32119813</t>
        </is>
      </c>
      <c r="G390" s="51" t="n">
        <v>43597</v>
      </c>
      <c r="H390" s="33" t="inlineStr">
        <is>
          <t>Romanian International Swimming Championships</t>
        </is>
      </c>
      <c r="I390" s="33" t="inlineStr">
        <is>
          <t>173464</t>
        </is>
      </c>
      <c r="J390" s="33" t="inlineStr"/>
      <c r="K390" s="33" t="inlineStr">
        <is>
          <t>PRE</t>
        </is>
      </c>
      <c r="L390" s="35">
        <f>IF(K390="FIN",3,IF(OR(K390="SEM",K390="SEMI"),2,IF(OR(K390="PRE",K390="HEAT"),1,IF(V390="YES",4,2))))</f>
        <v/>
      </c>
      <c r="M390" s="33" t="inlineStr">
        <is>
          <t>LCM</t>
        </is>
      </c>
      <c r="N390" s="33" t="n">
        <v>400</v>
      </c>
      <c r="O390" s="33" t="inlineStr">
        <is>
          <t>Free</t>
        </is>
      </c>
      <c r="P390" s="33" t="inlineStr">
        <is>
          <t>400 Free</t>
        </is>
      </c>
      <c r="Q390" s="33" t="inlineStr">
        <is>
          <t>LCM_400_FREE</t>
        </is>
      </c>
      <c r="R390" s="36" t="n">
        <v>250.1</v>
      </c>
      <c r="S390" s="35">
        <f>IF(R390="","",IF(R390&gt;=60,INT(R390/60)&amp;":"&amp;TEXT(MOD(R390,60),"00.00"),TEXT(R390,"0.00")))</f>
        <v/>
      </c>
      <c r="T390" s="52">
        <f>IFERROR((G390-INDEX('01_Swimmers'!$E$5:$E$22,MATCH(B390,'01_Swimmers'!$A$5:$A$22,0)))/'00_Control'!$B$10,"")</f>
        <v/>
      </c>
      <c r="U390" s="35">
        <f>IF(T390="","",INT(T390))</f>
        <v/>
      </c>
      <c r="V390" s="33" t="inlineStr">
        <is>
          <t>NO</t>
        </is>
      </c>
      <c r="W390" s="33" t="inlineStr">
        <is>
          <t>YES</t>
        </is>
      </c>
      <c r="X390" s="33" t="inlineStr">
        <is>
          <t>NO</t>
        </is>
      </c>
      <c r="Y390" s="33" t="n"/>
      <c r="Z390" s="33" t="n"/>
      <c r="AA390" s="33" t="inlineStr">
        <is>
          <t>5</t>
        </is>
      </c>
      <c r="AB390" s="33" t="inlineStr">
        <is>
          <t>https://www.swimcloud.com/results/173464/event/35/?id=32119813#time32119813</t>
        </is>
      </c>
      <c r="AC390" s="33" t="inlineStr">
        <is>
          <t>SwimCloud API v6 2026-10-08</t>
        </is>
      </c>
      <c r="AD390" s="33" t="inlineStr">
        <is>
          <t>David Popovici|2019-05-12|LCM|400|Free|250.1|Romanian International Swimming Championships|PRE|False</t>
        </is>
      </c>
      <c r="AE390" s="53">
        <f>G390+L390/1000+ROW()/1000000000</f>
        <v/>
      </c>
      <c r="AF390" s="35">
        <f>IF(C390&lt;&gt;"Grayson Coulter","",COUNTIFS($C$5:$C$2991,"Grayson Coulter",$Q$5:$Q$2991,Q390,$AE$5:$AE$2991,"&lt;="&amp;AE390,$R$5:$R$2991,"&lt;"&amp;R390))</f>
        <v/>
      </c>
      <c r="AG390" s="35">
        <f>IF(OR(C390&lt;&gt;"Grayson Coulter",G390&lt;'00_Control'!$B$7),"",--(AF390&lt;5))</f>
        <v/>
      </c>
      <c r="AH390" s="35">
        <f>IF(OR(C390&lt;&gt;"Grayson Coulter",G390&lt;'00_Control'!$B$7),"",--(AF390&lt;10))</f>
        <v/>
      </c>
      <c r="AI390" s="35">
        <f>IF(AND(C390="Grayson Coulter",G390&gt;='00_Control'!$B$7),"YES","NO")</f>
        <v/>
      </c>
      <c r="AJ390" s="33" t="inlineStr">
        <is>
          <t>OK</t>
        </is>
      </c>
    </row>
    <row r="391">
      <c r="A391" s="33" t="inlineStr">
        <is>
          <t>SM000387</t>
        </is>
      </c>
      <c r="B391" s="33" t="inlineStr">
        <is>
          <t>SW009</t>
        </is>
      </c>
      <c r="C391" s="33" t="inlineStr">
        <is>
          <t>David Popovici</t>
        </is>
      </c>
      <c r="D391" s="33" t="inlineStr">
        <is>
          <t>SwimCloud</t>
        </is>
      </c>
      <c r="E391" s="33" t="inlineStr">
        <is>
          <t>1405298</t>
        </is>
      </c>
      <c r="F391" s="33" t="inlineStr">
        <is>
          <t>32119814</t>
        </is>
      </c>
      <c r="G391" s="51" t="n">
        <v>43597</v>
      </c>
      <c r="H391" s="33" t="inlineStr">
        <is>
          <t>Romanian International Swimming Championships</t>
        </is>
      </c>
      <c r="I391" s="33" t="inlineStr">
        <is>
          <t>173464</t>
        </is>
      </c>
      <c r="J391" s="33" t="inlineStr"/>
      <c r="K391" s="33" t="inlineStr">
        <is>
          <t>PRE</t>
        </is>
      </c>
      <c r="L391" s="35">
        <f>IF(K391="FIN",3,IF(OR(K391="SEM",K391="SEMI"),2,IF(OR(K391="PRE",K391="HEAT"),1,IF(V391="YES",4,2))))</f>
        <v/>
      </c>
      <c r="M391" s="33" t="inlineStr">
        <is>
          <t>LCM</t>
        </is>
      </c>
      <c r="N391" s="33" t="n">
        <v>400</v>
      </c>
      <c r="O391" s="33" t="inlineStr">
        <is>
          <t>Free</t>
        </is>
      </c>
      <c r="P391" s="33" t="inlineStr">
        <is>
          <t>400 Free</t>
        </is>
      </c>
      <c r="Q391" s="33" t="inlineStr">
        <is>
          <t>LCM_400_FREE</t>
        </is>
      </c>
      <c r="R391" s="36" t="n">
        <v>250.1</v>
      </c>
      <c r="S391" s="35">
        <f>IF(R391="","",IF(R391&gt;=60,INT(R391/60)&amp;":"&amp;TEXT(MOD(R391,60),"00.00"),TEXT(R391,"0.00")))</f>
        <v/>
      </c>
      <c r="T391" s="52">
        <f>IFERROR((G391-INDEX('01_Swimmers'!$E$5:$E$22,MATCH(B391,'01_Swimmers'!$A$5:$A$22,0)))/'00_Control'!$B$10,"")</f>
        <v/>
      </c>
      <c r="U391" s="35">
        <f>IF(T391="","",INT(T391))</f>
        <v/>
      </c>
      <c r="V391" s="33" t="inlineStr">
        <is>
          <t>NO</t>
        </is>
      </c>
      <c r="W391" s="33" t="inlineStr">
        <is>
          <t>YES</t>
        </is>
      </c>
      <c r="X391" s="33" t="inlineStr">
        <is>
          <t>NO</t>
        </is>
      </c>
      <c r="Y391" s="33" t="n"/>
      <c r="Z391" s="33" t="n"/>
      <c r="AA391" s="33" t="inlineStr">
        <is>
          <t>2</t>
        </is>
      </c>
      <c r="AB391" s="33" t="inlineStr">
        <is>
          <t>https://www.swimcloud.com/results/173464/event/35/?id=32119814#time32119814</t>
        </is>
      </c>
      <c r="AC391" s="33" t="inlineStr">
        <is>
          <t>SwimCloud API v6 2026-10-08</t>
        </is>
      </c>
      <c r="AD391" s="33" t="inlineStr">
        <is>
          <t>David Popovici|2019-05-12|LCM|400|Free|250.1|Romanian International Swimming Championships|PRE|False</t>
        </is>
      </c>
      <c r="AE391" s="53">
        <f>G391+L391/1000+ROW()/1000000000</f>
        <v/>
      </c>
      <c r="AF391" s="35">
        <f>IF(C391&lt;&gt;"Grayson Coulter","",COUNTIFS($C$5:$C$2991,"Grayson Coulter",$Q$5:$Q$2991,Q391,$AE$5:$AE$2991,"&lt;="&amp;AE391,$R$5:$R$2991,"&lt;"&amp;R391))</f>
        <v/>
      </c>
      <c r="AG391" s="35">
        <f>IF(OR(C391&lt;&gt;"Grayson Coulter",G391&lt;'00_Control'!$B$7),"",--(AF391&lt;5))</f>
        <v/>
      </c>
      <c r="AH391" s="35">
        <f>IF(OR(C391&lt;&gt;"Grayson Coulter",G391&lt;'00_Control'!$B$7),"",--(AF391&lt;10))</f>
        <v/>
      </c>
      <c r="AI391" s="35">
        <f>IF(AND(C391="Grayson Coulter",G391&gt;='00_Control'!$B$7),"YES","NO")</f>
        <v/>
      </c>
      <c r="AJ391" s="33" t="inlineStr">
        <is>
          <t>OK</t>
        </is>
      </c>
    </row>
    <row r="392">
      <c r="A392" s="33" t="inlineStr">
        <is>
          <t>SM000388</t>
        </is>
      </c>
      <c r="B392" s="33" t="inlineStr">
        <is>
          <t>SW009</t>
        </is>
      </c>
      <c r="C392" s="33" t="inlineStr">
        <is>
          <t>David Popovici</t>
        </is>
      </c>
      <c r="D392" s="33" t="inlineStr">
        <is>
          <t>SwimCloud</t>
        </is>
      </c>
      <c r="E392" s="33" t="inlineStr">
        <is>
          <t>1405298</t>
        </is>
      </c>
      <c r="F392" s="33" t="inlineStr">
        <is>
          <t>32119817</t>
        </is>
      </c>
      <c r="G392" s="51" t="n">
        <v>43597</v>
      </c>
      <c r="H392" s="33" t="inlineStr">
        <is>
          <t>Romanian International Swimming Championships</t>
        </is>
      </c>
      <c r="I392" s="33" t="inlineStr">
        <is>
          <t>173464</t>
        </is>
      </c>
      <c r="J392" s="33" t="inlineStr"/>
      <c r="K392" s="33" t="inlineStr">
        <is>
          <t>FIN</t>
        </is>
      </c>
      <c r="L392" s="35">
        <f>IF(K392="FIN",3,IF(OR(K392="SEM",K392="SEMI"),2,IF(OR(K392="PRE",K392="HEAT"),1,IF(V392="YES",4,2))))</f>
        <v/>
      </c>
      <c r="M392" s="33" t="inlineStr">
        <is>
          <t>LCM</t>
        </is>
      </c>
      <c r="N392" s="33" t="n">
        <v>400</v>
      </c>
      <c r="O392" s="33" t="inlineStr">
        <is>
          <t>Free</t>
        </is>
      </c>
      <c r="P392" s="33" t="inlineStr">
        <is>
          <t>400 Free</t>
        </is>
      </c>
      <c r="Q392" s="33" t="inlineStr">
        <is>
          <t>LCM_400_FREE</t>
        </is>
      </c>
      <c r="R392" s="36" t="n">
        <v>246.72</v>
      </c>
      <c r="S392" s="35">
        <f>IF(R392="","",IF(R392&gt;=60,INT(R392/60)&amp;":"&amp;TEXT(MOD(R392,60),"00.00"),TEXT(R392,"0.00")))</f>
        <v/>
      </c>
      <c r="T392" s="52">
        <f>IFERROR((G392-INDEX('01_Swimmers'!$E$5:$E$22,MATCH(B392,'01_Swimmers'!$A$5:$A$22,0)))/'00_Control'!$B$10,"")</f>
        <v/>
      </c>
      <c r="U392" s="35">
        <f>IF(T392="","",INT(T392))</f>
        <v/>
      </c>
      <c r="V392" s="33" t="inlineStr">
        <is>
          <t>NO</t>
        </is>
      </c>
      <c r="W392" s="33" t="inlineStr">
        <is>
          <t>YES</t>
        </is>
      </c>
      <c r="X392" s="33" t="inlineStr">
        <is>
          <t>NO</t>
        </is>
      </c>
      <c r="Y392" s="33" t="n"/>
      <c r="Z392" s="33" t="n"/>
      <c r="AA392" s="33" t="inlineStr">
        <is>
          <t>4</t>
        </is>
      </c>
      <c r="AB392" s="33" t="inlineStr">
        <is>
          <t>https://www.swimcloud.com/results/173464/event/35/?id=32119817#time32119817</t>
        </is>
      </c>
      <c r="AC392" s="33" t="inlineStr">
        <is>
          <t>SwimCloud API v6 2026-10-08</t>
        </is>
      </c>
      <c r="AD392" s="33" t="inlineStr">
        <is>
          <t>David Popovici|2019-05-12|LCM|400|Free|246.72|Romanian International Swimming Championships|FIN|False</t>
        </is>
      </c>
      <c r="AE392" s="53">
        <f>G392+L392/1000+ROW()/1000000000</f>
        <v/>
      </c>
      <c r="AF392" s="35">
        <f>IF(C392&lt;&gt;"Grayson Coulter","",COUNTIFS($C$5:$C$2991,"Grayson Coulter",$Q$5:$Q$2991,Q392,$AE$5:$AE$2991,"&lt;="&amp;AE392,$R$5:$R$2991,"&lt;"&amp;R392))</f>
        <v/>
      </c>
      <c r="AG392" s="35">
        <f>IF(OR(C392&lt;&gt;"Grayson Coulter",G392&lt;'00_Control'!$B$7),"",--(AF392&lt;5))</f>
        <v/>
      </c>
      <c r="AH392" s="35">
        <f>IF(OR(C392&lt;&gt;"Grayson Coulter",G392&lt;'00_Control'!$B$7),"",--(AF392&lt;10))</f>
        <v/>
      </c>
      <c r="AI392" s="35">
        <f>IF(AND(C392="Grayson Coulter",G392&gt;='00_Control'!$B$7),"YES","NO")</f>
        <v/>
      </c>
      <c r="AJ392" s="33" t="inlineStr">
        <is>
          <t>OK</t>
        </is>
      </c>
    </row>
    <row r="393">
      <c r="A393" s="33" t="inlineStr">
        <is>
          <t>SM000389</t>
        </is>
      </c>
      <c r="B393" s="33" t="inlineStr">
        <is>
          <t>SW009</t>
        </is>
      </c>
      <c r="C393" s="33" t="inlineStr">
        <is>
          <t>David Popovici</t>
        </is>
      </c>
      <c r="D393" s="33" t="inlineStr">
        <is>
          <t>SwimCloud</t>
        </is>
      </c>
      <c r="E393" s="33" t="inlineStr">
        <is>
          <t>1405298</t>
        </is>
      </c>
      <c r="F393" s="33" t="inlineStr">
        <is>
          <t>32119818</t>
        </is>
      </c>
      <c r="G393" s="51" t="n">
        <v>43597</v>
      </c>
      <c r="H393" s="33" t="inlineStr">
        <is>
          <t>Romanian International Swimming Championships</t>
        </is>
      </c>
      <c r="I393" s="33" t="inlineStr">
        <is>
          <t>173464</t>
        </is>
      </c>
      <c r="J393" s="33" t="inlineStr"/>
      <c r="K393" s="33" t="inlineStr">
        <is>
          <t>FIN</t>
        </is>
      </c>
      <c r="L393" s="35">
        <f>IF(K393="FIN",3,IF(OR(K393="SEM",K393="SEMI"),2,IF(OR(K393="PRE",K393="HEAT"),1,IF(V393="YES",4,2))))</f>
        <v/>
      </c>
      <c r="M393" s="33" t="inlineStr">
        <is>
          <t>LCM</t>
        </is>
      </c>
      <c r="N393" s="33" t="n">
        <v>400</v>
      </c>
      <c r="O393" s="33" t="inlineStr">
        <is>
          <t>Free</t>
        </is>
      </c>
      <c r="P393" s="33" t="inlineStr">
        <is>
          <t>400 Free</t>
        </is>
      </c>
      <c r="Q393" s="33" t="inlineStr">
        <is>
          <t>LCM_400_FREE</t>
        </is>
      </c>
      <c r="R393" s="36" t="n">
        <v>246.72</v>
      </c>
      <c r="S393" s="35">
        <f>IF(R393="","",IF(R393&gt;=60,INT(R393/60)&amp;":"&amp;TEXT(MOD(R393,60),"00.00"),TEXT(R393,"0.00")))</f>
        <v/>
      </c>
      <c r="T393" s="52">
        <f>IFERROR((G393-INDEX('01_Swimmers'!$E$5:$E$22,MATCH(B393,'01_Swimmers'!$A$5:$A$22,0)))/'00_Control'!$B$10,"")</f>
        <v/>
      </c>
      <c r="U393" s="35">
        <f>IF(T393="","",INT(T393))</f>
        <v/>
      </c>
      <c r="V393" s="33" t="inlineStr">
        <is>
          <t>NO</t>
        </is>
      </c>
      <c r="W393" s="33" t="inlineStr">
        <is>
          <t>YES</t>
        </is>
      </c>
      <c r="X393" s="33" t="inlineStr">
        <is>
          <t>NO</t>
        </is>
      </c>
      <c r="Y393" s="33" t="n"/>
      <c r="Z393" s="33" t="n"/>
      <c r="AA393" s="33" t="inlineStr">
        <is>
          <t>2</t>
        </is>
      </c>
      <c r="AB393" s="33" t="inlineStr">
        <is>
          <t>https://www.swimcloud.com/results/173464/event/35/?id=32119818#time32119818</t>
        </is>
      </c>
      <c r="AC393" s="33" t="inlineStr">
        <is>
          <t>SwimCloud API v6 2026-10-08</t>
        </is>
      </c>
      <c r="AD393" s="33" t="inlineStr">
        <is>
          <t>David Popovici|2019-05-12|LCM|400|Free|246.72|Romanian International Swimming Championships|FIN|False</t>
        </is>
      </c>
      <c r="AE393" s="53">
        <f>G393+L393/1000+ROW()/1000000000</f>
        <v/>
      </c>
      <c r="AF393" s="35">
        <f>IF(C393&lt;&gt;"Grayson Coulter","",COUNTIFS($C$5:$C$2991,"Grayson Coulter",$Q$5:$Q$2991,Q393,$AE$5:$AE$2991,"&lt;="&amp;AE393,$R$5:$R$2991,"&lt;"&amp;R393))</f>
        <v/>
      </c>
      <c r="AG393" s="35">
        <f>IF(OR(C393&lt;&gt;"Grayson Coulter",G393&lt;'00_Control'!$B$7),"",--(AF393&lt;5))</f>
        <v/>
      </c>
      <c r="AH393" s="35">
        <f>IF(OR(C393&lt;&gt;"Grayson Coulter",G393&lt;'00_Control'!$B$7),"",--(AF393&lt;10))</f>
        <v/>
      </c>
      <c r="AI393" s="35">
        <f>IF(AND(C393="Grayson Coulter",G393&gt;='00_Control'!$B$7),"YES","NO")</f>
        <v/>
      </c>
      <c r="AJ393" s="33" t="inlineStr">
        <is>
          <t>OK</t>
        </is>
      </c>
    </row>
    <row r="394">
      <c r="A394" s="33" t="inlineStr">
        <is>
          <t>SM000390</t>
        </is>
      </c>
      <c r="B394" s="33" t="inlineStr">
        <is>
          <t>SW009</t>
        </is>
      </c>
      <c r="C394" s="33" t="inlineStr">
        <is>
          <t>David Popovici</t>
        </is>
      </c>
      <c r="D394" s="33" t="inlineStr">
        <is>
          <t>SwimCloud</t>
        </is>
      </c>
      <c r="E394" s="33" t="inlineStr">
        <is>
          <t>1405298</t>
        </is>
      </c>
      <c r="F394" s="33" t="inlineStr">
        <is>
          <t>38719731</t>
        </is>
      </c>
      <c r="G394" s="51" t="n">
        <v>43667</v>
      </c>
      <c r="H394" s="33" t="inlineStr">
        <is>
          <t>European Youth Oymplic Festival</t>
        </is>
      </c>
      <c r="I394" s="33" t="inlineStr">
        <is>
          <t>180348</t>
        </is>
      </c>
      <c r="J394" s="33" t="inlineStr"/>
      <c r="K394" s="33" t="inlineStr">
        <is>
          <t>FIN</t>
        </is>
      </c>
      <c r="L394" s="35">
        <f>IF(K394="FIN",3,IF(OR(K394="SEM",K394="SEMI"),2,IF(OR(K394="PRE",K394="HEAT"),1,IF(V394="YES",4,2))))</f>
        <v/>
      </c>
      <c r="M394" s="33" t="inlineStr">
        <is>
          <t>LCM</t>
        </is>
      </c>
      <c r="N394" s="33" t="n">
        <v>100</v>
      </c>
      <c r="O394" s="33" t="inlineStr">
        <is>
          <t>Free</t>
        </is>
      </c>
      <c r="P394" s="33" t="inlineStr">
        <is>
          <t>100 Free</t>
        </is>
      </c>
      <c r="Q394" s="33" t="inlineStr">
        <is>
          <t>LCM_100_FREE</t>
        </is>
      </c>
      <c r="R394" s="36" t="n">
        <v>49.82</v>
      </c>
      <c r="S394" s="35">
        <f>IF(R394="","",IF(R394&gt;=60,INT(R394/60)&amp;":"&amp;TEXT(MOD(R394,60),"00.00"),TEXT(R394,"0.00")))</f>
        <v/>
      </c>
      <c r="T394" s="52">
        <f>IFERROR((G394-INDEX('01_Swimmers'!$E$5:$E$22,MATCH(B394,'01_Swimmers'!$A$5:$A$22,0)))/'00_Control'!$B$10,"")</f>
        <v/>
      </c>
      <c r="U394" s="35">
        <f>IF(T394="","",INT(T394))</f>
        <v/>
      </c>
      <c r="V394" s="33" t="inlineStr">
        <is>
          <t>NO</t>
        </is>
      </c>
      <c r="W394" s="33" t="inlineStr">
        <is>
          <t>YES</t>
        </is>
      </c>
      <c r="X394" s="33" t="inlineStr">
        <is>
          <t>NO</t>
        </is>
      </c>
      <c r="Y394" s="33" t="n"/>
      <c r="Z394" s="33" t="n"/>
      <c r="AA394" s="33" t="inlineStr"/>
      <c r="AB394" s="33" t="inlineStr">
        <is>
          <t>https://www.swimcloud.com/results/180348/event/1100M/#time38719731</t>
        </is>
      </c>
      <c r="AC394" s="33" t="inlineStr">
        <is>
          <t>SwimCloud API v6 2026-10-08</t>
        </is>
      </c>
      <c r="AD394" s="33" t="inlineStr">
        <is>
          <t>David Popovici|2019-07-21|LCM|100|Free|49.82|European Youth Oymplic Festival|FIN|False</t>
        </is>
      </c>
      <c r="AE394" s="53">
        <f>G394+L394/1000+ROW()/1000000000</f>
        <v/>
      </c>
      <c r="AF394" s="35">
        <f>IF(C394&lt;&gt;"Grayson Coulter","",COUNTIFS($C$5:$C$2991,"Grayson Coulter",$Q$5:$Q$2991,Q394,$AE$5:$AE$2991,"&lt;="&amp;AE394,$R$5:$R$2991,"&lt;"&amp;R394))</f>
        <v/>
      </c>
      <c r="AG394" s="35">
        <f>IF(OR(C394&lt;&gt;"Grayson Coulter",G394&lt;'00_Control'!$B$7),"",--(AF394&lt;5))</f>
        <v/>
      </c>
      <c r="AH394" s="35">
        <f>IF(OR(C394&lt;&gt;"Grayson Coulter",G394&lt;'00_Control'!$B$7),"",--(AF394&lt;10))</f>
        <v/>
      </c>
      <c r="AI394" s="35">
        <f>IF(AND(C394="Grayson Coulter",G394&gt;='00_Control'!$B$7),"YES","NO")</f>
        <v/>
      </c>
      <c r="AJ394" s="33" t="inlineStr">
        <is>
          <t>OK</t>
        </is>
      </c>
    </row>
    <row r="395">
      <c r="A395" s="33" t="inlineStr">
        <is>
          <t>SM000391</t>
        </is>
      </c>
      <c r="B395" s="33" t="inlineStr">
        <is>
          <t>SW009</t>
        </is>
      </c>
      <c r="C395" s="33" t="inlineStr">
        <is>
          <t>David Popovici</t>
        </is>
      </c>
      <c r="D395" s="33" t="inlineStr">
        <is>
          <t>SwimCloud</t>
        </is>
      </c>
      <c r="E395" s="33" t="inlineStr">
        <is>
          <t>1405298</t>
        </is>
      </c>
      <c r="F395" s="33" t="inlineStr">
        <is>
          <t>38719733</t>
        </is>
      </c>
      <c r="G395" s="51" t="n">
        <v>43667</v>
      </c>
      <c r="H395" s="33" t="inlineStr">
        <is>
          <t>European Youth Oymplic Festival</t>
        </is>
      </c>
      <c r="I395" s="33" t="inlineStr">
        <is>
          <t>180348</t>
        </is>
      </c>
      <c r="J395" s="33" t="inlineStr"/>
      <c r="K395" s="33" t="inlineStr">
        <is>
          <t>FIN</t>
        </is>
      </c>
      <c r="L395" s="35">
        <f>IF(K395="FIN",3,IF(OR(K395="SEM",K395="SEMI"),2,IF(OR(K395="PRE",K395="HEAT"),1,IF(V395="YES",4,2))))</f>
        <v/>
      </c>
      <c r="M395" s="33" t="inlineStr">
        <is>
          <t>LCM</t>
        </is>
      </c>
      <c r="N395" s="33" t="n">
        <v>200</v>
      </c>
      <c r="O395" s="33" t="inlineStr">
        <is>
          <t>Free</t>
        </is>
      </c>
      <c r="P395" s="33" t="inlineStr">
        <is>
          <t>200 Free</t>
        </is>
      </c>
      <c r="Q395" s="33" t="inlineStr">
        <is>
          <t>LCM_200_FREE</t>
        </is>
      </c>
      <c r="R395" s="36" t="n">
        <v>110.93</v>
      </c>
      <c r="S395" s="35">
        <f>IF(R395="","",IF(R395&gt;=60,INT(R395/60)&amp;":"&amp;TEXT(MOD(R395,60),"00.00"),TEXT(R395,"0.00")))</f>
        <v/>
      </c>
      <c r="T395" s="52">
        <f>IFERROR((G395-INDEX('01_Swimmers'!$E$5:$E$22,MATCH(B395,'01_Swimmers'!$A$5:$A$22,0)))/'00_Control'!$B$10,"")</f>
        <v/>
      </c>
      <c r="U395" s="35">
        <f>IF(T395="","",INT(T395))</f>
        <v/>
      </c>
      <c r="V395" s="33" t="inlineStr">
        <is>
          <t>NO</t>
        </is>
      </c>
      <c r="W395" s="33" t="inlineStr">
        <is>
          <t>YES</t>
        </is>
      </c>
      <c r="X395" s="33" t="inlineStr">
        <is>
          <t>NO</t>
        </is>
      </c>
      <c r="Y395" s="33" t="n"/>
      <c r="Z395" s="33" t="n"/>
      <c r="AA395" s="33" t="inlineStr"/>
      <c r="AB395" s="33" t="inlineStr">
        <is>
          <t>https://www.swimcloud.com/results/180348/event/1200M/#time38719733</t>
        </is>
      </c>
      <c r="AC395" s="33" t="inlineStr">
        <is>
          <t>SwimCloud API v6 2026-10-08</t>
        </is>
      </c>
      <c r="AD395" s="33" t="inlineStr">
        <is>
          <t>David Popovici|2019-07-21|LCM|200|Free|110.93|European Youth Oymplic Festival|FIN|False</t>
        </is>
      </c>
      <c r="AE395" s="53">
        <f>G395+L395/1000+ROW()/1000000000</f>
        <v/>
      </c>
      <c r="AF395" s="35">
        <f>IF(C395&lt;&gt;"Grayson Coulter","",COUNTIFS($C$5:$C$2991,"Grayson Coulter",$Q$5:$Q$2991,Q395,$AE$5:$AE$2991,"&lt;="&amp;AE395,$R$5:$R$2991,"&lt;"&amp;R395))</f>
        <v/>
      </c>
      <c r="AG395" s="35">
        <f>IF(OR(C395&lt;&gt;"Grayson Coulter",G395&lt;'00_Control'!$B$7),"",--(AF395&lt;5))</f>
        <v/>
      </c>
      <c r="AH395" s="35">
        <f>IF(OR(C395&lt;&gt;"Grayson Coulter",G395&lt;'00_Control'!$B$7),"",--(AF395&lt;10))</f>
        <v/>
      </c>
      <c r="AI395" s="35">
        <f>IF(AND(C395="Grayson Coulter",G395&gt;='00_Control'!$B$7),"YES","NO")</f>
        <v/>
      </c>
      <c r="AJ395" s="33" t="inlineStr">
        <is>
          <t>OK</t>
        </is>
      </c>
    </row>
    <row r="396">
      <c r="A396" s="33" t="inlineStr">
        <is>
          <t>SM000392</t>
        </is>
      </c>
      <c r="B396" s="33" t="inlineStr">
        <is>
          <t>SW009</t>
        </is>
      </c>
      <c r="C396" s="33" t="inlineStr">
        <is>
          <t>David Popovici</t>
        </is>
      </c>
      <c r="D396" s="33" t="inlineStr">
        <is>
          <t>SwimCloud</t>
        </is>
      </c>
      <c r="E396" s="33" t="inlineStr">
        <is>
          <t>1405298</t>
        </is>
      </c>
      <c r="F396" s="33" t="inlineStr">
        <is>
          <t>42708172</t>
        </is>
      </c>
      <c r="G396" s="51" t="n">
        <v>44104</v>
      </c>
      <c r="H396" s="33" t="inlineStr">
        <is>
          <t>Romanian Long Course Championships</t>
        </is>
      </c>
      <c r="I396" s="33" t="inlineStr">
        <is>
          <t>182766</t>
        </is>
      </c>
      <c r="J396" s="33" t="inlineStr"/>
      <c r="K396" s="33" t="inlineStr"/>
      <c r="L396" s="35">
        <f>IF(K396="FIN",3,IF(OR(K396="SEM",K396="SEMI"),2,IF(OR(K396="PRE",K396="HEAT"),1,IF(V396="YES",4,2))))</f>
        <v/>
      </c>
      <c r="M396" s="33" t="inlineStr">
        <is>
          <t>LCM</t>
        </is>
      </c>
      <c r="N396" s="33" t="n">
        <v>200</v>
      </c>
      <c r="O396" s="33" t="inlineStr">
        <is>
          <t>Free</t>
        </is>
      </c>
      <c r="P396" s="33" t="inlineStr">
        <is>
          <t>200 Free</t>
        </is>
      </c>
      <c r="Q396" s="33" t="inlineStr">
        <is>
          <t>LCM_200_FREE</t>
        </is>
      </c>
      <c r="R396" s="36" t="n">
        <v>109.03</v>
      </c>
      <c r="S396" s="35">
        <f>IF(R396="","",IF(R396&gt;=60,INT(R396/60)&amp;":"&amp;TEXT(MOD(R396,60),"00.00"),TEXT(R396,"0.00")))</f>
        <v/>
      </c>
      <c r="T396" s="52">
        <f>IFERROR((G396-INDEX('01_Swimmers'!$E$5:$E$22,MATCH(B396,'01_Swimmers'!$A$5:$A$22,0)))/'00_Control'!$B$10,"")</f>
        <v/>
      </c>
      <c r="U396" s="35">
        <f>IF(T396="","",INT(T396))</f>
        <v/>
      </c>
      <c r="V396" s="33" t="inlineStr">
        <is>
          <t>NO</t>
        </is>
      </c>
      <c r="W396" s="33" t="inlineStr">
        <is>
          <t>YES</t>
        </is>
      </c>
      <c r="X396" s="33" t="inlineStr">
        <is>
          <t>NO</t>
        </is>
      </c>
      <c r="Y396" s="33" t="n">
        <v>8</v>
      </c>
      <c r="Z396" s="33" t="n">
        <v>4</v>
      </c>
      <c r="AA396" s="33" t="inlineStr"/>
      <c r="AB396" s="33" t="inlineStr">
        <is>
          <t>https://www.swimcloud.com/results/182766/event/5/?id=42708172#time42708172</t>
        </is>
      </c>
      <c r="AC396" s="33" t="inlineStr">
        <is>
          <t>SwimCloud API v6 2026-10-08</t>
        </is>
      </c>
      <c r="AD396" s="33" t="inlineStr">
        <is>
          <t>David Popovici|2020-09-30|LCM|200|Free|109.03|Romanian Long Course Championships||False</t>
        </is>
      </c>
      <c r="AE396" s="53">
        <f>G396+L396/1000+ROW()/1000000000</f>
        <v/>
      </c>
      <c r="AF396" s="35">
        <f>IF(C396&lt;&gt;"Grayson Coulter","",COUNTIFS($C$5:$C$2991,"Grayson Coulter",$Q$5:$Q$2991,Q396,$AE$5:$AE$2991,"&lt;="&amp;AE396,$R$5:$R$2991,"&lt;"&amp;R396))</f>
        <v/>
      </c>
      <c r="AG396" s="35">
        <f>IF(OR(C396&lt;&gt;"Grayson Coulter",G396&lt;'00_Control'!$B$7),"",--(AF396&lt;5))</f>
        <v/>
      </c>
      <c r="AH396" s="35">
        <f>IF(OR(C396&lt;&gt;"Grayson Coulter",G396&lt;'00_Control'!$B$7),"",--(AF396&lt;10))</f>
        <v/>
      </c>
      <c r="AI396" s="35">
        <f>IF(AND(C396="Grayson Coulter",G396&gt;='00_Control'!$B$7),"YES","NO")</f>
        <v/>
      </c>
      <c r="AJ396" s="33" t="inlineStr">
        <is>
          <t>OK</t>
        </is>
      </c>
    </row>
    <row r="397">
      <c r="A397" s="33" t="inlineStr">
        <is>
          <t>SM000393</t>
        </is>
      </c>
      <c r="B397" s="33" t="inlineStr">
        <is>
          <t>SW009</t>
        </is>
      </c>
      <c r="C397" s="33" t="inlineStr">
        <is>
          <t>David Popovici</t>
        </is>
      </c>
      <c r="D397" s="33" t="inlineStr">
        <is>
          <t>SwimCloud</t>
        </is>
      </c>
      <c r="E397" s="33" t="inlineStr">
        <is>
          <t>1405298</t>
        </is>
      </c>
      <c r="F397" s="33" t="inlineStr">
        <is>
          <t>42708174</t>
        </is>
      </c>
      <c r="G397" s="51" t="n">
        <v>44107</v>
      </c>
      <c r="H397" s="33" t="inlineStr">
        <is>
          <t>Romanian Long Course Championships</t>
        </is>
      </c>
      <c r="I397" s="33" t="inlineStr">
        <is>
          <t>182766</t>
        </is>
      </c>
      <c r="J397" s="33" t="inlineStr"/>
      <c r="K397" s="33" t="inlineStr"/>
      <c r="L397" s="35">
        <f>IF(K397="FIN",3,IF(OR(K397="SEM",K397="SEMI"),2,IF(OR(K397="PRE",K397="HEAT"),1,IF(V397="YES",4,2))))</f>
        <v/>
      </c>
      <c r="M397" s="33" t="inlineStr">
        <is>
          <t>LCM</t>
        </is>
      </c>
      <c r="N397" s="33" t="n">
        <v>100</v>
      </c>
      <c r="O397" s="33" t="inlineStr">
        <is>
          <t>Free</t>
        </is>
      </c>
      <c r="P397" s="33" t="inlineStr">
        <is>
          <t>100 Free</t>
        </is>
      </c>
      <c r="Q397" s="33" t="inlineStr">
        <is>
          <t>LCM_100_FREE</t>
        </is>
      </c>
      <c r="R397" s="36" t="n">
        <v>49.26</v>
      </c>
      <c r="S397" s="35">
        <f>IF(R397="","",IF(R397&gt;=60,INT(R397/60)&amp;":"&amp;TEXT(MOD(R397,60),"00.00"),TEXT(R397,"0.00")))</f>
        <v/>
      </c>
      <c r="T397" s="52">
        <f>IFERROR((G397-INDEX('01_Swimmers'!$E$5:$E$22,MATCH(B397,'01_Swimmers'!$A$5:$A$22,0)))/'00_Control'!$B$10,"")</f>
        <v/>
      </c>
      <c r="U397" s="35">
        <f>IF(T397="","",INT(T397))</f>
        <v/>
      </c>
      <c r="V397" s="33" t="inlineStr">
        <is>
          <t>NO</t>
        </is>
      </c>
      <c r="W397" s="33" t="inlineStr">
        <is>
          <t>YES</t>
        </is>
      </c>
      <c r="X397" s="33" t="inlineStr">
        <is>
          <t>NO</t>
        </is>
      </c>
      <c r="Y397" s="33" t="n">
        <v>14</v>
      </c>
      <c r="Z397" s="33" t="n">
        <v>4</v>
      </c>
      <c r="AA397" s="33" t="inlineStr"/>
      <c r="AB397" s="33" t="inlineStr">
        <is>
          <t>https://www.swimcloud.com/results/182766/event/25/?id=42708174#time42708174</t>
        </is>
      </c>
      <c r="AC397" s="33" t="inlineStr">
        <is>
          <t>SwimCloud API v6 2026-10-08</t>
        </is>
      </c>
      <c r="AD397" s="33" t="inlineStr">
        <is>
          <t>David Popovici|2020-10-03|LCM|100|Free|49.26|Romanian Long Course Championships||False</t>
        </is>
      </c>
      <c r="AE397" s="53">
        <f>G397+L397/1000+ROW()/1000000000</f>
        <v/>
      </c>
      <c r="AF397" s="35">
        <f>IF(C397&lt;&gt;"Grayson Coulter","",COUNTIFS($C$5:$C$2991,"Grayson Coulter",$Q$5:$Q$2991,Q397,$AE$5:$AE$2991,"&lt;="&amp;AE397,$R$5:$R$2991,"&lt;"&amp;R397))</f>
        <v/>
      </c>
      <c r="AG397" s="35">
        <f>IF(OR(C397&lt;&gt;"Grayson Coulter",G397&lt;'00_Control'!$B$7),"",--(AF397&lt;5))</f>
        <v/>
      </c>
      <c r="AH397" s="35">
        <f>IF(OR(C397&lt;&gt;"Grayson Coulter",G397&lt;'00_Control'!$B$7),"",--(AF397&lt;10))</f>
        <v/>
      </c>
      <c r="AI397" s="35">
        <f>IF(AND(C397="Grayson Coulter",G397&gt;='00_Control'!$B$7),"YES","NO")</f>
        <v/>
      </c>
      <c r="AJ397" s="33" t="inlineStr">
        <is>
          <t>OK</t>
        </is>
      </c>
    </row>
    <row r="398">
      <c r="A398" s="33" t="inlineStr">
        <is>
          <t>SM000394</t>
        </is>
      </c>
      <c r="B398" s="33" t="inlineStr">
        <is>
          <t>SW009</t>
        </is>
      </c>
      <c r="C398" s="33" t="inlineStr">
        <is>
          <t>David Popovici</t>
        </is>
      </c>
      <c r="D398" s="33" t="inlineStr">
        <is>
          <t>SwimCloud</t>
        </is>
      </c>
      <c r="E398" s="33" t="inlineStr">
        <is>
          <t>1405298</t>
        </is>
      </c>
      <c r="F398" s="33" t="inlineStr">
        <is>
          <t>37933983</t>
        </is>
      </c>
      <c r="G398" s="51" t="n">
        <v>44182</v>
      </c>
      <c r="H398" s="33" t="inlineStr">
        <is>
          <t>XIV. Gyor Open</t>
        </is>
      </c>
      <c r="I398" s="33" t="inlineStr">
        <is>
          <t>188219</t>
        </is>
      </c>
      <c r="J398" s="33" t="inlineStr"/>
      <c r="K398" s="33" t="inlineStr">
        <is>
          <t>TIM</t>
        </is>
      </c>
      <c r="L398" s="35">
        <f>IF(K398="FIN",3,IF(OR(K398="SEM",K398="SEMI"),2,IF(OR(K398="PRE",K398="HEAT"),1,IF(V398="YES",4,2))))</f>
        <v/>
      </c>
      <c r="M398" s="33" t="inlineStr">
        <is>
          <t>LCM</t>
        </is>
      </c>
      <c r="N398" s="33" t="n">
        <v>100</v>
      </c>
      <c r="O398" s="33" t="inlineStr">
        <is>
          <t>Free</t>
        </is>
      </c>
      <c r="P398" s="33" t="inlineStr">
        <is>
          <t>100 Free</t>
        </is>
      </c>
      <c r="Q398" s="33" t="inlineStr">
        <is>
          <t>LCM_100_FREE</t>
        </is>
      </c>
      <c r="R398" s="36" t="n">
        <v>49.7</v>
      </c>
      <c r="S398" s="35">
        <f>IF(R398="","",IF(R398&gt;=60,INT(R398/60)&amp;":"&amp;TEXT(MOD(R398,60),"00.00"),TEXT(R398,"0.00")))</f>
        <v/>
      </c>
      <c r="T398" s="52">
        <f>IFERROR((G398-INDEX('01_Swimmers'!$E$5:$E$22,MATCH(B398,'01_Swimmers'!$A$5:$A$22,0)))/'00_Control'!$B$10,"")</f>
        <v/>
      </c>
      <c r="U398" s="35">
        <f>IF(T398="","",INT(T398))</f>
        <v/>
      </c>
      <c r="V398" s="33" t="inlineStr">
        <is>
          <t>NO</t>
        </is>
      </c>
      <c r="W398" s="33" t="inlineStr">
        <is>
          <t>YES</t>
        </is>
      </c>
      <c r="X398" s="33" t="inlineStr">
        <is>
          <t>NO</t>
        </is>
      </c>
      <c r="Y398" s="33" t="n"/>
      <c r="Z398" s="33" t="n"/>
      <c r="AA398" s="33" t="inlineStr">
        <is>
          <t>1</t>
        </is>
      </c>
      <c r="AB398" s="33" t="inlineStr">
        <is>
          <t>https://www.swimcloud.com/results/188219/event/8/?id=37933983#time37933983</t>
        </is>
      </c>
      <c r="AC398" s="33" t="inlineStr">
        <is>
          <t>SwimCloud API v6 2026-10-08</t>
        </is>
      </c>
      <c r="AD398" s="33" t="inlineStr">
        <is>
          <t>David Popovici|2020-12-17|LCM|100|Free|49.7|XIV. Gyor Open|TIM|False</t>
        </is>
      </c>
      <c r="AE398" s="53">
        <f>G398+L398/1000+ROW()/1000000000</f>
        <v/>
      </c>
      <c r="AF398" s="35">
        <f>IF(C398&lt;&gt;"Grayson Coulter","",COUNTIFS($C$5:$C$2991,"Grayson Coulter",$Q$5:$Q$2991,Q398,$AE$5:$AE$2991,"&lt;="&amp;AE398,$R$5:$R$2991,"&lt;"&amp;R398))</f>
        <v/>
      </c>
      <c r="AG398" s="35">
        <f>IF(OR(C398&lt;&gt;"Grayson Coulter",G398&lt;'00_Control'!$B$7),"",--(AF398&lt;5))</f>
        <v/>
      </c>
      <c r="AH398" s="35">
        <f>IF(OR(C398&lt;&gt;"Grayson Coulter",G398&lt;'00_Control'!$B$7),"",--(AF398&lt;10))</f>
        <v/>
      </c>
      <c r="AI398" s="35">
        <f>IF(AND(C398="Grayson Coulter",G398&gt;='00_Control'!$B$7),"YES","NO")</f>
        <v/>
      </c>
      <c r="AJ398" s="33" t="inlineStr">
        <is>
          <t>OK</t>
        </is>
      </c>
    </row>
    <row r="399">
      <c r="A399" s="33" t="inlineStr">
        <is>
          <t>SM000395</t>
        </is>
      </c>
      <c r="B399" s="33" t="inlineStr">
        <is>
          <t>SW009</t>
        </is>
      </c>
      <c r="C399" s="33" t="inlineStr">
        <is>
          <t>David Popovici</t>
        </is>
      </c>
      <c r="D399" s="33" t="inlineStr">
        <is>
          <t>SwimCloud</t>
        </is>
      </c>
      <c r="E399" s="33" t="inlineStr">
        <is>
          <t>1405298</t>
        </is>
      </c>
      <c r="F399" s="33" t="inlineStr">
        <is>
          <t>37933984</t>
        </is>
      </c>
      <c r="G399" s="51" t="n">
        <v>44182</v>
      </c>
      <c r="H399" s="33" t="inlineStr">
        <is>
          <t>XIV. Gyor Open</t>
        </is>
      </c>
      <c r="I399" s="33" t="inlineStr">
        <is>
          <t>188219</t>
        </is>
      </c>
      <c r="J399" s="33" t="inlineStr"/>
      <c r="K399" s="33" t="inlineStr">
        <is>
          <t>TIM</t>
        </is>
      </c>
      <c r="L399" s="35">
        <f>IF(K399="FIN",3,IF(OR(K399="SEM",K399="SEMI"),2,IF(OR(K399="PRE",K399="HEAT"),1,IF(V399="YES",4,2))))</f>
        <v/>
      </c>
      <c r="M399" s="33" t="inlineStr">
        <is>
          <t>LCM</t>
        </is>
      </c>
      <c r="N399" s="33" t="n">
        <v>100</v>
      </c>
      <c r="O399" s="33" t="inlineStr">
        <is>
          <t>Free</t>
        </is>
      </c>
      <c r="P399" s="33" t="inlineStr">
        <is>
          <t>100 Free</t>
        </is>
      </c>
      <c r="Q399" s="33" t="inlineStr">
        <is>
          <t>LCM_100_FREE</t>
        </is>
      </c>
      <c r="R399" s="36" t="n">
        <v>49.7</v>
      </c>
      <c r="S399" s="35">
        <f>IF(R399="","",IF(R399&gt;=60,INT(R399/60)&amp;":"&amp;TEXT(MOD(R399,60),"00.00"),TEXT(R399,"0.00")))</f>
        <v/>
      </c>
      <c r="T399" s="52">
        <f>IFERROR((G399-INDEX('01_Swimmers'!$E$5:$E$22,MATCH(B399,'01_Swimmers'!$A$5:$A$22,0)))/'00_Control'!$B$10,"")</f>
        <v/>
      </c>
      <c r="U399" s="35">
        <f>IF(T399="","",INT(T399))</f>
        <v/>
      </c>
      <c r="V399" s="33" t="inlineStr">
        <is>
          <t>NO</t>
        </is>
      </c>
      <c r="W399" s="33" t="inlineStr">
        <is>
          <t>YES</t>
        </is>
      </c>
      <c r="X399" s="33" t="inlineStr">
        <is>
          <t>NO</t>
        </is>
      </c>
      <c r="Y399" s="33" t="n"/>
      <c r="Z399" s="33" t="n"/>
      <c r="AA399" s="33" t="inlineStr">
        <is>
          <t>1</t>
        </is>
      </c>
      <c r="AB399" s="33" t="inlineStr">
        <is>
          <t>https://www.swimcloud.com/results/188219/event/8/?id=37933984#time37933984</t>
        </is>
      </c>
      <c r="AC399" s="33" t="inlineStr">
        <is>
          <t>SwimCloud API v6 2026-10-08</t>
        </is>
      </c>
      <c r="AD399" s="33" t="inlineStr">
        <is>
          <t>David Popovici|2020-12-17|LCM|100|Free|49.7|XIV. Gyor Open|TIM|False</t>
        </is>
      </c>
      <c r="AE399" s="53">
        <f>G399+L399/1000+ROW()/1000000000</f>
        <v/>
      </c>
      <c r="AF399" s="35">
        <f>IF(C399&lt;&gt;"Grayson Coulter","",COUNTIFS($C$5:$C$2991,"Grayson Coulter",$Q$5:$Q$2991,Q399,$AE$5:$AE$2991,"&lt;="&amp;AE399,$R$5:$R$2991,"&lt;"&amp;R399))</f>
        <v/>
      </c>
      <c r="AG399" s="35">
        <f>IF(OR(C399&lt;&gt;"Grayson Coulter",G399&lt;'00_Control'!$B$7),"",--(AF399&lt;5))</f>
        <v/>
      </c>
      <c r="AH399" s="35">
        <f>IF(OR(C399&lt;&gt;"Grayson Coulter",G399&lt;'00_Control'!$B$7),"",--(AF399&lt;10))</f>
        <v/>
      </c>
      <c r="AI399" s="35">
        <f>IF(AND(C399="Grayson Coulter",G399&gt;='00_Control'!$B$7),"YES","NO")</f>
        <v/>
      </c>
      <c r="AJ399" s="33" t="inlineStr">
        <is>
          <t>OK</t>
        </is>
      </c>
    </row>
    <row r="400">
      <c r="A400" s="33" t="inlineStr">
        <is>
          <t>SM000396</t>
        </is>
      </c>
      <c r="B400" s="33" t="inlineStr">
        <is>
          <t>SW009</t>
        </is>
      </c>
      <c r="C400" s="33" t="inlineStr">
        <is>
          <t>David Popovici</t>
        </is>
      </c>
      <c r="D400" s="33" t="inlineStr">
        <is>
          <t>SwimCloud</t>
        </is>
      </c>
      <c r="E400" s="33" t="inlineStr">
        <is>
          <t>1405298</t>
        </is>
      </c>
      <c r="F400" s="33" t="inlineStr">
        <is>
          <t>37933985</t>
        </is>
      </c>
      <c r="G400" s="51" t="n">
        <v>44183</v>
      </c>
      <c r="H400" s="33" t="inlineStr">
        <is>
          <t>XIV. Gyor Open</t>
        </is>
      </c>
      <c r="I400" s="33" t="inlineStr">
        <is>
          <t>188219</t>
        </is>
      </c>
      <c r="J400" s="33" t="inlineStr"/>
      <c r="K400" s="33" t="inlineStr">
        <is>
          <t>TIM</t>
        </is>
      </c>
      <c r="L400" s="35">
        <f>IF(K400="FIN",3,IF(OR(K400="SEM",K400="SEMI"),2,IF(OR(K400="PRE",K400="HEAT"),1,IF(V400="YES",4,2))))</f>
        <v/>
      </c>
      <c r="M400" s="33" t="inlineStr">
        <is>
          <t>LCM</t>
        </is>
      </c>
      <c r="N400" s="33" t="n">
        <v>200</v>
      </c>
      <c r="O400" s="33" t="inlineStr">
        <is>
          <t>Free</t>
        </is>
      </c>
      <c r="P400" s="33" t="inlineStr">
        <is>
          <t>200 Free</t>
        </is>
      </c>
      <c r="Q400" s="33" t="inlineStr">
        <is>
          <t>LCM_200_FREE</t>
        </is>
      </c>
      <c r="R400" s="36" t="n">
        <v>109.7</v>
      </c>
      <c r="S400" s="35">
        <f>IF(R400="","",IF(R400&gt;=60,INT(R400/60)&amp;":"&amp;TEXT(MOD(R400,60),"00.00"),TEXT(R400,"0.00")))</f>
        <v/>
      </c>
      <c r="T400" s="52">
        <f>IFERROR((G400-INDEX('01_Swimmers'!$E$5:$E$22,MATCH(B400,'01_Swimmers'!$A$5:$A$22,0)))/'00_Control'!$B$10,"")</f>
        <v/>
      </c>
      <c r="U400" s="35">
        <f>IF(T400="","",INT(T400))</f>
        <v/>
      </c>
      <c r="V400" s="33" t="inlineStr">
        <is>
          <t>NO</t>
        </is>
      </c>
      <c r="W400" s="33" t="inlineStr">
        <is>
          <t>YES</t>
        </is>
      </c>
      <c r="X400" s="33" t="inlineStr">
        <is>
          <t>NO</t>
        </is>
      </c>
      <c r="Y400" s="33" t="n"/>
      <c r="Z400" s="33" t="n"/>
      <c r="AA400" s="33" t="inlineStr">
        <is>
          <t>1</t>
        </is>
      </c>
      <c r="AB400" s="33" t="inlineStr">
        <is>
          <t>https://www.swimcloud.com/results/188219/event/21/?id=37933985#time37933985</t>
        </is>
      </c>
      <c r="AC400" s="33" t="inlineStr">
        <is>
          <t>SwimCloud API v6 2026-10-08</t>
        </is>
      </c>
      <c r="AD400" s="33" t="inlineStr">
        <is>
          <t>David Popovici|2020-12-18|LCM|200|Free|109.7|XIV. Gyor Open|TIM|False</t>
        </is>
      </c>
      <c r="AE400" s="53">
        <f>G400+L400/1000+ROW()/1000000000</f>
        <v/>
      </c>
      <c r="AF400" s="35">
        <f>IF(C400&lt;&gt;"Grayson Coulter","",COUNTIFS($C$5:$C$2991,"Grayson Coulter",$Q$5:$Q$2991,Q400,$AE$5:$AE$2991,"&lt;="&amp;AE400,$R$5:$R$2991,"&lt;"&amp;R400))</f>
        <v/>
      </c>
      <c r="AG400" s="35">
        <f>IF(OR(C400&lt;&gt;"Grayson Coulter",G400&lt;'00_Control'!$B$7),"",--(AF400&lt;5))</f>
        <v/>
      </c>
      <c r="AH400" s="35">
        <f>IF(OR(C400&lt;&gt;"Grayson Coulter",G400&lt;'00_Control'!$B$7),"",--(AF400&lt;10))</f>
        <v/>
      </c>
      <c r="AI400" s="35">
        <f>IF(AND(C400="Grayson Coulter",G400&gt;='00_Control'!$B$7),"YES","NO")</f>
        <v/>
      </c>
      <c r="AJ400" s="33" t="inlineStr">
        <is>
          <t>OK</t>
        </is>
      </c>
    </row>
    <row r="401">
      <c r="A401" s="33" t="inlineStr">
        <is>
          <t>SM000397</t>
        </is>
      </c>
      <c r="B401" s="33" t="inlineStr">
        <is>
          <t>SW009</t>
        </is>
      </c>
      <c r="C401" s="33" t="inlineStr">
        <is>
          <t>David Popovici</t>
        </is>
      </c>
      <c r="D401" s="33" t="inlineStr">
        <is>
          <t>SwimCloud</t>
        </is>
      </c>
      <c r="E401" s="33" t="inlineStr">
        <is>
          <t>1405298</t>
        </is>
      </c>
      <c r="F401" s="33" t="inlineStr">
        <is>
          <t>37933986</t>
        </is>
      </c>
      <c r="G401" s="51" t="n">
        <v>44183</v>
      </c>
      <c r="H401" s="33" t="inlineStr">
        <is>
          <t>XIV. Gyor Open</t>
        </is>
      </c>
      <c r="I401" s="33" t="inlineStr">
        <is>
          <t>188219</t>
        </is>
      </c>
      <c r="J401" s="33" t="inlineStr"/>
      <c r="K401" s="33" t="inlineStr">
        <is>
          <t>TIM</t>
        </is>
      </c>
      <c r="L401" s="35">
        <f>IF(K401="FIN",3,IF(OR(K401="SEM",K401="SEMI"),2,IF(OR(K401="PRE",K401="HEAT"),1,IF(V401="YES",4,2))))</f>
        <v/>
      </c>
      <c r="M401" s="33" t="inlineStr">
        <is>
          <t>LCM</t>
        </is>
      </c>
      <c r="N401" s="33" t="n">
        <v>200</v>
      </c>
      <c r="O401" s="33" t="inlineStr">
        <is>
          <t>Free</t>
        </is>
      </c>
      <c r="P401" s="33" t="inlineStr">
        <is>
          <t>200 Free</t>
        </is>
      </c>
      <c r="Q401" s="33" t="inlineStr">
        <is>
          <t>LCM_200_FREE</t>
        </is>
      </c>
      <c r="R401" s="36" t="n">
        <v>109.7</v>
      </c>
      <c r="S401" s="35">
        <f>IF(R401="","",IF(R401&gt;=60,INT(R401/60)&amp;":"&amp;TEXT(MOD(R401,60),"00.00"),TEXT(R401,"0.00")))</f>
        <v/>
      </c>
      <c r="T401" s="52">
        <f>IFERROR((G401-INDEX('01_Swimmers'!$E$5:$E$22,MATCH(B401,'01_Swimmers'!$A$5:$A$22,0)))/'00_Control'!$B$10,"")</f>
        <v/>
      </c>
      <c r="U401" s="35">
        <f>IF(T401="","",INT(T401))</f>
        <v/>
      </c>
      <c r="V401" s="33" t="inlineStr">
        <is>
          <t>NO</t>
        </is>
      </c>
      <c r="W401" s="33" t="inlineStr">
        <is>
          <t>YES</t>
        </is>
      </c>
      <c r="X401" s="33" t="inlineStr">
        <is>
          <t>NO</t>
        </is>
      </c>
      <c r="Y401" s="33" t="n"/>
      <c r="Z401" s="33" t="n"/>
      <c r="AA401" s="33" t="inlineStr">
        <is>
          <t>1</t>
        </is>
      </c>
      <c r="AB401" s="33" t="inlineStr">
        <is>
          <t>https://www.swimcloud.com/results/188219/event/21/?id=37933986#time37933986</t>
        </is>
      </c>
      <c r="AC401" s="33" t="inlineStr">
        <is>
          <t>SwimCloud API v6 2026-10-08</t>
        </is>
      </c>
      <c r="AD401" s="33" t="inlineStr">
        <is>
          <t>David Popovici|2020-12-18|LCM|200|Free|109.7|XIV. Gyor Open|TIM|False</t>
        </is>
      </c>
      <c r="AE401" s="53">
        <f>G401+L401/1000+ROW()/1000000000</f>
        <v/>
      </c>
      <c r="AF401" s="35">
        <f>IF(C401&lt;&gt;"Grayson Coulter","",COUNTIFS($C$5:$C$2991,"Grayson Coulter",$Q$5:$Q$2991,Q401,$AE$5:$AE$2991,"&lt;="&amp;AE401,$R$5:$R$2991,"&lt;"&amp;R401))</f>
        <v/>
      </c>
      <c r="AG401" s="35">
        <f>IF(OR(C401&lt;&gt;"Grayson Coulter",G401&lt;'00_Control'!$B$7),"",--(AF401&lt;5))</f>
        <v/>
      </c>
      <c r="AH401" s="35">
        <f>IF(OR(C401&lt;&gt;"Grayson Coulter",G401&lt;'00_Control'!$B$7),"",--(AF401&lt;10))</f>
        <v/>
      </c>
      <c r="AI401" s="35">
        <f>IF(AND(C401="Grayson Coulter",G401&gt;='00_Control'!$B$7),"YES","NO")</f>
        <v/>
      </c>
      <c r="AJ401" s="33" t="inlineStr">
        <is>
          <t>OK</t>
        </is>
      </c>
    </row>
    <row r="402">
      <c r="A402" s="33" t="inlineStr">
        <is>
          <t>SM000398</t>
        </is>
      </c>
      <c r="B402" s="33" t="inlineStr">
        <is>
          <t>SW009</t>
        </is>
      </c>
      <c r="C402" s="33" t="inlineStr">
        <is>
          <t>David Popovici</t>
        </is>
      </c>
      <c r="D402" s="33" t="inlineStr">
        <is>
          <t>SwimCloud</t>
        </is>
      </c>
      <c r="E402" s="33" t="inlineStr">
        <is>
          <t>1405298</t>
        </is>
      </c>
      <c r="F402" s="33" t="inlineStr">
        <is>
          <t>41527634</t>
        </is>
      </c>
      <c r="G402" s="51" t="n">
        <v>44289</v>
      </c>
      <c r="H402" s="33" t="inlineStr">
        <is>
          <t>OPEN Belgian Qualification Meet</t>
        </is>
      </c>
      <c r="I402" s="33" t="inlineStr">
        <is>
          <t>195495</t>
        </is>
      </c>
      <c r="J402" s="33" t="inlineStr"/>
      <c r="K402" s="33" t="inlineStr">
        <is>
          <t>PRE</t>
        </is>
      </c>
      <c r="L402" s="35">
        <f>IF(K402="FIN",3,IF(OR(K402="SEM",K402="SEMI"),2,IF(OR(K402="PRE",K402="HEAT"),1,IF(V402="YES",4,2))))</f>
        <v/>
      </c>
      <c r="M402" s="33" t="inlineStr">
        <is>
          <t>LCM</t>
        </is>
      </c>
      <c r="N402" s="33" t="n">
        <v>200</v>
      </c>
      <c r="O402" s="33" t="inlineStr">
        <is>
          <t>Free</t>
        </is>
      </c>
      <c r="P402" s="33" t="inlineStr">
        <is>
          <t>200 Free</t>
        </is>
      </c>
      <c r="Q402" s="33" t="inlineStr">
        <is>
          <t>LCM_200_FREE</t>
        </is>
      </c>
      <c r="R402" s="36" t="n">
        <v>110.15</v>
      </c>
      <c r="S402" s="35">
        <f>IF(R402="","",IF(R402&gt;=60,INT(R402/60)&amp;":"&amp;TEXT(MOD(R402,60),"00.00"),TEXT(R402,"0.00")))</f>
        <v/>
      </c>
      <c r="T402" s="52">
        <f>IFERROR((G402-INDEX('01_Swimmers'!$E$5:$E$22,MATCH(B402,'01_Swimmers'!$A$5:$A$22,0)))/'00_Control'!$B$10,"")</f>
        <v/>
      </c>
      <c r="U402" s="35">
        <f>IF(T402="","",INT(T402))</f>
        <v/>
      </c>
      <c r="V402" s="33" t="inlineStr">
        <is>
          <t>NO</t>
        </is>
      </c>
      <c r="W402" s="33" t="inlineStr">
        <is>
          <t>YES</t>
        </is>
      </c>
      <c r="X402" s="33" t="inlineStr">
        <is>
          <t>NO</t>
        </is>
      </c>
      <c r="Y402" s="33" t="n">
        <v>1</v>
      </c>
      <c r="Z402" s="33" t="n">
        <v>3</v>
      </c>
      <c r="AA402" s="33" t="inlineStr">
        <is>
          <t>4</t>
        </is>
      </c>
      <c r="AB402" s="33" t="inlineStr">
        <is>
          <t>https://www.swimcloud.com/results/195495/event/2/?id=41527634#time41527634</t>
        </is>
      </c>
      <c r="AC402" s="33" t="inlineStr">
        <is>
          <t>SwimCloud API v6 2026-10-08</t>
        </is>
      </c>
      <c r="AD402" s="33" t="inlineStr">
        <is>
          <t>David Popovici|2021-04-03|LCM|200|Free|110.15|OPEN Belgian Qualification Meet|PRE|False</t>
        </is>
      </c>
      <c r="AE402" s="53">
        <f>G402+L402/1000+ROW()/1000000000</f>
        <v/>
      </c>
      <c r="AF402" s="35">
        <f>IF(C402&lt;&gt;"Grayson Coulter","",COUNTIFS($C$5:$C$2991,"Grayson Coulter",$Q$5:$Q$2991,Q402,$AE$5:$AE$2991,"&lt;="&amp;AE402,$R$5:$R$2991,"&lt;"&amp;R402))</f>
        <v/>
      </c>
      <c r="AG402" s="35">
        <f>IF(OR(C402&lt;&gt;"Grayson Coulter",G402&lt;'00_Control'!$B$7),"",--(AF402&lt;5))</f>
        <v/>
      </c>
      <c r="AH402" s="35">
        <f>IF(OR(C402&lt;&gt;"Grayson Coulter",G402&lt;'00_Control'!$B$7),"",--(AF402&lt;10))</f>
        <v/>
      </c>
      <c r="AI402" s="35">
        <f>IF(AND(C402="Grayson Coulter",G402&gt;='00_Control'!$B$7),"YES","NO")</f>
        <v/>
      </c>
      <c r="AJ402" s="33" t="inlineStr">
        <is>
          <t>OK</t>
        </is>
      </c>
    </row>
    <row r="403">
      <c r="A403" s="33" t="inlineStr">
        <is>
          <t>SM000399</t>
        </is>
      </c>
      <c r="B403" s="33" t="inlineStr">
        <is>
          <t>SW009</t>
        </is>
      </c>
      <c r="C403" s="33" t="inlineStr">
        <is>
          <t>David Popovici</t>
        </is>
      </c>
      <c r="D403" s="33" t="inlineStr">
        <is>
          <t>SwimCloud</t>
        </is>
      </c>
      <c r="E403" s="33" t="inlineStr">
        <is>
          <t>1405298</t>
        </is>
      </c>
      <c r="F403" s="33" t="inlineStr">
        <is>
          <t>41527636</t>
        </is>
      </c>
      <c r="G403" s="51" t="n">
        <v>44289</v>
      </c>
      <c r="H403" s="33" t="inlineStr">
        <is>
          <t>OPEN Belgian Qualification Meet</t>
        </is>
      </c>
      <c r="I403" s="33" t="inlineStr">
        <is>
          <t>195495</t>
        </is>
      </c>
      <c r="J403" s="33" t="inlineStr"/>
      <c r="K403" s="33" t="inlineStr">
        <is>
          <t>FIN</t>
        </is>
      </c>
      <c r="L403" s="35">
        <f>IF(K403="FIN",3,IF(OR(K403="SEM",K403="SEMI"),2,IF(OR(K403="PRE",K403="HEAT"),1,IF(V403="YES",4,2))))</f>
        <v/>
      </c>
      <c r="M403" s="33" t="inlineStr">
        <is>
          <t>LCM</t>
        </is>
      </c>
      <c r="N403" s="33" t="n">
        <v>200</v>
      </c>
      <c r="O403" s="33" t="inlineStr">
        <is>
          <t>Free</t>
        </is>
      </c>
      <c r="P403" s="33" t="inlineStr">
        <is>
          <t>200 Free</t>
        </is>
      </c>
      <c r="Q403" s="33" t="inlineStr">
        <is>
          <t>LCM_200_FREE</t>
        </is>
      </c>
      <c r="R403" s="36" t="n">
        <v>109.58</v>
      </c>
      <c r="S403" s="35">
        <f>IF(R403="","",IF(R403&gt;=60,INT(R403/60)&amp;":"&amp;TEXT(MOD(R403,60),"00.00"),TEXT(R403,"0.00")))</f>
        <v/>
      </c>
      <c r="T403" s="52">
        <f>IFERROR((G403-INDEX('01_Swimmers'!$E$5:$E$22,MATCH(B403,'01_Swimmers'!$A$5:$A$22,0)))/'00_Control'!$B$10,"")</f>
        <v/>
      </c>
      <c r="U403" s="35">
        <f>IF(T403="","",INT(T403))</f>
        <v/>
      </c>
      <c r="V403" s="33" t="inlineStr">
        <is>
          <t>NO</t>
        </is>
      </c>
      <c r="W403" s="33" t="inlineStr">
        <is>
          <t>YES</t>
        </is>
      </c>
      <c r="X403" s="33" t="inlineStr">
        <is>
          <t>NO</t>
        </is>
      </c>
      <c r="Y403" s="33" t="n">
        <v>2</v>
      </c>
      <c r="Z403" s="33" t="n">
        <v>6</v>
      </c>
      <c r="AA403" s="33" t="inlineStr">
        <is>
          <t>5</t>
        </is>
      </c>
      <c r="AB403" s="33" t="inlineStr">
        <is>
          <t>https://www.swimcloud.com/results/195495/event/2/?id=41527636#time41527636</t>
        </is>
      </c>
      <c r="AC403" s="33" t="inlineStr">
        <is>
          <t>SwimCloud API v6 2026-10-08</t>
        </is>
      </c>
      <c r="AD403" s="33" t="inlineStr">
        <is>
          <t>David Popovici|2021-04-03|LCM|200|Free|109.58|OPEN Belgian Qualification Meet|FIN|False</t>
        </is>
      </c>
      <c r="AE403" s="53">
        <f>G403+L403/1000+ROW()/1000000000</f>
        <v/>
      </c>
      <c r="AF403" s="35">
        <f>IF(C403&lt;&gt;"Grayson Coulter","",COUNTIFS($C$5:$C$2991,"Grayson Coulter",$Q$5:$Q$2991,Q403,$AE$5:$AE$2991,"&lt;="&amp;AE403,$R$5:$R$2991,"&lt;"&amp;R403))</f>
        <v/>
      </c>
      <c r="AG403" s="35">
        <f>IF(OR(C403&lt;&gt;"Grayson Coulter",G403&lt;'00_Control'!$B$7),"",--(AF403&lt;5))</f>
        <v/>
      </c>
      <c r="AH403" s="35">
        <f>IF(OR(C403&lt;&gt;"Grayson Coulter",G403&lt;'00_Control'!$B$7),"",--(AF403&lt;10))</f>
        <v/>
      </c>
      <c r="AI403" s="35">
        <f>IF(AND(C403="Grayson Coulter",G403&gt;='00_Control'!$B$7),"YES","NO")</f>
        <v/>
      </c>
      <c r="AJ403" s="33" t="inlineStr">
        <is>
          <t>OK</t>
        </is>
      </c>
    </row>
    <row r="404">
      <c r="A404" s="33" t="inlineStr">
        <is>
          <t>SM000400</t>
        </is>
      </c>
      <c r="B404" s="33" t="inlineStr">
        <is>
          <t>SW009</t>
        </is>
      </c>
      <c r="C404" s="33" t="inlineStr">
        <is>
          <t>David Popovici</t>
        </is>
      </c>
      <c r="D404" s="33" t="inlineStr">
        <is>
          <t>SwimCloud</t>
        </is>
      </c>
      <c r="E404" s="33" t="inlineStr">
        <is>
          <t>1405298</t>
        </is>
      </c>
      <c r="F404" s="33" t="inlineStr">
        <is>
          <t>41527635</t>
        </is>
      </c>
      <c r="G404" s="51" t="n">
        <v>44290</v>
      </c>
      <c r="H404" s="33" t="inlineStr">
        <is>
          <t>OPEN Belgian Qualification Meet</t>
        </is>
      </c>
      <c r="I404" s="33" t="inlineStr">
        <is>
          <t>195495</t>
        </is>
      </c>
      <c r="J404" s="33" t="inlineStr"/>
      <c r="K404" s="33" t="inlineStr">
        <is>
          <t>PRE</t>
        </is>
      </c>
      <c r="L404" s="35">
        <f>IF(K404="FIN",3,IF(OR(K404="SEM",K404="SEMI"),2,IF(OR(K404="PRE",K404="HEAT"),1,IF(V404="YES",4,2))))</f>
        <v/>
      </c>
      <c r="M404" s="33" t="inlineStr">
        <is>
          <t>LCM</t>
        </is>
      </c>
      <c r="N404" s="33" t="n">
        <v>100</v>
      </c>
      <c r="O404" s="33" t="inlineStr">
        <is>
          <t>Free</t>
        </is>
      </c>
      <c r="P404" s="33" t="inlineStr">
        <is>
          <t>100 Free</t>
        </is>
      </c>
      <c r="Q404" s="33" t="inlineStr">
        <is>
          <t>LCM_100_FREE</t>
        </is>
      </c>
      <c r="R404" s="36" t="n">
        <v>49.55</v>
      </c>
      <c r="S404" s="35">
        <f>IF(R404="","",IF(R404&gt;=60,INT(R404/60)&amp;":"&amp;TEXT(MOD(R404,60),"00.00"),TEXT(R404,"0.00")))</f>
        <v/>
      </c>
      <c r="T404" s="52">
        <f>IFERROR((G404-INDEX('01_Swimmers'!$E$5:$E$22,MATCH(B404,'01_Swimmers'!$A$5:$A$22,0)))/'00_Control'!$B$10,"")</f>
        <v/>
      </c>
      <c r="U404" s="35">
        <f>IF(T404="","",INT(T404))</f>
        <v/>
      </c>
      <c r="V404" s="33" t="inlineStr">
        <is>
          <t>NO</t>
        </is>
      </c>
      <c r="W404" s="33" t="inlineStr">
        <is>
          <t>YES</t>
        </is>
      </c>
      <c r="X404" s="33" t="inlineStr">
        <is>
          <t>NO</t>
        </is>
      </c>
      <c r="Y404" s="33" t="n">
        <v>2</v>
      </c>
      <c r="Z404" s="33" t="n">
        <v>3</v>
      </c>
      <c r="AA404" s="33" t="inlineStr">
        <is>
          <t>1</t>
        </is>
      </c>
      <c r="AB404" s="33" t="inlineStr">
        <is>
          <t>https://www.swimcloud.com/results/195495/event/20/?id=41527635#time41527635</t>
        </is>
      </c>
      <c r="AC404" s="33" t="inlineStr">
        <is>
          <t>SwimCloud API v6 2026-10-08</t>
        </is>
      </c>
      <c r="AD404" s="33" t="inlineStr">
        <is>
          <t>David Popovici|2021-04-04|LCM|100|Free|49.55|OPEN Belgian Qualification Meet|PRE|False</t>
        </is>
      </c>
      <c r="AE404" s="53">
        <f>G404+L404/1000+ROW()/1000000000</f>
        <v/>
      </c>
      <c r="AF404" s="35">
        <f>IF(C404&lt;&gt;"Grayson Coulter","",COUNTIFS($C$5:$C$2991,"Grayson Coulter",$Q$5:$Q$2991,Q404,$AE$5:$AE$2991,"&lt;="&amp;AE404,$R$5:$R$2991,"&lt;"&amp;R404))</f>
        <v/>
      </c>
      <c r="AG404" s="35">
        <f>IF(OR(C404&lt;&gt;"Grayson Coulter",G404&lt;'00_Control'!$B$7),"",--(AF404&lt;5))</f>
        <v/>
      </c>
      <c r="AH404" s="35">
        <f>IF(OR(C404&lt;&gt;"Grayson Coulter",G404&lt;'00_Control'!$B$7),"",--(AF404&lt;10))</f>
        <v/>
      </c>
      <c r="AI404" s="35">
        <f>IF(AND(C404="Grayson Coulter",G404&gt;='00_Control'!$B$7),"YES","NO")</f>
        <v/>
      </c>
      <c r="AJ404" s="33" t="inlineStr">
        <is>
          <t>OK</t>
        </is>
      </c>
    </row>
    <row r="405">
      <c r="A405" s="33" t="inlineStr">
        <is>
          <t>SM000401</t>
        </is>
      </c>
      <c r="B405" s="33" t="inlineStr">
        <is>
          <t>SW009</t>
        </is>
      </c>
      <c r="C405" s="33" t="inlineStr">
        <is>
          <t>David Popovici</t>
        </is>
      </c>
      <c r="D405" s="33" t="inlineStr">
        <is>
          <t>SwimCloud</t>
        </is>
      </c>
      <c r="E405" s="33" t="inlineStr">
        <is>
          <t>1405298</t>
        </is>
      </c>
      <c r="F405" s="33" t="inlineStr">
        <is>
          <t>41527637</t>
        </is>
      </c>
      <c r="G405" s="51" t="n">
        <v>44290</v>
      </c>
      <c r="H405" s="33" t="inlineStr">
        <is>
          <t>OPEN Belgian Qualification Meet</t>
        </is>
      </c>
      <c r="I405" s="33" t="inlineStr">
        <is>
          <t>195495</t>
        </is>
      </c>
      <c r="J405" s="33" t="inlineStr"/>
      <c r="K405" s="33" t="inlineStr">
        <is>
          <t>FIN</t>
        </is>
      </c>
      <c r="L405" s="35">
        <f>IF(K405="FIN",3,IF(OR(K405="SEM",K405="SEMI"),2,IF(OR(K405="PRE",K405="HEAT"),1,IF(V405="YES",4,2))))</f>
        <v/>
      </c>
      <c r="M405" s="33" t="inlineStr">
        <is>
          <t>LCM</t>
        </is>
      </c>
      <c r="N405" s="33" t="n">
        <v>100</v>
      </c>
      <c r="O405" s="33" t="inlineStr">
        <is>
          <t>Free</t>
        </is>
      </c>
      <c r="P405" s="33" t="inlineStr">
        <is>
          <t>100 Free</t>
        </is>
      </c>
      <c r="Q405" s="33" t="inlineStr">
        <is>
          <t>LCM_100_FREE</t>
        </is>
      </c>
      <c r="R405" s="36" t="n">
        <v>49.54</v>
      </c>
      <c r="S405" s="35">
        <f>IF(R405="","",IF(R405&gt;=60,INT(R405/60)&amp;":"&amp;TEXT(MOD(R405,60),"00.00"),TEXT(R405,"0.00")))</f>
        <v/>
      </c>
      <c r="T405" s="52">
        <f>IFERROR((G405-INDEX('01_Swimmers'!$E$5:$E$22,MATCH(B405,'01_Swimmers'!$A$5:$A$22,0)))/'00_Control'!$B$10,"")</f>
        <v/>
      </c>
      <c r="U405" s="35">
        <f>IF(T405="","",INT(T405))</f>
        <v/>
      </c>
      <c r="V405" s="33" t="inlineStr">
        <is>
          <t>NO</t>
        </is>
      </c>
      <c r="W405" s="33" t="inlineStr">
        <is>
          <t>YES</t>
        </is>
      </c>
      <c r="X405" s="33" t="inlineStr">
        <is>
          <t>NO</t>
        </is>
      </c>
      <c r="Y405" s="33" t="n">
        <v>1</v>
      </c>
      <c r="Z405" s="33" t="n">
        <v>4</v>
      </c>
      <c r="AA405" s="33" t="inlineStr">
        <is>
          <t>1</t>
        </is>
      </c>
      <c r="AB405" s="33" t="inlineStr">
        <is>
          <t>https://www.swimcloud.com/results/195495/event/20/?id=41527637#time41527637</t>
        </is>
      </c>
      <c r="AC405" s="33" t="inlineStr">
        <is>
          <t>SwimCloud API v6 2026-10-08</t>
        </is>
      </c>
      <c r="AD405" s="33" t="inlineStr">
        <is>
          <t>David Popovici|2021-04-04|LCM|100|Free|49.54|OPEN Belgian Qualification Meet|FIN|False</t>
        </is>
      </c>
      <c r="AE405" s="53">
        <f>G405+L405/1000+ROW()/1000000000</f>
        <v/>
      </c>
      <c r="AF405" s="35">
        <f>IF(C405&lt;&gt;"Grayson Coulter","",COUNTIFS($C$5:$C$2991,"Grayson Coulter",$Q$5:$Q$2991,Q405,$AE$5:$AE$2991,"&lt;="&amp;AE405,$R$5:$R$2991,"&lt;"&amp;R405))</f>
        <v/>
      </c>
      <c r="AG405" s="35">
        <f>IF(OR(C405&lt;&gt;"Grayson Coulter",G405&lt;'00_Control'!$B$7),"",--(AF405&lt;5))</f>
        <v/>
      </c>
      <c r="AH405" s="35">
        <f>IF(OR(C405&lt;&gt;"Grayson Coulter",G405&lt;'00_Control'!$B$7),"",--(AF405&lt;10))</f>
        <v/>
      </c>
      <c r="AI405" s="35">
        <f>IF(AND(C405="Grayson Coulter",G405&gt;='00_Control'!$B$7),"YES","NO")</f>
        <v/>
      </c>
      <c r="AJ405" s="33" t="inlineStr">
        <is>
          <t>OK</t>
        </is>
      </c>
    </row>
    <row r="406">
      <c r="A406" s="33" t="inlineStr">
        <is>
          <t>SM000402</t>
        </is>
      </c>
      <c r="B406" s="33" t="inlineStr">
        <is>
          <t>SW009</t>
        </is>
      </c>
      <c r="C406" s="33" t="inlineStr">
        <is>
          <t>David Popovici</t>
        </is>
      </c>
      <c r="D406" s="33" t="inlineStr">
        <is>
          <t>SwimCloud</t>
        </is>
      </c>
      <c r="E406" s="33" t="inlineStr">
        <is>
          <t>1405298</t>
        </is>
      </c>
      <c r="F406" s="33" t="inlineStr">
        <is>
          <t>41532649</t>
        </is>
      </c>
      <c r="G406" s="51" t="n">
        <v>44303</v>
      </c>
      <c r="H406" s="33" t="inlineStr">
        <is>
          <t>Multinations Junior Meet</t>
        </is>
      </c>
      <c r="I406" s="33" t="inlineStr">
        <is>
          <t>197818</t>
        </is>
      </c>
      <c r="J406" s="33" t="inlineStr"/>
      <c r="K406" s="33" t="inlineStr">
        <is>
          <t>TIM</t>
        </is>
      </c>
      <c r="L406" s="35">
        <f>IF(K406="FIN",3,IF(OR(K406="SEM",K406="SEMI"),2,IF(OR(K406="PRE",K406="HEAT"),1,IF(V406="YES",4,2))))</f>
        <v/>
      </c>
      <c r="M406" s="33" t="inlineStr">
        <is>
          <t>LCM</t>
        </is>
      </c>
      <c r="N406" s="33" t="n">
        <v>100</v>
      </c>
      <c r="O406" s="33" t="inlineStr">
        <is>
          <t>Free</t>
        </is>
      </c>
      <c r="P406" s="33" t="inlineStr">
        <is>
          <t>100 Free</t>
        </is>
      </c>
      <c r="Q406" s="33" t="inlineStr">
        <is>
          <t>LCM_100_FREE</t>
        </is>
      </c>
      <c r="R406" s="36" t="n">
        <v>49.09</v>
      </c>
      <c r="S406" s="35">
        <f>IF(R406="","",IF(R406&gt;=60,INT(R406/60)&amp;":"&amp;TEXT(MOD(R406,60),"00.00"),TEXT(R406,"0.00")))</f>
        <v/>
      </c>
      <c r="T406" s="52">
        <f>IFERROR((G406-INDEX('01_Swimmers'!$E$5:$E$22,MATCH(B406,'01_Swimmers'!$A$5:$A$22,0)))/'00_Control'!$B$10,"")</f>
        <v/>
      </c>
      <c r="U406" s="35">
        <f>IF(T406="","",INT(T406))</f>
        <v/>
      </c>
      <c r="V406" s="33" t="inlineStr">
        <is>
          <t>NO</t>
        </is>
      </c>
      <c r="W406" s="33" t="inlineStr">
        <is>
          <t>YES</t>
        </is>
      </c>
      <c r="X406" s="33" t="inlineStr">
        <is>
          <t>NO</t>
        </is>
      </c>
      <c r="Y406" s="33" t="n">
        <v>1</v>
      </c>
      <c r="Z406" s="33" t="n">
        <v>4</v>
      </c>
      <c r="AA406" s="33" t="inlineStr">
        <is>
          <t>1</t>
        </is>
      </c>
      <c r="AB406" s="33" t="inlineStr">
        <is>
          <t>https://www.swimcloud.com/results/197818/event/3/?id=41532649#time41532649</t>
        </is>
      </c>
      <c r="AC406" s="33" t="inlineStr">
        <is>
          <t>SwimCloud API v6 2026-10-08</t>
        </is>
      </c>
      <c r="AD406" s="33" t="inlineStr">
        <is>
          <t>David Popovici|2021-04-17|LCM|100|Free|49.09|Multinations Junior Meet|TIM|False</t>
        </is>
      </c>
      <c r="AE406" s="53">
        <f>G406+L406/1000+ROW()/1000000000</f>
        <v/>
      </c>
      <c r="AF406" s="35">
        <f>IF(C406&lt;&gt;"Grayson Coulter","",COUNTIFS($C$5:$C$2991,"Grayson Coulter",$Q$5:$Q$2991,Q406,$AE$5:$AE$2991,"&lt;="&amp;AE406,$R$5:$R$2991,"&lt;"&amp;R406))</f>
        <v/>
      </c>
      <c r="AG406" s="35">
        <f>IF(OR(C406&lt;&gt;"Grayson Coulter",G406&lt;'00_Control'!$B$7),"",--(AF406&lt;5))</f>
        <v/>
      </c>
      <c r="AH406" s="35">
        <f>IF(OR(C406&lt;&gt;"Grayson Coulter",G406&lt;'00_Control'!$B$7),"",--(AF406&lt;10))</f>
        <v/>
      </c>
      <c r="AI406" s="35">
        <f>IF(AND(C406="Grayson Coulter",G406&gt;='00_Control'!$B$7),"YES","NO")</f>
        <v/>
      </c>
      <c r="AJ406" s="33" t="inlineStr">
        <is>
          <t>OK</t>
        </is>
      </c>
    </row>
    <row r="407">
      <c r="A407" s="33" t="inlineStr">
        <is>
          <t>SM000403</t>
        </is>
      </c>
      <c r="B407" s="33" t="inlineStr">
        <is>
          <t>SW009</t>
        </is>
      </c>
      <c r="C407" s="33" t="inlineStr">
        <is>
          <t>David Popovici</t>
        </is>
      </c>
      <c r="D407" s="33" t="inlineStr">
        <is>
          <t>SwimCloud</t>
        </is>
      </c>
      <c r="E407" s="33" t="inlineStr">
        <is>
          <t>1405298</t>
        </is>
      </c>
      <c r="F407" s="33" t="inlineStr">
        <is>
          <t>41532651</t>
        </is>
      </c>
      <c r="G407" s="51" t="n">
        <v>44304</v>
      </c>
      <c r="H407" s="33" t="inlineStr">
        <is>
          <t>Multinations Junior Meet</t>
        </is>
      </c>
      <c r="I407" s="33" t="inlineStr">
        <is>
          <t>197818</t>
        </is>
      </c>
      <c r="J407" s="33" t="inlineStr"/>
      <c r="K407" s="33" t="inlineStr">
        <is>
          <t>TIM</t>
        </is>
      </c>
      <c r="L407" s="35">
        <f>IF(K407="FIN",3,IF(OR(K407="SEM",K407="SEMI"),2,IF(OR(K407="PRE",K407="HEAT"),1,IF(V407="YES",4,2))))</f>
        <v/>
      </c>
      <c r="M407" s="33" t="inlineStr">
        <is>
          <t>LCM</t>
        </is>
      </c>
      <c r="N407" s="33" t="n">
        <v>200</v>
      </c>
      <c r="O407" s="33" t="inlineStr">
        <is>
          <t>Free</t>
        </is>
      </c>
      <c r="P407" s="33" t="inlineStr">
        <is>
          <t>200 Free</t>
        </is>
      </c>
      <c r="Q407" s="33" t="inlineStr">
        <is>
          <t>LCM_200_FREE</t>
        </is>
      </c>
      <c r="R407" s="36" t="n">
        <v>108.62</v>
      </c>
      <c r="S407" s="35">
        <f>IF(R407="","",IF(R407&gt;=60,INT(R407/60)&amp;":"&amp;TEXT(MOD(R407,60),"00.00"),TEXT(R407,"0.00")))</f>
        <v/>
      </c>
      <c r="T407" s="52">
        <f>IFERROR((G407-INDEX('01_Swimmers'!$E$5:$E$22,MATCH(B407,'01_Swimmers'!$A$5:$A$22,0)))/'00_Control'!$B$10,"")</f>
        <v/>
      </c>
      <c r="U407" s="35">
        <f>IF(T407="","",INT(T407))</f>
        <v/>
      </c>
      <c r="V407" s="33" t="inlineStr">
        <is>
          <t>NO</t>
        </is>
      </c>
      <c r="W407" s="33" t="inlineStr">
        <is>
          <t>YES</t>
        </is>
      </c>
      <c r="X407" s="33" t="inlineStr">
        <is>
          <t>NO</t>
        </is>
      </c>
      <c r="Y407" s="33" t="n">
        <v>1</v>
      </c>
      <c r="Z407" s="33" t="n">
        <v>4</v>
      </c>
      <c r="AA407" s="33" t="inlineStr">
        <is>
          <t>1</t>
        </is>
      </c>
      <c r="AB407" s="33" t="inlineStr">
        <is>
          <t>https://www.swimcloud.com/results/197818/event/25/?id=41532651#time41532651</t>
        </is>
      </c>
      <c r="AC407" s="33" t="inlineStr">
        <is>
          <t>SwimCloud API v6 2026-10-08</t>
        </is>
      </c>
      <c r="AD407" s="33" t="inlineStr">
        <is>
          <t>David Popovici|2021-04-18|LCM|200|Free|108.62|Multinations Junior Meet|TIM|False</t>
        </is>
      </c>
      <c r="AE407" s="53">
        <f>G407+L407/1000+ROW()/1000000000</f>
        <v/>
      </c>
      <c r="AF407" s="35">
        <f>IF(C407&lt;&gt;"Grayson Coulter","",COUNTIFS($C$5:$C$2991,"Grayson Coulter",$Q$5:$Q$2991,Q407,$AE$5:$AE$2991,"&lt;="&amp;AE407,$R$5:$R$2991,"&lt;"&amp;R407))</f>
        <v/>
      </c>
      <c r="AG407" s="35">
        <f>IF(OR(C407&lt;&gt;"Grayson Coulter",G407&lt;'00_Control'!$B$7),"",--(AF407&lt;5))</f>
        <v/>
      </c>
      <c r="AH407" s="35">
        <f>IF(OR(C407&lt;&gt;"Grayson Coulter",G407&lt;'00_Control'!$B$7),"",--(AF407&lt;10))</f>
        <v/>
      </c>
      <c r="AI407" s="35">
        <f>IF(AND(C407="Grayson Coulter",G407&gt;='00_Control'!$B$7),"YES","NO")</f>
        <v/>
      </c>
      <c r="AJ407" s="33" t="inlineStr">
        <is>
          <t>OK</t>
        </is>
      </c>
    </row>
    <row r="408">
      <c r="A408" s="33" t="inlineStr">
        <is>
          <t>SM000404</t>
        </is>
      </c>
      <c r="B408" s="33" t="inlineStr">
        <is>
          <t>SW009</t>
        </is>
      </c>
      <c r="C408" s="33" t="inlineStr">
        <is>
          <t>David Popovici</t>
        </is>
      </c>
      <c r="D408" s="33" t="inlineStr">
        <is>
          <t>SwimCloud</t>
        </is>
      </c>
      <c r="E408" s="33" t="inlineStr">
        <is>
          <t>1405298</t>
        </is>
      </c>
      <c r="F408" s="33" t="inlineStr">
        <is>
          <t>41863238</t>
        </is>
      </c>
      <c r="G408" s="51" t="n">
        <v>44334</v>
      </c>
      <c r="H408" s="33" t="inlineStr">
        <is>
          <t>LEN European Aquatics Championships</t>
        </is>
      </c>
      <c r="I408" s="33" t="inlineStr">
        <is>
          <t>198640</t>
        </is>
      </c>
      <c r="J408" s="33" t="inlineStr"/>
      <c r="K408" s="33" t="inlineStr">
        <is>
          <t>PRE</t>
        </is>
      </c>
      <c r="L408" s="35">
        <f>IF(K408="FIN",3,IF(OR(K408="SEM",K408="SEMI"),2,IF(OR(K408="PRE",K408="HEAT"),1,IF(V408="YES",4,2))))</f>
        <v/>
      </c>
      <c r="M408" s="33" t="inlineStr">
        <is>
          <t>LCM</t>
        </is>
      </c>
      <c r="N408" s="33" t="n">
        <v>100</v>
      </c>
      <c r="O408" s="33" t="inlineStr">
        <is>
          <t>Free</t>
        </is>
      </c>
      <c r="P408" s="33" t="inlineStr">
        <is>
          <t>100 Free</t>
        </is>
      </c>
      <c r="Q408" s="33" t="inlineStr">
        <is>
          <t>LCM_100_FREE</t>
        </is>
      </c>
      <c r="R408" s="36" t="n">
        <v>48.3</v>
      </c>
      <c r="S408" s="35">
        <f>IF(R408="","",IF(R408&gt;=60,INT(R408/60)&amp;":"&amp;TEXT(MOD(R408,60),"00.00"),TEXT(R408,"0.00")))</f>
        <v/>
      </c>
      <c r="T408" s="52">
        <f>IFERROR((G408-INDEX('01_Swimmers'!$E$5:$E$22,MATCH(B408,'01_Swimmers'!$A$5:$A$22,0)))/'00_Control'!$B$10,"")</f>
        <v/>
      </c>
      <c r="U408" s="35">
        <f>IF(T408="","",INT(T408))</f>
        <v/>
      </c>
      <c r="V408" s="33" t="inlineStr">
        <is>
          <t>NO</t>
        </is>
      </c>
      <c r="W408" s="33" t="inlineStr">
        <is>
          <t>YES</t>
        </is>
      </c>
      <c r="X408" s="33" t="inlineStr">
        <is>
          <t>NO</t>
        </is>
      </c>
      <c r="Y408" s="33" t="n">
        <v>7</v>
      </c>
      <c r="Z408" s="33" t="n">
        <v>5</v>
      </c>
      <c r="AA408" s="33" t="inlineStr">
        <is>
          <t>5</t>
        </is>
      </c>
      <c r="AB408" s="33" t="inlineStr">
        <is>
          <t>https://www.swimcloud.com/results/198640/event/10/?id=41863238#time41863238</t>
        </is>
      </c>
      <c r="AC408" s="33" t="inlineStr">
        <is>
          <t>SwimCloud API v6 2026-10-08</t>
        </is>
      </c>
      <c r="AD408" s="33" t="inlineStr">
        <is>
          <t>David Popovici|2021-05-18|LCM|100|Free|48.3|LEN European Aquatics Championships|PRE|False</t>
        </is>
      </c>
      <c r="AE408" s="53">
        <f>G408+L408/1000+ROW()/1000000000</f>
        <v/>
      </c>
      <c r="AF408" s="35">
        <f>IF(C408&lt;&gt;"Grayson Coulter","",COUNTIFS($C$5:$C$2991,"Grayson Coulter",$Q$5:$Q$2991,Q408,$AE$5:$AE$2991,"&lt;="&amp;AE408,$R$5:$R$2991,"&lt;"&amp;R408))</f>
        <v/>
      </c>
      <c r="AG408" s="35">
        <f>IF(OR(C408&lt;&gt;"Grayson Coulter",G408&lt;'00_Control'!$B$7),"",--(AF408&lt;5))</f>
        <v/>
      </c>
      <c r="AH408" s="35">
        <f>IF(OR(C408&lt;&gt;"Grayson Coulter",G408&lt;'00_Control'!$B$7),"",--(AF408&lt;10))</f>
        <v/>
      </c>
      <c r="AI408" s="35">
        <f>IF(AND(C408="Grayson Coulter",G408&gt;='00_Control'!$B$7),"YES","NO")</f>
        <v/>
      </c>
      <c r="AJ408" s="33" t="inlineStr">
        <is>
          <t>OK</t>
        </is>
      </c>
    </row>
    <row r="409">
      <c r="A409" s="33" t="inlineStr">
        <is>
          <t>SM000405</t>
        </is>
      </c>
      <c r="B409" s="33" t="inlineStr">
        <is>
          <t>SW009</t>
        </is>
      </c>
      <c r="C409" s="33" t="inlineStr">
        <is>
          <t>David Popovici</t>
        </is>
      </c>
      <c r="D409" s="33" t="inlineStr">
        <is>
          <t>SwimCloud</t>
        </is>
      </c>
      <c r="E409" s="33" t="inlineStr">
        <is>
          <t>1405298</t>
        </is>
      </c>
      <c r="F409" s="33" t="inlineStr">
        <is>
          <t>41863239</t>
        </is>
      </c>
      <c r="G409" s="51" t="n">
        <v>44334</v>
      </c>
      <c r="H409" s="33" t="inlineStr">
        <is>
          <t>LEN European Aquatics Championships</t>
        </is>
      </c>
      <c r="I409" s="33" t="inlineStr">
        <is>
          <t>198640</t>
        </is>
      </c>
      <c r="J409" s="33" t="inlineStr"/>
      <c r="K409" s="33" t="inlineStr">
        <is>
          <t>SEM</t>
        </is>
      </c>
      <c r="L409" s="35">
        <f>IF(K409="FIN",3,IF(OR(K409="SEM",K409="SEMI"),2,IF(OR(K409="PRE",K409="HEAT"),1,IF(V409="YES",4,2))))</f>
        <v/>
      </c>
      <c r="M409" s="33" t="inlineStr">
        <is>
          <t>LCM</t>
        </is>
      </c>
      <c r="N409" s="33" t="n">
        <v>100</v>
      </c>
      <c r="O409" s="33" t="inlineStr">
        <is>
          <t>Free</t>
        </is>
      </c>
      <c r="P409" s="33" t="inlineStr">
        <is>
          <t>100 Free</t>
        </is>
      </c>
      <c r="Q409" s="33" t="inlineStr">
        <is>
          <t>LCM_100_FREE</t>
        </is>
      </c>
      <c r="R409" s="36" t="n">
        <v>48.28</v>
      </c>
      <c r="S409" s="35">
        <f>IF(R409="","",IF(R409&gt;=60,INT(R409/60)&amp;":"&amp;TEXT(MOD(R409,60),"00.00"),TEXT(R409,"0.00")))</f>
        <v/>
      </c>
      <c r="T409" s="52">
        <f>IFERROR((G409-INDEX('01_Swimmers'!$E$5:$E$22,MATCH(B409,'01_Swimmers'!$A$5:$A$22,0)))/'00_Control'!$B$10,"")</f>
        <v/>
      </c>
      <c r="U409" s="35">
        <f>IF(T409="","",INT(T409))</f>
        <v/>
      </c>
      <c r="V409" s="33" t="inlineStr">
        <is>
          <t>NO</t>
        </is>
      </c>
      <c r="W409" s="33" t="inlineStr">
        <is>
          <t>YES</t>
        </is>
      </c>
      <c r="X409" s="33" t="inlineStr">
        <is>
          <t>NO</t>
        </is>
      </c>
      <c r="Y409" s="33" t="n">
        <v>5</v>
      </c>
      <c r="Z409" s="33" t="n">
        <v>3</v>
      </c>
      <c r="AA409" s="33" t="inlineStr">
        <is>
          <t>6</t>
        </is>
      </c>
      <c r="AB409" s="33" t="inlineStr">
        <is>
          <t>https://www.swimcloud.com/results/198640/event/210/?id=41863239#time41863239</t>
        </is>
      </c>
      <c r="AC409" s="33" t="inlineStr">
        <is>
          <t>SwimCloud API v6 2026-10-08</t>
        </is>
      </c>
      <c r="AD409" s="33" t="inlineStr">
        <is>
          <t>David Popovici|2021-05-18|LCM|100|Free|48.28|LEN European Aquatics Championships|SEM|False</t>
        </is>
      </c>
      <c r="AE409" s="53">
        <f>G409+L409/1000+ROW()/1000000000</f>
        <v/>
      </c>
      <c r="AF409" s="35">
        <f>IF(C409&lt;&gt;"Grayson Coulter","",COUNTIFS($C$5:$C$2991,"Grayson Coulter",$Q$5:$Q$2991,Q409,$AE$5:$AE$2991,"&lt;="&amp;AE409,$R$5:$R$2991,"&lt;"&amp;R409))</f>
        <v/>
      </c>
      <c r="AG409" s="35">
        <f>IF(OR(C409&lt;&gt;"Grayson Coulter",G409&lt;'00_Control'!$B$7),"",--(AF409&lt;5))</f>
        <v/>
      </c>
      <c r="AH409" s="35">
        <f>IF(OR(C409&lt;&gt;"Grayson Coulter",G409&lt;'00_Control'!$B$7),"",--(AF409&lt;10))</f>
        <v/>
      </c>
      <c r="AI409" s="35">
        <f>IF(AND(C409="Grayson Coulter",G409&gt;='00_Control'!$B$7),"YES","NO")</f>
        <v/>
      </c>
      <c r="AJ409" s="33" t="inlineStr">
        <is>
          <t>OK</t>
        </is>
      </c>
    </row>
    <row r="410">
      <c r="A410" s="33" t="inlineStr">
        <is>
          <t>SM000406</t>
        </is>
      </c>
      <c r="B410" s="33" t="inlineStr">
        <is>
          <t>SW009</t>
        </is>
      </c>
      <c r="C410" s="33" t="inlineStr">
        <is>
          <t>David Popovici</t>
        </is>
      </c>
      <c r="D410" s="33" t="inlineStr">
        <is>
          <t>SwimCloud</t>
        </is>
      </c>
      <c r="E410" s="33" t="inlineStr">
        <is>
          <t>1405298</t>
        </is>
      </c>
      <c r="F410" s="33" t="inlineStr">
        <is>
          <t>41863240</t>
        </is>
      </c>
      <c r="G410" s="51" t="n">
        <v>44335</v>
      </c>
      <c r="H410" s="33" t="inlineStr">
        <is>
          <t>LEN European Aquatics Championships</t>
        </is>
      </c>
      <c r="I410" s="33" t="inlineStr">
        <is>
          <t>198640</t>
        </is>
      </c>
      <c r="J410" s="33" t="inlineStr"/>
      <c r="K410" s="33" t="inlineStr">
        <is>
          <t>FIN</t>
        </is>
      </c>
      <c r="L410" s="35">
        <f>IF(K410="FIN",3,IF(OR(K410="SEM",K410="SEMI"),2,IF(OR(K410="PRE",K410="HEAT"),1,IF(V410="YES",4,2))))</f>
        <v/>
      </c>
      <c r="M410" s="33" t="inlineStr">
        <is>
          <t>LCM</t>
        </is>
      </c>
      <c r="N410" s="33" t="n">
        <v>100</v>
      </c>
      <c r="O410" s="33" t="inlineStr">
        <is>
          <t>Free</t>
        </is>
      </c>
      <c r="P410" s="33" t="inlineStr">
        <is>
          <t>100 Free</t>
        </is>
      </c>
      <c r="Q410" s="33" t="inlineStr">
        <is>
          <t>LCM_100_FREE</t>
        </is>
      </c>
      <c r="R410" s="36" t="n">
        <v>48.08</v>
      </c>
      <c r="S410" s="35">
        <f>IF(R410="","",IF(R410&gt;=60,INT(R410/60)&amp;":"&amp;TEXT(MOD(R410,60),"00.00"),TEXT(R410,"0.00")))</f>
        <v/>
      </c>
      <c r="T410" s="52">
        <f>IFERROR((G410-INDEX('01_Swimmers'!$E$5:$E$22,MATCH(B410,'01_Swimmers'!$A$5:$A$22,0)))/'00_Control'!$B$10,"")</f>
        <v/>
      </c>
      <c r="U410" s="35">
        <f>IF(T410="","",INT(T410))</f>
        <v/>
      </c>
      <c r="V410" s="33" t="inlineStr">
        <is>
          <t>NO</t>
        </is>
      </c>
      <c r="W410" s="33" t="inlineStr">
        <is>
          <t>YES</t>
        </is>
      </c>
      <c r="X410" s="33" t="inlineStr">
        <is>
          <t>NO</t>
        </is>
      </c>
      <c r="Y410" s="33" t="n">
        <v>2</v>
      </c>
      <c r="Z410" s="33" t="n">
        <v>1</v>
      </c>
      <c r="AA410" s="33" t="inlineStr">
        <is>
          <t>6</t>
        </is>
      </c>
      <c r="AB410" s="33" t="inlineStr">
        <is>
          <t>https://www.swimcloud.com/results/198640/event/110/?id=41863240#time41863240</t>
        </is>
      </c>
      <c r="AC410" s="33" t="inlineStr">
        <is>
          <t>SwimCloud API v6 2026-10-08</t>
        </is>
      </c>
      <c r="AD410" s="33" t="inlineStr">
        <is>
          <t>David Popovici|2021-05-19|LCM|100|Free|48.08|LEN European Aquatics Championships|FIN|False</t>
        </is>
      </c>
      <c r="AE410" s="53">
        <f>G410+L410/1000+ROW()/1000000000</f>
        <v/>
      </c>
      <c r="AF410" s="35">
        <f>IF(C410&lt;&gt;"Grayson Coulter","",COUNTIFS($C$5:$C$2991,"Grayson Coulter",$Q$5:$Q$2991,Q410,$AE$5:$AE$2991,"&lt;="&amp;AE410,$R$5:$R$2991,"&lt;"&amp;R410))</f>
        <v/>
      </c>
      <c r="AG410" s="35">
        <f>IF(OR(C410&lt;&gt;"Grayson Coulter",G410&lt;'00_Control'!$B$7),"",--(AF410&lt;5))</f>
        <v/>
      </c>
      <c r="AH410" s="35">
        <f>IF(OR(C410&lt;&gt;"Grayson Coulter",G410&lt;'00_Control'!$B$7),"",--(AF410&lt;10))</f>
        <v/>
      </c>
      <c r="AI410" s="35">
        <f>IF(AND(C410="Grayson Coulter",G410&gt;='00_Control'!$B$7),"YES","NO")</f>
        <v/>
      </c>
      <c r="AJ410" s="33" t="inlineStr">
        <is>
          <t>OK</t>
        </is>
      </c>
    </row>
    <row r="411">
      <c r="A411" s="33" t="inlineStr">
        <is>
          <t>SM000407</t>
        </is>
      </c>
      <c r="B411" s="33" t="inlineStr">
        <is>
          <t>SW009</t>
        </is>
      </c>
      <c r="C411" s="33" t="inlineStr">
        <is>
          <t>David Popovici</t>
        </is>
      </c>
      <c r="D411" s="33" t="inlineStr">
        <is>
          <t>SwimCloud</t>
        </is>
      </c>
      <c r="E411" s="33" t="inlineStr">
        <is>
          <t>1405298</t>
        </is>
      </c>
      <c r="F411" s="33" t="inlineStr">
        <is>
          <t>41863241</t>
        </is>
      </c>
      <c r="G411" s="51" t="n">
        <v>44336</v>
      </c>
      <c r="H411" s="33" t="inlineStr">
        <is>
          <t>LEN European Aquatics Championships</t>
        </is>
      </c>
      <c r="I411" s="33" t="inlineStr">
        <is>
          <t>198640</t>
        </is>
      </c>
      <c r="J411" s="33" t="inlineStr"/>
      <c r="K411" s="33" t="inlineStr">
        <is>
          <t>PRE</t>
        </is>
      </c>
      <c r="L411" s="35">
        <f>IF(K411="FIN",3,IF(OR(K411="SEM",K411="SEMI"),2,IF(OR(K411="PRE",K411="HEAT"),1,IF(V411="YES",4,2))))</f>
        <v/>
      </c>
      <c r="M411" s="33" t="inlineStr">
        <is>
          <t>LCM</t>
        </is>
      </c>
      <c r="N411" s="33" t="n">
        <v>200</v>
      </c>
      <c r="O411" s="33" t="inlineStr">
        <is>
          <t>Free</t>
        </is>
      </c>
      <c r="P411" s="33" t="inlineStr">
        <is>
          <t>200 Free</t>
        </is>
      </c>
      <c r="Q411" s="33" t="inlineStr">
        <is>
          <t>LCM_200_FREE</t>
        </is>
      </c>
      <c r="R411" s="36" t="n">
        <v>108.38</v>
      </c>
      <c r="S411" s="35">
        <f>IF(R411="","",IF(R411&gt;=60,INT(R411/60)&amp;":"&amp;TEXT(MOD(R411,60),"00.00"),TEXT(R411,"0.00")))</f>
        <v/>
      </c>
      <c r="T411" s="52">
        <f>IFERROR((G411-INDEX('01_Swimmers'!$E$5:$E$22,MATCH(B411,'01_Swimmers'!$A$5:$A$22,0)))/'00_Control'!$B$10,"")</f>
        <v/>
      </c>
      <c r="U411" s="35">
        <f>IF(T411="","",INT(T411))</f>
        <v/>
      </c>
      <c r="V411" s="33" t="inlineStr">
        <is>
          <t>NO</t>
        </is>
      </c>
      <c r="W411" s="33" t="inlineStr">
        <is>
          <t>YES</t>
        </is>
      </c>
      <c r="X411" s="33" t="inlineStr">
        <is>
          <t>NO</t>
        </is>
      </c>
      <c r="Y411" s="33" t="n">
        <v>5</v>
      </c>
      <c r="Z411" s="33" t="n">
        <v>1</v>
      </c>
      <c r="AA411" s="33" t="inlineStr">
        <is>
          <t>20</t>
        </is>
      </c>
      <c r="AB411" s="33" t="inlineStr">
        <is>
          <t>https://www.swimcloud.com/results/198640/event/22/?id=41863241#time41863241</t>
        </is>
      </c>
      <c r="AC411" s="33" t="inlineStr">
        <is>
          <t>SwimCloud API v6 2026-10-08</t>
        </is>
      </c>
      <c r="AD411" s="33" t="inlineStr">
        <is>
          <t>David Popovici|2021-05-20|LCM|200|Free|108.38|LEN European Aquatics Championships|PRE|False</t>
        </is>
      </c>
      <c r="AE411" s="53">
        <f>G411+L411/1000+ROW()/1000000000</f>
        <v/>
      </c>
      <c r="AF411" s="35">
        <f>IF(C411&lt;&gt;"Grayson Coulter","",COUNTIFS($C$5:$C$2991,"Grayson Coulter",$Q$5:$Q$2991,Q411,$AE$5:$AE$2991,"&lt;="&amp;AE411,$R$5:$R$2991,"&lt;"&amp;R411))</f>
        <v/>
      </c>
      <c r="AG411" s="35">
        <f>IF(OR(C411&lt;&gt;"Grayson Coulter",G411&lt;'00_Control'!$B$7),"",--(AF411&lt;5))</f>
        <v/>
      </c>
      <c r="AH411" s="35">
        <f>IF(OR(C411&lt;&gt;"Grayson Coulter",G411&lt;'00_Control'!$B$7),"",--(AF411&lt;10))</f>
        <v/>
      </c>
      <c r="AI411" s="35">
        <f>IF(AND(C411="Grayson Coulter",G411&gt;='00_Control'!$B$7),"YES","NO")</f>
        <v/>
      </c>
      <c r="AJ411" s="33" t="inlineStr">
        <is>
          <t>OK</t>
        </is>
      </c>
    </row>
    <row r="412">
      <c r="A412" s="33" t="inlineStr">
        <is>
          <t>SM000408</t>
        </is>
      </c>
      <c r="B412" s="33" t="inlineStr">
        <is>
          <t>SW009</t>
        </is>
      </c>
      <c r="C412" s="33" t="inlineStr">
        <is>
          <t>David Popovici</t>
        </is>
      </c>
      <c r="D412" s="33" t="inlineStr">
        <is>
          <t>SwimCloud</t>
        </is>
      </c>
      <c r="E412" s="33" t="inlineStr">
        <is>
          <t>1405298</t>
        </is>
      </c>
      <c r="F412" s="33" t="inlineStr">
        <is>
          <t>42707088</t>
        </is>
      </c>
      <c r="G412" s="51" t="n">
        <v>44367</v>
      </c>
      <c r="H412" s="33" t="inlineStr">
        <is>
          <t>Romanian International Swimming Championships</t>
        </is>
      </c>
      <c r="I412" s="33" t="inlineStr">
        <is>
          <t>195582</t>
        </is>
      </c>
      <c r="J412" s="33" t="inlineStr"/>
      <c r="K412" s="33" t="inlineStr"/>
      <c r="L412" s="35">
        <f>IF(K412="FIN",3,IF(OR(K412="SEM",K412="SEMI"),2,IF(OR(K412="PRE",K412="HEAT"),1,IF(V412="YES",4,2))))</f>
        <v/>
      </c>
      <c r="M412" s="33" t="inlineStr">
        <is>
          <t>LCM</t>
        </is>
      </c>
      <c r="N412" s="33" t="n">
        <v>200</v>
      </c>
      <c r="O412" s="33" t="inlineStr">
        <is>
          <t>Free</t>
        </is>
      </c>
      <c r="P412" s="33" t="inlineStr">
        <is>
          <t>200 Free</t>
        </is>
      </c>
      <c r="Q412" s="33" t="inlineStr">
        <is>
          <t>LCM_200_FREE</t>
        </is>
      </c>
      <c r="R412" s="36" t="n">
        <v>106.15</v>
      </c>
      <c r="S412" s="35">
        <f>IF(R412="","",IF(R412&gt;=60,INT(R412/60)&amp;":"&amp;TEXT(MOD(R412,60),"00.00"),TEXT(R412,"0.00")))</f>
        <v/>
      </c>
      <c r="T412" s="52">
        <f>IFERROR((G412-INDEX('01_Swimmers'!$E$5:$E$22,MATCH(B412,'01_Swimmers'!$A$5:$A$22,0)))/'00_Control'!$B$10,"")</f>
        <v/>
      </c>
      <c r="U412" s="35">
        <f>IF(T412="","",INT(T412))</f>
        <v/>
      </c>
      <c r="V412" s="33" t="inlineStr">
        <is>
          <t>NO</t>
        </is>
      </c>
      <c r="W412" s="33" t="inlineStr">
        <is>
          <t>YES</t>
        </is>
      </c>
      <c r="X412" s="33" t="inlineStr">
        <is>
          <t>NO</t>
        </is>
      </c>
      <c r="Y412" s="33" t="n">
        <v>4</v>
      </c>
      <c r="Z412" s="33" t="n">
        <v>4</v>
      </c>
      <c r="AA412" s="33" t="inlineStr"/>
      <c r="AB412" s="33" t="inlineStr">
        <is>
          <t>https://www.swimcloud.com/results/195582/event/58/?id=42707088#time42707088</t>
        </is>
      </c>
      <c r="AC412" s="33" t="inlineStr">
        <is>
          <t>SwimCloud API v6 2026-10-08</t>
        </is>
      </c>
      <c r="AD412" s="33" t="inlineStr">
        <is>
          <t>David Popovici|2021-06-20|LCM|200|Free|106.15|Romanian International Swimming Championships||False</t>
        </is>
      </c>
      <c r="AE412" s="53">
        <f>G412+L412/1000+ROW()/1000000000</f>
        <v/>
      </c>
      <c r="AF412" s="35">
        <f>IF(C412&lt;&gt;"Grayson Coulter","",COUNTIFS($C$5:$C$2991,"Grayson Coulter",$Q$5:$Q$2991,Q412,$AE$5:$AE$2991,"&lt;="&amp;AE412,$R$5:$R$2991,"&lt;"&amp;R412))</f>
        <v/>
      </c>
      <c r="AG412" s="35">
        <f>IF(OR(C412&lt;&gt;"Grayson Coulter",G412&lt;'00_Control'!$B$7),"",--(AF412&lt;5))</f>
        <v/>
      </c>
      <c r="AH412" s="35">
        <f>IF(OR(C412&lt;&gt;"Grayson Coulter",G412&lt;'00_Control'!$B$7),"",--(AF412&lt;10))</f>
        <v/>
      </c>
      <c r="AI412" s="35">
        <f>IF(AND(C412="Grayson Coulter",G412&gt;='00_Control'!$B$7),"YES","NO")</f>
        <v/>
      </c>
      <c r="AJ412" s="33" t="inlineStr">
        <is>
          <t>OK</t>
        </is>
      </c>
    </row>
    <row r="413">
      <c r="A413" s="33" t="inlineStr">
        <is>
          <t>SM000409</t>
        </is>
      </c>
      <c r="B413" s="33" t="inlineStr">
        <is>
          <t>SW009</t>
        </is>
      </c>
      <c r="C413" s="33" t="inlineStr">
        <is>
          <t>David Popovici</t>
        </is>
      </c>
      <c r="D413" s="33" t="inlineStr">
        <is>
          <t>SwimCloud</t>
        </is>
      </c>
      <c r="E413" s="33" t="inlineStr">
        <is>
          <t>1405298</t>
        </is>
      </c>
      <c r="F413" s="33" t="inlineStr">
        <is>
          <t>42707089</t>
        </is>
      </c>
      <c r="G413" s="51" t="n">
        <v>44367</v>
      </c>
      <c r="H413" s="33" t="inlineStr">
        <is>
          <t>Romanian International Swimming Championships</t>
        </is>
      </c>
      <c r="I413" s="33" t="inlineStr">
        <is>
          <t>195582</t>
        </is>
      </c>
      <c r="J413" s="33" t="inlineStr"/>
      <c r="K413" s="33" t="inlineStr"/>
      <c r="L413" s="35">
        <f>IF(K413="FIN",3,IF(OR(K413="SEM",K413="SEMI"),2,IF(OR(K413="PRE",K413="HEAT"),1,IF(V413="YES",4,2))))</f>
        <v/>
      </c>
      <c r="M413" s="33" t="inlineStr">
        <is>
          <t>LCM</t>
        </is>
      </c>
      <c r="N413" s="33" t="n">
        <v>200</v>
      </c>
      <c r="O413" s="33" t="inlineStr">
        <is>
          <t>Free</t>
        </is>
      </c>
      <c r="P413" s="33" t="inlineStr">
        <is>
          <t>200 Free</t>
        </is>
      </c>
      <c r="Q413" s="33" t="inlineStr">
        <is>
          <t>LCM_200_FREE</t>
        </is>
      </c>
      <c r="R413" s="36" t="n">
        <v>111.68</v>
      </c>
      <c r="S413" s="35">
        <f>IF(R413="","",IF(R413&gt;=60,INT(R413/60)&amp;":"&amp;TEXT(MOD(R413,60),"00.00"),TEXT(R413,"0.00")))</f>
        <v/>
      </c>
      <c r="T413" s="52">
        <f>IFERROR((G413-INDEX('01_Swimmers'!$E$5:$E$22,MATCH(B413,'01_Swimmers'!$A$5:$A$22,0)))/'00_Control'!$B$10,"")</f>
        <v/>
      </c>
      <c r="U413" s="35">
        <f>IF(T413="","",INT(T413))</f>
        <v/>
      </c>
      <c r="V413" s="33" t="inlineStr">
        <is>
          <t>NO</t>
        </is>
      </c>
      <c r="W413" s="33" t="inlineStr">
        <is>
          <t>YES</t>
        </is>
      </c>
      <c r="X413" s="33" t="inlineStr">
        <is>
          <t>NO</t>
        </is>
      </c>
      <c r="Y413" s="33" t="n">
        <v>1</v>
      </c>
      <c r="Z413" s="33" t="n">
        <v>4</v>
      </c>
      <c r="AA413" s="33" t="inlineStr"/>
      <c r="AB413" s="33" t="inlineStr">
        <is>
          <t>https://www.swimcloud.com/results/195582/event/69/?id=42707089#time42707089</t>
        </is>
      </c>
      <c r="AC413" s="33" t="inlineStr">
        <is>
          <t>SwimCloud API v6 2026-10-08</t>
        </is>
      </c>
      <c r="AD413" s="33" t="inlineStr">
        <is>
          <t>David Popovici|2021-06-20|LCM|200|Free|111.68|Romanian International Swimming Championships||False</t>
        </is>
      </c>
      <c r="AE413" s="53">
        <f>G413+L413/1000+ROW()/1000000000</f>
        <v/>
      </c>
      <c r="AF413" s="35">
        <f>IF(C413&lt;&gt;"Grayson Coulter","",COUNTIFS($C$5:$C$2991,"Grayson Coulter",$Q$5:$Q$2991,Q413,$AE$5:$AE$2991,"&lt;="&amp;AE413,$R$5:$R$2991,"&lt;"&amp;R413))</f>
        <v/>
      </c>
      <c r="AG413" s="35">
        <f>IF(OR(C413&lt;&gt;"Grayson Coulter",G413&lt;'00_Control'!$B$7),"",--(AF413&lt;5))</f>
        <v/>
      </c>
      <c r="AH413" s="35">
        <f>IF(OR(C413&lt;&gt;"Grayson Coulter",G413&lt;'00_Control'!$B$7),"",--(AF413&lt;10))</f>
        <v/>
      </c>
      <c r="AI413" s="35">
        <f>IF(AND(C413="Grayson Coulter",G413&gt;='00_Control'!$B$7),"YES","NO")</f>
        <v/>
      </c>
      <c r="AJ413" s="33" t="inlineStr">
        <is>
          <t>OK</t>
        </is>
      </c>
    </row>
    <row r="414">
      <c r="A414" s="33" t="inlineStr">
        <is>
          <t>SM000410</t>
        </is>
      </c>
      <c r="B414" s="33" t="inlineStr">
        <is>
          <t>SW009</t>
        </is>
      </c>
      <c r="C414" s="33" t="inlineStr">
        <is>
          <t>David Popovici</t>
        </is>
      </c>
      <c r="D414" s="33" t="inlineStr">
        <is>
          <t>SwimCloud</t>
        </is>
      </c>
      <c r="E414" s="33" t="inlineStr">
        <is>
          <t>1405298</t>
        </is>
      </c>
      <c r="F414" s="33" t="inlineStr">
        <is>
          <t>42876315</t>
        </is>
      </c>
      <c r="G414" s="51" t="n">
        <v>44383</v>
      </c>
      <c r="H414" s="33" t="inlineStr">
        <is>
          <t>European Junior Championships</t>
        </is>
      </c>
      <c r="I414" s="33" t="inlineStr">
        <is>
          <t>80059</t>
        </is>
      </c>
      <c r="J414" s="33" t="inlineStr"/>
      <c r="K414" s="33" t="inlineStr">
        <is>
          <t>PRE</t>
        </is>
      </c>
      <c r="L414" s="35">
        <f>IF(K414="FIN",3,IF(OR(K414="SEM",K414="SEMI"),2,IF(OR(K414="PRE",K414="HEAT"),1,IF(V414="YES",4,2))))</f>
        <v/>
      </c>
      <c r="M414" s="33" t="inlineStr">
        <is>
          <t>LCM</t>
        </is>
      </c>
      <c r="N414" s="33" t="n">
        <v>100</v>
      </c>
      <c r="O414" s="33" t="inlineStr">
        <is>
          <t>Free</t>
        </is>
      </c>
      <c r="P414" s="33" t="inlineStr">
        <is>
          <t>100 Free</t>
        </is>
      </c>
      <c r="Q414" s="33" t="inlineStr">
        <is>
          <t>LCM_100_FREE</t>
        </is>
      </c>
      <c r="R414" s="36" t="n">
        <v>48.32</v>
      </c>
      <c r="S414" s="35">
        <f>IF(R414="","",IF(R414&gt;=60,INT(R414/60)&amp;":"&amp;TEXT(MOD(R414,60),"00.00"),TEXT(R414,"0.00")))</f>
        <v/>
      </c>
      <c r="T414" s="52">
        <f>IFERROR((G414-INDEX('01_Swimmers'!$E$5:$E$22,MATCH(B414,'01_Swimmers'!$A$5:$A$22,0)))/'00_Control'!$B$10,"")</f>
        <v/>
      </c>
      <c r="U414" s="35">
        <f>IF(T414="","",INT(T414))</f>
        <v/>
      </c>
      <c r="V414" s="33" t="inlineStr">
        <is>
          <t>YES</t>
        </is>
      </c>
      <c r="W414" s="33" t="inlineStr">
        <is>
          <t>YES</t>
        </is>
      </c>
      <c r="X414" s="33" t="inlineStr">
        <is>
          <t>NO</t>
        </is>
      </c>
      <c r="Y414" s="33" t="n">
        <v>35</v>
      </c>
      <c r="Z414" s="33" t="n">
        <v>3</v>
      </c>
      <c r="AA414" s="33" t="inlineStr"/>
      <c r="AB414" s="33" t="inlineStr">
        <is>
          <t>https://www.swimcloud.com/results/80059/event/7/?id=42875149#time42875149</t>
        </is>
      </c>
      <c r="AC414" s="33" t="inlineStr">
        <is>
          <t>SwimCloud API v6 2026-10-08</t>
        </is>
      </c>
      <c r="AD414" s="33" t="inlineStr">
        <is>
          <t>David Popovici|2021-07-06|LCM|100|Free|48.32|European Junior Championships|PRE|True</t>
        </is>
      </c>
      <c r="AE414" s="53">
        <f>G414+L414/1000+ROW()/1000000000</f>
        <v/>
      </c>
      <c r="AF414" s="35">
        <f>IF(C414&lt;&gt;"Grayson Coulter","",COUNTIFS($C$5:$C$2991,"Grayson Coulter",$Q$5:$Q$2991,Q414,$AE$5:$AE$2991,"&lt;="&amp;AE414,$R$5:$R$2991,"&lt;"&amp;R414))</f>
        <v/>
      </c>
      <c r="AG414" s="35">
        <f>IF(OR(C414&lt;&gt;"Grayson Coulter",G414&lt;'00_Control'!$B$7),"",--(AF414&lt;5))</f>
        <v/>
      </c>
      <c r="AH414" s="35">
        <f>IF(OR(C414&lt;&gt;"Grayson Coulter",G414&lt;'00_Control'!$B$7),"",--(AF414&lt;10))</f>
        <v/>
      </c>
      <c r="AI414" s="35">
        <f>IF(AND(C414="Grayson Coulter",G414&gt;='00_Control'!$B$7),"YES","NO")</f>
        <v/>
      </c>
      <c r="AJ414" s="33" t="inlineStr">
        <is>
          <t>OK</t>
        </is>
      </c>
    </row>
    <row r="415">
      <c r="A415" s="33" t="inlineStr">
        <is>
          <t>SM000411</t>
        </is>
      </c>
      <c r="B415" s="33" t="inlineStr">
        <is>
          <t>SW009</t>
        </is>
      </c>
      <c r="C415" s="33" t="inlineStr">
        <is>
          <t>David Popovici</t>
        </is>
      </c>
      <c r="D415" s="33" t="inlineStr">
        <is>
          <t>SwimCloud</t>
        </is>
      </c>
      <c r="E415" s="33" t="inlineStr">
        <is>
          <t>1405298</t>
        </is>
      </c>
      <c r="F415" s="33" t="inlineStr">
        <is>
          <t>42876319</t>
        </is>
      </c>
      <c r="G415" s="51" t="n">
        <v>44383</v>
      </c>
      <c r="H415" s="33" t="inlineStr">
        <is>
          <t>European Junior Championships</t>
        </is>
      </c>
      <c r="I415" s="33" t="inlineStr">
        <is>
          <t>80059</t>
        </is>
      </c>
      <c r="J415" s="33" t="inlineStr"/>
      <c r="K415" s="33" t="inlineStr">
        <is>
          <t>FIN</t>
        </is>
      </c>
      <c r="L415" s="35">
        <f>IF(K415="FIN",3,IF(OR(K415="SEM",K415="SEMI"),2,IF(OR(K415="PRE",K415="HEAT"),1,IF(V415="YES",4,2))))</f>
        <v/>
      </c>
      <c r="M415" s="33" t="inlineStr">
        <is>
          <t>LCM</t>
        </is>
      </c>
      <c r="N415" s="33" t="n">
        <v>100</v>
      </c>
      <c r="O415" s="33" t="inlineStr">
        <is>
          <t>Free</t>
        </is>
      </c>
      <c r="P415" s="33" t="inlineStr">
        <is>
          <t>100 Free</t>
        </is>
      </c>
      <c r="Q415" s="33" t="inlineStr">
        <is>
          <t>LCM_100_FREE</t>
        </is>
      </c>
      <c r="R415" s="36" t="n">
        <v>47.56</v>
      </c>
      <c r="S415" s="35">
        <f>IF(R415="","",IF(R415&gt;=60,INT(R415/60)&amp;":"&amp;TEXT(MOD(R415,60),"00.00"),TEXT(R415,"0.00")))</f>
        <v/>
      </c>
      <c r="T415" s="52">
        <f>IFERROR((G415-INDEX('01_Swimmers'!$E$5:$E$22,MATCH(B415,'01_Swimmers'!$A$5:$A$22,0)))/'00_Control'!$B$10,"")</f>
        <v/>
      </c>
      <c r="U415" s="35">
        <f>IF(T415="","",INT(T415))</f>
        <v/>
      </c>
      <c r="V415" s="33" t="inlineStr">
        <is>
          <t>YES</t>
        </is>
      </c>
      <c r="W415" s="33" t="inlineStr">
        <is>
          <t>YES</t>
        </is>
      </c>
      <c r="X415" s="33" t="inlineStr">
        <is>
          <t>NO</t>
        </is>
      </c>
      <c r="Y415" s="33" t="n">
        <v>11</v>
      </c>
      <c r="Z415" s="33" t="n">
        <v>4</v>
      </c>
      <c r="AA415" s="33" t="inlineStr"/>
      <c r="AB415" s="33" t="inlineStr">
        <is>
          <t>https://www.swimcloud.com/results/80059/event/107/?id=42875150#time42875150</t>
        </is>
      </c>
      <c r="AC415" s="33" t="inlineStr">
        <is>
          <t>SwimCloud API v6 2026-10-08</t>
        </is>
      </c>
      <c r="AD415" s="33" t="inlineStr">
        <is>
          <t>David Popovici|2021-07-06|LCM|100|Free|47.56|European Junior Championships|FIN|True</t>
        </is>
      </c>
      <c r="AE415" s="53">
        <f>G415+L415/1000+ROW()/1000000000</f>
        <v/>
      </c>
      <c r="AF415" s="35">
        <f>IF(C415&lt;&gt;"Grayson Coulter","",COUNTIFS($C$5:$C$2991,"Grayson Coulter",$Q$5:$Q$2991,Q415,$AE$5:$AE$2991,"&lt;="&amp;AE415,$R$5:$R$2991,"&lt;"&amp;R415))</f>
        <v/>
      </c>
      <c r="AG415" s="35">
        <f>IF(OR(C415&lt;&gt;"Grayson Coulter",G415&lt;'00_Control'!$B$7),"",--(AF415&lt;5))</f>
        <v/>
      </c>
      <c r="AH415" s="35">
        <f>IF(OR(C415&lt;&gt;"Grayson Coulter",G415&lt;'00_Control'!$B$7),"",--(AF415&lt;10))</f>
        <v/>
      </c>
      <c r="AI415" s="35">
        <f>IF(AND(C415="Grayson Coulter",G415&gt;='00_Control'!$B$7),"YES","NO")</f>
        <v/>
      </c>
      <c r="AJ415" s="33" t="inlineStr">
        <is>
          <t>OK</t>
        </is>
      </c>
    </row>
    <row r="416">
      <c r="A416" s="33" t="inlineStr">
        <is>
          <t>SM000412</t>
        </is>
      </c>
      <c r="B416" s="33" t="inlineStr">
        <is>
          <t>SW009</t>
        </is>
      </c>
      <c r="C416" s="33" t="inlineStr">
        <is>
          <t>David Popovici</t>
        </is>
      </c>
      <c r="D416" s="33" t="inlineStr">
        <is>
          <t>SwimCloud</t>
        </is>
      </c>
      <c r="E416" s="33" t="inlineStr">
        <is>
          <t>1405298</t>
        </is>
      </c>
      <c r="F416" s="33" t="inlineStr">
        <is>
          <t>42875137</t>
        </is>
      </c>
      <c r="G416" s="51" t="n">
        <v>44384</v>
      </c>
      <c r="H416" s="33" t="inlineStr">
        <is>
          <t>European Junior Championships</t>
        </is>
      </c>
      <c r="I416" s="33" t="inlineStr">
        <is>
          <t>80059</t>
        </is>
      </c>
      <c r="J416" s="33" t="inlineStr"/>
      <c r="K416" s="33" t="inlineStr">
        <is>
          <t>PRE</t>
        </is>
      </c>
      <c r="L416" s="35">
        <f>IF(K416="FIN",3,IF(OR(K416="SEM",K416="SEMI"),2,IF(OR(K416="PRE",K416="HEAT"),1,IF(V416="YES",4,2))))</f>
        <v/>
      </c>
      <c r="M416" s="33" t="inlineStr">
        <is>
          <t>LCM</t>
        </is>
      </c>
      <c r="N416" s="33" t="n">
        <v>100</v>
      </c>
      <c r="O416" s="33" t="inlineStr">
        <is>
          <t>Free</t>
        </is>
      </c>
      <c r="P416" s="33" t="inlineStr">
        <is>
          <t>100 Free</t>
        </is>
      </c>
      <c r="Q416" s="33" t="inlineStr">
        <is>
          <t>LCM_100_FREE</t>
        </is>
      </c>
      <c r="R416" s="36" t="n">
        <v>49.5</v>
      </c>
      <c r="S416" s="35">
        <f>IF(R416="","",IF(R416&gt;=60,INT(R416/60)&amp;":"&amp;TEXT(MOD(R416,60),"00.00"),TEXT(R416,"0.00")))</f>
        <v/>
      </c>
      <c r="T416" s="52">
        <f>IFERROR((G416-INDEX('01_Swimmers'!$E$5:$E$22,MATCH(B416,'01_Swimmers'!$A$5:$A$22,0)))/'00_Control'!$B$10,"")</f>
        <v/>
      </c>
      <c r="U416" s="35">
        <f>IF(T416="","",INT(T416))</f>
        <v/>
      </c>
      <c r="V416" s="33" t="inlineStr">
        <is>
          <t>NO</t>
        </is>
      </c>
      <c r="W416" s="33" t="inlineStr">
        <is>
          <t>YES</t>
        </is>
      </c>
      <c r="X416" s="33" t="inlineStr">
        <is>
          <t>NO</t>
        </is>
      </c>
      <c r="Y416" s="33" t="n">
        <v>9</v>
      </c>
      <c r="Z416" s="33" t="n">
        <v>4</v>
      </c>
      <c r="AA416" s="33" t="inlineStr">
        <is>
          <t>1</t>
        </is>
      </c>
      <c r="AB416" s="33" t="inlineStr">
        <is>
          <t>https://www.swimcloud.com/results/80059/event/10/?id=42875137#time42875137</t>
        </is>
      </c>
      <c r="AC416" s="33" t="inlineStr">
        <is>
          <t>SwimCloud API v6 2026-10-08</t>
        </is>
      </c>
      <c r="AD416" s="33" t="inlineStr">
        <is>
          <t>David Popovici|2021-07-07|LCM|100|Free|49.5|European Junior Championships|PRE|False</t>
        </is>
      </c>
      <c r="AE416" s="53">
        <f>G416+L416/1000+ROW()/1000000000</f>
        <v/>
      </c>
      <c r="AF416" s="35">
        <f>IF(C416&lt;&gt;"Grayson Coulter","",COUNTIFS($C$5:$C$2991,"Grayson Coulter",$Q$5:$Q$2991,Q416,$AE$5:$AE$2991,"&lt;="&amp;AE416,$R$5:$R$2991,"&lt;"&amp;R416))</f>
        <v/>
      </c>
      <c r="AG416" s="35">
        <f>IF(OR(C416&lt;&gt;"Grayson Coulter",G416&lt;'00_Control'!$B$7),"",--(AF416&lt;5))</f>
        <v/>
      </c>
      <c r="AH416" s="35">
        <f>IF(OR(C416&lt;&gt;"Grayson Coulter",G416&lt;'00_Control'!$B$7),"",--(AF416&lt;10))</f>
        <v/>
      </c>
      <c r="AI416" s="35">
        <f>IF(AND(C416="Grayson Coulter",G416&gt;='00_Control'!$B$7),"YES","NO")</f>
        <v/>
      </c>
      <c r="AJ416" s="33" t="inlineStr">
        <is>
          <t>OK</t>
        </is>
      </c>
    </row>
    <row r="417">
      <c r="A417" s="33" t="inlineStr">
        <is>
          <t>SM000413</t>
        </is>
      </c>
      <c r="B417" s="33" t="inlineStr">
        <is>
          <t>SW009</t>
        </is>
      </c>
      <c r="C417" s="33" t="inlineStr">
        <is>
          <t>David Popovici</t>
        </is>
      </c>
      <c r="D417" s="33" t="inlineStr">
        <is>
          <t>SwimCloud</t>
        </is>
      </c>
      <c r="E417" s="33" t="inlineStr">
        <is>
          <t>1405298</t>
        </is>
      </c>
      <c r="F417" s="33" t="inlineStr">
        <is>
          <t>42875138</t>
        </is>
      </c>
      <c r="G417" s="51" t="n">
        <v>44384</v>
      </c>
      <c r="H417" s="33" t="inlineStr">
        <is>
          <t>European Junior Championships</t>
        </is>
      </c>
      <c r="I417" s="33" t="inlineStr">
        <is>
          <t>80059</t>
        </is>
      </c>
      <c r="J417" s="33" t="inlineStr"/>
      <c r="K417" s="33" t="inlineStr">
        <is>
          <t>SEM</t>
        </is>
      </c>
      <c r="L417" s="35">
        <f>IF(K417="FIN",3,IF(OR(K417="SEM",K417="SEMI"),2,IF(OR(K417="PRE",K417="HEAT"),1,IF(V417="YES",4,2))))</f>
        <v/>
      </c>
      <c r="M417" s="33" t="inlineStr">
        <is>
          <t>LCM</t>
        </is>
      </c>
      <c r="N417" s="33" t="n">
        <v>100</v>
      </c>
      <c r="O417" s="33" t="inlineStr">
        <is>
          <t>Free</t>
        </is>
      </c>
      <c r="P417" s="33" t="inlineStr">
        <is>
          <t>100 Free</t>
        </is>
      </c>
      <c r="Q417" s="33" t="inlineStr">
        <is>
          <t>LCM_100_FREE</t>
        </is>
      </c>
      <c r="R417" s="36" t="n">
        <v>48.08</v>
      </c>
      <c r="S417" s="35">
        <f>IF(R417="","",IF(R417&gt;=60,INT(R417/60)&amp;":"&amp;TEXT(MOD(R417,60),"00.00"),TEXT(R417,"0.00")))</f>
        <v/>
      </c>
      <c r="T417" s="52">
        <f>IFERROR((G417-INDEX('01_Swimmers'!$E$5:$E$22,MATCH(B417,'01_Swimmers'!$A$5:$A$22,0)))/'00_Control'!$B$10,"")</f>
        <v/>
      </c>
      <c r="U417" s="35">
        <f>IF(T417="","",INT(T417))</f>
        <v/>
      </c>
      <c r="V417" s="33" t="inlineStr">
        <is>
          <t>NO</t>
        </is>
      </c>
      <c r="W417" s="33" t="inlineStr">
        <is>
          <t>YES</t>
        </is>
      </c>
      <c r="X417" s="33" t="inlineStr">
        <is>
          <t>NO</t>
        </is>
      </c>
      <c r="Y417" s="33" t="n">
        <v>2</v>
      </c>
      <c r="Z417" s="33" t="n">
        <v>4</v>
      </c>
      <c r="AA417" s="33" t="inlineStr">
        <is>
          <t>1</t>
        </is>
      </c>
      <c r="AB417" s="33" t="inlineStr">
        <is>
          <t>https://www.swimcloud.com/results/80059/event/210/?id=42875138#time42875138</t>
        </is>
      </c>
      <c r="AC417" s="33" t="inlineStr">
        <is>
          <t>SwimCloud API v6 2026-10-08</t>
        </is>
      </c>
      <c r="AD417" s="33" t="inlineStr">
        <is>
          <t>David Popovici|2021-07-07|LCM|100|Free|48.08|European Junior Championships|SEM|False</t>
        </is>
      </c>
      <c r="AE417" s="53">
        <f>G417+L417/1000+ROW()/1000000000</f>
        <v/>
      </c>
      <c r="AF417" s="35">
        <f>IF(C417&lt;&gt;"Grayson Coulter","",COUNTIFS($C$5:$C$2991,"Grayson Coulter",$Q$5:$Q$2991,Q417,$AE$5:$AE$2991,"&lt;="&amp;AE417,$R$5:$R$2991,"&lt;"&amp;R417))</f>
        <v/>
      </c>
      <c r="AG417" s="35">
        <f>IF(OR(C417&lt;&gt;"Grayson Coulter",G417&lt;'00_Control'!$B$7),"",--(AF417&lt;5))</f>
        <v/>
      </c>
      <c r="AH417" s="35">
        <f>IF(OR(C417&lt;&gt;"Grayson Coulter",G417&lt;'00_Control'!$B$7),"",--(AF417&lt;10))</f>
        <v/>
      </c>
      <c r="AI417" s="35">
        <f>IF(AND(C417="Grayson Coulter",G417&gt;='00_Control'!$B$7),"YES","NO")</f>
        <v/>
      </c>
      <c r="AJ417" s="33" t="inlineStr">
        <is>
          <t>OK</t>
        </is>
      </c>
    </row>
    <row r="418">
      <c r="A418" s="33" t="inlineStr">
        <is>
          <t>SM000414</t>
        </is>
      </c>
      <c r="B418" s="33" t="inlineStr">
        <is>
          <t>SW009</t>
        </is>
      </c>
      <c r="C418" s="33" t="inlineStr">
        <is>
          <t>David Popovici</t>
        </is>
      </c>
      <c r="D418" s="33" t="inlineStr">
        <is>
          <t>SwimCloud</t>
        </is>
      </c>
      <c r="E418" s="33" t="inlineStr">
        <is>
          <t>1405298</t>
        </is>
      </c>
      <c r="F418" s="33" t="inlineStr">
        <is>
          <t>42875139</t>
        </is>
      </c>
      <c r="G418" s="51" t="n">
        <v>44385</v>
      </c>
      <c r="H418" s="33" t="inlineStr">
        <is>
          <t>European Junior Championships</t>
        </is>
      </c>
      <c r="I418" s="33" t="inlineStr">
        <is>
          <t>80059</t>
        </is>
      </c>
      <c r="J418" s="33" t="inlineStr"/>
      <c r="K418" s="33" t="inlineStr">
        <is>
          <t>FIN</t>
        </is>
      </c>
      <c r="L418" s="35">
        <f>IF(K418="FIN",3,IF(OR(K418="SEM",K418="SEMI"),2,IF(OR(K418="PRE",K418="HEAT"),1,IF(V418="YES",4,2))))</f>
        <v/>
      </c>
      <c r="M418" s="33" t="inlineStr">
        <is>
          <t>LCM</t>
        </is>
      </c>
      <c r="N418" s="33" t="n">
        <v>100</v>
      </c>
      <c r="O418" s="33" t="inlineStr">
        <is>
          <t>Free</t>
        </is>
      </c>
      <c r="P418" s="33" t="inlineStr">
        <is>
          <t>100 Free</t>
        </is>
      </c>
      <c r="Q418" s="33" t="inlineStr">
        <is>
          <t>LCM_100_FREE</t>
        </is>
      </c>
      <c r="R418" s="36" t="n">
        <v>47.3</v>
      </c>
      <c r="S418" s="35">
        <f>IF(R418="","",IF(R418&gt;=60,INT(R418/60)&amp;":"&amp;TEXT(MOD(R418,60),"00.00"),TEXT(R418,"0.00")))</f>
        <v/>
      </c>
      <c r="T418" s="52">
        <f>IFERROR((G418-INDEX('01_Swimmers'!$E$5:$E$22,MATCH(B418,'01_Swimmers'!$A$5:$A$22,0)))/'00_Control'!$B$10,"")</f>
        <v/>
      </c>
      <c r="U418" s="35">
        <f>IF(T418="","",INT(T418))</f>
        <v/>
      </c>
      <c r="V418" s="33" t="inlineStr">
        <is>
          <t>NO</t>
        </is>
      </c>
      <c r="W418" s="33" t="inlineStr">
        <is>
          <t>YES</t>
        </is>
      </c>
      <c r="X418" s="33" t="inlineStr">
        <is>
          <t>NO</t>
        </is>
      </c>
      <c r="Y418" s="33" t="n">
        <v>15</v>
      </c>
      <c r="Z418" s="33" t="n">
        <v>4</v>
      </c>
      <c r="AA418" s="33" t="inlineStr">
        <is>
          <t>1</t>
        </is>
      </c>
      <c r="AB418" s="33" t="inlineStr">
        <is>
          <t>https://www.swimcloud.com/results/80059/event/110/?id=42875139#time42875139</t>
        </is>
      </c>
      <c r="AC418" s="33" t="inlineStr">
        <is>
          <t>SwimCloud API v6 2026-10-08</t>
        </is>
      </c>
      <c r="AD418" s="33" t="inlineStr">
        <is>
          <t>David Popovici|2021-07-08|LCM|100|Free|47.3|European Junior Championships|FIN|False</t>
        </is>
      </c>
      <c r="AE418" s="53">
        <f>G418+L418/1000+ROW()/1000000000</f>
        <v/>
      </c>
      <c r="AF418" s="35">
        <f>IF(C418&lt;&gt;"Grayson Coulter","",COUNTIFS($C$5:$C$2991,"Grayson Coulter",$Q$5:$Q$2991,Q418,$AE$5:$AE$2991,"&lt;="&amp;AE418,$R$5:$R$2991,"&lt;"&amp;R418))</f>
        <v/>
      </c>
      <c r="AG418" s="35">
        <f>IF(OR(C418&lt;&gt;"Grayson Coulter",G418&lt;'00_Control'!$B$7),"",--(AF418&lt;5))</f>
        <v/>
      </c>
      <c r="AH418" s="35">
        <f>IF(OR(C418&lt;&gt;"Grayson Coulter",G418&lt;'00_Control'!$B$7),"",--(AF418&lt;10))</f>
        <v/>
      </c>
      <c r="AI418" s="35">
        <f>IF(AND(C418="Grayson Coulter",G418&gt;='00_Control'!$B$7),"YES","NO")</f>
        <v/>
      </c>
      <c r="AJ418" s="33" t="inlineStr">
        <is>
          <t>OK</t>
        </is>
      </c>
    </row>
    <row r="419">
      <c r="A419" s="33" t="inlineStr">
        <is>
          <t>SM000415</t>
        </is>
      </c>
      <c r="B419" s="33" t="inlineStr">
        <is>
          <t>SW009</t>
        </is>
      </c>
      <c r="C419" s="33" t="inlineStr">
        <is>
          <t>David Popovici</t>
        </is>
      </c>
      <c r="D419" s="33" t="inlineStr">
        <is>
          <t>SwimCloud</t>
        </is>
      </c>
      <c r="E419" s="33" t="inlineStr">
        <is>
          <t>1405298</t>
        </is>
      </c>
      <c r="F419" s="33" t="inlineStr">
        <is>
          <t>42875140</t>
        </is>
      </c>
      <c r="G419" s="51" t="n">
        <v>44386</v>
      </c>
      <c r="H419" s="33" t="inlineStr">
        <is>
          <t>European Junior Championships</t>
        </is>
      </c>
      <c r="I419" s="33" t="inlineStr">
        <is>
          <t>80059</t>
        </is>
      </c>
      <c r="J419" s="33" t="inlineStr"/>
      <c r="K419" s="33" t="inlineStr">
        <is>
          <t>PRE</t>
        </is>
      </c>
      <c r="L419" s="35">
        <f>IF(K419="FIN",3,IF(OR(K419="SEM",K419="SEMI"),2,IF(OR(K419="PRE",K419="HEAT"),1,IF(V419="YES",4,2))))</f>
        <v/>
      </c>
      <c r="M419" s="33" t="inlineStr">
        <is>
          <t>LCM</t>
        </is>
      </c>
      <c r="N419" s="33" t="n">
        <v>200</v>
      </c>
      <c r="O419" s="33" t="inlineStr">
        <is>
          <t>Free</t>
        </is>
      </c>
      <c r="P419" s="33" t="inlineStr">
        <is>
          <t>200 Free</t>
        </is>
      </c>
      <c r="Q419" s="33" t="inlineStr">
        <is>
          <t>LCM_200_FREE</t>
        </is>
      </c>
      <c r="R419" s="36" t="n">
        <v>110.01</v>
      </c>
      <c r="S419" s="35">
        <f>IF(R419="","",IF(R419&gt;=60,INT(R419/60)&amp;":"&amp;TEXT(MOD(R419,60),"00.00"),TEXT(R419,"0.00")))</f>
        <v/>
      </c>
      <c r="T419" s="52">
        <f>IFERROR((G419-INDEX('01_Swimmers'!$E$5:$E$22,MATCH(B419,'01_Swimmers'!$A$5:$A$22,0)))/'00_Control'!$B$10,"")</f>
        <v/>
      </c>
      <c r="U419" s="35">
        <f>IF(T419="","",INT(T419))</f>
        <v/>
      </c>
      <c r="V419" s="33" t="inlineStr">
        <is>
          <t>NO</t>
        </is>
      </c>
      <c r="W419" s="33" t="inlineStr">
        <is>
          <t>YES</t>
        </is>
      </c>
      <c r="X419" s="33" t="inlineStr">
        <is>
          <t>NO</t>
        </is>
      </c>
      <c r="Y419" s="33" t="n">
        <v>13</v>
      </c>
      <c r="Z419" s="33" t="n">
        <v>4</v>
      </c>
      <c r="AA419" s="33" t="inlineStr">
        <is>
          <t>3</t>
        </is>
      </c>
      <c r="AB419" s="33" t="inlineStr">
        <is>
          <t>https://www.swimcloud.com/results/80059/event/24/?id=42875140#time42875140</t>
        </is>
      </c>
      <c r="AC419" s="33" t="inlineStr">
        <is>
          <t>SwimCloud API v6 2026-10-08</t>
        </is>
      </c>
      <c r="AD419" s="33" t="inlineStr">
        <is>
          <t>David Popovici|2021-07-09|LCM|200|Free|110.01|European Junior Championships|PRE|False</t>
        </is>
      </c>
      <c r="AE419" s="53">
        <f>G419+L419/1000+ROW()/1000000000</f>
        <v/>
      </c>
      <c r="AF419" s="35">
        <f>IF(C419&lt;&gt;"Grayson Coulter","",COUNTIFS($C$5:$C$2991,"Grayson Coulter",$Q$5:$Q$2991,Q419,$AE$5:$AE$2991,"&lt;="&amp;AE419,$R$5:$R$2991,"&lt;"&amp;R419))</f>
        <v/>
      </c>
      <c r="AG419" s="35">
        <f>IF(OR(C419&lt;&gt;"Grayson Coulter",G419&lt;'00_Control'!$B$7),"",--(AF419&lt;5))</f>
        <v/>
      </c>
      <c r="AH419" s="35">
        <f>IF(OR(C419&lt;&gt;"Grayson Coulter",G419&lt;'00_Control'!$B$7),"",--(AF419&lt;10))</f>
        <v/>
      </c>
      <c r="AI419" s="35">
        <f>IF(AND(C419="Grayson Coulter",G419&gt;='00_Control'!$B$7),"YES","NO")</f>
        <v/>
      </c>
      <c r="AJ419" s="33" t="inlineStr">
        <is>
          <t>OK</t>
        </is>
      </c>
    </row>
    <row r="420">
      <c r="A420" s="33" t="inlineStr">
        <is>
          <t>SM000416</t>
        </is>
      </c>
      <c r="B420" s="33" t="inlineStr">
        <is>
          <t>SW009</t>
        </is>
      </c>
      <c r="C420" s="33" t="inlineStr">
        <is>
          <t>David Popovici</t>
        </is>
      </c>
      <c r="D420" s="33" t="inlineStr">
        <is>
          <t>SwimCloud</t>
        </is>
      </c>
      <c r="E420" s="33" t="inlineStr">
        <is>
          <t>1405298</t>
        </is>
      </c>
      <c r="F420" s="33" t="inlineStr">
        <is>
          <t>42875141</t>
        </is>
      </c>
      <c r="G420" s="51" t="n">
        <v>44386</v>
      </c>
      <c r="H420" s="33" t="inlineStr">
        <is>
          <t>European Junior Championships</t>
        </is>
      </c>
      <c r="I420" s="33" t="inlineStr">
        <is>
          <t>80059</t>
        </is>
      </c>
      <c r="J420" s="33" t="inlineStr"/>
      <c r="K420" s="33" t="inlineStr">
        <is>
          <t>SEM</t>
        </is>
      </c>
      <c r="L420" s="35">
        <f>IF(K420="FIN",3,IF(OR(K420="SEM",K420="SEMI"),2,IF(OR(K420="PRE",K420="HEAT"),1,IF(V420="YES",4,2))))</f>
        <v/>
      </c>
      <c r="M420" s="33" t="inlineStr">
        <is>
          <t>LCM</t>
        </is>
      </c>
      <c r="N420" s="33" t="n">
        <v>200</v>
      </c>
      <c r="O420" s="33" t="inlineStr">
        <is>
          <t>Free</t>
        </is>
      </c>
      <c r="P420" s="33" t="inlineStr">
        <is>
          <t>200 Free</t>
        </is>
      </c>
      <c r="Q420" s="33" t="inlineStr">
        <is>
          <t>LCM_200_FREE</t>
        </is>
      </c>
      <c r="R420" s="36" t="n">
        <v>105.26</v>
      </c>
      <c r="S420" s="35">
        <f>IF(R420="","",IF(R420&gt;=60,INT(R420/60)&amp;":"&amp;TEXT(MOD(R420,60),"00.00"),TEXT(R420,"0.00")))</f>
        <v/>
      </c>
      <c r="T420" s="52">
        <f>IFERROR((G420-INDEX('01_Swimmers'!$E$5:$E$22,MATCH(B420,'01_Swimmers'!$A$5:$A$22,0)))/'00_Control'!$B$10,"")</f>
        <v/>
      </c>
      <c r="U420" s="35">
        <f>IF(T420="","",INT(T420))</f>
        <v/>
      </c>
      <c r="V420" s="33" t="inlineStr">
        <is>
          <t>NO</t>
        </is>
      </c>
      <c r="W420" s="33" t="inlineStr">
        <is>
          <t>YES</t>
        </is>
      </c>
      <c r="X420" s="33" t="inlineStr">
        <is>
          <t>NO</t>
        </is>
      </c>
      <c r="Y420" s="33" t="n">
        <v>3</v>
      </c>
      <c r="Z420" s="33" t="n">
        <v>5</v>
      </c>
      <c r="AA420" s="33" t="inlineStr">
        <is>
          <t>1</t>
        </is>
      </c>
      <c r="AB420" s="33" t="inlineStr">
        <is>
          <t>https://www.swimcloud.com/results/80059/event/224/?id=42875141#time42875141</t>
        </is>
      </c>
      <c r="AC420" s="33" t="inlineStr">
        <is>
          <t>SwimCloud API v6 2026-10-08</t>
        </is>
      </c>
      <c r="AD420" s="33" t="inlineStr">
        <is>
          <t>David Popovici|2021-07-09|LCM|200|Free|105.26|European Junior Championships|SEM|False</t>
        </is>
      </c>
      <c r="AE420" s="53">
        <f>G420+L420/1000+ROW()/1000000000</f>
        <v/>
      </c>
      <c r="AF420" s="35">
        <f>IF(C420&lt;&gt;"Grayson Coulter","",COUNTIFS($C$5:$C$2991,"Grayson Coulter",$Q$5:$Q$2991,Q420,$AE$5:$AE$2991,"&lt;="&amp;AE420,$R$5:$R$2991,"&lt;"&amp;R420))</f>
        <v/>
      </c>
      <c r="AG420" s="35">
        <f>IF(OR(C420&lt;&gt;"Grayson Coulter",G420&lt;'00_Control'!$B$7),"",--(AF420&lt;5))</f>
        <v/>
      </c>
      <c r="AH420" s="35">
        <f>IF(OR(C420&lt;&gt;"Grayson Coulter",G420&lt;'00_Control'!$B$7),"",--(AF420&lt;10))</f>
        <v/>
      </c>
      <c r="AI420" s="35">
        <f>IF(AND(C420="Grayson Coulter",G420&gt;='00_Control'!$B$7),"YES","NO")</f>
        <v/>
      </c>
      <c r="AJ420" s="33" t="inlineStr">
        <is>
          <t>OK</t>
        </is>
      </c>
    </row>
    <row r="421">
      <c r="A421" s="33" t="inlineStr">
        <is>
          <t>SM000417</t>
        </is>
      </c>
      <c r="B421" s="33" t="inlineStr">
        <is>
          <t>SW009</t>
        </is>
      </c>
      <c r="C421" s="33" t="inlineStr">
        <is>
          <t>David Popovici</t>
        </is>
      </c>
      <c r="D421" s="33" t="inlineStr">
        <is>
          <t>SwimCloud</t>
        </is>
      </c>
      <c r="E421" s="33" t="inlineStr">
        <is>
          <t>1405298</t>
        </is>
      </c>
      <c r="F421" s="33" t="inlineStr">
        <is>
          <t>42875142</t>
        </is>
      </c>
      <c r="G421" s="51" t="n">
        <v>44387</v>
      </c>
      <c r="H421" s="33" t="inlineStr">
        <is>
          <t>European Junior Championships</t>
        </is>
      </c>
      <c r="I421" s="33" t="inlineStr">
        <is>
          <t>80059</t>
        </is>
      </c>
      <c r="J421" s="33" t="inlineStr"/>
      <c r="K421" s="33" t="inlineStr">
        <is>
          <t>FIN</t>
        </is>
      </c>
      <c r="L421" s="35">
        <f>IF(K421="FIN",3,IF(OR(K421="SEM",K421="SEMI"),2,IF(OR(K421="PRE",K421="HEAT"),1,IF(V421="YES",4,2))))</f>
        <v/>
      </c>
      <c r="M421" s="33" t="inlineStr">
        <is>
          <t>LCM</t>
        </is>
      </c>
      <c r="N421" s="33" t="n">
        <v>200</v>
      </c>
      <c r="O421" s="33" t="inlineStr">
        <is>
          <t>Free</t>
        </is>
      </c>
      <c r="P421" s="33" t="inlineStr">
        <is>
          <t>200 Free</t>
        </is>
      </c>
      <c r="Q421" s="33" t="inlineStr">
        <is>
          <t>LCM_200_FREE</t>
        </is>
      </c>
      <c r="R421" s="36" t="n">
        <v>105.95</v>
      </c>
      <c r="S421" s="35">
        <f>IF(R421="","",IF(R421&gt;=60,INT(R421/60)&amp;":"&amp;TEXT(MOD(R421,60),"00.00"),TEXT(R421,"0.00")))</f>
        <v/>
      </c>
      <c r="T421" s="52">
        <f>IFERROR((G421-INDEX('01_Swimmers'!$E$5:$E$22,MATCH(B421,'01_Swimmers'!$A$5:$A$22,0)))/'00_Control'!$B$10,"")</f>
        <v/>
      </c>
      <c r="U421" s="35">
        <f>IF(T421="","",INT(T421))</f>
        <v/>
      </c>
      <c r="V421" s="33" t="inlineStr">
        <is>
          <t>NO</t>
        </is>
      </c>
      <c r="W421" s="33" t="inlineStr">
        <is>
          <t>YES</t>
        </is>
      </c>
      <c r="X421" s="33" t="inlineStr">
        <is>
          <t>NO</t>
        </is>
      </c>
      <c r="Y421" s="33" t="n">
        <v>15</v>
      </c>
      <c r="Z421" s="33" t="n">
        <v>4</v>
      </c>
      <c r="AA421" s="33" t="inlineStr">
        <is>
          <t>1</t>
        </is>
      </c>
      <c r="AB421" s="33" t="inlineStr">
        <is>
          <t>https://www.swimcloud.com/results/80059/event/124/?id=42875142#time42875142</t>
        </is>
      </c>
      <c r="AC421" s="33" t="inlineStr">
        <is>
          <t>SwimCloud API v6 2026-10-08</t>
        </is>
      </c>
      <c r="AD421" s="33" t="inlineStr">
        <is>
          <t>David Popovici|2021-07-10|LCM|200|Free|105.95|European Junior Championships|FIN|False</t>
        </is>
      </c>
      <c r="AE421" s="53">
        <f>G421+L421/1000+ROW()/1000000000</f>
        <v/>
      </c>
      <c r="AF421" s="35">
        <f>IF(C421&lt;&gt;"Grayson Coulter","",COUNTIFS($C$5:$C$2991,"Grayson Coulter",$Q$5:$Q$2991,Q421,$AE$5:$AE$2991,"&lt;="&amp;AE421,$R$5:$R$2991,"&lt;"&amp;R421))</f>
        <v/>
      </c>
      <c r="AG421" s="35">
        <f>IF(OR(C421&lt;&gt;"Grayson Coulter",G421&lt;'00_Control'!$B$7),"",--(AF421&lt;5))</f>
        <v/>
      </c>
      <c r="AH421" s="35">
        <f>IF(OR(C421&lt;&gt;"Grayson Coulter",G421&lt;'00_Control'!$B$7),"",--(AF421&lt;10))</f>
        <v/>
      </c>
      <c r="AI421" s="35">
        <f>IF(AND(C421="Grayson Coulter",G421&gt;='00_Control'!$B$7),"YES","NO")</f>
        <v/>
      </c>
      <c r="AJ421" s="33" t="inlineStr">
        <is>
          <t>OK</t>
        </is>
      </c>
    </row>
    <row r="422">
      <c r="A422" s="33" t="inlineStr">
        <is>
          <t>SM000418</t>
        </is>
      </c>
      <c r="B422" s="33" t="inlineStr">
        <is>
          <t>SW009</t>
        </is>
      </c>
      <c r="C422" s="33" t="inlineStr">
        <is>
          <t>David Popovici</t>
        </is>
      </c>
      <c r="D422" s="33" t="inlineStr">
        <is>
          <t>SwimCloud</t>
        </is>
      </c>
      <c r="E422" s="33" t="inlineStr">
        <is>
          <t>1405298</t>
        </is>
      </c>
      <c r="F422" s="33" t="inlineStr">
        <is>
          <t>43395933</t>
        </is>
      </c>
      <c r="G422" s="51" t="n">
        <v>44401</v>
      </c>
      <c r="H422" s="33" t="inlineStr">
        <is>
          <t>Olympic Games</t>
        </is>
      </c>
      <c r="I422" s="33" t="inlineStr">
        <is>
          <t>130521</t>
        </is>
      </c>
      <c r="J422" s="33" t="inlineStr"/>
      <c r="K422" s="33" t="inlineStr">
        <is>
          <t>PRE</t>
        </is>
      </c>
      <c r="L422" s="35">
        <f>IF(K422="FIN",3,IF(OR(K422="SEM",K422="SEMI"),2,IF(OR(K422="PRE",K422="HEAT"),1,IF(V422="YES",4,2))))</f>
        <v/>
      </c>
      <c r="M422" s="33" t="inlineStr">
        <is>
          <t>LCM</t>
        </is>
      </c>
      <c r="N422" s="33" t="n">
        <v>100</v>
      </c>
      <c r="O422" s="33" t="inlineStr">
        <is>
          <t>Free</t>
        </is>
      </c>
      <c r="P422" s="33" t="inlineStr">
        <is>
          <t>100 Free</t>
        </is>
      </c>
      <c r="Q422" s="33" t="inlineStr">
        <is>
          <t>LCM_100_FREE</t>
        </is>
      </c>
      <c r="R422" s="36" t="n">
        <v>48.03</v>
      </c>
      <c r="S422" s="35">
        <f>IF(R422="","",IF(R422&gt;=60,INT(R422/60)&amp;":"&amp;TEXT(MOD(R422,60),"00.00"),TEXT(R422,"0.00")))</f>
        <v/>
      </c>
      <c r="T422" s="52">
        <f>IFERROR((G422-INDEX('01_Swimmers'!$E$5:$E$22,MATCH(B422,'01_Swimmers'!$A$5:$A$22,0)))/'00_Control'!$B$10,"")</f>
        <v/>
      </c>
      <c r="U422" s="35">
        <f>IF(T422="","",INT(T422))</f>
        <v/>
      </c>
      <c r="V422" s="33" t="inlineStr">
        <is>
          <t>NO</t>
        </is>
      </c>
      <c r="W422" s="33" t="inlineStr">
        <is>
          <t>YES</t>
        </is>
      </c>
      <c r="X422" s="33" t="inlineStr">
        <is>
          <t>NO</t>
        </is>
      </c>
      <c r="Y422" s="33" t="n">
        <v>9</v>
      </c>
      <c r="Z422" s="33" t="n">
        <v>6</v>
      </c>
      <c r="AA422" s="33" t="inlineStr">
        <is>
          <t>8</t>
        </is>
      </c>
      <c r="AB422" s="33" t="inlineStr">
        <is>
          <t>https://www.swimcloud.com/results/130521/event/71/?id=43395933#time43395933</t>
        </is>
      </c>
      <c r="AC422" s="33" t="inlineStr">
        <is>
          <t>SwimCloud API v6 2026-10-08</t>
        </is>
      </c>
      <c r="AD422" s="33" t="inlineStr">
        <is>
          <t>David Popovici|2021-07-24|LCM|100|Free|48.03|Olympic Games|PRE|False</t>
        </is>
      </c>
      <c r="AE422" s="53">
        <f>G422+L422/1000+ROW()/1000000000</f>
        <v/>
      </c>
      <c r="AF422" s="35">
        <f>IF(C422&lt;&gt;"Grayson Coulter","",COUNTIFS($C$5:$C$2991,"Grayson Coulter",$Q$5:$Q$2991,Q422,$AE$5:$AE$2991,"&lt;="&amp;AE422,$R$5:$R$2991,"&lt;"&amp;R422))</f>
        <v/>
      </c>
      <c r="AG422" s="35">
        <f>IF(OR(C422&lt;&gt;"Grayson Coulter",G422&lt;'00_Control'!$B$7),"",--(AF422&lt;5))</f>
        <v/>
      </c>
      <c r="AH422" s="35">
        <f>IF(OR(C422&lt;&gt;"Grayson Coulter",G422&lt;'00_Control'!$B$7),"",--(AF422&lt;10))</f>
        <v/>
      </c>
      <c r="AI422" s="35">
        <f>IF(AND(C422="Grayson Coulter",G422&gt;='00_Control'!$B$7),"YES","NO")</f>
        <v/>
      </c>
      <c r="AJ422" s="33" t="inlineStr">
        <is>
          <t>OK</t>
        </is>
      </c>
    </row>
    <row r="423">
      <c r="A423" s="33" t="inlineStr">
        <is>
          <t>SM000419</t>
        </is>
      </c>
      <c r="B423" s="33" t="inlineStr">
        <is>
          <t>SW009</t>
        </is>
      </c>
      <c r="C423" s="33" t="inlineStr">
        <is>
          <t>David Popovici</t>
        </is>
      </c>
      <c r="D423" s="33" t="inlineStr">
        <is>
          <t>SwimCloud</t>
        </is>
      </c>
      <c r="E423" s="33" t="inlineStr">
        <is>
          <t>1405298</t>
        </is>
      </c>
      <c r="F423" s="33" t="inlineStr">
        <is>
          <t>43395954</t>
        </is>
      </c>
      <c r="G423" s="51" t="n">
        <v>44401</v>
      </c>
      <c r="H423" s="33" t="inlineStr">
        <is>
          <t>Olympic Games</t>
        </is>
      </c>
      <c r="I423" s="33" t="inlineStr">
        <is>
          <t>130521</t>
        </is>
      </c>
      <c r="J423" s="33" t="inlineStr"/>
      <c r="K423" s="33" t="inlineStr">
        <is>
          <t>SEM</t>
        </is>
      </c>
      <c r="L423" s="35">
        <f>IF(K423="FIN",3,IF(OR(K423="SEM",K423="SEMI"),2,IF(OR(K423="PRE",K423="HEAT"),1,IF(V423="YES",4,2))))</f>
        <v/>
      </c>
      <c r="M423" s="33" t="inlineStr">
        <is>
          <t>LCM</t>
        </is>
      </c>
      <c r="N423" s="33" t="n">
        <v>100</v>
      </c>
      <c r="O423" s="33" t="inlineStr">
        <is>
          <t>Free</t>
        </is>
      </c>
      <c r="P423" s="33" t="inlineStr">
        <is>
          <t>100 Free</t>
        </is>
      </c>
      <c r="Q423" s="33" t="inlineStr">
        <is>
          <t>LCM_100_FREE</t>
        </is>
      </c>
      <c r="R423" s="36" t="n">
        <v>47.72</v>
      </c>
      <c r="S423" s="35">
        <f>IF(R423="","",IF(R423&gt;=60,INT(R423/60)&amp;":"&amp;TEXT(MOD(R423,60),"00.00"),TEXT(R423,"0.00")))</f>
        <v/>
      </c>
      <c r="T423" s="52">
        <f>IFERROR((G423-INDEX('01_Swimmers'!$E$5:$E$22,MATCH(B423,'01_Swimmers'!$A$5:$A$22,0)))/'00_Control'!$B$10,"")</f>
        <v/>
      </c>
      <c r="U423" s="35">
        <f>IF(T423="","",INT(T423))</f>
        <v/>
      </c>
      <c r="V423" s="33" t="inlineStr">
        <is>
          <t>NO</t>
        </is>
      </c>
      <c r="W423" s="33" t="inlineStr">
        <is>
          <t>YES</t>
        </is>
      </c>
      <c r="X423" s="33" t="inlineStr">
        <is>
          <t>NO</t>
        </is>
      </c>
      <c r="Y423" s="33" t="n">
        <v>2</v>
      </c>
      <c r="Z423" s="33" t="n">
        <v>8</v>
      </c>
      <c r="AA423" s="33" t="inlineStr">
        <is>
          <t>5</t>
        </is>
      </c>
      <c r="AB423" s="33" t="inlineStr">
        <is>
          <t>https://www.swimcloud.com/results/130521/event/71/?id=43395954#time43395954</t>
        </is>
      </c>
      <c r="AC423" s="33" t="inlineStr">
        <is>
          <t>SwimCloud API v6 2026-10-08</t>
        </is>
      </c>
      <c r="AD423" s="33" t="inlineStr">
        <is>
          <t>David Popovici|2021-07-24|LCM|100|Free|47.72|Olympic Games|SEM|False</t>
        </is>
      </c>
      <c r="AE423" s="53">
        <f>G423+L423/1000+ROW()/1000000000</f>
        <v/>
      </c>
      <c r="AF423" s="35">
        <f>IF(C423&lt;&gt;"Grayson Coulter","",COUNTIFS($C$5:$C$2991,"Grayson Coulter",$Q$5:$Q$2991,Q423,$AE$5:$AE$2991,"&lt;="&amp;AE423,$R$5:$R$2991,"&lt;"&amp;R423))</f>
        <v/>
      </c>
      <c r="AG423" s="35">
        <f>IF(OR(C423&lt;&gt;"Grayson Coulter",G423&lt;'00_Control'!$B$7),"",--(AF423&lt;5))</f>
        <v/>
      </c>
      <c r="AH423" s="35">
        <f>IF(OR(C423&lt;&gt;"Grayson Coulter",G423&lt;'00_Control'!$B$7),"",--(AF423&lt;10))</f>
        <v/>
      </c>
      <c r="AI423" s="35">
        <f>IF(AND(C423="Grayson Coulter",G423&gt;='00_Control'!$B$7),"YES","NO")</f>
        <v/>
      </c>
      <c r="AJ423" s="33" t="inlineStr">
        <is>
          <t>OK</t>
        </is>
      </c>
    </row>
    <row r="424">
      <c r="A424" s="33" t="inlineStr">
        <is>
          <t>SM000420</t>
        </is>
      </c>
      <c r="B424" s="33" t="inlineStr">
        <is>
          <t>SW009</t>
        </is>
      </c>
      <c r="C424" s="33" t="inlineStr">
        <is>
          <t>David Popovici</t>
        </is>
      </c>
      <c r="D424" s="33" t="inlineStr">
        <is>
          <t>SwimCloud</t>
        </is>
      </c>
      <c r="E424" s="33" t="inlineStr">
        <is>
          <t>1405298</t>
        </is>
      </c>
      <c r="F424" s="33" t="inlineStr">
        <is>
          <t>43395970</t>
        </is>
      </c>
      <c r="G424" s="51" t="n">
        <v>44401</v>
      </c>
      <c r="H424" s="33" t="inlineStr">
        <is>
          <t>Olympic Games</t>
        </is>
      </c>
      <c r="I424" s="33" t="inlineStr">
        <is>
          <t>130521</t>
        </is>
      </c>
      <c r="J424" s="33" t="inlineStr"/>
      <c r="K424" s="33" t="inlineStr">
        <is>
          <t>FIN</t>
        </is>
      </c>
      <c r="L424" s="35">
        <f>IF(K424="FIN",3,IF(OR(K424="SEM",K424="SEMI"),2,IF(OR(K424="PRE",K424="HEAT"),1,IF(V424="YES",4,2))))</f>
        <v/>
      </c>
      <c r="M424" s="33" t="inlineStr">
        <is>
          <t>LCM</t>
        </is>
      </c>
      <c r="N424" s="33" t="n">
        <v>100</v>
      </c>
      <c r="O424" s="33" t="inlineStr">
        <is>
          <t>Free</t>
        </is>
      </c>
      <c r="P424" s="33" t="inlineStr">
        <is>
          <t>100 Free</t>
        </is>
      </c>
      <c r="Q424" s="33" t="inlineStr">
        <is>
          <t>LCM_100_FREE</t>
        </is>
      </c>
      <c r="R424" s="36" t="n">
        <v>48.04</v>
      </c>
      <c r="S424" s="35">
        <f>IF(R424="","",IF(R424&gt;=60,INT(R424/60)&amp;":"&amp;TEXT(MOD(R424,60),"00.00"),TEXT(R424,"0.00")))</f>
        <v/>
      </c>
      <c r="T424" s="52">
        <f>IFERROR((G424-INDEX('01_Swimmers'!$E$5:$E$22,MATCH(B424,'01_Swimmers'!$A$5:$A$22,0)))/'00_Control'!$B$10,"")</f>
        <v/>
      </c>
      <c r="U424" s="35">
        <f>IF(T424="","",INT(T424))</f>
        <v/>
      </c>
      <c r="V424" s="33" t="inlineStr">
        <is>
          <t>NO</t>
        </is>
      </c>
      <c r="W424" s="33" t="inlineStr">
        <is>
          <t>YES</t>
        </is>
      </c>
      <c r="X424" s="33" t="inlineStr">
        <is>
          <t>NO</t>
        </is>
      </c>
      <c r="Y424" s="33" t="n">
        <v>2</v>
      </c>
      <c r="Z424" s="33" t="n">
        <v>2</v>
      </c>
      <c r="AA424" s="33" t="inlineStr">
        <is>
          <t>7</t>
        </is>
      </c>
      <c r="AB424" s="33" t="inlineStr">
        <is>
          <t>https://www.swimcloud.com/results/130521/event/71/?id=43395970#time43395970</t>
        </is>
      </c>
      <c r="AC424" s="33" t="inlineStr">
        <is>
          <t>SwimCloud API v6 2026-10-08</t>
        </is>
      </c>
      <c r="AD424" s="33" t="inlineStr">
        <is>
          <t>David Popovici|2021-07-24|LCM|100|Free|48.04|Olympic Games|FIN|False</t>
        </is>
      </c>
      <c r="AE424" s="53">
        <f>G424+L424/1000+ROW()/1000000000</f>
        <v/>
      </c>
      <c r="AF424" s="35">
        <f>IF(C424&lt;&gt;"Grayson Coulter","",COUNTIFS($C$5:$C$2991,"Grayson Coulter",$Q$5:$Q$2991,Q424,$AE$5:$AE$2991,"&lt;="&amp;AE424,$R$5:$R$2991,"&lt;"&amp;R424))</f>
        <v/>
      </c>
      <c r="AG424" s="35">
        <f>IF(OR(C424&lt;&gt;"Grayson Coulter",G424&lt;'00_Control'!$B$7),"",--(AF424&lt;5))</f>
        <v/>
      </c>
      <c r="AH424" s="35">
        <f>IF(OR(C424&lt;&gt;"Grayson Coulter",G424&lt;'00_Control'!$B$7),"",--(AF424&lt;10))</f>
        <v/>
      </c>
      <c r="AI424" s="35">
        <f>IF(AND(C424="Grayson Coulter",G424&gt;='00_Control'!$B$7),"YES","NO")</f>
        <v/>
      </c>
      <c r="AJ424" s="33" t="inlineStr">
        <is>
          <t>OK</t>
        </is>
      </c>
    </row>
    <row r="425">
      <c r="A425" s="33" t="inlineStr">
        <is>
          <t>SM000421</t>
        </is>
      </c>
      <c r="B425" s="33" t="inlineStr">
        <is>
          <t>SW009</t>
        </is>
      </c>
      <c r="C425" s="33" t="inlineStr">
        <is>
          <t>David Popovici</t>
        </is>
      </c>
      <c r="D425" s="33" t="inlineStr">
        <is>
          <t>SwimCloud</t>
        </is>
      </c>
      <c r="E425" s="33" t="inlineStr">
        <is>
          <t>1405298</t>
        </is>
      </c>
      <c r="F425" s="33" t="inlineStr">
        <is>
          <t>43347270</t>
        </is>
      </c>
      <c r="G425" s="51" t="n">
        <v>44401</v>
      </c>
      <c r="H425" s="33" t="inlineStr">
        <is>
          <t>Olympic Games</t>
        </is>
      </c>
      <c r="I425" s="33" t="inlineStr">
        <is>
          <t>130521</t>
        </is>
      </c>
      <c r="J425" s="33" t="inlineStr"/>
      <c r="K425" s="33" t="inlineStr">
        <is>
          <t>PRE</t>
        </is>
      </c>
      <c r="L425" s="35">
        <f>IF(K425="FIN",3,IF(OR(K425="SEM",K425="SEMI"),2,IF(OR(K425="PRE",K425="HEAT"),1,IF(V425="YES",4,2))))</f>
        <v/>
      </c>
      <c r="M425" s="33" t="inlineStr">
        <is>
          <t>LCM</t>
        </is>
      </c>
      <c r="N425" s="33" t="n">
        <v>200</v>
      </c>
      <c r="O425" s="33" t="inlineStr">
        <is>
          <t>Free</t>
        </is>
      </c>
      <c r="P425" s="33" t="inlineStr">
        <is>
          <t>200 Free</t>
        </is>
      </c>
      <c r="Q425" s="33" t="inlineStr">
        <is>
          <t>LCM_200_FREE</t>
        </is>
      </c>
      <c r="R425" s="36" t="n">
        <v>105.32</v>
      </c>
      <c r="S425" s="35">
        <f>IF(R425="","",IF(R425&gt;=60,INT(R425/60)&amp;":"&amp;TEXT(MOD(R425,60),"00.00"),TEXT(R425,"0.00")))</f>
        <v/>
      </c>
      <c r="T425" s="52">
        <f>IFERROR((G425-INDEX('01_Swimmers'!$E$5:$E$22,MATCH(B425,'01_Swimmers'!$A$5:$A$22,0)))/'00_Control'!$B$10,"")</f>
        <v/>
      </c>
      <c r="U425" s="35">
        <f>IF(T425="","",INT(T425))</f>
        <v/>
      </c>
      <c r="V425" s="33" t="inlineStr">
        <is>
          <t>NO</t>
        </is>
      </c>
      <c r="W425" s="33" t="inlineStr">
        <is>
          <t>YES</t>
        </is>
      </c>
      <c r="X425" s="33" t="inlineStr">
        <is>
          <t>NO</t>
        </is>
      </c>
      <c r="Y425" s="33" t="n">
        <v>2</v>
      </c>
      <c r="Z425" s="33" t="n">
        <v>1</v>
      </c>
      <c r="AA425" s="33" t="inlineStr">
        <is>
          <t>4</t>
        </is>
      </c>
      <c r="AB425" s="33" t="inlineStr">
        <is>
          <t>https://www.swimcloud.com/results/130521/event/83/?id=43347270#time43347270</t>
        </is>
      </c>
      <c r="AC425" s="33" t="inlineStr">
        <is>
          <t>SwimCloud API v6 2026-10-08</t>
        </is>
      </c>
      <c r="AD425" s="33" t="inlineStr">
        <is>
          <t>David Popovici|2021-07-24|LCM|200|Free|105.32|Olympic Games|PRE|False</t>
        </is>
      </c>
      <c r="AE425" s="53">
        <f>G425+L425/1000+ROW()/1000000000</f>
        <v/>
      </c>
      <c r="AF425" s="35">
        <f>IF(C425&lt;&gt;"Grayson Coulter","",COUNTIFS($C$5:$C$2991,"Grayson Coulter",$Q$5:$Q$2991,Q425,$AE$5:$AE$2991,"&lt;="&amp;AE425,$R$5:$R$2991,"&lt;"&amp;R425))</f>
        <v/>
      </c>
      <c r="AG425" s="35">
        <f>IF(OR(C425&lt;&gt;"Grayson Coulter",G425&lt;'00_Control'!$B$7),"",--(AF425&lt;5))</f>
        <v/>
      </c>
      <c r="AH425" s="35">
        <f>IF(OR(C425&lt;&gt;"Grayson Coulter",G425&lt;'00_Control'!$B$7),"",--(AF425&lt;10))</f>
        <v/>
      </c>
      <c r="AI425" s="35">
        <f>IF(AND(C425="Grayson Coulter",G425&gt;='00_Control'!$B$7),"YES","NO")</f>
        <v/>
      </c>
      <c r="AJ425" s="33" t="inlineStr">
        <is>
          <t>OK</t>
        </is>
      </c>
    </row>
    <row r="426">
      <c r="A426" s="33" t="inlineStr">
        <is>
          <t>SM000422</t>
        </is>
      </c>
      <c r="B426" s="33" t="inlineStr">
        <is>
          <t>SW009</t>
        </is>
      </c>
      <c r="C426" s="33" t="inlineStr">
        <is>
          <t>David Popovici</t>
        </is>
      </c>
      <c r="D426" s="33" t="inlineStr">
        <is>
          <t>SwimCloud</t>
        </is>
      </c>
      <c r="E426" s="33" t="inlineStr">
        <is>
          <t>1405298</t>
        </is>
      </c>
      <c r="F426" s="33" t="inlineStr">
        <is>
          <t>43347458</t>
        </is>
      </c>
      <c r="G426" s="51" t="n">
        <v>44401</v>
      </c>
      <c r="H426" s="33" t="inlineStr">
        <is>
          <t>Olympic Games</t>
        </is>
      </c>
      <c r="I426" s="33" t="inlineStr">
        <is>
          <t>130521</t>
        </is>
      </c>
      <c r="J426" s="33" t="inlineStr"/>
      <c r="K426" s="33" t="inlineStr">
        <is>
          <t>SEM</t>
        </is>
      </c>
      <c r="L426" s="35">
        <f>IF(K426="FIN",3,IF(OR(K426="SEM",K426="SEMI"),2,IF(OR(K426="PRE",K426="HEAT"),1,IF(V426="YES",4,2))))</f>
        <v/>
      </c>
      <c r="M426" s="33" t="inlineStr">
        <is>
          <t>LCM</t>
        </is>
      </c>
      <c r="N426" s="33" t="n">
        <v>200</v>
      </c>
      <c r="O426" s="33" t="inlineStr">
        <is>
          <t>Free</t>
        </is>
      </c>
      <c r="P426" s="33" t="inlineStr">
        <is>
          <t>200 Free</t>
        </is>
      </c>
      <c r="Q426" s="33" t="inlineStr">
        <is>
          <t>LCM_200_FREE</t>
        </is>
      </c>
      <c r="R426" s="36" t="n">
        <v>105.68</v>
      </c>
      <c r="S426" s="35">
        <f>IF(R426="","",IF(R426&gt;=60,INT(R426/60)&amp;":"&amp;TEXT(MOD(R426,60),"00.00"),TEXT(R426,"0.00")))</f>
        <v/>
      </c>
      <c r="T426" s="52">
        <f>IFERROR((G426-INDEX('01_Swimmers'!$E$5:$E$22,MATCH(B426,'01_Swimmers'!$A$5:$A$22,0)))/'00_Control'!$B$10,"")</f>
        <v/>
      </c>
      <c r="U426" s="35">
        <f>IF(T426="","",INT(T426))</f>
        <v/>
      </c>
      <c r="V426" s="33" t="inlineStr">
        <is>
          <t>NO</t>
        </is>
      </c>
      <c r="W426" s="33" t="inlineStr">
        <is>
          <t>YES</t>
        </is>
      </c>
      <c r="X426" s="33" t="inlineStr">
        <is>
          <t>NO</t>
        </is>
      </c>
      <c r="Y426" s="33" t="n">
        <v>2</v>
      </c>
      <c r="Z426" s="33" t="n">
        <v>6</v>
      </c>
      <c r="AA426" s="33" t="inlineStr">
        <is>
          <t>7</t>
        </is>
      </c>
      <c r="AB426" s="33" t="inlineStr">
        <is>
          <t>https://www.swimcloud.com/results/130521/event/83/?id=43347458#time43347458</t>
        </is>
      </c>
      <c r="AC426" s="33" t="inlineStr">
        <is>
          <t>SwimCloud API v6 2026-10-08</t>
        </is>
      </c>
      <c r="AD426" s="33" t="inlineStr">
        <is>
          <t>David Popovici|2021-07-24|LCM|200|Free|105.68|Olympic Games|SEM|False</t>
        </is>
      </c>
      <c r="AE426" s="53">
        <f>G426+L426/1000+ROW()/1000000000</f>
        <v/>
      </c>
      <c r="AF426" s="35">
        <f>IF(C426&lt;&gt;"Grayson Coulter","",COUNTIFS($C$5:$C$2991,"Grayson Coulter",$Q$5:$Q$2991,Q426,$AE$5:$AE$2991,"&lt;="&amp;AE426,$R$5:$R$2991,"&lt;"&amp;R426))</f>
        <v/>
      </c>
      <c r="AG426" s="35">
        <f>IF(OR(C426&lt;&gt;"Grayson Coulter",G426&lt;'00_Control'!$B$7),"",--(AF426&lt;5))</f>
        <v/>
      </c>
      <c r="AH426" s="35">
        <f>IF(OR(C426&lt;&gt;"Grayson Coulter",G426&lt;'00_Control'!$B$7),"",--(AF426&lt;10))</f>
        <v/>
      </c>
      <c r="AI426" s="35">
        <f>IF(AND(C426="Grayson Coulter",G426&gt;='00_Control'!$B$7),"YES","NO")</f>
        <v/>
      </c>
      <c r="AJ426" s="33" t="inlineStr">
        <is>
          <t>OK</t>
        </is>
      </c>
    </row>
    <row r="427">
      <c r="A427" s="33" t="inlineStr">
        <is>
          <t>SM000423</t>
        </is>
      </c>
      <c r="B427" s="33" t="inlineStr">
        <is>
          <t>SW009</t>
        </is>
      </c>
      <c r="C427" s="33" t="inlineStr">
        <is>
          <t>David Popovici</t>
        </is>
      </c>
      <c r="D427" s="33" t="inlineStr">
        <is>
          <t>SwimCloud</t>
        </is>
      </c>
      <c r="E427" s="33" t="inlineStr">
        <is>
          <t>1405298</t>
        </is>
      </c>
      <c r="F427" s="33" t="inlineStr">
        <is>
          <t>43347466</t>
        </is>
      </c>
      <c r="G427" s="51" t="n">
        <v>44401</v>
      </c>
      <c r="H427" s="33" t="inlineStr">
        <is>
          <t>Olympic Games</t>
        </is>
      </c>
      <c r="I427" s="33" t="inlineStr">
        <is>
          <t>130521</t>
        </is>
      </c>
      <c r="J427" s="33" t="inlineStr"/>
      <c r="K427" s="33" t="inlineStr">
        <is>
          <t>FIN</t>
        </is>
      </c>
      <c r="L427" s="35">
        <f>IF(K427="FIN",3,IF(OR(K427="SEM",K427="SEMI"),2,IF(OR(K427="PRE",K427="HEAT"),1,IF(V427="YES",4,2))))</f>
        <v/>
      </c>
      <c r="M427" s="33" t="inlineStr">
        <is>
          <t>LCM</t>
        </is>
      </c>
      <c r="N427" s="33" t="n">
        <v>200</v>
      </c>
      <c r="O427" s="33" t="inlineStr">
        <is>
          <t>Free</t>
        </is>
      </c>
      <c r="P427" s="33" t="inlineStr">
        <is>
          <t>200 Free</t>
        </is>
      </c>
      <c r="Q427" s="33" t="inlineStr">
        <is>
          <t>LCM_200_FREE</t>
        </is>
      </c>
      <c r="R427" s="36" t="n">
        <v>104.68</v>
      </c>
      <c r="S427" s="35">
        <f>IF(R427="","",IF(R427&gt;=60,INT(R427/60)&amp;":"&amp;TEXT(MOD(R427,60),"00.00"),TEXT(R427,"0.00")))</f>
        <v/>
      </c>
      <c r="T427" s="52">
        <f>IFERROR((G427-INDEX('01_Swimmers'!$E$5:$E$22,MATCH(B427,'01_Swimmers'!$A$5:$A$22,0)))/'00_Control'!$B$10,"")</f>
        <v/>
      </c>
      <c r="U427" s="35">
        <f>IF(T427="","",INT(T427))</f>
        <v/>
      </c>
      <c r="V427" s="33" t="inlineStr">
        <is>
          <t>NO</t>
        </is>
      </c>
      <c r="W427" s="33" t="inlineStr">
        <is>
          <t>YES</t>
        </is>
      </c>
      <c r="X427" s="33" t="inlineStr">
        <is>
          <t>NO</t>
        </is>
      </c>
      <c r="Y427" s="33" t="n">
        <v>1</v>
      </c>
      <c r="Z427" s="33" t="n">
        <v>1</v>
      </c>
      <c r="AA427" s="33" t="inlineStr">
        <is>
          <t>4</t>
        </is>
      </c>
      <c r="AB427" s="33" t="inlineStr">
        <is>
          <t>https://www.swimcloud.com/results/130521/event/83/?id=43347466#time43347466</t>
        </is>
      </c>
      <c r="AC427" s="33" t="inlineStr">
        <is>
          <t>SwimCloud API v6 2026-10-08</t>
        </is>
      </c>
      <c r="AD427" s="33" t="inlineStr">
        <is>
          <t>David Popovici|2021-07-24|LCM|200|Free|104.68|Olympic Games|FIN|False</t>
        </is>
      </c>
      <c r="AE427" s="53">
        <f>G427+L427/1000+ROW()/1000000000</f>
        <v/>
      </c>
      <c r="AF427" s="35">
        <f>IF(C427&lt;&gt;"Grayson Coulter","",COUNTIFS($C$5:$C$2991,"Grayson Coulter",$Q$5:$Q$2991,Q427,$AE$5:$AE$2991,"&lt;="&amp;AE427,$R$5:$R$2991,"&lt;"&amp;R427))</f>
        <v/>
      </c>
      <c r="AG427" s="35">
        <f>IF(OR(C427&lt;&gt;"Grayson Coulter",G427&lt;'00_Control'!$B$7),"",--(AF427&lt;5))</f>
        <v/>
      </c>
      <c r="AH427" s="35">
        <f>IF(OR(C427&lt;&gt;"Grayson Coulter",G427&lt;'00_Control'!$B$7),"",--(AF427&lt;10))</f>
        <v/>
      </c>
      <c r="AI427" s="35">
        <f>IF(AND(C427="Grayson Coulter",G427&gt;='00_Control'!$B$7),"YES","NO")</f>
        <v/>
      </c>
      <c r="AJ427" s="33" t="inlineStr">
        <is>
          <t>OK</t>
        </is>
      </c>
    </row>
    <row r="428">
      <c r="A428" s="33" t="inlineStr">
        <is>
          <t>SM000424</t>
        </is>
      </c>
      <c r="B428" s="33" t="inlineStr">
        <is>
          <t>SW009</t>
        </is>
      </c>
      <c r="C428" s="33" t="inlineStr">
        <is>
          <t>David Popovici</t>
        </is>
      </c>
      <c r="D428" s="33" t="inlineStr">
        <is>
          <t>SwimCloud</t>
        </is>
      </c>
      <c r="E428" s="33" t="inlineStr">
        <is>
          <t>1405298</t>
        </is>
      </c>
      <c r="F428" s="33" t="inlineStr">
        <is>
          <t>45709530</t>
        </is>
      </c>
      <c r="G428" s="51" t="n">
        <v>44498</v>
      </c>
      <c r="H428" s="33" t="inlineStr">
        <is>
          <t>FINA Swimming World Cup - Kazan</t>
        </is>
      </c>
      <c r="I428" s="33" t="inlineStr">
        <is>
          <t>208768</t>
        </is>
      </c>
      <c r="J428" s="33" t="inlineStr"/>
      <c r="K428" s="33" t="inlineStr">
        <is>
          <t>PRE</t>
        </is>
      </c>
      <c r="L428" s="35">
        <f>IF(K428="FIN",3,IF(OR(K428="SEM",K428="SEMI"),2,IF(OR(K428="PRE",K428="HEAT"),1,IF(V428="YES",4,2))))</f>
        <v/>
      </c>
      <c r="M428" s="33" t="inlineStr">
        <is>
          <t>SCM</t>
        </is>
      </c>
      <c r="N428" s="33" t="n">
        <v>100</v>
      </c>
      <c r="O428" s="33" t="inlineStr">
        <is>
          <t>Free</t>
        </is>
      </c>
      <c r="P428" s="33" t="inlineStr">
        <is>
          <t>100 Free</t>
        </is>
      </c>
      <c r="Q428" s="33" t="inlineStr">
        <is>
          <t>SCM_100_FREE</t>
        </is>
      </c>
      <c r="R428" s="36" t="n">
        <v>47.62</v>
      </c>
      <c r="S428" s="35">
        <f>IF(R428="","",IF(R428&gt;=60,INT(R428/60)&amp;":"&amp;TEXT(MOD(R428,60),"00.00"),TEXT(R428,"0.00")))</f>
        <v/>
      </c>
      <c r="T428" s="52">
        <f>IFERROR((G428-INDEX('01_Swimmers'!$E$5:$E$22,MATCH(B428,'01_Swimmers'!$A$5:$A$22,0)))/'00_Control'!$B$10,"")</f>
        <v/>
      </c>
      <c r="U428" s="35">
        <f>IF(T428="","",INT(T428))</f>
        <v/>
      </c>
      <c r="V428" s="33" t="inlineStr">
        <is>
          <t>NO</t>
        </is>
      </c>
      <c r="W428" s="33" t="inlineStr">
        <is>
          <t>YES</t>
        </is>
      </c>
      <c r="X428" s="33" t="inlineStr">
        <is>
          <t>NO</t>
        </is>
      </c>
      <c r="Y428" s="33" t="n">
        <v>1</v>
      </c>
      <c r="Z428" s="33" t="n">
        <v>7</v>
      </c>
      <c r="AA428" s="33" t="inlineStr">
        <is>
          <t>7</t>
        </is>
      </c>
      <c r="AB428" s="33" t="inlineStr">
        <is>
          <t>https://www.swimcloud.com/results/208768/event/21/?id=45709530#time45709530</t>
        </is>
      </c>
      <c r="AC428" s="33" t="inlineStr">
        <is>
          <t>SwimCloud API v6 2026-10-08</t>
        </is>
      </c>
      <c r="AD428" s="33" t="inlineStr">
        <is>
          <t>David Popovici|2021-10-29|SCM|100|Free|47.62|FINA Swimming World Cup - Kazan|PRE|False</t>
        </is>
      </c>
      <c r="AE428" s="53">
        <f>G428+L428/1000+ROW()/1000000000</f>
        <v/>
      </c>
      <c r="AF428" s="35">
        <f>IF(C428&lt;&gt;"Grayson Coulter","",COUNTIFS($C$5:$C$2991,"Grayson Coulter",$Q$5:$Q$2991,Q428,$AE$5:$AE$2991,"&lt;="&amp;AE428,$R$5:$R$2991,"&lt;"&amp;R428))</f>
        <v/>
      </c>
      <c r="AG428" s="35">
        <f>IF(OR(C428&lt;&gt;"Grayson Coulter",G428&lt;'00_Control'!$B$7),"",--(AF428&lt;5))</f>
        <v/>
      </c>
      <c r="AH428" s="35">
        <f>IF(OR(C428&lt;&gt;"Grayson Coulter",G428&lt;'00_Control'!$B$7),"",--(AF428&lt;10))</f>
        <v/>
      </c>
      <c r="AI428" s="35">
        <f>IF(AND(C428="Grayson Coulter",G428&gt;='00_Control'!$B$7),"YES","NO")</f>
        <v/>
      </c>
      <c r="AJ428" s="33" t="inlineStr">
        <is>
          <t>OK</t>
        </is>
      </c>
    </row>
    <row r="429">
      <c r="A429" s="33" t="inlineStr">
        <is>
          <t>SM000425</t>
        </is>
      </c>
      <c r="B429" s="33" t="inlineStr">
        <is>
          <t>SW009</t>
        </is>
      </c>
      <c r="C429" s="33" t="inlineStr">
        <is>
          <t>David Popovici</t>
        </is>
      </c>
      <c r="D429" s="33" t="inlineStr">
        <is>
          <t>SwimCloud</t>
        </is>
      </c>
      <c r="E429" s="33" t="inlineStr">
        <is>
          <t>1405298</t>
        </is>
      </c>
      <c r="F429" s="33" t="inlineStr">
        <is>
          <t>45709529</t>
        </is>
      </c>
      <c r="G429" s="51" t="n">
        <v>44498</v>
      </c>
      <c r="H429" s="33" t="inlineStr">
        <is>
          <t>FINA Swimming World Cup - Kazan</t>
        </is>
      </c>
      <c r="I429" s="33" t="inlineStr">
        <is>
          <t>208768</t>
        </is>
      </c>
      <c r="J429" s="33" t="inlineStr"/>
      <c r="K429" s="33" t="inlineStr">
        <is>
          <t>FIN</t>
        </is>
      </c>
      <c r="L429" s="35">
        <f>IF(K429="FIN",3,IF(OR(K429="SEM",K429="SEMI"),2,IF(OR(K429="PRE",K429="HEAT"),1,IF(V429="YES",4,2))))</f>
        <v/>
      </c>
      <c r="M429" s="33" t="inlineStr">
        <is>
          <t>SCM</t>
        </is>
      </c>
      <c r="N429" s="33" t="n">
        <v>100</v>
      </c>
      <c r="O429" s="33" t="inlineStr">
        <is>
          <t>Free</t>
        </is>
      </c>
      <c r="P429" s="33" t="inlineStr">
        <is>
          <t>100 Free</t>
        </is>
      </c>
      <c r="Q429" s="33" t="inlineStr">
        <is>
          <t>SCM_100_FREE</t>
        </is>
      </c>
      <c r="R429" s="36" t="n">
        <v>46.77</v>
      </c>
      <c r="S429" s="35">
        <f>IF(R429="","",IF(R429&gt;=60,INT(R429/60)&amp;":"&amp;TEXT(MOD(R429,60),"00.00"),TEXT(R429,"0.00")))</f>
        <v/>
      </c>
      <c r="T429" s="52">
        <f>IFERROR((G429-INDEX('01_Swimmers'!$E$5:$E$22,MATCH(B429,'01_Swimmers'!$A$5:$A$22,0)))/'00_Control'!$B$10,"")</f>
        <v/>
      </c>
      <c r="U429" s="35">
        <f>IF(T429="","",INT(T429))</f>
        <v/>
      </c>
      <c r="V429" s="33" t="inlineStr">
        <is>
          <t>NO</t>
        </is>
      </c>
      <c r="W429" s="33" t="inlineStr">
        <is>
          <t>YES</t>
        </is>
      </c>
      <c r="X429" s="33" t="inlineStr">
        <is>
          <t>NO</t>
        </is>
      </c>
      <c r="Y429" s="33" t="n">
        <v>1</v>
      </c>
      <c r="Z429" s="33" t="n">
        <v>1</v>
      </c>
      <c r="AA429" s="33" t="inlineStr">
        <is>
          <t>5</t>
        </is>
      </c>
      <c r="AB429" s="33" t="inlineStr">
        <is>
          <t>https://www.swimcloud.com/results/208768/event/21/?id=45709529#time45709529</t>
        </is>
      </c>
      <c r="AC429" s="33" t="inlineStr">
        <is>
          <t>SwimCloud API v6 2026-10-08</t>
        </is>
      </c>
      <c r="AD429" s="33" t="inlineStr">
        <is>
          <t>David Popovici|2021-10-29|SCM|100|Free|46.77|FINA Swimming World Cup - Kazan|FIN|False</t>
        </is>
      </c>
      <c r="AE429" s="53">
        <f>G429+L429/1000+ROW()/1000000000</f>
        <v/>
      </c>
      <c r="AF429" s="35">
        <f>IF(C429&lt;&gt;"Grayson Coulter","",COUNTIFS($C$5:$C$2991,"Grayson Coulter",$Q$5:$Q$2991,Q429,$AE$5:$AE$2991,"&lt;="&amp;AE429,$R$5:$R$2991,"&lt;"&amp;R429))</f>
        <v/>
      </c>
      <c r="AG429" s="35">
        <f>IF(OR(C429&lt;&gt;"Grayson Coulter",G429&lt;'00_Control'!$B$7),"",--(AF429&lt;5))</f>
        <v/>
      </c>
      <c r="AH429" s="35">
        <f>IF(OR(C429&lt;&gt;"Grayson Coulter",G429&lt;'00_Control'!$B$7),"",--(AF429&lt;10))</f>
        <v/>
      </c>
      <c r="AI429" s="35">
        <f>IF(AND(C429="Grayson Coulter",G429&gt;='00_Control'!$B$7),"YES","NO")</f>
        <v/>
      </c>
      <c r="AJ429" s="33" t="inlineStr">
        <is>
          <t>OK</t>
        </is>
      </c>
    </row>
    <row r="430">
      <c r="A430" s="33" t="inlineStr">
        <is>
          <t>SM000426</t>
        </is>
      </c>
      <c r="B430" s="33" t="inlineStr">
        <is>
          <t>SW009</t>
        </is>
      </c>
      <c r="C430" s="33" t="inlineStr">
        <is>
          <t>David Popovici</t>
        </is>
      </c>
      <c r="D430" s="33" t="inlineStr">
        <is>
          <t>SwimCloud</t>
        </is>
      </c>
      <c r="E430" s="33" t="inlineStr">
        <is>
          <t>1405298</t>
        </is>
      </c>
      <c r="F430" s="33" t="inlineStr">
        <is>
          <t>45709532</t>
        </is>
      </c>
      <c r="G430" s="51" t="n">
        <v>44499</v>
      </c>
      <c r="H430" s="33" t="inlineStr">
        <is>
          <t>FINA Swimming World Cup - Kazan</t>
        </is>
      </c>
      <c r="I430" s="33" t="inlineStr">
        <is>
          <t>208768</t>
        </is>
      </c>
      <c r="J430" s="33" t="inlineStr"/>
      <c r="K430" s="33" t="inlineStr">
        <is>
          <t>PRE</t>
        </is>
      </c>
      <c r="L430" s="35">
        <f>IF(K430="FIN",3,IF(OR(K430="SEM",K430="SEMI"),2,IF(OR(K430="PRE",K430="HEAT"),1,IF(V430="YES",4,2))))</f>
        <v/>
      </c>
      <c r="M430" s="33" t="inlineStr">
        <is>
          <t>SCM</t>
        </is>
      </c>
      <c r="N430" s="33" t="n">
        <v>200</v>
      </c>
      <c r="O430" s="33" t="inlineStr">
        <is>
          <t>Free</t>
        </is>
      </c>
      <c r="P430" s="33" t="inlineStr">
        <is>
          <t>200 Free</t>
        </is>
      </c>
      <c r="Q430" s="33" t="inlineStr">
        <is>
          <t>SCM_200_FREE</t>
        </is>
      </c>
      <c r="R430" s="36" t="n">
        <v>104.13</v>
      </c>
      <c r="S430" s="35">
        <f>IF(R430="","",IF(R430&gt;=60,INT(R430/60)&amp;":"&amp;TEXT(MOD(R430,60),"00.00"),TEXT(R430,"0.00")))</f>
        <v/>
      </c>
      <c r="T430" s="52">
        <f>IFERROR((G430-INDEX('01_Swimmers'!$E$5:$E$22,MATCH(B430,'01_Swimmers'!$A$5:$A$22,0)))/'00_Control'!$B$10,"")</f>
        <v/>
      </c>
      <c r="U430" s="35">
        <f>IF(T430="","",INT(T430))</f>
        <v/>
      </c>
      <c r="V430" s="33" t="inlineStr">
        <is>
          <t>NO</t>
        </is>
      </c>
      <c r="W430" s="33" t="inlineStr">
        <is>
          <t>YES</t>
        </is>
      </c>
      <c r="X430" s="33" t="inlineStr">
        <is>
          <t>NO</t>
        </is>
      </c>
      <c r="Y430" s="33" t="n">
        <v>1</v>
      </c>
      <c r="Z430" s="33" t="n">
        <v>1</v>
      </c>
      <c r="AA430" s="33" t="inlineStr">
        <is>
          <t>4</t>
        </is>
      </c>
      <c r="AB430" s="33" t="inlineStr">
        <is>
          <t>https://www.swimcloud.com/results/208768/event/34/?id=45709532#time45709532</t>
        </is>
      </c>
      <c r="AC430" s="33" t="inlineStr">
        <is>
          <t>SwimCloud API v6 2026-10-08</t>
        </is>
      </c>
      <c r="AD430" s="33" t="inlineStr">
        <is>
          <t>David Popovici|2021-10-30|SCM|200|Free|104.13|FINA Swimming World Cup - Kazan|PRE|False</t>
        </is>
      </c>
      <c r="AE430" s="53">
        <f>G430+L430/1000+ROW()/1000000000</f>
        <v/>
      </c>
      <c r="AF430" s="35">
        <f>IF(C430&lt;&gt;"Grayson Coulter","",COUNTIFS($C$5:$C$2991,"Grayson Coulter",$Q$5:$Q$2991,Q430,$AE$5:$AE$2991,"&lt;="&amp;AE430,$R$5:$R$2991,"&lt;"&amp;R430))</f>
        <v/>
      </c>
      <c r="AG430" s="35">
        <f>IF(OR(C430&lt;&gt;"Grayson Coulter",G430&lt;'00_Control'!$B$7),"",--(AF430&lt;5))</f>
        <v/>
      </c>
      <c r="AH430" s="35">
        <f>IF(OR(C430&lt;&gt;"Grayson Coulter",G430&lt;'00_Control'!$B$7),"",--(AF430&lt;10))</f>
        <v/>
      </c>
      <c r="AI430" s="35">
        <f>IF(AND(C430="Grayson Coulter",G430&gt;='00_Control'!$B$7),"YES","NO")</f>
        <v/>
      </c>
      <c r="AJ430" s="33" t="inlineStr">
        <is>
          <t>OK</t>
        </is>
      </c>
    </row>
    <row r="431">
      <c r="A431" s="33" t="inlineStr">
        <is>
          <t>SM000427</t>
        </is>
      </c>
      <c r="B431" s="33" t="inlineStr">
        <is>
          <t>SW009</t>
        </is>
      </c>
      <c r="C431" s="33" t="inlineStr">
        <is>
          <t>David Popovici</t>
        </is>
      </c>
      <c r="D431" s="33" t="inlineStr">
        <is>
          <t>SwimCloud</t>
        </is>
      </c>
      <c r="E431" s="33" t="inlineStr">
        <is>
          <t>1405298</t>
        </is>
      </c>
      <c r="F431" s="33" t="inlineStr">
        <is>
          <t>45709531</t>
        </is>
      </c>
      <c r="G431" s="51" t="n">
        <v>44499</v>
      </c>
      <c r="H431" s="33" t="inlineStr">
        <is>
          <t>FINA Swimming World Cup - Kazan</t>
        </is>
      </c>
      <c r="I431" s="33" t="inlineStr">
        <is>
          <t>208768</t>
        </is>
      </c>
      <c r="J431" s="33" t="inlineStr"/>
      <c r="K431" s="33" t="inlineStr">
        <is>
          <t>FIN</t>
        </is>
      </c>
      <c r="L431" s="35">
        <f>IF(K431="FIN",3,IF(OR(K431="SEM",K431="SEMI"),2,IF(OR(K431="PRE",K431="HEAT"),1,IF(V431="YES",4,2))))</f>
        <v/>
      </c>
      <c r="M431" s="33" t="inlineStr">
        <is>
          <t>SCM</t>
        </is>
      </c>
      <c r="N431" s="33" t="n">
        <v>200</v>
      </c>
      <c r="O431" s="33" t="inlineStr">
        <is>
          <t>Free</t>
        </is>
      </c>
      <c r="P431" s="33" t="inlineStr">
        <is>
          <t>200 Free</t>
        </is>
      </c>
      <c r="Q431" s="33" t="inlineStr">
        <is>
          <t>SCM_200_FREE</t>
        </is>
      </c>
      <c r="R431" s="36" t="n">
        <v>103.58</v>
      </c>
      <c r="S431" s="35">
        <f>IF(R431="","",IF(R431&gt;=60,INT(R431/60)&amp;":"&amp;TEXT(MOD(R431,60),"00.00"),TEXT(R431,"0.00")))</f>
        <v/>
      </c>
      <c r="T431" s="52">
        <f>IFERROR((G431-INDEX('01_Swimmers'!$E$5:$E$22,MATCH(B431,'01_Swimmers'!$A$5:$A$22,0)))/'00_Control'!$B$10,"")</f>
        <v/>
      </c>
      <c r="U431" s="35">
        <f>IF(T431="","",INT(T431))</f>
        <v/>
      </c>
      <c r="V431" s="33" t="inlineStr">
        <is>
          <t>NO</t>
        </is>
      </c>
      <c r="W431" s="33" t="inlineStr">
        <is>
          <t>YES</t>
        </is>
      </c>
      <c r="X431" s="33" t="inlineStr">
        <is>
          <t>NO</t>
        </is>
      </c>
      <c r="Y431" s="33" t="n">
        <v>1</v>
      </c>
      <c r="Z431" s="33" t="n">
        <v>6</v>
      </c>
      <c r="AA431" s="33" t="inlineStr">
        <is>
          <t>5</t>
        </is>
      </c>
      <c r="AB431" s="33" t="inlineStr">
        <is>
          <t>https://www.swimcloud.com/results/208768/event/34/?id=45709531#time45709531</t>
        </is>
      </c>
      <c r="AC431" s="33" t="inlineStr">
        <is>
          <t>SwimCloud API v6 2026-10-08</t>
        </is>
      </c>
      <c r="AD431" s="33" t="inlineStr">
        <is>
          <t>David Popovici|2021-10-30|SCM|200|Free|103.58|FINA Swimming World Cup - Kazan|FIN|False</t>
        </is>
      </c>
      <c r="AE431" s="53">
        <f>G431+L431/1000+ROW()/1000000000</f>
        <v/>
      </c>
      <c r="AF431" s="35">
        <f>IF(C431&lt;&gt;"Grayson Coulter","",COUNTIFS($C$5:$C$2991,"Grayson Coulter",$Q$5:$Q$2991,Q431,$AE$5:$AE$2991,"&lt;="&amp;AE431,$R$5:$R$2991,"&lt;"&amp;R431))</f>
        <v/>
      </c>
      <c r="AG431" s="35">
        <f>IF(OR(C431&lt;&gt;"Grayson Coulter",G431&lt;'00_Control'!$B$7),"",--(AF431&lt;5))</f>
        <v/>
      </c>
      <c r="AH431" s="35">
        <f>IF(OR(C431&lt;&gt;"Grayson Coulter",G431&lt;'00_Control'!$B$7),"",--(AF431&lt;10))</f>
        <v/>
      </c>
      <c r="AI431" s="35">
        <f>IF(AND(C431="Grayson Coulter",G431&gt;='00_Control'!$B$7),"YES","NO")</f>
        <v/>
      </c>
      <c r="AJ431" s="33" t="inlineStr">
        <is>
          <t>OK</t>
        </is>
      </c>
    </row>
    <row r="432">
      <c r="A432" s="33" t="inlineStr">
        <is>
          <t>SM000428</t>
        </is>
      </c>
      <c r="B432" s="33" t="inlineStr">
        <is>
          <t>SW009</t>
        </is>
      </c>
      <c r="C432" s="33" t="inlineStr">
        <is>
          <t>David Popovici</t>
        </is>
      </c>
      <c r="D432" s="33" t="inlineStr">
        <is>
          <t>SwimCloud</t>
        </is>
      </c>
      <c r="E432" s="33" t="inlineStr">
        <is>
          <t>1405298</t>
        </is>
      </c>
      <c r="F432" s="33" t="inlineStr">
        <is>
          <t>46128692</t>
        </is>
      </c>
      <c r="G432" s="51" t="n">
        <v>44502</v>
      </c>
      <c r="H432" s="33" t="inlineStr">
        <is>
          <t>LEN European Championships</t>
        </is>
      </c>
      <c r="I432" s="33" t="inlineStr">
        <is>
          <t>209459</t>
        </is>
      </c>
      <c r="J432" s="33" t="inlineStr"/>
      <c r="K432" s="33" t="inlineStr">
        <is>
          <t>PRE</t>
        </is>
      </c>
      <c r="L432" s="35">
        <f>IF(K432="FIN",3,IF(OR(K432="SEM",K432="SEMI"),2,IF(OR(K432="PRE",K432="HEAT"),1,IF(V432="YES",4,2))))</f>
        <v/>
      </c>
      <c r="M432" s="33" t="inlineStr">
        <is>
          <t>SCM</t>
        </is>
      </c>
      <c r="N432" s="33" t="n">
        <v>400</v>
      </c>
      <c r="O432" s="33" t="inlineStr">
        <is>
          <t>Free</t>
        </is>
      </c>
      <c r="P432" s="33" t="inlineStr">
        <is>
          <t>400 Free</t>
        </is>
      </c>
      <c r="Q432" s="33" t="inlineStr">
        <is>
          <t>SCM_400_FREE</t>
        </is>
      </c>
      <c r="R432" s="36" t="n">
        <v>228.19</v>
      </c>
      <c r="S432" s="35">
        <f>IF(R432="","",IF(R432&gt;=60,INT(R432/60)&amp;":"&amp;TEXT(MOD(R432,60),"00.00"),TEXT(R432,"0.00")))</f>
        <v/>
      </c>
      <c r="T432" s="52">
        <f>IFERROR((G432-INDEX('01_Swimmers'!$E$5:$E$22,MATCH(B432,'01_Swimmers'!$A$5:$A$22,0)))/'00_Control'!$B$10,"")</f>
        <v/>
      </c>
      <c r="U432" s="35">
        <f>IF(T432="","",INT(T432))</f>
        <v/>
      </c>
      <c r="V432" s="33" t="inlineStr">
        <is>
          <t>NO</t>
        </is>
      </c>
      <c r="W432" s="33" t="inlineStr">
        <is>
          <t>YES</t>
        </is>
      </c>
      <c r="X432" s="33" t="inlineStr">
        <is>
          <t>NO</t>
        </is>
      </c>
      <c r="Y432" s="33" t="n">
        <v>4</v>
      </c>
      <c r="Z432" s="33" t="n">
        <v>3</v>
      </c>
      <c r="AA432" s="33" t="inlineStr">
        <is>
          <t>26</t>
        </is>
      </c>
      <c r="AB432" s="33" t="inlineStr">
        <is>
          <t>https://www.swimcloud.com/results/209459/event/2/?id=46128692#time46128692</t>
        </is>
      </c>
      <c r="AC432" s="33" t="inlineStr">
        <is>
          <t>SwimCloud API v6 2026-10-08</t>
        </is>
      </c>
      <c r="AD432" s="33" t="inlineStr">
        <is>
          <t>David Popovici|2021-11-02|SCM|400|Free|228.19|LEN European Championships|PRE|False</t>
        </is>
      </c>
      <c r="AE432" s="53">
        <f>G432+L432/1000+ROW()/1000000000</f>
        <v/>
      </c>
      <c r="AF432" s="35">
        <f>IF(C432&lt;&gt;"Grayson Coulter","",COUNTIFS($C$5:$C$2991,"Grayson Coulter",$Q$5:$Q$2991,Q432,$AE$5:$AE$2991,"&lt;="&amp;AE432,$R$5:$R$2991,"&lt;"&amp;R432))</f>
        <v/>
      </c>
      <c r="AG432" s="35">
        <f>IF(OR(C432&lt;&gt;"Grayson Coulter",G432&lt;'00_Control'!$B$7),"",--(AF432&lt;5))</f>
        <v/>
      </c>
      <c r="AH432" s="35">
        <f>IF(OR(C432&lt;&gt;"Grayson Coulter",G432&lt;'00_Control'!$B$7),"",--(AF432&lt;10))</f>
        <v/>
      </c>
      <c r="AI432" s="35">
        <f>IF(AND(C432="Grayson Coulter",G432&gt;='00_Control'!$B$7),"YES","NO")</f>
        <v/>
      </c>
      <c r="AJ432" s="33" t="inlineStr">
        <is>
          <t>OK</t>
        </is>
      </c>
    </row>
    <row r="433">
      <c r="A433" s="33" t="inlineStr">
        <is>
          <t>SM000429</t>
        </is>
      </c>
      <c r="B433" s="33" t="inlineStr">
        <is>
          <t>SW009</t>
        </is>
      </c>
      <c r="C433" s="33" t="inlineStr">
        <is>
          <t>David Popovici</t>
        </is>
      </c>
      <c r="D433" s="33" t="inlineStr">
        <is>
          <t>SwimCloud</t>
        </is>
      </c>
      <c r="E433" s="33" t="inlineStr">
        <is>
          <t>1405298</t>
        </is>
      </c>
      <c r="F433" s="33" t="inlineStr">
        <is>
          <t>46128689</t>
        </is>
      </c>
      <c r="G433" s="51" t="n">
        <v>44505</v>
      </c>
      <c r="H433" s="33" t="inlineStr">
        <is>
          <t>LEN European Championships</t>
        </is>
      </c>
      <c r="I433" s="33" t="inlineStr">
        <is>
          <t>209459</t>
        </is>
      </c>
      <c r="J433" s="33" t="inlineStr"/>
      <c r="K433" s="33" t="inlineStr">
        <is>
          <t>PRE</t>
        </is>
      </c>
      <c r="L433" s="35">
        <f>IF(K433="FIN",3,IF(OR(K433="SEM",K433="SEMI"),2,IF(OR(K433="PRE",K433="HEAT"),1,IF(V433="YES",4,2))))</f>
        <v/>
      </c>
      <c r="M433" s="33" t="inlineStr">
        <is>
          <t>SCM</t>
        </is>
      </c>
      <c r="N433" s="33" t="n">
        <v>200</v>
      </c>
      <c r="O433" s="33" t="inlineStr">
        <is>
          <t>Free</t>
        </is>
      </c>
      <c r="P433" s="33" t="inlineStr">
        <is>
          <t>200 Free</t>
        </is>
      </c>
      <c r="Q433" s="33" t="inlineStr">
        <is>
          <t>SCM_200_FREE</t>
        </is>
      </c>
      <c r="R433" s="36" t="n">
        <v>103.43</v>
      </c>
      <c r="S433" s="35">
        <f>IF(R433="","",IF(R433&gt;=60,INT(R433/60)&amp;":"&amp;TEXT(MOD(R433,60),"00.00"),TEXT(R433,"0.00")))</f>
        <v/>
      </c>
      <c r="T433" s="52">
        <f>IFERROR((G433-INDEX('01_Swimmers'!$E$5:$E$22,MATCH(B433,'01_Swimmers'!$A$5:$A$22,0)))/'00_Control'!$B$10,"")</f>
        <v/>
      </c>
      <c r="U433" s="35">
        <f>IF(T433="","",INT(T433))</f>
        <v/>
      </c>
      <c r="V433" s="33" t="inlineStr">
        <is>
          <t>NO</t>
        </is>
      </c>
      <c r="W433" s="33" t="inlineStr">
        <is>
          <t>YES</t>
        </is>
      </c>
      <c r="X433" s="33" t="inlineStr">
        <is>
          <t>NO</t>
        </is>
      </c>
      <c r="Y433" s="33" t="n">
        <v>8</v>
      </c>
      <c r="Z433" s="33" t="n">
        <v>7</v>
      </c>
      <c r="AA433" s="33" t="inlineStr">
        <is>
          <t>8</t>
        </is>
      </c>
      <c r="AB433" s="33" t="inlineStr">
        <is>
          <t>https://www.swimcloud.com/results/209459/event/26/?id=46128689#time46128689</t>
        </is>
      </c>
      <c r="AC433" s="33" t="inlineStr">
        <is>
          <t>SwimCloud API v6 2026-10-08</t>
        </is>
      </c>
      <c r="AD433" s="33" t="inlineStr">
        <is>
          <t>David Popovici|2021-11-05|SCM|200|Free|103.43|LEN European Championships|PRE|False</t>
        </is>
      </c>
      <c r="AE433" s="53">
        <f>G433+L433/1000+ROW()/1000000000</f>
        <v/>
      </c>
      <c r="AF433" s="35">
        <f>IF(C433&lt;&gt;"Grayson Coulter","",COUNTIFS($C$5:$C$2991,"Grayson Coulter",$Q$5:$Q$2991,Q433,$AE$5:$AE$2991,"&lt;="&amp;AE433,$R$5:$R$2991,"&lt;"&amp;R433))</f>
        <v/>
      </c>
      <c r="AG433" s="35">
        <f>IF(OR(C433&lt;&gt;"Grayson Coulter",G433&lt;'00_Control'!$B$7),"",--(AF433&lt;5))</f>
        <v/>
      </c>
      <c r="AH433" s="35">
        <f>IF(OR(C433&lt;&gt;"Grayson Coulter",G433&lt;'00_Control'!$B$7),"",--(AF433&lt;10))</f>
        <v/>
      </c>
      <c r="AI433" s="35">
        <f>IF(AND(C433="Grayson Coulter",G433&gt;='00_Control'!$B$7),"YES","NO")</f>
        <v/>
      </c>
      <c r="AJ433" s="33" t="inlineStr">
        <is>
          <t>OK</t>
        </is>
      </c>
    </row>
    <row r="434">
      <c r="A434" s="33" t="inlineStr">
        <is>
          <t>SM000430</t>
        </is>
      </c>
      <c r="B434" s="33" t="inlineStr">
        <is>
          <t>SW009</t>
        </is>
      </c>
      <c r="C434" s="33" t="inlineStr">
        <is>
          <t>David Popovici</t>
        </is>
      </c>
      <c r="D434" s="33" t="inlineStr">
        <is>
          <t>SwimCloud</t>
        </is>
      </c>
      <c r="E434" s="33" t="inlineStr">
        <is>
          <t>1405298</t>
        </is>
      </c>
      <c r="F434" s="33" t="inlineStr">
        <is>
          <t>46128690</t>
        </is>
      </c>
      <c r="G434" s="51" t="n">
        <v>44505</v>
      </c>
      <c r="H434" s="33" t="inlineStr">
        <is>
          <t>LEN European Championships</t>
        </is>
      </c>
      <c r="I434" s="33" t="inlineStr">
        <is>
          <t>209459</t>
        </is>
      </c>
      <c r="J434" s="33" t="inlineStr"/>
      <c r="K434" s="33" t="inlineStr">
        <is>
          <t>SEM</t>
        </is>
      </c>
      <c r="L434" s="35">
        <f>IF(K434="FIN",3,IF(OR(K434="SEM",K434="SEMI"),2,IF(OR(K434="PRE",K434="HEAT"),1,IF(V434="YES",4,2))))</f>
        <v/>
      </c>
      <c r="M434" s="33" t="inlineStr">
        <is>
          <t>SCM</t>
        </is>
      </c>
      <c r="N434" s="33" t="n">
        <v>200</v>
      </c>
      <c r="O434" s="33" t="inlineStr">
        <is>
          <t>Free</t>
        </is>
      </c>
      <c r="P434" s="33" t="inlineStr">
        <is>
          <t>200 Free</t>
        </is>
      </c>
      <c r="Q434" s="33" t="inlineStr">
        <is>
          <t>SCM_200_FREE</t>
        </is>
      </c>
      <c r="R434" s="36" t="n">
        <v>103.08</v>
      </c>
      <c r="S434" s="35">
        <f>IF(R434="","",IF(R434&gt;=60,INT(R434/60)&amp;":"&amp;TEXT(MOD(R434,60),"00.00"),TEXT(R434,"0.00")))</f>
        <v/>
      </c>
      <c r="T434" s="52">
        <f>IFERROR((G434-INDEX('01_Swimmers'!$E$5:$E$22,MATCH(B434,'01_Swimmers'!$A$5:$A$22,0)))/'00_Control'!$B$10,"")</f>
        <v/>
      </c>
      <c r="U434" s="35">
        <f>IF(T434="","",INT(T434))</f>
        <v/>
      </c>
      <c r="V434" s="33" t="inlineStr">
        <is>
          <t>NO</t>
        </is>
      </c>
      <c r="W434" s="33" t="inlineStr">
        <is>
          <t>YES</t>
        </is>
      </c>
      <c r="X434" s="33" t="inlineStr">
        <is>
          <t>NO</t>
        </is>
      </c>
      <c r="Y434" s="33" t="n">
        <v>6</v>
      </c>
      <c r="Z434" s="33" t="n">
        <v>3</v>
      </c>
      <c r="AA434" s="33" t="inlineStr">
        <is>
          <t>1</t>
        </is>
      </c>
      <c r="AB434" s="33" t="inlineStr">
        <is>
          <t>https://www.swimcloud.com/results/209459/event/226/?id=46128690#time46128690</t>
        </is>
      </c>
      <c r="AC434" s="33" t="inlineStr">
        <is>
          <t>SwimCloud API v6 2026-10-08</t>
        </is>
      </c>
      <c r="AD434" s="33" t="inlineStr">
        <is>
          <t>David Popovici|2021-11-05|SCM|200|Free|103.08|LEN European Championships|SEM|False</t>
        </is>
      </c>
      <c r="AE434" s="53">
        <f>G434+L434/1000+ROW()/1000000000</f>
        <v/>
      </c>
      <c r="AF434" s="35">
        <f>IF(C434&lt;&gt;"Grayson Coulter","",COUNTIFS($C$5:$C$2991,"Grayson Coulter",$Q$5:$Q$2991,Q434,$AE$5:$AE$2991,"&lt;="&amp;AE434,$R$5:$R$2991,"&lt;"&amp;R434))</f>
        <v/>
      </c>
      <c r="AG434" s="35">
        <f>IF(OR(C434&lt;&gt;"Grayson Coulter",G434&lt;'00_Control'!$B$7),"",--(AF434&lt;5))</f>
        <v/>
      </c>
      <c r="AH434" s="35">
        <f>IF(OR(C434&lt;&gt;"Grayson Coulter",G434&lt;'00_Control'!$B$7),"",--(AF434&lt;10))</f>
        <v/>
      </c>
      <c r="AI434" s="35">
        <f>IF(AND(C434="Grayson Coulter",G434&gt;='00_Control'!$B$7),"YES","NO")</f>
        <v/>
      </c>
      <c r="AJ434" s="33" t="inlineStr">
        <is>
          <t>OK</t>
        </is>
      </c>
    </row>
    <row r="435">
      <c r="A435" s="33" t="inlineStr">
        <is>
          <t>SM000431</t>
        </is>
      </c>
      <c r="B435" s="33" t="inlineStr">
        <is>
          <t>SW009</t>
        </is>
      </c>
      <c r="C435" s="33" t="inlineStr">
        <is>
          <t>David Popovici</t>
        </is>
      </c>
      <c r="D435" s="33" t="inlineStr">
        <is>
          <t>SwimCloud</t>
        </is>
      </c>
      <c r="E435" s="33" t="inlineStr">
        <is>
          <t>1405298</t>
        </is>
      </c>
      <c r="F435" s="33" t="inlineStr">
        <is>
          <t>46128687</t>
        </is>
      </c>
      <c r="G435" s="51" t="n">
        <v>44506</v>
      </c>
      <c r="H435" s="33" t="inlineStr">
        <is>
          <t>LEN European Championships</t>
        </is>
      </c>
      <c r="I435" s="33" t="inlineStr">
        <is>
          <t>209459</t>
        </is>
      </c>
      <c r="J435" s="33" t="inlineStr"/>
      <c r="K435" s="33" t="inlineStr">
        <is>
          <t>PRE</t>
        </is>
      </c>
      <c r="L435" s="35">
        <f>IF(K435="FIN",3,IF(OR(K435="SEM",K435="SEMI"),2,IF(OR(K435="PRE",K435="HEAT"),1,IF(V435="YES",4,2))))</f>
        <v/>
      </c>
      <c r="M435" s="33" t="inlineStr">
        <is>
          <t>SCM</t>
        </is>
      </c>
      <c r="N435" s="33" t="n">
        <v>100</v>
      </c>
      <c r="O435" s="33" t="inlineStr">
        <is>
          <t>Free</t>
        </is>
      </c>
      <c r="P435" s="33" t="inlineStr">
        <is>
          <t>100 Free</t>
        </is>
      </c>
      <c r="Q435" s="33" t="inlineStr">
        <is>
          <t>SCM_100_FREE</t>
        </is>
      </c>
      <c r="R435" s="36" t="n">
        <v>47.3</v>
      </c>
      <c r="S435" s="35">
        <f>IF(R435="","",IF(R435&gt;=60,INT(R435/60)&amp;":"&amp;TEXT(MOD(R435,60),"00.00"),TEXT(R435,"0.00")))</f>
        <v/>
      </c>
      <c r="T435" s="52">
        <f>IFERROR((G435-INDEX('01_Swimmers'!$E$5:$E$22,MATCH(B435,'01_Swimmers'!$A$5:$A$22,0)))/'00_Control'!$B$10,"")</f>
        <v/>
      </c>
      <c r="U435" s="35">
        <f>IF(T435="","",INT(T435))</f>
        <v/>
      </c>
      <c r="V435" s="33" t="inlineStr">
        <is>
          <t>NO</t>
        </is>
      </c>
      <c r="W435" s="33" t="inlineStr">
        <is>
          <t>YES</t>
        </is>
      </c>
      <c r="X435" s="33" t="inlineStr">
        <is>
          <t>NO</t>
        </is>
      </c>
      <c r="Y435" s="33" t="n">
        <v>20</v>
      </c>
      <c r="Z435" s="33" t="n">
        <v>1</v>
      </c>
      <c r="AA435" s="33" t="inlineStr">
        <is>
          <t>15</t>
        </is>
      </c>
      <c r="AB435" s="33" t="inlineStr">
        <is>
          <t>https://www.swimcloud.com/results/209459/event/35/?id=46128687#time46128687</t>
        </is>
      </c>
      <c r="AC435" s="33" t="inlineStr">
        <is>
          <t>SwimCloud API v6 2026-10-08</t>
        </is>
      </c>
      <c r="AD435" s="33" t="inlineStr">
        <is>
          <t>David Popovici|2021-11-06|SCM|100|Free|47.3|LEN European Championships|PRE|False</t>
        </is>
      </c>
      <c r="AE435" s="53">
        <f>G435+L435/1000+ROW()/1000000000</f>
        <v/>
      </c>
      <c r="AF435" s="35">
        <f>IF(C435&lt;&gt;"Grayson Coulter","",COUNTIFS($C$5:$C$2991,"Grayson Coulter",$Q$5:$Q$2991,Q435,$AE$5:$AE$2991,"&lt;="&amp;AE435,$R$5:$R$2991,"&lt;"&amp;R435))</f>
        <v/>
      </c>
      <c r="AG435" s="35">
        <f>IF(OR(C435&lt;&gt;"Grayson Coulter",G435&lt;'00_Control'!$B$7),"",--(AF435&lt;5))</f>
        <v/>
      </c>
      <c r="AH435" s="35">
        <f>IF(OR(C435&lt;&gt;"Grayson Coulter",G435&lt;'00_Control'!$B$7),"",--(AF435&lt;10))</f>
        <v/>
      </c>
      <c r="AI435" s="35">
        <f>IF(AND(C435="Grayson Coulter",G435&gt;='00_Control'!$B$7),"YES","NO")</f>
        <v/>
      </c>
      <c r="AJ435" s="33" t="inlineStr">
        <is>
          <t>OK</t>
        </is>
      </c>
    </row>
    <row r="436">
      <c r="A436" s="33" t="inlineStr">
        <is>
          <t>SM000432</t>
        </is>
      </c>
      <c r="B436" s="33" t="inlineStr">
        <is>
          <t>SW009</t>
        </is>
      </c>
      <c r="C436" s="33" t="inlineStr">
        <is>
          <t>David Popovici</t>
        </is>
      </c>
      <c r="D436" s="33" t="inlineStr">
        <is>
          <t>SwimCloud</t>
        </is>
      </c>
      <c r="E436" s="33" t="inlineStr">
        <is>
          <t>1405298</t>
        </is>
      </c>
      <c r="F436" s="33" t="inlineStr">
        <is>
          <t>46128688</t>
        </is>
      </c>
      <c r="G436" s="51" t="n">
        <v>44506</v>
      </c>
      <c r="H436" s="33" t="inlineStr">
        <is>
          <t>LEN European Championships</t>
        </is>
      </c>
      <c r="I436" s="33" t="inlineStr">
        <is>
          <t>209459</t>
        </is>
      </c>
      <c r="J436" s="33" t="inlineStr"/>
      <c r="K436" s="33" t="inlineStr">
        <is>
          <t>SEM</t>
        </is>
      </c>
      <c r="L436" s="35">
        <f>IF(K436="FIN",3,IF(OR(K436="SEM",K436="SEMI"),2,IF(OR(K436="PRE",K436="HEAT"),1,IF(V436="YES",4,2))))</f>
        <v/>
      </c>
      <c r="M436" s="33" t="inlineStr">
        <is>
          <t>SCM</t>
        </is>
      </c>
      <c r="N436" s="33" t="n">
        <v>100</v>
      </c>
      <c r="O436" s="33" t="inlineStr">
        <is>
          <t>Free</t>
        </is>
      </c>
      <c r="P436" s="33" t="inlineStr">
        <is>
          <t>100 Free</t>
        </is>
      </c>
      <c r="Q436" s="33" t="inlineStr">
        <is>
          <t>SCM_100_FREE</t>
        </is>
      </c>
      <c r="R436" s="36" t="n">
        <v>47.21</v>
      </c>
      <c r="S436" s="35">
        <f>IF(R436="","",IF(R436&gt;=60,INT(R436/60)&amp;":"&amp;TEXT(MOD(R436,60),"00.00"),TEXT(R436,"0.00")))</f>
        <v/>
      </c>
      <c r="T436" s="52">
        <f>IFERROR((G436-INDEX('01_Swimmers'!$E$5:$E$22,MATCH(B436,'01_Swimmers'!$A$5:$A$22,0)))/'00_Control'!$B$10,"")</f>
        <v/>
      </c>
      <c r="U436" s="35">
        <f>IF(T436="","",INT(T436))</f>
        <v/>
      </c>
      <c r="V436" s="33" t="inlineStr">
        <is>
          <t>NO</t>
        </is>
      </c>
      <c r="W436" s="33" t="inlineStr">
        <is>
          <t>YES</t>
        </is>
      </c>
      <c r="X436" s="33" t="inlineStr">
        <is>
          <t>NO</t>
        </is>
      </c>
      <c r="Y436" s="33" t="n">
        <v>15</v>
      </c>
      <c r="Z436" s="33" t="n">
        <v>2</v>
      </c>
      <c r="AA436" s="33" t="inlineStr">
        <is>
          <t>10</t>
        </is>
      </c>
      <c r="AB436" s="33" t="inlineStr">
        <is>
          <t>https://www.swimcloud.com/results/209459/event/235/?id=46128688#time46128688</t>
        </is>
      </c>
      <c r="AC436" s="33" t="inlineStr">
        <is>
          <t>SwimCloud API v6 2026-10-08</t>
        </is>
      </c>
      <c r="AD436" s="33" t="inlineStr">
        <is>
          <t>David Popovici|2021-11-06|SCM|100|Free|47.21|LEN European Championships|SEM|False</t>
        </is>
      </c>
      <c r="AE436" s="53">
        <f>G436+L436/1000+ROW()/1000000000</f>
        <v/>
      </c>
      <c r="AF436" s="35">
        <f>IF(C436&lt;&gt;"Grayson Coulter","",COUNTIFS($C$5:$C$2991,"Grayson Coulter",$Q$5:$Q$2991,Q436,$AE$5:$AE$2991,"&lt;="&amp;AE436,$R$5:$R$2991,"&lt;"&amp;R436))</f>
        <v/>
      </c>
      <c r="AG436" s="35">
        <f>IF(OR(C436&lt;&gt;"Grayson Coulter",G436&lt;'00_Control'!$B$7),"",--(AF436&lt;5))</f>
        <v/>
      </c>
      <c r="AH436" s="35">
        <f>IF(OR(C436&lt;&gt;"Grayson Coulter",G436&lt;'00_Control'!$B$7),"",--(AF436&lt;10))</f>
        <v/>
      </c>
      <c r="AI436" s="35">
        <f>IF(AND(C436="Grayson Coulter",G436&gt;='00_Control'!$B$7),"YES","NO")</f>
        <v/>
      </c>
      <c r="AJ436" s="33" t="inlineStr">
        <is>
          <t>OK</t>
        </is>
      </c>
    </row>
    <row r="437">
      <c r="A437" s="33" t="inlineStr">
        <is>
          <t>SM000433</t>
        </is>
      </c>
      <c r="B437" s="33" t="inlineStr">
        <is>
          <t>SW009</t>
        </is>
      </c>
      <c r="C437" s="33" t="inlineStr">
        <is>
          <t>David Popovici</t>
        </is>
      </c>
      <c r="D437" s="33" t="inlineStr">
        <is>
          <t>SwimCloud</t>
        </is>
      </c>
      <c r="E437" s="33" t="inlineStr">
        <is>
          <t>1405298</t>
        </is>
      </c>
      <c r="F437" s="33" t="inlineStr">
        <is>
          <t>46128691</t>
        </is>
      </c>
      <c r="G437" s="51" t="n">
        <v>44506</v>
      </c>
      <c r="H437" s="33" t="inlineStr">
        <is>
          <t>LEN European Championships</t>
        </is>
      </c>
      <c r="I437" s="33" t="inlineStr">
        <is>
          <t>209459</t>
        </is>
      </c>
      <c r="J437" s="33" t="inlineStr"/>
      <c r="K437" s="33" t="inlineStr">
        <is>
          <t>FIN</t>
        </is>
      </c>
      <c r="L437" s="35">
        <f>IF(K437="FIN",3,IF(OR(K437="SEM",K437="SEMI"),2,IF(OR(K437="PRE",K437="HEAT"),1,IF(V437="YES",4,2))))</f>
        <v/>
      </c>
      <c r="M437" s="33" t="inlineStr">
        <is>
          <t>SCM</t>
        </is>
      </c>
      <c r="N437" s="33" t="n">
        <v>200</v>
      </c>
      <c r="O437" s="33" t="inlineStr">
        <is>
          <t>Free</t>
        </is>
      </c>
      <c r="P437" s="33" t="inlineStr">
        <is>
          <t>200 Free</t>
        </is>
      </c>
      <c r="Q437" s="33" t="inlineStr">
        <is>
          <t>SCM_200_FREE</t>
        </is>
      </c>
      <c r="R437" s="36" t="n">
        <v>102.12</v>
      </c>
      <c r="S437" s="35">
        <f>IF(R437="","",IF(R437&gt;=60,INT(R437/60)&amp;":"&amp;TEXT(MOD(R437,60),"00.00"),TEXT(R437,"0.00")))</f>
        <v/>
      </c>
      <c r="T437" s="52">
        <f>IFERROR((G437-INDEX('01_Swimmers'!$E$5:$E$22,MATCH(B437,'01_Swimmers'!$A$5:$A$22,0)))/'00_Control'!$B$10,"")</f>
        <v/>
      </c>
      <c r="U437" s="35">
        <f>IF(T437="","",INT(T437))</f>
        <v/>
      </c>
      <c r="V437" s="33" t="inlineStr">
        <is>
          <t>NO</t>
        </is>
      </c>
      <c r="W437" s="33" t="inlineStr">
        <is>
          <t>YES</t>
        </is>
      </c>
      <c r="X437" s="33" t="inlineStr">
        <is>
          <t>NO</t>
        </is>
      </c>
      <c r="Y437" s="33" t="n">
        <v>2</v>
      </c>
      <c r="Z437" s="33" t="n">
        <v>4</v>
      </c>
      <c r="AA437" s="33" t="inlineStr">
        <is>
          <t>1</t>
        </is>
      </c>
      <c r="AB437" s="33" t="inlineStr">
        <is>
          <t>https://www.swimcloud.com/results/209459/event/126/?id=46128691#time46128691</t>
        </is>
      </c>
      <c r="AC437" s="33" t="inlineStr">
        <is>
          <t>SwimCloud API v6 2026-10-08</t>
        </is>
      </c>
      <c r="AD437" s="33" t="inlineStr">
        <is>
          <t>David Popovici|2021-11-06|SCM|200|Free|102.12|LEN European Championships|FIN|False</t>
        </is>
      </c>
      <c r="AE437" s="53">
        <f>G437+L437/1000+ROW()/1000000000</f>
        <v/>
      </c>
      <c r="AF437" s="35">
        <f>IF(C437&lt;&gt;"Grayson Coulter","",COUNTIFS($C$5:$C$2991,"Grayson Coulter",$Q$5:$Q$2991,Q437,$AE$5:$AE$2991,"&lt;="&amp;AE437,$R$5:$R$2991,"&lt;"&amp;R437))</f>
        <v/>
      </c>
      <c r="AG437" s="35">
        <f>IF(OR(C437&lt;&gt;"Grayson Coulter",G437&lt;'00_Control'!$B$7),"",--(AF437&lt;5))</f>
        <v/>
      </c>
      <c r="AH437" s="35">
        <f>IF(OR(C437&lt;&gt;"Grayson Coulter",G437&lt;'00_Control'!$B$7),"",--(AF437&lt;10))</f>
        <v/>
      </c>
      <c r="AI437" s="35">
        <f>IF(AND(C437="Grayson Coulter",G437&gt;='00_Control'!$B$7),"YES","NO")</f>
        <v/>
      </c>
      <c r="AJ437" s="33" t="inlineStr">
        <is>
          <t>OK</t>
        </is>
      </c>
    </row>
    <row r="438">
      <c r="A438" s="33" t="inlineStr">
        <is>
          <t>SM000434</t>
        </is>
      </c>
      <c r="B438" s="33" t="inlineStr">
        <is>
          <t>SW009</t>
        </is>
      </c>
      <c r="C438" s="33" t="inlineStr">
        <is>
          <t>David Popovici</t>
        </is>
      </c>
      <c r="D438" s="33" t="inlineStr">
        <is>
          <t>SwimCloud</t>
        </is>
      </c>
      <c r="E438" s="33" t="inlineStr">
        <is>
          <t>1405298</t>
        </is>
      </c>
      <c r="F438" s="33" t="inlineStr">
        <is>
          <t>50376813</t>
        </is>
      </c>
      <c r="G438" s="51" t="n">
        <v>44546</v>
      </c>
      <c r="H438" s="33" t="inlineStr">
        <is>
          <t>15th FINA World Short Course Championships</t>
        </is>
      </c>
      <c r="I438" s="33" t="inlineStr">
        <is>
          <t>214017</t>
        </is>
      </c>
      <c r="J438" s="33" t="inlineStr"/>
      <c r="K438" s="33" t="inlineStr">
        <is>
          <t>PRE</t>
        </is>
      </c>
      <c r="L438" s="35">
        <f>IF(K438="FIN",3,IF(OR(K438="SEM",K438="SEMI"),2,IF(OR(K438="PRE",K438="HEAT"),1,IF(V438="YES",4,2))))</f>
        <v/>
      </c>
      <c r="M438" s="33" t="inlineStr">
        <is>
          <t>SCM</t>
        </is>
      </c>
      <c r="N438" s="33" t="n">
        <v>400</v>
      </c>
      <c r="O438" s="33" t="inlineStr">
        <is>
          <t>Free</t>
        </is>
      </c>
      <c r="P438" s="33" t="inlineStr">
        <is>
          <t>400 Free</t>
        </is>
      </c>
      <c r="Q438" s="33" t="inlineStr">
        <is>
          <t>SCM_400_FREE</t>
        </is>
      </c>
      <c r="R438" s="36" t="n">
        <v>226.08</v>
      </c>
      <c r="S438" s="35">
        <f>IF(R438="","",IF(R438&gt;=60,INT(R438/60)&amp;":"&amp;TEXT(MOD(R438,60),"00.00"),TEXT(R438,"0.00")))</f>
        <v/>
      </c>
      <c r="T438" s="52">
        <f>IFERROR((G438-INDEX('01_Swimmers'!$E$5:$E$22,MATCH(B438,'01_Swimmers'!$A$5:$A$22,0)))/'00_Control'!$B$10,"")</f>
        <v/>
      </c>
      <c r="U438" s="35">
        <f>IF(T438="","",INT(T438))</f>
        <v/>
      </c>
      <c r="V438" s="33" t="inlineStr">
        <is>
          <t>NO</t>
        </is>
      </c>
      <c r="W438" s="33" t="inlineStr">
        <is>
          <t>YES</t>
        </is>
      </c>
      <c r="X438" s="33" t="inlineStr">
        <is>
          <t>NO</t>
        </is>
      </c>
      <c r="Y438" s="33" t="n">
        <v>4</v>
      </c>
      <c r="Z438" s="33" t="n">
        <v>7</v>
      </c>
      <c r="AA438" s="33" t="inlineStr">
        <is>
          <t>32</t>
        </is>
      </c>
      <c r="AB438" s="33" t="inlineStr">
        <is>
          <t>https://www.swimcloud.com/results/214017/event/1/?id=50376813#time50376813</t>
        </is>
      </c>
      <c r="AC438" s="33" t="inlineStr">
        <is>
          <t>SwimCloud API v6 2026-10-08</t>
        </is>
      </c>
      <c r="AD438" s="33" t="inlineStr">
        <is>
          <t>David Popovici|2021-12-16|SCM|400|Free|226.08|15th FINA World Short Course Championships|PRE|False</t>
        </is>
      </c>
      <c r="AE438" s="53">
        <f>G438+L438/1000+ROW()/1000000000</f>
        <v/>
      </c>
      <c r="AF438" s="35">
        <f>IF(C438&lt;&gt;"Grayson Coulter","",COUNTIFS($C$5:$C$2991,"Grayson Coulter",$Q$5:$Q$2991,Q438,$AE$5:$AE$2991,"&lt;="&amp;AE438,$R$5:$R$2991,"&lt;"&amp;R438))</f>
        <v/>
      </c>
      <c r="AG438" s="35">
        <f>IF(OR(C438&lt;&gt;"Grayson Coulter",G438&lt;'00_Control'!$B$7),"",--(AF438&lt;5))</f>
        <v/>
      </c>
      <c r="AH438" s="35">
        <f>IF(OR(C438&lt;&gt;"Grayson Coulter",G438&lt;'00_Control'!$B$7),"",--(AF438&lt;10))</f>
        <v/>
      </c>
      <c r="AI438" s="35">
        <f>IF(AND(C438="Grayson Coulter",G438&gt;='00_Control'!$B$7),"YES","NO")</f>
        <v/>
      </c>
      <c r="AJ438" s="33" t="inlineStr">
        <is>
          <t>OK</t>
        </is>
      </c>
    </row>
    <row r="439">
      <c r="A439" s="33" t="inlineStr">
        <is>
          <t>SM000435</t>
        </is>
      </c>
      <c r="B439" s="33" t="inlineStr">
        <is>
          <t>SW009</t>
        </is>
      </c>
      <c r="C439" s="33" t="inlineStr">
        <is>
          <t>David Popovici</t>
        </is>
      </c>
      <c r="D439" s="33" t="inlineStr">
        <is>
          <t>SwimCloud</t>
        </is>
      </c>
      <c r="E439" s="33" t="inlineStr">
        <is>
          <t>1405298</t>
        </is>
      </c>
      <c r="F439" s="33" t="inlineStr">
        <is>
          <t>50376812</t>
        </is>
      </c>
      <c r="G439" s="51" t="n">
        <v>44547</v>
      </c>
      <c r="H439" s="33" t="inlineStr">
        <is>
          <t>15th FINA World Short Course Championships</t>
        </is>
      </c>
      <c r="I439" s="33" t="inlineStr">
        <is>
          <t>214017</t>
        </is>
      </c>
      <c r="J439" s="33" t="inlineStr"/>
      <c r="K439" s="33" t="inlineStr">
        <is>
          <t>PRE</t>
        </is>
      </c>
      <c r="L439" s="35">
        <f>IF(K439="FIN",3,IF(OR(K439="SEM",K439="SEMI"),2,IF(OR(K439="PRE",K439="HEAT"),1,IF(V439="YES",4,2))))</f>
        <v/>
      </c>
      <c r="M439" s="33" t="inlineStr">
        <is>
          <t>SCM</t>
        </is>
      </c>
      <c r="N439" s="33" t="n">
        <v>200</v>
      </c>
      <c r="O439" s="33" t="inlineStr">
        <is>
          <t>Free</t>
        </is>
      </c>
      <c r="P439" s="33" t="inlineStr">
        <is>
          <t>200 Free</t>
        </is>
      </c>
      <c r="Q439" s="33" t="inlineStr">
        <is>
          <t>SCM_200_FREE</t>
        </is>
      </c>
      <c r="R439" s="36" t="n">
        <v>103.62</v>
      </c>
      <c r="S439" s="35">
        <f>IF(R439="","",IF(R439&gt;=60,INT(R439/60)&amp;":"&amp;TEXT(MOD(R439,60),"00.00"),TEXT(R439,"0.00")))</f>
        <v/>
      </c>
      <c r="T439" s="52">
        <f>IFERROR((G439-INDEX('01_Swimmers'!$E$5:$E$22,MATCH(B439,'01_Swimmers'!$A$5:$A$22,0)))/'00_Control'!$B$10,"")</f>
        <v/>
      </c>
      <c r="U439" s="35">
        <f>IF(T439="","",INT(T439))</f>
        <v/>
      </c>
      <c r="V439" s="33" t="inlineStr">
        <is>
          <t>NO</t>
        </is>
      </c>
      <c r="W439" s="33" t="inlineStr">
        <is>
          <t>YES</t>
        </is>
      </c>
      <c r="X439" s="33" t="inlineStr">
        <is>
          <t>NO</t>
        </is>
      </c>
      <c r="Y439" s="33" t="n">
        <v>8</v>
      </c>
      <c r="Z439" s="33" t="n">
        <v>5</v>
      </c>
      <c r="AA439" s="33" t="inlineStr">
        <is>
          <t>14</t>
        </is>
      </c>
      <c r="AB439" s="33" t="inlineStr">
        <is>
          <t>https://www.swimcloud.com/results/214017/event/13/?id=50376812#time50376812</t>
        </is>
      </c>
      <c r="AC439" s="33" t="inlineStr">
        <is>
          <t>SwimCloud API v6 2026-10-08</t>
        </is>
      </c>
      <c r="AD439" s="33" t="inlineStr">
        <is>
          <t>David Popovici|2021-12-17|SCM|200|Free|103.62|15th FINA World Short Course Championships|PRE|False</t>
        </is>
      </c>
      <c r="AE439" s="53">
        <f>G439+L439/1000+ROW()/1000000000</f>
        <v/>
      </c>
      <c r="AF439" s="35">
        <f>IF(C439&lt;&gt;"Grayson Coulter","",COUNTIFS($C$5:$C$2991,"Grayson Coulter",$Q$5:$Q$2991,Q439,$AE$5:$AE$2991,"&lt;="&amp;AE439,$R$5:$R$2991,"&lt;"&amp;R439))</f>
        <v/>
      </c>
      <c r="AG439" s="35">
        <f>IF(OR(C439&lt;&gt;"Grayson Coulter",G439&lt;'00_Control'!$B$7),"",--(AF439&lt;5))</f>
        <v/>
      </c>
      <c r="AH439" s="35">
        <f>IF(OR(C439&lt;&gt;"Grayson Coulter",G439&lt;'00_Control'!$B$7),"",--(AF439&lt;10))</f>
        <v/>
      </c>
      <c r="AI439" s="35">
        <f>IF(AND(C439="Grayson Coulter",G439&gt;='00_Control'!$B$7),"YES","NO")</f>
        <v/>
      </c>
      <c r="AJ439" s="33" t="inlineStr">
        <is>
          <t>OK</t>
        </is>
      </c>
    </row>
    <row r="440">
      <c r="A440" s="33" t="inlineStr">
        <is>
          <t>SM000436</t>
        </is>
      </c>
      <c r="B440" s="33" t="inlineStr">
        <is>
          <t>SW009</t>
        </is>
      </c>
      <c r="C440" s="33" t="inlineStr">
        <is>
          <t>David Popovici</t>
        </is>
      </c>
      <c r="D440" s="33" t="inlineStr">
        <is>
          <t>SwimCloud</t>
        </is>
      </c>
      <c r="E440" s="33" t="inlineStr">
        <is>
          <t>1405298</t>
        </is>
      </c>
      <c r="F440" s="33" t="inlineStr">
        <is>
          <t>64385874</t>
        </is>
      </c>
      <c r="G440" s="51" t="n">
        <v>44660</v>
      </c>
      <c r="H440" s="33" t="inlineStr">
        <is>
          <t>Multinations Junior Meet</t>
        </is>
      </c>
      <c r="I440" s="33" t="inlineStr">
        <is>
          <t>230261</t>
        </is>
      </c>
      <c r="J440" s="33" t="inlineStr"/>
      <c r="K440" s="33" t="inlineStr">
        <is>
          <t>TIM</t>
        </is>
      </c>
      <c r="L440" s="35">
        <f>IF(K440="FIN",3,IF(OR(K440="SEM",K440="SEMI"),2,IF(OR(K440="PRE",K440="HEAT"),1,IF(V440="YES",4,2))))</f>
        <v/>
      </c>
      <c r="M440" s="33" t="inlineStr">
        <is>
          <t>LCM</t>
        </is>
      </c>
      <c r="N440" s="33" t="n">
        <v>100</v>
      </c>
      <c r="O440" s="33" t="inlineStr">
        <is>
          <t>Free</t>
        </is>
      </c>
      <c r="P440" s="33" t="inlineStr">
        <is>
          <t>100 Free</t>
        </is>
      </c>
      <c r="Q440" s="33" t="inlineStr">
        <is>
          <t>LCM_100_FREE</t>
        </is>
      </c>
      <c r="R440" s="36" t="n">
        <v>48.11</v>
      </c>
      <c r="S440" s="35">
        <f>IF(R440="","",IF(R440&gt;=60,INT(R440/60)&amp;":"&amp;TEXT(MOD(R440,60),"00.00"),TEXT(R440,"0.00")))</f>
        <v/>
      </c>
      <c r="T440" s="52">
        <f>IFERROR((G440-INDEX('01_Swimmers'!$E$5:$E$22,MATCH(B440,'01_Swimmers'!$A$5:$A$22,0)))/'00_Control'!$B$10,"")</f>
        <v/>
      </c>
      <c r="U440" s="35">
        <f>IF(T440="","",INT(T440))</f>
        <v/>
      </c>
      <c r="V440" s="33" t="inlineStr">
        <is>
          <t>NO</t>
        </is>
      </c>
      <c r="W440" s="33" t="inlineStr">
        <is>
          <t>YES</t>
        </is>
      </c>
      <c r="X440" s="33" t="inlineStr">
        <is>
          <t>NO</t>
        </is>
      </c>
      <c r="Y440" s="33" t="n">
        <v>5</v>
      </c>
      <c r="Z440" s="33" t="n">
        <v>4</v>
      </c>
      <c r="AA440" s="33" t="inlineStr">
        <is>
          <t>1</t>
        </is>
      </c>
      <c r="AB440" s="33" t="inlineStr">
        <is>
          <t>https://www.swimcloud.com/results/230261/event/3/?id=64385874#time64385874</t>
        </is>
      </c>
      <c r="AC440" s="33" t="inlineStr">
        <is>
          <t>SwimCloud API v6 2026-10-08</t>
        </is>
      </c>
      <c r="AD440" s="33" t="inlineStr">
        <is>
          <t>David Popovici|2022-04-09|LCM|100|Free|48.11|Multinations Junior Meet|TIM|False</t>
        </is>
      </c>
      <c r="AE440" s="53">
        <f>G440+L440/1000+ROW()/1000000000</f>
        <v/>
      </c>
      <c r="AF440" s="35">
        <f>IF(C440&lt;&gt;"Grayson Coulter","",COUNTIFS($C$5:$C$2991,"Grayson Coulter",$Q$5:$Q$2991,Q440,$AE$5:$AE$2991,"&lt;="&amp;AE440,$R$5:$R$2991,"&lt;"&amp;R440))</f>
        <v/>
      </c>
      <c r="AG440" s="35">
        <f>IF(OR(C440&lt;&gt;"Grayson Coulter",G440&lt;'00_Control'!$B$7),"",--(AF440&lt;5))</f>
        <v/>
      </c>
      <c r="AH440" s="35">
        <f>IF(OR(C440&lt;&gt;"Grayson Coulter",G440&lt;'00_Control'!$B$7),"",--(AF440&lt;10))</f>
        <v/>
      </c>
      <c r="AI440" s="35">
        <f>IF(AND(C440="Grayson Coulter",G440&gt;='00_Control'!$B$7),"YES","NO")</f>
        <v/>
      </c>
      <c r="AJ440" s="33" t="inlineStr">
        <is>
          <t>OK</t>
        </is>
      </c>
    </row>
    <row r="441">
      <c r="A441" s="33" t="inlineStr">
        <is>
          <t>SM000437</t>
        </is>
      </c>
      <c r="B441" s="33" t="inlineStr">
        <is>
          <t>SW009</t>
        </is>
      </c>
      <c r="C441" s="33" t="inlineStr">
        <is>
          <t>David Popovici</t>
        </is>
      </c>
      <c r="D441" s="33" t="inlineStr">
        <is>
          <t>SwimCloud</t>
        </is>
      </c>
      <c r="E441" s="33" t="inlineStr">
        <is>
          <t>1405298</t>
        </is>
      </c>
      <c r="F441" s="33" t="inlineStr">
        <is>
          <t>64386454</t>
        </is>
      </c>
      <c r="G441" s="51" t="n">
        <v>44661</v>
      </c>
      <c r="H441" s="33" t="inlineStr">
        <is>
          <t>Multinations Junior Meet</t>
        </is>
      </c>
      <c r="I441" s="33" t="inlineStr">
        <is>
          <t>230261</t>
        </is>
      </c>
      <c r="J441" s="33" t="inlineStr"/>
      <c r="K441" s="33" t="inlineStr">
        <is>
          <t>TIM</t>
        </is>
      </c>
      <c r="L441" s="35">
        <f>IF(K441="FIN",3,IF(OR(K441="SEM",K441="SEMI"),2,IF(OR(K441="PRE",K441="HEAT"),1,IF(V441="YES",4,2))))</f>
        <v/>
      </c>
      <c r="M441" s="33" t="inlineStr">
        <is>
          <t>LCM</t>
        </is>
      </c>
      <c r="N441" s="33" t="n">
        <v>100</v>
      </c>
      <c r="O441" s="33" t="inlineStr">
        <is>
          <t>Free</t>
        </is>
      </c>
      <c r="P441" s="33" t="inlineStr">
        <is>
          <t>100 Free</t>
        </is>
      </c>
      <c r="Q441" s="33" t="inlineStr">
        <is>
          <t>LCM_100_FREE</t>
        </is>
      </c>
      <c r="R441" s="36" t="n">
        <v>48.44</v>
      </c>
      <c r="S441" s="35">
        <f>IF(R441="","",IF(R441&gt;=60,INT(R441/60)&amp;":"&amp;TEXT(MOD(R441,60),"00.00"),TEXT(R441,"0.00")))</f>
        <v/>
      </c>
      <c r="T441" s="52">
        <f>IFERROR((G441-INDEX('01_Swimmers'!$E$5:$E$22,MATCH(B441,'01_Swimmers'!$A$5:$A$22,0)))/'00_Control'!$B$10,"")</f>
        <v/>
      </c>
      <c r="U441" s="35">
        <f>IF(T441="","",INT(T441))</f>
        <v/>
      </c>
      <c r="V441" s="33" t="inlineStr">
        <is>
          <t>YES</t>
        </is>
      </c>
      <c r="W441" s="33" t="inlineStr">
        <is>
          <t>YES</t>
        </is>
      </c>
      <c r="X441" s="33" t="inlineStr">
        <is>
          <t>NO</t>
        </is>
      </c>
      <c r="Y441" s="33" t="n">
        <v>3</v>
      </c>
      <c r="Z441" s="33" t="n">
        <v>8</v>
      </c>
      <c r="AA441" s="33" t="inlineStr"/>
      <c r="AB441" s="33" t="inlineStr">
        <is>
          <t>https://www.swimcloud.com/results/230261/event/37/?id=64385890#time64385890</t>
        </is>
      </c>
      <c r="AC441" s="33" t="inlineStr">
        <is>
          <t>SwimCloud API v6 2026-10-08</t>
        </is>
      </c>
      <c r="AD441" s="33" t="inlineStr">
        <is>
          <t>David Popovici|2022-04-10|LCM|100|Free|48.44|Multinations Junior Meet|TIM|True</t>
        </is>
      </c>
      <c r="AE441" s="53">
        <f>G441+L441/1000+ROW()/1000000000</f>
        <v/>
      </c>
      <c r="AF441" s="35">
        <f>IF(C441&lt;&gt;"Grayson Coulter","",COUNTIFS($C$5:$C$2991,"Grayson Coulter",$Q$5:$Q$2991,Q441,$AE$5:$AE$2991,"&lt;="&amp;AE441,$R$5:$R$2991,"&lt;"&amp;R441))</f>
        <v/>
      </c>
      <c r="AG441" s="35">
        <f>IF(OR(C441&lt;&gt;"Grayson Coulter",G441&lt;'00_Control'!$B$7),"",--(AF441&lt;5))</f>
        <v/>
      </c>
      <c r="AH441" s="35">
        <f>IF(OR(C441&lt;&gt;"Grayson Coulter",G441&lt;'00_Control'!$B$7),"",--(AF441&lt;10))</f>
        <v/>
      </c>
      <c r="AI441" s="35">
        <f>IF(AND(C441="Grayson Coulter",G441&gt;='00_Control'!$B$7),"YES","NO")</f>
        <v/>
      </c>
      <c r="AJ441" s="33" t="inlineStr">
        <is>
          <t>OK</t>
        </is>
      </c>
    </row>
    <row r="442">
      <c r="A442" s="33" t="inlineStr">
        <is>
          <t>SM000438</t>
        </is>
      </c>
      <c r="B442" s="33" t="inlineStr">
        <is>
          <t>SW009</t>
        </is>
      </c>
      <c r="C442" s="33" t="inlineStr">
        <is>
          <t>David Popovici</t>
        </is>
      </c>
      <c r="D442" s="33" t="inlineStr">
        <is>
          <t>SwimCloud</t>
        </is>
      </c>
      <c r="E442" s="33" t="inlineStr">
        <is>
          <t>1405298</t>
        </is>
      </c>
      <c r="F442" s="33" t="inlineStr">
        <is>
          <t>64385876</t>
        </is>
      </c>
      <c r="G442" s="51" t="n">
        <v>44661</v>
      </c>
      <c r="H442" s="33" t="inlineStr">
        <is>
          <t>Multinations Junior Meet</t>
        </is>
      </c>
      <c r="I442" s="33" t="inlineStr">
        <is>
          <t>230261</t>
        </is>
      </c>
      <c r="J442" s="33" t="inlineStr"/>
      <c r="K442" s="33" t="inlineStr">
        <is>
          <t>TIM</t>
        </is>
      </c>
      <c r="L442" s="35">
        <f>IF(K442="FIN",3,IF(OR(K442="SEM",K442="SEMI"),2,IF(OR(K442="PRE",K442="HEAT"),1,IF(V442="YES",4,2))))</f>
        <v/>
      </c>
      <c r="M442" s="33" t="inlineStr">
        <is>
          <t>LCM</t>
        </is>
      </c>
      <c r="N442" s="33" t="n">
        <v>200</v>
      </c>
      <c r="O442" s="33" t="inlineStr">
        <is>
          <t>Free</t>
        </is>
      </c>
      <c r="P442" s="33" t="inlineStr">
        <is>
          <t>200 Free</t>
        </is>
      </c>
      <c r="Q442" s="33" t="inlineStr">
        <is>
          <t>LCM_200_FREE</t>
        </is>
      </c>
      <c r="R442" s="36" t="n">
        <v>106.28</v>
      </c>
      <c r="S442" s="35">
        <f>IF(R442="","",IF(R442&gt;=60,INT(R442/60)&amp;":"&amp;TEXT(MOD(R442,60),"00.00"),TEXT(R442,"0.00")))</f>
        <v/>
      </c>
      <c r="T442" s="52">
        <f>IFERROR((G442-INDEX('01_Swimmers'!$E$5:$E$22,MATCH(B442,'01_Swimmers'!$A$5:$A$22,0)))/'00_Control'!$B$10,"")</f>
        <v/>
      </c>
      <c r="U442" s="35">
        <f>IF(T442="","",INT(T442))</f>
        <v/>
      </c>
      <c r="V442" s="33" t="inlineStr">
        <is>
          <t>NO</t>
        </is>
      </c>
      <c r="W442" s="33" t="inlineStr">
        <is>
          <t>YES</t>
        </is>
      </c>
      <c r="X442" s="33" t="inlineStr">
        <is>
          <t>NO</t>
        </is>
      </c>
      <c r="Y442" s="33" t="n">
        <v>4</v>
      </c>
      <c r="Z442" s="33" t="n">
        <v>4</v>
      </c>
      <c r="AA442" s="33" t="inlineStr">
        <is>
          <t>1</t>
        </is>
      </c>
      <c r="AB442" s="33" t="inlineStr">
        <is>
          <t>https://www.swimcloud.com/results/230261/event/25/?id=64385876#time64385876</t>
        </is>
      </c>
      <c r="AC442" s="33" t="inlineStr">
        <is>
          <t>SwimCloud API v6 2026-10-08</t>
        </is>
      </c>
      <c r="AD442" s="33" t="inlineStr">
        <is>
          <t>David Popovici|2022-04-10|LCM|200|Free|106.28|Multinations Junior Meet|TIM|False</t>
        </is>
      </c>
      <c r="AE442" s="53">
        <f>G442+L442/1000+ROW()/1000000000</f>
        <v/>
      </c>
      <c r="AF442" s="35">
        <f>IF(C442&lt;&gt;"Grayson Coulter","",COUNTIFS($C$5:$C$2991,"Grayson Coulter",$Q$5:$Q$2991,Q442,$AE$5:$AE$2991,"&lt;="&amp;AE442,$R$5:$R$2991,"&lt;"&amp;R442))</f>
        <v/>
      </c>
      <c r="AG442" s="35">
        <f>IF(OR(C442&lt;&gt;"Grayson Coulter",G442&lt;'00_Control'!$B$7),"",--(AF442&lt;5))</f>
        <v/>
      </c>
      <c r="AH442" s="35">
        <f>IF(OR(C442&lt;&gt;"Grayson Coulter",G442&lt;'00_Control'!$B$7),"",--(AF442&lt;10))</f>
        <v/>
      </c>
      <c r="AI442" s="35">
        <f>IF(AND(C442="Grayson Coulter",G442&gt;='00_Control'!$B$7),"YES","NO")</f>
        <v/>
      </c>
      <c r="AJ442" s="33" t="inlineStr">
        <is>
          <t>OK</t>
        </is>
      </c>
    </row>
    <row r="443">
      <c r="A443" s="33" t="inlineStr">
        <is>
          <t>SM000439</t>
        </is>
      </c>
      <c r="B443" s="33" t="inlineStr">
        <is>
          <t>SW009</t>
        </is>
      </c>
      <c r="C443" s="33" t="inlineStr">
        <is>
          <t>David Popovici</t>
        </is>
      </c>
      <c r="D443" s="33" t="inlineStr">
        <is>
          <t>SwimCloud</t>
        </is>
      </c>
      <c r="E443" s="33" t="inlineStr">
        <is>
          <t>1405298</t>
        </is>
      </c>
      <c r="F443" s="33" t="inlineStr">
        <is>
          <t>67637314</t>
        </is>
      </c>
      <c r="G443" s="51" t="n">
        <v>44731</v>
      </c>
      <c r="H443" s="33" t="inlineStr">
        <is>
          <t>19th FINA World Championships</t>
        </is>
      </c>
      <c r="I443" s="33" t="inlineStr">
        <is>
          <t>222377</t>
        </is>
      </c>
      <c r="J443" s="33" t="inlineStr"/>
      <c r="K443" s="33" t="inlineStr">
        <is>
          <t>PRE</t>
        </is>
      </c>
      <c r="L443" s="35">
        <f>IF(K443="FIN",3,IF(OR(K443="SEM",K443="SEMI"),2,IF(OR(K443="PRE",K443="HEAT"),1,IF(V443="YES",4,2))))</f>
        <v/>
      </c>
      <c r="M443" s="33" t="inlineStr">
        <is>
          <t>LCM</t>
        </is>
      </c>
      <c r="N443" s="33" t="n">
        <v>200</v>
      </c>
      <c r="O443" s="33" t="inlineStr">
        <is>
          <t>Free</t>
        </is>
      </c>
      <c r="P443" s="33" t="inlineStr">
        <is>
          <t>200 Free</t>
        </is>
      </c>
      <c r="Q443" s="33" t="inlineStr">
        <is>
          <t>LCM_200_FREE</t>
        </is>
      </c>
      <c r="R443" s="36" t="n">
        <v>105.18</v>
      </c>
      <c r="S443" s="35">
        <f>IF(R443="","",IF(R443&gt;=60,INT(R443/60)&amp;":"&amp;TEXT(MOD(R443,60),"00.00"),TEXT(R443,"0.00")))</f>
        <v/>
      </c>
      <c r="T443" s="52">
        <f>IFERROR((G443-INDEX('01_Swimmers'!$E$5:$E$22,MATCH(B443,'01_Swimmers'!$A$5:$A$22,0)))/'00_Control'!$B$10,"")</f>
        <v/>
      </c>
      <c r="U443" s="35">
        <f>IF(T443="","",INT(T443))</f>
        <v/>
      </c>
      <c r="V443" s="33" t="inlineStr">
        <is>
          <t>NO</t>
        </is>
      </c>
      <c r="W443" s="33" t="inlineStr">
        <is>
          <t>YES</t>
        </is>
      </c>
      <c r="X443" s="33" t="inlineStr">
        <is>
          <t>NO</t>
        </is>
      </c>
      <c r="Y443" s="33" t="n">
        <v>7</v>
      </c>
      <c r="Z443" s="33" t="n">
        <v>5</v>
      </c>
      <c r="AA443" s="33" t="inlineStr">
        <is>
          <t>1</t>
        </is>
      </c>
      <c r="AB443" s="33" t="inlineStr">
        <is>
          <t>https://www.swimcloud.com/results/222377/event/13/?id=67637314#time67637314</t>
        </is>
      </c>
      <c r="AC443" s="33" t="inlineStr">
        <is>
          <t>SwimCloud API v6 2026-10-08</t>
        </is>
      </c>
      <c r="AD443" s="33" t="inlineStr">
        <is>
          <t>David Popovici|2022-06-19|LCM|200|Free|105.18|19th FINA World Championships|PRE|False</t>
        </is>
      </c>
      <c r="AE443" s="53">
        <f>G443+L443/1000+ROW()/1000000000</f>
        <v/>
      </c>
      <c r="AF443" s="35">
        <f>IF(C443&lt;&gt;"Grayson Coulter","",COUNTIFS($C$5:$C$2991,"Grayson Coulter",$Q$5:$Q$2991,Q443,$AE$5:$AE$2991,"&lt;="&amp;AE443,$R$5:$R$2991,"&lt;"&amp;R443))</f>
        <v/>
      </c>
      <c r="AG443" s="35">
        <f>IF(OR(C443&lt;&gt;"Grayson Coulter",G443&lt;'00_Control'!$B$7),"",--(AF443&lt;5))</f>
        <v/>
      </c>
      <c r="AH443" s="35">
        <f>IF(OR(C443&lt;&gt;"Grayson Coulter",G443&lt;'00_Control'!$B$7),"",--(AF443&lt;10))</f>
        <v/>
      </c>
      <c r="AI443" s="35">
        <f>IF(AND(C443="Grayson Coulter",G443&gt;='00_Control'!$B$7),"YES","NO")</f>
        <v/>
      </c>
      <c r="AJ443" s="33" t="inlineStr">
        <is>
          <t>OK</t>
        </is>
      </c>
    </row>
    <row r="444">
      <c r="A444" s="33" t="inlineStr">
        <is>
          <t>SM000440</t>
        </is>
      </c>
      <c r="B444" s="33" t="inlineStr">
        <is>
          <t>SW009</t>
        </is>
      </c>
      <c r="C444" s="33" t="inlineStr">
        <is>
          <t>David Popovici</t>
        </is>
      </c>
      <c r="D444" s="33" t="inlineStr">
        <is>
          <t>SwimCloud</t>
        </is>
      </c>
      <c r="E444" s="33" t="inlineStr">
        <is>
          <t>1405298</t>
        </is>
      </c>
      <c r="F444" s="33" t="inlineStr">
        <is>
          <t>67637087</t>
        </is>
      </c>
      <c r="G444" s="51" t="n">
        <v>44731</v>
      </c>
      <c r="H444" s="33" t="inlineStr">
        <is>
          <t>19th FINA World Championships</t>
        </is>
      </c>
      <c r="I444" s="33" t="inlineStr">
        <is>
          <t>222377</t>
        </is>
      </c>
      <c r="J444" s="33" t="inlineStr"/>
      <c r="K444" s="33" t="inlineStr">
        <is>
          <t>SEM</t>
        </is>
      </c>
      <c r="L444" s="35">
        <f>IF(K444="FIN",3,IF(OR(K444="SEM",K444="SEMI"),2,IF(OR(K444="PRE",K444="HEAT"),1,IF(V444="YES",4,2))))</f>
        <v/>
      </c>
      <c r="M444" s="33" t="inlineStr">
        <is>
          <t>LCM</t>
        </is>
      </c>
      <c r="N444" s="33" t="n">
        <v>200</v>
      </c>
      <c r="O444" s="33" t="inlineStr">
        <is>
          <t>Free</t>
        </is>
      </c>
      <c r="P444" s="33" t="inlineStr">
        <is>
          <t>200 Free</t>
        </is>
      </c>
      <c r="Q444" s="33" t="inlineStr">
        <is>
          <t>LCM_200_FREE</t>
        </is>
      </c>
      <c r="R444" s="36" t="n">
        <v>104.4</v>
      </c>
      <c r="S444" s="35">
        <f>IF(R444="","",IF(R444&gt;=60,INT(R444/60)&amp;":"&amp;TEXT(MOD(R444,60),"00.00"),TEXT(R444,"0.00")))</f>
        <v/>
      </c>
      <c r="T444" s="52">
        <f>IFERROR((G444-INDEX('01_Swimmers'!$E$5:$E$22,MATCH(B444,'01_Swimmers'!$A$5:$A$22,0)))/'00_Control'!$B$10,"")</f>
        <v/>
      </c>
      <c r="U444" s="35">
        <f>IF(T444="","",INT(T444))</f>
        <v/>
      </c>
      <c r="V444" s="33" t="inlineStr">
        <is>
          <t>NO</t>
        </is>
      </c>
      <c r="W444" s="33" t="inlineStr">
        <is>
          <t>YES</t>
        </is>
      </c>
      <c r="X444" s="33" t="inlineStr">
        <is>
          <t>NO</t>
        </is>
      </c>
      <c r="Y444" s="33" t="n">
        <v>2</v>
      </c>
      <c r="Z444" s="33" t="n">
        <v>4</v>
      </c>
      <c r="AA444" s="33" t="inlineStr">
        <is>
          <t>1</t>
        </is>
      </c>
      <c r="AB444" s="33" t="inlineStr">
        <is>
          <t>https://www.swimcloud.com/results/222377/event/13/?id=67637087#time67637087</t>
        </is>
      </c>
      <c r="AC444" s="33" t="inlineStr">
        <is>
          <t>SwimCloud API v6 2026-10-08</t>
        </is>
      </c>
      <c r="AD444" s="33" t="inlineStr">
        <is>
          <t>David Popovici|2022-06-19|LCM|200|Free|104.4|19th FINA World Championships|SEM|False</t>
        </is>
      </c>
      <c r="AE444" s="53">
        <f>G444+L444/1000+ROW()/1000000000</f>
        <v/>
      </c>
      <c r="AF444" s="35">
        <f>IF(C444&lt;&gt;"Grayson Coulter","",COUNTIFS($C$5:$C$2991,"Grayson Coulter",$Q$5:$Q$2991,Q444,$AE$5:$AE$2991,"&lt;="&amp;AE444,$R$5:$R$2991,"&lt;"&amp;R444))</f>
        <v/>
      </c>
      <c r="AG444" s="35">
        <f>IF(OR(C444&lt;&gt;"Grayson Coulter",G444&lt;'00_Control'!$B$7),"",--(AF444&lt;5))</f>
        <v/>
      </c>
      <c r="AH444" s="35">
        <f>IF(OR(C444&lt;&gt;"Grayson Coulter",G444&lt;'00_Control'!$B$7),"",--(AF444&lt;10))</f>
        <v/>
      </c>
      <c r="AI444" s="35">
        <f>IF(AND(C444="Grayson Coulter",G444&gt;='00_Control'!$B$7),"YES","NO")</f>
        <v/>
      </c>
      <c r="AJ444" s="33" t="inlineStr">
        <is>
          <t>OK</t>
        </is>
      </c>
    </row>
    <row r="445">
      <c r="A445" s="33" t="inlineStr">
        <is>
          <t>SM000441</t>
        </is>
      </c>
      <c r="B445" s="33" t="inlineStr">
        <is>
          <t>SW009</t>
        </is>
      </c>
      <c r="C445" s="33" t="inlineStr">
        <is>
          <t>David Popovici</t>
        </is>
      </c>
      <c r="D445" s="33" t="inlineStr">
        <is>
          <t>SwimCloud</t>
        </is>
      </c>
      <c r="E445" s="33" t="inlineStr">
        <is>
          <t>1405298</t>
        </is>
      </c>
      <c r="F445" s="33" t="inlineStr">
        <is>
          <t>67638482</t>
        </is>
      </c>
      <c r="G445" s="51" t="n">
        <v>44732</v>
      </c>
      <c r="H445" s="33" t="inlineStr">
        <is>
          <t>19th FINA World Championships</t>
        </is>
      </c>
      <c r="I445" s="33" t="inlineStr">
        <is>
          <t>222377</t>
        </is>
      </c>
      <c r="J445" s="33" t="inlineStr"/>
      <c r="K445" s="33" t="inlineStr">
        <is>
          <t>FIN</t>
        </is>
      </c>
      <c r="L445" s="35">
        <f>IF(K445="FIN",3,IF(OR(K445="SEM",K445="SEMI"),2,IF(OR(K445="PRE",K445="HEAT"),1,IF(V445="YES",4,2))))</f>
        <v/>
      </c>
      <c r="M445" s="33" t="inlineStr">
        <is>
          <t>LCM</t>
        </is>
      </c>
      <c r="N445" s="33" t="n">
        <v>200</v>
      </c>
      <c r="O445" s="33" t="inlineStr">
        <is>
          <t>Free</t>
        </is>
      </c>
      <c r="P445" s="33" t="inlineStr">
        <is>
          <t>200 Free</t>
        </is>
      </c>
      <c r="Q445" s="33" t="inlineStr">
        <is>
          <t>LCM_200_FREE</t>
        </is>
      </c>
      <c r="R445" s="36" t="n">
        <v>103.21</v>
      </c>
      <c r="S445" s="35">
        <f>IF(R445="","",IF(R445&gt;=60,INT(R445/60)&amp;":"&amp;TEXT(MOD(R445,60),"00.00"),TEXT(R445,"0.00")))</f>
        <v/>
      </c>
      <c r="T445" s="52">
        <f>IFERROR((G445-INDEX('01_Swimmers'!$E$5:$E$22,MATCH(B445,'01_Swimmers'!$A$5:$A$22,0)))/'00_Control'!$B$10,"")</f>
        <v/>
      </c>
      <c r="U445" s="35">
        <f>IF(T445="","",INT(T445))</f>
        <v/>
      </c>
      <c r="V445" s="33" t="inlineStr">
        <is>
          <t>NO</t>
        </is>
      </c>
      <c r="W445" s="33" t="inlineStr">
        <is>
          <t>YES</t>
        </is>
      </c>
      <c r="X445" s="33" t="inlineStr">
        <is>
          <t>NO</t>
        </is>
      </c>
      <c r="Y445" s="33" t="n">
        <v>1</v>
      </c>
      <c r="Z445" s="33" t="n">
        <v>4</v>
      </c>
      <c r="AA445" s="33" t="inlineStr">
        <is>
          <t>1</t>
        </is>
      </c>
      <c r="AB445" s="33" t="inlineStr">
        <is>
          <t>https://www.swimcloud.com/results/222377/event/13/?id=67638482#time67638482</t>
        </is>
      </c>
      <c r="AC445" s="33" t="inlineStr">
        <is>
          <t>SwimCloud API v6 2026-10-08</t>
        </is>
      </c>
      <c r="AD445" s="33" t="inlineStr">
        <is>
          <t>David Popovici|2022-06-20|LCM|200|Free|103.21|19th FINA World Championships|FIN|False</t>
        </is>
      </c>
      <c r="AE445" s="53">
        <f>G445+L445/1000+ROW()/1000000000</f>
        <v/>
      </c>
      <c r="AF445" s="35">
        <f>IF(C445&lt;&gt;"Grayson Coulter","",COUNTIFS($C$5:$C$2991,"Grayson Coulter",$Q$5:$Q$2991,Q445,$AE$5:$AE$2991,"&lt;="&amp;AE445,$R$5:$R$2991,"&lt;"&amp;R445))</f>
        <v/>
      </c>
      <c r="AG445" s="35">
        <f>IF(OR(C445&lt;&gt;"Grayson Coulter",G445&lt;'00_Control'!$B$7),"",--(AF445&lt;5))</f>
        <v/>
      </c>
      <c r="AH445" s="35">
        <f>IF(OR(C445&lt;&gt;"Grayson Coulter",G445&lt;'00_Control'!$B$7),"",--(AF445&lt;10))</f>
        <v/>
      </c>
      <c r="AI445" s="35">
        <f>IF(AND(C445="Grayson Coulter",G445&gt;='00_Control'!$B$7),"YES","NO")</f>
        <v/>
      </c>
      <c r="AJ445" s="33" t="inlineStr">
        <is>
          <t>OK</t>
        </is>
      </c>
    </row>
    <row r="446">
      <c r="A446" s="33" t="inlineStr">
        <is>
          <t>SM000442</t>
        </is>
      </c>
      <c r="B446" s="33" t="inlineStr">
        <is>
          <t>SW009</t>
        </is>
      </c>
      <c r="C446" s="33" t="inlineStr">
        <is>
          <t>David Popovici</t>
        </is>
      </c>
      <c r="D446" s="33" t="inlineStr">
        <is>
          <t>SwimCloud</t>
        </is>
      </c>
      <c r="E446" s="33" t="inlineStr">
        <is>
          <t>1405298</t>
        </is>
      </c>
      <c r="F446" s="33" t="inlineStr">
        <is>
          <t>67637821</t>
        </is>
      </c>
      <c r="G446" s="51" t="n">
        <v>44733</v>
      </c>
      <c r="H446" s="33" t="inlineStr">
        <is>
          <t>19th FINA World Championships</t>
        </is>
      </c>
      <c r="I446" s="33" t="inlineStr">
        <is>
          <t>222377</t>
        </is>
      </c>
      <c r="J446" s="33" t="inlineStr"/>
      <c r="K446" s="33" t="inlineStr">
        <is>
          <t>PRE</t>
        </is>
      </c>
      <c r="L446" s="35">
        <f>IF(K446="FIN",3,IF(OR(K446="SEM",K446="SEMI"),2,IF(OR(K446="PRE",K446="HEAT"),1,IF(V446="YES",4,2))))</f>
        <v/>
      </c>
      <c r="M446" s="33" t="inlineStr">
        <is>
          <t>LCM</t>
        </is>
      </c>
      <c r="N446" s="33" t="n">
        <v>100</v>
      </c>
      <c r="O446" s="33" t="inlineStr">
        <is>
          <t>Free</t>
        </is>
      </c>
      <c r="P446" s="33" t="inlineStr">
        <is>
          <t>100 Free</t>
        </is>
      </c>
      <c r="Q446" s="33" t="inlineStr">
        <is>
          <t>LCM_100_FREE</t>
        </is>
      </c>
      <c r="R446" s="36" t="n">
        <v>47.6</v>
      </c>
      <c r="S446" s="35">
        <f>IF(R446="","",IF(R446&gt;=60,INT(R446/60)&amp;":"&amp;TEXT(MOD(R446,60),"00.00"),TEXT(R446,"0.00")))</f>
        <v/>
      </c>
      <c r="T446" s="52">
        <f>IFERROR((G446-INDEX('01_Swimmers'!$E$5:$E$22,MATCH(B446,'01_Swimmers'!$A$5:$A$22,0)))/'00_Control'!$B$10,"")</f>
        <v/>
      </c>
      <c r="U446" s="35">
        <f>IF(T446="","",INT(T446))</f>
        <v/>
      </c>
      <c r="V446" s="33" t="inlineStr">
        <is>
          <t>NO</t>
        </is>
      </c>
      <c r="W446" s="33" t="inlineStr">
        <is>
          <t>YES</t>
        </is>
      </c>
      <c r="X446" s="33" t="inlineStr">
        <is>
          <t>NO</t>
        </is>
      </c>
      <c r="Y446" s="33" t="n">
        <v>10</v>
      </c>
      <c r="Z446" s="33" t="n">
        <v>4</v>
      </c>
      <c r="AA446" s="33" t="inlineStr">
        <is>
          <t>1</t>
        </is>
      </c>
      <c r="AB446" s="33" t="inlineStr">
        <is>
          <t>https://www.swimcloud.com/results/222377/event/20/?id=67637821#time67637821</t>
        </is>
      </c>
      <c r="AC446" s="33" t="inlineStr">
        <is>
          <t>SwimCloud API v6 2026-10-08</t>
        </is>
      </c>
      <c r="AD446" s="33" t="inlineStr">
        <is>
          <t>David Popovici|2022-06-21|LCM|100|Free|47.6|19th FINA World Championships|PRE|False</t>
        </is>
      </c>
      <c r="AE446" s="53">
        <f>G446+L446/1000+ROW()/1000000000</f>
        <v/>
      </c>
      <c r="AF446" s="35">
        <f>IF(C446&lt;&gt;"Grayson Coulter","",COUNTIFS($C$5:$C$2991,"Grayson Coulter",$Q$5:$Q$2991,Q446,$AE$5:$AE$2991,"&lt;="&amp;AE446,$R$5:$R$2991,"&lt;"&amp;R446))</f>
        <v/>
      </c>
      <c r="AG446" s="35">
        <f>IF(OR(C446&lt;&gt;"Grayson Coulter",G446&lt;'00_Control'!$B$7),"",--(AF446&lt;5))</f>
        <v/>
      </c>
      <c r="AH446" s="35">
        <f>IF(OR(C446&lt;&gt;"Grayson Coulter",G446&lt;'00_Control'!$B$7),"",--(AF446&lt;10))</f>
        <v/>
      </c>
      <c r="AI446" s="35">
        <f>IF(AND(C446="Grayson Coulter",G446&gt;='00_Control'!$B$7),"YES","NO")</f>
        <v/>
      </c>
      <c r="AJ446" s="33" t="inlineStr">
        <is>
          <t>OK</t>
        </is>
      </c>
    </row>
    <row r="447">
      <c r="A447" s="33" t="inlineStr">
        <is>
          <t>SM000443</t>
        </is>
      </c>
      <c r="B447" s="33" t="inlineStr">
        <is>
          <t>SW009</t>
        </is>
      </c>
      <c r="C447" s="33" t="inlineStr">
        <is>
          <t>David Popovici</t>
        </is>
      </c>
      <c r="D447" s="33" t="inlineStr">
        <is>
          <t>SwimCloud</t>
        </is>
      </c>
      <c r="E447" s="33" t="inlineStr">
        <is>
          <t>1405298</t>
        </is>
      </c>
      <c r="F447" s="33" t="inlineStr">
        <is>
          <t>67636941</t>
        </is>
      </c>
      <c r="G447" s="51" t="n">
        <v>44733</v>
      </c>
      <c r="H447" s="33" t="inlineStr">
        <is>
          <t>19th FINA World Championships</t>
        </is>
      </c>
      <c r="I447" s="33" t="inlineStr">
        <is>
          <t>222377</t>
        </is>
      </c>
      <c r="J447" s="33" t="inlineStr"/>
      <c r="K447" s="33" t="inlineStr">
        <is>
          <t>SEM</t>
        </is>
      </c>
      <c r="L447" s="35">
        <f>IF(K447="FIN",3,IF(OR(K447="SEM",K447="SEMI"),2,IF(OR(K447="PRE",K447="HEAT"),1,IF(V447="YES",4,2))))</f>
        <v/>
      </c>
      <c r="M447" s="33" t="inlineStr">
        <is>
          <t>LCM</t>
        </is>
      </c>
      <c r="N447" s="33" t="n">
        <v>100</v>
      </c>
      <c r="O447" s="33" t="inlineStr">
        <is>
          <t>Free</t>
        </is>
      </c>
      <c r="P447" s="33" t="inlineStr">
        <is>
          <t>100 Free</t>
        </is>
      </c>
      <c r="Q447" s="33" t="inlineStr">
        <is>
          <t>LCM_100_FREE</t>
        </is>
      </c>
      <c r="R447" s="36" t="n">
        <v>47.13</v>
      </c>
      <c r="S447" s="35">
        <f>IF(R447="","",IF(R447&gt;=60,INT(R447/60)&amp;":"&amp;TEXT(MOD(R447,60),"00.00"),TEXT(R447,"0.00")))</f>
        <v/>
      </c>
      <c r="T447" s="52">
        <f>IFERROR((G447-INDEX('01_Swimmers'!$E$5:$E$22,MATCH(B447,'01_Swimmers'!$A$5:$A$22,0)))/'00_Control'!$B$10,"")</f>
        <v/>
      </c>
      <c r="U447" s="35">
        <f>IF(T447="","",INT(T447))</f>
        <v/>
      </c>
      <c r="V447" s="33" t="inlineStr">
        <is>
          <t>NO</t>
        </is>
      </c>
      <c r="W447" s="33" t="inlineStr">
        <is>
          <t>YES</t>
        </is>
      </c>
      <c r="X447" s="33" t="inlineStr">
        <is>
          <t>NO</t>
        </is>
      </c>
      <c r="Y447" s="33" t="n">
        <v>2</v>
      </c>
      <c r="Z447" s="33" t="n">
        <v>4</v>
      </c>
      <c r="AA447" s="33" t="inlineStr">
        <is>
          <t>1</t>
        </is>
      </c>
      <c r="AB447" s="33" t="inlineStr">
        <is>
          <t>https://www.swimcloud.com/results/222377/event/20/?id=67636941#time67636941</t>
        </is>
      </c>
      <c r="AC447" s="33" t="inlineStr">
        <is>
          <t>SwimCloud API v6 2026-10-08</t>
        </is>
      </c>
      <c r="AD447" s="33" t="inlineStr">
        <is>
          <t>David Popovici|2022-06-21|LCM|100|Free|47.13|19th FINA World Championships|SEM|False</t>
        </is>
      </c>
      <c r="AE447" s="53">
        <f>G447+L447/1000+ROW()/1000000000</f>
        <v/>
      </c>
      <c r="AF447" s="35">
        <f>IF(C447&lt;&gt;"Grayson Coulter","",COUNTIFS($C$5:$C$2991,"Grayson Coulter",$Q$5:$Q$2991,Q447,$AE$5:$AE$2991,"&lt;="&amp;AE447,$R$5:$R$2991,"&lt;"&amp;R447))</f>
        <v/>
      </c>
      <c r="AG447" s="35">
        <f>IF(OR(C447&lt;&gt;"Grayson Coulter",G447&lt;'00_Control'!$B$7),"",--(AF447&lt;5))</f>
        <v/>
      </c>
      <c r="AH447" s="35">
        <f>IF(OR(C447&lt;&gt;"Grayson Coulter",G447&lt;'00_Control'!$B$7),"",--(AF447&lt;10))</f>
        <v/>
      </c>
      <c r="AI447" s="35">
        <f>IF(AND(C447="Grayson Coulter",G447&gt;='00_Control'!$B$7),"YES","NO")</f>
        <v/>
      </c>
      <c r="AJ447" s="33" t="inlineStr">
        <is>
          <t>OK</t>
        </is>
      </c>
    </row>
    <row r="448">
      <c r="A448" s="33" t="inlineStr">
        <is>
          <t>SM000444</t>
        </is>
      </c>
      <c r="B448" s="33" t="inlineStr">
        <is>
          <t>SW009</t>
        </is>
      </c>
      <c r="C448" s="33" t="inlineStr">
        <is>
          <t>David Popovici</t>
        </is>
      </c>
      <c r="D448" s="33" t="inlineStr">
        <is>
          <t>SwimCloud</t>
        </is>
      </c>
      <c r="E448" s="33" t="inlineStr">
        <is>
          <t>1405298</t>
        </is>
      </c>
      <c r="F448" s="33" t="inlineStr">
        <is>
          <t>67637651</t>
        </is>
      </c>
      <c r="G448" s="51" t="n">
        <v>44734</v>
      </c>
      <c r="H448" s="33" t="inlineStr">
        <is>
          <t>19th FINA World Championships</t>
        </is>
      </c>
      <c r="I448" s="33" t="inlineStr">
        <is>
          <t>222377</t>
        </is>
      </c>
      <c r="J448" s="33" t="inlineStr"/>
      <c r="K448" s="33" t="inlineStr">
        <is>
          <t>FIN</t>
        </is>
      </c>
      <c r="L448" s="35">
        <f>IF(K448="FIN",3,IF(OR(K448="SEM",K448="SEMI"),2,IF(OR(K448="PRE",K448="HEAT"),1,IF(V448="YES",4,2))))</f>
        <v/>
      </c>
      <c r="M448" s="33" t="inlineStr">
        <is>
          <t>LCM</t>
        </is>
      </c>
      <c r="N448" s="33" t="n">
        <v>100</v>
      </c>
      <c r="O448" s="33" t="inlineStr">
        <is>
          <t>Free</t>
        </is>
      </c>
      <c r="P448" s="33" t="inlineStr">
        <is>
          <t>100 Free</t>
        </is>
      </c>
      <c r="Q448" s="33" t="inlineStr">
        <is>
          <t>LCM_100_FREE</t>
        </is>
      </c>
      <c r="R448" s="36" t="n">
        <v>47.58</v>
      </c>
      <c r="S448" s="35">
        <f>IF(R448="","",IF(R448&gt;=60,INT(R448/60)&amp;":"&amp;TEXT(MOD(R448,60),"00.00"),TEXT(R448,"0.00")))</f>
        <v/>
      </c>
      <c r="T448" s="52">
        <f>IFERROR((G448-INDEX('01_Swimmers'!$E$5:$E$22,MATCH(B448,'01_Swimmers'!$A$5:$A$22,0)))/'00_Control'!$B$10,"")</f>
        <v/>
      </c>
      <c r="U448" s="35">
        <f>IF(T448="","",INT(T448))</f>
        <v/>
      </c>
      <c r="V448" s="33" t="inlineStr">
        <is>
          <t>NO</t>
        </is>
      </c>
      <c r="W448" s="33" t="inlineStr">
        <is>
          <t>YES</t>
        </is>
      </c>
      <c r="X448" s="33" t="inlineStr">
        <is>
          <t>NO</t>
        </is>
      </c>
      <c r="Y448" s="33" t="n">
        <v>1</v>
      </c>
      <c r="Z448" s="33" t="n">
        <v>4</v>
      </c>
      <c r="AA448" s="33" t="inlineStr">
        <is>
          <t>1</t>
        </is>
      </c>
      <c r="AB448" s="33" t="inlineStr">
        <is>
          <t>https://www.swimcloud.com/results/222377/event/20/?id=67637651#time67637651</t>
        </is>
      </c>
      <c r="AC448" s="33" t="inlineStr">
        <is>
          <t>SwimCloud API v6 2026-10-08</t>
        </is>
      </c>
      <c r="AD448" s="33" t="inlineStr">
        <is>
          <t>David Popovici|2022-06-22|LCM|100|Free|47.58|19th FINA World Championships|FIN|False</t>
        </is>
      </c>
      <c r="AE448" s="53">
        <f>G448+L448/1000+ROW()/1000000000</f>
        <v/>
      </c>
      <c r="AF448" s="35">
        <f>IF(C448&lt;&gt;"Grayson Coulter","",COUNTIFS($C$5:$C$2991,"Grayson Coulter",$Q$5:$Q$2991,Q448,$AE$5:$AE$2991,"&lt;="&amp;AE448,$R$5:$R$2991,"&lt;"&amp;R448))</f>
        <v/>
      </c>
      <c r="AG448" s="35">
        <f>IF(OR(C448&lt;&gt;"Grayson Coulter",G448&lt;'00_Control'!$B$7),"",--(AF448&lt;5))</f>
        <v/>
      </c>
      <c r="AH448" s="35">
        <f>IF(OR(C448&lt;&gt;"Grayson Coulter",G448&lt;'00_Control'!$B$7),"",--(AF448&lt;10))</f>
        <v/>
      </c>
      <c r="AI448" s="35">
        <f>IF(AND(C448="Grayson Coulter",G448&gt;='00_Control'!$B$7),"YES","NO")</f>
        <v/>
      </c>
      <c r="AJ448" s="33" t="inlineStr">
        <is>
          <t>OK</t>
        </is>
      </c>
    </row>
    <row r="449">
      <c r="A449" s="33" t="inlineStr">
        <is>
          <t>SM000445</t>
        </is>
      </c>
      <c r="B449" s="33" t="inlineStr">
        <is>
          <t>SW009</t>
        </is>
      </c>
      <c r="C449" s="33" t="inlineStr">
        <is>
          <t>David Popovici</t>
        </is>
      </c>
      <c r="D449" s="33" t="inlineStr">
        <is>
          <t>SwimCloud</t>
        </is>
      </c>
      <c r="E449" s="33" t="inlineStr">
        <is>
          <t>1405298</t>
        </is>
      </c>
      <c r="F449" s="33" t="inlineStr">
        <is>
          <t>68674832</t>
        </is>
      </c>
      <c r="G449" s="51" t="n">
        <v>44747</v>
      </c>
      <c r="H449" s="33" t="inlineStr">
        <is>
          <t>European Junior Swimming Championships</t>
        </is>
      </c>
      <c r="I449" s="33" t="inlineStr">
        <is>
          <t>234614</t>
        </is>
      </c>
      <c r="J449" s="33" t="inlineStr"/>
      <c r="K449" s="33" t="inlineStr">
        <is>
          <t>PRE</t>
        </is>
      </c>
      <c r="L449" s="35">
        <f>IF(K449="FIN",3,IF(OR(K449="SEM",K449="SEMI"),2,IF(OR(K449="PRE",K449="HEAT"),1,IF(V449="YES",4,2))))</f>
        <v/>
      </c>
      <c r="M449" s="33" t="inlineStr">
        <is>
          <t>LCM</t>
        </is>
      </c>
      <c r="N449" s="33" t="n">
        <v>100</v>
      </c>
      <c r="O449" s="33" t="inlineStr">
        <is>
          <t>Free</t>
        </is>
      </c>
      <c r="P449" s="33" t="inlineStr">
        <is>
          <t>100 Free</t>
        </is>
      </c>
      <c r="Q449" s="33" t="inlineStr">
        <is>
          <t>LCM_100_FREE</t>
        </is>
      </c>
      <c r="R449" s="36" t="n">
        <v>47.76</v>
      </c>
      <c r="S449" s="35">
        <f>IF(R449="","",IF(R449&gt;=60,INT(R449/60)&amp;":"&amp;TEXT(MOD(R449,60),"00.00"),TEXT(R449,"0.00")))</f>
        <v/>
      </c>
      <c r="T449" s="52">
        <f>IFERROR((G449-INDEX('01_Swimmers'!$E$5:$E$22,MATCH(B449,'01_Swimmers'!$A$5:$A$22,0)))/'00_Control'!$B$10,"")</f>
        <v/>
      </c>
      <c r="U449" s="35">
        <f>IF(T449="","",INT(T449))</f>
        <v/>
      </c>
      <c r="V449" s="33" t="inlineStr">
        <is>
          <t>YES</t>
        </is>
      </c>
      <c r="W449" s="33" t="inlineStr">
        <is>
          <t>YES</t>
        </is>
      </c>
      <c r="X449" s="33" t="inlineStr">
        <is>
          <t>NO</t>
        </is>
      </c>
      <c r="Y449" s="33" t="n">
        <v>42</v>
      </c>
      <c r="Z449" s="33" t="n">
        <v>2</v>
      </c>
      <c r="AA449" s="33" t="inlineStr"/>
      <c r="AB449" s="33" t="inlineStr">
        <is>
          <t>https://www.swimcloud.com/results/234614/event/10/?id=68673843#time68673843</t>
        </is>
      </c>
      <c r="AC449" s="33" t="inlineStr">
        <is>
          <t>SwimCloud API v6 2026-10-08</t>
        </is>
      </c>
      <c r="AD449" s="33" t="inlineStr">
        <is>
          <t>David Popovici|2022-07-05|LCM|100|Free|47.76|European Junior Swimming Championships|PRE|True</t>
        </is>
      </c>
      <c r="AE449" s="53">
        <f>G449+L449/1000+ROW()/1000000000</f>
        <v/>
      </c>
      <c r="AF449" s="35">
        <f>IF(C449&lt;&gt;"Grayson Coulter","",COUNTIFS($C$5:$C$2991,"Grayson Coulter",$Q$5:$Q$2991,Q449,$AE$5:$AE$2991,"&lt;="&amp;AE449,$R$5:$R$2991,"&lt;"&amp;R449))</f>
        <v/>
      </c>
      <c r="AG449" s="35">
        <f>IF(OR(C449&lt;&gt;"Grayson Coulter",G449&lt;'00_Control'!$B$7),"",--(AF449&lt;5))</f>
        <v/>
      </c>
      <c r="AH449" s="35">
        <f>IF(OR(C449&lt;&gt;"Grayson Coulter",G449&lt;'00_Control'!$B$7),"",--(AF449&lt;10))</f>
        <v/>
      </c>
      <c r="AI449" s="35">
        <f>IF(AND(C449="Grayson Coulter",G449&gt;='00_Control'!$B$7),"YES","NO")</f>
        <v/>
      </c>
      <c r="AJ449" s="33" t="inlineStr">
        <is>
          <t>OK</t>
        </is>
      </c>
    </row>
    <row r="450">
      <c r="A450" s="33" t="inlineStr">
        <is>
          <t>SM000446</t>
        </is>
      </c>
      <c r="B450" s="33" t="inlineStr">
        <is>
          <t>SW009</t>
        </is>
      </c>
      <c r="C450" s="33" t="inlineStr">
        <is>
          <t>David Popovici</t>
        </is>
      </c>
      <c r="D450" s="33" t="inlineStr">
        <is>
          <t>SwimCloud</t>
        </is>
      </c>
      <c r="E450" s="33" t="inlineStr">
        <is>
          <t>1405298</t>
        </is>
      </c>
      <c r="F450" s="33" t="inlineStr">
        <is>
          <t>68674836</t>
        </is>
      </c>
      <c r="G450" s="51" t="n">
        <v>44747</v>
      </c>
      <c r="H450" s="33" t="inlineStr">
        <is>
          <t>European Junior Swimming Championships</t>
        </is>
      </c>
      <c r="I450" s="33" t="inlineStr">
        <is>
          <t>234614</t>
        </is>
      </c>
      <c r="J450" s="33" t="inlineStr"/>
      <c r="K450" s="33" t="inlineStr">
        <is>
          <t>FIN</t>
        </is>
      </c>
      <c r="L450" s="35">
        <f>IF(K450="FIN",3,IF(OR(K450="SEM",K450="SEMI"),2,IF(OR(K450="PRE",K450="HEAT"),1,IF(V450="YES",4,2))))</f>
        <v/>
      </c>
      <c r="M450" s="33" t="inlineStr">
        <is>
          <t>LCM</t>
        </is>
      </c>
      <c r="N450" s="33" t="n">
        <v>100</v>
      </c>
      <c r="O450" s="33" t="inlineStr">
        <is>
          <t>Free</t>
        </is>
      </c>
      <c r="P450" s="33" t="inlineStr">
        <is>
          <t>100 Free</t>
        </is>
      </c>
      <c r="Q450" s="33" t="inlineStr">
        <is>
          <t>LCM_100_FREE</t>
        </is>
      </c>
      <c r="R450" s="36" t="n">
        <v>47.54</v>
      </c>
      <c r="S450" s="35">
        <f>IF(R450="","",IF(R450&gt;=60,INT(R450/60)&amp;":"&amp;TEXT(MOD(R450,60),"00.00"),TEXT(R450,"0.00")))</f>
        <v/>
      </c>
      <c r="T450" s="52">
        <f>IFERROR((G450-INDEX('01_Swimmers'!$E$5:$E$22,MATCH(B450,'01_Swimmers'!$A$5:$A$22,0)))/'00_Control'!$B$10,"")</f>
        <v/>
      </c>
      <c r="U450" s="35">
        <f>IF(T450="","",INT(T450))</f>
        <v/>
      </c>
      <c r="V450" s="33" t="inlineStr">
        <is>
          <t>YES</t>
        </is>
      </c>
      <c r="W450" s="33" t="inlineStr">
        <is>
          <t>YES</t>
        </is>
      </c>
      <c r="X450" s="33" t="inlineStr">
        <is>
          <t>NO</t>
        </is>
      </c>
      <c r="Y450" s="33" t="n">
        <v>17</v>
      </c>
      <c r="Z450" s="33" t="n">
        <v>4</v>
      </c>
      <c r="AA450" s="33" t="inlineStr"/>
      <c r="AB450" s="33" t="inlineStr">
        <is>
          <t>https://www.swimcloud.com/results/234614/event/10/?id=68673844#time68673844</t>
        </is>
      </c>
      <c r="AC450" s="33" t="inlineStr">
        <is>
          <t>SwimCloud API v6 2026-10-08</t>
        </is>
      </c>
      <c r="AD450" s="33" t="inlineStr">
        <is>
          <t>David Popovici|2022-07-05|LCM|100|Free|47.54|European Junior Swimming Championships|FIN|True</t>
        </is>
      </c>
      <c r="AE450" s="53">
        <f>G450+L450/1000+ROW()/1000000000</f>
        <v/>
      </c>
      <c r="AF450" s="35">
        <f>IF(C450&lt;&gt;"Grayson Coulter","",COUNTIFS($C$5:$C$2991,"Grayson Coulter",$Q$5:$Q$2991,Q450,$AE$5:$AE$2991,"&lt;="&amp;AE450,$R$5:$R$2991,"&lt;"&amp;R450))</f>
        <v/>
      </c>
      <c r="AG450" s="35">
        <f>IF(OR(C450&lt;&gt;"Grayson Coulter",G450&lt;'00_Control'!$B$7),"",--(AF450&lt;5))</f>
        <v/>
      </c>
      <c r="AH450" s="35">
        <f>IF(OR(C450&lt;&gt;"Grayson Coulter",G450&lt;'00_Control'!$B$7),"",--(AF450&lt;10))</f>
        <v/>
      </c>
      <c r="AI450" s="35">
        <f>IF(AND(C450="Grayson Coulter",G450&gt;='00_Control'!$B$7),"YES","NO")</f>
        <v/>
      </c>
      <c r="AJ450" s="33" t="inlineStr">
        <is>
          <t>OK</t>
        </is>
      </c>
    </row>
    <row r="451">
      <c r="A451" s="33" t="inlineStr">
        <is>
          <t>SM000447</t>
        </is>
      </c>
      <c r="B451" s="33" t="inlineStr">
        <is>
          <t>SW009</t>
        </is>
      </c>
      <c r="C451" s="33" t="inlineStr">
        <is>
          <t>David Popovici</t>
        </is>
      </c>
      <c r="D451" s="33" t="inlineStr">
        <is>
          <t>SwimCloud</t>
        </is>
      </c>
      <c r="E451" s="33" t="inlineStr">
        <is>
          <t>1405298</t>
        </is>
      </c>
      <c r="F451" s="33" t="inlineStr">
        <is>
          <t>68673805</t>
        </is>
      </c>
      <c r="G451" s="51" t="n">
        <v>44747</v>
      </c>
      <c r="H451" s="33" t="inlineStr">
        <is>
          <t>European Junior Swimming Championships</t>
        </is>
      </c>
      <c r="I451" s="33" t="inlineStr">
        <is>
          <t>234614</t>
        </is>
      </c>
      <c r="J451" s="33" t="inlineStr"/>
      <c r="K451" s="33" t="inlineStr">
        <is>
          <t>PRE</t>
        </is>
      </c>
      <c r="L451" s="35">
        <f>IF(K451="FIN",3,IF(OR(K451="SEM",K451="SEMI"),2,IF(OR(K451="PRE",K451="HEAT"),1,IF(V451="YES",4,2))))</f>
        <v/>
      </c>
      <c r="M451" s="33" t="inlineStr">
        <is>
          <t>LCM</t>
        </is>
      </c>
      <c r="N451" s="33" t="n">
        <v>200</v>
      </c>
      <c r="O451" s="33" t="inlineStr">
        <is>
          <t>Free</t>
        </is>
      </c>
      <c r="P451" s="33" t="inlineStr">
        <is>
          <t>200 Free</t>
        </is>
      </c>
      <c r="Q451" s="33" t="inlineStr">
        <is>
          <t>LCM_200_FREE</t>
        </is>
      </c>
      <c r="R451" s="36" t="n">
        <v>108.75</v>
      </c>
      <c r="S451" s="35">
        <f>IF(R451="","",IF(R451&gt;=60,INT(R451/60)&amp;":"&amp;TEXT(MOD(R451,60),"00.00"),TEXT(R451,"0.00")))</f>
        <v/>
      </c>
      <c r="T451" s="52">
        <f>IFERROR((G451-INDEX('01_Swimmers'!$E$5:$E$22,MATCH(B451,'01_Swimmers'!$A$5:$A$22,0)))/'00_Control'!$B$10,"")</f>
        <v/>
      </c>
      <c r="U451" s="35">
        <f>IF(T451="","",INT(T451))</f>
        <v/>
      </c>
      <c r="V451" s="33" t="inlineStr">
        <is>
          <t>NO</t>
        </is>
      </c>
      <c r="W451" s="33" t="inlineStr">
        <is>
          <t>YES</t>
        </is>
      </c>
      <c r="X451" s="33" t="inlineStr">
        <is>
          <t>NO</t>
        </is>
      </c>
      <c r="Y451" s="33" t="n">
        <v>10</v>
      </c>
      <c r="Z451" s="33" t="n">
        <v>4</v>
      </c>
      <c r="AA451" s="33" t="inlineStr">
        <is>
          <t>1</t>
        </is>
      </c>
      <c r="AB451" s="33" t="inlineStr">
        <is>
          <t>https://www.swimcloud.com/results/234614/event/2/?id=68673805#time68673805</t>
        </is>
      </c>
      <c r="AC451" s="33" t="inlineStr">
        <is>
          <t>SwimCloud API v6 2026-10-08</t>
        </is>
      </c>
      <c r="AD451" s="33" t="inlineStr">
        <is>
          <t>David Popovici|2022-07-05|LCM|200|Free|108.75|European Junior Swimming Championships|PRE|False</t>
        </is>
      </c>
      <c r="AE451" s="53">
        <f>G451+L451/1000+ROW()/1000000000</f>
        <v/>
      </c>
      <c r="AF451" s="35">
        <f>IF(C451&lt;&gt;"Grayson Coulter","",COUNTIFS($C$5:$C$2991,"Grayson Coulter",$Q$5:$Q$2991,Q451,$AE$5:$AE$2991,"&lt;="&amp;AE451,$R$5:$R$2991,"&lt;"&amp;R451))</f>
        <v/>
      </c>
      <c r="AG451" s="35">
        <f>IF(OR(C451&lt;&gt;"Grayson Coulter",G451&lt;'00_Control'!$B$7),"",--(AF451&lt;5))</f>
        <v/>
      </c>
      <c r="AH451" s="35">
        <f>IF(OR(C451&lt;&gt;"Grayson Coulter",G451&lt;'00_Control'!$B$7),"",--(AF451&lt;10))</f>
        <v/>
      </c>
      <c r="AI451" s="35">
        <f>IF(AND(C451="Grayson Coulter",G451&gt;='00_Control'!$B$7),"YES","NO")</f>
        <v/>
      </c>
      <c r="AJ451" s="33" t="inlineStr">
        <is>
          <t>OK</t>
        </is>
      </c>
    </row>
    <row r="452">
      <c r="A452" s="33" t="inlineStr">
        <is>
          <t>SM000448</t>
        </is>
      </c>
      <c r="B452" s="33" t="inlineStr">
        <is>
          <t>SW009</t>
        </is>
      </c>
      <c r="C452" s="33" t="inlineStr">
        <is>
          <t>David Popovici</t>
        </is>
      </c>
      <c r="D452" s="33" t="inlineStr">
        <is>
          <t>SwimCloud</t>
        </is>
      </c>
      <c r="E452" s="33" t="inlineStr">
        <is>
          <t>1405298</t>
        </is>
      </c>
      <c r="F452" s="33" t="inlineStr">
        <is>
          <t>68673806</t>
        </is>
      </c>
      <c r="G452" s="51" t="n">
        <v>44747</v>
      </c>
      <c r="H452" s="33" t="inlineStr">
        <is>
          <t>European Junior Swimming Championships</t>
        </is>
      </c>
      <c r="I452" s="33" t="inlineStr">
        <is>
          <t>234614</t>
        </is>
      </c>
      <c r="J452" s="33" t="inlineStr"/>
      <c r="K452" s="33" t="inlineStr">
        <is>
          <t>SEM</t>
        </is>
      </c>
      <c r="L452" s="35">
        <f>IF(K452="FIN",3,IF(OR(K452="SEM",K452="SEMI"),2,IF(OR(K452="PRE",K452="HEAT"),1,IF(V452="YES",4,2))))</f>
        <v/>
      </c>
      <c r="M452" s="33" t="inlineStr">
        <is>
          <t>LCM</t>
        </is>
      </c>
      <c r="N452" s="33" t="n">
        <v>200</v>
      </c>
      <c r="O452" s="33" t="inlineStr">
        <is>
          <t>Free</t>
        </is>
      </c>
      <c r="P452" s="33" t="inlineStr">
        <is>
          <t>200 Free</t>
        </is>
      </c>
      <c r="Q452" s="33" t="inlineStr">
        <is>
          <t>LCM_200_FREE</t>
        </is>
      </c>
      <c r="R452" s="36" t="n">
        <v>107.93</v>
      </c>
      <c r="S452" s="35">
        <f>IF(R452="","",IF(R452&gt;=60,INT(R452/60)&amp;":"&amp;TEXT(MOD(R452,60),"00.00"),TEXT(R452,"0.00")))</f>
        <v/>
      </c>
      <c r="T452" s="52">
        <f>IFERROR((G452-INDEX('01_Swimmers'!$E$5:$E$22,MATCH(B452,'01_Swimmers'!$A$5:$A$22,0)))/'00_Control'!$B$10,"")</f>
        <v/>
      </c>
      <c r="U452" s="35">
        <f>IF(T452="","",INT(T452))</f>
        <v/>
      </c>
      <c r="V452" s="33" t="inlineStr">
        <is>
          <t>NO</t>
        </is>
      </c>
      <c r="W452" s="33" t="inlineStr">
        <is>
          <t>YES</t>
        </is>
      </c>
      <c r="X452" s="33" t="inlineStr">
        <is>
          <t>NO</t>
        </is>
      </c>
      <c r="Y452" s="33" t="n">
        <v>5</v>
      </c>
      <c r="Z452" s="33" t="n">
        <v>4</v>
      </c>
      <c r="AA452" s="33" t="inlineStr">
        <is>
          <t>2</t>
        </is>
      </c>
      <c r="AB452" s="33" t="inlineStr">
        <is>
          <t>https://www.swimcloud.com/results/234614/event/2/?id=68673806#time68673806</t>
        </is>
      </c>
      <c r="AC452" s="33" t="inlineStr">
        <is>
          <t>SwimCloud API v6 2026-10-08</t>
        </is>
      </c>
      <c r="AD452" s="33" t="inlineStr">
        <is>
          <t>David Popovici|2022-07-05|LCM|200|Free|107.93|European Junior Swimming Championships|SEM|False</t>
        </is>
      </c>
      <c r="AE452" s="53">
        <f>G452+L452/1000+ROW()/1000000000</f>
        <v/>
      </c>
      <c r="AF452" s="35">
        <f>IF(C452&lt;&gt;"Grayson Coulter","",COUNTIFS($C$5:$C$2991,"Grayson Coulter",$Q$5:$Q$2991,Q452,$AE$5:$AE$2991,"&lt;="&amp;AE452,$R$5:$R$2991,"&lt;"&amp;R452))</f>
        <v/>
      </c>
      <c r="AG452" s="35">
        <f>IF(OR(C452&lt;&gt;"Grayson Coulter",G452&lt;'00_Control'!$B$7),"",--(AF452&lt;5))</f>
        <v/>
      </c>
      <c r="AH452" s="35">
        <f>IF(OR(C452&lt;&gt;"Grayson Coulter",G452&lt;'00_Control'!$B$7),"",--(AF452&lt;10))</f>
        <v/>
      </c>
      <c r="AI452" s="35">
        <f>IF(AND(C452="Grayson Coulter",G452&gt;='00_Control'!$B$7),"YES","NO")</f>
        <v/>
      </c>
      <c r="AJ452" s="33" t="inlineStr">
        <is>
          <t>OK</t>
        </is>
      </c>
    </row>
    <row r="453">
      <c r="A453" s="33" t="inlineStr">
        <is>
          <t>SM000449</t>
        </is>
      </c>
      <c r="B453" s="33" t="inlineStr">
        <is>
          <t>SW009</t>
        </is>
      </c>
      <c r="C453" s="33" t="inlineStr">
        <is>
          <t>David Popovici</t>
        </is>
      </c>
      <c r="D453" s="33" t="inlineStr">
        <is>
          <t>SwimCloud</t>
        </is>
      </c>
      <c r="E453" s="33" t="inlineStr">
        <is>
          <t>1405298</t>
        </is>
      </c>
      <c r="F453" s="33" t="inlineStr">
        <is>
          <t>68674812</t>
        </is>
      </c>
      <c r="G453" s="51" t="n">
        <v>44748</v>
      </c>
      <c r="H453" s="33" t="inlineStr">
        <is>
          <t>European Junior Swimming Championships</t>
        </is>
      </c>
      <c r="I453" s="33" t="inlineStr">
        <is>
          <t>234614</t>
        </is>
      </c>
      <c r="J453" s="33" t="inlineStr"/>
      <c r="K453" s="33" t="inlineStr">
        <is>
          <t>PRE</t>
        </is>
      </c>
      <c r="L453" s="35">
        <f>IF(K453="FIN",3,IF(OR(K453="SEM",K453="SEMI"),2,IF(OR(K453="PRE",K453="HEAT"),1,IF(V453="YES",4,2))))</f>
        <v/>
      </c>
      <c r="M453" s="33" t="inlineStr">
        <is>
          <t>LCM</t>
        </is>
      </c>
      <c r="N453" s="33" t="n">
        <v>100</v>
      </c>
      <c r="O453" s="33" t="inlineStr">
        <is>
          <t>Free</t>
        </is>
      </c>
      <c r="P453" s="33" t="inlineStr">
        <is>
          <t>100 Free</t>
        </is>
      </c>
      <c r="Q453" s="33" t="inlineStr">
        <is>
          <t>LCM_100_FREE</t>
        </is>
      </c>
      <c r="R453" s="36" t="n">
        <v>48.66</v>
      </c>
      <c r="S453" s="35">
        <f>IF(R453="","",IF(R453&gt;=60,INT(R453/60)&amp;":"&amp;TEXT(MOD(R453,60),"00.00"),TEXT(R453,"0.00")))</f>
        <v/>
      </c>
      <c r="T453" s="52">
        <f>IFERROR((G453-INDEX('01_Swimmers'!$E$5:$E$22,MATCH(B453,'01_Swimmers'!$A$5:$A$22,0)))/'00_Control'!$B$10,"")</f>
        <v/>
      </c>
      <c r="U453" s="35">
        <f>IF(T453="","",INT(T453))</f>
        <v/>
      </c>
      <c r="V453" s="33" t="inlineStr">
        <is>
          <t>YES</t>
        </is>
      </c>
      <c r="W453" s="33" t="inlineStr">
        <is>
          <t>YES</t>
        </is>
      </c>
      <c r="X453" s="33" t="inlineStr">
        <is>
          <t>NO</t>
        </is>
      </c>
      <c r="Y453" s="33" t="n">
        <v>16</v>
      </c>
      <c r="Z453" s="33" t="n">
        <v>3</v>
      </c>
      <c r="AA453" s="33" t="inlineStr"/>
      <c r="AB453" s="33" t="inlineStr">
        <is>
          <t>https://www.swimcloud.com/results/234614/event/15/?id=68673838#time68673838</t>
        </is>
      </c>
      <c r="AC453" s="33" t="inlineStr">
        <is>
          <t>SwimCloud API v6 2026-10-08</t>
        </is>
      </c>
      <c r="AD453" s="33" t="inlineStr">
        <is>
          <t>David Popovici|2022-07-06|LCM|100|Free|48.66|European Junior Swimming Championships|PRE|True</t>
        </is>
      </c>
      <c r="AE453" s="53">
        <f>G453+L453/1000+ROW()/1000000000</f>
        <v/>
      </c>
      <c r="AF453" s="35">
        <f>IF(C453&lt;&gt;"Grayson Coulter","",COUNTIFS($C$5:$C$2991,"Grayson Coulter",$Q$5:$Q$2991,Q453,$AE$5:$AE$2991,"&lt;="&amp;AE453,$R$5:$R$2991,"&lt;"&amp;R453))</f>
        <v/>
      </c>
      <c r="AG453" s="35">
        <f>IF(OR(C453&lt;&gt;"Grayson Coulter",G453&lt;'00_Control'!$B$7),"",--(AF453&lt;5))</f>
        <v/>
      </c>
      <c r="AH453" s="35">
        <f>IF(OR(C453&lt;&gt;"Grayson Coulter",G453&lt;'00_Control'!$B$7),"",--(AF453&lt;10))</f>
        <v/>
      </c>
      <c r="AI453" s="35">
        <f>IF(AND(C453="Grayson Coulter",G453&gt;='00_Control'!$B$7),"YES","NO")</f>
        <v/>
      </c>
      <c r="AJ453" s="33" t="inlineStr">
        <is>
          <t>OK</t>
        </is>
      </c>
    </row>
    <row r="454">
      <c r="A454" s="33" t="inlineStr">
        <is>
          <t>SM000450</t>
        </is>
      </c>
      <c r="B454" s="33" t="inlineStr">
        <is>
          <t>SW009</t>
        </is>
      </c>
      <c r="C454" s="33" t="inlineStr">
        <is>
          <t>David Popovici</t>
        </is>
      </c>
      <c r="D454" s="33" t="inlineStr">
        <is>
          <t>SwimCloud</t>
        </is>
      </c>
      <c r="E454" s="33" t="inlineStr">
        <is>
          <t>1405298</t>
        </is>
      </c>
      <c r="F454" s="33" t="inlineStr">
        <is>
          <t>68674816</t>
        </is>
      </c>
      <c r="G454" s="51" t="n">
        <v>44748</v>
      </c>
      <c r="H454" s="33" t="inlineStr">
        <is>
          <t>European Junior Swimming Championships</t>
        </is>
      </c>
      <c r="I454" s="33" t="inlineStr">
        <is>
          <t>234614</t>
        </is>
      </c>
      <c r="J454" s="33" t="inlineStr"/>
      <c r="K454" s="33" t="inlineStr">
        <is>
          <t>FIN</t>
        </is>
      </c>
      <c r="L454" s="35">
        <f>IF(K454="FIN",3,IF(OR(K454="SEM",K454="SEMI"),2,IF(OR(K454="PRE",K454="HEAT"),1,IF(V454="YES",4,2))))</f>
        <v/>
      </c>
      <c r="M454" s="33" t="inlineStr">
        <is>
          <t>LCM</t>
        </is>
      </c>
      <c r="N454" s="33" t="n">
        <v>100</v>
      </c>
      <c r="O454" s="33" t="inlineStr">
        <is>
          <t>Free</t>
        </is>
      </c>
      <c r="P454" s="33" t="inlineStr">
        <is>
          <t>100 Free</t>
        </is>
      </c>
      <c r="Q454" s="33" t="inlineStr">
        <is>
          <t>LCM_100_FREE</t>
        </is>
      </c>
      <c r="R454" s="36" t="n">
        <v>47.34</v>
      </c>
      <c r="S454" s="35">
        <f>IF(R454="","",IF(R454&gt;=60,INT(R454/60)&amp;":"&amp;TEXT(MOD(R454,60),"00.00"),TEXT(R454,"0.00")))</f>
        <v/>
      </c>
      <c r="T454" s="52">
        <f>IFERROR((G454-INDEX('01_Swimmers'!$E$5:$E$22,MATCH(B454,'01_Swimmers'!$A$5:$A$22,0)))/'00_Control'!$B$10,"")</f>
        <v/>
      </c>
      <c r="U454" s="35">
        <f>IF(T454="","",INT(T454))</f>
        <v/>
      </c>
      <c r="V454" s="33" t="inlineStr">
        <is>
          <t>YES</t>
        </is>
      </c>
      <c r="W454" s="33" t="inlineStr">
        <is>
          <t>YES</t>
        </is>
      </c>
      <c r="X454" s="33" t="inlineStr">
        <is>
          <t>NO</t>
        </is>
      </c>
      <c r="Y454" s="33" t="n">
        <v>15</v>
      </c>
      <c r="Z454" s="33" t="n">
        <v>7</v>
      </c>
      <c r="AA454" s="33" t="inlineStr"/>
      <c r="AB454" s="33" t="inlineStr">
        <is>
          <t>https://www.swimcloud.com/results/234614/event/15/?id=68673839#time68673839</t>
        </is>
      </c>
      <c r="AC454" s="33" t="inlineStr">
        <is>
          <t>SwimCloud API v6 2026-10-08</t>
        </is>
      </c>
      <c r="AD454" s="33" t="inlineStr">
        <is>
          <t>David Popovici|2022-07-06|LCM|100|Free|47.34|European Junior Swimming Championships|FIN|True</t>
        </is>
      </c>
      <c r="AE454" s="53">
        <f>G454+L454/1000+ROW()/1000000000</f>
        <v/>
      </c>
      <c r="AF454" s="35">
        <f>IF(C454&lt;&gt;"Grayson Coulter","",COUNTIFS($C$5:$C$2991,"Grayson Coulter",$Q$5:$Q$2991,Q454,$AE$5:$AE$2991,"&lt;="&amp;AE454,$R$5:$R$2991,"&lt;"&amp;R454))</f>
        <v/>
      </c>
      <c r="AG454" s="35">
        <f>IF(OR(C454&lt;&gt;"Grayson Coulter",G454&lt;'00_Control'!$B$7),"",--(AF454&lt;5))</f>
        <v/>
      </c>
      <c r="AH454" s="35">
        <f>IF(OR(C454&lt;&gt;"Grayson Coulter",G454&lt;'00_Control'!$B$7),"",--(AF454&lt;10))</f>
        <v/>
      </c>
      <c r="AI454" s="35">
        <f>IF(AND(C454="Grayson Coulter",G454&gt;='00_Control'!$B$7),"YES","NO")</f>
        <v/>
      </c>
      <c r="AJ454" s="33" t="inlineStr">
        <is>
          <t>OK</t>
        </is>
      </c>
    </row>
    <row r="455">
      <c r="A455" s="33" t="inlineStr">
        <is>
          <t>SM000451</t>
        </is>
      </c>
      <c r="B455" s="33" t="inlineStr">
        <is>
          <t>SW009</t>
        </is>
      </c>
      <c r="C455" s="33" t="inlineStr">
        <is>
          <t>David Popovici</t>
        </is>
      </c>
      <c r="D455" s="33" t="inlineStr">
        <is>
          <t>SwimCloud</t>
        </is>
      </c>
      <c r="E455" s="33" t="inlineStr">
        <is>
          <t>1405298</t>
        </is>
      </c>
      <c r="F455" s="33" t="inlineStr">
        <is>
          <t>68673807</t>
        </is>
      </c>
      <c r="G455" s="51" t="n">
        <v>44748</v>
      </c>
      <c r="H455" s="33" t="inlineStr">
        <is>
          <t>European Junior Swimming Championships</t>
        </is>
      </c>
      <c r="I455" s="33" t="inlineStr">
        <is>
          <t>234614</t>
        </is>
      </c>
      <c r="J455" s="33" t="inlineStr"/>
      <c r="K455" s="33" t="inlineStr">
        <is>
          <t>FIN</t>
        </is>
      </c>
      <c r="L455" s="35">
        <f>IF(K455="FIN",3,IF(OR(K455="SEM",K455="SEMI"),2,IF(OR(K455="PRE",K455="HEAT"),1,IF(V455="YES",4,2))))</f>
        <v/>
      </c>
      <c r="M455" s="33" t="inlineStr">
        <is>
          <t>LCM</t>
        </is>
      </c>
      <c r="N455" s="33" t="n">
        <v>200</v>
      </c>
      <c r="O455" s="33" t="inlineStr">
        <is>
          <t>Free</t>
        </is>
      </c>
      <c r="P455" s="33" t="inlineStr">
        <is>
          <t>200 Free</t>
        </is>
      </c>
      <c r="Q455" s="33" t="inlineStr">
        <is>
          <t>LCM_200_FREE</t>
        </is>
      </c>
      <c r="R455" s="36" t="n">
        <v>105.45</v>
      </c>
      <c r="S455" s="35">
        <f>IF(R455="","",IF(R455&gt;=60,INT(R455/60)&amp;":"&amp;TEXT(MOD(R455,60),"00.00"),TEXT(R455,"0.00")))</f>
        <v/>
      </c>
      <c r="T455" s="52">
        <f>IFERROR((G455-INDEX('01_Swimmers'!$E$5:$E$22,MATCH(B455,'01_Swimmers'!$A$5:$A$22,0)))/'00_Control'!$B$10,"")</f>
        <v/>
      </c>
      <c r="U455" s="35">
        <f>IF(T455="","",INT(T455))</f>
        <v/>
      </c>
      <c r="V455" s="33" t="inlineStr">
        <is>
          <t>NO</t>
        </is>
      </c>
      <c r="W455" s="33" t="inlineStr">
        <is>
          <t>YES</t>
        </is>
      </c>
      <c r="X455" s="33" t="inlineStr">
        <is>
          <t>NO</t>
        </is>
      </c>
      <c r="Y455" s="33" t="n">
        <v>2</v>
      </c>
      <c r="Z455" s="33" t="n">
        <v>5</v>
      </c>
      <c r="AA455" s="33" t="inlineStr">
        <is>
          <t>1</t>
        </is>
      </c>
      <c r="AB455" s="33" t="inlineStr">
        <is>
          <t>https://www.swimcloud.com/results/234614/event/2/?id=68673807#time68673807</t>
        </is>
      </c>
      <c r="AC455" s="33" t="inlineStr">
        <is>
          <t>SwimCloud API v6 2026-10-08</t>
        </is>
      </c>
      <c r="AD455" s="33" t="inlineStr">
        <is>
          <t>David Popovici|2022-07-06|LCM|200|Free|105.45|European Junior Swimming Championships|FIN|False</t>
        </is>
      </c>
      <c r="AE455" s="53">
        <f>G455+L455/1000+ROW()/1000000000</f>
        <v/>
      </c>
      <c r="AF455" s="35">
        <f>IF(C455&lt;&gt;"Grayson Coulter","",COUNTIFS($C$5:$C$2991,"Grayson Coulter",$Q$5:$Q$2991,Q455,$AE$5:$AE$2991,"&lt;="&amp;AE455,$R$5:$R$2991,"&lt;"&amp;R455))</f>
        <v/>
      </c>
      <c r="AG455" s="35">
        <f>IF(OR(C455&lt;&gt;"Grayson Coulter",G455&lt;'00_Control'!$B$7),"",--(AF455&lt;5))</f>
        <v/>
      </c>
      <c r="AH455" s="35">
        <f>IF(OR(C455&lt;&gt;"Grayson Coulter",G455&lt;'00_Control'!$B$7),"",--(AF455&lt;10))</f>
        <v/>
      </c>
      <c r="AI455" s="35">
        <f>IF(AND(C455="Grayson Coulter",G455&gt;='00_Control'!$B$7),"YES","NO")</f>
        <v/>
      </c>
      <c r="AJ455" s="33" t="inlineStr">
        <is>
          <t>OK</t>
        </is>
      </c>
    </row>
    <row r="456">
      <c r="A456" s="33" t="inlineStr">
        <is>
          <t>SM000452</t>
        </is>
      </c>
      <c r="B456" s="33" t="inlineStr">
        <is>
          <t>SW009</t>
        </is>
      </c>
      <c r="C456" s="33" t="inlineStr">
        <is>
          <t>David Popovici</t>
        </is>
      </c>
      <c r="D456" s="33" t="inlineStr">
        <is>
          <t>SwimCloud</t>
        </is>
      </c>
      <c r="E456" s="33" t="inlineStr">
        <is>
          <t>1405298</t>
        </is>
      </c>
      <c r="F456" s="33" t="inlineStr">
        <is>
          <t>68673802</t>
        </is>
      </c>
      <c r="G456" s="51" t="n">
        <v>44751</v>
      </c>
      <c r="H456" s="33" t="inlineStr">
        <is>
          <t>European Junior Swimming Championships</t>
        </is>
      </c>
      <c r="I456" s="33" t="inlineStr">
        <is>
          <t>234614</t>
        </is>
      </c>
      <c r="J456" s="33" t="inlineStr"/>
      <c r="K456" s="33" t="inlineStr">
        <is>
          <t>PRE</t>
        </is>
      </c>
      <c r="L456" s="35">
        <f>IF(K456="FIN",3,IF(OR(K456="SEM",K456="SEMI"),2,IF(OR(K456="PRE",K456="HEAT"),1,IF(V456="YES",4,2))))</f>
        <v/>
      </c>
      <c r="M456" s="33" t="inlineStr">
        <is>
          <t>LCM</t>
        </is>
      </c>
      <c r="N456" s="33" t="n">
        <v>100</v>
      </c>
      <c r="O456" s="33" t="inlineStr">
        <is>
          <t>Free</t>
        </is>
      </c>
      <c r="P456" s="33" t="inlineStr">
        <is>
          <t>100 Free</t>
        </is>
      </c>
      <c r="Q456" s="33" t="inlineStr">
        <is>
          <t>LCM_100_FREE</t>
        </is>
      </c>
      <c r="R456" s="36" t="n">
        <v>49.61</v>
      </c>
      <c r="S456" s="35">
        <f>IF(R456="","",IF(R456&gt;=60,INT(R456/60)&amp;":"&amp;TEXT(MOD(R456,60),"00.00"),TEXT(R456,"0.00")))</f>
        <v/>
      </c>
      <c r="T456" s="52">
        <f>IFERROR((G456-INDEX('01_Swimmers'!$E$5:$E$22,MATCH(B456,'01_Swimmers'!$A$5:$A$22,0)))/'00_Control'!$B$10,"")</f>
        <v/>
      </c>
      <c r="U456" s="35">
        <f>IF(T456="","",INT(T456))</f>
        <v/>
      </c>
      <c r="V456" s="33" t="inlineStr">
        <is>
          <t>NO</t>
        </is>
      </c>
      <c r="W456" s="33" t="inlineStr">
        <is>
          <t>YES</t>
        </is>
      </c>
      <c r="X456" s="33" t="inlineStr">
        <is>
          <t>NO</t>
        </is>
      </c>
      <c r="Y456" s="33" t="n">
        <v>8</v>
      </c>
      <c r="Z456" s="33" t="n">
        <v>4</v>
      </c>
      <c r="AA456" s="33" t="inlineStr">
        <is>
          <t>2</t>
        </is>
      </c>
      <c r="AB456" s="33" t="inlineStr">
        <is>
          <t>https://www.swimcloud.com/results/234614/event/30/?id=68673802#time68673802</t>
        </is>
      </c>
      <c r="AC456" s="33" t="inlineStr">
        <is>
          <t>SwimCloud API v6 2026-10-08</t>
        </is>
      </c>
      <c r="AD456" s="33" t="inlineStr">
        <is>
          <t>David Popovici|2022-07-09|LCM|100|Free|49.61|European Junior Swimming Championships|PRE|False</t>
        </is>
      </c>
      <c r="AE456" s="53">
        <f>G456+L456/1000+ROW()/1000000000</f>
        <v/>
      </c>
      <c r="AF456" s="35">
        <f>IF(C456&lt;&gt;"Grayson Coulter","",COUNTIFS($C$5:$C$2991,"Grayson Coulter",$Q$5:$Q$2991,Q456,$AE$5:$AE$2991,"&lt;="&amp;AE456,$R$5:$R$2991,"&lt;"&amp;R456))</f>
        <v/>
      </c>
      <c r="AG456" s="35">
        <f>IF(OR(C456&lt;&gt;"Grayson Coulter",G456&lt;'00_Control'!$B$7),"",--(AF456&lt;5))</f>
        <v/>
      </c>
      <c r="AH456" s="35">
        <f>IF(OR(C456&lt;&gt;"Grayson Coulter",G456&lt;'00_Control'!$B$7),"",--(AF456&lt;10))</f>
        <v/>
      </c>
      <c r="AI456" s="35">
        <f>IF(AND(C456="Grayson Coulter",G456&gt;='00_Control'!$B$7),"YES","NO")</f>
        <v/>
      </c>
      <c r="AJ456" s="33" t="inlineStr">
        <is>
          <t>OK</t>
        </is>
      </c>
    </row>
    <row r="457">
      <c r="A457" s="33" t="inlineStr">
        <is>
          <t>SM000453</t>
        </is>
      </c>
      <c r="B457" s="33" t="inlineStr">
        <is>
          <t>SW009</t>
        </is>
      </c>
      <c r="C457" s="33" t="inlineStr">
        <is>
          <t>David Popovici</t>
        </is>
      </c>
      <c r="D457" s="33" t="inlineStr">
        <is>
          <t>SwimCloud</t>
        </is>
      </c>
      <c r="E457" s="33" t="inlineStr">
        <is>
          <t>1405298</t>
        </is>
      </c>
      <c r="F457" s="33" t="inlineStr">
        <is>
          <t>68673803</t>
        </is>
      </c>
      <c r="G457" s="51" t="n">
        <v>44751</v>
      </c>
      <c r="H457" s="33" t="inlineStr">
        <is>
          <t>European Junior Swimming Championships</t>
        </is>
      </c>
      <c r="I457" s="33" t="inlineStr">
        <is>
          <t>234614</t>
        </is>
      </c>
      <c r="J457" s="33" t="inlineStr"/>
      <c r="K457" s="33" t="inlineStr">
        <is>
          <t>SEM</t>
        </is>
      </c>
      <c r="L457" s="35">
        <f>IF(K457="FIN",3,IF(OR(K457="SEM",K457="SEMI"),2,IF(OR(K457="PRE",K457="HEAT"),1,IF(V457="YES",4,2))))</f>
        <v/>
      </c>
      <c r="M457" s="33" t="inlineStr">
        <is>
          <t>LCM</t>
        </is>
      </c>
      <c r="N457" s="33" t="n">
        <v>100</v>
      </c>
      <c r="O457" s="33" t="inlineStr">
        <is>
          <t>Free</t>
        </is>
      </c>
      <c r="P457" s="33" t="inlineStr">
        <is>
          <t>100 Free</t>
        </is>
      </c>
      <c r="Q457" s="33" t="inlineStr">
        <is>
          <t>LCM_100_FREE</t>
        </is>
      </c>
      <c r="R457" s="36" t="n">
        <v>48.31</v>
      </c>
      <c r="S457" s="35">
        <f>IF(R457="","",IF(R457&gt;=60,INT(R457/60)&amp;":"&amp;TEXT(MOD(R457,60),"00.00"),TEXT(R457,"0.00")))</f>
        <v/>
      </c>
      <c r="T457" s="52">
        <f>IFERROR((G457-INDEX('01_Swimmers'!$E$5:$E$22,MATCH(B457,'01_Swimmers'!$A$5:$A$22,0)))/'00_Control'!$B$10,"")</f>
        <v/>
      </c>
      <c r="U457" s="35">
        <f>IF(T457="","",INT(T457))</f>
        <v/>
      </c>
      <c r="V457" s="33" t="inlineStr">
        <is>
          <t>NO</t>
        </is>
      </c>
      <c r="W457" s="33" t="inlineStr">
        <is>
          <t>YES</t>
        </is>
      </c>
      <c r="X457" s="33" t="inlineStr">
        <is>
          <t>NO</t>
        </is>
      </c>
      <c r="Y457" s="33" t="n">
        <v>2</v>
      </c>
      <c r="Z457" s="33" t="n">
        <v>4</v>
      </c>
      <c r="AA457" s="33" t="inlineStr">
        <is>
          <t>1</t>
        </is>
      </c>
      <c r="AB457" s="33" t="inlineStr">
        <is>
          <t>https://www.swimcloud.com/results/234614/event/30/?id=68673803#time68673803</t>
        </is>
      </c>
      <c r="AC457" s="33" t="inlineStr">
        <is>
          <t>SwimCloud API v6 2026-10-08</t>
        </is>
      </c>
      <c r="AD457" s="33" t="inlineStr">
        <is>
          <t>David Popovici|2022-07-09|LCM|100|Free|48.31|European Junior Swimming Championships|SEM|False</t>
        </is>
      </c>
      <c r="AE457" s="53">
        <f>G457+L457/1000+ROW()/1000000000</f>
        <v/>
      </c>
      <c r="AF457" s="35">
        <f>IF(C457&lt;&gt;"Grayson Coulter","",COUNTIFS($C$5:$C$2991,"Grayson Coulter",$Q$5:$Q$2991,Q457,$AE$5:$AE$2991,"&lt;="&amp;AE457,$R$5:$R$2991,"&lt;"&amp;R457))</f>
        <v/>
      </c>
      <c r="AG457" s="35">
        <f>IF(OR(C457&lt;&gt;"Grayson Coulter",G457&lt;'00_Control'!$B$7),"",--(AF457&lt;5))</f>
        <v/>
      </c>
      <c r="AH457" s="35">
        <f>IF(OR(C457&lt;&gt;"Grayson Coulter",G457&lt;'00_Control'!$B$7),"",--(AF457&lt;10))</f>
        <v/>
      </c>
      <c r="AI457" s="35">
        <f>IF(AND(C457="Grayson Coulter",G457&gt;='00_Control'!$B$7),"YES","NO")</f>
        <v/>
      </c>
      <c r="AJ457" s="33" t="inlineStr">
        <is>
          <t>OK</t>
        </is>
      </c>
    </row>
    <row r="458">
      <c r="A458" s="33" t="inlineStr">
        <is>
          <t>SM000454</t>
        </is>
      </c>
      <c r="B458" s="33" t="inlineStr">
        <is>
          <t>SW009</t>
        </is>
      </c>
      <c r="C458" s="33" t="inlineStr">
        <is>
          <t>David Popovici</t>
        </is>
      </c>
      <c r="D458" s="33" t="inlineStr">
        <is>
          <t>SwimCloud</t>
        </is>
      </c>
      <c r="E458" s="33" t="inlineStr">
        <is>
          <t>1405298</t>
        </is>
      </c>
      <c r="F458" s="33" t="inlineStr">
        <is>
          <t>68673804</t>
        </is>
      </c>
      <c r="G458" s="51" t="n">
        <v>44752</v>
      </c>
      <c r="H458" s="33" t="inlineStr">
        <is>
          <t>European Junior Swimming Championships</t>
        </is>
      </c>
      <c r="I458" s="33" t="inlineStr">
        <is>
          <t>234614</t>
        </is>
      </c>
      <c r="J458" s="33" t="inlineStr"/>
      <c r="K458" s="33" t="inlineStr">
        <is>
          <t>FIN</t>
        </is>
      </c>
      <c r="L458" s="35">
        <f>IF(K458="FIN",3,IF(OR(K458="SEM",K458="SEMI"),2,IF(OR(K458="PRE",K458="HEAT"),1,IF(V458="YES",4,2))))</f>
        <v/>
      </c>
      <c r="M458" s="33" t="inlineStr">
        <is>
          <t>LCM</t>
        </is>
      </c>
      <c r="N458" s="33" t="n">
        <v>100</v>
      </c>
      <c r="O458" s="33" t="inlineStr">
        <is>
          <t>Free</t>
        </is>
      </c>
      <c r="P458" s="33" t="inlineStr">
        <is>
          <t>100 Free</t>
        </is>
      </c>
      <c r="Q458" s="33" t="inlineStr">
        <is>
          <t>LCM_100_FREE</t>
        </is>
      </c>
      <c r="R458" s="36" t="n">
        <v>47.69</v>
      </c>
      <c r="S458" s="35">
        <f>IF(R458="","",IF(R458&gt;=60,INT(R458/60)&amp;":"&amp;TEXT(MOD(R458,60),"00.00"),TEXT(R458,"0.00")))</f>
        <v/>
      </c>
      <c r="T458" s="52">
        <f>IFERROR((G458-INDEX('01_Swimmers'!$E$5:$E$22,MATCH(B458,'01_Swimmers'!$A$5:$A$22,0)))/'00_Control'!$B$10,"")</f>
        <v/>
      </c>
      <c r="U458" s="35">
        <f>IF(T458="","",INT(T458))</f>
        <v/>
      </c>
      <c r="V458" s="33" t="inlineStr">
        <is>
          <t>NO</t>
        </is>
      </c>
      <c r="W458" s="33" t="inlineStr">
        <is>
          <t>YES</t>
        </is>
      </c>
      <c r="X458" s="33" t="inlineStr">
        <is>
          <t>NO</t>
        </is>
      </c>
      <c r="Y458" s="33" t="n">
        <v>5</v>
      </c>
      <c r="Z458" s="33" t="n">
        <v>4</v>
      </c>
      <c r="AA458" s="33" t="inlineStr">
        <is>
          <t>1</t>
        </is>
      </c>
      <c r="AB458" s="33" t="inlineStr">
        <is>
          <t>https://www.swimcloud.com/results/234614/event/30/?id=68673804#time68673804</t>
        </is>
      </c>
      <c r="AC458" s="33" t="inlineStr">
        <is>
          <t>SwimCloud API v6 2026-10-08</t>
        </is>
      </c>
      <c r="AD458" s="33" t="inlineStr">
        <is>
          <t>David Popovici|2022-07-10|LCM|100|Free|47.69|European Junior Swimming Championships|FIN|False</t>
        </is>
      </c>
      <c r="AE458" s="53">
        <f>G458+L458/1000+ROW()/1000000000</f>
        <v/>
      </c>
      <c r="AF458" s="35">
        <f>IF(C458&lt;&gt;"Grayson Coulter","",COUNTIFS($C$5:$C$2991,"Grayson Coulter",$Q$5:$Q$2991,Q458,$AE$5:$AE$2991,"&lt;="&amp;AE458,$R$5:$R$2991,"&lt;"&amp;R458))</f>
        <v/>
      </c>
      <c r="AG458" s="35">
        <f>IF(OR(C458&lt;&gt;"Grayson Coulter",G458&lt;'00_Control'!$B$7),"",--(AF458&lt;5))</f>
        <v/>
      </c>
      <c r="AH458" s="35">
        <f>IF(OR(C458&lt;&gt;"Grayson Coulter",G458&lt;'00_Control'!$B$7),"",--(AF458&lt;10))</f>
        <v/>
      </c>
      <c r="AI458" s="35">
        <f>IF(AND(C458="Grayson Coulter",G458&gt;='00_Control'!$B$7),"YES","NO")</f>
        <v/>
      </c>
      <c r="AJ458" s="33" t="inlineStr">
        <is>
          <t>OK</t>
        </is>
      </c>
    </row>
    <row r="459">
      <c r="A459" s="33" t="inlineStr">
        <is>
          <t>SM000455</t>
        </is>
      </c>
      <c r="B459" s="33" t="inlineStr">
        <is>
          <t>SW009</t>
        </is>
      </c>
      <c r="C459" s="33" t="inlineStr">
        <is>
          <t>David Popovici</t>
        </is>
      </c>
      <c r="D459" s="33" t="inlineStr">
        <is>
          <t>SwimCloud</t>
        </is>
      </c>
      <c r="E459" s="33" t="inlineStr">
        <is>
          <t>1405298</t>
        </is>
      </c>
      <c r="F459" s="33" t="inlineStr">
        <is>
          <t>74483755</t>
        </is>
      </c>
      <c r="G459" s="51" t="n">
        <v>44785</v>
      </c>
      <c r="H459" s="33" t="inlineStr">
        <is>
          <t>LEN European Championships</t>
        </is>
      </c>
      <c r="I459" s="33" t="inlineStr">
        <is>
          <t>204182</t>
        </is>
      </c>
      <c r="J459" s="33" t="inlineStr"/>
      <c r="K459" s="33" t="inlineStr">
        <is>
          <t>PRE</t>
        </is>
      </c>
      <c r="L459" s="35">
        <f>IF(K459="FIN",3,IF(OR(K459="SEM",K459="SEMI"),2,IF(OR(K459="PRE",K459="HEAT"),1,IF(V459="YES",4,2))))</f>
        <v/>
      </c>
      <c r="M459" s="33" t="inlineStr">
        <is>
          <t>LCM</t>
        </is>
      </c>
      <c r="N459" s="33" t="n">
        <v>100</v>
      </c>
      <c r="O459" s="33" t="inlineStr">
        <is>
          <t>Free</t>
        </is>
      </c>
      <c r="P459" s="33" t="inlineStr">
        <is>
          <t>100 Free</t>
        </is>
      </c>
      <c r="Q459" s="33" t="inlineStr">
        <is>
          <t>LCM_100_FREE</t>
        </is>
      </c>
      <c r="R459" s="36" t="n">
        <v>47.2</v>
      </c>
      <c r="S459" s="35">
        <f>IF(R459="","",IF(R459&gt;=60,INT(R459/60)&amp;":"&amp;TEXT(MOD(R459,60),"00.00"),TEXT(R459,"0.00")))</f>
        <v/>
      </c>
      <c r="T459" s="52">
        <f>IFERROR((G459-INDEX('01_Swimmers'!$E$5:$E$22,MATCH(B459,'01_Swimmers'!$A$5:$A$22,0)))/'00_Control'!$B$10,"")</f>
        <v/>
      </c>
      <c r="U459" s="35">
        <f>IF(T459="","",INT(T459))</f>
        <v/>
      </c>
      <c r="V459" s="33" t="inlineStr">
        <is>
          <t>NO</t>
        </is>
      </c>
      <c r="W459" s="33" t="inlineStr">
        <is>
          <t>YES</t>
        </is>
      </c>
      <c r="X459" s="33" t="inlineStr">
        <is>
          <t>NO</t>
        </is>
      </c>
      <c r="Y459" s="33" t="n">
        <v>12</v>
      </c>
      <c r="Z459" s="33" t="n">
        <v>4</v>
      </c>
      <c r="AA459" s="33" t="inlineStr">
        <is>
          <t>1</t>
        </is>
      </c>
      <c r="AB459" s="33" t="inlineStr">
        <is>
          <t>https://www.swimcloud.com/results/204182/event/10/?id=74483755#time74483755</t>
        </is>
      </c>
      <c r="AC459" s="33" t="inlineStr">
        <is>
          <t>SwimCloud API v6 2026-10-08</t>
        </is>
      </c>
      <c r="AD459" s="33" t="inlineStr">
        <is>
          <t>David Popovici|2022-08-12|LCM|100|Free|47.2|LEN European Championships|PRE|False</t>
        </is>
      </c>
      <c r="AE459" s="53">
        <f>G459+L459/1000+ROW()/1000000000</f>
        <v/>
      </c>
      <c r="AF459" s="35">
        <f>IF(C459&lt;&gt;"Grayson Coulter","",COUNTIFS($C$5:$C$2991,"Grayson Coulter",$Q$5:$Q$2991,Q459,$AE$5:$AE$2991,"&lt;="&amp;AE459,$R$5:$R$2991,"&lt;"&amp;R459))</f>
        <v/>
      </c>
      <c r="AG459" s="35">
        <f>IF(OR(C459&lt;&gt;"Grayson Coulter",G459&lt;'00_Control'!$B$7),"",--(AF459&lt;5))</f>
        <v/>
      </c>
      <c r="AH459" s="35">
        <f>IF(OR(C459&lt;&gt;"Grayson Coulter",G459&lt;'00_Control'!$B$7),"",--(AF459&lt;10))</f>
        <v/>
      </c>
      <c r="AI459" s="35">
        <f>IF(AND(C459="Grayson Coulter",G459&gt;='00_Control'!$B$7),"YES","NO")</f>
        <v/>
      </c>
      <c r="AJ459" s="33" t="inlineStr">
        <is>
          <t>OK</t>
        </is>
      </c>
    </row>
    <row r="460">
      <c r="A460" s="33" t="inlineStr">
        <is>
          <t>SM000456</t>
        </is>
      </c>
      <c r="B460" s="33" t="inlineStr">
        <is>
          <t>SW009</t>
        </is>
      </c>
      <c r="C460" s="33" t="inlineStr">
        <is>
          <t>David Popovici</t>
        </is>
      </c>
      <c r="D460" s="33" t="inlineStr">
        <is>
          <t>SwimCloud</t>
        </is>
      </c>
      <c r="E460" s="33" t="inlineStr">
        <is>
          <t>1405298</t>
        </is>
      </c>
      <c r="F460" s="33" t="inlineStr">
        <is>
          <t>74483756</t>
        </is>
      </c>
      <c r="G460" s="51" t="n">
        <v>44785</v>
      </c>
      <c r="H460" s="33" t="inlineStr">
        <is>
          <t>LEN European Championships</t>
        </is>
      </c>
      <c r="I460" s="33" t="inlineStr">
        <is>
          <t>204182</t>
        </is>
      </c>
      <c r="J460" s="33" t="inlineStr"/>
      <c r="K460" s="33" t="inlineStr">
        <is>
          <t>SEM</t>
        </is>
      </c>
      <c r="L460" s="35">
        <f>IF(K460="FIN",3,IF(OR(K460="SEM",K460="SEMI"),2,IF(OR(K460="PRE",K460="HEAT"),1,IF(V460="YES",4,2))))</f>
        <v/>
      </c>
      <c r="M460" s="33" t="inlineStr">
        <is>
          <t>LCM</t>
        </is>
      </c>
      <c r="N460" s="33" t="n">
        <v>100</v>
      </c>
      <c r="O460" s="33" t="inlineStr">
        <is>
          <t>Free</t>
        </is>
      </c>
      <c r="P460" s="33" t="inlineStr">
        <is>
          <t>100 Free</t>
        </is>
      </c>
      <c r="Q460" s="33" t="inlineStr">
        <is>
          <t>LCM_100_FREE</t>
        </is>
      </c>
      <c r="R460" s="36" t="n">
        <v>46.98</v>
      </c>
      <c r="S460" s="35">
        <f>IF(R460="","",IF(R460&gt;=60,INT(R460/60)&amp;":"&amp;TEXT(MOD(R460,60),"00.00"),TEXT(R460,"0.00")))</f>
        <v/>
      </c>
      <c r="T460" s="52">
        <f>IFERROR((G460-INDEX('01_Swimmers'!$E$5:$E$22,MATCH(B460,'01_Swimmers'!$A$5:$A$22,0)))/'00_Control'!$B$10,"")</f>
        <v/>
      </c>
      <c r="U460" s="35">
        <f>IF(T460="","",INT(T460))</f>
        <v/>
      </c>
      <c r="V460" s="33" t="inlineStr">
        <is>
          <t>NO</t>
        </is>
      </c>
      <c r="W460" s="33" t="inlineStr">
        <is>
          <t>YES</t>
        </is>
      </c>
      <c r="X460" s="33" t="inlineStr">
        <is>
          <t>NO</t>
        </is>
      </c>
      <c r="Y460" s="33" t="n">
        <v>8</v>
      </c>
      <c r="Z460" s="33" t="n">
        <v>4</v>
      </c>
      <c r="AA460" s="33" t="inlineStr">
        <is>
          <t>1</t>
        </is>
      </c>
      <c r="AB460" s="33" t="inlineStr">
        <is>
          <t>https://www.swimcloud.com/results/204182/event/10/?id=74483756#time74483756</t>
        </is>
      </c>
      <c r="AC460" s="33" t="inlineStr">
        <is>
          <t>SwimCloud API v6 2026-10-08</t>
        </is>
      </c>
      <c r="AD460" s="33" t="inlineStr">
        <is>
          <t>David Popovici|2022-08-12|LCM|100|Free|46.98|LEN European Championships|SEM|False</t>
        </is>
      </c>
      <c r="AE460" s="53">
        <f>G460+L460/1000+ROW()/1000000000</f>
        <v/>
      </c>
      <c r="AF460" s="35">
        <f>IF(C460&lt;&gt;"Grayson Coulter","",COUNTIFS($C$5:$C$2991,"Grayson Coulter",$Q$5:$Q$2991,Q460,$AE$5:$AE$2991,"&lt;="&amp;AE460,$R$5:$R$2991,"&lt;"&amp;R460))</f>
        <v/>
      </c>
      <c r="AG460" s="35">
        <f>IF(OR(C460&lt;&gt;"Grayson Coulter",G460&lt;'00_Control'!$B$7),"",--(AF460&lt;5))</f>
        <v/>
      </c>
      <c r="AH460" s="35">
        <f>IF(OR(C460&lt;&gt;"Grayson Coulter",G460&lt;'00_Control'!$B$7),"",--(AF460&lt;10))</f>
        <v/>
      </c>
      <c r="AI460" s="35">
        <f>IF(AND(C460="Grayson Coulter",G460&gt;='00_Control'!$B$7),"YES","NO")</f>
        <v/>
      </c>
      <c r="AJ460" s="33" t="inlineStr">
        <is>
          <t>OK</t>
        </is>
      </c>
    </row>
    <row r="461">
      <c r="A461" s="33" t="inlineStr">
        <is>
          <t>SM000457</t>
        </is>
      </c>
      <c r="B461" s="33" t="inlineStr">
        <is>
          <t>SW009</t>
        </is>
      </c>
      <c r="C461" s="33" t="inlineStr">
        <is>
          <t>David Popovici</t>
        </is>
      </c>
      <c r="D461" s="33" t="inlineStr">
        <is>
          <t>SwimCloud</t>
        </is>
      </c>
      <c r="E461" s="33" t="inlineStr">
        <is>
          <t>1405298</t>
        </is>
      </c>
      <c r="F461" s="33" t="inlineStr">
        <is>
          <t>74483757</t>
        </is>
      </c>
      <c r="G461" s="51" t="n">
        <v>44786</v>
      </c>
      <c r="H461" s="33" t="inlineStr">
        <is>
          <t>LEN European Championships</t>
        </is>
      </c>
      <c r="I461" s="33" t="inlineStr">
        <is>
          <t>204182</t>
        </is>
      </c>
      <c r="J461" s="33" t="inlineStr"/>
      <c r="K461" s="33" t="inlineStr">
        <is>
          <t>FIN</t>
        </is>
      </c>
      <c r="L461" s="35">
        <f>IF(K461="FIN",3,IF(OR(K461="SEM",K461="SEMI"),2,IF(OR(K461="PRE",K461="HEAT"),1,IF(V461="YES",4,2))))</f>
        <v/>
      </c>
      <c r="M461" s="33" t="inlineStr">
        <is>
          <t>LCM</t>
        </is>
      </c>
      <c r="N461" s="33" t="n">
        <v>100</v>
      </c>
      <c r="O461" s="33" t="inlineStr">
        <is>
          <t>Free</t>
        </is>
      </c>
      <c r="P461" s="33" t="inlineStr">
        <is>
          <t>100 Free</t>
        </is>
      </c>
      <c r="Q461" s="33" t="inlineStr">
        <is>
          <t>LCM_100_FREE</t>
        </is>
      </c>
      <c r="R461" s="36" t="n">
        <v>46.86</v>
      </c>
      <c r="S461" s="35">
        <f>IF(R461="","",IF(R461&gt;=60,INT(R461/60)&amp;":"&amp;TEXT(MOD(R461,60),"00.00"),TEXT(R461,"0.00")))</f>
        <v/>
      </c>
      <c r="T461" s="52">
        <f>IFERROR((G461-INDEX('01_Swimmers'!$E$5:$E$22,MATCH(B461,'01_Swimmers'!$A$5:$A$22,0)))/'00_Control'!$B$10,"")</f>
        <v/>
      </c>
      <c r="U461" s="35">
        <f>IF(T461="","",INT(T461))</f>
        <v/>
      </c>
      <c r="V461" s="33" t="inlineStr">
        <is>
          <t>NO</t>
        </is>
      </c>
      <c r="W461" s="33" t="inlineStr">
        <is>
          <t>YES</t>
        </is>
      </c>
      <c r="X461" s="33" t="inlineStr">
        <is>
          <t>NO</t>
        </is>
      </c>
      <c r="Y461" s="33" t="n">
        <v>5</v>
      </c>
      <c r="Z461" s="33" t="n">
        <v>4</v>
      </c>
      <c r="AA461" s="33" t="inlineStr">
        <is>
          <t>1</t>
        </is>
      </c>
      <c r="AB461" s="33" t="inlineStr">
        <is>
          <t>https://www.swimcloud.com/results/204182/event/10/?id=74483757#time74483757</t>
        </is>
      </c>
      <c r="AC461" s="33" t="inlineStr">
        <is>
          <t>SwimCloud API v6 2026-10-08</t>
        </is>
      </c>
      <c r="AD461" s="33" t="inlineStr">
        <is>
          <t>David Popovici|2022-08-13|LCM|100|Free|46.86|LEN European Championships|FIN|False</t>
        </is>
      </c>
      <c r="AE461" s="53">
        <f>G461+L461/1000+ROW()/1000000000</f>
        <v/>
      </c>
      <c r="AF461" s="35">
        <f>IF(C461&lt;&gt;"Grayson Coulter","",COUNTIFS($C$5:$C$2991,"Grayson Coulter",$Q$5:$Q$2991,Q461,$AE$5:$AE$2991,"&lt;="&amp;AE461,$R$5:$R$2991,"&lt;"&amp;R461))</f>
        <v/>
      </c>
      <c r="AG461" s="35">
        <f>IF(OR(C461&lt;&gt;"Grayson Coulter",G461&lt;'00_Control'!$B$7),"",--(AF461&lt;5))</f>
        <v/>
      </c>
      <c r="AH461" s="35">
        <f>IF(OR(C461&lt;&gt;"Grayson Coulter",G461&lt;'00_Control'!$B$7),"",--(AF461&lt;10))</f>
        <v/>
      </c>
      <c r="AI461" s="35">
        <f>IF(AND(C461="Grayson Coulter",G461&gt;='00_Control'!$B$7),"YES","NO")</f>
        <v/>
      </c>
      <c r="AJ461" s="33" t="inlineStr">
        <is>
          <t>OK</t>
        </is>
      </c>
    </row>
    <row r="462">
      <c r="A462" s="33" t="inlineStr">
        <is>
          <t>SM000458</t>
        </is>
      </c>
      <c r="B462" s="33" t="inlineStr">
        <is>
          <t>SW009</t>
        </is>
      </c>
      <c r="C462" s="33" t="inlineStr">
        <is>
          <t>David Popovici</t>
        </is>
      </c>
      <c r="D462" s="33" t="inlineStr">
        <is>
          <t>SwimCloud</t>
        </is>
      </c>
      <c r="E462" s="33" t="inlineStr">
        <is>
          <t>1405298</t>
        </is>
      </c>
      <c r="F462" s="33" t="inlineStr">
        <is>
          <t>74484656</t>
        </is>
      </c>
      <c r="G462" s="51" t="n">
        <v>44787</v>
      </c>
      <c r="H462" s="33" t="inlineStr">
        <is>
          <t>LEN European Championships</t>
        </is>
      </c>
      <c r="I462" s="33" t="inlineStr">
        <is>
          <t>204182</t>
        </is>
      </c>
      <c r="J462" s="33" t="inlineStr"/>
      <c r="K462" s="33" t="inlineStr">
        <is>
          <t>PRE</t>
        </is>
      </c>
      <c r="L462" s="35">
        <f>IF(K462="FIN",3,IF(OR(K462="SEM",K462="SEMI"),2,IF(OR(K462="PRE",K462="HEAT"),1,IF(V462="YES",4,2))))</f>
        <v/>
      </c>
      <c r="M462" s="33" t="inlineStr">
        <is>
          <t>LCM</t>
        </is>
      </c>
      <c r="N462" s="33" t="n">
        <v>100</v>
      </c>
      <c r="O462" s="33" t="inlineStr">
        <is>
          <t>Free</t>
        </is>
      </c>
      <c r="P462" s="33" t="inlineStr">
        <is>
          <t>100 Free</t>
        </is>
      </c>
      <c r="Q462" s="33" t="inlineStr">
        <is>
          <t>LCM_100_FREE</t>
        </is>
      </c>
      <c r="R462" s="36" t="n">
        <v>47.85</v>
      </c>
      <c r="S462" s="35">
        <f>IF(R462="","",IF(R462&gt;=60,INT(R462/60)&amp;":"&amp;TEXT(MOD(R462,60),"00.00"),TEXT(R462,"0.00")))</f>
        <v/>
      </c>
      <c r="T462" s="52">
        <f>IFERROR((G462-INDEX('01_Swimmers'!$E$5:$E$22,MATCH(B462,'01_Swimmers'!$A$5:$A$22,0)))/'00_Control'!$B$10,"")</f>
        <v/>
      </c>
      <c r="U462" s="35">
        <f>IF(T462="","",INT(T462))</f>
        <v/>
      </c>
      <c r="V462" s="33" t="inlineStr">
        <is>
          <t>YES</t>
        </is>
      </c>
      <c r="W462" s="33" t="inlineStr">
        <is>
          <t>YES</t>
        </is>
      </c>
      <c r="X462" s="33" t="inlineStr">
        <is>
          <t>NO</t>
        </is>
      </c>
      <c r="Y462" s="33" t="n">
        <v>21</v>
      </c>
      <c r="Z462" s="33" t="n"/>
      <c r="AA462" s="33" t="inlineStr"/>
      <c r="AB462" s="33" t="inlineStr">
        <is>
          <t>https://www.swimcloud.com/results/204182/event/25/?id=74483763#time74483763</t>
        </is>
      </c>
      <c r="AC462" s="33" t="inlineStr">
        <is>
          <t>SwimCloud API v6 2026-10-08</t>
        </is>
      </c>
      <c r="AD462" s="33" t="inlineStr">
        <is>
          <t>David Popovici|2022-08-14|LCM|100|Free|47.85|LEN European Championships|PRE|True</t>
        </is>
      </c>
      <c r="AE462" s="53">
        <f>G462+L462/1000+ROW()/1000000000</f>
        <v/>
      </c>
      <c r="AF462" s="35">
        <f>IF(C462&lt;&gt;"Grayson Coulter","",COUNTIFS($C$5:$C$2991,"Grayson Coulter",$Q$5:$Q$2991,Q462,$AE$5:$AE$2991,"&lt;="&amp;AE462,$R$5:$R$2991,"&lt;"&amp;R462))</f>
        <v/>
      </c>
      <c r="AG462" s="35">
        <f>IF(OR(C462&lt;&gt;"Grayson Coulter",G462&lt;'00_Control'!$B$7),"",--(AF462&lt;5))</f>
        <v/>
      </c>
      <c r="AH462" s="35">
        <f>IF(OR(C462&lt;&gt;"Grayson Coulter",G462&lt;'00_Control'!$B$7),"",--(AF462&lt;10))</f>
        <v/>
      </c>
      <c r="AI462" s="35">
        <f>IF(AND(C462="Grayson Coulter",G462&gt;='00_Control'!$B$7),"YES","NO")</f>
        <v/>
      </c>
      <c r="AJ462" s="33" t="inlineStr">
        <is>
          <t>OK</t>
        </is>
      </c>
    </row>
    <row r="463">
      <c r="A463" s="33" t="inlineStr">
        <is>
          <t>SM000459</t>
        </is>
      </c>
      <c r="B463" s="33" t="inlineStr">
        <is>
          <t>SW009</t>
        </is>
      </c>
      <c r="C463" s="33" t="inlineStr">
        <is>
          <t>David Popovici</t>
        </is>
      </c>
      <c r="D463" s="33" t="inlineStr">
        <is>
          <t>SwimCloud</t>
        </is>
      </c>
      <c r="E463" s="33" t="inlineStr">
        <is>
          <t>1405298</t>
        </is>
      </c>
      <c r="F463" s="33" t="inlineStr">
        <is>
          <t>74483758</t>
        </is>
      </c>
      <c r="G463" s="51" t="n">
        <v>44787</v>
      </c>
      <c r="H463" s="33" t="inlineStr">
        <is>
          <t>LEN European Championships</t>
        </is>
      </c>
      <c r="I463" s="33" t="inlineStr">
        <is>
          <t>204182</t>
        </is>
      </c>
      <c r="J463" s="33" t="inlineStr"/>
      <c r="K463" s="33" t="inlineStr">
        <is>
          <t>PRE</t>
        </is>
      </c>
      <c r="L463" s="35">
        <f>IF(K463="FIN",3,IF(OR(K463="SEM",K463="SEMI"),2,IF(OR(K463="PRE",K463="HEAT"),1,IF(V463="YES",4,2))))</f>
        <v/>
      </c>
      <c r="M463" s="33" t="inlineStr">
        <is>
          <t>LCM</t>
        </is>
      </c>
      <c r="N463" s="33" t="n">
        <v>200</v>
      </c>
      <c r="O463" s="33" t="inlineStr">
        <is>
          <t>Free</t>
        </is>
      </c>
      <c r="P463" s="33" t="inlineStr">
        <is>
          <t>200 Free</t>
        </is>
      </c>
      <c r="Q463" s="33" t="inlineStr">
        <is>
          <t>LCM_200_FREE</t>
        </is>
      </c>
      <c r="R463" s="36" t="n">
        <v>106.87</v>
      </c>
      <c r="S463" s="35">
        <f>IF(R463="","",IF(R463&gt;=60,INT(R463/60)&amp;":"&amp;TEXT(MOD(R463,60),"00.00"),TEXT(R463,"0.00")))</f>
        <v/>
      </c>
      <c r="T463" s="52">
        <f>IFERROR((G463-INDEX('01_Swimmers'!$E$5:$E$22,MATCH(B463,'01_Swimmers'!$A$5:$A$22,0)))/'00_Control'!$B$10,"")</f>
        <v/>
      </c>
      <c r="U463" s="35">
        <f>IF(T463="","",INT(T463))</f>
        <v/>
      </c>
      <c r="V463" s="33" t="inlineStr">
        <is>
          <t>NO</t>
        </is>
      </c>
      <c r="W463" s="33" t="inlineStr">
        <is>
          <t>YES</t>
        </is>
      </c>
      <c r="X463" s="33" t="inlineStr">
        <is>
          <t>NO</t>
        </is>
      </c>
      <c r="Y463" s="33" t="n">
        <v>6</v>
      </c>
      <c r="Z463" s="33" t="n">
        <v>4</v>
      </c>
      <c r="AA463" s="33" t="inlineStr">
        <is>
          <t>2</t>
        </is>
      </c>
      <c r="AB463" s="33" t="inlineStr">
        <is>
          <t>https://www.swimcloud.com/results/204182/event/21/?id=74483758#time74483758</t>
        </is>
      </c>
      <c r="AC463" s="33" t="inlineStr">
        <is>
          <t>SwimCloud API v6 2026-10-08</t>
        </is>
      </c>
      <c r="AD463" s="33" t="inlineStr">
        <is>
          <t>David Popovici|2022-08-14|LCM|200|Free|106.87|LEN European Championships|PRE|False</t>
        </is>
      </c>
      <c r="AE463" s="53">
        <f>G463+L463/1000+ROW()/1000000000</f>
        <v/>
      </c>
      <c r="AF463" s="35">
        <f>IF(C463&lt;&gt;"Grayson Coulter","",COUNTIFS($C$5:$C$2991,"Grayson Coulter",$Q$5:$Q$2991,Q463,$AE$5:$AE$2991,"&lt;="&amp;AE463,$R$5:$R$2991,"&lt;"&amp;R463))</f>
        <v/>
      </c>
      <c r="AG463" s="35">
        <f>IF(OR(C463&lt;&gt;"Grayson Coulter",G463&lt;'00_Control'!$B$7),"",--(AF463&lt;5))</f>
        <v/>
      </c>
      <c r="AH463" s="35">
        <f>IF(OR(C463&lt;&gt;"Grayson Coulter",G463&lt;'00_Control'!$B$7),"",--(AF463&lt;10))</f>
        <v/>
      </c>
      <c r="AI463" s="35">
        <f>IF(AND(C463="Grayson Coulter",G463&gt;='00_Control'!$B$7),"YES","NO")</f>
        <v/>
      </c>
      <c r="AJ463" s="33" t="inlineStr">
        <is>
          <t>OK</t>
        </is>
      </c>
    </row>
    <row r="464">
      <c r="A464" s="33" t="inlineStr">
        <is>
          <t>SM000460</t>
        </is>
      </c>
      <c r="B464" s="33" t="inlineStr">
        <is>
          <t>SW009</t>
        </is>
      </c>
      <c r="C464" s="33" t="inlineStr">
        <is>
          <t>David Popovici</t>
        </is>
      </c>
      <c r="D464" s="33" t="inlineStr">
        <is>
          <t>SwimCloud</t>
        </is>
      </c>
      <c r="E464" s="33" t="inlineStr">
        <is>
          <t>1405298</t>
        </is>
      </c>
      <c r="F464" s="33" t="inlineStr">
        <is>
          <t>74483759</t>
        </is>
      </c>
      <c r="G464" s="51" t="n">
        <v>44787</v>
      </c>
      <c r="H464" s="33" t="inlineStr">
        <is>
          <t>LEN European Championships</t>
        </is>
      </c>
      <c r="I464" s="33" t="inlineStr">
        <is>
          <t>204182</t>
        </is>
      </c>
      <c r="J464" s="33" t="inlineStr"/>
      <c r="K464" s="33" t="inlineStr">
        <is>
          <t>SEM</t>
        </is>
      </c>
      <c r="L464" s="35">
        <f>IF(K464="FIN",3,IF(OR(K464="SEM",K464="SEMI"),2,IF(OR(K464="PRE",K464="HEAT"),1,IF(V464="YES",4,2))))</f>
        <v/>
      </c>
      <c r="M464" s="33" t="inlineStr">
        <is>
          <t>LCM</t>
        </is>
      </c>
      <c r="N464" s="33" t="n">
        <v>200</v>
      </c>
      <c r="O464" s="33" t="inlineStr">
        <is>
          <t>Free</t>
        </is>
      </c>
      <c r="P464" s="33" t="inlineStr">
        <is>
          <t>200 Free</t>
        </is>
      </c>
      <c r="Q464" s="33" t="inlineStr">
        <is>
          <t>LCM_200_FREE</t>
        </is>
      </c>
      <c r="R464" s="36" t="n">
        <v>104.91</v>
      </c>
      <c r="S464" s="35">
        <f>IF(R464="","",IF(R464&gt;=60,INT(R464/60)&amp;":"&amp;TEXT(MOD(R464,60),"00.00"),TEXT(R464,"0.00")))</f>
        <v/>
      </c>
      <c r="T464" s="52">
        <f>IFERROR((G464-INDEX('01_Swimmers'!$E$5:$E$22,MATCH(B464,'01_Swimmers'!$A$5:$A$22,0)))/'00_Control'!$B$10,"")</f>
        <v/>
      </c>
      <c r="U464" s="35">
        <f>IF(T464="","",INT(T464))</f>
        <v/>
      </c>
      <c r="V464" s="33" t="inlineStr">
        <is>
          <t>NO</t>
        </is>
      </c>
      <c r="W464" s="33" t="inlineStr">
        <is>
          <t>YES</t>
        </is>
      </c>
      <c r="X464" s="33" t="inlineStr">
        <is>
          <t>NO</t>
        </is>
      </c>
      <c r="Y464" s="33" t="n">
        <v>3</v>
      </c>
      <c r="Z464" s="33" t="n">
        <v>4</v>
      </c>
      <c r="AA464" s="33" t="inlineStr">
        <is>
          <t>1</t>
        </is>
      </c>
      <c r="AB464" s="33" t="inlineStr">
        <is>
          <t>https://www.swimcloud.com/results/204182/event/21/?id=74483759#time74483759</t>
        </is>
      </c>
      <c r="AC464" s="33" t="inlineStr">
        <is>
          <t>SwimCloud API v6 2026-10-08</t>
        </is>
      </c>
      <c r="AD464" s="33" t="inlineStr">
        <is>
          <t>David Popovici|2022-08-14|LCM|200|Free|104.91|LEN European Championships|SEM|False</t>
        </is>
      </c>
      <c r="AE464" s="53">
        <f>G464+L464/1000+ROW()/1000000000</f>
        <v/>
      </c>
      <c r="AF464" s="35">
        <f>IF(C464&lt;&gt;"Grayson Coulter","",COUNTIFS($C$5:$C$2991,"Grayson Coulter",$Q$5:$Q$2991,Q464,$AE$5:$AE$2991,"&lt;="&amp;AE464,$R$5:$R$2991,"&lt;"&amp;R464))</f>
        <v/>
      </c>
      <c r="AG464" s="35">
        <f>IF(OR(C464&lt;&gt;"Grayson Coulter",G464&lt;'00_Control'!$B$7),"",--(AF464&lt;5))</f>
        <v/>
      </c>
      <c r="AH464" s="35">
        <f>IF(OR(C464&lt;&gt;"Grayson Coulter",G464&lt;'00_Control'!$B$7),"",--(AF464&lt;10))</f>
        <v/>
      </c>
      <c r="AI464" s="35">
        <f>IF(AND(C464="Grayson Coulter",G464&gt;='00_Control'!$B$7),"YES","NO")</f>
        <v/>
      </c>
      <c r="AJ464" s="33" t="inlineStr">
        <is>
          <t>OK</t>
        </is>
      </c>
    </row>
    <row r="465">
      <c r="A465" s="33" t="inlineStr">
        <is>
          <t>SM000461</t>
        </is>
      </c>
      <c r="B465" s="33" t="inlineStr">
        <is>
          <t>SW009</t>
        </is>
      </c>
      <c r="C465" s="33" t="inlineStr">
        <is>
          <t>David Popovici</t>
        </is>
      </c>
      <c r="D465" s="33" t="inlineStr">
        <is>
          <t>SwimCloud</t>
        </is>
      </c>
      <c r="E465" s="33" t="inlineStr">
        <is>
          <t>1405298</t>
        </is>
      </c>
      <c r="F465" s="33" t="inlineStr">
        <is>
          <t>74483760</t>
        </is>
      </c>
      <c r="G465" s="51" t="n">
        <v>44788</v>
      </c>
      <c r="H465" s="33" t="inlineStr">
        <is>
          <t>LEN European Championships</t>
        </is>
      </c>
      <c r="I465" s="33" t="inlineStr">
        <is>
          <t>204182</t>
        </is>
      </c>
      <c r="J465" s="33" t="inlineStr"/>
      <c r="K465" s="33" t="inlineStr">
        <is>
          <t>FIN</t>
        </is>
      </c>
      <c r="L465" s="35">
        <f>IF(K465="FIN",3,IF(OR(K465="SEM",K465="SEMI"),2,IF(OR(K465="PRE",K465="HEAT"),1,IF(V465="YES",4,2))))</f>
        <v/>
      </c>
      <c r="M465" s="33" t="inlineStr">
        <is>
          <t>LCM</t>
        </is>
      </c>
      <c r="N465" s="33" t="n">
        <v>200</v>
      </c>
      <c r="O465" s="33" t="inlineStr">
        <is>
          <t>Free</t>
        </is>
      </c>
      <c r="P465" s="33" t="inlineStr">
        <is>
          <t>200 Free</t>
        </is>
      </c>
      <c r="Q465" s="33" t="inlineStr">
        <is>
          <t>LCM_200_FREE</t>
        </is>
      </c>
      <c r="R465" s="36" t="n">
        <v>102.97</v>
      </c>
      <c r="S465" s="35">
        <f>IF(R465="","",IF(R465&gt;=60,INT(R465/60)&amp;":"&amp;TEXT(MOD(R465,60),"00.00"),TEXT(R465,"0.00")))</f>
        <v/>
      </c>
      <c r="T465" s="52">
        <f>IFERROR((G465-INDEX('01_Swimmers'!$E$5:$E$22,MATCH(B465,'01_Swimmers'!$A$5:$A$22,0)))/'00_Control'!$B$10,"")</f>
        <v/>
      </c>
      <c r="U465" s="35">
        <f>IF(T465="","",INT(T465))</f>
        <v/>
      </c>
      <c r="V465" s="33" t="inlineStr">
        <is>
          <t>NO</t>
        </is>
      </c>
      <c r="W465" s="33" t="inlineStr">
        <is>
          <t>YES</t>
        </is>
      </c>
      <c r="X465" s="33" t="inlineStr">
        <is>
          <t>NO</t>
        </is>
      </c>
      <c r="Y465" s="33" t="n">
        <v>2</v>
      </c>
      <c r="Z465" s="33" t="n">
        <v>4</v>
      </c>
      <c r="AA465" s="33" t="inlineStr">
        <is>
          <t>1</t>
        </is>
      </c>
      <c r="AB465" s="33" t="inlineStr">
        <is>
          <t>https://www.swimcloud.com/results/204182/event/21/?id=74483760#time74483760</t>
        </is>
      </c>
      <c r="AC465" s="33" t="inlineStr">
        <is>
          <t>SwimCloud API v6 2026-10-08</t>
        </is>
      </c>
      <c r="AD465" s="33" t="inlineStr">
        <is>
          <t>David Popovici|2022-08-15|LCM|200|Free|102.97|LEN European Championships|FIN|False</t>
        </is>
      </c>
      <c r="AE465" s="53">
        <f>G465+L465/1000+ROW()/1000000000</f>
        <v/>
      </c>
      <c r="AF465" s="35">
        <f>IF(C465&lt;&gt;"Grayson Coulter","",COUNTIFS($C$5:$C$2991,"Grayson Coulter",$Q$5:$Q$2991,Q465,$AE$5:$AE$2991,"&lt;="&amp;AE465,$R$5:$R$2991,"&lt;"&amp;R465))</f>
        <v/>
      </c>
      <c r="AG465" s="35">
        <f>IF(OR(C465&lt;&gt;"Grayson Coulter",G465&lt;'00_Control'!$B$7),"",--(AF465&lt;5))</f>
        <v/>
      </c>
      <c r="AH465" s="35">
        <f>IF(OR(C465&lt;&gt;"Grayson Coulter",G465&lt;'00_Control'!$B$7),"",--(AF465&lt;10))</f>
        <v/>
      </c>
      <c r="AI465" s="35">
        <f>IF(AND(C465="Grayson Coulter",G465&gt;='00_Control'!$B$7),"YES","NO")</f>
        <v/>
      </c>
      <c r="AJ465" s="33" t="inlineStr">
        <is>
          <t>OK</t>
        </is>
      </c>
    </row>
    <row r="466">
      <c r="A466" s="33" t="inlineStr">
        <is>
          <t>SM000462</t>
        </is>
      </c>
      <c r="B466" s="33" t="inlineStr">
        <is>
          <t>SW009</t>
        </is>
      </c>
      <c r="C466" s="33" t="inlineStr">
        <is>
          <t>David Popovici</t>
        </is>
      </c>
      <c r="D466" s="33" t="inlineStr">
        <is>
          <t>SwimCloud</t>
        </is>
      </c>
      <c r="E466" s="33" t="inlineStr">
        <is>
          <t>1405298</t>
        </is>
      </c>
      <c r="F466" s="33" t="inlineStr">
        <is>
          <t>74483761</t>
        </is>
      </c>
      <c r="G466" s="51" t="n">
        <v>44790</v>
      </c>
      <c r="H466" s="33" t="inlineStr">
        <is>
          <t>LEN European Championships</t>
        </is>
      </c>
      <c r="I466" s="33" t="inlineStr">
        <is>
          <t>204182</t>
        </is>
      </c>
      <c r="J466" s="33" t="inlineStr"/>
      <c r="K466" s="33" t="inlineStr">
        <is>
          <t>PRE</t>
        </is>
      </c>
      <c r="L466" s="35">
        <f>IF(K466="FIN",3,IF(OR(K466="SEM",K466="SEMI"),2,IF(OR(K466="PRE",K466="HEAT"),1,IF(V466="YES",4,2))))</f>
        <v/>
      </c>
      <c r="M466" s="33" t="inlineStr">
        <is>
          <t>LCM</t>
        </is>
      </c>
      <c r="N466" s="33" t="n">
        <v>400</v>
      </c>
      <c r="O466" s="33" t="inlineStr">
        <is>
          <t>Free</t>
        </is>
      </c>
      <c r="P466" s="33" t="inlineStr">
        <is>
          <t>400 Free</t>
        </is>
      </c>
      <c r="Q466" s="33" t="inlineStr">
        <is>
          <t>LCM_400_FREE</t>
        </is>
      </c>
      <c r="R466" s="36" t="n">
        <v>227.99</v>
      </c>
      <c r="S466" s="35">
        <f>IF(R466="","",IF(R466&gt;=60,INT(R466/60)&amp;":"&amp;TEXT(MOD(R466,60),"00.00"),TEXT(R466,"0.00")))</f>
        <v/>
      </c>
      <c r="T466" s="52">
        <f>IFERROR((G466-INDEX('01_Swimmers'!$E$5:$E$22,MATCH(B466,'01_Swimmers'!$A$5:$A$22,0)))/'00_Control'!$B$10,"")</f>
        <v/>
      </c>
      <c r="U466" s="35">
        <f>IF(T466="","",INT(T466))</f>
        <v/>
      </c>
      <c r="V466" s="33" t="inlineStr">
        <is>
          <t>NO</t>
        </is>
      </c>
      <c r="W466" s="33" t="inlineStr">
        <is>
          <t>YES</t>
        </is>
      </c>
      <c r="X466" s="33" t="inlineStr">
        <is>
          <t>NO</t>
        </is>
      </c>
      <c r="Y466" s="33" t="n">
        <v>5</v>
      </c>
      <c r="Z466" s="33" t="n">
        <v>3</v>
      </c>
      <c r="AA466" s="33" t="inlineStr">
        <is>
          <t>4</t>
        </is>
      </c>
      <c r="AB466" s="33" t="inlineStr">
        <is>
          <t>https://www.swimcloud.com/results/204182/event/41/?id=74483761#time74483761</t>
        </is>
      </c>
      <c r="AC466" s="33" t="inlineStr">
        <is>
          <t>SwimCloud API v6 2026-10-08</t>
        </is>
      </c>
      <c r="AD466" s="33" t="inlineStr">
        <is>
          <t>David Popovici|2022-08-17|LCM|400|Free|227.99|LEN European Championships|PRE|False</t>
        </is>
      </c>
      <c r="AE466" s="53">
        <f>G466+L466/1000+ROW()/1000000000</f>
        <v/>
      </c>
      <c r="AF466" s="35">
        <f>IF(C466&lt;&gt;"Grayson Coulter","",COUNTIFS($C$5:$C$2991,"Grayson Coulter",$Q$5:$Q$2991,Q466,$AE$5:$AE$2991,"&lt;="&amp;AE466,$R$5:$R$2991,"&lt;"&amp;R466))</f>
        <v/>
      </c>
      <c r="AG466" s="35">
        <f>IF(OR(C466&lt;&gt;"Grayson Coulter",G466&lt;'00_Control'!$B$7),"",--(AF466&lt;5))</f>
        <v/>
      </c>
      <c r="AH466" s="35">
        <f>IF(OR(C466&lt;&gt;"Grayson Coulter",G466&lt;'00_Control'!$B$7),"",--(AF466&lt;10))</f>
        <v/>
      </c>
      <c r="AI466" s="35">
        <f>IF(AND(C466="Grayson Coulter",G466&gt;='00_Control'!$B$7),"YES","NO")</f>
        <v/>
      </c>
      <c r="AJ466" s="33" t="inlineStr">
        <is>
          <t>OK</t>
        </is>
      </c>
    </row>
    <row r="467">
      <c r="A467" s="33" t="inlineStr">
        <is>
          <t>SM000463</t>
        </is>
      </c>
      <c r="B467" s="33" t="inlineStr">
        <is>
          <t>SW009</t>
        </is>
      </c>
      <c r="C467" s="33" t="inlineStr">
        <is>
          <t>David Popovici</t>
        </is>
      </c>
      <c r="D467" s="33" t="inlineStr">
        <is>
          <t>SwimCloud</t>
        </is>
      </c>
      <c r="E467" s="33" t="inlineStr">
        <is>
          <t>1405298</t>
        </is>
      </c>
      <c r="F467" s="33" t="inlineStr">
        <is>
          <t>78027606</t>
        </is>
      </c>
      <c r="G467" s="51" t="n">
        <v>44803</v>
      </c>
      <c r="H467" s="33" t="inlineStr">
        <is>
          <t>8th FINA World Junior Championships</t>
        </is>
      </c>
      <c r="I467" s="33" t="inlineStr">
        <is>
          <t>238801</t>
        </is>
      </c>
      <c r="J467" s="33" t="inlineStr"/>
      <c r="K467" s="33" t="inlineStr">
        <is>
          <t>PRE</t>
        </is>
      </c>
      <c r="L467" s="35">
        <f>IF(K467="FIN",3,IF(OR(K467="SEM",K467="SEMI"),2,IF(OR(K467="PRE",K467="HEAT"),1,IF(V467="YES",4,2))))</f>
        <v/>
      </c>
      <c r="M467" s="33" t="inlineStr">
        <is>
          <t>LCM</t>
        </is>
      </c>
      <c r="N467" s="33" t="n">
        <v>100</v>
      </c>
      <c r="O467" s="33" t="inlineStr">
        <is>
          <t>Free</t>
        </is>
      </c>
      <c r="P467" s="33" t="inlineStr">
        <is>
          <t>100 Free</t>
        </is>
      </c>
      <c r="Q467" s="33" t="inlineStr">
        <is>
          <t>LCM_100_FREE</t>
        </is>
      </c>
      <c r="R467" s="36" t="n">
        <v>47.37</v>
      </c>
      <c r="S467" s="35">
        <f>IF(R467="","",IF(R467&gt;=60,INT(R467/60)&amp;":"&amp;TEXT(MOD(R467,60),"00.00"),TEXT(R467,"0.00")))</f>
        <v/>
      </c>
      <c r="T467" s="52">
        <f>IFERROR((G467-INDEX('01_Swimmers'!$E$5:$E$22,MATCH(B467,'01_Swimmers'!$A$5:$A$22,0)))/'00_Control'!$B$10,"")</f>
        <v/>
      </c>
      <c r="U467" s="35">
        <f>IF(T467="","",INT(T467))</f>
        <v/>
      </c>
      <c r="V467" s="33" t="inlineStr">
        <is>
          <t>YES</t>
        </is>
      </c>
      <c r="W467" s="33" t="inlineStr">
        <is>
          <t>YES</t>
        </is>
      </c>
      <c r="X467" s="33" t="inlineStr">
        <is>
          <t>NO</t>
        </is>
      </c>
      <c r="Y467" s="33" t="n">
        <v>3</v>
      </c>
      <c r="Z467" s="33" t="n">
        <v>4</v>
      </c>
      <c r="AA467" s="33" t="inlineStr"/>
      <c r="AB467" s="33" t="inlineStr">
        <is>
          <t>https://www.swimcloud.com/results/238801/event/7/?id=78026480#time78026480</t>
        </is>
      </c>
      <c r="AC467" s="33" t="inlineStr">
        <is>
          <t>SwimCloud API v6 2026-10-08</t>
        </is>
      </c>
      <c r="AD467" s="33" t="inlineStr">
        <is>
          <t>David Popovici|2022-08-30|LCM|100|Free|47.37|8th FINA World Junior Championships|PRE|True</t>
        </is>
      </c>
      <c r="AE467" s="53">
        <f>G467+L467/1000+ROW()/1000000000</f>
        <v/>
      </c>
      <c r="AF467" s="35">
        <f>IF(C467&lt;&gt;"Grayson Coulter","",COUNTIFS($C$5:$C$2991,"Grayson Coulter",$Q$5:$Q$2991,Q467,$AE$5:$AE$2991,"&lt;="&amp;AE467,$R$5:$R$2991,"&lt;"&amp;R467))</f>
        <v/>
      </c>
      <c r="AG467" s="35">
        <f>IF(OR(C467&lt;&gt;"Grayson Coulter",G467&lt;'00_Control'!$B$7),"",--(AF467&lt;5))</f>
        <v/>
      </c>
      <c r="AH467" s="35">
        <f>IF(OR(C467&lt;&gt;"Grayson Coulter",G467&lt;'00_Control'!$B$7),"",--(AF467&lt;10))</f>
        <v/>
      </c>
      <c r="AI467" s="35">
        <f>IF(AND(C467="Grayson Coulter",G467&gt;='00_Control'!$B$7),"YES","NO")</f>
        <v/>
      </c>
      <c r="AJ467" s="33" t="inlineStr">
        <is>
          <t>OK</t>
        </is>
      </c>
    </row>
    <row r="468">
      <c r="A468" s="33" t="inlineStr">
        <is>
          <t>SM000464</t>
        </is>
      </c>
      <c r="B468" s="33" t="inlineStr">
        <is>
          <t>SW009</t>
        </is>
      </c>
      <c r="C468" s="33" t="inlineStr">
        <is>
          <t>David Popovici</t>
        </is>
      </c>
      <c r="D468" s="33" t="inlineStr">
        <is>
          <t>SwimCloud</t>
        </is>
      </c>
      <c r="E468" s="33" t="inlineStr">
        <is>
          <t>1405298</t>
        </is>
      </c>
      <c r="F468" s="33" t="inlineStr">
        <is>
          <t>78027602</t>
        </is>
      </c>
      <c r="G468" s="51" t="n">
        <v>44803</v>
      </c>
      <c r="H468" s="33" t="inlineStr">
        <is>
          <t>8th FINA World Junior Championships</t>
        </is>
      </c>
      <c r="I468" s="33" t="inlineStr">
        <is>
          <t>238801</t>
        </is>
      </c>
      <c r="J468" s="33" t="inlineStr"/>
      <c r="K468" s="33" t="inlineStr">
        <is>
          <t>FIN</t>
        </is>
      </c>
      <c r="L468" s="35">
        <f>IF(K468="FIN",3,IF(OR(K468="SEM",K468="SEMI"),2,IF(OR(K468="PRE",K468="HEAT"),1,IF(V468="YES",4,2))))</f>
        <v/>
      </c>
      <c r="M468" s="33" t="inlineStr">
        <is>
          <t>LCM</t>
        </is>
      </c>
      <c r="N468" s="33" t="n">
        <v>100</v>
      </c>
      <c r="O468" s="33" t="inlineStr">
        <is>
          <t>Free</t>
        </is>
      </c>
      <c r="P468" s="33" t="inlineStr">
        <is>
          <t>100 Free</t>
        </is>
      </c>
      <c r="Q468" s="33" t="inlineStr">
        <is>
          <t>LCM_100_FREE</t>
        </is>
      </c>
      <c r="R468" s="36" t="n">
        <v>47.07</v>
      </c>
      <c r="S468" s="35">
        <f>IF(R468="","",IF(R468&gt;=60,INT(R468/60)&amp;":"&amp;TEXT(MOD(R468,60),"00.00"),TEXT(R468,"0.00")))</f>
        <v/>
      </c>
      <c r="T468" s="52">
        <f>IFERROR((G468-INDEX('01_Swimmers'!$E$5:$E$22,MATCH(B468,'01_Swimmers'!$A$5:$A$22,0)))/'00_Control'!$B$10,"")</f>
        <v/>
      </c>
      <c r="U468" s="35">
        <f>IF(T468="","",INT(T468))</f>
        <v/>
      </c>
      <c r="V468" s="33" t="inlineStr">
        <is>
          <t>YES</t>
        </is>
      </c>
      <c r="W468" s="33" t="inlineStr">
        <is>
          <t>YES</t>
        </is>
      </c>
      <c r="X468" s="33" t="inlineStr">
        <is>
          <t>NO</t>
        </is>
      </c>
      <c r="Y468" s="33" t="n">
        <v>1</v>
      </c>
      <c r="Z468" s="33" t="n">
        <v>4</v>
      </c>
      <c r="AA468" s="33" t="inlineStr"/>
      <c r="AB468" s="33" t="inlineStr">
        <is>
          <t>https://www.swimcloud.com/results/238801/event/7/?id=78026479#time78026479</t>
        </is>
      </c>
      <c r="AC468" s="33" t="inlineStr">
        <is>
          <t>SwimCloud API v6 2026-10-08</t>
        </is>
      </c>
      <c r="AD468" s="33" t="inlineStr">
        <is>
          <t>David Popovici|2022-08-30|LCM|100|Free|47.07|8th FINA World Junior Championships|FIN|True</t>
        </is>
      </c>
      <c r="AE468" s="53">
        <f>G468+L468/1000+ROW()/1000000000</f>
        <v/>
      </c>
      <c r="AF468" s="35">
        <f>IF(C468&lt;&gt;"Grayson Coulter","",COUNTIFS($C$5:$C$2991,"Grayson Coulter",$Q$5:$Q$2991,Q468,$AE$5:$AE$2991,"&lt;="&amp;AE468,$R$5:$R$2991,"&lt;"&amp;R468))</f>
        <v/>
      </c>
      <c r="AG468" s="35">
        <f>IF(OR(C468&lt;&gt;"Grayson Coulter",G468&lt;'00_Control'!$B$7),"",--(AF468&lt;5))</f>
        <v/>
      </c>
      <c r="AH468" s="35">
        <f>IF(OR(C468&lt;&gt;"Grayson Coulter",G468&lt;'00_Control'!$B$7),"",--(AF468&lt;10))</f>
        <v/>
      </c>
      <c r="AI468" s="35">
        <f>IF(AND(C468="Grayson Coulter",G468&gt;='00_Control'!$B$7),"YES","NO")</f>
        <v/>
      </c>
      <c r="AJ468" s="33" t="inlineStr">
        <is>
          <t>OK</t>
        </is>
      </c>
    </row>
    <row r="469">
      <c r="A469" s="33" t="inlineStr">
        <is>
          <t>SM000465</t>
        </is>
      </c>
      <c r="B469" s="33" t="inlineStr">
        <is>
          <t>SW009</t>
        </is>
      </c>
      <c r="C469" s="33" t="inlineStr">
        <is>
          <t>David Popovici</t>
        </is>
      </c>
      <c r="D469" s="33" t="inlineStr">
        <is>
          <t>SwimCloud</t>
        </is>
      </c>
      <c r="E469" s="33" t="inlineStr">
        <is>
          <t>1405298</t>
        </is>
      </c>
      <c r="F469" s="33" t="inlineStr">
        <is>
          <t>78026442</t>
        </is>
      </c>
      <c r="G469" s="51" t="n">
        <v>44804</v>
      </c>
      <c r="H469" s="33" t="inlineStr">
        <is>
          <t>8th FINA World Junior Championships</t>
        </is>
      </c>
      <c r="I469" s="33" t="inlineStr">
        <is>
          <t>238801</t>
        </is>
      </c>
      <c r="J469" s="33" t="inlineStr"/>
      <c r="K469" s="33" t="inlineStr">
        <is>
          <t>PRE</t>
        </is>
      </c>
      <c r="L469" s="35">
        <f>IF(K469="FIN",3,IF(OR(K469="SEM",K469="SEMI"),2,IF(OR(K469="PRE",K469="HEAT"),1,IF(V469="YES",4,2))))</f>
        <v/>
      </c>
      <c r="M469" s="33" t="inlineStr">
        <is>
          <t>LCM</t>
        </is>
      </c>
      <c r="N469" s="33" t="n">
        <v>200</v>
      </c>
      <c r="O469" s="33" t="inlineStr">
        <is>
          <t>Free</t>
        </is>
      </c>
      <c r="P469" s="33" t="inlineStr">
        <is>
          <t>200 Free</t>
        </is>
      </c>
      <c r="Q469" s="33" t="inlineStr">
        <is>
          <t>LCM_200_FREE</t>
        </is>
      </c>
      <c r="R469" s="36" t="n">
        <v>109.4</v>
      </c>
      <c r="S469" s="35">
        <f>IF(R469="","",IF(R469&gt;=60,INT(R469/60)&amp;":"&amp;TEXT(MOD(R469,60),"00.00"),TEXT(R469,"0.00")))</f>
        <v/>
      </c>
      <c r="T469" s="52">
        <f>IFERROR((G469-INDEX('01_Swimmers'!$E$5:$E$22,MATCH(B469,'01_Swimmers'!$A$5:$A$22,0)))/'00_Control'!$B$10,"")</f>
        <v/>
      </c>
      <c r="U469" s="35">
        <f>IF(T469="","",INT(T469))</f>
        <v/>
      </c>
      <c r="V469" s="33" t="inlineStr">
        <is>
          <t>NO</t>
        </is>
      </c>
      <c r="W469" s="33" t="inlineStr">
        <is>
          <t>YES</t>
        </is>
      </c>
      <c r="X469" s="33" t="inlineStr">
        <is>
          <t>NO</t>
        </is>
      </c>
      <c r="Y469" s="33" t="n">
        <v>8</v>
      </c>
      <c r="Z469" s="33" t="n">
        <v>4</v>
      </c>
      <c r="AA469" s="33" t="inlineStr">
        <is>
          <t>1</t>
        </is>
      </c>
      <c r="AB469" s="33" t="inlineStr">
        <is>
          <t>https://www.swimcloud.com/results/238801/event/13/?id=78026442#time78026442</t>
        </is>
      </c>
      <c r="AC469" s="33" t="inlineStr">
        <is>
          <t>SwimCloud API v6 2026-10-08</t>
        </is>
      </c>
      <c r="AD469" s="33" t="inlineStr">
        <is>
          <t>David Popovici|2022-08-31|LCM|200|Free|109.4|8th FINA World Junior Championships|PRE|False</t>
        </is>
      </c>
      <c r="AE469" s="53">
        <f>G469+L469/1000+ROW()/1000000000</f>
        <v/>
      </c>
      <c r="AF469" s="35">
        <f>IF(C469&lt;&gt;"Grayson Coulter","",COUNTIFS($C$5:$C$2991,"Grayson Coulter",$Q$5:$Q$2991,Q469,$AE$5:$AE$2991,"&lt;="&amp;AE469,$R$5:$R$2991,"&lt;"&amp;R469))</f>
        <v/>
      </c>
      <c r="AG469" s="35">
        <f>IF(OR(C469&lt;&gt;"Grayson Coulter",G469&lt;'00_Control'!$B$7),"",--(AF469&lt;5))</f>
        <v/>
      </c>
      <c r="AH469" s="35">
        <f>IF(OR(C469&lt;&gt;"Grayson Coulter",G469&lt;'00_Control'!$B$7),"",--(AF469&lt;10))</f>
        <v/>
      </c>
      <c r="AI469" s="35">
        <f>IF(AND(C469="Grayson Coulter",G469&gt;='00_Control'!$B$7),"YES","NO")</f>
        <v/>
      </c>
      <c r="AJ469" s="33" t="inlineStr">
        <is>
          <t>OK</t>
        </is>
      </c>
    </row>
    <row r="470">
      <c r="A470" s="33" t="inlineStr">
        <is>
          <t>SM000466</t>
        </is>
      </c>
      <c r="B470" s="33" t="inlineStr">
        <is>
          <t>SW009</t>
        </is>
      </c>
      <c r="C470" s="33" t="inlineStr">
        <is>
          <t>David Popovici</t>
        </is>
      </c>
      <c r="D470" s="33" t="inlineStr">
        <is>
          <t>SwimCloud</t>
        </is>
      </c>
      <c r="E470" s="33" t="inlineStr">
        <is>
          <t>1405298</t>
        </is>
      </c>
      <c r="F470" s="33" t="inlineStr">
        <is>
          <t>78026441</t>
        </is>
      </c>
      <c r="G470" s="51" t="n">
        <v>44804</v>
      </c>
      <c r="H470" s="33" t="inlineStr">
        <is>
          <t>8th FINA World Junior Championships</t>
        </is>
      </c>
      <c r="I470" s="33" t="inlineStr">
        <is>
          <t>238801</t>
        </is>
      </c>
      <c r="J470" s="33" t="inlineStr"/>
      <c r="K470" s="33" t="inlineStr">
        <is>
          <t>FIN</t>
        </is>
      </c>
      <c r="L470" s="35">
        <f>IF(K470="FIN",3,IF(OR(K470="SEM",K470="SEMI"),2,IF(OR(K470="PRE",K470="HEAT"),1,IF(V470="YES",4,2))))</f>
        <v/>
      </c>
      <c r="M470" s="33" t="inlineStr">
        <is>
          <t>LCM</t>
        </is>
      </c>
      <c r="N470" s="33" t="n">
        <v>200</v>
      </c>
      <c r="O470" s="33" t="inlineStr">
        <is>
          <t>Free</t>
        </is>
      </c>
      <c r="P470" s="33" t="inlineStr">
        <is>
          <t>200 Free</t>
        </is>
      </c>
      <c r="Q470" s="33" t="inlineStr">
        <is>
          <t>LCM_200_FREE</t>
        </is>
      </c>
      <c r="R470" s="36" t="n">
        <v>106.18</v>
      </c>
      <c r="S470" s="35">
        <f>IF(R470="","",IF(R470&gt;=60,INT(R470/60)&amp;":"&amp;TEXT(MOD(R470,60),"00.00"),TEXT(R470,"0.00")))</f>
        <v/>
      </c>
      <c r="T470" s="52">
        <f>IFERROR((G470-INDEX('01_Swimmers'!$E$5:$E$22,MATCH(B470,'01_Swimmers'!$A$5:$A$22,0)))/'00_Control'!$B$10,"")</f>
        <v/>
      </c>
      <c r="U470" s="35">
        <f>IF(T470="","",INT(T470))</f>
        <v/>
      </c>
      <c r="V470" s="33" t="inlineStr">
        <is>
          <t>NO</t>
        </is>
      </c>
      <c r="W470" s="33" t="inlineStr">
        <is>
          <t>YES</t>
        </is>
      </c>
      <c r="X470" s="33" t="inlineStr">
        <is>
          <t>NO</t>
        </is>
      </c>
      <c r="Y470" s="33" t="n">
        <v>1</v>
      </c>
      <c r="Z470" s="33" t="n">
        <v>4</v>
      </c>
      <c r="AA470" s="33" t="inlineStr">
        <is>
          <t>1</t>
        </is>
      </c>
      <c r="AB470" s="33" t="inlineStr">
        <is>
          <t>https://www.swimcloud.com/results/238801/event/13/?id=78026441#time78026441</t>
        </is>
      </c>
      <c r="AC470" s="33" t="inlineStr">
        <is>
          <t>SwimCloud API v6 2026-10-08</t>
        </is>
      </c>
      <c r="AD470" s="33" t="inlineStr">
        <is>
          <t>David Popovici|2022-08-31|LCM|200|Free|106.18|8th FINA World Junior Championships|FIN|False</t>
        </is>
      </c>
      <c r="AE470" s="53">
        <f>G470+L470/1000+ROW()/1000000000</f>
        <v/>
      </c>
      <c r="AF470" s="35">
        <f>IF(C470&lt;&gt;"Grayson Coulter","",COUNTIFS($C$5:$C$2991,"Grayson Coulter",$Q$5:$Q$2991,Q470,$AE$5:$AE$2991,"&lt;="&amp;AE470,$R$5:$R$2991,"&lt;"&amp;R470))</f>
        <v/>
      </c>
      <c r="AG470" s="35">
        <f>IF(OR(C470&lt;&gt;"Grayson Coulter",G470&lt;'00_Control'!$B$7),"",--(AF470&lt;5))</f>
        <v/>
      </c>
      <c r="AH470" s="35">
        <f>IF(OR(C470&lt;&gt;"Grayson Coulter",G470&lt;'00_Control'!$B$7),"",--(AF470&lt;10))</f>
        <v/>
      </c>
      <c r="AI470" s="35">
        <f>IF(AND(C470="Grayson Coulter",G470&gt;='00_Control'!$B$7),"YES","NO")</f>
        <v/>
      </c>
      <c r="AJ470" s="33" t="inlineStr">
        <is>
          <t>OK</t>
        </is>
      </c>
    </row>
    <row r="471">
      <c r="A471" s="33" t="inlineStr">
        <is>
          <t>SM000467</t>
        </is>
      </c>
      <c r="B471" s="33" t="inlineStr">
        <is>
          <t>SW009</t>
        </is>
      </c>
      <c r="C471" s="33" t="inlineStr">
        <is>
          <t>David Popovici</t>
        </is>
      </c>
      <c r="D471" s="33" t="inlineStr">
        <is>
          <t>SwimCloud</t>
        </is>
      </c>
      <c r="E471" s="33" t="inlineStr">
        <is>
          <t>1405298</t>
        </is>
      </c>
      <c r="F471" s="33" t="inlineStr">
        <is>
          <t>78027614</t>
        </is>
      </c>
      <c r="G471" s="51" t="n">
        <v>44805</v>
      </c>
      <c r="H471" s="33" t="inlineStr">
        <is>
          <t>8th FINA World Junior Championships</t>
        </is>
      </c>
      <c r="I471" s="33" t="inlineStr">
        <is>
          <t>238801</t>
        </is>
      </c>
      <c r="J471" s="33" t="inlineStr"/>
      <c r="K471" s="33" t="inlineStr">
        <is>
          <t>PRE</t>
        </is>
      </c>
      <c r="L471" s="35">
        <f>IF(K471="FIN",3,IF(OR(K471="SEM",K471="SEMI"),2,IF(OR(K471="PRE",K471="HEAT"),1,IF(V471="YES",4,2))))</f>
        <v/>
      </c>
      <c r="M471" s="33" t="inlineStr">
        <is>
          <t>LCM</t>
        </is>
      </c>
      <c r="N471" s="33" t="n">
        <v>100</v>
      </c>
      <c r="O471" s="33" t="inlineStr">
        <is>
          <t>Free</t>
        </is>
      </c>
      <c r="P471" s="33" t="inlineStr">
        <is>
          <t>100 Free</t>
        </is>
      </c>
      <c r="Q471" s="33" t="inlineStr">
        <is>
          <t>LCM_100_FREE</t>
        </is>
      </c>
      <c r="R471" s="36" t="n">
        <v>47.61</v>
      </c>
      <c r="S471" s="35">
        <f>IF(R471="","",IF(R471&gt;=60,INT(R471/60)&amp;":"&amp;TEXT(MOD(R471,60),"00.00"),TEXT(R471,"0.00")))</f>
        <v/>
      </c>
      <c r="T471" s="52">
        <f>IFERROR((G471-INDEX('01_Swimmers'!$E$5:$E$22,MATCH(B471,'01_Swimmers'!$A$5:$A$22,0)))/'00_Control'!$B$10,"")</f>
        <v/>
      </c>
      <c r="U471" s="35">
        <f>IF(T471="","",INT(T471))</f>
        <v/>
      </c>
      <c r="V471" s="33" t="inlineStr">
        <is>
          <t>YES</t>
        </is>
      </c>
      <c r="W471" s="33" t="inlineStr">
        <is>
          <t>YES</t>
        </is>
      </c>
      <c r="X471" s="33" t="inlineStr">
        <is>
          <t>NO</t>
        </is>
      </c>
      <c r="Y471" s="33" t="n">
        <v>3</v>
      </c>
      <c r="Z471" s="33" t="n">
        <v>4</v>
      </c>
      <c r="AA471" s="33" t="inlineStr"/>
      <c r="AB471" s="33" t="inlineStr">
        <is>
          <t>https://www.swimcloud.com/results/238801/event/21/?id=78026482#time78026482</t>
        </is>
      </c>
      <c r="AC471" s="33" t="inlineStr">
        <is>
          <t>SwimCloud API v6 2026-10-08</t>
        </is>
      </c>
      <c r="AD471" s="33" t="inlineStr">
        <is>
          <t>David Popovici|2022-09-01|LCM|100|Free|47.61|8th FINA World Junior Championships|PRE|True</t>
        </is>
      </c>
      <c r="AE471" s="53">
        <f>G471+L471/1000+ROW()/1000000000</f>
        <v/>
      </c>
      <c r="AF471" s="35">
        <f>IF(C471&lt;&gt;"Grayson Coulter","",COUNTIFS($C$5:$C$2991,"Grayson Coulter",$Q$5:$Q$2991,Q471,$AE$5:$AE$2991,"&lt;="&amp;AE471,$R$5:$R$2991,"&lt;"&amp;R471))</f>
        <v/>
      </c>
      <c r="AG471" s="35">
        <f>IF(OR(C471&lt;&gt;"Grayson Coulter",G471&lt;'00_Control'!$B$7),"",--(AF471&lt;5))</f>
        <v/>
      </c>
      <c r="AH471" s="35">
        <f>IF(OR(C471&lt;&gt;"Grayson Coulter",G471&lt;'00_Control'!$B$7),"",--(AF471&lt;10))</f>
        <v/>
      </c>
      <c r="AI471" s="35">
        <f>IF(AND(C471="Grayson Coulter",G471&gt;='00_Control'!$B$7),"YES","NO")</f>
        <v/>
      </c>
      <c r="AJ471" s="33" t="inlineStr">
        <is>
          <t>OK</t>
        </is>
      </c>
    </row>
    <row r="472">
      <c r="A472" s="33" t="inlineStr">
        <is>
          <t>SM000468</t>
        </is>
      </c>
      <c r="B472" s="33" t="inlineStr">
        <is>
          <t>SW009</t>
        </is>
      </c>
      <c r="C472" s="33" t="inlineStr">
        <is>
          <t>David Popovici</t>
        </is>
      </c>
      <c r="D472" s="33" t="inlineStr">
        <is>
          <t>SwimCloud</t>
        </is>
      </c>
      <c r="E472" s="33" t="inlineStr">
        <is>
          <t>1405298</t>
        </is>
      </c>
      <c r="F472" s="33" t="inlineStr">
        <is>
          <t>78027610</t>
        </is>
      </c>
      <c r="G472" s="51" t="n">
        <v>44805</v>
      </c>
      <c r="H472" s="33" t="inlineStr">
        <is>
          <t>8th FINA World Junior Championships</t>
        </is>
      </c>
      <c r="I472" s="33" t="inlineStr">
        <is>
          <t>238801</t>
        </is>
      </c>
      <c r="J472" s="33" t="inlineStr"/>
      <c r="K472" s="33" t="inlineStr">
        <is>
          <t>FIN</t>
        </is>
      </c>
      <c r="L472" s="35">
        <f>IF(K472="FIN",3,IF(OR(K472="SEM",K472="SEMI"),2,IF(OR(K472="PRE",K472="HEAT"),1,IF(V472="YES",4,2))))</f>
        <v/>
      </c>
      <c r="M472" s="33" t="inlineStr">
        <is>
          <t>LCM</t>
        </is>
      </c>
      <c r="N472" s="33" t="n">
        <v>100</v>
      </c>
      <c r="O472" s="33" t="inlineStr">
        <is>
          <t>Free</t>
        </is>
      </c>
      <c r="P472" s="33" t="inlineStr">
        <is>
          <t>100 Free</t>
        </is>
      </c>
      <c r="Q472" s="33" t="inlineStr">
        <is>
          <t>LCM_100_FREE</t>
        </is>
      </c>
      <c r="R472" s="36" t="n">
        <v>47.23</v>
      </c>
      <c r="S472" s="35">
        <f>IF(R472="","",IF(R472&gt;=60,INT(R472/60)&amp;":"&amp;TEXT(MOD(R472,60),"00.00"),TEXT(R472,"0.00")))</f>
        <v/>
      </c>
      <c r="T472" s="52">
        <f>IFERROR((G472-INDEX('01_Swimmers'!$E$5:$E$22,MATCH(B472,'01_Swimmers'!$A$5:$A$22,0)))/'00_Control'!$B$10,"")</f>
        <v/>
      </c>
      <c r="U472" s="35">
        <f>IF(T472="","",INT(T472))</f>
        <v/>
      </c>
      <c r="V472" s="33" t="inlineStr">
        <is>
          <t>YES</t>
        </is>
      </c>
      <c r="W472" s="33" t="inlineStr">
        <is>
          <t>YES</t>
        </is>
      </c>
      <c r="X472" s="33" t="inlineStr">
        <is>
          <t>NO</t>
        </is>
      </c>
      <c r="Y472" s="33" t="n">
        <v>1</v>
      </c>
      <c r="Z472" s="33" t="n">
        <v>4</v>
      </c>
      <c r="AA472" s="33" t="inlineStr"/>
      <c r="AB472" s="33" t="inlineStr">
        <is>
          <t>https://www.swimcloud.com/results/238801/event/21/?id=78026481#time78026481</t>
        </is>
      </c>
      <c r="AC472" s="33" t="inlineStr">
        <is>
          <t>SwimCloud API v6 2026-10-08</t>
        </is>
      </c>
      <c r="AD472" s="33" t="inlineStr">
        <is>
          <t>David Popovici|2022-09-01|LCM|100|Free|47.23|8th FINA World Junior Championships|FIN|True</t>
        </is>
      </c>
      <c r="AE472" s="53">
        <f>G472+L472/1000+ROW()/1000000000</f>
        <v/>
      </c>
      <c r="AF472" s="35">
        <f>IF(C472&lt;&gt;"Grayson Coulter","",COUNTIFS($C$5:$C$2991,"Grayson Coulter",$Q$5:$Q$2991,Q472,$AE$5:$AE$2991,"&lt;="&amp;AE472,$R$5:$R$2991,"&lt;"&amp;R472))</f>
        <v/>
      </c>
      <c r="AG472" s="35">
        <f>IF(OR(C472&lt;&gt;"Grayson Coulter",G472&lt;'00_Control'!$B$7),"",--(AF472&lt;5))</f>
        <v/>
      </c>
      <c r="AH472" s="35">
        <f>IF(OR(C472&lt;&gt;"Grayson Coulter",G472&lt;'00_Control'!$B$7),"",--(AF472&lt;10))</f>
        <v/>
      </c>
      <c r="AI472" s="35">
        <f>IF(AND(C472="Grayson Coulter",G472&gt;='00_Control'!$B$7),"YES","NO")</f>
        <v/>
      </c>
      <c r="AJ472" s="33" t="inlineStr">
        <is>
          <t>OK</t>
        </is>
      </c>
    </row>
    <row r="473">
      <c r="A473" s="33" t="inlineStr">
        <is>
          <t>SM000469</t>
        </is>
      </c>
      <c r="B473" s="33" t="inlineStr">
        <is>
          <t>SW009</t>
        </is>
      </c>
      <c r="C473" s="33" t="inlineStr">
        <is>
          <t>David Popovici</t>
        </is>
      </c>
      <c r="D473" s="33" t="inlineStr">
        <is>
          <t>SwimCloud</t>
        </is>
      </c>
      <c r="E473" s="33" t="inlineStr">
        <is>
          <t>1405298</t>
        </is>
      </c>
      <c r="F473" s="33" t="inlineStr">
        <is>
          <t>78026439</t>
        </is>
      </c>
      <c r="G473" s="51" t="n">
        <v>44807</v>
      </c>
      <c r="H473" s="33" t="inlineStr">
        <is>
          <t>8th FINA World Junior Championships</t>
        </is>
      </c>
      <c r="I473" s="33" t="inlineStr">
        <is>
          <t>238801</t>
        </is>
      </c>
      <c r="J473" s="33" t="inlineStr"/>
      <c r="K473" s="33" t="inlineStr">
        <is>
          <t>PRE</t>
        </is>
      </c>
      <c r="L473" s="35">
        <f>IF(K473="FIN",3,IF(OR(K473="SEM",K473="SEMI"),2,IF(OR(K473="PRE",K473="HEAT"),1,IF(V473="YES",4,2))))</f>
        <v/>
      </c>
      <c r="M473" s="33" t="inlineStr">
        <is>
          <t>LCM</t>
        </is>
      </c>
      <c r="N473" s="33" t="n">
        <v>100</v>
      </c>
      <c r="O473" s="33" t="inlineStr">
        <is>
          <t>Free</t>
        </is>
      </c>
      <c r="P473" s="33" t="inlineStr">
        <is>
          <t>100 Free</t>
        </is>
      </c>
      <c r="Q473" s="33" t="inlineStr">
        <is>
          <t>LCM_100_FREE</t>
        </is>
      </c>
      <c r="R473" s="36" t="n">
        <v>49.14</v>
      </c>
      <c r="S473" s="35">
        <f>IF(R473="","",IF(R473&gt;=60,INT(R473/60)&amp;":"&amp;TEXT(MOD(R473,60),"00.00"),TEXT(R473,"0.00")))</f>
        <v/>
      </c>
      <c r="T473" s="52">
        <f>IFERROR((G473-INDEX('01_Swimmers'!$E$5:$E$22,MATCH(B473,'01_Swimmers'!$A$5:$A$22,0)))/'00_Control'!$B$10,"")</f>
        <v/>
      </c>
      <c r="U473" s="35">
        <f>IF(T473="","",INT(T473))</f>
        <v/>
      </c>
      <c r="V473" s="33" t="inlineStr">
        <is>
          <t>NO</t>
        </is>
      </c>
      <c r="W473" s="33" t="inlineStr">
        <is>
          <t>YES</t>
        </is>
      </c>
      <c r="X473" s="33" t="inlineStr">
        <is>
          <t>NO</t>
        </is>
      </c>
      <c r="Y473" s="33" t="n">
        <v>13</v>
      </c>
      <c r="Z473" s="33" t="n">
        <v>4</v>
      </c>
      <c r="AA473" s="33" t="inlineStr">
        <is>
          <t>2</t>
        </is>
      </c>
      <c r="AB473" s="33" t="inlineStr">
        <is>
          <t>https://www.swimcloud.com/results/238801/event/29/?id=78026439#time78026439</t>
        </is>
      </c>
      <c r="AC473" s="33" t="inlineStr">
        <is>
          <t>SwimCloud API v6 2026-10-08</t>
        </is>
      </c>
      <c r="AD473" s="33" t="inlineStr">
        <is>
          <t>David Popovici|2022-09-03|LCM|100|Free|49.14|8th FINA World Junior Championships|PRE|False</t>
        </is>
      </c>
      <c r="AE473" s="53">
        <f>G473+L473/1000+ROW()/1000000000</f>
        <v/>
      </c>
      <c r="AF473" s="35">
        <f>IF(C473&lt;&gt;"Grayson Coulter","",COUNTIFS($C$5:$C$2991,"Grayson Coulter",$Q$5:$Q$2991,Q473,$AE$5:$AE$2991,"&lt;="&amp;AE473,$R$5:$R$2991,"&lt;"&amp;R473))</f>
        <v/>
      </c>
      <c r="AG473" s="35">
        <f>IF(OR(C473&lt;&gt;"Grayson Coulter",G473&lt;'00_Control'!$B$7),"",--(AF473&lt;5))</f>
        <v/>
      </c>
      <c r="AH473" s="35">
        <f>IF(OR(C473&lt;&gt;"Grayson Coulter",G473&lt;'00_Control'!$B$7),"",--(AF473&lt;10))</f>
        <v/>
      </c>
      <c r="AI473" s="35">
        <f>IF(AND(C473="Grayson Coulter",G473&gt;='00_Control'!$B$7),"YES","NO")</f>
        <v/>
      </c>
      <c r="AJ473" s="33" t="inlineStr">
        <is>
          <t>OK</t>
        </is>
      </c>
    </row>
    <row r="474">
      <c r="A474" s="33" t="inlineStr">
        <is>
          <t>SM000470</t>
        </is>
      </c>
      <c r="B474" s="33" t="inlineStr">
        <is>
          <t>SW009</t>
        </is>
      </c>
      <c r="C474" s="33" t="inlineStr">
        <is>
          <t>David Popovici</t>
        </is>
      </c>
      <c r="D474" s="33" t="inlineStr">
        <is>
          <t>SwimCloud</t>
        </is>
      </c>
      <c r="E474" s="33" t="inlineStr">
        <is>
          <t>1405298</t>
        </is>
      </c>
      <c r="F474" s="33" t="inlineStr">
        <is>
          <t>78026440</t>
        </is>
      </c>
      <c r="G474" s="51" t="n">
        <v>44807</v>
      </c>
      <c r="H474" s="33" t="inlineStr">
        <is>
          <t>8th FINA World Junior Championships</t>
        </is>
      </c>
      <c r="I474" s="33" t="inlineStr">
        <is>
          <t>238801</t>
        </is>
      </c>
      <c r="J474" s="33" t="inlineStr"/>
      <c r="K474" s="33" t="inlineStr">
        <is>
          <t>SEM</t>
        </is>
      </c>
      <c r="L474" s="35">
        <f>IF(K474="FIN",3,IF(OR(K474="SEM",K474="SEMI"),2,IF(OR(K474="PRE",K474="HEAT"),1,IF(V474="YES",4,2))))</f>
        <v/>
      </c>
      <c r="M474" s="33" t="inlineStr">
        <is>
          <t>LCM</t>
        </is>
      </c>
      <c r="N474" s="33" t="n">
        <v>100</v>
      </c>
      <c r="O474" s="33" t="inlineStr">
        <is>
          <t>Free</t>
        </is>
      </c>
      <c r="P474" s="33" t="inlineStr">
        <is>
          <t>100 Free</t>
        </is>
      </c>
      <c r="Q474" s="33" t="inlineStr">
        <is>
          <t>LCM_100_FREE</t>
        </is>
      </c>
      <c r="R474" s="36" t="n">
        <v>48.17</v>
      </c>
      <c r="S474" s="35">
        <f>IF(R474="","",IF(R474&gt;=60,INT(R474/60)&amp;":"&amp;TEXT(MOD(R474,60),"00.00"),TEXT(R474,"0.00")))</f>
        <v/>
      </c>
      <c r="T474" s="52">
        <f>IFERROR((G474-INDEX('01_Swimmers'!$E$5:$E$22,MATCH(B474,'01_Swimmers'!$A$5:$A$22,0)))/'00_Control'!$B$10,"")</f>
        <v/>
      </c>
      <c r="U474" s="35">
        <f>IF(T474="","",INT(T474))</f>
        <v/>
      </c>
      <c r="V474" s="33" t="inlineStr">
        <is>
          <t>NO</t>
        </is>
      </c>
      <c r="W474" s="33" t="inlineStr">
        <is>
          <t>YES</t>
        </is>
      </c>
      <c r="X474" s="33" t="inlineStr">
        <is>
          <t>NO</t>
        </is>
      </c>
      <c r="Y474" s="33" t="n">
        <v>2</v>
      </c>
      <c r="Z474" s="33" t="n">
        <v>4</v>
      </c>
      <c r="AA474" s="33" t="inlineStr">
        <is>
          <t>1</t>
        </is>
      </c>
      <c r="AB474" s="33" t="inlineStr">
        <is>
          <t>https://www.swimcloud.com/results/238801/event/29/?id=78026440#time78026440</t>
        </is>
      </c>
      <c r="AC474" s="33" t="inlineStr">
        <is>
          <t>SwimCloud API v6 2026-10-08</t>
        </is>
      </c>
      <c r="AD474" s="33" t="inlineStr">
        <is>
          <t>David Popovici|2022-09-03|LCM|100|Free|48.17|8th FINA World Junior Championships|SEM|False</t>
        </is>
      </c>
      <c r="AE474" s="53">
        <f>G474+L474/1000+ROW()/1000000000</f>
        <v/>
      </c>
      <c r="AF474" s="35">
        <f>IF(C474&lt;&gt;"Grayson Coulter","",COUNTIFS($C$5:$C$2991,"Grayson Coulter",$Q$5:$Q$2991,Q474,$AE$5:$AE$2991,"&lt;="&amp;AE474,$R$5:$R$2991,"&lt;"&amp;R474))</f>
        <v/>
      </c>
      <c r="AG474" s="35">
        <f>IF(OR(C474&lt;&gt;"Grayson Coulter",G474&lt;'00_Control'!$B$7),"",--(AF474&lt;5))</f>
        <v/>
      </c>
      <c r="AH474" s="35">
        <f>IF(OR(C474&lt;&gt;"Grayson Coulter",G474&lt;'00_Control'!$B$7),"",--(AF474&lt;10))</f>
        <v/>
      </c>
      <c r="AI474" s="35">
        <f>IF(AND(C474="Grayson Coulter",G474&gt;='00_Control'!$B$7),"YES","NO")</f>
        <v/>
      </c>
      <c r="AJ474" s="33" t="inlineStr">
        <is>
          <t>OK</t>
        </is>
      </c>
    </row>
    <row r="475">
      <c r="A475" s="33" t="inlineStr">
        <is>
          <t>SM000471</t>
        </is>
      </c>
      <c r="B475" s="33" t="inlineStr">
        <is>
          <t>SW009</t>
        </is>
      </c>
      <c r="C475" s="33" t="inlineStr">
        <is>
          <t>David Popovici</t>
        </is>
      </c>
      <c r="D475" s="33" t="inlineStr">
        <is>
          <t>SwimCloud</t>
        </is>
      </c>
      <c r="E475" s="33" t="inlineStr">
        <is>
          <t>1405298</t>
        </is>
      </c>
      <c r="F475" s="33" t="inlineStr">
        <is>
          <t>78026438</t>
        </is>
      </c>
      <c r="G475" s="51" t="n">
        <v>44808</v>
      </c>
      <c r="H475" s="33" t="inlineStr">
        <is>
          <t>8th FINA World Junior Championships</t>
        </is>
      </c>
      <c r="I475" s="33" t="inlineStr">
        <is>
          <t>238801</t>
        </is>
      </c>
      <c r="J475" s="33" t="inlineStr"/>
      <c r="K475" s="33" t="inlineStr">
        <is>
          <t>FIN</t>
        </is>
      </c>
      <c r="L475" s="35">
        <f>IF(K475="FIN",3,IF(OR(K475="SEM",K475="SEMI"),2,IF(OR(K475="PRE",K475="HEAT"),1,IF(V475="YES",4,2))))</f>
        <v/>
      </c>
      <c r="M475" s="33" t="inlineStr">
        <is>
          <t>LCM</t>
        </is>
      </c>
      <c r="N475" s="33" t="n">
        <v>100</v>
      </c>
      <c r="O475" s="33" t="inlineStr">
        <is>
          <t>Free</t>
        </is>
      </c>
      <c r="P475" s="33" t="inlineStr">
        <is>
          <t>100 Free</t>
        </is>
      </c>
      <c r="Q475" s="33" t="inlineStr">
        <is>
          <t>LCM_100_FREE</t>
        </is>
      </c>
      <c r="R475" s="36" t="n">
        <v>47.13</v>
      </c>
      <c r="S475" s="35">
        <f>IF(R475="","",IF(R475&gt;=60,INT(R475/60)&amp;":"&amp;TEXT(MOD(R475,60),"00.00"),TEXT(R475,"0.00")))</f>
        <v/>
      </c>
      <c r="T475" s="52">
        <f>IFERROR((G475-INDEX('01_Swimmers'!$E$5:$E$22,MATCH(B475,'01_Swimmers'!$A$5:$A$22,0)))/'00_Control'!$B$10,"")</f>
        <v/>
      </c>
      <c r="U475" s="35">
        <f>IF(T475="","",INT(T475))</f>
        <v/>
      </c>
      <c r="V475" s="33" t="inlineStr">
        <is>
          <t>NO</t>
        </is>
      </c>
      <c r="W475" s="33" t="inlineStr">
        <is>
          <t>YES</t>
        </is>
      </c>
      <c r="X475" s="33" t="inlineStr">
        <is>
          <t>NO</t>
        </is>
      </c>
      <c r="Y475" s="33" t="n">
        <v>1</v>
      </c>
      <c r="Z475" s="33" t="n">
        <v>4</v>
      </c>
      <c r="AA475" s="33" t="inlineStr">
        <is>
          <t>1</t>
        </is>
      </c>
      <c r="AB475" s="33" t="inlineStr">
        <is>
          <t>https://www.swimcloud.com/results/238801/event/29/?id=78026438#time78026438</t>
        </is>
      </c>
      <c r="AC475" s="33" t="inlineStr">
        <is>
          <t>SwimCloud API v6 2026-10-08</t>
        </is>
      </c>
      <c r="AD475" s="33" t="inlineStr">
        <is>
          <t>David Popovici|2022-09-04|LCM|100|Free|47.13|8th FINA World Junior Championships|FIN|False</t>
        </is>
      </c>
      <c r="AE475" s="53">
        <f>G475+L475/1000+ROW()/1000000000</f>
        <v/>
      </c>
      <c r="AF475" s="35">
        <f>IF(C475&lt;&gt;"Grayson Coulter","",COUNTIFS($C$5:$C$2991,"Grayson Coulter",$Q$5:$Q$2991,Q475,$AE$5:$AE$2991,"&lt;="&amp;AE475,$R$5:$R$2991,"&lt;"&amp;R475))</f>
        <v/>
      </c>
      <c r="AG475" s="35">
        <f>IF(OR(C475&lt;&gt;"Grayson Coulter",G475&lt;'00_Control'!$B$7),"",--(AF475&lt;5))</f>
        <v/>
      </c>
      <c r="AH475" s="35">
        <f>IF(OR(C475&lt;&gt;"Grayson Coulter",G475&lt;'00_Control'!$B$7),"",--(AF475&lt;10))</f>
        <v/>
      </c>
      <c r="AI475" s="35">
        <f>IF(AND(C475="Grayson Coulter",G475&gt;='00_Control'!$B$7),"YES","NO")</f>
        <v/>
      </c>
      <c r="AJ475" s="33" t="inlineStr">
        <is>
          <t>OK</t>
        </is>
      </c>
    </row>
    <row r="476">
      <c r="A476" s="33" t="inlineStr">
        <is>
          <t>SM000472</t>
        </is>
      </c>
      <c r="B476" s="33" t="inlineStr">
        <is>
          <t>SW009</t>
        </is>
      </c>
      <c r="C476" s="33" t="inlineStr">
        <is>
          <t>David Popovici</t>
        </is>
      </c>
      <c r="D476" s="33" t="inlineStr">
        <is>
          <t>SwimCloud</t>
        </is>
      </c>
      <c r="E476" s="33" t="inlineStr">
        <is>
          <t>1405298</t>
        </is>
      </c>
      <c r="F476" s="33" t="inlineStr">
        <is>
          <t>93473829</t>
        </is>
      </c>
      <c r="G476" s="51" t="n">
        <v>44875</v>
      </c>
      <c r="H476" s="33" t="inlineStr">
        <is>
          <t>Campionatul National De Juniori, Tineret, Seniori</t>
        </is>
      </c>
      <c r="I476" s="33" t="inlineStr">
        <is>
          <t>237943</t>
        </is>
      </c>
      <c r="J476" s="33" t="inlineStr"/>
      <c r="K476" s="33" t="inlineStr">
        <is>
          <t>PRE</t>
        </is>
      </c>
      <c r="L476" s="35">
        <f>IF(K476="FIN",3,IF(OR(K476="SEM",K476="SEMI"),2,IF(OR(K476="PRE",K476="HEAT"),1,IF(V476="YES",4,2))))</f>
        <v/>
      </c>
      <c r="M476" s="33" t="inlineStr">
        <is>
          <t>SCM</t>
        </is>
      </c>
      <c r="N476" s="33" t="n">
        <v>100</v>
      </c>
      <c r="O476" s="33" t="inlineStr">
        <is>
          <t>Free</t>
        </is>
      </c>
      <c r="P476" s="33" t="inlineStr">
        <is>
          <t>100 Free</t>
        </is>
      </c>
      <c r="Q476" s="33" t="inlineStr">
        <is>
          <t>SCM_100_FREE</t>
        </is>
      </c>
      <c r="R476" s="36" t="n">
        <v>48.43</v>
      </c>
      <c r="S476" s="35">
        <f>IF(R476="","",IF(R476&gt;=60,INT(R476/60)&amp;":"&amp;TEXT(MOD(R476,60),"00.00"),TEXT(R476,"0.00")))</f>
        <v/>
      </c>
      <c r="T476" s="52">
        <f>IFERROR((G476-INDEX('01_Swimmers'!$E$5:$E$22,MATCH(B476,'01_Swimmers'!$A$5:$A$22,0)))/'00_Control'!$B$10,"")</f>
        <v/>
      </c>
      <c r="U476" s="35">
        <f>IF(T476="","",INT(T476))</f>
        <v/>
      </c>
      <c r="V476" s="33" t="inlineStr">
        <is>
          <t>NO</t>
        </is>
      </c>
      <c r="W476" s="33" t="inlineStr">
        <is>
          <t>YES</t>
        </is>
      </c>
      <c r="X476" s="33" t="inlineStr">
        <is>
          <t>NO</t>
        </is>
      </c>
      <c r="Y476" s="33" t="n">
        <v>51</v>
      </c>
      <c r="Z476" s="33" t="n">
        <v>4</v>
      </c>
      <c r="AA476" s="33" t="inlineStr">
        <is>
          <t>1</t>
        </is>
      </c>
      <c r="AB476" s="33" t="inlineStr">
        <is>
          <t>https://www.swimcloud.com/results/237943/event/6/?id=93473829#time93473829</t>
        </is>
      </c>
      <c r="AC476" s="33" t="inlineStr">
        <is>
          <t>SwimCloud API v6 2026-10-08</t>
        </is>
      </c>
      <c r="AD476" s="33" t="inlineStr">
        <is>
          <t>David Popovici|2022-11-10|SCM|100|Free|48.43|Campionatul National De Juniori, Tineret, Seniori|PRE|False</t>
        </is>
      </c>
      <c r="AE476" s="53">
        <f>G476+L476/1000+ROW()/1000000000</f>
        <v/>
      </c>
      <c r="AF476" s="35">
        <f>IF(C476&lt;&gt;"Grayson Coulter","",COUNTIFS($C$5:$C$2991,"Grayson Coulter",$Q$5:$Q$2991,Q476,$AE$5:$AE$2991,"&lt;="&amp;AE476,$R$5:$R$2991,"&lt;"&amp;R476))</f>
        <v/>
      </c>
      <c r="AG476" s="35">
        <f>IF(OR(C476&lt;&gt;"Grayson Coulter",G476&lt;'00_Control'!$B$7),"",--(AF476&lt;5))</f>
        <v/>
      </c>
      <c r="AH476" s="35">
        <f>IF(OR(C476&lt;&gt;"Grayson Coulter",G476&lt;'00_Control'!$B$7),"",--(AF476&lt;10))</f>
        <v/>
      </c>
      <c r="AI476" s="35">
        <f>IF(AND(C476="Grayson Coulter",G476&gt;='00_Control'!$B$7),"YES","NO")</f>
        <v/>
      </c>
      <c r="AJ476" s="33" t="inlineStr">
        <is>
          <t>OK</t>
        </is>
      </c>
    </row>
    <row r="477">
      <c r="A477" s="33" t="inlineStr">
        <is>
          <t>SM000473</t>
        </is>
      </c>
      <c r="B477" s="33" t="inlineStr">
        <is>
          <t>SW009</t>
        </is>
      </c>
      <c r="C477" s="33" t="inlineStr">
        <is>
          <t>David Popovici</t>
        </is>
      </c>
      <c r="D477" s="33" t="inlineStr">
        <is>
          <t>SwimCloud</t>
        </is>
      </c>
      <c r="E477" s="33" t="inlineStr">
        <is>
          <t>1405298</t>
        </is>
      </c>
      <c r="F477" s="33" t="inlineStr">
        <is>
          <t>93473830</t>
        </is>
      </c>
      <c r="G477" s="51" t="n">
        <v>44875</v>
      </c>
      <c r="H477" s="33" t="inlineStr">
        <is>
          <t>Campionatul National De Juniori, Tineret, Seniori</t>
        </is>
      </c>
      <c r="I477" s="33" t="inlineStr">
        <is>
          <t>237943</t>
        </is>
      </c>
      <c r="J477" s="33" t="inlineStr"/>
      <c r="K477" s="33" t="inlineStr">
        <is>
          <t>FIN</t>
        </is>
      </c>
      <c r="L477" s="35">
        <f>IF(K477="FIN",3,IF(OR(K477="SEM",K477="SEMI"),2,IF(OR(K477="PRE",K477="HEAT"),1,IF(V477="YES",4,2))))</f>
        <v/>
      </c>
      <c r="M477" s="33" t="inlineStr">
        <is>
          <t>SCM</t>
        </is>
      </c>
      <c r="N477" s="33" t="n">
        <v>100</v>
      </c>
      <c r="O477" s="33" t="inlineStr">
        <is>
          <t>Free</t>
        </is>
      </c>
      <c r="P477" s="33" t="inlineStr">
        <is>
          <t>100 Free</t>
        </is>
      </c>
      <c r="Q477" s="33" t="inlineStr">
        <is>
          <t>SCM_100_FREE</t>
        </is>
      </c>
      <c r="R477" s="36" t="n">
        <v>46.62</v>
      </c>
      <c r="S477" s="35">
        <f>IF(R477="","",IF(R477&gt;=60,INT(R477/60)&amp;":"&amp;TEXT(MOD(R477,60),"00.00"),TEXT(R477,"0.00")))</f>
        <v/>
      </c>
      <c r="T477" s="52">
        <f>IFERROR((G477-INDEX('01_Swimmers'!$E$5:$E$22,MATCH(B477,'01_Swimmers'!$A$5:$A$22,0)))/'00_Control'!$B$10,"")</f>
        <v/>
      </c>
      <c r="U477" s="35">
        <f>IF(T477="","",INT(T477))</f>
        <v/>
      </c>
      <c r="V477" s="33" t="inlineStr">
        <is>
          <t>NO</t>
        </is>
      </c>
      <c r="W477" s="33" t="inlineStr">
        <is>
          <t>YES</t>
        </is>
      </c>
      <c r="X477" s="33" t="inlineStr">
        <is>
          <t>NO</t>
        </is>
      </c>
      <c r="Y477" s="33" t="n">
        <v>17</v>
      </c>
      <c r="Z477" s="33" t="n">
        <v>4</v>
      </c>
      <c r="AA477" s="33" t="inlineStr">
        <is>
          <t>1</t>
        </is>
      </c>
      <c r="AB477" s="33" t="inlineStr">
        <is>
          <t>https://www.swimcloud.com/results/237943/event/6/?id=93473830#time93473830</t>
        </is>
      </c>
      <c r="AC477" s="33" t="inlineStr">
        <is>
          <t>SwimCloud API v6 2026-10-08</t>
        </is>
      </c>
      <c r="AD477" s="33" t="inlineStr">
        <is>
          <t>David Popovici|2022-11-10|SCM|100|Free|46.62|Campionatul National De Juniori, Tineret, Seniori|FIN|False</t>
        </is>
      </c>
      <c r="AE477" s="53">
        <f>G477+L477/1000+ROW()/1000000000</f>
        <v/>
      </c>
      <c r="AF477" s="35">
        <f>IF(C477&lt;&gt;"Grayson Coulter","",COUNTIFS($C$5:$C$2991,"Grayson Coulter",$Q$5:$Q$2991,Q477,$AE$5:$AE$2991,"&lt;="&amp;AE477,$R$5:$R$2991,"&lt;"&amp;R477))</f>
        <v/>
      </c>
      <c r="AG477" s="35">
        <f>IF(OR(C477&lt;&gt;"Grayson Coulter",G477&lt;'00_Control'!$B$7),"",--(AF477&lt;5))</f>
        <v/>
      </c>
      <c r="AH477" s="35">
        <f>IF(OR(C477&lt;&gt;"Grayson Coulter",G477&lt;'00_Control'!$B$7),"",--(AF477&lt;10))</f>
        <v/>
      </c>
      <c r="AI477" s="35">
        <f>IF(AND(C477="Grayson Coulter",G477&gt;='00_Control'!$B$7),"YES","NO")</f>
        <v/>
      </c>
      <c r="AJ477" s="33" t="inlineStr">
        <is>
          <t>OK</t>
        </is>
      </c>
    </row>
    <row r="478">
      <c r="A478" s="33" t="inlineStr">
        <is>
          <t>SM000474</t>
        </is>
      </c>
      <c r="B478" s="33" t="inlineStr">
        <is>
          <t>SW009</t>
        </is>
      </c>
      <c r="C478" s="33" t="inlineStr">
        <is>
          <t>David Popovici</t>
        </is>
      </c>
      <c r="D478" s="33" t="inlineStr">
        <is>
          <t>SwimCloud</t>
        </is>
      </c>
      <c r="E478" s="33" t="inlineStr">
        <is>
          <t>1405298</t>
        </is>
      </c>
      <c r="F478" s="33" t="inlineStr">
        <is>
          <t>93473831</t>
        </is>
      </c>
      <c r="G478" s="51" t="n">
        <v>44876</v>
      </c>
      <c r="H478" s="33" t="inlineStr">
        <is>
          <t>Campionatul National De Juniori, Tineret, Seniori</t>
        </is>
      </c>
      <c r="I478" s="33" t="inlineStr">
        <is>
          <t>237943</t>
        </is>
      </c>
      <c r="J478" s="33" t="inlineStr"/>
      <c r="K478" s="33" t="inlineStr">
        <is>
          <t>PRE</t>
        </is>
      </c>
      <c r="L478" s="35">
        <f>IF(K478="FIN",3,IF(OR(K478="SEM",K478="SEMI"),2,IF(OR(K478="PRE",K478="HEAT"),1,IF(V478="YES",4,2))))</f>
        <v/>
      </c>
      <c r="M478" s="33" t="inlineStr">
        <is>
          <t>SCM</t>
        </is>
      </c>
      <c r="N478" s="33" t="n">
        <v>200</v>
      </c>
      <c r="O478" s="33" t="inlineStr">
        <is>
          <t>Free</t>
        </is>
      </c>
      <c r="P478" s="33" t="inlineStr">
        <is>
          <t>200 Free</t>
        </is>
      </c>
      <c r="Q478" s="33" t="inlineStr">
        <is>
          <t>SCM_200_FREE</t>
        </is>
      </c>
      <c r="R478" s="36" t="n">
        <v>109.67</v>
      </c>
      <c r="S478" s="35">
        <f>IF(R478="","",IF(R478&gt;=60,INT(R478/60)&amp;":"&amp;TEXT(MOD(R478,60),"00.00"),TEXT(R478,"0.00")))</f>
        <v/>
      </c>
      <c r="T478" s="52">
        <f>IFERROR((G478-INDEX('01_Swimmers'!$E$5:$E$22,MATCH(B478,'01_Swimmers'!$A$5:$A$22,0)))/'00_Control'!$B$10,"")</f>
        <v/>
      </c>
      <c r="U478" s="35">
        <f>IF(T478="","",INT(T478))</f>
        <v/>
      </c>
      <c r="V478" s="33" t="inlineStr">
        <is>
          <t>NO</t>
        </is>
      </c>
      <c r="W478" s="33" t="inlineStr">
        <is>
          <t>YES</t>
        </is>
      </c>
      <c r="X478" s="33" t="inlineStr">
        <is>
          <t>NO</t>
        </is>
      </c>
      <c r="Y478" s="33" t="n">
        <v>43</v>
      </c>
      <c r="Z478" s="33" t="n">
        <v>4</v>
      </c>
      <c r="AA478" s="33" t="inlineStr">
        <is>
          <t>2</t>
        </is>
      </c>
      <c r="AB478" s="33" t="inlineStr">
        <is>
          <t>https://www.swimcloud.com/results/237943/event/15/?id=93473831#time93473831</t>
        </is>
      </c>
      <c r="AC478" s="33" t="inlineStr">
        <is>
          <t>SwimCloud API v6 2026-10-08</t>
        </is>
      </c>
      <c r="AD478" s="33" t="inlineStr">
        <is>
          <t>David Popovici|2022-11-11|SCM|200|Free|109.67|Campionatul National De Juniori, Tineret, Seniori|PRE|False</t>
        </is>
      </c>
      <c r="AE478" s="53">
        <f>G478+L478/1000+ROW()/1000000000</f>
        <v/>
      </c>
      <c r="AF478" s="35">
        <f>IF(C478&lt;&gt;"Grayson Coulter","",COUNTIFS($C$5:$C$2991,"Grayson Coulter",$Q$5:$Q$2991,Q478,$AE$5:$AE$2991,"&lt;="&amp;AE478,$R$5:$R$2991,"&lt;"&amp;R478))</f>
        <v/>
      </c>
      <c r="AG478" s="35">
        <f>IF(OR(C478&lt;&gt;"Grayson Coulter",G478&lt;'00_Control'!$B$7),"",--(AF478&lt;5))</f>
        <v/>
      </c>
      <c r="AH478" s="35">
        <f>IF(OR(C478&lt;&gt;"Grayson Coulter",G478&lt;'00_Control'!$B$7),"",--(AF478&lt;10))</f>
        <v/>
      </c>
      <c r="AI478" s="35">
        <f>IF(AND(C478="Grayson Coulter",G478&gt;='00_Control'!$B$7),"YES","NO")</f>
        <v/>
      </c>
      <c r="AJ478" s="33" t="inlineStr">
        <is>
          <t>OK</t>
        </is>
      </c>
    </row>
    <row r="479">
      <c r="A479" s="33" t="inlineStr">
        <is>
          <t>SM000475</t>
        </is>
      </c>
      <c r="B479" s="33" t="inlineStr">
        <is>
          <t>SW009</t>
        </is>
      </c>
      <c r="C479" s="33" t="inlineStr">
        <is>
          <t>David Popovici</t>
        </is>
      </c>
      <c r="D479" s="33" t="inlineStr">
        <is>
          <t>SwimCloud</t>
        </is>
      </c>
      <c r="E479" s="33" t="inlineStr">
        <is>
          <t>1405298</t>
        </is>
      </c>
      <c r="F479" s="33" t="inlineStr">
        <is>
          <t>93473832</t>
        </is>
      </c>
      <c r="G479" s="51" t="n">
        <v>44876</v>
      </c>
      <c r="H479" s="33" t="inlineStr">
        <is>
          <t>Campionatul National De Juniori, Tineret, Seniori</t>
        </is>
      </c>
      <c r="I479" s="33" t="inlineStr">
        <is>
          <t>237943</t>
        </is>
      </c>
      <c r="J479" s="33" t="inlineStr"/>
      <c r="K479" s="33" t="inlineStr">
        <is>
          <t>FIN</t>
        </is>
      </c>
      <c r="L479" s="35">
        <f>IF(K479="FIN",3,IF(OR(K479="SEM",K479="SEMI"),2,IF(OR(K479="PRE",K479="HEAT"),1,IF(V479="YES",4,2))))</f>
        <v/>
      </c>
      <c r="M479" s="33" t="inlineStr">
        <is>
          <t>SCM</t>
        </is>
      </c>
      <c r="N479" s="33" t="n">
        <v>200</v>
      </c>
      <c r="O479" s="33" t="inlineStr">
        <is>
          <t>Free</t>
        </is>
      </c>
      <c r="P479" s="33" t="inlineStr">
        <is>
          <t>200 Free</t>
        </is>
      </c>
      <c r="Q479" s="33" t="inlineStr">
        <is>
          <t>SCM_200_FREE</t>
        </is>
      </c>
      <c r="R479" s="36" t="n">
        <v>103.06</v>
      </c>
      <c r="S479" s="35">
        <f>IF(R479="","",IF(R479&gt;=60,INT(R479/60)&amp;":"&amp;TEXT(MOD(R479,60),"00.00"),TEXT(R479,"0.00")))</f>
        <v/>
      </c>
      <c r="T479" s="52">
        <f>IFERROR((G479-INDEX('01_Swimmers'!$E$5:$E$22,MATCH(B479,'01_Swimmers'!$A$5:$A$22,0)))/'00_Control'!$B$10,"")</f>
        <v/>
      </c>
      <c r="U479" s="35">
        <f>IF(T479="","",INT(T479))</f>
        <v/>
      </c>
      <c r="V479" s="33" t="inlineStr">
        <is>
          <t>NO</t>
        </is>
      </c>
      <c r="W479" s="33" t="inlineStr">
        <is>
          <t>YES</t>
        </is>
      </c>
      <c r="X479" s="33" t="inlineStr">
        <is>
          <t>NO</t>
        </is>
      </c>
      <c r="Y479" s="33" t="n">
        <v>13</v>
      </c>
      <c r="Z479" s="33" t="n">
        <v>5</v>
      </c>
      <c r="AA479" s="33" t="inlineStr">
        <is>
          <t>1</t>
        </is>
      </c>
      <c r="AB479" s="33" t="inlineStr">
        <is>
          <t>https://www.swimcloud.com/results/237943/event/15/?id=93473832#time93473832</t>
        </is>
      </c>
      <c r="AC479" s="33" t="inlineStr">
        <is>
          <t>SwimCloud API v6 2026-10-08</t>
        </is>
      </c>
      <c r="AD479" s="33" t="inlineStr">
        <is>
          <t>David Popovici|2022-11-11|SCM|200|Free|103.06|Campionatul National De Juniori, Tineret, Seniori|FIN|False</t>
        </is>
      </c>
      <c r="AE479" s="53">
        <f>G479+L479/1000+ROW()/1000000000</f>
        <v/>
      </c>
      <c r="AF479" s="35">
        <f>IF(C479&lt;&gt;"Grayson Coulter","",COUNTIFS($C$5:$C$2991,"Grayson Coulter",$Q$5:$Q$2991,Q479,$AE$5:$AE$2991,"&lt;="&amp;AE479,$R$5:$R$2991,"&lt;"&amp;R479))</f>
        <v/>
      </c>
      <c r="AG479" s="35">
        <f>IF(OR(C479&lt;&gt;"Grayson Coulter",G479&lt;'00_Control'!$B$7),"",--(AF479&lt;5))</f>
        <v/>
      </c>
      <c r="AH479" s="35">
        <f>IF(OR(C479&lt;&gt;"Grayson Coulter",G479&lt;'00_Control'!$B$7),"",--(AF479&lt;10))</f>
        <v/>
      </c>
      <c r="AI479" s="35">
        <f>IF(AND(C479="Grayson Coulter",G479&gt;='00_Control'!$B$7),"YES","NO")</f>
        <v/>
      </c>
      <c r="AJ479" s="33" t="inlineStr">
        <is>
          <t>OK</t>
        </is>
      </c>
    </row>
    <row r="480">
      <c r="A480" s="33" t="inlineStr">
        <is>
          <t>SM000476</t>
        </is>
      </c>
      <c r="B480" s="33" t="inlineStr">
        <is>
          <t>SW009</t>
        </is>
      </c>
      <c r="C480" s="33" t="inlineStr">
        <is>
          <t>David Popovici</t>
        </is>
      </c>
      <c r="D480" s="33" t="inlineStr">
        <is>
          <t>SwimCloud</t>
        </is>
      </c>
      <c r="E480" s="33" t="inlineStr">
        <is>
          <t>1405298</t>
        </is>
      </c>
      <c r="F480" s="33" t="inlineStr">
        <is>
          <t>93473835</t>
        </is>
      </c>
      <c r="G480" s="51" t="n">
        <v>44878</v>
      </c>
      <c r="H480" s="33" t="inlineStr">
        <is>
          <t>Campionatul National De Juniori, Tineret, Seniori</t>
        </is>
      </c>
      <c r="I480" s="33" t="inlineStr">
        <is>
          <t>237943</t>
        </is>
      </c>
      <c r="J480" s="33" t="inlineStr"/>
      <c r="K480" s="33" t="inlineStr">
        <is>
          <t>PRE</t>
        </is>
      </c>
      <c r="L480" s="35">
        <f>IF(K480="FIN",3,IF(OR(K480="SEM",K480="SEMI"),2,IF(OR(K480="PRE",K480="HEAT"),1,IF(V480="YES",4,2))))</f>
        <v/>
      </c>
      <c r="M480" s="33" t="inlineStr">
        <is>
          <t>SCM</t>
        </is>
      </c>
      <c r="N480" s="33" t="n">
        <v>100</v>
      </c>
      <c r="O480" s="33" t="inlineStr">
        <is>
          <t>Fly</t>
        </is>
      </c>
      <c r="P480" s="33" t="inlineStr">
        <is>
          <t>100 Fly</t>
        </is>
      </c>
      <c r="Q480" s="33" t="inlineStr">
        <is>
          <t>SCM_100_FLY</t>
        </is>
      </c>
      <c r="R480" s="36" t="n">
        <v>52.67</v>
      </c>
      <c r="S480" s="35">
        <f>IF(R480="","",IF(R480&gt;=60,INT(R480/60)&amp;":"&amp;TEXT(MOD(R480,60),"00.00"),TEXT(R480,"0.00")))</f>
        <v/>
      </c>
      <c r="T480" s="52">
        <f>IFERROR((G480-INDEX('01_Swimmers'!$E$5:$E$22,MATCH(B480,'01_Swimmers'!$A$5:$A$22,0)))/'00_Control'!$B$10,"")</f>
        <v/>
      </c>
      <c r="U480" s="35">
        <f>IF(T480="","",INT(T480))</f>
        <v/>
      </c>
      <c r="V480" s="33" t="inlineStr">
        <is>
          <t>NO</t>
        </is>
      </c>
      <c r="W480" s="33" t="inlineStr">
        <is>
          <t>YES</t>
        </is>
      </c>
      <c r="X480" s="33" t="inlineStr">
        <is>
          <t>NO</t>
        </is>
      </c>
      <c r="Y480" s="33" t="n">
        <v>28</v>
      </c>
      <c r="Z480" s="33" t="n">
        <v>8</v>
      </c>
      <c r="AA480" s="33" t="inlineStr">
        <is>
          <t>2</t>
        </is>
      </c>
      <c r="AB480" s="33" t="inlineStr">
        <is>
          <t>https://www.swimcloud.com/results/237943/event/33/?id=93473835#time93473835</t>
        </is>
      </c>
      <c r="AC480" s="33" t="inlineStr">
        <is>
          <t>SwimCloud API v6 2026-10-08</t>
        </is>
      </c>
      <c r="AD480" s="33" t="inlineStr">
        <is>
          <t>David Popovici|2022-11-13|SCM|100|Fly|52.67|Campionatul National De Juniori, Tineret, Seniori|PRE|False</t>
        </is>
      </c>
      <c r="AE480" s="53">
        <f>G480+L480/1000+ROW()/1000000000</f>
        <v/>
      </c>
      <c r="AF480" s="35">
        <f>IF(C480&lt;&gt;"Grayson Coulter","",COUNTIFS($C$5:$C$2991,"Grayson Coulter",$Q$5:$Q$2991,Q480,$AE$5:$AE$2991,"&lt;="&amp;AE480,$R$5:$R$2991,"&lt;"&amp;R480))</f>
        <v/>
      </c>
      <c r="AG480" s="35">
        <f>IF(OR(C480&lt;&gt;"Grayson Coulter",G480&lt;'00_Control'!$B$7),"",--(AF480&lt;5))</f>
        <v/>
      </c>
      <c r="AH480" s="35">
        <f>IF(OR(C480&lt;&gt;"Grayson Coulter",G480&lt;'00_Control'!$B$7),"",--(AF480&lt;10))</f>
        <v/>
      </c>
      <c r="AI480" s="35">
        <f>IF(AND(C480="Grayson Coulter",G480&gt;='00_Control'!$B$7),"YES","NO")</f>
        <v/>
      </c>
      <c r="AJ480" s="33" t="inlineStr">
        <is>
          <t>OK</t>
        </is>
      </c>
    </row>
    <row r="481">
      <c r="A481" s="33" t="inlineStr">
        <is>
          <t>SM000477</t>
        </is>
      </c>
      <c r="B481" s="33" t="inlineStr">
        <is>
          <t>SW009</t>
        </is>
      </c>
      <c r="C481" s="33" t="inlineStr">
        <is>
          <t>David Popovici</t>
        </is>
      </c>
      <c r="D481" s="33" t="inlineStr">
        <is>
          <t>SwimCloud</t>
        </is>
      </c>
      <c r="E481" s="33" t="inlineStr">
        <is>
          <t>1405298</t>
        </is>
      </c>
      <c r="F481" s="33" t="inlineStr">
        <is>
          <t>93473833</t>
        </is>
      </c>
      <c r="G481" s="51" t="n">
        <v>44878</v>
      </c>
      <c r="H481" s="33" t="inlineStr">
        <is>
          <t>Campionatul National De Juniori, Tineret, Seniori</t>
        </is>
      </c>
      <c r="I481" s="33" t="inlineStr">
        <is>
          <t>237943</t>
        </is>
      </c>
      <c r="J481" s="33" t="inlineStr"/>
      <c r="K481" s="33" t="inlineStr">
        <is>
          <t>PRE</t>
        </is>
      </c>
      <c r="L481" s="35">
        <f>IF(K481="FIN",3,IF(OR(K481="SEM",K481="SEMI"),2,IF(OR(K481="PRE",K481="HEAT"),1,IF(V481="YES",4,2))))</f>
        <v/>
      </c>
      <c r="M481" s="33" t="inlineStr">
        <is>
          <t>SCM</t>
        </is>
      </c>
      <c r="N481" s="33" t="n">
        <v>400</v>
      </c>
      <c r="O481" s="33" t="inlineStr">
        <is>
          <t>Free</t>
        </is>
      </c>
      <c r="P481" s="33" t="inlineStr">
        <is>
          <t>400 Free</t>
        </is>
      </c>
      <c r="Q481" s="33" t="inlineStr">
        <is>
          <t>SCM_400_FREE</t>
        </is>
      </c>
      <c r="R481" s="36" t="n">
        <v>237.05</v>
      </c>
      <c r="S481" s="35">
        <f>IF(R481="","",IF(R481&gt;=60,INT(R481/60)&amp;":"&amp;TEXT(MOD(R481,60),"00.00"),TEXT(R481,"0.00")))</f>
        <v/>
      </c>
      <c r="T481" s="52">
        <f>IFERROR((G481-INDEX('01_Swimmers'!$E$5:$E$22,MATCH(B481,'01_Swimmers'!$A$5:$A$22,0)))/'00_Control'!$B$10,"")</f>
        <v/>
      </c>
      <c r="U481" s="35">
        <f>IF(T481="","",INT(T481))</f>
        <v/>
      </c>
      <c r="V481" s="33" t="inlineStr">
        <is>
          <t>NO</t>
        </is>
      </c>
      <c r="W481" s="33" t="inlineStr">
        <is>
          <t>YES</t>
        </is>
      </c>
      <c r="X481" s="33" t="inlineStr">
        <is>
          <t>NO</t>
        </is>
      </c>
      <c r="Y481" s="33" t="n">
        <v>56</v>
      </c>
      <c r="Z481" s="33" t="n">
        <v>4</v>
      </c>
      <c r="AA481" s="33" t="inlineStr">
        <is>
          <t>2</t>
        </is>
      </c>
      <c r="AB481" s="33" t="inlineStr">
        <is>
          <t>https://www.swimcloud.com/results/237943/event/37/?id=93473833#time93473833</t>
        </is>
      </c>
      <c r="AC481" s="33" t="inlineStr">
        <is>
          <t>SwimCloud API v6 2026-10-08</t>
        </is>
      </c>
      <c r="AD481" s="33" t="inlineStr">
        <is>
          <t>David Popovici|2022-11-13|SCM|400|Free|237.05|Campionatul National De Juniori, Tineret, Seniori|PRE|False</t>
        </is>
      </c>
      <c r="AE481" s="53">
        <f>G481+L481/1000+ROW()/1000000000</f>
        <v/>
      </c>
      <c r="AF481" s="35">
        <f>IF(C481&lt;&gt;"Grayson Coulter","",COUNTIFS($C$5:$C$2991,"Grayson Coulter",$Q$5:$Q$2991,Q481,$AE$5:$AE$2991,"&lt;="&amp;AE481,$R$5:$R$2991,"&lt;"&amp;R481))</f>
        <v/>
      </c>
      <c r="AG481" s="35">
        <f>IF(OR(C481&lt;&gt;"Grayson Coulter",G481&lt;'00_Control'!$B$7),"",--(AF481&lt;5))</f>
        <v/>
      </c>
      <c r="AH481" s="35">
        <f>IF(OR(C481&lt;&gt;"Grayson Coulter",G481&lt;'00_Control'!$B$7),"",--(AF481&lt;10))</f>
        <v/>
      </c>
      <c r="AI481" s="35">
        <f>IF(AND(C481="Grayson Coulter",G481&gt;='00_Control'!$B$7),"YES","NO")</f>
        <v/>
      </c>
      <c r="AJ481" s="33" t="inlineStr">
        <is>
          <t>OK</t>
        </is>
      </c>
    </row>
    <row r="482">
      <c r="A482" s="33" t="inlineStr">
        <is>
          <t>SM000478</t>
        </is>
      </c>
      <c r="B482" s="33" t="inlineStr">
        <is>
          <t>SW009</t>
        </is>
      </c>
      <c r="C482" s="33" t="inlineStr">
        <is>
          <t>David Popovici</t>
        </is>
      </c>
      <c r="D482" s="33" t="inlineStr">
        <is>
          <t>SwimCloud</t>
        </is>
      </c>
      <c r="E482" s="33" t="inlineStr">
        <is>
          <t>1405298</t>
        </is>
      </c>
      <c r="F482" s="33" t="inlineStr">
        <is>
          <t>93473834</t>
        </is>
      </c>
      <c r="G482" s="51" t="n">
        <v>44878</v>
      </c>
      <c r="H482" s="33" t="inlineStr">
        <is>
          <t>Campionatul National De Juniori, Tineret, Seniori</t>
        </is>
      </c>
      <c r="I482" s="33" t="inlineStr">
        <is>
          <t>237943</t>
        </is>
      </c>
      <c r="J482" s="33" t="inlineStr"/>
      <c r="K482" s="33" t="inlineStr">
        <is>
          <t>FIN</t>
        </is>
      </c>
      <c r="L482" s="35">
        <f>IF(K482="FIN",3,IF(OR(K482="SEM",K482="SEMI"),2,IF(OR(K482="PRE",K482="HEAT"),1,IF(V482="YES",4,2))))</f>
        <v/>
      </c>
      <c r="M482" s="33" t="inlineStr">
        <is>
          <t>SCM</t>
        </is>
      </c>
      <c r="N482" s="33" t="n">
        <v>400</v>
      </c>
      <c r="O482" s="33" t="inlineStr">
        <is>
          <t>Free</t>
        </is>
      </c>
      <c r="P482" s="33" t="inlineStr">
        <is>
          <t>400 Free</t>
        </is>
      </c>
      <c r="Q482" s="33" t="inlineStr">
        <is>
          <t>SCM_400_FREE</t>
        </is>
      </c>
      <c r="R482" s="36" t="n">
        <v>223</v>
      </c>
      <c r="S482" s="35">
        <f>IF(R482="","",IF(R482&gt;=60,INT(R482/60)&amp;":"&amp;TEXT(MOD(R482,60),"00.00"),TEXT(R482,"0.00")))</f>
        <v/>
      </c>
      <c r="T482" s="52">
        <f>IFERROR((G482-INDEX('01_Swimmers'!$E$5:$E$22,MATCH(B482,'01_Swimmers'!$A$5:$A$22,0)))/'00_Control'!$B$10,"")</f>
        <v/>
      </c>
      <c r="U482" s="35">
        <f>IF(T482="","",INT(T482))</f>
        <v/>
      </c>
      <c r="V482" s="33" t="inlineStr">
        <is>
          <t>NO</t>
        </is>
      </c>
      <c r="W482" s="33" t="inlineStr">
        <is>
          <t>YES</t>
        </is>
      </c>
      <c r="X482" s="33" t="inlineStr">
        <is>
          <t>NO</t>
        </is>
      </c>
      <c r="Y482" s="33" t="n">
        <v>19</v>
      </c>
      <c r="Z482" s="33" t="n">
        <v>5</v>
      </c>
      <c r="AA482" s="33" t="inlineStr">
        <is>
          <t>1</t>
        </is>
      </c>
      <c r="AB482" s="33" t="inlineStr">
        <is>
          <t>https://www.swimcloud.com/results/237943/event/37/?id=93473834#time93473834</t>
        </is>
      </c>
      <c r="AC482" s="33" t="inlineStr">
        <is>
          <t>SwimCloud API v6 2026-10-08</t>
        </is>
      </c>
      <c r="AD482" s="33" t="inlineStr">
        <is>
          <t>David Popovici|2022-11-13|SCM|400|Free|223.0|Campionatul National De Juniori, Tineret, Seniori|FIN|False</t>
        </is>
      </c>
      <c r="AE482" s="53">
        <f>G482+L482/1000+ROW()/1000000000</f>
        <v/>
      </c>
      <c r="AF482" s="35">
        <f>IF(C482&lt;&gt;"Grayson Coulter","",COUNTIFS($C$5:$C$2991,"Grayson Coulter",$Q$5:$Q$2991,Q482,$AE$5:$AE$2991,"&lt;="&amp;AE482,$R$5:$R$2991,"&lt;"&amp;R482))</f>
        <v/>
      </c>
      <c r="AG482" s="35">
        <f>IF(OR(C482&lt;&gt;"Grayson Coulter",G482&lt;'00_Control'!$B$7),"",--(AF482&lt;5))</f>
        <v/>
      </c>
      <c r="AH482" s="35">
        <f>IF(OR(C482&lt;&gt;"Grayson Coulter",G482&lt;'00_Control'!$B$7),"",--(AF482&lt;10))</f>
        <v/>
      </c>
      <c r="AI482" s="35">
        <f>IF(AND(C482="Grayson Coulter",G482&gt;='00_Control'!$B$7),"YES","NO")</f>
        <v/>
      </c>
      <c r="AJ482" s="33" t="inlineStr">
        <is>
          <t>OK</t>
        </is>
      </c>
    </row>
    <row r="483">
      <c r="A483" s="33" t="inlineStr">
        <is>
          <t>SM000479</t>
        </is>
      </c>
      <c r="B483" s="33" t="inlineStr">
        <is>
          <t>SW009</t>
        </is>
      </c>
      <c r="C483" s="33" t="inlineStr">
        <is>
          <t>David Popovici</t>
        </is>
      </c>
      <c r="D483" s="33" t="inlineStr">
        <is>
          <t>SwimCloud</t>
        </is>
      </c>
      <c r="E483" s="33" t="inlineStr">
        <is>
          <t>1405298</t>
        </is>
      </c>
      <c r="F483" s="33" t="inlineStr">
        <is>
          <t>91594048</t>
        </is>
      </c>
      <c r="G483" s="51" t="n">
        <v>44909</v>
      </c>
      <c r="H483" s="33" t="inlineStr">
        <is>
          <t>16th FINA World Short Course Championships</t>
        </is>
      </c>
      <c r="I483" s="33" t="inlineStr">
        <is>
          <t>234877</t>
        </is>
      </c>
      <c r="J483" s="33" t="inlineStr"/>
      <c r="K483" s="33" t="inlineStr">
        <is>
          <t>PRE</t>
        </is>
      </c>
      <c r="L483" s="35">
        <f>IF(K483="FIN",3,IF(OR(K483="SEM",K483="SEMI"),2,IF(OR(K483="PRE",K483="HEAT"),1,IF(V483="YES",4,2))))</f>
        <v/>
      </c>
      <c r="M483" s="33" t="inlineStr">
        <is>
          <t>SCM</t>
        </is>
      </c>
      <c r="N483" s="33" t="n">
        <v>100</v>
      </c>
      <c r="O483" s="33" t="inlineStr">
        <is>
          <t>Free</t>
        </is>
      </c>
      <c r="P483" s="33" t="inlineStr">
        <is>
          <t>100 Free</t>
        </is>
      </c>
      <c r="Q483" s="33" t="inlineStr">
        <is>
          <t>SCM_100_FREE</t>
        </is>
      </c>
      <c r="R483" s="36" t="n">
        <v>46.15</v>
      </c>
      <c r="S483" s="35">
        <f>IF(R483="","",IF(R483&gt;=60,INT(R483/60)&amp;":"&amp;TEXT(MOD(R483,60),"00.00"),TEXT(R483,"0.00")))</f>
        <v/>
      </c>
      <c r="T483" s="52">
        <f>IFERROR((G483-INDEX('01_Swimmers'!$E$5:$E$22,MATCH(B483,'01_Swimmers'!$A$5:$A$22,0)))/'00_Control'!$B$10,"")</f>
        <v/>
      </c>
      <c r="U483" s="35">
        <f>IF(T483="","",INT(T483))</f>
        <v/>
      </c>
      <c r="V483" s="33" t="inlineStr">
        <is>
          <t>NO</t>
        </is>
      </c>
      <c r="W483" s="33" t="inlineStr">
        <is>
          <t>YES</t>
        </is>
      </c>
      <c r="X483" s="33" t="inlineStr">
        <is>
          <t>NO</t>
        </is>
      </c>
      <c r="Y483" s="33" t="n">
        <v>9</v>
      </c>
      <c r="Z483" s="33" t="n">
        <v>6</v>
      </c>
      <c r="AA483" s="33" t="inlineStr">
        <is>
          <t>4</t>
        </is>
      </c>
      <c r="AB483" s="33" t="inlineStr">
        <is>
          <t>https://www.swimcloud.com/results/234877/event/14/?id=91594048#time91594048</t>
        </is>
      </c>
      <c r="AC483" s="33" t="inlineStr">
        <is>
          <t>SwimCloud API v6 2026-10-08</t>
        </is>
      </c>
      <c r="AD483" s="33" t="inlineStr">
        <is>
          <t>David Popovici|2022-12-14|SCM|100|Free|46.15|16th FINA World Short Course Championships|PRE|False</t>
        </is>
      </c>
      <c r="AE483" s="53">
        <f>G483+L483/1000+ROW()/1000000000</f>
        <v/>
      </c>
      <c r="AF483" s="35">
        <f>IF(C483&lt;&gt;"Grayson Coulter","",COUNTIFS($C$5:$C$2991,"Grayson Coulter",$Q$5:$Q$2991,Q483,$AE$5:$AE$2991,"&lt;="&amp;AE483,$R$5:$R$2991,"&lt;"&amp;R483))</f>
        <v/>
      </c>
      <c r="AG483" s="35">
        <f>IF(OR(C483&lt;&gt;"Grayson Coulter",G483&lt;'00_Control'!$B$7),"",--(AF483&lt;5))</f>
        <v/>
      </c>
      <c r="AH483" s="35">
        <f>IF(OR(C483&lt;&gt;"Grayson Coulter",G483&lt;'00_Control'!$B$7),"",--(AF483&lt;10))</f>
        <v/>
      </c>
      <c r="AI483" s="35">
        <f>IF(AND(C483="Grayson Coulter",G483&gt;='00_Control'!$B$7),"YES","NO")</f>
        <v/>
      </c>
      <c r="AJ483" s="33" t="inlineStr">
        <is>
          <t>OK</t>
        </is>
      </c>
    </row>
    <row r="484">
      <c r="A484" s="33" t="inlineStr">
        <is>
          <t>SM000480</t>
        </is>
      </c>
      <c r="B484" s="33" t="inlineStr">
        <is>
          <t>SW009</t>
        </is>
      </c>
      <c r="C484" s="33" t="inlineStr">
        <is>
          <t>David Popovici</t>
        </is>
      </c>
      <c r="D484" s="33" t="inlineStr">
        <is>
          <t>SwimCloud</t>
        </is>
      </c>
      <c r="E484" s="33" t="inlineStr">
        <is>
          <t>1405298</t>
        </is>
      </c>
      <c r="F484" s="33" t="inlineStr">
        <is>
          <t>91594049</t>
        </is>
      </c>
      <c r="G484" s="51" t="n">
        <v>44909</v>
      </c>
      <c r="H484" s="33" t="inlineStr">
        <is>
          <t>16th FINA World Short Course Championships</t>
        </is>
      </c>
      <c r="I484" s="33" t="inlineStr">
        <is>
          <t>234877</t>
        </is>
      </c>
      <c r="J484" s="33" t="inlineStr"/>
      <c r="K484" s="33" t="inlineStr">
        <is>
          <t>SEM</t>
        </is>
      </c>
      <c r="L484" s="35">
        <f>IF(K484="FIN",3,IF(OR(K484="SEM",K484="SEMI"),2,IF(OR(K484="PRE",K484="HEAT"),1,IF(V484="YES",4,2))))</f>
        <v/>
      </c>
      <c r="M484" s="33" t="inlineStr">
        <is>
          <t>SCM</t>
        </is>
      </c>
      <c r="N484" s="33" t="n">
        <v>100</v>
      </c>
      <c r="O484" s="33" t="inlineStr">
        <is>
          <t>Free</t>
        </is>
      </c>
      <c r="P484" s="33" t="inlineStr">
        <is>
          <t>100 Free</t>
        </is>
      </c>
      <c r="Q484" s="33" t="inlineStr">
        <is>
          <t>SCM_100_FREE</t>
        </is>
      </c>
      <c r="R484" s="36" t="n">
        <v>45.91</v>
      </c>
      <c r="S484" s="35">
        <f>IF(R484="","",IF(R484&gt;=60,INT(R484/60)&amp;":"&amp;TEXT(MOD(R484,60),"00.00"),TEXT(R484,"0.00")))</f>
        <v/>
      </c>
      <c r="T484" s="52">
        <f>IFERROR((G484-INDEX('01_Swimmers'!$E$5:$E$22,MATCH(B484,'01_Swimmers'!$A$5:$A$22,0)))/'00_Control'!$B$10,"")</f>
        <v/>
      </c>
      <c r="U484" s="35">
        <f>IF(T484="","",INT(T484))</f>
        <v/>
      </c>
      <c r="V484" s="33" t="inlineStr">
        <is>
          <t>NO</t>
        </is>
      </c>
      <c r="W484" s="33" t="inlineStr">
        <is>
          <t>YES</t>
        </is>
      </c>
      <c r="X484" s="33" t="inlineStr">
        <is>
          <t>NO</t>
        </is>
      </c>
      <c r="Y484" s="33" t="n">
        <v>1</v>
      </c>
      <c r="Z484" s="33" t="n">
        <v>5</v>
      </c>
      <c r="AA484" s="33" t="inlineStr">
        <is>
          <t>5</t>
        </is>
      </c>
      <c r="AB484" s="33" t="inlineStr">
        <is>
          <t>https://www.swimcloud.com/results/234877/event/14/?id=91594049#time91594049</t>
        </is>
      </c>
      <c r="AC484" s="33" t="inlineStr">
        <is>
          <t>SwimCloud API v6 2026-10-08</t>
        </is>
      </c>
      <c r="AD484" s="33" t="inlineStr">
        <is>
          <t>David Popovici|2022-12-14|SCM|100|Free|45.91|16th FINA World Short Course Championships|SEM|False</t>
        </is>
      </c>
      <c r="AE484" s="53">
        <f>G484+L484/1000+ROW()/1000000000</f>
        <v/>
      </c>
      <c r="AF484" s="35">
        <f>IF(C484&lt;&gt;"Grayson Coulter","",COUNTIFS($C$5:$C$2991,"Grayson Coulter",$Q$5:$Q$2991,Q484,$AE$5:$AE$2991,"&lt;="&amp;AE484,$R$5:$R$2991,"&lt;"&amp;R484))</f>
        <v/>
      </c>
      <c r="AG484" s="35">
        <f>IF(OR(C484&lt;&gt;"Grayson Coulter",G484&lt;'00_Control'!$B$7),"",--(AF484&lt;5))</f>
        <v/>
      </c>
      <c r="AH484" s="35">
        <f>IF(OR(C484&lt;&gt;"Grayson Coulter",G484&lt;'00_Control'!$B$7),"",--(AF484&lt;10))</f>
        <v/>
      </c>
      <c r="AI484" s="35">
        <f>IF(AND(C484="Grayson Coulter",G484&gt;='00_Control'!$B$7),"YES","NO")</f>
        <v/>
      </c>
      <c r="AJ484" s="33" t="inlineStr">
        <is>
          <t>OK</t>
        </is>
      </c>
    </row>
    <row r="485">
      <c r="A485" s="33" t="inlineStr">
        <is>
          <t>SM000481</t>
        </is>
      </c>
      <c r="B485" s="33" t="inlineStr">
        <is>
          <t>SW009</t>
        </is>
      </c>
      <c r="C485" s="33" t="inlineStr">
        <is>
          <t>David Popovici</t>
        </is>
      </c>
      <c r="D485" s="33" t="inlineStr">
        <is>
          <t>SwimCloud</t>
        </is>
      </c>
      <c r="E485" s="33" t="inlineStr">
        <is>
          <t>1405298</t>
        </is>
      </c>
      <c r="F485" s="33" t="inlineStr">
        <is>
          <t>91594047</t>
        </is>
      </c>
      <c r="G485" s="51" t="n">
        <v>44910</v>
      </c>
      <c r="H485" s="33" t="inlineStr">
        <is>
          <t>16th FINA World Short Course Championships</t>
        </is>
      </c>
      <c r="I485" s="33" t="inlineStr">
        <is>
          <t>234877</t>
        </is>
      </c>
      <c r="J485" s="33" t="inlineStr"/>
      <c r="K485" s="33" t="inlineStr">
        <is>
          <t>FIN</t>
        </is>
      </c>
      <c r="L485" s="35">
        <f>IF(K485="FIN",3,IF(OR(K485="SEM",K485="SEMI"),2,IF(OR(K485="PRE",K485="HEAT"),1,IF(V485="YES",4,2))))</f>
        <v/>
      </c>
      <c r="M485" s="33" t="inlineStr">
        <is>
          <t>SCM</t>
        </is>
      </c>
      <c r="N485" s="33" t="n">
        <v>100</v>
      </c>
      <c r="O485" s="33" t="inlineStr">
        <is>
          <t>Free</t>
        </is>
      </c>
      <c r="P485" s="33" t="inlineStr">
        <is>
          <t>100 Free</t>
        </is>
      </c>
      <c r="Q485" s="33" t="inlineStr">
        <is>
          <t>SCM_100_FREE</t>
        </is>
      </c>
      <c r="R485" s="36" t="n">
        <v>45.64</v>
      </c>
      <c r="S485" s="35">
        <f>IF(R485="","",IF(R485&gt;=60,INT(R485/60)&amp;":"&amp;TEXT(MOD(R485,60),"00.00"),TEXT(R485,"0.00")))</f>
        <v/>
      </c>
      <c r="T485" s="52">
        <f>IFERROR((G485-INDEX('01_Swimmers'!$E$5:$E$22,MATCH(B485,'01_Swimmers'!$A$5:$A$22,0)))/'00_Control'!$B$10,"")</f>
        <v/>
      </c>
      <c r="U485" s="35">
        <f>IF(T485="","",INT(T485))</f>
        <v/>
      </c>
      <c r="V485" s="33" t="inlineStr">
        <is>
          <t>NO</t>
        </is>
      </c>
      <c r="W485" s="33" t="inlineStr">
        <is>
          <t>YES</t>
        </is>
      </c>
      <c r="X485" s="33" t="inlineStr">
        <is>
          <t>NO</t>
        </is>
      </c>
      <c r="Y485" s="33" t="n">
        <v>1</v>
      </c>
      <c r="Z485" s="33" t="n">
        <v>2</v>
      </c>
      <c r="AA485" s="33" t="inlineStr">
        <is>
          <t>4</t>
        </is>
      </c>
      <c r="AB485" s="33" t="inlineStr">
        <is>
          <t>https://www.swimcloud.com/results/234877/event/14/?id=91594047#time91594047</t>
        </is>
      </c>
      <c r="AC485" s="33" t="inlineStr">
        <is>
          <t>SwimCloud API v6 2026-10-08</t>
        </is>
      </c>
      <c r="AD485" s="33" t="inlineStr">
        <is>
          <t>David Popovici|2022-12-15|SCM|100|Free|45.64|16th FINA World Short Course Championships|FIN|False</t>
        </is>
      </c>
      <c r="AE485" s="53">
        <f>G485+L485/1000+ROW()/1000000000</f>
        <v/>
      </c>
      <c r="AF485" s="35">
        <f>IF(C485&lt;&gt;"Grayson Coulter","",COUNTIFS($C$5:$C$2991,"Grayson Coulter",$Q$5:$Q$2991,Q485,$AE$5:$AE$2991,"&lt;="&amp;AE485,$R$5:$R$2991,"&lt;"&amp;R485))</f>
        <v/>
      </c>
      <c r="AG485" s="35">
        <f>IF(OR(C485&lt;&gt;"Grayson Coulter",G485&lt;'00_Control'!$B$7),"",--(AF485&lt;5))</f>
        <v/>
      </c>
      <c r="AH485" s="35">
        <f>IF(OR(C485&lt;&gt;"Grayson Coulter",G485&lt;'00_Control'!$B$7),"",--(AF485&lt;10))</f>
        <v/>
      </c>
      <c r="AI485" s="35">
        <f>IF(AND(C485="Grayson Coulter",G485&gt;='00_Control'!$B$7),"YES","NO")</f>
        <v/>
      </c>
      <c r="AJ485" s="33" t="inlineStr">
        <is>
          <t>OK</t>
        </is>
      </c>
    </row>
    <row r="486">
      <c r="A486" s="33" t="inlineStr">
        <is>
          <t>SM000482</t>
        </is>
      </c>
      <c r="B486" s="33" t="inlineStr">
        <is>
          <t>SW009</t>
        </is>
      </c>
      <c r="C486" s="33" t="inlineStr">
        <is>
          <t>David Popovici</t>
        </is>
      </c>
      <c r="D486" s="33" t="inlineStr">
        <is>
          <t>SwimCloud</t>
        </is>
      </c>
      <c r="E486" s="33" t="inlineStr">
        <is>
          <t>1405298</t>
        </is>
      </c>
      <c r="F486" s="33" t="inlineStr">
        <is>
          <t>91594052</t>
        </is>
      </c>
      <c r="G486" s="51" t="n">
        <v>44910</v>
      </c>
      <c r="H486" s="33" t="inlineStr">
        <is>
          <t>16th FINA World Short Course Championships</t>
        </is>
      </c>
      <c r="I486" s="33" t="inlineStr">
        <is>
          <t>234877</t>
        </is>
      </c>
      <c r="J486" s="33" t="inlineStr"/>
      <c r="K486" s="33" t="inlineStr">
        <is>
          <t>PRE</t>
        </is>
      </c>
      <c r="L486" s="35">
        <f>IF(K486="FIN",3,IF(OR(K486="SEM",K486="SEMI"),2,IF(OR(K486="PRE",K486="HEAT"),1,IF(V486="YES",4,2))))</f>
        <v/>
      </c>
      <c r="M486" s="33" t="inlineStr">
        <is>
          <t>SCM</t>
        </is>
      </c>
      <c r="N486" s="33" t="n">
        <v>400</v>
      </c>
      <c r="O486" s="33" t="inlineStr">
        <is>
          <t>Free</t>
        </is>
      </c>
      <c r="P486" s="33" t="inlineStr">
        <is>
          <t>400 Free</t>
        </is>
      </c>
      <c r="Q486" s="33" t="inlineStr">
        <is>
          <t>SCM_400_FREE</t>
        </is>
      </c>
      <c r="R486" s="36" t="n">
        <v>238.48</v>
      </c>
      <c r="S486" s="35">
        <f>IF(R486="","",IF(R486&gt;=60,INT(R486/60)&amp;":"&amp;TEXT(MOD(R486,60),"00.00"),TEXT(R486,"0.00")))</f>
        <v/>
      </c>
      <c r="T486" s="52">
        <f>IFERROR((G486-INDEX('01_Swimmers'!$E$5:$E$22,MATCH(B486,'01_Swimmers'!$A$5:$A$22,0)))/'00_Control'!$B$10,"")</f>
        <v/>
      </c>
      <c r="U486" s="35">
        <f>IF(T486="","",INT(T486))</f>
        <v/>
      </c>
      <c r="V486" s="33" t="inlineStr">
        <is>
          <t>NO</t>
        </is>
      </c>
      <c r="W486" s="33" t="inlineStr">
        <is>
          <t>YES</t>
        </is>
      </c>
      <c r="X486" s="33" t="inlineStr">
        <is>
          <t>NO</t>
        </is>
      </c>
      <c r="Y486" s="33" t="n">
        <v>3</v>
      </c>
      <c r="Z486" s="33" t="n">
        <v>7</v>
      </c>
      <c r="AA486" s="33" t="inlineStr">
        <is>
          <t>31</t>
        </is>
      </c>
      <c r="AB486" s="33" t="inlineStr">
        <is>
          <t>https://www.swimcloud.com/results/234877/event/24/?id=91594052#time91594052</t>
        </is>
      </c>
      <c r="AC486" s="33" t="inlineStr">
        <is>
          <t>SwimCloud API v6 2026-10-08</t>
        </is>
      </c>
      <c r="AD486" s="33" t="inlineStr">
        <is>
          <t>David Popovici|2022-12-15|SCM|400|Free|238.48|16th FINA World Short Course Championships|PRE|False</t>
        </is>
      </c>
      <c r="AE486" s="53">
        <f>G486+L486/1000+ROW()/1000000000</f>
        <v/>
      </c>
      <c r="AF486" s="35">
        <f>IF(C486&lt;&gt;"Grayson Coulter","",COUNTIFS($C$5:$C$2991,"Grayson Coulter",$Q$5:$Q$2991,Q486,$AE$5:$AE$2991,"&lt;="&amp;AE486,$R$5:$R$2991,"&lt;"&amp;R486))</f>
        <v/>
      </c>
      <c r="AG486" s="35">
        <f>IF(OR(C486&lt;&gt;"Grayson Coulter",G486&lt;'00_Control'!$B$7),"",--(AF486&lt;5))</f>
        <v/>
      </c>
      <c r="AH486" s="35">
        <f>IF(OR(C486&lt;&gt;"Grayson Coulter",G486&lt;'00_Control'!$B$7),"",--(AF486&lt;10))</f>
        <v/>
      </c>
      <c r="AI486" s="35">
        <f>IF(AND(C486="Grayson Coulter",G486&gt;='00_Control'!$B$7),"YES","NO")</f>
        <v/>
      </c>
      <c r="AJ486" s="33" t="inlineStr">
        <is>
          <t>OK</t>
        </is>
      </c>
    </row>
    <row r="487">
      <c r="A487" s="33" t="inlineStr">
        <is>
          <t>SM000483</t>
        </is>
      </c>
      <c r="B487" s="33" t="inlineStr">
        <is>
          <t>SW009</t>
        </is>
      </c>
      <c r="C487" s="33" t="inlineStr">
        <is>
          <t>David Popovici</t>
        </is>
      </c>
      <c r="D487" s="33" t="inlineStr">
        <is>
          <t>SwimCloud</t>
        </is>
      </c>
      <c r="E487" s="33" t="inlineStr">
        <is>
          <t>1405298</t>
        </is>
      </c>
      <c r="F487" s="33" t="inlineStr">
        <is>
          <t>91594051</t>
        </is>
      </c>
      <c r="G487" s="51" t="n">
        <v>44913</v>
      </c>
      <c r="H487" s="33" t="inlineStr">
        <is>
          <t>16th FINA World Short Course Championships</t>
        </is>
      </c>
      <c r="I487" s="33" t="inlineStr">
        <is>
          <t>234877</t>
        </is>
      </c>
      <c r="J487" s="33" t="inlineStr"/>
      <c r="K487" s="33" t="inlineStr">
        <is>
          <t>PRE</t>
        </is>
      </c>
      <c r="L487" s="35">
        <f>IF(K487="FIN",3,IF(OR(K487="SEM",K487="SEMI"),2,IF(OR(K487="PRE",K487="HEAT"),1,IF(V487="YES",4,2))))</f>
        <v/>
      </c>
      <c r="M487" s="33" t="inlineStr">
        <is>
          <t>SCM</t>
        </is>
      </c>
      <c r="N487" s="33" t="n">
        <v>200</v>
      </c>
      <c r="O487" s="33" t="inlineStr">
        <is>
          <t>Free</t>
        </is>
      </c>
      <c r="P487" s="33" t="inlineStr">
        <is>
          <t>200 Free</t>
        </is>
      </c>
      <c r="Q487" s="33" t="inlineStr">
        <is>
          <t>SCM_200_FREE</t>
        </is>
      </c>
      <c r="R487" s="36" t="n">
        <v>102.31</v>
      </c>
      <c r="S487" s="35">
        <f>IF(R487="","",IF(R487&gt;=60,INT(R487/60)&amp;":"&amp;TEXT(MOD(R487,60),"00.00"),TEXT(R487,"0.00")))</f>
        <v/>
      </c>
      <c r="T487" s="52">
        <f>IFERROR((G487-INDEX('01_Swimmers'!$E$5:$E$22,MATCH(B487,'01_Swimmers'!$A$5:$A$22,0)))/'00_Control'!$B$10,"")</f>
        <v/>
      </c>
      <c r="U487" s="35">
        <f>IF(T487="","",INT(T487))</f>
        <v/>
      </c>
      <c r="V487" s="33" t="inlineStr">
        <is>
          <t>NO</t>
        </is>
      </c>
      <c r="W487" s="33" t="inlineStr">
        <is>
          <t>YES</t>
        </is>
      </c>
      <c r="X487" s="33" t="inlineStr">
        <is>
          <t>NO</t>
        </is>
      </c>
      <c r="Y487" s="33" t="n">
        <v>4</v>
      </c>
      <c r="Z487" s="33" t="n">
        <v>3</v>
      </c>
      <c r="AA487" s="33" t="inlineStr">
        <is>
          <t>6</t>
        </is>
      </c>
      <c r="AB487" s="33" t="inlineStr">
        <is>
          <t>https://www.swimcloud.com/results/234877/event/44/?id=91594051#time91594051</t>
        </is>
      </c>
      <c r="AC487" s="33" t="inlineStr">
        <is>
          <t>SwimCloud API v6 2026-10-08</t>
        </is>
      </c>
      <c r="AD487" s="33" t="inlineStr">
        <is>
          <t>David Popovici|2022-12-18|SCM|200|Free|102.31|16th FINA World Short Course Championships|PRE|False</t>
        </is>
      </c>
      <c r="AE487" s="53">
        <f>G487+L487/1000+ROW()/1000000000</f>
        <v/>
      </c>
      <c r="AF487" s="35">
        <f>IF(C487&lt;&gt;"Grayson Coulter","",COUNTIFS($C$5:$C$2991,"Grayson Coulter",$Q$5:$Q$2991,Q487,$AE$5:$AE$2991,"&lt;="&amp;AE487,$R$5:$R$2991,"&lt;"&amp;R487))</f>
        <v/>
      </c>
      <c r="AG487" s="35">
        <f>IF(OR(C487&lt;&gt;"Grayson Coulter",G487&lt;'00_Control'!$B$7),"",--(AF487&lt;5))</f>
        <v/>
      </c>
      <c r="AH487" s="35">
        <f>IF(OR(C487&lt;&gt;"Grayson Coulter",G487&lt;'00_Control'!$B$7),"",--(AF487&lt;10))</f>
        <v/>
      </c>
      <c r="AI487" s="35">
        <f>IF(AND(C487="Grayson Coulter",G487&gt;='00_Control'!$B$7),"YES","NO")</f>
        <v/>
      </c>
      <c r="AJ487" s="33" t="inlineStr">
        <is>
          <t>OK</t>
        </is>
      </c>
    </row>
    <row r="488">
      <c r="A488" s="33" t="inlineStr">
        <is>
          <t>SM000484</t>
        </is>
      </c>
      <c r="B488" s="33" t="inlineStr">
        <is>
          <t>SW009</t>
        </is>
      </c>
      <c r="C488" s="33" t="inlineStr">
        <is>
          <t>David Popovici</t>
        </is>
      </c>
      <c r="D488" s="33" t="inlineStr">
        <is>
          <t>SwimCloud</t>
        </is>
      </c>
      <c r="E488" s="33" t="inlineStr">
        <is>
          <t>1405298</t>
        </is>
      </c>
      <c r="F488" s="33" t="inlineStr">
        <is>
          <t>91594050</t>
        </is>
      </c>
      <c r="G488" s="51" t="n">
        <v>44913</v>
      </c>
      <c r="H488" s="33" t="inlineStr">
        <is>
          <t>16th FINA World Short Course Championships</t>
        </is>
      </c>
      <c r="I488" s="33" t="inlineStr">
        <is>
          <t>234877</t>
        </is>
      </c>
      <c r="J488" s="33" t="inlineStr"/>
      <c r="K488" s="33" t="inlineStr">
        <is>
          <t>FIN</t>
        </is>
      </c>
      <c r="L488" s="35">
        <f>IF(K488="FIN",3,IF(OR(K488="SEM",K488="SEMI"),2,IF(OR(K488="PRE",K488="HEAT"),1,IF(V488="YES",4,2))))</f>
        <v/>
      </c>
      <c r="M488" s="33" t="inlineStr">
        <is>
          <t>SCM</t>
        </is>
      </c>
      <c r="N488" s="33" t="n">
        <v>200</v>
      </c>
      <c r="O488" s="33" t="inlineStr">
        <is>
          <t>Free</t>
        </is>
      </c>
      <c r="P488" s="33" t="inlineStr">
        <is>
          <t>200 Free</t>
        </is>
      </c>
      <c r="Q488" s="33" t="inlineStr">
        <is>
          <t>SCM_200_FREE</t>
        </is>
      </c>
      <c r="R488" s="36" t="n">
        <v>100.79</v>
      </c>
      <c r="S488" s="35">
        <f>IF(R488="","",IF(R488&gt;=60,INT(R488/60)&amp;":"&amp;TEXT(MOD(R488,60),"00.00"),TEXT(R488,"0.00")))</f>
        <v/>
      </c>
      <c r="T488" s="52">
        <f>IFERROR((G488-INDEX('01_Swimmers'!$E$5:$E$22,MATCH(B488,'01_Swimmers'!$A$5:$A$22,0)))/'00_Control'!$B$10,"")</f>
        <v/>
      </c>
      <c r="U488" s="35">
        <f>IF(T488="","",INT(T488))</f>
        <v/>
      </c>
      <c r="V488" s="33" t="inlineStr">
        <is>
          <t>NO</t>
        </is>
      </c>
      <c r="W488" s="33" t="inlineStr">
        <is>
          <t>YES</t>
        </is>
      </c>
      <c r="X488" s="33" t="inlineStr">
        <is>
          <t>NO</t>
        </is>
      </c>
      <c r="Y488" s="33" t="n">
        <v>1</v>
      </c>
      <c r="Z488" s="33" t="n">
        <v>7</v>
      </c>
      <c r="AA488" s="33" t="inlineStr">
        <is>
          <t>2</t>
        </is>
      </c>
      <c r="AB488" s="33" t="inlineStr">
        <is>
          <t>https://www.swimcloud.com/results/234877/event/44/?id=91594050#time91594050</t>
        </is>
      </c>
      <c r="AC488" s="33" t="inlineStr">
        <is>
          <t>SwimCloud API v6 2026-10-08</t>
        </is>
      </c>
      <c r="AD488" s="33" t="inlineStr">
        <is>
          <t>David Popovici|2022-12-18|SCM|200|Free|100.79|16th FINA World Short Course Championships|FIN|False</t>
        </is>
      </c>
      <c r="AE488" s="53">
        <f>G488+L488/1000+ROW()/1000000000</f>
        <v/>
      </c>
      <c r="AF488" s="35">
        <f>IF(C488&lt;&gt;"Grayson Coulter","",COUNTIFS($C$5:$C$2991,"Grayson Coulter",$Q$5:$Q$2991,Q488,$AE$5:$AE$2991,"&lt;="&amp;AE488,$R$5:$R$2991,"&lt;"&amp;R488))</f>
        <v/>
      </c>
      <c r="AG488" s="35">
        <f>IF(OR(C488&lt;&gt;"Grayson Coulter",G488&lt;'00_Control'!$B$7),"",--(AF488&lt;5))</f>
        <v/>
      </c>
      <c r="AH488" s="35">
        <f>IF(OR(C488&lt;&gt;"Grayson Coulter",G488&lt;'00_Control'!$B$7),"",--(AF488&lt;10))</f>
        <v/>
      </c>
      <c r="AI488" s="35">
        <f>IF(AND(C488="Grayson Coulter",G488&gt;='00_Control'!$B$7),"YES","NO")</f>
        <v/>
      </c>
      <c r="AJ488" s="33" t="inlineStr">
        <is>
          <t>OK</t>
        </is>
      </c>
    </row>
    <row r="489">
      <c r="A489" s="33" t="inlineStr">
        <is>
          <t>SM000485</t>
        </is>
      </c>
      <c r="B489" s="33" t="inlineStr">
        <is>
          <t>SW009</t>
        </is>
      </c>
      <c r="C489" s="33" t="inlineStr">
        <is>
          <t>David Popovici</t>
        </is>
      </c>
      <c r="D489" s="33" t="inlineStr">
        <is>
          <t>SwimCloud</t>
        </is>
      </c>
      <c r="E489" s="33" t="inlineStr">
        <is>
          <t>1405298</t>
        </is>
      </c>
      <c r="F489" s="33" t="inlineStr">
        <is>
          <t>100924087</t>
        </is>
      </c>
      <c r="G489" s="51" t="n">
        <v>45021</v>
      </c>
      <c r="H489" s="33" t="inlineStr">
        <is>
          <t>Campionat Național în bazin de 50m</t>
        </is>
      </c>
      <c r="I489" s="33" t="inlineStr">
        <is>
          <t>243347</t>
        </is>
      </c>
      <c r="J489" s="33" t="inlineStr"/>
      <c r="K489" s="33" t="inlineStr">
        <is>
          <t>FIN</t>
        </is>
      </c>
      <c r="L489" s="35">
        <f>IF(K489="FIN",3,IF(OR(K489="SEM",K489="SEMI"),2,IF(OR(K489="PRE",K489="HEAT"),1,IF(V489="YES",4,2))))</f>
        <v/>
      </c>
      <c r="M489" s="33" t="inlineStr">
        <is>
          <t>LCM</t>
        </is>
      </c>
      <c r="N489" s="33" t="n">
        <v>100</v>
      </c>
      <c r="O489" s="33" t="inlineStr">
        <is>
          <t>Fly</t>
        </is>
      </c>
      <c r="P489" s="33" t="inlineStr">
        <is>
          <t>100 Fly</t>
        </is>
      </c>
      <c r="Q489" s="33" t="inlineStr">
        <is>
          <t>LCM_100_FLY</t>
        </is>
      </c>
      <c r="R489" s="36" t="n">
        <v>52.3</v>
      </c>
      <c r="S489" s="35">
        <f>IF(R489="","",IF(R489&gt;=60,INT(R489/60)&amp;":"&amp;TEXT(MOD(R489,60),"00.00"),TEXT(R489,"0.00")))</f>
        <v/>
      </c>
      <c r="T489" s="52">
        <f>IFERROR((G489-INDEX('01_Swimmers'!$E$5:$E$22,MATCH(B489,'01_Swimmers'!$A$5:$A$22,0)))/'00_Control'!$B$10,"")</f>
        <v/>
      </c>
      <c r="U489" s="35">
        <f>IF(T489="","",INT(T489))</f>
        <v/>
      </c>
      <c r="V489" s="33" t="inlineStr">
        <is>
          <t>NO</t>
        </is>
      </c>
      <c r="W489" s="33" t="inlineStr">
        <is>
          <t>YES</t>
        </is>
      </c>
      <c r="X489" s="33" t="inlineStr">
        <is>
          <t>NO</t>
        </is>
      </c>
      <c r="Y489" s="33" t="n">
        <v>1</v>
      </c>
      <c r="Z489" s="33" t="n">
        <v>1</v>
      </c>
      <c r="AA489" s="33" t="inlineStr">
        <is>
          <t>1</t>
        </is>
      </c>
      <c r="AB489" s="33" t="inlineStr">
        <is>
          <t>https://www.swimcloud.com/results/243347/event/35/?id=100924087#time100924087</t>
        </is>
      </c>
      <c r="AC489" s="33" t="inlineStr">
        <is>
          <t>SwimCloud API v6 2026-10-08</t>
        </is>
      </c>
      <c r="AD489" s="33" t="inlineStr">
        <is>
          <t>David Popovici|2023-04-05|LCM|100|Fly|52.3|Campionat Național în bazin de 50m|FIN|False</t>
        </is>
      </c>
      <c r="AE489" s="53">
        <f>G489+L489/1000+ROW()/1000000000</f>
        <v/>
      </c>
      <c r="AF489" s="35">
        <f>IF(C489&lt;&gt;"Grayson Coulter","",COUNTIFS($C$5:$C$2991,"Grayson Coulter",$Q$5:$Q$2991,Q489,$AE$5:$AE$2991,"&lt;="&amp;AE489,$R$5:$R$2991,"&lt;"&amp;R489))</f>
        <v/>
      </c>
      <c r="AG489" s="35">
        <f>IF(OR(C489&lt;&gt;"Grayson Coulter",G489&lt;'00_Control'!$B$7),"",--(AF489&lt;5))</f>
        <v/>
      </c>
      <c r="AH489" s="35">
        <f>IF(OR(C489&lt;&gt;"Grayson Coulter",G489&lt;'00_Control'!$B$7),"",--(AF489&lt;10))</f>
        <v/>
      </c>
      <c r="AI489" s="35">
        <f>IF(AND(C489="Grayson Coulter",G489&gt;='00_Control'!$B$7),"YES","NO")</f>
        <v/>
      </c>
      <c r="AJ489" s="33" t="inlineStr">
        <is>
          <t>OK</t>
        </is>
      </c>
    </row>
    <row r="490">
      <c r="A490" s="33" t="inlineStr">
        <is>
          <t>SM000486</t>
        </is>
      </c>
      <c r="B490" s="33" t="inlineStr">
        <is>
          <t>SW009</t>
        </is>
      </c>
      <c r="C490" s="33" t="inlineStr">
        <is>
          <t>David Popovici</t>
        </is>
      </c>
      <c r="D490" s="33" t="inlineStr">
        <is>
          <t>SwimCloud</t>
        </is>
      </c>
      <c r="E490" s="33" t="inlineStr">
        <is>
          <t>1405298</t>
        </is>
      </c>
      <c r="F490" s="33" t="inlineStr">
        <is>
          <t>100924084</t>
        </is>
      </c>
      <c r="G490" s="51" t="n">
        <v>45021</v>
      </c>
      <c r="H490" s="33" t="inlineStr">
        <is>
          <t>Campionat Național în bazin de 50m</t>
        </is>
      </c>
      <c r="I490" s="33" t="inlineStr">
        <is>
          <t>243347</t>
        </is>
      </c>
      <c r="J490" s="33" t="inlineStr"/>
      <c r="K490" s="33" t="inlineStr">
        <is>
          <t>FIN</t>
        </is>
      </c>
      <c r="L490" s="35">
        <f>IF(K490="FIN",3,IF(OR(K490="SEM",K490="SEMI"),2,IF(OR(K490="PRE",K490="HEAT"),1,IF(V490="YES",4,2))))</f>
        <v/>
      </c>
      <c r="M490" s="33" t="inlineStr">
        <is>
          <t>LCM</t>
        </is>
      </c>
      <c r="N490" s="33" t="n">
        <v>100</v>
      </c>
      <c r="O490" s="33" t="inlineStr">
        <is>
          <t>Free</t>
        </is>
      </c>
      <c r="P490" s="33" t="inlineStr">
        <is>
          <t>100 Free</t>
        </is>
      </c>
      <c r="Q490" s="33" t="inlineStr">
        <is>
          <t>LCM_100_FREE</t>
        </is>
      </c>
      <c r="R490" s="36" t="n">
        <v>47.61</v>
      </c>
      <c r="S490" s="35">
        <f>IF(R490="","",IF(R490&gt;=60,INT(R490/60)&amp;":"&amp;TEXT(MOD(R490,60),"00.00"),TEXT(R490,"0.00")))</f>
        <v/>
      </c>
      <c r="T490" s="52">
        <f>IFERROR((G490-INDEX('01_Swimmers'!$E$5:$E$22,MATCH(B490,'01_Swimmers'!$A$5:$A$22,0)))/'00_Control'!$B$10,"")</f>
        <v/>
      </c>
      <c r="U490" s="35">
        <f>IF(T490="","",INT(T490))</f>
        <v/>
      </c>
      <c r="V490" s="33" t="inlineStr">
        <is>
          <t>NO</t>
        </is>
      </c>
      <c r="W490" s="33" t="inlineStr">
        <is>
          <t>YES</t>
        </is>
      </c>
      <c r="X490" s="33" t="inlineStr">
        <is>
          <t>NO</t>
        </is>
      </c>
      <c r="Y490" s="33" t="n">
        <v>1</v>
      </c>
      <c r="Z490" s="33" t="n">
        <v>1</v>
      </c>
      <c r="AA490" s="33" t="inlineStr">
        <is>
          <t>1</t>
        </is>
      </c>
      <c r="AB490" s="33" t="inlineStr">
        <is>
          <t>https://www.swimcloud.com/results/243347/event/4/?id=100924084#time100924084</t>
        </is>
      </c>
      <c r="AC490" s="33" t="inlineStr">
        <is>
          <t>SwimCloud API v6 2026-10-08</t>
        </is>
      </c>
      <c r="AD490" s="33" t="inlineStr">
        <is>
          <t>David Popovici|2023-04-05|LCM|100|Free|47.61|Campionat Național în bazin de 50m|FIN|False</t>
        </is>
      </c>
      <c r="AE490" s="53">
        <f>G490+L490/1000+ROW()/1000000000</f>
        <v/>
      </c>
      <c r="AF490" s="35">
        <f>IF(C490&lt;&gt;"Grayson Coulter","",COUNTIFS($C$5:$C$2991,"Grayson Coulter",$Q$5:$Q$2991,Q490,$AE$5:$AE$2991,"&lt;="&amp;AE490,$R$5:$R$2991,"&lt;"&amp;R490))</f>
        <v/>
      </c>
      <c r="AG490" s="35">
        <f>IF(OR(C490&lt;&gt;"Grayson Coulter",G490&lt;'00_Control'!$B$7),"",--(AF490&lt;5))</f>
        <v/>
      </c>
      <c r="AH490" s="35">
        <f>IF(OR(C490&lt;&gt;"Grayson Coulter",G490&lt;'00_Control'!$B$7),"",--(AF490&lt;10))</f>
        <v/>
      </c>
      <c r="AI490" s="35">
        <f>IF(AND(C490="Grayson Coulter",G490&gt;='00_Control'!$B$7),"YES","NO")</f>
        <v/>
      </c>
      <c r="AJ490" s="33" t="inlineStr">
        <is>
          <t>OK</t>
        </is>
      </c>
    </row>
    <row r="491">
      <c r="A491" s="33" t="inlineStr">
        <is>
          <t>SM000487</t>
        </is>
      </c>
      <c r="B491" s="33" t="inlineStr">
        <is>
          <t>SW009</t>
        </is>
      </c>
      <c r="C491" s="33" t="inlineStr">
        <is>
          <t>David Popovici</t>
        </is>
      </c>
      <c r="D491" s="33" t="inlineStr">
        <is>
          <t>SwimCloud</t>
        </is>
      </c>
      <c r="E491" s="33" t="inlineStr">
        <is>
          <t>1405298</t>
        </is>
      </c>
      <c r="F491" s="33" t="inlineStr">
        <is>
          <t>100924085</t>
        </is>
      </c>
      <c r="G491" s="51" t="n">
        <v>45021</v>
      </c>
      <c r="H491" s="33" t="inlineStr">
        <is>
          <t>Campionat Național în bazin de 50m</t>
        </is>
      </c>
      <c r="I491" s="33" t="inlineStr">
        <is>
          <t>243347</t>
        </is>
      </c>
      <c r="J491" s="33" t="inlineStr"/>
      <c r="K491" s="33" t="inlineStr">
        <is>
          <t>FIN</t>
        </is>
      </c>
      <c r="L491" s="35">
        <f>IF(K491="FIN",3,IF(OR(K491="SEM",K491="SEMI"),2,IF(OR(K491="PRE",K491="HEAT"),1,IF(V491="YES",4,2))))</f>
        <v/>
      </c>
      <c r="M491" s="33" t="inlineStr">
        <is>
          <t>LCM</t>
        </is>
      </c>
      <c r="N491" s="33" t="n">
        <v>400</v>
      </c>
      <c r="O491" s="33" t="inlineStr">
        <is>
          <t>Free</t>
        </is>
      </c>
      <c r="P491" s="33" t="inlineStr">
        <is>
          <t>400 Free</t>
        </is>
      </c>
      <c r="Q491" s="33" t="inlineStr">
        <is>
          <t>LCM_400_FREE</t>
        </is>
      </c>
      <c r="R491" s="36" t="n">
        <v>231.18</v>
      </c>
      <c r="S491" s="35">
        <f>IF(R491="","",IF(R491&gt;=60,INT(R491/60)&amp;":"&amp;TEXT(MOD(R491,60),"00.00"),TEXT(R491,"0.00")))</f>
        <v/>
      </c>
      <c r="T491" s="52">
        <f>IFERROR((G491-INDEX('01_Swimmers'!$E$5:$E$22,MATCH(B491,'01_Swimmers'!$A$5:$A$22,0)))/'00_Control'!$B$10,"")</f>
        <v/>
      </c>
      <c r="U491" s="35">
        <f>IF(T491="","",INT(T491))</f>
        <v/>
      </c>
      <c r="V491" s="33" t="inlineStr">
        <is>
          <t>NO</t>
        </is>
      </c>
      <c r="W491" s="33" t="inlineStr">
        <is>
          <t>YES</t>
        </is>
      </c>
      <c r="X491" s="33" t="inlineStr">
        <is>
          <t>NO</t>
        </is>
      </c>
      <c r="Y491" s="33" t="n">
        <v>1</v>
      </c>
      <c r="Z491" s="33" t="n">
        <v>1</v>
      </c>
      <c r="AA491" s="33" t="inlineStr">
        <is>
          <t>1</t>
        </is>
      </c>
      <c r="AB491" s="33" t="inlineStr">
        <is>
          <t>https://www.swimcloud.com/results/243347/event/8/?id=100924085#time100924085</t>
        </is>
      </c>
      <c r="AC491" s="33" t="inlineStr">
        <is>
          <t>SwimCloud API v6 2026-10-08</t>
        </is>
      </c>
      <c r="AD491" s="33" t="inlineStr">
        <is>
          <t>David Popovici|2023-04-05|LCM|400|Free|231.18|Campionat Național în bazin de 50m|FIN|False</t>
        </is>
      </c>
      <c r="AE491" s="53">
        <f>G491+L491/1000+ROW()/1000000000</f>
        <v/>
      </c>
      <c r="AF491" s="35">
        <f>IF(C491&lt;&gt;"Grayson Coulter","",COUNTIFS($C$5:$C$2991,"Grayson Coulter",$Q$5:$Q$2991,Q491,$AE$5:$AE$2991,"&lt;="&amp;AE491,$R$5:$R$2991,"&lt;"&amp;R491))</f>
        <v/>
      </c>
      <c r="AG491" s="35">
        <f>IF(OR(C491&lt;&gt;"Grayson Coulter",G491&lt;'00_Control'!$B$7),"",--(AF491&lt;5))</f>
        <v/>
      </c>
      <c r="AH491" s="35">
        <f>IF(OR(C491&lt;&gt;"Grayson Coulter",G491&lt;'00_Control'!$B$7),"",--(AF491&lt;10))</f>
        <v/>
      </c>
      <c r="AI491" s="35">
        <f>IF(AND(C491="Grayson Coulter",G491&gt;='00_Control'!$B$7),"YES","NO")</f>
        <v/>
      </c>
      <c r="AJ491" s="33" t="inlineStr">
        <is>
          <t>OK</t>
        </is>
      </c>
    </row>
    <row r="492">
      <c r="A492" s="33" t="inlineStr">
        <is>
          <t>SM000488</t>
        </is>
      </c>
      <c r="B492" s="33" t="inlineStr">
        <is>
          <t>SW009</t>
        </is>
      </c>
      <c r="C492" s="33" t="inlineStr">
        <is>
          <t>David Popovici</t>
        </is>
      </c>
      <c r="D492" s="33" t="inlineStr">
        <is>
          <t>SwimCloud</t>
        </is>
      </c>
      <c r="E492" s="33" t="inlineStr">
        <is>
          <t>1405298</t>
        </is>
      </c>
      <c r="F492" s="33" t="inlineStr">
        <is>
          <t>111678915</t>
        </is>
      </c>
      <c r="G492" s="51" t="n">
        <v>45101</v>
      </c>
      <c r="H492" s="33" t="inlineStr">
        <is>
          <t>Internazionali di Nuoto - 59 Sette Colli</t>
        </is>
      </c>
      <c r="I492" s="33" t="inlineStr">
        <is>
          <t>237979</t>
        </is>
      </c>
      <c r="J492" s="33" t="inlineStr"/>
      <c r="K492" s="33" t="inlineStr">
        <is>
          <t>PRE</t>
        </is>
      </c>
      <c r="L492" s="35">
        <f>IF(K492="FIN",3,IF(OR(K492="SEM",K492="SEMI"),2,IF(OR(K492="PRE",K492="HEAT"),1,IF(V492="YES",4,2))))</f>
        <v/>
      </c>
      <c r="M492" s="33" t="inlineStr">
        <is>
          <t>LCM</t>
        </is>
      </c>
      <c r="N492" s="33" t="n">
        <v>100</v>
      </c>
      <c r="O492" s="33" t="inlineStr">
        <is>
          <t>Free</t>
        </is>
      </c>
      <c r="P492" s="33" t="inlineStr">
        <is>
          <t>100 Free</t>
        </is>
      </c>
      <c r="Q492" s="33" t="inlineStr">
        <is>
          <t>LCM_100_FREE</t>
        </is>
      </c>
      <c r="R492" s="36" t="n">
        <v>48.35</v>
      </c>
      <c r="S492" s="35">
        <f>IF(R492="","",IF(R492&gt;=60,INT(R492/60)&amp;":"&amp;TEXT(MOD(R492,60),"00.00"),TEXT(R492,"0.00")))</f>
        <v/>
      </c>
      <c r="T492" s="52">
        <f>IFERROR((G492-INDEX('01_Swimmers'!$E$5:$E$22,MATCH(B492,'01_Swimmers'!$A$5:$A$22,0)))/'00_Control'!$B$10,"")</f>
        <v/>
      </c>
      <c r="U492" s="35">
        <f>IF(T492="","",INT(T492))</f>
        <v/>
      </c>
      <c r="V492" s="33" t="inlineStr">
        <is>
          <t>NO</t>
        </is>
      </c>
      <c r="W492" s="33" t="inlineStr">
        <is>
          <t>YES</t>
        </is>
      </c>
      <c r="X492" s="33" t="inlineStr">
        <is>
          <t>NO</t>
        </is>
      </c>
      <c r="Y492" s="33" t="n">
        <v>49</v>
      </c>
      <c r="Z492" s="33" t="n">
        <v>4</v>
      </c>
      <c r="AA492" s="33" t="inlineStr">
        <is>
          <t>1</t>
        </is>
      </c>
      <c r="AB492" s="33" t="inlineStr">
        <is>
          <t>https://www.swimcloud.com/results/237979/event/18/?id=111678915#time111678915</t>
        </is>
      </c>
      <c r="AC492" s="33" t="inlineStr">
        <is>
          <t>SwimCloud API v6 2026-10-08</t>
        </is>
      </c>
      <c r="AD492" s="33" t="inlineStr">
        <is>
          <t>David Popovici|2023-06-24|LCM|100|Free|48.35|Internazionali di Nuoto - 59 Sette Colli|PRE|False</t>
        </is>
      </c>
      <c r="AE492" s="53">
        <f>G492+L492/1000+ROW()/1000000000</f>
        <v/>
      </c>
      <c r="AF492" s="35">
        <f>IF(C492&lt;&gt;"Grayson Coulter","",COUNTIFS($C$5:$C$2991,"Grayson Coulter",$Q$5:$Q$2991,Q492,$AE$5:$AE$2991,"&lt;="&amp;AE492,$R$5:$R$2991,"&lt;"&amp;R492))</f>
        <v/>
      </c>
      <c r="AG492" s="35">
        <f>IF(OR(C492&lt;&gt;"Grayson Coulter",G492&lt;'00_Control'!$B$7),"",--(AF492&lt;5))</f>
        <v/>
      </c>
      <c r="AH492" s="35">
        <f>IF(OR(C492&lt;&gt;"Grayson Coulter",G492&lt;'00_Control'!$B$7),"",--(AF492&lt;10))</f>
        <v/>
      </c>
      <c r="AI492" s="35">
        <f>IF(AND(C492="Grayson Coulter",G492&gt;='00_Control'!$B$7),"YES","NO")</f>
        <v/>
      </c>
      <c r="AJ492" s="33" t="inlineStr">
        <is>
          <t>OK</t>
        </is>
      </c>
    </row>
    <row r="493">
      <c r="A493" s="33" t="inlineStr">
        <is>
          <t>SM000489</t>
        </is>
      </c>
      <c r="B493" s="33" t="inlineStr">
        <is>
          <t>SW009</t>
        </is>
      </c>
      <c r="C493" s="33" t="inlineStr">
        <is>
          <t>David Popovici</t>
        </is>
      </c>
      <c r="D493" s="33" t="inlineStr">
        <is>
          <t>SwimCloud</t>
        </is>
      </c>
      <c r="E493" s="33" t="inlineStr">
        <is>
          <t>1405298</t>
        </is>
      </c>
      <c r="F493" s="33" t="inlineStr">
        <is>
          <t>111678916</t>
        </is>
      </c>
      <c r="G493" s="51" t="n">
        <v>45101</v>
      </c>
      <c r="H493" s="33" t="inlineStr">
        <is>
          <t>Internazionali di Nuoto - 59 Sette Colli</t>
        </is>
      </c>
      <c r="I493" s="33" t="inlineStr">
        <is>
          <t>237979</t>
        </is>
      </c>
      <c r="J493" s="33" t="inlineStr"/>
      <c r="K493" s="33" t="inlineStr">
        <is>
          <t>FIN</t>
        </is>
      </c>
      <c r="L493" s="35">
        <f>IF(K493="FIN",3,IF(OR(K493="SEM",K493="SEMI"),2,IF(OR(K493="PRE",K493="HEAT"),1,IF(V493="YES",4,2))))</f>
        <v/>
      </c>
      <c r="M493" s="33" t="inlineStr">
        <is>
          <t>LCM</t>
        </is>
      </c>
      <c r="N493" s="33" t="n">
        <v>100</v>
      </c>
      <c r="O493" s="33" t="inlineStr">
        <is>
          <t>Free</t>
        </is>
      </c>
      <c r="P493" s="33" t="inlineStr">
        <is>
          <t>100 Free</t>
        </is>
      </c>
      <c r="Q493" s="33" t="inlineStr">
        <is>
          <t>LCM_100_FREE</t>
        </is>
      </c>
      <c r="R493" s="36" t="n">
        <v>48.1</v>
      </c>
      <c r="S493" s="35">
        <f>IF(R493="","",IF(R493&gt;=60,INT(R493/60)&amp;":"&amp;TEXT(MOD(R493,60),"00.00"),TEXT(R493,"0.00")))</f>
        <v/>
      </c>
      <c r="T493" s="52">
        <f>IFERROR((G493-INDEX('01_Swimmers'!$E$5:$E$22,MATCH(B493,'01_Swimmers'!$A$5:$A$22,0)))/'00_Control'!$B$10,"")</f>
        <v/>
      </c>
      <c r="U493" s="35">
        <f>IF(T493="","",INT(T493))</f>
        <v/>
      </c>
      <c r="V493" s="33" t="inlineStr">
        <is>
          <t>NO</t>
        </is>
      </c>
      <c r="W493" s="33" t="inlineStr">
        <is>
          <t>YES</t>
        </is>
      </c>
      <c r="X493" s="33" t="inlineStr">
        <is>
          <t>NO</t>
        </is>
      </c>
      <c r="Y493" s="33" t="n">
        <v>18</v>
      </c>
      <c r="Z493" s="33" t="n">
        <v>4</v>
      </c>
      <c r="AA493" s="33" t="inlineStr">
        <is>
          <t>1</t>
        </is>
      </c>
      <c r="AB493" s="33" t="inlineStr">
        <is>
          <t>https://www.swimcloud.com/results/237979/event/18/?id=111678916#time111678916</t>
        </is>
      </c>
      <c r="AC493" s="33" t="inlineStr">
        <is>
          <t>SwimCloud API v6 2026-10-08</t>
        </is>
      </c>
      <c r="AD493" s="33" t="inlineStr">
        <is>
          <t>David Popovici|2023-06-24|LCM|100|Free|48.1|Internazionali di Nuoto - 59 Sette Colli|FIN|False</t>
        </is>
      </c>
      <c r="AE493" s="53">
        <f>G493+L493/1000+ROW()/1000000000</f>
        <v/>
      </c>
      <c r="AF493" s="35">
        <f>IF(C493&lt;&gt;"Grayson Coulter","",COUNTIFS($C$5:$C$2991,"Grayson Coulter",$Q$5:$Q$2991,Q493,$AE$5:$AE$2991,"&lt;="&amp;AE493,$R$5:$R$2991,"&lt;"&amp;R493))</f>
        <v/>
      </c>
      <c r="AG493" s="35">
        <f>IF(OR(C493&lt;&gt;"Grayson Coulter",G493&lt;'00_Control'!$B$7),"",--(AF493&lt;5))</f>
        <v/>
      </c>
      <c r="AH493" s="35">
        <f>IF(OR(C493&lt;&gt;"Grayson Coulter",G493&lt;'00_Control'!$B$7),"",--(AF493&lt;10))</f>
        <v/>
      </c>
      <c r="AI493" s="35">
        <f>IF(AND(C493="Grayson Coulter",G493&gt;='00_Control'!$B$7),"YES","NO")</f>
        <v/>
      </c>
      <c r="AJ493" s="33" t="inlineStr">
        <is>
          <t>OK</t>
        </is>
      </c>
    </row>
    <row r="494">
      <c r="A494" s="33" t="inlineStr">
        <is>
          <t>SM000490</t>
        </is>
      </c>
      <c r="B494" s="33" t="inlineStr">
        <is>
          <t>SW009</t>
        </is>
      </c>
      <c r="C494" s="33" t="inlineStr">
        <is>
          <t>David Popovici</t>
        </is>
      </c>
      <c r="D494" s="33" t="inlineStr">
        <is>
          <t>SwimCloud</t>
        </is>
      </c>
      <c r="E494" s="33" t="inlineStr">
        <is>
          <t>1405298</t>
        </is>
      </c>
      <c r="F494" s="33" t="inlineStr">
        <is>
          <t>111678917</t>
        </is>
      </c>
      <c r="G494" s="51" t="n">
        <v>45102</v>
      </c>
      <c r="H494" s="33" t="inlineStr">
        <is>
          <t>Internazionali di Nuoto - 59 Sette Colli</t>
        </is>
      </c>
      <c r="I494" s="33" t="inlineStr">
        <is>
          <t>237979</t>
        </is>
      </c>
      <c r="J494" s="33" t="inlineStr"/>
      <c r="K494" s="33" t="inlineStr">
        <is>
          <t>PRE</t>
        </is>
      </c>
      <c r="L494" s="35">
        <f>IF(K494="FIN",3,IF(OR(K494="SEM",K494="SEMI"),2,IF(OR(K494="PRE",K494="HEAT"),1,IF(V494="YES",4,2))))</f>
        <v/>
      </c>
      <c r="M494" s="33" t="inlineStr">
        <is>
          <t>LCM</t>
        </is>
      </c>
      <c r="N494" s="33" t="n">
        <v>200</v>
      </c>
      <c r="O494" s="33" t="inlineStr">
        <is>
          <t>Free</t>
        </is>
      </c>
      <c r="P494" s="33" t="inlineStr">
        <is>
          <t>200 Free</t>
        </is>
      </c>
      <c r="Q494" s="33" t="inlineStr">
        <is>
          <t>LCM_200_FREE</t>
        </is>
      </c>
      <c r="R494" s="36" t="n">
        <v>107.99</v>
      </c>
      <c r="S494" s="35">
        <f>IF(R494="","",IF(R494&gt;=60,INT(R494/60)&amp;":"&amp;TEXT(MOD(R494,60),"00.00"),TEXT(R494,"0.00")))</f>
        <v/>
      </c>
      <c r="T494" s="52">
        <f>IFERROR((G494-INDEX('01_Swimmers'!$E$5:$E$22,MATCH(B494,'01_Swimmers'!$A$5:$A$22,0)))/'00_Control'!$B$10,"")</f>
        <v/>
      </c>
      <c r="U494" s="35">
        <f>IF(T494="","",INT(T494))</f>
        <v/>
      </c>
      <c r="V494" s="33" t="inlineStr">
        <is>
          <t>NO</t>
        </is>
      </c>
      <c r="W494" s="33" t="inlineStr">
        <is>
          <t>YES</t>
        </is>
      </c>
      <c r="X494" s="33" t="inlineStr">
        <is>
          <t>NO</t>
        </is>
      </c>
      <c r="Y494" s="33" t="n">
        <v>48</v>
      </c>
      <c r="Z494" s="33" t="n">
        <v>4</v>
      </c>
      <c r="AA494" s="33" t="inlineStr">
        <is>
          <t>4</t>
        </is>
      </c>
      <c r="AB494" s="33" t="inlineStr">
        <is>
          <t>https://www.swimcloud.com/results/237979/event/30/?id=111678917#time111678917</t>
        </is>
      </c>
      <c r="AC494" s="33" t="inlineStr">
        <is>
          <t>SwimCloud API v6 2026-10-08</t>
        </is>
      </c>
      <c r="AD494" s="33" t="inlineStr">
        <is>
          <t>David Popovici|2023-06-25|LCM|200|Free|107.99|Internazionali di Nuoto - 59 Sette Colli|PRE|False</t>
        </is>
      </c>
      <c r="AE494" s="53">
        <f>G494+L494/1000+ROW()/1000000000</f>
        <v/>
      </c>
      <c r="AF494" s="35">
        <f>IF(C494&lt;&gt;"Grayson Coulter","",COUNTIFS($C$5:$C$2991,"Grayson Coulter",$Q$5:$Q$2991,Q494,$AE$5:$AE$2991,"&lt;="&amp;AE494,$R$5:$R$2991,"&lt;"&amp;R494))</f>
        <v/>
      </c>
      <c r="AG494" s="35">
        <f>IF(OR(C494&lt;&gt;"Grayson Coulter",G494&lt;'00_Control'!$B$7),"",--(AF494&lt;5))</f>
        <v/>
      </c>
      <c r="AH494" s="35">
        <f>IF(OR(C494&lt;&gt;"Grayson Coulter",G494&lt;'00_Control'!$B$7),"",--(AF494&lt;10))</f>
        <v/>
      </c>
      <c r="AI494" s="35">
        <f>IF(AND(C494="Grayson Coulter",G494&gt;='00_Control'!$B$7),"YES","NO")</f>
        <v/>
      </c>
      <c r="AJ494" s="33" t="inlineStr">
        <is>
          <t>OK</t>
        </is>
      </c>
    </row>
    <row r="495">
      <c r="A495" s="33" t="inlineStr">
        <is>
          <t>SM000491</t>
        </is>
      </c>
      <c r="B495" s="33" t="inlineStr">
        <is>
          <t>SW009</t>
        </is>
      </c>
      <c r="C495" s="33" t="inlineStr">
        <is>
          <t>David Popovici</t>
        </is>
      </c>
      <c r="D495" s="33" t="inlineStr">
        <is>
          <t>SwimCloud</t>
        </is>
      </c>
      <c r="E495" s="33" t="inlineStr">
        <is>
          <t>1405298</t>
        </is>
      </c>
      <c r="F495" s="33" t="inlineStr">
        <is>
          <t>111678918</t>
        </is>
      </c>
      <c r="G495" s="51" t="n">
        <v>45102</v>
      </c>
      <c r="H495" s="33" t="inlineStr">
        <is>
          <t>Internazionali di Nuoto - 59 Sette Colli</t>
        </is>
      </c>
      <c r="I495" s="33" t="inlineStr">
        <is>
          <t>237979</t>
        </is>
      </c>
      <c r="J495" s="33" t="inlineStr"/>
      <c r="K495" s="33" t="inlineStr">
        <is>
          <t>FIN</t>
        </is>
      </c>
      <c r="L495" s="35">
        <f>IF(K495="FIN",3,IF(OR(K495="SEM",K495="SEMI"),2,IF(OR(K495="PRE",K495="HEAT"),1,IF(V495="YES",4,2))))</f>
        <v/>
      </c>
      <c r="M495" s="33" t="inlineStr">
        <is>
          <t>LCM</t>
        </is>
      </c>
      <c r="N495" s="33" t="n">
        <v>200</v>
      </c>
      <c r="O495" s="33" t="inlineStr">
        <is>
          <t>Free</t>
        </is>
      </c>
      <c r="P495" s="33" t="inlineStr">
        <is>
          <t>200 Free</t>
        </is>
      </c>
      <c r="Q495" s="33" t="inlineStr">
        <is>
          <t>LCM_200_FREE</t>
        </is>
      </c>
      <c r="R495" s="36" t="n">
        <v>105.49</v>
      </c>
      <c r="S495" s="35">
        <f>IF(R495="","",IF(R495&gt;=60,INT(R495/60)&amp;":"&amp;TEXT(MOD(R495,60),"00.00"),TEXT(R495,"0.00")))</f>
        <v/>
      </c>
      <c r="T495" s="52">
        <f>IFERROR((G495-INDEX('01_Swimmers'!$E$5:$E$22,MATCH(B495,'01_Swimmers'!$A$5:$A$22,0)))/'00_Control'!$B$10,"")</f>
        <v/>
      </c>
      <c r="U495" s="35">
        <f>IF(T495="","",INT(T495))</f>
        <v/>
      </c>
      <c r="V495" s="33" t="inlineStr">
        <is>
          <t>NO</t>
        </is>
      </c>
      <c r="W495" s="33" t="inlineStr">
        <is>
          <t>YES</t>
        </is>
      </c>
      <c r="X495" s="33" t="inlineStr">
        <is>
          <t>NO</t>
        </is>
      </c>
      <c r="Y495" s="33" t="n">
        <v>15</v>
      </c>
      <c r="Z495" s="33" t="n">
        <v>6</v>
      </c>
      <c r="AA495" s="33" t="inlineStr">
        <is>
          <t>1</t>
        </is>
      </c>
      <c r="AB495" s="33" t="inlineStr">
        <is>
          <t>https://www.swimcloud.com/results/237979/event/30/?id=111678918#time111678918</t>
        </is>
      </c>
      <c r="AC495" s="33" t="inlineStr">
        <is>
          <t>SwimCloud API v6 2026-10-08</t>
        </is>
      </c>
      <c r="AD495" s="33" t="inlineStr">
        <is>
          <t>David Popovici|2023-06-25|LCM|200|Free|105.49|Internazionali di Nuoto - 59 Sette Colli|FIN|False</t>
        </is>
      </c>
      <c r="AE495" s="53">
        <f>G495+L495/1000+ROW()/1000000000</f>
        <v/>
      </c>
      <c r="AF495" s="35">
        <f>IF(C495&lt;&gt;"Grayson Coulter","",COUNTIFS($C$5:$C$2991,"Grayson Coulter",$Q$5:$Q$2991,Q495,$AE$5:$AE$2991,"&lt;="&amp;AE495,$R$5:$R$2991,"&lt;"&amp;R495))</f>
        <v/>
      </c>
      <c r="AG495" s="35">
        <f>IF(OR(C495&lt;&gt;"Grayson Coulter",G495&lt;'00_Control'!$B$7),"",--(AF495&lt;5))</f>
        <v/>
      </c>
      <c r="AH495" s="35">
        <f>IF(OR(C495&lt;&gt;"Grayson Coulter",G495&lt;'00_Control'!$B$7),"",--(AF495&lt;10))</f>
        <v/>
      </c>
      <c r="AI495" s="35">
        <f>IF(AND(C495="Grayson Coulter",G495&gt;='00_Control'!$B$7),"YES","NO")</f>
        <v/>
      </c>
      <c r="AJ495" s="33" t="inlineStr">
        <is>
          <t>OK</t>
        </is>
      </c>
    </row>
    <row r="496">
      <c r="A496" s="33" t="inlineStr">
        <is>
          <t>SM000492</t>
        </is>
      </c>
      <c r="B496" s="33" t="inlineStr">
        <is>
          <t>SW009</t>
        </is>
      </c>
      <c r="C496" s="33" t="inlineStr">
        <is>
          <t>David Popovici</t>
        </is>
      </c>
      <c r="D496" s="33" t="inlineStr">
        <is>
          <t>SwimCloud</t>
        </is>
      </c>
      <c r="E496" s="33" t="inlineStr">
        <is>
          <t>1405298</t>
        </is>
      </c>
      <c r="F496" s="33" t="inlineStr">
        <is>
          <t>104772573</t>
        </is>
      </c>
      <c r="G496" s="51" t="n">
        <v>45131</v>
      </c>
      <c r="H496" s="33" t="inlineStr">
        <is>
          <t>20th World Aquatics Championships</t>
        </is>
      </c>
      <c r="I496" s="33" t="inlineStr">
        <is>
          <t>273652</t>
        </is>
      </c>
      <c r="J496" s="33" t="inlineStr"/>
      <c r="K496" s="33" t="inlineStr">
        <is>
          <t>PRE</t>
        </is>
      </c>
      <c r="L496" s="35">
        <f>IF(K496="FIN",3,IF(OR(K496="SEM",K496="SEMI"),2,IF(OR(K496="PRE",K496="HEAT"),1,IF(V496="YES",4,2))))</f>
        <v/>
      </c>
      <c r="M496" s="33" t="inlineStr">
        <is>
          <t>LCM</t>
        </is>
      </c>
      <c r="N496" s="33" t="n">
        <v>200</v>
      </c>
      <c r="O496" s="33" t="inlineStr">
        <is>
          <t>Free</t>
        </is>
      </c>
      <c r="P496" s="33" t="inlineStr">
        <is>
          <t>200 Free</t>
        </is>
      </c>
      <c r="Q496" s="33" t="inlineStr">
        <is>
          <t>LCM_200_FREE</t>
        </is>
      </c>
      <c r="R496" s="36" t="n">
        <v>105.86</v>
      </c>
      <c r="S496" s="35">
        <f>IF(R496="","",IF(R496&gt;=60,INT(R496/60)&amp;":"&amp;TEXT(MOD(R496,60),"00.00"),TEXT(R496,"0.00")))</f>
        <v/>
      </c>
      <c r="T496" s="52">
        <f>IFERROR((G496-INDEX('01_Swimmers'!$E$5:$E$22,MATCH(B496,'01_Swimmers'!$A$5:$A$22,0)))/'00_Control'!$B$10,"")</f>
        <v/>
      </c>
      <c r="U496" s="35">
        <f>IF(T496="","",INT(T496))</f>
        <v/>
      </c>
      <c r="V496" s="33" t="inlineStr">
        <is>
          <t>NO</t>
        </is>
      </c>
      <c r="W496" s="33" t="inlineStr">
        <is>
          <t>YES</t>
        </is>
      </c>
      <c r="X496" s="33" t="inlineStr">
        <is>
          <t>NO</t>
        </is>
      </c>
      <c r="Y496" s="33" t="n">
        <v>8</v>
      </c>
      <c r="Z496" s="33" t="n">
        <v>4</v>
      </c>
      <c r="AA496" s="33" t="inlineStr">
        <is>
          <t>3</t>
        </is>
      </c>
      <c r="AB496" s="33" t="inlineStr">
        <is>
          <t>https://www.swimcloud.com/results/273652/event/13/?id=104772573#time104772573</t>
        </is>
      </c>
      <c r="AC496" s="33" t="inlineStr">
        <is>
          <t>SwimCloud API v6 2026-10-08</t>
        </is>
      </c>
      <c r="AD496" s="33" t="inlineStr">
        <is>
          <t>David Popovici|2023-07-24|LCM|200|Free|105.86|20th World Aquatics Championships|PRE|False</t>
        </is>
      </c>
      <c r="AE496" s="53">
        <f>G496+L496/1000+ROW()/1000000000</f>
        <v/>
      </c>
      <c r="AF496" s="35">
        <f>IF(C496&lt;&gt;"Grayson Coulter","",COUNTIFS($C$5:$C$2991,"Grayson Coulter",$Q$5:$Q$2991,Q496,$AE$5:$AE$2991,"&lt;="&amp;AE496,$R$5:$R$2991,"&lt;"&amp;R496))</f>
        <v/>
      </c>
      <c r="AG496" s="35">
        <f>IF(OR(C496&lt;&gt;"Grayson Coulter",G496&lt;'00_Control'!$B$7),"",--(AF496&lt;5))</f>
        <v/>
      </c>
      <c r="AH496" s="35">
        <f>IF(OR(C496&lt;&gt;"Grayson Coulter",G496&lt;'00_Control'!$B$7),"",--(AF496&lt;10))</f>
        <v/>
      </c>
      <c r="AI496" s="35">
        <f>IF(AND(C496="Grayson Coulter",G496&gt;='00_Control'!$B$7),"YES","NO")</f>
        <v/>
      </c>
      <c r="AJ496" s="33" t="inlineStr">
        <is>
          <t>OK</t>
        </is>
      </c>
    </row>
    <row r="497">
      <c r="A497" s="33" t="inlineStr">
        <is>
          <t>SM000493</t>
        </is>
      </c>
      <c r="B497" s="33" t="inlineStr">
        <is>
          <t>SW009</t>
        </is>
      </c>
      <c r="C497" s="33" t="inlineStr">
        <is>
          <t>David Popovici</t>
        </is>
      </c>
      <c r="D497" s="33" t="inlineStr">
        <is>
          <t>SwimCloud</t>
        </is>
      </c>
      <c r="E497" s="33" t="inlineStr">
        <is>
          <t>1405298</t>
        </is>
      </c>
      <c r="F497" s="33" t="inlineStr">
        <is>
          <t>104772574</t>
        </is>
      </c>
      <c r="G497" s="51" t="n">
        <v>45131</v>
      </c>
      <c r="H497" s="33" t="inlineStr">
        <is>
          <t>20th World Aquatics Championships</t>
        </is>
      </c>
      <c r="I497" s="33" t="inlineStr">
        <is>
          <t>273652</t>
        </is>
      </c>
      <c r="J497" s="33" t="inlineStr"/>
      <c r="K497" s="33" t="inlineStr">
        <is>
          <t>SEM</t>
        </is>
      </c>
      <c r="L497" s="35">
        <f>IF(K497="FIN",3,IF(OR(K497="SEM",K497="SEMI"),2,IF(OR(K497="PRE",K497="HEAT"),1,IF(V497="YES",4,2))))</f>
        <v/>
      </c>
      <c r="M497" s="33" t="inlineStr">
        <is>
          <t>LCM</t>
        </is>
      </c>
      <c r="N497" s="33" t="n">
        <v>200</v>
      </c>
      <c r="O497" s="33" t="inlineStr">
        <is>
          <t>Free</t>
        </is>
      </c>
      <c r="P497" s="33" t="inlineStr">
        <is>
          <t>200 Free</t>
        </is>
      </c>
      <c r="Q497" s="33" t="inlineStr">
        <is>
          <t>LCM_200_FREE</t>
        </is>
      </c>
      <c r="R497" s="36" t="n">
        <v>104.7</v>
      </c>
      <c r="S497" s="35">
        <f>IF(R497="","",IF(R497&gt;=60,INT(R497/60)&amp;":"&amp;TEXT(MOD(R497,60),"00.00"),TEXT(R497,"0.00")))</f>
        <v/>
      </c>
      <c r="T497" s="52">
        <f>IFERROR((G497-INDEX('01_Swimmers'!$E$5:$E$22,MATCH(B497,'01_Swimmers'!$A$5:$A$22,0)))/'00_Control'!$B$10,"")</f>
        <v/>
      </c>
      <c r="U497" s="35">
        <f>IF(T497="","",INT(T497))</f>
        <v/>
      </c>
      <c r="V497" s="33" t="inlineStr">
        <is>
          <t>NO</t>
        </is>
      </c>
      <c r="W497" s="33" t="inlineStr">
        <is>
          <t>YES</t>
        </is>
      </c>
      <c r="X497" s="33" t="inlineStr">
        <is>
          <t>NO</t>
        </is>
      </c>
      <c r="Y497" s="33" t="n">
        <v>2</v>
      </c>
      <c r="Z497" s="33" t="n">
        <v>5</v>
      </c>
      <c r="AA497" s="33" t="inlineStr">
        <is>
          <t>1</t>
        </is>
      </c>
      <c r="AB497" s="33" t="inlineStr">
        <is>
          <t>https://www.swimcloud.com/results/273652/event/13/?id=104772574#time104772574</t>
        </is>
      </c>
      <c r="AC497" s="33" t="inlineStr">
        <is>
          <t>SwimCloud API v6 2026-10-08</t>
        </is>
      </c>
      <c r="AD497" s="33" t="inlineStr">
        <is>
          <t>David Popovici|2023-07-24|LCM|200|Free|104.7|20th World Aquatics Championships|SEM|False</t>
        </is>
      </c>
      <c r="AE497" s="53">
        <f>G497+L497/1000+ROW()/1000000000</f>
        <v/>
      </c>
      <c r="AF497" s="35">
        <f>IF(C497&lt;&gt;"Grayson Coulter","",COUNTIFS($C$5:$C$2991,"Grayson Coulter",$Q$5:$Q$2991,Q497,$AE$5:$AE$2991,"&lt;="&amp;AE497,$R$5:$R$2991,"&lt;"&amp;R497))</f>
        <v/>
      </c>
      <c r="AG497" s="35">
        <f>IF(OR(C497&lt;&gt;"Grayson Coulter",G497&lt;'00_Control'!$B$7),"",--(AF497&lt;5))</f>
        <v/>
      </c>
      <c r="AH497" s="35">
        <f>IF(OR(C497&lt;&gt;"Grayson Coulter",G497&lt;'00_Control'!$B$7),"",--(AF497&lt;10))</f>
        <v/>
      </c>
      <c r="AI497" s="35">
        <f>IF(AND(C497="Grayson Coulter",G497&gt;='00_Control'!$B$7),"YES","NO")</f>
        <v/>
      </c>
      <c r="AJ497" s="33" t="inlineStr">
        <is>
          <t>OK</t>
        </is>
      </c>
    </row>
    <row r="498">
      <c r="A498" s="33" t="inlineStr">
        <is>
          <t>SM000494</t>
        </is>
      </c>
      <c r="B498" s="33" t="inlineStr">
        <is>
          <t>SW009</t>
        </is>
      </c>
      <c r="C498" s="33" t="inlineStr">
        <is>
          <t>David Popovici</t>
        </is>
      </c>
      <c r="D498" s="33" t="inlineStr">
        <is>
          <t>SwimCloud</t>
        </is>
      </c>
      <c r="E498" s="33" t="inlineStr">
        <is>
          <t>1405298</t>
        </is>
      </c>
      <c r="F498" s="33" t="inlineStr">
        <is>
          <t>104772572</t>
        </is>
      </c>
      <c r="G498" s="51" t="n">
        <v>45132</v>
      </c>
      <c r="H498" s="33" t="inlineStr">
        <is>
          <t>20th World Aquatics Championships</t>
        </is>
      </c>
      <c r="I498" s="33" t="inlineStr">
        <is>
          <t>273652</t>
        </is>
      </c>
      <c r="J498" s="33" t="inlineStr"/>
      <c r="K498" s="33" t="inlineStr">
        <is>
          <t>FIN</t>
        </is>
      </c>
      <c r="L498" s="35">
        <f>IF(K498="FIN",3,IF(OR(K498="SEM",K498="SEMI"),2,IF(OR(K498="PRE",K498="HEAT"),1,IF(V498="YES",4,2))))</f>
        <v/>
      </c>
      <c r="M498" s="33" t="inlineStr">
        <is>
          <t>LCM</t>
        </is>
      </c>
      <c r="N498" s="33" t="n">
        <v>200</v>
      </c>
      <c r="O498" s="33" t="inlineStr">
        <is>
          <t>Free</t>
        </is>
      </c>
      <c r="P498" s="33" t="inlineStr">
        <is>
          <t>200 Free</t>
        </is>
      </c>
      <c r="Q498" s="33" t="inlineStr">
        <is>
          <t>LCM_200_FREE</t>
        </is>
      </c>
      <c r="R498" s="36" t="n">
        <v>104.9</v>
      </c>
      <c r="S498" s="35">
        <f>IF(R498="","",IF(R498&gt;=60,INT(R498/60)&amp;":"&amp;TEXT(MOD(R498,60),"00.00"),TEXT(R498,"0.00")))</f>
        <v/>
      </c>
      <c r="T498" s="52">
        <f>IFERROR((G498-INDEX('01_Swimmers'!$E$5:$E$22,MATCH(B498,'01_Swimmers'!$A$5:$A$22,0)))/'00_Control'!$B$10,"")</f>
        <v/>
      </c>
      <c r="U498" s="35">
        <f>IF(T498="","",INT(T498))</f>
        <v/>
      </c>
      <c r="V498" s="33" t="inlineStr">
        <is>
          <t>NO</t>
        </is>
      </c>
      <c r="W498" s="33" t="inlineStr">
        <is>
          <t>YES</t>
        </is>
      </c>
      <c r="X498" s="33" t="inlineStr">
        <is>
          <t>NO</t>
        </is>
      </c>
      <c r="Y498" s="33" t="n">
        <v>1</v>
      </c>
      <c r="Z498" s="33" t="n">
        <v>4</v>
      </c>
      <c r="AA498" s="33" t="inlineStr">
        <is>
          <t>4</t>
        </is>
      </c>
      <c r="AB498" s="33" t="inlineStr">
        <is>
          <t>https://www.swimcloud.com/results/273652/event/13/?id=104772572#time104772572</t>
        </is>
      </c>
      <c r="AC498" s="33" t="inlineStr">
        <is>
          <t>SwimCloud API v6 2026-10-08</t>
        </is>
      </c>
      <c r="AD498" s="33" t="inlineStr">
        <is>
          <t>David Popovici|2023-07-25|LCM|200|Free|104.9|20th World Aquatics Championships|FIN|False</t>
        </is>
      </c>
      <c r="AE498" s="53">
        <f>G498+L498/1000+ROW()/1000000000</f>
        <v/>
      </c>
      <c r="AF498" s="35">
        <f>IF(C498&lt;&gt;"Grayson Coulter","",COUNTIFS($C$5:$C$2991,"Grayson Coulter",$Q$5:$Q$2991,Q498,$AE$5:$AE$2991,"&lt;="&amp;AE498,$R$5:$R$2991,"&lt;"&amp;R498))</f>
        <v/>
      </c>
      <c r="AG498" s="35">
        <f>IF(OR(C498&lt;&gt;"Grayson Coulter",G498&lt;'00_Control'!$B$7),"",--(AF498&lt;5))</f>
        <v/>
      </c>
      <c r="AH498" s="35">
        <f>IF(OR(C498&lt;&gt;"Grayson Coulter",G498&lt;'00_Control'!$B$7),"",--(AF498&lt;10))</f>
        <v/>
      </c>
      <c r="AI498" s="35">
        <f>IF(AND(C498="Grayson Coulter",G498&gt;='00_Control'!$B$7),"YES","NO")</f>
        <v/>
      </c>
      <c r="AJ498" s="33" t="inlineStr">
        <is>
          <t>OK</t>
        </is>
      </c>
    </row>
    <row r="499">
      <c r="A499" s="33" t="inlineStr">
        <is>
          <t>SM000495</t>
        </is>
      </c>
      <c r="B499" s="33" t="inlineStr">
        <is>
          <t>SW009</t>
        </is>
      </c>
      <c r="C499" s="33" t="inlineStr">
        <is>
          <t>David Popovici</t>
        </is>
      </c>
      <c r="D499" s="33" t="inlineStr">
        <is>
          <t>SwimCloud</t>
        </is>
      </c>
      <c r="E499" s="33" t="inlineStr">
        <is>
          <t>1405298</t>
        </is>
      </c>
      <c r="F499" s="33" t="inlineStr">
        <is>
          <t>104772570</t>
        </is>
      </c>
      <c r="G499" s="51" t="n">
        <v>45133</v>
      </c>
      <c r="H499" s="33" t="inlineStr">
        <is>
          <t>20th World Aquatics Championships</t>
        </is>
      </c>
      <c r="I499" s="33" t="inlineStr">
        <is>
          <t>273652</t>
        </is>
      </c>
      <c r="J499" s="33" t="inlineStr"/>
      <c r="K499" s="33" t="inlineStr">
        <is>
          <t>PRE</t>
        </is>
      </c>
      <c r="L499" s="35">
        <f>IF(K499="FIN",3,IF(OR(K499="SEM",K499="SEMI"),2,IF(OR(K499="PRE",K499="HEAT"),1,IF(V499="YES",4,2))))</f>
        <v/>
      </c>
      <c r="M499" s="33" t="inlineStr">
        <is>
          <t>LCM</t>
        </is>
      </c>
      <c r="N499" s="33" t="n">
        <v>100</v>
      </c>
      <c r="O499" s="33" t="inlineStr">
        <is>
          <t>Free</t>
        </is>
      </c>
      <c r="P499" s="33" t="inlineStr">
        <is>
          <t>100 Free</t>
        </is>
      </c>
      <c r="Q499" s="33" t="inlineStr">
        <is>
          <t>LCM_100_FREE</t>
        </is>
      </c>
      <c r="R499" s="36" t="n">
        <v>47.9</v>
      </c>
      <c r="S499" s="35">
        <f>IF(R499="","",IF(R499&gt;=60,INT(R499/60)&amp;":"&amp;TEXT(MOD(R499,60),"00.00"),TEXT(R499,"0.00")))</f>
        <v/>
      </c>
      <c r="T499" s="52">
        <f>IFERROR((G499-INDEX('01_Swimmers'!$E$5:$E$22,MATCH(B499,'01_Swimmers'!$A$5:$A$22,0)))/'00_Control'!$B$10,"")</f>
        <v/>
      </c>
      <c r="U499" s="35">
        <f>IF(T499="","",INT(T499))</f>
        <v/>
      </c>
      <c r="V499" s="33" t="inlineStr">
        <is>
          <t>NO</t>
        </is>
      </c>
      <c r="W499" s="33" t="inlineStr">
        <is>
          <t>YES</t>
        </is>
      </c>
      <c r="X499" s="33" t="inlineStr">
        <is>
          <t>NO</t>
        </is>
      </c>
      <c r="Y499" s="33" t="n">
        <v>12</v>
      </c>
      <c r="Z499" s="33" t="n">
        <v>4</v>
      </c>
      <c r="AA499" s="33" t="inlineStr">
        <is>
          <t>6</t>
        </is>
      </c>
      <c r="AB499" s="33" t="inlineStr">
        <is>
          <t>https://www.swimcloud.com/results/273652/event/20/?id=104772570#time104772570</t>
        </is>
      </c>
      <c r="AC499" s="33" t="inlineStr">
        <is>
          <t>SwimCloud API v6 2026-10-08</t>
        </is>
      </c>
      <c r="AD499" s="33" t="inlineStr">
        <is>
          <t>David Popovici|2023-07-26|LCM|100|Free|47.9|20th World Aquatics Championships|PRE|False</t>
        </is>
      </c>
      <c r="AE499" s="53">
        <f>G499+L499/1000+ROW()/1000000000</f>
        <v/>
      </c>
      <c r="AF499" s="35">
        <f>IF(C499&lt;&gt;"Grayson Coulter","",COUNTIFS($C$5:$C$2991,"Grayson Coulter",$Q$5:$Q$2991,Q499,$AE$5:$AE$2991,"&lt;="&amp;AE499,$R$5:$R$2991,"&lt;"&amp;R499))</f>
        <v/>
      </c>
      <c r="AG499" s="35">
        <f>IF(OR(C499&lt;&gt;"Grayson Coulter",G499&lt;'00_Control'!$B$7),"",--(AF499&lt;5))</f>
        <v/>
      </c>
      <c r="AH499" s="35">
        <f>IF(OR(C499&lt;&gt;"Grayson Coulter",G499&lt;'00_Control'!$B$7),"",--(AF499&lt;10))</f>
        <v/>
      </c>
      <c r="AI499" s="35">
        <f>IF(AND(C499="Grayson Coulter",G499&gt;='00_Control'!$B$7),"YES","NO")</f>
        <v/>
      </c>
      <c r="AJ499" s="33" t="inlineStr">
        <is>
          <t>OK</t>
        </is>
      </c>
    </row>
    <row r="500">
      <c r="A500" s="33" t="inlineStr">
        <is>
          <t>SM000496</t>
        </is>
      </c>
      <c r="B500" s="33" t="inlineStr">
        <is>
          <t>SW009</t>
        </is>
      </c>
      <c r="C500" s="33" t="inlineStr">
        <is>
          <t>David Popovici</t>
        </is>
      </c>
      <c r="D500" s="33" t="inlineStr">
        <is>
          <t>SwimCloud</t>
        </is>
      </c>
      <c r="E500" s="33" t="inlineStr">
        <is>
          <t>1405298</t>
        </is>
      </c>
      <c r="F500" s="33" t="inlineStr">
        <is>
          <t>104772571</t>
        </is>
      </c>
      <c r="G500" s="51" t="n">
        <v>45133</v>
      </c>
      <c r="H500" s="33" t="inlineStr">
        <is>
          <t>20th World Aquatics Championships</t>
        </is>
      </c>
      <c r="I500" s="33" t="inlineStr">
        <is>
          <t>273652</t>
        </is>
      </c>
      <c r="J500" s="33" t="inlineStr"/>
      <c r="K500" s="33" t="inlineStr">
        <is>
          <t>SEM</t>
        </is>
      </c>
      <c r="L500" s="35">
        <f>IF(K500="FIN",3,IF(OR(K500="SEM",K500="SEMI"),2,IF(OR(K500="PRE",K500="HEAT"),1,IF(V500="YES",4,2))))</f>
        <v/>
      </c>
      <c r="M500" s="33" t="inlineStr">
        <is>
          <t>LCM</t>
        </is>
      </c>
      <c r="N500" s="33" t="n">
        <v>100</v>
      </c>
      <c r="O500" s="33" t="inlineStr">
        <is>
          <t>Free</t>
        </is>
      </c>
      <c r="P500" s="33" t="inlineStr">
        <is>
          <t>100 Free</t>
        </is>
      </c>
      <c r="Q500" s="33" t="inlineStr">
        <is>
          <t>LCM_100_FREE</t>
        </is>
      </c>
      <c r="R500" s="36" t="n">
        <v>47.66</v>
      </c>
      <c r="S500" s="35">
        <f>IF(R500="","",IF(R500&gt;=60,INT(R500/60)&amp;":"&amp;TEXT(MOD(R500,60),"00.00"),TEXT(R500,"0.00")))</f>
        <v/>
      </c>
      <c r="T500" s="52">
        <f>IFERROR((G500-INDEX('01_Swimmers'!$E$5:$E$22,MATCH(B500,'01_Swimmers'!$A$5:$A$22,0)))/'00_Control'!$B$10,"")</f>
        <v/>
      </c>
      <c r="U500" s="35">
        <f>IF(T500="","",INT(T500))</f>
        <v/>
      </c>
      <c r="V500" s="33" t="inlineStr">
        <is>
          <t>NO</t>
        </is>
      </c>
      <c r="W500" s="33" t="inlineStr">
        <is>
          <t>YES</t>
        </is>
      </c>
      <c r="X500" s="33" t="inlineStr">
        <is>
          <t>NO</t>
        </is>
      </c>
      <c r="Y500" s="33" t="n">
        <v>1</v>
      </c>
      <c r="Z500" s="33" t="n">
        <v>3</v>
      </c>
      <c r="AA500" s="33" t="inlineStr">
        <is>
          <t>5</t>
        </is>
      </c>
      <c r="AB500" s="33" t="inlineStr">
        <is>
          <t>https://www.swimcloud.com/results/273652/event/20/?id=104772571#time104772571</t>
        </is>
      </c>
      <c r="AC500" s="33" t="inlineStr">
        <is>
          <t>SwimCloud API v6 2026-10-08</t>
        </is>
      </c>
      <c r="AD500" s="33" t="inlineStr">
        <is>
          <t>David Popovici|2023-07-26|LCM|100|Free|47.66|20th World Aquatics Championships|SEM|False</t>
        </is>
      </c>
      <c r="AE500" s="53">
        <f>G500+L500/1000+ROW()/1000000000</f>
        <v/>
      </c>
      <c r="AF500" s="35">
        <f>IF(C500&lt;&gt;"Grayson Coulter","",COUNTIFS($C$5:$C$2991,"Grayson Coulter",$Q$5:$Q$2991,Q500,$AE$5:$AE$2991,"&lt;="&amp;AE500,$R$5:$R$2991,"&lt;"&amp;R500))</f>
        <v/>
      </c>
      <c r="AG500" s="35">
        <f>IF(OR(C500&lt;&gt;"Grayson Coulter",G500&lt;'00_Control'!$B$7),"",--(AF500&lt;5))</f>
        <v/>
      </c>
      <c r="AH500" s="35">
        <f>IF(OR(C500&lt;&gt;"Grayson Coulter",G500&lt;'00_Control'!$B$7),"",--(AF500&lt;10))</f>
        <v/>
      </c>
      <c r="AI500" s="35">
        <f>IF(AND(C500="Grayson Coulter",G500&gt;='00_Control'!$B$7),"YES","NO")</f>
        <v/>
      </c>
      <c r="AJ500" s="33" t="inlineStr">
        <is>
          <t>OK</t>
        </is>
      </c>
    </row>
    <row r="501">
      <c r="A501" s="33" t="inlineStr">
        <is>
          <t>SM000497</t>
        </is>
      </c>
      <c r="B501" s="33" t="inlineStr">
        <is>
          <t>SW009</t>
        </is>
      </c>
      <c r="C501" s="33" t="inlineStr">
        <is>
          <t>David Popovici</t>
        </is>
      </c>
      <c r="D501" s="33" t="inlineStr">
        <is>
          <t>SwimCloud</t>
        </is>
      </c>
      <c r="E501" s="33" t="inlineStr">
        <is>
          <t>1405298</t>
        </is>
      </c>
      <c r="F501" s="33" t="inlineStr">
        <is>
          <t>104772569</t>
        </is>
      </c>
      <c r="G501" s="51" t="n">
        <v>45134</v>
      </c>
      <c r="H501" s="33" t="inlineStr">
        <is>
          <t>20th World Aquatics Championships</t>
        </is>
      </c>
      <c r="I501" s="33" t="inlineStr">
        <is>
          <t>273652</t>
        </is>
      </c>
      <c r="J501" s="33" t="inlineStr"/>
      <c r="K501" s="33" t="inlineStr">
        <is>
          <t>FIN</t>
        </is>
      </c>
      <c r="L501" s="35">
        <f>IF(K501="FIN",3,IF(OR(K501="SEM",K501="SEMI"),2,IF(OR(K501="PRE",K501="HEAT"),1,IF(V501="YES",4,2))))</f>
        <v/>
      </c>
      <c r="M501" s="33" t="inlineStr">
        <is>
          <t>LCM</t>
        </is>
      </c>
      <c r="N501" s="33" t="n">
        <v>100</v>
      </c>
      <c r="O501" s="33" t="inlineStr">
        <is>
          <t>Free</t>
        </is>
      </c>
      <c r="P501" s="33" t="inlineStr">
        <is>
          <t>100 Free</t>
        </is>
      </c>
      <c r="Q501" s="33" t="inlineStr">
        <is>
          <t>LCM_100_FREE</t>
        </is>
      </c>
      <c r="R501" s="36" t="n">
        <v>47.83</v>
      </c>
      <c r="S501" s="35">
        <f>IF(R501="","",IF(R501&gt;=60,INT(R501/60)&amp;":"&amp;TEXT(MOD(R501,60),"00.00"),TEXT(R501,"0.00")))</f>
        <v/>
      </c>
      <c r="T501" s="52">
        <f>IFERROR((G501-INDEX('01_Swimmers'!$E$5:$E$22,MATCH(B501,'01_Swimmers'!$A$5:$A$22,0)))/'00_Control'!$B$10,"")</f>
        <v/>
      </c>
      <c r="U501" s="35">
        <f>IF(T501="","",INT(T501))</f>
        <v/>
      </c>
      <c r="V501" s="33" t="inlineStr">
        <is>
          <t>NO</t>
        </is>
      </c>
      <c r="W501" s="33" t="inlineStr">
        <is>
          <t>YES</t>
        </is>
      </c>
      <c r="X501" s="33" t="inlineStr">
        <is>
          <t>NO</t>
        </is>
      </c>
      <c r="Y501" s="33" t="n">
        <v>1</v>
      </c>
      <c r="Z501" s="33" t="n">
        <v>2</v>
      </c>
      <c r="AA501" s="33" t="inlineStr">
        <is>
          <t>6</t>
        </is>
      </c>
      <c r="AB501" s="33" t="inlineStr">
        <is>
          <t>https://www.swimcloud.com/results/273652/event/20/?id=104772569#time104772569</t>
        </is>
      </c>
      <c r="AC501" s="33" t="inlineStr">
        <is>
          <t>SwimCloud API v6 2026-10-08</t>
        </is>
      </c>
      <c r="AD501" s="33" t="inlineStr">
        <is>
          <t>David Popovici|2023-07-27|LCM|100|Free|47.83|20th World Aquatics Championships|FIN|False</t>
        </is>
      </c>
      <c r="AE501" s="53">
        <f>G501+L501/1000+ROW()/1000000000</f>
        <v/>
      </c>
      <c r="AF501" s="35">
        <f>IF(C501&lt;&gt;"Grayson Coulter","",COUNTIFS($C$5:$C$2991,"Grayson Coulter",$Q$5:$Q$2991,Q501,$AE$5:$AE$2991,"&lt;="&amp;AE501,$R$5:$R$2991,"&lt;"&amp;R501))</f>
        <v/>
      </c>
      <c r="AG501" s="35">
        <f>IF(OR(C501&lt;&gt;"Grayson Coulter",G501&lt;'00_Control'!$B$7),"",--(AF501&lt;5))</f>
        <v/>
      </c>
      <c r="AH501" s="35">
        <f>IF(OR(C501&lt;&gt;"Grayson Coulter",G501&lt;'00_Control'!$B$7),"",--(AF501&lt;10))</f>
        <v/>
      </c>
      <c r="AI501" s="35">
        <f>IF(AND(C501="Grayson Coulter",G501&gt;='00_Control'!$B$7),"YES","NO")</f>
        <v/>
      </c>
      <c r="AJ501" s="33" t="inlineStr">
        <is>
          <t>OK</t>
        </is>
      </c>
    </row>
    <row r="502">
      <c r="A502" s="33" t="inlineStr">
        <is>
          <t>SM000498</t>
        </is>
      </c>
      <c r="B502" s="33" t="inlineStr">
        <is>
          <t>SW009</t>
        </is>
      </c>
      <c r="C502" s="33" t="inlineStr">
        <is>
          <t>David Popovici</t>
        </is>
      </c>
      <c r="D502" s="33" t="inlineStr">
        <is>
          <t>SwimCloud</t>
        </is>
      </c>
      <c r="E502" s="33" t="inlineStr">
        <is>
          <t>1405298</t>
        </is>
      </c>
      <c r="F502" s="33" t="inlineStr">
        <is>
          <t>130742005</t>
        </is>
      </c>
      <c r="G502" s="51" t="n">
        <v>45206</v>
      </c>
      <c r="H502" s="33" t="inlineStr">
        <is>
          <t>33ème Mémorial Michel Bally</t>
        </is>
      </c>
      <c r="I502" s="33" t="inlineStr">
        <is>
          <t>310056</t>
        </is>
      </c>
      <c r="J502" s="33" t="inlineStr"/>
      <c r="K502" s="33" t="inlineStr">
        <is>
          <t>TIM</t>
        </is>
      </c>
      <c r="L502" s="35">
        <f>IF(K502="FIN",3,IF(OR(K502="SEM",K502="SEMI"),2,IF(OR(K502="PRE",K502="HEAT"),1,IF(V502="YES",4,2))))</f>
        <v/>
      </c>
      <c r="M502" s="33" t="inlineStr">
        <is>
          <t>SCM</t>
        </is>
      </c>
      <c r="N502" s="33" t="n">
        <v>200</v>
      </c>
      <c r="O502" s="33" t="inlineStr">
        <is>
          <t>Free</t>
        </is>
      </c>
      <c r="P502" s="33" t="inlineStr">
        <is>
          <t>200 Free</t>
        </is>
      </c>
      <c r="Q502" s="33" t="inlineStr">
        <is>
          <t>SCM_200_FREE</t>
        </is>
      </c>
      <c r="R502" s="36" t="n">
        <v>103.58</v>
      </c>
      <c r="S502" s="35">
        <f>IF(R502="","",IF(R502&gt;=60,INT(R502/60)&amp;":"&amp;TEXT(MOD(R502,60),"00.00"),TEXT(R502,"0.00")))</f>
        <v/>
      </c>
      <c r="T502" s="52">
        <f>IFERROR((G502-INDEX('01_Swimmers'!$E$5:$E$22,MATCH(B502,'01_Swimmers'!$A$5:$A$22,0)))/'00_Control'!$B$10,"")</f>
        <v/>
      </c>
      <c r="U502" s="35">
        <f>IF(T502="","",INT(T502))</f>
        <v/>
      </c>
      <c r="V502" s="33" t="inlineStr">
        <is>
          <t>NO</t>
        </is>
      </c>
      <c r="W502" s="33" t="inlineStr">
        <is>
          <t>YES</t>
        </is>
      </c>
      <c r="X502" s="33" t="inlineStr">
        <is>
          <t>NO</t>
        </is>
      </c>
      <c r="Y502" s="33" t="n">
        <v>14</v>
      </c>
      <c r="Z502" s="33" t="n">
        <v>4</v>
      </c>
      <c r="AA502" s="33" t="inlineStr">
        <is>
          <t>1</t>
        </is>
      </c>
      <c r="AB502" s="33" t="inlineStr">
        <is>
          <t>https://www.swimcloud.com/results/310056/event/9/?id=130742005#time130742005</t>
        </is>
      </c>
      <c r="AC502" s="33" t="inlineStr">
        <is>
          <t>SwimCloud API v6 2026-10-08</t>
        </is>
      </c>
      <c r="AD502" s="33" t="inlineStr">
        <is>
          <t>David Popovici|2023-10-07|SCM|200|Free|103.58|33ème Mémorial Michel Bally|TIM|False</t>
        </is>
      </c>
      <c r="AE502" s="53">
        <f>G502+L502/1000+ROW()/1000000000</f>
        <v/>
      </c>
      <c r="AF502" s="35">
        <f>IF(C502&lt;&gt;"Grayson Coulter","",COUNTIFS($C$5:$C$2991,"Grayson Coulter",$Q$5:$Q$2991,Q502,$AE$5:$AE$2991,"&lt;="&amp;AE502,$R$5:$R$2991,"&lt;"&amp;R502))</f>
        <v/>
      </c>
      <c r="AG502" s="35">
        <f>IF(OR(C502&lt;&gt;"Grayson Coulter",G502&lt;'00_Control'!$B$7),"",--(AF502&lt;5))</f>
        <v/>
      </c>
      <c r="AH502" s="35">
        <f>IF(OR(C502&lt;&gt;"Grayson Coulter",G502&lt;'00_Control'!$B$7),"",--(AF502&lt;10))</f>
        <v/>
      </c>
      <c r="AI502" s="35">
        <f>IF(AND(C502="Grayson Coulter",G502&gt;='00_Control'!$B$7),"YES","NO")</f>
        <v/>
      </c>
      <c r="AJ502" s="33" t="inlineStr">
        <is>
          <t>OK</t>
        </is>
      </c>
    </row>
    <row r="503">
      <c r="A503" s="33" t="inlineStr">
        <is>
          <t>SM000499</t>
        </is>
      </c>
      <c r="B503" s="33" t="inlineStr">
        <is>
          <t>SW009</t>
        </is>
      </c>
      <c r="C503" s="33" t="inlineStr">
        <is>
          <t>David Popovici</t>
        </is>
      </c>
      <c r="D503" s="33" t="inlineStr">
        <is>
          <t>SwimCloud</t>
        </is>
      </c>
      <c r="E503" s="33" t="inlineStr">
        <is>
          <t>1405298</t>
        </is>
      </c>
      <c r="F503" s="33" t="inlineStr">
        <is>
          <t>130742006</t>
        </is>
      </c>
      <c r="G503" s="51" t="n">
        <v>45206</v>
      </c>
      <c r="H503" s="33" t="inlineStr">
        <is>
          <t>33ème Mémorial Michel Bally</t>
        </is>
      </c>
      <c r="I503" s="33" t="inlineStr">
        <is>
          <t>310056</t>
        </is>
      </c>
      <c r="J503" s="33" t="inlineStr"/>
      <c r="K503" s="33" t="inlineStr">
        <is>
          <t>TIM</t>
        </is>
      </c>
      <c r="L503" s="35">
        <f>IF(K503="FIN",3,IF(OR(K503="SEM",K503="SEMI"),2,IF(OR(K503="PRE",K503="HEAT"),1,IF(V503="YES",4,2))))</f>
        <v/>
      </c>
      <c r="M503" s="33" t="inlineStr">
        <is>
          <t>SCM</t>
        </is>
      </c>
      <c r="N503" s="33" t="n">
        <v>400</v>
      </c>
      <c r="O503" s="33" t="inlineStr">
        <is>
          <t>Free</t>
        </is>
      </c>
      <c r="P503" s="33" t="inlineStr">
        <is>
          <t>400 Free</t>
        </is>
      </c>
      <c r="Q503" s="33" t="inlineStr">
        <is>
          <t>SCM_400_FREE</t>
        </is>
      </c>
      <c r="R503" s="36" t="n">
        <v>228.25</v>
      </c>
      <c r="S503" s="35">
        <f>IF(R503="","",IF(R503&gt;=60,INT(R503/60)&amp;":"&amp;TEXT(MOD(R503,60),"00.00"),TEXT(R503,"0.00")))</f>
        <v/>
      </c>
      <c r="T503" s="52">
        <f>IFERROR((G503-INDEX('01_Swimmers'!$E$5:$E$22,MATCH(B503,'01_Swimmers'!$A$5:$A$22,0)))/'00_Control'!$B$10,"")</f>
        <v/>
      </c>
      <c r="U503" s="35">
        <f>IF(T503="","",INT(T503))</f>
        <v/>
      </c>
      <c r="V503" s="33" t="inlineStr">
        <is>
          <t>NO</t>
        </is>
      </c>
      <c r="W503" s="33" t="inlineStr">
        <is>
          <t>YES</t>
        </is>
      </c>
      <c r="X503" s="33" t="inlineStr">
        <is>
          <t>NO</t>
        </is>
      </c>
      <c r="Y503" s="33" t="n">
        <v>11</v>
      </c>
      <c r="Z503" s="33" t="n">
        <v>4</v>
      </c>
      <c r="AA503" s="33" t="inlineStr">
        <is>
          <t>1</t>
        </is>
      </c>
      <c r="AB503" s="33" t="inlineStr">
        <is>
          <t>https://www.swimcloud.com/results/310056/event/1/?id=130742006#time130742006</t>
        </is>
      </c>
      <c r="AC503" s="33" t="inlineStr">
        <is>
          <t>SwimCloud API v6 2026-10-08</t>
        </is>
      </c>
      <c r="AD503" s="33" t="inlineStr">
        <is>
          <t>David Popovici|2023-10-07|SCM|400|Free|228.25|33ème Mémorial Michel Bally|TIM|False</t>
        </is>
      </c>
      <c r="AE503" s="53">
        <f>G503+L503/1000+ROW()/1000000000</f>
        <v/>
      </c>
      <c r="AF503" s="35">
        <f>IF(C503&lt;&gt;"Grayson Coulter","",COUNTIFS($C$5:$C$2991,"Grayson Coulter",$Q$5:$Q$2991,Q503,$AE$5:$AE$2991,"&lt;="&amp;AE503,$R$5:$R$2991,"&lt;"&amp;R503))</f>
        <v/>
      </c>
      <c r="AG503" s="35">
        <f>IF(OR(C503&lt;&gt;"Grayson Coulter",G503&lt;'00_Control'!$B$7),"",--(AF503&lt;5))</f>
        <v/>
      </c>
      <c r="AH503" s="35">
        <f>IF(OR(C503&lt;&gt;"Grayson Coulter",G503&lt;'00_Control'!$B$7),"",--(AF503&lt;10))</f>
        <v/>
      </c>
      <c r="AI503" s="35">
        <f>IF(AND(C503="Grayson Coulter",G503&gt;='00_Control'!$B$7),"YES","NO")</f>
        <v/>
      </c>
      <c r="AJ503" s="33" t="inlineStr">
        <is>
          <t>OK</t>
        </is>
      </c>
    </row>
    <row r="504">
      <c r="A504" s="33" t="inlineStr">
        <is>
          <t>SM000500</t>
        </is>
      </c>
      <c r="B504" s="33" t="inlineStr">
        <is>
          <t>SW009</t>
        </is>
      </c>
      <c r="C504" s="33" t="inlineStr">
        <is>
          <t>David Popovici</t>
        </is>
      </c>
      <c r="D504" s="33" t="inlineStr">
        <is>
          <t>SwimCloud</t>
        </is>
      </c>
      <c r="E504" s="33" t="inlineStr">
        <is>
          <t>1405298</t>
        </is>
      </c>
      <c r="F504" s="33" t="inlineStr">
        <is>
          <t>130742004</t>
        </is>
      </c>
      <c r="G504" s="51" t="n">
        <v>45207</v>
      </c>
      <c r="H504" s="33" t="inlineStr">
        <is>
          <t>33ème Mémorial Michel Bally</t>
        </is>
      </c>
      <c r="I504" s="33" t="inlineStr">
        <is>
          <t>310056</t>
        </is>
      </c>
      <c r="J504" s="33" t="inlineStr"/>
      <c r="K504" s="33" t="inlineStr">
        <is>
          <t>TIM</t>
        </is>
      </c>
      <c r="L504" s="35">
        <f>IF(K504="FIN",3,IF(OR(K504="SEM",K504="SEMI"),2,IF(OR(K504="PRE",K504="HEAT"),1,IF(V504="YES",4,2))))</f>
        <v/>
      </c>
      <c r="M504" s="33" t="inlineStr">
        <is>
          <t>SCM</t>
        </is>
      </c>
      <c r="N504" s="33" t="n">
        <v>100</v>
      </c>
      <c r="O504" s="33" t="inlineStr">
        <is>
          <t>Free</t>
        </is>
      </c>
      <c r="P504" s="33" t="inlineStr">
        <is>
          <t>100 Free</t>
        </is>
      </c>
      <c r="Q504" s="33" t="inlineStr">
        <is>
          <t>SCM_100_FREE</t>
        </is>
      </c>
      <c r="R504" s="36" t="n">
        <v>47.22</v>
      </c>
      <c r="S504" s="35">
        <f>IF(R504="","",IF(R504&gt;=60,INT(R504/60)&amp;":"&amp;TEXT(MOD(R504,60),"00.00"),TEXT(R504,"0.00")))</f>
        <v/>
      </c>
      <c r="T504" s="52">
        <f>IFERROR((G504-INDEX('01_Swimmers'!$E$5:$E$22,MATCH(B504,'01_Swimmers'!$A$5:$A$22,0)))/'00_Control'!$B$10,"")</f>
        <v/>
      </c>
      <c r="U504" s="35">
        <f>IF(T504="","",INT(T504))</f>
        <v/>
      </c>
      <c r="V504" s="33" t="inlineStr">
        <is>
          <t>NO</t>
        </is>
      </c>
      <c r="W504" s="33" t="inlineStr">
        <is>
          <t>YES</t>
        </is>
      </c>
      <c r="X504" s="33" t="inlineStr">
        <is>
          <t>NO</t>
        </is>
      </c>
      <c r="Y504" s="33" t="n">
        <v>15</v>
      </c>
      <c r="Z504" s="33" t="n">
        <v>4</v>
      </c>
      <c r="AA504" s="33" t="inlineStr">
        <is>
          <t>1</t>
        </is>
      </c>
      <c r="AB504" s="33" t="inlineStr">
        <is>
          <t>https://www.swimcloud.com/results/310056/event/22/?id=130742004#time130742004</t>
        </is>
      </c>
      <c r="AC504" s="33" t="inlineStr">
        <is>
          <t>SwimCloud API v6 2026-10-08</t>
        </is>
      </c>
      <c r="AD504" s="33" t="inlineStr">
        <is>
          <t>David Popovici|2023-10-08|SCM|100|Free|47.22|33ème Mémorial Michel Bally|TIM|False</t>
        </is>
      </c>
      <c r="AE504" s="53">
        <f>G504+L504/1000+ROW()/1000000000</f>
        <v/>
      </c>
      <c r="AF504" s="35">
        <f>IF(C504&lt;&gt;"Grayson Coulter","",COUNTIFS($C$5:$C$2991,"Grayson Coulter",$Q$5:$Q$2991,Q504,$AE$5:$AE$2991,"&lt;="&amp;AE504,$R$5:$R$2991,"&lt;"&amp;R504))</f>
        <v/>
      </c>
      <c r="AG504" s="35">
        <f>IF(OR(C504&lt;&gt;"Grayson Coulter",G504&lt;'00_Control'!$B$7),"",--(AF504&lt;5))</f>
        <v/>
      </c>
      <c r="AH504" s="35">
        <f>IF(OR(C504&lt;&gt;"Grayson Coulter",G504&lt;'00_Control'!$B$7),"",--(AF504&lt;10))</f>
        <v/>
      </c>
      <c r="AI504" s="35">
        <f>IF(AND(C504="Grayson Coulter",G504&gt;='00_Control'!$B$7),"YES","NO")</f>
        <v/>
      </c>
      <c r="AJ504" s="33" t="inlineStr">
        <is>
          <t>OK</t>
        </is>
      </c>
    </row>
    <row r="505">
      <c r="A505" s="33" t="inlineStr">
        <is>
          <t>SM000501</t>
        </is>
      </c>
      <c r="B505" s="33" t="inlineStr">
        <is>
          <t>SW009</t>
        </is>
      </c>
      <c r="C505" s="33" t="inlineStr">
        <is>
          <t>David Popovici</t>
        </is>
      </c>
      <c r="D505" s="33" t="inlineStr">
        <is>
          <t>SwimCloud</t>
        </is>
      </c>
      <c r="E505" s="33" t="inlineStr">
        <is>
          <t>1405298</t>
        </is>
      </c>
      <c r="F505" s="33" t="inlineStr">
        <is>
          <t>108048658</t>
        </is>
      </c>
      <c r="G505" s="51" t="n">
        <v>45226</v>
      </c>
      <c r="H505" s="33" t="inlineStr">
        <is>
          <t>XXXIV Memoriał Marka Petrusewicza</t>
        </is>
      </c>
      <c r="I505" s="33" t="inlineStr">
        <is>
          <t>281894</t>
        </is>
      </c>
      <c r="J505" s="33" t="inlineStr"/>
      <c r="K505" s="33" t="inlineStr">
        <is>
          <t>TIM</t>
        </is>
      </c>
      <c r="L505" s="35">
        <f>IF(K505="FIN",3,IF(OR(K505="SEM",K505="SEMI"),2,IF(OR(K505="PRE",K505="HEAT"),1,IF(V505="YES",4,2))))</f>
        <v/>
      </c>
      <c r="M505" s="33" t="inlineStr">
        <is>
          <t>SCM</t>
        </is>
      </c>
      <c r="N505" s="33" t="n">
        <v>200</v>
      </c>
      <c r="O505" s="33" t="inlineStr">
        <is>
          <t>Free</t>
        </is>
      </c>
      <c r="P505" s="33" t="inlineStr">
        <is>
          <t>200 Free</t>
        </is>
      </c>
      <c r="Q505" s="33" t="inlineStr">
        <is>
          <t>SCM_200_FREE</t>
        </is>
      </c>
      <c r="R505" s="36" t="n">
        <v>104.08</v>
      </c>
      <c r="S505" s="35">
        <f>IF(R505="","",IF(R505&gt;=60,INT(R505/60)&amp;":"&amp;TEXT(MOD(R505,60),"00.00"),TEXT(R505,"0.00")))</f>
        <v/>
      </c>
      <c r="T505" s="52">
        <f>IFERROR((G505-INDEX('01_Swimmers'!$E$5:$E$22,MATCH(B505,'01_Swimmers'!$A$5:$A$22,0)))/'00_Control'!$B$10,"")</f>
        <v/>
      </c>
      <c r="U505" s="35">
        <f>IF(T505="","",INT(T505))</f>
        <v/>
      </c>
      <c r="V505" s="33" t="inlineStr">
        <is>
          <t>NO</t>
        </is>
      </c>
      <c r="W505" s="33" t="inlineStr">
        <is>
          <t>YES</t>
        </is>
      </c>
      <c r="X505" s="33" t="inlineStr">
        <is>
          <t>NO</t>
        </is>
      </c>
      <c r="Y505" s="33" t="n">
        <v>8</v>
      </c>
      <c r="Z505" s="33" t="n">
        <v>4</v>
      </c>
      <c r="AA505" s="33" t="inlineStr">
        <is>
          <t>1</t>
        </is>
      </c>
      <c r="AB505" s="33" t="inlineStr">
        <is>
          <t>https://www.swimcloud.com/results/281894/event/12/?id=108048658#time108048658</t>
        </is>
      </c>
      <c r="AC505" s="33" t="inlineStr">
        <is>
          <t>SwimCloud API v6 2026-10-08</t>
        </is>
      </c>
      <c r="AD505" s="33" t="inlineStr">
        <is>
          <t>David Popovici|2023-10-27|SCM|200|Free|104.08|XXXIV Memoriał Marka Petrusewicza|TIM|False</t>
        </is>
      </c>
      <c r="AE505" s="53">
        <f>G505+L505/1000+ROW()/1000000000</f>
        <v/>
      </c>
      <c r="AF505" s="35">
        <f>IF(C505&lt;&gt;"Grayson Coulter","",COUNTIFS($C$5:$C$2991,"Grayson Coulter",$Q$5:$Q$2991,Q505,$AE$5:$AE$2991,"&lt;="&amp;AE505,$R$5:$R$2991,"&lt;"&amp;R505))</f>
        <v/>
      </c>
      <c r="AG505" s="35">
        <f>IF(OR(C505&lt;&gt;"Grayson Coulter",G505&lt;'00_Control'!$B$7),"",--(AF505&lt;5))</f>
        <v/>
      </c>
      <c r="AH505" s="35">
        <f>IF(OR(C505&lt;&gt;"Grayson Coulter",G505&lt;'00_Control'!$B$7),"",--(AF505&lt;10))</f>
        <v/>
      </c>
      <c r="AI505" s="35">
        <f>IF(AND(C505="Grayson Coulter",G505&gt;='00_Control'!$B$7),"YES","NO")</f>
        <v/>
      </c>
      <c r="AJ505" s="33" t="inlineStr">
        <is>
          <t>OK</t>
        </is>
      </c>
    </row>
    <row r="506">
      <c r="A506" s="33" t="inlineStr">
        <is>
          <t>SM000502</t>
        </is>
      </c>
      <c r="B506" s="33" t="inlineStr">
        <is>
          <t>SW009</t>
        </is>
      </c>
      <c r="C506" s="33" t="inlineStr">
        <is>
          <t>David Popovici</t>
        </is>
      </c>
      <c r="D506" s="33" t="inlineStr">
        <is>
          <t>SwimCloud</t>
        </is>
      </c>
      <c r="E506" s="33" t="inlineStr">
        <is>
          <t>1405298</t>
        </is>
      </c>
      <c r="F506" s="33" t="inlineStr">
        <is>
          <t>111939159</t>
        </is>
      </c>
      <c r="G506" s="51" t="n">
        <v>45268</v>
      </c>
      <c r="H506" s="33" t="inlineStr">
        <is>
          <t>European SC Championships</t>
        </is>
      </c>
      <c r="I506" s="33" t="inlineStr">
        <is>
          <t>267917</t>
        </is>
      </c>
      <c r="J506" s="33" t="inlineStr"/>
      <c r="K506" s="33" t="inlineStr">
        <is>
          <t>PRE</t>
        </is>
      </c>
      <c r="L506" s="35">
        <f>IF(K506="FIN",3,IF(OR(K506="SEM",K506="SEMI"),2,IF(OR(K506="PRE",K506="HEAT"),1,IF(V506="YES",4,2))))</f>
        <v/>
      </c>
      <c r="M506" s="33" t="inlineStr">
        <is>
          <t>SCM</t>
        </is>
      </c>
      <c r="N506" s="33" t="n">
        <v>200</v>
      </c>
      <c r="O506" s="33" t="inlineStr">
        <is>
          <t>Free</t>
        </is>
      </c>
      <c r="P506" s="33" t="inlineStr">
        <is>
          <t>200 Free</t>
        </is>
      </c>
      <c r="Q506" s="33" t="inlineStr">
        <is>
          <t>SCM_200_FREE</t>
        </is>
      </c>
      <c r="R506" s="36" t="n">
        <v>102.39</v>
      </c>
      <c r="S506" s="35">
        <f>IF(R506="","",IF(R506&gt;=60,INT(R506/60)&amp;":"&amp;TEXT(MOD(R506,60),"00.00"),TEXT(R506,"0.00")))</f>
        <v/>
      </c>
      <c r="T506" s="52">
        <f>IFERROR((G506-INDEX('01_Swimmers'!$E$5:$E$22,MATCH(B506,'01_Swimmers'!$A$5:$A$22,0)))/'00_Control'!$B$10,"")</f>
        <v/>
      </c>
      <c r="U506" s="35">
        <f>IF(T506="","",INT(T506))</f>
        <v/>
      </c>
      <c r="V506" s="33" t="inlineStr">
        <is>
          <t>NO</t>
        </is>
      </c>
      <c r="W506" s="33" t="inlineStr">
        <is>
          <t>YES</t>
        </is>
      </c>
      <c r="X506" s="33" t="inlineStr">
        <is>
          <t>NO</t>
        </is>
      </c>
      <c r="Y506" s="33" t="n">
        <v>4</v>
      </c>
      <c r="Z506" s="33" t="n">
        <v>4</v>
      </c>
      <c r="AA506" s="33" t="inlineStr">
        <is>
          <t>3</t>
        </is>
      </c>
      <c r="AB506" s="33" t="inlineStr">
        <is>
          <t>https://www.swimcloud.com/results/267917/event/26/?id=111939159#time111939159</t>
        </is>
      </c>
      <c r="AC506" s="33" t="inlineStr">
        <is>
          <t>SwimCloud API v6 2026-10-08</t>
        </is>
      </c>
      <c r="AD506" s="33" t="inlineStr">
        <is>
          <t>David Popovici|2023-12-08|SCM|200|Free|102.39|European SC Championships|PRE|False</t>
        </is>
      </c>
      <c r="AE506" s="53">
        <f>G506+L506/1000+ROW()/1000000000</f>
        <v/>
      </c>
      <c r="AF506" s="35">
        <f>IF(C506&lt;&gt;"Grayson Coulter","",COUNTIFS($C$5:$C$2991,"Grayson Coulter",$Q$5:$Q$2991,Q506,$AE$5:$AE$2991,"&lt;="&amp;AE506,$R$5:$R$2991,"&lt;"&amp;R506))</f>
        <v/>
      </c>
      <c r="AG506" s="35">
        <f>IF(OR(C506&lt;&gt;"Grayson Coulter",G506&lt;'00_Control'!$B$7),"",--(AF506&lt;5))</f>
        <v/>
      </c>
      <c r="AH506" s="35">
        <f>IF(OR(C506&lt;&gt;"Grayson Coulter",G506&lt;'00_Control'!$B$7),"",--(AF506&lt;10))</f>
        <v/>
      </c>
      <c r="AI506" s="35">
        <f>IF(AND(C506="Grayson Coulter",G506&gt;='00_Control'!$B$7),"YES","NO")</f>
        <v/>
      </c>
      <c r="AJ506" s="33" t="inlineStr">
        <is>
          <t>OK</t>
        </is>
      </c>
    </row>
    <row r="507">
      <c r="A507" s="33" t="inlineStr">
        <is>
          <t>SM000503</t>
        </is>
      </c>
      <c r="B507" s="33" t="inlineStr">
        <is>
          <t>SW009</t>
        </is>
      </c>
      <c r="C507" s="33" t="inlineStr">
        <is>
          <t>David Popovici</t>
        </is>
      </c>
      <c r="D507" s="33" t="inlineStr">
        <is>
          <t>SwimCloud</t>
        </is>
      </c>
      <c r="E507" s="33" t="inlineStr">
        <is>
          <t>1405298</t>
        </is>
      </c>
      <c r="F507" s="33" t="inlineStr">
        <is>
          <t>112223022</t>
        </is>
      </c>
      <c r="G507" s="51" t="n">
        <v>45268</v>
      </c>
      <c r="H507" s="33" t="inlineStr">
        <is>
          <t>European SC Championships</t>
        </is>
      </c>
      <c r="I507" s="33" t="inlineStr">
        <is>
          <t>267917</t>
        </is>
      </c>
      <c r="J507" s="33" t="inlineStr"/>
      <c r="K507" s="33" t="inlineStr">
        <is>
          <t>SEM</t>
        </is>
      </c>
      <c r="L507" s="35">
        <f>IF(K507="FIN",3,IF(OR(K507="SEM",K507="SEMI"),2,IF(OR(K507="PRE",K507="HEAT"),1,IF(V507="YES",4,2))))</f>
        <v/>
      </c>
      <c r="M507" s="33" t="inlineStr">
        <is>
          <t>SCM</t>
        </is>
      </c>
      <c r="N507" s="33" t="n">
        <v>200</v>
      </c>
      <c r="O507" s="33" t="inlineStr">
        <is>
          <t>Free</t>
        </is>
      </c>
      <c r="P507" s="33" t="inlineStr">
        <is>
          <t>200 Free</t>
        </is>
      </c>
      <c r="Q507" s="33" t="inlineStr">
        <is>
          <t>SCM_200_FREE</t>
        </is>
      </c>
      <c r="R507" s="36" t="n">
        <v>102.04</v>
      </c>
      <c r="S507" s="35">
        <f>IF(R507="","",IF(R507&gt;=60,INT(R507/60)&amp;":"&amp;TEXT(MOD(R507,60),"00.00"),TEXT(R507,"0.00")))</f>
        <v/>
      </c>
      <c r="T507" s="52">
        <f>IFERROR((G507-INDEX('01_Swimmers'!$E$5:$E$22,MATCH(B507,'01_Swimmers'!$A$5:$A$22,0)))/'00_Control'!$B$10,"")</f>
        <v/>
      </c>
      <c r="U507" s="35">
        <f>IF(T507="","",INT(T507))</f>
        <v/>
      </c>
      <c r="V507" s="33" t="inlineStr">
        <is>
          <t>NO</t>
        </is>
      </c>
      <c r="W507" s="33" t="inlineStr">
        <is>
          <t>YES</t>
        </is>
      </c>
      <c r="X507" s="33" t="inlineStr">
        <is>
          <t>NO</t>
        </is>
      </c>
      <c r="Y507" s="33" t="n">
        <v>2</v>
      </c>
      <c r="Z507" s="33" t="n">
        <v>5</v>
      </c>
      <c r="AA507" s="33" t="inlineStr">
        <is>
          <t>1</t>
        </is>
      </c>
      <c r="AB507" s="33" t="inlineStr">
        <is>
          <t>https://www.swimcloud.com/results/267917/event/26/?id=112223022#time112223022</t>
        </is>
      </c>
      <c r="AC507" s="33" t="inlineStr">
        <is>
          <t>SwimCloud API v6 2026-10-08</t>
        </is>
      </c>
      <c r="AD507" s="33" t="inlineStr">
        <is>
          <t>David Popovici|2023-12-08|SCM|200|Free|102.04|European SC Championships|SEM|False</t>
        </is>
      </c>
      <c r="AE507" s="53">
        <f>G507+L507/1000+ROW()/1000000000</f>
        <v/>
      </c>
      <c r="AF507" s="35">
        <f>IF(C507&lt;&gt;"Grayson Coulter","",COUNTIFS($C$5:$C$2991,"Grayson Coulter",$Q$5:$Q$2991,Q507,$AE$5:$AE$2991,"&lt;="&amp;AE507,$R$5:$R$2991,"&lt;"&amp;R507))</f>
        <v/>
      </c>
      <c r="AG507" s="35">
        <f>IF(OR(C507&lt;&gt;"Grayson Coulter",G507&lt;'00_Control'!$B$7),"",--(AF507&lt;5))</f>
        <v/>
      </c>
      <c r="AH507" s="35">
        <f>IF(OR(C507&lt;&gt;"Grayson Coulter",G507&lt;'00_Control'!$B$7),"",--(AF507&lt;10))</f>
        <v/>
      </c>
      <c r="AI507" s="35">
        <f>IF(AND(C507="Grayson Coulter",G507&gt;='00_Control'!$B$7),"YES","NO")</f>
        <v/>
      </c>
      <c r="AJ507" s="33" t="inlineStr">
        <is>
          <t>OK</t>
        </is>
      </c>
    </row>
    <row r="508">
      <c r="A508" s="33" t="inlineStr">
        <is>
          <t>SM000504</t>
        </is>
      </c>
      <c r="B508" s="33" t="inlineStr">
        <is>
          <t>SW009</t>
        </is>
      </c>
      <c r="C508" s="33" t="inlineStr">
        <is>
          <t>David Popovici</t>
        </is>
      </c>
      <c r="D508" s="33" t="inlineStr">
        <is>
          <t>SwimCloud</t>
        </is>
      </c>
      <c r="E508" s="33" t="inlineStr">
        <is>
          <t>1405298</t>
        </is>
      </c>
      <c r="F508" s="33" t="inlineStr">
        <is>
          <t>111938827</t>
        </is>
      </c>
      <c r="G508" s="51" t="n">
        <v>45269</v>
      </c>
      <c r="H508" s="33" t="inlineStr">
        <is>
          <t>European SC Championships</t>
        </is>
      </c>
      <c r="I508" s="33" t="inlineStr">
        <is>
          <t>267917</t>
        </is>
      </c>
      <c r="J508" s="33" t="inlineStr"/>
      <c r="K508" s="33" t="inlineStr">
        <is>
          <t>PRE</t>
        </is>
      </c>
      <c r="L508" s="35">
        <f>IF(K508="FIN",3,IF(OR(K508="SEM",K508="SEMI"),2,IF(OR(K508="PRE",K508="HEAT"),1,IF(V508="YES",4,2))))</f>
        <v/>
      </c>
      <c r="M508" s="33" t="inlineStr">
        <is>
          <t>SCM</t>
        </is>
      </c>
      <c r="N508" s="33" t="n">
        <v>100</v>
      </c>
      <c r="O508" s="33" t="inlineStr">
        <is>
          <t>Free</t>
        </is>
      </c>
      <c r="P508" s="33" t="inlineStr">
        <is>
          <t>100 Free</t>
        </is>
      </c>
      <c r="Q508" s="33" t="inlineStr">
        <is>
          <t>SCM_100_FREE</t>
        </is>
      </c>
      <c r="R508" s="36" t="n">
        <v>46.7</v>
      </c>
      <c r="S508" s="35">
        <f>IF(R508="","",IF(R508&gt;=60,INT(R508/60)&amp;":"&amp;TEXT(MOD(R508,60),"00.00"),TEXT(R508,"0.00")))</f>
        <v/>
      </c>
      <c r="T508" s="52">
        <f>IFERROR((G508-INDEX('01_Swimmers'!$E$5:$E$22,MATCH(B508,'01_Swimmers'!$A$5:$A$22,0)))/'00_Control'!$B$10,"")</f>
        <v/>
      </c>
      <c r="U508" s="35">
        <f>IF(T508="","",INT(T508))</f>
        <v/>
      </c>
      <c r="V508" s="33" t="inlineStr">
        <is>
          <t>NO</t>
        </is>
      </c>
      <c r="W508" s="33" t="inlineStr">
        <is>
          <t>YES</t>
        </is>
      </c>
      <c r="X508" s="33" t="inlineStr">
        <is>
          <t>NO</t>
        </is>
      </c>
      <c r="Y508" s="33" t="n">
        <v>4</v>
      </c>
      <c r="Z508" s="33" t="n">
        <v>4</v>
      </c>
      <c r="AA508" s="33" t="inlineStr">
        <is>
          <t>2</t>
        </is>
      </c>
      <c r="AB508" s="33" t="inlineStr">
        <is>
          <t>https://www.swimcloud.com/results/267917/event/35/?id=111938827#time111938827</t>
        </is>
      </c>
      <c r="AC508" s="33" t="inlineStr">
        <is>
          <t>SwimCloud API v6 2026-10-08</t>
        </is>
      </c>
      <c r="AD508" s="33" t="inlineStr">
        <is>
          <t>David Popovici|2023-12-09|SCM|100|Free|46.7|European SC Championships|PRE|False</t>
        </is>
      </c>
      <c r="AE508" s="53">
        <f>G508+L508/1000+ROW()/1000000000</f>
        <v/>
      </c>
      <c r="AF508" s="35">
        <f>IF(C508&lt;&gt;"Grayson Coulter","",COUNTIFS($C$5:$C$2991,"Grayson Coulter",$Q$5:$Q$2991,Q508,$AE$5:$AE$2991,"&lt;="&amp;AE508,$R$5:$R$2991,"&lt;"&amp;R508))</f>
        <v/>
      </c>
      <c r="AG508" s="35">
        <f>IF(OR(C508&lt;&gt;"Grayson Coulter",G508&lt;'00_Control'!$B$7),"",--(AF508&lt;5))</f>
        <v/>
      </c>
      <c r="AH508" s="35">
        <f>IF(OR(C508&lt;&gt;"Grayson Coulter",G508&lt;'00_Control'!$B$7),"",--(AF508&lt;10))</f>
        <v/>
      </c>
      <c r="AI508" s="35">
        <f>IF(AND(C508="Grayson Coulter",G508&gt;='00_Control'!$B$7),"YES","NO")</f>
        <v/>
      </c>
      <c r="AJ508" s="33" t="inlineStr">
        <is>
          <t>OK</t>
        </is>
      </c>
    </row>
    <row r="509">
      <c r="A509" s="33" t="inlineStr">
        <is>
          <t>SM000505</t>
        </is>
      </c>
      <c r="B509" s="33" t="inlineStr">
        <is>
          <t>SW009</t>
        </is>
      </c>
      <c r="C509" s="33" t="inlineStr">
        <is>
          <t>David Popovici</t>
        </is>
      </c>
      <c r="D509" s="33" t="inlineStr">
        <is>
          <t>SwimCloud</t>
        </is>
      </c>
      <c r="E509" s="33" t="inlineStr">
        <is>
          <t>1405298</t>
        </is>
      </c>
      <c r="F509" s="33" t="inlineStr">
        <is>
          <t>112250431</t>
        </is>
      </c>
      <c r="G509" s="51" t="n">
        <v>45269</v>
      </c>
      <c r="H509" s="33" t="inlineStr">
        <is>
          <t>European SC Championships</t>
        </is>
      </c>
      <c r="I509" s="33" t="inlineStr">
        <is>
          <t>267917</t>
        </is>
      </c>
      <c r="J509" s="33" t="inlineStr"/>
      <c r="K509" s="33" t="inlineStr">
        <is>
          <t>SEM</t>
        </is>
      </c>
      <c r="L509" s="35">
        <f>IF(K509="FIN",3,IF(OR(K509="SEM",K509="SEMI"),2,IF(OR(K509="PRE",K509="HEAT"),1,IF(V509="YES",4,2))))</f>
        <v/>
      </c>
      <c r="M509" s="33" t="inlineStr">
        <is>
          <t>SCM</t>
        </is>
      </c>
      <c r="N509" s="33" t="n">
        <v>100</v>
      </c>
      <c r="O509" s="33" t="inlineStr">
        <is>
          <t>Free</t>
        </is>
      </c>
      <c r="P509" s="33" t="inlineStr">
        <is>
          <t>100 Free</t>
        </is>
      </c>
      <c r="Q509" s="33" t="inlineStr">
        <is>
          <t>SCM_100_FREE</t>
        </is>
      </c>
      <c r="R509" s="36" t="n">
        <v>46.48</v>
      </c>
      <c r="S509" s="35">
        <f>IF(R509="","",IF(R509&gt;=60,INT(R509/60)&amp;":"&amp;TEXT(MOD(R509,60),"00.00"),TEXT(R509,"0.00")))</f>
        <v/>
      </c>
      <c r="T509" s="52">
        <f>IFERROR((G509-INDEX('01_Swimmers'!$E$5:$E$22,MATCH(B509,'01_Swimmers'!$A$5:$A$22,0)))/'00_Control'!$B$10,"")</f>
        <v/>
      </c>
      <c r="U509" s="35">
        <f>IF(T509="","",INT(T509))</f>
        <v/>
      </c>
      <c r="V509" s="33" t="inlineStr">
        <is>
          <t>NO</t>
        </is>
      </c>
      <c r="W509" s="33" t="inlineStr">
        <is>
          <t>YES</t>
        </is>
      </c>
      <c r="X509" s="33" t="inlineStr">
        <is>
          <t>NO</t>
        </is>
      </c>
      <c r="Y509" s="33" t="n">
        <v>1</v>
      </c>
      <c r="Z509" s="33" t="n">
        <v>4</v>
      </c>
      <c r="AA509" s="33" t="inlineStr">
        <is>
          <t>6</t>
        </is>
      </c>
      <c r="AB509" s="33" t="inlineStr">
        <is>
          <t>https://www.swimcloud.com/results/267917/event/35/?id=112250431#time112250431</t>
        </is>
      </c>
      <c r="AC509" s="33" t="inlineStr">
        <is>
          <t>SwimCloud API v6 2026-10-08</t>
        </is>
      </c>
      <c r="AD509" s="33" t="inlineStr">
        <is>
          <t>David Popovici|2023-12-09|SCM|100|Free|46.48|European SC Championships|SEM|False</t>
        </is>
      </c>
      <c r="AE509" s="53">
        <f>G509+L509/1000+ROW()/1000000000</f>
        <v/>
      </c>
      <c r="AF509" s="35">
        <f>IF(C509&lt;&gt;"Grayson Coulter","",COUNTIFS($C$5:$C$2991,"Grayson Coulter",$Q$5:$Q$2991,Q509,$AE$5:$AE$2991,"&lt;="&amp;AE509,$R$5:$R$2991,"&lt;"&amp;R509))</f>
        <v/>
      </c>
      <c r="AG509" s="35">
        <f>IF(OR(C509&lt;&gt;"Grayson Coulter",G509&lt;'00_Control'!$B$7),"",--(AF509&lt;5))</f>
        <v/>
      </c>
      <c r="AH509" s="35">
        <f>IF(OR(C509&lt;&gt;"Grayson Coulter",G509&lt;'00_Control'!$B$7),"",--(AF509&lt;10))</f>
        <v/>
      </c>
      <c r="AI509" s="35">
        <f>IF(AND(C509="Grayson Coulter",G509&gt;='00_Control'!$B$7),"YES","NO")</f>
        <v/>
      </c>
      <c r="AJ509" s="33" t="inlineStr">
        <is>
          <t>OK</t>
        </is>
      </c>
    </row>
    <row r="510">
      <c r="A510" s="33" t="inlineStr">
        <is>
          <t>SM000506</t>
        </is>
      </c>
      <c r="B510" s="33" t="inlineStr">
        <is>
          <t>SW009</t>
        </is>
      </c>
      <c r="C510" s="33" t="inlineStr">
        <is>
          <t>David Popovici</t>
        </is>
      </c>
      <c r="D510" s="33" t="inlineStr">
        <is>
          <t>SwimCloud</t>
        </is>
      </c>
      <c r="E510" s="33" t="inlineStr">
        <is>
          <t>1405298</t>
        </is>
      </c>
      <c r="F510" s="33" t="inlineStr">
        <is>
          <t>112250426</t>
        </is>
      </c>
      <c r="G510" s="51" t="n">
        <v>45269</v>
      </c>
      <c r="H510" s="33" t="inlineStr">
        <is>
          <t>European SC Championships</t>
        </is>
      </c>
      <c r="I510" s="33" t="inlineStr">
        <is>
          <t>267917</t>
        </is>
      </c>
      <c r="J510" s="33" t="inlineStr"/>
      <c r="K510" s="33" t="inlineStr">
        <is>
          <t>FIN</t>
        </is>
      </c>
      <c r="L510" s="35">
        <f>IF(K510="FIN",3,IF(OR(K510="SEM",K510="SEMI"),2,IF(OR(K510="PRE",K510="HEAT"),1,IF(V510="YES",4,2))))</f>
        <v/>
      </c>
      <c r="M510" s="33" t="inlineStr">
        <is>
          <t>SCM</t>
        </is>
      </c>
      <c r="N510" s="33" t="n">
        <v>200</v>
      </c>
      <c r="O510" s="33" t="inlineStr">
        <is>
          <t>Free</t>
        </is>
      </c>
      <c r="P510" s="33" t="inlineStr">
        <is>
          <t>200 Free</t>
        </is>
      </c>
      <c r="Q510" s="33" t="inlineStr">
        <is>
          <t>SCM_200_FREE</t>
        </is>
      </c>
      <c r="R510" s="36" t="n">
        <v>101.52</v>
      </c>
      <c r="S510" s="35">
        <f>IF(R510="","",IF(R510&gt;=60,INT(R510/60)&amp;":"&amp;TEXT(MOD(R510,60),"00.00"),TEXT(R510,"0.00")))</f>
        <v/>
      </c>
      <c r="T510" s="52">
        <f>IFERROR((G510-INDEX('01_Swimmers'!$E$5:$E$22,MATCH(B510,'01_Swimmers'!$A$5:$A$22,0)))/'00_Control'!$B$10,"")</f>
        <v/>
      </c>
      <c r="U510" s="35">
        <f>IF(T510="","",INT(T510))</f>
        <v/>
      </c>
      <c r="V510" s="33" t="inlineStr">
        <is>
          <t>NO</t>
        </is>
      </c>
      <c r="W510" s="33" t="inlineStr">
        <is>
          <t>YES</t>
        </is>
      </c>
      <c r="X510" s="33" t="inlineStr">
        <is>
          <t>NO</t>
        </is>
      </c>
      <c r="Y510" s="33" t="n">
        <v>1</v>
      </c>
      <c r="Z510" s="33" t="n">
        <v>4</v>
      </c>
      <c r="AA510" s="33" t="inlineStr">
        <is>
          <t>4</t>
        </is>
      </c>
      <c r="AB510" s="33" t="inlineStr">
        <is>
          <t>https://www.swimcloud.com/results/267917/event/26/?id=112250426#time112250426</t>
        </is>
      </c>
      <c r="AC510" s="33" t="inlineStr">
        <is>
          <t>SwimCloud API v6 2026-10-08</t>
        </is>
      </c>
      <c r="AD510" s="33" t="inlineStr">
        <is>
          <t>David Popovici|2023-12-09|SCM|200|Free|101.52|European SC Championships|FIN|False</t>
        </is>
      </c>
      <c r="AE510" s="53">
        <f>G510+L510/1000+ROW()/1000000000</f>
        <v/>
      </c>
      <c r="AF510" s="35">
        <f>IF(C510&lt;&gt;"Grayson Coulter","",COUNTIFS($C$5:$C$2991,"Grayson Coulter",$Q$5:$Q$2991,Q510,$AE$5:$AE$2991,"&lt;="&amp;AE510,$R$5:$R$2991,"&lt;"&amp;R510))</f>
        <v/>
      </c>
      <c r="AG510" s="35">
        <f>IF(OR(C510&lt;&gt;"Grayson Coulter",G510&lt;'00_Control'!$B$7),"",--(AF510&lt;5))</f>
        <v/>
      </c>
      <c r="AH510" s="35">
        <f>IF(OR(C510&lt;&gt;"Grayson Coulter",G510&lt;'00_Control'!$B$7),"",--(AF510&lt;10))</f>
        <v/>
      </c>
      <c r="AI510" s="35">
        <f>IF(AND(C510="Grayson Coulter",G510&gt;='00_Control'!$B$7),"YES","NO")</f>
        <v/>
      </c>
      <c r="AJ510" s="33" t="inlineStr">
        <is>
          <t>OK</t>
        </is>
      </c>
    </row>
    <row r="511">
      <c r="A511" s="33" t="inlineStr">
        <is>
          <t>SM000507</t>
        </is>
      </c>
      <c r="B511" s="33" t="inlineStr">
        <is>
          <t>SW009</t>
        </is>
      </c>
      <c r="C511" s="33" t="inlineStr">
        <is>
          <t>David Popovici</t>
        </is>
      </c>
      <c r="D511" s="33" t="inlineStr">
        <is>
          <t>SwimCloud</t>
        </is>
      </c>
      <c r="E511" s="33" t="inlineStr">
        <is>
          <t>1405298</t>
        </is>
      </c>
      <c r="F511" s="33" t="inlineStr">
        <is>
          <t>112389329</t>
        </is>
      </c>
      <c r="G511" s="51" t="n">
        <v>45270</v>
      </c>
      <c r="H511" s="33" t="inlineStr">
        <is>
          <t>European SC Championships</t>
        </is>
      </c>
      <c r="I511" s="33" t="inlineStr">
        <is>
          <t>267917</t>
        </is>
      </c>
      <c r="J511" s="33" t="inlineStr"/>
      <c r="K511" s="33" t="inlineStr">
        <is>
          <t>FIN</t>
        </is>
      </c>
      <c r="L511" s="35">
        <f>IF(K511="FIN",3,IF(OR(K511="SEM",K511="SEMI"),2,IF(OR(K511="PRE",K511="HEAT"),1,IF(V511="YES",4,2))))</f>
        <v/>
      </c>
      <c r="M511" s="33" t="inlineStr">
        <is>
          <t>SCM</t>
        </is>
      </c>
      <c r="N511" s="33" t="n">
        <v>100</v>
      </c>
      <c r="O511" s="33" t="inlineStr">
        <is>
          <t>Free</t>
        </is>
      </c>
      <c r="P511" s="33" t="inlineStr">
        <is>
          <t>100 Free</t>
        </is>
      </c>
      <c r="Q511" s="33" t="inlineStr">
        <is>
          <t>SCM_100_FREE</t>
        </is>
      </c>
      <c r="R511" s="36" t="n">
        <v>46.05</v>
      </c>
      <c r="S511" s="35">
        <f>IF(R511="","",IF(R511&gt;=60,INT(R511/60)&amp;":"&amp;TEXT(MOD(R511,60),"00.00"),TEXT(R511,"0.00")))</f>
        <v/>
      </c>
      <c r="T511" s="52">
        <f>IFERROR((G511-INDEX('01_Swimmers'!$E$5:$E$22,MATCH(B511,'01_Swimmers'!$A$5:$A$22,0)))/'00_Control'!$B$10,"")</f>
        <v/>
      </c>
      <c r="U511" s="35">
        <f>IF(T511="","",INT(T511))</f>
        <v/>
      </c>
      <c r="V511" s="33" t="inlineStr">
        <is>
          <t>NO</t>
        </is>
      </c>
      <c r="W511" s="33" t="inlineStr">
        <is>
          <t>YES</t>
        </is>
      </c>
      <c r="X511" s="33" t="inlineStr">
        <is>
          <t>NO</t>
        </is>
      </c>
      <c r="Y511" s="33" t="n">
        <v>1</v>
      </c>
      <c r="Z511" s="33" t="n">
        <v>7</v>
      </c>
      <c r="AA511" s="33" t="inlineStr">
        <is>
          <t>3</t>
        </is>
      </c>
      <c r="AB511" s="33" t="inlineStr">
        <is>
          <t>https://www.swimcloud.com/results/267917/event/35/?id=112389329#time112389329</t>
        </is>
      </c>
      <c r="AC511" s="33" t="inlineStr">
        <is>
          <t>SwimCloud API v6 2026-10-08</t>
        </is>
      </c>
      <c r="AD511" s="33" t="inlineStr">
        <is>
          <t>David Popovici|2023-12-10|SCM|100|Free|46.05|European SC Championships|FIN|False</t>
        </is>
      </c>
      <c r="AE511" s="53">
        <f>G511+L511/1000+ROW()/1000000000</f>
        <v/>
      </c>
      <c r="AF511" s="35">
        <f>IF(C511&lt;&gt;"Grayson Coulter","",COUNTIFS($C$5:$C$2991,"Grayson Coulter",$Q$5:$Q$2991,Q511,$AE$5:$AE$2991,"&lt;="&amp;AE511,$R$5:$R$2991,"&lt;"&amp;R511))</f>
        <v/>
      </c>
      <c r="AG511" s="35">
        <f>IF(OR(C511&lt;&gt;"Grayson Coulter",G511&lt;'00_Control'!$B$7),"",--(AF511&lt;5))</f>
        <v/>
      </c>
      <c r="AH511" s="35">
        <f>IF(OR(C511&lt;&gt;"Grayson Coulter",G511&lt;'00_Control'!$B$7),"",--(AF511&lt;10))</f>
        <v/>
      </c>
      <c r="AI511" s="35">
        <f>IF(AND(C511="Grayson Coulter",G511&gt;='00_Control'!$B$7),"YES","NO")</f>
        <v/>
      </c>
      <c r="AJ511" s="33" t="inlineStr">
        <is>
          <t>OK</t>
        </is>
      </c>
    </row>
    <row r="512">
      <c r="A512" s="33" t="inlineStr">
        <is>
          <t>SM000508</t>
        </is>
      </c>
      <c r="B512" s="33" t="inlineStr">
        <is>
          <t>SW009</t>
        </is>
      </c>
      <c r="C512" s="33" t="inlineStr">
        <is>
          <t>David Popovici</t>
        </is>
      </c>
      <c r="D512" s="33" t="inlineStr">
        <is>
          <t>SwimCloud</t>
        </is>
      </c>
      <c r="E512" s="33" t="inlineStr">
        <is>
          <t>1405298</t>
        </is>
      </c>
      <c r="F512" s="33" t="inlineStr">
        <is>
          <t>118213369</t>
        </is>
      </c>
      <c r="G512" s="51" t="n">
        <v>45318</v>
      </c>
      <c r="H512" s="33" t="inlineStr">
        <is>
          <t>24. Luxembourg Euro Meet</t>
        </is>
      </c>
      <c r="I512" s="33" t="inlineStr">
        <is>
          <t>289937</t>
        </is>
      </c>
      <c r="J512" s="33" t="inlineStr"/>
      <c r="K512" s="33" t="inlineStr">
        <is>
          <t>PRE</t>
        </is>
      </c>
      <c r="L512" s="35">
        <f>IF(K512="FIN",3,IF(OR(K512="SEM",K512="SEMI"),2,IF(OR(K512="PRE",K512="HEAT"),1,IF(V512="YES",4,2))))</f>
        <v/>
      </c>
      <c r="M512" s="33" t="inlineStr">
        <is>
          <t>LCM</t>
        </is>
      </c>
      <c r="N512" s="33" t="n">
        <v>200</v>
      </c>
      <c r="O512" s="33" t="inlineStr">
        <is>
          <t>Free</t>
        </is>
      </c>
      <c r="P512" s="33" t="inlineStr">
        <is>
          <t>200 Free</t>
        </is>
      </c>
      <c r="Q512" s="33" t="inlineStr">
        <is>
          <t>LCM_200_FREE</t>
        </is>
      </c>
      <c r="R512" s="36" t="n">
        <v>108.17</v>
      </c>
      <c r="S512" s="35">
        <f>IF(R512="","",IF(R512&gt;=60,INT(R512/60)&amp;":"&amp;TEXT(MOD(R512,60),"00.00"),TEXT(R512,"0.00")))</f>
        <v/>
      </c>
      <c r="T512" s="52">
        <f>IFERROR((G512-INDEX('01_Swimmers'!$E$5:$E$22,MATCH(B512,'01_Swimmers'!$A$5:$A$22,0)))/'00_Control'!$B$10,"")</f>
        <v/>
      </c>
      <c r="U512" s="35">
        <f>IF(T512="","",INT(T512))</f>
        <v/>
      </c>
      <c r="V512" s="33" t="inlineStr">
        <is>
          <t>NO</t>
        </is>
      </c>
      <c r="W512" s="33" t="inlineStr">
        <is>
          <t>YES</t>
        </is>
      </c>
      <c r="X512" s="33" t="inlineStr">
        <is>
          <t>NO</t>
        </is>
      </c>
      <c r="Y512" s="33" t="n">
        <v>13</v>
      </c>
      <c r="Z512" s="33" t="n">
        <v>4</v>
      </c>
      <c r="AA512" s="33" t="inlineStr">
        <is>
          <t>1</t>
        </is>
      </c>
      <c r="AB512" s="33" t="inlineStr">
        <is>
          <t>https://www.swimcloud.com/results/289937/event/16/?id=118213369#time118213369</t>
        </is>
      </c>
      <c r="AC512" s="33" t="inlineStr">
        <is>
          <t>SwimCloud API v6 2026-10-08</t>
        </is>
      </c>
      <c r="AD512" s="33" t="inlineStr">
        <is>
          <t>David Popovici|2024-01-27|LCM|200|Free|108.17|24. Luxembourg Euro Meet|PRE|False</t>
        </is>
      </c>
      <c r="AE512" s="53">
        <f>G512+L512/1000+ROW()/1000000000</f>
        <v/>
      </c>
      <c r="AF512" s="35">
        <f>IF(C512&lt;&gt;"Grayson Coulter","",COUNTIFS($C$5:$C$2991,"Grayson Coulter",$Q$5:$Q$2991,Q512,$AE$5:$AE$2991,"&lt;="&amp;AE512,$R$5:$R$2991,"&lt;"&amp;R512))</f>
        <v/>
      </c>
      <c r="AG512" s="35">
        <f>IF(OR(C512&lt;&gt;"Grayson Coulter",G512&lt;'00_Control'!$B$7),"",--(AF512&lt;5))</f>
        <v/>
      </c>
      <c r="AH512" s="35">
        <f>IF(OR(C512&lt;&gt;"Grayson Coulter",G512&lt;'00_Control'!$B$7),"",--(AF512&lt;10))</f>
        <v/>
      </c>
      <c r="AI512" s="35">
        <f>IF(AND(C512="Grayson Coulter",G512&gt;='00_Control'!$B$7),"YES","NO")</f>
        <v/>
      </c>
      <c r="AJ512" s="33" t="inlineStr">
        <is>
          <t>OK</t>
        </is>
      </c>
    </row>
    <row r="513">
      <c r="A513" s="33" t="inlineStr">
        <is>
          <t>SM000509</t>
        </is>
      </c>
      <c r="B513" s="33" t="inlineStr">
        <is>
          <t>SW009</t>
        </is>
      </c>
      <c r="C513" s="33" t="inlineStr">
        <is>
          <t>David Popovici</t>
        </is>
      </c>
      <c r="D513" s="33" t="inlineStr">
        <is>
          <t>SwimCloud</t>
        </is>
      </c>
      <c r="E513" s="33" t="inlineStr">
        <is>
          <t>1405298</t>
        </is>
      </c>
      <c r="F513" s="33" t="inlineStr">
        <is>
          <t>118213373</t>
        </is>
      </c>
      <c r="G513" s="51" t="n">
        <v>45318</v>
      </c>
      <c r="H513" s="33" t="inlineStr">
        <is>
          <t>24. Luxembourg Euro Meet</t>
        </is>
      </c>
      <c r="I513" s="33" t="inlineStr">
        <is>
          <t>289937</t>
        </is>
      </c>
      <c r="J513" s="33" t="inlineStr"/>
      <c r="K513" s="33" t="inlineStr">
        <is>
          <t>FIN</t>
        </is>
      </c>
      <c r="L513" s="35">
        <f>IF(K513="FIN",3,IF(OR(K513="SEM",K513="SEMI"),2,IF(OR(K513="PRE",K513="HEAT"),1,IF(V513="YES",4,2))))</f>
        <v/>
      </c>
      <c r="M513" s="33" t="inlineStr">
        <is>
          <t>LCM</t>
        </is>
      </c>
      <c r="N513" s="33" t="n">
        <v>200</v>
      </c>
      <c r="O513" s="33" t="inlineStr">
        <is>
          <t>Free</t>
        </is>
      </c>
      <c r="P513" s="33" t="inlineStr">
        <is>
          <t>200 Free</t>
        </is>
      </c>
      <c r="Q513" s="33" t="inlineStr">
        <is>
          <t>LCM_200_FREE</t>
        </is>
      </c>
      <c r="R513" s="36" t="n">
        <v>106.19</v>
      </c>
      <c r="S513" s="35">
        <f>IF(R513="","",IF(R513&gt;=60,INT(R513/60)&amp;":"&amp;TEXT(MOD(R513,60),"00.00"),TEXT(R513,"0.00")))</f>
        <v/>
      </c>
      <c r="T513" s="52">
        <f>IFERROR((G513-INDEX('01_Swimmers'!$E$5:$E$22,MATCH(B513,'01_Swimmers'!$A$5:$A$22,0)))/'00_Control'!$B$10,"")</f>
        <v/>
      </c>
      <c r="U513" s="35">
        <f>IF(T513="","",INT(T513))</f>
        <v/>
      </c>
      <c r="V513" s="33" t="inlineStr">
        <is>
          <t>NO</t>
        </is>
      </c>
      <c r="W513" s="33" t="inlineStr">
        <is>
          <t>YES</t>
        </is>
      </c>
      <c r="X513" s="33" t="inlineStr">
        <is>
          <t>NO</t>
        </is>
      </c>
      <c r="Y513" s="33" t="n">
        <v>2</v>
      </c>
      <c r="Z513" s="33" t="n">
        <v>4</v>
      </c>
      <c r="AA513" s="33" t="inlineStr">
        <is>
          <t>1</t>
        </is>
      </c>
      <c r="AB513" s="33" t="inlineStr">
        <is>
          <t>https://www.swimcloud.com/results/289937/event/16/?id=118213373#time118213373</t>
        </is>
      </c>
      <c r="AC513" s="33" t="inlineStr">
        <is>
          <t>SwimCloud API v6 2026-10-08</t>
        </is>
      </c>
      <c r="AD513" s="33" t="inlineStr">
        <is>
          <t>David Popovici|2024-01-27|LCM|200|Free|106.19|24. Luxembourg Euro Meet|FIN|False</t>
        </is>
      </c>
      <c r="AE513" s="53">
        <f>G513+L513/1000+ROW()/1000000000</f>
        <v/>
      </c>
      <c r="AF513" s="35">
        <f>IF(C513&lt;&gt;"Grayson Coulter","",COUNTIFS($C$5:$C$2991,"Grayson Coulter",$Q$5:$Q$2991,Q513,$AE$5:$AE$2991,"&lt;="&amp;AE513,$R$5:$R$2991,"&lt;"&amp;R513))</f>
        <v/>
      </c>
      <c r="AG513" s="35">
        <f>IF(OR(C513&lt;&gt;"Grayson Coulter",G513&lt;'00_Control'!$B$7),"",--(AF513&lt;5))</f>
        <v/>
      </c>
      <c r="AH513" s="35">
        <f>IF(OR(C513&lt;&gt;"Grayson Coulter",G513&lt;'00_Control'!$B$7),"",--(AF513&lt;10))</f>
        <v/>
      </c>
      <c r="AI513" s="35">
        <f>IF(AND(C513="Grayson Coulter",G513&gt;='00_Control'!$B$7),"YES","NO")</f>
        <v/>
      </c>
      <c r="AJ513" s="33" t="inlineStr">
        <is>
          <t>OK</t>
        </is>
      </c>
    </row>
    <row r="514">
      <c r="A514" s="33" t="inlineStr">
        <is>
          <t>SM000510</t>
        </is>
      </c>
      <c r="B514" s="33" t="inlineStr">
        <is>
          <t>SW009</t>
        </is>
      </c>
      <c r="C514" s="33" t="inlineStr">
        <is>
          <t>David Popovici</t>
        </is>
      </c>
      <c r="D514" s="33" t="inlineStr">
        <is>
          <t>SwimCloud</t>
        </is>
      </c>
      <c r="E514" s="33" t="inlineStr">
        <is>
          <t>1405298</t>
        </is>
      </c>
      <c r="F514" s="33" t="inlineStr">
        <is>
          <t>118213371</t>
        </is>
      </c>
      <c r="G514" s="51" t="n">
        <v>45319</v>
      </c>
      <c r="H514" s="33" t="inlineStr">
        <is>
          <t>24. Luxembourg Euro Meet</t>
        </is>
      </c>
      <c r="I514" s="33" t="inlineStr">
        <is>
          <t>289937</t>
        </is>
      </c>
      <c r="J514" s="33" t="inlineStr"/>
      <c r="K514" s="33" t="inlineStr">
        <is>
          <t>PRE</t>
        </is>
      </c>
      <c r="L514" s="35">
        <f>IF(K514="FIN",3,IF(OR(K514="SEM",K514="SEMI"),2,IF(OR(K514="PRE",K514="HEAT"),1,IF(V514="YES",4,2))))</f>
        <v/>
      </c>
      <c r="M514" s="33" t="inlineStr">
        <is>
          <t>LCM</t>
        </is>
      </c>
      <c r="N514" s="33" t="n">
        <v>100</v>
      </c>
      <c r="O514" s="33" t="inlineStr">
        <is>
          <t>Free</t>
        </is>
      </c>
      <c r="P514" s="33" t="inlineStr">
        <is>
          <t>100 Free</t>
        </is>
      </c>
      <c r="Q514" s="33" t="inlineStr">
        <is>
          <t>LCM_100_FREE</t>
        </is>
      </c>
      <c r="R514" s="36" t="n">
        <v>48.43</v>
      </c>
      <c r="S514" s="35">
        <f>IF(R514="","",IF(R514&gt;=60,INT(R514/60)&amp;":"&amp;TEXT(MOD(R514,60),"00.00"),TEXT(R514,"0.00")))</f>
        <v/>
      </c>
      <c r="T514" s="52">
        <f>IFERROR((G514-INDEX('01_Swimmers'!$E$5:$E$22,MATCH(B514,'01_Swimmers'!$A$5:$A$22,0)))/'00_Control'!$B$10,"")</f>
        <v/>
      </c>
      <c r="U514" s="35">
        <f>IF(T514="","",INT(T514))</f>
        <v/>
      </c>
      <c r="V514" s="33" t="inlineStr">
        <is>
          <t>NO</t>
        </is>
      </c>
      <c r="W514" s="33" t="inlineStr">
        <is>
          <t>YES</t>
        </is>
      </c>
      <c r="X514" s="33" t="inlineStr">
        <is>
          <t>NO</t>
        </is>
      </c>
      <c r="Y514" s="33" t="n">
        <v>15</v>
      </c>
      <c r="Z514" s="33" t="n">
        <v>4</v>
      </c>
      <c r="AA514" s="33" t="inlineStr">
        <is>
          <t>1</t>
        </is>
      </c>
      <c r="AB514" s="33" t="inlineStr">
        <is>
          <t>https://www.swimcloud.com/results/289937/event/35/?id=118213371#time118213371</t>
        </is>
      </c>
      <c r="AC514" s="33" t="inlineStr">
        <is>
          <t>SwimCloud API v6 2026-10-08</t>
        </is>
      </c>
      <c r="AD514" s="33" t="inlineStr">
        <is>
          <t>David Popovici|2024-01-28|LCM|100|Free|48.43|24. Luxembourg Euro Meet|PRE|False</t>
        </is>
      </c>
      <c r="AE514" s="53">
        <f>G514+L514/1000+ROW()/1000000000</f>
        <v/>
      </c>
      <c r="AF514" s="35">
        <f>IF(C514&lt;&gt;"Grayson Coulter","",COUNTIFS($C$5:$C$2991,"Grayson Coulter",$Q$5:$Q$2991,Q514,$AE$5:$AE$2991,"&lt;="&amp;AE514,$R$5:$R$2991,"&lt;"&amp;R514))</f>
        <v/>
      </c>
      <c r="AG514" s="35">
        <f>IF(OR(C514&lt;&gt;"Grayson Coulter",G514&lt;'00_Control'!$B$7),"",--(AF514&lt;5))</f>
        <v/>
      </c>
      <c r="AH514" s="35">
        <f>IF(OR(C514&lt;&gt;"Grayson Coulter",G514&lt;'00_Control'!$B$7),"",--(AF514&lt;10))</f>
        <v/>
      </c>
      <c r="AI514" s="35">
        <f>IF(AND(C514="Grayson Coulter",G514&gt;='00_Control'!$B$7),"YES","NO")</f>
        <v/>
      </c>
      <c r="AJ514" s="33" t="inlineStr">
        <is>
          <t>OK</t>
        </is>
      </c>
    </row>
    <row r="515">
      <c r="A515" s="33" t="inlineStr">
        <is>
          <t>SM000511</t>
        </is>
      </c>
      <c r="B515" s="33" t="inlineStr">
        <is>
          <t>SW009</t>
        </is>
      </c>
      <c r="C515" s="33" t="inlineStr">
        <is>
          <t>David Popovici</t>
        </is>
      </c>
      <c r="D515" s="33" t="inlineStr">
        <is>
          <t>SwimCloud</t>
        </is>
      </c>
      <c r="E515" s="33" t="inlineStr">
        <is>
          <t>1405298</t>
        </is>
      </c>
      <c r="F515" s="33" t="inlineStr">
        <is>
          <t>118213375</t>
        </is>
      </c>
      <c r="G515" s="51" t="n">
        <v>45319</v>
      </c>
      <c r="H515" s="33" t="inlineStr">
        <is>
          <t>24. Luxembourg Euro Meet</t>
        </is>
      </c>
      <c r="I515" s="33" t="inlineStr">
        <is>
          <t>289937</t>
        </is>
      </c>
      <c r="J515" s="33" t="inlineStr"/>
      <c r="K515" s="33" t="inlineStr">
        <is>
          <t>FIN</t>
        </is>
      </c>
      <c r="L515" s="35">
        <f>IF(K515="FIN",3,IF(OR(K515="SEM",K515="SEMI"),2,IF(OR(K515="PRE",K515="HEAT"),1,IF(V515="YES",4,2))))</f>
        <v/>
      </c>
      <c r="M515" s="33" t="inlineStr">
        <is>
          <t>LCM</t>
        </is>
      </c>
      <c r="N515" s="33" t="n">
        <v>100</v>
      </c>
      <c r="O515" s="33" t="inlineStr">
        <is>
          <t>Free</t>
        </is>
      </c>
      <c r="P515" s="33" t="inlineStr">
        <is>
          <t>100 Free</t>
        </is>
      </c>
      <c r="Q515" s="33" t="inlineStr">
        <is>
          <t>LCM_100_FREE</t>
        </is>
      </c>
      <c r="R515" s="36" t="n">
        <v>48.01</v>
      </c>
      <c r="S515" s="35">
        <f>IF(R515="","",IF(R515&gt;=60,INT(R515/60)&amp;":"&amp;TEXT(MOD(R515,60),"00.00"),TEXT(R515,"0.00")))</f>
        <v/>
      </c>
      <c r="T515" s="52">
        <f>IFERROR((G515-INDEX('01_Swimmers'!$E$5:$E$22,MATCH(B515,'01_Swimmers'!$A$5:$A$22,0)))/'00_Control'!$B$10,"")</f>
        <v/>
      </c>
      <c r="U515" s="35">
        <f>IF(T515="","",INT(T515))</f>
        <v/>
      </c>
      <c r="V515" s="33" t="inlineStr">
        <is>
          <t>NO</t>
        </is>
      </c>
      <c r="W515" s="33" t="inlineStr">
        <is>
          <t>YES</t>
        </is>
      </c>
      <c r="X515" s="33" t="inlineStr">
        <is>
          <t>NO</t>
        </is>
      </c>
      <c r="Y515" s="33" t="n">
        <v>2</v>
      </c>
      <c r="Z515" s="33" t="n">
        <v>4</v>
      </c>
      <c r="AA515" s="33" t="inlineStr">
        <is>
          <t>1</t>
        </is>
      </c>
      <c r="AB515" s="33" t="inlineStr">
        <is>
          <t>https://www.swimcloud.com/results/289937/event/35/?id=118213375#time118213375</t>
        </is>
      </c>
      <c r="AC515" s="33" t="inlineStr">
        <is>
          <t>SwimCloud API v6 2026-10-08</t>
        </is>
      </c>
      <c r="AD515" s="33" t="inlineStr">
        <is>
          <t>David Popovici|2024-01-28|LCM|100|Free|48.01|24. Luxembourg Euro Meet|FIN|False</t>
        </is>
      </c>
      <c r="AE515" s="53">
        <f>G515+L515/1000+ROW()/1000000000</f>
        <v/>
      </c>
      <c r="AF515" s="35">
        <f>IF(C515&lt;&gt;"Grayson Coulter","",COUNTIFS($C$5:$C$2991,"Grayson Coulter",$Q$5:$Q$2991,Q515,$AE$5:$AE$2991,"&lt;="&amp;AE515,$R$5:$R$2991,"&lt;"&amp;R515))</f>
        <v/>
      </c>
      <c r="AG515" s="35">
        <f>IF(OR(C515&lt;&gt;"Grayson Coulter",G515&lt;'00_Control'!$B$7),"",--(AF515&lt;5))</f>
        <v/>
      </c>
      <c r="AH515" s="35">
        <f>IF(OR(C515&lt;&gt;"Grayson Coulter",G515&lt;'00_Control'!$B$7),"",--(AF515&lt;10))</f>
        <v/>
      </c>
      <c r="AI515" s="35">
        <f>IF(AND(C515="Grayson Coulter",G515&gt;='00_Control'!$B$7),"YES","NO")</f>
        <v/>
      </c>
      <c r="AJ515" s="33" t="inlineStr">
        <is>
          <t>OK</t>
        </is>
      </c>
    </row>
    <row r="516">
      <c r="A516" s="33" t="inlineStr">
        <is>
          <t>SM000512</t>
        </is>
      </c>
      <c r="B516" s="33" t="inlineStr">
        <is>
          <t>SW009</t>
        </is>
      </c>
      <c r="C516" s="33" t="inlineStr">
        <is>
          <t>David Popovici</t>
        </is>
      </c>
      <c r="D516" s="33" t="inlineStr">
        <is>
          <t>SwimCloud</t>
        </is>
      </c>
      <c r="E516" s="33" t="inlineStr">
        <is>
          <t>1405298</t>
        </is>
      </c>
      <c r="F516" s="33" t="inlineStr">
        <is>
          <t>123758036</t>
        </is>
      </c>
      <c r="G516" s="51" t="n">
        <v>45374</v>
      </c>
      <c r="H516" s="33" t="inlineStr">
        <is>
          <t>Antwerp Diamond Speedo Race</t>
        </is>
      </c>
      <c r="I516" s="33" t="inlineStr">
        <is>
          <t>301101</t>
        </is>
      </c>
      <c r="J516" s="33" t="inlineStr"/>
      <c r="K516" s="33" t="inlineStr">
        <is>
          <t>PRE</t>
        </is>
      </c>
      <c r="L516" s="35">
        <f>IF(K516="FIN",3,IF(OR(K516="SEM",K516="SEMI"),2,IF(OR(K516="PRE",K516="HEAT"),1,IF(V516="YES",4,2))))</f>
        <v/>
      </c>
      <c r="M516" s="33" t="inlineStr">
        <is>
          <t>LCM</t>
        </is>
      </c>
      <c r="N516" s="33" t="n">
        <v>200</v>
      </c>
      <c r="O516" s="33" t="inlineStr">
        <is>
          <t>Free</t>
        </is>
      </c>
      <c r="P516" s="33" t="inlineStr">
        <is>
          <t>200 Free</t>
        </is>
      </c>
      <c r="Q516" s="33" t="inlineStr">
        <is>
          <t>LCM_200_FREE</t>
        </is>
      </c>
      <c r="R516" s="36" t="n">
        <v>111.13</v>
      </c>
      <c r="S516" s="35">
        <f>IF(R516="","",IF(R516&gt;=60,INT(R516/60)&amp;":"&amp;TEXT(MOD(R516,60),"00.00"),TEXT(R516,"0.00")))</f>
        <v/>
      </c>
      <c r="T516" s="52">
        <f>IFERROR((G516-INDEX('01_Swimmers'!$E$5:$E$22,MATCH(B516,'01_Swimmers'!$A$5:$A$22,0)))/'00_Control'!$B$10,"")</f>
        <v/>
      </c>
      <c r="U516" s="35">
        <f>IF(T516="","",INT(T516))</f>
        <v/>
      </c>
      <c r="V516" s="33" t="inlineStr">
        <is>
          <t>NO</t>
        </is>
      </c>
      <c r="W516" s="33" t="inlineStr">
        <is>
          <t>YES</t>
        </is>
      </c>
      <c r="X516" s="33" t="inlineStr">
        <is>
          <t>NO</t>
        </is>
      </c>
      <c r="Y516" s="33" t="n">
        <v>11</v>
      </c>
      <c r="Z516" s="33" t="n">
        <v>4</v>
      </c>
      <c r="AA516" s="33" t="inlineStr">
        <is>
          <t>1</t>
        </is>
      </c>
      <c r="AB516" s="33" t="inlineStr">
        <is>
          <t>https://www.swimcloud.com/results/301101/event/2/?id=123758036#time123758036</t>
        </is>
      </c>
      <c r="AC516" s="33" t="inlineStr">
        <is>
          <t>SwimCloud API v6 2026-10-08</t>
        </is>
      </c>
      <c r="AD516" s="33" t="inlineStr">
        <is>
          <t>David Popovici|2024-03-23|LCM|200|Free|111.13|Antwerp Diamond Speedo Race|PRE|False</t>
        </is>
      </c>
      <c r="AE516" s="53">
        <f>G516+L516/1000+ROW()/1000000000</f>
        <v/>
      </c>
      <c r="AF516" s="35">
        <f>IF(C516&lt;&gt;"Grayson Coulter","",COUNTIFS($C$5:$C$2991,"Grayson Coulter",$Q$5:$Q$2991,Q516,$AE$5:$AE$2991,"&lt;="&amp;AE516,$R$5:$R$2991,"&lt;"&amp;R516))</f>
        <v/>
      </c>
      <c r="AG516" s="35">
        <f>IF(OR(C516&lt;&gt;"Grayson Coulter",G516&lt;'00_Control'!$B$7),"",--(AF516&lt;5))</f>
        <v/>
      </c>
      <c r="AH516" s="35">
        <f>IF(OR(C516&lt;&gt;"Grayson Coulter",G516&lt;'00_Control'!$B$7),"",--(AF516&lt;10))</f>
        <v/>
      </c>
      <c r="AI516" s="35">
        <f>IF(AND(C516="Grayson Coulter",G516&gt;='00_Control'!$B$7),"YES","NO")</f>
        <v/>
      </c>
      <c r="AJ516" s="33" t="inlineStr">
        <is>
          <t>OK</t>
        </is>
      </c>
    </row>
    <row r="517">
      <c r="A517" s="33" t="inlineStr">
        <is>
          <t>SM000513</t>
        </is>
      </c>
      <c r="B517" s="33" t="inlineStr">
        <is>
          <t>SW009</t>
        </is>
      </c>
      <c r="C517" s="33" t="inlineStr">
        <is>
          <t>David Popovici</t>
        </is>
      </c>
      <c r="D517" s="33" t="inlineStr">
        <is>
          <t>SwimCloud</t>
        </is>
      </c>
      <c r="E517" s="33" t="inlineStr">
        <is>
          <t>1405298</t>
        </is>
      </c>
      <c r="F517" s="33" t="inlineStr">
        <is>
          <t>123758037</t>
        </is>
      </c>
      <c r="G517" s="51" t="n">
        <v>45374</v>
      </c>
      <c r="H517" s="33" t="inlineStr">
        <is>
          <t>Antwerp Diamond Speedo Race</t>
        </is>
      </c>
      <c r="I517" s="33" t="inlineStr">
        <is>
          <t>301101</t>
        </is>
      </c>
      <c r="J517" s="33" t="inlineStr"/>
      <c r="K517" s="33" t="inlineStr">
        <is>
          <t>FIN</t>
        </is>
      </c>
      <c r="L517" s="35">
        <f>IF(K517="FIN",3,IF(OR(K517="SEM",K517="SEMI"),2,IF(OR(K517="PRE",K517="HEAT"),1,IF(V517="YES",4,2))))</f>
        <v/>
      </c>
      <c r="M517" s="33" t="inlineStr">
        <is>
          <t>LCM</t>
        </is>
      </c>
      <c r="N517" s="33" t="n">
        <v>200</v>
      </c>
      <c r="O517" s="33" t="inlineStr">
        <is>
          <t>Free</t>
        </is>
      </c>
      <c r="P517" s="33" t="inlineStr">
        <is>
          <t>200 Free</t>
        </is>
      </c>
      <c r="Q517" s="33" t="inlineStr">
        <is>
          <t>LCM_200_FREE</t>
        </is>
      </c>
      <c r="R517" s="36" t="n">
        <v>106.51</v>
      </c>
      <c r="S517" s="35">
        <f>IF(R517="","",IF(R517&gt;=60,INT(R517/60)&amp;":"&amp;TEXT(MOD(R517,60),"00.00"),TEXT(R517,"0.00")))</f>
        <v/>
      </c>
      <c r="T517" s="52">
        <f>IFERROR((G517-INDEX('01_Swimmers'!$E$5:$E$22,MATCH(B517,'01_Swimmers'!$A$5:$A$22,0)))/'00_Control'!$B$10,"")</f>
        <v/>
      </c>
      <c r="U517" s="35">
        <f>IF(T517="","",INT(T517))</f>
        <v/>
      </c>
      <c r="V517" s="33" t="inlineStr">
        <is>
          <t>NO</t>
        </is>
      </c>
      <c r="W517" s="33" t="inlineStr">
        <is>
          <t>YES</t>
        </is>
      </c>
      <c r="X517" s="33" t="inlineStr">
        <is>
          <t>NO</t>
        </is>
      </c>
      <c r="Y517" s="33" t="n">
        <v>1</v>
      </c>
      <c r="Z517" s="33" t="n">
        <v>4</v>
      </c>
      <c r="AA517" s="33" t="inlineStr">
        <is>
          <t>1</t>
        </is>
      </c>
      <c r="AB517" s="33" t="inlineStr">
        <is>
          <t>https://www.swimcloud.com/results/301101/event/2/?id=123758037#time123758037</t>
        </is>
      </c>
      <c r="AC517" s="33" t="inlineStr">
        <is>
          <t>SwimCloud API v6 2026-10-08</t>
        </is>
      </c>
      <c r="AD517" s="33" t="inlineStr">
        <is>
          <t>David Popovici|2024-03-23|LCM|200|Free|106.51|Antwerp Diamond Speedo Race|FIN|False</t>
        </is>
      </c>
      <c r="AE517" s="53">
        <f>G517+L517/1000+ROW()/1000000000</f>
        <v/>
      </c>
      <c r="AF517" s="35">
        <f>IF(C517&lt;&gt;"Grayson Coulter","",COUNTIFS($C$5:$C$2991,"Grayson Coulter",$Q$5:$Q$2991,Q517,$AE$5:$AE$2991,"&lt;="&amp;AE517,$R$5:$R$2991,"&lt;"&amp;R517))</f>
        <v/>
      </c>
      <c r="AG517" s="35">
        <f>IF(OR(C517&lt;&gt;"Grayson Coulter",G517&lt;'00_Control'!$B$7),"",--(AF517&lt;5))</f>
        <v/>
      </c>
      <c r="AH517" s="35">
        <f>IF(OR(C517&lt;&gt;"Grayson Coulter",G517&lt;'00_Control'!$B$7),"",--(AF517&lt;10))</f>
        <v/>
      </c>
      <c r="AI517" s="35">
        <f>IF(AND(C517="Grayson Coulter",G517&gt;='00_Control'!$B$7),"YES","NO")</f>
        <v/>
      </c>
      <c r="AJ517" s="33" t="inlineStr">
        <is>
          <t>OK</t>
        </is>
      </c>
    </row>
    <row r="518">
      <c r="A518" s="33" t="inlineStr">
        <is>
          <t>SM000514</t>
        </is>
      </c>
      <c r="B518" s="33" t="inlineStr">
        <is>
          <t>SW009</t>
        </is>
      </c>
      <c r="C518" s="33" t="inlineStr">
        <is>
          <t>David Popovici</t>
        </is>
      </c>
      <c r="D518" s="33" t="inlineStr">
        <is>
          <t>SwimCloud</t>
        </is>
      </c>
      <c r="E518" s="33" t="inlineStr">
        <is>
          <t>1405298</t>
        </is>
      </c>
      <c r="F518" s="33" t="inlineStr">
        <is>
          <t>123758034</t>
        </is>
      </c>
      <c r="G518" s="51" t="n">
        <v>45375</v>
      </c>
      <c r="H518" s="33" t="inlineStr">
        <is>
          <t>Antwerp Diamond Speedo Race</t>
        </is>
      </c>
      <c r="I518" s="33" t="inlineStr">
        <is>
          <t>301101</t>
        </is>
      </c>
      <c r="J518" s="33" t="inlineStr"/>
      <c r="K518" s="33" t="inlineStr">
        <is>
          <t>PRE</t>
        </is>
      </c>
      <c r="L518" s="35">
        <f>IF(K518="FIN",3,IF(OR(K518="SEM",K518="SEMI"),2,IF(OR(K518="PRE",K518="HEAT"),1,IF(V518="YES",4,2))))</f>
        <v/>
      </c>
      <c r="M518" s="33" t="inlineStr">
        <is>
          <t>LCM</t>
        </is>
      </c>
      <c r="N518" s="33" t="n">
        <v>100</v>
      </c>
      <c r="O518" s="33" t="inlineStr">
        <is>
          <t>Free</t>
        </is>
      </c>
      <c r="P518" s="33" t="inlineStr">
        <is>
          <t>100 Free</t>
        </is>
      </c>
      <c r="Q518" s="33" t="inlineStr">
        <is>
          <t>LCM_100_FREE</t>
        </is>
      </c>
      <c r="R518" s="36" t="n">
        <v>48.57</v>
      </c>
      <c r="S518" s="35">
        <f>IF(R518="","",IF(R518&gt;=60,INT(R518/60)&amp;":"&amp;TEXT(MOD(R518,60),"00.00"),TEXT(R518,"0.00")))</f>
        <v/>
      </c>
      <c r="T518" s="52">
        <f>IFERROR((G518-INDEX('01_Swimmers'!$E$5:$E$22,MATCH(B518,'01_Swimmers'!$A$5:$A$22,0)))/'00_Control'!$B$10,"")</f>
        <v/>
      </c>
      <c r="U518" s="35">
        <f>IF(T518="","",INT(T518))</f>
        <v/>
      </c>
      <c r="V518" s="33" t="inlineStr">
        <is>
          <t>NO</t>
        </is>
      </c>
      <c r="W518" s="33" t="inlineStr">
        <is>
          <t>YES</t>
        </is>
      </c>
      <c r="X518" s="33" t="inlineStr">
        <is>
          <t>NO</t>
        </is>
      </c>
      <c r="Y518" s="33" t="n">
        <v>14</v>
      </c>
      <c r="Z518" s="33" t="n">
        <v>4</v>
      </c>
      <c r="AA518" s="33" t="inlineStr">
        <is>
          <t>1</t>
        </is>
      </c>
      <c r="AB518" s="33" t="inlineStr">
        <is>
          <t>https://www.swimcloud.com/results/301101/event/19/?id=123758034#time123758034</t>
        </is>
      </c>
      <c r="AC518" s="33" t="inlineStr">
        <is>
          <t>SwimCloud API v6 2026-10-08</t>
        </is>
      </c>
      <c r="AD518" s="33" t="inlineStr">
        <is>
          <t>David Popovici|2024-03-24|LCM|100|Free|48.57|Antwerp Diamond Speedo Race|PRE|False</t>
        </is>
      </c>
      <c r="AE518" s="53">
        <f>G518+L518/1000+ROW()/1000000000</f>
        <v/>
      </c>
      <c r="AF518" s="35">
        <f>IF(C518&lt;&gt;"Grayson Coulter","",COUNTIFS($C$5:$C$2991,"Grayson Coulter",$Q$5:$Q$2991,Q518,$AE$5:$AE$2991,"&lt;="&amp;AE518,$R$5:$R$2991,"&lt;"&amp;R518))</f>
        <v/>
      </c>
      <c r="AG518" s="35">
        <f>IF(OR(C518&lt;&gt;"Grayson Coulter",G518&lt;'00_Control'!$B$7),"",--(AF518&lt;5))</f>
        <v/>
      </c>
      <c r="AH518" s="35">
        <f>IF(OR(C518&lt;&gt;"Grayson Coulter",G518&lt;'00_Control'!$B$7),"",--(AF518&lt;10))</f>
        <v/>
      </c>
      <c r="AI518" s="35">
        <f>IF(AND(C518="Grayson Coulter",G518&gt;='00_Control'!$B$7),"YES","NO")</f>
        <v/>
      </c>
      <c r="AJ518" s="33" t="inlineStr">
        <is>
          <t>OK</t>
        </is>
      </c>
    </row>
    <row r="519">
      <c r="A519" s="33" t="inlineStr">
        <is>
          <t>SM000515</t>
        </is>
      </c>
      <c r="B519" s="33" t="inlineStr">
        <is>
          <t>SW009</t>
        </is>
      </c>
      <c r="C519" s="33" t="inlineStr">
        <is>
          <t>David Popovici</t>
        </is>
      </c>
      <c r="D519" s="33" t="inlineStr">
        <is>
          <t>SwimCloud</t>
        </is>
      </c>
      <c r="E519" s="33" t="inlineStr">
        <is>
          <t>1405298</t>
        </is>
      </c>
      <c r="F519" s="33" t="inlineStr">
        <is>
          <t>123758035</t>
        </is>
      </c>
      <c r="G519" s="51" t="n">
        <v>45375</v>
      </c>
      <c r="H519" s="33" t="inlineStr">
        <is>
          <t>Antwerp Diamond Speedo Race</t>
        </is>
      </c>
      <c r="I519" s="33" t="inlineStr">
        <is>
          <t>301101</t>
        </is>
      </c>
      <c r="J519" s="33" t="inlineStr"/>
      <c r="K519" s="33" t="inlineStr">
        <is>
          <t>FIN</t>
        </is>
      </c>
      <c r="L519" s="35">
        <f>IF(K519="FIN",3,IF(OR(K519="SEM",K519="SEMI"),2,IF(OR(K519="PRE",K519="HEAT"),1,IF(V519="YES",4,2))))</f>
        <v/>
      </c>
      <c r="M519" s="33" t="inlineStr">
        <is>
          <t>LCM</t>
        </is>
      </c>
      <c r="N519" s="33" t="n">
        <v>100</v>
      </c>
      <c r="O519" s="33" t="inlineStr">
        <is>
          <t>Free</t>
        </is>
      </c>
      <c r="P519" s="33" t="inlineStr">
        <is>
          <t>100 Free</t>
        </is>
      </c>
      <c r="Q519" s="33" t="inlineStr">
        <is>
          <t>LCM_100_FREE</t>
        </is>
      </c>
      <c r="R519" s="36" t="n">
        <v>48.34</v>
      </c>
      <c r="S519" s="35">
        <f>IF(R519="","",IF(R519&gt;=60,INT(R519/60)&amp;":"&amp;TEXT(MOD(R519,60),"00.00"),TEXT(R519,"0.00")))</f>
        <v/>
      </c>
      <c r="T519" s="52">
        <f>IFERROR((G519-INDEX('01_Swimmers'!$E$5:$E$22,MATCH(B519,'01_Swimmers'!$A$5:$A$22,0)))/'00_Control'!$B$10,"")</f>
        <v/>
      </c>
      <c r="U519" s="35">
        <f>IF(T519="","",INT(T519))</f>
        <v/>
      </c>
      <c r="V519" s="33" t="inlineStr">
        <is>
          <t>NO</t>
        </is>
      </c>
      <c r="W519" s="33" t="inlineStr">
        <is>
          <t>YES</t>
        </is>
      </c>
      <c r="X519" s="33" t="inlineStr">
        <is>
          <t>NO</t>
        </is>
      </c>
      <c r="Y519" s="33" t="n"/>
      <c r="Z519" s="33" t="n">
        <v>4</v>
      </c>
      <c r="AA519" s="33" t="inlineStr">
        <is>
          <t>1</t>
        </is>
      </c>
      <c r="AB519" s="33" t="inlineStr">
        <is>
          <t>https://www.swimcloud.com/results/301101/event/17/?id=123758035#time123758035</t>
        </is>
      </c>
      <c r="AC519" s="33" t="inlineStr">
        <is>
          <t>SwimCloud API v6 2026-10-08</t>
        </is>
      </c>
      <c r="AD519" s="33" t="inlineStr">
        <is>
          <t>David Popovici|2024-03-24|LCM|100|Free|48.34|Antwerp Diamond Speedo Race|FIN|False</t>
        </is>
      </c>
      <c r="AE519" s="53">
        <f>G519+L519/1000+ROW()/1000000000</f>
        <v/>
      </c>
      <c r="AF519" s="35">
        <f>IF(C519&lt;&gt;"Grayson Coulter","",COUNTIFS($C$5:$C$2991,"Grayson Coulter",$Q$5:$Q$2991,Q519,$AE$5:$AE$2991,"&lt;="&amp;AE519,$R$5:$R$2991,"&lt;"&amp;R519))</f>
        <v/>
      </c>
      <c r="AG519" s="35">
        <f>IF(OR(C519&lt;&gt;"Grayson Coulter",G519&lt;'00_Control'!$B$7),"",--(AF519&lt;5))</f>
        <v/>
      </c>
      <c r="AH519" s="35">
        <f>IF(OR(C519&lt;&gt;"Grayson Coulter",G519&lt;'00_Control'!$B$7),"",--(AF519&lt;10))</f>
        <v/>
      </c>
      <c r="AI519" s="35">
        <f>IF(AND(C519="Grayson Coulter",G519&gt;='00_Control'!$B$7),"YES","NO")</f>
        <v/>
      </c>
      <c r="AJ519" s="33" t="inlineStr">
        <is>
          <t>OK</t>
        </is>
      </c>
    </row>
    <row r="520">
      <c r="A520" s="33" t="inlineStr">
        <is>
          <t>SM000516</t>
        </is>
      </c>
      <c r="B520" s="33" t="inlineStr">
        <is>
          <t>SW009</t>
        </is>
      </c>
      <c r="C520" s="33" t="inlineStr">
        <is>
          <t>David Popovici</t>
        </is>
      </c>
      <c r="D520" s="33" t="inlineStr">
        <is>
          <t>SwimCloud</t>
        </is>
      </c>
      <c r="E520" s="33" t="inlineStr">
        <is>
          <t>1405298</t>
        </is>
      </c>
      <c r="F520" s="33" t="inlineStr">
        <is>
          <t>127065888</t>
        </is>
      </c>
      <c r="G520" s="51" t="n">
        <v>45441</v>
      </c>
      <c r="H520" s="33" t="inlineStr">
        <is>
          <t>Trofeu Internacional Ciutat de Barcelona</t>
        </is>
      </c>
      <c r="I520" s="33" t="inlineStr">
        <is>
          <t>304977</t>
        </is>
      </c>
      <c r="J520" s="33" t="inlineStr"/>
      <c r="K520" s="33" t="inlineStr">
        <is>
          <t>PRE</t>
        </is>
      </c>
      <c r="L520" s="35">
        <f>IF(K520="FIN",3,IF(OR(K520="SEM",K520="SEMI"),2,IF(OR(K520="PRE",K520="HEAT"),1,IF(V520="YES",4,2))))</f>
        <v/>
      </c>
      <c r="M520" s="33" t="inlineStr">
        <is>
          <t>LCM</t>
        </is>
      </c>
      <c r="N520" s="33" t="n">
        <v>200</v>
      </c>
      <c r="O520" s="33" t="inlineStr">
        <is>
          <t>Free</t>
        </is>
      </c>
      <c r="P520" s="33" t="inlineStr">
        <is>
          <t>200 Free</t>
        </is>
      </c>
      <c r="Q520" s="33" t="inlineStr">
        <is>
          <t>LCM_200_FREE</t>
        </is>
      </c>
      <c r="R520" s="36" t="n">
        <v>108.16</v>
      </c>
      <c r="S520" s="35">
        <f>IF(R520="","",IF(R520&gt;=60,INT(R520/60)&amp;":"&amp;TEXT(MOD(R520,60),"00.00"),TEXT(R520,"0.00")))</f>
        <v/>
      </c>
      <c r="T520" s="52">
        <f>IFERROR((G520-INDEX('01_Swimmers'!$E$5:$E$22,MATCH(B520,'01_Swimmers'!$A$5:$A$22,0)))/'00_Control'!$B$10,"")</f>
        <v/>
      </c>
      <c r="U520" s="35">
        <f>IF(T520="","",INT(T520))</f>
        <v/>
      </c>
      <c r="V520" s="33" t="inlineStr">
        <is>
          <t>NO</t>
        </is>
      </c>
      <c r="W520" s="33" t="inlineStr">
        <is>
          <t>YES</t>
        </is>
      </c>
      <c r="X520" s="33" t="inlineStr">
        <is>
          <t>NO</t>
        </is>
      </c>
      <c r="Y520" s="33" t="n"/>
      <c r="Z520" s="33" t="n"/>
      <c r="AA520" s="33" t="inlineStr">
        <is>
          <t>5</t>
        </is>
      </c>
      <c r="AB520" s="33" t="inlineStr">
        <is>
          <t>https://www.swimcloud.com/results/304977/event/15/?id=127065888#time127065888</t>
        </is>
      </c>
      <c r="AC520" s="33" t="inlineStr">
        <is>
          <t>SwimCloud API v6 2026-10-08</t>
        </is>
      </c>
      <c r="AD520" s="33" t="inlineStr">
        <is>
          <t>David Popovici|2024-05-29|LCM|200|Free|108.16|Trofeu Internacional Ciutat de Barcelona|PRE|False</t>
        </is>
      </c>
      <c r="AE520" s="53">
        <f>G520+L520/1000+ROW()/1000000000</f>
        <v/>
      </c>
      <c r="AF520" s="35">
        <f>IF(C520&lt;&gt;"Grayson Coulter","",COUNTIFS($C$5:$C$2991,"Grayson Coulter",$Q$5:$Q$2991,Q520,$AE$5:$AE$2991,"&lt;="&amp;AE520,$R$5:$R$2991,"&lt;"&amp;R520))</f>
        <v/>
      </c>
      <c r="AG520" s="35">
        <f>IF(OR(C520&lt;&gt;"Grayson Coulter",G520&lt;'00_Control'!$B$7),"",--(AF520&lt;5))</f>
        <v/>
      </c>
      <c r="AH520" s="35">
        <f>IF(OR(C520&lt;&gt;"Grayson Coulter",G520&lt;'00_Control'!$B$7),"",--(AF520&lt;10))</f>
        <v/>
      </c>
      <c r="AI520" s="35">
        <f>IF(AND(C520="Grayson Coulter",G520&gt;='00_Control'!$B$7),"YES","NO")</f>
        <v/>
      </c>
      <c r="AJ520" s="33" t="inlineStr">
        <is>
          <t>OK</t>
        </is>
      </c>
    </row>
    <row r="521">
      <c r="A521" s="33" t="inlineStr">
        <is>
          <t>SM000517</t>
        </is>
      </c>
      <c r="B521" s="33" t="inlineStr">
        <is>
          <t>SW009</t>
        </is>
      </c>
      <c r="C521" s="33" t="inlineStr">
        <is>
          <t>David Popovici</t>
        </is>
      </c>
      <c r="D521" s="33" t="inlineStr">
        <is>
          <t>SwimCloud</t>
        </is>
      </c>
      <c r="E521" s="33" t="inlineStr">
        <is>
          <t>1405298</t>
        </is>
      </c>
      <c r="F521" s="33" t="inlineStr">
        <is>
          <t>127065890</t>
        </is>
      </c>
      <c r="G521" s="51" t="n">
        <v>45441</v>
      </c>
      <c r="H521" s="33" t="inlineStr">
        <is>
          <t>Trofeu Internacional Ciutat de Barcelona</t>
        </is>
      </c>
      <c r="I521" s="33" t="inlineStr">
        <is>
          <t>304977</t>
        </is>
      </c>
      <c r="J521" s="33" t="inlineStr"/>
      <c r="K521" s="33" t="inlineStr">
        <is>
          <t>FIN</t>
        </is>
      </c>
      <c r="L521" s="35">
        <f>IF(K521="FIN",3,IF(OR(K521="SEM",K521="SEMI"),2,IF(OR(K521="PRE",K521="HEAT"),1,IF(V521="YES",4,2))))</f>
        <v/>
      </c>
      <c r="M521" s="33" t="inlineStr">
        <is>
          <t>LCM</t>
        </is>
      </c>
      <c r="N521" s="33" t="n">
        <v>200</v>
      </c>
      <c r="O521" s="33" t="inlineStr">
        <is>
          <t>Free</t>
        </is>
      </c>
      <c r="P521" s="33" t="inlineStr">
        <is>
          <t>200 Free</t>
        </is>
      </c>
      <c r="Q521" s="33" t="inlineStr">
        <is>
          <t>LCM_200_FREE</t>
        </is>
      </c>
      <c r="R521" s="36" t="n">
        <v>104.74</v>
      </c>
      <c r="S521" s="35">
        <f>IF(R521="","",IF(R521&gt;=60,INT(R521/60)&amp;":"&amp;TEXT(MOD(R521,60),"00.00"),TEXT(R521,"0.00")))</f>
        <v/>
      </c>
      <c r="T521" s="52">
        <f>IFERROR((G521-INDEX('01_Swimmers'!$E$5:$E$22,MATCH(B521,'01_Swimmers'!$A$5:$A$22,0)))/'00_Control'!$B$10,"")</f>
        <v/>
      </c>
      <c r="U521" s="35">
        <f>IF(T521="","",INT(T521))</f>
        <v/>
      </c>
      <c r="V521" s="33" t="inlineStr">
        <is>
          <t>NO</t>
        </is>
      </c>
      <c r="W521" s="33" t="inlineStr">
        <is>
          <t>YES</t>
        </is>
      </c>
      <c r="X521" s="33" t="inlineStr">
        <is>
          <t>NO</t>
        </is>
      </c>
      <c r="Y521" s="33" t="n"/>
      <c r="Z521" s="33" t="n"/>
      <c r="AA521" s="33" t="inlineStr">
        <is>
          <t>1</t>
        </is>
      </c>
      <c r="AB521" s="33" t="inlineStr">
        <is>
          <t>https://www.swimcloud.com/results/304977/event/15/?id=127065890#time127065890</t>
        </is>
      </c>
      <c r="AC521" s="33" t="inlineStr">
        <is>
          <t>SwimCloud API v6 2026-10-08</t>
        </is>
      </c>
      <c r="AD521" s="33" t="inlineStr">
        <is>
          <t>David Popovici|2024-05-29|LCM|200|Free|104.74|Trofeu Internacional Ciutat de Barcelona|FIN|False</t>
        </is>
      </c>
      <c r="AE521" s="53">
        <f>G521+L521/1000+ROW()/1000000000</f>
        <v/>
      </c>
      <c r="AF521" s="35">
        <f>IF(C521&lt;&gt;"Grayson Coulter","",COUNTIFS($C$5:$C$2991,"Grayson Coulter",$Q$5:$Q$2991,Q521,$AE$5:$AE$2991,"&lt;="&amp;AE521,$R$5:$R$2991,"&lt;"&amp;R521))</f>
        <v/>
      </c>
      <c r="AG521" s="35">
        <f>IF(OR(C521&lt;&gt;"Grayson Coulter",G521&lt;'00_Control'!$B$7),"",--(AF521&lt;5))</f>
        <v/>
      </c>
      <c r="AH521" s="35">
        <f>IF(OR(C521&lt;&gt;"Grayson Coulter",G521&lt;'00_Control'!$B$7),"",--(AF521&lt;10))</f>
        <v/>
      </c>
      <c r="AI521" s="35">
        <f>IF(AND(C521="Grayson Coulter",G521&gt;='00_Control'!$B$7),"YES","NO")</f>
        <v/>
      </c>
      <c r="AJ521" s="33" t="inlineStr">
        <is>
          <t>OK</t>
        </is>
      </c>
    </row>
    <row r="522">
      <c r="A522" s="33" t="inlineStr">
        <is>
          <t>SM000518</t>
        </is>
      </c>
      <c r="B522" s="33" t="inlineStr">
        <is>
          <t>SW009</t>
        </is>
      </c>
      <c r="C522" s="33" t="inlineStr">
        <is>
          <t>David Popovici</t>
        </is>
      </c>
      <c r="D522" s="33" t="inlineStr">
        <is>
          <t>SwimCloud</t>
        </is>
      </c>
      <c r="E522" s="33" t="inlineStr">
        <is>
          <t>1405298</t>
        </is>
      </c>
      <c r="F522" s="33" t="inlineStr">
        <is>
          <t>127065889</t>
        </is>
      </c>
      <c r="G522" s="51" t="n">
        <v>45442</v>
      </c>
      <c r="H522" s="33" t="inlineStr">
        <is>
          <t>Trofeu Internacional Ciutat de Barcelona</t>
        </is>
      </c>
      <c r="I522" s="33" t="inlineStr">
        <is>
          <t>304977</t>
        </is>
      </c>
      <c r="J522" s="33" t="inlineStr"/>
      <c r="K522" s="33" t="inlineStr">
        <is>
          <t>PRE</t>
        </is>
      </c>
      <c r="L522" s="35">
        <f>IF(K522="FIN",3,IF(OR(K522="SEM",K522="SEMI"),2,IF(OR(K522="PRE",K522="HEAT"),1,IF(V522="YES",4,2))))</f>
        <v/>
      </c>
      <c r="M522" s="33" t="inlineStr">
        <is>
          <t>LCM</t>
        </is>
      </c>
      <c r="N522" s="33" t="n">
        <v>100</v>
      </c>
      <c r="O522" s="33" t="inlineStr">
        <is>
          <t>Free</t>
        </is>
      </c>
      <c r="P522" s="33" t="inlineStr">
        <is>
          <t>100 Free</t>
        </is>
      </c>
      <c r="Q522" s="33" t="inlineStr">
        <is>
          <t>LCM_100_FREE</t>
        </is>
      </c>
      <c r="R522" s="36" t="n">
        <v>49.2</v>
      </c>
      <c r="S522" s="35">
        <f>IF(R522="","",IF(R522&gt;=60,INT(R522/60)&amp;":"&amp;TEXT(MOD(R522,60),"00.00"),TEXT(R522,"0.00")))</f>
        <v/>
      </c>
      <c r="T522" s="52">
        <f>IFERROR((G522-INDEX('01_Swimmers'!$E$5:$E$22,MATCH(B522,'01_Swimmers'!$A$5:$A$22,0)))/'00_Control'!$B$10,"")</f>
        <v/>
      </c>
      <c r="U522" s="35">
        <f>IF(T522="","",INT(T522))</f>
        <v/>
      </c>
      <c r="V522" s="33" t="inlineStr">
        <is>
          <t>NO</t>
        </is>
      </c>
      <c r="W522" s="33" t="inlineStr">
        <is>
          <t>YES</t>
        </is>
      </c>
      <c r="X522" s="33" t="inlineStr">
        <is>
          <t>NO</t>
        </is>
      </c>
      <c r="Y522" s="33" t="n"/>
      <c r="Z522" s="33" t="n"/>
      <c r="AA522" s="33" t="inlineStr">
        <is>
          <t>5</t>
        </is>
      </c>
      <c r="AB522" s="33" t="inlineStr">
        <is>
          <t>https://www.swimcloud.com/results/304977/event/22/?id=127065889#time127065889</t>
        </is>
      </c>
      <c r="AC522" s="33" t="inlineStr">
        <is>
          <t>SwimCloud API v6 2026-10-08</t>
        </is>
      </c>
      <c r="AD522" s="33" t="inlineStr">
        <is>
          <t>David Popovici|2024-05-30|LCM|100|Free|49.2|Trofeu Internacional Ciutat de Barcelona|PRE|False</t>
        </is>
      </c>
      <c r="AE522" s="53">
        <f>G522+L522/1000+ROW()/1000000000</f>
        <v/>
      </c>
      <c r="AF522" s="35">
        <f>IF(C522&lt;&gt;"Grayson Coulter","",COUNTIFS($C$5:$C$2991,"Grayson Coulter",$Q$5:$Q$2991,Q522,$AE$5:$AE$2991,"&lt;="&amp;AE522,$R$5:$R$2991,"&lt;"&amp;R522))</f>
        <v/>
      </c>
      <c r="AG522" s="35">
        <f>IF(OR(C522&lt;&gt;"Grayson Coulter",G522&lt;'00_Control'!$B$7),"",--(AF522&lt;5))</f>
        <v/>
      </c>
      <c r="AH522" s="35">
        <f>IF(OR(C522&lt;&gt;"Grayson Coulter",G522&lt;'00_Control'!$B$7),"",--(AF522&lt;10))</f>
        <v/>
      </c>
      <c r="AI522" s="35">
        <f>IF(AND(C522="Grayson Coulter",G522&gt;='00_Control'!$B$7),"YES","NO")</f>
        <v/>
      </c>
      <c r="AJ522" s="33" t="inlineStr">
        <is>
          <t>OK</t>
        </is>
      </c>
    </row>
    <row r="523">
      <c r="A523" s="33" t="inlineStr">
        <is>
          <t>SM000519</t>
        </is>
      </c>
      <c r="B523" s="33" t="inlineStr">
        <is>
          <t>SW009</t>
        </is>
      </c>
      <c r="C523" s="33" t="inlineStr">
        <is>
          <t>David Popovici</t>
        </is>
      </c>
      <c r="D523" s="33" t="inlineStr">
        <is>
          <t>SwimCloud</t>
        </is>
      </c>
      <c r="E523" s="33" t="inlineStr">
        <is>
          <t>1405298</t>
        </is>
      </c>
      <c r="F523" s="33" t="inlineStr">
        <is>
          <t>127065891</t>
        </is>
      </c>
      <c r="G523" s="51" t="n">
        <v>45442</v>
      </c>
      <c r="H523" s="33" t="inlineStr">
        <is>
          <t>Trofeu Internacional Ciutat de Barcelona</t>
        </is>
      </c>
      <c r="I523" s="33" t="inlineStr">
        <is>
          <t>304977</t>
        </is>
      </c>
      <c r="J523" s="33" t="inlineStr"/>
      <c r="K523" s="33" t="inlineStr">
        <is>
          <t>FIN</t>
        </is>
      </c>
      <c r="L523" s="35">
        <f>IF(K523="FIN",3,IF(OR(K523="SEM",K523="SEMI"),2,IF(OR(K523="PRE",K523="HEAT"),1,IF(V523="YES",4,2))))</f>
        <v/>
      </c>
      <c r="M523" s="33" t="inlineStr">
        <is>
          <t>LCM</t>
        </is>
      </c>
      <c r="N523" s="33" t="n">
        <v>100</v>
      </c>
      <c r="O523" s="33" t="inlineStr">
        <is>
          <t>Free</t>
        </is>
      </c>
      <c r="P523" s="33" t="inlineStr">
        <is>
          <t>100 Free</t>
        </is>
      </c>
      <c r="Q523" s="33" t="inlineStr">
        <is>
          <t>LCM_100_FREE</t>
        </is>
      </c>
      <c r="R523" s="36" t="n">
        <v>48.49</v>
      </c>
      <c r="S523" s="35">
        <f>IF(R523="","",IF(R523&gt;=60,INT(R523/60)&amp;":"&amp;TEXT(MOD(R523,60),"00.00"),TEXT(R523,"0.00")))</f>
        <v/>
      </c>
      <c r="T523" s="52">
        <f>IFERROR((G523-INDEX('01_Swimmers'!$E$5:$E$22,MATCH(B523,'01_Swimmers'!$A$5:$A$22,0)))/'00_Control'!$B$10,"")</f>
        <v/>
      </c>
      <c r="U523" s="35">
        <f>IF(T523="","",INT(T523))</f>
        <v/>
      </c>
      <c r="V523" s="33" t="inlineStr">
        <is>
          <t>NO</t>
        </is>
      </c>
      <c r="W523" s="33" t="inlineStr">
        <is>
          <t>YES</t>
        </is>
      </c>
      <c r="X523" s="33" t="inlineStr">
        <is>
          <t>NO</t>
        </is>
      </c>
      <c r="Y523" s="33" t="n"/>
      <c r="Z523" s="33" t="n"/>
      <c r="AA523" s="33" t="inlineStr">
        <is>
          <t>1</t>
        </is>
      </c>
      <c r="AB523" s="33" t="inlineStr">
        <is>
          <t>https://www.swimcloud.com/results/304977/event/22/?id=127065891#time127065891</t>
        </is>
      </c>
      <c r="AC523" s="33" t="inlineStr">
        <is>
          <t>SwimCloud API v6 2026-10-08</t>
        </is>
      </c>
      <c r="AD523" s="33" t="inlineStr">
        <is>
          <t>David Popovici|2024-05-30|LCM|100|Free|48.49|Trofeu Internacional Ciutat de Barcelona|FIN|False</t>
        </is>
      </c>
      <c r="AE523" s="53">
        <f>G523+L523/1000+ROW()/1000000000</f>
        <v/>
      </c>
      <c r="AF523" s="35">
        <f>IF(C523&lt;&gt;"Grayson Coulter","",COUNTIFS($C$5:$C$2991,"Grayson Coulter",$Q$5:$Q$2991,Q523,$AE$5:$AE$2991,"&lt;="&amp;AE523,$R$5:$R$2991,"&lt;"&amp;R523))</f>
        <v/>
      </c>
      <c r="AG523" s="35">
        <f>IF(OR(C523&lt;&gt;"Grayson Coulter",G523&lt;'00_Control'!$B$7),"",--(AF523&lt;5))</f>
        <v/>
      </c>
      <c r="AH523" s="35">
        <f>IF(OR(C523&lt;&gt;"Grayson Coulter",G523&lt;'00_Control'!$B$7),"",--(AF523&lt;10))</f>
        <v/>
      </c>
      <c r="AI523" s="35">
        <f>IF(AND(C523="Grayson Coulter",G523&gt;='00_Control'!$B$7),"YES","NO")</f>
        <v/>
      </c>
      <c r="AJ523" s="33" t="inlineStr">
        <is>
          <t>OK</t>
        </is>
      </c>
    </row>
    <row r="524">
      <c r="A524" s="33" t="inlineStr">
        <is>
          <t>SM000520</t>
        </is>
      </c>
      <c r="B524" s="33" t="inlineStr">
        <is>
          <t>SW009</t>
        </is>
      </c>
      <c r="C524" s="33" t="inlineStr">
        <is>
          <t>David Popovici</t>
        </is>
      </c>
      <c r="D524" s="33" t="inlineStr">
        <is>
          <t>SwimCloud</t>
        </is>
      </c>
      <c r="E524" s="33" t="inlineStr">
        <is>
          <t>1405298</t>
        </is>
      </c>
      <c r="F524" s="33" t="inlineStr">
        <is>
          <t>127850518</t>
        </is>
      </c>
      <c r="G524" s="51" t="n">
        <v>45461</v>
      </c>
      <c r="H524" s="33" t="inlineStr">
        <is>
          <t>European Aquatics Championships</t>
        </is>
      </c>
      <c r="I524" s="33" t="inlineStr">
        <is>
          <t>305727</t>
        </is>
      </c>
      <c r="J524" s="33" t="inlineStr"/>
      <c r="K524" s="33" t="inlineStr">
        <is>
          <t>PRE</t>
        </is>
      </c>
      <c r="L524" s="35">
        <f>IF(K524="FIN",3,IF(OR(K524="SEM",K524="SEMI"),2,IF(OR(K524="PRE",K524="HEAT"),1,IF(V524="YES",4,2))))</f>
        <v/>
      </c>
      <c r="M524" s="33" t="inlineStr">
        <is>
          <t>LCM</t>
        </is>
      </c>
      <c r="N524" s="33" t="n">
        <v>100</v>
      </c>
      <c r="O524" s="33" t="inlineStr">
        <is>
          <t>Free</t>
        </is>
      </c>
      <c r="P524" s="33" t="inlineStr">
        <is>
          <t>100 Free</t>
        </is>
      </c>
      <c r="Q524" s="33" t="inlineStr">
        <is>
          <t>LCM_100_FREE</t>
        </is>
      </c>
      <c r="R524" s="36" t="n">
        <v>47.9</v>
      </c>
      <c r="S524" s="35">
        <f>IF(R524="","",IF(R524&gt;=60,INT(R524/60)&amp;":"&amp;TEXT(MOD(R524,60),"00.00"),TEXT(R524,"0.00")))</f>
        <v/>
      </c>
      <c r="T524" s="52">
        <f>IFERROR((G524-INDEX('01_Swimmers'!$E$5:$E$22,MATCH(B524,'01_Swimmers'!$A$5:$A$22,0)))/'00_Control'!$B$10,"")</f>
        <v/>
      </c>
      <c r="U524" s="35">
        <f>IF(T524="","",INT(T524))</f>
        <v/>
      </c>
      <c r="V524" s="33" t="inlineStr">
        <is>
          <t>NO</t>
        </is>
      </c>
      <c r="W524" s="33" t="inlineStr">
        <is>
          <t>YES</t>
        </is>
      </c>
      <c r="X524" s="33" t="inlineStr">
        <is>
          <t>NO</t>
        </is>
      </c>
      <c r="Y524" s="33" t="n">
        <v>8</v>
      </c>
      <c r="Z524" s="33" t="n">
        <v>4</v>
      </c>
      <c r="AA524" s="33" t="inlineStr">
        <is>
          <t>1</t>
        </is>
      </c>
      <c r="AB524" s="33" t="inlineStr">
        <is>
          <t>https://www.swimcloud.com/results/305727/event/10/?id=127850518#time127850518</t>
        </is>
      </c>
      <c r="AC524" s="33" t="inlineStr">
        <is>
          <t>SwimCloud API v6 2026-10-08</t>
        </is>
      </c>
      <c r="AD524" s="33" t="inlineStr">
        <is>
          <t>David Popovici|2024-06-18|LCM|100|Free|47.9|European Aquatics Championships|PRE|False</t>
        </is>
      </c>
      <c r="AE524" s="53">
        <f>G524+L524/1000+ROW()/1000000000</f>
        <v/>
      </c>
      <c r="AF524" s="35">
        <f>IF(C524&lt;&gt;"Grayson Coulter","",COUNTIFS($C$5:$C$2991,"Grayson Coulter",$Q$5:$Q$2991,Q524,$AE$5:$AE$2991,"&lt;="&amp;AE524,$R$5:$R$2991,"&lt;"&amp;R524))</f>
        <v/>
      </c>
      <c r="AG524" s="35">
        <f>IF(OR(C524&lt;&gt;"Grayson Coulter",G524&lt;'00_Control'!$B$7),"",--(AF524&lt;5))</f>
        <v/>
      </c>
      <c r="AH524" s="35">
        <f>IF(OR(C524&lt;&gt;"Grayson Coulter",G524&lt;'00_Control'!$B$7),"",--(AF524&lt;10))</f>
        <v/>
      </c>
      <c r="AI524" s="35">
        <f>IF(AND(C524="Grayson Coulter",G524&gt;='00_Control'!$B$7),"YES","NO")</f>
        <v/>
      </c>
      <c r="AJ524" s="33" t="inlineStr">
        <is>
          <t>OK</t>
        </is>
      </c>
    </row>
    <row r="525">
      <c r="A525" s="33" t="inlineStr">
        <is>
          <t>SM000521</t>
        </is>
      </c>
      <c r="B525" s="33" t="inlineStr">
        <is>
          <t>SW009</t>
        </is>
      </c>
      <c r="C525" s="33" t="inlineStr">
        <is>
          <t>David Popovici</t>
        </is>
      </c>
      <c r="D525" s="33" t="inlineStr">
        <is>
          <t>SwimCloud</t>
        </is>
      </c>
      <c r="E525" s="33" t="inlineStr">
        <is>
          <t>1405298</t>
        </is>
      </c>
      <c r="F525" s="33" t="inlineStr">
        <is>
          <t>127850519</t>
        </is>
      </c>
      <c r="G525" s="51" t="n">
        <v>45461</v>
      </c>
      <c r="H525" s="33" t="inlineStr">
        <is>
          <t>European Aquatics Championships</t>
        </is>
      </c>
      <c r="I525" s="33" t="inlineStr">
        <is>
          <t>305727</t>
        </is>
      </c>
      <c r="J525" s="33" t="inlineStr"/>
      <c r="K525" s="33" t="inlineStr">
        <is>
          <t>SEM</t>
        </is>
      </c>
      <c r="L525" s="35">
        <f>IF(K525="FIN",3,IF(OR(K525="SEM",K525="SEMI"),2,IF(OR(K525="PRE",K525="HEAT"),1,IF(V525="YES",4,2))))</f>
        <v/>
      </c>
      <c r="M525" s="33" t="inlineStr">
        <is>
          <t>LCM</t>
        </is>
      </c>
      <c r="N525" s="33" t="n">
        <v>100</v>
      </c>
      <c r="O525" s="33" t="inlineStr">
        <is>
          <t>Free</t>
        </is>
      </c>
      <c r="P525" s="33" t="inlineStr">
        <is>
          <t>100 Free</t>
        </is>
      </c>
      <c r="Q525" s="33" t="inlineStr">
        <is>
          <t>LCM_100_FREE</t>
        </is>
      </c>
      <c r="R525" s="36" t="n">
        <v>47.82</v>
      </c>
      <c r="S525" s="35">
        <f>IF(R525="","",IF(R525&gt;=60,INT(R525/60)&amp;":"&amp;TEXT(MOD(R525,60),"00.00"),TEXT(R525,"0.00")))</f>
        <v/>
      </c>
      <c r="T525" s="52">
        <f>IFERROR((G525-INDEX('01_Swimmers'!$E$5:$E$22,MATCH(B525,'01_Swimmers'!$A$5:$A$22,0)))/'00_Control'!$B$10,"")</f>
        <v/>
      </c>
      <c r="U525" s="35">
        <f>IF(T525="","",INT(T525))</f>
        <v/>
      </c>
      <c r="V525" s="33" t="inlineStr">
        <is>
          <t>NO</t>
        </is>
      </c>
      <c r="W525" s="33" t="inlineStr">
        <is>
          <t>YES</t>
        </is>
      </c>
      <c r="X525" s="33" t="inlineStr">
        <is>
          <t>NO</t>
        </is>
      </c>
      <c r="Y525" s="33" t="n">
        <v>2</v>
      </c>
      <c r="Z525" s="33" t="n">
        <v>4</v>
      </c>
      <c r="AA525" s="33" t="inlineStr">
        <is>
          <t>1</t>
        </is>
      </c>
      <c r="AB525" s="33" t="inlineStr">
        <is>
          <t>https://www.swimcloud.com/results/305727/event/10/?id=127850519#time127850519</t>
        </is>
      </c>
      <c r="AC525" s="33" t="inlineStr">
        <is>
          <t>SwimCloud API v6 2026-10-08</t>
        </is>
      </c>
      <c r="AD525" s="33" t="inlineStr">
        <is>
          <t>David Popovici|2024-06-18|LCM|100|Free|47.82|European Aquatics Championships|SEM|False</t>
        </is>
      </c>
      <c r="AE525" s="53">
        <f>G525+L525/1000+ROW()/1000000000</f>
        <v/>
      </c>
      <c r="AF525" s="35">
        <f>IF(C525&lt;&gt;"Grayson Coulter","",COUNTIFS($C$5:$C$2991,"Grayson Coulter",$Q$5:$Q$2991,Q525,$AE$5:$AE$2991,"&lt;="&amp;AE525,$R$5:$R$2991,"&lt;"&amp;R525))</f>
        <v/>
      </c>
      <c r="AG525" s="35">
        <f>IF(OR(C525&lt;&gt;"Grayson Coulter",G525&lt;'00_Control'!$B$7),"",--(AF525&lt;5))</f>
        <v/>
      </c>
      <c r="AH525" s="35">
        <f>IF(OR(C525&lt;&gt;"Grayson Coulter",G525&lt;'00_Control'!$B$7),"",--(AF525&lt;10))</f>
        <v/>
      </c>
      <c r="AI525" s="35">
        <f>IF(AND(C525="Grayson Coulter",G525&gt;='00_Control'!$B$7),"YES","NO")</f>
        <v/>
      </c>
      <c r="AJ525" s="33" t="inlineStr">
        <is>
          <t>OK</t>
        </is>
      </c>
    </row>
    <row r="526">
      <c r="A526" s="33" t="inlineStr">
        <is>
          <t>SM000522</t>
        </is>
      </c>
      <c r="B526" s="33" t="inlineStr">
        <is>
          <t>SW009</t>
        </is>
      </c>
      <c r="C526" s="33" t="inlineStr">
        <is>
          <t>David Popovici</t>
        </is>
      </c>
      <c r="D526" s="33" t="inlineStr">
        <is>
          <t>SwimCloud</t>
        </is>
      </c>
      <c r="E526" s="33" t="inlineStr">
        <is>
          <t>1405298</t>
        </is>
      </c>
      <c r="F526" s="33" t="inlineStr">
        <is>
          <t>127850517</t>
        </is>
      </c>
      <c r="G526" s="51" t="n">
        <v>45462</v>
      </c>
      <c r="H526" s="33" t="inlineStr">
        <is>
          <t>European Aquatics Championships</t>
        </is>
      </c>
      <c r="I526" s="33" t="inlineStr">
        <is>
          <t>305727</t>
        </is>
      </c>
      <c r="J526" s="33" t="inlineStr"/>
      <c r="K526" s="33" t="inlineStr">
        <is>
          <t>FIN</t>
        </is>
      </c>
      <c r="L526" s="35">
        <f>IF(K526="FIN",3,IF(OR(K526="SEM",K526="SEMI"),2,IF(OR(K526="PRE",K526="HEAT"),1,IF(V526="YES",4,2))))</f>
        <v/>
      </c>
      <c r="M526" s="33" t="inlineStr">
        <is>
          <t>LCM</t>
        </is>
      </c>
      <c r="N526" s="33" t="n">
        <v>100</v>
      </c>
      <c r="O526" s="33" t="inlineStr">
        <is>
          <t>Free</t>
        </is>
      </c>
      <c r="P526" s="33" t="inlineStr">
        <is>
          <t>100 Free</t>
        </is>
      </c>
      <c r="Q526" s="33" t="inlineStr">
        <is>
          <t>LCM_100_FREE</t>
        </is>
      </c>
      <c r="R526" s="36" t="n">
        <v>46.88</v>
      </c>
      <c r="S526" s="35">
        <f>IF(R526="","",IF(R526&gt;=60,INT(R526/60)&amp;":"&amp;TEXT(MOD(R526,60),"00.00"),TEXT(R526,"0.00")))</f>
        <v/>
      </c>
      <c r="T526" s="52">
        <f>IFERROR((G526-INDEX('01_Swimmers'!$E$5:$E$22,MATCH(B526,'01_Swimmers'!$A$5:$A$22,0)))/'00_Control'!$B$10,"")</f>
        <v/>
      </c>
      <c r="U526" s="35">
        <f>IF(T526="","",INT(T526))</f>
        <v/>
      </c>
      <c r="V526" s="33" t="inlineStr">
        <is>
          <t>NO</t>
        </is>
      </c>
      <c r="W526" s="33" t="inlineStr">
        <is>
          <t>YES</t>
        </is>
      </c>
      <c r="X526" s="33" t="inlineStr">
        <is>
          <t>NO</t>
        </is>
      </c>
      <c r="Y526" s="33" t="n">
        <v>1</v>
      </c>
      <c r="Z526" s="33" t="n">
        <v>4</v>
      </c>
      <c r="AA526" s="33" t="inlineStr">
        <is>
          <t>1</t>
        </is>
      </c>
      <c r="AB526" s="33" t="inlineStr">
        <is>
          <t>https://www.swimcloud.com/results/305727/event/10/?id=127850517#time127850517</t>
        </is>
      </c>
      <c r="AC526" s="33" t="inlineStr">
        <is>
          <t>SwimCloud API v6 2026-10-08</t>
        </is>
      </c>
      <c r="AD526" s="33" t="inlineStr">
        <is>
          <t>David Popovici|2024-06-19|LCM|100|Free|46.88|European Aquatics Championships|FIN|False</t>
        </is>
      </c>
      <c r="AE526" s="53">
        <f>G526+L526/1000+ROW()/1000000000</f>
        <v/>
      </c>
      <c r="AF526" s="35">
        <f>IF(C526&lt;&gt;"Grayson Coulter","",COUNTIFS($C$5:$C$2991,"Grayson Coulter",$Q$5:$Q$2991,Q526,$AE$5:$AE$2991,"&lt;="&amp;AE526,$R$5:$R$2991,"&lt;"&amp;R526))</f>
        <v/>
      </c>
      <c r="AG526" s="35">
        <f>IF(OR(C526&lt;&gt;"Grayson Coulter",G526&lt;'00_Control'!$B$7),"",--(AF526&lt;5))</f>
        <v/>
      </c>
      <c r="AH526" s="35">
        <f>IF(OR(C526&lt;&gt;"Grayson Coulter",G526&lt;'00_Control'!$B$7),"",--(AF526&lt;10))</f>
        <v/>
      </c>
      <c r="AI526" s="35">
        <f>IF(AND(C526="Grayson Coulter",G526&gt;='00_Control'!$B$7),"YES","NO")</f>
        <v/>
      </c>
      <c r="AJ526" s="33" t="inlineStr">
        <is>
          <t>OK</t>
        </is>
      </c>
    </row>
    <row r="527">
      <c r="A527" s="33" t="inlineStr">
        <is>
          <t>SM000523</t>
        </is>
      </c>
      <c r="B527" s="33" t="inlineStr">
        <is>
          <t>SW009</t>
        </is>
      </c>
      <c r="C527" s="33" t="inlineStr">
        <is>
          <t>David Popovici</t>
        </is>
      </c>
      <c r="D527" s="33" t="inlineStr">
        <is>
          <t>SwimCloud</t>
        </is>
      </c>
      <c r="E527" s="33" t="inlineStr">
        <is>
          <t>1405298</t>
        </is>
      </c>
      <c r="F527" s="33" t="inlineStr">
        <is>
          <t>127851749</t>
        </is>
      </c>
      <c r="G527" s="51" t="n">
        <v>45463</v>
      </c>
      <c r="H527" s="33" t="inlineStr">
        <is>
          <t>European Aquatics Championships</t>
        </is>
      </c>
      <c r="I527" s="33" t="inlineStr">
        <is>
          <t>305727</t>
        </is>
      </c>
      <c r="J527" s="33" t="inlineStr"/>
      <c r="K527" s="33" t="inlineStr">
        <is>
          <t>FIN</t>
        </is>
      </c>
      <c r="L527" s="35">
        <f>IF(K527="FIN",3,IF(OR(K527="SEM",K527="SEMI"),2,IF(OR(K527="PRE",K527="HEAT"),1,IF(V527="YES",4,2))))</f>
        <v/>
      </c>
      <c r="M527" s="33" t="inlineStr">
        <is>
          <t>LCM</t>
        </is>
      </c>
      <c r="N527" s="33" t="n">
        <v>100</v>
      </c>
      <c r="O527" s="33" t="inlineStr">
        <is>
          <t>Free</t>
        </is>
      </c>
      <c r="P527" s="33" t="inlineStr">
        <is>
          <t>100 Free</t>
        </is>
      </c>
      <c r="Q527" s="33" t="inlineStr">
        <is>
          <t>LCM_100_FREE</t>
        </is>
      </c>
      <c r="R527" s="36" t="n">
        <v>47.22</v>
      </c>
      <c r="S527" s="35">
        <f>IF(R527="","",IF(R527&gt;=60,INT(R527/60)&amp;":"&amp;TEXT(MOD(R527,60),"00.00"),TEXT(R527,"0.00")))</f>
        <v/>
      </c>
      <c r="T527" s="52">
        <f>IFERROR((G527-INDEX('01_Swimmers'!$E$5:$E$22,MATCH(B527,'01_Swimmers'!$A$5:$A$22,0)))/'00_Control'!$B$10,"")</f>
        <v/>
      </c>
      <c r="U527" s="35">
        <f>IF(T527="","",INT(T527))</f>
        <v/>
      </c>
      <c r="V527" s="33" t="inlineStr">
        <is>
          <t>YES</t>
        </is>
      </c>
      <c r="W527" s="33" t="inlineStr">
        <is>
          <t>YES</t>
        </is>
      </c>
      <c r="X527" s="33" t="inlineStr">
        <is>
          <t>NO</t>
        </is>
      </c>
      <c r="Y527" s="33" t="n">
        <v>1</v>
      </c>
      <c r="Z527" s="33" t="n">
        <v>3</v>
      </c>
      <c r="AA527" s="33" t="inlineStr"/>
      <c r="AB527" s="33" t="inlineStr">
        <is>
          <t>https://www.swimcloud.com/results/305727/event/25/?id=127850534#time127850534</t>
        </is>
      </c>
      <c r="AC527" s="33" t="inlineStr">
        <is>
          <t>SwimCloud API v6 2026-10-08</t>
        </is>
      </c>
      <c r="AD527" s="33" t="inlineStr">
        <is>
          <t>David Popovici|2024-06-20|LCM|100|Free|47.22|European Aquatics Championships|FIN|True</t>
        </is>
      </c>
      <c r="AE527" s="53">
        <f>G527+L527/1000+ROW()/1000000000</f>
        <v/>
      </c>
      <c r="AF527" s="35">
        <f>IF(C527&lt;&gt;"Grayson Coulter","",COUNTIFS($C$5:$C$2991,"Grayson Coulter",$Q$5:$Q$2991,Q527,$AE$5:$AE$2991,"&lt;="&amp;AE527,$R$5:$R$2991,"&lt;"&amp;R527))</f>
        <v/>
      </c>
      <c r="AG527" s="35">
        <f>IF(OR(C527&lt;&gt;"Grayson Coulter",G527&lt;'00_Control'!$B$7),"",--(AF527&lt;5))</f>
        <v/>
      </c>
      <c r="AH527" s="35">
        <f>IF(OR(C527&lt;&gt;"Grayson Coulter",G527&lt;'00_Control'!$B$7),"",--(AF527&lt;10))</f>
        <v/>
      </c>
      <c r="AI527" s="35">
        <f>IF(AND(C527="Grayson Coulter",G527&gt;='00_Control'!$B$7),"YES","NO")</f>
        <v/>
      </c>
      <c r="AJ527" s="33" t="inlineStr">
        <is>
          <t>OK</t>
        </is>
      </c>
    </row>
    <row r="528">
      <c r="A528" s="33" t="inlineStr">
        <is>
          <t>SM000524</t>
        </is>
      </c>
      <c r="B528" s="33" t="inlineStr">
        <is>
          <t>SW009</t>
        </is>
      </c>
      <c r="C528" s="33" t="inlineStr">
        <is>
          <t>David Popovici</t>
        </is>
      </c>
      <c r="D528" s="33" t="inlineStr">
        <is>
          <t>SwimCloud</t>
        </is>
      </c>
      <c r="E528" s="33" t="inlineStr">
        <is>
          <t>1405298</t>
        </is>
      </c>
      <c r="F528" s="33" t="inlineStr">
        <is>
          <t>127850521</t>
        </is>
      </c>
      <c r="G528" s="51" t="n">
        <v>45463</v>
      </c>
      <c r="H528" s="33" t="inlineStr">
        <is>
          <t>European Aquatics Championships</t>
        </is>
      </c>
      <c r="I528" s="33" t="inlineStr">
        <is>
          <t>305727</t>
        </is>
      </c>
      <c r="J528" s="33" t="inlineStr"/>
      <c r="K528" s="33" t="inlineStr">
        <is>
          <t>PRE</t>
        </is>
      </c>
      <c r="L528" s="35">
        <f>IF(K528="FIN",3,IF(OR(K528="SEM",K528="SEMI"),2,IF(OR(K528="PRE",K528="HEAT"),1,IF(V528="YES",4,2))))</f>
        <v/>
      </c>
      <c r="M528" s="33" t="inlineStr">
        <is>
          <t>LCM</t>
        </is>
      </c>
      <c r="N528" s="33" t="n">
        <v>200</v>
      </c>
      <c r="O528" s="33" t="inlineStr">
        <is>
          <t>Free</t>
        </is>
      </c>
      <c r="P528" s="33" t="inlineStr">
        <is>
          <t>200 Free</t>
        </is>
      </c>
      <c r="Q528" s="33" t="inlineStr">
        <is>
          <t>LCM_200_FREE</t>
        </is>
      </c>
      <c r="R528" s="36" t="n">
        <v>105.44</v>
      </c>
      <c r="S528" s="35">
        <f>IF(R528="","",IF(R528&gt;=60,INT(R528/60)&amp;":"&amp;TEXT(MOD(R528,60),"00.00"),TEXT(R528,"0.00")))</f>
        <v/>
      </c>
      <c r="T528" s="52">
        <f>IFERROR((G528-INDEX('01_Swimmers'!$E$5:$E$22,MATCH(B528,'01_Swimmers'!$A$5:$A$22,0)))/'00_Control'!$B$10,"")</f>
        <v/>
      </c>
      <c r="U528" s="35">
        <f>IF(T528="","",INT(T528))</f>
        <v/>
      </c>
      <c r="V528" s="33" t="inlineStr">
        <is>
          <t>NO</t>
        </is>
      </c>
      <c r="W528" s="33" t="inlineStr">
        <is>
          <t>YES</t>
        </is>
      </c>
      <c r="X528" s="33" t="inlineStr">
        <is>
          <t>NO</t>
        </is>
      </c>
      <c r="Y528" s="33" t="n">
        <v>7</v>
      </c>
      <c r="Z528" s="33" t="n">
        <v>4</v>
      </c>
      <c r="AA528" s="33" t="inlineStr">
        <is>
          <t>1</t>
        </is>
      </c>
      <c r="AB528" s="33" t="inlineStr">
        <is>
          <t>https://www.swimcloud.com/results/305727/event/21/?id=127850521#time127850521</t>
        </is>
      </c>
      <c r="AC528" s="33" t="inlineStr">
        <is>
          <t>SwimCloud API v6 2026-10-08</t>
        </is>
      </c>
      <c r="AD528" s="33" t="inlineStr">
        <is>
          <t>David Popovici|2024-06-20|LCM|200|Free|105.44|European Aquatics Championships|PRE|False</t>
        </is>
      </c>
      <c r="AE528" s="53">
        <f>G528+L528/1000+ROW()/1000000000</f>
        <v/>
      </c>
      <c r="AF528" s="35">
        <f>IF(C528&lt;&gt;"Grayson Coulter","",COUNTIFS($C$5:$C$2991,"Grayson Coulter",$Q$5:$Q$2991,Q528,$AE$5:$AE$2991,"&lt;="&amp;AE528,$R$5:$R$2991,"&lt;"&amp;R528))</f>
        <v/>
      </c>
      <c r="AG528" s="35">
        <f>IF(OR(C528&lt;&gt;"Grayson Coulter",G528&lt;'00_Control'!$B$7),"",--(AF528&lt;5))</f>
        <v/>
      </c>
      <c r="AH528" s="35">
        <f>IF(OR(C528&lt;&gt;"Grayson Coulter",G528&lt;'00_Control'!$B$7),"",--(AF528&lt;10))</f>
        <v/>
      </c>
      <c r="AI528" s="35">
        <f>IF(AND(C528="Grayson Coulter",G528&gt;='00_Control'!$B$7),"YES","NO")</f>
        <v/>
      </c>
      <c r="AJ528" s="33" t="inlineStr">
        <is>
          <t>OK</t>
        </is>
      </c>
    </row>
    <row r="529">
      <c r="A529" s="33" t="inlineStr">
        <is>
          <t>SM000525</t>
        </is>
      </c>
      <c r="B529" s="33" t="inlineStr">
        <is>
          <t>SW009</t>
        </is>
      </c>
      <c r="C529" s="33" t="inlineStr">
        <is>
          <t>David Popovici</t>
        </is>
      </c>
      <c r="D529" s="33" t="inlineStr">
        <is>
          <t>SwimCloud</t>
        </is>
      </c>
      <c r="E529" s="33" t="inlineStr">
        <is>
          <t>1405298</t>
        </is>
      </c>
      <c r="F529" s="33" t="inlineStr">
        <is>
          <t>127850522</t>
        </is>
      </c>
      <c r="G529" s="51" t="n">
        <v>45463</v>
      </c>
      <c r="H529" s="33" t="inlineStr">
        <is>
          <t>European Aquatics Championships</t>
        </is>
      </c>
      <c r="I529" s="33" t="inlineStr">
        <is>
          <t>305727</t>
        </is>
      </c>
      <c r="J529" s="33" t="inlineStr"/>
      <c r="K529" s="33" t="inlineStr">
        <is>
          <t>SEM</t>
        </is>
      </c>
      <c r="L529" s="35">
        <f>IF(K529="FIN",3,IF(OR(K529="SEM",K529="SEMI"),2,IF(OR(K529="PRE",K529="HEAT"),1,IF(V529="YES",4,2))))</f>
        <v/>
      </c>
      <c r="M529" s="33" t="inlineStr">
        <is>
          <t>LCM</t>
        </is>
      </c>
      <c r="N529" s="33" t="n">
        <v>200</v>
      </c>
      <c r="O529" s="33" t="inlineStr">
        <is>
          <t>Free</t>
        </is>
      </c>
      <c r="P529" s="33" t="inlineStr">
        <is>
          <t>200 Free</t>
        </is>
      </c>
      <c r="Q529" s="33" t="inlineStr">
        <is>
          <t>LCM_200_FREE</t>
        </is>
      </c>
      <c r="R529" s="36" t="n">
        <v>106.15</v>
      </c>
      <c r="S529" s="35">
        <f>IF(R529="","",IF(R529&gt;=60,INT(R529/60)&amp;":"&amp;TEXT(MOD(R529,60),"00.00"),TEXT(R529,"0.00")))</f>
        <v/>
      </c>
      <c r="T529" s="52">
        <f>IFERROR((G529-INDEX('01_Swimmers'!$E$5:$E$22,MATCH(B529,'01_Swimmers'!$A$5:$A$22,0)))/'00_Control'!$B$10,"")</f>
        <v/>
      </c>
      <c r="U529" s="35">
        <f>IF(T529="","",INT(T529))</f>
        <v/>
      </c>
      <c r="V529" s="33" t="inlineStr">
        <is>
          <t>NO</t>
        </is>
      </c>
      <c r="W529" s="33" t="inlineStr">
        <is>
          <t>YES</t>
        </is>
      </c>
      <c r="X529" s="33" t="inlineStr">
        <is>
          <t>NO</t>
        </is>
      </c>
      <c r="Y529" s="33" t="n">
        <v>2</v>
      </c>
      <c r="Z529" s="33" t="n">
        <v>4</v>
      </c>
      <c r="AA529" s="33" t="inlineStr">
        <is>
          <t>1</t>
        </is>
      </c>
      <c r="AB529" s="33" t="inlineStr">
        <is>
          <t>https://www.swimcloud.com/results/305727/event/21/?id=127850522#time127850522</t>
        </is>
      </c>
      <c r="AC529" s="33" t="inlineStr">
        <is>
          <t>SwimCloud API v6 2026-10-08</t>
        </is>
      </c>
      <c r="AD529" s="33" t="inlineStr">
        <is>
          <t>David Popovici|2024-06-20|LCM|200|Free|106.15|European Aquatics Championships|SEM|False</t>
        </is>
      </c>
      <c r="AE529" s="53">
        <f>G529+L529/1000+ROW()/1000000000</f>
        <v/>
      </c>
      <c r="AF529" s="35">
        <f>IF(C529&lt;&gt;"Grayson Coulter","",COUNTIFS($C$5:$C$2991,"Grayson Coulter",$Q$5:$Q$2991,Q529,$AE$5:$AE$2991,"&lt;="&amp;AE529,$R$5:$R$2991,"&lt;"&amp;R529))</f>
        <v/>
      </c>
      <c r="AG529" s="35">
        <f>IF(OR(C529&lt;&gt;"Grayson Coulter",G529&lt;'00_Control'!$B$7),"",--(AF529&lt;5))</f>
        <v/>
      </c>
      <c r="AH529" s="35">
        <f>IF(OR(C529&lt;&gt;"Grayson Coulter",G529&lt;'00_Control'!$B$7),"",--(AF529&lt;10))</f>
        <v/>
      </c>
      <c r="AI529" s="35">
        <f>IF(AND(C529="Grayson Coulter",G529&gt;='00_Control'!$B$7),"YES","NO")</f>
        <v/>
      </c>
      <c r="AJ529" s="33" t="inlineStr">
        <is>
          <t>OK</t>
        </is>
      </c>
    </row>
    <row r="530">
      <c r="A530" s="33" t="inlineStr">
        <is>
          <t>SM000526</t>
        </is>
      </c>
      <c r="B530" s="33" t="inlineStr">
        <is>
          <t>SW009</t>
        </is>
      </c>
      <c r="C530" s="33" t="inlineStr">
        <is>
          <t>David Popovici</t>
        </is>
      </c>
      <c r="D530" s="33" t="inlineStr">
        <is>
          <t>SwimCloud</t>
        </is>
      </c>
      <c r="E530" s="33" t="inlineStr">
        <is>
          <t>1405298</t>
        </is>
      </c>
      <c r="F530" s="33" t="inlineStr">
        <is>
          <t>127850520</t>
        </is>
      </c>
      <c r="G530" s="51" t="n">
        <v>45464</v>
      </c>
      <c r="H530" s="33" t="inlineStr">
        <is>
          <t>European Aquatics Championships</t>
        </is>
      </c>
      <c r="I530" s="33" t="inlineStr">
        <is>
          <t>305727</t>
        </is>
      </c>
      <c r="J530" s="33" t="inlineStr"/>
      <c r="K530" s="33" t="inlineStr">
        <is>
          <t>FIN</t>
        </is>
      </c>
      <c r="L530" s="35">
        <f>IF(K530="FIN",3,IF(OR(K530="SEM",K530="SEMI"),2,IF(OR(K530="PRE",K530="HEAT"),1,IF(V530="YES",4,2))))</f>
        <v/>
      </c>
      <c r="M530" s="33" t="inlineStr">
        <is>
          <t>LCM</t>
        </is>
      </c>
      <c r="N530" s="33" t="n">
        <v>200</v>
      </c>
      <c r="O530" s="33" t="inlineStr">
        <is>
          <t>Free</t>
        </is>
      </c>
      <c r="P530" s="33" t="inlineStr">
        <is>
          <t>200 Free</t>
        </is>
      </c>
      <c r="Q530" s="33" t="inlineStr">
        <is>
          <t>LCM_200_FREE</t>
        </is>
      </c>
      <c r="R530" s="36" t="n">
        <v>103.13</v>
      </c>
      <c r="S530" s="35">
        <f>IF(R530="","",IF(R530&gt;=60,INT(R530/60)&amp;":"&amp;TEXT(MOD(R530,60),"00.00"),TEXT(R530,"0.00")))</f>
        <v/>
      </c>
      <c r="T530" s="52">
        <f>IFERROR((G530-INDEX('01_Swimmers'!$E$5:$E$22,MATCH(B530,'01_Swimmers'!$A$5:$A$22,0)))/'00_Control'!$B$10,"")</f>
        <v/>
      </c>
      <c r="U530" s="35">
        <f>IF(T530="","",INT(T530))</f>
        <v/>
      </c>
      <c r="V530" s="33" t="inlineStr">
        <is>
          <t>NO</t>
        </is>
      </c>
      <c r="W530" s="33" t="inlineStr">
        <is>
          <t>YES</t>
        </is>
      </c>
      <c r="X530" s="33" t="inlineStr">
        <is>
          <t>NO</t>
        </is>
      </c>
      <c r="Y530" s="33" t="n">
        <v>1</v>
      </c>
      <c r="Z530" s="33" t="n">
        <v>4</v>
      </c>
      <c r="AA530" s="33" t="inlineStr">
        <is>
          <t>1</t>
        </is>
      </c>
      <c r="AB530" s="33" t="inlineStr">
        <is>
          <t>https://www.swimcloud.com/results/305727/event/21/?id=127850520#time127850520</t>
        </is>
      </c>
      <c r="AC530" s="33" t="inlineStr">
        <is>
          <t>SwimCloud API v6 2026-10-08</t>
        </is>
      </c>
      <c r="AD530" s="33" t="inlineStr">
        <is>
          <t>David Popovici|2024-06-21|LCM|200|Free|103.13|European Aquatics Championships|FIN|False</t>
        </is>
      </c>
      <c r="AE530" s="53">
        <f>G530+L530/1000+ROW()/1000000000</f>
        <v/>
      </c>
      <c r="AF530" s="35">
        <f>IF(C530&lt;&gt;"Grayson Coulter","",COUNTIFS($C$5:$C$2991,"Grayson Coulter",$Q$5:$Q$2991,Q530,$AE$5:$AE$2991,"&lt;="&amp;AE530,$R$5:$R$2991,"&lt;"&amp;R530))</f>
        <v/>
      </c>
      <c r="AG530" s="35">
        <f>IF(OR(C530&lt;&gt;"Grayson Coulter",G530&lt;'00_Control'!$B$7),"",--(AF530&lt;5))</f>
        <v/>
      </c>
      <c r="AH530" s="35">
        <f>IF(OR(C530&lt;&gt;"Grayson Coulter",G530&lt;'00_Control'!$B$7),"",--(AF530&lt;10))</f>
        <v/>
      </c>
      <c r="AI530" s="35">
        <f>IF(AND(C530="Grayson Coulter",G530&gt;='00_Control'!$B$7),"YES","NO")</f>
        <v/>
      </c>
      <c r="AJ530" s="33" t="inlineStr">
        <is>
          <t>OK</t>
        </is>
      </c>
    </row>
    <row r="531">
      <c r="A531" s="33" t="inlineStr">
        <is>
          <t>SM000527</t>
        </is>
      </c>
      <c r="B531" s="33" t="inlineStr">
        <is>
          <t>SW009</t>
        </is>
      </c>
      <c r="C531" s="33" t="inlineStr">
        <is>
          <t>David Popovici</t>
        </is>
      </c>
      <c r="D531" s="33" t="inlineStr">
        <is>
          <t>SwimCloud</t>
        </is>
      </c>
      <c r="E531" s="33" t="inlineStr">
        <is>
          <t>1405298</t>
        </is>
      </c>
      <c r="F531" s="33" t="inlineStr">
        <is>
          <t>130572985</t>
        </is>
      </c>
      <c r="G531" s="51" t="n">
        <v>45500</v>
      </c>
      <c r="H531" s="33" t="inlineStr">
        <is>
          <t>Olympic Games</t>
        </is>
      </c>
      <c r="I531" s="33" t="inlineStr">
        <is>
          <t>2424</t>
        </is>
      </c>
      <c r="J531" s="33" t="inlineStr"/>
      <c r="K531" s="33" t="inlineStr">
        <is>
          <t>PRE</t>
        </is>
      </c>
      <c r="L531" s="35">
        <f>IF(K531="FIN",3,IF(OR(K531="SEM",K531="SEMI"),2,IF(OR(K531="PRE",K531="HEAT"),1,IF(V531="YES",4,2))))</f>
        <v/>
      </c>
      <c r="M531" s="33" t="inlineStr">
        <is>
          <t>LCM</t>
        </is>
      </c>
      <c r="N531" s="33" t="n">
        <v>100</v>
      </c>
      <c r="O531" s="33" t="inlineStr">
        <is>
          <t>Free</t>
        </is>
      </c>
      <c r="P531" s="33" t="inlineStr">
        <is>
          <t>100 Free</t>
        </is>
      </c>
      <c r="Q531" s="33" t="inlineStr">
        <is>
          <t>LCM_100_FREE</t>
        </is>
      </c>
      <c r="R531" s="36" t="n">
        <v>47.92</v>
      </c>
      <c r="S531" s="35">
        <f>IF(R531="","",IF(R531&gt;=60,INT(R531/60)&amp;":"&amp;TEXT(MOD(R531,60),"00.00"),TEXT(R531,"0.00")))</f>
        <v/>
      </c>
      <c r="T531" s="52">
        <f>IFERROR((G531-INDEX('01_Swimmers'!$E$5:$E$22,MATCH(B531,'01_Swimmers'!$A$5:$A$22,0)))/'00_Control'!$B$10,"")</f>
        <v/>
      </c>
      <c r="U531" s="35">
        <f>IF(T531="","",INT(T531))</f>
        <v/>
      </c>
      <c r="V531" s="33" t="inlineStr">
        <is>
          <t>NO</t>
        </is>
      </c>
      <c r="W531" s="33" t="inlineStr">
        <is>
          <t>YES</t>
        </is>
      </c>
      <c r="X531" s="33" t="inlineStr">
        <is>
          <t>NO</t>
        </is>
      </c>
      <c r="Y531" s="33" t="n">
        <v>10</v>
      </c>
      <c r="Z531" s="33" t="n">
        <v>5</v>
      </c>
      <c r="AA531" s="33" t="inlineStr">
        <is>
          <t>3</t>
        </is>
      </c>
      <c r="AB531" s="33" t="inlineStr">
        <is>
          <t>https://www.swimcloud.com/results/2424/event/104/?id=130572985#time130572985</t>
        </is>
      </c>
      <c r="AC531" s="33" t="inlineStr">
        <is>
          <t>SwimCloud API v6 2026-10-08</t>
        </is>
      </c>
      <c r="AD531" s="33" t="inlineStr">
        <is>
          <t>David Popovici|2024-07-27|LCM|100|Free|47.92|Olympic Games|PRE|False</t>
        </is>
      </c>
      <c r="AE531" s="53">
        <f>G531+L531/1000+ROW()/1000000000</f>
        <v/>
      </c>
      <c r="AF531" s="35">
        <f>IF(C531&lt;&gt;"Grayson Coulter","",COUNTIFS($C$5:$C$2991,"Grayson Coulter",$Q$5:$Q$2991,Q531,$AE$5:$AE$2991,"&lt;="&amp;AE531,$R$5:$R$2991,"&lt;"&amp;R531))</f>
        <v/>
      </c>
      <c r="AG531" s="35">
        <f>IF(OR(C531&lt;&gt;"Grayson Coulter",G531&lt;'00_Control'!$B$7),"",--(AF531&lt;5))</f>
        <v/>
      </c>
      <c r="AH531" s="35">
        <f>IF(OR(C531&lt;&gt;"Grayson Coulter",G531&lt;'00_Control'!$B$7),"",--(AF531&lt;10))</f>
        <v/>
      </c>
      <c r="AI531" s="35">
        <f>IF(AND(C531="Grayson Coulter",G531&gt;='00_Control'!$B$7),"YES","NO")</f>
        <v/>
      </c>
      <c r="AJ531" s="33" t="inlineStr">
        <is>
          <t>OK</t>
        </is>
      </c>
    </row>
    <row r="532">
      <c r="A532" s="33" t="inlineStr">
        <is>
          <t>SM000528</t>
        </is>
      </c>
      <c r="B532" s="33" t="inlineStr">
        <is>
          <t>SW009</t>
        </is>
      </c>
      <c r="C532" s="33" t="inlineStr">
        <is>
          <t>David Popovici</t>
        </is>
      </c>
      <c r="D532" s="33" t="inlineStr">
        <is>
          <t>SwimCloud</t>
        </is>
      </c>
      <c r="E532" s="33" t="inlineStr">
        <is>
          <t>1405298</t>
        </is>
      </c>
      <c r="F532" s="33" t="inlineStr">
        <is>
          <t>130612914</t>
        </is>
      </c>
      <c r="G532" s="51" t="n">
        <v>45500</v>
      </c>
      <c r="H532" s="33" t="inlineStr">
        <is>
          <t>Olympic Games</t>
        </is>
      </c>
      <c r="I532" s="33" t="inlineStr">
        <is>
          <t>2424</t>
        </is>
      </c>
      <c r="J532" s="33" t="inlineStr"/>
      <c r="K532" s="33" t="inlineStr">
        <is>
          <t>SEM</t>
        </is>
      </c>
      <c r="L532" s="35">
        <f>IF(K532="FIN",3,IF(OR(K532="SEM",K532="SEMI"),2,IF(OR(K532="PRE",K532="HEAT"),1,IF(V532="YES",4,2))))</f>
        <v/>
      </c>
      <c r="M532" s="33" t="inlineStr">
        <is>
          <t>LCM</t>
        </is>
      </c>
      <c r="N532" s="33" t="n">
        <v>100</v>
      </c>
      <c r="O532" s="33" t="inlineStr">
        <is>
          <t>Free</t>
        </is>
      </c>
      <c r="P532" s="33" t="inlineStr">
        <is>
          <t>100 Free</t>
        </is>
      </c>
      <c r="Q532" s="33" t="inlineStr">
        <is>
          <t>LCM_100_FREE</t>
        </is>
      </c>
      <c r="R532" s="36" t="n">
        <v>47.66</v>
      </c>
      <c r="S532" s="35">
        <f>IF(R532="","",IF(R532&gt;=60,INT(R532/60)&amp;":"&amp;TEXT(MOD(R532,60),"00.00"),TEXT(R532,"0.00")))</f>
        <v/>
      </c>
      <c r="T532" s="52">
        <f>IFERROR((G532-INDEX('01_Swimmers'!$E$5:$E$22,MATCH(B532,'01_Swimmers'!$A$5:$A$22,0)))/'00_Control'!$B$10,"")</f>
        <v/>
      </c>
      <c r="U532" s="35">
        <f>IF(T532="","",INT(T532))</f>
        <v/>
      </c>
      <c r="V532" s="33" t="inlineStr">
        <is>
          <t>NO</t>
        </is>
      </c>
      <c r="W532" s="33" t="inlineStr">
        <is>
          <t>YES</t>
        </is>
      </c>
      <c r="X532" s="33" t="inlineStr">
        <is>
          <t>NO</t>
        </is>
      </c>
      <c r="Y532" s="33" t="n">
        <v>2</v>
      </c>
      <c r="Z532" s="33" t="n">
        <v>5</v>
      </c>
      <c r="AA532" s="33" t="inlineStr">
        <is>
          <t>5</t>
        </is>
      </c>
      <c r="AB532" s="33" t="inlineStr">
        <is>
          <t>https://www.swimcloud.com/results/2424/event/104/?id=130612914#time130612914</t>
        </is>
      </c>
      <c r="AC532" s="33" t="inlineStr">
        <is>
          <t>SwimCloud API v6 2026-10-08</t>
        </is>
      </c>
      <c r="AD532" s="33" t="inlineStr">
        <is>
          <t>David Popovici|2024-07-27|LCM|100|Free|47.66|Olympic Games|SEM|False</t>
        </is>
      </c>
      <c r="AE532" s="53">
        <f>G532+L532/1000+ROW()/1000000000</f>
        <v/>
      </c>
      <c r="AF532" s="35">
        <f>IF(C532&lt;&gt;"Grayson Coulter","",COUNTIFS($C$5:$C$2991,"Grayson Coulter",$Q$5:$Q$2991,Q532,$AE$5:$AE$2991,"&lt;="&amp;AE532,$R$5:$R$2991,"&lt;"&amp;R532))</f>
        <v/>
      </c>
      <c r="AG532" s="35">
        <f>IF(OR(C532&lt;&gt;"Grayson Coulter",G532&lt;'00_Control'!$B$7),"",--(AF532&lt;5))</f>
        <v/>
      </c>
      <c r="AH532" s="35">
        <f>IF(OR(C532&lt;&gt;"Grayson Coulter",G532&lt;'00_Control'!$B$7),"",--(AF532&lt;10))</f>
        <v/>
      </c>
      <c r="AI532" s="35">
        <f>IF(AND(C532="Grayson Coulter",G532&gt;='00_Control'!$B$7),"YES","NO")</f>
        <v/>
      </c>
      <c r="AJ532" s="33" t="inlineStr">
        <is>
          <t>OK</t>
        </is>
      </c>
    </row>
    <row r="533">
      <c r="A533" s="33" t="inlineStr">
        <is>
          <t>SM000529</t>
        </is>
      </c>
      <c r="B533" s="33" t="inlineStr">
        <is>
          <t>SW009</t>
        </is>
      </c>
      <c r="C533" s="33" t="inlineStr">
        <is>
          <t>David Popovici</t>
        </is>
      </c>
      <c r="D533" s="33" t="inlineStr">
        <is>
          <t>SwimCloud</t>
        </is>
      </c>
      <c r="E533" s="33" t="inlineStr">
        <is>
          <t>1405298</t>
        </is>
      </c>
      <c r="F533" s="33" t="inlineStr">
        <is>
          <t>130612930</t>
        </is>
      </c>
      <c r="G533" s="51" t="n">
        <v>45500</v>
      </c>
      <c r="H533" s="33" t="inlineStr">
        <is>
          <t>Olympic Games</t>
        </is>
      </c>
      <c r="I533" s="33" t="inlineStr">
        <is>
          <t>2424</t>
        </is>
      </c>
      <c r="J533" s="33" t="inlineStr"/>
      <c r="K533" s="33" t="inlineStr">
        <is>
          <t>FIN</t>
        </is>
      </c>
      <c r="L533" s="35">
        <f>IF(K533="FIN",3,IF(OR(K533="SEM",K533="SEMI"),2,IF(OR(K533="PRE",K533="HEAT"),1,IF(V533="YES",4,2))))</f>
        <v/>
      </c>
      <c r="M533" s="33" t="inlineStr">
        <is>
          <t>LCM</t>
        </is>
      </c>
      <c r="N533" s="33" t="n">
        <v>100</v>
      </c>
      <c r="O533" s="33" t="inlineStr">
        <is>
          <t>Free</t>
        </is>
      </c>
      <c r="P533" s="33" t="inlineStr">
        <is>
          <t>100 Free</t>
        </is>
      </c>
      <c r="Q533" s="33" t="inlineStr">
        <is>
          <t>LCM_100_FREE</t>
        </is>
      </c>
      <c r="R533" s="36" t="n">
        <v>47.49</v>
      </c>
      <c r="S533" s="35">
        <f>IF(R533="","",IF(R533&gt;=60,INT(R533/60)&amp;":"&amp;TEXT(MOD(R533,60),"00.00"),TEXT(R533,"0.00")))</f>
        <v/>
      </c>
      <c r="T533" s="52">
        <f>IFERROR((G533-INDEX('01_Swimmers'!$E$5:$E$22,MATCH(B533,'01_Swimmers'!$A$5:$A$22,0)))/'00_Control'!$B$10,"")</f>
        <v/>
      </c>
      <c r="U533" s="35">
        <f>IF(T533="","",INT(T533))</f>
        <v/>
      </c>
      <c r="V533" s="33" t="inlineStr">
        <is>
          <t>NO</t>
        </is>
      </c>
      <c r="W533" s="33" t="inlineStr">
        <is>
          <t>YES</t>
        </is>
      </c>
      <c r="X533" s="33" t="inlineStr">
        <is>
          <t>NO</t>
        </is>
      </c>
      <c r="Y533" s="33" t="n">
        <v>1</v>
      </c>
      <c r="Z533" s="33" t="n">
        <v>2</v>
      </c>
      <c r="AA533" s="33" t="inlineStr">
        <is>
          <t>3</t>
        </is>
      </c>
      <c r="AB533" s="33" t="inlineStr">
        <is>
          <t>https://www.swimcloud.com/results/2424/event/104/?id=130612930#time130612930</t>
        </is>
      </c>
      <c r="AC533" s="33" t="inlineStr">
        <is>
          <t>SwimCloud API v6 2026-10-08</t>
        </is>
      </c>
      <c r="AD533" s="33" t="inlineStr">
        <is>
          <t>David Popovici|2024-07-27|LCM|100|Free|47.49|Olympic Games|FIN|False</t>
        </is>
      </c>
      <c r="AE533" s="53">
        <f>G533+L533/1000+ROW()/1000000000</f>
        <v/>
      </c>
      <c r="AF533" s="35">
        <f>IF(C533&lt;&gt;"Grayson Coulter","",COUNTIFS($C$5:$C$2991,"Grayson Coulter",$Q$5:$Q$2991,Q533,$AE$5:$AE$2991,"&lt;="&amp;AE533,$R$5:$R$2991,"&lt;"&amp;R533))</f>
        <v/>
      </c>
      <c r="AG533" s="35">
        <f>IF(OR(C533&lt;&gt;"Grayson Coulter",G533&lt;'00_Control'!$B$7),"",--(AF533&lt;5))</f>
        <v/>
      </c>
      <c r="AH533" s="35">
        <f>IF(OR(C533&lt;&gt;"Grayson Coulter",G533&lt;'00_Control'!$B$7),"",--(AF533&lt;10))</f>
        <v/>
      </c>
      <c r="AI533" s="35">
        <f>IF(AND(C533="Grayson Coulter",G533&gt;='00_Control'!$B$7),"YES","NO")</f>
        <v/>
      </c>
      <c r="AJ533" s="33" t="inlineStr">
        <is>
          <t>OK</t>
        </is>
      </c>
    </row>
    <row r="534">
      <c r="A534" s="33" t="inlineStr">
        <is>
          <t>SM000530</t>
        </is>
      </c>
      <c r="B534" s="33" t="inlineStr">
        <is>
          <t>SW009</t>
        </is>
      </c>
      <c r="C534" s="33" t="inlineStr">
        <is>
          <t>David Popovici</t>
        </is>
      </c>
      <c r="D534" s="33" t="inlineStr">
        <is>
          <t>SwimCloud</t>
        </is>
      </c>
      <c r="E534" s="33" t="inlineStr">
        <is>
          <t>1405298</t>
        </is>
      </c>
      <c r="F534" s="33" t="inlineStr">
        <is>
          <t>130573557</t>
        </is>
      </c>
      <c r="G534" s="51" t="n">
        <v>45500</v>
      </c>
      <c r="H534" s="33" t="inlineStr">
        <is>
          <t>Olympic Games</t>
        </is>
      </c>
      <c r="I534" s="33" t="inlineStr">
        <is>
          <t>2424</t>
        </is>
      </c>
      <c r="J534" s="33" t="inlineStr"/>
      <c r="K534" s="33" t="inlineStr">
        <is>
          <t>PRE</t>
        </is>
      </c>
      <c r="L534" s="35">
        <f>IF(K534="FIN",3,IF(OR(K534="SEM",K534="SEMI"),2,IF(OR(K534="PRE",K534="HEAT"),1,IF(V534="YES",4,2))))</f>
        <v/>
      </c>
      <c r="M534" s="33" t="inlineStr">
        <is>
          <t>LCM</t>
        </is>
      </c>
      <c r="N534" s="33" t="n">
        <v>200</v>
      </c>
      <c r="O534" s="33" t="inlineStr">
        <is>
          <t>Free</t>
        </is>
      </c>
      <c r="P534" s="33" t="inlineStr">
        <is>
          <t>200 Free</t>
        </is>
      </c>
      <c r="Q534" s="33" t="inlineStr">
        <is>
          <t>LCM_200_FREE</t>
        </is>
      </c>
      <c r="R534" s="36" t="n">
        <v>105.65</v>
      </c>
      <c r="S534" s="35">
        <f>IF(R534="","",IF(R534&gt;=60,INT(R534/60)&amp;":"&amp;TEXT(MOD(R534,60),"00.00"),TEXT(R534,"0.00")))</f>
        <v/>
      </c>
      <c r="T534" s="52">
        <f>IFERROR((G534-INDEX('01_Swimmers'!$E$5:$E$22,MATCH(B534,'01_Swimmers'!$A$5:$A$22,0)))/'00_Control'!$B$10,"")</f>
        <v/>
      </c>
      <c r="U534" s="35">
        <f>IF(T534="","",INT(T534))</f>
        <v/>
      </c>
      <c r="V534" s="33" t="inlineStr">
        <is>
          <t>NO</t>
        </is>
      </c>
      <c r="W534" s="33" t="inlineStr">
        <is>
          <t>YES</t>
        </is>
      </c>
      <c r="X534" s="33" t="inlineStr">
        <is>
          <t>NO</t>
        </is>
      </c>
      <c r="Y534" s="33" t="n">
        <v>1</v>
      </c>
      <c r="Z534" s="33" t="n">
        <v>1</v>
      </c>
      <c r="AA534" s="33" t="inlineStr">
        <is>
          <t>1</t>
        </is>
      </c>
      <c r="AB534" s="33" t="inlineStr">
        <is>
          <t>https://www.swimcloud.com/results/2424/event/106/?id=130573557#time130573557</t>
        </is>
      </c>
      <c r="AC534" s="33" t="inlineStr">
        <is>
          <t>SwimCloud API v6 2026-10-08</t>
        </is>
      </c>
      <c r="AD534" s="33" t="inlineStr">
        <is>
          <t>David Popovici|2024-07-27|LCM|200|Free|105.65|Olympic Games|PRE|False</t>
        </is>
      </c>
      <c r="AE534" s="53">
        <f>G534+L534/1000+ROW()/1000000000</f>
        <v/>
      </c>
      <c r="AF534" s="35">
        <f>IF(C534&lt;&gt;"Grayson Coulter","",COUNTIFS($C$5:$C$2991,"Grayson Coulter",$Q$5:$Q$2991,Q534,$AE$5:$AE$2991,"&lt;="&amp;AE534,$R$5:$R$2991,"&lt;"&amp;R534))</f>
        <v/>
      </c>
      <c r="AG534" s="35">
        <f>IF(OR(C534&lt;&gt;"Grayson Coulter",G534&lt;'00_Control'!$B$7),"",--(AF534&lt;5))</f>
        <v/>
      </c>
      <c r="AH534" s="35">
        <f>IF(OR(C534&lt;&gt;"Grayson Coulter",G534&lt;'00_Control'!$B$7),"",--(AF534&lt;10))</f>
        <v/>
      </c>
      <c r="AI534" s="35">
        <f>IF(AND(C534="Grayson Coulter",G534&gt;='00_Control'!$B$7),"YES","NO")</f>
        <v/>
      </c>
      <c r="AJ534" s="33" t="inlineStr">
        <is>
          <t>OK</t>
        </is>
      </c>
    </row>
    <row r="535">
      <c r="A535" s="33" t="inlineStr">
        <is>
          <t>SM000531</t>
        </is>
      </c>
      <c r="B535" s="33" t="inlineStr">
        <is>
          <t>SW009</t>
        </is>
      </c>
      <c r="C535" s="33" t="inlineStr">
        <is>
          <t>David Popovici</t>
        </is>
      </c>
      <c r="D535" s="33" t="inlineStr">
        <is>
          <t>SwimCloud</t>
        </is>
      </c>
      <c r="E535" s="33" t="inlineStr">
        <is>
          <t>1405298</t>
        </is>
      </c>
      <c r="F535" s="33" t="inlineStr">
        <is>
          <t>130574599</t>
        </is>
      </c>
      <c r="G535" s="51" t="n">
        <v>45500</v>
      </c>
      <c r="H535" s="33" t="inlineStr">
        <is>
          <t>Olympic Games</t>
        </is>
      </c>
      <c r="I535" s="33" t="inlineStr">
        <is>
          <t>2424</t>
        </is>
      </c>
      <c r="J535" s="33" t="inlineStr"/>
      <c r="K535" s="33" t="inlineStr">
        <is>
          <t>SEM</t>
        </is>
      </c>
      <c r="L535" s="35">
        <f>IF(K535="FIN",3,IF(OR(K535="SEM",K535="SEMI"),2,IF(OR(K535="PRE",K535="HEAT"),1,IF(V535="YES",4,2))))</f>
        <v/>
      </c>
      <c r="M535" s="33" t="inlineStr">
        <is>
          <t>LCM</t>
        </is>
      </c>
      <c r="N535" s="33" t="n">
        <v>200</v>
      </c>
      <c r="O535" s="33" t="inlineStr">
        <is>
          <t>Free</t>
        </is>
      </c>
      <c r="P535" s="33" t="inlineStr">
        <is>
          <t>200 Free</t>
        </is>
      </c>
      <c r="Q535" s="33" t="inlineStr">
        <is>
          <t>LCM_200_FREE</t>
        </is>
      </c>
      <c r="R535" s="36" t="n">
        <v>104.53</v>
      </c>
      <c r="S535" s="35">
        <f>IF(R535="","",IF(R535&gt;=60,INT(R535/60)&amp;":"&amp;TEXT(MOD(R535,60),"00.00"),TEXT(R535,"0.00")))</f>
        <v/>
      </c>
      <c r="T535" s="52">
        <f>IFERROR((G535-INDEX('01_Swimmers'!$E$5:$E$22,MATCH(B535,'01_Swimmers'!$A$5:$A$22,0)))/'00_Control'!$B$10,"")</f>
        <v/>
      </c>
      <c r="U535" s="35">
        <f>IF(T535="","",INT(T535))</f>
        <v/>
      </c>
      <c r="V535" s="33" t="inlineStr">
        <is>
          <t>NO</t>
        </is>
      </c>
      <c r="W535" s="33" t="inlineStr">
        <is>
          <t>YES</t>
        </is>
      </c>
      <c r="X535" s="33" t="inlineStr">
        <is>
          <t>NO</t>
        </is>
      </c>
      <c r="Y535" s="33" t="n">
        <v>2</v>
      </c>
      <c r="Z535" s="33" t="n">
        <v>4</v>
      </c>
      <c r="AA535" s="33" t="inlineStr">
        <is>
          <t>1</t>
        </is>
      </c>
      <c r="AB535" s="33" t="inlineStr">
        <is>
          <t>https://www.swimcloud.com/results/2424/event/106/?id=130574599#time130574599</t>
        </is>
      </c>
      <c r="AC535" s="33" t="inlineStr">
        <is>
          <t>SwimCloud API v6 2026-10-08</t>
        </is>
      </c>
      <c r="AD535" s="33" t="inlineStr">
        <is>
          <t>David Popovici|2024-07-27|LCM|200|Free|104.53|Olympic Games|SEM|False</t>
        </is>
      </c>
      <c r="AE535" s="53">
        <f>G535+L535/1000+ROW()/1000000000</f>
        <v/>
      </c>
      <c r="AF535" s="35">
        <f>IF(C535&lt;&gt;"Grayson Coulter","",COUNTIFS($C$5:$C$2991,"Grayson Coulter",$Q$5:$Q$2991,Q535,$AE$5:$AE$2991,"&lt;="&amp;AE535,$R$5:$R$2991,"&lt;"&amp;R535))</f>
        <v/>
      </c>
      <c r="AG535" s="35">
        <f>IF(OR(C535&lt;&gt;"Grayson Coulter",G535&lt;'00_Control'!$B$7),"",--(AF535&lt;5))</f>
        <v/>
      </c>
      <c r="AH535" s="35">
        <f>IF(OR(C535&lt;&gt;"Grayson Coulter",G535&lt;'00_Control'!$B$7),"",--(AF535&lt;10))</f>
        <v/>
      </c>
      <c r="AI535" s="35">
        <f>IF(AND(C535="Grayson Coulter",G535&gt;='00_Control'!$B$7),"YES","NO")</f>
        <v/>
      </c>
      <c r="AJ535" s="33" t="inlineStr">
        <is>
          <t>OK</t>
        </is>
      </c>
    </row>
    <row r="536">
      <c r="A536" s="33" t="inlineStr">
        <is>
          <t>SM000532</t>
        </is>
      </c>
      <c r="B536" s="33" t="inlineStr">
        <is>
          <t>SW009</t>
        </is>
      </c>
      <c r="C536" s="33" t="inlineStr">
        <is>
          <t>David Popovici</t>
        </is>
      </c>
      <c r="D536" s="33" t="inlineStr">
        <is>
          <t>SwimCloud</t>
        </is>
      </c>
      <c r="E536" s="33" t="inlineStr">
        <is>
          <t>1405298</t>
        </is>
      </c>
      <c r="F536" s="33" t="inlineStr">
        <is>
          <t>130574616</t>
        </is>
      </c>
      <c r="G536" s="51" t="n">
        <v>45500</v>
      </c>
      <c r="H536" s="33" t="inlineStr">
        <is>
          <t>Olympic Games</t>
        </is>
      </c>
      <c r="I536" s="33" t="inlineStr">
        <is>
          <t>2424</t>
        </is>
      </c>
      <c r="J536" s="33" t="inlineStr"/>
      <c r="K536" s="33" t="inlineStr">
        <is>
          <t>FIN</t>
        </is>
      </c>
      <c r="L536" s="35">
        <f>IF(K536="FIN",3,IF(OR(K536="SEM",K536="SEMI"),2,IF(OR(K536="PRE",K536="HEAT"),1,IF(V536="YES",4,2))))</f>
        <v/>
      </c>
      <c r="M536" s="33" t="inlineStr">
        <is>
          <t>LCM</t>
        </is>
      </c>
      <c r="N536" s="33" t="n">
        <v>200</v>
      </c>
      <c r="O536" s="33" t="inlineStr">
        <is>
          <t>Free</t>
        </is>
      </c>
      <c r="P536" s="33" t="inlineStr">
        <is>
          <t>200 Free</t>
        </is>
      </c>
      <c r="Q536" s="33" t="inlineStr">
        <is>
          <t>LCM_200_FREE</t>
        </is>
      </c>
      <c r="R536" s="36" t="n">
        <v>104.72</v>
      </c>
      <c r="S536" s="35">
        <f>IF(R536="","",IF(R536&gt;=60,INT(R536/60)&amp;":"&amp;TEXT(MOD(R536,60),"00.00"),TEXT(R536,"0.00")))</f>
        <v/>
      </c>
      <c r="T536" s="52">
        <f>IFERROR((G536-INDEX('01_Swimmers'!$E$5:$E$22,MATCH(B536,'01_Swimmers'!$A$5:$A$22,0)))/'00_Control'!$B$10,"")</f>
        <v/>
      </c>
      <c r="U536" s="35">
        <f>IF(T536="","",INT(T536))</f>
        <v/>
      </c>
      <c r="V536" s="33" t="inlineStr">
        <is>
          <t>NO</t>
        </is>
      </c>
      <c r="W536" s="33" t="inlineStr">
        <is>
          <t>YES</t>
        </is>
      </c>
      <c r="X536" s="33" t="inlineStr">
        <is>
          <t>NO</t>
        </is>
      </c>
      <c r="Y536" s="33" t="n">
        <v>1</v>
      </c>
      <c r="Z536" s="33" t="n">
        <v>4</v>
      </c>
      <c r="AA536" s="33" t="inlineStr">
        <is>
          <t>1</t>
        </is>
      </c>
      <c r="AB536" s="33" t="inlineStr">
        <is>
          <t>https://www.swimcloud.com/results/2424/event/106/?id=130574616#time130574616</t>
        </is>
      </c>
      <c r="AC536" s="33" t="inlineStr">
        <is>
          <t>SwimCloud API v6 2026-10-08</t>
        </is>
      </c>
      <c r="AD536" s="33" t="inlineStr">
        <is>
          <t>David Popovici|2024-07-27|LCM|200|Free|104.72|Olympic Games|FIN|False</t>
        </is>
      </c>
      <c r="AE536" s="53">
        <f>G536+L536/1000+ROW()/1000000000</f>
        <v/>
      </c>
      <c r="AF536" s="35">
        <f>IF(C536&lt;&gt;"Grayson Coulter","",COUNTIFS($C$5:$C$2991,"Grayson Coulter",$Q$5:$Q$2991,Q536,$AE$5:$AE$2991,"&lt;="&amp;AE536,$R$5:$R$2991,"&lt;"&amp;R536))</f>
        <v/>
      </c>
      <c r="AG536" s="35">
        <f>IF(OR(C536&lt;&gt;"Grayson Coulter",G536&lt;'00_Control'!$B$7),"",--(AF536&lt;5))</f>
        <v/>
      </c>
      <c r="AH536" s="35">
        <f>IF(OR(C536&lt;&gt;"Grayson Coulter",G536&lt;'00_Control'!$B$7),"",--(AF536&lt;10))</f>
        <v/>
      </c>
      <c r="AI536" s="35">
        <f>IF(AND(C536="Grayson Coulter",G536&gt;='00_Control'!$B$7),"YES","NO")</f>
        <v/>
      </c>
      <c r="AJ536" s="33" t="inlineStr">
        <is>
          <t>OK</t>
        </is>
      </c>
    </row>
    <row r="537">
      <c r="A537" s="33" t="inlineStr">
        <is>
          <t>SM000533</t>
        </is>
      </c>
      <c r="B537" s="33" t="inlineStr">
        <is>
          <t>SW009</t>
        </is>
      </c>
      <c r="C537" s="33" t="inlineStr">
        <is>
          <t>David Popovici</t>
        </is>
      </c>
      <c r="D537" s="33" t="inlineStr">
        <is>
          <t>SwimCloud</t>
        </is>
      </c>
      <c r="E537" s="33" t="inlineStr">
        <is>
          <t>1405298</t>
        </is>
      </c>
      <c r="F537" s="33" t="inlineStr">
        <is>
          <t>155812719</t>
        </is>
      </c>
      <c r="G537" s="51" t="n">
        <v>45839</v>
      </c>
      <c r="H537" s="33" t="inlineStr">
        <is>
          <t>LEN European U23 Championships</t>
        </is>
      </c>
      <c r="I537" s="33" t="inlineStr">
        <is>
          <t>348405</t>
        </is>
      </c>
      <c r="J537" s="33" t="inlineStr"/>
      <c r="K537" s="33" t="inlineStr">
        <is>
          <t>TIM</t>
        </is>
      </c>
      <c r="L537" s="35">
        <f>IF(K537="FIN",3,IF(OR(K537="SEM",K537="SEMI"),2,IF(OR(K537="PRE",K537="HEAT"),1,IF(V537="YES",4,2))))</f>
        <v/>
      </c>
      <c r="M537" s="33" t="inlineStr">
        <is>
          <t>LCM</t>
        </is>
      </c>
      <c r="N537" s="33" t="n">
        <v>100</v>
      </c>
      <c r="O537" s="33" t="inlineStr">
        <is>
          <t>Free</t>
        </is>
      </c>
      <c r="P537" s="33" t="inlineStr">
        <is>
          <t>100 Free</t>
        </is>
      </c>
      <c r="Q537" s="33" t="inlineStr">
        <is>
          <t>LCM_100_FREE</t>
        </is>
      </c>
      <c r="R537" s="36" t="n">
        <v>46.71</v>
      </c>
      <c r="S537" s="35">
        <f>IF(R537="","",IF(R537&gt;=60,INT(R537/60)&amp;":"&amp;TEXT(MOD(R537,60),"00.00"),TEXT(R537,"0.00")))</f>
        <v/>
      </c>
      <c r="T537" s="52">
        <f>IFERROR((G537-INDEX('01_Swimmers'!$E$5:$E$22,MATCH(B537,'01_Swimmers'!$A$5:$A$22,0)))/'00_Control'!$B$10,"")</f>
        <v/>
      </c>
      <c r="U537" s="35">
        <f>IF(T537="","",INT(T537))</f>
        <v/>
      </c>
      <c r="V537" s="33" t="inlineStr">
        <is>
          <t>NO</t>
        </is>
      </c>
      <c r="W537" s="33" t="inlineStr">
        <is>
          <t>YES</t>
        </is>
      </c>
      <c r="X537" s="33" t="inlineStr">
        <is>
          <t>NO</t>
        </is>
      </c>
      <c r="Y537" s="33" t="n"/>
      <c r="Z537" s="33" t="n"/>
      <c r="AA537" s="33" t="inlineStr">
        <is>
          <t>1</t>
        </is>
      </c>
      <c r="AB537" s="33" t="inlineStr">
        <is>
          <t>https://www.swimcloud.com/results/348405/event/29/?id=155812719#time155812719</t>
        </is>
      </c>
      <c r="AC537" s="33" t="inlineStr">
        <is>
          <t>SwimCloud API v6 2026-10-08</t>
        </is>
      </c>
      <c r="AD537" s="33" t="inlineStr">
        <is>
          <t>David Popovici|2025-07-01|LCM|100|Free|46.71|LEN European U23 Championships|TIM|False</t>
        </is>
      </c>
      <c r="AE537" s="53">
        <f>G537+L537/1000+ROW()/1000000000</f>
        <v/>
      </c>
      <c r="AF537" s="35">
        <f>IF(C537&lt;&gt;"Grayson Coulter","",COUNTIFS($C$5:$C$2991,"Grayson Coulter",$Q$5:$Q$2991,Q537,$AE$5:$AE$2991,"&lt;="&amp;AE537,$R$5:$R$2991,"&lt;"&amp;R537))</f>
        <v/>
      </c>
      <c r="AG537" s="35">
        <f>IF(OR(C537&lt;&gt;"Grayson Coulter",G537&lt;'00_Control'!$B$7),"",--(AF537&lt;5))</f>
        <v/>
      </c>
      <c r="AH537" s="35">
        <f>IF(OR(C537&lt;&gt;"Grayson Coulter",G537&lt;'00_Control'!$B$7),"",--(AF537&lt;10))</f>
        <v/>
      </c>
      <c r="AI537" s="35">
        <f>IF(AND(C537="Grayson Coulter",G537&gt;='00_Control'!$B$7),"YES","NO")</f>
        <v/>
      </c>
      <c r="AJ537" s="33" t="inlineStr">
        <is>
          <t>OK</t>
        </is>
      </c>
    </row>
    <row r="538">
      <c r="A538" s="33" t="inlineStr">
        <is>
          <t>SM000534</t>
        </is>
      </c>
      <c r="B538" s="33" t="inlineStr">
        <is>
          <t>SW009</t>
        </is>
      </c>
      <c r="C538" s="33" t="inlineStr">
        <is>
          <t>David Popovici</t>
        </is>
      </c>
      <c r="D538" s="33" t="inlineStr">
        <is>
          <t>SwimCloud</t>
        </is>
      </c>
      <c r="E538" s="33" t="inlineStr">
        <is>
          <t>1405298</t>
        </is>
      </c>
      <c r="F538" s="33" t="inlineStr">
        <is>
          <t>155812686</t>
        </is>
      </c>
      <c r="G538" s="51" t="n">
        <v>45839</v>
      </c>
      <c r="H538" s="33" t="inlineStr">
        <is>
          <t>LEN European U23 Championships</t>
        </is>
      </c>
      <c r="I538" s="33" t="inlineStr">
        <is>
          <t>348405</t>
        </is>
      </c>
      <c r="J538" s="33" t="inlineStr"/>
      <c r="K538" s="33" t="inlineStr">
        <is>
          <t>TIM</t>
        </is>
      </c>
      <c r="L538" s="35">
        <f>IF(K538="FIN",3,IF(OR(K538="SEM",K538="SEMI"),2,IF(OR(K538="PRE",K538="HEAT"),1,IF(V538="YES",4,2))))</f>
        <v/>
      </c>
      <c r="M538" s="33" t="inlineStr">
        <is>
          <t>LCM</t>
        </is>
      </c>
      <c r="N538" s="33" t="n">
        <v>200</v>
      </c>
      <c r="O538" s="33" t="inlineStr">
        <is>
          <t>Free</t>
        </is>
      </c>
      <c r="P538" s="33" t="inlineStr">
        <is>
          <t>200 Free</t>
        </is>
      </c>
      <c r="Q538" s="33" t="inlineStr">
        <is>
          <t>LCM_200_FREE</t>
        </is>
      </c>
      <c r="R538" s="36" t="n">
        <v>103.64</v>
      </c>
      <c r="S538" s="35">
        <f>IF(R538="","",IF(R538&gt;=60,INT(R538/60)&amp;":"&amp;TEXT(MOD(R538,60),"00.00"),TEXT(R538,"0.00")))</f>
        <v/>
      </c>
      <c r="T538" s="52">
        <f>IFERROR((G538-INDEX('01_Swimmers'!$E$5:$E$22,MATCH(B538,'01_Swimmers'!$A$5:$A$22,0)))/'00_Control'!$B$10,"")</f>
        <v/>
      </c>
      <c r="U538" s="35">
        <f>IF(T538="","",INT(T538))</f>
        <v/>
      </c>
      <c r="V538" s="33" t="inlineStr">
        <is>
          <t>NO</t>
        </is>
      </c>
      <c r="W538" s="33" t="inlineStr">
        <is>
          <t>YES</t>
        </is>
      </c>
      <c r="X538" s="33" t="inlineStr">
        <is>
          <t>NO</t>
        </is>
      </c>
      <c r="Y538" s="33" t="n"/>
      <c r="Z538" s="33" t="n"/>
      <c r="AA538" s="33" t="inlineStr">
        <is>
          <t>1</t>
        </is>
      </c>
      <c r="AB538" s="33" t="inlineStr">
        <is>
          <t>https://www.swimcloud.com/results/348405/event/30/?id=155812686#time155812686</t>
        </is>
      </c>
      <c r="AC538" s="33" t="inlineStr">
        <is>
          <t>SwimCloud API v6 2026-10-08</t>
        </is>
      </c>
      <c r="AD538" s="33" t="inlineStr">
        <is>
          <t>David Popovici|2025-07-01|LCM|200|Free|103.64|LEN European U23 Championships|TIM|False</t>
        </is>
      </c>
      <c r="AE538" s="53">
        <f>G538+L538/1000+ROW()/1000000000</f>
        <v/>
      </c>
      <c r="AF538" s="35">
        <f>IF(C538&lt;&gt;"Grayson Coulter","",COUNTIFS($C$5:$C$2991,"Grayson Coulter",$Q$5:$Q$2991,Q538,$AE$5:$AE$2991,"&lt;="&amp;AE538,$R$5:$R$2991,"&lt;"&amp;R538))</f>
        <v/>
      </c>
      <c r="AG538" s="35">
        <f>IF(OR(C538&lt;&gt;"Grayson Coulter",G538&lt;'00_Control'!$B$7),"",--(AF538&lt;5))</f>
        <v/>
      </c>
      <c r="AH538" s="35">
        <f>IF(OR(C538&lt;&gt;"Grayson Coulter",G538&lt;'00_Control'!$B$7),"",--(AF538&lt;10))</f>
        <v/>
      </c>
      <c r="AI538" s="35">
        <f>IF(AND(C538="Grayson Coulter",G538&gt;='00_Control'!$B$7),"YES","NO")</f>
        <v/>
      </c>
      <c r="AJ538" s="33" t="inlineStr">
        <is>
          <t>OK</t>
        </is>
      </c>
    </row>
    <row r="539">
      <c r="A539" s="33" t="inlineStr">
        <is>
          <t>SM000535</t>
        </is>
      </c>
      <c r="B539" s="33" t="inlineStr">
        <is>
          <t>SW009</t>
        </is>
      </c>
      <c r="C539" s="33" t="inlineStr">
        <is>
          <t>David Popovici</t>
        </is>
      </c>
      <c r="D539" s="33" t="inlineStr">
        <is>
          <t>SwimCloud</t>
        </is>
      </c>
      <c r="E539" s="33" t="inlineStr">
        <is>
          <t>1405298</t>
        </is>
      </c>
      <c r="F539" s="33" t="inlineStr">
        <is>
          <t>156828371</t>
        </is>
      </c>
      <c r="G539" s="51" t="n">
        <v>45866</v>
      </c>
      <c r="H539" s="33" t="inlineStr">
        <is>
          <t>22nd World Aquatics Championships</t>
        </is>
      </c>
      <c r="I539" s="33" t="inlineStr">
        <is>
          <t>348385</t>
        </is>
      </c>
      <c r="J539" s="33" t="inlineStr"/>
      <c r="K539" s="33" t="inlineStr">
        <is>
          <t>PRE</t>
        </is>
      </c>
      <c r="L539" s="35">
        <f>IF(K539="FIN",3,IF(OR(K539="SEM",K539="SEMI"),2,IF(OR(K539="PRE",K539="HEAT"),1,IF(V539="YES",4,2))))</f>
        <v/>
      </c>
      <c r="M539" s="33" t="inlineStr">
        <is>
          <t>LCM</t>
        </is>
      </c>
      <c r="N539" s="33" t="n">
        <v>200</v>
      </c>
      <c r="O539" s="33" t="inlineStr">
        <is>
          <t>Free</t>
        </is>
      </c>
      <c r="P539" s="33" t="inlineStr">
        <is>
          <t>200 Free</t>
        </is>
      </c>
      <c r="Q539" s="33" t="inlineStr">
        <is>
          <t>LCM_200_FREE</t>
        </is>
      </c>
      <c r="R539" s="36" t="n">
        <v>105.43</v>
      </c>
      <c r="S539" s="35">
        <f>IF(R539="","",IF(R539&gt;=60,INT(R539/60)&amp;":"&amp;TEXT(MOD(R539,60),"00.00"),TEXT(R539,"0.00")))</f>
        <v/>
      </c>
      <c r="T539" s="52">
        <f>IFERROR((G539-INDEX('01_Swimmers'!$E$5:$E$22,MATCH(B539,'01_Swimmers'!$A$5:$A$22,0)))/'00_Control'!$B$10,"")</f>
        <v/>
      </c>
      <c r="U539" s="35">
        <f>IF(T539="","",INT(T539))</f>
        <v/>
      </c>
      <c r="V539" s="33" t="inlineStr">
        <is>
          <t>NO</t>
        </is>
      </c>
      <c r="W539" s="33" t="inlineStr">
        <is>
          <t>YES</t>
        </is>
      </c>
      <c r="X539" s="33" t="inlineStr">
        <is>
          <t>NO</t>
        </is>
      </c>
      <c r="Y539" s="33" t="n">
        <v>6</v>
      </c>
      <c r="Z539" s="33" t="n">
        <v>3</v>
      </c>
      <c r="AA539" s="33" t="inlineStr">
        <is>
          <t>1</t>
        </is>
      </c>
      <c r="AB539" s="33" t="inlineStr">
        <is>
          <t>https://www.swimcloud.com/results/348385/event/12/?id=156828371#time156828371</t>
        </is>
      </c>
      <c r="AC539" s="33" t="inlineStr">
        <is>
          <t>SwimCloud API v6 2026-10-08</t>
        </is>
      </c>
      <c r="AD539" s="33" t="inlineStr">
        <is>
          <t>David Popovici|2025-07-28|LCM|200|Free|105.43|22nd World Aquatics Championships|PRE|False</t>
        </is>
      </c>
      <c r="AE539" s="53">
        <f>G539+L539/1000+ROW()/1000000000</f>
        <v/>
      </c>
      <c r="AF539" s="35">
        <f>IF(C539&lt;&gt;"Grayson Coulter","",COUNTIFS($C$5:$C$2991,"Grayson Coulter",$Q$5:$Q$2991,Q539,$AE$5:$AE$2991,"&lt;="&amp;AE539,$R$5:$R$2991,"&lt;"&amp;R539))</f>
        <v/>
      </c>
      <c r="AG539" s="35">
        <f>IF(OR(C539&lt;&gt;"Grayson Coulter",G539&lt;'00_Control'!$B$7),"",--(AF539&lt;5))</f>
        <v/>
      </c>
      <c r="AH539" s="35">
        <f>IF(OR(C539&lt;&gt;"Grayson Coulter",G539&lt;'00_Control'!$B$7),"",--(AF539&lt;10))</f>
        <v/>
      </c>
      <c r="AI539" s="35">
        <f>IF(AND(C539="Grayson Coulter",G539&gt;='00_Control'!$B$7),"YES","NO")</f>
        <v/>
      </c>
      <c r="AJ539" s="33" t="inlineStr">
        <is>
          <t>OK</t>
        </is>
      </c>
    </row>
    <row r="540">
      <c r="A540" s="33" t="inlineStr">
        <is>
          <t>SM000536</t>
        </is>
      </c>
      <c r="B540" s="33" t="inlineStr">
        <is>
          <t>SW009</t>
        </is>
      </c>
      <c r="C540" s="33" t="inlineStr">
        <is>
          <t>David Popovici</t>
        </is>
      </c>
      <c r="D540" s="33" t="inlineStr">
        <is>
          <t>SwimCloud</t>
        </is>
      </c>
      <c r="E540" s="33" t="inlineStr">
        <is>
          <t>1405298</t>
        </is>
      </c>
      <c r="F540" s="33" t="inlineStr">
        <is>
          <t>156828372</t>
        </is>
      </c>
      <c r="G540" s="51" t="n">
        <v>45866</v>
      </c>
      <c r="H540" s="33" t="inlineStr">
        <is>
          <t>22nd World Aquatics Championships</t>
        </is>
      </c>
      <c r="I540" s="33" t="inlineStr">
        <is>
          <t>348385</t>
        </is>
      </c>
      <c r="J540" s="33" t="inlineStr"/>
      <c r="K540" s="33" t="inlineStr">
        <is>
          <t>SEM</t>
        </is>
      </c>
      <c r="L540" s="35">
        <f>IF(K540="FIN",3,IF(OR(K540="SEM",K540="SEMI"),2,IF(OR(K540="PRE",K540="HEAT"),1,IF(V540="YES",4,2))))</f>
        <v/>
      </c>
      <c r="M540" s="33" t="inlineStr">
        <is>
          <t>LCM</t>
        </is>
      </c>
      <c r="N540" s="33" t="n">
        <v>200</v>
      </c>
      <c r="O540" s="33" t="inlineStr">
        <is>
          <t>Free</t>
        </is>
      </c>
      <c r="P540" s="33" t="inlineStr">
        <is>
          <t>200 Free</t>
        </is>
      </c>
      <c r="Q540" s="33" t="inlineStr">
        <is>
          <t>LCM_200_FREE</t>
        </is>
      </c>
      <c r="R540" s="36" t="n">
        <v>105.02</v>
      </c>
      <c r="S540" s="35">
        <f>IF(R540="","",IF(R540&gt;=60,INT(R540/60)&amp;":"&amp;TEXT(MOD(R540,60),"00.00"),TEXT(R540,"0.00")))</f>
        <v/>
      </c>
      <c r="T540" s="52">
        <f>IFERROR((G540-INDEX('01_Swimmers'!$E$5:$E$22,MATCH(B540,'01_Swimmers'!$A$5:$A$22,0)))/'00_Control'!$B$10,"")</f>
        <v/>
      </c>
      <c r="U540" s="35">
        <f>IF(T540="","",INT(T540))</f>
        <v/>
      </c>
      <c r="V540" s="33" t="inlineStr">
        <is>
          <t>NO</t>
        </is>
      </c>
      <c r="W540" s="33" t="inlineStr">
        <is>
          <t>YES</t>
        </is>
      </c>
      <c r="X540" s="33" t="inlineStr">
        <is>
          <t>NO</t>
        </is>
      </c>
      <c r="Y540" s="33" t="n">
        <v>2</v>
      </c>
      <c r="Z540" s="33" t="n">
        <v>4</v>
      </c>
      <c r="AA540" s="33" t="inlineStr">
        <is>
          <t>4</t>
        </is>
      </c>
      <c r="AB540" s="33" t="inlineStr">
        <is>
          <t>https://www.swimcloud.com/results/348385/event/12/?id=156828372#time156828372</t>
        </is>
      </c>
      <c r="AC540" s="33" t="inlineStr">
        <is>
          <t>SwimCloud API v6 2026-10-08</t>
        </is>
      </c>
      <c r="AD540" s="33" t="inlineStr">
        <is>
          <t>David Popovici|2025-07-28|LCM|200|Free|105.02|22nd World Aquatics Championships|SEM|False</t>
        </is>
      </c>
      <c r="AE540" s="53">
        <f>G540+L540/1000+ROW()/1000000000</f>
        <v/>
      </c>
      <c r="AF540" s="35">
        <f>IF(C540&lt;&gt;"Grayson Coulter","",COUNTIFS($C$5:$C$2991,"Grayson Coulter",$Q$5:$Q$2991,Q540,$AE$5:$AE$2991,"&lt;="&amp;AE540,$R$5:$R$2991,"&lt;"&amp;R540))</f>
        <v/>
      </c>
      <c r="AG540" s="35">
        <f>IF(OR(C540&lt;&gt;"Grayson Coulter",G540&lt;'00_Control'!$B$7),"",--(AF540&lt;5))</f>
        <v/>
      </c>
      <c r="AH540" s="35">
        <f>IF(OR(C540&lt;&gt;"Grayson Coulter",G540&lt;'00_Control'!$B$7),"",--(AF540&lt;10))</f>
        <v/>
      </c>
      <c r="AI540" s="35">
        <f>IF(AND(C540="Grayson Coulter",G540&gt;='00_Control'!$B$7),"YES","NO")</f>
        <v/>
      </c>
      <c r="AJ540" s="33" t="inlineStr">
        <is>
          <t>OK</t>
        </is>
      </c>
    </row>
    <row r="541">
      <c r="A541" s="33" t="inlineStr">
        <is>
          <t>SM000537</t>
        </is>
      </c>
      <c r="B541" s="33" t="inlineStr">
        <is>
          <t>SW009</t>
        </is>
      </c>
      <c r="C541" s="33" t="inlineStr">
        <is>
          <t>David Popovici</t>
        </is>
      </c>
      <c r="D541" s="33" t="inlineStr">
        <is>
          <t>SwimCloud</t>
        </is>
      </c>
      <c r="E541" s="33" t="inlineStr">
        <is>
          <t>1405298</t>
        </is>
      </c>
      <c r="F541" s="33" t="inlineStr">
        <is>
          <t>156828370</t>
        </is>
      </c>
      <c r="G541" s="51" t="n">
        <v>45867</v>
      </c>
      <c r="H541" s="33" t="inlineStr">
        <is>
          <t>22nd World Aquatics Championships</t>
        </is>
      </c>
      <c r="I541" s="33" t="inlineStr">
        <is>
          <t>348385</t>
        </is>
      </c>
      <c r="J541" s="33" t="inlineStr"/>
      <c r="K541" s="33" t="inlineStr">
        <is>
          <t>FIN</t>
        </is>
      </c>
      <c r="L541" s="35">
        <f>IF(K541="FIN",3,IF(OR(K541="SEM",K541="SEMI"),2,IF(OR(K541="PRE",K541="HEAT"),1,IF(V541="YES",4,2))))</f>
        <v/>
      </c>
      <c r="M541" s="33" t="inlineStr">
        <is>
          <t>LCM</t>
        </is>
      </c>
      <c r="N541" s="33" t="n">
        <v>200</v>
      </c>
      <c r="O541" s="33" t="inlineStr">
        <is>
          <t>Free</t>
        </is>
      </c>
      <c r="P541" s="33" t="inlineStr">
        <is>
          <t>200 Free</t>
        </is>
      </c>
      <c r="Q541" s="33" t="inlineStr">
        <is>
          <t>LCM_200_FREE</t>
        </is>
      </c>
      <c r="R541" s="36" t="n">
        <v>103.53</v>
      </c>
      <c r="S541" s="35">
        <f>IF(R541="","",IF(R541&gt;=60,INT(R541/60)&amp;":"&amp;TEXT(MOD(R541,60),"00.00"),TEXT(R541,"0.00")))</f>
        <v/>
      </c>
      <c r="T541" s="52">
        <f>IFERROR((G541-INDEX('01_Swimmers'!$E$5:$E$22,MATCH(B541,'01_Swimmers'!$A$5:$A$22,0)))/'00_Control'!$B$10,"")</f>
        <v/>
      </c>
      <c r="U541" s="35">
        <f>IF(T541="","",INT(T541))</f>
        <v/>
      </c>
      <c r="V541" s="33" t="inlineStr">
        <is>
          <t>NO</t>
        </is>
      </c>
      <c r="W541" s="33" t="inlineStr">
        <is>
          <t>YES</t>
        </is>
      </c>
      <c r="X541" s="33" t="inlineStr">
        <is>
          <t>NO</t>
        </is>
      </c>
      <c r="Y541" s="33" t="n">
        <v>1</v>
      </c>
      <c r="Z541" s="33" t="n">
        <v>6</v>
      </c>
      <c r="AA541" s="33" t="inlineStr">
        <is>
          <t>1</t>
        </is>
      </c>
      <c r="AB541" s="33" t="inlineStr">
        <is>
          <t>https://www.swimcloud.com/results/348385/event/12/?id=156828370#time156828370</t>
        </is>
      </c>
      <c r="AC541" s="33" t="inlineStr">
        <is>
          <t>SwimCloud API v6 2026-10-08</t>
        </is>
      </c>
      <c r="AD541" s="33" t="inlineStr">
        <is>
          <t>David Popovici|2025-07-29|LCM|200|Free|103.53|22nd World Aquatics Championships|FIN|False</t>
        </is>
      </c>
      <c r="AE541" s="53">
        <f>G541+L541/1000+ROW()/1000000000</f>
        <v/>
      </c>
      <c r="AF541" s="35">
        <f>IF(C541&lt;&gt;"Grayson Coulter","",COUNTIFS($C$5:$C$2991,"Grayson Coulter",$Q$5:$Q$2991,Q541,$AE$5:$AE$2991,"&lt;="&amp;AE541,$R$5:$R$2991,"&lt;"&amp;R541))</f>
        <v/>
      </c>
      <c r="AG541" s="35">
        <f>IF(OR(C541&lt;&gt;"Grayson Coulter",G541&lt;'00_Control'!$B$7),"",--(AF541&lt;5))</f>
        <v/>
      </c>
      <c r="AH541" s="35">
        <f>IF(OR(C541&lt;&gt;"Grayson Coulter",G541&lt;'00_Control'!$B$7),"",--(AF541&lt;10))</f>
        <v/>
      </c>
      <c r="AI541" s="35">
        <f>IF(AND(C541="Grayson Coulter",G541&gt;='00_Control'!$B$7),"YES","NO")</f>
        <v/>
      </c>
      <c r="AJ541" s="33" t="inlineStr">
        <is>
          <t>OK</t>
        </is>
      </c>
    </row>
    <row r="542">
      <c r="A542" s="33" t="inlineStr">
        <is>
          <t>SM000538</t>
        </is>
      </c>
      <c r="B542" s="33" t="inlineStr">
        <is>
          <t>SW009</t>
        </is>
      </c>
      <c r="C542" s="33" t="inlineStr">
        <is>
          <t>David Popovici</t>
        </is>
      </c>
      <c r="D542" s="33" t="inlineStr">
        <is>
          <t>SwimCloud</t>
        </is>
      </c>
      <c r="E542" s="33" t="inlineStr">
        <is>
          <t>1405298</t>
        </is>
      </c>
      <c r="F542" s="33" t="inlineStr">
        <is>
          <t>156828368</t>
        </is>
      </c>
      <c r="G542" s="51" t="n">
        <v>45868</v>
      </c>
      <c r="H542" s="33" t="inlineStr">
        <is>
          <t>22nd World Aquatics Championships</t>
        </is>
      </c>
      <c r="I542" s="33" t="inlineStr">
        <is>
          <t>348385</t>
        </is>
      </c>
      <c r="J542" s="33" t="inlineStr"/>
      <c r="K542" s="33" t="inlineStr">
        <is>
          <t>PRE</t>
        </is>
      </c>
      <c r="L542" s="35">
        <f>IF(K542="FIN",3,IF(OR(K542="SEM",K542="SEMI"),2,IF(OR(K542="PRE",K542="HEAT"),1,IF(V542="YES",4,2))))</f>
        <v/>
      </c>
      <c r="M542" s="33" t="inlineStr">
        <is>
          <t>LCM</t>
        </is>
      </c>
      <c r="N542" s="33" t="n">
        <v>100</v>
      </c>
      <c r="O542" s="33" t="inlineStr">
        <is>
          <t>Free</t>
        </is>
      </c>
      <c r="P542" s="33" t="inlineStr">
        <is>
          <t>100 Free</t>
        </is>
      </c>
      <c r="Q542" s="33" t="inlineStr">
        <is>
          <t>LCM_100_FREE</t>
        </is>
      </c>
      <c r="R542" s="36" t="n">
        <v>47.41</v>
      </c>
      <c r="S542" s="35">
        <f>IF(R542="","",IF(R542&gt;=60,INT(R542/60)&amp;":"&amp;TEXT(MOD(R542,60),"00.00"),TEXT(R542,"0.00")))</f>
        <v/>
      </c>
      <c r="T542" s="52">
        <f>IFERROR((G542-INDEX('01_Swimmers'!$E$5:$E$22,MATCH(B542,'01_Swimmers'!$A$5:$A$22,0)))/'00_Control'!$B$10,"")</f>
        <v/>
      </c>
      <c r="U542" s="35">
        <f>IF(T542="","",INT(T542))</f>
        <v/>
      </c>
      <c r="V542" s="33" t="inlineStr">
        <is>
          <t>NO</t>
        </is>
      </c>
      <c r="W542" s="33" t="inlineStr">
        <is>
          <t>YES</t>
        </is>
      </c>
      <c r="X542" s="33" t="inlineStr">
        <is>
          <t>NO</t>
        </is>
      </c>
      <c r="Y542" s="33" t="n">
        <v>11</v>
      </c>
      <c r="Z542" s="33" t="n">
        <v>5</v>
      </c>
      <c r="AA542" s="33" t="inlineStr">
        <is>
          <t>1</t>
        </is>
      </c>
      <c r="AB542" s="33" t="inlineStr">
        <is>
          <t>https://www.swimcloud.com/results/348385/event/19/?id=156828368#time156828368</t>
        </is>
      </c>
      <c r="AC542" s="33" t="inlineStr">
        <is>
          <t>SwimCloud API v6 2026-10-08</t>
        </is>
      </c>
      <c r="AD542" s="33" t="inlineStr">
        <is>
          <t>David Popovici|2025-07-30|LCM|100|Free|47.41|22nd World Aquatics Championships|PRE|False</t>
        </is>
      </c>
      <c r="AE542" s="53">
        <f>G542+L542/1000+ROW()/1000000000</f>
        <v/>
      </c>
      <c r="AF542" s="35">
        <f>IF(C542&lt;&gt;"Grayson Coulter","",COUNTIFS($C$5:$C$2991,"Grayson Coulter",$Q$5:$Q$2991,Q542,$AE$5:$AE$2991,"&lt;="&amp;AE542,$R$5:$R$2991,"&lt;"&amp;R542))</f>
        <v/>
      </c>
      <c r="AG542" s="35">
        <f>IF(OR(C542&lt;&gt;"Grayson Coulter",G542&lt;'00_Control'!$B$7),"",--(AF542&lt;5))</f>
        <v/>
      </c>
      <c r="AH542" s="35">
        <f>IF(OR(C542&lt;&gt;"Grayson Coulter",G542&lt;'00_Control'!$B$7),"",--(AF542&lt;10))</f>
        <v/>
      </c>
      <c r="AI542" s="35">
        <f>IF(AND(C542="Grayson Coulter",G542&gt;='00_Control'!$B$7),"YES","NO")</f>
        <v/>
      </c>
      <c r="AJ542" s="33" t="inlineStr">
        <is>
          <t>OK</t>
        </is>
      </c>
    </row>
    <row r="543">
      <c r="A543" s="33" t="inlineStr">
        <is>
          <t>SM000539</t>
        </is>
      </c>
      <c r="B543" s="33" t="inlineStr">
        <is>
          <t>SW009</t>
        </is>
      </c>
      <c r="C543" s="33" t="inlineStr">
        <is>
          <t>David Popovici</t>
        </is>
      </c>
      <c r="D543" s="33" t="inlineStr">
        <is>
          <t>SwimCloud</t>
        </is>
      </c>
      <c r="E543" s="33" t="inlineStr">
        <is>
          <t>1405298</t>
        </is>
      </c>
      <c r="F543" s="33" t="inlineStr">
        <is>
          <t>156828369</t>
        </is>
      </c>
      <c r="G543" s="51" t="n">
        <v>45868</v>
      </c>
      <c r="H543" s="33" t="inlineStr">
        <is>
          <t>22nd World Aquatics Championships</t>
        </is>
      </c>
      <c r="I543" s="33" t="inlineStr">
        <is>
          <t>348385</t>
        </is>
      </c>
      <c r="J543" s="33" t="inlineStr"/>
      <c r="K543" s="33" t="inlineStr">
        <is>
          <t>SEM</t>
        </is>
      </c>
      <c r="L543" s="35">
        <f>IF(K543="FIN",3,IF(OR(K543="SEM",K543="SEMI"),2,IF(OR(K543="PRE",K543="HEAT"),1,IF(V543="YES",4,2))))</f>
        <v/>
      </c>
      <c r="M543" s="33" t="inlineStr">
        <is>
          <t>LCM</t>
        </is>
      </c>
      <c r="N543" s="33" t="n">
        <v>100</v>
      </c>
      <c r="O543" s="33" t="inlineStr">
        <is>
          <t>Free</t>
        </is>
      </c>
      <c r="P543" s="33" t="inlineStr">
        <is>
          <t>100 Free</t>
        </is>
      </c>
      <c r="Q543" s="33" t="inlineStr">
        <is>
          <t>LCM_100_FREE</t>
        </is>
      </c>
      <c r="R543" s="36" t="n">
        <v>46.84</v>
      </c>
      <c r="S543" s="35">
        <f>IF(R543="","",IF(R543&gt;=60,INT(R543/60)&amp;":"&amp;TEXT(MOD(R543,60),"00.00"),TEXT(R543,"0.00")))</f>
        <v/>
      </c>
      <c r="T543" s="52">
        <f>IFERROR((G543-INDEX('01_Swimmers'!$E$5:$E$22,MATCH(B543,'01_Swimmers'!$A$5:$A$22,0)))/'00_Control'!$B$10,"")</f>
        <v/>
      </c>
      <c r="U543" s="35">
        <f>IF(T543="","",INT(T543))</f>
        <v/>
      </c>
      <c r="V543" s="33" t="inlineStr">
        <is>
          <t>NO</t>
        </is>
      </c>
      <c r="W543" s="33" t="inlineStr">
        <is>
          <t>YES</t>
        </is>
      </c>
      <c r="X543" s="33" t="inlineStr">
        <is>
          <t>NO</t>
        </is>
      </c>
      <c r="Y543" s="33" t="n">
        <v>2</v>
      </c>
      <c r="Z543" s="33" t="n">
        <v>4</v>
      </c>
      <c r="AA543" s="33" t="inlineStr">
        <is>
          <t>2</t>
        </is>
      </c>
      <c r="AB543" s="33" t="inlineStr">
        <is>
          <t>https://www.swimcloud.com/results/348385/event/19/?id=156828369#time156828369</t>
        </is>
      </c>
      <c r="AC543" s="33" t="inlineStr">
        <is>
          <t>SwimCloud API v6 2026-10-08</t>
        </is>
      </c>
      <c r="AD543" s="33" t="inlineStr">
        <is>
          <t>David Popovici|2025-07-30|LCM|100|Free|46.84|22nd World Aquatics Championships|SEM|False</t>
        </is>
      </c>
      <c r="AE543" s="53">
        <f>G543+L543/1000+ROW()/1000000000</f>
        <v/>
      </c>
      <c r="AF543" s="35">
        <f>IF(C543&lt;&gt;"Grayson Coulter","",COUNTIFS($C$5:$C$2991,"Grayson Coulter",$Q$5:$Q$2991,Q543,$AE$5:$AE$2991,"&lt;="&amp;AE543,$R$5:$R$2991,"&lt;"&amp;R543))</f>
        <v/>
      </c>
      <c r="AG543" s="35">
        <f>IF(OR(C543&lt;&gt;"Grayson Coulter",G543&lt;'00_Control'!$B$7),"",--(AF543&lt;5))</f>
        <v/>
      </c>
      <c r="AH543" s="35">
        <f>IF(OR(C543&lt;&gt;"Grayson Coulter",G543&lt;'00_Control'!$B$7),"",--(AF543&lt;10))</f>
        <v/>
      </c>
      <c r="AI543" s="35">
        <f>IF(AND(C543="Grayson Coulter",G543&gt;='00_Control'!$B$7),"YES","NO")</f>
        <v/>
      </c>
      <c r="AJ543" s="33" t="inlineStr">
        <is>
          <t>OK</t>
        </is>
      </c>
    </row>
    <row r="544">
      <c r="A544" s="33" t="inlineStr">
        <is>
          <t>SM000540</t>
        </is>
      </c>
      <c r="B544" s="33" t="inlineStr">
        <is>
          <t>SW009</t>
        </is>
      </c>
      <c r="C544" s="33" t="inlineStr">
        <is>
          <t>David Popovici</t>
        </is>
      </c>
      <c r="D544" s="33" t="inlineStr">
        <is>
          <t>SwimCloud</t>
        </is>
      </c>
      <c r="E544" s="33" t="inlineStr">
        <is>
          <t>1405298</t>
        </is>
      </c>
      <c r="F544" s="33" t="inlineStr">
        <is>
          <t>156828367</t>
        </is>
      </c>
      <c r="G544" s="51" t="n">
        <v>45869</v>
      </c>
      <c r="H544" s="33" t="inlineStr">
        <is>
          <t>22nd World Aquatics Championships</t>
        </is>
      </c>
      <c r="I544" s="33" t="inlineStr">
        <is>
          <t>348385</t>
        </is>
      </c>
      <c r="J544" s="33" t="inlineStr"/>
      <c r="K544" s="33" t="inlineStr">
        <is>
          <t>FIN</t>
        </is>
      </c>
      <c r="L544" s="35">
        <f>IF(K544="FIN",3,IF(OR(K544="SEM",K544="SEMI"),2,IF(OR(K544="PRE",K544="HEAT"),1,IF(V544="YES",4,2))))</f>
        <v/>
      </c>
      <c r="M544" s="33" t="inlineStr">
        <is>
          <t>LCM</t>
        </is>
      </c>
      <c r="N544" s="33" t="n">
        <v>100</v>
      </c>
      <c r="O544" s="33" t="inlineStr">
        <is>
          <t>Free</t>
        </is>
      </c>
      <c r="P544" s="33" t="inlineStr">
        <is>
          <t>100 Free</t>
        </is>
      </c>
      <c r="Q544" s="33" t="inlineStr">
        <is>
          <t>LCM_100_FREE</t>
        </is>
      </c>
      <c r="R544" s="36" t="n">
        <v>46.51</v>
      </c>
      <c r="S544" s="35">
        <f>IF(R544="","",IF(R544&gt;=60,INT(R544/60)&amp;":"&amp;TEXT(MOD(R544,60),"00.00"),TEXT(R544,"0.00")))</f>
        <v/>
      </c>
      <c r="T544" s="52">
        <f>IFERROR((G544-INDEX('01_Swimmers'!$E$5:$E$22,MATCH(B544,'01_Swimmers'!$A$5:$A$22,0)))/'00_Control'!$B$10,"")</f>
        <v/>
      </c>
      <c r="U544" s="35">
        <f>IF(T544="","",INT(T544))</f>
        <v/>
      </c>
      <c r="V544" s="33" t="inlineStr">
        <is>
          <t>NO</t>
        </is>
      </c>
      <c r="W544" s="33" t="inlineStr">
        <is>
          <t>YES</t>
        </is>
      </c>
      <c r="X544" s="33" t="inlineStr">
        <is>
          <t>NO</t>
        </is>
      </c>
      <c r="Y544" s="33" t="n">
        <v>1</v>
      </c>
      <c r="Z544" s="33" t="n">
        <v>5</v>
      </c>
      <c r="AA544" s="33" t="inlineStr">
        <is>
          <t>1</t>
        </is>
      </c>
      <c r="AB544" s="33" t="inlineStr">
        <is>
          <t>https://www.swimcloud.com/results/348385/event/19/?id=156828367#time156828367</t>
        </is>
      </c>
      <c r="AC544" s="33" t="inlineStr">
        <is>
          <t>SwimCloud API v6 2026-10-08</t>
        </is>
      </c>
      <c r="AD544" s="33" t="inlineStr">
        <is>
          <t>David Popovici|2025-07-31|LCM|100|Free|46.51|22nd World Aquatics Championships|FIN|False</t>
        </is>
      </c>
      <c r="AE544" s="53">
        <f>G544+L544/1000+ROW()/1000000000</f>
        <v/>
      </c>
      <c r="AF544" s="35">
        <f>IF(C544&lt;&gt;"Grayson Coulter","",COUNTIFS($C$5:$C$2991,"Grayson Coulter",$Q$5:$Q$2991,Q544,$AE$5:$AE$2991,"&lt;="&amp;AE544,$R$5:$R$2991,"&lt;"&amp;R544))</f>
        <v/>
      </c>
      <c r="AG544" s="35">
        <f>IF(OR(C544&lt;&gt;"Grayson Coulter",G544&lt;'00_Control'!$B$7),"",--(AF544&lt;5))</f>
        <v/>
      </c>
      <c r="AH544" s="35">
        <f>IF(OR(C544&lt;&gt;"Grayson Coulter",G544&lt;'00_Control'!$B$7),"",--(AF544&lt;10))</f>
        <v/>
      </c>
      <c r="AI544" s="35">
        <f>IF(AND(C544="Grayson Coulter",G544&gt;='00_Control'!$B$7),"YES","NO")</f>
        <v/>
      </c>
      <c r="AJ544" s="33" t="inlineStr">
        <is>
          <t>OK</t>
        </is>
      </c>
    </row>
    <row r="545">
      <c r="A545" s="33" t="inlineStr">
        <is>
          <t>SM000541</t>
        </is>
      </c>
      <c r="B545" s="33" t="inlineStr">
        <is>
          <t>SW009</t>
        </is>
      </c>
      <c r="C545" s="33" t="inlineStr">
        <is>
          <t>David Popovici</t>
        </is>
      </c>
      <c r="D545" s="33" t="inlineStr">
        <is>
          <t>SwimCloud</t>
        </is>
      </c>
      <c r="E545" s="33" t="inlineStr">
        <is>
          <t>1405298</t>
        </is>
      </c>
      <c r="F545" s="33" t="inlineStr">
        <is>
          <t>180532214</t>
        </is>
      </c>
      <c r="G545" s="51" t="n">
        <v>46200</v>
      </c>
      <c r="H545" s="33" t="inlineStr">
        <is>
          <t>Trofeo internazionale Settecolli IP</t>
        </is>
      </c>
      <c r="I545" s="33" t="inlineStr">
        <is>
          <t>389458</t>
        </is>
      </c>
      <c r="J545" s="33" t="inlineStr"/>
      <c r="K545" s="33" t="inlineStr">
        <is>
          <t>PRE</t>
        </is>
      </c>
      <c r="L545" s="35">
        <f>IF(K545="FIN",3,IF(OR(K545="SEM",K545="SEMI"),2,IF(OR(K545="PRE",K545="HEAT"),1,IF(V545="YES",4,2))))</f>
        <v/>
      </c>
      <c r="M545" s="33" t="inlineStr">
        <is>
          <t>LCM</t>
        </is>
      </c>
      <c r="N545" s="33" t="n">
        <v>100</v>
      </c>
      <c r="O545" s="33" t="inlineStr">
        <is>
          <t>Free</t>
        </is>
      </c>
      <c r="P545" s="33" t="inlineStr">
        <is>
          <t>100 Free</t>
        </is>
      </c>
      <c r="Q545" s="33" t="inlineStr">
        <is>
          <t>LCM_100_FREE</t>
        </is>
      </c>
      <c r="R545" s="36" t="n">
        <v>47.72</v>
      </c>
      <c r="S545" s="35">
        <f>IF(R545="","",IF(R545&gt;=60,INT(R545/60)&amp;":"&amp;TEXT(MOD(R545,60),"00.00"),TEXT(R545,"0.00")))</f>
        <v/>
      </c>
      <c r="T545" s="52">
        <f>IFERROR((G545-INDEX('01_Swimmers'!$E$5:$E$22,MATCH(B545,'01_Swimmers'!$A$5:$A$22,0)))/'00_Control'!$B$10,"")</f>
        <v/>
      </c>
      <c r="U545" s="35">
        <f>IF(T545="","",INT(T545))</f>
        <v/>
      </c>
      <c r="V545" s="33" t="inlineStr">
        <is>
          <t>NO</t>
        </is>
      </c>
      <c r="W545" s="33" t="inlineStr">
        <is>
          <t>YES</t>
        </is>
      </c>
      <c r="X545" s="33" t="inlineStr">
        <is>
          <t>NO</t>
        </is>
      </c>
      <c r="Y545" s="33" t="n">
        <v>8</v>
      </c>
      <c r="Z545" s="33" t="n">
        <v>4</v>
      </c>
      <c r="AA545" s="33" t="inlineStr">
        <is>
          <t>1</t>
        </is>
      </c>
      <c r="AB545" s="33" t="inlineStr">
        <is>
          <t>https://www.swimcloud.com/results/389458/event/69/?id=180532214#time180532214</t>
        </is>
      </c>
      <c r="AC545" s="33" t="inlineStr">
        <is>
          <t>SwimCloud API v6 2026-10-08</t>
        </is>
      </c>
      <c r="AD545" s="33" t="inlineStr">
        <is>
          <t>David Popovici|2026-06-27|LCM|100|Free|47.72|Trofeo internazionale Settecolli IP|PRE|False</t>
        </is>
      </c>
      <c r="AE545" s="53">
        <f>G545+L545/1000+ROW()/1000000000</f>
        <v/>
      </c>
      <c r="AF545" s="35">
        <f>IF(C545&lt;&gt;"Grayson Coulter","",COUNTIFS($C$5:$C$2991,"Grayson Coulter",$Q$5:$Q$2991,Q545,$AE$5:$AE$2991,"&lt;="&amp;AE545,$R$5:$R$2991,"&lt;"&amp;R545))</f>
        <v/>
      </c>
      <c r="AG545" s="35">
        <f>IF(OR(C545&lt;&gt;"Grayson Coulter",G545&lt;'00_Control'!$B$7),"",--(AF545&lt;5))</f>
        <v/>
      </c>
      <c r="AH545" s="35">
        <f>IF(OR(C545&lt;&gt;"Grayson Coulter",G545&lt;'00_Control'!$B$7),"",--(AF545&lt;10))</f>
        <v/>
      </c>
      <c r="AI545" s="35">
        <f>IF(AND(C545="Grayson Coulter",G545&gt;='00_Control'!$B$7),"YES","NO")</f>
        <v/>
      </c>
      <c r="AJ545" s="33" t="inlineStr">
        <is>
          <t>OK</t>
        </is>
      </c>
    </row>
    <row r="546">
      <c r="A546" s="33" t="inlineStr">
        <is>
          <t>SM000542</t>
        </is>
      </c>
      <c r="B546" s="33" t="inlineStr">
        <is>
          <t>SW009</t>
        </is>
      </c>
      <c r="C546" s="33" t="inlineStr">
        <is>
          <t>David Popovici</t>
        </is>
      </c>
      <c r="D546" s="33" t="inlineStr">
        <is>
          <t>SwimCloud</t>
        </is>
      </c>
      <c r="E546" s="33" t="inlineStr">
        <is>
          <t>1405298</t>
        </is>
      </c>
      <c r="F546" s="33" t="inlineStr">
        <is>
          <t>180532215</t>
        </is>
      </c>
      <c r="G546" s="51" t="n">
        <v>46200</v>
      </c>
      <c r="H546" s="33" t="inlineStr">
        <is>
          <t>Trofeo internazionale Settecolli IP</t>
        </is>
      </c>
      <c r="I546" s="33" t="inlineStr">
        <is>
          <t>389458</t>
        </is>
      </c>
      <c r="J546" s="33" t="inlineStr"/>
      <c r="K546" s="33" t="inlineStr">
        <is>
          <t>FIN</t>
        </is>
      </c>
      <c r="L546" s="35">
        <f>IF(K546="FIN",3,IF(OR(K546="SEM",K546="SEMI"),2,IF(OR(K546="PRE",K546="HEAT"),1,IF(V546="YES",4,2))))</f>
        <v/>
      </c>
      <c r="M546" s="33" t="inlineStr">
        <is>
          <t>LCM</t>
        </is>
      </c>
      <c r="N546" s="33" t="n">
        <v>100</v>
      </c>
      <c r="O546" s="33" t="inlineStr">
        <is>
          <t>Free</t>
        </is>
      </c>
      <c r="P546" s="33" t="inlineStr">
        <is>
          <t>100 Free</t>
        </is>
      </c>
      <c r="Q546" s="33" t="inlineStr">
        <is>
          <t>LCM_100_FREE</t>
        </is>
      </c>
      <c r="R546" s="36" t="n">
        <v>47.26</v>
      </c>
      <c r="S546" s="35">
        <f>IF(R546="","",IF(R546&gt;=60,INT(R546/60)&amp;":"&amp;TEXT(MOD(R546,60),"00.00"),TEXT(R546,"0.00")))</f>
        <v/>
      </c>
      <c r="T546" s="52">
        <f>IFERROR((G546-INDEX('01_Swimmers'!$E$5:$E$22,MATCH(B546,'01_Swimmers'!$A$5:$A$22,0)))/'00_Control'!$B$10,"")</f>
        <v/>
      </c>
      <c r="U546" s="35">
        <f>IF(T546="","",INT(T546))</f>
        <v/>
      </c>
      <c r="V546" s="33" t="inlineStr">
        <is>
          <t>NO</t>
        </is>
      </c>
      <c r="W546" s="33" t="inlineStr">
        <is>
          <t>YES</t>
        </is>
      </c>
      <c r="X546" s="33" t="inlineStr">
        <is>
          <t>NO</t>
        </is>
      </c>
      <c r="Y546" s="33" t="n">
        <v>1</v>
      </c>
      <c r="Z546" s="33" t="n">
        <v>4</v>
      </c>
      <c r="AA546" s="33" t="inlineStr">
        <is>
          <t>1</t>
        </is>
      </c>
      <c r="AB546" s="33" t="inlineStr">
        <is>
          <t>https://www.swimcloud.com/results/389458/event/69/?id=180532215#time180532215</t>
        </is>
      </c>
      <c r="AC546" s="33" t="inlineStr">
        <is>
          <t>SwimCloud API v6 2026-10-08</t>
        </is>
      </c>
      <c r="AD546" s="33" t="inlineStr">
        <is>
          <t>David Popovici|2026-06-27|LCM|100|Free|47.26|Trofeo internazionale Settecolli IP|FIN|False</t>
        </is>
      </c>
      <c r="AE546" s="53">
        <f>G546+L546/1000+ROW()/1000000000</f>
        <v/>
      </c>
      <c r="AF546" s="35">
        <f>IF(C546&lt;&gt;"Grayson Coulter","",COUNTIFS($C$5:$C$2991,"Grayson Coulter",$Q$5:$Q$2991,Q546,$AE$5:$AE$2991,"&lt;="&amp;AE546,$R$5:$R$2991,"&lt;"&amp;R546))</f>
        <v/>
      </c>
      <c r="AG546" s="35">
        <f>IF(OR(C546&lt;&gt;"Grayson Coulter",G546&lt;'00_Control'!$B$7),"",--(AF546&lt;5))</f>
        <v/>
      </c>
      <c r="AH546" s="35">
        <f>IF(OR(C546&lt;&gt;"Grayson Coulter",G546&lt;'00_Control'!$B$7),"",--(AF546&lt;10))</f>
        <v/>
      </c>
      <c r="AI546" s="35">
        <f>IF(AND(C546="Grayson Coulter",G546&gt;='00_Control'!$B$7),"YES","NO")</f>
        <v/>
      </c>
      <c r="AJ546" s="33" t="inlineStr">
        <is>
          <t>OK</t>
        </is>
      </c>
    </row>
    <row r="547">
      <c r="A547" s="33" t="inlineStr">
        <is>
          <t>SM000543</t>
        </is>
      </c>
      <c r="B547" s="33" t="inlineStr">
        <is>
          <t>SW009</t>
        </is>
      </c>
      <c r="C547" s="33" t="inlineStr">
        <is>
          <t>David Popovici</t>
        </is>
      </c>
      <c r="D547" s="33" t="inlineStr">
        <is>
          <t>SwimCloud</t>
        </is>
      </c>
      <c r="E547" s="33" t="inlineStr">
        <is>
          <t>1405298</t>
        </is>
      </c>
      <c r="F547" s="33" t="inlineStr">
        <is>
          <t>180532118</t>
        </is>
      </c>
      <c r="G547" s="51" t="n">
        <v>46201</v>
      </c>
      <c r="H547" s="33" t="inlineStr">
        <is>
          <t>Trofeo internazionale Settecolli IP</t>
        </is>
      </c>
      <c r="I547" s="33" t="inlineStr">
        <is>
          <t>389458</t>
        </is>
      </c>
      <c r="J547" s="33" t="inlineStr"/>
      <c r="K547" s="33" t="inlineStr">
        <is>
          <t>PRE</t>
        </is>
      </c>
      <c r="L547" s="35">
        <f>IF(K547="FIN",3,IF(OR(K547="SEM",K547="SEMI"),2,IF(OR(K547="PRE",K547="HEAT"),1,IF(V547="YES",4,2))))</f>
        <v/>
      </c>
      <c r="M547" s="33" t="inlineStr">
        <is>
          <t>LCM</t>
        </is>
      </c>
      <c r="N547" s="33" t="n">
        <v>200</v>
      </c>
      <c r="O547" s="33" t="inlineStr">
        <is>
          <t>Free</t>
        </is>
      </c>
      <c r="P547" s="33" t="inlineStr">
        <is>
          <t>200 Free</t>
        </is>
      </c>
      <c r="Q547" s="33" t="inlineStr">
        <is>
          <t>LCM_200_FREE</t>
        </is>
      </c>
      <c r="R547" s="36" t="n">
        <v>107.66</v>
      </c>
      <c r="S547" s="35">
        <f>IF(R547="","",IF(R547&gt;=60,INT(R547/60)&amp;":"&amp;TEXT(MOD(R547,60),"00.00"),TEXT(R547,"0.00")))</f>
        <v/>
      </c>
      <c r="T547" s="52">
        <f>IFERROR((G547-INDEX('01_Swimmers'!$E$5:$E$22,MATCH(B547,'01_Swimmers'!$A$5:$A$22,0)))/'00_Control'!$B$10,"")</f>
        <v/>
      </c>
      <c r="U547" s="35">
        <f>IF(T547="","",INT(T547))</f>
        <v/>
      </c>
      <c r="V547" s="33" t="inlineStr">
        <is>
          <t>NO</t>
        </is>
      </c>
      <c r="W547" s="33" t="inlineStr">
        <is>
          <t>YES</t>
        </is>
      </c>
      <c r="X547" s="33" t="inlineStr">
        <is>
          <t>NO</t>
        </is>
      </c>
      <c r="Y547" s="33" t="n">
        <v>8</v>
      </c>
      <c r="Z547" s="33" t="n">
        <v>4</v>
      </c>
      <c r="AA547" s="33" t="inlineStr">
        <is>
          <t>1</t>
        </is>
      </c>
      <c r="AB547" s="33" t="inlineStr">
        <is>
          <t>https://www.swimcloud.com/results/389458/event/110/?id=180532118#time180532118</t>
        </is>
      </c>
      <c r="AC547" s="33" t="inlineStr">
        <is>
          <t>SwimCloud API v6 2026-10-08</t>
        </is>
      </c>
      <c r="AD547" s="33" t="inlineStr">
        <is>
          <t>David Popovici|2026-06-28|LCM|200|Free|107.66|Trofeo internazionale Settecolli IP|PRE|False</t>
        </is>
      </c>
      <c r="AE547" s="53">
        <f>G547+L547/1000+ROW()/1000000000</f>
        <v/>
      </c>
      <c r="AF547" s="35">
        <f>IF(C547&lt;&gt;"Grayson Coulter","",COUNTIFS($C$5:$C$2991,"Grayson Coulter",$Q$5:$Q$2991,Q547,$AE$5:$AE$2991,"&lt;="&amp;AE547,$R$5:$R$2991,"&lt;"&amp;R547))</f>
        <v/>
      </c>
      <c r="AG547" s="35">
        <f>IF(OR(C547&lt;&gt;"Grayson Coulter",G547&lt;'00_Control'!$B$7),"",--(AF547&lt;5))</f>
        <v/>
      </c>
      <c r="AH547" s="35">
        <f>IF(OR(C547&lt;&gt;"Grayson Coulter",G547&lt;'00_Control'!$B$7),"",--(AF547&lt;10))</f>
        <v/>
      </c>
      <c r="AI547" s="35">
        <f>IF(AND(C547="Grayson Coulter",G547&gt;='00_Control'!$B$7),"YES","NO")</f>
        <v/>
      </c>
      <c r="AJ547" s="33" t="inlineStr">
        <is>
          <t>OK</t>
        </is>
      </c>
    </row>
    <row r="548">
      <c r="A548" s="33" t="inlineStr">
        <is>
          <t>SM000544</t>
        </is>
      </c>
      <c r="B548" s="33" t="inlineStr">
        <is>
          <t>SW009</t>
        </is>
      </c>
      <c r="C548" s="33" t="inlineStr">
        <is>
          <t>David Popovici</t>
        </is>
      </c>
      <c r="D548" s="33" t="inlineStr">
        <is>
          <t>SwimCloud</t>
        </is>
      </c>
      <c r="E548" s="33" t="inlineStr">
        <is>
          <t>1405298</t>
        </is>
      </c>
      <c r="F548" s="33" t="inlineStr">
        <is>
          <t>180532119</t>
        </is>
      </c>
      <c r="G548" s="51" t="n">
        <v>46201</v>
      </c>
      <c r="H548" s="33" t="inlineStr">
        <is>
          <t>Trofeo internazionale Settecolli IP</t>
        </is>
      </c>
      <c r="I548" s="33" t="inlineStr">
        <is>
          <t>389458</t>
        </is>
      </c>
      <c r="J548" s="33" t="inlineStr"/>
      <c r="K548" s="33" t="inlineStr">
        <is>
          <t>FIN</t>
        </is>
      </c>
      <c r="L548" s="35">
        <f>IF(K548="FIN",3,IF(OR(K548="SEM",K548="SEMI"),2,IF(OR(K548="PRE",K548="HEAT"),1,IF(V548="YES",4,2))))</f>
        <v/>
      </c>
      <c r="M548" s="33" t="inlineStr">
        <is>
          <t>LCM</t>
        </is>
      </c>
      <c r="N548" s="33" t="n">
        <v>200</v>
      </c>
      <c r="O548" s="33" t="inlineStr">
        <is>
          <t>Free</t>
        </is>
      </c>
      <c r="P548" s="33" t="inlineStr">
        <is>
          <t>200 Free</t>
        </is>
      </c>
      <c r="Q548" s="33" t="inlineStr">
        <is>
          <t>LCM_200_FREE</t>
        </is>
      </c>
      <c r="R548" s="36" t="n">
        <v>104.48</v>
      </c>
      <c r="S548" s="35">
        <f>IF(R548="","",IF(R548&gt;=60,INT(R548/60)&amp;":"&amp;TEXT(MOD(R548,60),"00.00"),TEXT(R548,"0.00")))</f>
        <v/>
      </c>
      <c r="T548" s="52">
        <f>IFERROR((G548-INDEX('01_Swimmers'!$E$5:$E$22,MATCH(B548,'01_Swimmers'!$A$5:$A$22,0)))/'00_Control'!$B$10,"")</f>
        <v/>
      </c>
      <c r="U548" s="35">
        <f>IF(T548="","",INT(T548))</f>
        <v/>
      </c>
      <c r="V548" s="33" t="inlineStr">
        <is>
          <t>NO</t>
        </is>
      </c>
      <c r="W548" s="33" t="inlineStr">
        <is>
          <t>YES</t>
        </is>
      </c>
      <c r="X548" s="33" t="inlineStr">
        <is>
          <t>NO</t>
        </is>
      </c>
      <c r="Y548" s="33" t="n">
        <v>1</v>
      </c>
      <c r="Z548" s="33" t="n">
        <v>4</v>
      </c>
      <c r="AA548" s="33" t="inlineStr">
        <is>
          <t>1</t>
        </is>
      </c>
      <c r="AB548" s="33" t="inlineStr">
        <is>
          <t>https://www.swimcloud.com/results/389458/event/110/?id=180532119#time180532119</t>
        </is>
      </c>
      <c r="AC548" s="33" t="inlineStr">
        <is>
          <t>SwimCloud API v6 2026-10-08</t>
        </is>
      </c>
      <c r="AD548" s="33" t="inlineStr">
        <is>
          <t>David Popovici|2026-06-28|LCM|200|Free|104.48|Trofeo internazionale Settecolli IP|FIN|False</t>
        </is>
      </c>
      <c r="AE548" s="53">
        <f>G548+L548/1000+ROW()/1000000000</f>
        <v/>
      </c>
      <c r="AF548" s="35">
        <f>IF(C548&lt;&gt;"Grayson Coulter","",COUNTIFS($C$5:$C$2991,"Grayson Coulter",$Q$5:$Q$2991,Q548,$AE$5:$AE$2991,"&lt;="&amp;AE548,$R$5:$R$2991,"&lt;"&amp;R548))</f>
        <v/>
      </c>
      <c r="AG548" s="35">
        <f>IF(OR(C548&lt;&gt;"Grayson Coulter",G548&lt;'00_Control'!$B$7),"",--(AF548&lt;5))</f>
        <v/>
      </c>
      <c r="AH548" s="35">
        <f>IF(OR(C548&lt;&gt;"Grayson Coulter",G548&lt;'00_Control'!$B$7),"",--(AF548&lt;10))</f>
        <v/>
      </c>
      <c r="AI548" s="35">
        <f>IF(AND(C548="Grayson Coulter",G548&gt;='00_Control'!$B$7),"YES","NO")</f>
        <v/>
      </c>
      <c r="AJ548" s="33" t="inlineStr">
        <is>
          <t>OK</t>
        </is>
      </c>
    </row>
    <row r="549">
      <c r="A549" s="33" t="inlineStr">
        <is>
          <t>SM000545</t>
        </is>
      </c>
      <c r="B549" s="33" t="inlineStr">
        <is>
          <t>SW009</t>
        </is>
      </c>
      <c r="C549" s="33" t="inlineStr">
        <is>
          <t>David Popovici</t>
        </is>
      </c>
      <c r="D549" s="33" t="inlineStr">
        <is>
          <t>SwimCloud</t>
        </is>
      </c>
      <c r="E549" s="33" t="inlineStr">
        <is>
          <t>1405298</t>
        </is>
      </c>
      <c r="F549" s="33" t="inlineStr">
        <is>
          <t>184119991</t>
        </is>
      </c>
      <c r="G549" s="51" t="n">
        <v>46245</v>
      </c>
      <c r="H549" s="33" t="inlineStr">
        <is>
          <t>European Championships</t>
        </is>
      </c>
      <c r="I549" s="33" t="inlineStr">
        <is>
          <t>390252</t>
        </is>
      </c>
      <c r="J549" s="33" t="inlineStr"/>
      <c r="K549" s="33" t="inlineStr">
        <is>
          <t>PRE</t>
        </is>
      </c>
      <c r="L549" s="35">
        <f>IF(K549="FIN",3,IF(OR(K549="SEM",K549="SEMI"),2,IF(OR(K549="PRE",K549="HEAT"),1,IF(V549="YES",4,2))))</f>
        <v/>
      </c>
      <c r="M549" s="33" t="inlineStr">
        <is>
          <t>LCM</t>
        </is>
      </c>
      <c r="N549" s="33" t="n">
        <v>100</v>
      </c>
      <c r="O549" s="33" t="inlineStr">
        <is>
          <t>Free</t>
        </is>
      </c>
      <c r="P549" s="33" t="inlineStr">
        <is>
          <t>100 Free</t>
        </is>
      </c>
      <c r="Q549" s="33" t="inlineStr">
        <is>
          <t>LCM_100_FREE</t>
        </is>
      </c>
      <c r="R549" s="36" t="n">
        <v>47.13</v>
      </c>
      <c r="S549" s="35">
        <f>IF(R549="","",IF(R549&gt;=60,INT(R549/60)&amp;":"&amp;TEXT(MOD(R549,60),"00.00"),TEXT(R549,"0.00")))</f>
        <v/>
      </c>
      <c r="T549" s="52">
        <f>IFERROR((G549-INDEX('01_Swimmers'!$E$5:$E$22,MATCH(B549,'01_Swimmers'!$A$5:$A$22,0)))/'00_Control'!$B$10,"")</f>
        <v/>
      </c>
      <c r="U549" s="35">
        <f>IF(T549="","",INT(T549))</f>
        <v/>
      </c>
      <c r="V549" s="33" t="inlineStr">
        <is>
          <t>NO</t>
        </is>
      </c>
      <c r="W549" s="33" t="inlineStr">
        <is>
          <t>YES</t>
        </is>
      </c>
      <c r="X549" s="33" t="inlineStr">
        <is>
          <t>NO</t>
        </is>
      </c>
      <c r="Y549" s="33" t="n">
        <v>10</v>
      </c>
      <c r="Z549" s="33" t="n">
        <v>4</v>
      </c>
      <c r="AA549" s="33" t="inlineStr">
        <is>
          <t>1</t>
        </is>
      </c>
      <c r="AB549" s="33" t="inlineStr">
        <is>
          <t>https://www.swimcloud.com/results/390252/event/10/?id=184119991#time184119991</t>
        </is>
      </c>
      <c r="AC549" s="33" t="inlineStr">
        <is>
          <t>SwimCloud API v6 2026-10-08</t>
        </is>
      </c>
      <c r="AD549" s="33" t="inlineStr">
        <is>
          <t>David Popovici|2026-08-11|LCM|100|Free|47.13|European Championships|PRE|False</t>
        </is>
      </c>
      <c r="AE549" s="53">
        <f>G549+L549/1000+ROW()/1000000000</f>
        <v/>
      </c>
      <c r="AF549" s="35">
        <f>IF(C549&lt;&gt;"Grayson Coulter","",COUNTIFS($C$5:$C$2991,"Grayson Coulter",$Q$5:$Q$2991,Q549,$AE$5:$AE$2991,"&lt;="&amp;AE549,$R$5:$R$2991,"&lt;"&amp;R549))</f>
        <v/>
      </c>
      <c r="AG549" s="35">
        <f>IF(OR(C549&lt;&gt;"Grayson Coulter",G549&lt;'00_Control'!$B$7),"",--(AF549&lt;5))</f>
        <v/>
      </c>
      <c r="AH549" s="35">
        <f>IF(OR(C549&lt;&gt;"Grayson Coulter",G549&lt;'00_Control'!$B$7),"",--(AF549&lt;10))</f>
        <v/>
      </c>
      <c r="AI549" s="35">
        <f>IF(AND(C549="Grayson Coulter",G549&gt;='00_Control'!$B$7),"YES","NO")</f>
        <v/>
      </c>
      <c r="AJ549" s="33" t="inlineStr">
        <is>
          <t>OK</t>
        </is>
      </c>
    </row>
    <row r="550">
      <c r="A550" s="33" t="inlineStr">
        <is>
          <t>SM000546</t>
        </is>
      </c>
      <c r="B550" s="33" t="inlineStr">
        <is>
          <t>SW009</t>
        </is>
      </c>
      <c r="C550" s="33" t="inlineStr">
        <is>
          <t>David Popovici</t>
        </is>
      </c>
      <c r="D550" s="33" t="inlineStr">
        <is>
          <t>SwimCloud</t>
        </is>
      </c>
      <c r="E550" s="33" t="inlineStr">
        <is>
          <t>1405298</t>
        </is>
      </c>
      <c r="F550" s="33" t="inlineStr">
        <is>
          <t>184119992</t>
        </is>
      </c>
      <c r="G550" s="51" t="n">
        <v>46245</v>
      </c>
      <c r="H550" s="33" t="inlineStr">
        <is>
          <t>European Championships</t>
        </is>
      </c>
      <c r="I550" s="33" t="inlineStr">
        <is>
          <t>390252</t>
        </is>
      </c>
      <c r="J550" s="33" t="inlineStr"/>
      <c r="K550" s="33" t="inlineStr">
        <is>
          <t>SEM</t>
        </is>
      </c>
      <c r="L550" s="35">
        <f>IF(K550="FIN",3,IF(OR(K550="SEM",K550="SEMI"),2,IF(OR(K550="PRE",K550="HEAT"),1,IF(V550="YES",4,2))))</f>
        <v/>
      </c>
      <c r="M550" s="33" t="inlineStr">
        <is>
          <t>LCM</t>
        </is>
      </c>
      <c r="N550" s="33" t="n">
        <v>100</v>
      </c>
      <c r="O550" s="33" t="inlineStr">
        <is>
          <t>Free</t>
        </is>
      </c>
      <c r="P550" s="33" t="inlineStr">
        <is>
          <t>100 Free</t>
        </is>
      </c>
      <c r="Q550" s="33" t="inlineStr">
        <is>
          <t>LCM_100_FREE</t>
        </is>
      </c>
      <c r="R550" s="36" t="n">
        <v>46.72</v>
      </c>
      <c r="S550" s="35">
        <f>IF(R550="","",IF(R550&gt;=60,INT(R550/60)&amp;":"&amp;TEXT(MOD(R550,60),"00.00"),TEXT(R550,"0.00")))</f>
        <v/>
      </c>
      <c r="T550" s="52">
        <f>IFERROR((G550-INDEX('01_Swimmers'!$E$5:$E$22,MATCH(B550,'01_Swimmers'!$A$5:$A$22,0)))/'00_Control'!$B$10,"")</f>
        <v/>
      </c>
      <c r="U550" s="35">
        <f>IF(T550="","",INT(T550))</f>
        <v/>
      </c>
      <c r="V550" s="33" t="inlineStr">
        <is>
          <t>NO</t>
        </is>
      </c>
      <c r="W550" s="33" t="inlineStr">
        <is>
          <t>YES</t>
        </is>
      </c>
      <c r="X550" s="33" t="inlineStr">
        <is>
          <t>NO</t>
        </is>
      </c>
      <c r="Y550" s="33" t="n">
        <v>2</v>
      </c>
      <c r="Z550" s="33" t="n">
        <v>4</v>
      </c>
      <c r="AA550" s="33" t="inlineStr">
        <is>
          <t>1</t>
        </is>
      </c>
      <c r="AB550" s="33" t="inlineStr">
        <is>
          <t>https://www.swimcloud.com/results/390252/event/10/?id=184119992#time184119992</t>
        </is>
      </c>
      <c r="AC550" s="33" t="inlineStr">
        <is>
          <t>SwimCloud API v6 2026-10-08</t>
        </is>
      </c>
      <c r="AD550" s="33" t="inlineStr">
        <is>
          <t>David Popovici|2026-08-11|LCM|100|Free|46.72|European Championships|SEM|False</t>
        </is>
      </c>
      <c r="AE550" s="53">
        <f>G550+L550/1000+ROW()/1000000000</f>
        <v/>
      </c>
      <c r="AF550" s="35">
        <f>IF(C550&lt;&gt;"Grayson Coulter","",COUNTIFS($C$5:$C$2991,"Grayson Coulter",$Q$5:$Q$2991,Q550,$AE$5:$AE$2991,"&lt;="&amp;AE550,$R$5:$R$2991,"&lt;"&amp;R550))</f>
        <v/>
      </c>
      <c r="AG550" s="35">
        <f>IF(OR(C550&lt;&gt;"Grayson Coulter",G550&lt;'00_Control'!$B$7),"",--(AF550&lt;5))</f>
        <v/>
      </c>
      <c r="AH550" s="35">
        <f>IF(OR(C550&lt;&gt;"Grayson Coulter",G550&lt;'00_Control'!$B$7),"",--(AF550&lt;10))</f>
        <v/>
      </c>
      <c r="AI550" s="35">
        <f>IF(AND(C550="Grayson Coulter",G550&gt;='00_Control'!$B$7),"YES","NO")</f>
        <v/>
      </c>
      <c r="AJ550" s="33" t="inlineStr">
        <is>
          <t>OK</t>
        </is>
      </c>
    </row>
    <row r="551">
      <c r="A551" s="33" t="inlineStr">
        <is>
          <t>SM000547</t>
        </is>
      </c>
      <c r="B551" s="33" t="inlineStr">
        <is>
          <t>SW009</t>
        </is>
      </c>
      <c r="C551" s="33" t="inlineStr">
        <is>
          <t>David Popovici</t>
        </is>
      </c>
      <c r="D551" s="33" t="inlineStr">
        <is>
          <t>SwimCloud</t>
        </is>
      </c>
      <c r="E551" s="33" t="inlineStr">
        <is>
          <t>1405298</t>
        </is>
      </c>
      <c r="F551" s="33" t="inlineStr">
        <is>
          <t>184119990</t>
        </is>
      </c>
      <c r="G551" s="51" t="n">
        <v>46246</v>
      </c>
      <c r="H551" s="33" t="inlineStr">
        <is>
          <t>European Championships</t>
        </is>
      </c>
      <c r="I551" s="33" t="inlineStr">
        <is>
          <t>390252</t>
        </is>
      </c>
      <c r="J551" s="33" t="inlineStr"/>
      <c r="K551" s="33" t="inlineStr">
        <is>
          <t>FIN</t>
        </is>
      </c>
      <c r="L551" s="35">
        <f>IF(K551="FIN",3,IF(OR(K551="SEM",K551="SEMI"),2,IF(OR(K551="PRE",K551="HEAT"),1,IF(V551="YES",4,2))))</f>
        <v/>
      </c>
      <c r="M551" s="33" t="inlineStr">
        <is>
          <t>LCM</t>
        </is>
      </c>
      <c r="N551" s="33" t="n">
        <v>100</v>
      </c>
      <c r="O551" s="33" t="inlineStr">
        <is>
          <t>Free</t>
        </is>
      </c>
      <c r="P551" s="33" t="inlineStr">
        <is>
          <t>100 Free</t>
        </is>
      </c>
      <c r="Q551" s="33" t="inlineStr">
        <is>
          <t>LCM_100_FREE</t>
        </is>
      </c>
      <c r="R551" s="36" t="n">
        <v>46.56</v>
      </c>
      <c r="S551" s="35">
        <f>IF(R551="","",IF(R551&gt;=60,INT(R551/60)&amp;":"&amp;TEXT(MOD(R551,60),"00.00"),TEXT(R551,"0.00")))</f>
        <v/>
      </c>
      <c r="T551" s="52">
        <f>IFERROR((G551-INDEX('01_Swimmers'!$E$5:$E$22,MATCH(B551,'01_Swimmers'!$A$5:$A$22,0)))/'00_Control'!$B$10,"")</f>
        <v/>
      </c>
      <c r="U551" s="35">
        <f>IF(T551="","",INT(T551))</f>
        <v/>
      </c>
      <c r="V551" s="33" t="inlineStr">
        <is>
          <t>NO</t>
        </is>
      </c>
      <c r="W551" s="33" t="inlineStr">
        <is>
          <t>YES</t>
        </is>
      </c>
      <c r="X551" s="33" t="inlineStr">
        <is>
          <t>NO</t>
        </is>
      </c>
      <c r="Y551" s="33" t="n">
        <v>1</v>
      </c>
      <c r="Z551" s="33" t="n">
        <v>4</v>
      </c>
      <c r="AA551" s="33" t="inlineStr">
        <is>
          <t>1</t>
        </is>
      </c>
      <c r="AB551" s="33" t="inlineStr">
        <is>
          <t>https://www.swimcloud.com/results/390252/event/10/?id=184119990#time184119990</t>
        </is>
      </c>
      <c r="AC551" s="33" t="inlineStr">
        <is>
          <t>SwimCloud API v6 2026-10-08</t>
        </is>
      </c>
      <c r="AD551" s="33" t="inlineStr">
        <is>
          <t>David Popovici|2026-08-12|LCM|100|Free|46.56|European Championships|FIN|False</t>
        </is>
      </c>
      <c r="AE551" s="53">
        <f>G551+L551/1000+ROW()/1000000000</f>
        <v/>
      </c>
      <c r="AF551" s="35">
        <f>IF(C551&lt;&gt;"Grayson Coulter","",COUNTIFS($C$5:$C$2991,"Grayson Coulter",$Q$5:$Q$2991,Q551,$AE$5:$AE$2991,"&lt;="&amp;AE551,$R$5:$R$2991,"&lt;"&amp;R551))</f>
        <v/>
      </c>
      <c r="AG551" s="35">
        <f>IF(OR(C551&lt;&gt;"Grayson Coulter",G551&lt;'00_Control'!$B$7),"",--(AF551&lt;5))</f>
        <v/>
      </c>
      <c r="AH551" s="35">
        <f>IF(OR(C551&lt;&gt;"Grayson Coulter",G551&lt;'00_Control'!$B$7),"",--(AF551&lt;10))</f>
        <v/>
      </c>
      <c r="AI551" s="35">
        <f>IF(AND(C551="Grayson Coulter",G551&gt;='00_Control'!$B$7),"YES","NO")</f>
        <v/>
      </c>
      <c r="AJ551" s="33" t="inlineStr">
        <is>
          <t>OK</t>
        </is>
      </c>
    </row>
    <row r="552">
      <c r="A552" s="33" t="inlineStr">
        <is>
          <t>SM000548</t>
        </is>
      </c>
      <c r="B552" s="33" t="inlineStr">
        <is>
          <t>SW009</t>
        </is>
      </c>
      <c r="C552" s="33" t="inlineStr">
        <is>
          <t>David Popovici</t>
        </is>
      </c>
      <c r="D552" s="33" t="inlineStr">
        <is>
          <t>SwimCloud</t>
        </is>
      </c>
      <c r="E552" s="33" t="inlineStr">
        <is>
          <t>1405298</t>
        </is>
      </c>
      <c r="F552" s="33" t="inlineStr">
        <is>
          <t>184119994</t>
        </is>
      </c>
      <c r="G552" s="51" t="n">
        <v>46247</v>
      </c>
      <c r="H552" s="33" t="inlineStr">
        <is>
          <t>European Championships</t>
        </is>
      </c>
      <c r="I552" s="33" t="inlineStr">
        <is>
          <t>390252</t>
        </is>
      </c>
      <c r="J552" s="33" t="inlineStr"/>
      <c r="K552" s="33" t="inlineStr">
        <is>
          <t>PRE</t>
        </is>
      </c>
      <c r="L552" s="35">
        <f>IF(K552="FIN",3,IF(OR(K552="SEM",K552="SEMI"),2,IF(OR(K552="PRE",K552="HEAT"),1,IF(V552="YES",4,2))))</f>
        <v/>
      </c>
      <c r="M552" s="33" t="inlineStr">
        <is>
          <t>LCM</t>
        </is>
      </c>
      <c r="N552" s="33" t="n">
        <v>200</v>
      </c>
      <c r="O552" s="33" t="inlineStr">
        <is>
          <t>Free</t>
        </is>
      </c>
      <c r="P552" s="33" t="inlineStr">
        <is>
          <t>200 Free</t>
        </is>
      </c>
      <c r="Q552" s="33" t="inlineStr">
        <is>
          <t>LCM_200_FREE</t>
        </is>
      </c>
      <c r="R552" s="36" t="n">
        <v>106.06</v>
      </c>
      <c r="S552" s="35">
        <f>IF(R552="","",IF(R552&gt;=60,INT(R552/60)&amp;":"&amp;TEXT(MOD(R552,60),"00.00"),TEXT(R552,"0.00")))</f>
        <v/>
      </c>
      <c r="T552" s="52">
        <f>IFERROR((G552-INDEX('01_Swimmers'!$E$5:$E$22,MATCH(B552,'01_Swimmers'!$A$5:$A$22,0)))/'00_Control'!$B$10,"")</f>
        <v/>
      </c>
      <c r="U552" s="35">
        <f>IF(T552="","",INT(T552))</f>
        <v/>
      </c>
      <c r="V552" s="33" t="inlineStr">
        <is>
          <t>NO</t>
        </is>
      </c>
      <c r="W552" s="33" t="inlineStr">
        <is>
          <t>YES</t>
        </is>
      </c>
      <c r="X552" s="33" t="inlineStr">
        <is>
          <t>NO</t>
        </is>
      </c>
      <c r="Y552" s="33" t="n">
        <v>9</v>
      </c>
      <c r="Z552" s="33" t="n">
        <v>4</v>
      </c>
      <c r="AA552" s="33" t="inlineStr">
        <is>
          <t>4</t>
        </is>
      </c>
      <c r="AB552" s="33" t="inlineStr">
        <is>
          <t>https://www.swimcloud.com/results/390252/event/21/?id=184119994#time184119994</t>
        </is>
      </c>
      <c r="AC552" s="33" t="inlineStr">
        <is>
          <t>SwimCloud API v6 2026-10-08</t>
        </is>
      </c>
      <c r="AD552" s="33" t="inlineStr">
        <is>
          <t>David Popovici|2026-08-13|LCM|200|Free|106.06|European Championships|PRE|False</t>
        </is>
      </c>
      <c r="AE552" s="53">
        <f>G552+L552/1000+ROW()/1000000000</f>
        <v/>
      </c>
      <c r="AF552" s="35">
        <f>IF(C552&lt;&gt;"Grayson Coulter","",COUNTIFS($C$5:$C$2991,"Grayson Coulter",$Q$5:$Q$2991,Q552,$AE$5:$AE$2991,"&lt;="&amp;AE552,$R$5:$R$2991,"&lt;"&amp;R552))</f>
        <v/>
      </c>
      <c r="AG552" s="35">
        <f>IF(OR(C552&lt;&gt;"Grayson Coulter",G552&lt;'00_Control'!$B$7),"",--(AF552&lt;5))</f>
        <v/>
      </c>
      <c r="AH552" s="35">
        <f>IF(OR(C552&lt;&gt;"Grayson Coulter",G552&lt;'00_Control'!$B$7),"",--(AF552&lt;10))</f>
        <v/>
      </c>
      <c r="AI552" s="35">
        <f>IF(AND(C552="Grayson Coulter",G552&gt;='00_Control'!$B$7),"YES","NO")</f>
        <v/>
      </c>
      <c r="AJ552" s="33" t="inlineStr">
        <is>
          <t>OK</t>
        </is>
      </c>
    </row>
    <row r="553">
      <c r="A553" s="33" t="inlineStr">
        <is>
          <t>SM000549</t>
        </is>
      </c>
      <c r="B553" s="33" t="inlineStr">
        <is>
          <t>SW009</t>
        </is>
      </c>
      <c r="C553" s="33" t="inlineStr">
        <is>
          <t>David Popovici</t>
        </is>
      </c>
      <c r="D553" s="33" t="inlineStr">
        <is>
          <t>SwimCloud</t>
        </is>
      </c>
      <c r="E553" s="33" t="inlineStr">
        <is>
          <t>1405298</t>
        </is>
      </c>
      <c r="F553" s="33" t="inlineStr">
        <is>
          <t>184119995</t>
        </is>
      </c>
      <c r="G553" s="51" t="n">
        <v>46247</v>
      </c>
      <c r="H553" s="33" t="inlineStr">
        <is>
          <t>European Championships</t>
        </is>
      </c>
      <c r="I553" s="33" t="inlineStr">
        <is>
          <t>390252</t>
        </is>
      </c>
      <c r="J553" s="33" t="inlineStr"/>
      <c r="K553" s="33" t="inlineStr">
        <is>
          <t>SEM</t>
        </is>
      </c>
      <c r="L553" s="35">
        <f>IF(K553="FIN",3,IF(OR(K553="SEM",K553="SEMI"),2,IF(OR(K553="PRE",K553="HEAT"),1,IF(V553="YES",4,2))))</f>
        <v/>
      </c>
      <c r="M553" s="33" t="inlineStr">
        <is>
          <t>LCM</t>
        </is>
      </c>
      <c r="N553" s="33" t="n">
        <v>200</v>
      </c>
      <c r="O553" s="33" t="inlineStr">
        <is>
          <t>Free</t>
        </is>
      </c>
      <c r="P553" s="33" t="inlineStr">
        <is>
          <t>200 Free</t>
        </is>
      </c>
      <c r="Q553" s="33" t="inlineStr">
        <is>
          <t>LCM_200_FREE</t>
        </is>
      </c>
      <c r="R553" s="36" t="n">
        <v>104.56</v>
      </c>
      <c r="S553" s="35">
        <f>IF(R553="","",IF(R553&gt;=60,INT(R553/60)&amp;":"&amp;TEXT(MOD(R553,60),"00.00"),TEXT(R553,"0.00")))</f>
        <v/>
      </c>
      <c r="T553" s="52">
        <f>IFERROR((G553-INDEX('01_Swimmers'!$E$5:$E$22,MATCH(B553,'01_Swimmers'!$A$5:$A$22,0)))/'00_Control'!$B$10,"")</f>
        <v/>
      </c>
      <c r="U553" s="35">
        <f>IF(T553="","",INT(T553))</f>
        <v/>
      </c>
      <c r="V553" s="33" t="inlineStr">
        <is>
          <t>NO</t>
        </is>
      </c>
      <c r="W553" s="33" t="inlineStr">
        <is>
          <t>YES</t>
        </is>
      </c>
      <c r="X553" s="33" t="inlineStr">
        <is>
          <t>NO</t>
        </is>
      </c>
      <c r="Y553" s="33" t="n">
        <v>1</v>
      </c>
      <c r="Z553" s="33" t="n">
        <v>5</v>
      </c>
      <c r="AA553" s="33" t="inlineStr">
        <is>
          <t>1</t>
        </is>
      </c>
      <c r="AB553" s="33" t="inlineStr">
        <is>
          <t>https://www.swimcloud.com/results/390252/event/21/?id=184119995#time184119995</t>
        </is>
      </c>
      <c r="AC553" s="33" t="inlineStr">
        <is>
          <t>SwimCloud API v6 2026-10-08</t>
        </is>
      </c>
      <c r="AD553" s="33" t="inlineStr">
        <is>
          <t>David Popovici|2026-08-13|LCM|200|Free|104.56|European Championships|SEM|False</t>
        </is>
      </c>
      <c r="AE553" s="53">
        <f>G553+L553/1000+ROW()/1000000000</f>
        <v/>
      </c>
      <c r="AF553" s="35">
        <f>IF(C553&lt;&gt;"Grayson Coulter","",COUNTIFS($C$5:$C$2991,"Grayson Coulter",$Q$5:$Q$2991,Q553,$AE$5:$AE$2991,"&lt;="&amp;AE553,$R$5:$R$2991,"&lt;"&amp;R553))</f>
        <v/>
      </c>
      <c r="AG553" s="35">
        <f>IF(OR(C553&lt;&gt;"Grayson Coulter",G553&lt;'00_Control'!$B$7),"",--(AF553&lt;5))</f>
        <v/>
      </c>
      <c r="AH553" s="35">
        <f>IF(OR(C553&lt;&gt;"Grayson Coulter",G553&lt;'00_Control'!$B$7),"",--(AF553&lt;10))</f>
        <v/>
      </c>
      <c r="AI553" s="35">
        <f>IF(AND(C553="Grayson Coulter",G553&gt;='00_Control'!$B$7),"YES","NO")</f>
        <v/>
      </c>
      <c r="AJ553" s="33" t="inlineStr">
        <is>
          <t>OK</t>
        </is>
      </c>
    </row>
    <row r="554">
      <c r="A554" s="33" t="inlineStr">
        <is>
          <t>SM000550</t>
        </is>
      </c>
      <c r="B554" s="33" t="inlineStr">
        <is>
          <t>SW009</t>
        </is>
      </c>
      <c r="C554" s="33" t="inlineStr">
        <is>
          <t>David Popovici</t>
        </is>
      </c>
      <c r="D554" s="33" t="inlineStr">
        <is>
          <t>SwimCloud</t>
        </is>
      </c>
      <c r="E554" s="33" t="inlineStr">
        <is>
          <t>1405298</t>
        </is>
      </c>
      <c r="F554" s="33" t="inlineStr">
        <is>
          <t>184119993</t>
        </is>
      </c>
      <c r="G554" s="51" t="n">
        <v>46248</v>
      </c>
      <c r="H554" s="33" t="inlineStr">
        <is>
          <t>European Championships</t>
        </is>
      </c>
      <c r="I554" s="33" t="inlineStr">
        <is>
          <t>390252</t>
        </is>
      </c>
      <c r="J554" s="33" t="inlineStr"/>
      <c r="K554" s="33" t="inlineStr">
        <is>
          <t>FIN</t>
        </is>
      </c>
      <c r="L554" s="35">
        <f>IF(K554="FIN",3,IF(OR(K554="SEM",K554="SEMI"),2,IF(OR(K554="PRE",K554="HEAT"),1,IF(V554="YES",4,2))))</f>
        <v/>
      </c>
      <c r="M554" s="33" t="inlineStr">
        <is>
          <t>LCM</t>
        </is>
      </c>
      <c r="N554" s="33" t="n">
        <v>200</v>
      </c>
      <c r="O554" s="33" t="inlineStr">
        <is>
          <t>Free</t>
        </is>
      </c>
      <c r="P554" s="33" t="inlineStr">
        <is>
          <t>200 Free</t>
        </is>
      </c>
      <c r="Q554" s="33" t="inlineStr">
        <is>
          <t>LCM_200_FREE</t>
        </is>
      </c>
      <c r="R554" s="36" t="n">
        <v>104.15</v>
      </c>
      <c r="S554" s="35">
        <f>IF(R554="","",IF(R554&gt;=60,INT(R554/60)&amp;":"&amp;TEXT(MOD(R554,60),"00.00"),TEXT(R554,"0.00")))</f>
        <v/>
      </c>
      <c r="T554" s="52">
        <f>IFERROR((G554-INDEX('01_Swimmers'!$E$5:$E$22,MATCH(B554,'01_Swimmers'!$A$5:$A$22,0)))/'00_Control'!$B$10,"")</f>
        <v/>
      </c>
      <c r="U554" s="35">
        <f>IF(T554="","",INT(T554))</f>
        <v/>
      </c>
      <c r="V554" s="33" t="inlineStr">
        <is>
          <t>NO</t>
        </is>
      </c>
      <c r="W554" s="33" t="inlineStr">
        <is>
          <t>YES</t>
        </is>
      </c>
      <c r="X554" s="33" t="inlineStr">
        <is>
          <t>NO</t>
        </is>
      </c>
      <c r="Y554" s="33" t="n">
        <v>1</v>
      </c>
      <c r="Z554" s="33" t="n">
        <v>4</v>
      </c>
      <c r="AA554" s="33" t="inlineStr">
        <is>
          <t>1</t>
        </is>
      </c>
      <c r="AB554" s="33" t="inlineStr">
        <is>
          <t>https://www.swimcloud.com/results/390252/event/21/?id=184119993#time184119993</t>
        </is>
      </c>
      <c r="AC554" s="33" t="inlineStr">
        <is>
          <t>SwimCloud API v6 2026-10-08</t>
        </is>
      </c>
      <c r="AD554" s="33" t="inlineStr">
        <is>
          <t>David Popovici|2026-08-14|LCM|200|Free|104.15|European Championships|FIN|False</t>
        </is>
      </c>
      <c r="AE554" s="53">
        <f>G554+L554/1000+ROW()/1000000000</f>
        <v/>
      </c>
      <c r="AF554" s="35">
        <f>IF(C554&lt;&gt;"Grayson Coulter","",COUNTIFS($C$5:$C$2991,"Grayson Coulter",$Q$5:$Q$2991,Q554,$AE$5:$AE$2991,"&lt;="&amp;AE554,$R$5:$R$2991,"&lt;"&amp;R554))</f>
        <v/>
      </c>
      <c r="AG554" s="35">
        <f>IF(OR(C554&lt;&gt;"Grayson Coulter",G554&lt;'00_Control'!$B$7),"",--(AF554&lt;5))</f>
        <v/>
      </c>
      <c r="AH554" s="35">
        <f>IF(OR(C554&lt;&gt;"Grayson Coulter",G554&lt;'00_Control'!$B$7),"",--(AF554&lt;10))</f>
        <v/>
      </c>
      <c r="AI554" s="35">
        <f>IF(AND(C554="Grayson Coulter",G554&gt;='00_Control'!$B$7),"YES","NO")</f>
        <v/>
      </c>
      <c r="AJ554" s="33" t="inlineStr">
        <is>
          <t>OK</t>
        </is>
      </c>
    </row>
    <row r="555">
      <c r="A555" s="33" t="inlineStr">
        <is>
          <t>SM000551</t>
        </is>
      </c>
      <c r="B555" s="33" t="inlineStr">
        <is>
          <t>SW016</t>
        </is>
      </c>
      <c r="C555" s="33" t="inlineStr">
        <is>
          <t>Duncan Scott</t>
        </is>
      </c>
      <c r="D555" s="33" t="inlineStr">
        <is>
          <t>SwimCloud</t>
        </is>
      </c>
      <c r="E555" s="33" t="inlineStr">
        <is>
          <t>375606</t>
        </is>
      </c>
      <c r="F555" s="33" t="inlineStr">
        <is>
          <t>124491578</t>
        </is>
      </c>
      <c r="G555" s="51" t="n">
        <v>40550</v>
      </c>
      <c r="H555" s="33" t="inlineStr">
        <is>
          <t>Scottish National S.C.Open Championships</t>
        </is>
      </c>
      <c r="I555" s="33" t="inlineStr">
        <is>
          <t>302016</t>
        </is>
      </c>
      <c r="J555" s="33" t="inlineStr"/>
      <c r="K555" s="33" t="inlineStr">
        <is>
          <t>TIM</t>
        </is>
      </c>
      <c r="L555" s="35">
        <f>IF(K555="FIN",3,IF(OR(K555="SEM",K555="SEMI"),2,IF(OR(K555="PRE",K555="HEAT"),1,IF(V555="YES",4,2))))</f>
        <v/>
      </c>
      <c r="M555" s="33" t="inlineStr">
        <is>
          <t>SCM</t>
        </is>
      </c>
      <c r="N555" s="33" t="n">
        <v>400</v>
      </c>
      <c r="O555" s="33" t="inlineStr">
        <is>
          <t>Free</t>
        </is>
      </c>
      <c r="P555" s="33" t="inlineStr">
        <is>
          <t>400 Free</t>
        </is>
      </c>
      <c r="Q555" s="33" t="inlineStr">
        <is>
          <t>SCM_400_FREE</t>
        </is>
      </c>
      <c r="R555" s="36" t="n">
        <v>272.91</v>
      </c>
      <c r="S555" s="35">
        <f>IF(R555="","",IF(R555&gt;=60,INT(R555/60)&amp;":"&amp;TEXT(MOD(R555,60),"00.00"),TEXT(R555,"0.00")))</f>
        <v/>
      </c>
      <c r="T555" s="52">
        <f>IFERROR((G555-INDEX('01_Swimmers'!$E$5:$E$22,MATCH(B555,'01_Swimmers'!$A$5:$A$22,0)))/'00_Control'!$B$10,"")</f>
        <v/>
      </c>
      <c r="U555" s="35">
        <f>IF(T555="","",INT(T555))</f>
        <v/>
      </c>
      <c r="V555" s="33" t="inlineStr">
        <is>
          <t>NO</t>
        </is>
      </c>
      <c r="W555" s="33" t="inlineStr">
        <is>
          <t>YES</t>
        </is>
      </c>
      <c r="X555" s="33" t="inlineStr">
        <is>
          <t>NO</t>
        </is>
      </c>
      <c r="Y555" s="33" t="n">
        <v>5</v>
      </c>
      <c r="Z555" s="33" t="n">
        <v>7</v>
      </c>
      <c r="AA555" s="33" t="inlineStr">
        <is>
          <t>44</t>
        </is>
      </c>
      <c r="AB555" s="33" t="inlineStr">
        <is>
          <t>https://www.swimcloud.com/results/302016/event/112/?id=124491578#time124491578</t>
        </is>
      </c>
      <c r="AC555" s="33" t="inlineStr">
        <is>
          <t>SwimCloud API v6 2026-10-08</t>
        </is>
      </c>
      <c r="AD555" s="33" t="inlineStr">
        <is>
          <t>Duncan Scott|2011-01-07|SCM|400|Free|272.91|Scottish National S.C.Open Championships|TIM|False</t>
        </is>
      </c>
      <c r="AE555" s="53">
        <f>G555+L555/1000+ROW()/1000000000</f>
        <v/>
      </c>
      <c r="AF555" s="35">
        <f>IF(C555&lt;&gt;"Grayson Coulter","",COUNTIFS($C$5:$C$2991,"Grayson Coulter",$Q$5:$Q$2991,Q555,$AE$5:$AE$2991,"&lt;="&amp;AE555,$R$5:$R$2991,"&lt;"&amp;R555))</f>
        <v/>
      </c>
      <c r="AG555" s="35">
        <f>IF(OR(C555&lt;&gt;"Grayson Coulter",G555&lt;'00_Control'!$B$7),"",--(AF555&lt;5))</f>
        <v/>
      </c>
      <c r="AH555" s="35">
        <f>IF(OR(C555&lt;&gt;"Grayson Coulter",G555&lt;'00_Control'!$B$7),"",--(AF555&lt;10))</f>
        <v/>
      </c>
      <c r="AI555" s="35">
        <f>IF(AND(C555="Grayson Coulter",G555&gt;='00_Control'!$B$7),"YES","NO")</f>
        <v/>
      </c>
      <c r="AJ555" s="33" t="inlineStr">
        <is>
          <t>OK</t>
        </is>
      </c>
    </row>
    <row r="556">
      <c r="A556" s="33" t="inlineStr">
        <is>
          <t>SM000552</t>
        </is>
      </c>
      <c r="B556" s="33" t="inlineStr">
        <is>
          <t>SW016</t>
        </is>
      </c>
      <c r="C556" s="33" t="inlineStr">
        <is>
          <t>Duncan Scott</t>
        </is>
      </c>
      <c r="D556" s="33" t="inlineStr">
        <is>
          <t>SwimCloud</t>
        </is>
      </c>
      <c r="E556" s="33" t="inlineStr">
        <is>
          <t>375606</t>
        </is>
      </c>
      <c r="F556" s="33" t="inlineStr">
        <is>
          <t>124484164</t>
        </is>
      </c>
      <c r="G556" s="51" t="n">
        <v>40640</v>
      </c>
      <c r="H556" s="33" t="inlineStr">
        <is>
          <t>Scottish National Age Group Championship</t>
        </is>
      </c>
      <c r="I556" s="33" t="inlineStr">
        <is>
          <t>302015</t>
        </is>
      </c>
      <c r="J556" s="33" t="inlineStr"/>
      <c r="K556" s="33" t="inlineStr">
        <is>
          <t>PRE</t>
        </is>
      </c>
      <c r="L556" s="35">
        <f>IF(K556="FIN",3,IF(OR(K556="SEM",K556="SEMI"),2,IF(OR(K556="PRE",K556="HEAT"),1,IF(V556="YES",4,2))))</f>
        <v/>
      </c>
      <c r="M556" s="33" t="inlineStr">
        <is>
          <t>LCM</t>
        </is>
      </c>
      <c r="N556" s="33" t="n">
        <v>100</v>
      </c>
      <c r="O556" s="33" t="inlineStr">
        <is>
          <t>Free</t>
        </is>
      </c>
      <c r="P556" s="33" t="inlineStr">
        <is>
          <t>100 Free</t>
        </is>
      </c>
      <c r="Q556" s="33" t="inlineStr">
        <is>
          <t>LCM_100_FREE</t>
        </is>
      </c>
      <c r="R556" s="36" t="n">
        <v>59.26</v>
      </c>
      <c r="S556" s="35">
        <f>IF(R556="","",IF(R556&gt;=60,INT(R556/60)&amp;":"&amp;TEXT(MOD(R556,60),"00.00"),TEXT(R556,"0.00")))</f>
        <v/>
      </c>
      <c r="T556" s="52">
        <f>IFERROR((G556-INDEX('01_Swimmers'!$E$5:$E$22,MATCH(B556,'01_Swimmers'!$A$5:$A$22,0)))/'00_Control'!$B$10,"")</f>
        <v/>
      </c>
      <c r="U556" s="35">
        <f>IF(T556="","",INT(T556))</f>
        <v/>
      </c>
      <c r="V556" s="33" t="inlineStr">
        <is>
          <t>NO</t>
        </is>
      </c>
      <c r="W556" s="33" t="inlineStr">
        <is>
          <t>YES</t>
        </is>
      </c>
      <c r="X556" s="33" t="inlineStr">
        <is>
          <t>NO</t>
        </is>
      </c>
      <c r="Y556" s="33" t="n">
        <v>3</v>
      </c>
      <c r="Z556" s="33" t="n">
        <v>7</v>
      </c>
      <c r="AA556" s="33" t="inlineStr">
        <is>
          <t>3</t>
        </is>
      </c>
      <c r="AB556" s="33" t="inlineStr">
        <is>
          <t>https://www.swimcloud.com/results/302015/event/111/?id=124484164#time124484164</t>
        </is>
      </c>
      <c r="AC556" s="33" t="inlineStr">
        <is>
          <t>SwimCloud API v6 2026-10-08</t>
        </is>
      </c>
      <c r="AD556" s="33" t="inlineStr">
        <is>
          <t>Duncan Scott|2011-04-07|LCM|100|Free|59.26|Scottish National Age Group Championship|PRE|False</t>
        </is>
      </c>
      <c r="AE556" s="53">
        <f>G556+L556/1000+ROW()/1000000000</f>
        <v/>
      </c>
      <c r="AF556" s="35">
        <f>IF(C556&lt;&gt;"Grayson Coulter","",COUNTIFS($C$5:$C$2991,"Grayson Coulter",$Q$5:$Q$2991,Q556,$AE$5:$AE$2991,"&lt;="&amp;AE556,$R$5:$R$2991,"&lt;"&amp;R556))</f>
        <v/>
      </c>
      <c r="AG556" s="35">
        <f>IF(OR(C556&lt;&gt;"Grayson Coulter",G556&lt;'00_Control'!$B$7),"",--(AF556&lt;5))</f>
        <v/>
      </c>
      <c r="AH556" s="35">
        <f>IF(OR(C556&lt;&gt;"Grayson Coulter",G556&lt;'00_Control'!$B$7),"",--(AF556&lt;10))</f>
        <v/>
      </c>
      <c r="AI556" s="35">
        <f>IF(AND(C556="Grayson Coulter",G556&gt;='00_Control'!$B$7),"YES","NO")</f>
        <v/>
      </c>
      <c r="AJ556" s="33" t="inlineStr">
        <is>
          <t>OK</t>
        </is>
      </c>
    </row>
    <row r="557">
      <c r="A557" s="33" t="inlineStr">
        <is>
          <t>SM000553</t>
        </is>
      </c>
      <c r="B557" s="33" t="inlineStr">
        <is>
          <t>SW016</t>
        </is>
      </c>
      <c r="C557" s="33" t="inlineStr">
        <is>
          <t>Duncan Scott</t>
        </is>
      </c>
      <c r="D557" s="33" t="inlineStr">
        <is>
          <t>SwimCloud</t>
        </is>
      </c>
      <c r="E557" s="33" t="inlineStr">
        <is>
          <t>375606</t>
        </is>
      </c>
      <c r="F557" s="33" t="inlineStr">
        <is>
          <t>124484165</t>
        </is>
      </c>
      <c r="G557" s="51" t="n">
        <v>40640</v>
      </c>
      <c r="H557" s="33" t="inlineStr">
        <is>
          <t>Scottish National Age Group Championship</t>
        </is>
      </c>
      <c r="I557" s="33" t="inlineStr">
        <is>
          <t>302015</t>
        </is>
      </c>
      <c r="J557" s="33" t="inlineStr"/>
      <c r="K557" s="33" t="inlineStr">
        <is>
          <t>FIN</t>
        </is>
      </c>
      <c r="L557" s="35">
        <f>IF(K557="FIN",3,IF(OR(K557="SEM",K557="SEMI"),2,IF(OR(K557="PRE",K557="HEAT"),1,IF(V557="YES",4,2))))</f>
        <v/>
      </c>
      <c r="M557" s="33" t="inlineStr">
        <is>
          <t>LCM</t>
        </is>
      </c>
      <c r="N557" s="33" t="n">
        <v>100</v>
      </c>
      <c r="O557" s="33" t="inlineStr">
        <is>
          <t>Free</t>
        </is>
      </c>
      <c r="P557" s="33" t="inlineStr">
        <is>
          <t>100 Free</t>
        </is>
      </c>
      <c r="Q557" s="33" t="inlineStr">
        <is>
          <t>LCM_100_FREE</t>
        </is>
      </c>
      <c r="R557" s="36" t="n">
        <v>60.62</v>
      </c>
      <c r="S557" s="35">
        <f>IF(R557="","",IF(R557&gt;=60,INT(R557/60)&amp;":"&amp;TEXT(MOD(R557,60),"00.00"),TEXT(R557,"0.00")))</f>
        <v/>
      </c>
      <c r="T557" s="52">
        <f>IFERROR((G557-INDEX('01_Swimmers'!$E$5:$E$22,MATCH(B557,'01_Swimmers'!$A$5:$A$22,0)))/'00_Control'!$B$10,"")</f>
        <v/>
      </c>
      <c r="U557" s="35">
        <f>IF(T557="","",INT(T557))</f>
        <v/>
      </c>
      <c r="V557" s="33" t="inlineStr">
        <is>
          <t>NO</t>
        </is>
      </c>
      <c r="W557" s="33" t="inlineStr">
        <is>
          <t>YES</t>
        </is>
      </c>
      <c r="X557" s="33" t="inlineStr">
        <is>
          <t>NO</t>
        </is>
      </c>
      <c r="Y557" s="33" t="n">
        <v>2</v>
      </c>
      <c r="Z557" s="33" t="n">
        <v>4</v>
      </c>
      <c r="AA557" s="33" t="inlineStr">
        <is>
          <t>7</t>
        </is>
      </c>
      <c r="AB557" s="33" t="inlineStr">
        <is>
          <t>https://www.swimcloud.com/results/302015/event/111/?id=124484165#time124484165</t>
        </is>
      </c>
      <c r="AC557" s="33" t="inlineStr">
        <is>
          <t>SwimCloud API v6 2026-10-08</t>
        </is>
      </c>
      <c r="AD557" s="33" t="inlineStr">
        <is>
          <t>Duncan Scott|2011-04-07|LCM|100|Free|60.62|Scottish National Age Group Championship|FIN|False</t>
        </is>
      </c>
      <c r="AE557" s="53">
        <f>G557+L557/1000+ROW()/1000000000</f>
        <v/>
      </c>
      <c r="AF557" s="35">
        <f>IF(C557&lt;&gt;"Grayson Coulter","",COUNTIFS($C$5:$C$2991,"Grayson Coulter",$Q$5:$Q$2991,Q557,$AE$5:$AE$2991,"&lt;="&amp;AE557,$R$5:$R$2991,"&lt;"&amp;R557))</f>
        <v/>
      </c>
      <c r="AG557" s="35">
        <f>IF(OR(C557&lt;&gt;"Grayson Coulter",G557&lt;'00_Control'!$B$7),"",--(AF557&lt;5))</f>
        <v/>
      </c>
      <c r="AH557" s="35">
        <f>IF(OR(C557&lt;&gt;"Grayson Coulter",G557&lt;'00_Control'!$B$7),"",--(AF557&lt;10))</f>
        <v/>
      </c>
      <c r="AI557" s="35">
        <f>IF(AND(C557="Grayson Coulter",G557&gt;='00_Control'!$B$7),"YES","NO")</f>
        <v/>
      </c>
      <c r="AJ557" s="33" t="inlineStr">
        <is>
          <t>OK</t>
        </is>
      </c>
    </row>
    <row r="558">
      <c r="A558" s="33" t="inlineStr">
        <is>
          <t>SM000554</t>
        </is>
      </c>
      <c r="B558" s="33" t="inlineStr">
        <is>
          <t>SW016</t>
        </is>
      </c>
      <c r="C558" s="33" t="inlineStr">
        <is>
          <t>Duncan Scott</t>
        </is>
      </c>
      <c r="D558" s="33" t="inlineStr">
        <is>
          <t>SwimCloud</t>
        </is>
      </c>
      <c r="E558" s="33" t="inlineStr">
        <is>
          <t>375606</t>
        </is>
      </c>
      <c r="F558" s="33" t="inlineStr">
        <is>
          <t>124490951</t>
        </is>
      </c>
      <c r="G558" s="51" t="n">
        <v>40641</v>
      </c>
      <c r="H558" s="33" t="inlineStr">
        <is>
          <t>Scottish National Age Group Championship</t>
        </is>
      </c>
      <c r="I558" s="33" t="inlineStr">
        <is>
          <t>302015</t>
        </is>
      </c>
      <c r="J558" s="33" t="inlineStr"/>
      <c r="K558" s="33" t="inlineStr">
        <is>
          <t>TIM</t>
        </is>
      </c>
      <c r="L558" s="35">
        <f>IF(K558="FIN",3,IF(OR(K558="SEM",K558="SEMI"),2,IF(OR(K558="PRE",K558="HEAT"),1,IF(V558="YES",4,2))))</f>
        <v/>
      </c>
      <c r="M558" s="33" t="inlineStr">
        <is>
          <t>LCM</t>
        </is>
      </c>
      <c r="N558" s="33" t="n">
        <v>100</v>
      </c>
      <c r="O558" s="33" t="inlineStr">
        <is>
          <t>Fly</t>
        </is>
      </c>
      <c r="P558" s="33" t="inlineStr">
        <is>
          <t>100 Fly</t>
        </is>
      </c>
      <c r="Q558" s="33" t="inlineStr">
        <is>
          <t>LCM_100_FLY</t>
        </is>
      </c>
      <c r="R558" s="36" t="n">
        <v>67.86</v>
      </c>
      <c r="S558" s="35">
        <f>IF(R558="","",IF(R558&gt;=60,INT(R558/60)&amp;":"&amp;TEXT(MOD(R558,60),"00.00"),TEXT(R558,"0.00")))</f>
        <v/>
      </c>
      <c r="T558" s="52">
        <f>IFERROR((G558-INDEX('01_Swimmers'!$E$5:$E$22,MATCH(B558,'01_Swimmers'!$A$5:$A$22,0)))/'00_Control'!$B$10,"")</f>
        <v/>
      </c>
      <c r="U558" s="35">
        <f>IF(T558="","",INT(T558))</f>
        <v/>
      </c>
      <c r="V558" s="33" t="inlineStr">
        <is>
          <t>NO</t>
        </is>
      </c>
      <c r="W558" s="33" t="inlineStr">
        <is>
          <t>YES</t>
        </is>
      </c>
      <c r="X558" s="33" t="inlineStr">
        <is>
          <t>NO</t>
        </is>
      </c>
      <c r="Y558" s="33" t="n">
        <v>5</v>
      </c>
      <c r="Z558" s="33" t="n">
        <v>3</v>
      </c>
      <c r="AA558" s="33" t="inlineStr"/>
      <c r="AB558" s="33" t="inlineStr">
        <is>
          <t>https://www.swimcloud.com/results/302015/event/211/?id=124485476#time124485476</t>
        </is>
      </c>
      <c r="AC558" s="33" t="inlineStr">
        <is>
          <t>SwimCloud API v6 2026-10-08</t>
        </is>
      </c>
      <c r="AD558" s="33" t="inlineStr">
        <is>
          <t>Duncan Scott|2011-04-08|LCM|100|Fly|67.86|Scottish National Age Group Championship|TIM|False</t>
        </is>
      </c>
      <c r="AE558" s="53">
        <f>G558+L558/1000+ROW()/1000000000</f>
        <v/>
      </c>
      <c r="AF558" s="35">
        <f>IF(C558&lt;&gt;"Grayson Coulter","",COUNTIFS($C$5:$C$2991,"Grayson Coulter",$Q$5:$Q$2991,Q558,$AE$5:$AE$2991,"&lt;="&amp;AE558,$R$5:$R$2991,"&lt;"&amp;R558))</f>
        <v/>
      </c>
      <c r="AG558" s="35">
        <f>IF(OR(C558&lt;&gt;"Grayson Coulter",G558&lt;'00_Control'!$B$7),"",--(AF558&lt;5))</f>
        <v/>
      </c>
      <c r="AH558" s="35">
        <f>IF(OR(C558&lt;&gt;"Grayson Coulter",G558&lt;'00_Control'!$B$7),"",--(AF558&lt;10))</f>
        <v/>
      </c>
      <c r="AI558" s="35">
        <f>IF(AND(C558="Grayson Coulter",G558&gt;='00_Control'!$B$7),"YES","NO")</f>
        <v/>
      </c>
      <c r="AJ558" s="33" t="inlineStr">
        <is>
          <t>OK</t>
        </is>
      </c>
    </row>
    <row r="559">
      <c r="A559" s="33" t="inlineStr">
        <is>
          <t>SM000555</t>
        </is>
      </c>
      <c r="B559" s="33" t="inlineStr">
        <is>
          <t>SW016</t>
        </is>
      </c>
      <c r="C559" s="33" t="inlineStr">
        <is>
          <t>Duncan Scott</t>
        </is>
      </c>
      <c r="D559" s="33" t="inlineStr">
        <is>
          <t>SwimCloud</t>
        </is>
      </c>
      <c r="E559" s="33" t="inlineStr">
        <is>
          <t>375606</t>
        </is>
      </c>
      <c r="F559" s="33" t="inlineStr">
        <is>
          <t>124484195</t>
        </is>
      </c>
      <c r="G559" s="51" t="n">
        <v>40641</v>
      </c>
      <c r="H559" s="33" t="inlineStr">
        <is>
          <t>Scottish National Age Group Championship</t>
        </is>
      </c>
      <c r="I559" s="33" t="inlineStr">
        <is>
          <t>302015</t>
        </is>
      </c>
      <c r="J559" s="33" t="inlineStr"/>
      <c r="K559" s="33" t="inlineStr">
        <is>
          <t>PRE</t>
        </is>
      </c>
      <c r="L559" s="35">
        <f>IF(K559="FIN",3,IF(OR(K559="SEM",K559="SEMI"),2,IF(OR(K559="PRE",K559="HEAT"),1,IF(V559="YES",4,2))))</f>
        <v/>
      </c>
      <c r="M559" s="33" t="inlineStr">
        <is>
          <t>LCM</t>
        </is>
      </c>
      <c r="N559" s="33" t="n">
        <v>200</v>
      </c>
      <c r="O559" s="33" t="inlineStr">
        <is>
          <t>Free</t>
        </is>
      </c>
      <c r="P559" s="33" t="inlineStr">
        <is>
          <t>200 Free</t>
        </is>
      </c>
      <c r="Q559" s="33" t="inlineStr">
        <is>
          <t>LCM_200_FREE</t>
        </is>
      </c>
      <c r="R559" s="36" t="n">
        <v>129.57</v>
      </c>
      <c r="S559" s="35">
        <f>IF(R559="","",IF(R559&gt;=60,INT(R559/60)&amp;":"&amp;TEXT(MOD(R559,60),"00.00"),TEXT(R559,"0.00")))</f>
        <v/>
      </c>
      <c r="T559" s="52">
        <f>IFERROR((G559-INDEX('01_Swimmers'!$E$5:$E$22,MATCH(B559,'01_Swimmers'!$A$5:$A$22,0)))/'00_Control'!$B$10,"")</f>
        <v/>
      </c>
      <c r="U559" s="35">
        <f>IF(T559="","",INT(T559))</f>
        <v/>
      </c>
      <c r="V559" s="33" t="inlineStr">
        <is>
          <t>NO</t>
        </is>
      </c>
      <c r="W559" s="33" t="inlineStr">
        <is>
          <t>YES</t>
        </is>
      </c>
      <c r="X559" s="33" t="inlineStr">
        <is>
          <t>NO</t>
        </is>
      </c>
      <c r="Y559" s="33" t="n">
        <v>8</v>
      </c>
      <c r="Z559" s="33" t="n">
        <v>9</v>
      </c>
      <c r="AA559" s="33" t="inlineStr">
        <is>
          <t>5</t>
        </is>
      </c>
      <c r="AB559" s="33" t="inlineStr">
        <is>
          <t>https://www.swimcloud.com/results/302015/event/207/?id=124484195#time124484195</t>
        </is>
      </c>
      <c r="AC559" s="33" t="inlineStr">
        <is>
          <t>SwimCloud API v6 2026-10-08</t>
        </is>
      </c>
      <c r="AD559" s="33" t="inlineStr">
        <is>
          <t>Duncan Scott|2011-04-08|LCM|200|Free|129.57|Scottish National Age Group Championship|PRE|False</t>
        </is>
      </c>
      <c r="AE559" s="53">
        <f>G559+L559/1000+ROW()/1000000000</f>
        <v/>
      </c>
      <c r="AF559" s="35">
        <f>IF(C559&lt;&gt;"Grayson Coulter","",COUNTIFS($C$5:$C$2991,"Grayson Coulter",$Q$5:$Q$2991,Q559,$AE$5:$AE$2991,"&lt;="&amp;AE559,$R$5:$R$2991,"&lt;"&amp;R559))</f>
        <v/>
      </c>
      <c r="AG559" s="35">
        <f>IF(OR(C559&lt;&gt;"Grayson Coulter",G559&lt;'00_Control'!$B$7),"",--(AF559&lt;5))</f>
        <v/>
      </c>
      <c r="AH559" s="35">
        <f>IF(OR(C559&lt;&gt;"Grayson Coulter",G559&lt;'00_Control'!$B$7),"",--(AF559&lt;10))</f>
        <v/>
      </c>
      <c r="AI559" s="35">
        <f>IF(AND(C559="Grayson Coulter",G559&gt;='00_Control'!$B$7),"YES","NO")</f>
        <v/>
      </c>
      <c r="AJ559" s="33" t="inlineStr">
        <is>
          <t>OK</t>
        </is>
      </c>
    </row>
    <row r="560">
      <c r="A560" s="33" t="inlineStr">
        <is>
          <t>SM000556</t>
        </is>
      </c>
      <c r="B560" s="33" t="inlineStr">
        <is>
          <t>SW016</t>
        </is>
      </c>
      <c r="C560" s="33" t="inlineStr">
        <is>
          <t>Duncan Scott</t>
        </is>
      </c>
      <c r="D560" s="33" t="inlineStr">
        <is>
          <t>SwimCloud</t>
        </is>
      </c>
      <c r="E560" s="33" t="inlineStr">
        <is>
          <t>375606</t>
        </is>
      </c>
      <c r="F560" s="33" t="inlineStr">
        <is>
          <t>124484196</t>
        </is>
      </c>
      <c r="G560" s="51" t="n">
        <v>40641</v>
      </c>
      <c r="H560" s="33" t="inlineStr">
        <is>
          <t>Scottish National Age Group Championship</t>
        </is>
      </c>
      <c r="I560" s="33" t="inlineStr">
        <is>
          <t>302015</t>
        </is>
      </c>
      <c r="J560" s="33" t="inlineStr"/>
      <c r="K560" s="33" t="inlineStr">
        <is>
          <t>FIN</t>
        </is>
      </c>
      <c r="L560" s="35">
        <f>IF(K560="FIN",3,IF(OR(K560="SEM",K560="SEMI"),2,IF(OR(K560="PRE",K560="HEAT"),1,IF(V560="YES",4,2))))</f>
        <v/>
      </c>
      <c r="M560" s="33" t="inlineStr">
        <is>
          <t>LCM</t>
        </is>
      </c>
      <c r="N560" s="33" t="n">
        <v>200</v>
      </c>
      <c r="O560" s="33" t="inlineStr">
        <is>
          <t>Free</t>
        </is>
      </c>
      <c r="P560" s="33" t="inlineStr">
        <is>
          <t>200 Free</t>
        </is>
      </c>
      <c r="Q560" s="33" t="inlineStr">
        <is>
          <t>LCM_200_FREE</t>
        </is>
      </c>
      <c r="R560" s="36" t="n">
        <v>131.08</v>
      </c>
      <c r="S560" s="35">
        <f>IF(R560="","",IF(R560&gt;=60,INT(R560/60)&amp;":"&amp;TEXT(MOD(R560,60),"00.00"),TEXT(R560,"0.00")))</f>
        <v/>
      </c>
      <c r="T560" s="52">
        <f>IFERROR((G560-INDEX('01_Swimmers'!$E$5:$E$22,MATCH(B560,'01_Swimmers'!$A$5:$A$22,0)))/'00_Control'!$B$10,"")</f>
        <v/>
      </c>
      <c r="U560" s="35">
        <f>IF(T560="","",INT(T560))</f>
        <v/>
      </c>
      <c r="V560" s="33" t="inlineStr">
        <is>
          <t>NO</t>
        </is>
      </c>
      <c r="W560" s="33" t="inlineStr">
        <is>
          <t>YES</t>
        </is>
      </c>
      <c r="X560" s="33" t="inlineStr">
        <is>
          <t>NO</t>
        </is>
      </c>
      <c r="Y560" s="33" t="n">
        <v>2</v>
      </c>
      <c r="Z560" s="33" t="n">
        <v>3</v>
      </c>
      <c r="AA560" s="33" t="inlineStr">
        <is>
          <t>7</t>
        </is>
      </c>
      <c r="AB560" s="33" t="inlineStr">
        <is>
          <t>https://www.swimcloud.com/results/302015/event/207/?id=124484196#time124484196</t>
        </is>
      </c>
      <c r="AC560" s="33" t="inlineStr">
        <is>
          <t>SwimCloud API v6 2026-10-08</t>
        </is>
      </c>
      <c r="AD560" s="33" t="inlineStr">
        <is>
          <t>Duncan Scott|2011-04-08|LCM|200|Free|131.08|Scottish National Age Group Championship|FIN|False</t>
        </is>
      </c>
      <c r="AE560" s="53">
        <f>G560+L560/1000+ROW()/1000000000</f>
        <v/>
      </c>
      <c r="AF560" s="35">
        <f>IF(C560&lt;&gt;"Grayson Coulter","",COUNTIFS($C$5:$C$2991,"Grayson Coulter",$Q$5:$Q$2991,Q560,$AE$5:$AE$2991,"&lt;="&amp;AE560,$R$5:$R$2991,"&lt;"&amp;R560))</f>
        <v/>
      </c>
      <c r="AG560" s="35">
        <f>IF(OR(C560&lt;&gt;"Grayson Coulter",G560&lt;'00_Control'!$B$7),"",--(AF560&lt;5))</f>
        <v/>
      </c>
      <c r="AH560" s="35">
        <f>IF(OR(C560&lt;&gt;"Grayson Coulter",G560&lt;'00_Control'!$B$7),"",--(AF560&lt;10))</f>
        <v/>
      </c>
      <c r="AI560" s="35">
        <f>IF(AND(C560="Grayson Coulter",G560&gt;='00_Control'!$B$7),"YES","NO")</f>
        <v/>
      </c>
      <c r="AJ560" s="33" t="inlineStr">
        <is>
          <t>OK</t>
        </is>
      </c>
    </row>
    <row r="561">
      <c r="A561" s="33" t="inlineStr">
        <is>
          <t>SM000557</t>
        </is>
      </c>
      <c r="B561" s="33" t="inlineStr">
        <is>
          <t>SW016</t>
        </is>
      </c>
      <c r="C561" s="33" t="inlineStr">
        <is>
          <t>Duncan Scott</t>
        </is>
      </c>
      <c r="D561" s="33" t="inlineStr">
        <is>
          <t>SwimCloud</t>
        </is>
      </c>
      <c r="E561" s="33" t="inlineStr">
        <is>
          <t>375606</t>
        </is>
      </c>
      <c r="F561" s="33" t="inlineStr">
        <is>
          <t>124484378</t>
        </is>
      </c>
      <c r="G561" s="51" t="n">
        <v>40643</v>
      </c>
      <c r="H561" s="33" t="inlineStr">
        <is>
          <t>Scottish National Age Group Championship</t>
        </is>
      </c>
      <c r="I561" s="33" t="inlineStr">
        <is>
          <t>302015</t>
        </is>
      </c>
      <c r="J561" s="33" t="inlineStr"/>
      <c r="K561" s="33" t="inlineStr">
        <is>
          <t>PRE</t>
        </is>
      </c>
      <c r="L561" s="35">
        <f>IF(K561="FIN",3,IF(OR(K561="SEM",K561="SEMI"),2,IF(OR(K561="PRE",K561="HEAT"),1,IF(V561="YES",4,2))))</f>
        <v/>
      </c>
      <c r="M561" s="33" t="inlineStr">
        <is>
          <t>LCM</t>
        </is>
      </c>
      <c r="N561" s="33" t="n">
        <v>100</v>
      </c>
      <c r="O561" s="33" t="inlineStr">
        <is>
          <t>Fly</t>
        </is>
      </c>
      <c r="P561" s="33" t="inlineStr">
        <is>
          <t>100 Fly</t>
        </is>
      </c>
      <c r="Q561" s="33" t="inlineStr">
        <is>
          <t>LCM_100_FLY</t>
        </is>
      </c>
      <c r="R561" s="36" t="n">
        <v>65.31</v>
      </c>
      <c r="S561" s="35">
        <f>IF(R561="","",IF(R561&gt;=60,INT(R561/60)&amp;":"&amp;TEXT(MOD(R561,60),"00.00"),TEXT(R561,"0.00")))</f>
        <v/>
      </c>
      <c r="T561" s="52">
        <f>IFERROR((G561-INDEX('01_Swimmers'!$E$5:$E$22,MATCH(B561,'01_Swimmers'!$A$5:$A$22,0)))/'00_Control'!$B$10,"")</f>
        <v/>
      </c>
      <c r="U561" s="35">
        <f>IF(T561="","",INT(T561))</f>
        <v/>
      </c>
      <c r="V561" s="33" t="inlineStr">
        <is>
          <t>NO</t>
        </is>
      </c>
      <c r="W561" s="33" t="inlineStr">
        <is>
          <t>YES</t>
        </is>
      </c>
      <c r="X561" s="33" t="inlineStr">
        <is>
          <t>NO</t>
        </is>
      </c>
      <c r="Y561" s="33" t="n">
        <v>6</v>
      </c>
      <c r="Z561" s="33" t="n">
        <v>9</v>
      </c>
      <c r="AA561" s="33" t="inlineStr">
        <is>
          <t>3</t>
        </is>
      </c>
      <c r="AB561" s="33" t="inlineStr">
        <is>
          <t>https://www.swimcloud.com/results/302015/event/410/?id=124484378#time124484378</t>
        </is>
      </c>
      <c r="AC561" s="33" t="inlineStr">
        <is>
          <t>SwimCloud API v6 2026-10-08</t>
        </is>
      </c>
      <c r="AD561" s="33" t="inlineStr">
        <is>
          <t>Duncan Scott|2011-04-10|LCM|100|Fly|65.31|Scottish National Age Group Championship|PRE|False</t>
        </is>
      </c>
      <c r="AE561" s="53">
        <f>G561+L561/1000+ROW()/1000000000</f>
        <v/>
      </c>
      <c r="AF561" s="35">
        <f>IF(C561&lt;&gt;"Grayson Coulter","",COUNTIFS($C$5:$C$2991,"Grayson Coulter",$Q$5:$Q$2991,Q561,$AE$5:$AE$2991,"&lt;="&amp;AE561,$R$5:$R$2991,"&lt;"&amp;R561))</f>
        <v/>
      </c>
      <c r="AG561" s="35">
        <f>IF(OR(C561&lt;&gt;"Grayson Coulter",G561&lt;'00_Control'!$B$7),"",--(AF561&lt;5))</f>
        <v/>
      </c>
      <c r="AH561" s="35">
        <f>IF(OR(C561&lt;&gt;"Grayson Coulter",G561&lt;'00_Control'!$B$7),"",--(AF561&lt;10))</f>
        <v/>
      </c>
      <c r="AI561" s="35">
        <f>IF(AND(C561="Grayson Coulter",G561&gt;='00_Control'!$B$7),"YES","NO")</f>
        <v/>
      </c>
      <c r="AJ561" s="33" t="inlineStr">
        <is>
          <t>OK</t>
        </is>
      </c>
    </row>
    <row r="562">
      <c r="A562" s="33" t="inlineStr">
        <is>
          <t>SM000558</t>
        </is>
      </c>
      <c r="B562" s="33" t="inlineStr">
        <is>
          <t>SW016</t>
        </is>
      </c>
      <c r="C562" s="33" t="inlineStr">
        <is>
          <t>Duncan Scott</t>
        </is>
      </c>
      <c r="D562" s="33" t="inlineStr">
        <is>
          <t>SwimCloud</t>
        </is>
      </c>
      <c r="E562" s="33" t="inlineStr">
        <is>
          <t>375606</t>
        </is>
      </c>
      <c r="F562" s="33" t="inlineStr">
        <is>
          <t>124484379</t>
        </is>
      </c>
      <c r="G562" s="51" t="n">
        <v>40643</v>
      </c>
      <c r="H562" s="33" t="inlineStr">
        <is>
          <t>Scottish National Age Group Championship</t>
        </is>
      </c>
      <c r="I562" s="33" t="inlineStr">
        <is>
          <t>302015</t>
        </is>
      </c>
      <c r="J562" s="33" t="inlineStr"/>
      <c r="K562" s="33" t="inlineStr">
        <is>
          <t>FIN</t>
        </is>
      </c>
      <c r="L562" s="35">
        <f>IF(K562="FIN",3,IF(OR(K562="SEM",K562="SEMI"),2,IF(OR(K562="PRE",K562="HEAT"),1,IF(V562="YES",4,2))))</f>
        <v/>
      </c>
      <c r="M562" s="33" t="inlineStr">
        <is>
          <t>LCM</t>
        </is>
      </c>
      <c r="N562" s="33" t="n">
        <v>100</v>
      </c>
      <c r="O562" s="33" t="inlineStr">
        <is>
          <t>Fly</t>
        </is>
      </c>
      <c r="P562" s="33" t="inlineStr">
        <is>
          <t>100 Fly</t>
        </is>
      </c>
      <c r="Q562" s="33" t="inlineStr">
        <is>
          <t>LCM_100_FLY</t>
        </is>
      </c>
      <c r="R562" s="36" t="n">
        <v>63.59</v>
      </c>
      <c r="S562" s="35">
        <f>IF(R562="","",IF(R562&gt;=60,INT(R562/60)&amp;":"&amp;TEXT(MOD(R562,60),"00.00"),TEXT(R562,"0.00")))</f>
        <v/>
      </c>
      <c r="T562" s="52">
        <f>IFERROR((G562-INDEX('01_Swimmers'!$E$5:$E$22,MATCH(B562,'01_Swimmers'!$A$5:$A$22,0)))/'00_Control'!$B$10,"")</f>
        <v/>
      </c>
      <c r="U562" s="35">
        <f>IF(T562="","",INT(T562))</f>
        <v/>
      </c>
      <c r="V562" s="33" t="inlineStr">
        <is>
          <t>NO</t>
        </is>
      </c>
      <c r="W562" s="33" t="inlineStr">
        <is>
          <t>YES</t>
        </is>
      </c>
      <c r="X562" s="33" t="inlineStr">
        <is>
          <t>NO</t>
        </is>
      </c>
      <c r="Y562" s="33" t="n">
        <v>2</v>
      </c>
      <c r="Z562" s="33" t="n">
        <v>4</v>
      </c>
      <c r="AA562" s="33" t="inlineStr">
        <is>
          <t>3</t>
        </is>
      </c>
      <c r="AB562" s="33" t="inlineStr">
        <is>
          <t>https://www.swimcloud.com/results/302015/event/410/?id=124484379#time124484379</t>
        </is>
      </c>
      <c r="AC562" s="33" t="inlineStr">
        <is>
          <t>SwimCloud API v6 2026-10-08</t>
        </is>
      </c>
      <c r="AD562" s="33" t="inlineStr">
        <is>
          <t>Duncan Scott|2011-04-10|LCM|100|Fly|63.59|Scottish National Age Group Championship|FIN|False</t>
        </is>
      </c>
      <c r="AE562" s="53">
        <f>G562+L562/1000+ROW()/1000000000</f>
        <v/>
      </c>
      <c r="AF562" s="35">
        <f>IF(C562&lt;&gt;"Grayson Coulter","",COUNTIFS($C$5:$C$2991,"Grayson Coulter",$Q$5:$Q$2991,Q562,$AE$5:$AE$2991,"&lt;="&amp;AE562,$R$5:$R$2991,"&lt;"&amp;R562))</f>
        <v/>
      </c>
      <c r="AG562" s="35">
        <f>IF(OR(C562&lt;&gt;"Grayson Coulter",G562&lt;'00_Control'!$B$7),"",--(AF562&lt;5))</f>
        <v/>
      </c>
      <c r="AH562" s="35">
        <f>IF(OR(C562&lt;&gt;"Grayson Coulter",G562&lt;'00_Control'!$B$7),"",--(AF562&lt;10))</f>
        <v/>
      </c>
      <c r="AI562" s="35">
        <f>IF(AND(C562="Grayson Coulter",G562&gt;='00_Control'!$B$7),"YES","NO")</f>
        <v/>
      </c>
      <c r="AJ562" s="33" t="inlineStr">
        <is>
          <t>OK</t>
        </is>
      </c>
    </row>
    <row r="563">
      <c r="A563" s="33" t="inlineStr">
        <is>
          <t>SM000559</t>
        </is>
      </c>
      <c r="B563" s="33" t="inlineStr">
        <is>
          <t>SW016</t>
        </is>
      </c>
      <c r="C563" s="33" t="inlineStr">
        <is>
          <t>Duncan Scott</t>
        </is>
      </c>
      <c r="D563" s="33" t="inlineStr">
        <is>
          <t>SwimCloud</t>
        </is>
      </c>
      <c r="E563" s="33" t="inlineStr">
        <is>
          <t>375606</t>
        </is>
      </c>
      <c r="F563" s="33" t="inlineStr">
        <is>
          <t>124480361</t>
        </is>
      </c>
      <c r="G563" s="51" t="n">
        <v>40727</v>
      </c>
      <c r="H563" s="33" t="inlineStr">
        <is>
          <t>Scottish Gas National Open Championship</t>
        </is>
      </c>
      <c r="I563" s="33" t="inlineStr">
        <is>
          <t>302009</t>
        </is>
      </c>
      <c r="J563" s="33" t="inlineStr"/>
      <c r="K563" s="33" t="inlineStr">
        <is>
          <t>PRE</t>
        </is>
      </c>
      <c r="L563" s="35">
        <f>IF(K563="FIN",3,IF(OR(K563="SEM",K563="SEMI"),2,IF(OR(K563="PRE",K563="HEAT"),1,IF(V563="YES",4,2))))</f>
        <v/>
      </c>
      <c r="M563" s="33" t="inlineStr">
        <is>
          <t>LCM</t>
        </is>
      </c>
      <c r="N563" s="33" t="n">
        <v>100</v>
      </c>
      <c r="O563" s="33" t="inlineStr">
        <is>
          <t>Fly</t>
        </is>
      </c>
      <c r="P563" s="33" t="inlineStr">
        <is>
          <t>100 Fly</t>
        </is>
      </c>
      <c r="Q563" s="33" t="inlineStr">
        <is>
          <t>LCM_100_FLY</t>
        </is>
      </c>
      <c r="R563" s="36" t="n">
        <v>65.68000000000001</v>
      </c>
      <c r="S563" s="35">
        <f>IF(R563="","",IF(R563&gt;=60,INT(R563/60)&amp;":"&amp;TEXT(MOD(R563,60),"00.00"),TEXT(R563,"0.00")))</f>
        <v/>
      </c>
      <c r="T563" s="52">
        <f>IFERROR((G563-INDEX('01_Swimmers'!$E$5:$E$22,MATCH(B563,'01_Swimmers'!$A$5:$A$22,0)))/'00_Control'!$B$10,"")</f>
        <v/>
      </c>
      <c r="U563" s="35">
        <f>IF(T563="","",INT(T563))</f>
        <v/>
      </c>
      <c r="V563" s="33" t="inlineStr">
        <is>
          <t>NO</t>
        </is>
      </c>
      <c r="W563" s="33" t="inlineStr">
        <is>
          <t>YES</t>
        </is>
      </c>
      <c r="X563" s="33" t="inlineStr">
        <is>
          <t>NO</t>
        </is>
      </c>
      <c r="Y563" s="33" t="n">
        <v>2</v>
      </c>
      <c r="Z563" s="33" t="n">
        <v>5</v>
      </c>
      <c r="AA563" s="33" t="inlineStr">
        <is>
          <t>58</t>
        </is>
      </c>
      <c r="AB563" s="33" t="inlineStr">
        <is>
          <t>https://www.swimcloud.com/results/302009/event/401/?id=124480361#time124480361</t>
        </is>
      </c>
      <c r="AC563" s="33" t="inlineStr">
        <is>
          <t>SwimCloud API v6 2026-10-08</t>
        </is>
      </c>
      <c r="AD563" s="33" t="inlineStr">
        <is>
          <t>Duncan Scott|2011-07-03|LCM|100|Fly|65.68|Scottish Gas National Open Championship|PRE|False</t>
        </is>
      </c>
      <c r="AE563" s="53">
        <f>G563+L563/1000+ROW()/1000000000</f>
        <v/>
      </c>
      <c r="AF563" s="35">
        <f>IF(C563&lt;&gt;"Grayson Coulter","",COUNTIFS($C$5:$C$2991,"Grayson Coulter",$Q$5:$Q$2991,Q563,$AE$5:$AE$2991,"&lt;="&amp;AE563,$R$5:$R$2991,"&lt;"&amp;R563))</f>
        <v/>
      </c>
      <c r="AG563" s="35">
        <f>IF(OR(C563&lt;&gt;"Grayson Coulter",G563&lt;'00_Control'!$B$7),"",--(AF563&lt;5))</f>
        <v/>
      </c>
      <c r="AH563" s="35">
        <f>IF(OR(C563&lt;&gt;"Grayson Coulter",G563&lt;'00_Control'!$B$7),"",--(AF563&lt;10))</f>
        <v/>
      </c>
      <c r="AI563" s="35">
        <f>IF(AND(C563="Grayson Coulter",G563&gt;='00_Control'!$B$7),"YES","NO")</f>
        <v/>
      </c>
      <c r="AJ563" s="33" t="inlineStr">
        <is>
          <t>OK</t>
        </is>
      </c>
    </row>
    <row r="564">
      <c r="A564" s="33" t="inlineStr">
        <is>
          <t>SM000560</t>
        </is>
      </c>
      <c r="B564" s="33" t="inlineStr">
        <is>
          <t>SW016</t>
        </is>
      </c>
      <c r="C564" s="33" t="inlineStr">
        <is>
          <t>Duncan Scott</t>
        </is>
      </c>
      <c r="D564" s="33" t="inlineStr">
        <is>
          <t>SwimCloud</t>
        </is>
      </c>
      <c r="E564" s="33" t="inlineStr">
        <is>
          <t>375606</t>
        </is>
      </c>
      <c r="F564" s="33" t="inlineStr">
        <is>
          <t>124481879</t>
        </is>
      </c>
      <c r="G564" s="51" t="n">
        <v>40727</v>
      </c>
      <c r="H564" s="33" t="inlineStr">
        <is>
          <t>Scottish Gas National Open Championship</t>
        </is>
      </c>
      <c r="I564" s="33" t="inlineStr">
        <is>
          <t>302009</t>
        </is>
      </c>
      <c r="J564" s="33" t="inlineStr"/>
      <c r="K564" s="33" t="inlineStr">
        <is>
          <t>PRE</t>
        </is>
      </c>
      <c r="L564" s="35">
        <f>IF(K564="FIN",3,IF(OR(K564="SEM",K564="SEMI"),2,IF(OR(K564="PRE",K564="HEAT"),1,IF(V564="YES",4,2))))</f>
        <v/>
      </c>
      <c r="M564" s="33" t="inlineStr">
        <is>
          <t>LCM</t>
        </is>
      </c>
      <c r="N564" s="33" t="n">
        <v>100</v>
      </c>
      <c r="O564" s="33" t="inlineStr">
        <is>
          <t>Fly</t>
        </is>
      </c>
      <c r="P564" s="33" t="inlineStr">
        <is>
          <t>100 Fly</t>
        </is>
      </c>
      <c r="Q564" s="33" t="inlineStr">
        <is>
          <t>LCM_100_FLY</t>
        </is>
      </c>
      <c r="R564" s="36" t="n">
        <v>68.09</v>
      </c>
      <c r="S564" s="35">
        <f>IF(R564="","",IF(R564&gt;=60,INT(R564/60)&amp;":"&amp;TEXT(MOD(R564,60),"00.00"),TEXT(R564,"0.00")))</f>
        <v/>
      </c>
      <c r="T564" s="52">
        <f>IFERROR((G564-INDEX('01_Swimmers'!$E$5:$E$22,MATCH(B564,'01_Swimmers'!$A$5:$A$22,0)))/'00_Control'!$B$10,"")</f>
        <v/>
      </c>
      <c r="U564" s="35">
        <f>IF(T564="","",INT(T564))</f>
        <v/>
      </c>
      <c r="V564" s="33" t="inlineStr">
        <is>
          <t>NO</t>
        </is>
      </c>
      <c r="W564" s="33" t="inlineStr">
        <is>
          <t>YES</t>
        </is>
      </c>
      <c r="X564" s="33" t="inlineStr">
        <is>
          <t>NO</t>
        </is>
      </c>
      <c r="Y564" s="33" t="n">
        <v>4</v>
      </c>
      <c r="Z564" s="33" t="n">
        <v>5</v>
      </c>
      <c r="AA564" s="33" t="inlineStr"/>
      <c r="AB564" s="33" t="inlineStr">
        <is>
          <t>https://www.swimcloud.com/results/302009/event/407/?id=124479716#time124479716</t>
        </is>
      </c>
      <c r="AC564" s="33" t="inlineStr">
        <is>
          <t>SwimCloud API v6 2026-10-08</t>
        </is>
      </c>
      <c r="AD564" s="33" t="inlineStr">
        <is>
          <t>Duncan Scott|2011-07-03|LCM|100|Fly|68.09|Scottish Gas National Open Championship|PRE|False</t>
        </is>
      </c>
      <c r="AE564" s="53">
        <f>G564+L564/1000+ROW()/1000000000</f>
        <v/>
      </c>
      <c r="AF564" s="35">
        <f>IF(C564&lt;&gt;"Grayson Coulter","",COUNTIFS($C$5:$C$2991,"Grayson Coulter",$Q$5:$Q$2991,Q564,$AE$5:$AE$2991,"&lt;="&amp;AE564,$R$5:$R$2991,"&lt;"&amp;R564))</f>
        <v/>
      </c>
      <c r="AG564" s="35">
        <f>IF(OR(C564&lt;&gt;"Grayson Coulter",G564&lt;'00_Control'!$B$7),"",--(AF564&lt;5))</f>
        <v/>
      </c>
      <c r="AH564" s="35">
        <f>IF(OR(C564&lt;&gt;"Grayson Coulter",G564&lt;'00_Control'!$B$7),"",--(AF564&lt;10))</f>
        <v/>
      </c>
      <c r="AI564" s="35">
        <f>IF(AND(C564="Grayson Coulter",G564&gt;='00_Control'!$B$7),"YES","NO")</f>
        <v/>
      </c>
      <c r="AJ564" s="33" t="inlineStr">
        <is>
          <t>OK</t>
        </is>
      </c>
    </row>
    <row r="565">
      <c r="A565" s="33" t="inlineStr">
        <is>
          <t>SM000561</t>
        </is>
      </c>
      <c r="B565" s="33" t="inlineStr">
        <is>
          <t>SW016</t>
        </is>
      </c>
      <c r="C565" s="33" t="inlineStr">
        <is>
          <t>Duncan Scott</t>
        </is>
      </c>
      <c r="D565" s="33" t="inlineStr">
        <is>
          <t>SwimCloud</t>
        </is>
      </c>
      <c r="E565" s="33" t="inlineStr">
        <is>
          <t>375606</t>
        </is>
      </c>
      <c r="F565" s="33" t="inlineStr">
        <is>
          <t>122927258</t>
        </is>
      </c>
      <c r="G565" s="51" t="n">
        <v>40893</v>
      </c>
      <c r="H565" s="33" t="inlineStr">
        <is>
          <t>Scottish National SC Open Championship</t>
        </is>
      </c>
      <c r="I565" s="33" t="inlineStr">
        <is>
          <t>300515</t>
        </is>
      </c>
      <c r="J565" s="33" t="inlineStr"/>
      <c r="K565" s="33" t="inlineStr">
        <is>
          <t>PRE</t>
        </is>
      </c>
      <c r="L565" s="35">
        <f>IF(K565="FIN",3,IF(OR(K565="SEM",K565="SEMI"),2,IF(OR(K565="PRE",K565="HEAT"),1,IF(V565="YES",4,2))))</f>
        <v/>
      </c>
      <c r="M565" s="33" t="inlineStr">
        <is>
          <t>SCM</t>
        </is>
      </c>
      <c r="N565" s="33" t="n">
        <v>100</v>
      </c>
      <c r="O565" s="33" t="inlineStr">
        <is>
          <t>Fly</t>
        </is>
      </c>
      <c r="P565" s="33" t="inlineStr">
        <is>
          <t>100 Fly</t>
        </is>
      </c>
      <c r="Q565" s="33" t="inlineStr">
        <is>
          <t>SCM_100_FLY</t>
        </is>
      </c>
      <c r="R565" s="36" t="n">
        <v>63.32</v>
      </c>
      <c r="S565" s="35">
        <f>IF(R565="","",IF(R565&gt;=60,INT(R565/60)&amp;":"&amp;TEXT(MOD(R565,60),"00.00"),TEXT(R565,"0.00")))</f>
        <v/>
      </c>
      <c r="T565" s="52">
        <f>IFERROR((G565-INDEX('01_Swimmers'!$E$5:$E$22,MATCH(B565,'01_Swimmers'!$A$5:$A$22,0)))/'00_Control'!$B$10,"")</f>
        <v/>
      </c>
      <c r="U565" s="35">
        <f>IF(T565="","",INT(T565))</f>
        <v/>
      </c>
      <c r="V565" s="33" t="inlineStr">
        <is>
          <t>NO</t>
        </is>
      </c>
      <c r="W565" s="33" t="inlineStr">
        <is>
          <t>YES</t>
        </is>
      </c>
      <c r="X565" s="33" t="inlineStr">
        <is>
          <t>NO</t>
        </is>
      </c>
      <c r="Y565" s="33" t="n">
        <v>3</v>
      </c>
      <c r="Z565" s="33" t="n">
        <v>7</v>
      </c>
      <c r="AA565" s="33" t="inlineStr">
        <is>
          <t>52</t>
        </is>
      </c>
      <c r="AB565" s="33" t="inlineStr">
        <is>
          <t>https://www.swimcloud.com/results/300515/event/203/?id=122927258#time122927258</t>
        </is>
      </c>
      <c r="AC565" s="33" t="inlineStr">
        <is>
          <t>SwimCloud API v6 2026-10-08</t>
        </is>
      </c>
      <c r="AD565" s="33" t="inlineStr">
        <is>
          <t>Duncan Scott|2011-12-16|SCM|100|Fly|63.32|Scottish National SC Open Championship|PRE|False</t>
        </is>
      </c>
      <c r="AE565" s="53">
        <f>G565+L565/1000+ROW()/1000000000</f>
        <v/>
      </c>
      <c r="AF565" s="35">
        <f>IF(C565&lt;&gt;"Grayson Coulter","",COUNTIFS($C$5:$C$2991,"Grayson Coulter",$Q$5:$Q$2991,Q565,$AE$5:$AE$2991,"&lt;="&amp;AE565,$R$5:$R$2991,"&lt;"&amp;R565))</f>
        <v/>
      </c>
      <c r="AG565" s="35">
        <f>IF(OR(C565&lt;&gt;"Grayson Coulter",G565&lt;'00_Control'!$B$7),"",--(AF565&lt;5))</f>
        <v/>
      </c>
      <c r="AH565" s="35">
        <f>IF(OR(C565&lt;&gt;"Grayson Coulter",G565&lt;'00_Control'!$B$7),"",--(AF565&lt;10))</f>
        <v/>
      </c>
      <c r="AI565" s="35">
        <f>IF(AND(C565="Grayson Coulter",G565&gt;='00_Control'!$B$7),"YES","NO")</f>
        <v/>
      </c>
      <c r="AJ565" s="33" t="inlineStr">
        <is>
          <t>OK</t>
        </is>
      </c>
    </row>
    <row r="566">
      <c r="A566" s="33" t="inlineStr">
        <is>
          <t>SM000562</t>
        </is>
      </c>
      <c r="B566" s="33" t="inlineStr">
        <is>
          <t>SW016</t>
        </is>
      </c>
      <c r="C566" s="33" t="inlineStr">
        <is>
          <t>Duncan Scott</t>
        </is>
      </c>
      <c r="D566" s="33" t="inlineStr">
        <is>
          <t>SwimCloud</t>
        </is>
      </c>
      <c r="E566" s="33" t="inlineStr">
        <is>
          <t>375606</t>
        </is>
      </c>
      <c r="F566" s="33" t="inlineStr">
        <is>
          <t>122927810</t>
        </is>
      </c>
      <c r="G566" s="51" t="n">
        <v>40893</v>
      </c>
      <c r="H566" s="33" t="inlineStr">
        <is>
          <t>Scottish National SC Open Championship</t>
        </is>
      </c>
      <c r="I566" s="33" t="inlineStr">
        <is>
          <t>300515</t>
        </is>
      </c>
      <c r="J566" s="33" t="inlineStr"/>
      <c r="K566" s="33" t="inlineStr">
        <is>
          <t>TIM</t>
        </is>
      </c>
      <c r="L566" s="35">
        <f>IF(K566="FIN",3,IF(OR(K566="SEM",K566="SEMI"),2,IF(OR(K566="PRE",K566="HEAT"),1,IF(V566="YES",4,2))))</f>
        <v/>
      </c>
      <c r="M566" s="33" t="inlineStr">
        <is>
          <t>SCM</t>
        </is>
      </c>
      <c r="N566" s="33" t="n">
        <v>400</v>
      </c>
      <c r="O566" s="33" t="inlineStr">
        <is>
          <t>Free</t>
        </is>
      </c>
      <c r="P566" s="33" t="inlineStr">
        <is>
          <t>400 Free</t>
        </is>
      </c>
      <c r="Q566" s="33" t="inlineStr">
        <is>
          <t>SCM_400_FREE</t>
        </is>
      </c>
      <c r="R566" s="36" t="n">
        <v>259.33</v>
      </c>
      <c r="S566" s="35">
        <f>IF(R566="","",IF(R566&gt;=60,INT(R566/60)&amp;":"&amp;TEXT(MOD(R566,60),"00.00"),TEXT(R566,"0.00")))</f>
        <v/>
      </c>
      <c r="T566" s="52">
        <f>IFERROR((G566-INDEX('01_Swimmers'!$E$5:$E$22,MATCH(B566,'01_Swimmers'!$A$5:$A$22,0)))/'00_Control'!$B$10,"")</f>
        <v/>
      </c>
      <c r="U566" s="35">
        <f>IF(T566="","",INT(T566))</f>
        <v/>
      </c>
      <c r="V566" s="33" t="inlineStr">
        <is>
          <t>NO</t>
        </is>
      </c>
      <c r="W566" s="33" t="inlineStr">
        <is>
          <t>YES</t>
        </is>
      </c>
      <c r="X566" s="33" t="inlineStr">
        <is>
          <t>NO</t>
        </is>
      </c>
      <c r="Y566" s="33" t="n">
        <v>3</v>
      </c>
      <c r="Z566" s="33" t="n">
        <v>5</v>
      </c>
      <c r="AA566" s="33" t="inlineStr">
        <is>
          <t>13</t>
        </is>
      </c>
      <c r="AB566" s="33" t="inlineStr">
        <is>
          <t>https://www.swimcloud.com/results/300515/event/210/?id=122927810#time122927810</t>
        </is>
      </c>
      <c r="AC566" s="33" t="inlineStr">
        <is>
          <t>SwimCloud API v6 2026-10-08</t>
        </is>
      </c>
      <c r="AD566" s="33" t="inlineStr">
        <is>
          <t>Duncan Scott|2011-12-16|SCM|400|Free|259.33|Scottish National SC Open Championship|TIM|False</t>
        </is>
      </c>
      <c r="AE566" s="53">
        <f>G566+L566/1000+ROW()/1000000000</f>
        <v/>
      </c>
      <c r="AF566" s="35">
        <f>IF(C566&lt;&gt;"Grayson Coulter","",COUNTIFS($C$5:$C$2991,"Grayson Coulter",$Q$5:$Q$2991,Q566,$AE$5:$AE$2991,"&lt;="&amp;AE566,$R$5:$R$2991,"&lt;"&amp;R566))</f>
        <v/>
      </c>
      <c r="AG566" s="35">
        <f>IF(OR(C566&lt;&gt;"Grayson Coulter",G566&lt;'00_Control'!$B$7),"",--(AF566&lt;5))</f>
        <v/>
      </c>
      <c r="AH566" s="35">
        <f>IF(OR(C566&lt;&gt;"Grayson Coulter",G566&lt;'00_Control'!$B$7),"",--(AF566&lt;10))</f>
        <v/>
      </c>
      <c r="AI566" s="35">
        <f>IF(AND(C566="Grayson Coulter",G566&gt;='00_Control'!$B$7),"YES","NO")</f>
        <v/>
      </c>
      <c r="AJ566" s="33" t="inlineStr">
        <is>
          <t>OK</t>
        </is>
      </c>
    </row>
    <row r="567">
      <c r="A567" s="33" t="inlineStr">
        <is>
          <t>SM000563</t>
        </is>
      </c>
      <c r="B567" s="33" t="inlineStr">
        <is>
          <t>SW016</t>
        </is>
      </c>
      <c r="C567" s="33" t="inlineStr">
        <is>
          <t>Duncan Scott</t>
        </is>
      </c>
      <c r="D567" s="33" t="inlineStr">
        <is>
          <t>SwimCloud</t>
        </is>
      </c>
      <c r="E567" s="33" t="inlineStr">
        <is>
          <t>375606</t>
        </is>
      </c>
      <c r="F567" s="33" t="inlineStr">
        <is>
          <t>124444884</t>
        </is>
      </c>
      <c r="G567" s="51" t="n">
        <v>40999</v>
      </c>
      <c r="H567" s="33" t="inlineStr">
        <is>
          <t>Scottish Gas National Age Group Championship</t>
        </is>
      </c>
      <c r="I567" s="33" t="inlineStr">
        <is>
          <t>301929</t>
        </is>
      </c>
      <c r="J567" s="33" t="inlineStr"/>
      <c r="K567" s="33" t="inlineStr">
        <is>
          <t>PRE</t>
        </is>
      </c>
      <c r="L567" s="35">
        <f>IF(K567="FIN",3,IF(OR(K567="SEM",K567="SEMI"),2,IF(OR(K567="PRE",K567="HEAT"),1,IF(V567="YES",4,2))))</f>
        <v/>
      </c>
      <c r="M567" s="33" t="inlineStr">
        <is>
          <t>LCM</t>
        </is>
      </c>
      <c r="N567" s="33" t="n">
        <v>200</v>
      </c>
      <c r="O567" s="33" t="inlineStr">
        <is>
          <t>Free</t>
        </is>
      </c>
      <c r="P567" s="33" t="inlineStr">
        <is>
          <t>200 Free</t>
        </is>
      </c>
      <c r="Q567" s="33" t="inlineStr">
        <is>
          <t>LCM_200_FREE</t>
        </is>
      </c>
      <c r="R567" s="36" t="n">
        <v>123.02</v>
      </c>
      <c r="S567" s="35">
        <f>IF(R567="","",IF(R567&gt;=60,INT(R567/60)&amp;":"&amp;TEXT(MOD(R567,60),"00.00"),TEXT(R567,"0.00")))</f>
        <v/>
      </c>
      <c r="T567" s="52">
        <f>IFERROR((G567-INDEX('01_Swimmers'!$E$5:$E$22,MATCH(B567,'01_Swimmers'!$A$5:$A$22,0)))/'00_Control'!$B$10,"")</f>
        <v/>
      </c>
      <c r="U567" s="35">
        <f>IF(T567="","",INT(T567))</f>
        <v/>
      </c>
      <c r="V567" s="33" t="inlineStr">
        <is>
          <t>NO</t>
        </is>
      </c>
      <c r="W567" s="33" t="inlineStr">
        <is>
          <t>YES</t>
        </is>
      </c>
      <c r="X567" s="33" t="inlineStr">
        <is>
          <t>NO</t>
        </is>
      </c>
      <c r="Y567" s="33" t="n">
        <v>8</v>
      </c>
      <c r="Z567" s="33" t="n">
        <v>4</v>
      </c>
      <c r="AA567" s="33" t="inlineStr">
        <is>
          <t>4</t>
        </is>
      </c>
      <c r="AB567" s="33" t="inlineStr">
        <is>
          <t>https://www.swimcloud.com/results/301929/event/123/?id=124444884#time124444884</t>
        </is>
      </c>
      <c r="AC567" s="33" t="inlineStr">
        <is>
          <t>SwimCloud API v6 2026-10-08</t>
        </is>
      </c>
      <c r="AD567" s="33" t="inlineStr">
        <is>
          <t>Duncan Scott|2012-03-31|LCM|200|Free|123.02|Scottish Gas National Age Group Championship|PRE|False</t>
        </is>
      </c>
      <c r="AE567" s="53">
        <f>G567+L567/1000+ROW()/1000000000</f>
        <v/>
      </c>
      <c r="AF567" s="35">
        <f>IF(C567&lt;&gt;"Grayson Coulter","",COUNTIFS($C$5:$C$2991,"Grayson Coulter",$Q$5:$Q$2991,Q567,$AE$5:$AE$2991,"&lt;="&amp;AE567,$R$5:$R$2991,"&lt;"&amp;R567))</f>
        <v/>
      </c>
      <c r="AG567" s="35">
        <f>IF(OR(C567&lt;&gt;"Grayson Coulter",G567&lt;'00_Control'!$B$7),"",--(AF567&lt;5))</f>
        <v/>
      </c>
      <c r="AH567" s="35">
        <f>IF(OR(C567&lt;&gt;"Grayson Coulter",G567&lt;'00_Control'!$B$7),"",--(AF567&lt;10))</f>
        <v/>
      </c>
      <c r="AI567" s="35">
        <f>IF(AND(C567="Grayson Coulter",G567&gt;='00_Control'!$B$7),"YES","NO")</f>
        <v/>
      </c>
      <c r="AJ567" s="33" t="inlineStr">
        <is>
          <t>OK</t>
        </is>
      </c>
    </row>
    <row r="568">
      <c r="A568" s="33" t="inlineStr">
        <is>
          <t>SM000564</t>
        </is>
      </c>
      <c r="B568" s="33" t="inlineStr">
        <is>
          <t>SW016</t>
        </is>
      </c>
      <c r="C568" s="33" t="inlineStr">
        <is>
          <t>Duncan Scott</t>
        </is>
      </c>
      <c r="D568" s="33" t="inlineStr">
        <is>
          <t>SwimCloud</t>
        </is>
      </c>
      <c r="E568" s="33" t="inlineStr">
        <is>
          <t>375606</t>
        </is>
      </c>
      <c r="F568" s="33" t="inlineStr">
        <is>
          <t>124444885</t>
        </is>
      </c>
      <c r="G568" s="51" t="n">
        <v>40999</v>
      </c>
      <c r="H568" s="33" t="inlineStr">
        <is>
          <t>Scottish Gas National Age Group Championship</t>
        </is>
      </c>
      <c r="I568" s="33" t="inlineStr">
        <is>
          <t>301929</t>
        </is>
      </c>
      <c r="J568" s="33" t="inlineStr"/>
      <c r="K568" s="33" t="inlineStr">
        <is>
          <t>FIN</t>
        </is>
      </c>
      <c r="L568" s="35">
        <f>IF(K568="FIN",3,IF(OR(K568="SEM",K568="SEMI"),2,IF(OR(K568="PRE",K568="HEAT"),1,IF(V568="YES",4,2))))</f>
        <v/>
      </c>
      <c r="M568" s="33" t="inlineStr">
        <is>
          <t>LCM</t>
        </is>
      </c>
      <c r="N568" s="33" t="n">
        <v>200</v>
      </c>
      <c r="O568" s="33" t="inlineStr">
        <is>
          <t>Free</t>
        </is>
      </c>
      <c r="P568" s="33" t="inlineStr">
        <is>
          <t>200 Free</t>
        </is>
      </c>
      <c r="Q568" s="33" t="inlineStr">
        <is>
          <t>LCM_200_FREE</t>
        </is>
      </c>
      <c r="R568" s="36" t="n">
        <v>118.65</v>
      </c>
      <c r="S568" s="35">
        <f>IF(R568="","",IF(R568&gt;=60,INT(R568/60)&amp;":"&amp;TEXT(MOD(R568,60),"00.00"),TEXT(R568,"0.00")))</f>
        <v/>
      </c>
      <c r="T568" s="52">
        <f>IFERROR((G568-INDEX('01_Swimmers'!$E$5:$E$22,MATCH(B568,'01_Swimmers'!$A$5:$A$22,0)))/'00_Control'!$B$10,"")</f>
        <v/>
      </c>
      <c r="U568" s="35">
        <f>IF(T568="","",INT(T568))</f>
        <v/>
      </c>
      <c r="V568" s="33" t="inlineStr">
        <is>
          <t>NO</t>
        </is>
      </c>
      <c r="W568" s="33" t="inlineStr">
        <is>
          <t>YES</t>
        </is>
      </c>
      <c r="X568" s="33" t="inlineStr">
        <is>
          <t>NO</t>
        </is>
      </c>
      <c r="Y568" s="33" t="n">
        <v>3</v>
      </c>
      <c r="Z568" s="33" t="n">
        <v>6</v>
      </c>
      <c r="AA568" s="33" t="inlineStr">
        <is>
          <t>2</t>
        </is>
      </c>
      <c r="AB568" s="33" t="inlineStr">
        <is>
          <t>https://www.swimcloud.com/results/301929/event/123/?id=124444885#time124444885</t>
        </is>
      </c>
      <c r="AC568" s="33" t="inlineStr">
        <is>
          <t>SwimCloud API v6 2026-10-08</t>
        </is>
      </c>
      <c r="AD568" s="33" t="inlineStr">
        <is>
          <t>Duncan Scott|2012-03-31|LCM|200|Free|118.65|Scottish Gas National Age Group Championship|FIN|False</t>
        </is>
      </c>
      <c r="AE568" s="53">
        <f>G568+L568/1000+ROW()/1000000000</f>
        <v/>
      </c>
      <c r="AF568" s="35">
        <f>IF(C568&lt;&gt;"Grayson Coulter","",COUNTIFS($C$5:$C$2991,"Grayson Coulter",$Q$5:$Q$2991,Q568,$AE$5:$AE$2991,"&lt;="&amp;AE568,$R$5:$R$2991,"&lt;"&amp;R568))</f>
        <v/>
      </c>
      <c r="AG568" s="35">
        <f>IF(OR(C568&lt;&gt;"Grayson Coulter",G568&lt;'00_Control'!$B$7),"",--(AF568&lt;5))</f>
        <v/>
      </c>
      <c r="AH568" s="35">
        <f>IF(OR(C568&lt;&gt;"Grayson Coulter",G568&lt;'00_Control'!$B$7),"",--(AF568&lt;10))</f>
        <v/>
      </c>
      <c r="AI568" s="35">
        <f>IF(AND(C568="Grayson Coulter",G568&gt;='00_Control'!$B$7),"YES","NO")</f>
        <v/>
      </c>
      <c r="AJ568" s="33" t="inlineStr">
        <is>
          <t>OK</t>
        </is>
      </c>
    </row>
    <row r="569">
      <c r="A569" s="33" t="inlineStr">
        <is>
          <t>SM000565</t>
        </is>
      </c>
      <c r="B569" s="33" t="inlineStr">
        <is>
          <t>SW016</t>
        </is>
      </c>
      <c r="C569" s="33" t="inlineStr">
        <is>
          <t>Duncan Scott</t>
        </is>
      </c>
      <c r="D569" s="33" t="inlineStr">
        <is>
          <t>SwimCloud</t>
        </is>
      </c>
      <c r="E569" s="33" t="inlineStr">
        <is>
          <t>375606</t>
        </is>
      </c>
      <c r="F569" s="33" t="inlineStr">
        <is>
          <t>124445014</t>
        </is>
      </c>
      <c r="G569" s="51" t="n">
        <v>41000</v>
      </c>
      <c r="H569" s="33" t="inlineStr">
        <is>
          <t>Scottish Gas National Age Group Championship</t>
        </is>
      </c>
      <c r="I569" s="33" t="inlineStr">
        <is>
          <t>301929</t>
        </is>
      </c>
      <c r="J569" s="33" t="inlineStr"/>
      <c r="K569" s="33" t="inlineStr">
        <is>
          <t>PRE</t>
        </is>
      </c>
      <c r="L569" s="35">
        <f>IF(K569="FIN",3,IF(OR(K569="SEM",K569="SEMI"),2,IF(OR(K569="PRE",K569="HEAT"),1,IF(V569="YES",4,2))))</f>
        <v/>
      </c>
      <c r="M569" s="33" t="inlineStr">
        <is>
          <t>LCM</t>
        </is>
      </c>
      <c r="N569" s="33" t="n">
        <v>100</v>
      </c>
      <c r="O569" s="33" t="inlineStr">
        <is>
          <t>Fly</t>
        </is>
      </c>
      <c r="P569" s="33" t="inlineStr">
        <is>
          <t>100 Fly</t>
        </is>
      </c>
      <c r="Q569" s="33" t="inlineStr">
        <is>
          <t>LCM_100_FLY</t>
        </is>
      </c>
      <c r="R569" s="36" t="n">
        <v>62.41</v>
      </c>
      <c r="S569" s="35">
        <f>IF(R569="","",IF(R569&gt;=60,INT(R569/60)&amp;":"&amp;TEXT(MOD(R569,60),"00.00"),TEXT(R569,"0.00")))</f>
        <v/>
      </c>
      <c r="T569" s="52">
        <f>IFERROR((G569-INDEX('01_Swimmers'!$E$5:$E$22,MATCH(B569,'01_Swimmers'!$A$5:$A$22,0)))/'00_Control'!$B$10,"")</f>
        <v/>
      </c>
      <c r="U569" s="35">
        <f>IF(T569="","",INT(T569))</f>
        <v/>
      </c>
      <c r="V569" s="33" t="inlineStr">
        <is>
          <t>NO</t>
        </is>
      </c>
      <c r="W569" s="33" t="inlineStr">
        <is>
          <t>YES</t>
        </is>
      </c>
      <c r="X569" s="33" t="inlineStr">
        <is>
          <t>NO</t>
        </is>
      </c>
      <c r="Y569" s="33" t="n">
        <v>4</v>
      </c>
      <c r="Z569" s="33" t="n">
        <v>4</v>
      </c>
      <c r="AA569" s="33" t="inlineStr">
        <is>
          <t>4</t>
        </is>
      </c>
      <c r="AB569" s="33" t="inlineStr">
        <is>
          <t>https://www.swimcloud.com/results/301929/event/224/?id=124445014#time124445014</t>
        </is>
      </c>
      <c r="AC569" s="33" t="inlineStr">
        <is>
          <t>SwimCloud API v6 2026-10-08</t>
        </is>
      </c>
      <c r="AD569" s="33" t="inlineStr">
        <is>
          <t>Duncan Scott|2012-04-01|LCM|100|Fly|62.41|Scottish Gas National Age Group Championship|PRE|False</t>
        </is>
      </c>
      <c r="AE569" s="53">
        <f>G569+L569/1000+ROW()/1000000000</f>
        <v/>
      </c>
      <c r="AF569" s="35">
        <f>IF(C569&lt;&gt;"Grayson Coulter","",COUNTIFS($C$5:$C$2991,"Grayson Coulter",$Q$5:$Q$2991,Q569,$AE$5:$AE$2991,"&lt;="&amp;AE569,$R$5:$R$2991,"&lt;"&amp;R569))</f>
        <v/>
      </c>
      <c r="AG569" s="35">
        <f>IF(OR(C569&lt;&gt;"Grayson Coulter",G569&lt;'00_Control'!$B$7),"",--(AF569&lt;5))</f>
        <v/>
      </c>
      <c r="AH569" s="35">
        <f>IF(OR(C569&lt;&gt;"Grayson Coulter",G569&lt;'00_Control'!$B$7),"",--(AF569&lt;10))</f>
        <v/>
      </c>
      <c r="AI569" s="35">
        <f>IF(AND(C569="Grayson Coulter",G569&gt;='00_Control'!$B$7),"YES","NO")</f>
        <v/>
      </c>
      <c r="AJ569" s="33" t="inlineStr">
        <is>
          <t>OK</t>
        </is>
      </c>
    </row>
    <row r="570">
      <c r="A570" s="33" t="inlineStr">
        <is>
          <t>SM000566</t>
        </is>
      </c>
      <c r="B570" s="33" t="inlineStr">
        <is>
          <t>SW016</t>
        </is>
      </c>
      <c r="C570" s="33" t="inlineStr">
        <is>
          <t>Duncan Scott</t>
        </is>
      </c>
      <c r="D570" s="33" t="inlineStr">
        <is>
          <t>SwimCloud</t>
        </is>
      </c>
      <c r="E570" s="33" t="inlineStr">
        <is>
          <t>375606</t>
        </is>
      </c>
      <c r="F570" s="33" t="inlineStr">
        <is>
          <t>124445015</t>
        </is>
      </c>
      <c r="G570" s="51" t="n">
        <v>41000</v>
      </c>
      <c r="H570" s="33" t="inlineStr">
        <is>
          <t>Scottish Gas National Age Group Championship</t>
        </is>
      </c>
      <c r="I570" s="33" t="inlineStr">
        <is>
          <t>301929</t>
        </is>
      </c>
      <c r="J570" s="33" t="inlineStr"/>
      <c r="K570" s="33" t="inlineStr">
        <is>
          <t>FIN</t>
        </is>
      </c>
      <c r="L570" s="35">
        <f>IF(K570="FIN",3,IF(OR(K570="SEM",K570="SEMI"),2,IF(OR(K570="PRE",K570="HEAT"),1,IF(V570="YES",4,2))))</f>
        <v/>
      </c>
      <c r="M570" s="33" t="inlineStr">
        <is>
          <t>LCM</t>
        </is>
      </c>
      <c r="N570" s="33" t="n">
        <v>100</v>
      </c>
      <c r="O570" s="33" t="inlineStr">
        <is>
          <t>Fly</t>
        </is>
      </c>
      <c r="P570" s="33" t="inlineStr">
        <is>
          <t>100 Fly</t>
        </is>
      </c>
      <c r="Q570" s="33" t="inlineStr">
        <is>
          <t>LCM_100_FLY</t>
        </is>
      </c>
      <c r="R570" s="36" t="n">
        <v>59.8</v>
      </c>
      <c r="S570" s="35">
        <f>IF(R570="","",IF(R570&gt;=60,INT(R570/60)&amp;":"&amp;TEXT(MOD(R570,60),"00.00"),TEXT(R570,"0.00")))</f>
        <v/>
      </c>
      <c r="T570" s="52">
        <f>IFERROR((G570-INDEX('01_Swimmers'!$E$5:$E$22,MATCH(B570,'01_Swimmers'!$A$5:$A$22,0)))/'00_Control'!$B$10,"")</f>
        <v/>
      </c>
      <c r="U570" s="35">
        <f>IF(T570="","",INT(T570))</f>
        <v/>
      </c>
      <c r="V570" s="33" t="inlineStr">
        <is>
          <t>NO</t>
        </is>
      </c>
      <c r="W570" s="33" t="inlineStr">
        <is>
          <t>YES</t>
        </is>
      </c>
      <c r="X570" s="33" t="inlineStr">
        <is>
          <t>NO</t>
        </is>
      </c>
      <c r="Y570" s="33" t="n">
        <v>3</v>
      </c>
      <c r="Z570" s="33" t="n">
        <v>6</v>
      </c>
      <c r="AA570" s="33" t="inlineStr">
        <is>
          <t>1</t>
        </is>
      </c>
      <c r="AB570" s="33" t="inlineStr">
        <is>
          <t>https://www.swimcloud.com/results/301929/event/224/?id=124445015#time124445015</t>
        </is>
      </c>
      <c r="AC570" s="33" t="inlineStr">
        <is>
          <t>SwimCloud API v6 2026-10-08</t>
        </is>
      </c>
      <c r="AD570" s="33" t="inlineStr">
        <is>
          <t>Duncan Scott|2012-04-01|LCM|100|Fly|59.8|Scottish Gas National Age Group Championship|FIN|False</t>
        </is>
      </c>
      <c r="AE570" s="53">
        <f>G570+L570/1000+ROW()/1000000000</f>
        <v/>
      </c>
      <c r="AF570" s="35">
        <f>IF(C570&lt;&gt;"Grayson Coulter","",COUNTIFS($C$5:$C$2991,"Grayson Coulter",$Q$5:$Q$2991,Q570,$AE$5:$AE$2991,"&lt;="&amp;AE570,$R$5:$R$2991,"&lt;"&amp;R570))</f>
        <v/>
      </c>
      <c r="AG570" s="35">
        <f>IF(OR(C570&lt;&gt;"Grayson Coulter",G570&lt;'00_Control'!$B$7),"",--(AF570&lt;5))</f>
        <v/>
      </c>
      <c r="AH570" s="35">
        <f>IF(OR(C570&lt;&gt;"Grayson Coulter",G570&lt;'00_Control'!$B$7),"",--(AF570&lt;10))</f>
        <v/>
      </c>
      <c r="AI570" s="35">
        <f>IF(AND(C570="Grayson Coulter",G570&gt;='00_Control'!$B$7),"YES","NO")</f>
        <v/>
      </c>
      <c r="AJ570" s="33" t="inlineStr">
        <is>
          <t>OK</t>
        </is>
      </c>
    </row>
    <row r="571">
      <c r="A571" s="33" t="inlineStr">
        <is>
          <t>SM000567</t>
        </is>
      </c>
      <c r="B571" s="33" t="inlineStr">
        <is>
          <t>SW016</t>
        </is>
      </c>
      <c r="C571" s="33" t="inlineStr">
        <is>
          <t>Duncan Scott</t>
        </is>
      </c>
      <c r="D571" s="33" t="inlineStr">
        <is>
          <t>SwimCloud</t>
        </is>
      </c>
      <c r="E571" s="33" t="inlineStr">
        <is>
          <t>375606</t>
        </is>
      </c>
      <c r="F571" s="33" t="inlineStr">
        <is>
          <t>124452031</t>
        </is>
      </c>
      <c r="G571" s="51" t="n">
        <v>41000</v>
      </c>
      <c r="H571" s="33" t="inlineStr">
        <is>
          <t>Scottish Gas National Age Group Championship</t>
        </is>
      </c>
      <c r="I571" s="33" t="inlineStr">
        <is>
          <t>301929</t>
        </is>
      </c>
      <c r="J571" s="33" t="inlineStr"/>
      <c r="K571" s="33" t="inlineStr">
        <is>
          <t>TIM</t>
        </is>
      </c>
      <c r="L571" s="35">
        <f>IF(K571="FIN",3,IF(OR(K571="SEM",K571="SEMI"),2,IF(OR(K571="PRE",K571="HEAT"),1,IF(V571="YES",4,2))))</f>
        <v/>
      </c>
      <c r="M571" s="33" t="inlineStr">
        <is>
          <t>LCM</t>
        </is>
      </c>
      <c r="N571" s="33" t="n">
        <v>100</v>
      </c>
      <c r="O571" s="33" t="inlineStr">
        <is>
          <t>Fly</t>
        </is>
      </c>
      <c r="P571" s="33" t="inlineStr">
        <is>
          <t>100 Fly</t>
        </is>
      </c>
      <c r="Q571" s="33" t="inlineStr">
        <is>
          <t>LCM_100_FLY</t>
        </is>
      </c>
      <c r="R571" s="36" t="n">
        <v>63.91</v>
      </c>
      <c r="S571" s="35">
        <f>IF(R571="","",IF(R571&gt;=60,INT(R571/60)&amp;":"&amp;TEXT(MOD(R571,60),"00.00"),TEXT(R571,"0.00")))</f>
        <v/>
      </c>
      <c r="T571" s="52">
        <f>IFERROR((G571-INDEX('01_Swimmers'!$E$5:$E$22,MATCH(B571,'01_Swimmers'!$A$5:$A$22,0)))/'00_Control'!$B$10,"")</f>
        <v/>
      </c>
      <c r="U571" s="35">
        <f>IF(T571="","",INT(T571))</f>
        <v/>
      </c>
      <c r="V571" s="33" t="inlineStr">
        <is>
          <t>NO</t>
        </is>
      </c>
      <c r="W571" s="33" t="inlineStr">
        <is>
          <t>YES</t>
        </is>
      </c>
      <c r="X571" s="33" t="inlineStr">
        <is>
          <t>NO</t>
        </is>
      </c>
      <c r="Y571" s="33" t="n">
        <v>6</v>
      </c>
      <c r="Z571" s="33" t="n">
        <v>5</v>
      </c>
      <c r="AA571" s="33" t="inlineStr"/>
      <c r="AB571" s="33" t="inlineStr">
        <is>
          <t>https://www.swimcloud.com/results/301929/event/226/?id=124445790#time124445790</t>
        </is>
      </c>
      <c r="AC571" s="33" t="inlineStr">
        <is>
          <t>SwimCloud API v6 2026-10-08</t>
        </is>
      </c>
      <c r="AD571" s="33" t="inlineStr">
        <is>
          <t>Duncan Scott|2012-04-01|LCM|100|Fly|63.91|Scottish Gas National Age Group Championship|TIM|False</t>
        </is>
      </c>
      <c r="AE571" s="53">
        <f>G571+L571/1000+ROW()/1000000000</f>
        <v/>
      </c>
      <c r="AF571" s="35">
        <f>IF(C571&lt;&gt;"Grayson Coulter","",COUNTIFS($C$5:$C$2991,"Grayson Coulter",$Q$5:$Q$2991,Q571,$AE$5:$AE$2991,"&lt;="&amp;AE571,$R$5:$R$2991,"&lt;"&amp;R571))</f>
        <v/>
      </c>
      <c r="AG571" s="35">
        <f>IF(OR(C571&lt;&gt;"Grayson Coulter",G571&lt;'00_Control'!$B$7),"",--(AF571&lt;5))</f>
        <v/>
      </c>
      <c r="AH571" s="35">
        <f>IF(OR(C571&lt;&gt;"Grayson Coulter",G571&lt;'00_Control'!$B$7),"",--(AF571&lt;10))</f>
        <v/>
      </c>
      <c r="AI571" s="35">
        <f>IF(AND(C571="Grayson Coulter",G571&gt;='00_Control'!$B$7),"YES","NO")</f>
        <v/>
      </c>
      <c r="AJ571" s="33" t="inlineStr">
        <is>
          <t>OK</t>
        </is>
      </c>
    </row>
    <row r="572">
      <c r="A572" s="33" t="inlineStr">
        <is>
          <t>SM000568</t>
        </is>
      </c>
      <c r="B572" s="33" t="inlineStr">
        <is>
          <t>SW016</t>
        </is>
      </c>
      <c r="C572" s="33" t="inlineStr">
        <is>
          <t>Duncan Scott</t>
        </is>
      </c>
      <c r="D572" s="33" t="inlineStr">
        <is>
          <t>SwimCloud</t>
        </is>
      </c>
      <c r="E572" s="33" t="inlineStr">
        <is>
          <t>375606</t>
        </is>
      </c>
      <c r="F572" s="33" t="inlineStr">
        <is>
          <t>124445147</t>
        </is>
      </c>
      <c r="G572" s="51" t="n">
        <v>41002</v>
      </c>
      <c r="H572" s="33" t="inlineStr">
        <is>
          <t>Scottish Gas National Age Group Championship</t>
        </is>
      </c>
      <c r="I572" s="33" t="inlineStr">
        <is>
          <t>301929</t>
        </is>
      </c>
      <c r="J572" s="33" t="inlineStr"/>
      <c r="K572" s="33" t="inlineStr">
        <is>
          <t>TIM</t>
        </is>
      </c>
      <c r="L572" s="35">
        <f>IF(K572="FIN",3,IF(OR(K572="SEM",K572="SEMI"),2,IF(OR(K572="PRE",K572="HEAT"),1,IF(V572="YES",4,2))))</f>
        <v/>
      </c>
      <c r="M572" s="33" t="inlineStr">
        <is>
          <t>LCM</t>
        </is>
      </c>
      <c r="N572" s="33" t="n">
        <v>400</v>
      </c>
      <c r="O572" s="33" t="inlineStr">
        <is>
          <t>Free</t>
        </is>
      </c>
      <c r="P572" s="33" t="inlineStr">
        <is>
          <t>400 Free</t>
        </is>
      </c>
      <c r="Q572" s="33" t="inlineStr">
        <is>
          <t>LCM_400_FREE</t>
        </is>
      </c>
      <c r="R572" s="36" t="n">
        <v>258.06</v>
      </c>
      <c r="S572" s="35">
        <f>IF(R572="","",IF(R572&gt;=60,INT(R572/60)&amp;":"&amp;TEXT(MOD(R572,60),"00.00"),TEXT(R572,"0.00")))</f>
        <v/>
      </c>
      <c r="T572" s="52">
        <f>IFERROR((G572-INDEX('01_Swimmers'!$E$5:$E$22,MATCH(B572,'01_Swimmers'!$A$5:$A$22,0)))/'00_Control'!$B$10,"")</f>
        <v/>
      </c>
      <c r="U572" s="35">
        <f>IF(T572="","",INT(T572))</f>
        <v/>
      </c>
      <c r="V572" s="33" t="inlineStr">
        <is>
          <t>NO</t>
        </is>
      </c>
      <c r="W572" s="33" t="inlineStr">
        <is>
          <t>YES</t>
        </is>
      </c>
      <c r="X572" s="33" t="inlineStr">
        <is>
          <t>NO</t>
        </is>
      </c>
      <c r="Y572" s="33" t="n">
        <v>5</v>
      </c>
      <c r="Z572" s="33" t="n">
        <v>3</v>
      </c>
      <c r="AA572" s="33" t="inlineStr">
        <is>
          <t>2</t>
        </is>
      </c>
      <c r="AB572" s="33" t="inlineStr">
        <is>
          <t>https://www.swimcloud.com/results/301929/event/425/?id=124445147#time124445147</t>
        </is>
      </c>
      <c r="AC572" s="33" t="inlineStr">
        <is>
          <t>SwimCloud API v6 2026-10-08</t>
        </is>
      </c>
      <c r="AD572" s="33" t="inlineStr">
        <is>
          <t>Duncan Scott|2012-04-03|LCM|400|Free|258.06|Scottish Gas National Age Group Championship|TIM|False</t>
        </is>
      </c>
      <c r="AE572" s="53">
        <f>G572+L572/1000+ROW()/1000000000</f>
        <v/>
      </c>
      <c r="AF572" s="35">
        <f>IF(C572&lt;&gt;"Grayson Coulter","",COUNTIFS($C$5:$C$2991,"Grayson Coulter",$Q$5:$Q$2991,Q572,$AE$5:$AE$2991,"&lt;="&amp;AE572,$R$5:$R$2991,"&lt;"&amp;R572))</f>
        <v/>
      </c>
      <c r="AG572" s="35">
        <f>IF(OR(C572&lt;&gt;"Grayson Coulter",G572&lt;'00_Control'!$B$7),"",--(AF572&lt;5))</f>
        <v/>
      </c>
      <c r="AH572" s="35">
        <f>IF(OR(C572&lt;&gt;"Grayson Coulter",G572&lt;'00_Control'!$B$7),"",--(AF572&lt;10))</f>
        <v/>
      </c>
      <c r="AI572" s="35">
        <f>IF(AND(C572="Grayson Coulter",G572&gt;='00_Control'!$B$7),"YES","NO")</f>
        <v/>
      </c>
      <c r="AJ572" s="33" t="inlineStr">
        <is>
          <t>OK</t>
        </is>
      </c>
    </row>
    <row r="573">
      <c r="A573" s="33" t="inlineStr">
        <is>
          <t>SM000569</t>
        </is>
      </c>
      <c r="B573" s="33" t="inlineStr">
        <is>
          <t>SW016</t>
        </is>
      </c>
      <c r="C573" s="33" t="inlineStr">
        <is>
          <t>Duncan Scott</t>
        </is>
      </c>
      <c r="D573" s="33" t="inlineStr">
        <is>
          <t>SwimCloud</t>
        </is>
      </c>
      <c r="E573" s="33" t="inlineStr">
        <is>
          <t>375606</t>
        </is>
      </c>
      <c r="F573" s="33" t="inlineStr">
        <is>
          <t>124445175</t>
        </is>
      </c>
      <c r="G573" s="51" t="n">
        <v>41003</v>
      </c>
      <c r="H573" s="33" t="inlineStr">
        <is>
          <t>Scottish Gas National Age Group Championship</t>
        </is>
      </c>
      <c r="I573" s="33" t="inlineStr">
        <is>
          <t>301929</t>
        </is>
      </c>
      <c r="J573" s="33" t="inlineStr"/>
      <c r="K573" s="33" t="inlineStr">
        <is>
          <t>PRE</t>
        </is>
      </c>
      <c r="L573" s="35">
        <f>IF(K573="FIN",3,IF(OR(K573="SEM",K573="SEMI"),2,IF(OR(K573="PRE",K573="HEAT"),1,IF(V573="YES",4,2))))</f>
        <v/>
      </c>
      <c r="M573" s="33" t="inlineStr">
        <is>
          <t>LCM</t>
        </is>
      </c>
      <c r="N573" s="33" t="n">
        <v>100</v>
      </c>
      <c r="O573" s="33" t="inlineStr">
        <is>
          <t>Free</t>
        </is>
      </c>
      <c r="P573" s="33" t="inlineStr">
        <is>
          <t>100 Free</t>
        </is>
      </c>
      <c r="Q573" s="33" t="inlineStr">
        <is>
          <t>LCM_100_FREE</t>
        </is>
      </c>
      <c r="R573" s="36" t="n">
        <v>56.51</v>
      </c>
      <c r="S573" s="35">
        <f>IF(R573="","",IF(R573&gt;=60,INT(R573/60)&amp;":"&amp;TEXT(MOD(R573,60),"00.00"),TEXT(R573,"0.00")))</f>
        <v/>
      </c>
      <c r="T573" s="52">
        <f>IFERROR((G573-INDEX('01_Swimmers'!$E$5:$E$22,MATCH(B573,'01_Swimmers'!$A$5:$A$22,0)))/'00_Control'!$B$10,"")</f>
        <v/>
      </c>
      <c r="U573" s="35">
        <f>IF(T573="","",INT(T573))</f>
        <v/>
      </c>
      <c r="V573" s="33" t="inlineStr">
        <is>
          <t>NO</t>
        </is>
      </c>
      <c r="W573" s="33" t="inlineStr">
        <is>
          <t>YES</t>
        </is>
      </c>
      <c r="X573" s="33" t="inlineStr">
        <is>
          <t>NO</t>
        </is>
      </c>
      <c r="Y573" s="33" t="n">
        <v>4</v>
      </c>
      <c r="Z573" s="33" t="n">
        <v>5</v>
      </c>
      <c r="AA573" s="33" t="inlineStr">
        <is>
          <t>3</t>
        </is>
      </c>
      <c r="AB573" s="33" t="inlineStr">
        <is>
          <t>https://www.swimcloud.com/results/301929/event/524/?id=124445175#time124445175</t>
        </is>
      </c>
      <c r="AC573" s="33" t="inlineStr">
        <is>
          <t>SwimCloud API v6 2026-10-08</t>
        </is>
      </c>
      <c r="AD573" s="33" t="inlineStr">
        <is>
          <t>Duncan Scott|2012-04-04|LCM|100|Free|56.51|Scottish Gas National Age Group Championship|PRE|False</t>
        </is>
      </c>
      <c r="AE573" s="53">
        <f>G573+L573/1000+ROW()/1000000000</f>
        <v/>
      </c>
      <c r="AF573" s="35">
        <f>IF(C573&lt;&gt;"Grayson Coulter","",COUNTIFS($C$5:$C$2991,"Grayson Coulter",$Q$5:$Q$2991,Q573,$AE$5:$AE$2991,"&lt;="&amp;AE573,$R$5:$R$2991,"&lt;"&amp;R573))</f>
        <v/>
      </c>
      <c r="AG573" s="35">
        <f>IF(OR(C573&lt;&gt;"Grayson Coulter",G573&lt;'00_Control'!$B$7),"",--(AF573&lt;5))</f>
        <v/>
      </c>
      <c r="AH573" s="35">
        <f>IF(OR(C573&lt;&gt;"Grayson Coulter",G573&lt;'00_Control'!$B$7),"",--(AF573&lt;10))</f>
        <v/>
      </c>
      <c r="AI573" s="35">
        <f>IF(AND(C573="Grayson Coulter",G573&gt;='00_Control'!$B$7),"YES","NO")</f>
        <v/>
      </c>
      <c r="AJ573" s="33" t="inlineStr">
        <is>
          <t>OK</t>
        </is>
      </c>
    </row>
    <row r="574">
      <c r="A574" s="33" t="inlineStr">
        <is>
          <t>SM000570</t>
        </is>
      </c>
      <c r="B574" s="33" t="inlineStr">
        <is>
          <t>SW016</t>
        </is>
      </c>
      <c r="C574" s="33" t="inlineStr">
        <is>
          <t>Duncan Scott</t>
        </is>
      </c>
      <c r="D574" s="33" t="inlineStr">
        <is>
          <t>SwimCloud</t>
        </is>
      </c>
      <c r="E574" s="33" t="inlineStr">
        <is>
          <t>375606</t>
        </is>
      </c>
      <c r="F574" s="33" t="inlineStr">
        <is>
          <t>124445176</t>
        </is>
      </c>
      <c r="G574" s="51" t="n">
        <v>41003</v>
      </c>
      <c r="H574" s="33" t="inlineStr">
        <is>
          <t>Scottish Gas National Age Group Championship</t>
        </is>
      </c>
      <c r="I574" s="33" t="inlineStr">
        <is>
          <t>301929</t>
        </is>
      </c>
      <c r="J574" s="33" t="inlineStr"/>
      <c r="K574" s="33" t="inlineStr">
        <is>
          <t>FIN</t>
        </is>
      </c>
      <c r="L574" s="35">
        <f>IF(K574="FIN",3,IF(OR(K574="SEM",K574="SEMI"),2,IF(OR(K574="PRE",K574="HEAT"),1,IF(V574="YES",4,2))))</f>
        <v/>
      </c>
      <c r="M574" s="33" t="inlineStr">
        <is>
          <t>LCM</t>
        </is>
      </c>
      <c r="N574" s="33" t="n">
        <v>100</v>
      </c>
      <c r="O574" s="33" t="inlineStr">
        <is>
          <t>Free</t>
        </is>
      </c>
      <c r="P574" s="33" t="inlineStr">
        <is>
          <t>100 Free</t>
        </is>
      </c>
      <c r="Q574" s="33" t="inlineStr">
        <is>
          <t>LCM_100_FREE</t>
        </is>
      </c>
      <c r="R574" s="36" t="n">
        <v>55.75</v>
      </c>
      <c r="S574" s="35">
        <f>IF(R574="","",IF(R574&gt;=60,INT(R574/60)&amp;":"&amp;TEXT(MOD(R574,60),"00.00"),TEXT(R574,"0.00")))</f>
        <v/>
      </c>
      <c r="T574" s="52">
        <f>IFERROR((G574-INDEX('01_Swimmers'!$E$5:$E$22,MATCH(B574,'01_Swimmers'!$A$5:$A$22,0)))/'00_Control'!$B$10,"")</f>
        <v/>
      </c>
      <c r="U574" s="35">
        <f>IF(T574="","",INT(T574))</f>
        <v/>
      </c>
      <c r="V574" s="33" t="inlineStr">
        <is>
          <t>NO</t>
        </is>
      </c>
      <c r="W574" s="33" t="inlineStr">
        <is>
          <t>YES</t>
        </is>
      </c>
      <c r="X574" s="33" t="inlineStr">
        <is>
          <t>NO</t>
        </is>
      </c>
      <c r="Y574" s="33" t="n">
        <v>3</v>
      </c>
      <c r="Z574" s="33" t="n">
        <v>3</v>
      </c>
      <c r="AA574" s="33" t="inlineStr">
        <is>
          <t>3</t>
        </is>
      </c>
      <c r="AB574" s="33" t="inlineStr">
        <is>
          <t>https://www.swimcloud.com/results/301929/event/524/?id=124445176#time124445176</t>
        </is>
      </c>
      <c r="AC574" s="33" t="inlineStr">
        <is>
          <t>SwimCloud API v6 2026-10-08</t>
        </is>
      </c>
      <c r="AD574" s="33" t="inlineStr">
        <is>
          <t>Duncan Scott|2012-04-04|LCM|100|Free|55.75|Scottish Gas National Age Group Championship|FIN|False</t>
        </is>
      </c>
      <c r="AE574" s="53">
        <f>G574+L574/1000+ROW()/1000000000</f>
        <v/>
      </c>
      <c r="AF574" s="35">
        <f>IF(C574&lt;&gt;"Grayson Coulter","",COUNTIFS($C$5:$C$2991,"Grayson Coulter",$Q$5:$Q$2991,Q574,$AE$5:$AE$2991,"&lt;="&amp;AE574,$R$5:$R$2991,"&lt;"&amp;R574))</f>
        <v/>
      </c>
      <c r="AG574" s="35">
        <f>IF(OR(C574&lt;&gt;"Grayson Coulter",G574&lt;'00_Control'!$B$7),"",--(AF574&lt;5))</f>
        <v/>
      </c>
      <c r="AH574" s="35">
        <f>IF(OR(C574&lt;&gt;"Grayson Coulter",G574&lt;'00_Control'!$B$7),"",--(AF574&lt;10))</f>
        <v/>
      </c>
      <c r="AI574" s="35">
        <f>IF(AND(C574="Grayson Coulter",G574&gt;='00_Control'!$B$7),"YES","NO")</f>
        <v/>
      </c>
      <c r="AJ574" s="33" t="inlineStr">
        <is>
          <t>OK</t>
        </is>
      </c>
    </row>
    <row r="575">
      <c r="A575" s="33" t="inlineStr">
        <is>
          <t>SM000571</t>
        </is>
      </c>
      <c r="B575" s="33" t="inlineStr">
        <is>
          <t>SW016</t>
        </is>
      </c>
      <c r="C575" s="33" t="inlineStr">
        <is>
          <t>Duncan Scott</t>
        </is>
      </c>
      <c r="D575" s="33" t="inlineStr">
        <is>
          <t>SwimCloud</t>
        </is>
      </c>
      <c r="E575" s="33" t="inlineStr">
        <is>
          <t>375606</t>
        </is>
      </c>
      <c r="F575" s="33" t="inlineStr">
        <is>
          <t>124439230</t>
        </is>
      </c>
      <c r="G575" s="51" t="n">
        <v>41091</v>
      </c>
      <c r="H575" s="33" t="inlineStr">
        <is>
          <t>Scottish Gas National Open Swimming Championship</t>
        </is>
      </c>
      <c r="I575" s="33" t="inlineStr">
        <is>
          <t>301927</t>
        </is>
      </c>
      <c r="J575" s="33" t="inlineStr"/>
      <c r="K575" s="33" t="inlineStr">
        <is>
          <t>PRE</t>
        </is>
      </c>
      <c r="L575" s="35">
        <f>IF(K575="FIN",3,IF(OR(K575="SEM",K575="SEMI"),2,IF(OR(K575="PRE",K575="HEAT"),1,IF(V575="YES",4,2))))</f>
        <v/>
      </c>
      <c r="M575" s="33" t="inlineStr">
        <is>
          <t>LCM</t>
        </is>
      </c>
      <c r="N575" s="33" t="n">
        <v>100</v>
      </c>
      <c r="O575" s="33" t="inlineStr">
        <is>
          <t>Fly</t>
        </is>
      </c>
      <c r="P575" s="33" t="inlineStr">
        <is>
          <t>100 Fly</t>
        </is>
      </c>
      <c r="Q575" s="33" t="inlineStr">
        <is>
          <t>LCM_100_FLY</t>
        </is>
      </c>
      <c r="R575" s="36" t="n">
        <v>60.62</v>
      </c>
      <c r="S575" s="35">
        <f>IF(R575="","",IF(R575&gt;=60,INT(R575/60)&amp;":"&amp;TEXT(MOD(R575,60),"00.00"),TEXT(R575,"0.00")))</f>
        <v/>
      </c>
      <c r="T575" s="52">
        <f>IFERROR((G575-INDEX('01_Swimmers'!$E$5:$E$22,MATCH(B575,'01_Swimmers'!$A$5:$A$22,0)))/'00_Control'!$B$10,"")</f>
        <v/>
      </c>
      <c r="U575" s="35">
        <f>IF(T575="","",INT(T575))</f>
        <v/>
      </c>
      <c r="V575" s="33" t="inlineStr">
        <is>
          <t>NO</t>
        </is>
      </c>
      <c r="W575" s="33" t="inlineStr">
        <is>
          <t>YES</t>
        </is>
      </c>
      <c r="X575" s="33" t="inlineStr">
        <is>
          <t>NO</t>
        </is>
      </c>
      <c r="Y575" s="33" t="n">
        <v>6</v>
      </c>
      <c r="Z575" s="33" t="n">
        <v>2</v>
      </c>
      <c r="AA575" s="33" t="inlineStr">
        <is>
          <t>19</t>
        </is>
      </c>
      <c r="AB575" s="33" t="inlineStr">
        <is>
          <t>https://www.swimcloud.com/results/301927/event/401/?id=124439230#time124439230</t>
        </is>
      </c>
      <c r="AC575" s="33" t="inlineStr">
        <is>
          <t>SwimCloud API v6 2026-10-08</t>
        </is>
      </c>
      <c r="AD575" s="33" t="inlineStr">
        <is>
          <t>Duncan Scott|2012-07-01|LCM|100|Fly|60.62|Scottish Gas National Open Swimming Championship|PRE|False</t>
        </is>
      </c>
      <c r="AE575" s="53">
        <f>G575+L575/1000+ROW()/1000000000</f>
        <v/>
      </c>
      <c r="AF575" s="35">
        <f>IF(C575&lt;&gt;"Grayson Coulter","",COUNTIFS($C$5:$C$2991,"Grayson Coulter",$Q$5:$Q$2991,Q575,$AE$5:$AE$2991,"&lt;="&amp;AE575,$R$5:$R$2991,"&lt;"&amp;R575))</f>
        <v/>
      </c>
      <c r="AG575" s="35">
        <f>IF(OR(C575&lt;&gt;"Grayson Coulter",G575&lt;'00_Control'!$B$7),"",--(AF575&lt;5))</f>
        <v/>
      </c>
      <c r="AH575" s="35">
        <f>IF(OR(C575&lt;&gt;"Grayson Coulter",G575&lt;'00_Control'!$B$7),"",--(AF575&lt;10))</f>
        <v/>
      </c>
      <c r="AI575" s="35">
        <f>IF(AND(C575="Grayson Coulter",G575&gt;='00_Control'!$B$7),"YES","NO")</f>
        <v/>
      </c>
      <c r="AJ575" s="33" t="inlineStr">
        <is>
          <t>OK</t>
        </is>
      </c>
    </row>
    <row r="576">
      <c r="A576" s="33" t="inlineStr">
        <is>
          <t>SM000572</t>
        </is>
      </c>
      <c r="B576" s="33" t="inlineStr">
        <is>
          <t>SW016</t>
        </is>
      </c>
      <c r="C576" s="33" t="inlineStr">
        <is>
          <t>Duncan Scott</t>
        </is>
      </c>
      <c r="D576" s="33" t="inlineStr">
        <is>
          <t>SwimCloud</t>
        </is>
      </c>
      <c r="E576" s="33" t="inlineStr">
        <is>
          <t>375606</t>
        </is>
      </c>
      <c r="F576" s="33" t="inlineStr">
        <is>
          <t>124442066</t>
        </is>
      </c>
      <c r="G576" s="51" t="n">
        <v>41091</v>
      </c>
      <c r="H576" s="33" t="inlineStr">
        <is>
          <t>Scottish Gas National Open Swimming Championship</t>
        </is>
      </c>
      <c r="I576" s="33" t="inlineStr">
        <is>
          <t>301927</t>
        </is>
      </c>
      <c r="J576" s="33" t="inlineStr"/>
      <c r="K576" s="33" t="inlineStr">
        <is>
          <t>PRE</t>
        </is>
      </c>
      <c r="L576" s="35">
        <f>IF(K576="FIN",3,IF(OR(K576="SEM",K576="SEMI"),2,IF(OR(K576="PRE",K576="HEAT"),1,IF(V576="YES",4,2))))</f>
        <v/>
      </c>
      <c r="M576" s="33" t="inlineStr">
        <is>
          <t>LCM</t>
        </is>
      </c>
      <c r="N576" s="33" t="n">
        <v>100</v>
      </c>
      <c r="O576" s="33" t="inlineStr">
        <is>
          <t>Fly</t>
        </is>
      </c>
      <c r="P576" s="33" t="inlineStr">
        <is>
          <t>100 Fly</t>
        </is>
      </c>
      <c r="Q576" s="33" t="inlineStr">
        <is>
          <t>LCM_100_FLY</t>
        </is>
      </c>
      <c r="R576" s="36" t="n">
        <v>63.55</v>
      </c>
      <c r="S576" s="35">
        <f>IF(R576="","",IF(R576&gt;=60,INT(R576/60)&amp;":"&amp;TEXT(MOD(R576,60),"00.00"),TEXT(R576,"0.00")))</f>
        <v/>
      </c>
      <c r="T576" s="52">
        <f>IFERROR((G576-INDEX('01_Swimmers'!$E$5:$E$22,MATCH(B576,'01_Swimmers'!$A$5:$A$22,0)))/'00_Control'!$B$10,"")</f>
        <v/>
      </c>
      <c r="U576" s="35">
        <f>IF(T576="","",INT(T576))</f>
        <v/>
      </c>
      <c r="V576" s="33" t="inlineStr">
        <is>
          <t>NO</t>
        </is>
      </c>
      <c r="W576" s="33" t="inlineStr">
        <is>
          <t>YES</t>
        </is>
      </c>
      <c r="X576" s="33" t="inlineStr">
        <is>
          <t>NO</t>
        </is>
      </c>
      <c r="Y576" s="33" t="n">
        <v>5</v>
      </c>
      <c r="Z576" s="33" t="n">
        <v>6</v>
      </c>
      <c r="AA576" s="33" t="inlineStr"/>
      <c r="AB576" s="33" t="inlineStr">
        <is>
          <t>https://www.swimcloud.com/results/301927/event/407/?id=124439293#time124439293</t>
        </is>
      </c>
      <c r="AC576" s="33" t="inlineStr">
        <is>
          <t>SwimCloud API v6 2026-10-08</t>
        </is>
      </c>
      <c r="AD576" s="33" t="inlineStr">
        <is>
          <t>Duncan Scott|2012-07-01|LCM|100|Fly|63.55|Scottish Gas National Open Swimming Championship|PRE|False</t>
        </is>
      </c>
      <c r="AE576" s="53">
        <f>G576+L576/1000+ROW()/1000000000</f>
        <v/>
      </c>
      <c r="AF576" s="35">
        <f>IF(C576&lt;&gt;"Grayson Coulter","",COUNTIFS($C$5:$C$2991,"Grayson Coulter",$Q$5:$Q$2991,Q576,$AE$5:$AE$2991,"&lt;="&amp;AE576,$R$5:$R$2991,"&lt;"&amp;R576))</f>
        <v/>
      </c>
      <c r="AG576" s="35">
        <f>IF(OR(C576&lt;&gt;"Grayson Coulter",G576&lt;'00_Control'!$B$7),"",--(AF576&lt;5))</f>
        <v/>
      </c>
      <c r="AH576" s="35">
        <f>IF(OR(C576&lt;&gt;"Grayson Coulter",G576&lt;'00_Control'!$B$7),"",--(AF576&lt;10))</f>
        <v/>
      </c>
      <c r="AI576" s="35">
        <f>IF(AND(C576="Grayson Coulter",G576&gt;='00_Control'!$B$7),"YES","NO")</f>
        <v/>
      </c>
      <c r="AJ576" s="33" t="inlineStr">
        <is>
          <t>OK</t>
        </is>
      </c>
    </row>
    <row r="577">
      <c r="A577" s="33" t="inlineStr">
        <is>
          <t>SM000573</t>
        </is>
      </c>
      <c r="B577" s="33" t="inlineStr">
        <is>
          <t>SW016</t>
        </is>
      </c>
      <c r="C577" s="33" t="inlineStr">
        <is>
          <t>Duncan Scott</t>
        </is>
      </c>
      <c r="D577" s="33" t="inlineStr">
        <is>
          <t>SwimCloud</t>
        </is>
      </c>
      <c r="E577" s="33" t="inlineStr">
        <is>
          <t>375606</t>
        </is>
      </c>
      <c r="F577" s="33" t="inlineStr">
        <is>
          <t>124442069</t>
        </is>
      </c>
      <c r="G577" s="51" t="n">
        <v>41091</v>
      </c>
      <c r="H577" s="33" t="inlineStr">
        <is>
          <t>Scottish Gas National Open Swimming Championship</t>
        </is>
      </c>
      <c r="I577" s="33" t="inlineStr">
        <is>
          <t>301927</t>
        </is>
      </c>
      <c r="J577" s="33" t="inlineStr"/>
      <c r="K577" s="33" t="inlineStr">
        <is>
          <t>FIN</t>
        </is>
      </c>
      <c r="L577" s="35">
        <f>IF(K577="FIN",3,IF(OR(K577="SEM",K577="SEMI"),2,IF(OR(K577="PRE",K577="HEAT"),1,IF(V577="YES",4,2))))</f>
        <v/>
      </c>
      <c r="M577" s="33" t="inlineStr">
        <is>
          <t>LCM</t>
        </is>
      </c>
      <c r="N577" s="33" t="n">
        <v>100</v>
      </c>
      <c r="O577" s="33" t="inlineStr">
        <is>
          <t>Fly</t>
        </is>
      </c>
      <c r="P577" s="33" t="inlineStr">
        <is>
          <t>100 Fly</t>
        </is>
      </c>
      <c r="Q577" s="33" t="inlineStr">
        <is>
          <t>LCM_100_FLY</t>
        </is>
      </c>
      <c r="R577" s="36" t="n">
        <v>63.83</v>
      </c>
      <c r="S577" s="35">
        <f>IF(R577="","",IF(R577&gt;=60,INT(R577/60)&amp;":"&amp;TEXT(MOD(R577,60),"00.00"),TEXT(R577,"0.00")))</f>
        <v/>
      </c>
      <c r="T577" s="52">
        <f>IFERROR((G577-INDEX('01_Swimmers'!$E$5:$E$22,MATCH(B577,'01_Swimmers'!$A$5:$A$22,0)))/'00_Control'!$B$10,"")</f>
        <v/>
      </c>
      <c r="U577" s="35">
        <f>IF(T577="","",INT(T577))</f>
        <v/>
      </c>
      <c r="V577" s="33" t="inlineStr">
        <is>
          <t>NO</t>
        </is>
      </c>
      <c r="W577" s="33" t="inlineStr">
        <is>
          <t>YES</t>
        </is>
      </c>
      <c r="X577" s="33" t="inlineStr">
        <is>
          <t>NO</t>
        </is>
      </c>
      <c r="Y577" s="33" t="n">
        <v>1</v>
      </c>
      <c r="Z577" s="33" t="n">
        <v>8</v>
      </c>
      <c r="AA577" s="33" t="inlineStr"/>
      <c r="AB577" s="33" t="inlineStr">
        <is>
          <t>https://www.swimcloud.com/results/301927/event/407/?id=124439294#time124439294</t>
        </is>
      </c>
      <c r="AC577" s="33" t="inlineStr">
        <is>
          <t>SwimCloud API v6 2026-10-08</t>
        </is>
      </c>
      <c r="AD577" s="33" t="inlineStr">
        <is>
          <t>Duncan Scott|2012-07-01|LCM|100|Fly|63.83|Scottish Gas National Open Swimming Championship|FIN|False</t>
        </is>
      </c>
      <c r="AE577" s="53">
        <f>G577+L577/1000+ROW()/1000000000</f>
        <v/>
      </c>
      <c r="AF577" s="35">
        <f>IF(C577&lt;&gt;"Grayson Coulter","",COUNTIFS($C$5:$C$2991,"Grayson Coulter",$Q$5:$Q$2991,Q577,$AE$5:$AE$2991,"&lt;="&amp;AE577,$R$5:$R$2991,"&lt;"&amp;R577))</f>
        <v/>
      </c>
      <c r="AG577" s="35">
        <f>IF(OR(C577&lt;&gt;"Grayson Coulter",G577&lt;'00_Control'!$B$7),"",--(AF577&lt;5))</f>
        <v/>
      </c>
      <c r="AH577" s="35">
        <f>IF(OR(C577&lt;&gt;"Grayson Coulter",G577&lt;'00_Control'!$B$7),"",--(AF577&lt;10))</f>
        <v/>
      </c>
      <c r="AI577" s="35">
        <f>IF(AND(C577="Grayson Coulter",G577&gt;='00_Control'!$B$7),"YES","NO")</f>
        <v/>
      </c>
      <c r="AJ577" s="33" t="inlineStr">
        <is>
          <t>OK</t>
        </is>
      </c>
    </row>
    <row r="578">
      <c r="A578" s="33" t="inlineStr">
        <is>
          <t>SM000574</t>
        </is>
      </c>
      <c r="B578" s="33" t="inlineStr">
        <is>
          <t>SW016</t>
        </is>
      </c>
      <c r="C578" s="33" t="inlineStr">
        <is>
          <t>Duncan Scott</t>
        </is>
      </c>
      <c r="D578" s="33" t="inlineStr">
        <is>
          <t>SwimCloud</t>
        </is>
      </c>
      <c r="E578" s="33" t="inlineStr">
        <is>
          <t>375606</t>
        </is>
      </c>
      <c r="F578" s="33" t="inlineStr">
        <is>
          <t>123827161</t>
        </is>
      </c>
      <c r="G578" s="51" t="n">
        <v>41257</v>
      </c>
      <c r="H578" s="33" t="inlineStr">
        <is>
          <t>Scottish National S.C.Open Championships</t>
        </is>
      </c>
      <c r="I578" s="33" t="inlineStr">
        <is>
          <t>301133</t>
        </is>
      </c>
      <c r="J578" s="33" t="inlineStr"/>
      <c r="K578" s="33" t="inlineStr">
        <is>
          <t>PRE</t>
        </is>
      </c>
      <c r="L578" s="35">
        <f>IF(K578="FIN",3,IF(OR(K578="SEM",K578="SEMI"),2,IF(OR(K578="PRE",K578="HEAT"),1,IF(V578="YES",4,2))))</f>
        <v/>
      </c>
      <c r="M578" s="33" t="inlineStr">
        <is>
          <t>SCM</t>
        </is>
      </c>
      <c r="N578" s="33" t="n">
        <v>100</v>
      </c>
      <c r="O578" s="33" t="inlineStr">
        <is>
          <t>Fly</t>
        </is>
      </c>
      <c r="P578" s="33" t="inlineStr">
        <is>
          <t>100 Fly</t>
        </is>
      </c>
      <c r="Q578" s="33" t="inlineStr">
        <is>
          <t>SCM_100_FLY</t>
        </is>
      </c>
      <c r="R578" s="36" t="n">
        <v>59.5</v>
      </c>
      <c r="S578" s="35">
        <f>IF(R578="","",IF(R578&gt;=60,INT(R578/60)&amp;":"&amp;TEXT(MOD(R578,60),"00.00"),TEXT(R578,"0.00")))</f>
        <v/>
      </c>
      <c r="T578" s="52">
        <f>IFERROR((G578-INDEX('01_Swimmers'!$E$5:$E$22,MATCH(B578,'01_Swimmers'!$A$5:$A$22,0)))/'00_Control'!$B$10,"")</f>
        <v/>
      </c>
      <c r="U578" s="35">
        <f>IF(T578="","",INT(T578))</f>
        <v/>
      </c>
      <c r="V578" s="33" t="inlineStr">
        <is>
          <t>NO</t>
        </is>
      </c>
      <c r="W578" s="33" t="inlineStr">
        <is>
          <t>YES</t>
        </is>
      </c>
      <c r="X578" s="33" t="inlineStr">
        <is>
          <t>NO</t>
        </is>
      </c>
      <c r="Y578" s="33" t="n">
        <v>6</v>
      </c>
      <c r="Z578" s="33" t="n">
        <v>2</v>
      </c>
      <c r="AA578" s="33" t="inlineStr">
        <is>
          <t>32</t>
        </is>
      </c>
      <c r="AB578" s="33" t="inlineStr">
        <is>
          <t>https://www.swimcloud.com/results/301133/event/105/?id=123827161#time123827161</t>
        </is>
      </c>
      <c r="AC578" s="33" t="inlineStr">
        <is>
          <t>SwimCloud API v6 2026-10-08</t>
        </is>
      </c>
      <c r="AD578" s="33" t="inlineStr">
        <is>
          <t>Duncan Scott|2012-12-14|SCM|100|Fly|59.5|Scottish National S.C.Open Championships|PRE|False</t>
        </is>
      </c>
      <c r="AE578" s="53">
        <f>G578+L578/1000+ROW()/1000000000</f>
        <v/>
      </c>
      <c r="AF578" s="35">
        <f>IF(C578&lt;&gt;"Grayson Coulter","",COUNTIFS($C$5:$C$2991,"Grayson Coulter",$Q$5:$Q$2991,Q578,$AE$5:$AE$2991,"&lt;="&amp;AE578,$R$5:$R$2991,"&lt;"&amp;R578))</f>
        <v/>
      </c>
      <c r="AG578" s="35">
        <f>IF(OR(C578&lt;&gt;"Grayson Coulter",G578&lt;'00_Control'!$B$7),"",--(AF578&lt;5))</f>
        <v/>
      </c>
      <c r="AH578" s="35">
        <f>IF(OR(C578&lt;&gt;"Grayson Coulter",G578&lt;'00_Control'!$B$7),"",--(AF578&lt;10))</f>
        <v/>
      </c>
      <c r="AI578" s="35">
        <f>IF(AND(C578="Grayson Coulter",G578&gt;='00_Control'!$B$7),"YES","NO")</f>
        <v/>
      </c>
      <c r="AJ578" s="33" t="inlineStr">
        <is>
          <t>OK</t>
        </is>
      </c>
    </row>
    <row r="579">
      <c r="A579" s="33" t="inlineStr">
        <is>
          <t>SM000575</t>
        </is>
      </c>
      <c r="B579" s="33" t="inlineStr">
        <is>
          <t>SW016</t>
        </is>
      </c>
      <c r="C579" s="33" t="inlineStr">
        <is>
          <t>Duncan Scott</t>
        </is>
      </c>
      <c r="D579" s="33" t="inlineStr">
        <is>
          <t>SwimCloud</t>
        </is>
      </c>
      <c r="E579" s="33" t="inlineStr">
        <is>
          <t>375606</t>
        </is>
      </c>
      <c r="F579" s="33" t="inlineStr">
        <is>
          <t>123827658</t>
        </is>
      </c>
      <c r="G579" s="51" t="n">
        <v>41259</v>
      </c>
      <c r="H579" s="33" t="inlineStr">
        <is>
          <t>Scottish National S.C.Open Championships</t>
        </is>
      </c>
      <c r="I579" s="33" t="inlineStr">
        <is>
          <t>301133</t>
        </is>
      </c>
      <c r="J579" s="33" t="inlineStr"/>
      <c r="K579" s="33" t="inlineStr">
        <is>
          <t>PRE</t>
        </is>
      </c>
      <c r="L579" s="35">
        <f>IF(K579="FIN",3,IF(OR(K579="SEM",K579="SEMI"),2,IF(OR(K579="PRE",K579="HEAT"),1,IF(V579="YES",4,2))))</f>
        <v/>
      </c>
      <c r="M579" s="33" t="inlineStr">
        <is>
          <t>SCM</t>
        </is>
      </c>
      <c r="N579" s="33" t="n">
        <v>200</v>
      </c>
      <c r="O579" s="33" t="inlineStr">
        <is>
          <t>Free</t>
        </is>
      </c>
      <c r="P579" s="33" t="inlineStr">
        <is>
          <t>200 Free</t>
        </is>
      </c>
      <c r="Q579" s="33" t="inlineStr">
        <is>
          <t>SCM_200_FREE</t>
        </is>
      </c>
      <c r="R579" s="36" t="n">
        <v>118.4</v>
      </c>
      <c r="S579" s="35">
        <f>IF(R579="","",IF(R579&gt;=60,INT(R579/60)&amp;":"&amp;TEXT(MOD(R579,60),"00.00"),TEXT(R579,"0.00")))</f>
        <v/>
      </c>
      <c r="T579" s="52">
        <f>IFERROR((G579-INDEX('01_Swimmers'!$E$5:$E$22,MATCH(B579,'01_Swimmers'!$A$5:$A$22,0)))/'00_Control'!$B$10,"")</f>
        <v/>
      </c>
      <c r="U579" s="35">
        <f>IF(T579="","",INT(T579))</f>
        <v/>
      </c>
      <c r="V579" s="33" t="inlineStr">
        <is>
          <t>NO</t>
        </is>
      </c>
      <c r="W579" s="33" t="inlineStr">
        <is>
          <t>YES</t>
        </is>
      </c>
      <c r="X579" s="33" t="inlineStr">
        <is>
          <t>NO</t>
        </is>
      </c>
      <c r="Y579" s="33" t="n">
        <v>6</v>
      </c>
      <c r="Z579" s="33" t="n">
        <v>1</v>
      </c>
      <c r="AA579" s="33" t="inlineStr">
        <is>
          <t>34</t>
        </is>
      </c>
      <c r="AB579" s="33" t="inlineStr">
        <is>
          <t>https://www.swimcloud.com/results/301133/event/306/?id=123827658#time123827658</t>
        </is>
      </c>
      <c r="AC579" s="33" t="inlineStr">
        <is>
          <t>SwimCloud API v6 2026-10-08</t>
        </is>
      </c>
      <c r="AD579" s="33" t="inlineStr">
        <is>
          <t>Duncan Scott|2012-12-16|SCM|200|Free|118.4|Scottish National S.C.Open Championships|PRE|False</t>
        </is>
      </c>
      <c r="AE579" s="53">
        <f>G579+L579/1000+ROW()/1000000000</f>
        <v/>
      </c>
      <c r="AF579" s="35">
        <f>IF(C579&lt;&gt;"Grayson Coulter","",COUNTIFS($C$5:$C$2991,"Grayson Coulter",$Q$5:$Q$2991,Q579,$AE$5:$AE$2991,"&lt;="&amp;AE579,$R$5:$R$2991,"&lt;"&amp;R579))</f>
        <v/>
      </c>
      <c r="AG579" s="35">
        <f>IF(OR(C579&lt;&gt;"Grayson Coulter",G579&lt;'00_Control'!$B$7),"",--(AF579&lt;5))</f>
        <v/>
      </c>
      <c r="AH579" s="35">
        <f>IF(OR(C579&lt;&gt;"Grayson Coulter",G579&lt;'00_Control'!$B$7),"",--(AF579&lt;10))</f>
        <v/>
      </c>
      <c r="AI579" s="35">
        <f>IF(AND(C579="Grayson Coulter",G579&gt;='00_Control'!$B$7),"YES","NO")</f>
        <v/>
      </c>
      <c r="AJ579" s="33" t="inlineStr">
        <is>
          <t>OK</t>
        </is>
      </c>
    </row>
    <row r="580">
      <c r="A580" s="33" t="inlineStr">
        <is>
          <t>SM000576</t>
        </is>
      </c>
      <c r="B580" s="33" t="inlineStr">
        <is>
          <t>SW016</t>
        </is>
      </c>
      <c r="C580" s="33" t="inlineStr">
        <is>
          <t>Duncan Scott</t>
        </is>
      </c>
      <c r="D580" s="33" t="inlineStr">
        <is>
          <t>SwimCloud</t>
        </is>
      </c>
      <c r="E580" s="33" t="inlineStr">
        <is>
          <t>375606</t>
        </is>
      </c>
      <c r="F580" s="33" t="inlineStr">
        <is>
          <t>124380145</t>
        </is>
      </c>
      <c r="G580" s="51" t="n">
        <v>41374</v>
      </c>
      <c r="H580" s="33" t="inlineStr">
        <is>
          <t>Scottish National Age Group Championship</t>
        </is>
      </c>
      <c r="I580" s="33" t="inlineStr">
        <is>
          <t>301865</t>
        </is>
      </c>
      <c r="J580" s="33" t="inlineStr"/>
      <c r="K580" s="33" t="inlineStr">
        <is>
          <t>TIM</t>
        </is>
      </c>
      <c r="L580" s="35">
        <f>IF(K580="FIN",3,IF(OR(K580="SEM",K580="SEMI"),2,IF(OR(K580="PRE",K580="HEAT"),1,IF(V580="YES",4,2))))</f>
        <v/>
      </c>
      <c r="M580" s="33" t="inlineStr">
        <is>
          <t>LCM</t>
        </is>
      </c>
      <c r="N580" s="33" t="n">
        <v>200</v>
      </c>
      <c r="O580" s="33" t="inlineStr">
        <is>
          <t>Free</t>
        </is>
      </c>
      <c r="P580" s="33" t="inlineStr">
        <is>
          <t>200 Free</t>
        </is>
      </c>
      <c r="Q580" s="33" t="inlineStr">
        <is>
          <t>LCM_200_FREE</t>
        </is>
      </c>
      <c r="R580" s="36" t="n">
        <v>116.83</v>
      </c>
      <c r="S580" s="35">
        <f>IF(R580="","",IF(R580&gt;=60,INT(R580/60)&amp;":"&amp;TEXT(MOD(R580,60),"00.00"),TEXT(R580,"0.00")))</f>
        <v/>
      </c>
      <c r="T580" s="52">
        <f>IFERROR((G580-INDEX('01_Swimmers'!$E$5:$E$22,MATCH(B580,'01_Swimmers'!$A$5:$A$22,0)))/'00_Control'!$B$10,"")</f>
        <v/>
      </c>
      <c r="U580" s="35">
        <f>IF(T580="","",INT(T580))</f>
        <v/>
      </c>
      <c r="V580" s="33" t="inlineStr">
        <is>
          <t>YES</t>
        </is>
      </c>
      <c r="W580" s="33" t="inlineStr">
        <is>
          <t>YES</t>
        </is>
      </c>
      <c r="X580" s="33" t="inlineStr">
        <is>
          <t>NO</t>
        </is>
      </c>
      <c r="Y580" s="33" t="n">
        <v>2</v>
      </c>
      <c r="Z580" s="33" t="n">
        <v>3</v>
      </c>
      <c r="AA580" s="33" t="inlineStr"/>
      <c r="AB580" s="33" t="inlineStr">
        <is>
          <t>https://www.swimcloud.com/results/301865/event/107/?id=124377557#time124377557</t>
        </is>
      </c>
      <c r="AC580" s="33" t="inlineStr">
        <is>
          <t>SwimCloud API v6 2026-10-08</t>
        </is>
      </c>
      <c r="AD580" s="33" t="inlineStr">
        <is>
          <t>Duncan Scott|2013-04-10|LCM|200|Free|116.83|Scottish National Age Group Championship|TIM|True</t>
        </is>
      </c>
      <c r="AE580" s="53">
        <f>G580+L580/1000+ROW()/1000000000</f>
        <v/>
      </c>
      <c r="AF580" s="35">
        <f>IF(C580&lt;&gt;"Grayson Coulter","",COUNTIFS($C$5:$C$2991,"Grayson Coulter",$Q$5:$Q$2991,Q580,$AE$5:$AE$2991,"&lt;="&amp;AE580,$R$5:$R$2991,"&lt;"&amp;R580))</f>
        <v/>
      </c>
      <c r="AG580" s="35">
        <f>IF(OR(C580&lt;&gt;"Grayson Coulter",G580&lt;'00_Control'!$B$7),"",--(AF580&lt;5))</f>
        <v/>
      </c>
      <c r="AH580" s="35">
        <f>IF(OR(C580&lt;&gt;"Grayson Coulter",G580&lt;'00_Control'!$B$7),"",--(AF580&lt;10))</f>
        <v/>
      </c>
      <c r="AI580" s="35">
        <f>IF(AND(C580="Grayson Coulter",G580&gt;='00_Control'!$B$7),"YES","NO")</f>
        <v/>
      </c>
      <c r="AJ580" s="33" t="inlineStr">
        <is>
          <t>OK</t>
        </is>
      </c>
    </row>
    <row r="581">
      <c r="A581" s="33" t="inlineStr">
        <is>
          <t>SM000577</t>
        </is>
      </c>
      <c r="B581" s="33" t="inlineStr">
        <is>
          <t>SW016</t>
        </is>
      </c>
      <c r="C581" s="33" t="inlineStr">
        <is>
          <t>Duncan Scott</t>
        </is>
      </c>
      <c r="D581" s="33" t="inlineStr">
        <is>
          <t>SwimCloud</t>
        </is>
      </c>
      <c r="E581" s="33" t="inlineStr">
        <is>
          <t>375606</t>
        </is>
      </c>
      <c r="F581" s="33" t="inlineStr">
        <is>
          <t>124378729</t>
        </is>
      </c>
      <c r="G581" s="51" t="n">
        <v>41375</v>
      </c>
      <c r="H581" s="33" t="inlineStr">
        <is>
          <t>Scottish National Age Group Championship</t>
        </is>
      </c>
      <c r="I581" s="33" t="inlineStr">
        <is>
          <t>301865</t>
        </is>
      </c>
      <c r="J581" s="33" t="inlineStr"/>
      <c r="K581" s="33" t="inlineStr">
        <is>
          <t>PRE</t>
        </is>
      </c>
      <c r="L581" s="35">
        <f>IF(K581="FIN",3,IF(OR(K581="SEM",K581="SEMI"),2,IF(OR(K581="PRE",K581="HEAT"),1,IF(V581="YES",4,2))))</f>
        <v/>
      </c>
      <c r="M581" s="33" t="inlineStr">
        <is>
          <t>LCM</t>
        </is>
      </c>
      <c r="N581" s="33" t="n">
        <v>100</v>
      </c>
      <c r="O581" s="33" t="inlineStr">
        <is>
          <t>Fly</t>
        </is>
      </c>
      <c r="P581" s="33" t="inlineStr">
        <is>
          <t>100 Fly</t>
        </is>
      </c>
      <c r="Q581" s="33" t="inlineStr">
        <is>
          <t>LCM_100_FLY</t>
        </is>
      </c>
      <c r="R581" s="36" t="n">
        <v>59.21</v>
      </c>
      <c r="S581" s="35">
        <f>IF(R581="","",IF(R581&gt;=60,INT(R581/60)&amp;":"&amp;TEXT(MOD(R581,60),"00.00"),TEXT(R581,"0.00")))</f>
        <v/>
      </c>
      <c r="T581" s="52">
        <f>IFERROR((G581-INDEX('01_Swimmers'!$E$5:$E$22,MATCH(B581,'01_Swimmers'!$A$5:$A$22,0)))/'00_Control'!$B$10,"")</f>
        <v/>
      </c>
      <c r="U581" s="35">
        <f>IF(T581="","",INT(T581))</f>
        <v/>
      </c>
      <c r="V581" s="33" t="inlineStr">
        <is>
          <t>NO</t>
        </is>
      </c>
      <c r="W581" s="33" t="inlineStr">
        <is>
          <t>YES</t>
        </is>
      </c>
      <c r="X581" s="33" t="inlineStr">
        <is>
          <t>NO</t>
        </is>
      </c>
      <c r="Y581" s="33" t="n">
        <v>8</v>
      </c>
      <c r="Z581" s="33" t="n">
        <v>3</v>
      </c>
      <c r="AA581" s="33" t="inlineStr">
        <is>
          <t>2</t>
        </is>
      </c>
      <c r="AB581" s="33" t="inlineStr">
        <is>
          <t>https://www.swimcloud.com/results/301865/event/204/?id=124378729#time124378729</t>
        </is>
      </c>
      <c r="AC581" s="33" t="inlineStr">
        <is>
          <t>SwimCloud API v6 2026-10-08</t>
        </is>
      </c>
      <c r="AD581" s="33" t="inlineStr">
        <is>
          <t>Duncan Scott|2013-04-11|LCM|100|Fly|59.21|Scottish National Age Group Championship|PRE|False</t>
        </is>
      </c>
      <c r="AE581" s="53">
        <f>G581+L581/1000+ROW()/1000000000</f>
        <v/>
      </c>
      <c r="AF581" s="35">
        <f>IF(C581&lt;&gt;"Grayson Coulter","",COUNTIFS($C$5:$C$2991,"Grayson Coulter",$Q$5:$Q$2991,Q581,$AE$5:$AE$2991,"&lt;="&amp;AE581,$R$5:$R$2991,"&lt;"&amp;R581))</f>
        <v/>
      </c>
      <c r="AG581" s="35">
        <f>IF(OR(C581&lt;&gt;"Grayson Coulter",G581&lt;'00_Control'!$B$7),"",--(AF581&lt;5))</f>
        <v/>
      </c>
      <c r="AH581" s="35">
        <f>IF(OR(C581&lt;&gt;"Grayson Coulter",G581&lt;'00_Control'!$B$7),"",--(AF581&lt;10))</f>
        <v/>
      </c>
      <c r="AI581" s="35">
        <f>IF(AND(C581="Grayson Coulter",G581&gt;='00_Control'!$B$7),"YES","NO")</f>
        <v/>
      </c>
      <c r="AJ581" s="33" t="inlineStr">
        <is>
          <t>OK</t>
        </is>
      </c>
    </row>
    <row r="582">
      <c r="A582" s="33" t="inlineStr">
        <is>
          <t>SM000578</t>
        </is>
      </c>
      <c r="B582" s="33" t="inlineStr">
        <is>
          <t>SW016</t>
        </is>
      </c>
      <c r="C582" s="33" t="inlineStr">
        <is>
          <t>Duncan Scott</t>
        </is>
      </c>
      <c r="D582" s="33" t="inlineStr">
        <is>
          <t>SwimCloud</t>
        </is>
      </c>
      <c r="E582" s="33" t="inlineStr">
        <is>
          <t>375606</t>
        </is>
      </c>
      <c r="F582" s="33" t="inlineStr">
        <is>
          <t>124383154</t>
        </is>
      </c>
      <c r="G582" s="51" t="n">
        <v>41375</v>
      </c>
      <c r="H582" s="33" t="inlineStr">
        <is>
          <t>Scottish National Age Group Championship</t>
        </is>
      </c>
      <c r="I582" s="33" t="inlineStr">
        <is>
          <t>301865</t>
        </is>
      </c>
      <c r="J582" s="33" t="inlineStr"/>
      <c r="K582" s="33" t="inlineStr">
        <is>
          <t>PRE</t>
        </is>
      </c>
      <c r="L582" s="35">
        <f>IF(K582="FIN",3,IF(OR(K582="SEM",K582="SEMI"),2,IF(OR(K582="PRE",K582="HEAT"),1,IF(V582="YES",4,2))))</f>
        <v/>
      </c>
      <c r="M582" s="33" t="inlineStr">
        <is>
          <t>LCM</t>
        </is>
      </c>
      <c r="N582" s="33" t="n">
        <v>100</v>
      </c>
      <c r="O582" s="33" t="inlineStr">
        <is>
          <t>Fly</t>
        </is>
      </c>
      <c r="P582" s="33" t="inlineStr">
        <is>
          <t>100 Fly</t>
        </is>
      </c>
      <c r="Q582" s="33" t="inlineStr">
        <is>
          <t>LCM_100_FLY</t>
        </is>
      </c>
      <c r="R582" s="36" t="n">
        <v>65.23999999999999</v>
      </c>
      <c r="S582" s="35">
        <f>IF(R582="","",IF(R582&gt;=60,INT(R582/60)&amp;":"&amp;TEXT(MOD(R582,60),"00.00"),TEXT(R582,"0.00")))</f>
        <v/>
      </c>
      <c r="T582" s="52">
        <f>IFERROR((G582-INDEX('01_Swimmers'!$E$5:$E$22,MATCH(B582,'01_Swimmers'!$A$5:$A$22,0)))/'00_Control'!$B$10,"")</f>
        <v/>
      </c>
      <c r="U582" s="35">
        <f>IF(T582="","",INT(T582))</f>
        <v/>
      </c>
      <c r="V582" s="33" t="inlineStr">
        <is>
          <t>NO</t>
        </is>
      </c>
      <c r="W582" s="33" t="inlineStr">
        <is>
          <t>YES</t>
        </is>
      </c>
      <c r="X582" s="33" t="inlineStr">
        <is>
          <t>NO</t>
        </is>
      </c>
      <c r="Y582" s="33" t="n">
        <v>7</v>
      </c>
      <c r="Z582" s="33" t="n">
        <v>5</v>
      </c>
      <c r="AA582" s="33" t="inlineStr"/>
      <c r="AB582" s="33" t="inlineStr">
        <is>
          <t>https://www.swimcloud.com/results/301865/event/206/?id=124378755#time124378755</t>
        </is>
      </c>
      <c r="AC582" s="33" t="inlineStr">
        <is>
          <t>SwimCloud API v6 2026-10-08</t>
        </is>
      </c>
      <c r="AD582" s="33" t="inlineStr">
        <is>
          <t>Duncan Scott|2013-04-11|LCM|100|Fly|65.24|Scottish National Age Group Championship|PRE|False</t>
        </is>
      </c>
      <c r="AE582" s="53">
        <f>G582+L582/1000+ROW()/1000000000</f>
        <v/>
      </c>
      <c r="AF582" s="35">
        <f>IF(C582&lt;&gt;"Grayson Coulter","",COUNTIFS($C$5:$C$2991,"Grayson Coulter",$Q$5:$Q$2991,Q582,$AE$5:$AE$2991,"&lt;="&amp;AE582,$R$5:$R$2991,"&lt;"&amp;R582))</f>
        <v/>
      </c>
      <c r="AG582" s="35">
        <f>IF(OR(C582&lt;&gt;"Grayson Coulter",G582&lt;'00_Control'!$B$7),"",--(AF582&lt;5))</f>
        <v/>
      </c>
      <c r="AH582" s="35">
        <f>IF(OR(C582&lt;&gt;"Grayson Coulter",G582&lt;'00_Control'!$B$7),"",--(AF582&lt;10))</f>
        <v/>
      </c>
      <c r="AI582" s="35">
        <f>IF(AND(C582="Grayson Coulter",G582&gt;='00_Control'!$B$7),"YES","NO")</f>
        <v/>
      </c>
      <c r="AJ582" s="33" t="inlineStr">
        <is>
          <t>OK</t>
        </is>
      </c>
    </row>
    <row r="583">
      <c r="A583" s="33" t="inlineStr">
        <is>
          <t>SM000579</t>
        </is>
      </c>
      <c r="B583" s="33" t="inlineStr">
        <is>
          <t>SW016</t>
        </is>
      </c>
      <c r="C583" s="33" t="inlineStr">
        <is>
          <t>Duncan Scott</t>
        </is>
      </c>
      <c r="D583" s="33" t="inlineStr">
        <is>
          <t>SwimCloud</t>
        </is>
      </c>
      <c r="E583" s="33" t="inlineStr">
        <is>
          <t>375606</t>
        </is>
      </c>
      <c r="F583" s="33" t="inlineStr">
        <is>
          <t>124378730</t>
        </is>
      </c>
      <c r="G583" s="51" t="n">
        <v>41375</v>
      </c>
      <c r="H583" s="33" t="inlineStr">
        <is>
          <t>Scottish National Age Group Championship</t>
        </is>
      </c>
      <c r="I583" s="33" t="inlineStr">
        <is>
          <t>301865</t>
        </is>
      </c>
      <c r="J583" s="33" t="inlineStr"/>
      <c r="K583" s="33" t="inlineStr">
        <is>
          <t>FIN</t>
        </is>
      </c>
      <c r="L583" s="35">
        <f>IF(K583="FIN",3,IF(OR(K583="SEM",K583="SEMI"),2,IF(OR(K583="PRE",K583="HEAT"),1,IF(V583="YES",4,2))))</f>
        <v/>
      </c>
      <c r="M583" s="33" t="inlineStr">
        <is>
          <t>LCM</t>
        </is>
      </c>
      <c r="N583" s="33" t="n">
        <v>100</v>
      </c>
      <c r="O583" s="33" t="inlineStr">
        <is>
          <t>Fly</t>
        </is>
      </c>
      <c r="P583" s="33" t="inlineStr">
        <is>
          <t>100 Fly</t>
        </is>
      </c>
      <c r="Q583" s="33" t="inlineStr">
        <is>
          <t>LCM_100_FLY</t>
        </is>
      </c>
      <c r="R583" s="36" t="n">
        <v>57.61</v>
      </c>
      <c r="S583" s="35">
        <f>IF(R583="","",IF(R583&gt;=60,INT(R583/60)&amp;":"&amp;TEXT(MOD(R583,60),"00.00"),TEXT(R583,"0.00")))</f>
        <v/>
      </c>
      <c r="T583" s="52">
        <f>IFERROR((G583-INDEX('01_Swimmers'!$E$5:$E$22,MATCH(B583,'01_Swimmers'!$A$5:$A$22,0)))/'00_Control'!$B$10,"")</f>
        <v/>
      </c>
      <c r="U583" s="35">
        <f>IF(T583="","",INT(T583))</f>
        <v/>
      </c>
      <c r="V583" s="33" t="inlineStr">
        <is>
          <t>NO</t>
        </is>
      </c>
      <c r="W583" s="33" t="inlineStr">
        <is>
          <t>YES</t>
        </is>
      </c>
      <c r="X583" s="33" t="inlineStr">
        <is>
          <t>NO</t>
        </is>
      </c>
      <c r="Y583" s="33" t="n">
        <v>1</v>
      </c>
      <c r="Z583" s="33" t="n">
        <v>5</v>
      </c>
      <c r="AA583" s="33" t="inlineStr">
        <is>
          <t>1</t>
        </is>
      </c>
      <c r="AB583" s="33" t="inlineStr">
        <is>
          <t>https://www.swimcloud.com/results/301865/event/204/?id=124378730#time124378730</t>
        </is>
      </c>
      <c r="AC583" s="33" t="inlineStr">
        <is>
          <t>SwimCloud API v6 2026-10-08</t>
        </is>
      </c>
      <c r="AD583" s="33" t="inlineStr">
        <is>
          <t>Duncan Scott|2013-04-11|LCM|100|Fly|57.61|Scottish National Age Group Championship|FIN|False</t>
        </is>
      </c>
      <c r="AE583" s="53">
        <f>G583+L583/1000+ROW()/1000000000</f>
        <v/>
      </c>
      <c r="AF583" s="35">
        <f>IF(C583&lt;&gt;"Grayson Coulter","",COUNTIFS($C$5:$C$2991,"Grayson Coulter",$Q$5:$Q$2991,Q583,$AE$5:$AE$2991,"&lt;="&amp;AE583,$R$5:$R$2991,"&lt;"&amp;R583))</f>
        <v/>
      </c>
      <c r="AG583" s="35">
        <f>IF(OR(C583&lt;&gt;"Grayson Coulter",G583&lt;'00_Control'!$B$7),"",--(AF583&lt;5))</f>
        <v/>
      </c>
      <c r="AH583" s="35">
        <f>IF(OR(C583&lt;&gt;"Grayson Coulter",G583&lt;'00_Control'!$B$7),"",--(AF583&lt;10))</f>
        <v/>
      </c>
      <c r="AI583" s="35">
        <f>IF(AND(C583="Grayson Coulter",G583&gt;='00_Control'!$B$7),"YES","NO")</f>
        <v/>
      </c>
      <c r="AJ583" s="33" t="inlineStr">
        <is>
          <t>OK</t>
        </is>
      </c>
    </row>
    <row r="584">
      <c r="A584" s="33" t="inlineStr">
        <is>
          <t>SM000580</t>
        </is>
      </c>
      <c r="B584" s="33" t="inlineStr">
        <is>
          <t>SW016</t>
        </is>
      </c>
      <c r="C584" s="33" t="inlineStr">
        <is>
          <t>Duncan Scott</t>
        </is>
      </c>
      <c r="D584" s="33" t="inlineStr">
        <is>
          <t>SwimCloud</t>
        </is>
      </c>
      <c r="E584" s="33" t="inlineStr">
        <is>
          <t>375606</t>
        </is>
      </c>
      <c r="F584" s="33" t="inlineStr">
        <is>
          <t>124383146</t>
        </is>
      </c>
      <c r="G584" s="51" t="n">
        <v>41375</v>
      </c>
      <c r="H584" s="33" t="inlineStr">
        <is>
          <t>Scottish National Age Group Championship</t>
        </is>
      </c>
      <c r="I584" s="33" t="inlineStr">
        <is>
          <t>301865</t>
        </is>
      </c>
      <c r="J584" s="33" t="inlineStr"/>
      <c r="K584" s="33" t="inlineStr">
        <is>
          <t>FIN</t>
        </is>
      </c>
      <c r="L584" s="35">
        <f>IF(K584="FIN",3,IF(OR(K584="SEM",K584="SEMI"),2,IF(OR(K584="PRE",K584="HEAT"),1,IF(V584="YES",4,2))))</f>
        <v/>
      </c>
      <c r="M584" s="33" t="inlineStr">
        <is>
          <t>LCM</t>
        </is>
      </c>
      <c r="N584" s="33" t="n">
        <v>100</v>
      </c>
      <c r="O584" s="33" t="inlineStr">
        <is>
          <t>Fly</t>
        </is>
      </c>
      <c r="P584" s="33" t="inlineStr">
        <is>
          <t>100 Fly</t>
        </is>
      </c>
      <c r="Q584" s="33" t="inlineStr">
        <is>
          <t>LCM_100_FLY</t>
        </is>
      </c>
      <c r="R584" s="36" t="n">
        <v>62.76</v>
      </c>
      <c r="S584" s="35">
        <f>IF(R584="","",IF(R584&gt;=60,INT(R584/60)&amp;":"&amp;TEXT(MOD(R584,60),"00.00"),TEXT(R584,"0.00")))</f>
        <v/>
      </c>
      <c r="T584" s="52">
        <f>IFERROR((G584-INDEX('01_Swimmers'!$E$5:$E$22,MATCH(B584,'01_Swimmers'!$A$5:$A$22,0)))/'00_Control'!$B$10,"")</f>
        <v/>
      </c>
      <c r="U584" s="35">
        <f>IF(T584="","",INT(T584))</f>
        <v/>
      </c>
      <c r="V584" s="33" t="inlineStr">
        <is>
          <t>NO</t>
        </is>
      </c>
      <c r="W584" s="33" t="inlineStr">
        <is>
          <t>YES</t>
        </is>
      </c>
      <c r="X584" s="33" t="inlineStr">
        <is>
          <t>NO</t>
        </is>
      </c>
      <c r="Y584" s="33" t="n">
        <v>1</v>
      </c>
      <c r="Z584" s="33" t="n">
        <v>4</v>
      </c>
      <c r="AA584" s="33" t="inlineStr"/>
      <c r="AB584" s="33" t="inlineStr">
        <is>
          <t>https://www.swimcloud.com/results/301865/event/206/?id=124378756#time124378756</t>
        </is>
      </c>
      <c r="AC584" s="33" t="inlineStr">
        <is>
          <t>SwimCloud API v6 2026-10-08</t>
        </is>
      </c>
      <c r="AD584" s="33" t="inlineStr">
        <is>
          <t>Duncan Scott|2013-04-11|LCM|100|Fly|62.76|Scottish National Age Group Championship|FIN|False</t>
        </is>
      </c>
      <c r="AE584" s="53">
        <f>G584+L584/1000+ROW()/1000000000</f>
        <v/>
      </c>
      <c r="AF584" s="35">
        <f>IF(C584&lt;&gt;"Grayson Coulter","",COUNTIFS($C$5:$C$2991,"Grayson Coulter",$Q$5:$Q$2991,Q584,$AE$5:$AE$2991,"&lt;="&amp;AE584,$R$5:$R$2991,"&lt;"&amp;R584))</f>
        <v/>
      </c>
      <c r="AG584" s="35">
        <f>IF(OR(C584&lt;&gt;"Grayson Coulter",G584&lt;'00_Control'!$B$7),"",--(AF584&lt;5))</f>
        <v/>
      </c>
      <c r="AH584" s="35">
        <f>IF(OR(C584&lt;&gt;"Grayson Coulter",G584&lt;'00_Control'!$B$7),"",--(AF584&lt;10))</f>
        <v/>
      </c>
      <c r="AI584" s="35">
        <f>IF(AND(C584="Grayson Coulter",G584&gt;='00_Control'!$B$7),"YES","NO")</f>
        <v/>
      </c>
      <c r="AJ584" s="33" t="inlineStr">
        <is>
          <t>OK</t>
        </is>
      </c>
    </row>
    <row r="585">
      <c r="A585" s="33" t="inlineStr">
        <is>
          <t>SM000581</t>
        </is>
      </c>
      <c r="B585" s="33" t="inlineStr">
        <is>
          <t>SW016</t>
        </is>
      </c>
      <c r="C585" s="33" t="inlineStr">
        <is>
          <t>Duncan Scott</t>
        </is>
      </c>
      <c r="D585" s="33" t="inlineStr">
        <is>
          <t>SwimCloud</t>
        </is>
      </c>
      <c r="E585" s="33" t="inlineStr">
        <is>
          <t>375606</t>
        </is>
      </c>
      <c r="F585" s="33" t="inlineStr">
        <is>
          <t>124380313</t>
        </is>
      </c>
      <c r="G585" s="51" t="n">
        <v>41377</v>
      </c>
      <c r="H585" s="33" t="inlineStr">
        <is>
          <t>Scottish National Age Group Championship</t>
        </is>
      </c>
      <c r="I585" s="33" t="inlineStr">
        <is>
          <t>301865</t>
        </is>
      </c>
      <c r="J585" s="33" t="inlineStr"/>
      <c r="K585" s="33" t="inlineStr">
        <is>
          <t>TIM</t>
        </is>
      </c>
      <c r="L585" s="35">
        <f>IF(K585="FIN",3,IF(OR(K585="SEM",K585="SEMI"),2,IF(OR(K585="PRE",K585="HEAT"),1,IF(V585="YES",4,2))))</f>
        <v/>
      </c>
      <c r="M585" s="33" t="inlineStr">
        <is>
          <t>LCM</t>
        </is>
      </c>
      <c r="N585" s="33" t="n">
        <v>100</v>
      </c>
      <c r="O585" s="33" t="inlineStr">
        <is>
          <t>Free</t>
        </is>
      </c>
      <c r="P585" s="33" t="inlineStr">
        <is>
          <t>100 Free</t>
        </is>
      </c>
      <c r="Q585" s="33" t="inlineStr">
        <is>
          <t>LCM_100_FREE</t>
        </is>
      </c>
      <c r="R585" s="36" t="n">
        <v>52.21</v>
      </c>
      <c r="S585" s="35">
        <f>IF(R585="","",IF(R585&gt;=60,INT(R585/60)&amp;":"&amp;TEXT(MOD(R585,60),"00.00"),TEXT(R585,"0.00")))</f>
        <v/>
      </c>
      <c r="T585" s="52">
        <f>IFERROR((G585-INDEX('01_Swimmers'!$E$5:$E$22,MATCH(B585,'01_Swimmers'!$A$5:$A$22,0)))/'00_Control'!$B$10,"")</f>
        <v/>
      </c>
      <c r="U585" s="35">
        <f>IF(T585="","",INT(T585))</f>
        <v/>
      </c>
      <c r="V585" s="33" t="inlineStr">
        <is>
          <t>YES</t>
        </is>
      </c>
      <c r="W585" s="33" t="inlineStr">
        <is>
          <t>YES</t>
        </is>
      </c>
      <c r="X585" s="33" t="inlineStr">
        <is>
          <t>NO</t>
        </is>
      </c>
      <c r="Y585" s="33" t="n">
        <v>3</v>
      </c>
      <c r="Z585" s="33" t="n">
        <v>5</v>
      </c>
      <c r="AA585" s="33" t="inlineStr"/>
      <c r="AB585" s="33" t="inlineStr">
        <is>
          <t>https://www.swimcloud.com/results/301865/event/407/?id=124377599#time124377599</t>
        </is>
      </c>
      <c r="AC585" s="33" t="inlineStr">
        <is>
          <t>SwimCloud API v6 2026-10-08</t>
        </is>
      </c>
      <c r="AD585" s="33" t="inlineStr">
        <is>
          <t>Duncan Scott|2013-04-13|LCM|100|Free|52.21|Scottish National Age Group Championship|TIM|True</t>
        </is>
      </c>
      <c r="AE585" s="53">
        <f>G585+L585/1000+ROW()/1000000000</f>
        <v/>
      </c>
      <c r="AF585" s="35">
        <f>IF(C585&lt;&gt;"Grayson Coulter","",COUNTIFS($C$5:$C$2991,"Grayson Coulter",$Q$5:$Q$2991,Q585,$AE$5:$AE$2991,"&lt;="&amp;AE585,$R$5:$R$2991,"&lt;"&amp;R585))</f>
        <v/>
      </c>
      <c r="AG585" s="35">
        <f>IF(OR(C585&lt;&gt;"Grayson Coulter",G585&lt;'00_Control'!$B$7),"",--(AF585&lt;5))</f>
        <v/>
      </c>
      <c r="AH585" s="35">
        <f>IF(OR(C585&lt;&gt;"Grayson Coulter",G585&lt;'00_Control'!$B$7),"",--(AF585&lt;10))</f>
        <v/>
      </c>
      <c r="AI585" s="35">
        <f>IF(AND(C585="Grayson Coulter",G585&gt;='00_Control'!$B$7),"YES","NO")</f>
        <v/>
      </c>
      <c r="AJ585" s="33" t="inlineStr">
        <is>
          <t>OK</t>
        </is>
      </c>
    </row>
    <row r="586">
      <c r="A586" s="33" t="inlineStr">
        <is>
          <t>SM000582</t>
        </is>
      </c>
      <c r="B586" s="33" t="inlineStr">
        <is>
          <t>SW016</t>
        </is>
      </c>
      <c r="C586" s="33" t="inlineStr">
        <is>
          <t>Duncan Scott</t>
        </is>
      </c>
      <c r="D586" s="33" t="inlineStr">
        <is>
          <t>SwimCloud</t>
        </is>
      </c>
      <c r="E586" s="33" t="inlineStr">
        <is>
          <t>375606</t>
        </is>
      </c>
      <c r="F586" s="33" t="inlineStr">
        <is>
          <t>124376638</t>
        </is>
      </c>
      <c r="G586" s="51" t="n">
        <v>41378</v>
      </c>
      <c r="H586" s="33" t="inlineStr">
        <is>
          <t>Scottish National Age Group Championship</t>
        </is>
      </c>
      <c r="I586" s="33" t="inlineStr">
        <is>
          <t>301865</t>
        </is>
      </c>
      <c r="J586" s="33" t="inlineStr"/>
      <c r="K586" s="33" t="inlineStr">
        <is>
          <t>PRE</t>
        </is>
      </c>
      <c r="L586" s="35">
        <f>IF(K586="FIN",3,IF(OR(K586="SEM",K586="SEMI"),2,IF(OR(K586="PRE",K586="HEAT"),1,IF(V586="YES",4,2))))</f>
        <v/>
      </c>
      <c r="M586" s="33" t="inlineStr">
        <is>
          <t>LCM</t>
        </is>
      </c>
      <c r="N586" s="33" t="n">
        <v>100</v>
      </c>
      <c r="O586" s="33" t="inlineStr">
        <is>
          <t>Free</t>
        </is>
      </c>
      <c r="P586" s="33" t="inlineStr">
        <is>
          <t>100 Free</t>
        </is>
      </c>
      <c r="Q586" s="33" t="inlineStr">
        <is>
          <t>LCM_100_FREE</t>
        </is>
      </c>
      <c r="R586" s="36" t="n">
        <v>53.3</v>
      </c>
      <c r="S586" s="35">
        <f>IF(R586="","",IF(R586&gt;=60,INT(R586/60)&amp;":"&amp;TEXT(MOD(R586,60),"00.00"),TEXT(R586,"0.00")))</f>
        <v/>
      </c>
      <c r="T586" s="52">
        <f>IFERROR((G586-INDEX('01_Swimmers'!$E$5:$E$22,MATCH(B586,'01_Swimmers'!$A$5:$A$22,0)))/'00_Control'!$B$10,"")</f>
        <v/>
      </c>
      <c r="U586" s="35">
        <f>IF(T586="","",INT(T586))</f>
        <v/>
      </c>
      <c r="V586" s="33" t="inlineStr">
        <is>
          <t>NO</t>
        </is>
      </c>
      <c r="W586" s="33" t="inlineStr">
        <is>
          <t>YES</t>
        </is>
      </c>
      <c r="X586" s="33" t="inlineStr">
        <is>
          <t>NO</t>
        </is>
      </c>
      <c r="Y586" s="33" t="n">
        <v>10</v>
      </c>
      <c r="Z586" s="33" t="n">
        <v>8</v>
      </c>
      <c r="AA586" s="33" t="inlineStr">
        <is>
          <t>2</t>
        </is>
      </c>
      <c r="AB586" s="33" t="inlineStr">
        <is>
          <t>https://www.swimcloud.com/results/301865/event/504/?id=124376638#time124376638</t>
        </is>
      </c>
      <c r="AC586" s="33" t="inlineStr">
        <is>
          <t>SwimCloud API v6 2026-10-08</t>
        </is>
      </c>
      <c r="AD586" s="33" t="inlineStr">
        <is>
          <t>Duncan Scott|2013-04-14|LCM|100|Free|53.3|Scottish National Age Group Championship|PRE|False</t>
        </is>
      </c>
      <c r="AE586" s="53">
        <f>G586+L586/1000+ROW()/1000000000</f>
        <v/>
      </c>
      <c r="AF586" s="35">
        <f>IF(C586&lt;&gt;"Grayson Coulter","",COUNTIFS($C$5:$C$2991,"Grayson Coulter",$Q$5:$Q$2991,Q586,$AE$5:$AE$2991,"&lt;="&amp;AE586,$R$5:$R$2991,"&lt;"&amp;R586))</f>
        <v/>
      </c>
      <c r="AG586" s="35">
        <f>IF(OR(C586&lt;&gt;"Grayson Coulter",G586&lt;'00_Control'!$B$7),"",--(AF586&lt;5))</f>
        <v/>
      </c>
      <c r="AH586" s="35">
        <f>IF(OR(C586&lt;&gt;"Grayson Coulter",G586&lt;'00_Control'!$B$7),"",--(AF586&lt;10))</f>
        <v/>
      </c>
      <c r="AI586" s="35">
        <f>IF(AND(C586="Grayson Coulter",G586&gt;='00_Control'!$B$7),"YES","NO")</f>
        <v/>
      </c>
      <c r="AJ586" s="33" t="inlineStr">
        <is>
          <t>OK</t>
        </is>
      </c>
    </row>
    <row r="587">
      <c r="A587" s="33" t="inlineStr">
        <is>
          <t>SM000583</t>
        </is>
      </c>
      <c r="B587" s="33" t="inlineStr">
        <is>
          <t>SW016</t>
        </is>
      </c>
      <c r="C587" s="33" t="inlineStr">
        <is>
          <t>Duncan Scott</t>
        </is>
      </c>
      <c r="D587" s="33" t="inlineStr">
        <is>
          <t>SwimCloud</t>
        </is>
      </c>
      <c r="E587" s="33" t="inlineStr">
        <is>
          <t>375606</t>
        </is>
      </c>
      <c r="F587" s="33" t="inlineStr">
        <is>
          <t>124376639</t>
        </is>
      </c>
      <c r="G587" s="51" t="n">
        <v>41378</v>
      </c>
      <c r="H587" s="33" t="inlineStr">
        <is>
          <t>Scottish National Age Group Championship</t>
        </is>
      </c>
      <c r="I587" s="33" t="inlineStr">
        <is>
          <t>301865</t>
        </is>
      </c>
      <c r="J587" s="33" t="inlineStr"/>
      <c r="K587" s="33" t="inlineStr">
        <is>
          <t>FIN</t>
        </is>
      </c>
      <c r="L587" s="35">
        <f>IF(K587="FIN",3,IF(OR(K587="SEM",K587="SEMI"),2,IF(OR(K587="PRE",K587="HEAT"),1,IF(V587="YES",4,2))))</f>
        <v/>
      </c>
      <c r="M587" s="33" t="inlineStr">
        <is>
          <t>LCM</t>
        </is>
      </c>
      <c r="N587" s="33" t="n">
        <v>100</v>
      </c>
      <c r="O587" s="33" t="inlineStr">
        <is>
          <t>Free</t>
        </is>
      </c>
      <c r="P587" s="33" t="inlineStr">
        <is>
          <t>100 Free</t>
        </is>
      </c>
      <c r="Q587" s="33" t="inlineStr">
        <is>
          <t>LCM_100_FREE</t>
        </is>
      </c>
      <c r="R587" s="36" t="n">
        <v>52.48</v>
      </c>
      <c r="S587" s="35">
        <f>IF(R587="","",IF(R587&gt;=60,INT(R587/60)&amp;":"&amp;TEXT(MOD(R587,60),"00.00"),TEXT(R587,"0.00")))</f>
        <v/>
      </c>
      <c r="T587" s="52">
        <f>IFERROR((G587-INDEX('01_Swimmers'!$E$5:$E$22,MATCH(B587,'01_Swimmers'!$A$5:$A$22,0)))/'00_Control'!$B$10,"")</f>
        <v/>
      </c>
      <c r="U587" s="35">
        <f>IF(T587="","",INT(T587))</f>
        <v/>
      </c>
      <c r="V587" s="33" t="inlineStr">
        <is>
          <t>NO</t>
        </is>
      </c>
      <c r="W587" s="33" t="inlineStr">
        <is>
          <t>YES</t>
        </is>
      </c>
      <c r="X587" s="33" t="inlineStr">
        <is>
          <t>NO</t>
        </is>
      </c>
      <c r="Y587" s="33" t="n">
        <v>1</v>
      </c>
      <c r="Z587" s="33" t="n">
        <v>5</v>
      </c>
      <c r="AA587" s="33" t="inlineStr">
        <is>
          <t>2</t>
        </is>
      </c>
      <c r="AB587" s="33" t="inlineStr">
        <is>
          <t>https://www.swimcloud.com/results/301865/event/504/?id=124376639#time124376639</t>
        </is>
      </c>
      <c r="AC587" s="33" t="inlineStr">
        <is>
          <t>SwimCloud API v6 2026-10-08</t>
        </is>
      </c>
      <c r="AD587" s="33" t="inlineStr">
        <is>
          <t>Duncan Scott|2013-04-14|LCM|100|Free|52.48|Scottish National Age Group Championship|FIN|False</t>
        </is>
      </c>
      <c r="AE587" s="53">
        <f>G587+L587/1000+ROW()/1000000000</f>
        <v/>
      </c>
      <c r="AF587" s="35">
        <f>IF(C587&lt;&gt;"Grayson Coulter","",COUNTIFS($C$5:$C$2991,"Grayson Coulter",$Q$5:$Q$2991,Q587,$AE$5:$AE$2991,"&lt;="&amp;AE587,$R$5:$R$2991,"&lt;"&amp;R587))</f>
        <v/>
      </c>
      <c r="AG587" s="35">
        <f>IF(OR(C587&lt;&gt;"Grayson Coulter",G587&lt;'00_Control'!$B$7),"",--(AF587&lt;5))</f>
        <v/>
      </c>
      <c r="AH587" s="35">
        <f>IF(OR(C587&lt;&gt;"Grayson Coulter",G587&lt;'00_Control'!$B$7),"",--(AF587&lt;10))</f>
        <v/>
      </c>
      <c r="AI587" s="35">
        <f>IF(AND(C587="Grayson Coulter",G587&gt;='00_Control'!$B$7),"YES","NO")</f>
        <v/>
      </c>
      <c r="AJ587" s="33" t="inlineStr">
        <is>
          <t>OK</t>
        </is>
      </c>
    </row>
    <row r="588">
      <c r="A588" s="33" t="inlineStr">
        <is>
          <t>SM000584</t>
        </is>
      </c>
      <c r="B588" s="33" t="inlineStr">
        <is>
          <t>SW016</t>
        </is>
      </c>
      <c r="C588" s="33" t="inlineStr">
        <is>
          <t>Duncan Scott</t>
        </is>
      </c>
      <c r="D588" s="33" t="inlineStr">
        <is>
          <t>SwimCloud</t>
        </is>
      </c>
      <c r="E588" s="33" t="inlineStr">
        <is>
          <t>375606</t>
        </is>
      </c>
      <c r="F588" s="33" t="inlineStr">
        <is>
          <t>123832380</t>
        </is>
      </c>
      <c r="G588" s="51" t="n">
        <v>41621</v>
      </c>
      <c r="H588" s="33" t="inlineStr">
        <is>
          <t>Scottish National S.C.Open Championships</t>
        </is>
      </c>
      <c r="I588" s="33" t="inlineStr">
        <is>
          <t>301132</t>
        </is>
      </c>
      <c r="J588" s="33" t="inlineStr"/>
      <c r="K588" s="33" t="inlineStr">
        <is>
          <t>PRE</t>
        </is>
      </c>
      <c r="L588" s="35">
        <f>IF(K588="FIN",3,IF(OR(K588="SEM",K588="SEMI"),2,IF(OR(K588="PRE",K588="HEAT"),1,IF(V588="YES",4,2))))</f>
        <v/>
      </c>
      <c r="M588" s="33" t="inlineStr">
        <is>
          <t>SCM</t>
        </is>
      </c>
      <c r="N588" s="33" t="n">
        <v>400</v>
      </c>
      <c r="O588" s="33" t="inlineStr">
        <is>
          <t>Free</t>
        </is>
      </c>
      <c r="P588" s="33" t="inlineStr">
        <is>
          <t>400 Free</t>
        </is>
      </c>
      <c r="Q588" s="33" t="inlineStr">
        <is>
          <t>SCM_400_FREE</t>
        </is>
      </c>
      <c r="R588" s="36" t="n">
        <v>235.29</v>
      </c>
      <c r="S588" s="35">
        <f>IF(R588="","",IF(R588&gt;=60,INT(R588/60)&amp;":"&amp;TEXT(MOD(R588,60),"00.00"),TEXT(R588,"0.00")))</f>
        <v/>
      </c>
      <c r="T588" s="52">
        <f>IFERROR((G588-INDEX('01_Swimmers'!$E$5:$E$22,MATCH(B588,'01_Swimmers'!$A$5:$A$22,0)))/'00_Control'!$B$10,"")</f>
        <v/>
      </c>
      <c r="U588" s="35">
        <f>IF(T588="","",INT(T588))</f>
        <v/>
      </c>
      <c r="V588" s="33" t="inlineStr">
        <is>
          <t>NO</t>
        </is>
      </c>
      <c r="W588" s="33" t="inlineStr">
        <is>
          <t>YES</t>
        </is>
      </c>
      <c r="X588" s="33" t="inlineStr">
        <is>
          <t>NO</t>
        </is>
      </c>
      <c r="Y588" s="33" t="n">
        <v>4</v>
      </c>
      <c r="Z588" s="33" t="n">
        <v>4</v>
      </c>
      <c r="AA588" s="33" t="inlineStr">
        <is>
          <t>12</t>
        </is>
      </c>
      <c r="AB588" s="33" t="inlineStr">
        <is>
          <t>https://www.swimcloud.com/results/301132/event/109/?id=123832380#time123832380</t>
        </is>
      </c>
      <c r="AC588" s="33" t="inlineStr">
        <is>
          <t>SwimCloud API v6 2026-10-08</t>
        </is>
      </c>
      <c r="AD588" s="33" t="inlineStr">
        <is>
          <t>Duncan Scott|2013-12-13|SCM|400|Free|235.29|Scottish National S.C.Open Championships|PRE|False</t>
        </is>
      </c>
      <c r="AE588" s="53">
        <f>G588+L588/1000+ROW()/1000000000</f>
        <v/>
      </c>
      <c r="AF588" s="35">
        <f>IF(C588&lt;&gt;"Grayson Coulter","",COUNTIFS($C$5:$C$2991,"Grayson Coulter",$Q$5:$Q$2991,Q588,$AE$5:$AE$2991,"&lt;="&amp;AE588,$R$5:$R$2991,"&lt;"&amp;R588))</f>
        <v/>
      </c>
      <c r="AG588" s="35">
        <f>IF(OR(C588&lt;&gt;"Grayson Coulter",G588&lt;'00_Control'!$B$7),"",--(AF588&lt;5))</f>
        <v/>
      </c>
      <c r="AH588" s="35">
        <f>IF(OR(C588&lt;&gt;"Grayson Coulter",G588&lt;'00_Control'!$B$7),"",--(AF588&lt;10))</f>
        <v/>
      </c>
      <c r="AI588" s="35">
        <f>IF(AND(C588="Grayson Coulter",G588&gt;='00_Control'!$B$7),"YES","NO")</f>
        <v/>
      </c>
      <c r="AJ588" s="33" t="inlineStr">
        <is>
          <t>OK</t>
        </is>
      </c>
    </row>
    <row r="589">
      <c r="A589" s="33" t="inlineStr">
        <is>
          <t>SM000585</t>
        </is>
      </c>
      <c r="B589" s="33" t="inlineStr">
        <is>
          <t>SW016</t>
        </is>
      </c>
      <c r="C589" s="33" t="inlineStr">
        <is>
          <t>Duncan Scott</t>
        </is>
      </c>
      <c r="D589" s="33" t="inlineStr">
        <is>
          <t>SwimCloud</t>
        </is>
      </c>
      <c r="E589" s="33" t="inlineStr">
        <is>
          <t>375606</t>
        </is>
      </c>
      <c r="F589" s="33" t="inlineStr">
        <is>
          <t>123832381</t>
        </is>
      </c>
      <c r="G589" s="51" t="n">
        <v>41621</v>
      </c>
      <c r="H589" s="33" t="inlineStr">
        <is>
          <t>Scottish National S.C.Open Championships</t>
        </is>
      </c>
      <c r="I589" s="33" t="inlineStr">
        <is>
          <t>301132</t>
        </is>
      </c>
      <c r="J589" s="33" t="inlineStr"/>
      <c r="K589" s="33" t="inlineStr">
        <is>
          <t>FIN</t>
        </is>
      </c>
      <c r="L589" s="35">
        <f>IF(K589="FIN",3,IF(OR(K589="SEM",K589="SEMI"),2,IF(OR(K589="PRE",K589="HEAT"),1,IF(V589="YES",4,2))))</f>
        <v/>
      </c>
      <c r="M589" s="33" t="inlineStr">
        <is>
          <t>SCM</t>
        </is>
      </c>
      <c r="N589" s="33" t="n">
        <v>400</v>
      </c>
      <c r="O589" s="33" t="inlineStr">
        <is>
          <t>Free</t>
        </is>
      </c>
      <c r="P589" s="33" t="inlineStr">
        <is>
          <t>400 Free</t>
        </is>
      </c>
      <c r="Q589" s="33" t="inlineStr">
        <is>
          <t>SCM_400_FREE</t>
        </is>
      </c>
      <c r="R589" s="36" t="n">
        <v>233.57</v>
      </c>
      <c r="S589" s="35">
        <f>IF(R589="","",IF(R589&gt;=60,INT(R589/60)&amp;":"&amp;TEXT(MOD(R589,60),"00.00"),TEXT(R589,"0.00")))</f>
        <v/>
      </c>
      <c r="T589" s="52">
        <f>IFERROR((G589-INDEX('01_Swimmers'!$E$5:$E$22,MATCH(B589,'01_Swimmers'!$A$5:$A$22,0)))/'00_Control'!$B$10,"")</f>
        <v/>
      </c>
      <c r="U589" s="35">
        <f>IF(T589="","",INT(T589))</f>
        <v/>
      </c>
      <c r="V589" s="33" t="inlineStr">
        <is>
          <t>NO</t>
        </is>
      </c>
      <c r="W589" s="33" t="inlineStr">
        <is>
          <t>YES</t>
        </is>
      </c>
      <c r="X589" s="33" t="inlineStr">
        <is>
          <t>NO</t>
        </is>
      </c>
      <c r="Y589" s="33" t="n">
        <v>2</v>
      </c>
      <c r="Z589" s="33" t="n">
        <v>3</v>
      </c>
      <c r="AA589" s="33" t="inlineStr">
        <is>
          <t>11</t>
        </is>
      </c>
      <c r="AB589" s="33" t="inlineStr">
        <is>
          <t>https://www.swimcloud.com/results/301132/event/109/?id=123832381#time123832381</t>
        </is>
      </c>
      <c r="AC589" s="33" t="inlineStr">
        <is>
          <t>SwimCloud API v6 2026-10-08</t>
        </is>
      </c>
      <c r="AD589" s="33" t="inlineStr">
        <is>
          <t>Duncan Scott|2013-12-13|SCM|400|Free|233.57|Scottish National S.C.Open Championships|FIN|False</t>
        </is>
      </c>
      <c r="AE589" s="53">
        <f>G589+L589/1000+ROW()/1000000000</f>
        <v/>
      </c>
      <c r="AF589" s="35">
        <f>IF(C589&lt;&gt;"Grayson Coulter","",COUNTIFS($C$5:$C$2991,"Grayson Coulter",$Q$5:$Q$2991,Q589,$AE$5:$AE$2991,"&lt;="&amp;AE589,$R$5:$R$2991,"&lt;"&amp;R589))</f>
        <v/>
      </c>
      <c r="AG589" s="35">
        <f>IF(OR(C589&lt;&gt;"Grayson Coulter",G589&lt;'00_Control'!$B$7),"",--(AF589&lt;5))</f>
        <v/>
      </c>
      <c r="AH589" s="35">
        <f>IF(OR(C589&lt;&gt;"Grayson Coulter",G589&lt;'00_Control'!$B$7),"",--(AF589&lt;10))</f>
        <v/>
      </c>
      <c r="AI589" s="35">
        <f>IF(AND(C589="Grayson Coulter",G589&gt;='00_Control'!$B$7),"YES","NO")</f>
        <v/>
      </c>
      <c r="AJ589" s="33" t="inlineStr">
        <is>
          <t>OK</t>
        </is>
      </c>
    </row>
    <row r="590">
      <c r="A590" s="33" t="inlineStr">
        <is>
          <t>SM000586</t>
        </is>
      </c>
      <c r="B590" s="33" t="inlineStr">
        <is>
          <t>SW016</t>
        </is>
      </c>
      <c r="C590" s="33" t="inlineStr">
        <is>
          <t>Duncan Scott</t>
        </is>
      </c>
      <c r="D590" s="33" t="inlineStr">
        <is>
          <t>SwimCloud</t>
        </is>
      </c>
      <c r="E590" s="33" t="inlineStr">
        <is>
          <t>375606</t>
        </is>
      </c>
      <c r="F590" s="33" t="inlineStr">
        <is>
          <t>123832526</t>
        </is>
      </c>
      <c r="G590" s="51" t="n">
        <v>41622</v>
      </c>
      <c r="H590" s="33" t="inlineStr">
        <is>
          <t>Scottish National S.C.Open Championships</t>
        </is>
      </c>
      <c r="I590" s="33" t="inlineStr">
        <is>
          <t>301132</t>
        </is>
      </c>
      <c r="J590" s="33" t="inlineStr"/>
      <c r="K590" s="33" t="inlineStr">
        <is>
          <t>PRE</t>
        </is>
      </c>
      <c r="L590" s="35">
        <f>IF(K590="FIN",3,IF(OR(K590="SEM",K590="SEMI"),2,IF(OR(K590="PRE",K590="HEAT"),1,IF(V590="YES",4,2))))</f>
        <v/>
      </c>
      <c r="M590" s="33" t="inlineStr">
        <is>
          <t>SCM</t>
        </is>
      </c>
      <c r="N590" s="33" t="n">
        <v>100</v>
      </c>
      <c r="O590" s="33" t="inlineStr">
        <is>
          <t>Free</t>
        </is>
      </c>
      <c r="P590" s="33" t="inlineStr">
        <is>
          <t>100 Free</t>
        </is>
      </c>
      <c r="Q590" s="33" t="inlineStr">
        <is>
          <t>SCM_100_FREE</t>
        </is>
      </c>
      <c r="R590" s="36" t="n">
        <v>49.47</v>
      </c>
      <c r="S590" s="35">
        <f>IF(R590="","",IF(R590&gt;=60,INT(R590/60)&amp;":"&amp;TEXT(MOD(R590,60),"00.00"),TEXT(R590,"0.00")))</f>
        <v/>
      </c>
      <c r="T590" s="52">
        <f>IFERROR((G590-INDEX('01_Swimmers'!$E$5:$E$22,MATCH(B590,'01_Swimmers'!$A$5:$A$22,0)))/'00_Control'!$B$10,"")</f>
        <v/>
      </c>
      <c r="U590" s="35">
        <f>IF(T590="","",INT(T590))</f>
        <v/>
      </c>
      <c r="V590" s="33" t="inlineStr">
        <is>
          <t>NO</t>
        </is>
      </c>
      <c r="W590" s="33" t="inlineStr">
        <is>
          <t>YES</t>
        </is>
      </c>
      <c r="X590" s="33" t="inlineStr">
        <is>
          <t>NO</t>
        </is>
      </c>
      <c r="Y590" s="33" t="n">
        <v>7</v>
      </c>
      <c r="Z590" s="33" t="n">
        <v>7</v>
      </c>
      <c r="AA590" s="33" t="inlineStr">
        <is>
          <t>6</t>
        </is>
      </c>
      <c r="AB590" s="33" t="inlineStr">
        <is>
          <t>https://www.swimcloud.com/results/301132/event/210/?id=123832526#time123832526</t>
        </is>
      </c>
      <c r="AC590" s="33" t="inlineStr">
        <is>
          <t>SwimCloud API v6 2026-10-08</t>
        </is>
      </c>
      <c r="AD590" s="33" t="inlineStr">
        <is>
          <t>Duncan Scott|2013-12-14|SCM|100|Free|49.47|Scottish National S.C.Open Championships|PRE|False</t>
        </is>
      </c>
      <c r="AE590" s="53">
        <f>G590+L590/1000+ROW()/1000000000</f>
        <v/>
      </c>
      <c r="AF590" s="35">
        <f>IF(C590&lt;&gt;"Grayson Coulter","",COUNTIFS($C$5:$C$2991,"Grayson Coulter",$Q$5:$Q$2991,Q590,$AE$5:$AE$2991,"&lt;="&amp;AE590,$R$5:$R$2991,"&lt;"&amp;R590))</f>
        <v/>
      </c>
      <c r="AG590" s="35">
        <f>IF(OR(C590&lt;&gt;"Grayson Coulter",G590&lt;'00_Control'!$B$7),"",--(AF590&lt;5))</f>
        <v/>
      </c>
      <c r="AH590" s="35">
        <f>IF(OR(C590&lt;&gt;"Grayson Coulter",G590&lt;'00_Control'!$B$7),"",--(AF590&lt;10))</f>
        <v/>
      </c>
      <c r="AI590" s="35">
        <f>IF(AND(C590="Grayson Coulter",G590&gt;='00_Control'!$B$7),"YES","NO")</f>
        <v/>
      </c>
      <c r="AJ590" s="33" t="inlineStr">
        <is>
          <t>OK</t>
        </is>
      </c>
    </row>
    <row r="591">
      <c r="A591" s="33" t="inlineStr">
        <is>
          <t>SM000587</t>
        </is>
      </c>
      <c r="B591" s="33" t="inlineStr">
        <is>
          <t>SW016</t>
        </is>
      </c>
      <c r="C591" s="33" t="inlineStr">
        <is>
          <t>Duncan Scott</t>
        </is>
      </c>
      <c r="D591" s="33" t="inlineStr">
        <is>
          <t>SwimCloud</t>
        </is>
      </c>
      <c r="E591" s="33" t="inlineStr">
        <is>
          <t>375606</t>
        </is>
      </c>
      <c r="F591" s="33" t="inlineStr">
        <is>
          <t>123832527</t>
        </is>
      </c>
      <c r="G591" s="51" t="n">
        <v>41622</v>
      </c>
      <c r="H591" s="33" t="inlineStr">
        <is>
          <t>Scottish National S.C.Open Championships</t>
        </is>
      </c>
      <c r="I591" s="33" t="inlineStr">
        <is>
          <t>301132</t>
        </is>
      </c>
      <c r="J591" s="33" t="inlineStr"/>
      <c r="K591" s="33" t="inlineStr">
        <is>
          <t>FIN</t>
        </is>
      </c>
      <c r="L591" s="35">
        <f>IF(K591="FIN",3,IF(OR(K591="SEM",K591="SEMI"),2,IF(OR(K591="PRE",K591="HEAT"),1,IF(V591="YES",4,2))))</f>
        <v/>
      </c>
      <c r="M591" s="33" t="inlineStr">
        <is>
          <t>SCM</t>
        </is>
      </c>
      <c r="N591" s="33" t="n">
        <v>100</v>
      </c>
      <c r="O591" s="33" t="inlineStr">
        <is>
          <t>Free</t>
        </is>
      </c>
      <c r="P591" s="33" t="inlineStr">
        <is>
          <t>100 Free</t>
        </is>
      </c>
      <c r="Q591" s="33" t="inlineStr">
        <is>
          <t>SCM_100_FREE</t>
        </is>
      </c>
      <c r="R591" s="36" t="n">
        <v>50.52</v>
      </c>
      <c r="S591" s="35">
        <f>IF(R591="","",IF(R591&gt;=60,INT(R591/60)&amp;":"&amp;TEXT(MOD(R591,60),"00.00"),TEXT(R591,"0.00")))</f>
        <v/>
      </c>
      <c r="T591" s="52">
        <f>IFERROR((G591-INDEX('01_Swimmers'!$E$5:$E$22,MATCH(B591,'01_Swimmers'!$A$5:$A$22,0)))/'00_Control'!$B$10,"")</f>
        <v/>
      </c>
      <c r="U591" s="35">
        <f>IF(T591="","",INT(T591))</f>
        <v/>
      </c>
      <c r="V591" s="33" t="inlineStr">
        <is>
          <t>NO</t>
        </is>
      </c>
      <c r="W591" s="33" t="inlineStr">
        <is>
          <t>YES</t>
        </is>
      </c>
      <c r="X591" s="33" t="inlineStr">
        <is>
          <t>NO</t>
        </is>
      </c>
      <c r="Y591" s="33" t="n">
        <v>1</v>
      </c>
      <c r="Z591" s="33" t="n">
        <v>7</v>
      </c>
      <c r="AA591" s="33" t="inlineStr">
        <is>
          <t>8</t>
        </is>
      </c>
      <c r="AB591" s="33" t="inlineStr">
        <is>
          <t>https://www.swimcloud.com/results/301132/event/210/?id=123832527#time123832527</t>
        </is>
      </c>
      <c r="AC591" s="33" t="inlineStr">
        <is>
          <t>SwimCloud API v6 2026-10-08</t>
        </is>
      </c>
      <c r="AD591" s="33" t="inlineStr">
        <is>
          <t>Duncan Scott|2013-12-14|SCM|100|Free|50.52|Scottish National S.C.Open Championships|FIN|False</t>
        </is>
      </c>
      <c r="AE591" s="53">
        <f>G591+L591/1000+ROW()/1000000000</f>
        <v/>
      </c>
      <c r="AF591" s="35">
        <f>IF(C591&lt;&gt;"Grayson Coulter","",COUNTIFS($C$5:$C$2991,"Grayson Coulter",$Q$5:$Q$2991,Q591,$AE$5:$AE$2991,"&lt;="&amp;AE591,$R$5:$R$2991,"&lt;"&amp;R591))</f>
        <v/>
      </c>
      <c r="AG591" s="35">
        <f>IF(OR(C591&lt;&gt;"Grayson Coulter",G591&lt;'00_Control'!$B$7),"",--(AF591&lt;5))</f>
        <v/>
      </c>
      <c r="AH591" s="35">
        <f>IF(OR(C591&lt;&gt;"Grayson Coulter",G591&lt;'00_Control'!$B$7),"",--(AF591&lt;10))</f>
        <v/>
      </c>
      <c r="AI591" s="35">
        <f>IF(AND(C591="Grayson Coulter",G591&gt;='00_Control'!$B$7),"YES","NO")</f>
        <v/>
      </c>
      <c r="AJ591" s="33" t="inlineStr">
        <is>
          <t>OK</t>
        </is>
      </c>
    </row>
    <row r="592">
      <c r="A592" s="33" t="inlineStr">
        <is>
          <t>SM000588</t>
        </is>
      </c>
      <c r="B592" s="33" t="inlineStr">
        <is>
          <t>SW016</t>
        </is>
      </c>
      <c r="C592" s="33" t="inlineStr">
        <is>
          <t>Duncan Scott</t>
        </is>
      </c>
      <c r="D592" s="33" t="inlineStr">
        <is>
          <t>SwimCloud</t>
        </is>
      </c>
      <c r="E592" s="33" t="inlineStr">
        <is>
          <t>375606</t>
        </is>
      </c>
      <c r="F592" s="33" t="inlineStr">
        <is>
          <t>123834959</t>
        </is>
      </c>
      <c r="G592" s="51" t="n">
        <v>41623</v>
      </c>
      <c r="H592" s="33" t="inlineStr">
        <is>
          <t>Scottish National S.C.Open Championships</t>
        </is>
      </c>
      <c r="I592" s="33" t="inlineStr">
        <is>
          <t>301132</t>
        </is>
      </c>
      <c r="J592" s="33" t="inlineStr"/>
      <c r="K592" s="33" t="inlineStr">
        <is>
          <t>TIM</t>
        </is>
      </c>
      <c r="L592" s="35">
        <f>IF(K592="FIN",3,IF(OR(K592="SEM",K592="SEMI"),2,IF(OR(K592="PRE",K592="HEAT"),1,IF(V592="YES",4,2))))</f>
        <v/>
      </c>
      <c r="M592" s="33" t="inlineStr">
        <is>
          <t>SCM</t>
        </is>
      </c>
      <c r="N592" s="33" t="n">
        <v>100</v>
      </c>
      <c r="O592" s="33" t="inlineStr">
        <is>
          <t>Free</t>
        </is>
      </c>
      <c r="P592" s="33" t="inlineStr">
        <is>
          <t>100 Free</t>
        </is>
      </c>
      <c r="Q592" s="33" t="inlineStr">
        <is>
          <t>SCM_100_FREE</t>
        </is>
      </c>
      <c r="R592" s="36" t="n">
        <v>49.89</v>
      </c>
      <c r="S592" s="35">
        <f>IF(R592="","",IF(R592&gt;=60,INT(R592/60)&amp;":"&amp;TEXT(MOD(R592,60),"00.00"),TEXT(R592,"0.00")))</f>
        <v/>
      </c>
      <c r="T592" s="52">
        <f>IFERROR((G592-INDEX('01_Swimmers'!$E$5:$E$22,MATCH(B592,'01_Swimmers'!$A$5:$A$22,0)))/'00_Control'!$B$10,"")</f>
        <v/>
      </c>
      <c r="U592" s="35">
        <f>IF(T592="","",INT(T592))</f>
        <v/>
      </c>
      <c r="V592" s="33" t="inlineStr">
        <is>
          <t>YES</t>
        </is>
      </c>
      <c r="W592" s="33" t="inlineStr">
        <is>
          <t>YES</t>
        </is>
      </c>
      <c r="X592" s="33" t="inlineStr">
        <is>
          <t>NO</t>
        </is>
      </c>
      <c r="Y592" s="33" t="n">
        <v>5</v>
      </c>
      <c r="Z592" s="33" t="n">
        <v>7</v>
      </c>
      <c r="AA592" s="33" t="inlineStr"/>
      <c r="AB592" s="33" t="inlineStr">
        <is>
          <t>https://www.swimcloud.com/results/301132/event/314/?id=123833801#time123833801</t>
        </is>
      </c>
      <c r="AC592" s="33" t="inlineStr">
        <is>
          <t>SwimCloud API v6 2026-10-08</t>
        </is>
      </c>
      <c r="AD592" s="33" t="inlineStr">
        <is>
          <t>Duncan Scott|2013-12-15|SCM|100|Free|49.89|Scottish National S.C.Open Championships|TIM|True</t>
        </is>
      </c>
      <c r="AE592" s="53">
        <f>G592+L592/1000+ROW()/1000000000</f>
        <v/>
      </c>
      <c r="AF592" s="35">
        <f>IF(C592&lt;&gt;"Grayson Coulter","",COUNTIFS($C$5:$C$2991,"Grayson Coulter",$Q$5:$Q$2991,Q592,$AE$5:$AE$2991,"&lt;="&amp;AE592,$R$5:$R$2991,"&lt;"&amp;R592))</f>
        <v/>
      </c>
      <c r="AG592" s="35">
        <f>IF(OR(C592&lt;&gt;"Grayson Coulter",G592&lt;'00_Control'!$B$7),"",--(AF592&lt;5))</f>
        <v/>
      </c>
      <c r="AH592" s="35">
        <f>IF(OR(C592&lt;&gt;"Grayson Coulter",G592&lt;'00_Control'!$B$7),"",--(AF592&lt;10))</f>
        <v/>
      </c>
      <c r="AI592" s="35">
        <f>IF(AND(C592="Grayson Coulter",G592&gt;='00_Control'!$B$7),"YES","NO")</f>
        <v/>
      </c>
      <c r="AJ592" s="33" t="inlineStr">
        <is>
          <t>OK</t>
        </is>
      </c>
    </row>
    <row r="593">
      <c r="A593" s="33" t="inlineStr">
        <is>
          <t>SM000589</t>
        </is>
      </c>
      <c r="B593" s="33" t="inlineStr">
        <is>
          <t>SW016</t>
        </is>
      </c>
      <c r="C593" s="33" t="inlineStr">
        <is>
          <t>Duncan Scott</t>
        </is>
      </c>
      <c r="D593" s="33" t="inlineStr">
        <is>
          <t>SwimCloud</t>
        </is>
      </c>
      <c r="E593" s="33" t="inlineStr">
        <is>
          <t>375606</t>
        </is>
      </c>
      <c r="F593" s="33" t="inlineStr">
        <is>
          <t>123832022</t>
        </is>
      </c>
      <c r="G593" s="51" t="n">
        <v>41623</v>
      </c>
      <c r="H593" s="33" t="inlineStr">
        <is>
          <t>Scottish National S.C.Open Championships</t>
        </is>
      </c>
      <c r="I593" s="33" t="inlineStr">
        <is>
          <t>301132</t>
        </is>
      </c>
      <c r="J593" s="33" t="inlineStr"/>
      <c r="K593" s="33" t="inlineStr">
        <is>
          <t>PRE</t>
        </is>
      </c>
      <c r="L593" s="35">
        <f>IF(K593="FIN",3,IF(OR(K593="SEM",K593="SEMI"),2,IF(OR(K593="PRE",K593="HEAT"),1,IF(V593="YES",4,2))))</f>
        <v/>
      </c>
      <c r="M593" s="33" t="inlineStr">
        <is>
          <t>SCM</t>
        </is>
      </c>
      <c r="N593" s="33" t="n">
        <v>200</v>
      </c>
      <c r="O593" s="33" t="inlineStr">
        <is>
          <t>Free</t>
        </is>
      </c>
      <c r="P593" s="33" t="inlineStr">
        <is>
          <t>200 Free</t>
        </is>
      </c>
      <c r="Q593" s="33" t="inlineStr">
        <is>
          <t>SCM_200_FREE</t>
        </is>
      </c>
      <c r="R593" s="36" t="n">
        <v>108.02</v>
      </c>
      <c r="S593" s="35">
        <f>IF(R593="","",IF(R593&gt;=60,INT(R593/60)&amp;":"&amp;TEXT(MOD(R593,60),"00.00"),TEXT(R593,"0.00")))</f>
        <v/>
      </c>
      <c r="T593" s="52">
        <f>IFERROR((G593-INDEX('01_Swimmers'!$E$5:$E$22,MATCH(B593,'01_Swimmers'!$A$5:$A$22,0)))/'00_Control'!$B$10,"")</f>
        <v/>
      </c>
      <c r="U593" s="35">
        <f>IF(T593="","",INT(T593))</f>
        <v/>
      </c>
      <c r="V593" s="33" t="inlineStr">
        <is>
          <t>NO</t>
        </is>
      </c>
      <c r="W593" s="33" t="inlineStr">
        <is>
          <t>YES</t>
        </is>
      </c>
      <c r="X593" s="33" t="inlineStr">
        <is>
          <t>NO</t>
        </is>
      </c>
      <c r="Y593" s="33" t="n">
        <v>7</v>
      </c>
      <c r="Z593" s="33" t="n">
        <v>6</v>
      </c>
      <c r="AA593" s="33" t="inlineStr">
        <is>
          <t>6</t>
        </is>
      </c>
      <c r="AB593" s="33" t="inlineStr">
        <is>
          <t>https://www.swimcloud.com/results/301132/event/306/?id=123832022#time123832022</t>
        </is>
      </c>
      <c r="AC593" s="33" t="inlineStr">
        <is>
          <t>SwimCloud API v6 2026-10-08</t>
        </is>
      </c>
      <c r="AD593" s="33" t="inlineStr">
        <is>
          <t>Duncan Scott|2013-12-15|SCM|200|Free|108.02|Scottish National S.C.Open Championships|PRE|False</t>
        </is>
      </c>
      <c r="AE593" s="53">
        <f>G593+L593/1000+ROW()/1000000000</f>
        <v/>
      </c>
      <c r="AF593" s="35">
        <f>IF(C593&lt;&gt;"Grayson Coulter","",COUNTIFS($C$5:$C$2991,"Grayson Coulter",$Q$5:$Q$2991,Q593,$AE$5:$AE$2991,"&lt;="&amp;AE593,$R$5:$R$2991,"&lt;"&amp;R593))</f>
        <v/>
      </c>
      <c r="AG593" s="35">
        <f>IF(OR(C593&lt;&gt;"Grayson Coulter",G593&lt;'00_Control'!$B$7),"",--(AF593&lt;5))</f>
        <v/>
      </c>
      <c r="AH593" s="35">
        <f>IF(OR(C593&lt;&gt;"Grayson Coulter",G593&lt;'00_Control'!$B$7),"",--(AF593&lt;10))</f>
        <v/>
      </c>
      <c r="AI593" s="35">
        <f>IF(AND(C593="Grayson Coulter",G593&gt;='00_Control'!$B$7),"YES","NO")</f>
        <v/>
      </c>
      <c r="AJ593" s="33" t="inlineStr">
        <is>
          <t>OK</t>
        </is>
      </c>
    </row>
    <row r="594">
      <c r="A594" s="33" t="inlineStr">
        <is>
          <t>SM000590</t>
        </is>
      </c>
      <c r="B594" s="33" t="inlineStr">
        <is>
          <t>SW016</t>
        </is>
      </c>
      <c r="C594" s="33" t="inlineStr">
        <is>
          <t>Duncan Scott</t>
        </is>
      </c>
      <c r="D594" s="33" t="inlineStr">
        <is>
          <t>SwimCloud</t>
        </is>
      </c>
      <c r="E594" s="33" t="inlineStr">
        <is>
          <t>375606</t>
        </is>
      </c>
      <c r="F594" s="33" t="inlineStr">
        <is>
          <t>123832023</t>
        </is>
      </c>
      <c r="G594" s="51" t="n">
        <v>41623</v>
      </c>
      <c r="H594" s="33" t="inlineStr">
        <is>
          <t>Scottish National S.C.Open Championships</t>
        </is>
      </c>
      <c r="I594" s="33" t="inlineStr">
        <is>
          <t>301132</t>
        </is>
      </c>
      <c r="J594" s="33" t="inlineStr"/>
      <c r="K594" s="33" t="inlineStr">
        <is>
          <t>FIN</t>
        </is>
      </c>
      <c r="L594" s="35">
        <f>IF(K594="FIN",3,IF(OR(K594="SEM",K594="SEMI"),2,IF(OR(K594="PRE",K594="HEAT"),1,IF(V594="YES",4,2))))</f>
        <v/>
      </c>
      <c r="M594" s="33" t="inlineStr">
        <is>
          <t>SCM</t>
        </is>
      </c>
      <c r="N594" s="33" t="n">
        <v>200</v>
      </c>
      <c r="O594" s="33" t="inlineStr">
        <is>
          <t>Free</t>
        </is>
      </c>
      <c r="P594" s="33" t="inlineStr">
        <is>
          <t>200 Free</t>
        </is>
      </c>
      <c r="Q594" s="33" t="inlineStr">
        <is>
          <t>SCM_200_FREE</t>
        </is>
      </c>
      <c r="R594" s="36" t="n">
        <v>109.79</v>
      </c>
      <c r="S594" s="35">
        <f>IF(R594="","",IF(R594&gt;=60,INT(R594/60)&amp;":"&amp;TEXT(MOD(R594,60),"00.00"),TEXT(R594,"0.00")))</f>
        <v/>
      </c>
      <c r="T594" s="52">
        <f>IFERROR((G594-INDEX('01_Swimmers'!$E$5:$E$22,MATCH(B594,'01_Swimmers'!$A$5:$A$22,0)))/'00_Control'!$B$10,"")</f>
        <v/>
      </c>
      <c r="U594" s="35">
        <f>IF(T594="","",INT(T594))</f>
        <v/>
      </c>
      <c r="V594" s="33" t="inlineStr">
        <is>
          <t>NO</t>
        </is>
      </c>
      <c r="W594" s="33" t="inlineStr">
        <is>
          <t>YES</t>
        </is>
      </c>
      <c r="X594" s="33" t="inlineStr">
        <is>
          <t>NO</t>
        </is>
      </c>
      <c r="Y594" s="33" t="n">
        <v>1</v>
      </c>
      <c r="Z594" s="33" t="n">
        <v>7</v>
      </c>
      <c r="AA594" s="33" t="inlineStr">
        <is>
          <t>8</t>
        </is>
      </c>
      <c r="AB594" s="33" t="inlineStr">
        <is>
          <t>https://www.swimcloud.com/results/301132/event/306/?id=123832023#time123832023</t>
        </is>
      </c>
      <c r="AC594" s="33" t="inlineStr">
        <is>
          <t>SwimCloud API v6 2026-10-08</t>
        </is>
      </c>
      <c r="AD594" s="33" t="inlineStr">
        <is>
          <t>Duncan Scott|2013-12-15|SCM|200|Free|109.79|Scottish National S.C.Open Championships|FIN|False</t>
        </is>
      </c>
      <c r="AE594" s="53">
        <f>G594+L594/1000+ROW()/1000000000</f>
        <v/>
      </c>
      <c r="AF594" s="35">
        <f>IF(C594&lt;&gt;"Grayson Coulter","",COUNTIFS($C$5:$C$2991,"Grayson Coulter",$Q$5:$Q$2991,Q594,$AE$5:$AE$2991,"&lt;="&amp;AE594,$R$5:$R$2991,"&lt;"&amp;R594))</f>
        <v/>
      </c>
      <c r="AG594" s="35">
        <f>IF(OR(C594&lt;&gt;"Grayson Coulter",G594&lt;'00_Control'!$B$7),"",--(AF594&lt;5))</f>
        <v/>
      </c>
      <c r="AH594" s="35">
        <f>IF(OR(C594&lt;&gt;"Grayson Coulter",G594&lt;'00_Control'!$B$7),"",--(AF594&lt;10))</f>
        <v/>
      </c>
      <c r="AI594" s="35">
        <f>IF(AND(C594="Grayson Coulter",G594&gt;='00_Control'!$B$7),"YES","NO")</f>
        <v/>
      </c>
      <c r="AJ594" s="33" t="inlineStr">
        <is>
          <t>OK</t>
        </is>
      </c>
    </row>
    <row r="595">
      <c r="A595" s="33" t="inlineStr">
        <is>
          <t>SM000591</t>
        </is>
      </c>
      <c r="B595" s="33" t="inlineStr">
        <is>
          <t>SW016</t>
        </is>
      </c>
      <c r="C595" s="33" t="inlineStr">
        <is>
          <t>Duncan Scott</t>
        </is>
      </c>
      <c r="D595" s="33" t="inlineStr">
        <is>
          <t>SwimCloud</t>
        </is>
      </c>
      <c r="E595" s="33" t="inlineStr">
        <is>
          <t>375606</t>
        </is>
      </c>
      <c r="F595" s="33" t="inlineStr">
        <is>
          <t>124370136</t>
        </is>
      </c>
      <c r="G595" s="51" t="n">
        <v>41732</v>
      </c>
      <c r="H595" s="33" t="inlineStr">
        <is>
          <t>Scottish Gas National Open Championship</t>
        </is>
      </c>
      <c r="I595" s="33" t="inlineStr">
        <is>
          <t>301863</t>
        </is>
      </c>
      <c r="J595" s="33" t="inlineStr"/>
      <c r="K595" s="33" t="inlineStr">
        <is>
          <t>PRE</t>
        </is>
      </c>
      <c r="L595" s="35">
        <f>IF(K595="FIN",3,IF(OR(K595="SEM",K595="SEMI"),2,IF(OR(K595="PRE",K595="HEAT"),1,IF(V595="YES",4,2))))</f>
        <v/>
      </c>
      <c r="M595" s="33" t="inlineStr">
        <is>
          <t>LCM</t>
        </is>
      </c>
      <c r="N595" s="33" t="n">
        <v>100</v>
      </c>
      <c r="O595" s="33" t="inlineStr">
        <is>
          <t>Free</t>
        </is>
      </c>
      <c r="P595" s="33" t="inlineStr">
        <is>
          <t>100 Free</t>
        </is>
      </c>
      <c r="Q595" s="33" t="inlineStr">
        <is>
          <t>LCM_100_FREE</t>
        </is>
      </c>
      <c r="R595" s="36" t="n">
        <v>50.98</v>
      </c>
      <c r="S595" s="35">
        <f>IF(R595="","",IF(R595&gt;=60,INT(R595/60)&amp;":"&amp;TEXT(MOD(R595,60),"00.00"),TEXT(R595,"0.00")))</f>
        <v/>
      </c>
      <c r="T595" s="52">
        <f>IFERROR((G595-INDEX('01_Swimmers'!$E$5:$E$22,MATCH(B595,'01_Swimmers'!$A$5:$A$22,0)))/'00_Control'!$B$10,"")</f>
        <v/>
      </c>
      <c r="U595" s="35">
        <f>IF(T595="","",INT(T595))</f>
        <v/>
      </c>
      <c r="V595" s="33" t="inlineStr">
        <is>
          <t>NO</t>
        </is>
      </c>
      <c r="W595" s="33" t="inlineStr">
        <is>
          <t>YES</t>
        </is>
      </c>
      <c r="X595" s="33" t="inlineStr">
        <is>
          <t>NO</t>
        </is>
      </c>
      <c r="Y595" s="33" t="n">
        <v>7</v>
      </c>
      <c r="Z595" s="33" t="n">
        <v>7</v>
      </c>
      <c r="AA595" s="33" t="inlineStr">
        <is>
          <t>7</t>
        </is>
      </c>
      <c r="AB595" s="33" t="inlineStr">
        <is>
          <t>https://www.swimcloud.com/results/301863/event/102/?id=124370136#time124370136</t>
        </is>
      </c>
      <c r="AC595" s="33" t="inlineStr">
        <is>
          <t>SwimCloud API v6 2026-10-08</t>
        </is>
      </c>
      <c r="AD595" s="33" t="inlineStr">
        <is>
          <t>Duncan Scott|2014-04-03|LCM|100|Free|50.98|Scottish Gas National Open Championship|PRE|False</t>
        </is>
      </c>
      <c r="AE595" s="53">
        <f>G595+L595/1000+ROW()/1000000000</f>
        <v/>
      </c>
      <c r="AF595" s="35">
        <f>IF(C595&lt;&gt;"Grayson Coulter","",COUNTIFS($C$5:$C$2991,"Grayson Coulter",$Q$5:$Q$2991,Q595,$AE$5:$AE$2991,"&lt;="&amp;AE595,$R$5:$R$2991,"&lt;"&amp;R595))</f>
        <v/>
      </c>
      <c r="AG595" s="35">
        <f>IF(OR(C595&lt;&gt;"Grayson Coulter",G595&lt;'00_Control'!$B$7),"",--(AF595&lt;5))</f>
        <v/>
      </c>
      <c r="AH595" s="35">
        <f>IF(OR(C595&lt;&gt;"Grayson Coulter",G595&lt;'00_Control'!$B$7),"",--(AF595&lt;10))</f>
        <v/>
      </c>
      <c r="AI595" s="35">
        <f>IF(AND(C595="Grayson Coulter",G595&gt;='00_Control'!$B$7),"YES","NO")</f>
        <v/>
      </c>
      <c r="AJ595" s="33" t="inlineStr">
        <is>
          <t>OK</t>
        </is>
      </c>
    </row>
    <row r="596">
      <c r="A596" s="33" t="inlineStr">
        <is>
          <t>SM000592</t>
        </is>
      </c>
      <c r="B596" s="33" t="inlineStr">
        <is>
          <t>SW016</t>
        </is>
      </c>
      <c r="C596" s="33" t="inlineStr">
        <is>
          <t>Duncan Scott</t>
        </is>
      </c>
      <c r="D596" s="33" t="inlineStr">
        <is>
          <t>SwimCloud</t>
        </is>
      </c>
      <c r="E596" s="33" t="inlineStr">
        <is>
          <t>375606</t>
        </is>
      </c>
      <c r="F596" s="33" t="inlineStr">
        <is>
          <t>124370137</t>
        </is>
      </c>
      <c r="G596" s="51" t="n">
        <v>41732</v>
      </c>
      <c r="H596" s="33" t="inlineStr">
        <is>
          <t>Scottish Gas National Open Championship</t>
        </is>
      </c>
      <c r="I596" s="33" t="inlineStr">
        <is>
          <t>301863</t>
        </is>
      </c>
      <c r="J596" s="33" t="inlineStr"/>
      <c r="K596" s="33" t="inlineStr">
        <is>
          <t>FIN</t>
        </is>
      </c>
      <c r="L596" s="35">
        <f>IF(K596="FIN",3,IF(OR(K596="SEM",K596="SEMI"),2,IF(OR(K596="PRE",K596="HEAT"),1,IF(V596="YES",4,2))))</f>
        <v/>
      </c>
      <c r="M596" s="33" t="inlineStr">
        <is>
          <t>LCM</t>
        </is>
      </c>
      <c r="N596" s="33" t="n">
        <v>100</v>
      </c>
      <c r="O596" s="33" t="inlineStr">
        <is>
          <t>Free</t>
        </is>
      </c>
      <c r="P596" s="33" t="inlineStr">
        <is>
          <t>100 Free</t>
        </is>
      </c>
      <c r="Q596" s="33" t="inlineStr">
        <is>
          <t>LCM_100_FREE</t>
        </is>
      </c>
      <c r="R596" s="36" t="n">
        <v>50.86</v>
      </c>
      <c r="S596" s="35">
        <f>IF(R596="","",IF(R596&gt;=60,INT(R596/60)&amp;":"&amp;TEXT(MOD(R596,60),"00.00"),TEXT(R596,"0.00")))</f>
        <v/>
      </c>
      <c r="T596" s="52">
        <f>IFERROR((G596-INDEX('01_Swimmers'!$E$5:$E$22,MATCH(B596,'01_Swimmers'!$A$5:$A$22,0)))/'00_Control'!$B$10,"")</f>
        <v/>
      </c>
      <c r="U596" s="35">
        <f>IF(T596="","",INT(T596))</f>
        <v/>
      </c>
      <c r="V596" s="33" t="inlineStr">
        <is>
          <t>NO</t>
        </is>
      </c>
      <c r="W596" s="33" t="inlineStr">
        <is>
          <t>YES</t>
        </is>
      </c>
      <c r="X596" s="33" t="inlineStr">
        <is>
          <t>NO</t>
        </is>
      </c>
      <c r="Y596" s="33" t="n">
        <v>3</v>
      </c>
      <c r="Z596" s="33" t="n">
        <v>7</v>
      </c>
      <c r="AA596" s="33" t="inlineStr">
        <is>
          <t>6</t>
        </is>
      </c>
      <c r="AB596" s="33" t="inlineStr">
        <is>
          <t>https://www.swimcloud.com/results/301863/event/102/?id=124370137#time124370137</t>
        </is>
      </c>
      <c r="AC596" s="33" t="inlineStr">
        <is>
          <t>SwimCloud API v6 2026-10-08</t>
        </is>
      </c>
      <c r="AD596" s="33" t="inlineStr">
        <is>
          <t>Duncan Scott|2014-04-03|LCM|100|Free|50.86|Scottish Gas National Open Championship|FIN|False</t>
        </is>
      </c>
      <c r="AE596" s="53">
        <f>G596+L596/1000+ROW()/1000000000</f>
        <v/>
      </c>
      <c r="AF596" s="35">
        <f>IF(C596&lt;&gt;"Grayson Coulter","",COUNTIFS($C$5:$C$2991,"Grayson Coulter",$Q$5:$Q$2991,Q596,$AE$5:$AE$2991,"&lt;="&amp;AE596,$R$5:$R$2991,"&lt;"&amp;R596))</f>
        <v/>
      </c>
      <c r="AG596" s="35">
        <f>IF(OR(C596&lt;&gt;"Grayson Coulter",G596&lt;'00_Control'!$B$7),"",--(AF596&lt;5))</f>
        <v/>
      </c>
      <c r="AH596" s="35">
        <f>IF(OR(C596&lt;&gt;"Grayson Coulter",G596&lt;'00_Control'!$B$7),"",--(AF596&lt;10))</f>
        <v/>
      </c>
      <c r="AI596" s="35">
        <f>IF(AND(C596="Grayson Coulter",G596&gt;='00_Control'!$B$7),"YES","NO")</f>
        <v/>
      </c>
      <c r="AJ596" s="33" t="inlineStr">
        <is>
          <t>OK</t>
        </is>
      </c>
    </row>
    <row r="597">
      <c r="A597" s="33" t="inlineStr">
        <is>
          <t>SM000593</t>
        </is>
      </c>
      <c r="B597" s="33" t="inlineStr">
        <is>
          <t>SW016</t>
        </is>
      </c>
      <c r="C597" s="33" t="inlineStr">
        <is>
          <t>Duncan Scott</t>
        </is>
      </c>
      <c r="D597" s="33" t="inlineStr">
        <is>
          <t>SwimCloud</t>
        </is>
      </c>
      <c r="E597" s="33" t="inlineStr">
        <is>
          <t>375606</t>
        </is>
      </c>
      <c r="F597" s="33" t="inlineStr">
        <is>
          <t>124375338</t>
        </is>
      </c>
      <c r="G597" s="51" t="n">
        <v>41735</v>
      </c>
      <c r="H597" s="33" t="inlineStr">
        <is>
          <t>Scottish Gas National Open Championship</t>
        </is>
      </c>
      <c r="I597" s="33" t="inlineStr">
        <is>
          <t>301863</t>
        </is>
      </c>
      <c r="J597" s="33" t="inlineStr"/>
      <c r="K597" s="33" t="inlineStr">
        <is>
          <t>PRE</t>
        </is>
      </c>
      <c r="L597" s="35">
        <f>IF(K597="FIN",3,IF(OR(K597="SEM",K597="SEMI"),2,IF(OR(K597="PRE",K597="HEAT"),1,IF(V597="YES",4,2))))</f>
        <v/>
      </c>
      <c r="M597" s="33" t="inlineStr">
        <is>
          <t>LCM</t>
        </is>
      </c>
      <c r="N597" s="33" t="n">
        <v>100</v>
      </c>
      <c r="O597" s="33" t="inlineStr">
        <is>
          <t>Fly</t>
        </is>
      </c>
      <c r="P597" s="33" t="inlineStr">
        <is>
          <t>100 Fly</t>
        </is>
      </c>
      <c r="Q597" s="33" t="inlineStr">
        <is>
          <t>LCM_100_FLY</t>
        </is>
      </c>
      <c r="R597" s="36" t="n">
        <v>60.96</v>
      </c>
      <c r="S597" s="35">
        <f>IF(R597="","",IF(R597&gt;=60,INT(R597/60)&amp;":"&amp;TEXT(MOD(R597,60),"00.00"),TEXT(R597,"0.00")))</f>
        <v/>
      </c>
      <c r="T597" s="52">
        <f>IFERROR((G597-INDEX('01_Swimmers'!$E$5:$E$22,MATCH(B597,'01_Swimmers'!$A$5:$A$22,0)))/'00_Control'!$B$10,"")</f>
        <v/>
      </c>
      <c r="U597" s="35">
        <f>IF(T597="","",INT(T597))</f>
        <v/>
      </c>
      <c r="V597" s="33" t="inlineStr">
        <is>
          <t>NO</t>
        </is>
      </c>
      <c r="W597" s="33" t="inlineStr">
        <is>
          <t>YES</t>
        </is>
      </c>
      <c r="X597" s="33" t="inlineStr">
        <is>
          <t>NO</t>
        </is>
      </c>
      <c r="Y597" s="33" t="n">
        <v>5</v>
      </c>
      <c r="Z597" s="33" t="n">
        <v>3</v>
      </c>
      <c r="AA597" s="33" t="inlineStr"/>
      <c r="AB597" s="33" t="inlineStr">
        <is>
          <t>https://www.swimcloud.com/results/301863/event/407/?id=124368382#time124368382</t>
        </is>
      </c>
      <c r="AC597" s="33" t="inlineStr">
        <is>
          <t>SwimCloud API v6 2026-10-08</t>
        </is>
      </c>
      <c r="AD597" s="33" t="inlineStr">
        <is>
          <t>Duncan Scott|2014-04-06|LCM|100|Fly|60.96|Scottish Gas National Open Championship|PRE|False</t>
        </is>
      </c>
      <c r="AE597" s="53">
        <f>G597+L597/1000+ROW()/1000000000</f>
        <v/>
      </c>
      <c r="AF597" s="35">
        <f>IF(C597&lt;&gt;"Grayson Coulter","",COUNTIFS($C$5:$C$2991,"Grayson Coulter",$Q$5:$Q$2991,Q597,$AE$5:$AE$2991,"&lt;="&amp;AE597,$R$5:$R$2991,"&lt;"&amp;R597))</f>
        <v/>
      </c>
      <c r="AG597" s="35">
        <f>IF(OR(C597&lt;&gt;"Grayson Coulter",G597&lt;'00_Control'!$B$7),"",--(AF597&lt;5))</f>
        <v/>
      </c>
      <c r="AH597" s="35">
        <f>IF(OR(C597&lt;&gt;"Grayson Coulter",G597&lt;'00_Control'!$B$7),"",--(AF597&lt;10))</f>
        <v/>
      </c>
      <c r="AI597" s="35">
        <f>IF(AND(C597="Grayson Coulter",G597&gt;='00_Control'!$B$7),"YES","NO")</f>
        <v/>
      </c>
      <c r="AJ597" s="33" t="inlineStr">
        <is>
          <t>OK</t>
        </is>
      </c>
    </row>
    <row r="598">
      <c r="A598" s="33" t="inlineStr">
        <is>
          <t>SM000594</t>
        </is>
      </c>
      <c r="B598" s="33" t="inlineStr">
        <is>
          <t>SW016</t>
        </is>
      </c>
      <c r="C598" s="33" t="inlineStr">
        <is>
          <t>Duncan Scott</t>
        </is>
      </c>
      <c r="D598" s="33" t="inlineStr">
        <is>
          <t>SwimCloud</t>
        </is>
      </c>
      <c r="E598" s="33" t="inlineStr">
        <is>
          <t>375606</t>
        </is>
      </c>
      <c r="F598" s="33" t="inlineStr">
        <is>
          <t>124375332</t>
        </is>
      </c>
      <c r="G598" s="51" t="n">
        <v>41735</v>
      </c>
      <c r="H598" s="33" t="inlineStr">
        <is>
          <t>Scottish Gas National Open Championship</t>
        </is>
      </c>
      <c r="I598" s="33" t="inlineStr">
        <is>
          <t>301863</t>
        </is>
      </c>
      <c r="J598" s="33" t="inlineStr"/>
      <c r="K598" s="33" t="inlineStr">
        <is>
          <t>FIN</t>
        </is>
      </c>
      <c r="L598" s="35">
        <f>IF(K598="FIN",3,IF(OR(K598="SEM",K598="SEMI"),2,IF(OR(K598="PRE",K598="HEAT"),1,IF(V598="YES",4,2))))</f>
        <v/>
      </c>
      <c r="M598" s="33" t="inlineStr">
        <is>
          <t>LCM</t>
        </is>
      </c>
      <c r="N598" s="33" t="n">
        <v>100</v>
      </c>
      <c r="O598" s="33" t="inlineStr">
        <is>
          <t>Fly</t>
        </is>
      </c>
      <c r="P598" s="33" t="inlineStr">
        <is>
          <t>100 Fly</t>
        </is>
      </c>
      <c r="Q598" s="33" t="inlineStr">
        <is>
          <t>LCM_100_FLY</t>
        </is>
      </c>
      <c r="R598" s="36" t="n">
        <v>59.7</v>
      </c>
      <c r="S598" s="35">
        <f>IF(R598="","",IF(R598&gt;=60,INT(R598/60)&amp;":"&amp;TEXT(MOD(R598,60),"00.00"),TEXT(R598,"0.00")))</f>
        <v/>
      </c>
      <c r="T598" s="52">
        <f>IFERROR((G598-INDEX('01_Swimmers'!$E$5:$E$22,MATCH(B598,'01_Swimmers'!$A$5:$A$22,0)))/'00_Control'!$B$10,"")</f>
        <v/>
      </c>
      <c r="U598" s="35">
        <f>IF(T598="","",INT(T598))</f>
        <v/>
      </c>
      <c r="V598" s="33" t="inlineStr">
        <is>
          <t>NO</t>
        </is>
      </c>
      <c r="W598" s="33" t="inlineStr">
        <is>
          <t>YES</t>
        </is>
      </c>
      <c r="X598" s="33" t="inlineStr">
        <is>
          <t>NO</t>
        </is>
      </c>
      <c r="Y598" s="33" t="n">
        <v>2</v>
      </c>
      <c r="Z598" s="33" t="n">
        <v>6</v>
      </c>
      <c r="AA598" s="33" t="inlineStr"/>
      <c r="AB598" s="33" t="inlineStr">
        <is>
          <t>https://www.swimcloud.com/results/301863/event/407/?id=124368383#time124368383</t>
        </is>
      </c>
      <c r="AC598" s="33" t="inlineStr">
        <is>
          <t>SwimCloud API v6 2026-10-08</t>
        </is>
      </c>
      <c r="AD598" s="33" t="inlineStr">
        <is>
          <t>Duncan Scott|2014-04-06|LCM|100|Fly|59.7|Scottish Gas National Open Championship|FIN|False</t>
        </is>
      </c>
      <c r="AE598" s="53">
        <f>G598+L598/1000+ROW()/1000000000</f>
        <v/>
      </c>
      <c r="AF598" s="35">
        <f>IF(C598&lt;&gt;"Grayson Coulter","",COUNTIFS($C$5:$C$2991,"Grayson Coulter",$Q$5:$Q$2991,Q598,$AE$5:$AE$2991,"&lt;="&amp;AE598,$R$5:$R$2991,"&lt;"&amp;R598))</f>
        <v/>
      </c>
      <c r="AG598" s="35">
        <f>IF(OR(C598&lt;&gt;"Grayson Coulter",G598&lt;'00_Control'!$B$7),"",--(AF598&lt;5))</f>
        <v/>
      </c>
      <c r="AH598" s="35">
        <f>IF(OR(C598&lt;&gt;"Grayson Coulter",G598&lt;'00_Control'!$B$7),"",--(AF598&lt;10))</f>
        <v/>
      </c>
      <c r="AI598" s="35">
        <f>IF(AND(C598="Grayson Coulter",G598&gt;='00_Control'!$B$7),"YES","NO")</f>
        <v/>
      </c>
      <c r="AJ598" s="33" t="inlineStr">
        <is>
          <t>OK</t>
        </is>
      </c>
    </row>
    <row r="599">
      <c r="A599" s="33" t="inlineStr">
        <is>
          <t>SM000595</t>
        </is>
      </c>
      <c r="B599" s="33" t="inlineStr">
        <is>
          <t>SW016</t>
        </is>
      </c>
      <c r="C599" s="33" t="inlineStr">
        <is>
          <t>Duncan Scott</t>
        </is>
      </c>
      <c r="D599" s="33" t="inlineStr">
        <is>
          <t>SwimCloud</t>
        </is>
      </c>
      <c r="E599" s="33" t="inlineStr">
        <is>
          <t>375606</t>
        </is>
      </c>
      <c r="F599" s="33" t="inlineStr">
        <is>
          <t>124370421</t>
        </is>
      </c>
      <c r="G599" s="51" t="n">
        <v>41735</v>
      </c>
      <c r="H599" s="33" t="inlineStr">
        <is>
          <t>Scottish Gas National Open Championship</t>
        </is>
      </c>
      <c r="I599" s="33" t="inlineStr">
        <is>
          <t>301863</t>
        </is>
      </c>
      <c r="J599" s="33" t="inlineStr"/>
      <c r="K599" s="33" t="inlineStr">
        <is>
          <t>PRE</t>
        </is>
      </c>
      <c r="L599" s="35">
        <f>IF(K599="FIN",3,IF(OR(K599="SEM",K599="SEMI"),2,IF(OR(K599="PRE",K599="HEAT"),1,IF(V599="YES",4,2))))</f>
        <v/>
      </c>
      <c r="M599" s="33" t="inlineStr">
        <is>
          <t>LCM</t>
        </is>
      </c>
      <c r="N599" s="33" t="n">
        <v>200</v>
      </c>
      <c r="O599" s="33" t="inlineStr">
        <is>
          <t>Free</t>
        </is>
      </c>
      <c r="P599" s="33" t="inlineStr">
        <is>
          <t>200 Free</t>
        </is>
      </c>
      <c r="Q599" s="33" t="inlineStr">
        <is>
          <t>LCM_200_FREE</t>
        </is>
      </c>
      <c r="R599" s="36" t="n">
        <v>114.41</v>
      </c>
      <c r="S599" s="35">
        <f>IF(R599="","",IF(R599&gt;=60,INT(R599/60)&amp;":"&amp;TEXT(MOD(R599,60),"00.00"),TEXT(R599,"0.00")))</f>
        <v/>
      </c>
      <c r="T599" s="52">
        <f>IFERROR((G599-INDEX('01_Swimmers'!$E$5:$E$22,MATCH(B599,'01_Swimmers'!$A$5:$A$22,0)))/'00_Control'!$B$10,"")</f>
        <v/>
      </c>
      <c r="U599" s="35">
        <f>IF(T599="","",INT(T599))</f>
        <v/>
      </c>
      <c r="V599" s="33" t="inlineStr">
        <is>
          <t>NO</t>
        </is>
      </c>
      <c r="W599" s="33" t="inlineStr">
        <is>
          <t>YES</t>
        </is>
      </c>
      <c r="X599" s="33" t="inlineStr">
        <is>
          <t>NO</t>
        </is>
      </c>
      <c r="Y599" s="33" t="n">
        <v>6</v>
      </c>
      <c r="Z599" s="33" t="n">
        <v>6</v>
      </c>
      <c r="AA599" s="33" t="inlineStr">
        <is>
          <t>15</t>
        </is>
      </c>
      <c r="AB599" s="33" t="inlineStr">
        <is>
          <t>https://www.swimcloud.com/results/301863/event/403/?id=124370421#time124370421</t>
        </is>
      </c>
      <c r="AC599" s="33" t="inlineStr">
        <is>
          <t>SwimCloud API v6 2026-10-08</t>
        </is>
      </c>
      <c r="AD599" s="33" t="inlineStr">
        <is>
          <t>Duncan Scott|2014-04-06|LCM|200|Free|114.41|Scottish Gas National Open Championship|PRE|False</t>
        </is>
      </c>
      <c r="AE599" s="53">
        <f>G599+L599/1000+ROW()/1000000000</f>
        <v/>
      </c>
      <c r="AF599" s="35">
        <f>IF(C599&lt;&gt;"Grayson Coulter","",COUNTIFS($C$5:$C$2991,"Grayson Coulter",$Q$5:$Q$2991,Q599,$AE$5:$AE$2991,"&lt;="&amp;AE599,$R$5:$R$2991,"&lt;"&amp;R599))</f>
        <v/>
      </c>
      <c r="AG599" s="35">
        <f>IF(OR(C599&lt;&gt;"Grayson Coulter",G599&lt;'00_Control'!$B$7),"",--(AF599&lt;5))</f>
        <v/>
      </c>
      <c r="AH599" s="35">
        <f>IF(OR(C599&lt;&gt;"Grayson Coulter",G599&lt;'00_Control'!$B$7),"",--(AF599&lt;10))</f>
        <v/>
      </c>
      <c r="AI599" s="35">
        <f>IF(AND(C599="Grayson Coulter",G599&gt;='00_Control'!$B$7),"YES","NO")</f>
        <v/>
      </c>
      <c r="AJ599" s="33" t="inlineStr">
        <is>
          <t>OK</t>
        </is>
      </c>
    </row>
    <row r="600">
      <c r="A600" s="33" t="inlineStr">
        <is>
          <t>SM000596</t>
        </is>
      </c>
      <c r="B600" s="33" t="inlineStr">
        <is>
          <t>SW016</t>
        </is>
      </c>
      <c r="C600" s="33" t="inlineStr">
        <is>
          <t>Duncan Scott</t>
        </is>
      </c>
      <c r="D600" s="33" t="inlineStr">
        <is>
          <t>SwimCloud</t>
        </is>
      </c>
      <c r="E600" s="33" t="inlineStr">
        <is>
          <t>375606</t>
        </is>
      </c>
      <c r="F600" s="33" t="inlineStr">
        <is>
          <t>124370422</t>
        </is>
      </c>
      <c r="G600" s="51" t="n">
        <v>41735</v>
      </c>
      <c r="H600" s="33" t="inlineStr">
        <is>
          <t>Scottish Gas National Open Championship</t>
        </is>
      </c>
      <c r="I600" s="33" t="inlineStr">
        <is>
          <t>301863</t>
        </is>
      </c>
      <c r="J600" s="33" t="inlineStr"/>
      <c r="K600" s="33" t="inlineStr">
        <is>
          <t>FIN</t>
        </is>
      </c>
      <c r="L600" s="35">
        <f>IF(K600="FIN",3,IF(OR(K600="SEM",K600="SEMI"),2,IF(OR(K600="PRE",K600="HEAT"),1,IF(V600="YES",4,2))))</f>
        <v/>
      </c>
      <c r="M600" s="33" t="inlineStr">
        <is>
          <t>LCM</t>
        </is>
      </c>
      <c r="N600" s="33" t="n">
        <v>200</v>
      </c>
      <c r="O600" s="33" t="inlineStr">
        <is>
          <t>Free</t>
        </is>
      </c>
      <c r="P600" s="33" t="inlineStr">
        <is>
          <t>200 Free</t>
        </is>
      </c>
      <c r="Q600" s="33" t="inlineStr">
        <is>
          <t>LCM_200_FREE</t>
        </is>
      </c>
      <c r="R600" s="36" t="n">
        <v>110.95</v>
      </c>
      <c r="S600" s="35">
        <f>IF(R600="","",IF(R600&gt;=60,INT(R600/60)&amp;":"&amp;TEXT(MOD(R600,60),"00.00"),TEXT(R600,"0.00")))</f>
        <v/>
      </c>
      <c r="T600" s="52">
        <f>IFERROR((G600-INDEX('01_Swimmers'!$E$5:$E$22,MATCH(B600,'01_Swimmers'!$A$5:$A$22,0)))/'00_Control'!$B$10,"")</f>
        <v/>
      </c>
      <c r="U600" s="35">
        <f>IF(T600="","",INT(T600))</f>
        <v/>
      </c>
      <c r="V600" s="33" t="inlineStr">
        <is>
          <t>NO</t>
        </is>
      </c>
      <c r="W600" s="33" t="inlineStr">
        <is>
          <t>YES</t>
        </is>
      </c>
      <c r="X600" s="33" t="inlineStr">
        <is>
          <t>NO</t>
        </is>
      </c>
      <c r="Y600" s="33" t="n">
        <v>3</v>
      </c>
      <c r="Z600" s="33" t="n">
        <v>9</v>
      </c>
      <c r="AA600" s="33" t="inlineStr">
        <is>
          <t>5</t>
        </is>
      </c>
      <c r="AB600" s="33" t="inlineStr">
        <is>
          <t>https://www.swimcloud.com/results/301863/event/403/?id=124370422#time124370422</t>
        </is>
      </c>
      <c r="AC600" s="33" t="inlineStr">
        <is>
          <t>SwimCloud API v6 2026-10-08</t>
        </is>
      </c>
      <c r="AD600" s="33" t="inlineStr">
        <is>
          <t>Duncan Scott|2014-04-06|LCM|200|Free|110.95|Scottish Gas National Open Championship|FIN|False</t>
        </is>
      </c>
      <c r="AE600" s="53">
        <f>G600+L600/1000+ROW()/1000000000</f>
        <v/>
      </c>
      <c r="AF600" s="35">
        <f>IF(C600&lt;&gt;"Grayson Coulter","",COUNTIFS($C$5:$C$2991,"Grayson Coulter",$Q$5:$Q$2991,Q600,$AE$5:$AE$2991,"&lt;="&amp;AE600,$R$5:$R$2991,"&lt;"&amp;R600))</f>
        <v/>
      </c>
      <c r="AG600" s="35">
        <f>IF(OR(C600&lt;&gt;"Grayson Coulter",G600&lt;'00_Control'!$B$7),"",--(AF600&lt;5))</f>
        <v/>
      </c>
      <c r="AH600" s="35">
        <f>IF(OR(C600&lt;&gt;"Grayson Coulter",G600&lt;'00_Control'!$B$7),"",--(AF600&lt;10))</f>
        <v/>
      </c>
      <c r="AI600" s="35">
        <f>IF(AND(C600="Grayson Coulter",G600&gt;='00_Control'!$B$7),"YES","NO")</f>
        <v/>
      </c>
      <c r="AJ600" s="33" t="inlineStr">
        <is>
          <t>OK</t>
        </is>
      </c>
    </row>
    <row r="601">
      <c r="A601" s="33" t="inlineStr">
        <is>
          <t>SM000597</t>
        </is>
      </c>
      <c r="B601" s="33" t="inlineStr">
        <is>
          <t>SW016</t>
        </is>
      </c>
      <c r="C601" s="33" t="inlineStr">
        <is>
          <t>Duncan Scott</t>
        </is>
      </c>
      <c r="D601" s="33" t="inlineStr">
        <is>
          <t>SwimCloud</t>
        </is>
      </c>
      <c r="E601" s="33" t="inlineStr">
        <is>
          <t>375606</t>
        </is>
      </c>
      <c r="F601" s="33" t="inlineStr">
        <is>
          <t>72474592</t>
        </is>
      </c>
      <c r="G601" s="51" t="n">
        <v>42047</v>
      </c>
      <c r="H601" s="33" t="inlineStr">
        <is>
          <t>2015 Arena Pro Series at Orlando</t>
        </is>
      </c>
      <c r="I601" s="33" t="inlineStr">
        <is>
          <t>219653</t>
        </is>
      </c>
      <c r="J601" s="33" t="inlineStr"/>
      <c r="K601" s="33" t="inlineStr">
        <is>
          <t>PRE</t>
        </is>
      </c>
      <c r="L601" s="35">
        <f>IF(K601="FIN",3,IF(OR(K601="SEM",K601="SEMI"),2,IF(OR(K601="PRE",K601="HEAT"),1,IF(V601="YES",4,2))))</f>
        <v/>
      </c>
      <c r="M601" s="33" t="inlineStr">
        <is>
          <t>LCM</t>
        </is>
      </c>
      <c r="N601" s="33" t="n">
        <v>200</v>
      </c>
      <c r="O601" s="33" t="inlineStr">
        <is>
          <t>Free</t>
        </is>
      </c>
      <c r="P601" s="33" t="inlineStr">
        <is>
          <t>200 Free</t>
        </is>
      </c>
      <c r="Q601" s="33" t="inlineStr">
        <is>
          <t>LCM_200_FREE</t>
        </is>
      </c>
      <c r="R601" s="36" t="n">
        <v>112.51</v>
      </c>
      <c r="S601" s="35">
        <f>IF(R601="","",IF(R601&gt;=60,INT(R601/60)&amp;":"&amp;TEXT(MOD(R601,60),"00.00"),TEXT(R601,"0.00")))</f>
        <v/>
      </c>
      <c r="T601" s="52">
        <f>IFERROR((G601-INDEX('01_Swimmers'!$E$5:$E$22,MATCH(B601,'01_Swimmers'!$A$5:$A$22,0)))/'00_Control'!$B$10,"")</f>
        <v/>
      </c>
      <c r="U601" s="35">
        <f>IF(T601="","",INT(T601))</f>
        <v/>
      </c>
      <c r="V601" s="33" t="inlineStr">
        <is>
          <t>NO</t>
        </is>
      </c>
      <c r="W601" s="33" t="inlineStr">
        <is>
          <t>YES</t>
        </is>
      </c>
      <c r="X601" s="33" t="inlineStr">
        <is>
          <t>NO</t>
        </is>
      </c>
      <c r="Y601" s="33" t="n">
        <v>6</v>
      </c>
      <c r="Z601" s="33" t="n">
        <v>6</v>
      </c>
      <c r="AA601" s="33" t="inlineStr">
        <is>
          <t>11</t>
        </is>
      </c>
      <c r="AB601" s="33" t="inlineStr">
        <is>
          <t>https://www.swimcloud.com/results/219653/event/2/?id=72474592#time72474592</t>
        </is>
      </c>
      <c r="AC601" s="33" t="inlineStr">
        <is>
          <t>SwimCloud API v6 2026-10-08</t>
        </is>
      </c>
      <c r="AD601" s="33" t="inlineStr">
        <is>
          <t>Duncan Scott|2015-02-12|LCM|200|Free|112.51|2015 Arena Pro Series at Orlando|PRE|False</t>
        </is>
      </c>
      <c r="AE601" s="53">
        <f>G601+L601/1000+ROW()/1000000000</f>
        <v/>
      </c>
      <c r="AF601" s="35">
        <f>IF(C601&lt;&gt;"Grayson Coulter","",COUNTIFS($C$5:$C$2991,"Grayson Coulter",$Q$5:$Q$2991,Q601,$AE$5:$AE$2991,"&lt;="&amp;AE601,$R$5:$R$2991,"&lt;"&amp;R601))</f>
        <v/>
      </c>
      <c r="AG601" s="35">
        <f>IF(OR(C601&lt;&gt;"Grayson Coulter",G601&lt;'00_Control'!$B$7),"",--(AF601&lt;5))</f>
        <v/>
      </c>
      <c r="AH601" s="35">
        <f>IF(OR(C601&lt;&gt;"Grayson Coulter",G601&lt;'00_Control'!$B$7),"",--(AF601&lt;10))</f>
        <v/>
      </c>
      <c r="AI601" s="35">
        <f>IF(AND(C601="Grayson Coulter",G601&gt;='00_Control'!$B$7),"YES","NO")</f>
        <v/>
      </c>
      <c r="AJ601" s="33" t="inlineStr">
        <is>
          <t>OK</t>
        </is>
      </c>
    </row>
    <row r="602">
      <c r="A602" s="33" t="inlineStr">
        <is>
          <t>SM000598</t>
        </is>
      </c>
      <c r="B602" s="33" t="inlineStr">
        <is>
          <t>SW016</t>
        </is>
      </c>
      <c r="C602" s="33" t="inlineStr">
        <is>
          <t>Duncan Scott</t>
        </is>
      </c>
      <c r="D602" s="33" t="inlineStr">
        <is>
          <t>SwimCloud</t>
        </is>
      </c>
      <c r="E602" s="33" t="inlineStr">
        <is>
          <t>375606</t>
        </is>
      </c>
      <c r="F602" s="33" t="inlineStr">
        <is>
          <t>72474593</t>
        </is>
      </c>
      <c r="G602" s="51" t="n">
        <v>42047</v>
      </c>
      <c r="H602" s="33" t="inlineStr">
        <is>
          <t>2015 Arena Pro Series at Orlando</t>
        </is>
      </c>
      <c r="I602" s="33" t="inlineStr">
        <is>
          <t>219653</t>
        </is>
      </c>
      <c r="J602" s="33" t="inlineStr"/>
      <c r="K602" s="33" t="inlineStr">
        <is>
          <t>FIN</t>
        </is>
      </c>
      <c r="L602" s="35">
        <f>IF(K602="FIN",3,IF(OR(K602="SEM",K602="SEMI"),2,IF(OR(K602="PRE",K602="HEAT"),1,IF(V602="YES",4,2))))</f>
        <v/>
      </c>
      <c r="M602" s="33" t="inlineStr">
        <is>
          <t>LCM</t>
        </is>
      </c>
      <c r="N602" s="33" t="n">
        <v>200</v>
      </c>
      <c r="O602" s="33" t="inlineStr">
        <is>
          <t>Free</t>
        </is>
      </c>
      <c r="P602" s="33" t="inlineStr">
        <is>
          <t>200 Free</t>
        </is>
      </c>
      <c r="Q602" s="33" t="inlineStr">
        <is>
          <t>LCM_200_FREE</t>
        </is>
      </c>
      <c r="R602" s="36" t="n">
        <v>111.62</v>
      </c>
      <c r="S602" s="35">
        <f>IF(R602="","",IF(R602&gt;=60,INT(R602/60)&amp;":"&amp;TEXT(MOD(R602,60),"00.00"),TEXT(R602,"0.00")))</f>
        <v/>
      </c>
      <c r="T602" s="52">
        <f>IFERROR((G602-INDEX('01_Swimmers'!$E$5:$E$22,MATCH(B602,'01_Swimmers'!$A$5:$A$22,0)))/'00_Control'!$B$10,"")</f>
        <v/>
      </c>
      <c r="U602" s="35">
        <f>IF(T602="","",INT(T602))</f>
        <v/>
      </c>
      <c r="V602" s="33" t="inlineStr">
        <is>
          <t>NO</t>
        </is>
      </c>
      <c r="W602" s="33" t="inlineStr">
        <is>
          <t>YES</t>
        </is>
      </c>
      <c r="X602" s="33" t="inlineStr">
        <is>
          <t>NO</t>
        </is>
      </c>
      <c r="Y602" s="33" t="n">
        <v>1</v>
      </c>
      <c r="Z602" s="33" t="n">
        <v>3</v>
      </c>
      <c r="AA602" s="33" t="inlineStr">
        <is>
          <t>10</t>
        </is>
      </c>
      <c r="AB602" s="33" t="inlineStr">
        <is>
          <t>https://www.swimcloud.com/results/219653/event/2/?id=72474593#time72474593</t>
        </is>
      </c>
      <c r="AC602" s="33" t="inlineStr">
        <is>
          <t>SwimCloud API v6 2026-10-08</t>
        </is>
      </c>
      <c r="AD602" s="33" t="inlineStr">
        <is>
          <t>Duncan Scott|2015-02-12|LCM|200|Free|111.62|2015 Arena Pro Series at Orlando|FIN|False</t>
        </is>
      </c>
      <c r="AE602" s="53">
        <f>G602+L602/1000+ROW()/1000000000</f>
        <v/>
      </c>
      <c r="AF602" s="35">
        <f>IF(C602&lt;&gt;"Grayson Coulter","",COUNTIFS($C$5:$C$2991,"Grayson Coulter",$Q$5:$Q$2991,Q602,$AE$5:$AE$2991,"&lt;="&amp;AE602,$R$5:$R$2991,"&lt;"&amp;R602))</f>
        <v/>
      </c>
      <c r="AG602" s="35">
        <f>IF(OR(C602&lt;&gt;"Grayson Coulter",G602&lt;'00_Control'!$B$7),"",--(AF602&lt;5))</f>
        <v/>
      </c>
      <c r="AH602" s="35">
        <f>IF(OR(C602&lt;&gt;"Grayson Coulter",G602&lt;'00_Control'!$B$7),"",--(AF602&lt;10))</f>
        <v/>
      </c>
      <c r="AI602" s="35">
        <f>IF(AND(C602="Grayson Coulter",G602&gt;='00_Control'!$B$7),"YES","NO")</f>
        <v/>
      </c>
      <c r="AJ602" s="33" t="inlineStr">
        <is>
          <t>OK</t>
        </is>
      </c>
    </row>
    <row r="603">
      <c r="A603" s="33" t="inlineStr">
        <is>
          <t>SM000599</t>
        </is>
      </c>
      <c r="B603" s="33" t="inlineStr">
        <is>
          <t>SW016</t>
        </is>
      </c>
      <c r="C603" s="33" t="inlineStr">
        <is>
          <t>Duncan Scott</t>
        </is>
      </c>
      <c r="D603" s="33" t="inlineStr">
        <is>
          <t>SwimCloud</t>
        </is>
      </c>
      <c r="E603" s="33" t="inlineStr">
        <is>
          <t>375606</t>
        </is>
      </c>
      <c r="F603" s="33" t="inlineStr">
        <is>
          <t>124202005</t>
        </is>
      </c>
      <c r="G603" s="51" t="n">
        <v>42273</v>
      </c>
      <c r="H603" s="33" t="inlineStr">
        <is>
          <t>Scottish National Team Championship</t>
        </is>
      </c>
      <c r="I603" s="33" t="inlineStr">
        <is>
          <t>301735</t>
        </is>
      </c>
      <c r="J603" s="33" t="inlineStr"/>
      <c r="K603" s="33" t="inlineStr">
        <is>
          <t>TIM</t>
        </is>
      </c>
      <c r="L603" s="35">
        <f>IF(K603="FIN",3,IF(OR(K603="SEM",K603="SEMI"),2,IF(OR(K603="PRE",K603="HEAT"),1,IF(V603="YES",4,2))))</f>
        <v/>
      </c>
      <c r="M603" s="33" t="inlineStr">
        <is>
          <t>SCM</t>
        </is>
      </c>
      <c r="N603" s="33" t="n">
        <v>200</v>
      </c>
      <c r="O603" s="33" t="inlineStr">
        <is>
          <t>Free</t>
        </is>
      </c>
      <c r="P603" s="33" t="inlineStr">
        <is>
          <t>200 Free</t>
        </is>
      </c>
      <c r="Q603" s="33" t="inlineStr">
        <is>
          <t>SCM_200_FREE</t>
        </is>
      </c>
      <c r="R603" s="36" t="n">
        <v>107.83</v>
      </c>
      <c r="S603" s="35">
        <f>IF(R603="","",IF(R603&gt;=60,INT(R603/60)&amp;":"&amp;TEXT(MOD(R603,60),"00.00"),TEXT(R603,"0.00")))</f>
        <v/>
      </c>
      <c r="T603" s="52">
        <f>IFERROR((G603-INDEX('01_Swimmers'!$E$5:$E$22,MATCH(B603,'01_Swimmers'!$A$5:$A$22,0)))/'00_Control'!$B$10,"")</f>
        <v/>
      </c>
      <c r="U603" s="35">
        <f>IF(T603="","",INT(T603))</f>
        <v/>
      </c>
      <c r="V603" s="33" t="inlineStr">
        <is>
          <t>NO</t>
        </is>
      </c>
      <c r="W603" s="33" t="inlineStr">
        <is>
          <t>YES</t>
        </is>
      </c>
      <c r="X603" s="33" t="inlineStr">
        <is>
          <t>NO</t>
        </is>
      </c>
      <c r="Y603" s="33" t="n">
        <v>1</v>
      </c>
      <c r="Z603" s="33" t="n">
        <v>5</v>
      </c>
      <c r="AA603" s="33" t="inlineStr">
        <is>
          <t>1</t>
        </is>
      </c>
      <c r="AB603" s="33" t="inlineStr">
        <is>
          <t>https://www.swimcloud.com/results/301735/event/124/?id=124202005#time124202005</t>
        </is>
      </c>
      <c r="AC603" s="33" t="inlineStr">
        <is>
          <t>SwimCloud API v6 2026-10-08</t>
        </is>
      </c>
      <c r="AD603" s="33" t="inlineStr">
        <is>
          <t>Duncan Scott|2015-09-26|SCM|200|Free|107.83|Scottish National Team Championship|TIM|False</t>
        </is>
      </c>
      <c r="AE603" s="53">
        <f>G603+L603/1000+ROW()/1000000000</f>
        <v/>
      </c>
      <c r="AF603" s="35">
        <f>IF(C603&lt;&gt;"Grayson Coulter","",COUNTIFS($C$5:$C$2991,"Grayson Coulter",$Q$5:$Q$2991,Q603,$AE$5:$AE$2991,"&lt;="&amp;AE603,$R$5:$R$2991,"&lt;"&amp;R603))</f>
        <v/>
      </c>
      <c r="AG603" s="35">
        <f>IF(OR(C603&lt;&gt;"Grayson Coulter",G603&lt;'00_Control'!$B$7),"",--(AF603&lt;5))</f>
        <v/>
      </c>
      <c r="AH603" s="35">
        <f>IF(OR(C603&lt;&gt;"Grayson Coulter",G603&lt;'00_Control'!$B$7),"",--(AF603&lt;10))</f>
        <v/>
      </c>
      <c r="AI603" s="35">
        <f>IF(AND(C603="Grayson Coulter",G603&gt;='00_Control'!$B$7),"YES","NO")</f>
        <v/>
      </c>
      <c r="AJ603" s="33" t="inlineStr">
        <is>
          <t>OK</t>
        </is>
      </c>
    </row>
    <row r="604">
      <c r="A604" s="33" t="inlineStr">
        <is>
          <t>SM000600</t>
        </is>
      </c>
      <c r="B604" s="33" t="inlineStr">
        <is>
          <t>SW016</t>
        </is>
      </c>
      <c r="C604" s="33" t="inlineStr">
        <is>
          <t>Duncan Scott</t>
        </is>
      </c>
      <c r="D604" s="33" t="inlineStr">
        <is>
          <t>SwimCloud</t>
        </is>
      </c>
      <c r="E604" s="33" t="inlineStr">
        <is>
          <t>375606</t>
        </is>
      </c>
      <c r="F604" s="33" t="inlineStr">
        <is>
          <t>66510691</t>
        </is>
      </c>
      <c r="G604" s="51" t="n">
        <v>42310</v>
      </c>
      <c r="H604" s="33" t="inlineStr">
        <is>
          <t>2015 FINA/AIRWEAVE SWIMMING WORLD CUP</t>
        </is>
      </c>
      <c r="I604" s="33" t="inlineStr">
        <is>
          <t>230468</t>
        </is>
      </c>
      <c r="J604" s="33" t="inlineStr"/>
      <c r="K604" s="33" t="inlineStr">
        <is>
          <t>PRE</t>
        </is>
      </c>
      <c r="L604" s="35">
        <f>IF(K604="FIN",3,IF(OR(K604="SEM",K604="SEMI"),2,IF(OR(K604="PRE",K604="HEAT"),1,IF(V604="YES",4,2))))</f>
        <v/>
      </c>
      <c r="M604" s="33" t="inlineStr">
        <is>
          <t>LCM</t>
        </is>
      </c>
      <c r="N604" s="33" t="n">
        <v>100</v>
      </c>
      <c r="O604" s="33" t="inlineStr">
        <is>
          <t>Free</t>
        </is>
      </c>
      <c r="P604" s="33" t="inlineStr">
        <is>
          <t>100 Free</t>
        </is>
      </c>
      <c r="Q604" s="33" t="inlineStr">
        <is>
          <t>LCM_100_FREE</t>
        </is>
      </c>
      <c r="R604" s="36" t="n">
        <v>50.17</v>
      </c>
      <c r="S604" s="35">
        <f>IF(R604="","",IF(R604&gt;=60,INT(R604/60)&amp;":"&amp;TEXT(MOD(R604,60),"00.00"),TEXT(R604,"0.00")))</f>
        <v/>
      </c>
      <c r="T604" s="52">
        <f>IFERROR((G604-INDEX('01_Swimmers'!$E$5:$E$22,MATCH(B604,'01_Swimmers'!$A$5:$A$22,0)))/'00_Control'!$B$10,"")</f>
        <v/>
      </c>
      <c r="U604" s="35">
        <f>IF(T604="","",INT(T604))</f>
        <v/>
      </c>
      <c r="V604" s="33" t="inlineStr">
        <is>
          <t>NO</t>
        </is>
      </c>
      <c r="W604" s="33" t="inlineStr">
        <is>
          <t>YES</t>
        </is>
      </c>
      <c r="X604" s="33" t="inlineStr">
        <is>
          <t>NO</t>
        </is>
      </c>
      <c r="Y604" s="33" t="n">
        <v>6</v>
      </c>
      <c r="Z604" s="33" t="n">
        <v>7</v>
      </c>
      <c r="AA604" s="33" t="inlineStr">
        <is>
          <t>7</t>
        </is>
      </c>
      <c r="AB604" s="33" t="inlineStr">
        <is>
          <t>https://www.swimcloud.com/results/230468/event/1/?id=66510691#time66510691</t>
        </is>
      </c>
      <c r="AC604" s="33" t="inlineStr">
        <is>
          <t>SwimCloud API v6 2026-10-08</t>
        </is>
      </c>
      <c r="AD604" s="33" t="inlineStr">
        <is>
          <t>Duncan Scott|2015-11-02|LCM|100|Free|50.17|2015 FINA/AIRWEAVE SWIMMING WORLD CUP|PRE|False</t>
        </is>
      </c>
      <c r="AE604" s="53">
        <f>G604+L604/1000+ROW()/1000000000</f>
        <v/>
      </c>
      <c r="AF604" s="35">
        <f>IF(C604&lt;&gt;"Grayson Coulter","",COUNTIFS($C$5:$C$2991,"Grayson Coulter",$Q$5:$Q$2991,Q604,$AE$5:$AE$2991,"&lt;="&amp;AE604,$R$5:$R$2991,"&lt;"&amp;R604))</f>
        <v/>
      </c>
      <c r="AG604" s="35">
        <f>IF(OR(C604&lt;&gt;"Grayson Coulter",G604&lt;'00_Control'!$B$7),"",--(AF604&lt;5))</f>
        <v/>
      </c>
      <c r="AH604" s="35">
        <f>IF(OR(C604&lt;&gt;"Grayson Coulter",G604&lt;'00_Control'!$B$7),"",--(AF604&lt;10))</f>
        <v/>
      </c>
      <c r="AI604" s="35">
        <f>IF(AND(C604="Grayson Coulter",G604&gt;='00_Control'!$B$7),"YES","NO")</f>
        <v/>
      </c>
      <c r="AJ604" s="33" t="inlineStr">
        <is>
          <t>OK</t>
        </is>
      </c>
    </row>
    <row r="605">
      <c r="A605" s="33" t="inlineStr">
        <is>
          <t>SM000601</t>
        </is>
      </c>
      <c r="B605" s="33" t="inlineStr">
        <is>
          <t>SW016</t>
        </is>
      </c>
      <c r="C605" s="33" t="inlineStr">
        <is>
          <t>Duncan Scott</t>
        </is>
      </c>
      <c r="D605" s="33" t="inlineStr">
        <is>
          <t>SwimCloud</t>
        </is>
      </c>
      <c r="E605" s="33" t="inlineStr">
        <is>
          <t>375606</t>
        </is>
      </c>
      <c r="F605" s="33" t="inlineStr">
        <is>
          <t>66510692</t>
        </is>
      </c>
      <c r="G605" s="51" t="n">
        <v>42310</v>
      </c>
      <c r="H605" s="33" t="inlineStr">
        <is>
          <t>2015 FINA/AIRWEAVE SWIMMING WORLD CUP</t>
        </is>
      </c>
      <c r="I605" s="33" t="inlineStr">
        <is>
          <t>230468</t>
        </is>
      </c>
      <c r="J605" s="33" t="inlineStr"/>
      <c r="K605" s="33" t="inlineStr">
        <is>
          <t>FIN</t>
        </is>
      </c>
      <c r="L605" s="35">
        <f>IF(K605="FIN",3,IF(OR(K605="SEM",K605="SEMI"),2,IF(OR(K605="PRE",K605="HEAT"),1,IF(V605="YES",4,2))))</f>
        <v/>
      </c>
      <c r="M605" s="33" t="inlineStr">
        <is>
          <t>LCM</t>
        </is>
      </c>
      <c r="N605" s="33" t="n">
        <v>100</v>
      </c>
      <c r="O605" s="33" t="inlineStr">
        <is>
          <t>Free</t>
        </is>
      </c>
      <c r="P605" s="33" t="inlineStr">
        <is>
          <t>100 Free</t>
        </is>
      </c>
      <c r="Q605" s="33" t="inlineStr">
        <is>
          <t>LCM_100_FREE</t>
        </is>
      </c>
      <c r="R605" s="36" t="n">
        <v>49.78</v>
      </c>
      <c r="S605" s="35">
        <f>IF(R605="","",IF(R605&gt;=60,INT(R605/60)&amp;":"&amp;TEXT(MOD(R605,60),"00.00"),TEXT(R605,"0.00")))</f>
        <v/>
      </c>
      <c r="T605" s="52">
        <f>IFERROR((G605-INDEX('01_Swimmers'!$E$5:$E$22,MATCH(B605,'01_Swimmers'!$A$5:$A$22,0)))/'00_Control'!$B$10,"")</f>
        <v/>
      </c>
      <c r="U605" s="35">
        <f>IF(T605="","",INT(T605))</f>
        <v/>
      </c>
      <c r="V605" s="33" t="inlineStr">
        <is>
          <t>NO</t>
        </is>
      </c>
      <c r="W605" s="33" t="inlineStr">
        <is>
          <t>YES</t>
        </is>
      </c>
      <c r="X605" s="33" t="inlineStr">
        <is>
          <t>NO</t>
        </is>
      </c>
      <c r="Y605" s="33" t="n">
        <v>1</v>
      </c>
      <c r="Z605" s="33" t="n">
        <v>8</v>
      </c>
      <c r="AA605" s="33" t="inlineStr">
        <is>
          <t>7</t>
        </is>
      </c>
      <c r="AB605" s="33" t="inlineStr">
        <is>
          <t>https://www.swimcloud.com/results/230468/event/1/?id=66510692#time66510692</t>
        </is>
      </c>
      <c r="AC605" s="33" t="inlineStr">
        <is>
          <t>SwimCloud API v6 2026-10-08</t>
        </is>
      </c>
      <c r="AD605" s="33" t="inlineStr">
        <is>
          <t>Duncan Scott|2015-11-02|LCM|100|Free|49.78|2015 FINA/AIRWEAVE SWIMMING WORLD CUP|FIN|False</t>
        </is>
      </c>
      <c r="AE605" s="53">
        <f>G605+L605/1000+ROW()/1000000000</f>
        <v/>
      </c>
      <c r="AF605" s="35">
        <f>IF(C605&lt;&gt;"Grayson Coulter","",COUNTIFS($C$5:$C$2991,"Grayson Coulter",$Q$5:$Q$2991,Q605,$AE$5:$AE$2991,"&lt;="&amp;AE605,$R$5:$R$2991,"&lt;"&amp;R605))</f>
        <v/>
      </c>
      <c r="AG605" s="35">
        <f>IF(OR(C605&lt;&gt;"Grayson Coulter",G605&lt;'00_Control'!$B$7),"",--(AF605&lt;5))</f>
        <v/>
      </c>
      <c r="AH605" s="35">
        <f>IF(OR(C605&lt;&gt;"Grayson Coulter",G605&lt;'00_Control'!$B$7),"",--(AF605&lt;10))</f>
        <v/>
      </c>
      <c r="AI605" s="35">
        <f>IF(AND(C605="Grayson Coulter",G605&gt;='00_Control'!$B$7),"YES","NO")</f>
        <v/>
      </c>
      <c r="AJ605" s="33" t="inlineStr">
        <is>
          <t>OK</t>
        </is>
      </c>
    </row>
    <row r="606">
      <c r="A606" s="33" t="inlineStr">
        <is>
          <t>SM000602</t>
        </is>
      </c>
      <c r="B606" s="33" t="inlineStr">
        <is>
          <t>SW016</t>
        </is>
      </c>
      <c r="C606" s="33" t="inlineStr">
        <is>
          <t>Duncan Scott</t>
        </is>
      </c>
      <c r="D606" s="33" t="inlineStr">
        <is>
          <t>SwimCloud</t>
        </is>
      </c>
      <c r="E606" s="33" t="inlineStr">
        <is>
          <t>375606</t>
        </is>
      </c>
      <c r="F606" s="33" t="inlineStr">
        <is>
          <t>66510693</t>
        </is>
      </c>
      <c r="G606" s="51" t="n">
        <v>42310</v>
      </c>
      <c r="H606" s="33" t="inlineStr">
        <is>
          <t>2015 FINA/AIRWEAVE SWIMMING WORLD CUP</t>
        </is>
      </c>
      <c r="I606" s="33" t="inlineStr">
        <is>
          <t>230468</t>
        </is>
      </c>
      <c r="J606" s="33" t="inlineStr"/>
      <c r="K606" s="33" t="inlineStr">
        <is>
          <t>PRE</t>
        </is>
      </c>
      <c r="L606" s="35">
        <f>IF(K606="FIN",3,IF(OR(K606="SEM",K606="SEMI"),2,IF(OR(K606="PRE",K606="HEAT"),1,IF(V606="YES",4,2))))</f>
        <v/>
      </c>
      <c r="M606" s="33" t="inlineStr">
        <is>
          <t>LCM</t>
        </is>
      </c>
      <c r="N606" s="33" t="n">
        <v>400</v>
      </c>
      <c r="O606" s="33" t="inlineStr">
        <is>
          <t>Free</t>
        </is>
      </c>
      <c r="P606" s="33" t="inlineStr">
        <is>
          <t>400 Free</t>
        </is>
      </c>
      <c r="Q606" s="33" t="inlineStr">
        <is>
          <t>LCM_400_FREE</t>
        </is>
      </c>
      <c r="R606" s="36" t="n">
        <v>236.56</v>
      </c>
      <c r="S606" s="35">
        <f>IF(R606="","",IF(R606&gt;=60,INT(R606/60)&amp;":"&amp;TEXT(MOD(R606,60),"00.00"),TEXT(R606,"0.00")))</f>
        <v/>
      </c>
      <c r="T606" s="52">
        <f>IFERROR((G606-INDEX('01_Swimmers'!$E$5:$E$22,MATCH(B606,'01_Swimmers'!$A$5:$A$22,0)))/'00_Control'!$B$10,"")</f>
        <v/>
      </c>
      <c r="U606" s="35">
        <f>IF(T606="","",INT(T606))</f>
        <v/>
      </c>
      <c r="V606" s="33" t="inlineStr">
        <is>
          <t>NO</t>
        </is>
      </c>
      <c r="W606" s="33" t="inlineStr">
        <is>
          <t>YES</t>
        </is>
      </c>
      <c r="X606" s="33" t="inlineStr">
        <is>
          <t>NO</t>
        </is>
      </c>
      <c r="Y606" s="33" t="n">
        <v>1</v>
      </c>
      <c r="Z606" s="33" t="n">
        <v>4</v>
      </c>
      <c r="AA606" s="33" t="inlineStr">
        <is>
          <t>17</t>
        </is>
      </c>
      <c r="AB606" s="33" t="inlineStr">
        <is>
          <t>https://www.swimcloud.com/results/230468/event/10/?id=66510693#time66510693</t>
        </is>
      </c>
      <c r="AC606" s="33" t="inlineStr">
        <is>
          <t>SwimCloud API v6 2026-10-08</t>
        </is>
      </c>
      <c r="AD606" s="33" t="inlineStr">
        <is>
          <t>Duncan Scott|2015-11-02|LCM|400|Free|236.56|2015 FINA/AIRWEAVE SWIMMING WORLD CUP|PRE|False</t>
        </is>
      </c>
      <c r="AE606" s="53">
        <f>G606+L606/1000+ROW()/1000000000</f>
        <v/>
      </c>
      <c r="AF606" s="35">
        <f>IF(C606&lt;&gt;"Grayson Coulter","",COUNTIFS($C$5:$C$2991,"Grayson Coulter",$Q$5:$Q$2991,Q606,$AE$5:$AE$2991,"&lt;="&amp;AE606,$R$5:$R$2991,"&lt;"&amp;R606))</f>
        <v/>
      </c>
      <c r="AG606" s="35">
        <f>IF(OR(C606&lt;&gt;"Grayson Coulter",G606&lt;'00_Control'!$B$7),"",--(AF606&lt;5))</f>
        <v/>
      </c>
      <c r="AH606" s="35">
        <f>IF(OR(C606&lt;&gt;"Grayson Coulter",G606&lt;'00_Control'!$B$7),"",--(AF606&lt;10))</f>
        <v/>
      </c>
      <c r="AI606" s="35">
        <f>IF(AND(C606="Grayson Coulter",G606&gt;='00_Control'!$B$7),"YES","NO")</f>
        <v/>
      </c>
      <c r="AJ606" s="33" t="inlineStr">
        <is>
          <t>OK</t>
        </is>
      </c>
    </row>
    <row r="607">
      <c r="A607" s="33" t="inlineStr">
        <is>
          <t>SM000603</t>
        </is>
      </c>
      <c r="B607" s="33" t="inlineStr">
        <is>
          <t>SW016</t>
        </is>
      </c>
      <c r="C607" s="33" t="inlineStr">
        <is>
          <t>Duncan Scott</t>
        </is>
      </c>
      <c r="D607" s="33" t="inlineStr">
        <is>
          <t>SwimCloud</t>
        </is>
      </c>
      <c r="E607" s="33" t="inlineStr">
        <is>
          <t>375606</t>
        </is>
      </c>
      <c r="F607" s="33" t="inlineStr">
        <is>
          <t>66510694</t>
        </is>
      </c>
      <c r="G607" s="51" t="n">
        <v>42311</v>
      </c>
      <c r="H607" s="33" t="inlineStr">
        <is>
          <t>2015 FINA/AIRWEAVE SWIMMING WORLD CUP</t>
        </is>
      </c>
      <c r="I607" s="33" t="inlineStr">
        <is>
          <t>230468</t>
        </is>
      </c>
      <c r="J607" s="33" t="inlineStr"/>
      <c r="K607" s="33" t="inlineStr">
        <is>
          <t>PRE</t>
        </is>
      </c>
      <c r="L607" s="35">
        <f>IF(K607="FIN",3,IF(OR(K607="SEM",K607="SEMI"),2,IF(OR(K607="PRE",K607="HEAT"),1,IF(V607="YES",4,2))))</f>
        <v/>
      </c>
      <c r="M607" s="33" t="inlineStr">
        <is>
          <t>LCM</t>
        </is>
      </c>
      <c r="N607" s="33" t="n">
        <v>100</v>
      </c>
      <c r="O607" s="33" t="inlineStr">
        <is>
          <t>Fly</t>
        </is>
      </c>
      <c r="P607" s="33" t="inlineStr">
        <is>
          <t>100 Fly</t>
        </is>
      </c>
      <c r="Q607" s="33" t="inlineStr">
        <is>
          <t>LCM_100_FLY</t>
        </is>
      </c>
      <c r="R607" s="36" t="n">
        <v>54.93</v>
      </c>
      <c r="S607" s="35">
        <f>IF(R607="","",IF(R607&gt;=60,INT(R607/60)&amp;":"&amp;TEXT(MOD(R607,60),"00.00"),TEXT(R607,"0.00")))</f>
        <v/>
      </c>
      <c r="T607" s="52">
        <f>IFERROR((G607-INDEX('01_Swimmers'!$E$5:$E$22,MATCH(B607,'01_Swimmers'!$A$5:$A$22,0)))/'00_Control'!$B$10,"")</f>
        <v/>
      </c>
      <c r="U607" s="35">
        <f>IF(T607="","",INT(T607))</f>
        <v/>
      </c>
      <c r="V607" s="33" t="inlineStr">
        <is>
          <t>NO</t>
        </is>
      </c>
      <c r="W607" s="33" t="inlineStr">
        <is>
          <t>YES</t>
        </is>
      </c>
      <c r="X607" s="33" t="inlineStr">
        <is>
          <t>NO</t>
        </is>
      </c>
      <c r="Y607" s="33" t="n">
        <v>1</v>
      </c>
      <c r="Z607" s="33" t="n">
        <v>1</v>
      </c>
      <c r="AA607" s="33" t="inlineStr">
        <is>
          <t>15</t>
        </is>
      </c>
      <c r="AB607" s="33" t="inlineStr">
        <is>
          <t>https://www.swimcloud.com/results/230468/event/21/?id=66510694#time66510694</t>
        </is>
      </c>
      <c r="AC607" s="33" t="inlineStr">
        <is>
          <t>SwimCloud API v6 2026-10-08</t>
        </is>
      </c>
      <c r="AD607" s="33" t="inlineStr">
        <is>
          <t>Duncan Scott|2015-11-03|LCM|100|Fly|54.93|2015 FINA/AIRWEAVE SWIMMING WORLD CUP|PRE|False</t>
        </is>
      </c>
      <c r="AE607" s="53">
        <f>G607+L607/1000+ROW()/1000000000</f>
        <v/>
      </c>
      <c r="AF607" s="35">
        <f>IF(C607&lt;&gt;"Grayson Coulter","",COUNTIFS($C$5:$C$2991,"Grayson Coulter",$Q$5:$Q$2991,Q607,$AE$5:$AE$2991,"&lt;="&amp;AE607,$R$5:$R$2991,"&lt;"&amp;R607))</f>
        <v/>
      </c>
      <c r="AG607" s="35">
        <f>IF(OR(C607&lt;&gt;"Grayson Coulter",G607&lt;'00_Control'!$B$7),"",--(AF607&lt;5))</f>
        <v/>
      </c>
      <c r="AH607" s="35">
        <f>IF(OR(C607&lt;&gt;"Grayson Coulter",G607&lt;'00_Control'!$B$7),"",--(AF607&lt;10))</f>
        <v/>
      </c>
      <c r="AI607" s="35">
        <f>IF(AND(C607="Grayson Coulter",G607&gt;='00_Control'!$B$7),"YES","NO")</f>
        <v/>
      </c>
      <c r="AJ607" s="33" t="inlineStr">
        <is>
          <t>OK</t>
        </is>
      </c>
    </row>
    <row r="608">
      <c r="A608" s="33" t="inlineStr">
        <is>
          <t>SM000604</t>
        </is>
      </c>
      <c r="B608" s="33" t="inlineStr">
        <is>
          <t>SW016</t>
        </is>
      </c>
      <c r="C608" s="33" t="inlineStr">
        <is>
          <t>Duncan Scott</t>
        </is>
      </c>
      <c r="D608" s="33" t="inlineStr">
        <is>
          <t>SwimCloud</t>
        </is>
      </c>
      <c r="E608" s="33" t="inlineStr">
        <is>
          <t>375606</t>
        </is>
      </c>
      <c r="F608" s="33" t="inlineStr">
        <is>
          <t>66512471</t>
        </is>
      </c>
      <c r="G608" s="51" t="n">
        <v>42314</v>
      </c>
      <c r="H608" s="33" t="inlineStr">
        <is>
          <t>2015 FINA/AIRWEAVE SWIMMING WORLD CUP</t>
        </is>
      </c>
      <c r="I608" s="33" t="inlineStr">
        <is>
          <t>230467</t>
        </is>
      </c>
      <c r="J608" s="33" t="inlineStr"/>
      <c r="K608" s="33" t="inlineStr">
        <is>
          <t>PRE</t>
        </is>
      </c>
      <c r="L608" s="35">
        <f>IF(K608="FIN",3,IF(OR(K608="SEM",K608="SEMI"),2,IF(OR(K608="PRE",K608="HEAT"),1,IF(V608="YES",4,2))))</f>
        <v/>
      </c>
      <c r="M608" s="33" t="inlineStr">
        <is>
          <t>LCM</t>
        </is>
      </c>
      <c r="N608" s="33" t="n">
        <v>100</v>
      </c>
      <c r="O608" s="33" t="inlineStr">
        <is>
          <t>Free</t>
        </is>
      </c>
      <c r="P608" s="33" t="inlineStr">
        <is>
          <t>100 Free</t>
        </is>
      </c>
      <c r="Q608" s="33" t="inlineStr">
        <is>
          <t>LCM_100_FREE</t>
        </is>
      </c>
      <c r="R608" s="36" t="n">
        <v>50.22</v>
      </c>
      <c r="S608" s="35">
        <f>IF(R608="","",IF(R608&gt;=60,INT(R608/60)&amp;":"&amp;TEXT(MOD(R608,60),"00.00"),TEXT(R608,"0.00")))</f>
        <v/>
      </c>
      <c r="T608" s="52">
        <f>IFERROR((G608-INDEX('01_Swimmers'!$E$5:$E$22,MATCH(B608,'01_Swimmers'!$A$5:$A$22,0)))/'00_Control'!$B$10,"")</f>
        <v/>
      </c>
      <c r="U608" s="35">
        <f>IF(T608="","",INT(T608))</f>
        <v/>
      </c>
      <c r="V608" s="33" t="inlineStr">
        <is>
          <t>NO</t>
        </is>
      </c>
      <c r="W608" s="33" t="inlineStr">
        <is>
          <t>YES</t>
        </is>
      </c>
      <c r="X608" s="33" t="inlineStr">
        <is>
          <t>NO</t>
        </is>
      </c>
      <c r="Y608" s="33" t="n">
        <v>10</v>
      </c>
      <c r="Z608" s="33" t="n">
        <v>7</v>
      </c>
      <c r="AA608" s="33" t="inlineStr">
        <is>
          <t>9</t>
        </is>
      </c>
      <c r="AB608" s="33" t="inlineStr">
        <is>
          <t>https://www.swimcloud.com/results/230467/event/1/?id=66512471#time66512471</t>
        </is>
      </c>
      <c r="AC608" s="33" t="inlineStr">
        <is>
          <t>SwimCloud API v6 2026-10-08</t>
        </is>
      </c>
      <c r="AD608" s="33" t="inlineStr">
        <is>
          <t>Duncan Scott|2015-11-06|LCM|100|Free|50.22|2015 FINA/AIRWEAVE SWIMMING WORLD CUP|PRE|False</t>
        </is>
      </c>
      <c r="AE608" s="53">
        <f>G608+L608/1000+ROW()/1000000000</f>
        <v/>
      </c>
      <c r="AF608" s="35">
        <f>IF(C608&lt;&gt;"Grayson Coulter","",COUNTIFS($C$5:$C$2991,"Grayson Coulter",$Q$5:$Q$2991,Q608,$AE$5:$AE$2991,"&lt;="&amp;AE608,$R$5:$R$2991,"&lt;"&amp;R608))</f>
        <v/>
      </c>
      <c r="AG608" s="35">
        <f>IF(OR(C608&lt;&gt;"Grayson Coulter",G608&lt;'00_Control'!$B$7),"",--(AF608&lt;5))</f>
        <v/>
      </c>
      <c r="AH608" s="35">
        <f>IF(OR(C608&lt;&gt;"Grayson Coulter",G608&lt;'00_Control'!$B$7),"",--(AF608&lt;10))</f>
        <v/>
      </c>
      <c r="AI608" s="35">
        <f>IF(AND(C608="Grayson Coulter",G608&gt;='00_Control'!$B$7),"YES","NO")</f>
        <v/>
      </c>
      <c r="AJ608" s="33" t="inlineStr">
        <is>
          <t>OK</t>
        </is>
      </c>
    </row>
    <row r="609">
      <c r="A609" s="33" t="inlineStr">
        <is>
          <t>SM000605</t>
        </is>
      </c>
      <c r="B609" s="33" t="inlineStr">
        <is>
          <t>SW016</t>
        </is>
      </c>
      <c r="C609" s="33" t="inlineStr">
        <is>
          <t>Duncan Scott</t>
        </is>
      </c>
      <c r="D609" s="33" t="inlineStr">
        <is>
          <t>SwimCloud</t>
        </is>
      </c>
      <c r="E609" s="33" t="inlineStr">
        <is>
          <t>375606</t>
        </is>
      </c>
      <c r="F609" s="33" t="inlineStr">
        <is>
          <t>66512473</t>
        </is>
      </c>
      <c r="G609" s="51" t="n">
        <v>42315</v>
      </c>
      <c r="H609" s="33" t="inlineStr">
        <is>
          <t>2015 FINA/AIRWEAVE SWIMMING WORLD CUP</t>
        </is>
      </c>
      <c r="I609" s="33" t="inlineStr">
        <is>
          <t>230467</t>
        </is>
      </c>
      <c r="J609" s="33" t="inlineStr"/>
      <c r="K609" s="33" t="inlineStr">
        <is>
          <t>PRE</t>
        </is>
      </c>
      <c r="L609" s="35">
        <f>IF(K609="FIN",3,IF(OR(K609="SEM",K609="SEMI"),2,IF(OR(K609="PRE",K609="HEAT"),1,IF(V609="YES",4,2))))</f>
        <v/>
      </c>
      <c r="M609" s="33" t="inlineStr">
        <is>
          <t>LCM</t>
        </is>
      </c>
      <c r="N609" s="33" t="n">
        <v>200</v>
      </c>
      <c r="O609" s="33" t="inlineStr">
        <is>
          <t>Free</t>
        </is>
      </c>
      <c r="P609" s="33" t="inlineStr">
        <is>
          <t>200 Free</t>
        </is>
      </c>
      <c r="Q609" s="33" t="inlineStr">
        <is>
          <t>LCM_200_FREE</t>
        </is>
      </c>
      <c r="R609" s="36" t="n">
        <v>109.96</v>
      </c>
      <c r="S609" s="35">
        <f>IF(R609="","",IF(R609&gt;=60,INT(R609/60)&amp;":"&amp;TEXT(MOD(R609,60),"00.00"),TEXT(R609,"0.00")))</f>
        <v/>
      </c>
      <c r="T609" s="52">
        <f>IFERROR((G609-INDEX('01_Swimmers'!$E$5:$E$22,MATCH(B609,'01_Swimmers'!$A$5:$A$22,0)))/'00_Control'!$B$10,"")</f>
        <v/>
      </c>
      <c r="U609" s="35">
        <f>IF(T609="","",INT(T609))</f>
        <v/>
      </c>
      <c r="V609" s="33" t="inlineStr">
        <is>
          <t>NO</t>
        </is>
      </c>
      <c r="W609" s="33" t="inlineStr">
        <is>
          <t>YES</t>
        </is>
      </c>
      <c r="X609" s="33" t="inlineStr">
        <is>
          <t>NO</t>
        </is>
      </c>
      <c r="Y609" s="33" t="n">
        <v>6</v>
      </c>
      <c r="Z609" s="33" t="n">
        <v>7</v>
      </c>
      <c r="AA609" s="33" t="inlineStr">
        <is>
          <t>9</t>
        </is>
      </c>
      <c r="AB609" s="33" t="inlineStr">
        <is>
          <t>https://www.swimcloud.com/results/230467/event/18/?id=66512473#time66512473</t>
        </is>
      </c>
      <c r="AC609" s="33" t="inlineStr">
        <is>
          <t>SwimCloud API v6 2026-10-08</t>
        </is>
      </c>
      <c r="AD609" s="33" t="inlineStr">
        <is>
          <t>Duncan Scott|2015-11-07|LCM|200|Free|109.96|2015 FINA/AIRWEAVE SWIMMING WORLD CUP|PRE|False</t>
        </is>
      </c>
      <c r="AE609" s="53">
        <f>G609+L609/1000+ROW()/1000000000</f>
        <v/>
      </c>
      <c r="AF609" s="35">
        <f>IF(C609&lt;&gt;"Grayson Coulter","",COUNTIFS($C$5:$C$2991,"Grayson Coulter",$Q$5:$Q$2991,Q609,$AE$5:$AE$2991,"&lt;="&amp;AE609,$R$5:$R$2991,"&lt;"&amp;R609))</f>
        <v/>
      </c>
      <c r="AG609" s="35">
        <f>IF(OR(C609&lt;&gt;"Grayson Coulter",G609&lt;'00_Control'!$B$7),"",--(AF609&lt;5))</f>
        <v/>
      </c>
      <c r="AH609" s="35">
        <f>IF(OR(C609&lt;&gt;"Grayson Coulter",G609&lt;'00_Control'!$B$7),"",--(AF609&lt;10))</f>
        <v/>
      </c>
      <c r="AI609" s="35">
        <f>IF(AND(C609="Grayson Coulter",G609&gt;='00_Control'!$B$7),"YES","NO")</f>
        <v/>
      </c>
      <c r="AJ609" s="33" t="inlineStr">
        <is>
          <t>OK</t>
        </is>
      </c>
    </row>
    <row r="610">
      <c r="A610" s="33" t="inlineStr">
        <is>
          <t>SM000606</t>
        </is>
      </c>
      <c r="B610" s="33" t="inlineStr">
        <is>
          <t>SW016</t>
        </is>
      </c>
      <c r="C610" s="33" t="inlineStr">
        <is>
          <t>Duncan Scott</t>
        </is>
      </c>
      <c r="D610" s="33" t="inlineStr">
        <is>
          <t>SwimCloud</t>
        </is>
      </c>
      <c r="E610" s="33" t="inlineStr">
        <is>
          <t>375606</t>
        </is>
      </c>
      <c r="F610" s="33" t="inlineStr">
        <is>
          <t>123844235</t>
        </is>
      </c>
      <c r="G610" s="51" t="n">
        <v>42349</v>
      </c>
      <c r="H610" s="33" t="inlineStr">
        <is>
          <t>Scottish National Short Course Open Championship</t>
        </is>
      </c>
      <c r="I610" s="33" t="inlineStr">
        <is>
          <t>301130</t>
        </is>
      </c>
      <c r="J610" s="33" t="inlineStr"/>
      <c r="K610" s="33" t="inlineStr">
        <is>
          <t>PRE</t>
        </is>
      </c>
      <c r="L610" s="35">
        <f>IF(K610="FIN",3,IF(OR(K610="SEM",K610="SEMI"),2,IF(OR(K610="PRE",K610="HEAT"),1,IF(V610="YES",4,2))))</f>
        <v/>
      </c>
      <c r="M610" s="33" t="inlineStr">
        <is>
          <t>SCM</t>
        </is>
      </c>
      <c r="N610" s="33" t="n">
        <v>400</v>
      </c>
      <c r="O610" s="33" t="inlineStr">
        <is>
          <t>Free</t>
        </is>
      </c>
      <c r="P610" s="33" t="inlineStr">
        <is>
          <t>400 Free</t>
        </is>
      </c>
      <c r="Q610" s="33" t="inlineStr">
        <is>
          <t>SCM_400_FREE</t>
        </is>
      </c>
      <c r="R610" s="36" t="n">
        <v>231.88</v>
      </c>
      <c r="S610" s="35">
        <f>IF(R610="","",IF(R610&gt;=60,INT(R610/60)&amp;":"&amp;TEXT(MOD(R610,60),"00.00"),TEXT(R610,"0.00")))</f>
        <v/>
      </c>
      <c r="T610" s="52">
        <f>IFERROR((G610-INDEX('01_Swimmers'!$E$5:$E$22,MATCH(B610,'01_Swimmers'!$A$5:$A$22,0)))/'00_Control'!$B$10,"")</f>
        <v/>
      </c>
      <c r="U610" s="35">
        <f>IF(T610="","",INT(T610))</f>
        <v/>
      </c>
      <c r="V610" s="33" t="inlineStr">
        <is>
          <t>NO</t>
        </is>
      </c>
      <c r="W610" s="33" t="inlineStr">
        <is>
          <t>YES</t>
        </is>
      </c>
      <c r="X610" s="33" t="inlineStr">
        <is>
          <t>NO</t>
        </is>
      </c>
      <c r="Y610" s="33" t="n">
        <v>5</v>
      </c>
      <c r="Z610" s="33" t="n">
        <v>5</v>
      </c>
      <c r="AA610" s="33" t="inlineStr">
        <is>
          <t>3</t>
        </is>
      </c>
      <c r="AB610" s="33" t="inlineStr">
        <is>
          <t>https://www.swimcloud.com/results/301130/event/109/?id=123844235#time123844235</t>
        </is>
      </c>
      <c r="AC610" s="33" t="inlineStr">
        <is>
          <t>SwimCloud API v6 2026-10-08</t>
        </is>
      </c>
      <c r="AD610" s="33" t="inlineStr">
        <is>
          <t>Duncan Scott|2015-12-11|SCM|400|Free|231.88|Scottish National Short Course Open Championship|PRE|False</t>
        </is>
      </c>
      <c r="AE610" s="53">
        <f>G610+L610/1000+ROW()/1000000000</f>
        <v/>
      </c>
      <c r="AF610" s="35">
        <f>IF(C610&lt;&gt;"Grayson Coulter","",COUNTIFS($C$5:$C$2991,"Grayson Coulter",$Q$5:$Q$2991,Q610,$AE$5:$AE$2991,"&lt;="&amp;AE610,$R$5:$R$2991,"&lt;"&amp;R610))</f>
        <v/>
      </c>
      <c r="AG610" s="35">
        <f>IF(OR(C610&lt;&gt;"Grayson Coulter",G610&lt;'00_Control'!$B$7),"",--(AF610&lt;5))</f>
        <v/>
      </c>
      <c r="AH610" s="35">
        <f>IF(OR(C610&lt;&gt;"Grayson Coulter",G610&lt;'00_Control'!$B$7),"",--(AF610&lt;10))</f>
        <v/>
      </c>
      <c r="AI610" s="35">
        <f>IF(AND(C610="Grayson Coulter",G610&gt;='00_Control'!$B$7),"YES","NO")</f>
        <v/>
      </c>
      <c r="AJ610" s="33" t="inlineStr">
        <is>
          <t>OK</t>
        </is>
      </c>
    </row>
    <row r="611">
      <c r="A611" s="33" t="inlineStr">
        <is>
          <t>SM000607</t>
        </is>
      </c>
      <c r="B611" s="33" t="inlineStr">
        <is>
          <t>SW016</t>
        </is>
      </c>
      <c r="C611" s="33" t="inlineStr">
        <is>
          <t>Duncan Scott</t>
        </is>
      </c>
      <c r="D611" s="33" t="inlineStr">
        <is>
          <t>SwimCloud</t>
        </is>
      </c>
      <c r="E611" s="33" t="inlineStr">
        <is>
          <t>375606</t>
        </is>
      </c>
      <c r="F611" s="33" t="inlineStr">
        <is>
          <t>123843620</t>
        </is>
      </c>
      <c r="G611" s="51" t="n">
        <v>42349</v>
      </c>
      <c r="H611" s="33" t="inlineStr">
        <is>
          <t>Scottish National Short Course Open Championship</t>
        </is>
      </c>
      <c r="I611" s="33" t="inlineStr">
        <is>
          <t>301130</t>
        </is>
      </c>
      <c r="J611" s="33" t="inlineStr"/>
      <c r="K611" s="33" t="inlineStr">
        <is>
          <t>FIN</t>
        </is>
      </c>
      <c r="L611" s="35">
        <f>IF(K611="FIN",3,IF(OR(K611="SEM",K611="SEMI"),2,IF(OR(K611="PRE",K611="HEAT"),1,IF(V611="YES",4,2))))</f>
        <v/>
      </c>
      <c r="M611" s="33" t="inlineStr">
        <is>
          <t>SCM</t>
        </is>
      </c>
      <c r="N611" s="33" t="n">
        <v>400</v>
      </c>
      <c r="O611" s="33" t="inlineStr">
        <is>
          <t>Free</t>
        </is>
      </c>
      <c r="P611" s="33" t="inlineStr">
        <is>
          <t>400 Free</t>
        </is>
      </c>
      <c r="Q611" s="33" t="inlineStr">
        <is>
          <t>SCM_400_FREE</t>
        </is>
      </c>
      <c r="R611" s="36" t="n">
        <v>221.33</v>
      </c>
      <c r="S611" s="35">
        <f>IF(R611="","",IF(R611&gt;=60,INT(R611/60)&amp;":"&amp;TEXT(MOD(R611,60),"00.00"),TEXT(R611,"0.00")))</f>
        <v/>
      </c>
      <c r="T611" s="52">
        <f>IFERROR((G611-INDEX('01_Swimmers'!$E$5:$E$22,MATCH(B611,'01_Swimmers'!$A$5:$A$22,0)))/'00_Control'!$B$10,"")</f>
        <v/>
      </c>
      <c r="U611" s="35">
        <f>IF(T611="","",INT(T611))</f>
        <v/>
      </c>
      <c r="V611" s="33" t="inlineStr">
        <is>
          <t>NO</t>
        </is>
      </c>
      <c r="W611" s="33" t="inlineStr">
        <is>
          <t>YES</t>
        </is>
      </c>
      <c r="X611" s="33" t="inlineStr">
        <is>
          <t>NO</t>
        </is>
      </c>
      <c r="Y611" s="33" t="n">
        <v>2</v>
      </c>
      <c r="Z611" s="33" t="n">
        <v>6</v>
      </c>
      <c r="AA611" s="33" t="inlineStr">
        <is>
          <t>2</t>
        </is>
      </c>
      <c r="AB611" s="33" t="inlineStr">
        <is>
          <t>https://www.swimcloud.com/results/301130/event/109/?id=123843620#time123843620</t>
        </is>
      </c>
      <c r="AC611" s="33" t="inlineStr">
        <is>
          <t>SwimCloud API v6 2026-10-08</t>
        </is>
      </c>
      <c r="AD611" s="33" t="inlineStr">
        <is>
          <t>Duncan Scott|2015-12-11|SCM|400|Free|221.33|Scottish National Short Course Open Championship|FIN|False</t>
        </is>
      </c>
      <c r="AE611" s="53">
        <f>G611+L611/1000+ROW()/1000000000</f>
        <v/>
      </c>
      <c r="AF611" s="35">
        <f>IF(C611&lt;&gt;"Grayson Coulter","",COUNTIFS($C$5:$C$2991,"Grayson Coulter",$Q$5:$Q$2991,Q611,$AE$5:$AE$2991,"&lt;="&amp;AE611,$R$5:$R$2991,"&lt;"&amp;R611))</f>
        <v/>
      </c>
      <c r="AG611" s="35">
        <f>IF(OR(C611&lt;&gt;"Grayson Coulter",G611&lt;'00_Control'!$B$7),"",--(AF611&lt;5))</f>
        <v/>
      </c>
      <c r="AH611" s="35">
        <f>IF(OR(C611&lt;&gt;"Grayson Coulter",G611&lt;'00_Control'!$B$7),"",--(AF611&lt;10))</f>
        <v/>
      </c>
      <c r="AI611" s="35">
        <f>IF(AND(C611="Grayson Coulter",G611&gt;='00_Control'!$B$7),"YES","NO")</f>
        <v/>
      </c>
      <c r="AJ611" s="33" t="inlineStr">
        <is>
          <t>OK</t>
        </is>
      </c>
    </row>
    <row r="612">
      <c r="A612" s="33" t="inlineStr">
        <is>
          <t>SM000608</t>
        </is>
      </c>
      <c r="B612" s="33" t="inlineStr">
        <is>
          <t>SW016</t>
        </is>
      </c>
      <c r="C612" s="33" t="inlineStr">
        <is>
          <t>Duncan Scott</t>
        </is>
      </c>
      <c r="D612" s="33" t="inlineStr">
        <is>
          <t>SwimCloud</t>
        </is>
      </c>
      <c r="E612" s="33" t="inlineStr">
        <is>
          <t>375606</t>
        </is>
      </c>
      <c r="F612" s="33" t="inlineStr">
        <is>
          <t>123845652</t>
        </is>
      </c>
      <c r="G612" s="51" t="n">
        <v>42351</v>
      </c>
      <c r="H612" s="33" t="inlineStr">
        <is>
          <t>Scottish National Short Course Open Championship</t>
        </is>
      </c>
      <c r="I612" s="33" t="inlineStr">
        <is>
          <t>301130</t>
        </is>
      </c>
      <c r="J612" s="33" t="inlineStr"/>
      <c r="K612" s="33" t="inlineStr">
        <is>
          <t>TIM</t>
        </is>
      </c>
      <c r="L612" s="35">
        <f>IF(K612="FIN",3,IF(OR(K612="SEM",K612="SEMI"),2,IF(OR(K612="PRE",K612="HEAT"),1,IF(V612="YES",4,2))))</f>
        <v/>
      </c>
      <c r="M612" s="33" t="inlineStr">
        <is>
          <t>SCM</t>
        </is>
      </c>
      <c r="N612" s="33" t="n">
        <v>100</v>
      </c>
      <c r="O612" s="33" t="inlineStr">
        <is>
          <t>Free</t>
        </is>
      </c>
      <c r="P612" s="33" t="inlineStr">
        <is>
          <t>100 Free</t>
        </is>
      </c>
      <c r="Q612" s="33" t="inlineStr">
        <is>
          <t>SCM_100_FREE</t>
        </is>
      </c>
      <c r="R612" s="36" t="n">
        <v>47.37</v>
      </c>
      <c r="S612" s="35">
        <f>IF(R612="","",IF(R612&gt;=60,INT(R612/60)&amp;":"&amp;TEXT(MOD(R612,60),"00.00"),TEXT(R612,"0.00")))</f>
        <v/>
      </c>
      <c r="T612" s="52">
        <f>IFERROR((G612-INDEX('01_Swimmers'!$E$5:$E$22,MATCH(B612,'01_Swimmers'!$A$5:$A$22,0)))/'00_Control'!$B$10,"")</f>
        <v/>
      </c>
      <c r="U612" s="35">
        <f>IF(T612="","",INT(T612))</f>
        <v/>
      </c>
      <c r="V612" s="33" t="inlineStr">
        <is>
          <t>YES</t>
        </is>
      </c>
      <c r="W612" s="33" t="inlineStr">
        <is>
          <t>YES</t>
        </is>
      </c>
      <c r="X612" s="33" t="inlineStr">
        <is>
          <t>NO</t>
        </is>
      </c>
      <c r="Y612" s="33" t="n">
        <v>3</v>
      </c>
      <c r="Z612" s="33" t="n">
        <v>5</v>
      </c>
      <c r="AA612" s="33" t="inlineStr"/>
      <c r="AB612" s="33" t="inlineStr">
        <is>
          <t>https://www.swimcloud.com/results/301130/event/312/?id=123843816#time123843816</t>
        </is>
      </c>
      <c r="AC612" s="33" t="inlineStr">
        <is>
          <t>SwimCloud API v6 2026-10-08</t>
        </is>
      </c>
      <c r="AD612" s="33" t="inlineStr">
        <is>
          <t>Duncan Scott|2015-12-13|SCM|100|Free|47.37|Scottish National Short Course Open Championship|TIM|True</t>
        </is>
      </c>
      <c r="AE612" s="53">
        <f>G612+L612/1000+ROW()/1000000000</f>
        <v/>
      </c>
      <c r="AF612" s="35">
        <f>IF(C612&lt;&gt;"Grayson Coulter","",COUNTIFS($C$5:$C$2991,"Grayson Coulter",$Q$5:$Q$2991,Q612,$AE$5:$AE$2991,"&lt;="&amp;AE612,$R$5:$R$2991,"&lt;"&amp;R612))</f>
        <v/>
      </c>
      <c r="AG612" s="35">
        <f>IF(OR(C612&lt;&gt;"Grayson Coulter",G612&lt;'00_Control'!$B$7),"",--(AF612&lt;5))</f>
        <v/>
      </c>
      <c r="AH612" s="35">
        <f>IF(OR(C612&lt;&gt;"Grayson Coulter",G612&lt;'00_Control'!$B$7),"",--(AF612&lt;10))</f>
        <v/>
      </c>
      <c r="AI612" s="35">
        <f>IF(AND(C612="Grayson Coulter",G612&gt;='00_Control'!$B$7),"YES","NO")</f>
        <v/>
      </c>
      <c r="AJ612" s="33" t="inlineStr">
        <is>
          <t>OK</t>
        </is>
      </c>
    </row>
    <row r="613">
      <c r="A613" s="33" t="inlineStr">
        <is>
          <t>SM000609</t>
        </is>
      </c>
      <c r="B613" s="33" t="inlineStr">
        <is>
          <t>SW016</t>
        </is>
      </c>
      <c r="C613" s="33" t="inlineStr">
        <is>
          <t>Duncan Scott</t>
        </is>
      </c>
      <c r="D613" s="33" t="inlineStr">
        <is>
          <t>SwimCloud</t>
        </is>
      </c>
      <c r="E613" s="33" t="inlineStr">
        <is>
          <t>375606</t>
        </is>
      </c>
      <c r="F613" s="33" t="inlineStr">
        <is>
          <t>123844161</t>
        </is>
      </c>
      <c r="G613" s="51" t="n">
        <v>42351</v>
      </c>
      <c r="H613" s="33" t="inlineStr">
        <is>
          <t>Scottish National Short Course Open Championship</t>
        </is>
      </c>
      <c r="I613" s="33" t="inlineStr">
        <is>
          <t>301130</t>
        </is>
      </c>
      <c r="J613" s="33" t="inlineStr"/>
      <c r="K613" s="33" t="inlineStr">
        <is>
          <t>PRE</t>
        </is>
      </c>
      <c r="L613" s="35">
        <f>IF(K613="FIN",3,IF(OR(K613="SEM",K613="SEMI"),2,IF(OR(K613="PRE",K613="HEAT"),1,IF(V613="YES",4,2))))</f>
        <v/>
      </c>
      <c r="M613" s="33" t="inlineStr">
        <is>
          <t>SCM</t>
        </is>
      </c>
      <c r="N613" s="33" t="n">
        <v>200</v>
      </c>
      <c r="O613" s="33" t="inlineStr">
        <is>
          <t>Free</t>
        </is>
      </c>
      <c r="P613" s="33" t="inlineStr">
        <is>
          <t>200 Free</t>
        </is>
      </c>
      <c r="Q613" s="33" t="inlineStr">
        <is>
          <t>SCM_200_FREE</t>
        </is>
      </c>
      <c r="R613" s="36" t="n">
        <v>108.35</v>
      </c>
      <c r="S613" s="35">
        <f>IF(R613="","",IF(R613&gt;=60,INT(R613/60)&amp;":"&amp;TEXT(MOD(R613,60),"00.00"),TEXT(R613,"0.00")))</f>
        <v/>
      </c>
      <c r="T613" s="52">
        <f>IFERROR((G613-INDEX('01_Swimmers'!$E$5:$E$22,MATCH(B613,'01_Swimmers'!$A$5:$A$22,0)))/'00_Control'!$B$10,"")</f>
        <v/>
      </c>
      <c r="U613" s="35">
        <f>IF(T613="","",INT(T613))</f>
        <v/>
      </c>
      <c r="V613" s="33" t="inlineStr">
        <is>
          <t>NO</t>
        </is>
      </c>
      <c r="W613" s="33" t="inlineStr">
        <is>
          <t>YES</t>
        </is>
      </c>
      <c r="X613" s="33" t="inlineStr">
        <is>
          <t>NO</t>
        </is>
      </c>
      <c r="Y613" s="33" t="n">
        <v>5</v>
      </c>
      <c r="Z613" s="33" t="n">
        <v>5</v>
      </c>
      <c r="AA613" s="33" t="inlineStr">
        <is>
          <t>4</t>
        </is>
      </c>
      <c r="AB613" s="33" t="inlineStr">
        <is>
          <t>https://www.swimcloud.com/results/301130/event/306/?id=123844161#time123844161</t>
        </is>
      </c>
      <c r="AC613" s="33" t="inlineStr">
        <is>
          <t>SwimCloud API v6 2026-10-08</t>
        </is>
      </c>
      <c r="AD613" s="33" t="inlineStr">
        <is>
          <t>Duncan Scott|2015-12-13|SCM|200|Free|108.35|Scottish National Short Course Open Championship|PRE|False</t>
        </is>
      </c>
      <c r="AE613" s="53">
        <f>G613+L613/1000+ROW()/1000000000</f>
        <v/>
      </c>
      <c r="AF613" s="35">
        <f>IF(C613&lt;&gt;"Grayson Coulter","",COUNTIFS($C$5:$C$2991,"Grayson Coulter",$Q$5:$Q$2991,Q613,$AE$5:$AE$2991,"&lt;="&amp;AE613,$R$5:$R$2991,"&lt;"&amp;R613))</f>
        <v/>
      </c>
      <c r="AG613" s="35">
        <f>IF(OR(C613&lt;&gt;"Grayson Coulter",G613&lt;'00_Control'!$B$7),"",--(AF613&lt;5))</f>
        <v/>
      </c>
      <c r="AH613" s="35">
        <f>IF(OR(C613&lt;&gt;"Grayson Coulter",G613&lt;'00_Control'!$B$7),"",--(AF613&lt;10))</f>
        <v/>
      </c>
      <c r="AI613" s="35">
        <f>IF(AND(C613="Grayson Coulter",G613&gt;='00_Control'!$B$7),"YES","NO")</f>
        <v/>
      </c>
      <c r="AJ613" s="33" t="inlineStr">
        <is>
          <t>OK</t>
        </is>
      </c>
    </row>
    <row r="614">
      <c r="A614" s="33" t="inlineStr">
        <is>
          <t>SM000610</t>
        </is>
      </c>
      <c r="B614" s="33" t="inlineStr">
        <is>
          <t>SW016</t>
        </is>
      </c>
      <c r="C614" s="33" t="inlineStr">
        <is>
          <t>Duncan Scott</t>
        </is>
      </c>
      <c r="D614" s="33" t="inlineStr">
        <is>
          <t>SwimCloud</t>
        </is>
      </c>
      <c r="E614" s="33" t="inlineStr">
        <is>
          <t>375606</t>
        </is>
      </c>
      <c r="F614" s="33" t="inlineStr">
        <is>
          <t>123843167</t>
        </is>
      </c>
      <c r="G614" s="51" t="n">
        <v>42351</v>
      </c>
      <c r="H614" s="33" t="inlineStr">
        <is>
          <t>Scottish National Short Course Open Championship</t>
        </is>
      </c>
      <c r="I614" s="33" t="inlineStr">
        <is>
          <t>301130</t>
        </is>
      </c>
      <c r="J614" s="33" t="inlineStr"/>
      <c r="K614" s="33" t="inlineStr">
        <is>
          <t>FIN</t>
        </is>
      </c>
      <c r="L614" s="35">
        <f>IF(K614="FIN",3,IF(OR(K614="SEM",K614="SEMI"),2,IF(OR(K614="PRE",K614="HEAT"),1,IF(V614="YES",4,2))))</f>
        <v/>
      </c>
      <c r="M614" s="33" t="inlineStr">
        <is>
          <t>SCM</t>
        </is>
      </c>
      <c r="N614" s="33" t="n">
        <v>200</v>
      </c>
      <c r="O614" s="33" t="inlineStr">
        <is>
          <t>Free</t>
        </is>
      </c>
      <c r="P614" s="33" t="inlineStr">
        <is>
          <t>200 Free</t>
        </is>
      </c>
      <c r="Q614" s="33" t="inlineStr">
        <is>
          <t>SCM_200_FREE</t>
        </is>
      </c>
      <c r="R614" s="36" t="n">
        <v>104.8</v>
      </c>
      <c r="S614" s="35">
        <f>IF(R614="","",IF(R614&gt;=60,INT(R614/60)&amp;":"&amp;TEXT(MOD(R614,60),"00.00"),TEXT(R614,"0.00")))</f>
        <v/>
      </c>
      <c r="T614" s="52">
        <f>IFERROR((G614-INDEX('01_Swimmers'!$E$5:$E$22,MATCH(B614,'01_Swimmers'!$A$5:$A$22,0)))/'00_Control'!$B$10,"")</f>
        <v/>
      </c>
      <c r="U614" s="35">
        <f>IF(T614="","",INT(T614))</f>
        <v/>
      </c>
      <c r="V614" s="33" t="inlineStr">
        <is>
          <t>NO</t>
        </is>
      </c>
      <c r="W614" s="33" t="inlineStr">
        <is>
          <t>YES</t>
        </is>
      </c>
      <c r="X614" s="33" t="inlineStr">
        <is>
          <t>NO</t>
        </is>
      </c>
      <c r="Y614" s="33" t="n">
        <v>2</v>
      </c>
      <c r="Z614" s="33" t="n">
        <v>6</v>
      </c>
      <c r="AA614" s="33" t="inlineStr">
        <is>
          <t>4</t>
        </is>
      </c>
      <c r="AB614" s="33" t="inlineStr">
        <is>
          <t>https://www.swimcloud.com/results/301130/event/306/?id=123843167#time123843167</t>
        </is>
      </c>
      <c r="AC614" s="33" t="inlineStr">
        <is>
          <t>SwimCloud API v6 2026-10-08</t>
        </is>
      </c>
      <c r="AD614" s="33" t="inlineStr">
        <is>
          <t>Duncan Scott|2015-12-13|SCM|200|Free|104.8|Scottish National Short Course Open Championship|FIN|False</t>
        </is>
      </c>
      <c r="AE614" s="53">
        <f>G614+L614/1000+ROW()/1000000000</f>
        <v/>
      </c>
      <c r="AF614" s="35">
        <f>IF(C614&lt;&gt;"Grayson Coulter","",COUNTIFS($C$5:$C$2991,"Grayson Coulter",$Q$5:$Q$2991,Q614,$AE$5:$AE$2991,"&lt;="&amp;AE614,$R$5:$R$2991,"&lt;"&amp;R614))</f>
        <v/>
      </c>
      <c r="AG614" s="35">
        <f>IF(OR(C614&lt;&gt;"Grayson Coulter",G614&lt;'00_Control'!$B$7),"",--(AF614&lt;5))</f>
        <v/>
      </c>
      <c r="AH614" s="35">
        <f>IF(OR(C614&lt;&gt;"Grayson Coulter",G614&lt;'00_Control'!$B$7),"",--(AF614&lt;10))</f>
        <v/>
      </c>
      <c r="AI614" s="35">
        <f>IF(AND(C614="Grayson Coulter",G614&gt;='00_Control'!$B$7),"YES","NO")</f>
        <v/>
      </c>
      <c r="AJ614" s="33" t="inlineStr">
        <is>
          <t>OK</t>
        </is>
      </c>
    </row>
    <row r="615">
      <c r="A615" s="33" t="inlineStr">
        <is>
          <t>SM000611</t>
        </is>
      </c>
      <c r="B615" s="33" t="inlineStr">
        <is>
          <t>SW016</t>
        </is>
      </c>
      <c r="C615" s="33" t="inlineStr">
        <is>
          <t>Duncan Scott</t>
        </is>
      </c>
      <c r="D615" s="33" t="inlineStr">
        <is>
          <t>SwimCloud</t>
        </is>
      </c>
      <c r="E615" s="33" t="inlineStr">
        <is>
          <t>375606</t>
        </is>
      </c>
      <c r="F615" s="33" t="inlineStr">
        <is>
          <t>123699394</t>
        </is>
      </c>
      <c r="G615" s="51" t="n">
        <v>42553</v>
      </c>
      <c r="H615" s="33" t="inlineStr">
        <is>
          <t>2016 Scottish National Open Championship</t>
        </is>
      </c>
      <c r="I615" s="33" t="inlineStr">
        <is>
          <t>75002</t>
        </is>
      </c>
      <c r="J615" s="33" t="inlineStr"/>
      <c r="K615" s="33" t="inlineStr">
        <is>
          <t>TIM</t>
        </is>
      </c>
      <c r="L615" s="35">
        <f>IF(K615="FIN",3,IF(OR(K615="SEM",K615="SEMI"),2,IF(OR(K615="PRE",K615="HEAT"),1,IF(V615="YES",4,2))))</f>
        <v/>
      </c>
      <c r="M615" s="33" t="inlineStr">
        <is>
          <t>LCM</t>
        </is>
      </c>
      <c r="N615" s="33" t="n">
        <v>100</v>
      </c>
      <c r="O615" s="33" t="inlineStr">
        <is>
          <t>Free</t>
        </is>
      </c>
      <c r="P615" s="33" t="inlineStr">
        <is>
          <t>100 Free</t>
        </is>
      </c>
      <c r="Q615" s="33" t="inlineStr">
        <is>
          <t>LCM_100_FREE</t>
        </is>
      </c>
      <c r="R615" s="36" t="n">
        <v>48.78</v>
      </c>
      <c r="S615" s="35">
        <f>IF(R615="","",IF(R615&gt;=60,INT(R615/60)&amp;":"&amp;TEXT(MOD(R615,60),"00.00"),TEXT(R615,"0.00")))</f>
        <v/>
      </c>
      <c r="T615" s="52">
        <f>IFERROR((G615-INDEX('01_Swimmers'!$E$5:$E$22,MATCH(B615,'01_Swimmers'!$A$5:$A$22,0)))/'00_Control'!$B$10,"")</f>
        <v/>
      </c>
      <c r="U615" s="35">
        <f>IF(T615="","",INT(T615))</f>
        <v/>
      </c>
      <c r="V615" s="33" t="inlineStr">
        <is>
          <t>YES</t>
        </is>
      </c>
      <c r="W615" s="33" t="inlineStr">
        <is>
          <t>YES</t>
        </is>
      </c>
      <c r="X615" s="33" t="inlineStr">
        <is>
          <t>NO</t>
        </is>
      </c>
      <c r="Y615" s="33" t="n">
        <v>3</v>
      </c>
      <c r="Z615" s="33" t="n">
        <v>4</v>
      </c>
      <c r="AA615" s="33" t="inlineStr"/>
      <c r="AB615" s="33" t="inlineStr">
        <is>
          <t>https://www.swimcloud.com/results/75002/event/311/?id=123698836#time123698836</t>
        </is>
      </c>
      <c r="AC615" s="33" t="inlineStr">
        <is>
          <t>SwimCloud API v6 2026-10-08</t>
        </is>
      </c>
      <c r="AD615" s="33" t="inlineStr">
        <is>
          <t>Duncan Scott|2016-07-02|LCM|100|Free|48.78|2016 Scottish National Open Championship|TIM|True</t>
        </is>
      </c>
      <c r="AE615" s="53">
        <f>G615+L615/1000+ROW()/1000000000</f>
        <v/>
      </c>
      <c r="AF615" s="35">
        <f>IF(C615&lt;&gt;"Grayson Coulter","",COUNTIFS($C$5:$C$2991,"Grayson Coulter",$Q$5:$Q$2991,Q615,$AE$5:$AE$2991,"&lt;="&amp;AE615,$R$5:$R$2991,"&lt;"&amp;R615))</f>
        <v/>
      </c>
      <c r="AG615" s="35">
        <f>IF(OR(C615&lt;&gt;"Grayson Coulter",G615&lt;'00_Control'!$B$7),"",--(AF615&lt;5))</f>
        <v/>
      </c>
      <c r="AH615" s="35">
        <f>IF(OR(C615&lt;&gt;"Grayson Coulter",G615&lt;'00_Control'!$B$7),"",--(AF615&lt;10))</f>
        <v/>
      </c>
      <c r="AI615" s="35">
        <f>IF(AND(C615="Grayson Coulter",G615&gt;='00_Control'!$B$7),"YES","NO")</f>
        <v/>
      </c>
      <c r="AJ615" s="33" t="inlineStr">
        <is>
          <t>OK</t>
        </is>
      </c>
    </row>
    <row r="616">
      <c r="A616" s="33" t="inlineStr">
        <is>
          <t>SM000612</t>
        </is>
      </c>
      <c r="B616" s="33" t="inlineStr">
        <is>
          <t>SW016</t>
        </is>
      </c>
      <c r="C616" s="33" t="inlineStr">
        <is>
          <t>Duncan Scott</t>
        </is>
      </c>
      <c r="D616" s="33" t="inlineStr">
        <is>
          <t>SwimCloud</t>
        </is>
      </c>
      <c r="E616" s="33" t="inlineStr">
        <is>
          <t>375606</t>
        </is>
      </c>
      <c r="F616" s="33" t="inlineStr">
        <is>
          <t>15004548</t>
        </is>
      </c>
      <c r="G616" s="51" t="n">
        <v>42591</v>
      </c>
      <c r="H616" s="33" t="inlineStr">
        <is>
          <t>2016 Olympic Games</t>
        </is>
      </c>
      <c r="I616" s="33" t="inlineStr">
        <is>
          <t>106117</t>
        </is>
      </c>
      <c r="J616" s="33" t="inlineStr"/>
      <c r="K616" s="33" t="inlineStr">
        <is>
          <t>PRE</t>
        </is>
      </c>
      <c r="L616" s="35">
        <f>IF(K616="FIN",3,IF(OR(K616="SEM",K616="SEMI"),2,IF(OR(K616="PRE",K616="HEAT"),1,IF(V616="YES",4,2))))</f>
        <v/>
      </c>
      <c r="M616" s="33" t="inlineStr">
        <is>
          <t>LCM</t>
        </is>
      </c>
      <c r="N616" s="33" t="n">
        <v>100</v>
      </c>
      <c r="O616" s="33" t="inlineStr">
        <is>
          <t>Free</t>
        </is>
      </c>
      <c r="P616" s="33" t="inlineStr">
        <is>
          <t>100 Free</t>
        </is>
      </c>
      <c r="Q616" s="33" t="inlineStr">
        <is>
          <t>LCM_100_FREE</t>
        </is>
      </c>
      <c r="R616" s="36" t="n">
        <v>48.01</v>
      </c>
      <c r="S616" s="35">
        <f>IF(R616="","",IF(R616&gt;=60,INT(R616/60)&amp;":"&amp;TEXT(MOD(R616,60),"00.00"),TEXT(R616,"0.00")))</f>
        <v/>
      </c>
      <c r="T616" s="52">
        <f>IFERROR((G616-INDEX('01_Swimmers'!$E$5:$E$22,MATCH(B616,'01_Swimmers'!$A$5:$A$22,0)))/'00_Control'!$B$10,"")</f>
        <v/>
      </c>
      <c r="U616" s="35">
        <f>IF(T616="","",INT(T616))</f>
        <v/>
      </c>
      <c r="V616" s="33" t="inlineStr">
        <is>
          <t>NO</t>
        </is>
      </c>
      <c r="W616" s="33" t="inlineStr">
        <is>
          <t>YES</t>
        </is>
      </c>
      <c r="X616" s="33" t="inlineStr">
        <is>
          <t>NO</t>
        </is>
      </c>
      <c r="Y616" s="33" t="n">
        <v>0</v>
      </c>
      <c r="Z616" s="33" t="n"/>
      <c r="AA616" s="33" t="inlineStr">
        <is>
          <t>19</t>
        </is>
      </c>
      <c r="AB616" s="33" t="inlineStr">
        <is>
          <t>https://www.swimcloud.com/results/106117/event/4/?id=15004548#time15004548</t>
        </is>
      </c>
      <c r="AC616" s="33" t="inlineStr">
        <is>
          <t>SwimCloud API v6 2026-10-08</t>
        </is>
      </c>
      <c r="AD616" s="33" t="inlineStr">
        <is>
          <t>Duncan Scott|2016-08-09|LCM|100|Free|48.01|2016 Olympic Games|PRE|False</t>
        </is>
      </c>
      <c r="AE616" s="53">
        <f>G616+L616/1000+ROW()/1000000000</f>
        <v/>
      </c>
      <c r="AF616" s="35">
        <f>IF(C616&lt;&gt;"Grayson Coulter","",COUNTIFS($C$5:$C$2991,"Grayson Coulter",$Q$5:$Q$2991,Q616,$AE$5:$AE$2991,"&lt;="&amp;AE616,$R$5:$R$2991,"&lt;"&amp;R616))</f>
        <v/>
      </c>
      <c r="AG616" s="35">
        <f>IF(OR(C616&lt;&gt;"Grayson Coulter",G616&lt;'00_Control'!$B$7),"",--(AF616&lt;5))</f>
        <v/>
      </c>
      <c r="AH616" s="35">
        <f>IF(OR(C616&lt;&gt;"Grayson Coulter",G616&lt;'00_Control'!$B$7),"",--(AF616&lt;10))</f>
        <v/>
      </c>
      <c r="AI616" s="35">
        <f>IF(AND(C616="Grayson Coulter",G616&gt;='00_Control'!$B$7),"YES","NO")</f>
        <v/>
      </c>
      <c r="AJ616" s="33" t="inlineStr">
        <is>
          <t>OK</t>
        </is>
      </c>
    </row>
    <row r="617">
      <c r="A617" s="33" t="inlineStr">
        <is>
          <t>SM000613</t>
        </is>
      </c>
      <c r="B617" s="33" t="inlineStr">
        <is>
          <t>SW016</t>
        </is>
      </c>
      <c r="C617" s="33" t="inlineStr">
        <is>
          <t>Duncan Scott</t>
        </is>
      </c>
      <c r="D617" s="33" t="inlineStr">
        <is>
          <t>SwimCloud</t>
        </is>
      </c>
      <c r="E617" s="33" t="inlineStr">
        <is>
          <t>375606</t>
        </is>
      </c>
      <c r="F617" s="33" t="inlineStr">
        <is>
          <t>15004542</t>
        </is>
      </c>
      <c r="G617" s="51" t="n">
        <v>42591</v>
      </c>
      <c r="H617" s="33" t="inlineStr">
        <is>
          <t>2016 Olympic Games</t>
        </is>
      </c>
      <c r="I617" s="33" t="inlineStr">
        <is>
          <t>106117</t>
        </is>
      </c>
      <c r="J617" s="33" t="inlineStr"/>
      <c r="K617" s="33" t="inlineStr">
        <is>
          <t>PRE</t>
        </is>
      </c>
      <c r="L617" s="35">
        <f>IF(K617="FIN",3,IF(OR(K617="SEM",K617="SEMI"),2,IF(OR(K617="PRE",K617="HEAT"),1,IF(V617="YES",4,2))))</f>
        <v/>
      </c>
      <c r="M617" s="33" t="inlineStr">
        <is>
          <t>LCM</t>
        </is>
      </c>
      <c r="N617" s="33" t="n">
        <v>100</v>
      </c>
      <c r="O617" s="33" t="inlineStr">
        <is>
          <t>Free</t>
        </is>
      </c>
      <c r="P617" s="33" t="inlineStr">
        <is>
          <t>100 Free</t>
        </is>
      </c>
      <c r="Q617" s="33" t="inlineStr">
        <is>
          <t>LCM_100_FREE</t>
        </is>
      </c>
      <c r="R617" s="36" t="n">
        <v>48.2</v>
      </c>
      <c r="S617" s="35">
        <f>IF(R617="","",IF(R617&gt;=60,INT(R617/60)&amp;":"&amp;TEXT(MOD(R617,60),"00.00"),TEXT(R617,"0.00")))</f>
        <v/>
      </c>
      <c r="T617" s="52">
        <f>IFERROR((G617-INDEX('01_Swimmers'!$E$5:$E$22,MATCH(B617,'01_Swimmers'!$A$5:$A$22,0)))/'00_Control'!$B$10,"")</f>
        <v/>
      </c>
      <c r="U617" s="35">
        <f>IF(T617="","",INT(T617))</f>
        <v/>
      </c>
      <c r="V617" s="33" t="inlineStr">
        <is>
          <t>NO</t>
        </is>
      </c>
      <c r="W617" s="33" t="inlineStr">
        <is>
          <t>YES</t>
        </is>
      </c>
      <c r="X617" s="33" t="inlineStr">
        <is>
          <t>NO</t>
        </is>
      </c>
      <c r="Y617" s="33" t="n">
        <v>0</v>
      </c>
      <c r="Z617" s="33" t="n"/>
      <c r="AA617" s="33" t="inlineStr">
        <is>
          <t>7</t>
        </is>
      </c>
      <c r="AB617" s="33" t="inlineStr">
        <is>
          <t>https://www.swimcloud.com/results/106117/event/4/?id=15004542#time15004542</t>
        </is>
      </c>
      <c r="AC617" s="33" t="inlineStr">
        <is>
          <t>SwimCloud API v6 2026-10-08</t>
        </is>
      </c>
      <c r="AD617" s="33" t="inlineStr">
        <is>
          <t>Duncan Scott|2016-08-09|LCM|100|Free|48.2|2016 Olympic Games|PRE|False</t>
        </is>
      </c>
      <c r="AE617" s="53">
        <f>G617+L617/1000+ROW()/1000000000</f>
        <v/>
      </c>
      <c r="AF617" s="35">
        <f>IF(C617&lt;&gt;"Grayson Coulter","",COUNTIFS($C$5:$C$2991,"Grayson Coulter",$Q$5:$Q$2991,Q617,$AE$5:$AE$2991,"&lt;="&amp;AE617,$R$5:$R$2991,"&lt;"&amp;R617))</f>
        <v/>
      </c>
      <c r="AG617" s="35">
        <f>IF(OR(C617&lt;&gt;"Grayson Coulter",G617&lt;'00_Control'!$B$7),"",--(AF617&lt;5))</f>
        <v/>
      </c>
      <c r="AH617" s="35">
        <f>IF(OR(C617&lt;&gt;"Grayson Coulter",G617&lt;'00_Control'!$B$7),"",--(AF617&lt;10))</f>
        <v/>
      </c>
      <c r="AI617" s="35">
        <f>IF(AND(C617="Grayson Coulter",G617&gt;='00_Control'!$B$7),"YES","NO")</f>
        <v/>
      </c>
      <c r="AJ617" s="33" t="inlineStr">
        <is>
          <t>OK</t>
        </is>
      </c>
    </row>
    <row r="618">
      <c r="A618" s="33" t="inlineStr">
        <is>
          <t>SM000614</t>
        </is>
      </c>
      <c r="B618" s="33" t="inlineStr">
        <is>
          <t>SW016</t>
        </is>
      </c>
      <c r="C618" s="33" t="inlineStr">
        <is>
          <t>Duncan Scott</t>
        </is>
      </c>
      <c r="D618" s="33" t="inlineStr">
        <is>
          <t>SwimCloud</t>
        </is>
      </c>
      <c r="E618" s="33" t="inlineStr">
        <is>
          <t>375606</t>
        </is>
      </c>
      <c r="F618" s="33" t="inlineStr">
        <is>
          <t>15004617</t>
        </is>
      </c>
      <c r="G618" s="51" t="n">
        <v>42591</v>
      </c>
      <c r="H618" s="33" t="inlineStr">
        <is>
          <t>2016 Olympic Games</t>
        </is>
      </c>
      <c r="I618" s="33" t="inlineStr">
        <is>
          <t>106117</t>
        </is>
      </c>
      <c r="J618" s="33" t="inlineStr"/>
      <c r="K618" s="33" t="inlineStr">
        <is>
          <t>FIN</t>
        </is>
      </c>
      <c r="L618" s="35">
        <f>IF(K618="FIN",3,IF(OR(K618="SEM",K618="SEMI"),2,IF(OR(K618="PRE",K618="HEAT"),1,IF(V618="YES",4,2))))</f>
        <v/>
      </c>
      <c r="M618" s="33" t="inlineStr">
        <is>
          <t>LCM</t>
        </is>
      </c>
      <c r="N618" s="33" t="n">
        <v>100</v>
      </c>
      <c r="O618" s="33" t="inlineStr">
        <is>
          <t>Free</t>
        </is>
      </c>
      <c r="P618" s="33" t="inlineStr">
        <is>
          <t>100 Free</t>
        </is>
      </c>
      <c r="Q618" s="33" t="inlineStr">
        <is>
          <t>LCM_100_FREE</t>
        </is>
      </c>
      <c r="R618" s="36" t="n">
        <v>48.01</v>
      </c>
      <c r="S618" s="35">
        <f>IF(R618="","",IF(R618&gt;=60,INT(R618/60)&amp;":"&amp;TEXT(MOD(R618,60),"00.00"),TEXT(R618,"0.00")))</f>
        <v/>
      </c>
      <c r="T618" s="52">
        <f>IFERROR((G618-INDEX('01_Swimmers'!$E$5:$E$22,MATCH(B618,'01_Swimmers'!$A$5:$A$22,0)))/'00_Control'!$B$10,"")</f>
        <v/>
      </c>
      <c r="U618" s="35">
        <f>IF(T618="","",INT(T618))</f>
        <v/>
      </c>
      <c r="V618" s="33" t="inlineStr">
        <is>
          <t>NO</t>
        </is>
      </c>
      <c r="W618" s="33" t="inlineStr">
        <is>
          <t>YES</t>
        </is>
      </c>
      <c r="X618" s="33" t="inlineStr">
        <is>
          <t>NO</t>
        </is>
      </c>
      <c r="Y618" s="33" t="n">
        <v>0</v>
      </c>
      <c r="Z618" s="33" t="n"/>
      <c r="AA618" s="33" t="inlineStr">
        <is>
          <t>5</t>
        </is>
      </c>
      <c r="AB618" s="33" t="inlineStr">
        <is>
          <t>https://www.swimcloud.com/results/106117/event/4/?id=15004617#time15004617</t>
        </is>
      </c>
      <c r="AC618" s="33" t="inlineStr">
        <is>
          <t>SwimCloud API v6 2026-10-08</t>
        </is>
      </c>
      <c r="AD618" s="33" t="inlineStr">
        <is>
          <t>Duncan Scott|2016-08-09|LCM|100|Free|48.01|2016 Olympic Games|FIN|False</t>
        </is>
      </c>
      <c r="AE618" s="53">
        <f>G618+L618/1000+ROW()/1000000000</f>
        <v/>
      </c>
      <c r="AF618" s="35">
        <f>IF(C618&lt;&gt;"Grayson Coulter","",COUNTIFS($C$5:$C$2991,"Grayson Coulter",$Q$5:$Q$2991,Q618,$AE$5:$AE$2991,"&lt;="&amp;AE618,$R$5:$R$2991,"&lt;"&amp;R618))</f>
        <v/>
      </c>
      <c r="AG618" s="35">
        <f>IF(OR(C618&lt;&gt;"Grayson Coulter",G618&lt;'00_Control'!$B$7),"",--(AF618&lt;5))</f>
        <v/>
      </c>
      <c r="AH618" s="35">
        <f>IF(OR(C618&lt;&gt;"Grayson Coulter",G618&lt;'00_Control'!$B$7),"",--(AF618&lt;10))</f>
        <v/>
      </c>
      <c r="AI618" s="35">
        <f>IF(AND(C618="Grayson Coulter",G618&gt;='00_Control'!$B$7),"YES","NO")</f>
        <v/>
      </c>
      <c r="AJ618" s="33" t="inlineStr">
        <is>
          <t>OK</t>
        </is>
      </c>
    </row>
    <row r="619">
      <c r="A619" s="33" t="inlineStr">
        <is>
          <t>SM000615</t>
        </is>
      </c>
      <c r="B619" s="33" t="inlineStr">
        <is>
          <t>SW016</t>
        </is>
      </c>
      <c r="C619" s="33" t="inlineStr">
        <is>
          <t>Duncan Scott</t>
        </is>
      </c>
      <c r="D619" s="33" t="inlineStr">
        <is>
          <t>SwimCloud</t>
        </is>
      </c>
      <c r="E619" s="33" t="inlineStr">
        <is>
          <t>375606</t>
        </is>
      </c>
      <c r="F619" s="33" t="inlineStr">
        <is>
          <t>123806857</t>
        </is>
      </c>
      <c r="G619" s="51" t="n">
        <v>42713</v>
      </c>
      <c r="H619" s="33" t="inlineStr">
        <is>
          <t>Scottish National Short Course Open Championship</t>
        </is>
      </c>
      <c r="I619" s="33" t="inlineStr">
        <is>
          <t>301128</t>
        </is>
      </c>
      <c r="J619" s="33" t="inlineStr"/>
      <c r="K619" s="33" t="inlineStr">
        <is>
          <t>PRE</t>
        </is>
      </c>
      <c r="L619" s="35">
        <f>IF(K619="FIN",3,IF(OR(K619="SEM",K619="SEMI"),2,IF(OR(K619="PRE",K619="HEAT"),1,IF(V619="YES",4,2))))</f>
        <v/>
      </c>
      <c r="M619" s="33" t="inlineStr">
        <is>
          <t>SCM</t>
        </is>
      </c>
      <c r="N619" s="33" t="n">
        <v>100</v>
      </c>
      <c r="O619" s="33" t="inlineStr">
        <is>
          <t>Fly</t>
        </is>
      </c>
      <c r="P619" s="33" t="inlineStr">
        <is>
          <t>100 Fly</t>
        </is>
      </c>
      <c r="Q619" s="33" t="inlineStr">
        <is>
          <t>SCM_100_FLY</t>
        </is>
      </c>
      <c r="R619" s="36" t="n">
        <v>53.16</v>
      </c>
      <c r="S619" s="35">
        <f>IF(R619="","",IF(R619&gt;=60,INT(R619/60)&amp;":"&amp;TEXT(MOD(R619,60),"00.00"),TEXT(R619,"0.00")))</f>
        <v/>
      </c>
      <c r="T619" s="52">
        <f>IFERROR((G619-INDEX('01_Swimmers'!$E$5:$E$22,MATCH(B619,'01_Swimmers'!$A$5:$A$22,0)))/'00_Control'!$B$10,"")</f>
        <v/>
      </c>
      <c r="U619" s="35">
        <f>IF(T619="","",INT(T619))</f>
        <v/>
      </c>
      <c r="V619" s="33" t="inlineStr">
        <is>
          <t>NO</t>
        </is>
      </c>
      <c r="W619" s="33" t="inlineStr">
        <is>
          <t>YES</t>
        </is>
      </c>
      <c r="X619" s="33" t="inlineStr">
        <is>
          <t>NO</t>
        </is>
      </c>
      <c r="Y619" s="33" t="n">
        <v>3</v>
      </c>
      <c r="Z619" s="33" t="n">
        <v>4</v>
      </c>
      <c r="AA619" s="33" t="inlineStr">
        <is>
          <t>1</t>
        </is>
      </c>
      <c r="AB619" s="33" t="inlineStr">
        <is>
          <t>https://www.swimcloud.com/results/301128/event/105/?id=123806857#time123806857</t>
        </is>
      </c>
      <c r="AC619" s="33" t="inlineStr">
        <is>
          <t>SwimCloud API v6 2026-10-08</t>
        </is>
      </c>
      <c r="AD619" s="33" t="inlineStr">
        <is>
          <t>Duncan Scott|2016-12-09|SCM|100|Fly|53.16|Scottish National Short Course Open Championship|PRE|False</t>
        </is>
      </c>
      <c r="AE619" s="53">
        <f>G619+L619/1000+ROW()/1000000000</f>
        <v/>
      </c>
      <c r="AF619" s="35">
        <f>IF(C619&lt;&gt;"Grayson Coulter","",COUNTIFS($C$5:$C$2991,"Grayson Coulter",$Q$5:$Q$2991,Q619,$AE$5:$AE$2991,"&lt;="&amp;AE619,$R$5:$R$2991,"&lt;"&amp;R619))</f>
        <v/>
      </c>
      <c r="AG619" s="35">
        <f>IF(OR(C619&lt;&gt;"Grayson Coulter",G619&lt;'00_Control'!$B$7),"",--(AF619&lt;5))</f>
        <v/>
      </c>
      <c r="AH619" s="35">
        <f>IF(OR(C619&lt;&gt;"Grayson Coulter",G619&lt;'00_Control'!$B$7),"",--(AF619&lt;10))</f>
        <v/>
      </c>
      <c r="AI619" s="35">
        <f>IF(AND(C619="Grayson Coulter",G619&gt;='00_Control'!$B$7),"YES","NO")</f>
        <v/>
      </c>
      <c r="AJ619" s="33" t="inlineStr">
        <is>
          <t>OK</t>
        </is>
      </c>
    </row>
    <row r="620">
      <c r="A620" s="33" t="inlineStr">
        <is>
          <t>SM000616</t>
        </is>
      </c>
      <c r="B620" s="33" t="inlineStr">
        <is>
          <t>SW016</t>
        </is>
      </c>
      <c r="C620" s="33" t="inlineStr">
        <is>
          <t>Duncan Scott</t>
        </is>
      </c>
      <c r="D620" s="33" t="inlineStr">
        <is>
          <t>SwimCloud</t>
        </is>
      </c>
      <c r="E620" s="33" t="inlineStr">
        <is>
          <t>375606</t>
        </is>
      </c>
      <c r="F620" s="33" t="inlineStr">
        <is>
          <t>123806858</t>
        </is>
      </c>
      <c r="G620" s="51" t="n">
        <v>42713</v>
      </c>
      <c r="H620" s="33" t="inlineStr">
        <is>
          <t>Scottish National Short Course Open Championship</t>
        </is>
      </c>
      <c r="I620" s="33" t="inlineStr">
        <is>
          <t>301128</t>
        </is>
      </c>
      <c r="J620" s="33" t="inlineStr"/>
      <c r="K620" s="33" t="inlineStr">
        <is>
          <t>FIN</t>
        </is>
      </c>
      <c r="L620" s="35">
        <f>IF(K620="FIN",3,IF(OR(K620="SEM",K620="SEMI"),2,IF(OR(K620="PRE",K620="HEAT"),1,IF(V620="YES",4,2))))</f>
        <v/>
      </c>
      <c r="M620" s="33" t="inlineStr">
        <is>
          <t>SCM</t>
        </is>
      </c>
      <c r="N620" s="33" t="n">
        <v>100</v>
      </c>
      <c r="O620" s="33" t="inlineStr">
        <is>
          <t>Fly</t>
        </is>
      </c>
      <c r="P620" s="33" t="inlineStr">
        <is>
          <t>100 Fly</t>
        </is>
      </c>
      <c r="Q620" s="33" t="inlineStr">
        <is>
          <t>SCM_100_FLY</t>
        </is>
      </c>
      <c r="R620" s="36" t="n">
        <v>51.36</v>
      </c>
      <c r="S620" s="35">
        <f>IF(R620="","",IF(R620&gt;=60,INT(R620/60)&amp;":"&amp;TEXT(MOD(R620,60),"00.00"),TEXT(R620,"0.00")))</f>
        <v/>
      </c>
      <c r="T620" s="52">
        <f>IFERROR((G620-INDEX('01_Swimmers'!$E$5:$E$22,MATCH(B620,'01_Swimmers'!$A$5:$A$22,0)))/'00_Control'!$B$10,"")</f>
        <v/>
      </c>
      <c r="U620" s="35">
        <f>IF(T620="","",INT(T620))</f>
        <v/>
      </c>
      <c r="V620" s="33" t="inlineStr">
        <is>
          <t>NO</t>
        </is>
      </c>
      <c r="W620" s="33" t="inlineStr">
        <is>
          <t>YES</t>
        </is>
      </c>
      <c r="X620" s="33" t="inlineStr">
        <is>
          <t>NO</t>
        </is>
      </c>
      <c r="Y620" s="33" t="n">
        <v>2</v>
      </c>
      <c r="Z620" s="33" t="n">
        <v>4</v>
      </c>
      <c r="AA620" s="33" t="inlineStr">
        <is>
          <t>1</t>
        </is>
      </c>
      <c r="AB620" s="33" t="inlineStr">
        <is>
          <t>https://www.swimcloud.com/results/301128/event/105/?id=123806858#time123806858</t>
        </is>
      </c>
      <c r="AC620" s="33" t="inlineStr">
        <is>
          <t>SwimCloud API v6 2026-10-08</t>
        </is>
      </c>
      <c r="AD620" s="33" t="inlineStr">
        <is>
          <t>Duncan Scott|2016-12-09|SCM|100|Fly|51.36|Scottish National Short Course Open Championship|FIN|False</t>
        </is>
      </c>
      <c r="AE620" s="53">
        <f>G620+L620/1000+ROW()/1000000000</f>
        <v/>
      </c>
      <c r="AF620" s="35">
        <f>IF(C620&lt;&gt;"Grayson Coulter","",COUNTIFS($C$5:$C$2991,"Grayson Coulter",$Q$5:$Q$2991,Q620,$AE$5:$AE$2991,"&lt;="&amp;AE620,$R$5:$R$2991,"&lt;"&amp;R620))</f>
        <v/>
      </c>
      <c r="AG620" s="35">
        <f>IF(OR(C620&lt;&gt;"Grayson Coulter",G620&lt;'00_Control'!$B$7),"",--(AF620&lt;5))</f>
        <v/>
      </c>
      <c r="AH620" s="35">
        <f>IF(OR(C620&lt;&gt;"Grayson Coulter",G620&lt;'00_Control'!$B$7),"",--(AF620&lt;10))</f>
        <v/>
      </c>
      <c r="AI620" s="35">
        <f>IF(AND(C620="Grayson Coulter",G620&gt;='00_Control'!$B$7),"YES","NO")</f>
        <v/>
      </c>
      <c r="AJ620" s="33" t="inlineStr">
        <is>
          <t>OK</t>
        </is>
      </c>
    </row>
    <row r="621">
      <c r="A621" s="33" t="inlineStr">
        <is>
          <t>SM000617</t>
        </is>
      </c>
      <c r="B621" s="33" t="inlineStr">
        <is>
          <t>SW016</t>
        </is>
      </c>
      <c r="C621" s="33" t="inlineStr">
        <is>
          <t>Duncan Scott</t>
        </is>
      </c>
      <c r="D621" s="33" t="inlineStr">
        <is>
          <t>SwimCloud</t>
        </is>
      </c>
      <c r="E621" s="33" t="inlineStr">
        <is>
          <t>375606</t>
        </is>
      </c>
      <c r="F621" s="33" t="inlineStr">
        <is>
          <t>123806958</t>
        </is>
      </c>
      <c r="G621" s="51" t="n">
        <v>42713</v>
      </c>
      <c r="H621" s="33" t="inlineStr">
        <is>
          <t>Scottish National Short Course Open Championship</t>
        </is>
      </c>
      <c r="I621" s="33" t="inlineStr">
        <is>
          <t>301128</t>
        </is>
      </c>
      <c r="J621" s="33" t="inlineStr"/>
      <c r="K621" s="33" t="inlineStr">
        <is>
          <t>PRE</t>
        </is>
      </c>
      <c r="L621" s="35">
        <f>IF(K621="FIN",3,IF(OR(K621="SEM",K621="SEMI"),2,IF(OR(K621="PRE",K621="HEAT"),1,IF(V621="YES",4,2))))</f>
        <v/>
      </c>
      <c r="M621" s="33" t="inlineStr">
        <is>
          <t>SCM</t>
        </is>
      </c>
      <c r="N621" s="33" t="n">
        <v>400</v>
      </c>
      <c r="O621" s="33" t="inlineStr">
        <is>
          <t>Free</t>
        </is>
      </c>
      <c r="P621" s="33" t="inlineStr">
        <is>
          <t>400 Free</t>
        </is>
      </c>
      <c r="Q621" s="33" t="inlineStr">
        <is>
          <t>SCM_400_FREE</t>
        </is>
      </c>
      <c r="R621" s="36" t="n">
        <v>230.4</v>
      </c>
      <c r="S621" s="35">
        <f>IF(R621="","",IF(R621&gt;=60,INT(R621/60)&amp;":"&amp;TEXT(MOD(R621,60),"00.00"),TEXT(R621,"0.00")))</f>
        <v/>
      </c>
      <c r="T621" s="52">
        <f>IFERROR((G621-INDEX('01_Swimmers'!$E$5:$E$22,MATCH(B621,'01_Swimmers'!$A$5:$A$22,0)))/'00_Control'!$B$10,"")</f>
        <v/>
      </c>
      <c r="U621" s="35">
        <f>IF(T621="","",INT(T621))</f>
        <v/>
      </c>
      <c r="V621" s="33" t="inlineStr">
        <is>
          <t>NO</t>
        </is>
      </c>
      <c r="W621" s="33" t="inlineStr">
        <is>
          <t>YES</t>
        </is>
      </c>
      <c r="X621" s="33" t="inlineStr">
        <is>
          <t>NO</t>
        </is>
      </c>
      <c r="Y621" s="33" t="n">
        <v>5</v>
      </c>
      <c r="Z621" s="33" t="n">
        <v>4</v>
      </c>
      <c r="AA621" s="33" t="inlineStr">
        <is>
          <t>1</t>
        </is>
      </c>
      <c r="AB621" s="33" t="inlineStr">
        <is>
          <t>https://www.swimcloud.com/results/301128/event/109/?id=123806958#time123806958</t>
        </is>
      </c>
      <c r="AC621" s="33" t="inlineStr">
        <is>
          <t>SwimCloud API v6 2026-10-08</t>
        </is>
      </c>
      <c r="AD621" s="33" t="inlineStr">
        <is>
          <t>Duncan Scott|2016-12-09|SCM|400|Free|230.4|Scottish National Short Course Open Championship|PRE|False</t>
        </is>
      </c>
      <c r="AE621" s="53">
        <f>G621+L621/1000+ROW()/1000000000</f>
        <v/>
      </c>
      <c r="AF621" s="35">
        <f>IF(C621&lt;&gt;"Grayson Coulter","",COUNTIFS($C$5:$C$2991,"Grayson Coulter",$Q$5:$Q$2991,Q621,$AE$5:$AE$2991,"&lt;="&amp;AE621,$R$5:$R$2991,"&lt;"&amp;R621))</f>
        <v/>
      </c>
      <c r="AG621" s="35">
        <f>IF(OR(C621&lt;&gt;"Grayson Coulter",G621&lt;'00_Control'!$B$7),"",--(AF621&lt;5))</f>
        <v/>
      </c>
      <c r="AH621" s="35">
        <f>IF(OR(C621&lt;&gt;"Grayson Coulter",G621&lt;'00_Control'!$B$7),"",--(AF621&lt;10))</f>
        <v/>
      </c>
      <c r="AI621" s="35">
        <f>IF(AND(C621="Grayson Coulter",G621&gt;='00_Control'!$B$7),"YES","NO")</f>
        <v/>
      </c>
      <c r="AJ621" s="33" t="inlineStr">
        <is>
          <t>OK</t>
        </is>
      </c>
    </row>
    <row r="622">
      <c r="A622" s="33" t="inlineStr">
        <is>
          <t>SM000618</t>
        </is>
      </c>
      <c r="B622" s="33" t="inlineStr">
        <is>
          <t>SW016</t>
        </is>
      </c>
      <c r="C622" s="33" t="inlineStr">
        <is>
          <t>Duncan Scott</t>
        </is>
      </c>
      <c r="D622" s="33" t="inlineStr">
        <is>
          <t>SwimCloud</t>
        </is>
      </c>
      <c r="E622" s="33" t="inlineStr">
        <is>
          <t>375606</t>
        </is>
      </c>
      <c r="F622" s="33" t="inlineStr">
        <is>
          <t>123806959</t>
        </is>
      </c>
      <c r="G622" s="51" t="n">
        <v>42713</v>
      </c>
      <c r="H622" s="33" t="inlineStr">
        <is>
          <t>Scottish National Short Course Open Championship</t>
        </is>
      </c>
      <c r="I622" s="33" t="inlineStr">
        <is>
          <t>301128</t>
        </is>
      </c>
      <c r="J622" s="33" t="inlineStr"/>
      <c r="K622" s="33" t="inlineStr">
        <is>
          <t>FIN</t>
        </is>
      </c>
      <c r="L622" s="35">
        <f>IF(K622="FIN",3,IF(OR(K622="SEM",K622="SEMI"),2,IF(OR(K622="PRE",K622="HEAT"),1,IF(V622="YES",4,2))))</f>
        <v/>
      </c>
      <c r="M622" s="33" t="inlineStr">
        <is>
          <t>SCM</t>
        </is>
      </c>
      <c r="N622" s="33" t="n">
        <v>400</v>
      </c>
      <c r="O622" s="33" t="inlineStr">
        <is>
          <t>Free</t>
        </is>
      </c>
      <c r="P622" s="33" t="inlineStr">
        <is>
          <t>400 Free</t>
        </is>
      </c>
      <c r="Q622" s="33" t="inlineStr">
        <is>
          <t>SCM_400_FREE</t>
        </is>
      </c>
      <c r="R622" s="36" t="n">
        <v>220.4</v>
      </c>
      <c r="S622" s="35">
        <f>IF(R622="","",IF(R622&gt;=60,INT(R622/60)&amp;":"&amp;TEXT(MOD(R622,60),"00.00"),TEXT(R622,"0.00")))</f>
        <v/>
      </c>
      <c r="T622" s="52">
        <f>IFERROR((G622-INDEX('01_Swimmers'!$E$5:$E$22,MATCH(B622,'01_Swimmers'!$A$5:$A$22,0)))/'00_Control'!$B$10,"")</f>
        <v/>
      </c>
      <c r="U622" s="35">
        <f>IF(T622="","",INT(T622))</f>
        <v/>
      </c>
      <c r="V622" s="33" t="inlineStr">
        <is>
          <t>NO</t>
        </is>
      </c>
      <c r="W622" s="33" t="inlineStr">
        <is>
          <t>YES</t>
        </is>
      </c>
      <c r="X622" s="33" t="inlineStr">
        <is>
          <t>NO</t>
        </is>
      </c>
      <c r="Y622" s="33" t="n">
        <v>2</v>
      </c>
      <c r="Z622" s="33" t="n">
        <v>4</v>
      </c>
      <c r="AA622" s="33" t="inlineStr">
        <is>
          <t>1</t>
        </is>
      </c>
      <c r="AB622" s="33" t="inlineStr">
        <is>
          <t>https://www.swimcloud.com/results/301128/event/109/?id=123806959#time123806959</t>
        </is>
      </c>
      <c r="AC622" s="33" t="inlineStr">
        <is>
          <t>SwimCloud API v6 2026-10-08</t>
        </is>
      </c>
      <c r="AD622" s="33" t="inlineStr">
        <is>
          <t>Duncan Scott|2016-12-09|SCM|400|Free|220.4|Scottish National Short Course Open Championship|FIN|False</t>
        </is>
      </c>
      <c r="AE622" s="53">
        <f>G622+L622/1000+ROW()/1000000000</f>
        <v/>
      </c>
      <c r="AF622" s="35">
        <f>IF(C622&lt;&gt;"Grayson Coulter","",COUNTIFS($C$5:$C$2991,"Grayson Coulter",$Q$5:$Q$2991,Q622,$AE$5:$AE$2991,"&lt;="&amp;AE622,$R$5:$R$2991,"&lt;"&amp;R622))</f>
        <v/>
      </c>
      <c r="AG622" s="35">
        <f>IF(OR(C622&lt;&gt;"Grayson Coulter",G622&lt;'00_Control'!$B$7),"",--(AF622&lt;5))</f>
        <v/>
      </c>
      <c r="AH622" s="35">
        <f>IF(OR(C622&lt;&gt;"Grayson Coulter",G622&lt;'00_Control'!$B$7),"",--(AF622&lt;10))</f>
        <v/>
      </c>
      <c r="AI622" s="35">
        <f>IF(AND(C622="Grayson Coulter",G622&gt;='00_Control'!$B$7),"YES","NO")</f>
        <v/>
      </c>
      <c r="AJ622" s="33" t="inlineStr">
        <is>
          <t>OK</t>
        </is>
      </c>
    </row>
    <row r="623">
      <c r="A623" s="33" t="inlineStr">
        <is>
          <t>SM000619</t>
        </is>
      </c>
      <c r="B623" s="33" t="inlineStr">
        <is>
          <t>SW016</t>
        </is>
      </c>
      <c r="C623" s="33" t="inlineStr">
        <is>
          <t>Duncan Scott</t>
        </is>
      </c>
      <c r="D623" s="33" t="inlineStr">
        <is>
          <t>SwimCloud</t>
        </is>
      </c>
      <c r="E623" s="33" t="inlineStr">
        <is>
          <t>375606</t>
        </is>
      </c>
      <c r="F623" s="33" t="inlineStr">
        <is>
          <t>123809540</t>
        </is>
      </c>
      <c r="G623" s="51" t="n">
        <v>42715</v>
      </c>
      <c r="H623" s="33" t="inlineStr">
        <is>
          <t>Scottish National Short Course Open Championship</t>
        </is>
      </c>
      <c r="I623" s="33" t="inlineStr">
        <is>
          <t>301128</t>
        </is>
      </c>
      <c r="J623" s="33" t="inlineStr"/>
      <c r="K623" s="33" t="inlineStr">
        <is>
          <t>TIM</t>
        </is>
      </c>
      <c r="L623" s="35">
        <f>IF(K623="FIN",3,IF(OR(K623="SEM",K623="SEMI"),2,IF(OR(K623="PRE",K623="HEAT"),1,IF(V623="YES",4,2))))</f>
        <v/>
      </c>
      <c r="M623" s="33" t="inlineStr">
        <is>
          <t>SCM</t>
        </is>
      </c>
      <c r="N623" s="33" t="n">
        <v>100</v>
      </c>
      <c r="O623" s="33" t="inlineStr">
        <is>
          <t>Free</t>
        </is>
      </c>
      <c r="P623" s="33" t="inlineStr">
        <is>
          <t>100 Free</t>
        </is>
      </c>
      <c r="Q623" s="33" t="inlineStr">
        <is>
          <t>SCM_100_FREE</t>
        </is>
      </c>
      <c r="R623" s="36" t="n">
        <v>46.8</v>
      </c>
      <c r="S623" s="35">
        <f>IF(R623="","",IF(R623&gt;=60,INT(R623/60)&amp;":"&amp;TEXT(MOD(R623,60),"00.00"),TEXT(R623,"0.00")))</f>
        <v/>
      </c>
      <c r="T623" s="52">
        <f>IFERROR((G623-INDEX('01_Swimmers'!$E$5:$E$22,MATCH(B623,'01_Swimmers'!$A$5:$A$22,0)))/'00_Control'!$B$10,"")</f>
        <v/>
      </c>
      <c r="U623" s="35">
        <f>IF(T623="","",INT(T623))</f>
        <v/>
      </c>
      <c r="V623" s="33" t="inlineStr">
        <is>
          <t>YES</t>
        </is>
      </c>
      <c r="W623" s="33" t="inlineStr">
        <is>
          <t>YES</t>
        </is>
      </c>
      <c r="X623" s="33" t="inlineStr">
        <is>
          <t>NO</t>
        </is>
      </c>
      <c r="Y623" s="33" t="n">
        <v>4</v>
      </c>
      <c r="Z623" s="33" t="n">
        <v>4</v>
      </c>
      <c r="AA623" s="33" t="inlineStr"/>
      <c r="AB623" s="33" t="inlineStr">
        <is>
          <t>https://www.swimcloud.com/results/301128/event/332/?id=123808562#time123808562</t>
        </is>
      </c>
      <c r="AC623" s="33" t="inlineStr">
        <is>
          <t>SwimCloud API v6 2026-10-08</t>
        </is>
      </c>
      <c r="AD623" s="33" t="inlineStr">
        <is>
          <t>Duncan Scott|2016-12-11|SCM|100|Free|46.8|Scottish National Short Course Open Championship|TIM|True</t>
        </is>
      </c>
      <c r="AE623" s="53">
        <f>G623+L623/1000+ROW()/1000000000</f>
        <v/>
      </c>
      <c r="AF623" s="35">
        <f>IF(C623&lt;&gt;"Grayson Coulter","",COUNTIFS($C$5:$C$2991,"Grayson Coulter",$Q$5:$Q$2991,Q623,$AE$5:$AE$2991,"&lt;="&amp;AE623,$R$5:$R$2991,"&lt;"&amp;R623))</f>
        <v/>
      </c>
      <c r="AG623" s="35">
        <f>IF(OR(C623&lt;&gt;"Grayson Coulter",G623&lt;'00_Control'!$B$7),"",--(AF623&lt;5))</f>
        <v/>
      </c>
      <c r="AH623" s="35">
        <f>IF(OR(C623&lt;&gt;"Grayson Coulter",G623&lt;'00_Control'!$B$7),"",--(AF623&lt;10))</f>
        <v/>
      </c>
      <c r="AI623" s="35">
        <f>IF(AND(C623="Grayson Coulter",G623&gt;='00_Control'!$B$7),"YES","NO")</f>
        <v/>
      </c>
      <c r="AJ623" s="33" t="inlineStr">
        <is>
          <t>OK</t>
        </is>
      </c>
    </row>
    <row r="624">
      <c r="A624" s="33" t="inlineStr">
        <is>
          <t>SM000620</t>
        </is>
      </c>
      <c r="B624" s="33" t="inlineStr">
        <is>
          <t>SW016</t>
        </is>
      </c>
      <c r="C624" s="33" t="inlineStr">
        <is>
          <t>Duncan Scott</t>
        </is>
      </c>
      <c r="D624" s="33" t="inlineStr">
        <is>
          <t>SwimCloud</t>
        </is>
      </c>
      <c r="E624" s="33" t="inlineStr">
        <is>
          <t>375606</t>
        </is>
      </c>
      <c r="F624" s="33" t="inlineStr">
        <is>
          <t>123807554</t>
        </is>
      </c>
      <c r="G624" s="51" t="n">
        <v>42715</v>
      </c>
      <c r="H624" s="33" t="inlineStr">
        <is>
          <t>Scottish National Short Course Open Championship</t>
        </is>
      </c>
      <c r="I624" s="33" t="inlineStr">
        <is>
          <t>301128</t>
        </is>
      </c>
      <c r="J624" s="33" t="inlineStr"/>
      <c r="K624" s="33" t="inlineStr">
        <is>
          <t>PRE</t>
        </is>
      </c>
      <c r="L624" s="35">
        <f>IF(K624="FIN",3,IF(OR(K624="SEM",K624="SEMI"),2,IF(OR(K624="PRE",K624="HEAT"),1,IF(V624="YES",4,2))))</f>
        <v/>
      </c>
      <c r="M624" s="33" t="inlineStr">
        <is>
          <t>SCM</t>
        </is>
      </c>
      <c r="N624" s="33" t="n">
        <v>200</v>
      </c>
      <c r="O624" s="33" t="inlineStr">
        <is>
          <t>Free</t>
        </is>
      </c>
      <c r="P624" s="33" t="inlineStr">
        <is>
          <t>200 Free</t>
        </is>
      </c>
      <c r="Q624" s="33" t="inlineStr">
        <is>
          <t>SCM_200_FREE</t>
        </is>
      </c>
      <c r="R624" s="36" t="n">
        <v>105.14</v>
      </c>
      <c r="S624" s="35">
        <f>IF(R624="","",IF(R624&gt;=60,INT(R624/60)&amp;":"&amp;TEXT(MOD(R624,60),"00.00"),TEXT(R624,"0.00")))</f>
        <v/>
      </c>
      <c r="T624" s="52">
        <f>IFERROR((G624-INDEX('01_Swimmers'!$E$5:$E$22,MATCH(B624,'01_Swimmers'!$A$5:$A$22,0)))/'00_Control'!$B$10,"")</f>
        <v/>
      </c>
      <c r="U624" s="35">
        <f>IF(T624="","",INT(T624))</f>
        <v/>
      </c>
      <c r="V624" s="33" t="inlineStr">
        <is>
          <t>NO</t>
        </is>
      </c>
      <c r="W624" s="33" t="inlineStr">
        <is>
          <t>YES</t>
        </is>
      </c>
      <c r="X624" s="33" t="inlineStr">
        <is>
          <t>NO</t>
        </is>
      </c>
      <c r="Y624" s="33" t="n">
        <v>5</v>
      </c>
      <c r="Z624" s="33" t="n">
        <v>4</v>
      </c>
      <c r="AA624" s="33" t="inlineStr">
        <is>
          <t>1</t>
        </is>
      </c>
      <c r="AB624" s="33" t="inlineStr">
        <is>
          <t>https://www.swimcloud.com/results/301128/event/306/?id=123807554#time123807554</t>
        </is>
      </c>
      <c r="AC624" s="33" t="inlineStr">
        <is>
          <t>SwimCloud API v6 2026-10-08</t>
        </is>
      </c>
      <c r="AD624" s="33" t="inlineStr">
        <is>
          <t>Duncan Scott|2016-12-11|SCM|200|Free|105.14|Scottish National Short Course Open Championship|PRE|False</t>
        </is>
      </c>
      <c r="AE624" s="53">
        <f>G624+L624/1000+ROW()/1000000000</f>
        <v/>
      </c>
      <c r="AF624" s="35">
        <f>IF(C624&lt;&gt;"Grayson Coulter","",COUNTIFS($C$5:$C$2991,"Grayson Coulter",$Q$5:$Q$2991,Q624,$AE$5:$AE$2991,"&lt;="&amp;AE624,$R$5:$R$2991,"&lt;"&amp;R624))</f>
        <v/>
      </c>
      <c r="AG624" s="35">
        <f>IF(OR(C624&lt;&gt;"Grayson Coulter",G624&lt;'00_Control'!$B$7),"",--(AF624&lt;5))</f>
        <v/>
      </c>
      <c r="AH624" s="35">
        <f>IF(OR(C624&lt;&gt;"Grayson Coulter",G624&lt;'00_Control'!$B$7),"",--(AF624&lt;10))</f>
        <v/>
      </c>
      <c r="AI624" s="35">
        <f>IF(AND(C624="Grayson Coulter",G624&gt;='00_Control'!$B$7),"YES","NO")</f>
        <v/>
      </c>
      <c r="AJ624" s="33" t="inlineStr">
        <is>
          <t>OK</t>
        </is>
      </c>
    </row>
    <row r="625">
      <c r="A625" s="33" t="inlineStr">
        <is>
          <t>SM000621</t>
        </is>
      </c>
      <c r="B625" s="33" t="inlineStr">
        <is>
          <t>SW016</t>
        </is>
      </c>
      <c r="C625" s="33" t="inlineStr">
        <is>
          <t>Duncan Scott</t>
        </is>
      </c>
      <c r="D625" s="33" t="inlineStr">
        <is>
          <t>SwimCloud</t>
        </is>
      </c>
      <c r="E625" s="33" t="inlineStr">
        <is>
          <t>375606</t>
        </is>
      </c>
      <c r="F625" s="33" t="inlineStr">
        <is>
          <t>123807555</t>
        </is>
      </c>
      <c r="G625" s="51" t="n">
        <v>42715</v>
      </c>
      <c r="H625" s="33" t="inlineStr">
        <is>
          <t>Scottish National Short Course Open Championship</t>
        </is>
      </c>
      <c r="I625" s="33" t="inlineStr">
        <is>
          <t>301128</t>
        </is>
      </c>
      <c r="J625" s="33" t="inlineStr"/>
      <c r="K625" s="33" t="inlineStr">
        <is>
          <t>FIN</t>
        </is>
      </c>
      <c r="L625" s="35">
        <f>IF(K625="FIN",3,IF(OR(K625="SEM",K625="SEMI"),2,IF(OR(K625="PRE",K625="HEAT"),1,IF(V625="YES",4,2))))</f>
        <v/>
      </c>
      <c r="M625" s="33" t="inlineStr">
        <is>
          <t>SCM</t>
        </is>
      </c>
      <c r="N625" s="33" t="n">
        <v>200</v>
      </c>
      <c r="O625" s="33" t="inlineStr">
        <is>
          <t>Free</t>
        </is>
      </c>
      <c r="P625" s="33" t="inlineStr">
        <is>
          <t>200 Free</t>
        </is>
      </c>
      <c r="Q625" s="33" t="inlineStr">
        <is>
          <t>SCM_200_FREE</t>
        </is>
      </c>
      <c r="R625" s="36" t="n">
        <v>102.47</v>
      </c>
      <c r="S625" s="35">
        <f>IF(R625="","",IF(R625&gt;=60,INT(R625/60)&amp;":"&amp;TEXT(MOD(R625,60),"00.00"),TEXT(R625,"0.00")))</f>
        <v/>
      </c>
      <c r="T625" s="52">
        <f>IFERROR((G625-INDEX('01_Swimmers'!$E$5:$E$22,MATCH(B625,'01_Swimmers'!$A$5:$A$22,0)))/'00_Control'!$B$10,"")</f>
        <v/>
      </c>
      <c r="U625" s="35">
        <f>IF(T625="","",INT(T625))</f>
        <v/>
      </c>
      <c r="V625" s="33" t="inlineStr">
        <is>
          <t>NO</t>
        </is>
      </c>
      <c r="W625" s="33" t="inlineStr">
        <is>
          <t>YES</t>
        </is>
      </c>
      <c r="X625" s="33" t="inlineStr">
        <is>
          <t>NO</t>
        </is>
      </c>
      <c r="Y625" s="33" t="n">
        <v>2</v>
      </c>
      <c r="Z625" s="33" t="n">
        <v>4</v>
      </c>
      <c r="AA625" s="33" t="inlineStr">
        <is>
          <t>1</t>
        </is>
      </c>
      <c r="AB625" s="33" t="inlineStr">
        <is>
          <t>https://www.swimcloud.com/results/301128/event/306/?id=123807555#time123807555</t>
        </is>
      </c>
      <c r="AC625" s="33" t="inlineStr">
        <is>
          <t>SwimCloud API v6 2026-10-08</t>
        </is>
      </c>
      <c r="AD625" s="33" t="inlineStr">
        <is>
          <t>Duncan Scott|2016-12-11|SCM|200|Free|102.47|Scottish National Short Course Open Championship|FIN|False</t>
        </is>
      </c>
      <c r="AE625" s="53">
        <f>G625+L625/1000+ROW()/1000000000</f>
        <v/>
      </c>
      <c r="AF625" s="35">
        <f>IF(C625&lt;&gt;"Grayson Coulter","",COUNTIFS($C$5:$C$2991,"Grayson Coulter",$Q$5:$Q$2991,Q625,$AE$5:$AE$2991,"&lt;="&amp;AE625,$R$5:$R$2991,"&lt;"&amp;R625))</f>
        <v/>
      </c>
      <c r="AG625" s="35">
        <f>IF(OR(C625&lt;&gt;"Grayson Coulter",G625&lt;'00_Control'!$B$7),"",--(AF625&lt;5))</f>
        <v/>
      </c>
      <c r="AH625" s="35">
        <f>IF(OR(C625&lt;&gt;"Grayson Coulter",G625&lt;'00_Control'!$B$7),"",--(AF625&lt;10))</f>
        <v/>
      </c>
      <c r="AI625" s="35">
        <f>IF(AND(C625="Grayson Coulter",G625&gt;='00_Control'!$B$7),"YES","NO")</f>
        <v/>
      </c>
      <c r="AJ625" s="33" t="inlineStr">
        <is>
          <t>OK</t>
        </is>
      </c>
    </row>
    <row r="626">
      <c r="A626" s="33" t="inlineStr">
        <is>
          <t>SM000622</t>
        </is>
      </c>
      <c r="B626" s="33" t="inlineStr">
        <is>
          <t>SW016</t>
        </is>
      </c>
      <c r="C626" s="33" t="inlineStr">
        <is>
          <t>Duncan Scott</t>
        </is>
      </c>
      <c r="D626" s="33" t="inlineStr">
        <is>
          <t>SwimCloud</t>
        </is>
      </c>
      <c r="E626" s="33" t="inlineStr">
        <is>
          <t>375606</t>
        </is>
      </c>
      <c r="F626" s="33" t="inlineStr">
        <is>
          <t>69219808</t>
        </is>
      </c>
      <c r="G626" s="51" t="n">
        <v>42771</v>
      </c>
      <c r="H626" s="33" t="inlineStr">
        <is>
          <t>2017 SU International/Dave McCullagh Memorial</t>
        </is>
      </c>
      <c r="I626" s="33" t="inlineStr">
        <is>
          <t>227053</t>
        </is>
      </c>
      <c r="J626" s="33" t="inlineStr"/>
      <c r="K626" s="33" t="inlineStr">
        <is>
          <t>PRE</t>
        </is>
      </c>
      <c r="L626" s="35">
        <f>IF(K626="FIN",3,IF(OR(K626="SEM",K626="SEMI"),2,IF(OR(K626="PRE",K626="HEAT"),1,IF(V626="YES",4,2))))</f>
        <v/>
      </c>
      <c r="M626" s="33" t="inlineStr">
        <is>
          <t>LCM</t>
        </is>
      </c>
      <c r="N626" s="33" t="n">
        <v>100</v>
      </c>
      <c r="O626" s="33" t="inlineStr">
        <is>
          <t>Fly</t>
        </is>
      </c>
      <c r="P626" s="33" t="inlineStr">
        <is>
          <t>100 Fly</t>
        </is>
      </c>
      <c r="Q626" s="33" t="inlineStr">
        <is>
          <t>LCM_100_FLY</t>
        </is>
      </c>
      <c r="R626" s="36" t="n">
        <v>57.79</v>
      </c>
      <c r="S626" s="35">
        <f>IF(R626="","",IF(R626&gt;=60,INT(R626/60)&amp;":"&amp;TEXT(MOD(R626,60),"00.00"),TEXT(R626,"0.00")))</f>
        <v/>
      </c>
      <c r="T626" s="52">
        <f>IFERROR((G626-INDEX('01_Swimmers'!$E$5:$E$22,MATCH(B626,'01_Swimmers'!$A$5:$A$22,0)))/'00_Control'!$B$10,"")</f>
        <v/>
      </c>
      <c r="U626" s="35">
        <f>IF(T626="","",INT(T626))</f>
        <v/>
      </c>
      <c r="V626" s="33" t="inlineStr">
        <is>
          <t>NO</t>
        </is>
      </c>
      <c r="W626" s="33" t="inlineStr">
        <is>
          <t>YES</t>
        </is>
      </c>
      <c r="X626" s="33" t="inlineStr">
        <is>
          <t>NO</t>
        </is>
      </c>
      <c r="Y626" s="33" t="n">
        <v>1</v>
      </c>
      <c r="Z626" s="33" t="n">
        <v>4</v>
      </c>
      <c r="AA626" s="33" t="inlineStr">
        <is>
          <t>9</t>
        </is>
      </c>
      <c r="AB626" s="33" t="inlineStr">
        <is>
          <t>https://www.swimcloud.com/results/227053/event/31/?id=69219808#time69219808</t>
        </is>
      </c>
      <c r="AC626" s="33" t="inlineStr">
        <is>
          <t>SwimCloud API v6 2026-10-08</t>
        </is>
      </c>
      <c r="AD626" s="33" t="inlineStr">
        <is>
          <t>Duncan Scott|2017-02-05|LCM|100|Fly|57.79|2017 SU International/Dave McCullagh Memorial|PRE|False</t>
        </is>
      </c>
      <c r="AE626" s="53">
        <f>G626+L626/1000+ROW()/1000000000</f>
        <v/>
      </c>
      <c r="AF626" s="35">
        <f>IF(C626&lt;&gt;"Grayson Coulter","",COUNTIFS($C$5:$C$2991,"Grayson Coulter",$Q$5:$Q$2991,Q626,$AE$5:$AE$2991,"&lt;="&amp;AE626,$R$5:$R$2991,"&lt;"&amp;R626))</f>
        <v/>
      </c>
      <c r="AG626" s="35">
        <f>IF(OR(C626&lt;&gt;"Grayson Coulter",G626&lt;'00_Control'!$B$7),"",--(AF626&lt;5))</f>
        <v/>
      </c>
      <c r="AH626" s="35">
        <f>IF(OR(C626&lt;&gt;"Grayson Coulter",G626&lt;'00_Control'!$B$7),"",--(AF626&lt;10))</f>
        <v/>
      </c>
      <c r="AI626" s="35">
        <f>IF(AND(C626="Grayson Coulter",G626&gt;='00_Control'!$B$7),"YES","NO")</f>
        <v/>
      </c>
      <c r="AJ626" s="33" t="inlineStr">
        <is>
          <t>OK</t>
        </is>
      </c>
    </row>
    <row r="627">
      <c r="A627" s="33" t="inlineStr">
        <is>
          <t>SM000623</t>
        </is>
      </c>
      <c r="B627" s="33" t="inlineStr">
        <is>
          <t>SW016</t>
        </is>
      </c>
      <c r="C627" s="33" t="inlineStr">
        <is>
          <t>Duncan Scott</t>
        </is>
      </c>
      <c r="D627" s="33" t="inlineStr">
        <is>
          <t>SwimCloud</t>
        </is>
      </c>
      <c r="E627" s="33" t="inlineStr">
        <is>
          <t>375606</t>
        </is>
      </c>
      <c r="F627" s="33" t="inlineStr">
        <is>
          <t>69219809</t>
        </is>
      </c>
      <c r="G627" s="51" t="n">
        <v>42771</v>
      </c>
      <c r="H627" s="33" t="inlineStr">
        <is>
          <t>2017 SU International/Dave McCullagh Memorial</t>
        </is>
      </c>
      <c r="I627" s="33" t="inlineStr">
        <is>
          <t>227053</t>
        </is>
      </c>
      <c r="J627" s="33" t="inlineStr"/>
      <c r="K627" s="33" t="inlineStr">
        <is>
          <t>FIN</t>
        </is>
      </c>
      <c r="L627" s="35">
        <f>IF(K627="FIN",3,IF(OR(K627="SEM",K627="SEMI"),2,IF(OR(K627="PRE",K627="HEAT"),1,IF(V627="YES",4,2))))</f>
        <v/>
      </c>
      <c r="M627" s="33" t="inlineStr">
        <is>
          <t>LCM</t>
        </is>
      </c>
      <c r="N627" s="33" t="n">
        <v>100</v>
      </c>
      <c r="O627" s="33" t="inlineStr">
        <is>
          <t>Fly</t>
        </is>
      </c>
      <c r="P627" s="33" t="inlineStr">
        <is>
          <t>100 Fly</t>
        </is>
      </c>
      <c r="Q627" s="33" t="inlineStr">
        <is>
          <t>LCM_100_FLY</t>
        </is>
      </c>
      <c r="R627" s="36" t="n">
        <v>54</v>
      </c>
      <c r="S627" s="35">
        <f>IF(R627="","",IF(R627&gt;=60,INT(R627/60)&amp;":"&amp;TEXT(MOD(R627,60),"00.00"),TEXT(R627,"0.00")))</f>
        <v/>
      </c>
      <c r="T627" s="52">
        <f>IFERROR((G627-INDEX('01_Swimmers'!$E$5:$E$22,MATCH(B627,'01_Swimmers'!$A$5:$A$22,0)))/'00_Control'!$B$10,"")</f>
        <v/>
      </c>
      <c r="U627" s="35">
        <f>IF(T627="","",INT(T627))</f>
        <v/>
      </c>
      <c r="V627" s="33" t="inlineStr">
        <is>
          <t>NO</t>
        </is>
      </c>
      <c r="W627" s="33" t="inlineStr">
        <is>
          <t>YES</t>
        </is>
      </c>
      <c r="X627" s="33" t="inlineStr">
        <is>
          <t>NO</t>
        </is>
      </c>
      <c r="Y627" s="33" t="n">
        <v>2</v>
      </c>
      <c r="Z627" s="33" t="n">
        <v>0</v>
      </c>
      <c r="AA627" s="33" t="inlineStr">
        <is>
          <t>2</t>
        </is>
      </c>
      <c r="AB627" s="33" t="inlineStr">
        <is>
          <t>https://www.swimcloud.com/results/227053/event/31/?id=69219809#time69219809</t>
        </is>
      </c>
      <c r="AC627" s="33" t="inlineStr">
        <is>
          <t>SwimCloud API v6 2026-10-08</t>
        </is>
      </c>
      <c r="AD627" s="33" t="inlineStr">
        <is>
          <t>Duncan Scott|2017-02-05|LCM|100|Fly|54.0|2017 SU International/Dave McCullagh Memorial|FIN|False</t>
        </is>
      </c>
      <c r="AE627" s="53">
        <f>G627+L627/1000+ROW()/1000000000</f>
        <v/>
      </c>
      <c r="AF627" s="35">
        <f>IF(C627&lt;&gt;"Grayson Coulter","",COUNTIFS($C$5:$C$2991,"Grayson Coulter",$Q$5:$Q$2991,Q627,$AE$5:$AE$2991,"&lt;="&amp;AE627,$R$5:$R$2991,"&lt;"&amp;R627))</f>
        <v/>
      </c>
      <c r="AG627" s="35">
        <f>IF(OR(C627&lt;&gt;"Grayson Coulter",G627&lt;'00_Control'!$B$7),"",--(AF627&lt;5))</f>
        <v/>
      </c>
      <c r="AH627" s="35">
        <f>IF(OR(C627&lt;&gt;"Grayson Coulter",G627&lt;'00_Control'!$B$7),"",--(AF627&lt;10))</f>
        <v/>
      </c>
      <c r="AI627" s="35">
        <f>IF(AND(C627="Grayson Coulter",G627&gt;='00_Control'!$B$7),"YES","NO")</f>
        <v/>
      </c>
      <c r="AJ627" s="33" t="inlineStr">
        <is>
          <t>OK</t>
        </is>
      </c>
    </row>
    <row r="628">
      <c r="A628" s="33" t="inlineStr">
        <is>
          <t>SM000624</t>
        </is>
      </c>
      <c r="B628" s="33" t="inlineStr">
        <is>
          <t>SW016</t>
        </is>
      </c>
      <c r="C628" s="33" t="inlineStr">
        <is>
          <t>Duncan Scott</t>
        </is>
      </c>
      <c r="D628" s="33" t="inlineStr">
        <is>
          <t>SwimCloud</t>
        </is>
      </c>
      <c r="E628" s="33" t="inlineStr">
        <is>
          <t>375606</t>
        </is>
      </c>
      <c r="F628" s="33" t="inlineStr">
        <is>
          <t>20159004</t>
        </is>
      </c>
      <c r="G628" s="51" t="n">
        <v>42796</v>
      </c>
      <c r="H628" s="33" t="inlineStr">
        <is>
          <t>Arena Pro Swim Series - Indianapolis</t>
        </is>
      </c>
      <c r="I628" s="33" t="inlineStr">
        <is>
          <t>118034</t>
        </is>
      </c>
      <c r="J628" s="33" t="inlineStr"/>
      <c r="K628" s="33" t="inlineStr">
        <is>
          <t>PRE</t>
        </is>
      </c>
      <c r="L628" s="35">
        <f>IF(K628="FIN",3,IF(OR(K628="SEM",K628="SEMI"),2,IF(OR(K628="PRE",K628="HEAT"),1,IF(V628="YES",4,2))))</f>
        <v/>
      </c>
      <c r="M628" s="33" t="inlineStr">
        <is>
          <t>LCM</t>
        </is>
      </c>
      <c r="N628" s="33" t="n">
        <v>100</v>
      </c>
      <c r="O628" s="33" t="inlineStr">
        <is>
          <t>Fly</t>
        </is>
      </c>
      <c r="P628" s="33" t="inlineStr">
        <is>
          <t>100 Fly</t>
        </is>
      </c>
      <c r="Q628" s="33" t="inlineStr">
        <is>
          <t>LCM_100_FLY</t>
        </is>
      </c>
      <c r="R628" s="36" t="n">
        <v>54.82</v>
      </c>
      <c r="S628" s="35">
        <f>IF(R628="","",IF(R628&gt;=60,INT(R628/60)&amp;":"&amp;TEXT(MOD(R628,60),"00.00"),TEXT(R628,"0.00")))</f>
        <v/>
      </c>
      <c r="T628" s="52">
        <f>IFERROR((G628-INDEX('01_Swimmers'!$E$5:$E$22,MATCH(B628,'01_Swimmers'!$A$5:$A$22,0)))/'00_Control'!$B$10,"")</f>
        <v/>
      </c>
      <c r="U628" s="35">
        <f>IF(T628="","",INT(T628))</f>
        <v/>
      </c>
      <c r="V628" s="33" t="inlineStr">
        <is>
          <t>NO</t>
        </is>
      </c>
      <c r="W628" s="33" t="inlineStr">
        <is>
          <t>YES</t>
        </is>
      </c>
      <c r="X628" s="33" t="inlineStr">
        <is>
          <t>NO</t>
        </is>
      </c>
      <c r="Y628" s="33" t="n">
        <v>7</v>
      </c>
      <c r="Z628" s="33" t="n">
        <v>7</v>
      </c>
      <c r="AA628" s="33" t="inlineStr">
        <is>
          <t>8</t>
        </is>
      </c>
      <c r="AB628" s="33" t="inlineStr">
        <is>
          <t>https://www.swimcloud.com/results/118034/event/6/?id=20159004#time20159004</t>
        </is>
      </c>
      <c r="AC628" s="33" t="inlineStr">
        <is>
          <t>SwimCloud API v6 2026-10-08</t>
        </is>
      </c>
      <c r="AD628" s="33" t="inlineStr">
        <is>
          <t>Duncan Scott|2017-03-02|LCM|100|Fly|54.82|Arena Pro Swim Series - Indianapolis|PRE|False</t>
        </is>
      </c>
      <c r="AE628" s="53">
        <f>G628+L628/1000+ROW()/1000000000</f>
        <v/>
      </c>
      <c r="AF628" s="35">
        <f>IF(C628&lt;&gt;"Grayson Coulter","",COUNTIFS($C$5:$C$2991,"Grayson Coulter",$Q$5:$Q$2991,Q628,$AE$5:$AE$2991,"&lt;="&amp;AE628,$R$5:$R$2991,"&lt;"&amp;R628))</f>
        <v/>
      </c>
      <c r="AG628" s="35">
        <f>IF(OR(C628&lt;&gt;"Grayson Coulter",G628&lt;'00_Control'!$B$7),"",--(AF628&lt;5))</f>
        <v/>
      </c>
      <c r="AH628" s="35">
        <f>IF(OR(C628&lt;&gt;"Grayson Coulter",G628&lt;'00_Control'!$B$7),"",--(AF628&lt;10))</f>
        <v/>
      </c>
      <c r="AI628" s="35">
        <f>IF(AND(C628="Grayson Coulter",G628&gt;='00_Control'!$B$7),"YES","NO")</f>
        <v/>
      </c>
      <c r="AJ628" s="33" t="inlineStr">
        <is>
          <t>OK</t>
        </is>
      </c>
    </row>
    <row r="629">
      <c r="A629" s="33" t="inlineStr">
        <is>
          <t>SM000625</t>
        </is>
      </c>
      <c r="B629" s="33" t="inlineStr">
        <is>
          <t>SW016</t>
        </is>
      </c>
      <c r="C629" s="33" t="inlineStr">
        <is>
          <t>Duncan Scott</t>
        </is>
      </c>
      <c r="D629" s="33" t="inlineStr">
        <is>
          <t>SwimCloud</t>
        </is>
      </c>
      <c r="E629" s="33" t="inlineStr">
        <is>
          <t>375606</t>
        </is>
      </c>
      <c r="F629" s="33" t="inlineStr">
        <is>
          <t>20159005</t>
        </is>
      </c>
      <c r="G629" s="51" t="n">
        <v>42796</v>
      </c>
      <c r="H629" s="33" t="inlineStr">
        <is>
          <t>Arena Pro Swim Series - Indianapolis</t>
        </is>
      </c>
      <c r="I629" s="33" t="inlineStr">
        <is>
          <t>118034</t>
        </is>
      </c>
      <c r="J629" s="33" t="inlineStr"/>
      <c r="K629" s="33" t="inlineStr">
        <is>
          <t>FIN</t>
        </is>
      </c>
      <c r="L629" s="35">
        <f>IF(K629="FIN",3,IF(OR(K629="SEM",K629="SEMI"),2,IF(OR(K629="PRE",K629="HEAT"),1,IF(V629="YES",4,2))))</f>
        <v/>
      </c>
      <c r="M629" s="33" t="inlineStr">
        <is>
          <t>LCM</t>
        </is>
      </c>
      <c r="N629" s="33" t="n">
        <v>100</v>
      </c>
      <c r="O629" s="33" t="inlineStr">
        <is>
          <t>Fly</t>
        </is>
      </c>
      <c r="P629" s="33" t="inlineStr">
        <is>
          <t>100 Fly</t>
        </is>
      </c>
      <c r="Q629" s="33" t="inlineStr">
        <is>
          <t>LCM_100_FLY</t>
        </is>
      </c>
      <c r="R629" s="36" t="n">
        <v>53.99</v>
      </c>
      <c r="S629" s="35">
        <f>IF(R629="","",IF(R629&gt;=60,INT(R629/60)&amp;":"&amp;TEXT(MOD(R629,60),"00.00"),TEXT(R629,"0.00")))</f>
        <v/>
      </c>
      <c r="T629" s="52">
        <f>IFERROR((G629-INDEX('01_Swimmers'!$E$5:$E$22,MATCH(B629,'01_Swimmers'!$A$5:$A$22,0)))/'00_Control'!$B$10,"")</f>
        <v/>
      </c>
      <c r="U629" s="35">
        <f>IF(T629="","",INT(T629))</f>
        <v/>
      </c>
      <c r="V629" s="33" t="inlineStr">
        <is>
          <t>NO</t>
        </is>
      </c>
      <c r="W629" s="33" t="inlineStr">
        <is>
          <t>YES</t>
        </is>
      </c>
      <c r="X629" s="33" t="inlineStr">
        <is>
          <t>NO</t>
        </is>
      </c>
      <c r="Y629" s="33" t="n">
        <v>8</v>
      </c>
      <c r="Z629" s="33" t="n">
        <v>8</v>
      </c>
      <c r="AA629" s="33" t="inlineStr">
        <is>
          <t>5</t>
        </is>
      </c>
      <c r="AB629" s="33" t="inlineStr">
        <is>
          <t>https://www.swimcloud.com/results/118034/event/6/?id=20159005#time20159005</t>
        </is>
      </c>
      <c r="AC629" s="33" t="inlineStr">
        <is>
          <t>SwimCloud API v6 2026-10-08</t>
        </is>
      </c>
      <c r="AD629" s="33" t="inlineStr">
        <is>
          <t>Duncan Scott|2017-03-02|LCM|100|Fly|53.99|Arena Pro Swim Series - Indianapolis|FIN|False</t>
        </is>
      </c>
      <c r="AE629" s="53">
        <f>G629+L629/1000+ROW()/1000000000</f>
        <v/>
      </c>
      <c r="AF629" s="35">
        <f>IF(C629&lt;&gt;"Grayson Coulter","",COUNTIFS($C$5:$C$2991,"Grayson Coulter",$Q$5:$Q$2991,Q629,$AE$5:$AE$2991,"&lt;="&amp;AE629,$R$5:$R$2991,"&lt;"&amp;R629))</f>
        <v/>
      </c>
      <c r="AG629" s="35">
        <f>IF(OR(C629&lt;&gt;"Grayson Coulter",G629&lt;'00_Control'!$B$7),"",--(AF629&lt;5))</f>
        <v/>
      </c>
      <c r="AH629" s="35">
        <f>IF(OR(C629&lt;&gt;"Grayson Coulter",G629&lt;'00_Control'!$B$7),"",--(AF629&lt;10))</f>
        <v/>
      </c>
      <c r="AI629" s="35">
        <f>IF(AND(C629="Grayson Coulter",G629&gt;='00_Control'!$B$7),"YES","NO")</f>
        <v/>
      </c>
      <c r="AJ629" s="33" t="inlineStr">
        <is>
          <t>OK</t>
        </is>
      </c>
    </row>
    <row r="630">
      <c r="A630" s="33" t="inlineStr">
        <is>
          <t>SM000626</t>
        </is>
      </c>
      <c r="B630" s="33" t="inlineStr">
        <is>
          <t>SW016</t>
        </is>
      </c>
      <c r="C630" s="33" t="inlineStr">
        <is>
          <t>Duncan Scott</t>
        </is>
      </c>
      <c r="D630" s="33" t="inlineStr">
        <is>
          <t>SwimCloud</t>
        </is>
      </c>
      <c r="E630" s="33" t="inlineStr">
        <is>
          <t>375606</t>
        </is>
      </c>
      <c r="F630" s="33" t="inlineStr">
        <is>
          <t>20159002</t>
        </is>
      </c>
      <c r="G630" s="51" t="n">
        <v>42796</v>
      </c>
      <c r="H630" s="33" t="inlineStr">
        <is>
          <t>Arena Pro Swim Series - Indianapolis</t>
        </is>
      </c>
      <c r="I630" s="33" t="inlineStr">
        <is>
          <t>118034</t>
        </is>
      </c>
      <c r="J630" s="33" t="inlineStr"/>
      <c r="K630" s="33" t="inlineStr">
        <is>
          <t>PRE</t>
        </is>
      </c>
      <c r="L630" s="35">
        <f>IF(K630="FIN",3,IF(OR(K630="SEM",K630="SEMI"),2,IF(OR(K630="PRE",K630="HEAT"),1,IF(V630="YES",4,2))))</f>
        <v/>
      </c>
      <c r="M630" s="33" t="inlineStr">
        <is>
          <t>LCM</t>
        </is>
      </c>
      <c r="N630" s="33" t="n">
        <v>100</v>
      </c>
      <c r="O630" s="33" t="inlineStr">
        <is>
          <t>Free</t>
        </is>
      </c>
      <c r="P630" s="33" t="inlineStr">
        <is>
          <t>100 Free</t>
        </is>
      </c>
      <c r="Q630" s="33" t="inlineStr">
        <is>
          <t>LCM_100_FREE</t>
        </is>
      </c>
      <c r="R630" s="36" t="n">
        <v>49.77</v>
      </c>
      <c r="S630" s="35">
        <f>IF(R630="","",IF(R630&gt;=60,INT(R630/60)&amp;":"&amp;TEXT(MOD(R630,60),"00.00"),TEXT(R630,"0.00")))</f>
        <v/>
      </c>
      <c r="T630" s="52">
        <f>IFERROR((G630-INDEX('01_Swimmers'!$E$5:$E$22,MATCH(B630,'01_Swimmers'!$A$5:$A$22,0)))/'00_Control'!$B$10,"")</f>
        <v/>
      </c>
      <c r="U630" s="35">
        <f>IF(T630="","",INT(T630))</f>
        <v/>
      </c>
      <c r="V630" s="33" t="inlineStr">
        <is>
          <t>NO</t>
        </is>
      </c>
      <c r="W630" s="33" t="inlineStr">
        <is>
          <t>YES</t>
        </is>
      </c>
      <c r="X630" s="33" t="inlineStr">
        <is>
          <t>NO</t>
        </is>
      </c>
      <c r="Y630" s="33" t="n">
        <v>13</v>
      </c>
      <c r="Z630" s="33" t="n">
        <v>5</v>
      </c>
      <c r="AA630" s="33" t="inlineStr">
        <is>
          <t>5</t>
        </is>
      </c>
      <c r="AB630" s="33" t="inlineStr">
        <is>
          <t>https://www.swimcloud.com/results/118034/event/2/?id=20159002#time20159002</t>
        </is>
      </c>
      <c r="AC630" s="33" t="inlineStr">
        <is>
          <t>SwimCloud API v6 2026-10-08</t>
        </is>
      </c>
      <c r="AD630" s="33" t="inlineStr">
        <is>
          <t>Duncan Scott|2017-03-02|LCM|100|Free|49.77|Arena Pro Swim Series - Indianapolis|PRE|False</t>
        </is>
      </c>
      <c r="AE630" s="53">
        <f>G630+L630/1000+ROW()/1000000000</f>
        <v/>
      </c>
      <c r="AF630" s="35">
        <f>IF(C630&lt;&gt;"Grayson Coulter","",COUNTIFS($C$5:$C$2991,"Grayson Coulter",$Q$5:$Q$2991,Q630,$AE$5:$AE$2991,"&lt;="&amp;AE630,$R$5:$R$2991,"&lt;"&amp;R630))</f>
        <v/>
      </c>
      <c r="AG630" s="35">
        <f>IF(OR(C630&lt;&gt;"Grayson Coulter",G630&lt;'00_Control'!$B$7),"",--(AF630&lt;5))</f>
        <v/>
      </c>
      <c r="AH630" s="35">
        <f>IF(OR(C630&lt;&gt;"Grayson Coulter",G630&lt;'00_Control'!$B$7),"",--(AF630&lt;10))</f>
        <v/>
      </c>
      <c r="AI630" s="35">
        <f>IF(AND(C630="Grayson Coulter",G630&gt;='00_Control'!$B$7),"YES","NO")</f>
        <v/>
      </c>
      <c r="AJ630" s="33" t="inlineStr">
        <is>
          <t>OK</t>
        </is>
      </c>
    </row>
    <row r="631">
      <c r="A631" s="33" t="inlineStr">
        <is>
          <t>SM000627</t>
        </is>
      </c>
      <c r="B631" s="33" t="inlineStr">
        <is>
          <t>SW016</t>
        </is>
      </c>
      <c r="C631" s="33" t="inlineStr">
        <is>
          <t>Duncan Scott</t>
        </is>
      </c>
      <c r="D631" s="33" t="inlineStr">
        <is>
          <t>SwimCloud</t>
        </is>
      </c>
      <c r="E631" s="33" t="inlineStr">
        <is>
          <t>375606</t>
        </is>
      </c>
      <c r="F631" s="33" t="inlineStr">
        <is>
          <t>20159003</t>
        </is>
      </c>
      <c r="G631" s="51" t="n">
        <v>42796</v>
      </c>
      <c r="H631" s="33" t="inlineStr">
        <is>
          <t>Arena Pro Swim Series - Indianapolis</t>
        </is>
      </c>
      <c r="I631" s="33" t="inlineStr">
        <is>
          <t>118034</t>
        </is>
      </c>
      <c r="J631" s="33" t="inlineStr"/>
      <c r="K631" s="33" t="inlineStr">
        <is>
          <t>FIN</t>
        </is>
      </c>
      <c r="L631" s="35">
        <f>IF(K631="FIN",3,IF(OR(K631="SEM",K631="SEMI"),2,IF(OR(K631="PRE",K631="HEAT"),1,IF(V631="YES",4,2))))</f>
        <v/>
      </c>
      <c r="M631" s="33" t="inlineStr">
        <is>
          <t>LCM</t>
        </is>
      </c>
      <c r="N631" s="33" t="n">
        <v>100</v>
      </c>
      <c r="O631" s="33" t="inlineStr">
        <is>
          <t>Free</t>
        </is>
      </c>
      <c r="P631" s="33" t="inlineStr">
        <is>
          <t>100 Free</t>
        </is>
      </c>
      <c r="Q631" s="33" t="inlineStr">
        <is>
          <t>LCM_100_FREE</t>
        </is>
      </c>
      <c r="R631" s="36" t="n">
        <v>49.33</v>
      </c>
      <c r="S631" s="35">
        <f>IF(R631="","",IF(R631&gt;=60,INT(R631/60)&amp;":"&amp;TEXT(MOD(R631,60),"00.00"),TEXT(R631,"0.00")))</f>
        <v/>
      </c>
      <c r="T631" s="52">
        <f>IFERROR((G631-INDEX('01_Swimmers'!$E$5:$E$22,MATCH(B631,'01_Swimmers'!$A$5:$A$22,0)))/'00_Control'!$B$10,"")</f>
        <v/>
      </c>
      <c r="U631" s="35">
        <f>IF(T631="","",INT(T631))</f>
        <v/>
      </c>
      <c r="V631" s="33" t="inlineStr">
        <is>
          <t>NO</t>
        </is>
      </c>
      <c r="W631" s="33" t="inlineStr">
        <is>
          <t>YES</t>
        </is>
      </c>
      <c r="X631" s="33" t="inlineStr">
        <is>
          <t>NO</t>
        </is>
      </c>
      <c r="Y631" s="33" t="n">
        <v>8</v>
      </c>
      <c r="Z631" s="33" t="n">
        <v>2</v>
      </c>
      <c r="AA631" s="33" t="inlineStr">
        <is>
          <t>2</t>
        </is>
      </c>
      <c r="AB631" s="33" t="inlineStr">
        <is>
          <t>https://www.swimcloud.com/results/118034/event/2/?id=20159003#time20159003</t>
        </is>
      </c>
      <c r="AC631" s="33" t="inlineStr">
        <is>
          <t>SwimCloud API v6 2026-10-08</t>
        </is>
      </c>
      <c r="AD631" s="33" t="inlineStr">
        <is>
          <t>Duncan Scott|2017-03-02|LCM|100|Free|49.33|Arena Pro Swim Series - Indianapolis|FIN|False</t>
        </is>
      </c>
      <c r="AE631" s="53">
        <f>G631+L631/1000+ROW()/1000000000</f>
        <v/>
      </c>
      <c r="AF631" s="35">
        <f>IF(C631&lt;&gt;"Grayson Coulter","",COUNTIFS($C$5:$C$2991,"Grayson Coulter",$Q$5:$Q$2991,Q631,$AE$5:$AE$2991,"&lt;="&amp;AE631,$R$5:$R$2991,"&lt;"&amp;R631))</f>
        <v/>
      </c>
      <c r="AG631" s="35">
        <f>IF(OR(C631&lt;&gt;"Grayson Coulter",G631&lt;'00_Control'!$B$7),"",--(AF631&lt;5))</f>
        <v/>
      </c>
      <c r="AH631" s="35">
        <f>IF(OR(C631&lt;&gt;"Grayson Coulter",G631&lt;'00_Control'!$B$7),"",--(AF631&lt;10))</f>
        <v/>
      </c>
      <c r="AI631" s="35">
        <f>IF(AND(C631="Grayson Coulter",G631&gt;='00_Control'!$B$7),"YES","NO")</f>
        <v/>
      </c>
      <c r="AJ631" s="33" t="inlineStr">
        <is>
          <t>OK</t>
        </is>
      </c>
    </row>
    <row r="632">
      <c r="A632" s="33" t="inlineStr">
        <is>
          <t>SM000628</t>
        </is>
      </c>
      <c r="B632" s="33" t="inlineStr">
        <is>
          <t>SW016</t>
        </is>
      </c>
      <c r="C632" s="33" t="inlineStr">
        <is>
          <t>Duncan Scott</t>
        </is>
      </c>
      <c r="D632" s="33" t="inlineStr">
        <is>
          <t>SwimCloud</t>
        </is>
      </c>
      <c r="E632" s="33" t="inlineStr">
        <is>
          <t>375606</t>
        </is>
      </c>
      <c r="F632" s="33" t="inlineStr">
        <is>
          <t>20159006</t>
        </is>
      </c>
      <c r="G632" s="51" t="n">
        <v>42797</v>
      </c>
      <c r="H632" s="33" t="inlineStr">
        <is>
          <t>Arena Pro Swim Series - Indianapolis</t>
        </is>
      </c>
      <c r="I632" s="33" t="inlineStr">
        <is>
          <t>118034</t>
        </is>
      </c>
      <c r="J632" s="33" t="inlineStr"/>
      <c r="K632" s="33" t="inlineStr">
        <is>
          <t>PRE</t>
        </is>
      </c>
      <c r="L632" s="35">
        <f>IF(K632="FIN",3,IF(OR(K632="SEM",K632="SEMI"),2,IF(OR(K632="PRE",K632="HEAT"),1,IF(V632="YES",4,2))))</f>
        <v/>
      </c>
      <c r="M632" s="33" t="inlineStr">
        <is>
          <t>LCM</t>
        </is>
      </c>
      <c r="N632" s="33" t="n">
        <v>200</v>
      </c>
      <c r="O632" s="33" t="inlineStr">
        <is>
          <t>Free</t>
        </is>
      </c>
      <c r="P632" s="33" t="inlineStr">
        <is>
          <t>200 Free</t>
        </is>
      </c>
      <c r="Q632" s="33" t="inlineStr">
        <is>
          <t>LCM_200_FREE</t>
        </is>
      </c>
      <c r="R632" s="36" t="n">
        <v>108.54</v>
      </c>
      <c r="S632" s="35">
        <f>IF(R632="","",IF(R632&gt;=60,INT(R632/60)&amp;":"&amp;TEXT(MOD(R632,60),"00.00"),TEXT(R632,"0.00")))</f>
        <v/>
      </c>
      <c r="T632" s="52">
        <f>IFERROR((G632-INDEX('01_Swimmers'!$E$5:$E$22,MATCH(B632,'01_Swimmers'!$A$5:$A$22,0)))/'00_Control'!$B$10,"")</f>
        <v/>
      </c>
      <c r="U632" s="35">
        <f>IF(T632="","",INT(T632))</f>
        <v/>
      </c>
      <c r="V632" s="33" t="inlineStr">
        <is>
          <t>NO</t>
        </is>
      </c>
      <c r="W632" s="33" t="inlineStr">
        <is>
          <t>YES</t>
        </is>
      </c>
      <c r="X632" s="33" t="inlineStr">
        <is>
          <t>NO</t>
        </is>
      </c>
      <c r="Y632" s="33" t="n">
        <v>9</v>
      </c>
      <c r="Z632" s="33" t="n">
        <v>5</v>
      </c>
      <c r="AA632" s="33" t="inlineStr">
        <is>
          <t>2</t>
        </is>
      </c>
      <c r="AB632" s="33" t="inlineStr">
        <is>
          <t>https://www.swimcloud.com/results/118034/event/12/?id=20159006#time20159006</t>
        </is>
      </c>
      <c r="AC632" s="33" t="inlineStr">
        <is>
          <t>SwimCloud API v6 2026-10-08</t>
        </is>
      </c>
      <c r="AD632" s="33" t="inlineStr">
        <is>
          <t>Duncan Scott|2017-03-03|LCM|200|Free|108.54|Arena Pro Swim Series - Indianapolis|PRE|False</t>
        </is>
      </c>
      <c r="AE632" s="53">
        <f>G632+L632/1000+ROW()/1000000000</f>
        <v/>
      </c>
      <c r="AF632" s="35">
        <f>IF(C632&lt;&gt;"Grayson Coulter","",COUNTIFS($C$5:$C$2991,"Grayson Coulter",$Q$5:$Q$2991,Q632,$AE$5:$AE$2991,"&lt;="&amp;AE632,$R$5:$R$2991,"&lt;"&amp;R632))</f>
        <v/>
      </c>
      <c r="AG632" s="35">
        <f>IF(OR(C632&lt;&gt;"Grayson Coulter",G632&lt;'00_Control'!$B$7),"",--(AF632&lt;5))</f>
        <v/>
      </c>
      <c r="AH632" s="35">
        <f>IF(OR(C632&lt;&gt;"Grayson Coulter",G632&lt;'00_Control'!$B$7),"",--(AF632&lt;10))</f>
        <v/>
      </c>
      <c r="AI632" s="35">
        <f>IF(AND(C632="Grayson Coulter",G632&gt;='00_Control'!$B$7),"YES","NO")</f>
        <v/>
      </c>
      <c r="AJ632" s="33" t="inlineStr">
        <is>
          <t>OK</t>
        </is>
      </c>
    </row>
    <row r="633">
      <c r="A633" s="33" t="inlineStr">
        <is>
          <t>SM000629</t>
        </is>
      </c>
      <c r="B633" s="33" t="inlineStr">
        <is>
          <t>SW016</t>
        </is>
      </c>
      <c r="C633" s="33" t="inlineStr">
        <is>
          <t>Duncan Scott</t>
        </is>
      </c>
      <c r="D633" s="33" t="inlineStr">
        <is>
          <t>SwimCloud</t>
        </is>
      </c>
      <c r="E633" s="33" t="inlineStr">
        <is>
          <t>375606</t>
        </is>
      </c>
      <c r="F633" s="33" t="inlineStr">
        <is>
          <t>20159007</t>
        </is>
      </c>
      <c r="G633" s="51" t="n">
        <v>42797</v>
      </c>
      <c r="H633" s="33" t="inlineStr">
        <is>
          <t>Arena Pro Swim Series - Indianapolis</t>
        </is>
      </c>
      <c r="I633" s="33" t="inlineStr">
        <is>
          <t>118034</t>
        </is>
      </c>
      <c r="J633" s="33" t="inlineStr"/>
      <c r="K633" s="33" t="inlineStr">
        <is>
          <t>FIN</t>
        </is>
      </c>
      <c r="L633" s="35">
        <f>IF(K633="FIN",3,IF(OR(K633="SEM",K633="SEMI"),2,IF(OR(K633="PRE",K633="HEAT"),1,IF(V633="YES",4,2))))</f>
        <v/>
      </c>
      <c r="M633" s="33" t="inlineStr">
        <is>
          <t>LCM</t>
        </is>
      </c>
      <c r="N633" s="33" t="n">
        <v>200</v>
      </c>
      <c r="O633" s="33" t="inlineStr">
        <is>
          <t>Free</t>
        </is>
      </c>
      <c r="P633" s="33" t="inlineStr">
        <is>
          <t>200 Free</t>
        </is>
      </c>
      <c r="Q633" s="33" t="inlineStr">
        <is>
          <t>LCM_200_FREE</t>
        </is>
      </c>
      <c r="R633" s="36" t="n">
        <v>107.29</v>
      </c>
      <c r="S633" s="35">
        <f>IF(R633="","",IF(R633&gt;=60,INT(R633/60)&amp;":"&amp;TEXT(MOD(R633,60),"00.00"),TEXT(R633,"0.00")))</f>
        <v/>
      </c>
      <c r="T633" s="52">
        <f>IFERROR((G633-INDEX('01_Swimmers'!$E$5:$E$22,MATCH(B633,'01_Swimmers'!$A$5:$A$22,0)))/'00_Control'!$B$10,"")</f>
        <v/>
      </c>
      <c r="U633" s="35">
        <f>IF(T633="","",INT(T633))</f>
        <v/>
      </c>
      <c r="V633" s="33" t="inlineStr">
        <is>
          <t>NO</t>
        </is>
      </c>
      <c r="W633" s="33" t="inlineStr">
        <is>
          <t>YES</t>
        </is>
      </c>
      <c r="X633" s="33" t="inlineStr">
        <is>
          <t>NO</t>
        </is>
      </c>
      <c r="Y633" s="33" t="n">
        <v>8</v>
      </c>
      <c r="Z633" s="33" t="n">
        <v>5</v>
      </c>
      <c r="AA633" s="33" t="inlineStr">
        <is>
          <t>2</t>
        </is>
      </c>
      <c r="AB633" s="33" t="inlineStr">
        <is>
          <t>https://www.swimcloud.com/results/118034/event/12/?id=20159007#time20159007</t>
        </is>
      </c>
      <c r="AC633" s="33" t="inlineStr">
        <is>
          <t>SwimCloud API v6 2026-10-08</t>
        </is>
      </c>
      <c r="AD633" s="33" t="inlineStr">
        <is>
          <t>Duncan Scott|2017-03-03|LCM|200|Free|107.29|Arena Pro Swim Series - Indianapolis|FIN|False</t>
        </is>
      </c>
      <c r="AE633" s="53">
        <f>G633+L633/1000+ROW()/1000000000</f>
        <v/>
      </c>
      <c r="AF633" s="35">
        <f>IF(C633&lt;&gt;"Grayson Coulter","",COUNTIFS($C$5:$C$2991,"Grayson Coulter",$Q$5:$Q$2991,Q633,$AE$5:$AE$2991,"&lt;="&amp;AE633,$R$5:$R$2991,"&lt;"&amp;R633))</f>
        <v/>
      </c>
      <c r="AG633" s="35">
        <f>IF(OR(C633&lt;&gt;"Grayson Coulter",G633&lt;'00_Control'!$B$7),"",--(AF633&lt;5))</f>
        <v/>
      </c>
      <c r="AH633" s="35">
        <f>IF(OR(C633&lt;&gt;"Grayson Coulter",G633&lt;'00_Control'!$B$7),"",--(AF633&lt;10))</f>
        <v/>
      </c>
      <c r="AI633" s="35">
        <f>IF(AND(C633="Grayson Coulter",G633&gt;='00_Control'!$B$7),"YES","NO")</f>
        <v/>
      </c>
      <c r="AJ633" s="33" t="inlineStr">
        <is>
          <t>OK</t>
        </is>
      </c>
    </row>
    <row r="634">
      <c r="A634" s="33" t="inlineStr">
        <is>
          <t>SM000630</t>
        </is>
      </c>
      <c r="B634" s="33" t="inlineStr">
        <is>
          <t>SW016</t>
        </is>
      </c>
      <c r="C634" s="33" t="inlineStr">
        <is>
          <t>Duncan Scott</t>
        </is>
      </c>
      <c r="D634" s="33" t="inlineStr">
        <is>
          <t>SwimCloud</t>
        </is>
      </c>
      <c r="E634" s="33" t="inlineStr">
        <is>
          <t>375606</t>
        </is>
      </c>
      <c r="F634" s="33" t="inlineStr">
        <is>
          <t>12263472</t>
        </is>
      </c>
      <c r="G634" s="51" t="n">
        <v>42940</v>
      </c>
      <c r="H634" s="33" t="inlineStr">
        <is>
          <t>17th FINA World Championships</t>
        </is>
      </c>
      <c r="I634" s="33" t="inlineStr">
        <is>
          <t>96880</t>
        </is>
      </c>
      <c r="J634" s="33" t="inlineStr"/>
      <c r="K634" s="33" t="inlineStr">
        <is>
          <t>PRE</t>
        </is>
      </c>
      <c r="L634" s="35">
        <f>IF(K634="FIN",3,IF(OR(K634="SEM",K634="SEMI"),2,IF(OR(K634="PRE",K634="HEAT"),1,IF(V634="YES",4,2))))</f>
        <v/>
      </c>
      <c r="M634" s="33" t="inlineStr">
        <is>
          <t>LCM</t>
        </is>
      </c>
      <c r="N634" s="33" t="n">
        <v>200</v>
      </c>
      <c r="O634" s="33" t="inlineStr">
        <is>
          <t>Free</t>
        </is>
      </c>
      <c r="P634" s="33" t="inlineStr">
        <is>
          <t>200 Free</t>
        </is>
      </c>
      <c r="Q634" s="33" t="inlineStr">
        <is>
          <t>LCM_200_FREE</t>
        </is>
      </c>
      <c r="R634" s="36" t="n">
        <v>106.62</v>
      </c>
      <c r="S634" s="35">
        <f>IF(R634="","",IF(R634&gt;=60,INT(R634/60)&amp;":"&amp;TEXT(MOD(R634,60),"00.00"),TEXT(R634,"0.00")))</f>
        <v/>
      </c>
      <c r="T634" s="52">
        <f>IFERROR((G634-INDEX('01_Swimmers'!$E$5:$E$22,MATCH(B634,'01_Swimmers'!$A$5:$A$22,0)))/'00_Control'!$B$10,"")</f>
        <v/>
      </c>
      <c r="U634" s="35">
        <f>IF(T634="","",INT(T634))</f>
        <v/>
      </c>
      <c r="V634" s="33" t="inlineStr">
        <is>
          <t>NO</t>
        </is>
      </c>
      <c r="W634" s="33" t="inlineStr">
        <is>
          <t>YES</t>
        </is>
      </c>
      <c r="X634" s="33" t="inlineStr">
        <is>
          <t>NO</t>
        </is>
      </c>
      <c r="Y634" s="33" t="n">
        <v>8</v>
      </c>
      <c r="Z634" s="33" t="n">
        <v>3</v>
      </c>
      <c r="AA634" s="33" t="inlineStr">
        <is>
          <t>7</t>
        </is>
      </c>
      <c r="AB634" s="33" t="inlineStr">
        <is>
          <t>https://www.swimcloud.com/results/96880/event/12/?id=12263472#time12263472</t>
        </is>
      </c>
      <c r="AC634" s="33" t="inlineStr">
        <is>
          <t>SwimCloud API v6 2026-10-08</t>
        </is>
      </c>
      <c r="AD634" s="33" t="inlineStr">
        <is>
          <t>Duncan Scott|2017-07-24|LCM|200|Free|106.62|17th FINA World Championships|PRE|False</t>
        </is>
      </c>
      <c r="AE634" s="53">
        <f>G634+L634/1000+ROW()/1000000000</f>
        <v/>
      </c>
      <c r="AF634" s="35">
        <f>IF(C634&lt;&gt;"Grayson Coulter","",COUNTIFS($C$5:$C$2991,"Grayson Coulter",$Q$5:$Q$2991,Q634,$AE$5:$AE$2991,"&lt;="&amp;AE634,$R$5:$R$2991,"&lt;"&amp;R634))</f>
        <v/>
      </c>
      <c r="AG634" s="35">
        <f>IF(OR(C634&lt;&gt;"Grayson Coulter",G634&lt;'00_Control'!$B$7),"",--(AF634&lt;5))</f>
        <v/>
      </c>
      <c r="AH634" s="35">
        <f>IF(OR(C634&lt;&gt;"Grayson Coulter",G634&lt;'00_Control'!$B$7),"",--(AF634&lt;10))</f>
        <v/>
      </c>
      <c r="AI634" s="35">
        <f>IF(AND(C634="Grayson Coulter",G634&gt;='00_Control'!$B$7),"YES","NO")</f>
        <v/>
      </c>
      <c r="AJ634" s="33" t="inlineStr">
        <is>
          <t>OK</t>
        </is>
      </c>
    </row>
    <row r="635">
      <c r="A635" s="33" t="inlineStr">
        <is>
          <t>SM000631</t>
        </is>
      </c>
      <c r="B635" s="33" t="inlineStr">
        <is>
          <t>SW016</t>
        </is>
      </c>
      <c r="C635" s="33" t="inlineStr">
        <is>
          <t>Duncan Scott</t>
        </is>
      </c>
      <c r="D635" s="33" t="inlineStr">
        <is>
          <t>SwimCloud</t>
        </is>
      </c>
      <c r="E635" s="33" t="inlineStr">
        <is>
          <t>375606</t>
        </is>
      </c>
      <c r="F635" s="33" t="inlineStr">
        <is>
          <t>12263507</t>
        </is>
      </c>
      <c r="G635" s="51" t="n">
        <v>42940</v>
      </c>
      <c r="H635" s="33" t="inlineStr">
        <is>
          <t>17th FINA World Championships</t>
        </is>
      </c>
      <c r="I635" s="33" t="inlineStr">
        <is>
          <t>96880</t>
        </is>
      </c>
      <c r="J635" s="33" t="inlineStr"/>
      <c r="K635" s="33" t="inlineStr">
        <is>
          <t>SEM</t>
        </is>
      </c>
      <c r="L635" s="35">
        <f>IF(K635="FIN",3,IF(OR(K635="SEM",K635="SEMI"),2,IF(OR(K635="PRE",K635="HEAT"),1,IF(V635="YES",4,2))))</f>
        <v/>
      </c>
      <c r="M635" s="33" t="inlineStr">
        <is>
          <t>LCM</t>
        </is>
      </c>
      <c r="N635" s="33" t="n">
        <v>200</v>
      </c>
      <c r="O635" s="33" t="inlineStr">
        <is>
          <t>Free</t>
        </is>
      </c>
      <c r="P635" s="33" t="inlineStr">
        <is>
          <t>200 Free</t>
        </is>
      </c>
      <c r="Q635" s="33" t="inlineStr">
        <is>
          <t>LCM_200_FREE</t>
        </is>
      </c>
      <c r="R635" s="36" t="n">
        <v>105.16</v>
      </c>
      <c r="S635" s="35">
        <f>IF(R635="","",IF(R635&gt;=60,INT(R635/60)&amp;":"&amp;TEXT(MOD(R635,60),"00.00"),TEXT(R635,"0.00")))</f>
        <v/>
      </c>
      <c r="T635" s="52">
        <f>IFERROR((G635-INDEX('01_Swimmers'!$E$5:$E$22,MATCH(B635,'01_Swimmers'!$A$5:$A$22,0)))/'00_Control'!$B$10,"")</f>
        <v/>
      </c>
      <c r="U635" s="35">
        <f>IF(T635="","",INT(T635))</f>
        <v/>
      </c>
      <c r="V635" s="33" t="inlineStr">
        <is>
          <t>NO</t>
        </is>
      </c>
      <c r="W635" s="33" t="inlineStr">
        <is>
          <t>YES</t>
        </is>
      </c>
      <c r="X635" s="33" t="inlineStr">
        <is>
          <t>NO</t>
        </is>
      </c>
      <c r="Y635" s="33" t="n">
        <v>21</v>
      </c>
      <c r="Z635" s="33" t="n">
        <v>6</v>
      </c>
      <c r="AA635" s="33" t="inlineStr"/>
      <c r="AB635" s="33" t="inlineStr">
        <is>
          <t>https://www.swimcloud.com/results/96880/event/12/?id=12263507#time12263507</t>
        </is>
      </c>
      <c r="AC635" s="33" t="inlineStr">
        <is>
          <t>SwimCloud API v6 2026-10-08</t>
        </is>
      </c>
      <c r="AD635" s="33" t="inlineStr">
        <is>
          <t>Duncan Scott|2017-07-24|LCM|200|Free|105.16|17th FINA World Championships|SEM|False</t>
        </is>
      </c>
      <c r="AE635" s="53">
        <f>G635+L635/1000+ROW()/1000000000</f>
        <v/>
      </c>
      <c r="AF635" s="35">
        <f>IF(C635&lt;&gt;"Grayson Coulter","",COUNTIFS($C$5:$C$2991,"Grayson Coulter",$Q$5:$Q$2991,Q635,$AE$5:$AE$2991,"&lt;="&amp;AE635,$R$5:$R$2991,"&lt;"&amp;R635))</f>
        <v/>
      </c>
      <c r="AG635" s="35">
        <f>IF(OR(C635&lt;&gt;"Grayson Coulter",G635&lt;'00_Control'!$B$7),"",--(AF635&lt;5))</f>
        <v/>
      </c>
      <c r="AH635" s="35">
        <f>IF(OR(C635&lt;&gt;"Grayson Coulter",G635&lt;'00_Control'!$B$7),"",--(AF635&lt;10))</f>
        <v/>
      </c>
      <c r="AI635" s="35">
        <f>IF(AND(C635="Grayson Coulter",G635&gt;='00_Control'!$B$7),"YES","NO")</f>
        <v/>
      </c>
      <c r="AJ635" s="33" t="inlineStr">
        <is>
          <t>OK</t>
        </is>
      </c>
    </row>
    <row r="636">
      <c r="A636" s="33" t="inlineStr">
        <is>
          <t>SM000632</t>
        </is>
      </c>
      <c r="B636" s="33" t="inlineStr">
        <is>
          <t>SW016</t>
        </is>
      </c>
      <c r="C636" s="33" t="inlineStr">
        <is>
          <t>Duncan Scott</t>
        </is>
      </c>
      <c r="D636" s="33" t="inlineStr">
        <is>
          <t>SwimCloud</t>
        </is>
      </c>
      <c r="E636" s="33" t="inlineStr">
        <is>
          <t>375606</t>
        </is>
      </c>
      <c r="F636" s="33" t="inlineStr">
        <is>
          <t>12263522</t>
        </is>
      </c>
      <c r="G636" s="51" t="n">
        <v>42941</v>
      </c>
      <c r="H636" s="33" t="inlineStr">
        <is>
          <t>17th FINA World Championships</t>
        </is>
      </c>
      <c r="I636" s="33" t="inlineStr">
        <is>
          <t>96880</t>
        </is>
      </c>
      <c r="J636" s="33" t="inlineStr"/>
      <c r="K636" s="33" t="inlineStr">
        <is>
          <t>FIN</t>
        </is>
      </c>
      <c r="L636" s="35">
        <f>IF(K636="FIN",3,IF(OR(K636="SEM",K636="SEMI"),2,IF(OR(K636="PRE",K636="HEAT"),1,IF(V636="YES",4,2))))</f>
        <v/>
      </c>
      <c r="M636" s="33" t="inlineStr">
        <is>
          <t>LCM</t>
        </is>
      </c>
      <c r="N636" s="33" t="n">
        <v>200</v>
      </c>
      <c r="O636" s="33" t="inlineStr">
        <is>
          <t>Free</t>
        </is>
      </c>
      <c r="P636" s="33" t="inlineStr">
        <is>
          <t>200 Free</t>
        </is>
      </c>
      <c r="Q636" s="33" t="inlineStr">
        <is>
          <t>LCM_200_FREE</t>
        </is>
      </c>
      <c r="R636" s="36" t="n">
        <v>105.27</v>
      </c>
      <c r="S636" s="35">
        <f>IF(R636="","",IF(R636&gt;=60,INT(R636/60)&amp;":"&amp;TEXT(MOD(R636,60),"00.00"),TEXT(R636,"0.00")))</f>
        <v/>
      </c>
      <c r="T636" s="52">
        <f>IFERROR((G636-INDEX('01_Swimmers'!$E$5:$E$22,MATCH(B636,'01_Swimmers'!$A$5:$A$22,0)))/'00_Control'!$B$10,"")</f>
        <v/>
      </c>
      <c r="U636" s="35">
        <f>IF(T636="","",INT(T636))</f>
        <v/>
      </c>
      <c r="V636" s="33" t="inlineStr">
        <is>
          <t>NO</t>
        </is>
      </c>
      <c r="W636" s="33" t="inlineStr">
        <is>
          <t>YES</t>
        </is>
      </c>
      <c r="X636" s="33" t="inlineStr">
        <is>
          <t>NO</t>
        </is>
      </c>
      <c r="Y636" s="33" t="n">
        <v>31</v>
      </c>
      <c r="Z636" s="33" t="n">
        <v>4</v>
      </c>
      <c r="AA636" s="33" t="inlineStr">
        <is>
          <t>4</t>
        </is>
      </c>
      <c r="AB636" s="33" t="inlineStr">
        <is>
          <t>https://www.swimcloud.com/results/96880/event/12/?id=12263522#time12263522</t>
        </is>
      </c>
      <c r="AC636" s="33" t="inlineStr">
        <is>
          <t>SwimCloud API v6 2026-10-08</t>
        </is>
      </c>
      <c r="AD636" s="33" t="inlineStr">
        <is>
          <t>Duncan Scott|2017-07-25|LCM|200|Free|105.27|17th FINA World Championships|FIN|False</t>
        </is>
      </c>
      <c r="AE636" s="53">
        <f>G636+L636/1000+ROW()/1000000000</f>
        <v/>
      </c>
      <c r="AF636" s="35">
        <f>IF(C636&lt;&gt;"Grayson Coulter","",COUNTIFS($C$5:$C$2991,"Grayson Coulter",$Q$5:$Q$2991,Q636,$AE$5:$AE$2991,"&lt;="&amp;AE636,$R$5:$R$2991,"&lt;"&amp;R636))</f>
        <v/>
      </c>
      <c r="AG636" s="35">
        <f>IF(OR(C636&lt;&gt;"Grayson Coulter",G636&lt;'00_Control'!$B$7),"",--(AF636&lt;5))</f>
        <v/>
      </c>
      <c r="AH636" s="35">
        <f>IF(OR(C636&lt;&gt;"Grayson Coulter",G636&lt;'00_Control'!$B$7),"",--(AF636&lt;10))</f>
        <v/>
      </c>
      <c r="AI636" s="35">
        <f>IF(AND(C636="Grayson Coulter",G636&gt;='00_Control'!$B$7),"YES","NO")</f>
        <v/>
      </c>
      <c r="AJ636" s="33" t="inlineStr">
        <is>
          <t>OK</t>
        </is>
      </c>
    </row>
    <row r="637">
      <c r="A637" s="33" t="inlineStr">
        <is>
          <t>SM000633</t>
        </is>
      </c>
      <c r="B637" s="33" t="inlineStr">
        <is>
          <t>SW016</t>
        </is>
      </c>
      <c r="C637" s="33" t="inlineStr">
        <is>
          <t>Duncan Scott</t>
        </is>
      </c>
      <c r="D637" s="33" t="inlineStr">
        <is>
          <t>SwimCloud</t>
        </is>
      </c>
      <c r="E637" s="33" t="inlineStr">
        <is>
          <t>375606</t>
        </is>
      </c>
      <c r="F637" s="33" t="inlineStr">
        <is>
          <t>12262596</t>
        </is>
      </c>
      <c r="G637" s="51" t="n">
        <v>42942</v>
      </c>
      <c r="H637" s="33" t="inlineStr">
        <is>
          <t>17th FINA World Championships</t>
        </is>
      </c>
      <c r="I637" s="33" t="inlineStr">
        <is>
          <t>96880</t>
        </is>
      </c>
      <c r="J637" s="33" t="inlineStr"/>
      <c r="K637" s="33" t="inlineStr">
        <is>
          <t>PRE</t>
        </is>
      </c>
      <c r="L637" s="35">
        <f>IF(K637="FIN",3,IF(OR(K637="SEM",K637="SEMI"),2,IF(OR(K637="PRE",K637="HEAT"),1,IF(V637="YES",4,2))))</f>
        <v/>
      </c>
      <c r="M637" s="33" t="inlineStr">
        <is>
          <t>LCM</t>
        </is>
      </c>
      <c r="N637" s="33" t="n">
        <v>100</v>
      </c>
      <c r="O637" s="33" t="inlineStr">
        <is>
          <t>Free</t>
        </is>
      </c>
      <c r="P637" s="33" t="inlineStr">
        <is>
          <t>100 Free</t>
        </is>
      </c>
      <c r="Q637" s="33" t="inlineStr">
        <is>
          <t>LCM_100_FREE</t>
        </is>
      </c>
      <c r="R637" s="36" t="n">
        <v>48.46</v>
      </c>
      <c r="S637" s="35">
        <f>IF(R637="","",IF(R637&gt;=60,INT(R637/60)&amp;":"&amp;TEXT(MOD(R637,60),"00.00"),TEXT(R637,"0.00")))</f>
        <v/>
      </c>
      <c r="T637" s="52">
        <f>IFERROR((G637-INDEX('01_Swimmers'!$E$5:$E$22,MATCH(B637,'01_Swimmers'!$A$5:$A$22,0)))/'00_Control'!$B$10,"")</f>
        <v/>
      </c>
      <c r="U637" s="35">
        <f>IF(T637="","",INT(T637))</f>
        <v/>
      </c>
      <c r="V637" s="33" t="inlineStr">
        <is>
          <t>NO</t>
        </is>
      </c>
      <c r="W637" s="33" t="inlineStr">
        <is>
          <t>YES</t>
        </is>
      </c>
      <c r="X637" s="33" t="inlineStr">
        <is>
          <t>NO</t>
        </is>
      </c>
      <c r="Y637" s="33" t="n">
        <v>12</v>
      </c>
      <c r="Z637" s="33" t="n">
        <v>5</v>
      </c>
      <c r="AA637" s="33" t="inlineStr">
        <is>
          <t>5</t>
        </is>
      </c>
      <c r="AB637" s="33" t="inlineStr">
        <is>
          <t>https://www.swimcloud.com/results/96880/event/19/?id=12262596#time12262596</t>
        </is>
      </c>
      <c r="AC637" s="33" t="inlineStr">
        <is>
          <t>SwimCloud API v6 2026-10-08</t>
        </is>
      </c>
      <c r="AD637" s="33" t="inlineStr">
        <is>
          <t>Duncan Scott|2017-07-26|LCM|100|Free|48.46|17th FINA World Championships|PRE|False</t>
        </is>
      </c>
      <c r="AE637" s="53">
        <f>G637+L637/1000+ROW()/1000000000</f>
        <v/>
      </c>
      <c r="AF637" s="35">
        <f>IF(C637&lt;&gt;"Grayson Coulter","",COUNTIFS($C$5:$C$2991,"Grayson Coulter",$Q$5:$Q$2991,Q637,$AE$5:$AE$2991,"&lt;="&amp;AE637,$R$5:$R$2991,"&lt;"&amp;R637))</f>
        <v/>
      </c>
      <c r="AG637" s="35">
        <f>IF(OR(C637&lt;&gt;"Grayson Coulter",G637&lt;'00_Control'!$B$7),"",--(AF637&lt;5))</f>
        <v/>
      </c>
      <c r="AH637" s="35">
        <f>IF(OR(C637&lt;&gt;"Grayson Coulter",G637&lt;'00_Control'!$B$7),"",--(AF637&lt;10))</f>
        <v/>
      </c>
      <c r="AI637" s="35">
        <f>IF(AND(C637="Grayson Coulter",G637&gt;='00_Control'!$B$7),"YES","NO")</f>
        <v/>
      </c>
      <c r="AJ637" s="33" t="inlineStr">
        <is>
          <t>OK</t>
        </is>
      </c>
    </row>
    <row r="638">
      <c r="A638" s="33" t="inlineStr">
        <is>
          <t>SM000634</t>
        </is>
      </c>
      <c r="B638" s="33" t="inlineStr">
        <is>
          <t>SW016</t>
        </is>
      </c>
      <c r="C638" s="33" t="inlineStr">
        <is>
          <t>Duncan Scott</t>
        </is>
      </c>
      <c r="D638" s="33" t="inlineStr">
        <is>
          <t>SwimCloud</t>
        </is>
      </c>
      <c r="E638" s="33" t="inlineStr">
        <is>
          <t>375606</t>
        </is>
      </c>
      <c r="F638" s="33" t="inlineStr">
        <is>
          <t>12262654</t>
        </is>
      </c>
      <c r="G638" s="51" t="n">
        <v>42942</v>
      </c>
      <c r="H638" s="33" t="inlineStr">
        <is>
          <t>17th FINA World Championships</t>
        </is>
      </c>
      <c r="I638" s="33" t="inlineStr">
        <is>
          <t>96880</t>
        </is>
      </c>
      <c r="J638" s="33" t="inlineStr"/>
      <c r="K638" s="33" t="inlineStr">
        <is>
          <t>SEM</t>
        </is>
      </c>
      <c r="L638" s="35">
        <f>IF(K638="FIN",3,IF(OR(K638="SEM",K638="SEMI"),2,IF(OR(K638="PRE",K638="HEAT"),1,IF(V638="YES",4,2))))</f>
        <v/>
      </c>
      <c r="M638" s="33" t="inlineStr">
        <is>
          <t>LCM</t>
        </is>
      </c>
      <c r="N638" s="33" t="n">
        <v>100</v>
      </c>
      <c r="O638" s="33" t="inlineStr">
        <is>
          <t>Free</t>
        </is>
      </c>
      <c r="P638" s="33" t="inlineStr">
        <is>
          <t>100 Free</t>
        </is>
      </c>
      <c r="Q638" s="33" t="inlineStr">
        <is>
          <t>LCM_100_FREE</t>
        </is>
      </c>
      <c r="R638" s="36" t="n">
        <v>48.1</v>
      </c>
      <c r="S638" s="35">
        <f>IF(R638="","",IF(R638&gt;=60,INT(R638/60)&amp;":"&amp;TEXT(MOD(R638,60),"00.00"),TEXT(R638,"0.00")))</f>
        <v/>
      </c>
      <c r="T638" s="52">
        <f>IFERROR((G638-INDEX('01_Swimmers'!$E$5:$E$22,MATCH(B638,'01_Swimmers'!$A$5:$A$22,0)))/'00_Control'!$B$10,"")</f>
        <v/>
      </c>
      <c r="U638" s="35">
        <f>IF(T638="","",INT(T638))</f>
        <v/>
      </c>
      <c r="V638" s="33" t="inlineStr">
        <is>
          <t>NO</t>
        </is>
      </c>
      <c r="W638" s="33" t="inlineStr">
        <is>
          <t>YES</t>
        </is>
      </c>
      <c r="X638" s="33" t="inlineStr">
        <is>
          <t>NO</t>
        </is>
      </c>
      <c r="Y638" s="33" t="n">
        <v>21</v>
      </c>
      <c r="Z638" s="33" t="n">
        <v>6</v>
      </c>
      <c r="AA638" s="33" t="inlineStr"/>
      <c r="AB638" s="33" t="inlineStr">
        <is>
          <t>https://www.swimcloud.com/results/96880/event/19/?id=12262654#time12262654</t>
        </is>
      </c>
      <c r="AC638" s="33" t="inlineStr">
        <is>
          <t>SwimCloud API v6 2026-10-08</t>
        </is>
      </c>
      <c r="AD638" s="33" t="inlineStr">
        <is>
          <t>Duncan Scott|2017-07-26|LCM|100|Free|48.1|17th FINA World Championships|SEM|False</t>
        </is>
      </c>
      <c r="AE638" s="53">
        <f>G638+L638/1000+ROW()/1000000000</f>
        <v/>
      </c>
      <c r="AF638" s="35">
        <f>IF(C638&lt;&gt;"Grayson Coulter","",COUNTIFS($C$5:$C$2991,"Grayson Coulter",$Q$5:$Q$2991,Q638,$AE$5:$AE$2991,"&lt;="&amp;AE638,$R$5:$R$2991,"&lt;"&amp;R638))</f>
        <v/>
      </c>
      <c r="AG638" s="35">
        <f>IF(OR(C638&lt;&gt;"Grayson Coulter",G638&lt;'00_Control'!$B$7),"",--(AF638&lt;5))</f>
        <v/>
      </c>
      <c r="AH638" s="35">
        <f>IF(OR(C638&lt;&gt;"Grayson Coulter",G638&lt;'00_Control'!$B$7),"",--(AF638&lt;10))</f>
        <v/>
      </c>
      <c r="AI638" s="35">
        <f>IF(AND(C638="Grayson Coulter",G638&gt;='00_Control'!$B$7),"YES","NO")</f>
        <v/>
      </c>
      <c r="AJ638" s="33" t="inlineStr">
        <is>
          <t>OK</t>
        </is>
      </c>
    </row>
    <row r="639">
      <c r="A639" s="33" t="inlineStr">
        <is>
          <t>SM000635</t>
        </is>
      </c>
      <c r="B639" s="33" t="inlineStr">
        <is>
          <t>SW016</t>
        </is>
      </c>
      <c r="C639" s="33" t="inlineStr">
        <is>
          <t>Duncan Scott</t>
        </is>
      </c>
      <c r="D639" s="33" t="inlineStr">
        <is>
          <t>SwimCloud</t>
        </is>
      </c>
      <c r="E639" s="33" t="inlineStr">
        <is>
          <t>375606</t>
        </is>
      </c>
      <c r="F639" s="33" t="inlineStr">
        <is>
          <t>12262646</t>
        </is>
      </c>
      <c r="G639" s="51" t="n">
        <v>42943</v>
      </c>
      <c r="H639" s="33" t="inlineStr">
        <is>
          <t>17th FINA World Championships</t>
        </is>
      </c>
      <c r="I639" s="33" t="inlineStr">
        <is>
          <t>96880</t>
        </is>
      </c>
      <c r="J639" s="33" t="inlineStr"/>
      <c r="K639" s="33" t="inlineStr">
        <is>
          <t>FIN</t>
        </is>
      </c>
      <c r="L639" s="35">
        <f>IF(K639="FIN",3,IF(OR(K639="SEM",K639="SEMI"),2,IF(OR(K639="PRE",K639="HEAT"),1,IF(V639="YES",4,2))))</f>
        <v/>
      </c>
      <c r="M639" s="33" t="inlineStr">
        <is>
          <t>LCM</t>
        </is>
      </c>
      <c r="N639" s="33" t="n">
        <v>100</v>
      </c>
      <c r="O639" s="33" t="inlineStr">
        <is>
          <t>Free</t>
        </is>
      </c>
      <c r="P639" s="33" t="inlineStr">
        <is>
          <t>100 Free</t>
        </is>
      </c>
      <c r="Q639" s="33" t="inlineStr">
        <is>
          <t>LCM_100_FREE</t>
        </is>
      </c>
      <c r="R639" s="36" t="n">
        <v>48.11</v>
      </c>
      <c r="S639" s="35">
        <f>IF(R639="","",IF(R639&gt;=60,INT(R639/60)&amp;":"&amp;TEXT(MOD(R639,60),"00.00"),TEXT(R639,"0.00")))</f>
        <v/>
      </c>
      <c r="T639" s="52">
        <f>IFERROR((G639-INDEX('01_Swimmers'!$E$5:$E$22,MATCH(B639,'01_Swimmers'!$A$5:$A$22,0)))/'00_Control'!$B$10,"")</f>
        <v/>
      </c>
      <c r="U639" s="35">
        <f>IF(T639="","",INT(T639))</f>
        <v/>
      </c>
      <c r="V639" s="33" t="inlineStr">
        <is>
          <t>NO</t>
        </is>
      </c>
      <c r="W639" s="33" t="inlineStr">
        <is>
          <t>YES</t>
        </is>
      </c>
      <c r="X639" s="33" t="inlineStr">
        <is>
          <t>NO</t>
        </is>
      </c>
      <c r="Y639" s="33" t="n">
        <v>31</v>
      </c>
      <c r="Z639" s="33" t="n">
        <v>7</v>
      </c>
      <c r="AA639" s="33" t="inlineStr">
        <is>
          <t>5</t>
        </is>
      </c>
      <c r="AB639" s="33" t="inlineStr">
        <is>
          <t>https://www.swimcloud.com/results/96880/event/19/?id=12262646#time12262646</t>
        </is>
      </c>
      <c r="AC639" s="33" t="inlineStr">
        <is>
          <t>SwimCloud API v6 2026-10-08</t>
        </is>
      </c>
      <c r="AD639" s="33" t="inlineStr">
        <is>
          <t>Duncan Scott|2017-07-27|LCM|100|Free|48.11|17th FINA World Championships|FIN|False</t>
        </is>
      </c>
      <c r="AE639" s="53">
        <f>G639+L639/1000+ROW()/1000000000</f>
        <v/>
      </c>
      <c r="AF639" s="35">
        <f>IF(C639&lt;&gt;"Grayson Coulter","",COUNTIFS($C$5:$C$2991,"Grayson Coulter",$Q$5:$Q$2991,Q639,$AE$5:$AE$2991,"&lt;="&amp;AE639,$R$5:$R$2991,"&lt;"&amp;R639))</f>
        <v/>
      </c>
      <c r="AG639" s="35">
        <f>IF(OR(C639&lt;&gt;"Grayson Coulter",G639&lt;'00_Control'!$B$7),"",--(AF639&lt;5))</f>
        <v/>
      </c>
      <c r="AH639" s="35">
        <f>IF(OR(C639&lt;&gt;"Grayson Coulter",G639&lt;'00_Control'!$B$7),"",--(AF639&lt;10))</f>
        <v/>
      </c>
      <c r="AI639" s="35">
        <f>IF(AND(C639="Grayson Coulter",G639&gt;='00_Control'!$B$7),"YES","NO")</f>
        <v/>
      </c>
      <c r="AJ639" s="33" t="inlineStr">
        <is>
          <t>OK</t>
        </is>
      </c>
    </row>
    <row r="640">
      <c r="A640" s="33" t="inlineStr">
        <is>
          <t>SM000636</t>
        </is>
      </c>
      <c r="B640" s="33" t="inlineStr">
        <is>
          <t>SW016</t>
        </is>
      </c>
      <c r="C640" s="33" t="inlineStr">
        <is>
          <t>Duncan Scott</t>
        </is>
      </c>
      <c r="D640" s="33" t="inlineStr">
        <is>
          <t>SwimCloud</t>
        </is>
      </c>
      <c r="E640" s="33" t="inlineStr">
        <is>
          <t>375606</t>
        </is>
      </c>
      <c r="F640" s="33" t="inlineStr">
        <is>
          <t>123346985</t>
        </is>
      </c>
      <c r="G640" s="51" t="n">
        <v>43077</v>
      </c>
      <c r="H640" s="33" t="inlineStr">
        <is>
          <t>Scottish National Short Course Championships</t>
        </is>
      </c>
      <c r="I640" s="33" t="inlineStr">
        <is>
          <t>100987</t>
        </is>
      </c>
      <c r="J640" s="33" t="inlineStr"/>
      <c r="K640" s="33" t="inlineStr">
        <is>
          <t>PRE</t>
        </is>
      </c>
      <c r="L640" s="35">
        <f>IF(K640="FIN",3,IF(OR(K640="SEM",K640="SEMI"),2,IF(OR(K640="PRE",K640="HEAT"),1,IF(V640="YES",4,2))))</f>
        <v/>
      </c>
      <c r="M640" s="33" t="inlineStr">
        <is>
          <t>SCM</t>
        </is>
      </c>
      <c r="N640" s="33" t="n">
        <v>100</v>
      </c>
      <c r="O640" s="33" t="inlineStr">
        <is>
          <t>Fly</t>
        </is>
      </c>
      <c r="P640" s="33" t="inlineStr">
        <is>
          <t>100 Fly</t>
        </is>
      </c>
      <c r="Q640" s="33" t="inlineStr">
        <is>
          <t>SCM_100_FLY</t>
        </is>
      </c>
      <c r="R640" s="36" t="n">
        <v>54.86</v>
      </c>
      <c r="S640" s="35">
        <f>IF(R640="","",IF(R640&gt;=60,INT(R640/60)&amp;":"&amp;TEXT(MOD(R640,60),"00.00"),TEXT(R640,"0.00")))</f>
        <v/>
      </c>
      <c r="T640" s="52">
        <f>IFERROR((G640-INDEX('01_Swimmers'!$E$5:$E$22,MATCH(B640,'01_Swimmers'!$A$5:$A$22,0)))/'00_Control'!$B$10,"")</f>
        <v/>
      </c>
      <c r="U640" s="35">
        <f>IF(T640="","",INT(T640))</f>
        <v/>
      </c>
      <c r="V640" s="33" t="inlineStr">
        <is>
          <t>NO</t>
        </is>
      </c>
      <c r="W640" s="33" t="inlineStr">
        <is>
          <t>YES</t>
        </is>
      </c>
      <c r="X640" s="33" t="inlineStr">
        <is>
          <t>NO</t>
        </is>
      </c>
      <c r="Y640" s="33" t="n">
        <v>5</v>
      </c>
      <c r="Z640" s="33" t="n">
        <v>4</v>
      </c>
      <c r="AA640" s="33" t="inlineStr">
        <is>
          <t>4</t>
        </is>
      </c>
      <c r="AB640" s="33" t="inlineStr">
        <is>
          <t>https://www.swimcloud.com/results/100987/event/105/?id=123346985#time123346985</t>
        </is>
      </c>
      <c r="AC640" s="33" t="inlineStr">
        <is>
          <t>SwimCloud API v6 2026-10-08</t>
        </is>
      </c>
      <c r="AD640" s="33" t="inlineStr">
        <is>
          <t>Duncan Scott|2017-12-08|SCM|100|Fly|54.86|Scottish National Short Course Championships|PRE|False</t>
        </is>
      </c>
      <c r="AE640" s="53">
        <f>G640+L640/1000+ROW()/1000000000</f>
        <v/>
      </c>
      <c r="AF640" s="35">
        <f>IF(C640&lt;&gt;"Grayson Coulter","",COUNTIFS($C$5:$C$2991,"Grayson Coulter",$Q$5:$Q$2991,Q640,$AE$5:$AE$2991,"&lt;="&amp;AE640,$R$5:$R$2991,"&lt;"&amp;R640))</f>
        <v/>
      </c>
      <c r="AG640" s="35">
        <f>IF(OR(C640&lt;&gt;"Grayson Coulter",G640&lt;'00_Control'!$B$7),"",--(AF640&lt;5))</f>
        <v/>
      </c>
      <c r="AH640" s="35">
        <f>IF(OR(C640&lt;&gt;"Grayson Coulter",G640&lt;'00_Control'!$B$7),"",--(AF640&lt;10))</f>
        <v/>
      </c>
      <c r="AI640" s="35">
        <f>IF(AND(C640="Grayson Coulter",G640&gt;='00_Control'!$B$7),"YES","NO")</f>
        <v/>
      </c>
      <c r="AJ640" s="33" t="inlineStr">
        <is>
          <t>OK</t>
        </is>
      </c>
    </row>
    <row r="641">
      <c r="A641" s="33" t="inlineStr">
        <is>
          <t>SM000637</t>
        </is>
      </c>
      <c r="B641" s="33" t="inlineStr">
        <is>
          <t>SW016</t>
        </is>
      </c>
      <c r="C641" s="33" t="inlineStr">
        <is>
          <t>Duncan Scott</t>
        </is>
      </c>
      <c r="D641" s="33" t="inlineStr">
        <is>
          <t>SwimCloud</t>
        </is>
      </c>
      <c r="E641" s="33" t="inlineStr">
        <is>
          <t>375606</t>
        </is>
      </c>
      <c r="F641" s="33" t="inlineStr">
        <is>
          <t>123346674</t>
        </is>
      </c>
      <c r="G641" s="51" t="n">
        <v>43077</v>
      </c>
      <c r="H641" s="33" t="inlineStr">
        <is>
          <t>Scottish National Short Course Championships</t>
        </is>
      </c>
      <c r="I641" s="33" t="inlineStr">
        <is>
          <t>100987</t>
        </is>
      </c>
      <c r="J641" s="33" t="inlineStr"/>
      <c r="K641" s="33" t="inlineStr">
        <is>
          <t>PRE</t>
        </is>
      </c>
      <c r="L641" s="35">
        <f>IF(K641="FIN",3,IF(OR(K641="SEM",K641="SEMI"),2,IF(OR(K641="PRE",K641="HEAT"),1,IF(V641="YES",4,2))))</f>
        <v/>
      </c>
      <c r="M641" s="33" t="inlineStr">
        <is>
          <t>SCM</t>
        </is>
      </c>
      <c r="N641" s="33" t="n">
        <v>400</v>
      </c>
      <c r="O641" s="33" t="inlineStr">
        <is>
          <t>Free</t>
        </is>
      </c>
      <c r="P641" s="33" t="inlineStr">
        <is>
          <t>400 Free</t>
        </is>
      </c>
      <c r="Q641" s="33" t="inlineStr">
        <is>
          <t>SCM_400_FREE</t>
        </is>
      </c>
      <c r="R641" s="36" t="n">
        <v>236.96</v>
      </c>
      <c r="S641" s="35">
        <f>IF(R641="","",IF(R641&gt;=60,INT(R641/60)&amp;":"&amp;TEXT(MOD(R641,60),"00.00"),TEXT(R641,"0.00")))</f>
        <v/>
      </c>
      <c r="T641" s="52">
        <f>IFERROR((G641-INDEX('01_Swimmers'!$E$5:$E$22,MATCH(B641,'01_Swimmers'!$A$5:$A$22,0)))/'00_Control'!$B$10,"")</f>
        <v/>
      </c>
      <c r="U641" s="35">
        <f>IF(T641="","",INT(T641))</f>
        <v/>
      </c>
      <c r="V641" s="33" t="inlineStr">
        <is>
          <t>NO</t>
        </is>
      </c>
      <c r="W641" s="33" t="inlineStr">
        <is>
          <t>YES</t>
        </is>
      </c>
      <c r="X641" s="33" t="inlineStr">
        <is>
          <t>NO</t>
        </is>
      </c>
      <c r="Y641" s="33" t="n">
        <v>4</v>
      </c>
      <c r="Z641" s="33" t="n">
        <v>4</v>
      </c>
      <c r="AA641" s="33" t="inlineStr">
        <is>
          <t>6</t>
        </is>
      </c>
      <c r="AB641" s="33" t="inlineStr">
        <is>
          <t>https://www.swimcloud.com/results/100987/event/109/?id=123346674#time123346674</t>
        </is>
      </c>
      <c r="AC641" s="33" t="inlineStr">
        <is>
          <t>SwimCloud API v6 2026-10-08</t>
        </is>
      </c>
      <c r="AD641" s="33" t="inlineStr">
        <is>
          <t>Duncan Scott|2017-12-08|SCM|400|Free|236.96|Scottish National Short Course Championships|PRE|False</t>
        </is>
      </c>
      <c r="AE641" s="53">
        <f>G641+L641/1000+ROW()/1000000000</f>
        <v/>
      </c>
      <c r="AF641" s="35">
        <f>IF(C641&lt;&gt;"Grayson Coulter","",COUNTIFS($C$5:$C$2991,"Grayson Coulter",$Q$5:$Q$2991,Q641,$AE$5:$AE$2991,"&lt;="&amp;AE641,$R$5:$R$2991,"&lt;"&amp;R641))</f>
        <v/>
      </c>
      <c r="AG641" s="35">
        <f>IF(OR(C641&lt;&gt;"Grayson Coulter",G641&lt;'00_Control'!$B$7),"",--(AF641&lt;5))</f>
        <v/>
      </c>
      <c r="AH641" s="35">
        <f>IF(OR(C641&lt;&gt;"Grayson Coulter",G641&lt;'00_Control'!$B$7),"",--(AF641&lt;10))</f>
        <v/>
      </c>
      <c r="AI641" s="35">
        <f>IF(AND(C641="Grayson Coulter",G641&gt;='00_Control'!$B$7),"YES","NO")</f>
        <v/>
      </c>
      <c r="AJ641" s="33" t="inlineStr">
        <is>
          <t>OK</t>
        </is>
      </c>
    </row>
    <row r="642">
      <c r="A642" s="33" t="inlineStr">
        <is>
          <t>SM000638</t>
        </is>
      </c>
      <c r="B642" s="33" t="inlineStr">
        <is>
          <t>SW016</t>
        </is>
      </c>
      <c r="C642" s="33" t="inlineStr">
        <is>
          <t>Duncan Scott</t>
        </is>
      </c>
      <c r="D642" s="33" t="inlineStr">
        <is>
          <t>SwimCloud</t>
        </is>
      </c>
      <c r="E642" s="33" t="inlineStr">
        <is>
          <t>375606</t>
        </is>
      </c>
      <c r="F642" s="33" t="inlineStr">
        <is>
          <t>13573305</t>
        </is>
      </c>
      <c r="G642" s="51" t="n">
        <v>43083</v>
      </c>
      <c r="H642" s="33" t="inlineStr">
        <is>
          <t>LEN European Short Course Championships</t>
        </is>
      </c>
      <c r="I642" s="33" t="inlineStr">
        <is>
          <t>100723</t>
        </is>
      </c>
      <c r="J642" s="33" t="inlineStr"/>
      <c r="K642" s="33" t="inlineStr">
        <is>
          <t>TIM</t>
        </is>
      </c>
      <c r="L642" s="35">
        <f>IF(K642="FIN",3,IF(OR(K642="SEM",K642="SEMI"),2,IF(OR(K642="PRE",K642="HEAT"),1,IF(V642="YES",4,2))))</f>
        <v/>
      </c>
      <c r="M642" s="33" t="inlineStr">
        <is>
          <t>SCM</t>
        </is>
      </c>
      <c r="N642" s="33" t="n">
        <v>200</v>
      </c>
      <c r="O642" s="33" t="inlineStr">
        <is>
          <t>Free</t>
        </is>
      </c>
      <c r="P642" s="33" t="inlineStr">
        <is>
          <t>200 Free</t>
        </is>
      </c>
      <c r="Q642" s="33" t="inlineStr">
        <is>
          <t>SCM_200_FREE</t>
        </is>
      </c>
      <c r="R642" s="36" t="n">
        <v>103.07</v>
      </c>
      <c r="S642" s="35">
        <f>IF(R642="","",IF(R642&gt;=60,INT(R642/60)&amp;":"&amp;TEXT(MOD(R642,60),"00.00"),TEXT(R642,"0.00")))</f>
        <v/>
      </c>
      <c r="T642" s="52">
        <f>IFERROR((G642-INDEX('01_Swimmers'!$E$5:$E$22,MATCH(B642,'01_Swimmers'!$A$5:$A$22,0)))/'00_Control'!$B$10,"")</f>
        <v/>
      </c>
      <c r="U642" s="35">
        <f>IF(T642="","",INT(T642))</f>
        <v/>
      </c>
      <c r="V642" s="33" t="inlineStr">
        <is>
          <t>NO</t>
        </is>
      </c>
      <c r="W642" s="33" t="inlineStr">
        <is>
          <t>YES</t>
        </is>
      </c>
      <c r="X642" s="33" t="inlineStr">
        <is>
          <t>NO</t>
        </is>
      </c>
      <c r="Y642" s="33" t="n">
        <v>31</v>
      </c>
      <c r="Z642" s="33" t="n">
        <v>5</v>
      </c>
      <c r="AA642" s="33" t="inlineStr">
        <is>
          <t>3</t>
        </is>
      </c>
      <c r="AB642" s="33" t="inlineStr">
        <is>
          <t>https://www.swimcloud.com/results/100723/event/110/?id=13573305#time13573305</t>
        </is>
      </c>
      <c r="AC642" s="33" t="inlineStr">
        <is>
          <t>SwimCloud API v6 2026-10-08</t>
        </is>
      </c>
      <c r="AD642" s="33" t="inlineStr">
        <is>
          <t>Duncan Scott|2017-12-14|SCM|200|Free|103.07|LEN European Short Course Championships|TIM|False</t>
        </is>
      </c>
      <c r="AE642" s="53">
        <f>G642+L642/1000+ROW()/1000000000</f>
        <v/>
      </c>
      <c r="AF642" s="35">
        <f>IF(C642&lt;&gt;"Grayson Coulter","",COUNTIFS($C$5:$C$2991,"Grayson Coulter",$Q$5:$Q$2991,Q642,$AE$5:$AE$2991,"&lt;="&amp;AE642,$R$5:$R$2991,"&lt;"&amp;R642))</f>
        <v/>
      </c>
      <c r="AG642" s="35">
        <f>IF(OR(C642&lt;&gt;"Grayson Coulter",G642&lt;'00_Control'!$B$7),"",--(AF642&lt;5))</f>
        <v/>
      </c>
      <c r="AH642" s="35">
        <f>IF(OR(C642&lt;&gt;"Grayson Coulter",G642&lt;'00_Control'!$B$7),"",--(AF642&lt;10))</f>
        <v/>
      </c>
      <c r="AI642" s="35">
        <f>IF(AND(C642="Grayson Coulter",G642&gt;='00_Control'!$B$7),"YES","NO")</f>
        <v/>
      </c>
      <c r="AJ642" s="33" t="inlineStr">
        <is>
          <t>OK</t>
        </is>
      </c>
    </row>
    <row r="643">
      <c r="A643" s="33" t="inlineStr">
        <is>
          <t>SM000639</t>
        </is>
      </c>
      <c r="B643" s="33" t="inlineStr">
        <is>
          <t>SW016</t>
        </is>
      </c>
      <c r="C643" s="33" t="inlineStr">
        <is>
          <t>Duncan Scott</t>
        </is>
      </c>
      <c r="D643" s="33" t="inlineStr">
        <is>
          <t>SwimCloud</t>
        </is>
      </c>
      <c r="E643" s="33" t="inlineStr">
        <is>
          <t>375606</t>
        </is>
      </c>
      <c r="F643" s="33" t="inlineStr">
        <is>
          <t>13572365</t>
        </is>
      </c>
      <c r="G643" s="51" t="n">
        <v>43083</v>
      </c>
      <c r="H643" s="33" t="inlineStr">
        <is>
          <t>LEN European Short Course Championships</t>
        </is>
      </c>
      <c r="I643" s="33" t="inlineStr">
        <is>
          <t>100723</t>
        </is>
      </c>
      <c r="J643" s="33" t="inlineStr"/>
      <c r="K643" s="33" t="inlineStr">
        <is>
          <t>TIM</t>
        </is>
      </c>
      <c r="L643" s="35">
        <f>IF(K643="FIN",3,IF(OR(K643="SEM",K643="SEMI"),2,IF(OR(K643="PRE",K643="HEAT"),1,IF(V643="YES",4,2))))</f>
        <v/>
      </c>
      <c r="M643" s="33" t="inlineStr">
        <is>
          <t>SCM</t>
        </is>
      </c>
      <c r="N643" s="33" t="n">
        <v>200</v>
      </c>
      <c r="O643" s="33" t="inlineStr">
        <is>
          <t>Free</t>
        </is>
      </c>
      <c r="P643" s="33" t="inlineStr">
        <is>
          <t>200 Free</t>
        </is>
      </c>
      <c r="Q643" s="33" t="inlineStr">
        <is>
          <t>SCM_200_FREE</t>
        </is>
      </c>
      <c r="R643" s="36" t="n">
        <v>103.16</v>
      </c>
      <c r="S643" s="35">
        <f>IF(R643="","",IF(R643&gt;=60,INT(R643/60)&amp;":"&amp;TEXT(MOD(R643,60),"00.00"),TEXT(R643,"0.00")))</f>
        <v/>
      </c>
      <c r="T643" s="52">
        <f>IFERROR((G643-INDEX('01_Swimmers'!$E$5:$E$22,MATCH(B643,'01_Swimmers'!$A$5:$A$22,0)))/'00_Control'!$B$10,"")</f>
        <v/>
      </c>
      <c r="U643" s="35">
        <f>IF(T643="","",INT(T643))</f>
        <v/>
      </c>
      <c r="V643" s="33" t="inlineStr">
        <is>
          <t>NO</t>
        </is>
      </c>
      <c r="W643" s="33" t="inlineStr">
        <is>
          <t>YES</t>
        </is>
      </c>
      <c r="X643" s="33" t="inlineStr">
        <is>
          <t>NO</t>
        </is>
      </c>
      <c r="Y643" s="33" t="n">
        <v>0</v>
      </c>
      <c r="Z643" s="33" t="n">
        <v>5</v>
      </c>
      <c r="AA643" s="33" t="inlineStr">
        <is>
          <t>2</t>
        </is>
      </c>
      <c r="AB643" s="33" t="inlineStr">
        <is>
          <t>https://www.swimcloud.com/results/100723/event/10/?id=13572365#time13572365</t>
        </is>
      </c>
      <c r="AC643" s="33" t="inlineStr">
        <is>
          <t>SwimCloud API v6 2026-10-08</t>
        </is>
      </c>
      <c r="AD643" s="33" t="inlineStr">
        <is>
          <t>Duncan Scott|2017-12-14|SCM|200|Free|103.16|LEN European Short Course Championships|TIM|False</t>
        </is>
      </c>
      <c r="AE643" s="53">
        <f>G643+L643/1000+ROW()/1000000000</f>
        <v/>
      </c>
      <c r="AF643" s="35">
        <f>IF(C643&lt;&gt;"Grayson Coulter","",COUNTIFS($C$5:$C$2991,"Grayson Coulter",$Q$5:$Q$2991,Q643,$AE$5:$AE$2991,"&lt;="&amp;AE643,$R$5:$R$2991,"&lt;"&amp;R643))</f>
        <v/>
      </c>
      <c r="AG643" s="35">
        <f>IF(OR(C643&lt;&gt;"Grayson Coulter",G643&lt;'00_Control'!$B$7),"",--(AF643&lt;5))</f>
        <v/>
      </c>
      <c r="AH643" s="35">
        <f>IF(OR(C643&lt;&gt;"Grayson Coulter",G643&lt;'00_Control'!$B$7),"",--(AF643&lt;10))</f>
        <v/>
      </c>
      <c r="AI643" s="35">
        <f>IF(AND(C643="Grayson Coulter",G643&gt;='00_Control'!$B$7),"YES","NO")</f>
        <v/>
      </c>
      <c r="AJ643" s="33" t="inlineStr">
        <is>
          <t>OK</t>
        </is>
      </c>
    </row>
    <row r="644">
      <c r="A644" s="33" t="inlineStr">
        <is>
          <t>SM000640</t>
        </is>
      </c>
      <c r="B644" s="33" t="inlineStr">
        <is>
          <t>SW016</t>
        </is>
      </c>
      <c r="C644" s="33" t="inlineStr">
        <is>
          <t>Duncan Scott</t>
        </is>
      </c>
      <c r="D644" s="33" t="inlineStr">
        <is>
          <t>SwimCloud</t>
        </is>
      </c>
      <c r="E644" s="33" t="inlineStr">
        <is>
          <t>375606</t>
        </is>
      </c>
      <c r="F644" s="33" t="inlineStr">
        <is>
          <t>13572463</t>
        </is>
      </c>
      <c r="G644" s="51" t="n">
        <v>43085</v>
      </c>
      <c r="H644" s="33" t="inlineStr">
        <is>
          <t>LEN European Short Course Championships</t>
        </is>
      </c>
      <c r="I644" s="33" t="inlineStr">
        <is>
          <t>100723</t>
        </is>
      </c>
      <c r="J644" s="33" t="inlineStr"/>
      <c r="K644" s="33" t="inlineStr">
        <is>
          <t>TIM</t>
        </is>
      </c>
      <c r="L644" s="35">
        <f>IF(K644="FIN",3,IF(OR(K644="SEM",K644="SEMI"),2,IF(OR(K644="PRE",K644="HEAT"),1,IF(V644="YES",4,2))))</f>
        <v/>
      </c>
      <c r="M644" s="33" t="inlineStr">
        <is>
          <t>SCM</t>
        </is>
      </c>
      <c r="N644" s="33" t="n">
        <v>100</v>
      </c>
      <c r="O644" s="33" t="inlineStr">
        <is>
          <t>Free</t>
        </is>
      </c>
      <c r="P644" s="33" t="inlineStr">
        <is>
          <t>100 Free</t>
        </is>
      </c>
      <c r="Q644" s="33" t="inlineStr">
        <is>
          <t>SCM_100_FREE</t>
        </is>
      </c>
      <c r="R644" s="36" t="n">
        <v>46.92</v>
      </c>
      <c r="S644" s="35">
        <f>IF(R644="","",IF(R644&gt;=60,INT(R644/60)&amp;":"&amp;TEXT(MOD(R644,60),"00.00"),TEXT(R644,"0.00")))</f>
        <v/>
      </c>
      <c r="T644" s="52">
        <f>IFERROR((G644-INDEX('01_Swimmers'!$E$5:$E$22,MATCH(B644,'01_Swimmers'!$A$5:$A$22,0)))/'00_Control'!$B$10,"")</f>
        <v/>
      </c>
      <c r="U644" s="35">
        <f>IF(T644="","",INT(T644))</f>
        <v/>
      </c>
      <c r="V644" s="33" t="inlineStr">
        <is>
          <t>NO</t>
        </is>
      </c>
      <c r="W644" s="33" t="inlineStr">
        <is>
          <t>YES</t>
        </is>
      </c>
      <c r="X644" s="33" t="inlineStr">
        <is>
          <t>NO</t>
        </is>
      </c>
      <c r="Y644" s="33" t="n">
        <v>21</v>
      </c>
      <c r="Z644" s="33" t="n">
        <v>5</v>
      </c>
      <c r="AA644" s="33" t="inlineStr"/>
      <c r="AB644" s="33" t="inlineStr">
        <is>
          <t>https://www.swimcloud.com/results/100723/event/228/?id=13572463#time13572463</t>
        </is>
      </c>
      <c r="AC644" s="33" t="inlineStr">
        <is>
          <t>SwimCloud API v6 2026-10-08</t>
        </is>
      </c>
      <c r="AD644" s="33" t="inlineStr">
        <is>
          <t>Duncan Scott|2017-12-16|SCM|100|Free|46.92|LEN European Short Course Championships|TIM|False</t>
        </is>
      </c>
      <c r="AE644" s="53">
        <f>G644+L644/1000+ROW()/1000000000</f>
        <v/>
      </c>
      <c r="AF644" s="35">
        <f>IF(C644&lt;&gt;"Grayson Coulter","",COUNTIFS($C$5:$C$2991,"Grayson Coulter",$Q$5:$Q$2991,Q644,$AE$5:$AE$2991,"&lt;="&amp;AE644,$R$5:$R$2991,"&lt;"&amp;R644))</f>
        <v/>
      </c>
      <c r="AG644" s="35">
        <f>IF(OR(C644&lt;&gt;"Grayson Coulter",G644&lt;'00_Control'!$B$7),"",--(AF644&lt;5))</f>
        <v/>
      </c>
      <c r="AH644" s="35">
        <f>IF(OR(C644&lt;&gt;"Grayson Coulter",G644&lt;'00_Control'!$B$7),"",--(AF644&lt;10))</f>
        <v/>
      </c>
      <c r="AI644" s="35">
        <f>IF(AND(C644="Grayson Coulter",G644&gt;='00_Control'!$B$7),"YES","NO")</f>
        <v/>
      </c>
      <c r="AJ644" s="33" t="inlineStr">
        <is>
          <t>OK</t>
        </is>
      </c>
    </row>
    <row r="645">
      <c r="A645" s="33" t="inlineStr">
        <is>
          <t>SM000641</t>
        </is>
      </c>
      <c r="B645" s="33" t="inlineStr">
        <is>
          <t>SW016</t>
        </is>
      </c>
      <c r="C645" s="33" t="inlineStr">
        <is>
          <t>Duncan Scott</t>
        </is>
      </c>
      <c r="D645" s="33" t="inlineStr">
        <is>
          <t>SwimCloud</t>
        </is>
      </c>
      <c r="E645" s="33" t="inlineStr">
        <is>
          <t>375606</t>
        </is>
      </c>
      <c r="F645" s="33" t="inlineStr">
        <is>
          <t>13572281</t>
        </is>
      </c>
      <c r="G645" s="51" t="n">
        <v>43085</v>
      </c>
      <c r="H645" s="33" t="inlineStr">
        <is>
          <t>LEN European Short Course Championships</t>
        </is>
      </c>
      <c r="I645" s="33" t="inlineStr">
        <is>
          <t>100723</t>
        </is>
      </c>
      <c r="J645" s="33" t="inlineStr"/>
      <c r="K645" s="33" t="inlineStr">
        <is>
          <t>TIM</t>
        </is>
      </c>
      <c r="L645" s="35">
        <f>IF(K645="FIN",3,IF(OR(K645="SEM",K645="SEMI"),2,IF(OR(K645="PRE",K645="HEAT"),1,IF(V645="YES",4,2))))</f>
        <v/>
      </c>
      <c r="M645" s="33" t="inlineStr">
        <is>
          <t>SCM</t>
        </is>
      </c>
      <c r="N645" s="33" t="n">
        <v>100</v>
      </c>
      <c r="O645" s="33" t="inlineStr">
        <is>
          <t>Free</t>
        </is>
      </c>
      <c r="P645" s="33" t="inlineStr">
        <is>
          <t>100 Free</t>
        </is>
      </c>
      <c r="Q645" s="33" t="inlineStr">
        <is>
          <t>SCM_100_FREE</t>
        </is>
      </c>
      <c r="R645" s="36" t="n">
        <v>47.03</v>
      </c>
      <c r="S645" s="35">
        <f>IF(R645="","",IF(R645&gt;=60,INT(R645/60)&amp;":"&amp;TEXT(MOD(R645,60),"00.00"),TEXT(R645,"0.00")))</f>
        <v/>
      </c>
      <c r="T645" s="52">
        <f>IFERROR((G645-INDEX('01_Swimmers'!$E$5:$E$22,MATCH(B645,'01_Swimmers'!$A$5:$A$22,0)))/'00_Control'!$B$10,"")</f>
        <v/>
      </c>
      <c r="U645" s="35">
        <f>IF(T645="","",INT(T645))</f>
        <v/>
      </c>
      <c r="V645" s="33" t="inlineStr">
        <is>
          <t>NO</t>
        </is>
      </c>
      <c r="W645" s="33" t="inlineStr">
        <is>
          <t>YES</t>
        </is>
      </c>
      <c r="X645" s="33" t="inlineStr">
        <is>
          <t>NO</t>
        </is>
      </c>
      <c r="Y645" s="33" t="n">
        <v>0</v>
      </c>
      <c r="Z645" s="33" t="n">
        <v>7</v>
      </c>
      <c r="AA645" s="33" t="inlineStr">
        <is>
          <t>4</t>
        </is>
      </c>
      <c r="AB645" s="33" t="inlineStr">
        <is>
          <t>https://www.swimcloud.com/results/100723/event/28/?id=13572281#time13572281</t>
        </is>
      </c>
      <c r="AC645" s="33" t="inlineStr">
        <is>
          <t>SwimCloud API v6 2026-10-08</t>
        </is>
      </c>
      <c r="AD645" s="33" t="inlineStr">
        <is>
          <t>Duncan Scott|2017-12-16|SCM|100|Free|47.03|LEN European Short Course Championships|TIM|False</t>
        </is>
      </c>
      <c r="AE645" s="53">
        <f>G645+L645/1000+ROW()/1000000000</f>
        <v/>
      </c>
      <c r="AF645" s="35">
        <f>IF(C645&lt;&gt;"Grayson Coulter","",COUNTIFS($C$5:$C$2991,"Grayson Coulter",$Q$5:$Q$2991,Q645,$AE$5:$AE$2991,"&lt;="&amp;AE645,$R$5:$R$2991,"&lt;"&amp;R645))</f>
        <v/>
      </c>
      <c r="AG645" s="35">
        <f>IF(OR(C645&lt;&gt;"Grayson Coulter",G645&lt;'00_Control'!$B$7),"",--(AF645&lt;5))</f>
        <v/>
      </c>
      <c r="AH645" s="35">
        <f>IF(OR(C645&lt;&gt;"Grayson Coulter",G645&lt;'00_Control'!$B$7),"",--(AF645&lt;10))</f>
        <v/>
      </c>
      <c r="AI645" s="35">
        <f>IF(AND(C645="Grayson Coulter",G645&gt;='00_Control'!$B$7),"YES","NO")</f>
        <v/>
      </c>
      <c r="AJ645" s="33" t="inlineStr">
        <is>
          <t>OK</t>
        </is>
      </c>
    </row>
    <row r="646">
      <c r="A646" s="33" t="inlineStr">
        <is>
          <t>SM000642</t>
        </is>
      </c>
      <c r="B646" s="33" t="inlineStr">
        <is>
          <t>SW016</t>
        </is>
      </c>
      <c r="C646" s="33" t="inlineStr">
        <is>
          <t>Duncan Scott</t>
        </is>
      </c>
      <c r="D646" s="33" t="inlineStr">
        <is>
          <t>SwimCloud</t>
        </is>
      </c>
      <c r="E646" s="33" t="inlineStr">
        <is>
          <t>375606</t>
        </is>
      </c>
      <c r="F646" s="33" t="inlineStr">
        <is>
          <t>13573508</t>
        </is>
      </c>
      <c r="G646" s="51" t="n">
        <v>43086</v>
      </c>
      <c r="H646" s="33" t="inlineStr">
        <is>
          <t>LEN European Short Course Championships</t>
        </is>
      </c>
      <c r="I646" s="33" t="inlineStr">
        <is>
          <t>100723</t>
        </is>
      </c>
      <c r="J646" s="33" t="inlineStr"/>
      <c r="K646" s="33" t="inlineStr">
        <is>
          <t>TIM</t>
        </is>
      </c>
      <c r="L646" s="35">
        <f>IF(K646="FIN",3,IF(OR(K646="SEM",K646="SEMI"),2,IF(OR(K646="PRE",K646="HEAT"),1,IF(V646="YES",4,2))))</f>
        <v/>
      </c>
      <c r="M646" s="33" t="inlineStr">
        <is>
          <t>SCM</t>
        </is>
      </c>
      <c r="N646" s="33" t="n">
        <v>100</v>
      </c>
      <c r="O646" s="33" t="inlineStr">
        <is>
          <t>Free</t>
        </is>
      </c>
      <c r="P646" s="33" t="inlineStr">
        <is>
          <t>100 Free</t>
        </is>
      </c>
      <c r="Q646" s="33" t="inlineStr">
        <is>
          <t>SCM_100_FREE</t>
        </is>
      </c>
      <c r="R646" s="36" t="n">
        <v>46.64</v>
      </c>
      <c r="S646" s="35">
        <f>IF(R646="","",IF(R646&gt;=60,INT(R646/60)&amp;":"&amp;TEXT(MOD(R646,60),"00.00"),TEXT(R646,"0.00")))</f>
        <v/>
      </c>
      <c r="T646" s="52">
        <f>IFERROR((G646-INDEX('01_Swimmers'!$E$5:$E$22,MATCH(B646,'01_Swimmers'!$A$5:$A$22,0)))/'00_Control'!$B$10,"")</f>
        <v/>
      </c>
      <c r="U646" s="35">
        <f>IF(T646="","",INT(T646))</f>
        <v/>
      </c>
      <c r="V646" s="33" t="inlineStr">
        <is>
          <t>NO</t>
        </is>
      </c>
      <c r="W646" s="33" t="inlineStr">
        <is>
          <t>YES</t>
        </is>
      </c>
      <c r="X646" s="33" t="inlineStr">
        <is>
          <t>NO</t>
        </is>
      </c>
      <c r="Y646" s="33" t="n">
        <v>31</v>
      </c>
      <c r="Z646" s="33" t="n">
        <v>3</v>
      </c>
      <c r="AA646" s="33" t="inlineStr">
        <is>
          <t>3</t>
        </is>
      </c>
      <c r="AB646" s="33" t="inlineStr">
        <is>
          <t>https://www.swimcloud.com/results/100723/event/128/?id=13573508#time13573508</t>
        </is>
      </c>
      <c r="AC646" s="33" t="inlineStr">
        <is>
          <t>SwimCloud API v6 2026-10-08</t>
        </is>
      </c>
      <c r="AD646" s="33" t="inlineStr">
        <is>
          <t>Duncan Scott|2017-12-17|SCM|100|Free|46.64|LEN European Short Course Championships|TIM|False</t>
        </is>
      </c>
      <c r="AE646" s="53">
        <f>G646+L646/1000+ROW()/1000000000</f>
        <v/>
      </c>
      <c r="AF646" s="35">
        <f>IF(C646&lt;&gt;"Grayson Coulter","",COUNTIFS($C$5:$C$2991,"Grayson Coulter",$Q$5:$Q$2991,Q646,$AE$5:$AE$2991,"&lt;="&amp;AE646,$R$5:$R$2991,"&lt;"&amp;R646))</f>
        <v/>
      </c>
      <c r="AG646" s="35">
        <f>IF(OR(C646&lt;&gt;"Grayson Coulter",G646&lt;'00_Control'!$B$7),"",--(AF646&lt;5))</f>
        <v/>
      </c>
      <c r="AH646" s="35">
        <f>IF(OR(C646&lt;&gt;"Grayson Coulter",G646&lt;'00_Control'!$B$7),"",--(AF646&lt;10))</f>
        <v/>
      </c>
      <c r="AI646" s="35">
        <f>IF(AND(C646="Grayson Coulter",G646&gt;='00_Control'!$B$7),"YES","NO")</f>
        <v/>
      </c>
      <c r="AJ646" s="33" t="inlineStr">
        <is>
          <t>OK</t>
        </is>
      </c>
    </row>
    <row r="647">
      <c r="A647" s="33" t="inlineStr">
        <is>
          <t>SM000643</t>
        </is>
      </c>
      <c r="B647" s="33" t="inlineStr">
        <is>
          <t>SW016</t>
        </is>
      </c>
      <c r="C647" s="33" t="inlineStr">
        <is>
          <t>Duncan Scott</t>
        </is>
      </c>
      <c r="D647" s="33" t="inlineStr">
        <is>
          <t>SwimCloud</t>
        </is>
      </c>
      <c r="E647" s="33" t="inlineStr">
        <is>
          <t>375606</t>
        </is>
      </c>
      <c r="F647" s="33" t="inlineStr">
        <is>
          <t>123128670</t>
        </is>
      </c>
      <c r="G647" s="51" t="n">
        <v>43160</v>
      </c>
      <c r="H647" s="33" t="inlineStr">
        <is>
          <t>Edinburgh International Swim Meet</t>
        </is>
      </c>
      <c r="I647" s="33" t="inlineStr">
        <is>
          <t>115067</t>
        </is>
      </c>
      <c r="J647" s="33" t="inlineStr"/>
      <c r="K647" s="33" t="inlineStr">
        <is>
          <t>PRE</t>
        </is>
      </c>
      <c r="L647" s="35">
        <f>IF(K647="FIN",3,IF(OR(K647="SEM",K647="SEMI"),2,IF(OR(K647="PRE",K647="HEAT"),1,IF(V647="YES",4,2))))</f>
        <v/>
      </c>
      <c r="M647" s="33" t="inlineStr">
        <is>
          <t>LCM</t>
        </is>
      </c>
      <c r="N647" s="33" t="n">
        <v>100</v>
      </c>
      <c r="O647" s="33" t="inlineStr">
        <is>
          <t>Free</t>
        </is>
      </c>
      <c r="P647" s="33" t="inlineStr">
        <is>
          <t>100 Free</t>
        </is>
      </c>
      <c r="Q647" s="33" t="inlineStr">
        <is>
          <t>LCM_100_FREE</t>
        </is>
      </c>
      <c r="R647" s="36" t="n">
        <v>50.93</v>
      </c>
      <c r="S647" s="35">
        <f>IF(R647="","",IF(R647&gt;=60,INT(R647/60)&amp;":"&amp;TEXT(MOD(R647,60),"00.00"),TEXT(R647,"0.00")))</f>
        <v/>
      </c>
      <c r="T647" s="52">
        <f>IFERROR((G647-INDEX('01_Swimmers'!$E$5:$E$22,MATCH(B647,'01_Swimmers'!$A$5:$A$22,0)))/'00_Control'!$B$10,"")</f>
        <v/>
      </c>
      <c r="U647" s="35">
        <f>IF(T647="","",INT(T647))</f>
        <v/>
      </c>
      <c r="V647" s="33" t="inlineStr">
        <is>
          <t>NO</t>
        </is>
      </c>
      <c r="W647" s="33" t="inlineStr">
        <is>
          <t>YES</t>
        </is>
      </c>
      <c r="X647" s="33" t="inlineStr">
        <is>
          <t>NO</t>
        </is>
      </c>
      <c r="Y647" s="33" t="n">
        <v>11</v>
      </c>
      <c r="Z647" s="33" t="n">
        <v>4</v>
      </c>
      <c r="AA647" s="33" t="inlineStr">
        <is>
          <t>7</t>
        </is>
      </c>
      <c r="AB647" s="33" t="inlineStr">
        <is>
          <t>https://www.swimcloud.com/results/115067/event/103/?id=123128670#time123128670</t>
        </is>
      </c>
      <c r="AC647" s="33" t="inlineStr">
        <is>
          <t>SwimCloud API v6 2026-10-08</t>
        </is>
      </c>
      <c r="AD647" s="33" t="inlineStr">
        <is>
          <t>Duncan Scott|2018-03-01|LCM|100|Free|50.93|Edinburgh International Swim Meet|PRE|False</t>
        </is>
      </c>
      <c r="AE647" s="53">
        <f>G647+L647/1000+ROW()/1000000000</f>
        <v/>
      </c>
      <c r="AF647" s="35">
        <f>IF(C647&lt;&gt;"Grayson Coulter","",COUNTIFS($C$5:$C$2991,"Grayson Coulter",$Q$5:$Q$2991,Q647,$AE$5:$AE$2991,"&lt;="&amp;AE647,$R$5:$R$2991,"&lt;"&amp;R647))</f>
        <v/>
      </c>
      <c r="AG647" s="35">
        <f>IF(OR(C647&lt;&gt;"Grayson Coulter",G647&lt;'00_Control'!$B$7),"",--(AF647&lt;5))</f>
        <v/>
      </c>
      <c r="AH647" s="35">
        <f>IF(OR(C647&lt;&gt;"Grayson Coulter",G647&lt;'00_Control'!$B$7),"",--(AF647&lt;10))</f>
        <v/>
      </c>
      <c r="AI647" s="35">
        <f>IF(AND(C647="Grayson Coulter",G647&gt;='00_Control'!$B$7),"YES","NO")</f>
        <v/>
      </c>
      <c r="AJ647" s="33" t="inlineStr">
        <is>
          <t>OK</t>
        </is>
      </c>
    </row>
    <row r="648">
      <c r="A648" s="33" t="inlineStr">
        <is>
          <t>SM000644</t>
        </is>
      </c>
      <c r="B648" s="33" t="inlineStr">
        <is>
          <t>SW016</t>
        </is>
      </c>
      <c r="C648" s="33" t="inlineStr">
        <is>
          <t>Duncan Scott</t>
        </is>
      </c>
      <c r="D648" s="33" t="inlineStr">
        <is>
          <t>SwimCloud</t>
        </is>
      </c>
      <c r="E648" s="33" t="inlineStr">
        <is>
          <t>375606</t>
        </is>
      </c>
      <c r="F648" s="33" t="inlineStr">
        <is>
          <t>123128671</t>
        </is>
      </c>
      <c r="G648" s="51" t="n">
        <v>43160</v>
      </c>
      <c r="H648" s="33" t="inlineStr">
        <is>
          <t>Edinburgh International Swim Meet</t>
        </is>
      </c>
      <c r="I648" s="33" t="inlineStr">
        <is>
          <t>115067</t>
        </is>
      </c>
      <c r="J648" s="33" t="inlineStr"/>
      <c r="K648" s="33" t="inlineStr">
        <is>
          <t>FIN</t>
        </is>
      </c>
      <c r="L648" s="35">
        <f>IF(K648="FIN",3,IF(OR(K648="SEM",K648="SEMI"),2,IF(OR(K648="PRE",K648="HEAT"),1,IF(V648="YES",4,2))))</f>
        <v/>
      </c>
      <c r="M648" s="33" t="inlineStr">
        <is>
          <t>LCM</t>
        </is>
      </c>
      <c r="N648" s="33" t="n">
        <v>100</v>
      </c>
      <c r="O648" s="33" t="inlineStr">
        <is>
          <t>Free</t>
        </is>
      </c>
      <c r="P648" s="33" t="inlineStr">
        <is>
          <t>100 Free</t>
        </is>
      </c>
      <c r="Q648" s="33" t="inlineStr">
        <is>
          <t>LCM_100_FREE</t>
        </is>
      </c>
      <c r="R648" s="36" t="n">
        <v>50.07</v>
      </c>
      <c r="S648" s="35">
        <f>IF(R648="","",IF(R648&gt;=60,INT(R648/60)&amp;":"&amp;TEXT(MOD(R648,60),"00.00"),TEXT(R648,"0.00")))</f>
        <v/>
      </c>
      <c r="T648" s="52">
        <f>IFERROR((G648-INDEX('01_Swimmers'!$E$5:$E$22,MATCH(B648,'01_Swimmers'!$A$5:$A$22,0)))/'00_Control'!$B$10,"")</f>
        <v/>
      </c>
      <c r="U648" s="35">
        <f>IF(T648="","",INT(T648))</f>
        <v/>
      </c>
      <c r="V648" s="33" t="inlineStr">
        <is>
          <t>NO</t>
        </is>
      </c>
      <c r="W648" s="33" t="inlineStr">
        <is>
          <t>YES</t>
        </is>
      </c>
      <c r="X648" s="33" t="inlineStr">
        <is>
          <t>NO</t>
        </is>
      </c>
      <c r="Y648" s="33" t="n">
        <v>3</v>
      </c>
      <c r="Z648" s="33" t="n">
        <v>1</v>
      </c>
      <c r="AA648" s="33" t="inlineStr">
        <is>
          <t>3</t>
        </is>
      </c>
      <c r="AB648" s="33" t="inlineStr">
        <is>
          <t>https://www.swimcloud.com/results/115067/event/103/?id=123128671#time123128671</t>
        </is>
      </c>
      <c r="AC648" s="33" t="inlineStr">
        <is>
          <t>SwimCloud API v6 2026-10-08</t>
        </is>
      </c>
      <c r="AD648" s="33" t="inlineStr">
        <is>
          <t>Duncan Scott|2018-03-01|LCM|100|Free|50.07|Edinburgh International Swim Meet|FIN|False</t>
        </is>
      </c>
      <c r="AE648" s="53">
        <f>G648+L648/1000+ROW()/1000000000</f>
        <v/>
      </c>
      <c r="AF648" s="35">
        <f>IF(C648&lt;&gt;"Grayson Coulter","",COUNTIFS($C$5:$C$2991,"Grayson Coulter",$Q$5:$Q$2991,Q648,$AE$5:$AE$2991,"&lt;="&amp;AE648,$R$5:$R$2991,"&lt;"&amp;R648))</f>
        <v/>
      </c>
      <c r="AG648" s="35">
        <f>IF(OR(C648&lt;&gt;"Grayson Coulter",G648&lt;'00_Control'!$B$7),"",--(AF648&lt;5))</f>
        <v/>
      </c>
      <c r="AH648" s="35">
        <f>IF(OR(C648&lt;&gt;"Grayson Coulter",G648&lt;'00_Control'!$B$7),"",--(AF648&lt;10))</f>
        <v/>
      </c>
      <c r="AI648" s="35">
        <f>IF(AND(C648="Grayson Coulter",G648&gt;='00_Control'!$B$7),"YES","NO")</f>
        <v/>
      </c>
      <c r="AJ648" s="33" t="inlineStr">
        <is>
          <t>OK</t>
        </is>
      </c>
    </row>
    <row r="649">
      <c r="A649" s="33" t="inlineStr">
        <is>
          <t>SM000645</t>
        </is>
      </c>
      <c r="B649" s="33" t="inlineStr">
        <is>
          <t>SW016</t>
        </is>
      </c>
      <c r="C649" s="33" t="inlineStr">
        <is>
          <t>Duncan Scott</t>
        </is>
      </c>
      <c r="D649" s="33" t="inlineStr">
        <is>
          <t>SwimCloud</t>
        </is>
      </c>
      <c r="E649" s="33" t="inlineStr">
        <is>
          <t>375606</t>
        </is>
      </c>
      <c r="F649" s="33" t="inlineStr">
        <is>
          <t>123131030</t>
        </is>
      </c>
      <c r="G649" s="51" t="n">
        <v>43163</v>
      </c>
      <c r="H649" s="33" t="inlineStr">
        <is>
          <t>Edinburgh International Swim Meet</t>
        </is>
      </c>
      <c r="I649" s="33" t="inlineStr">
        <is>
          <t>115067</t>
        </is>
      </c>
      <c r="J649" s="33" t="inlineStr"/>
      <c r="K649" s="33" t="inlineStr">
        <is>
          <t>PRE</t>
        </is>
      </c>
      <c r="L649" s="35">
        <f>IF(K649="FIN",3,IF(OR(K649="SEM",K649="SEMI"),2,IF(OR(K649="PRE",K649="HEAT"),1,IF(V649="YES",4,2))))</f>
        <v/>
      </c>
      <c r="M649" s="33" t="inlineStr">
        <is>
          <t>LCM</t>
        </is>
      </c>
      <c r="N649" s="33" t="n">
        <v>100</v>
      </c>
      <c r="O649" s="33" t="inlineStr">
        <is>
          <t>Fly</t>
        </is>
      </c>
      <c r="P649" s="33" t="inlineStr">
        <is>
          <t>100 Fly</t>
        </is>
      </c>
      <c r="Q649" s="33" t="inlineStr">
        <is>
          <t>LCM_100_FLY</t>
        </is>
      </c>
      <c r="R649" s="36" t="n">
        <v>54.2</v>
      </c>
      <c r="S649" s="35">
        <f>IF(R649="","",IF(R649&gt;=60,INT(R649/60)&amp;":"&amp;TEXT(MOD(R649,60),"00.00"),TEXT(R649,"0.00")))</f>
        <v/>
      </c>
      <c r="T649" s="52">
        <f>IFERROR((G649-INDEX('01_Swimmers'!$E$5:$E$22,MATCH(B649,'01_Swimmers'!$A$5:$A$22,0)))/'00_Control'!$B$10,"")</f>
        <v/>
      </c>
      <c r="U649" s="35">
        <f>IF(T649="","",INT(T649))</f>
        <v/>
      </c>
      <c r="V649" s="33" t="inlineStr">
        <is>
          <t>NO</t>
        </is>
      </c>
      <c r="W649" s="33" t="inlineStr">
        <is>
          <t>YES</t>
        </is>
      </c>
      <c r="X649" s="33" t="inlineStr">
        <is>
          <t>NO</t>
        </is>
      </c>
      <c r="Y649" s="33" t="n">
        <v>5</v>
      </c>
      <c r="Z649" s="33" t="n">
        <v>4</v>
      </c>
      <c r="AA649" s="33" t="inlineStr">
        <is>
          <t>3</t>
        </is>
      </c>
      <c r="AB649" s="33" t="inlineStr">
        <is>
          <t>https://www.swimcloud.com/results/115067/event/702/?id=123131030#time123131030</t>
        </is>
      </c>
      <c r="AC649" s="33" t="inlineStr">
        <is>
          <t>SwimCloud API v6 2026-10-08</t>
        </is>
      </c>
      <c r="AD649" s="33" t="inlineStr">
        <is>
          <t>Duncan Scott|2018-03-04|LCM|100|Fly|54.2|Edinburgh International Swim Meet|PRE|False</t>
        </is>
      </c>
      <c r="AE649" s="53">
        <f>G649+L649/1000+ROW()/1000000000</f>
        <v/>
      </c>
      <c r="AF649" s="35">
        <f>IF(C649&lt;&gt;"Grayson Coulter","",COUNTIFS($C$5:$C$2991,"Grayson Coulter",$Q$5:$Q$2991,Q649,$AE$5:$AE$2991,"&lt;="&amp;AE649,$R$5:$R$2991,"&lt;"&amp;R649))</f>
        <v/>
      </c>
      <c r="AG649" s="35">
        <f>IF(OR(C649&lt;&gt;"Grayson Coulter",G649&lt;'00_Control'!$B$7),"",--(AF649&lt;5))</f>
        <v/>
      </c>
      <c r="AH649" s="35">
        <f>IF(OR(C649&lt;&gt;"Grayson Coulter",G649&lt;'00_Control'!$B$7),"",--(AF649&lt;10))</f>
        <v/>
      </c>
      <c r="AI649" s="35">
        <f>IF(AND(C649="Grayson Coulter",G649&gt;='00_Control'!$B$7),"YES","NO")</f>
        <v/>
      </c>
      <c r="AJ649" s="33" t="inlineStr">
        <is>
          <t>OK</t>
        </is>
      </c>
    </row>
    <row r="650">
      <c r="A650" s="33" t="inlineStr">
        <is>
          <t>SM000646</t>
        </is>
      </c>
      <c r="B650" s="33" t="inlineStr">
        <is>
          <t>SW016</t>
        </is>
      </c>
      <c r="C650" s="33" t="inlineStr">
        <is>
          <t>Duncan Scott</t>
        </is>
      </c>
      <c r="D650" s="33" t="inlineStr">
        <is>
          <t>SwimCloud</t>
        </is>
      </c>
      <c r="E650" s="33" t="inlineStr">
        <is>
          <t>375606</t>
        </is>
      </c>
      <c r="F650" s="33" t="inlineStr">
        <is>
          <t>123131031</t>
        </is>
      </c>
      <c r="G650" s="51" t="n">
        <v>43163</v>
      </c>
      <c r="H650" s="33" t="inlineStr">
        <is>
          <t>Edinburgh International Swim Meet</t>
        </is>
      </c>
      <c r="I650" s="33" t="inlineStr">
        <is>
          <t>115067</t>
        </is>
      </c>
      <c r="J650" s="33" t="inlineStr"/>
      <c r="K650" s="33" t="inlineStr">
        <is>
          <t>FIN</t>
        </is>
      </c>
      <c r="L650" s="35">
        <f>IF(K650="FIN",3,IF(OR(K650="SEM",K650="SEMI"),2,IF(OR(K650="PRE",K650="HEAT"),1,IF(V650="YES",4,2))))</f>
        <v/>
      </c>
      <c r="M650" s="33" t="inlineStr">
        <is>
          <t>LCM</t>
        </is>
      </c>
      <c r="N650" s="33" t="n">
        <v>100</v>
      </c>
      <c r="O650" s="33" t="inlineStr">
        <is>
          <t>Fly</t>
        </is>
      </c>
      <c r="P650" s="33" t="inlineStr">
        <is>
          <t>100 Fly</t>
        </is>
      </c>
      <c r="Q650" s="33" t="inlineStr">
        <is>
          <t>LCM_100_FLY</t>
        </is>
      </c>
      <c r="R650" s="36" t="n">
        <v>53.85</v>
      </c>
      <c r="S650" s="35">
        <f>IF(R650="","",IF(R650&gt;=60,INT(R650/60)&amp;":"&amp;TEXT(MOD(R650,60),"00.00"),TEXT(R650,"0.00")))</f>
        <v/>
      </c>
      <c r="T650" s="52">
        <f>IFERROR((G650-INDEX('01_Swimmers'!$E$5:$E$22,MATCH(B650,'01_Swimmers'!$A$5:$A$22,0)))/'00_Control'!$B$10,"")</f>
        <v/>
      </c>
      <c r="U650" s="35">
        <f>IF(T650="","",INT(T650))</f>
        <v/>
      </c>
      <c r="V650" s="33" t="inlineStr">
        <is>
          <t>NO</t>
        </is>
      </c>
      <c r="W650" s="33" t="inlineStr">
        <is>
          <t>YES</t>
        </is>
      </c>
      <c r="X650" s="33" t="inlineStr">
        <is>
          <t>NO</t>
        </is>
      </c>
      <c r="Y650" s="33" t="n">
        <v>3</v>
      </c>
      <c r="Z650" s="33" t="n">
        <v>3</v>
      </c>
      <c r="AA650" s="33" t="inlineStr">
        <is>
          <t>4</t>
        </is>
      </c>
      <c r="AB650" s="33" t="inlineStr">
        <is>
          <t>https://www.swimcloud.com/results/115067/event/702/?id=123131031#time123131031</t>
        </is>
      </c>
      <c r="AC650" s="33" t="inlineStr">
        <is>
          <t>SwimCloud API v6 2026-10-08</t>
        </is>
      </c>
      <c r="AD650" s="33" t="inlineStr">
        <is>
          <t>Duncan Scott|2018-03-04|LCM|100|Fly|53.85|Edinburgh International Swim Meet|FIN|False</t>
        </is>
      </c>
      <c r="AE650" s="53">
        <f>G650+L650/1000+ROW()/1000000000</f>
        <v/>
      </c>
      <c r="AF650" s="35">
        <f>IF(C650&lt;&gt;"Grayson Coulter","",COUNTIFS($C$5:$C$2991,"Grayson Coulter",$Q$5:$Q$2991,Q650,$AE$5:$AE$2991,"&lt;="&amp;AE650,$R$5:$R$2991,"&lt;"&amp;R650))</f>
        <v/>
      </c>
      <c r="AG650" s="35">
        <f>IF(OR(C650&lt;&gt;"Grayson Coulter",G650&lt;'00_Control'!$B$7),"",--(AF650&lt;5))</f>
        <v/>
      </c>
      <c r="AH650" s="35">
        <f>IF(OR(C650&lt;&gt;"Grayson Coulter",G650&lt;'00_Control'!$B$7),"",--(AF650&lt;10))</f>
        <v/>
      </c>
      <c r="AI650" s="35">
        <f>IF(AND(C650="Grayson Coulter",G650&gt;='00_Control'!$B$7),"YES","NO")</f>
        <v/>
      </c>
      <c r="AJ650" s="33" t="inlineStr">
        <is>
          <t>OK</t>
        </is>
      </c>
    </row>
    <row r="651">
      <c r="A651" s="33" t="inlineStr">
        <is>
          <t>SM000647</t>
        </is>
      </c>
      <c r="B651" s="33" t="inlineStr">
        <is>
          <t>SW016</t>
        </is>
      </c>
      <c r="C651" s="33" t="inlineStr">
        <is>
          <t>Duncan Scott</t>
        </is>
      </c>
      <c r="D651" s="33" t="inlineStr">
        <is>
          <t>SwimCloud</t>
        </is>
      </c>
      <c r="E651" s="33" t="inlineStr">
        <is>
          <t>375606</t>
        </is>
      </c>
      <c r="F651" s="33" t="inlineStr">
        <is>
          <t>20133072</t>
        </is>
      </c>
      <c r="G651" s="51" t="n">
        <v>43316</v>
      </c>
      <c r="H651" s="33" t="inlineStr">
        <is>
          <t>LEN European Swimming Championships</t>
        </is>
      </c>
      <c r="I651" s="33" t="inlineStr">
        <is>
          <t>100868</t>
        </is>
      </c>
      <c r="J651" s="33" t="inlineStr"/>
      <c r="K651" s="33" t="inlineStr">
        <is>
          <t>PRE</t>
        </is>
      </c>
      <c r="L651" s="35">
        <f>IF(K651="FIN",3,IF(OR(K651="SEM",K651="SEMI"),2,IF(OR(K651="PRE",K651="HEAT"),1,IF(V651="YES",4,2))))</f>
        <v/>
      </c>
      <c r="M651" s="33" t="inlineStr">
        <is>
          <t>LCM</t>
        </is>
      </c>
      <c r="N651" s="33" t="n">
        <v>100</v>
      </c>
      <c r="O651" s="33" t="inlineStr">
        <is>
          <t>Free</t>
        </is>
      </c>
      <c r="P651" s="33" t="inlineStr">
        <is>
          <t>100 Free</t>
        </is>
      </c>
      <c r="Q651" s="33" t="inlineStr">
        <is>
          <t>LCM_100_FREE</t>
        </is>
      </c>
      <c r="R651" s="36" t="n">
        <v>48.87</v>
      </c>
      <c r="S651" s="35">
        <f>IF(R651="","",IF(R651&gt;=60,INT(R651/60)&amp;":"&amp;TEXT(MOD(R651,60),"00.00"),TEXT(R651,"0.00")))</f>
        <v/>
      </c>
      <c r="T651" s="52">
        <f>IFERROR((G651-INDEX('01_Swimmers'!$E$5:$E$22,MATCH(B651,'01_Swimmers'!$A$5:$A$22,0)))/'00_Control'!$B$10,"")</f>
        <v/>
      </c>
      <c r="U651" s="35">
        <f>IF(T651="","",INT(T651))</f>
        <v/>
      </c>
      <c r="V651" s="33" t="inlineStr">
        <is>
          <t>NO</t>
        </is>
      </c>
      <c r="W651" s="33" t="inlineStr">
        <is>
          <t>YES</t>
        </is>
      </c>
      <c r="X651" s="33" t="inlineStr">
        <is>
          <t>NO</t>
        </is>
      </c>
      <c r="Y651" s="33" t="n"/>
      <c r="Z651" s="33" t="n"/>
      <c r="AA651" s="33" t="inlineStr">
        <is>
          <t>7</t>
        </is>
      </c>
      <c r="AB651" s="33" t="inlineStr">
        <is>
          <t>https://www.swimcloud.com/results/100868/event/2/?id=20133072#time20133072</t>
        </is>
      </c>
      <c r="AC651" s="33" t="inlineStr">
        <is>
          <t>SwimCloud API v6 2026-10-08</t>
        </is>
      </c>
      <c r="AD651" s="33" t="inlineStr">
        <is>
          <t>Duncan Scott|2018-08-04|LCM|100|Free|48.87|LEN European Swimming Championships|PRE|False</t>
        </is>
      </c>
      <c r="AE651" s="53">
        <f>G651+L651/1000+ROW()/1000000000</f>
        <v/>
      </c>
      <c r="AF651" s="35">
        <f>IF(C651&lt;&gt;"Grayson Coulter","",COUNTIFS($C$5:$C$2991,"Grayson Coulter",$Q$5:$Q$2991,Q651,$AE$5:$AE$2991,"&lt;="&amp;AE651,$R$5:$R$2991,"&lt;"&amp;R651))</f>
        <v/>
      </c>
      <c r="AG651" s="35">
        <f>IF(OR(C651&lt;&gt;"Grayson Coulter",G651&lt;'00_Control'!$B$7),"",--(AF651&lt;5))</f>
        <v/>
      </c>
      <c r="AH651" s="35">
        <f>IF(OR(C651&lt;&gt;"Grayson Coulter",G651&lt;'00_Control'!$B$7),"",--(AF651&lt;10))</f>
        <v/>
      </c>
      <c r="AI651" s="35">
        <f>IF(AND(C651="Grayson Coulter",G651&gt;='00_Control'!$B$7),"YES","NO")</f>
        <v/>
      </c>
      <c r="AJ651" s="33" t="inlineStr">
        <is>
          <t>OK</t>
        </is>
      </c>
    </row>
    <row r="652">
      <c r="A652" s="33" t="inlineStr">
        <is>
          <t>SM000648</t>
        </is>
      </c>
      <c r="B652" s="33" t="inlineStr">
        <is>
          <t>SW016</t>
        </is>
      </c>
      <c r="C652" s="33" t="inlineStr">
        <is>
          <t>Duncan Scott</t>
        </is>
      </c>
      <c r="D652" s="33" t="inlineStr">
        <is>
          <t>SwimCloud</t>
        </is>
      </c>
      <c r="E652" s="33" t="inlineStr">
        <is>
          <t>375606</t>
        </is>
      </c>
      <c r="F652" s="33" t="inlineStr">
        <is>
          <t>20132883</t>
        </is>
      </c>
      <c r="G652" s="51" t="n">
        <v>43316</v>
      </c>
      <c r="H652" s="33" t="inlineStr">
        <is>
          <t>LEN European Swimming Championships</t>
        </is>
      </c>
      <c r="I652" s="33" t="inlineStr">
        <is>
          <t>100868</t>
        </is>
      </c>
      <c r="J652" s="33" t="inlineStr"/>
      <c r="K652" s="33" t="inlineStr">
        <is>
          <t>SEM</t>
        </is>
      </c>
      <c r="L652" s="35">
        <f>IF(K652="FIN",3,IF(OR(K652="SEM",K652="SEMI"),2,IF(OR(K652="PRE",K652="HEAT"),1,IF(V652="YES",4,2))))</f>
        <v/>
      </c>
      <c r="M652" s="33" t="inlineStr">
        <is>
          <t>LCM</t>
        </is>
      </c>
      <c r="N652" s="33" t="n">
        <v>100</v>
      </c>
      <c r="O652" s="33" t="inlineStr">
        <is>
          <t>Free</t>
        </is>
      </c>
      <c r="P652" s="33" t="inlineStr">
        <is>
          <t>100 Free</t>
        </is>
      </c>
      <c r="Q652" s="33" t="inlineStr">
        <is>
          <t>LCM_100_FREE</t>
        </is>
      </c>
      <c r="R652" s="36" t="n">
        <v>48.62</v>
      </c>
      <c r="S652" s="35">
        <f>IF(R652="","",IF(R652&gt;=60,INT(R652/60)&amp;":"&amp;TEXT(MOD(R652,60),"00.00"),TEXT(R652,"0.00")))</f>
        <v/>
      </c>
      <c r="T652" s="52">
        <f>IFERROR((G652-INDEX('01_Swimmers'!$E$5:$E$22,MATCH(B652,'01_Swimmers'!$A$5:$A$22,0)))/'00_Control'!$B$10,"")</f>
        <v/>
      </c>
      <c r="U652" s="35">
        <f>IF(T652="","",INT(T652))</f>
        <v/>
      </c>
      <c r="V652" s="33" t="inlineStr">
        <is>
          <t>NO</t>
        </is>
      </c>
      <c r="W652" s="33" t="inlineStr">
        <is>
          <t>YES</t>
        </is>
      </c>
      <c r="X652" s="33" t="inlineStr">
        <is>
          <t>NO</t>
        </is>
      </c>
      <c r="Y652" s="33" t="n"/>
      <c r="Z652" s="33" t="n"/>
      <c r="AA652" s="33" t="inlineStr">
        <is>
          <t>5</t>
        </is>
      </c>
      <c r="AB652" s="33" t="inlineStr">
        <is>
          <t>https://www.swimcloud.com/results/100868/event/2/?id=20132883#time20132883</t>
        </is>
      </c>
      <c r="AC652" s="33" t="inlineStr">
        <is>
          <t>SwimCloud API v6 2026-10-08</t>
        </is>
      </c>
      <c r="AD652" s="33" t="inlineStr">
        <is>
          <t>Duncan Scott|2018-08-04|LCM|100|Free|48.62|LEN European Swimming Championships|SEM|False</t>
        </is>
      </c>
      <c r="AE652" s="53">
        <f>G652+L652/1000+ROW()/1000000000</f>
        <v/>
      </c>
      <c r="AF652" s="35">
        <f>IF(C652&lt;&gt;"Grayson Coulter","",COUNTIFS($C$5:$C$2991,"Grayson Coulter",$Q$5:$Q$2991,Q652,$AE$5:$AE$2991,"&lt;="&amp;AE652,$R$5:$R$2991,"&lt;"&amp;R652))</f>
        <v/>
      </c>
      <c r="AG652" s="35">
        <f>IF(OR(C652&lt;&gt;"Grayson Coulter",G652&lt;'00_Control'!$B$7),"",--(AF652&lt;5))</f>
        <v/>
      </c>
      <c r="AH652" s="35">
        <f>IF(OR(C652&lt;&gt;"Grayson Coulter",G652&lt;'00_Control'!$B$7),"",--(AF652&lt;10))</f>
        <v/>
      </c>
      <c r="AI652" s="35">
        <f>IF(AND(C652="Grayson Coulter",G652&gt;='00_Control'!$B$7),"YES","NO")</f>
        <v/>
      </c>
      <c r="AJ652" s="33" t="inlineStr">
        <is>
          <t>OK</t>
        </is>
      </c>
    </row>
    <row r="653">
      <c r="A653" s="33" t="inlineStr">
        <is>
          <t>SM000649</t>
        </is>
      </c>
      <c r="B653" s="33" t="inlineStr">
        <is>
          <t>SW016</t>
        </is>
      </c>
      <c r="C653" s="33" t="inlineStr">
        <is>
          <t>Duncan Scott</t>
        </is>
      </c>
      <c r="D653" s="33" t="inlineStr">
        <is>
          <t>SwimCloud</t>
        </is>
      </c>
      <c r="E653" s="33" t="inlineStr">
        <is>
          <t>375606</t>
        </is>
      </c>
      <c r="F653" s="33" t="inlineStr">
        <is>
          <t>20132592</t>
        </is>
      </c>
      <c r="G653" s="51" t="n">
        <v>43317</v>
      </c>
      <c r="H653" s="33" t="inlineStr">
        <is>
          <t>LEN European Swimming Championships</t>
        </is>
      </c>
      <c r="I653" s="33" t="inlineStr">
        <is>
          <t>100868</t>
        </is>
      </c>
      <c r="J653" s="33" t="inlineStr"/>
      <c r="K653" s="33" t="inlineStr">
        <is>
          <t>FIN</t>
        </is>
      </c>
      <c r="L653" s="35">
        <f>IF(K653="FIN",3,IF(OR(K653="SEM",K653="SEMI"),2,IF(OR(K653="PRE",K653="HEAT"),1,IF(V653="YES",4,2))))</f>
        <v/>
      </c>
      <c r="M653" s="33" t="inlineStr">
        <is>
          <t>LCM</t>
        </is>
      </c>
      <c r="N653" s="33" t="n">
        <v>100</v>
      </c>
      <c r="O653" s="33" t="inlineStr">
        <is>
          <t>Free</t>
        </is>
      </c>
      <c r="P653" s="33" t="inlineStr">
        <is>
          <t>100 Free</t>
        </is>
      </c>
      <c r="Q653" s="33" t="inlineStr">
        <is>
          <t>LCM_100_FREE</t>
        </is>
      </c>
      <c r="R653" s="36" t="n">
        <v>48.23</v>
      </c>
      <c r="S653" s="35">
        <f>IF(R653="","",IF(R653&gt;=60,INT(R653/60)&amp;":"&amp;TEXT(MOD(R653,60),"00.00"),TEXT(R653,"0.00")))</f>
        <v/>
      </c>
      <c r="T653" s="52">
        <f>IFERROR((G653-INDEX('01_Swimmers'!$E$5:$E$22,MATCH(B653,'01_Swimmers'!$A$5:$A$22,0)))/'00_Control'!$B$10,"")</f>
        <v/>
      </c>
      <c r="U653" s="35">
        <f>IF(T653="","",INT(T653))</f>
        <v/>
      </c>
      <c r="V653" s="33" t="inlineStr">
        <is>
          <t>NO</t>
        </is>
      </c>
      <c r="W653" s="33" t="inlineStr">
        <is>
          <t>YES</t>
        </is>
      </c>
      <c r="X653" s="33" t="inlineStr">
        <is>
          <t>NO</t>
        </is>
      </c>
      <c r="Y653" s="33" t="n"/>
      <c r="Z653" s="33" t="n"/>
      <c r="AA653" s="33" t="inlineStr">
        <is>
          <t>2</t>
        </is>
      </c>
      <c r="AB653" s="33" t="inlineStr">
        <is>
          <t>https://www.swimcloud.com/results/100868/event/2/?id=20132592#time20132592</t>
        </is>
      </c>
      <c r="AC653" s="33" t="inlineStr">
        <is>
          <t>SwimCloud API v6 2026-10-08</t>
        </is>
      </c>
      <c r="AD653" s="33" t="inlineStr">
        <is>
          <t>Duncan Scott|2018-08-05|LCM|100|Free|48.23|LEN European Swimming Championships|FIN|False</t>
        </is>
      </c>
      <c r="AE653" s="53">
        <f>G653+L653/1000+ROW()/1000000000</f>
        <v/>
      </c>
      <c r="AF653" s="35">
        <f>IF(C653&lt;&gt;"Grayson Coulter","",COUNTIFS($C$5:$C$2991,"Grayson Coulter",$Q$5:$Q$2991,Q653,$AE$5:$AE$2991,"&lt;="&amp;AE653,$R$5:$R$2991,"&lt;"&amp;R653))</f>
        <v/>
      </c>
      <c r="AG653" s="35">
        <f>IF(OR(C653&lt;&gt;"Grayson Coulter",G653&lt;'00_Control'!$B$7),"",--(AF653&lt;5))</f>
        <v/>
      </c>
      <c r="AH653" s="35">
        <f>IF(OR(C653&lt;&gt;"Grayson Coulter",G653&lt;'00_Control'!$B$7),"",--(AF653&lt;10))</f>
        <v/>
      </c>
      <c r="AI653" s="35">
        <f>IF(AND(C653="Grayson Coulter",G653&gt;='00_Control'!$B$7),"YES","NO")</f>
        <v/>
      </c>
      <c r="AJ653" s="33" t="inlineStr">
        <is>
          <t>OK</t>
        </is>
      </c>
    </row>
    <row r="654">
      <c r="A654" s="33" t="inlineStr">
        <is>
          <t>SM000650</t>
        </is>
      </c>
      <c r="B654" s="33" t="inlineStr">
        <is>
          <t>SW016</t>
        </is>
      </c>
      <c r="C654" s="33" t="inlineStr">
        <is>
          <t>Duncan Scott</t>
        </is>
      </c>
      <c r="D654" s="33" t="inlineStr">
        <is>
          <t>SwimCloud</t>
        </is>
      </c>
      <c r="E654" s="33" t="inlineStr">
        <is>
          <t>375606</t>
        </is>
      </c>
      <c r="F654" s="33" t="inlineStr">
        <is>
          <t>20133380</t>
        </is>
      </c>
      <c r="G654" s="51" t="n">
        <v>43318</v>
      </c>
      <c r="H654" s="33" t="inlineStr">
        <is>
          <t>LEN European Swimming Championships</t>
        </is>
      </c>
      <c r="I654" s="33" t="inlineStr">
        <is>
          <t>100868</t>
        </is>
      </c>
      <c r="J654" s="33" t="inlineStr"/>
      <c r="K654" s="33" t="inlineStr">
        <is>
          <t>PRE</t>
        </is>
      </c>
      <c r="L654" s="35">
        <f>IF(K654="FIN",3,IF(OR(K654="SEM",K654="SEMI"),2,IF(OR(K654="PRE",K654="HEAT"),1,IF(V654="YES",4,2))))</f>
        <v/>
      </c>
      <c r="M654" s="33" t="inlineStr">
        <is>
          <t>LCM</t>
        </is>
      </c>
      <c r="N654" s="33" t="n">
        <v>200</v>
      </c>
      <c r="O654" s="33" t="inlineStr">
        <is>
          <t>Free</t>
        </is>
      </c>
      <c r="P654" s="33" t="inlineStr">
        <is>
          <t>200 Free</t>
        </is>
      </c>
      <c r="Q654" s="33" t="inlineStr">
        <is>
          <t>LCM_200_FREE</t>
        </is>
      </c>
      <c r="R654" s="36" t="n">
        <v>108.53</v>
      </c>
      <c r="S654" s="35">
        <f>IF(R654="","",IF(R654&gt;=60,INT(R654/60)&amp;":"&amp;TEXT(MOD(R654,60),"00.00"),TEXT(R654,"0.00")))</f>
        <v/>
      </c>
      <c r="T654" s="52">
        <f>IFERROR((G654-INDEX('01_Swimmers'!$E$5:$E$22,MATCH(B654,'01_Swimmers'!$A$5:$A$22,0)))/'00_Control'!$B$10,"")</f>
        <v/>
      </c>
      <c r="U654" s="35">
        <f>IF(T654="","",INT(T654))</f>
        <v/>
      </c>
      <c r="V654" s="33" t="inlineStr">
        <is>
          <t>NO</t>
        </is>
      </c>
      <c r="W654" s="33" t="inlineStr">
        <is>
          <t>YES</t>
        </is>
      </c>
      <c r="X654" s="33" t="inlineStr">
        <is>
          <t>NO</t>
        </is>
      </c>
      <c r="Y654" s="33" t="n"/>
      <c r="Z654" s="33" t="n"/>
      <c r="AA654" s="33" t="inlineStr">
        <is>
          <t>11</t>
        </is>
      </c>
      <c r="AB654" s="33" t="inlineStr">
        <is>
          <t>https://www.swimcloud.com/results/100868/event/4/?id=20133380#time20133380</t>
        </is>
      </c>
      <c r="AC654" s="33" t="inlineStr">
        <is>
          <t>SwimCloud API v6 2026-10-08</t>
        </is>
      </c>
      <c r="AD654" s="33" t="inlineStr">
        <is>
          <t>Duncan Scott|2018-08-06|LCM|200|Free|108.53|LEN European Swimming Championships|PRE|False</t>
        </is>
      </c>
      <c r="AE654" s="53">
        <f>G654+L654/1000+ROW()/1000000000</f>
        <v/>
      </c>
      <c r="AF654" s="35">
        <f>IF(C654&lt;&gt;"Grayson Coulter","",COUNTIFS($C$5:$C$2991,"Grayson Coulter",$Q$5:$Q$2991,Q654,$AE$5:$AE$2991,"&lt;="&amp;AE654,$R$5:$R$2991,"&lt;"&amp;R654))</f>
        <v/>
      </c>
      <c r="AG654" s="35">
        <f>IF(OR(C654&lt;&gt;"Grayson Coulter",G654&lt;'00_Control'!$B$7),"",--(AF654&lt;5))</f>
        <v/>
      </c>
      <c r="AH654" s="35">
        <f>IF(OR(C654&lt;&gt;"Grayson Coulter",G654&lt;'00_Control'!$B$7),"",--(AF654&lt;10))</f>
        <v/>
      </c>
      <c r="AI654" s="35">
        <f>IF(AND(C654="Grayson Coulter",G654&gt;='00_Control'!$B$7),"YES","NO")</f>
        <v/>
      </c>
      <c r="AJ654" s="33" t="inlineStr">
        <is>
          <t>OK</t>
        </is>
      </c>
    </row>
    <row r="655">
      <c r="A655" s="33" t="inlineStr">
        <is>
          <t>SM000651</t>
        </is>
      </c>
      <c r="B655" s="33" t="inlineStr">
        <is>
          <t>SW016</t>
        </is>
      </c>
      <c r="C655" s="33" t="inlineStr">
        <is>
          <t>Duncan Scott</t>
        </is>
      </c>
      <c r="D655" s="33" t="inlineStr">
        <is>
          <t>SwimCloud</t>
        </is>
      </c>
      <c r="E655" s="33" t="inlineStr">
        <is>
          <t>375606</t>
        </is>
      </c>
      <c r="F655" s="33" t="inlineStr">
        <is>
          <t>20133170</t>
        </is>
      </c>
      <c r="G655" s="51" t="n">
        <v>43318</v>
      </c>
      <c r="H655" s="33" t="inlineStr">
        <is>
          <t>LEN European Swimming Championships</t>
        </is>
      </c>
      <c r="I655" s="33" t="inlineStr">
        <is>
          <t>100868</t>
        </is>
      </c>
      <c r="J655" s="33" t="inlineStr"/>
      <c r="K655" s="33" t="inlineStr">
        <is>
          <t>SEM</t>
        </is>
      </c>
      <c r="L655" s="35">
        <f>IF(K655="FIN",3,IF(OR(K655="SEM",K655="SEMI"),2,IF(OR(K655="PRE",K655="HEAT"),1,IF(V655="YES",4,2))))</f>
        <v/>
      </c>
      <c r="M655" s="33" t="inlineStr">
        <is>
          <t>LCM</t>
        </is>
      </c>
      <c r="N655" s="33" t="n">
        <v>200</v>
      </c>
      <c r="O655" s="33" t="inlineStr">
        <is>
          <t>Free</t>
        </is>
      </c>
      <c r="P655" s="33" t="inlineStr">
        <is>
          <t>200 Free</t>
        </is>
      </c>
      <c r="Q655" s="33" t="inlineStr">
        <is>
          <t>LCM_200_FREE</t>
        </is>
      </c>
      <c r="R655" s="36" t="n">
        <v>106.97</v>
      </c>
      <c r="S655" s="35">
        <f>IF(R655="","",IF(R655&gt;=60,INT(R655/60)&amp;":"&amp;TEXT(MOD(R655,60),"00.00"),TEXT(R655,"0.00")))</f>
        <v/>
      </c>
      <c r="T655" s="52">
        <f>IFERROR((G655-INDEX('01_Swimmers'!$E$5:$E$22,MATCH(B655,'01_Swimmers'!$A$5:$A$22,0)))/'00_Control'!$B$10,"")</f>
        <v/>
      </c>
      <c r="U655" s="35">
        <f>IF(T655="","",INT(T655))</f>
        <v/>
      </c>
      <c r="V655" s="33" t="inlineStr">
        <is>
          <t>NO</t>
        </is>
      </c>
      <c r="W655" s="33" t="inlineStr">
        <is>
          <t>YES</t>
        </is>
      </c>
      <c r="X655" s="33" t="inlineStr">
        <is>
          <t>NO</t>
        </is>
      </c>
      <c r="Y655" s="33" t="n"/>
      <c r="Z655" s="33" t="n"/>
      <c r="AA655" s="33" t="inlineStr">
        <is>
          <t>8</t>
        </is>
      </c>
      <c r="AB655" s="33" t="inlineStr">
        <is>
          <t>https://www.swimcloud.com/results/100868/event/4/?id=20133170#time20133170</t>
        </is>
      </c>
      <c r="AC655" s="33" t="inlineStr">
        <is>
          <t>SwimCloud API v6 2026-10-08</t>
        </is>
      </c>
      <c r="AD655" s="33" t="inlineStr">
        <is>
          <t>Duncan Scott|2018-08-06|LCM|200|Free|106.97|LEN European Swimming Championships|SEM|False</t>
        </is>
      </c>
      <c r="AE655" s="53">
        <f>G655+L655/1000+ROW()/1000000000</f>
        <v/>
      </c>
      <c r="AF655" s="35">
        <f>IF(C655&lt;&gt;"Grayson Coulter","",COUNTIFS($C$5:$C$2991,"Grayson Coulter",$Q$5:$Q$2991,Q655,$AE$5:$AE$2991,"&lt;="&amp;AE655,$R$5:$R$2991,"&lt;"&amp;R655))</f>
        <v/>
      </c>
      <c r="AG655" s="35">
        <f>IF(OR(C655&lt;&gt;"Grayson Coulter",G655&lt;'00_Control'!$B$7),"",--(AF655&lt;5))</f>
        <v/>
      </c>
      <c r="AH655" s="35">
        <f>IF(OR(C655&lt;&gt;"Grayson Coulter",G655&lt;'00_Control'!$B$7),"",--(AF655&lt;10))</f>
        <v/>
      </c>
      <c r="AI655" s="35">
        <f>IF(AND(C655="Grayson Coulter",G655&gt;='00_Control'!$B$7),"YES","NO")</f>
        <v/>
      </c>
      <c r="AJ655" s="33" t="inlineStr">
        <is>
          <t>OK</t>
        </is>
      </c>
    </row>
    <row r="656">
      <c r="A656" s="33" t="inlineStr">
        <is>
          <t>SM000652</t>
        </is>
      </c>
      <c r="B656" s="33" t="inlineStr">
        <is>
          <t>SW016</t>
        </is>
      </c>
      <c r="C656" s="33" t="inlineStr">
        <is>
          <t>Duncan Scott</t>
        </is>
      </c>
      <c r="D656" s="33" t="inlineStr">
        <is>
          <t>SwimCloud</t>
        </is>
      </c>
      <c r="E656" s="33" t="inlineStr">
        <is>
          <t>375606</t>
        </is>
      </c>
      <c r="F656" s="33" t="inlineStr">
        <is>
          <t>20132494</t>
        </is>
      </c>
      <c r="G656" s="51" t="n">
        <v>43319</v>
      </c>
      <c r="H656" s="33" t="inlineStr">
        <is>
          <t>LEN European Swimming Championships</t>
        </is>
      </c>
      <c r="I656" s="33" t="inlineStr">
        <is>
          <t>100868</t>
        </is>
      </c>
      <c r="J656" s="33" t="inlineStr"/>
      <c r="K656" s="33" t="inlineStr">
        <is>
          <t>FIN</t>
        </is>
      </c>
      <c r="L656" s="35">
        <f>IF(K656="FIN",3,IF(OR(K656="SEM",K656="SEMI"),2,IF(OR(K656="PRE",K656="HEAT"),1,IF(V656="YES",4,2))))</f>
        <v/>
      </c>
      <c r="M656" s="33" t="inlineStr">
        <is>
          <t>LCM</t>
        </is>
      </c>
      <c r="N656" s="33" t="n">
        <v>200</v>
      </c>
      <c r="O656" s="33" t="inlineStr">
        <is>
          <t>Free</t>
        </is>
      </c>
      <c r="P656" s="33" t="inlineStr">
        <is>
          <t>200 Free</t>
        </is>
      </c>
      <c r="Q656" s="33" t="inlineStr">
        <is>
          <t>LCM_200_FREE</t>
        </is>
      </c>
      <c r="R656" s="36" t="n">
        <v>105.34</v>
      </c>
      <c r="S656" s="35">
        <f>IF(R656="","",IF(R656&gt;=60,INT(R656/60)&amp;":"&amp;TEXT(MOD(R656,60),"00.00"),TEXT(R656,"0.00")))</f>
        <v/>
      </c>
      <c r="T656" s="52">
        <f>IFERROR((G656-INDEX('01_Swimmers'!$E$5:$E$22,MATCH(B656,'01_Swimmers'!$A$5:$A$22,0)))/'00_Control'!$B$10,"")</f>
        <v/>
      </c>
      <c r="U656" s="35">
        <f>IF(T656="","",INT(T656))</f>
        <v/>
      </c>
      <c r="V656" s="33" t="inlineStr">
        <is>
          <t>NO</t>
        </is>
      </c>
      <c r="W656" s="33" t="inlineStr">
        <is>
          <t>YES</t>
        </is>
      </c>
      <c r="X656" s="33" t="inlineStr">
        <is>
          <t>NO</t>
        </is>
      </c>
      <c r="Y656" s="33" t="n"/>
      <c r="Z656" s="33" t="n"/>
      <c r="AA656" s="33" t="inlineStr">
        <is>
          <t>1</t>
        </is>
      </c>
      <c r="AB656" s="33" t="inlineStr">
        <is>
          <t>https://www.swimcloud.com/results/100868/event/4/?id=20132494#time20132494</t>
        </is>
      </c>
      <c r="AC656" s="33" t="inlineStr">
        <is>
          <t>SwimCloud API v6 2026-10-08</t>
        </is>
      </c>
      <c r="AD656" s="33" t="inlineStr">
        <is>
          <t>Duncan Scott|2018-08-07|LCM|200|Free|105.34|LEN European Swimming Championships|FIN|False</t>
        </is>
      </c>
      <c r="AE656" s="53">
        <f>G656+L656/1000+ROW()/1000000000</f>
        <v/>
      </c>
      <c r="AF656" s="35">
        <f>IF(C656&lt;&gt;"Grayson Coulter","",COUNTIFS($C$5:$C$2991,"Grayson Coulter",$Q$5:$Q$2991,Q656,$AE$5:$AE$2991,"&lt;="&amp;AE656,$R$5:$R$2991,"&lt;"&amp;R656))</f>
        <v/>
      </c>
      <c r="AG656" s="35">
        <f>IF(OR(C656&lt;&gt;"Grayson Coulter",G656&lt;'00_Control'!$B$7),"",--(AF656&lt;5))</f>
        <v/>
      </c>
      <c r="AH656" s="35">
        <f>IF(OR(C656&lt;&gt;"Grayson Coulter",G656&lt;'00_Control'!$B$7),"",--(AF656&lt;10))</f>
        <v/>
      </c>
      <c r="AI656" s="35">
        <f>IF(AND(C656="Grayson Coulter",G656&gt;='00_Control'!$B$7),"YES","NO")</f>
        <v/>
      </c>
      <c r="AJ656" s="33" t="inlineStr">
        <is>
          <t>OK</t>
        </is>
      </c>
    </row>
    <row r="657">
      <c r="A657" s="33" t="inlineStr">
        <is>
          <t>SM000653</t>
        </is>
      </c>
      <c r="B657" s="33" t="inlineStr">
        <is>
          <t>SW016</t>
        </is>
      </c>
      <c r="C657" s="33" t="inlineStr">
        <is>
          <t>Duncan Scott</t>
        </is>
      </c>
      <c r="D657" s="33" t="inlineStr">
        <is>
          <t>SwimCloud</t>
        </is>
      </c>
      <c r="E657" s="33" t="inlineStr">
        <is>
          <t>375606</t>
        </is>
      </c>
      <c r="F657" s="33" t="inlineStr">
        <is>
          <t>123334712</t>
        </is>
      </c>
      <c r="G657" s="51" t="n">
        <v>43441</v>
      </c>
      <c r="H657" s="33" t="inlineStr">
        <is>
          <t>Scottish Open National Short Course Championships</t>
        </is>
      </c>
      <c r="I657" s="33" t="inlineStr">
        <is>
          <t>135098</t>
        </is>
      </c>
      <c r="J657" s="33" t="inlineStr"/>
      <c r="K657" s="33" t="inlineStr">
        <is>
          <t>PRE</t>
        </is>
      </c>
      <c r="L657" s="35">
        <f>IF(K657="FIN",3,IF(OR(K657="SEM",K657="SEMI"),2,IF(OR(K657="PRE",K657="HEAT"),1,IF(V657="YES",4,2))))</f>
        <v/>
      </c>
      <c r="M657" s="33" t="inlineStr">
        <is>
          <t>SCM</t>
        </is>
      </c>
      <c r="N657" s="33" t="n">
        <v>100</v>
      </c>
      <c r="O657" s="33" t="inlineStr">
        <is>
          <t>Fly</t>
        </is>
      </c>
      <c r="P657" s="33" t="inlineStr">
        <is>
          <t>100 Fly</t>
        </is>
      </c>
      <c r="Q657" s="33" t="inlineStr">
        <is>
          <t>SCM_100_FLY</t>
        </is>
      </c>
      <c r="R657" s="36" t="n">
        <v>54.21</v>
      </c>
      <c r="S657" s="35">
        <f>IF(R657="","",IF(R657&gt;=60,INT(R657/60)&amp;":"&amp;TEXT(MOD(R657,60),"00.00"),TEXT(R657,"0.00")))</f>
        <v/>
      </c>
      <c r="T657" s="52">
        <f>IFERROR((G657-INDEX('01_Swimmers'!$E$5:$E$22,MATCH(B657,'01_Swimmers'!$A$5:$A$22,0)))/'00_Control'!$B$10,"")</f>
        <v/>
      </c>
      <c r="U657" s="35">
        <f>IF(T657="","",INT(T657))</f>
        <v/>
      </c>
      <c r="V657" s="33" t="inlineStr">
        <is>
          <t>NO</t>
        </is>
      </c>
      <c r="W657" s="33" t="inlineStr">
        <is>
          <t>YES</t>
        </is>
      </c>
      <c r="X657" s="33" t="inlineStr">
        <is>
          <t>NO</t>
        </is>
      </c>
      <c r="Y657" s="33" t="n">
        <v>3</v>
      </c>
      <c r="Z657" s="33" t="n">
        <v>4</v>
      </c>
      <c r="AA657" s="33" t="inlineStr">
        <is>
          <t>7</t>
        </is>
      </c>
      <c r="AB657" s="33" t="inlineStr">
        <is>
          <t>https://www.swimcloud.com/results/135098/event/105/?id=123334712#time123334712</t>
        </is>
      </c>
      <c r="AC657" s="33" t="inlineStr">
        <is>
          <t>SwimCloud API v6 2026-10-08</t>
        </is>
      </c>
      <c r="AD657" s="33" t="inlineStr">
        <is>
          <t>Duncan Scott|2018-12-07|SCM|100|Fly|54.21|Scottish Open National Short Course Championships|PRE|False</t>
        </is>
      </c>
      <c r="AE657" s="53">
        <f>G657+L657/1000+ROW()/1000000000</f>
        <v/>
      </c>
      <c r="AF657" s="35">
        <f>IF(C657&lt;&gt;"Grayson Coulter","",COUNTIFS($C$5:$C$2991,"Grayson Coulter",$Q$5:$Q$2991,Q657,$AE$5:$AE$2991,"&lt;="&amp;AE657,$R$5:$R$2991,"&lt;"&amp;R657))</f>
        <v/>
      </c>
      <c r="AG657" s="35">
        <f>IF(OR(C657&lt;&gt;"Grayson Coulter",G657&lt;'00_Control'!$B$7),"",--(AF657&lt;5))</f>
        <v/>
      </c>
      <c r="AH657" s="35">
        <f>IF(OR(C657&lt;&gt;"Grayson Coulter",G657&lt;'00_Control'!$B$7),"",--(AF657&lt;10))</f>
        <v/>
      </c>
      <c r="AI657" s="35">
        <f>IF(AND(C657="Grayson Coulter",G657&gt;='00_Control'!$B$7),"YES","NO")</f>
        <v/>
      </c>
      <c r="AJ657" s="33" t="inlineStr">
        <is>
          <t>OK</t>
        </is>
      </c>
    </row>
    <row r="658">
      <c r="A658" s="33" t="inlineStr">
        <is>
          <t>SM000654</t>
        </is>
      </c>
      <c r="B658" s="33" t="inlineStr">
        <is>
          <t>SW016</t>
        </is>
      </c>
      <c r="C658" s="33" t="inlineStr">
        <is>
          <t>Duncan Scott</t>
        </is>
      </c>
      <c r="D658" s="33" t="inlineStr">
        <is>
          <t>SwimCloud</t>
        </is>
      </c>
      <c r="E658" s="33" t="inlineStr">
        <is>
          <t>375606</t>
        </is>
      </c>
      <c r="F658" s="33" t="inlineStr">
        <is>
          <t>123334713</t>
        </is>
      </c>
      <c r="G658" s="51" t="n">
        <v>43441</v>
      </c>
      <c r="H658" s="33" t="inlineStr">
        <is>
          <t>Scottish Open National Short Course Championships</t>
        </is>
      </c>
      <c r="I658" s="33" t="inlineStr">
        <is>
          <t>135098</t>
        </is>
      </c>
      <c r="J658" s="33" t="inlineStr"/>
      <c r="K658" s="33" t="inlineStr">
        <is>
          <t>FIN</t>
        </is>
      </c>
      <c r="L658" s="35">
        <f>IF(K658="FIN",3,IF(OR(K658="SEM",K658="SEMI"),2,IF(OR(K658="PRE",K658="HEAT"),1,IF(V658="YES",4,2))))</f>
        <v/>
      </c>
      <c r="M658" s="33" t="inlineStr">
        <is>
          <t>SCM</t>
        </is>
      </c>
      <c r="N658" s="33" t="n">
        <v>100</v>
      </c>
      <c r="O658" s="33" t="inlineStr">
        <is>
          <t>Fly</t>
        </is>
      </c>
      <c r="P658" s="33" t="inlineStr">
        <is>
          <t>100 Fly</t>
        </is>
      </c>
      <c r="Q658" s="33" t="inlineStr">
        <is>
          <t>SCM_100_FLY</t>
        </is>
      </c>
      <c r="R658" s="36" t="n">
        <v>52.1</v>
      </c>
      <c r="S658" s="35">
        <f>IF(R658="","",IF(R658&gt;=60,INT(R658/60)&amp;":"&amp;TEXT(MOD(R658,60),"00.00"),TEXT(R658,"0.00")))</f>
        <v/>
      </c>
      <c r="T658" s="52">
        <f>IFERROR((G658-INDEX('01_Swimmers'!$E$5:$E$22,MATCH(B658,'01_Swimmers'!$A$5:$A$22,0)))/'00_Control'!$B$10,"")</f>
        <v/>
      </c>
      <c r="U658" s="35">
        <f>IF(T658="","",INT(T658))</f>
        <v/>
      </c>
      <c r="V658" s="33" t="inlineStr">
        <is>
          <t>NO</t>
        </is>
      </c>
      <c r="W658" s="33" t="inlineStr">
        <is>
          <t>YES</t>
        </is>
      </c>
      <c r="X658" s="33" t="inlineStr">
        <is>
          <t>NO</t>
        </is>
      </c>
      <c r="Y658" s="33" t="n">
        <v>2</v>
      </c>
      <c r="Z658" s="33" t="n">
        <v>1</v>
      </c>
      <c r="AA658" s="33" t="inlineStr">
        <is>
          <t>1</t>
        </is>
      </c>
      <c r="AB658" s="33" t="inlineStr">
        <is>
          <t>https://www.swimcloud.com/results/135098/event/105/?id=123334713#time123334713</t>
        </is>
      </c>
      <c r="AC658" s="33" t="inlineStr">
        <is>
          <t>SwimCloud API v6 2026-10-08</t>
        </is>
      </c>
      <c r="AD658" s="33" t="inlineStr">
        <is>
          <t>Duncan Scott|2018-12-07|SCM|100|Fly|52.1|Scottish Open National Short Course Championships|FIN|False</t>
        </is>
      </c>
      <c r="AE658" s="53">
        <f>G658+L658/1000+ROW()/1000000000</f>
        <v/>
      </c>
      <c r="AF658" s="35">
        <f>IF(C658&lt;&gt;"Grayson Coulter","",COUNTIFS($C$5:$C$2991,"Grayson Coulter",$Q$5:$Q$2991,Q658,$AE$5:$AE$2991,"&lt;="&amp;AE658,$R$5:$R$2991,"&lt;"&amp;R658))</f>
        <v/>
      </c>
      <c r="AG658" s="35">
        <f>IF(OR(C658&lt;&gt;"Grayson Coulter",G658&lt;'00_Control'!$B$7),"",--(AF658&lt;5))</f>
        <v/>
      </c>
      <c r="AH658" s="35">
        <f>IF(OR(C658&lt;&gt;"Grayson Coulter",G658&lt;'00_Control'!$B$7),"",--(AF658&lt;10))</f>
        <v/>
      </c>
      <c r="AI658" s="35">
        <f>IF(AND(C658="Grayson Coulter",G658&gt;='00_Control'!$B$7),"YES","NO")</f>
        <v/>
      </c>
      <c r="AJ658" s="33" t="inlineStr">
        <is>
          <t>OK</t>
        </is>
      </c>
    </row>
    <row r="659">
      <c r="A659" s="33" t="inlineStr">
        <is>
          <t>SM000655</t>
        </is>
      </c>
      <c r="B659" s="33" t="inlineStr">
        <is>
          <t>SW016</t>
        </is>
      </c>
      <c r="C659" s="33" t="inlineStr">
        <is>
          <t>Duncan Scott</t>
        </is>
      </c>
      <c r="D659" s="33" t="inlineStr">
        <is>
          <t>SwimCloud</t>
        </is>
      </c>
      <c r="E659" s="33" t="inlineStr">
        <is>
          <t>375606</t>
        </is>
      </c>
      <c r="F659" s="33" t="inlineStr">
        <is>
          <t>123338246</t>
        </is>
      </c>
      <c r="G659" s="51" t="n">
        <v>43443</v>
      </c>
      <c r="H659" s="33" t="inlineStr">
        <is>
          <t>Scottish Open National Short Course Championships</t>
        </is>
      </c>
      <c r="I659" s="33" t="inlineStr">
        <is>
          <t>135098</t>
        </is>
      </c>
      <c r="J659" s="33" t="inlineStr"/>
      <c r="K659" s="33" t="inlineStr">
        <is>
          <t>TIM</t>
        </is>
      </c>
      <c r="L659" s="35">
        <f>IF(K659="FIN",3,IF(OR(K659="SEM",K659="SEMI"),2,IF(OR(K659="PRE",K659="HEAT"),1,IF(V659="YES",4,2))))</f>
        <v/>
      </c>
      <c r="M659" s="33" t="inlineStr">
        <is>
          <t>SCM</t>
        </is>
      </c>
      <c r="N659" s="33" t="n">
        <v>100</v>
      </c>
      <c r="O659" s="33" t="inlineStr">
        <is>
          <t>Free</t>
        </is>
      </c>
      <c r="P659" s="33" t="inlineStr">
        <is>
          <t>100 Free</t>
        </is>
      </c>
      <c r="Q659" s="33" t="inlineStr">
        <is>
          <t>SCM_100_FREE</t>
        </is>
      </c>
      <c r="R659" s="36" t="n">
        <v>47.37</v>
      </c>
      <c r="S659" s="35">
        <f>IF(R659="","",IF(R659&gt;=60,INT(R659/60)&amp;":"&amp;TEXT(MOD(R659,60),"00.00"),TEXT(R659,"0.00")))</f>
        <v/>
      </c>
      <c r="T659" s="52">
        <f>IFERROR((G659-INDEX('01_Swimmers'!$E$5:$E$22,MATCH(B659,'01_Swimmers'!$A$5:$A$22,0)))/'00_Control'!$B$10,"")</f>
        <v/>
      </c>
      <c r="U659" s="35">
        <f>IF(T659="","",INT(T659))</f>
        <v/>
      </c>
      <c r="V659" s="33" t="inlineStr">
        <is>
          <t>YES</t>
        </is>
      </c>
      <c r="W659" s="33" t="inlineStr">
        <is>
          <t>YES</t>
        </is>
      </c>
      <c r="X659" s="33" t="inlineStr">
        <is>
          <t>NO</t>
        </is>
      </c>
      <c r="Y659" s="33" t="n">
        <v>3</v>
      </c>
      <c r="Z659" s="33" t="n">
        <v>4</v>
      </c>
      <c r="AA659" s="33" t="inlineStr"/>
      <c r="AB659" s="33" t="inlineStr">
        <is>
          <t>https://www.swimcloud.com/results/135098/event/312/?id=123337448#time123337448</t>
        </is>
      </c>
      <c r="AC659" s="33" t="inlineStr">
        <is>
          <t>SwimCloud API v6 2026-10-08</t>
        </is>
      </c>
      <c r="AD659" s="33" t="inlineStr">
        <is>
          <t>Duncan Scott|2018-12-09|SCM|100|Free|47.37|Scottish Open National Short Course Championships|TIM|True</t>
        </is>
      </c>
      <c r="AE659" s="53">
        <f>G659+L659/1000+ROW()/1000000000</f>
        <v/>
      </c>
      <c r="AF659" s="35">
        <f>IF(C659&lt;&gt;"Grayson Coulter","",COUNTIFS($C$5:$C$2991,"Grayson Coulter",$Q$5:$Q$2991,Q659,$AE$5:$AE$2991,"&lt;="&amp;AE659,$R$5:$R$2991,"&lt;"&amp;R659))</f>
        <v/>
      </c>
      <c r="AG659" s="35">
        <f>IF(OR(C659&lt;&gt;"Grayson Coulter",G659&lt;'00_Control'!$B$7),"",--(AF659&lt;5))</f>
        <v/>
      </c>
      <c r="AH659" s="35">
        <f>IF(OR(C659&lt;&gt;"Grayson Coulter",G659&lt;'00_Control'!$B$7),"",--(AF659&lt;10))</f>
        <v/>
      </c>
      <c r="AI659" s="35">
        <f>IF(AND(C659="Grayson Coulter",G659&gt;='00_Control'!$B$7),"YES","NO")</f>
        <v/>
      </c>
      <c r="AJ659" s="33" t="inlineStr">
        <is>
          <t>OK</t>
        </is>
      </c>
    </row>
    <row r="660">
      <c r="A660" s="33" t="inlineStr">
        <is>
          <t>SM000656</t>
        </is>
      </c>
      <c r="B660" s="33" t="inlineStr">
        <is>
          <t>SW016</t>
        </is>
      </c>
      <c r="C660" s="33" t="inlineStr">
        <is>
          <t>Duncan Scott</t>
        </is>
      </c>
      <c r="D660" s="33" t="inlineStr">
        <is>
          <t>SwimCloud</t>
        </is>
      </c>
      <c r="E660" s="33" t="inlineStr">
        <is>
          <t>375606</t>
        </is>
      </c>
      <c r="F660" s="33" t="inlineStr">
        <is>
          <t>123333311</t>
        </is>
      </c>
      <c r="G660" s="51" t="n">
        <v>43443</v>
      </c>
      <c r="H660" s="33" t="inlineStr">
        <is>
          <t>Scottish Open National Short Course Championships</t>
        </is>
      </c>
      <c r="I660" s="33" t="inlineStr">
        <is>
          <t>135098</t>
        </is>
      </c>
      <c r="J660" s="33" t="inlineStr"/>
      <c r="K660" s="33" t="inlineStr">
        <is>
          <t>PRE</t>
        </is>
      </c>
      <c r="L660" s="35">
        <f>IF(K660="FIN",3,IF(OR(K660="SEM",K660="SEMI"),2,IF(OR(K660="PRE",K660="HEAT"),1,IF(V660="YES",4,2))))</f>
        <v/>
      </c>
      <c r="M660" s="33" t="inlineStr">
        <is>
          <t>SCM</t>
        </is>
      </c>
      <c r="N660" s="33" t="n">
        <v>200</v>
      </c>
      <c r="O660" s="33" t="inlineStr">
        <is>
          <t>Free</t>
        </is>
      </c>
      <c r="P660" s="33" t="inlineStr">
        <is>
          <t>200 Free</t>
        </is>
      </c>
      <c r="Q660" s="33" t="inlineStr">
        <is>
          <t>SCM_200_FREE</t>
        </is>
      </c>
      <c r="R660" s="36" t="n">
        <v>106.49</v>
      </c>
      <c r="S660" s="35">
        <f>IF(R660="","",IF(R660&gt;=60,INT(R660/60)&amp;":"&amp;TEXT(MOD(R660,60),"00.00"),TEXT(R660,"0.00")))</f>
        <v/>
      </c>
      <c r="T660" s="52">
        <f>IFERROR((G660-INDEX('01_Swimmers'!$E$5:$E$22,MATCH(B660,'01_Swimmers'!$A$5:$A$22,0)))/'00_Control'!$B$10,"")</f>
        <v/>
      </c>
      <c r="U660" s="35">
        <f>IF(T660="","",INT(T660))</f>
        <v/>
      </c>
      <c r="V660" s="33" t="inlineStr">
        <is>
          <t>NO</t>
        </is>
      </c>
      <c r="W660" s="33" t="inlineStr">
        <is>
          <t>YES</t>
        </is>
      </c>
      <c r="X660" s="33" t="inlineStr">
        <is>
          <t>NO</t>
        </is>
      </c>
      <c r="Y660" s="33" t="n">
        <v>5</v>
      </c>
      <c r="Z660" s="33" t="n">
        <v>4</v>
      </c>
      <c r="AA660" s="33" t="inlineStr">
        <is>
          <t>1</t>
        </is>
      </c>
      <c r="AB660" s="33" t="inlineStr">
        <is>
          <t>https://www.swimcloud.com/results/135098/event/306/?id=123333311#time123333311</t>
        </is>
      </c>
      <c r="AC660" s="33" t="inlineStr">
        <is>
          <t>SwimCloud API v6 2026-10-08</t>
        </is>
      </c>
      <c r="AD660" s="33" t="inlineStr">
        <is>
          <t>Duncan Scott|2018-12-09|SCM|200|Free|106.49|Scottish Open National Short Course Championships|PRE|False</t>
        </is>
      </c>
      <c r="AE660" s="53">
        <f>G660+L660/1000+ROW()/1000000000</f>
        <v/>
      </c>
      <c r="AF660" s="35">
        <f>IF(C660&lt;&gt;"Grayson Coulter","",COUNTIFS($C$5:$C$2991,"Grayson Coulter",$Q$5:$Q$2991,Q660,$AE$5:$AE$2991,"&lt;="&amp;AE660,$R$5:$R$2991,"&lt;"&amp;R660))</f>
        <v/>
      </c>
      <c r="AG660" s="35">
        <f>IF(OR(C660&lt;&gt;"Grayson Coulter",G660&lt;'00_Control'!$B$7),"",--(AF660&lt;5))</f>
        <v/>
      </c>
      <c r="AH660" s="35">
        <f>IF(OR(C660&lt;&gt;"Grayson Coulter",G660&lt;'00_Control'!$B$7),"",--(AF660&lt;10))</f>
        <v/>
      </c>
      <c r="AI660" s="35">
        <f>IF(AND(C660="Grayson Coulter",G660&gt;='00_Control'!$B$7),"YES","NO")</f>
        <v/>
      </c>
      <c r="AJ660" s="33" t="inlineStr">
        <is>
          <t>OK</t>
        </is>
      </c>
    </row>
    <row r="661">
      <c r="A661" s="33" t="inlineStr">
        <is>
          <t>SM000657</t>
        </is>
      </c>
      <c r="B661" s="33" t="inlineStr">
        <is>
          <t>SW016</t>
        </is>
      </c>
      <c r="C661" s="33" t="inlineStr">
        <is>
          <t>Duncan Scott</t>
        </is>
      </c>
      <c r="D661" s="33" t="inlineStr">
        <is>
          <t>SwimCloud</t>
        </is>
      </c>
      <c r="E661" s="33" t="inlineStr">
        <is>
          <t>375606</t>
        </is>
      </c>
      <c r="F661" s="33" t="inlineStr">
        <is>
          <t>123333312</t>
        </is>
      </c>
      <c r="G661" s="51" t="n">
        <v>43443</v>
      </c>
      <c r="H661" s="33" t="inlineStr">
        <is>
          <t>Scottish Open National Short Course Championships</t>
        </is>
      </c>
      <c r="I661" s="33" t="inlineStr">
        <is>
          <t>135098</t>
        </is>
      </c>
      <c r="J661" s="33" t="inlineStr"/>
      <c r="K661" s="33" t="inlineStr">
        <is>
          <t>FIN</t>
        </is>
      </c>
      <c r="L661" s="35">
        <f>IF(K661="FIN",3,IF(OR(K661="SEM",K661="SEMI"),2,IF(OR(K661="PRE",K661="HEAT"),1,IF(V661="YES",4,2))))</f>
        <v/>
      </c>
      <c r="M661" s="33" t="inlineStr">
        <is>
          <t>SCM</t>
        </is>
      </c>
      <c r="N661" s="33" t="n">
        <v>200</v>
      </c>
      <c r="O661" s="33" t="inlineStr">
        <is>
          <t>Free</t>
        </is>
      </c>
      <c r="P661" s="33" t="inlineStr">
        <is>
          <t>200 Free</t>
        </is>
      </c>
      <c r="Q661" s="33" t="inlineStr">
        <is>
          <t>SCM_200_FREE</t>
        </is>
      </c>
      <c r="R661" s="36" t="n">
        <v>103.09</v>
      </c>
      <c r="S661" s="35">
        <f>IF(R661="","",IF(R661&gt;=60,INT(R661/60)&amp;":"&amp;TEXT(MOD(R661,60),"00.00"),TEXT(R661,"0.00")))</f>
        <v/>
      </c>
      <c r="T661" s="52">
        <f>IFERROR((G661-INDEX('01_Swimmers'!$E$5:$E$22,MATCH(B661,'01_Swimmers'!$A$5:$A$22,0)))/'00_Control'!$B$10,"")</f>
        <v/>
      </c>
      <c r="U661" s="35">
        <f>IF(T661="","",INT(T661))</f>
        <v/>
      </c>
      <c r="V661" s="33" t="inlineStr">
        <is>
          <t>NO</t>
        </is>
      </c>
      <c r="W661" s="33" t="inlineStr">
        <is>
          <t>YES</t>
        </is>
      </c>
      <c r="X661" s="33" t="inlineStr">
        <is>
          <t>NO</t>
        </is>
      </c>
      <c r="Y661" s="33" t="n">
        <v>2</v>
      </c>
      <c r="Z661" s="33" t="n">
        <v>4</v>
      </c>
      <c r="AA661" s="33" t="inlineStr">
        <is>
          <t>1</t>
        </is>
      </c>
      <c r="AB661" s="33" t="inlineStr">
        <is>
          <t>https://www.swimcloud.com/results/135098/event/306/?id=123333312#time123333312</t>
        </is>
      </c>
      <c r="AC661" s="33" t="inlineStr">
        <is>
          <t>SwimCloud API v6 2026-10-08</t>
        </is>
      </c>
      <c r="AD661" s="33" t="inlineStr">
        <is>
          <t>Duncan Scott|2018-12-09|SCM|200|Free|103.09|Scottish Open National Short Course Championships|FIN|False</t>
        </is>
      </c>
      <c r="AE661" s="53">
        <f>G661+L661/1000+ROW()/1000000000</f>
        <v/>
      </c>
      <c r="AF661" s="35">
        <f>IF(C661&lt;&gt;"Grayson Coulter","",COUNTIFS($C$5:$C$2991,"Grayson Coulter",$Q$5:$Q$2991,Q661,$AE$5:$AE$2991,"&lt;="&amp;AE661,$R$5:$R$2991,"&lt;"&amp;R661))</f>
        <v/>
      </c>
      <c r="AG661" s="35">
        <f>IF(OR(C661&lt;&gt;"Grayson Coulter",G661&lt;'00_Control'!$B$7),"",--(AF661&lt;5))</f>
        <v/>
      </c>
      <c r="AH661" s="35">
        <f>IF(OR(C661&lt;&gt;"Grayson Coulter",G661&lt;'00_Control'!$B$7),"",--(AF661&lt;10))</f>
        <v/>
      </c>
      <c r="AI661" s="35">
        <f>IF(AND(C661="Grayson Coulter",G661&gt;='00_Control'!$B$7),"YES","NO")</f>
        <v/>
      </c>
      <c r="AJ661" s="33" t="inlineStr">
        <is>
          <t>OK</t>
        </is>
      </c>
    </row>
    <row r="662">
      <c r="A662" s="33" t="inlineStr">
        <is>
          <t>SM000658</t>
        </is>
      </c>
      <c r="B662" s="33" t="inlineStr">
        <is>
          <t>SW016</t>
        </is>
      </c>
      <c r="C662" s="33" t="inlineStr">
        <is>
          <t>Duncan Scott</t>
        </is>
      </c>
      <c r="D662" s="33" t="inlineStr">
        <is>
          <t>SwimCloud</t>
        </is>
      </c>
      <c r="E662" s="33" t="inlineStr">
        <is>
          <t>375606</t>
        </is>
      </c>
      <c r="F662" s="33" t="inlineStr">
        <is>
          <t>123162033</t>
        </is>
      </c>
      <c r="G662" s="51" t="n">
        <v>43539</v>
      </c>
      <c r="H662" s="33" t="inlineStr">
        <is>
          <t>Edinburgh International Meet</t>
        </is>
      </c>
      <c r="I662" s="33" t="inlineStr">
        <is>
          <t>143997</t>
        </is>
      </c>
      <c r="J662" s="33" t="inlineStr"/>
      <c r="K662" s="33" t="inlineStr">
        <is>
          <t>PRE</t>
        </is>
      </c>
      <c r="L662" s="35">
        <f>IF(K662="FIN",3,IF(OR(K662="SEM",K662="SEMI"),2,IF(OR(K662="PRE",K662="HEAT"),1,IF(V662="YES",4,2))))</f>
        <v/>
      </c>
      <c r="M662" s="33" t="inlineStr">
        <is>
          <t>LCM</t>
        </is>
      </c>
      <c r="N662" s="33" t="n">
        <v>200</v>
      </c>
      <c r="O662" s="33" t="inlineStr">
        <is>
          <t>Free</t>
        </is>
      </c>
      <c r="P662" s="33" t="inlineStr">
        <is>
          <t>200 Free</t>
        </is>
      </c>
      <c r="Q662" s="33" t="inlineStr">
        <is>
          <t>LCM_200_FREE</t>
        </is>
      </c>
      <c r="R662" s="36" t="n">
        <v>110.5</v>
      </c>
      <c r="S662" s="35">
        <f>IF(R662="","",IF(R662&gt;=60,INT(R662/60)&amp;":"&amp;TEXT(MOD(R662,60),"00.00"),TEXT(R662,"0.00")))</f>
        <v/>
      </c>
      <c r="T662" s="52">
        <f>IFERROR((G662-INDEX('01_Swimmers'!$E$5:$E$22,MATCH(B662,'01_Swimmers'!$A$5:$A$22,0)))/'00_Control'!$B$10,"")</f>
        <v/>
      </c>
      <c r="U662" s="35">
        <f>IF(T662="","",INT(T662))</f>
        <v/>
      </c>
      <c r="V662" s="33" t="inlineStr">
        <is>
          <t>NO</t>
        </is>
      </c>
      <c r="W662" s="33" t="inlineStr">
        <is>
          <t>YES</t>
        </is>
      </c>
      <c r="X662" s="33" t="inlineStr">
        <is>
          <t>NO</t>
        </is>
      </c>
      <c r="Y662" s="33" t="n">
        <v>5</v>
      </c>
      <c r="Z662" s="33" t="n">
        <v>4</v>
      </c>
      <c r="AA662" s="33" t="inlineStr">
        <is>
          <t>3</t>
        </is>
      </c>
      <c r="AB662" s="33" t="inlineStr">
        <is>
          <t>https://www.swimcloud.com/results/143997/event/105/?id=123162033#time123162033</t>
        </is>
      </c>
      <c r="AC662" s="33" t="inlineStr">
        <is>
          <t>SwimCloud API v6 2026-10-08</t>
        </is>
      </c>
      <c r="AD662" s="33" t="inlineStr">
        <is>
          <t>Duncan Scott|2019-03-15|LCM|200|Free|110.5|Edinburgh International Meet|PRE|False</t>
        </is>
      </c>
      <c r="AE662" s="53">
        <f>G662+L662/1000+ROW()/1000000000</f>
        <v/>
      </c>
      <c r="AF662" s="35">
        <f>IF(C662&lt;&gt;"Grayson Coulter","",COUNTIFS($C$5:$C$2991,"Grayson Coulter",$Q$5:$Q$2991,Q662,$AE$5:$AE$2991,"&lt;="&amp;AE662,$R$5:$R$2991,"&lt;"&amp;R662))</f>
        <v/>
      </c>
      <c r="AG662" s="35">
        <f>IF(OR(C662&lt;&gt;"Grayson Coulter",G662&lt;'00_Control'!$B$7),"",--(AF662&lt;5))</f>
        <v/>
      </c>
      <c r="AH662" s="35">
        <f>IF(OR(C662&lt;&gt;"Grayson Coulter",G662&lt;'00_Control'!$B$7),"",--(AF662&lt;10))</f>
        <v/>
      </c>
      <c r="AI662" s="35">
        <f>IF(AND(C662="Grayson Coulter",G662&gt;='00_Control'!$B$7),"YES","NO")</f>
        <v/>
      </c>
      <c r="AJ662" s="33" t="inlineStr">
        <is>
          <t>OK</t>
        </is>
      </c>
    </row>
    <row r="663">
      <c r="A663" s="33" t="inlineStr">
        <is>
          <t>SM000659</t>
        </is>
      </c>
      <c r="B663" s="33" t="inlineStr">
        <is>
          <t>SW016</t>
        </is>
      </c>
      <c r="C663" s="33" t="inlineStr">
        <is>
          <t>Duncan Scott</t>
        </is>
      </c>
      <c r="D663" s="33" t="inlineStr">
        <is>
          <t>SwimCloud</t>
        </is>
      </c>
      <c r="E663" s="33" t="inlineStr">
        <is>
          <t>375606</t>
        </is>
      </c>
      <c r="F663" s="33" t="inlineStr">
        <is>
          <t>123162034</t>
        </is>
      </c>
      <c r="G663" s="51" t="n">
        <v>43539</v>
      </c>
      <c r="H663" s="33" t="inlineStr">
        <is>
          <t>Edinburgh International Meet</t>
        </is>
      </c>
      <c r="I663" s="33" t="inlineStr">
        <is>
          <t>143997</t>
        </is>
      </c>
      <c r="J663" s="33" t="inlineStr"/>
      <c r="K663" s="33" t="inlineStr">
        <is>
          <t>FIN</t>
        </is>
      </c>
      <c r="L663" s="35">
        <f>IF(K663="FIN",3,IF(OR(K663="SEM",K663="SEMI"),2,IF(OR(K663="PRE",K663="HEAT"),1,IF(V663="YES",4,2))))</f>
        <v/>
      </c>
      <c r="M663" s="33" t="inlineStr">
        <is>
          <t>LCM</t>
        </is>
      </c>
      <c r="N663" s="33" t="n">
        <v>200</v>
      </c>
      <c r="O663" s="33" t="inlineStr">
        <is>
          <t>Free</t>
        </is>
      </c>
      <c r="P663" s="33" t="inlineStr">
        <is>
          <t>200 Free</t>
        </is>
      </c>
      <c r="Q663" s="33" t="inlineStr">
        <is>
          <t>LCM_200_FREE</t>
        </is>
      </c>
      <c r="R663" s="36" t="n">
        <v>108.13</v>
      </c>
      <c r="S663" s="35">
        <f>IF(R663="","",IF(R663&gt;=60,INT(R663/60)&amp;":"&amp;TEXT(MOD(R663,60),"00.00"),TEXT(R663,"0.00")))</f>
        <v/>
      </c>
      <c r="T663" s="52">
        <f>IFERROR((G663-INDEX('01_Swimmers'!$E$5:$E$22,MATCH(B663,'01_Swimmers'!$A$5:$A$22,0)))/'00_Control'!$B$10,"")</f>
        <v/>
      </c>
      <c r="U663" s="35">
        <f>IF(T663="","",INT(T663))</f>
        <v/>
      </c>
      <c r="V663" s="33" t="inlineStr">
        <is>
          <t>NO</t>
        </is>
      </c>
      <c r="W663" s="33" t="inlineStr">
        <is>
          <t>YES</t>
        </is>
      </c>
      <c r="X663" s="33" t="inlineStr">
        <is>
          <t>NO</t>
        </is>
      </c>
      <c r="Y663" s="33" t="n">
        <v>4</v>
      </c>
      <c r="Z663" s="33" t="n">
        <v>3</v>
      </c>
      <c r="AA663" s="33" t="inlineStr">
        <is>
          <t>2</t>
        </is>
      </c>
      <c r="AB663" s="33" t="inlineStr">
        <is>
          <t>https://www.swimcloud.com/results/143997/event/105/?id=123162034#time123162034</t>
        </is>
      </c>
      <c r="AC663" s="33" t="inlineStr">
        <is>
          <t>SwimCloud API v6 2026-10-08</t>
        </is>
      </c>
      <c r="AD663" s="33" t="inlineStr">
        <is>
          <t>Duncan Scott|2019-03-15|LCM|200|Free|108.13|Edinburgh International Meet|FIN|False</t>
        </is>
      </c>
      <c r="AE663" s="53">
        <f>G663+L663/1000+ROW()/1000000000</f>
        <v/>
      </c>
      <c r="AF663" s="35">
        <f>IF(C663&lt;&gt;"Grayson Coulter","",COUNTIFS($C$5:$C$2991,"Grayson Coulter",$Q$5:$Q$2991,Q663,$AE$5:$AE$2991,"&lt;="&amp;AE663,$R$5:$R$2991,"&lt;"&amp;R663))</f>
        <v/>
      </c>
      <c r="AG663" s="35">
        <f>IF(OR(C663&lt;&gt;"Grayson Coulter",G663&lt;'00_Control'!$B$7),"",--(AF663&lt;5))</f>
        <v/>
      </c>
      <c r="AH663" s="35">
        <f>IF(OR(C663&lt;&gt;"Grayson Coulter",G663&lt;'00_Control'!$B$7),"",--(AF663&lt;10))</f>
        <v/>
      </c>
      <c r="AI663" s="35">
        <f>IF(AND(C663="Grayson Coulter",G663&gt;='00_Control'!$B$7),"YES","NO")</f>
        <v/>
      </c>
      <c r="AJ663" s="33" t="inlineStr">
        <is>
          <t>OK</t>
        </is>
      </c>
    </row>
    <row r="664">
      <c r="A664" s="33" t="inlineStr">
        <is>
          <t>SM000660</t>
        </is>
      </c>
      <c r="B664" s="33" t="inlineStr">
        <is>
          <t>SW016</t>
        </is>
      </c>
      <c r="C664" s="33" t="inlineStr">
        <is>
          <t>Duncan Scott</t>
        </is>
      </c>
      <c r="D664" s="33" t="inlineStr">
        <is>
          <t>SwimCloud</t>
        </is>
      </c>
      <c r="E664" s="33" t="inlineStr">
        <is>
          <t>375606</t>
        </is>
      </c>
      <c r="F664" s="33" t="inlineStr">
        <is>
          <t>123162784</t>
        </is>
      </c>
      <c r="G664" s="51" t="n">
        <v>43541</v>
      </c>
      <c r="H664" s="33" t="inlineStr">
        <is>
          <t>Edinburgh International Meet</t>
        </is>
      </c>
      <c r="I664" s="33" t="inlineStr">
        <is>
          <t>143997</t>
        </is>
      </c>
      <c r="J664" s="33" t="inlineStr"/>
      <c r="K664" s="33" t="inlineStr">
        <is>
          <t>PRE</t>
        </is>
      </c>
      <c r="L664" s="35">
        <f>IF(K664="FIN",3,IF(OR(K664="SEM",K664="SEMI"),2,IF(OR(K664="PRE",K664="HEAT"),1,IF(V664="YES",4,2))))</f>
        <v/>
      </c>
      <c r="M664" s="33" t="inlineStr">
        <is>
          <t>LCM</t>
        </is>
      </c>
      <c r="N664" s="33" t="n">
        <v>100</v>
      </c>
      <c r="O664" s="33" t="inlineStr">
        <is>
          <t>Fly</t>
        </is>
      </c>
      <c r="P664" s="33" t="inlineStr">
        <is>
          <t>100 Fly</t>
        </is>
      </c>
      <c r="Q664" s="33" t="inlineStr">
        <is>
          <t>LCM_100_FLY</t>
        </is>
      </c>
      <c r="R664" s="36" t="n">
        <v>55</v>
      </c>
      <c r="S664" s="35">
        <f>IF(R664="","",IF(R664&gt;=60,INT(R664/60)&amp;":"&amp;TEXT(MOD(R664,60),"00.00"),TEXT(R664,"0.00")))</f>
        <v/>
      </c>
      <c r="T664" s="52">
        <f>IFERROR((G664-INDEX('01_Swimmers'!$E$5:$E$22,MATCH(B664,'01_Swimmers'!$A$5:$A$22,0)))/'00_Control'!$B$10,"")</f>
        <v/>
      </c>
      <c r="U664" s="35">
        <f>IF(T664="","",INT(T664))</f>
        <v/>
      </c>
      <c r="V664" s="33" t="inlineStr">
        <is>
          <t>NO</t>
        </is>
      </c>
      <c r="W664" s="33" t="inlineStr">
        <is>
          <t>YES</t>
        </is>
      </c>
      <c r="X664" s="33" t="inlineStr">
        <is>
          <t>NO</t>
        </is>
      </c>
      <c r="Y664" s="33" t="n">
        <v>3</v>
      </c>
      <c r="Z664" s="33" t="n">
        <v>5</v>
      </c>
      <c r="AA664" s="33" t="inlineStr">
        <is>
          <t>4</t>
        </is>
      </c>
      <c r="AB664" s="33" t="inlineStr">
        <is>
          <t>https://www.swimcloud.com/results/143997/event/310/?id=123162784#time123162784</t>
        </is>
      </c>
      <c r="AC664" s="33" t="inlineStr">
        <is>
          <t>SwimCloud API v6 2026-10-08</t>
        </is>
      </c>
      <c r="AD664" s="33" t="inlineStr">
        <is>
          <t>Duncan Scott|2019-03-17|LCM|100|Fly|55.0|Edinburgh International Meet|PRE|False</t>
        </is>
      </c>
      <c r="AE664" s="53">
        <f>G664+L664/1000+ROW()/1000000000</f>
        <v/>
      </c>
      <c r="AF664" s="35">
        <f>IF(C664&lt;&gt;"Grayson Coulter","",COUNTIFS($C$5:$C$2991,"Grayson Coulter",$Q$5:$Q$2991,Q664,$AE$5:$AE$2991,"&lt;="&amp;AE664,$R$5:$R$2991,"&lt;"&amp;R664))</f>
        <v/>
      </c>
      <c r="AG664" s="35">
        <f>IF(OR(C664&lt;&gt;"Grayson Coulter",G664&lt;'00_Control'!$B$7),"",--(AF664&lt;5))</f>
        <v/>
      </c>
      <c r="AH664" s="35">
        <f>IF(OR(C664&lt;&gt;"Grayson Coulter",G664&lt;'00_Control'!$B$7),"",--(AF664&lt;10))</f>
        <v/>
      </c>
      <c r="AI664" s="35">
        <f>IF(AND(C664="Grayson Coulter",G664&gt;='00_Control'!$B$7),"YES","NO")</f>
        <v/>
      </c>
      <c r="AJ664" s="33" t="inlineStr">
        <is>
          <t>OK</t>
        </is>
      </c>
    </row>
    <row r="665">
      <c r="A665" s="33" t="inlineStr">
        <is>
          <t>SM000661</t>
        </is>
      </c>
      <c r="B665" s="33" t="inlineStr">
        <is>
          <t>SW016</t>
        </is>
      </c>
      <c r="C665" s="33" t="inlineStr">
        <is>
          <t>Duncan Scott</t>
        </is>
      </c>
      <c r="D665" s="33" t="inlineStr">
        <is>
          <t>SwimCloud</t>
        </is>
      </c>
      <c r="E665" s="33" t="inlineStr">
        <is>
          <t>375606</t>
        </is>
      </c>
      <c r="F665" s="33" t="inlineStr">
        <is>
          <t>123162785</t>
        </is>
      </c>
      <c r="G665" s="51" t="n">
        <v>43541</v>
      </c>
      <c r="H665" s="33" t="inlineStr">
        <is>
          <t>Edinburgh International Meet</t>
        </is>
      </c>
      <c r="I665" s="33" t="inlineStr">
        <is>
          <t>143997</t>
        </is>
      </c>
      <c r="J665" s="33" t="inlineStr"/>
      <c r="K665" s="33" t="inlineStr">
        <is>
          <t>FIN</t>
        </is>
      </c>
      <c r="L665" s="35">
        <f>IF(K665="FIN",3,IF(OR(K665="SEM",K665="SEMI"),2,IF(OR(K665="PRE",K665="HEAT"),1,IF(V665="YES",4,2))))</f>
        <v/>
      </c>
      <c r="M665" s="33" t="inlineStr">
        <is>
          <t>LCM</t>
        </is>
      </c>
      <c r="N665" s="33" t="n">
        <v>100</v>
      </c>
      <c r="O665" s="33" t="inlineStr">
        <is>
          <t>Fly</t>
        </is>
      </c>
      <c r="P665" s="33" t="inlineStr">
        <is>
          <t>100 Fly</t>
        </is>
      </c>
      <c r="Q665" s="33" t="inlineStr">
        <is>
          <t>LCM_100_FLY</t>
        </is>
      </c>
      <c r="R665" s="36" t="n">
        <v>53.78</v>
      </c>
      <c r="S665" s="35">
        <f>IF(R665="","",IF(R665&gt;=60,INT(R665/60)&amp;":"&amp;TEXT(MOD(R665,60),"00.00"),TEXT(R665,"0.00")))</f>
        <v/>
      </c>
      <c r="T665" s="52">
        <f>IFERROR((G665-INDEX('01_Swimmers'!$E$5:$E$22,MATCH(B665,'01_Swimmers'!$A$5:$A$22,0)))/'00_Control'!$B$10,"")</f>
        <v/>
      </c>
      <c r="U665" s="35">
        <f>IF(T665="","",INT(T665))</f>
        <v/>
      </c>
      <c r="V665" s="33" t="inlineStr">
        <is>
          <t>NO</t>
        </is>
      </c>
      <c r="W665" s="33" t="inlineStr">
        <is>
          <t>YES</t>
        </is>
      </c>
      <c r="X665" s="33" t="inlineStr">
        <is>
          <t>NO</t>
        </is>
      </c>
      <c r="Y665" s="33" t="n">
        <v>3</v>
      </c>
      <c r="Z665" s="33" t="n">
        <v>3</v>
      </c>
      <c r="AA665" s="33" t="inlineStr">
        <is>
          <t>1</t>
        </is>
      </c>
      <c r="AB665" s="33" t="inlineStr">
        <is>
          <t>https://www.swimcloud.com/results/143997/event/310/?id=123162785#time123162785</t>
        </is>
      </c>
      <c r="AC665" s="33" t="inlineStr">
        <is>
          <t>SwimCloud API v6 2026-10-08</t>
        </is>
      </c>
      <c r="AD665" s="33" t="inlineStr">
        <is>
          <t>Duncan Scott|2019-03-17|LCM|100|Fly|53.78|Edinburgh International Meet|FIN|False</t>
        </is>
      </c>
      <c r="AE665" s="53">
        <f>G665+L665/1000+ROW()/1000000000</f>
        <v/>
      </c>
      <c r="AF665" s="35">
        <f>IF(C665&lt;&gt;"Grayson Coulter","",COUNTIFS($C$5:$C$2991,"Grayson Coulter",$Q$5:$Q$2991,Q665,$AE$5:$AE$2991,"&lt;="&amp;AE665,$R$5:$R$2991,"&lt;"&amp;R665))</f>
        <v/>
      </c>
      <c r="AG665" s="35">
        <f>IF(OR(C665&lt;&gt;"Grayson Coulter",G665&lt;'00_Control'!$B$7),"",--(AF665&lt;5))</f>
        <v/>
      </c>
      <c r="AH665" s="35">
        <f>IF(OR(C665&lt;&gt;"Grayson Coulter",G665&lt;'00_Control'!$B$7),"",--(AF665&lt;10))</f>
        <v/>
      </c>
      <c r="AI665" s="35">
        <f>IF(AND(C665="Grayson Coulter",G665&gt;='00_Control'!$B$7),"YES","NO")</f>
        <v/>
      </c>
      <c r="AJ665" s="33" t="inlineStr">
        <is>
          <t>OK</t>
        </is>
      </c>
    </row>
    <row r="666">
      <c r="A666" s="33" t="inlineStr">
        <is>
          <t>SM000662</t>
        </is>
      </c>
      <c r="B666" s="33" t="inlineStr">
        <is>
          <t>SW016</t>
        </is>
      </c>
      <c r="C666" s="33" t="inlineStr">
        <is>
          <t>Duncan Scott</t>
        </is>
      </c>
      <c r="D666" s="33" t="inlineStr">
        <is>
          <t>SwimCloud</t>
        </is>
      </c>
      <c r="E666" s="33" t="inlineStr">
        <is>
          <t>375606</t>
        </is>
      </c>
      <c r="F666" s="33" t="inlineStr">
        <is>
          <t>123163665</t>
        </is>
      </c>
      <c r="G666" s="51" t="n">
        <v>43541</v>
      </c>
      <c r="H666" s="33" t="inlineStr">
        <is>
          <t>Edinburgh International Meet</t>
        </is>
      </c>
      <c r="I666" s="33" t="inlineStr">
        <is>
          <t>143997</t>
        </is>
      </c>
      <c r="J666" s="33" t="inlineStr"/>
      <c r="K666" s="33" t="inlineStr">
        <is>
          <t>PRE</t>
        </is>
      </c>
      <c r="L666" s="35">
        <f>IF(K666="FIN",3,IF(OR(K666="SEM",K666="SEMI"),2,IF(OR(K666="PRE",K666="HEAT"),1,IF(V666="YES",4,2))))</f>
        <v/>
      </c>
      <c r="M666" s="33" t="inlineStr">
        <is>
          <t>LCM</t>
        </is>
      </c>
      <c r="N666" s="33" t="n">
        <v>100</v>
      </c>
      <c r="O666" s="33" t="inlineStr">
        <is>
          <t>Free</t>
        </is>
      </c>
      <c r="P666" s="33" t="inlineStr">
        <is>
          <t>100 Free</t>
        </is>
      </c>
      <c r="Q666" s="33" t="inlineStr">
        <is>
          <t>LCM_100_FREE</t>
        </is>
      </c>
      <c r="R666" s="36" t="n">
        <v>50.15</v>
      </c>
      <c r="S666" s="35">
        <f>IF(R666="","",IF(R666&gt;=60,INT(R666/60)&amp;":"&amp;TEXT(MOD(R666,60),"00.00"),TEXT(R666,"0.00")))</f>
        <v/>
      </c>
      <c r="T666" s="52">
        <f>IFERROR((G666-INDEX('01_Swimmers'!$E$5:$E$22,MATCH(B666,'01_Swimmers'!$A$5:$A$22,0)))/'00_Control'!$B$10,"")</f>
        <v/>
      </c>
      <c r="U666" s="35">
        <f>IF(T666="","",INT(T666))</f>
        <v/>
      </c>
      <c r="V666" s="33" t="inlineStr">
        <is>
          <t>NO</t>
        </is>
      </c>
      <c r="W666" s="33" t="inlineStr">
        <is>
          <t>YES</t>
        </is>
      </c>
      <c r="X666" s="33" t="inlineStr">
        <is>
          <t>NO</t>
        </is>
      </c>
      <c r="Y666" s="33" t="n">
        <v>6</v>
      </c>
      <c r="Z666" s="33" t="n">
        <v>4</v>
      </c>
      <c r="AA666" s="33" t="inlineStr">
        <is>
          <t>1</t>
        </is>
      </c>
      <c r="AB666" s="33" t="inlineStr">
        <is>
          <t>https://www.swimcloud.com/results/143997/event/306/?id=123163665#time123163665</t>
        </is>
      </c>
      <c r="AC666" s="33" t="inlineStr">
        <is>
          <t>SwimCloud API v6 2026-10-08</t>
        </is>
      </c>
      <c r="AD666" s="33" t="inlineStr">
        <is>
          <t>Duncan Scott|2019-03-17|LCM|100|Free|50.15|Edinburgh International Meet|PRE|False</t>
        </is>
      </c>
      <c r="AE666" s="53">
        <f>G666+L666/1000+ROW()/1000000000</f>
        <v/>
      </c>
      <c r="AF666" s="35">
        <f>IF(C666&lt;&gt;"Grayson Coulter","",COUNTIFS($C$5:$C$2991,"Grayson Coulter",$Q$5:$Q$2991,Q666,$AE$5:$AE$2991,"&lt;="&amp;AE666,$R$5:$R$2991,"&lt;"&amp;R666))</f>
        <v/>
      </c>
      <c r="AG666" s="35">
        <f>IF(OR(C666&lt;&gt;"Grayson Coulter",G666&lt;'00_Control'!$B$7),"",--(AF666&lt;5))</f>
        <v/>
      </c>
      <c r="AH666" s="35">
        <f>IF(OR(C666&lt;&gt;"Grayson Coulter",G666&lt;'00_Control'!$B$7),"",--(AF666&lt;10))</f>
        <v/>
      </c>
      <c r="AI666" s="35">
        <f>IF(AND(C666="Grayson Coulter",G666&gt;='00_Control'!$B$7),"YES","NO")</f>
        <v/>
      </c>
      <c r="AJ666" s="33" t="inlineStr">
        <is>
          <t>OK</t>
        </is>
      </c>
    </row>
    <row r="667">
      <c r="A667" s="33" t="inlineStr">
        <is>
          <t>SM000663</t>
        </is>
      </c>
      <c r="B667" s="33" t="inlineStr">
        <is>
          <t>SW016</t>
        </is>
      </c>
      <c r="C667" s="33" t="inlineStr">
        <is>
          <t>Duncan Scott</t>
        </is>
      </c>
      <c r="D667" s="33" t="inlineStr">
        <is>
          <t>SwimCloud</t>
        </is>
      </c>
      <c r="E667" s="33" t="inlineStr">
        <is>
          <t>375606</t>
        </is>
      </c>
      <c r="F667" s="33" t="inlineStr">
        <is>
          <t>123163666</t>
        </is>
      </c>
      <c r="G667" s="51" t="n">
        <v>43541</v>
      </c>
      <c r="H667" s="33" t="inlineStr">
        <is>
          <t>Edinburgh International Meet</t>
        </is>
      </c>
      <c r="I667" s="33" t="inlineStr">
        <is>
          <t>143997</t>
        </is>
      </c>
      <c r="J667" s="33" t="inlineStr"/>
      <c r="K667" s="33" t="inlineStr">
        <is>
          <t>FIN</t>
        </is>
      </c>
      <c r="L667" s="35">
        <f>IF(K667="FIN",3,IF(OR(K667="SEM",K667="SEMI"),2,IF(OR(K667="PRE",K667="HEAT"),1,IF(V667="YES",4,2))))</f>
        <v/>
      </c>
      <c r="M667" s="33" t="inlineStr">
        <is>
          <t>LCM</t>
        </is>
      </c>
      <c r="N667" s="33" t="n">
        <v>100</v>
      </c>
      <c r="O667" s="33" t="inlineStr">
        <is>
          <t>Free</t>
        </is>
      </c>
      <c r="P667" s="33" t="inlineStr">
        <is>
          <t>100 Free</t>
        </is>
      </c>
      <c r="Q667" s="33" t="inlineStr">
        <is>
          <t>LCM_100_FREE</t>
        </is>
      </c>
      <c r="R667" s="36" t="n">
        <v>49.11</v>
      </c>
      <c r="S667" s="35">
        <f>IF(R667="","",IF(R667&gt;=60,INT(R667/60)&amp;":"&amp;TEXT(MOD(R667,60),"00.00"),TEXT(R667,"0.00")))</f>
        <v/>
      </c>
      <c r="T667" s="52">
        <f>IFERROR((G667-INDEX('01_Swimmers'!$E$5:$E$22,MATCH(B667,'01_Swimmers'!$A$5:$A$22,0)))/'00_Control'!$B$10,"")</f>
        <v/>
      </c>
      <c r="U667" s="35">
        <f>IF(T667="","",INT(T667))</f>
        <v/>
      </c>
      <c r="V667" s="33" t="inlineStr">
        <is>
          <t>NO</t>
        </is>
      </c>
      <c r="W667" s="33" t="inlineStr">
        <is>
          <t>YES</t>
        </is>
      </c>
      <c r="X667" s="33" t="inlineStr">
        <is>
          <t>NO</t>
        </is>
      </c>
      <c r="Y667" s="33" t="n">
        <v>3</v>
      </c>
      <c r="Z667" s="33" t="n">
        <v>4</v>
      </c>
      <c r="AA667" s="33" t="inlineStr">
        <is>
          <t>1</t>
        </is>
      </c>
      <c r="AB667" s="33" t="inlineStr">
        <is>
          <t>https://www.swimcloud.com/results/143997/event/306/?id=123163666#time123163666</t>
        </is>
      </c>
      <c r="AC667" s="33" t="inlineStr">
        <is>
          <t>SwimCloud API v6 2026-10-08</t>
        </is>
      </c>
      <c r="AD667" s="33" t="inlineStr">
        <is>
          <t>Duncan Scott|2019-03-17|LCM|100|Free|49.11|Edinburgh International Meet|FIN|False</t>
        </is>
      </c>
      <c r="AE667" s="53">
        <f>G667+L667/1000+ROW()/1000000000</f>
        <v/>
      </c>
      <c r="AF667" s="35">
        <f>IF(C667&lt;&gt;"Grayson Coulter","",COUNTIFS($C$5:$C$2991,"Grayson Coulter",$Q$5:$Q$2991,Q667,$AE$5:$AE$2991,"&lt;="&amp;AE667,$R$5:$R$2991,"&lt;"&amp;R667))</f>
        <v/>
      </c>
      <c r="AG667" s="35">
        <f>IF(OR(C667&lt;&gt;"Grayson Coulter",G667&lt;'00_Control'!$B$7),"",--(AF667&lt;5))</f>
        <v/>
      </c>
      <c r="AH667" s="35">
        <f>IF(OR(C667&lt;&gt;"Grayson Coulter",G667&lt;'00_Control'!$B$7),"",--(AF667&lt;10))</f>
        <v/>
      </c>
      <c r="AI667" s="35">
        <f>IF(AND(C667="Grayson Coulter",G667&gt;='00_Control'!$B$7),"YES","NO")</f>
        <v/>
      </c>
      <c r="AJ667" s="33" t="inlineStr">
        <is>
          <t>OK</t>
        </is>
      </c>
    </row>
    <row r="668">
      <c r="A668" s="33" t="inlineStr">
        <is>
          <t>SM000664</t>
        </is>
      </c>
      <c r="B668" s="33" t="inlineStr">
        <is>
          <t>SW016</t>
        </is>
      </c>
      <c r="C668" s="33" t="inlineStr">
        <is>
          <t>Duncan Scott</t>
        </is>
      </c>
      <c r="D668" s="33" t="inlineStr">
        <is>
          <t>SwimCloud</t>
        </is>
      </c>
      <c r="E668" s="33" t="inlineStr">
        <is>
          <t>375606</t>
        </is>
      </c>
      <c r="F668" s="33" t="inlineStr">
        <is>
          <t>28190943</t>
        </is>
      </c>
      <c r="G668" s="51" t="n">
        <v>43667</v>
      </c>
      <c r="H668" s="33" t="inlineStr">
        <is>
          <t>18th FINA World Championships</t>
        </is>
      </c>
      <c r="I668" s="33" t="inlineStr">
        <is>
          <t>149555</t>
        </is>
      </c>
      <c r="J668" s="33" t="inlineStr"/>
      <c r="K668" s="33" t="inlineStr">
        <is>
          <t>PRE</t>
        </is>
      </c>
      <c r="L668" s="35">
        <f>IF(K668="FIN",3,IF(OR(K668="SEM",K668="SEMI"),2,IF(OR(K668="PRE",K668="HEAT"),1,IF(V668="YES",4,2))))</f>
        <v/>
      </c>
      <c r="M668" s="33" t="inlineStr">
        <is>
          <t>LCM</t>
        </is>
      </c>
      <c r="N668" s="33" t="n">
        <v>100</v>
      </c>
      <c r="O668" s="33" t="inlineStr">
        <is>
          <t>Free</t>
        </is>
      </c>
      <c r="P668" s="33" t="inlineStr">
        <is>
          <t>100 Free</t>
        </is>
      </c>
      <c r="Q668" s="33" t="inlineStr">
        <is>
          <t>LCM_100_FREE</t>
        </is>
      </c>
      <c r="R668" s="36" t="n">
        <v>48.18</v>
      </c>
      <c r="S668" s="35">
        <f>IF(R668="","",IF(R668&gt;=60,INT(R668/60)&amp;":"&amp;TEXT(MOD(R668,60),"00.00"),TEXT(R668,"0.00")))</f>
        <v/>
      </c>
      <c r="T668" s="52">
        <f>IFERROR((G668-INDEX('01_Swimmers'!$E$5:$E$22,MATCH(B668,'01_Swimmers'!$A$5:$A$22,0)))/'00_Control'!$B$10,"")</f>
        <v/>
      </c>
      <c r="U668" s="35">
        <f>IF(T668="","",INT(T668))</f>
        <v/>
      </c>
      <c r="V668" s="33" t="inlineStr">
        <is>
          <t>YES</t>
        </is>
      </c>
      <c r="W668" s="33" t="inlineStr">
        <is>
          <t>YES</t>
        </is>
      </c>
      <c r="X668" s="33" t="inlineStr">
        <is>
          <t>NO</t>
        </is>
      </c>
      <c r="Y668" s="33" t="n">
        <v>2</v>
      </c>
      <c r="Z668" s="33" t="n">
        <v>1</v>
      </c>
      <c r="AA668" s="33" t="inlineStr"/>
      <c r="AB668" s="33" t="inlineStr">
        <is>
          <t>https://www.swimcloud.com/results/149555/event/8/?id=28188677#time28188677</t>
        </is>
      </c>
      <c r="AC668" s="33" t="inlineStr">
        <is>
          <t>SwimCloud API v6 2026-10-08</t>
        </is>
      </c>
      <c r="AD668" s="33" t="inlineStr">
        <is>
          <t>Duncan Scott|2019-07-21|LCM|100|Free|48.18|18th FINA World Championships|PRE|True</t>
        </is>
      </c>
      <c r="AE668" s="53">
        <f>G668+L668/1000+ROW()/1000000000</f>
        <v/>
      </c>
      <c r="AF668" s="35">
        <f>IF(C668&lt;&gt;"Grayson Coulter","",COUNTIFS($C$5:$C$2991,"Grayson Coulter",$Q$5:$Q$2991,Q668,$AE$5:$AE$2991,"&lt;="&amp;AE668,$R$5:$R$2991,"&lt;"&amp;R668))</f>
        <v/>
      </c>
      <c r="AG668" s="35">
        <f>IF(OR(C668&lt;&gt;"Grayson Coulter",G668&lt;'00_Control'!$B$7),"",--(AF668&lt;5))</f>
        <v/>
      </c>
      <c r="AH668" s="35">
        <f>IF(OR(C668&lt;&gt;"Grayson Coulter",G668&lt;'00_Control'!$B$7),"",--(AF668&lt;10))</f>
        <v/>
      </c>
      <c r="AI668" s="35">
        <f>IF(AND(C668="Grayson Coulter",G668&gt;='00_Control'!$B$7),"YES","NO")</f>
        <v/>
      </c>
      <c r="AJ668" s="33" t="inlineStr">
        <is>
          <t>OK</t>
        </is>
      </c>
    </row>
    <row r="669">
      <c r="A669" s="33" t="inlineStr">
        <is>
          <t>SM000665</t>
        </is>
      </c>
      <c r="B669" s="33" t="inlineStr">
        <is>
          <t>SW016</t>
        </is>
      </c>
      <c r="C669" s="33" t="inlineStr">
        <is>
          <t>Duncan Scott</t>
        </is>
      </c>
      <c r="D669" s="33" t="inlineStr">
        <is>
          <t>SwimCloud</t>
        </is>
      </c>
      <c r="E669" s="33" t="inlineStr">
        <is>
          <t>375606</t>
        </is>
      </c>
      <c r="F669" s="33" t="inlineStr">
        <is>
          <t>28190939</t>
        </is>
      </c>
      <c r="G669" s="51" t="n">
        <v>43667</v>
      </c>
      <c r="H669" s="33" t="inlineStr">
        <is>
          <t>18th FINA World Championships</t>
        </is>
      </c>
      <c r="I669" s="33" t="inlineStr">
        <is>
          <t>149555</t>
        </is>
      </c>
      <c r="J669" s="33" t="inlineStr"/>
      <c r="K669" s="33" t="inlineStr">
        <is>
          <t>FIN</t>
        </is>
      </c>
      <c r="L669" s="35">
        <f>IF(K669="FIN",3,IF(OR(K669="SEM",K669="SEMI"),2,IF(OR(K669="PRE",K669="HEAT"),1,IF(V669="YES",4,2))))</f>
        <v/>
      </c>
      <c r="M669" s="33" t="inlineStr">
        <is>
          <t>LCM</t>
        </is>
      </c>
      <c r="N669" s="33" t="n">
        <v>100</v>
      </c>
      <c r="O669" s="33" t="inlineStr">
        <is>
          <t>Free</t>
        </is>
      </c>
      <c r="P669" s="33" t="inlineStr">
        <is>
          <t>100 Free</t>
        </is>
      </c>
      <c r="Q669" s="33" t="inlineStr">
        <is>
          <t>LCM_100_FREE</t>
        </is>
      </c>
      <c r="R669" s="36" t="n">
        <v>47.97</v>
      </c>
      <c r="S669" s="35">
        <f>IF(R669="","",IF(R669&gt;=60,INT(R669/60)&amp;":"&amp;TEXT(MOD(R669,60),"00.00"),TEXT(R669,"0.00")))</f>
        <v/>
      </c>
      <c r="T669" s="52">
        <f>IFERROR((G669-INDEX('01_Swimmers'!$E$5:$E$22,MATCH(B669,'01_Swimmers'!$A$5:$A$22,0)))/'00_Control'!$B$10,"")</f>
        <v/>
      </c>
      <c r="U669" s="35">
        <f>IF(T669="","",INT(T669))</f>
        <v/>
      </c>
      <c r="V669" s="33" t="inlineStr">
        <is>
          <t>YES</t>
        </is>
      </c>
      <c r="W669" s="33" t="inlineStr">
        <is>
          <t>YES</t>
        </is>
      </c>
      <c r="X669" s="33" t="inlineStr">
        <is>
          <t>NO</t>
        </is>
      </c>
      <c r="Y669" s="33" t="n">
        <v>1</v>
      </c>
      <c r="Z669" s="33" t="n">
        <v>5</v>
      </c>
      <c r="AA669" s="33" t="inlineStr"/>
      <c r="AB669" s="33" t="inlineStr">
        <is>
          <t>https://www.swimcloud.com/results/149555/event/8/?id=28188676#time28188676</t>
        </is>
      </c>
      <c r="AC669" s="33" t="inlineStr">
        <is>
          <t>SwimCloud API v6 2026-10-08</t>
        </is>
      </c>
      <c r="AD669" s="33" t="inlineStr">
        <is>
          <t>Duncan Scott|2019-07-21|LCM|100|Free|47.97|18th FINA World Championships|FIN|True</t>
        </is>
      </c>
      <c r="AE669" s="53">
        <f>G669+L669/1000+ROW()/1000000000</f>
        <v/>
      </c>
      <c r="AF669" s="35">
        <f>IF(C669&lt;&gt;"Grayson Coulter","",COUNTIFS($C$5:$C$2991,"Grayson Coulter",$Q$5:$Q$2991,Q669,$AE$5:$AE$2991,"&lt;="&amp;AE669,$R$5:$R$2991,"&lt;"&amp;R669))</f>
        <v/>
      </c>
      <c r="AG669" s="35">
        <f>IF(OR(C669&lt;&gt;"Grayson Coulter",G669&lt;'00_Control'!$B$7),"",--(AF669&lt;5))</f>
        <v/>
      </c>
      <c r="AH669" s="35">
        <f>IF(OR(C669&lt;&gt;"Grayson Coulter",G669&lt;'00_Control'!$B$7),"",--(AF669&lt;10))</f>
        <v/>
      </c>
      <c r="AI669" s="35">
        <f>IF(AND(C669="Grayson Coulter",G669&gt;='00_Control'!$B$7),"YES","NO")</f>
        <v/>
      </c>
      <c r="AJ669" s="33" t="inlineStr">
        <is>
          <t>OK</t>
        </is>
      </c>
    </row>
    <row r="670">
      <c r="A670" s="33" t="inlineStr">
        <is>
          <t>SM000666</t>
        </is>
      </c>
      <c r="B670" s="33" t="inlineStr">
        <is>
          <t>SW016</t>
        </is>
      </c>
      <c r="C670" s="33" t="inlineStr">
        <is>
          <t>Duncan Scott</t>
        </is>
      </c>
      <c r="D670" s="33" t="inlineStr">
        <is>
          <t>SwimCloud</t>
        </is>
      </c>
      <c r="E670" s="33" t="inlineStr">
        <is>
          <t>375606</t>
        </is>
      </c>
      <c r="F670" s="33" t="inlineStr">
        <is>
          <t>28188618</t>
        </is>
      </c>
      <c r="G670" s="51" t="n">
        <v>43668</v>
      </c>
      <c r="H670" s="33" t="inlineStr">
        <is>
          <t>18th FINA World Championships</t>
        </is>
      </c>
      <c r="I670" s="33" t="inlineStr">
        <is>
          <t>149555</t>
        </is>
      </c>
      <c r="J670" s="33" t="inlineStr"/>
      <c r="K670" s="33" t="inlineStr">
        <is>
          <t>PRE</t>
        </is>
      </c>
      <c r="L670" s="35">
        <f>IF(K670="FIN",3,IF(OR(K670="SEM",K670="SEMI"),2,IF(OR(K670="PRE",K670="HEAT"),1,IF(V670="YES",4,2))))</f>
        <v/>
      </c>
      <c r="M670" s="33" t="inlineStr">
        <is>
          <t>LCM</t>
        </is>
      </c>
      <c r="N670" s="33" t="n">
        <v>200</v>
      </c>
      <c r="O670" s="33" t="inlineStr">
        <is>
          <t>Free</t>
        </is>
      </c>
      <c r="P670" s="33" t="inlineStr">
        <is>
          <t>200 Free</t>
        </is>
      </c>
      <c r="Q670" s="33" t="inlineStr">
        <is>
          <t>LCM_200_FREE</t>
        </is>
      </c>
      <c r="R670" s="36" t="n">
        <v>106.45</v>
      </c>
      <c r="S670" s="35">
        <f>IF(R670="","",IF(R670&gt;=60,INT(R670/60)&amp;":"&amp;TEXT(MOD(R670,60),"00.00"),TEXT(R670,"0.00")))</f>
        <v/>
      </c>
      <c r="T670" s="52">
        <f>IFERROR((G670-INDEX('01_Swimmers'!$E$5:$E$22,MATCH(B670,'01_Swimmers'!$A$5:$A$22,0)))/'00_Control'!$B$10,"")</f>
        <v/>
      </c>
      <c r="U670" s="35">
        <f>IF(T670="","",INT(T670))</f>
        <v/>
      </c>
      <c r="V670" s="33" t="inlineStr">
        <is>
          <t>NO</t>
        </is>
      </c>
      <c r="W670" s="33" t="inlineStr">
        <is>
          <t>YES</t>
        </is>
      </c>
      <c r="X670" s="33" t="inlineStr">
        <is>
          <t>NO</t>
        </is>
      </c>
      <c r="Y670" s="33" t="n">
        <v>6</v>
      </c>
      <c r="Z670" s="33" t="n">
        <v>4</v>
      </c>
      <c r="AA670" s="33" t="inlineStr">
        <is>
          <t>5</t>
        </is>
      </c>
      <c r="AB670" s="33" t="inlineStr">
        <is>
          <t>https://www.swimcloud.com/results/149555/event/12/?id=28188618#time28188618</t>
        </is>
      </c>
      <c r="AC670" s="33" t="inlineStr">
        <is>
          <t>SwimCloud API v6 2026-10-08</t>
        </is>
      </c>
      <c r="AD670" s="33" t="inlineStr">
        <is>
          <t>Duncan Scott|2019-07-22|LCM|200|Free|106.45|18th FINA World Championships|PRE|False</t>
        </is>
      </c>
      <c r="AE670" s="53">
        <f>G670+L670/1000+ROW()/1000000000</f>
        <v/>
      </c>
      <c r="AF670" s="35">
        <f>IF(C670&lt;&gt;"Grayson Coulter","",COUNTIFS($C$5:$C$2991,"Grayson Coulter",$Q$5:$Q$2991,Q670,$AE$5:$AE$2991,"&lt;="&amp;AE670,$R$5:$R$2991,"&lt;"&amp;R670))</f>
        <v/>
      </c>
      <c r="AG670" s="35">
        <f>IF(OR(C670&lt;&gt;"Grayson Coulter",G670&lt;'00_Control'!$B$7),"",--(AF670&lt;5))</f>
        <v/>
      </c>
      <c r="AH670" s="35">
        <f>IF(OR(C670&lt;&gt;"Grayson Coulter",G670&lt;'00_Control'!$B$7),"",--(AF670&lt;10))</f>
        <v/>
      </c>
      <c r="AI670" s="35">
        <f>IF(AND(C670="Grayson Coulter",G670&gt;='00_Control'!$B$7),"YES","NO")</f>
        <v/>
      </c>
      <c r="AJ670" s="33" t="inlineStr">
        <is>
          <t>OK</t>
        </is>
      </c>
    </row>
    <row r="671">
      <c r="A671" s="33" t="inlineStr">
        <is>
          <t>SM000667</t>
        </is>
      </c>
      <c r="B671" s="33" t="inlineStr">
        <is>
          <t>SW016</t>
        </is>
      </c>
      <c r="C671" s="33" t="inlineStr">
        <is>
          <t>Duncan Scott</t>
        </is>
      </c>
      <c r="D671" s="33" t="inlineStr">
        <is>
          <t>SwimCloud</t>
        </is>
      </c>
      <c r="E671" s="33" t="inlineStr">
        <is>
          <t>375606</t>
        </is>
      </c>
      <c r="F671" s="33" t="inlineStr">
        <is>
          <t>28188619</t>
        </is>
      </c>
      <c r="G671" s="51" t="n">
        <v>43668</v>
      </c>
      <c r="H671" s="33" t="inlineStr">
        <is>
          <t>18th FINA World Championships</t>
        </is>
      </c>
      <c r="I671" s="33" t="inlineStr">
        <is>
          <t>149555</t>
        </is>
      </c>
      <c r="J671" s="33" t="inlineStr"/>
      <c r="K671" s="33" t="inlineStr">
        <is>
          <t>SEM</t>
        </is>
      </c>
      <c r="L671" s="35">
        <f>IF(K671="FIN",3,IF(OR(K671="SEM",K671="SEMI"),2,IF(OR(K671="PRE",K671="HEAT"),1,IF(V671="YES",4,2))))</f>
        <v/>
      </c>
      <c r="M671" s="33" t="inlineStr">
        <is>
          <t>LCM</t>
        </is>
      </c>
      <c r="N671" s="33" t="n">
        <v>200</v>
      </c>
      <c r="O671" s="33" t="inlineStr">
        <is>
          <t>Free</t>
        </is>
      </c>
      <c r="P671" s="33" t="inlineStr">
        <is>
          <t>200 Free</t>
        </is>
      </c>
      <c r="Q671" s="33" t="inlineStr">
        <is>
          <t>LCM_200_FREE</t>
        </is>
      </c>
      <c r="R671" s="36" t="n">
        <v>105.56</v>
      </c>
      <c r="S671" s="35">
        <f>IF(R671="","",IF(R671&gt;=60,INT(R671/60)&amp;":"&amp;TEXT(MOD(R671,60),"00.00"),TEXT(R671,"0.00")))</f>
        <v/>
      </c>
      <c r="T671" s="52">
        <f>IFERROR((G671-INDEX('01_Swimmers'!$E$5:$E$22,MATCH(B671,'01_Swimmers'!$A$5:$A$22,0)))/'00_Control'!$B$10,"")</f>
        <v/>
      </c>
      <c r="U671" s="35">
        <f>IF(T671="","",INT(T671))</f>
        <v/>
      </c>
      <c r="V671" s="33" t="inlineStr">
        <is>
          <t>NO</t>
        </is>
      </c>
      <c r="W671" s="33" t="inlineStr">
        <is>
          <t>YES</t>
        </is>
      </c>
      <c r="X671" s="33" t="inlineStr">
        <is>
          <t>NO</t>
        </is>
      </c>
      <c r="Y671" s="33" t="n">
        <v>2</v>
      </c>
      <c r="Z671" s="33" t="n">
        <v>3</v>
      </c>
      <c r="AA671" s="33" t="inlineStr">
        <is>
          <t>4</t>
        </is>
      </c>
      <c r="AB671" s="33" t="inlineStr">
        <is>
          <t>https://www.swimcloud.com/results/149555/event/12/?id=28188619#time28188619</t>
        </is>
      </c>
      <c r="AC671" s="33" t="inlineStr">
        <is>
          <t>SwimCloud API v6 2026-10-08</t>
        </is>
      </c>
      <c r="AD671" s="33" t="inlineStr">
        <is>
          <t>Duncan Scott|2019-07-22|LCM|200|Free|105.56|18th FINA World Championships|SEM|False</t>
        </is>
      </c>
      <c r="AE671" s="53">
        <f>G671+L671/1000+ROW()/1000000000</f>
        <v/>
      </c>
      <c r="AF671" s="35">
        <f>IF(C671&lt;&gt;"Grayson Coulter","",COUNTIFS($C$5:$C$2991,"Grayson Coulter",$Q$5:$Q$2991,Q671,$AE$5:$AE$2991,"&lt;="&amp;AE671,$R$5:$R$2991,"&lt;"&amp;R671))</f>
        <v/>
      </c>
      <c r="AG671" s="35">
        <f>IF(OR(C671&lt;&gt;"Grayson Coulter",G671&lt;'00_Control'!$B$7),"",--(AF671&lt;5))</f>
        <v/>
      </c>
      <c r="AH671" s="35">
        <f>IF(OR(C671&lt;&gt;"Grayson Coulter",G671&lt;'00_Control'!$B$7),"",--(AF671&lt;10))</f>
        <v/>
      </c>
      <c r="AI671" s="35">
        <f>IF(AND(C671="Grayson Coulter",G671&gt;='00_Control'!$B$7),"YES","NO")</f>
        <v/>
      </c>
      <c r="AJ671" s="33" t="inlineStr">
        <is>
          <t>OK</t>
        </is>
      </c>
    </row>
    <row r="672">
      <c r="A672" s="33" t="inlineStr">
        <is>
          <t>SM000668</t>
        </is>
      </c>
      <c r="B672" s="33" t="inlineStr">
        <is>
          <t>SW016</t>
        </is>
      </c>
      <c r="C672" s="33" t="inlineStr">
        <is>
          <t>Duncan Scott</t>
        </is>
      </c>
      <c r="D672" s="33" t="inlineStr">
        <is>
          <t>SwimCloud</t>
        </is>
      </c>
      <c r="E672" s="33" t="inlineStr">
        <is>
          <t>375606</t>
        </is>
      </c>
      <c r="F672" s="33" t="inlineStr">
        <is>
          <t>28188617</t>
        </is>
      </c>
      <c r="G672" s="51" t="n">
        <v>43669</v>
      </c>
      <c r="H672" s="33" t="inlineStr">
        <is>
          <t>18th FINA World Championships</t>
        </is>
      </c>
      <c r="I672" s="33" t="inlineStr">
        <is>
          <t>149555</t>
        </is>
      </c>
      <c r="J672" s="33" t="inlineStr"/>
      <c r="K672" s="33" t="inlineStr">
        <is>
          <t>FIN</t>
        </is>
      </c>
      <c r="L672" s="35">
        <f>IF(K672="FIN",3,IF(OR(K672="SEM",K672="SEMI"),2,IF(OR(K672="PRE",K672="HEAT"),1,IF(V672="YES",4,2))))</f>
        <v/>
      </c>
      <c r="M672" s="33" t="inlineStr">
        <is>
          <t>LCM</t>
        </is>
      </c>
      <c r="N672" s="33" t="n">
        <v>200</v>
      </c>
      <c r="O672" s="33" t="inlineStr">
        <is>
          <t>Free</t>
        </is>
      </c>
      <c r="P672" s="33" t="inlineStr">
        <is>
          <t>200 Free</t>
        </is>
      </c>
      <c r="Q672" s="33" t="inlineStr">
        <is>
          <t>LCM_200_FREE</t>
        </is>
      </c>
      <c r="R672" s="36" t="n">
        <v>105.63</v>
      </c>
      <c r="S672" s="35">
        <f>IF(R672="","",IF(R672&gt;=60,INT(R672/60)&amp;":"&amp;TEXT(MOD(R672,60),"00.00"),TEXT(R672,"0.00")))</f>
        <v/>
      </c>
      <c r="T672" s="52">
        <f>IFERROR((G672-INDEX('01_Swimmers'!$E$5:$E$22,MATCH(B672,'01_Swimmers'!$A$5:$A$22,0)))/'00_Control'!$B$10,"")</f>
        <v/>
      </c>
      <c r="U672" s="35">
        <f>IF(T672="","",INT(T672))</f>
        <v/>
      </c>
      <c r="V672" s="33" t="inlineStr">
        <is>
          <t>NO</t>
        </is>
      </c>
      <c r="W672" s="33" t="inlineStr">
        <is>
          <t>YES</t>
        </is>
      </c>
      <c r="X672" s="33" t="inlineStr">
        <is>
          <t>NO</t>
        </is>
      </c>
      <c r="Y672" s="33" t="n">
        <v>1</v>
      </c>
      <c r="Z672" s="33" t="n">
        <v>6</v>
      </c>
      <c r="AA672" s="33" t="inlineStr">
        <is>
          <t>3</t>
        </is>
      </c>
      <c r="AB672" s="33" t="inlineStr">
        <is>
          <t>https://www.swimcloud.com/results/149555/event/12/?id=28188617#time28188617</t>
        </is>
      </c>
      <c r="AC672" s="33" t="inlineStr">
        <is>
          <t>SwimCloud API v6 2026-10-08</t>
        </is>
      </c>
      <c r="AD672" s="33" t="inlineStr">
        <is>
          <t>Duncan Scott|2019-07-23|LCM|200|Free|105.63|18th FINA World Championships|FIN|False</t>
        </is>
      </c>
      <c r="AE672" s="53">
        <f>G672+L672/1000+ROW()/1000000000</f>
        <v/>
      </c>
      <c r="AF672" s="35">
        <f>IF(C672&lt;&gt;"Grayson Coulter","",COUNTIFS($C$5:$C$2991,"Grayson Coulter",$Q$5:$Q$2991,Q672,$AE$5:$AE$2991,"&lt;="&amp;AE672,$R$5:$R$2991,"&lt;"&amp;R672))</f>
        <v/>
      </c>
      <c r="AG672" s="35">
        <f>IF(OR(C672&lt;&gt;"Grayson Coulter",G672&lt;'00_Control'!$B$7),"",--(AF672&lt;5))</f>
        <v/>
      </c>
      <c r="AH672" s="35">
        <f>IF(OR(C672&lt;&gt;"Grayson Coulter",G672&lt;'00_Control'!$B$7),"",--(AF672&lt;10))</f>
        <v/>
      </c>
      <c r="AI672" s="35">
        <f>IF(AND(C672="Grayson Coulter",G672&gt;='00_Control'!$B$7),"YES","NO")</f>
        <v/>
      </c>
      <c r="AJ672" s="33" t="inlineStr">
        <is>
          <t>OK</t>
        </is>
      </c>
    </row>
    <row r="673">
      <c r="A673" s="33" t="inlineStr">
        <is>
          <t>SM000669</t>
        </is>
      </c>
      <c r="B673" s="33" t="inlineStr">
        <is>
          <t>SW016</t>
        </is>
      </c>
      <c r="C673" s="33" t="inlineStr">
        <is>
          <t>Duncan Scott</t>
        </is>
      </c>
      <c r="D673" s="33" t="inlineStr">
        <is>
          <t>SwimCloud</t>
        </is>
      </c>
      <c r="E673" s="33" t="inlineStr">
        <is>
          <t>375606</t>
        </is>
      </c>
      <c r="F673" s="33" t="inlineStr">
        <is>
          <t>28190955</t>
        </is>
      </c>
      <c r="G673" s="51" t="n">
        <v>43672</v>
      </c>
      <c r="H673" s="33" t="inlineStr">
        <is>
          <t>18th FINA World Championships</t>
        </is>
      </c>
      <c r="I673" s="33" t="inlineStr">
        <is>
          <t>149555</t>
        </is>
      </c>
      <c r="J673" s="33" t="inlineStr"/>
      <c r="K673" s="33" t="inlineStr">
        <is>
          <t>FIN</t>
        </is>
      </c>
      <c r="L673" s="35">
        <f>IF(K673="FIN",3,IF(OR(K673="SEM",K673="SEMI"),2,IF(OR(K673="PRE",K673="HEAT"),1,IF(V673="YES",4,2))))</f>
        <v/>
      </c>
      <c r="M673" s="33" t="inlineStr">
        <is>
          <t>LCM</t>
        </is>
      </c>
      <c r="N673" s="33" t="n">
        <v>200</v>
      </c>
      <c r="O673" s="33" t="inlineStr">
        <is>
          <t>Free</t>
        </is>
      </c>
      <c r="P673" s="33" t="inlineStr">
        <is>
          <t>200 Free</t>
        </is>
      </c>
      <c r="Q673" s="33" t="inlineStr">
        <is>
          <t>LCM_200_FREE</t>
        </is>
      </c>
      <c r="R673" s="36" t="n">
        <v>104.91</v>
      </c>
      <c r="S673" s="35">
        <f>IF(R673="","",IF(R673&gt;=60,INT(R673/60)&amp;":"&amp;TEXT(MOD(R673,60),"00.00"),TEXT(R673,"0.00")))</f>
        <v/>
      </c>
      <c r="T673" s="52">
        <f>IFERROR((G673-INDEX('01_Swimmers'!$E$5:$E$22,MATCH(B673,'01_Swimmers'!$A$5:$A$22,0)))/'00_Control'!$B$10,"")</f>
        <v/>
      </c>
      <c r="U673" s="35">
        <f>IF(T673="","",INT(T673))</f>
        <v/>
      </c>
      <c r="V673" s="33" t="inlineStr">
        <is>
          <t>YES</t>
        </is>
      </c>
      <c r="W673" s="33" t="inlineStr">
        <is>
          <t>YES</t>
        </is>
      </c>
      <c r="X673" s="33" t="inlineStr">
        <is>
          <t>NO</t>
        </is>
      </c>
      <c r="Y673" s="33" t="n">
        <v>1</v>
      </c>
      <c r="Z673" s="33" t="n">
        <v>1</v>
      </c>
      <c r="AA673" s="33" t="inlineStr"/>
      <c r="AB673" s="33" t="inlineStr">
        <is>
          <t>https://www.swimcloud.com/results/149555/event/32/?id=28188680#time28188680</t>
        </is>
      </c>
      <c r="AC673" s="33" t="inlineStr">
        <is>
          <t>SwimCloud API v6 2026-10-08</t>
        </is>
      </c>
      <c r="AD673" s="33" t="inlineStr">
        <is>
          <t>Duncan Scott|2019-07-26|LCM|200|Free|104.91|18th FINA World Championships|FIN|True</t>
        </is>
      </c>
      <c r="AE673" s="53">
        <f>G673+L673/1000+ROW()/1000000000</f>
        <v/>
      </c>
      <c r="AF673" s="35">
        <f>IF(C673&lt;&gt;"Grayson Coulter","",COUNTIFS($C$5:$C$2991,"Grayson Coulter",$Q$5:$Q$2991,Q673,$AE$5:$AE$2991,"&lt;="&amp;AE673,$R$5:$R$2991,"&lt;"&amp;R673))</f>
        <v/>
      </c>
      <c r="AG673" s="35">
        <f>IF(OR(C673&lt;&gt;"Grayson Coulter",G673&lt;'00_Control'!$B$7),"",--(AF673&lt;5))</f>
        <v/>
      </c>
      <c r="AH673" s="35">
        <f>IF(OR(C673&lt;&gt;"Grayson Coulter",G673&lt;'00_Control'!$B$7),"",--(AF673&lt;10))</f>
        <v/>
      </c>
      <c r="AI673" s="35">
        <f>IF(AND(C673="Grayson Coulter",G673&gt;='00_Control'!$B$7),"YES","NO")</f>
        <v/>
      </c>
      <c r="AJ673" s="33" t="inlineStr">
        <is>
          <t>OK</t>
        </is>
      </c>
    </row>
    <row r="674">
      <c r="A674" s="33" t="inlineStr">
        <is>
          <t>SM000670</t>
        </is>
      </c>
      <c r="B674" s="33" t="inlineStr">
        <is>
          <t>SW016</t>
        </is>
      </c>
      <c r="C674" s="33" t="inlineStr">
        <is>
          <t>Duncan Scott</t>
        </is>
      </c>
      <c r="D674" s="33" t="inlineStr">
        <is>
          <t>SwimCloud</t>
        </is>
      </c>
      <c r="E674" s="33" t="inlineStr">
        <is>
          <t>375606</t>
        </is>
      </c>
      <c r="F674" s="33" t="inlineStr">
        <is>
          <t>31055494</t>
        </is>
      </c>
      <c r="G674" s="51" t="n">
        <v>43804</v>
      </c>
      <c r="H674" s="33" t="inlineStr">
        <is>
          <t>LEN European Short Course Swimming Championships</t>
        </is>
      </c>
      <c r="I674" s="33" t="inlineStr">
        <is>
          <t>172034</t>
        </is>
      </c>
      <c r="J674" s="33" t="inlineStr"/>
      <c r="K674" s="33" t="inlineStr">
        <is>
          <t>PRE</t>
        </is>
      </c>
      <c r="L674" s="35">
        <f>IF(K674="FIN",3,IF(OR(K674="SEM",K674="SEMI"),2,IF(OR(K674="PRE",K674="HEAT"),1,IF(V674="YES",4,2))))</f>
        <v/>
      </c>
      <c r="M674" s="33" t="inlineStr">
        <is>
          <t>SCM</t>
        </is>
      </c>
      <c r="N674" s="33" t="n">
        <v>200</v>
      </c>
      <c r="O674" s="33" t="inlineStr">
        <is>
          <t>Free</t>
        </is>
      </c>
      <c r="P674" s="33" t="inlineStr">
        <is>
          <t>200 Free</t>
        </is>
      </c>
      <c r="Q674" s="33" t="inlineStr">
        <is>
          <t>SCM_200_FREE</t>
        </is>
      </c>
      <c r="R674" s="36" t="n">
        <v>100.92</v>
      </c>
      <c r="S674" s="35">
        <f>IF(R674="","",IF(R674&gt;=60,INT(R674/60)&amp;":"&amp;TEXT(MOD(R674,60),"00.00"),TEXT(R674,"0.00")))</f>
        <v/>
      </c>
      <c r="T674" s="52">
        <f>IFERROR((G674-INDEX('01_Swimmers'!$E$5:$E$22,MATCH(B674,'01_Swimmers'!$A$5:$A$22,0)))/'00_Control'!$B$10,"")</f>
        <v/>
      </c>
      <c r="U674" s="35">
        <f>IF(T674="","",INT(T674))</f>
        <v/>
      </c>
      <c r="V674" s="33" t="inlineStr">
        <is>
          <t>NO</t>
        </is>
      </c>
      <c r="W674" s="33" t="inlineStr">
        <is>
          <t>YES</t>
        </is>
      </c>
      <c r="X674" s="33" t="inlineStr">
        <is>
          <t>NO</t>
        </is>
      </c>
      <c r="Y674" s="33" t="n">
        <v>5</v>
      </c>
      <c r="Z674" s="33" t="n">
        <v>5</v>
      </c>
      <c r="AA674" s="33" t="inlineStr">
        <is>
          <t>1</t>
        </is>
      </c>
      <c r="AB674" s="33" t="inlineStr">
        <is>
          <t>https://www.swimcloud.com/results/172034/event/10/?id=31055494#time31055494</t>
        </is>
      </c>
      <c r="AC674" s="33" t="inlineStr">
        <is>
          <t>SwimCloud API v6 2026-10-08</t>
        </is>
      </c>
      <c r="AD674" s="33" t="inlineStr">
        <is>
          <t>Duncan Scott|2019-12-05|SCM|200|Free|100.92|LEN European Short Course Swimming Championships|PRE|False</t>
        </is>
      </c>
      <c r="AE674" s="53">
        <f>G674+L674/1000+ROW()/1000000000</f>
        <v/>
      </c>
      <c r="AF674" s="35">
        <f>IF(C674&lt;&gt;"Grayson Coulter","",COUNTIFS($C$5:$C$2991,"Grayson Coulter",$Q$5:$Q$2991,Q674,$AE$5:$AE$2991,"&lt;="&amp;AE674,$R$5:$R$2991,"&lt;"&amp;R674))</f>
        <v/>
      </c>
      <c r="AG674" s="35">
        <f>IF(OR(C674&lt;&gt;"Grayson Coulter",G674&lt;'00_Control'!$B$7),"",--(AF674&lt;5))</f>
        <v/>
      </c>
      <c r="AH674" s="35">
        <f>IF(OR(C674&lt;&gt;"Grayson Coulter",G674&lt;'00_Control'!$B$7),"",--(AF674&lt;10))</f>
        <v/>
      </c>
      <c r="AI674" s="35">
        <f>IF(AND(C674="Grayson Coulter",G674&gt;='00_Control'!$B$7),"YES","NO")</f>
        <v/>
      </c>
      <c r="AJ674" s="33" t="inlineStr">
        <is>
          <t>OK</t>
        </is>
      </c>
    </row>
    <row r="675">
      <c r="A675" s="33" t="inlineStr">
        <is>
          <t>SM000671</t>
        </is>
      </c>
      <c r="B675" s="33" t="inlineStr">
        <is>
          <t>SW016</t>
        </is>
      </c>
      <c r="C675" s="33" t="inlineStr">
        <is>
          <t>Duncan Scott</t>
        </is>
      </c>
      <c r="D675" s="33" t="inlineStr">
        <is>
          <t>SwimCloud</t>
        </is>
      </c>
      <c r="E675" s="33" t="inlineStr">
        <is>
          <t>375606</t>
        </is>
      </c>
      <c r="F675" s="33" t="inlineStr">
        <is>
          <t>31055495</t>
        </is>
      </c>
      <c r="G675" s="51" t="n">
        <v>43804</v>
      </c>
      <c r="H675" s="33" t="inlineStr">
        <is>
          <t>LEN European Short Course Swimming Championships</t>
        </is>
      </c>
      <c r="I675" s="33" t="inlineStr">
        <is>
          <t>172034</t>
        </is>
      </c>
      <c r="J675" s="33" t="inlineStr"/>
      <c r="K675" s="33" t="inlineStr">
        <is>
          <t>FIN</t>
        </is>
      </c>
      <c r="L675" s="35">
        <f>IF(K675="FIN",3,IF(OR(K675="SEM",K675="SEMI"),2,IF(OR(K675="PRE",K675="HEAT"),1,IF(V675="YES",4,2))))</f>
        <v/>
      </c>
      <c r="M675" s="33" t="inlineStr">
        <is>
          <t>SCM</t>
        </is>
      </c>
      <c r="N675" s="33" t="n">
        <v>200</v>
      </c>
      <c r="O675" s="33" t="inlineStr">
        <is>
          <t>Free</t>
        </is>
      </c>
      <c r="P675" s="33" t="inlineStr">
        <is>
          <t>200 Free</t>
        </is>
      </c>
      <c r="Q675" s="33" t="inlineStr">
        <is>
          <t>SCM_200_FREE</t>
        </is>
      </c>
      <c r="R675" s="36" t="n">
        <v>101.42</v>
      </c>
      <c r="S675" s="35">
        <f>IF(R675="","",IF(R675&gt;=60,INT(R675/60)&amp;":"&amp;TEXT(MOD(R675,60),"00.00"),TEXT(R675,"0.00")))</f>
        <v/>
      </c>
      <c r="T675" s="52">
        <f>IFERROR((G675-INDEX('01_Swimmers'!$E$5:$E$22,MATCH(B675,'01_Swimmers'!$A$5:$A$22,0)))/'00_Control'!$B$10,"")</f>
        <v/>
      </c>
      <c r="U675" s="35">
        <f>IF(T675="","",INT(T675))</f>
        <v/>
      </c>
      <c r="V675" s="33" t="inlineStr">
        <is>
          <t>NO</t>
        </is>
      </c>
      <c r="W675" s="33" t="inlineStr">
        <is>
          <t>YES</t>
        </is>
      </c>
      <c r="X675" s="33" t="inlineStr">
        <is>
          <t>NO</t>
        </is>
      </c>
      <c r="Y675" s="33" t="n">
        <v>3</v>
      </c>
      <c r="Z675" s="33" t="n">
        <v>4</v>
      </c>
      <c r="AA675" s="33" t="inlineStr">
        <is>
          <t>2</t>
        </is>
      </c>
      <c r="AB675" s="33" t="inlineStr">
        <is>
          <t>https://www.swimcloud.com/results/172034/event/110/?id=31055495#time31055495</t>
        </is>
      </c>
      <c r="AC675" s="33" t="inlineStr">
        <is>
          <t>SwimCloud API v6 2026-10-08</t>
        </is>
      </c>
      <c r="AD675" s="33" t="inlineStr">
        <is>
          <t>Duncan Scott|2019-12-05|SCM|200|Free|101.42|LEN European Short Course Swimming Championships|FIN|False</t>
        </is>
      </c>
      <c r="AE675" s="53">
        <f>G675+L675/1000+ROW()/1000000000</f>
        <v/>
      </c>
      <c r="AF675" s="35">
        <f>IF(C675&lt;&gt;"Grayson Coulter","",COUNTIFS($C$5:$C$2991,"Grayson Coulter",$Q$5:$Q$2991,Q675,$AE$5:$AE$2991,"&lt;="&amp;AE675,$R$5:$R$2991,"&lt;"&amp;R675))</f>
        <v/>
      </c>
      <c r="AG675" s="35">
        <f>IF(OR(C675&lt;&gt;"Grayson Coulter",G675&lt;'00_Control'!$B$7),"",--(AF675&lt;5))</f>
        <v/>
      </c>
      <c r="AH675" s="35">
        <f>IF(OR(C675&lt;&gt;"Grayson Coulter",G675&lt;'00_Control'!$B$7),"",--(AF675&lt;10))</f>
        <v/>
      </c>
      <c r="AI675" s="35">
        <f>IF(AND(C675="Grayson Coulter",G675&gt;='00_Control'!$B$7),"YES","NO")</f>
        <v/>
      </c>
      <c r="AJ675" s="33" t="inlineStr">
        <is>
          <t>OK</t>
        </is>
      </c>
    </row>
    <row r="676">
      <c r="A676" s="33" t="inlineStr">
        <is>
          <t>SM000672</t>
        </is>
      </c>
      <c r="B676" s="33" t="inlineStr">
        <is>
          <t>SW016</t>
        </is>
      </c>
      <c r="C676" s="33" t="inlineStr">
        <is>
          <t>Duncan Scott</t>
        </is>
      </c>
      <c r="D676" s="33" t="inlineStr">
        <is>
          <t>SwimCloud</t>
        </is>
      </c>
      <c r="E676" s="33" t="inlineStr">
        <is>
          <t>375606</t>
        </is>
      </c>
      <c r="F676" s="33" t="inlineStr">
        <is>
          <t>31055491</t>
        </is>
      </c>
      <c r="G676" s="51" t="n">
        <v>43806</v>
      </c>
      <c r="H676" s="33" t="inlineStr">
        <is>
          <t>LEN European Short Course Swimming Championships</t>
        </is>
      </c>
      <c r="I676" s="33" t="inlineStr">
        <is>
          <t>172034</t>
        </is>
      </c>
      <c r="J676" s="33" t="inlineStr"/>
      <c r="K676" s="33" t="inlineStr">
        <is>
          <t>PRE</t>
        </is>
      </c>
      <c r="L676" s="35">
        <f>IF(K676="FIN",3,IF(OR(K676="SEM",K676="SEMI"),2,IF(OR(K676="PRE",K676="HEAT"),1,IF(V676="YES",4,2))))</f>
        <v/>
      </c>
      <c r="M676" s="33" t="inlineStr">
        <is>
          <t>SCM</t>
        </is>
      </c>
      <c r="N676" s="33" t="n">
        <v>100</v>
      </c>
      <c r="O676" s="33" t="inlineStr">
        <is>
          <t>Free</t>
        </is>
      </c>
      <c r="P676" s="33" t="inlineStr">
        <is>
          <t>100 Free</t>
        </is>
      </c>
      <c r="Q676" s="33" t="inlineStr">
        <is>
          <t>SCM_100_FREE</t>
        </is>
      </c>
      <c r="R676" s="36" t="n">
        <v>46.72</v>
      </c>
      <c r="S676" s="35">
        <f>IF(R676="","",IF(R676&gt;=60,INT(R676/60)&amp;":"&amp;TEXT(MOD(R676,60),"00.00"),TEXT(R676,"0.00")))</f>
        <v/>
      </c>
      <c r="T676" s="52">
        <f>IFERROR((G676-INDEX('01_Swimmers'!$E$5:$E$22,MATCH(B676,'01_Swimmers'!$A$5:$A$22,0)))/'00_Control'!$B$10,"")</f>
        <v/>
      </c>
      <c r="U676" s="35">
        <f>IF(T676="","",INT(T676))</f>
        <v/>
      </c>
      <c r="V676" s="33" t="inlineStr">
        <is>
          <t>NO</t>
        </is>
      </c>
      <c r="W676" s="33" t="inlineStr">
        <is>
          <t>YES</t>
        </is>
      </c>
      <c r="X676" s="33" t="inlineStr">
        <is>
          <t>NO</t>
        </is>
      </c>
      <c r="Y676" s="33" t="n">
        <v>17</v>
      </c>
      <c r="Z676" s="33" t="n">
        <v>3</v>
      </c>
      <c r="AA676" s="33" t="inlineStr">
        <is>
          <t>3</t>
        </is>
      </c>
      <c r="AB676" s="33" t="inlineStr">
        <is>
          <t>https://www.swimcloud.com/results/172034/event/28/?id=31055491#time31055491</t>
        </is>
      </c>
      <c r="AC676" s="33" t="inlineStr">
        <is>
          <t>SwimCloud API v6 2026-10-08</t>
        </is>
      </c>
      <c r="AD676" s="33" t="inlineStr">
        <is>
          <t>Duncan Scott|2019-12-07|SCM|100|Free|46.72|LEN European Short Course Swimming Championships|PRE|False</t>
        </is>
      </c>
      <c r="AE676" s="53">
        <f>G676+L676/1000+ROW()/1000000000</f>
        <v/>
      </c>
      <c r="AF676" s="35">
        <f>IF(C676&lt;&gt;"Grayson Coulter","",COUNTIFS($C$5:$C$2991,"Grayson Coulter",$Q$5:$Q$2991,Q676,$AE$5:$AE$2991,"&lt;="&amp;AE676,$R$5:$R$2991,"&lt;"&amp;R676))</f>
        <v/>
      </c>
      <c r="AG676" s="35">
        <f>IF(OR(C676&lt;&gt;"Grayson Coulter",G676&lt;'00_Control'!$B$7),"",--(AF676&lt;5))</f>
        <v/>
      </c>
      <c r="AH676" s="35">
        <f>IF(OR(C676&lt;&gt;"Grayson Coulter",G676&lt;'00_Control'!$B$7),"",--(AF676&lt;10))</f>
        <v/>
      </c>
      <c r="AI676" s="35">
        <f>IF(AND(C676="Grayson Coulter",G676&gt;='00_Control'!$B$7),"YES","NO")</f>
        <v/>
      </c>
      <c r="AJ676" s="33" t="inlineStr">
        <is>
          <t>OK</t>
        </is>
      </c>
    </row>
    <row r="677">
      <c r="A677" s="33" t="inlineStr">
        <is>
          <t>SM000673</t>
        </is>
      </c>
      <c r="B677" s="33" t="inlineStr">
        <is>
          <t>SW016</t>
        </is>
      </c>
      <c r="C677" s="33" t="inlineStr">
        <is>
          <t>Duncan Scott</t>
        </is>
      </c>
      <c r="D677" s="33" t="inlineStr">
        <is>
          <t>SwimCloud</t>
        </is>
      </c>
      <c r="E677" s="33" t="inlineStr">
        <is>
          <t>375606</t>
        </is>
      </c>
      <c r="F677" s="33" t="inlineStr">
        <is>
          <t>31055492</t>
        </is>
      </c>
      <c r="G677" s="51" t="n">
        <v>43806</v>
      </c>
      <c r="H677" s="33" t="inlineStr">
        <is>
          <t>LEN European Short Course Swimming Championships</t>
        </is>
      </c>
      <c r="I677" s="33" t="inlineStr">
        <is>
          <t>172034</t>
        </is>
      </c>
      <c r="J677" s="33" t="inlineStr"/>
      <c r="K677" s="33" t="inlineStr">
        <is>
          <t>SEM</t>
        </is>
      </c>
      <c r="L677" s="35">
        <f>IF(K677="FIN",3,IF(OR(K677="SEM",K677="SEMI"),2,IF(OR(K677="PRE",K677="HEAT"),1,IF(V677="YES",4,2))))</f>
        <v/>
      </c>
      <c r="M677" s="33" t="inlineStr">
        <is>
          <t>SCM</t>
        </is>
      </c>
      <c r="N677" s="33" t="n">
        <v>100</v>
      </c>
      <c r="O677" s="33" t="inlineStr">
        <is>
          <t>Free</t>
        </is>
      </c>
      <c r="P677" s="33" t="inlineStr">
        <is>
          <t>100 Free</t>
        </is>
      </c>
      <c r="Q677" s="33" t="inlineStr">
        <is>
          <t>SCM_100_FREE</t>
        </is>
      </c>
      <c r="R677" s="36" t="n">
        <v>46.68</v>
      </c>
      <c r="S677" s="35">
        <f>IF(R677="","",IF(R677&gt;=60,INT(R677/60)&amp;":"&amp;TEXT(MOD(R677,60),"00.00"),TEXT(R677,"0.00")))</f>
        <v/>
      </c>
      <c r="T677" s="52">
        <f>IFERROR((G677-INDEX('01_Swimmers'!$E$5:$E$22,MATCH(B677,'01_Swimmers'!$A$5:$A$22,0)))/'00_Control'!$B$10,"")</f>
        <v/>
      </c>
      <c r="U677" s="35">
        <f>IF(T677="","",INT(T677))</f>
        <v/>
      </c>
      <c r="V677" s="33" t="inlineStr">
        <is>
          <t>NO</t>
        </is>
      </c>
      <c r="W677" s="33" t="inlineStr">
        <is>
          <t>YES</t>
        </is>
      </c>
      <c r="X677" s="33" t="inlineStr">
        <is>
          <t>NO</t>
        </is>
      </c>
      <c r="Y677" s="33" t="n">
        <v>7</v>
      </c>
      <c r="Z677" s="33" t="n">
        <v>5</v>
      </c>
      <c r="AA677" s="33" t="inlineStr">
        <is>
          <t>6</t>
        </is>
      </c>
      <c r="AB677" s="33" t="inlineStr">
        <is>
          <t>https://www.swimcloud.com/results/172034/event/228/?id=31055492#time31055492</t>
        </is>
      </c>
      <c r="AC677" s="33" t="inlineStr">
        <is>
          <t>SwimCloud API v6 2026-10-08</t>
        </is>
      </c>
      <c r="AD677" s="33" t="inlineStr">
        <is>
          <t>Duncan Scott|2019-12-07|SCM|100|Free|46.68|LEN European Short Course Swimming Championships|SEM|False</t>
        </is>
      </c>
      <c r="AE677" s="53">
        <f>G677+L677/1000+ROW()/1000000000</f>
        <v/>
      </c>
      <c r="AF677" s="35">
        <f>IF(C677&lt;&gt;"Grayson Coulter","",COUNTIFS($C$5:$C$2991,"Grayson Coulter",$Q$5:$Q$2991,Q677,$AE$5:$AE$2991,"&lt;="&amp;AE677,$R$5:$R$2991,"&lt;"&amp;R677))</f>
        <v/>
      </c>
      <c r="AG677" s="35">
        <f>IF(OR(C677&lt;&gt;"Grayson Coulter",G677&lt;'00_Control'!$B$7),"",--(AF677&lt;5))</f>
        <v/>
      </c>
      <c r="AH677" s="35">
        <f>IF(OR(C677&lt;&gt;"Grayson Coulter",G677&lt;'00_Control'!$B$7),"",--(AF677&lt;10))</f>
        <v/>
      </c>
      <c r="AI677" s="35">
        <f>IF(AND(C677="Grayson Coulter",G677&gt;='00_Control'!$B$7),"YES","NO")</f>
        <v/>
      </c>
      <c r="AJ677" s="33" t="inlineStr">
        <is>
          <t>OK</t>
        </is>
      </c>
    </row>
    <row r="678">
      <c r="A678" s="33" t="inlineStr">
        <is>
          <t>SM000674</t>
        </is>
      </c>
      <c r="B678" s="33" t="inlineStr">
        <is>
          <t>SW016</t>
        </is>
      </c>
      <c r="C678" s="33" t="inlineStr">
        <is>
          <t>Duncan Scott</t>
        </is>
      </c>
      <c r="D678" s="33" t="inlineStr">
        <is>
          <t>SwimCloud</t>
        </is>
      </c>
      <c r="E678" s="33" t="inlineStr">
        <is>
          <t>375606</t>
        </is>
      </c>
      <c r="F678" s="33" t="inlineStr">
        <is>
          <t>31055493</t>
        </is>
      </c>
      <c r="G678" s="51" t="n">
        <v>43807</v>
      </c>
      <c r="H678" s="33" t="inlineStr">
        <is>
          <t>LEN European Short Course Swimming Championships</t>
        </is>
      </c>
      <c r="I678" s="33" t="inlineStr">
        <is>
          <t>172034</t>
        </is>
      </c>
      <c r="J678" s="33" t="inlineStr"/>
      <c r="K678" s="33" t="inlineStr">
        <is>
          <t>FIN</t>
        </is>
      </c>
      <c r="L678" s="35">
        <f>IF(K678="FIN",3,IF(OR(K678="SEM",K678="SEMI"),2,IF(OR(K678="PRE",K678="HEAT"),1,IF(V678="YES",4,2))))</f>
        <v/>
      </c>
      <c r="M678" s="33" t="inlineStr">
        <is>
          <t>SCM</t>
        </is>
      </c>
      <c r="N678" s="33" t="n">
        <v>100</v>
      </c>
      <c r="O678" s="33" t="inlineStr">
        <is>
          <t>Free</t>
        </is>
      </c>
      <c r="P678" s="33" t="inlineStr">
        <is>
          <t>100 Free</t>
        </is>
      </c>
      <c r="Q678" s="33" t="inlineStr">
        <is>
          <t>SCM_100_FREE</t>
        </is>
      </c>
      <c r="R678" s="36" t="n">
        <v>46.58</v>
      </c>
      <c r="S678" s="35">
        <f>IF(R678="","",IF(R678&gt;=60,INT(R678/60)&amp;":"&amp;TEXT(MOD(R678,60),"00.00"),TEXT(R678,"0.00")))</f>
        <v/>
      </c>
      <c r="T678" s="52">
        <f>IFERROR((G678-INDEX('01_Swimmers'!$E$5:$E$22,MATCH(B678,'01_Swimmers'!$A$5:$A$22,0)))/'00_Control'!$B$10,"")</f>
        <v/>
      </c>
      <c r="U678" s="35">
        <f>IF(T678="","",INT(T678))</f>
        <v/>
      </c>
      <c r="V678" s="33" t="inlineStr">
        <is>
          <t>NO</t>
        </is>
      </c>
      <c r="W678" s="33" t="inlineStr">
        <is>
          <t>YES</t>
        </is>
      </c>
      <c r="X678" s="33" t="inlineStr">
        <is>
          <t>NO</t>
        </is>
      </c>
      <c r="Y678" s="33" t="n">
        <v>6</v>
      </c>
      <c r="Z678" s="33" t="n">
        <v>7</v>
      </c>
      <c r="AA678" s="33" t="inlineStr">
        <is>
          <t>5</t>
        </is>
      </c>
      <c r="AB678" s="33" t="inlineStr">
        <is>
          <t>https://www.swimcloud.com/results/172034/event/128/?id=31055493#time31055493</t>
        </is>
      </c>
      <c r="AC678" s="33" t="inlineStr">
        <is>
          <t>SwimCloud API v6 2026-10-08</t>
        </is>
      </c>
      <c r="AD678" s="33" t="inlineStr">
        <is>
          <t>Duncan Scott|2019-12-08|SCM|100|Free|46.58|LEN European Short Course Swimming Championships|FIN|False</t>
        </is>
      </c>
      <c r="AE678" s="53">
        <f>G678+L678/1000+ROW()/1000000000</f>
        <v/>
      </c>
      <c r="AF678" s="35">
        <f>IF(C678&lt;&gt;"Grayson Coulter","",COUNTIFS($C$5:$C$2991,"Grayson Coulter",$Q$5:$Q$2991,Q678,$AE$5:$AE$2991,"&lt;="&amp;AE678,$R$5:$R$2991,"&lt;"&amp;R678))</f>
        <v/>
      </c>
      <c r="AG678" s="35">
        <f>IF(OR(C678&lt;&gt;"Grayson Coulter",G678&lt;'00_Control'!$B$7),"",--(AF678&lt;5))</f>
        <v/>
      </c>
      <c r="AH678" s="35">
        <f>IF(OR(C678&lt;&gt;"Grayson Coulter",G678&lt;'00_Control'!$B$7),"",--(AF678&lt;10))</f>
        <v/>
      </c>
      <c r="AI678" s="35">
        <f>IF(AND(C678="Grayson Coulter",G678&gt;='00_Control'!$B$7),"YES","NO")</f>
        <v/>
      </c>
      <c r="AJ678" s="33" t="inlineStr">
        <is>
          <t>OK</t>
        </is>
      </c>
    </row>
    <row r="679">
      <c r="A679" s="33" t="inlineStr">
        <is>
          <t>SM000675</t>
        </is>
      </c>
      <c r="B679" s="33" t="inlineStr">
        <is>
          <t>SW016</t>
        </is>
      </c>
      <c r="C679" s="33" t="inlineStr">
        <is>
          <t>Duncan Scott</t>
        </is>
      </c>
      <c r="D679" s="33" t="inlineStr">
        <is>
          <t>SwimCloud</t>
        </is>
      </c>
      <c r="E679" s="33" t="inlineStr">
        <is>
          <t>375606</t>
        </is>
      </c>
      <c r="F679" s="33" t="inlineStr">
        <is>
          <t>123077248</t>
        </is>
      </c>
      <c r="G679" s="51" t="n">
        <v>43881</v>
      </c>
      <c r="H679" s="33" t="inlineStr">
        <is>
          <t>McCullagh International Meet</t>
        </is>
      </c>
      <c r="I679" s="33" t="inlineStr">
        <is>
          <t>227041</t>
        </is>
      </c>
      <c r="J679" s="33" t="inlineStr"/>
      <c r="K679" s="33" t="inlineStr">
        <is>
          <t>PRE</t>
        </is>
      </c>
      <c r="L679" s="35">
        <f>IF(K679="FIN",3,IF(OR(K679="SEM",K679="SEMI"),2,IF(OR(K679="PRE",K679="HEAT"),1,IF(V679="YES",4,2))))</f>
        <v/>
      </c>
      <c r="M679" s="33" t="inlineStr">
        <is>
          <t>LCM</t>
        </is>
      </c>
      <c r="N679" s="33" t="n">
        <v>100</v>
      </c>
      <c r="O679" s="33" t="inlineStr">
        <is>
          <t>Free</t>
        </is>
      </c>
      <c r="P679" s="33" t="inlineStr">
        <is>
          <t>100 Free</t>
        </is>
      </c>
      <c r="Q679" s="33" t="inlineStr">
        <is>
          <t>LCM_100_FREE</t>
        </is>
      </c>
      <c r="R679" s="36" t="n">
        <v>49.11</v>
      </c>
      <c r="S679" s="35">
        <f>IF(R679="","",IF(R679&gt;=60,INT(R679/60)&amp;":"&amp;TEXT(MOD(R679,60),"00.00"),TEXT(R679,"0.00")))</f>
        <v/>
      </c>
      <c r="T679" s="52">
        <f>IFERROR((G679-INDEX('01_Swimmers'!$E$5:$E$22,MATCH(B679,'01_Swimmers'!$A$5:$A$22,0)))/'00_Control'!$B$10,"")</f>
        <v/>
      </c>
      <c r="U679" s="35">
        <f>IF(T679="","",INT(T679))</f>
        <v/>
      </c>
      <c r="V679" s="33" t="inlineStr">
        <is>
          <t>NO</t>
        </is>
      </c>
      <c r="W679" s="33" t="inlineStr">
        <is>
          <t>YES</t>
        </is>
      </c>
      <c r="X679" s="33" t="inlineStr">
        <is>
          <t>NO</t>
        </is>
      </c>
      <c r="Y679" s="33" t="n">
        <v>8</v>
      </c>
      <c r="Z679" s="33" t="n">
        <v>4</v>
      </c>
      <c r="AA679" s="33" t="inlineStr">
        <is>
          <t>1</t>
        </is>
      </c>
      <c r="AB679" s="33" t="inlineStr">
        <is>
          <t>https://www.swimcloud.com/results/227041/event/6/?id=123077248#time123077248</t>
        </is>
      </c>
      <c r="AC679" s="33" t="inlineStr">
        <is>
          <t>SwimCloud API v6 2026-10-08</t>
        </is>
      </c>
      <c r="AD679" s="33" t="inlineStr">
        <is>
          <t>Duncan Scott|2020-02-20|LCM|100|Free|49.11|McCullagh International Meet|PRE|False</t>
        </is>
      </c>
      <c r="AE679" s="53">
        <f>G679+L679/1000+ROW()/1000000000</f>
        <v/>
      </c>
      <c r="AF679" s="35">
        <f>IF(C679&lt;&gt;"Grayson Coulter","",COUNTIFS($C$5:$C$2991,"Grayson Coulter",$Q$5:$Q$2991,Q679,$AE$5:$AE$2991,"&lt;="&amp;AE679,$R$5:$R$2991,"&lt;"&amp;R679))</f>
        <v/>
      </c>
      <c r="AG679" s="35">
        <f>IF(OR(C679&lt;&gt;"Grayson Coulter",G679&lt;'00_Control'!$B$7),"",--(AF679&lt;5))</f>
        <v/>
      </c>
      <c r="AH679" s="35">
        <f>IF(OR(C679&lt;&gt;"Grayson Coulter",G679&lt;'00_Control'!$B$7),"",--(AF679&lt;10))</f>
        <v/>
      </c>
      <c r="AI679" s="35">
        <f>IF(AND(C679="Grayson Coulter",G679&gt;='00_Control'!$B$7),"YES","NO")</f>
        <v/>
      </c>
      <c r="AJ679" s="33" t="inlineStr">
        <is>
          <t>OK</t>
        </is>
      </c>
    </row>
    <row r="680">
      <c r="A680" s="33" t="inlineStr">
        <is>
          <t>SM000676</t>
        </is>
      </c>
      <c r="B680" s="33" t="inlineStr">
        <is>
          <t>SW016</t>
        </is>
      </c>
      <c r="C680" s="33" t="inlineStr">
        <is>
          <t>Duncan Scott</t>
        </is>
      </c>
      <c r="D680" s="33" t="inlineStr">
        <is>
          <t>SwimCloud</t>
        </is>
      </c>
      <c r="E680" s="33" t="inlineStr">
        <is>
          <t>375606</t>
        </is>
      </c>
      <c r="F680" s="33" t="inlineStr">
        <is>
          <t>123077249</t>
        </is>
      </c>
      <c r="G680" s="51" t="n">
        <v>43881</v>
      </c>
      <c r="H680" s="33" t="inlineStr">
        <is>
          <t>McCullagh International Meet</t>
        </is>
      </c>
      <c r="I680" s="33" t="inlineStr">
        <is>
          <t>227041</t>
        </is>
      </c>
      <c r="J680" s="33" t="inlineStr"/>
      <c r="K680" s="33" t="inlineStr">
        <is>
          <t>FIN</t>
        </is>
      </c>
      <c r="L680" s="35">
        <f>IF(K680="FIN",3,IF(OR(K680="SEM",K680="SEMI"),2,IF(OR(K680="PRE",K680="HEAT"),1,IF(V680="YES",4,2))))</f>
        <v/>
      </c>
      <c r="M680" s="33" t="inlineStr">
        <is>
          <t>LCM</t>
        </is>
      </c>
      <c r="N680" s="33" t="n">
        <v>100</v>
      </c>
      <c r="O680" s="33" t="inlineStr">
        <is>
          <t>Free</t>
        </is>
      </c>
      <c r="P680" s="33" t="inlineStr">
        <is>
          <t>100 Free</t>
        </is>
      </c>
      <c r="Q680" s="33" t="inlineStr">
        <is>
          <t>LCM_100_FREE</t>
        </is>
      </c>
      <c r="R680" s="36" t="n">
        <v>48.86</v>
      </c>
      <c r="S680" s="35">
        <f>IF(R680="","",IF(R680&gt;=60,INT(R680/60)&amp;":"&amp;TEXT(MOD(R680,60),"00.00"),TEXT(R680,"0.00")))</f>
        <v/>
      </c>
      <c r="T680" s="52">
        <f>IFERROR((G680-INDEX('01_Swimmers'!$E$5:$E$22,MATCH(B680,'01_Swimmers'!$A$5:$A$22,0)))/'00_Control'!$B$10,"")</f>
        <v/>
      </c>
      <c r="U680" s="35">
        <f>IF(T680="","",INT(T680))</f>
        <v/>
      </c>
      <c r="V680" s="33" t="inlineStr">
        <is>
          <t>NO</t>
        </is>
      </c>
      <c r="W680" s="33" t="inlineStr">
        <is>
          <t>YES</t>
        </is>
      </c>
      <c r="X680" s="33" t="inlineStr">
        <is>
          <t>NO</t>
        </is>
      </c>
      <c r="Y680" s="33" t="n">
        <v>2</v>
      </c>
      <c r="Z680" s="33" t="n">
        <v>4</v>
      </c>
      <c r="AA680" s="33" t="inlineStr">
        <is>
          <t>1</t>
        </is>
      </c>
      <c r="AB680" s="33" t="inlineStr">
        <is>
          <t>https://www.swimcloud.com/results/227041/event/6/?id=123077249#time123077249</t>
        </is>
      </c>
      <c r="AC680" s="33" t="inlineStr">
        <is>
          <t>SwimCloud API v6 2026-10-08</t>
        </is>
      </c>
      <c r="AD680" s="33" t="inlineStr">
        <is>
          <t>Duncan Scott|2020-02-20|LCM|100|Free|48.86|McCullagh International Meet|FIN|False</t>
        </is>
      </c>
      <c r="AE680" s="53">
        <f>G680+L680/1000+ROW()/1000000000</f>
        <v/>
      </c>
      <c r="AF680" s="35">
        <f>IF(C680&lt;&gt;"Grayson Coulter","",COUNTIFS($C$5:$C$2991,"Grayson Coulter",$Q$5:$Q$2991,Q680,$AE$5:$AE$2991,"&lt;="&amp;AE680,$R$5:$R$2991,"&lt;"&amp;R680))</f>
        <v/>
      </c>
      <c r="AG680" s="35">
        <f>IF(OR(C680&lt;&gt;"Grayson Coulter",G680&lt;'00_Control'!$B$7),"",--(AF680&lt;5))</f>
        <v/>
      </c>
      <c r="AH680" s="35">
        <f>IF(OR(C680&lt;&gt;"Grayson Coulter",G680&lt;'00_Control'!$B$7),"",--(AF680&lt;10))</f>
        <v/>
      </c>
      <c r="AI680" s="35">
        <f>IF(AND(C680="Grayson Coulter",G680&gt;='00_Control'!$B$7),"YES","NO")</f>
        <v/>
      </c>
      <c r="AJ680" s="33" t="inlineStr">
        <is>
          <t>OK</t>
        </is>
      </c>
    </row>
    <row r="681">
      <c r="A681" s="33" t="inlineStr">
        <is>
          <t>SM000677</t>
        </is>
      </c>
      <c r="B681" s="33" t="inlineStr">
        <is>
          <t>SW016</t>
        </is>
      </c>
      <c r="C681" s="33" t="inlineStr">
        <is>
          <t>Duncan Scott</t>
        </is>
      </c>
      <c r="D681" s="33" t="inlineStr">
        <is>
          <t>SwimCloud</t>
        </is>
      </c>
      <c r="E681" s="33" t="inlineStr">
        <is>
          <t>375606</t>
        </is>
      </c>
      <c r="F681" s="33" t="inlineStr">
        <is>
          <t>123077344</t>
        </is>
      </c>
      <c r="G681" s="51" t="n">
        <v>43882</v>
      </c>
      <c r="H681" s="33" t="inlineStr">
        <is>
          <t>McCullagh International Meet</t>
        </is>
      </c>
      <c r="I681" s="33" t="inlineStr">
        <is>
          <t>227041</t>
        </is>
      </c>
      <c r="J681" s="33" t="inlineStr"/>
      <c r="K681" s="33" t="inlineStr">
        <is>
          <t>PRE</t>
        </is>
      </c>
      <c r="L681" s="35">
        <f>IF(K681="FIN",3,IF(OR(K681="SEM",K681="SEMI"),2,IF(OR(K681="PRE",K681="HEAT"),1,IF(V681="YES",4,2))))</f>
        <v/>
      </c>
      <c r="M681" s="33" t="inlineStr">
        <is>
          <t>LCM</t>
        </is>
      </c>
      <c r="N681" s="33" t="n">
        <v>200</v>
      </c>
      <c r="O681" s="33" t="inlineStr">
        <is>
          <t>Free</t>
        </is>
      </c>
      <c r="P681" s="33" t="inlineStr">
        <is>
          <t>200 Free</t>
        </is>
      </c>
      <c r="Q681" s="33" t="inlineStr">
        <is>
          <t>LCM_200_FREE</t>
        </is>
      </c>
      <c r="R681" s="36" t="n">
        <v>107.32</v>
      </c>
      <c r="S681" s="35">
        <f>IF(R681="","",IF(R681&gt;=60,INT(R681/60)&amp;":"&amp;TEXT(MOD(R681,60),"00.00"),TEXT(R681,"0.00")))</f>
        <v/>
      </c>
      <c r="T681" s="52">
        <f>IFERROR((G681-INDEX('01_Swimmers'!$E$5:$E$22,MATCH(B681,'01_Swimmers'!$A$5:$A$22,0)))/'00_Control'!$B$10,"")</f>
        <v/>
      </c>
      <c r="U681" s="35">
        <f>IF(T681="","",INT(T681))</f>
        <v/>
      </c>
      <c r="V681" s="33" t="inlineStr">
        <is>
          <t>NO</t>
        </is>
      </c>
      <c r="W681" s="33" t="inlineStr">
        <is>
          <t>YES</t>
        </is>
      </c>
      <c r="X681" s="33" t="inlineStr">
        <is>
          <t>NO</t>
        </is>
      </c>
      <c r="Y681" s="33" t="n">
        <v>8</v>
      </c>
      <c r="Z681" s="33" t="n">
        <v>4</v>
      </c>
      <c r="AA681" s="33" t="inlineStr">
        <is>
          <t>1</t>
        </is>
      </c>
      <c r="AB681" s="33" t="inlineStr">
        <is>
          <t>https://www.swimcloud.com/results/227041/event/20/?id=123077344#time123077344</t>
        </is>
      </c>
      <c r="AC681" s="33" t="inlineStr">
        <is>
          <t>SwimCloud API v6 2026-10-08</t>
        </is>
      </c>
      <c r="AD681" s="33" t="inlineStr">
        <is>
          <t>Duncan Scott|2020-02-21|LCM|200|Free|107.32|McCullagh International Meet|PRE|False</t>
        </is>
      </c>
      <c r="AE681" s="53">
        <f>G681+L681/1000+ROW()/1000000000</f>
        <v/>
      </c>
      <c r="AF681" s="35">
        <f>IF(C681&lt;&gt;"Grayson Coulter","",COUNTIFS($C$5:$C$2991,"Grayson Coulter",$Q$5:$Q$2991,Q681,$AE$5:$AE$2991,"&lt;="&amp;AE681,$R$5:$R$2991,"&lt;"&amp;R681))</f>
        <v/>
      </c>
      <c r="AG681" s="35">
        <f>IF(OR(C681&lt;&gt;"Grayson Coulter",G681&lt;'00_Control'!$B$7),"",--(AF681&lt;5))</f>
        <v/>
      </c>
      <c r="AH681" s="35">
        <f>IF(OR(C681&lt;&gt;"Grayson Coulter",G681&lt;'00_Control'!$B$7),"",--(AF681&lt;10))</f>
        <v/>
      </c>
      <c r="AI681" s="35">
        <f>IF(AND(C681="Grayson Coulter",G681&gt;='00_Control'!$B$7),"YES","NO")</f>
        <v/>
      </c>
      <c r="AJ681" s="33" t="inlineStr">
        <is>
          <t>OK</t>
        </is>
      </c>
    </row>
    <row r="682">
      <c r="A682" s="33" t="inlineStr">
        <is>
          <t>SM000678</t>
        </is>
      </c>
      <c r="B682" s="33" t="inlineStr">
        <is>
          <t>SW016</t>
        </is>
      </c>
      <c r="C682" s="33" t="inlineStr">
        <is>
          <t>Duncan Scott</t>
        </is>
      </c>
      <c r="D682" s="33" t="inlineStr">
        <is>
          <t>SwimCloud</t>
        </is>
      </c>
      <c r="E682" s="33" t="inlineStr">
        <is>
          <t>375606</t>
        </is>
      </c>
      <c r="F682" s="33" t="inlineStr">
        <is>
          <t>123077345</t>
        </is>
      </c>
      <c r="G682" s="51" t="n">
        <v>43882</v>
      </c>
      <c r="H682" s="33" t="inlineStr">
        <is>
          <t>McCullagh International Meet</t>
        </is>
      </c>
      <c r="I682" s="33" t="inlineStr">
        <is>
          <t>227041</t>
        </is>
      </c>
      <c r="J682" s="33" t="inlineStr"/>
      <c r="K682" s="33" t="inlineStr">
        <is>
          <t>FIN</t>
        </is>
      </c>
      <c r="L682" s="35">
        <f>IF(K682="FIN",3,IF(OR(K682="SEM",K682="SEMI"),2,IF(OR(K682="PRE",K682="HEAT"),1,IF(V682="YES",4,2))))</f>
        <v/>
      </c>
      <c r="M682" s="33" t="inlineStr">
        <is>
          <t>LCM</t>
        </is>
      </c>
      <c r="N682" s="33" t="n">
        <v>200</v>
      </c>
      <c r="O682" s="33" t="inlineStr">
        <is>
          <t>Free</t>
        </is>
      </c>
      <c r="P682" s="33" t="inlineStr">
        <is>
          <t>200 Free</t>
        </is>
      </c>
      <c r="Q682" s="33" t="inlineStr">
        <is>
          <t>LCM_200_FREE</t>
        </is>
      </c>
      <c r="R682" s="36" t="n">
        <v>107.06</v>
      </c>
      <c r="S682" s="35">
        <f>IF(R682="","",IF(R682&gt;=60,INT(R682/60)&amp;":"&amp;TEXT(MOD(R682,60),"00.00"),TEXT(R682,"0.00")))</f>
        <v/>
      </c>
      <c r="T682" s="52">
        <f>IFERROR((G682-INDEX('01_Swimmers'!$E$5:$E$22,MATCH(B682,'01_Swimmers'!$A$5:$A$22,0)))/'00_Control'!$B$10,"")</f>
        <v/>
      </c>
      <c r="U682" s="35">
        <f>IF(T682="","",INT(T682))</f>
        <v/>
      </c>
      <c r="V682" s="33" t="inlineStr">
        <is>
          <t>NO</t>
        </is>
      </c>
      <c r="W682" s="33" t="inlineStr">
        <is>
          <t>YES</t>
        </is>
      </c>
      <c r="X682" s="33" t="inlineStr">
        <is>
          <t>NO</t>
        </is>
      </c>
      <c r="Y682" s="33" t="n">
        <v>2</v>
      </c>
      <c r="Z682" s="33" t="n">
        <v>4</v>
      </c>
      <c r="AA682" s="33" t="inlineStr">
        <is>
          <t>1</t>
        </is>
      </c>
      <c r="AB682" s="33" t="inlineStr">
        <is>
          <t>https://www.swimcloud.com/results/227041/event/20/?id=123077345#time123077345</t>
        </is>
      </c>
      <c r="AC682" s="33" t="inlineStr">
        <is>
          <t>SwimCloud API v6 2026-10-08</t>
        </is>
      </c>
      <c r="AD682" s="33" t="inlineStr">
        <is>
          <t>Duncan Scott|2020-02-21|LCM|200|Free|107.06|McCullagh International Meet|FIN|False</t>
        </is>
      </c>
      <c r="AE682" s="53">
        <f>G682+L682/1000+ROW()/1000000000</f>
        <v/>
      </c>
      <c r="AF682" s="35">
        <f>IF(C682&lt;&gt;"Grayson Coulter","",COUNTIFS($C$5:$C$2991,"Grayson Coulter",$Q$5:$Q$2991,Q682,$AE$5:$AE$2991,"&lt;="&amp;AE682,$R$5:$R$2991,"&lt;"&amp;R682))</f>
        <v/>
      </c>
      <c r="AG682" s="35">
        <f>IF(OR(C682&lt;&gt;"Grayson Coulter",G682&lt;'00_Control'!$B$7),"",--(AF682&lt;5))</f>
        <v/>
      </c>
      <c r="AH682" s="35">
        <f>IF(OR(C682&lt;&gt;"Grayson Coulter",G682&lt;'00_Control'!$B$7),"",--(AF682&lt;10))</f>
        <v/>
      </c>
      <c r="AI682" s="35">
        <f>IF(AND(C682="Grayson Coulter",G682&gt;='00_Control'!$B$7),"YES","NO")</f>
        <v/>
      </c>
      <c r="AJ682" s="33" t="inlineStr">
        <is>
          <t>OK</t>
        </is>
      </c>
    </row>
    <row r="683">
      <c r="A683" s="33" t="inlineStr">
        <is>
          <t>SM000679</t>
        </is>
      </c>
      <c r="B683" s="33" t="inlineStr">
        <is>
          <t>SW016</t>
        </is>
      </c>
      <c r="C683" s="33" t="inlineStr">
        <is>
          <t>Duncan Scott</t>
        </is>
      </c>
      <c r="D683" s="33" t="inlineStr">
        <is>
          <t>SwimCloud</t>
        </is>
      </c>
      <c r="E683" s="33" t="inlineStr">
        <is>
          <t>375606</t>
        </is>
      </c>
      <c r="F683" s="33" t="inlineStr">
        <is>
          <t>123077426</t>
        </is>
      </c>
      <c r="G683" s="51" t="n">
        <v>43883</v>
      </c>
      <c r="H683" s="33" t="inlineStr">
        <is>
          <t>McCullagh International Meet</t>
        </is>
      </c>
      <c r="I683" s="33" t="inlineStr">
        <is>
          <t>227041</t>
        </is>
      </c>
      <c r="J683" s="33" t="inlineStr"/>
      <c r="K683" s="33" t="inlineStr">
        <is>
          <t>PRE</t>
        </is>
      </c>
      <c r="L683" s="35">
        <f>IF(K683="FIN",3,IF(OR(K683="SEM",K683="SEMI"),2,IF(OR(K683="PRE",K683="HEAT"),1,IF(V683="YES",4,2))))</f>
        <v/>
      </c>
      <c r="M683" s="33" t="inlineStr">
        <is>
          <t>LCM</t>
        </is>
      </c>
      <c r="N683" s="33" t="n">
        <v>100</v>
      </c>
      <c r="O683" s="33" t="inlineStr">
        <is>
          <t>Fly</t>
        </is>
      </c>
      <c r="P683" s="33" t="inlineStr">
        <is>
          <t>100 Fly</t>
        </is>
      </c>
      <c r="Q683" s="33" t="inlineStr">
        <is>
          <t>LCM_100_FLY</t>
        </is>
      </c>
      <c r="R683" s="36" t="n">
        <v>53.09</v>
      </c>
      <c r="S683" s="35">
        <f>IF(R683="","",IF(R683&gt;=60,INT(R683/60)&amp;":"&amp;TEXT(MOD(R683,60),"00.00"),TEXT(R683,"0.00")))</f>
        <v/>
      </c>
      <c r="T683" s="52">
        <f>IFERROR((G683-INDEX('01_Swimmers'!$E$5:$E$22,MATCH(B683,'01_Swimmers'!$A$5:$A$22,0)))/'00_Control'!$B$10,"")</f>
        <v/>
      </c>
      <c r="U683" s="35">
        <f>IF(T683="","",INT(T683))</f>
        <v/>
      </c>
      <c r="V683" s="33" t="inlineStr">
        <is>
          <t>NO</t>
        </is>
      </c>
      <c r="W683" s="33" t="inlineStr">
        <is>
          <t>YES</t>
        </is>
      </c>
      <c r="X683" s="33" t="inlineStr">
        <is>
          <t>NO</t>
        </is>
      </c>
      <c r="Y683" s="33" t="n">
        <v>6</v>
      </c>
      <c r="Z683" s="33" t="n">
        <v>4</v>
      </c>
      <c r="AA683" s="33" t="inlineStr">
        <is>
          <t>1</t>
        </is>
      </c>
      <c r="AB683" s="33" t="inlineStr">
        <is>
          <t>https://www.swimcloud.com/results/227041/event/35/?id=123077426#time123077426</t>
        </is>
      </c>
      <c r="AC683" s="33" t="inlineStr">
        <is>
          <t>SwimCloud API v6 2026-10-08</t>
        </is>
      </c>
      <c r="AD683" s="33" t="inlineStr">
        <is>
          <t>Duncan Scott|2020-02-22|LCM|100|Fly|53.09|McCullagh International Meet|PRE|False</t>
        </is>
      </c>
      <c r="AE683" s="53">
        <f>G683+L683/1000+ROW()/1000000000</f>
        <v/>
      </c>
      <c r="AF683" s="35">
        <f>IF(C683&lt;&gt;"Grayson Coulter","",COUNTIFS($C$5:$C$2991,"Grayson Coulter",$Q$5:$Q$2991,Q683,$AE$5:$AE$2991,"&lt;="&amp;AE683,$R$5:$R$2991,"&lt;"&amp;R683))</f>
        <v/>
      </c>
      <c r="AG683" s="35">
        <f>IF(OR(C683&lt;&gt;"Grayson Coulter",G683&lt;'00_Control'!$B$7),"",--(AF683&lt;5))</f>
        <v/>
      </c>
      <c r="AH683" s="35">
        <f>IF(OR(C683&lt;&gt;"Grayson Coulter",G683&lt;'00_Control'!$B$7),"",--(AF683&lt;10))</f>
        <v/>
      </c>
      <c r="AI683" s="35">
        <f>IF(AND(C683="Grayson Coulter",G683&gt;='00_Control'!$B$7),"YES","NO")</f>
        <v/>
      </c>
      <c r="AJ683" s="33" t="inlineStr">
        <is>
          <t>OK</t>
        </is>
      </c>
    </row>
    <row r="684">
      <c r="A684" s="33" t="inlineStr">
        <is>
          <t>SM000680</t>
        </is>
      </c>
      <c r="B684" s="33" t="inlineStr">
        <is>
          <t>SW016</t>
        </is>
      </c>
      <c r="C684" s="33" t="inlineStr">
        <is>
          <t>Duncan Scott</t>
        </is>
      </c>
      <c r="D684" s="33" t="inlineStr">
        <is>
          <t>SwimCloud</t>
        </is>
      </c>
      <c r="E684" s="33" t="inlineStr">
        <is>
          <t>375606</t>
        </is>
      </c>
      <c r="F684" s="33" t="inlineStr">
        <is>
          <t>123077427</t>
        </is>
      </c>
      <c r="G684" s="51" t="n">
        <v>43883</v>
      </c>
      <c r="H684" s="33" t="inlineStr">
        <is>
          <t>McCullagh International Meet</t>
        </is>
      </c>
      <c r="I684" s="33" t="inlineStr">
        <is>
          <t>227041</t>
        </is>
      </c>
      <c r="J684" s="33" t="inlineStr"/>
      <c r="K684" s="33" t="inlineStr">
        <is>
          <t>FIN</t>
        </is>
      </c>
      <c r="L684" s="35">
        <f>IF(K684="FIN",3,IF(OR(K684="SEM",K684="SEMI"),2,IF(OR(K684="PRE",K684="HEAT"),1,IF(V684="YES",4,2))))</f>
        <v/>
      </c>
      <c r="M684" s="33" t="inlineStr">
        <is>
          <t>LCM</t>
        </is>
      </c>
      <c r="N684" s="33" t="n">
        <v>100</v>
      </c>
      <c r="O684" s="33" t="inlineStr">
        <is>
          <t>Fly</t>
        </is>
      </c>
      <c r="P684" s="33" t="inlineStr">
        <is>
          <t>100 Fly</t>
        </is>
      </c>
      <c r="Q684" s="33" t="inlineStr">
        <is>
          <t>LCM_100_FLY</t>
        </is>
      </c>
      <c r="R684" s="36" t="n">
        <v>52.84</v>
      </c>
      <c r="S684" s="35">
        <f>IF(R684="","",IF(R684&gt;=60,INT(R684/60)&amp;":"&amp;TEXT(MOD(R684,60),"00.00"),TEXT(R684,"0.00")))</f>
        <v/>
      </c>
      <c r="T684" s="52">
        <f>IFERROR((G684-INDEX('01_Swimmers'!$E$5:$E$22,MATCH(B684,'01_Swimmers'!$A$5:$A$22,0)))/'00_Control'!$B$10,"")</f>
        <v/>
      </c>
      <c r="U684" s="35">
        <f>IF(T684="","",INT(T684))</f>
        <v/>
      </c>
      <c r="V684" s="33" t="inlineStr">
        <is>
          <t>NO</t>
        </is>
      </c>
      <c r="W684" s="33" t="inlineStr">
        <is>
          <t>YES</t>
        </is>
      </c>
      <c r="X684" s="33" t="inlineStr">
        <is>
          <t>NO</t>
        </is>
      </c>
      <c r="Y684" s="33" t="n">
        <v>2</v>
      </c>
      <c r="Z684" s="33" t="n">
        <v>4</v>
      </c>
      <c r="AA684" s="33" t="inlineStr">
        <is>
          <t>1</t>
        </is>
      </c>
      <c r="AB684" s="33" t="inlineStr">
        <is>
          <t>https://www.swimcloud.com/results/227041/event/35/?id=123077427#time123077427</t>
        </is>
      </c>
      <c r="AC684" s="33" t="inlineStr">
        <is>
          <t>SwimCloud API v6 2026-10-08</t>
        </is>
      </c>
      <c r="AD684" s="33" t="inlineStr">
        <is>
          <t>Duncan Scott|2020-02-22|LCM|100|Fly|52.84|McCullagh International Meet|FIN|False</t>
        </is>
      </c>
      <c r="AE684" s="53">
        <f>G684+L684/1000+ROW()/1000000000</f>
        <v/>
      </c>
      <c r="AF684" s="35">
        <f>IF(C684&lt;&gt;"Grayson Coulter","",COUNTIFS($C$5:$C$2991,"Grayson Coulter",$Q$5:$Q$2991,Q684,$AE$5:$AE$2991,"&lt;="&amp;AE684,$R$5:$R$2991,"&lt;"&amp;R684))</f>
        <v/>
      </c>
      <c r="AG684" s="35">
        <f>IF(OR(C684&lt;&gt;"Grayson Coulter",G684&lt;'00_Control'!$B$7),"",--(AF684&lt;5))</f>
        <v/>
      </c>
      <c r="AH684" s="35">
        <f>IF(OR(C684&lt;&gt;"Grayson Coulter",G684&lt;'00_Control'!$B$7),"",--(AF684&lt;10))</f>
        <v/>
      </c>
      <c r="AI684" s="35">
        <f>IF(AND(C684="Grayson Coulter",G684&gt;='00_Control'!$B$7),"YES","NO")</f>
        <v/>
      </c>
      <c r="AJ684" s="33" t="inlineStr">
        <is>
          <t>OK</t>
        </is>
      </c>
    </row>
    <row r="685">
      <c r="A685" s="33" t="inlineStr">
        <is>
          <t>SM000681</t>
        </is>
      </c>
      <c r="B685" s="33" t="inlineStr">
        <is>
          <t>SW016</t>
        </is>
      </c>
      <c r="C685" s="33" t="inlineStr">
        <is>
          <t>Duncan Scott</t>
        </is>
      </c>
      <c r="D685" s="33" t="inlineStr">
        <is>
          <t>SwimCloud</t>
        </is>
      </c>
      <c r="E685" s="33" t="inlineStr">
        <is>
          <t>375606</t>
        </is>
      </c>
      <c r="F685" s="33" t="inlineStr">
        <is>
          <t>123139407</t>
        </is>
      </c>
      <c r="G685" s="51" t="n">
        <v>43903</v>
      </c>
      <c r="H685" s="33" t="inlineStr">
        <is>
          <t>Edinburgh International Meet</t>
        </is>
      </c>
      <c r="I685" s="33" t="inlineStr">
        <is>
          <t>179453</t>
        </is>
      </c>
      <c r="J685" s="33" t="inlineStr"/>
      <c r="K685" s="33" t="inlineStr">
        <is>
          <t>PRE</t>
        </is>
      </c>
      <c r="L685" s="35">
        <f>IF(K685="FIN",3,IF(OR(K685="SEM",K685="SEMI"),2,IF(OR(K685="PRE",K685="HEAT"),1,IF(V685="YES",4,2))))</f>
        <v/>
      </c>
      <c r="M685" s="33" t="inlineStr">
        <is>
          <t>LCM</t>
        </is>
      </c>
      <c r="N685" s="33" t="n">
        <v>200</v>
      </c>
      <c r="O685" s="33" t="inlineStr">
        <is>
          <t>Free</t>
        </is>
      </c>
      <c r="P685" s="33" t="inlineStr">
        <is>
          <t>200 Free</t>
        </is>
      </c>
      <c r="Q685" s="33" t="inlineStr">
        <is>
          <t>LCM_200_FREE</t>
        </is>
      </c>
      <c r="R685" s="36" t="n">
        <v>109.56</v>
      </c>
      <c r="S685" s="35">
        <f>IF(R685="","",IF(R685&gt;=60,INT(R685/60)&amp;":"&amp;TEXT(MOD(R685,60),"00.00"),TEXT(R685,"0.00")))</f>
        <v/>
      </c>
      <c r="T685" s="52">
        <f>IFERROR((G685-INDEX('01_Swimmers'!$E$5:$E$22,MATCH(B685,'01_Swimmers'!$A$5:$A$22,0)))/'00_Control'!$B$10,"")</f>
        <v/>
      </c>
      <c r="U685" s="35">
        <f>IF(T685="","",INT(T685))</f>
        <v/>
      </c>
      <c r="V685" s="33" t="inlineStr">
        <is>
          <t>NO</t>
        </is>
      </c>
      <c r="W685" s="33" t="inlineStr">
        <is>
          <t>YES</t>
        </is>
      </c>
      <c r="X685" s="33" t="inlineStr">
        <is>
          <t>NO</t>
        </is>
      </c>
      <c r="Y685" s="33" t="n">
        <v>5</v>
      </c>
      <c r="Z685" s="33" t="n">
        <v>4</v>
      </c>
      <c r="AA685" s="33" t="inlineStr">
        <is>
          <t>3</t>
        </is>
      </c>
      <c r="AB685" s="33" t="inlineStr">
        <is>
          <t>https://www.swimcloud.com/results/179453/event/105/?id=123139407#time123139407</t>
        </is>
      </c>
      <c r="AC685" s="33" t="inlineStr">
        <is>
          <t>SwimCloud API v6 2026-10-08</t>
        </is>
      </c>
      <c r="AD685" s="33" t="inlineStr">
        <is>
          <t>Duncan Scott|2020-03-13|LCM|200|Free|109.56|Edinburgh International Meet|PRE|False</t>
        </is>
      </c>
      <c r="AE685" s="53">
        <f>G685+L685/1000+ROW()/1000000000</f>
        <v/>
      </c>
      <c r="AF685" s="35">
        <f>IF(C685&lt;&gt;"Grayson Coulter","",COUNTIFS($C$5:$C$2991,"Grayson Coulter",$Q$5:$Q$2991,Q685,$AE$5:$AE$2991,"&lt;="&amp;AE685,$R$5:$R$2991,"&lt;"&amp;R685))</f>
        <v/>
      </c>
      <c r="AG685" s="35">
        <f>IF(OR(C685&lt;&gt;"Grayson Coulter",G685&lt;'00_Control'!$B$7),"",--(AF685&lt;5))</f>
        <v/>
      </c>
      <c r="AH685" s="35">
        <f>IF(OR(C685&lt;&gt;"Grayson Coulter",G685&lt;'00_Control'!$B$7),"",--(AF685&lt;10))</f>
        <v/>
      </c>
      <c r="AI685" s="35">
        <f>IF(AND(C685="Grayson Coulter",G685&gt;='00_Control'!$B$7),"YES","NO")</f>
        <v/>
      </c>
      <c r="AJ685" s="33" t="inlineStr">
        <is>
          <t>OK</t>
        </is>
      </c>
    </row>
    <row r="686">
      <c r="A686" s="33" t="inlineStr">
        <is>
          <t>SM000682</t>
        </is>
      </c>
      <c r="B686" s="33" t="inlineStr">
        <is>
          <t>SW016</t>
        </is>
      </c>
      <c r="C686" s="33" t="inlineStr">
        <is>
          <t>Duncan Scott</t>
        </is>
      </c>
      <c r="D686" s="33" t="inlineStr">
        <is>
          <t>SwimCloud</t>
        </is>
      </c>
      <c r="E686" s="33" t="inlineStr">
        <is>
          <t>375606</t>
        </is>
      </c>
      <c r="F686" s="33" t="inlineStr">
        <is>
          <t>123139408</t>
        </is>
      </c>
      <c r="G686" s="51" t="n">
        <v>43903</v>
      </c>
      <c r="H686" s="33" t="inlineStr">
        <is>
          <t>Edinburgh International Meet</t>
        </is>
      </c>
      <c r="I686" s="33" t="inlineStr">
        <is>
          <t>179453</t>
        </is>
      </c>
      <c r="J686" s="33" t="inlineStr"/>
      <c r="K686" s="33" t="inlineStr">
        <is>
          <t>FIN</t>
        </is>
      </c>
      <c r="L686" s="35">
        <f>IF(K686="FIN",3,IF(OR(K686="SEM",K686="SEMI"),2,IF(OR(K686="PRE",K686="HEAT"),1,IF(V686="YES",4,2))))</f>
        <v/>
      </c>
      <c r="M686" s="33" t="inlineStr">
        <is>
          <t>LCM</t>
        </is>
      </c>
      <c r="N686" s="33" t="n">
        <v>200</v>
      </c>
      <c r="O686" s="33" t="inlineStr">
        <is>
          <t>Free</t>
        </is>
      </c>
      <c r="P686" s="33" t="inlineStr">
        <is>
          <t>200 Free</t>
        </is>
      </c>
      <c r="Q686" s="33" t="inlineStr">
        <is>
          <t>LCM_200_FREE</t>
        </is>
      </c>
      <c r="R686" s="36" t="n">
        <v>107.39</v>
      </c>
      <c r="S686" s="35">
        <f>IF(R686="","",IF(R686&gt;=60,INT(R686/60)&amp;":"&amp;TEXT(MOD(R686,60),"00.00"),TEXT(R686,"0.00")))</f>
        <v/>
      </c>
      <c r="T686" s="52">
        <f>IFERROR((G686-INDEX('01_Swimmers'!$E$5:$E$22,MATCH(B686,'01_Swimmers'!$A$5:$A$22,0)))/'00_Control'!$B$10,"")</f>
        <v/>
      </c>
      <c r="U686" s="35">
        <f>IF(T686="","",INT(T686))</f>
        <v/>
      </c>
      <c r="V686" s="33" t="inlineStr">
        <is>
          <t>NO</t>
        </is>
      </c>
      <c r="W686" s="33" t="inlineStr">
        <is>
          <t>YES</t>
        </is>
      </c>
      <c r="X686" s="33" t="inlineStr">
        <is>
          <t>NO</t>
        </is>
      </c>
      <c r="Y686" s="33" t="n">
        <v>3</v>
      </c>
      <c r="Z686" s="33" t="n">
        <v>3</v>
      </c>
      <c r="AA686" s="33" t="inlineStr">
        <is>
          <t>3</t>
        </is>
      </c>
      <c r="AB686" s="33" t="inlineStr">
        <is>
          <t>https://www.swimcloud.com/results/179453/event/105/?id=123139408#time123139408</t>
        </is>
      </c>
      <c r="AC686" s="33" t="inlineStr">
        <is>
          <t>SwimCloud API v6 2026-10-08</t>
        </is>
      </c>
      <c r="AD686" s="33" t="inlineStr">
        <is>
          <t>Duncan Scott|2020-03-13|LCM|200|Free|107.39|Edinburgh International Meet|FIN|False</t>
        </is>
      </c>
      <c r="AE686" s="53">
        <f>G686+L686/1000+ROW()/1000000000</f>
        <v/>
      </c>
      <c r="AF686" s="35">
        <f>IF(C686&lt;&gt;"Grayson Coulter","",COUNTIFS($C$5:$C$2991,"Grayson Coulter",$Q$5:$Q$2991,Q686,$AE$5:$AE$2991,"&lt;="&amp;AE686,$R$5:$R$2991,"&lt;"&amp;R686))</f>
        <v/>
      </c>
      <c r="AG686" s="35">
        <f>IF(OR(C686&lt;&gt;"Grayson Coulter",G686&lt;'00_Control'!$B$7),"",--(AF686&lt;5))</f>
        <v/>
      </c>
      <c r="AH686" s="35">
        <f>IF(OR(C686&lt;&gt;"Grayson Coulter",G686&lt;'00_Control'!$B$7),"",--(AF686&lt;10))</f>
        <v/>
      </c>
      <c r="AI686" s="35">
        <f>IF(AND(C686="Grayson Coulter",G686&gt;='00_Control'!$B$7),"YES","NO")</f>
        <v/>
      </c>
      <c r="AJ686" s="33" t="inlineStr">
        <is>
          <t>OK</t>
        </is>
      </c>
    </row>
    <row r="687">
      <c r="A687" s="33" t="inlineStr">
        <is>
          <t>SM000683</t>
        </is>
      </c>
      <c r="B687" s="33" t="inlineStr">
        <is>
          <t>SW016</t>
        </is>
      </c>
      <c r="C687" s="33" t="inlineStr">
        <is>
          <t>Duncan Scott</t>
        </is>
      </c>
      <c r="D687" s="33" t="inlineStr">
        <is>
          <t>SwimCloud</t>
        </is>
      </c>
      <c r="E687" s="33" t="inlineStr">
        <is>
          <t>375606</t>
        </is>
      </c>
      <c r="F687" s="33" t="inlineStr">
        <is>
          <t>123141419</t>
        </is>
      </c>
      <c r="G687" s="51" t="n">
        <v>43905</v>
      </c>
      <c r="H687" s="33" t="inlineStr">
        <is>
          <t>Edinburgh International Meet</t>
        </is>
      </c>
      <c r="I687" s="33" t="inlineStr">
        <is>
          <t>179453</t>
        </is>
      </c>
      <c r="J687" s="33" t="inlineStr"/>
      <c r="K687" s="33" t="inlineStr">
        <is>
          <t>PRE</t>
        </is>
      </c>
      <c r="L687" s="35">
        <f>IF(K687="FIN",3,IF(OR(K687="SEM",K687="SEMI"),2,IF(OR(K687="PRE",K687="HEAT"),1,IF(V687="YES",4,2))))</f>
        <v/>
      </c>
      <c r="M687" s="33" t="inlineStr">
        <is>
          <t>LCM</t>
        </is>
      </c>
      <c r="N687" s="33" t="n">
        <v>100</v>
      </c>
      <c r="O687" s="33" t="inlineStr">
        <is>
          <t>Free</t>
        </is>
      </c>
      <c r="P687" s="33" t="inlineStr">
        <is>
          <t>100 Free</t>
        </is>
      </c>
      <c r="Q687" s="33" t="inlineStr">
        <is>
          <t>LCM_100_FREE</t>
        </is>
      </c>
      <c r="R687" s="36" t="n">
        <v>48.86</v>
      </c>
      <c r="S687" s="35">
        <f>IF(R687="","",IF(R687&gt;=60,INT(R687/60)&amp;":"&amp;TEXT(MOD(R687,60),"00.00"),TEXT(R687,"0.00")))</f>
        <v/>
      </c>
      <c r="T687" s="52">
        <f>IFERROR((G687-INDEX('01_Swimmers'!$E$5:$E$22,MATCH(B687,'01_Swimmers'!$A$5:$A$22,0)))/'00_Control'!$B$10,"")</f>
        <v/>
      </c>
      <c r="U687" s="35">
        <f>IF(T687="","",INT(T687))</f>
        <v/>
      </c>
      <c r="V687" s="33" t="inlineStr">
        <is>
          <t>NO</t>
        </is>
      </c>
      <c r="W687" s="33" t="inlineStr">
        <is>
          <t>YES</t>
        </is>
      </c>
      <c r="X687" s="33" t="inlineStr">
        <is>
          <t>NO</t>
        </is>
      </c>
      <c r="Y687" s="33" t="n">
        <v>4</v>
      </c>
      <c r="Z687" s="33" t="n">
        <v>4</v>
      </c>
      <c r="AA687" s="33" t="inlineStr">
        <is>
          <t>1</t>
        </is>
      </c>
      <c r="AB687" s="33" t="inlineStr">
        <is>
          <t>https://www.swimcloud.com/results/179453/event/306/?id=123141419#time123141419</t>
        </is>
      </c>
      <c r="AC687" s="33" t="inlineStr">
        <is>
          <t>SwimCloud API v6 2026-10-08</t>
        </is>
      </c>
      <c r="AD687" s="33" t="inlineStr">
        <is>
          <t>Duncan Scott|2020-03-15|LCM|100|Free|48.86|Edinburgh International Meet|PRE|False</t>
        </is>
      </c>
      <c r="AE687" s="53">
        <f>G687+L687/1000+ROW()/1000000000</f>
        <v/>
      </c>
      <c r="AF687" s="35">
        <f>IF(C687&lt;&gt;"Grayson Coulter","",COUNTIFS($C$5:$C$2991,"Grayson Coulter",$Q$5:$Q$2991,Q687,$AE$5:$AE$2991,"&lt;="&amp;AE687,$R$5:$R$2991,"&lt;"&amp;R687))</f>
        <v/>
      </c>
      <c r="AG687" s="35">
        <f>IF(OR(C687&lt;&gt;"Grayson Coulter",G687&lt;'00_Control'!$B$7),"",--(AF687&lt;5))</f>
        <v/>
      </c>
      <c r="AH687" s="35">
        <f>IF(OR(C687&lt;&gt;"Grayson Coulter",G687&lt;'00_Control'!$B$7),"",--(AF687&lt;10))</f>
        <v/>
      </c>
      <c r="AI687" s="35">
        <f>IF(AND(C687="Grayson Coulter",G687&gt;='00_Control'!$B$7),"YES","NO")</f>
        <v/>
      </c>
      <c r="AJ687" s="33" t="inlineStr">
        <is>
          <t>OK</t>
        </is>
      </c>
    </row>
    <row r="688">
      <c r="A688" s="33" t="inlineStr">
        <is>
          <t>SM000684</t>
        </is>
      </c>
      <c r="B688" s="33" t="inlineStr">
        <is>
          <t>SW016</t>
        </is>
      </c>
      <c r="C688" s="33" t="inlineStr">
        <is>
          <t>Duncan Scott</t>
        </is>
      </c>
      <c r="D688" s="33" t="inlineStr">
        <is>
          <t>SwimCloud</t>
        </is>
      </c>
      <c r="E688" s="33" t="inlineStr">
        <is>
          <t>375606</t>
        </is>
      </c>
      <c r="F688" s="33" t="inlineStr">
        <is>
          <t>123141420</t>
        </is>
      </c>
      <c r="G688" s="51" t="n">
        <v>43905</v>
      </c>
      <c r="H688" s="33" t="inlineStr">
        <is>
          <t>Edinburgh International Meet</t>
        </is>
      </c>
      <c r="I688" s="33" t="inlineStr">
        <is>
          <t>179453</t>
        </is>
      </c>
      <c r="J688" s="33" t="inlineStr"/>
      <c r="K688" s="33" t="inlineStr">
        <is>
          <t>FIN</t>
        </is>
      </c>
      <c r="L688" s="35">
        <f>IF(K688="FIN",3,IF(OR(K688="SEM",K688="SEMI"),2,IF(OR(K688="PRE",K688="HEAT"),1,IF(V688="YES",4,2))))</f>
        <v/>
      </c>
      <c r="M688" s="33" t="inlineStr">
        <is>
          <t>LCM</t>
        </is>
      </c>
      <c r="N688" s="33" t="n">
        <v>100</v>
      </c>
      <c r="O688" s="33" t="inlineStr">
        <is>
          <t>Free</t>
        </is>
      </c>
      <c r="P688" s="33" t="inlineStr">
        <is>
          <t>100 Free</t>
        </is>
      </c>
      <c r="Q688" s="33" t="inlineStr">
        <is>
          <t>LCM_100_FREE</t>
        </is>
      </c>
      <c r="R688" s="36" t="n">
        <v>48.49</v>
      </c>
      <c r="S688" s="35">
        <f>IF(R688="","",IF(R688&gt;=60,INT(R688/60)&amp;":"&amp;TEXT(MOD(R688,60),"00.00"),TEXT(R688,"0.00")))</f>
        <v/>
      </c>
      <c r="T688" s="52">
        <f>IFERROR((G688-INDEX('01_Swimmers'!$E$5:$E$22,MATCH(B688,'01_Swimmers'!$A$5:$A$22,0)))/'00_Control'!$B$10,"")</f>
        <v/>
      </c>
      <c r="U688" s="35">
        <f>IF(T688="","",INT(T688))</f>
        <v/>
      </c>
      <c r="V688" s="33" t="inlineStr">
        <is>
          <t>NO</t>
        </is>
      </c>
      <c r="W688" s="33" t="inlineStr">
        <is>
          <t>YES</t>
        </is>
      </c>
      <c r="X688" s="33" t="inlineStr">
        <is>
          <t>NO</t>
        </is>
      </c>
      <c r="Y688" s="33" t="n">
        <v>3</v>
      </c>
      <c r="Z688" s="33" t="n">
        <v>4</v>
      </c>
      <c r="AA688" s="33" t="inlineStr">
        <is>
          <t>1</t>
        </is>
      </c>
      <c r="AB688" s="33" t="inlineStr">
        <is>
          <t>https://www.swimcloud.com/results/179453/event/306/?id=123141420#time123141420</t>
        </is>
      </c>
      <c r="AC688" s="33" t="inlineStr">
        <is>
          <t>SwimCloud API v6 2026-10-08</t>
        </is>
      </c>
      <c r="AD688" s="33" t="inlineStr">
        <is>
          <t>Duncan Scott|2020-03-15|LCM|100|Free|48.49|Edinburgh International Meet|FIN|False</t>
        </is>
      </c>
      <c r="AE688" s="53">
        <f>G688+L688/1000+ROW()/1000000000</f>
        <v/>
      </c>
      <c r="AF688" s="35">
        <f>IF(C688&lt;&gt;"Grayson Coulter","",COUNTIFS($C$5:$C$2991,"Grayson Coulter",$Q$5:$Q$2991,Q688,$AE$5:$AE$2991,"&lt;="&amp;AE688,$R$5:$R$2991,"&lt;"&amp;R688))</f>
        <v/>
      </c>
      <c r="AG688" s="35">
        <f>IF(OR(C688&lt;&gt;"Grayson Coulter",G688&lt;'00_Control'!$B$7),"",--(AF688&lt;5))</f>
        <v/>
      </c>
      <c r="AH688" s="35">
        <f>IF(OR(C688&lt;&gt;"Grayson Coulter",G688&lt;'00_Control'!$B$7),"",--(AF688&lt;10))</f>
        <v/>
      </c>
      <c r="AI688" s="35">
        <f>IF(AND(C688="Grayson Coulter",G688&gt;='00_Control'!$B$7),"YES","NO")</f>
        <v/>
      </c>
      <c r="AJ688" s="33" t="inlineStr">
        <is>
          <t>OK</t>
        </is>
      </c>
    </row>
    <row r="689">
      <c r="A689" s="33" t="inlineStr">
        <is>
          <t>SM000685</t>
        </is>
      </c>
      <c r="B689" s="33" t="inlineStr">
        <is>
          <t>SW016</t>
        </is>
      </c>
      <c r="C689" s="33" t="inlineStr">
        <is>
          <t>Duncan Scott</t>
        </is>
      </c>
      <c r="D689" s="33" t="inlineStr">
        <is>
          <t>SwimCloud</t>
        </is>
      </c>
      <c r="E689" s="33" t="inlineStr">
        <is>
          <t>375606</t>
        </is>
      </c>
      <c r="F689" s="33" t="inlineStr">
        <is>
          <t>36881188</t>
        </is>
      </c>
      <c r="G689" s="51" t="n">
        <v>44122</v>
      </c>
      <c r="H689" s="33" t="inlineStr">
        <is>
          <t>International Swim League - Match 2</t>
        </is>
      </c>
      <c r="I689" s="33" t="inlineStr">
        <is>
          <t>184818</t>
        </is>
      </c>
      <c r="J689" s="33" t="inlineStr"/>
      <c r="K689" s="33" t="inlineStr">
        <is>
          <t>TIM</t>
        </is>
      </c>
      <c r="L689" s="35">
        <f>IF(K689="FIN",3,IF(OR(K689="SEM",K689="SEMI"),2,IF(OR(K689="PRE",K689="HEAT"),1,IF(V689="YES",4,2))))</f>
        <v/>
      </c>
      <c r="M689" s="33" t="inlineStr">
        <is>
          <t>SCM</t>
        </is>
      </c>
      <c r="N689" s="33" t="n">
        <v>100</v>
      </c>
      <c r="O689" s="33" t="inlineStr">
        <is>
          <t>Free</t>
        </is>
      </c>
      <c r="P689" s="33" t="inlineStr">
        <is>
          <t>100 Free</t>
        </is>
      </c>
      <c r="Q689" s="33" t="inlineStr">
        <is>
          <t>SCM_100_FREE</t>
        </is>
      </c>
      <c r="R689" s="36" t="n">
        <v>46.66</v>
      </c>
      <c r="S689" s="35">
        <f>IF(R689="","",IF(R689&gt;=60,INT(R689/60)&amp;":"&amp;TEXT(MOD(R689,60),"00.00"),TEXT(R689,"0.00")))</f>
        <v/>
      </c>
      <c r="T689" s="52">
        <f>IFERROR((G689-INDEX('01_Swimmers'!$E$5:$E$22,MATCH(B689,'01_Swimmers'!$A$5:$A$22,0)))/'00_Control'!$B$10,"")</f>
        <v/>
      </c>
      <c r="U689" s="35">
        <f>IF(T689="","",INT(T689))</f>
        <v/>
      </c>
      <c r="V689" s="33" t="inlineStr">
        <is>
          <t>NO</t>
        </is>
      </c>
      <c r="W689" s="33" t="inlineStr">
        <is>
          <t>YES</t>
        </is>
      </c>
      <c r="X689" s="33" t="inlineStr">
        <is>
          <t>NO</t>
        </is>
      </c>
      <c r="Y689" s="33" t="n"/>
      <c r="Z689" s="33" t="n"/>
      <c r="AA689" s="33" t="inlineStr">
        <is>
          <t>4</t>
        </is>
      </c>
      <c r="AB689" s="33" t="inlineStr">
        <is>
          <t>https://www.swimcloud.com/results/184818/event/122/?id=36881188#time36881188</t>
        </is>
      </c>
      <c r="AC689" s="33" t="inlineStr">
        <is>
          <t>SwimCloud API v6 2026-10-08</t>
        </is>
      </c>
      <c r="AD689" s="33" t="inlineStr">
        <is>
          <t>Duncan Scott|2020-10-18|SCM|100|Free|46.66|International Swim League - Match 2|TIM|False</t>
        </is>
      </c>
      <c r="AE689" s="53">
        <f>G689+L689/1000+ROW()/1000000000</f>
        <v/>
      </c>
      <c r="AF689" s="35">
        <f>IF(C689&lt;&gt;"Grayson Coulter","",COUNTIFS($C$5:$C$2991,"Grayson Coulter",$Q$5:$Q$2991,Q689,$AE$5:$AE$2991,"&lt;="&amp;AE689,$R$5:$R$2991,"&lt;"&amp;R689))</f>
        <v/>
      </c>
      <c r="AG689" s="35">
        <f>IF(OR(C689&lt;&gt;"Grayson Coulter",G689&lt;'00_Control'!$B$7),"",--(AF689&lt;5))</f>
        <v/>
      </c>
      <c r="AH689" s="35">
        <f>IF(OR(C689&lt;&gt;"Grayson Coulter",G689&lt;'00_Control'!$B$7),"",--(AF689&lt;10))</f>
        <v/>
      </c>
      <c r="AI689" s="35">
        <f>IF(AND(C689="Grayson Coulter",G689&gt;='00_Control'!$B$7),"YES","NO")</f>
        <v/>
      </c>
      <c r="AJ689" s="33" t="inlineStr">
        <is>
          <t>OK</t>
        </is>
      </c>
    </row>
    <row r="690">
      <c r="A690" s="33" t="inlineStr">
        <is>
          <t>SM000686</t>
        </is>
      </c>
      <c r="B690" s="33" t="inlineStr">
        <is>
          <t>SW016</t>
        </is>
      </c>
      <c r="C690" s="33" t="inlineStr">
        <is>
          <t>Duncan Scott</t>
        </is>
      </c>
      <c r="D690" s="33" t="inlineStr">
        <is>
          <t>SwimCloud</t>
        </is>
      </c>
      <c r="E690" s="33" t="inlineStr">
        <is>
          <t>375606</t>
        </is>
      </c>
      <c r="F690" s="33" t="inlineStr">
        <is>
          <t>36881249</t>
        </is>
      </c>
      <c r="G690" s="51" t="n">
        <v>44122</v>
      </c>
      <c r="H690" s="33" t="inlineStr">
        <is>
          <t>International Swim League - Match 2</t>
        </is>
      </c>
      <c r="I690" s="33" t="inlineStr">
        <is>
          <t>184818</t>
        </is>
      </c>
      <c r="J690" s="33" t="inlineStr"/>
      <c r="K690" s="33" t="inlineStr">
        <is>
          <t>TIM</t>
        </is>
      </c>
      <c r="L690" s="35">
        <f>IF(K690="FIN",3,IF(OR(K690="SEM",K690="SEMI"),2,IF(OR(K690="PRE",K690="HEAT"),1,IF(V690="YES",4,2))))</f>
        <v/>
      </c>
      <c r="M690" s="33" t="inlineStr">
        <is>
          <t>SCM</t>
        </is>
      </c>
      <c r="N690" s="33" t="n">
        <v>200</v>
      </c>
      <c r="O690" s="33" t="inlineStr">
        <is>
          <t>Free</t>
        </is>
      </c>
      <c r="P690" s="33" t="inlineStr">
        <is>
          <t>200 Free</t>
        </is>
      </c>
      <c r="Q690" s="33" t="inlineStr">
        <is>
          <t>SCM_200_FREE</t>
        </is>
      </c>
      <c r="R690" s="36" t="n">
        <v>102.74</v>
      </c>
      <c r="S690" s="35">
        <f>IF(R690="","",IF(R690&gt;=60,INT(R690/60)&amp;":"&amp;TEXT(MOD(R690,60),"00.00"),TEXT(R690,"0.00")))</f>
        <v/>
      </c>
      <c r="T690" s="52">
        <f>IFERROR((G690-INDEX('01_Swimmers'!$E$5:$E$22,MATCH(B690,'01_Swimmers'!$A$5:$A$22,0)))/'00_Control'!$B$10,"")</f>
        <v/>
      </c>
      <c r="U690" s="35">
        <f>IF(T690="","",INT(T690))</f>
        <v/>
      </c>
      <c r="V690" s="33" t="inlineStr">
        <is>
          <t>NO</t>
        </is>
      </c>
      <c r="W690" s="33" t="inlineStr">
        <is>
          <t>YES</t>
        </is>
      </c>
      <c r="X690" s="33" t="inlineStr">
        <is>
          <t>NO</t>
        </is>
      </c>
      <c r="Y690" s="33" t="n"/>
      <c r="Z690" s="33" t="n"/>
      <c r="AA690" s="33" t="inlineStr">
        <is>
          <t>1</t>
        </is>
      </c>
      <c r="AB690" s="33" t="inlineStr">
        <is>
          <t>https://www.swimcloud.com/results/184818/event/130/?id=36881249#time36881249</t>
        </is>
      </c>
      <c r="AC690" s="33" t="inlineStr">
        <is>
          <t>SwimCloud API v6 2026-10-08</t>
        </is>
      </c>
      <c r="AD690" s="33" t="inlineStr">
        <is>
          <t>Duncan Scott|2020-10-18|SCM|200|Free|102.74|International Swim League - Match 2|TIM|False</t>
        </is>
      </c>
      <c r="AE690" s="53">
        <f>G690+L690/1000+ROW()/1000000000</f>
        <v/>
      </c>
      <c r="AF690" s="35">
        <f>IF(C690&lt;&gt;"Grayson Coulter","",COUNTIFS($C$5:$C$2991,"Grayson Coulter",$Q$5:$Q$2991,Q690,$AE$5:$AE$2991,"&lt;="&amp;AE690,$R$5:$R$2991,"&lt;"&amp;R690))</f>
        <v/>
      </c>
      <c r="AG690" s="35">
        <f>IF(OR(C690&lt;&gt;"Grayson Coulter",G690&lt;'00_Control'!$B$7),"",--(AF690&lt;5))</f>
        <v/>
      </c>
      <c r="AH690" s="35">
        <f>IF(OR(C690&lt;&gt;"Grayson Coulter",G690&lt;'00_Control'!$B$7),"",--(AF690&lt;10))</f>
        <v/>
      </c>
      <c r="AI690" s="35">
        <f>IF(AND(C690="Grayson Coulter",G690&gt;='00_Control'!$B$7),"YES","NO")</f>
        <v/>
      </c>
      <c r="AJ690" s="33" t="inlineStr">
        <is>
          <t>OK</t>
        </is>
      </c>
    </row>
    <row r="691">
      <c r="A691" s="33" t="inlineStr">
        <is>
          <t>SM000687</t>
        </is>
      </c>
      <c r="B691" s="33" t="inlineStr">
        <is>
          <t>SW016</t>
        </is>
      </c>
      <c r="C691" s="33" t="inlineStr">
        <is>
          <t>Duncan Scott</t>
        </is>
      </c>
      <c r="D691" s="33" t="inlineStr">
        <is>
          <t>SwimCloud</t>
        </is>
      </c>
      <c r="E691" s="33" t="inlineStr">
        <is>
          <t>375606</t>
        </is>
      </c>
      <c r="F691" s="33" t="inlineStr">
        <is>
          <t>37074118</t>
        </is>
      </c>
      <c r="G691" s="51" t="n">
        <v>44134</v>
      </c>
      <c r="H691" s="33" t="inlineStr">
        <is>
          <t>International Swim League - Match 5</t>
        </is>
      </c>
      <c r="I691" s="33" t="inlineStr">
        <is>
          <t>185448</t>
        </is>
      </c>
      <c r="J691" s="33" t="inlineStr"/>
      <c r="K691" s="33" t="inlineStr">
        <is>
          <t>TIM</t>
        </is>
      </c>
      <c r="L691" s="35">
        <f>IF(K691="FIN",3,IF(OR(K691="SEM",K691="SEMI"),2,IF(OR(K691="PRE",K691="HEAT"),1,IF(V691="YES",4,2))))</f>
        <v/>
      </c>
      <c r="M691" s="33" t="inlineStr">
        <is>
          <t>SCM</t>
        </is>
      </c>
      <c r="N691" s="33" t="n">
        <v>100</v>
      </c>
      <c r="O691" s="33" t="inlineStr">
        <is>
          <t>Free</t>
        </is>
      </c>
      <c r="P691" s="33" t="inlineStr">
        <is>
          <t>100 Free</t>
        </is>
      </c>
      <c r="Q691" s="33" t="inlineStr">
        <is>
          <t>SCM_100_FREE</t>
        </is>
      </c>
      <c r="R691" s="36" t="n">
        <v>46.86</v>
      </c>
      <c r="S691" s="35">
        <f>IF(R691="","",IF(R691&gt;=60,INT(R691/60)&amp;":"&amp;TEXT(MOD(R691,60),"00.00"),TEXT(R691,"0.00")))</f>
        <v/>
      </c>
      <c r="T691" s="52">
        <f>IFERROR((G691-INDEX('01_Swimmers'!$E$5:$E$22,MATCH(B691,'01_Swimmers'!$A$5:$A$22,0)))/'00_Control'!$B$10,"")</f>
        <v/>
      </c>
      <c r="U691" s="35">
        <f>IF(T691="","",INT(T691))</f>
        <v/>
      </c>
      <c r="V691" s="33" t="inlineStr">
        <is>
          <t>NO</t>
        </is>
      </c>
      <c r="W691" s="33" t="inlineStr">
        <is>
          <t>YES</t>
        </is>
      </c>
      <c r="X691" s="33" t="inlineStr">
        <is>
          <t>NO</t>
        </is>
      </c>
      <c r="Y691" s="33" t="n"/>
      <c r="Z691" s="33" t="n"/>
      <c r="AA691" s="33" t="inlineStr">
        <is>
          <t>2</t>
        </is>
      </c>
      <c r="AB691" s="33" t="inlineStr">
        <is>
          <t>https://www.swimcloud.com/results/185448/event/22/?id=37074118#time37074118</t>
        </is>
      </c>
      <c r="AC691" s="33" t="inlineStr">
        <is>
          <t>SwimCloud API v6 2026-10-08</t>
        </is>
      </c>
      <c r="AD691" s="33" t="inlineStr">
        <is>
          <t>Duncan Scott|2020-10-30|SCM|100|Free|46.86|International Swim League - Match 5|TIM|False</t>
        </is>
      </c>
      <c r="AE691" s="53">
        <f>G691+L691/1000+ROW()/1000000000</f>
        <v/>
      </c>
      <c r="AF691" s="35">
        <f>IF(C691&lt;&gt;"Grayson Coulter","",COUNTIFS($C$5:$C$2991,"Grayson Coulter",$Q$5:$Q$2991,Q691,$AE$5:$AE$2991,"&lt;="&amp;AE691,$R$5:$R$2991,"&lt;"&amp;R691))</f>
        <v/>
      </c>
      <c r="AG691" s="35">
        <f>IF(OR(C691&lt;&gt;"Grayson Coulter",G691&lt;'00_Control'!$B$7),"",--(AF691&lt;5))</f>
        <v/>
      </c>
      <c r="AH691" s="35">
        <f>IF(OR(C691&lt;&gt;"Grayson Coulter",G691&lt;'00_Control'!$B$7),"",--(AF691&lt;10))</f>
        <v/>
      </c>
      <c r="AI691" s="35">
        <f>IF(AND(C691="Grayson Coulter",G691&gt;='00_Control'!$B$7),"YES","NO")</f>
        <v/>
      </c>
      <c r="AJ691" s="33" t="inlineStr">
        <is>
          <t>OK</t>
        </is>
      </c>
    </row>
    <row r="692">
      <c r="A692" s="33" t="inlineStr">
        <is>
          <t>SM000688</t>
        </is>
      </c>
      <c r="B692" s="33" t="inlineStr">
        <is>
          <t>SW016</t>
        </is>
      </c>
      <c r="C692" s="33" t="inlineStr">
        <is>
          <t>Duncan Scott</t>
        </is>
      </c>
      <c r="D692" s="33" t="inlineStr">
        <is>
          <t>SwimCloud</t>
        </is>
      </c>
      <c r="E692" s="33" t="inlineStr">
        <is>
          <t>375606</t>
        </is>
      </c>
      <c r="F692" s="33" t="inlineStr">
        <is>
          <t>37074276</t>
        </is>
      </c>
      <c r="G692" s="51" t="n">
        <v>44134</v>
      </c>
      <c r="H692" s="33" t="inlineStr">
        <is>
          <t>International Swim League - Match 5</t>
        </is>
      </c>
      <c r="I692" s="33" t="inlineStr">
        <is>
          <t>185448</t>
        </is>
      </c>
      <c r="J692" s="33" t="inlineStr"/>
      <c r="K692" s="33" t="inlineStr">
        <is>
          <t>TIM</t>
        </is>
      </c>
      <c r="L692" s="35">
        <f>IF(K692="FIN",3,IF(OR(K692="SEM",K692="SEMI"),2,IF(OR(K692="PRE",K692="HEAT"),1,IF(V692="YES",4,2))))</f>
        <v/>
      </c>
      <c r="M692" s="33" t="inlineStr">
        <is>
          <t>SCM</t>
        </is>
      </c>
      <c r="N692" s="33" t="n">
        <v>100</v>
      </c>
      <c r="O692" s="33" t="inlineStr">
        <is>
          <t>Free</t>
        </is>
      </c>
      <c r="P692" s="33" t="inlineStr">
        <is>
          <t>100 Free</t>
        </is>
      </c>
      <c r="Q692" s="33" t="inlineStr">
        <is>
          <t>SCM_100_FREE</t>
        </is>
      </c>
      <c r="R692" s="36" t="n">
        <v>47.32</v>
      </c>
      <c r="S692" s="35">
        <f>IF(R692="","",IF(R692&gt;=60,INT(R692/60)&amp;":"&amp;TEXT(MOD(R692,60),"00.00"),TEXT(R692,"0.00")))</f>
        <v/>
      </c>
      <c r="T692" s="52">
        <f>IFERROR((G692-INDEX('01_Swimmers'!$E$5:$E$22,MATCH(B692,'01_Swimmers'!$A$5:$A$22,0)))/'00_Control'!$B$10,"")</f>
        <v/>
      </c>
      <c r="U692" s="35">
        <f>IF(T692="","",INT(T692))</f>
        <v/>
      </c>
      <c r="V692" s="33" t="inlineStr">
        <is>
          <t>YES</t>
        </is>
      </c>
      <c r="W692" s="33" t="inlineStr">
        <is>
          <t>YES</t>
        </is>
      </c>
      <c r="X692" s="33" t="inlineStr">
        <is>
          <t>NO</t>
        </is>
      </c>
      <c r="Y692" s="33" t="n"/>
      <c r="Z692" s="33" t="n"/>
      <c r="AA692" s="33" t="inlineStr"/>
      <c r="AB692" s="33" t="inlineStr">
        <is>
          <t>https://www.swimcloud.com/results/185448/event/35/?id=37074275#time37074275</t>
        </is>
      </c>
      <c r="AC692" s="33" t="inlineStr">
        <is>
          <t>SwimCloud API v6 2026-10-08</t>
        </is>
      </c>
      <c r="AD692" s="33" t="inlineStr">
        <is>
          <t>Duncan Scott|2020-10-30|SCM|100|Free|47.32|International Swim League - Match 5|TIM|True</t>
        </is>
      </c>
      <c r="AE692" s="53">
        <f>G692+L692/1000+ROW()/1000000000</f>
        <v/>
      </c>
      <c r="AF692" s="35">
        <f>IF(C692&lt;&gt;"Grayson Coulter","",COUNTIFS($C$5:$C$2991,"Grayson Coulter",$Q$5:$Q$2991,Q692,$AE$5:$AE$2991,"&lt;="&amp;AE692,$R$5:$R$2991,"&lt;"&amp;R692))</f>
        <v/>
      </c>
      <c r="AG692" s="35">
        <f>IF(OR(C692&lt;&gt;"Grayson Coulter",G692&lt;'00_Control'!$B$7),"",--(AF692&lt;5))</f>
        <v/>
      </c>
      <c r="AH692" s="35">
        <f>IF(OR(C692&lt;&gt;"Grayson Coulter",G692&lt;'00_Control'!$B$7),"",--(AF692&lt;10))</f>
        <v/>
      </c>
      <c r="AI692" s="35">
        <f>IF(AND(C692="Grayson Coulter",G692&gt;='00_Control'!$B$7),"YES","NO")</f>
        <v/>
      </c>
      <c r="AJ692" s="33" t="inlineStr">
        <is>
          <t>OK</t>
        </is>
      </c>
    </row>
    <row r="693">
      <c r="A693" s="33" t="inlineStr">
        <is>
          <t>SM000689</t>
        </is>
      </c>
      <c r="B693" s="33" t="inlineStr">
        <is>
          <t>SW016</t>
        </is>
      </c>
      <c r="C693" s="33" t="inlineStr">
        <is>
          <t>Duncan Scott</t>
        </is>
      </c>
      <c r="D693" s="33" t="inlineStr">
        <is>
          <t>SwimCloud</t>
        </is>
      </c>
      <c r="E693" s="33" t="inlineStr">
        <is>
          <t>375606</t>
        </is>
      </c>
      <c r="F693" s="33" t="inlineStr">
        <is>
          <t>37074182</t>
        </is>
      </c>
      <c r="G693" s="51" t="n">
        <v>44134</v>
      </c>
      <c r="H693" s="33" t="inlineStr">
        <is>
          <t>International Swim League - Match 5</t>
        </is>
      </c>
      <c r="I693" s="33" t="inlineStr">
        <is>
          <t>185448</t>
        </is>
      </c>
      <c r="J693" s="33" t="inlineStr"/>
      <c r="K693" s="33" t="inlineStr">
        <is>
          <t>TIM</t>
        </is>
      </c>
      <c r="L693" s="35">
        <f>IF(K693="FIN",3,IF(OR(K693="SEM",K693="SEMI"),2,IF(OR(K693="PRE",K693="HEAT"),1,IF(V693="YES",4,2))))</f>
        <v/>
      </c>
      <c r="M693" s="33" t="inlineStr">
        <is>
          <t>SCM</t>
        </is>
      </c>
      <c r="N693" s="33" t="n">
        <v>200</v>
      </c>
      <c r="O693" s="33" t="inlineStr">
        <is>
          <t>Free</t>
        </is>
      </c>
      <c r="P693" s="33" t="inlineStr">
        <is>
          <t>200 Free</t>
        </is>
      </c>
      <c r="Q693" s="33" t="inlineStr">
        <is>
          <t>SCM_200_FREE</t>
        </is>
      </c>
      <c r="R693" s="36" t="n">
        <v>102.02</v>
      </c>
      <c r="S693" s="35">
        <f>IF(R693="","",IF(R693&gt;=60,INT(R693/60)&amp;":"&amp;TEXT(MOD(R693,60),"00.00"),TEXT(R693,"0.00")))</f>
        <v/>
      </c>
      <c r="T693" s="52">
        <f>IFERROR((G693-INDEX('01_Swimmers'!$E$5:$E$22,MATCH(B693,'01_Swimmers'!$A$5:$A$22,0)))/'00_Control'!$B$10,"")</f>
        <v/>
      </c>
      <c r="U693" s="35">
        <f>IF(T693="","",INT(T693))</f>
        <v/>
      </c>
      <c r="V693" s="33" t="inlineStr">
        <is>
          <t>NO</t>
        </is>
      </c>
      <c r="W693" s="33" t="inlineStr">
        <is>
          <t>YES</t>
        </is>
      </c>
      <c r="X693" s="33" t="inlineStr">
        <is>
          <t>NO</t>
        </is>
      </c>
      <c r="Y693" s="33" t="n"/>
      <c r="Z693" s="33" t="n"/>
      <c r="AA693" s="33" t="inlineStr">
        <is>
          <t>2</t>
        </is>
      </c>
      <c r="AB693" s="33" t="inlineStr">
        <is>
          <t>https://www.swimcloud.com/results/185448/event/30/?id=37074182#time37074182</t>
        </is>
      </c>
      <c r="AC693" s="33" t="inlineStr">
        <is>
          <t>SwimCloud API v6 2026-10-08</t>
        </is>
      </c>
      <c r="AD693" s="33" t="inlineStr">
        <is>
          <t>Duncan Scott|2020-10-30|SCM|200|Free|102.02|International Swim League - Match 5|TIM|False</t>
        </is>
      </c>
      <c r="AE693" s="53">
        <f>G693+L693/1000+ROW()/1000000000</f>
        <v/>
      </c>
      <c r="AF693" s="35">
        <f>IF(C693&lt;&gt;"Grayson Coulter","",COUNTIFS($C$5:$C$2991,"Grayson Coulter",$Q$5:$Q$2991,Q693,$AE$5:$AE$2991,"&lt;="&amp;AE693,$R$5:$R$2991,"&lt;"&amp;R693))</f>
        <v/>
      </c>
      <c r="AG693" s="35">
        <f>IF(OR(C693&lt;&gt;"Grayson Coulter",G693&lt;'00_Control'!$B$7),"",--(AF693&lt;5))</f>
        <v/>
      </c>
      <c r="AH693" s="35">
        <f>IF(OR(C693&lt;&gt;"Grayson Coulter",G693&lt;'00_Control'!$B$7),"",--(AF693&lt;10))</f>
        <v/>
      </c>
      <c r="AI693" s="35">
        <f>IF(AND(C693="Grayson Coulter",G693&gt;='00_Control'!$B$7),"YES","NO")</f>
        <v/>
      </c>
      <c r="AJ693" s="33" t="inlineStr">
        <is>
          <t>OK</t>
        </is>
      </c>
    </row>
    <row r="694">
      <c r="A694" s="33" t="inlineStr">
        <is>
          <t>SM000690</t>
        </is>
      </c>
      <c r="B694" s="33" t="inlineStr">
        <is>
          <t>SW016</t>
        </is>
      </c>
      <c r="C694" s="33" t="inlineStr">
        <is>
          <t>Duncan Scott</t>
        </is>
      </c>
      <c r="D694" s="33" t="inlineStr">
        <is>
          <t>SwimCloud</t>
        </is>
      </c>
      <c r="E694" s="33" t="inlineStr">
        <is>
          <t>375606</t>
        </is>
      </c>
      <c r="F694" s="33" t="inlineStr">
        <is>
          <t>65886592</t>
        </is>
      </c>
      <c r="G694" s="51" t="n">
        <v>44141</v>
      </c>
      <c r="H694" s="33" t="inlineStr">
        <is>
          <t>International Swim League - Match 8</t>
        </is>
      </c>
      <c r="I694" s="33" t="inlineStr">
        <is>
          <t>185450</t>
        </is>
      </c>
      <c r="J694" s="33" t="inlineStr"/>
      <c r="K694" s="33" t="inlineStr">
        <is>
          <t>FIN</t>
        </is>
      </c>
      <c r="L694" s="35">
        <f>IF(K694="FIN",3,IF(OR(K694="SEM",K694="SEMI"),2,IF(OR(K694="PRE",K694="HEAT"),1,IF(V694="YES",4,2))))</f>
        <v/>
      </c>
      <c r="M694" s="33" t="inlineStr">
        <is>
          <t>SCM</t>
        </is>
      </c>
      <c r="N694" s="33" t="n">
        <v>100</v>
      </c>
      <c r="O694" s="33" t="inlineStr">
        <is>
          <t>Free</t>
        </is>
      </c>
      <c r="P694" s="33" t="inlineStr">
        <is>
          <t>100 Free</t>
        </is>
      </c>
      <c r="Q694" s="33" t="inlineStr">
        <is>
          <t>SCM_100_FREE</t>
        </is>
      </c>
      <c r="R694" s="36" t="n">
        <v>47.49</v>
      </c>
      <c r="S694" s="35">
        <f>IF(R694="","",IF(R694&gt;=60,INT(R694/60)&amp;":"&amp;TEXT(MOD(R694,60),"00.00"),TEXT(R694,"0.00")))</f>
        <v/>
      </c>
      <c r="T694" s="52">
        <f>IFERROR((G694-INDEX('01_Swimmers'!$E$5:$E$22,MATCH(B694,'01_Swimmers'!$A$5:$A$22,0)))/'00_Control'!$B$10,"")</f>
        <v/>
      </c>
      <c r="U694" s="35">
        <f>IF(T694="","",INT(T694))</f>
        <v/>
      </c>
      <c r="V694" s="33" t="inlineStr">
        <is>
          <t>YES</t>
        </is>
      </c>
      <c r="W694" s="33" t="inlineStr">
        <is>
          <t>YES</t>
        </is>
      </c>
      <c r="X694" s="33" t="inlineStr">
        <is>
          <t>NO</t>
        </is>
      </c>
      <c r="Y694" s="33" t="n">
        <v>1</v>
      </c>
      <c r="Z694" s="33" t="n">
        <v>5</v>
      </c>
      <c r="AA694" s="33" t="inlineStr"/>
      <c r="AB694" s="33" t="inlineStr">
        <is>
          <t>https://www.swimcloud.com/results/185450/event/35/?id=65886366#time65886366</t>
        </is>
      </c>
      <c r="AC694" s="33" t="inlineStr">
        <is>
          <t>SwimCloud API v6 2026-10-08</t>
        </is>
      </c>
      <c r="AD694" s="33" t="inlineStr">
        <is>
          <t>Duncan Scott|2020-11-06|SCM|100|Free|47.49|International Swim League - Match 8|FIN|True</t>
        </is>
      </c>
      <c r="AE694" s="53">
        <f>G694+L694/1000+ROW()/1000000000</f>
        <v/>
      </c>
      <c r="AF694" s="35">
        <f>IF(C694&lt;&gt;"Grayson Coulter","",COUNTIFS($C$5:$C$2991,"Grayson Coulter",$Q$5:$Q$2991,Q694,$AE$5:$AE$2991,"&lt;="&amp;AE694,$R$5:$R$2991,"&lt;"&amp;R694))</f>
        <v/>
      </c>
      <c r="AG694" s="35">
        <f>IF(OR(C694&lt;&gt;"Grayson Coulter",G694&lt;'00_Control'!$B$7),"",--(AF694&lt;5))</f>
        <v/>
      </c>
      <c r="AH694" s="35">
        <f>IF(OR(C694&lt;&gt;"Grayson Coulter",G694&lt;'00_Control'!$B$7),"",--(AF694&lt;10))</f>
        <v/>
      </c>
      <c r="AI694" s="35">
        <f>IF(AND(C694="Grayson Coulter",G694&gt;='00_Control'!$B$7),"YES","NO")</f>
        <v/>
      </c>
      <c r="AJ694" s="33" t="inlineStr">
        <is>
          <t>OK</t>
        </is>
      </c>
    </row>
    <row r="695">
      <c r="A695" s="33" t="inlineStr">
        <is>
          <t>SM000691</t>
        </is>
      </c>
      <c r="B695" s="33" t="inlineStr">
        <is>
          <t>SW016</t>
        </is>
      </c>
      <c r="C695" s="33" t="inlineStr">
        <is>
          <t>Duncan Scott</t>
        </is>
      </c>
      <c r="D695" s="33" t="inlineStr">
        <is>
          <t>SwimCloud</t>
        </is>
      </c>
      <c r="E695" s="33" t="inlineStr">
        <is>
          <t>375606</t>
        </is>
      </c>
      <c r="F695" s="33" t="inlineStr">
        <is>
          <t>65886313</t>
        </is>
      </c>
      <c r="G695" s="51" t="n">
        <v>44141</v>
      </c>
      <c r="H695" s="33" t="inlineStr">
        <is>
          <t>International Swim League - Match 8</t>
        </is>
      </c>
      <c r="I695" s="33" t="inlineStr">
        <is>
          <t>185450</t>
        </is>
      </c>
      <c r="J695" s="33" t="inlineStr"/>
      <c r="K695" s="33" t="inlineStr">
        <is>
          <t>FIN</t>
        </is>
      </c>
      <c r="L695" s="35">
        <f>IF(K695="FIN",3,IF(OR(K695="SEM",K695="SEMI"),2,IF(OR(K695="PRE",K695="HEAT"),1,IF(V695="YES",4,2))))</f>
        <v/>
      </c>
      <c r="M695" s="33" t="inlineStr">
        <is>
          <t>SCM</t>
        </is>
      </c>
      <c r="N695" s="33" t="n">
        <v>200</v>
      </c>
      <c r="O695" s="33" t="inlineStr">
        <is>
          <t>Free</t>
        </is>
      </c>
      <c r="P695" s="33" t="inlineStr">
        <is>
          <t>200 Free</t>
        </is>
      </c>
      <c r="Q695" s="33" t="inlineStr">
        <is>
          <t>SCM_200_FREE</t>
        </is>
      </c>
      <c r="R695" s="36" t="n">
        <v>102.46</v>
      </c>
      <c r="S695" s="35">
        <f>IF(R695="","",IF(R695&gt;=60,INT(R695/60)&amp;":"&amp;TEXT(MOD(R695,60),"00.00"),TEXT(R695,"0.00")))</f>
        <v/>
      </c>
      <c r="T695" s="52">
        <f>IFERROR((G695-INDEX('01_Swimmers'!$E$5:$E$22,MATCH(B695,'01_Swimmers'!$A$5:$A$22,0)))/'00_Control'!$B$10,"")</f>
        <v/>
      </c>
      <c r="U695" s="35">
        <f>IF(T695="","",INT(T695))</f>
        <v/>
      </c>
      <c r="V695" s="33" t="inlineStr">
        <is>
          <t>NO</t>
        </is>
      </c>
      <c r="W695" s="33" t="inlineStr">
        <is>
          <t>YES</t>
        </is>
      </c>
      <c r="X695" s="33" t="inlineStr">
        <is>
          <t>NO</t>
        </is>
      </c>
      <c r="Y695" s="33" t="n">
        <v>1</v>
      </c>
      <c r="Z695" s="33" t="n">
        <v>5</v>
      </c>
      <c r="AA695" s="33" t="inlineStr">
        <is>
          <t>3</t>
        </is>
      </c>
      <c r="AB695" s="33" t="inlineStr">
        <is>
          <t>https://www.swimcloud.com/results/185450/event/30/?id=65886313#time65886313</t>
        </is>
      </c>
      <c r="AC695" s="33" t="inlineStr">
        <is>
          <t>SwimCloud API v6 2026-10-08</t>
        </is>
      </c>
      <c r="AD695" s="33" t="inlineStr">
        <is>
          <t>Duncan Scott|2020-11-06|SCM|200|Free|102.46|International Swim League - Match 8|FIN|False</t>
        </is>
      </c>
      <c r="AE695" s="53">
        <f>G695+L695/1000+ROW()/1000000000</f>
        <v/>
      </c>
      <c r="AF695" s="35">
        <f>IF(C695&lt;&gt;"Grayson Coulter","",COUNTIFS($C$5:$C$2991,"Grayson Coulter",$Q$5:$Q$2991,Q695,$AE$5:$AE$2991,"&lt;="&amp;AE695,$R$5:$R$2991,"&lt;"&amp;R695))</f>
        <v/>
      </c>
      <c r="AG695" s="35">
        <f>IF(OR(C695&lt;&gt;"Grayson Coulter",G695&lt;'00_Control'!$B$7),"",--(AF695&lt;5))</f>
        <v/>
      </c>
      <c r="AH695" s="35">
        <f>IF(OR(C695&lt;&gt;"Grayson Coulter",G695&lt;'00_Control'!$B$7),"",--(AF695&lt;10))</f>
        <v/>
      </c>
      <c r="AI695" s="35">
        <f>IF(AND(C695="Grayson Coulter",G695&gt;='00_Control'!$B$7),"YES","NO")</f>
        <v/>
      </c>
      <c r="AJ695" s="33" t="inlineStr">
        <is>
          <t>OK</t>
        </is>
      </c>
    </row>
    <row r="696">
      <c r="A696" s="33" t="inlineStr">
        <is>
          <t>SM000692</t>
        </is>
      </c>
      <c r="B696" s="33" t="inlineStr">
        <is>
          <t>SW016</t>
        </is>
      </c>
      <c r="C696" s="33" t="inlineStr">
        <is>
          <t>Duncan Scott</t>
        </is>
      </c>
      <c r="D696" s="33" t="inlineStr">
        <is>
          <t>SwimCloud</t>
        </is>
      </c>
      <c r="E696" s="33" t="inlineStr">
        <is>
          <t>375606</t>
        </is>
      </c>
      <c r="F696" s="33" t="inlineStr">
        <is>
          <t>65686416</t>
        </is>
      </c>
      <c r="G696" s="51" t="n">
        <v>44144</v>
      </c>
      <c r="H696" s="33" t="inlineStr">
        <is>
          <t>International Swim League - Match 10</t>
        </is>
      </c>
      <c r="I696" s="33" t="inlineStr">
        <is>
          <t>185453</t>
        </is>
      </c>
      <c r="J696" s="33" t="inlineStr"/>
      <c r="K696" s="33" t="inlineStr">
        <is>
          <t>FIN</t>
        </is>
      </c>
      <c r="L696" s="35">
        <f>IF(K696="FIN",3,IF(OR(K696="SEM",K696="SEMI"),2,IF(OR(K696="PRE",K696="HEAT"),1,IF(V696="YES",4,2))))</f>
        <v/>
      </c>
      <c r="M696" s="33" t="inlineStr">
        <is>
          <t>SCM</t>
        </is>
      </c>
      <c r="N696" s="33" t="n">
        <v>100</v>
      </c>
      <c r="O696" s="33" t="inlineStr">
        <is>
          <t>Free</t>
        </is>
      </c>
      <c r="P696" s="33" t="inlineStr">
        <is>
          <t>100 Free</t>
        </is>
      </c>
      <c r="Q696" s="33" t="inlineStr">
        <is>
          <t>SCM_100_FREE</t>
        </is>
      </c>
      <c r="R696" s="36" t="n">
        <v>47.14</v>
      </c>
      <c r="S696" s="35">
        <f>IF(R696="","",IF(R696&gt;=60,INT(R696/60)&amp;":"&amp;TEXT(MOD(R696,60),"00.00"),TEXT(R696,"0.00")))</f>
        <v/>
      </c>
      <c r="T696" s="52">
        <f>IFERROR((G696-INDEX('01_Swimmers'!$E$5:$E$22,MATCH(B696,'01_Swimmers'!$A$5:$A$22,0)))/'00_Control'!$B$10,"")</f>
        <v/>
      </c>
      <c r="U696" s="35">
        <f>IF(T696="","",INT(T696))</f>
        <v/>
      </c>
      <c r="V696" s="33" t="inlineStr">
        <is>
          <t>YES</t>
        </is>
      </c>
      <c r="W696" s="33" t="inlineStr">
        <is>
          <t>YES</t>
        </is>
      </c>
      <c r="X696" s="33" t="inlineStr">
        <is>
          <t>NO</t>
        </is>
      </c>
      <c r="Y696" s="33" t="n">
        <v>1</v>
      </c>
      <c r="Z696" s="33" t="n">
        <v>4</v>
      </c>
      <c r="AA696" s="33" t="inlineStr"/>
      <c r="AB696" s="33" t="inlineStr">
        <is>
          <t>https://www.swimcloud.com/results/185453/event/14/?id=65686283#time65686283</t>
        </is>
      </c>
      <c r="AC696" s="33" t="inlineStr">
        <is>
          <t>SwimCloud API v6 2026-10-08</t>
        </is>
      </c>
      <c r="AD696" s="33" t="inlineStr">
        <is>
          <t>Duncan Scott|2020-11-09|SCM|100|Free|47.14|International Swim League - Match 10|FIN|True</t>
        </is>
      </c>
      <c r="AE696" s="53">
        <f>G696+L696/1000+ROW()/1000000000</f>
        <v/>
      </c>
      <c r="AF696" s="35">
        <f>IF(C696&lt;&gt;"Grayson Coulter","",COUNTIFS($C$5:$C$2991,"Grayson Coulter",$Q$5:$Q$2991,Q696,$AE$5:$AE$2991,"&lt;="&amp;AE696,$R$5:$R$2991,"&lt;"&amp;R696))</f>
        <v/>
      </c>
      <c r="AG696" s="35">
        <f>IF(OR(C696&lt;&gt;"Grayson Coulter",G696&lt;'00_Control'!$B$7),"",--(AF696&lt;5))</f>
        <v/>
      </c>
      <c r="AH696" s="35">
        <f>IF(OR(C696&lt;&gt;"Grayson Coulter",G696&lt;'00_Control'!$B$7),"",--(AF696&lt;10))</f>
        <v/>
      </c>
      <c r="AI696" s="35">
        <f>IF(AND(C696="Grayson Coulter",G696&gt;='00_Control'!$B$7),"YES","NO")</f>
        <v/>
      </c>
      <c r="AJ696" s="33" t="inlineStr">
        <is>
          <t>OK</t>
        </is>
      </c>
    </row>
    <row r="697">
      <c r="A697" s="33" t="inlineStr">
        <is>
          <t>SM000693</t>
        </is>
      </c>
      <c r="B697" s="33" t="inlineStr">
        <is>
          <t>SW016</t>
        </is>
      </c>
      <c r="C697" s="33" t="inlineStr">
        <is>
          <t>Duncan Scott</t>
        </is>
      </c>
      <c r="D697" s="33" t="inlineStr">
        <is>
          <t>SwimCloud</t>
        </is>
      </c>
      <c r="E697" s="33" t="inlineStr">
        <is>
          <t>375606</t>
        </is>
      </c>
      <c r="F697" s="33" t="inlineStr">
        <is>
          <t>65686234</t>
        </is>
      </c>
      <c r="G697" s="51" t="n">
        <v>44145</v>
      </c>
      <c r="H697" s="33" t="inlineStr">
        <is>
          <t>International Swim League - Match 10</t>
        </is>
      </c>
      <c r="I697" s="33" t="inlineStr">
        <is>
          <t>185453</t>
        </is>
      </c>
      <c r="J697" s="33" t="inlineStr"/>
      <c r="K697" s="33" t="inlineStr">
        <is>
          <t>FIN</t>
        </is>
      </c>
      <c r="L697" s="35">
        <f>IF(K697="FIN",3,IF(OR(K697="SEM",K697="SEMI"),2,IF(OR(K697="PRE",K697="HEAT"),1,IF(V697="YES",4,2))))</f>
        <v/>
      </c>
      <c r="M697" s="33" t="inlineStr">
        <is>
          <t>SCM</t>
        </is>
      </c>
      <c r="N697" s="33" t="n">
        <v>100</v>
      </c>
      <c r="O697" s="33" t="inlineStr">
        <is>
          <t>Free</t>
        </is>
      </c>
      <c r="P697" s="33" t="inlineStr">
        <is>
          <t>100 Free</t>
        </is>
      </c>
      <c r="Q697" s="33" t="inlineStr">
        <is>
          <t>SCM_100_FREE</t>
        </is>
      </c>
      <c r="R697" s="36" t="n">
        <v>46.89</v>
      </c>
      <c r="S697" s="35">
        <f>IF(R697="","",IF(R697&gt;=60,INT(R697/60)&amp;":"&amp;TEXT(MOD(R697,60),"00.00"),TEXT(R697,"0.00")))</f>
        <v/>
      </c>
      <c r="T697" s="52">
        <f>IFERROR((G697-INDEX('01_Swimmers'!$E$5:$E$22,MATCH(B697,'01_Swimmers'!$A$5:$A$22,0)))/'00_Control'!$B$10,"")</f>
        <v/>
      </c>
      <c r="U697" s="35">
        <f>IF(T697="","",INT(T697))</f>
        <v/>
      </c>
      <c r="V697" s="33" t="inlineStr">
        <is>
          <t>NO</t>
        </is>
      </c>
      <c r="W697" s="33" t="inlineStr">
        <is>
          <t>YES</t>
        </is>
      </c>
      <c r="X697" s="33" t="inlineStr">
        <is>
          <t>NO</t>
        </is>
      </c>
      <c r="Y697" s="33" t="n">
        <v>1</v>
      </c>
      <c r="Z697" s="33" t="n">
        <v>2</v>
      </c>
      <c r="AA697" s="33" t="inlineStr">
        <is>
          <t>7</t>
        </is>
      </c>
      <c r="AB697" s="33" t="inlineStr">
        <is>
          <t>https://www.swimcloud.com/results/185453/event/22/?id=65686234#time65686234</t>
        </is>
      </c>
      <c r="AC697" s="33" t="inlineStr">
        <is>
          <t>SwimCloud API v6 2026-10-08</t>
        </is>
      </c>
      <c r="AD697" s="33" t="inlineStr">
        <is>
          <t>Duncan Scott|2020-11-10|SCM|100|Free|46.89|International Swim League - Match 10|FIN|False</t>
        </is>
      </c>
      <c r="AE697" s="53">
        <f>G697+L697/1000+ROW()/1000000000</f>
        <v/>
      </c>
      <c r="AF697" s="35">
        <f>IF(C697&lt;&gt;"Grayson Coulter","",COUNTIFS($C$5:$C$2991,"Grayson Coulter",$Q$5:$Q$2991,Q697,$AE$5:$AE$2991,"&lt;="&amp;AE697,$R$5:$R$2991,"&lt;"&amp;R697))</f>
        <v/>
      </c>
      <c r="AG697" s="35">
        <f>IF(OR(C697&lt;&gt;"Grayson Coulter",G697&lt;'00_Control'!$B$7),"",--(AF697&lt;5))</f>
        <v/>
      </c>
      <c r="AH697" s="35">
        <f>IF(OR(C697&lt;&gt;"Grayson Coulter",G697&lt;'00_Control'!$B$7),"",--(AF697&lt;10))</f>
        <v/>
      </c>
      <c r="AI697" s="35">
        <f>IF(AND(C697="Grayson Coulter",G697&gt;='00_Control'!$B$7),"YES","NO")</f>
        <v/>
      </c>
      <c r="AJ697" s="33" t="inlineStr">
        <is>
          <t>OK</t>
        </is>
      </c>
    </row>
    <row r="698">
      <c r="A698" s="33" t="inlineStr">
        <is>
          <t>SM000694</t>
        </is>
      </c>
      <c r="B698" s="33" t="inlineStr">
        <is>
          <t>SW016</t>
        </is>
      </c>
      <c r="C698" s="33" t="inlineStr">
        <is>
          <t>Duncan Scott</t>
        </is>
      </c>
      <c r="D698" s="33" t="inlineStr">
        <is>
          <t>SwimCloud</t>
        </is>
      </c>
      <c r="E698" s="33" t="inlineStr">
        <is>
          <t>375606</t>
        </is>
      </c>
      <c r="F698" s="33" t="inlineStr">
        <is>
          <t>65684717</t>
        </is>
      </c>
      <c r="G698" s="51" t="n">
        <v>44150</v>
      </c>
      <c r="H698" s="33" t="inlineStr">
        <is>
          <t>International Swim League - Semi-Final</t>
        </is>
      </c>
      <c r="I698" s="33" t="inlineStr">
        <is>
          <t>185454</t>
        </is>
      </c>
      <c r="J698" s="33" t="inlineStr"/>
      <c r="K698" s="33" t="inlineStr">
        <is>
          <t>FIN</t>
        </is>
      </c>
      <c r="L698" s="35">
        <f>IF(K698="FIN",3,IF(OR(K698="SEM",K698="SEMI"),2,IF(OR(K698="PRE",K698="HEAT"),1,IF(V698="YES",4,2))))</f>
        <v/>
      </c>
      <c r="M698" s="33" t="inlineStr">
        <is>
          <t>SCM</t>
        </is>
      </c>
      <c r="N698" s="33" t="n">
        <v>200</v>
      </c>
      <c r="O698" s="33" t="inlineStr">
        <is>
          <t>Free</t>
        </is>
      </c>
      <c r="P698" s="33" t="inlineStr">
        <is>
          <t>200 Free</t>
        </is>
      </c>
      <c r="Q698" s="33" t="inlineStr">
        <is>
          <t>SCM_200_FREE</t>
        </is>
      </c>
      <c r="R698" s="36" t="n">
        <v>100.76</v>
      </c>
      <c r="S698" s="35">
        <f>IF(R698="","",IF(R698&gt;=60,INT(R698/60)&amp;":"&amp;TEXT(MOD(R698,60),"00.00"),TEXT(R698,"0.00")))</f>
        <v/>
      </c>
      <c r="T698" s="52">
        <f>IFERROR((G698-INDEX('01_Swimmers'!$E$5:$E$22,MATCH(B698,'01_Swimmers'!$A$5:$A$22,0)))/'00_Control'!$B$10,"")</f>
        <v/>
      </c>
      <c r="U698" s="35">
        <f>IF(T698="","",INT(T698))</f>
        <v/>
      </c>
      <c r="V698" s="33" t="inlineStr">
        <is>
          <t>NO</t>
        </is>
      </c>
      <c r="W698" s="33" t="inlineStr">
        <is>
          <t>YES</t>
        </is>
      </c>
      <c r="X698" s="33" t="inlineStr">
        <is>
          <t>NO</t>
        </is>
      </c>
      <c r="Y698" s="33" t="n">
        <v>1</v>
      </c>
      <c r="Z698" s="33" t="n">
        <v>5</v>
      </c>
      <c r="AA698" s="33" t="inlineStr">
        <is>
          <t>1</t>
        </is>
      </c>
      <c r="AB698" s="33" t="inlineStr">
        <is>
          <t>https://www.swimcloud.com/results/185454/event/30/?id=65684717#time65684717</t>
        </is>
      </c>
      <c r="AC698" s="33" t="inlineStr">
        <is>
          <t>SwimCloud API v6 2026-10-08</t>
        </is>
      </c>
      <c r="AD698" s="33" t="inlineStr">
        <is>
          <t>Duncan Scott|2020-11-15|SCM|200|Free|100.76|International Swim League - Semi-Final|FIN|False</t>
        </is>
      </c>
      <c r="AE698" s="53">
        <f>G698+L698/1000+ROW()/1000000000</f>
        <v/>
      </c>
      <c r="AF698" s="35">
        <f>IF(C698&lt;&gt;"Grayson Coulter","",COUNTIFS($C$5:$C$2991,"Grayson Coulter",$Q$5:$Q$2991,Q698,$AE$5:$AE$2991,"&lt;="&amp;AE698,$R$5:$R$2991,"&lt;"&amp;R698))</f>
        <v/>
      </c>
      <c r="AG698" s="35">
        <f>IF(OR(C698&lt;&gt;"Grayson Coulter",G698&lt;'00_Control'!$B$7),"",--(AF698&lt;5))</f>
        <v/>
      </c>
      <c r="AH698" s="35">
        <f>IF(OR(C698&lt;&gt;"Grayson Coulter",G698&lt;'00_Control'!$B$7),"",--(AF698&lt;10))</f>
        <v/>
      </c>
      <c r="AI698" s="35">
        <f>IF(AND(C698="Grayson Coulter",G698&gt;='00_Control'!$B$7),"YES","NO")</f>
        <v/>
      </c>
      <c r="AJ698" s="33" t="inlineStr">
        <is>
          <t>OK</t>
        </is>
      </c>
    </row>
    <row r="699">
      <c r="A699" s="33" t="inlineStr">
        <is>
          <t>SM000695</t>
        </is>
      </c>
      <c r="B699" s="33" t="inlineStr">
        <is>
          <t>SW016</t>
        </is>
      </c>
      <c r="C699" s="33" t="inlineStr">
        <is>
          <t>Duncan Scott</t>
        </is>
      </c>
      <c r="D699" s="33" t="inlineStr">
        <is>
          <t>SwimCloud</t>
        </is>
      </c>
      <c r="E699" s="33" t="inlineStr">
        <is>
          <t>375606</t>
        </is>
      </c>
      <c r="F699" s="33" t="inlineStr">
        <is>
          <t>65683388</t>
        </is>
      </c>
      <c r="G699" s="51" t="n">
        <v>44157</v>
      </c>
      <c r="H699" s="33" t="inlineStr">
        <is>
          <t>International Swim League - Final</t>
        </is>
      </c>
      <c r="I699" s="33" t="inlineStr">
        <is>
          <t>185456</t>
        </is>
      </c>
      <c r="J699" s="33" t="inlineStr"/>
      <c r="K699" s="33" t="inlineStr">
        <is>
          <t>FIN</t>
        </is>
      </c>
      <c r="L699" s="35">
        <f>IF(K699="FIN",3,IF(OR(K699="SEM",K699="SEMI"),2,IF(OR(K699="PRE",K699="HEAT"),1,IF(V699="YES",4,2))))</f>
        <v/>
      </c>
      <c r="M699" s="33" t="inlineStr">
        <is>
          <t>SCM</t>
        </is>
      </c>
      <c r="N699" s="33" t="n">
        <v>200</v>
      </c>
      <c r="O699" s="33" t="inlineStr">
        <is>
          <t>Free</t>
        </is>
      </c>
      <c r="P699" s="33" t="inlineStr">
        <is>
          <t>200 Free</t>
        </is>
      </c>
      <c r="Q699" s="33" t="inlineStr">
        <is>
          <t>SCM_200_FREE</t>
        </is>
      </c>
      <c r="R699" s="36" t="n">
        <v>100.25</v>
      </c>
      <c r="S699" s="35">
        <f>IF(R699="","",IF(R699&gt;=60,INT(R699/60)&amp;":"&amp;TEXT(MOD(R699,60),"00.00"),TEXT(R699,"0.00")))</f>
        <v/>
      </c>
      <c r="T699" s="52">
        <f>IFERROR((G699-INDEX('01_Swimmers'!$E$5:$E$22,MATCH(B699,'01_Swimmers'!$A$5:$A$22,0)))/'00_Control'!$B$10,"")</f>
        <v/>
      </c>
      <c r="U699" s="35">
        <f>IF(T699="","",INT(T699))</f>
        <v/>
      </c>
      <c r="V699" s="33" t="inlineStr">
        <is>
          <t>NO</t>
        </is>
      </c>
      <c r="W699" s="33" t="inlineStr">
        <is>
          <t>YES</t>
        </is>
      </c>
      <c r="X699" s="33" t="inlineStr">
        <is>
          <t>NO</t>
        </is>
      </c>
      <c r="Y699" s="33" t="n">
        <v>1</v>
      </c>
      <c r="Z699" s="33" t="n">
        <v>1</v>
      </c>
      <c r="AA699" s="33" t="inlineStr">
        <is>
          <t>1</t>
        </is>
      </c>
      <c r="AB699" s="33" t="inlineStr">
        <is>
          <t>https://www.swimcloud.com/results/185456/event/30/?id=65683388#time65683388</t>
        </is>
      </c>
      <c r="AC699" s="33" t="inlineStr">
        <is>
          <t>SwimCloud API v6 2026-10-08</t>
        </is>
      </c>
      <c r="AD699" s="33" t="inlineStr">
        <is>
          <t>Duncan Scott|2020-11-22|SCM|200|Free|100.25|International Swim League - Final|FIN|False</t>
        </is>
      </c>
      <c r="AE699" s="53">
        <f>G699+L699/1000+ROW()/1000000000</f>
        <v/>
      </c>
      <c r="AF699" s="35">
        <f>IF(C699&lt;&gt;"Grayson Coulter","",COUNTIFS($C$5:$C$2991,"Grayson Coulter",$Q$5:$Q$2991,Q699,$AE$5:$AE$2991,"&lt;="&amp;AE699,$R$5:$R$2991,"&lt;"&amp;R699))</f>
        <v/>
      </c>
      <c r="AG699" s="35">
        <f>IF(OR(C699&lt;&gt;"Grayson Coulter",G699&lt;'00_Control'!$B$7),"",--(AF699&lt;5))</f>
        <v/>
      </c>
      <c r="AH699" s="35">
        <f>IF(OR(C699&lt;&gt;"Grayson Coulter",G699&lt;'00_Control'!$B$7),"",--(AF699&lt;10))</f>
        <v/>
      </c>
      <c r="AI699" s="35">
        <f>IF(AND(C699="Grayson Coulter",G699&gt;='00_Control'!$B$7),"YES","NO")</f>
        <v/>
      </c>
      <c r="AJ699" s="33" t="inlineStr">
        <is>
          <t>OK</t>
        </is>
      </c>
    </row>
    <row r="700">
      <c r="A700" s="33" t="inlineStr">
        <is>
          <t>SM000696</t>
        </is>
      </c>
      <c r="B700" s="33" t="inlineStr">
        <is>
          <t>SW016</t>
        </is>
      </c>
      <c r="C700" s="33" t="inlineStr">
        <is>
          <t>Duncan Scott</t>
        </is>
      </c>
      <c r="D700" s="33" t="inlineStr">
        <is>
          <t>SwimCloud</t>
        </is>
      </c>
      <c r="E700" s="33" t="inlineStr">
        <is>
          <t>375606</t>
        </is>
      </c>
      <c r="F700" s="33" t="inlineStr">
        <is>
          <t>41865461</t>
        </is>
      </c>
      <c r="G700" s="51" t="n">
        <v>44300</v>
      </c>
      <c r="H700" s="33" t="inlineStr">
        <is>
          <t>British Swimming Selection Trials</t>
        </is>
      </c>
      <c r="I700" s="33" t="inlineStr">
        <is>
          <t>197317</t>
        </is>
      </c>
      <c r="J700" s="33" t="inlineStr"/>
      <c r="K700" s="33" t="inlineStr">
        <is>
          <t>TIM</t>
        </is>
      </c>
      <c r="L700" s="35">
        <f>IF(K700="FIN",3,IF(OR(K700="SEM",K700="SEMI"),2,IF(OR(K700="PRE",K700="HEAT"),1,IF(V700="YES",4,2))))</f>
        <v/>
      </c>
      <c r="M700" s="33" t="inlineStr">
        <is>
          <t>LCM</t>
        </is>
      </c>
      <c r="N700" s="33" t="n">
        <v>100</v>
      </c>
      <c r="O700" s="33" t="inlineStr">
        <is>
          <t>Free</t>
        </is>
      </c>
      <c r="P700" s="33" t="inlineStr">
        <is>
          <t>100 Free</t>
        </is>
      </c>
      <c r="Q700" s="33" t="inlineStr">
        <is>
          <t>LCM_100_FREE</t>
        </is>
      </c>
      <c r="R700" s="36" t="n">
        <v>47.87</v>
      </c>
      <c r="S700" s="35">
        <f>IF(R700="","",IF(R700&gt;=60,INT(R700/60)&amp;":"&amp;TEXT(MOD(R700,60),"00.00"),TEXT(R700,"0.00")))</f>
        <v/>
      </c>
      <c r="T700" s="52">
        <f>IFERROR((G700-INDEX('01_Swimmers'!$E$5:$E$22,MATCH(B700,'01_Swimmers'!$A$5:$A$22,0)))/'00_Control'!$B$10,"")</f>
        <v/>
      </c>
      <c r="U700" s="35">
        <f>IF(T700="","",INT(T700))</f>
        <v/>
      </c>
      <c r="V700" s="33" t="inlineStr">
        <is>
          <t>NO</t>
        </is>
      </c>
      <c r="W700" s="33" t="inlineStr">
        <is>
          <t>YES</t>
        </is>
      </c>
      <c r="X700" s="33" t="inlineStr">
        <is>
          <t>NO</t>
        </is>
      </c>
      <c r="Y700" s="33" t="n"/>
      <c r="Z700" s="33" t="n"/>
      <c r="AA700" s="33" t="inlineStr">
        <is>
          <t>1</t>
        </is>
      </c>
      <c r="AB700" s="33" t="inlineStr">
        <is>
          <t>https://www.swimcloud.com/results/197317/event/4/?id=41865461#time41865461</t>
        </is>
      </c>
      <c r="AC700" s="33" t="inlineStr">
        <is>
          <t>SwimCloud API v6 2026-10-08</t>
        </is>
      </c>
      <c r="AD700" s="33" t="inlineStr">
        <is>
          <t>Duncan Scott|2021-04-14|LCM|100|Free|47.87|British Swimming Selection Trials|TIM|False</t>
        </is>
      </c>
      <c r="AE700" s="53">
        <f>G700+L700/1000+ROW()/1000000000</f>
        <v/>
      </c>
      <c r="AF700" s="35">
        <f>IF(C700&lt;&gt;"Grayson Coulter","",COUNTIFS($C$5:$C$2991,"Grayson Coulter",$Q$5:$Q$2991,Q700,$AE$5:$AE$2991,"&lt;="&amp;AE700,$R$5:$R$2991,"&lt;"&amp;R700))</f>
        <v/>
      </c>
      <c r="AG700" s="35">
        <f>IF(OR(C700&lt;&gt;"Grayson Coulter",G700&lt;'00_Control'!$B$7),"",--(AF700&lt;5))</f>
        <v/>
      </c>
      <c r="AH700" s="35">
        <f>IF(OR(C700&lt;&gt;"Grayson Coulter",G700&lt;'00_Control'!$B$7),"",--(AF700&lt;10))</f>
        <v/>
      </c>
      <c r="AI700" s="35">
        <f>IF(AND(C700="Grayson Coulter",G700&gt;='00_Control'!$B$7),"YES","NO")</f>
        <v/>
      </c>
      <c r="AJ700" s="33" t="inlineStr">
        <is>
          <t>OK</t>
        </is>
      </c>
    </row>
    <row r="701">
      <c r="A701" s="33" t="inlineStr">
        <is>
          <t>SM000697</t>
        </is>
      </c>
      <c r="B701" s="33" t="inlineStr">
        <is>
          <t>SW016</t>
        </is>
      </c>
      <c r="C701" s="33" t="inlineStr">
        <is>
          <t>Duncan Scott</t>
        </is>
      </c>
      <c r="D701" s="33" t="inlineStr">
        <is>
          <t>SwimCloud</t>
        </is>
      </c>
      <c r="E701" s="33" t="inlineStr">
        <is>
          <t>375606</t>
        </is>
      </c>
      <c r="F701" s="33" t="inlineStr">
        <is>
          <t>41349682</t>
        </is>
      </c>
      <c r="G701" s="51" t="n">
        <v>44300</v>
      </c>
      <c r="H701" s="33" t="inlineStr">
        <is>
          <t>British Swimming Selection Trials</t>
        </is>
      </c>
      <c r="I701" s="33" t="inlineStr">
        <is>
          <t>197317</t>
        </is>
      </c>
      <c r="J701" s="33" t="inlineStr"/>
      <c r="K701" s="33" t="inlineStr">
        <is>
          <t>TIM</t>
        </is>
      </c>
      <c r="L701" s="35">
        <f>IF(K701="FIN",3,IF(OR(K701="SEM",K701="SEMI"),2,IF(OR(K701="PRE",K701="HEAT"),1,IF(V701="YES",4,2))))</f>
        <v/>
      </c>
      <c r="M701" s="33" t="inlineStr">
        <is>
          <t>LCM</t>
        </is>
      </c>
      <c r="N701" s="33" t="n">
        <v>200</v>
      </c>
      <c r="O701" s="33" t="inlineStr">
        <is>
          <t>Free</t>
        </is>
      </c>
      <c r="P701" s="33" t="inlineStr">
        <is>
          <t>200 Free</t>
        </is>
      </c>
      <c r="Q701" s="33" t="inlineStr">
        <is>
          <t>LCM_200_FREE</t>
        </is>
      </c>
      <c r="R701" s="36" t="n">
        <v>104.47</v>
      </c>
      <c r="S701" s="35">
        <f>IF(R701="","",IF(R701&gt;=60,INT(R701/60)&amp;":"&amp;TEXT(MOD(R701,60),"00.00"),TEXT(R701,"0.00")))</f>
        <v/>
      </c>
      <c r="T701" s="52">
        <f>IFERROR((G701-INDEX('01_Swimmers'!$E$5:$E$22,MATCH(B701,'01_Swimmers'!$A$5:$A$22,0)))/'00_Control'!$B$10,"")</f>
        <v/>
      </c>
      <c r="U701" s="35">
        <f>IF(T701="","",INT(T701))</f>
        <v/>
      </c>
      <c r="V701" s="33" t="inlineStr">
        <is>
          <t>NO</t>
        </is>
      </c>
      <c r="W701" s="33" t="inlineStr">
        <is>
          <t>YES</t>
        </is>
      </c>
      <c r="X701" s="33" t="inlineStr">
        <is>
          <t>NO</t>
        </is>
      </c>
      <c r="Y701" s="33" t="n"/>
      <c r="Z701" s="33" t="n"/>
      <c r="AA701" s="33" t="inlineStr">
        <is>
          <t>1</t>
        </is>
      </c>
      <c r="AB701" s="33" t="inlineStr">
        <is>
          <t>https://www.swimcloud.com/results/197317/event/6/?id=41349682#time41349682</t>
        </is>
      </c>
      <c r="AC701" s="33" t="inlineStr">
        <is>
          <t>SwimCloud API v6 2026-10-08</t>
        </is>
      </c>
      <c r="AD701" s="33" t="inlineStr">
        <is>
          <t>Duncan Scott|2021-04-14|LCM|200|Free|104.47|British Swimming Selection Trials|TIM|False</t>
        </is>
      </c>
      <c r="AE701" s="53">
        <f>G701+L701/1000+ROW()/1000000000</f>
        <v/>
      </c>
      <c r="AF701" s="35">
        <f>IF(C701&lt;&gt;"Grayson Coulter","",COUNTIFS($C$5:$C$2991,"Grayson Coulter",$Q$5:$Q$2991,Q701,$AE$5:$AE$2991,"&lt;="&amp;AE701,$R$5:$R$2991,"&lt;"&amp;R701))</f>
        <v/>
      </c>
      <c r="AG701" s="35">
        <f>IF(OR(C701&lt;&gt;"Grayson Coulter",G701&lt;'00_Control'!$B$7),"",--(AF701&lt;5))</f>
        <v/>
      </c>
      <c r="AH701" s="35">
        <f>IF(OR(C701&lt;&gt;"Grayson Coulter",G701&lt;'00_Control'!$B$7),"",--(AF701&lt;10))</f>
        <v/>
      </c>
      <c r="AI701" s="35">
        <f>IF(AND(C701="Grayson Coulter",G701&gt;='00_Control'!$B$7),"YES","NO")</f>
        <v/>
      </c>
      <c r="AJ701" s="33" t="inlineStr">
        <is>
          <t>OK</t>
        </is>
      </c>
    </row>
    <row r="702">
      <c r="A702" s="33" t="inlineStr">
        <is>
          <t>SM000698</t>
        </is>
      </c>
      <c r="B702" s="33" t="inlineStr">
        <is>
          <t>SW016</t>
        </is>
      </c>
      <c r="C702" s="33" t="inlineStr">
        <is>
          <t>Duncan Scott</t>
        </is>
      </c>
      <c r="D702" s="33" t="inlineStr">
        <is>
          <t>SwimCloud</t>
        </is>
      </c>
      <c r="E702" s="33" t="inlineStr">
        <is>
          <t>375606</t>
        </is>
      </c>
      <c r="F702" s="33" t="inlineStr">
        <is>
          <t>41861997</t>
        </is>
      </c>
      <c r="G702" s="51" t="n">
        <v>44336</v>
      </c>
      <c r="H702" s="33" t="inlineStr">
        <is>
          <t>LEN European Aquatics Championships</t>
        </is>
      </c>
      <c r="I702" s="33" t="inlineStr">
        <is>
          <t>198640</t>
        </is>
      </c>
      <c r="J702" s="33" t="inlineStr"/>
      <c r="K702" s="33" t="inlineStr">
        <is>
          <t>PRE</t>
        </is>
      </c>
      <c r="L702" s="35">
        <f>IF(K702="FIN",3,IF(OR(K702="SEM",K702="SEMI"),2,IF(OR(K702="PRE",K702="HEAT"),1,IF(V702="YES",4,2))))</f>
        <v/>
      </c>
      <c r="M702" s="33" t="inlineStr">
        <is>
          <t>LCM</t>
        </is>
      </c>
      <c r="N702" s="33" t="n">
        <v>200</v>
      </c>
      <c r="O702" s="33" t="inlineStr">
        <is>
          <t>Free</t>
        </is>
      </c>
      <c r="P702" s="33" t="inlineStr">
        <is>
          <t>200 Free</t>
        </is>
      </c>
      <c r="Q702" s="33" t="inlineStr">
        <is>
          <t>LCM_200_FREE</t>
        </is>
      </c>
      <c r="R702" s="36" t="n">
        <v>107.45</v>
      </c>
      <c r="S702" s="35">
        <f>IF(R702="","",IF(R702&gt;=60,INT(R702/60)&amp;":"&amp;TEXT(MOD(R702,60),"00.00"),TEXT(R702,"0.00")))</f>
        <v/>
      </c>
      <c r="T702" s="52">
        <f>IFERROR((G702-INDEX('01_Swimmers'!$E$5:$E$22,MATCH(B702,'01_Swimmers'!$A$5:$A$22,0)))/'00_Control'!$B$10,"")</f>
        <v/>
      </c>
      <c r="U702" s="35">
        <f>IF(T702="","",INT(T702))</f>
        <v/>
      </c>
      <c r="V702" s="33" t="inlineStr">
        <is>
          <t>NO</t>
        </is>
      </c>
      <c r="W702" s="33" t="inlineStr">
        <is>
          <t>YES</t>
        </is>
      </c>
      <c r="X702" s="33" t="inlineStr">
        <is>
          <t>NO</t>
        </is>
      </c>
      <c r="Y702" s="33" t="n">
        <v>7</v>
      </c>
      <c r="Z702" s="33" t="n">
        <v>4</v>
      </c>
      <c r="AA702" s="33" t="inlineStr">
        <is>
          <t>9</t>
        </is>
      </c>
      <c r="AB702" s="33" t="inlineStr">
        <is>
          <t>https://www.swimcloud.com/results/198640/event/22/?id=41861997#time41861997</t>
        </is>
      </c>
      <c r="AC702" s="33" t="inlineStr">
        <is>
          <t>SwimCloud API v6 2026-10-08</t>
        </is>
      </c>
      <c r="AD702" s="33" t="inlineStr">
        <is>
          <t>Duncan Scott|2021-05-20|LCM|200|Free|107.45|LEN European Aquatics Championships|PRE|False</t>
        </is>
      </c>
      <c r="AE702" s="53">
        <f>G702+L702/1000+ROW()/1000000000</f>
        <v/>
      </c>
      <c r="AF702" s="35">
        <f>IF(C702&lt;&gt;"Grayson Coulter","",COUNTIFS($C$5:$C$2991,"Grayson Coulter",$Q$5:$Q$2991,Q702,$AE$5:$AE$2991,"&lt;="&amp;AE702,$R$5:$R$2991,"&lt;"&amp;R702))</f>
        <v/>
      </c>
      <c r="AG702" s="35">
        <f>IF(OR(C702&lt;&gt;"Grayson Coulter",G702&lt;'00_Control'!$B$7),"",--(AF702&lt;5))</f>
        <v/>
      </c>
      <c r="AH702" s="35">
        <f>IF(OR(C702&lt;&gt;"Grayson Coulter",G702&lt;'00_Control'!$B$7),"",--(AF702&lt;10))</f>
        <v/>
      </c>
      <c r="AI702" s="35">
        <f>IF(AND(C702="Grayson Coulter",G702&gt;='00_Control'!$B$7),"YES","NO")</f>
        <v/>
      </c>
      <c r="AJ702" s="33" t="inlineStr">
        <is>
          <t>OK</t>
        </is>
      </c>
    </row>
    <row r="703">
      <c r="A703" s="33" t="inlineStr">
        <is>
          <t>SM000699</t>
        </is>
      </c>
      <c r="B703" s="33" t="inlineStr">
        <is>
          <t>SW016</t>
        </is>
      </c>
      <c r="C703" s="33" t="inlineStr">
        <is>
          <t>Duncan Scott</t>
        </is>
      </c>
      <c r="D703" s="33" t="inlineStr">
        <is>
          <t>SwimCloud</t>
        </is>
      </c>
      <c r="E703" s="33" t="inlineStr">
        <is>
          <t>375606</t>
        </is>
      </c>
      <c r="F703" s="33" t="inlineStr">
        <is>
          <t>41861998</t>
        </is>
      </c>
      <c r="G703" s="51" t="n">
        <v>44336</v>
      </c>
      <c r="H703" s="33" t="inlineStr">
        <is>
          <t>LEN European Aquatics Championships</t>
        </is>
      </c>
      <c r="I703" s="33" t="inlineStr">
        <is>
          <t>198640</t>
        </is>
      </c>
      <c r="J703" s="33" t="inlineStr"/>
      <c r="K703" s="33" t="inlineStr">
        <is>
          <t>SEM</t>
        </is>
      </c>
      <c r="L703" s="35">
        <f>IF(K703="FIN",3,IF(OR(K703="SEM",K703="SEMI"),2,IF(OR(K703="PRE",K703="HEAT"),1,IF(V703="YES",4,2))))</f>
        <v/>
      </c>
      <c r="M703" s="33" t="inlineStr">
        <is>
          <t>LCM</t>
        </is>
      </c>
      <c r="N703" s="33" t="n">
        <v>200</v>
      </c>
      <c r="O703" s="33" t="inlineStr">
        <is>
          <t>Free</t>
        </is>
      </c>
      <c r="P703" s="33" t="inlineStr">
        <is>
          <t>200 Free</t>
        </is>
      </c>
      <c r="Q703" s="33" t="inlineStr">
        <is>
          <t>LCM_200_FREE</t>
        </is>
      </c>
      <c r="R703" s="36" t="n">
        <v>106.15</v>
      </c>
      <c r="S703" s="35">
        <f>IF(R703="","",IF(R703&gt;=60,INT(R703/60)&amp;":"&amp;TEXT(MOD(R703,60),"00.00"),TEXT(R703,"0.00")))</f>
        <v/>
      </c>
      <c r="T703" s="52">
        <f>IFERROR((G703-INDEX('01_Swimmers'!$E$5:$E$22,MATCH(B703,'01_Swimmers'!$A$5:$A$22,0)))/'00_Control'!$B$10,"")</f>
        <v/>
      </c>
      <c r="U703" s="35">
        <f>IF(T703="","",INT(T703))</f>
        <v/>
      </c>
      <c r="V703" s="33" t="inlineStr">
        <is>
          <t>NO</t>
        </is>
      </c>
      <c r="W703" s="33" t="inlineStr">
        <is>
          <t>YES</t>
        </is>
      </c>
      <c r="X703" s="33" t="inlineStr">
        <is>
          <t>NO</t>
        </is>
      </c>
      <c r="Y703" s="33" t="n">
        <v>6</v>
      </c>
      <c r="Z703" s="33" t="n">
        <v>2</v>
      </c>
      <c r="AA703" s="33" t="inlineStr">
        <is>
          <t>2</t>
        </is>
      </c>
      <c r="AB703" s="33" t="inlineStr">
        <is>
          <t>https://www.swimcloud.com/results/198640/event/222/?id=41861998#time41861998</t>
        </is>
      </c>
      <c r="AC703" s="33" t="inlineStr">
        <is>
          <t>SwimCloud API v6 2026-10-08</t>
        </is>
      </c>
      <c r="AD703" s="33" t="inlineStr">
        <is>
          <t>Duncan Scott|2021-05-20|LCM|200|Free|106.15|LEN European Aquatics Championships|SEM|False</t>
        </is>
      </c>
      <c r="AE703" s="53">
        <f>G703+L703/1000+ROW()/1000000000</f>
        <v/>
      </c>
      <c r="AF703" s="35">
        <f>IF(C703&lt;&gt;"Grayson Coulter","",COUNTIFS($C$5:$C$2991,"Grayson Coulter",$Q$5:$Q$2991,Q703,$AE$5:$AE$2991,"&lt;="&amp;AE703,$R$5:$R$2991,"&lt;"&amp;R703))</f>
        <v/>
      </c>
      <c r="AG703" s="35">
        <f>IF(OR(C703&lt;&gt;"Grayson Coulter",G703&lt;'00_Control'!$B$7),"",--(AF703&lt;5))</f>
        <v/>
      </c>
      <c r="AH703" s="35">
        <f>IF(OR(C703&lt;&gt;"Grayson Coulter",G703&lt;'00_Control'!$B$7),"",--(AF703&lt;10))</f>
        <v/>
      </c>
      <c r="AI703" s="35">
        <f>IF(AND(C703="Grayson Coulter",G703&gt;='00_Control'!$B$7),"YES","NO")</f>
        <v/>
      </c>
      <c r="AJ703" s="33" t="inlineStr">
        <is>
          <t>OK</t>
        </is>
      </c>
    </row>
    <row r="704">
      <c r="A704" s="33" t="inlineStr">
        <is>
          <t>SM000700</t>
        </is>
      </c>
      <c r="B704" s="33" t="inlineStr">
        <is>
          <t>SW016</t>
        </is>
      </c>
      <c r="C704" s="33" t="inlineStr">
        <is>
          <t>Duncan Scott</t>
        </is>
      </c>
      <c r="D704" s="33" t="inlineStr">
        <is>
          <t>SwimCloud</t>
        </is>
      </c>
      <c r="E704" s="33" t="inlineStr">
        <is>
          <t>375606</t>
        </is>
      </c>
      <c r="F704" s="33" t="inlineStr">
        <is>
          <t>41861999</t>
        </is>
      </c>
      <c r="G704" s="51" t="n">
        <v>44337</v>
      </c>
      <c r="H704" s="33" t="inlineStr">
        <is>
          <t>LEN European Aquatics Championships</t>
        </is>
      </c>
      <c r="I704" s="33" t="inlineStr">
        <is>
          <t>198640</t>
        </is>
      </c>
      <c r="J704" s="33" t="inlineStr"/>
      <c r="K704" s="33" t="inlineStr">
        <is>
          <t>FIN</t>
        </is>
      </c>
      <c r="L704" s="35">
        <f>IF(K704="FIN",3,IF(OR(K704="SEM",K704="SEMI"),2,IF(OR(K704="PRE",K704="HEAT"),1,IF(V704="YES",4,2))))</f>
        <v/>
      </c>
      <c r="M704" s="33" t="inlineStr">
        <is>
          <t>LCM</t>
        </is>
      </c>
      <c r="N704" s="33" t="n">
        <v>200</v>
      </c>
      <c r="O704" s="33" t="inlineStr">
        <is>
          <t>Free</t>
        </is>
      </c>
      <c r="P704" s="33" t="inlineStr">
        <is>
          <t>200 Free</t>
        </is>
      </c>
      <c r="Q704" s="33" t="inlineStr">
        <is>
          <t>LCM_200_FREE</t>
        </is>
      </c>
      <c r="R704" s="36" t="n">
        <v>105.19</v>
      </c>
      <c r="S704" s="35">
        <f>IF(R704="","",IF(R704&gt;=60,INT(R704/60)&amp;":"&amp;TEXT(MOD(R704,60),"00.00"),TEXT(R704,"0.00")))</f>
        <v/>
      </c>
      <c r="T704" s="52">
        <f>IFERROR((G704-INDEX('01_Swimmers'!$E$5:$E$22,MATCH(B704,'01_Swimmers'!$A$5:$A$22,0)))/'00_Control'!$B$10,"")</f>
        <v/>
      </c>
      <c r="U704" s="35">
        <f>IF(T704="","",INT(T704))</f>
        <v/>
      </c>
      <c r="V704" s="33" t="inlineStr">
        <is>
          <t>NO</t>
        </is>
      </c>
      <c r="W704" s="33" t="inlineStr">
        <is>
          <t>YES</t>
        </is>
      </c>
      <c r="X704" s="33" t="inlineStr">
        <is>
          <t>NO</t>
        </is>
      </c>
      <c r="Y704" s="33" t="n">
        <v>10</v>
      </c>
      <c r="Z704" s="33" t="n">
        <v>5</v>
      </c>
      <c r="AA704" s="33" t="inlineStr">
        <is>
          <t>2</t>
        </is>
      </c>
      <c r="AB704" s="33" t="inlineStr">
        <is>
          <t>https://www.swimcloud.com/results/198640/event/122/?id=41861999#time41861999</t>
        </is>
      </c>
      <c r="AC704" s="33" t="inlineStr">
        <is>
          <t>SwimCloud API v6 2026-10-08</t>
        </is>
      </c>
      <c r="AD704" s="33" t="inlineStr">
        <is>
          <t>Duncan Scott|2021-05-21|LCM|200|Free|105.19|LEN European Aquatics Championships|FIN|False</t>
        </is>
      </c>
      <c r="AE704" s="53">
        <f>G704+L704/1000+ROW()/1000000000</f>
        <v/>
      </c>
      <c r="AF704" s="35">
        <f>IF(C704&lt;&gt;"Grayson Coulter","",COUNTIFS($C$5:$C$2991,"Grayson Coulter",$Q$5:$Q$2991,Q704,$AE$5:$AE$2991,"&lt;="&amp;AE704,$R$5:$R$2991,"&lt;"&amp;R704))</f>
        <v/>
      </c>
      <c r="AG704" s="35">
        <f>IF(OR(C704&lt;&gt;"Grayson Coulter",G704&lt;'00_Control'!$B$7),"",--(AF704&lt;5))</f>
        <v/>
      </c>
      <c r="AH704" s="35">
        <f>IF(OR(C704&lt;&gt;"Grayson Coulter",G704&lt;'00_Control'!$B$7),"",--(AF704&lt;10))</f>
        <v/>
      </c>
      <c r="AI704" s="35">
        <f>IF(AND(C704="Grayson Coulter",G704&gt;='00_Control'!$B$7),"YES","NO")</f>
        <v/>
      </c>
      <c r="AJ704" s="33" t="inlineStr">
        <is>
          <t>OK</t>
        </is>
      </c>
    </row>
    <row r="705">
      <c r="A705" s="33" t="inlineStr">
        <is>
          <t>SM000701</t>
        </is>
      </c>
      <c r="B705" s="33" t="inlineStr">
        <is>
          <t>SW016</t>
        </is>
      </c>
      <c r="C705" s="33" t="inlineStr">
        <is>
          <t>Duncan Scott</t>
        </is>
      </c>
      <c r="D705" s="33" t="inlineStr">
        <is>
          <t>SwimCloud</t>
        </is>
      </c>
      <c r="E705" s="33" t="inlineStr">
        <is>
          <t>375606</t>
        </is>
      </c>
      <c r="F705" s="33" t="inlineStr">
        <is>
          <t>41864110</t>
        </is>
      </c>
      <c r="G705" s="51" t="n">
        <v>44338</v>
      </c>
      <c r="H705" s="33" t="inlineStr">
        <is>
          <t>LEN European Aquatics Championships</t>
        </is>
      </c>
      <c r="I705" s="33" t="inlineStr">
        <is>
          <t>198640</t>
        </is>
      </c>
      <c r="J705" s="33" t="inlineStr"/>
      <c r="K705" s="33" t="inlineStr">
        <is>
          <t>FIN</t>
        </is>
      </c>
      <c r="L705" s="35">
        <f>IF(K705="FIN",3,IF(OR(K705="SEM",K705="SEMI"),2,IF(OR(K705="PRE",K705="HEAT"),1,IF(V705="YES",4,2))))</f>
        <v/>
      </c>
      <c r="M705" s="33" t="inlineStr">
        <is>
          <t>LCM</t>
        </is>
      </c>
      <c r="N705" s="33" t="n">
        <v>100</v>
      </c>
      <c r="O705" s="33" t="inlineStr">
        <is>
          <t>Free</t>
        </is>
      </c>
      <c r="P705" s="33" t="inlineStr">
        <is>
          <t>100 Free</t>
        </is>
      </c>
      <c r="Q705" s="33" t="inlineStr">
        <is>
          <t>LCM_100_FREE</t>
        </is>
      </c>
      <c r="R705" s="36" t="n">
        <v>48.2</v>
      </c>
      <c r="S705" s="35">
        <f>IF(R705="","",IF(R705&gt;=60,INT(R705/60)&amp;":"&amp;TEXT(MOD(R705,60),"00.00"),TEXT(R705,"0.00")))</f>
        <v/>
      </c>
      <c r="T705" s="52">
        <f>IFERROR((G705-INDEX('01_Swimmers'!$E$5:$E$22,MATCH(B705,'01_Swimmers'!$A$5:$A$22,0)))/'00_Control'!$B$10,"")</f>
        <v/>
      </c>
      <c r="U705" s="35">
        <f>IF(T705="","",INT(T705))</f>
        <v/>
      </c>
      <c r="V705" s="33" t="inlineStr">
        <is>
          <t>YES</t>
        </is>
      </c>
      <c r="W705" s="33" t="inlineStr">
        <is>
          <t>YES</t>
        </is>
      </c>
      <c r="X705" s="33" t="inlineStr">
        <is>
          <t>NO</t>
        </is>
      </c>
      <c r="Y705" s="33" t="n">
        <v>16</v>
      </c>
      <c r="Z705" s="33" t="n">
        <v>6</v>
      </c>
      <c r="AA705" s="33" t="inlineStr"/>
      <c r="AB705" s="33" t="inlineStr">
        <is>
          <t>https://www.swimcloud.com/results/198640/event/139/?id=41862070#time41862070</t>
        </is>
      </c>
      <c r="AC705" s="33" t="inlineStr">
        <is>
          <t>SwimCloud API v6 2026-10-08</t>
        </is>
      </c>
      <c r="AD705" s="33" t="inlineStr">
        <is>
          <t>Duncan Scott|2021-05-22|LCM|100|Free|48.2|LEN European Aquatics Championships|FIN|True</t>
        </is>
      </c>
      <c r="AE705" s="53">
        <f>G705+L705/1000+ROW()/1000000000</f>
        <v/>
      </c>
      <c r="AF705" s="35">
        <f>IF(C705&lt;&gt;"Grayson Coulter","",COUNTIFS($C$5:$C$2991,"Grayson Coulter",$Q$5:$Q$2991,Q705,$AE$5:$AE$2991,"&lt;="&amp;AE705,$R$5:$R$2991,"&lt;"&amp;R705))</f>
        <v/>
      </c>
      <c r="AG705" s="35">
        <f>IF(OR(C705&lt;&gt;"Grayson Coulter",G705&lt;'00_Control'!$B$7),"",--(AF705&lt;5))</f>
        <v/>
      </c>
      <c r="AH705" s="35">
        <f>IF(OR(C705&lt;&gt;"Grayson Coulter",G705&lt;'00_Control'!$B$7),"",--(AF705&lt;10))</f>
        <v/>
      </c>
      <c r="AI705" s="35">
        <f>IF(AND(C705="Grayson Coulter",G705&gt;='00_Control'!$B$7),"YES","NO")</f>
        <v/>
      </c>
      <c r="AJ705" s="33" t="inlineStr">
        <is>
          <t>OK</t>
        </is>
      </c>
    </row>
    <row r="706">
      <c r="A706" s="33" t="inlineStr">
        <is>
          <t>SM000702</t>
        </is>
      </c>
      <c r="B706" s="33" t="inlineStr">
        <is>
          <t>SW016</t>
        </is>
      </c>
      <c r="C706" s="33" t="inlineStr">
        <is>
          <t>Duncan Scott</t>
        </is>
      </c>
      <c r="D706" s="33" t="inlineStr">
        <is>
          <t>SwimCloud</t>
        </is>
      </c>
      <c r="E706" s="33" t="inlineStr">
        <is>
          <t>375606</t>
        </is>
      </c>
      <c r="F706" s="33" t="inlineStr">
        <is>
          <t>123023966</t>
        </is>
      </c>
      <c r="G706" s="51" t="n">
        <v>44351</v>
      </c>
      <c r="H706" s="33" t="inlineStr">
        <is>
          <t>British Swimming Glasgow Open</t>
        </is>
      </c>
      <c r="I706" s="33" t="inlineStr">
        <is>
          <t>300608</t>
        </is>
      </c>
      <c r="J706" s="33" t="inlineStr"/>
      <c r="K706" s="33" t="inlineStr">
        <is>
          <t>PRE</t>
        </is>
      </c>
      <c r="L706" s="35">
        <f>IF(K706="FIN",3,IF(OR(K706="SEM",K706="SEMI"),2,IF(OR(K706="PRE",K706="HEAT"),1,IF(V706="YES",4,2))))</f>
        <v/>
      </c>
      <c r="M706" s="33" t="inlineStr">
        <is>
          <t>LCM</t>
        </is>
      </c>
      <c r="N706" s="33" t="n">
        <v>200</v>
      </c>
      <c r="O706" s="33" t="inlineStr">
        <is>
          <t>Free</t>
        </is>
      </c>
      <c r="P706" s="33" t="inlineStr">
        <is>
          <t>200 Free</t>
        </is>
      </c>
      <c r="Q706" s="33" t="inlineStr">
        <is>
          <t>LCM_200_FREE</t>
        </is>
      </c>
      <c r="R706" s="36" t="n">
        <v>108.29</v>
      </c>
      <c r="S706" s="35">
        <f>IF(R706="","",IF(R706&gt;=60,INT(R706/60)&amp;":"&amp;TEXT(MOD(R706,60),"00.00"),TEXT(R706,"0.00")))</f>
        <v/>
      </c>
      <c r="T706" s="52">
        <f>IFERROR((G706-INDEX('01_Swimmers'!$E$5:$E$22,MATCH(B706,'01_Swimmers'!$A$5:$A$22,0)))/'00_Control'!$B$10,"")</f>
        <v/>
      </c>
      <c r="U706" s="35">
        <f>IF(T706="","",INT(T706))</f>
        <v/>
      </c>
      <c r="V706" s="33" t="inlineStr">
        <is>
          <t>NO</t>
        </is>
      </c>
      <c r="W706" s="33" t="inlineStr">
        <is>
          <t>YES</t>
        </is>
      </c>
      <c r="X706" s="33" t="inlineStr">
        <is>
          <t>NO</t>
        </is>
      </c>
      <c r="Y706" s="33" t="n">
        <v>4</v>
      </c>
      <c r="Z706" s="33" t="n">
        <v>5</v>
      </c>
      <c r="AA706" s="33" t="inlineStr">
        <is>
          <t>5</t>
        </is>
      </c>
      <c r="AB706" s="33" t="inlineStr">
        <is>
          <t>https://www.swimcloud.com/results/300608/event/208/?id=123023966#time123023966</t>
        </is>
      </c>
      <c r="AC706" s="33" t="inlineStr">
        <is>
          <t>SwimCloud API v6 2026-10-08</t>
        </is>
      </c>
      <c r="AD706" s="33" t="inlineStr">
        <is>
          <t>Duncan Scott|2021-06-04|LCM|200|Free|108.29|British Swimming Glasgow Open|PRE|False</t>
        </is>
      </c>
      <c r="AE706" s="53">
        <f>G706+L706/1000+ROW()/1000000000</f>
        <v/>
      </c>
      <c r="AF706" s="35">
        <f>IF(C706&lt;&gt;"Grayson Coulter","",COUNTIFS($C$5:$C$2991,"Grayson Coulter",$Q$5:$Q$2991,Q706,$AE$5:$AE$2991,"&lt;="&amp;AE706,$R$5:$R$2991,"&lt;"&amp;R706))</f>
        <v/>
      </c>
      <c r="AG706" s="35">
        <f>IF(OR(C706&lt;&gt;"Grayson Coulter",G706&lt;'00_Control'!$B$7),"",--(AF706&lt;5))</f>
        <v/>
      </c>
      <c r="AH706" s="35">
        <f>IF(OR(C706&lt;&gt;"Grayson Coulter",G706&lt;'00_Control'!$B$7),"",--(AF706&lt;10))</f>
        <v/>
      </c>
      <c r="AI706" s="35">
        <f>IF(AND(C706="Grayson Coulter",G706&gt;='00_Control'!$B$7),"YES","NO")</f>
        <v/>
      </c>
      <c r="AJ706" s="33" t="inlineStr">
        <is>
          <t>OK</t>
        </is>
      </c>
    </row>
    <row r="707">
      <c r="A707" s="33" t="inlineStr">
        <is>
          <t>SM000703</t>
        </is>
      </c>
      <c r="B707" s="33" t="inlineStr">
        <is>
          <t>SW016</t>
        </is>
      </c>
      <c r="C707" s="33" t="inlineStr">
        <is>
          <t>Duncan Scott</t>
        </is>
      </c>
      <c r="D707" s="33" t="inlineStr">
        <is>
          <t>SwimCloud</t>
        </is>
      </c>
      <c r="E707" s="33" t="inlineStr">
        <is>
          <t>375606</t>
        </is>
      </c>
      <c r="F707" s="33" t="inlineStr">
        <is>
          <t>123023967</t>
        </is>
      </c>
      <c r="G707" s="51" t="n">
        <v>44351</v>
      </c>
      <c r="H707" s="33" t="inlineStr">
        <is>
          <t>British Swimming Glasgow Open</t>
        </is>
      </c>
      <c r="I707" s="33" t="inlineStr">
        <is>
          <t>300608</t>
        </is>
      </c>
      <c r="J707" s="33" t="inlineStr"/>
      <c r="K707" s="33" t="inlineStr">
        <is>
          <t>FIN</t>
        </is>
      </c>
      <c r="L707" s="35">
        <f>IF(K707="FIN",3,IF(OR(K707="SEM",K707="SEMI"),2,IF(OR(K707="PRE",K707="HEAT"),1,IF(V707="YES",4,2))))</f>
        <v/>
      </c>
      <c r="M707" s="33" t="inlineStr">
        <is>
          <t>LCM</t>
        </is>
      </c>
      <c r="N707" s="33" t="n">
        <v>200</v>
      </c>
      <c r="O707" s="33" t="inlineStr">
        <is>
          <t>Free</t>
        </is>
      </c>
      <c r="P707" s="33" t="inlineStr">
        <is>
          <t>200 Free</t>
        </is>
      </c>
      <c r="Q707" s="33" t="inlineStr">
        <is>
          <t>LCM_200_FREE</t>
        </is>
      </c>
      <c r="R707" s="36" t="n">
        <v>106.02</v>
      </c>
      <c r="S707" s="35">
        <f>IF(R707="","",IF(R707&gt;=60,INT(R707/60)&amp;":"&amp;TEXT(MOD(R707,60),"00.00"),TEXT(R707,"0.00")))</f>
        <v/>
      </c>
      <c r="T707" s="52">
        <f>IFERROR((G707-INDEX('01_Swimmers'!$E$5:$E$22,MATCH(B707,'01_Swimmers'!$A$5:$A$22,0)))/'00_Control'!$B$10,"")</f>
        <v/>
      </c>
      <c r="U707" s="35">
        <f>IF(T707="","",INT(T707))</f>
        <v/>
      </c>
      <c r="V707" s="33" t="inlineStr">
        <is>
          <t>NO</t>
        </is>
      </c>
      <c r="W707" s="33" t="inlineStr">
        <is>
          <t>YES</t>
        </is>
      </c>
      <c r="X707" s="33" t="inlineStr">
        <is>
          <t>NO</t>
        </is>
      </c>
      <c r="Y707" s="33" t="n">
        <v>3</v>
      </c>
      <c r="Z707" s="33" t="n">
        <v>6</v>
      </c>
      <c r="AA707" s="33" t="inlineStr">
        <is>
          <t>1</t>
        </is>
      </c>
      <c r="AB707" s="33" t="inlineStr">
        <is>
          <t>https://www.swimcloud.com/results/300608/event/208/?id=123023967#time123023967</t>
        </is>
      </c>
      <c r="AC707" s="33" t="inlineStr">
        <is>
          <t>SwimCloud API v6 2026-10-08</t>
        </is>
      </c>
      <c r="AD707" s="33" t="inlineStr">
        <is>
          <t>Duncan Scott|2021-06-04|LCM|200|Free|106.02|British Swimming Glasgow Open|FIN|False</t>
        </is>
      </c>
      <c r="AE707" s="53">
        <f>G707+L707/1000+ROW()/1000000000</f>
        <v/>
      </c>
      <c r="AF707" s="35">
        <f>IF(C707&lt;&gt;"Grayson Coulter","",COUNTIFS($C$5:$C$2991,"Grayson Coulter",$Q$5:$Q$2991,Q707,$AE$5:$AE$2991,"&lt;="&amp;AE707,$R$5:$R$2991,"&lt;"&amp;R707))</f>
        <v/>
      </c>
      <c r="AG707" s="35">
        <f>IF(OR(C707&lt;&gt;"Grayson Coulter",G707&lt;'00_Control'!$B$7),"",--(AF707&lt;5))</f>
        <v/>
      </c>
      <c r="AH707" s="35">
        <f>IF(OR(C707&lt;&gt;"Grayson Coulter",G707&lt;'00_Control'!$B$7),"",--(AF707&lt;10))</f>
        <v/>
      </c>
      <c r="AI707" s="35">
        <f>IF(AND(C707="Grayson Coulter",G707&gt;='00_Control'!$B$7),"YES","NO")</f>
        <v/>
      </c>
      <c r="AJ707" s="33" t="inlineStr">
        <is>
          <t>OK</t>
        </is>
      </c>
    </row>
    <row r="708">
      <c r="A708" s="33" t="inlineStr">
        <is>
          <t>SM000704</t>
        </is>
      </c>
      <c r="B708" s="33" t="inlineStr">
        <is>
          <t>SW016</t>
        </is>
      </c>
      <c r="C708" s="33" t="inlineStr">
        <is>
          <t>Duncan Scott</t>
        </is>
      </c>
      <c r="D708" s="33" t="inlineStr">
        <is>
          <t>SwimCloud</t>
        </is>
      </c>
      <c r="E708" s="33" t="inlineStr">
        <is>
          <t>375606</t>
        </is>
      </c>
      <c r="F708" s="33" t="inlineStr">
        <is>
          <t>43347287</t>
        </is>
      </c>
      <c r="G708" s="51" t="n">
        <v>44401</v>
      </c>
      <c r="H708" s="33" t="inlineStr">
        <is>
          <t>Olympic Games</t>
        </is>
      </c>
      <c r="I708" s="33" t="inlineStr">
        <is>
          <t>130521</t>
        </is>
      </c>
      <c r="J708" s="33" t="inlineStr"/>
      <c r="K708" s="33" t="inlineStr">
        <is>
          <t>PRE</t>
        </is>
      </c>
      <c r="L708" s="35">
        <f>IF(K708="FIN",3,IF(OR(K708="SEM",K708="SEMI"),2,IF(OR(K708="PRE",K708="HEAT"),1,IF(V708="YES",4,2))))</f>
        <v/>
      </c>
      <c r="M708" s="33" t="inlineStr">
        <is>
          <t>LCM</t>
        </is>
      </c>
      <c r="N708" s="33" t="n">
        <v>200</v>
      </c>
      <c r="O708" s="33" t="inlineStr">
        <is>
          <t>Free</t>
        </is>
      </c>
      <c r="P708" s="33" t="inlineStr">
        <is>
          <t>200 Free</t>
        </is>
      </c>
      <c r="Q708" s="33" t="inlineStr">
        <is>
          <t>LCM_200_FREE</t>
        </is>
      </c>
      <c r="R708" s="36" t="n">
        <v>105.37</v>
      </c>
      <c r="S708" s="35">
        <f>IF(R708="","",IF(R708&gt;=60,INT(R708/60)&amp;":"&amp;TEXT(MOD(R708,60),"00.00"),TEXT(R708,"0.00")))</f>
        <v/>
      </c>
      <c r="T708" s="52">
        <f>IFERROR((G708-INDEX('01_Swimmers'!$E$5:$E$22,MATCH(B708,'01_Swimmers'!$A$5:$A$22,0)))/'00_Control'!$B$10,"")</f>
        <v/>
      </c>
      <c r="U708" s="35">
        <f>IF(T708="","",INT(T708))</f>
        <v/>
      </c>
      <c r="V708" s="33" t="inlineStr">
        <is>
          <t>NO</t>
        </is>
      </c>
      <c r="W708" s="33" t="inlineStr">
        <is>
          <t>YES</t>
        </is>
      </c>
      <c r="X708" s="33" t="inlineStr">
        <is>
          <t>NO</t>
        </is>
      </c>
      <c r="Y708" s="33" t="n">
        <v>4</v>
      </c>
      <c r="Z708" s="33" t="n">
        <v>2</v>
      </c>
      <c r="AA708" s="33" t="inlineStr">
        <is>
          <t>5</t>
        </is>
      </c>
      <c r="AB708" s="33" t="inlineStr">
        <is>
          <t>https://www.swimcloud.com/results/130521/event/83/?id=43347287#time43347287</t>
        </is>
      </c>
      <c r="AC708" s="33" t="inlineStr">
        <is>
          <t>SwimCloud API v6 2026-10-08</t>
        </is>
      </c>
      <c r="AD708" s="33" t="inlineStr">
        <is>
          <t>Duncan Scott|2021-07-24|LCM|200|Free|105.37|Olympic Games|PRE|False</t>
        </is>
      </c>
      <c r="AE708" s="53">
        <f>G708+L708/1000+ROW()/1000000000</f>
        <v/>
      </c>
      <c r="AF708" s="35">
        <f>IF(C708&lt;&gt;"Grayson Coulter","",COUNTIFS($C$5:$C$2991,"Grayson Coulter",$Q$5:$Q$2991,Q708,$AE$5:$AE$2991,"&lt;="&amp;AE708,$R$5:$R$2991,"&lt;"&amp;R708))</f>
        <v/>
      </c>
      <c r="AG708" s="35">
        <f>IF(OR(C708&lt;&gt;"Grayson Coulter",G708&lt;'00_Control'!$B$7),"",--(AF708&lt;5))</f>
        <v/>
      </c>
      <c r="AH708" s="35">
        <f>IF(OR(C708&lt;&gt;"Grayson Coulter",G708&lt;'00_Control'!$B$7),"",--(AF708&lt;10))</f>
        <v/>
      </c>
      <c r="AI708" s="35">
        <f>IF(AND(C708="Grayson Coulter",G708&gt;='00_Control'!$B$7),"YES","NO")</f>
        <v/>
      </c>
      <c r="AJ708" s="33" t="inlineStr">
        <is>
          <t>OK</t>
        </is>
      </c>
    </row>
    <row r="709">
      <c r="A709" s="33" t="inlineStr">
        <is>
          <t>SM000705</t>
        </is>
      </c>
      <c r="B709" s="33" t="inlineStr">
        <is>
          <t>SW016</t>
        </is>
      </c>
      <c r="C709" s="33" t="inlineStr">
        <is>
          <t>Duncan Scott</t>
        </is>
      </c>
      <c r="D709" s="33" t="inlineStr">
        <is>
          <t>SwimCloud</t>
        </is>
      </c>
      <c r="E709" s="33" t="inlineStr">
        <is>
          <t>375606</t>
        </is>
      </c>
      <c r="F709" s="33" t="inlineStr">
        <is>
          <t>43347444</t>
        </is>
      </c>
      <c r="G709" s="51" t="n">
        <v>44401</v>
      </c>
      <c r="H709" s="33" t="inlineStr">
        <is>
          <t>Olympic Games</t>
        </is>
      </c>
      <c r="I709" s="33" t="inlineStr">
        <is>
          <t>130521</t>
        </is>
      </c>
      <c r="J709" s="33" t="inlineStr"/>
      <c r="K709" s="33" t="inlineStr">
        <is>
          <t>SEM</t>
        </is>
      </c>
      <c r="L709" s="35">
        <f>IF(K709="FIN",3,IF(OR(K709="SEM",K709="SEMI"),2,IF(OR(K709="PRE",K709="HEAT"),1,IF(V709="YES",4,2))))</f>
        <v/>
      </c>
      <c r="M709" s="33" t="inlineStr">
        <is>
          <t>LCM</t>
        </is>
      </c>
      <c r="N709" s="33" t="n">
        <v>200</v>
      </c>
      <c r="O709" s="33" t="inlineStr">
        <is>
          <t>Free</t>
        </is>
      </c>
      <c r="P709" s="33" t="inlineStr">
        <is>
          <t>200 Free</t>
        </is>
      </c>
      <c r="Q709" s="33" t="inlineStr">
        <is>
          <t>LCM_200_FREE</t>
        </is>
      </c>
      <c r="R709" s="36" t="n">
        <v>104.6</v>
      </c>
      <c r="S709" s="35">
        <f>IF(R709="","",IF(R709&gt;=60,INT(R709/60)&amp;":"&amp;TEXT(MOD(R709,60),"00.00"),TEXT(R709,"0.00")))</f>
        <v/>
      </c>
      <c r="T709" s="52">
        <f>IFERROR((G709-INDEX('01_Swimmers'!$E$5:$E$22,MATCH(B709,'01_Swimmers'!$A$5:$A$22,0)))/'00_Control'!$B$10,"")</f>
        <v/>
      </c>
      <c r="U709" s="35">
        <f>IF(T709="","",INT(T709))</f>
        <v/>
      </c>
      <c r="V709" s="33" t="inlineStr">
        <is>
          <t>NO</t>
        </is>
      </c>
      <c r="W709" s="33" t="inlineStr">
        <is>
          <t>YES</t>
        </is>
      </c>
      <c r="X709" s="33" t="inlineStr">
        <is>
          <t>NO</t>
        </is>
      </c>
      <c r="Y709" s="33" t="n">
        <v>2</v>
      </c>
      <c r="Z709" s="33" t="n">
        <v>2</v>
      </c>
      <c r="AA709" s="33" t="inlineStr">
        <is>
          <t>1</t>
        </is>
      </c>
      <c r="AB709" s="33" t="inlineStr">
        <is>
          <t>https://www.swimcloud.com/results/130521/event/83/?id=43347444#time43347444</t>
        </is>
      </c>
      <c r="AC709" s="33" t="inlineStr">
        <is>
          <t>SwimCloud API v6 2026-10-08</t>
        </is>
      </c>
      <c r="AD709" s="33" t="inlineStr">
        <is>
          <t>Duncan Scott|2021-07-24|LCM|200|Free|104.6|Olympic Games|SEM|False</t>
        </is>
      </c>
      <c r="AE709" s="53">
        <f>G709+L709/1000+ROW()/1000000000</f>
        <v/>
      </c>
      <c r="AF709" s="35">
        <f>IF(C709&lt;&gt;"Grayson Coulter","",COUNTIFS($C$5:$C$2991,"Grayson Coulter",$Q$5:$Q$2991,Q709,$AE$5:$AE$2991,"&lt;="&amp;AE709,$R$5:$R$2991,"&lt;"&amp;R709))</f>
        <v/>
      </c>
      <c r="AG709" s="35">
        <f>IF(OR(C709&lt;&gt;"Grayson Coulter",G709&lt;'00_Control'!$B$7),"",--(AF709&lt;5))</f>
        <v/>
      </c>
      <c r="AH709" s="35">
        <f>IF(OR(C709&lt;&gt;"Grayson Coulter",G709&lt;'00_Control'!$B$7),"",--(AF709&lt;10))</f>
        <v/>
      </c>
      <c r="AI709" s="35">
        <f>IF(AND(C709="Grayson Coulter",G709&gt;='00_Control'!$B$7),"YES","NO")</f>
        <v/>
      </c>
      <c r="AJ709" s="33" t="inlineStr">
        <is>
          <t>OK</t>
        </is>
      </c>
    </row>
    <row r="710">
      <c r="A710" s="33" t="inlineStr">
        <is>
          <t>SM000706</t>
        </is>
      </c>
      <c r="B710" s="33" t="inlineStr">
        <is>
          <t>SW016</t>
        </is>
      </c>
      <c r="C710" s="33" t="inlineStr">
        <is>
          <t>Duncan Scott</t>
        </is>
      </c>
      <c r="D710" s="33" t="inlineStr">
        <is>
          <t>SwimCloud</t>
        </is>
      </c>
      <c r="E710" s="33" t="inlineStr">
        <is>
          <t>375606</t>
        </is>
      </c>
      <c r="F710" s="33" t="inlineStr">
        <is>
          <t>43347459</t>
        </is>
      </c>
      <c r="G710" s="51" t="n">
        <v>44401</v>
      </c>
      <c r="H710" s="33" t="inlineStr">
        <is>
          <t>Olympic Games</t>
        </is>
      </c>
      <c r="I710" s="33" t="inlineStr">
        <is>
          <t>130521</t>
        </is>
      </c>
      <c r="J710" s="33" t="inlineStr"/>
      <c r="K710" s="33" t="inlineStr">
        <is>
          <t>FIN</t>
        </is>
      </c>
      <c r="L710" s="35">
        <f>IF(K710="FIN",3,IF(OR(K710="SEM",K710="SEMI"),2,IF(OR(K710="PRE",K710="HEAT"),1,IF(V710="YES",4,2))))</f>
        <v/>
      </c>
      <c r="M710" s="33" t="inlineStr">
        <is>
          <t>LCM</t>
        </is>
      </c>
      <c r="N710" s="33" t="n">
        <v>200</v>
      </c>
      <c r="O710" s="33" t="inlineStr">
        <is>
          <t>Free</t>
        </is>
      </c>
      <c r="P710" s="33" t="inlineStr">
        <is>
          <t>200 Free</t>
        </is>
      </c>
      <c r="Q710" s="33" t="inlineStr">
        <is>
          <t>LCM_200_FREE</t>
        </is>
      </c>
      <c r="R710" s="36" t="n">
        <v>104.26</v>
      </c>
      <c r="S710" s="35">
        <f>IF(R710="","",IF(R710&gt;=60,INT(R710/60)&amp;":"&amp;TEXT(MOD(R710,60),"00.00"),TEXT(R710,"0.00")))</f>
        <v/>
      </c>
      <c r="T710" s="52">
        <f>IFERROR((G710-INDEX('01_Swimmers'!$E$5:$E$22,MATCH(B710,'01_Swimmers'!$A$5:$A$22,0)))/'00_Control'!$B$10,"")</f>
        <v/>
      </c>
      <c r="U710" s="35">
        <f>IF(T710="","",INT(T710))</f>
        <v/>
      </c>
      <c r="V710" s="33" t="inlineStr">
        <is>
          <t>NO</t>
        </is>
      </c>
      <c r="W710" s="33" t="inlineStr">
        <is>
          <t>YES</t>
        </is>
      </c>
      <c r="X710" s="33" t="inlineStr">
        <is>
          <t>NO</t>
        </is>
      </c>
      <c r="Y710" s="33" t="n">
        <v>1</v>
      </c>
      <c r="Z710" s="33" t="n">
        <v>4</v>
      </c>
      <c r="AA710" s="33" t="inlineStr">
        <is>
          <t>2</t>
        </is>
      </c>
      <c r="AB710" s="33" t="inlineStr">
        <is>
          <t>https://www.swimcloud.com/results/130521/event/83/?id=43347459#time43347459</t>
        </is>
      </c>
      <c r="AC710" s="33" t="inlineStr">
        <is>
          <t>SwimCloud API v6 2026-10-08</t>
        </is>
      </c>
      <c r="AD710" s="33" t="inlineStr">
        <is>
          <t>Duncan Scott|2021-07-24|LCM|200|Free|104.26|Olympic Games|FIN|False</t>
        </is>
      </c>
      <c r="AE710" s="53">
        <f>G710+L710/1000+ROW()/1000000000</f>
        <v/>
      </c>
      <c r="AF710" s="35">
        <f>IF(C710&lt;&gt;"Grayson Coulter","",COUNTIFS($C$5:$C$2991,"Grayson Coulter",$Q$5:$Q$2991,Q710,$AE$5:$AE$2991,"&lt;="&amp;AE710,$R$5:$R$2991,"&lt;"&amp;R710))</f>
        <v/>
      </c>
      <c r="AG710" s="35">
        <f>IF(OR(C710&lt;&gt;"Grayson Coulter",G710&lt;'00_Control'!$B$7),"",--(AF710&lt;5))</f>
        <v/>
      </c>
      <c r="AH710" s="35">
        <f>IF(OR(C710&lt;&gt;"Grayson Coulter",G710&lt;'00_Control'!$B$7),"",--(AF710&lt;10))</f>
        <v/>
      </c>
      <c r="AI710" s="35">
        <f>IF(AND(C710="Grayson Coulter",G710&gt;='00_Control'!$B$7),"YES","NO")</f>
        <v/>
      </c>
      <c r="AJ710" s="33" t="inlineStr">
        <is>
          <t>OK</t>
        </is>
      </c>
    </row>
    <row r="711">
      <c r="A711" s="33" t="inlineStr">
        <is>
          <t>SM000707</t>
        </is>
      </c>
      <c r="B711" s="33" t="inlineStr">
        <is>
          <t>SW016</t>
        </is>
      </c>
      <c r="C711" s="33" t="inlineStr">
        <is>
          <t>Duncan Scott</t>
        </is>
      </c>
      <c r="D711" s="33" t="inlineStr">
        <is>
          <t>SwimCloud</t>
        </is>
      </c>
      <c r="E711" s="33" t="inlineStr">
        <is>
          <t>375606</t>
        </is>
      </c>
      <c r="F711" s="33" t="inlineStr">
        <is>
          <t>43908896</t>
        </is>
      </c>
      <c r="G711" s="51" t="n">
        <v>44442</v>
      </c>
      <c r="H711" s="33" t="inlineStr">
        <is>
          <t>ISL - Season 3, Match 3</t>
        </is>
      </c>
      <c r="I711" s="33" t="inlineStr">
        <is>
          <t>203031</t>
        </is>
      </c>
      <c r="J711" s="33" t="inlineStr"/>
      <c r="K711" s="33" t="inlineStr">
        <is>
          <t>FIN</t>
        </is>
      </c>
      <c r="L711" s="35">
        <f>IF(K711="FIN",3,IF(OR(K711="SEM",K711="SEMI"),2,IF(OR(K711="PRE",K711="HEAT"),1,IF(V711="YES",4,2))))</f>
        <v/>
      </c>
      <c r="M711" s="33" t="inlineStr">
        <is>
          <t>SCM</t>
        </is>
      </c>
      <c r="N711" s="33" t="n">
        <v>100</v>
      </c>
      <c r="O711" s="33" t="inlineStr">
        <is>
          <t>Free</t>
        </is>
      </c>
      <c r="P711" s="33" t="inlineStr">
        <is>
          <t>100 Free</t>
        </is>
      </c>
      <c r="Q711" s="33" t="inlineStr">
        <is>
          <t>SCM_100_FREE</t>
        </is>
      </c>
      <c r="R711" s="36" t="n">
        <v>46.8</v>
      </c>
      <c r="S711" s="35">
        <f>IF(R711="","",IF(R711&gt;=60,INT(R711/60)&amp;":"&amp;TEXT(MOD(R711,60),"00.00"),TEXT(R711,"0.00")))</f>
        <v/>
      </c>
      <c r="T711" s="52">
        <f>IFERROR((G711-INDEX('01_Swimmers'!$E$5:$E$22,MATCH(B711,'01_Swimmers'!$A$5:$A$22,0)))/'00_Control'!$B$10,"")</f>
        <v/>
      </c>
      <c r="U711" s="35">
        <f>IF(T711="","",INT(T711))</f>
        <v/>
      </c>
      <c r="V711" s="33" t="inlineStr">
        <is>
          <t>NO</t>
        </is>
      </c>
      <c r="W711" s="33" t="inlineStr">
        <is>
          <t>YES</t>
        </is>
      </c>
      <c r="X711" s="33" t="inlineStr">
        <is>
          <t>NO</t>
        </is>
      </c>
      <c r="Y711" s="33" t="n">
        <v>1</v>
      </c>
      <c r="Z711" s="33" t="n">
        <v>5</v>
      </c>
      <c r="AA711" s="33" t="inlineStr">
        <is>
          <t>1</t>
        </is>
      </c>
      <c r="AB711" s="33" t="inlineStr">
        <is>
          <t>https://www.swimcloud.com/results/203031/event/22/?id=43908896#time43908896</t>
        </is>
      </c>
      <c r="AC711" s="33" t="inlineStr">
        <is>
          <t>SwimCloud API v6 2026-10-08</t>
        </is>
      </c>
      <c r="AD711" s="33" t="inlineStr">
        <is>
          <t>Duncan Scott|2021-09-03|SCM|100|Free|46.8|ISL - Season 3, Match 3|FIN|False</t>
        </is>
      </c>
      <c r="AE711" s="53">
        <f>G711+L711/1000+ROW()/1000000000</f>
        <v/>
      </c>
      <c r="AF711" s="35">
        <f>IF(C711&lt;&gt;"Grayson Coulter","",COUNTIFS($C$5:$C$2991,"Grayson Coulter",$Q$5:$Q$2991,Q711,$AE$5:$AE$2991,"&lt;="&amp;AE711,$R$5:$R$2991,"&lt;"&amp;R711))</f>
        <v/>
      </c>
      <c r="AG711" s="35">
        <f>IF(OR(C711&lt;&gt;"Grayson Coulter",G711&lt;'00_Control'!$B$7),"",--(AF711&lt;5))</f>
        <v/>
      </c>
      <c r="AH711" s="35">
        <f>IF(OR(C711&lt;&gt;"Grayson Coulter",G711&lt;'00_Control'!$B$7),"",--(AF711&lt;10))</f>
        <v/>
      </c>
      <c r="AI711" s="35">
        <f>IF(AND(C711="Grayson Coulter",G711&gt;='00_Control'!$B$7),"YES","NO")</f>
        <v/>
      </c>
      <c r="AJ711" s="33" t="inlineStr">
        <is>
          <t>OK</t>
        </is>
      </c>
    </row>
    <row r="712">
      <c r="A712" s="33" t="inlineStr">
        <is>
          <t>SM000708</t>
        </is>
      </c>
      <c r="B712" s="33" t="inlineStr">
        <is>
          <t>SW016</t>
        </is>
      </c>
      <c r="C712" s="33" t="inlineStr">
        <is>
          <t>Duncan Scott</t>
        </is>
      </c>
      <c r="D712" s="33" t="inlineStr">
        <is>
          <t>SwimCloud</t>
        </is>
      </c>
      <c r="E712" s="33" t="inlineStr">
        <is>
          <t>375606</t>
        </is>
      </c>
      <c r="F712" s="33" t="inlineStr">
        <is>
          <t>43908897</t>
        </is>
      </c>
      <c r="G712" s="51" t="n">
        <v>44442</v>
      </c>
      <c r="H712" s="33" t="inlineStr">
        <is>
          <t>ISL - Season 3, Match 3</t>
        </is>
      </c>
      <c r="I712" s="33" t="inlineStr">
        <is>
          <t>203031</t>
        </is>
      </c>
      <c r="J712" s="33" t="inlineStr"/>
      <c r="K712" s="33" t="inlineStr">
        <is>
          <t>FIN</t>
        </is>
      </c>
      <c r="L712" s="35">
        <f>IF(K712="FIN",3,IF(OR(K712="SEM",K712="SEMI"),2,IF(OR(K712="PRE",K712="HEAT"),1,IF(V712="YES",4,2))))</f>
        <v/>
      </c>
      <c r="M712" s="33" t="inlineStr">
        <is>
          <t>SCM</t>
        </is>
      </c>
      <c r="N712" s="33" t="n">
        <v>200</v>
      </c>
      <c r="O712" s="33" t="inlineStr">
        <is>
          <t>Free</t>
        </is>
      </c>
      <c r="P712" s="33" t="inlineStr">
        <is>
          <t>200 Free</t>
        </is>
      </c>
      <c r="Q712" s="33" t="inlineStr">
        <is>
          <t>SCM_200_FREE</t>
        </is>
      </c>
      <c r="R712" s="36" t="n">
        <v>102.6</v>
      </c>
      <c r="S712" s="35">
        <f>IF(R712="","",IF(R712&gt;=60,INT(R712/60)&amp;":"&amp;TEXT(MOD(R712,60),"00.00"),TEXT(R712,"0.00")))</f>
        <v/>
      </c>
      <c r="T712" s="52">
        <f>IFERROR((G712-INDEX('01_Swimmers'!$E$5:$E$22,MATCH(B712,'01_Swimmers'!$A$5:$A$22,0)))/'00_Control'!$B$10,"")</f>
        <v/>
      </c>
      <c r="U712" s="35">
        <f>IF(T712="","",INT(T712))</f>
        <v/>
      </c>
      <c r="V712" s="33" t="inlineStr">
        <is>
          <t>NO</t>
        </is>
      </c>
      <c r="W712" s="33" t="inlineStr">
        <is>
          <t>YES</t>
        </is>
      </c>
      <c r="X712" s="33" t="inlineStr">
        <is>
          <t>NO</t>
        </is>
      </c>
      <c r="Y712" s="33" t="n">
        <v>1</v>
      </c>
      <c r="Z712" s="33" t="n">
        <v>5</v>
      </c>
      <c r="AA712" s="33" t="inlineStr">
        <is>
          <t>1</t>
        </is>
      </c>
      <c r="AB712" s="33" t="inlineStr">
        <is>
          <t>https://www.swimcloud.com/results/203031/event/34/?id=43908897#time43908897</t>
        </is>
      </c>
      <c r="AC712" s="33" t="inlineStr">
        <is>
          <t>SwimCloud API v6 2026-10-08</t>
        </is>
      </c>
      <c r="AD712" s="33" t="inlineStr">
        <is>
          <t>Duncan Scott|2021-09-03|SCM|200|Free|102.6|ISL - Season 3, Match 3|FIN|False</t>
        </is>
      </c>
      <c r="AE712" s="53">
        <f>G712+L712/1000+ROW()/1000000000</f>
        <v/>
      </c>
      <c r="AF712" s="35">
        <f>IF(C712&lt;&gt;"Grayson Coulter","",COUNTIFS($C$5:$C$2991,"Grayson Coulter",$Q$5:$Q$2991,Q712,$AE$5:$AE$2991,"&lt;="&amp;AE712,$R$5:$R$2991,"&lt;"&amp;R712))</f>
        <v/>
      </c>
      <c r="AG712" s="35">
        <f>IF(OR(C712&lt;&gt;"Grayson Coulter",G712&lt;'00_Control'!$B$7),"",--(AF712&lt;5))</f>
        <v/>
      </c>
      <c r="AH712" s="35">
        <f>IF(OR(C712&lt;&gt;"Grayson Coulter",G712&lt;'00_Control'!$B$7),"",--(AF712&lt;10))</f>
        <v/>
      </c>
      <c r="AI712" s="35">
        <f>IF(AND(C712="Grayson Coulter",G712&gt;='00_Control'!$B$7),"YES","NO")</f>
        <v/>
      </c>
      <c r="AJ712" s="33" t="inlineStr">
        <is>
          <t>OK</t>
        </is>
      </c>
    </row>
    <row r="713">
      <c r="A713" s="33" t="inlineStr">
        <is>
          <t>SM000709</t>
        </is>
      </c>
      <c r="B713" s="33" t="inlineStr">
        <is>
          <t>SW016</t>
        </is>
      </c>
      <c r="C713" s="33" t="inlineStr">
        <is>
          <t>Duncan Scott</t>
        </is>
      </c>
      <c r="D713" s="33" t="inlineStr">
        <is>
          <t>SwimCloud</t>
        </is>
      </c>
      <c r="E713" s="33" t="inlineStr">
        <is>
          <t>375606</t>
        </is>
      </c>
      <c r="F713" s="33" t="inlineStr">
        <is>
          <t>43976413</t>
        </is>
      </c>
      <c r="G713" s="51" t="n">
        <v>44450</v>
      </c>
      <c r="H713" s="33" t="inlineStr">
        <is>
          <t>ISL - Season 3, Match 6</t>
        </is>
      </c>
      <c r="I713" s="33" t="inlineStr">
        <is>
          <t>203628</t>
        </is>
      </c>
      <c r="J713" s="33" t="inlineStr"/>
      <c r="K713" s="33" t="inlineStr">
        <is>
          <t>FIN</t>
        </is>
      </c>
      <c r="L713" s="35">
        <f>IF(K713="FIN",3,IF(OR(K713="SEM",K713="SEMI"),2,IF(OR(K713="PRE",K713="HEAT"),1,IF(V713="YES",4,2))))</f>
        <v/>
      </c>
      <c r="M713" s="33" t="inlineStr">
        <is>
          <t>SCM</t>
        </is>
      </c>
      <c r="N713" s="33" t="n">
        <v>400</v>
      </c>
      <c r="O713" s="33" t="inlineStr">
        <is>
          <t>Free</t>
        </is>
      </c>
      <c r="P713" s="33" t="inlineStr">
        <is>
          <t>400 Free</t>
        </is>
      </c>
      <c r="Q713" s="33" t="inlineStr">
        <is>
          <t>SCM_400_FREE</t>
        </is>
      </c>
      <c r="R713" s="36" t="n">
        <v>221.14</v>
      </c>
      <c r="S713" s="35">
        <f>IF(R713="","",IF(R713&gt;=60,INT(R713/60)&amp;":"&amp;TEXT(MOD(R713,60),"00.00"),TEXT(R713,"0.00")))</f>
        <v/>
      </c>
      <c r="T713" s="52">
        <f>IFERROR((G713-INDEX('01_Swimmers'!$E$5:$E$22,MATCH(B713,'01_Swimmers'!$A$5:$A$22,0)))/'00_Control'!$B$10,"")</f>
        <v/>
      </c>
      <c r="U713" s="35">
        <f>IF(T713="","",INT(T713))</f>
        <v/>
      </c>
      <c r="V713" s="33" t="inlineStr">
        <is>
          <t>NO</t>
        </is>
      </c>
      <c r="W713" s="33" t="inlineStr">
        <is>
          <t>YES</t>
        </is>
      </c>
      <c r="X713" s="33" t="inlineStr">
        <is>
          <t>NO</t>
        </is>
      </c>
      <c r="Y713" s="33" t="n">
        <v>1</v>
      </c>
      <c r="Z713" s="33" t="n">
        <v>6</v>
      </c>
      <c r="AA713" s="33" t="inlineStr">
        <is>
          <t>1</t>
        </is>
      </c>
      <c r="AB713" s="33" t="inlineStr">
        <is>
          <t>https://www.swimcloud.com/results/203628/event/18/?id=43976413#time43976413</t>
        </is>
      </c>
      <c r="AC713" s="33" t="inlineStr">
        <is>
          <t>SwimCloud API v6 2026-10-08</t>
        </is>
      </c>
      <c r="AD713" s="33" t="inlineStr">
        <is>
          <t>Duncan Scott|2021-09-11|SCM|400|Free|221.14|ISL - Season 3, Match 6|FIN|False</t>
        </is>
      </c>
      <c r="AE713" s="53">
        <f>G713+L713/1000+ROW()/1000000000</f>
        <v/>
      </c>
      <c r="AF713" s="35">
        <f>IF(C713&lt;&gt;"Grayson Coulter","",COUNTIFS($C$5:$C$2991,"Grayson Coulter",$Q$5:$Q$2991,Q713,$AE$5:$AE$2991,"&lt;="&amp;AE713,$R$5:$R$2991,"&lt;"&amp;R713))</f>
        <v/>
      </c>
      <c r="AG713" s="35">
        <f>IF(OR(C713&lt;&gt;"Grayson Coulter",G713&lt;'00_Control'!$B$7),"",--(AF713&lt;5))</f>
        <v/>
      </c>
      <c r="AH713" s="35">
        <f>IF(OR(C713&lt;&gt;"Grayson Coulter",G713&lt;'00_Control'!$B$7),"",--(AF713&lt;10))</f>
        <v/>
      </c>
      <c r="AI713" s="35">
        <f>IF(AND(C713="Grayson Coulter",G713&gt;='00_Control'!$B$7),"YES","NO")</f>
        <v/>
      </c>
      <c r="AJ713" s="33" t="inlineStr">
        <is>
          <t>OK</t>
        </is>
      </c>
    </row>
    <row r="714">
      <c r="A714" s="33" t="inlineStr">
        <is>
          <t>SM000710</t>
        </is>
      </c>
      <c r="B714" s="33" t="inlineStr">
        <is>
          <t>SW016</t>
        </is>
      </c>
      <c r="C714" s="33" t="inlineStr">
        <is>
          <t>Duncan Scott</t>
        </is>
      </c>
      <c r="D714" s="33" t="inlineStr">
        <is>
          <t>SwimCloud</t>
        </is>
      </c>
      <c r="E714" s="33" t="inlineStr">
        <is>
          <t>375606</t>
        </is>
      </c>
      <c r="F714" s="33" t="inlineStr">
        <is>
          <t>43976409</t>
        </is>
      </c>
      <c r="G714" s="51" t="n">
        <v>44451</v>
      </c>
      <c r="H714" s="33" t="inlineStr">
        <is>
          <t>ISL - Season 3, Match 6</t>
        </is>
      </c>
      <c r="I714" s="33" t="inlineStr">
        <is>
          <t>203628</t>
        </is>
      </c>
      <c r="J714" s="33" t="inlineStr"/>
      <c r="K714" s="33" t="inlineStr">
        <is>
          <t>FIN</t>
        </is>
      </c>
      <c r="L714" s="35">
        <f>IF(K714="FIN",3,IF(OR(K714="SEM",K714="SEMI"),2,IF(OR(K714="PRE",K714="HEAT"),1,IF(V714="YES",4,2))))</f>
        <v/>
      </c>
      <c r="M714" s="33" t="inlineStr">
        <is>
          <t>SCM</t>
        </is>
      </c>
      <c r="N714" s="33" t="n">
        <v>100</v>
      </c>
      <c r="O714" s="33" t="inlineStr">
        <is>
          <t>Free</t>
        </is>
      </c>
      <c r="P714" s="33" t="inlineStr">
        <is>
          <t>100 Free</t>
        </is>
      </c>
      <c r="Q714" s="33" t="inlineStr">
        <is>
          <t>SCM_100_FREE</t>
        </is>
      </c>
      <c r="R714" s="36" t="n">
        <v>46.53</v>
      </c>
      <c r="S714" s="35">
        <f>IF(R714="","",IF(R714&gt;=60,INT(R714/60)&amp;":"&amp;TEXT(MOD(R714,60),"00.00"),TEXT(R714,"0.00")))</f>
        <v/>
      </c>
      <c r="T714" s="52">
        <f>IFERROR((G714-INDEX('01_Swimmers'!$E$5:$E$22,MATCH(B714,'01_Swimmers'!$A$5:$A$22,0)))/'00_Control'!$B$10,"")</f>
        <v/>
      </c>
      <c r="U714" s="35">
        <f>IF(T714="","",INT(T714))</f>
        <v/>
      </c>
      <c r="V714" s="33" t="inlineStr">
        <is>
          <t>NO</t>
        </is>
      </c>
      <c r="W714" s="33" t="inlineStr">
        <is>
          <t>YES</t>
        </is>
      </c>
      <c r="X714" s="33" t="inlineStr">
        <is>
          <t>NO</t>
        </is>
      </c>
      <c r="Y714" s="33" t="n">
        <v>1</v>
      </c>
      <c r="Z714" s="33" t="n">
        <v>4</v>
      </c>
      <c r="AA714" s="33" t="inlineStr">
        <is>
          <t>1</t>
        </is>
      </c>
      <c r="AB714" s="33" t="inlineStr">
        <is>
          <t>https://www.swimcloud.com/results/203628/event/22/?id=43976409#time43976409</t>
        </is>
      </c>
      <c r="AC714" s="33" t="inlineStr">
        <is>
          <t>SwimCloud API v6 2026-10-08</t>
        </is>
      </c>
      <c r="AD714" s="33" t="inlineStr">
        <is>
          <t>Duncan Scott|2021-09-12|SCM|100|Free|46.53|ISL - Season 3, Match 6|FIN|False</t>
        </is>
      </c>
      <c r="AE714" s="53">
        <f>G714+L714/1000+ROW()/1000000000</f>
        <v/>
      </c>
      <c r="AF714" s="35">
        <f>IF(C714&lt;&gt;"Grayson Coulter","",COUNTIFS($C$5:$C$2991,"Grayson Coulter",$Q$5:$Q$2991,Q714,$AE$5:$AE$2991,"&lt;="&amp;AE714,$R$5:$R$2991,"&lt;"&amp;R714))</f>
        <v/>
      </c>
      <c r="AG714" s="35">
        <f>IF(OR(C714&lt;&gt;"Grayson Coulter",G714&lt;'00_Control'!$B$7),"",--(AF714&lt;5))</f>
        <v/>
      </c>
      <c r="AH714" s="35">
        <f>IF(OR(C714&lt;&gt;"Grayson Coulter",G714&lt;'00_Control'!$B$7),"",--(AF714&lt;10))</f>
        <v/>
      </c>
      <c r="AI714" s="35">
        <f>IF(AND(C714="Grayson Coulter",G714&gt;='00_Control'!$B$7),"YES","NO")</f>
        <v/>
      </c>
      <c r="AJ714" s="33" t="inlineStr">
        <is>
          <t>OK</t>
        </is>
      </c>
    </row>
    <row r="715">
      <c r="A715" s="33" t="inlineStr">
        <is>
          <t>SM000711</t>
        </is>
      </c>
      <c r="B715" s="33" t="inlineStr">
        <is>
          <t>SW016</t>
        </is>
      </c>
      <c r="C715" s="33" t="inlineStr">
        <is>
          <t>Duncan Scott</t>
        </is>
      </c>
      <c r="D715" s="33" t="inlineStr">
        <is>
          <t>SwimCloud</t>
        </is>
      </c>
      <c r="E715" s="33" t="inlineStr">
        <is>
          <t>375606</t>
        </is>
      </c>
      <c r="F715" s="33" t="inlineStr">
        <is>
          <t>43976411</t>
        </is>
      </c>
      <c r="G715" s="51" t="n">
        <v>44451</v>
      </c>
      <c r="H715" s="33" t="inlineStr">
        <is>
          <t>ISL - Season 3, Match 6</t>
        </is>
      </c>
      <c r="I715" s="33" t="inlineStr">
        <is>
          <t>203628</t>
        </is>
      </c>
      <c r="J715" s="33" t="inlineStr"/>
      <c r="K715" s="33" t="inlineStr">
        <is>
          <t>FIN</t>
        </is>
      </c>
      <c r="L715" s="35">
        <f>IF(K715="FIN",3,IF(OR(K715="SEM",K715="SEMI"),2,IF(OR(K715="PRE",K715="HEAT"),1,IF(V715="YES",4,2))))</f>
        <v/>
      </c>
      <c r="M715" s="33" t="inlineStr">
        <is>
          <t>SCM</t>
        </is>
      </c>
      <c r="N715" s="33" t="n">
        <v>200</v>
      </c>
      <c r="O715" s="33" t="inlineStr">
        <is>
          <t>Free</t>
        </is>
      </c>
      <c r="P715" s="33" t="inlineStr">
        <is>
          <t>200 Free</t>
        </is>
      </c>
      <c r="Q715" s="33" t="inlineStr">
        <is>
          <t>SCM_200_FREE</t>
        </is>
      </c>
      <c r="R715" s="36" t="n">
        <v>102.43</v>
      </c>
      <c r="S715" s="35">
        <f>IF(R715="","",IF(R715&gt;=60,INT(R715/60)&amp;":"&amp;TEXT(MOD(R715,60),"00.00"),TEXT(R715,"0.00")))</f>
        <v/>
      </c>
      <c r="T715" s="52">
        <f>IFERROR((G715-INDEX('01_Swimmers'!$E$5:$E$22,MATCH(B715,'01_Swimmers'!$A$5:$A$22,0)))/'00_Control'!$B$10,"")</f>
        <v/>
      </c>
      <c r="U715" s="35">
        <f>IF(T715="","",INT(T715))</f>
        <v/>
      </c>
      <c r="V715" s="33" t="inlineStr">
        <is>
          <t>NO</t>
        </is>
      </c>
      <c r="W715" s="33" t="inlineStr">
        <is>
          <t>YES</t>
        </is>
      </c>
      <c r="X715" s="33" t="inlineStr">
        <is>
          <t>NO</t>
        </is>
      </c>
      <c r="Y715" s="33" t="n">
        <v>1</v>
      </c>
      <c r="Z715" s="33" t="n">
        <v>4</v>
      </c>
      <c r="AA715" s="33" t="inlineStr">
        <is>
          <t>1</t>
        </is>
      </c>
      <c r="AB715" s="33" t="inlineStr">
        <is>
          <t>https://www.swimcloud.com/results/203628/event/34/?id=43976411#time43976411</t>
        </is>
      </c>
      <c r="AC715" s="33" t="inlineStr">
        <is>
          <t>SwimCloud API v6 2026-10-08</t>
        </is>
      </c>
      <c r="AD715" s="33" t="inlineStr">
        <is>
          <t>Duncan Scott|2021-09-12|SCM|200|Free|102.43|ISL - Season 3, Match 6|FIN|False</t>
        </is>
      </c>
      <c r="AE715" s="53">
        <f>G715+L715/1000+ROW()/1000000000</f>
        <v/>
      </c>
      <c r="AF715" s="35">
        <f>IF(C715&lt;&gt;"Grayson Coulter","",COUNTIFS($C$5:$C$2991,"Grayson Coulter",$Q$5:$Q$2991,Q715,$AE$5:$AE$2991,"&lt;="&amp;AE715,$R$5:$R$2991,"&lt;"&amp;R715))</f>
        <v/>
      </c>
      <c r="AG715" s="35">
        <f>IF(OR(C715&lt;&gt;"Grayson Coulter",G715&lt;'00_Control'!$B$7),"",--(AF715&lt;5))</f>
        <v/>
      </c>
      <c r="AH715" s="35">
        <f>IF(OR(C715&lt;&gt;"Grayson Coulter",G715&lt;'00_Control'!$B$7),"",--(AF715&lt;10))</f>
        <v/>
      </c>
      <c r="AI715" s="35">
        <f>IF(AND(C715="Grayson Coulter",G715&gt;='00_Control'!$B$7),"YES","NO")</f>
        <v/>
      </c>
      <c r="AJ715" s="33" t="inlineStr">
        <is>
          <t>OK</t>
        </is>
      </c>
    </row>
    <row r="716">
      <c r="A716" s="33" t="inlineStr">
        <is>
          <t>SM000712</t>
        </is>
      </c>
      <c r="B716" s="33" t="inlineStr">
        <is>
          <t>SW016</t>
        </is>
      </c>
      <c r="C716" s="33" t="inlineStr">
        <is>
          <t>Duncan Scott</t>
        </is>
      </c>
      <c r="D716" s="33" t="inlineStr">
        <is>
          <t>SwimCloud</t>
        </is>
      </c>
      <c r="E716" s="33" t="inlineStr">
        <is>
          <t>375606</t>
        </is>
      </c>
      <c r="F716" s="33" t="inlineStr">
        <is>
          <t>44130904</t>
        </is>
      </c>
      <c r="G716" s="51" t="n">
        <v>44457</v>
      </c>
      <c r="H716" s="33" t="inlineStr">
        <is>
          <t>ISL - Season 3, Match 8</t>
        </is>
      </c>
      <c r="I716" s="33" t="inlineStr">
        <is>
          <t>204292</t>
        </is>
      </c>
      <c r="J716" s="33" t="inlineStr"/>
      <c r="K716" s="33" t="inlineStr">
        <is>
          <t>FIN</t>
        </is>
      </c>
      <c r="L716" s="35">
        <f>IF(K716="FIN",3,IF(OR(K716="SEM",K716="SEMI"),2,IF(OR(K716="PRE",K716="HEAT"),1,IF(V716="YES",4,2))))</f>
        <v/>
      </c>
      <c r="M716" s="33" t="inlineStr">
        <is>
          <t>SCM</t>
        </is>
      </c>
      <c r="N716" s="33" t="n">
        <v>400</v>
      </c>
      <c r="O716" s="33" t="inlineStr">
        <is>
          <t>Free</t>
        </is>
      </c>
      <c r="P716" s="33" t="inlineStr">
        <is>
          <t>400 Free</t>
        </is>
      </c>
      <c r="Q716" s="33" t="inlineStr">
        <is>
          <t>SCM_400_FREE</t>
        </is>
      </c>
      <c r="R716" s="36" t="n">
        <v>219.52</v>
      </c>
      <c r="S716" s="35">
        <f>IF(R716="","",IF(R716&gt;=60,INT(R716/60)&amp;":"&amp;TEXT(MOD(R716,60),"00.00"),TEXT(R716,"0.00")))</f>
        <v/>
      </c>
      <c r="T716" s="52">
        <f>IFERROR((G716-INDEX('01_Swimmers'!$E$5:$E$22,MATCH(B716,'01_Swimmers'!$A$5:$A$22,0)))/'00_Control'!$B$10,"")</f>
        <v/>
      </c>
      <c r="U716" s="35">
        <f>IF(T716="","",INT(T716))</f>
        <v/>
      </c>
      <c r="V716" s="33" t="inlineStr">
        <is>
          <t>NO</t>
        </is>
      </c>
      <c r="W716" s="33" t="inlineStr">
        <is>
          <t>YES</t>
        </is>
      </c>
      <c r="X716" s="33" t="inlineStr">
        <is>
          <t>NO</t>
        </is>
      </c>
      <c r="Y716" s="33" t="n">
        <v>1</v>
      </c>
      <c r="Z716" s="33" t="n">
        <v>5</v>
      </c>
      <c r="AA716" s="33" t="inlineStr">
        <is>
          <t>1</t>
        </is>
      </c>
      <c r="AB716" s="33" t="inlineStr">
        <is>
          <t>https://www.swimcloud.com/results/204292/event/18/?id=44130904#time44130904</t>
        </is>
      </c>
      <c r="AC716" s="33" t="inlineStr">
        <is>
          <t>SwimCloud API v6 2026-10-08</t>
        </is>
      </c>
      <c r="AD716" s="33" t="inlineStr">
        <is>
          <t>Duncan Scott|2021-09-18|SCM|400|Free|219.52|ISL - Season 3, Match 8|FIN|False</t>
        </is>
      </c>
      <c r="AE716" s="53">
        <f>G716+L716/1000+ROW()/1000000000</f>
        <v/>
      </c>
      <c r="AF716" s="35">
        <f>IF(C716&lt;&gt;"Grayson Coulter","",COUNTIFS($C$5:$C$2991,"Grayson Coulter",$Q$5:$Q$2991,Q716,$AE$5:$AE$2991,"&lt;="&amp;AE716,$R$5:$R$2991,"&lt;"&amp;R716))</f>
        <v/>
      </c>
      <c r="AG716" s="35">
        <f>IF(OR(C716&lt;&gt;"Grayson Coulter",G716&lt;'00_Control'!$B$7),"",--(AF716&lt;5))</f>
        <v/>
      </c>
      <c r="AH716" s="35">
        <f>IF(OR(C716&lt;&gt;"Grayson Coulter",G716&lt;'00_Control'!$B$7),"",--(AF716&lt;10))</f>
        <v/>
      </c>
      <c r="AI716" s="35">
        <f>IF(AND(C716="Grayson Coulter",G716&gt;='00_Control'!$B$7),"YES","NO")</f>
        <v/>
      </c>
      <c r="AJ716" s="33" t="inlineStr">
        <is>
          <t>OK</t>
        </is>
      </c>
    </row>
    <row r="717">
      <c r="A717" s="33" t="inlineStr">
        <is>
          <t>SM000713</t>
        </is>
      </c>
      <c r="B717" s="33" t="inlineStr">
        <is>
          <t>SW016</t>
        </is>
      </c>
      <c r="C717" s="33" t="inlineStr">
        <is>
          <t>Duncan Scott</t>
        </is>
      </c>
      <c r="D717" s="33" t="inlineStr">
        <is>
          <t>SwimCloud</t>
        </is>
      </c>
      <c r="E717" s="33" t="inlineStr">
        <is>
          <t>375606</t>
        </is>
      </c>
      <c r="F717" s="33" t="inlineStr">
        <is>
          <t>44130902</t>
        </is>
      </c>
      <c r="G717" s="51" t="n">
        <v>44458</v>
      </c>
      <c r="H717" s="33" t="inlineStr">
        <is>
          <t>ISL - Season 3, Match 8</t>
        </is>
      </c>
      <c r="I717" s="33" t="inlineStr">
        <is>
          <t>204292</t>
        </is>
      </c>
      <c r="J717" s="33" t="inlineStr"/>
      <c r="K717" s="33" t="inlineStr">
        <is>
          <t>FIN</t>
        </is>
      </c>
      <c r="L717" s="35">
        <f>IF(K717="FIN",3,IF(OR(K717="SEM",K717="SEMI"),2,IF(OR(K717="PRE",K717="HEAT"),1,IF(V717="YES",4,2))))</f>
        <v/>
      </c>
      <c r="M717" s="33" t="inlineStr">
        <is>
          <t>SCM</t>
        </is>
      </c>
      <c r="N717" s="33" t="n">
        <v>200</v>
      </c>
      <c r="O717" s="33" t="inlineStr">
        <is>
          <t>Free</t>
        </is>
      </c>
      <c r="P717" s="33" t="inlineStr">
        <is>
          <t>200 Free</t>
        </is>
      </c>
      <c r="Q717" s="33" t="inlineStr">
        <is>
          <t>SCM_200_FREE</t>
        </is>
      </c>
      <c r="R717" s="36" t="n">
        <v>102.13</v>
      </c>
      <c r="S717" s="35">
        <f>IF(R717="","",IF(R717&gt;=60,INT(R717/60)&amp;":"&amp;TEXT(MOD(R717,60),"00.00"),TEXT(R717,"0.00")))</f>
        <v/>
      </c>
      <c r="T717" s="52">
        <f>IFERROR((G717-INDEX('01_Swimmers'!$E$5:$E$22,MATCH(B717,'01_Swimmers'!$A$5:$A$22,0)))/'00_Control'!$B$10,"")</f>
        <v/>
      </c>
      <c r="U717" s="35">
        <f>IF(T717="","",INT(T717))</f>
        <v/>
      </c>
      <c r="V717" s="33" t="inlineStr">
        <is>
          <t>NO</t>
        </is>
      </c>
      <c r="W717" s="33" t="inlineStr">
        <is>
          <t>YES</t>
        </is>
      </c>
      <c r="X717" s="33" t="inlineStr">
        <is>
          <t>NO</t>
        </is>
      </c>
      <c r="Y717" s="33" t="n">
        <v>1</v>
      </c>
      <c r="Z717" s="33" t="n">
        <v>6</v>
      </c>
      <c r="AA717" s="33" t="inlineStr">
        <is>
          <t>1</t>
        </is>
      </c>
      <c r="AB717" s="33" t="inlineStr">
        <is>
          <t>https://www.swimcloud.com/results/204292/event/34/?id=44130902#time44130902</t>
        </is>
      </c>
      <c r="AC717" s="33" t="inlineStr">
        <is>
          <t>SwimCloud API v6 2026-10-08</t>
        </is>
      </c>
      <c r="AD717" s="33" t="inlineStr">
        <is>
          <t>Duncan Scott|2021-09-19|SCM|200|Free|102.13|ISL - Season 3, Match 8|FIN|False</t>
        </is>
      </c>
      <c r="AE717" s="53">
        <f>G717+L717/1000+ROW()/1000000000</f>
        <v/>
      </c>
      <c r="AF717" s="35">
        <f>IF(C717&lt;&gt;"Grayson Coulter","",COUNTIFS($C$5:$C$2991,"Grayson Coulter",$Q$5:$Q$2991,Q717,$AE$5:$AE$2991,"&lt;="&amp;AE717,$R$5:$R$2991,"&lt;"&amp;R717))</f>
        <v/>
      </c>
      <c r="AG717" s="35">
        <f>IF(OR(C717&lt;&gt;"Grayson Coulter",G717&lt;'00_Control'!$B$7),"",--(AF717&lt;5))</f>
        <v/>
      </c>
      <c r="AH717" s="35">
        <f>IF(OR(C717&lt;&gt;"Grayson Coulter",G717&lt;'00_Control'!$B$7),"",--(AF717&lt;10))</f>
        <v/>
      </c>
      <c r="AI717" s="35">
        <f>IF(AND(C717="Grayson Coulter",G717&gt;='00_Control'!$B$7),"YES","NO")</f>
        <v/>
      </c>
      <c r="AJ717" s="33" t="inlineStr">
        <is>
          <t>OK</t>
        </is>
      </c>
    </row>
    <row r="718">
      <c r="A718" s="33" t="inlineStr">
        <is>
          <t>SM000714</t>
        </is>
      </c>
      <c r="B718" s="33" t="inlineStr">
        <is>
          <t>SW016</t>
        </is>
      </c>
      <c r="C718" s="33" t="inlineStr">
        <is>
          <t>Duncan Scott</t>
        </is>
      </c>
      <c r="D718" s="33" t="inlineStr">
        <is>
          <t>SwimCloud</t>
        </is>
      </c>
      <c r="E718" s="33" t="inlineStr">
        <is>
          <t>375606</t>
        </is>
      </c>
      <c r="F718" s="33" t="inlineStr">
        <is>
          <t>46608673</t>
        </is>
      </c>
      <c r="G718" s="51" t="n">
        <v>44513</v>
      </c>
      <c r="H718" s="33" t="inlineStr">
        <is>
          <t>ISL - Season 3, Playoff Match 13</t>
        </is>
      </c>
      <c r="I718" s="33" t="inlineStr">
        <is>
          <t>204571</t>
        </is>
      </c>
      <c r="J718" s="33" t="inlineStr"/>
      <c r="K718" s="33" t="inlineStr">
        <is>
          <t>FIN</t>
        </is>
      </c>
      <c r="L718" s="35">
        <f>IF(K718="FIN",3,IF(OR(K718="SEM",K718="SEMI"),2,IF(OR(K718="PRE",K718="HEAT"),1,IF(V718="YES",4,2))))</f>
        <v/>
      </c>
      <c r="M718" s="33" t="inlineStr">
        <is>
          <t>SCM</t>
        </is>
      </c>
      <c r="N718" s="33" t="n">
        <v>400</v>
      </c>
      <c r="O718" s="33" t="inlineStr">
        <is>
          <t>Free</t>
        </is>
      </c>
      <c r="P718" s="33" t="inlineStr">
        <is>
          <t>400 Free</t>
        </is>
      </c>
      <c r="Q718" s="33" t="inlineStr">
        <is>
          <t>SCM_400_FREE</t>
        </is>
      </c>
      <c r="R718" s="36" t="n">
        <v>222.95</v>
      </c>
      <c r="S718" s="35">
        <f>IF(R718="","",IF(R718&gt;=60,INT(R718/60)&amp;":"&amp;TEXT(MOD(R718,60),"00.00"),TEXT(R718,"0.00")))</f>
        <v/>
      </c>
      <c r="T718" s="52">
        <f>IFERROR((G718-INDEX('01_Swimmers'!$E$5:$E$22,MATCH(B718,'01_Swimmers'!$A$5:$A$22,0)))/'00_Control'!$B$10,"")</f>
        <v/>
      </c>
      <c r="U718" s="35">
        <f>IF(T718="","",INT(T718))</f>
        <v/>
      </c>
      <c r="V718" s="33" t="inlineStr">
        <is>
          <t>NO</t>
        </is>
      </c>
      <c r="W718" s="33" t="inlineStr">
        <is>
          <t>YES</t>
        </is>
      </c>
      <c r="X718" s="33" t="inlineStr">
        <is>
          <t>NO</t>
        </is>
      </c>
      <c r="Y718" s="33" t="n">
        <v>1</v>
      </c>
      <c r="Z718" s="33" t="n">
        <v>4</v>
      </c>
      <c r="AA718" s="33" t="inlineStr">
        <is>
          <t>5</t>
        </is>
      </c>
      <c r="AB718" s="33" t="inlineStr">
        <is>
          <t>https://www.swimcloud.com/results/204571/event/18/?id=46608673#time46608673</t>
        </is>
      </c>
      <c r="AC718" s="33" t="inlineStr">
        <is>
          <t>SwimCloud API v6 2026-10-08</t>
        </is>
      </c>
      <c r="AD718" s="33" t="inlineStr">
        <is>
          <t>Duncan Scott|2021-11-13|SCM|400|Free|222.95|ISL - Season 3, Playoff Match 13|FIN|False</t>
        </is>
      </c>
      <c r="AE718" s="53">
        <f>G718+L718/1000+ROW()/1000000000</f>
        <v/>
      </c>
      <c r="AF718" s="35">
        <f>IF(C718&lt;&gt;"Grayson Coulter","",COUNTIFS($C$5:$C$2991,"Grayson Coulter",$Q$5:$Q$2991,Q718,$AE$5:$AE$2991,"&lt;="&amp;AE718,$R$5:$R$2991,"&lt;"&amp;R718))</f>
        <v/>
      </c>
      <c r="AG718" s="35">
        <f>IF(OR(C718&lt;&gt;"Grayson Coulter",G718&lt;'00_Control'!$B$7),"",--(AF718&lt;5))</f>
        <v/>
      </c>
      <c r="AH718" s="35">
        <f>IF(OR(C718&lt;&gt;"Grayson Coulter",G718&lt;'00_Control'!$B$7),"",--(AF718&lt;10))</f>
        <v/>
      </c>
      <c r="AI718" s="35">
        <f>IF(AND(C718="Grayson Coulter",G718&gt;='00_Control'!$B$7),"YES","NO")</f>
        <v/>
      </c>
      <c r="AJ718" s="33" t="inlineStr">
        <is>
          <t>OK</t>
        </is>
      </c>
    </row>
    <row r="719">
      <c r="A719" s="33" t="inlineStr">
        <is>
          <t>SM000715</t>
        </is>
      </c>
      <c r="B719" s="33" t="inlineStr">
        <is>
          <t>SW016</t>
        </is>
      </c>
      <c r="C719" s="33" t="inlineStr">
        <is>
          <t>Duncan Scott</t>
        </is>
      </c>
      <c r="D719" s="33" t="inlineStr">
        <is>
          <t>SwimCloud</t>
        </is>
      </c>
      <c r="E719" s="33" t="inlineStr">
        <is>
          <t>375606</t>
        </is>
      </c>
      <c r="F719" s="33" t="inlineStr">
        <is>
          <t>48558056</t>
        </is>
      </c>
      <c r="G719" s="51" t="n">
        <v>44525</v>
      </c>
      <c r="H719" s="33" t="inlineStr">
        <is>
          <t>ISL - Season 3, Playoff Match 16</t>
        </is>
      </c>
      <c r="I719" s="33" t="inlineStr">
        <is>
          <t>204574</t>
        </is>
      </c>
      <c r="J719" s="33" t="inlineStr"/>
      <c r="K719" s="33" t="inlineStr">
        <is>
          <t>FIN</t>
        </is>
      </c>
      <c r="L719" s="35">
        <f>IF(K719="FIN",3,IF(OR(K719="SEM",K719="SEMI"),2,IF(OR(K719="PRE",K719="HEAT"),1,IF(V719="YES",4,2))))</f>
        <v/>
      </c>
      <c r="M719" s="33" t="inlineStr">
        <is>
          <t>SCM</t>
        </is>
      </c>
      <c r="N719" s="33" t="n">
        <v>100</v>
      </c>
      <c r="O719" s="33" t="inlineStr">
        <is>
          <t>Fly</t>
        </is>
      </c>
      <c r="P719" s="33" t="inlineStr">
        <is>
          <t>100 Fly</t>
        </is>
      </c>
      <c r="Q719" s="33" t="inlineStr">
        <is>
          <t>SCM_100_FLY</t>
        </is>
      </c>
      <c r="R719" s="36" t="n">
        <v>51.07</v>
      </c>
      <c r="S719" s="35">
        <f>IF(R719="","",IF(R719&gt;=60,INT(R719/60)&amp;":"&amp;TEXT(MOD(R719,60),"00.00"),TEXT(R719,"0.00")))</f>
        <v/>
      </c>
      <c r="T719" s="52">
        <f>IFERROR((G719-INDEX('01_Swimmers'!$E$5:$E$22,MATCH(B719,'01_Swimmers'!$A$5:$A$22,0)))/'00_Control'!$B$10,"")</f>
        <v/>
      </c>
      <c r="U719" s="35">
        <f>IF(T719="","",INT(T719))</f>
        <v/>
      </c>
      <c r="V719" s="33" t="inlineStr">
        <is>
          <t>NO</t>
        </is>
      </c>
      <c r="W719" s="33" t="inlineStr">
        <is>
          <t>YES</t>
        </is>
      </c>
      <c r="X719" s="33" t="inlineStr">
        <is>
          <t>NO</t>
        </is>
      </c>
      <c r="Y719" s="33" t="n">
        <v>1</v>
      </c>
      <c r="Z719" s="33" t="n">
        <v>6</v>
      </c>
      <c r="AA719" s="33" t="inlineStr">
        <is>
          <t>8</t>
        </is>
      </c>
      <c r="AB719" s="33" t="inlineStr">
        <is>
          <t>https://www.swimcloud.com/results/204574/event/2/?id=48558056#time48558056</t>
        </is>
      </c>
      <c r="AC719" s="33" t="inlineStr">
        <is>
          <t>SwimCloud API v6 2026-10-08</t>
        </is>
      </c>
      <c r="AD719" s="33" t="inlineStr">
        <is>
          <t>Duncan Scott|2021-11-25|SCM|100|Fly|51.07|ISL - Season 3, Playoff Match 16|FIN|False</t>
        </is>
      </c>
      <c r="AE719" s="53">
        <f>G719+L719/1000+ROW()/1000000000</f>
        <v/>
      </c>
      <c r="AF719" s="35">
        <f>IF(C719&lt;&gt;"Grayson Coulter","",COUNTIFS($C$5:$C$2991,"Grayson Coulter",$Q$5:$Q$2991,Q719,$AE$5:$AE$2991,"&lt;="&amp;AE719,$R$5:$R$2991,"&lt;"&amp;R719))</f>
        <v/>
      </c>
      <c r="AG719" s="35">
        <f>IF(OR(C719&lt;&gt;"Grayson Coulter",G719&lt;'00_Control'!$B$7),"",--(AF719&lt;5))</f>
        <v/>
      </c>
      <c r="AH719" s="35">
        <f>IF(OR(C719&lt;&gt;"Grayson Coulter",G719&lt;'00_Control'!$B$7),"",--(AF719&lt;10))</f>
        <v/>
      </c>
      <c r="AI719" s="35">
        <f>IF(AND(C719="Grayson Coulter",G719&gt;='00_Control'!$B$7),"YES","NO")</f>
        <v/>
      </c>
      <c r="AJ719" s="33" t="inlineStr">
        <is>
          <t>OK</t>
        </is>
      </c>
    </row>
    <row r="720">
      <c r="A720" s="33" t="inlineStr">
        <is>
          <t>SM000716</t>
        </is>
      </c>
      <c r="B720" s="33" t="inlineStr">
        <is>
          <t>SW016</t>
        </is>
      </c>
      <c r="C720" s="33" t="inlineStr">
        <is>
          <t>Duncan Scott</t>
        </is>
      </c>
      <c r="D720" s="33" t="inlineStr">
        <is>
          <t>SwimCloud</t>
        </is>
      </c>
      <c r="E720" s="33" t="inlineStr">
        <is>
          <t>375606</t>
        </is>
      </c>
      <c r="F720" s="33" t="inlineStr">
        <is>
          <t>49033818</t>
        </is>
      </c>
      <c r="G720" s="51" t="n">
        <v>44533</v>
      </c>
      <c r="H720" s="33" t="inlineStr">
        <is>
          <t>ISL Season 3 Championship</t>
        </is>
      </c>
      <c r="I720" s="33" t="inlineStr">
        <is>
          <t>212422</t>
        </is>
      </c>
      <c r="J720" s="33" t="inlineStr"/>
      <c r="K720" s="33" t="inlineStr">
        <is>
          <t>FIN</t>
        </is>
      </c>
      <c r="L720" s="35">
        <f>IF(K720="FIN",3,IF(OR(K720="SEM",K720="SEMI"),2,IF(OR(K720="PRE",K720="HEAT"),1,IF(V720="YES",4,2))))</f>
        <v/>
      </c>
      <c r="M720" s="33" t="inlineStr">
        <is>
          <t>SCM</t>
        </is>
      </c>
      <c r="N720" s="33" t="n">
        <v>400</v>
      </c>
      <c r="O720" s="33" t="inlineStr">
        <is>
          <t>Free</t>
        </is>
      </c>
      <c r="P720" s="33" t="inlineStr">
        <is>
          <t>400 Free</t>
        </is>
      </c>
      <c r="Q720" s="33" t="inlineStr">
        <is>
          <t>SCM_400_FREE</t>
        </is>
      </c>
      <c r="R720" s="36" t="n">
        <v>223.82</v>
      </c>
      <c r="S720" s="35">
        <f>IF(R720="","",IF(R720&gt;=60,INT(R720/60)&amp;":"&amp;TEXT(MOD(R720,60),"00.00"),TEXT(R720,"0.00")))</f>
        <v/>
      </c>
      <c r="T720" s="52">
        <f>IFERROR((G720-INDEX('01_Swimmers'!$E$5:$E$22,MATCH(B720,'01_Swimmers'!$A$5:$A$22,0)))/'00_Control'!$B$10,"")</f>
        <v/>
      </c>
      <c r="U720" s="35">
        <f>IF(T720="","",INT(T720))</f>
        <v/>
      </c>
      <c r="V720" s="33" t="inlineStr">
        <is>
          <t>NO</t>
        </is>
      </c>
      <c r="W720" s="33" t="inlineStr">
        <is>
          <t>YES</t>
        </is>
      </c>
      <c r="X720" s="33" t="inlineStr">
        <is>
          <t>NO</t>
        </is>
      </c>
      <c r="Y720" s="33" t="n">
        <v>1</v>
      </c>
      <c r="Z720" s="33" t="n">
        <v>1</v>
      </c>
      <c r="AA720" s="33" t="inlineStr">
        <is>
          <t>5</t>
        </is>
      </c>
      <c r="AB720" s="33" t="inlineStr">
        <is>
          <t>https://www.swimcloud.com/results/212422/event/18/?id=49033818#time49033818</t>
        </is>
      </c>
      <c r="AC720" s="33" t="inlineStr">
        <is>
          <t>SwimCloud API v6 2026-10-08</t>
        </is>
      </c>
      <c r="AD720" s="33" t="inlineStr">
        <is>
          <t>Duncan Scott|2021-12-03|SCM|400|Free|223.82|ISL Season 3 Championship|FIN|False</t>
        </is>
      </c>
      <c r="AE720" s="53">
        <f>G720+L720/1000+ROW()/1000000000</f>
        <v/>
      </c>
      <c r="AF720" s="35">
        <f>IF(C720&lt;&gt;"Grayson Coulter","",COUNTIFS($C$5:$C$2991,"Grayson Coulter",$Q$5:$Q$2991,Q720,$AE$5:$AE$2991,"&lt;="&amp;AE720,$R$5:$R$2991,"&lt;"&amp;R720))</f>
        <v/>
      </c>
      <c r="AG720" s="35">
        <f>IF(OR(C720&lt;&gt;"Grayson Coulter",G720&lt;'00_Control'!$B$7),"",--(AF720&lt;5))</f>
        <v/>
      </c>
      <c r="AH720" s="35">
        <f>IF(OR(C720&lt;&gt;"Grayson Coulter",G720&lt;'00_Control'!$B$7),"",--(AF720&lt;10))</f>
        <v/>
      </c>
      <c r="AI720" s="35">
        <f>IF(AND(C720="Grayson Coulter",G720&gt;='00_Control'!$B$7),"YES","NO")</f>
        <v/>
      </c>
      <c r="AJ720" s="33" t="inlineStr">
        <is>
          <t>OK</t>
        </is>
      </c>
    </row>
    <row r="721">
      <c r="A721" s="33" t="inlineStr">
        <is>
          <t>SM000717</t>
        </is>
      </c>
      <c r="B721" s="33" t="inlineStr">
        <is>
          <t>SW016</t>
        </is>
      </c>
      <c r="C721" s="33" t="inlineStr">
        <is>
          <t>Duncan Scott</t>
        </is>
      </c>
      <c r="D721" s="33" t="inlineStr">
        <is>
          <t>SwimCloud</t>
        </is>
      </c>
      <c r="E721" s="33" t="inlineStr">
        <is>
          <t>375606</t>
        </is>
      </c>
      <c r="F721" s="33" t="inlineStr">
        <is>
          <t>50375702</t>
        </is>
      </c>
      <c r="G721" s="51" t="n">
        <v>44547</v>
      </c>
      <c r="H721" s="33" t="inlineStr">
        <is>
          <t>15th FINA World Short Course Championships</t>
        </is>
      </c>
      <c r="I721" s="33" t="inlineStr">
        <is>
          <t>214017</t>
        </is>
      </c>
      <c r="J721" s="33" t="inlineStr"/>
      <c r="K721" s="33" t="inlineStr">
        <is>
          <t>PRE</t>
        </is>
      </c>
      <c r="L721" s="35">
        <f>IF(K721="FIN",3,IF(OR(K721="SEM",K721="SEMI"),2,IF(OR(K721="PRE",K721="HEAT"),1,IF(V721="YES",4,2))))</f>
        <v/>
      </c>
      <c r="M721" s="33" t="inlineStr">
        <is>
          <t>SCM</t>
        </is>
      </c>
      <c r="N721" s="33" t="n">
        <v>200</v>
      </c>
      <c r="O721" s="33" t="inlineStr">
        <is>
          <t>Free</t>
        </is>
      </c>
      <c r="P721" s="33" t="inlineStr">
        <is>
          <t>200 Free</t>
        </is>
      </c>
      <c r="Q721" s="33" t="inlineStr">
        <is>
          <t>SCM_200_FREE</t>
        </is>
      </c>
      <c r="R721" s="36" t="n">
        <v>102.58</v>
      </c>
      <c r="S721" s="35">
        <f>IF(R721="","",IF(R721&gt;=60,INT(R721/60)&amp;":"&amp;TEXT(MOD(R721,60),"00.00"),TEXT(R721,"0.00")))</f>
        <v/>
      </c>
      <c r="T721" s="52">
        <f>IFERROR((G721-INDEX('01_Swimmers'!$E$5:$E$22,MATCH(B721,'01_Swimmers'!$A$5:$A$22,0)))/'00_Control'!$B$10,"")</f>
        <v/>
      </c>
      <c r="U721" s="35">
        <f>IF(T721="","",INT(T721))</f>
        <v/>
      </c>
      <c r="V721" s="33" t="inlineStr">
        <is>
          <t>NO</t>
        </is>
      </c>
      <c r="W721" s="33" t="inlineStr">
        <is>
          <t>YES</t>
        </is>
      </c>
      <c r="X721" s="33" t="inlineStr">
        <is>
          <t>NO</t>
        </is>
      </c>
      <c r="Y721" s="33" t="n">
        <v>8</v>
      </c>
      <c r="Z721" s="33" t="n">
        <v>4</v>
      </c>
      <c r="AA721" s="33" t="inlineStr">
        <is>
          <t>3</t>
        </is>
      </c>
      <c r="AB721" s="33" t="inlineStr">
        <is>
          <t>https://www.swimcloud.com/results/214017/event/13/?id=50375702#time50375702</t>
        </is>
      </c>
      <c r="AC721" s="33" t="inlineStr">
        <is>
          <t>SwimCloud API v6 2026-10-08</t>
        </is>
      </c>
      <c r="AD721" s="33" t="inlineStr">
        <is>
          <t>Duncan Scott|2021-12-17|SCM|200|Free|102.58|15th FINA World Short Course Championships|PRE|False</t>
        </is>
      </c>
      <c r="AE721" s="53">
        <f>G721+L721/1000+ROW()/1000000000</f>
        <v/>
      </c>
      <c r="AF721" s="35">
        <f>IF(C721&lt;&gt;"Grayson Coulter","",COUNTIFS($C$5:$C$2991,"Grayson Coulter",$Q$5:$Q$2991,Q721,$AE$5:$AE$2991,"&lt;="&amp;AE721,$R$5:$R$2991,"&lt;"&amp;R721))</f>
        <v/>
      </c>
      <c r="AG721" s="35">
        <f>IF(OR(C721&lt;&gt;"Grayson Coulter",G721&lt;'00_Control'!$B$7),"",--(AF721&lt;5))</f>
        <v/>
      </c>
      <c r="AH721" s="35">
        <f>IF(OR(C721&lt;&gt;"Grayson Coulter",G721&lt;'00_Control'!$B$7),"",--(AF721&lt;10))</f>
        <v/>
      </c>
      <c r="AI721" s="35">
        <f>IF(AND(C721="Grayson Coulter",G721&gt;='00_Control'!$B$7),"YES","NO")</f>
        <v/>
      </c>
      <c r="AJ721" s="33" t="inlineStr">
        <is>
          <t>OK</t>
        </is>
      </c>
    </row>
    <row r="722">
      <c r="A722" s="33" t="inlineStr">
        <is>
          <t>SM000718</t>
        </is>
      </c>
      <c r="B722" s="33" t="inlineStr">
        <is>
          <t>SW016</t>
        </is>
      </c>
      <c r="C722" s="33" t="inlineStr">
        <is>
          <t>Duncan Scott</t>
        </is>
      </c>
      <c r="D722" s="33" t="inlineStr">
        <is>
          <t>SwimCloud</t>
        </is>
      </c>
      <c r="E722" s="33" t="inlineStr">
        <is>
          <t>375606</t>
        </is>
      </c>
      <c r="F722" s="33" t="inlineStr">
        <is>
          <t>50375701</t>
        </is>
      </c>
      <c r="G722" s="51" t="n">
        <v>44547</v>
      </c>
      <c r="H722" s="33" t="inlineStr">
        <is>
          <t>15th FINA World Short Course Championships</t>
        </is>
      </c>
      <c r="I722" s="33" t="inlineStr">
        <is>
          <t>214017</t>
        </is>
      </c>
      <c r="J722" s="33" t="inlineStr"/>
      <c r="K722" s="33" t="inlineStr">
        <is>
          <t>FIN</t>
        </is>
      </c>
      <c r="L722" s="35">
        <f>IF(K722="FIN",3,IF(OR(K722="SEM",K722="SEMI"),2,IF(OR(K722="PRE",K722="HEAT"),1,IF(V722="YES",4,2))))</f>
        <v/>
      </c>
      <c r="M722" s="33" t="inlineStr">
        <is>
          <t>SCM</t>
        </is>
      </c>
      <c r="N722" s="33" t="n">
        <v>200</v>
      </c>
      <c r="O722" s="33" t="inlineStr">
        <is>
          <t>Free</t>
        </is>
      </c>
      <c r="P722" s="33" t="inlineStr">
        <is>
          <t>200 Free</t>
        </is>
      </c>
      <c r="Q722" s="33" t="inlineStr">
        <is>
          <t>SCM_200_FREE</t>
        </is>
      </c>
      <c r="R722" s="36" t="n">
        <v>102.27</v>
      </c>
      <c r="S722" s="35">
        <f>IF(R722="","",IF(R722&gt;=60,INT(R722/60)&amp;":"&amp;TEXT(MOD(R722,60),"00.00"),TEXT(R722,"0.00")))</f>
        <v/>
      </c>
      <c r="T722" s="52">
        <f>IFERROR((G722-INDEX('01_Swimmers'!$E$5:$E$22,MATCH(B722,'01_Swimmers'!$A$5:$A$22,0)))/'00_Control'!$B$10,"")</f>
        <v/>
      </c>
      <c r="U722" s="35">
        <f>IF(T722="","",INT(T722))</f>
        <v/>
      </c>
      <c r="V722" s="33" t="inlineStr">
        <is>
          <t>NO</t>
        </is>
      </c>
      <c r="W722" s="33" t="inlineStr">
        <is>
          <t>YES</t>
        </is>
      </c>
      <c r="X722" s="33" t="inlineStr">
        <is>
          <t>NO</t>
        </is>
      </c>
      <c r="Y722" s="33" t="n">
        <v>1</v>
      </c>
      <c r="Z722" s="33" t="n">
        <v>3</v>
      </c>
      <c r="AA722" s="33" t="inlineStr">
        <is>
          <t>4</t>
        </is>
      </c>
      <c r="AB722" s="33" t="inlineStr">
        <is>
          <t>https://www.swimcloud.com/results/214017/event/13/?id=50375701#time50375701</t>
        </is>
      </c>
      <c r="AC722" s="33" t="inlineStr">
        <is>
          <t>SwimCloud API v6 2026-10-08</t>
        </is>
      </c>
      <c r="AD722" s="33" t="inlineStr">
        <is>
          <t>Duncan Scott|2021-12-17|SCM|200|Free|102.27|15th FINA World Short Course Championships|FIN|False</t>
        </is>
      </c>
      <c r="AE722" s="53">
        <f>G722+L722/1000+ROW()/1000000000</f>
        <v/>
      </c>
      <c r="AF722" s="35">
        <f>IF(C722&lt;&gt;"Grayson Coulter","",COUNTIFS($C$5:$C$2991,"Grayson Coulter",$Q$5:$Q$2991,Q722,$AE$5:$AE$2991,"&lt;="&amp;AE722,$R$5:$R$2991,"&lt;"&amp;R722))</f>
        <v/>
      </c>
      <c r="AG722" s="35">
        <f>IF(OR(C722&lt;&gt;"Grayson Coulter",G722&lt;'00_Control'!$B$7),"",--(AF722&lt;5))</f>
        <v/>
      </c>
      <c r="AH722" s="35">
        <f>IF(OR(C722&lt;&gt;"Grayson Coulter",G722&lt;'00_Control'!$B$7),"",--(AF722&lt;10))</f>
        <v/>
      </c>
      <c r="AI722" s="35">
        <f>IF(AND(C722="Grayson Coulter",G722&gt;='00_Control'!$B$7),"YES","NO")</f>
        <v/>
      </c>
      <c r="AJ722" s="33" t="inlineStr">
        <is>
          <t>OK</t>
        </is>
      </c>
    </row>
    <row r="723">
      <c r="A723" s="33" t="inlineStr">
        <is>
          <t>SM000719</t>
        </is>
      </c>
      <c r="B723" s="33" t="inlineStr">
        <is>
          <t>SW016</t>
        </is>
      </c>
      <c r="C723" s="33" t="inlineStr">
        <is>
          <t>Duncan Scott</t>
        </is>
      </c>
      <c r="D723" s="33" t="inlineStr">
        <is>
          <t>SwimCloud</t>
        </is>
      </c>
      <c r="E723" s="33" t="inlineStr">
        <is>
          <t>375606</t>
        </is>
      </c>
      <c r="F723" s="33" t="inlineStr">
        <is>
          <t>123091407</t>
        </is>
      </c>
      <c r="G723" s="51" t="n">
        <v>44631</v>
      </c>
      <c r="H723" s="33" t="inlineStr">
        <is>
          <t>Edinburgh International Swim Meet</t>
        </is>
      </c>
      <c r="I723" s="33" t="inlineStr">
        <is>
          <t>229984</t>
        </is>
      </c>
      <c r="J723" s="33" t="inlineStr"/>
      <c r="K723" s="33" t="inlineStr">
        <is>
          <t>PRE</t>
        </is>
      </c>
      <c r="L723" s="35">
        <f>IF(K723="FIN",3,IF(OR(K723="SEM",K723="SEMI"),2,IF(OR(K723="PRE",K723="HEAT"),1,IF(V723="YES",4,2))))</f>
        <v/>
      </c>
      <c r="M723" s="33" t="inlineStr">
        <is>
          <t>LCM</t>
        </is>
      </c>
      <c r="N723" s="33" t="n">
        <v>200</v>
      </c>
      <c r="O723" s="33" t="inlineStr">
        <is>
          <t>Free</t>
        </is>
      </c>
      <c r="P723" s="33" t="inlineStr">
        <is>
          <t>200 Free</t>
        </is>
      </c>
      <c r="Q723" s="33" t="inlineStr">
        <is>
          <t>LCM_200_FREE</t>
        </is>
      </c>
      <c r="R723" s="36" t="n">
        <v>108.31</v>
      </c>
      <c r="S723" s="35">
        <f>IF(R723="","",IF(R723&gt;=60,INT(R723/60)&amp;":"&amp;TEXT(MOD(R723,60),"00.00"),TEXT(R723,"0.00")))</f>
        <v/>
      </c>
      <c r="T723" s="52">
        <f>IFERROR((G723-INDEX('01_Swimmers'!$E$5:$E$22,MATCH(B723,'01_Swimmers'!$A$5:$A$22,0)))/'00_Control'!$B$10,"")</f>
        <v/>
      </c>
      <c r="U723" s="35">
        <f>IF(T723="","",INT(T723))</f>
        <v/>
      </c>
      <c r="V723" s="33" t="inlineStr">
        <is>
          <t>NO</t>
        </is>
      </c>
      <c r="W723" s="33" t="inlineStr">
        <is>
          <t>YES</t>
        </is>
      </c>
      <c r="X723" s="33" t="inlineStr">
        <is>
          <t>NO</t>
        </is>
      </c>
      <c r="Y723" s="33" t="n">
        <v>9</v>
      </c>
      <c r="Z723" s="33" t="n">
        <v>4</v>
      </c>
      <c r="AA723" s="33" t="inlineStr">
        <is>
          <t>1</t>
        </is>
      </c>
      <c r="AB723" s="33" t="inlineStr">
        <is>
          <t>https://www.swimcloud.com/results/229984/event/105/?id=123091407#time123091407</t>
        </is>
      </c>
      <c r="AC723" s="33" t="inlineStr">
        <is>
          <t>SwimCloud API v6 2026-10-08</t>
        </is>
      </c>
      <c r="AD723" s="33" t="inlineStr">
        <is>
          <t>Duncan Scott|2022-03-11|LCM|200|Free|108.31|Edinburgh International Swim Meet|PRE|False</t>
        </is>
      </c>
      <c r="AE723" s="53">
        <f>G723+L723/1000+ROW()/1000000000</f>
        <v/>
      </c>
      <c r="AF723" s="35">
        <f>IF(C723&lt;&gt;"Grayson Coulter","",COUNTIFS($C$5:$C$2991,"Grayson Coulter",$Q$5:$Q$2991,Q723,$AE$5:$AE$2991,"&lt;="&amp;AE723,$R$5:$R$2991,"&lt;"&amp;R723))</f>
        <v/>
      </c>
      <c r="AG723" s="35">
        <f>IF(OR(C723&lt;&gt;"Grayson Coulter",G723&lt;'00_Control'!$B$7),"",--(AF723&lt;5))</f>
        <v/>
      </c>
      <c r="AH723" s="35">
        <f>IF(OR(C723&lt;&gt;"Grayson Coulter",G723&lt;'00_Control'!$B$7),"",--(AF723&lt;10))</f>
        <v/>
      </c>
      <c r="AI723" s="35">
        <f>IF(AND(C723="Grayson Coulter",G723&gt;='00_Control'!$B$7),"YES","NO")</f>
        <v/>
      </c>
      <c r="AJ723" s="33" t="inlineStr">
        <is>
          <t>OK</t>
        </is>
      </c>
    </row>
    <row r="724">
      <c r="A724" s="33" t="inlineStr">
        <is>
          <t>SM000720</t>
        </is>
      </c>
      <c r="B724" s="33" t="inlineStr">
        <is>
          <t>SW016</t>
        </is>
      </c>
      <c r="C724" s="33" t="inlineStr">
        <is>
          <t>Duncan Scott</t>
        </is>
      </c>
      <c r="D724" s="33" t="inlineStr">
        <is>
          <t>SwimCloud</t>
        </is>
      </c>
      <c r="E724" s="33" t="inlineStr">
        <is>
          <t>375606</t>
        </is>
      </c>
      <c r="F724" s="33" t="inlineStr">
        <is>
          <t>123091408</t>
        </is>
      </c>
      <c r="G724" s="51" t="n">
        <v>44631</v>
      </c>
      <c r="H724" s="33" t="inlineStr">
        <is>
          <t>Edinburgh International Swim Meet</t>
        </is>
      </c>
      <c r="I724" s="33" t="inlineStr">
        <is>
          <t>229984</t>
        </is>
      </c>
      <c r="J724" s="33" t="inlineStr"/>
      <c r="K724" s="33" t="inlineStr">
        <is>
          <t>FIN</t>
        </is>
      </c>
      <c r="L724" s="35">
        <f>IF(K724="FIN",3,IF(OR(K724="SEM",K724="SEMI"),2,IF(OR(K724="PRE",K724="HEAT"),1,IF(V724="YES",4,2))))</f>
        <v/>
      </c>
      <c r="M724" s="33" t="inlineStr">
        <is>
          <t>LCM</t>
        </is>
      </c>
      <c r="N724" s="33" t="n">
        <v>200</v>
      </c>
      <c r="O724" s="33" t="inlineStr">
        <is>
          <t>Free</t>
        </is>
      </c>
      <c r="P724" s="33" t="inlineStr">
        <is>
          <t>200 Free</t>
        </is>
      </c>
      <c r="Q724" s="33" t="inlineStr">
        <is>
          <t>LCM_200_FREE</t>
        </is>
      </c>
      <c r="R724" s="36" t="n">
        <v>108.59</v>
      </c>
      <c r="S724" s="35">
        <f>IF(R724="","",IF(R724&gt;=60,INT(R724/60)&amp;":"&amp;TEXT(MOD(R724,60),"00.00"),TEXT(R724,"0.00")))</f>
        <v/>
      </c>
      <c r="T724" s="52">
        <f>IFERROR((G724-INDEX('01_Swimmers'!$E$5:$E$22,MATCH(B724,'01_Swimmers'!$A$5:$A$22,0)))/'00_Control'!$B$10,"")</f>
        <v/>
      </c>
      <c r="U724" s="35">
        <f>IF(T724="","",INT(T724))</f>
        <v/>
      </c>
      <c r="V724" s="33" t="inlineStr">
        <is>
          <t>NO</t>
        </is>
      </c>
      <c r="W724" s="33" t="inlineStr">
        <is>
          <t>YES</t>
        </is>
      </c>
      <c r="X724" s="33" t="inlineStr">
        <is>
          <t>NO</t>
        </is>
      </c>
      <c r="Y724" s="33" t="n">
        <v>3</v>
      </c>
      <c r="Z724" s="33" t="n">
        <v>4</v>
      </c>
      <c r="AA724" s="33" t="inlineStr">
        <is>
          <t>2</t>
        </is>
      </c>
      <c r="AB724" s="33" t="inlineStr">
        <is>
          <t>https://www.swimcloud.com/results/229984/event/105/?id=123091408#time123091408</t>
        </is>
      </c>
      <c r="AC724" s="33" t="inlineStr">
        <is>
          <t>SwimCloud API v6 2026-10-08</t>
        </is>
      </c>
      <c r="AD724" s="33" t="inlineStr">
        <is>
          <t>Duncan Scott|2022-03-11|LCM|200|Free|108.59|Edinburgh International Swim Meet|FIN|False</t>
        </is>
      </c>
      <c r="AE724" s="53">
        <f>G724+L724/1000+ROW()/1000000000</f>
        <v/>
      </c>
      <c r="AF724" s="35">
        <f>IF(C724&lt;&gt;"Grayson Coulter","",COUNTIFS($C$5:$C$2991,"Grayson Coulter",$Q$5:$Q$2991,Q724,$AE$5:$AE$2991,"&lt;="&amp;AE724,$R$5:$R$2991,"&lt;"&amp;R724))</f>
        <v/>
      </c>
      <c r="AG724" s="35">
        <f>IF(OR(C724&lt;&gt;"Grayson Coulter",G724&lt;'00_Control'!$B$7),"",--(AF724&lt;5))</f>
        <v/>
      </c>
      <c r="AH724" s="35">
        <f>IF(OR(C724&lt;&gt;"Grayson Coulter",G724&lt;'00_Control'!$B$7),"",--(AF724&lt;10))</f>
        <v/>
      </c>
      <c r="AI724" s="35">
        <f>IF(AND(C724="Grayson Coulter",G724&gt;='00_Control'!$B$7),"YES","NO")</f>
        <v/>
      </c>
      <c r="AJ724" s="33" t="inlineStr">
        <is>
          <t>OK</t>
        </is>
      </c>
    </row>
    <row r="725">
      <c r="A725" s="33" t="inlineStr">
        <is>
          <t>SM000721</t>
        </is>
      </c>
      <c r="B725" s="33" t="inlineStr">
        <is>
          <t>SW016</t>
        </is>
      </c>
      <c r="C725" s="33" t="inlineStr">
        <is>
          <t>Duncan Scott</t>
        </is>
      </c>
      <c r="D725" s="33" t="inlineStr">
        <is>
          <t>SwimCloud</t>
        </is>
      </c>
      <c r="E725" s="33" t="inlineStr">
        <is>
          <t>375606</t>
        </is>
      </c>
      <c r="F725" s="33" t="inlineStr">
        <is>
          <t>123095089</t>
        </is>
      </c>
      <c r="G725" s="51" t="n">
        <v>44632</v>
      </c>
      <c r="H725" s="33" t="inlineStr">
        <is>
          <t>Edinburgh International Swim Meet</t>
        </is>
      </c>
      <c r="I725" s="33" t="inlineStr">
        <is>
          <t>229984</t>
        </is>
      </c>
      <c r="J725" s="33" t="inlineStr"/>
      <c r="K725" s="33" t="inlineStr">
        <is>
          <t>PRE</t>
        </is>
      </c>
      <c r="L725" s="35">
        <f>IF(K725="FIN",3,IF(OR(K725="SEM",K725="SEMI"),2,IF(OR(K725="PRE",K725="HEAT"),1,IF(V725="YES",4,2))))</f>
        <v/>
      </c>
      <c r="M725" s="33" t="inlineStr">
        <is>
          <t>LCM</t>
        </is>
      </c>
      <c r="N725" s="33" t="n">
        <v>100</v>
      </c>
      <c r="O725" s="33" t="inlineStr">
        <is>
          <t>Fly</t>
        </is>
      </c>
      <c r="P725" s="33" t="inlineStr">
        <is>
          <t>100 Fly</t>
        </is>
      </c>
      <c r="Q725" s="33" t="inlineStr">
        <is>
          <t>LCM_100_FLY</t>
        </is>
      </c>
      <c r="R725" s="36" t="n">
        <v>57.66</v>
      </c>
      <c r="S725" s="35">
        <f>IF(R725="","",IF(R725&gt;=60,INT(R725/60)&amp;":"&amp;TEXT(MOD(R725,60),"00.00"),TEXT(R725,"0.00")))</f>
        <v/>
      </c>
      <c r="T725" s="52">
        <f>IFERROR((G725-INDEX('01_Swimmers'!$E$5:$E$22,MATCH(B725,'01_Swimmers'!$A$5:$A$22,0)))/'00_Control'!$B$10,"")</f>
        <v/>
      </c>
      <c r="U725" s="35">
        <f>IF(T725="","",INT(T725))</f>
        <v/>
      </c>
      <c r="V725" s="33" t="inlineStr">
        <is>
          <t>NO</t>
        </is>
      </c>
      <c r="W725" s="33" t="inlineStr">
        <is>
          <t>YES</t>
        </is>
      </c>
      <c r="X725" s="33" t="inlineStr">
        <is>
          <t>NO</t>
        </is>
      </c>
      <c r="Y725" s="33" t="n">
        <v>6</v>
      </c>
      <c r="Z725" s="33" t="n">
        <v>4</v>
      </c>
      <c r="AA725" s="33" t="inlineStr"/>
      <c r="AB725" s="33" t="inlineStr">
        <is>
          <t>https://www.swimcloud.com/results/229984/event/201/?id=123092903#time123092903</t>
        </is>
      </c>
      <c r="AC725" s="33" t="inlineStr">
        <is>
          <t>SwimCloud API v6 2026-10-08</t>
        </is>
      </c>
      <c r="AD725" s="33" t="inlineStr">
        <is>
          <t>Duncan Scott|2022-03-12|LCM|100|Fly|57.66|Edinburgh International Swim Meet|PRE|False</t>
        </is>
      </c>
      <c r="AE725" s="53">
        <f>G725+L725/1000+ROW()/1000000000</f>
        <v/>
      </c>
      <c r="AF725" s="35">
        <f>IF(C725&lt;&gt;"Grayson Coulter","",COUNTIFS($C$5:$C$2991,"Grayson Coulter",$Q$5:$Q$2991,Q725,$AE$5:$AE$2991,"&lt;="&amp;AE725,$R$5:$R$2991,"&lt;"&amp;R725))</f>
        <v/>
      </c>
      <c r="AG725" s="35">
        <f>IF(OR(C725&lt;&gt;"Grayson Coulter",G725&lt;'00_Control'!$B$7),"",--(AF725&lt;5))</f>
        <v/>
      </c>
      <c r="AH725" s="35">
        <f>IF(OR(C725&lt;&gt;"Grayson Coulter",G725&lt;'00_Control'!$B$7),"",--(AF725&lt;10))</f>
        <v/>
      </c>
      <c r="AI725" s="35">
        <f>IF(AND(C725="Grayson Coulter",G725&gt;='00_Control'!$B$7),"YES","NO")</f>
        <v/>
      </c>
      <c r="AJ725" s="33" t="inlineStr">
        <is>
          <t>OK</t>
        </is>
      </c>
    </row>
    <row r="726">
      <c r="A726" s="33" t="inlineStr">
        <is>
          <t>SM000722</t>
        </is>
      </c>
      <c r="B726" s="33" t="inlineStr">
        <is>
          <t>SW016</t>
        </is>
      </c>
      <c r="C726" s="33" t="inlineStr">
        <is>
          <t>Duncan Scott</t>
        </is>
      </c>
      <c r="D726" s="33" t="inlineStr">
        <is>
          <t>SwimCloud</t>
        </is>
      </c>
      <c r="E726" s="33" t="inlineStr">
        <is>
          <t>375606</t>
        </is>
      </c>
      <c r="F726" s="33" t="inlineStr">
        <is>
          <t>123095090</t>
        </is>
      </c>
      <c r="G726" s="51" t="n">
        <v>44632</v>
      </c>
      <c r="H726" s="33" t="inlineStr">
        <is>
          <t>Edinburgh International Swim Meet</t>
        </is>
      </c>
      <c r="I726" s="33" t="inlineStr">
        <is>
          <t>229984</t>
        </is>
      </c>
      <c r="J726" s="33" t="inlineStr"/>
      <c r="K726" s="33" t="inlineStr">
        <is>
          <t>FIN</t>
        </is>
      </c>
      <c r="L726" s="35">
        <f>IF(K726="FIN",3,IF(OR(K726="SEM",K726="SEMI"),2,IF(OR(K726="PRE",K726="HEAT"),1,IF(V726="YES",4,2))))</f>
        <v/>
      </c>
      <c r="M726" s="33" t="inlineStr">
        <is>
          <t>LCM</t>
        </is>
      </c>
      <c r="N726" s="33" t="n">
        <v>100</v>
      </c>
      <c r="O726" s="33" t="inlineStr">
        <is>
          <t>Fly</t>
        </is>
      </c>
      <c r="P726" s="33" t="inlineStr">
        <is>
          <t>100 Fly</t>
        </is>
      </c>
      <c r="Q726" s="33" t="inlineStr">
        <is>
          <t>LCM_100_FLY</t>
        </is>
      </c>
      <c r="R726" s="36" t="n">
        <v>57.67</v>
      </c>
      <c r="S726" s="35">
        <f>IF(R726="","",IF(R726&gt;=60,INT(R726/60)&amp;":"&amp;TEXT(MOD(R726,60),"00.00"),TEXT(R726,"0.00")))</f>
        <v/>
      </c>
      <c r="T726" s="52">
        <f>IFERROR((G726-INDEX('01_Swimmers'!$E$5:$E$22,MATCH(B726,'01_Swimmers'!$A$5:$A$22,0)))/'00_Control'!$B$10,"")</f>
        <v/>
      </c>
      <c r="U726" s="35">
        <f>IF(T726="","",INT(T726))</f>
        <v/>
      </c>
      <c r="V726" s="33" t="inlineStr">
        <is>
          <t>NO</t>
        </is>
      </c>
      <c r="W726" s="33" t="inlineStr">
        <is>
          <t>YES</t>
        </is>
      </c>
      <c r="X726" s="33" t="inlineStr">
        <is>
          <t>NO</t>
        </is>
      </c>
      <c r="Y726" s="33" t="n">
        <v>3</v>
      </c>
      <c r="Z726" s="33" t="n">
        <v>6</v>
      </c>
      <c r="AA726" s="33" t="inlineStr"/>
      <c r="AB726" s="33" t="inlineStr">
        <is>
          <t>https://www.swimcloud.com/results/229984/event/201/?id=123092904#time123092904</t>
        </is>
      </c>
      <c r="AC726" s="33" t="inlineStr">
        <is>
          <t>SwimCloud API v6 2026-10-08</t>
        </is>
      </c>
      <c r="AD726" s="33" t="inlineStr">
        <is>
          <t>Duncan Scott|2022-03-12|LCM|100|Fly|57.67|Edinburgh International Swim Meet|FIN|False</t>
        </is>
      </c>
      <c r="AE726" s="53">
        <f>G726+L726/1000+ROW()/1000000000</f>
        <v/>
      </c>
      <c r="AF726" s="35">
        <f>IF(C726&lt;&gt;"Grayson Coulter","",COUNTIFS($C$5:$C$2991,"Grayson Coulter",$Q$5:$Q$2991,Q726,$AE$5:$AE$2991,"&lt;="&amp;AE726,$R$5:$R$2991,"&lt;"&amp;R726))</f>
        <v/>
      </c>
      <c r="AG726" s="35">
        <f>IF(OR(C726&lt;&gt;"Grayson Coulter",G726&lt;'00_Control'!$B$7),"",--(AF726&lt;5))</f>
        <v/>
      </c>
      <c r="AH726" s="35">
        <f>IF(OR(C726&lt;&gt;"Grayson Coulter",G726&lt;'00_Control'!$B$7),"",--(AF726&lt;10))</f>
        <v/>
      </c>
      <c r="AI726" s="35">
        <f>IF(AND(C726="Grayson Coulter",G726&gt;='00_Control'!$B$7),"YES","NO")</f>
        <v/>
      </c>
      <c r="AJ726" s="33" t="inlineStr">
        <is>
          <t>OK</t>
        </is>
      </c>
    </row>
    <row r="727">
      <c r="A727" s="33" t="inlineStr">
        <is>
          <t>SM000723</t>
        </is>
      </c>
      <c r="B727" s="33" t="inlineStr">
        <is>
          <t>SW016</t>
        </is>
      </c>
      <c r="C727" s="33" t="inlineStr">
        <is>
          <t>Duncan Scott</t>
        </is>
      </c>
      <c r="D727" s="33" t="inlineStr">
        <is>
          <t>SwimCloud</t>
        </is>
      </c>
      <c r="E727" s="33" t="inlineStr">
        <is>
          <t>375606</t>
        </is>
      </c>
      <c r="F727" s="33" t="inlineStr">
        <is>
          <t>123091119</t>
        </is>
      </c>
      <c r="G727" s="51" t="n">
        <v>44633</v>
      </c>
      <c r="H727" s="33" t="inlineStr">
        <is>
          <t>Edinburgh International Swim Meet</t>
        </is>
      </c>
      <c r="I727" s="33" t="inlineStr">
        <is>
          <t>229984</t>
        </is>
      </c>
      <c r="J727" s="33" t="inlineStr"/>
      <c r="K727" s="33" t="inlineStr">
        <is>
          <t>PRE</t>
        </is>
      </c>
      <c r="L727" s="35">
        <f>IF(K727="FIN",3,IF(OR(K727="SEM",K727="SEMI"),2,IF(OR(K727="PRE",K727="HEAT"),1,IF(V727="YES",4,2))))</f>
        <v/>
      </c>
      <c r="M727" s="33" t="inlineStr">
        <is>
          <t>LCM</t>
        </is>
      </c>
      <c r="N727" s="33" t="n">
        <v>100</v>
      </c>
      <c r="O727" s="33" t="inlineStr">
        <is>
          <t>Free</t>
        </is>
      </c>
      <c r="P727" s="33" t="inlineStr">
        <is>
          <t>100 Free</t>
        </is>
      </c>
      <c r="Q727" s="33" t="inlineStr">
        <is>
          <t>LCM_100_FREE</t>
        </is>
      </c>
      <c r="R727" s="36" t="n">
        <v>50.23</v>
      </c>
      <c r="S727" s="35">
        <f>IF(R727="","",IF(R727&gt;=60,INT(R727/60)&amp;":"&amp;TEXT(MOD(R727,60),"00.00"),TEXT(R727,"0.00")))</f>
        <v/>
      </c>
      <c r="T727" s="52">
        <f>IFERROR((G727-INDEX('01_Swimmers'!$E$5:$E$22,MATCH(B727,'01_Swimmers'!$A$5:$A$22,0)))/'00_Control'!$B$10,"")</f>
        <v/>
      </c>
      <c r="U727" s="35">
        <f>IF(T727="","",INT(T727))</f>
        <v/>
      </c>
      <c r="V727" s="33" t="inlineStr">
        <is>
          <t>NO</t>
        </is>
      </c>
      <c r="W727" s="33" t="inlineStr">
        <is>
          <t>YES</t>
        </is>
      </c>
      <c r="X727" s="33" t="inlineStr">
        <is>
          <t>NO</t>
        </is>
      </c>
      <c r="Y727" s="33" t="n">
        <v>9</v>
      </c>
      <c r="Z727" s="33" t="n">
        <v>4</v>
      </c>
      <c r="AA727" s="33" t="inlineStr">
        <is>
          <t>5</t>
        </is>
      </c>
      <c r="AB727" s="33" t="inlineStr">
        <is>
          <t>https://www.swimcloud.com/results/229984/event/306/?id=123091119#time123091119</t>
        </is>
      </c>
      <c r="AC727" s="33" t="inlineStr">
        <is>
          <t>SwimCloud API v6 2026-10-08</t>
        </is>
      </c>
      <c r="AD727" s="33" t="inlineStr">
        <is>
          <t>Duncan Scott|2022-03-13|LCM|100|Free|50.23|Edinburgh International Swim Meet|PRE|False</t>
        </is>
      </c>
      <c r="AE727" s="53">
        <f>G727+L727/1000+ROW()/1000000000</f>
        <v/>
      </c>
      <c r="AF727" s="35">
        <f>IF(C727&lt;&gt;"Grayson Coulter","",COUNTIFS($C$5:$C$2991,"Grayson Coulter",$Q$5:$Q$2991,Q727,$AE$5:$AE$2991,"&lt;="&amp;AE727,$R$5:$R$2991,"&lt;"&amp;R727))</f>
        <v/>
      </c>
      <c r="AG727" s="35">
        <f>IF(OR(C727&lt;&gt;"Grayson Coulter",G727&lt;'00_Control'!$B$7),"",--(AF727&lt;5))</f>
        <v/>
      </c>
      <c r="AH727" s="35">
        <f>IF(OR(C727&lt;&gt;"Grayson Coulter",G727&lt;'00_Control'!$B$7),"",--(AF727&lt;10))</f>
        <v/>
      </c>
      <c r="AI727" s="35">
        <f>IF(AND(C727="Grayson Coulter",G727&gt;='00_Control'!$B$7),"YES","NO")</f>
        <v/>
      </c>
      <c r="AJ727" s="33" t="inlineStr">
        <is>
          <t>OK</t>
        </is>
      </c>
    </row>
    <row r="728">
      <c r="A728" s="33" t="inlineStr">
        <is>
          <t>SM000724</t>
        </is>
      </c>
      <c r="B728" s="33" t="inlineStr">
        <is>
          <t>SW016</t>
        </is>
      </c>
      <c r="C728" s="33" t="inlineStr">
        <is>
          <t>Duncan Scott</t>
        </is>
      </c>
      <c r="D728" s="33" t="inlineStr">
        <is>
          <t>SwimCloud</t>
        </is>
      </c>
      <c r="E728" s="33" t="inlineStr">
        <is>
          <t>375606</t>
        </is>
      </c>
      <c r="F728" s="33" t="inlineStr">
        <is>
          <t>122988955</t>
        </is>
      </c>
      <c r="G728" s="51" t="n">
        <v>44743</v>
      </c>
      <c r="H728" s="33" t="inlineStr">
        <is>
          <t>Scottish National Open Championships</t>
        </is>
      </c>
      <c r="I728" s="33" t="inlineStr">
        <is>
          <t>300575</t>
        </is>
      </c>
      <c r="J728" s="33" t="inlineStr"/>
      <c r="K728" s="33" t="inlineStr">
        <is>
          <t>PRE</t>
        </is>
      </c>
      <c r="L728" s="35">
        <f>IF(K728="FIN",3,IF(OR(K728="SEM",K728="SEMI"),2,IF(OR(K728="PRE",K728="HEAT"),1,IF(V728="YES",4,2))))</f>
        <v/>
      </c>
      <c r="M728" s="33" t="inlineStr">
        <is>
          <t>LCM</t>
        </is>
      </c>
      <c r="N728" s="33" t="n">
        <v>100</v>
      </c>
      <c r="O728" s="33" t="inlineStr">
        <is>
          <t>Free</t>
        </is>
      </c>
      <c r="P728" s="33" t="inlineStr">
        <is>
          <t>100 Free</t>
        </is>
      </c>
      <c r="Q728" s="33" t="inlineStr">
        <is>
          <t>LCM_100_FREE</t>
        </is>
      </c>
      <c r="R728" s="36" t="n">
        <v>49.25</v>
      </c>
      <c r="S728" s="35">
        <f>IF(R728="","",IF(R728&gt;=60,INT(R728/60)&amp;":"&amp;TEXT(MOD(R728,60),"00.00"),TEXT(R728,"0.00")))</f>
        <v/>
      </c>
      <c r="T728" s="52">
        <f>IFERROR((G728-INDEX('01_Swimmers'!$E$5:$E$22,MATCH(B728,'01_Swimmers'!$A$5:$A$22,0)))/'00_Control'!$B$10,"")</f>
        <v/>
      </c>
      <c r="U728" s="35">
        <f>IF(T728="","",INT(T728))</f>
        <v/>
      </c>
      <c r="V728" s="33" t="inlineStr">
        <is>
          <t>NO</t>
        </is>
      </c>
      <c r="W728" s="33" t="inlineStr">
        <is>
          <t>YES</t>
        </is>
      </c>
      <c r="X728" s="33" t="inlineStr">
        <is>
          <t>NO</t>
        </is>
      </c>
      <c r="Y728" s="33" t="n">
        <v>6</v>
      </c>
      <c r="Z728" s="33" t="n">
        <v>4</v>
      </c>
      <c r="AA728" s="33" t="inlineStr">
        <is>
          <t>1</t>
        </is>
      </c>
      <c r="AB728" s="33" t="inlineStr">
        <is>
          <t>https://www.swimcloud.com/results/300575/event/104/?id=122988955#time122988955</t>
        </is>
      </c>
      <c r="AC728" s="33" t="inlineStr">
        <is>
          <t>SwimCloud API v6 2026-10-08</t>
        </is>
      </c>
      <c r="AD728" s="33" t="inlineStr">
        <is>
          <t>Duncan Scott|2022-07-01|LCM|100|Free|49.25|Scottish National Open Championships|PRE|False</t>
        </is>
      </c>
      <c r="AE728" s="53">
        <f>G728+L728/1000+ROW()/1000000000</f>
        <v/>
      </c>
      <c r="AF728" s="35">
        <f>IF(C728&lt;&gt;"Grayson Coulter","",COUNTIFS($C$5:$C$2991,"Grayson Coulter",$Q$5:$Q$2991,Q728,$AE$5:$AE$2991,"&lt;="&amp;AE728,$R$5:$R$2991,"&lt;"&amp;R728))</f>
        <v/>
      </c>
      <c r="AG728" s="35">
        <f>IF(OR(C728&lt;&gt;"Grayson Coulter",G728&lt;'00_Control'!$B$7),"",--(AF728&lt;5))</f>
        <v/>
      </c>
      <c r="AH728" s="35">
        <f>IF(OR(C728&lt;&gt;"Grayson Coulter",G728&lt;'00_Control'!$B$7),"",--(AF728&lt;10))</f>
        <v/>
      </c>
      <c r="AI728" s="35">
        <f>IF(AND(C728="Grayson Coulter",G728&gt;='00_Control'!$B$7),"YES","NO")</f>
        <v/>
      </c>
      <c r="AJ728" s="33" t="inlineStr">
        <is>
          <t>OK</t>
        </is>
      </c>
    </row>
    <row r="729">
      <c r="A729" s="33" t="inlineStr">
        <is>
          <t>SM000725</t>
        </is>
      </c>
      <c r="B729" s="33" t="inlineStr">
        <is>
          <t>SW016</t>
        </is>
      </c>
      <c r="C729" s="33" t="inlineStr">
        <is>
          <t>Duncan Scott</t>
        </is>
      </c>
      <c r="D729" s="33" t="inlineStr">
        <is>
          <t>SwimCloud</t>
        </is>
      </c>
      <c r="E729" s="33" t="inlineStr">
        <is>
          <t>375606</t>
        </is>
      </c>
      <c r="F729" s="33" t="inlineStr">
        <is>
          <t>122988956</t>
        </is>
      </c>
      <c r="G729" s="51" t="n">
        <v>44743</v>
      </c>
      <c r="H729" s="33" t="inlineStr">
        <is>
          <t>Scottish National Open Championships</t>
        </is>
      </c>
      <c r="I729" s="33" t="inlineStr">
        <is>
          <t>300575</t>
        </is>
      </c>
      <c r="J729" s="33" t="inlineStr"/>
      <c r="K729" s="33" t="inlineStr">
        <is>
          <t>FIN</t>
        </is>
      </c>
      <c r="L729" s="35">
        <f>IF(K729="FIN",3,IF(OR(K729="SEM",K729="SEMI"),2,IF(OR(K729="PRE",K729="HEAT"),1,IF(V729="YES",4,2))))</f>
        <v/>
      </c>
      <c r="M729" s="33" t="inlineStr">
        <is>
          <t>LCM</t>
        </is>
      </c>
      <c r="N729" s="33" t="n">
        <v>100</v>
      </c>
      <c r="O729" s="33" t="inlineStr">
        <is>
          <t>Free</t>
        </is>
      </c>
      <c r="P729" s="33" t="inlineStr">
        <is>
          <t>100 Free</t>
        </is>
      </c>
      <c r="Q729" s="33" t="inlineStr">
        <is>
          <t>LCM_100_FREE</t>
        </is>
      </c>
      <c r="R729" s="36" t="n">
        <v>48.95</v>
      </c>
      <c r="S729" s="35">
        <f>IF(R729="","",IF(R729&gt;=60,INT(R729/60)&amp;":"&amp;TEXT(MOD(R729,60),"00.00"),TEXT(R729,"0.00")))</f>
        <v/>
      </c>
      <c r="T729" s="52">
        <f>IFERROR((G729-INDEX('01_Swimmers'!$E$5:$E$22,MATCH(B729,'01_Swimmers'!$A$5:$A$22,0)))/'00_Control'!$B$10,"")</f>
        <v/>
      </c>
      <c r="U729" s="35">
        <f>IF(T729="","",INT(T729))</f>
        <v/>
      </c>
      <c r="V729" s="33" t="inlineStr">
        <is>
          <t>NO</t>
        </is>
      </c>
      <c r="W729" s="33" t="inlineStr">
        <is>
          <t>YES</t>
        </is>
      </c>
      <c r="X729" s="33" t="inlineStr">
        <is>
          <t>NO</t>
        </is>
      </c>
      <c r="Y729" s="33" t="n">
        <v>3</v>
      </c>
      <c r="Z729" s="33" t="n">
        <v>4</v>
      </c>
      <c r="AA729" s="33" t="inlineStr">
        <is>
          <t>1</t>
        </is>
      </c>
      <c r="AB729" s="33" t="inlineStr">
        <is>
          <t>https://www.swimcloud.com/results/300575/event/104/?id=122988956#time122988956</t>
        </is>
      </c>
      <c r="AC729" s="33" t="inlineStr">
        <is>
          <t>SwimCloud API v6 2026-10-08</t>
        </is>
      </c>
      <c r="AD729" s="33" t="inlineStr">
        <is>
          <t>Duncan Scott|2022-07-01|LCM|100|Free|48.95|Scottish National Open Championships|FIN|False</t>
        </is>
      </c>
      <c r="AE729" s="53">
        <f>G729+L729/1000+ROW()/1000000000</f>
        <v/>
      </c>
      <c r="AF729" s="35">
        <f>IF(C729&lt;&gt;"Grayson Coulter","",COUNTIFS($C$5:$C$2991,"Grayson Coulter",$Q$5:$Q$2991,Q729,$AE$5:$AE$2991,"&lt;="&amp;AE729,$R$5:$R$2991,"&lt;"&amp;R729))</f>
        <v/>
      </c>
      <c r="AG729" s="35">
        <f>IF(OR(C729&lt;&gt;"Grayson Coulter",G729&lt;'00_Control'!$B$7),"",--(AF729&lt;5))</f>
        <v/>
      </c>
      <c r="AH729" s="35">
        <f>IF(OR(C729&lt;&gt;"Grayson Coulter",G729&lt;'00_Control'!$B$7),"",--(AF729&lt;10))</f>
        <v/>
      </c>
      <c r="AI729" s="35">
        <f>IF(AND(C729="Grayson Coulter",G729&gt;='00_Control'!$B$7),"YES","NO")</f>
        <v/>
      </c>
      <c r="AJ729" s="33" t="inlineStr">
        <is>
          <t>OK</t>
        </is>
      </c>
    </row>
    <row r="730">
      <c r="A730" s="33" t="inlineStr">
        <is>
          <t>SM000726</t>
        </is>
      </c>
      <c r="B730" s="33" t="inlineStr">
        <is>
          <t>SW016</t>
        </is>
      </c>
      <c r="C730" s="33" t="inlineStr">
        <is>
          <t>Duncan Scott</t>
        </is>
      </c>
      <c r="D730" s="33" t="inlineStr">
        <is>
          <t>SwimCloud</t>
        </is>
      </c>
      <c r="E730" s="33" t="inlineStr">
        <is>
          <t>375606</t>
        </is>
      </c>
      <c r="F730" s="33" t="inlineStr">
        <is>
          <t>122990591</t>
        </is>
      </c>
      <c r="G730" s="51" t="n">
        <v>44744</v>
      </c>
      <c r="H730" s="33" t="inlineStr">
        <is>
          <t>Scottish National Open Championships</t>
        </is>
      </c>
      <c r="I730" s="33" t="inlineStr">
        <is>
          <t>300575</t>
        </is>
      </c>
      <c r="J730" s="33" t="inlineStr"/>
      <c r="K730" s="33" t="inlineStr">
        <is>
          <t>PRE</t>
        </is>
      </c>
      <c r="L730" s="35">
        <f>IF(K730="FIN",3,IF(OR(K730="SEM",K730="SEMI"),2,IF(OR(K730="PRE",K730="HEAT"),1,IF(V730="YES",4,2))))</f>
        <v/>
      </c>
      <c r="M730" s="33" t="inlineStr">
        <is>
          <t>LCM</t>
        </is>
      </c>
      <c r="N730" s="33" t="n">
        <v>100</v>
      </c>
      <c r="O730" s="33" t="inlineStr">
        <is>
          <t>Fly</t>
        </is>
      </c>
      <c r="P730" s="33" t="inlineStr">
        <is>
          <t>100 Fly</t>
        </is>
      </c>
      <c r="Q730" s="33" t="inlineStr">
        <is>
          <t>LCM_100_FLY</t>
        </is>
      </c>
      <c r="R730" s="36" t="n">
        <v>57.44</v>
      </c>
      <c r="S730" s="35">
        <f>IF(R730="","",IF(R730&gt;=60,INT(R730/60)&amp;":"&amp;TEXT(MOD(R730,60),"00.00"),TEXT(R730,"0.00")))</f>
        <v/>
      </c>
      <c r="T730" s="52">
        <f>IFERROR((G730-INDEX('01_Swimmers'!$E$5:$E$22,MATCH(B730,'01_Swimmers'!$A$5:$A$22,0)))/'00_Control'!$B$10,"")</f>
        <v/>
      </c>
      <c r="U730" s="35">
        <f>IF(T730="","",INT(T730))</f>
        <v/>
      </c>
      <c r="V730" s="33" t="inlineStr">
        <is>
          <t>NO</t>
        </is>
      </c>
      <c r="W730" s="33" t="inlineStr">
        <is>
          <t>YES</t>
        </is>
      </c>
      <c r="X730" s="33" t="inlineStr">
        <is>
          <t>NO</t>
        </is>
      </c>
      <c r="Y730" s="33" t="n">
        <v>5</v>
      </c>
      <c r="Z730" s="33" t="n">
        <v>4</v>
      </c>
      <c r="AA730" s="33" t="inlineStr"/>
      <c r="AB730" s="33" t="inlineStr">
        <is>
          <t>https://www.swimcloud.com/results/300575/event/201/?id=122989682#time122989682</t>
        </is>
      </c>
      <c r="AC730" s="33" t="inlineStr">
        <is>
          <t>SwimCloud API v6 2026-10-08</t>
        </is>
      </c>
      <c r="AD730" s="33" t="inlineStr">
        <is>
          <t>Duncan Scott|2022-07-02|LCM|100|Fly|57.44|Scottish National Open Championships|PRE|False</t>
        </is>
      </c>
      <c r="AE730" s="53">
        <f>G730+L730/1000+ROW()/1000000000</f>
        <v/>
      </c>
      <c r="AF730" s="35">
        <f>IF(C730&lt;&gt;"Grayson Coulter","",COUNTIFS($C$5:$C$2991,"Grayson Coulter",$Q$5:$Q$2991,Q730,$AE$5:$AE$2991,"&lt;="&amp;AE730,$R$5:$R$2991,"&lt;"&amp;R730))</f>
        <v/>
      </c>
      <c r="AG730" s="35">
        <f>IF(OR(C730&lt;&gt;"Grayson Coulter",G730&lt;'00_Control'!$B$7),"",--(AF730&lt;5))</f>
        <v/>
      </c>
      <c r="AH730" s="35">
        <f>IF(OR(C730&lt;&gt;"Grayson Coulter",G730&lt;'00_Control'!$B$7),"",--(AF730&lt;10))</f>
        <v/>
      </c>
      <c r="AI730" s="35">
        <f>IF(AND(C730="Grayson Coulter",G730&gt;='00_Control'!$B$7),"YES","NO")</f>
        <v/>
      </c>
      <c r="AJ730" s="33" t="inlineStr">
        <is>
          <t>OK</t>
        </is>
      </c>
    </row>
    <row r="731">
      <c r="A731" s="33" t="inlineStr">
        <is>
          <t>SM000727</t>
        </is>
      </c>
      <c r="B731" s="33" t="inlineStr">
        <is>
          <t>SW016</t>
        </is>
      </c>
      <c r="C731" s="33" t="inlineStr">
        <is>
          <t>Duncan Scott</t>
        </is>
      </c>
      <c r="D731" s="33" t="inlineStr">
        <is>
          <t>SwimCloud</t>
        </is>
      </c>
      <c r="E731" s="33" t="inlineStr">
        <is>
          <t>375606</t>
        </is>
      </c>
      <c r="F731" s="33" t="inlineStr">
        <is>
          <t>122990590</t>
        </is>
      </c>
      <c r="G731" s="51" t="n">
        <v>44744</v>
      </c>
      <c r="H731" s="33" t="inlineStr">
        <is>
          <t>Scottish National Open Championships</t>
        </is>
      </c>
      <c r="I731" s="33" t="inlineStr">
        <is>
          <t>300575</t>
        </is>
      </c>
      <c r="J731" s="33" t="inlineStr"/>
      <c r="K731" s="33" t="inlineStr">
        <is>
          <t>FIN</t>
        </is>
      </c>
      <c r="L731" s="35">
        <f>IF(K731="FIN",3,IF(OR(K731="SEM",K731="SEMI"),2,IF(OR(K731="PRE",K731="HEAT"),1,IF(V731="YES",4,2))))</f>
        <v/>
      </c>
      <c r="M731" s="33" t="inlineStr">
        <is>
          <t>LCM</t>
        </is>
      </c>
      <c r="N731" s="33" t="n">
        <v>100</v>
      </c>
      <c r="O731" s="33" t="inlineStr">
        <is>
          <t>Fly</t>
        </is>
      </c>
      <c r="P731" s="33" t="inlineStr">
        <is>
          <t>100 Fly</t>
        </is>
      </c>
      <c r="Q731" s="33" t="inlineStr">
        <is>
          <t>LCM_100_FLY</t>
        </is>
      </c>
      <c r="R731" s="36" t="n">
        <v>57.36</v>
      </c>
      <c r="S731" s="35">
        <f>IF(R731="","",IF(R731&gt;=60,INT(R731/60)&amp;":"&amp;TEXT(MOD(R731,60),"00.00"),TEXT(R731,"0.00")))</f>
        <v/>
      </c>
      <c r="T731" s="52">
        <f>IFERROR((G731-INDEX('01_Swimmers'!$E$5:$E$22,MATCH(B731,'01_Swimmers'!$A$5:$A$22,0)))/'00_Control'!$B$10,"")</f>
        <v/>
      </c>
      <c r="U731" s="35">
        <f>IF(T731="","",INT(T731))</f>
        <v/>
      </c>
      <c r="V731" s="33" t="inlineStr">
        <is>
          <t>NO</t>
        </is>
      </c>
      <c r="W731" s="33" t="inlineStr">
        <is>
          <t>YES</t>
        </is>
      </c>
      <c r="X731" s="33" t="inlineStr">
        <is>
          <t>NO</t>
        </is>
      </c>
      <c r="Y731" s="33" t="n">
        <v>2</v>
      </c>
      <c r="Z731" s="33" t="n">
        <v>4</v>
      </c>
      <c r="AA731" s="33" t="inlineStr"/>
      <c r="AB731" s="33" t="inlineStr">
        <is>
          <t>https://www.swimcloud.com/results/300575/event/201/?id=122989683#time122989683</t>
        </is>
      </c>
      <c r="AC731" s="33" t="inlineStr">
        <is>
          <t>SwimCloud API v6 2026-10-08</t>
        </is>
      </c>
      <c r="AD731" s="33" t="inlineStr">
        <is>
          <t>Duncan Scott|2022-07-02|LCM|100|Fly|57.36|Scottish National Open Championships|FIN|False</t>
        </is>
      </c>
      <c r="AE731" s="53">
        <f>G731+L731/1000+ROW()/1000000000</f>
        <v/>
      </c>
      <c r="AF731" s="35">
        <f>IF(C731&lt;&gt;"Grayson Coulter","",COUNTIFS($C$5:$C$2991,"Grayson Coulter",$Q$5:$Q$2991,Q731,$AE$5:$AE$2991,"&lt;="&amp;AE731,$R$5:$R$2991,"&lt;"&amp;R731))</f>
        <v/>
      </c>
      <c r="AG731" s="35">
        <f>IF(OR(C731&lt;&gt;"Grayson Coulter",G731&lt;'00_Control'!$B$7),"",--(AF731&lt;5))</f>
        <v/>
      </c>
      <c r="AH731" s="35">
        <f>IF(OR(C731&lt;&gt;"Grayson Coulter",G731&lt;'00_Control'!$B$7),"",--(AF731&lt;10))</f>
        <v/>
      </c>
      <c r="AI731" s="35">
        <f>IF(AND(C731="Grayson Coulter",G731&gt;='00_Control'!$B$7),"YES","NO")</f>
        <v/>
      </c>
      <c r="AJ731" s="33" t="inlineStr">
        <is>
          <t>OK</t>
        </is>
      </c>
    </row>
    <row r="732">
      <c r="A732" s="33" t="inlineStr">
        <is>
          <t>SM000728</t>
        </is>
      </c>
      <c r="B732" s="33" t="inlineStr">
        <is>
          <t>SW016</t>
        </is>
      </c>
      <c r="C732" s="33" t="inlineStr">
        <is>
          <t>Duncan Scott</t>
        </is>
      </c>
      <c r="D732" s="33" t="inlineStr">
        <is>
          <t>SwimCloud</t>
        </is>
      </c>
      <c r="E732" s="33" t="inlineStr">
        <is>
          <t>375606</t>
        </is>
      </c>
      <c r="F732" s="33" t="inlineStr">
        <is>
          <t>122990139</t>
        </is>
      </c>
      <c r="G732" s="51" t="n">
        <v>44744</v>
      </c>
      <c r="H732" s="33" t="inlineStr">
        <is>
          <t>Scottish National Open Championships</t>
        </is>
      </c>
      <c r="I732" s="33" t="inlineStr">
        <is>
          <t>300575</t>
        </is>
      </c>
      <c r="J732" s="33" t="inlineStr"/>
      <c r="K732" s="33" t="inlineStr">
        <is>
          <t>TIM</t>
        </is>
      </c>
      <c r="L732" s="35">
        <f>IF(K732="FIN",3,IF(OR(K732="SEM",K732="SEMI"),2,IF(OR(K732="PRE",K732="HEAT"),1,IF(V732="YES",4,2))))</f>
        <v/>
      </c>
      <c r="M732" s="33" t="inlineStr">
        <is>
          <t>LCM</t>
        </is>
      </c>
      <c r="N732" s="33" t="n">
        <v>100</v>
      </c>
      <c r="O732" s="33" t="inlineStr">
        <is>
          <t>Free</t>
        </is>
      </c>
      <c r="P732" s="33" t="inlineStr">
        <is>
          <t>100 Free</t>
        </is>
      </c>
      <c r="Q732" s="33" t="inlineStr">
        <is>
          <t>LCM_100_FREE</t>
        </is>
      </c>
      <c r="R732" s="36" t="n">
        <v>48.78</v>
      </c>
      <c r="S732" s="35">
        <f>IF(R732="","",IF(R732&gt;=60,INT(R732/60)&amp;":"&amp;TEXT(MOD(R732,60),"00.00"),TEXT(R732,"0.00")))</f>
        <v/>
      </c>
      <c r="T732" s="52">
        <f>IFERROR((G732-INDEX('01_Swimmers'!$E$5:$E$22,MATCH(B732,'01_Swimmers'!$A$5:$A$22,0)))/'00_Control'!$B$10,"")</f>
        <v/>
      </c>
      <c r="U732" s="35">
        <f>IF(T732="","",INT(T732))</f>
        <v/>
      </c>
      <c r="V732" s="33" t="inlineStr">
        <is>
          <t>YES</t>
        </is>
      </c>
      <c r="W732" s="33" t="inlineStr">
        <is>
          <t>YES</t>
        </is>
      </c>
      <c r="X732" s="33" t="inlineStr">
        <is>
          <t>NO</t>
        </is>
      </c>
      <c r="Y732" s="33" t="n">
        <v>1</v>
      </c>
      <c r="Z732" s="33" t="n">
        <v>4</v>
      </c>
      <c r="AA732" s="33" t="inlineStr"/>
      <c r="AB732" s="33" t="inlineStr">
        <is>
          <t>https://www.swimcloud.com/results/300575/event/212/?id=122989737#time122989737</t>
        </is>
      </c>
      <c r="AC732" s="33" t="inlineStr">
        <is>
          <t>SwimCloud API v6 2026-10-08</t>
        </is>
      </c>
      <c r="AD732" s="33" t="inlineStr">
        <is>
          <t>Duncan Scott|2022-07-02|LCM|100|Free|48.78|Scottish National Open Championships|TIM|True</t>
        </is>
      </c>
      <c r="AE732" s="53">
        <f>G732+L732/1000+ROW()/1000000000</f>
        <v/>
      </c>
      <c r="AF732" s="35">
        <f>IF(C732&lt;&gt;"Grayson Coulter","",COUNTIFS($C$5:$C$2991,"Grayson Coulter",$Q$5:$Q$2991,Q732,$AE$5:$AE$2991,"&lt;="&amp;AE732,$R$5:$R$2991,"&lt;"&amp;R732))</f>
        <v/>
      </c>
      <c r="AG732" s="35">
        <f>IF(OR(C732&lt;&gt;"Grayson Coulter",G732&lt;'00_Control'!$B$7),"",--(AF732&lt;5))</f>
        <v/>
      </c>
      <c r="AH732" s="35">
        <f>IF(OR(C732&lt;&gt;"Grayson Coulter",G732&lt;'00_Control'!$B$7),"",--(AF732&lt;10))</f>
        <v/>
      </c>
      <c r="AI732" s="35">
        <f>IF(AND(C732="Grayson Coulter",G732&gt;='00_Control'!$B$7),"YES","NO")</f>
        <v/>
      </c>
      <c r="AJ732" s="33" t="inlineStr">
        <is>
          <t>OK</t>
        </is>
      </c>
    </row>
    <row r="733">
      <c r="A733" s="33" t="inlineStr">
        <is>
          <t>SM000729</t>
        </is>
      </c>
      <c r="B733" s="33" t="inlineStr">
        <is>
          <t>SW016</t>
        </is>
      </c>
      <c r="C733" s="33" t="inlineStr">
        <is>
          <t>Duncan Scott</t>
        </is>
      </c>
      <c r="D733" s="33" t="inlineStr">
        <is>
          <t>SwimCloud</t>
        </is>
      </c>
      <c r="E733" s="33" t="inlineStr">
        <is>
          <t>375606</t>
        </is>
      </c>
      <c r="F733" s="33" t="inlineStr">
        <is>
          <t>74699979</t>
        </is>
      </c>
      <c r="G733" s="51" t="n">
        <v>44776</v>
      </c>
      <c r="H733" s="33" t="inlineStr">
        <is>
          <t>XXII Commonwealth Games</t>
        </is>
      </c>
      <c r="I733" s="33" t="inlineStr">
        <is>
          <t>234864</t>
        </is>
      </c>
      <c r="J733" s="33" t="inlineStr"/>
      <c r="K733" s="33" t="inlineStr">
        <is>
          <t>FIN</t>
        </is>
      </c>
      <c r="L733" s="35">
        <f>IF(K733="FIN",3,IF(OR(K733="SEM",K733="SEMI"),2,IF(OR(K733="PRE",K733="HEAT"),1,IF(V733="YES",4,2))))</f>
        <v/>
      </c>
      <c r="M733" s="33" t="inlineStr">
        <is>
          <t>LCM</t>
        </is>
      </c>
      <c r="N733" s="33" t="n">
        <v>100</v>
      </c>
      <c r="O733" s="33" t="inlineStr">
        <is>
          <t>Free</t>
        </is>
      </c>
      <c r="P733" s="33" t="inlineStr">
        <is>
          <t>100 Free</t>
        </is>
      </c>
      <c r="Q733" s="33" t="inlineStr">
        <is>
          <t>LCM_100_FREE</t>
        </is>
      </c>
      <c r="R733" s="36" t="n">
        <v>48.27</v>
      </c>
      <c r="S733" s="35">
        <f>IF(R733="","",IF(R733&gt;=60,INT(R733/60)&amp;":"&amp;TEXT(MOD(R733,60),"00.00"),TEXT(R733,"0.00")))</f>
        <v/>
      </c>
      <c r="T733" s="52">
        <f>IFERROR((G733-INDEX('01_Swimmers'!$E$5:$E$22,MATCH(B733,'01_Swimmers'!$A$5:$A$22,0)))/'00_Control'!$B$10,"")</f>
        <v/>
      </c>
      <c r="U733" s="35">
        <f>IF(T733="","",INT(T733))</f>
        <v/>
      </c>
      <c r="V733" s="33" t="inlineStr">
        <is>
          <t>NO</t>
        </is>
      </c>
      <c r="W733" s="33" t="inlineStr">
        <is>
          <t>YES</t>
        </is>
      </c>
      <c r="X733" s="33" t="inlineStr">
        <is>
          <t>NO</t>
        </is>
      </c>
      <c r="Y733" s="33" t="n"/>
      <c r="Z733" s="33" t="n"/>
      <c r="AA733" s="33" t="inlineStr">
        <is>
          <t>3</t>
        </is>
      </c>
      <c r="AB733" s="33" t="inlineStr">
        <is>
          <t>https://www.swimcloud.com/results/234864/event/55/?id=74699979#time74699979</t>
        </is>
      </c>
      <c r="AC733" s="33" t="inlineStr">
        <is>
          <t>SwimCloud API v6 2026-10-08</t>
        </is>
      </c>
      <c r="AD733" s="33" t="inlineStr">
        <is>
          <t>Duncan Scott|2022-08-03|LCM|100|Free|48.27|XXII Commonwealth Games|FIN|False</t>
        </is>
      </c>
      <c r="AE733" s="53">
        <f>G733+L733/1000+ROW()/1000000000</f>
        <v/>
      </c>
      <c r="AF733" s="35">
        <f>IF(C733&lt;&gt;"Grayson Coulter","",COUNTIFS($C$5:$C$2991,"Grayson Coulter",$Q$5:$Q$2991,Q733,$AE$5:$AE$2991,"&lt;="&amp;AE733,$R$5:$R$2991,"&lt;"&amp;R733))</f>
        <v/>
      </c>
      <c r="AG733" s="35">
        <f>IF(OR(C733&lt;&gt;"Grayson Coulter",G733&lt;'00_Control'!$B$7),"",--(AF733&lt;5))</f>
        <v/>
      </c>
      <c r="AH733" s="35">
        <f>IF(OR(C733&lt;&gt;"Grayson Coulter",G733&lt;'00_Control'!$B$7),"",--(AF733&lt;10))</f>
        <v/>
      </c>
      <c r="AI733" s="35">
        <f>IF(AND(C733="Grayson Coulter",G733&gt;='00_Control'!$B$7),"YES","NO")</f>
        <v/>
      </c>
      <c r="AJ733" s="33" t="inlineStr">
        <is>
          <t>OK</t>
        </is>
      </c>
    </row>
    <row r="734">
      <c r="A734" s="33" t="inlineStr">
        <is>
          <t>SM000730</t>
        </is>
      </c>
      <c r="B734" s="33" t="inlineStr">
        <is>
          <t>SW016</t>
        </is>
      </c>
      <c r="C734" s="33" t="inlineStr">
        <is>
          <t>Duncan Scott</t>
        </is>
      </c>
      <c r="D734" s="33" t="inlineStr">
        <is>
          <t>SwimCloud</t>
        </is>
      </c>
      <c r="E734" s="33" t="inlineStr">
        <is>
          <t>375606</t>
        </is>
      </c>
      <c r="F734" s="33" t="inlineStr">
        <is>
          <t>74394619</t>
        </is>
      </c>
      <c r="G734" s="51" t="n">
        <v>44776</v>
      </c>
      <c r="H734" s="33" t="inlineStr">
        <is>
          <t>XXII Commonwealth Games</t>
        </is>
      </c>
      <c r="I734" s="33" t="inlineStr">
        <is>
          <t>234864</t>
        </is>
      </c>
      <c r="J734" s="33" t="inlineStr"/>
      <c r="K734" s="33" t="inlineStr">
        <is>
          <t>FIN</t>
        </is>
      </c>
      <c r="L734" s="35">
        <f>IF(K734="FIN",3,IF(OR(K734="SEM",K734="SEMI"),2,IF(OR(K734="PRE",K734="HEAT"),1,IF(V734="YES",4,2))))</f>
        <v/>
      </c>
      <c r="M734" s="33" t="inlineStr">
        <is>
          <t>LCM</t>
        </is>
      </c>
      <c r="N734" s="33" t="n">
        <v>200</v>
      </c>
      <c r="O734" s="33" t="inlineStr">
        <is>
          <t>Free</t>
        </is>
      </c>
      <c r="P734" s="33" t="inlineStr">
        <is>
          <t>200 Free</t>
        </is>
      </c>
      <c r="Q734" s="33" t="inlineStr">
        <is>
          <t>LCM_200_FREE</t>
        </is>
      </c>
      <c r="R734" s="36" t="n">
        <v>105.02</v>
      </c>
      <c r="S734" s="35">
        <f>IF(R734="","",IF(R734&gt;=60,INT(R734/60)&amp;":"&amp;TEXT(MOD(R734,60),"00.00"),TEXT(R734,"0.00")))</f>
        <v/>
      </c>
      <c r="T734" s="52">
        <f>IFERROR((G734-INDEX('01_Swimmers'!$E$5:$E$22,MATCH(B734,'01_Swimmers'!$A$5:$A$22,0)))/'00_Control'!$B$10,"")</f>
        <v/>
      </c>
      <c r="U734" s="35">
        <f>IF(T734="","",INT(T734))</f>
        <v/>
      </c>
      <c r="V734" s="33" t="inlineStr">
        <is>
          <t>NO</t>
        </is>
      </c>
      <c r="W734" s="33" t="inlineStr">
        <is>
          <t>YES</t>
        </is>
      </c>
      <c r="X734" s="33" t="inlineStr">
        <is>
          <t>NO</t>
        </is>
      </c>
      <c r="Y734" s="33" t="n"/>
      <c r="Z734" s="33" t="n"/>
      <c r="AA734" s="33" t="inlineStr">
        <is>
          <t>1</t>
        </is>
      </c>
      <c r="AB734" s="33" t="inlineStr">
        <is>
          <t>https://www.swimcloud.com/results/234864/event/60/?id=74394619#time74394619</t>
        </is>
      </c>
      <c r="AC734" s="33" t="inlineStr">
        <is>
          <t>SwimCloud API v6 2026-10-08</t>
        </is>
      </c>
      <c r="AD734" s="33" t="inlineStr">
        <is>
          <t>Duncan Scott|2022-08-03|LCM|200|Free|105.02|XXII Commonwealth Games|FIN|False</t>
        </is>
      </c>
      <c r="AE734" s="53">
        <f>G734+L734/1000+ROW()/1000000000</f>
        <v/>
      </c>
      <c r="AF734" s="35">
        <f>IF(C734&lt;&gt;"Grayson Coulter","",COUNTIFS($C$5:$C$2991,"Grayson Coulter",$Q$5:$Q$2991,Q734,$AE$5:$AE$2991,"&lt;="&amp;AE734,$R$5:$R$2991,"&lt;"&amp;R734))</f>
        <v/>
      </c>
      <c r="AG734" s="35">
        <f>IF(OR(C734&lt;&gt;"Grayson Coulter",G734&lt;'00_Control'!$B$7),"",--(AF734&lt;5))</f>
        <v/>
      </c>
      <c r="AH734" s="35">
        <f>IF(OR(C734&lt;&gt;"Grayson Coulter",G734&lt;'00_Control'!$B$7),"",--(AF734&lt;10))</f>
        <v/>
      </c>
      <c r="AI734" s="35">
        <f>IF(AND(C734="Grayson Coulter",G734&gt;='00_Control'!$B$7),"YES","NO")</f>
        <v/>
      </c>
      <c r="AJ734" s="33" t="inlineStr">
        <is>
          <t>OK</t>
        </is>
      </c>
    </row>
    <row r="735">
      <c r="A735" s="33" t="inlineStr">
        <is>
          <t>SM000731</t>
        </is>
      </c>
      <c r="B735" s="33" t="inlineStr">
        <is>
          <t>SW016</t>
        </is>
      </c>
      <c r="C735" s="33" t="inlineStr">
        <is>
          <t>Duncan Scott</t>
        </is>
      </c>
      <c r="D735" s="33" t="inlineStr">
        <is>
          <t>SwimCloud</t>
        </is>
      </c>
      <c r="E735" s="33" t="inlineStr">
        <is>
          <t>375606</t>
        </is>
      </c>
      <c r="F735" s="33" t="inlineStr">
        <is>
          <t>86731287</t>
        </is>
      </c>
      <c r="G735" s="51" t="n">
        <v>44868</v>
      </c>
      <c r="H735" s="33" t="inlineStr">
        <is>
          <t>FINA World Cup - Indianapolis</t>
        </is>
      </c>
      <c r="I735" s="33" t="inlineStr">
        <is>
          <t>234876</t>
        </is>
      </c>
      <c r="J735" s="33" t="inlineStr"/>
      <c r="K735" s="33" t="inlineStr">
        <is>
          <t>PRE</t>
        </is>
      </c>
      <c r="L735" s="35">
        <f>IF(K735="FIN",3,IF(OR(K735="SEM",K735="SEMI"),2,IF(OR(K735="PRE",K735="HEAT"),1,IF(V735="YES",4,2))))</f>
        <v/>
      </c>
      <c r="M735" s="33" t="inlineStr">
        <is>
          <t>SCM</t>
        </is>
      </c>
      <c r="N735" s="33" t="n">
        <v>400</v>
      </c>
      <c r="O735" s="33" t="inlineStr">
        <is>
          <t>Free</t>
        </is>
      </c>
      <c r="P735" s="33" t="inlineStr">
        <is>
          <t>400 Free</t>
        </is>
      </c>
      <c r="Q735" s="33" t="inlineStr">
        <is>
          <t>SCM_400_FREE</t>
        </is>
      </c>
      <c r="R735" s="36" t="n">
        <v>225.1</v>
      </c>
      <c r="S735" s="35">
        <f>IF(R735="","",IF(R735&gt;=60,INT(R735/60)&amp;":"&amp;TEXT(MOD(R735,60),"00.00"),TEXT(R735,"0.00")))</f>
        <v/>
      </c>
      <c r="T735" s="52">
        <f>IFERROR((G735-INDEX('01_Swimmers'!$E$5:$E$22,MATCH(B735,'01_Swimmers'!$A$5:$A$22,0)))/'00_Control'!$B$10,"")</f>
        <v/>
      </c>
      <c r="U735" s="35">
        <f>IF(T735="","",INT(T735))</f>
        <v/>
      </c>
      <c r="V735" s="33" t="inlineStr">
        <is>
          <t>NO</t>
        </is>
      </c>
      <c r="W735" s="33" t="inlineStr">
        <is>
          <t>YES</t>
        </is>
      </c>
      <c r="X735" s="33" t="inlineStr">
        <is>
          <t>NO</t>
        </is>
      </c>
      <c r="Y735" s="33" t="n">
        <v>5</v>
      </c>
      <c r="Z735" s="33" t="n">
        <v>3</v>
      </c>
      <c r="AA735" s="33" t="inlineStr">
        <is>
          <t>7</t>
        </is>
      </c>
      <c r="AB735" s="33" t="inlineStr">
        <is>
          <t>https://www.swimcloud.com/results/234876/event/2/?id=86731287#time86731287</t>
        </is>
      </c>
      <c r="AC735" s="33" t="inlineStr">
        <is>
          <t>SwimCloud API v6 2026-10-08</t>
        </is>
      </c>
      <c r="AD735" s="33" t="inlineStr">
        <is>
          <t>Duncan Scott|2022-11-03|SCM|400|Free|225.1|FINA World Cup - Indianapolis|PRE|False</t>
        </is>
      </c>
      <c r="AE735" s="53">
        <f>G735+L735/1000+ROW()/1000000000</f>
        <v/>
      </c>
      <c r="AF735" s="35">
        <f>IF(C735&lt;&gt;"Grayson Coulter","",COUNTIFS($C$5:$C$2991,"Grayson Coulter",$Q$5:$Q$2991,Q735,$AE$5:$AE$2991,"&lt;="&amp;AE735,$R$5:$R$2991,"&lt;"&amp;R735))</f>
        <v/>
      </c>
      <c r="AG735" s="35">
        <f>IF(OR(C735&lt;&gt;"Grayson Coulter",G735&lt;'00_Control'!$B$7),"",--(AF735&lt;5))</f>
        <v/>
      </c>
      <c r="AH735" s="35">
        <f>IF(OR(C735&lt;&gt;"Grayson Coulter",G735&lt;'00_Control'!$B$7),"",--(AF735&lt;10))</f>
        <v/>
      </c>
      <c r="AI735" s="35">
        <f>IF(AND(C735="Grayson Coulter",G735&gt;='00_Control'!$B$7),"YES","NO")</f>
        <v/>
      </c>
      <c r="AJ735" s="33" t="inlineStr">
        <is>
          <t>OK</t>
        </is>
      </c>
    </row>
    <row r="736">
      <c r="A736" s="33" t="inlineStr">
        <is>
          <t>SM000732</t>
        </is>
      </c>
      <c r="B736" s="33" t="inlineStr">
        <is>
          <t>SW016</t>
        </is>
      </c>
      <c r="C736" s="33" t="inlineStr">
        <is>
          <t>Duncan Scott</t>
        </is>
      </c>
      <c r="D736" s="33" t="inlineStr">
        <is>
          <t>SwimCloud</t>
        </is>
      </c>
      <c r="E736" s="33" t="inlineStr">
        <is>
          <t>375606</t>
        </is>
      </c>
      <c r="F736" s="33" t="inlineStr">
        <is>
          <t>86731286</t>
        </is>
      </c>
      <c r="G736" s="51" t="n">
        <v>44868</v>
      </c>
      <c r="H736" s="33" t="inlineStr">
        <is>
          <t>FINA World Cup - Indianapolis</t>
        </is>
      </c>
      <c r="I736" s="33" t="inlineStr">
        <is>
          <t>234876</t>
        </is>
      </c>
      <c r="J736" s="33" t="inlineStr"/>
      <c r="K736" s="33" t="inlineStr">
        <is>
          <t>FIN</t>
        </is>
      </c>
      <c r="L736" s="35">
        <f>IF(K736="FIN",3,IF(OR(K736="SEM",K736="SEMI"),2,IF(OR(K736="PRE",K736="HEAT"),1,IF(V736="YES",4,2))))</f>
        <v/>
      </c>
      <c r="M736" s="33" t="inlineStr">
        <is>
          <t>SCM</t>
        </is>
      </c>
      <c r="N736" s="33" t="n">
        <v>400</v>
      </c>
      <c r="O736" s="33" t="inlineStr">
        <is>
          <t>Free</t>
        </is>
      </c>
      <c r="P736" s="33" t="inlineStr">
        <is>
          <t>400 Free</t>
        </is>
      </c>
      <c r="Q736" s="33" t="inlineStr">
        <is>
          <t>SCM_400_FREE</t>
        </is>
      </c>
      <c r="R736" s="36" t="n">
        <v>225.35</v>
      </c>
      <c r="S736" s="35">
        <f>IF(R736="","",IF(R736&gt;=60,INT(R736/60)&amp;":"&amp;TEXT(MOD(R736,60),"00.00"),TEXT(R736,"0.00")))</f>
        <v/>
      </c>
      <c r="T736" s="52">
        <f>IFERROR((G736-INDEX('01_Swimmers'!$E$5:$E$22,MATCH(B736,'01_Swimmers'!$A$5:$A$22,0)))/'00_Control'!$B$10,"")</f>
        <v/>
      </c>
      <c r="U736" s="35">
        <f>IF(T736="","",INT(T736))</f>
        <v/>
      </c>
      <c r="V736" s="33" t="inlineStr">
        <is>
          <t>NO</t>
        </is>
      </c>
      <c r="W736" s="33" t="inlineStr">
        <is>
          <t>YES</t>
        </is>
      </c>
      <c r="X736" s="33" t="inlineStr">
        <is>
          <t>NO</t>
        </is>
      </c>
      <c r="Y736" s="33" t="n">
        <v>1</v>
      </c>
      <c r="Z736" s="33" t="n">
        <v>1</v>
      </c>
      <c r="AA736" s="33" t="inlineStr">
        <is>
          <t>8</t>
        </is>
      </c>
      <c r="AB736" s="33" t="inlineStr">
        <is>
          <t>https://www.swimcloud.com/results/234876/event/2/?id=86731286#time86731286</t>
        </is>
      </c>
      <c r="AC736" s="33" t="inlineStr">
        <is>
          <t>SwimCloud API v6 2026-10-08</t>
        </is>
      </c>
      <c r="AD736" s="33" t="inlineStr">
        <is>
          <t>Duncan Scott|2022-11-03|SCM|400|Free|225.35|FINA World Cup - Indianapolis|FIN|False</t>
        </is>
      </c>
      <c r="AE736" s="53">
        <f>G736+L736/1000+ROW()/1000000000</f>
        <v/>
      </c>
      <c r="AF736" s="35">
        <f>IF(C736&lt;&gt;"Grayson Coulter","",COUNTIFS($C$5:$C$2991,"Grayson Coulter",$Q$5:$Q$2991,Q736,$AE$5:$AE$2991,"&lt;="&amp;AE736,$R$5:$R$2991,"&lt;"&amp;R736))</f>
        <v/>
      </c>
      <c r="AG736" s="35">
        <f>IF(OR(C736&lt;&gt;"Grayson Coulter",G736&lt;'00_Control'!$B$7),"",--(AF736&lt;5))</f>
        <v/>
      </c>
      <c r="AH736" s="35">
        <f>IF(OR(C736&lt;&gt;"Grayson Coulter",G736&lt;'00_Control'!$B$7),"",--(AF736&lt;10))</f>
        <v/>
      </c>
      <c r="AI736" s="35">
        <f>IF(AND(C736="Grayson Coulter",G736&gt;='00_Control'!$B$7),"YES","NO")</f>
        <v/>
      </c>
      <c r="AJ736" s="33" t="inlineStr">
        <is>
          <t>OK</t>
        </is>
      </c>
    </row>
    <row r="737">
      <c r="A737" s="33" t="inlineStr">
        <is>
          <t>SM000733</t>
        </is>
      </c>
      <c r="B737" s="33" t="inlineStr">
        <is>
          <t>SW016</t>
        </is>
      </c>
      <c r="C737" s="33" t="inlineStr">
        <is>
          <t>Duncan Scott</t>
        </is>
      </c>
      <c r="D737" s="33" t="inlineStr">
        <is>
          <t>SwimCloud</t>
        </is>
      </c>
      <c r="E737" s="33" t="inlineStr">
        <is>
          <t>375606</t>
        </is>
      </c>
      <c r="F737" s="33" t="inlineStr">
        <is>
          <t>86730656</t>
        </is>
      </c>
      <c r="G737" s="51" t="n">
        <v>44870</v>
      </c>
      <c r="H737" s="33" t="inlineStr">
        <is>
          <t>FINA World Cup - Indianapolis</t>
        </is>
      </c>
      <c r="I737" s="33" t="inlineStr">
        <is>
          <t>234876</t>
        </is>
      </c>
      <c r="J737" s="33" t="inlineStr"/>
      <c r="K737" s="33" t="inlineStr">
        <is>
          <t>PRE</t>
        </is>
      </c>
      <c r="L737" s="35">
        <f>IF(K737="FIN",3,IF(OR(K737="SEM",K737="SEMI"),2,IF(OR(K737="PRE",K737="HEAT"),1,IF(V737="YES",4,2))))</f>
        <v/>
      </c>
      <c r="M737" s="33" t="inlineStr">
        <is>
          <t>SCM</t>
        </is>
      </c>
      <c r="N737" s="33" t="n">
        <v>200</v>
      </c>
      <c r="O737" s="33" t="inlineStr">
        <is>
          <t>Free</t>
        </is>
      </c>
      <c r="P737" s="33" t="inlineStr">
        <is>
          <t>200 Free</t>
        </is>
      </c>
      <c r="Q737" s="33" t="inlineStr">
        <is>
          <t>SCM_200_FREE</t>
        </is>
      </c>
      <c r="R737" s="36" t="n">
        <v>104.8</v>
      </c>
      <c r="S737" s="35">
        <f>IF(R737="","",IF(R737&gt;=60,INT(R737/60)&amp;":"&amp;TEXT(MOD(R737,60),"00.00"),TEXT(R737,"0.00")))</f>
        <v/>
      </c>
      <c r="T737" s="52">
        <f>IFERROR((G737-INDEX('01_Swimmers'!$E$5:$E$22,MATCH(B737,'01_Swimmers'!$A$5:$A$22,0)))/'00_Control'!$B$10,"")</f>
        <v/>
      </c>
      <c r="U737" s="35">
        <f>IF(T737="","",INT(T737))</f>
        <v/>
      </c>
      <c r="V737" s="33" t="inlineStr">
        <is>
          <t>NO</t>
        </is>
      </c>
      <c r="W737" s="33" t="inlineStr">
        <is>
          <t>YES</t>
        </is>
      </c>
      <c r="X737" s="33" t="inlineStr">
        <is>
          <t>NO</t>
        </is>
      </c>
      <c r="Y737" s="33" t="n">
        <v>8</v>
      </c>
      <c r="Z737" s="33" t="n">
        <v>5</v>
      </c>
      <c r="AA737" s="33" t="inlineStr">
        <is>
          <t>15</t>
        </is>
      </c>
      <c r="AB737" s="33" t="inlineStr">
        <is>
          <t>https://www.swimcloud.com/results/234876/event/32/?id=86730656#time86730656</t>
        </is>
      </c>
      <c r="AC737" s="33" t="inlineStr">
        <is>
          <t>SwimCloud API v6 2026-10-08</t>
        </is>
      </c>
      <c r="AD737" s="33" t="inlineStr">
        <is>
          <t>Duncan Scott|2022-11-05|SCM|200|Free|104.8|FINA World Cup - Indianapolis|PRE|False</t>
        </is>
      </c>
      <c r="AE737" s="53">
        <f>G737+L737/1000+ROW()/1000000000</f>
        <v/>
      </c>
      <c r="AF737" s="35">
        <f>IF(C737&lt;&gt;"Grayson Coulter","",COUNTIFS($C$5:$C$2991,"Grayson Coulter",$Q$5:$Q$2991,Q737,$AE$5:$AE$2991,"&lt;="&amp;AE737,$R$5:$R$2991,"&lt;"&amp;R737))</f>
        <v/>
      </c>
      <c r="AG737" s="35">
        <f>IF(OR(C737&lt;&gt;"Grayson Coulter",G737&lt;'00_Control'!$B$7),"",--(AF737&lt;5))</f>
        <v/>
      </c>
      <c r="AH737" s="35">
        <f>IF(OR(C737&lt;&gt;"Grayson Coulter",G737&lt;'00_Control'!$B$7),"",--(AF737&lt;10))</f>
        <v/>
      </c>
      <c r="AI737" s="35">
        <f>IF(AND(C737="Grayson Coulter",G737&gt;='00_Control'!$B$7),"YES","NO")</f>
        <v/>
      </c>
      <c r="AJ737" s="33" t="inlineStr">
        <is>
          <t>OK</t>
        </is>
      </c>
    </row>
    <row r="738">
      <c r="A738" s="33" t="inlineStr">
        <is>
          <t>SM000734</t>
        </is>
      </c>
      <c r="B738" s="33" t="inlineStr">
        <is>
          <t>SW016</t>
        </is>
      </c>
      <c r="C738" s="33" t="inlineStr">
        <is>
          <t>Duncan Scott</t>
        </is>
      </c>
      <c r="D738" s="33" t="inlineStr">
        <is>
          <t>SwimCloud</t>
        </is>
      </c>
      <c r="E738" s="33" t="inlineStr">
        <is>
          <t>375606</t>
        </is>
      </c>
      <c r="F738" s="33" t="inlineStr">
        <is>
          <t>116852589</t>
        </is>
      </c>
      <c r="G738" s="51" t="n">
        <v>44995</v>
      </c>
      <c r="H738" s="33" t="inlineStr">
        <is>
          <t>Edinburgh International</t>
        </is>
      </c>
      <c r="I738" s="33" t="inlineStr">
        <is>
          <t>265322</t>
        </is>
      </c>
      <c r="J738" s="33" t="inlineStr"/>
      <c r="K738" s="33" t="inlineStr">
        <is>
          <t>PRE</t>
        </is>
      </c>
      <c r="L738" s="35">
        <f>IF(K738="FIN",3,IF(OR(K738="SEM",K738="SEMI"),2,IF(OR(K738="PRE",K738="HEAT"),1,IF(V738="YES",4,2))))</f>
        <v/>
      </c>
      <c r="M738" s="33" t="inlineStr">
        <is>
          <t>LCM</t>
        </is>
      </c>
      <c r="N738" s="33" t="n">
        <v>200</v>
      </c>
      <c r="O738" s="33" t="inlineStr">
        <is>
          <t>Free</t>
        </is>
      </c>
      <c r="P738" s="33" t="inlineStr">
        <is>
          <t>200 Free</t>
        </is>
      </c>
      <c r="Q738" s="33" t="inlineStr">
        <is>
          <t>LCM_200_FREE</t>
        </is>
      </c>
      <c r="R738" s="36" t="n">
        <v>110.88</v>
      </c>
      <c r="S738" s="35">
        <f>IF(R738="","",IF(R738&gt;=60,INT(R738/60)&amp;":"&amp;TEXT(MOD(R738,60),"00.00"),TEXT(R738,"0.00")))</f>
        <v/>
      </c>
      <c r="T738" s="52">
        <f>IFERROR((G738-INDEX('01_Swimmers'!$E$5:$E$22,MATCH(B738,'01_Swimmers'!$A$5:$A$22,0)))/'00_Control'!$B$10,"")</f>
        <v/>
      </c>
      <c r="U738" s="35">
        <f>IF(T738="","",INT(T738))</f>
        <v/>
      </c>
      <c r="V738" s="33" t="inlineStr">
        <is>
          <t>NO</t>
        </is>
      </c>
      <c r="W738" s="33" t="inlineStr">
        <is>
          <t>YES</t>
        </is>
      </c>
      <c r="X738" s="33" t="inlineStr">
        <is>
          <t>NO</t>
        </is>
      </c>
      <c r="Y738" s="33" t="n">
        <v>4</v>
      </c>
      <c r="Z738" s="33" t="n">
        <v>4</v>
      </c>
      <c r="AA738" s="33" t="inlineStr">
        <is>
          <t>7</t>
        </is>
      </c>
      <c r="AB738" s="33" t="inlineStr">
        <is>
          <t>https://www.swimcloud.com/results/265322/event/105/?id=116852589#time116852589</t>
        </is>
      </c>
      <c r="AC738" s="33" t="inlineStr">
        <is>
          <t>SwimCloud API v6 2026-10-08</t>
        </is>
      </c>
      <c r="AD738" s="33" t="inlineStr">
        <is>
          <t>Duncan Scott|2023-03-10|LCM|200|Free|110.88|Edinburgh International|PRE|False</t>
        </is>
      </c>
      <c r="AE738" s="53">
        <f>G738+L738/1000+ROW()/1000000000</f>
        <v/>
      </c>
      <c r="AF738" s="35">
        <f>IF(C738&lt;&gt;"Grayson Coulter","",COUNTIFS($C$5:$C$2991,"Grayson Coulter",$Q$5:$Q$2991,Q738,$AE$5:$AE$2991,"&lt;="&amp;AE738,$R$5:$R$2991,"&lt;"&amp;R738))</f>
        <v/>
      </c>
      <c r="AG738" s="35">
        <f>IF(OR(C738&lt;&gt;"Grayson Coulter",G738&lt;'00_Control'!$B$7),"",--(AF738&lt;5))</f>
        <v/>
      </c>
      <c r="AH738" s="35">
        <f>IF(OR(C738&lt;&gt;"Grayson Coulter",G738&lt;'00_Control'!$B$7),"",--(AF738&lt;10))</f>
        <v/>
      </c>
      <c r="AI738" s="35">
        <f>IF(AND(C738="Grayson Coulter",G738&gt;='00_Control'!$B$7),"YES","NO")</f>
        <v/>
      </c>
      <c r="AJ738" s="33" t="inlineStr">
        <is>
          <t>OK</t>
        </is>
      </c>
    </row>
    <row r="739">
      <c r="A739" s="33" t="inlineStr">
        <is>
          <t>SM000735</t>
        </is>
      </c>
      <c r="B739" s="33" t="inlineStr">
        <is>
          <t>SW016</t>
        </is>
      </c>
      <c r="C739" s="33" t="inlineStr">
        <is>
          <t>Duncan Scott</t>
        </is>
      </c>
      <c r="D739" s="33" t="inlineStr">
        <is>
          <t>SwimCloud</t>
        </is>
      </c>
      <c r="E739" s="33" t="inlineStr">
        <is>
          <t>375606</t>
        </is>
      </c>
      <c r="F739" s="33" t="inlineStr">
        <is>
          <t>116852590</t>
        </is>
      </c>
      <c r="G739" s="51" t="n">
        <v>44995</v>
      </c>
      <c r="H739" s="33" t="inlineStr">
        <is>
          <t>Edinburgh International</t>
        </is>
      </c>
      <c r="I739" s="33" t="inlineStr">
        <is>
          <t>265322</t>
        </is>
      </c>
      <c r="J739" s="33" t="inlineStr"/>
      <c r="K739" s="33" t="inlineStr">
        <is>
          <t>FIN</t>
        </is>
      </c>
      <c r="L739" s="35">
        <f>IF(K739="FIN",3,IF(OR(K739="SEM",K739="SEMI"),2,IF(OR(K739="PRE",K739="HEAT"),1,IF(V739="YES",4,2))))</f>
        <v/>
      </c>
      <c r="M739" s="33" t="inlineStr">
        <is>
          <t>LCM</t>
        </is>
      </c>
      <c r="N739" s="33" t="n">
        <v>200</v>
      </c>
      <c r="O739" s="33" t="inlineStr">
        <is>
          <t>Free</t>
        </is>
      </c>
      <c r="P739" s="33" t="inlineStr">
        <is>
          <t>200 Free</t>
        </is>
      </c>
      <c r="Q739" s="33" t="inlineStr">
        <is>
          <t>LCM_200_FREE</t>
        </is>
      </c>
      <c r="R739" s="36" t="n">
        <v>109.03</v>
      </c>
      <c r="S739" s="35">
        <f>IF(R739="","",IF(R739&gt;=60,INT(R739/60)&amp;":"&amp;TEXT(MOD(R739,60),"00.00"),TEXT(R739,"0.00")))</f>
        <v/>
      </c>
      <c r="T739" s="52">
        <f>IFERROR((G739-INDEX('01_Swimmers'!$E$5:$E$22,MATCH(B739,'01_Swimmers'!$A$5:$A$22,0)))/'00_Control'!$B$10,"")</f>
        <v/>
      </c>
      <c r="U739" s="35">
        <f>IF(T739="","",INT(T739))</f>
        <v/>
      </c>
      <c r="V739" s="33" t="inlineStr">
        <is>
          <t>NO</t>
        </is>
      </c>
      <c r="W739" s="33" t="inlineStr">
        <is>
          <t>YES</t>
        </is>
      </c>
      <c r="X739" s="33" t="inlineStr">
        <is>
          <t>NO</t>
        </is>
      </c>
      <c r="Y739" s="33" t="n">
        <v>3</v>
      </c>
      <c r="Z739" s="33" t="n">
        <v>1</v>
      </c>
      <c r="AA739" s="33" t="inlineStr">
        <is>
          <t>4</t>
        </is>
      </c>
      <c r="AB739" s="33" t="inlineStr">
        <is>
          <t>https://www.swimcloud.com/results/265322/event/105/?id=116852590#time116852590</t>
        </is>
      </c>
      <c r="AC739" s="33" t="inlineStr">
        <is>
          <t>SwimCloud API v6 2026-10-08</t>
        </is>
      </c>
      <c r="AD739" s="33" t="inlineStr">
        <is>
          <t>Duncan Scott|2023-03-10|LCM|200|Free|109.03|Edinburgh International|FIN|False</t>
        </is>
      </c>
      <c r="AE739" s="53">
        <f>G739+L739/1000+ROW()/1000000000</f>
        <v/>
      </c>
      <c r="AF739" s="35">
        <f>IF(C739&lt;&gt;"Grayson Coulter","",COUNTIFS($C$5:$C$2991,"Grayson Coulter",$Q$5:$Q$2991,Q739,$AE$5:$AE$2991,"&lt;="&amp;AE739,$R$5:$R$2991,"&lt;"&amp;R739))</f>
        <v/>
      </c>
      <c r="AG739" s="35">
        <f>IF(OR(C739&lt;&gt;"Grayson Coulter",G739&lt;'00_Control'!$B$7),"",--(AF739&lt;5))</f>
        <v/>
      </c>
      <c r="AH739" s="35">
        <f>IF(OR(C739&lt;&gt;"Grayson Coulter",G739&lt;'00_Control'!$B$7),"",--(AF739&lt;10))</f>
        <v/>
      </c>
      <c r="AI739" s="35">
        <f>IF(AND(C739="Grayson Coulter",G739&gt;='00_Control'!$B$7),"YES","NO")</f>
        <v/>
      </c>
      <c r="AJ739" s="33" t="inlineStr">
        <is>
          <t>OK</t>
        </is>
      </c>
    </row>
    <row r="740">
      <c r="A740" s="33" t="inlineStr">
        <is>
          <t>SM000736</t>
        </is>
      </c>
      <c r="B740" s="33" t="inlineStr">
        <is>
          <t>SW016</t>
        </is>
      </c>
      <c r="C740" s="33" t="inlineStr">
        <is>
          <t>Duncan Scott</t>
        </is>
      </c>
      <c r="D740" s="33" t="inlineStr">
        <is>
          <t>SwimCloud</t>
        </is>
      </c>
      <c r="E740" s="33" t="inlineStr">
        <is>
          <t>375606</t>
        </is>
      </c>
      <c r="F740" s="33" t="inlineStr">
        <is>
          <t>116855331</t>
        </is>
      </c>
      <c r="G740" s="51" t="n">
        <v>44996</v>
      </c>
      <c r="H740" s="33" t="inlineStr">
        <is>
          <t>Edinburgh International</t>
        </is>
      </c>
      <c r="I740" s="33" t="inlineStr">
        <is>
          <t>265322</t>
        </is>
      </c>
      <c r="J740" s="33" t="inlineStr"/>
      <c r="K740" s="33" t="inlineStr">
        <is>
          <t>PRE</t>
        </is>
      </c>
      <c r="L740" s="35">
        <f>IF(K740="FIN",3,IF(OR(K740="SEM",K740="SEMI"),2,IF(OR(K740="PRE",K740="HEAT"),1,IF(V740="YES",4,2))))</f>
        <v/>
      </c>
      <c r="M740" s="33" t="inlineStr">
        <is>
          <t>LCM</t>
        </is>
      </c>
      <c r="N740" s="33" t="n">
        <v>100</v>
      </c>
      <c r="O740" s="33" t="inlineStr">
        <is>
          <t>Fly</t>
        </is>
      </c>
      <c r="P740" s="33" t="inlineStr">
        <is>
          <t>100 Fly</t>
        </is>
      </c>
      <c r="Q740" s="33" t="inlineStr">
        <is>
          <t>LCM_100_FLY</t>
        </is>
      </c>
      <c r="R740" s="36" t="n">
        <v>57.17</v>
      </c>
      <c r="S740" s="35">
        <f>IF(R740="","",IF(R740&gt;=60,INT(R740/60)&amp;":"&amp;TEXT(MOD(R740,60),"00.00"),TEXT(R740,"0.00")))</f>
        <v/>
      </c>
      <c r="T740" s="52">
        <f>IFERROR((G740-INDEX('01_Swimmers'!$E$5:$E$22,MATCH(B740,'01_Swimmers'!$A$5:$A$22,0)))/'00_Control'!$B$10,"")</f>
        <v/>
      </c>
      <c r="U740" s="35">
        <f>IF(T740="","",INT(T740))</f>
        <v/>
      </c>
      <c r="V740" s="33" t="inlineStr">
        <is>
          <t>NO</t>
        </is>
      </c>
      <c r="W740" s="33" t="inlineStr">
        <is>
          <t>YES</t>
        </is>
      </c>
      <c r="X740" s="33" t="inlineStr">
        <is>
          <t>NO</t>
        </is>
      </c>
      <c r="Y740" s="33" t="n">
        <v>4</v>
      </c>
      <c r="Z740" s="33" t="n">
        <v>4</v>
      </c>
      <c r="AA740" s="33" t="inlineStr"/>
      <c r="AB740" s="33" t="inlineStr">
        <is>
          <t>https://www.swimcloud.com/results/265322/event/201/?id=116853756#time116853756</t>
        </is>
      </c>
      <c r="AC740" s="33" t="inlineStr">
        <is>
          <t>SwimCloud API v6 2026-10-08</t>
        </is>
      </c>
      <c r="AD740" s="33" t="inlineStr">
        <is>
          <t>Duncan Scott|2023-03-11|LCM|100|Fly|57.17|Edinburgh International|PRE|False</t>
        </is>
      </c>
      <c r="AE740" s="53">
        <f>G740+L740/1000+ROW()/1000000000</f>
        <v/>
      </c>
      <c r="AF740" s="35">
        <f>IF(C740&lt;&gt;"Grayson Coulter","",COUNTIFS($C$5:$C$2991,"Grayson Coulter",$Q$5:$Q$2991,Q740,$AE$5:$AE$2991,"&lt;="&amp;AE740,$R$5:$R$2991,"&lt;"&amp;R740))</f>
        <v/>
      </c>
      <c r="AG740" s="35">
        <f>IF(OR(C740&lt;&gt;"Grayson Coulter",G740&lt;'00_Control'!$B$7),"",--(AF740&lt;5))</f>
        <v/>
      </c>
      <c r="AH740" s="35">
        <f>IF(OR(C740&lt;&gt;"Grayson Coulter",G740&lt;'00_Control'!$B$7),"",--(AF740&lt;10))</f>
        <v/>
      </c>
      <c r="AI740" s="35">
        <f>IF(AND(C740="Grayson Coulter",G740&gt;='00_Control'!$B$7),"YES","NO")</f>
        <v/>
      </c>
      <c r="AJ740" s="33" t="inlineStr">
        <is>
          <t>OK</t>
        </is>
      </c>
    </row>
    <row r="741">
      <c r="A741" s="33" t="inlineStr">
        <is>
          <t>SM000737</t>
        </is>
      </c>
      <c r="B741" s="33" t="inlineStr">
        <is>
          <t>SW016</t>
        </is>
      </c>
      <c r="C741" s="33" t="inlineStr">
        <is>
          <t>Duncan Scott</t>
        </is>
      </c>
      <c r="D741" s="33" t="inlineStr">
        <is>
          <t>SwimCloud</t>
        </is>
      </c>
      <c r="E741" s="33" t="inlineStr">
        <is>
          <t>375606</t>
        </is>
      </c>
      <c r="F741" s="33" t="inlineStr">
        <is>
          <t>116852937</t>
        </is>
      </c>
      <c r="G741" s="51" t="n">
        <v>44997</v>
      </c>
      <c r="H741" s="33" t="inlineStr">
        <is>
          <t>Edinburgh International</t>
        </is>
      </c>
      <c r="I741" s="33" t="inlineStr">
        <is>
          <t>265322</t>
        </is>
      </c>
      <c r="J741" s="33" t="inlineStr"/>
      <c r="K741" s="33" t="inlineStr">
        <is>
          <t>PRE</t>
        </is>
      </c>
      <c r="L741" s="35">
        <f>IF(K741="FIN",3,IF(OR(K741="SEM",K741="SEMI"),2,IF(OR(K741="PRE",K741="HEAT"),1,IF(V741="YES",4,2))))</f>
        <v/>
      </c>
      <c r="M741" s="33" t="inlineStr">
        <is>
          <t>LCM</t>
        </is>
      </c>
      <c r="N741" s="33" t="n">
        <v>100</v>
      </c>
      <c r="O741" s="33" t="inlineStr">
        <is>
          <t>Free</t>
        </is>
      </c>
      <c r="P741" s="33" t="inlineStr">
        <is>
          <t>100 Free</t>
        </is>
      </c>
      <c r="Q741" s="33" t="inlineStr">
        <is>
          <t>LCM_100_FREE</t>
        </is>
      </c>
      <c r="R741" s="36" t="n">
        <v>50.3</v>
      </c>
      <c r="S741" s="35">
        <f>IF(R741="","",IF(R741&gt;=60,INT(R741/60)&amp;":"&amp;TEXT(MOD(R741,60),"00.00"),TEXT(R741,"0.00")))</f>
        <v/>
      </c>
      <c r="T741" s="52">
        <f>IFERROR((G741-INDEX('01_Swimmers'!$E$5:$E$22,MATCH(B741,'01_Swimmers'!$A$5:$A$22,0)))/'00_Control'!$B$10,"")</f>
        <v/>
      </c>
      <c r="U741" s="35">
        <f>IF(T741="","",INT(T741))</f>
        <v/>
      </c>
      <c r="V741" s="33" t="inlineStr">
        <is>
          <t>NO</t>
        </is>
      </c>
      <c r="W741" s="33" t="inlineStr">
        <is>
          <t>YES</t>
        </is>
      </c>
      <c r="X741" s="33" t="inlineStr">
        <is>
          <t>NO</t>
        </is>
      </c>
      <c r="Y741" s="33" t="n">
        <v>2</v>
      </c>
      <c r="Z741" s="33" t="n">
        <v>4</v>
      </c>
      <c r="AA741" s="33" t="inlineStr">
        <is>
          <t>5</t>
        </is>
      </c>
      <c r="AB741" s="33" t="inlineStr">
        <is>
          <t>https://www.swimcloud.com/results/265322/event/304/?id=116852937#time116852937</t>
        </is>
      </c>
      <c r="AC741" s="33" t="inlineStr">
        <is>
          <t>SwimCloud API v6 2026-10-08</t>
        </is>
      </c>
      <c r="AD741" s="33" t="inlineStr">
        <is>
          <t>Duncan Scott|2023-03-12|LCM|100|Free|50.3|Edinburgh International|PRE|False</t>
        </is>
      </c>
      <c r="AE741" s="53">
        <f>G741+L741/1000+ROW()/1000000000</f>
        <v/>
      </c>
      <c r="AF741" s="35">
        <f>IF(C741&lt;&gt;"Grayson Coulter","",COUNTIFS($C$5:$C$2991,"Grayson Coulter",$Q$5:$Q$2991,Q741,$AE$5:$AE$2991,"&lt;="&amp;AE741,$R$5:$R$2991,"&lt;"&amp;R741))</f>
        <v/>
      </c>
      <c r="AG741" s="35">
        <f>IF(OR(C741&lt;&gt;"Grayson Coulter",G741&lt;'00_Control'!$B$7),"",--(AF741&lt;5))</f>
        <v/>
      </c>
      <c r="AH741" s="35">
        <f>IF(OR(C741&lt;&gt;"Grayson Coulter",G741&lt;'00_Control'!$B$7),"",--(AF741&lt;10))</f>
        <v/>
      </c>
      <c r="AI741" s="35">
        <f>IF(AND(C741="Grayson Coulter",G741&gt;='00_Control'!$B$7),"YES","NO")</f>
        <v/>
      </c>
      <c r="AJ741" s="33" t="inlineStr">
        <is>
          <t>OK</t>
        </is>
      </c>
    </row>
    <row r="742">
      <c r="A742" s="33" t="inlineStr">
        <is>
          <t>SM000738</t>
        </is>
      </c>
      <c r="B742" s="33" t="inlineStr">
        <is>
          <t>SW016</t>
        </is>
      </c>
      <c r="C742" s="33" t="inlineStr">
        <is>
          <t>Duncan Scott</t>
        </is>
      </c>
      <c r="D742" s="33" t="inlineStr">
        <is>
          <t>SwimCloud</t>
        </is>
      </c>
      <c r="E742" s="33" t="inlineStr">
        <is>
          <t>375606</t>
        </is>
      </c>
      <c r="F742" s="33" t="inlineStr">
        <is>
          <t>116852938</t>
        </is>
      </c>
      <c r="G742" s="51" t="n">
        <v>44997</v>
      </c>
      <c r="H742" s="33" t="inlineStr">
        <is>
          <t>Edinburgh International</t>
        </is>
      </c>
      <c r="I742" s="33" t="inlineStr">
        <is>
          <t>265322</t>
        </is>
      </c>
      <c r="J742" s="33" t="inlineStr"/>
      <c r="K742" s="33" t="inlineStr">
        <is>
          <t>FIN</t>
        </is>
      </c>
      <c r="L742" s="35">
        <f>IF(K742="FIN",3,IF(OR(K742="SEM",K742="SEMI"),2,IF(OR(K742="PRE",K742="HEAT"),1,IF(V742="YES",4,2))))</f>
        <v/>
      </c>
      <c r="M742" s="33" t="inlineStr">
        <is>
          <t>LCM</t>
        </is>
      </c>
      <c r="N742" s="33" t="n">
        <v>100</v>
      </c>
      <c r="O742" s="33" t="inlineStr">
        <is>
          <t>Free</t>
        </is>
      </c>
      <c r="P742" s="33" t="inlineStr">
        <is>
          <t>100 Free</t>
        </is>
      </c>
      <c r="Q742" s="33" t="inlineStr">
        <is>
          <t>LCM_100_FREE</t>
        </is>
      </c>
      <c r="R742" s="36" t="n">
        <v>50.45</v>
      </c>
      <c r="S742" s="35">
        <f>IF(R742="","",IF(R742&gt;=60,INT(R742/60)&amp;":"&amp;TEXT(MOD(R742,60),"00.00"),TEXT(R742,"0.00")))</f>
        <v/>
      </c>
      <c r="T742" s="52">
        <f>IFERROR((G742-INDEX('01_Swimmers'!$E$5:$E$22,MATCH(B742,'01_Swimmers'!$A$5:$A$22,0)))/'00_Control'!$B$10,"")</f>
        <v/>
      </c>
      <c r="U742" s="35">
        <f>IF(T742="","",INT(T742))</f>
        <v/>
      </c>
      <c r="V742" s="33" t="inlineStr">
        <is>
          <t>NO</t>
        </is>
      </c>
      <c r="W742" s="33" t="inlineStr">
        <is>
          <t>YES</t>
        </is>
      </c>
      <c r="X742" s="33" t="inlineStr">
        <is>
          <t>NO</t>
        </is>
      </c>
      <c r="Y742" s="33" t="n">
        <v>3</v>
      </c>
      <c r="Z742" s="33" t="n">
        <v>2</v>
      </c>
      <c r="AA742" s="33" t="inlineStr">
        <is>
          <t>4</t>
        </is>
      </c>
      <c r="AB742" s="33" t="inlineStr">
        <is>
          <t>https://www.swimcloud.com/results/265322/event/304/?id=116852938#time116852938</t>
        </is>
      </c>
      <c r="AC742" s="33" t="inlineStr">
        <is>
          <t>SwimCloud API v6 2026-10-08</t>
        </is>
      </c>
      <c r="AD742" s="33" t="inlineStr">
        <is>
          <t>Duncan Scott|2023-03-12|LCM|100|Free|50.45|Edinburgh International|FIN|False</t>
        </is>
      </c>
      <c r="AE742" s="53">
        <f>G742+L742/1000+ROW()/1000000000</f>
        <v/>
      </c>
      <c r="AF742" s="35">
        <f>IF(C742&lt;&gt;"Grayson Coulter","",COUNTIFS($C$5:$C$2991,"Grayson Coulter",$Q$5:$Q$2991,Q742,$AE$5:$AE$2991,"&lt;="&amp;AE742,$R$5:$R$2991,"&lt;"&amp;R742))</f>
        <v/>
      </c>
      <c r="AG742" s="35">
        <f>IF(OR(C742&lt;&gt;"Grayson Coulter",G742&lt;'00_Control'!$B$7),"",--(AF742&lt;5))</f>
        <v/>
      </c>
      <c r="AH742" s="35">
        <f>IF(OR(C742&lt;&gt;"Grayson Coulter",G742&lt;'00_Control'!$B$7),"",--(AF742&lt;10))</f>
        <v/>
      </c>
      <c r="AI742" s="35">
        <f>IF(AND(C742="Grayson Coulter",G742&gt;='00_Control'!$B$7),"YES","NO")</f>
        <v/>
      </c>
      <c r="AJ742" s="33" t="inlineStr">
        <is>
          <t>OK</t>
        </is>
      </c>
    </row>
    <row r="743">
      <c r="A743" s="33" t="inlineStr">
        <is>
          <t>SM000739</t>
        </is>
      </c>
      <c r="B743" s="33" t="inlineStr">
        <is>
          <t>SW016</t>
        </is>
      </c>
      <c r="C743" s="33" t="inlineStr">
        <is>
          <t>Duncan Scott</t>
        </is>
      </c>
      <c r="D743" s="33" t="inlineStr">
        <is>
          <t>SwimCloud</t>
        </is>
      </c>
      <c r="E743" s="33" t="inlineStr">
        <is>
          <t>375606</t>
        </is>
      </c>
      <c r="F743" s="33" t="inlineStr">
        <is>
          <t>100104551</t>
        </is>
      </c>
      <c r="G743" s="51" t="n">
        <v>45020</v>
      </c>
      <c r="H743" s="33" t="inlineStr">
        <is>
          <t>British World Championship Trials</t>
        </is>
      </c>
      <c r="I743" s="33" t="inlineStr">
        <is>
          <t>237835</t>
        </is>
      </c>
      <c r="J743" s="33" t="inlineStr"/>
      <c r="K743" s="33" t="inlineStr">
        <is>
          <t>FIN</t>
        </is>
      </c>
      <c r="L743" s="35">
        <f>IF(K743="FIN",3,IF(OR(K743="SEM",K743="SEMI"),2,IF(OR(K743="PRE",K743="HEAT"),1,IF(V743="YES",4,2))))</f>
        <v/>
      </c>
      <c r="M743" s="33" t="inlineStr">
        <is>
          <t>LCM</t>
        </is>
      </c>
      <c r="N743" s="33" t="n">
        <v>100</v>
      </c>
      <c r="O743" s="33" t="inlineStr">
        <is>
          <t>Free</t>
        </is>
      </c>
      <c r="P743" s="33" t="inlineStr">
        <is>
          <t>100 Free</t>
        </is>
      </c>
      <c r="Q743" s="33" t="inlineStr">
        <is>
          <t>LCM_100_FREE</t>
        </is>
      </c>
      <c r="R743" s="36" t="n">
        <v>48</v>
      </c>
      <c r="S743" s="35">
        <f>IF(R743="","",IF(R743&gt;=60,INT(R743/60)&amp;":"&amp;TEXT(MOD(R743,60),"00.00"),TEXT(R743,"0.00")))</f>
        <v/>
      </c>
      <c r="T743" s="52">
        <f>IFERROR((G743-INDEX('01_Swimmers'!$E$5:$E$22,MATCH(B743,'01_Swimmers'!$A$5:$A$22,0)))/'00_Control'!$B$10,"")</f>
        <v/>
      </c>
      <c r="U743" s="35">
        <f>IF(T743="","",INT(T743))</f>
        <v/>
      </c>
      <c r="V743" s="33" t="inlineStr">
        <is>
          <t>NO</t>
        </is>
      </c>
      <c r="W743" s="33" t="inlineStr">
        <is>
          <t>YES</t>
        </is>
      </c>
      <c r="X743" s="33" t="inlineStr">
        <is>
          <t>NO</t>
        </is>
      </c>
      <c r="Y743" s="33" t="n">
        <v>1</v>
      </c>
      <c r="Z743" s="33" t="n">
        <v>2</v>
      </c>
      <c r="AA743" s="33" t="inlineStr">
        <is>
          <t>2</t>
        </is>
      </c>
      <c r="AB743" s="33" t="inlineStr">
        <is>
          <t>https://www.swimcloud.com/results/237835/event/33/?id=100104551#time100104551</t>
        </is>
      </c>
      <c r="AC743" s="33" t="inlineStr">
        <is>
          <t>SwimCloud API v6 2026-10-08</t>
        </is>
      </c>
      <c r="AD743" s="33" t="inlineStr">
        <is>
          <t>Duncan Scott|2023-04-04|LCM|100|Free|48.0|British World Championship Trials|FIN|False</t>
        </is>
      </c>
      <c r="AE743" s="53">
        <f>G743+L743/1000+ROW()/1000000000</f>
        <v/>
      </c>
      <c r="AF743" s="35">
        <f>IF(C743&lt;&gt;"Grayson Coulter","",COUNTIFS($C$5:$C$2991,"Grayson Coulter",$Q$5:$Q$2991,Q743,$AE$5:$AE$2991,"&lt;="&amp;AE743,$R$5:$R$2991,"&lt;"&amp;R743))</f>
        <v/>
      </c>
      <c r="AG743" s="35">
        <f>IF(OR(C743&lt;&gt;"Grayson Coulter",G743&lt;'00_Control'!$B$7),"",--(AF743&lt;5))</f>
        <v/>
      </c>
      <c r="AH743" s="35">
        <f>IF(OR(C743&lt;&gt;"Grayson Coulter",G743&lt;'00_Control'!$B$7),"",--(AF743&lt;10))</f>
        <v/>
      </c>
      <c r="AI743" s="35">
        <f>IF(AND(C743="Grayson Coulter",G743&gt;='00_Control'!$B$7),"YES","NO")</f>
        <v/>
      </c>
      <c r="AJ743" s="33" t="inlineStr">
        <is>
          <t>OK</t>
        </is>
      </c>
    </row>
    <row r="744">
      <c r="A744" s="33" t="inlineStr">
        <is>
          <t>SM000740</t>
        </is>
      </c>
      <c r="B744" s="33" t="inlineStr">
        <is>
          <t>SW016</t>
        </is>
      </c>
      <c r="C744" s="33" t="inlineStr">
        <is>
          <t>Duncan Scott</t>
        </is>
      </c>
      <c r="D744" s="33" t="inlineStr">
        <is>
          <t>SwimCloud</t>
        </is>
      </c>
      <c r="E744" s="33" t="inlineStr">
        <is>
          <t>375606</t>
        </is>
      </c>
      <c r="F744" s="33" t="inlineStr">
        <is>
          <t>100290655</t>
        </is>
      </c>
      <c r="G744" s="51" t="n">
        <v>45020</v>
      </c>
      <c r="H744" s="33" t="inlineStr">
        <is>
          <t>British World Championship Trials</t>
        </is>
      </c>
      <c r="I744" s="33" t="inlineStr">
        <is>
          <t>237835</t>
        </is>
      </c>
      <c r="J744" s="33" t="inlineStr"/>
      <c r="K744" s="33" t="inlineStr">
        <is>
          <t>FIN</t>
        </is>
      </c>
      <c r="L744" s="35">
        <f>IF(K744="FIN",3,IF(OR(K744="SEM",K744="SEMI"),2,IF(OR(K744="PRE",K744="HEAT"),1,IF(V744="YES",4,2))))</f>
        <v/>
      </c>
      <c r="M744" s="33" t="inlineStr">
        <is>
          <t>LCM</t>
        </is>
      </c>
      <c r="N744" s="33" t="n">
        <v>200</v>
      </c>
      <c r="O744" s="33" t="inlineStr">
        <is>
          <t>Free</t>
        </is>
      </c>
      <c r="P744" s="33" t="inlineStr">
        <is>
          <t>200 Free</t>
        </is>
      </c>
      <c r="Q744" s="33" t="inlineStr">
        <is>
          <t>LCM_200_FREE</t>
        </is>
      </c>
      <c r="R744" s="36" t="n">
        <v>105.9</v>
      </c>
      <c r="S744" s="35">
        <f>IF(R744="","",IF(R744&gt;=60,INT(R744/60)&amp;":"&amp;TEXT(MOD(R744,60),"00.00"),TEXT(R744,"0.00")))</f>
        <v/>
      </c>
      <c r="T744" s="52">
        <f>IFERROR((G744-INDEX('01_Swimmers'!$E$5:$E$22,MATCH(B744,'01_Swimmers'!$A$5:$A$22,0)))/'00_Control'!$B$10,"")</f>
        <v/>
      </c>
      <c r="U744" s="35">
        <f>IF(T744="","",INT(T744))</f>
        <v/>
      </c>
      <c r="V744" s="33" t="inlineStr">
        <is>
          <t>NO</t>
        </is>
      </c>
      <c r="W744" s="33" t="inlineStr">
        <is>
          <t>YES</t>
        </is>
      </c>
      <c r="X744" s="33" t="inlineStr">
        <is>
          <t>NO</t>
        </is>
      </c>
      <c r="Y744" s="33" t="n">
        <v>1</v>
      </c>
      <c r="Z744" s="33" t="n">
        <v>4</v>
      </c>
      <c r="AA744" s="33" t="inlineStr">
        <is>
          <t>4</t>
        </is>
      </c>
      <c r="AB744" s="33" t="inlineStr">
        <is>
          <t>https://www.swimcloud.com/results/237835/event/62/?id=100290655#time100290655</t>
        </is>
      </c>
      <c r="AC744" s="33" t="inlineStr">
        <is>
          <t>SwimCloud API v6 2026-10-08</t>
        </is>
      </c>
      <c r="AD744" s="33" t="inlineStr">
        <is>
          <t>Duncan Scott|2023-04-04|LCM|200|Free|105.9|British World Championship Trials|FIN|False</t>
        </is>
      </c>
      <c r="AE744" s="53">
        <f>G744+L744/1000+ROW()/1000000000</f>
        <v/>
      </c>
      <c r="AF744" s="35">
        <f>IF(C744&lt;&gt;"Grayson Coulter","",COUNTIFS($C$5:$C$2991,"Grayson Coulter",$Q$5:$Q$2991,Q744,$AE$5:$AE$2991,"&lt;="&amp;AE744,$R$5:$R$2991,"&lt;"&amp;R744))</f>
        <v/>
      </c>
      <c r="AG744" s="35">
        <f>IF(OR(C744&lt;&gt;"Grayson Coulter",G744&lt;'00_Control'!$B$7),"",--(AF744&lt;5))</f>
        <v/>
      </c>
      <c r="AH744" s="35">
        <f>IF(OR(C744&lt;&gt;"Grayson Coulter",G744&lt;'00_Control'!$B$7),"",--(AF744&lt;10))</f>
        <v/>
      </c>
      <c r="AI744" s="35">
        <f>IF(AND(C744="Grayson Coulter",G744&gt;='00_Control'!$B$7),"YES","NO")</f>
        <v/>
      </c>
      <c r="AJ744" s="33" t="inlineStr">
        <is>
          <t>OK</t>
        </is>
      </c>
    </row>
    <row r="745">
      <c r="A745" s="33" t="inlineStr">
        <is>
          <t>SM000741</t>
        </is>
      </c>
      <c r="B745" s="33" t="inlineStr">
        <is>
          <t>SW016</t>
        </is>
      </c>
      <c r="C745" s="33" t="inlineStr">
        <is>
          <t>Duncan Scott</t>
        </is>
      </c>
      <c r="D745" s="33" t="inlineStr">
        <is>
          <t>SwimCloud</t>
        </is>
      </c>
      <c r="E745" s="33" t="inlineStr">
        <is>
          <t>375606</t>
        </is>
      </c>
      <c r="F745" s="33" t="inlineStr">
        <is>
          <t>116869247</t>
        </is>
      </c>
      <c r="G745" s="51" t="n">
        <v>45073</v>
      </c>
      <c r="H745" s="33" t="inlineStr">
        <is>
          <t>Glasgow International Swimming Meet</t>
        </is>
      </c>
      <c r="I745" s="33" t="inlineStr">
        <is>
          <t>269136</t>
        </is>
      </c>
      <c r="J745" s="33" t="inlineStr"/>
      <c r="K745" s="33" t="inlineStr">
        <is>
          <t>PRE</t>
        </is>
      </c>
      <c r="L745" s="35">
        <f>IF(K745="FIN",3,IF(OR(K745="SEM",K745="SEMI"),2,IF(OR(K745="PRE",K745="HEAT"),1,IF(V745="YES",4,2))))</f>
        <v/>
      </c>
      <c r="M745" s="33" t="inlineStr">
        <is>
          <t>LCM</t>
        </is>
      </c>
      <c r="N745" s="33" t="n">
        <v>200</v>
      </c>
      <c r="O745" s="33" t="inlineStr">
        <is>
          <t>Free</t>
        </is>
      </c>
      <c r="P745" s="33" t="inlineStr">
        <is>
          <t>200 Free</t>
        </is>
      </c>
      <c r="Q745" s="33" t="inlineStr">
        <is>
          <t>LCM_200_FREE</t>
        </is>
      </c>
      <c r="R745" s="36" t="n">
        <v>112.18</v>
      </c>
      <c r="S745" s="35">
        <f>IF(R745="","",IF(R745&gt;=60,INT(R745/60)&amp;":"&amp;TEXT(MOD(R745,60),"00.00"),TEXT(R745,"0.00")))</f>
        <v/>
      </c>
      <c r="T745" s="52">
        <f>IFERROR((G745-INDEX('01_Swimmers'!$E$5:$E$22,MATCH(B745,'01_Swimmers'!$A$5:$A$22,0)))/'00_Control'!$B$10,"")</f>
        <v/>
      </c>
      <c r="U745" s="35">
        <f>IF(T745="","",INT(T745))</f>
        <v/>
      </c>
      <c r="V745" s="33" t="inlineStr">
        <is>
          <t>NO</t>
        </is>
      </c>
      <c r="W745" s="33" t="inlineStr">
        <is>
          <t>YES</t>
        </is>
      </c>
      <c r="X745" s="33" t="inlineStr">
        <is>
          <t>NO</t>
        </is>
      </c>
      <c r="Y745" s="33" t="n">
        <v>5</v>
      </c>
      <c r="Z745" s="33" t="n">
        <v>4</v>
      </c>
      <c r="AA745" s="33" t="inlineStr">
        <is>
          <t>2</t>
        </is>
      </c>
      <c r="AB745" s="33" t="inlineStr">
        <is>
          <t>https://www.swimcloud.com/results/269136/event/208/?id=116869247#time116869247</t>
        </is>
      </c>
      <c r="AC745" s="33" t="inlineStr">
        <is>
          <t>SwimCloud API v6 2026-10-08</t>
        </is>
      </c>
      <c r="AD745" s="33" t="inlineStr">
        <is>
          <t>Duncan Scott|2023-05-27|LCM|200|Free|112.18|Glasgow International Swimming Meet|PRE|False</t>
        </is>
      </c>
      <c r="AE745" s="53">
        <f>G745+L745/1000+ROW()/1000000000</f>
        <v/>
      </c>
      <c r="AF745" s="35">
        <f>IF(C745&lt;&gt;"Grayson Coulter","",COUNTIFS($C$5:$C$2991,"Grayson Coulter",$Q$5:$Q$2991,Q745,$AE$5:$AE$2991,"&lt;="&amp;AE745,$R$5:$R$2991,"&lt;"&amp;R745))</f>
        <v/>
      </c>
      <c r="AG745" s="35">
        <f>IF(OR(C745&lt;&gt;"Grayson Coulter",G745&lt;'00_Control'!$B$7),"",--(AF745&lt;5))</f>
        <v/>
      </c>
      <c r="AH745" s="35">
        <f>IF(OR(C745&lt;&gt;"Grayson Coulter",G745&lt;'00_Control'!$B$7),"",--(AF745&lt;10))</f>
        <v/>
      </c>
      <c r="AI745" s="35">
        <f>IF(AND(C745="Grayson Coulter",G745&gt;='00_Control'!$B$7),"YES","NO")</f>
        <v/>
      </c>
      <c r="AJ745" s="33" t="inlineStr">
        <is>
          <t>OK</t>
        </is>
      </c>
    </row>
    <row r="746">
      <c r="A746" s="33" t="inlineStr">
        <is>
          <t>SM000742</t>
        </is>
      </c>
      <c r="B746" s="33" t="inlineStr">
        <is>
          <t>SW016</t>
        </is>
      </c>
      <c r="C746" s="33" t="inlineStr">
        <is>
          <t>Duncan Scott</t>
        </is>
      </c>
      <c r="D746" s="33" t="inlineStr">
        <is>
          <t>SwimCloud</t>
        </is>
      </c>
      <c r="E746" s="33" t="inlineStr">
        <is>
          <t>375606</t>
        </is>
      </c>
      <c r="F746" s="33" t="inlineStr">
        <is>
          <t>116869248</t>
        </is>
      </c>
      <c r="G746" s="51" t="n">
        <v>45073</v>
      </c>
      <c r="H746" s="33" t="inlineStr">
        <is>
          <t>Glasgow International Swimming Meet</t>
        </is>
      </c>
      <c r="I746" s="33" t="inlineStr">
        <is>
          <t>269136</t>
        </is>
      </c>
      <c r="J746" s="33" t="inlineStr"/>
      <c r="K746" s="33" t="inlineStr">
        <is>
          <t>FIN</t>
        </is>
      </c>
      <c r="L746" s="35">
        <f>IF(K746="FIN",3,IF(OR(K746="SEM",K746="SEMI"),2,IF(OR(K746="PRE",K746="HEAT"),1,IF(V746="YES",4,2))))</f>
        <v/>
      </c>
      <c r="M746" s="33" t="inlineStr">
        <is>
          <t>LCM</t>
        </is>
      </c>
      <c r="N746" s="33" t="n">
        <v>200</v>
      </c>
      <c r="O746" s="33" t="inlineStr">
        <is>
          <t>Free</t>
        </is>
      </c>
      <c r="P746" s="33" t="inlineStr">
        <is>
          <t>200 Free</t>
        </is>
      </c>
      <c r="Q746" s="33" t="inlineStr">
        <is>
          <t>LCM_200_FREE</t>
        </is>
      </c>
      <c r="R746" s="36" t="n">
        <v>107.93</v>
      </c>
      <c r="S746" s="35">
        <f>IF(R746="","",IF(R746&gt;=60,INT(R746/60)&amp;":"&amp;TEXT(MOD(R746,60),"00.00"),TEXT(R746,"0.00")))</f>
        <v/>
      </c>
      <c r="T746" s="52">
        <f>IFERROR((G746-INDEX('01_Swimmers'!$E$5:$E$22,MATCH(B746,'01_Swimmers'!$A$5:$A$22,0)))/'00_Control'!$B$10,"")</f>
        <v/>
      </c>
      <c r="U746" s="35">
        <f>IF(T746="","",INT(T746))</f>
        <v/>
      </c>
      <c r="V746" s="33" t="inlineStr">
        <is>
          <t>NO</t>
        </is>
      </c>
      <c r="W746" s="33" t="inlineStr">
        <is>
          <t>YES</t>
        </is>
      </c>
      <c r="X746" s="33" t="inlineStr">
        <is>
          <t>NO</t>
        </is>
      </c>
      <c r="Y746" s="33" t="n">
        <v>3</v>
      </c>
      <c r="Z746" s="33" t="n">
        <v>5</v>
      </c>
      <c r="AA746" s="33" t="inlineStr">
        <is>
          <t>1</t>
        </is>
      </c>
      <c r="AB746" s="33" t="inlineStr">
        <is>
          <t>https://www.swimcloud.com/results/269136/event/208/?id=116869248#time116869248</t>
        </is>
      </c>
      <c r="AC746" s="33" t="inlineStr">
        <is>
          <t>SwimCloud API v6 2026-10-08</t>
        </is>
      </c>
      <c r="AD746" s="33" t="inlineStr">
        <is>
          <t>Duncan Scott|2023-05-27|LCM|200|Free|107.93|Glasgow International Swimming Meet|FIN|False</t>
        </is>
      </c>
      <c r="AE746" s="53">
        <f>G746+L746/1000+ROW()/1000000000</f>
        <v/>
      </c>
      <c r="AF746" s="35">
        <f>IF(C746&lt;&gt;"Grayson Coulter","",COUNTIFS($C$5:$C$2991,"Grayson Coulter",$Q$5:$Q$2991,Q746,$AE$5:$AE$2991,"&lt;="&amp;AE746,$R$5:$R$2991,"&lt;"&amp;R746))</f>
        <v/>
      </c>
      <c r="AG746" s="35">
        <f>IF(OR(C746&lt;&gt;"Grayson Coulter",G746&lt;'00_Control'!$B$7),"",--(AF746&lt;5))</f>
        <v/>
      </c>
      <c r="AH746" s="35">
        <f>IF(OR(C746&lt;&gt;"Grayson Coulter",G746&lt;'00_Control'!$B$7),"",--(AF746&lt;10))</f>
        <v/>
      </c>
      <c r="AI746" s="35">
        <f>IF(AND(C746="Grayson Coulter",G746&gt;='00_Control'!$B$7),"YES","NO")</f>
        <v/>
      </c>
      <c r="AJ746" s="33" t="inlineStr">
        <is>
          <t>OK</t>
        </is>
      </c>
    </row>
    <row r="747">
      <c r="A747" s="33" t="inlineStr">
        <is>
          <t>SM000743</t>
        </is>
      </c>
      <c r="B747" s="33" t="inlineStr">
        <is>
          <t>SW016</t>
        </is>
      </c>
      <c r="C747" s="33" t="inlineStr">
        <is>
          <t>Duncan Scott</t>
        </is>
      </c>
      <c r="D747" s="33" t="inlineStr">
        <is>
          <t>SwimCloud</t>
        </is>
      </c>
      <c r="E747" s="33" t="inlineStr">
        <is>
          <t>375606</t>
        </is>
      </c>
      <c r="F747" s="33" t="inlineStr">
        <is>
          <t>116867561</t>
        </is>
      </c>
      <c r="G747" s="51" t="n">
        <v>45074</v>
      </c>
      <c r="H747" s="33" t="inlineStr">
        <is>
          <t>Glasgow International Swimming Meet</t>
        </is>
      </c>
      <c r="I747" s="33" t="inlineStr">
        <is>
          <t>269136</t>
        </is>
      </c>
      <c r="J747" s="33" t="inlineStr"/>
      <c r="K747" s="33" t="inlineStr">
        <is>
          <t>PRE</t>
        </is>
      </c>
      <c r="L747" s="35">
        <f>IF(K747="FIN",3,IF(OR(K747="SEM",K747="SEMI"),2,IF(OR(K747="PRE",K747="HEAT"),1,IF(V747="YES",4,2))))</f>
        <v/>
      </c>
      <c r="M747" s="33" t="inlineStr">
        <is>
          <t>LCM</t>
        </is>
      </c>
      <c r="N747" s="33" t="n">
        <v>100</v>
      </c>
      <c r="O747" s="33" t="inlineStr">
        <is>
          <t>Free</t>
        </is>
      </c>
      <c r="P747" s="33" t="inlineStr">
        <is>
          <t>100 Free</t>
        </is>
      </c>
      <c r="Q747" s="33" t="inlineStr">
        <is>
          <t>LCM_100_FREE</t>
        </is>
      </c>
      <c r="R747" s="36" t="n">
        <v>49.47</v>
      </c>
      <c r="S747" s="35">
        <f>IF(R747="","",IF(R747&gt;=60,INT(R747/60)&amp;":"&amp;TEXT(MOD(R747,60),"00.00"),TEXT(R747,"0.00")))</f>
        <v/>
      </c>
      <c r="T747" s="52">
        <f>IFERROR((G747-INDEX('01_Swimmers'!$E$5:$E$22,MATCH(B747,'01_Swimmers'!$A$5:$A$22,0)))/'00_Control'!$B$10,"")</f>
        <v/>
      </c>
      <c r="U747" s="35">
        <f>IF(T747="","",INT(T747))</f>
        <v/>
      </c>
      <c r="V747" s="33" t="inlineStr">
        <is>
          <t>NO</t>
        </is>
      </c>
      <c r="W747" s="33" t="inlineStr">
        <is>
          <t>YES</t>
        </is>
      </c>
      <c r="X747" s="33" t="inlineStr">
        <is>
          <t>NO</t>
        </is>
      </c>
      <c r="Y747" s="33" t="n">
        <v>5</v>
      </c>
      <c r="Z747" s="33" t="n">
        <v>4</v>
      </c>
      <c r="AA747" s="33" t="inlineStr">
        <is>
          <t>1</t>
        </is>
      </c>
      <c r="AB747" s="33" t="inlineStr">
        <is>
          <t>https://www.swimcloud.com/results/269136/event/310/?id=116867561#time116867561</t>
        </is>
      </c>
      <c r="AC747" s="33" t="inlineStr">
        <is>
          <t>SwimCloud API v6 2026-10-08</t>
        </is>
      </c>
      <c r="AD747" s="33" t="inlineStr">
        <is>
          <t>Duncan Scott|2023-05-28|LCM|100|Free|49.47|Glasgow International Swimming Meet|PRE|False</t>
        </is>
      </c>
      <c r="AE747" s="53">
        <f>G747+L747/1000+ROW()/1000000000</f>
        <v/>
      </c>
      <c r="AF747" s="35">
        <f>IF(C747&lt;&gt;"Grayson Coulter","",COUNTIFS($C$5:$C$2991,"Grayson Coulter",$Q$5:$Q$2991,Q747,$AE$5:$AE$2991,"&lt;="&amp;AE747,$R$5:$R$2991,"&lt;"&amp;R747))</f>
        <v/>
      </c>
      <c r="AG747" s="35">
        <f>IF(OR(C747&lt;&gt;"Grayson Coulter",G747&lt;'00_Control'!$B$7),"",--(AF747&lt;5))</f>
        <v/>
      </c>
      <c r="AH747" s="35">
        <f>IF(OR(C747&lt;&gt;"Grayson Coulter",G747&lt;'00_Control'!$B$7),"",--(AF747&lt;10))</f>
        <v/>
      </c>
      <c r="AI747" s="35">
        <f>IF(AND(C747="Grayson Coulter",G747&gt;='00_Control'!$B$7),"YES","NO")</f>
        <v/>
      </c>
      <c r="AJ747" s="33" t="inlineStr">
        <is>
          <t>OK</t>
        </is>
      </c>
    </row>
    <row r="748">
      <c r="A748" s="33" t="inlineStr">
        <is>
          <t>SM000744</t>
        </is>
      </c>
      <c r="B748" s="33" t="inlineStr">
        <is>
          <t>SW016</t>
        </is>
      </c>
      <c r="C748" s="33" t="inlineStr">
        <is>
          <t>Duncan Scott</t>
        </is>
      </c>
      <c r="D748" s="33" t="inlineStr">
        <is>
          <t>SwimCloud</t>
        </is>
      </c>
      <c r="E748" s="33" t="inlineStr">
        <is>
          <t>375606</t>
        </is>
      </c>
      <c r="F748" s="33" t="inlineStr">
        <is>
          <t>116867562</t>
        </is>
      </c>
      <c r="G748" s="51" t="n">
        <v>45074</v>
      </c>
      <c r="H748" s="33" t="inlineStr">
        <is>
          <t>Glasgow International Swimming Meet</t>
        </is>
      </c>
      <c r="I748" s="33" t="inlineStr">
        <is>
          <t>269136</t>
        </is>
      </c>
      <c r="J748" s="33" t="inlineStr"/>
      <c r="K748" s="33" t="inlineStr">
        <is>
          <t>FIN</t>
        </is>
      </c>
      <c r="L748" s="35">
        <f>IF(K748="FIN",3,IF(OR(K748="SEM",K748="SEMI"),2,IF(OR(K748="PRE",K748="HEAT"),1,IF(V748="YES",4,2))))</f>
        <v/>
      </c>
      <c r="M748" s="33" t="inlineStr">
        <is>
          <t>LCM</t>
        </is>
      </c>
      <c r="N748" s="33" t="n">
        <v>100</v>
      </c>
      <c r="O748" s="33" t="inlineStr">
        <is>
          <t>Free</t>
        </is>
      </c>
      <c r="P748" s="33" t="inlineStr">
        <is>
          <t>100 Free</t>
        </is>
      </c>
      <c r="Q748" s="33" t="inlineStr">
        <is>
          <t>LCM_100_FREE</t>
        </is>
      </c>
      <c r="R748" s="36" t="n">
        <v>49.35</v>
      </c>
      <c r="S748" s="35">
        <f>IF(R748="","",IF(R748&gt;=60,INT(R748/60)&amp;":"&amp;TEXT(MOD(R748,60),"00.00"),TEXT(R748,"0.00")))</f>
        <v/>
      </c>
      <c r="T748" s="52">
        <f>IFERROR((G748-INDEX('01_Swimmers'!$E$5:$E$22,MATCH(B748,'01_Swimmers'!$A$5:$A$22,0)))/'00_Control'!$B$10,"")</f>
        <v/>
      </c>
      <c r="U748" s="35">
        <f>IF(T748="","",INT(T748))</f>
        <v/>
      </c>
      <c r="V748" s="33" t="inlineStr">
        <is>
          <t>NO</t>
        </is>
      </c>
      <c r="W748" s="33" t="inlineStr">
        <is>
          <t>YES</t>
        </is>
      </c>
      <c r="X748" s="33" t="inlineStr">
        <is>
          <t>NO</t>
        </is>
      </c>
      <c r="Y748" s="33" t="n">
        <v>3</v>
      </c>
      <c r="Z748" s="33" t="n">
        <v>4</v>
      </c>
      <c r="AA748" s="33" t="inlineStr">
        <is>
          <t>1</t>
        </is>
      </c>
      <c r="AB748" s="33" t="inlineStr">
        <is>
          <t>https://www.swimcloud.com/results/269136/event/310/?id=116867562#time116867562</t>
        </is>
      </c>
      <c r="AC748" s="33" t="inlineStr">
        <is>
          <t>SwimCloud API v6 2026-10-08</t>
        </is>
      </c>
      <c r="AD748" s="33" t="inlineStr">
        <is>
          <t>Duncan Scott|2023-05-28|LCM|100|Free|49.35|Glasgow International Swimming Meet|FIN|False</t>
        </is>
      </c>
      <c r="AE748" s="53">
        <f>G748+L748/1000+ROW()/1000000000</f>
        <v/>
      </c>
      <c r="AF748" s="35">
        <f>IF(C748&lt;&gt;"Grayson Coulter","",COUNTIFS($C$5:$C$2991,"Grayson Coulter",$Q$5:$Q$2991,Q748,$AE$5:$AE$2991,"&lt;="&amp;AE748,$R$5:$R$2991,"&lt;"&amp;R748))</f>
        <v/>
      </c>
      <c r="AG748" s="35">
        <f>IF(OR(C748&lt;&gt;"Grayson Coulter",G748&lt;'00_Control'!$B$7),"",--(AF748&lt;5))</f>
        <v/>
      </c>
      <c r="AH748" s="35">
        <f>IF(OR(C748&lt;&gt;"Grayson Coulter",G748&lt;'00_Control'!$B$7),"",--(AF748&lt;10))</f>
        <v/>
      </c>
      <c r="AI748" s="35">
        <f>IF(AND(C748="Grayson Coulter",G748&gt;='00_Control'!$B$7),"YES","NO")</f>
        <v/>
      </c>
      <c r="AJ748" s="33" t="inlineStr">
        <is>
          <t>OK</t>
        </is>
      </c>
    </row>
    <row r="749">
      <c r="A749" s="33" t="inlineStr">
        <is>
          <t>SM000745</t>
        </is>
      </c>
      <c r="B749" s="33" t="inlineStr">
        <is>
          <t>SW016</t>
        </is>
      </c>
      <c r="C749" s="33" t="inlineStr">
        <is>
          <t>Duncan Scott</t>
        </is>
      </c>
      <c r="D749" s="33" t="inlineStr">
        <is>
          <t>SwimCloud</t>
        </is>
      </c>
      <c r="E749" s="33" t="inlineStr">
        <is>
          <t>375606</t>
        </is>
      </c>
      <c r="F749" s="33" t="inlineStr">
        <is>
          <t>111677383</t>
        </is>
      </c>
      <c r="G749" s="51" t="n">
        <v>45100</v>
      </c>
      <c r="H749" s="33" t="inlineStr">
        <is>
          <t>Internazionali di Nuoto - 59 Sette Colli</t>
        </is>
      </c>
      <c r="I749" s="33" t="inlineStr">
        <is>
          <t>237979</t>
        </is>
      </c>
      <c r="J749" s="33" t="inlineStr"/>
      <c r="K749" s="33" t="inlineStr">
        <is>
          <t>PRE</t>
        </is>
      </c>
      <c r="L749" s="35">
        <f>IF(K749="FIN",3,IF(OR(K749="SEM",K749="SEMI"),2,IF(OR(K749="PRE",K749="HEAT"),1,IF(V749="YES",4,2))))</f>
        <v/>
      </c>
      <c r="M749" s="33" t="inlineStr">
        <is>
          <t>LCM</t>
        </is>
      </c>
      <c r="N749" s="33" t="n">
        <v>100</v>
      </c>
      <c r="O749" s="33" t="inlineStr">
        <is>
          <t>Fly</t>
        </is>
      </c>
      <c r="P749" s="33" t="inlineStr">
        <is>
          <t>100 Fly</t>
        </is>
      </c>
      <c r="Q749" s="33" t="inlineStr">
        <is>
          <t>LCM_100_FLY</t>
        </is>
      </c>
      <c r="R749" s="36" t="n">
        <v>53.34</v>
      </c>
      <c r="S749" s="35">
        <f>IF(R749="","",IF(R749&gt;=60,INT(R749/60)&amp;":"&amp;TEXT(MOD(R749,60),"00.00"),TEXT(R749,"0.00")))</f>
        <v/>
      </c>
      <c r="T749" s="52">
        <f>IFERROR((G749-INDEX('01_Swimmers'!$E$5:$E$22,MATCH(B749,'01_Swimmers'!$A$5:$A$22,0)))/'00_Control'!$B$10,"")</f>
        <v/>
      </c>
      <c r="U749" s="35">
        <f>IF(T749="","",INT(T749))</f>
        <v/>
      </c>
      <c r="V749" s="33" t="inlineStr">
        <is>
          <t>NO</t>
        </is>
      </c>
      <c r="W749" s="33" t="inlineStr">
        <is>
          <t>YES</t>
        </is>
      </c>
      <c r="X749" s="33" t="inlineStr">
        <is>
          <t>NO</t>
        </is>
      </c>
      <c r="Y749" s="33" t="n">
        <v>41</v>
      </c>
      <c r="Z749" s="33" t="n">
        <v>8</v>
      </c>
      <c r="AA749" s="33" t="inlineStr">
        <is>
          <t>22</t>
        </is>
      </c>
      <c r="AB749" s="33" t="inlineStr">
        <is>
          <t>https://www.swimcloud.com/results/237979/event/7/?id=111677383#time111677383</t>
        </is>
      </c>
      <c r="AC749" s="33" t="inlineStr">
        <is>
          <t>SwimCloud API v6 2026-10-08</t>
        </is>
      </c>
      <c r="AD749" s="33" t="inlineStr">
        <is>
          <t>Duncan Scott|2023-06-23|LCM|100|Fly|53.34|Internazionali di Nuoto - 59 Sette Colli|PRE|False</t>
        </is>
      </c>
      <c r="AE749" s="53">
        <f>G749+L749/1000+ROW()/1000000000</f>
        <v/>
      </c>
      <c r="AF749" s="35">
        <f>IF(C749&lt;&gt;"Grayson Coulter","",COUNTIFS($C$5:$C$2991,"Grayson Coulter",$Q$5:$Q$2991,Q749,$AE$5:$AE$2991,"&lt;="&amp;AE749,$R$5:$R$2991,"&lt;"&amp;R749))</f>
        <v/>
      </c>
      <c r="AG749" s="35">
        <f>IF(OR(C749&lt;&gt;"Grayson Coulter",G749&lt;'00_Control'!$B$7),"",--(AF749&lt;5))</f>
        <v/>
      </c>
      <c r="AH749" s="35">
        <f>IF(OR(C749&lt;&gt;"Grayson Coulter",G749&lt;'00_Control'!$B$7),"",--(AF749&lt;10))</f>
        <v/>
      </c>
      <c r="AI749" s="35">
        <f>IF(AND(C749="Grayson Coulter",G749&gt;='00_Control'!$B$7),"YES","NO")</f>
        <v/>
      </c>
      <c r="AJ749" s="33" t="inlineStr">
        <is>
          <t>OK</t>
        </is>
      </c>
    </row>
    <row r="750">
      <c r="A750" s="33" t="inlineStr">
        <is>
          <t>SM000746</t>
        </is>
      </c>
      <c r="B750" s="33" t="inlineStr">
        <is>
          <t>SW016</t>
        </is>
      </c>
      <c r="C750" s="33" t="inlineStr">
        <is>
          <t>Duncan Scott</t>
        </is>
      </c>
      <c r="D750" s="33" t="inlineStr">
        <is>
          <t>SwimCloud</t>
        </is>
      </c>
      <c r="E750" s="33" t="inlineStr">
        <is>
          <t>375606</t>
        </is>
      </c>
      <c r="F750" s="33" t="inlineStr">
        <is>
          <t>111677381</t>
        </is>
      </c>
      <c r="G750" s="51" t="n">
        <v>45101</v>
      </c>
      <c r="H750" s="33" t="inlineStr">
        <is>
          <t>Internazionali di Nuoto - 59 Sette Colli</t>
        </is>
      </c>
      <c r="I750" s="33" t="inlineStr">
        <is>
          <t>237979</t>
        </is>
      </c>
      <c r="J750" s="33" t="inlineStr"/>
      <c r="K750" s="33" t="inlineStr">
        <is>
          <t>PRE</t>
        </is>
      </c>
      <c r="L750" s="35">
        <f>IF(K750="FIN",3,IF(OR(K750="SEM",K750="SEMI"),2,IF(OR(K750="PRE",K750="HEAT"),1,IF(V750="YES",4,2))))</f>
        <v/>
      </c>
      <c r="M750" s="33" t="inlineStr">
        <is>
          <t>LCM</t>
        </is>
      </c>
      <c r="N750" s="33" t="n">
        <v>100</v>
      </c>
      <c r="O750" s="33" t="inlineStr">
        <is>
          <t>Free</t>
        </is>
      </c>
      <c r="P750" s="33" t="inlineStr">
        <is>
          <t>100 Free</t>
        </is>
      </c>
      <c r="Q750" s="33" t="inlineStr">
        <is>
          <t>LCM_100_FREE</t>
        </is>
      </c>
      <c r="R750" s="36" t="n">
        <v>49.15</v>
      </c>
      <c r="S750" s="35">
        <f>IF(R750="","",IF(R750&gt;=60,INT(R750/60)&amp;":"&amp;TEXT(MOD(R750,60),"00.00"),TEXT(R750,"0.00")))</f>
        <v/>
      </c>
      <c r="T750" s="52">
        <f>IFERROR((G750-INDEX('01_Swimmers'!$E$5:$E$22,MATCH(B750,'01_Swimmers'!$A$5:$A$22,0)))/'00_Control'!$B$10,"")</f>
        <v/>
      </c>
      <c r="U750" s="35">
        <f>IF(T750="","",INT(T750))</f>
        <v/>
      </c>
      <c r="V750" s="33" t="inlineStr">
        <is>
          <t>NO</t>
        </is>
      </c>
      <c r="W750" s="33" t="inlineStr">
        <is>
          <t>YES</t>
        </is>
      </c>
      <c r="X750" s="33" t="inlineStr">
        <is>
          <t>NO</t>
        </is>
      </c>
      <c r="Y750" s="33" t="n">
        <v>48</v>
      </c>
      <c r="Z750" s="33" t="n">
        <v>3</v>
      </c>
      <c r="AA750" s="33" t="inlineStr">
        <is>
          <t>9</t>
        </is>
      </c>
      <c r="AB750" s="33" t="inlineStr">
        <is>
          <t>https://www.swimcloud.com/results/237979/event/18/?id=111677381#time111677381</t>
        </is>
      </c>
      <c r="AC750" s="33" t="inlineStr">
        <is>
          <t>SwimCloud API v6 2026-10-08</t>
        </is>
      </c>
      <c r="AD750" s="33" t="inlineStr">
        <is>
          <t>Duncan Scott|2023-06-24|LCM|100|Free|49.15|Internazionali di Nuoto - 59 Sette Colli|PRE|False</t>
        </is>
      </c>
      <c r="AE750" s="53">
        <f>G750+L750/1000+ROW()/1000000000</f>
        <v/>
      </c>
      <c r="AF750" s="35">
        <f>IF(C750&lt;&gt;"Grayson Coulter","",COUNTIFS($C$5:$C$2991,"Grayson Coulter",$Q$5:$Q$2991,Q750,$AE$5:$AE$2991,"&lt;="&amp;AE750,$R$5:$R$2991,"&lt;"&amp;R750))</f>
        <v/>
      </c>
      <c r="AG750" s="35">
        <f>IF(OR(C750&lt;&gt;"Grayson Coulter",G750&lt;'00_Control'!$B$7),"",--(AF750&lt;5))</f>
        <v/>
      </c>
      <c r="AH750" s="35">
        <f>IF(OR(C750&lt;&gt;"Grayson Coulter",G750&lt;'00_Control'!$B$7),"",--(AF750&lt;10))</f>
        <v/>
      </c>
      <c r="AI750" s="35">
        <f>IF(AND(C750="Grayson Coulter",G750&gt;='00_Control'!$B$7),"YES","NO")</f>
        <v/>
      </c>
      <c r="AJ750" s="33" t="inlineStr">
        <is>
          <t>OK</t>
        </is>
      </c>
    </row>
    <row r="751">
      <c r="A751" s="33" t="inlineStr">
        <is>
          <t>SM000747</t>
        </is>
      </c>
      <c r="B751" s="33" t="inlineStr">
        <is>
          <t>SW016</t>
        </is>
      </c>
      <c r="C751" s="33" t="inlineStr">
        <is>
          <t>Duncan Scott</t>
        </is>
      </c>
      <c r="D751" s="33" t="inlineStr">
        <is>
          <t>SwimCloud</t>
        </is>
      </c>
      <c r="E751" s="33" t="inlineStr">
        <is>
          <t>375606</t>
        </is>
      </c>
      <c r="F751" s="33" t="inlineStr">
        <is>
          <t>111677382</t>
        </is>
      </c>
      <c r="G751" s="51" t="n">
        <v>45101</v>
      </c>
      <c r="H751" s="33" t="inlineStr">
        <is>
          <t>Internazionali di Nuoto - 59 Sette Colli</t>
        </is>
      </c>
      <c r="I751" s="33" t="inlineStr">
        <is>
          <t>237979</t>
        </is>
      </c>
      <c r="J751" s="33" t="inlineStr"/>
      <c r="K751" s="33" t="inlineStr">
        <is>
          <t>FIN</t>
        </is>
      </c>
      <c r="L751" s="35">
        <f>IF(K751="FIN",3,IF(OR(K751="SEM",K751="SEMI"),2,IF(OR(K751="PRE",K751="HEAT"),1,IF(V751="YES",4,2))))</f>
        <v/>
      </c>
      <c r="M751" s="33" t="inlineStr">
        <is>
          <t>LCM</t>
        </is>
      </c>
      <c r="N751" s="33" t="n">
        <v>100</v>
      </c>
      <c r="O751" s="33" t="inlineStr">
        <is>
          <t>Free</t>
        </is>
      </c>
      <c r="P751" s="33" t="inlineStr">
        <is>
          <t>100 Free</t>
        </is>
      </c>
      <c r="Q751" s="33" t="inlineStr">
        <is>
          <t>LCM_100_FREE</t>
        </is>
      </c>
      <c r="R751" s="36" t="n">
        <v>49.03</v>
      </c>
      <c r="S751" s="35">
        <f>IF(R751="","",IF(R751&gt;=60,INT(R751/60)&amp;":"&amp;TEXT(MOD(R751,60),"00.00"),TEXT(R751,"0.00")))</f>
        <v/>
      </c>
      <c r="T751" s="52">
        <f>IFERROR((G751-INDEX('01_Swimmers'!$E$5:$E$22,MATCH(B751,'01_Swimmers'!$A$5:$A$22,0)))/'00_Control'!$B$10,"")</f>
        <v/>
      </c>
      <c r="U751" s="35">
        <f>IF(T751="","",INT(T751))</f>
        <v/>
      </c>
      <c r="V751" s="33" t="inlineStr">
        <is>
          <t>NO</t>
        </is>
      </c>
      <c r="W751" s="33" t="inlineStr">
        <is>
          <t>YES</t>
        </is>
      </c>
      <c r="X751" s="33" t="inlineStr">
        <is>
          <t>NO</t>
        </is>
      </c>
      <c r="Y751" s="33" t="n">
        <v>18</v>
      </c>
      <c r="Z751" s="33" t="n"/>
      <c r="AA751" s="33" t="inlineStr">
        <is>
          <t>8</t>
        </is>
      </c>
      <c r="AB751" s="33" t="inlineStr">
        <is>
          <t>https://www.swimcloud.com/results/237979/event/18/?id=111677382#time111677382</t>
        </is>
      </c>
      <c r="AC751" s="33" t="inlineStr">
        <is>
          <t>SwimCloud API v6 2026-10-08</t>
        </is>
      </c>
      <c r="AD751" s="33" t="inlineStr">
        <is>
          <t>Duncan Scott|2023-06-24|LCM|100|Free|49.03|Internazionali di Nuoto - 59 Sette Colli|FIN|False</t>
        </is>
      </c>
      <c r="AE751" s="53">
        <f>G751+L751/1000+ROW()/1000000000</f>
        <v/>
      </c>
      <c r="AF751" s="35">
        <f>IF(C751&lt;&gt;"Grayson Coulter","",COUNTIFS($C$5:$C$2991,"Grayson Coulter",$Q$5:$Q$2991,Q751,$AE$5:$AE$2991,"&lt;="&amp;AE751,$R$5:$R$2991,"&lt;"&amp;R751))</f>
        <v/>
      </c>
      <c r="AG751" s="35">
        <f>IF(OR(C751&lt;&gt;"Grayson Coulter",G751&lt;'00_Control'!$B$7),"",--(AF751&lt;5))</f>
        <v/>
      </c>
      <c r="AH751" s="35">
        <f>IF(OR(C751&lt;&gt;"Grayson Coulter",G751&lt;'00_Control'!$B$7),"",--(AF751&lt;10))</f>
        <v/>
      </c>
      <c r="AI751" s="35">
        <f>IF(AND(C751="Grayson Coulter",G751&gt;='00_Control'!$B$7),"YES","NO")</f>
        <v/>
      </c>
      <c r="AJ751" s="33" t="inlineStr">
        <is>
          <t>OK</t>
        </is>
      </c>
    </row>
    <row r="752">
      <c r="A752" s="33" t="inlineStr">
        <is>
          <t>SM000748</t>
        </is>
      </c>
      <c r="B752" s="33" t="inlineStr">
        <is>
          <t>SW016</t>
        </is>
      </c>
      <c r="C752" s="33" t="inlineStr">
        <is>
          <t>Duncan Scott</t>
        </is>
      </c>
      <c r="D752" s="33" t="inlineStr">
        <is>
          <t>SwimCloud</t>
        </is>
      </c>
      <c r="E752" s="33" t="inlineStr">
        <is>
          <t>375606</t>
        </is>
      </c>
      <c r="F752" s="33" t="inlineStr">
        <is>
          <t>116862962</t>
        </is>
      </c>
      <c r="G752" s="51" t="n">
        <v>45108</v>
      </c>
      <c r="H752" s="33" t="inlineStr">
        <is>
          <t>Scottish National Open Championships</t>
        </is>
      </c>
      <c r="I752" s="33" t="inlineStr">
        <is>
          <t>293256</t>
        </is>
      </c>
      <c r="J752" s="33" t="inlineStr"/>
      <c r="K752" s="33" t="inlineStr">
        <is>
          <t>TIM</t>
        </is>
      </c>
      <c r="L752" s="35">
        <f>IF(K752="FIN",3,IF(OR(K752="SEM",K752="SEMI"),2,IF(OR(K752="PRE",K752="HEAT"),1,IF(V752="YES",4,2))))</f>
        <v/>
      </c>
      <c r="M752" s="33" t="inlineStr">
        <is>
          <t>LCM</t>
        </is>
      </c>
      <c r="N752" s="33" t="n">
        <v>100</v>
      </c>
      <c r="O752" s="33" t="inlineStr">
        <is>
          <t>Free</t>
        </is>
      </c>
      <c r="P752" s="33" t="inlineStr">
        <is>
          <t>100 Free</t>
        </is>
      </c>
      <c r="Q752" s="33" t="inlineStr">
        <is>
          <t>LCM_100_FREE</t>
        </is>
      </c>
      <c r="R752" s="36" t="n">
        <v>49.11</v>
      </c>
      <c r="S752" s="35">
        <f>IF(R752="","",IF(R752&gt;=60,INT(R752/60)&amp;":"&amp;TEXT(MOD(R752,60),"00.00"),TEXT(R752,"0.00")))</f>
        <v/>
      </c>
      <c r="T752" s="52">
        <f>IFERROR((G752-INDEX('01_Swimmers'!$E$5:$E$22,MATCH(B752,'01_Swimmers'!$A$5:$A$22,0)))/'00_Control'!$B$10,"")</f>
        <v/>
      </c>
      <c r="U752" s="35">
        <f>IF(T752="","",INT(T752))</f>
        <v/>
      </c>
      <c r="V752" s="33" t="inlineStr">
        <is>
          <t>YES</t>
        </is>
      </c>
      <c r="W752" s="33" t="inlineStr">
        <is>
          <t>YES</t>
        </is>
      </c>
      <c r="X752" s="33" t="inlineStr">
        <is>
          <t>NO</t>
        </is>
      </c>
      <c r="Y752" s="33" t="n">
        <v>3</v>
      </c>
      <c r="Z752" s="33" t="n">
        <v>4</v>
      </c>
      <c r="AA752" s="33" t="inlineStr"/>
      <c r="AB752" s="33" t="inlineStr">
        <is>
          <t>https://www.swimcloud.com/results/293256/event/211/?id=116862361#time116862361</t>
        </is>
      </c>
      <c r="AC752" s="33" t="inlineStr">
        <is>
          <t>SwimCloud API v6 2026-10-08</t>
        </is>
      </c>
      <c r="AD752" s="33" t="inlineStr">
        <is>
          <t>Duncan Scott|2023-07-01|LCM|100|Free|49.11|Scottish National Open Championships|TIM|True</t>
        </is>
      </c>
      <c r="AE752" s="53">
        <f>G752+L752/1000+ROW()/1000000000</f>
        <v/>
      </c>
      <c r="AF752" s="35">
        <f>IF(C752&lt;&gt;"Grayson Coulter","",COUNTIFS($C$5:$C$2991,"Grayson Coulter",$Q$5:$Q$2991,Q752,$AE$5:$AE$2991,"&lt;="&amp;AE752,$R$5:$R$2991,"&lt;"&amp;R752))</f>
        <v/>
      </c>
      <c r="AG752" s="35">
        <f>IF(OR(C752&lt;&gt;"Grayson Coulter",G752&lt;'00_Control'!$B$7),"",--(AF752&lt;5))</f>
        <v/>
      </c>
      <c r="AH752" s="35">
        <f>IF(OR(C752&lt;&gt;"Grayson Coulter",G752&lt;'00_Control'!$B$7),"",--(AF752&lt;10))</f>
        <v/>
      </c>
      <c r="AI752" s="35">
        <f>IF(AND(C752="Grayson Coulter",G752&gt;='00_Control'!$B$7),"YES","NO")</f>
        <v/>
      </c>
      <c r="AJ752" s="33" t="inlineStr">
        <is>
          <t>OK</t>
        </is>
      </c>
    </row>
    <row r="753">
      <c r="A753" s="33" t="inlineStr">
        <is>
          <t>SM000749</t>
        </is>
      </c>
      <c r="B753" s="33" t="inlineStr">
        <is>
          <t>SW016</t>
        </is>
      </c>
      <c r="C753" s="33" t="inlineStr">
        <is>
          <t>Duncan Scott</t>
        </is>
      </c>
      <c r="D753" s="33" t="inlineStr">
        <is>
          <t>SwimCloud</t>
        </is>
      </c>
      <c r="E753" s="33" t="inlineStr">
        <is>
          <t>375606</t>
        </is>
      </c>
      <c r="F753" s="33" t="inlineStr">
        <is>
          <t>116858446</t>
        </is>
      </c>
      <c r="G753" s="51" t="n">
        <v>45108</v>
      </c>
      <c r="H753" s="33" t="inlineStr">
        <is>
          <t>Scottish National Open Championships</t>
        </is>
      </c>
      <c r="I753" s="33" t="inlineStr">
        <is>
          <t>293256</t>
        </is>
      </c>
      <c r="J753" s="33" t="inlineStr"/>
      <c r="K753" s="33" t="inlineStr">
        <is>
          <t>PRE</t>
        </is>
      </c>
      <c r="L753" s="35">
        <f>IF(K753="FIN",3,IF(OR(K753="SEM",K753="SEMI"),2,IF(OR(K753="PRE",K753="HEAT"),1,IF(V753="YES",4,2))))</f>
        <v/>
      </c>
      <c r="M753" s="33" t="inlineStr">
        <is>
          <t>LCM</t>
        </is>
      </c>
      <c r="N753" s="33" t="n">
        <v>200</v>
      </c>
      <c r="O753" s="33" t="inlineStr">
        <is>
          <t>Free</t>
        </is>
      </c>
      <c r="P753" s="33" t="inlineStr">
        <is>
          <t>200 Free</t>
        </is>
      </c>
      <c r="Q753" s="33" t="inlineStr">
        <is>
          <t>LCM_200_FREE</t>
        </is>
      </c>
      <c r="R753" s="36" t="n">
        <v>111.07</v>
      </c>
      <c r="S753" s="35">
        <f>IF(R753="","",IF(R753&gt;=60,INT(R753/60)&amp;":"&amp;TEXT(MOD(R753,60),"00.00"),TEXT(R753,"0.00")))</f>
        <v/>
      </c>
      <c r="T753" s="52">
        <f>IFERROR((G753-INDEX('01_Swimmers'!$E$5:$E$22,MATCH(B753,'01_Swimmers'!$A$5:$A$22,0)))/'00_Control'!$B$10,"")</f>
        <v/>
      </c>
      <c r="U753" s="35">
        <f>IF(T753="","",INT(T753))</f>
        <v/>
      </c>
      <c r="V753" s="33" t="inlineStr">
        <is>
          <t>NO</t>
        </is>
      </c>
      <c r="W753" s="33" t="inlineStr">
        <is>
          <t>YES</t>
        </is>
      </c>
      <c r="X753" s="33" t="inlineStr">
        <is>
          <t>NO</t>
        </is>
      </c>
      <c r="Y753" s="33" t="n">
        <v>6</v>
      </c>
      <c r="Z753" s="33" t="n">
        <v>4</v>
      </c>
      <c r="AA753" s="33" t="inlineStr">
        <is>
          <t>1</t>
        </is>
      </c>
      <c r="AB753" s="33" t="inlineStr">
        <is>
          <t>https://www.swimcloud.com/results/293256/event/207/?id=116858446#time116858446</t>
        </is>
      </c>
      <c r="AC753" s="33" t="inlineStr">
        <is>
          <t>SwimCloud API v6 2026-10-08</t>
        </is>
      </c>
      <c r="AD753" s="33" t="inlineStr">
        <is>
          <t>Duncan Scott|2023-07-01|LCM|200|Free|111.07|Scottish National Open Championships|PRE|False</t>
        </is>
      </c>
      <c r="AE753" s="53">
        <f>G753+L753/1000+ROW()/1000000000</f>
        <v/>
      </c>
      <c r="AF753" s="35">
        <f>IF(C753&lt;&gt;"Grayson Coulter","",COUNTIFS($C$5:$C$2991,"Grayson Coulter",$Q$5:$Q$2991,Q753,$AE$5:$AE$2991,"&lt;="&amp;AE753,$R$5:$R$2991,"&lt;"&amp;R753))</f>
        <v/>
      </c>
      <c r="AG753" s="35">
        <f>IF(OR(C753&lt;&gt;"Grayson Coulter",G753&lt;'00_Control'!$B$7),"",--(AF753&lt;5))</f>
        <v/>
      </c>
      <c r="AH753" s="35">
        <f>IF(OR(C753&lt;&gt;"Grayson Coulter",G753&lt;'00_Control'!$B$7),"",--(AF753&lt;10))</f>
        <v/>
      </c>
      <c r="AI753" s="35">
        <f>IF(AND(C753="Grayson Coulter",G753&gt;='00_Control'!$B$7),"YES","NO")</f>
        <v/>
      </c>
      <c r="AJ753" s="33" t="inlineStr">
        <is>
          <t>OK</t>
        </is>
      </c>
    </row>
    <row r="754">
      <c r="A754" s="33" t="inlineStr">
        <is>
          <t>SM000750</t>
        </is>
      </c>
      <c r="B754" s="33" t="inlineStr">
        <is>
          <t>SW016</t>
        </is>
      </c>
      <c r="C754" s="33" t="inlineStr">
        <is>
          <t>Duncan Scott</t>
        </is>
      </c>
      <c r="D754" s="33" t="inlineStr">
        <is>
          <t>SwimCloud</t>
        </is>
      </c>
      <c r="E754" s="33" t="inlineStr">
        <is>
          <t>375606</t>
        </is>
      </c>
      <c r="F754" s="33" t="inlineStr">
        <is>
          <t>116858447</t>
        </is>
      </c>
      <c r="G754" s="51" t="n">
        <v>45108</v>
      </c>
      <c r="H754" s="33" t="inlineStr">
        <is>
          <t>Scottish National Open Championships</t>
        </is>
      </c>
      <c r="I754" s="33" t="inlineStr">
        <is>
          <t>293256</t>
        </is>
      </c>
      <c r="J754" s="33" t="inlineStr"/>
      <c r="K754" s="33" t="inlineStr">
        <is>
          <t>FIN</t>
        </is>
      </c>
      <c r="L754" s="35">
        <f>IF(K754="FIN",3,IF(OR(K754="SEM",K754="SEMI"),2,IF(OR(K754="PRE",K754="HEAT"),1,IF(V754="YES",4,2))))</f>
        <v/>
      </c>
      <c r="M754" s="33" t="inlineStr">
        <is>
          <t>LCM</t>
        </is>
      </c>
      <c r="N754" s="33" t="n">
        <v>200</v>
      </c>
      <c r="O754" s="33" t="inlineStr">
        <is>
          <t>Free</t>
        </is>
      </c>
      <c r="P754" s="33" t="inlineStr">
        <is>
          <t>200 Free</t>
        </is>
      </c>
      <c r="Q754" s="33" t="inlineStr">
        <is>
          <t>LCM_200_FREE</t>
        </is>
      </c>
      <c r="R754" s="36" t="n">
        <v>107.24</v>
      </c>
      <c r="S754" s="35">
        <f>IF(R754="","",IF(R754&gt;=60,INT(R754/60)&amp;":"&amp;TEXT(MOD(R754,60),"00.00"),TEXT(R754,"0.00")))</f>
        <v/>
      </c>
      <c r="T754" s="52">
        <f>IFERROR((G754-INDEX('01_Swimmers'!$E$5:$E$22,MATCH(B754,'01_Swimmers'!$A$5:$A$22,0)))/'00_Control'!$B$10,"")</f>
        <v/>
      </c>
      <c r="U754" s="35">
        <f>IF(T754="","",INT(T754))</f>
        <v/>
      </c>
      <c r="V754" s="33" t="inlineStr">
        <is>
          <t>NO</t>
        </is>
      </c>
      <c r="W754" s="33" t="inlineStr">
        <is>
          <t>YES</t>
        </is>
      </c>
      <c r="X754" s="33" t="inlineStr">
        <is>
          <t>NO</t>
        </is>
      </c>
      <c r="Y754" s="33" t="n">
        <v>3</v>
      </c>
      <c r="Z754" s="33" t="n">
        <v>4</v>
      </c>
      <c r="AA754" s="33" t="inlineStr">
        <is>
          <t>1</t>
        </is>
      </c>
      <c r="AB754" s="33" t="inlineStr">
        <is>
          <t>https://www.swimcloud.com/results/293256/event/207/?id=116858447#time116858447</t>
        </is>
      </c>
      <c r="AC754" s="33" t="inlineStr">
        <is>
          <t>SwimCloud API v6 2026-10-08</t>
        </is>
      </c>
      <c r="AD754" s="33" t="inlineStr">
        <is>
          <t>Duncan Scott|2023-07-01|LCM|200|Free|107.24|Scottish National Open Championships|FIN|False</t>
        </is>
      </c>
      <c r="AE754" s="53">
        <f>G754+L754/1000+ROW()/1000000000</f>
        <v/>
      </c>
      <c r="AF754" s="35">
        <f>IF(C754&lt;&gt;"Grayson Coulter","",COUNTIFS($C$5:$C$2991,"Grayson Coulter",$Q$5:$Q$2991,Q754,$AE$5:$AE$2991,"&lt;="&amp;AE754,$R$5:$R$2991,"&lt;"&amp;R754))</f>
        <v/>
      </c>
      <c r="AG754" s="35">
        <f>IF(OR(C754&lt;&gt;"Grayson Coulter",G754&lt;'00_Control'!$B$7),"",--(AF754&lt;5))</f>
        <v/>
      </c>
      <c r="AH754" s="35">
        <f>IF(OR(C754&lt;&gt;"Grayson Coulter",G754&lt;'00_Control'!$B$7),"",--(AF754&lt;10))</f>
        <v/>
      </c>
      <c r="AI754" s="35">
        <f>IF(AND(C754="Grayson Coulter",G754&gt;='00_Control'!$B$7),"YES","NO")</f>
        <v/>
      </c>
      <c r="AJ754" s="33" t="inlineStr">
        <is>
          <t>OK</t>
        </is>
      </c>
    </row>
    <row r="755">
      <c r="A755" s="33" t="inlineStr">
        <is>
          <t>SM000751</t>
        </is>
      </c>
      <c r="B755" s="33" t="inlineStr">
        <is>
          <t>SW016</t>
        </is>
      </c>
      <c r="C755" s="33" t="inlineStr">
        <is>
          <t>Duncan Scott</t>
        </is>
      </c>
      <c r="D755" s="33" t="inlineStr">
        <is>
          <t>SwimCloud</t>
        </is>
      </c>
      <c r="E755" s="33" t="inlineStr">
        <is>
          <t>375606</t>
        </is>
      </c>
      <c r="F755" s="33" t="inlineStr">
        <is>
          <t>104773666</t>
        </is>
      </c>
      <c r="G755" s="51" t="n">
        <v>45135</v>
      </c>
      <c r="H755" s="33" t="inlineStr">
        <is>
          <t>20th World Aquatics Championships</t>
        </is>
      </c>
      <c r="I755" s="33" t="inlineStr">
        <is>
          <t>273652</t>
        </is>
      </c>
      <c r="J755" s="33" t="inlineStr"/>
      <c r="K755" s="33" t="inlineStr">
        <is>
          <t>FIN</t>
        </is>
      </c>
      <c r="L755" s="35">
        <f>IF(K755="FIN",3,IF(OR(K755="SEM",K755="SEMI"),2,IF(OR(K755="PRE",K755="HEAT"),1,IF(V755="YES",4,2))))</f>
        <v/>
      </c>
      <c r="M755" s="33" t="inlineStr">
        <is>
          <t>LCM</t>
        </is>
      </c>
      <c r="N755" s="33" t="n">
        <v>200</v>
      </c>
      <c r="O755" s="33" t="inlineStr">
        <is>
          <t>Free</t>
        </is>
      </c>
      <c r="P755" s="33" t="inlineStr">
        <is>
          <t>200 Free</t>
        </is>
      </c>
      <c r="Q755" s="33" t="inlineStr">
        <is>
          <t>LCM_200_FREE</t>
        </is>
      </c>
      <c r="R755" s="36" t="n">
        <v>105.42</v>
      </c>
      <c r="S755" s="35">
        <f>IF(R755="","",IF(R755&gt;=60,INT(R755/60)&amp;":"&amp;TEXT(MOD(R755,60),"00.00"),TEXT(R755,"0.00")))</f>
        <v/>
      </c>
      <c r="T755" s="52">
        <f>IFERROR((G755-INDEX('01_Swimmers'!$E$5:$E$22,MATCH(B755,'01_Swimmers'!$A$5:$A$22,0)))/'00_Control'!$B$10,"")</f>
        <v/>
      </c>
      <c r="U755" s="35">
        <f>IF(T755="","",INT(T755))</f>
        <v/>
      </c>
      <c r="V755" s="33" t="inlineStr">
        <is>
          <t>YES</t>
        </is>
      </c>
      <c r="W755" s="33" t="inlineStr">
        <is>
          <t>YES</t>
        </is>
      </c>
      <c r="X755" s="33" t="inlineStr">
        <is>
          <t>NO</t>
        </is>
      </c>
      <c r="Y755" s="33" t="n">
        <v>1</v>
      </c>
      <c r="Z755" s="33" t="n">
        <v>6</v>
      </c>
      <c r="AA755" s="33" t="inlineStr"/>
      <c r="AB755" s="33" t="inlineStr">
        <is>
          <t>https://www.swimcloud.com/results/273652/event/33/?id=104771406#time104771406</t>
        </is>
      </c>
      <c r="AC755" s="33" t="inlineStr">
        <is>
          <t>SwimCloud API v6 2026-10-08</t>
        </is>
      </c>
      <c r="AD755" s="33" t="inlineStr">
        <is>
          <t>Duncan Scott|2023-07-28|LCM|200|Free|105.42|20th World Aquatics Championships|FIN|True</t>
        </is>
      </c>
      <c r="AE755" s="53">
        <f>G755+L755/1000+ROW()/1000000000</f>
        <v/>
      </c>
      <c r="AF755" s="35">
        <f>IF(C755&lt;&gt;"Grayson Coulter","",COUNTIFS($C$5:$C$2991,"Grayson Coulter",$Q$5:$Q$2991,Q755,$AE$5:$AE$2991,"&lt;="&amp;AE755,$R$5:$R$2991,"&lt;"&amp;R755))</f>
        <v/>
      </c>
      <c r="AG755" s="35">
        <f>IF(OR(C755&lt;&gt;"Grayson Coulter",G755&lt;'00_Control'!$B$7),"",--(AF755&lt;5))</f>
        <v/>
      </c>
      <c r="AH755" s="35">
        <f>IF(OR(C755&lt;&gt;"Grayson Coulter",G755&lt;'00_Control'!$B$7),"",--(AF755&lt;10))</f>
        <v/>
      </c>
      <c r="AI755" s="35">
        <f>IF(AND(C755="Grayson Coulter",G755&gt;='00_Control'!$B$7),"YES","NO")</f>
        <v/>
      </c>
      <c r="AJ755" s="33" t="inlineStr">
        <is>
          <t>OK</t>
        </is>
      </c>
    </row>
    <row r="756">
      <c r="A756" s="33" t="inlineStr">
        <is>
          <t>SM000752</t>
        </is>
      </c>
      <c r="B756" s="33" t="inlineStr">
        <is>
          <t>SW016</t>
        </is>
      </c>
      <c r="C756" s="33" t="inlineStr">
        <is>
          <t>Duncan Scott</t>
        </is>
      </c>
      <c r="D756" s="33" t="inlineStr">
        <is>
          <t>SwimCloud</t>
        </is>
      </c>
      <c r="E756" s="33" t="inlineStr">
        <is>
          <t>375606</t>
        </is>
      </c>
      <c r="F756" s="33" t="inlineStr">
        <is>
          <t>120039357</t>
        </is>
      </c>
      <c r="G756" s="51" t="n">
        <v>45334</v>
      </c>
      <c r="H756" s="33" t="inlineStr">
        <is>
          <t>21st World Aquatics Championships</t>
        </is>
      </c>
      <c r="I756" s="33" t="inlineStr">
        <is>
          <t>297318</t>
        </is>
      </c>
      <c r="J756" s="33" t="inlineStr"/>
      <c r="K756" s="33" t="inlineStr">
        <is>
          <t>PRE</t>
        </is>
      </c>
      <c r="L756" s="35">
        <f>IF(K756="FIN",3,IF(OR(K756="SEM",K756="SEMI"),2,IF(OR(K756="PRE",K756="HEAT"),1,IF(V756="YES",4,2))))</f>
        <v/>
      </c>
      <c r="M756" s="33" t="inlineStr">
        <is>
          <t>LCM</t>
        </is>
      </c>
      <c r="N756" s="33" t="n">
        <v>200</v>
      </c>
      <c r="O756" s="33" t="inlineStr">
        <is>
          <t>Free</t>
        </is>
      </c>
      <c r="P756" s="33" t="inlineStr">
        <is>
          <t>200 Free</t>
        </is>
      </c>
      <c r="Q756" s="33" t="inlineStr">
        <is>
          <t>LCM_200_FREE</t>
        </is>
      </c>
      <c r="R756" s="36" t="n">
        <v>106.09</v>
      </c>
      <c r="S756" s="35">
        <f>IF(R756="","",IF(R756&gt;=60,INT(R756/60)&amp;":"&amp;TEXT(MOD(R756,60),"00.00"),TEXT(R756,"0.00")))</f>
        <v/>
      </c>
      <c r="T756" s="52">
        <f>IFERROR((G756-INDEX('01_Swimmers'!$E$5:$E$22,MATCH(B756,'01_Swimmers'!$A$5:$A$22,0)))/'00_Control'!$B$10,"")</f>
        <v/>
      </c>
      <c r="U756" s="35">
        <f>IF(T756="","",INT(T756))</f>
        <v/>
      </c>
      <c r="V756" s="33" t="inlineStr">
        <is>
          <t>NO</t>
        </is>
      </c>
      <c r="W756" s="33" t="inlineStr">
        <is>
          <t>YES</t>
        </is>
      </c>
      <c r="X756" s="33" t="inlineStr">
        <is>
          <t>NO</t>
        </is>
      </c>
      <c r="Y756" s="33" t="n">
        <v>6</v>
      </c>
      <c r="Z756" s="33" t="n">
        <v>5</v>
      </c>
      <c r="AA756" s="33" t="inlineStr">
        <is>
          <t>4</t>
        </is>
      </c>
      <c r="AB756" s="33" t="inlineStr">
        <is>
          <t>https://www.swimcloud.com/results/297318/event/12/?id=120039357#time120039357</t>
        </is>
      </c>
      <c r="AC756" s="33" t="inlineStr">
        <is>
          <t>SwimCloud API v6 2026-10-08</t>
        </is>
      </c>
      <c r="AD756" s="33" t="inlineStr">
        <is>
          <t>Duncan Scott|2024-02-12|LCM|200|Free|106.09|21st World Aquatics Championships|PRE|False</t>
        </is>
      </c>
      <c r="AE756" s="53">
        <f>G756+L756/1000+ROW()/1000000000</f>
        <v/>
      </c>
      <c r="AF756" s="35">
        <f>IF(C756&lt;&gt;"Grayson Coulter","",COUNTIFS($C$5:$C$2991,"Grayson Coulter",$Q$5:$Q$2991,Q756,$AE$5:$AE$2991,"&lt;="&amp;AE756,$R$5:$R$2991,"&lt;"&amp;R756))</f>
        <v/>
      </c>
      <c r="AG756" s="35">
        <f>IF(OR(C756&lt;&gt;"Grayson Coulter",G756&lt;'00_Control'!$B$7),"",--(AF756&lt;5))</f>
        <v/>
      </c>
      <c r="AH756" s="35">
        <f>IF(OR(C756&lt;&gt;"Grayson Coulter",G756&lt;'00_Control'!$B$7),"",--(AF756&lt;10))</f>
        <v/>
      </c>
      <c r="AI756" s="35">
        <f>IF(AND(C756="Grayson Coulter",G756&gt;='00_Control'!$B$7),"YES","NO")</f>
        <v/>
      </c>
      <c r="AJ756" s="33" t="inlineStr">
        <is>
          <t>OK</t>
        </is>
      </c>
    </row>
    <row r="757">
      <c r="A757" s="33" t="inlineStr">
        <is>
          <t>SM000753</t>
        </is>
      </c>
      <c r="B757" s="33" t="inlineStr">
        <is>
          <t>SW016</t>
        </is>
      </c>
      <c r="C757" s="33" t="inlineStr">
        <is>
          <t>Duncan Scott</t>
        </is>
      </c>
      <c r="D757" s="33" t="inlineStr">
        <is>
          <t>SwimCloud</t>
        </is>
      </c>
      <c r="E757" s="33" t="inlineStr">
        <is>
          <t>375606</t>
        </is>
      </c>
      <c r="F757" s="33" t="inlineStr">
        <is>
          <t>120039358</t>
        </is>
      </c>
      <c r="G757" s="51" t="n">
        <v>45334</v>
      </c>
      <c r="H757" s="33" t="inlineStr">
        <is>
          <t>21st World Aquatics Championships</t>
        </is>
      </c>
      <c r="I757" s="33" t="inlineStr">
        <is>
          <t>297318</t>
        </is>
      </c>
      <c r="J757" s="33" t="inlineStr"/>
      <c r="K757" s="33" t="inlineStr">
        <is>
          <t>SEM</t>
        </is>
      </c>
      <c r="L757" s="35">
        <f>IF(K757="FIN",3,IF(OR(K757="SEM",K757="SEMI"),2,IF(OR(K757="PRE",K757="HEAT"),1,IF(V757="YES",4,2))))</f>
        <v/>
      </c>
      <c r="M757" s="33" t="inlineStr">
        <is>
          <t>LCM</t>
        </is>
      </c>
      <c r="N757" s="33" t="n">
        <v>200</v>
      </c>
      <c r="O757" s="33" t="inlineStr">
        <is>
          <t>Free</t>
        </is>
      </c>
      <c r="P757" s="33" t="inlineStr">
        <is>
          <t>200 Free</t>
        </is>
      </c>
      <c r="Q757" s="33" t="inlineStr">
        <is>
          <t>LCM_200_FREE</t>
        </is>
      </c>
      <c r="R757" s="36" t="n">
        <v>106.24</v>
      </c>
      <c r="S757" s="35">
        <f>IF(R757="","",IF(R757&gt;=60,INT(R757/60)&amp;":"&amp;TEXT(MOD(R757,60),"00.00"),TEXT(R757,"0.00")))</f>
        <v/>
      </c>
      <c r="T757" s="52">
        <f>IFERROR((G757-INDEX('01_Swimmers'!$E$5:$E$22,MATCH(B757,'01_Swimmers'!$A$5:$A$22,0)))/'00_Control'!$B$10,"")</f>
        <v/>
      </c>
      <c r="U757" s="35">
        <f>IF(T757="","",INT(T757))</f>
        <v/>
      </c>
      <c r="V757" s="33" t="inlineStr">
        <is>
          <t>NO</t>
        </is>
      </c>
      <c r="W757" s="33" t="inlineStr">
        <is>
          <t>YES</t>
        </is>
      </c>
      <c r="X757" s="33" t="inlineStr">
        <is>
          <t>NO</t>
        </is>
      </c>
      <c r="Y757" s="33" t="n">
        <v>1</v>
      </c>
      <c r="Z757" s="33" t="n">
        <v>5</v>
      </c>
      <c r="AA757" s="33" t="inlineStr">
        <is>
          <t>8</t>
        </is>
      </c>
      <c r="AB757" s="33" t="inlineStr">
        <is>
          <t>https://www.swimcloud.com/results/297318/event/12/?id=120039358#time120039358</t>
        </is>
      </c>
      <c r="AC757" s="33" t="inlineStr">
        <is>
          <t>SwimCloud API v6 2026-10-08</t>
        </is>
      </c>
      <c r="AD757" s="33" t="inlineStr">
        <is>
          <t>Duncan Scott|2024-02-12|LCM|200|Free|106.24|21st World Aquatics Championships|SEM|False</t>
        </is>
      </c>
      <c r="AE757" s="53">
        <f>G757+L757/1000+ROW()/1000000000</f>
        <v/>
      </c>
      <c r="AF757" s="35">
        <f>IF(C757&lt;&gt;"Grayson Coulter","",COUNTIFS($C$5:$C$2991,"Grayson Coulter",$Q$5:$Q$2991,Q757,$AE$5:$AE$2991,"&lt;="&amp;AE757,$R$5:$R$2991,"&lt;"&amp;R757))</f>
        <v/>
      </c>
      <c r="AG757" s="35">
        <f>IF(OR(C757&lt;&gt;"Grayson Coulter",G757&lt;'00_Control'!$B$7),"",--(AF757&lt;5))</f>
        <v/>
      </c>
      <c r="AH757" s="35">
        <f>IF(OR(C757&lt;&gt;"Grayson Coulter",G757&lt;'00_Control'!$B$7),"",--(AF757&lt;10))</f>
        <v/>
      </c>
      <c r="AI757" s="35">
        <f>IF(AND(C757="Grayson Coulter",G757&gt;='00_Control'!$B$7),"YES","NO")</f>
        <v/>
      </c>
      <c r="AJ757" s="33" t="inlineStr">
        <is>
          <t>OK</t>
        </is>
      </c>
    </row>
    <row r="758">
      <c r="A758" s="33" t="inlineStr">
        <is>
          <t>SM000754</t>
        </is>
      </c>
      <c r="B758" s="33" t="inlineStr">
        <is>
          <t>SW016</t>
        </is>
      </c>
      <c r="C758" s="33" t="inlineStr">
        <is>
          <t>Duncan Scott</t>
        </is>
      </c>
      <c r="D758" s="33" t="inlineStr">
        <is>
          <t>SwimCloud</t>
        </is>
      </c>
      <c r="E758" s="33" t="inlineStr">
        <is>
          <t>375606</t>
        </is>
      </c>
      <c r="F758" s="33" t="inlineStr">
        <is>
          <t>120039356</t>
        </is>
      </c>
      <c r="G758" s="51" t="n">
        <v>45335</v>
      </c>
      <c r="H758" s="33" t="inlineStr">
        <is>
          <t>21st World Aquatics Championships</t>
        </is>
      </c>
      <c r="I758" s="33" t="inlineStr">
        <is>
          <t>297318</t>
        </is>
      </c>
      <c r="J758" s="33" t="inlineStr"/>
      <c r="K758" s="33" t="inlineStr">
        <is>
          <t>FIN</t>
        </is>
      </c>
      <c r="L758" s="35">
        <f>IF(K758="FIN",3,IF(OR(K758="SEM",K758="SEMI"),2,IF(OR(K758="PRE",K758="HEAT"),1,IF(V758="YES",4,2))))</f>
        <v/>
      </c>
      <c r="M758" s="33" t="inlineStr">
        <is>
          <t>LCM</t>
        </is>
      </c>
      <c r="N758" s="33" t="n">
        <v>200</v>
      </c>
      <c r="O758" s="33" t="inlineStr">
        <is>
          <t>Free</t>
        </is>
      </c>
      <c r="P758" s="33" t="inlineStr">
        <is>
          <t>200 Free</t>
        </is>
      </c>
      <c r="Q758" s="33" t="inlineStr">
        <is>
          <t>LCM_200_FREE</t>
        </is>
      </c>
      <c r="R758" s="36" t="n">
        <v>105.86</v>
      </c>
      <c r="S758" s="35">
        <f>IF(R758="","",IF(R758&gt;=60,INT(R758/60)&amp;":"&amp;TEXT(MOD(R758,60),"00.00"),TEXT(R758,"0.00")))</f>
        <v/>
      </c>
      <c r="T758" s="52">
        <f>IFERROR((G758-INDEX('01_Swimmers'!$E$5:$E$22,MATCH(B758,'01_Swimmers'!$A$5:$A$22,0)))/'00_Control'!$B$10,"")</f>
        <v/>
      </c>
      <c r="U758" s="35">
        <f>IF(T758="","",INT(T758))</f>
        <v/>
      </c>
      <c r="V758" s="33" t="inlineStr">
        <is>
          <t>NO</t>
        </is>
      </c>
      <c r="W758" s="33" t="inlineStr">
        <is>
          <t>YES</t>
        </is>
      </c>
      <c r="X758" s="33" t="inlineStr">
        <is>
          <t>NO</t>
        </is>
      </c>
      <c r="Y758" s="33" t="n">
        <v>1</v>
      </c>
      <c r="Z758" s="33" t="n">
        <v>8</v>
      </c>
      <c r="AA758" s="33" t="inlineStr">
        <is>
          <t>6</t>
        </is>
      </c>
      <c r="AB758" s="33" t="inlineStr">
        <is>
          <t>https://www.swimcloud.com/results/297318/event/12/?id=120039356#time120039356</t>
        </is>
      </c>
      <c r="AC758" s="33" t="inlineStr">
        <is>
          <t>SwimCloud API v6 2026-10-08</t>
        </is>
      </c>
      <c r="AD758" s="33" t="inlineStr">
        <is>
          <t>Duncan Scott|2024-02-13|LCM|200|Free|105.86|21st World Aquatics Championships|FIN|False</t>
        </is>
      </c>
      <c r="AE758" s="53">
        <f>G758+L758/1000+ROW()/1000000000</f>
        <v/>
      </c>
      <c r="AF758" s="35">
        <f>IF(C758&lt;&gt;"Grayson Coulter","",COUNTIFS($C$5:$C$2991,"Grayson Coulter",$Q$5:$Q$2991,Q758,$AE$5:$AE$2991,"&lt;="&amp;AE758,$R$5:$R$2991,"&lt;"&amp;R758))</f>
        <v/>
      </c>
      <c r="AG758" s="35">
        <f>IF(OR(C758&lt;&gt;"Grayson Coulter",G758&lt;'00_Control'!$B$7),"",--(AF758&lt;5))</f>
        <v/>
      </c>
      <c r="AH758" s="35">
        <f>IF(OR(C758&lt;&gt;"Grayson Coulter",G758&lt;'00_Control'!$B$7),"",--(AF758&lt;10))</f>
        <v/>
      </c>
      <c r="AI758" s="35">
        <f>IF(AND(C758="Grayson Coulter",G758&gt;='00_Control'!$B$7),"YES","NO")</f>
        <v/>
      </c>
      <c r="AJ758" s="33" t="inlineStr">
        <is>
          <t>OK</t>
        </is>
      </c>
    </row>
    <row r="759">
      <c r="A759" s="33" t="inlineStr">
        <is>
          <t>SM000755</t>
        </is>
      </c>
      <c r="B759" s="33" t="inlineStr">
        <is>
          <t>SW016</t>
        </is>
      </c>
      <c r="C759" s="33" t="inlineStr">
        <is>
          <t>Duncan Scott</t>
        </is>
      </c>
      <c r="D759" s="33" t="inlineStr">
        <is>
          <t>SwimCloud</t>
        </is>
      </c>
      <c r="E759" s="33" t="inlineStr">
        <is>
          <t>375606</t>
        </is>
      </c>
      <c r="F759" s="33" t="inlineStr">
        <is>
          <t>151570767</t>
        </is>
      </c>
      <c r="G759" s="51" t="n">
        <v>45359</v>
      </c>
      <c r="H759" s="33" t="inlineStr">
        <is>
          <t>Edinburgh International Championship</t>
        </is>
      </c>
      <c r="I759" s="33" t="inlineStr">
        <is>
          <t>330001</t>
        </is>
      </c>
      <c r="J759" s="33" t="inlineStr"/>
      <c r="K759" s="33" t="inlineStr">
        <is>
          <t>PRE</t>
        </is>
      </c>
      <c r="L759" s="35">
        <f>IF(K759="FIN",3,IF(OR(K759="SEM",K759="SEMI"),2,IF(OR(K759="PRE",K759="HEAT"),1,IF(V759="YES",4,2))))</f>
        <v/>
      </c>
      <c r="M759" s="33" t="inlineStr">
        <is>
          <t>LCM</t>
        </is>
      </c>
      <c r="N759" s="33" t="n">
        <v>200</v>
      </c>
      <c r="O759" s="33" t="inlineStr">
        <is>
          <t>Free</t>
        </is>
      </c>
      <c r="P759" s="33" t="inlineStr">
        <is>
          <t>200 Free</t>
        </is>
      </c>
      <c r="Q759" s="33" t="inlineStr">
        <is>
          <t>LCM_200_FREE</t>
        </is>
      </c>
      <c r="R759" s="36" t="n">
        <v>110.72</v>
      </c>
      <c r="S759" s="35">
        <f>IF(R759="","",IF(R759&gt;=60,INT(R759/60)&amp;":"&amp;TEXT(MOD(R759,60),"00.00"),TEXT(R759,"0.00")))</f>
        <v/>
      </c>
      <c r="T759" s="52">
        <f>IFERROR((G759-INDEX('01_Swimmers'!$E$5:$E$22,MATCH(B759,'01_Swimmers'!$A$5:$A$22,0)))/'00_Control'!$B$10,"")</f>
        <v/>
      </c>
      <c r="U759" s="35">
        <f>IF(T759="","",INT(T759))</f>
        <v/>
      </c>
      <c r="V759" s="33" t="inlineStr">
        <is>
          <t>NO</t>
        </is>
      </c>
      <c r="W759" s="33" t="inlineStr">
        <is>
          <t>YES</t>
        </is>
      </c>
      <c r="X759" s="33" t="inlineStr">
        <is>
          <t>NO</t>
        </is>
      </c>
      <c r="Y759" s="33" t="n">
        <v>5</v>
      </c>
      <c r="Z759" s="33" t="n">
        <v>4</v>
      </c>
      <c r="AA759" s="33" t="inlineStr">
        <is>
          <t>3</t>
        </is>
      </c>
      <c r="AB759" s="33" t="inlineStr">
        <is>
          <t>https://www.swimcloud.com/results/330001/event/105/?id=151570767#time151570767</t>
        </is>
      </c>
      <c r="AC759" s="33" t="inlineStr">
        <is>
          <t>SwimCloud API v6 2026-10-08</t>
        </is>
      </c>
      <c r="AD759" s="33" t="inlineStr">
        <is>
          <t>Duncan Scott|2024-03-08|LCM|200|Free|110.72|Edinburgh International Championship|PRE|False</t>
        </is>
      </c>
      <c r="AE759" s="53">
        <f>G759+L759/1000+ROW()/1000000000</f>
        <v/>
      </c>
      <c r="AF759" s="35">
        <f>IF(C759&lt;&gt;"Grayson Coulter","",COUNTIFS($C$5:$C$2991,"Grayson Coulter",$Q$5:$Q$2991,Q759,$AE$5:$AE$2991,"&lt;="&amp;AE759,$R$5:$R$2991,"&lt;"&amp;R759))</f>
        <v/>
      </c>
      <c r="AG759" s="35">
        <f>IF(OR(C759&lt;&gt;"Grayson Coulter",G759&lt;'00_Control'!$B$7),"",--(AF759&lt;5))</f>
        <v/>
      </c>
      <c r="AH759" s="35">
        <f>IF(OR(C759&lt;&gt;"Grayson Coulter",G759&lt;'00_Control'!$B$7),"",--(AF759&lt;10))</f>
        <v/>
      </c>
      <c r="AI759" s="35">
        <f>IF(AND(C759="Grayson Coulter",G759&gt;='00_Control'!$B$7),"YES","NO")</f>
        <v/>
      </c>
      <c r="AJ759" s="33" t="inlineStr">
        <is>
          <t>OK</t>
        </is>
      </c>
    </row>
    <row r="760">
      <c r="A760" s="33" t="inlineStr">
        <is>
          <t>SM000756</t>
        </is>
      </c>
      <c r="B760" s="33" t="inlineStr">
        <is>
          <t>SW016</t>
        </is>
      </c>
      <c r="C760" s="33" t="inlineStr">
        <is>
          <t>Duncan Scott</t>
        </is>
      </c>
      <c r="D760" s="33" t="inlineStr">
        <is>
          <t>SwimCloud</t>
        </is>
      </c>
      <c r="E760" s="33" t="inlineStr">
        <is>
          <t>375606</t>
        </is>
      </c>
      <c r="F760" s="33" t="inlineStr">
        <is>
          <t>151570768</t>
        </is>
      </c>
      <c r="G760" s="51" t="n">
        <v>45359</v>
      </c>
      <c r="H760" s="33" t="inlineStr">
        <is>
          <t>Edinburgh International Championship</t>
        </is>
      </c>
      <c r="I760" s="33" t="inlineStr">
        <is>
          <t>330001</t>
        </is>
      </c>
      <c r="J760" s="33" t="inlineStr"/>
      <c r="K760" s="33" t="inlineStr">
        <is>
          <t>FIN</t>
        </is>
      </c>
      <c r="L760" s="35">
        <f>IF(K760="FIN",3,IF(OR(K760="SEM",K760="SEMI"),2,IF(OR(K760="PRE",K760="HEAT"),1,IF(V760="YES",4,2))))</f>
        <v/>
      </c>
      <c r="M760" s="33" t="inlineStr">
        <is>
          <t>LCM</t>
        </is>
      </c>
      <c r="N760" s="33" t="n">
        <v>200</v>
      </c>
      <c r="O760" s="33" t="inlineStr">
        <is>
          <t>Free</t>
        </is>
      </c>
      <c r="P760" s="33" t="inlineStr">
        <is>
          <t>200 Free</t>
        </is>
      </c>
      <c r="Q760" s="33" t="inlineStr">
        <is>
          <t>LCM_200_FREE</t>
        </is>
      </c>
      <c r="R760" s="36" t="n">
        <v>106.14</v>
      </c>
      <c r="S760" s="35">
        <f>IF(R760="","",IF(R760&gt;=60,INT(R760/60)&amp;":"&amp;TEXT(MOD(R760,60),"00.00"),TEXT(R760,"0.00")))</f>
        <v/>
      </c>
      <c r="T760" s="52">
        <f>IFERROR((G760-INDEX('01_Swimmers'!$E$5:$E$22,MATCH(B760,'01_Swimmers'!$A$5:$A$22,0)))/'00_Control'!$B$10,"")</f>
        <v/>
      </c>
      <c r="U760" s="35">
        <f>IF(T760="","",INT(T760))</f>
        <v/>
      </c>
      <c r="V760" s="33" t="inlineStr">
        <is>
          <t>NO</t>
        </is>
      </c>
      <c r="W760" s="33" t="inlineStr">
        <is>
          <t>YES</t>
        </is>
      </c>
      <c r="X760" s="33" t="inlineStr">
        <is>
          <t>NO</t>
        </is>
      </c>
      <c r="Y760" s="33" t="n">
        <v>3</v>
      </c>
      <c r="Z760" s="33" t="n">
        <v>3</v>
      </c>
      <c r="AA760" s="33" t="inlineStr">
        <is>
          <t>1</t>
        </is>
      </c>
      <c r="AB760" s="33" t="inlineStr">
        <is>
          <t>https://www.swimcloud.com/results/330001/event/105/?id=151570768#time151570768</t>
        </is>
      </c>
      <c r="AC760" s="33" t="inlineStr">
        <is>
          <t>SwimCloud API v6 2026-10-08</t>
        </is>
      </c>
      <c r="AD760" s="33" t="inlineStr">
        <is>
          <t>Duncan Scott|2024-03-08|LCM|200|Free|106.14|Edinburgh International Championship|FIN|False</t>
        </is>
      </c>
      <c r="AE760" s="53">
        <f>G760+L760/1000+ROW()/1000000000</f>
        <v/>
      </c>
      <c r="AF760" s="35">
        <f>IF(C760&lt;&gt;"Grayson Coulter","",COUNTIFS($C$5:$C$2991,"Grayson Coulter",$Q$5:$Q$2991,Q760,$AE$5:$AE$2991,"&lt;="&amp;AE760,$R$5:$R$2991,"&lt;"&amp;R760))</f>
        <v/>
      </c>
      <c r="AG760" s="35">
        <f>IF(OR(C760&lt;&gt;"Grayson Coulter",G760&lt;'00_Control'!$B$7),"",--(AF760&lt;5))</f>
        <v/>
      </c>
      <c r="AH760" s="35">
        <f>IF(OR(C760&lt;&gt;"Grayson Coulter",G760&lt;'00_Control'!$B$7),"",--(AF760&lt;10))</f>
        <v/>
      </c>
      <c r="AI760" s="35">
        <f>IF(AND(C760="Grayson Coulter",G760&gt;='00_Control'!$B$7),"YES","NO")</f>
        <v/>
      </c>
      <c r="AJ760" s="33" t="inlineStr">
        <is>
          <t>OK</t>
        </is>
      </c>
    </row>
    <row r="761">
      <c r="A761" s="33" t="inlineStr">
        <is>
          <t>SM000757</t>
        </is>
      </c>
      <c r="B761" s="33" t="inlineStr">
        <is>
          <t>SW016</t>
        </is>
      </c>
      <c r="C761" s="33" t="inlineStr">
        <is>
          <t>Duncan Scott</t>
        </is>
      </c>
      <c r="D761" s="33" t="inlineStr">
        <is>
          <t>SwimCloud</t>
        </is>
      </c>
      <c r="E761" s="33" t="inlineStr">
        <is>
          <t>375606</t>
        </is>
      </c>
      <c r="F761" s="33" t="inlineStr">
        <is>
          <t>151570132</t>
        </is>
      </c>
      <c r="G761" s="51" t="n">
        <v>45361</v>
      </c>
      <c r="H761" s="33" t="inlineStr">
        <is>
          <t>Edinburgh International Championship</t>
        </is>
      </c>
      <c r="I761" s="33" t="inlineStr">
        <is>
          <t>330001</t>
        </is>
      </c>
      <c r="J761" s="33" t="inlineStr"/>
      <c r="K761" s="33" t="inlineStr">
        <is>
          <t>PRE</t>
        </is>
      </c>
      <c r="L761" s="35">
        <f>IF(K761="FIN",3,IF(OR(K761="SEM",K761="SEMI"),2,IF(OR(K761="PRE",K761="HEAT"),1,IF(V761="YES",4,2))))</f>
        <v/>
      </c>
      <c r="M761" s="33" t="inlineStr">
        <is>
          <t>LCM</t>
        </is>
      </c>
      <c r="N761" s="33" t="n">
        <v>100</v>
      </c>
      <c r="O761" s="33" t="inlineStr">
        <is>
          <t>Fly</t>
        </is>
      </c>
      <c r="P761" s="33" t="inlineStr">
        <is>
          <t>100 Fly</t>
        </is>
      </c>
      <c r="Q761" s="33" t="inlineStr">
        <is>
          <t>LCM_100_FLY</t>
        </is>
      </c>
      <c r="R761" s="36" t="n">
        <v>54.73</v>
      </c>
      <c r="S761" s="35">
        <f>IF(R761="","",IF(R761&gt;=60,INT(R761/60)&amp;":"&amp;TEXT(MOD(R761,60),"00.00"),TEXT(R761,"0.00")))</f>
        <v/>
      </c>
      <c r="T761" s="52">
        <f>IFERROR((G761-INDEX('01_Swimmers'!$E$5:$E$22,MATCH(B761,'01_Swimmers'!$A$5:$A$22,0)))/'00_Control'!$B$10,"")</f>
        <v/>
      </c>
      <c r="U761" s="35">
        <f>IF(T761="","",INT(T761))</f>
        <v/>
      </c>
      <c r="V761" s="33" t="inlineStr">
        <is>
          <t>NO</t>
        </is>
      </c>
      <c r="W761" s="33" t="inlineStr">
        <is>
          <t>YES</t>
        </is>
      </c>
      <c r="X761" s="33" t="inlineStr">
        <is>
          <t>NO</t>
        </is>
      </c>
      <c r="Y761" s="33" t="n">
        <v>5</v>
      </c>
      <c r="Z761" s="33" t="n">
        <v>5</v>
      </c>
      <c r="AA761" s="33" t="inlineStr">
        <is>
          <t>7</t>
        </is>
      </c>
      <c r="AB761" s="33" t="inlineStr">
        <is>
          <t>https://www.swimcloud.com/results/330001/event/308/?id=151570132#time151570132</t>
        </is>
      </c>
      <c r="AC761" s="33" t="inlineStr">
        <is>
          <t>SwimCloud API v6 2026-10-08</t>
        </is>
      </c>
      <c r="AD761" s="33" t="inlineStr">
        <is>
          <t>Duncan Scott|2024-03-10|LCM|100|Fly|54.73|Edinburgh International Championship|PRE|False</t>
        </is>
      </c>
      <c r="AE761" s="53">
        <f>G761+L761/1000+ROW()/1000000000</f>
        <v/>
      </c>
      <c r="AF761" s="35">
        <f>IF(C761&lt;&gt;"Grayson Coulter","",COUNTIFS($C$5:$C$2991,"Grayson Coulter",$Q$5:$Q$2991,Q761,$AE$5:$AE$2991,"&lt;="&amp;AE761,$R$5:$R$2991,"&lt;"&amp;R761))</f>
        <v/>
      </c>
      <c r="AG761" s="35">
        <f>IF(OR(C761&lt;&gt;"Grayson Coulter",G761&lt;'00_Control'!$B$7),"",--(AF761&lt;5))</f>
        <v/>
      </c>
      <c r="AH761" s="35">
        <f>IF(OR(C761&lt;&gt;"Grayson Coulter",G761&lt;'00_Control'!$B$7),"",--(AF761&lt;10))</f>
        <v/>
      </c>
      <c r="AI761" s="35">
        <f>IF(AND(C761="Grayson Coulter",G761&gt;='00_Control'!$B$7),"YES","NO")</f>
        <v/>
      </c>
      <c r="AJ761" s="33" t="inlineStr">
        <is>
          <t>OK</t>
        </is>
      </c>
    </row>
    <row r="762">
      <c r="A762" s="33" t="inlineStr">
        <is>
          <t>SM000758</t>
        </is>
      </c>
      <c r="B762" s="33" t="inlineStr">
        <is>
          <t>SW016</t>
        </is>
      </c>
      <c r="C762" s="33" t="inlineStr">
        <is>
          <t>Duncan Scott</t>
        </is>
      </c>
      <c r="D762" s="33" t="inlineStr">
        <is>
          <t>SwimCloud</t>
        </is>
      </c>
      <c r="E762" s="33" t="inlineStr">
        <is>
          <t>375606</t>
        </is>
      </c>
      <c r="F762" s="33" t="inlineStr">
        <is>
          <t>151570133</t>
        </is>
      </c>
      <c r="G762" s="51" t="n">
        <v>45361</v>
      </c>
      <c r="H762" s="33" t="inlineStr">
        <is>
          <t>Edinburgh International Championship</t>
        </is>
      </c>
      <c r="I762" s="33" t="inlineStr">
        <is>
          <t>330001</t>
        </is>
      </c>
      <c r="J762" s="33" t="inlineStr"/>
      <c r="K762" s="33" t="inlineStr">
        <is>
          <t>FIN</t>
        </is>
      </c>
      <c r="L762" s="35">
        <f>IF(K762="FIN",3,IF(OR(K762="SEM",K762="SEMI"),2,IF(OR(K762="PRE",K762="HEAT"),1,IF(V762="YES",4,2))))</f>
        <v/>
      </c>
      <c r="M762" s="33" t="inlineStr">
        <is>
          <t>LCM</t>
        </is>
      </c>
      <c r="N762" s="33" t="n">
        <v>100</v>
      </c>
      <c r="O762" s="33" t="inlineStr">
        <is>
          <t>Fly</t>
        </is>
      </c>
      <c r="P762" s="33" t="inlineStr">
        <is>
          <t>100 Fly</t>
        </is>
      </c>
      <c r="Q762" s="33" t="inlineStr">
        <is>
          <t>LCM_100_FLY</t>
        </is>
      </c>
      <c r="R762" s="36" t="n">
        <v>53.35</v>
      </c>
      <c r="S762" s="35">
        <f>IF(R762="","",IF(R762&gt;=60,INT(R762/60)&amp;":"&amp;TEXT(MOD(R762,60),"00.00"),TEXT(R762,"0.00")))</f>
        <v/>
      </c>
      <c r="T762" s="52">
        <f>IFERROR((G762-INDEX('01_Swimmers'!$E$5:$E$22,MATCH(B762,'01_Swimmers'!$A$5:$A$22,0)))/'00_Control'!$B$10,"")</f>
        <v/>
      </c>
      <c r="U762" s="35">
        <f>IF(T762="","",INT(T762))</f>
        <v/>
      </c>
      <c r="V762" s="33" t="inlineStr">
        <is>
          <t>NO</t>
        </is>
      </c>
      <c r="W762" s="33" t="inlineStr">
        <is>
          <t>YES</t>
        </is>
      </c>
      <c r="X762" s="33" t="inlineStr">
        <is>
          <t>NO</t>
        </is>
      </c>
      <c r="Y762" s="33" t="n">
        <v>3</v>
      </c>
      <c r="Z762" s="33" t="n">
        <v>1</v>
      </c>
      <c r="AA762" s="33" t="inlineStr">
        <is>
          <t>3</t>
        </is>
      </c>
      <c r="AB762" s="33" t="inlineStr">
        <is>
          <t>https://www.swimcloud.com/results/330001/event/308/?id=151570133#time151570133</t>
        </is>
      </c>
      <c r="AC762" s="33" t="inlineStr">
        <is>
          <t>SwimCloud API v6 2026-10-08</t>
        </is>
      </c>
      <c r="AD762" s="33" t="inlineStr">
        <is>
          <t>Duncan Scott|2024-03-10|LCM|100|Fly|53.35|Edinburgh International Championship|FIN|False</t>
        </is>
      </c>
      <c r="AE762" s="53">
        <f>G762+L762/1000+ROW()/1000000000</f>
        <v/>
      </c>
      <c r="AF762" s="35">
        <f>IF(C762&lt;&gt;"Grayson Coulter","",COUNTIFS($C$5:$C$2991,"Grayson Coulter",$Q$5:$Q$2991,Q762,$AE$5:$AE$2991,"&lt;="&amp;AE762,$R$5:$R$2991,"&lt;"&amp;R762))</f>
        <v/>
      </c>
      <c r="AG762" s="35">
        <f>IF(OR(C762&lt;&gt;"Grayson Coulter",G762&lt;'00_Control'!$B$7),"",--(AF762&lt;5))</f>
        <v/>
      </c>
      <c r="AH762" s="35">
        <f>IF(OR(C762&lt;&gt;"Grayson Coulter",G762&lt;'00_Control'!$B$7),"",--(AF762&lt;10))</f>
        <v/>
      </c>
      <c r="AI762" s="35">
        <f>IF(AND(C762="Grayson Coulter",G762&gt;='00_Control'!$B$7),"YES","NO")</f>
        <v/>
      </c>
      <c r="AJ762" s="33" t="inlineStr">
        <is>
          <t>OK</t>
        </is>
      </c>
    </row>
    <row r="763">
      <c r="A763" s="33" t="inlineStr">
        <is>
          <t>SM000759</t>
        </is>
      </c>
      <c r="B763" s="33" t="inlineStr">
        <is>
          <t>SW016</t>
        </is>
      </c>
      <c r="C763" s="33" t="inlineStr">
        <is>
          <t>Duncan Scott</t>
        </is>
      </c>
      <c r="D763" s="33" t="inlineStr">
        <is>
          <t>SwimCloud</t>
        </is>
      </c>
      <c r="E763" s="33" t="inlineStr">
        <is>
          <t>375606</t>
        </is>
      </c>
      <c r="F763" s="33" t="inlineStr">
        <is>
          <t>151570568</t>
        </is>
      </c>
      <c r="G763" s="51" t="n">
        <v>45361</v>
      </c>
      <c r="H763" s="33" t="inlineStr">
        <is>
          <t>Edinburgh International Championship</t>
        </is>
      </c>
      <c r="I763" s="33" t="inlineStr">
        <is>
          <t>330001</t>
        </is>
      </c>
      <c r="J763" s="33" t="inlineStr"/>
      <c r="K763" s="33" t="inlineStr">
        <is>
          <t>PRE</t>
        </is>
      </c>
      <c r="L763" s="35">
        <f>IF(K763="FIN",3,IF(OR(K763="SEM",K763="SEMI"),2,IF(OR(K763="PRE",K763="HEAT"),1,IF(V763="YES",4,2))))</f>
        <v/>
      </c>
      <c r="M763" s="33" t="inlineStr">
        <is>
          <t>LCM</t>
        </is>
      </c>
      <c r="N763" s="33" t="n">
        <v>100</v>
      </c>
      <c r="O763" s="33" t="inlineStr">
        <is>
          <t>Free</t>
        </is>
      </c>
      <c r="P763" s="33" t="inlineStr">
        <is>
          <t>100 Free</t>
        </is>
      </c>
      <c r="Q763" s="33" t="inlineStr">
        <is>
          <t>LCM_100_FREE</t>
        </is>
      </c>
      <c r="R763" s="36" t="n">
        <v>49.49</v>
      </c>
      <c r="S763" s="35">
        <f>IF(R763="","",IF(R763&gt;=60,INT(R763/60)&amp;":"&amp;TEXT(MOD(R763,60),"00.00"),TEXT(R763,"0.00")))</f>
        <v/>
      </c>
      <c r="T763" s="52">
        <f>IFERROR((G763-INDEX('01_Swimmers'!$E$5:$E$22,MATCH(B763,'01_Swimmers'!$A$5:$A$22,0)))/'00_Control'!$B$10,"")</f>
        <v/>
      </c>
      <c r="U763" s="35">
        <f>IF(T763="","",INT(T763))</f>
        <v/>
      </c>
      <c r="V763" s="33" t="inlineStr">
        <is>
          <t>NO</t>
        </is>
      </c>
      <c r="W763" s="33" t="inlineStr">
        <is>
          <t>YES</t>
        </is>
      </c>
      <c r="X763" s="33" t="inlineStr">
        <is>
          <t>NO</t>
        </is>
      </c>
      <c r="Y763" s="33" t="n">
        <v>5</v>
      </c>
      <c r="Z763" s="33" t="n">
        <v>4</v>
      </c>
      <c r="AA763" s="33" t="inlineStr">
        <is>
          <t>1</t>
        </is>
      </c>
      <c r="AB763" s="33" t="inlineStr">
        <is>
          <t>https://www.swimcloud.com/results/330001/event/304/?id=151570568#time151570568</t>
        </is>
      </c>
      <c r="AC763" s="33" t="inlineStr">
        <is>
          <t>SwimCloud API v6 2026-10-08</t>
        </is>
      </c>
      <c r="AD763" s="33" t="inlineStr">
        <is>
          <t>Duncan Scott|2024-03-10|LCM|100|Free|49.49|Edinburgh International Championship|PRE|False</t>
        </is>
      </c>
      <c r="AE763" s="53">
        <f>G763+L763/1000+ROW()/1000000000</f>
        <v/>
      </c>
      <c r="AF763" s="35">
        <f>IF(C763&lt;&gt;"Grayson Coulter","",COUNTIFS($C$5:$C$2991,"Grayson Coulter",$Q$5:$Q$2991,Q763,$AE$5:$AE$2991,"&lt;="&amp;AE763,$R$5:$R$2991,"&lt;"&amp;R763))</f>
        <v/>
      </c>
      <c r="AG763" s="35">
        <f>IF(OR(C763&lt;&gt;"Grayson Coulter",G763&lt;'00_Control'!$B$7),"",--(AF763&lt;5))</f>
        <v/>
      </c>
      <c r="AH763" s="35">
        <f>IF(OR(C763&lt;&gt;"Grayson Coulter",G763&lt;'00_Control'!$B$7),"",--(AF763&lt;10))</f>
        <v/>
      </c>
      <c r="AI763" s="35">
        <f>IF(AND(C763="Grayson Coulter",G763&gt;='00_Control'!$B$7),"YES","NO")</f>
        <v/>
      </c>
      <c r="AJ763" s="33" t="inlineStr">
        <is>
          <t>OK</t>
        </is>
      </c>
    </row>
    <row r="764">
      <c r="A764" s="33" t="inlineStr">
        <is>
          <t>SM000760</t>
        </is>
      </c>
      <c r="B764" s="33" t="inlineStr">
        <is>
          <t>SW016</t>
        </is>
      </c>
      <c r="C764" s="33" t="inlineStr">
        <is>
          <t>Duncan Scott</t>
        </is>
      </c>
      <c r="D764" s="33" t="inlineStr">
        <is>
          <t>SwimCloud</t>
        </is>
      </c>
      <c r="E764" s="33" t="inlineStr">
        <is>
          <t>375606</t>
        </is>
      </c>
      <c r="F764" s="33" t="inlineStr">
        <is>
          <t>151570569</t>
        </is>
      </c>
      <c r="G764" s="51" t="n">
        <v>45361</v>
      </c>
      <c r="H764" s="33" t="inlineStr">
        <is>
          <t>Edinburgh International Championship</t>
        </is>
      </c>
      <c r="I764" s="33" t="inlineStr">
        <is>
          <t>330001</t>
        </is>
      </c>
      <c r="J764" s="33" t="inlineStr"/>
      <c r="K764" s="33" t="inlineStr">
        <is>
          <t>FIN</t>
        </is>
      </c>
      <c r="L764" s="35">
        <f>IF(K764="FIN",3,IF(OR(K764="SEM",K764="SEMI"),2,IF(OR(K764="PRE",K764="HEAT"),1,IF(V764="YES",4,2))))</f>
        <v/>
      </c>
      <c r="M764" s="33" t="inlineStr">
        <is>
          <t>LCM</t>
        </is>
      </c>
      <c r="N764" s="33" t="n">
        <v>100</v>
      </c>
      <c r="O764" s="33" t="inlineStr">
        <is>
          <t>Free</t>
        </is>
      </c>
      <c r="P764" s="33" t="inlineStr">
        <is>
          <t>100 Free</t>
        </is>
      </c>
      <c r="Q764" s="33" t="inlineStr">
        <is>
          <t>LCM_100_FREE</t>
        </is>
      </c>
      <c r="R764" s="36" t="n">
        <v>48.61</v>
      </c>
      <c r="S764" s="35">
        <f>IF(R764="","",IF(R764&gt;=60,INT(R764/60)&amp;":"&amp;TEXT(MOD(R764,60),"00.00"),TEXT(R764,"0.00")))</f>
        <v/>
      </c>
      <c r="T764" s="52">
        <f>IFERROR((G764-INDEX('01_Swimmers'!$E$5:$E$22,MATCH(B764,'01_Swimmers'!$A$5:$A$22,0)))/'00_Control'!$B$10,"")</f>
        <v/>
      </c>
      <c r="U764" s="35">
        <f>IF(T764="","",INT(T764))</f>
        <v/>
      </c>
      <c r="V764" s="33" t="inlineStr">
        <is>
          <t>NO</t>
        </is>
      </c>
      <c r="W764" s="33" t="inlineStr">
        <is>
          <t>YES</t>
        </is>
      </c>
      <c r="X764" s="33" t="inlineStr">
        <is>
          <t>NO</t>
        </is>
      </c>
      <c r="Y764" s="33" t="n">
        <v>3</v>
      </c>
      <c r="Z764" s="33" t="n">
        <v>4</v>
      </c>
      <c r="AA764" s="33" t="inlineStr">
        <is>
          <t>1</t>
        </is>
      </c>
      <c r="AB764" s="33" t="inlineStr">
        <is>
          <t>https://www.swimcloud.com/results/330001/event/304/?id=151570569#time151570569</t>
        </is>
      </c>
      <c r="AC764" s="33" t="inlineStr">
        <is>
          <t>SwimCloud API v6 2026-10-08</t>
        </is>
      </c>
      <c r="AD764" s="33" t="inlineStr">
        <is>
          <t>Duncan Scott|2024-03-10|LCM|100|Free|48.61|Edinburgh International Championship|FIN|False</t>
        </is>
      </c>
      <c r="AE764" s="53">
        <f>G764+L764/1000+ROW()/1000000000</f>
        <v/>
      </c>
      <c r="AF764" s="35">
        <f>IF(C764&lt;&gt;"Grayson Coulter","",COUNTIFS($C$5:$C$2991,"Grayson Coulter",$Q$5:$Q$2991,Q764,$AE$5:$AE$2991,"&lt;="&amp;AE764,$R$5:$R$2991,"&lt;"&amp;R764))</f>
        <v/>
      </c>
      <c r="AG764" s="35">
        <f>IF(OR(C764&lt;&gt;"Grayson Coulter",G764&lt;'00_Control'!$B$7),"",--(AF764&lt;5))</f>
        <v/>
      </c>
      <c r="AH764" s="35">
        <f>IF(OR(C764&lt;&gt;"Grayson Coulter",G764&lt;'00_Control'!$B$7),"",--(AF764&lt;10))</f>
        <v/>
      </c>
      <c r="AI764" s="35">
        <f>IF(AND(C764="Grayson Coulter",G764&gt;='00_Control'!$B$7),"YES","NO")</f>
        <v/>
      </c>
      <c r="AJ764" s="33" t="inlineStr">
        <is>
          <t>OK</t>
        </is>
      </c>
    </row>
    <row r="765">
      <c r="A765" s="33" t="inlineStr">
        <is>
          <t>SM000761</t>
        </is>
      </c>
      <c r="B765" s="33" t="inlineStr">
        <is>
          <t>SW016</t>
        </is>
      </c>
      <c r="C765" s="33" t="inlineStr">
        <is>
          <t>Duncan Scott</t>
        </is>
      </c>
      <c r="D765" s="33" t="inlineStr">
        <is>
          <t>SwimCloud</t>
        </is>
      </c>
      <c r="E765" s="33" t="inlineStr">
        <is>
          <t>375606</t>
        </is>
      </c>
      <c r="F765" s="33" t="inlineStr">
        <is>
          <t>126629169</t>
        </is>
      </c>
      <c r="G765" s="51" t="n">
        <v>45438</v>
      </c>
      <c r="H765" s="33" t="inlineStr">
        <is>
          <t>AP Race London International</t>
        </is>
      </c>
      <c r="I765" s="33" t="inlineStr">
        <is>
          <t>298989</t>
        </is>
      </c>
      <c r="J765" s="33" t="inlineStr"/>
      <c r="K765" s="33" t="inlineStr">
        <is>
          <t>PRE</t>
        </is>
      </c>
      <c r="L765" s="35">
        <f>IF(K765="FIN",3,IF(OR(K765="SEM",K765="SEMI"),2,IF(OR(K765="PRE",K765="HEAT"),1,IF(V765="YES",4,2))))</f>
        <v/>
      </c>
      <c r="M765" s="33" t="inlineStr">
        <is>
          <t>LCM</t>
        </is>
      </c>
      <c r="N765" s="33" t="n">
        <v>100</v>
      </c>
      <c r="O765" s="33" t="inlineStr">
        <is>
          <t>Free</t>
        </is>
      </c>
      <c r="P765" s="33" t="inlineStr">
        <is>
          <t>100 Free</t>
        </is>
      </c>
      <c r="Q765" s="33" t="inlineStr">
        <is>
          <t>LCM_100_FREE</t>
        </is>
      </c>
      <c r="R765" s="36" t="n">
        <v>49.09</v>
      </c>
      <c r="S765" s="35">
        <f>IF(R765="","",IF(R765&gt;=60,INT(R765/60)&amp;":"&amp;TEXT(MOD(R765,60),"00.00"),TEXT(R765,"0.00")))</f>
        <v/>
      </c>
      <c r="T765" s="52">
        <f>IFERROR((G765-INDEX('01_Swimmers'!$E$5:$E$22,MATCH(B765,'01_Swimmers'!$A$5:$A$22,0)))/'00_Control'!$B$10,"")</f>
        <v/>
      </c>
      <c r="U765" s="35">
        <f>IF(T765="","",INT(T765))</f>
        <v/>
      </c>
      <c r="V765" s="33" t="inlineStr">
        <is>
          <t>NO</t>
        </is>
      </c>
      <c r="W765" s="33" t="inlineStr">
        <is>
          <t>YES</t>
        </is>
      </c>
      <c r="X765" s="33" t="inlineStr">
        <is>
          <t>NO</t>
        </is>
      </c>
      <c r="Y765" s="33" t="n">
        <v>1</v>
      </c>
      <c r="Z765" s="33" t="n">
        <v>3</v>
      </c>
      <c r="AA765" s="33" t="inlineStr">
        <is>
          <t>2</t>
        </is>
      </c>
      <c r="AB765" s="33" t="inlineStr">
        <is>
          <t>https://www.swimcloud.com/results/298989/event/612/?id=126629169#time126629169</t>
        </is>
      </c>
      <c r="AC765" s="33" t="inlineStr">
        <is>
          <t>SwimCloud API v6 2026-10-08</t>
        </is>
      </c>
      <c r="AD765" s="33" t="inlineStr">
        <is>
          <t>Duncan Scott|2024-05-26|LCM|100|Free|49.09|AP Race London International|PRE|False</t>
        </is>
      </c>
      <c r="AE765" s="53">
        <f>G765+L765/1000+ROW()/1000000000</f>
        <v/>
      </c>
      <c r="AF765" s="35">
        <f>IF(C765&lt;&gt;"Grayson Coulter","",COUNTIFS($C$5:$C$2991,"Grayson Coulter",$Q$5:$Q$2991,Q765,$AE$5:$AE$2991,"&lt;="&amp;AE765,$R$5:$R$2991,"&lt;"&amp;R765))</f>
        <v/>
      </c>
      <c r="AG765" s="35">
        <f>IF(OR(C765&lt;&gt;"Grayson Coulter",G765&lt;'00_Control'!$B$7),"",--(AF765&lt;5))</f>
        <v/>
      </c>
      <c r="AH765" s="35">
        <f>IF(OR(C765&lt;&gt;"Grayson Coulter",G765&lt;'00_Control'!$B$7),"",--(AF765&lt;10))</f>
        <v/>
      </c>
      <c r="AI765" s="35">
        <f>IF(AND(C765="Grayson Coulter",G765&gt;='00_Control'!$B$7),"YES","NO")</f>
        <v/>
      </c>
      <c r="AJ765" s="33" t="inlineStr">
        <is>
          <t>OK</t>
        </is>
      </c>
    </row>
    <row r="766">
      <c r="A766" s="33" t="inlineStr">
        <is>
          <t>SM000762</t>
        </is>
      </c>
      <c r="B766" s="33" t="inlineStr">
        <is>
          <t>SW016</t>
        </is>
      </c>
      <c r="C766" s="33" t="inlineStr">
        <is>
          <t>Duncan Scott</t>
        </is>
      </c>
      <c r="D766" s="33" t="inlineStr">
        <is>
          <t>SwimCloud</t>
        </is>
      </c>
      <c r="E766" s="33" t="inlineStr">
        <is>
          <t>375606</t>
        </is>
      </c>
      <c r="F766" s="33" t="inlineStr">
        <is>
          <t>126628401</t>
        </is>
      </c>
      <c r="G766" s="51" t="n">
        <v>45438</v>
      </c>
      <c r="H766" s="33" t="inlineStr">
        <is>
          <t>AP Race London International</t>
        </is>
      </c>
      <c r="I766" s="33" t="inlineStr">
        <is>
          <t>298989</t>
        </is>
      </c>
      <c r="J766" s="33" t="inlineStr"/>
      <c r="K766" s="33" t="inlineStr">
        <is>
          <t>PRE</t>
        </is>
      </c>
      <c r="L766" s="35">
        <f>IF(K766="FIN",3,IF(OR(K766="SEM",K766="SEMI"),2,IF(OR(K766="PRE",K766="HEAT"),1,IF(V766="YES",4,2))))</f>
        <v/>
      </c>
      <c r="M766" s="33" t="inlineStr">
        <is>
          <t>LCM</t>
        </is>
      </c>
      <c r="N766" s="33" t="n">
        <v>100</v>
      </c>
      <c r="O766" s="33" t="inlineStr">
        <is>
          <t>Free</t>
        </is>
      </c>
      <c r="P766" s="33" t="inlineStr">
        <is>
          <t>100 Free</t>
        </is>
      </c>
      <c r="Q766" s="33" t="inlineStr">
        <is>
          <t>LCM_100_FREE</t>
        </is>
      </c>
      <c r="R766" s="36" t="n">
        <v>49.23</v>
      </c>
      <c r="S766" s="35">
        <f>IF(R766="","",IF(R766&gt;=60,INT(R766/60)&amp;":"&amp;TEXT(MOD(R766,60),"00.00"),TEXT(R766,"0.00")))</f>
        <v/>
      </c>
      <c r="T766" s="52">
        <f>IFERROR((G766-INDEX('01_Swimmers'!$E$5:$E$22,MATCH(B766,'01_Swimmers'!$A$5:$A$22,0)))/'00_Control'!$B$10,"")</f>
        <v/>
      </c>
      <c r="U766" s="35">
        <f>IF(T766="","",INT(T766))</f>
        <v/>
      </c>
      <c r="V766" s="33" t="inlineStr">
        <is>
          <t>NO</t>
        </is>
      </c>
      <c r="W766" s="33" t="inlineStr">
        <is>
          <t>YES</t>
        </is>
      </c>
      <c r="X766" s="33" t="inlineStr">
        <is>
          <t>NO</t>
        </is>
      </c>
      <c r="Y766" s="33" t="n">
        <v>9</v>
      </c>
      <c r="Z766" s="33" t="n">
        <v>4</v>
      </c>
      <c r="AA766" s="33" t="inlineStr">
        <is>
          <t>4</t>
        </is>
      </c>
      <c r="AB766" s="33" t="inlineStr">
        <is>
          <t>https://www.swimcloud.com/results/298989/event/407/?id=126628401#time126628401</t>
        </is>
      </c>
      <c r="AC766" s="33" t="inlineStr">
        <is>
          <t>SwimCloud API v6 2026-10-08</t>
        </is>
      </c>
      <c r="AD766" s="33" t="inlineStr">
        <is>
          <t>Duncan Scott|2024-05-26|LCM|100|Free|49.23|AP Race London International|PRE|False</t>
        </is>
      </c>
      <c r="AE766" s="53">
        <f>G766+L766/1000+ROW()/1000000000</f>
        <v/>
      </c>
      <c r="AF766" s="35">
        <f>IF(C766&lt;&gt;"Grayson Coulter","",COUNTIFS($C$5:$C$2991,"Grayson Coulter",$Q$5:$Q$2991,Q766,$AE$5:$AE$2991,"&lt;="&amp;AE766,$R$5:$R$2991,"&lt;"&amp;R766))</f>
        <v/>
      </c>
      <c r="AG766" s="35">
        <f>IF(OR(C766&lt;&gt;"Grayson Coulter",G766&lt;'00_Control'!$B$7),"",--(AF766&lt;5))</f>
        <v/>
      </c>
      <c r="AH766" s="35">
        <f>IF(OR(C766&lt;&gt;"Grayson Coulter",G766&lt;'00_Control'!$B$7),"",--(AF766&lt;10))</f>
        <v/>
      </c>
      <c r="AI766" s="35">
        <f>IF(AND(C766="Grayson Coulter",G766&gt;='00_Control'!$B$7),"YES","NO")</f>
        <v/>
      </c>
      <c r="AJ766" s="33" t="inlineStr">
        <is>
          <t>OK</t>
        </is>
      </c>
    </row>
    <row r="767">
      <c r="A767" s="33" t="inlineStr">
        <is>
          <t>SM000763</t>
        </is>
      </c>
      <c r="B767" s="33" t="inlineStr">
        <is>
          <t>SW016</t>
        </is>
      </c>
      <c r="C767" s="33" t="inlineStr">
        <is>
          <t>Duncan Scott</t>
        </is>
      </c>
      <c r="D767" s="33" t="inlineStr">
        <is>
          <t>SwimCloud</t>
        </is>
      </c>
      <c r="E767" s="33" t="inlineStr">
        <is>
          <t>375606</t>
        </is>
      </c>
      <c r="F767" s="33" t="inlineStr">
        <is>
          <t>126629179</t>
        </is>
      </c>
      <c r="G767" s="51" t="n">
        <v>45439</v>
      </c>
      <c r="H767" s="33" t="inlineStr">
        <is>
          <t>AP Race London International</t>
        </is>
      </c>
      <c r="I767" s="33" t="inlineStr">
        <is>
          <t>298989</t>
        </is>
      </c>
      <c r="J767" s="33" t="inlineStr"/>
      <c r="K767" s="33" t="inlineStr">
        <is>
          <t>PRE</t>
        </is>
      </c>
      <c r="L767" s="35">
        <f>IF(K767="FIN",3,IF(OR(K767="SEM",K767="SEMI"),2,IF(OR(K767="PRE",K767="HEAT"),1,IF(V767="YES",4,2))))</f>
        <v/>
      </c>
      <c r="M767" s="33" t="inlineStr">
        <is>
          <t>LCM</t>
        </is>
      </c>
      <c r="N767" s="33" t="n">
        <v>200</v>
      </c>
      <c r="O767" s="33" t="inlineStr">
        <is>
          <t>Free</t>
        </is>
      </c>
      <c r="P767" s="33" t="inlineStr">
        <is>
          <t>200 Free</t>
        </is>
      </c>
      <c r="Q767" s="33" t="inlineStr">
        <is>
          <t>LCM_200_FREE</t>
        </is>
      </c>
      <c r="R767" s="36" t="n">
        <v>106.7</v>
      </c>
      <c r="S767" s="35">
        <f>IF(R767="","",IF(R767&gt;=60,INT(R767/60)&amp;":"&amp;TEXT(MOD(R767,60),"00.00"),TEXT(R767,"0.00")))</f>
        <v/>
      </c>
      <c r="T767" s="52">
        <f>IFERROR((G767-INDEX('01_Swimmers'!$E$5:$E$22,MATCH(B767,'01_Swimmers'!$A$5:$A$22,0)))/'00_Control'!$B$10,"")</f>
        <v/>
      </c>
      <c r="U767" s="35">
        <f>IF(T767="","",INT(T767))</f>
        <v/>
      </c>
      <c r="V767" s="33" t="inlineStr">
        <is>
          <t>NO</t>
        </is>
      </c>
      <c r="W767" s="33" t="inlineStr">
        <is>
          <t>YES</t>
        </is>
      </c>
      <c r="X767" s="33" t="inlineStr">
        <is>
          <t>NO</t>
        </is>
      </c>
      <c r="Y767" s="33" t="n">
        <v>1</v>
      </c>
      <c r="Z767" s="33" t="n">
        <v>2</v>
      </c>
      <c r="AA767" s="33" t="inlineStr">
        <is>
          <t>1</t>
        </is>
      </c>
      <c r="AB767" s="33" t="inlineStr">
        <is>
          <t>https://www.swimcloud.com/results/298989/event/911/?id=126629179#time126629179</t>
        </is>
      </c>
      <c r="AC767" s="33" t="inlineStr">
        <is>
          <t>SwimCloud API v6 2026-10-08</t>
        </is>
      </c>
      <c r="AD767" s="33" t="inlineStr">
        <is>
          <t>Duncan Scott|2024-05-27|LCM|200|Free|106.7|AP Race London International|PRE|False</t>
        </is>
      </c>
      <c r="AE767" s="53">
        <f>G767+L767/1000+ROW()/1000000000</f>
        <v/>
      </c>
      <c r="AF767" s="35">
        <f>IF(C767&lt;&gt;"Grayson Coulter","",COUNTIFS($C$5:$C$2991,"Grayson Coulter",$Q$5:$Q$2991,Q767,$AE$5:$AE$2991,"&lt;="&amp;AE767,$R$5:$R$2991,"&lt;"&amp;R767))</f>
        <v/>
      </c>
      <c r="AG767" s="35">
        <f>IF(OR(C767&lt;&gt;"Grayson Coulter",G767&lt;'00_Control'!$B$7),"",--(AF767&lt;5))</f>
        <v/>
      </c>
      <c r="AH767" s="35">
        <f>IF(OR(C767&lt;&gt;"Grayson Coulter",G767&lt;'00_Control'!$B$7),"",--(AF767&lt;10))</f>
        <v/>
      </c>
      <c r="AI767" s="35">
        <f>IF(AND(C767="Grayson Coulter",G767&gt;='00_Control'!$B$7),"YES","NO")</f>
        <v/>
      </c>
      <c r="AJ767" s="33" t="inlineStr">
        <is>
          <t>OK</t>
        </is>
      </c>
    </row>
    <row r="768">
      <c r="A768" s="33" t="inlineStr">
        <is>
          <t>SM000764</t>
        </is>
      </c>
      <c r="B768" s="33" t="inlineStr">
        <is>
          <t>SW016</t>
        </is>
      </c>
      <c r="C768" s="33" t="inlineStr">
        <is>
          <t>Duncan Scott</t>
        </is>
      </c>
      <c r="D768" s="33" t="inlineStr">
        <is>
          <t>SwimCloud</t>
        </is>
      </c>
      <c r="E768" s="33" t="inlineStr">
        <is>
          <t>375606</t>
        </is>
      </c>
      <c r="F768" s="33" t="inlineStr">
        <is>
          <t>126628523</t>
        </is>
      </c>
      <c r="G768" s="51" t="n">
        <v>45439</v>
      </c>
      <c r="H768" s="33" t="inlineStr">
        <is>
          <t>AP Race London International</t>
        </is>
      </c>
      <c r="I768" s="33" t="inlineStr">
        <is>
          <t>298989</t>
        </is>
      </c>
      <c r="J768" s="33" t="inlineStr"/>
      <c r="K768" s="33" t="inlineStr">
        <is>
          <t>PRE</t>
        </is>
      </c>
      <c r="L768" s="35">
        <f>IF(K768="FIN",3,IF(OR(K768="SEM",K768="SEMI"),2,IF(OR(K768="PRE",K768="HEAT"),1,IF(V768="YES",4,2))))</f>
        <v/>
      </c>
      <c r="M768" s="33" t="inlineStr">
        <is>
          <t>LCM</t>
        </is>
      </c>
      <c r="N768" s="33" t="n">
        <v>200</v>
      </c>
      <c r="O768" s="33" t="inlineStr">
        <is>
          <t>Free</t>
        </is>
      </c>
      <c r="P768" s="33" t="inlineStr">
        <is>
          <t>200 Free</t>
        </is>
      </c>
      <c r="Q768" s="33" t="inlineStr">
        <is>
          <t>LCM_200_FREE</t>
        </is>
      </c>
      <c r="R768" s="36" t="n">
        <v>110.13</v>
      </c>
      <c r="S768" s="35">
        <f>IF(R768="","",IF(R768&gt;=60,INT(R768/60)&amp;":"&amp;TEXT(MOD(R768,60),"00.00"),TEXT(R768,"0.00")))</f>
        <v/>
      </c>
      <c r="T768" s="52">
        <f>IFERROR((G768-INDEX('01_Swimmers'!$E$5:$E$22,MATCH(B768,'01_Swimmers'!$A$5:$A$22,0)))/'00_Control'!$B$10,"")</f>
        <v/>
      </c>
      <c r="U768" s="35">
        <f>IF(T768="","",INT(T768))</f>
        <v/>
      </c>
      <c r="V768" s="33" t="inlineStr">
        <is>
          <t>NO</t>
        </is>
      </c>
      <c r="W768" s="33" t="inlineStr">
        <is>
          <t>YES</t>
        </is>
      </c>
      <c r="X768" s="33" t="inlineStr">
        <is>
          <t>NO</t>
        </is>
      </c>
      <c r="Y768" s="33" t="n">
        <v>5</v>
      </c>
      <c r="Z768" s="33" t="n">
        <v>4</v>
      </c>
      <c r="AA768" s="33" t="inlineStr">
        <is>
          <t>5</t>
        </is>
      </c>
      <c r="AB768" s="33" t="inlineStr">
        <is>
          <t>https://www.swimcloud.com/results/298989/event/706/?id=126628523#time126628523</t>
        </is>
      </c>
      <c r="AC768" s="33" t="inlineStr">
        <is>
          <t>SwimCloud API v6 2026-10-08</t>
        </is>
      </c>
      <c r="AD768" s="33" t="inlineStr">
        <is>
          <t>Duncan Scott|2024-05-27|LCM|200|Free|110.13|AP Race London International|PRE|False</t>
        </is>
      </c>
      <c r="AE768" s="53">
        <f>G768+L768/1000+ROW()/1000000000</f>
        <v/>
      </c>
      <c r="AF768" s="35">
        <f>IF(C768&lt;&gt;"Grayson Coulter","",COUNTIFS($C$5:$C$2991,"Grayson Coulter",$Q$5:$Q$2991,Q768,$AE$5:$AE$2991,"&lt;="&amp;AE768,$R$5:$R$2991,"&lt;"&amp;R768))</f>
        <v/>
      </c>
      <c r="AG768" s="35">
        <f>IF(OR(C768&lt;&gt;"Grayson Coulter",G768&lt;'00_Control'!$B$7),"",--(AF768&lt;5))</f>
        <v/>
      </c>
      <c r="AH768" s="35">
        <f>IF(OR(C768&lt;&gt;"Grayson Coulter",G768&lt;'00_Control'!$B$7),"",--(AF768&lt;10))</f>
        <v/>
      </c>
      <c r="AI768" s="35">
        <f>IF(AND(C768="Grayson Coulter",G768&gt;='00_Control'!$B$7),"YES","NO")</f>
        <v/>
      </c>
      <c r="AJ768" s="33" t="inlineStr">
        <is>
          <t>OK</t>
        </is>
      </c>
    </row>
    <row r="769">
      <c r="A769" s="33" t="inlineStr">
        <is>
          <t>SM000765</t>
        </is>
      </c>
      <c r="B769" s="33" t="inlineStr">
        <is>
          <t>SW016</t>
        </is>
      </c>
      <c r="C769" s="33" t="inlineStr">
        <is>
          <t>Duncan Scott</t>
        </is>
      </c>
      <c r="D769" s="33" t="inlineStr">
        <is>
          <t>SwimCloud</t>
        </is>
      </c>
      <c r="E769" s="33" t="inlineStr">
        <is>
          <t>375606</t>
        </is>
      </c>
      <c r="F769" s="33" t="inlineStr">
        <is>
          <t>131582703</t>
        </is>
      </c>
      <c r="G769" s="51" t="n">
        <v>45471</v>
      </c>
      <c r="H769" s="33" t="inlineStr">
        <is>
          <t>Scottish Swimming National Open Championships</t>
        </is>
      </c>
      <c r="I769" s="33" t="inlineStr">
        <is>
          <t>306661</t>
        </is>
      </c>
      <c r="J769" s="33" t="inlineStr"/>
      <c r="K769" s="33" t="inlineStr">
        <is>
          <t>PRE</t>
        </is>
      </c>
      <c r="L769" s="35">
        <f>IF(K769="FIN",3,IF(OR(K769="SEM",K769="SEMI"),2,IF(OR(K769="PRE",K769="HEAT"),1,IF(V769="YES",4,2))))</f>
        <v/>
      </c>
      <c r="M769" s="33" t="inlineStr">
        <is>
          <t>LCM</t>
        </is>
      </c>
      <c r="N769" s="33" t="n">
        <v>100</v>
      </c>
      <c r="O769" s="33" t="inlineStr">
        <is>
          <t>Free</t>
        </is>
      </c>
      <c r="P769" s="33" t="inlineStr">
        <is>
          <t>100 Free</t>
        </is>
      </c>
      <c r="Q769" s="33" t="inlineStr">
        <is>
          <t>LCM_100_FREE</t>
        </is>
      </c>
      <c r="R769" s="36" t="n">
        <v>50.92</v>
      </c>
      <c r="S769" s="35">
        <f>IF(R769="","",IF(R769&gt;=60,INT(R769/60)&amp;":"&amp;TEXT(MOD(R769,60),"00.00"),TEXT(R769,"0.00")))</f>
        <v/>
      </c>
      <c r="T769" s="52">
        <f>IFERROR((G769-INDEX('01_Swimmers'!$E$5:$E$22,MATCH(B769,'01_Swimmers'!$A$5:$A$22,0)))/'00_Control'!$B$10,"")</f>
        <v/>
      </c>
      <c r="U769" s="35">
        <f>IF(T769="","",INT(T769))</f>
        <v/>
      </c>
      <c r="V769" s="33" t="inlineStr">
        <is>
          <t>NO</t>
        </is>
      </c>
      <c r="W769" s="33" t="inlineStr">
        <is>
          <t>YES</t>
        </is>
      </c>
      <c r="X769" s="33" t="inlineStr">
        <is>
          <t>NO</t>
        </is>
      </c>
      <c r="Y769" s="33" t="n">
        <v>7</v>
      </c>
      <c r="Z769" s="33" t="n">
        <v>4</v>
      </c>
      <c r="AA769" s="33" t="inlineStr">
        <is>
          <t>3</t>
        </is>
      </c>
      <c r="AB769" s="33" t="inlineStr">
        <is>
          <t>https://www.swimcloud.com/results/306661/event/104/?id=131582703#time131582703</t>
        </is>
      </c>
      <c r="AC769" s="33" t="inlineStr">
        <is>
          <t>SwimCloud API v6 2026-10-08</t>
        </is>
      </c>
      <c r="AD769" s="33" t="inlineStr">
        <is>
          <t>Duncan Scott|2024-06-28|LCM|100|Free|50.92|Scottish Swimming National Open Championships|PRE|False</t>
        </is>
      </c>
      <c r="AE769" s="53">
        <f>G769+L769/1000+ROW()/1000000000</f>
        <v/>
      </c>
      <c r="AF769" s="35">
        <f>IF(C769&lt;&gt;"Grayson Coulter","",COUNTIFS($C$5:$C$2991,"Grayson Coulter",$Q$5:$Q$2991,Q769,$AE$5:$AE$2991,"&lt;="&amp;AE769,$R$5:$R$2991,"&lt;"&amp;R769))</f>
        <v/>
      </c>
      <c r="AG769" s="35">
        <f>IF(OR(C769&lt;&gt;"Grayson Coulter",G769&lt;'00_Control'!$B$7),"",--(AF769&lt;5))</f>
        <v/>
      </c>
      <c r="AH769" s="35">
        <f>IF(OR(C769&lt;&gt;"Grayson Coulter",G769&lt;'00_Control'!$B$7),"",--(AF769&lt;10))</f>
        <v/>
      </c>
      <c r="AI769" s="35">
        <f>IF(AND(C769="Grayson Coulter",G769&gt;='00_Control'!$B$7),"YES","NO")</f>
        <v/>
      </c>
      <c r="AJ769" s="33" t="inlineStr">
        <is>
          <t>OK</t>
        </is>
      </c>
    </row>
    <row r="770">
      <c r="A770" s="33" t="inlineStr">
        <is>
          <t>SM000766</t>
        </is>
      </c>
      <c r="B770" s="33" t="inlineStr">
        <is>
          <t>SW016</t>
        </is>
      </c>
      <c r="C770" s="33" t="inlineStr">
        <is>
          <t>Duncan Scott</t>
        </is>
      </c>
      <c r="D770" s="33" t="inlineStr">
        <is>
          <t>SwimCloud</t>
        </is>
      </c>
      <c r="E770" s="33" t="inlineStr">
        <is>
          <t>375606</t>
        </is>
      </c>
      <c r="F770" s="33" t="inlineStr">
        <is>
          <t>131582704</t>
        </is>
      </c>
      <c r="G770" s="51" t="n">
        <v>45471</v>
      </c>
      <c r="H770" s="33" t="inlineStr">
        <is>
          <t>Scottish Swimming National Open Championships</t>
        </is>
      </c>
      <c r="I770" s="33" t="inlineStr">
        <is>
          <t>306661</t>
        </is>
      </c>
      <c r="J770" s="33" t="inlineStr"/>
      <c r="K770" s="33" t="inlineStr">
        <is>
          <t>FIN</t>
        </is>
      </c>
      <c r="L770" s="35">
        <f>IF(K770="FIN",3,IF(OR(K770="SEM",K770="SEMI"),2,IF(OR(K770="PRE",K770="HEAT"),1,IF(V770="YES",4,2))))</f>
        <v/>
      </c>
      <c r="M770" s="33" t="inlineStr">
        <is>
          <t>LCM</t>
        </is>
      </c>
      <c r="N770" s="33" t="n">
        <v>100</v>
      </c>
      <c r="O770" s="33" t="inlineStr">
        <is>
          <t>Free</t>
        </is>
      </c>
      <c r="P770" s="33" t="inlineStr">
        <is>
          <t>100 Free</t>
        </is>
      </c>
      <c r="Q770" s="33" t="inlineStr">
        <is>
          <t>LCM_100_FREE</t>
        </is>
      </c>
      <c r="R770" s="36" t="n">
        <v>48.88</v>
      </c>
      <c r="S770" s="35">
        <f>IF(R770="","",IF(R770&gt;=60,INT(R770/60)&amp;":"&amp;TEXT(MOD(R770,60),"00.00"),TEXT(R770,"0.00")))</f>
        <v/>
      </c>
      <c r="T770" s="52">
        <f>IFERROR((G770-INDEX('01_Swimmers'!$E$5:$E$22,MATCH(B770,'01_Swimmers'!$A$5:$A$22,0)))/'00_Control'!$B$10,"")</f>
        <v/>
      </c>
      <c r="U770" s="35">
        <f>IF(T770="","",INT(T770))</f>
        <v/>
      </c>
      <c r="V770" s="33" t="inlineStr">
        <is>
          <t>NO</t>
        </is>
      </c>
      <c r="W770" s="33" t="inlineStr">
        <is>
          <t>YES</t>
        </is>
      </c>
      <c r="X770" s="33" t="inlineStr">
        <is>
          <t>NO</t>
        </is>
      </c>
      <c r="Y770" s="33" t="n">
        <v>3</v>
      </c>
      <c r="Z770" s="33" t="n">
        <v>3</v>
      </c>
      <c r="AA770" s="33" t="inlineStr">
        <is>
          <t>1</t>
        </is>
      </c>
      <c r="AB770" s="33" t="inlineStr">
        <is>
          <t>https://www.swimcloud.com/results/306661/event/104/?id=131582704#time131582704</t>
        </is>
      </c>
      <c r="AC770" s="33" t="inlineStr">
        <is>
          <t>SwimCloud API v6 2026-10-08</t>
        </is>
      </c>
      <c r="AD770" s="33" t="inlineStr">
        <is>
          <t>Duncan Scott|2024-06-28|LCM|100|Free|48.88|Scottish Swimming National Open Championships|FIN|False</t>
        </is>
      </c>
      <c r="AE770" s="53">
        <f>G770+L770/1000+ROW()/1000000000</f>
        <v/>
      </c>
      <c r="AF770" s="35">
        <f>IF(C770&lt;&gt;"Grayson Coulter","",COUNTIFS($C$5:$C$2991,"Grayson Coulter",$Q$5:$Q$2991,Q770,$AE$5:$AE$2991,"&lt;="&amp;AE770,$R$5:$R$2991,"&lt;"&amp;R770))</f>
        <v/>
      </c>
      <c r="AG770" s="35">
        <f>IF(OR(C770&lt;&gt;"Grayson Coulter",G770&lt;'00_Control'!$B$7),"",--(AF770&lt;5))</f>
        <v/>
      </c>
      <c r="AH770" s="35">
        <f>IF(OR(C770&lt;&gt;"Grayson Coulter",G770&lt;'00_Control'!$B$7),"",--(AF770&lt;10))</f>
        <v/>
      </c>
      <c r="AI770" s="35">
        <f>IF(AND(C770="Grayson Coulter",G770&gt;='00_Control'!$B$7),"YES","NO")</f>
        <v/>
      </c>
      <c r="AJ770" s="33" t="inlineStr">
        <is>
          <t>OK</t>
        </is>
      </c>
    </row>
    <row r="771">
      <c r="A771" s="33" t="inlineStr">
        <is>
          <t>SM000767</t>
        </is>
      </c>
      <c r="B771" s="33" t="inlineStr">
        <is>
          <t>SW016</t>
        </is>
      </c>
      <c r="C771" s="33" t="inlineStr">
        <is>
          <t>Duncan Scott</t>
        </is>
      </c>
      <c r="D771" s="33" t="inlineStr">
        <is>
          <t>SwimCloud</t>
        </is>
      </c>
      <c r="E771" s="33" t="inlineStr">
        <is>
          <t>375606</t>
        </is>
      </c>
      <c r="F771" s="33" t="inlineStr">
        <is>
          <t>131582049</t>
        </is>
      </c>
      <c r="G771" s="51" t="n">
        <v>45472</v>
      </c>
      <c r="H771" s="33" t="inlineStr">
        <is>
          <t>Scottish Swimming National Open Championships</t>
        </is>
      </c>
      <c r="I771" s="33" t="inlineStr">
        <is>
          <t>306661</t>
        </is>
      </c>
      <c r="J771" s="33" t="inlineStr"/>
      <c r="K771" s="33" t="inlineStr">
        <is>
          <t>PRE</t>
        </is>
      </c>
      <c r="L771" s="35">
        <f>IF(K771="FIN",3,IF(OR(K771="SEM",K771="SEMI"),2,IF(OR(K771="PRE",K771="HEAT"),1,IF(V771="YES",4,2))))</f>
        <v/>
      </c>
      <c r="M771" s="33" t="inlineStr">
        <is>
          <t>LCM</t>
        </is>
      </c>
      <c r="N771" s="33" t="n">
        <v>200</v>
      </c>
      <c r="O771" s="33" t="inlineStr">
        <is>
          <t>Free</t>
        </is>
      </c>
      <c r="P771" s="33" t="inlineStr">
        <is>
          <t>200 Free</t>
        </is>
      </c>
      <c r="Q771" s="33" t="inlineStr">
        <is>
          <t>LCM_200_FREE</t>
        </is>
      </c>
      <c r="R771" s="36" t="n">
        <v>109.52</v>
      </c>
      <c r="S771" s="35">
        <f>IF(R771="","",IF(R771&gt;=60,INT(R771/60)&amp;":"&amp;TEXT(MOD(R771,60),"00.00"),TEXT(R771,"0.00")))</f>
        <v/>
      </c>
      <c r="T771" s="52">
        <f>IFERROR((G771-INDEX('01_Swimmers'!$E$5:$E$22,MATCH(B771,'01_Swimmers'!$A$5:$A$22,0)))/'00_Control'!$B$10,"")</f>
        <v/>
      </c>
      <c r="U771" s="35">
        <f>IF(T771="","",INT(T771))</f>
        <v/>
      </c>
      <c r="V771" s="33" t="inlineStr">
        <is>
          <t>NO</t>
        </is>
      </c>
      <c r="W771" s="33" t="inlineStr">
        <is>
          <t>YES</t>
        </is>
      </c>
      <c r="X771" s="33" t="inlineStr">
        <is>
          <t>NO</t>
        </is>
      </c>
      <c r="Y771" s="33" t="n">
        <v>6</v>
      </c>
      <c r="Z771" s="33" t="n">
        <v>4</v>
      </c>
      <c r="AA771" s="33" t="inlineStr">
        <is>
          <t>1</t>
        </is>
      </c>
      <c r="AB771" s="33" t="inlineStr">
        <is>
          <t>https://www.swimcloud.com/results/306661/event/207/?id=131582049#time131582049</t>
        </is>
      </c>
      <c r="AC771" s="33" t="inlineStr">
        <is>
          <t>SwimCloud API v6 2026-10-08</t>
        </is>
      </c>
      <c r="AD771" s="33" t="inlineStr">
        <is>
          <t>Duncan Scott|2024-06-29|LCM|200|Free|109.52|Scottish Swimming National Open Championships|PRE|False</t>
        </is>
      </c>
      <c r="AE771" s="53">
        <f>G771+L771/1000+ROW()/1000000000</f>
        <v/>
      </c>
      <c r="AF771" s="35">
        <f>IF(C771&lt;&gt;"Grayson Coulter","",COUNTIFS($C$5:$C$2991,"Grayson Coulter",$Q$5:$Q$2991,Q771,$AE$5:$AE$2991,"&lt;="&amp;AE771,$R$5:$R$2991,"&lt;"&amp;R771))</f>
        <v/>
      </c>
      <c r="AG771" s="35">
        <f>IF(OR(C771&lt;&gt;"Grayson Coulter",G771&lt;'00_Control'!$B$7),"",--(AF771&lt;5))</f>
        <v/>
      </c>
      <c r="AH771" s="35">
        <f>IF(OR(C771&lt;&gt;"Grayson Coulter",G771&lt;'00_Control'!$B$7),"",--(AF771&lt;10))</f>
        <v/>
      </c>
      <c r="AI771" s="35">
        <f>IF(AND(C771="Grayson Coulter",G771&gt;='00_Control'!$B$7),"YES","NO")</f>
        <v/>
      </c>
      <c r="AJ771" s="33" t="inlineStr">
        <is>
          <t>OK</t>
        </is>
      </c>
    </row>
    <row r="772">
      <c r="A772" s="33" t="inlineStr">
        <is>
          <t>SM000768</t>
        </is>
      </c>
      <c r="B772" s="33" t="inlineStr">
        <is>
          <t>SW016</t>
        </is>
      </c>
      <c r="C772" s="33" t="inlineStr">
        <is>
          <t>Duncan Scott</t>
        </is>
      </c>
      <c r="D772" s="33" t="inlineStr">
        <is>
          <t>SwimCloud</t>
        </is>
      </c>
      <c r="E772" s="33" t="inlineStr">
        <is>
          <t>375606</t>
        </is>
      </c>
      <c r="F772" s="33" t="inlineStr">
        <is>
          <t>131582050</t>
        </is>
      </c>
      <c r="G772" s="51" t="n">
        <v>45472</v>
      </c>
      <c r="H772" s="33" t="inlineStr">
        <is>
          <t>Scottish Swimming National Open Championships</t>
        </is>
      </c>
      <c r="I772" s="33" t="inlineStr">
        <is>
          <t>306661</t>
        </is>
      </c>
      <c r="J772" s="33" t="inlineStr"/>
      <c r="K772" s="33" t="inlineStr">
        <is>
          <t>FIN</t>
        </is>
      </c>
      <c r="L772" s="35">
        <f>IF(K772="FIN",3,IF(OR(K772="SEM",K772="SEMI"),2,IF(OR(K772="PRE",K772="HEAT"),1,IF(V772="YES",4,2))))</f>
        <v/>
      </c>
      <c r="M772" s="33" t="inlineStr">
        <is>
          <t>LCM</t>
        </is>
      </c>
      <c r="N772" s="33" t="n">
        <v>200</v>
      </c>
      <c r="O772" s="33" t="inlineStr">
        <is>
          <t>Free</t>
        </is>
      </c>
      <c r="P772" s="33" t="inlineStr">
        <is>
          <t>200 Free</t>
        </is>
      </c>
      <c r="Q772" s="33" t="inlineStr">
        <is>
          <t>LCM_200_FREE</t>
        </is>
      </c>
      <c r="R772" s="36" t="n">
        <v>107.7</v>
      </c>
      <c r="S772" s="35">
        <f>IF(R772="","",IF(R772&gt;=60,INT(R772/60)&amp;":"&amp;TEXT(MOD(R772,60),"00.00"),TEXT(R772,"0.00")))</f>
        <v/>
      </c>
      <c r="T772" s="52">
        <f>IFERROR((G772-INDEX('01_Swimmers'!$E$5:$E$22,MATCH(B772,'01_Swimmers'!$A$5:$A$22,0)))/'00_Control'!$B$10,"")</f>
        <v/>
      </c>
      <c r="U772" s="35">
        <f>IF(T772="","",INT(T772))</f>
        <v/>
      </c>
      <c r="V772" s="33" t="inlineStr">
        <is>
          <t>NO</t>
        </is>
      </c>
      <c r="W772" s="33" t="inlineStr">
        <is>
          <t>YES</t>
        </is>
      </c>
      <c r="X772" s="33" t="inlineStr">
        <is>
          <t>NO</t>
        </is>
      </c>
      <c r="Y772" s="33" t="n">
        <v>3</v>
      </c>
      <c r="Z772" s="33" t="n">
        <v>4</v>
      </c>
      <c r="AA772" s="33" t="inlineStr">
        <is>
          <t>2</t>
        </is>
      </c>
      <c r="AB772" s="33" t="inlineStr">
        <is>
          <t>https://www.swimcloud.com/results/306661/event/207/?id=131582050#time131582050</t>
        </is>
      </c>
      <c r="AC772" s="33" t="inlineStr">
        <is>
          <t>SwimCloud API v6 2026-10-08</t>
        </is>
      </c>
      <c r="AD772" s="33" t="inlineStr">
        <is>
          <t>Duncan Scott|2024-06-29|LCM|200|Free|107.7|Scottish Swimming National Open Championships|FIN|False</t>
        </is>
      </c>
      <c r="AE772" s="53">
        <f>G772+L772/1000+ROW()/1000000000</f>
        <v/>
      </c>
      <c r="AF772" s="35">
        <f>IF(C772&lt;&gt;"Grayson Coulter","",COUNTIFS($C$5:$C$2991,"Grayson Coulter",$Q$5:$Q$2991,Q772,$AE$5:$AE$2991,"&lt;="&amp;AE772,$R$5:$R$2991,"&lt;"&amp;R772))</f>
        <v/>
      </c>
      <c r="AG772" s="35">
        <f>IF(OR(C772&lt;&gt;"Grayson Coulter",G772&lt;'00_Control'!$B$7),"",--(AF772&lt;5))</f>
        <v/>
      </c>
      <c r="AH772" s="35">
        <f>IF(OR(C772&lt;&gt;"Grayson Coulter",G772&lt;'00_Control'!$B$7),"",--(AF772&lt;10))</f>
        <v/>
      </c>
      <c r="AI772" s="35">
        <f>IF(AND(C772="Grayson Coulter",G772&gt;='00_Control'!$B$7),"YES","NO")</f>
        <v/>
      </c>
      <c r="AJ772" s="33" t="inlineStr">
        <is>
          <t>OK</t>
        </is>
      </c>
    </row>
    <row r="773">
      <c r="A773" s="33" t="inlineStr">
        <is>
          <t>SM000769</t>
        </is>
      </c>
      <c r="B773" s="33" t="inlineStr">
        <is>
          <t>SW016</t>
        </is>
      </c>
      <c r="C773" s="33" t="inlineStr">
        <is>
          <t>Duncan Scott</t>
        </is>
      </c>
      <c r="D773" s="33" t="inlineStr">
        <is>
          <t>SwimCloud</t>
        </is>
      </c>
      <c r="E773" s="33" t="inlineStr">
        <is>
          <t>375606</t>
        </is>
      </c>
      <c r="F773" s="33" t="inlineStr">
        <is>
          <t>130574072</t>
        </is>
      </c>
      <c r="G773" s="51" t="n">
        <v>45500</v>
      </c>
      <c r="H773" s="33" t="inlineStr">
        <is>
          <t>Olympic Games</t>
        </is>
      </c>
      <c r="I773" s="33" t="inlineStr">
        <is>
          <t>2424</t>
        </is>
      </c>
      <c r="J773" s="33" t="inlineStr"/>
      <c r="K773" s="33" t="inlineStr">
        <is>
          <t>PRE</t>
        </is>
      </c>
      <c r="L773" s="35">
        <f>IF(K773="FIN",3,IF(OR(K773="SEM",K773="SEMI"),2,IF(OR(K773="PRE",K773="HEAT"),1,IF(V773="YES",4,2))))</f>
        <v/>
      </c>
      <c r="M773" s="33" t="inlineStr">
        <is>
          <t>LCM</t>
        </is>
      </c>
      <c r="N773" s="33" t="n">
        <v>100</v>
      </c>
      <c r="O773" s="33" t="inlineStr">
        <is>
          <t>Free</t>
        </is>
      </c>
      <c r="P773" s="33" t="inlineStr">
        <is>
          <t>100 Free</t>
        </is>
      </c>
      <c r="Q773" s="33" t="inlineStr">
        <is>
          <t>LCM_100_FREE</t>
        </is>
      </c>
      <c r="R773" s="36" t="n">
        <v>48.61</v>
      </c>
      <c r="S773" s="35">
        <f>IF(R773="","",IF(R773&gt;=60,INT(R773/60)&amp;":"&amp;TEXT(MOD(R773,60),"00.00"),TEXT(R773,"0.00")))</f>
        <v/>
      </c>
      <c r="T773" s="52">
        <f>IFERROR((G773-INDEX('01_Swimmers'!$E$5:$E$22,MATCH(B773,'01_Swimmers'!$A$5:$A$22,0)))/'00_Control'!$B$10,"")</f>
        <v/>
      </c>
      <c r="U773" s="35">
        <f>IF(T773="","",INT(T773))</f>
        <v/>
      </c>
      <c r="V773" s="33" t="inlineStr">
        <is>
          <t>YES</t>
        </is>
      </c>
      <c r="W773" s="33" t="inlineStr">
        <is>
          <t>YES</t>
        </is>
      </c>
      <c r="X773" s="33" t="inlineStr">
        <is>
          <t>NO</t>
        </is>
      </c>
      <c r="Y773" s="33" t="n">
        <v>1</v>
      </c>
      <c r="Z773" s="33" t="n">
        <v>2</v>
      </c>
      <c r="AA773" s="33" t="inlineStr"/>
      <c r="AB773" s="33" t="inlineStr">
        <is>
          <t>https://www.swimcloud.com/results/2424/event/602/?id=130573848#time130573848</t>
        </is>
      </c>
      <c r="AC773" s="33" t="inlineStr">
        <is>
          <t>SwimCloud API v6 2026-10-08</t>
        </is>
      </c>
      <c r="AD773" s="33" t="inlineStr">
        <is>
          <t>Duncan Scott|2024-07-27|LCM|100|Free|48.61|Olympic Games|PRE|True</t>
        </is>
      </c>
      <c r="AE773" s="53">
        <f>G773+L773/1000+ROW()/1000000000</f>
        <v/>
      </c>
      <c r="AF773" s="35">
        <f>IF(C773&lt;&gt;"Grayson Coulter","",COUNTIFS($C$5:$C$2991,"Grayson Coulter",$Q$5:$Q$2991,Q773,$AE$5:$AE$2991,"&lt;="&amp;AE773,$R$5:$R$2991,"&lt;"&amp;R773))</f>
        <v/>
      </c>
      <c r="AG773" s="35">
        <f>IF(OR(C773&lt;&gt;"Grayson Coulter",G773&lt;'00_Control'!$B$7),"",--(AF773&lt;5))</f>
        <v/>
      </c>
      <c r="AH773" s="35">
        <f>IF(OR(C773&lt;&gt;"Grayson Coulter",G773&lt;'00_Control'!$B$7),"",--(AF773&lt;10))</f>
        <v/>
      </c>
      <c r="AI773" s="35">
        <f>IF(AND(C773="Grayson Coulter",G773&gt;='00_Control'!$B$7),"YES","NO")</f>
        <v/>
      </c>
      <c r="AJ773" s="33" t="inlineStr">
        <is>
          <t>OK</t>
        </is>
      </c>
    </row>
    <row r="774">
      <c r="A774" s="33" t="inlineStr">
        <is>
          <t>SM000770</t>
        </is>
      </c>
      <c r="B774" s="33" t="inlineStr">
        <is>
          <t>SW016</t>
        </is>
      </c>
      <c r="C774" s="33" t="inlineStr">
        <is>
          <t>Duncan Scott</t>
        </is>
      </c>
      <c r="D774" s="33" t="inlineStr">
        <is>
          <t>SwimCloud</t>
        </is>
      </c>
      <c r="E774" s="33" t="inlineStr">
        <is>
          <t>375606</t>
        </is>
      </c>
      <c r="F774" s="33" t="inlineStr">
        <is>
          <t>130573544</t>
        </is>
      </c>
      <c r="G774" s="51" t="n">
        <v>45500</v>
      </c>
      <c r="H774" s="33" t="inlineStr">
        <is>
          <t>Olympic Games</t>
        </is>
      </c>
      <c r="I774" s="33" t="inlineStr">
        <is>
          <t>2424</t>
        </is>
      </c>
      <c r="J774" s="33" t="inlineStr"/>
      <c r="K774" s="33" t="inlineStr">
        <is>
          <t>PRE</t>
        </is>
      </c>
      <c r="L774" s="35">
        <f>IF(K774="FIN",3,IF(OR(K774="SEM",K774="SEMI"),2,IF(OR(K774="PRE",K774="HEAT"),1,IF(V774="YES",4,2))))</f>
        <v/>
      </c>
      <c r="M774" s="33" t="inlineStr">
        <is>
          <t>LCM</t>
        </is>
      </c>
      <c r="N774" s="33" t="n">
        <v>200</v>
      </c>
      <c r="O774" s="33" t="inlineStr">
        <is>
          <t>Free</t>
        </is>
      </c>
      <c r="P774" s="33" t="inlineStr">
        <is>
          <t>200 Free</t>
        </is>
      </c>
      <c r="Q774" s="33" t="inlineStr">
        <is>
          <t>LCM_200_FREE</t>
        </is>
      </c>
      <c r="R774" s="36" t="n">
        <v>106.34</v>
      </c>
      <c r="S774" s="35">
        <f>IF(R774="","",IF(R774&gt;=60,INT(R774/60)&amp;":"&amp;TEXT(MOD(R774,60),"00.00"),TEXT(R774,"0.00")))</f>
        <v/>
      </c>
      <c r="T774" s="52">
        <f>IFERROR((G774-INDEX('01_Swimmers'!$E$5:$E$22,MATCH(B774,'01_Swimmers'!$A$5:$A$22,0)))/'00_Control'!$B$10,"")</f>
        <v/>
      </c>
      <c r="U774" s="35">
        <f>IF(T774="","",INT(T774))</f>
        <v/>
      </c>
      <c r="V774" s="33" t="inlineStr">
        <is>
          <t>NO</t>
        </is>
      </c>
      <c r="W774" s="33" t="inlineStr">
        <is>
          <t>YES</t>
        </is>
      </c>
      <c r="X774" s="33" t="inlineStr">
        <is>
          <t>NO</t>
        </is>
      </c>
      <c r="Y774" s="33" t="n">
        <v>2</v>
      </c>
      <c r="Z774" s="33" t="n">
        <v>5</v>
      </c>
      <c r="AA774" s="33" t="inlineStr">
        <is>
          <t>11</t>
        </is>
      </c>
      <c r="AB774" s="33" t="inlineStr">
        <is>
          <t>https://www.swimcloud.com/results/2424/event/106/?id=130573544#time130573544</t>
        </is>
      </c>
      <c r="AC774" s="33" t="inlineStr">
        <is>
          <t>SwimCloud API v6 2026-10-08</t>
        </is>
      </c>
      <c r="AD774" s="33" t="inlineStr">
        <is>
          <t>Duncan Scott|2024-07-27|LCM|200|Free|106.34|Olympic Games|PRE|False</t>
        </is>
      </c>
      <c r="AE774" s="53">
        <f>G774+L774/1000+ROW()/1000000000</f>
        <v/>
      </c>
      <c r="AF774" s="35">
        <f>IF(C774&lt;&gt;"Grayson Coulter","",COUNTIFS($C$5:$C$2991,"Grayson Coulter",$Q$5:$Q$2991,Q774,$AE$5:$AE$2991,"&lt;="&amp;AE774,$R$5:$R$2991,"&lt;"&amp;R774))</f>
        <v/>
      </c>
      <c r="AG774" s="35">
        <f>IF(OR(C774&lt;&gt;"Grayson Coulter",G774&lt;'00_Control'!$B$7),"",--(AF774&lt;5))</f>
        <v/>
      </c>
      <c r="AH774" s="35">
        <f>IF(OR(C774&lt;&gt;"Grayson Coulter",G774&lt;'00_Control'!$B$7),"",--(AF774&lt;10))</f>
        <v/>
      </c>
      <c r="AI774" s="35">
        <f>IF(AND(C774="Grayson Coulter",G774&gt;='00_Control'!$B$7),"YES","NO")</f>
        <v/>
      </c>
      <c r="AJ774" s="33" t="inlineStr">
        <is>
          <t>OK</t>
        </is>
      </c>
    </row>
    <row r="775">
      <c r="A775" s="33" t="inlineStr">
        <is>
          <t>SM000771</t>
        </is>
      </c>
      <c r="B775" s="33" t="inlineStr">
        <is>
          <t>SW016</t>
        </is>
      </c>
      <c r="C775" s="33" t="inlineStr">
        <is>
          <t>Duncan Scott</t>
        </is>
      </c>
      <c r="D775" s="33" t="inlineStr">
        <is>
          <t>SwimCloud</t>
        </is>
      </c>
      <c r="E775" s="33" t="inlineStr">
        <is>
          <t>375606</t>
        </is>
      </c>
      <c r="F775" s="33" t="inlineStr">
        <is>
          <t>130574609</t>
        </is>
      </c>
      <c r="G775" s="51" t="n">
        <v>45500</v>
      </c>
      <c r="H775" s="33" t="inlineStr">
        <is>
          <t>Olympic Games</t>
        </is>
      </c>
      <c r="I775" s="33" t="inlineStr">
        <is>
          <t>2424</t>
        </is>
      </c>
      <c r="J775" s="33" t="inlineStr"/>
      <c r="K775" s="33" t="inlineStr">
        <is>
          <t>SEM</t>
        </is>
      </c>
      <c r="L775" s="35">
        <f>IF(K775="FIN",3,IF(OR(K775="SEM",K775="SEMI"),2,IF(OR(K775="PRE",K775="HEAT"),1,IF(V775="YES",4,2))))</f>
        <v/>
      </c>
      <c r="M775" s="33" t="inlineStr">
        <is>
          <t>LCM</t>
        </is>
      </c>
      <c r="N775" s="33" t="n">
        <v>200</v>
      </c>
      <c r="O775" s="33" t="inlineStr">
        <is>
          <t>Free</t>
        </is>
      </c>
      <c r="P775" s="33" t="inlineStr">
        <is>
          <t>200 Free</t>
        </is>
      </c>
      <c r="Q775" s="33" t="inlineStr">
        <is>
          <t>LCM_200_FREE</t>
        </is>
      </c>
      <c r="R775" s="36" t="n">
        <v>104.94</v>
      </c>
      <c r="S775" s="35">
        <f>IF(R775="","",IF(R775&gt;=60,INT(R775/60)&amp;":"&amp;TEXT(MOD(R775,60),"00.00"),TEXT(R775,"0.00")))</f>
        <v/>
      </c>
      <c r="T775" s="52">
        <f>IFERROR((G775-INDEX('01_Swimmers'!$E$5:$E$22,MATCH(B775,'01_Swimmers'!$A$5:$A$22,0)))/'00_Control'!$B$10,"")</f>
        <v/>
      </c>
      <c r="U775" s="35">
        <f>IF(T775="","",INT(T775))</f>
        <v/>
      </c>
      <c r="V775" s="33" t="inlineStr">
        <is>
          <t>NO</t>
        </is>
      </c>
      <c r="W775" s="33" t="inlineStr">
        <is>
          <t>YES</t>
        </is>
      </c>
      <c r="X775" s="33" t="inlineStr">
        <is>
          <t>NO</t>
        </is>
      </c>
      <c r="Y775" s="33" t="n">
        <v>1</v>
      </c>
      <c r="Z775" s="33" t="n">
        <v>3</v>
      </c>
      <c r="AA775" s="33" t="inlineStr">
        <is>
          <t>2</t>
        </is>
      </c>
      <c r="AB775" s="33" t="inlineStr">
        <is>
          <t>https://www.swimcloud.com/results/2424/event/106/?id=130574609#time130574609</t>
        </is>
      </c>
      <c r="AC775" s="33" t="inlineStr">
        <is>
          <t>SwimCloud API v6 2026-10-08</t>
        </is>
      </c>
      <c r="AD775" s="33" t="inlineStr">
        <is>
          <t>Duncan Scott|2024-07-27|LCM|200|Free|104.94|Olympic Games|SEM|False</t>
        </is>
      </c>
      <c r="AE775" s="53">
        <f>G775+L775/1000+ROW()/1000000000</f>
        <v/>
      </c>
      <c r="AF775" s="35">
        <f>IF(C775&lt;&gt;"Grayson Coulter","",COUNTIFS($C$5:$C$2991,"Grayson Coulter",$Q$5:$Q$2991,Q775,$AE$5:$AE$2991,"&lt;="&amp;AE775,$R$5:$R$2991,"&lt;"&amp;R775))</f>
        <v/>
      </c>
      <c r="AG775" s="35">
        <f>IF(OR(C775&lt;&gt;"Grayson Coulter",G775&lt;'00_Control'!$B$7),"",--(AF775&lt;5))</f>
        <v/>
      </c>
      <c r="AH775" s="35">
        <f>IF(OR(C775&lt;&gt;"Grayson Coulter",G775&lt;'00_Control'!$B$7),"",--(AF775&lt;10))</f>
        <v/>
      </c>
      <c r="AI775" s="35">
        <f>IF(AND(C775="Grayson Coulter",G775&gt;='00_Control'!$B$7),"YES","NO")</f>
        <v/>
      </c>
      <c r="AJ775" s="33" t="inlineStr">
        <is>
          <t>OK</t>
        </is>
      </c>
    </row>
    <row r="776">
      <c r="A776" s="33" t="inlineStr">
        <is>
          <t>SM000772</t>
        </is>
      </c>
      <c r="B776" s="33" t="inlineStr">
        <is>
          <t>SW016</t>
        </is>
      </c>
      <c r="C776" s="33" t="inlineStr">
        <is>
          <t>Duncan Scott</t>
        </is>
      </c>
      <c r="D776" s="33" t="inlineStr">
        <is>
          <t>SwimCloud</t>
        </is>
      </c>
      <c r="E776" s="33" t="inlineStr">
        <is>
          <t>375606</t>
        </is>
      </c>
      <c r="F776" s="33" t="inlineStr">
        <is>
          <t>130574617</t>
        </is>
      </c>
      <c r="G776" s="51" t="n">
        <v>45500</v>
      </c>
      <c r="H776" s="33" t="inlineStr">
        <is>
          <t>Olympic Games</t>
        </is>
      </c>
      <c r="I776" s="33" t="inlineStr">
        <is>
          <t>2424</t>
        </is>
      </c>
      <c r="J776" s="33" t="inlineStr"/>
      <c r="K776" s="33" t="inlineStr">
        <is>
          <t>FIN</t>
        </is>
      </c>
      <c r="L776" s="35">
        <f>IF(K776="FIN",3,IF(OR(K776="SEM",K776="SEMI"),2,IF(OR(K776="PRE",K776="HEAT"),1,IF(V776="YES",4,2))))</f>
        <v/>
      </c>
      <c r="M776" s="33" t="inlineStr">
        <is>
          <t>LCM</t>
        </is>
      </c>
      <c r="N776" s="33" t="n">
        <v>200</v>
      </c>
      <c r="O776" s="33" t="inlineStr">
        <is>
          <t>Free</t>
        </is>
      </c>
      <c r="P776" s="33" t="inlineStr">
        <is>
          <t>200 Free</t>
        </is>
      </c>
      <c r="Q776" s="33" t="inlineStr">
        <is>
          <t>LCM_200_FREE</t>
        </is>
      </c>
      <c r="R776" s="36" t="n">
        <v>104.87</v>
      </c>
      <c r="S776" s="35">
        <f>IF(R776="","",IF(R776&gt;=60,INT(R776/60)&amp;":"&amp;TEXT(MOD(R776,60),"00.00"),TEXT(R776,"0.00")))</f>
        <v/>
      </c>
      <c r="T776" s="52">
        <f>IFERROR((G776-INDEX('01_Swimmers'!$E$5:$E$22,MATCH(B776,'01_Swimmers'!$A$5:$A$22,0)))/'00_Control'!$B$10,"")</f>
        <v/>
      </c>
      <c r="U776" s="35">
        <f>IF(T776="","",INT(T776))</f>
        <v/>
      </c>
      <c r="V776" s="33" t="inlineStr">
        <is>
          <t>NO</t>
        </is>
      </c>
      <c r="W776" s="33" t="inlineStr">
        <is>
          <t>YES</t>
        </is>
      </c>
      <c r="X776" s="33" t="inlineStr">
        <is>
          <t>NO</t>
        </is>
      </c>
      <c r="Y776" s="33" t="n">
        <v>1</v>
      </c>
      <c r="Z776" s="33" t="n">
        <v>5</v>
      </c>
      <c r="AA776" s="33" t="inlineStr">
        <is>
          <t>4</t>
        </is>
      </c>
      <c r="AB776" s="33" t="inlineStr">
        <is>
          <t>https://www.swimcloud.com/results/2424/event/106/?id=130574617#time130574617</t>
        </is>
      </c>
      <c r="AC776" s="33" t="inlineStr">
        <is>
          <t>SwimCloud API v6 2026-10-08</t>
        </is>
      </c>
      <c r="AD776" s="33" t="inlineStr">
        <is>
          <t>Duncan Scott|2024-07-27|LCM|200|Free|104.87|Olympic Games|FIN|False</t>
        </is>
      </c>
      <c r="AE776" s="53">
        <f>G776+L776/1000+ROW()/1000000000</f>
        <v/>
      </c>
      <c r="AF776" s="35">
        <f>IF(C776&lt;&gt;"Grayson Coulter","",COUNTIFS($C$5:$C$2991,"Grayson Coulter",$Q$5:$Q$2991,Q776,$AE$5:$AE$2991,"&lt;="&amp;AE776,$R$5:$R$2991,"&lt;"&amp;R776))</f>
        <v/>
      </c>
      <c r="AG776" s="35">
        <f>IF(OR(C776&lt;&gt;"Grayson Coulter",G776&lt;'00_Control'!$B$7),"",--(AF776&lt;5))</f>
        <v/>
      </c>
      <c r="AH776" s="35">
        <f>IF(OR(C776&lt;&gt;"Grayson Coulter",G776&lt;'00_Control'!$B$7),"",--(AF776&lt;10))</f>
        <v/>
      </c>
      <c r="AI776" s="35">
        <f>IF(AND(C776="Grayson Coulter",G776&gt;='00_Control'!$B$7),"YES","NO")</f>
        <v/>
      </c>
      <c r="AJ776" s="33" t="inlineStr">
        <is>
          <t>OK</t>
        </is>
      </c>
    </row>
    <row r="777">
      <c r="A777" s="33" t="inlineStr">
        <is>
          <t>SM000773</t>
        </is>
      </c>
      <c r="B777" s="33" t="inlineStr">
        <is>
          <t>SW016</t>
        </is>
      </c>
      <c r="C777" s="33" t="inlineStr">
        <is>
          <t>Duncan Scott</t>
        </is>
      </c>
      <c r="D777" s="33" t="inlineStr">
        <is>
          <t>SwimCloud</t>
        </is>
      </c>
      <c r="E777" s="33" t="inlineStr">
        <is>
          <t>375606</t>
        </is>
      </c>
      <c r="F777" s="33" t="inlineStr">
        <is>
          <t>133946757</t>
        </is>
      </c>
      <c r="G777" s="51" t="n">
        <v>45583</v>
      </c>
      <c r="H777" s="33" t="inlineStr">
        <is>
          <t>World Aquatics World Cup - Shanghai</t>
        </is>
      </c>
      <c r="I777" s="33" t="inlineStr">
        <is>
          <t>285199</t>
        </is>
      </c>
      <c r="J777" s="33" t="inlineStr"/>
      <c r="K777" s="33" t="inlineStr">
        <is>
          <t>PRE</t>
        </is>
      </c>
      <c r="L777" s="35">
        <f>IF(K777="FIN",3,IF(OR(K777="SEM",K777="SEMI"),2,IF(OR(K777="PRE",K777="HEAT"),1,IF(V777="YES",4,2))))</f>
        <v/>
      </c>
      <c r="M777" s="33" t="inlineStr">
        <is>
          <t>SCM</t>
        </is>
      </c>
      <c r="N777" s="33" t="n">
        <v>400</v>
      </c>
      <c r="O777" s="33" t="inlineStr">
        <is>
          <t>Free</t>
        </is>
      </c>
      <c r="P777" s="33" t="inlineStr">
        <is>
          <t>400 Free</t>
        </is>
      </c>
      <c r="Q777" s="33" t="inlineStr">
        <is>
          <t>SCM_400_FREE</t>
        </is>
      </c>
      <c r="R777" s="36" t="n">
        <v>222.29</v>
      </c>
      <c r="S777" s="35">
        <f>IF(R777="","",IF(R777&gt;=60,INT(R777/60)&amp;":"&amp;TEXT(MOD(R777,60),"00.00"),TEXT(R777,"0.00")))</f>
        <v/>
      </c>
      <c r="T777" s="52">
        <f>IFERROR((G777-INDEX('01_Swimmers'!$E$5:$E$22,MATCH(B777,'01_Swimmers'!$A$5:$A$22,0)))/'00_Control'!$B$10,"")</f>
        <v/>
      </c>
      <c r="U777" s="35">
        <f>IF(T777="","",INT(T777))</f>
        <v/>
      </c>
      <c r="V777" s="33" t="inlineStr">
        <is>
          <t>NO</t>
        </is>
      </c>
      <c r="W777" s="33" t="inlineStr">
        <is>
          <t>YES</t>
        </is>
      </c>
      <c r="X777" s="33" t="inlineStr">
        <is>
          <t>NO</t>
        </is>
      </c>
      <c r="Y777" s="33" t="n">
        <v>2</v>
      </c>
      <c r="Z777" s="33" t="n"/>
      <c r="AA777" s="33" t="inlineStr">
        <is>
          <t>3</t>
        </is>
      </c>
      <c r="AB777" s="33" t="inlineStr">
        <is>
          <t>https://www.swimcloud.com/results/285199/event/2/?id=133946757#time133946757</t>
        </is>
      </c>
      <c r="AC777" s="33" t="inlineStr">
        <is>
          <t>SwimCloud API v6 2026-10-08</t>
        </is>
      </c>
      <c r="AD777" s="33" t="inlineStr">
        <is>
          <t>Duncan Scott|2024-10-18|SCM|400|Free|222.29|World Aquatics World Cup - Shanghai|PRE|False</t>
        </is>
      </c>
      <c r="AE777" s="53">
        <f>G777+L777/1000+ROW()/1000000000</f>
        <v/>
      </c>
      <c r="AF777" s="35">
        <f>IF(C777&lt;&gt;"Grayson Coulter","",COUNTIFS($C$5:$C$2991,"Grayson Coulter",$Q$5:$Q$2991,Q777,$AE$5:$AE$2991,"&lt;="&amp;AE777,$R$5:$R$2991,"&lt;"&amp;R777))</f>
        <v/>
      </c>
      <c r="AG777" s="35">
        <f>IF(OR(C777&lt;&gt;"Grayson Coulter",G777&lt;'00_Control'!$B$7),"",--(AF777&lt;5))</f>
        <v/>
      </c>
      <c r="AH777" s="35">
        <f>IF(OR(C777&lt;&gt;"Grayson Coulter",G777&lt;'00_Control'!$B$7),"",--(AF777&lt;10))</f>
        <v/>
      </c>
      <c r="AI777" s="35">
        <f>IF(AND(C777="Grayson Coulter",G777&gt;='00_Control'!$B$7),"YES","NO")</f>
        <v/>
      </c>
      <c r="AJ777" s="33" t="inlineStr">
        <is>
          <t>OK</t>
        </is>
      </c>
    </row>
    <row r="778">
      <c r="A778" s="33" t="inlineStr">
        <is>
          <t>SM000774</t>
        </is>
      </c>
      <c r="B778" s="33" t="inlineStr">
        <is>
          <t>SW016</t>
        </is>
      </c>
      <c r="C778" s="33" t="inlineStr">
        <is>
          <t>Duncan Scott</t>
        </is>
      </c>
      <c r="D778" s="33" t="inlineStr">
        <is>
          <t>SwimCloud</t>
        </is>
      </c>
      <c r="E778" s="33" t="inlineStr">
        <is>
          <t>375606</t>
        </is>
      </c>
      <c r="F778" s="33" t="inlineStr">
        <is>
          <t>133946756</t>
        </is>
      </c>
      <c r="G778" s="51" t="n">
        <v>45583</v>
      </c>
      <c r="H778" s="33" t="inlineStr">
        <is>
          <t>World Aquatics World Cup - Shanghai</t>
        </is>
      </c>
      <c r="I778" s="33" t="inlineStr">
        <is>
          <t>285199</t>
        </is>
      </c>
      <c r="J778" s="33" t="inlineStr"/>
      <c r="K778" s="33" t="inlineStr">
        <is>
          <t>FIN</t>
        </is>
      </c>
      <c r="L778" s="35">
        <f>IF(K778="FIN",3,IF(OR(K778="SEM",K778="SEMI"),2,IF(OR(K778="PRE",K778="HEAT"),1,IF(V778="YES",4,2))))</f>
        <v/>
      </c>
      <c r="M778" s="33" t="inlineStr">
        <is>
          <t>SCM</t>
        </is>
      </c>
      <c r="N778" s="33" t="n">
        <v>400</v>
      </c>
      <c r="O778" s="33" t="inlineStr">
        <is>
          <t>Free</t>
        </is>
      </c>
      <c r="P778" s="33" t="inlineStr">
        <is>
          <t>400 Free</t>
        </is>
      </c>
      <c r="Q778" s="33" t="inlineStr">
        <is>
          <t>SCM_400_FREE</t>
        </is>
      </c>
      <c r="R778" s="36" t="n">
        <v>216.98</v>
      </c>
      <c r="S778" s="35">
        <f>IF(R778="","",IF(R778&gt;=60,INT(R778/60)&amp;":"&amp;TEXT(MOD(R778,60),"00.00"),TEXT(R778,"0.00")))</f>
        <v/>
      </c>
      <c r="T778" s="52">
        <f>IFERROR((G778-INDEX('01_Swimmers'!$E$5:$E$22,MATCH(B778,'01_Swimmers'!$A$5:$A$22,0)))/'00_Control'!$B$10,"")</f>
        <v/>
      </c>
      <c r="U778" s="35">
        <f>IF(T778="","",INT(T778))</f>
        <v/>
      </c>
      <c r="V778" s="33" t="inlineStr">
        <is>
          <t>NO</t>
        </is>
      </c>
      <c r="W778" s="33" t="inlineStr">
        <is>
          <t>YES</t>
        </is>
      </c>
      <c r="X778" s="33" t="inlineStr">
        <is>
          <t>NO</t>
        </is>
      </c>
      <c r="Y778" s="33" t="n">
        <v>1</v>
      </c>
      <c r="Z778" s="33" t="n">
        <v>3</v>
      </c>
      <c r="AA778" s="33" t="inlineStr">
        <is>
          <t>1</t>
        </is>
      </c>
      <c r="AB778" s="33" t="inlineStr">
        <is>
          <t>https://www.swimcloud.com/results/285199/event/2/?id=133946756#time133946756</t>
        </is>
      </c>
      <c r="AC778" s="33" t="inlineStr">
        <is>
          <t>SwimCloud API v6 2026-10-08</t>
        </is>
      </c>
      <c r="AD778" s="33" t="inlineStr">
        <is>
          <t>Duncan Scott|2024-10-18|SCM|400|Free|216.98|World Aquatics World Cup - Shanghai|FIN|False</t>
        </is>
      </c>
      <c r="AE778" s="53">
        <f>G778+L778/1000+ROW()/1000000000</f>
        <v/>
      </c>
      <c r="AF778" s="35">
        <f>IF(C778&lt;&gt;"Grayson Coulter","",COUNTIFS($C$5:$C$2991,"Grayson Coulter",$Q$5:$Q$2991,Q778,$AE$5:$AE$2991,"&lt;="&amp;AE778,$R$5:$R$2991,"&lt;"&amp;R778))</f>
        <v/>
      </c>
      <c r="AG778" s="35">
        <f>IF(OR(C778&lt;&gt;"Grayson Coulter",G778&lt;'00_Control'!$B$7),"",--(AF778&lt;5))</f>
        <v/>
      </c>
      <c r="AH778" s="35">
        <f>IF(OR(C778&lt;&gt;"Grayson Coulter",G778&lt;'00_Control'!$B$7),"",--(AF778&lt;10))</f>
        <v/>
      </c>
      <c r="AI778" s="35">
        <f>IF(AND(C778="Grayson Coulter",G778&gt;='00_Control'!$B$7),"YES","NO")</f>
        <v/>
      </c>
      <c r="AJ778" s="33" t="inlineStr">
        <is>
          <t>OK</t>
        </is>
      </c>
    </row>
    <row r="779">
      <c r="A779" s="33" t="inlineStr">
        <is>
          <t>SM000775</t>
        </is>
      </c>
      <c r="B779" s="33" t="inlineStr">
        <is>
          <t>SW016</t>
        </is>
      </c>
      <c r="C779" s="33" t="inlineStr">
        <is>
          <t>Duncan Scott</t>
        </is>
      </c>
      <c r="D779" s="33" t="inlineStr">
        <is>
          <t>SwimCloud</t>
        </is>
      </c>
      <c r="E779" s="33" t="inlineStr">
        <is>
          <t>375606</t>
        </is>
      </c>
      <c r="F779" s="33" t="inlineStr">
        <is>
          <t>133946753</t>
        </is>
      </c>
      <c r="G779" s="51" t="n">
        <v>45585</v>
      </c>
      <c r="H779" s="33" t="inlineStr">
        <is>
          <t>World Aquatics World Cup - Shanghai</t>
        </is>
      </c>
      <c r="I779" s="33" t="inlineStr">
        <is>
          <t>285199</t>
        </is>
      </c>
      <c r="J779" s="33" t="inlineStr"/>
      <c r="K779" s="33" t="inlineStr">
        <is>
          <t>PRE</t>
        </is>
      </c>
      <c r="L779" s="35">
        <f>IF(K779="FIN",3,IF(OR(K779="SEM",K779="SEMI"),2,IF(OR(K779="PRE",K779="HEAT"),1,IF(V779="YES",4,2))))</f>
        <v/>
      </c>
      <c r="M779" s="33" t="inlineStr">
        <is>
          <t>SCM</t>
        </is>
      </c>
      <c r="N779" s="33" t="n">
        <v>200</v>
      </c>
      <c r="O779" s="33" t="inlineStr">
        <is>
          <t>Free</t>
        </is>
      </c>
      <c r="P779" s="33" t="inlineStr">
        <is>
          <t>200 Free</t>
        </is>
      </c>
      <c r="Q779" s="33" t="inlineStr">
        <is>
          <t>SCM_200_FREE</t>
        </is>
      </c>
      <c r="R779" s="36" t="n">
        <v>103.54</v>
      </c>
      <c r="S779" s="35">
        <f>IF(R779="","",IF(R779&gt;=60,INT(R779/60)&amp;":"&amp;TEXT(MOD(R779,60),"00.00"),TEXT(R779,"0.00")))</f>
        <v/>
      </c>
      <c r="T779" s="52">
        <f>IFERROR((G779-INDEX('01_Swimmers'!$E$5:$E$22,MATCH(B779,'01_Swimmers'!$A$5:$A$22,0)))/'00_Control'!$B$10,"")</f>
        <v/>
      </c>
      <c r="U779" s="35">
        <f>IF(T779="","",INT(T779))</f>
        <v/>
      </c>
      <c r="V779" s="33" t="inlineStr">
        <is>
          <t>NO</t>
        </is>
      </c>
      <c r="W779" s="33" t="inlineStr">
        <is>
          <t>YES</t>
        </is>
      </c>
      <c r="X779" s="33" t="inlineStr">
        <is>
          <t>NO</t>
        </is>
      </c>
      <c r="Y779" s="33" t="n">
        <v>2</v>
      </c>
      <c r="Z779" s="33" t="n">
        <v>4</v>
      </c>
      <c r="AA779" s="33" t="inlineStr">
        <is>
          <t>5</t>
        </is>
      </c>
      <c r="AB779" s="33" t="inlineStr">
        <is>
          <t>https://www.swimcloud.com/results/285199/event/32/?id=133946753#time133946753</t>
        </is>
      </c>
      <c r="AC779" s="33" t="inlineStr">
        <is>
          <t>SwimCloud API v6 2026-10-08</t>
        </is>
      </c>
      <c r="AD779" s="33" t="inlineStr">
        <is>
          <t>Duncan Scott|2024-10-20|SCM|200|Free|103.54|World Aquatics World Cup - Shanghai|PRE|False</t>
        </is>
      </c>
      <c r="AE779" s="53">
        <f>G779+L779/1000+ROW()/1000000000</f>
        <v/>
      </c>
      <c r="AF779" s="35">
        <f>IF(C779&lt;&gt;"Grayson Coulter","",COUNTIFS($C$5:$C$2991,"Grayson Coulter",$Q$5:$Q$2991,Q779,$AE$5:$AE$2991,"&lt;="&amp;AE779,$R$5:$R$2991,"&lt;"&amp;R779))</f>
        <v/>
      </c>
      <c r="AG779" s="35">
        <f>IF(OR(C779&lt;&gt;"Grayson Coulter",G779&lt;'00_Control'!$B$7),"",--(AF779&lt;5))</f>
        <v/>
      </c>
      <c r="AH779" s="35">
        <f>IF(OR(C779&lt;&gt;"Grayson Coulter",G779&lt;'00_Control'!$B$7),"",--(AF779&lt;10))</f>
        <v/>
      </c>
      <c r="AI779" s="35">
        <f>IF(AND(C779="Grayson Coulter",G779&gt;='00_Control'!$B$7),"YES","NO")</f>
        <v/>
      </c>
      <c r="AJ779" s="33" t="inlineStr">
        <is>
          <t>OK</t>
        </is>
      </c>
    </row>
    <row r="780">
      <c r="A780" s="33" t="inlineStr">
        <is>
          <t>SM000776</t>
        </is>
      </c>
      <c r="B780" s="33" t="inlineStr">
        <is>
          <t>SW016</t>
        </is>
      </c>
      <c r="C780" s="33" t="inlineStr">
        <is>
          <t>Duncan Scott</t>
        </is>
      </c>
      <c r="D780" s="33" t="inlineStr">
        <is>
          <t>SwimCloud</t>
        </is>
      </c>
      <c r="E780" s="33" t="inlineStr">
        <is>
          <t>375606</t>
        </is>
      </c>
      <c r="F780" s="33" t="inlineStr">
        <is>
          <t>133946752</t>
        </is>
      </c>
      <c r="G780" s="51" t="n">
        <v>45585</v>
      </c>
      <c r="H780" s="33" t="inlineStr">
        <is>
          <t>World Aquatics World Cup - Shanghai</t>
        </is>
      </c>
      <c r="I780" s="33" t="inlineStr">
        <is>
          <t>285199</t>
        </is>
      </c>
      <c r="J780" s="33" t="inlineStr"/>
      <c r="K780" s="33" t="inlineStr">
        <is>
          <t>FIN</t>
        </is>
      </c>
      <c r="L780" s="35">
        <f>IF(K780="FIN",3,IF(OR(K780="SEM",K780="SEMI"),2,IF(OR(K780="PRE",K780="HEAT"),1,IF(V780="YES",4,2))))</f>
        <v/>
      </c>
      <c r="M780" s="33" t="inlineStr">
        <is>
          <t>SCM</t>
        </is>
      </c>
      <c r="N780" s="33" t="n">
        <v>200</v>
      </c>
      <c r="O780" s="33" t="inlineStr">
        <is>
          <t>Free</t>
        </is>
      </c>
      <c r="P780" s="33" t="inlineStr">
        <is>
          <t>200 Free</t>
        </is>
      </c>
      <c r="Q780" s="33" t="inlineStr">
        <is>
          <t>SCM_200_FREE</t>
        </is>
      </c>
      <c r="R780" s="36" t="n">
        <v>100.92</v>
      </c>
      <c r="S780" s="35">
        <f>IF(R780="","",IF(R780&gt;=60,INT(R780/60)&amp;":"&amp;TEXT(MOD(R780,60),"00.00"),TEXT(R780,"0.00")))</f>
        <v/>
      </c>
      <c r="T780" s="52">
        <f>IFERROR((G780-INDEX('01_Swimmers'!$E$5:$E$22,MATCH(B780,'01_Swimmers'!$A$5:$A$22,0)))/'00_Control'!$B$10,"")</f>
        <v/>
      </c>
      <c r="U780" s="35">
        <f>IF(T780="","",INT(T780))</f>
        <v/>
      </c>
      <c r="V780" s="33" t="inlineStr">
        <is>
          <t>NO</t>
        </is>
      </c>
      <c r="W780" s="33" t="inlineStr">
        <is>
          <t>YES</t>
        </is>
      </c>
      <c r="X780" s="33" t="inlineStr">
        <is>
          <t>NO</t>
        </is>
      </c>
      <c r="Y780" s="33" t="n">
        <v>1</v>
      </c>
      <c r="Z780" s="33" t="n">
        <v>2</v>
      </c>
      <c r="AA780" s="33" t="inlineStr">
        <is>
          <t>1</t>
        </is>
      </c>
      <c r="AB780" s="33" t="inlineStr">
        <is>
          <t>https://www.swimcloud.com/results/285199/event/32/?id=133946752#time133946752</t>
        </is>
      </c>
      <c r="AC780" s="33" t="inlineStr">
        <is>
          <t>SwimCloud API v6 2026-10-08</t>
        </is>
      </c>
      <c r="AD780" s="33" t="inlineStr">
        <is>
          <t>Duncan Scott|2024-10-20|SCM|200|Free|100.92|World Aquatics World Cup - Shanghai|FIN|False</t>
        </is>
      </c>
      <c r="AE780" s="53">
        <f>G780+L780/1000+ROW()/1000000000</f>
        <v/>
      </c>
      <c r="AF780" s="35">
        <f>IF(C780&lt;&gt;"Grayson Coulter","",COUNTIFS($C$5:$C$2991,"Grayson Coulter",$Q$5:$Q$2991,Q780,$AE$5:$AE$2991,"&lt;="&amp;AE780,$R$5:$R$2991,"&lt;"&amp;R780))</f>
        <v/>
      </c>
      <c r="AG780" s="35">
        <f>IF(OR(C780&lt;&gt;"Grayson Coulter",G780&lt;'00_Control'!$B$7),"",--(AF780&lt;5))</f>
        <v/>
      </c>
      <c r="AH780" s="35">
        <f>IF(OR(C780&lt;&gt;"Grayson Coulter",G780&lt;'00_Control'!$B$7),"",--(AF780&lt;10))</f>
        <v/>
      </c>
      <c r="AI780" s="35">
        <f>IF(AND(C780="Grayson Coulter",G780&gt;='00_Control'!$B$7),"YES","NO")</f>
        <v/>
      </c>
      <c r="AJ780" s="33" t="inlineStr">
        <is>
          <t>OK</t>
        </is>
      </c>
    </row>
    <row r="781">
      <c r="A781" s="33" t="inlineStr">
        <is>
          <t>SM000777</t>
        </is>
      </c>
      <c r="B781" s="33" t="inlineStr">
        <is>
          <t>SW016</t>
        </is>
      </c>
      <c r="C781" s="33" t="inlineStr">
        <is>
          <t>Duncan Scott</t>
        </is>
      </c>
      <c r="D781" s="33" t="inlineStr">
        <is>
          <t>SwimCloud</t>
        </is>
      </c>
      <c r="E781" s="33" t="inlineStr">
        <is>
          <t>375606</t>
        </is>
      </c>
      <c r="F781" s="33" t="inlineStr">
        <is>
          <t>134570671</t>
        </is>
      </c>
      <c r="G781" s="51" t="n">
        <v>45589</v>
      </c>
      <c r="H781" s="33" t="inlineStr">
        <is>
          <t>World Aquatics World Cup - Incheon</t>
        </is>
      </c>
      <c r="I781" s="33" t="inlineStr">
        <is>
          <t>285200</t>
        </is>
      </c>
      <c r="J781" s="33" t="inlineStr"/>
      <c r="K781" s="33" t="inlineStr">
        <is>
          <t>PRE</t>
        </is>
      </c>
      <c r="L781" s="35">
        <f>IF(K781="FIN",3,IF(OR(K781="SEM",K781="SEMI"),2,IF(OR(K781="PRE",K781="HEAT"),1,IF(V781="YES",4,2))))</f>
        <v/>
      </c>
      <c r="M781" s="33" t="inlineStr">
        <is>
          <t>SCM</t>
        </is>
      </c>
      <c r="N781" s="33" t="n">
        <v>400</v>
      </c>
      <c r="O781" s="33" t="inlineStr">
        <is>
          <t>Free</t>
        </is>
      </c>
      <c r="P781" s="33" t="inlineStr">
        <is>
          <t>400 Free</t>
        </is>
      </c>
      <c r="Q781" s="33" t="inlineStr">
        <is>
          <t>SCM_400_FREE</t>
        </is>
      </c>
      <c r="R781" s="36" t="n">
        <v>220.91</v>
      </c>
      <c r="S781" s="35">
        <f>IF(R781="","",IF(R781&gt;=60,INT(R781/60)&amp;":"&amp;TEXT(MOD(R781,60),"00.00"),TEXT(R781,"0.00")))</f>
        <v/>
      </c>
      <c r="T781" s="52">
        <f>IFERROR((G781-INDEX('01_Swimmers'!$E$5:$E$22,MATCH(B781,'01_Swimmers'!$A$5:$A$22,0)))/'00_Control'!$B$10,"")</f>
        <v/>
      </c>
      <c r="U781" s="35">
        <f>IF(T781="","",INT(T781))</f>
        <v/>
      </c>
      <c r="V781" s="33" t="inlineStr">
        <is>
          <t>NO</t>
        </is>
      </c>
      <c r="W781" s="33" t="inlineStr">
        <is>
          <t>YES</t>
        </is>
      </c>
      <c r="X781" s="33" t="inlineStr">
        <is>
          <t>NO</t>
        </is>
      </c>
      <c r="Y781" s="33" t="n">
        <v>3</v>
      </c>
      <c r="Z781" s="33" t="n">
        <v>4</v>
      </c>
      <c r="AA781" s="33" t="inlineStr">
        <is>
          <t>2</t>
        </is>
      </c>
      <c r="AB781" s="33" t="inlineStr">
        <is>
          <t>https://www.swimcloud.com/results/285200/event/2/?id=134570671#time134570671</t>
        </is>
      </c>
      <c r="AC781" s="33" t="inlineStr">
        <is>
          <t>SwimCloud API v6 2026-10-08</t>
        </is>
      </c>
      <c r="AD781" s="33" t="inlineStr">
        <is>
          <t>Duncan Scott|2024-10-24|SCM|400|Free|220.91|World Aquatics World Cup - Incheon|PRE|False</t>
        </is>
      </c>
      <c r="AE781" s="53">
        <f>G781+L781/1000+ROW()/1000000000</f>
        <v/>
      </c>
      <c r="AF781" s="35">
        <f>IF(C781&lt;&gt;"Grayson Coulter","",COUNTIFS($C$5:$C$2991,"Grayson Coulter",$Q$5:$Q$2991,Q781,$AE$5:$AE$2991,"&lt;="&amp;AE781,$R$5:$R$2991,"&lt;"&amp;R781))</f>
        <v/>
      </c>
      <c r="AG781" s="35">
        <f>IF(OR(C781&lt;&gt;"Grayson Coulter",G781&lt;'00_Control'!$B$7),"",--(AF781&lt;5))</f>
        <v/>
      </c>
      <c r="AH781" s="35">
        <f>IF(OR(C781&lt;&gt;"Grayson Coulter",G781&lt;'00_Control'!$B$7),"",--(AF781&lt;10))</f>
        <v/>
      </c>
      <c r="AI781" s="35">
        <f>IF(AND(C781="Grayson Coulter",G781&gt;='00_Control'!$B$7),"YES","NO")</f>
        <v/>
      </c>
      <c r="AJ781" s="33" t="inlineStr">
        <is>
          <t>OK</t>
        </is>
      </c>
    </row>
    <row r="782">
      <c r="A782" s="33" t="inlineStr">
        <is>
          <t>SM000778</t>
        </is>
      </c>
      <c r="B782" s="33" t="inlineStr">
        <is>
          <t>SW016</t>
        </is>
      </c>
      <c r="C782" s="33" t="inlineStr">
        <is>
          <t>Duncan Scott</t>
        </is>
      </c>
      <c r="D782" s="33" t="inlineStr">
        <is>
          <t>SwimCloud</t>
        </is>
      </c>
      <c r="E782" s="33" t="inlineStr">
        <is>
          <t>375606</t>
        </is>
      </c>
      <c r="F782" s="33" t="inlineStr">
        <is>
          <t>134570670</t>
        </is>
      </c>
      <c r="G782" s="51" t="n">
        <v>45589</v>
      </c>
      <c r="H782" s="33" t="inlineStr">
        <is>
          <t>World Aquatics World Cup - Incheon</t>
        </is>
      </c>
      <c r="I782" s="33" t="inlineStr">
        <is>
          <t>285200</t>
        </is>
      </c>
      <c r="J782" s="33" t="inlineStr"/>
      <c r="K782" s="33" t="inlineStr">
        <is>
          <t>FIN</t>
        </is>
      </c>
      <c r="L782" s="35">
        <f>IF(K782="FIN",3,IF(OR(K782="SEM",K782="SEMI"),2,IF(OR(K782="PRE",K782="HEAT"),1,IF(V782="YES",4,2))))</f>
        <v/>
      </c>
      <c r="M782" s="33" t="inlineStr">
        <is>
          <t>SCM</t>
        </is>
      </c>
      <c r="N782" s="33" t="n">
        <v>400</v>
      </c>
      <c r="O782" s="33" t="inlineStr">
        <is>
          <t>Free</t>
        </is>
      </c>
      <c r="P782" s="33" t="inlineStr">
        <is>
          <t>400 Free</t>
        </is>
      </c>
      <c r="Q782" s="33" t="inlineStr">
        <is>
          <t>SCM_400_FREE</t>
        </is>
      </c>
      <c r="R782" s="36" t="n">
        <v>217.04</v>
      </c>
      <c r="S782" s="35">
        <f>IF(R782="","",IF(R782&gt;=60,INT(R782/60)&amp;":"&amp;TEXT(MOD(R782,60),"00.00"),TEXT(R782,"0.00")))</f>
        <v/>
      </c>
      <c r="T782" s="52">
        <f>IFERROR((G782-INDEX('01_Swimmers'!$E$5:$E$22,MATCH(B782,'01_Swimmers'!$A$5:$A$22,0)))/'00_Control'!$B$10,"")</f>
        <v/>
      </c>
      <c r="U782" s="35">
        <f>IF(T782="","",INT(T782))</f>
        <v/>
      </c>
      <c r="V782" s="33" t="inlineStr">
        <is>
          <t>NO</t>
        </is>
      </c>
      <c r="W782" s="33" t="inlineStr">
        <is>
          <t>YES</t>
        </is>
      </c>
      <c r="X782" s="33" t="inlineStr">
        <is>
          <t>NO</t>
        </is>
      </c>
      <c r="Y782" s="33" t="n">
        <v>1</v>
      </c>
      <c r="Z782" s="33" t="n">
        <v>5</v>
      </c>
      <c r="AA782" s="33" t="inlineStr">
        <is>
          <t>2</t>
        </is>
      </c>
      <c r="AB782" s="33" t="inlineStr">
        <is>
          <t>https://www.swimcloud.com/results/285200/event/2/?id=134570670#time134570670</t>
        </is>
      </c>
      <c r="AC782" s="33" t="inlineStr">
        <is>
          <t>SwimCloud API v6 2026-10-08</t>
        </is>
      </c>
      <c r="AD782" s="33" t="inlineStr">
        <is>
          <t>Duncan Scott|2024-10-24|SCM|400|Free|217.04|World Aquatics World Cup - Incheon|FIN|False</t>
        </is>
      </c>
      <c r="AE782" s="53">
        <f>G782+L782/1000+ROW()/1000000000</f>
        <v/>
      </c>
      <c r="AF782" s="35">
        <f>IF(C782&lt;&gt;"Grayson Coulter","",COUNTIFS($C$5:$C$2991,"Grayson Coulter",$Q$5:$Q$2991,Q782,$AE$5:$AE$2991,"&lt;="&amp;AE782,$R$5:$R$2991,"&lt;"&amp;R782))</f>
        <v/>
      </c>
      <c r="AG782" s="35">
        <f>IF(OR(C782&lt;&gt;"Grayson Coulter",G782&lt;'00_Control'!$B$7),"",--(AF782&lt;5))</f>
        <v/>
      </c>
      <c r="AH782" s="35">
        <f>IF(OR(C782&lt;&gt;"Grayson Coulter",G782&lt;'00_Control'!$B$7),"",--(AF782&lt;10))</f>
        <v/>
      </c>
      <c r="AI782" s="35">
        <f>IF(AND(C782="Grayson Coulter",G782&gt;='00_Control'!$B$7),"YES","NO")</f>
        <v/>
      </c>
      <c r="AJ782" s="33" t="inlineStr">
        <is>
          <t>OK</t>
        </is>
      </c>
    </row>
    <row r="783">
      <c r="A783" s="33" t="inlineStr">
        <is>
          <t>SM000779</t>
        </is>
      </c>
      <c r="B783" s="33" t="inlineStr">
        <is>
          <t>SW016</t>
        </is>
      </c>
      <c r="C783" s="33" t="inlineStr">
        <is>
          <t>Duncan Scott</t>
        </is>
      </c>
      <c r="D783" s="33" t="inlineStr">
        <is>
          <t>SwimCloud</t>
        </is>
      </c>
      <c r="E783" s="33" t="inlineStr">
        <is>
          <t>375606</t>
        </is>
      </c>
      <c r="F783" s="33" t="inlineStr">
        <is>
          <t>134570667</t>
        </is>
      </c>
      <c r="G783" s="51" t="n">
        <v>45591</v>
      </c>
      <c r="H783" s="33" t="inlineStr">
        <is>
          <t>World Aquatics World Cup - Incheon</t>
        </is>
      </c>
      <c r="I783" s="33" t="inlineStr">
        <is>
          <t>285200</t>
        </is>
      </c>
      <c r="J783" s="33" t="inlineStr"/>
      <c r="K783" s="33" t="inlineStr">
        <is>
          <t>PRE</t>
        </is>
      </c>
      <c r="L783" s="35">
        <f>IF(K783="FIN",3,IF(OR(K783="SEM",K783="SEMI"),2,IF(OR(K783="PRE",K783="HEAT"),1,IF(V783="YES",4,2))))</f>
        <v/>
      </c>
      <c r="M783" s="33" t="inlineStr">
        <is>
          <t>SCM</t>
        </is>
      </c>
      <c r="N783" s="33" t="n">
        <v>200</v>
      </c>
      <c r="O783" s="33" t="inlineStr">
        <is>
          <t>Free</t>
        </is>
      </c>
      <c r="P783" s="33" t="inlineStr">
        <is>
          <t>200 Free</t>
        </is>
      </c>
      <c r="Q783" s="33" t="inlineStr">
        <is>
          <t>SCM_200_FREE</t>
        </is>
      </c>
      <c r="R783" s="36" t="n">
        <v>102.35</v>
      </c>
      <c r="S783" s="35">
        <f>IF(R783="","",IF(R783&gt;=60,INT(R783/60)&amp;":"&amp;TEXT(MOD(R783,60),"00.00"),TEXT(R783,"0.00")))</f>
        <v/>
      </c>
      <c r="T783" s="52">
        <f>IFERROR((G783-INDEX('01_Swimmers'!$E$5:$E$22,MATCH(B783,'01_Swimmers'!$A$5:$A$22,0)))/'00_Control'!$B$10,"")</f>
        <v/>
      </c>
      <c r="U783" s="35">
        <f>IF(T783="","",INT(T783))</f>
        <v/>
      </c>
      <c r="V783" s="33" t="inlineStr">
        <is>
          <t>NO</t>
        </is>
      </c>
      <c r="W783" s="33" t="inlineStr">
        <is>
          <t>YES</t>
        </is>
      </c>
      <c r="X783" s="33" t="inlineStr">
        <is>
          <t>NO</t>
        </is>
      </c>
      <c r="Y783" s="33" t="n">
        <v>5</v>
      </c>
      <c r="Z783" s="33" t="n">
        <v>5</v>
      </c>
      <c r="AA783" s="33" t="inlineStr">
        <is>
          <t>1</t>
        </is>
      </c>
      <c r="AB783" s="33" t="inlineStr">
        <is>
          <t>https://www.swimcloud.com/results/285200/event/33/?id=134570667#time134570667</t>
        </is>
      </c>
      <c r="AC783" s="33" t="inlineStr">
        <is>
          <t>SwimCloud API v6 2026-10-08</t>
        </is>
      </c>
      <c r="AD783" s="33" t="inlineStr">
        <is>
          <t>Duncan Scott|2024-10-26|SCM|200|Free|102.35|World Aquatics World Cup - Incheon|PRE|False</t>
        </is>
      </c>
      <c r="AE783" s="53">
        <f>G783+L783/1000+ROW()/1000000000</f>
        <v/>
      </c>
      <c r="AF783" s="35">
        <f>IF(C783&lt;&gt;"Grayson Coulter","",COUNTIFS($C$5:$C$2991,"Grayson Coulter",$Q$5:$Q$2991,Q783,$AE$5:$AE$2991,"&lt;="&amp;AE783,$R$5:$R$2991,"&lt;"&amp;R783))</f>
        <v/>
      </c>
      <c r="AG783" s="35">
        <f>IF(OR(C783&lt;&gt;"Grayson Coulter",G783&lt;'00_Control'!$B$7),"",--(AF783&lt;5))</f>
        <v/>
      </c>
      <c r="AH783" s="35">
        <f>IF(OR(C783&lt;&gt;"Grayson Coulter",G783&lt;'00_Control'!$B$7),"",--(AF783&lt;10))</f>
        <v/>
      </c>
      <c r="AI783" s="35">
        <f>IF(AND(C783="Grayson Coulter",G783&gt;='00_Control'!$B$7),"YES","NO")</f>
        <v/>
      </c>
      <c r="AJ783" s="33" t="inlineStr">
        <is>
          <t>OK</t>
        </is>
      </c>
    </row>
    <row r="784">
      <c r="A784" s="33" t="inlineStr">
        <is>
          <t>SM000780</t>
        </is>
      </c>
      <c r="B784" s="33" t="inlineStr">
        <is>
          <t>SW016</t>
        </is>
      </c>
      <c r="C784" s="33" t="inlineStr">
        <is>
          <t>Duncan Scott</t>
        </is>
      </c>
      <c r="D784" s="33" t="inlineStr">
        <is>
          <t>SwimCloud</t>
        </is>
      </c>
      <c r="E784" s="33" t="inlineStr">
        <is>
          <t>375606</t>
        </is>
      </c>
      <c r="F784" s="33" t="inlineStr">
        <is>
          <t>134570666</t>
        </is>
      </c>
      <c r="G784" s="51" t="n">
        <v>45591</v>
      </c>
      <c r="H784" s="33" t="inlineStr">
        <is>
          <t>World Aquatics World Cup - Incheon</t>
        </is>
      </c>
      <c r="I784" s="33" t="inlineStr">
        <is>
          <t>285200</t>
        </is>
      </c>
      <c r="J784" s="33" t="inlineStr"/>
      <c r="K784" s="33" t="inlineStr">
        <is>
          <t>FIN</t>
        </is>
      </c>
      <c r="L784" s="35">
        <f>IF(K784="FIN",3,IF(OR(K784="SEM",K784="SEMI"),2,IF(OR(K784="PRE",K784="HEAT"),1,IF(V784="YES",4,2))))</f>
        <v/>
      </c>
      <c r="M784" s="33" t="inlineStr">
        <is>
          <t>SCM</t>
        </is>
      </c>
      <c r="N784" s="33" t="n">
        <v>200</v>
      </c>
      <c r="O784" s="33" t="inlineStr">
        <is>
          <t>Free</t>
        </is>
      </c>
      <c r="P784" s="33" t="inlineStr">
        <is>
          <t>200 Free</t>
        </is>
      </c>
      <c r="Q784" s="33" t="inlineStr">
        <is>
          <t>SCM_200_FREE</t>
        </is>
      </c>
      <c r="R784" s="36" t="n">
        <v>100.29</v>
      </c>
      <c r="S784" s="35">
        <f>IF(R784="","",IF(R784&gt;=60,INT(R784/60)&amp;":"&amp;TEXT(MOD(R784,60),"00.00"),TEXT(R784,"0.00")))</f>
        <v/>
      </c>
      <c r="T784" s="52">
        <f>IFERROR((G784-INDEX('01_Swimmers'!$E$5:$E$22,MATCH(B784,'01_Swimmers'!$A$5:$A$22,0)))/'00_Control'!$B$10,"")</f>
        <v/>
      </c>
      <c r="U784" s="35">
        <f>IF(T784="","",INT(T784))</f>
        <v/>
      </c>
      <c r="V784" s="33" t="inlineStr">
        <is>
          <t>NO</t>
        </is>
      </c>
      <c r="W784" s="33" t="inlineStr">
        <is>
          <t>YES</t>
        </is>
      </c>
      <c r="X784" s="33" t="inlineStr">
        <is>
          <t>NO</t>
        </is>
      </c>
      <c r="Y784" s="33" t="n">
        <v>1</v>
      </c>
      <c r="Z784" s="33" t="n">
        <v>4</v>
      </c>
      <c r="AA784" s="33" t="inlineStr">
        <is>
          <t>1</t>
        </is>
      </c>
      <c r="AB784" s="33" t="inlineStr">
        <is>
          <t>https://www.swimcloud.com/results/285200/event/33/?id=134570666#time134570666</t>
        </is>
      </c>
      <c r="AC784" s="33" t="inlineStr">
        <is>
          <t>SwimCloud API v6 2026-10-08</t>
        </is>
      </c>
      <c r="AD784" s="33" t="inlineStr">
        <is>
          <t>Duncan Scott|2024-10-26|SCM|200|Free|100.29|World Aquatics World Cup - Incheon|FIN|False</t>
        </is>
      </c>
      <c r="AE784" s="53">
        <f>G784+L784/1000+ROW()/1000000000</f>
        <v/>
      </c>
      <c r="AF784" s="35">
        <f>IF(C784&lt;&gt;"Grayson Coulter","",COUNTIFS($C$5:$C$2991,"Grayson Coulter",$Q$5:$Q$2991,Q784,$AE$5:$AE$2991,"&lt;="&amp;AE784,$R$5:$R$2991,"&lt;"&amp;R784))</f>
        <v/>
      </c>
      <c r="AG784" s="35">
        <f>IF(OR(C784&lt;&gt;"Grayson Coulter",G784&lt;'00_Control'!$B$7),"",--(AF784&lt;5))</f>
        <v/>
      </c>
      <c r="AH784" s="35">
        <f>IF(OR(C784&lt;&gt;"Grayson Coulter",G784&lt;'00_Control'!$B$7),"",--(AF784&lt;10))</f>
        <v/>
      </c>
      <c r="AI784" s="35">
        <f>IF(AND(C784="Grayson Coulter",G784&gt;='00_Control'!$B$7),"YES","NO")</f>
        <v/>
      </c>
      <c r="AJ784" s="33" t="inlineStr">
        <is>
          <t>OK</t>
        </is>
      </c>
    </row>
    <row r="785">
      <c r="A785" s="33" t="inlineStr">
        <is>
          <t>SM000781</t>
        </is>
      </c>
      <c r="B785" s="33" t="inlineStr">
        <is>
          <t>SW016</t>
        </is>
      </c>
      <c r="C785" s="33" t="inlineStr">
        <is>
          <t>Duncan Scott</t>
        </is>
      </c>
      <c r="D785" s="33" t="inlineStr">
        <is>
          <t>SwimCloud</t>
        </is>
      </c>
      <c r="E785" s="33" t="inlineStr">
        <is>
          <t>375606</t>
        </is>
      </c>
      <c r="F785" s="33" t="inlineStr">
        <is>
          <t>135264310</t>
        </is>
      </c>
      <c r="G785" s="51" t="n">
        <v>45596</v>
      </c>
      <c r="H785" s="33" t="inlineStr">
        <is>
          <t>World Aquatics World Cup - Singapore</t>
        </is>
      </c>
      <c r="I785" s="33" t="inlineStr">
        <is>
          <t>319536</t>
        </is>
      </c>
      <c r="J785" s="33" t="inlineStr"/>
      <c r="K785" s="33" t="inlineStr">
        <is>
          <t>PRE</t>
        </is>
      </c>
      <c r="L785" s="35">
        <f>IF(K785="FIN",3,IF(OR(K785="SEM",K785="SEMI"),2,IF(OR(K785="PRE",K785="HEAT"),1,IF(V785="YES",4,2))))</f>
        <v/>
      </c>
      <c r="M785" s="33" t="inlineStr">
        <is>
          <t>SCM</t>
        </is>
      </c>
      <c r="N785" s="33" t="n">
        <v>400</v>
      </c>
      <c r="O785" s="33" t="inlineStr">
        <is>
          <t>Free</t>
        </is>
      </c>
      <c r="P785" s="33" t="inlineStr">
        <is>
          <t>400 Free</t>
        </is>
      </c>
      <c r="Q785" s="33" t="inlineStr">
        <is>
          <t>SCM_400_FREE</t>
        </is>
      </c>
      <c r="R785" s="36" t="n">
        <v>223.98</v>
      </c>
      <c r="S785" s="35">
        <f>IF(R785="","",IF(R785&gt;=60,INT(R785/60)&amp;":"&amp;TEXT(MOD(R785,60),"00.00"),TEXT(R785,"0.00")))</f>
        <v/>
      </c>
      <c r="T785" s="52">
        <f>IFERROR((G785-INDEX('01_Swimmers'!$E$5:$E$22,MATCH(B785,'01_Swimmers'!$A$5:$A$22,0)))/'00_Control'!$B$10,"")</f>
        <v/>
      </c>
      <c r="U785" s="35">
        <f>IF(T785="","",INT(T785))</f>
        <v/>
      </c>
      <c r="V785" s="33" t="inlineStr">
        <is>
          <t>NO</t>
        </is>
      </c>
      <c r="W785" s="33" t="inlineStr">
        <is>
          <t>YES</t>
        </is>
      </c>
      <c r="X785" s="33" t="inlineStr">
        <is>
          <t>NO</t>
        </is>
      </c>
      <c r="Y785" s="33" t="n">
        <v>6</v>
      </c>
      <c r="Z785" s="33" t="n">
        <v>4</v>
      </c>
      <c r="AA785" s="33" t="inlineStr">
        <is>
          <t>2</t>
        </is>
      </c>
      <c r="AB785" s="33" t="inlineStr">
        <is>
          <t>https://www.swimcloud.com/results/319536/event/2/?id=135264310#time135264310</t>
        </is>
      </c>
      <c r="AC785" s="33" t="inlineStr">
        <is>
          <t>SwimCloud API v6 2026-10-08</t>
        </is>
      </c>
      <c r="AD785" s="33" t="inlineStr">
        <is>
          <t>Duncan Scott|2024-10-31|SCM|400|Free|223.98|World Aquatics World Cup - Singapore|PRE|False</t>
        </is>
      </c>
      <c r="AE785" s="53">
        <f>G785+L785/1000+ROW()/1000000000</f>
        <v/>
      </c>
      <c r="AF785" s="35">
        <f>IF(C785&lt;&gt;"Grayson Coulter","",COUNTIFS($C$5:$C$2991,"Grayson Coulter",$Q$5:$Q$2991,Q785,$AE$5:$AE$2991,"&lt;="&amp;AE785,$R$5:$R$2991,"&lt;"&amp;R785))</f>
        <v/>
      </c>
      <c r="AG785" s="35">
        <f>IF(OR(C785&lt;&gt;"Grayson Coulter",G785&lt;'00_Control'!$B$7),"",--(AF785&lt;5))</f>
        <v/>
      </c>
      <c r="AH785" s="35">
        <f>IF(OR(C785&lt;&gt;"Grayson Coulter",G785&lt;'00_Control'!$B$7),"",--(AF785&lt;10))</f>
        <v/>
      </c>
      <c r="AI785" s="35">
        <f>IF(AND(C785="Grayson Coulter",G785&gt;='00_Control'!$B$7),"YES","NO")</f>
        <v/>
      </c>
      <c r="AJ785" s="33" t="inlineStr">
        <is>
          <t>OK</t>
        </is>
      </c>
    </row>
    <row r="786">
      <c r="A786" s="33" t="inlineStr">
        <is>
          <t>SM000782</t>
        </is>
      </c>
      <c r="B786" s="33" t="inlineStr">
        <is>
          <t>SW016</t>
        </is>
      </c>
      <c r="C786" s="33" t="inlineStr">
        <is>
          <t>Duncan Scott</t>
        </is>
      </c>
      <c r="D786" s="33" t="inlineStr">
        <is>
          <t>SwimCloud</t>
        </is>
      </c>
      <c r="E786" s="33" t="inlineStr">
        <is>
          <t>375606</t>
        </is>
      </c>
      <c r="F786" s="33" t="inlineStr">
        <is>
          <t>135264309</t>
        </is>
      </c>
      <c r="G786" s="51" t="n">
        <v>45596</v>
      </c>
      <c r="H786" s="33" t="inlineStr">
        <is>
          <t>World Aquatics World Cup - Singapore</t>
        </is>
      </c>
      <c r="I786" s="33" t="inlineStr">
        <is>
          <t>319536</t>
        </is>
      </c>
      <c r="J786" s="33" t="inlineStr"/>
      <c r="K786" s="33" t="inlineStr">
        <is>
          <t>FIN</t>
        </is>
      </c>
      <c r="L786" s="35">
        <f>IF(K786="FIN",3,IF(OR(K786="SEM",K786="SEMI"),2,IF(OR(K786="PRE",K786="HEAT"),1,IF(V786="YES",4,2))))</f>
        <v/>
      </c>
      <c r="M786" s="33" t="inlineStr">
        <is>
          <t>SCM</t>
        </is>
      </c>
      <c r="N786" s="33" t="n">
        <v>400</v>
      </c>
      <c r="O786" s="33" t="inlineStr">
        <is>
          <t>Free</t>
        </is>
      </c>
      <c r="P786" s="33" t="inlineStr">
        <is>
          <t>400 Free</t>
        </is>
      </c>
      <c r="Q786" s="33" t="inlineStr">
        <is>
          <t>SCM_400_FREE</t>
        </is>
      </c>
      <c r="R786" s="36" t="n">
        <v>214.46</v>
      </c>
      <c r="S786" s="35">
        <f>IF(R786="","",IF(R786&gt;=60,INT(R786/60)&amp;":"&amp;TEXT(MOD(R786,60),"00.00"),TEXT(R786,"0.00")))</f>
        <v/>
      </c>
      <c r="T786" s="52">
        <f>IFERROR((G786-INDEX('01_Swimmers'!$E$5:$E$22,MATCH(B786,'01_Swimmers'!$A$5:$A$22,0)))/'00_Control'!$B$10,"")</f>
        <v/>
      </c>
      <c r="U786" s="35">
        <f>IF(T786="","",INT(T786))</f>
        <v/>
      </c>
      <c r="V786" s="33" t="inlineStr">
        <is>
          <t>NO</t>
        </is>
      </c>
      <c r="W786" s="33" t="inlineStr">
        <is>
          <t>YES</t>
        </is>
      </c>
      <c r="X786" s="33" t="inlineStr">
        <is>
          <t>NO</t>
        </is>
      </c>
      <c r="Y786" s="33" t="n">
        <v>1</v>
      </c>
      <c r="Z786" s="33" t="n">
        <v>5</v>
      </c>
      <c r="AA786" s="33" t="inlineStr">
        <is>
          <t>1</t>
        </is>
      </c>
      <c r="AB786" s="33" t="inlineStr">
        <is>
          <t>https://www.swimcloud.com/results/319536/event/2/?id=135264309#time135264309</t>
        </is>
      </c>
      <c r="AC786" s="33" t="inlineStr">
        <is>
          <t>SwimCloud API v6 2026-10-08</t>
        </is>
      </c>
      <c r="AD786" s="33" t="inlineStr">
        <is>
          <t>Duncan Scott|2024-10-31|SCM|400|Free|214.46|World Aquatics World Cup - Singapore|FIN|False</t>
        </is>
      </c>
      <c r="AE786" s="53">
        <f>G786+L786/1000+ROW()/1000000000</f>
        <v/>
      </c>
      <c r="AF786" s="35">
        <f>IF(C786&lt;&gt;"Grayson Coulter","",COUNTIFS($C$5:$C$2991,"Grayson Coulter",$Q$5:$Q$2991,Q786,$AE$5:$AE$2991,"&lt;="&amp;AE786,$R$5:$R$2991,"&lt;"&amp;R786))</f>
        <v/>
      </c>
      <c r="AG786" s="35">
        <f>IF(OR(C786&lt;&gt;"Grayson Coulter",G786&lt;'00_Control'!$B$7),"",--(AF786&lt;5))</f>
        <v/>
      </c>
      <c r="AH786" s="35">
        <f>IF(OR(C786&lt;&gt;"Grayson Coulter",G786&lt;'00_Control'!$B$7),"",--(AF786&lt;10))</f>
        <v/>
      </c>
      <c r="AI786" s="35">
        <f>IF(AND(C786="Grayson Coulter",G786&gt;='00_Control'!$B$7),"YES","NO")</f>
        <v/>
      </c>
      <c r="AJ786" s="33" t="inlineStr">
        <is>
          <t>OK</t>
        </is>
      </c>
    </row>
    <row r="787">
      <c r="A787" s="33" t="inlineStr">
        <is>
          <t>SM000783</t>
        </is>
      </c>
      <c r="B787" s="33" t="inlineStr">
        <is>
          <t>SW016</t>
        </is>
      </c>
      <c r="C787" s="33" t="inlineStr">
        <is>
          <t>Duncan Scott</t>
        </is>
      </c>
      <c r="D787" s="33" t="inlineStr">
        <is>
          <t>SwimCloud</t>
        </is>
      </c>
      <c r="E787" s="33" t="inlineStr">
        <is>
          <t>375606</t>
        </is>
      </c>
      <c r="F787" s="33" t="inlineStr">
        <is>
          <t>135264306</t>
        </is>
      </c>
      <c r="G787" s="51" t="n">
        <v>45598</v>
      </c>
      <c r="H787" s="33" t="inlineStr">
        <is>
          <t>World Aquatics World Cup - Singapore</t>
        </is>
      </c>
      <c r="I787" s="33" t="inlineStr">
        <is>
          <t>319536</t>
        </is>
      </c>
      <c r="J787" s="33" t="inlineStr"/>
      <c r="K787" s="33" t="inlineStr">
        <is>
          <t>PRE</t>
        </is>
      </c>
      <c r="L787" s="35">
        <f>IF(K787="FIN",3,IF(OR(K787="SEM",K787="SEMI"),2,IF(OR(K787="PRE",K787="HEAT"),1,IF(V787="YES",4,2))))</f>
        <v/>
      </c>
      <c r="M787" s="33" t="inlineStr">
        <is>
          <t>SCM</t>
        </is>
      </c>
      <c r="N787" s="33" t="n">
        <v>200</v>
      </c>
      <c r="O787" s="33" t="inlineStr">
        <is>
          <t>Free</t>
        </is>
      </c>
      <c r="P787" s="33" t="inlineStr">
        <is>
          <t>200 Free</t>
        </is>
      </c>
      <c r="Q787" s="33" t="inlineStr">
        <is>
          <t>SCM_200_FREE</t>
        </is>
      </c>
      <c r="R787" s="36" t="n">
        <v>102.59</v>
      </c>
      <c r="S787" s="35">
        <f>IF(R787="","",IF(R787&gt;=60,INT(R787/60)&amp;":"&amp;TEXT(MOD(R787,60),"00.00"),TEXT(R787,"0.00")))</f>
        <v/>
      </c>
      <c r="T787" s="52">
        <f>IFERROR((G787-INDEX('01_Swimmers'!$E$5:$E$22,MATCH(B787,'01_Swimmers'!$A$5:$A$22,0)))/'00_Control'!$B$10,"")</f>
        <v/>
      </c>
      <c r="U787" s="35">
        <f>IF(T787="","",INT(T787))</f>
        <v/>
      </c>
      <c r="V787" s="33" t="inlineStr">
        <is>
          <t>NO</t>
        </is>
      </c>
      <c r="W787" s="33" t="inlineStr">
        <is>
          <t>YES</t>
        </is>
      </c>
      <c r="X787" s="33" t="inlineStr">
        <is>
          <t>NO</t>
        </is>
      </c>
      <c r="Y787" s="33" t="n">
        <v>8</v>
      </c>
      <c r="Z787" s="33" t="n">
        <v>4</v>
      </c>
      <c r="AA787" s="33" t="inlineStr">
        <is>
          <t>2</t>
        </is>
      </c>
      <c r="AB787" s="33" t="inlineStr">
        <is>
          <t>https://www.swimcloud.com/results/319536/event/33/?id=135264306#time135264306</t>
        </is>
      </c>
      <c r="AC787" s="33" t="inlineStr">
        <is>
          <t>SwimCloud API v6 2026-10-08</t>
        </is>
      </c>
      <c r="AD787" s="33" t="inlineStr">
        <is>
          <t>Duncan Scott|2024-11-02|SCM|200|Free|102.59|World Aquatics World Cup - Singapore|PRE|False</t>
        </is>
      </c>
      <c r="AE787" s="53">
        <f>G787+L787/1000+ROW()/1000000000</f>
        <v/>
      </c>
      <c r="AF787" s="35">
        <f>IF(C787&lt;&gt;"Grayson Coulter","",COUNTIFS($C$5:$C$2991,"Grayson Coulter",$Q$5:$Q$2991,Q787,$AE$5:$AE$2991,"&lt;="&amp;AE787,$R$5:$R$2991,"&lt;"&amp;R787))</f>
        <v/>
      </c>
      <c r="AG787" s="35">
        <f>IF(OR(C787&lt;&gt;"Grayson Coulter",G787&lt;'00_Control'!$B$7),"",--(AF787&lt;5))</f>
        <v/>
      </c>
      <c r="AH787" s="35">
        <f>IF(OR(C787&lt;&gt;"Grayson Coulter",G787&lt;'00_Control'!$B$7),"",--(AF787&lt;10))</f>
        <v/>
      </c>
      <c r="AI787" s="35">
        <f>IF(AND(C787="Grayson Coulter",G787&gt;='00_Control'!$B$7),"YES","NO")</f>
        <v/>
      </c>
      <c r="AJ787" s="33" t="inlineStr">
        <is>
          <t>OK</t>
        </is>
      </c>
    </row>
    <row r="788">
      <c r="A788" s="33" t="inlineStr">
        <is>
          <t>SM000784</t>
        </is>
      </c>
      <c r="B788" s="33" t="inlineStr">
        <is>
          <t>SW016</t>
        </is>
      </c>
      <c r="C788" s="33" t="inlineStr">
        <is>
          <t>Duncan Scott</t>
        </is>
      </c>
      <c r="D788" s="33" t="inlineStr">
        <is>
          <t>SwimCloud</t>
        </is>
      </c>
      <c r="E788" s="33" t="inlineStr">
        <is>
          <t>375606</t>
        </is>
      </c>
      <c r="F788" s="33" t="inlineStr">
        <is>
          <t>135264305</t>
        </is>
      </c>
      <c r="G788" s="51" t="n">
        <v>45598</v>
      </c>
      <c r="H788" s="33" t="inlineStr">
        <is>
          <t>World Aquatics World Cup - Singapore</t>
        </is>
      </c>
      <c r="I788" s="33" t="inlineStr">
        <is>
          <t>319536</t>
        </is>
      </c>
      <c r="J788" s="33" t="inlineStr"/>
      <c r="K788" s="33" t="inlineStr">
        <is>
          <t>FIN</t>
        </is>
      </c>
      <c r="L788" s="35">
        <f>IF(K788="FIN",3,IF(OR(K788="SEM",K788="SEMI"),2,IF(OR(K788="PRE",K788="HEAT"),1,IF(V788="YES",4,2))))</f>
        <v/>
      </c>
      <c r="M788" s="33" t="inlineStr">
        <is>
          <t>SCM</t>
        </is>
      </c>
      <c r="N788" s="33" t="n">
        <v>200</v>
      </c>
      <c r="O788" s="33" t="inlineStr">
        <is>
          <t>Free</t>
        </is>
      </c>
      <c r="P788" s="33" t="inlineStr">
        <is>
          <t>200 Free</t>
        </is>
      </c>
      <c r="Q788" s="33" t="inlineStr">
        <is>
          <t>SCM_200_FREE</t>
        </is>
      </c>
      <c r="R788" s="36" t="n">
        <v>99.83</v>
      </c>
      <c r="S788" s="35">
        <f>IF(R788="","",IF(R788&gt;=60,INT(R788/60)&amp;":"&amp;TEXT(MOD(R788,60),"00.00"),TEXT(R788,"0.00")))</f>
        <v/>
      </c>
      <c r="T788" s="52">
        <f>IFERROR((G788-INDEX('01_Swimmers'!$E$5:$E$22,MATCH(B788,'01_Swimmers'!$A$5:$A$22,0)))/'00_Control'!$B$10,"")</f>
        <v/>
      </c>
      <c r="U788" s="35">
        <f>IF(T788="","",INT(T788))</f>
        <v/>
      </c>
      <c r="V788" s="33" t="inlineStr">
        <is>
          <t>NO</t>
        </is>
      </c>
      <c r="W788" s="33" t="inlineStr">
        <is>
          <t>YES</t>
        </is>
      </c>
      <c r="X788" s="33" t="inlineStr">
        <is>
          <t>NO</t>
        </is>
      </c>
      <c r="Y788" s="33" t="n">
        <v>1</v>
      </c>
      <c r="Z788" s="33" t="n">
        <v>5</v>
      </c>
      <c r="AA788" s="33" t="inlineStr">
        <is>
          <t>1</t>
        </is>
      </c>
      <c r="AB788" s="33" t="inlineStr">
        <is>
          <t>https://www.swimcloud.com/results/319536/event/33/?id=135264305#time135264305</t>
        </is>
      </c>
      <c r="AC788" s="33" t="inlineStr">
        <is>
          <t>SwimCloud API v6 2026-10-08</t>
        </is>
      </c>
      <c r="AD788" s="33" t="inlineStr">
        <is>
          <t>Duncan Scott|2024-11-02|SCM|200|Free|99.83|World Aquatics World Cup - Singapore|FIN|False</t>
        </is>
      </c>
      <c r="AE788" s="53">
        <f>G788+L788/1000+ROW()/1000000000</f>
        <v/>
      </c>
      <c r="AF788" s="35">
        <f>IF(C788&lt;&gt;"Grayson Coulter","",COUNTIFS($C$5:$C$2991,"Grayson Coulter",$Q$5:$Q$2991,Q788,$AE$5:$AE$2991,"&lt;="&amp;AE788,$R$5:$R$2991,"&lt;"&amp;R788))</f>
        <v/>
      </c>
      <c r="AG788" s="35">
        <f>IF(OR(C788&lt;&gt;"Grayson Coulter",G788&lt;'00_Control'!$B$7),"",--(AF788&lt;5))</f>
        <v/>
      </c>
      <c r="AH788" s="35">
        <f>IF(OR(C788&lt;&gt;"Grayson Coulter",G788&lt;'00_Control'!$B$7),"",--(AF788&lt;10))</f>
        <v/>
      </c>
      <c r="AI788" s="35">
        <f>IF(AND(C788="Grayson Coulter",G788&gt;='00_Control'!$B$7),"YES","NO")</f>
        <v/>
      </c>
      <c r="AJ788" s="33" t="inlineStr">
        <is>
          <t>OK</t>
        </is>
      </c>
    </row>
    <row r="789">
      <c r="A789" s="33" t="inlineStr">
        <is>
          <t>SM000785</t>
        </is>
      </c>
      <c r="B789" s="33" t="inlineStr">
        <is>
          <t>SW016</t>
        </is>
      </c>
      <c r="C789" s="33" t="inlineStr">
        <is>
          <t>Duncan Scott</t>
        </is>
      </c>
      <c r="D789" s="33" t="inlineStr">
        <is>
          <t>SwimCloud</t>
        </is>
      </c>
      <c r="E789" s="33" t="inlineStr">
        <is>
          <t>375606</t>
        </is>
      </c>
      <c r="F789" s="33" t="inlineStr">
        <is>
          <t>146738121</t>
        </is>
      </c>
      <c r="G789" s="51" t="n">
        <v>45704</v>
      </c>
      <c r="H789" s="33" t="inlineStr">
        <is>
          <t>Dubai Open Championship</t>
        </is>
      </c>
      <c r="I789" s="33" t="inlineStr">
        <is>
          <t>336779</t>
        </is>
      </c>
      <c r="J789" s="33" t="inlineStr"/>
      <c r="K789" s="33" t="inlineStr">
        <is>
          <t>PRE</t>
        </is>
      </c>
      <c r="L789" s="35">
        <f>IF(K789="FIN",3,IF(OR(K789="SEM",K789="SEMI"),2,IF(OR(K789="PRE",K789="HEAT"),1,IF(V789="YES",4,2))))</f>
        <v/>
      </c>
      <c r="M789" s="33" t="inlineStr">
        <is>
          <t>LCM</t>
        </is>
      </c>
      <c r="N789" s="33" t="n">
        <v>100</v>
      </c>
      <c r="O789" s="33" t="inlineStr">
        <is>
          <t>Free</t>
        </is>
      </c>
      <c r="P789" s="33" t="inlineStr">
        <is>
          <t>100 Free</t>
        </is>
      </c>
      <c r="Q789" s="33" t="inlineStr">
        <is>
          <t>LCM_100_FREE</t>
        </is>
      </c>
      <c r="R789" s="36" t="n">
        <v>49.29</v>
      </c>
      <c r="S789" s="35">
        <f>IF(R789="","",IF(R789&gt;=60,INT(R789/60)&amp;":"&amp;TEXT(MOD(R789,60),"00.00"),TEXT(R789,"0.00")))</f>
        <v/>
      </c>
      <c r="T789" s="52">
        <f>IFERROR((G789-INDEX('01_Swimmers'!$E$5:$E$22,MATCH(B789,'01_Swimmers'!$A$5:$A$22,0)))/'00_Control'!$B$10,"")</f>
        <v/>
      </c>
      <c r="U789" s="35">
        <f>IF(T789="","",INT(T789))</f>
        <v/>
      </c>
      <c r="V789" s="33" t="inlineStr">
        <is>
          <t>NO</t>
        </is>
      </c>
      <c r="W789" s="33" t="inlineStr">
        <is>
          <t>YES</t>
        </is>
      </c>
      <c r="X789" s="33" t="inlineStr">
        <is>
          <t>NO</t>
        </is>
      </c>
      <c r="Y789" s="33" t="n">
        <v>20</v>
      </c>
      <c r="Z789" s="33" t="n">
        <v>4</v>
      </c>
      <c r="AA789" s="33" t="inlineStr">
        <is>
          <t>1</t>
        </is>
      </c>
      <c r="AB789" s="33" t="inlineStr">
        <is>
          <t>https://www.swimcloud.com/results/336779/event/312/?id=146738121#time146738121</t>
        </is>
      </c>
      <c r="AC789" s="33" t="inlineStr">
        <is>
          <t>SwimCloud API v6 2026-10-08</t>
        </is>
      </c>
      <c r="AD789" s="33" t="inlineStr">
        <is>
          <t>Duncan Scott|2025-02-16|LCM|100|Free|49.29|Dubai Open Championship|PRE|False</t>
        </is>
      </c>
      <c r="AE789" s="53">
        <f>G789+L789/1000+ROW()/1000000000</f>
        <v/>
      </c>
      <c r="AF789" s="35">
        <f>IF(C789&lt;&gt;"Grayson Coulter","",COUNTIFS($C$5:$C$2991,"Grayson Coulter",$Q$5:$Q$2991,Q789,$AE$5:$AE$2991,"&lt;="&amp;AE789,$R$5:$R$2991,"&lt;"&amp;R789))</f>
        <v/>
      </c>
      <c r="AG789" s="35">
        <f>IF(OR(C789&lt;&gt;"Grayson Coulter",G789&lt;'00_Control'!$B$7),"",--(AF789&lt;5))</f>
        <v/>
      </c>
      <c r="AH789" s="35">
        <f>IF(OR(C789&lt;&gt;"Grayson Coulter",G789&lt;'00_Control'!$B$7),"",--(AF789&lt;10))</f>
        <v/>
      </c>
      <c r="AI789" s="35">
        <f>IF(AND(C789="Grayson Coulter",G789&gt;='00_Control'!$B$7),"YES","NO")</f>
        <v/>
      </c>
      <c r="AJ789" s="33" t="inlineStr">
        <is>
          <t>OK</t>
        </is>
      </c>
    </row>
    <row r="790">
      <c r="A790" s="33" t="inlineStr">
        <is>
          <t>SM000786</t>
        </is>
      </c>
      <c r="B790" s="33" t="inlineStr">
        <is>
          <t>SW016</t>
        </is>
      </c>
      <c r="C790" s="33" t="inlineStr">
        <is>
          <t>Duncan Scott</t>
        </is>
      </c>
      <c r="D790" s="33" t="inlineStr">
        <is>
          <t>SwimCloud</t>
        </is>
      </c>
      <c r="E790" s="33" t="inlineStr">
        <is>
          <t>375606</t>
        </is>
      </c>
      <c r="F790" s="33" t="inlineStr">
        <is>
          <t>146738122</t>
        </is>
      </c>
      <c r="G790" s="51" t="n">
        <v>45704</v>
      </c>
      <c r="H790" s="33" t="inlineStr">
        <is>
          <t>Dubai Open Championship</t>
        </is>
      </c>
      <c r="I790" s="33" t="inlineStr">
        <is>
          <t>336779</t>
        </is>
      </c>
      <c r="J790" s="33" t="inlineStr"/>
      <c r="K790" s="33" t="inlineStr">
        <is>
          <t>FIN</t>
        </is>
      </c>
      <c r="L790" s="35">
        <f>IF(K790="FIN",3,IF(OR(K790="SEM",K790="SEMI"),2,IF(OR(K790="PRE",K790="HEAT"),1,IF(V790="YES",4,2))))</f>
        <v/>
      </c>
      <c r="M790" s="33" t="inlineStr">
        <is>
          <t>LCM</t>
        </is>
      </c>
      <c r="N790" s="33" t="n">
        <v>100</v>
      </c>
      <c r="O790" s="33" t="inlineStr">
        <is>
          <t>Free</t>
        </is>
      </c>
      <c r="P790" s="33" t="inlineStr">
        <is>
          <t>100 Free</t>
        </is>
      </c>
      <c r="Q790" s="33" t="inlineStr">
        <is>
          <t>LCM_100_FREE</t>
        </is>
      </c>
      <c r="R790" s="36" t="n">
        <v>49.5</v>
      </c>
      <c r="S790" s="35">
        <f>IF(R790="","",IF(R790&gt;=60,INT(R790/60)&amp;":"&amp;TEXT(MOD(R790,60),"00.00"),TEXT(R790,"0.00")))</f>
        <v/>
      </c>
      <c r="T790" s="52">
        <f>IFERROR((G790-INDEX('01_Swimmers'!$E$5:$E$22,MATCH(B790,'01_Swimmers'!$A$5:$A$22,0)))/'00_Control'!$B$10,"")</f>
        <v/>
      </c>
      <c r="U790" s="35">
        <f>IF(T790="","",INT(T790))</f>
        <v/>
      </c>
      <c r="V790" s="33" t="inlineStr">
        <is>
          <t>NO</t>
        </is>
      </c>
      <c r="W790" s="33" t="inlineStr">
        <is>
          <t>YES</t>
        </is>
      </c>
      <c r="X790" s="33" t="inlineStr">
        <is>
          <t>NO</t>
        </is>
      </c>
      <c r="Y790" s="33" t="n">
        <v>4</v>
      </c>
      <c r="Z790" s="33" t="n">
        <v>4</v>
      </c>
      <c r="AA790" s="33" t="inlineStr">
        <is>
          <t>3</t>
        </is>
      </c>
      <c r="AB790" s="33" t="inlineStr">
        <is>
          <t>https://www.swimcloud.com/results/336779/event/312/?id=146738122#time146738122</t>
        </is>
      </c>
      <c r="AC790" s="33" t="inlineStr">
        <is>
          <t>SwimCloud API v6 2026-10-08</t>
        </is>
      </c>
      <c r="AD790" s="33" t="inlineStr">
        <is>
          <t>Duncan Scott|2025-02-16|LCM|100|Free|49.5|Dubai Open Championship|FIN|False</t>
        </is>
      </c>
      <c r="AE790" s="53">
        <f>G790+L790/1000+ROW()/1000000000</f>
        <v/>
      </c>
      <c r="AF790" s="35">
        <f>IF(C790&lt;&gt;"Grayson Coulter","",COUNTIFS($C$5:$C$2991,"Grayson Coulter",$Q$5:$Q$2991,Q790,$AE$5:$AE$2991,"&lt;="&amp;AE790,$R$5:$R$2991,"&lt;"&amp;R790))</f>
        <v/>
      </c>
      <c r="AG790" s="35">
        <f>IF(OR(C790&lt;&gt;"Grayson Coulter",G790&lt;'00_Control'!$B$7),"",--(AF790&lt;5))</f>
        <v/>
      </c>
      <c r="AH790" s="35">
        <f>IF(OR(C790&lt;&gt;"Grayson Coulter",G790&lt;'00_Control'!$B$7),"",--(AF790&lt;10))</f>
        <v/>
      </c>
      <c r="AI790" s="35">
        <f>IF(AND(C790="Grayson Coulter",G790&gt;='00_Control'!$B$7),"YES","NO")</f>
        <v/>
      </c>
      <c r="AJ790" s="33" t="inlineStr">
        <is>
          <t>OK</t>
        </is>
      </c>
    </row>
    <row r="791">
      <c r="A791" s="33" t="inlineStr">
        <is>
          <t>SM000787</t>
        </is>
      </c>
      <c r="B791" s="33" t="inlineStr">
        <is>
          <t>SW016</t>
        </is>
      </c>
      <c r="C791" s="33" t="inlineStr">
        <is>
          <t>Duncan Scott</t>
        </is>
      </c>
      <c r="D791" s="33" t="inlineStr">
        <is>
          <t>SwimCloud</t>
        </is>
      </c>
      <c r="E791" s="33" t="inlineStr">
        <is>
          <t>375606</t>
        </is>
      </c>
      <c r="F791" s="33" t="inlineStr">
        <is>
          <t>147013128</t>
        </is>
      </c>
      <c r="G791" s="51" t="n">
        <v>45709</v>
      </c>
      <c r="H791" s="33" t="inlineStr">
        <is>
          <t>McCullagh International</t>
        </is>
      </c>
      <c r="I791" s="33" t="inlineStr">
        <is>
          <t>337993</t>
        </is>
      </c>
      <c r="J791" s="33" t="inlineStr"/>
      <c r="K791" s="33" t="inlineStr">
        <is>
          <t>PRE</t>
        </is>
      </c>
      <c r="L791" s="35">
        <f>IF(K791="FIN",3,IF(OR(K791="SEM",K791="SEMI"),2,IF(OR(K791="PRE",K791="HEAT"),1,IF(V791="YES",4,2))))</f>
        <v/>
      </c>
      <c r="M791" s="33" t="inlineStr">
        <is>
          <t>LCM</t>
        </is>
      </c>
      <c r="N791" s="33" t="n">
        <v>100</v>
      </c>
      <c r="O791" s="33" t="inlineStr">
        <is>
          <t>Free</t>
        </is>
      </c>
      <c r="P791" s="33" t="inlineStr">
        <is>
          <t>100 Free</t>
        </is>
      </c>
      <c r="Q791" s="33" t="inlineStr">
        <is>
          <t>LCM_100_FREE</t>
        </is>
      </c>
      <c r="R791" s="36" t="n">
        <v>49.64</v>
      </c>
      <c r="S791" s="35">
        <f>IF(R791="","",IF(R791&gt;=60,INT(R791/60)&amp;":"&amp;TEXT(MOD(R791,60),"00.00"),TEXT(R791,"0.00")))</f>
        <v/>
      </c>
      <c r="T791" s="52">
        <f>IFERROR((G791-INDEX('01_Swimmers'!$E$5:$E$22,MATCH(B791,'01_Swimmers'!$A$5:$A$22,0)))/'00_Control'!$B$10,"")</f>
        <v/>
      </c>
      <c r="U791" s="35">
        <f>IF(T791="","",INT(T791))</f>
        <v/>
      </c>
      <c r="V791" s="33" t="inlineStr">
        <is>
          <t>NO</t>
        </is>
      </c>
      <c r="W791" s="33" t="inlineStr">
        <is>
          <t>YES</t>
        </is>
      </c>
      <c r="X791" s="33" t="inlineStr">
        <is>
          <t>NO</t>
        </is>
      </c>
      <c r="Y791" s="33" t="n">
        <v>7</v>
      </c>
      <c r="Z791" s="33" t="n">
        <v>5</v>
      </c>
      <c r="AA791" s="33" t="inlineStr">
        <is>
          <t>1</t>
        </is>
      </c>
      <c r="AB791" s="33" t="inlineStr">
        <is>
          <t>https://www.swimcloud.com/results/337993/event/6/?id=147013128#time147013128</t>
        </is>
      </c>
      <c r="AC791" s="33" t="inlineStr">
        <is>
          <t>SwimCloud API v6 2026-10-08</t>
        </is>
      </c>
      <c r="AD791" s="33" t="inlineStr">
        <is>
          <t>Duncan Scott|2025-02-21|LCM|100|Free|49.64|McCullagh International|PRE|False</t>
        </is>
      </c>
      <c r="AE791" s="53">
        <f>G791+L791/1000+ROW()/1000000000</f>
        <v/>
      </c>
      <c r="AF791" s="35">
        <f>IF(C791&lt;&gt;"Grayson Coulter","",COUNTIFS($C$5:$C$2991,"Grayson Coulter",$Q$5:$Q$2991,Q791,$AE$5:$AE$2991,"&lt;="&amp;AE791,$R$5:$R$2991,"&lt;"&amp;R791))</f>
        <v/>
      </c>
      <c r="AG791" s="35">
        <f>IF(OR(C791&lt;&gt;"Grayson Coulter",G791&lt;'00_Control'!$B$7),"",--(AF791&lt;5))</f>
        <v/>
      </c>
      <c r="AH791" s="35">
        <f>IF(OR(C791&lt;&gt;"Grayson Coulter",G791&lt;'00_Control'!$B$7),"",--(AF791&lt;10))</f>
        <v/>
      </c>
      <c r="AI791" s="35">
        <f>IF(AND(C791="Grayson Coulter",G791&gt;='00_Control'!$B$7),"YES","NO")</f>
        <v/>
      </c>
      <c r="AJ791" s="33" t="inlineStr">
        <is>
          <t>OK</t>
        </is>
      </c>
    </row>
    <row r="792">
      <c r="A792" s="33" t="inlineStr">
        <is>
          <t>SM000788</t>
        </is>
      </c>
      <c r="B792" s="33" t="inlineStr">
        <is>
          <t>SW016</t>
        </is>
      </c>
      <c r="C792" s="33" t="inlineStr">
        <is>
          <t>Duncan Scott</t>
        </is>
      </c>
      <c r="D792" s="33" t="inlineStr">
        <is>
          <t>SwimCloud</t>
        </is>
      </c>
      <c r="E792" s="33" t="inlineStr">
        <is>
          <t>375606</t>
        </is>
      </c>
      <c r="F792" s="33" t="inlineStr">
        <is>
          <t>147013129</t>
        </is>
      </c>
      <c r="G792" s="51" t="n">
        <v>45709</v>
      </c>
      <c r="H792" s="33" t="inlineStr">
        <is>
          <t>McCullagh International</t>
        </is>
      </c>
      <c r="I792" s="33" t="inlineStr">
        <is>
          <t>337993</t>
        </is>
      </c>
      <c r="J792" s="33" t="inlineStr"/>
      <c r="K792" s="33" t="inlineStr">
        <is>
          <t>FIN</t>
        </is>
      </c>
      <c r="L792" s="35">
        <f>IF(K792="FIN",3,IF(OR(K792="SEM",K792="SEMI"),2,IF(OR(K792="PRE",K792="HEAT"),1,IF(V792="YES",4,2))))</f>
        <v/>
      </c>
      <c r="M792" s="33" t="inlineStr">
        <is>
          <t>LCM</t>
        </is>
      </c>
      <c r="N792" s="33" t="n">
        <v>100</v>
      </c>
      <c r="O792" s="33" t="inlineStr">
        <is>
          <t>Free</t>
        </is>
      </c>
      <c r="P792" s="33" t="inlineStr">
        <is>
          <t>100 Free</t>
        </is>
      </c>
      <c r="Q792" s="33" t="inlineStr">
        <is>
          <t>LCM_100_FREE</t>
        </is>
      </c>
      <c r="R792" s="36" t="n">
        <v>49.47</v>
      </c>
      <c r="S792" s="35">
        <f>IF(R792="","",IF(R792&gt;=60,INT(R792/60)&amp;":"&amp;TEXT(MOD(R792,60),"00.00"),TEXT(R792,"0.00")))</f>
        <v/>
      </c>
      <c r="T792" s="52">
        <f>IFERROR((G792-INDEX('01_Swimmers'!$E$5:$E$22,MATCH(B792,'01_Swimmers'!$A$5:$A$22,0)))/'00_Control'!$B$10,"")</f>
        <v/>
      </c>
      <c r="U792" s="35">
        <f>IF(T792="","",INT(T792))</f>
        <v/>
      </c>
      <c r="V792" s="33" t="inlineStr">
        <is>
          <t>NO</t>
        </is>
      </c>
      <c r="W792" s="33" t="inlineStr">
        <is>
          <t>YES</t>
        </is>
      </c>
      <c r="X792" s="33" t="inlineStr">
        <is>
          <t>NO</t>
        </is>
      </c>
      <c r="Y792" s="33" t="n">
        <v>3</v>
      </c>
      <c r="Z792" s="33" t="n">
        <v>4</v>
      </c>
      <c r="AA792" s="33" t="inlineStr">
        <is>
          <t>1</t>
        </is>
      </c>
      <c r="AB792" s="33" t="inlineStr">
        <is>
          <t>https://www.swimcloud.com/results/337993/event/6/?id=147013129#time147013129</t>
        </is>
      </c>
      <c r="AC792" s="33" t="inlineStr">
        <is>
          <t>SwimCloud API v6 2026-10-08</t>
        </is>
      </c>
      <c r="AD792" s="33" t="inlineStr">
        <is>
          <t>Duncan Scott|2025-02-21|LCM|100|Free|49.47|McCullagh International|FIN|False</t>
        </is>
      </c>
      <c r="AE792" s="53">
        <f>G792+L792/1000+ROW()/1000000000</f>
        <v/>
      </c>
      <c r="AF792" s="35">
        <f>IF(C792&lt;&gt;"Grayson Coulter","",COUNTIFS($C$5:$C$2991,"Grayson Coulter",$Q$5:$Q$2991,Q792,$AE$5:$AE$2991,"&lt;="&amp;AE792,$R$5:$R$2991,"&lt;"&amp;R792))</f>
        <v/>
      </c>
      <c r="AG792" s="35">
        <f>IF(OR(C792&lt;&gt;"Grayson Coulter",G792&lt;'00_Control'!$B$7),"",--(AF792&lt;5))</f>
        <v/>
      </c>
      <c r="AH792" s="35">
        <f>IF(OR(C792&lt;&gt;"Grayson Coulter",G792&lt;'00_Control'!$B$7),"",--(AF792&lt;10))</f>
        <v/>
      </c>
      <c r="AI792" s="35">
        <f>IF(AND(C792="Grayson Coulter",G792&gt;='00_Control'!$B$7),"YES","NO")</f>
        <v/>
      </c>
      <c r="AJ792" s="33" t="inlineStr">
        <is>
          <t>OK</t>
        </is>
      </c>
    </row>
    <row r="793">
      <c r="A793" s="33" t="inlineStr">
        <is>
          <t>SM000789</t>
        </is>
      </c>
      <c r="B793" s="33" t="inlineStr">
        <is>
          <t>SW016</t>
        </is>
      </c>
      <c r="C793" s="33" t="inlineStr">
        <is>
          <t>Duncan Scott</t>
        </is>
      </c>
      <c r="D793" s="33" t="inlineStr">
        <is>
          <t>SwimCloud</t>
        </is>
      </c>
      <c r="E793" s="33" t="inlineStr">
        <is>
          <t>375606</t>
        </is>
      </c>
      <c r="F793" s="33" t="inlineStr">
        <is>
          <t>147012070</t>
        </is>
      </c>
      <c r="G793" s="51" t="n">
        <v>45710</v>
      </c>
      <c r="H793" s="33" t="inlineStr">
        <is>
          <t>McCullagh International</t>
        </is>
      </c>
      <c r="I793" s="33" t="inlineStr">
        <is>
          <t>337993</t>
        </is>
      </c>
      <c r="J793" s="33" t="inlineStr"/>
      <c r="K793" s="33" t="inlineStr">
        <is>
          <t>PRE</t>
        </is>
      </c>
      <c r="L793" s="35">
        <f>IF(K793="FIN",3,IF(OR(K793="SEM",K793="SEMI"),2,IF(OR(K793="PRE",K793="HEAT"),1,IF(V793="YES",4,2))))</f>
        <v/>
      </c>
      <c r="M793" s="33" t="inlineStr">
        <is>
          <t>LCM</t>
        </is>
      </c>
      <c r="N793" s="33" t="n">
        <v>200</v>
      </c>
      <c r="O793" s="33" t="inlineStr">
        <is>
          <t>Free</t>
        </is>
      </c>
      <c r="P793" s="33" t="inlineStr">
        <is>
          <t>200 Free</t>
        </is>
      </c>
      <c r="Q793" s="33" t="inlineStr">
        <is>
          <t>LCM_200_FREE</t>
        </is>
      </c>
      <c r="R793" s="36" t="n">
        <v>109.62</v>
      </c>
      <c r="S793" s="35">
        <f>IF(R793="","",IF(R793&gt;=60,INT(R793/60)&amp;":"&amp;TEXT(MOD(R793,60),"00.00"),TEXT(R793,"0.00")))</f>
        <v/>
      </c>
      <c r="T793" s="52">
        <f>IFERROR((G793-INDEX('01_Swimmers'!$E$5:$E$22,MATCH(B793,'01_Swimmers'!$A$5:$A$22,0)))/'00_Control'!$B$10,"")</f>
        <v/>
      </c>
      <c r="U793" s="35">
        <f>IF(T793="","",INT(T793))</f>
        <v/>
      </c>
      <c r="V793" s="33" t="inlineStr">
        <is>
          <t>NO</t>
        </is>
      </c>
      <c r="W793" s="33" t="inlineStr">
        <is>
          <t>YES</t>
        </is>
      </c>
      <c r="X793" s="33" t="inlineStr">
        <is>
          <t>NO</t>
        </is>
      </c>
      <c r="Y793" s="33" t="n">
        <v>8</v>
      </c>
      <c r="Z793" s="33" t="n">
        <v>4</v>
      </c>
      <c r="AA793" s="33" t="inlineStr">
        <is>
          <t>2</t>
        </is>
      </c>
      <c r="AB793" s="33" t="inlineStr">
        <is>
          <t>https://www.swimcloud.com/results/337993/event/21/?id=147012070#time147012070</t>
        </is>
      </c>
      <c r="AC793" s="33" t="inlineStr">
        <is>
          <t>SwimCloud API v6 2026-10-08</t>
        </is>
      </c>
      <c r="AD793" s="33" t="inlineStr">
        <is>
          <t>Duncan Scott|2025-02-22|LCM|200|Free|109.62|McCullagh International|PRE|False</t>
        </is>
      </c>
      <c r="AE793" s="53">
        <f>G793+L793/1000+ROW()/1000000000</f>
        <v/>
      </c>
      <c r="AF793" s="35">
        <f>IF(C793&lt;&gt;"Grayson Coulter","",COUNTIFS($C$5:$C$2991,"Grayson Coulter",$Q$5:$Q$2991,Q793,$AE$5:$AE$2991,"&lt;="&amp;AE793,$R$5:$R$2991,"&lt;"&amp;R793))</f>
        <v/>
      </c>
      <c r="AG793" s="35">
        <f>IF(OR(C793&lt;&gt;"Grayson Coulter",G793&lt;'00_Control'!$B$7),"",--(AF793&lt;5))</f>
        <v/>
      </c>
      <c r="AH793" s="35">
        <f>IF(OR(C793&lt;&gt;"Grayson Coulter",G793&lt;'00_Control'!$B$7),"",--(AF793&lt;10))</f>
        <v/>
      </c>
      <c r="AI793" s="35">
        <f>IF(AND(C793="Grayson Coulter",G793&gt;='00_Control'!$B$7),"YES","NO")</f>
        <v/>
      </c>
      <c r="AJ793" s="33" t="inlineStr">
        <is>
          <t>OK</t>
        </is>
      </c>
    </row>
    <row r="794">
      <c r="A794" s="33" t="inlineStr">
        <is>
          <t>SM000790</t>
        </is>
      </c>
      <c r="B794" s="33" t="inlineStr">
        <is>
          <t>SW016</t>
        </is>
      </c>
      <c r="C794" s="33" t="inlineStr">
        <is>
          <t>Duncan Scott</t>
        </is>
      </c>
      <c r="D794" s="33" t="inlineStr">
        <is>
          <t>SwimCloud</t>
        </is>
      </c>
      <c r="E794" s="33" t="inlineStr">
        <is>
          <t>375606</t>
        </is>
      </c>
      <c r="F794" s="33" t="inlineStr">
        <is>
          <t>147012071</t>
        </is>
      </c>
      <c r="G794" s="51" t="n">
        <v>45710</v>
      </c>
      <c r="H794" s="33" t="inlineStr">
        <is>
          <t>McCullagh International</t>
        </is>
      </c>
      <c r="I794" s="33" t="inlineStr">
        <is>
          <t>337993</t>
        </is>
      </c>
      <c r="J794" s="33" t="inlineStr"/>
      <c r="K794" s="33" t="inlineStr">
        <is>
          <t>FIN</t>
        </is>
      </c>
      <c r="L794" s="35">
        <f>IF(K794="FIN",3,IF(OR(K794="SEM",K794="SEMI"),2,IF(OR(K794="PRE",K794="HEAT"),1,IF(V794="YES",4,2))))</f>
        <v/>
      </c>
      <c r="M794" s="33" t="inlineStr">
        <is>
          <t>LCM</t>
        </is>
      </c>
      <c r="N794" s="33" t="n">
        <v>200</v>
      </c>
      <c r="O794" s="33" t="inlineStr">
        <is>
          <t>Free</t>
        </is>
      </c>
      <c r="P794" s="33" t="inlineStr">
        <is>
          <t>200 Free</t>
        </is>
      </c>
      <c r="Q794" s="33" t="inlineStr">
        <is>
          <t>LCM_200_FREE</t>
        </is>
      </c>
      <c r="R794" s="36" t="n">
        <v>107.99</v>
      </c>
      <c r="S794" s="35">
        <f>IF(R794="","",IF(R794&gt;=60,INT(R794/60)&amp;":"&amp;TEXT(MOD(R794,60),"00.00"),TEXT(R794,"0.00")))</f>
        <v/>
      </c>
      <c r="T794" s="52">
        <f>IFERROR((G794-INDEX('01_Swimmers'!$E$5:$E$22,MATCH(B794,'01_Swimmers'!$A$5:$A$22,0)))/'00_Control'!$B$10,"")</f>
        <v/>
      </c>
      <c r="U794" s="35">
        <f>IF(T794="","",INT(T794))</f>
        <v/>
      </c>
      <c r="V794" s="33" t="inlineStr">
        <is>
          <t>NO</t>
        </is>
      </c>
      <c r="W794" s="33" t="inlineStr">
        <is>
          <t>YES</t>
        </is>
      </c>
      <c r="X794" s="33" t="inlineStr">
        <is>
          <t>NO</t>
        </is>
      </c>
      <c r="Y794" s="33" t="n">
        <v>3</v>
      </c>
      <c r="Z794" s="33" t="n">
        <v>5</v>
      </c>
      <c r="AA794" s="33" t="inlineStr">
        <is>
          <t>2</t>
        </is>
      </c>
      <c r="AB794" s="33" t="inlineStr">
        <is>
          <t>https://www.swimcloud.com/results/337993/event/21/?id=147012071#time147012071</t>
        </is>
      </c>
      <c r="AC794" s="33" t="inlineStr">
        <is>
          <t>SwimCloud API v6 2026-10-08</t>
        </is>
      </c>
      <c r="AD794" s="33" t="inlineStr">
        <is>
          <t>Duncan Scott|2025-02-22|LCM|200|Free|107.99|McCullagh International|FIN|False</t>
        </is>
      </c>
      <c r="AE794" s="53">
        <f>G794+L794/1000+ROW()/1000000000</f>
        <v/>
      </c>
      <c r="AF794" s="35">
        <f>IF(C794&lt;&gt;"Grayson Coulter","",COUNTIFS($C$5:$C$2991,"Grayson Coulter",$Q$5:$Q$2991,Q794,$AE$5:$AE$2991,"&lt;="&amp;AE794,$R$5:$R$2991,"&lt;"&amp;R794))</f>
        <v/>
      </c>
      <c r="AG794" s="35">
        <f>IF(OR(C794&lt;&gt;"Grayson Coulter",G794&lt;'00_Control'!$B$7),"",--(AF794&lt;5))</f>
        <v/>
      </c>
      <c r="AH794" s="35">
        <f>IF(OR(C794&lt;&gt;"Grayson Coulter",G794&lt;'00_Control'!$B$7),"",--(AF794&lt;10))</f>
        <v/>
      </c>
      <c r="AI794" s="35">
        <f>IF(AND(C794="Grayson Coulter",G794&gt;='00_Control'!$B$7),"YES","NO")</f>
        <v/>
      </c>
      <c r="AJ794" s="33" t="inlineStr">
        <is>
          <t>OK</t>
        </is>
      </c>
    </row>
    <row r="795">
      <c r="A795" s="33" t="inlineStr">
        <is>
          <t>SM000791</t>
        </is>
      </c>
      <c r="B795" s="33" t="inlineStr">
        <is>
          <t>SW016</t>
        </is>
      </c>
      <c r="C795" s="33" t="inlineStr">
        <is>
          <t>Duncan Scott</t>
        </is>
      </c>
      <c r="D795" s="33" t="inlineStr">
        <is>
          <t>SwimCloud</t>
        </is>
      </c>
      <c r="E795" s="33" t="inlineStr">
        <is>
          <t>375606</t>
        </is>
      </c>
      <c r="F795" s="33" t="inlineStr">
        <is>
          <t>147013358</t>
        </is>
      </c>
      <c r="G795" s="51" t="n">
        <v>45711</v>
      </c>
      <c r="H795" s="33" t="inlineStr">
        <is>
          <t>McCullagh International</t>
        </is>
      </c>
      <c r="I795" s="33" t="inlineStr">
        <is>
          <t>337993</t>
        </is>
      </c>
      <c r="J795" s="33" t="inlineStr"/>
      <c r="K795" s="33" t="inlineStr">
        <is>
          <t>PRE</t>
        </is>
      </c>
      <c r="L795" s="35">
        <f>IF(K795="FIN",3,IF(OR(K795="SEM",K795="SEMI"),2,IF(OR(K795="PRE",K795="HEAT"),1,IF(V795="YES",4,2))))</f>
        <v/>
      </c>
      <c r="M795" s="33" t="inlineStr">
        <is>
          <t>LCM</t>
        </is>
      </c>
      <c r="N795" s="33" t="n">
        <v>100</v>
      </c>
      <c r="O795" s="33" t="inlineStr">
        <is>
          <t>Fly</t>
        </is>
      </c>
      <c r="P795" s="33" t="inlineStr">
        <is>
          <t>100 Fly</t>
        </is>
      </c>
      <c r="Q795" s="33" t="inlineStr">
        <is>
          <t>LCM_100_FLY</t>
        </is>
      </c>
      <c r="R795" s="36" t="n">
        <v>54</v>
      </c>
      <c r="S795" s="35">
        <f>IF(R795="","",IF(R795&gt;=60,INT(R795/60)&amp;":"&amp;TEXT(MOD(R795,60),"00.00"),TEXT(R795,"0.00")))</f>
        <v/>
      </c>
      <c r="T795" s="52">
        <f>IFERROR((G795-INDEX('01_Swimmers'!$E$5:$E$22,MATCH(B795,'01_Swimmers'!$A$5:$A$22,0)))/'00_Control'!$B$10,"")</f>
        <v/>
      </c>
      <c r="U795" s="35">
        <f>IF(T795="","",INT(T795))</f>
        <v/>
      </c>
      <c r="V795" s="33" t="inlineStr">
        <is>
          <t>NO</t>
        </is>
      </c>
      <c r="W795" s="33" t="inlineStr">
        <is>
          <t>YES</t>
        </is>
      </c>
      <c r="X795" s="33" t="inlineStr">
        <is>
          <t>NO</t>
        </is>
      </c>
      <c r="Y795" s="33" t="n">
        <v>7</v>
      </c>
      <c r="Z795" s="33" t="n">
        <v>5</v>
      </c>
      <c r="AA795" s="33" t="inlineStr">
        <is>
          <t>1</t>
        </is>
      </c>
      <c r="AB795" s="33" t="inlineStr">
        <is>
          <t>https://www.swimcloud.com/results/337993/event/36/?id=147013358#time147013358</t>
        </is>
      </c>
      <c r="AC795" s="33" t="inlineStr">
        <is>
          <t>SwimCloud API v6 2026-10-08</t>
        </is>
      </c>
      <c r="AD795" s="33" t="inlineStr">
        <is>
          <t>Duncan Scott|2025-02-23|LCM|100|Fly|54.0|McCullagh International|PRE|False</t>
        </is>
      </c>
      <c r="AE795" s="53">
        <f>G795+L795/1000+ROW()/1000000000</f>
        <v/>
      </c>
      <c r="AF795" s="35">
        <f>IF(C795&lt;&gt;"Grayson Coulter","",COUNTIFS($C$5:$C$2991,"Grayson Coulter",$Q$5:$Q$2991,Q795,$AE$5:$AE$2991,"&lt;="&amp;AE795,$R$5:$R$2991,"&lt;"&amp;R795))</f>
        <v/>
      </c>
      <c r="AG795" s="35">
        <f>IF(OR(C795&lt;&gt;"Grayson Coulter",G795&lt;'00_Control'!$B$7),"",--(AF795&lt;5))</f>
        <v/>
      </c>
      <c r="AH795" s="35">
        <f>IF(OR(C795&lt;&gt;"Grayson Coulter",G795&lt;'00_Control'!$B$7),"",--(AF795&lt;10))</f>
        <v/>
      </c>
      <c r="AI795" s="35">
        <f>IF(AND(C795="Grayson Coulter",G795&gt;='00_Control'!$B$7),"YES","NO")</f>
        <v/>
      </c>
      <c r="AJ795" s="33" t="inlineStr">
        <is>
          <t>OK</t>
        </is>
      </c>
    </row>
    <row r="796">
      <c r="A796" s="33" t="inlineStr">
        <is>
          <t>SM000792</t>
        </is>
      </c>
      <c r="B796" s="33" t="inlineStr">
        <is>
          <t>SW016</t>
        </is>
      </c>
      <c r="C796" s="33" t="inlineStr">
        <is>
          <t>Duncan Scott</t>
        </is>
      </c>
      <c r="D796" s="33" t="inlineStr">
        <is>
          <t>SwimCloud</t>
        </is>
      </c>
      <c r="E796" s="33" t="inlineStr">
        <is>
          <t>375606</t>
        </is>
      </c>
      <c r="F796" s="33" t="inlineStr">
        <is>
          <t>147013359</t>
        </is>
      </c>
      <c r="G796" s="51" t="n">
        <v>45711</v>
      </c>
      <c r="H796" s="33" t="inlineStr">
        <is>
          <t>McCullagh International</t>
        </is>
      </c>
      <c r="I796" s="33" t="inlineStr">
        <is>
          <t>337993</t>
        </is>
      </c>
      <c r="J796" s="33" t="inlineStr"/>
      <c r="K796" s="33" t="inlineStr">
        <is>
          <t>FIN</t>
        </is>
      </c>
      <c r="L796" s="35">
        <f>IF(K796="FIN",3,IF(OR(K796="SEM",K796="SEMI"),2,IF(OR(K796="PRE",K796="HEAT"),1,IF(V796="YES",4,2))))</f>
        <v/>
      </c>
      <c r="M796" s="33" t="inlineStr">
        <is>
          <t>LCM</t>
        </is>
      </c>
      <c r="N796" s="33" t="n">
        <v>100</v>
      </c>
      <c r="O796" s="33" t="inlineStr">
        <is>
          <t>Fly</t>
        </is>
      </c>
      <c r="P796" s="33" t="inlineStr">
        <is>
          <t>100 Fly</t>
        </is>
      </c>
      <c r="Q796" s="33" t="inlineStr">
        <is>
          <t>LCM_100_FLY</t>
        </is>
      </c>
      <c r="R796" s="36" t="n">
        <v>53.7</v>
      </c>
      <c r="S796" s="35">
        <f>IF(R796="","",IF(R796&gt;=60,INT(R796/60)&amp;":"&amp;TEXT(MOD(R796,60),"00.00"),TEXT(R796,"0.00")))</f>
        <v/>
      </c>
      <c r="T796" s="52">
        <f>IFERROR((G796-INDEX('01_Swimmers'!$E$5:$E$22,MATCH(B796,'01_Swimmers'!$A$5:$A$22,0)))/'00_Control'!$B$10,"")</f>
        <v/>
      </c>
      <c r="U796" s="35">
        <f>IF(T796="","",INT(T796))</f>
        <v/>
      </c>
      <c r="V796" s="33" t="inlineStr">
        <is>
          <t>NO</t>
        </is>
      </c>
      <c r="W796" s="33" t="inlineStr">
        <is>
          <t>YES</t>
        </is>
      </c>
      <c r="X796" s="33" t="inlineStr">
        <is>
          <t>NO</t>
        </is>
      </c>
      <c r="Y796" s="33" t="n">
        <v>3</v>
      </c>
      <c r="Z796" s="33" t="n">
        <v>4</v>
      </c>
      <c r="AA796" s="33" t="inlineStr">
        <is>
          <t>2</t>
        </is>
      </c>
      <c r="AB796" s="33" t="inlineStr">
        <is>
          <t>https://www.swimcloud.com/results/337993/event/36/?id=147013359#time147013359</t>
        </is>
      </c>
      <c r="AC796" s="33" t="inlineStr">
        <is>
          <t>SwimCloud API v6 2026-10-08</t>
        </is>
      </c>
      <c r="AD796" s="33" t="inlineStr">
        <is>
          <t>Duncan Scott|2025-02-23|LCM|100|Fly|53.7|McCullagh International|FIN|False</t>
        </is>
      </c>
      <c r="AE796" s="53">
        <f>G796+L796/1000+ROW()/1000000000</f>
        <v/>
      </c>
      <c r="AF796" s="35">
        <f>IF(C796&lt;&gt;"Grayson Coulter","",COUNTIFS($C$5:$C$2991,"Grayson Coulter",$Q$5:$Q$2991,Q796,$AE$5:$AE$2991,"&lt;="&amp;AE796,$R$5:$R$2991,"&lt;"&amp;R796))</f>
        <v/>
      </c>
      <c r="AG796" s="35">
        <f>IF(OR(C796&lt;&gt;"Grayson Coulter",G796&lt;'00_Control'!$B$7),"",--(AF796&lt;5))</f>
        <v/>
      </c>
      <c r="AH796" s="35">
        <f>IF(OR(C796&lt;&gt;"Grayson Coulter",G796&lt;'00_Control'!$B$7),"",--(AF796&lt;10))</f>
        <v/>
      </c>
      <c r="AI796" s="35">
        <f>IF(AND(C796="Grayson Coulter",G796&gt;='00_Control'!$B$7),"YES","NO")</f>
        <v/>
      </c>
      <c r="AJ796" s="33" t="inlineStr">
        <is>
          <t>OK</t>
        </is>
      </c>
    </row>
    <row r="797">
      <c r="A797" s="33" t="inlineStr">
        <is>
          <t>SM000793</t>
        </is>
      </c>
      <c r="B797" s="33" t="inlineStr">
        <is>
          <t>SW016</t>
        </is>
      </c>
      <c r="C797" s="33" t="inlineStr">
        <is>
          <t>Duncan Scott</t>
        </is>
      </c>
      <c r="D797" s="33" t="inlineStr">
        <is>
          <t>SwimCloud</t>
        </is>
      </c>
      <c r="E797" s="33" t="inlineStr">
        <is>
          <t>375606</t>
        </is>
      </c>
      <c r="F797" s="33" t="inlineStr">
        <is>
          <t>151011850</t>
        </is>
      </c>
      <c r="G797" s="51" t="n">
        <v>45732</v>
      </c>
      <c r="H797" s="33" t="inlineStr">
        <is>
          <t>Edinburgh International</t>
        </is>
      </c>
      <c r="I797" s="33" t="inlineStr">
        <is>
          <t>342614</t>
        </is>
      </c>
      <c r="J797" s="33" t="inlineStr"/>
      <c r="K797" s="33" t="inlineStr">
        <is>
          <t>PRE</t>
        </is>
      </c>
      <c r="L797" s="35">
        <f>IF(K797="FIN",3,IF(OR(K797="SEM",K797="SEMI"),2,IF(OR(K797="PRE",K797="HEAT"),1,IF(V797="YES",4,2))))</f>
        <v/>
      </c>
      <c r="M797" s="33" t="inlineStr">
        <is>
          <t>LCM</t>
        </is>
      </c>
      <c r="N797" s="33" t="n">
        <v>100</v>
      </c>
      <c r="O797" s="33" t="inlineStr">
        <is>
          <t>Fly</t>
        </is>
      </c>
      <c r="P797" s="33" t="inlineStr">
        <is>
          <t>100 Fly</t>
        </is>
      </c>
      <c r="Q797" s="33" t="inlineStr">
        <is>
          <t>LCM_100_FLY</t>
        </is>
      </c>
      <c r="R797" s="36" t="n">
        <v>53.78</v>
      </c>
      <c r="S797" s="35">
        <f>IF(R797="","",IF(R797&gt;=60,INT(R797/60)&amp;":"&amp;TEXT(MOD(R797,60),"00.00"),TEXT(R797,"0.00")))</f>
        <v/>
      </c>
      <c r="T797" s="52">
        <f>IFERROR((G797-INDEX('01_Swimmers'!$E$5:$E$22,MATCH(B797,'01_Swimmers'!$A$5:$A$22,0)))/'00_Control'!$B$10,"")</f>
        <v/>
      </c>
      <c r="U797" s="35">
        <f>IF(T797="","",INT(T797))</f>
        <v/>
      </c>
      <c r="V797" s="33" t="inlineStr">
        <is>
          <t>NO</t>
        </is>
      </c>
      <c r="W797" s="33" t="inlineStr">
        <is>
          <t>YES</t>
        </is>
      </c>
      <c r="X797" s="33" t="inlineStr">
        <is>
          <t>NO</t>
        </is>
      </c>
      <c r="Y797" s="33" t="n">
        <v>5</v>
      </c>
      <c r="Z797" s="33" t="n">
        <v>3</v>
      </c>
      <c r="AA797" s="33" t="inlineStr">
        <is>
          <t>7</t>
        </is>
      </c>
      <c r="AB797" s="33" t="inlineStr">
        <is>
          <t>https://www.swimcloud.com/results/342614/event/308/?id=151011850#time151011850</t>
        </is>
      </c>
      <c r="AC797" s="33" t="inlineStr">
        <is>
          <t>SwimCloud API v6 2026-10-08</t>
        </is>
      </c>
      <c r="AD797" s="33" t="inlineStr">
        <is>
          <t>Duncan Scott|2025-03-16|LCM|100|Fly|53.78|Edinburgh International|PRE|False</t>
        </is>
      </c>
      <c r="AE797" s="53">
        <f>G797+L797/1000+ROW()/1000000000</f>
        <v/>
      </c>
      <c r="AF797" s="35">
        <f>IF(C797&lt;&gt;"Grayson Coulter","",COUNTIFS($C$5:$C$2991,"Grayson Coulter",$Q$5:$Q$2991,Q797,$AE$5:$AE$2991,"&lt;="&amp;AE797,$R$5:$R$2991,"&lt;"&amp;R797))</f>
        <v/>
      </c>
      <c r="AG797" s="35">
        <f>IF(OR(C797&lt;&gt;"Grayson Coulter",G797&lt;'00_Control'!$B$7),"",--(AF797&lt;5))</f>
        <v/>
      </c>
      <c r="AH797" s="35">
        <f>IF(OR(C797&lt;&gt;"Grayson Coulter",G797&lt;'00_Control'!$B$7),"",--(AF797&lt;10))</f>
        <v/>
      </c>
      <c r="AI797" s="35">
        <f>IF(AND(C797="Grayson Coulter",G797&gt;='00_Control'!$B$7),"YES","NO")</f>
        <v/>
      </c>
      <c r="AJ797" s="33" t="inlineStr">
        <is>
          <t>OK</t>
        </is>
      </c>
    </row>
    <row r="798">
      <c r="A798" s="33" t="inlineStr">
        <is>
          <t>SM000794</t>
        </is>
      </c>
      <c r="B798" s="33" t="inlineStr">
        <is>
          <t>SW016</t>
        </is>
      </c>
      <c r="C798" s="33" t="inlineStr">
        <is>
          <t>Duncan Scott</t>
        </is>
      </c>
      <c r="D798" s="33" t="inlineStr">
        <is>
          <t>SwimCloud</t>
        </is>
      </c>
      <c r="E798" s="33" t="inlineStr">
        <is>
          <t>375606</t>
        </is>
      </c>
      <c r="F798" s="33" t="inlineStr">
        <is>
          <t>151011851</t>
        </is>
      </c>
      <c r="G798" s="51" t="n">
        <v>45732</v>
      </c>
      <c r="H798" s="33" t="inlineStr">
        <is>
          <t>Edinburgh International</t>
        </is>
      </c>
      <c r="I798" s="33" t="inlineStr">
        <is>
          <t>342614</t>
        </is>
      </c>
      <c r="J798" s="33" t="inlineStr"/>
      <c r="K798" s="33" t="inlineStr">
        <is>
          <t>FIN</t>
        </is>
      </c>
      <c r="L798" s="35">
        <f>IF(K798="FIN",3,IF(OR(K798="SEM",K798="SEMI"),2,IF(OR(K798="PRE",K798="HEAT"),1,IF(V798="YES",4,2))))</f>
        <v/>
      </c>
      <c r="M798" s="33" t="inlineStr">
        <is>
          <t>LCM</t>
        </is>
      </c>
      <c r="N798" s="33" t="n">
        <v>100</v>
      </c>
      <c r="O798" s="33" t="inlineStr">
        <is>
          <t>Fly</t>
        </is>
      </c>
      <c r="P798" s="33" t="inlineStr">
        <is>
          <t>100 Fly</t>
        </is>
      </c>
      <c r="Q798" s="33" t="inlineStr">
        <is>
          <t>LCM_100_FLY</t>
        </is>
      </c>
      <c r="R798" s="36" t="n">
        <v>53.4</v>
      </c>
      <c r="S798" s="35">
        <f>IF(R798="","",IF(R798&gt;=60,INT(R798/60)&amp;":"&amp;TEXT(MOD(R798,60),"00.00"),TEXT(R798,"0.00")))</f>
        <v/>
      </c>
      <c r="T798" s="52">
        <f>IFERROR((G798-INDEX('01_Swimmers'!$E$5:$E$22,MATCH(B798,'01_Swimmers'!$A$5:$A$22,0)))/'00_Control'!$B$10,"")</f>
        <v/>
      </c>
      <c r="U798" s="35">
        <f>IF(T798="","",INT(T798))</f>
        <v/>
      </c>
      <c r="V798" s="33" t="inlineStr">
        <is>
          <t>NO</t>
        </is>
      </c>
      <c r="W798" s="33" t="inlineStr">
        <is>
          <t>YES</t>
        </is>
      </c>
      <c r="X798" s="33" t="inlineStr">
        <is>
          <t>NO</t>
        </is>
      </c>
      <c r="Y798" s="33" t="n">
        <v>3</v>
      </c>
      <c r="Z798" s="33" t="n">
        <v>1</v>
      </c>
      <c r="AA798" s="33" t="inlineStr">
        <is>
          <t>6</t>
        </is>
      </c>
      <c r="AB798" s="33" t="inlineStr">
        <is>
          <t>https://www.swimcloud.com/results/342614/event/308/?id=151011851#time151011851</t>
        </is>
      </c>
      <c r="AC798" s="33" t="inlineStr">
        <is>
          <t>SwimCloud API v6 2026-10-08</t>
        </is>
      </c>
      <c r="AD798" s="33" t="inlineStr">
        <is>
          <t>Duncan Scott|2025-03-16|LCM|100|Fly|53.4|Edinburgh International|FIN|False</t>
        </is>
      </c>
      <c r="AE798" s="53">
        <f>G798+L798/1000+ROW()/1000000000</f>
        <v/>
      </c>
      <c r="AF798" s="35">
        <f>IF(C798&lt;&gt;"Grayson Coulter","",COUNTIFS($C$5:$C$2991,"Grayson Coulter",$Q$5:$Q$2991,Q798,$AE$5:$AE$2991,"&lt;="&amp;AE798,$R$5:$R$2991,"&lt;"&amp;R798))</f>
        <v/>
      </c>
      <c r="AG798" s="35">
        <f>IF(OR(C798&lt;&gt;"Grayson Coulter",G798&lt;'00_Control'!$B$7),"",--(AF798&lt;5))</f>
        <v/>
      </c>
      <c r="AH798" s="35">
        <f>IF(OR(C798&lt;&gt;"Grayson Coulter",G798&lt;'00_Control'!$B$7),"",--(AF798&lt;10))</f>
        <v/>
      </c>
      <c r="AI798" s="35">
        <f>IF(AND(C798="Grayson Coulter",G798&gt;='00_Control'!$B$7),"YES","NO")</f>
        <v/>
      </c>
      <c r="AJ798" s="33" t="inlineStr">
        <is>
          <t>OK</t>
        </is>
      </c>
    </row>
    <row r="799">
      <c r="A799" s="33" t="inlineStr">
        <is>
          <t>SM000795</t>
        </is>
      </c>
      <c r="B799" s="33" t="inlineStr">
        <is>
          <t>SW016</t>
        </is>
      </c>
      <c r="C799" s="33" t="inlineStr">
        <is>
          <t>Duncan Scott</t>
        </is>
      </c>
      <c r="D799" s="33" t="inlineStr">
        <is>
          <t>SwimCloud</t>
        </is>
      </c>
      <c r="E799" s="33" t="inlineStr">
        <is>
          <t>375606</t>
        </is>
      </c>
      <c r="F799" s="33" t="inlineStr">
        <is>
          <t>151011549</t>
        </is>
      </c>
      <c r="G799" s="51" t="n">
        <v>45732</v>
      </c>
      <c r="H799" s="33" t="inlineStr">
        <is>
          <t>Edinburgh International</t>
        </is>
      </c>
      <c r="I799" s="33" t="inlineStr">
        <is>
          <t>342614</t>
        </is>
      </c>
      <c r="J799" s="33" t="inlineStr"/>
      <c r="K799" s="33" t="inlineStr">
        <is>
          <t>PRE</t>
        </is>
      </c>
      <c r="L799" s="35">
        <f>IF(K799="FIN",3,IF(OR(K799="SEM",K799="SEMI"),2,IF(OR(K799="PRE",K799="HEAT"),1,IF(V799="YES",4,2))))</f>
        <v/>
      </c>
      <c r="M799" s="33" t="inlineStr">
        <is>
          <t>LCM</t>
        </is>
      </c>
      <c r="N799" s="33" t="n">
        <v>100</v>
      </c>
      <c r="O799" s="33" t="inlineStr">
        <is>
          <t>Free</t>
        </is>
      </c>
      <c r="P799" s="33" t="inlineStr">
        <is>
          <t>100 Free</t>
        </is>
      </c>
      <c r="Q799" s="33" t="inlineStr">
        <is>
          <t>LCM_100_FREE</t>
        </is>
      </c>
      <c r="R799" s="36" t="n">
        <v>49.73</v>
      </c>
      <c r="S799" s="35">
        <f>IF(R799="","",IF(R799&gt;=60,INT(R799/60)&amp;":"&amp;TEXT(MOD(R799,60),"00.00"),TEXT(R799,"0.00")))</f>
        <v/>
      </c>
      <c r="T799" s="52">
        <f>IFERROR((G799-INDEX('01_Swimmers'!$E$5:$E$22,MATCH(B799,'01_Swimmers'!$A$5:$A$22,0)))/'00_Control'!$B$10,"")</f>
        <v/>
      </c>
      <c r="U799" s="35">
        <f>IF(T799="","",INT(T799))</f>
        <v/>
      </c>
      <c r="V799" s="33" t="inlineStr">
        <is>
          <t>NO</t>
        </is>
      </c>
      <c r="W799" s="33" t="inlineStr">
        <is>
          <t>YES</t>
        </is>
      </c>
      <c r="X799" s="33" t="inlineStr">
        <is>
          <t>NO</t>
        </is>
      </c>
      <c r="Y799" s="33" t="n">
        <v>4</v>
      </c>
      <c r="Z799" s="33" t="n">
        <v>4</v>
      </c>
      <c r="AA799" s="33" t="inlineStr">
        <is>
          <t>4</t>
        </is>
      </c>
      <c r="AB799" s="33" t="inlineStr">
        <is>
          <t>https://www.swimcloud.com/results/342614/event/304/?id=151011549#time151011549</t>
        </is>
      </c>
      <c r="AC799" s="33" t="inlineStr">
        <is>
          <t>SwimCloud API v6 2026-10-08</t>
        </is>
      </c>
      <c r="AD799" s="33" t="inlineStr">
        <is>
          <t>Duncan Scott|2025-03-16|LCM|100|Free|49.73|Edinburgh International|PRE|False</t>
        </is>
      </c>
      <c r="AE799" s="53">
        <f>G799+L799/1000+ROW()/1000000000</f>
        <v/>
      </c>
      <c r="AF799" s="35">
        <f>IF(C799&lt;&gt;"Grayson Coulter","",COUNTIFS($C$5:$C$2991,"Grayson Coulter",$Q$5:$Q$2991,Q799,$AE$5:$AE$2991,"&lt;="&amp;AE799,$R$5:$R$2991,"&lt;"&amp;R799))</f>
        <v/>
      </c>
      <c r="AG799" s="35">
        <f>IF(OR(C799&lt;&gt;"Grayson Coulter",G799&lt;'00_Control'!$B$7),"",--(AF799&lt;5))</f>
        <v/>
      </c>
      <c r="AH799" s="35">
        <f>IF(OR(C799&lt;&gt;"Grayson Coulter",G799&lt;'00_Control'!$B$7),"",--(AF799&lt;10))</f>
        <v/>
      </c>
      <c r="AI799" s="35">
        <f>IF(AND(C799="Grayson Coulter",G799&gt;='00_Control'!$B$7),"YES","NO")</f>
        <v/>
      </c>
      <c r="AJ799" s="33" t="inlineStr">
        <is>
          <t>OK</t>
        </is>
      </c>
    </row>
    <row r="800">
      <c r="A800" s="33" t="inlineStr">
        <is>
          <t>SM000796</t>
        </is>
      </c>
      <c r="B800" s="33" t="inlineStr">
        <is>
          <t>SW016</t>
        </is>
      </c>
      <c r="C800" s="33" t="inlineStr">
        <is>
          <t>Duncan Scott</t>
        </is>
      </c>
      <c r="D800" s="33" t="inlineStr">
        <is>
          <t>SwimCloud</t>
        </is>
      </c>
      <c r="E800" s="33" t="inlineStr">
        <is>
          <t>375606</t>
        </is>
      </c>
      <c r="F800" s="33" t="inlineStr">
        <is>
          <t>151011550</t>
        </is>
      </c>
      <c r="G800" s="51" t="n">
        <v>45732</v>
      </c>
      <c r="H800" s="33" t="inlineStr">
        <is>
          <t>Edinburgh International</t>
        </is>
      </c>
      <c r="I800" s="33" t="inlineStr">
        <is>
          <t>342614</t>
        </is>
      </c>
      <c r="J800" s="33" t="inlineStr"/>
      <c r="K800" s="33" t="inlineStr">
        <is>
          <t>FIN</t>
        </is>
      </c>
      <c r="L800" s="35">
        <f>IF(K800="FIN",3,IF(OR(K800="SEM",K800="SEMI"),2,IF(OR(K800="PRE",K800="HEAT"),1,IF(V800="YES",4,2))))</f>
        <v/>
      </c>
      <c r="M800" s="33" t="inlineStr">
        <is>
          <t>LCM</t>
        </is>
      </c>
      <c r="N800" s="33" t="n">
        <v>100</v>
      </c>
      <c r="O800" s="33" t="inlineStr">
        <is>
          <t>Free</t>
        </is>
      </c>
      <c r="P800" s="33" t="inlineStr">
        <is>
          <t>100 Free</t>
        </is>
      </c>
      <c r="Q800" s="33" t="inlineStr">
        <is>
          <t>LCM_100_FREE</t>
        </is>
      </c>
      <c r="R800" s="36" t="n">
        <v>49.31</v>
      </c>
      <c r="S800" s="35">
        <f>IF(R800="","",IF(R800&gt;=60,INT(R800/60)&amp;":"&amp;TEXT(MOD(R800,60),"00.00"),TEXT(R800,"0.00")))</f>
        <v/>
      </c>
      <c r="T800" s="52">
        <f>IFERROR((G800-INDEX('01_Swimmers'!$E$5:$E$22,MATCH(B800,'01_Swimmers'!$A$5:$A$22,0)))/'00_Control'!$B$10,"")</f>
        <v/>
      </c>
      <c r="U800" s="35">
        <f>IF(T800="","",INT(T800))</f>
        <v/>
      </c>
      <c r="V800" s="33" t="inlineStr">
        <is>
          <t>NO</t>
        </is>
      </c>
      <c r="W800" s="33" t="inlineStr">
        <is>
          <t>YES</t>
        </is>
      </c>
      <c r="X800" s="33" t="inlineStr">
        <is>
          <t>NO</t>
        </is>
      </c>
      <c r="Y800" s="33" t="n">
        <v>3</v>
      </c>
      <c r="Z800" s="33" t="n">
        <v>6</v>
      </c>
      <c r="AA800" s="33" t="inlineStr">
        <is>
          <t>2</t>
        </is>
      </c>
      <c r="AB800" s="33" t="inlineStr">
        <is>
          <t>https://www.swimcloud.com/results/342614/event/304/?id=151011550#time151011550</t>
        </is>
      </c>
      <c r="AC800" s="33" t="inlineStr">
        <is>
          <t>SwimCloud API v6 2026-10-08</t>
        </is>
      </c>
      <c r="AD800" s="33" t="inlineStr">
        <is>
          <t>Duncan Scott|2025-03-16|LCM|100|Free|49.31|Edinburgh International|FIN|False</t>
        </is>
      </c>
      <c r="AE800" s="53">
        <f>G800+L800/1000+ROW()/1000000000</f>
        <v/>
      </c>
      <c r="AF800" s="35">
        <f>IF(C800&lt;&gt;"Grayson Coulter","",COUNTIFS($C$5:$C$2991,"Grayson Coulter",$Q$5:$Q$2991,Q800,$AE$5:$AE$2991,"&lt;="&amp;AE800,$R$5:$R$2991,"&lt;"&amp;R800))</f>
        <v/>
      </c>
      <c r="AG800" s="35">
        <f>IF(OR(C800&lt;&gt;"Grayson Coulter",G800&lt;'00_Control'!$B$7),"",--(AF800&lt;5))</f>
        <v/>
      </c>
      <c r="AH800" s="35">
        <f>IF(OR(C800&lt;&gt;"Grayson Coulter",G800&lt;'00_Control'!$B$7),"",--(AF800&lt;10))</f>
        <v/>
      </c>
      <c r="AI800" s="35">
        <f>IF(AND(C800="Grayson Coulter",G800&gt;='00_Control'!$B$7),"YES","NO")</f>
        <v/>
      </c>
      <c r="AJ800" s="33" t="inlineStr">
        <is>
          <t>OK</t>
        </is>
      </c>
    </row>
    <row r="801">
      <c r="A801" s="33" t="inlineStr">
        <is>
          <t>SM000797</t>
        </is>
      </c>
      <c r="B801" s="33" t="inlineStr">
        <is>
          <t>SW016</t>
        </is>
      </c>
      <c r="C801" s="33" t="inlineStr">
        <is>
          <t>Duncan Scott</t>
        </is>
      </c>
      <c r="D801" s="33" t="inlineStr">
        <is>
          <t>SwimCloud</t>
        </is>
      </c>
      <c r="E801" s="33" t="inlineStr">
        <is>
          <t>375606</t>
        </is>
      </c>
      <c r="F801" s="33" t="inlineStr">
        <is>
          <t>166445048</t>
        </is>
      </c>
      <c r="G801" s="51" t="n">
        <v>45767</v>
      </c>
      <c r="H801" s="33" t="inlineStr">
        <is>
          <t>Aquatics GB Championships</t>
        </is>
      </c>
      <c r="I801" s="33" t="inlineStr">
        <is>
          <t>345603</t>
        </is>
      </c>
      <c r="J801" s="33" t="inlineStr"/>
      <c r="K801" s="33" t="inlineStr">
        <is>
          <t>FIN</t>
        </is>
      </c>
      <c r="L801" s="35">
        <f>IF(K801="FIN",3,IF(OR(K801="SEM",K801="SEMI"),2,IF(OR(K801="PRE",K801="HEAT"),1,IF(V801="YES",4,2))))</f>
        <v/>
      </c>
      <c r="M801" s="33" t="inlineStr">
        <is>
          <t>LCM</t>
        </is>
      </c>
      <c r="N801" s="33" t="n">
        <v>200</v>
      </c>
      <c r="O801" s="33" t="inlineStr">
        <is>
          <t>Free</t>
        </is>
      </c>
      <c r="P801" s="33" t="inlineStr">
        <is>
          <t>200 Free</t>
        </is>
      </c>
      <c r="Q801" s="33" t="inlineStr">
        <is>
          <t>LCM_200_FREE</t>
        </is>
      </c>
      <c r="R801" s="36" t="n">
        <v>105.08</v>
      </c>
      <c r="S801" s="35">
        <f>IF(R801="","",IF(R801&gt;=60,INT(R801/60)&amp;":"&amp;TEXT(MOD(R801,60),"00.00"),TEXT(R801,"0.00")))</f>
        <v/>
      </c>
      <c r="T801" s="52">
        <f>IFERROR((G801-INDEX('01_Swimmers'!$E$5:$E$22,MATCH(B801,'01_Swimmers'!$A$5:$A$22,0)))/'00_Control'!$B$10,"")</f>
        <v/>
      </c>
      <c r="U801" s="35">
        <f>IF(T801="","",INT(T801))</f>
        <v/>
      </c>
      <c r="V801" s="33" t="inlineStr">
        <is>
          <t>NO</t>
        </is>
      </c>
      <c r="W801" s="33" t="inlineStr">
        <is>
          <t>YES</t>
        </is>
      </c>
      <c r="X801" s="33" t="inlineStr">
        <is>
          <t>NO</t>
        </is>
      </c>
      <c r="Y801" s="33" t="n">
        <v>1</v>
      </c>
      <c r="Z801" s="33" t="n">
        <v>1</v>
      </c>
      <c r="AA801" s="33" t="inlineStr">
        <is>
          <t>1</t>
        </is>
      </c>
      <c r="AB801" s="33" t="inlineStr">
        <is>
          <t>https://www.swimcloud.com/results/345603/event/605/?id=166445048#time166445048</t>
        </is>
      </c>
      <c r="AC801" s="33" t="inlineStr">
        <is>
          <t>SwimCloud API v6 2026-10-08</t>
        </is>
      </c>
      <c r="AD801" s="33" t="inlineStr">
        <is>
          <t>Duncan Scott|2025-04-20|LCM|200|Free|105.08|Aquatics GB Championships|FIN|False</t>
        </is>
      </c>
      <c r="AE801" s="53">
        <f>G801+L801/1000+ROW()/1000000000</f>
        <v/>
      </c>
      <c r="AF801" s="35">
        <f>IF(C801&lt;&gt;"Grayson Coulter","",COUNTIFS($C$5:$C$2991,"Grayson Coulter",$Q$5:$Q$2991,Q801,$AE$5:$AE$2991,"&lt;="&amp;AE801,$R$5:$R$2991,"&lt;"&amp;R801))</f>
        <v/>
      </c>
      <c r="AG801" s="35">
        <f>IF(OR(C801&lt;&gt;"Grayson Coulter",G801&lt;'00_Control'!$B$7),"",--(AF801&lt;5))</f>
        <v/>
      </c>
      <c r="AH801" s="35">
        <f>IF(OR(C801&lt;&gt;"Grayson Coulter",G801&lt;'00_Control'!$B$7),"",--(AF801&lt;10))</f>
        <v/>
      </c>
      <c r="AI801" s="35">
        <f>IF(AND(C801="Grayson Coulter",G801&gt;='00_Control'!$B$7),"YES","NO")</f>
        <v/>
      </c>
      <c r="AJ801" s="33" t="inlineStr">
        <is>
          <t>OK</t>
        </is>
      </c>
    </row>
    <row r="802">
      <c r="A802" s="33" t="inlineStr">
        <is>
          <t>SM000798</t>
        </is>
      </c>
      <c r="B802" s="33" t="inlineStr">
        <is>
          <t>SW016</t>
        </is>
      </c>
      <c r="C802" s="33" t="inlineStr">
        <is>
          <t>Duncan Scott</t>
        </is>
      </c>
      <c r="D802" s="33" t="inlineStr">
        <is>
          <t>SwimCloud</t>
        </is>
      </c>
      <c r="E802" s="33" t="inlineStr">
        <is>
          <t>375606</t>
        </is>
      </c>
      <c r="F802" s="33" t="inlineStr">
        <is>
          <t>152470346</t>
        </is>
      </c>
      <c r="G802" s="51" t="n">
        <v>45798</v>
      </c>
      <c r="H802" s="33" t="inlineStr">
        <is>
          <t>Mare Nostrum - Trofeu Internacional Ciutat de Barcelona</t>
        </is>
      </c>
      <c r="I802" s="33" t="inlineStr">
        <is>
          <t>344367</t>
        </is>
      </c>
      <c r="J802" s="33" t="inlineStr"/>
      <c r="K802" s="33" t="inlineStr">
        <is>
          <t>PRE</t>
        </is>
      </c>
      <c r="L802" s="35">
        <f>IF(K802="FIN",3,IF(OR(K802="SEM",K802="SEMI"),2,IF(OR(K802="PRE",K802="HEAT"),1,IF(V802="YES",4,2))))</f>
        <v/>
      </c>
      <c r="M802" s="33" t="inlineStr">
        <is>
          <t>LCM</t>
        </is>
      </c>
      <c r="N802" s="33" t="n">
        <v>200</v>
      </c>
      <c r="O802" s="33" t="inlineStr">
        <is>
          <t>Free</t>
        </is>
      </c>
      <c r="P802" s="33" t="inlineStr">
        <is>
          <t>200 Free</t>
        </is>
      </c>
      <c r="Q802" s="33" t="inlineStr">
        <is>
          <t>LCM_200_FREE</t>
        </is>
      </c>
      <c r="R802" s="36" t="n">
        <v>108.68</v>
      </c>
      <c r="S802" s="35">
        <f>IF(R802="","",IF(R802&gt;=60,INT(R802/60)&amp;":"&amp;TEXT(MOD(R802,60),"00.00"),TEXT(R802,"0.00")))</f>
        <v/>
      </c>
      <c r="T802" s="52">
        <f>IFERROR((G802-INDEX('01_Swimmers'!$E$5:$E$22,MATCH(B802,'01_Swimmers'!$A$5:$A$22,0)))/'00_Control'!$B$10,"")</f>
        <v/>
      </c>
      <c r="U802" s="35">
        <f>IF(T802="","",INT(T802))</f>
        <v/>
      </c>
      <c r="V802" s="33" t="inlineStr">
        <is>
          <t>NO</t>
        </is>
      </c>
      <c r="W802" s="33" t="inlineStr">
        <is>
          <t>YES</t>
        </is>
      </c>
      <c r="X802" s="33" t="inlineStr">
        <is>
          <t>NO</t>
        </is>
      </c>
      <c r="Y802" s="33" t="n">
        <v>8</v>
      </c>
      <c r="Z802" s="33" t="n">
        <v>4</v>
      </c>
      <c r="AA802" s="33" t="inlineStr">
        <is>
          <t>1</t>
        </is>
      </c>
      <c r="AB802" s="33" t="inlineStr">
        <is>
          <t>https://www.swimcloud.com/results/344367/event/15/?id=152470346#time152470346</t>
        </is>
      </c>
      <c r="AC802" s="33" t="inlineStr">
        <is>
          <t>SwimCloud API v6 2026-10-08</t>
        </is>
      </c>
      <c r="AD802" s="33" t="inlineStr">
        <is>
          <t>Duncan Scott|2025-05-21|LCM|200|Free|108.68|Mare Nostrum - Trofeu Internacional Ciutat de Barcelona|PRE|False</t>
        </is>
      </c>
      <c r="AE802" s="53">
        <f>G802+L802/1000+ROW()/1000000000</f>
        <v/>
      </c>
      <c r="AF802" s="35">
        <f>IF(C802&lt;&gt;"Grayson Coulter","",COUNTIFS($C$5:$C$2991,"Grayson Coulter",$Q$5:$Q$2991,Q802,$AE$5:$AE$2991,"&lt;="&amp;AE802,$R$5:$R$2991,"&lt;"&amp;R802))</f>
        <v/>
      </c>
      <c r="AG802" s="35">
        <f>IF(OR(C802&lt;&gt;"Grayson Coulter",G802&lt;'00_Control'!$B$7),"",--(AF802&lt;5))</f>
        <v/>
      </c>
      <c r="AH802" s="35">
        <f>IF(OR(C802&lt;&gt;"Grayson Coulter",G802&lt;'00_Control'!$B$7),"",--(AF802&lt;10))</f>
        <v/>
      </c>
      <c r="AI802" s="35">
        <f>IF(AND(C802="Grayson Coulter",G802&gt;='00_Control'!$B$7),"YES","NO")</f>
        <v/>
      </c>
      <c r="AJ802" s="33" t="inlineStr">
        <is>
          <t>OK</t>
        </is>
      </c>
    </row>
    <row r="803">
      <c r="A803" s="33" t="inlineStr">
        <is>
          <t>SM000799</t>
        </is>
      </c>
      <c r="B803" s="33" t="inlineStr">
        <is>
          <t>SW016</t>
        </is>
      </c>
      <c r="C803" s="33" t="inlineStr">
        <is>
          <t>Duncan Scott</t>
        </is>
      </c>
      <c r="D803" s="33" t="inlineStr">
        <is>
          <t>SwimCloud</t>
        </is>
      </c>
      <c r="E803" s="33" t="inlineStr">
        <is>
          <t>375606</t>
        </is>
      </c>
      <c r="F803" s="33" t="inlineStr">
        <is>
          <t>152470348</t>
        </is>
      </c>
      <c r="G803" s="51" t="n">
        <v>45798</v>
      </c>
      <c r="H803" s="33" t="inlineStr">
        <is>
          <t>Mare Nostrum - Trofeu Internacional Ciutat de Barcelona</t>
        </is>
      </c>
      <c r="I803" s="33" t="inlineStr">
        <is>
          <t>344367</t>
        </is>
      </c>
      <c r="J803" s="33" t="inlineStr"/>
      <c r="K803" s="33" t="inlineStr">
        <is>
          <t>FIN</t>
        </is>
      </c>
      <c r="L803" s="35">
        <f>IF(K803="FIN",3,IF(OR(K803="SEM",K803="SEMI"),2,IF(OR(K803="PRE",K803="HEAT"),1,IF(V803="YES",4,2))))</f>
        <v/>
      </c>
      <c r="M803" s="33" t="inlineStr">
        <is>
          <t>LCM</t>
        </is>
      </c>
      <c r="N803" s="33" t="n">
        <v>200</v>
      </c>
      <c r="O803" s="33" t="inlineStr">
        <is>
          <t>Free</t>
        </is>
      </c>
      <c r="P803" s="33" t="inlineStr">
        <is>
          <t>200 Free</t>
        </is>
      </c>
      <c r="Q803" s="33" t="inlineStr">
        <is>
          <t>LCM_200_FREE</t>
        </is>
      </c>
      <c r="R803" s="36" t="n">
        <v>107.35</v>
      </c>
      <c r="S803" s="35">
        <f>IF(R803="","",IF(R803&gt;=60,INT(R803/60)&amp;":"&amp;TEXT(MOD(R803,60),"00.00"),TEXT(R803,"0.00")))</f>
        <v/>
      </c>
      <c r="T803" s="52">
        <f>IFERROR((G803-INDEX('01_Swimmers'!$E$5:$E$22,MATCH(B803,'01_Swimmers'!$A$5:$A$22,0)))/'00_Control'!$B$10,"")</f>
        <v/>
      </c>
      <c r="U803" s="35">
        <f>IF(T803="","",INT(T803))</f>
        <v/>
      </c>
      <c r="V803" s="33" t="inlineStr">
        <is>
          <t>NO</t>
        </is>
      </c>
      <c r="W803" s="33" t="inlineStr">
        <is>
          <t>YES</t>
        </is>
      </c>
      <c r="X803" s="33" t="inlineStr">
        <is>
          <t>NO</t>
        </is>
      </c>
      <c r="Y803" s="33" t="n">
        <v>1</v>
      </c>
      <c r="Z803" s="33" t="n">
        <v>4</v>
      </c>
      <c r="AA803" s="33" t="inlineStr">
        <is>
          <t>1</t>
        </is>
      </c>
      <c r="AB803" s="33" t="inlineStr">
        <is>
          <t>https://www.swimcloud.com/results/344367/event/15/?id=152470348#time152470348</t>
        </is>
      </c>
      <c r="AC803" s="33" t="inlineStr">
        <is>
          <t>SwimCloud API v6 2026-10-08</t>
        </is>
      </c>
      <c r="AD803" s="33" t="inlineStr">
        <is>
          <t>Duncan Scott|2025-05-21|LCM|200|Free|107.35|Mare Nostrum - Trofeu Internacional Ciutat de Barcelona|FIN|False</t>
        </is>
      </c>
      <c r="AE803" s="53">
        <f>G803+L803/1000+ROW()/1000000000</f>
        <v/>
      </c>
      <c r="AF803" s="35">
        <f>IF(C803&lt;&gt;"Grayson Coulter","",COUNTIFS($C$5:$C$2991,"Grayson Coulter",$Q$5:$Q$2991,Q803,$AE$5:$AE$2991,"&lt;="&amp;AE803,$R$5:$R$2991,"&lt;"&amp;R803))</f>
        <v/>
      </c>
      <c r="AG803" s="35">
        <f>IF(OR(C803&lt;&gt;"Grayson Coulter",G803&lt;'00_Control'!$B$7),"",--(AF803&lt;5))</f>
        <v/>
      </c>
      <c r="AH803" s="35">
        <f>IF(OR(C803&lt;&gt;"Grayson Coulter",G803&lt;'00_Control'!$B$7),"",--(AF803&lt;10))</f>
        <v/>
      </c>
      <c r="AI803" s="35">
        <f>IF(AND(C803="Grayson Coulter",G803&gt;='00_Control'!$B$7),"YES","NO")</f>
        <v/>
      </c>
      <c r="AJ803" s="33" t="inlineStr">
        <is>
          <t>OK</t>
        </is>
      </c>
    </row>
    <row r="804">
      <c r="A804" s="33" t="inlineStr">
        <is>
          <t>SM000800</t>
        </is>
      </c>
      <c r="B804" s="33" t="inlineStr">
        <is>
          <t>SW016</t>
        </is>
      </c>
      <c r="C804" s="33" t="inlineStr">
        <is>
          <t>Duncan Scott</t>
        </is>
      </c>
      <c r="D804" s="33" t="inlineStr">
        <is>
          <t>SwimCloud</t>
        </is>
      </c>
      <c r="E804" s="33" t="inlineStr">
        <is>
          <t>375606</t>
        </is>
      </c>
      <c r="F804" s="33" t="inlineStr">
        <is>
          <t>152470347</t>
        </is>
      </c>
      <c r="G804" s="51" t="n">
        <v>45799</v>
      </c>
      <c r="H804" s="33" t="inlineStr">
        <is>
          <t>Mare Nostrum - Trofeu Internacional Ciutat de Barcelona</t>
        </is>
      </c>
      <c r="I804" s="33" t="inlineStr">
        <is>
          <t>344367</t>
        </is>
      </c>
      <c r="J804" s="33" t="inlineStr"/>
      <c r="K804" s="33" t="inlineStr">
        <is>
          <t>PRE</t>
        </is>
      </c>
      <c r="L804" s="35">
        <f>IF(K804="FIN",3,IF(OR(K804="SEM",K804="SEMI"),2,IF(OR(K804="PRE",K804="HEAT"),1,IF(V804="YES",4,2))))</f>
        <v/>
      </c>
      <c r="M804" s="33" t="inlineStr">
        <is>
          <t>LCM</t>
        </is>
      </c>
      <c r="N804" s="33" t="n">
        <v>100</v>
      </c>
      <c r="O804" s="33" t="inlineStr">
        <is>
          <t>Free</t>
        </is>
      </c>
      <c r="P804" s="33" t="inlineStr">
        <is>
          <t>100 Free</t>
        </is>
      </c>
      <c r="Q804" s="33" t="inlineStr">
        <is>
          <t>LCM_100_FREE</t>
        </is>
      </c>
      <c r="R804" s="36" t="n">
        <v>49.73</v>
      </c>
      <c r="S804" s="35">
        <f>IF(R804="","",IF(R804&gt;=60,INT(R804/60)&amp;":"&amp;TEXT(MOD(R804,60),"00.00"),TEXT(R804,"0.00")))</f>
        <v/>
      </c>
      <c r="T804" s="52">
        <f>IFERROR((G804-INDEX('01_Swimmers'!$E$5:$E$22,MATCH(B804,'01_Swimmers'!$A$5:$A$22,0)))/'00_Control'!$B$10,"")</f>
        <v/>
      </c>
      <c r="U804" s="35">
        <f>IF(T804="","",INT(T804))</f>
        <v/>
      </c>
      <c r="V804" s="33" t="inlineStr">
        <is>
          <t>NO</t>
        </is>
      </c>
      <c r="W804" s="33" t="inlineStr">
        <is>
          <t>YES</t>
        </is>
      </c>
      <c r="X804" s="33" t="inlineStr">
        <is>
          <t>NO</t>
        </is>
      </c>
      <c r="Y804" s="33" t="n">
        <v>11</v>
      </c>
      <c r="Z804" s="33" t="n">
        <v>8</v>
      </c>
      <c r="AA804" s="33" t="inlineStr">
        <is>
          <t>5</t>
        </is>
      </c>
      <c r="AB804" s="33" t="inlineStr">
        <is>
          <t>https://www.swimcloud.com/results/344367/event/22/?id=152470347#time152470347</t>
        </is>
      </c>
      <c r="AC804" s="33" t="inlineStr">
        <is>
          <t>SwimCloud API v6 2026-10-08</t>
        </is>
      </c>
      <c r="AD804" s="33" t="inlineStr">
        <is>
          <t>Duncan Scott|2025-05-22|LCM|100|Free|49.73|Mare Nostrum - Trofeu Internacional Ciutat de Barcelona|PRE|False</t>
        </is>
      </c>
      <c r="AE804" s="53">
        <f>G804+L804/1000+ROW()/1000000000</f>
        <v/>
      </c>
      <c r="AF804" s="35">
        <f>IF(C804&lt;&gt;"Grayson Coulter","",COUNTIFS($C$5:$C$2991,"Grayson Coulter",$Q$5:$Q$2991,Q804,$AE$5:$AE$2991,"&lt;="&amp;AE804,$R$5:$R$2991,"&lt;"&amp;R804))</f>
        <v/>
      </c>
      <c r="AG804" s="35">
        <f>IF(OR(C804&lt;&gt;"Grayson Coulter",G804&lt;'00_Control'!$B$7),"",--(AF804&lt;5))</f>
        <v/>
      </c>
      <c r="AH804" s="35">
        <f>IF(OR(C804&lt;&gt;"Grayson Coulter",G804&lt;'00_Control'!$B$7),"",--(AF804&lt;10))</f>
        <v/>
      </c>
      <c r="AI804" s="35">
        <f>IF(AND(C804="Grayson Coulter",G804&gt;='00_Control'!$B$7),"YES","NO")</f>
        <v/>
      </c>
      <c r="AJ804" s="33" t="inlineStr">
        <is>
          <t>OK</t>
        </is>
      </c>
    </row>
    <row r="805">
      <c r="A805" s="33" t="inlineStr">
        <is>
          <t>SM000801</t>
        </is>
      </c>
      <c r="B805" s="33" t="inlineStr">
        <is>
          <t>SW016</t>
        </is>
      </c>
      <c r="C805" s="33" t="inlineStr">
        <is>
          <t>Duncan Scott</t>
        </is>
      </c>
      <c r="D805" s="33" t="inlineStr">
        <is>
          <t>SwimCloud</t>
        </is>
      </c>
      <c r="E805" s="33" t="inlineStr">
        <is>
          <t>375606</t>
        </is>
      </c>
      <c r="F805" s="33" t="inlineStr">
        <is>
          <t>152470349</t>
        </is>
      </c>
      <c r="G805" s="51" t="n">
        <v>45799</v>
      </c>
      <c r="H805" s="33" t="inlineStr">
        <is>
          <t>Mare Nostrum - Trofeu Internacional Ciutat de Barcelona</t>
        </is>
      </c>
      <c r="I805" s="33" t="inlineStr">
        <is>
          <t>344367</t>
        </is>
      </c>
      <c r="J805" s="33" t="inlineStr"/>
      <c r="K805" s="33" t="inlineStr">
        <is>
          <t>FIN</t>
        </is>
      </c>
      <c r="L805" s="35">
        <f>IF(K805="FIN",3,IF(OR(K805="SEM",K805="SEMI"),2,IF(OR(K805="PRE",K805="HEAT"),1,IF(V805="YES",4,2))))</f>
        <v/>
      </c>
      <c r="M805" s="33" t="inlineStr">
        <is>
          <t>LCM</t>
        </is>
      </c>
      <c r="N805" s="33" t="n">
        <v>100</v>
      </c>
      <c r="O805" s="33" t="inlineStr">
        <is>
          <t>Free</t>
        </is>
      </c>
      <c r="P805" s="33" t="inlineStr">
        <is>
          <t>100 Free</t>
        </is>
      </c>
      <c r="Q805" s="33" t="inlineStr">
        <is>
          <t>LCM_100_FREE</t>
        </is>
      </c>
      <c r="R805" s="36" t="n">
        <v>49.28</v>
      </c>
      <c r="S805" s="35">
        <f>IF(R805="","",IF(R805&gt;=60,INT(R805/60)&amp;":"&amp;TEXT(MOD(R805,60),"00.00"),TEXT(R805,"0.00")))</f>
        <v/>
      </c>
      <c r="T805" s="52">
        <f>IFERROR((G805-INDEX('01_Swimmers'!$E$5:$E$22,MATCH(B805,'01_Swimmers'!$A$5:$A$22,0)))/'00_Control'!$B$10,"")</f>
        <v/>
      </c>
      <c r="U805" s="35">
        <f>IF(T805="","",INT(T805))</f>
        <v/>
      </c>
      <c r="V805" s="33" t="inlineStr">
        <is>
          <t>NO</t>
        </is>
      </c>
      <c r="W805" s="33" t="inlineStr">
        <is>
          <t>YES</t>
        </is>
      </c>
      <c r="X805" s="33" t="inlineStr">
        <is>
          <t>NO</t>
        </is>
      </c>
      <c r="Y805" s="33" t="n">
        <v>1</v>
      </c>
      <c r="Z805" s="33" t="n">
        <v>2</v>
      </c>
      <c r="AA805" s="33" t="inlineStr">
        <is>
          <t>1</t>
        </is>
      </c>
      <c r="AB805" s="33" t="inlineStr">
        <is>
          <t>https://www.swimcloud.com/results/344367/event/22/?id=152470349#time152470349</t>
        </is>
      </c>
      <c r="AC805" s="33" t="inlineStr">
        <is>
          <t>SwimCloud API v6 2026-10-08</t>
        </is>
      </c>
      <c r="AD805" s="33" t="inlineStr">
        <is>
          <t>Duncan Scott|2025-05-22|LCM|100|Free|49.28|Mare Nostrum - Trofeu Internacional Ciutat de Barcelona|FIN|False</t>
        </is>
      </c>
      <c r="AE805" s="53">
        <f>G805+L805/1000+ROW()/1000000000</f>
        <v/>
      </c>
      <c r="AF805" s="35">
        <f>IF(C805&lt;&gt;"Grayson Coulter","",COUNTIFS($C$5:$C$2991,"Grayson Coulter",$Q$5:$Q$2991,Q805,$AE$5:$AE$2991,"&lt;="&amp;AE805,$R$5:$R$2991,"&lt;"&amp;R805))</f>
        <v/>
      </c>
      <c r="AG805" s="35">
        <f>IF(OR(C805&lt;&gt;"Grayson Coulter",G805&lt;'00_Control'!$B$7),"",--(AF805&lt;5))</f>
        <v/>
      </c>
      <c r="AH805" s="35">
        <f>IF(OR(C805&lt;&gt;"Grayson Coulter",G805&lt;'00_Control'!$B$7),"",--(AF805&lt;10))</f>
        <v/>
      </c>
      <c r="AI805" s="35">
        <f>IF(AND(C805="Grayson Coulter",G805&gt;='00_Control'!$B$7),"YES","NO")</f>
        <v/>
      </c>
      <c r="AJ805" s="33" t="inlineStr">
        <is>
          <t>OK</t>
        </is>
      </c>
    </row>
    <row r="806">
      <c r="A806" s="33" t="inlineStr">
        <is>
          <t>SM000802</t>
        </is>
      </c>
      <c r="B806" s="33" t="inlineStr">
        <is>
          <t>SW016</t>
        </is>
      </c>
      <c r="C806" s="33" t="inlineStr">
        <is>
          <t>Duncan Scott</t>
        </is>
      </c>
      <c r="D806" s="33" t="inlineStr">
        <is>
          <t>SwimCloud</t>
        </is>
      </c>
      <c r="E806" s="33" t="inlineStr">
        <is>
          <t>375606</t>
        </is>
      </c>
      <c r="F806" s="33" t="inlineStr">
        <is>
          <t>158426673</t>
        </is>
      </c>
      <c r="G806" s="51" t="n">
        <v>45803</v>
      </c>
      <c r="H806" s="33" t="inlineStr">
        <is>
          <t>AP Race London International</t>
        </is>
      </c>
      <c r="I806" s="33" t="inlineStr">
        <is>
          <t>344629</t>
        </is>
      </c>
      <c r="J806" s="33" t="inlineStr"/>
      <c r="K806" s="33" t="inlineStr">
        <is>
          <t>PRE</t>
        </is>
      </c>
      <c r="L806" s="35">
        <f>IF(K806="FIN",3,IF(OR(K806="SEM",K806="SEMI"),2,IF(OR(K806="PRE",K806="HEAT"),1,IF(V806="YES",4,2))))</f>
        <v/>
      </c>
      <c r="M806" s="33" t="inlineStr">
        <is>
          <t>LCM</t>
        </is>
      </c>
      <c r="N806" s="33" t="n">
        <v>200</v>
      </c>
      <c r="O806" s="33" t="inlineStr">
        <is>
          <t>Free</t>
        </is>
      </c>
      <c r="P806" s="33" t="inlineStr">
        <is>
          <t>200 Free</t>
        </is>
      </c>
      <c r="Q806" s="33" t="inlineStr">
        <is>
          <t>LCM_200_FREE</t>
        </is>
      </c>
      <c r="R806" s="36" t="n">
        <v>106.15</v>
      </c>
      <c r="S806" s="35">
        <f>IF(R806="","",IF(R806&gt;=60,INT(R806/60)&amp;":"&amp;TEXT(MOD(R806,60),"00.00"),TEXT(R806,"0.00")))</f>
        <v/>
      </c>
      <c r="T806" s="52">
        <f>IFERROR((G806-INDEX('01_Swimmers'!$E$5:$E$22,MATCH(B806,'01_Swimmers'!$A$5:$A$22,0)))/'00_Control'!$B$10,"")</f>
        <v/>
      </c>
      <c r="U806" s="35">
        <f>IF(T806="","",INT(T806))</f>
        <v/>
      </c>
      <c r="V806" s="33" t="inlineStr">
        <is>
          <t>NO</t>
        </is>
      </c>
      <c r="W806" s="33" t="inlineStr">
        <is>
          <t>YES</t>
        </is>
      </c>
      <c r="X806" s="33" t="inlineStr">
        <is>
          <t>NO</t>
        </is>
      </c>
      <c r="Y806" s="33" t="n">
        <v>1</v>
      </c>
      <c r="Z806" s="33" t="n">
        <v>5</v>
      </c>
      <c r="AA806" s="33" t="inlineStr">
        <is>
          <t>1</t>
        </is>
      </c>
      <c r="AB806" s="33" t="inlineStr">
        <is>
          <t>https://www.swimcloud.com/results/344629/event/911/?id=158426673#time158426673</t>
        </is>
      </c>
      <c r="AC806" s="33" t="inlineStr">
        <is>
          <t>SwimCloud API v6 2026-10-08</t>
        </is>
      </c>
      <c r="AD806" s="33" t="inlineStr">
        <is>
          <t>Duncan Scott|2025-05-26|LCM|200|Free|106.15|AP Race London International|PRE|False</t>
        </is>
      </c>
      <c r="AE806" s="53">
        <f>G806+L806/1000+ROW()/1000000000</f>
        <v/>
      </c>
      <c r="AF806" s="35">
        <f>IF(C806&lt;&gt;"Grayson Coulter","",COUNTIFS($C$5:$C$2991,"Grayson Coulter",$Q$5:$Q$2991,Q806,$AE$5:$AE$2991,"&lt;="&amp;AE806,$R$5:$R$2991,"&lt;"&amp;R806))</f>
        <v/>
      </c>
      <c r="AG806" s="35">
        <f>IF(OR(C806&lt;&gt;"Grayson Coulter",G806&lt;'00_Control'!$B$7),"",--(AF806&lt;5))</f>
        <v/>
      </c>
      <c r="AH806" s="35">
        <f>IF(OR(C806&lt;&gt;"Grayson Coulter",G806&lt;'00_Control'!$B$7),"",--(AF806&lt;10))</f>
        <v/>
      </c>
      <c r="AI806" s="35">
        <f>IF(AND(C806="Grayson Coulter",G806&gt;='00_Control'!$B$7),"YES","NO")</f>
        <v/>
      </c>
      <c r="AJ806" s="33" t="inlineStr">
        <is>
          <t>OK</t>
        </is>
      </c>
    </row>
    <row r="807">
      <c r="A807" s="33" t="inlineStr">
        <is>
          <t>SM000803</t>
        </is>
      </c>
      <c r="B807" s="33" t="inlineStr">
        <is>
          <t>SW016</t>
        </is>
      </c>
      <c r="C807" s="33" t="inlineStr">
        <is>
          <t>Duncan Scott</t>
        </is>
      </c>
      <c r="D807" s="33" t="inlineStr">
        <is>
          <t>SwimCloud</t>
        </is>
      </c>
      <c r="E807" s="33" t="inlineStr">
        <is>
          <t>375606</t>
        </is>
      </c>
      <c r="F807" s="33" t="inlineStr">
        <is>
          <t>158425956</t>
        </is>
      </c>
      <c r="G807" s="51" t="n">
        <v>45803</v>
      </c>
      <c r="H807" s="33" t="inlineStr">
        <is>
          <t>AP Race London International</t>
        </is>
      </c>
      <c r="I807" s="33" t="inlineStr">
        <is>
          <t>344629</t>
        </is>
      </c>
      <c r="J807" s="33" t="inlineStr"/>
      <c r="K807" s="33" t="inlineStr">
        <is>
          <t>PRE</t>
        </is>
      </c>
      <c r="L807" s="35">
        <f>IF(K807="FIN",3,IF(OR(K807="SEM",K807="SEMI"),2,IF(OR(K807="PRE",K807="HEAT"),1,IF(V807="YES",4,2))))</f>
        <v/>
      </c>
      <c r="M807" s="33" t="inlineStr">
        <is>
          <t>LCM</t>
        </is>
      </c>
      <c r="N807" s="33" t="n">
        <v>200</v>
      </c>
      <c r="O807" s="33" t="inlineStr">
        <is>
          <t>Free</t>
        </is>
      </c>
      <c r="P807" s="33" t="inlineStr">
        <is>
          <t>200 Free</t>
        </is>
      </c>
      <c r="Q807" s="33" t="inlineStr">
        <is>
          <t>LCM_200_FREE</t>
        </is>
      </c>
      <c r="R807" s="36" t="n">
        <v>107.89</v>
      </c>
      <c r="S807" s="35">
        <f>IF(R807="","",IF(R807&gt;=60,INT(R807/60)&amp;":"&amp;TEXT(MOD(R807,60),"00.00"),TEXT(R807,"0.00")))</f>
        <v/>
      </c>
      <c r="T807" s="52">
        <f>IFERROR((G807-INDEX('01_Swimmers'!$E$5:$E$22,MATCH(B807,'01_Swimmers'!$A$5:$A$22,0)))/'00_Control'!$B$10,"")</f>
        <v/>
      </c>
      <c r="U807" s="35">
        <f>IF(T807="","",INT(T807))</f>
        <v/>
      </c>
      <c r="V807" s="33" t="inlineStr">
        <is>
          <t>NO</t>
        </is>
      </c>
      <c r="W807" s="33" t="inlineStr">
        <is>
          <t>YES</t>
        </is>
      </c>
      <c r="X807" s="33" t="inlineStr">
        <is>
          <t>NO</t>
        </is>
      </c>
      <c r="Y807" s="33" t="n">
        <v>6</v>
      </c>
      <c r="Z807" s="33" t="n">
        <v>4</v>
      </c>
      <c r="AA807" s="33" t="inlineStr">
        <is>
          <t>2</t>
        </is>
      </c>
      <c r="AB807" s="33" t="inlineStr">
        <is>
          <t>https://www.swimcloud.com/results/344629/event/706/?id=158425956#time158425956</t>
        </is>
      </c>
      <c r="AC807" s="33" t="inlineStr">
        <is>
          <t>SwimCloud API v6 2026-10-08</t>
        </is>
      </c>
      <c r="AD807" s="33" t="inlineStr">
        <is>
          <t>Duncan Scott|2025-05-26|LCM|200|Free|107.89|AP Race London International|PRE|False</t>
        </is>
      </c>
      <c r="AE807" s="53">
        <f>G807+L807/1000+ROW()/1000000000</f>
        <v/>
      </c>
      <c r="AF807" s="35">
        <f>IF(C807&lt;&gt;"Grayson Coulter","",COUNTIFS($C$5:$C$2991,"Grayson Coulter",$Q$5:$Q$2991,Q807,$AE$5:$AE$2991,"&lt;="&amp;AE807,$R$5:$R$2991,"&lt;"&amp;R807))</f>
        <v/>
      </c>
      <c r="AG807" s="35">
        <f>IF(OR(C807&lt;&gt;"Grayson Coulter",G807&lt;'00_Control'!$B$7),"",--(AF807&lt;5))</f>
        <v/>
      </c>
      <c r="AH807" s="35">
        <f>IF(OR(C807&lt;&gt;"Grayson Coulter",G807&lt;'00_Control'!$B$7),"",--(AF807&lt;10))</f>
        <v/>
      </c>
      <c r="AI807" s="35">
        <f>IF(AND(C807="Grayson Coulter",G807&gt;='00_Control'!$B$7),"YES","NO")</f>
        <v/>
      </c>
      <c r="AJ807" s="33" t="inlineStr">
        <is>
          <t>OK</t>
        </is>
      </c>
    </row>
    <row r="808">
      <c r="A808" s="33" t="inlineStr">
        <is>
          <t>SM000804</t>
        </is>
      </c>
      <c r="B808" s="33" t="inlineStr">
        <is>
          <t>SW016</t>
        </is>
      </c>
      <c r="C808" s="33" t="inlineStr">
        <is>
          <t>Duncan Scott</t>
        </is>
      </c>
      <c r="D808" s="33" t="inlineStr">
        <is>
          <t>SwimCloud</t>
        </is>
      </c>
      <c r="E808" s="33" t="inlineStr">
        <is>
          <t>375606</t>
        </is>
      </c>
      <c r="F808" s="33" t="inlineStr">
        <is>
          <t>164165459</t>
        </is>
      </c>
      <c r="G808" s="51" t="n">
        <v>45993</v>
      </c>
      <c r="H808" s="33" t="inlineStr">
        <is>
          <t>European Aquatics Championships (25m)</t>
        </is>
      </c>
      <c r="I808" s="33" t="inlineStr">
        <is>
          <t>309064</t>
        </is>
      </c>
      <c r="J808" s="33" t="inlineStr"/>
      <c r="K808" s="33" t="inlineStr">
        <is>
          <t>PRE</t>
        </is>
      </c>
      <c r="L808" s="35">
        <f>IF(K808="FIN",3,IF(OR(K808="SEM",K808="SEMI"),2,IF(OR(K808="PRE",K808="HEAT"),1,IF(V808="YES",4,2))))</f>
        <v/>
      </c>
      <c r="M808" s="33" t="inlineStr">
        <is>
          <t>SCM</t>
        </is>
      </c>
      <c r="N808" s="33" t="n">
        <v>400</v>
      </c>
      <c r="O808" s="33" t="inlineStr">
        <is>
          <t>Free</t>
        </is>
      </c>
      <c r="P808" s="33" t="inlineStr">
        <is>
          <t>400 Free</t>
        </is>
      </c>
      <c r="Q808" s="33" t="inlineStr">
        <is>
          <t>SCM_400_FREE</t>
        </is>
      </c>
      <c r="R808" s="36" t="n">
        <v>218.43</v>
      </c>
      <c r="S808" s="35">
        <f>IF(R808="","",IF(R808&gt;=60,INT(R808/60)&amp;":"&amp;TEXT(MOD(R808,60),"00.00"),TEXT(R808,"0.00")))</f>
        <v/>
      </c>
      <c r="T808" s="52">
        <f>IFERROR((G808-INDEX('01_Swimmers'!$E$5:$E$22,MATCH(B808,'01_Swimmers'!$A$5:$A$22,0)))/'00_Control'!$B$10,"")</f>
        <v/>
      </c>
      <c r="U808" s="35">
        <f>IF(T808="","",INT(T808))</f>
        <v/>
      </c>
      <c r="V808" s="33" t="inlineStr">
        <is>
          <t>NO</t>
        </is>
      </c>
      <c r="W808" s="33" t="inlineStr">
        <is>
          <t>YES</t>
        </is>
      </c>
      <c r="X808" s="33" t="inlineStr">
        <is>
          <t>NO</t>
        </is>
      </c>
      <c r="Y808" s="33" t="n">
        <v>7</v>
      </c>
      <c r="Z808" s="33" t="n">
        <v>4</v>
      </c>
      <c r="AA808" s="33" t="inlineStr">
        <is>
          <t>8</t>
        </is>
      </c>
      <c r="AB808" s="33" t="inlineStr">
        <is>
          <t>https://www.swimcloud.com/results/309064/event/2/?id=164165459#time164165459</t>
        </is>
      </c>
      <c r="AC808" s="33" t="inlineStr">
        <is>
          <t>SwimCloud API v6 2026-10-08</t>
        </is>
      </c>
      <c r="AD808" s="33" t="inlineStr">
        <is>
          <t>Duncan Scott|2025-12-02|SCM|400|Free|218.43|European Aquatics Championships (25m)|PRE|False</t>
        </is>
      </c>
      <c r="AE808" s="53">
        <f>G808+L808/1000+ROW()/1000000000</f>
        <v/>
      </c>
      <c r="AF808" s="35">
        <f>IF(C808&lt;&gt;"Grayson Coulter","",COUNTIFS($C$5:$C$2991,"Grayson Coulter",$Q$5:$Q$2991,Q808,$AE$5:$AE$2991,"&lt;="&amp;AE808,$R$5:$R$2991,"&lt;"&amp;R808))</f>
        <v/>
      </c>
      <c r="AG808" s="35">
        <f>IF(OR(C808&lt;&gt;"Grayson Coulter",G808&lt;'00_Control'!$B$7),"",--(AF808&lt;5))</f>
        <v/>
      </c>
      <c r="AH808" s="35">
        <f>IF(OR(C808&lt;&gt;"Grayson Coulter",G808&lt;'00_Control'!$B$7),"",--(AF808&lt;10))</f>
        <v/>
      </c>
      <c r="AI808" s="35">
        <f>IF(AND(C808="Grayson Coulter",G808&gt;='00_Control'!$B$7),"YES","NO")</f>
        <v/>
      </c>
      <c r="AJ808" s="33" t="inlineStr">
        <is>
          <t>OK</t>
        </is>
      </c>
    </row>
    <row r="809">
      <c r="A809" s="33" t="inlineStr">
        <is>
          <t>SM000805</t>
        </is>
      </c>
      <c r="B809" s="33" t="inlineStr">
        <is>
          <t>SW016</t>
        </is>
      </c>
      <c r="C809" s="33" t="inlineStr">
        <is>
          <t>Duncan Scott</t>
        </is>
      </c>
      <c r="D809" s="33" t="inlineStr">
        <is>
          <t>SwimCloud</t>
        </is>
      </c>
      <c r="E809" s="33" t="inlineStr">
        <is>
          <t>375606</t>
        </is>
      </c>
      <c r="F809" s="33" t="inlineStr">
        <is>
          <t>164165458</t>
        </is>
      </c>
      <c r="G809" s="51" t="n">
        <v>45993</v>
      </c>
      <c r="H809" s="33" t="inlineStr">
        <is>
          <t>European Aquatics Championships (25m)</t>
        </is>
      </c>
      <c r="I809" s="33" t="inlineStr">
        <is>
          <t>309064</t>
        </is>
      </c>
      <c r="J809" s="33" t="inlineStr"/>
      <c r="K809" s="33" t="inlineStr">
        <is>
          <t>FIN</t>
        </is>
      </c>
      <c r="L809" s="35">
        <f>IF(K809="FIN",3,IF(OR(K809="SEM",K809="SEMI"),2,IF(OR(K809="PRE",K809="HEAT"),1,IF(V809="YES",4,2))))</f>
        <v/>
      </c>
      <c r="M809" s="33" t="inlineStr">
        <is>
          <t>SCM</t>
        </is>
      </c>
      <c r="N809" s="33" t="n">
        <v>400</v>
      </c>
      <c r="O809" s="33" t="inlineStr">
        <is>
          <t>Free</t>
        </is>
      </c>
      <c r="P809" s="33" t="inlineStr">
        <is>
          <t>400 Free</t>
        </is>
      </c>
      <c r="Q809" s="33" t="inlineStr">
        <is>
          <t>SCM_400_FREE</t>
        </is>
      </c>
      <c r="R809" s="36" t="n">
        <v>218.14</v>
      </c>
      <c r="S809" s="35">
        <f>IF(R809="","",IF(R809&gt;=60,INT(R809/60)&amp;":"&amp;TEXT(MOD(R809,60),"00.00"),TEXT(R809,"0.00")))</f>
        <v/>
      </c>
      <c r="T809" s="52">
        <f>IFERROR((G809-INDEX('01_Swimmers'!$E$5:$E$22,MATCH(B809,'01_Swimmers'!$A$5:$A$22,0)))/'00_Control'!$B$10,"")</f>
        <v/>
      </c>
      <c r="U809" s="35">
        <f>IF(T809="","",INT(T809))</f>
        <v/>
      </c>
      <c r="V809" s="33" t="inlineStr">
        <is>
          <t>NO</t>
        </is>
      </c>
      <c r="W809" s="33" t="inlineStr">
        <is>
          <t>YES</t>
        </is>
      </c>
      <c r="X809" s="33" t="inlineStr">
        <is>
          <t>NO</t>
        </is>
      </c>
      <c r="Y809" s="33" t="n">
        <v>1</v>
      </c>
      <c r="Z809" s="33" t="n">
        <v>8</v>
      </c>
      <c r="AA809" s="33" t="inlineStr">
        <is>
          <t>7</t>
        </is>
      </c>
      <c r="AB809" s="33" t="inlineStr">
        <is>
          <t>https://www.swimcloud.com/results/309064/event/2/?id=164165458#time164165458</t>
        </is>
      </c>
      <c r="AC809" s="33" t="inlineStr">
        <is>
          <t>SwimCloud API v6 2026-10-08</t>
        </is>
      </c>
      <c r="AD809" s="33" t="inlineStr">
        <is>
          <t>Duncan Scott|2025-12-02|SCM|400|Free|218.14|European Aquatics Championships (25m)|FIN|False</t>
        </is>
      </c>
      <c r="AE809" s="53">
        <f>G809+L809/1000+ROW()/1000000000</f>
        <v/>
      </c>
      <c r="AF809" s="35">
        <f>IF(C809&lt;&gt;"Grayson Coulter","",COUNTIFS($C$5:$C$2991,"Grayson Coulter",$Q$5:$Q$2991,Q809,$AE$5:$AE$2991,"&lt;="&amp;AE809,$R$5:$R$2991,"&lt;"&amp;R809))</f>
        <v/>
      </c>
      <c r="AG809" s="35">
        <f>IF(OR(C809&lt;&gt;"Grayson Coulter",G809&lt;'00_Control'!$B$7),"",--(AF809&lt;5))</f>
        <v/>
      </c>
      <c r="AH809" s="35">
        <f>IF(OR(C809&lt;&gt;"Grayson Coulter",G809&lt;'00_Control'!$B$7),"",--(AF809&lt;10))</f>
        <v/>
      </c>
      <c r="AI809" s="35">
        <f>IF(AND(C809="Grayson Coulter",G809&gt;='00_Control'!$B$7),"YES","NO")</f>
        <v/>
      </c>
      <c r="AJ809" s="33" t="inlineStr">
        <is>
          <t>OK</t>
        </is>
      </c>
    </row>
    <row r="810">
      <c r="A810" s="33" t="inlineStr">
        <is>
          <t>SM000806</t>
        </is>
      </c>
      <c r="B810" s="33" t="inlineStr">
        <is>
          <t>SW016</t>
        </is>
      </c>
      <c r="C810" s="33" t="inlineStr">
        <is>
          <t>Duncan Scott</t>
        </is>
      </c>
      <c r="D810" s="33" t="inlineStr">
        <is>
          <t>SwimCloud</t>
        </is>
      </c>
      <c r="E810" s="33" t="inlineStr">
        <is>
          <t>375606</t>
        </is>
      </c>
      <c r="F810" s="33" t="inlineStr">
        <is>
          <t>164165453</t>
        </is>
      </c>
      <c r="G810" s="51" t="n">
        <v>45994</v>
      </c>
      <c r="H810" s="33" t="inlineStr">
        <is>
          <t>European Aquatics Championships (25m)</t>
        </is>
      </c>
      <c r="I810" s="33" t="inlineStr">
        <is>
          <t>309064</t>
        </is>
      </c>
      <c r="J810" s="33" t="inlineStr"/>
      <c r="K810" s="33" t="inlineStr">
        <is>
          <t>PRE</t>
        </is>
      </c>
      <c r="L810" s="35">
        <f>IF(K810="FIN",3,IF(OR(K810="SEM",K810="SEMI"),2,IF(OR(K810="PRE",K810="HEAT"),1,IF(V810="YES",4,2))))</f>
        <v/>
      </c>
      <c r="M810" s="33" t="inlineStr">
        <is>
          <t>SCM</t>
        </is>
      </c>
      <c r="N810" s="33" t="n">
        <v>200</v>
      </c>
      <c r="O810" s="33" t="inlineStr">
        <is>
          <t>Free</t>
        </is>
      </c>
      <c r="P810" s="33" t="inlineStr">
        <is>
          <t>200 Free</t>
        </is>
      </c>
      <c r="Q810" s="33" t="inlineStr">
        <is>
          <t>SCM_200_FREE</t>
        </is>
      </c>
      <c r="R810" s="36" t="n">
        <v>101.58</v>
      </c>
      <c r="S810" s="35">
        <f>IF(R810="","",IF(R810&gt;=60,INT(R810/60)&amp;":"&amp;TEXT(MOD(R810,60),"00.00"),TEXT(R810,"0.00")))</f>
        <v/>
      </c>
      <c r="T810" s="52">
        <f>IFERROR((G810-INDEX('01_Swimmers'!$E$5:$E$22,MATCH(B810,'01_Swimmers'!$A$5:$A$22,0)))/'00_Control'!$B$10,"")</f>
        <v/>
      </c>
      <c r="U810" s="35">
        <f>IF(T810="","",INT(T810))</f>
        <v/>
      </c>
      <c r="V810" s="33" t="inlineStr">
        <is>
          <t>NO</t>
        </is>
      </c>
      <c r="W810" s="33" t="inlineStr">
        <is>
          <t>YES</t>
        </is>
      </c>
      <c r="X810" s="33" t="inlineStr">
        <is>
          <t>NO</t>
        </is>
      </c>
      <c r="Y810" s="33" t="n">
        <v>8</v>
      </c>
      <c r="Z810" s="33" t="n">
        <v>4</v>
      </c>
      <c r="AA810" s="33" t="inlineStr">
        <is>
          <t>2</t>
        </is>
      </c>
      <c r="AB810" s="33" t="inlineStr">
        <is>
          <t>https://www.swimcloud.com/results/309064/event/13/?id=164165453#time164165453</t>
        </is>
      </c>
      <c r="AC810" s="33" t="inlineStr">
        <is>
          <t>SwimCloud API v6 2026-10-08</t>
        </is>
      </c>
      <c r="AD810" s="33" t="inlineStr">
        <is>
          <t>Duncan Scott|2025-12-03|SCM|200|Free|101.58|European Aquatics Championships (25m)|PRE|False</t>
        </is>
      </c>
      <c r="AE810" s="53">
        <f>G810+L810/1000+ROW()/1000000000</f>
        <v/>
      </c>
      <c r="AF810" s="35">
        <f>IF(C810&lt;&gt;"Grayson Coulter","",COUNTIFS($C$5:$C$2991,"Grayson Coulter",$Q$5:$Q$2991,Q810,$AE$5:$AE$2991,"&lt;="&amp;AE810,$R$5:$R$2991,"&lt;"&amp;R810))</f>
        <v/>
      </c>
      <c r="AG810" s="35">
        <f>IF(OR(C810&lt;&gt;"Grayson Coulter",G810&lt;'00_Control'!$B$7),"",--(AF810&lt;5))</f>
        <v/>
      </c>
      <c r="AH810" s="35">
        <f>IF(OR(C810&lt;&gt;"Grayson Coulter",G810&lt;'00_Control'!$B$7),"",--(AF810&lt;10))</f>
        <v/>
      </c>
      <c r="AI810" s="35">
        <f>IF(AND(C810="Grayson Coulter",G810&gt;='00_Control'!$B$7),"YES","NO")</f>
        <v/>
      </c>
      <c r="AJ810" s="33" t="inlineStr">
        <is>
          <t>OK</t>
        </is>
      </c>
    </row>
    <row r="811">
      <c r="A811" s="33" t="inlineStr">
        <is>
          <t>SM000807</t>
        </is>
      </c>
      <c r="B811" s="33" t="inlineStr">
        <is>
          <t>SW016</t>
        </is>
      </c>
      <c r="C811" s="33" t="inlineStr">
        <is>
          <t>Duncan Scott</t>
        </is>
      </c>
      <c r="D811" s="33" t="inlineStr">
        <is>
          <t>SwimCloud</t>
        </is>
      </c>
      <c r="E811" s="33" t="inlineStr">
        <is>
          <t>375606</t>
        </is>
      </c>
      <c r="F811" s="33" t="inlineStr">
        <is>
          <t>164165454</t>
        </is>
      </c>
      <c r="G811" s="51" t="n">
        <v>45994</v>
      </c>
      <c r="H811" s="33" t="inlineStr">
        <is>
          <t>European Aquatics Championships (25m)</t>
        </is>
      </c>
      <c r="I811" s="33" t="inlineStr">
        <is>
          <t>309064</t>
        </is>
      </c>
      <c r="J811" s="33" t="inlineStr"/>
      <c r="K811" s="33" t="inlineStr">
        <is>
          <t>SEM</t>
        </is>
      </c>
      <c r="L811" s="35">
        <f>IF(K811="FIN",3,IF(OR(K811="SEM",K811="SEMI"),2,IF(OR(K811="PRE",K811="HEAT"),1,IF(V811="YES",4,2))))</f>
        <v/>
      </c>
      <c r="M811" s="33" t="inlineStr">
        <is>
          <t>SCM</t>
        </is>
      </c>
      <c r="N811" s="33" t="n">
        <v>200</v>
      </c>
      <c r="O811" s="33" t="inlineStr">
        <is>
          <t>Free</t>
        </is>
      </c>
      <c r="P811" s="33" t="inlineStr">
        <is>
          <t>200 Free</t>
        </is>
      </c>
      <c r="Q811" s="33" t="inlineStr">
        <is>
          <t>SCM_200_FREE</t>
        </is>
      </c>
      <c r="R811" s="36" t="n">
        <v>101.56</v>
      </c>
      <c r="S811" s="35">
        <f>IF(R811="","",IF(R811&gt;=60,INT(R811/60)&amp;":"&amp;TEXT(MOD(R811,60),"00.00"),TEXT(R811,"0.00")))</f>
        <v/>
      </c>
      <c r="T811" s="52">
        <f>IFERROR((G811-INDEX('01_Swimmers'!$E$5:$E$22,MATCH(B811,'01_Swimmers'!$A$5:$A$22,0)))/'00_Control'!$B$10,"")</f>
        <v/>
      </c>
      <c r="U811" s="35">
        <f>IF(T811="","",INT(T811))</f>
        <v/>
      </c>
      <c r="V811" s="33" t="inlineStr">
        <is>
          <t>NO</t>
        </is>
      </c>
      <c r="W811" s="33" t="inlineStr">
        <is>
          <t>YES</t>
        </is>
      </c>
      <c r="X811" s="33" t="inlineStr">
        <is>
          <t>NO</t>
        </is>
      </c>
      <c r="Y811" s="33" t="n">
        <v>1</v>
      </c>
      <c r="Z811" s="33" t="n">
        <v>4</v>
      </c>
      <c r="AA811" s="33" t="inlineStr">
        <is>
          <t>1</t>
        </is>
      </c>
      <c r="AB811" s="33" t="inlineStr">
        <is>
          <t>https://www.swimcloud.com/results/309064/event/13/?id=164165454#time164165454</t>
        </is>
      </c>
      <c r="AC811" s="33" t="inlineStr">
        <is>
          <t>SwimCloud API v6 2026-10-08</t>
        </is>
      </c>
      <c r="AD811" s="33" t="inlineStr">
        <is>
          <t>Duncan Scott|2025-12-03|SCM|200|Free|101.56|European Aquatics Championships (25m)|SEM|False</t>
        </is>
      </c>
      <c r="AE811" s="53">
        <f>G811+L811/1000+ROW()/1000000000</f>
        <v/>
      </c>
      <c r="AF811" s="35">
        <f>IF(C811&lt;&gt;"Grayson Coulter","",COUNTIFS($C$5:$C$2991,"Grayson Coulter",$Q$5:$Q$2991,Q811,$AE$5:$AE$2991,"&lt;="&amp;AE811,$R$5:$R$2991,"&lt;"&amp;R811))</f>
        <v/>
      </c>
      <c r="AG811" s="35">
        <f>IF(OR(C811&lt;&gt;"Grayson Coulter",G811&lt;'00_Control'!$B$7),"",--(AF811&lt;5))</f>
        <v/>
      </c>
      <c r="AH811" s="35">
        <f>IF(OR(C811&lt;&gt;"Grayson Coulter",G811&lt;'00_Control'!$B$7),"",--(AF811&lt;10))</f>
        <v/>
      </c>
      <c r="AI811" s="35">
        <f>IF(AND(C811="Grayson Coulter",G811&gt;='00_Control'!$B$7),"YES","NO")</f>
        <v/>
      </c>
      <c r="AJ811" s="33" t="inlineStr">
        <is>
          <t>OK</t>
        </is>
      </c>
    </row>
    <row r="812">
      <c r="A812" s="33" t="inlineStr">
        <is>
          <t>SM000808</t>
        </is>
      </c>
      <c r="B812" s="33" t="inlineStr">
        <is>
          <t>SW016</t>
        </is>
      </c>
      <c r="C812" s="33" t="inlineStr">
        <is>
          <t>Duncan Scott</t>
        </is>
      </c>
      <c r="D812" s="33" t="inlineStr">
        <is>
          <t>SwimCloud</t>
        </is>
      </c>
      <c r="E812" s="33" t="inlineStr">
        <is>
          <t>375606</t>
        </is>
      </c>
      <c r="F812" s="33" t="inlineStr">
        <is>
          <t>164165452</t>
        </is>
      </c>
      <c r="G812" s="51" t="n">
        <v>45995</v>
      </c>
      <c r="H812" s="33" t="inlineStr">
        <is>
          <t>European Aquatics Championships (25m)</t>
        </is>
      </c>
      <c r="I812" s="33" t="inlineStr">
        <is>
          <t>309064</t>
        </is>
      </c>
      <c r="J812" s="33" t="inlineStr"/>
      <c r="K812" s="33" t="inlineStr">
        <is>
          <t>FIN</t>
        </is>
      </c>
      <c r="L812" s="35">
        <f>IF(K812="FIN",3,IF(OR(K812="SEM",K812="SEMI"),2,IF(OR(K812="PRE",K812="HEAT"),1,IF(V812="YES",4,2))))</f>
        <v/>
      </c>
      <c r="M812" s="33" t="inlineStr">
        <is>
          <t>SCM</t>
        </is>
      </c>
      <c r="N812" s="33" t="n">
        <v>200</v>
      </c>
      <c r="O812" s="33" t="inlineStr">
        <is>
          <t>Free</t>
        </is>
      </c>
      <c r="P812" s="33" t="inlineStr">
        <is>
          <t>200 Free</t>
        </is>
      </c>
      <c r="Q812" s="33" t="inlineStr">
        <is>
          <t>SCM_200_FREE</t>
        </is>
      </c>
      <c r="R812" s="36" t="n">
        <v>100.54</v>
      </c>
      <c r="S812" s="35">
        <f>IF(R812="","",IF(R812&gt;=60,INT(R812/60)&amp;":"&amp;TEXT(MOD(R812,60),"00.00"),TEXT(R812,"0.00")))</f>
        <v/>
      </c>
      <c r="T812" s="52">
        <f>IFERROR((G812-INDEX('01_Swimmers'!$E$5:$E$22,MATCH(B812,'01_Swimmers'!$A$5:$A$22,0)))/'00_Control'!$B$10,"")</f>
        <v/>
      </c>
      <c r="U812" s="35">
        <f>IF(T812="","",INT(T812))</f>
        <v/>
      </c>
      <c r="V812" s="33" t="inlineStr">
        <is>
          <t>NO</t>
        </is>
      </c>
      <c r="W812" s="33" t="inlineStr">
        <is>
          <t>YES</t>
        </is>
      </c>
      <c r="X812" s="33" t="inlineStr">
        <is>
          <t>NO</t>
        </is>
      </c>
      <c r="Y812" s="33" t="n">
        <v>1</v>
      </c>
      <c r="Z812" s="33" t="n">
        <v>4</v>
      </c>
      <c r="AA812" s="33" t="inlineStr">
        <is>
          <t>1</t>
        </is>
      </c>
      <c r="AB812" s="33" t="inlineStr">
        <is>
          <t>https://www.swimcloud.com/results/309064/event/13/?id=164165452#time164165452</t>
        </is>
      </c>
      <c r="AC812" s="33" t="inlineStr">
        <is>
          <t>SwimCloud API v6 2026-10-08</t>
        </is>
      </c>
      <c r="AD812" s="33" t="inlineStr">
        <is>
          <t>Duncan Scott|2025-12-04|SCM|200|Free|100.54|European Aquatics Championships (25m)|FIN|False</t>
        </is>
      </c>
      <c r="AE812" s="53">
        <f>G812+L812/1000+ROW()/1000000000</f>
        <v/>
      </c>
      <c r="AF812" s="35">
        <f>IF(C812&lt;&gt;"Grayson Coulter","",COUNTIFS($C$5:$C$2991,"Grayson Coulter",$Q$5:$Q$2991,Q812,$AE$5:$AE$2991,"&lt;="&amp;AE812,$R$5:$R$2991,"&lt;"&amp;R812))</f>
        <v/>
      </c>
      <c r="AG812" s="35">
        <f>IF(OR(C812&lt;&gt;"Grayson Coulter",G812&lt;'00_Control'!$B$7),"",--(AF812&lt;5))</f>
        <v/>
      </c>
      <c r="AH812" s="35">
        <f>IF(OR(C812&lt;&gt;"Grayson Coulter",G812&lt;'00_Control'!$B$7),"",--(AF812&lt;10))</f>
        <v/>
      </c>
      <c r="AI812" s="35">
        <f>IF(AND(C812="Grayson Coulter",G812&gt;='00_Control'!$B$7),"YES","NO")</f>
        <v/>
      </c>
      <c r="AJ812" s="33" t="inlineStr">
        <is>
          <t>OK</t>
        </is>
      </c>
    </row>
    <row r="813">
      <c r="A813" s="33" t="inlineStr">
        <is>
          <t>SM000809</t>
        </is>
      </c>
      <c r="B813" s="33" t="inlineStr">
        <is>
          <t>SW016</t>
        </is>
      </c>
      <c r="C813" s="33" t="inlineStr">
        <is>
          <t>Duncan Scott</t>
        </is>
      </c>
      <c r="D813" s="33" t="inlineStr">
        <is>
          <t>SwimCloud</t>
        </is>
      </c>
      <c r="E813" s="33" t="inlineStr">
        <is>
          <t>375606</t>
        </is>
      </c>
      <c r="F813" s="33" t="inlineStr">
        <is>
          <t>166761697</t>
        </is>
      </c>
      <c r="G813" s="51" t="n">
        <v>46005</v>
      </c>
      <c r="H813" s="33" t="inlineStr">
        <is>
          <t>Queensland Championships</t>
        </is>
      </c>
      <c r="I813" s="33" t="inlineStr">
        <is>
          <t>367863</t>
        </is>
      </c>
      <c r="J813" s="33" t="inlineStr"/>
      <c r="K813" s="33" t="inlineStr">
        <is>
          <t>PRE</t>
        </is>
      </c>
      <c r="L813" s="35">
        <f>IF(K813="FIN",3,IF(OR(K813="SEM",K813="SEMI"),2,IF(OR(K813="PRE",K813="HEAT"),1,IF(V813="YES",4,2))))</f>
        <v/>
      </c>
      <c r="M813" s="33" t="inlineStr">
        <is>
          <t>LCM</t>
        </is>
      </c>
      <c r="N813" s="33" t="n">
        <v>200</v>
      </c>
      <c r="O813" s="33" t="inlineStr">
        <is>
          <t>Free</t>
        </is>
      </c>
      <c r="P813" s="33" t="inlineStr">
        <is>
          <t>200 Free</t>
        </is>
      </c>
      <c r="Q813" s="33" t="inlineStr">
        <is>
          <t>LCM_200_FREE</t>
        </is>
      </c>
      <c r="R813" s="36" t="n">
        <v>107.38</v>
      </c>
      <c r="S813" s="35">
        <f>IF(R813="","",IF(R813&gt;=60,INT(R813/60)&amp;":"&amp;TEXT(MOD(R813,60),"00.00"),TEXT(R813,"0.00")))</f>
        <v/>
      </c>
      <c r="T813" s="52">
        <f>IFERROR((G813-INDEX('01_Swimmers'!$E$5:$E$22,MATCH(B813,'01_Swimmers'!$A$5:$A$22,0)))/'00_Control'!$B$10,"")</f>
        <v/>
      </c>
      <c r="U813" s="35">
        <f>IF(T813="","",INT(T813))</f>
        <v/>
      </c>
      <c r="V813" s="33" t="inlineStr">
        <is>
          <t>NO</t>
        </is>
      </c>
      <c r="W813" s="33" t="inlineStr">
        <is>
          <t>YES</t>
        </is>
      </c>
      <c r="X813" s="33" t="inlineStr">
        <is>
          <t>NO</t>
        </is>
      </c>
      <c r="Y813" s="33" t="n">
        <v>2</v>
      </c>
      <c r="Z813" s="33" t="n">
        <v>4</v>
      </c>
      <c r="AA813" s="33" t="inlineStr">
        <is>
          <t>2</t>
        </is>
      </c>
      <c r="AB813" s="33" t="inlineStr">
        <is>
          <t>https://www.swimcloud.com/results/367863/event/39/?id=166761697#time166761697</t>
        </is>
      </c>
      <c r="AC813" s="33" t="inlineStr">
        <is>
          <t>SwimCloud API v6 2026-10-08</t>
        </is>
      </c>
      <c r="AD813" s="33" t="inlineStr">
        <is>
          <t>Duncan Scott|2025-12-14|LCM|200|Free|107.38|Queensland Championships|PRE|False</t>
        </is>
      </c>
      <c r="AE813" s="53">
        <f>G813+L813/1000+ROW()/1000000000</f>
        <v/>
      </c>
      <c r="AF813" s="35">
        <f>IF(C813&lt;&gt;"Grayson Coulter","",COUNTIFS($C$5:$C$2991,"Grayson Coulter",$Q$5:$Q$2991,Q813,$AE$5:$AE$2991,"&lt;="&amp;AE813,$R$5:$R$2991,"&lt;"&amp;R813))</f>
        <v/>
      </c>
      <c r="AG813" s="35">
        <f>IF(OR(C813&lt;&gt;"Grayson Coulter",G813&lt;'00_Control'!$B$7),"",--(AF813&lt;5))</f>
        <v/>
      </c>
      <c r="AH813" s="35">
        <f>IF(OR(C813&lt;&gt;"Grayson Coulter",G813&lt;'00_Control'!$B$7),"",--(AF813&lt;10))</f>
        <v/>
      </c>
      <c r="AI813" s="35">
        <f>IF(AND(C813="Grayson Coulter",G813&gt;='00_Control'!$B$7),"YES","NO")</f>
        <v/>
      </c>
      <c r="AJ813" s="33" t="inlineStr">
        <is>
          <t>OK</t>
        </is>
      </c>
    </row>
    <row r="814">
      <c r="A814" s="33" t="inlineStr">
        <is>
          <t>SM000810</t>
        </is>
      </c>
      <c r="B814" s="33" t="inlineStr">
        <is>
          <t>SW016</t>
        </is>
      </c>
      <c r="C814" s="33" t="inlineStr">
        <is>
          <t>Duncan Scott</t>
        </is>
      </c>
      <c r="D814" s="33" t="inlineStr">
        <is>
          <t>SwimCloud</t>
        </is>
      </c>
      <c r="E814" s="33" t="inlineStr">
        <is>
          <t>375606</t>
        </is>
      </c>
      <c r="F814" s="33" t="inlineStr">
        <is>
          <t>166761698</t>
        </is>
      </c>
      <c r="G814" s="51" t="n">
        <v>46005</v>
      </c>
      <c r="H814" s="33" t="inlineStr">
        <is>
          <t>Queensland Championships</t>
        </is>
      </c>
      <c r="I814" s="33" t="inlineStr">
        <is>
          <t>367863</t>
        </is>
      </c>
      <c r="J814" s="33" t="inlineStr"/>
      <c r="K814" s="33" t="inlineStr">
        <is>
          <t>FIN</t>
        </is>
      </c>
      <c r="L814" s="35">
        <f>IF(K814="FIN",3,IF(OR(K814="SEM",K814="SEMI"),2,IF(OR(K814="PRE",K814="HEAT"),1,IF(V814="YES",4,2))))</f>
        <v/>
      </c>
      <c r="M814" s="33" t="inlineStr">
        <is>
          <t>LCM</t>
        </is>
      </c>
      <c r="N814" s="33" t="n">
        <v>200</v>
      </c>
      <c r="O814" s="33" t="inlineStr">
        <is>
          <t>Free</t>
        </is>
      </c>
      <c r="P814" s="33" t="inlineStr">
        <is>
          <t>200 Free</t>
        </is>
      </c>
      <c r="Q814" s="33" t="inlineStr">
        <is>
          <t>LCM_200_FREE</t>
        </is>
      </c>
      <c r="R814" s="36" t="n">
        <v>106.26</v>
      </c>
      <c r="S814" s="35">
        <f>IF(R814="","",IF(R814&gt;=60,INT(R814/60)&amp;":"&amp;TEXT(MOD(R814,60),"00.00"),TEXT(R814,"0.00")))</f>
        <v/>
      </c>
      <c r="T814" s="52">
        <f>IFERROR((G814-INDEX('01_Swimmers'!$E$5:$E$22,MATCH(B814,'01_Swimmers'!$A$5:$A$22,0)))/'00_Control'!$B$10,"")</f>
        <v/>
      </c>
      <c r="U814" s="35">
        <f>IF(T814="","",INT(T814))</f>
        <v/>
      </c>
      <c r="V814" s="33" t="inlineStr">
        <is>
          <t>NO</t>
        </is>
      </c>
      <c r="W814" s="33" t="inlineStr">
        <is>
          <t>YES</t>
        </is>
      </c>
      <c r="X814" s="33" t="inlineStr">
        <is>
          <t>NO</t>
        </is>
      </c>
      <c r="Y814" s="33" t="n">
        <v>1</v>
      </c>
      <c r="Z814" s="33" t="n">
        <v>5</v>
      </c>
      <c r="AA814" s="33" t="inlineStr">
        <is>
          <t>2</t>
        </is>
      </c>
      <c r="AB814" s="33" t="inlineStr">
        <is>
          <t>https://www.swimcloud.com/results/367863/event/39/?id=166761698#time166761698</t>
        </is>
      </c>
      <c r="AC814" s="33" t="inlineStr">
        <is>
          <t>SwimCloud API v6 2026-10-08</t>
        </is>
      </c>
      <c r="AD814" s="33" t="inlineStr">
        <is>
          <t>Duncan Scott|2025-12-14|LCM|200|Free|106.26|Queensland Championships|FIN|False</t>
        </is>
      </c>
      <c r="AE814" s="53">
        <f>G814+L814/1000+ROW()/1000000000</f>
        <v/>
      </c>
      <c r="AF814" s="35">
        <f>IF(C814&lt;&gt;"Grayson Coulter","",COUNTIFS($C$5:$C$2991,"Grayson Coulter",$Q$5:$Q$2991,Q814,$AE$5:$AE$2991,"&lt;="&amp;AE814,$R$5:$R$2991,"&lt;"&amp;R814))</f>
        <v/>
      </c>
      <c r="AG814" s="35">
        <f>IF(OR(C814&lt;&gt;"Grayson Coulter",G814&lt;'00_Control'!$B$7),"",--(AF814&lt;5))</f>
        <v/>
      </c>
      <c r="AH814" s="35">
        <f>IF(OR(C814&lt;&gt;"Grayson Coulter",G814&lt;'00_Control'!$B$7),"",--(AF814&lt;10))</f>
        <v/>
      </c>
      <c r="AI814" s="35">
        <f>IF(AND(C814="Grayson Coulter",G814&gt;='00_Control'!$B$7),"YES","NO")</f>
        <v/>
      </c>
      <c r="AJ814" s="33" t="inlineStr">
        <is>
          <t>OK</t>
        </is>
      </c>
    </row>
    <row r="815">
      <c r="A815" s="33" t="inlineStr">
        <is>
          <t>SM000811</t>
        </is>
      </c>
      <c r="B815" s="33" t="inlineStr">
        <is>
          <t>SW016</t>
        </is>
      </c>
      <c r="C815" s="33" t="inlineStr">
        <is>
          <t>Duncan Scott</t>
        </is>
      </c>
      <c r="D815" s="33" t="inlineStr">
        <is>
          <t>SwimCloud</t>
        </is>
      </c>
      <c r="E815" s="33" t="inlineStr">
        <is>
          <t>375606</t>
        </is>
      </c>
      <c r="F815" s="33" t="inlineStr">
        <is>
          <t>166762746</t>
        </is>
      </c>
      <c r="G815" s="51" t="n">
        <v>46006</v>
      </c>
      <c r="H815" s="33" t="inlineStr">
        <is>
          <t>Queensland Championships</t>
        </is>
      </c>
      <c r="I815" s="33" t="inlineStr">
        <is>
          <t>367863</t>
        </is>
      </c>
      <c r="J815" s="33" t="inlineStr"/>
      <c r="K815" s="33" t="inlineStr">
        <is>
          <t>PRE</t>
        </is>
      </c>
      <c r="L815" s="35">
        <f>IF(K815="FIN",3,IF(OR(K815="SEM",K815="SEMI"),2,IF(OR(K815="PRE",K815="HEAT"),1,IF(V815="YES",4,2))))</f>
        <v/>
      </c>
      <c r="M815" s="33" t="inlineStr">
        <is>
          <t>LCM</t>
        </is>
      </c>
      <c r="N815" s="33" t="n">
        <v>100</v>
      </c>
      <c r="O815" s="33" t="inlineStr">
        <is>
          <t>Free</t>
        </is>
      </c>
      <c r="P815" s="33" t="inlineStr">
        <is>
          <t>100 Free</t>
        </is>
      </c>
      <c r="Q815" s="33" t="inlineStr">
        <is>
          <t>LCM_100_FREE</t>
        </is>
      </c>
      <c r="R815" s="36" t="n">
        <v>48.81</v>
      </c>
      <c r="S815" s="35">
        <f>IF(R815="","",IF(R815&gt;=60,INT(R815/60)&amp;":"&amp;TEXT(MOD(R815,60),"00.00"),TEXT(R815,"0.00")))</f>
        <v/>
      </c>
      <c r="T815" s="52">
        <f>IFERROR((G815-INDEX('01_Swimmers'!$E$5:$E$22,MATCH(B815,'01_Swimmers'!$A$5:$A$22,0)))/'00_Control'!$B$10,"")</f>
        <v/>
      </c>
      <c r="U815" s="35">
        <f>IF(T815="","",INT(T815))</f>
        <v/>
      </c>
      <c r="V815" s="33" t="inlineStr">
        <is>
          <t>NO</t>
        </is>
      </c>
      <c r="W815" s="33" t="inlineStr">
        <is>
          <t>YES</t>
        </is>
      </c>
      <c r="X815" s="33" t="inlineStr">
        <is>
          <t>NO</t>
        </is>
      </c>
      <c r="Y815" s="33" t="n">
        <v>3</v>
      </c>
      <c r="Z815" s="33" t="n">
        <v>4</v>
      </c>
      <c r="AA815" s="33" t="inlineStr">
        <is>
          <t>3</t>
        </is>
      </c>
      <c r="AB815" s="33" t="inlineStr">
        <is>
          <t>https://www.swimcloud.com/results/367863/event/93/?id=166762746#time166762746</t>
        </is>
      </c>
      <c r="AC815" s="33" t="inlineStr">
        <is>
          <t>SwimCloud API v6 2026-10-08</t>
        </is>
      </c>
      <c r="AD815" s="33" t="inlineStr">
        <is>
          <t>Duncan Scott|2025-12-15|LCM|100|Free|48.81|Queensland Championships|PRE|False</t>
        </is>
      </c>
      <c r="AE815" s="53">
        <f>G815+L815/1000+ROW()/1000000000</f>
        <v/>
      </c>
      <c r="AF815" s="35">
        <f>IF(C815&lt;&gt;"Grayson Coulter","",COUNTIFS($C$5:$C$2991,"Grayson Coulter",$Q$5:$Q$2991,Q815,$AE$5:$AE$2991,"&lt;="&amp;AE815,$R$5:$R$2991,"&lt;"&amp;R815))</f>
        <v/>
      </c>
      <c r="AG815" s="35">
        <f>IF(OR(C815&lt;&gt;"Grayson Coulter",G815&lt;'00_Control'!$B$7),"",--(AF815&lt;5))</f>
        <v/>
      </c>
      <c r="AH815" s="35">
        <f>IF(OR(C815&lt;&gt;"Grayson Coulter",G815&lt;'00_Control'!$B$7),"",--(AF815&lt;10))</f>
        <v/>
      </c>
      <c r="AI815" s="35">
        <f>IF(AND(C815="Grayson Coulter",G815&gt;='00_Control'!$B$7),"YES","NO")</f>
        <v/>
      </c>
      <c r="AJ815" s="33" t="inlineStr">
        <is>
          <t>OK</t>
        </is>
      </c>
    </row>
    <row r="816">
      <c r="A816" s="33" t="inlineStr">
        <is>
          <t>SM000812</t>
        </is>
      </c>
      <c r="B816" s="33" t="inlineStr">
        <is>
          <t>SW016</t>
        </is>
      </c>
      <c r="C816" s="33" t="inlineStr">
        <is>
          <t>Duncan Scott</t>
        </is>
      </c>
      <c r="D816" s="33" t="inlineStr">
        <is>
          <t>SwimCloud</t>
        </is>
      </c>
      <c r="E816" s="33" t="inlineStr">
        <is>
          <t>375606</t>
        </is>
      </c>
      <c r="F816" s="33" t="inlineStr">
        <is>
          <t>166762747</t>
        </is>
      </c>
      <c r="G816" s="51" t="n">
        <v>46006</v>
      </c>
      <c r="H816" s="33" t="inlineStr">
        <is>
          <t>Queensland Championships</t>
        </is>
      </c>
      <c r="I816" s="33" t="inlineStr">
        <is>
          <t>367863</t>
        </is>
      </c>
      <c r="J816" s="33" t="inlineStr"/>
      <c r="K816" s="33" t="inlineStr">
        <is>
          <t>FIN</t>
        </is>
      </c>
      <c r="L816" s="35">
        <f>IF(K816="FIN",3,IF(OR(K816="SEM",K816="SEMI"),2,IF(OR(K816="PRE",K816="HEAT"),1,IF(V816="YES",4,2))))</f>
        <v/>
      </c>
      <c r="M816" s="33" t="inlineStr">
        <is>
          <t>LCM</t>
        </is>
      </c>
      <c r="N816" s="33" t="n">
        <v>100</v>
      </c>
      <c r="O816" s="33" t="inlineStr">
        <is>
          <t>Free</t>
        </is>
      </c>
      <c r="P816" s="33" t="inlineStr">
        <is>
          <t>100 Free</t>
        </is>
      </c>
      <c r="Q816" s="33" t="inlineStr">
        <is>
          <t>LCM_100_FREE</t>
        </is>
      </c>
      <c r="R816" s="36" t="n">
        <v>49.02</v>
      </c>
      <c r="S816" s="35">
        <f>IF(R816="","",IF(R816&gt;=60,INT(R816/60)&amp;":"&amp;TEXT(MOD(R816,60),"00.00"),TEXT(R816,"0.00")))</f>
        <v/>
      </c>
      <c r="T816" s="52">
        <f>IFERROR((G816-INDEX('01_Swimmers'!$E$5:$E$22,MATCH(B816,'01_Swimmers'!$A$5:$A$22,0)))/'00_Control'!$B$10,"")</f>
        <v/>
      </c>
      <c r="U816" s="35">
        <f>IF(T816="","",INT(T816))</f>
        <v/>
      </c>
      <c r="V816" s="33" t="inlineStr">
        <is>
          <t>NO</t>
        </is>
      </c>
      <c r="W816" s="33" t="inlineStr">
        <is>
          <t>YES</t>
        </is>
      </c>
      <c r="X816" s="33" t="inlineStr">
        <is>
          <t>NO</t>
        </is>
      </c>
      <c r="Y816" s="33" t="n">
        <v>1</v>
      </c>
      <c r="Z816" s="33" t="n">
        <v>3</v>
      </c>
      <c r="AA816" s="33" t="inlineStr">
        <is>
          <t>4</t>
        </is>
      </c>
      <c r="AB816" s="33" t="inlineStr">
        <is>
          <t>https://www.swimcloud.com/results/367863/event/93/?id=166762747#time166762747</t>
        </is>
      </c>
      <c r="AC816" s="33" t="inlineStr">
        <is>
          <t>SwimCloud API v6 2026-10-08</t>
        </is>
      </c>
      <c r="AD816" s="33" t="inlineStr">
        <is>
          <t>Duncan Scott|2025-12-15|LCM|100|Free|49.02|Queensland Championships|FIN|False</t>
        </is>
      </c>
      <c r="AE816" s="53">
        <f>G816+L816/1000+ROW()/1000000000</f>
        <v/>
      </c>
      <c r="AF816" s="35">
        <f>IF(C816&lt;&gt;"Grayson Coulter","",COUNTIFS($C$5:$C$2991,"Grayson Coulter",$Q$5:$Q$2991,Q816,$AE$5:$AE$2991,"&lt;="&amp;AE816,$R$5:$R$2991,"&lt;"&amp;R816))</f>
        <v/>
      </c>
      <c r="AG816" s="35">
        <f>IF(OR(C816&lt;&gt;"Grayson Coulter",G816&lt;'00_Control'!$B$7),"",--(AF816&lt;5))</f>
        <v/>
      </c>
      <c r="AH816" s="35">
        <f>IF(OR(C816&lt;&gt;"Grayson Coulter",G816&lt;'00_Control'!$B$7),"",--(AF816&lt;10))</f>
        <v/>
      </c>
      <c r="AI816" s="35">
        <f>IF(AND(C816="Grayson Coulter",G816&gt;='00_Control'!$B$7),"YES","NO")</f>
        <v/>
      </c>
      <c r="AJ816" s="33" t="inlineStr">
        <is>
          <t>OK</t>
        </is>
      </c>
    </row>
    <row r="817">
      <c r="A817" s="33" t="inlineStr">
        <is>
          <t>SM000813</t>
        </is>
      </c>
      <c r="B817" s="33" t="inlineStr">
        <is>
          <t>SW016</t>
        </is>
      </c>
      <c r="C817" s="33" t="inlineStr">
        <is>
          <t>Duncan Scott</t>
        </is>
      </c>
      <c r="D817" s="33" t="inlineStr">
        <is>
          <t>SwimCloud</t>
        </is>
      </c>
      <c r="E817" s="33" t="inlineStr">
        <is>
          <t>375606</t>
        </is>
      </c>
      <c r="F817" s="33" t="inlineStr">
        <is>
          <t>171594671</t>
        </is>
      </c>
      <c r="G817" s="51" t="n">
        <v>46074</v>
      </c>
      <c r="H817" s="33" t="inlineStr">
        <is>
          <t>McCullagh International</t>
        </is>
      </c>
      <c r="I817" s="33" t="inlineStr">
        <is>
          <t>379780</t>
        </is>
      </c>
      <c r="J817" s="33" t="inlineStr"/>
      <c r="K817" s="33" t="inlineStr">
        <is>
          <t>PRE</t>
        </is>
      </c>
      <c r="L817" s="35">
        <f>IF(K817="FIN",3,IF(OR(K817="SEM",K817="SEMI"),2,IF(OR(K817="PRE",K817="HEAT"),1,IF(V817="YES",4,2))))</f>
        <v/>
      </c>
      <c r="M817" s="33" t="inlineStr">
        <is>
          <t>LCM</t>
        </is>
      </c>
      <c r="N817" s="33" t="n">
        <v>200</v>
      </c>
      <c r="O817" s="33" t="inlineStr">
        <is>
          <t>Free</t>
        </is>
      </c>
      <c r="P817" s="33" t="inlineStr">
        <is>
          <t>200 Free</t>
        </is>
      </c>
      <c r="Q817" s="33" t="inlineStr">
        <is>
          <t>LCM_200_FREE</t>
        </is>
      </c>
      <c r="R817" s="36" t="n">
        <v>109.91</v>
      </c>
      <c r="S817" s="35">
        <f>IF(R817="","",IF(R817&gt;=60,INT(R817/60)&amp;":"&amp;TEXT(MOD(R817,60),"00.00"),TEXT(R817,"0.00")))</f>
        <v/>
      </c>
      <c r="T817" s="52">
        <f>IFERROR((G817-INDEX('01_Swimmers'!$E$5:$E$22,MATCH(B817,'01_Swimmers'!$A$5:$A$22,0)))/'00_Control'!$B$10,"")</f>
        <v/>
      </c>
      <c r="U817" s="35">
        <f>IF(T817="","",INT(T817))</f>
        <v/>
      </c>
      <c r="V817" s="33" t="inlineStr">
        <is>
          <t>NO</t>
        </is>
      </c>
      <c r="W817" s="33" t="inlineStr">
        <is>
          <t>YES</t>
        </is>
      </c>
      <c r="X817" s="33" t="inlineStr">
        <is>
          <t>NO</t>
        </is>
      </c>
      <c r="Y817" s="33" t="n">
        <v>8</v>
      </c>
      <c r="Z817" s="33" t="n">
        <v>4</v>
      </c>
      <c r="AA817" s="33" t="inlineStr">
        <is>
          <t>2</t>
        </is>
      </c>
      <c r="AB817" s="33" t="inlineStr">
        <is>
          <t>https://www.swimcloud.com/results/379780/event/21/?id=171594671#time171594671</t>
        </is>
      </c>
      <c r="AC817" s="33" t="inlineStr">
        <is>
          <t>SwimCloud API v6 2026-10-08</t>
        </is>
      </c>
      <c r="AD817" s="33" t="inlineStr">
        <is>
          <t>Duncan Scott|2026-02-21|LCM|200|Free|109.91|McCullagh International|PRE|False</t>
        </is>
      </c>
      <c r="AE817" s="53">
        <f>G817+L817/1000+ROW()/1000000000</f>
        <v/>
      </c>
      <c r="AF817" s="35">
        <f>IF(C817&lt;&gt;"Grayson Coulter","",COUNTIFS($C$5:$C$2991,"Grayson Coulter",$Q$5:$Q$2991,Q817,$AE$5:$AE$2991,"&lt;="&amp;AE817,$R$5:$R$2991,"&lt;"&amp;R817))</f>
        <v/>
      </c>
      <c r="AG817" s="35">
        <f>IF(OR(C817&lt;&gt;"Grayson Coulter",G817&lt;'00_Control'!$B$7),"",--(AF817&lt;5))</f>
        <v/>
      </c>
      <c r="AH817" s="35">
        <f>IF(OR(C817&lt;&gt;"Grayson Coulter",G817&lt;'00_Control'!$B$7),"",--(AF817&lt;10))</f>
        <v/>
      </c>
      <c r="AI817" s="35">
        <f>IF(AND(C817="Grayson Coulter",G817&gt;='00_Control'!$B$7),"YES","NO")</f>
        <v/>
      </c>
      <c r="AJ817" s="33" t="inlineStr">
        <is>
          <t>OK</t>
        </is>
      </c>
    </row>
    <row r="818">
      <c r="A818" s="33" t="inlineStr">
        <is>
          <t>SM000814</t>
        </is>
      </c>
      <c r="B818" s="33" t="inlineStr">
        <is>
          <t>SW016</t>
        </is>
      </c>
      <c r="C818" s="33" t="inlineStr">
        <is>
          <t>Duncan Scott</t>
        </is>
      </c>
      <c r="D818" s="33" t="inlineStr">
        <is>
          <t>SwimCloud</t>
        </is>
      </c>
      <c r="E818" s="33" t="inlineStr">
        <is>
          <t>375606</t>
        </is>
      </c>
      <c r="F818" s="33" t="inlineStr">
        <is>
          <t>171594672</t>
        </is>
      </c>
      <c r="G818" s="51" t="n">
        <v>46074</v>
      </c>
      <c r="H818" s="33" t="inlineStr">
        <is>
          <t>McCullagh International</t>
        </is>
      </c>
      <c r="I818" s="33" t="inlineStr">
        <is>
          <t>379780</t>
        </is>
      </c>
      <c r="J818" s="33" t="inlineStr"/>
      <c r="K818" s="33" t="inlineStr">
        <is>
          <t>FIN</t>
        </is>
      </c>
      <c r="L818" s="35">
        <f>IF(K818="FIN",3,IF(OR(K818="SEM",K818="SEMI"),2,IF(OR(K818="PRE",K818="HEAT"),1,IF(V818="YES",4,2))))</f>
        <v/>
      </c>
      <c r="M818" s="33" t="inlineStr">
        <is>
          <t>LCM</t>
        </is>
      </c>
      <c r="N818" s="33" t="n">
        <v>200</v>
      </c>
      <c r="O818" s="33" t="inlineStr">
        <is>
          <t>Free</t>
        </is>
      </c>
      <c r="P818" s="33" t="inlineStr">
        <is>
          <t>200 Free</t>
        </is>
      </c>
      <c r="Q818" s="33" t="inlineStr">
        <is>
          <t>LCM_200_FREE</t>
        </is>
      </c>
      <c r="R818" s="36" t="n">
        <v>107.26</v>
      </c>
      <c r="S818" s="35">
        <f>IF(R818="","",IF(R818&gt;=60,INT(R818/60)&amp;":"&amp;TEXT(MOD(R818,60),"00.00"),TEXT(R818,"0.00")))</f>
        <v/>
      </c>
      <c r="T818" s="52">
        <f>IFERROR((G818-INDEX('01_Swimmers'!$E$5:$E$22,MATCH(B818,'01_Swimmers'!$A$5:$A$22,0)))/'00_Control'!$B$10,"")</f>
        <v/>
      </c>
      <c r="U818" s="35">
        <f>IF(T818="","",INT(T818))</f>
        <v/>
      </c>
      <c r="V818" s="33" t="inlineStr">
        <is>
          <t>NO</t>
        </is>
      </c>
      <c r="W818" s="33" t="inlineStr">
        <is>
          <t>YES</t>
        </is>
      </c>
      <c r="X818" s="33" t="inlineStr">
        <is>
          <t>NO</t>
        </is>
      </c>
      <c r="Y818" s="33" t="n">
        <v>3</v>
      </c>
      <c r="Z818" s="33" t="n">
        <v>5</v>
      </c>
      <c r="AA818" s="33" t="inlineStr">
        <is>
          <t>2</t>
        </is>
      </c>
      <c r="AB818" s="33" t="inlineStr">
        <is>
          <t>https://www.swimcloud.com/results/379780/event/21/?id=171594672#time171594672</t>
        </is>
      </c>
      <c r="AC818" s="33" t="inlineStr">
        <is>
          <t>SwimCloud API v6 2026-10-08</t>
        </is>
      </c>
      <c r="AD818" s="33" t="inlineStr">
        <is>
          <t>Duncan Scott|2026-02-21|LCM|200|Free|107.26|McCullagh International|FIN|False</t>
        </is>
      </c>
      <c r="AE818" s="53">
        <f>G818+L818/1000+ROW()/1000000000</f>
        <v/>
      </c>
      <c r="AF818" s="35">
        <f>IF(C818&lt;&gt;"Grayson Coulter","",COUNTIFS($C$5:$C$2991,"Grayson Coulter",$Q$5:$Q$2991,Q818,$AE$5:$AE$2991,"&lt;="&amp;AE818,$R$5:$R$2991,"&lt;"&amp;R818))</f>
        <v/>
      </c>
      <c r="AG818" s="35">
        <f>IF(OR(C818&lt;&gt;"Grayson Coulter",G818&lt;'00_Control'!$B$7),"",--(AF818&lt;5))</f>
        <v/>
      </c>
      <c r="AH818" s="35">
        <f>IF(OR(C818&lt;&gt;"Grayson Coulter",G818&lt;'00_Control'!$B$7),"",--(AF818&lt;10))</f>
        <v/>
      </c>
      <c r="AI818" s="35">
        <f>IF(AND(C818="Grayson Coulter",G818&gt;='00_Control'!$B$7),"YES","NO")</f>
        <v/>
      </c>
      <c r="AJ818" s="33" t="inlineStr">
        <is>
          <t>OK</t>
        </is>
      </c>
    </row>
    <row r="819">
      <c r="A819" s="33" t="inlineStr">
        <is>
          <t>SM000815</t>
        </is>
      </c>
      <c r="B819" s="33" t="inlineStr">
        <is>
          <t>SW016</t>
        </is>
      </c>
      <c r="C819" s="33" t="inlineStr">
        <is>
          <t>Duncan Scott</t>
        </is>
      </c>
      <c r="D819" s="33" t="inlineStr">
        <is>
          <t>SwimCloud</t>
        </is>
      </c>
      <c r="E819" s="33" t="inlineStr">
        <is>
          <t>375606</t>
        </is>
      </c>
      <c r="F819" s="33" t="inlineStr">
        <is>
          <t>173898029</t>
        </is>
      </c>
      <c r="G819" s="51" t="n">
        <v>46095</v>
      </c>
      <c r="H819" s="33" t="inlineStr">
        <is>
          <t>Edinburgh International</t>
        </is>
      </c>
      <c r="I819" s="33" t="inlineStr">
        <is>
          <t>382301</t>
        </is>
      </c>
      <c r="J819" s="33" t="inlineStr"/>
      <c r="K819" s="33" t="inlineStr">
        <is>
          <t>PRE</t>
        </is>
      </c>
      <c r="L819" s="35">
        <f>IF(K819="FIN",3,IF(OR(K819="SEM",K819="SEMI"),2,IF(OR(K819="PRE",K819="HEAT"),1,IF(V819="YES",4,2))))</f>
        <v/>
      </c>
      <c r="M819" s="33" t="inlineStr">
        <is>
          <t>LCM</t>
        </is>
      </c>
      <c r="N819" s="33" t="n">
        <v>100</v>
      </c>
      <c r="O819" s="33" t="inlineStr">
        <is>
          <t>Fly</t>
        </is>
      </c>
      <c r="P819" s="33" t="inlineStr">
        <is>
          <t>100 Fly</t>
        </is>
      </c>
      <c r="Q819" s="33" t="inlineStr">
        <is>
          <t>LCM_100_FLY</t>
        </is>
      </c>
      <c r="R819" s="36" t="n">
        <v>57.18</v>
      </c>
      <c r="S819" s="35">
        <f>IF(R819="","",IF(R819&gt;=60,INT(R819/60)&amp;":"&amp;TEXT(MOD(R819,60),"00.00"),TEXT(R819,"0.00")))</f>
        <v/>
      </c>
      <c r="T819" s="52">
        <f>IFERROR((G819-INDEX('01_Swimmers'!$E$5:$E$22,MATCH(B819,'01_Swimmers'!$A$5:$A$22,0)))/'00_Control'!$B$10,"")</f>
        <v/>
      </c>
      <c r="U819" s="35">
        <f>IF(T819="","",INT(T819))</f>
        <v/>
      </c>
      <c r="V819" s="33" t="inlineStr">
        <is>
          <t>NO</t>
        </is>
      </c>
      <c r="W819" s="33" t="inlineStr">
        <is>
          <t>YES</t>
        </is>
      </c>
      <c r="X819" s="33" t="inlineStr">
        <is>
          <t>NO</t>
        </is>
      </c>
      <c r="Y819" s="33" t="n">
        <v>4</v>
      </c>
      <c r="Z819" s="33" t="n">
        <v>6</v>
      </c>
      <c r="AA819" s="33" t="inlineStr"/>
      <c r="AB819" s="33" t="inlineStr">
        <is>
          <t>https://www.swimcloud.com/results/382301/event/201/?id=173895297#time173895297</t>
        </is>
      </c>
      <c r="AC819" s="33" t="inlineStr">
        <is>
          <t>SwimCloud API v6 2026-10-08</t>
        </is>
      </c>
      <c r="AD819" s="33" t="inlineStr">
        <is>
          <t>Duncan Scott|2026-03-14|LCM|100|Fly|57.18|Edinburgh International|PRE|False</t>
        </is>
      </c>
      <c r="AE819" s="53">
        <f>G819+L819/1000+ROW()/1000000000</f>
        <v/>
      </c>
      <c r="AF819" s="35">
        <f>IF(C819&lt;&gt;"Grayson Coulter","",COUNTIFS($C$5:$C$2991,"Grayson Coulter",$Q$5:$Q$2991,Q819,$AE$5:$AE$2991,"&lt;="&amp;AE819,$R$5:$R$2991,"&lt;"&amp;R819))</f>
        <v/>
      </c>
      <c r="AG819" s="35">
        <f>IF(OR(C819&lt;&gt;"Grayson Coulter",G819&lt;'00_Control'!$B$7),"",--(AF819&lt;5))</f>
        <v/>
      </c>
      <c r="AH819" s="35">
        <f>IF(OR(C819&lt;&gt;"Grayson Coulter",G819&lt;'00_Control'!$B$7),"",--(AF819&lt;10))</f>
        <v/>
      </c>
      <c r="AI819" s="35">
        <f>IF(AND(C819="Grayson Coulter",G819&gt;='00_Control'!$B$7),"YES","NO")</f>
        <v/>
      </c>
      <c r="AJ819" s="33" t="inlineStr">
        <is>
          <t>OK</t>
        </is>
      </c>
    </row>
    <row r="820">
      <c r="A820" s="33" t="inlineStr">
        <is>
          <t>SM000816</t>
        </is>
      </c>
      <c r="B820" s="33" t="inlineStr">
        <is>
          <t>SW016</t>
        </is>
      </c>
      <c r="C820" s="33" t="inlineStr">
        <is>
          <t>Duncan Scott</t>
        </is>
      </c>
      <c r="D820" s="33" t="inlineStr">
        <is>
          <t>SwimCloud</t>
        </is>
      </c>
      <c r="E820" s="33" t="inlineStr">
        <is>
          <t>375606</t>
        </is>
      </c>
      <c r="F820" s="33" t="inlineStr">
        <is>
          <t>173898028</t>
        </is>
      </c>
      <c r="G820" s="51" t="n">
        <v>46095</v>
      </c>
      <c r="H820" s="33" t="inlineStr">
        <is>
          <t>Edinburgh International</t>
        </is>
      </c>
      <c r="I820" s="33" t="inlineStr">
        <is>
          <t>382301</t>
        </is>
      </c>
      <c r="J820" s="33" t="inlineStr"/>
      <c r="K820" s="33" t="inlineStr">
        <is>
          <t>FIN</t>
        </is>
      </c>
      <c r="L820" s="35">
        <f>IF(K820="FIN",3,IF(OR(K820="SEM",K820="SEMI"),2,IF(OR(K820="PRE",K820="HEAT"),1,IF(V820="YES",4,2))))</f>
        <v/>
      </c>
      <c r="M820" s="33" t="inlineStr">
        <is>
          <t>LCM</t>
        </is>
      </c>
      <c r="N820" s="33" t="n">
        <v>100</v>
      </c>
      <c r="O820" s="33" t="inlineStr">
        <is>
          <t>Fly</t>
        </is>
      </c>
      <c r="P820" s="33" t="inlineStr">
        <is>
          <t>100 Fly</t>
        </is>
      </c>
      <c r="Q820" s="33" t="inlineStr">
        <is>
          <t>LCM_100_FLY</t>
        </is>
      </c>
      <c r="R820" s="36" t="n">
        <v>56.29</v>
      </c>
      <c r="S820" s="35">
        <f>IF(R820="","",IF(R820&gt;=60,INT(R820/60)&amp;":"&amp;TEXT(MOD(R820,60),"00.00"),TEXT(R820,"0.00")))</f>
        <v/>
      </c>
      <c r="T820" s="52">
        <f>IFERROR((G820-INDEX('01_Swimmers'!$E$5:$E$22,MATCH(B820,'01_Swimmers'!$A$5:$A$22,0)))/'00_Control'!$B$10,"")</f>
        <v/>
      </c>
      <c r="U820" s="35">
        <f>IF(T820="","",INT(T820))</f>
        <v/>
      </c>
      <c r="V820" s="33" t="inlineStr">
        <is>
          <t>NO</t>
        </is>
      </c>
      <c r="W820" s="33" t="inlineStr">
        <is>
          <t>YES</t>
        </is>
      </c>
      <c r="X820" s="33" t="inlineStr">
        <is>
          <t>NO</t>
        </is>
      </c>
      <c r="Y820" s="33" t="n">
        <v>3</v>
      </c>
      <c r="Z820" s="33" t="n">
        <v>5</v>
      </c>
      <c r="AA820" s="33" t="inlineStr"/>
      <c r="AB820" s="33" t="inlineStr">
        <is>
          <t>https://www.swimcloud.com/results/382301/event/201/?id=173895298#time173895298</t>
        </is>
      </c>
      <c r="AC820" s="33" t="inlineStr">
        <is>
          <t>SwimCloud API v6 2026-10-08</t>
        </is>
      </c>
      <c r="AD820" s="33" t="inlineStr">
        <is>
          <t>Duncan Scott|2026-03-14|LCM|100|Fly|56.29|Edinburgh International|FIN|False</t>
        </is>
      </c>
      <c r="AE820" s="53">
        <f>G820+L820/1000+ROW()/1000000000</f>
        <v/>
      </c>
      <c r="AF820" s="35">
        <f>IF(C820&lt;&gt;"Grayson Coulter","",COUNTIFS($C$5:$C$2991,"Grayson Coulter",$Q$5:$Q$2991,Q820,$AE$5:$AE$2991,"&lt;="&amp;AE820,$R$5:$R$2991,"&lt;"&amp;R820))</f>
        <v/>
      </c>
      <c r="AG820" s="35">
        <f>IF(OR(C820&lt;&gt;"Grayson Coulter",G820&lt;'00_Control'!$B$7),"",--(AF820&lt;5))</f>
        <v/>
      </c>
      <c r="AH820" s="35">
        <f>IF(OR(C820&lt;&gt;"Grayson Coulter",G820&lt;'00_Control'!$B$7),"",--(AF820&lt;10))</f>
        <v/>
      </c>
      <c r="AI820" s="35">
        <f>IF(AND(C820="Grayson Coulter",G820&gt;='00_Control'!$B$7),"YES","NO")</f>
        <v/>
      </c>
      <c r="AJ820" s="33" t="inlineStr">
        <is>
          <t>OK</t>
        </is>
      </c>
    </row>
    <row r="821">
      <c r="A821" s="33" t="inlineStr">
        <is>
          <t>SM000817</t>
        </is>
      </c>
      <c r="B821" s="33" t="inlineStr">
        <is>
          <t>SW016</t>
        </is>
      </c>
      <c r="C821" s="33" t="inlineStr">
        <is>
          <t>Duncan Scott</t>
        </is>
      </c>
      <c r="D821" s="33" t="inlineStr">
        <is>
          <t>SwimCloud</t>
        </is>
      </c>
      <c r="E821" s="33" t="inlineStr">
        <is>
          <t>375606</t>
        </is>
      </c>
      <c r="F821" s="33" t="inlineStr">
        <is>
          <t>173896394</t>
        </is>
      </c>
      <c r="G821" s="51" t="n">
        <v>46096</v>
      </c>
      <c r="H821" s="33" t="inlineStr">
        <is>
          <t>Edinburgh International</t>
        </is>
      </c>
      <c r="I821" s="33" t="inlineStr">
        <is>
          <t>382301</t>
        </is>
      </c>
      <c r="J821" s="33" t="inlineStr"/>
      <c r="K821" s="33" t="inlineStr">
        <is>
          <t>TIM</t>
        </is>
      </c>
      <c r="L821" s="35">
        <f>IF(K821="FIN",3,IF(OR(K821="SEM",K821="SEMI"),2,IF(OR(K821="PRE",K821="HEAT"),1,IF(V821="YES",4,2))))</f>
        <v/>
      </c>
      <c r="M821" s="33" t="inlineStr">
        <is>
          <t>LCM</t>
        </is>
      </c>
      <c r="N821" s="33" t="n">
        <v>100</v>
      </c>
      <c r="O821" s="33" t="inlineStr">
        <is>
          <t>Free</t>
        </is>
      </c>
      <c r="P821" s="33" t="inlineStr">
        <is>
          <t>100 Free</t>
        </is>
      </c>
      <c r="Q821" s="33" t="inlineStr">
        <is>
          <t>LCM_100_FREE</t>
        </is>
      </c>
      <c r="R821" s="36" t="n">
        <v>50.01</v>
      </c>
      <c r="S821" s="35">
        <f>IF(R821="","",IF(R821&gt;=60,INT(R821/60)&amp;":"&amp;TEXT(MOD(R821,60),"00.00"),TEXT(R821,"0.00")))</f>
        <v/>
      </c>
      <c r="T821" s="52">
        <f>IFERROR((G821-INDEX('01_Swimmers'!$E$5:$E$22,MATCH(B821,'01_Swimmers'!$A$5:$A$22,0)))/'00_Control'!$B$10,"")</f>
        <v/>
      </c>
      <c r="U821" s="35">
        <f>IF(T821="","",INT(T821))</f>
        <v/>
      </c>
      <c r="V821" s="33" t="inlineStr">
        <is>
          <t>YES</t>
        </is>
      </c>
      <c r="W821" s="33" t="inlineStr">
        <is>
          <t>YES</t>
        </is>
      </c>
      <c r="X821" s="33" t="inlineStr">
        <is>
          <t>NO</t>
        </is>
      </c>
      <c r="Y821" s="33" t="n">
        <v>1</v>
      </c>
      <c r="Z821" s="33" t="n">
        <v>4</v>
      </c>
      <c r="AA821" s="33" t="inlineStr"/>
      <c r="AB821" s="33" t="inlineStr">
        <is>
          <t>https://www.swimcloud.com/results/382301/event/315/?id=173895811#time173895811</t>
        </is>
      </c>
      <c r="AC821" s="33" t="inlineStr">
        <is>
          <t>SwimCloud API v6 2026-10-08</t>
        </is>
      </c>
      <c r="AD821" s="33" t="inlineStr">
        <is>
          <t>Duncan Scott|2026-03-15|LCM|100|Free|50.01|Edinburgh International|TIM|True</t>
        </is>
      </c>
      <c r="AE821" s="53">
        <f>G821+L821/1000+ROW()/1000000000</f>
        <v/>
      </c>
      <c r="AF821" s="35">
        <f>IF(C821&lt;&gt;"Grayson Coulter","",COUNTIFS($C$5:$C$2991,"Grayson Coulter",$Q$5:$Q$2991,Q821,$AE$5:$AE$2991,"&lt;="&amp;AE821,$R$5:$R$2991,"&lt;"&amp;R821))</f>
        <v/>
      </c>
      <c r="AG821" s="35">
        <f>IF(OR(C821&lt;&gt;"Grayson Coulter",G821&lt;'00_Control'!$B$7),"",--(AF821&lt;5))</f>
        <v/>
      </c>
      <c r="AH821" s="35">
        <f>IF(OR(C821&lt;&gt;"Grayson Coulter",G821&lt;'00_Control'!$B$7),"",--(AF821&lt;10))</f>
        <v/>
      </c>
      <c r="AI821" s="35">
        <f>IF(AND(C821="Grayson Coulter",G821&gt;='00_Control'!$B$7),"YES","NO")</f>
        <v/>
      </c>
      <c r="AJ821" s="33" t="inlineStr">
        <is>
          <t>OK</t>
        </is>
      </c>
    </row>
    <row r="822">
      <c r="A822" s="33" t="inlineStr">
        <is>
          <t>SM000818</t>
        </is>
      </c>
      <c r="B822" s="33" t="inlineStr">
        <is>
          <t>SW016</t>
        </is>
      </c>
      <c r="C822" s="33" t="inlineStr">
        <is>
          <t>Duncan Scott</t>
        </is>
      </c>
      <c r="D822" s="33" t="inlineStr">
        <is>
          <t>SwimCloud</t>
        </is>
      </c>
      <c r="E822" s="33" t="inlineStr">
        <is>
          <t>375606</t>
        </is>
      </c>
      <c r="F822" s="33" t="inlineStr">
        <is>
          <t>178602818</t>
        </is>
      </c>
      <c r="G822" s="51" t="n">
        <v>46172</v>
      </c>
      <c r="H822" s="33" t="inlineStr">
        <is>
          <t>Trofeu Internacional Ciutat de Barcelona</t>
        </is>
      </c>
      <c r="I822" s="33" t="inlineStr">
        <is>
          <t>387917</t>
        </is>
      </c>
      <c r="J822" s="33" t="inlineStr"/>
      <c r="K822" s="33" t="inlineStr">
        <is>
          <t>PRE</t>
        </is>
      </c>
      <c r="L822" s="35">
        <f>IF(K822="FIN",3,IF(OR(K822="SEM",K822="SEMI"),2,IF(OR(K822="PRE",K822="HEAT"),1,IF(V822="YES",4,2))))</f>
        <v/>
      </c>
      <c r="M822" s="33" t="inlineStr">
        <is>
          <t>LCM</t>
        </is>
      </c>
      <c r="N822" s="33" t="n">
        <v>200</v>
      </c>
      <c r="O822" s="33" t="inlineStr">
        <is>
          <t>Free</t>
        </is>
      </c>
      <c r="P822" s="33" t="inlineStr">
        <is>
          <t>200 Free</t>
        </is>
      </c>
      <c r="Q822" s="33" t="inlineStr">
        <is>
          <t>LCM_200_FREE</t>
        </is>
      </c>
      <c r="R822" s="36" t="n">
        <v>108.31</v>
      </c>
      <c r="S822" s="35">
        <f>IF(R822="","",IF(R822&gt;=60,INT(R822/60)&amp;":"&amp;TEXT(MOD(R822,60),"00.00"),TEXT(R822,"0.00")))</f>
        <v/>
      </c>
      <c r="T822" s="52">
        <f>IFERROR((G822-INDEX('01_Swimmers'!$E$5:$E$22,MATCH(B822,'01_Swimmers'!$A$5:$A$22,0)))/'00_Control'!$B$10,"")</f>
        <v/>
      </c>
      <c r="U822" s="35">
        <f>IF(T822="","",INT(T822))</f>
        <v/>
      </c>
      <c r="V822" s="33" t="inlineStr">
        <is>
          <t>NO</t>
        </is>
      </c>
      <c r="W822" s="33" t="inlineStr">
        <is>
          <t>YES</t>
        </is>
      </c>
      <c r="X822" s="33" t="inlineStr">
        <is>
          <t>NO</t>
        </is>
      </c>
      <c r="Y822" s="33" t="n">
        <v>11</v>
      </c>
      <c r="Z822" s="33" t="n">
        <v>5</v>
      </c>
      <c r="AA822" s="33" t="inlineStr">
        <is>
          <t>2</t>
        </is>
      </c>
      <c r="AB822" s="33" t="inlineStr">
        <is>
          <t>https://www.swimcloud.com/results/387917/event/15/?id=178602818#time178602818</t>
        </is>
      </c>
      <c r="AC822" s="33" t="inlineStr">
        <is>
          <t>SwimCloud API v6 2026-10-08</t>
        </is>
      </c>
      <c r="AD822" s="33" t="inlineStr">
        <is>
          <t>Duncan Scott|2026-05-30|LCM|200|Free|108.31|Trofeu Internacional Ciutat de Barcelona|PRE|False</t>
        </is>
      </c>
      <c r="AE822" s="53">
        <f>G822+L822/1000+ROW()/1000000000</f>
        <v/>
      </c>
      <c r="AF822" s="35">
        <f>IF(C822&lt;&gt;"Grayson Coulter","",COUNTIFS($C$5:$C$2991,"Grayson Coulter",$Q$5:$Q$2991,Q822,$AE$5:$AE$2991,"&lt;="&amp;AE822,$R$5:$R$2991,"&lt;"&amp;R822))</f>
        <v/>
      </c>
      <c r="AG822" s="35">
        <f>IF(OR(C822&lt;&gt;"Grayson Coulter",G822&lt;'00_Control'!$B$7),"",--(AF822&lt;5))</f>
        <v/>
      </c>
      <c r="AH822" s="35">
        <f>IF(OR(C822&lt;&gt;"Grayson Coulter",G822&lt;'00_Control'!$B$7),"",--(AF822&lt;10))</f>
        <v/>
      </c>
      <c r="AI822" s="35">
        <f>IF(AND(C822="Grayson Coulter",G822&gt;='00_Control'!$B$7),"YES","NO")</f>
        <v/>
      </c>
      <c r="AJ822" s="33" t="inlineStr">
        <is>
          <t>OK</t>
        </is>
      </c>
    </row>
    <row r="823">
      <c r="A823" s="33" t="inlineStr">
        <is>
          <t>SM000819</t>
        </is>
      </c>
      <c r="B823" s="33" t="inlineStr">
        <is>
          <t>SW016</t>
        </is>
      </c>
      <c r="C823" s="33" t="inlineStr">
        <is>
          <t>Duncan Scott</t>
        </is>
      </c>
      <c r="D823" s="33" t="inlineStr">
        <is>
          <t>SwimCloud</t>
        </is>
      </c>
      <c r="E823" s="33" t="inlineStr">
        <is>
          <t>375606</t>
        </is>
      </c>
      <c r="F823" s="33" t="inlineStr">
        <is>
          <t>178602821</t>
        </is>
      </c>
      <c r="G823" s="51" t="n">
        <v>46172</v>
      </c>
      <c r="H823" s="33" t="inlineStr">
        <is>
          <t>Trofeu Internacional Ciutat de Barcelona</t>
        </is>
      </c>
      <c r="I823" s="33" t="inlineStr">
        <is>
          <t>387917</t>
        </is>
      </c>
      <c r="J823" s="33" t="inlineStr"/>
      <c r="K823" s="33" t="inlineStr">
        <is>
          <t>FIN</t>
        </is>
      </c>
      <c r="L823" s="35">
        <f>IF(K823="FIN",3,IF(OR(K823="SEM",K823="SEMI"),2,IF(OR(K823="PRE",K823="HEAT"),1,IF(V823="YES",4,2))))</f>
        <v/>
      </c>
      <c r="M823" s="33" t="inlineStr">
        <is>
          <t>LCM</t>
        </is>
      </c>
      <c r="N823" s="33" t="n">
        <v>200</v>
      </c>
      <c r="O823" s="33" t="inlineStr">
        <is>
          <t>Free</t>
        </is>
      </c>
      <c r="P823" s="33" t="inlineStr">
        <is>
          <t>200 Free</t>
        </is>
      </c>
      <c r="Q823" s="33" t="inlineStr">
        <is>
          <t>LCM_200_FREE</t>
        </is>
      </c>
      <c r="R823" s="36" t="n">
        <v>108.6</v>
      </c>
      <c r="S823" s="35">
        <f>IF(R823="","",IF(R823&gt;=60,INT(R823/60)&amp;":"&amp;TEXT(MOD(R823,60),"00.00"),TEXT(R823,"0.00")))</f>
        <v/>
      </c>
      <c r="T823" s="52">
        <f>IFERROR((G823-INDEX('01_Swimmers'!$E$5:$E$22,MATCH(B823,'01_Swimmers'!$A$5:$A$22,0)))/'00_Control'!$B$10,"")</f>
        <v/>
      </c>
      <c r="U823" s="35">
        <f>IF(T823="","",INT(T823))</f>
        <v/>
      </c>
      <c r="V823" s="33" t="inlineStr">
        <is>
          <t>NO</t>
        </is>
      </c>
      <c r="W823" s="33" t="inlineStr">
        <is>
          <t>YES</t>
        </is>
      </c>
      <c r="X823" s="33" t="inlineStr">
        <is>
          <t>NO</t>
        </is>
      </c>
      <c r="Y823" s="33" t="n">
        <v>1</v>
      </c>
      <c r="Z823" s="33" t="n">
        <v>5</v>
      </c>
      <c r="AA823" s="33" t="inlineStr">
        <is>
          <t>5</t>
        </is>
      </c>
      <c r="AB823" s="33" t="inlineStr">
        <is>
          <t>https://www.swimcloud.com/results/387917/event/15/?id=178602821#time178602821</t>
        </is>
      </c>
      <c r="AC823" s="33" t="inlineStr">
        <is>
          <t>SwimCloud API v6 2026-10-08</t>
        </is>
      </c>
      <c r="AD823" s="33" t="inlineStr">
        <is>
          <t>Duncan Scott|2026-05-30|LCM|200|Free|108.6|Trofeu Internacional Ciutat de Barcelona|FIN|False</t>
        </is>
      </c>
      <c r="AE823" s="53">
        <f>G823+L823/1000+ROW()/1000000000</f>
        <v/>
      </c>
      <c r="AF823" s="35">
        <f>IF(C823&lt;&gt;"Grayson Coulter","",COUNTIFS($C$5:$C$2991,"Grayson Coulter",$Q$5:$Q$2991,Q823,$AE$5:$AE$2991,"&lt;="&amp;AE823,$R$5:$R$2991,"&lt;"&amp;R823))</f>
        <v/>
      </c>
      <c r="AG823" s="35">
        <f>IF(OR(C823&lt;&gt;"Grayson Coulter",G823&lt;'00_Control'!$B$7),"",--(AF823&lt;5))</f>
        <v/>
      </c>
      <c r="AH823" s="35">
        <f>IF(OR(C823&lt;&gt;"Grayson Coulter",G823&lt;'00_Control'!$B$7),"",--(AF823&lt;10))</f>
        <v/>
      </c>
      <c r="AI823" s="35">
        <f>IF(AND(C823="Grayson Coulter",G823&gt;='00_Control'!$B$7),"YES","NO")</f>
        <v/>
      </c>
      <c r="AJ823" s="33" t="inlineStr">
        <is>
          <t>OK</t>
        </is>
      </c>
    </row>
    <row r="824">
      <c r="A824" s="33" t="inlineStr">
        <is>
          <t>SM000820</t>
        </is>
      </c>
      <c r="B824" s="33" t="inlineStr">
        <is>
          <t>SW016</t>
        </is>
      </c>
      <c r="C824" s="33" t="inlineStr">
        <is>
          <t>Duncan Scott</t>
        </is>
      </c>
      <c r="D824" s="33" t="inlineStr">
        <is>
          <t>SwimCloud</t>
        </is>
      </c>
      <c r="E824" s="33" t="inlineStr">
        <is>
          <t>375606</t>
        </is>
      </c>
      <c r="F824" s="33" t="inlineStr">
        <is>
          <t>178602819</t>
        </is>
      </c>
      <c r="G824" s="51" t="n">
        <v>46173</v>
      </c>
      <c r="H824" s="33" t="inlineStr">
        <is>
          <t>Trofeu Internacional Ciutat de Barcelona</t>
        </is>
      </c>
      <c r="I824" s="33" t="inlineStr">
        <is>
          <t>387917</t>
        </is>
      </c>
      <c r="J824" s="33" t="inlineStr"/>
      <c r="K824" s="33" t="inlineStr">
        <is>
          <t>PRE</t>
        </is>
      </c>
      <c r="L824" s="35">
        <f>IF(K824="FIN",3,IF(OR(K824="SEM",K824="SEMI"),2,IF(OR(K824="PRE",K824="HEAT"),1,IF(V824="YES",4,2))))</f>
        <v/>
      </c>
      <c r="M824" s="33" t="inlineStr">
        <is>
          <t>LCM</t>
        </is>
      </c>
      <c r="N824" s="33" t="n">
        <v>100</v>
      </c>
      <c r="O824" s="33" t="inlineStr">
        <is>
          <t>Free</t>
        </is>
      </c>
      <c r="P824" s="33" t="inlineStr">
        <is>
          <t>100 Free</t>
        </is>
      </c>
      <c r="Q824" s="33" t="inlineStr">
        <is>
          <t>LCM_100_FREE</t>
        </is>
      </c>
      <c r="R824" s="36" t="n">
        <v>49.5</v>
      </c>
      <c r="S824" s="35">
        <f>IF(R824="","",IF(R824&gt;=60,INT(R824/60)&amp;":"&amp;TEXT(MOD(R824,60),"00.00"),TEXT(R824,"0.00")))</f>
        <v/>
      </c>
      <c r="T824" s="52">
        <f>IFERROR((G824-INDEX('01_Swimmers'!$E$5:$E$22,MATCH(B824,'01_Swimmers'!$A$5:$A$22,0)))/'00_Control'!$B$10,"")</f>
        <v/>
      </c>
      <c r="U824" s="35">
        <f>IF(T824="","",INT(T824))</f>
        <v/>
      </c>
      <c r="V824" s="33" t="inlineStr">
        <is>
          <t>NO</t>
        </is>
      </c>
      <c r="W824" s="33" t="inlineStr">
        <is>
          <t>YES</t>
        </is>
      </c>
      <c r="X824" s="33" t="inlineStr">
        <is>
          <t>NO</t>
        </is>
      </c>
      <c r="Y824" s="33" t="n">
        <v>14</v>
      </c>
      <c r="Z824" s="33" t="n">
        <v>2</v>
      </c>
      <c r="AA824" s="33" t="inlineStr">
        <is>
          <t>6</t>
        </is>
      </c>
      <c r="AB824" s="33" t="inlineStr">
        <is>
          <t>https://www.swimcloud.com/results/387917/event/22/?id=178602819#time178602819</t>
        </is>
      </c>
      <c r="AC824" s="33" t="inlineStr">
        <is>
          <t>SwimCloud API v6 2026-10-08</t>
        </is>
      </c>
      <c r="AD824" s="33" t="inlineStr">
        <is>
          <t>Duncan Scott|2026-05-31|LCM|100|Free|49.5|Trofeu Internacional Ciutat de Barcelona|PRE|False</t>
        </is>
      </c>
      <c r="AE824" s="53">
        <f>G824+L824/1000+ROW()/1000000000</f>
        <v/>
      </c>
      <c r="AF824" s="35">
        <f>IF(C824&lt;&gt;"Grayson Coulter","",COUNTIFS($C$5:$C$2991,"Grayson Coulter",$Q$5:$Q$2991,Q824,$AE$5:$AE$2991,"&lt;="&amp;AE824,$R$5:$R$2991,"&lt;"&amp;R824))</f>
        <v/>
      </c>
      <c r="AG824" s="35">
        <f>IF(OR(C824&lt;&gt;"Grayson Coulter",G824&lt;'00_Control'!$B$7),"",--(AF824&lt;5))</f>
        <v/>
      </c>
      <c r="AH824" s="35">
        <f>IF(OR(C824&lt;&gt;"Grayson Coulter",G824&lt;'00_Control'!$B$7),"",--(AF824&lt;10))</f>
        <v/>
      </c>
      <c r="AI824" s="35">
        <f>IF(AND(C824="Grayson Coulter",G824&gt;='00_Control'!$B$7),"YES","NO")</f>
        <v/>
      </c>
      <c r="AJ824" s="33" t="inlineStr">
        <is>
          <t>OK</t>
        </is>
      </c>
    </row>
    <row r="825">
      <c r="A825" s="33" t="inlineStr">
        <is>
          <t>SM000821</t>
        </is>
      </c>
      <c r="B825" s="33" t="inlineStr">
        <is>
          <t>SW016</t>
        </is>
      </c>
      <c r="C825" s="33" t="inlineStr">
        <is>
          <t>Duncan Scott</t>
        </is>
      </c>
      <c r="D825" s="33" t="inlineStr">
        <is>
          <t>SwimCloud</t>
        </is>
      </c>
      <c r="E825" s="33" t="inlineStr">
        <is>
          <t>375606</t>
        </is>
      </c>
      <c r="F825" s="33" t="inlineStr">
        <is>
          <t>178602822</t>
        </is>
      </c>
      <c r="G825" s="51" t="n">
        <v>46173</v>
      </c>
      <c r="H825" s="33" t="inlineStr">
        <is>
          <t>Trofeu Internacional Ciutat de Barcelona</t>
        </is>
      </c>
      <c r="I825" s="33" t="inlineStr">
        <is>
          <t>387917</t>
        </is>
      </c>
      <c r="J825" s="33" t="inlineStr"/>
      <c r="K825" s="33" t="inlineStr">
        <is>
          <t>FIN</t>
        </is>
      </c>
      <c r="L825" s="35">
        <f>IF(K825="FIN",3,IF(OR(K825="SEM",K825="SEMI"),2,IF(OR(K825="PRE",K825="HEAT"),1,IF(V825="YES",4,2))))</f>
        <v/>
      </c>
      <c r="M825" s="33" t="inlineStr">
        <is>
          <t>LCM</t>
        </is>
      </c>
      <c r="N825" s="33" t="n">
        <v>100</v>
      </c>
      <c r="O825" s="33" t="inlineStr">
        <is>
          <t>Free</t>
        </is>
      </c>
      <c r="P825" s="33" t="inlineStr">
        <is>
          <t>100 Free</t>
        </is>
      </c>
      <c r="Q825" s="33" t="inlineStr">
        <is>
          <t>LCM_100_FREE</t>
        </is>
      </c>
      <c r="R825" s="36" t="n">
        <v>49.11</v>
      </c>
      <c r="S825" s="35">
        <f>IF(R825="","",IF(R825&gt;=60,INT(R825/60)&amp;":"&amp;TEXT(MOD(R825,60),"00.00"),TEXT(R825,"0.00")))</f>
        <v/>
      </c>
      <c r="T825" s="52">
        <f>IFERROR((G825-INDEX('01_Swimmers'!$E$5:$E$22,MATCH(B825,'01_Swimmers'!$A$5:$A$22,0)))/'00_Control'!$B$10,"")</f>
        <v/>
      </c>
      <c r="U825" s="35">
        <f>IF(T825="","",INT(T825))</f>
        <v/>
      </c>
      <c r="V825" s="33" t="inlineStr">
        <is>
          <t>NO</t>
        </is>
      </c>
      <c r="W825" s="33" t="inlineStr">
        <is>
          <t>YES</t>
        </is>
      </c>
      <c r="X825" s="33" t="inlineStr">
        <is>
          <t>NO</t>
        </is>
      </c>
      <c r="Y825" s="33" t="n">
        <v>1</v>
      </c>
      <c r="Z825" s="33" t="n">
        <v>7</v>
      </c>
      <c r="AA825" s="33" t="inlineStr">
        <is>
          <t>3</t>
        </is>
      </c>
      <c r="AB825" s="33" t="inlineStr">
        <is>
          <t>https://www.swimcloud.com/results/387917/event/22/?id=178602822#time178602822</t>
        </is>
      </c>
      <c r="AC825" s="33" t="inlineStr">
        <is>
          <t>SwimCloud API v6 2026-10-08</t>
        </is>
      </c>
      <c r="AD825" s="33" t="inlineStr">
        <is>
          <t>Duncan Scott|2026-05-31|LCM|100|Free|49.11|Trofeu Internacional Ciutat de Barcelona|FIN|False</t>
        </is>
      </c>
      <c r="AE825" s="53">
        <f>G825+L825/1000+ROW()/1000000000</f>
        <v/>
      </c>
      <c r="AF825" s="35">
        <f>IF(C825&lt;&gt;"Grayson Coulter","",COUNTIFS($C$5:$C$2991,"Grayson Coulter",$Q$5:$Q$2991,Q825,$AE$5:$AE$2991,"&lt;="&amp;AE825,$R$5:$R$2991,"&lt;"&amp;R825))</f>
        <v/>
      </c>
      <c r="AG825" s="35">
        <f>IF(OR(C825&lt;&gt;"Grayson Coulter",G825&lt;'00_Control'!$B$7),"",--(AF825&lt;5))</f>
        <v/>
      </c>
      <c r="AH825" s="35">
        <f>IF(OR(C825&lt;&gt;"Grayson Coulter",G825&lt;'00_Control'!$B$7),"",--(AF825&lt;10))</f>
        <v/>
      </c>
      <c r="AI825" s="35">
        <f>IF(AND(C825="Grayson Coulter",G825&gt;='00_Control'!$B$7),"YES","NO")</f>
        <v/>
      </c>
      <c r="AJ825" s="33" t="inlineStr">
        <is>
          <t>OK</t>
        </is>
      </c>
    </row>
    <row r="826">
      <c r="A826" s="33" t="inlineStr">
        <is>
          <t>SM000822</t>
        </is>
      </c>
      <c r="B826" s="33" t="inlineStr">
        <is>
          <t>SW016</t>
        </is>
      </c>
      <c r="C826" s="33" t="inlineStr">
        <is>
          <t>Duncan Scott</t>
        </is>
      </c>
      <c r="D826" s="33" t="inlineStr">
        <is>
          <t>SwimCloud</t>
        </is>
      </c>
      <c r="E826" s="33" t="inlineStr">
        <is>
          <t>375606</t>
        </is>
      </c>
      <c r="F826" s="33" t="inlineStr">
        <is>
          <t>182774921</t>
        </is>
      </c>
      <c r="G826" s="51" t="n">
        <v>46232</v>
      </c>
      <c r="H826" s="33" t="inlineStr">
        <is>
          <t>XXIII Commonwealth Games</t>
        </is>
      </c>
      <c r="I826" s="33" t="inlineStr">
        <is>
          <t>389322</t>
        </is>
      </c>
      <c r="J826" s="33" t="inlineStr"/>
      <c r="K826" s="33" t="inlineStr">
        <is>
          <t>PRE</t>
        </is>
      </c>
      <c r="L826" s="35">
        <f>IF(K826="FIN",3,IF(OR(K826="SEM",K826="SEMI"),2,IF(OR(K826="PRE",K826="HEAT"),1,IF(V826="YES",4,2))))</f>
        <v/>
      </c>
      <c r="M826" s="33" t="inlineStr">
        <is>
          <t>LCM</t>
        </is>
      </c>
      <c r="N826" s="33" t="n">
        <v>200</v>
      </c>
      <c r="O826" s="33" t="inlineStr">
        <is>
          <t>Free</t>
        </is>
      </c>
      <c r="P826" s="33" t="inlineStr">
        <is>
          <t>200 Free</t>
        </is>
      </c>
      <c r="Q826" s="33" t="inlineStr">
        <is>
          <t>LCM_200_FREE</t>
        </is>
      </c>
      <c r="R826" s="36" t="n">
        <v>107.83</v>
      </c>
      <c r="S826" s="35">
        <f>IF(R826="","",IF(R826&gt;=60,INT(R826/60)&amp;":"&amp;TEXT(MOD(R826,60),"00.00"),TEXT(R826,"0.00")))</f>
        <v/>
      </c>
      <c r="T826" s="52">
        <f>IFERROR((G826-INDEX('01_Swimmers'!$E$5:$E$22,MATCH(B826,'01_Swimmers'!$A$5:$A$22,0)))/'00_Control'!$B$10,"")</f>
        <v/>
      </c>
      <c r="U826" s="35">
        <f>IF(T826="","",INT(T826))</f>
        <v/>
      </c>
      <c r="V826" s="33" t="inlineStr">
        <is>
          <t>NO</t>
        </is>
      </c>
      <c r="W826" s="33" t="inlineStr">
        <is>
          <t>YES</t>
        </is>
      </c>
      <c r="X826" s="33" t="inlineStr">
        <is>
          <t>NO</t>
        </is>
      </c>
      <c r="Y826" s="33" t="n"/>
      <c r="Z826" s="33" t="n"/>
      <c r="AA826" s="33" t="inlineStr">
        <is>
          <t>10</t>
        </is>
      </c>
      <c r="AB826" s="33" t="inlineStr">
        <is>
          <t>https://www.swimcloud.com/results/389322/event/38/?id=182774921#time182774921</t>
        </is>
      </c>
      <c r="AC826" s="33" t="inlineStr">
        <is>
          <t>SwimCloud API v6 2026-10-08</t>
        </is>
      </c>
      <c r="AD826" s="33" t="inlineStr">
        <is>
          <t>Duncan Scott|2026-07-29|LCM|200|Free|107.83|XXIII Commonwealth Games|PRE|False</t>
        </is>
      </c>
      <c r="AE826" s="53">
        <f>G826+L826/1000+ROW()/1000000000</f>
        <v/>
      </c>
      <c r="AF826" s="35">
        <f>IF(C826&lt;&gt;"Grayson Coulter","",COUNTIFS($C$5:$C$2991,"Grayson Coulter",$Q$5:$Q$2991,Q826,$AE$5:$AE$2991,"&lt;="&amp;AE826,$R$5:$R$2991,"&lt;"&amp;R826))</f>
        <v/>
      </c>
      <c r="AG826" s="35">
        <f>IF(OR(C826&lt;&gt;"Grayson Coulter",G826&lt;'00_Control'!$B$7),"",--(AF826&lt;5))</f>
        <v/>
      </c>
      <c r="AH826" s="35">
        <f>IF(OR(C826&lt;&gt;"Grayson Coulter",G826&lt;'00_Control'!$B$7),"",--(AF826&lt;10))</f>
        <v/>
      </c>
      <c r="AI826" s="35">
        <f>IF(AND(C826="Grayson Coulter",G826&gt;='00_Control'!$B$7),"YES","NO")</f>
        <v/>
      </c>
      <c r="AJ826" s="33" t="inlineStr">
        <is>
          <t>OK</t>
        </is>
      </c>
    </row>
    <row r="827">
      <c r="A827" s="33" t="inlineStr">
        <is>
          <t>SM000823</t>
        </is>
      </c>
      <c r="B827" s="33" t="inlineStr">
        <is>
          <t>SW017</t>
        </is>
      </c>
      <c r="C827" s="33" t="inlineStr">
        <is>
          <t>Egor Kornev</t>
        </is>
      </c>
      <c r="D827" s="33" t="inlineStr">
        <is>
          <t>SwimCloud</t>
        </is>
      </c>
      <c r="E827" s="33" t="inlineStr">
        <is>
          <t>1139582</t>
        </is>
      </c>
      <c r="F827" s="33" t="inlineStr">
        <is>
          <t>27831032</t>
        </is>
      </c>
      <c r="G827" s="51" t="n">
        <v>43590</v>
      </c>
      <c r="H827" s="33" t="inlineStr">
        <is>
          <t>Первенство России среди юношей и девушек / Russian Age Group Championships</t>
        </is>
      </c>
      <c r="I827" s="33" t="inlineStr">
        <is>
          <t>149417</t>
        </is>
      </c>
      <c r="J827" s="33" t="inlineStr"/>
      <c r="K827" s="33" t="inlineStr">
        <is>
          <t>PRE</t>
        </is>
      </c>
      <c r="L827" s="35">
        <f>IF(K827="FIN",3,IF(OR(K827="SEM",K827="SEMI"),2,IF(OR(K827="PRE",K827="HEAT"),1,IF(V827="YES",4,2))))</f>
        <v/>
      </c>
      <c r="M827" s="33" t="inlineStr">
        <is>
          <t>LCM</t>
        </is>
      </c>
      <c r="N827" s="33" t="n">
        <v>100</v>
      </c>
      <c r="O827" s="33" t="inlineStr">
        <is>
          <t>Free</t>
        </is>
      </c>
      <c r="P827" s="33" t="inlineStr">
        <is>
          <t>100 Free</t>
        </is>
      </c>
      <c r="Q827" s="33" t="inlineStr">
        <is>
          <t>LCM_100_FREE</t>
        </is>
      </c>
      <c r="R827" s="36" t="n">
        <v>54.41</v>
      </c>
      <c r="S827" s="35">
        <f>IF(R827="","",IF(R827&gt;=60,INT(R827/60)&amp;":"&amp;TEXT(MOD(R827,60),"00.00"),TEXT(R827,"0.00")))</f>
        <v/>
      </c>
      <c r="T827" s="52">
        <f>IFERROR((G827-INDEX('01_Swimmers'!$E$5:$E$22,MATCH(B827,'01_Swimmers'!$A$5:$A$22,0)))/'00_Control'!$B$10,"")</f>
        <v/>
      </c>
      <c r="U827" s="35">
        <f>IF(T827="","",INT(T827))</f>
        <v/>
      </c>
      <c r="V827" s="33" t="inlineStr">
        <is>
          <t>NO</t>
        </is>
      </c>
      <c r="W827" s="33" t="inlineStr">
        <is>
          <t>YES</t>
        </is>
      </c>
      <c r="X827" s="33" t="inlineStr">
        <is>
          <t>NO</t>
        </is>
      </c>
      <c r="Y827" s="33" t="n">
        <v>12</v>
      </c>
      <c r="Z827" s="33" t="n">
        <v>6</v>
      </c>
      <c r="AA827" s="33" t="inlineStr">
        <is>
          <t>35</t>
        </is>
      </c>
      <c r="AB827" s="33" t="inlineStr">
        <is>
          <t>https://www.swimcloud.com/results/149417/event/11/?id=27831032#time27831032</t>
        </is>
      </c>
      <c r="AC827" s="33" t="inlineStr">
        <is>
          <t>SwimCloud API v6 2026-10-08</t>
        </is>
      </c>
      <c r="AD827" s="33" t="inlineStr">
        <is>
          <t>Egor Kornev|2019-05-05|LCM|100|Free|54.41|Первенство России среди юношей и девушек / Russian Age Group Championships|PRE|False</t>
        </is>
      </c>
      <c r="AE827" s="53">
        <f>G827+L827/1000+ROW()/1000000000</f>
        <v/>
      </c>
      <c r="AF827" s="35">
        <f>IF(C827&lt;&gt;"Grayson Coulter","",COUNTIFS($C$5:$C$2991,"Grayson Coulter",$Q$5:$Q$2991,Q827,$AE$5:$AE$2991,"&lt;="&amp;AE827,$R$5:$R$2991,"&lt;"&amp;R827))</f>
        <v/>
      </c>
      <c r="AG827" s="35">
        <f>IF(OR(C827&lt;&gt;"Grayson Coulter",G827&lt;'00_Control'!$B$7),"",--(AF827&lt;5))</f>
        <v/>
      </c>
      <c r="AH827" s="35">
        <f>IF(OR(C827&lt;&gt;"Grayson Coulter",G827&lt;'00_Control'!$B$7),"",--(AF827&lt;10))</f>
        <v/>
      </c>
      <c r="AI827" s="35">
        <f>IF(AND(C827="Grayson Coulter",G827&gt;='00_Control'!$B$7),"YES","NO")</f>
        <v/>
      </c>
      <c r="AJ827" s="33" t="inlineStr">
        <is>
          <t>OK</t>
        </is>
      </c>
    </row>
    <row r="828">
      <c r="A828" s="33" t="inlineStr">
        <is>
          <t>SM000824</t>
        </is>
      </c>
      <c r="B828" s="33" t="inlineStr">
        <is>
          <t>SW017</t>
        </is>
      </c>
      <c r="C828" s="33" t="inlineStr">
        <is>
          <t>Egor Kornev</t>
        </is>
      </c>
      <c r="D828" s="33" t="inlineStr">
        <is>
          <t>SwimCloud</t>
        </is>
      </c>
      <c r="E828" s="33" t="inlineStr">
        <is>
          <t>1139582</t>
        </is>
      </c>
      <c r="F828" s="33" t="inlineStr">
        <is>
          <t>27831034</t>
        </is>
      </c>
      <c r="G828" s="51" t="n">
        <v>43592</v>
      </c>
      <c r="H828" s="33" t="inlineStr">
        <is>
          <t>Первенство России среди юношей и девушек / Russian Age Group Championships</t>
        </is>
      </c>
      <c r="I828" s="33" t="inlineStr">
        <is>
          <t>149417</t>
        </is>
      </c>
      <c r="J828" s="33" t="inlineStr"/>
      <c r="K828" s="33" t="inlineStr">
        <is>
          <t>PRE</t>
        </is>
      </c>
      <c r="L828" s="35">
        <f>IF(K828="FIN",3,IF(OR(K828="SEM",K828="SEMI"),2,IF(OR(K828="PRE",K828="HEAT"),1,IF(V828="YES",4,2))))</f>
        <v/>
      </c>
      <c r="M828" s="33" t="inlineStr">
        <is>
          <t>LCM</t>
        </is>
      </c>
      <c r="N828" s="33" t="n">
        <v>200</v>
      </c>
      <c r="O828" s="33" t="inlineStr">
        <is>
          <t>Free</t>
        </is>
      </c>
      <c r="P828" s="33" t="inlineStr">
        <is>
          <t>200 Free</t>
        </is>
      </c>
      <c r="Q828" s="33" t="inlineStr">
        <is>
          <t>LCM_200_FREE</t>
        </is>
      </c>
      <c r="R828" s="36" t="n">
        <v>121.78</v>
      </c>
      <c r="S828" s="35">
        <f>IF(R828="","",IF(R828&gt;=60,INT(R828/60)&amp;":"&amp;TEXT(MOD(R828,60),"00.00"),TEXT(R828,"0.00")))</f>
        <v/>
      </c>
      <c r="T828" s="52">
        <f>IFERROR((G828-INDEX('01_Swimmers'!$E$5:$E$22,MATCH(B828,'01_Swimmers'!$A$5:$A$22,0)))/'00_Control'!$B$10,"")</f>
        <v/>
      </c>
      <c r="U828" s="35">
        <f>IF(T828="","",INT(T828))</f>
        <v/>
      </c>
      <c r="V828" s="33" t="inlineStr">
        <is>
          <t>NO</t>
        </is>
      </c>
      <c r="W828" s="33" t="inlineStr">
        <is>
          <t>YES</t>
        </is>
      </c>
      <c r="X828" s="33" t="inlineStr">
        <is>
          <t>NO</t>
        </is>
      </c>
      <c r="Y828" s="33" t="n">
        <v>4</v>
      </c>
      <c r="Z828" s="33" t="n">
        <v>1</v>
      </c>
      <c r="AA828" s="33" t="inlineStr">
        <is>
          <t>55</t>
        </is>
      </c>
      <c r="AB828" s="33" t="inlineStr">
        <is>
          <t>https://www.swimcloud.com/results/149417/event/29/?id=27831034#time27831034</t>
        </is>
      </c>
      <c r="AC828" s="33" t="inlineStr">
        <is>
          <t>SwimCloud API v6 2026-10-08</t>
        </is>
      </c>
      <c r="AD828" s="33" t="inlineStr">
        <is>
          <t>Egor Kornev|2019-05-07|LCM|200|Free|121.78|Первенство России среди юношей и девушек / Russian Age Group Championships|PRE|False</t>
        </is>
      </c>
      <c r="AE828" s="53">
        <f>G828+L828/1000+ROW()/1000000000</f>
        <v/>
      </c>
      <c r="AF828" s="35">
        <f>IF(C828&lt;&gt;"Grayson Coulter","",COUNTIFS($C$5:$C$2991,"Grayson Coulter",$Q$5:$Q$2991,Q828,$AE$5:$AE$2991,"&lt;="&amp;AE828,$R$5:$R$2991,"&lt;"&amp;R828))</f>
        <v/>
      </c>
      <c r="AG828" s="35">
        <f>IF(OR(C828&lt;&gt;"Grayson Coulter",G828&lt;'00_Control'!$B$7),"",--(AF828&lt;5))</f>
        <v/>
      </c>
      <c r="AH828" s="35">
        <f>IF(OR(C828&lt;&gt;"Grayson Coulter",G828&lt;'00_Control'!$B$7),"",--(AF828&lt;10))</f>
        <v/>
      </c>
      <c r="AI828" s="35">
        <f>IF(AND(C828="Grayson Coulter",G828&gt;='00_Control'!$B$7),"YES","NO")</f>
        <v/>
      </c>
      <c r="AJ828" s="33" t="inlineStr">
        <is>
          <t>OK</t>
        </is>
      </c>
    </row>
    <row r="829">
      <c r="A829" s="33" t="inlineStr">
        <is>
          <t>SM000825</t>
        </is>
      </c>
      <c r="B829" s="33" t="inlineStr">
        <is>
          <t>SW017</t>
        </is>
      </c>
      <c r="C829" s="33" t="inlineStr">
        <is>
          <t>Egor Kornev</t>
        </is>
      </c>
      <c r="D829" s="33" t="inlineStr">
        <is>
          <t>SwimCloud</t>
        </is>
      </c>
      <c r="E829" s="33" t="inlineStr">
        <is>
          <t>1139582</t>
        </is>
      </c>
      <c r="F829" s="33" t="inlineStr">
        <is>
          <t>37644334</t>
        </is>
      </c>
      <c r="G829" s="51" t="n">
        <v>44167</v>
      </c>
      <c r="H829" s="33" t="inlineStr">
        <is>
          <t>Russian Junior Championships</t>
        </is>
      </c>
      <c r="I829" s="33" t="inlineStr">
        <is>
          <t>187424</t>
        </is>
      </c>
      <c r="J829" s="33" t="inlineStr"/>
      <c r="K829" s="33" t="inlineStr">
        <is>
          <t>PRE</t>
        </is>
      </c>
      <c r="L829" s="35">
        <f>IF(K829="FIN",3,IF(OR(K829="SEM",K829="SEMI"),2,IF(OR(K829="PRE",K829="HEAT"),1,IF(V829="YES",4,2))))</f>
        <v/>
      </c>
      <c r="M829" s="33" t="inlineStr">
        <is>
          <t>LCM</t>
        </is>
      </c>
      <c r="N829" s="33" t="n">
        <v>100</v>
      </c>
      <c r="O829" s="33" t="inlineStr">
        <is>
          <t>Free</t>
        </is>
      </c>
      <c r="P829" s="33" t="inlineStr">
        <is>
          <t>100 Free</t>
        </is>
      </c>
      <c r="Q829" s="33" t="inlineStr">
        <is>
          <t>LCM_100_FREE</t>
        </is>
      </c>
      <c r="R829" s="36" t="n">
        <v>52.16</v>
      </c>
      <c r="S829" s="35">
        <f>IF(R829="","",IF(R829&gt;=60,INT(R829/60)&amp;":"&amp;TEXT(MOD(R829,60),"00.00"),TEXT(R829,"0.00")))</f>
        <v/>
      </c>
      <c r="T829" s="52">
        <f>IFERROR((G829-INDEX('01_Swimmers'!$E$5:$E$22,MATCH(B829,'01_Swimmers'!$A$5:$A$22,0)))/'00_Control'!$B$10,"")</f>
        <v/>
      </c>
      <c r="U829" s="35">
        <f>IF(T829="","",INT(T829))</f>
        <v/>
      </c>
      <c r="V829" s="33" t="inlineStr">
        <is>
          <t>NO</t>
        </is>
      </c>
      <c r="W829" s="33" t="inlineStr">
        <is>
          <t>YES</t>
        </is>
      </c>
      <c r="X829" s="33" t="inlineStr">
        <is>
          <t>NO</t>
        </is>
      </c>
      <c r="Y829" s="33" t="n">
        <v>11</v>
      </c>
      <c r="Z829" s="33" t="n">
        <v>1</v>
      </c>
      <c r="AA829" s="33" t="inlineStr">
        <is>
          <t>4</t>
        </is>
      </c>
      <c r="AB829" s="33" t="inlineStr">
        <is>
          <t>https://www.swimcloud.com/results/187424/event/11/?id=37644334#time37644334</t>
        </is>
      </c>
      <c r="AC829" s="33" t="inlineStr">
        <is>
          <t>SwimCloud API v6 2026-10-08</t>
        </is>
      </c>
      <c r="AD829" s="33" t="inlineStr">
        <is>
          <t>Egor Kornev|2020-12-02|LCM|100|Free|52.16|Russian Junior Championships|PRE|False</t>
        </is>
      </c>
      <c r="AE829" s="53">
        <f>G829+L829/1000+ROW()/1000000000</f>
        <v/>
      </c>
      <c r="AF829" s="35">
        <f>IF(C829&lt;&gt;"Grayson Coulter","",COUNTIFS($C$5:$C$2991,"Grayson Coulter",$Q$5:$Q$2991,Q829,$AE$5:$AE$2991,"&lt;="&amp;AE829,$R$5:$R$2991,"&lt;"&amp;R829))</f>
        <v/>
      </c>
      <c r="AG829" s="35">
        <f>IF(OR(C829&lt;&gt;"Grayson Coulter",G829&lt;'00_Control'!$B$7),"",--(AF829&lt;5))</f>
        <v/>
      </c>
      <c r="AH829" s="35">
        <f>IF(OR(C829&lt;&gt;"Grayson Coulter",G829&lt;'00_Control'!$B$7),"",--(AF829&lt;10))</f>
        <v/>
      </c>
      <c r="AI829" s="35">
        <f>IF(AND(C829="Grayson Coulter",G829&gt;='00_Control'!$B$7),"YES","NO")</f>
        <v/>
      </c>
      <c r="AJ829" s="33" t="inlineStr">
        <is>
          <t>OK</t>
        </is>
      </c>
    </row>
    <row r="830">
      <c r="A830" s="33" t="inlineStr">
        <is>
          <t>SM000826</t>
        </is>
      </c>
      <c r="B830" s="33" t="inlineStr">
        <is>
          <t>SW017</t>
        </is>
      </c>
      <c r="C830" s="33" t="inlineStr">
        <is>
          <t>Egor Kornev</t>
        </is>
      </c>
      <c r="D830" s="33" t="inlineStr">
        <is>
          <t>SwimCloud</t>
        </is>
      </c>
      <c r="E830" s="33" t="inlineStr">
        <is>
          <t>1139582</t>
        </is>
      </c>
      <c r="F830" s="33" t="inlineStr">
        <is>
          <t>37648260</t>
        </is>
      </c>
      <c r="G830" s="51" t="n">
        <v>44167</v>
      </c>
      <c r="H830" s="33" t="inlineStr">
        <is>
          <t>Russian Junior Championships</t>
        </is>
      </c>
      <c r="I830" s="33" t="inlineStr">
        <is>
          <t>187424</t>
        </is>
      </c>
      <c r="J830" s="33" t="inlineStr"/>
      <c r="K830" s="33" t="inlineStr">
        <is>
          <t>PRE</t>
        </is>
      </c>
      <c r="L830" s="35">
        <f>IF(K830="FIN",3,IF(OR(K830="SEM",K830="SEMI"),2,IF(OR(K830="PRE",K830="HEAT"),1,IF(V830="YES",4,2))))</f>
        <v/>
      </c>
      <c r="M830" s="33" t="inlineStr">
        <is>
          <t>LCM</t>
        </is>
      </c>
      <c r="N830" s="33" t="n">
        <v>100</v>
      </c>
      <c r="O830" s="33" t="inlineStr">
        <is>
          <t>Free</t>
        </is>
      </c>
      <c r="P830" s="33" t="inlineStr">
        <is>
          <t>100 Free</t>
        </is>
      </c>
      <c r="Q830" s="33" t="inlineStr">
        <is>
          <t>LCM_100_FREE</t>
        </is>
      </c>
      <c r="R830" s="36" t="n">
        <v>52.69</v>
      </c>
      <c r="S830" s="35">
        <f>IF(R830="","",IF(R830&gt;=60,INT(R830/60)&amp;":"&amp;TEXT(MOD(R830,60),"00.00"),TEXT(R830,"0.00")))</f>
        <v/>
      </c>
      <c r="T830" s="52">
        <f>IFERROR((G830-INDEX('01_Swimmers'!$E$5:$E$22,MATCH(B830,'01_Swimmers'!$A$5:$A$22,0)))/'00_Control'!$B$10,"")</f>
        <v/>
      </c>
      <c r="U830" s="35">
        <f>IF(T830="","",INT(T830))</f>
        <v/>
      </c>
      <c r="V830" s="33" t="inlineStr">
        <is>
          <t>YES</t>
        </is>
      </c>
      <c r="W830" s="33" t="inlineStr">
        <is>
          <t>YES</t>
        </is>
      </c>
      <c r="X830" s="33" t="inlineStr">
        <is>
          <t>NO</t>
        </is>
      </c>
      <c r="Y830" s="33" t="n">
        <v>1</v>
      </c>
      <c r="Z830" s="33" t="n">
        <v>2</v>
      </c>
      <c r="AA830" s="33" t="inlineStr"/>
      <c r="AB830" s="33" t="inlineStr">
        <is>
          <t>https://www.swimcloud.com/results/187424/event/16/?id=37644940#time37644940</t>
        </is>
      </c>
      <c r="AC830" s="33" t="inlineStr">
        <is>
          <t>SwimCloud API v6 2026-10-08</t>
        </is>
      </c>
      <c r="AD830" s="33" t="inlineStr">
        <is>
          <t>Egor Kornev|2020-12-02|LCM|100|Free|52.69|Russian Junior Championships|PRE|True</t>
        </is>
      </c>
      <c r="AE830" s="53">
        <f>G830+L830/1000+ROW()/1000000000</f>
        <v/>
      </c>
      <c r="AF830" s="35">
        <f>IF(C830&lt;&gt;"Grayson Coulter","",COUNTIFS($C$5:$C$2991,"Grayson Coulter",$Q$5:$Q$2991,Q830,$AE$5:$AE$2991,"&lt;="&amp;AE830,$R$5:$R$2991,"&lt;"&amp;R830))</f>
        <v/>
      </c>
      <c r="AG830" s="35">
        <f>IF(OR(C830&lt;&gt;"Grayson Coulter",G830&lt;'00_Control'!$B$7),"",--(AF830&lt;5))</f>
        <v/>
      </c>
      <c r="AH830" s="35">
        <f>IF(OR(C830&lt;&gt;"Grayson Coulter",G830&lt;'00_Control'!$B$7),"",--(AF830&lt;10))</f>
        <v/>
      </c>
      <c r="AI830" s="35">
        <f>IF(AND(C830="Grayson Coulter",G830&gt;='00_Control'!$B$7),"YES","NO")</f>
        <v/>
      </c>
      <c r="AJ830" s="33" t="inlineStr">
        <is>
          <t>OK</t>
        </is>
      </c>
    </row>
    <row r="831">
      <c r="A831" s="33" t="inlineStr">
        <is>
          <t>SM000827</t>
        </is>
      </c>
      <c r="B831" s="33" t="inlineStr">
        <is>
          <t>SW017</t>
        </is>
      </c>
      <c r="C831" s="33" t="inlineStr">
        <is>
          <t>Egor Kornev</t>
        </is>
      </c>
      <c r="D831" s="33" t="inlineStr">
        <is>
          <t>SwimCloud</t>
        </is>
      </c>
      <c r="E831" s="33" t="inlineStr">
        <is>
          <t>1139582</t>
        </is>
      </c>
      <c r="F831" s="33" t="inlineStr">
        <is>
          <t>37644339</t>
        </is>
      </c>
      <c r="G831" s="51" t="n">
        <v>44167</v>
      </c>
      <c r="H831" s="33" t="inlineStr">
        <is>
          <t>Russian Junior Championships</t>
        </is>
      </c>
      <c r="I831" s="33" t="inlineStr">
        <is>
          <t>187424</t>
        </is>
      </c>
      <c r="J831" s="33" t="inlineStr"/>
      <c r="K831" s="33" t="inlineStr">
        <is>
          <t>FIN</t>
        </is>
      </c>
      <c r="L831" s="35">
        <f>IF(K831="FIN",3,IF(OR(K831="SEM",K831="SEMI"),2,IF(OR(K831="PRE",K831="HEAT"),1,IF(V831="YES",4,2))))</f>
        <v/>
      </c>
      <c r="M831" s="33" t="inlineStr">
        <is>
          <t>LCM</t>
        </is>
      </c>
      <c r="N831" s="33" t="n">
        <v>100</v>
      </c>
      <c r="O831" s="33" t="inlineStr">
        <is>
          <t>Free</t>
        </is>
      </c>
      <c r="P831" s="33" t="inlineStr">
        <is>
          <t>100 Free</t>
        </is>
      </c>
      <c r="Q831" s="33" t="inlineStr">
        <is>
          <t>LCM_100_FREE</t>
        </is>
      </c>
      <c r="R831" s="36" t="n">
        <v>51.59</v>
      </c>
      <c r="S831" s="35">
        <f>IF(R831="","",IF(R831&gt;=60,INT(R831/60)&amp;":"&amp;TEXT(MOD(R831,60),"00.00"),TEXT(R831,"0.00")))</f>
        <v/>
      </c>
      <c r="T831" s="52">
        <f>IFERROR((G831-INDEX('01_Swimmers'!$E$5:$E$22,MATCH(B831,'01_Swimmers'!$A$5:$A$22,0)))/'00_Control'!$B$10,"")</f>
        <v/>
      </c>
      <c r="U831" s="35">
        <f>IF(T831="","",INT(T831))</f>
        <v/>
      </c>
      <c r="V831" s="33" t="inlineStr">
        <is>
          <t>NO</t>
        </is>
      </c>
      <c r="W831" s="33" t="inlineStr">
        <is>
          <t>YES</t>
        </is>
      </c>
      <c r="X831" s="33" t="inlineStr">
        <is>
          <t>NO</t>
        </is>
      </c>
      <c r="Y831" s="33" t="n">
        <v>1</v>
      </c>
      <c r="Z831" s="33" t="n">
        <v>6</v>
      </c>
      <c r="AA831" s="33" t="inlineStr">
        <is>
          <t>2</t>
        </is>
      </c>
      <c r="AB831" s="33" t="inlineStr">
        <is>
          <t>https://www.swimcloud.com/results/187424/event/11/?id=37644339#time37644339</t>
        </is>
      </c>
      <c r="AC831" s="33" t="inlineStr">
        <is>
          <t>SwimCloud API v6 2026-10-08</t>
        </is>
      </c>
      <c r="AD831" s="33" t="inlineStr">
        <is>
          <t>Egor Kornev|2020-12-02|LCM|100|Free|51.59|Russian Junior Championships|FIN|False</t>
        </is>
      </c>
      <c r="AE831" s="53">
        <f>G831+L831/1000+ROW()/1000000000</f>
        <v/>
      </c>
      <c r="AF831" s="35">
        <f>IF(C831&lt;&gt;"Grayson Coulter","",COUNTIFS($C$5:$C$2991,"Grayson Coulter",$Q$5:$Q$2991,Q831,$AE$5:$AE$2991,"&lt;="&amp;AE831,$R$5:$R$2991,"&lt;"&amp;R831))</f>
        <v/>
      </c>
      <c r="AG831" s="35">
        <f>IF(OR(C831&lt;&gt;"Grayson Coulter",G831&lt;'00_Control'!$B$7),"",--(AF831&lt;5))</f>
        <v/>
      </c>
      <c r="AH831" s="35">
        <f>IF(OR(C831&lt;&gt;"Grayson Coulter",G831&lt;'00_Control'!$B$7),"",--(AF831&lt;10))</f>
        <v/>
      </c>
      <c r="AI831" s="35">
        <f>IF(AND(C831="Grayson Coulter",G831&gt;='00_Control'!$B$7),"YES","NO")</f>
        <v/>
      </c>
      <c r="AJ831" s="33" t="inlineStr">
        <is>
          <t>OK</t>
        </is>
      </c>
    </row>
    <row r="832">
      <c r="A832" s="33" t="inlineStr">
        <is>
          <t>SM000828</t>
        </is>
      </c>
      <c r="B832" s="33" t="inlineStr">
        <is>
          <t>SW017</t>
        </is>
      </c>
      <c r="C832" s="33" t="inlineStr">
        <is>
          <t>Egor Kornev</t>
        </is>
      </c>
      <c r="D832" s="33" t="inlineStr">
        <is>
          <t>SwimCloud</t>
        </is>
      </c>
      <c r="E832" s="33" t="inlineStr">
        <is>
          <t>1139582</t>
        </is>
      </c>
      <c r="F832" s="33" t="inlineStr">
        <is>
          <t>41062109</t>
        </is>
      </c>
      <c r="G832" s="51" t="n">
        <v>44292</v>
      </c>
      <c r="H832" s="33" t="inlineStr">
        <is>
          <t>Russian National Swimming Championships</t>
        </is>
      </c>
      <c r="I832" s="33" t="inlineStr">
        <is>
          <t>195583</t>
        </is>
      </c>
      <c r="J832" s="33" t="inlineStr"/>
      <c r="K832" s="33" t="inlineStr">
        <is>
          <t>PRE</t>
        </is>
      </c>
      <c r="L832" s="35">
        <f>IF(K832="FIN",3,IF(OR(K832="SEM",K832="SEMI"),2,IF(OR(K832="PRE",K832="HEAT"),1,IF(V832="YES",4,2))))</f>
        <v/>
      </c>
      <c r="M832" s="33" t="inlineStr">
        <is>
          <t>LCM</t>
        </is>
      </c>
      <c r="N832" s="33" t="n">
        <v>100</v>
      </c>
      <c r="O832" s="33" t="inlineStr">
        <is>
          <t>Free</t>
        </is>
      </c>
      <c r="P832" s="33" t="inlineStr">
        <is>
          <t>100 Free</t>
        </is>
      </c>
      <c r="Q832" s="33" t="inlineStr">
        <is>
          <t>LCM_100_FREE</t>
        </is>
      </c>
      <c r="R832" s="36" t="n">
        <v>51.31</v>
      </c>
      <c r="S832" s="35">
        <f>IF(R832="","",IF(R832&gt;=60,INT(R832/60)&amp;":"&amp;TEXT(MOD(R832,60),"00.00"),TEXT(R832,"0.00")))</f>
        <v/>
      </c>
      <c r="T832" s="52">
        <f>IFERROR((G832-INDEX('01_Swimmers'!$E$5:$E$22,MATCH(B832,'01_Swimmers'!$A$5:$A$22,0)))/'00_Control'!$B$10,"")</f>
        <v/>
      </c>
      <c r="U832" s="35">
        <f>IF(T832="","",INT(T832))</f>
        <v/>
      </c>
      <c r="V832" s="33" t="inlineStr">
        <is>
          <t>NO</t>
        </is>
      </c>
      <c r="W832" s="33" t="inlineStr">
        <is>
          <t>YES</t>
        </is>
      </c>
      <c r="X832" s="33" t="inlineStr">
        <is>
          <t>NO</t>
        </is>
      </c>
      <c r="Y832" s="33" t="n">
        <v>14</v>
      </c>
      <c r="Z832" s="33" t="n">
        <v>8</v>
      </c>
      <c r="AA832" s="33" t="inlineStr">
        <is>
          <t>55</t>
        </is>
      </c>
      <c r="AB832" s="33" t="inlineStr">
        <is>
          <t>https://www.swimcloud.com/results/195583/event/24/?id=41062109#time41062109</t>
        </is>
      </c>
      <c r="AC832" s="33" t="inlineStr">
        <is>
          <t>SwimCloud API v6 2026-10-08</t>
        </is>
      </c>
      <c r="AD832" s="33" t="inlineStr">
        <is>
          <t>Egor Kornev|2021-04-06|LCM|100|Free|51.31|Russian National Swimming Championships|PRE|False</t>
        </is>
      </c>
      <c r="AE832" s="53">
        <f>G832+L832/1000+ROW()/1000000000</f>
        <v/>
      </c>
      <c r="AF832" s="35">
        <f>IF(C832&lt;&gt;"Grayson Coulter","",COUNTIFS($C$5:$C$2991,"Grayson Coulter",$Q$5:$Q$2991,Q832,$AE$5:$AE$2991,"&lt;="&amp;AE832,$R$5:$R$2991,"&lt;"&amp;R832))</f>
        <v/>
      </c>
      <c r="AG832" s="35">
        <f>IF(OR(C832&lt;&gt;"Grayson Coulter",G832&lt;'00_Control'!$B$7),"",--(AF832&lt;5))</f>
        <v/>
      </c>
      <c r="AH832" s="35">
        <f>IF(OR(C832&lt;&gt;"Grayson Coulter",G832&lt;'00_Control'!$B$7),"",--(AF832&lt;10))</f>
        <v/>
      </c>
      <c r="AI832" s="35">
        <f>IF(AND(C832="Grayson Coulter",G832&gt;='00_Control'!$B$7),"YES","NO")</f>
        <v/>
      </c>
      <c r="AJ832" s="33" t="inlineStr">
        <is>
          <t>OK</t>
        </is>
      </c>
    </row>
    <row r="833">
      <c r="A833" s="33" t="inlineStr">
        <is>
          <t>SM000829</t>
        </is>
      </c>
      <c r="B833" s="33" t="inlineStr">
        <is>
          <t>SW017</t>
        </is>
      </c>
      <c r="C833" s="33" t="inlineStr">
        <is>
          <t>Egor Kornev</t>
        </is>
      </c>
      <c r="D833" s="33" t="inlineStr">
        <is>
          <t>SwimCloud</t>
        </is>
      </c>
      <c r="E833" s="33" t="inlineStr">
        <is>
          <t>1139582</t>
        </is>
      </c>
      <c r="F833" s="33" t="inlineStr">
        <is>
          <t>41062111</t>
        </is>
      </c>
      <c r="G833" s="51" t="n">
        <v>44293</v>
      </c>
      <c r="H833" s="33" t="inlineStr">
        <is>
          <t>Russian National Swimming Championships</t>
        </is>
      </c>
      <c r="I833" s="33" t="inlineStr">
        <is>
          <t>195583</t>
        </is>
      </c>
      <c r="J833" s="33" t="inlineStr"/>
      <c r="K833" s="33" t="inlineStr">
        <is>
          <t>FIN</t>
        </is>
      </c>
      <c r="L833" s="35">
        <f>IF(K833="FIN",3,IF(OR(K833="SEM",K833="SEMI"),2,IF(OR(K833="PRE",K833="HEAT"),1,IF(V833="YES",4,2))))</f>
        <v/>
      </c>
      <c r="M833" s="33" t="inlineStr">
        <is>
          <t>LCM</t>
        </is>
      </c>
      <c r="N833" s="33" t="n">
        <v>100</v>
      </c>
      <c r="O833" s="33" t="inlineStr">
        <is>
          <t>Free</t>
        </is>
      </c>
      <c r="P833" s="33" t="inlineStr">
        <is>
          <t>100 Free</t>
        </is>
      </c>
      <c r="Q833" s="33" t="inlineStr">
        <is>
          <t>LCM_100_FREE</t>
        </is>
      </c>
      <c r="R833" s="36" t="n">
        <v>51.6</v>
      </c>
      <c r="S833" s="35">
        <f>IF(R833="","",IF(R833&gt;=60,INT(R833/60)&amp;":"&amp;TEXT(MOD(R833,60),"00.00"),TEXT(R833,"0.00")))</f>
        <v/>
      </c>
      <c r="T833" s="52">
        <f>IFERROR((G833-INDEX('01_Swimmers'!$E$5:$E$22,MATCH(B833,'01_Swimmers'!$A$5:$A$22,0)))/'00_Control'!$B$10,"")</f>
        <v/>
      </c>
      <c r="U833" s="35">
        <f>IF(T833="","",INT(T833))</f>
        <v/>
      </c>
      <c r="V833" s="33" t="inlineStr">
        <is>
          <t>NO</t>
        </is>
      </c>
      <c r="W833" s="33" t="inlineStr">
        <is>
          <t>YES</t>
        </is>
      </c>
      <c r="X833" s="33" t="inlineStr">
        <is>
          <t>NO</t>
        </is>
      </c>
      <c r="Y833" s="33" t="n">
        <v>2</v>
      </c>
      <c r="Z833" s="33" t="n">
        <v>7</v>
      </c>
      <c r="AA833" s="33" t="inlineStr">
        <is>
          <t>16</t>
        </is>
      </c>
      <c r="AB833" s="33" t="inlineStr">
        <is>
          <t>https://www.swimcloud.com/results/195583/event/24/?id=41062111#time41062111</t>
        </is>
      </c>
      <c r="AC833" s="33" t="inlineStr">
        <is>
          <t>SwimCloud API v6 2026-10-08</t>
        </is>
      </c>
      <c r="AD833" s="33" t="inlineStr">
        <is>
          <t>Egor Kornev|2021-04-07|LCM|100|Free|51.6|Russian National Swimming Championships|FIN|False</t>
        </is>
      </c>
      <c r="AE833" s="53">
        <f>G833+L833/1000+ROW()/1000000000</f>
        <v/>
      </c>
      <c r="AF833" s="35">
        <f>IF(C833&lt;&gt;"Grayson Coulter","",COUNTIFS($C$5:$C$2991,"Grayson Coulter",$Q$5:$Q$2991,Q833,$AE$5:$AE$2991,"&lt;="&amp;AE833,$R$5:$R$2991,"&lt;"&amp;R833))</f>
        <v/>
      </c>
      <c r="AG833" s="35">
        <f>IF(OR(C833&lt;&gt;"Grayson Coulter",G833&lt;'00_Control'!$B$7),"",--(AF833&lt;5))</f>
        <v/>
      </c>
      <c r="AH833" s="35">
        <f>IF(OR(C833&lt;&gt;"Grayson Coulter",G833&lt;'00_Control'!$B$7),"",--(AF833&lt;10))</f>
        <v/>
      </c>
      <c r="AI833" s="35">
        <f>IF(AND(C833="Grayson Coulter",G833&gt;='00_Control'!$B$7),"YES","NO")</f>
        <v/>
      </c>
      <c r="AJ833" s="33" t="inlineStr">
        <is>
          <t>OK</t>
        </is>
      </c>
    </row>
    <row r="834">
      <c r="A834" s="33" t="inlineStr">
        <is>
          <t>SM000830</t>
        </is>
      </c>
      <c r="B834" s="33" t="inlineStr">
        <is>
          <t>SW017</t>
        </is>
      </c>
      <c r="C834" s="33" t="inlineStr">
        <is>
          <t>Egor Kornev</t>
        </is>
      </c>
      <c r="D834" s="33" t="inlineStr">
        <is>
          <t>SwimCloud</t>
        </is>
      </c>
      <c r="E834" s="33" t="inlineStr">
        <is>
          <t>1139582</t>
        </is>
      </c>
      <c r="F834" s="33" t="inlineStr">
        <is>
          <t>41809395</t>
        </is>
      </c>
      <c r="G834" s="51" t="n">
        <v>44330</v>
      </c>
      <c r="H834" s="33" t="inlineStr">
        <is>
          <t>Первенство России среди юниоров и юниорок</t>
        </is>
      </c>
      <c r="I834" s="33" t="inlineStr">
        <is>
          <t>198490</t>
        </is>
      </c>
      <c r="J834" s="33" t="inlineStr"/>
      <c r="K834" s="33" t="inlineStr">
        <is>
          <t>PRE</t>
        </is>
      </c>
      <c r="L834" s="35">
        <f>IF(K834="FIN",3,IF(OR(K834="SEM",K834="SEMI"),2,IF(OR(K834="PRE",K834="HEAT"),1,IF(V834="YES",4,2))))</f>
        <v/>
      </c>
      <c r="M834" s="33" t="inlineStr">
        <is>
          <t>LCM</t>
        </is>
      </c>
      <c r="N834" s="33" t="n">
        <v>100</v>
      </c>
      <c r="O834" s="33" t="inlineStr">
        <is>
          <t>Free</t>
        </is>
      </c>
      <c r="P834" s="33" t="inlineStr">
        <is>
          <t>100 Free</t>
        </is>
      </c>
      <c r="Q834" s="33" t="inlineStr">
        <is>
          <t>LCM_100_FREE</t>
        </is>
      </c>
      <c r="R834" s="36" t="n">
        <v>51.74</v>
      </c>
      <c r="S834" s="35">
        <f>IF(R834="","",IF(R834&gt;=60,INT(R834/60)&amp;":"&amp;TEXT(MOD(R834,60),"00.00"),TEXT(R834,"0.00")))</f>
        <v/>
      </c>
      <c r="T834" s="52">
        <f>IFERROR((G834-INDEX('01_Swimmers'!$E$5:$E$22,MATCH(B834,'01_Swimmers'!$A$5:$A$22,0)))/'00_Control'!$B$10,"")</f>
        <v/>
      </c>
      <c r="U834" s="35">
        <f>IF(T834="","",INT(T834))</f>
        <v/>
      </c>
      <c r="V834" s="33" t="inlineStr">
        <is>
          <t>NO</t>
        </is>
      </c>
      <c r="W834" s="33" t="inlineStr">
        <is>
          <t>YES</t>
        </is>
      </c>
      <c r="X834" s="33" t="inlineStr">
        <is>
          <t>NO</t>
        </is>
      </c>
      <c r="Y834" s="33" t="n">
        <v>21</v>
      </c>
      <c r="Z834" s="33" t="n">
        <v>3</v>
      </c>
      <c r="AA834" s="33" t="inlineStr">
        <is>
          <t>3</t>
        </is>
      </c>
      <c r="AB834" s="33" t="inlineStr">
        <is>
          <t>https://www.swimcloud.com/results/198490/event/11/?id=41809395#time41809395</t>
        </is>
      </c>
      <c r="AC834" s="33" t="inlineStr">
        <is>
          <t>SwimCloud API v6 2026-10-08</t>
        </is>
      </c>
      <c r="AD834" s="33" t="inlineStr">
        <is>
          <t>Egor Kornev|2021-05-14|LCM|100|Free|51.74|Первенство России среди юниоров и юниорок|PRE|False</t>
        </is>
      </c>
      <c r="AE834" s="53">
        <f>G834+L834/1000+ROW()/1000000000</f>
        <v/>
      </c>
      <c r="AF834" s="35">
        <f>IF(C834&lt;&gt;"Grayson Coulter","",COUNTIFS($C$5:$C$2991,"Grayson Coulter",$Q$5:$Q$2991,Q834,$AE$5:$AE$2991,"&lt;="&amp;AE834,$R$5:$R$2991,"&lt;"&amp;R834))</f>
        <v/>
      </c>
      <c r="AG834" s="35">
        <f>IF(OR(C834&lt;&gt;"Grayson Coulter",G834&lt;'00_Control'!$B$7),"",--(AF834&lt;5))</f>
        <v/>
      </c>
      <c r="AH834" s="35">
        <f>IF(OR(C834&lt;&gt;"Grayson Coulter",G834&lt;'00_Control'!$B$7),"",--(AF834&lt;10))</f>
        <v/>
      </c>
      <c r="AI834" s="35">
        <f>IF(AND(C834="Grayson Coulter",G834&gt;='00_Control'!$B$7),"YES","NO")</f>
        <v/>
      </c>
      <c r="AJ834" s="33" t="inlineStr">
        <is>
          <t>OK</t>
        </is>
      </c>
    </row>
    <row r="835">
      <c r="A835" s="33" t="inlineStr">
        <is>
          <t>SM000831</t>
        </is>
      </c>
      <c r="B835" s="33" t="inlineStr">
        <is>
          <t>SW017</t>
        </is>
      </c>
      <c r="C835" s="33" t="inlineStr">
        <is>
          <t>Egor Kornev</t>
        </is>
      </c>
      <c r="D835" s="33" t="inlineStr">
        <is>
          <t>SwimCloud</t>
        </is>
      </c>
      <c r="E835" s="33" t="inlineStr">
        <is>
          <t>1139582</t>
        </is>
      </c>
      <c r="F835" s="33" t="inlineStr">
        <is>
          <t>41809399</t>
        </is>
      </c>
      <c r="G835" s="51" t="n">
        <v>44330</v>
      </c>
      <c r="H835" s="33" t="inlineStr">
        <is>
          <t>Первенство России среди юниоров и юниорок</t>
        </is>
      </c>
      <c r="I835" s="33" t="inlineStr">
        <is>
          <t>198490</t>
        </is>
      </c>
      <c r="J835" s="33" t="inlineStr"/>
      <c r="K835" s="33" t="inlineStr">
        <is>
          <t>FIN</t>
        </is>
      </c>
      <c r="L835" s="35">
        <f>IF(K835="FIN",3,IF(OR(K835="SEM",K835="SEMI"),2,IF(OR(K835="PRE",K835="HEAT"),1,IF(V835="YES",4,2))))</f>
        <v/>
      </c>
      <c r="M835" s="33" t="inlineStr">
        <is>
          <t>LCM</t>
        </is>
      </c>
      <c r="N835" s="33" t="n">
        <v>100</v>
      </c>
      <c r="O835" s="33" t="inlineStr">
        <is>
          <t>Free</t>
        </is>
      </c>
      <c r="P835" s="33" t="inlineStr">
        <is>
          <t>100 Free</t>
        </is>
      </c>
      <c r="Q835" s="33" t="inlineStr">
        <is>
          <t>LCM_100_FREE</t>
        </is>
      </c>
      <c r="R835" s="36" t="n">
        <v>51.41</v>
      </c>
      <c r="S835" s="35">
        <f>IF(R835="","",IF(R835&gt;=60,INT(R835/60)&amp;":"&amp;TEXT(MOD(R835,60),"00.00"),TEXT(R835,"0.00")))</f>
        <v/>
      </c>
      <c r="T835" s="52">
        <f>IFERROR((G835-INDEX('01_Swimmers'!$E$5:$E$22,MATCH(B835,'01_Swimmers'!$A$5:$A$22,0)))/'00_Control'!$B$10,"")</f>
        <v/>
      </c>
      <c r="U835" s="35">
        <f>IF(T835="","",INT(T835))</f>
        <v/>
      </c>
      <c r="V835" s="33" t="inlineStr">
        <is>
          <t>NO</t>
        </is>
      </c>
      <c r="W835" s="33" t="inlineStr">
        <is>
          <t>YES</t>
        </is>
      </c>
      <c r="X835" s="33" t="inlineStr">
        <is>
          <t>NO</t>
        </is>
      </c>
      <c r="Y835" s="33" t="n">
        <v>1</v>
      </c>
      <c r="Z835" s="33" t="n">
        <v>3</v>
      </c>
      <c r="AA835" s="33" t="inlineStr">
        <is>
          <t>3</t>
        </is>
      </c>
      <c r="AB835" s="33" t="inlineStr">
        <is>
          <t>https://www.swimcloud.com/results/198490/event/11/?id=41809399#time41809399</t>
        </is>
      </c>
      <c r="AC835" s="33" t="inlineStr">
        <is>
          <t>SwimCloud API v6 2026-10-08</t>
        </is>
      </c>
      <c r="AD835" s="33" t="inlineStr">
        <is>
          <t>Egor Kornev|2021-05-14|LCM|100|Free|51.41|Первенство России среди юниоров и юниорок|FIN|False</t>
        </is>
      </c>
      <c r="AE835" s="53">
        <f>G835+L835/1000+ROW()/1000000000</f>
        <v/>
      </c>
      <c r="AF835" s="35">
        <f>IF(C835&lt;&gt;"Grayson Coulter","",COUNTIFS($C$5:$C$2991,"Grayson Coulter",$Q$5:$Q$2991,Q835,$AE$5:$AE$2991,"&lt;="&amp;AE835,$R$5:$R$2991,"&lt;"&amp;R835))</f>
        <v/>
      </c>
      <c r="AG835" s="35">
        <f>IF(OR(C835&lt;&gt;"Grayson Coulter",G835&lt;'00_Control'!$B$7),"",--(AF835&lt;5))</f>
        <v/>
      </c>
      <c r="AH835" s="35">
        <f>IF(OR(C835&lt;&gt;"Grayson Coulter",G835&lt;'00_Control'!$B$7),"",--(AF835&lt;10))</f>
        <v/>
      </c>
      <c r="AI835" s="35">
        <f>IF(AND(C835="Grayson Coulter",G835&gt;='00_Control'!$B$7),"YES","NO")</f>
        <v/>
      </c>
      <c r="AJ835" s="33" t="inlineStr">
        <is>
          <t>OK</t>
        </is>
      </c>
    </row>
    <row r="836">
      <c r="A836" s="33" t="inlineStr">
        <is>
          <t>SM000832</t>
        </is>
      </c>
      <c r="B836" s="33" t="inlineStr">
        <is>
          <t>SW017</t>
        </is>
      </c>
      <c r="C836" s="33" t="inlineStr">
        <is>
          <t>Egor Kornev</t>
        </is>
      </c>
      <c r="D836" s="33" t="inlineStr">
        <is>
          <t>SwimCloud</t>
        </is>
      </c>
      <c r="E836" s="33" t="inlineStr">
        <is>
          <t>1139582</t>
        </is>
      </c>
      <c r="F836" s="33" t="inlineStr">
        <is>
          <t>41809397</t>
        </is>
      </c>
      <c r="G836" s="51" t="n">
        <v>44332</v>
      </c>
      <c r="H836" s="33" t="inlineStr">
        <is>
          <t>Первенство России среди юниоров и юниорок</t>
        </is>
      </c>
      <c r="I836" s="33" t="inlineStr">
        <is>
          <t>198490</t>
        </is>
      </c>
      <c r="J836" s="33" t="inlineStr"/>
      <c r="K836" s="33" t="inlineStr">
        <is>
          <t>PRE</t>
        </is>
      </c>
      <c r="L836" s="35">
        <f>IF(K836="FIN",3,IF(OR(K836="SEM",K836="SEMI"),2,IF(OR(K836="PRE",K836="HEAT"),1,IF(V836="YES",4,2))))</f>
        <v/>
      </c>
      <c r="M836" s="33" t="inlineStr">
        <is>
          <t>LCM</t>
        </is>
      </c>
      <c r="N836" s="33" t="n">
        <v>200</v>
      </c>
      <c r="O836" s="33" t="inlineStr">
        <is>
          <t>Free</t>
        </is>
      </c>
      <c r="P836" s="33" t="inlineStr">
        <is>
          <t>200 Free</t>
        </is>
      </c>
      <c r="Q836" s="33" t="inlineStr">
        <is>
          <t>LCM_200_FREE</t>
        </is>
      </c>
      <c r="R836" s="36" t="n">
        <v>114.66</v>
      </c>
      <c r="S836" s="35">
        <f>IF(R836="","",IF(R836&gt;=60,INT(R836/60)&amp;":"&amp;TEXT(MOD(R836,60),"00.00"),TEXT(R836,"0.00")))</f>
        <v/>
      </c>
      <c r="T836" s="52">
        <f>IFERROR((G836-INDEX('01_Swimmers'!$E$5:$E$22,MATCH(B836,'01_Swimmers'!$A$5:$A$22,0)))/'00_Control'!$B$10,"")</f>
        <v/>
      </c>
      <c r="U836" s="35">
        <f>IF(T836="","",INT(T836))</f>
        <v/>
      </c>
      <c r="V836" s="33" t="inlineStr">
        <is>
          <t>NO</t>
        </is>
      </c>
      <c r="W836" s="33" t="inlineStr">
        <is>
          <t>YES</t>
        </is>
      </c>
      <c r="X836" s="33" t="inlineStr">
        <is>
          <t>NO</t>
        </is>
      </c>
      <c r="Y836" s="33" t="n">
        <v>10</v>
      </c>
      <c r="Z836" s="33" t="n">
        <v>7</v>
      </c>
      <c r="AA836" s="33" t="inlineStr">
        <is>
          <t>13</t>
        </is>
      </c>
      <c r="AB836" s="33" t="inlineStr">
        <is>
          <t>https://www.swimcloud.com/results/198490/event/29/?id=41809397#time41809397</t>
        </is>
      </c>
      <c r="AC836" s="33" t="inlineStr">
        <is>
          <t>SwimCloud API v6 2026-10-08</t>
        </is>
      </c>
      <c r="AD836" s="33" t="inlineStr">
        <is>
          <t>Egor Kornev|2021-05-16|LCM|200|Free|114.66|Первенство России среди юниоров и юниорок|PRE|False</t>
        </is>
      </c>
      <c r="AE836" s="53">
        <f>G836+L836/1000+ROW()/1000000000</f>
        <v/>
      </c>
      <c r="AF836" s="35">
        <f>IF(C836&lt;&gt;"Grayson Coulter","",COUNTIFS($C$5:$C$2991,"Grayson Coulter",$Q$5:$Q$2991,Q836,$AE$5:$AE$2991,"&lt;="&amp;AE836,$R$5:$R$2991,"&lt;"&amp;R836))</f>
        <v/>
      </c>
      <c r="AG836" s="35">
        <f>IF(OR(C836&lt;&gt;"Grayson Coulter",G836&lt;'00_Control'!$B$7),"",--(AF836&lt;5))</f>
        <v/>
      </c>
      <c r="AH836" s="35">
        <f>IF(OR(C836&lt;&gt;"Grayson Coulter",G836&lt;'00_Control'!$B$7),"",--(AF836&lt;10))</f>
        <v/>
      </c>
      <c r="AI836" s="35">
        <f>IF(AND(C836="Grayson Coulter",G836&gt;='00_Control'!$B$7),"YES","NO")</f>
        <v/>
      </c>
      <c r="AJ836" s="33" t="inlineStr">
        <is>
          <t>OK</t>
        </is>
      </c>
    </row>
    <row r="837">
      <c r="A837" s="33" t="inlineStr">
        <is>
          <t>SM000833</t>
        </is>
      </c>
      <c r="B837" s="33" t="inlineStr">
        <is>
          <t>SW017</t>
        </is>
      </c>
      <c r="C837" s="33" t="inlineStr">
        <is>
          <t>Egor Kornev</t>
        </is>
      </c>
      <c r="D837" s="33" t="inlineStr">
        <is>
          <t>SwimCloud</t>
        </is>
      </c>
      <c r="E837" s="33" t="inlineStr">
        <is>
          <t>1139582</t>
        </is>
      </c>
      <c r="F837" s="33" t="inlineStr">
        <is>
          <t>48594908</t>
        </is>
      </c>
      <c r="G837" s="51" t="n">
        <v>44525</v>
      </c>
      <c r="H837" s="33" t="inlineStr">
        <is>
          <t>Reserve of Russia</t>
        </is>
      </c>
      <c r="I837" s="33" t="inlineStr">
        <is>
          <t>211751</t>
        </is>
      </c>
      <c r="J837" s="33" t="inlineStr"/>
      <c r="K837" s="33" t="inlineStr">
        <is>
          <t>PRE</t>
        </is>
      </c>
      <c r="L837" s="35">
        <f>IF(K837="FIN",3,IF(OR(K837="SEM",K837="SEMI"),2,IF(OR(K837="PRE",K837="HEAT"),1,IF(V837="YES",4,2))))</f>
        <v/>
      </c>
      <c r="M837" s="33" t="inlineStr">
        <is>
          <t>SCM</t>
        </is>
      </c>
      <c r="N837" s="33" t="n">
        <v>100</v>
      </c>
      <c r="O837" s="33" t="inlineStr">
        <is>
          <t>Free</t>
        </is>
      </c>
      <c r="P837" s="33" t="inlineStr">
        <is>
          <t>100 Free</t>
        </is>
      </c>
      <c r="Q837" s="33" t="inlineStr">
        <is>
          <t>SCM_100_FREE</t>
        </is>
      </c>
      <c r="R837" s="36" t="n">
        <v>49.68</v>
      </c>
      <c r="S837" s="35">
        <f>IF(R837="","",IF(R837&gt;=60,INT(R837/60)&amp;":"&amp;TEXT(MOD(R837,60),"00.00"),TEXT(R837,"0.00")))</f>
        <v/>
      </c>
      <c r="T837" s="52">
        <f>IFERROR((G837-INDEX('01_Swimmers'!$E$5:$E$22,MATCH(B837,'01_Swimmers'!$A$5:$A$22,0)))/'00_Control'!$B$10,"")</f>
        <v/>
      </c>
      <c r="U837" s="35">
        <f>IF(T837="","",INT(T837))</f>
        <v/>
      </c>
      <c r="V837" s="33" t="inlineStr">
        <is>
          <t>NO</t>
        </is>
      </c>
      <c r="W837" s="33" t="inlineStr">
        <is>
          <t>YES</t>
        </is>
      </c>
      <c r="X837" s="33" t="inlineStr">
        <is>
          <t>NO</t>
        </is>
      </c>
      <c r="Y837" s="33" t="n">
        <v>18</v>
      </c>
      <c r="Z837" s="33" t="n">
        <v>5</v>
      </c>
      <c r="AA837" s="33" t="inlineStr">
        <is>
          <t>5</t>
        </is>
      </c>
      <c r="AB837" s="33" t="inlineStr">
        <is>
          <t>https://www.swimcloud.com/results/211751/event/11/?id=48594908#time48594908</t>
        </is>
      </c>
      <c r="AC837" s="33" t="inlineStr">
        <is>
          <t>SwimCloud API v6 2026-10-08</t>
        </is>
      </c>
      <c r="AD837" s="33" t="inlineStr">
        <is>
          <t>Egor Kornev|2021-11-25|SCM|100|Free|49.68|Reserve of Russia|PRE|False</t>
        </is>
      </c>
      <c r="AE837" s="53">
        <f>G837+L837/1000+ROW()/1000000000</f>
        <v/>
      </c>
      <c r="AF837" s="35">
        <f>IF(C837&lt;&gt;"Grayson Coulter","",COUNTIFS($C$5:$C$2991,"Grayson Coulter",$Q$5:$Q$2991,Q837,$AE$5:$AE$2991,"&lt;="&amp;AE837,$R$5:$R$2991,"&lt;"&amp;R837))</f>
        <v/>
      </c>
      <c r="AG837" s="35">
        <f>IF(OR(C837&lt;&gt;"Grayson Coulter",G837&lt;'00_Control'!$B$7),"",--(AF837&lt;5))</f>
        <v/>
      </c>
      <c r="AH837" s="35">
        <f>IF(OR(C837&lt;&gt;"Grayson Coulter",G837&lt;'00_Control'!$B$7),"",--(AF837&lt;10))</f>
        <v/>
      </c>
      <c r="AI837" s="35">
        <f>IF(AND(C837="Grayson Coulter",G837&gt;='00_Control'!$B$7),"YES","NO")</f>
        <v/>
      </c>
      <c r="AJ837" s="33" t="inlineStr">
        <is>
          <t>OK</t>
        </is>
      </c>
    </row>
    <row r="838">
      <c r="A838" s="33" t="inlineStr">
        <is>
          <t>SM000834</t>
        </is>
      </c>
      <c r="B838" s="33" t="inlineStr">
        <is>
          <t>SW017</t>
        </is>
      </c>
      <c r="C838" s="33" t="inlineStr">
        <is>
          <t>Egor Kornev</t>
        </is>
      </c>
      <c r="D838" s="33" t="inlineStr">
        <is>
          <t>SwimCloud</t>
        </is>
      </c>
      <c r="E838" s="33" t="inlineStr">
        <is>
          <t>1139582</t>
        </is>
      </c>
      <c r="F838" s="33" t="inlineStr">
        <is>
          <t>48594916</t>
        </is>
      </c>
      <c r="G838" s="51" t="n">
        <v>44525</v>
      </c>
      <c r="H838" s="33" t="inlineStr">
        <is>
          <t>Reserve of Russia</t>
        </is>
      </c>
      <c r="I838" s="33" t="inlineStr">
        <is>
          <t>211751</t>
        </is>
      </c>
      <c r="J838" s="33" t="inlineStr"/>
      <c r="K838" s="33" t="inlineStr">
        <is>
          <t>FIN</t>
        </is>
      </c>
      <c r="L838" s="35">
        <f>IF(K838="FIN",3,IF(OR(K838="SEM",K838="SEMI"),2,IF(OR(K838="PRE",K838="HEAT"),1,IF(V838="YES",4,2))))</f>
        <v/>
      </c>
      <c r="M838" s="33" t="inlineStr">
        <is>
          <t>SCM</t>
        </is>
      </c>
      <c r="N838" s="33" t="n">
        <v>100</v>
      </c>
      <c r="O838" s="33" t="inlineStr">
        <is>
          <t>Free</t>
        </is>
      </c>
      <c r="P838" s="33" t="inlineStr">
        <is>
          <t>100 Free</t>
        </is>
      </c>
      <c r="Q838" s="33" t="inlineStr">
        <is>
          <t>SCM_100_FREE</t>
        </is>
      </c>
      <c r="R838" s="36" t="n">
        <v>48.61</v>
      </c>
      <c r="S838" s="35">
        <f>IF(R838="","",IF(R838&gt;=60,INT(R838/60)&amp;":"&amp;TEXT(MOD(R838,60),"00.00"),TEXT(R838,"0.00")))</f>
        <v/>
      </c>
      <c r="T838" s="52">
        <f>IFERROR((G838-INDEX('01_Swimmers'!$E$5:$E$22,MATCH(B838,'01_Swimmers'!$A$5:$A$22,0)))/'00_Control'!$B$10,"")</f>
        <v/>
      </c>
      <c r="U838" s="35">
        <f>IF(T838="","",INT(T838))</f>
        <v/>
      </c>
      <c r="V838" s="33" t="inlineStr">
        <is>
          <t>NO</t>
        </is>
      </c>
      <c r="W838" s="33" t="inlineStr">
        <is>
          <t>YES</t>
        </is>
      </c>
      <c r="X838" s="33" t="inlineStr">
        <is>
          <t>NO</t>
        </is>
      </c>
      <c r="Y838" s="33" t="n">
        <v>2</v>
      </c>
      <c r="Z838" s="33" t="n">
        <v>2</v>
      </c>
      <c r="AA838" s="33" t="inlineStr">
        <is>
          <t>3</t>
        </is>
      </c>
      <c r="AB838" s="33" t="inlineStr">
        <is>
          <t>https://www.swimcloud.com/results/211751/event/11/?id=48594916#time48594916</t>
        </is>
      </c>
      <c r="AC838" s="33" t="inlineStr">
        <is>
          <t>SwimCloud API v6 2026-10-08</t>
        </is>
      </c>
      <c r="AD838" s="33" t="inlineStr">
        <is>
          <t>Egor Kornev|2021-11-25|SCM|100|Free|48.61|Reserve of Russia|FIN|False</t>
        </is>
      </c>
      <c r="AE838" s="53">
        <f>G838+L838/1000+ROW()/1000000000</f>
        <v/>
      </c>
      <c r="AF838" s="35">
        <f>IF(C838&lt;&gt;"Grayson Coulter","",COUNTIFS($C$5:$C$2991,"Grayson Coulter",$Q$5:$Q$2991,Q838,$AE$5:$AE$2991,"&lt;="&amp;AE838,$R$5:$R$2991,"&lt;"&amp;R838))</f>
        <v/>
      </c>
      <c r="AG838" s="35">
        <f>IF(OR(C838&lt;&gt;"Grayson Coulter",G838&lt;'00_Control'!$B$7),"",--(AF838&lt;5))</f>
        <v/>
      </c>
      <c r="AH838" s="35">
        <f>IF(OR(C838&lt;&gt;"Grayson Coulter",G838&lt;'00_Control'!$B$7),"",--(AF838&lt;10))</f>
        <v/>
      </c>
      <c r="AI838" s="35">
        <f>IF(AND(C838="Grayson Coulter",G838&gt;='00_Control'!$B$7),"YES","NO")</f>
        <v/>
      </c>
      <c r="AJ838" s="33" t="inlineStr">
        <is>
          <t>OK</t>
        </is>
      </c>
    </row>
    <row r="839">
      <c r="A839" s="33" t="inlineStr">
        <is>
          <t>SM000835</t>
        </is>
      </c>
      <c r="B839" s="33" t="inlineStr">
        <is>
          <t>SW017</t>
        </is>
      </c>
      <c r="C839" s="33" t="inlineStr">
        <is>
          <t>Egor Kornev</t>
        </is>
      </c>
      <c r="D839" s="33" t="inlineStr">
        <is>
          <t>SwimCloud</t>
        </is>
      </c>
      <c r="E839" s="33" t="inlineStr">
        <is>
          <t>1139582</t>
        </is>
      </c>
      <c r="F839" s="33" t="inlineStr">
        <is>
          <t>48594911</t>
        </is>
      </c>
      <c r="G839" s="51" t="n">
        <v>44527</v>
      </c>
      <c r="H839" s="33" t="inlineStr">
        <is>
          <t>Reserve of Russia</t>
        </is>
      </c>
      <c r="I839" s="33" t="inlineStr">
        <is>
          <t>211751</t>
        </is>
      </c>
      <c r="J839" s="33" t="inlineStr"/>
      <c r="K839" s="33" t="inlineStr">
        <is>
          <t>PRE</t>
        </is>
      </c>
      <c r="L839" s="35">
        <f>IF(K839="FIN",3,IF(OR(K839="SEM",K839="SEMI"),2,IF(OR(K839="PRE",K839="HEAT"),1,IF(V839="YES",4,2))))</f>
        <v/>
      </c>
      <c r="M839" s="33" t="inlineStr">
        <is>
          <t>SCM</t>
        </is>
      </c>
      <c r="N839" s="33" t="n">
        <v>100</v>
      </c>
      <c r="O839" s="33" t="inlineStr">
        <is>
          <t>Fly</t>
        </is>
      </c>
      <c r="P839" s="33" t="inlineStr">
        <is>
          <t>100 Fly</t>
        </is>
      </c>
      <c r="Q839" s="33" t="inlineStr">
        <is>
          <t>SCM_100_FLY</t>
        </is>
      </c>
      <c r="R839" s="36" t="n">
        <v>58.2</v>
      </c>
      <c r="S839" s="35">
        <f>IF(R839="","",IF(R839&gt;=60,INT(R839/60)&amp;":"&amp;TEXT(MOD(R839,60),"00.00"),TEXT(R839,"0.00")))</f>
        <v/>
      </c>
      <c r="T839" s="52">
        <f>IFERROR((G839-INDEX('01_Swimmers'!$E$5:$E$22,MATCH(B839,'01_Swimmers'!$A$5:$A$22,0)))/'00_Control'!$B$10,"")</f>
        <v/>
      </c>
      <c r="U839" s="35">
        <f>IF(T839="","",INT(T839))</f>
        <v/>
      </c>
      <c r="V839" s="33" t="inlineStr">
        <is>
          <t>NO</t>
        </is>
      </c>
      <c r="W839" s="33" t="inlineStr">
        <is>
          <t>YES</t>
        </is>
      </c>
      <c r="X839" s="33" t="inlineStr">
        <is>
          <t>NO</t>
        </is>
      </c>
      <c r="Y839" s="33" t="n">
        <v>1</v>
      </c>
      <c r="Z839" s="33" t="n">
        <v>7</v>
      </c>
      <c r="AA839" s="33" t="inlineStr">
        <is>
          <t>52</t>
        </is>
      </c>
      <c r="AB839" s="33" t="inlineStr">
        <is>
          <t>https://www.swimcloud.com/results/211751/event/31/?id=48594911#time48594911</t>
        </is>
      </c>
      <c r="AC839" s="33" t="inlineStr">
        <is>
          <t>SwimCloud API v6 2026-10-08</t>
        </is>
      </c>
      <c r="AD839" s="33" t="inlineStr">
        <is>
          <t>Egor Kornev|2021-11-27|SCM|100|Fly|58.2|Reserve of Russia|PRE|False</t>
        </is>
      </c>
      <c r="AE839" s="53">
        <f>G839+L839/1000+ROW()/1000000000</f>
        <v/>
      </c>
      <c r="AF839" s="35">
        <f>IF(C839&lt;&gt;"Grayson Coulter","",COUNTIFS($C$5:$C$2991,"Grayson Coulter",$Q$5:$Q$2991,Q839,$AE$5:$AE$2991,"&lt;="&amp;AE839,$R$5:$R$2991,"&lt;"&amp;R839))</f>
        <v/>
      </c>
      <c r="AG839" s="35">
        <f>IF(OR(C839&lt;&gt;"Grayson Coulter",G839&lt;'00_Control'!$B$7),"",--(AF839&lt;5))</f>
        <v/>
      </c>
      <c r="AH839" s="35">
        <f>IF(OR(C839&lt;&gt;"Grayson Coulter",G839&lt;'00_Control'!$B$7),"",--(AF839&lt;10))</f>
        <v/>
      </c>
      <c r="AI839" s="35">
        <f>IF(AND(C839="Grayson Coulter",G839&gt;='00_Control'!$B$7),"YES","NO")</f>
        <v/>
      </c>
      <c r="AJ839" s="33" t="inlineStr">
        <is>
          <t>OK</t>
        </is>
      </c>
    </row>
    <row r="840">
      <c r="A840" s="33" t="inlineStr">
        <is>
          <t>SM000836</t>
        </is>
      </c>
      <c r="B840" s="33" t="inlineStr">
        <is>
          <t>SW017</t>
        </is>
      </c>
      <c r="C840" s="33" t="inlineStr">
        <is>
          <t>Egor Kornev</t>
        </is>
      </c>
      <c r="D840" s="33" t="inlineStr">
        <is>
          <t>SwimCloud</t>
        </is>
      </c>
      <c r="E840" s="33" t="inlineStr">
        <is>
          <t>1139582</t>
        </is>
      </c>
      <c r="F840" s="33" t="inlineStr">
        <is>
          <t>51738982</t>
        </is>
      </c>
      <c r="G840" s="51" t="n">
        <v>44557</v>
      </c>
      <c r="H840" s="33" t="inlineStr">
        <is>
          <t>Vladimir Salnikov Cup</t>
        </is>
      </c>
      <c r="I840" s="33" t="inlineStr">
        <is>
          <t>211300</t>
        </is>
      </c>
      <c r="J840" s="33" t="inlineStr"/>
      <c r="K840" s="33" t="inlineStr">
        <is>
          <t>PRE</t>
        </is>
      </c>
      <c r="L840" s="35">
        <f>IF(K840="FIN",3,IF(OR(K840="SEM",K840="SEMI"),2,IF(OR(K840="PRE",K840="HEAT"),1,IF(V840="YES",4,2))))</f>
        <v/>
      </c>
      <c r="M840" s="33" t="inlineStr">
        <is>
          <t>SCM</t>
        </is>
      </c>
      <c r="N840" s="33" t="n">
        <v>100</v>
      </c>
      <c r="O840" s="33" t="inlineStr">
        <is>
          <t>Free</t>
        </is>
      </c>
      <c r="P840" s="33" t="inlineStr">
        <is>
          <t>100 Free</t>
        </is>
      </c>
      <c r="Q840" s="33" t="inlineStr">
        <is>
          <t>SCM_100_FREE</t>
        </is>
      </c>
      <c r="R840" s="36" t="n">
        <v>48.56</v>
      </c>
      <c r="S840" s="35">
        <f>IF(R840="","",IF(R840&gt;=60,INT(R840/60)&amp;":"&amp;TEXT(MOD(R840,60),"00.00"),TEXT(R840,"0.00")))</f>
        <v/>
      </c>
      <c r="T840" s="52">
        <f>IFERROR((G840-INDEX('01_Swimmers'!$E$5:$E$22,MATCH(B840,'01_Swimmers'!$A$5:$A$22,0)))/'00_Control'!$B$10,"")</f>
        <v/>
      </c>
      <c r="U840" s="35">
        <f>IF(T840="","",INT(T840))</f>
        <v/>
      </c>
      <c r="V840" s="33" t="inlineStr">
        <is>
          <t>NO</t>
        </is>
      </c>
      <c r="W840" s="33" t="inlineStr">
        <is>
          <t>YES</t>
        </is>
      </c>
      <c r="X840" s="33" t="inlineStr">
        <is>
          <t>NO</t>
        </is>
      </c>
      <c r="Y840" s="33" t="n">
        <v>4</v>
      </c>
      <c r="Z840" s="33" t="n">
        <v>3</v>
      </c>
      <c r="AA840" s="33" t="inlineStr">
        <is>
          <t>4</t>
        </is>
      </c>
      <c r="AB840" s="33" t="inlineStr">
        <is>
          <t>https://www.swimcloud.com/results/211300/event/3/?id=51738982#time51738982</t>
        </is>
      </c>
      <c r="AC840" s="33" t="inlineStr">
        <is>
          <t>SwimCloud API v6 2026-10-08</t>
        </is>
      </c>
      <c r="AD840" s="33" t="inlineStr">
        <is>
          <t>Egor Kornev|2021-12-27|SCM|100|Free|48.56|Vladimir Salnikov Cup|PRE|False</t>
        </is>
      </c>
      <c r="AE840" s="53">
        <f>G840+L840/1000+ROW()/1000000000</f>
        <v/>
      </c>
      <c r="AF840" s="35">
        <f>IF(C840&lt;&gt;"Grayson Coulter","",COUNTIFS($C$5:$C$2991,"Grayson Coulter",$Q$5:$Q$2991,Q840,$AE$5:$AE$2991,"&lt;="&amp;AE840,$R$5:$R$2991,"&lt;"&amp;R840))</f>
        <v/>
      </c>
      <c r="AG840" s="35">
        <f>IF(OR(C840&lt;&gt;"Grayson Coulter",G840&lt;'00_Control'!$B$7),"",--(AF840&lt;5))</f>
        <v/>
      </c>
      <c r="AH840" s="35">
        <f>IF(OR(C840&lt;&gt;"Grayson Coulter",G840&lt;'00_Control'!$B$7),"",--(AF840&lt;10))</f>
        <v/>
      </c>
      <c r="AI840" s="35">
        <f>IF(AND(C840="Grayson Coulter",G840&gt;='00_Control'!$B$7),"YES","NO")</f>
        <v/>
      </c>
      <c r="AJ840" s="33" t="inlineStr">
        <is>
          <t>OK</t>
        </is>
      </c>
    </row>
    <row r="841">
      <c r="A841" s="33" t="inlineStr">
        <is>
          <t>SM000837</t>
        </is>
      </c>
      <c r="B841" s="33" t="inlineStr">
        <is>
          <t>SW017</t>
        </is>
      </c>
      <c r="C841" s="33" t="inlineStr">
        <is>
          <t>Egor Kornev</t>
        </is>
      </c>
      <c r="D841" s="33" t="inlineStr">
        <is>
          <t>SwimCloud</t>
        </is>
      </c>
      <c r="E841" s="33" t="inlineStr">
        <is>
          <t>1139582</t>
        </is>
      </c>
      <c r="F841" s="33" t="inlineStr">
        <is>
          <t>51738986</t>
        </is>
      </c>
      <c r="G841" s="51" t="n">
        <v>44557</v>
      </c>
      <c r="H841" s="33" t="inlineStr">
        <is>
          <t>Vladimir Salnikov Cup</t>
        </is>
      </c>
      <c r="I841" s="33" t="inlineStr">
        <is>
          <t>211300</t>
        </is>
      </c>
      <c r="J841" s="33" t="inlineStr"/>
      <c r="K841" s="33" t="inlineStr">
        <is>
          <t>FIN</t>
        </is>
      </c>
      <c r="L841" s="35">
        <f>IF(K841="FIN",3,IF(OR(K841="SEM",K841="SEMI"),2,IF(OR(K841="PRE",K841="HEAT"),1,IF(V841="YES",4,2))))</f>
        <v/>
      </c>
      <c r="M841" s="33" t="inlineStr">
        <is>
          <t>SCM</t>
        </is>
      </c>
      <c r="N841" s="33" t="n">
        <v>100</v>
      </c>
      <c r="O841" s="33" t="inlineStr">
        <is>
          <t>Free</t>
        </is>
      </c>
      <c r="P841" s="33" t="inlineStr">
        <is>
          <t>100 Free</t>
        </is>
      </c>
      <c r="Q841" s="33" t="inlineStr">
        <is>
          <t>SCM_100_FREE</t>
        </is>
      </c>
      <c r="R841" s="36" t="n">
        <v>48.56</v>
      </c>
      <c r="S841" s="35">
        <f>IF(R841="","",IF(R841&gt;=60,INT(R841/60)&amp;":"&amp;TEXT(MOD(R841,60),"00.00"),TEXT(R841,"0.00")))</f>
        <v/>
      </c>
      <c r="T841" s="52">
        <f>IFERROR((G841-INDEX('01_Swimmers'!$E$5:$E$22,MATCH(B841,'01_Swimmers'!$A$5:$A$22,0)))/'00_Control'!$B$10,"")</f>
        <v/>
      </c>
      <c r="U841" s="35">
        <f>IF(T841="","",INT(T841))</f>
        <v/>
      </c>
      <c r="V841" s="33" t="inlineStr">
        <is>
          <t>NO</t>
        </is>
      </c>
      <c r="W841" s="33" t="inlineStr">
        <is>
          <t>YES</t>
        </is>
      </c>
      <c r="X841" s="33" t="inlineStr">
        <is>
          <t>NO</t>
        </is>
      </c>
      <c r="Y841" s="33" t="n">
        <v>1</v>
      </c>
      <c r="Z841" s="33" t="n">
        <v>6</v>
      </c>
      <c r="AA841" s="33" t="inlineStr">
        <is>
          <t>6</t>
        </is>
      </c>
      <c r="AB841" s="33" t="inlineStr">
        <is>
          <t>https://www.swimcloud.com/results/211300/event/3/?id=51738986#time51738986</t>
        </is>
      </c>
      <c r="AC841" s="33" t="inlineStr">
        <is>
          <t>SwimCloud API v6 2026-10-08</t>
        </is>
      </c>
      <c r="AD841" s="33" t="inlineStr">
        <is>
          <t>Egor Kornev|2021-12-27|SCM|100|Free|48.56|Vladimir Salnikov Cup|FIN|False</t>
        </is>
      </c>
      <c r="AE841" s="53">
        <f>G841+L841/1000+ROW()/1000000000</f>
        <v/>
      </c>
      <c r="AF841" s="35">
        <f>IF(C841&lt;&gt;"Grayson Coulter","",COUNTIFS($C$5:$C$2991,"Grayson Coulter",$Q$5:$Q$2991,Q841,$AE$5:$AE$2991,"&lt;="&amp;AE841,$R$5:$R$2991,"&lt;"&amp;R841))</f>
        <v/>
      </c>
      <c r="AG841" s="35">
        <f>IF(OR(C841&lt;&gt;"Grayson Coulter",G841&lt;'00_Control'!$B$7),"",--(AF841&lt;5))</f>
        <v/>
      </c>
      <c r="AH841" s="35">
        <f>IF(OR(C841&lt;&gt;"Grayson Coulter",G841&lt;'00_Control'!$B$7),"",--(AF841&lt;10))</f>
        <v/>
      </c>
      <c r="AI841" s="35">
        <f>IF(AND(C841="Grayson Coulter",G841&gt;='00_Control'!$B$7),"YES","NO")</f>
        <v/>
      </c>
      <c r="AJ841" s="33" t="inlineStr">
        <is>
          <t>OK</t>
        </is>
      </c>
    </row>
    <row r="842">
      <c r="A842" s="33" t="inlineStr">
        <is>
          <t>SM000838</t>
        </is>
      </c>
      <c r="B842" s="33" t="inlineStr">
        <is>
          <t>SW017</t>
        </is>
      </c>
      <c r="C842" s="33" t="inlineStr">
        <is>
          <t>Egor Kornev</t>
        </is>
      </c>
      <c r="D842" s="33" t="inlineStr">
        <is>
          <t>SwimCloud</t>
        </is>
      </c>
      <c r="E842" s="33" t="inlineStr">
        <is>
          <t>1139582</t>
        </is>
      </c>
      <c r="F842" s="33" t="inlineStr">
        <is>
          <t>51739123</t>
        </is>
      </c>
      <c r="G842" s="51" t="n">
        <v>44557</v>
      </c>
      <c r="H842" s="33" t="inlineStr">
        <is>
          <t>Vladimir Salnikov Cup</t>
        </is>
      </c>
      <c r="I842" s="33" t="inlineStr">
        <is>
          <t>211300</t>
        </is>
      </c>
      <c r="J842" s="33" t="inlineStr"/>
      <c r="K842" s="33" t="inlineStr">
        <is>
          <t>TIM</t>
        </is>
      </c>
      <c r="L842" s="35">
        <f>IF(K842="FIN",3,IF(OR(K842="SEM",K842="SEMI"),2,IF(OR(K842="PRE",K842="HEAT"),1,IF(V842="YES",4,2))))</f>
        <v/>
      </c>
      <c r="M842" s="33" t="inlineStr">
        <is>
          <t>SCM</t>
        </is>
      </c>
      <c r="N842" s="33" t="n">
        <v>100</v>
      </c>
      <c r="O842" s="33" t="inlineStr">
        <is>
          <t>Free</t>
        </is>
      </c>
      <c r="P842" s="33" t="inlineStr">
        <is>
          <t>100 Free</t>
        </is>
      </c>
      <c r="Q842" s="33" t="inlineStr">
        <is>
          <t>SCM_100_FREE</t>
        </is>
      </c>
      <c r="R842" s="36" t="n">
        <v>49.19</v>
      </c>
      <c r="S842" s="35">
        <f>IF(R842="","",IF(R842&gt;=60,INT(R842/60)&amp;":"&amp;TEXT(MOD(R842,60),"00.00"),TEXT(R842,"0.00")))</f>
        <v/>
      </c>
      <c r="T842" s="52">
        <f>IFERROR((G842-INDEX('01_Swimmers'!$E$5:$E$22,MATCH(B842,'01_Swimmers'!$A$5:$A$22,0)))/'00_Control'!$B$10,"")</f>
        <v/>
      </c>
      <c r="U842" s="35">
        <f>IF(T842="","",INT(T842))</f>
        <v/>
      </c>
      <c r="V842" s="33" t="inlineStr">
        <is>
          <t>YES</t>
        </is>
      </c>
      <c r="W842" s="33" t="inlineStr">
        <is>
          <t>YES</t>
        </is>
      </c>
      <c r="X842" s="33" t="inlineStr">
        <is>
          <t>NO</t>
        </is>
      </c>
      <c r="Y842" s="33" t="n">
        <v>1</v>
      </c>
      <c r="Z842" s="33" t="n">
        <v>7</v>
      </c>
      <c r="AA842" s="33" t="inlineStr"/>
      <c r="AB842" s="33" t="inlineStr">
        <is>
          <t>https://www.swimcloud.com/results/211300/event/118/?id=51739070#time51739070</t>
        </is>
      </c>
      <c r="AC842" s="33" t="inlineStr">
        <is>
          <t>SwimCloud API v6 2026-10-08</t>
        </is>
      </c>
      <c r="AD842" s="33" t="inlineStr">
        <is>
          <t>Egor Kornev|2021-12-27|SCM|100|Free|49.19|Vladimir Salnikov Cup|TIM|True</t>
        </is>
      </c>
      <c r="AE842" s="53">
        <f>G842+L842/1000+ROW()/1000000000</f>
        <v/>
      </c>
      <c r="AF842" s="35">
        <f>IF(C842&lt;&gt;"Grayson Coulter","",COUNTIFS($C$5:$C$2991,"Grayson Coulter",$Q$5:$Q$2991,Q842,$AE$5:$AE$2991,"&lt;="&amp;AE842,$R$5:$R$2991,"&lt;"&amp;R842))</f>
        <v/>
      </c>
      <c r="AG842" s="35">
        <f>IF(OR(C842&lt;&gt;"Grayson Coulter",G842&lt;'00_Control'!$B$7),"",--(AF842&lt;5))</f>
        <v/>
      </c>
      <c r="AH842" s="35">
        <f>IF(OR(C842&lt;&gt;"Grayson Coulter",G842&lt;'00_Control'!$B$7),"",--(AF842&lt;10))</f>
        <v/>
      </c>
      <c r="AI842" s="35">
        <f>IF(AND(C842="Grayson Coulter",G842&gt;='00_Control'!$B$7),"YES","NO")</f>
        <v/>
      </c>
      <c r="AJ842" s="33" t="inlineStr">
        <is>
          <t>OK</t>
        </is>
      </c>
    </row>
    <row r="843">
      <c r="A843" s="33" t="inlineStr">
        <is>
          <t>SM000839</t>
        </is>
      </c>
      <c r="B843" s="33" t="inlineStr">
        <is>
          <t>SW017</t>
        </is>
      </c>
      <c r="C843" s="33" t="inlineStr">
        <is>
          <t>Egor Kornev</t>
        </is>
      </c>
      <c r="D843" s="33" t="inlineStr">
        <is>
          <t>SwimCloud</t>
        </is>
      </c>
      <c r="E843" s="33" t="inlineStr">
        <is>
          <t>1139582</t>
        </is>
      </c>
      <c r="F843" s="33" t="inlineStr">
        <is>
          <t>64389565</t>
        </is>
      </c>
      <c r="G843" s="51" t="n">
        <v>44679</v>
      </c>
      <c r="H843" s="33" t="inlineStr">
        <is>
          <t>Russian Championship</t>
        </is>
      </c>
      <c r="I843" s="33" t="inlineStr">
        <is>
          <t>230253</t>
        </is>
      </c>
      <c r="J843" s="33" t="inlineStr"/>
      <c r="K843" s="33" t="inlineStr">
        <is>
          <t>PRE</t>
        </is>
      </c>
      <c r="L843" s="35">
        <f>IF(K843="FIN",3,IF(OR(K843="SEM",K843="SEMI"),2,IF(OR(K843="PRE",K843="HEAT"),1,IF(V843="YES",4,2))))</f>
        <v/>
      </c>
      <c r="M843" s="33" t="inlineStr">
        <is>
          <t>LCM</t>
        </is>
      </c>
      <c r="N843" s="33" t="n">
        <v>100</v>
      </c>
      <c r="O843" s="33" t="inlineStr">
        <is>
          <t>Free</t>
        </is>
      </c>
      <c r="P843" s="33" t="inlineStr">
        <is>
          <t>100 Free</t>
        </is>
      </c>
      <c r="Q843" s="33" t="inlineStr">
        <is>
          <t>LCM_100_FREE</t>
        </is>
      </c>
      <c r="R843" s="36" t="n">
        <v>50.32</v>
      </c>
      <c r="S843" s="35">
        <f>IF(R843="","",IF(R843&gt;=60,INT(R843/60)&amp;":"&amp;TEXT(MOD(R843,60),"00.00"),TEXT(R843,"0.00")))</f>
        <v/>
      </c>
      <c r="T843" s="52">
        <f>IFERROR((G843-INDEX('01_Swimmers'!$E$5:$E$22,MATCH(B843,'01_Swimmers'!$A$5:$A$22,0)))/'00_Control'!$B$10,"")</f>
        <v/>
      </c>
      <c r="U843" s="35">
        <f>IF(T843="","",INT(T843))</f>
        <v/>
      </c>
      <c r="V843" s="33" t="inlineStr">
        <is>
          <t>NO</t>
        </is>
      </c>
      <c r="W843" s="33" t="inlineStr">
        <is>
          <t>YES</t>
        </is>
      </c>
      <c r="X843" s="33" t="inlineStr">
        <is>
          <t>NO</t>
        </is>
      </c>
      <c r="Y843" s="33" t="n">
        <v>12</v>
      </c>
      <c r="Z843" s="33" t="n">
        <v>7</v>
      </c>
      <c r="AA843" s="33" t="inlineStr">
        <is>
          <t>19</t>
        </is>
      </c>
      <c r="AB843" s="33" t="inlineStr">
        <is>
          <t>https://www.swimcloud.com/results/230253/event/29/?id=64389565#time64389565</t>
        </is>
      </c>
      <c r="AC843" s="33" t="inlineStr">
        <is>
          <t>SwimCloud API v6 2026-10-08</t>
        </is>
      </c>
      <c r="AD843" s="33" t="inlineStr">
        <is>
          <t>Egor Kornev|2022-04-28|LCM|100|Free|50.32|Russian Championship|PRE|False</t>
        </is>
      </c>
      <c r="AE843" s="53">
        <f>G843+L843/1000+ROW()/1000000000</f>
        <v/>
      </c>
      <c r="AF843" s="35">
        <f>IF(C843&lt;&gt;"Grayson Coulter","",COUNTIFS($C$5:$C$2991,"Grayson Coulter",$Q$5:$Q$2991,Q843,$AE$5:$AE$2991,"&lt;="&amp;AE843,$R$5:$R$2991,"&lt;"&amp;R843))</f>
        <v/>
      </c>
      <c r="AG843" s="35">
        <f>IF(OR(C843&lt;&gt;"Grayson Coulter",G843&lt;'00_Control'!$B$7),"",--(AF843&lt;5))</f>
        <v/>
      </c>
      <c r="AH843" s="35">
        <f>IF(OR(C843&lt;&gt;"Grayson Coulter",G843&lt;'00_Control'!$B$7),"",--(AF843&lt;10))</f>
        <v/>
      </c>
      <c r="AI843" s="35">
        <f>IF(AND(C843="Grayson Coulter",G843&gt;='00_Control'!$B$7),"YES","NO")</f>
        <v/>
      </c>
      <c r="AJ843" s="33" t="inlineStr">
        <is>
          <t>OK</t>
        </is>
      </c>
    </row>
    <row r="844">
      <c r="A844" s="33" t="inlineStr">
        <is>
          <t>SM000840</t>
        </is>
      </c>
      <c r="B844" s="33" t="inlineStr">
        <is>
          <t>SW017</t>
        </is>
      </c>
      <c r="C844" s="33" t="inlineStr">
        <is>
          <t>Egor Kornev</t>
        </is>
      </c>
      <c r="D844" s="33" t="inlineStr">
        <is>
          <t>SwimCloud</t>
        </is>
      </c>
      <c r="E844" s="33" t="inlineStr">
        <is>
          <t>1139582</t>
        </is>
      </c>
      <c r="F844" s="33" t="inlineStr">
        <is>
          <t>64389571</t>
        </is>
      </c>
      <c r="G844" s="51" t="n">
        <v>44680</v>
      </c>
      <c r="H844" s="33" t="inlineStr">
        <is>
          <t>Russian Championship</t>
        </is>
      </c>
      <c r="I844" s="33" t="inlineStr">
        <is>
          <t>230253</t>
        </is>
      </c>
      <c r="J844" s="33" t="inlineStr"/>
      <c r="K844" s="33" t="inlineStr">
        <is>
          <t>FIN</t>
        </is>
      </c>
      <c r="L844" s="35">
        <f>IF(K844="FIN",3,IF(OR(K844="SEM",K844="SEMI"),2,IF(OR(K844="PRE",K844="HEAT"),1,IF(V844="YES",4,2))))</f>
        <v/>
      </c>
      <c r="M844" s="33" t="inlineStr">
        <is>
          <t>LCM</t>
        </is>
      </c>
      <c r="N844" s="33" t="n">
        <v>100</v>
      </c>
      <c r="O844" s="33" t="inlineStr">
        <is>
          <t>Free</t>
        </is>
      </c>
      <c r="P844" s="33" t="inlineStr">
        <is>
          <t>100 Free</t>
        </is>
      </c>
      <c r="Q844" s="33" t="inlineStr">
        <is>
          <t>LCM_100_FREE</t>
        </is>
      </c>
      <c r="R844" s="36" t="n">
        <v>49.91</v>
      </c>
      <c r="S844" s="35">
        <f>IF(R844="","",IF(R844&gt;=60,INT(R844/60)&amp;":"&amp;TEXT(MOD(R844,60),"00.00"),TEXT(R844,"0.00")))</f>
        <v/>
      </c>
      <c r="T844" s="52">
        <f>IFERROR((G844-INDEX('01_Swimmers'!$E$5:$E$22,MATCH(B844,'01_Swimmers'!$A$5:$A$22,0)))/'00_Control'!$B$10,"")</f>
        <v/>
      </c>
      <c r="U844" s="35">
        <f>IF(T844="","",INT(T844))</f>
        <v/>
      </c>
      <c r="V844" s="33" t="inlineStr">
        <is>
          <t>NO</t>
        </is>
      </c>
      <c r="W844" s="33" t="inlineStr">
        <is>
          <t>YES</t>
        </is>
      </c>
      <c r="X844" s="33" t="inlineStr">
        <is>
          <t>NO</t>
        </is>
      </c>
      <c r="Y844" s="33" t="n">
        <v>2</v>
      </c>
      <c r="Z844" s="33" t="n">
        <v>4</v>
      </c>
      <c r="AA844" s="33" t="inlineStr">
        <is>
          <t>10</t>
        </is>
      </c>
      <c r="AB844" s="33" t="inlineStr">
        <is>
          <t>https://www.swimcloud.com/results/230253/event/29/?id=64389571#time64389571</t>
        </is>
      </c>
      <c r="AC844" s="33" t="inlineStr">
        <is>
          <t>SwimCloud API v6 2026-10-08</t>
        </is>
      </c>
      <c r="AD844" s="33" t="inlineStr">
        <is>
          <t>Egor Kornev|2022-04-29|LCM|100|Free|49.91|Russian Championship|FIN|False</t>
        </is>
      </c>
      <c r="AE844" s="53">
        <f>G844+L844/1000+ROW()/1000000000</f>
        <v/>
      </c>
      <c r="AF844" s="35">
        <f>IF(C844&lt;&gt;"Grayson Coulter","",COUNTIFS($C$5:$C$2991,"Grayson Coulter",$Q$5:$Q$2991,Q844,$AE$5:$AE$2991,"&lt;="&amp;AE844,$R$5:$R$2991,"&lt;"&amp;R844))</f>
        <v/>
      </c>
      <c r="AG844" s="35">
        <f>IF(OR(C844&lt;&gt;"Grayson Coulter",G844&lt;'00_Control'!$B$7),"",--(AF844&lt;5))</f>
        <v/>
      </c>
      <c r="AH844" s="35">
        <f>IF(OR(C844&lt;&gt;"Grayson Coulter",G844&lt;'00_Control'!$B$7),"",--(AF844&lt;10))</f>
        <v/>
      </c>
      <c r="AI844" s="35">
        <f>IF(AND(C844="Grayson Coulter",G844&gt;='00_Control'!$B$7),"YES","NO")</f>
        <v/>
      </c>
      <c r="AJ844" s="33" t="inlineStr">
        <is>
          <t>OK</t>
        </is>
      </c>
    </row>
    <row r="845">
      <c r="A845" s="33" t="inlineStr">
        <is>
          <t>SM000841</t>
        </is>
      </c>
      <c r="B845" s="33" t="inlineStr">
        <is>
          <t>SW017</t>
        </is>
      </c>
      <c r="C845" s="33" t="inlineStr">
        <is>
          <t>Egor Kornev</t>
        </is>
      </c>
      <c r="D845" s="33" t="inlineStr">
        <is>
          <t>SwimCloud</t>
        </is>
      </c>
      <c r="E845" s="33" t="inlineStr">
        <is>
          <t>1139582</t>
        </is>
      </c>
      <c r="F845" s="33" t="inlineStr">
        <is>
          <t>69901682</t>
        </is>
      </c>
      <c r="G845" s="51" t="n">
        <v>44764</v>
      </c>
      <c r="H845" s="33" t="inlineStr">
        <is>
          <t>Russian Cup</t>
        </is>
      </c>
      <c r="I845" s="33" t="inlineStr">
        <is>
          <t>235666</t>
        </is>
      </c>
      <c r="J845" s="33" t="inlineStr"/>
      <c r="K845" s="33" t="inlineStr">
        <is>
          <t>PRE</t>
        </is>
      </c>
      <c r="L845" s="35">
        <f>IF(K845="FIN",3,IF(OR(K845="SEM",K845="SEMI"),2,IF(OR(K845="PRE",K845="HEAT"),1,IF(V845="YES",4,2))))</f>
        <v/>
      </c>
      <c r="M845" s="33" t="inlineStr">
        <is>
          <t>LCM</t>
        </is>
      </c>
      <c r="N845" s="33" t="n">
        <v>100</v>
      </c>
      <c r="O845" s="33" t="inlineStr">
        <is>
          <t>Free</t>
        </is>
      </c>
      <c r="P845" s="33" t="inlineStr">
        <is>
          <t>100 Free</t>
        </is>
      </c>
      <c r="Q845" s="33" t="inlineStr">
        <is>
          <t>LCM_100_FREE</t>
        </is>
      </c>
      <c r="R845" s="36" t="n">
        <v>50.1</v>
      </c>
      <c r="S845" s="35">
        <f>IF(R845="","",IF(R845&gt;=60,INT(R845/60)&amp;":"&amp;TEXT(MOD(R845,60),"00.00"),TEXT(R845,"0.00")))</f>
        <v/>
      </c>
      <c r="T845" s="52">
        <f>IFERROR((G845-INDEX('01_Swimmers'!$E$5:$E$22,MATCH(B845,'01_Swimmers'!$A$5:$A$22,0)))/'00_Control'!$B$10,"")</f>
        <v/>
      </c>
      <c r="U845" s="35">
        <f>IF(T845="","",INT(T845))</f>
        <v/>
      </c>
      <c r="V845" s="33" t="inlineStr">
        <is>
          <t>NO</t>
        </is>
      </c>
      <c r="W845" s="33" t="inlineStr">
        <is>
          <t>YES</t>
        </is>
      </c>
      <c r="X845" s="33" t="inlineStr">
        <is>
          <t>NO</t>
        </is>
      </c>
      <c r="Y845" s="33" t="n">
        <v>21</v>
      </c>
      <c r="Z845" s="33" t="n">
        <v>1</v>
      </c>
      <c r="AA845" s="33" t="inlineStr">
        <is>
          <t>13,2</t>
        </is>
      </c>
      <c r="AB845" s="33" t="inlineStr">
        <is>
          <t>https://www.swimcloud.com/results/235666/event/11/?id=69901682#time69901682</t>
        </is>
      </c>
      <c r="AC845" s="33" t="inlineStr">
        <is>
          <t>SwimCloud API v6 2026-10-08</t>
        </is>
      </c>
      <c r="AD845" s="33" t="inlineStr">
        <is>
          <t>Egor Kornev|2022-07-22|LCM|100|Free|50.1|Russian Cup|PRE|False</t>
        </is>
      </c>
      <c r="AE845" s="53">
        <f>G845+L845/1000+ROW()/1000000000</f>
        <v/>
      </c>
      <c r="AF845" s="35">
        <f>IF(C845&lt;&gt;"Grayson Coulter","",COUNTIFS($C$5:$C$2991,"Grayson Coulter",$Q$5:$Q$2991,Q845,$AE$5:$AE$2991,"&lt;="&amp;AE845,$R$5:$R$2991,"&lt;"&amp;R845))</f>
        <v/>
      </c>
      <c r="AG845" s="35">
        <f>IF(OR(C845&lt;&gt;"Grayson Coulter",G845&lt;'00_Control'!$B$7),"",--(AF845&lt;5))</f>
        <v/>
      </c>
      <c r="AH845" s="35">
        <f>IF(OR(C845&lt;&gt;"Grayson Coulter",G845&lt;'00_Control'!$B$7),"",--(AF845&lt;10))</f>
        <v/>
      </c>
      <c r="AI845" s="35">
        <f>IF(AND(C845="Grayson Coulter",G845&gt;='00_Control'!$B$7),"YES","NO")</f>
        <v/>
      </c>
      <c r="AJ845" s="33" t="inlineStr">
        <is>
          <t>OK</t>
        </is>
      </c>
    </row>
    <row r="846">
      <c r="A846" s="33" t="inlineStr">
        <is>
          <t>SM000842</t>
        </is>
      </c>
      <c r="B846" s="33" t="inlineStr">
        <is>
          <t>SW017</t>
        </is>
      </c>
      <c r="C846" s="33" t="inlineStr">
        <is>
          <t>Egor Kornev</t>
        </is>
      </c>
      <c r="D846" s="33" t="inlineStr">
        <is>
          <t>SwimCloud</t>
        </is>
      </c>
      <c r="E846" s="33" t="inlineStr">
        <is>
          <t>1139582</t>
        </is>
      </c>
      <c r="F846" s="33" t="inlineStr">
        <is>
          <t>69901686</t>
        </is>
      </c>
      <c r="G846" s="51" t="n">
        <v>44764</v>
      </c>
      <c r="H846" s="33" t="inlineStr">
        <is>
          <t>Russian Cup</t>
        </is>
      </c>
      <c r="I846" s="33" t="inlineStr">
        <is>
          <t>235666</t>
        </is>
      </c>
      <c r="J846" s="33" t="inlineStr"/>
      <c r="K846" s="33" t="inlineStr">
        <is>
          <t>FIN</t>
        </is>
      </c>
      <c r="L846" s="35">
        <f>IF(K846="FIN",3,IF(OR(K846="SEM",K846="SEMI"),2,IF(OR(K846="PRE",K846="HEAT"),1,IF(V846="YES",4,2))))</f>
        <v/>
      </c>
      <c r="M846" s="33" t="inlineStr">
        <is>
          <t>LCM</t>
        </is>
      </c>
      <c r="N846" s="33" t="n">
        <v>100</v>
      </c>
      <c r="O846" s="33" t="inlineStr">
        <is>
          <t>Free</t>
        </is>
      </c>
      <c r="P846" s="33" t="inlineStr">
        <is>
          <t>100 Free</t>
        </is>
      </c>
      <c r="Q846" s="33" t="inlineStr">
        <is>
          <t>LCM_100_FREE</t>
        </is>
      </c>
      <c r="R846" s="36" t="n">
        <v>49.87</v>
      </c>
      <c r="S846" s="35">
        <f>IF(R846="","",IF(R846&gt;=60,INT(R846/60)&amp;":"&amp;TEXT(MOD(R846,60),"00.00"),TEXT(R846,"0.00")))</f>
        <v/>
      </c>
      <c r="T846" s="52">
        <f>IFERROR((G846-INDEX('01_Swimmers'!$E$5:$E$22,MATCH(B846,'01_Swimmers'!$A$5:$A$22,0)))/'00_Control'!$B$10,"")</f>
        <v/>
      </c>
      <c r="U846" s="35">
        <f>IF(T846="","",INT(T846))</f>
        <v/>
      </c>
      <c r="V846" s="33" t="inlineStr">
        <is>
          <t>NO</t>
        </is>
      </c>
      <c r="W846" s="33" t="inlineStr">
        <is>
          <t>YES</t>
        </is>
      </c>
      <c r="X846" s="33" t="inlineStr">
        <is>
          <t>NO</t>
        </is>
      </c>
      <c r="Y846" s="33" t="n">
        <v>2</v>
      </c>
      <c r="Z846" s="33" t="n">
        <v>5</v>
      </c>
      <c r="AA846" s="33" t="inlineStr">
        <is>
          <t>4</t>
        </is>
      </c>
      <c r="AB846" s="33" t="inlineStr">
        <is>
          <t>https://www.swimcloud.com/results/235666/event/11/?id=69901686#time69901686</t>
        </is>
      </c>
      <c r="AC846" s="33" t="inlineStr">
        <is>
          <t>SwimCloud API v6 2026-10-08</t>
        </is>
      </c>
      <c r="AD846" s="33" t="inlineStr">
        <is>
          <t>Egor Kornev|2022-07-22|LCM|100|Free|49.87|Russian Cup|FIN|False</t>
        </is>
      </c>
      <c r="AE846" s="53">
        <f>G846+L846/1000+ROW()/1000000000</f>
        <v/>
      </c>
      <c r="AF846" s="35">
        <f>IF(C846&lt;&gt;"Grayson Coulter","",COUNTIFS($C$5:$C$2991,"Grayson Coulter",$Q$5:$Q$2991,Q846,$AE$5:$AE$2991,"&lt;="&amp;AE846,$R$5:$R$2991,"&lt;"&amp;R846))</f>
        <v/>
      </c>
      <c r="AG846" s="35">
        <f>IF(OR(C846&lt;&gt;"Grayson Coulter",G846&lt;'00_Control'!$B$7),"",--(AF846&lt;5))</f>
        <v/>
      </c>
      <c r="AH846" s="35">
        <f>IF(OR(C846&lt;&gt;"Grayson Coulter",G846&lt;'00_Control'!$B$7),"",--(AF846&lt;10))</f>
        <v/>
      </c>
      <c r="AI846" s="35">
        <f>IF(AND(C846="Grayson Coulter",G846&gt;='00_Control'!$B$7),"YES","NO")</f>
        <v/>
      </c>
      <c r="AJ846" s="33" t="inlineStr">
        <is>
          <t>OK</t>
        </is>
      </c>
    </row>
    <row r="847">
      <c r="A847" s="33" t="inlineStr">
        <is>
          <t>SM000843</t>
        </is>
      </c>
      <c r="B847" s="33" t="inlineStr">
        <is>
          <t>SW017</t>
        </is>
      </c>
      <c r="C847" s="33" t="inlineStr">
        <is>
          <t>Egor Kornev</t>
        </is>
      </c>
      <c r="D847" s="33" t="inlineStr">
        <is>
          <t>SwimCloud</t>
        </is>
      </c>
      <c r="E847" s="33" t="inlineStr">
        <is>
          <t>1139582</t>
        </is>
      </c>
      <c r="F847" s="33" t="inlineStr">
        <is>
          <t>69903042</t>
        </is>
      </c>
      <c r="G847" s="51" t="n">
        <v>44765</v>
      </c>
      <c r="H847" s="33" t="inlineStr">
        <is>
          <t>Russian Cup</t>
        </is>
      </c>
      <c r="I847" s="33" t="inlineStr">
        <is>
          <t>235666</t>
        </is>
      </c>
      <c r="J847" s="33" t="inlineStr"/>
      <c r="K847" s="33" t="inlineStr">
        <is>
          <t>PRE</t>
        </is>
      </c>
      <c r="L847" s="35">
        <f>IF(K847="FIN",3,IF(OR(K847="SEM",K847="SEMI"),2,IF(OR(K847="PRE",K847="HEAT"),1,IF(V847="YES",4,2))))</f>
        <v/>
      </c>
      <c r="M847" s="33" t="inlineStr">
        <is>
          <t>LCM</t>
        </is>
      </c>
      <c r="N847" s="33" t="n">
        <v>200</v>
      </c>
      <c r="O847" s="33" t="inlineStr">
        <is>
          <t>Free</t>
        </is>
      </c>
      <c r="P847" s="33" t="inlineStr">
        <is>
          <t>200 Free</t>
        </is>
      </c>
      <c r="Q847" s="33" t="inlineStr">
        <is>
          <t>LCM_200_FREE</t>
        </is>
      </c>
      <c r="R847" s="36" t="n">
        <v>113.52</v>
      </c>
      <c r="S847" s="35">
        <f>IF(R847="","",IF(R847&gt;=60,INT(R847/60)&amp;":"&amp;TEXT(MOD(R847,60),"00.00"),TEXT(R847,"0.00")))</f>
        <v/>
      </c>
      <c r="T847" s="52">
        <f>IFERROR((G847-INDEX('01_Swimmers'!$E$5:$E$22,MATCH(B847,'01_Swimmers'!$A$5:$A$22,0)))/'00_Control'!$B$10,"")</f>
        <v/>
      </c>
      <c r="U847" s="35">
        <f>IF(T847="","",INT(T847))</f>
        <v/>
      </c>
      <c r="V847" s="33" t="inlineStr">
        <is>
          <t>YES</t>
        </is>
      </c>
      <c r="W847" s="33" t="inlineStr">
        <is>
          <t>YES</t>
        </is>
      </c>
      <c r="X847" s="33" t="inlineStr">
        <is>
          <t>NO</t>
        </is>
      </c>
      <c r="Y847" s="33" t="n">
        <v>2</v>
      </c>
      <c r="Z847" s="33" t="n">
        <v>1</v>
      </c>
      <c r="AA847" s="33" t="inlineStr"/>
      <c r="AB847" s="33" t="inlineStr">
        <is>
          <t>https://www.swimcloud.com/results/235666/event/23/?id=69901815#time69901815</t>
        </is>
      </c>
      <c r="AC847" s="33" t="inlineStr">
        <is>
          <t>SwimCloud API v6 2026-10-08</t>
        </is>
      </c>
      <c r="AD847" s="33" t="inlineStr">
        <is>
          <t>Egor Kornev|2022-07-23|LCM|200|Free|113.52|Russian Cup|PRE|True</t>
        </is>
      </c>
      <c r="AE847" s="53">
        <f>G847+L847/1000+ROW()/1000000000</f>
        <v/>
      </c>
      <c r="AF847" s="35">
        <f>IF(C847&lt;&gt;"Grayson Coulter","",COUNTIFS($C$5:$C$2991,"Grayson Coulter",$Q$5:$Q$2991,Q847,$AE$5:$AE$2991,"&lt;="&amp;AE847,$R$5:$R$2991,"&lt;"&amp;R847))</f>
        <v/>
      </c>
      <c r="AG847" s="35">
        <f>IF(OR(C847&lt;&gt;"Grayson Coulter",G847&lt;'00_Control'!$B$7),"",--(AF847&lt;5))</f>
        <v/>
      </c>
      <c r="AH847" s="35">
        <f>IF(OR(C847&lt;&gt;"Grayson Coulter",G847&lt;'00_Control'!$B$7),"",--(AF847&lt;10))</f>
        <v/>
      </c>
      <c r="AI847" s="35">
        <f>IF(AND(C847="Grayson Coulter",G847&gt;='00_Control'!$B$7),"YES","NO")</f>
        <v/>
      </c>
      <c r="AJ847" s="33" t="inlineStr">
        <is>
          <t>OK</t>
        </is>
      </c>
    </row>
    <row r="848">
      <c r="A848" s="33" t="inlineStr">
        <is>
          <t>SM000844</t>
        </is>
      </c>
      <c r="B848" s="33" t="inlineStr">
        <is>
          <t>SW017</t>
        </is>
      </c>
      <c r="C848" s="33" t="inlineStr">
        <is>
          <t>Egor Kornev</t>
        </is>
      </c>
      <c r="D848" s="33" t="inlineStr">
        <is>
          <t>SwimCloud</t>
        </is>
      </c>
      <c r="E848" s="33" t="inlineStr">
        <is>
          <t>1139582</t>
        </is>
      </c>
      <c r="F848" s="33" t="inlineStr">
        <is>
          <t>69901683</t>
        </is>
      </c>
      <c r="G848" s="51" t="n">
        <v>44766</v>
      </c>
      <c r="H848" s="33" t="inlineStr">
        <is>
          <t>Russian Cup</t>
        </is>
      </c>
      <c r="I848" s="33" t="inlineStr">
        <is>
          <t>235666</t>
        </is>
      </c>
      <c r="J848" s="33" t="inlineStr"/>
      <c r="K848" s="33" t="inlineStr">
        <is>
          <t>PRE</t>
        </is>
      </c>
      <c r="L848" s="35">
        <f>IF(K848="FIN",3,IF(OR(K848="SEM",K848="SEMI"),2,IF(OR(K848="PRE",K848="HEAT"),1,IF(V848="YES",4,2))))</f>
        <v/>
      </c>
      <c r="M848" s="33" t="inlineStr">
        <is>
          <t>LCM</t>
        </is>
      </c>
      <c r="N848" s="33" t="n">
        <v>200</v>
      </c>
      <c r="O848" s="33" t="inlineStr">
        <is>
          <t>Free</t>
        </is>
      </c>
      <c r="P848" s="33" t="inlineStr">
        <is>
          <t>200 Free</t>
        </is>
      </c>
      <c r="Q848" s="33" t="inlineStr">
        <is>
          <t>LCM_200_FREE</t>
        </is>
      </c>
      <c r="R848" s="36" t="n">
        <v>112.31</v>
      </c>
      <c r="S848" s="35">
        <f>IF(R848="","",IF(R848&gt;=60,INT(R848/60)&amp;":"&amp;TEXT(MOD(R848,60),"00.00"),TEXT(R848,"0.00")))</f>
        <v/>
      </c>
      <c r="T848" s="52">
        <f>IFERROR((G848-INDEX('01_Swimmers'!$E$5:$E$22,MATCH(B848,'01_Swimmers'!$A$5:$A$22,0)))/'00_Control'!$B$10,"")</f>
        <v/>
      </c>
      <c r="U848" s="35">
        <f>IF(T848="","",INT(T848))</f>
        <v/>
      </c>
      <c r="V848" s="33" t="inlineStr">
        <is>
          <t>NO</t>
        </is>
      </c>
      <c r="W848" s="33" t="inlineStr">
        <is>
          <t>YES</t>
        </is>
      </c>
      <c r="X848" s="33" t="inlineStr">
        <is>
          <t>NO</t>
        </is>
      </c>
      <c r="Y848" s="33" t="n">
        <v>11</v>
      </c>
      <c r="Z848" s="33" t="n"/>
      <c r="AA848" s="33" t="inlineStr">
        <is>
          <t>18,4</t>
        </is>
      </c>
      <c r="AB848" s="33" t="inlineStr">
        <is>
          <t>https://www.swimcloud.com/results/235666/event/29/?id=69901683#time69901683</t>
        </is>
      </c>
      <c r="AC848" s="33" t="inlineStr">
        <is>
          <t>SwimCloud API v6 2026-10-08</t>
        </is>
      </c>
      <c r="AD848" s="33" t="inlineStr">
        <is>
          <t>Egor Kornev|2022-07-24|LCM|200|Free|112.31|Russian Cup|PRE|False</t>
        </is>
      </c>
      <c r="AE848" s="53">
        <f>G848+L848/1000+ROW()/1000000000</f>
        <v/>
      </c>
      <c r="AF848" s="35">
        <f>IF(C848&lt;&gt;"Grayson Coulter","",COUNTIFS($C$5:$C$2991,"Grayson Coulter",$Q$5:$Q$2991,Q848,$AE$5:$AE$2991,"&lt;="&amp;AE848,$R$5:$R$2991,"&lt;"&amp;R848))</f>
        <v/>
      </c>
      <c r="AG848" s="35">
        <f>IF(OR(C848&lt;&gt;"Grayson Coulter",G848&lt;'00_Control'!$B$7),"",--(AF848&lt;5))</f>
        <v/>
      </c>
      <c r="AH848" s="35">
        <f>IF(OR(C848&lt;&gt;"Grayson Coulter",G848&lt;'00_Control'!$B$7),"",--(AF848&lt;10))</f>
        <v/>
      </c>
      <c r="AI848" s="35">
        <f>IF(AND(C848="Grayson Coulter",G848&gt;='00_Control'!$B$7),"YES","NO")</f>
        <v/>
      </c>
      <c r="AJ848" s="33" t="inlineStr">
        <is>
          <t>OK</t>
        </is>
      </c>
    </row>
    <row r="849">
      <c r="A849" s="33" t="inlineStr">
        <is>
          <t>SM000845</t>
        </is>
      </c>
      <c r="B849" s="33" t="inlineStr">
        <is>
          <t>SW017</t>
        </is>
      </c>
      <c r="C849" s="33" t="inlineStr">
        <is>
          <t>Egor Kornev</t>
        </is>
      </c>
      <c r="D849" s="33" t="inlineStr">
        <is>
          <t>SwimCloud</t>
        </is>
      </c>
      <c r="E849" s="33" t="inlineStr">
        <is>
          <t>1139582</t>
        </is>
      </c>
      <c r="F849" s="33" t="inlineStr">
        <is>
          <t>69901687</t>
        </is>
      </c>
      <c r="G849" s="51" t="n">
        <v>44766</v>
      </c>
      <c r="H849" s="33" t="inlineStr">
        <is>
          <t>Russian Cup</t>
        </is>
      </c>
      <c r="I849" s="33" t="inlineStr">
        <is>
          <t>235666</t>
        </is>
      </c>
      <c r="J849" s="33" t="inlineStr"/>
      <c r="K849" s="33" t="inlineStr">
        <is>
          <t>FIN</t>
        </is>
      </c>
      <c r="L849" s="35">
        <f>IF(K849="FIN",3,IF(OR(K849="SEM",K849="SEMI"),2,IF(OR(K849="PRE",K849="HEAT"),1,IF(V849="YES",4,2))))</f>
        <v/>
      </c>
      <c r="M849" s="33" t="inlineStr">
        <is>
          <t>LCM</t>
        </is>
      </c>
      <c r="N849" s="33" t="n">
        <v>200</v>
      </c>
      <c r="O849" s="33" t="inlineStr">
        <is>
          <t>Free</t>
        </is>
      </c>
      <c r="P849" s="33" t="inlineStr">
        <is>
          <t>200 Free</t>
        </is>
      </c>
      <c r="Q849" s="33" t="inlineStr">
        <is>
          <t>LCM_200_FREE</t>
        </is>
      </c>
      <c r="R849" s="36" t="n">
        <v>110.45</v>
      </c>
      <c r="S849" s="35">
        <f>IF(R849="","",IF(R849&gt;=60,INT(R849/60)&amp;":"&amp;TEXT(MOD(R849,60),"00.00"),TEXT(R849,"0.00")))</f>
        <v/>
      </c>
      <c r="T849" s="52">
        <f>IFERROR((G849-INDEX('01_Swimmers'!$E$5:$E$22,MATCH(B849,'01_Swimmers'!$A$5:$A$22,0)))/'00_Control'!$B$10,"")</f>
        <v/>
      </c>
      <c r="U849" s="35">
        <f>IF(T849="","",INT(T849))</f>
        <v/>
      </c>
      <c r="V849" s="33" t="inlineStr">
        <is>
          <t>NO</t>
        </is>
      </c>
      <c r="W849" s="33" t="inlineStr">
        <is>
          <t>YES</t>
        </is>
      </c>
      <c r="X849" s="33" t="inlineStr">
        <is>
          <t>NO</t>
        </is>
      </c>
      <c r="Y849" s="33" t="n">
        <v>2</v>
      </c>
      <c r="Z849" s="33" t="n">
        <v>3</v>
      </c>
      <c r="AA849" s="33" t="inlineStr">
        <is>
          <t>2</t>
        </is>
      </c>
      <c r="AB849" s="33" t="inlineStr">
        <is>
          <t>https://www.swimcloud.com/results/235666/event/29/?id=69901687#time69901687</t>
        </is>
      </c>
      <c r="AC849" s="33" t="inlineStr">
        <is>
          <t>SwimCloud API v6 2026-10-08</t>
        </is>
      </c>
      <c r="AD849" s="33" t="inlineStr">
        <is>
          <t>Egor Kornev|2022-07-24|LCM|200|Free|110.45|Russian Cup|FIN|False</t>
        </is>
      </c>
      <c r="AE849" s="53">
        <f>G849+L849/1000+ROW()/1000000000</f>
        <v/>
      </c>
      <c r="AF849" s="35">
        <f>IF(C849&lt;&gt;"Grayson Coulter","",COUNTIFS($C$5:$C$2991,"Grayson Coulter",$Q$5:$Q$2991,Q849,$AE$5:$AE$2991,"&lt;="&amp;AE849,$R$5:$R$2991,"&lt;"&amp;R849))</f>
        <v/>
      </c>
      <c r="AG849" s="35">
        <f>IF(OR(C849&lt;&gt;"Grayson Coulter",G849&lt;'00_Control'!$B$7),"",--(AF849&lt;5))</f>
        <v/>
      </c>
      <c r="AH849" s="35">
        <f>IF(OR(C849&lt;&gt;"Grayson Coulter",G849&lt;'00_Control'!$B$7),"",--(AF849&lt;10))</f>
        <v/>
      </c>
      <c r="AI849" s="35">
        <f>IF(AND(C849="Grayson Coulter",G849&gt;='00_Control'!$B$7),"YES","NO")</f>
        <v/>
      </c>
      <c r="AJ849" s="33" t="inlineStr">
        <is>
          <t>OK</t>
        </is>
      </c>
    </row>
    <row r="850">
      <c r="A850" s="33" t="inlineStr">
        <is>
          <t>SM000846</t>
        </is>
      </c>
      <c r="B850" s="33" t="inlineStr">
        <is>
          <t>SW017</t>
        </is>
      </c>
      <c r="C850" s="33" t="inlineStr">
        <is>
          <t>Egor Kornev</t>
        </is>
      </c>
      <c r="D850" s="33" t="inlineStr">
        <is>
          <t>SwimCloud</t>
        </is>
      </c>
      <c r="E850" s="33" t="inlineStr">
        <is>
          <t>1139582</t>
        </is>
      </c>
      <c r="F850" s="33" t="inlineStr">
        <is>
          <t>75583905</t>
        </is>
      </c>
      <c r="G850" s="51" t="n">
        <v>44798</v>
      </c>
      <c r="H850" s="33" t="inlineStr">
        <is>
          <t>Summer Spartakiad</t>
        </is>
      </c>
      <c r="I850" s="33" t="inlineStr">
        <is>
          <t>238093</t>
        </is>
      </c>
      <c r="J850" s="33" t="inlineStr"/>
      <c r="K850" s="33" t="inlineStr">
        <is>
          <t>PRE</t>
        </is>
      </c>
      <c r="L850" s="35">
        <f>IF(K850="FIN",3,IF(OR(K850="SEM",K850="SEMI"),2,IF(OR(K850="PRE",K850="HEAT"),1,IF(V850="YES",4,2))))</f>
        <v/>
      </c>
      <c r="M850" s="33" t="inlineStr">
        <is>
          <t>LCM</t>
        </is>
      </c>
      <c r="N850" s="33" t="n">
        <v>100</v>
      </c>
      <c r="O850" s="33" t="inlineStr">
        <is>
          <t>Free</t>
        </is>
      </c>
      <c r="P850" s="33" t="inlineStr">
        <is>
          <t>100 Free</t>
        </is>
      </c>
      <c r="Q850" s="33" t="inlineStr">
        <is>
          <t>LCM_100_FREE</t>
        </is>
      </c>
      <c r="R850" s="36" t="n">
        <v>49.93</v>
      </c>
      <c r="S850" s="35">
        <f>IF(R850="","",IF(R850&gt;=60,INT(R850/60)&amp;":"&amp;TEXT(MOD(R850,60),"00.00"),TEXT(R850,"0.00")))</f>
        <v/>
      </c>
      <c r="T850" s="52">
        <f>IFERROR((G850-INDEX('01_Swimmers'!$E$5:$E$22,MATCH(B850,'01_Swimmers'!$A$5:$A$22,0)))/'00_Control'!$B$10,"")</f>
        <v/>
      </c>
      <c r="U850" s="35">
        <f>IF(T850="","",INT(T850))</f>
        <v/>
      </c>
      <c r="V850" s="33" t="inlineStr">
        <is>
          <t>NO</t>
        </is>
      </c>
      <c r="W850" s="33" t="inlineStr">
        <is>
          <t>YES</t>
        </is>
      </c>
      <c r="X850" s="33" t="inlineStr">
        <is>
          <t>NO</t>
        </is>
      </c>
      <c r="Y850" s="33" t="n">
        <v>12</v>
      </c>
      <c r="Z850" s="33" t="n">
        <v>2</v>
      </c>
      <c r="AA850" s="33" t="inlineStr">
        <is>
          <t>9</t>
        </is>
      </c>
      <c r="AB850" s="33" t="inlineStr">
        <is>
          <t>https://www.swimcloud.com/results/238093/event/24/?id=75583905#time75583905</t>
        </is>
      </c>
      <c r="AC850" s="33" t="inlineStr">
        <is>
          <t>SwimCloud API v6 2026-10-08</t>
        </is>
      </c>
      <c r="AD850" s="33" t="inlineStr">
        <is>
          <t>Egor Kornev|2022-08-25|LCM|100|Free|49.93|Summer Spartakiad|PRE|False</t>
        </is>
      </c>
      <c r="AE850" s="53">
        <f>G850+L850/1000+ROW()/1000000000</f>
        <v/>
      </c>
      <c r="AF850" s="35">
        <f>IF(C850&lt;&gt;"Grayson Coulter","",COUNTIFS($C$5:$C$2991,"Grayson Coulter",$Q$5:$Q$2991,Q850,$AE$5:$AE$2991,"&lt;="&amp;AE850,$R$5:$R$2991,"&lt;"&amp;R850))</f>
        <v/>
      </c>
      <c r="AG850" s="35">
        <f>IF(OR(C850&lt;&gt;"Grayson Coulter",G850&lt;'00_Control'!$B$7),"",--(AF850&lt;5))</f>
        <v/>
      </c>
      <c r="AH850" s="35">
        <f>IF(OR(C850&lt;&gt;"Grayson Coulter",G850&lt;'00_Control'!$B$7),"",--(AF850&lt;10))</f>
        <v/>
      </c>
      <c r="AI850" s="35">
        <f>IF(AND(C850="Grayson Coulter",G850&gt;='00_Control'!$B$7),"YES","NO")</f>
        <v/>
      </c>
      <c r="AJ850" s="33" t="inlineStr">
        <is>
          <t>OK</t>
        </is>
      </c>
    </row>
    <row r="851">
      <c r="A851" s="33" t="inlineStr">
        <is>
          <t>SM000847</t>
        </is>
      </c>
      <c r="B851" s="33" t="inlineStr">
        <is>
          <t>SW017</t>
        </is>
      </c>
      <c r="C851" s="33" t="inlineStr">
        <is>
          <t>Egor Kornev</t>
        </is>
      </c>
      <c r="D851" s="33" t="inlineStr">
        <is>
          <t>SwimCloud</t>
        </is>
      </c>
      <c r="E851" s="33" t="inlineStr">
        <is>
          <t>1139582</t>
        </is>
      </c>
      <c r="F851" s="33" t="inlineStr">
        <is>
          <t>75583907</t>
        </is>
      </c>
      <c r="G851" s="51" t="n">
        <v>44798</v>
      </c>
      <c r="H851" s="33" t="inlineStr">
        <is>
          <t>Summer Spartakiad</t>
        </is>
      </c>
      <c r="I851" s="33" t="inlineStr">
        <is>
          <t>238093</t>
        </is>
      </c>
      <c r="J851" s="33" t="inlineStr"/>
      <c r="K851" s="33" t="inlineStr">
        <is>
          <t>SEM</t>
        </is>
      </c>
      <c r="L851" s="35">
        <f>IF(K851="FIN",3,IF(OR(K851="SEM",K851="SEMI"),2,IF(OR(K851="PRE",K851="HEAT"),1,IF(V851="YES",4,2))))</f>
        <v/>
      </c>
      <c r="M851" s="33" t="inlineStr">
        <is>
          <t>LCM</t>
        </is>
      </c>
      <c r="N851" s="33" t="n">
        <v>100</v>
      </c>
      <c r="O851" s="33" t="inlineStr">
        <is>
          <t>Free</t>
        </is>
      </c>
      <c r="P851" s="33" t="inlineStr">
        <is>
          <t>100 Free</t>
        </is>
      </c>
      <c r="Q851" s="33" t="inlineStr">
        <is>
          <t>LCM_100_FREE</t>
        </is>
      </c>
      <c r="R851" s="36" t="n">
        <v>49.55</v>
      </c>
      <c r="S851" s="35">
        <f>IF(R851="","",IF(R851&gt;=60,INT(R851/60)&amp;":"&amp;TEXT(MOD(R851,60),"00.00"),TEXT(R851,"0.00")))</f>
        <v/>
      </c>
      <c r="T851" s="52">
        <f>IFERROR((G851-INDEX('01_Swimmers'!$E$5:$E$22,MATCH(B851,'01_Swimmers'!$A$5:$A$22,0)))/'00_Control'!$B$10,"")</f>
        <v/>
      </c>
      <c r="U851" s="35">
        <f>IF(T851="","",INT(T851))</f>
        <v/>
      </c>
      <c r="V851" s="33" t="inlineStr">
        <is>
          <t>NO</t>
        </is>
      </c>
      <c r="W851" s="33" t="inlineStr">
        <is>
          <t>YES</t>
        </is>
      </c>
      <c r="X851" s="33" t="inlineStr">
        <is>
          <t>NO</t>
        </is>
      </c>
      <c r="Y851" s="33" t="n">
        <v>1</v>
      </c>
      <c r="Z851" s="33" t="n">
        <v>2</v>
      </c>
      <c r="AA851" s="33" t="inlineStr">
        <is>
          <t>8</t>
        </is>
      </c>
      <c r="AB851" s="33" t="inlineStr">
        <is>
          <t>https://www.swimcloud.com/results/238093/event/24/?id=75583907#time75583907</t>
        </is>
      </c>
      <c r="AC851" s="33" t="inlineStr">
        <is>
          <t>SwimCloud API v6 2026-10-08</t>
        </is>
      </c>
      <c r="AD851" s="33" t="inlineStr">
        <is>
          <t>Egor Kornev|2022-08-25|LCM|100|Free|49.55|Summer Spartakiad|SEM|False</t>
        </is>
      </c>
      <c r="AE851" s="53">
        <f>G851+L851/1000+ROW()/1000000000</f>
        <v/>
      </c>
      <c r="AF851" s="35">
        <f>IF(C851&lt;&gt;"Grayson Coulter","",COUNTIFS($C$5:$C$2991,"Grayson Coulter",$Q$5:$Q$2991,Q851,$AE$5:$AE$2991,"&lt;="&amp;AE851,$R$5:$R$2991,"&lt;"&amp;R851))</f>
        <v/>
      </c>
      <c r="AG851" s="35">
        <f>IF(OR(C851&lt;&gt;"Grayson Coulter",G851&lt;'00_Control'!$B$7),"",--(AF851&lt;5))</f>
        <v/>
      </c>
      <c r="AH851" s="35">
        <f>IF(OR(C851&lt;&gt;"Grayson Coulter",G851&lt;'00_Control'!$B$7),"",--(AF851&lt;10))</f>
        <v/>
      </c>
      <c r="AI851" s="35">
        <f>IF(AND(C851="Grayson Coulter",G851&gt;='00_Control'!$B$7),"YES","NO")</f>
        <v/>
      </c>
      <c r="AJ851" s="33" t="inlineStr">
        <is>
          <t>OK</t>
        </is>
      </c>
    </row>
    <row r="852">
      <c r="A852" s="33" t="inlineStr">
        <is>
          <t>SM000848</t>
        </is>
      </c>
      <c r="B852" s="33" t="inlineStr">
        <is>
          <t>SW017</t>
        </is>
      </c>
      <c r="C852" s="33" t="inlineStr">
        <is>
          <t>Egor Kornev</t>
        </is>
      </c>
      <c r="D852" s="33" t="inlineStr">
        <is>
          <t>SwimCloud</t>
        </is>
      </c>
      <c r="E852" s="33" t="inlineStr">
        <is>
          <t>1139582</t>
        </is>
      </c>
      <c r="F852" s="33" t="inlineStr">
        <is>
          <t>75583908</t>
        </is>
      </c>
      <c r="G852" s="51" t="n">
        <v>44799</v>
      </c>
      <c r="H852" s="33" t="inlineStr">
        <is>
          <t>Summer Spartakiad</t>
        </is>
      </c>
      <c r="I852" s="33" t="inlineStr">
        <is>
          <t>238093</t>
        </is>
      </c>
      <c r="J852" s="33" t="inlineStr"/>
      <c r="K852" s="33" t="inlineStr">
        <is>
          <t>FIN</t>
        </is>
      </c>
      <c r="L852" s="35">
        <f>IF(K852="FIN",3,IF(OR(K852="SEM",K852="SEMI"),2,IF(OR(K852="PRE",K852="HEAT"),1,IF(V852="YES",4,2))))</f>
        <v/>
      </c>
      <c r="M852" s="33" t="inlineStr">
        <is>
          <t>LCM</t>
        </is>
      </c>
      <c r="N852" s="33" t="n">
        <v>100</v>
      </c>
      <c r="O852" s="33" t="inlineStr">
        <is>
          <t>Free</t>
        </is>
      </c>
      <c r="P852" s="33" t="inlineStr">
        <is>
          <t>100 Free</t>
        </is>
      </c>
      <c r="Q852" s="33" t="inlineStr">
        <is>
          <t>LCM_100_FREE</t>
        </is>
      </c>
      <c r="R852" s="36" t="n">
        <v>49.73</v>
      </c>
      <c r="S852" s="35">
        <f>IF(R852="","",IF(R852&gt;=60,INT(R852/60)&amp;":"&amp;TEXT(MOD(R852,60),"00.00"),TEXT(R852,"0.00")))</f>
        <v/>
      </c>
      <c r="T852" s="52">
        <f>IFERROR((G852-INDEX('01_Swimmers'!$E$5:$E$22,MATCH(B852,'01_Swimmers'!$A$5:$A$22,0)))/'00_Control'!$B$10,"")</f>
        <v/>
      </c>
      <c r="U852" s="35">
        <f>IF(T852="","",INT(T852))</f>
        <v/>
      </c>
      <c r="V852" s="33" t="inlineStr">
        <is>
          <t>NO</t>
        </is>
      </c>
      <c r="W852" s="33" t="inlineStr">
        <is>
          <t>YES</t>
        </is>
      </c>
      <c r="X852" s="33" t="inlineStr">
        <is>
          <t>NO</t>
        </is>
      </c>
      <c r="Y852" s="33" t="n">
        <v>1</v>
      </c>
      <c r="Z852" s="33" t="n">
        <v>8</v>
      </c>
      <c r="AA852" s="33" t="inlineStr">
        <is>
          <t>8</t>
        </is>
      </c>
      <c r="AB852" s="33" t="inlineStr">
        <is>
          <t>https://www.swimcloud.com/results/238093/event/24/?id=75583908#time75583908</t>
        </is>
      </c>
      <c r="AC852" s="33" t="inlineStr">
        <is>
          <t>SwimCloud API v6 2026-10-08</t>
        </is>
      </c>
      <c r="AD852" s="33" t="inlineStr">
        <is>
          <t>Egor Kornev|2022-08-26|LCM|100|Free|49.73|Summer Spartakiad|FIN|False</t>
        </is>
      </c>
      <c r="AE852" s="53">
        <f>G852+L852/1000+ROW()/1000000000</f>
        <v/>
      </c>
      <c r="AF852" s="35">
        <f>IF(C852&lt;&gt;"Grayson Coulter","",COUNTIFS($C$5:$C$2991,"Grayson Coulter",$Q$5:$Q$2991,Q852,$AE$5:$AE$2991,"&lt;="&amp;AE852,$R$5:$R$2991,"&lt;"&amp;R852))</f>
        <v/>
      </c>
      <c r="AG852" s="35">
        <f>IF(OR(C852&lt;&gt;"Grayson Coulter",G852&lt;'00_Control'!$B$7),"",--(AF852&lt;5))</f>
        <v/>
      </c>
      <c r="AH852" s="35">
        <f>IF(OR(C852&lt;&gt;"Grayson Coulter",G852&lt;'00_Control'!$B$7),"",--(AF852&lt;10))</f>
        <v/>
      </c>
      <c r="AI852" s="35">
        <f>IF(AND(C852="Grayson Coulter",G852&gt;='00_Control'!$B$7),"YES","NO")</f>
        <v/>
      </c>
      <c r="AJ852" s="33" t="inlineStr">
        <is>
          <t>OK</t>
        </is>
      </c>
    </row>
    <row r="853">
      <c r="A853" s="33" t="inlineStr">
        <is>
          <t>SM000849</t>
        </is>
      </c>
      <c r="B853" s="33" t="inlineStr">
        <is>
          <t>SW017</t>
        </is>
      </c>
      <c r="C853" s="33" t="inlineStr">
        <is>
          <t>Egor Kornev</t>
        </is>
      </c>
      <c r="D853" s="33" t="inlineStr">
        <is>
          <t>SwimCloud</t>
        </is>
      </c>
      <c r="E853" s="33" t="inlineStr">
        <is>
          <t>1139582</t>
        </is>
      </c>
      <c r="F853" s="33" t="inlineStr">
        <is>
          <t>89974450</t>
        </is>
      </c>
      <c r="G853" s="51" t="n">
        <v>44886</v>
      </c>
      <c r="H853" s="33" t="inlineStr">
        <is>
          <t>Russian SC Championship</t>
        </is>
      </c>
      <c r="I853" s="33" t="inlineStr">
        <is>
          <t>237931</t>
        </is>
      </c>
      <c r="J853" s="33" t="inlineStr"/>
      <c r="K853" s="33" t="inlineStr">
        <is>
          <t>PRE</t>
        </is>
      </c>
      <c r="L853" s="35">
        <f>IF(K853="FIN",3,IF(OR(K853="SEM",K853="SEMI"),2,IF(OR(K853="PRE",K853="HEAT"),1,IF(V853="YES",4,2))))</f>
        <v/>
      </c>
      <c r="M853" s="33" t="inlineStr">
        <is>
          <t>SCM</t>
        </is>
      </c>
      <c r="N853" s="33" t="n">
        <v>200</v>
      </c>
      <c r="O853" s="33" t="inlineStr">
        <is>
          <t>Free</t>
        </is>
      </c>
      <c r="P853" s="33" t="inlineStr">
        <is>
          <t>200 Free</t>
        </is>
      </c>
      <c r="Q853" s="33" t="inlineStr">
        <is>
          <t>SCM_200_FREE</t>
        </is>
      </c>
      <c r="R853" s="36" t="n">
        <v>106.83</v>
      </c>
      <c r="S853" s="35">
        <f>IF(R853="","",IF(R853&gt;=60,INT(R853/60)&amp;":"&amp;TEXT(MOD(R853,60),"00.00"),TEXT(R853,"0.00")))</f>
        <v/>
      </c>
      <c r="T853" s="52">
        <f>IFERROR((G853-INDEX('01_Swimmers'!$E$5:$E$22,MATCH(B853,'01_Swimmers'!$A$5:$A$22,0)))/'00_Control'!$B$10,"")</f>
        <v/>
      </c>
      <c r="U853" s="35">
        <f>IF(T853="","",INT(T853))</f>
        <v/>
      </c>
      <c r="V853" s="33" t="inlineStr">
        <is>
          <t>NO</t>
        </is>
      </c>
      <c r="W853" s="33" t="inlineStr">
        <is>
          <t>YES</t>
        </is>
      </c>
      <c r="X853" s="33" t="inlineStr">
        <is>
          <t>NO</t>
        </is>
      </c>
      <c r="Y853" s="33" t="n">
        <v>20</v>
      </c>
      <c r="Z853" s="33" t="n">
        <v>8</v>
      </c>
      <c r="AA853" s="33" t="inlineStr">
        <is>
          <t>12</t>
        </is>
      </c>
      <c r="AB853" s="33" t="inlineStr">
        <is>
          <t>https://www.swimcloud.com/results/237931/event/13/?id=89974450#time89974450</t>
        </is>
      </c>
      <c r="AC853" s="33" t="inlineStr">
        <is>
          <t>SwimCloud API v6 2026-10-08</t>
        </is>
      </c>
      <c r="AD853" s="33" t="inlineStr">
        <is>
          <t>Egor Kornev|2022-11-21|SCM|200|Free|106.83|Russian SC Championship|PRE|False</t>
        </is>
      </c>
      <c r="AE853" s="53">
        <f>G853+L853/1000+ROW()/1000000000</f>
        <v/>
      </c>
      <c r="AF853" s="35">
        <f>IF(C853&lt;&gt;"Grayson Coulter","",COUNTIFS($C$5:$C$2991,"Grayson Coulter",$Q$5:$Q$2991,Q853,$AE$5:$AE$2991,"&lt;="&amp;AE853,$R$5:$R$2991,"&lt;"&amp;R853))</f>
        <v/>
      </c>
      <c r="AG853" s="35">
        <f>IF(OR(C853&lt;&gt;"Grayson Coulter",G853&lt;'00_Control'!$B$7),"",--(AF853&lt;5))</f>
        <v/>
      </c>
      <c r="AH853" s="35">
        <f>IF(OR(C853&lt;&gt;"Grayson Coulter",G853&lt;'00_Control'!$B$7),"",--(AF853&lt;10))</f>
        <v/>
      </c>
      <c r="AI853" s="35">
        <f>IF(AND(C853="Grayson Coulter",G853&gt;='00_Control'!$B$7),"YES","NO")</f>
        <v/>
      </c>
      <c r="AJ853" s="33" t="inlineStr">
        <is>
          <t>OK</t>
        </is>
      </c>
    </row>
    <row r="854">
      <c r="A854" s="33" t="inlineStr">
        <is>
          <t>SM000850</t>
        </is>
      </c>
      <c r="B854" s="33" t="inlineStr">
        <is>
          <t>SW017</t>
        </is>
      </c>
      <c r="C854" s="33" t="inlineStr">
        <is>
          <t>Egor Kornev</t>
        </is>
      </c>
      <c r="D854" s="33" t="inlineStr">
        <is>
          <t>SwimCloud</t>
        </is>
      </c>
      <c r="E854" s="33" t="inlineStr">
        <is>
          <t>1139582</t>
        </is>
      </c>
      <c r="F854" s="33" t="inlineStr">
        <is>
          <t>89974455</t>
        </is>
      </c>
      <c r="G854" s="51" t="n">
        <v>44889</v>
      </c>
      <c r="H854" s="33" t="inlineStr">
        <is>
          <t>Russian SC Championship</t>
        </is>
      </c>
      <c r="I854" s="33" t="inlineStr">
        <is>
          <t>237931</t>
        </is>
      </c>
      <c r="J854" s="33" t="inlineStr"/>
      <c r="K854" s="33" t="inlineStr">
        <is>
          <t>PRE</t>
        </is>
      </c>
      <c r="L854" s="35">
        <f>IF(K854="FIN",3,IF(OR(K854="SEM",K854="SEMI"),2,IF(OR(K854="PRE",K854="HEAT"),1,IF(V854="YES",4,2))))</f>
        <v/>
      </c>
      <c r="M854" s="33" t="inlineStr">
        <is>
          <t>SCM</t>
        </is>
      </c>
      <c r="N854" s="33" t="n">
        <v>100</v>
      </c>
      <c r="O854" s="33" t="inlineStr">
        <is>
          <t>Free</t>
        </is>
      </c>
      <c r="P854" s="33" t="inlineStr">
        <is>
          <t>100 Free</t>
        </is>
      </c>
      <c r="Q854" s="33" t="inlineStr">
        <is>
          <t>SCM_100_FREE</t>
        </is>
      </c>
      <c r="R854" s="36" t="n">
        <v>47.9</v>
      </c>
      <c r="S854" s="35">
        <f>IF(R854="","",IF(R854&gt;=60,INT(R854/60)&amp;":"&amp;TEXT(MOD(R854,60),"00.00"),TEXT(R854,"0.00")))</f>
        <v/>
      </c>
      <c r="T854" s="52">
        <f>IFERROR((G854-INDEX('01_Swimmers'!$E$5:$E$22,MATCH(B854,'01_Swimmers'!$A$5:$A$22,0)))/'00_Control'!$B$10,"")</f>
        <v/>
      </c>
      <c r="U854" s="35">
        <f>IF(T854="","",INT(T854))</f>
        <v/>
      </c>
      <c r="V854" s="33" t="inlineStr">
        <is>
          <t>NO</t>
        </is>
      </c>
      <c r="W854" s="33" t="inlineStr">
        <is>
          <t>YES</t>
        </is>
      </c>
      <c r="X854" s="33" t="inlineStr">
        <is>
          <t>NO</t>
        </is>
      </c>
      <c r="Y854" s="33" t="n">
        <v>29</v>
      </c>
      <c r="Z854" s="33" t="n">
        <v>1</v>
      </c>
      <c r="AA854" s="33" t="inlineStr">
        <is>
          <t>13</t>
        </is>
      </c>
      <c r="AB854" s="33" t="inlineStr">
        <is>
          <t>https://www.swimcloud.com/results/237931/event/38/?id=89974455#time89974455</t>
        </is>
      </c>
      <c r="AC854" s="33" t="inlineStr">
        <is>
          <t>SwimCloud API v6 2026-10-08</t>
        </is>
      </c>
      <c r="AD854" s="33" t="inlineStr">
        <is>
          <t>Egor Kornev|2022-11-24|SCM|100|Free|47.9|Russian SC Championship|PRE|False</t>
        </is>
      </c>
      <c r="AE854" s="53">
        <f>G854+L854/1000+ROW()/1000000000</f>
        <v/>
      </c>
      <c r="AF854" s="35">
        <f>IF(C854&lt;&gt;"Grayson Coulter","",COUNTIFS($C$5:$C$2991,"Grayson Coulter",$Q$5:$Q$2991,Q854,$AE$5:$AE$2991,"&lt;="&amp;AE854,$R$5:$R$2991,"&lt;"&amp;R854))</f>
        <v/>
      </c>
      <c r="AG854" s="35">
        <f>IF(OR(C854&lt;&gt;"Grayson Coulter",G854&lt;'00_Control'!$B$7),"",--(AF854&lt;5))</f>
        <v/>
      </c>
      <c r="AH854" s="35">
        <f>IF(OR(C854&lt;&gt;"Grayson Coulter",G854&lt;'00_Control'!$B$7),"",--(AF854&lt;10))</f>
        <v/>
      </c>
      <c r="AI854" s="35">
        <f>IF(AND(C854="Grayson Coulter",G854&gt;='00_Control'!$B$7),"YES","NO")</f>
        <v/>
      </c>
      <c r="AJ854" s="33" t="inlineStr">
        <is>
          <t>OK</t>
        </is>
      </c>
    </row>
    <row r="855">
      <c r="A855" s="33" t="inlineStr">
        <is>
          <t>SM000851</t>
        </is>
      </c>
      <c r="B855" s="33" t="inlineStr">
        <is>
          <t>SW017</t>
        </is>
      </c>
      <c r="C855" s="33" t="inlineStr">
        <is>
          <t>Egor Kornev</t>
        </is>
      </c>
      <c r="D855" s="33" t="inlineStr">
        <is>
          <t>SwimCloud</t>
        </is>
      </c>
      <c r="E855" s="33" t="inlineStr">
        <is>
          <t>1139582</t>
        </is>
      </c>
      <c r="F855" s="33" t="inlineStr">
        <is>
          <t>89974460</t>
        </is>
      </c>
      <c r="G855" s="51" t="n">
        <v>44889</v>
      </c>
      <c r="H855" s="33" t="inlineStr">
        <is>
          <t>Russian SC Championship</t>
        </is>
      </c>
      <c r="I855" s="33" t="inlineStr">
        <is>
          <t>237931</t>
        </is>
      </c>
      <c r="J855" s="33" t="inlineStr"/>
      <c r="K855" s="33" t="inlineStr">
        <is>
          <t>SEM</t>
        </is>
      </c>
      <c r="L855" s="35">
        <f>IF(K855="FIN",3,IF(OR(K855="SEM",K855="SEMI"),2,IF(OR(K855="PRE",K855="HEAT"),1,IF(V855="YES",4,2))))</f>
        <v/>
      </c>
      <c r="M855" s="33" t="inlineStr">
        <is>
          <t>SCM</t>
        </is>
      </c>
      <c r="N855" s="33" t="n">
        <v>100</v>
      </c>
      <c r="O855" s="33" t="inlineStr">
        <is>
          <t>Free</t>
        </is>
      </c>
      <c r="P855" s="33" t="inlineStr">
        <is>
          <t>100 Free</t>
        </is>
      </c>
      <c r="Q855" s="33" t="inlineStr">
        <is>
          <t>SCM_100_FREE</t>
        </is>
      </c>
      <c r="R855" s="36" t="n">
        <v>47.44</v>
      </c>
      <c r="S855" s="35">
        <f>IF(R855="","",IF(R855&gt;=60,INT(R855/60)&amp;":"&amp;TEXT(MOD(R855,60),"00.00"),TEXT(R855,"0.00")))</f>
        <v/>
      </c>
      <c r="T855" s="52">
        <f>IFERROR((G855-INDEX('01_Swimmers'!$E$5:$E$22,MATCH(B855,'01_Swimmers'!$A$5:$A$22,0)))/'00_Control'!$B$10,"")</f>
        <v/>
      </c>
      <c r="U855" s="35">
        <f>IF(T855="","",INT(T855))</f>
        <v/>
      </c>
      <c r="V855" s="33" t="inlineStr">
        <is>
          <t>NO</t>
        </is>
      </c>
      <c r="W855" s="33" t="inlineStr">
        <is>
          <t>YES</t>
        </is>
      </c>
      <c r="X855" s="33" t="inlineStr">
        <is>
          <t>NO</t>
        </is>
      </c>
      <c r="Y855" s="33" t="n">
        <v>1</v>
      </c>
      <c r="Z855" s="33" t="n">
        <v>7</v>
      </c>
      <c r="AA855" s="33" t="inlineStr">
        <is>
          <t>6</t>
        </is>
      </c>
      <c r="AB855" s="33" t="inlineStr">
        <is>
          <t>https://www.swimcloud.com/results/237931/event/38/?id=89974460#time89974460</t>
        </is>
      </c>
      <c r="AC855" s="33" t="inlineStr">
        <is>
          <t>SwimCloud API v6 2026-10-08</t>
        </is>
      </c>
      <c r="AD855" s="33" t="inlineStr">
        <is>
          <t>Egor Kornev|2022-11-24|SCM|100|Free|47.44|Russian SC Championship|SEM|False</t>
        </is>
      </c>
      <c r="AE855" s="53">
        <f>G855+L855/1000+ROW()/1000000000</f>
        <v/>
      </c>
      <c r="AF855" s="35">
        <f>IF(C855&lt;&gt;"Grayson Coulter","",COUNTIFS($C$5:$C$2991,"Grayson Coulter",$Q$5:$Q$2991,Q855,$AE$5:$AE$2991,"&lt;="&amp;AE855,$R$5:$R$2991,"&lt;"&amp;R855))</f>
        <v/>
      </c>
      <c r="AG855" s="35">
        <f>IF(OR(C855&lt;&gt;"Grayson Coulter",G855&lt;'00_Control'!$B$7),"",--(AF855&lt;5))</f>
        <v/>
      </c>
      <c r="AH855" s="35">
        <f>IF(OR(C855&lt;&gt;"Grayson Coulter",G855&lt;'00_Control'!$B$7),"",--(AF855&lt;10))</f>
        <v/>
      </c>
      <c r="AI855" s="35">
        <f>IF(AND(C855="Grayson Coulter",G855&gt;='00_Control'!$B$7),"YES","NO")</f>
        <v/>
      </c>
      <c r="AJ855" s="33" t="inlineStr">
        <is>
          <t>OK</t>
        </is>
      </c>
    </row>
    <row r="856">
      <c r="A856" s="33" t="inlineStr">
        <is>
          <t>SM000852</t>
        </is>
      </c>
      <c r="B856" s="33" t="inlineStr">
        <is>
          <t>SW017</t>
        </is>
      </c>
      <c r="C856" s="33" t="inlineStr">
        <is>
          <t>Egor Kornev</t>
        </is>
      </c>
      <c r="D856" s="33" t="inlineStr">
        <is>
          <t>SwimCloud</t>
        </is>
      </c>
      <c r="E856" s="33" t="inlineStr">
        <is>
          <t>1139582</t>
        </is>
      </c>
      <c r="F856" s="33" t="inlineStr">
        <is>
          <t>89974461</t>
        </is>
      </c>
      <c r="G856" s="51" t="n">
        <v>44890</v>
      </c>
      <c r="H856" s="33" t="inlineStr">
        <is>
          <t>Russian SC Championship</t>
        </is>
      </c>
      <c r="I856" s="33" t="inlineStr">
        <is>
          <t>237931</t>
        </is>
      </c>
      <c r="J856" s="33" t="inlineStr"/>
      <c r="K856" s="33" t="inlineStr">
        <is>
          <t>FIN</t>
        </is>
      </c>
      <c r="L856" s="35">
        <f>IF(K856="FIN",3,IF(OR(K856="SEM",K856="SEMI"),2,IF(OR(K856="PRE",K856="HEAT"),1,IF(V856="YES",4,2))))</f>
        <v/>
      </c>
      <c r="M856" s="33" t="inlineStr">
        <is>
          <t>SCM</t>
        </is>
      </c>
      <c r="N856" s="33" t="n">
        <v>100</v>
      </c>
      <c r="O856" s="33" t="inlineStr">
        <is>
          <t>Free</t>
        </is>
      </c>
      <c r="P856" s="33" t="inlineStr">
        <is>
          <t>100 Free</t>
        </is>
      </c>
      <c r="Q856" s="33" t="inlineStr">
        <is>
          <t>SCM_100_FREE</t>
        </is>
      </c>
      <c r="R856" s="36" t="n">
        <v>47.72</v>
      </c>
      <c r="S856" s="35">
        <f>IF(R856="","",IF(R856&gt;=60,INT(R856/60)&amp;":"&amp;TEXT(MOD(R856,60),"00.00"),TEXT(R856,"0.00")))</f>
        <v/>
      </c>
      <c r="T856" s="52">
        <f>IFERROR((G856-INDEX('01_Swimmers'!$E$5:$E$22,MATCH(B856,'01_Swimmers'!$A$5:$A$22,0)))/'00_Control'!$B$10,"")</f>
        <v/>
      </c>
      <c r="U856" s="35">
        <f>IF(T856="","",INT(T856))</f>
        <v/>
      </c>
      <c r="V856" s="33" t="inlineStr">
        <is>
          <t>NO</t>
        </is>
      </c>
      <c r="W856" s="33" t="inlineStr">
        <is>
          <t>YES</t>
        </is>
      </c>
      <c r="X856" s="33" t="inlineStr">
        <is>
          <t>NO</t>
        </is>
      </c>
      <c r="Y856" s="33" t="n">
        <v>1</v>
      </c>
      <c r="Z856" s="33" t="n">
        <v>7</v>
      </c>
      <c r="AA856" s="33" t="inlineStr">
        <is>
          <t>7</t>
        </is>
      </c>
      <c r="AB856" s="33" t="inlineStr">
        <is>
          <t>https://www.swimcloud.com/results/237931/event/38/?id=89974461#time89974461</t>
        </is>
      </c>
      <c r="AC856" s="33" t="inlineStr">
        <is>
          <t>SwimCloud API v6 2026-10-08</t>
        </is>
      </c>
      <c r="AD856" s="33" t="inlineStr">
        <is>
          <t>Egor Kornev|2022-11-25|SCM|100|Free|47.72|Russian SC Championship|FIN|False</t>
        </is>
      </c>
      <c r="AE856" s="53">
        <f>G856+L856/1000+ROW()/1000000000</f>
        <v/>
      </c>
      <c r="AF856" s="35">
        <f>IF(C856&lt;&gt;"Grayson Coulter","",COUNTIFS($C$5:$C$2991,"Grayson Coulter",$Q$5:$Q$2991,Q856,$AE$5:$AE$2991,"&lt;="&amp;AE856,$R$5:$R$2991,"&lt;"&amp;R856))</f>
        <v/>
      </c>
      <c r="AG856" s="35">
        <f>IF(OR(C856&lt;&gt;"Grayson Coulter",G856&lt;'00_Control'!$B$7),"",--(AF856&lt;5))</f>
        <v/>
      </c>
      <c r="AH856" s="35">
        <f>IF(OR(C856&lt;&gt;"Grayson Coulter",G856&lt;'00_Control'!$B$7),"",--(AF856&lt;10))</f>
        <v/>
      </c>
      <c r="AI856" s="35">
        <f>IF(AND(C856="Grayson Coulter",G856&gt;='00_Control'!$B$7),"YES","NO")</f>
        <v/>
      </c>
      <c r="AJ856" s="33" t="inlineStr">
        <is>
          <t>OK</t>
        </is>
      </c>
    </row>
    <row r="857">
      <c r="A857" s="33" t="inlineStr">
        <is>
          <t>SM000853</t>
        </is>
      </c>
      <c r="B857" s="33" t="inlineStr">
        <is>
          <t>SW017</t>
        </is>
      </c>
      <c r="C857" s="33" t="inlineStr">
        <is>
          <t>Egor Kornev</t>
        </is>
      </c>
      <c r="D857" s="33" t="inlineStr">
        <is>
          <t>SwimCloud</t>
        </is>
      </c>
      <c r="E857" s="33" t="inlineStr">
        <is>
          <t>1139582</t>
        </is>
      </c>
      <c r="F857" s="33" t="inlineStr">
        <is>
          <t>91556221</t>
        </is>
      </c>
      <c r="G857" s="51" t="n">
        <v>44893</v>
      </c>
      <c r="H857" s="33" t="inlineStr">
        <is>
          <t>Reserve of Russia</t>
        </is>
      </c>
      <c r="I857" s="33" t="inlineStr">
        <is>
          <t>237934</t>
        </is>
      </c>
      <c r="J857" s="33" t="inlineStr"/>
      <c r="K857" s="33" t="inlineStr">
        <is>
          <t>PRE</t>
        </is>
      </c>
      <c r="L857" s="35">
        <f>IF(K857="FIN",3,IF(OR(K857="SEM",K857="SEMI"),2,IF(OR(K857="PRE",K857="HEAT"),1,IF(V857="YES",4,2))))</f>
        <v/>
      </c>
      <c r="M857" s="33" t="inlineStr">
        <is>
          <t>SCM</t>
        </is>
      </c>
      <c r="N857" s="33" t="n">
        <v>100</v>
      </c>
      <c r="O857" s="33" t="inlineStr">
        <is>
          <t>Free</t>
        </is>
      </c>
      <c r="P857" s="33" t="inlineStr">
        <is>
          <t>100 Free</t>
        </is>
      </c>
      <c r="Q857" s="33" t="inlineStr">
        <is>
          <t>SCM_100_FREE</t>
        </is>
      </c>
      <c r="R857" s="36" t="n">
        <v>48.08</v>
      </c>
      <c r="S857" s="35">
        <f>IF(R857="","",IF(R857&gt;=60,INT(R857/60)&amp;":"&amp;TEXT(MOD(R857,60),"00.00"),TEXT(R857,"0.00")))</f>
        <v/>
      </c>
      <c r="T857" s="52">
        <f>IFERROR((G857-INDEX('01_Swimmers'!$E$5:$E$22,MATCH(B857,'01_Swimmers'!$A$5:$A$22,0)))/'00_Control'!$B$10,"")</f>
        <v/>
      </c>
      <c r="U857" s="35">
        <f>IF(T857="","",INT(T857))</f>
        <v/>
      </c>
      <c r="V857" s="33" t="inlineStr">
        <is>
          <t>NO</t>
        </is>
      </c>
      <c r="W857" s="33" t="inlineStr">
        <is>
          <t>YES</t>
        </is>
      </c>
      <c r="X857" s="33" t="inlineStr">
        <is>
          <t>NO</t>
        </is>
      </c>
      <c r="Y857" s="33" t="n">
        <v>18</v>
      </c>
      <c r="Z857" s="33" t="n">
        <v>4</v>
      </c>
      <c r="AA857" s="33" t="inlineStr">
        <is>
          <t>1</t>
        </is>
      </c>
      <c r="AB857" s="33" t="inlineStr">
        <is>
          <t>https://www.swimcloud.com/results/237934/event/11/?id=91556221#time91556221</t>
        </is>
      </c>
      <c r="AC857" s="33" t="inlineStr">
        <is>
          <t>SwimCloud API v6 2026-10-08</t>
        </is>
      </c>
      <c r="AD857" s="33" t="inlineStr">
        <is>
          <t>Egor Kornev|2022-11-28|SCM|100|Free|48.08|Reserve of Russia|PRE|False</t>
        </is>
      </c>
      <c r="AE857" s="53">
        <f>G857+L857/1000+ROW()/1000000000</f>
        <v/>
      </c>
      <c r="AF857" s="35">
        <f>IF(C857&lt;&gt;"Grayson Coulter","",COUNTIFS($C$5:$C$2991,"Grayson Coulter",$Q$5:$Q$2991,Q857,$AE$5:$AE$2991,"&lt;="&amp;AE857,$R$5:$R$2991,"&lt;"&amp;R857))</f>
        <v/>
      </c>
      <c r="AG857" s="35">
        <f>IF(OR(C857&lt;&gt;"Grayson Coulter",G857&lt;'00_Control'!$B$7),"",--(AF857&lt;5))</f>
        <v/>
      </c>
      <c r="AH857" s="35">
        <f>IF(OR(C857&lt;&gt;"Grayson Coulter",G857&lt;'00_Control'!$B$7),"",--(AF857&lt;10))</f>
        <v/>
      </c>
      <c r="AI857" s="35">
        <f>IF(AND(C857="Grayson Coulter",G857&gt;='00_Control'!$B$7),"YES","NO")</f>
        <v/>
      </c>
      <c r="AJ857" s="33" t="inlineStr">
        <is>
          <t>OK</t>
        </is>
      </c>
    </row>
    <row r="858">
      <c r="A858" s="33" t="inlineStr">
        <is>
          <t>SM000854</t>
        </is>
      </c>
      <c r="B858" s="33" t="inlineStr">
        <is>
          <t>SW017</t>
        </is>
      </c>
      <c r="C858" s="33" t="inlineStr">
        <is>
          <t>Egor Kornev</t>
        </is>
      </c>
      <c r="D858" s="33" t="inlineStr">
        <is>
          <t>SwimCloud</t>
        </is>
      </c>
      <c r="E858" s="33" t="inlineStr">
        <is>
          <t>1139582</t>
        </is>
      </c>
      <c r="F858" s="33" t="inlineStr">
        <is>
          <t>91556227</t>
        </is>
      </c>
      <c r="G858" s="51" t="n">
        <v>44893</v>
      </c>
      <c r="H858" s="33" t="inlineStr">
        <is>
          <t>Reserve of Russia</t>
        </is>
      </c>
      <c r="I858" s="33" t="inlineStr">
        <is>
          <t>237934</t>
        </is>
      </c>
      <c r="J858" s="33" t="inlineStr"/>
      <c r="K858" s="33" t="inlineStr">
        <is>
          <t>FIN</t>
        </is>
      </c>
      <c r="L858" s="35">
        <f>IF(K858="FIN",3,IF(OR(K858="SEM",K858="SEMI"),2,IF(OR(K858="PRE",K858="HEAT"),1,IF(V858="YES",4,2))))</f>
        <v/>
      </c>
      <c r="M858" s="33" t="inlineStr">
        <is>
          <t>SCM</t>
        </is>
      </c>
      <c r="N858" s="33" t="n">
        <v>100</v>
      </c>
      <c r="O858" s="33" t="inlineStr">
        <is>
          <t>Free</t>
        </is>
      </c>
      <c r="P858" s="33" t="inlineStr">
        <is>
          <t>100 Free</t>
        </is>
      </c>
      <c r="Q858" s="33" t="inlineStr">
        <is>
          <t>SCM_100_FREE</t>
        </is>
      </c>
      <c r="R858" s="36" t="n">
        <v>47.55</v>
      </c>
      <c r="S858" s="35">
        <f>IF(R858="","",IF(R858&gt;=60,INT(R858/60)&amp;":"&amp;TEXT(MOD(R858,60),"00.00"),TEXT(R858,"0.00")))</f>
        <v/>
      </c>
      <c r="T858" s="52">
        <f>IFERROR((G858-INDEX('01_Swimmers'!$E$5:$E$22,MATCH(B858,'01_Swimmers'!$A$5:$A$22,0)))/'00_Control'!$B$10,"")</f>
        <v/>
      </c>
      <c r="U858" s="35">
        <f>IF(T858="","",INT(T858))</f>
        <v/>
      </c>
      <c r="V858" s="33" t="inlineStr">
        <is>
          <t>NO</t>
        </is>
      </c>
      <c r="W858" s="33" t="inlineStr">
        <is>
          <t>YES</t>
        </is>
      </c>
      <c r="X858" s="33" t="inlineStr">
        <is>
          <t>NO</t>
        </is>
      </c>
      <c r="Y858" s="33" t="n">
        <v>2</v>
      </c>
      <c r="Z858" s="33" t="n">
        <v>4</v>
      </c>
      <c r="AA858" s="33" t="inlineStr">
        <is>
          <t>1</t>
        </is>
      </c>
      <c r="AB858" s="33" t="inlineStr">
        <is>
          <t>https://www.swimcloud.com/results/237934/event/11/?id=91556227#time91556227</t>
        </is>
      </c>
      <c r="AC858" s="33" t="inlineStr">
        <is>
          <t>SwimCloud API v6 2026-10-08</t>
        </is>
      </c>
      <c r="AD858" s="33" t="inlineStr">
        <is>
          <t>Egor Kornev|2022-11-28|SCM|100|Free|47.55|Reserve of Russia|FIN|False</t>
        </is>
      </c>
      <c r="AE858" s="53">
        <f>G858+L858/1000+ROW()/1000000000</f>
        <v/>
      </c>
      <c r="AF858" s="35">
        <f>IF(C858&lt;&gt;"Grayson Coulter","",COUNTIFS($C$5:$C$2991,"Grayson Coulter",$Q$5:$Q$2991,Q858,$AE$5:$AE$2991,"&lt;="&amp;AE858,$R$5:$R$2991,"&lt;"&amp;R858))</f>
        <v/>
      </c>
      <c r="AG858" s="35">
        <f>IF(OR(C858&lt;&gt;"Grayson Coulter",G858&lt;'00_Control'!$B$7),"",--(AF858&lt;5))</f>
        <v/>
      </c>
      <c r="AH858" s="35">
        <f>IF(OR(C858&lt;&gt;"Grayson Coulter",G858&lt;'00_Control'!$B$7),"",--(AF858&lt;10))</f>
        <v/>
      </c>
      <c r="AI858" s="35">
        <f>IF(AND(C858="Grayson Coulter",G858&gt;='00_Control'!$B$7),"YES","NO")</f>
        <v/>
      </c>
      <c r="AJ858" s="33" t="inlineStr">
        <is>
          <t>OK</t>
        </is>
      </c>
    </row>
    <row r="859">
      <c r="A859" s="33" t="inlineStr">
        <is>
          <t>SM000855</t>
        </is>
      </c>
      <c r="B859" s="33" t="inlineStr">
        <is>
          <t>SW017</t>
        </is>
      </c>
      <c r="C859" s="33" t="inlineStr">
        <is>
          <t>Egor Kornev</t>
        </is>
      </c>
      <c r="D859" s="33" t="inlineStr">
        <is>
          <t>SwimCloud</t>
        </is>
      </c>
      <c r="E859" s="33" t="inlineStr">
        <is>
          <t>1139582</t>
        </is>
      </c>
      <c r="F859" s="33" t="inlineStr">
        <is>
          <t>91556224</t>
        </is>
      </c>
      <c r="G859" s="51" t="n">
        <v>44895</v>
      </c>
      <c r="H859" s="33" t="inlineStr">
        <is>
          <t>Reserve of Russia</t>
        </is>
      </c>
      <c r="I859" s="33" t="inlineStr">
        <is>
          <t>237934</t>
        </is>
      </c>
      <c r="J859" s="33" t="inlineStr"/>
      <c r="K859" s="33" t="inlineStr">
        <is>
          <t>PRE</t>
        </is>
      </c>
      <c r="L859" s="35">
        <f>IF(K859="FIN",3,IF(OR(K859="SEM",K859="SEMI"),2,IF(OR(K859="PRE",K859="HEAT"),1,IF(V859="YES",4,2))))</f>
        <v/>
      </c>
      <c r="M859" s="33" t="inlineStr">
        <is>
          <t>SCM</t>
        </is>
      </c>
      <c r="N859" s="33" t="n">
        <v>100</v>
      </c>
      <c r="O859" s="33" t="inlineStr">
        <is>
          <t>Fly</t>
        </is>
      </c>
      <c r="P859" s="33" t="inlineStr">
        <is>
          <t>100 Fly</t>
        </is>
      </c>
      <c r="Q859" s="33" t="inlineStr">
        <is>
          <t>SCM_100_FLY</t>
        </is>
      </c>
      <c r="R859" s="36" t="n">
        <v>53.84</v>
      </c>
      <c r="S859" s="35">
        <f>IF(R859="","",IF(R859&gt;=60,INT(R859/60)&amp;":"&amp;TEXT(MOD(R859,60),"00.00"),TEXT(R859,"0.00")))</f>
        <v/>
      </c>
      <c r="T859" s="52">
        <f>IFERROR((G859-INDEX('01_Swimmers'!$E$5:$E$22,MATCH(B859,'01_Swimmers'!$A$5:$A$22,0)))/'00_Control'!$B$10,"")</f>
        <v/>
      </c>
      <c r="U859" s="35">
        <f>IF(T859="","",INT(T859))</f>
        <v/>
      </c>
      <c r="V859" s="33" t="inlineStr">
        <is>
          <t>NO</t>
        </is>
      </c>
      <c r="W859" s="33" t="inlineStr">
        <is>
          <t>YES</t>
        </is>
      </c>
      <c r="X859" s="33" t="inlineStr">
        <is>
          <t>NO</t>
        </is>
      </c>
      <c r="Y859" s="33" t="n">
        <v>5</v>
      </c>
      <c r="Z859" s="33" t="n">
        <v>8</v>
      </c>
      <c r="AA859" s="33" t="inlineStr">
        <is>
          <t>8</t>
        </is>
      </c>
      <c r="AB859" s="33" t="inlineStr">
        <is>
          <t>https://www.swimcloud.com/results/237934/event/31/?id=91556224#time91556224</t>
        </is>
      </c>
      <c r="AC859" s="33" t="inlineStr">
        <is>
          <t>SwimCloud API v6 2026-10-08</t>
        </is>
      </c>
      <c r="AD859" s="33" t="inlineStr">
        <is>
          <t>Egor Kornev|2022-11-30|SCM|100|Fly|53.84|Reserve of Russia|PRE|False</t>
        </is>
      </c>
      <c r="AE859" s="53">
        <f>G859+L859/1000+ROW()/1000000000</f>
        <v/>
      </c>
      <c r="AF859" s="35">
        <f>IF(C859&lt;&gt;"Grayson Coulter","",COUNTIFS($C$5:$C$2991,"Grayson Coulter",$Q$5:$Q$2991,Q859,$AE$5:$AE$2991,"&lt;="&amp;AE859,$R$5:$R$2991,"&lt;"&amp;R859))</f>
        <v/>
      </c>
      <c r="AG859" s="35">
        <f>IF(OR(C859&lt;&gt;"Grayson Coulter",G859&lt;'00_Control'!$B$7),"",--(AF859&lt;5))</f>
        <v/>
      </c>
      <c r="AH859" s="35">
        <f>IF(OR(C859&lt;&gt;"Grayson Coulter",G859&lt;'00_Control'!$B$7),"",--(AF859&lt;10))</f>
        <v/>
      </c>
      <c r="AI859" s="35">
        <f>IF(AND(C859="Grayson Coulter",G859&gt;='00_Control'!$B$7),"YES","NO")</f>
        <v/>
      </c>
      <c r="AJ859" s="33" t="inlineStr">
        <is>
          <t>OK</t>
        </is>
      </c>
    </row>
    <row r="860">
      <c r="A860" s="33" t="inlineStr">
        <is>
          <t>SM000856</t>
        </is>
      </c>
      <c r="B860" s="33" t="inlineStr">
        <is>
          <t>SW017</t>
        </is>
      </c>
      <c r="C860" s="33" t="inlineStr">
        <is>
          <t>Egor Kornev</t>
        </is>
      </c>
      <c r="D860" s="33" t="inlineStr">
        <is>
          <t>SwimCloud</t>
        </is>
      </c>
      <c r="E860" s="33" t="inlineStr">
        <is>
          <t>1139582</t>
        </is>
      </c>
      <c r="F860" s="33" t="inlineStr">
        <is>
          <t>98100197</t>
        </is>
      </c>
      <c r="G860" s="51" t="n">
        <v>44912</v>
      </c>
      <c r="H860" s="33" t="inlineStr">
        <is>
          <t>Vladimir Salnikov Cup</t>
        </is>
      </c>
      <c r="I860" s="33" t="inlineStr">
        <is>
          <t>237942</t>
        </is>
      </c>
      <c r="J860" s="33" t="inlineStr"/>
      <c r="K860" s="33" t="inlineStr">
        <is>
          <t>PRE</t>
        </is>
      </c>
      <c r="L860" s="35">
        <f>IF(K860="FIN",3,IF(OR(K860="SEM",K860="SEMI"),2,IF(OR(K860="PRE",K860="HEAT"),1,IF(V860="YES",4,2))))</f>
        <v/>
      </c>
      <c r="M860" s="33" t="inlineStr">
        <is>
          <t>SCM</t>
        </is>
      </c>
      <c r="N860" s="33" t="n">
        <v>100</v>
      </c>
      <c r="O860" s="33" t="inlineStr">
        <is>
          <t>Free</t>
        </is>
      </c>
      <c r="P860" s="33" t="inlineStr">
        <is>
          <t>100 Free</t>
        </is>
      </c>
      <c r="Q860" s="33" t="inlineStr">
        <is>
          <t>SCM_100_FREE</t>
        </is>
      </c>
      <c r="R860" s="36" t="n">
        <v>49.28</v>
      </c>
      <c r="S860" s="35">
        <f>IF(R860="","",IF(R860&gt;=60,INT(R860/60)&amp;":"&amp;TEXT(MOD(R860,60),"00.00"),TEXT(R860,"0.00")))</f>
        <v/>
      </c>
      <c r="T860" s="52">
        <f>IFERROR((G860-INDEX('01_Swimmers'!$E$5:$E$22,MATCH(B860,'01_Swimmers'!$A$5:$A$22,0)))/'00_Control'!$B$10,"")</f>
        <v/>
      </c>
      <c r="U860" s="35">
        <f>IF(T860="","",INT(T860))</f>
        <v/>
      </c>
      <c r="V860" s="33" t="inlineStr">
        <is>
          <t>NO</t>
        </is>
      </c>
      <c r="W860" s="33" t="inlineStr">
        <is>
          <t>YES</t>
        </is>
      </c>
      <c r="X860" s="33" t="inlineStr">
        <is>
          <t>NO</t>
        </is>
      </c>
      <c r="Y860" s="33" t="n">
        <v>5</v>
      </c>
      <c r="Z860" s="33" t="n">
        <v>3</v>
      </c>
      <c r="AA860" s="33" t="inlineStr">
        <is>
          <t>19</t>
        </is>
      </c>
      <c r="AB860" s="33" t="inlineStr">
        <is>
          <t>https://www.swimcloud.com/results/237942/event/22/?id=98100197#time98100197</t>
        </is>
      </c>
      <c r="AC860" s="33" t="inlineStr">
        <is>
          <t>SwimCloud API v6 2026-10-08</t>
        </is>
      </c>
      <c r="AD860" s="33" t="inlineStr">
        <is>
          <t>Egor Kornev|2022-12-17|SCM|100|Free|49.28|Vladimir Salnikov Cup|PRE|False</t>
        </is>
      </c>
      <c r="AE860" s="53">
        <f>G860+L860/1000+ROW()/1000000000</f>
        <v/>
      </c>
      <c r="AF860" s="35">
        <f>IF(C860&lt;&gt;"Grayson Coulter","",COUNTIFS($C$5:$C$2991,"Grayson Coulter",$Q$5:$Q$2991,Q860,$AE$5:$AE$2991,"&lt;="&amp;AE860,$R$5:$R$2991,"&lt;"&amp;R860))</f>
        <v/>
      </c>
      <c r="AG860" s="35">
        <f>IF(OR(C860&lt;&gt;"Grayson Coulter",G860&lt;'00_Control'!$B$7),"",--(AF860&lt;5))</f>
        <v/>
      </c>
      <c r="AH860" s="35">
        <f>IF(OR(C860&lt;&gt;"Grayson Coulter",G860&lt;'00_Control'!$B$7),"",--(AF860&lt;10))</f>
        <v/>
      </c>
      <c r="AI860" s="35">
        <f>IF(AND(C860="Grayson Coulter",G860&gt;='00_Control'!$B$7),"YES","NO")</f>
        <v/>
      </c>
      <c r="AJ860" s="33" t="inlineStr">
        <is>
          <t>OK</t>
        </is>
      </c>
    </row>
    <row r="861">
      <c r="A861" s="33" t="inlineStr">
        <is>
          <t>SM000857</t>
        </is>
      </c>
      <c r="B861" s="33" t="inlineStr">
        <is>
          <t>SW017</t>
        </is>
      </c>
      <c r="C861" s="33" t="inlineStr">
        <is>
          <t>Egor Kornev</t>
        </is>
      </c>
      <c r="D861" s="33" t="inlineStr">
        <is>
          <t>SwimCloud</t>
        </is>
      </c>
      <c r="E861" s="33" t="inlineStr">
        <is>
          <t>1139582</t>
        </is>
      </c>
      <c r="F861" s="33" t="inlineStr">
        <is>
          <t>98100198</t>
        </is>
      </c>
      <c r="G861" s="51" t="n">
        <v>44913</v>
      </c>
      <c r="H861" s="33" t="inlineStr">
        <is>
          <t>Vladimir Salnikov Cup</t>
        </is>
      </c>
      <c r="I861" s="33" t="inlineStr">
        <is>
          <t>237942</t>
        </is>
      </c>
      <c r="J861" s="33" t="inlineStr"/>
      <c r="K861" s="33" t="inlineStr">
        <is>
          <t>PRE</t>
        </is>
      </c>
      <c r="L861" s="35">
        <f>IF(K861="FIN",3,IF(OR(K861="SEM",K861="SEMI"),2,IF(OR(K861="PRE",K861="HEAT"),1,IF(V861="YES",4,2))))</f>
        <v/>
      </c>
      <c r="M861" s="33" t="inlineStr">
        <is>
          <t>SCM</t>
        </is>
      </c>
      <c r="N861" s="33" t="n">
        <v>200</v>
      </c>
      <c r="O861" s="33" t="inlineStr">
        <is>
          <t>Free</t>
        </is>
      </c>
      <c r="P861" s="33" t="inlineStr">
        <is>
          <t>200 Free</t>
        </is>
      </c>
      <c r="Q861" s="33" t="inlineStr">
        <is>
          <t>SCM_200_FREE</t>
        </is>
      </c>
      <c r="R861" s="36" t="n">
        <v>108.21</v>
      </c>
      <c r="S861" s="35">
        <f>IF(R861="","",IF(R861&gt;=60,INT(R861/60)&amp;":"&amp;TEXT(MOD(R861,60),"00.00"),TEXT(R861,"0.00")))</f>
        <v/>
      </c>
      <c r="T861" s="52">
        <f>IFERROR((G861-INDEX('01_Swimmers'!$E$5:$E$22,MATCH(B861,'01_Swimmers'!$A$5:$A$22,0)))/'00_Control'!$B$10,"")</f>
        <v/>
      </c>
      <c r="U861" s="35">
        <f>IF(T861="","",INT(T861))</f>
        <v/>
      </c>
      <c r="V861" s="33" t="inlineStr">
        <is>
          <t>NO</t>
        </is>
      </c>
      <c r="W861" s="33" t="inlineStr">
        <is>
          <t>YES</t>
        </is>
      </c>
      <c r="X861" s="33" t="inlineStr">
        <is>
          <t>NO</t>
        </is>
      </c>
      <c r="Y861" s="33" t="n">
        <v>4</v>
      </c>
      <c r="Z861" s="33" t="n">
        <v>2</v>
      </c>
      <c r="AA861" s="33" t="inlineStr">
        <is>
          <t>13</t>
        </is>
      </c>
      <c r="AB861" s="33" t="inlineStr">
        <is>
          <t>https://www.swimcloud.com/results/237942/event/36/?id=98100198#time98100198</t>
        </is>
      </c>
      <c r="AC861" s="33" t="inlineStr">
        <is>
          <t>SwimCloud API v6 2026-10-08</t>
        </is>
      </c>
      <c r="AD861" s="33" t="inlineStr">
        <is>
          <t>Egor Kornev|2022-12-18|SCM|200|Free|108.21|Vladimir Salnikov Cup|PRE|False</t>
        </is>
      </c>
      <c r="AE861" s="53">
        <f>G861+L861/1000+ROW()/1000000000</f>
        <v/>
      </c>
      <c r="AF861" s="35">
        <f>IF(C861&lt;&gt;"Grayson Coulter","",COUNTIFS($C$5:$C$2991,"Grayson Coulter",$Q$5:$Q$2991,Q861,$AE$5:$AE$2991,"&lt;="&amp;AE861,$R$5:$R$2991,"&lt;"&amp;R861))</f>
        <v/>
      </c>
      <c r="AG861" s="35">
        <f>IF(OR(C861&lt;&gt;"Grayson Coulter",G861&lt;'00_Control'!$B$7),"",--(AF861&lt;5))</f>
        <v/>
      </c>
      <c r="AH861" s="35">
        <f>IF(OR(C861&lt;&gt;"Grayson Coulter",G861&lt;'00_Control'!$B$7),"",--(AF861&lt;10))</f>
        <v/>
      </c>
      <c r="AI861" s="35">
        <f>IF(AND(C861="Grayson Coulter",G861&gt;='00_Control'!$B$7),"YES","NO")</f>
        <v/>
      </c>
      <c r="AJ861" s="33" t="inlineStr">
        <is>
          <t>OK</t>
        </is>
      </c>
    </row>
    <row r="862">
      <c r="A862" s="33" t="inlineStr">
        <is>
          <t>SM000858</t>
        </is>
      </c>
      <c r="B862" s="33" t="inlineStr">
        <is>
          <t>SW017</t>
        </is>
      </c>
      <c r="C862" s="33" t="inlineStr">
        <is>
          <t>Egor Kornev</t>
        </is>
      </c>
      <c r="D862" s="33" t="inlineStr">
        <is>
          <t>SwimCloud</t>
        </is>
      </c>
      <c r="E862" s="33" t="inlineStr">
        <is>
          <t>1139582</t>
        </is>
      </c>
      <c r="F862" s="33" t="inlineStr">
        <is>
          <t>98100201</t>
        </is>
      </c>
      <c r="G862" s="51" t="n">
        <v>44913</v>
      </c>
      <c r="H862" s="33" t="inlineStr">
        <is>
          <t>Vladimir Salnikov Cup</t>
        </is>
      </c>
      <c r="I862" s="33" t="inlineStr">
        <is>
          <t>237942</t>
        </is>
      </c>
      <c r="J862" s="33" t="inlineStr"/>
      <c r="K862" s="33" t="inlineStr">
        <is>
          <t>FIN</t>
        </is>
      </c>
      <c r="L862" s="35">
        <f>IF(K862="FIN",3,IF(OR(K862="SEM",K862="SEMI"),2,IF(OR(K862="PRE",K862="HEAT"),1,IF(V862="YES",4,2))))</f>
        <v/>
      </c>
      <c r="M862" s="33" t="inlineStr">
        <is>
          <t>SCM</t>
        </is>
      </c>
      <c r="N862" s="33" t="n">
        <v>200</v>
      </c>
      <c r="O862" s="33" t="inlineStr">
        <is>
          <t>Free</t>
        </is>
      </c>
      <c r="P862" s="33" t="inlineStr">
        <is>
          <t>200 Free</t>
        </is>
      </c>
      <c r="Q862" s="33" t="inlineStr">
        <is>
          <t>SCM_200_FREE</t>
        </is>
      </c>
      <c r="R862" s="36" t="n">
        <v>106.96</v>
      </c>
      <c r="S862" s="35">
        <f>IF(R862="","",IF(R862&gt;=60,INT(R862/60)&amp;":"&amp;TEXT(MOD(R862,60),"00.00"),TEXT(R862,"0.00")))</f>
        <v/>
      </c>
      <c r="T862" s="52">
        <f>IFERROR((G862-INDEX('01_Swimmers'!$E$5:$E$22,MATCH(B862,'01_Swimmers'!$A$5:$A$22,0)))/'00_Control'!$B$10,"")</f>
        <v/>
      </c>
      <c r="U862" s="35">
        <f>IF(T862="","",INT(T862))</f>
        <v/>
      </c>
      <c r="V862" s="33" t="inlineStr">
        <is>
          <t>NO</t>
        </is>
      </c>
      <c r="W862" s="33" t="inlineStr">
        <is>
          <t>YES</t>
        </is>
      </c>
      <c r="X862" s="33" t="inlineStr">
        <is>
          <t>NO</t>
        </is>
      </c>
      <c r="Y862" s="33" t="n">
        <v>2</v>
      </c>
      <c r="Z862" s="33" t="n">
        <v>6</v>
      </c>
      <c r="AA862" s="33" t="inlineStr">
        <is>
          <t>11</t>
        </is>
      </c>
      <c r="AB862" s="33" t="inlineStr">
        <is>
          <t>https://www.swimcloud.com/results/237942/event/36/?id=98100201#time98100201</t>
        </is>
      </c>
      <c r="AC862" s="33" t="inlineStr">
        <is>
          <t>SwimCloud API v6 2026-10-08</t>
        </is>
      </c>
      <c r="AD862" s="33" t="inlineStr">
        <is>
          <t>Egor Kornev|2022-12-18|SCM|200|Free|106.96|Vladimir Salnikov Cup|FIN|False</t>
        </is>
      </c>
      <c r="AE862" s="53">
        <f>G862+L862/1000+ROW()/1000000000</f>
        <v/>
      </c>
      <c r="AF862" s="35">
        <f>IF(C862&lt;&gt;"Grayson Coulter","",COUNTIFS($C$5:$C$2991,"Grayson Coulter",$Q$5:$Q$2991,Q862,$AE$5:$AE$2991,"&lt;="&amp;AE862,$R$5:$R$2991,"&lt;"&amp;R862))</f>
        <v/>
      </c>
      <c r="AG862" s="35">
        <f>IF(OR(C862&lt;&gt;"Grayson Coulter",G862&lt;'00_Control'!$B$7),"",--(AF862&lt;5))</f>
        <v/>
      </c>
      <c r="AH862" s="35">
        <f>IF(OR(C862&lt;&gt;"Grayson Coulter",G862&lt;'00_Control'!$B$7),"",--(AF862&lt;10))</f>
        <v/>
      </c>
      <c r="AI862" s="35">
        <f>IF(AND(C862="Grayson Coulter",G862&gt;='00_Control'!$B$7),"YES","NO")</f>
        <v/>
      </c>
      <c r="AJ862" s="33" t="inlineStr">
        <is>
          <t>OK</t>
        </is>
      </c>
    </row>
    <row r="863">
      <c r="A863" s="33" t="inlineStr">
        <is>
          <t>SM000859</t>
        </is>
      </c>
      <c r="B863" s="33" t="inlineStr">
        <is>
          <t>SW017</t>
        </is>
      </c>
      <c r="C863" s="33" t="inlineStr">
        <is>
          <t>Egor Kornev</t>
        </is>
      </c>
      <c r="D863" s="33" t="inlineStr">
        <is>
          <t>SwimCloud</t>
        </is>
      </c>
      <c r="E863" s="33" t="inlineStr">
        <is>
          <t>1139582</t>
        </is>
      </c>
      <c r="F863" s="33" t="inlineStr">
        <is>
          <t>100502538</t>
        </is>
      </c>
      <c r="G863" s="51" t="n">
        <v>45032</v>
      </c>
      <c r="H863" s="33" t="inlineStr">
        <is>
          <t>Russian National Championship</t>
        </is>
      </c>
      <c r="I863" s="33" t="inlineStr">
        <is>
          <t>267271</t>
        </is>
      </c>
      <c r="J863" s="33" t="inlineStr"/>
      <c r="K863" s="33" t="inlineStr">
        <is>
          <t>FIN</t>
        </is>
      </c>
      <c r="L863" s="35">
        <f>IF(K863="FIN",3,IF(OR(K863="SEM",K863="SEMI"),2,IF(OR(K863="PRE",K863="HEAT"),1,IF(V863="YES",4,2))))</f>
        <v/>
      </c>
      <c r="M863" s="33" t="inlineStr">
        <is>
          <t>LCM</t>
        </is>
      </c>
      <c r="N863" s="33" t="n">
        <v>100</v>
      </c>
      <c r="O863" s="33" t="inlineStr">
        <is>
          <t>Free</t>
        </is>
      </c>
      <c r="P863" s="33" t="inlineStr">
        <is>
          <t>100 Free</t>
        </is>
      </c>
      <c r="Q863" s="33" t="inlineStr">
        <is>
          <t>LCM_100_FREE</t>
        </is>
      </c>
      <c r="R863" s="36" t="n">
        <v>49.26</v>
      </c>
      <c r="S863" s="35">
        <f>IF(R863="","",IF(R863&gt;=60,INT(R863/60)&amp;":"&amp;TEXT(MOD(R863,60),"00.00"),TEXT(R863,"0.00")))</f>
        <v/>
      </c>
      <c r="T863" s="52">
        <f>IFERROR((G863-INDEX('01_Swimmers'!$E$5:$E$22,MATCH(B863,'01_Swimmers'!$A$5:$A$22,0)))/'00_Control'!$B$10,"")</f>
        <v/>
      </c>
      <c r="U863" s="35">
        <f>IF(T863="","",INT(T863))</f>
        <v/>
      </c>
      <c r="V863" s="33" t="inlineStr">
        <is>
          <t>YES</t>
        </is>
      </c>
      <c r="W863" s="33" t="inlineStr">
        <is>
          <t>YES</t>
        </is>
      </c>
      <c r="X863" s="33" t="inlineStr">
        <is>
          <t>NO</t>
        </is>
      </c>
      <c r="Y863" s="33" t="n">
        <v>1</v>
      </c>
      <c r="Z863" s="33" t="n">
        <v>4</v>
      </c>
      <c r="AA863" s="33" t="inlineStr"/>
      <c r="AB863" s="33" t="inlineStr">
        <is>
          <t>https://www.swimcloud.com/results/267271/event/7/?id=100501914#time100501914</t>
        </is>
      </c>
      <c r="AC863" s="33" t="inlineStr">
        <is>
          <t>SwimCloud API v6 2026-10-08</t>
        </is>
      </c>
      <c r="AD863" s="33" t="inlineStr">
        <is>
          <t>Egor Kornev|2023-04-16|LCM|100|Free|49.26|Russian National Championship|FIN|True</t>
        </is>
      </c>
      <c r="AE863" s="53">
        <f>G863+L863/1000+ROW()/1000000000</f>
        <v/>
      </c>
      <c r="AF863" s="35">
        <f>IF(C863&lt;&gt;"Grayson Coulter","",COUNTIFS($C$5:$C$2991,"Grayson Coulter",$Q$5:$Q$2991,Q863,$AE$5:$AE$2991,"&lt;="&amp;AE863,$R$5:$R$2991,"&lt;"&amp;R863))</f>
        <v/>
      </c>
      <c r="AG863" s="35">
        <f>IF(OR(C863&lt;&gt;"Grayson Coulter",G863&lt;'00_Control'!$B$7),"",--(AF863&lt;5))</f>
        <v/>
      </c>
      <c r="AH863" s="35">
        <f>IF(OR(C863&lt;&gt;"Grayson Coulter",G863&lt;'00_Control'!$B$7),"",--(AF863&lt;10))</f>
        <v/>
      </c>
      <c r="AI863" s="35">
        <f>IF(AND(C863="Grayson Coulter",G863&gt;='00_Control'!$B$7),"YES","NO")</f>
        <v/>
      </c>
      <c r="AJ863" s="33" t="inlineStr">
        <is>
          <t>OK</t>
        </is>
      </c>
    </row>
    <row r="864">
      <c r="A864" s="33" t="inlineStr">
        <is>
          <t>SM000860</t>
        </is>
      </c>
      <c r="B864" s="33" t="inlineStr">
        <is>
          <t>SW017</t>
        </is>
      </c>
      <c r="C864" s="33" t="inlineStr">
        <is>
          <t>Egor Kornev</t>
        </is>
      </c>
      <c r="D864" s="33" t="inlineStr">
        <is>
          <t>SwimCloud</t>
        </is>
      </c>
      <c r="E864" s="33" t="inlineStr">
        <is>
          <t>1139582</t>
        </is>
      </c>
      <c r="F864" s="33" t="inlineStr">
        <is>
          <t>100501532</t>
        </is>
      </c>
      <c r="G864" s="51" t="n">
        <v>45032</v>
      </c>
      <c r="H864" s="33" t="inlineStr">
        <is>
          <t>Russian National Championship</t>
        </is>
      </c>
      <c r="I864" s="33" t="inlineStr">
        <is>
          <t>267271</t>
        </is>
      </c>
      <c r="J864" s="33" t="inlineStr"/>
      <c r="K864" s="33" t="inlineStr">
        <is>
          <t>PRE</t>
        </is>
      </c>
      <c r="L864" s="35">
        <f>IF(K864="FIN",3,IF(OR(K864="SEM",K864="SEMI"),2,IF(OR(K864="PRE",K864="HEAT"),1,IF(V864="YES",4,2))))</f>
        <v/>
      </c>
      <c r="M864" s="33" t="inlineStr">
        <is>
          <t>LCM</t>
        </is>
      </c>
      <c r="N864" s="33" t="n">
        <v>200</v>
      </c>
      <c r="O864" s="33" t="inlineStr">
        <is>
          <t>Free</t>
        </is>
      </c>
      <c r="P864" s="33" t="inlineStr">
        <is>
          <t>200 Free</t>
        </is>
      </c>
      <c r="Q864" s="33" t="inlineStr">
        <is>
          <t>LCM_200_FREE</t>
        </is>
      </c>
      <c r="R864" s="36" t="n">
        <v>109.47</v>
      </c>
      <c r="S864" s="35">
        <f>IF(R864="","",IF(R864&gt;=60,INT(R864/60)&amp;":"&amp;TEXT(MOD(R864,60),"00.00"),TEXT(R864,"0.00")))</f>
        <v/>
      </c>
      <c r="T864" s="52">
        <f>IFERROR((G864-INDEX('01_Swimmers'!$E$5:$E$22,MATCH(B864,'01_Swimmers'!$A$5:$A$22,0)))/'00_Control'!$B$10,"")</f>
        <v/>
      </c>
      <c r="U864" s="35">
        <f>IF(T864="","",INT(T864))</f>
        <v/>
      </c>
      <c r="V864" s="33" t="inlineStr">
        <is>
          <t>NO</t>
        </is>
      </c>
      <c r="W864" s="33" t="inlineStr">
        <is>
          <t>YES</t>
        </is>
      </c>
      <c r="X864" s="33" t="inlineStr">
        <is>
          <t>NO</t>
        </is>
      </c>
      <c r="Y864" s="33" t="n">
        <v>11</v>
      </c>
      <c r="Z864" s="33" t="n">
        <v>5</v>
      </c>
      <c r="AA864" s="33" t="inlineStr">
        <is>
          <t>8</t>
        </is>
      </c>
      <c r="AB864" s="33" t="inlineStr">
        <is>
          <t>https://www.swimcloud.com/results/267271/event/2/?id=100501532#time100501532</t>
        </is>
      </c>
      <c r="AC864" s="33" t="inlineStr">
        <is>
          <t>SwimCloud API v6 2026-10-08</t>
        </is>
      </c>
      <c r="AD864" s="33" t="inlineStr">
        <is>
          <t>Egor Kornev|2023-04-16|LCM|200|Free|109.47|Russian National Championship|PRE|False</t>
        </is>
      </c>
      <c r="AE864" s="53">
        <f>G864+L864/1000+ROW()/1000000000</f>
        <v/>
      </c>
      <c r="AF864" s="35">
        <f>IF(C864&lt;&gt;"Grayson Coulter","",COUNTIFS($C$5:$C$2991,"Grayson Coulter",$Q$5:$Q$2991,Q864,$AE$5:$AE$2991,"&lt;="&amp;AE864,$R$5:$R$2991,"&lt;"&amp;R864))</f>
        <v/>
      </c>
      <c r="AG864" s="35">
        <f>IF(OR(C864&lt;&gt;"Grayson Coulter",G864&lt;'00_Control'!$B$7),"",--(AF864&lt;5))</f>
        <v/>
      </c>
      <c r="AH864" s="35">
        <f>IF(OR(C864&lt;&gt;"Grayson Coulter",G864&lt;'00_Control'!$B$7),"",--(AF864&lt;10))</f>
        <v/>
      </c>
      <c r="AI864" s="35">
        <f>IF(AND(C864="Grayson Coulter",G864&gt;='00_Control'!$B$7),"YES","NO")</f>
        <v/>
      </c>
      <c r="AJ864" s="33" t="inlineStr">
        <is>
          <t>OK</t>
        </is>
      </c>
    </row>
    <row r="865">
      <c r="A865" s="33" t="inlineStr">
        <is>
          <t>SM000861</t>
        </is>
      </c>
      <c r="B865" s="33" t="inlineStr">
        <is>
          <t>SW017</t>
        </is>
      </c>
      <c r="C865" s="33" t="inlineStr">
        <is>
          <t>Egor Kornev</t>
        </is>
      </c>
      <c r="D865" s="33" t="inlineStr">
        <is>
          <t>SwimCloud</t>
        </is>
      </c>
      <c r="E865" s="33" t="inlineStr">
        <is>
          <t>1139582</t>
        </is>
      </c>
      <c r="F865" s="33" t="inlineStr">
        <is>
          <t>100501533</t>
        </is>
      </c>
      <c r="G865" s="51" t="n">
        <v>45033</v>
      </c>
      <c r="H865" s="33" t="inlineStr">
        <is>
          <t>Russian National Championship</t>
        </is>
      </c>
      <c r="I865" s="33" t="inlineStr">
        <is>
          <t>267271</t>
        </is>
      </c>
      <c r="J865" s="33" t="inlineStr"/>
      <c r="K865" s="33" t="inlineStr">
        <is>
          <t>PRE</t>
        </is>
      </c>
      <c r="L865" s="35">
        <f>IF(K865="FIN",3,IF(OR(K865="SEM",K865="SEMI"),2,IF(OR(K865="PRE",K865="HEAT"),1,IF(V865="YES",4,2))))</f>
        <v/>
      </c>
      <c r="M865" s="33" t="inlineStr">
        <is>
          <t>LCM</t>
        </is>
      </c>
      <c r="N865" s="33" t="n">
        <v>100</v>
      </c>
      <c r="O865" s="33" t="inlineStr">
        <is>
          <t>Fly</t>
        </is>
      </c>
      <c r="P865" s="33" t="inlineStr">
        <is>
          <t>100 Fly</t>
        </is>
      </c>
      <c r="Q865" s="33" t="inlineStr">
        <is>
          <t>LCM_100_FLY</t>
        </is>
      </c>
      <c r="R865" s="36" t="n">
        <v>53.92</v>
      </c>
      <c r="S865" s="35">
        <f>IF(R865="","",IF(R865&gt;=60,INT(R865/60)&amp;":"&amp;TEXT(MOD(R865,60),"00.00"),TEXT(R865,"0.00")))</f>
        <v/>
      </c>
      <c r="T865" s="52">
        <f>IFERROR((G865-INDEX('01_Swimmers'!$E$5:$E$22,MATCH(B865,'01_Swimmers'!$A$5:$A$22,0)))/'00_Control'!$B$10,"")</f>
        <v/>
      </c>
      <c r="U865" s="35">
        <f>IF(T865="","",INT(T865))</f>
        <v/>
      </c>
      <c r="V865" s="33" t="inlineStr">
        <is>
          <t>NO</t>
        </is>
      </c>
      <c r="W865" s="33" t="inlineStr">
        <is>
          <t>YES</t>
        </is>
      </c>
      <c r="X865" s="33" t="inlineStr">
        <is>
          <t>NO</t>
        </is>
      </c>
      <c r="Y865" s="33" t="n">
        <v>1</v>
      </c>
      <c r="Z865" s="33" t="n">
        <v>9</v>
      </c>
      <c r="AA865" s="33" t="inlineStr">
        <is>
          <t>20</t>
        </is>
      </c>
      <c r="AB865" s="33" t="inlineStr">
        <is>
          <t>https://www.swimcloud.com/results/267271/event/11/?id=100501533#time100501533</t>
        </is>
      </c>
      <c r="AC865" s="33" t="inlineStr">
        <is>
          <t>SwimCloud API v6 2026-10-08</t>
        </is>
      </c>
      <c r="AD865" s="33" t="inlineStr">
        <is>
          <t>Egor Kornev|2023-04-17|LCM|100|Fly|53.92|Russian National Championship|PRE|False</t>
        </is>
      </c>
      <c r="AE865" s="53">
        <f>G865+L865/1000+ROW()/1000000000</f>
        <v/>
      </c>
      <c r="AF865" s="35">
        <f>IF(C865&lt;&gt;"Grayson Coulter","",COUNTIFS($C$5:$C$2991,"Grayson Coulter",$Q$5:$Q$2991,Q865,$AE$5:$AE$2991,"&lt;="&amp;AE865,$R$5:$R$2991,"&lt;"&amp;R865))</f>
        <v/>
      </c>
      <c r="AG865" s="35">
        <f>IF(OR(C865&lt;&gt;"Grayson Coulter",G865&lt;'00_Control'!$B$7),"",--(AF865&lt;5))</f>
        <v/>
      </c>
      <c r="AH865" s="35">
        <f>IF(OR(C865&lt;&gt;"Grayson Coulter",G865&lt;'00_Control'!$B$7),"",--(AF865&lt;10))</f>
        <v/>
      </c>
      <c r="AI865" s="35">
        <f>IF(AND(C865="Grayson Coulter",G865&gt;='00_Control'!$B$7),"YES","NO")</f>
        <v/>
      </c>
      <c r="AJ865" s="33" t="inlineStr">
        <is>
          <t>OK</t>
        </is>
      </c>
    </row>
    <row r="866">
      <c r="A866" s="33" t="inlineStr">
        <is>
          <t>SM000862</t>
        </is>
      </c>
      <c r="B866" s="33" t="inlineStr">
        <is>
          <t>SW017</t>
        </is>
      </c>
      <c r="C866" s="33" t="inlineStr">
        <is>
          <t>Egor Kornev</t>
        </is>
      </c>
      <c r="D866" s="33" t="inlineStr">
        <is>
          <t>SwimCloud</t>
        </is>
      </c>
      <c r="E866" s="33" t="inlineStr">
        <is>
          <t>1139582</t>
        </is>
      </c>
      <c r="F866" s="33" t="inlineStr">
        <is>
          <t>100502582</t>
        </is>
      </c>
      <c r="G866" s="51" t="n">
        <v>45034</v>
      </c>
      <c r="H866" s="33" t="inlineStr">
        <is>
          <t>Russian National Championship</t>
        </is>
      </c>
      <c r="I866" s="33" t="inlineStr">
        <is>
          <t>267271</t>
        </is>
      </c>
      <c r="J866" s="33" t="inlineStr"/>
      <c r="K866" s="33" t="inlineStr">
        <is>
          <t>FIN</t>
        </is>
      </c>
      <c r="L866" s="35">
        <f>IF(K866="FIN",3,IF(OR(K866="SEM",K866="SEMI"),2,IF(OR(K866="PRE",K866="HEAT"),1,IF(V866="YES",4,2))))</f>
        <v/>
      </c>
      <c r="M866" s="33" t="inlineStr">
        <is>
          <t>LCM</t>
        </is>
      </c>
      <c r="N866" s="33" t="n">
        <v>100</v>
      </c>
      <c r="O866" s="33" t="inlineStr">
        <is>
          <t>Free</t>
        </is>
      </c>
      <c r="P866" s="33" t="inlineStr">
        <is>
          <t>100 Free</t>
        </is>
      </c>
      <c r="Q866" s="33" t="inlineStr">
        <is>
          <t>LCM_100_FREE</t>
        </is>
      </c>
      <c r="R866" s="36" t="n">
        <v>48.73</v>
      </c>
      <c r="S866" s="35">
        <f>IF(R866="","",IF(R866&gt;=60,INT(R866/60)&amp;":"&amp;TEXT(MOD(R866,60),"00.00"),TEXT(R866,"0.00")))</f>
        <v/>
      </c>
      <c r="T866" s="52">
        <f>IFERROR((G866-INDEX('01_Swimmers'!$E$5:$E$22,MATCH(B866,'01_Swimmers'!$A$5:$A$22,0)))/'00_Control'!$B$10,"")</f>
        <v/>
      </c>
      <c r="U866" s="35">
        <f>IF(T866="","",INT(T866))</f>
        <v/>
      </c>
      <c r="V866" s="33" t="inlineStr">
        <is>
          <t>YES</t>
        </is>
      </c>
      <c r="W866" s="33" t="inlineStr">
        <is>
          <t>YES</t>
        </is>
      </c>
      <c r="X866" s="33" t="inlineStr">
        <is>
          <t>NO</t>
        </is>
      </c>
      <c r="Y866" s="33" t="n">
        <v>1</v>
      </c>
      <c r="Z866" s="33" t="n">
        <v>6</v>
      </c>
      <c r="AA866" s="33" t="inlineStr"/>
      <c r="AB866" s="33" t="inlineStr">
        <is>
          <t>https://www.swimcloud.com/results/267271/event/21/?id=100501926#time100501926</t>
        </is>
      </c>
      <c r="AC866" s="33" t="inlineStr">
        <is>
          <t>SwimCloud API v6 2026-10-08</t>
        </is>
      </c>
      <c r="AD866" s="33" t="inlineStr">
        <is>
          <t>Egor Kornev|2023-04-18|LCM|100|Free|48.73|Russian National Championship|FIN|True</t>
        </is>
      </c>
      <c r="AE866" s="53">
        <f>G866+L866/1000+ROW()/1000000000</f>
        <v/>
      </c>
      <c r="AF866" s="35">
        <f>IF(C866&lt;&gt;"Grayson Coulter","",COUNTIFS($C$5:$C$2991,"Grayson Coulter",$Q$5:$Q$2991,Q866,$AE$5:$AE$2991,"&lt;="&amp;AE866,$R$5:$R$2991,"&lt;"&amp;R866))</f>
        <v/>
      </c>
      <c r="AG866" s="35">
        <f>IF(OR(C866&lt;&gt;"Grayson Coulter",G866&lt;'00_Control'!$B$7),"",--(AF866&lt;5))</f>
        <v/>
      </c>
      <c r="AH866" s="35">
        <f>IF(OR(C866&lt;&gt;"Grayson Coulter",G866&lt;'00_Control'!$B$7),"",--(AF866&lt;10))</f>
        <v/>
      </c>
      <c r="AI866" s="35">
        <f>IF(AND(C866="Grayson Coulter",G866&gt;='00_Control'!$B$7),"YES","NO")</f>
        <v/>
      </c>
      <c r="AJ866" s="33" t="inlineStr">
        <is>
          <t>OK</t>
        </is>
      </c>
    </row>
    <row r="867">
      <c r="A867" s="33" t="inlineStr">
        <is>
          <t>SM000863</t>
        </is>
      </c>
      <c r="B867" s="33" t="inlineStr">
        <is>
          <t>SW017</t>
        </is>
      </c>
      <c r="C867" s="33" t="inlineStr">
        <is>
          <t>Egor Kornev</t>
        </is>
      </c>
      <c r="D867" s="33" t="inlineStr">
        <is>
          <t>SwimCloud</t>
        </is>
      </c>
      <c r="E867" s="33" t="inlineStr">
        <is>
          <t>1139582</t>
        </is>
      </c>
      <c r="F867" s="33" t="inlineStr">
        <is>
          <t>100501536</t>
        </is>
      </c>
      <c r="G867" s="51" t="n">
        <v>45036</v>
      </c>
      <c r="H867" s="33" t="inlineStr">
        <is>
          <t>Russian National Championship</t>
        </is>
      </c>
      <c r="I867" s="33" t="inlineStr">
        <is>
          <t>267271</t>
        </is>
      </c>
      <c r="J867" s="33" t="inlineStr"/>
      <c r="K867" s="33" t="inlineStr">
        <is>
          <t>PRE</t>
        </is>
      </c>
      <c r="L867" s="35">
        <f>IF(K867="FIN",3,IF(OR(K867="SEM",K867="SEMI"),2,IF(OR(K867="PRE",K867="HEAT"),1,IF(V867="YES",4,2))))</f>
        <v/>
      </c>
      <c r="M867" s="33" t="inlineStr">
        <is>
          <t>LCM</t>
        </is>
      </c>
      <c r="N867" s="33" t="n">
        <v>100</v>
      </c>
      <c r="O867" s="33" t="inlineStr">
        <is>
          <t>Free</t>
        </is>
      </c>
      <c r="P867" s="33" t="inlineStr">
        <is>
          <t>100 Free</t>
        </is>
      </c>
      <c r="Q867" s="33" t="inlineStr">
        <is>
          <t>LCM_100_FREE</t>
        </is>
      </c>
      <c r="R867" s="36" t="n">
        <v>48.89</v>
      </c>
      <c r="S867" s="35">
        <f>IF(R867="","",IF(R867&gt;=60,INT(R867/60)&amp;":"&amp;TEXT(MOD(R867,60),"00.00"),TEXT(R867,"0.00")))</f>
        <v/>
      </c>
      <c r="T867" s="52">
        <f>IFERROR((G867-INDEX('01_Swimmers'!$E$5:$E$22,MATCH(B867,'01_Swimmers'!$A$5:$A$22,0)))/'00_Control'!$B$10,"")</f>
        <v/>
      </c>
      <c r="U867" s="35">
        <f>IF(T867="","",INT(T867))</f>
        <v/>
      </c>
      <c r="V867" s="33" t="inlineStr">
        <is>
          <t>NO</t>
        </is>
      </c>
      <c r="W867" s="33" t="inlineStr">
        <is>
          <t>YES</t>
        </is>
      </c>
      <c r="X867" s="33" t="inlineStr">
        <is>
          <t>NO</t>
        </is>
      </c>
      <c r="Y867" s="33" t="n">
        <v>15</v>
      </c>
      <c r="Z867" s="33" t="n">
        <v>7</v>
      </c>
      <c r="AA867" s="33" t="inlineStr">
        <is>
          <t>3</t>
        </is>
      </c>
      <c r="AB867" s="33" t="inlineStr">
        <is>
          <t>https://www.swimcloud.com/results/267271/event/29/?id=100501536#time100501536</t>
        </is>
      </c>
      <c r="AC867" s="33" t="inlineStr">
        <is>
          <t>SwimCloud API v6 2026-10-08</t>
        </is>
      </c>
      <c r="AD867" s="33" t="inlineStr">
        <is>
          <t>Egor Kornev|2023-04-20|LCM|100|Free|48.89|Russian National Championship|PRE|False</t>
        </is>
      </c>
      <c r="AE867" s="53">
        <f>G867+L867/1000+ROW()/1000000000</f>
        <v/>
      </c>
      <c r="AF867" s="35">
        <f>IF(C867&lt;&gt;"Grayson Coulter","",COUNTIFS($C$5:$C$2991,"Grayson Coulter",$Q$5:$Q$2991,Q867,$AE$5:$AE$2991,"&lt;="&amp;AE867,$R$5:$R$2991,"&lt;"&amp;R867))</f>
        <v/>
      </c>
      <c r="AG867" s="35">
        <f>IF(OR(C867&lt;&gt;"Grayson Coulter",G867&lt;'00_Control'!$B$7),"",--(AF867&lt;5))</f>
        <v/>
      </c>
      <c r="AH867" s="35">
        <f>IF(OR(C867&lt;&gt;"Grayson Coulter",G867&lt;'00_Control'!$B$7),"",--(AF867&lt;10))</f>
        <v/>
      </c>
      <c r="AI867" s="35">
        <f>IF(AND(C867="Grayson Coulter",G867&gt;='00_Control'!$B$7),"YES","NO")</f>
        <v/>
      </c>
      <c r="AJ867" s="33" t="inlineStr">
        <is>
          <t>OK</t>
        </is>
      </c>
    </row>
    <row r="868">
      <c r="A868" s="33" t="inlineStr">
        <is>
          <t>SM000864</t>
        </is>
      </c>
      <c r="B868" s="33" t="inlineStr">
        <is>
          <t>SW017</t>
        </is>
      </c>
      <c r="C868" s="33" t="inlineStr">
        <is>
          <t>Egor Kornev</t>
        </is>
      </c>
      <c r="D868" s="33" t="inlineStr">
        <is>
          <t>SwimCloud</t>
        </is>
      </c>
      <c r="E868" s="33" t="inlineStr">
        <is>
          <t>1139582</t>
        </is>
      </c>
      <c r="F868" s="33" t="inlineStr">
        <is>
          <t>100501539</t>
        </is>
      </c>
      <c r="G868" s="51" t="n">
        <v>45036</v>
      </c>
      <c r="H868" s="33" t="inlineStr">
        <is>
          <t>Russian National Championship</t>
        </is>
      </c>
      <c r="I868" s="33" t="inlineStr">
        <is>
          <t>267271</t>
        </is>
      </c>
      <c r="J868" s="33" t="inlineStr"/>
      <c r="K868" s="33" t="inlineStr">
        <is>
          <t>SEM</t>
        </is>
      </c>
      <c r="L868" s="35">
        <f>IF(K868="FIN",3,IF(OR(K868="SEM",K868="SEMI"),2,IF(OR(K868="PRE",K868="HEAT"),1,IF(V868="YES",4,2))))</f>
        <v/>
      </c>
      <c r="M868" s="33" t="inlineStr">
        <is>
          <t>LCM</t>
        </is>
      </c>
      <c r="N868" s="33" t="n">
        <v>100</v>
      </c>
      <c r="O868" s="33" t="inlineStr">
        <is>
          <t>Free</t>
        </is>
      </c>
      <c r="P868" s="33" t="inlineStr">
        <is>
          <t>100 Free</t>
        </is>
      </c>
      <c r="Q868" s="33" t="inlineStr">
        <is>
          <t>LCM_100_FREE</t>
        </is>
      </c>
      <c r="R868" s="36" t="n">
        <v>48.7</v>
      </c>
      <c r="S868" s="35">
        <f>IF(R868="","",IF(R868&gt;=60,INT(R868/60)&amp;":"&amp;TEXT(MOD(R868,60),"00.00"),TEXT(R868,"0.00")))</f>
        <v/>
      </c>
      <c r="T868" s="52">
        <f>IFERROR((G868-INDEX('01_Swimmers'!$E$5:$E$22,MATCH(B868,'01_Swimmers'!$A$5:$A$22,0)))/'00_Control'!$B$10,"")</f>
        <v/>
      </c>
      <c r="U868" s="35">
        <f>IF(T868="","",INT(T868))</f>
        <v/>
      </c>
      <c r="V868" s="33" t="inlineStr">
        <is>
          <t>NO</t>
        </is>
      </c>
      <c r="W868" s="33" t="inlineStr">
        <is>
          <t>YES</t>
        </is>
      </c>
      <c r="X868" s="33" t="inlineStr">
        <is>
          <t>NO</t>
        </is>
      </c>
      <c r="Y868" s="33" t="n">
        <v>2</v>
      </c>
      <c r="Z868" s="33" t="n">
        <v>5</v>
      </c>
      <c r="AA868" s="33" t="inlineStr">
        <is>
          <t>3</t>
        </is>
      </c>
      <c r="AB868" s="33" t="inlineStr">
        <is>
          <t>https://www.swimcloud.com/results/267271/event/29/?id=100501539#time100501539</t>
        </is>
      </c>
      <c r="AC868" s="33" t="inlineStr">
        <is>
          <t>SwimCloud API v6 2026-10-08</t>
        </is>
      </c>
      <c r="AD868" s="33" t="inlineStr">
        <is>
          <t>Egor Kornev|2023-04-20|LCM|100|Free|48.7|Russian National Championship|SEM|False</t>
        </is>
      </c>
      <c r="AE868" s="53">
        <f>G868+L868/1000+ROW()/1000000000</f>
        <v/>
      </c>
      <c r="AF868" s="35">
        <f>IF(C868&lt;&gt;"Grayson Coulter","",COUNTIFS($C$5:$C$2991,"Grayson Coulter",$Q$5:$Q$2991,Q868,$AE$5:$AE$2991,"&lt;="&amp;AE868,$R$5:$R$2991,"&lt;"&amp;R868))</f>
        <v/>
      </c>
      <c r="AG868" s="35">
        <f>IF(OR(C868&lt;&gt;"Grayson Coulter",G868&lt;'00_Control'!$B$7),"",--(AF868&lt;5))</f>
        <v/>
      </c>
      <c r="AH868" s="35">
        <f>IF(OR(C868&lt;&gt;"Grayson Coulter",G868&lt;'00_Control'!$B$7),"",--(AF868&lt;10))</f>
        <v/>
      </c>
      <c r="AI868" s="35">
        <f>IF(AND(C868="Grayson Coulter",G868&gt;='00_Control'!$B$7),"YES","NO")</f>
        <v/>
      </c>
      <c r="AJ868" s="33" t="inlineStr">
        <is>
          <t>OK</t>
        </is>
      </c>
    </row>
    <row r="869">
      <c r="A869" s="33" t="inlineStr">
        <is>
          <t>SM000865</t>
        </is>
      </c>
      <c r="B869" s="33" t="inlineStr">
        <is>
          <t>SW017</t>
        </is>
      </c>
      <c r="C869" s="33" t="inlineStr">
        <is>
          <t>Egor Kornev</t>
        </is>
      </c>
      <c r="D869" s="33" t="inlineStr">
        <is>
          <t>SwimCloud</t>
        </is>
      </c>
      <c r="E869" s="33" t="inlineStr">
        <is>
          <t>1139582</t>
        </is>
      </c>
      <c r="F869" s="33" t="inlineStr">
        <is>
          <t>100501540</t>
        </is>
      </c>
      <c r="G869" s="51" t="n">
        <v>45037</v>
      </c>
      <c r="H869" s="33" t="inlineStr">
        <is>
          <t>Russian National Championship</t>
        </is>
      </c>
      <c r="I869" s="33" t="inlineStr">
        <is>
          <t>267271</t>
        </is>
      </c>
      <c r="J869" s="33" t="inlineStr"/>
      <c r="K869" s="33" t="inlineStr">
        <is>
          <t>FIN</t>
        </is>
      </c>
      <c r="L869" s="35">
        <f>IF(K869="FIN",3,IF(OR(K869="SEM",K869="SEMI"),2,IF(OR(K869="PRE",K869="HEAT"),1,IF(V869="YES",4,2))))</f>
        <v/>
      </c>
      <c r="M869" s="33" t="inlineStr">
        <is>
          <t>LCM</t>
        </is>
      </c>
      <c r="N869" s="33" t="n">
        <v>100</v>
      </c>
      <c r="O869" s="33" t="inlineStr">
        <is>
          <t>Free</t>
        </is>
      </c>
      <c r="P869" s="33" t="inlineStr">
        <is>
          <t>100 Free</t>
        </is>
      </c>
      <c r="Q869" s="33" t="inlineStr">
        <is>
          <t>LCM_100_FREE</t>
        </is>
      </c>
      <c r="R869" s="36" t="n">
        <v>48.93</v>
      </c>
      <c r="S869" s="35">
        <f>IF(R869="","",IF(R869&gt;=60,INT(R869/60)&amp;":"&amp;TEXT(MOD(R869,60),"00.00"),TEXT(R869,"0.00")))</f>
        <v/>
      </c>
      <c r="T869" s="52">
        <f>IFERROR((G869-INDEX('01_Swimmers'!$E$5:$E$22,MATCH(B869,'01_Swimmers'!$A$5:$A$22,0)))/'00_Control'!$B$10,"")</f>
        <v/>
      </c>
      <c r="U869" s="35">
        <f>IF(T869="","",INT(T869))</f>
        <v/>
      </c>
      <c r="V869" s="33" t="inlineStr">
        <is>
          <t>NO</t>
        </is>
      </c>
      <c r="W869" s="33" t="inlineStr">
        <is>
          <t>YES</t>
        </is>
      </c>
      <c r="X869" s="33" t="inlineStr">
        <is>
          <t>NO</t>
        </is>
      </c>
      <c r="Y869" s="33" t="n">
        <v>1</v>
      </c>
      <c r="Z869" s="33" t="n">
        <v>3</v>
      </c>
      <c r="AA869" s="33" t="inlineStr">
        <is>
          <t>4</t>
        </is>
      </c>
      <c r="AB869" s="33" t="inlineStr">
        <is>
          <t>https://www.swimcloud.com/results/267271/event/29/?id=100501540#time100501540</t>
        </is>
      </c>
      <c r="AC869" s="33" t="inlineStr">
        <is>
          <t>SwimCloud API v6 2026-10-08</t>
        </is>
      </c>
      <c r="AD869" s="33" t="inlineStr">
        <is>
          <t>Egor Kornev|2023-04-21|LCM|100|Free|48.93|Russian National Championship|FIN|False</t>
        </is>
      </c>
      <c r="AE869" s="53">
        <f>G869+L869/1000+ROW()/1000000000</f>
        <v/>
      </c>
      <c r="AF869" s="35">
        <f>IF(C869&lt;&gt;"Grayson Coulter","",COUNTIFS($C$5:$C$2991,"Grayson Coulter",$Q$5:$Q$2991,Q869,$AE$5:$AE$2991,"&lt;="&amp;AE869,$R$5:$R$2991,"&lt;"&amp;R869))</f>
        <v/>
      </c>
      <c r="AG869" s="35">
        <f>IF(OR(C869&lt;&gt;"Grayson Coulter",G869&lt;'00_Control'!$B$7),"",--(AF869&lt;5))</f>
        <v/>
      </c>
      <c r="AH869" s="35">
        <f>IF(OR(C869&lt;&gt;"Grayson Coulter",G869&lt;'00_Control'!$B$7),"",--(AF869&lt;10))</f>
        <v/>
      </c>
      <c r="AI869" s="35">
        <f>IF(AND(C869="Grayson Coulter",G869&gt;='00_Control'!$B$7),"YES","NO")</f>
        <v/>
      </c>
      <c r="AJ869" s="33" t="inlineStr">
        <is>
          <t>OK</t>
        </is>
      </c>
    </row>
    <row r="870">
      <c r="A870" s="33" t="inlineStr">
        <is>
          <t>SM000866</t>
        </is>
      </c>
      <c r="B870" s="33" t="inlineStr">
        <is>
          <t>SW017</t>
        </is>
      </c>
      <c r="C870" s="33" t="inlineStr">
        <is>
          <t>Egor Kornev</t>
        </is>
      </c>
      <c r="D870" s="33" t="inlineStr">
        <is>
          <t>SwimCloud</t>
        </is>
      </c>
      <c r="E870" s="33" t="inlineStr">
        <is>
          <t>1139582</t>
        </is>
      </c>
      <c r="F870" s="33" t="inlineStr">
        <is>
          <t>104816154</t>
        </is>
      </c>
      <c r="G870" s="51" t="n">
        <v>45132</v>
      </c>
      <c r="H870" s="33" t="inlineStr">
        <is>
          <t>Swimming Cup of Russia</t>
        </is>
      </c>
      <c r="I870" s="33" t="inlineStr">
        <is>
          <t>273990</t>
        </is>
      </c>
      <c r="J870" s="33" t="inlineStr"/>
      <c r="K870" s="33" t="inlineStr">
        <is>
          <t>FIN</t>
        </is>
      </c>
      <c r="L870" s="35">
        <f>IF(K870="FIN",3,IF(OR(K870="SEM",K870="SEMI"),2,IF(OR(K870="PRE",K870="HEAT"),1,IF(V870="YES",4,2))))</f>
        <v/>
      </c>
      <c r="M870" s="33" t="inlineStr">
        <is>
          <t>LCM</t>
        </is>
      </c>
      <c r="N870" s="33" t="n">
        <v>100</v>
      </c>
      <c r="O870" s="33" t="inlineStr">
        <is>
          <t>Free</t>
        </is>
      </c>
      <c r="P870" s="33" t="inlineStr">
        <is>
          <t>100 Free</t>
        </is>
      </c>
      <c r="Q870" s="33" t="inlineStr">
        <is>
          <t>LCM_100_FREE</t>
        </is>
      </c>
      <c r="R870" s="36" t="n">
        <v>48.25</v>
      </c>
      <c r="S870" s="35">
        <f>IF(R870="","",IF(R870&gt;=60,INT(R870/60)&amp;":"&amp;TEXT(MOD(R870,60),"00.00"),TEXT(R870,"0.00")))</f>
        <v/>
      </c>
      <c r="T870" s="52">
        <f>IFERROR((G870-INDEX('01_Swimmers'!$E$5:$E$22,MATCH(B870,'01_Swimmers'!$A$5:$A$22,0)))/'00_Control'!$B$10,"")</f>
        <v/>
      </c>
      <c r="U870" s="35">
        <f>IF(T870="","",INT(T870))</f>
        <v/>
      </c>
      <c r="V870" s="33" t="inlineStr">
        <is>
          <t>YES</t>
        </is>
      </c>
      <c r="W870" s="33" t="inlineStr">
        <is>
          <t>YES</t>
        </is>
      </c>
      <c r="X870" s="33" t="inlineStr">
        <is>
          <t>NO</t>
        </is>
      </c>
      <c r="Y870" s="33" t="n">
        <v>1</v>
      </c>
      <c r="Z870" s="33" t="n">
        <v>4</v>
      </c>
      <c r="AA870" s="33" t="inlineStr"/>
      <c r="AB870" s="33" t="inlineStr">
        <is>
          <t>https://www.swimcloud.com/results/273990/event/7/?id=104813227#time104813227</t>
        </is>
      </c>
      <c r="AC870" s="33" t="inlineStr">
        <is>
          <t>SwimCloud API v6 2026-10-08</t>
        </is>
      </c>
      <c r="AD870" s="33" t="inlineStr">
        <is>
          <t>Egor Kornev|2023-07-25|LCM|100|Free|48.25|Swimming Cup of Russia|FIN|True</t>
        </is>
      </c>
      <c r="AE870" s="53">
        <f>G870+L870/1000+ROW()/1000000000</f>
        <v/>
      </c>
      <c r="AF870" s="35">
        <f>IF(C870&lt;&gt;"Grayson Coulter","",COUNTIFS($C$5:$C$2991,"Grayson Coulter",$Q$5:$Q$2991,Q870,$AE$5:$AE$2991,"&lt;="&amp;AE870,$R$5:$R$2991,"&lt;"&amp;R870))</f>
        <v/>
      </c>
      <c r="AG870" s="35">
        <f>IF(OR(C870&lt;&gt;"Grayson Coulter",G870&lt;'00_Control'!$B$7),"",--(AF870&lt;5))</f>
        <v/>
      </c>
      <c r="AH870" s="35">
        <f>IF(OR(C870&lt;&gt;"Grayson Coulter",G870&lt;'00_Control'!$B$7),"",--(AF870&lt;10))</f>
        <v/>
      </c>
      <c r="AI870" s="35">
        <f>IF(AND(C870="Grayson Coulter",G870&gt;='00_Control'!$B$7),"YES","NO")</f>
        <v/>
      </c>
      <c r="AJ870" s="33" t="inlineStr">
        <is>
          <t>OK</t>
        </is>
      </c>
    </row>
    <row r="871">
      <c r="A871" s="33" t="inlineStr">
        <is>
          <t>SM000867</t>
        </is>
      </c>
      <c r="B871" s="33" t="inlineStr">
        <is>
          <t>SW017</t>
        </is>
      </c>
      <c r="C871" s="33" t="inlineStr">
        <is>
          <t>Egor Kornev</t>
        </is>
      </c>
      <c r="D871" s="33" t="inlineStr">
        <is>
          <t>SwimCloud</t>
        </is>
      </c>
      <c r="E871" s="33" t="inlineStr">
        <is>
          <t>1139582</t>
        </is>
      </c>
      <c r="F871" s="33" t="inlineStr">
        <is>
          <t>104813135</t>
        </is>
      </c>
      <c r="G871" s="51" t="n">
        <v>45132</v>
      </c>
      <c r="H871" s="33" t="inlineStr">
        <is>
          <t>Swimming Cup of Russia</t>
        </is>
      </c>
      <c r="I871" s="33" t="inlineStr">
        <is>
          <t>273990</t>
        </is>
      </c>
      <c r="J871" s="33" t="inlineStr"/>
      <c r="K871" s="33" t="inlineStr">
        <is>
          <t>PRE</t>
        </is>
      </c>
      <c r="L871" s="35">
        <f>IF(K871="FIN",3,IF(OR(K871="SEM",K871="SEMI"),2,IF(OR(K871="PRE",K871="HEAT"),1,IF(V871="YES",4,2))))</f>
        <v/>
      </c>
      <c r="M871" s="33" t="inlineStr">
        <is>
          <t>LCM</t>
        </is>
      </c>
      <c r="N871" s="33" t="n">
        <v>200</v>
      </c>
      <c r="O871" s="33" t="inlineStr">
        <is>
          <t>Free</t>
        </is>
      </c>
      <c r="P871" s="33" t="inlineStr">
        <is>
          <t>200 Free</t>
        </is>
      </c>
      <c r="Q871" s="33" t="inlineStr">
        <is>
          <t>LCM_200_FREE</t>
        </is>
      </c>
      <c r="R871" s="36" t="n">
        <v>109.27</v>
      </c>
      <c r="S871" s="35">
        <f>IF(R871="","",IF(R871&gt;=60,INT(R871/60)&amp;":"&amp;TEXT(MOD(R871,60),"00.00"),TEXT(R871,"0.00")))</f>
        <v/>
      </c>
      <c r="T871" s="52">
        <f>IFERROR((G871-INDEX('01_Swimmers'!$E$5:$E$22,MATCH(B871,'01_Swimmers'!$A$5:$A$22,0)))/'00_Control'!$B$10,"")</f>
        <v/>
      </c>
      <c r="U871" s="35">
        <f>IF(T871="","",INT(T871))</f>
        <v/>
      </c>
      <c r="V871" s="33" t="inlineStr">
        <is>
          <t>NO</t>
        </is>
      </c>
      <c r="W871" s="33" t="inlineStr">
        <is>
          <t>YES</t>
        </is>
      </c>
      <c r="X871" s="33" t="inlineStr">
        <is>
          <t>NO</t>
        </is>
      </c>
      <c r="Y871" s="33" t="n">
        <v>10</v>
      </c>
      <c r="Z871" s="33" t="n">
        <v>6</v>
      </c>
      <c r="AA871" s="33" t="inlineStr">
        <is>
          <t>8</t>
        </is>
      </c>
      <c r="AB871" s="33" t="inlineStr">
        <is>
          <t>https://www.swimcloud.com/results/273990/event/2/?id=104813135#time104813135</t>
        </is>
      </c>
      <c r="AC871" s="33" t="inlineStr">
        <is>
          <t>SwimCloud API v6 2026-10-08</t>
        </is>
      </c>
      <c r="AD871" s="33" t="inlineStr">
        <is>
          <t>Egor Kornev|2023-07-25|LCM|200|Free|109.27|Swimming Cup of Russia|PRE|False</t>
        </is>
      </c>
      <c r="AE871" s="53">
        <f>G871+L871/1000+ROW()/1000000000</f>
        <v/>
      </c>
      <c r="AF871" s="35">
        <f>IF(C871&lt;&gt;"Grayson Coulter","",COUNTIFS($C$5:$C$2991,"Grayson Coulter",$Q$5:$Q$2991,Q871,$AE$5:$AE$2991,"&lt;="&amp;AE871,$R$5:$R$2991,"&lt;"&amp;R871))</f>
        <v/>
      </c>
      <c r="AG871" s="35">
        <f>IF(OR(C871&lt;&gt;"Grayson Coulter",G871&lt;'00_Control'!$B$7),"",--(AF871&lt;5))</f>
        <v/>
      </c>
      <c r="AH871" s="35">
        <f>IF(OR(C871&lt;&gt;"Grayson Coulter",G871&lt;'00_Control'!$B$7),"",--(AF871&lt;10))</f>
        <v/>
      </c>
      <c r="AI871" s="35">
        <f>IF(AND(C871="Grayson Coulter",G871&gt;='00_Control'!$B$7),"YES","NO")</f>
        <v/>
      </c>
      <c r="AJ871" s="33" t="inlineStr">
        <is>
          <t>OK</t>
        </is>
      </c>
    </row>
    <row r="872">
      <c r="A872" s="33" t="inlineStr">
        <is>
          <t>SM000868</t>
        </is>
      </c>
      <c r="B872" s="33" t="inlineStr">
        <is>
          <t>SW017</t>
        </is>
      </c>
      <c r="C872" s="33" t="inlineStr">
        <is>
          <t>Egor Kornev</t>
        </is>
      </c>
      <c r="D872" s="33" t="inlineStr">
        <is>
          <t>SwimCloud</t>
        </is>
      </c>
      <c r="E872" s="33" t="inlineStr">
        <is>
          <t>1139582</t>
        </is>
      </c>
      <c r="F872" s="33" t="inlineStr">
        <is>
          <t>104813138</t>
        </is>
      </c>
      <c r="G872" s="51" t="n">
        <v>45136</v>
      </c>
      <c r="H872" s="33" t="inlineStr">
        <is>
          <t>Swimming Cup of Russia</t>
        </is>
      </c>
      <c r="I872" s="33" t="inlineStr">
        <is>
          <t>273990</t>
        </is>
      </c>
      <c r="J872" s="33" t="inlineStr"/>
      <c r="K872" s="33" t="inlineStr">
        <is>
          <t>PRE</t>
        </is>
      </c>
      <c r="L872" s="35">
        <f>IF(K872="FIN",3,IF(OR(K872="SEM",K872="SEMI"),2,IF(OR(K872="PRE",K872="HEAT"),1,IF(V872="YES",4,2))))</f>
        <v/>
      </c>
      <c r="M872" s="33" t="inlineStr">
        <is>
          <t>LCM</t>
        </is>
      </c>
      <c r="N872" s="33" t="n">
        <v>100</v>
      </c>
      <c r="O872" s="33" t="inlineStr">
        <is>
          <t>Free</t>
        </is>
      </c>
      <c r="P872" s="33" t="inlineStr">
        <is>
          <t>100 Free</t>
        </is>
      </c>
      <c r="Q872" s="33" t="inlineStr">
        <is>
          <t>LCM_100_FREE</t>
        </is>
      </c>
      <c r="R872" s="36" t="n">
        <v>48.51</v>
      </c>
      <c r="S872" s="35">
        <f>IF(R872="","",IF(R872&gt;=60,INT(R872/60)&amp;":"&amp;TEXT(MOD(R872,60),"00.00"),TEXT(R872,"0.00")))</f>
        <v/>
      </c>
      <c r="T872" s="52">
        <f>IFERROR((G872-INDEX('01_Swimmers'!$E$5:$E$22,MATCH(B872,'01_Swimmers'!$A$5:$A$22,0)))/'00_Control'!$B$10,"")</f>
        <v/>
      </c>
      <c r="U872" s="35">
        <f>IF(T872="","",INT(T872))</f>
        <v/>
      </c>
      <c r="V872" s="33" t="inlineStr">
        <is>
          <t>NO</t>
        </is>
      </c>
      <c r="W872" s="33" t="inlineStr">
        <is>
          <t>YES</t>
        </is>
      </c>
      <c r="X872" s="33" t="inlineStr">
        <is>
          <t>NO</t>
        </is>
      </c>
      <c r="Y872" s="33" t="n">
        <v>14</v>
      </c>
      <c r="Z872" s="33" t="n">
        <v>5</v>
      </c>
      <c r="AA872" s="33" t="inlineStr">
        <is>
          <t>1</t>
        </is>
      </c>
      <c r="AB872" s="33" t="inlineStr">
        <is>
          <t>https://www.swimcloud.com/results/273990/event/29/?id=104813138#time104813138</t>
        </is>
      </c>
      <c r="AC872" s="33" t="inlineStr">
        <is>
          <t>SwimCloud API v6 2026-10-08</t>
        </is>
      </c>
      <c r="AD872" s="33" t="inlineStr">
        <is>
          <t>Egor Kornev|2023-07-29|LCM|100|Free|48.51|Swimming Cup of Russia|PRE|False</t>
        </is>
      </c>
      <c r="AE872" s="53">
        <f>G872+L872/1000+ROW()/1000000000</f>
        <v/>
      </c>
      <c r="AF872" s="35">
        <f>IF(C872&lt;&gt;"Grayson Coulter","",COUNTIFS($C$5:$C$2991,"Grayson Coulter",$Q$5:$Q$2991,Q872,$AE$5:$AE$2991,"&lt;="&amp;AE872,$R$5:$R$2991,"&lt;"&amp;R872))</f>
        <v/>
      </c>
      <c r="AG872" s="35">
        <f>IF(OR(C872&lt;&gt;"Grayson Coulter",G872&lt;'00_Control'!$B$7),"",--(AF872&lt;5))</f>
        <v/>
      </c>
      <c r="AH872" s="35">
        <f>IF(OR(C872&lt;&gt;"Grayson Coulter",G872&lt;'00_Control'!$B$7),"",--(AF872&lt;10))</f>
        <v/>
      </c>
      <c r="AI872" s="35">
        <f>IF(AND(C872="Grayson Coulter",G872&gt;='00_Control'!$B$7),"YES","NO")</f>
        <v/>
      </c>
      <c r="AJ872" s="33" t="inlineStr">
        <is>
          <t>OK</t>
        </is>
      </c>
    </row>
    <row r="873">
      <c r="A873" s="33" t="inlineStr">
        <is>
          <t>SM000869</t>
        </is>
      </c>
      <c r="B873" s="33" t="inlineStr">
        <is>
          <t>SW017</t>
        </is>
      </c>
      <c r="C873" s="33" t="inlineStr">
        <is>
          <t>Egor Kornev</t>
        </is>
      </c>
      <c r="D873" s="33" t="inlineStr">
        <is>
          <t>SwimCloud</t>
        </is>
      </c>
      <c r="E873" s="33" t="inlineStr">
        <is>
          <t>1139582</t>
        </is>
      </c>
      <c r="F873" s="33" t="inlineStr">
        <is>
          <t>104813141</t>
        </is>
      </c>
      <c r="G873" s="51" t="n">
        <v>45136</v>
      </c>
      <c r="H873" s="33" t="inlineStr">
        <is>
          <t>Swimming Cup of Russia</t>
        </is>
      </c>
      <c r="I873" s="33" t="inlineStr">
        <is>
          <t>273990</t>
        </is>
      </c>
      <c r="J873" s="33" t="inlineStr"/>
      <c r="K873" s="33" t="inlineStr">
        <is>
          <t>SEM</t>
        </is>
      </c>
      <c r="L873" s="35">
        <f>IF(K873="FIN",3,IF(OR(K873="SEM",K873="SEMI"),2,IF(OR(K873="PRE",K873="HEAT"),1,IF(V873="YES",4,2))))</f>
        <v/>
      </c>
      <c r="M873" s="33" t="inlineStr">
        <is>
          <t>LCM</t>
        </is>
      </c>
      <c r="N873" s="33" t="n">
        <v>100</v>
      </c>
      <c r="O873" s="33" t="inlineStr">
        <is>
          <t>Free</t>
        </is>
      </c>
      <c r="P873" s="33" t="inlineStr">
        <is>
          <t>100 Free</t>
        </is>
      </c>
      <c r="Q873" s="33" t="inlineStr">
        <is>
          <t>LCM_100_FREE</t>
        </is>
      </c>
      <c r="R873" s="36" t="n">
        <v>48.03</v>
      </c>
      <c r="S873" s="35">
        <f>IF(R873="","",IF(R873&gt;=60,INT(R873/60)&amp;":"&amp;TEXT(MOD(R873,60),"00.00"),TEXT(R873,"0.00")))</f>
        <v/>
      </c>
      <c r="T873" s="52">
        <f>IFERROR((G873-INDEX('01_Swimmers'!$E$5:$E$22,MATCH(B873,'01_Swimmers'!$A$5:$A$22,0)))/'00_Control'!$B$10,"")</f>
        <v/>
      </c>
      <c r="U873" s="35">
        <f>IF(T873="","",INT(T873))</f>
        <v/>
      </c>
      <c r="V873" s="33" t="inlineStr">
        <is>
          <t>NO</t>
        </is>
      </c>
      <c r="W873" s="33" t="inlineStr">
        <is>
          <t>YES</t>
        </is>
      </c>
      <c r="X873" s="33" t="inlineStr">
        <is>
          <t>NO</t>
        </is>
      </c>
      <c r="Y873" s="33" t="n">
        <v>2</v>
      </c>
      <c r="Z873" s="33" t="n">
        <v>4</v>
      </c>
      <c r="AA873" s="33" t="inlineStr">
        <is>
          <t>3</t>
        </is>
      </c>
      <c r="AB873" s="33" t="inlineStr">
        <is>
          <t>https://www.swimcloud.com/results/273990/event/29/?id=104813141#time104813141</t>
        </is>
      </c>
      <c r="AC873" s="33" t="inlineStr">
        <is>
          <t>SwimCloud API v6 2026-10-08</t>
        </is>
      </c>
      <c r="AD873" s="33" t="inlineStr">
        <is>
          <t>Egor Kornev|2023-07-29|LCM|100|Free|48.03|Swimming Cup of Russia|SEM|False</t>
        </is>
      </c>
      <c r="AE873" s="53">
        <f>G873+L873/1000+ROW()/1000000000</f>
        <v/>
      </c>
      <c r="AF873" s="35">
        <f>IF(C873&lt;&gt;"Grayson Coulter","",COUNTIFS($C$5:$C$2991,"Grayson Coulter",$Q$5:$Q$2991,Q873,$AE$5:$AE$2991,"&lt;="&amp;AE873,$R$5:$R$2991,"&lt;"&amp;R873))</f>
        <v/>
      </c>
      <c r="AG873" s="35">
        <f>IF(OR(C873&lt;&gt;"Grayson Coulter",G873&lt;'00_Control'!$B$7),"",--(AF873&lt;5))</f>
        <v/>
      </c>
      <c r="AH873" s="35">
        <f>IF(OR(C873&lt;&gt;"Grayson Coulter",G873&lt;'00_Control'!$B$7),"",--(AF873&lt;10))</f>
        <v/>
      </c>
      <c r="AI873" s="35">
        <f>IF(AND(C873="Grayson Coulter",G873&gt;='00_Control'!$B$7),"YES","NO")</f>
        <v/>
      </c>
      <c r="AJ873" s="33" t="inlineStr">
        <is>
          <t>OK</t>
        </is>
      </c>
    </row>
    <row r="874">
      <c r="A874" s="33" t="inlineStr">
        <is>
          <t>SM000870</t>
        </is>
      </c>
      <c r="B874" s="33" t="inlineStr">
        <is>
          <t>SW017</t>
        </is>
      </c>
      <c r="C874" s="33" t="inlineStr">
        <is>
          <t>Egor Kornev</t>
        </is>
      </c>
      <c r="D874" s="33" t="inlineStr">
        <is>
          <t>SwimCloud</t>
        </is>
      </c>
      <c r="E874" s="33" t="inlineStr">
        <is>
          <t>1139582</t>
        </is>
      </c>
      <c r="F874" s="33" t="inlineStr">
        <is>
          <t>104813142</t>
        </is>
      </c>
      <c r="G874" s="51" t="n">
        <v>45137</v>
      </c>
      <c r="H874" s="33" t="inlineStr">
        <is>
          <t>Swimming Cup of Russia</t>
        </is>
      </c>
      <c r="I874" s="33" t="inlineStr">
        <is>
          <t>273990</t>
        </is>
      </c>
      <c r="J874" s="33" t="inlineStr"/>
      <c r="K874" s="33" t="inlineStr">
        <is>
          <t>FIN</t>
        </is>
      </c>
      <c r="L874" s="35">
        <f>IF(K874="FIN",3,IF(OR(K874="SEM",K874="SEMI"),2,IF(OR(K874="PRE",K874="HEAT"),1,IF(V874="YES",4,2))))</f>
        <v/>
      </c>
      <c r="M874" s="33" t="inlineStr">
        <is>
          <t>LCM</t>
        </is>
      </c>
      <c r="N874" s="33" t="n">
        <v>100</v>
      </c>
      <c r="O874" s="33" t="inlineStr">
        <is>
          <t>Free</t>
        </is>
      </c>
      <c r="P874" s="33" t="inlineStr">
        <is>
          <t>100 Free</t>
        </is>
      </c>
      <c r="Q874" s="33" t="inlineStr">
        <is>
          <t>LCM_100_FREE</t>
        </is>
      </c>
      <c r="R874" s="36" t="n">
        <v>47.98</v>
      </c>
      <c r="S874" s="35">
        <f>IF(R874="","",IF(R874&gt;=60,INT(R874/60)&amp;":"&amp;TEXT(MOD(R874,60),"00.00"),TEXT(R874,"0.00")))</f>
        <v/>
      </c>
      <c r="T874" s="52">
        <f>IFERROR((G874-INDEX('01_Swimmers'!$E$5:$E$22,MATCH(B874,'01_Swimmers'!$A$5:$A$22,0)))/'00_Control'!$B$10,"")</f>
        <v/>
      </c>
      <c r="U874" s="35">
        <f>IF(T874="","",INT(T874))</f>
        <v/>
      </c>
      <c r="V874" s="33" t="inlineStr">
        <is>
          <t>NO</t>
        </is>
      </c>
      <c r="W874" s="33" t="inlineStr">
        <is>
          <t>YES</t>
        </is>
      </c>
      <c r="X874" s="33" t="inlineStr">
        <is>
          <t>NO</t>
        </is>
      </c>
      <c r="Y874" s="33" t="n">
        <v>1</v>
      </c>
      <c r="Z874" s="33" t="n">
        <v>3</v>
      </c>
      <c r="AA874" s="33" t="inlineStr">
        <is>
          <t>3</t>
        </is>
      </c>
      <c r="AB874" s="33" t="inlineStr">
        <is>
          <t>https://www.swimcloud.com/results/273990/event/29/?id=104813142#time104813142</t>
        </is>
      </c>
      <c r="AC874" s="33" t="inlineStr">
        <is>
          <t>SwimCloud API v6 2026-10-08</t>
        </is>
      </c>
      <c r="AD874" s="33" t="inlineStr">
        <is>
          <t>Egor Kornev|2023-07-30|LCM|100|Free|47.98|Swimming Cup of Russia|FIN|False</t>
        </is>
      </c>
      <c r="AE874" s="53">
        <f>G874+L874/1000+ROW()/1000000000</f>
        <v/>
      </c>
      <c r="AF874" s="35">
        <f>IF(C874&lt;&gt;"Grayson Coulter","",COUNTIFS($C$5:$C$2991,"Grayson Coulter",$Q$5:$Q$2991,Q874,$AE$5:$AE$2991,"&lt;="&amp;AE874,$R$5:$R$2991,"&lt;"&amp;R874))</f>
        <v/>
      </c>
      <c r="AG874" s="35">
        <f>IF(OR(C874&lt;&gt;"Grayson Coulter",G874&lt;'00_Control'!$B$7),"",--(AF874&lt;5))</f>
        <v/>
      </c>
      <c r="AH874" s="35">
        <f>IF(OR(C874&lt;&gt;"Grayson Coulter",G874&lt;'00_Control'!$B$7),"",--(AF874&lt;10))</f>
        <v/>
      </c>
      <c r="AI874" s="35">
        <f>IF(AND(C874="Grayson Coulter",G874&gt;='00_Control'!$B$7),"YES","NO")</f>
        <v/>
      </c>
      <c r="AJ874" s="33" t="inlineStr">
        <is>
          <t>OK</t>
        </is>
      </c>
    </row>
    <row r="875">
      <c r="A875" s="33" t="inlineStr">
        <is>
          <t>SM000871</t>
        </is>
      </c>
      <c r="B875" s="33" t="inlineStr">
        <is>
          <t>SW017</t>
        </is>
      </c>
      <c r="C875" s="33" t="inlineStr">
        <is>
          <t>Egor Kornev</t>
        </is>
      </c>
      <c r="D875" s="33" t="inlineStr">
        <is>
          <t>SwimCloud</t>
        </is>
      </c>
      <c r="E875" s="33" t="inlineStr">
        <is>
          <t>1139582</t>
        </is>
      </c>
      <c r="F875" s="33" t="inlineStr">
        <is>
          <t>106062372</t>
        </is>
      </c>
      <c r="G875" s="51" t="n">
        <v>45143</v>
      </c>
      <c r="H875" s="33" t="inlineStr">
        <is>
          <t>All-Russian Champions Cup</t>
        </is>
      </c>
      <c r="I875" s="33" t="inlineStr">
        <is>
          <t>277831</t>
        </is>
      </c>
      <c r="J875" s="33" t="inlineStr"/>
      <c r="K875" s="33" t="inlineStr">
        <is>
          <t>TIM</t>
        </is>
      </c>
      <c r="L875" s="35">
        <f>IF(K875="FIN",3,IF(OR(K875="SEM",K875="SEMI"),2,IF(OR(K875="PRE",K875="HEAT"),1,IF(V875="YES",4,2))))</f>
        <v/>
      </c>
      <c r="M875" s="33" t="inlineStr">
        <is>
          <t>LCM</t>
        </is>
      </c>
      <c r="N875" s="33" t="n">
        <v>100</v>
      </c>
      <c r="O875" s="33" t="inlineStr">
        <is>
          <t>Free</t>
        </is>
      </c>
      <c r="P875" s="33" t="inlineStr">
        <is>
          <t>100 Free</t>
        </is>
      </c>
      <c r="Q875" s="33" t="inlineStr">
        <is>
          <t>LCM_100_FREE</t>
        </is>
      </c>
      <c r="R875" s="36" t="n">
        <v>48.44</v>
      </c>
      <c r="S875" s="35">
        <f>IF(R875="","",IF(R875&gt;=60,INT(R875/60)&amp;":"&amp;TEXT(MOD(R875,60),"00.00"),TEXT(R875,"0.00")))</f>
        <v/>
      </c>
      <c r="T875" s="52">
        <f>IFERROR((G875-INDEX('01_Swimmers'!$E$5:$E$22,MATCH(B875,'01_Swimmers'!$A$5:$A$22,0)))/'00_Control'!$B$10,"")</f>
        <v/>
      </c>
      <c r="U875" s="35">
        <f>IF(T875="","",INT(T875))</f>
        <v/>
      </c>
      <c r="V875" s="33" t="inlineStr">
        <is>
          <t>NO</t>
        </is>
      </c>
      <c r="W875" s="33" t="inlineStr">
        <is>
          <t>YES</t>
        </is>
      </c>
      <c r="X875" s="33" t="inlineStr">
        <is>
          <t>NO</t>
        </is>
      </c>
      <c r="Y875" s="33" t="n">
        <v>3</v>
      </c>
      <c r="Z875" s="33" t="n">
        <v>5</v>
      </c>
      <c r="AA875" s="33" t="inlineStr">
        <is>
          <t>1</t>
        </is>
      </c>
      <c r="AB875" s="33" t="inlineStr">
        <is>
          <t>https://www.swimcloud.com/results/277831/event/17/?id=106062372#time106062372</t>
        </is>
      </c>
      <c r="AC875" s="33" t="inlineStr">
        <is>
          <t>SwimCloud API v6 2026-10-08</t>
        </is>
      </c>
      <c r="AD875" s="33" t="inlineStr">
        <is>
          <t>Egor Kornev|2023-08-05|LCM|100|Free|48.44|All-Russian Champions Cup|TIM|False</t>
        </is>
      </c>
      <c r="AE875" s="53">
        <f>G875+L875/1000+ROW()/1000000000</f>
        <v/>
      </c>
      <c r="AF875" s="35">
        <f>IF(C875&lt;&gt;"Grayson Coulter","",COUNTIFS($C$5:$C$2991,"Grayson Coulter",$Q$5:$Q$2991,Q875,$AE$5:$AE$2991,"&lt;="&amp;AE875,$R$5:$R$2991,"&lt;"&amp;R875))</f>
        <v/>
      </c>
      <c r="AG875" s="35">
        <f>IF(OR(C875&lt;&gt;"Grayson Coulter",G875&lt;'00_Control'!$B$7),"",--(AF875&lt;5))</f>
        <v/>
      </c>
      <c r="AH875" s="35">
        <f>IF(OR(C875&lt;&gt;"Grayson Coulter",G875&lt;'00_Control'!$B$7),"",--(AF875&lt;10))</f>
        <v/>
      </c>
      <c r="AI875" s="35">
        <f>IF(AND(C875="Grayson Coulter",G875&gt;='00_Control'!$B$7),"YES","NO")</f>
        <v/>
      </c>
      <c r="AJ875" s="33" t="inlineStr">
        <is>
          <t>OK</t>
        </is>
      </c>
    </row>
    <row r="876">
      <c r="A876" s="33" t="inlineStr">
        <is>
          <t>SM000872</t>
        </is>
      </c>
      <c r="B876" s="33" t="inlineStr">
        <is>
          <t>SW017</t>
        </is>
      </c>
      <c r="C876" s="33" t="inlineStr">
        <is>
          <t>Egor Kornev</t>
        </is>
      </c>
      <c r="D876" s="33" t="inlineStr">
        <is>
          <t>SwimCloud</t>
        </is>
      </c>
      <c r="E876" s="33" t="inlineStr">
        <is>
          <t>1139582</t>
        </is>
      </c>
      <c r="F876" s="33" t="inlineStr">
        <is>
          <t>111097970</t>
        </is>
      </c>
      <c r="G876" s="51" t="n">
        <v>45250</v>
      </c>
      <c r="H876" s="33" t="inlineStr">
        <is>
          <t>Russian SC Championship</t>
        </is>
      </c>
      <c r="I876" s="33" t="inlineStr">
        <is>
          <t>285189</t>
        </is>
      </c>
      <c r="J876" s="33" t="inlineStr"/>
      <c r="K876" s="33" t="inlineStr">
        <is>
          <t>FIN</t>
        </is>
      </c>
      <c r="L876" s="35">
        <f>IF(K876="FIN",3,IF(OR(K876="SEM",K876="SEMI"),2,IF(OR(K876="PRE",K876="HEAT"),1,IF(V876="YES",4,2))))</f>
        <v/>
      </c>
      <c r="M876" s="33" t="inlineStr">
        <is>
          <t>SCM</t>
        </is>
      </c>
      <c r="N876" s="33" t="n">
        <v>100</v>
      </c>
      <c r="O876" s="33" t="inlineStr">
        <is>
          <t>Free</t>
        </is>
      </c>
      <c r="P876" s="33" t="inlineStr">
        <is>
          <t>100 Free</t>
        </is>
      </c>
      <c r="Q876" s="33" t="inlineStr">
        <is>
          <t>SCM_100_FREE</t>
        </is>
      </c>
      <c r="R876" s="36" t="n">
        <v>46.08</v>
      </c>
      <c r="S876" s="35">
        <f>IF(R876="","",IF(R876&gt;=60,INT(R876/60)&amp;":"&amp;TEXT(MOD(R876,60),"00.00"),TEXT(R876,"0.00")))</f>
        <v/>
      </c>
      <c r="T876" s="52">
        <f>IFERROR((G876-INDEX('01_Swimmers'!$E$5:$E$22,MATCH(B876,'01_Swimmers'!$A$5:$A$22,0)))/'00_Control'!$B$10,"")</f>
        <v/>
      </c>
      <c r="U876" s="35">
        <f>IF(T876="","",INT(T876))</f>
        <v/>
      </c>
      <c r="V876" s="33" t="inlineStr">
        <is>
          <t>YES</t>
        </is>
      </c>
      <c r="W876" s="33" t="inlineStr">
        <is>
          <t>YES</t>
        </is>
      </c>
      <c r="X876" s="33" t="inlineStr">
        <is>
          <t>NO</t>
        </is>
      </c>
      <c r="Y876" s="33" t="n">
        <v>1</v>
      </c>
      <c r="Z876" s="33" t="n">
        <v>4</v>
      </c>
      <c r="AA876" s="33" t="inlineStr"/>
      <c r="AB876" s="33" t="inlineStr">
        <is>
          <t>https://www.swimcloud.com/results/285189/event/11/?id=111092675#time111092675</t>
        </is>
      </c>
      <c r="AC876" s="33" t="inlineStr">
        <is>
          <t>SwimCloud API v6 2026-10-08</t>
        </is>
      </c>
      <c r="AD876" s="33" t="inlineStr">
        <is>
          <t>Egor Kornev|2023-11-20|SCM|100|Free|46.08|Russian SC Championship|FIN|True</t>
        </is>
      </c>
      <c r="AE876" s="53">
        <f>G876+L876/1000+ROW()/1000000000</f>
        <v/>
      </c>
      <c r="AF876" s="35">
        <f>IF(C876&lt;&gt;"Grayson Coulter","",COUNTIFS($C$5:$C$2991,"Grayson Coulter",$Q$5:$Q$2991,Q876,$AE$5:$AE$2991,"&lt;="&amp;AE876,$R$5:$R$2991,"&lt;"&amp;R876))</f>
        <v/>
      </c>
      <c r="AG876" s="35">
        <f>IF(OR(C876&lt;&gt;"Grayson Coulter",G876&lt;'00_Control'!$B$7),"",--(AF876&lt;5))</f>
        <v/>
      </c>
      <c r="AH876" s="35">
        <f>IF(OR(C876&lt;&gt;"Grayson Coulter",G876&lt;'00_Control'!$B$7),"",--(AF876&lt;10))</f>
        <v/>
      </c>
      <c r="AI876" s="35">
        <f>IF(AND(C876="Grayson Coulter",G876&gt;='00_Control'!$B$7),"YES","NO")</f>
        <v/>
      </c>
      <c r="AJ876" s="33" t="inlineStr">
        <is>
          <t>OK</t>
        </is>
      </c>
    </row>
    <row r="877">
      <c r="A877" s="33" t="inlineStr">
        <is>
          <t>SM000873</t>
        </is>
      </c>
      <c r="B877" s="33" t="inlineStr">
        <is>
          <t>SW017</t>
        </is>
      </c>
      <c r="C877" s="33" t="inlineStr">
        <is>
          <t>Egor Kornev</t>
        </is>
      </c>
      <c r="D877" s="33" t="inlineStr">
        <is>
          <t>SwimCloud</t>
        </is>
      </c>
      <c r="E877" s="33" t="inlineStr">
        <is>
          <t>1139582</t>
        </is>
      </c>
      <c r="F877" s="33" t="inlineStr">
        <is>
          <t>111092469</t>
        </is>
      </c>
      <c r="G877" s="51" t="n">
        <v>45251</v>
      </c>
      <c r="H877" s="33" t="inlineStr">
        <is>
          <t>Russian SC Championship</t>
        </is>
      </c>
      <c r="I877" s="33" t="inlineStr">
        <is>
          <t>285189</t>
        </is>
      </c>
      <c r="J877" s="33" t="inlineStr"/>
      <c r="K877" s="33" t="inlineStr">
        <is>
          <t>PRE</t>
        </is>
      </c>
      <c r="L877" s="35">
        <f>IF(K877="FIN",3,IF(OR(K877="SEM",K877="SEMI"),2,IF(OR(K877="PRE",K877="HEAT"),1,IF(V877="YES",4,2))))</f>
        <v/>
      </c>
      <c r="M877" s="33" t="inlineStr">
        <is>
          <t>SCM</t>
        </is>
      </c>
      <c r="N877" s="33" t="n">
        <v>100</v>
      </c>
      <c r="O877" s="33" t="inlineStr">
        <is>
          <t>Fly</t>
        </is>
      </c>
      <c r="P877" s="33" t="inlineStr">
        <is>
          <t>100 Fly</t>
        </is>
      </c>
      <c r="Q877" s="33" t="inlineStr">
        <is>
          <t>SCM_100_FLY</t>
        </is>
      </c>
      <c r="R877" s="36" t="n">
        <v>50.92</v>
      </c>
      <c r="S877" s="35">
        <f>IF(R877="","",IF(R877&gt;=60,INT(R877/60)&amp;":"&amp;TEXT(MOD(R877,60),"00.00"),TEXT(R877,"0.00")))</f>
        <v/>
      </c>
      <c r="T877" s="52">
        <f>IFERROR((G877-INDEX('01_Swimmers'!$E$5:$E$22,MATCH(B877,'01_Swimmers'!$A$5:$A$22,0)))/'00_Control'!$B$10,"")</f>
        <v/>
      </c>
      <c r="U877" s="35">
        <f>IF(T877="","",INT(T877))</f>
        <v/>
      </c>
      <c r="V877" s="33" t="inlineStr">
        <is>
          <t>NO</t>
        </is>
      </c>
      <c r="W877" s="33" t="inlineStr">
        <is>
          <t>YES</t>
        </is>
      </c>
      <c r="X877" s="33" t="inlineStr">
        <is>
          <t>NO</t>
        </is>
      </c>
      <c r="Y877" s="33" t="n">
        <v>14</v>
      </c>
      <c r="Z877" s="33" t="n">
        <v>6</v>
      </c>
      <c r="AA877" s="33" t="inlineStr">
        <is>
          <t>4</t>
        </is>
      </c>
      <c r="AB877" s="33" t="inlineStr">
        <is>
          <t>https://www.swimcloud.com/results/285189/event/15/?id=111092469#time111092469</t>
        </is>
      </c>
      <c r="AC877" s="33" t="inlineStr">
        <is>
          <t>SwimCloud API v6 2026-10-08</t>
        </is>
      </c>
      <c r="AD877" s="33" t="inlineStr">
        <is>
          <t>Egor Kornev|2023-11-21|SCM|100|Fly|50.92|Russian SC Championship|PRE|False</t>
        </is>
      </c>
      <c r="AE877" s="53">
        <f>G877+L877/1000+ROW()/1000000000</f>
        <v/>
      </c>
      <c r="AF877" s="35">
        <f>IF(C877&lt;&gt;"Grayson Coulter","",COUNTIFS($C$5:$C$2991,"Grayson Coulter",$Q$5:$Q$2991,Q877,$AE$5:$AE$2991,"&lt;="&amp;AE877,$R$5:$R$2991,"&lt;"&amp;R877))</f>
        <v/>
      </c>
      <c r="AG877" s="35">
        <f>IF(OR(C877&lt;&gt;"Grayson Coulter",G877&lt;'00_Control'!$B$7),"",--(AF877&lt;5))</f>
        <v/>
      </c>
      <c r="AH877" s="35">
        <f>IF(OR(C877&lt;&gt;"Grayson Coulter",G877&lt;'00_Control'!$B$7),"",--(AF877&lt;10))</f>
        <v/>
      </c>
      <c r="AI877" s="35">
        <f>IF(AND(C877="Grayson Coulter",G877&gt;='00_Control'!$B$7),"YES","NO")</f>
        <v/>
      </c>
      <c r="AJ877" s="33" t="inlineStr">
        <is>
          <t>OK</t>
        </is>
      </c>
    </row>
    <row r="878">
      <c r="A878" s="33" t="inlineStr">
        <is>
          <t>SM000874</t>
        </is>
      </c>
      <c r="B878" s="33" t="inlineStr">
        <is>
          <t>SW017</t>
        </is>
      </c>
      <c r="C878" s="33" t="inlineStr">
        <is>
          <t>Egor Kornev</t>
        </is>
      </c>
      <c r="D878" s="33" t="inlineStr">
        <is>
          <t>SwimCloud</t>
        </is>
      </c>
      <c r="E878" s="33" t="inlineStr">
        <is>
          <t>1139582</t>
        </is>
      </c>
      <c r="F878" s="33" t="inlineStr">
        <is>
          <t>111092467</t>
        </is>
      </c>
      <c r="G878" s="51" t="n">
        <v>45254</v>
      </c>
      <c r="H878" s="33" t="inlineStr">
        <is>
          <t>Russian SC Championship</t>
        </is>
      </c>
      <c r="I878" s="33" t="inlineStr">
        <is>
          <t>285189</t>
        </is>
      </c>
      <c r="J878" s="33" t="inlineStr"/>
      <c r="K878" s="33" t="inlineStr">
        <is>
          <t>PRE</t>
        </is>
      </c>
      <c r="L878" s="35">
        <f>IF(K878="FIN",3,IF(OR(K878="SEM",K878="SEMI"),2,IF(OR(K878="PRE",K878="HEAT"),1,IF(V878="YES",4,2))))</f>
        <v/>
      </c>
      <c r="M878" s="33" t="inlineStr">
        <is>
          <t>SCM</t>
        </is>
      </c>
      <c r="N878" s="33" t="n">
        <v>100</v>
      </c>
      <c r="O878" s="33" t="inlineStr">
        <is>
          <t>Free</t>
        </is>
      </c>
      <c r="P878" s="33" t="inlineStr">
        <is>
          <t>100 Free</t>
        </is>
      </c>
      <c r="Q878" s="33" t="inlineStr">
        <is>
          <t>SCM_100_FREE</t>
        </is>
      </c>
      <c r="R878" s="36" t="n">
        <v>47.89</v>
      </c>
      <c r="S878" s="35">
        <f>IF(R878="","",IF(R878&gt;=60,INT(R878/60)&amp;":"&amp;TEXT(MOD(R878,60),"00.00"),TEXT(R878,"0.00")))</f>
        <v/>
      </c>
      <c r="T878" s="52">
        <f>IFERROR((G878-INDEX('01_Swimmers'!$E$5:$E$22,MATCH(B878,'01_Swimmers'!$A$5:$A$22,0)))/'00_Control'!$B$10,"")</f>
        <v/>
      </c>
      <c r="U878" s="35">
        <f>IF(T878="","",INT(T878))</f>
        <v/>
      </c>
      <c r="V878" s="33" t="inlineStr">
        <is>
          <t>NO</t>
        </is>
      </c>
      <c r="W878" s="33" t="inlineStr">
        <is>
          <t>YES</t>
        </is>
      </c>
      <c r="X878" s="33" t="inlineStr">
        <is>
          <t>NO</t>
        </is>
      </c>
      <c r="Y878" s="33" t="n">
        <v>27</v>
      </c>
      <c r="Z878" s="33" t="n">
        <v>3</v>
      </c>
      <c r="AA878" s="33" t="inlineStr">
        <is>
          <t>9</t>
        </is>
      </c>
      <c r="AB878" s="33" t="inlineStr">
        <is>
          <t>https://www.swimcloud.com/results/285189/event/38/?id=111092467#time111092467</t>
        </is>
      </c>
      <c r="AC878" s="33" t="inlineStr">
        <is>
          <t>SwimCloud API v6 2026-10-08</t>
        </is>
      </c>
      <c r="AD878" s="33" t="inlineStr">
        <is>
          <t>Egor Kornev|2023-11-24|SCM|100|Free|47.89|Russian SC Championship|PRE|False</t>
        </is>
      </c>
      <c r="AE878" s="53">
        <f>G878+L878/1000+ROW()/1000000000</f>
        <v/>
      </c>
      <c r="AF878" s="35">
        <f>IF(C878&lt;&gt;"Grayson Coulter","",COUNTIFS($C$5:$C$2991,"Grayson Coulter",$Q$5:$Q$2991,Q878,$AE$5:$AE$2991,"&lt;="&amp;AE878,$R$5:$R$2991,"&lt;"&amp;R878))</f>
        <v/>
      </c>
      <c r="AG878" s="35">
        <f>IF(OR(C878&lt;&gt;"Grayson Coulter",G878&lt;'00_Control'!$B$7),"",--(AF878&lt;5))</f>
        <v/>
      </c>
      <c r="AH878" s="35">
        <f>IF(OR(C878&lt;&gt;"Grayson Coulter",G878&lt;'00_Control'!$B$7),"",--(AF878&lt;10))</f>
        <v/>
      </c>
      <c r="AI878" s="35">
        <f>IF(AND(C878="Grayson Coulter",G878&gt;='00_Control'!$B$7),"YES","NO")</f>
        <v/>
      </c>
      <c r="AJ878" s="33" t="inlineStr">
        <is>
          <t>OK</t>
        </is>
      </c>
    </row>
    <row r="879">
      <c r="A879" s="33" t="inlineStr">
        <is>
          <t>SM000875</t>
        </is>
      </c>
      <c r="B879" s="33" t="inlineStr">
        <is>
          <t>SW017</t>
        </is>
      </c>
      <c r="C879" s="33" t="inlineStr">
        <is>
          <t>Egor Kornev</t>
        </is>
      </c>
      <c r="D879" s="33" t="inlineStr">
        <is>
          <t>SwimCloud</t>
        </is>
      </c>
      <c r="E879" s="33" t="inlineStr">
        <is>
          <t>1139582</t>
        </is>
      </c>
      <c r="F879" s="33" t="inlineStr">
        <is>
          <t>111092472</t>
        </is>
      </c>
      <c r="G879" s="51" t="n">
        <v>45254</v>
      </c>
      <c r="H879" s="33" t="inlineStr">
        <is>
          <t>Russian SC Championship</t>
        </is>
      </c>
      <c r="I879" s="33" t="inlineStr">
        <is>
          <t>285189</t>
        </is>
      </c>
      <c r="J879" s="33" t="inlineStr"/>
      <c r="K879" s="33" t="inlineStr">
        <is>
          <t>SEM</t>
        </is>
      </c>
      <c r="L879" s="35">
        <f>IF(K879="FIN",3,IF(OR(K879="SEM",K879="SEMI"),2,IF(OR(K879="PRE",K879="HEAT"),1,IF(V879="YES",4,2))))</f>
        <v/>
      </c>
      <c r="M879" s="33" t="inlineStr">
        <is>
          <t>SCM</t>
        </is>
      </c>
      <c r="N879" s="33" t="n">
        <v>100</v>
      </c>
      <c r="O879" s="33" t="inlineStr">
        <is>
          <t>Free</t>
        </is>
      </c>
      <c r="P879" s="33" t="inlineStr">
        <is>
          <t>100 Free</t>
        </is>
      </c>
      <c r="Q879" s="33" t="inlineStr">
        <is>
          <t>SCM_100_FREE</t>
        </is>
      </c>
      <c r="R879" s="36" t="n">
        <v>45.98</v>
      </c>
      <c r="S879" s="35">
        <f>IF(R879="","",IF(R879&gt;=60,INT(R879/60)&amp;":"&amp;TEXT(MOD(R879,60),"00.00"),TEXT(R879,"0.00")))</f>
        <v/>
      </c>
      <c r="T879" s="52">
        <f>IFERROR((G879-INDEX('01_Swimmers'!$E$5:$E$22,MATCH(B879,'01_Swimmers'!$A$5:$A$22,0)))/'00_Control'!$B$10,"")</f>
        <v/>
      </c>
      <c r="U879" s="35">
        <f>IF(T879="","",INT(T879))</f>
        <v/>
      </c>
      <c r="V879" s="33" t="inlineStr">
        <is>
          <t>NO</t>
        </is>
      </c>
      <c r="W879" s="33" t="inlineStr">
        <is>
          <t>YES</t>
        </is>
      </c>
      <c r="X879" s="33" t="inlineStr">
        <is>
          <t>NO</t>
        </is>
      </c>
      <c r="Y879" s="33" t="n">
        <v>2</v>
      </c>
      <c r="Z879" s="33" t="n">
        <v>2</v>
      </c>
      <c r="AA879" s="33" t="inlineStr">
        <is>
          <t>1</t>
        </is>
      </c>
      <c r="AB879" s="33" t="inlineStr">
        <is>
          <t>https://www.swimcloud.com/results/285189/event/38/?id=111092472#time111092472</t>
        </is>
      </c>
      <c r="AC879" s="33" t="inlineStr">
        <is>
          <t>SwimCloud API v6 2026-10-08</t>
        </is>
      </c>
      <c r="AD879" s="33" t="inlineStr">
        <is>
          <t>Egor Kornev|2023-11-24|SCM|100|Free|45.98|Russian SC Championship|SEM|False</t>
        </is>
      </c>
      <c r="AE879" s="53">
        <f>G879+L879/1000+ROW()/1000000000</f>
        <v/>
      </c>
      <c r="AF879" s="35">
        <f>IF(C879&lt;&gt;"Grayson Coulter","",COUNTIFS($C$5:$C$2991,"Grayson Coulter",$Q$5:$Q$2991,Q879,$AE$5:$AE$2991,"&lt;="&amp;AE879,$R$5:$R$2991,"&lt;"&amp;R879))</f>
        <v/>
      </c>
      <c r="AG879" s="35">
        <f>IF(OR(C879&lt;&gt;"Grayson Coulter",G879&lt;'00_Control'!$B$7),"",--(AF879&lt;5))</f>
        <v/>
      </c>
      <c r="AH879" s="35">
        <f>IF(OR(C879&lt;&gt;"Grayson Coulter",G879&lt;'00_Control'!$B$7),"",--(AF879&lt;10))</f>
        <v/>
      </c>
      <c r="AI879" s="35">
        <f>IF(AND(C879="Grayson Coulter",G879&gt;='00_Control'!$B$7),"YES","NO")</f>
        <v/>
      </c>
      <c r="AJ879" s="33" t="inlineStr">
        <is>
          <t>OK</t>
        </is>
      </c>
    </row>
    <row r="880">
      <c r="A880" s="33" t="inlineStr">
        <is>
          <t>SM000876</t>
        </is>
      </c>
      <c r="B880" s="33" t="inlineStr">
        <is>
          <t>SW017</t>
        </is>
      </c>
      <c r="C880" s="33" t="inlineStr">
        <is>
          <t>Egor Kornev</t>
        </is>
      </c>
      <c r="D880" s="33" t="inlineStr">
        <is>
          <t>SwimCloud</t>
        </is>
      </c>
      <c r="E880" s="33" t="inlineStr">
        <is>
          <t>1139582</t>
        </is>
      </c>
      <c r="F880" s="33" t="inlineStr">
        <is>
          <t>111092473</t>
        </is>
      </c>
      <c r="G880" s="51" t="n">
        <v>45255</v>
      </c>
      <c r="H880" s="33" t="inlineStr">
        <is>
          <t>Russian SC Championship</t>
        </is>
      </c>
      <c r="I880" s="33" t="inlineStr">
        <is>
          <t>285189</t>
        </is>
      </c>
      <c r="J880" s="33" t="inlineStr"/>
      <c r="K880" s="33" t="inlineStr">
        <is>
          <t>FIN</t>
        </is>
      </c>
      <c r="L880" s="35">
        <f>IF(K880="FIN",3,IF(OR(K880="SEM",K880="SEMI"),2,IF(OR(K880="PRE",K880="HEAT"),1,IF(V880="YES",4,2))))</f>
        <v/>
      </c>
      <c r="M880" s="33" t="inlineStr">
        <is>
          <t>SCM</t>
        </is>
      </c>
      <c r="N880" s="33" t="n">
        <v>100</v>
      </c>
      <c r="O880" s="33" t="inlineStr">
        <is>
          <t>Free</t>
        </is>
      </c>
      <c r="P880" s="33" t="inlineStr">
        <is>
          <t>100 Free</t>
        </is>
      </c>
      <c r="Q880" s="33" t="inlineStr">
        <is>
          <t>SCM_100_FREE</t>
        </is>
      </c>
      <c r="R880" s="36" t="n">
        <v>45.97</v>
      </c>
      <c r="S880" s="35">
        <f>IF(R880="","",IF(R880&gt;=60,INT(R880/60)&amp;":"&amp;TEXT(MOD(R880,60),"00.00"),TEXT(R880,"0.00")))</f>
        <v/>
      </c>
      <c r="T880" s="52">
        <f>IFERROR((G880-INDEX('01_Swimmers'!$E$5:$E$22,MATCH(B880,'01_Swimmers'!$A$5:$A$22,0)))/'00_Control'!$B$10,"")</f>
        <v/>
      </c>
      <c r="U880" s="35">
        <f>IF(T880="","",INT(T880))</f>
        <v/>
      </c>
      <c r="V880" s="33" t="inlineStr">
        <is>
          <t>NO</t>
        </is>
      </c>
      <c r="W880" s="33" t="inlineStr">
        <is>
          <t>YES</t>
        </is>
      </c>
      <c r="X880" s="33" t="inlineStr">
        <is>
          <t>NO</t>
        </is>
      </c>
      <c r="Y880" s="33" t="n">
        <v>1</v>
      </c>
      <c r="Z880" s="33" t="n">
        <v>4</v>
      </c>
      <c r="AA880" s="33" t="inlineStr">
        <is>
          <t>1</t>
        </is>
      </c>
      <c r="AB880" s="33" t="inlineStr">
        <is>
          <t>https://www.swimcloud.com/results/285189/event/38/?id=111092473#time111092473</t>
        </is>
      </c>
      <c r="AC880" s="33" t="inlineStr">
        <is>
          <t>SwimCloud API v6 2026-10-08</t>
        </is>
      </c>
      <c r="AD880" s="33" t="inlineStr">
        <is>
          <t>Egor Kornev|2023-11-25|SCM|100|Free|45.97|Russian SC Championship|FIN|False</t>
        </is>
      </c>
      <c r="AE880" s="53">
        <f>G880+L880/1000+ROW()/1000000000</f>
        <v/>
      </c>
      <c r="AF880" s="35">
        <f>IF(C880&lt;&gt;"Grayson Coulter","",COUNTIFS($C$5:$C$2991,"Grayson Coulter",$Q$5:$Q$2991,Q880,$AE$5:$AE$2991,"&lt;="&amp;AE880,$R$5:$R$2991,"&lt;"&amp;R880))</f>
        <v/>
      </c>
      <c r="AG880" s="35">
        <f>IF(OR(C880&lt;&gt;"Grayson Coulter",G880&lt;'00_Control'!$B$7),"",--(AF880&lt;5))</f>
        <v/>
      </c>
      <c r="AH880" s="35">
        <f>IF(OR(C880&lt;&gt;"Grayson Coulter",G880&lt;'00_Control'!$B$7),"",--(AF880&lt;10))</f>
        <v/>
      </c>
      <c r="AI880" s="35">
        <f>IF(AND(C880="Grayson Coulter",G880&gt;='00_Control'!$B$7),"YES","NO")</f>
        <v/>
      </c>
      <c r="AJ880" s="33" t="inlineStr">
        <is>
          <t>OK</t>
        </is>
      </c>
    </row>
    <row r="881">
      <c r="A881" s="33" t="inlineStr">
        <is>
          <t>SM000877</t>
        </is>
      </c>
      <c r="B881" s="33" t="inlineStr">
        <is>
          <t>SW017</t>
        </is>
      </c>
      <c r="C881" s="33" t="inlineStr">
        <is>
          <t>Egor Kornev</t>
        </is>
      </c>
      <c r="D881" s="33" t="inlineStr">
        <is>
          <t>SwimCloud</t>
        </is>
      </c>
      <c r="E881" s="33" t="inlineStr">
        <is>
          <t>1139582</t>
        </is>
      </c>
      <c r="F881" s="33" t="inlineStr">
        <is>
          <t>113413923</t>
        </is>
      </c>
      <c r="G881" s="51" t="n">
        <v>45277</v>
      </c>
      <c r="H881" s="33" t="inlineStr">
        <is>
          <t>Vladimir Salnikov Cup</t>
        </is>
      </c>
      <c r="I881" s="33" t="inlineStr">
        <is>
          <t>289316</t>
        </is>
      </c>
      <c r="J881" s="33" t="inlineStr"/>
      <c r="K881" s="33" t="inlineStr">
        <is>
          <t>PRE</t>
        </is>
      </c>
      <c r="L881" s="35">
        <f>IF(K881="FIN",3,IF(OR(K881="SEM",K881="SEMI"),2,IF(OR(K881="PRE",K881="HEAT"),1,IF(V881="YES",4,2))))</f>
        <v/>
      </c>
      <c r="M881" s="33" t="inlineStr">
        <is>
          <t>SCM</t>
        </is>
      </c>
      <c r="N881" s="33" t="n">
        <v>100</v>
      </c>
      <c r="O881" s="33" t="inlineStr">
        <is>
          <t>Free</t>
        </is>
      </c>
      <c r="P881" s="33" t="inlineStr">
        <is>
          <t>100 Free</t>
        </is>
      </c>
      <c r="Q881" s="33" t="inlineStr">
        <is>
          <t>SCM_100_FREE</t>
        </is>
      </c>
      <c r="R881" s="36" t="n">
        <v>47.49</v>
      </c>
      <c r="S881" s="35">
        <f>IF(R881="","",IF(R881&gt;=60,INT(R881/60)&amp;":"&amp;TEXT(MOD(R881,60),"00.00"),TEXT(R881,"0.00")))</f>
        <v/>
      </c>
      <c r="T881" s="52">
        <f>IFERROR((G881-INDEX('01_Swimmers'!$E$5:$E$22,MATCH(B881,'01_Swimmers'!$A$5:$A$22,0)))/'00_Control'!$B$10,"")</f>
        <v/>
      </c>
      <c r="U881" s="35">
        <f>IF(T881="","",INT(T881))</f>
        <v/>
      </c>
      <c r="V881" s="33" t="inlineStr">
        <is>
          <t>NO</t>
        </is>
      </c>
      <c r="W881" s="33" t="inlineStr">
        <is>
          <t>YES</t>
        </is>
      </c>
      <c r="X881" s="33" t="inlineStr">
        <is>
          <t>NO</t>
        </is>
      </c>
      <c r="Y881" s="33" t="n">
        <v>8</v>
      </c>
      <c r="Z881" s="33" t="n">
        <v>4</v>
      </c>
      <c r="AA881" s="33" t="inlineStr">
        <is>
          <t>2</t>
        </is>
      </c>
      <c r="AB881" s="33" t="inlineStr">
        <is>
          <t>https://www.swimcloud.com/results/289316/event/22/?id=113413923#time113413923</t>
        </is>
      </c>
      <c r="AC881" s="33" t="inlineStr">
        <is>
          <t>SwimCloud API v6 2026-10-08</t>
        </is>
      </c>
      <c r="AD881" s="33" t="inlineStr">
        <is>
          <t>Egor Kornev|2023-12-17|SCM|100|Free|47.49|Vladimir Salnikov Cup|PRE|False</t>
        </is>
      </c>
      <c r="AE881" s="53">
        <f>G881+L881/1000+ROW()/1000000000</f>
        <v/>
      </c>
      <c r="AF881" s="35">
        <f>IF(C881&lt;&gt;"Grayson Coulter","",COUNTIFS($C$5:$C$2991,"Grayson Coulter",$Q$5:$Q$2991,Q881,$AE$5:$AE$2991,"&lt;="&amp;AE881,$R$5:$R$2991,"&lt;"&amp;R881))</f>
        <v/>
      </c>
      <c r="AG881" s="35">
        <f>IF(OR(C881&lt;&gt;"Grayson Coulter",G881&lt;'00_Control'!$B$7),"",--(AF881&lt;5))</f>
        <v/>
      </c>
      <c r="AH881" s="35">
        <f>IF(OR(C881&lt;&gt;"Grayson Coulter",G881&lt;'00_Control'!$B$7),"",--(AF881&lt;10))</f>
        <v/>
      </c>
      <c r="AI881" s="35">
        <f>IF(AND(C881="Grayson Coulter",G881&gt;='00_Control'!$B$7),"YES","NO")</f>
        <v/>
      </c>
      <c r="AJ881" s="33" t="inlineStr">
        <is>
          <t>OK</t>
        </is>
      </c>
    </row>
    <row r="882">
      <c r="A882" s="33" t="inlineStr">
        <is>
          <t>SM000878</t>
        </is>
      </c>
      <c r="B882" s="33" t="inlineStr">
        <is>
          <t>SW017</t>
        </is>
      </c>
      <c r="C882" s="33" t="inlineStr">
        <is>
          <t>Egor Kornev</t>
        </is>
      </c>
      <c r="D882" s="33" t="inlineStr">
        <is>
          <t>SwimCloud</t>
        </is>
      </c>
      <c r="E882" s="33" t="inlineStr">
        <is>
          <t>1139582</t>
        </is>
      </c>
      <c r="F882" s="33" t="inlineStr">
        <is>
          <t>113413926</t>
        </is>
      </c>
      <c r="G882" s="51" t="n">
        <v>45277</v>
      </c>
      <c r="H882" s="33" t="inlineStr">
        <is>
          <t>Vladimir Salnikov Cup</t>
        </is>
      </c>
      <c r="I882" s="33" t="inlineStr">
        <is>
          <t>289316</t>
        </is>
      </c>
      <c r="J882" s="33" t="inlineStr"/>
      <c r="K882" s="33" t="inlineStr">
        <is>
          <t>FIN</t>
        </is>
      </c>
      <c r="L882" s="35">
        <f>IF(K882="FIN",3,IF(OR(K882="SEM",K882="SEMI"),2,IF(OR(K882="PRE",K882="HEAT"),1,IF(V882="YES",4,2))))</f>
        <v/>
      </c>
      <c r="M882" s="33" t="inlineStr">
        <is>
          <t>SCM</t>
        </is>
      </c>
      <c r="N882" s="33" t="n">
        <v>100</v>
      </c>
      <c r="O882" s="33" t="inlineStr">
        <is>
          <t>Free</t>
        </is>
      </c>
      <c r="P882" s="33" t="inlineStr">
        <is>
          <t>100 Free</t>
        </is>
      </c>
      <c r="Q882" s="33" t="inlineStr">
        <is>
          <t>SCM_100_FREE</t>
        </is>
      </c>
      <c r="R882" s="36" t="n">
        <v>46.44</v>
      </c>
      <c r="S882" s="35">
        <f>IF(R882="","",IF(R882&gt;=60,INT(R882/60)&amp;":"&amp;TEXT(MOD(R882,60),"00.00"),TEXT(R882,"0.00")))</f>
        <v/>
      </c>
      <c r="T882" s="52">
        <f>IFERROR((G882-INDEX('01_Swimmers'!$E$5:$E$22,MATCH(B882,'01_Swimmers'!$A$5:$A$22,0)))/'00_Control'!$B$10,"")</f>
        <v/>
      </c>
      <c r="U882" s="35">
        <f>IF(T882="","",INT(T882))</f>
        <v/>
      </c>
      <c r="V882" s="33" t="inlineStr">
        <is>
          <t>NO</t>
        </is>
      </c>
      <c r="W882" s="33" t="inlineStr">
        <is>
          <t>YES</t>
        </is>
      </c>
      <c r="X882" s="33" t="inlineStr">
        <is>
          <t>NO</t>
        </is>
      </c>
      <c r="Y882" s="33" t="n">
        <v>1</v>
      </c>
      <c r="Z882" s="33" t="n">
        <v>5</v>
      </c>
      <c r="AA882" s="33" t="inlineStr">
        <is>
          <t>2</t>
        </is>
      </c>
      <c r="AB882" s="33" t="inlineStr">
        <is>
          <t>https://www.swimcloud.com/results/289316/event/22/?id=113413926#time113413926</t>
        </is>
      </c>
      <c r="AC882" s="33" t="inlineStr">
        <is>
          <t>SwimCloud API v6 2026-10-08</t>
        </is>
      </c>
      <c r="AD882" s="33" t="inlineStr">
        <is>
          <t>Egor Kornev|2023-12-17|SCM|100|Free|46.44|Vladimir Salnikov Cup|FIN|False</t>
        </is>
      </c>
      <c r="AE882" s="53">
        <f>G882+L882/1000+ROW()/1000000000</f>
        <v/>
      </c>
      <c r="AF882" s="35">
        <f>IF(C882&lt;&gt;"Grayson Coulter","",COUNTIFS($C$5:$C$2991,"Grayson Coulter",$Q$5:$Q$2991,Q882,$AE$5:$AE$2991,"&lt;="&amp;AE882,$R$5:$R$2991,"&lt;"&amp;R882))</f>
        <v/>
      </c>
      <c r="AG882" s="35">
        <f>IF(OR(C882&lt;&gt;"Grayson Coulter",G882&lt;'00_Control'!$B$7),"",--(AF882&lt;5))</f>
        <v/>
      </c>
      <c r="AH882" s="35">
        <f>IF(OR(C882&lt;&gt;"Grayson Coulter",G882&lt;'00_Control'!$B$7),"",--(AF882&lt;10))</f>
        <v/>
      </c>
      <c r="AI882" s="35">
        <f>IF(AND(C882="Grayson Coulter",G882&gt;='00_Control'!$B$7),"YES","NO")</f>
        <v/>
      </c>
      <c r="AJ882" s="33" t="inlineStr">
        <is>
          <t>OK</t>
        </is>
      </c>
    </row>
    <row r="883">
      <c r="A883" s="33" t="inlineStr">
        <is>
          <t>SM000879</t>
        </is>
      </c>
      <c r="B883" s="33" t="inlineStr">
        <is>
          <t>SW017</t>
        </is>
      </c>
      <c r="C883" s="33" t="inlineStr">
        <is>
          <t>Egor Kornev</t>
        </is>
      </c>
      <c r="D883" s="33" t="inlineStr">
        <is>
          <t>SwimCloud</t>
        </is>
      </c>
      <c r="E883" s="33" t="inlineStr">
        <is>
          <t>1139582</t>
        </is>
      </c>
      <c r="F883" s="33" t="inlineStr">
        <is>
          <t>124891203</t>
        </is>
      </c>
      <c r="G883" s="51" t="n">
        <v>45396</v>
      </c>
      <c r="H883" s="33" t="inlineStr">
        <is>
          <t>Russian Championship</t>
        </is>
      </c>
      <c r="I883" s="33" t="inlineStr">
        <is>
          <t>302517</t>
        </is>
      </c>
      <c r="J883" s="33" t="inlineStr"/>
      <c r="K883" s="33" t="inlineStr">
        <is>
          <t>FIN</t>
        </is>
      </c>
      <c r="L883" s="35">
        <f>IF(K883="FIN",3,IF(OR(K883="SEM",K883="SEMI"),2,IF(OR(K883="PRE",K883="HEAT"),1,IF(V883="YES",4,2))))</f>
        <v/>
      </c>
      <c r="M883" s="33" t="inlineStr">
        <is>
          <t>LCM</t>
        </is>
      </c>
      <c r="N883" s="33" t="n">
        <v>100</v>
      </c>
      <c r="O883" s="33" t="inlineStr">
        <is>
          <t>Free</t>
        </is>
      </c>
      <c r="P883" s="33" t="inlineStr">
        <is>
          <t>100 Free</t>
        </is>
      </c>
      <c r="Q883" s="33" t="inlineStr">
        <is>
          <t>LCM_100_FREE</t>
        </is>
      </c>
      <c r="R883" s="36" t="n">
        <v>47.87</v>
      </c>
      <c r="S883" s="35">
        <f>IF(R883="","",IF(R883&gt;=60,INT(R883/60)&amp;":"&amp;TEXT(MOD(R883,60),"00.00"),TEXT(R883,"0.00")))</f>
        <v/>
      </c>
      <c r="T883" s="52">
        <f>IFERROR((G883-INDEX('01_Swimmers'!$E$5:$E$22,MATCH(B883,'01_Swimmers'!$A$5:$A$22,0)))/'00_Control'!$B$10,"")</f>
        <v/>
      </c>
      <c r="U883" s="35">
        <f>IF(T883="","",INT(T883))</f>
        <v/>
      </c>
      <c r="V883" s="33" t="inlineStr">
        <is>
          <t>YES</t>
        </is>
      </c>
      <c r="W883" s="33" t="inlineStr">
        <is>
          <t>YES</t>
        </is>
      </c>
      <c r="X883" s="33" t="inlineStr">
        <is>
          <t>NO</t>
        </is>
      </c>
      <c r="Y883" s="33" t="n">
        <v>1</v>
      </c>
      <c r="Z883" s="33" t="n">
        <v>4</v>
      </c>
      <c r="AA883" s="33" t="inlineStr"/>
      <c r="AB883" s="33" t="inlineStr">
        <is>
          <t>https://www.swimcloud.com/results/302517/event/7/?id=124890421#time124890421</t>
        </is>
      </c>
      <c r="AC883" s="33" t="inlineStr">
        <is>
          <t>SwimCloud API v6 2026-10-08</t>
        </is>
      </c>
      <c r="AD883" s="33" t="inlineStr">
        <is>
          <t>Egor Kornev|2024-04-14|LCM|100|Free|47.87|Russian Championship|FIN|True</t>
        </is>
      </c>
      <c r="AE883" s="53">
        <f>G883+L883/1000+ROW()/1000000000</f>
        <v/>
      </c>
      <c r="AF883" s="35">
        <f>IF(C883&lt;&gt;"Grayson Coulter","",COUNTIFS($C$5:$C$2991,"Grayson Coulter",$Q$5:$Q$2991,Q883,$AE$5:$AE$2991,"&lt;="&amp;AE883,$R$5:$R$2991,"&lt;"&amp;R883))</f>
        <v/>
      </c>
      <c r="AG883" s="35">
        <f>IF(OR(C883&lt;&gt;"Grayson Coulter",G883&lt;'00_Control'!$B$7),"",--(AF883&lt;5))</f>
        <v/>
      </c>
      <c r="AH883" s="35">
        <f>IF(OR(C883&lt;&gt;"Grayson Coulter",G883&lt;'00_Control'!$B$7),"",--(AF883&lt;10))</f>
        <v/>
      </c>
      <c r="AI883" s="35">
        <f>IF(AND(C883="Grayson Coulter",G883&gt;='00_Control'!$B$7),"YES","NO")</f>
        <v/>
      </c>
      <c r="AJ883" s="33" t="inlineStr">
        <is>
          <t>OK</t>
        </is>
      </c>
    </row>
    <row r="884">
      <c r="A884" s="33" t="inlineStr">
        <is>
          <t>SM000880</t>
        </is>
      </c>
      <c r="B884" s="33" t="inlineStr">
        <is>
          <t>SW017</t>
        </is>
      </c>
      <c r="C884" s="33" t="inlineStr">
        <is>
          <t>Egor Kornev</t>
        </is>
      </c>
      <c r="D884" s="33" t="inlineStr">
        <is>
          <t>SwimCloud</t>
        </is>
      </c>
      <c r="E884" s="33" t="inlineStr">
        <is>
          <t>1139582</t>
        </is>
      </c>
      <c r="F884" s="33" t="inlineStr">
        <is>
          <t>124891243</t>
        </is>
      </c>
      <c r="G884" s="51" t="n">
        <v>45398</v>
      </c>
      <c r="H884" s="33" t="inlineStr">
        <is>
          <t>Russian Championship</t>
        </is>
      </c>
      <c r="I884" s="33" t="inlineStr">
        <is>
          <t>302517</t>
        </is>
      </c>
      <c r="J884" s="33" t="inlineStr"/>
      <c r="K884" s="33" t="inlineStr">
        <is>
          <t>FIN</t>
        </is>
      </c>
      <c r="L884" s="35">
        <f>IF(K884="FIN",3,IF(OR(K884="SEM",K884="SEMI"),2,IF(OR(K884="PRE",K884="HEAT"),1,IF(V884="YES",4,2))))</f>
        <v/>
      </c>
      <c r="M884" s="33" t="inlineStr">
        <is>
          <t>LCM</t>
        </is>
      </c>
      <c r="N884" s="33" t="n">
        <v>100</v>
      </c>
      <c r="O884" s="33" t="inlineStr">
        <is>
          <t>Free</t>
        </is>
      </c>
      <c r="P884" s="33" t="inlineStr">
        <is>
          <t>100 Free</t>
        </is>
      </c>
      <c r="Q884" s="33" t="inlineStr">
        <is>
          <t>LCM_100_FREE</t>
        </is>
      </c>
      <c r="R884" s="36" t="n">
        <v>48.23</v>
      </c>
      <c r="S884" s="35">
        <f>IF(R884="","",IF(R884&gt;=60,INT(R884/60)&amp;":"&amp;TEXT(MOD(R884,60),"00.00"),TEXT(R884,"0.00")))</f>
        <v/>
      </c>
      <c r="T884" s="52">
        <f>IFERROR((G884-INDEX('01_Swimmers'!$E$5:$E$22,MATCH(B884,'01_Swimmers'!$A$5:$A$22,0)))/'00_Control'!$B$10,"")</f>
        <v/>
      </c>
      <c r="U884" s="35">
        <f>IF(T884="","",INT(T884))</f>
        <v/>
      </c>
      <c r="V884" s="33" t="inlineStr">
        <is>
          <t>YES</t>
        </is>
      </c>
      <c r="W884" s="33" t="inlineStr">
        <is>
          <t>YES</t>
        </is>
      </c>
      <c r="X884" s="33" t="inlineStr">
        <is>
          <t>NO</t>
        </is>
      </c>
      <c r="Y884" s="33" t="n">
        <v>1</v>
      </c>
      <c r="Z884" s="33" t="n">
        <v>4</v>
      </c>
      <c r="AA884" s="33" t="inlineStr"/>
      <c r="AB884" s="33" t="inlineStr">
        <is>
          <t>https://www.swimcloud.com/results/302517/event/21/?id=124890433#time124890433</t>
        </is>
      </c>
      <c r="AC884" s="33" t="inlineStr">
        <is>
          <t>SwimCloud API v6 2026-10-08</t>
        </is>
      </c>
      <c r="AD884" s="33" t="inlineStr">
        <is>
          <t>Egor Kornev|2024-04-16|LCM|100|Free|48.23|Russian Championship|FIN|True</t>
        </is>
      </c>
      <c r="AE884" s="53">
        <f>G884+L884/1000+ROW()/1000000000</f>
        <v/>
      </c>
      <c r="AF884" s="35">
        <f>IF(C884&lt;&gt;"Grayson Coulter","",COUNTIFS($C$5:$C$2991,"Grayson Coulter",$Q$5:$Q$2991,Q884,$AE$5:$AE$2991,"&lt;="&amp;AE884,$R$5:$R$2991,"&lt;"&amp;R884))</f>
        <v/>
      </c>
      <c r="AG884" s="35">
        <f>IF(OR(C884&lt;&gt;"Grayson Coulter",G884&lt;'00_Control'!$B$7),"",--(AF884&lt;5))</f>
        <v/>
      </c>
      <c r="AH884" s="35">
        <f>IF(OR(C884&lt;&gt;"Grayson Coulter",G884&lt;'00_Control'!$B$7),"",--(AF884&lt;10))</f>
        <v/>
      </c>
      <c r="AI884" s="35">
        <f>IF(AND(C884="Grayson Coulter",G884&gt;='00_Control'!$B$7),"YES","NO")</f>
        <v/>
      </c>
      <c r="AJ884" s="33" t="inlineStr">
        <is>
          <t>OK</t>
        </is>
      </c>
    </row>
    <row r="885">
      <c r="A885" s="33" t="inlineStr">
        <is>
          <t>SM000881</t>
        </is>
      </c>
      <c r="B885" s="33" t="inlineStr">
        <is>
          <t>SW017</t>
        </is>
      </c>
      <c r="C885" s="33" t="inlineStr">
        <is>
          <t>Egor Kornev</t>
        </is>
      </c>
      <c r="D885" s="33" t="inlineStr">
        <is>
          <t>SwimCloud</t>
        </is>
      </c>
      <c r="E885" s="33" t="inlineStr">
        <is>
          <t>1139582</t>
        </is>
      </c>
      <c r="F885" s="33" t="inlineStr">
        <is>
          <t>124890283</t>
        </is>
      </c>
      <c r="G885" s="51" t="n">
        <v>45400</v>
      </c>
      <c r="H885" s="33" t="inlineStr">
        <is>
          <t>Russian Championship</t>
        </is>
      </c>
      <c r="I885" s="33" t="inlineStr">
        <is>
          <t>302517</t>
        </is>
      </c>
      <c r="J885" s="33" t="inlineStr"/>
      <c r="K885" s="33" t="inlineStr">
        <is>
          <t>PRE</t>
        </is>
      </c>
      <c r="L885" s="35">
        <f>IF(K885="FIN",3,IF(OR(K885="SEM",K885="SEMI"),2,IF(OR(K885="PRE",K885="HEAT"),1,IF(V885="YES",4,2))))</f>
        <v/>
      </c>
      <c r="M885" s="33" t="inlineStr">
        <is>
          <t>LCM</t>
        </is>
      </c>
      <c r="N885" s="33" t="n">
        <v>100</v>
      </c>
      <c r="O885" s="33" t="inlineStr">
        <is>
          <t>Free</t>
        </is>
      </c>
      <c r="P885" s="33" t="inlineStr">
        <is>
          <t>100 Free</t>
        </is>
      </c>
      <c r="Q885" s="33" t="inlineStr">
        <is>
          <t>LCM_100_FREE</t>
        </is>
      </c>
      <c r="R885" s="36" t="n">
        <v>48.98</v>
      </c>
      <c r="S885" s="35">
        <f>IF(R885="","",IF(R885&gt;=60,INT(R885/60)&amp;":"&amp;TEXT(MOD(R885,60),"00.00"),TEXT(R885,"0.00")))</f>
        <v/>
      </c>
      <c r="T885" s="52">
        <f>IFERROR((G885-INDEX('01_Swimmers'!$E$5:$E$22,MATCH(B885,'01_Swimmers'!$A$5:$A$22,0)))/'00_Control'!$B$10,"")</f>
        <v/>
      </c>
      <c r="U885" s="35">
        <f>IF(T885="","",INT(T885))</f>
        <v/>
      </c>
      <c r="V885" s="33" t="inlineStr">
        <is>
          <t>NO</t>
        </is>
      </c>
      <c r="W885" s="33" t="inlineStr">
        <is>
          <t>YES</t>
        </is>
      </c>
      <c r="X885" s="33" t="inlineStr">
        <is>
          <t>NO</t>
        </is>
      </c>
      <c r="Y885" s="33" t="n">
        <v>16</v>
      </c>
      <c r="Z885" s="33" t="n">
        <v>5</v>
      </c>
      <c r="AA885" s="33" t="inlineStr">
        <is>
          <t>2</t>
        </is>
      </c>
      <c r="AB885" s="33" t="inlineStr">
        <is>
          <t>https://www.swimcloud.com/results/302517/event/29/?id=124890283#time124890283</t>
        </is>
      </c>
      <c r="AC885" s="33" t="inlineStr">
        <is>
          <t>SwimCloud API v6 2026-10-08</t>
        </is>
      </c>
      <c r="AD885" s="33" t="inlineStr">
        <is>
          <t>Egor Kornev|2024-04-18|LCM|100|Free|48.98|Russian Championship|PRE|False</t>
        </is>
      </c>
      <c r="AE885" s="53">
        <f>G885+L885/1000+ROW()/1000000000</f>
        <v/>
      </c>
      <c r="AF885" s="35">
        <f>IF(C885&lt;&gt;"Grayson Coulter","",COUNTIFS($C$5:$C$2991,"Grayson Coulter",$Q$5:$Q$2991,Q885,$AE$5:$AE$2991,"&lt;="&amp;AE885,$R$5:$R$2991,"&lt;"&amp;R885))</f>
        <v/>
      </c>
      <c r="AG885" s="35">
        <f>IF(OR(C885&lt;&gt;"Grayson Coulter",G885&lt;'00_Control'!$B$7),"",--(AF885&lt;5))</f>
        <v/>
      </c>
      <c r="AH885" s="35">
        <f>IF(OR(C885&lt;&gt;"Grayson Coulter",G885&lt;'00_Control'!$B$7),"",--(AF885&lt;10))</f>
        <v/>
      </c>
      <c r="AI885" s="35">
        <f>IF(AND(C885="Grayson Coulter",G885&gt;='00_Control'!$B$7),"YES","NO")</f>
        <v/>
      </c>
      <c r="AJ885" s="33" t="inlineStr">
        <is>
          <t>OK</t>
        </is>
      </c>
    </row>
    <row r="886">
      <c r="A886" s="33" t="inlineStr">
        <is>
          <t>SM000882</t>
        </is>
      </c>
      <c r="B886" s="33" t="inlineStr">
        <is>
          <t>SW017</t>
        </is>
      </c>
      <c r="C886" s="33" t="inlineStr">
        <is>
          <t>Egor Kornev</t>
        </is>
      </c>
      <c r="D886" s="33" t="inlineStr">
        <is>
          <t>SwimCloud</t>
        </is>
      </c>
      <c r="E886" s="33" t="inlineStr">
        <is>
          <t>1139582</t>
        </is>
      </c>
      <c r="F886" s="33" t="inlineStr">
        <is>
          <t>124890286</t>
        </is>
      </c>
      <c r="G886" s="51" t="n">
        <v>45400</v>
      </c>
      <c r="H886" s="33" t="inlineStr">
        <is>
          <t>Russian Championship</t>
        </is>
      </c>
      <c r="I886" s="33" t="inlineStr">
        <is>
          <t>302517</t>
        </is>
      </c>
      <c r="J886" s="33" t="inlineStr"/>
      <c r="K886" s="33" t="inlineStr">
        <is>
          <t>SEM</t>
        </is>
      </c>
      <c r="L886" s="35">
        <f>IF(K886="FIN",3,IF(OR(K886="SEM",K886="SEMI"),2,IF(OR(K886="PRE",K886="HEAT"),1,IF(V886="YES",4,2))))</f>
        <v/>
      </c>
      <c r="M886" s="33" t="inlineStr">
        <is>
          <t>LCM</t>
        </is>
      </c>
      <c r="N886" s="33" t="n">
        <v>100</v>
      </c>
      <c r="O886" s="33" t="inlineStr">
        <is>
          <t>Free</t>
        </is>
      </c>
      <c r="P886" s="33" t="inlineStr">
        <is>
          <t>100 Free</t>
        </is>
      </c>
      <c r="Q886" s="33" t="inlineStr">
        <is>
          <t>LCM_100_FREE</t>
        </is>
      </c>
      <c r="R886" s="36" t="n">
        <v>48.09</v>
      </c>
      <c r="S886" s="35">
        <f>IF(R886="","",IF(R886&gt;=60,INT(R886/60)&amp;":"&amp;TEXT(MOD(R886,60),"00.00"),TEXT(R886,"0.00")))</f>
        <v/>
      </c>
      <c r="T886" s="52">
        <f>IFERROR((G886-INDEX('01_Swimmers'!$E$5:$E$22,MATCH(B886,'01_Swimmers'!$A$5:$A$22,0)))/'00_Control'!$B$10,"")</f>
        <v/>
      </c>
      <c r="U886" s="35">
        <f>IF(T886="","",INT(T886))</f>
        <v/>
      </c>
      <c r="V886" s="33" t="inlineStr">
        <is>
          <t>NO</t>
        </is>
      </c>
      <c r="W886" s="33" t="inlineStr">
        <is>
          <t>YES</t>
        </is>
      </c>
      <c r="X886" s="33" t="inlineStr">
        <is>
          <t>NO</t>
        </is>
      </c>
      <c r="Y886" s="33" t="n">
        <v>1</v>
      </c>
      <c r="Z886" s="33" t="n">
        <v>4</v>
      </c>
      <c r="AA886" s="33" t="inlineStr">
        <is>
          <t>1</t>
        </is>
      </c>
      <c r="AB886" s="33" t="inlineStr">
        <is>
          <t>https://www.swimcloud.com/results/302517/event/29/?id=124890286#time124890286</t>
        </is>
      </c>
      <c r="AC886" s="33" t="inlineStr">
        <is>
          <t>SwimCloud API v6 2026-10-08</t>
        </is>
      </c>
      <c r="AD886" s="33" t="inlineStr">
        <is>
          <t>Egor Kornev|2024-04-18|LCM|100|Free|48.09|Russian Championship|SEM|False</t>
        </is>
      </c>
      <c r="AE886" s="53">
        <f>G886+L886/1000+ROW()/1000000000</f>
        <v/>
      </c>
      <c r="AF886" s="35">
        <f>IF(C886&lt;&gt;"Grayson Coulter","",COUNTIFS($C$5:$C$2991,"Grayson Coulter",$Q$5:$Q$2991,Q886,$AE$5:$AE$2991,"&lt;="&amp;AE886,$R$5:$R$2991,"&lt;"&amp;R886))</f>
        <v/>
      </c>
      <c r="AG886" s="35">
        <f>IF(OR(C886&lt;&gt;"Grayson Coulter",G886&lt;'00_Control'!$B$7),"",--(AF886&lt;5))</f>
        <v/>
      </c>
      <c r="AH886" s="35">
        <f>IF(OR(C886&lt;&gt;"Grayson Coulter",G886&lt;'00_Control'!$B$7),"",--(AF886&lt;10))</f>
        <v/>
      </c>
      <c r="AI886" s="35">
        <f>IF(AND(C886="Grayson Coulter",G886&gt;='00_Control'!$B$7),"YES","NO")</f>
        <v/>
      </c>
      <c r="AJ886" s="33" t="inlineStr">
        <is>
          <t>OK</t>
        </is>
      </c>
    </row>
    <row r="887">
      <c r="A887" s="33" t="inlineStr">
        <is>
          <t>SM000883</t>
        </is>
      </c>
      <c r="B887" s="33" t="inlineStr">
        <is>
          <t>SW017</t>
        </is>
      </c>
      <c r="C887" s="33" t="inlineStr">
        <is>
          <t>Egor Kornev</t>
        </is>
      </c>
      <c r="D887" s="33" t="inlineStr">
        <is>
          <t>SwimCloud</t>
        </is>
      </c>
      <c r="E887" s="33" t="inlineStr">
        <is>
          <t>1139582</t>
        </is>
      </c>
      <c r="F887" s="33" t="inlineStr">
        <is>
          <t>124890287</t>
        </is>
      </c>
      <c r="G887" s="51" t="n">
        <v>45401</v>
      </c>
      <c r="H887" s="33" t="inlineStr">
        <is>
          <t>Russian Championship</t>
        </is>
      </c>
      <c r="I887" s="33" t="inlineStr">
        <is>
          <t>302517</t>
        </is>
      </c>
      <c r="J887" s="33" t="inlineStr"/>
      <c r="K887" s="33" t="inlineStr">
        <is>
          <t>FIN</t>
        </is>
      </c>
      <c r="L887" s="35">
        <f>IF(K887="FIN",3,IF(OR(K887="SEM",K887="SEMI"),2,IF(OR(K887="PRE",K887="HEAT"),1,IF(V887="YES",4,2))))</f>
        <v/>
      </c>
      <c r="M887" s="33" t="inlineStr">
        <is>
          <t>LCM</t>
        </is>
      </c>
      <c r="N887" s="33" t="n">
        <v>100</v>
      </c>
      <c r="O887" s="33" t="inlineStr">
        <is>
          <t>Free</t>
        </is>
      </c>
      <c r="P887" s="33" t="inlineStr">
        <is>
          <t>100 Free</t>
        </is>
      </c>
      <c r="Q887" s="33" t="inlineStr">
        <is>
          <t>LCM_100_FREE</t>
        </is>
      </c>
      <c r="R887" s="36" t="n">
        <v>47.82</v>
      </c>
      <c r="S887" s="35">
        <f>IF(R887="","",IF(R887&gt;=60,INT(R887/60)&amp;":"&amp;TEXT(MOD(R887,60),"00.00"),TEXT(R887,"0.00")))</f>
        <v/>
      </c>
      <c r="T887" s="52">
        <f>IFERROR((G887-INDEX('01_Swimmers'!$E$5:$E$22,MATCH(B887,'01_Swimmers'!$A$5:$A$22,0)))/'00_Control'!$B$10,"")</f>
        <v/>
      </c>
      <c r="U887" s="35">
        <f>IF(T887="","",INT(T887))</f>
        <v/>
      </c>
      <c r="V887" s="33" t="inlineStr">
        <is>
          <t>NO</t>
        </is>
      </c>
      <c r="W887" s="33" t="inlineStr">
        <is>
          <t>YES</t>
        </is>
      </c>
      <c r="X887" s="33" t="inlineStr">
        <is>
          <t>NO</t>
        </is>
      </c>
      <c r="Y887" s="33" t="n">
        <v>1</v>
      </c>
      <c r="Z887" s="33" t="n">
        <v>4</v>
      </c>
      <c r="AA887" s="33" t="inlineStr">
        <is>
          <t>1</t>
        </is>
      </c>
      <c r="AB887" s="33" t="inlineStr">
        <is>
          <t>https://www.swimcloud.com/results/302517/event/29/?id=124890287#time124890287</t>
        </is>
      </c>
      <c r="AC887" s="33" t="inlineStr">
        <is>
          <t>SwimCloud API v6 2026-10-08</t>
        </is>
      </c>
      <c r="AD887" s="33" t="inlineStr">
        <is>
          <t>Egor Kornev|2024-04-19|LCM|100|Free|47.82|Russian Championship|FIN|False</t>
        </is>
      </c>
      <c r="AE887" s="53">
        <f>G887+L887/1000+ROW()/1000000000</f>
        <v/>
      </c>
      <c r="AF887" s="35">
        <f>IF(C887&lt;&gt;"Grayson Coulter","",COUNTIFS($C$5:$C$2991,"Grayson Coulter",$Q$5:$Q$2991,Q887,$AE$5:$AE$2991,"&lt;="&amp;AE887,$R$5:$R$2991,"&lt;"&amp;R887))</f>
        <v/>
      </c>
      <c r="AG887" s="35">
        <f>IF(OR(C887&lt;&gt;"Grayson Coulter",G887&lt;'00_Control'!$B$7),"",--(AF887&lt;5))</f>
        <v/>
      </c>
      <c r="AH887" s="35">
        <f>IF(OR(C887&lt;&gt;"Grayson Coulter",G887&lt;'00_Control'!$B$7),"",--(AF887&lt;10))</f>
        <v/>
      </c>
      <c r="AI887" s="35">
        <f>IF(AND(C887="Grayson Coulter",G887&gt;='00_Control'!$B$7),"YES","NO")</f>
        <v/>
      </c>
      <c r="AJ887" s="33" t="inlineStr">
        <is>
          <t>OK</t>
        </is>
      </c>
    </row>
    <row r="888">
      <c r="A888" s="33" t="inlineStr">
        <is>
          <t>SM000884</t>
        </is>
      </c>
      <c r="B888" s="33" t="inlineStr">
        <is>
          <t>SW017</t>
        </is>
      </c>
      <c r="C888" s="33" t="inlineStr">
        <is>
          <t>Egor Kornev</t>
        </is>
      </c>
      <c r="D888" s="33" t="inlineStr">
        <is>
          <t>SwimCloud</t>
        </is>
      </c>
      <c r="E888" s="33" t="inlineStr">
        <is>
          <t>1139582</t>
        </is>
      </c>
      <c r="F888" s="33" t="inlineStr">
        <is>
          <t>125229948</t>
        </is>
      </c>
      <c r="G888" s="51" t="n">
        <v>45409</v>
      </c>
      <c r="H888" s="33" t="inlineStr">
        <is>
          <t>SWIM WARS</t>
        </is>
      </c>
      <c r="I888" s="33" t="inlineStr">
        <is>
          <t>302993</t>
        </is>
      </c>
      <c r="J888" s="33" t="inlineStr"/>
      <c r="K888" s="33" t="inlineStr">
        <is>
          <t>PRE</t>
        </is>
      </c>
      <c r="L888" s="35">
        <f>IF(K888="FIN",3,IF(OR(K888="SEM",K888="SEMI"),2,IF(OR(K888="PRE",K888="HEAT"),1,IF(V888="YES",4,2))))</f>
        <v/>
      </c>
      <c r="M888" s="33" t="inlineStr">
        <is>
          <t>LCM</t>
        </is>
      </c>
      <c r="N888" s="33" t="n">
        <v>100</v>
      </c>
      <c r="O888" s="33" t="inlineStr">
        <is>
          <t>Free</t>
        </is>
      </c>
      <c r="P888" s="33" t="inlineStr">
        <is>
          <t>100 Free</t>
        </is>
      </c>
      <c r="Q888" s="33" t="inlineStr">
        <is>
          <t>LCM_100_FREE</t>
        </is>
      </c>
      <c r="R888" s="36" t="n">
        <v>48.71</v>
      </c>
      <c r="S888" s="35">
        <f>IF(R888="","",IF(R888&gt;=60,INT(R888/60)&amp;":"&amp;TEXT(MOD(R888,60),"00.00"),TEXT(R888,"0.00")))</f>
        <v/>
      </c>
      <c r="T888" s="52">
        <f>IFERROR((G888-INDEX('01_Swimmers'!$E$5:$E$22,MATCH(B888,'01_Swimmers'!$A$5:$A$22,0)))/'00_Control'!$B$10,"")</f>
        <v/>
      </c>
      <c r="U888" s="35">
        <f>IF(T888="","",INT(T888))</f>
        <v/>
      </c>
      <c r="V888" s="33" t="inlineStr">
        <is>
          <t>NO</t>
        </is>
      </c>
      <c r="W888" s="33" t="inlineStr">
        <is>
          <t>YES</t>
        </is>
      </c>
      <c r="X888" s="33" t="inlineStr">
        <is>
          <t>NO</t>
        </is>
      </c>
      <c r="Y888" s="33" t="n">
        <v>17</v>
      </c>
      <c r="Z888" s="33" t="n">
        <v>4</v>
      </c>
      <c r="AA888" s="33" t="inlineStr">
        <is>
          <t>1</t>
        </is>
      </c>
      <c r="AB888" s="33" t="inlineStr">
        <is>
          <t>https://www.swimcloud.com/results/302993/event/11/?id=125229948#time125229948</t>
        </is>
      </c>
      <c r="AC888" s="33" t="inlineStr">
        <is>
          <t>SwimCloud API v6 2026-10-08</t>
        </is>
      </c>
      <c r="AD888" s="33" t="inlineStr">
        <is>
          <t>Egor Kornev|2024-04-27|LCM|100|Free|48.71|SWIM WARS|PRE|False</t>
        </is>
      </c>
      <c r="AE888" s="53">
        <f>G888+L888/1000+ROW()/1000000000</f>
        <v/>
      </c>
      <c r="AF888" s="35">
        <f>IF(C888&lt;&gt;"Grayson Coulter","",COUNTIFS($C$5:$C$2991,"Grayson Coulter",$Q$5:$Q$2991,Q888,$AE$5:$AE$2991,"&lt;="&amp;AE888,$R$5:$R$2991,"&lt;"&amp;R888))</f>
        <v/>
      </c>
      <c r="AG888" s="35">
        <f>IF(OR(C888&lt;&gt;"Grayson Coulter",G888&lt;'00_Control'!$B$7),"",--(AF888&lt;5))</f>
        <v/>
      </c>
      <c r="AH888" s="35">
        <f>IF(OR(C888&lt;&gt;"Grayson Coulter",G888&lt;'00_Control'!$B$7),"",--(AF888&lt;10))</f>
        <v/>
      </c>
      <c r="AI888" s="35">
        <f>IF(AND(C888="Grayson Coulter",G888&gt;='00_Control'!$B$7),"YES","NO")</f>
        <v/>
      </c>
      <c r="AJ888" s="33" t="inlineStr">
        <is>
          <t>OK</t>
        </is>
      </c>
    </row>
    <row r="889">
      <c r="A889" s="33" t="inlineStr">
        <is>
          <t>SM000885</t>
        </is>
      </c>
      <c r="B889" s="33" t="inlineStr">
        <is>
          <t>SW017</t>
        </is>
      </c>
      <c r="C889" s="33" t="inlineStr">
        <is>
          <t>Egor Kornev</t>
        </is>
      </c>
      <c r="D889" s="33" t="inlineStr">
        <is>
          <t>SwimCloud</t>
        </is>
      </c>
      <c r="E889" s="33" t="inlineStr">
        <is>
          <t>1139582</t>
        </is>
      </c>
      <c r="F889" s="33" t="inlineStr">
        <is>
          <t>125229950</t>
        </is>
      </c>
      <c r="G889" s="51" t="n">
        <v>45409</v>
      </c>
      <c r="H889" s="33" t="inlineStr">
        <is>
          <t>SWIM WARS</t>
        </is>
      </c>
      <c r="I889" s="33" t="inlineStr">
        <is>
          <t>302993</t>
        </is>
      </c>
      <c r="J889" s="33" t="inlineStr"/>
      <c r="K889" s="33" t="inlineStr">
        <is>
          <t>FIN</t>
        </is>
      </c>
      <c r="L889" s="35">
        <f>IF(K889="FIN",3,IF(OR(K889="SEM",K889="SEMI"),2,IF(OR(K889="PRE",K889="HEAT"),1,IF(V889="YES",4,2))))</f>
        <v/>
      </c>
      <c r="M889" s="33" t="inlineStr">
        <is>
          <t>LCM</t>
        </is>
      </c>
      <c r="N889" s="33" t="n">
        <v>100</v>
      </c>
      <c r="O889" s="33" t="inlineStr">
        <is>
          <t>Free</t>
        </is>
      </c>
      <c r="P889" s="33" t="inlineStr">
        <is>
          <t>100 Free</t>
        </is>
      </c>
      <c r="Q889" s="33" t="inlineStr">
        <is>
          <t>LCM_100_FREE</t>
        </is>
      </c>
      <c r="R889" s="36" t="n">
        <v>48.04</v>
      </c>
      <c r="S889" s="35">
        <f>IF(R889="","",IF(R889&gt;=60,INT(R889/60)&amp;":"&amp;TEXT(MOD(R889,60),"00.00"),TEXT(R889,"0.00")))</f>
        <v/>
      </c>
      <c r="T889" s="52">
        <f>IFERROR((G889-INDEX('01_Swimmers'!$E$5:$E$22,MATCH(B889,'01_Swimmers'!$A$5:$A$22,0)))/'00_Control'!$B$10,"")</f>
        <v/>
      </c>
      <c r="U889" s="35">
        <f>IF(T889="","",INT(T889))</f>
        <v/>
      </c>
      <c r="V889" s="33" t="inlineStr">
        <is>
          <t>NO</t>
        </is>
      </c>
      <c r="W889" s="33" t="inlineStr">
        <is>
          <t>YES</t>
        </is>
      </c>
      <c r="X889" s="33" t="inlineStr">
        <is>
          <t>NO</t>
        </is>
      </c>
      <c r="Y889" s="33" t="n">
        <v>1</v>
      </c>
      <c r="Z889" s="33" t="n">
        <v>4</v>
      </c>
      <c r="AA889" s="33" t="inlineStr">
        <is>
          <t>1</t>
        </is>
      </c>
      <c r="AB889" s="33" t="inlineStr">
        <is>
          <t>https://www.swimcloud.com/results/302993/event/11/?id=125229950#time125229950</t>
        </is>
      </c>
      <c r="AC889" s="33" t="inlineStr">
        <is>
          <t>SwimCloud API v6 2026-10-08</t>
        </is>
      </c>
      <c r="AD889" s="33" t="inlineStr">
        <is>
          <t>Egor Kornev|2024-04-27|LCM|100|Free|48.04|SWIM WARS|FIN|False</t>
        </is>
      </c>
      <c r="AE889" s="53">
        <f>G889+L889/1000+ROW()/1000000000</f>
        <v/>
      </c>
      <c r="AF889" s="35">
        <f>IF(C889&lt;&gt;"Grayson Coulter","",COUNTIFS($C$5:$C$2991,"Grayson Coulter",$Q$5:$Q$2991,Q889,$AE$5:$AE$2991,"&lt;="&amp;AE889,$R$5:$R$2991,"&lt;"&amp;R889))</f>
        <v/>
      </c>
      <c r="AG889" s="35">
        <f>IF(OR(C889&lt;&gt;"Grayson Coulter",G889&lt;'00_Control'!$B$7),"",--(AF889&lt;5))</f>
        <v/>
      </c>
      <c r="AH889" s="35">
        <f>IF(OR(C889&lt;&gt;"Grayson Coulter",G889&lt;'00_Control'!$B$7),"",--(AF889&lt;10))</f>
        <v/>
      </c>
      <c r="AI889" s="35">
        <f>IF(AND(C889="Grayson Coulter",G889&gt;='00_Control'!$B$7),"YES","NO")</f>
        <v/>
      </c>
      <c r="AJ889" s="33" t="inlineStr">
        <is>
          <t>OK</t>
        </is>
      </c>
    </row>
    <row r="890">
      <c r="A890" s="33" t="inlineStr">
        <is>
          <t>SM000886</t>
        </is>
      </c>
      <c r="B890" s="33" t="inlineStr">
        <is>
          <t>SW017</t>
        </is>
      </c>
      <c r="C890" s="33" t="inlineStr">
        <is>
          <t>Egor Kornev</t>
        </is>
      </c>
      <c r="D890" s="33" t="inlineStr">
        <is>
          <t>SwimCloud</t>
        </is>
      </c>
      <c r="E890" s="33" t="inlineStr">
        <is>
          <t>1139582</t>
        </is>
      </c>
      <c r="F890" s="33" t="inlineStr">
        <is>
          <t>130153046</t>
        </is>
      </c>
      <c r="G890" s="51" t="n">
        <v>45496</v>
      </c>
      <c r="H890" s="33" t="inlineStr">
        <is>
          <t>Russian Cup</t>
        </is>
      </c>
      <c r="I890" s="33" t="inlineStr">
        <is>
          <t>309254</t>
        </is>
      </c>
      <c r="J890" s="33" t="inlineStr"/>
      <c r="K890" s="33" t="inlineStr">
        <is>
          <t>FIN</t>
        </is>
      </c>
      <c r="L890" s="35">
        <f>IF(K890="FIN",3,IF(OR(K890="SEM",K890="SEMI"),2,IF(OR(K890="PRE",K890="HEAT"),1,IF(V890="YES",4,2))))</f>
        <v/>
      </c>
      <c r="M890" s="33" t="inlineStr">
        <is>
          <t>LCM</t>
        </is>
      </c>
      <c r="N890" s="33" t="n">
        <v>100</v>
      </c>
      <c r="O890" s="33" t="inlineStr">
        <is>
          <t>Free</t>
        </is>
      </c>
      <c r="P890" s="33" t="inlineStr">
        <is>
          <t>100 Free</t>
        </is>
      </c>
      <c r="Q890" s="33" t="inlineStr">
        <is>
          <t>LCM_100_FREE</t>
        </is>
      </c>
      <c r="R890" s="36" t="n">
        <v>48.31</v>
      </c>
      <c r="S890" s="35">
        <f>IF(R890="","",IF(R890&gt;=60,INT(R890/60)&amp;":"&amp;TEXT(MOD(R890,60),"00.00"),TEXT(R890,"0.00")))</f>
        <v/>
      </c>
      <c r="T890" s="52">
        <f>IFERROR((G890-INDEX('01_Swimmers'!$E$5:$E$22,MATCH(B890,'01_Swimmers'!$A$5:$A$22,0)))/'00_Control'!$B$10,"")</f>
        <v/>
      </c>
      <c r="U890" s="35">
        <f>IF(T890="","",INT(T890))</f>
        <v/>
      </c>
      <c r="V890" s="33" t="inlineStr">
        <is>
          <t>YES</t>
        </is>
      </c>
      <c r="W890" s="33" t="inlineStr">
        <is>
          <t>YES</t>
        </is>
      </c>
      <c r="X890" s="33" t="inlineStr">
        <is>
          <t>NO</t>
        </is>
      </c>
      <c r="Y890" s="33" t="n">
        <v>1</v>
      </c>
      <c r="Z890" s="33" t="n">
        <v>4</v>
      </c>
      <c r="AA890" s="33" t="inlineStr"/>
      <c r="AB890" s="33" t="inlineStr">
        <is>
          <t>https://www.swimcloud.com/results/309254/event/7/?id=130149952#time130149952</t>
        </is>
      </c>
      <c r="AC890" s="33" t="inlineStr">
        <is>
          <t>SwimCloud API v6 2026-10-08</t>
        </is>
      </c>
      <c r="AD890" s="33" t="inlineStr">
        <is>
          <t>Egor Kornev|2024-07-23|LCM|100|Free|48.31|Russian Cup|FIN|True</t>
        </is>
      </c>
      <c r="AE890" s="53">
        <f>G890+L890/1000+ROW()/1000000000</f>
        <v/>
      </c>
      <c r="AF890" s="35">
        <f>IF(C890&lt;&gt;"Grayson Coulter","",COUNTIFS($C$5:$C$2991,"Grayson Coulter",$Q$5:$Q$2991,Q890,$AE$5:$AE$2991,"&lt;="&amp;AE890,$R$5:$R$2991,"&lt;"&amp;R890))</f>
        <v/>
      </c>
      <c r="AG890" s="35">
        <f>IF(OR(C890&lt;&gt;"Grayson Coulter",G890&lt;'00_Control'!$B$7),"",--(AF890&lt;5))</f>
        <v/>
      </c>
      <c r="AH890" s="35">
        <f>IF(OR(C890&lt;&gt;"Grayson Coulter",G890&lt;'00_Control'!$B$7),"",--(AF890&lt;10))</f>
        <v/>
      </c>
      <c r="AI890" s="35">
        <f>IF(AND(C890="Grayson Coulter",G890&gt;='00_Control'!$B$7),"YES","NO")</f>
        <v/>
      </c>
      <c r="AJ890" s="33" t="inlineStr">
        <is>
          <t>OK</t>
        </is>
      </c>
    </row>
    <row r="891">
      <c r="A891" s="33" t="inlineStr">
        <is>
          <t>SM000887</t>
        </is>
      </c>
      <c r="B891" s="33" t="inlineStr">
        <is>
          <t>SW017</t>
        </is>
      </c>
      <c r="C891" s="33" t="inlineStr">
        <is>
          <t>Egor Kornev</t>
        </is>
      </c>
      <c r="D891" s="33" t="inlineStr">
        <is>
          <t>SwimCloud</t>
        </is>
      </c>
      <c r="E891" s="33" t="inlineStr">
        <is>
          <t>1139582</t>
        </is>
      </c>
      <c r="F891" s="33" t="inlineStr">
        <is>
          <t>130153094</t>
        </is>
      </c>
      <c r="G891" s="51" t="n">
        <v>45498</v>
      </c>
      <c r="H891" s="33" t="inlineStr">
        <is>
          <t>Russian Cup</t>
        </is>
      </c>
      <c r="I891" s="33" t="inlineStr">
        <is>
          <t>309254</t>
        </is>
      </c>
      <c r="J891" s="33" t="inlineStr"/>
      <c r="K891" s="33" t="inlineStr">
        <is>
          <t>FIN</t>
        </is>
      </c>
      <c r="L891" s="35">
        <f>IF(K891="FIN",3,IF(OR(K891="SEM",K891="SEMI"),2,IF(OR(K891="PRE",K891="HEAT"),1,IF(V891="YES",4,2))))</f>
        <v/>
      </c>
      <c r="M891" s="33" t="inlineStr">
        <is>
          <t>LCM</t>
        </is>
      </c>
      <c r="N891" s="33" t="n">
        <v>100</v>
      </c>
      <c r="O891" s="33" t="inlineStr">
        <is>
          <t>Free</t>
        </is>
      </c>
      <c r="P891" s="33" t="inlineStr">
        <is>
          <t>100 Free</t>
        </is>
      </c>
      <c r="Q891" s="33" t="inlineStr">
        <is>
          <t>LCM_100_FREE</t>
        </is>
      </c>
      <c r="R891" s="36" t="n">
        <v>48.31</v>
      </c>
      <c r="S891" s="35">
        <f>IF(R891="","",IF(R891&gt;=60,INT(R891/60)&amp;":"&amp;TEXT(MOD(R891,60),"00.00"),TEXT(R891,"0.00")))</f>
        <v/>
      </c>
      <c r="T891" s="52">
        <f>IFERROR((G891-INDEX('01_Swimmers'!$E$5:$E$22,MATCH(B891,'01_Swimmers'!$A$5:$A$22,0)))/'00_Control'!$B$10,"")</f>
        <v/>
      </c>
      <c r="U891" s="35">
        <f>IF(T891="","",INT(T891))</f>
        <v/>
      </c>
      <c r="V891" s="33" t="inlineStr">
        <is>
          <t>YES</t>
        </is>
      </c>
      <c r="W891" s="33" t="inlineStr">
        <is>
          <t>YES</t>
        </is>
      </c>
      <c r="X891" s="33" t="inlineStr">
        <is>
          <t>NO</t>
        </is>
      </c>
      <c r="Y891" s="33" t="n">
        <v>1</v>
      </c>
      <c r="Z891" s="33" t="n">
        <v>4</v>
      </c>
      <c r="AA891" s="33" t="inlineStr"/>
      <c r="AB891" s="33" t="inlineStr">
        <is>
          <t>https://www.swimcloud.com/results/309254/event/21/?id=130149964#time130149964</t>
        </is>
      </c>
      <c r="AC891" s="33" t="inlineStr">
        <is>
          <t>SwimCloud API v6 2026-10-08</t>
        </is>
      </c>
      <c r="AD891" s="33" t="inlineStr">
        <is>
          <t>Egor Kornev|2024-07-25|LCM|100|Free|48.31|Russian Cup|FIN|True</t>
        </is>
      </c>
      <c r="AE891" s="53">
        <f>G891+L891/1000+ROW()/1000000000</f>
        <v/>
      </c>
      <c r="AF891" s="35">
        <f>IF(C891&lt;&gt;"Grayson Coulter","",COUNTIFS($C$5:$C$2991,"Grayson Coulter",$Q$5:$Q$2991,Q891,$AE$5:$AE$2991,"&lt;="&amp;AE891,$R$5:$R$2991,"&lt;"&amp;R891))</f>
        <v/>
      </c>
      <c r="AG891" s="35">
        <f>IF(OR(C891&lt;&gt;"Grayson Coulter",G891&lt;'00_Control'!$B$7),"",--(AF891&lt;5))</f>
        <v/>
      </c>
      <c r="AH891" s="35">
        <f>IF(OR(C891&lt;&gt;"Grayson Coulter",G891&lt;'00_Control'!$B$7),"",--(AF891&lt;10))</f>
        <v/>
      </c>
      <c r="AI891" s="35">
        <f>IF(AND(C891="Grayson Coulter",G891&gt;='00_Control'!$B$7),"YES","NO")</f>
        <v/>
      </c>
      <c r="AJ891" s="33" t="inlineStr">
        <is>
          <t>OK</t>
        </is>
      </c>
    </row>
    <row r="892">
      <c r="A892" s="33" t="inlineStr">
        <is>
          <t>SM000888</t>
        </is>
      </c>
      <c r="B892" s="33" t="inlineStr">
        <is>
          <t>SW017</t>
        </is>
      </c>
      <c r="C892" s="33" t="inlineStr">
        <is>
          <t>Egor Kornev</t>
        </is>
      </c>
      <c r="D892" s="33" t="inlineStr">
        <is>
          <t>SwimCloud</t>
        </is>
      </c>
      <c r="E892" s="33" t="inlineStr">
        <is>
          <t>1139582</t>
        </is>
      </c>
      <c r="F892" s="33" t="inlineStr">
        <is>
          <t>130149883</t>
        </is>
      </c>
      <c r="G892" s="51" t="n">
        <v>45500</v>
      </c>
      <c r="H892" s="33" t="inlineStr">
        <is>
          <t>Russian Cup</t>
        </is>
      </c>
      <c r="I892" s="33" t="inlineStr">
        <is>
          <t>309254</t>
        </is>
      </c>
      <c r="J892" s="33" t="inlineStr"/>
      <c r="K892" s="33" t="inlineStr">
        <is>
          <t>PRE</t>
        </is>
      </c>
      <c r="L892" s="35">
        <f>IF(K892="FIN",3,IF(OR(K892="SEM",K892="SEMI"),2,IF(OR(K892="PRE",K892="HEAT"),1,IF(V892="YES",4,2))))</f>
        <v/>
      </c>
      <c r="M892" s="33" t="inlineStr">
        <is>
          <t>LCM</t>
        </is>
      </c>
      <c r="N892" s="33" t="n">
        <v>100</v>
      </c>
      <c r="O892" s="33" t="inlineStr">
        <is>
          <t>Free</t>
        </is>
      </c>
      <c r="P892" s="33" t="inlineStr">
        <is>
          <t>100 Free</t>
        </is>
      </c>
      <c r="Q892" s="33" t="inlineStr">
        <is>
          <t>LCM_100_FREE</t>
        </is>
      </c>
      <c r="R892" s="36" t="n">
        <v>48.16</v>
      </c>
      <c r="S892" s="35">
        <f>IF(R892="","",IF(R892&gt;=60,INT(R892/60)&amp;":"&amp;TEXT(MOD(R892,60),"00.00"),TEXT(R892,"0.00")))</f>
        <v/>
      </c>
      <c r="T892" s="52">
        <f>IFERROR((G892-INDEX('01_Swimmers'!$E$5:$E$22,MATCH(B892,'01_Swimmers'!$A$5:$A$22,0)))/'00_Control'!$B$10,"")</f>
        <v/>
      </c>
      <c r="U892" s="35">
        <f>IF(T892="","",INT(T892))</f>
        <v/>
      </c>
      <c r="V892" s="33" t="inlineStr">
        <is>
          <t>NO</t>
        </is>
      </c>
      <c r="W892" s="33" t="inlineStr">
        <is>
          <t>YES</t>
        </is>
      </c>
      <c r="X892" s="33" t="inlineStr">
        <is>
          <t>NO</t>
        </is>
      </c>
      <c r="Y892" s="33" t="n">
        <v>17</v>
      </c>
      <c r="Z892" s="33" t="n">
        <v>4</v>
      </c>
      <c r="AA892" s="33" t="inlineStr">
        <is>
          <t>1</t>
        </is>
      </c>
      <c r="AB892" s="33" t="inlineStr">
        <is>
          <t>https://www.swimcloud.com/results/309254/event/29/?id=130149883#time130149883</t>
        </is>
      </c>
      <c r="AC892" s="33" t="inlineStr">
        <is>
          <t>SwimCloud API v6 2026-10-08</t>
        </is>
      </c>
      <c r="AD892" s="33" t="inlineStr">
        <is>
          <t>Egor Kornev|2024-07-27|LCM|100|Free|48.16|Russian Cup|PRE|False</t>
        </is>
      </c>
      <c r="AE892" s="53">
        <f>G892+L892/1000+ROW()/1000000000</f>
        <v/>
      </c>
      <c r="AF892" s="35">
        <f>IF(C892&lt;&gt;"Grayson Coulter","",COUNTIFS($C$5:$C$2991,"Grayson Coulter",$Q$5:$Q$2991,Q892,$AE$5:$AE$2991,"&lt;="&amp;AE892,$R$5:$R$2991,"&lt;"&amp;R892))</f>
        <v/>
      </c>
      <c r="AG892" s="35">
        <f>IF(OR(C892&lt;&gt;"Grayson Coulter",G892&lt;'00_Control'!$B$7),"",--(AF892&lt;5))</f>
        <v/>
      </c>
      <c r="AH892" s="35">
        <f>IF(OR(C892&lt;&gt;"Grayson Coulter",G892&lt;'00_Control'!$B$7),"",--(AF892&lt;10))</f>
        <v/>
      </c>
      <c r="AI892" s="35">
        <f>IF(AND(C892="Grayson Coulter",G892&gt;='00_Control'!$B$7),"YES","NO")</f>
        <v/>
      </c>
      <c r="AJ892" s="33" t="inlineStr">
        <is>
          <t>OK</t>
        </is>
      </c>
    </row>
    <row r="893">
      <c r="A893" s="33" t="inlineStr">
        <is>
          <t>SM000889</t>
        </is>
      </c>
      <c r="B893" s="33" t="inlineStr">
        <is>
          <t>SW017</t>
        </is>
      </c>
      <c r="C893" s="33" t="inlineStr">
        <is>
          <t>Egor Kornev</t>
        </is>
      </c>
      <c r="D893" s="33" t="inlineStr">
        <is>
          <t>SwimCloud</t>
        </is>
      </c>
      <c r="E893" s="33" t="inlineStr">
        <is>
          <t>1139582</t>
        </is>
      </c>
      <c r="F893" s="33" t="inlineStr">
        <is>
          <t>130149886</t>
        </is>
      </c>
      <c r="G893" s="51" t="n">
        <v>45500</v>
      </c>
      <c r="H893" s="33" t="inlineStr">
        <is>
          <t>Russian Cup</t>
        </is>
      </c>
      <c r="I893" s="33" t="inlineStr">
        <is>
          <t>309254</t>
        </is>
      </c>
      <c r="J893" s="33" t="inlineStr"/>
      <c r="K893" s="33" t="inlineStr">
        <is>
          <t>SEM</t>
        </is>
      </c>
      <c r="L893" s="35">
        <f>IF(K893="FIN",3,IF(OR(K893="SEM",K893="SEMI"),2,IF(OR(K893="PRE",K893="HEAT"),1,IF(V893="YES",4,2))))</f>
        <v/>
      </c>
      <c r="M893" s="33" t="inlineStr">
        <is>
          <t>LCM</t>
        </is>
      </c>
      <c r="N893" s="33" t="n">
        <v>100</v>
      </c>
      <c r="O893" s="33" t="inlineStr">
        <is>
          <t>Free</t>
        </is>
      </c>
      <c r="P893" s="33" t="inlineStr">
        <is>
          <t>100 Free</t>
        </is>
      </c>
      <c r="Q893" s="33" t="inlineStr">
        <is>
          <t>LCM_100_FREE</t>
        </is>
      </c>
      <c r="R893" s="36" t="n">
        <v>47.74</v>
      </c>
      <c r="S893" s="35">
        <f>IF(R893="","",IF(R893&gt;=60,INT(R893/60)&amp;":"&amp;TEXT(MOD(R893,60),"00.00"),TEXT(R893,"0.00")))</f>
        <v/>
      </c>
      <c r="T893" s="52">
        <f>IFERROR((G893-INDEX('01_Swimmers'!$E$5:$E$22,MATCH(B893,'01_Swimmers'!$A$5:$A$22,0)))/'00_Control'!$B$10,"")</f>
        <v/>
      </c>
      <c r="U893" s="35">
        <f>IF(T893="","",INT(T893))</f>
        <v/>
      </c>
      <c r="V893" s="33" t="inlineStr">
        <is>
          <t>NO</t>
        </is>
      </c>
      <c r="W893" s="33" t="inlineStr">
        <is>
          <t>YES</t>
        </is>
      </c>
      <c r="X893" s="33" t="inlineStr">
        <is>
          <t>NO</t>
        </is>
      </c>
      <c r="Y893" s="33" t="n">
        <v>2</v>
      </c>
      <c r="Z893" s="33" t="n">
        <v>4</v>
      </c>
      <c r="AA893" s="33" t="inlineStr">
        <is>
          <t>1</t>
        </is>
      </c>
      <c r="AB893" s="33" t="inlineStr">
        <is>
          <t>https://www.swimcloud.com/results/309254/event/29/?id=130149886#time130149886</t>
        </is>
      </c>
      <c r="AC893" s="33" t="inlineStr">
        <is>
          <t>SwimCloud API v6 2026-10-08</t>
        </is>
      </c>
      <c r="AD893" s="33" t="inlineStr">
        <is>
          <t>Egor Kornev|2024-07-27|LCM|100|Free|47.74|Russian Cup|SEM|False</t>
        </is>
      </c>
      <c r="AE893" s="53">
        <f>G893+L893/1000+ROW()/1000000000</f>
        <v/>
      </c>
      <c r="AF893" s="35">
        <f>IF(C893&lt;&gt;"Grayson Coulter","",COUNTIFS($C$5:$C$2991,"Grayson Coulter",$Q$5:$Q$2991,Q893,$AE$5:$AE$2991,"&lt;="&amp;AE893,$R$5:$R$2991,"&lt;"&amp;R893))</f>
        <v/>
      </c>
      <c r="AG893" s="35">
        <f>IF(OR(C893&lt;&gt;"Grayson Coulter",G893&lt;'00_Control'!$B$7),"",--(AF893&lt;5))</f>
        <v/>
      </c>
      <c r="AH893" s="35">
        <f>IF(OR(C893&lt;&gt;"Grayson Coulter",G893&lt;'00_Control'!$B$7),"",--(AF893&lt;10))</f>
        <v/>
      </c>
      <c r="AI893" s="35">
        <f>IF(AND(C893="Grayson Coulter",G893&gt;='00_Control'!$B$7),"YES","NO")</f>
        <v/>
      </c>
      <c r="AJ893" s="33" t="inlineStr">
        <is>
          <t>OK</t>
        </is>
      </c>
    </row>
    <row r="894">
      <c r="A894" s="33" t="inlineStr">
        <is>
          <t>SM000890</t>
        </is>
      </c>
      <c r="B894" s="33" t="inlineStr">
        <is>
          <t>SW017</t>
        </is>
      </c>
      <c r="C894" s="33" t="inlineStr">
        <is>
          <t>Egor Kornev</t>
        </is>
      </c>
      <c r="D894" s="33" t="inlineStr">
        <is>
          <t>SwimCloud</t>
        </is>
      </c>
      <c r="E894" s="33" t="inlineStr">
        <is>
          <t>1139582</t>
        </is>
      </c>
      <c r="F894" s="33" t="inlineStr">
        <is>
          <t>130149887</t>
        </is>
      </c>
      <c r="G894" s="51" t="n">
        <v>45501</v>
      </c>
      <c r="H894" s="33" t="inlineStr">
        <is>
          <t>Russian Cup</t>
        </is>
      </c>
      <c r="I894" s="33" t="inlineStr">
        <is>
          <t>309254</t>
        </is>
      </c>
      <c r="J894" s="33" t="inlineStr"/>
      <c r="K894" s="33" t="inlineStr">
        <is>
          <t>FIN</t>
        </is>
      </c>
      <c r="L894" s="35">
        <f>IF(K894="FIN",3,IF(OR(K894="SEM",K894="SEMI"),2,IF(OR(K894="PRE",K894="HEAT"),1,IF(V894="YES",4,2))))</f>
        <v/>
      </c>
      <c r="M894" s="33" t="inlineStr">
        <is>
          <t>LCM</t>
        </is>
      </c>
      <c r="N894" s="33" t="n">
        <v>100</v>
      </c>
      <c r="O894" s="33" t="inlineStr">
        <is>
          <t>Free</t>
        </is>
      </c>
      <c r="P894" s="33" t="inlineStr">
        <is>
          <t>100 Free</t>
        </is>
      </c>
      <c r="Q894" s="33" t="inlineStr">
        <is>
          <t>LCM_100_FREE</t>
        </is>
      </c>
      <c r="R894" s="36" t="n">
        <v>47.82</v>
      </c>
      <c r="S894" s="35">
        <f>IF(R894="","",IF(R894&gt;=60,INT(R894/60)&amp;":"&amp;TEXT(MOD(R894,60),"00.00"),TEXT(R894,"0.00")))</f>
        <v/>
      </c>
      <c r="T894" s="52">
        <f>IFERROR((G894-INDEX('01_Swimmers'!$E$5:$E$22,MATCH(B894,'01_Swimmers'!$A$5:$A$22,0)))/'00_Control'!$B$10,"")</f>
        <v/>
      </c>
      <c r="U894" s="35">
        <f>IF(T894="","",INT(T894))</f>
        <v/>
      </c>
      <c r="V894" s="33" t="inlineStr">
        <is>
          <t>NO</t>
        </is>
      </c>
      <c r="W894" s="33" t="inlineStr">
        <is>
          <t>YES</t>
        </is>
      </c>
      <c r="X894" s="33" t="inlineStr">
        <is>
          <t>NO</t>
        </is>
      </c>
      <c r="Y894" s="33" t="n">
        <v>1</v>
      </c>
      <c r="Z894" s="33" t="n">
        <v>4</v>
      </c>
      <c r="AA894" s="33" t="inlineStr">
        <is>
          <t>1</t>
        </is>
      </c>
      <c r="AB894" s="33" t="inlineStr">
        <is>
          <t>https://www.swimcloud.com/results/309254/event/29/?id=130149887#time130149887</t>
        </is>
      </c>
      <c r="AC894" s="33" t="inlineStr">
        <is>
          <t>SwimCloud API v6 2026-10-08</t>
        </is>
      </c>
      <c r="AD894" s="33" t="inlineStr">
        <is>
          <t>Egor Kornev|2024-07-28|LCM|100|Free|47.82|Russian Cup|FIN|False</t>
        </is>
      </c>
      <c r="AE894" s="53">
        <f>G894+L894/1000+ROW()/1000000000</f>
        <v/>
      </c>
      <c r="AF894" s="35">
        <f>IF(C894&lt;&gt;"Grayson Coulter","",COUNTIFS($C$5:$C$2991,"Grayson Coulter",$Q$5:$Q$2991,Q894,$AE$5:$AE$2991,"&lt;="&amp;AE894,$R$5:$R$2991,"&lt;"&amp;R894))</f>
        <v/>
      </c>
      <c r="AG894" s="35">
        <f>IF(OR(C894&lt;&gt;"Grayson Coulter",G894&lt;'00_Control'!$B$7),"",--(AF894&lt;5))</f>
        <v/>
      </c>
      <c r="AH894" s="35">
        <f>IF(OR(C894&lt;&gt;"Grayson Coulter",G894&lt;'00_Control'!$B$7),"",--(AF894&lt;10))</f>
        <v/>
      </c>
      <c r="AI894" s="35">
        <f>IF(AND(C894="Grayson Coulter",G894&gt;='00_Control'!$B$7),"YES","NO")</f>
        <v/>
      </c>
      <c r="AJ894" s="33" t="inlineStr">
        <is>
          <t>OK</t>
        </is>
      </c>
    </row>
    <row r="895">
      <c r="A895" s="33" t="inlineStr">
        <is>
          <t>SM000891</t>
        </is>
      </c>
      <c r="B895" s="33" t="inlineStr">
        <is>
          <t>SW017</t>
        </is>
      </c>
      <c r="C895" s="33" t="inlineStr">
        <is>
          <t>Egor Kornev</t>
        </is>
      </c>
      <c r="D895" s="33" t="inlineStr">
        <is>
          <t>SwimCloud</t>
        </is>
      </c>
      <c r="E895" s="33" t="inlineStr">
        <is>
          <t>1139582</t>
        </is>
      </c>
      <c r="F895" s="33" t="inlineStr">
        <is>
          <t>137651927</t>
        </is>
      </c>
      <c r="G895" s="51" t="n">
        <v>45617</v>
      </c>
      <c r="H895" s="33" t="inlineStr">
        <is>
          <t>Russian Championship (25m)</t>
        </is>
      </c>
      <c r="I895" s="33" t="inlineStr">
        <is>
          <t>323068</t>
        </is>
      </c>
      <c r="J895" s="33" t="inlineStr"/>
      <c r="K895" s="33" t="inlineStr">
        <is>
          <t>FIN</t>
        </is>
      </c>
      <c r="L895" s="35">
        <f>IF(K895="FIN",3,IF(OR(K895="SEM",K895="SEMI"),2,IF(OR(K895="PRE",K895="HEAT"),1,IF(V895="YES",4,2))))</f>
        <v/>
      </c>
      <c r="M895" s="33" t="inlineStr">
        <is>
          <t>SCM</t>
        </is>
      </c>
      <c r="N895" s="33" t="n">
        <v>100</v>
      </c>
      <c r="O895" s="33" t="inlineStr">
        <is>
          <t>Free</t>
        </is>
      </c>
      <c r="P895" s="33" t="inlineStr">
        <is>
          <t>100 Free</t>
        </is>
      </c>
      <c r="Q895" s="33" t="inlineStr">
        <is>
          <t>SCM_100_FREE</t>
        </is>
      </c>
      <c r="R895" s="36" t="n">
        <v>46.32</v>
      </c>
      <c r="S895" s="35">
        <f>IF(R895="","",IF(R895&gt;=60,INT(R895/60)&amp;":"&amp;TEXT(MOD(R895,60),"00.00"),TEXT(R895,"0.00")))</f>
        <v/>
      </c>
      <c r="T895" s="52">
        <f>IFERROR((G895-INDEX('01_Swimmers'!$E$5:$E$22,MATCH(B895,'01_Swimmers'!$A$5:$A$22,0)))/'00_Control'!$B$10,"")</f>
        <v/>
      </c>
      <c r="U895" s="35">
        <f>IF(T895="","",INT(T895))</f>
        <v/>
      </c>
      <c r="V895" s="33" t="inlineStr">
        <is>
          <t>YES</t>
        </is>
      </c>
      <c r="W895" s="33" t="inlineStr">
        <is>
          <t>YES</t>
        </is>
      </c>
      <c r="X895" s="33" t="inlineStr">
        <is>
          <t>NO</t>
        </is>
      </c>
      <c r="Y895" s="33" t="n">
        <v>1</v>
      </c>
      <c r="Z895" s="33" t="n">
        <v>4</v>
      </c>
      <c r="AA895" s="33" t="inlineStr"/>
      <c r="AB895" s="33" t="inlineStr">
        <is>
          <t>https://www.swimcloud.com/results/323068/event/11/?id=137649259#time137649259</t>
        </is>
      </c>
      <c r="AC895" s="33" t="inlineStr">
        <is>
          <t>SwimCloud API v6 2026-10-08</t>
        </is>
      </c>
      <c r="AD895" s="33" t="inlineStr">
        <is>
          <t>Egor Kornev|2024-11-21|SCM|100|Free|46.32|Russian Championship (25m)|FIN|True</t>
        </is>
      </c>
      <c r="AE895" s="53">
        <f>G895+L895/1000+ROW()/1000000000</f>
        <v/>
      </c>
      <c r="AF895" s="35">
        <f>IF(C895&lt;&gt;"Grayson Coulter","",COUNTIFS($C$5:$C$2991,"Grayson Coulter",$Q$5:$Q$2991,Q895,$AE$5:$AE$2991,"&lt;="&amp;AE895,$R$5:$R$2991,"&lt;"&amp;R895))</f>
        <v/>
      </c>
      <c r="AG895" s="35">
        <f>IF(OR(C895&lt;&gt;"Grayson Coulter",G895&lt;'00_Control'!$B$7),"",--(AF895&lt;5))</f>
        <v/>
      </c>
      <c r="AH895" s="35">
        <f>IF(OR(C895&lt;&gt;"Grayson Coulter",G895&lt;'00_Control'!$B$7),"",--(AF895&lt;10))</f>
        <v/>
      </c>
      <c r="AI895" s="35">
        <f>IF(AND(C895="Grayson Coulter",G895&gt;='00_Control'!$B$7),"YES","NO")</f>
        <v/>
      </c>
      <c r="AJ895" s="33" t="inlineStr">
        <is>
          <t>OK</t>
        </is>
      </c>
    </row>
    <row r="896">
      <c r="A896" s="33" t="inlineStr">
        <is>
          <t>SM000892</t>
        </is>
      </c>
      <c r="B896" s="33" t="inlineStr">
        <is>
          <t>SW017</t>
        </is>
      </c>
      <c r="C896" s="33" t="inlineStr">
        <is>
          <t>Egor Kornev</t>
        </is>
      </c>
      <c r="D896" s="33" t="inlineStr">
        <is>
          <t>SwimCloud</t>
        </is>
      </c>
      <c r="E896" s="33" t="inlineStr">
        <is>
          <t>1139582</t>
        </is>
      </c>
      <c r="F896" s="33" t="inlineStr">
        <is>
          <t>137649076</t>
        </is>
      </c>
      <c r="G896" s="51" t="n">
        <v>45618</v>
      </c>
      <c r="H896" s="33" t="inlineStr">
        <is>
          <t>Russian Championship (25m)</t>
        </is>
      </c>
      <c r="I896" s="33" t="inlineStr">
        <is>
          <t>323068</t>
        </is>
      </c>
      <c r="J896" s="33" t="inlineStr"/>
      <c r="K896" s="33" t="inlineStr">
        <is>
          <t>PRE</t>
        </is>
      </c>
      <c r="L896" s="35">
        <f>IF(K896="FIN",3,IF(OR(K896="SEM",K896="SEMI"),2,IF(OR(K896="PRE",K896="HEAT"),1,IF(V896="YES",4,2))))</f>
        <v/>
      </c>
      <c r="M896" s="33" t="inlineStr">
        <is>
          <t>SCM</t>
        </is>
      </c>
      <c r="N896" s="33" t="n">
        <v>100</v>
      </c>
      <c r="O896" s="33" t="inlineStr">
        <is>
          <t>Fly</t>
        </is>
      </c>
      <c r="P896" s="33" t="inlineStr">
        <is>
          <t>100 Fly</t>
        </is>
      </c>
      <c r="Q896" s="33" t="inlineStr">
        <is>
          <t>SCM_100_FLY</t>
        </is>
      </c>
      <c r="R896" s="36" t="n">
        <v>51.48</v>
      </c>
      <c r="S896" s="35">
        <f>IF(R896="","",IF(R896&gt;=60,INT(R896/60)&amp;":"&amp;TEXT(MOD(R896,60),"00.00"),TEXT(R896,"0.00")))</f>
        <v/>
      </c>
      <c r="T896" s="52">
        <f>IFERROR((G896-INDEX('01_Swimmers'!$E$5:$E$22,MATCH(B896,'01_Swimmers'!$A$5:$A$22,0)))/'00_Control'!$B$10,"")</f>
        <v/>
      </c>
      <c r="U896" s="35">
        <f>IF(T896="","",INT(T896))</f>
        <v/>
      </c>
      <c r="V896" s="33" t="inlineStr">
        <is>
          <t>NO</t>
        </is>
      </c>
      <c r="W896" s="33" t="inlineStr">
        <is>
          <t>YES</t>
        </is>
      </c>
      <c r="X896" s="33" t="inlineStr">
        <is>
          <t>NO</t>
        </is>
      </c>
      <c r="Y896" s="33" t="n">
        <v>16</v>
      </c>
      <c r="Z896" s="33" t="n">
        <v>3</v>
      </c>
      <c r="AA896" s="33" t="inlineStr">
        <is>
          <t>3</t>
        </is>
      </c>
      <c r="AB896" s="33" t="inlineStr">
        <is>
          <t>https://www.swimcloud.com/results/323068/event/15/?id=137649076#time137649076</t>
        </is>
      </c>
      <c r="AC896" s="33" t="inlineStr">
        <is>
          <t>SwimCloud API v6 2026-10-08</t>
        </is>
      </c>
      <c r="AD896" s="33" t="inlineStr">
        <is>
          <t>Egor Kornev|2024-11-22|SCM|100|Fly|51.48|Russian Championship (25m)|PRE|False</t>
        </is>
      </c>
      <c r="AE896" s="53">
        <f>G896+L896/1000+ROW()/1000000000</f>
        <v/>
      </c>
      <c r="AF896" s="35">
        <f>IF(C896&lt;&gt;"Grayson Coulter","",COUNTIFS($C$5:$C$2991,"Grayson Coulter",$Q$5:$Q$2991,Q896,$AE$5:$AE$2991,"&lt;="&amp;AE896,$R$5:$R$2991,"&lt;"&amp;R896))</f>
        <v/>
      </c>
      <c r="AG896" s="35">
        <f>IF(OR(C896&lt;&gt;"Grayson Coulter",G896&lt;'00_Control'!$B$7),"",--(AF896&lt;5))</f>
        <v/>
      </c>
      <c r="AH896" s="35">
        <f>IF(OR(C896&lt;&gt;"Grayson Coulter",G896&lt;'00_Control'!$B$7),"",--(AF896&lt;10))</f>
        <v/>
      </c>
      <c r="AI896" s="35">
        <f>IF(AND(C896="Grayson Coulter",G896&gt;='00_Control'!$B$7),"YES","NO")</f>
        <v/>
      </c>
      <c r="AJ896" s="33" t="inlineStr">
        <is>
          <t>OK</t>
        </is>
      </c>
    </row>
    <row r="897">
      <c r="A897" s="33" t="inlineStr">
        <is>
          <t>SM000893</t>
        </is>
      </c>
      <c r="B897" s="33" t="inlineStr">
        <is>
          <t>SW017</t>
        </is>
      </c>
      <c r="C897" s="33" t="inlineStr">
        <is>
          <t>Egor Kornev</t>
        </is>
      </c>
      <c r="D897" s="33" t="inlineStr">
        <is>
          <t>SwimCloud</t>
        </is>
      </c>
      <c r="E897" s="33" t="inlineStr">
        <is>
          <t>1139582</t>
        </is>
      </c>
      <c r="F897" s="33" t="inlineStr">
        <is>
          <t>137649081</t>
        </is>
      </c>
      <c r="G897" s="51" t="n">
        <v>45618</v>
      </c>
      <c r="H897" s="33" t="inlineStr">
        <is>
          <t>Russian Championship (25m)</t>
        </is>
      </c>
      <c r="I897" s="33" t="inlineStr">
        <is>
          <t>323068</t>
        </is>
      </c>
      <c r="J897" s="33" t="inlineStr"/>
      <c r="K897" s="33" t="inlineStr">
        <is>
          <t>SEM</t>
        </is>
      </c>
      <c r="L897" s="35">
        <f>IF(K897="FIN",3,IF(OR(K897="SEM",K897="SEMI"),2,IF(OR(K897="PRE",K897="HEAT"),1,IF(V897="YES",4,2))))</f>
        <v/>
      </c>
      <c r="M897" s="33" t="inlineStr">
        <is>
          <t>SCM</t>
        </is>
      </c>
      <c r="N897" s="33" t="n">
        <v>100</v>
      </c>
      <c r="O897" s="33" t="inlineStr">
        <is>
          <t>Fly</t>
        </is>
      </c>
      <c r="P897" s="33" t="inlineStr">
        <is>
          <t>100 Fly</t>
        </is>
      </c>
      <c r="Q897" s="33" t="inlineStr">
        <is>
          <t>SCM_100_FLY</t>
        </is>
      </c>
      <c r="R897" s="36" t="n">
        <v>50.7</v>
      </c>
      <c r="S897" s="35">
        <f>IF(R897="","",IF(R897&gt;=60,INT(R897/60)&amp;":"&amp;TEXT(MOD(R897,60),"00.00"),TEXT(R897,"0.00")))</f>
        <v/>
      </c>
      <c r="T897" s="52">
        <f>IFERROR((G897-INDEX('01_Swimmers'!$E$5:$E$22,MATCH(B897,'01_Swimmers'!$A$5:$A$22,0)))/'00_Control'!$B$10,"")</f>
        <v/>
      </c>
      <c r="U897" s="35">
        <f>IF(T897="","",INT(T897))</f>
        <v/>
      </c>
      <c r="V897" s="33" t="inlineStr">
        <is>
          <t>NO</t>
        </is>
      </c>
      <c r="W897" s="33" t="inlineStr">
        <is>
          <t>YES</t>
        </is>
      </c>
      <c r="X897" s="33" t="inlineStr">
        <is>
          <t>NO</t>
        </is>
      </c>
      <c r="Y897" s="33" t="n">
        <v>2</v>
      </c>
      <c r="Z897" s="33" t="n">
        <v>5</v>
      </c>
      <c r="AA897" s="33" t="inlineStr">
        <is>
          <t>2</t>
        </is>
      </c>
      <c r="AB897" s="33" t="inlineStr">
        <is>
          <t>https://www.swimcloud.com/results/323068/event/15/?id=137649081#time137649081</t>
        </is>
      </c>
      <c r="AC897" s="33" t="inlineStr">
        <is>
          <t>SwimCloud API v6 2026-10-08</t>
        </is>
      </c>
      <c r="AD897" s="33" t="inlineStr">
        <is>
          <t>Egor Kornev|2024-11-22|SCM|100|Fly|50.7|Russian Championship (25m)|SEM|False</t>
        </is>
      </c>
      <c r="AE897" s="53">
        <f>G897+L897/1000+ROW()/1000000000</f>
        <v/>
      </c>
      <c r="AF897" s="35">
        <f>IF(C897&lt;&gt;"Grayson Coulter","",COUNTIFS($C$5:$C$2991,"Grayson Coulter",$Q$5:$Q$2991,Q897,$AE$5:$AE$2991,"&lt;="&amp;AE897,$R$5:$R$2991,"&lt;"&amp;R897))</f>
        <v/>
      </c>
      <c r="AG897" s="35">
        <f>IF(OR(C897&lt;&gt;"Grayson Coulter",G897&lt;'00_Control'!$B$7),"",--(AF897&lt;5))</f>
        <v/>
      </c>
      <c r="AH897" s="35">
        <f>IF(OR(C897&lt;&gt;"Grayson Coulter",G897&lt;'00_Control'!$B$7),"",--(AF897&lt;10))</f>
        <v/>
      </c>
      <c r="AI897" s="35">
        <f>IF(AND(C897="Grayson Coulter",G897&gt;='00_Control'!$B$7),"YES","NO")</f>
        <v/>
      </c>
      <c r="AJ897" s="33" t="inlineStr">
        <is>
          <t>OK</t>
        </is>
      </c>
    </row>
    <row r="898">
      <c r="A898" s="33" t="inlineStr">
        <is>
          <t>SM000894</t>
        </is>
      </c>
      <c r="B898" s="33" t="inlineStr">
        <is>
          <t>SW017</t>
        </is>
      </c>
      <c r="C898" s="33" t="inlineStr">
        <is>
          <t>Egor Kornev</t>
        </is>
      </c>
      <c r="D898" s="33" t="inlineStr">
        <is>
          <t>SwimCloud</t>
        </is>
      </c>
      <c r="E898" s="33" t="inlineStr">
        <is>
          <t>1139582</t>
        </is>
      </c>
      <c r="F898" s="33" t="inlineStr">
        <is>
          <t>137649080</t>
        </is>
      </c>
      <c r="G898" s="51" t="n">
        <v>45621</v>
      </c>
      <c r="H898" s="33" t="inlineStr">
        <is>
          <t>Russian Championship (25m)</t>
        </is>
      </c>
      <c r="I898" s="33" t="inlineStr">
        <is>
          <t>323068</t>
        </is>
      </c>
      <c r="J898" s="33" t="inlineStr"/>
      <c r="K898" s="33" t="inlineStr">
        <is>
          <t>PRE</t>
        </is>
      </c>
      <c r="L898" s="35">
        <f>IF(K898="FIN",3,IF(OR(K898="SEM",K898="SEMI"),2,IF(OR(K898="PRE",K898="HEAT"),1,IF(V898="YES",4,2))))</f>
        <v/>
      </c>
      <c r="M898" s="33" t="inlineStr">
        <is>
          <t>SCM</t>
        </is>
      </c>
      <c r="N898" s="33" t="n">
        <v>100</v>
      </c>
      <c r="O898" s="33" t="inlineStr">
        <is>
          <t>Free</t>
        </is>
      </c>
      <c r="P898" s="33" t="inlineStr">
        <is>
          <t>100 Free</t>
        </is>
      </c>
      <c r="Q898" s="33" t="inlineStr">
        <is>
          <t>SCM_100_FREE</t>
        </is>
      </c>
      <c r="R898" s="36" t="n">
        <v>47.53</v>
      </c>
      <c r="S898" s="35">
        <f>IF(R898="","",IF(R898&gt;=60,INT(R898/60)&amp;":"&amp;TEXT(MOD(R898,60),"00.00"),TEXT(R898,"0.00")))</f>
        <v/>
      </c>
      <c r="T898" s="52">
        <f>IFERROR((G898-INDEX('01_Swimmers'!$E$5:$E$22,MATCH(B898,'01_Swimmers'!$A$5:$A$22,0)))/'00_Control'!$B$10,"")</f>
        <v/>
      </c>
      <c r="U898" s="35">
        <f>IF(T898="","",INT(T898))</f>
        <v/>
      </c>
      <c r="V898" s="33" t="inlineStr">
        <is>
          <t>NO</t>
        </is>
      </c>
      <c r="W898" s="33" t="inlineStr">
        <is>
          <t>YES</t>
        </is>
      </c>
      <c r="X898" s="33" t="inlineStr">
        <is>
          <t>NO</t>
        </is>
      </c>
      <c r="Y898" s="33" t="n">
        <v>27</v>
      </c>
      <c r="Z898" s="33" t="n">
        <v>4</v>
      </c>
      <c r="AA898" s="33" t="inlineStr">
        <is>
          <t>5</t>
        </is>
      </c>
      <c r="AB898" s="33" t="inlineStr">
        <is>
          <t>https://www.swimcloud.com/results/323068/event/38/?id=137649080#time137649080</t>
        </is>
      </c>
      <c r="AC898" s="33" t="inlineStr">
        <is>
          <t>SwimCloud API v6 2026-10-08</t>
        </is>
      </c>
      <c r="AD898" s="33" t="inlineStr">
        <is>
          <t>Egor Kornev|2024-11-25|SCM|100|Free|47.53|Russian Championship (25m)|PRE|False</t>
        </is>
      </c>
      <c r="AE898" s="53">
        <f>G898+L898/1000+ROW()/1000000000</f>
        <v/>
      </c>
      <c r="AF898" s="35">
        <f>IF(C898&lt;&gt;"Grayson Coulter","",COUNTIFS($C$5:$C$2991,"Grayson Coulter",$Q$5:$Q$2991,Q898,$AE$5:$AE$2991,"&lt;="&amp;AE898,$R$5:$R$2991,"&lt;"&amp;R898))</f>
        <v/>
      </c>
      <c r="AG898" s="35">
        <f>IF(OR(C898&lt;&gt;"Grayson Coulter",G898&lt;'00_Control'!$B$7),"",--(AF898&lt;5))</f>
        <v/>
      </c>
      <c r="AH898" s="35">
        <f>IF(OR(C898&lt;&gt;"Grayson Coulter",G898&lt;'00_Control'!$B$7),"",--(AF898&lt;10))</f>
        <v/>
      </c>
      <c r="AI898" s="35">
        <f>IF(AND(C898="Grayson Coulter",G898&gt;='00_Control'!$B$7),"YES","NO")</f>
        <v/>
      </c>
      <c r="AJ898" s="33" t="inlineStr">
        <is>
          <t>OK</t>
        </is>
      </c>
    </row>
    <row r="899">
      <c r="A899" s="33" t="inlineStr">
        <is>
          <t>SM000895</t>
        </is>
      </c>
      <c r="B899" s="33" t="inlineStr">
        <is>
          <t>SW017</t>
        </is>
      </c>
      <c r="C899" s="33" t="inlineStr">
        <is>
          <t>Egor Kornev</t>
        </is>
      </c>
      <c r="D899" s="33" t="inlineStr">
        <is>
          <t>SwimCloud</t>
        </is>
      </c>
      <c r="E899" s="33" t="inlineStr">
        <is>
          <t>1139582</t>
        </is>
      </c>
      <c r="F899" s="33" t="inlineStr">
        <is>
          <t>137649086</t>
        </is>
      </c>
      <c r="G899" s="51" t="n">
        <v>45621</v>
      </c>
      <c r="H899" s="33" t="inlineStr">
        <is>
          <t>Russian Championship (25m)</t>
        </is>
      </c>
      <c r="I899" s="33" t="inlineStr">
        <is>
          <t>323068</t>
        </is>
      </c>
      <c r="J899" s="33" t="inlineStr"/>
      <c r="K899" s="33" t="inlineStr">
        <is>
          <t>SEM</t>
        </is>
      </c>
      <c r="L899" s="35">
        <f>IF(K899="FIN",3,IF(OR(K899="SEM",K899="SEMI"),2,IF(OR(K899="PRE",K899="HEAT"),1,IF(V899="YES",4,2))))</f>
        <v/>
      </c>
      <c r="M899" s="33" t="inlineStr">
        <is>
          <t>SCM</t>
        </is>
      </c>
      <c r="N899" s="33" t="n">
        <v>100</v>
      </c>
      <c r="O899" s="33" t="inlineStr">
        <is>
          <t>Free</t>
        </is>
      </c>
      <c r="P899" s="33" t="inlineStr">
        <is>
          <t>100 Free</t>
        </is>
      </c>
      <c r="Q899" s="33" t="inlineStr">
        <is>
          <t>SCM_100_FREE</t>
        </is>
      </c>
      <c r="R899" s="36" t="n">
        <v>45.97</v>
      </c>
      <c r="S899" s="35">
        <f>IF(R899="","",IF(R899&gt;=60,INT(R899/60)&amp;":"&amp;TEXT(MOD(R899,60),"00.00"),TEXT(R899,"0.00")))</f>
        <v/>
      </c>
      <c r="T899" s="52">
        <f>IFERROR((G899-INDEX('01_Swimmers'!$E$5:$E$22,MATCH(B899,'01_Swimmers'!$A$5:$A$22,0)))/'00_Control'!$B$10,"")</f>
        <v/>
      </c>
      <c r="U899" s="35">
        <f>IF(T899="","",INT(T899))</f>
        <v/>
      </c>
      <c r="V899" s="33" t="inlineStr">
        <is>
          <t>NO</t>
        </is>
      </c>
      <c r="W899" s="33" t="inlineStr">
        <is>
          <t>YES</t>
        </is>
      </c>
      <c r="X899" s="33" t="inlineStr">
        <is>
          <t>NO</t>
        </is>
      </c>
      <c r="Y899" s="33" t="n">
        <v>2</v>
      </c>
      <c r="Z899" s="33" t="n">
        <v>3</v>
      </c>
      <c r="AA899" s="33" t="inlineStr">
        <is>
          <t>1</t>
        </is>
      </c>
      <c r="AB899" s="33" t="inlineStr">
        <is>
          <t>https://www.swimcloud.com/results/323068/event/38/?id=137649086#time137649086</t>
        </is>
      </c>
      <c r="AC899" s="33" t="inlineStr">
        <is>
          <t>SwimCloud API v6 2026-10-08</t>
        </is>
      </c>
      <c r="AD899" s="33" t="inlineStr">
        <is>
          <t>Egor Kornev|2024-11-25|SCM|100|Free|45.97|Russian Championship (25m)|SEM|False</t>
        </is>
      </c>
      <c r="AE899" s="53">
        <f>G899+L899/1000+ROW()/1000000000</f>
        <v/>
      </c>
      <c r="AF899" s="35">
        <f>IF(C899&lt;&gt;"Grayson Coulter","",COUNTIFS($C$5:$C$2991,"Grayson Coulter",$Q$5:$Q$2991,Q899,$AE$5:$AE$2991,"&lt;="&amp;AE899,$R$5:$R$2991,"&lt;"&amp;R899))</f>
        <v/>
      </c>
      <c r="AG899" s="35">
        <f>IF(OR(C899&lt;&gt;"Grayson Coulter",G899&lt;'00_Control'!$B$7),"",--(AF899&lt;5))</f>
        <v/>
      </c>
      <c r="AH899" s="35">
        <f>IF(OR(C899&lt;&gt;"Grayson Coulter",G899&lt;'00_Control'!$B$7),"",--(AF899&lt;10))</f>
        <v/>
      </c>
      <c r="AI899" s="35">
        <f>IF(AND(C899="Grayson Coulter",G899&gt;='00_Control'!$B$7),"YES","NO")</f>
        <v/>
      </c>
      <c r="AJ899" s="33" t="inlineStr">
        <is>
          <t>OK</t>
        </is>
      </c>
    </row>
    <row r="900">
      <c r="A900" s="33" t="inlineStr">
        <is>
          <t>SM000896</t>
        </is>
      </c>
      <c r="B900" s="33" t="inlineStr">
        <is>
          <t>SW017</t>
        </is>
      </c>
      <c r="C900" s="33" t="inlineStr">
        <is>
          <t>Egor Kornev</t>
        </is>
      </c>
      <c r="D900" s="33" t="inlineStr">
        <is>
          <t>SwimCloud</t>
        </is>
      </c>
      <c r="E900" s="33" t="inlineStr">
        <is>
          <t>1139582</t>
        </is>
      </c>
      <c r="F900" s="33" t="inlineStr">
        <is>
          <t>137649087</t>
        </is>
      </c>
      <c r="G900" s="51" t="n">
        <v>45622</v>
      </c>
      <c r="H900" s="33" t="inlineStr">
        <is>
          <t>Russian Championship (25m)</t>
        </is>
      </c>
      <c r="I900" s="33" t="inlineStr">
        <is>
          <t>323068</t>
        </is>
      </c>
      <c r="J900" s="33" t="inlineStr"/>
      <c r="K900" s="33" t="inlineStr">
        <is>
          <t>FIN</t>
        </is>
      </c>
      <c r="L900" s="35">
        <f>IF(K900="FIN",3,IF(OR(K900="SEM",K900="SEMI"),2,IF(OR(K900="PRE",K900="HEAT"),1,IF(V900="YES",4,2))))</f>
        <v/>
      </c>
      <c r="M900" s="33" t="inlineStr">
        <is>
          <t>SCM</t>
        </is>
      </c>
      <c r="N900" s="33" t="n">
        <v>100</v>
      </c>
      <c r="O900" s="33" t="inlineStr">
        <is>
          <t>Free</t>
        </is>
      </c>
      <c r="P900" s="33" t="inlineStr">
        <is>
          <t>100 Free</t>
        </is>
      </c>
      <c r="Q900" s="33" t="inlineStr">
        <is>
          <t>SCM_100_FREE</t>
        </is>
      </c>
      <c r="R900" s="36" t="n">
        <v>45.99</v>
      </c>
      <c r="S900" s="35">
        <f>IF(R900="","",IF(R900&gt;=60,INT(R900/60)&amp;":"&amp;TEXT(MOD(R900,60),"00.00"),TEXT(R900,"0.00")))</f>
        <v/>
      </c>
      <c r="T900" s="52">
        <f>IFERROR((G900-INDEX('01_Swimmers'!$E$5:$E$22,MATCH(B900,'01_Swimmers'!$A$5:$A$22,0)))/'00_Control'!$B$10,"")</f>
        <v/>
      </c>
      <c r="U900" s="35">
        <f>IF(T900="","",INT(T900))</f>
        <v/>
      </c>
      <c r="V900" s="33" t="inlineStr">
        <is>
          <t>NO</t>
        </is>
      </c>
      <c r="W900" s="33" t="inlineStr">
        <is>
          <t>YES</t>
        </is>
      </c>
      <c r="X900" s="33" t="inlineStr">
        <is>
          <t>NO</t>
        </is>
      </c>
      <c r="Y900" s="33" t="n">
        <v>1</v>
      </c>
      <c r="Z900" s="33" t="n">
        <v>4</v>
      </c>
      <c r="AA900" s="33" t="inlineStr">
        <is>
          <t>1</t>
        </is>
      </c>
      <c r="AB900" s="33" t="inlineStr">
        <is>
          <t>https://www.swimcloud.com/results/323068/event/38/?id=137649087#time137649087</t>
        </is>
      </c>
      <c r="AC900" s="33" t="inlineStr">
        <is>
          <t>SwimCloud API v6 2026-10-08</t>
        </is>
      </c>
      <c r="AD900" s="33" t="inlineStr">
        <is>
          <t>Egor Kornev|2024-11-26|SCM|100|Free|45.99|Russian Championship (25m)|FIN|False</t>
        </is>
      </c>
      <c r="AE900" s="53">
        <f>G900+L900/1000+ROW()/1000000000</f>
        <v/>
      </c>
      <c r="AF900" s="35">
        <f>IF(C900&lt;&gt;"Grayson Coulter","",COUNTIFS($C$5:$C$2991,"Grayson Coulter",$Q$5:$Q$2991,Q900,$AE$5:$AE$2991,"&lt;="&amp;AE900,$R$5:$R$2991,"&lt;"&amp;R900))</f>
        <v/>
      </c>
      <c r="AG900" s="35">
        <f>IF(OR(C900&lt;&gt;"Grayson Coulter",G900&lt;'00_Control'!$B$7),"",--(AF900&lt;5))</f>
        <v/>
      </c>
      <c r="AH900" s="35">
        <f>IF(OR(C900&lt;&gt;"Grayson Coulter",G900&lt;'00_Control'!$B$7),"",--(AF900&lt;10))</f>
        <v/>
      </c>
      <c r="AI900" s="35">
        <f>IF(AND(C900="Grayson Coulter",G900&gt;='00_Control'!$B$7),"YES","NO")</f>
        <v/>
      </c>
      <c r="AJ900" s="33" t="inlineStr">
        <is>
          <t>OK</t>
        </is>
      </c>
    </row>
    <row r="901">
      <c r="A901" s="33" t="inlineStr">
        <is>
          <t>SM000897</t>
        </is>
      </c>
      <c r="B901" s="33" t="inlineStr">
        <is>
          <t>SW017</t>
        </is>
      </c>
      <c r="C901" s="33" t="inlineStr">
        <is>
          <t>Egor Kornev</t>
        </is>
      </c>
      <c r="D901" s="33" t="inlineStr">
        <is>
          <t>SwimCloud</t>
        </is>
      </c>
      <c r="E901" s="33" t="inlineStr">
        <is>
          <t>1139582</t>
        </is>
      </c>
      <c r="F901" s="33" t="inlineStr">
        <is>
          <t>139380831</t>
        </is>
      </c>
      <c r="G901" s="51" t="n">
        <v>45636</v>
      </c>
      <c r="H901" s="33" t="inlineStr">
        <is>
          <t>World Aquatics Short Course Championships</t>
        </is>
      </c>
      <c r="I901" s="33" t="inlineStr">
        <is>
          <t>285196</t>
        </is>
      </c>
      <c r="J901" s="33" t="inlineStr"/>
      <c r="K901" s="33" t="inlineStr">
        <is>
          <t>FIN</t>
        </is>
      </c>
      <c r="L901" s="35">
        <f>IF(K901="FIN",3,IF(OR(K901="SEM",K901="SEMI"),2,IF(OR(K901="PRE",K901="HEAT"),1,IF(V901="YES",4,2))))</f>
        <v/>
      </c>
      <c r="M901" s="33" t="inlineStr">
        <is>
          <t>SCM</t>
        </is>
      </c>
      <c r="N901" s="33" t="n">
        <v>100</v>
      </c>
      <c r="O901" s="33" t="inlineStr">
        <is>
          <t>Free</t>
        </is>
      </c>
      <c r="P901" s="33" t="inlineStr">
        <is>
          <t>100 Free</t>
        </is>
      </c>
      <c r="Q901" s="33" t="inlineStr">
        <is>
          <t>SCM_100_FREE</t>
        </is>
      </c>
      <c r="R901" s="36" t="n">
        <v>45.94</v>
      </c>
      <c r="S901" s="35">
        <f>IF(R901="","",IF(R901&gt;=60,INT(R901/60)&amp;":"&amp;TEXT(MOD(R901,60),"00.00"),TEXT(R901,"0.00")))</f>
        <v/>
      </c>
      <c r="T901" s="52">
        <f>IFERROR((G901-INDEX('01_Swimmers'!$E$5:$E$22,MATCH(B901,'01_Swimmers'!$A$5:$A$22,0)))/'00_Control'!$B$10,"")</f>
        <v/>
      </c>
      <c r="U901" s="35">
        <f>IF(T901="","",INT(T901))</f>
        <v/>
      </c>
      <c r="V901" s="33" t="inlineStr">
        <is>
          <t>YES</t>
        </is>
      </c>
      <c r="W901" s="33" t="inlineStr">
        <is>
          <t>YES</t>
        </is>
      </c>
      <c r="X901" s="33" t="inlineStr">
        <is>
          <t>NO</t>
        </is>
      </c>
      <c r="Y901" s="33" t="n">
        <v>1</v>
      </c>
      <c r="Z901" s="33" t="n">
        <v>7</v>
      </c>
      <c r="AA901" s="33" t="inlineStr"/>
      <c r="AB901" s="33" t="inlineStr">
        <is>
          <t>https://www.swimcloud.com/results/285196/event/9/?id=139378860#time139378860</t>
        </is>
      </c>
      <c r="AC901" s="33" t="inlineStr">
        <is>
          <t>SwimCloud API v6 2026-10-08</t>
        </is>
      </c>
      <c r="AD901" s="33" t="inlineStr">
        <is>
          <t>Egor Kornev|2024-12-10|SCM|100|Free|45.94|World Aquatics Short Course Championships|FIN|True</t>
        </is>
      </c>
      <c r="AE901" s="53">
        <f>G901+L901/1000+ROW()/1000000000</f>
        <v/>
      </c>
      <c r="AF901" s="35">
        <f>IF(C901&lt;&gt;"Grayson Coulter","",COUNTIFS($C$5:$C$2991,"Grayson Coulter",$Q$5:$Q$2991,Q901,$AE$5:$AE$2991,"&lt;="&amp;AE901,$R$5:$R$2991,"&lt;"&amp;R901))</f>
        <v/>
      </c>
      <c r="AG901" s="35">
        <f>IF(OR(C901&lt;&gt;"Grayson Coulter",G901&lt;'00_Control'!$B$7),"",--(AF901&lt;5))</f>
        <v/>
      </c>
      <c r="AH901" s="35">
        <f>IF(OR(C901&lt;&gt;"Grayson Coulter",G901&lt;'00_Control'!$B$7),"",--(AF901&lt;10))</f>
        <v/>
      </c>
      <c r="AI901" s="35">
        <f>IF(AND(C901="Grayson Coulter",G901&gt;='00_Control'!$B$7),"YES","NO")</f>
        <v/>
      </c>
      <c r="AJ901" s="33" t="inlineStr">
        <is>
          <t>OK</t>
        </is>
      </c>
    </row>
    <row r="902">
      <c r="A902" s="33" t="inlineStr">
        <is>
          <t>SM000898</t>
        </is>
      </c>
      <c r="B902" s="33" t="inlineStr">
        <is>
          <t>SW017</t>
        </is>
      </c>
      <c r="C902" s="33" t="inlineStr">
        <is>
          <t>Egor Kornev</t>
        </is>
      </c>
      <c r="D902" s="33" t="inlineStr">
        <is>
          <t>SwimCloud</t>
        </is>
      </c>
      <c r="E902" s="33" t="inlineStr">
        <is>
          <t>1139582</t>
        </is>
      </c>
      <c r="F902" s="33" t="inlineStr">
        <is>
          <t>139378763</t>
        </is>
      </c>
      <c r="G902" s="51" t="n">
        <v>45637</v>
      </c>
      <c r="H902" s="33" t="inlineStr">
        <is>
          <t>World Aquatics Short Course Championships</t>
        </is>
      </c>
      <c r="I902" s="33" t="inlineStr">
        <is>
          <t>285196</t>
        </is>
      </c>
      <c r="J902" s="33" t="inlineStr"/>
      <c r="K902" s="33" t="inlineStr">
        <is>
          <t>PRE</t>
        </is>
      </c>
      <c r="L902" s="35">
        <f>IF(K902="FIN",3,IF(OR(K902="SEM",K902="SEMI"),2,IF(OR(K902="PRE",K902="HEAT"),1,IF(V902="YES",4,2))))</f>
        <v/>
      </c>
      <c r="M902" s="33" t="inlineStr">
        <is>
          <t>SCM</t>
        </is>
      </c>
      <c r="N902" s="33" t="n">
        <v>100</v>
      </c>
      <c r="O902" s="33" t="inlineStr">
        <is>
          <t>Free</t>
        </is>
      </c>
      <c r="P902" s="33" t="inlineStr">
        <is>
          <t>100 Free</t>
        </is>
      </c>
      <c r="Q902" s="33" t="inlineStr">
        <is>
          <t>SCM_100_FREE</t>
        </is>
      </c>
      <c r="R902" s="36" t="n">
        <v>46.07</v>
      </c>
      <c r="S902" s="35">
        <f>IF(R902="","",IF(R902&gt;=60,INT(R902/60)&amp;":"&amp;TEXT(MOD(R902,60),"00.00"),TEXT(R902,"0.00")))</f>
        <v/>
      </c>
      <c r="T902" s="52">
        <f>IFERROR((G902-INDEX('01_Swimmers'!$E$5:$E$22,MATCH(B902,'01_Swimmers'!$A$5:$A$22,0)))/'00_Control'!$B$10,"")</f>
        <v/>
      </c>
      <c r="U902" s="35">
        <f>IF(T902="","",INT(T902))</f>
        <v/>
      </c>
      <c r="V902" s="33" t="inlineStr">
        <is>
          <t>NO</t>
        </is>
      </c>
      <c r="W902" s="33" t="inlineStr">
        <is>
          <t>YES</t>
        </is>
      </c>
      <c r="X902" s="33" t="inlineStr">
        <is>
          <t>NO</t>
        </is>
      </c>
      <c r="Y902" s="33" t="n">
        <v>11</v>
      </c>
      <c r="Z902" s="33" t="n">
        <v>5</v>
      </c>
      <c r="AA902" s="33" t="inlineStr">
        <is>
          <t>5</t>
        </is>
      </c>
      <c r="AB902" s="33" t="inlineStr">
        <is>
          <t>https://www.swimcloud.com/results/285196/event/12/?id=139378763#time139378763</t>
        </is>
      </c>
      <c r="AC902" s="33" t="inlineStr">
        <is>
          <t>SwimCloud API v6 2026-10-08</t>
        </is>
      </c>
      <c r="AD902" s="33" t="inlineStr">
        <is>
          <t>Egor Kornev|2024-12-11|SCM|100|Free|46.07|World Aquatics Short Course Championships|PRE|False</t>
        </is>
      </c>
      <c r="AE902" s="53">
        <f>G902+L902/1000+ROW()/1000000000</f>
        <v/>
      </c>
      <c r="AF902" s="35">
        <f>IF(C902&lt;&gt;"Grayson Coulter","",COUNTIFS($C$5:$C$2991,"Grayson Coulter",$Q$5:$Q$2991,Q902,$AE$5:$AE$2991,"&lt;="&amp;AE902,$R$5:$R$2991,"&lt;"&amp;R902))</f>
        <v/>
      </c>
      <c r="AG902" s="35">
        <f>IF(OR(C902&lt;&gt;"Grayson Coulter",G902&lt;'00_Control'!$B$7),"",--(AF902&lt;5))</f>
        <v/>
      </c>
      <c r="AH902" s="35">
        <f>IF(OR(C902&lt;&gt;"Grayson Coulter",G902&lt;'00_Control'!$B$7),"",--(AF902&lt;10))</f>
        <v/>
      </c>
      <c r="AI902" s="35">
        <f>IF(AND(C902="Grayson Coulter",G902&gt;='00_Control'!$B$7),"YES","NO")</f>
        <v/>
      </c>
      <c r="AJ902" s="33" t="inlineStr">
        <is>
          <t>OK</t>
        </is>
      </c>
    </row>
    <row r="903">
      <c r="A903" s="33" t="inlineStr">
        <is>
          <t>SM000899</t>
        </is>
      </c>
      <c r="B903" s="33" t="inlineStr">
        <is>
          <t>SW017</t>
        </is>
      </c>
      <c r="C903" s="33" t="inlineStr">
        <is>
          <t>Egor Kornev</t>
        </is>
      </c>
      <c r="D903" s="33" t="inlineStr">
        <is>
          <t>SwimCloud</t>
        </is>
      </c>
      <c r="E903" s="33" t="inlineStr">
        <is>
          <t>1139582</t>
        </is>
      </c>
      <c r="F903" s="33" t="inlineStr">
        <is>
          <t>139378764</t>
        </is>
      </c>
      <c r="G903" s="51" t="n">
        <v>45637</v>
      </c>
      <c r="H903" s="33" t="inlineStr">
        <is>
          <t>World Aquatics Short Course Championships</t>
        </is>
      </c>
      <c r="I903" s="33" t="inlineStr">
        <is>
          <t>285196</t>
        </is>
      </c>
      <c r="J903" s="33" t="inlineStr"/>
      <c r="K903" s="33" t="inlineStr">
        <is>
          <t>SEM</t>
        </is>
      </c>
      <c r="L903" s="35">
        <f>IF(K903="FIN",3,IF(OR(K903="SEM",K903="SEMI"),2,IF(OR(K903="PRE",K903="HEAT"),1,IF(V903="YES",4,2))))</f>
        <v/>
      </c>
      <c r="M903" s="33" t="inlineStr">
        <is>
          <t>SCM</t>
        </is>
      </c>
      <c r="N903" s="33" t="n">
        <v>100</v>
      </c>
      <c r="O903" s="33" t="inlineStr">
        <is>
          <t>Free</t>
        </is>
      </c>
      <c r="P903" s="33" t="inlineStr">
        <is>
          <t>100 Free</t>
        </is>
      </c>
      <c r="Q903" s="33" t="inlineStr">
        <is>
          <t>SCM_100_FREE</t>
        </is>
      </c>
      <c r="R903" s="36" t="n">
        <v>45.52</v>
      </c>
      <c r="S903" s="35">
        <f>IF(R903="","",IF(R903&gt;=60,INT(R903/60)&amp;":"&amp;TEXT(MOD(R903,60),"00.00"),TEXT(R903,"0.00")))</f>
        <v/>
      </c>
      <c r="T903" s="52">
        <f>IFERROR((G903-INDEX('01_Swimmers'!$E$5:$E$22,MATCH(B903,'01_Swimmers'!$A$5:$A$22,0)))/'00_Control'!$B$10,"")</f>
        <v/>
      </c>
      <c r="U903" s="35">
        <f>IF(T903="","",INT(T903))</f>
        <v/>
      </c>
      <c r="V903" s="33" t="inlineStr">
        <is>
          <t>NO</t>
        </is>
      </c>
      <c r="W903" s="33" t="inlineStr">
        <is>
          <t>YES</t>
        </is>
      </c>
      <c r="X903" s="33" t="inlineStr">
        <is>
          <t>NO</t>
        </is>
      </c>
      <c r="Y903" s="33" t="n">
        <v>2</v>
      </c>
      <c r="Z903" s="33" t="n">
        <v>3</v>
      </c>
      <c r="AA903" s="33" t="inlineStr">
        <is>
          <t>3</t>
        </is>
      </c>
      <c r="AB903" s="33" t="inlineStr">
        <is>
          <t>https://www.swimcloud.com/results/285196/event/12/?id=139378764#time139378764</t>
        </is>
      </c>
      <c r="AC903" s="33" t="inlineStr">
        <is>
          <t>SwimCloud API v6 2026-10-08</t>
        </is>
      </c>
      <c r="AD903" s="33" t="inlineStr">
        <is>
          <t>Egor Kornev|2024-12-11|SCM|100|Free|45.52|World Aquatics Short Course Championships|SEM|False</t>
        </is>
      </c>
      <c r="AE903" s="53">
        <f>G903+L903/1000+ROW()/1000000000</f>
        <v/>
      </c>
      <c r="AF903" s="35">
        <f>IF(C903&lt;&gt;"Grayson Coulter","",COUNTIFS($C$5:$C$2991,"Grayson Coulter",$Q$5:$Q$2991,Q903,$AE$5:$AE$2991,"&lt;="&amp;AE903,$R$5:$R$2991,"&lt;"&amp;R903))</f>
        <v/>
      </c>
      <c r="AG903" s="35">
        <f>IF(OR(C903&lt;&gt;"Grayson Coulter",G903&lt;'00_Control'!$B$7),"",--(AF903&lt;5))</f>
        <v/>
      </c>
      <c r="AH903" s="35">
        <f>IF(OR(C903&lt;&gt;"Grayson Coulter",G903&lt;'00_Control'!$B$7),"",--(AF903&lt;10))</f>
        <v/>
      </c>
      <c r="AI903" s="35">
        <f>IF(AND(C903="Grayson Coulter",G903&gt;='00_Control'!$B$7),"YES","NO")</f>
        <v/>
      </c>
      <c r="AJ903" s="33" t="inlineStr">
        <is>
          <t>OK</t>
        </is>
      </c>
    </row>
    <row r="904">
      <c r="A904" s="33" t="inlineStr">
        <is>
          <t>SM000900</t>
        </is>
      </c>
      <c r="B904" s="33" t="inlineStr">
        <is>
          <t>SW017</t>
        </is>
      </c>
      <c r="C904" s="33" t="inlineStr">
        <is>
          <t>Egor Kornev</t>
        </is>
      </c>
      <c r="D904" s="33" t="inlineStr">
        <is>
          <t>SwimCloud</t>
        </is>
      </c>
      <c r="E904" s="33" t="inlineStr">
        <is>
          <t>1139582</t>
        </is>
      </c>
      <c r="F904" s="33" t="inlineStr">
        <is>
          <t>139378762</t>
        </is>
      </c>
      <c r="G904" s="51" t="n">
        <v>45638</v>
      </c>
      <c r="H904" s="33" t="inlineStr">
        <is>
          <t>World Aquatics Short Course Championships</t>
        </is>
      </c>
      <c r="I904" s="33" t="inlineStr">
        <is>
          <t>285196</t>
        </is>
      </c>
      <c r="J904" s="33" t="inlineStr"/>
      <c r="K904" s="33" t="inlineStr">
        <is>
          <t>FIN</t>
        </is>
      </c>
      <c r="L904" s="35">
        <f>IF(K904="FIN",3,IF(OR(K904="SEM",K904="SEMI"),2,IF(OR(K904="PRE",K904="HEAT"),1,IF(V904="YES",4,2))))</f>
        <v/>
      </c>
      <c r="M904" s="33" t="inlineStr">
        <is>
          <t>SCM</t>
        </is>
      </c>
      <c r="N904" s="33" t="n">
        <v>100</v>
      </c>
      <c r="O904" s="33" t="inlineStr">
        <is>
          <t>Free</t>
        </is>
      </c>
      <c r="P904" s="33" t="inlineStr">
        <is>
          <t>100 Free</t>
        </is>
      </c>
      <c r="Q904" s="33" t="inlineStr">
        <is>
          <t>SCM_100_FREE</t>
        </is>
      </c>
      <c r="R904" s="36" t="n">
        <v>45.58</v>
      </c>
      <c r="S904" s="35">
        <f>IF(R904="","",IF(R904&gt;=60,INT(R904/60)&amp;":"&amp;TEXT(MOD(R904,60),"00.00"),TEXT(R904,"0.00")))</f>
        <v/>
      </c>
      <c r="T904" s="52">
        <f>IFERROR((G904-INDEX('01_Swimmers'!$E$5:$E$22,MATCH(B904,'01_Swimmers'!$A$5:$A$22,0)))/'00_Control'!$B$10,"")</f>
        <v/>
      </c>
      <c r="U904" s="35">
        <f>IF(T904="","",INT(T904))</f>
        <v/>
      </c>
      <c r="V904" s="33" t="inlineStr">
        <is>
          <t>NO</t>
        </is>
      </c>
      <c r="W904" s="33" t="inlineStr">
        <is>
          <t>YES</t>
        </is>
      </c>
      <c r="X904" s="33" t="inlineStr">
        <is>
          <t>NO</t>
        </is>
      </c>
      <c r="Y904" s="33" t="n">
        <v>1</v>
      </c>
      <c r="Z904" s="33" t="n">
        <v>3</v>
      </c>
      <c r="AA904" s="33" t="inlineStr">
        <is>
          <t>5</t>
        </is>
      </c>
      <c r="AB904" s="33" t="inlineStr">
        <is>
          <t>https://www.swimcloud.com/results/285196/event/12/?id=139378762#time139378762</t>
        </is>
      </c>
      <c r="AC904" s="33" t="inlineStr">
        <is>
          <t>SwimCloud API v6 2026-10-08</t>
        </is>
      </c>
      <c r="AD904" s="33" t="inlineStr">
        <is>
          <t>Egor Kornev|2024-12-12|SCM|100|Free|45.58|World Aquatics Short Course Championships|FIN|False</t>
        </is>
      </c>
      <c r="AE904" s="53">
        <f>G904+L904/1000+ROW()/1000000000</f>
        <v/>
      </c>
      <c r="AF904" s="35">
        <f>IF(C904&lt;&gt;"Grayson Coulter","",COUNTIFS($C$5:$C$2991,"Grayson Coulter",$Q$5:$Q$2991,Q904,$AE$5:$AE$2991,"&lt;="&amp;AE904,$R$5:$R$2991,"&lt;"&amp;R904))</f>
        <v/>
      </c>
      <c r="AG904" s="35">
        <f>IF(OR(C904&lt;&gt;"Grayson Coulter",G904&lt;'00_Control'!$B$7),"",--(AF904&lt;5))</f>
        <v/>
      </c>
      <c r="AH904" s="35">
        <f>IF(OR(C904&lt;&gt;"Grayson Coulter",G904&lt;'00_Control'!$B$7),"",--(AF904&lt;10))</f>
        <v/>
      </c>
      <c r="AI904" s="35">
        <f>IF(AND(C904="Grayson Coulter",G904&gt;='00_Control'!$B$7),"YES","NO")</f>
        <v/>
      </c>
      <c r="AJ904" s="33" t="inlineStr">
        <is>
          <t>OK</t>
        </is>
      </c>
    </row>
    <row r="905">
      <c r="A905" s="33" t="inlineStr">
        <is>
          <t>SM000901</t>
        </is>
      </c>
      <c r="B905" s="33" t="inlineStr">
        <is>
          <t>SW017</t>
        </is>
      </c>
      <c r="C905" s="33" t="inlineStr">
        <is>
          <t>Egor Kornev</t>
        </is>
      </c>
      <c r="D905" s="33" t="inlineStr">
        <is>
          <t>SwimCloud</t>
        </is>
      </c>
      <c r="E905" s="33" t="inlineStr">
        <is>
          <t>1139582</t>
        </is>
      </c>
      <c r="F905" s="33" t="inlineStr">
        <is>
          <t>140667729</t>
        </is>
      </c>
      <c r="G905" s="51" t="n">
        <v>45646</v>
      </c>
      <c r="H905" s="33" t="inlineStr">
        <is>
          <t>Vladimir Salnikov Cup</t>
        </is>
      </c>
      <c r="I905" s="33" t="inlineStr">
        <is>
          <t>323248</t>
        </is>
      </c>
      <c r="J905" s="33" t="inlineStr"/>
      <c r="K905" s="33" t="inlineStr">
        <is>
          <t>PRE</t>
        </is>
      </c>
      <c r="L905" s="35">
        <f>IF(K905="FIN",3,IF(OR(K905="SEM",K905="SEMI"),2,IF(OR(K905="PRE",K905="HEAT"),1,IF(V905="YES",4,2))))</f>
        <v/>
      </c>
      <c r="M905" s="33" t="inlineStr">
        <is>
          <t>SCM</t>
        </is>
      </c>
      <c r="N905" s="33" t="n">
        <v>100</v>
      </c>
      <c r="O905" s="33" t="inlineStr">
        <is>
          <t>Free</t>
        </is>
      </c>
      <c r="P905" s="33" t="inlineStr">
        <is>
          <t>100 Free</t>
        </is>
      </c>
      <c r="Q905" s="33" t="inlineStr">
        <is>
          <t>SCM_100_FREE</t>
        </is>
      </c>
      <c r="R905" s="36" t="n">
        <v>47.9</v>
      </c>
      <c r="S905" s="35">
        <f>IF(R905="","",IF(R905&gt;=60,INT(R905/60)&amp;":"&amp;TEXT(MOD(R905,60),"00.00"),TEXT(R905,"0.00")))</f>
        <v/>
      </c>
      <c r="T905" s="52">
        <f>IFERROR((G905-INDEX('01_Swimmers'!$E$5:$E$22,MATCH(B905,'01_Swimmers'!$A$5:$A$22,0)))/'00_Control'!$B$10,"")</f>
        <v/>
      </c>
      <c r="U905" s="35">
        <f>IF(T905="","",INT(T905))</f>
        <v/>
      </c>
      <c r="V905" s="33" t="inlineStr">
        <is>
          <t>NO</t>
        </is>
      </c>
      <c r="W905" s="33" t="inlineStr">
        <is>
          <t>YES</t>
        </is>
      </c>
      <c r="X905" s="33" t="inlineStr">
        <is>
          <t>NO</t>
        </is>
      </c>
      <c r="Y905" s="33" t="n">
        <v>10</v>
      </c>
      <c r="Z905" s="33" t="n">
        <v>4</v>
      </c>
      <c r="AA905" s="33" t="inlineStr">
        <is>
          <t>7</t>
        </is>
      </c>
      <c r="AB905" s="33" t="inlineStr">
        <is>
          <t>https://www.swimcloud.com/results/323248/event/22/?id=140667729#time140667729</t>
        </is>
      </c>
      <c r="AC905" s="33" t="inlineStr">
        <is>
          <t>SwimCloud API v6 2026-10-08</t>
        </is>
      </c>
      <c r="AD905" s="33" t="inlineStr">
        <is>
          <t>Egor Kornev|2024-12-20|SCM|100|Free|47.9|Vladimir Salnikov Cup|PRE|False</t>
        </is>
      </c>
      <c r="AE905" s="53">
        <f>G905+L905/1000+ROW()/1000000000</f>
        <v/>
      </c>
      <c r="AF905" s="35">
        <f>IF(C905&lt;&gt;"Grayson Coulter","",COUNTIFS($C$5:$C$2991,"Grayson Coulter",$Q$5:$Q$2991,Q905,$AE$5:$AE$2991,"&lt;="&amp;AE905,$R$5:$R$2991,"&lt;"&amp;R905))</f>
        <v/>
      </c>
      <c r="AG905" s="35">
        <f>IF(OR(C905&lt;&gt;"Grayson Coulter",G905&lt;'00_Control'!$B$7),"",--(AF905&lt;5))</f>
        <v/>
      </c>
      <c r="AH905" s="35">
        <f>IF(OR(C905&lt;&gt;"Grayson Coulter",G905&lt;'00_Control'!$B$7),"",--(AF905&lt;10))</f>
        <v/>
      </c>
      <c r="AI905" s="35">
        <f>IF(AND(C905="Grayson Coulter",G905&gt;='00_Control'!$B$7),"YES","NO")</f>
        <v/>
      </c>
      <c r="AJ905" s="33" t="inlineStr">
        <is>
          <t>OK</t>
        </is>
      </c>
    </row>
    <row r="906">
      <c r="A906" s="33" t="inlineStr">
        <is>
          <t>SM000902</t>
        </is>
      </c>
      <c r="B906" s="33" t="inlineStr">
        <is>
          <t>SW017</t>
        </is>
      </c>
      <c r="C906" s="33" t="inlineStr">
        <is>
          <t>Egor Kornev</t>
        </is>
      </c>
      <c r="D906" s="33" t="inlineStr">
        <is>
          <t>SwimCloud</t>
        </is>
      </c>
      <c r="E906" s="33" t="inlineStr">
        <is>
          <t>1139582</t>
        </is>
      </c>
      <c r="F906" s="33" t="inlineStr">
        <is>
          <t>140667732</t>
        </is>
      </c>
      <c r="G906" s="51" t="n">
        <v>45646</v>
      </c>
      <c r="H906" s="33" t="inlineStr">
        <is>
          <t>Vladimir Salnikov Cup</t>
        </is>
      </c>
      <c r="I906" s="33" t="inlineStr">
        <is>
          <t>323248</t>
        </is>
      </c>
      <c r="J906" s="33" t="inlineStr"/>
      <c r="K906" s="33" t="inlineStr">
        <is>
          <t>FIN</t>
        </is>
      </c>
      <c r="L906" s="35">
        <f>IF(K906="FIN",3,IF(OR(K906="SEM",K906="SEMI"),2,IF(OR(K906="PRE",K906="HEAT"),1,IF(V906="YES",4,2))))</f>
        <v/>
      </c>
      <c r="M906" s="33" t="inlineStr">
        <is>
          <t>SCM</t>
        </is>
      </c>
      <c r="N906" s="33" t="n">
        <v>100</v>
      </c>
      <c r="O906" s="33" t="inlineStr">
        <is>
          <t>Free</t>
        </is>
      </c>
      <c r="P906" s="33" t="inlineStr">
        <is>
          <t>100 Free</t>
        </is>
      </c>
      <c r="Q906" s="33" t="inlineStr">
        <is>
          <t>SCM_100_FREE</t>
        </is>
      </c>
      <c r="R906" s="36" t="n">
        <v>45.9</v>
      </c>
      <c r="S906" s="35">
        <f>IF(R906="","",IF(R906&gt;=60,INT(R906/60)&amp;":"&amp;TEXT(MOD(R906,60),"00.00"),TEXT(R906,"0.00")))</f>
        <v/>
      </c>
      <c r="T906" s="52">
        <f>IFERROR((G906-INDEX('01_Swimmers'!$E$5:$E$22,MATCH(B906,'01_Swimmers'!$A$5:$A$22,0)))/'00_Control'!$B$10,"")</f>
        <v/>
      </c>
      <c r="U906" s="35">
        <f>IF(T906="","",INT(T906))</f>
        <v/>
      </c>
      <c r="V906" s="33" t="inlineStr">
        <is>
          <t>NO</t>
        </is>
      </c>
      <c r="W906" s="33" t="inlineStr">
        <is>
          <t>YES</t>
        </is>
      </c>
      <c r="X906" s="33" t="inlineStr">
        <is>
          <t>NO</t>
        </is>
      </c>
      <c r="Y906" s="33" t="n">
        <v>1</v>
      </c>
      <c r="Z906" s="33" t="n">
        <v>1</v>
      </c>
      <c r="AA906" s="33" t="inlineStr">
        <is>
          <t>1</t>
        </is>
      </c>
      <c r="AB906" s="33" t="inlineStr">
        <is>
          <t>https://www.swimcloud.com/results/323248/event/22/?id=140667732#time140667732</t>
        </is>
      </c>
      <c r="AC906" s="33" t="inlineStr">
        <is>
          <t>SwimCloud API v6 2026-10-08</t>
        </is>
      </c>
      <c r="AD906" s="33" t="inlineStr">
        <is>
          <t>Egor Kornev|2024-12-20|SCM|100|Free|45.9|Vladimir Salnikov Cup|FIN|False</t>
        </is>
      </c>
      <c r="AE906" s="53">
        <f>G906+L906/1000+ROW()/1000000000</f>
        <v/>
      </c>
      <c r="AF906" s="35">
        <f>IF(C906&lt;&gt;"Grayson Coulter","",COUNTIFS($C$5:$C$2991,"Grayson Coulter",$Q$5:$Q$2991,Q906,$AE$5:$AE$2991,"&lt;="&amp;AE906,$R$5:$R$2991,"&lt;"&amp;R906))</f>
        <v/>
      </c>
      <c r="AG906" s="35">
        <f>IF(OR(C906&lt;&gt;"Grayson Coulter",G906&lt;'00_Control'!$B$7),"",--(AF906&lt;5))</f>
        <v/>
      </c>
      <c r="AH906" s="35">
        <f>IF(OR(C906&lt;&gt;"Grayson Coulter",G906&lt;'00_Control'!$B$7),"",--(AF906&lt;10))</f>
        <v/>
      </c>
      <c r="AI906" s="35">
        <f>IF(AND(C906="Grayson Coulter",G906&gt;='00_Control'!$B$7),"YES","NO")</f>
        <v/>
      </c>
      <c r="AJ906" s="33" t="inlineStr">
        <is>
          <t>OK</t>
        </is>
      </c>
    </row>
    <row r="907">
      <c r="A907" s="33" t="inlineStr">
        <is>
          <t>SM000903</t>
        </is>
      </c>
      <c r="B907" s="33" t="inlineStr">
        <is>
          <t>SW017</t>
        </is>
      </c>
      <c r="C907" s="33" t="inlineStr">
        <is>
          <t>Egor Kornev</t>
        </is>
      </c>
      <c r="D907" s="33" t="inlineStr">
        <is>
          <t>SwimCloud</t>
        </is>
      </c>
      <c r="E907" s="33" t="inlineStr">
        <is>
          <t>1139582</t>
        </is>
      </c>
      <c r="F907" s="33" t="inlineStr">
        <is>
          <t>146738114</t>
        </is>
      </c>
      <c r="G907" s="51" t="n">
        <v>45704</v>
      </c>
      <c r="H907" s="33" t="inlineStr">
        <is>
          <t>Dubai Open Championship</t>
        </is>
      </c>
      <c r="I907" s="33" t="inlineStr">
        <is>
          <t>336779</t>
        </is>
      </c>
      <c r="J907" s="33" t="inlineStr"/>
      <c r="K907" s="33" t="inlineStr">
        <is>
          <t>PRE</t>
        </is>
      </c>
      <c r="L907" s="35">
        <f>IF(K907="FIN",3,IF(OR(K907="SEM",K907="SEMI"),2,IF(OR(K907="PRE",K907="HEAT"),1,IF(V907="YES",4,2))))</f>
        <v/>
      </c>
      <c r="M907" s="33" t="inlineStr">
        <is>
          <t>LCM</t>
        </is>
      </c>
      <c r="N907" s="33" t="n">
        <v>100</v>
      </c>
      <c r="O907" s="33" t="inlineStr">
        <is>
          <t>Free</t>
        </is>
      </c>
      <c r="P907" s="33" t="inlineStr">
        <is>
          <t>100 Free</t>
        </is>
      </c>
      <c r="Q907" s="33" t="inlineStr">
        <is>
          <t>LCM_100_FREE</t>
        </is>
      </c>
      <c r="R907" s="36" t="n">
        <v>50.02</v>
      </c>
      <c r="S907" s="35">
        <f>IF(R907="","",IF(R907&gt;=60,INT(R907/60)&amp;":"&amp;TEXT(MOD(R907,60),"00.00"),TEXT(R907,"0.00")))</f>
        <v/>
      </c>
      <c r="T907" s="52">
        <f>IFERROR((G907-INDEX('01_Swimmers'!$E$5:$E$22,MATCH(B907,'01_Swimmers'!$A$5:$A$22,0)))/'00_Control'!$B$10,"")</f>
        <v/>
      </c>
      <c r="U907" s="35">
        <f>IF(T907="","",INT(T907))</f>
        <v/>
      </c>
      <c r="V907" s="33" t="inlineStr">
        <is>
          <t>NO</t>
        </is>
      </c>
      <c r="W907" s="33" t="inlineStr">
        <is>
          <t>YES</t>
        </is>
      </c>
      <c r="X907" s="33" t="inlineStr">
        <is>
          <t>NO</t>
        </is>
      </c>
      <c r="Y907" s="33" t="n">
        <v>21</v>
      </c>
      <c r="Z907" s="33" t="n">
        <v>4</v>
      </c>
      <c r="AA907" s="33" t="inlineStr">
        <is>
          <t>2</t>
        </is>
      </c>
      <c r="AB907" s="33" t="inlineStr">
        <is>
          <t>https://www.swimcloud.com/results/336779/event/312/?id=146738114#time146738114</t>
        </is>
      </c>
      <c r="AC907" s="33" t="inlineStr">
        <is>
          <t>SwimCloud API v6 2026-10-08</t>
        </is>
      </c>
      <c r="AD907" s="33" t="inlineStr">
        <is>
          <t>Egor Kornev|2025-02-16|LCM|100|Free|50.02|Dubai Open Championship|PRE|False</t>
        </is>
      </c>
      <c r="AE907" s="53">
        <f>G907+L907/1000+ROW()/1000000000</f>
        <v/>
      </c>
      <c r="AF907" s="35">
        <f>IF(C907&lt;&gt;"Grayson Coulter","",COUNTIFS($C$5:$C$2991,"Grayson Coulter",$Q$5:$Q$2991,Q907,$AE$5:$AE$2991,"&lt;="&amp;AE907,$R$5:$R$2991,"&lt;"&amp;R907))</f>
        <v/>
      </c>
      <c r="AG907" s="35">
        <f>IF(OR(C907&lt;&gt;"Grayson Coulter",G907&lt;'00_Control'!$B$7),"",--(AF907&lt;5))</f>
        <v/>
      </c>
      <c r="AH907" s="35">
        <f>IF(OR(C907&lt;&gt;"Grayson Coulter",G907&lt;'00_Control'!$B$7),"",--(AF907&lt;10))</f>
        <v/>
      </c>
      <c r="AI907" s="35">
        <f>IF(AND(C907="Grayson Coulter",G907&gt;='00_Control'!$B$7),"YES","NO")</f>
        <v/>
      </c>
      <c r="AJ907" s="33" t="inlineStr">
        <is>
          <t>OK</t>
        </is>
      </c>
    </row>
    <row r="908">
      <c r="A908" s="33" t="inlineStr">
        <is>
          <t>SM000904</t>
        </is>
      </c>
      <c r="B908" s="33" t="inlineStr">
        <is>
          <t>SW017</t>
        </is>
      </c>
      <c r="C908" s="33" t="inlineStr">
        <is>
          <t>Egor Kornev</t>
        </is>
      </c>
      <c r="D908" s="33" t="inlineStr">
        <is>
          <t>SwimCloud</t>
        </is>
      </c>
      <c r="E908" s="33" t="inlineStr">
        <is>
          <t>1139582</t>
        </is>
      </c>
      <c r="F908" s="33" t="inlineStr">
        <is>
          <t>146738115</t>
        </is>
      </c>
      <c r="G908" s="51" t="n">
        <v>45704</v>
      </c>
      <c r="H908" s="33" t="inlineStr">
        <is>
          <t>Dubai Open Championship</t>
        </is>
      </c>
      <c r="I908" s="33" t="inlineStr">
        <is>
          <t>336779</t>
        </is>
      </c>
      <c r="J908" s="33" t="inlineStr"/>
      <c r="K908" s="33" t="inlineStr">
        <is>
          <t>FIN</t>
        </is>
      </c>
      <c r="L908" s="35">
        <f>IF(K908="FIN",3,IF(OR(K908="SEM",K908="SEMI"),2,IF(OR(K908="PRE",K908="HEAT"),1,IF(V908="YES",4,2))))</f>
        <v/>
      </c>
      <c r="M908" s="33" t="inlineStr">
        <is>
          <t>LCM</t>
        </is>
      </c>
      <c r="N908" s="33" t="n">
        <v>100</v>
      </c>
      <c r="O908" s="33" t="inlineStr">
        <is>
          <t>Free</t>
        </is>
      </c>
      <c r="P908" s="33" t="inlineStr">
        <is>
          <t>100 Free</t>
        </is>
      </c>
      <c r="Q908" s="33" t="inlineStr">
        <is>
          <t>LCM_100_FREE</t>
        </is>
      </c>
      <c r="R908" s="36" t="n">
        <v>49.14</v>
      </c>
      <c r="S908" s="35">
        <f>IF(R908="","",IF(R908&gt;=60,INT(R908/60)&amp;":"&amp;TEXT(MOD(R908,60),"00.00"),TEXT(R908,"0.00")))</f>
        <v/>
      </c>
      <c r="T908" s="52">
        <f>IFERROR((G908-INDEX('01_Swimmers'!$E$5:$E$22,MATCH(B908,'01_Swimmers'!$A$5:$A$22,0)))/'00_Control'!$B$10,"")</f>
        <v/>
      </c>
      <c r="U908" s="35">
        <f>IF(T908="","",INT(T908))</f>
        <v/>
      </c>
      <c r="V908" s="33" t="inlineStr">
        <is>
          <t>NO</t>
        </is>
      </c>
      <c r="W908" s="33" t="inlineStr">
        <is>
          <t>YES</t>
        </is>
      </c>
      <c r="X908" s="33" t="inlineStr">
        <is>
          <t>NO</t>
        </is>
      </c>
      <c r="Y908" s="33" t="n">
        <v>4</v>
      </c>
      <c r="Z908" s="33" t="n">
        <v>5</v>
      </c>
      <c r="AA908" s="33" t="inlineStr">
        <is>
          <t>1</t>
        </is>
      </c>
      <c r="AB908" s="33" t="inlineStr">
        <is>
          <t>https://www.swimcloud.com/results/336779/event/312/?id=146738115#time146738115</t>
        </is>
      </c>
      <c r="AC908" s="33" t="inlineStr">
        <is>
          <t>SwimCloud API v6 2026-10-08</t>
        </is>
      </c>
      <c r="AD908" s="33" t="inlineStr">
        <is>
          <t>Egor Kornev|2025-02-16|LCM|100|Free|49.14|Dubai Open Championship|FIN|False</t>
        </is>
      </c>
      <c r="AE908" s="53">
        <f>G908+L908/1000+ROW()/1000000000</f>
        <v/>
      </c>
      <c r="AF908" s="35">
        <f>IF(C908&lt;&gt;"Grayson Coulter","",COUNTIFS($C$5:$C$2991,"Grayson Coulter",$Q$5:$Q$2991,Q908,$AE$5:$AE$2991,"&lt;="&amp;AE908,$R$5:$R$2991,"&lt;"&amp;R908))</f>
        <v/>
      </c>
      <c r="AG908" s="35">
        <f>IF(OR(C908&lt;&gt;"Grayson Coulter",G908&lt;'00_Control'!$B$7),"",--(AF908&lt;5))</f>
        <v/>
      </c>
      <c r="AH908" s="35">
        <f>IF(OR(C908&lt;&gt;"Grayson Coulter",G908&lt;'00_Control'!$B$7),"",--(AF908&lt;10))</f>
        <v/>
      </c>
      <c r="AI908" s="35">
        <f>IF(AND(C908="Grayson Coulter",G908&gt;='00_Control'!$B$7),"YES","NO")</f>
        <v/>
      </c>
      <c r="AJ908" s="33" t="inlineStr">
        <is>
          <t>OK</t>
        </is>
      </c>
    </row>
    <row r="909">
      <c r="A909" s="33" t="inlineStr">
        <is>
          <t>SM000905</t>
        </is>
      </c>
      <c r="B909" s="33" t="inlineStr">
        <is>
          <t>SW017</t>
        </is>
      </c>
      <c r="C909" s="33" t="inlineStr">
        <is>
          <t>Egor Kornev</t>
        </is>
      </c>
      <c r="D909" s="33" t="inlineStr">
        <is>
          <t>SwimCloud</t>
        </is>
      </c>
      <c r="E909" s="33" t="inlineStr">
        <is>
          <t>1139582</t>
        </is>
      </c>
      <c r="F909" s="33" t="inlineStr">
        <is>
          <t>146959132</t>
        </is>
      </c>
      <c r="G909" s="51" t="n">
        <v>45708</v>
      </c>
      <c r="H909" s="33" t="inlineStr">
        <is>
          <t>Russian Cup - First Stage</t>
        </is>
      </c>
      <c r="I909" s="33" t="inlineStr">
        <is>
          <t>338108</t>
        </is>
      </c>
      <c r="J909" s="33" t="inlineStr"/>
      <c r="K909" s="33" t="inlineStr">
        <is>
          <t>TIM</t>
        </is>
      </c>
      <c r="L909" s="35">
        <f>IF(K909="FIN",3,IF(OR(K909="SEM",K909="SEMI"),2,IF(OR(K909="PRE",K909="HEAT"),1,IF(V909="YES",4,2))))</f>
        <v/>
      </c>
      <c r="M909" s="33" t="inlineStr">
        <is>
          <t>LCM</t>
        </is>
      </c>
      <c r="N909" s="33" t="n">
        <v>100</v>
      </c>
      <c r="O909" s="33" t="inlineStr">
        <is>
          <t>Free</t>
        </is>
      </c>
      <c r="P909" s="33" t="inlineStr">
        <is>
          <t>100 Free</t>
        </is>
      </c>
      <c r="Q909" s="33" t="inlineStr">
        <is>
          <t>LCM_100_FREE</t>
        </is>
      </c>
      <c r="R909" s="36" t="n">
        <v>49.64</v>
      </c>
      <c r="S909" s="35">
        <f>IF(R909="","",IF(R909&gt;=60,INT(R909/60)&amp;":"&amp;TEXT(MOD(R909,60),"00.00"),TEXT(R909,"0.00")))</f>
        <v/>
      </c>
      <c r="T909" s="52">
        <f>IFERROR((G909-INDEX('01_Swimmers'!$E$5:$E$22,MATCH(B909,'01_Swimmers'!$A$5:$A$22,0)))/'00_Control'!$B$10,"")</f>
        <v/>
      </c>
      <c r="U909" s="35">
        <f>IF(T909="","",INT(T909))</f>
        <v/>
      </c>
      <c r="V909" s="33" t="inlineStr">
        <is>
          <t>NO</t>
        </is>
      </c>
      <c r="W909" s="33" t="inlineStr">
        <is>
          <t>YES</t>
        </is>
      </c>
      <c r="X909" s="33" t="inlineStr">
        <is>
          <t>NO</t>
        </is>
      </c>
      <c r="Y909" s="33" t="n">
        <v>15</v>
      </c>
      <c r="Z909" s="33" t="n">
        <v>4</v>
      </c>
      <c r="AA909" s="33" t="inlineStr">
        <is>
          <t>2</t>
        </is>
      </c>
      <c r="AB909" s="33" t="inlineStr">
        <is>
          <t>https://www.swimcloud.com/results/338108/event/18/?id=146959132#time146959132</t>
        </is>
      </c>
      <c r="AC909" s="33" t="inlineStr">
        <is>
          <t>SwimCloud API v6 2026-10-08</t>
        </is>
      </c>
      <c r="AD909" s="33" t="inlineStr">
        <is>
          <t>Egor Kornev|2025-02-20|LCM|100|Free|49.64|Russian Cup - First Stage|TIM|False</t>
        </is>
      </c>
      <c r="AE909" s="53">
        <f>G909+L909/1000+ROW()/1000000000</f>
        <v/>
      </c>
      <c r="AF909" s="35">
        <f>IF(C909&lt;&gt;"Grayson Coulter","",COUNTIFS($C$5:$C$2991,"Grayson Coulter",$Q$5:$Q$2991,Q909,$AE$5:$AE$2991,"&lt;="&amp;AE909,$R$5:$R$2991,"&lt;"&amp;R909))</f>
        <v/>
      </c>
      <c r="AG909" s="35">
        <f>IF(OR(C909&lt;&gt;"Grayson Coulter",G909&lt;'00_Control'!$B$7),"",--(AF909&lt;5))</f>
        <v/>
      </c>
      <c r="AH909" s="35">
        <f>IF(OR(C909&lt;&gt;"Grayson Coulter",G909&lt;'00_Control'!$B$7),"",--(AF909&lt;10))</f>
        <v/>
      </c>
      <c r="AI909" s="35">
        <f>IF(AND(C909="Grayson Coulter",G909&gt;='00_Control'!$B$7),"YES","NO")</f>
        <v/>
      </c>
      <c r="AJ909" s="33" t="inlineStr">
        <is>
          <t>OK</t>
        </is>
      </c>
    </row>
    <row r="910">
      <c r="A910" s="33" t="inlineStr">
        <is>
          <t>SM000906</t>
        </is>
      </c>
      <c r="B910" s="33" t="inlineStr">
        <is>
          <t>SW017</t>
        </is>
      </c>
      <c r="C910" s="33" t="inlineStr">
        <is>
          <t>Egor Kornev</t>
        </is>
      </c>
      <c r="D910" s="33" t="inlineStr">
        <is>
          <t>SwimCloud</t>
        </is>
      </c>
      <c r="E910" s="33" t="inlineStr">
        <is>
          <t>1139582</t>
        </is>
      </c>
      <c r="F910" s="33" t="inlineStr">
        <is>
          <t>150527893</t>
        </is>
      </c>
      <c r="G910" s="51" t="n">
        <v>45760</v>
      </c>
      <c r="H910" s="33" t="inlineStr">
        <is>
          <t>Russian Championship</t>
        </is>
      </c>
      <c r="I910" s="33" t="inlineStr">
        <is>
          <t>342118</t>
        </is>
      </c>
      <c r="J910" s="33" t="inlineStr"/>
      <c r="K910" s="33" t="inlineStr">
        <is>
          <t>FIN</t>
        </is>
      </c>
      <c r="L910" s="35">
        <f>IF(K910="FIN",3,IF(OR(K910="SEM",K910="SEMI"),2,IF(OR(K910="PRE",K910="HEAT"),1,IF(V910="YES",4,2))))</f>
        <v/>
      </c>
      <c r="M910" s="33" t="inlineStr">
        <is>
          <t>LCM</t>
        </is>
      </c>
      <c r="N910" s="33" t="n">
        <v>100</v>
      </c>
      <c r="O910" s="33" t="inlineStr">
        <is>
          <t>Free</t>
        </is>
      </c>
      <c r="P910" s="33" t="inlineStr">
        <is>
          <t>100 Free</t>
        </is>
      </c>
      <c r="Q910" s="33" t="inlineStr">
        <is>
          <t>LCM_100_FREE</t>
        </is>
      </c>
      <c r="R910" s="36" t="n">
        <v>48.09</v>
      </c>
      <c r="S910" s="35">
        <f>IF(R910="","",IF(R910&gt;=60,INT(R910/60)&amp;":"&amp;TEXT(MOD(R910,60),"00.00"),TEXT(R910,"0.00")))</f>
        <v/>
      </c>
      <c r="T910" s="52">
        <f>IFERROR((G910-INDEX('01_Swimmers'!$E$5:$E$22,MATCH(B910,'01_Swimmers'!$A$5:$A$22,0)))/'00_Control'!$B$10,"")</f>
        <v/>
      </c>
      <c r="U910" s="35">
        <f>IF(T910="","",INT(T910))</f>
        <v/>
      </c>
      <c r="V910" s="33" t="inlineStr">
        <is>
          <t>YES</t>
        </is>
      </c>
      <c r="W910" s="33" t="inlineStr">
        <is>
          <t>YES</t>
        </is>
      </c>
      <c r="X910" s="33" t="inlineStr">
        <is>
          <t>NO</t>
        </is>
      </c>
      <c r="Y910" s="33" t="n">
        <v>1</v>
      </c>
      <c r="Z910" s="33" t="n">
        <v>5</v>
      </c>
      <c r="AA910" s="33" t="inlineStr"/>
      <c r="AB910" s="33" t="inlineStr">
        <is>
          <t>https://www.swimcloud.com/results/342118/event/7/?id=150526534#time150526534</t>
        </is>
      </c>
      <c r="AC910" s="33" t="inlineStr">
        <is>
          <t>SwimCloud API v6 2026-10-08</t>
        </is>
      </c>
      <c r="AD910" s="33" t="inlineStr">
        <is>
          <t>Egor Kornev|2025-04-13|LCM|100|Free|48.09|Russian Championship|FIN|True</t>
        </is>
      </c>
      <c r="AE910" s="53">
        <f>G910+L910/1000+ROW()/1000000000</f>
        <v/>
      </c>
      <c r="AF910" s="35">
        <f>IF(C910&lt;&gt;"Grayson Coulter","",COUNTIFS($C$5:$C$2991,"Grayson Coulter",$Q$5:$Q$2991,Q910,$AE$5:$AE$2991,"&lt;="&amp;AE910,$R$5:$R$2991,"&lt;"&amp;R910))</f>
        <v/>
      </c>
      <c r="AG910" s="35">
        <f>IF(OR(C910&lt;&gt;"Grayson Coulter",G910&lt;'00_Control'!$B$7),"",--(AF910&lt;5))</f>
        <v/>
      </c>
      <c r="AH910" s="35">
        <f>IF(OR(C910&lt;&gt;"Grayson Coulter",G910&lt;'00_Control'!$B$7),"",--(AF910&lt;10))</f>
        <v/>
      </c>
      <c r="AI910" s="35">
        <f>IF(AND(C910="Grayson Coulter",G910&gt;='00_Control'!$B$7),"YES","NO")</f>
        <v/>
      </c>
      <c r="AJ910" s="33" t="inlineStr">
        <is>
          <t>OK</t>
        </is>
      </c>
    </row>
    <row r="911">
      <c r="A911" s="33" t="inlineStr">
        <is>
          <t>SM000907</t>
        </is>
      </c>
      <c r="B911" s="33" t="inlineStr">
        <is>
          <t>SW017</t>
        </is>
      </c>
      <c r="C911" s="33" t="inlineStr">
        <is>
          <t>Egor Kornev</t>
        </is>
      </c>
      <c r="D911" s="33" t="inlineStr">
        <is>
          <t>SwimCloud</t>
        </is>
      </c>
      <c r="E911" s="33" t="inlineStr">
        <is>
          <t>1139582</t>
        </is>
      </c>
      <c r="F911" s="33" t="inlineStr">
        <is>
          <t>150526457</t>
        </is>
      </c>
      <c r="G911" s="51" t="n">
        <v>45764</v>
      </c>
      <c r="H911" s="33" t="inlineStr">
        <is>
          <t>Russian Championship</t>
        </is>
      </c>
      <c r="I911" s="33" t="inlineStr">
        <is>
          <t>342118</t>
        </is>
      </c>
      <c r="J911" s="33" t="inlineStr"/>
      <c r="K911" s="33" t="inlineStr">
        <is>
          <t>PRE</t>
        </is>
      </c>
      <c r="L911" s="35">
        <f>IF(K911="FIN",3,IF(OR(K911="SEM",K911="SEMI"),2,IF(OR(K911="PRE",K911="HEAT"),1,IF(V911="YES",4,2))))</f>
        <v/>
      </c>
      <c r="M911" s="33" t="inlineStr">
        <is>
          <t>LCM</t>
        </is>
      </c>
      <c r="N911" s="33" t="n">
        <v>100</v>
      </c>
      <c r="O911" s="33" t="inlineStr">
        <is>
          <t>Free</t>
        </is>
      </c>
      <c r="P911" s="33" t="inlineStr">
        <is>
          <t>100 Free</t>
        </is>
      </c>
      <c r="Q911" s="33" t="inlineStr">
        <is>
          <t>LCM_100_FREE</t>
        </is>
      </c>
      <c r="R911" s="36" t="n">
        <v>48.32</v>
      </c>
      <c r="S911" s="35">
        <f>IF(R911="","",IF(R911&gt;=60,INT(R911/60)&amp;":"&amp;TEXT(MOD(R911,60),"00.00"),TEXT(R911,"0.00")))</f>
        <v/>
      </c>
      <c r="T911" s="52">
        <f>IFERROR((G911-INDEX('01_Swimmers'!$E$5:$E$22,MATCH(B911,'01_Swimmers'!$A$5:$A$22,0)))/'00_Control'!$B$10,"")</f>
        <v/>
      </c>
      <c r="U911" s="35">
        <f>IF(T911="","",INT(T911))</f>
        <v/>
      </c>
      <c r="V911" s="33" t="inlineStr">
        <is>
          <t>NO</t>
        </is>
      </c>
      <c r="W911" s="33" t="inlineStr">
        <is>
          <t>YES</t>
        </is>
      </c>
      <c r="X911" s="33" t="inlineStr">
        <is>
          <t>NO</t>
        </is>
      </c>
      <c r="Y911" s="33" t="n">
        <v>18</v>
      </c>
      <c r="Z911" s="33" t="n">
        <v>4</v>
      </c>
      <c r="AA911" s="33" t="inlineStr">
        <is>
          <t>1</t>
        </is>
      </c>
      <c r="AB911" s="33" t="inlineStr">
        <is>
          <t>https://www.swimcloud.com/results/342118/event/29/?id=150526457#time150526457</t>
        </is>
      </c>
      <c r="AC911" s="33" t="inlineStr">
        <is>
          <t>SwimCloud API v6 2026-10-08</t>
        </is>
      </c>
      <c r="AD911" s="33" t="inlineStr">
        <is>
          <t>Egor Kornev|2025-04-17|LCM|100|Free|48.32|Russian Championship|PRE|False</t>
        </is>
      </c>
      <c r="AE911" s="53">
        <f>G911+L911/1000+ROW()/1000000000</f>
        <v/>
      </c>
      <c r="AF911" s="35">
        <f>IF(C911&lt;&gt;"Grayson Coulter","",COUNTIFS($C$5:$C$2991,"Grayson Coulter",$Q$5:$Q$2991,Q911,$AE$5:$AE$2991,"&lt;="&amp;AE911,$R$5:$R$2991,"&lt;"&amp;R911))</f>
        <v/>
      </c>
      <c r="AG911" s="35">
        <f>IF(OR(C911&lt;&gt;"Grayson Coulter",G911&lt;'00_Control'!$B$7),"",--(AF911&lt;5))</f>
        <v/>
      </c>
      <c r="AH911" s="35">
        <f>IF(OR(C911&lt;&gt;"Grayson Coulter",G911&lt;'00_Control'!$B$7),"",--(AF911&lt;10))</f>
        <v/>
      </c>
      <c r="AI911" s="35">
        <f>IF(AND(C911="Grayson Coulter",G911&gt;='00_Control'!$B$7),"YES","NO")</f>
        <v/>
      </c>
      <c r="AJ911" s="33" t="inlineStr">
        <is>
          <t>OK</t>
        </is>
      </c>
    </row>
    <row r="912">
      <c r="A912" s="33" t="inlineStr">
        <is>
          <t>SM000908</t>
        </is>
      </c>
      <c r="B912" s="33" t="inlineStr">
        <is>
          <t>SW017</t>
        </is>
      </c>
      <c r="C912" s="33" t="inlineStr">
        <is>
          <t>Egor Kornev</t>
        </is>
      </c>
      <c r="D912" s="33" t="inlineStr">
        <is>
          <t>SwimCloud</t>
        </is>
      </c>
      <c r="E912" s="33" t="inlineStr">
        <is>
          <t>1139582</t>
        </is>
      </c>
      <c r="F912" s="33" t="inlineStr">
        <is>
          <t>150526460</t>
        </is>
      </c>
      <c r="G912" s="51" t="n">
        <v>45764</v>
      </c>
      <c r="H912" s="33" t="inlineStr">
        <is>
          <t>Russian Championship</t>
        </is>
      </c>
      <c r="I912" s="33" t="inlineStr">
        <is>
          <t>342118</t>
        </is>
      </c>
      <c r="J912" s="33" t="inlineStr"/>
      <c r="K912" s="33" t="inlineStr">
        <is>
          <t>SEM</t>
        </is>
      </c>
      <c r="L912" s="35">
        <f>IF(K912="FIN",3,IF(OR(K912="SEM",K912="SEMI"),2,IF(OR(K912="PRE",K912="HEAT"),1,IF(V912="YES",4,2))))</f>
        <v/>
      </c>
      <c r="M912" s="33" t="inlineStr">
        <is>
          <t>LCM</t>
        </is>
      </c>
      <c r="N912" s="33" t="n">
        <v>100</v>
      </c>
      <c r="O912" s="33" t="inlineStr">
        <is>
          <t>Free</t>
        </is>
      </c>
      <c r="P912" s="33" t="inlineStr">
        <is>
          <t>100 Free</t>
        </is>
      </c>
      <c r="Q912" s="33" t="inlineStr">
        <is>
          <t>LCM_100_FREE</t>
        </is>
      </c>
      <c r="R912" s="36" t="n">
        <v>47.42</v>
      </c>
      <c r="S912" s="35">
        <f>IF(R912="","",IF(R912&gt;=60,INT(R912/60)&amp;":"&amp;TEXT(MOD(R912,60),"00.00"),TEXT(R912,"0.00")))</f>
        <v/>
      </c>
      <c r="T912" s="52">
        <f>IFERROR((G912-INDEX('01_Swimmers'!$E$5:$E$22,MATCH(B912,'01_Swimmers'!$A$5:$A$22,0)))/'00_Control'!$B$10,"")</f>
        <v/>
      </c>
      <c r="U912" s="35">
        <f>IF(T912="","",INT(T912))</f>
        <v/>
      </c>
      <c r="V912" s="33" t="inlineStr">
        <is>
          <t>NO</t>
        </is>
      </c>
      <c r="W912" s="33" t="inlineStr">
        <is>
          <t>YES</t>
        </is>
      </c>
      <c r="X912" s="33" t="inlineStr">
        <is>
          <t>NO</t>
        </is>
      </c>
      <c r="Y912" s="33" t="n">
        <v>2</v>
      </c>
      <c r="Z912" s="33" t="n">
        <v>4</v>
      </c>
      <c r="AA912" s="33" t="inlineStr">
        <is>
          <t>1</t>
        </is>
      </c>
      <c r="AB912" s="33" t="inlineStr">
        <is>
          <t>https://www.swimcloud.com/results/342118/event/29/?id=150526460#time150526460</t>
        </is>
      </c>
      <c r="AC912" s="33" t="inlineStr">
        <is>
          <t>SwimCloud API v6 2026-10-08</t>
        </is>
      </c>
      <c r="AD912" s="33" t="inlineStr">
        <is>
          <t>Egor Kornev|2025-04-17|LCM|100|Free|47.42|Russian Championship|SEM|False</t>
        </is>
      </c>
      <c r="AE912" s="53">
        <f>G912+L912/1000+ROW()/1000000000</f>
        <v/>
      </c>
      <c r="AF912" s="35">
        <f>IF(C912&lt;&gt;"Grayson Coulter","",COUNTIFS($C$5:$C$2991,"Grayson Coulter",$Q$5:$Q$2991,Q912,$AE$5:$AE$2991,"&lt;="&amp;AE912,$R$5:$R$2991,"&lt;"&amp;R912))</f>
        <v/>
      </c>
      <c r="AG912" s="35">
        <f>IF(OR(C912&lt;&gt;"Grayson Coulter",G912&lt;'00_Control'!$B$7),"",--(AF912&lt;5))</f>
        <v/>
      </c>
      <c r="AH912" s="35">
        <f>IF(OR(C912&lt;&gt;"Grayson Coulter",G912&lt;'00_Control'!$B$7),"",--(AF912&lt;10))</f>
        <v/>
      </c>
      <c r="AI912" s="35">
        <f>IF(AND(C912="Grayson Coulter",G912&gt;='00_Control'!$B$7),"YES","NO")</f>
        <v/>
      </c>
      <c r="AJ912" s="33" t="inlineStr">
        <is>
          <t>OK</t>
        </is>
      </c>
    </row>
    <row r="913">
      <c r="A913" s="33" t="inlineStr">
        <is>
          <t>SM000909</t>
        </is>
      </c>
      <c r="B913" s="33" t="inlineStr">
        <is>
          <t>SW017</t>
        </is>
      </c>
      <c r="C913" s="33" t="inlineStr">
        <is>
          <t>Egor Kornev</t>
        </is>
      </c>
      <c r="D913" s="33" t="inlineStr">
        <is>
          <t>SwimCloud</t>
        </is>
      </c>
      <c r="E913" s="33" t="inlineStr">
        <is>
          <t>1139582</t>
        </is>
      </c>
      <c r="F913" s="33" t="inlineStr">
        <is>
          <t>150526461</t>
        </is>
      </c>
      <c r="G913" s="51" t="n">
        <v>45765</v>
      </c>
      <c r="H913" s="33" t="inlineStr">
        <is>
          <t>Russian Championship</t>
        </is>
      </c>
      <c r="I913" s="33" t="inlineStr">
        <is>
          <t>342118</t>
        </is>
      </c>
      <c r="J913" s="33" t="inlineStr"/>
      <c r="K913" s="33" t="inlineStr">
        <is>
          <t>FIN</t>
        </is>
      </c>
      <c r="L913" s="35">
        <f>IF(K913="FIN",3,IF(OR(K913="SEM",K913="SEMI"),2,IF(OR(K913="PRE",K913="HEAT"),1,IF(V913="YES",4,2))))</f>
        <v/>
      </c>
      <c r="M913" s="33" t="inlineStr">
        <is>
          <t>LCM</t>
        </is>
      </c>
      <c r="N913" s="33" t="n">
        <v>100</v>
      </c>
      <c r="O913" s="33" t="inlineStr">
        <is>
          <t>Free</t>
        </is>
      </c>
      <c r="P913" s="33" t="inlineStr">
        <is>
          <t>100 Free</t>
        </is>
      </c>
      <c r="Q913" s="33" t="inlineStr">
        <is>
          <t>LCM_100_FREE</t>
        </is>
      </c>
      <c r="R913" s="36" t="n">
        <v>47.55</v>
      </c>
      <c r="S913" s="35">
        <f>IF(R913="","",IF(R913&gt;=60,INT(R913/60)&amp;":"&amp;TEXT(MOD(R913,60),"00.00"),TEXT(R913,"0.00")))</f>
        <v/>
      </c>
      <c r="T913" s="52">
        <f>IFERROR((G913-INDEX('01_Swimmers'!$E$5:$E$22,MATCH(B913,'01_Swimmers'!$A$5:$A$22,0)))/'00_Control'!$B$10,"")</f>
        <v/>
      </c>
      <c r="U913" s="35">
        <f>IF(T913="","",INT(T913))</f>
        <v/>
      </c>
      <c r="V913" s="33" t="inlineStr">
        <is>
          <t>NO</t>
        </is>
      </c>
      <c r="W913" s="33" t="inlineStr">
        <is>
          <t>YES</t>
        </is>
      </c>
      <c r="X913" s="33" t="inlineStr">
        <is>
          <t>NO</t>
        </is>
      </c>
      <c r="Y913" s="33" t="n">
        <v>1</v>
      </c>
      <c r="Z913" s="33" t="n">
        <v>4</v>
      </c>
      <c r="AA913" s="33" t="inlineStr">
        <is>
          <t>1</t>
        </is>
      </c>
      <c r="AB913" s="33" t="inlineStr">
        <is>
          <t>https://www.swimcloud.com/results/342118/event/29/?id=150526461#time150526461</t>
        </is>
      </c>
      <c r="AC913" s="33" t="inlineStr">
        <is>
          <t>SwimCloud API v6 2026-10-08</t>
        </is>
      </c>
      <c r="AD913" s="33" t="inlineStr">
        <is>
          <t>Egor Kornev|2025-04-18|LCM|100|Free|47.55|Russian Championship|FIN|False</t>
        </is>
      </c>
      <c r="AE913" s="53">
        <f>G913+L913/1000+ROW()/1000000000</f>
        <v/>
      </c>
      <c r="AF913" s="35">
        <f>IF(C913&lt;&gt;"Grayson Coulter","",COUNTIFS($C$5:$C$2991,"Grayson Coulter",$Q$5:$Q$2991,Q913,$AE$5:$AE$2991,"&lt;="&amp;AE913,$R$5:$R$2991,"&lt;"&amp;R913))</f>
        <v/>
      </c>
      <c r="AG913" s="35">
        <f>IF(OR(C913&lt;&gt;"Grayson Coulter",G913&lt;'00_Control'!$B$7),"",--(AF913&lt;5))</f>
        <v/>
      </c>
      <c r="AH913" s="35">
        <f>IF(OR(C913&lt;&gt;"Grayson Coulter",G913&lt;'00_Control'!$B$7),"",--(AF913&lt;10))</f>
        <v/>
      </c>
      <c r="AI913" s="35">
        <f>IF(AND(C913="Grayson Coulter",G913&gt;='00_Control'!$B$7),"YES","NO")</f>
        <v/>
      </c>
      <c r="AJ913" s="33" t="inlineStr">
        <is>
          <t>OK</t>
        </is>
      </c>
    </row>
    <row r="914">
      <c r="A914" s="33" t="inlineStr">
        <is>
          <t>SM000910</t>
        </is>
      </c>
      <c r="B914" s="33" t="inlineStr">
        <is>
          <t>SW017</t>
        </is>
      </c>
      <c r="C914" s="33" t="inlineStr">
        <is>
          <t>Egor Kornev</t>
        </is>
      </c>
      <c r="D914" s="33" t="inlineStr">
        <is>
          <t>SwimCloud</t>
        </is>
      </c>
      <c r="E914" s="33" t="inlineStr">
        <is>
          <t>1139582</t>
        </is>
      </c>
      <c r="F914" s="33" t="inlineStr">
        <is>
          <t>154392975</t>
        </is>
      </c>
      <c r="G914" s="51" t="n">
        <v>45835</v>
      </c>
      <c r="H914" s="33" t="inlineStr">
        <is>
          <t>Trofeo Internazionale Sette Colli</t>
        </is>
      </c>
      <c r="I914" s="33" t="inlineStr">
        <is>
          <t>346642</t>
        </is>
      </c>
      <c r="J914" s="33" t="inlineStr"/>
      <c r="K914" s="33" t="inlineStr">
        <is>
          <t>PRE</t>
        </is>
      </c>
      <c r="L914" s="35">
        <f>IF(K914="FIN",3,IF(OR(K914="SEM",K914="SEMI"),2,IF(OR(K914="PRE",K914="HEAT"),1,IF(V914="YES",4,2))))</f>
        <v/>
      </c>
      <c r="M914" s="33" t="inlineStr">
        <is>
          <t>LCM</t>
        </is>
      </c>
      <c r="N914" s="33" t="n">
        <v>100</v>
      </c>
      <c r="O914" s="33" t="inlineStr">
        <is>
          <t>Free</t>
        </is>
      </c>
      <c r="P914" s="33" t="inlineStr">
        <is>
          <t>100 Free</t>
        </is>
      </c>
      <c r="Q914" s="33" t="inlineStr">
        <is>
          <t>LCM_100_FREE</t>
        </is>
      </c>
      <c r="R914" s="36" t="n">
        <v>48.91</v>
      </c>
      <c r="S914" s="35">
        <f>IF(R914="","",IF(R914&gt;=60,INT(R914/60)&amp;":"&amp;TEXT(MOD(R914,60),"00.00"),TEXT(R914,"0.00")))</f>
        <v/>
      </c>
      <c r="T914" s="52">
        <f>IFERROR((G914-INDEX('01_Swimmers'!$E$5:$E$22,MATCH(B914,'01_Swimmers'!$A$5:$A$22,0)))/'00_Control'!$B$10,"")</f>
        <v/>
      </c>
      <c r="U914" s="35">
        <f>IF(T914="","",INT(T914))</f>
        <v/>
      </c>
      <c r="V914" s="33" t="inlineStr">
        <is>
          <t>NO</t>
        </is>
      </c>
      <c r="W914" s="33" t="inlineStr">
        <is>
          <t>YES</t>
        </is>
      </c>
      <c r="X914" s="33" t="inlineStr">
        <is>
          <t>NO</t>
        </is>
      </c>
      <c r="Y914" s="33" t="n">
        <v>35</v>
      </c>
      <c r="Z914" s="33" t="n">
        <v>4</v>
      </c>
      <c r="AA914" s="33" t="inlineStr">
        <is>
          <t>9</t>
        </is>
      </c>
      <c r="AB914" s="33" t="inlineStr">
        <is>
          <t>https://www.swimcloud.com/results/346642/event/30/?id=154392975#time154392975</t>
        </is>
      </c>
      <c r="AC914" s="33" t="inlineStr">
        <is>
          <t>SwimCloud API v6 2026-10-08</t>
        </is>
      </c>
      <c r="AD914" s="33" t="inlineStr">
        <is>
          <t>Egor Kornev|2025-06-27|LCM|100|Free|48.91|Trofeo Internazionale Sette Colli|PRE|False</t>
        </is>
      </c>
      <c r="AE914" s="53">
        <f>G914+L914/1000+ROW()/1000000000</f>
        <v/>
      </c>
      <c r="AF914" s="35">
        <f>IF(C914&lt;&gt;"Grayson Coulter","",COUNTIFS($C$5:$C$2991,"Grayson Coulter",$Q$5:$Q$2991,Q914,$AE$5:$AE$2991,"&lt;="&amp;AE914,$R$5:$R$2991,"&lt;"&amp;R914))</f>
        <v/>
      </c>
      <c r="AG914" s="35">
        <f>IF(OR(C914&lt;&gt;"Grayson Coulter",G914&lt;'00_Control'!$B$7),"",--(AF914&lt;5))</f>
        <v/>
      </c>
      <c r="AH914" s="35">
        <f>IF(OR(C914&lt;&gt;"Grayson Coulter",G914&lt;'00_Control'!$B$7),"",--(AF914&lt;10))</f>
        <v/>
      </c>
      <c r="AI914" s="35">
        <f>IF(AND(C914="Grayson Coulter",G914&gt;='00_Control'!$B$7),"YES","NO")</f>
        <v/>
      </c>
      <c r="AJ914" s="33" t="inlineStr">
        <is>
          <t>OK</t>
        </is>
      </c>
    </row>
    <row r="915">
      <c r="A915" s="33" t="inlineStr">
        <is>
          <t>SM000911</t>
        </is>
      </c>
      <c r="B915" s="33" t="inlineStr">
        <is>
          <t>SW017</t>
        </is>
      </c>
      <c r="C915" s="33" t="inlineStr">
        <is>
          <t>Egor Kornev</t>
        </is>
      </c>
      <c r="D915" s="33" t="inlineStr">
        <is>
          <t>SwimCloud</t>
        </is>
      </c>
      <c r="E915" s="33" t="inlineStr">
        <is>
          <t>1139582</t>
        </is>
      </c>
      <c r="F915" s="33" t="inlineStr">
        <is>
          <t>154392976</t>
        </is>
      </c>
      <c r="G915" s="51" t="n">
        <v>45835</v>
      </c>
      <c r="H915" s="33" t="inlineStr">
        <is>
          <t>Trofeo Internazionale Sette Colli</t>
        </is>
      </c>
      <c r="I915" s="33" t="inlineStr">
        <is>
          <t>346642</t>
        </is>
      </c>
      <c r="J915" s="33" t="inlineStr"/>
      <c r="K915" s="33" t="inlineStr">
        <is>
          <t>FIN</t>
        </is>
      </c>
      <c r="L915" s="35">
        <f>IF(K915="FIN",3,IF(OR(K915="SEM",K915="SEMI"),2,IF(OR(K915="PRE",K915="HEAT"),1,IF(V915="YES",4,2))))</f>
        <v/>
      </c>
      <c r="M915" s="33" t="inlineStr">
        <is>
          <t>LCM</t>
        </is>
      </c>
      <c r="N915" s="33" t="n">
        <v>100</v>
      </c>
      <c r="O915" s="33" t="inlineStr">
        <is>
          <t>Free</t>
        </is>
      </c>
      <c r="P915" s="33" t="inlineStr">
        <is>
          <t>100 Free</t>
        </is>
      </c>
      <c r="Q915" s="33" t="inlineStr">
        <is>
          <t>LCM_100_FREE</t>
        </is>
      </c>
      <c r="R915" s="36" t="n">
        <v>47.6</v>
      </c>
      <c r="S915" s="35">
        <f>IF(R915="","",IF(R915&gt;=60,INT(R915/60)&amp;":"&amp;TEXT(MOD(R915,60),"00.00"),TEXT(R915,"0.00")))</f>
        <v/>
      </c>
      <c r="T915" s="52">
        <f>IFERROR((G915-INDEX('01_Swimmers'!$E$5:$E$22,MATCH(B915,'01_Swimmers'!$A$5:$A$22,0)))/'00_Control'!$B$10,"")</f>
        <v/>
      </c>
      <c r="U915" s="35">
        <f>IF(T915="","",INT(T915))</f>
        <v/>
      </c>
      <c r="V915" s="33" t="inlineStr">
        <is>
          <t>NO</t>
        </is>
      </c>
      <c r="W915" s="33" t="inlineStr">
        <is>
          <t>YES</t>
        </is>
      </c>
      <c r="X915" s="33" t="inlineStr">
        <is>
          <t>NO</t>
        </is>
      </c>
      <c r="Y915" s="33" t="n">
        <v>15</v>
      </c>
      <c r="Z915" s="33" t="n">
        <v>8</v>
      </c>
      <c r="AA915" s="33" t="inlineStr">
        <is>
          <t>1</t>
        </is>
      </c>
      <c r="AB915" s="33" t="inlineStr">
        <is>
          <t>https://www.swimcloud.com/results/346642/event/30/?id=154392976#time154392976</t>
        </is>
      </c>
      <c r="AC915" s="33" t="inlineStr">
        <is>
          <t>SwimCloud API v6 2026-10-08</t>
        </is>
      </c>
      <c r="AD915" s="33" t="inlineStr">
        <is>
          <t>Egor Kornev|2025-06-27|LCM|100|Free|47.6|Trofeo Internazionale Sette Colli|FIN|False</t>
        </is>
      </c>
      <c r="AE915" s="53">
        <f>G915+L915/1000+ROW()/1000000000</f>
        <v/>
      </c>
      <c r="AF915" s="35">
        <f>IF(C915&lt;&gt;"Grayson Coulter","",COUNTIFS($C$5:$C$2991,"Grayson Coulter",$Q$5:$Q$2991,Q915,$AE$5:$AE$2991,"&lt;="&amp;AE915,$R$5:$R$2991,"&lt;"&amp;R915))</f>
        <v/>
      </c>
      <c r="AG915" s="35">
        <f>IF(OR(C915&lt;&gt;"Grayson Coulter",G915&lt;'00_Control'!$B$7),"",--(AF915&lt;5))</f>
        <v/>
      </c>
      <c r="AH915" s="35">
        <f>IF(OR(C915&lt;&gt;"Grayson Coulter",G915&lt;'00_Control'!$B$7),"",--(AF915&lt;10))</f>
        <v/>
      </c>
      <c r="AI915" s="35">
        <f>IF(AND(C915="Grayson Coulter",G915&gt;='00_Control'!$B$7),"YES","NO")</f>
        <v/>
      </c>
      <c r="AJ915" s="33" t="inlineStr">
        <is>
          <t>OK</t>
        </is>
      </c>
    </row>
    <row r="916">
      <c r="A916" s="33" t="inlineStr">
        <is>
          <t>SM000912</t>
        </is>
      </c>
      <c r="B916" s="33" t="inlineStr">
        <is>
          <t>SW017</t>
        </is>
      </c>
      <c r="C916" s="33" t="inlineStr">
        <is>
          <t>Egor Kornev</t>
        </is>
      </c>
      <c r="D916" s="33" t="inlineStr">
        <is>
          <t>SwimCloud</t>
        </is>
      </c>
      <c r="E916" s="33" t="inlineStr">
        <is>
          <t>1139582</t>
        </is>
      </c>
      <c r="F916" s="33" t="inlineStr">
        <is>
          <t>156827955</t>
        </is>
      </c>
      <c r="G916" s="51" t="n">
        <v>45868</v>
      </c>
      <c r="H916" s="33" t="inlineStr">
        <is>
          <t>22nd World Aquatics Championships</t>
        </is>
      </c>
      <c r="I916" s="33" t="inlineStr">
        <is>
          <t>348385</t>
        </is>
      </c>
      <c r="J916" s="33" t="inlineStr"/>
      <c r="K916" s="33" t="inlineStr">
        <is>
          <t>PRE</t>
        </is>
      </c>
      <c r="L916" s="35">
        <f>IF(K916="FIN",3,IF(OR(K916="SEM",K916="SEMI"),2,IF(OR(K916="PRE",K916="HEAT"),1,IF(V916="YES",4,2))))</f>
        <v/>
      </c>
      <c r="M916" s="33" t="inlineStr">
        <is>
          <t>LCM</t>
        </is>
      </c>
      <c r="N916" s="33" t="n">
        <v>100</v>
      </c>
      <c r="O916" s="33" t="inlineStr">
        <is>
          <t>Free</t>
        </is>
      </c>
      <c r="P916" s="33" t="inlineStr">
        <is>
          <t>100 Free</t>
        </is>
      </c>
      <c r="Q916" s="33" t="inlineStr">
        <is>
          <t>LCM_100_FREE</t>
        </is>
      </c>
      <c r="R916" s="36" t="n">
        <v>47.51</v>
      </c>
      <c r="S916" s="35">
        <f>IF(R916="","",IF(R916&gt;=60,INT(R916/60)&amp;":"&amp;TEXT(MOD(R916,60),"00.00"),TEXT(R916,"0.00")))</f>
        <v/>
      </c>
      <c r="T916" s="52">
        <f>IFERROR((G916-INDEX('01_Swimmers'!$E$5:$E$22,MATCH(B916,'01_Swimmers'!$A$5:$A$22,0)))/'00_Control'!$B$10,"")</f>
        <v/>
      </c>
      <c r="U916" s="35">
        <f>IF(T916="","",INT(T916))</f>
        <v/>
      </c>
      <c r="V916" s="33" t="inlineStr">
        <is>
          <t>NO</t>
        </is>
      </c>
      <c r="W916" s="33" t="inlineStr">
        <is>
          <t>YES</t>
        </is>
      </c>
      <c r="X916" s="33" t="inlineStr">
        <is>
          <t>NO</t>
        </is>
      </c>
      <c r="Y916" s="33" t="n">
        <v>12</v>
      </c>
      <c r="Z916" s="33" t="n">
        <v>3</v>
      </c>
      <c r="AA916" s="33" t="inlineStr">
        <is>
          <t>3</t>
        </is>
      </c>
      <c r="AB916" s="33" t="inlineStr">
        <is>
          <t>https://www.swimcloud.com/results/348385/event/19/?id=156827955#time156827955</t>
        </is>
      </c>
      <c r="AC916" s="33" t="inlineStr">
        <is>
          <t>SwimCloud API v6 2026-10-08</t>
        </is>
      </c>
      <c r="AD916" s="33" t="inlineStr">
        <is>
          <t>Egor Kornev|2025-07-30|LCM|100|Free|47.51|22nd World Aquatics Championships|PRE|False</t>
        </is>
      </c>
      <c r="AE916" s="53">
        <f>G916+L916/1000+ROW()/1000000000</f>
        <v/>
      </c>
      <c r="AF916" s="35">
        <f>IF(C916&lt;&gt;"Grayson Coulter","",COUNTIFS($C$5:$C$2991,"Grayson Coulter",$Q$5:$Q$2991,Q916,$AE$5:$AE$2991,"&lt;="&amp;AE916,$R$5:$R$2991,"&lt;"&amp;R916))</f>
        <v/>
      </c>
      <c r="AG916" s="35">
        <f>IF(OR(C916&lt;&gt;"Grayson Coulter",G916&lt;'00_Control'!$B$7),"",--(AF916&lt;5))</f>
        <v/>
      </c>
      <c r="AH916" s="35">
        <f>IF(OR(C916&lt;&gt;"Grayson Coulter",G916&lt;'00_Control'!$B$7),"",--(AF916&lt;10))</f>
        <v/>
      </c>
      <c r="AI916" s="35">
        <f>IF(AND(C916="Grayson Coulter",G916&gt;='00_Control'!$B$7),"YES","NO")</f>
        <v/>
      </c>
      <c r="AJ916" s="33" t="inlineStr">
        <is>
          <t>OK</t>
        </is>
      </c>
    </row>
    <row r="917">
      <c r="A917" s="33" t="inlineStr">
        <is>
          <t>SM000913</t>
        </is>
      </c>
      <c r="B917" s="33" t="inlineStr">
        <is>
          <t>SW017</t>
        </is>
      </c>
      <c r="C917" s="33" t="inlineStr">
        <is>
          <t>Egor Kornev</t>
        </is>
      </c>
      <c r="D917" s="33" t="inlineStr">
        <is>
          <t>SwimCloud</t>
        </is>
      </c>
      <c r="E917" s="33" t="inlineStr">
        <is>
          <t>1139582</t>
        </is>
      </c>
      <c r="F917" s="33" t="inlineStr">
        <is>
          <t>156827956</t>
        </is>
      </c>
      <c r="G917" s="51" t="n">
        <v>45868</v>
      </c>
      <c r="H917" s="33" t="inlineStr">
        <is>
          <t>22nd World Aquatics Championships</t>
        </is>
      </c>
      <c r="I917" s="33" t="inlineStr">
        <is>
          <t>348385</t>
        </is>
      </c>
      <c r="J917" s="33" t="inlineStr"/>
      <c r="K917" s="33" t="inlineStr">
        <is>
          <t>SEM</t>
        </is>
      </c>
      <c r="L917" s="35">
        <f>IF(K917="FIN",3,IF(OR(K917="SEM",K917="SEMI"),2,IF(OR(K917="PRE",K917="HEAT"),1,IF(V917="YES",4,2))))</f>
        <v/>
      </c>
      <c r="M917" s="33" t="inlineStr">
        <is>
          <t>LCM</t>
        </is>
      </c>
      <c r="N917" s="33" t="n">
        <v>100</v>
      </c>
      <c r="O917" s="33" t="inlineStr">
        <is>
          <t>Free</t>
        </is>
      </c>
      <c r="P917" s="33" t="inlineStr">
        <is>
          <t>100 Free</t>
        </is>
      </c>
      <c r="Q917" s="33" t="inlineStr">
        <is>
          <t>LCM_100_FREE</t>
        </is>
      </c>
      <c r="R917" s="36" t="n">
        <v>47.29</v>
      </c>
      <c r="S917" s="35">
        <f>IF(R917="","",IF(R917&gt;=60,INT(R917/60)&amp;":"&amp;TEXT(MOD(R917,60),"00.00"),TEXT(R917,"0.00")))</f>
        <v/>
      </c>
      <c r="T917" s="52">
        <f>IFERROR((G917-INDEX('01_Swimmers'!$E$5:$E$22,MATCH(B917,'01_Swimmers'!$A$5:$A$22,0)))/'00_Control'!$B$10,"")</f>
        <v/>
      </c>
      <c r="U917" s="35">
        <f>IF(T917="","",INT(T917))</f>
        <v/>
      </c>
      <c r="V917" s="33" t="inlineStr">
        <is>
          <t>NO</t>
        </is>
      </c>
      <c r="W917" s="33" t="inlineStr">
        <is>
          <t>YES</t>
        </is>
      </c>
      <c r="X917" s="33" t="inlineStr">
        <is>
          <t>NO</t>
        </is>
      </c>
      <c r="Y917" s="33" t="n">
        <v>2</v>
      </c>
      <c r="Z917" s="33" t="n">
        <v>5</v>
      </c>
      <c r="AA917" s="33" t="inlineStr">
        <is>
          <t>3</t>
        </is>
      </c>
      <c r="AB917" s="33" t="inlineStr">
        <is>
          <t>https://www.swimcloud.com/results/348385/event/19/?id=156827956#time156827956</t>
        </is>
      </c>
      <c r="AC917" s="33" t="inlineStr">
        <is>
          <t>SwimCloud API v6 2026-10-08</t>
        </is>
      </c>
      <c r="AD917" s="33" t="inlineStr">
        <is>
          <t>Egor Kornev|2025-07-30|LCM|100|Free|47.29|22nd World Aquatics Championships|SEM|False</t>
        </is>
      </c>
      <c r="AE917" s="53">
        <f>G917+L917/1000+ROW()/1000000000</f>
        <v/>
      </c>
      <c r="AF917" s="35">
        <f>IF(C917&lt;&gt;"Grayson Coulter","",COUNTIFS($C$5:$C$2991,"Grayson Coulter",$Q$5:$Q$2991,Q917,$AE$5:$AE$2991,"&lt;="&amp;AE917,$R$5:$R$2991,"&lt;"&amp;R917))</f>
        <v/>
      </c>
      <c r="AG917" s="35">
        <f>IF(OR(C917&lt;&gt;"Grayson Coulter",G917&lt;'00_Control'!$B$7),"",--(AF917&lt;5))</f>
        <v/>
      </c>
      <c r="AH917" s="35">
        <f>IF(OR(C917&lt;&gt;"Grayson Coulter",G917&lt;'00_Control'!$B$7),"",--(AF917&lt;10))</f>
        <v/>
      </c>
      <c r="AI917" s="35">
        <f>IF(AND(C917="Grayson Coulter",G917&gt;='00_Control'!$B$7),"YES","NO")</f>
        <v/>
      </c>
      <c r="AJ917" s="33" t="inlineStr">
        <is>
          <t>OK</t>
        </is>
      </c>
    </row>
    <row r="918">
      <c r="A918" s="33" t="inlineStr">
        <is>
          <t>SM000914</t>
        </is>
      </c>
      <c r="B918" s="33" t="inlineStr">
        <is>
          <t>SW017</t>
        </is>
      </c>
      <c r="C918" s="33" t="inlineStr">
        <is>
          <t>Egor Kornev</t>
        </is>
      </c>
      <c r="D918" s="33" t="inlineStr">
        <is>
          <t>SwimCloud</t>
        </is>
      </c>
      <c r="E918" s="33" t="inlineStr">
        <is>
          <t>1139582</t>
        </is>
      </c>
      <c r="F918" s="33" t="inlineStr">
        <is>
          <t>156827954</t>
        </is>
      </c>
      <c r="G918" s="51" t="n">
        <v>45869</v>
      </c>
      <c r="H918" s="33" t="inlineStr">
        <is>
          <t>22nd World Aquatics Championships</t>
        </is>
      </c>
      <c r="I918" s="33" t="inlineStr">
        <is>
          <t>348385</t>
        </is>
      </c>
      <c r="J918" s="33" t="inlineStr"/>
      <c r="K918" s="33" t="inlineStr">
        <is>
          <t>FIN</t>
        </is>
      </c>
      <c r="L918" s="35">
        <f>IF(K918="FIN",3,IF(OR(K918="SEM",K918="SEMI"),2,IF(OR(K918="PRE",K918="HEAT"),1,IF(V918="YES",4,2))))</f>
        <v/>
      </c>
      <c r="M918" s="33" t="inlineStr">
        <is>
          <t>LCM</t>
        </is>
      </c>
      <c r="N918" s="33" t="n">
        <v>100</v>
      </c>
      <c r="O918" s="33" t="inlineStr">
        <is>
          <t>Free</t>
        </is>
      </c>
      <c r="P918" s="33" t="inlineStr">
        <is>
          <t>100 Free</t>
        </is>
      </c>
      <c r="Q918" s="33" t="inlineStr">
        <is>
          <t>LCM_100_FREE</t>
        </is>
      </c>
      <c r="R918" s="36" t="n">
        <v>47.51</v>
      </c>
      <c r="S918" s="35">
        <f>IF(R918="","",IF(R918&gt;=60,INT(R918/60)&amp;":"&amp;TEXT(MOD(R918,60),"00.00"),TEXT(R918,"0.00")))</f>
        <v/>
      </c>
      <c r="T918" s="52">
        <f>IFERROR((G918-INDEX('01_Swimmers'!$E$5:$E$22,MATCH(B918,'01_Swimmers'!$A$5:$A$22,0)))/'00_Control'!$B$10,"")</f>
        <v/>
      </c>
      <c r="U918" s="35">
        <f>IF(T918="","",INT(T918))</f>
        <v/>
      </c>
      <c r="V918" s="33" t="inlineStr">
        <is>
          <t>NO</t>
        </is>
      </c>
      <c r="W918" s="33" t="inlineStr">
        <is>
          <t>YES</t>
        </is>
      </c>
      <c r="X918" s="33" t="inlineStr">
        <is>
          <t>NO</t>
        </is>
      </c>
      <c r="Y918" s="33" t="n">
        <v>1</v>
      </c>
      <c r="Z918" s="33" t="n">
        <v>3</v>
      </c>
      <c r="AA918" s="33" t="inlineStr">
        <is>
          <t>5</t>
        </is>
      </c>
      <c r="AB918" s="33" t="inlineStr">
        <is>
          <t>https://www.swimcloud.com/results/348385/event/19/?id=156827954#time156827954</t>
        </is>
      </c>
      <c r="AC918" s="33" t="inlineStr">
        <is>
          <t>SwimCloud API v6 2026-10-08</t>
        </is>
      </c>
      <c r="AD918" s="33" t="inlineStr">
        <is>
          <t>Egor Kornev|2025-07-31|LCM|100|Free|47.51|22nd World Aquatics Championships|FIN|False</t>
        </is>
      </c>
      <c r="AE918" s="53">
        <f>G918+L918/1000+ROW()/1000000000</f>
        <v/>
      </c>
      <c r="AF918" s="35">
        <f>IF(C918&lt;&gt;"Grayson Coulter","",COUNTIFS($C$5:$C$2991,"Grayson Coulter",$Q$5:$Q$2991,Q918,$AE$5:$AE$2991,"&lt;="&amp;AE918,$R$5:$R$2991,"&lt;"&amp;R918))</f>
        <v/>
      </c>
      <c r="AG918" s="35">
        <f>IF(OR(C918&lt;&gt;"Grayson Coulter",G918&lt;'00_Control'!$B$7),"",--(AF918&lt;5))</f>
        <v/>
      </c>
      <c r="AH918" s="35">
        <f>IF(OR(C918&lt;&gt;"Grayson Coulter",G918&lt;'00_Control'!$B$7),"",--(AF918&lt;10))</f>
        <v/>
      </c>
      <c r="AI918" s="35">
        <f>IF(AND(C918="Grayson Coulter",G918&gt;='00_Control'!$B$7),"YES","NO")</f>
        <v/>
      </c>
      <c r="AJ918" s="33" t="inlineStr">
        <is>
          <t>OK</t>
        </is>
      </c>
    </row>
    <row r="919">
      <c r="A919" s="33" t="inlineStr">
        <is>
          <t>SM000915</t>
        </is>
      </c>
      <c r="B919" s="33" t="inlineStr">
        <is>
          <t>SW017</t>
        </is>
      </c>
      <c r="C919" s="33" t="inlineStr">
        <is>
          <t>Egor Kornev</t>
        </is>
      </c>
      <c r="D919" s="33" t="inlineStr">
        <is>
          <t>SwimCloud</t>
        </is>
      </c>
      <c r="E919" s="33" t="inlineStr">
        <is>
          <t>1139582</t>
        </is>
      </c>
      <c r="F919" s="33" t="inlineStr">
        <is>
          <t>156829783</t>
        </is>
      </c>
      <c r="G919" s="51" t="n">
        <v>45871</v>
      </c>
      <c r="H919" s="33" t="inlineStr">
        <is>
          <t>22nd World Aquatics Championships</t>
        </is>
      </c>
      <c r="I919" s="33" t="inlineStr">
        <is>
          <t>348385</t>
        </is>
      </c>
      <c r="J919" s="33" t="inlineStr"/>
      <c r="K919" s="33" t="inlineStr">
        <is>
          <t>FIN</t>
        </is>
      </c>
      <c r="L919" s="35">
        <f>IF(K919="FIN",3,IF(OR(K919="SEM",K919="SEMI"),2,IF(OR(K919="PRE",K919="HEAT"),1,IF(V919="YES",4,2))))</f>
        <v/>
      </c>
      <c r="M919" s="33" t="inlineStr">
        <is>
          <t>LCM</t>
        </is>
      </c>
      <c r="N919" s="33" t="n">
        <v>100</v>
      </c>
      <c r="O919" s="33" t="inlineStr">
        <is>
          <t>Free</t>
        </is>
      </c>
      <c r="P919" s="33" t="inlineStr">
        <is>
          <t>100 Free</t>
        </is>
      </c>
      <c r="Q919" s="33" t="inlineStr">
        <is>
          <t>LCM_100_FREE</t>
        </is>
      </c>
      <c r="R919" s="36" t="n">
        <v>47.69</v>
      </c>
      <c r="S919" s="35">
        <f>IF(R919="","",IF(R919&gt;=60,INT(R919/60)&amp;":"&amp;TEXT(MOD(R919,60),"00.00"),TEXT(R919,"0.00")))</f>
        <v/>
      </c>
      <c r="T919" s="52">
        <f>IFERROR((G919-INDEX('01_Swimmers'!$E$5:$E$22,MATCH(B919,'01_Swimmers'!$A$5:$A$22,0)))/'00_Control'!$B$10,"")</f>
        <v/>
      </c>
      <c r="U919" s="35">
        <f>IF(T919="","",INT(T919))</f>
        <v/>
      </c>
      <c r="V919" s="33" t="inlineStr">
        <is>
          <t>YES</t>
        </is>
      </c>
      <c r="W919" s="33" t="inlineStr">
        <is>
          <t>YES</t>
        </is>
      </c>
      <c r="X919" s="33" t="inlineStr">
        <is>
          <t>NO</t>
        </is>
      </c>
      <c r="Y919" s="33" t="n">
        <v>1</v>
      </c>
      <c r="Z919" s="33" t="n">
        <v>6</v>
      </c>
      <c r="AA919" s="33" t="inlineStr"/>
      <c r="AB919" s="33" t="inlineStr">
        <is>
          <t>https://www.swimcloud.com/results/348385/event/37/?id=156828040#time156828040</t>
        </is>
      </c>
      <c r="AC919" s="33" t="inlineStr">
        <is>
          <t>SwimCloud API v6 2026-10-08</t>
        </is>
      </c>
      <c r="AD919" s="33" t="inlineStr">
        <is>
          <t>Egor Kornev|2025-08-02|LCM|100|Free|47.69|22nd World Aquatics Championships|FIN|True</t>
        </is>
      </c>
      <c r="AE919" s="53">
        <f>G919+L919/1000+ROW()/1000000000</f>
        <v/>
      </c>
      <c r="AF919" s="35">
        <f>IF(C919&lt;&gt;"Grayson Coulter","",COUNTIFS($C$5:$C$2991,"Grayson Coulter",$Q$5:$Q$2991,Q919,$AE$5:$AE$2991,"&lt;="&amp;AE919,$R$5:$R$2991,"&lt;"&amp;R919))</f>
        <v/>
      </c>
      <c r="AG919" s="35">
        <f>IF(OR(C919&lt;&gt;"Grayson Coulter",G919&lt;'00_Control'!$B$7),"",--(AF919&lt;5))</f>
        <v/>
      </c>
      <c r="AH919" s="35">
        <f>IF(OR(C919&lt;&gt;"Grayson Coulter",G919&lt;'00_Control'!$B$7),"",--(AF919&lt;10))</f>
        <v/>
      </c>
      <c r="AI919" s="35">
        <f>IF(AND(C919="Grayson Coulter",G919&gt;='00_Control'!$B$7),"YES","NO")</f>
        <v/>
      </c>
      <c r="AJ919" s="33" t="inlineStr">
        <is>
          <t>OK</t>
        </is>
      </c>
    </row>
    <row r="920">
      <c r="A920" s="33" t="inlineStr">
        <is>
          <t>SM000916</t>
        </is>
      </c>
      <c r="B920" s="33" t="inlineStr">
        <is>
          <t>SW017</t>
        </is>
      </c>
      <c r="C920" s="33" t="inlineStr">
        <is>
          <t>Egor Kornev</t>
        </is>
      </c>
      <c r="D920" s="33" t="inlineStr">
        <is>
          <t>SwimCloud</t>
        </is>
      </c>
      <c r="E920" s="33" t="inlineStr">
        <is>
          <t>1139582</t>
        </is>
      </c>
      <c r="F920" s="33" t="inlineStr">
        <is>
          <t>162084099</t>
        </is>
      </c>
      <c r="G920" s="51" t="n">
        <v>45968</v>
      </c>
      <c r="H920" s="33" t="inlineStr">
        <is>
          <t>Russian Championship (25m)</t>
        </is>
      </c>
      <c r="I920" s="33" t="inlineStr">
        <is>
          <t>361857</t>
        </is>
      </c>
      <c r="J920" s="33" t="inlineStr"/>
      <c r="K920" s="33" t="inlineStr">
        <is>
          <t>FIN</t>
        </is>
      </c>
      <c r="L920" s="35">
        <f>IF(K920="FIN",3,IF(OR(K920="SEM",K920="SEMI"),2,IF(OR(K920="PRE",K920="HEAT"),1,IF(V920="YES",4,2))))</f>
        <v/>
      </c>
      <c r="M920" s="33" t="inlineStr">
        <is>
          <t>SCM</t>
        </is>
      </c>
      <c r="N920" s="33" t="n">
        <v>100</v>
      </c>
      <c r="O920" s="33" t="inlineStr">
        <is>
          <t>Free</t>
        </is>
      </c>
      <c r="P920" s="33" t="inlineStr">
        <is>
          <t>100 Free</t>
        </is>
      </c>
      <c r="Q920" s="33" t="inlineStr">
        <is>
          <t>SCM_100_FREE</t>
        </is>
      </c>
      <c r="R920" s="36" t="n">
        <v>45.7</v>
      </c>
      <c r="S920" s="35">
        <f>IF(R920="","",IF(R920&gt;=60,INT(R920/60)&amp;":"&amp;TEXT(MOD(R920,60),"00.00"),TEXT(R920,"0.00")))</f>
        <v/>
      </c>
      <c r="T920" s="52">
        <f>IFERROR((G920-INDEX('01_Swimmers'!$E$5:$E$22,MATCH(B920,'01_Swimmers'!$A$5:$A$22,0)))/'00_Control'!$B$10,"")</f>
        <v/>
      </c>
      <c r="U920" s="35">
        <f>IF(T920="","",INT(T920))</f>
        <v/>
      </c>
      <c r="V920" s="33" t="inlineStr">
        <is>
          <t>YES</t>
        </is>
      </c>
      <c r="W920" s="33" t="inlineStr">
        <is>
          <t>YES</t>
        </is>
      </c>
      <c r="X920" s="33" t="inlineStr">
        <is>
          <t>NO</t>
        </is>
      </c>
      <c r="Y920" s="33" t="n">
        <v>1</v>
      </c>
      <c r="Z920" s="33" t="n">
        <v>3</v>
      </c>
      <c r="AA920" s="33" t="inlineStr"/>
      <c r="AB920" s="33" t="inlineStr">
        <is>
          <t>https://www.swimcloud.com/results/361857/event/9/?id=162081727#time162081727</t>
        </is>
      </c>
      <c r="AC920" s="33" t="inlineStr">
        <is>
          <t>SwimCloud API v6 2026-10-08</t>
        </is>
      </c>
      <c r="AD920" s="33" t="inlineStr">
        <is>
          <t>Egor Kornev|2025-11-07|SCM|100|Free|45.7|Russian Championship (25m)|FIN|True</t>
        </is>
      </c>
      <c r="AE920" s="53">
        <f>G920+L920/1000+ROW()/1000000000</f>
        <v/>
      </c>
      <c r="AF920" s="35">
        <f>IF(C920&lt;&gt;"Grayson Coulter","",COUNTIFS($C$5:$C$2991,"Grayson Coulter",$Q$5:$Q$2991,Q920,$AE$5:$AE$2991,"&lt;="&amp;AE920,$R$5:$R$2991,"&lt;"&amp;R920))</f>
        <v/>
      </c>
      <c r="AG920" s="35">
        <f>IF(OR(C920&lt;&gt;"Grayson Coulter",G920&lt;'00_Control'!$B$7),"",--(AF920&lt;5))</f>
        <v/>
      </c>
      <c r="AH920" s="35">
        <f>IF(OR(C920&lt;&gt;"Grayson Coulter",G920&lt;'00_Control'!$B$7),"",--(AF920&lt;10))</f>
        <v/>
      </c>
      <c r="AI920" s="35">
        <f>IF(AND(C920="Grayson Coulter",G920&gt;='00_Control'!$B$7),"YES","NO")</f>
        <v/>
      </c>
      <c r="AJ920" s="33" t="inlineStr">
        <is>
          <t>OK</t>
        </is>
      </c>
    </row>
    <row r="921">
      <c r="A921" s="33" t="inlineStr">
        <is>
          <t>SM000917</t>
        </is>
      </c>
      <c r="B921" s="33" t="inlineStr">
        <is>
          <t>SW017</t>
        </is>
      </c>
      <c r="C921" s="33" t="inlineStr">
        <is>
          <t>Egor Kornev</t>
        </is>
      </c>
      <c r="D921" s="33" t="inlineStr">
        <is>
          <t>SwimCloud</t>
        </is>
      </c>
      <c r="E921" s="33" t="inlineStr">
        <is>
          <t>1139582</t>
        </is>
      </c>
      <c r="F921" s="33" t="inlineStr">
        <is>
          <t>162081526</t>
        </is>
      </c>
      <c r="G921" s="51" t="n">
        <v>45969</v>
      </c>
      <c r="H921" s="33" t="inlineStr">
        <is>
          <t>Russian Championship (25m)</t>
        </is>
      </c>
      <c r="I921" s="33" t="inlineStr">
        <is>
          <t>361857</t>
        </is>
      </c>
      <c r="J921" s="33" t="inlineStr"/>
      <c r="K921" s="33" t="inlineStr">
        <is>
          <t>PRE</t>
        </is>
      </c>
      <c r="L921" s="35">
        <f>IF(K921="FIN",3,IF(OR(K921="SEM",K921="SEMI"),2,IF(OR(K921="PRE",K921="HEAT"),1,IF(V921="YES",4,2))))</f>
        <v/>
      </c>
      <c r="M921" s="33" t="inlineStr">
        <is>
          <t>SCM</t>
        </is>
      </c>
      <c r="N921" s="33" t="n">
        <v>100</v>
      </c>
      <c r="O921" s="33" t="inlineStr">
        <is>
          <t>Free</t>
        </is>
      </c>
      <c r="P921" s="33" t="inlineStr">
        <is>
          <t>100 Free</t>
        </is>
      </c>
      <c r="Q921" s="33" t="inlineStr">
        <is>
          <t>SCM_100_FREE</t>
        </is>
      </c>
      <c r="R921" s="36" t="n">
        <v>46.96</v>
      </c>
      <c r="S921" s="35">
        <f>IF(R921="","",IF(R921&gt;=60,INT(R921/60)&amp;":"&amp;TEXT(MOD(R921,60),"00.00"),TEXT(R921,"0.00")))</f>
        <v/>
      </c>
      <c r="T921" s="52">
        <f>IFERROR((G921-INDEX('01_Swimmers'!$E$5:$E$22,MATCH(B921,'01_Swimmers'!$A$5:$A$22,0)))/'00_Control'!$B$10,"")</f>
        <v/>
      </c>
      <c r="U921" s="35">
        <f>IF(T921="","",INT(T921))</f>
        <v/>
      </c>
      <c r="V921" s="33" t="inlineStr">
        <is>
          <t>NO</t>
        </is>
      </c>
      <c r="W921" s="33" t="inlineStr">
        <is>
          <t>YES</t>
        </is>
      </c>
      <c r="X921" s="33" t="inlineStr">
        <is>
          <t>NO</t>
        </is>
      </c>
      <c r="Y921" s="33" t="n">
        <v>32</v>
      </c>
      <c r="Z921" s="33" t="n">
        <v>4</v>
      </c>
      <c r="AA921" s="33" t="inlineStr">
        <is>
          <t>2</t>
        </is>
      </c>
      <c r="AB921" s="33" t="inlineStr">
        <is>
          <t>https://www.swimcloud.com/results/361857/event/12/?id=162081526#time162081526</t>
        </is>
      </c>
      <c r="AC921" s="33" t="inlineStr">
        <is>
          <t>SwimCloud API v6 2026-10-08</t>
        </is>
      </c>
      <c r="AD921" s="33" t="inlineStr">
        <is>
          <t>Egor Kornev|2025-11-08|SCM|100|Free|46.96|Russian Championship (25m)|PRE|False</t>
        </is>
      </c>
      <c r="AE921" s="53">
        <f>G921+L921/1000+ROW()/1000000000</f>
        <v/>
      </c>
      <c r="AF921" s="35">
        <f>IF(C921&lt;&gt;"Grayson Coulter","",COUNTIFS($C$5:$C$2991,"Grayson Coulter",$Q$5:$Q$2991,Q921,$AE$5:$AE$2991,"&lt;="&amp;AE921,$R$5:$R$2991,"&lt;"&amp;R921))</f>
        <v/>
      </c>
      <c r="AG921" s="35">
        <f>IF(OR(C921&lt;&gt;"Grayson Coulter",G921&lt;'00_Control'!$B$7),"",--(AF921&lt;5))</f>
        <v/>
      </c>
      <c r="AH921" s="35">
        <f>IF(OR(C921&lt;&gt;"Grayson Coulter",G921&lt;'00_Control'!$B$7),"",--(AF921&lt;10))</f>
        <v/>
      </c>
      <c r="AI921" s="35">
        <f>IF(AND(C921="Grayson Coulter",G921&gt;='00_Control'!$B$7),"YES","NO")</f>
        <v/>
      </c>
      <c r="AJ921" s="33" t="inlineStr">
        <is>
          <t>OK</t>
        </is>
      </c>
    </row>
    <row r="922">
      <c r="A922" s="33" t="inlineStr">
        <is>
          <t>SM000918</t>
        </is>
      </c>
      <c r="B922" s="33" t="inlineStr">
        <is>
          <t>SW017</t>
        </is>
      </c>
      <c r="C922" s="33" t="inlineStr">
        <is>
          <t>Egor Kornev</t>
        </is>
      </c>
      <c r="D922" s="33" t="inlineStr">
        <is>
          <t>SwimCloud</t>
        </is>
      </c>
      <c r="E922" s="33" t="inlineStr">
        <is>
          <t>1139582</t>
        </is>
      </c>
      <c r="F922" s="33" t="inlineStr">
        <is>
          <t>162081531</t>
        </is>
      </c>
      <c r="G922" s="51" t="n">
        <v>45969</v>
      </c>
      <c r="H922" s="33" t="inlineStr">
        <is>
          <t>Russian Championship (25m)</t>
        </is>
      </c>
      <c r="I922" s="33" t="inlineStr">
        <is>
          <t>361857</t>
        </is>
      </c>
      <c r="J922" s="33" t="inlineStr"/>
      <c r="K922" s="33" t="inlineStr">
        <is>
          <t>SEM</t>
        </is>
      </c>
      <c r="L922" s="35">
        <f>IF(K922="FIN",3,IF(OR(K922="SEM",K922="SEMI"),2,IF(OR(K922="PRE",K922="HEAT"),1,IF(V922="YES",4,2))))</f>
        <v/>
      </c>
      <c r="M922" s="33" t="inlineStr">
        <is>
          <t>SCM</t>
        </is>
      </c>
      <c r="N922" s="33" t="n">
        <v>100</v>
      </c>
      <c r="O922" s="33" t="inlineStr">
        <is>
          <t>Free</t>
        </is>
      </c>
      <c r="P922" s="33" t="inlineStr">
        <is>
          <t>100 Free</t>
        </is>
      </c>
      <c r="Q922" s="33" t="inlineStr">
        <is>
          <t>SCM_100_FREE</t>
        </is>
      </c>
      <c r="R922" s="36" t="n">
        <v>45.21</v>
      </c>
      <c r="S922" s="35">
        <f>IF(R922="","",IF(R922&gt;=60,INT(R922/60)&amp;":"&amp;TEXT(MOD(R922,60),"00.00"),TEXT(R922,"0.00")))</f>
        <v/>
      </c>
      <c r="T922" s="52">
        <f>IFERROR((G922-INDEX('01_Swimmers'!$E$5:$E$22,MATCH(B922,'01_Swimmers'!$A$5:$A$22,0)))/'00_Control'!$B$10,"")</f>
        <v/>
      </c>
      <c r="U922" s="35">
        <f>IF(T922="","",INT(T922))</f>
        <v/>
      </c>
      <c r="V922" s="33" t="inlineStr">
        <is>
          <t>NO</t>
        </is>
      </c>
      <c r="W922" s="33" t="inlineStr">
        <is>
          <t>YES</t>
        </is>
      </c>
      <c r="X922" s="33" t="inlineStr">
        <is>
          <t>NO</t>
        </is>
      </c>
      <c r="Y922" s="33" t="n">
        <v>2</v>
      </c>
      <c r="Z922" s="33" t="n">
        <v>4</v>
      </c>
      <c r="AA922" s="33" t="inlineStr">
        <is>
          <t>1</t>
        </is>
      </c>
      <c r="AB922" s="33" t="inlineStr">
        <is>
          <t>https://www.swimcloud.com/results/361857/event/12/?id=162081531#time162081531</t>
        </is>
      </c>
      <c r="AC922" s="33" t="inlineStr">
        <is>
          <t>SwimCloud API v6 2026-10-08</t>
        </is>
      </c>
      <c r="AD922" s="33" t="inlineStr">
        <is>
          <t>Egor Kornev|2025-11-08|SCM|100|Free|45.21|Russian Championship (25m)|SEM|False</t>
        </is>
      </c>
      <c r="AE922" s="53">
        <f>G922+L922/1000+ROW()/1000000000</f>
        <v/>
      </c>
      <c r="AF922" s="35">
        <f>IF(C922&lt;&gt;"Grayson Coulter","",COUNTIFS($C$5:$C$2991,"Grayson Coulter",$Q$5:$Q$2991,Q922,$AE$5:$AE$2991,"&lt;="&amp;AE922,$R$5:$R$2991,"&lt;"&amp;R922))</f>
        <v/>
      </c>
      <c r="AG922" s="35">
        <f>IF(OR(C922&lt;&gt;"Grayson Coulter",G922&lt;'00_Control'!$B$7),"",--(AF922&lt;5))</f>
        <v/>
      </c>
      <c r="AH922" s="35">
        <f>IF(OR(C922&lt;&gt;"Grayson Coulter",G922&lt;'00_Control'!$B$7),"",--(AF922&lt;10))</f>
        <v/>
      </c>
      <c r="AI922" s="35">
        <f>IF(AND(C922="Grayson Coulter",G922&gt;='00_Control'!$B$7),"YES","NO")</f>
        <v/>
      </c>
      <c r="AJ922" s="33" t="inlineStr">
        <is>
          <t>OK</t>
        </is>
      </c>
    </row>
    <row r="923">
      <c r="A923" s="33" t="inlineStr">
        <is>
          <t>SM000919</t>
        </is>
      </c>
      <c r="B923" s="33" t="inlineStr">
        <is>
          <t>SW017</t>
        </is>
      </c>
      <c r="C923" s="33" t="inlineStr">
        <is>
          <t>Egor Kornev</t>
        </is>
      </c>
      <c r="D923" s="33" t="inlineStr">
        <is>
          <t>SwimCloud</t>
        </is>
      </c>
      <c r="E923" s="33" t="inlineStr">
        <is>
          <t>1139582</t>
        </is>
      </c>
      <c r="F923" s="33" t="inlineStr">
        <is>
          <t>162081532</t>
        </is>
      </c>
      <c r="G923" s="51" t="n">
        <v>45970</v>
      </c>
      <c r="H923" s="33" t="inlineStr">
        <is>
          <t>Russian Championship (25m)</t>
        </is>
      </c>
      <c r="I923" s="33" t="inlineStr">
        <is>
          <t>361857</t>
        </is>
      </c>
      <c r="J923" s="33" t="inlineStr"/>
      <c r="K923" s="33" t="inlineStr">
        <is>
          <t>FIN</t>
        </is>
      </c>
      <c r="L923" s="35">
        <f>IF(K923="FIN",3,IF(OR(K923="SEM",K923="SEMI"),2,IF(OR(K923="PRE",K923="HEAT"),1,IF(V923="YES",4,2))))</f>
        <v/>
      </c>
      <c r="M923" s="33" t="inlineStr">
        <is>
          <t>SCM</t>
        </is>
      </c>
      <c r="N923" s="33" t="n">
        <v>100</v>
      </c>
      <c r="O923" s="33" t="inlineStr">
        <is>
          <t>Free</t>
        </is>
      </c>
      <c r="P923" s="33" t="inlineStr">
        <is>
          <t>100 Free</t>
        </is>
      </c>
      <c r="Q923" s="33" t="inlineStr">
        <is>
          <t>SCM_100_FREE</t>
        </is>
      </c>
      <c r="R923" s="36" t="n">
        <v>44.99</v>
      </c>
      <c r="S923" s="35">
        <f>IF(R923="","",IF(R923&gt;=60,INT(R923/60)&amp;":"&amp;TEXT(MOD(R923,60),"00.00"),TEXT(R923,"0.00")))</f>
        <v/>
      </c>
      <c r="T923" s="52">
        <f>IFERROR((G923-INDEX('01_Swimmers'!$E$5:$E$22,MATCH(B923,'01_Swimmers'!$A$5:$A$22,0)))/'00_Control'!$B$10,"")</f>
        <v/>
      </c>
      <c r="U923" s="35">
        <f>IF(T923="","",INT(T923))</f>
        <v/>
      </c>
      <c r="V923" s="33" t="inlineStr">
        <is>
          <t>NO</t>
        </is>
      </c>
      <c r="W923" s="33" t="inlineStr">
        <is>
          <t>YES</t>
        </is>
      </c>
      <c r="X923" s="33" t="inlineStr">
        <is>
          <t>NO</t>
        </is>
      </c>
      <c r="Y923" s="33" t="n">
        <v>1</v>
      </c>
      <c r="Z923" s="33" t="n">
        <v>4</v>
      </c>
      <c r="AA923" s="33" t="inlineStr">
        <is>
          <t>1</t>
        </is>
      </c>
      <c r="AB923" s="33" t="inlineStr">
        <is>
          <t>https://www.swimcloud.com/results/361857/event/12/?id=162081532#time162081532</t>
        </is>
      </c>
      <c r="AC923" s="33" t="inlineStr">
        <is>
          <t>SwimCloud API v6 2026-10-08</t>
        </is>
      </c>
      <c r="AD923" s="33" t="inlineStr">
        <is>
          <t>Egor Kornev|2025-11-09|SCM|100|Free|44.99|Russian Championship (25m)|FIN|False</t>
        </is>
      </c>
      <c r="AE923" s="53">
        <f>G923+L923/1000+ROW()/1000000000</f>
        <v/>
      </c>
      <c r="AF923" s="35">
        <f>IF(C923&lt;&gt;"Grayson Coulter","",COUNTIFS($C$5:$C$2991,"Grayson Coulter",$Q$5:$Q$2991,Q923,$AE$5:$AE$2991,"&lt;="&amp;AE923,$R$5:$R$2991,"&lt;"&amp;R923))</f>
        <v/>
      </c>
      <c r="AG923" s="35">
        <f>IF(OR(C923&lt;&gt;"Grayson Coulter",G923&lt;'00_Control'!$B$7),"",--(AF923&lt;5))</f>
        <v/>
      </c>
      <c r="AH923" s="35">
        <f>IF(OR(C923&lt;&gt;"Grayson Coulter",G923&lt;'00_Control'!$B$7),"",--(AF923&lt;10))</f>
        <v/>
      </c>
      <c r="AI923" s="35">
        <f>IF(AND(C923="Grayson Coulter",G923&gt;='00_Control'!$B$7),"YES","NO")</f>
        <v/>
      </c>
      <c r="AJ923" s="33" t="inlineStr">
        <is>
          <t>OK</t>
        </is>
      </c>
    </row>
    <row r="924">
      <c r="A924" s="33" t="inlineStr">
        <is>
          <t>SM000920</t>
        </is>
      </c>
      <c r="B924" s="33" t="inlineStr">
        <is>
          <t>SW017</t>
        </is>
      </c>
      <c r="C924" s="33" t="inlineStr">
        <is>
          <t>Egor Kornev</t>
        </is>
      </c>
      <c r="D924" s="33" t="inlineStr">
        <is>
          <t>SwimCloud</t>
        </is>
      </c>
      <c r="E924" s="33" t="inlineStr">
        <is>
          <t>1139582</t>
        </is>
      </c>
      <c r="F924" s="33" t="inlineStr">
        <is>
          <t>171227318</t>
        </is>
      </c>
      <c r="G924" s="51" t="n">
        <v>46061</v>
      </c>
      <c r="H924" s="33" t="inlineStr">
        <is>
          <t>Dubai Open Championships</t>
        </is>
      </c>
      <c r="I924" s="33" t="inlineStr">
        <is>
          <t>366303</t>
        </is>
      </c>
      <c r="J924" s="33" t="inlineStr"/>
      <c r="K924" s="33" t="inlineStr">
        <is>
          <t>PRE</t>
        </is>
      </c>
      <c r="L924" s="35">
        <f>IF(K924="FIN",3,IF(OR(K924="SEM",K924="SEMI"),2,IF(OR(K924="PRE",K924="HEAT"),1,IF(V924="YES",4,2))))</f>
        <v/>
      </c>
      <c r="M924" s="33" t="inlineStr">
        <is>
          <t>LCM</t>
        </is>
      </c>
      <c r="N924" s="33" t="n">
        <v>100</v>
      </c>
      <c r="O924" s="33" t="inlineStr">
        <is>
          <t>Free</t>
        </is>
      </c>
      <c r="P924" s="33" t="inlineStr">
        <is>
          <t>100 Free</t>
        </is>
      </c>
      <c r="Q924" s="33" t="inlineStr">
        <is>
          <t>LCM_100_FREE</t>
        </is>
      </c>
      <c r="R924" s="36" t="n">
        <v>49.73</v>
      </c>
      <c r="S924" s="35">
        <f>IF(R924="","",IF(R924&gt;=60,INT(R924/60)&amp;":"&amp;TEXT(MOD(R924,60),"00.00"),TEXT(R924,"0.00")))</f>
        <v/>
      </c>
      <c r="T924" s="52">
        <f>IFERROR((G924-INDEX('01_Swimmers'!$E$5:$E$22,MATCH(B924,'01_Swimmers'!$A$5:$A$22,0)))/'00_Control'!$B$10,"")</f>
        <v/>
      </c>
      <c r="U924" s="35">
        <f>IF(T924="","",INT(T924))</f>
        <v/>
      </c>
      <c r="V924" s="33" t="inlineStr">
        <is>
          <t>NO</t>
        </is>
      </c>
      <c r="W924" s="33" t="inlineStr">
        <is>
          <t>YES</t>
        </is>
      </c>
      <c r="X924" s="33" t="inlineStr">
        <is>
          <t>NO</t>
        </is>
      </c>
      <c r="Y924" s="33" t="n">
        <v>23</v>
      </c>
      <c r="Z924" s="33" t="n">
        <v>4</v>
      </c>
      <c r="AA924" s="33" t="inlineStr">
        <is>
          <t>2</t>
        </is>
      </c>
      <c r="AB924" s="33" t="inlineStr">
        <is>
          <t>https://www.swimcloud.com/results/366303/event/312/?id=171227318#time171227318</t>
        </is>
      </c>
      <c r="AC924" s="33" t="inlineStr">
        <is>
          <t>SwimCloud API v6 2026-10-08</t>
        </is>
      </c>
      <c r="AD924" s="33" t="inlineStr">
        <is>
          <t>Egor Kornev|2026-02-08|LCM|100|Free|49.73|Dubai Open Championships|PRE|False</t>
        </is>
      </c>
      <c r="AE924" s="53">
        <f>G924+L924/1000+ROW()/1000000000</f>
        <v/>
      </c>
      <c r="AF924" s="35">
        <f>IF(C924&lt;&gt;"Grayson Coulter","",COUNTIFS($C$5:$C$2991,"Grayson Coulter",$Q$5:$Q$2991,Q924,$AE$5:$AE$2991,"&lt;="&amp;AE924,$R$5:$R$2991,"&lt;"&amp;R924))</f>
        <v/>
      </c>
      <c r="AG924" s="35">
        <f>IF(OR(C924&lt;&gt;"Grayson Coulter",G924&lt;'00_Control'!$B$7),"",--(AF924&lt;5))</f>
        <v/>
      </c>
      <c r="AH924" s="35">
        <f>IF(OR(C924&lt;&gt;"Grayson Coulter",G924&lt;'00_Control'!$B$7),"",--(AF924&lt;10))</f>
        <v/>
      </c>
      <c r="AI924" s="35">
        <f>IF(AND(C924="Grayson Coulter",G924&gt;='00_Control'!$B$7),"YES","NO")</f>
        <v/>
      </c>
      <c r="AJ924" s="33" t="inlineStr">
        <is>
          <t>OK</t>
        </is>
      </c>
    </row>
    <row r="925">
      <c r="A925" s="33" t="inlineStr">
        <is>
          <t>SM000921</t>
        </is>
      </c>
      <c r="B925" s="33" t="inlineStr">
        <is>
          <t>SW017</t>
        </is>
      </c>
      <c r="C925" s="33" t="inlineStr">
        <is>
          <t>Egor Kornev</t>
        </is>
      </c>
      <c r="D925" s="33" t="inlineStr">
        <is>
          <t>SwimCloud</t>
        </is>
      </c>
      <c r="E925" s="33" t="inlineStr">
        <is>
          <t>1139582</t>
        </is>
      </c>
      <c r="F925" s="33" t="inlineStr">
        <is>
          <t>171227319</t>
        </is>
      </c>
      <c r="G925" s="51" t="n">
        <v>46061</v>
      </c>
      <c r="H925" s="33" t="inlineStr">
        <is>
          <t>Dubai Open Championships</t>
        </is>
      </c>
      <c r="I925" s="33" t="inlineStr">
        <is>
          <t>366303</t>
        </is>
      </c>
      <c r="J925" s="33" t="inlineStr"/>
      <c r="K925" s="33" t="inlineStr">
        <is>
          <t>FIN</t>
        </is>
      </c>
      <c r="L925" s="35">
        <f>IF(K925="FIN",3,IF(OR(K925="SEM",K925="SEMI"),2,IF(OR(K925="PRE",K925="HEAT"),1,IF(V925="YES",4,2))))</f>
        <v/>
      </c>
      <c r="M925" s="33" t="inlineStr">
        <is>
          <t>LCM</t>
        </is>
      </c>
      <c r="N925" s="33" t="n">
        <v>100</v>
      </c>
      <c r="O925" s="33" t="inlineStr">
        <is>
          <t>Free</t>
        </is>
      </c>
      <c r="P925" s="33" t="inlineStr">
        <is>
          <t>100 Free</t>
        </is>
      </c>
      <c r="Q925" s="33" t="inlineStr">
        <is>
          <t>LCM_100_FREE</t>
        </is>
      </c>
      <c r="R925" s="36" t="n">
        <v>48.38</v>
      </c>
      <c r="S925" s="35">
        <f>IF(R925="","",IF(R925&gt;=60,INT(R925/60)&amp;":"&amp;TEXT(MOD(R925,60),"00.00"),TEXT(R925,"0.00")))</f>
        <v/>
      </c>
      <c r="T925" s="52">
        <f>IFERROR((G925-INDEX('01_Swimmers'!$E$5:$E$22,MATCH(B925,'01_Swimmers'!$A$5:$A$22,0)))/'00_Control'!$B$10,"")</f>
        <v/>
      </c>
      <c r="U925" s="35">
        <f>IF(T925="","",INT(T925))</f>
        <v/>
      </c>
      <c r="V925" s="33" t="inlineStr">
        <is>
          <t>NO</t>
        </is>
      </c>
      <c r="W925" s="33" t="inlineStr">
        <is>
          <t>YES</t>
        </is>
      </c>
      <c r="X925" s="33" t="inlineStr">
        <is>
          <t>NO</t>
        </is>
      </c>
      <c r="Y925" s="33" t="n">
        <v>3</v>
      </c>
      <c r="Z925" s="33" t="n">
        <v>5</v>
      </c>
      <c r="AA925" s="33" t="inlineStr">
        <is>
          <t>1</t>
        </is>
      </c>
      <c r="AB925" s="33" t="inlineStr">
        <is>
          <t>https://www.swimcloud.com/results/366303/event/312/?id=171227319#time171227319</t>
        </is>
      </c>
      <c r="AC925" s="33" t="inlineStr">
        <is>
          <t>SwimCloud API v6 2026-10-08</t>
        </is>
      </c>
      <c r="AD925" s="33" t="inlineStr">
        <is>
          <t>Egor Kornev|2026-02-08|LCM|100|Free|48.38|Dubai Open Championships|FIN|False</t>
        </is>
      </c>
      <c r="AE925" s="53">
        <f>G925+L925/1000+ROW()/1000000000</f>
        <v/>
      </c>
      <c r="AF925" s="35">
        <f>IF(C925&lt;&gt;"Grayson Coulter","",COUNTIFS($C$5:$C$2991,"Grayson Coulter",$Q$5:$Q$2991,Q925,$AE$5:$AE$2991,"&lt;="&amp;AE925,$R$5:$R$2991,"&lt;"&amp;R925))</f>
        <v/>
      </c>
      <c r="AG925" s="35">
        <f>IF(OR(C925&lt;&gt;"Grayson Coulter",G925&lt;'00_Control'!$B$7),"",--(AF925&lt;5))</f>
        <v/>
      </c>
      <c r="AH925" s="35">
        <f>IF(OR(C925&lt;&gt;"Grayson Coulter",G925&lt;'00_Control'!$B$7),"",--(AF925&lt;10))</f>
        <v/>
      </c>
      <c r="AI925" s="35">
        <f>IF(AND(C925="Grayson Coulter",G925&gt;='00_Control'!$B$7),"YES","NO")</f>
        <v/>
      </c>
      <c r="AJ925" s="33" t="inlineStr">
        <is>
          <t>OK</t>
        </is>
      </c>
    </row>
    <row r="926">
      <c r="A926" s="33" t="inlineStr">
        <is>
          <t>SM000922</t>
        </is>
      </c>
      <c r="B926" s="33" t="inlineStr">
        <is>
          <t>SW017</t>
        </is>
      </c>
      <c r="C926" s="33" t="inlineStr">
        <is>
          <t>Egor Kornev</t>
        </is>
      </c>
      <c r="D926" s="33" t="inlineStr">
        <is>
          <t>SwimCloud</t>
        </is>
      </c>
      <c r="E926" s="33" t="inlineStr">
        <is>
          <t>1139582</t>
        </is>
      </c>
      <c r="F926" s="33" t="inlineStr">
        <is>
          <t>178792023</t>
        </is>
      </c>
      <c r="G926" s="51" t="n">
        <v>46179</v>
      </c>
      <c r="H926" s="33" t="inlineStr">
        <is>
          <t>Russian Championships</t>
        </is>
      </c>
      <c r="I926" s="33" t="inlineStr">
        <is>
          <t>388110</t>
        </is>
      </c>
      <c r="J926" s="33" t="inlineStr"/>
      <c r="K926" s="33" t="inlineStr">
        <is>
          <t>FIN</t>
        </is>
      </c>
      <c r="L926" s="35">
        <f>IF(K926="FIN",3,IF(OR(K926="SEM",K926="SEMI"),2,IF(OR(K926="PRE",K926="HEAT"),1,IF(V926="YES",4,2))))</f>
        <v/>
      </c>
      <c r="M926" s="33" t="inlineStr">
        <is>
          <t>LCM</t>
        </is>
      </c>
      <c r="N926" s="33" t="n">
        <v>100</v>
      </c>
      <c r="O926" s="33" t="inlineStr">
        <is>
          <t>Free</t>
        </is>
      </c>
      <c r="P926" s="33" t="inlineStr">
        <is>
          <t>100 Free</t>
        </is>
      </c>
      <c r="Q926" s="33" t="inlineStr">
        <is>
          <t>LCM_100_FREE</t>
        </is>
      </c>
      <c r="R926" s="36" t="n">
        <v>47.4</v>
      </c>
      <c r="S926" s="35">
        <f>IF(R926="","",IF(R926&gt;=60,INT(R926/60)&amp;":"&amp;TEXT(MOD(R926,60),"00.00"),TEXT(R926,"0.00")))</f>
        <v/>
      </c>
      <c r="T926" s="52">
        <f>IFERROR((G926-INDEX('01_Swimmers'!$E$5:$E$22,MATCH(B926,'01_Swimmers'!$A$5:$A$22,0)))/'00_Control'!$B$10,"")</f>
        <v/>
      </c>
      <c r="U926" s="35">
        <f>IF(T926="","",INT(T926))</f>
        <v/>
      </c>
      <c r="V926" s="33" t="inlineStr">
        <is>
          <t>YES</t>
        </is>
      </c>
      <c r="W926" s="33" t="inlineStr">
        <is>
          <t>YES</t>
        </is>
      </c>
      <c r="X926" s="33" t="inlineStr">
        <is>
          <t>NO</t>
        </is>
      </c>
      <c r="Y926" s="33" t="n">
        <v>1</v>
      </c>
      <c r="Z926" s="33" t="n">
        <v>4</v>
      </c>
      <c r="AA926" s="33" t="inlineStr"/>
      <c r="AB926" s="33" t="inlineStr">
        <is>
          <t>https://www.swimcloud.com/results/388110/event/10/?id=178789137#time178789137</t>
        </is>
      </c>
      <c r="AC926" s="33" t="inlineStr">
        <is>
          <t>SwimCloud API v6 2026-10-08</t>
        </is>
      </c>
      <c r="AD926" s="33" t="inlineStr">
        <is>
          <t>Egor Kornev|2026-06-06|LCM|100|Free|47.4|Russian Championships|FIN|True</t>
        </is>
      </c>
      <c r="AE926" s="53">
        <f>G926+L926/1000+ROW()/1000000000</f>
        <v/>
      </c>
      <c r="AF926" s="35">
        <f>IF(C926&lt;&gt;"Grayson Coulter","",COUNTIFS($C$5:$C$2991,"Grayson Coulter",$Q$5:$Q$2991,Q926,$AE$5:$AE$2991,"&lt;="&amp;AE926,$R$5:$R$2991,"&lt;"&amp;R926))</f>
        <v/>
      </c>
      <c r="AG926" s="35">
        <f>IF(OR(C926&lt;&gt;"Grayson Coulter",G926&lt;'00_Control'!$B$7),"",--(AF926&lt;5))</f>
        <v/>
      </c>
      <c r="AH926" s="35">
        <f>IF(OR(C926&lt;&gt;"Grayson Coulter",G926&lt;'00_Control'!$B$7),"",--(AF926&lt;10))</f>
        <v/>
      </c>
      <c r="AI926" s="35">
        <f>IF(AND(C926="Grayson Coulter",G926&gt;='00_Control'!$B$7),"YES","NO")</f>
        <v/>
      </c>
      <c r="AJ926" s="33" t="inlineStr">
        <is>
          <t>OK</t>
        </is>
      </c>
    </row>
    <row r="927">
      <c r="A927" s="33" t="inlineStr">
        <is>
          <t>SM000923</t>
        </is>
      </c>
      <c r="B927" s="33" t="inlineStr">
        <is>
          <t>SW017</t>
        </is>
      </c>
      <c r="C927" s="33" t="inlineStr">
        <is>
          <t>Egor Kornev</t>
        </is>
      </c>
      <c r="D927" s="33" t="inlineStr">
        <is>
          <t>SwimCloud</t>
        </is>
      </c>
      <c r="E927" s="33" t="inlineStr">
        <is>
          <t>1139582</t>
        </is>
      </c>
      <c r="F927" s="33" t="inlineStr">
        <is>
          <t>178788551</t>
        </is>
      </c>
      <c r="G927" s="51" t="n">
        <v>46183</v>
      </c>
      <c r="H927" s="33" t="inlineStr">
        <is>
          <t>Russian Championships</t>
        </is>
      </c>
      <c r="I927" s="33" t="inlineStr">
        <is>
          <t>388110</t>
        </is>
      </c>
      <c r="J927" s="33" t="inlineStr"/>
      <c r="K927" s="33" t="inlineStr">
        <is>
          <t>PRE</t>
        </is>
      </c>
      <c r="L927" s="35">
        <f>IF(K927="FIN",3,IF(OR(K927="SEM",K927="SEMI"),2,IF(OR(K927="PRE",K927="HEAT"),1,IF(V927="YES",4,2))))</f>
        <v/>
      </c>
      <c r="M927" s="33" t="inlineStr">
        <is>
          <t>LCM</t>
        </is>
      </c>
      <c r="N927" s="33" t="n">
        <v>100</v>
      </c>
      <c r="O927" s="33" t="inlineStr">
        <is>
          <t>Free</t>
        </is>
      </c>
      <c r="P927" s="33" t="inlineStr">
        <is>
          <t>100 Free</t>
        </is>
      </c>
      <c r="Q927" s="33" t="inlineStr">
        <is>
          <t>LCM_100_FREE</t>
        </is>
      </c>
      <c r="R927" s="36" t="n">
        <v>49.11</v>
      </c>
      <c r="S927" s="35">
        <f>IF(R927="","",IF(R927&gt;=60,INT(R927/60)&amp;":"&amp;TEXT(MOD(R927,60),"00.00"),TEXT(R927,"0.00")))</f>
        <v/>
      </c>
      <c r="T927" s="52">
        <f>IFERROR((G927-INDEX('01_Swimmers'!$E$5:$E$22,MATCH(B927,'01_Swimmers'!$A$5:$A$22,0)))/'00_Control'!$B$10,"")</f>
        <v/>
      </c>
      <c r="U927" s="35">
        <f>IF(T927="","",INT(T927))</f>
        <v/>
      </c>
      <c r="V927" s="33" t="inlineStr">
        <is>
          <t>NO</t>
        </is>
      </c>
      <c r="W927" s="33" t="inlineStr">
        <is>
          <t>YES</t>
        </is>
      </c>
      <c r="X927" s="33" t="inlineStr">
        <is>
          <t>NO</t>
        </is>
      </c>
      <c r="Y927" s="33" t="n">
        <v>14</v>
      </c>
      <c r="Z927" s="33" t="n">
        <v>4</v>
      </c>
      <c r="AA927" s="33" t="inlineStr">
        <is>
          <t>10</t>
        </is>
      </c>
      <c r="AB927" s="33" t="inlineStr">
        <is>
          <t>https://www.swimcloud.com/results/388110/event/30/?id=178788551#time178788551</t>
        </is>
      </c>
      <c r="AC927" s="33" t="inlineStr">
        <is>
          <t>SwimCloud API v6 2026-10-08</t>
        </is>
      </c>
      <c r="AD927" s="33" t="inlineStr">
        <is>
          <t>Egor Kornev|2026-06-10|LCM|100|Free|49.11|Russian Championships|PRE|False</t>
        </is>
      </c>
      <c r="AE927" s="53">
        <f>G927+L927/1000+ROW()/1000000000</f>
        <v/>
      </c>
      <c r="AF927" s="35">
        <f>IF(C927&lt;&gt;"Grayson Coulter","",COUNTIFS($C$5:$C$2991,"Grayson Coulter",$Q$5:$Q$2991,Q927,$AE$5:$AE$2991,"&lt;="&amp;AE927,$R$5:$R$2991,"&lt;"&amp;R927))</f>
        <v/>
      </c>
      <c r="AG927" s="35">
        <f>IF(OR(C927&lt;&gt;"Grayson Coulter",G927&lt;'00_Control'!$B$7),"",--(AF927&lt;5))</f>
        <v/>
      </c>
      <c r="AH927" s="35">
        <f>IF(OR(C927&lt;&gt;"Grayson Coulter",G927&lt;'00_Control'!$B$7),"",--(AF927&lt;10))</f>
        <v/>
      </c>
      <c r="AI927" s="35">
        <f>IF(AND(C927="Grayson Coulter",G927&gt;='00_Control'!$B$7),"YES","NO")</f>
        <v/>
      </c>
      <c r="AJ927" s="33" t="inlineStr">
        <is>
          <t>OK</t>
        </is>
      </c>
    </row>
    <row r="928">
      <c r="A928" s="33" t="inlineStr">
        <is>
          <t>SM000924</t>
        </is>
      </c>
      <c r="B928" s="33" t="inlineStr">
        <is>
          <t>SW017</t>
        </is>
      </c>
      <c r="C928" s="33" t="inlineStr">
        <is>
          <t>Egor Kornev</t>
        </is>
      </c>
      <c r="D928" s="33" t="inlineStr">
        <is>
          <t>SwimCloud</t>
        </is>
      </c>
      <c r="E928" s="33" t="inlineStr">
        <is>
          <t>1139582</t>
        </is>
      </c>
      <c r="F928" s="33" t="inlineStr">
        <is>
          <t>178788555</t>
        </is>
      </c>
      <c r="G928" s="51" t="n">
        <v>46183</v>
      </c>
      <c r="H928" s="33" t="inlineStr">
        <is>
          <t>Russian Championships</t>
        </is>
      </c>
      <c r="I928" s="33" t="inlineStr">
        <is>
          <t>388110</t>
        </is>
      </c>
      <c r="J928" s="33" t="inlineStr"/>
      <c r="K928" s="33" t="inlineStr">
        <is>
          <t>SEM</t>
        </is>
      </c>
      <c r="L928" s="35">
        <f>IF(K928="FIN",3,IF(OR(K928="SEM",K928="SEMI"),2,IF(OR(K928="PRE",K928="HEAT"),1,IF(V928="YES",4,2))))</f>
        <v/>
      </c>
      <c r="M928" s="33" t="inlineStr">
        <is>
          <t>LCM</t>
        </is>
      </c>
      <c r="N928" s="33" t="n">
        <v>100</v>
      </c>
      <c r="O928" s="33" t="inlineStr">
        <is>
          <t>Free</t>
        </is>
      </c>
      <c r="P928" s="33" t="inlineStr">
        <is>
          <t>100 Free</t>
        </is>
      </c>
      <c r="Q928" s="33" t="inlineStr">
        <is>
          <t>LCM_100_FREE</t>
        </is>
      </c>
      <c r="R928" s="36" t="n">
        <v>46.99</v>
      </c>
      <c r="S928" s="35">
        <f>IF(R928="","",IF(R928&gt;=60,INT(R928/60)&amp;":"&amp;TEXT(MOD(R928,60),"00.00"),TEXT(R928,"0.00")))</f>
        <v/>
      </c>
      <c r="T928" s="52">
        <f>IFERROR((G928-INDEX('01_Swimmers'!$E$5:$E$22,MATCH(B928,'01_Swimmers'!$A$5:$A$22,0)))/'00_Control'!$B$10,"")</f>
        <v/>
      </c>
      <c r="U928" s="35">
        <f>IF(T928="","",INT(T928))</f>
        <v/>
      </c>
      <c r="V928" s="33" t="inlineStr">
        <is>
          <t>NO</t>
        </is>
      </c>
      <c r="W928" s="33" t="inlineStr">
        <is>
          <t>YES</t>
        </is>
      </c>
      <c r="X928" s="33" t="inlineStr">
        <is>
          <t>NO</t>
        </is>
      </c>
      <c r="Y928" s="33" t="n">
        <v>2</v>
      </c>
      <c r="Z928" s="33" t="n">
        <v>7</v>
      </c>
      <c r="AA928" s="33" t="inlineStr">
        <is>
          <t>1</t>
        </is>
      </c>
      <c r="AB928" s="33" t="inlineStr">
        <is>
          <t>https://www.swimcloud.com/results/388110/event/30/?id=178788555#time178788555</t>
        </is>
      </c>
      <c r="AC928" s="33" t="inlineStr">
        <is>
          <t>SwimCloud API v6 2026-10-08</t>
        </is>
      </c>
      <c r="AD928" s="33" t="inlineStr">
        <is>
          <t>Egor Kornev|2026-06-10|LCM|100|Free|46.99|Russian Championships|SEM|False</t>
        </is>
      </c>
      <c r="AE928" s="53">
        <f>G928+L928/1000+ROW()/1000000000</f>
        <v/>
      </c>
      <c r="AF928" s="35">
        <f>IF(C928&lt;&gt;"Grayson Coulter","",COUNTIFS($C$5:$C$2991,"Grayson Coulter",$Q$5:$Q$2991,Q928,$AE$5:$AE$2991,"&lt;="&amp;AE928,$R$5:$R$2991,"&lt;"&amp;R928))</f>
        <v/>
      </c>
      <c r="AG928" s="35">
        <f>IF(OR(C928&lt;&gt;"Grayson Coulter",G928&lt;'00_Control'!$B$7),"",--(AF928&lt;5))</f>
        <v/>
      </c>
      <c r="AH928" s="35">
        <f>IF(OR(C928&lt;&gt;"Grayson Coulter",G928&lt;'00_Control'!$B$7),"",--(AF928&lt;10))</f>
        <v/>
      </c>
      <c r="AI928" s="35">
        <f>IF(AND(C928="Grayson Coulter",G928&gt;='00_Control'!$B$7),"YES","NO")</f>
        <v/>
      </c>
      <c r="AJ928" s="33" t="inlineStr">
        <is>
          <t>OK</t>
        </is>
      </c>
    </row>
    <row r="929">
      <c r="A929" s="33" t="inlineStr">
        <is>
          <t>SM000925</t>
        </is>
      </c>
      <c r="B929" s="33" t="inlineStr">
        <is>
          <t>SW017</t>
        </is>
      </c>
      <c r="C929" s="33" t="inlineStr">
        <is>
          <t>Egor Kornev</t>
        </is>
      </c>
      <c r="D929" s="33" t="inlineStr">
        <is>
          <t>SwimCloud</t>
        </is>
      </c>
      <c r="E929" s="33" t="inlineStr">
        <is>
          <t>1139582</t>
        </is>
      </c>
      <c r="F929" s="33" t="inlineStr">
        <is>
          <t>178788557</t>
        </is>
      </c>
      <c r="G929" s="51" t="n">
        <v>46184</v>
      </c>
      <c r="H929" s="33" t="inlineStr">
        <is>
          <t>Russian Championships</t>
        </is>
      </c>
      <c r="I929" s="33" t="inlineStr">
        <is>
          <t>388110</t>
        </is>
      </c>
      <c r="J929" s="33" t="inlineStr"/>
      <c r="K929" s="33" t="inlineStr">
        <is>
          <t>FIN</t>
        </is>
      </c>
      <c r="L929" s="35">
        <f>IF(K929="FIN",3,IF(OR(K929="SEM",K929="SEMI"),2,IF(OR(K929="PRE",K929="HEAT"),1,IF(V929="YES",4,2))))</f>
        <v/>
      </c>
      <c r="M929" s="33" t="inlineStr">
        <is>
          <t>LCM</t>
        </is>
      </c>
      <c r="N929" s="33" t="n">
        <v>100</v>
      </c>
      <c r="O929" s="33" t="inlineStr">
        <is>
          <t>Free</t>
        </is>
      </c>
      <c r="P929" s="33" t="inlineStr">
        <is>
          <t>100 Free</t>
        </is>
      </c>
      <c r="Q929" s="33" t="inlineStr">
        <is>
          <t>LCM_100_FREE</t>
        </is>
      </c>
      <c r="R929" s="36" t="n">
        <v>46.96</v>
      </c>
      <c r="S929" s="35">
        <f>IF(R929="","",IF(R929&gt;=60,INT(R929/60)&amp;":"&amp;TEXT(MOD(R929,60),"00.00"),TEXT(R929,"0.00")))</f>
        <v/>
      </c>
      <c r="T929" s="52">
        <f>IFERROR((G929-INDEX('01_Swimmers'!$E$5:$E$22,MATCH(B929,'01_Swimmers'!$A$5:$A$22,0)))/'00_Control'!$B$10,"")</f>
        <v/>
      </c>
      <c r="U929" s="35">
        <f>IF(T929="","",INT(T929))</f>
        <v/>
      </c>
      <c r="V929" s="33" t="inlineStr">
        <is>
          <t>NO</t>
        </is>
      </c>
      <c r="W929" s="33" t="inlineStr">
        <is>
          <t>YES</t>
        </is>
      </c>
      <c r="X929" s="33" t="inlineStr">
        <is>
          <t>NO</t>
        </is>
      </c>
      <c r="Y929" s="33" t="n">
        <v>1</v>
      </c>
      <c r="Z929" s="33" t="n">
        <v>4</v>
      </c>
      <c r="AA929" s="33" t="inlineStr">
        <is>
          <t>1</t>
        </is>
      </c>
      <c r="AB929" s="33" t="inlineStr">
        <is>
          <t>https://www.swimcloud.com/results/388110/event/30/?id=178788557#time178788557</t>
        </is>
      </c>
      <c r="AC929" s="33" t="inlineStr">
        <is>
          <t>SwimCloud API v6 2026-10-08</t>
        </is>
      </c>
      <c r="AD929" s="33" t="inlineStr">
        <is>
          <t>Egor Kornev|2026-06-11|LCM|100|Free|46.96|Russian Championships|FIN|False</t>
        </is>
      </c>
      <c r="AE929" s="53">
        <f>G929+L929/1000+ROW()/1000000000</f>
        <v/>
      </c>
      <c r="AF929" s="35">
        <f>IF(C929&lt;&gt;"Grayson Coulter","",COUNTIFS($C$5:$C$2991,"Grayson Coulter",$Q$5:$Q$2991,Q929,$AE$5:$AE$2991,"&lt;="&amp;AE929,$R$5:$R$2991,"&lt;"&amp;R929))</f>
        <v/>
      </c>
      <c r="AG929" s="35">
        <f>IF(OR(C929&lt;&gt;"Grayson Coulter",G929&lt;'00_Control'!$B$7),"",--(AF929&lt;5))</f>
        <v/>
      </c>
      <c r="AH929" s="35">
        <f>IF(OR(C929&lt;&gt;"Grayson Coulter",G929&lt;'00_Control'!$B$7),"",--(AF929&lt;10))</f>
        <v/>
      </c>
      <c r="AI929" s="35">
        <f>IF(AND(C929="Grayson Coulter",G929&gt;='00_Control'!$B$7),"YES","NO")</f>
        <v/>
      </c>
      <c r="AJ929" s="33" t="inlineStr">
        <is>
          <t>OK</t>
        </is>
      </c>
    </row>
    <row r="930">
      <c r="A930" s="33" t="inlineStr">
        <is>
          <t>SM000926</t>
        </is>
      </c>
      <c r="B930" s="33" t="inlineStr">
        <is>
          <t>SW017</t>
        </is>
      </c>
      <c r="C930" s="33" t="inlineStr">
        <is>
          <t>Egor Kornev</t>
        </is>
      </c>
      <c r="D930" s="33" t="inlineStr">
        <is>
          <t>SwimCloud</t>
        </is>
      </c>
      <c r="E930" s="33" t="inlineStr">
        <is>
          <t>1139582</t>
        </is>
      </c>
      <c r="F930" s="33" t="inlineStr">
        <is>
          <t>184119253</t>
        </is>
      </c>
      <c r="G930" s="51" t="n">
        <v>46245</v>
      </c>
      <c r="H930" s="33" t="inlineStr">
        <is>
          <t>European Championships</t>
        </is>
      </c>
      <c r="I930" s="33" t="inlineStr">
        <is>
          <t>390252</t>
        </is>
      </c>
      <c r="J930" s="33" t="inlineStr"/>
      <c r="K930" s="33" t="inlineStr">
        <is>
          <t>PRE</t>
        </is>
      </c>
      <c r="L930" s="35">
        <f>IF(K930="FIN",3,IF(OR(K930="SEM",K930="SEMI"),2,IF(OR(K930="PRE",K930="HEAT"),1,IF(V930="YES",4,2))))</f>
        <v/>
      </c>
      <c r="M930" s="33" t="inlineStr">
        <is>
          <t>LCM</t>
        </is>
      </c>
      <c r="N930" s="33" t="n">
        <v>100</v>
      </c>
      <c r="O930" s="33" t="inlineStr">
        <is>
          <t>Free</t>
        </is>
      </c>
      <c r="P930" s="33" t="inlineStr">
        <is>
          <t>100 Free</t>
        </is>
      </c>
      <c r="Q930" s="33" t="inlineStr">
        <is>
          <t>LCM_100_FREE</t>
        </is>
      </c>
      <c r="R930" s="36" t="n">
        <v>47.97</v>
      </c>
      <c r="S930" s="35">
        <f>IF(R930="","",IF(R930&gt;=60,INT(R930/60)&amp;":"&amp;TEXT(MOD(R930,60),"00.00"),TEXT(R930,"0.00")))</f>
        <v/>
      </c>
      <c r="T930" s="52">
        <f>IFERROR((G930-INDEX('01_Swimmers'!$E$5:$E$22,MATCH(B930,'01_Swimmers'!$A$5:$A$22,0)))/'00_Control'!$B$10,"")</f>
        <v/>
      </c>
      <c r="U930" s="35">
        <f>IF(T930="","",INT(T930))</f>
        <v/>
      </c>
      <c r="V930" s="33" t="inlineStr">
        <is>
          <t>NO</t>
        </is>
      </c>
      <c r="W930" s="33" t="inlineStr">
        <is>
          <t>YES</t>
        </is>
      </c>
      <c r="X930" s="33" t="inlineStr">
        <is>
          <t>NO</t>
        </is>
      </c>
      <c r="Y930" s="33" t="n">
        <v>9</v>
      </c>
      <c r="Z930" s="33" t="n">
        <v>4</v>
      </c>
      <c r="AA930" s="33" t="inlineStr">
        <is>
          <t>5</t>
        </is>
      </c>
      <c r="AB930" s="33" t="inlineStr">
        <is>
          <t>https://www.swimcloud.com/results/390252/event/10/?id=184119253#time184119253</t>
        </is>
      </c>
      <c r="AC930" s="33" t="inlineStr">
        <is>
          <t>SwimCloud API v6 2026-10-08</t>
        </is>
      </c>
      <c r="AD930" s="33" t="inlineStr">
        <is>
          <t>Egor Kornev|2026-08-11|LCM|100|Free|47.97|European Championships|PRE|False</t>
        </is>
      </c>
      <c r="AE930" s="53">
        <f>G930+L930/1000+ROW()/1000000000</f>
        <v/>
      </c>
      <c r="AF930" s="35">
        <f>IF(C930&lt;&gt;"Grayson Coulter","",COUNTIFS($C$5:$C$2991,"Grayson Coulter",$Q$5:$Q$2991,Q930,$AE$5:$AE$2991,"&lt;="&amp;AE930,$R$5:$R$2991,"&lt;"&amp;R930))</f>
        <v/>
      </c>
      <c r="AG930" s="35">
        <f>IF(OR(C930&lt;&gt;"Grayson Coulter",G930&lt;'00_Control'!$B$7),"",--(AF930&lt;5))</f>
        <v/>
      </c>
      <c r="AH930" s="35">
        <f>IF(OR(C930&lt;&gt;"Grayson Coulter",G930&lt;'00_Control'!$B$7),"",--(AF930&lt;10))</f>
        <v/>
      </c>
      <c r="AI930" s="35">
        <f>IF(AND(C930="Grayson Coulter",G930&gt;='00_Control'!$B$7),"YES","NO")</f>
        <v/>
      </c>
      <c r="AJ930" s="33" t="inlineStr">
        <is>
          <t>OK</t>
        </is>
      </c>
    </row>
    <row r="931">
      <c r="A931" s="33" t="inlineStr">
        <is>
          <t>SM000927</t>
        </is>
      </c>
      <c r="B931" s="33" t="inlineStr">
        <is>
          <t>SW017</t>
        </is>
      </c>
      <c r="C931" s="33" t="inlineStr">
        <is>
          <t>Egor Kornev</t>
        </is>
      </c>
      <c r="D931" s="33" t="inlineStr">
        <is>
          <t>SwimCloud</t>
        </is>
      </c>
      <c r="E931" s="33" t="inlineStr">
        <is>
          <t>1139582</t>
        </is>
      </c>
      <c r="F931" s="33" t="inlineStr">
        <is>
          <t>184119254</t>
        </is>
      </c>
      <c r="G931" s="51" t="n">
        <v>46245</v>
      </c>
      <c r="H931" s="33" t="inlineStr">
        <is>
          <t>European Championships</t>
        </is>
      </c>
      <c r="I931" s="33" t="inlineStr">
        <is>
          <t>390252</t>
        </is>
      </c>
      <c r="J931" s="33" t="inlineStr"/>
      <c r="K931" s="33" t="inlineStr">
        <is>
          <t>SEM</t>
        </is>
      </c>
      <c r="L931" s="35">
        <f>IF(K931="FIN",3,IF(OR(K931="SEM",K931="SEMI"),2,IF(OR(K931="PRE",K931="HEAT"),1,IF(V931="YES",4,2))))</f>
        <v/>
      </c>
      <c r="M931" s="33" t="inlineStr">
        <is>
          <t>LCM</t>
        </is>
      </c>
      <c r="N931" s="33" t="n">
        <v>100</v>
      </c>
      <c r="O931" s="33" t="inlineStr">
        <is>
          <t>Free</t>
        </is>
      </c>
      <c r="P931" s="33" t="inlineStr">
        <is>
          <t>100 Free</t>
        </is>
      </c>
      <c r="Q931" s="33" t="inlineStr">
        <is>
          <t>LCM_100_FREE</t>
        </is>
      </c>
      <c r="R931" s="36" t="n">
        <v>47.27</v>
      </c>
      <c r="S931" s="35">
        <f>IF(R931="","",IF(R931&gt;=60,INT(R931/60)&amp;":"&amp;TEXT(MOD(R931,60),"00.00"),TEXT(R931,"0.00")))</f>
        <v/>
      </c>
      <c r="T931" s="52">
        <f>IFERROR((G931-INDEX('01_Swimmers'!$E$5:$E$22,MATCH(B931,'01_Swimmers'!$A$5:$A$22,0)))/'00_Control'!$B$10,"")</f>
        <v/>
      </c>
      <c r="U931" s="35">
        <f>IF(T931="","",INT(T931))</f>
        <v/>
      </c>
      <c r="V931" s="33" t="inlineStr">
        <is>
          <t>NO</t>
        </is>
      </c>
      <c r="W931" s="33" t="inlineStr">
        <is>
          <t>YES</t>
        </is>
      </c>
      <c r="X931" s="33" t="inlineStr">
        <is>
          <t>NO</t>
        </is>
      </c>
      <c r="Y931" s="33" t="n">
        <v>2</v>
      </c>
      <c r="Z931" s="33" t="n">
        <v>3</v>
      </c>
      <c r="AA931" s="33" t="inlineStr">
        <is>
          <t>3</t>
        </is>
      </c>
      <c r="AB931" s="33" t="inlineStr">
        <is>
          <t>https://www.swimcloud.com/results/390252/event/10/?id=184119254#time184119254</t>
        </is>
      </c>
      <c r="AC931" s="33" t="inlineStr">
        <is>
          <t>SwimCloud API v6 2026-10-08</t>
        </is>
      </c>
      <c r="AD931" s="33" t="inlineStr">
        <is>
          <t>Egor Kornev|2026-08-11|LCM|100|Free|47.27|European Championships|SEM|False</t>
        </is>
      </c>
      <c r="AE931" s="53">
        <f>G931+L931/1000+ROW()/1000000000</f>
        <v/>
      </c>
      <c r="AF931" s="35">
        <f>IF(C931&lt;&gt;"Grayson Coulter","",COUNTIFS($C$5:$C$2991,"Grayson Coulter",$Q$5:$Q$2991,Q931,$AE$5:$AE$2991,"&lt;="&amp;AE931,$R$5:$R$2991,"&lt;"&amp;R931))</f>
        <v/>
      </c>
      <c r="AG931" s="35">
        <f>IF(OR(C931&lt;&gt;"Grayson Coulter",G931&lt;'00_Control'!$B$7),"",--(AF931&lt;5))</f>
        <v/>
      </c>
      <c r="AH931" s="35">
        <f>IF(OR(C931&lt;&gt;"Grayson Coulter",G931&lt;'00_Control'!$B$7),"",--(AF931&lt;10))</f>
        <v/>
      </c>
      <c r="AI931" s="35">
        <f>IF(AND(C931="Grayson Coulter",G931&gt;='00_Control'!$B$7),"YES","NO")</f>
        <v/>
      </c>
      <c r="AJ931" s="33" t="inlineStr">
        <is>
          <t>OK</t>
        </is>
      </c>
    </row>
    <row r="932">
      <c r="A932" s="33" t="inlineStr">
        <is>
          <t>SM000928</t>
        </is>
      </c>
      <c r="B932" s="33" t="inlineStr">
        <is>
          <t>SW017</t>
        </is>
      </c>
      <c r="C932" s="33" t="inlineStr">
        <is>
          <t>Egor Kornev</t>
        </is>
      </c>
      <c r="D932" s="33" t="inlineStr">
        <is>
          <t>SwimCloud</t>
        </is>
      </c>
      <c r="E932" s="33" t="inlineStr">
        <is>
          <t>1139582</t>
        </is>
      </c>
      <c r="F932" s="33" t="inlineStr">
        <is>
          <t>184119252</t>
        </is>
      </c>
      <c r="G932" s="51" t="n">
        <v>46246</v>
      </c>
      <c r="H932" s="33" t="inlineStr">
        <is>
          <t>European Championships</t>
        </is>
      </c>
      <c r="I932" s="33" t="inlineStr">
        <is>
          <t>390252</t>
        </is>
      </c>
      <c r="J932" s="33" t="inlineStr"/>
      <c r="K932" s="33" t="inlineStr">
        <is>
          <t>FIN</t>
        </is>
      </c>
      <c r="L932" s="35">
        <f>IF(K932="FIN",3,IF(OR(K932="SEM",K932="SEMI"),2,IF(OR(K932="PRE",K932="HEAT"),1,IF(V932="YES",4,2))))</f>
        <v/>
      </c>
      <c r="M932" s="33" t="inlineStr">
        <is>
          <t>LCM</t>
        </is>
      </c>
      <c r="N932" s="33" t="n">
        <v>100</v>
      </c>
      <c r="O932" s="33" t="inlineStr">
        <is>
          <t>Free</t>
        </is>
      </c>
      <c r="P932" s="33" t="inlineStr">
        <is>
          <t>100 Free</t>
        </is>
      </c>
      <c r="Q932" s="33" t="inlineStr">
        <is>
          <t>LCM_100_FREE</t>
        </is>
      </c>
      <c r="R932" s="36" t="n">
        <v>46.74</v>
      </c>
      <c r="S932" s="35">
        <f>IF(R932="","",IF(R932&gt;=60,INT(R932/60)&amp;":"&amp;TEXT(MOD(R932,60),"00.00"),TEXT(R932,"0.00")))</f>
        <v/>
      </c>
      <c r="T932" s="52">
        <f>IFERROR((G932-INDEX('01_Swimmers'!$E$5:$E$22,MATCH(B932,'01_Swimmers'!$A$5:$A$22,0)))/'00_Control'!$B$10,"")</f>
        <v/>
      </c>
      <c r="U932" s="35">
        <f>IF(T932="","",INT(T932))</f>
        <v/>
      </c>
      <c r="V932" s="33" t="inlineStr">
        <is>
          <t>NO</t>
        </is>
      </c>
      <c r="W932" s="33" t="inlineStr">
        <is>
          <t>YES</t>
        </is>
      </c>
      <c r="X932" s="33" t="inlineStr">
        <is>
          <t>NO</t>
        </is>
      </c>
      <c r="Y932" s="33" t="n">
        <v>1</v>
      </c>
      <c r="Z932" s="33" t="n">
        <v>3</v>
      </c>
      <c r="AA932" s="33" t="inlineStr">
        <is>
          <t>2</t>
        </is>
      </c>
      <c r="AB932" s="33" t="inlineStr">
        <is>
          <t>https://www.swimcloud.com/results/390252/event/10/?id=184119252#time184119252</t>
        </is>
      </c>
      <c r="AC932" s="33" t="inlineStr">
        <is>
          <t>SwimCloud API v6 2026-10-08</t>
        </is>
      </c>
      <c r="AD932" s="33" t="inlineStr">
        <is>
          <t>Egor Kornev|2026-08-12|LCM|100|Free|46.74|European Championships|FIN|False</t>
        </is>
      </c>
      <c r="AE932" s="53">
        <f>G932+L932/1000+ROW()/1000000000</f>
        <v/>
      </c>
      <c r="AF932" s="35">
        <f>IF(C932&lt;&gt;"Grayson Coulter","",COUNTIFS($C$5:$C$2991,"Grayson Coulter",$Q$5:$Q$2991,Q932,$AE$5:$AE$2991,"&lt;="&amp;AE932,$R$5:$R$2991,"&lt;"&amp;R932))</f>
        <v/>
      </c>
      <c r="AG932" s="35">
        <f>IF(OR(C932&lt;&gt;"Grayson Coulter",G932&lt;'00_Control'!$B$7),"",--(AF932&lt;5))</f>
        <v/>
      </c>
      <c r="AH932" s="35">
        <f>IF(OR(C932&lt;&gt;"Grayson Coulter",G932&lt;'00_Control'!$B$7),"",--(AF932&lt;10))</f>
        <v/>
      </c>
      <c r="AI932" s="35">
        <f>IF(AND(C932="Grayson Coulter",G932&gt;='00_Control'!$B$7),"YES","NO")</f>
        <v/>
      </c>
      <c r="AJ932" s="33" t="inlineStr">
        <is>
          <t>OK</t>
        </is>
      </c>
    </row>
    <row r="933">
      <c r="A933" s="33" t="inlineStr">
        <is>
          <t>SM000929</t>
        </is>
      </c>
      <c r="B933" s="33" t="inlineStr">
        <is>
          <t>SW017</t>
        </is>
      </c>
      <c r="C933" s="33" t="inlineStr">
        <is>
          <t>Egor Kornev</t>
        </is>
      </c>
      <c r="D933" s="33" t="inlineStr">
        <is>
          <t>SwimCloud</t>
        </is>
      </c>
      <c r="E933" s="33" t="inlineStr">
        <is>
          <t>1139582</t>
        </is>
      </c>
      <c r="F933" s="33" t="inlineStr">
        <is>
          <t>184121042</t>
        </is>
      </c>
      <c r="G933" s="51" t="n">
        <v>46248</v>
      </c>
      <c r="H933" s="33" t="inlineStr">
        <is>
          <t>European Championships</t>
        </is>
      </c>
      <c r="I933" s="33" t="inlineStr">
        <is>
          <t>390252</t>
        </is>
      </c>
      <c r="J933" s="33" t="inlineStr"/>
      <c r="K933" s="33" t="inlineStr">
        <is>
          <t>FIN</t>
        </is>
      </c>
      <c r="L933" s="35">
        <f>IF(K933="FIN",3,IF(OR(K933="SEM",K933="SEMI"),2,IF(OR(K933="PRE",K933="HEAT"),1,IF(V933="YES",4,2))))</f>
        <v/>
      </c>
      <c r="M933" s="33" t="inlineStr">
        <is>
          <t>LCM</t>
        </is>
      </c>
      <c r="N933" s="33" t="n">
        <v>100</v>
      </c>
      <c r="O933" s="33" t="inlineStr">
        <is>
          <t>Free</t>
        </is>
      </c>
      <c r="P933" s="33" t="inlineStr">
        <is>
          <t>100 Free</t>
        </is>
      </c>
      <c r="Q933" s="33" t="inlineStr">
        <is>
          <t>LCM_100_FREE</t>
        </is>
      </c>
      <c r="R933" s="36" t="n">
        <v>47.05</v>
      </c>
      <c r="S933" s="35">
        <f>IF(R933="","",IF(R933&gt;=60,INT(R933/60)&amp;":"&amp;TEXT(MOD(R933,60),"00.00"),TEXT(R933,"0.00")))</f>
        <v/>
      </c>
      <c r="T933" s="52">
        <f>IFERROR((G933-INDEX('01_Swimmers'!$E$5:$E$22,MATCH(B933,'01_Swimmers'!$A$5:$A$22,0)))/'00_Control'!$B$10,"")</f>
        <v/>
      </c>
      <c r="U933" s="35">
        <f>IF(T933="","",INT(T933))</f>
        <v/>
      </c>
      <c r="V933" s="33" t="inlineStr">
        <is>
          <t>YES</t>
        </is>
      </c>
      <c r="W933" s="33" t="inlineStr">
        <is>
          <t>YES</t>
        </is>
      </c>
      <c r="X933" s="33" t="inlineStr">
        <is>
          <t>NO</t>
        </is>
      </c>
      <c r="Y933" s="33" t="n">
        <v>1</v>
      </c>
      <c r="Z933" s="33" t="n">
        <v>6</v>
      </c>
      <c r="AA933" s="33" t="inlineStr"/>
      <c r="AB933" s="33" t="inlineStr">
        <is>
          <t>https://www.swimcloud.com/results/390252/event/32/?id=184119404#time184119404</t>
        </is>
      </c>
      <c r="AC933" s="33" t="inlineStr">
        <is>
          <t>SwimCloud API v6 2026-10-08</t>
        </is>
      </c>
      <c r="AD933" s="33" t="inlineStr">
        <is>
          <t>Egor Kornev|2026-08-14|LCM|100|Free|47.05|European Championships|FIN|True</t>
        </is>
      </c>
      <c r="AE933" s="53">
        <f>G933+L933/1000+ROW()/1000000000</f>
        <v/>
      </c>
      <c r="AF933" s="35">
        <f>IF(C933&lt;&gt;"Grayson Coulter","",COUNTIFS($C$5:$C$2991,"Grayson Coulter",$Q$5:$Q$2991,Q933,$AE$5:$AE$2991,"&lt;="&amp;AE933,$R$5:$R$2991,"&lt;"&amp;R933))</f>
        <v/>
      </c>
      <c r="AG933" s="35">
        <f>IF(OR(C933&lt;&gt;"Grayson Coulter",G933&lt;'00_Control'!$B$7),"",--(AF933&lt;5))</f>
        <v/>
      </c>
      <c r="AH933" s="35">
        <f>IF(OR(C933&lt;&gt;"Grayson Coulter",G933&lt;'00_Control'!$B$7),"",--(AF933&lt;10))</f>
        <v/>
      </c>
      <c r="AI933" s="35">
        <f>IF(AND(C933="Grayson Coulter",G933&gt;='00_Control'!$B$7),"YES","NO")</f>
        <v/>
      </c>
      <c r="AJ933" s="33" t="inlineStr">
        <is>
          <t>OK</t>
        </is>
      </c>
    </row>
    <row r="934">
      <c r="A934" s="33" t="inlineStr">
        <is>
          <t>SM000930</t>
        </is>
      </c>
      <c r="B934" s="33" t="inlineStr">
        <is>
          <t>SW017</t>
        </is>
      </c>
      <c r="C934" s="33" t="inlineStr">
        <is>
          <t>Egor Kornev</t>
        </is>
      </c>
      <c r="D934" s="33" t="inlineStr">
        <is>
          <t>SwimCloud</t>
        </is>
      </c>
      <c r="E934" s="33" t="inlineStr">
        <is>
          <t>1139582</t>
        </is>
      </c>
      <c r="F934" s="33" t="inlineStr">
        <is>
          <t>188225588</t>
        </is>
      </c>
      <c r="G934" s="51" t="n">
        <v>46297</v>
      </c>
      <c r="H934" s="33" t="inlineStr">
        <is>
          <t>World Aquatics Baku World Cup</t>
        </is>
      </c>
      <c r="I934" s="33" t="inlineStr">
        <is>
          <t>401228</t>
        </is>
      </c>
      <c r="J934" s="33" t="inlineStr"/>
      <c r="K934" s="33" t="inlineStr">
        <is>
          <t>PRE</t>
        </is>
      </c>
      <c r="L934" s="35">
        <f>IF(K934="FIN",3,IF(OR(K934="SEM",K934="SEMI"),2,IF(OR(K934="PRE",K934="HEAT"),1,IF(V934="YES",4,2))))</f>
        <v/>
      </c>
      <c r="M934" s="33" t="inlineStr">
        <is>
          <t>SCM</t>
        </is>
      </c>
      <c r="N934" s="33" t="n">
        <v>100</v>
      </c>
      <c r="O934" s="33" t="inlineStr">
        <is>
          <t>Free</t>
        </is>
      </c>
      <c r="P934" s="33" t="inlineStr">
        <is>
          <t>100 Free</t>
        </is>
      </c>
      <c r="Q934" s="33" t="inlineStr">
        <is>
          <t>SCM_100_FREE</t>
        </is>
      </c>
      <c r="R934" s="36" t="n">
        <v>47.19</v>
      </c>
      <c r="S934" s="35">
        <f>IF(R934="","",IF(R934&gt;=60,INT(R934/60)&amp;":"&amp;TEXT(MOD(R934,60),"00.00"),TEXT(R934,"0.00")))</f>
        <v/>
      </c>
      <c r="T934" s="52">
        <f>IFERROR((G934-INDEX('01_Swimmers'!$E$5:$E$22,MATCH(B934,'01_Swimmers'!$A$5:$A$22,0)))/'00_Control'!$B$10,"")</f>
        <v/>
      </c>
      <c r="U934" s="35">
        <f>IF(T934="","",INT(T934))</f>
        <v/>
      </c>
      <c r="V934" s="33" t="inlineStr">
        <is>
          <t>NO</t>
        </is>
      </c>
      <c r="W934" s="33" t="inlineStr">
        <is>
          <t>YES</t>
        </is>
      </c>
      <c r="X934" s="33" t="inlineStr">
        <is>
          <t>NO</t>
        </is>
      </c>
      <c r="Y934" s="33" t="n">
        <v>5</v>
      </c>
      <c r="Z934" s="33" t="n">
        <v>4</v>
      </c>
      <c r="AA934" s="33" t="inlineStr">
        <is>
          <t>3</t>
        </is>
      </c>
      <c r="AB934" s="33" t="inlineStr">
        <is>
          <t>https://www.swimcloud.com/results/401228/event/20/?id=188225588#time188225588</t>
        </is>
      </c>
      <c r="AC934" s="33" t="inlineStr">
        <is>
          <t>SwimCloud API v6 2026-10-08</t>
        </is>
      </c>
      <c r="AD934" s="33" t="inlineStr">
        <is>
          <t>Egor Kornev|2026-10-02|SCM|100|Free|47.19|World Aquatics Baku World Cup|PRE|False</t>
        </is>
      </c>
      <c r="AE934" s="53">
        <f>G934+L934/1000+ROW()/1000000000</f>
        <v/>
      </c>
      <c r="AF934" s="35">
        <f>IF(C934&lt;&gt;"Grayson Coulter","",COUNTIFS($C$5:$C$2991,"Grayson Coulter",$Q$5:$Q$2991,Q934,$AE$5:$AE$2991,"&lt;="&amp;AE934,$R$5:$R$2991,"&lt;"&amp;R934))</f>
        <v/>
      </c>
      <c r="AG934" s="35">
        <f>IF(OR(C934&lt;&gt;"Grayson Coulter",G934&lt;'00_Control'!$B$7),"",--(AF934&lt;5))</f>
        <v/>
      </c>
      <c r="AH934" s="35">
        <f>IF(OR(C934&lt;&gt;"Grayson Coulter",G934&lt;'00_Control'!$B$7),"",--(AF934&lt;10))</f>
        <v/>
      </c>
      <c r="AI934" s="35">
        <f>IF(AND(C934="Grayson Coulter",G934&gt;='00_Control'!$B$7),"YES","NO")</f>
        <v/>
      </c>
      <c r="AJ934" s="33" t="inlineStr">
        <is>
          <t>OK</t>
        </is>
      </c>
    </row>
    <row r="935">
      <c r="A935" s="33" t="inlineStr">
        <is>
          <t>SM000931</t>
        </is>
      </c>
      <c r="B935" s="33" t="inlineStr">
        <is>
          <t>SW017</t>
        </is>
      </c>
      <c r="C935" s="33" t="inlineStr">
        <is>
          <t>Egor Kornev</t>
        </is>
      </c>
      <c r="D935" s="33" t="inlineStr">
        <is>
          <t>SwimCloud</t>
        </is>
      </c>
      <c r="E935" s="33" t="inlineStr">
        <is>
          <t>1139582</t>
        </is>
      </c>
      <c r="F935" s="33" t="inlineStr">
        <is>
          <t>188225587</t>
        </is>
      </c>
      <c r="G935" s="51" t="n">
        <v>46297</v>
      </c>
      <c r="H935" s="33" t="inlineStr">
        <is>
          <t>World Aquatics Baku World Cup</t>
        </is>
      </c>
      <c r="I935" s="33" t="inlineStr">
        <is>
          <t>401228</t>
        </is>
      </c>
      <c r="J935" s="33" t="inlineStr"/>
      <c r="K935" s="33" t="inlineStr">
        <is>
          <t>FIN</t>
        </is>
      </c>
      <c r="L935" s="35">
        <f>IF(K935="FIN",3,IF(OR(K935="SEM",K935="SEMI"),2,IF(OR(K935="PRE",K935="HEAT"),1,IF(V935="YES",4,2))))</f>
        <v/>
      </c>
      <c r="M935" s="33" t="inlineStr">
        <is>
          <t>SCM</t>
        </is>
      </c>
      <c r="N935" s="33" t="n">
        <v>100</v>
      </c>
      <c r="O935" s="33" t="inlineStr">
        <is>
          <t>Free</t>
        </is>
      </c>
      <c r="P935" s="33" t="inlineStr">
        <is>
          <t>100 Free</t>
        </is>
      </c>
      <c r="Q935" s="33" t="inlineStr">
        <is>
          <t>SCM_100_FREE</t>
        </is>
      </c>
      <c r="R935" s="36" t="n">
        <v>44.84</v>
      </c>
      <c r="S935" s="35">
        <f>IF(R935="","",IF(R935&gt;=60,INT(R935/60)&amp;":"&amp;TEXT(MOD(R935,60),"00.00"),TEXT(R935,"0.00")))</f>
        <v/>
      </c>
      <c r="T935" s="52">
        <f>IFERROR((G935-INDEX('01_Swimmers'!$E$5:$E$22,MATCH(B935,'01_Swimmers'!$A$5:$A$22,0)))/'00_Control'!$B$10,"")</f>
        <v/>
      </c>
      <c r="U935" s="35">
        <f>IF(T935="","",INT(T935))</f>
        <v/>
      </c>
      <c r="V935" s="33" t="inlineStr">
        <is>
          <t>NO</t>
        </is>
      </c>
      <c r="W935" s="33" t="inlineStr">
        <is>
          <t>YES</t>
        </is>
      </c>
      <c r="X935" s="33" t="inlineStr">
        <is>
          <t>NO</t>
        </is>
      </c>
      <c r="Y935" s="33" t="n">
        <v>1</v>
      </c>
      <c r="Z935" s="33" t="n">
        <v>3</v>
      </c>
      <c r="AA935" s="33" t="inlineStr">
        <is>
          <t>1</t>
        </is>
      </c>
      <c r="AB935" s="33" t="inlineStr">
        <is>
          <t>https://www.swimcloud.com/results/401228/event/20/?id=188225587#time188225587</t>
        </is>
      </c>
      <c r="AC935" s="33" t="inlineStr">
        <is>
          <t>SwimCloud API v6 2026-10-08</t>
        </is>
      </c>
      <c r="AD935" s="33" t="inlineStr">
        <is>
          <t>Egor Kornev|2026-10-02|SCM|100|Free|44.84|World Aquatics Baku World Cup|FIN|False</t>
        </is>
      </c>
      <c r="AE935" s="53">
        <f>G935+L935/1000+ROW()/1000000000</f>
        <v/>
      </c>
      <c r="AF935" s="35">
        <f>IF(C935&lt;&gt;"Grayson Coulter","",COUNTIFS($C$5:$C$2991,"Grayson Coulter",$Q$5:$Q$2991,Q935,$AE$5:$AE$2991,"&lt;="&amp;AE935,$R$5:$R$2991,"&lt;"&amp;R935))</f>
        <v/>
      </c>
      <c r="AG935" s="35">
        <f>IF(OR(C935&lt;&gt;"Grayson Coulter",G935&lt;'00_Control'!$B$7),"",--(AF935&lt;5))</f>
        <v/>
      </c>
      <c r="AH935" s="35">
        <f>IF(OR(C935&lt;&gt;"Grayson Coulter",G935&lt;'00_Control'!$B$7),"",--(AF935&lt;10))</f>
        <v/>
      </c>
      <c r="AI935" s="35">
        <f>IF(AND(C935="Grayson Coulter",G935&gt;='00_Control'!$B$7),"YES","NO")</f>
        <v/>
      </c>
      <c r="AJ935" s="33" t="inlineStr">
        <is>
          <t>OK</t>
        </is>
      </c>
    </row>
    <row r="936">
      <c r="A936" s="33" t="inlineStr">
        <is>
          <t>SM000932</t>
        </is>
      </c>
      <c r="B936" s="33" t="inlineStr">
        <is>
          <t>SW012</t>
        </is>
      </c>
      <c r="C936" s="33" t="inlineStr">
        <is>
          <t>Flynn Southam</t>
        </is>
      </c>
      <c r="D936" s="33" t="inlineStr">
        <is>
          <t>SwimCloud</t>
        </is>
      </c>
      <c r="E936" s="33" t="inlineStr">
        <is>
          <t>956278</t>
        </is>
      </c>
      <c r="F936" s="33" t="inlineStr">
        <is>
          <t>20507898</t>
        </is>
      </c>
      <c r="G936" s="51" t="n">
        <v>43365</v>
      </c>
      <c r="H936" s="33" t="inlineStr">
        <is>
          <t>Miami Spring Meet - Transition Meet</t>
        </is>
      </c>
      <c r="I936" s="33" t="inlineStr">
        <is>
          <t>123117</t>
        </is>
      </c>
      <c r="J936" s="33" t="inlineStr"/>
      <c r="K936" s="33" t="inlineStr">
        <is>
          <t>TIM</t>
        </is>
      </c>
      <c r="L936" s="35">
        <f>IF(K936="FIN",3,IF(OR(K936="SEM",K936="SEMI"),2,IF(OR(K936="PRE",K936="HEAT"),1,IF(V936="YES",4,2))))</f>
        <v/>
      </c>
      <c r="M936" s="33" t="inlineStr">
        <is>
          <t>LCM</t>
        </is>
      </c>
      <c r="N936" s="33" t="n">
        <v>100</v>
      </c>
      <c r="O936" s="33" t="inlineStr">
        <is>
          <t>Free</t>
        </is>
      </c>
      <c r="P936" s="33" t="inlineStr">
        <is>
          <t>100 Free</t>
        </is>
      </c>
      <c r="Q936" s="33" t="inlineStr">
        <is>
          <t>LCM_100_FREE</t>
        </is>
      </c>
      <c r="R936" s="36" t="n">
        <v>59.19</v>
      </c>
      <c r="S936" s="35">
        <f>IF(R936="","",IF(R936&gt;=60,INT(R936/60)&amp;":"&amp;TEXT(MOD(R936,60),"00.00"),TEXT(R936,"0.00")))</f>
        <v/>
      </c>
      <c r="T936" s="52">
        <f>IFERROR((G936-INDEX('01_Swimmers'!$E$5:$E$22,MATCH(B936,'01_Swimmers'!$A$5:$A$22,0)))/'00_Control'!$B$10,"")</f>
        <v/>
      </c>
      <c r="U936" s="35">
        <f>IF(T936="","",INT(T936))</f>
        <v/>
      </c>
      <c r="V936" s="33" t="inlineStr">
        <is>
          <t>NO</t>
        </is>
      </c>
      <c r="W936" s="33" t="inlineStr">
        <is>
          <t>YES</t>
        </is>
      </c>
      <c r="X936" s="33" t="inlineStr">
        <is>
          <t>NO</t>
        </is>
      </c>
      <c r="Y936" s="33" t="n">
        <v>7</v>
      </c>
      <c r="Z936" s="33" t="n">
        <v>2</v>
      </c>
      <c r="AA936" s="33" t="inlineStr">
        <is>
          <t>1</t>
        </is>
      </c>
      <c r="AB936" s="33" t="inlineStr">
        <is>
          <t>https://www.swimcloud.com/results/123117/event/31/?id=20507898#time20507898</t>
        </is>
      </c>
      <c r="AC936" s="33" t="inlineStr">
        <is>
          <t>SwimCloud API v6 2026-10-08</t>
        </is>
      </c>
      <c r="AD936" s="33" t="inlineStr">
        <is>
          <t>Flynn Southam|2018-09-22|LCM|100|Free|59.19|Miami Spring Meet - Transition Meet|TIM|False</t>
        </is>
      </c>
      <c r="AE936" s="53">
        <f>G936+L936/1000+ROW()/1000000000</f>
        <v/>
      </c>
      <c r="AF936" s="35">
        <f>IF(C936&lt;&gt;"Grayson Coulter","",COUNTIFS($C$5:$C$2991,"Grayson Coulter",$Q$5:$Q$2991,Q936,$AE$5:$AE$2991,"&lt;="&amp;AE936,$R$5:$R$2991,"&lt;"&amp;R936))</f>
        <v/>
      </c>
      <c r="AG936" s="35">
        <f>IF(OR(C936&lt;&gt;"Grayson Coulter",G936&lt;'00_Control'!$B$7),"",--(AF936&lt;5))</f>
        <v/>
      </c>
      <c r="AH936" s="35">
        <f>IF(OR(C936&lt;&gt;"Grayson Coulter",G936&lt;'00_Control'!$B$7),"",--(AF936&lt;10))</f>
        <v/>
      </c>
      <c r="AI936" s="35">
        <f>IF(AND(C936="Grayson Coulter",G936&gt;='00_Control'!$B$7),"YES","NO")</f>
        <v/>
      </c>
      <c r="AJ936" s="33" t="inlineStr">
        <is>
          <t>OK</t>
        </is>
      </c>
    </row>
    <row r="937">
      <c r="A937" s="33" t="inlineStr">
        <is>
          <t>SM000933</t>
        </is>
      </c>
      <c r="B937" s="33" t="inlineStr">
        <is>
          <t>SW012</t>
        </is>
      </c>
      <c r="C937" s="33" t="inlineStr">
        <is>
          <t>Flynn Southam</t>
        </is>
      </c>
      <c r="D937" s="33" t="inlineStr">
        <is>
          <t>SwimCloud</t>
        </is>
      </c>
      <c r="E937" s="33" t="inlineStr">
        <is>
          <t>956278</t>
        </is>
      </c>
      <c r="F937" s="33" t="inlineStr">
        <is>
          <t>24300111</t>
        </is>
      </c>
      <c r="G937" s="51" t="n">
        <v>43505</v>
      </c>
      <c r="H937" s="33" t="inlineStr">
        <is>
          <t>CSi SOSC Qualifying Meet</t>
        </is>
      </c>
      <c r="I937" s="33" t="inlineStr">
        <is>
          <t>142083</t>
        </is>
      </c>
      <c r="J937" s="33" t="inlineStr"/>
      <c r="K937" s="33" t="inlineStr">
        <is>
          <t>TIM</t>
        </is>
      </c>
      <c r="L937" s="35">
        <f>IF(K937="FIN",3,IF(OR(K937="SEM",K937="SEMI"),2,IF(OR(K937="PRE",K937="HEAT"),1,IF(V937="YES",4,2))))</f>
        <v/>
      </c>
      <c r="M937" s="33" t="inlineStr">
        <is>
          <t>LCM</t>
        </is>
      </c>
      <c r="N937" s="33" t="n">
        <v>100</v>
      </c>
      <c r="O937" s="33" t="inlineStr">
        <is>
          <t>Fly</t>
        </is>
      </c>
      <c r="P937" s="33" t="inlineStr">
        <is>
          <t>100 Fly</t>
        </is>
      </c>
      <c r="Q937" s="33" t="inlineStr">
        <is>
          <t>LCM_100_FLY</t>
        </is>
      </c>
      <c r="R937" s="36" t="n">
        <v>68.56</v>
      </c>
      <c r="S937" s="35">
        <f>IF(R937="","",IF(R937&gt;=60,INT(R937/60)&amp;":"&amp;TEXT(MOD(R937,60),"00.00"),TEXT(R937,"0.00")))</f>
        <v/>
      </c>
      <c r="T937" s="52">
        <f>IFERROR((G937-INDEX('01_Swimmers'!$E$5:$E$22,MATCH(B937,'01_Swimmers'!$A$5:$A$22,0)))/'00_Control'!$B$10,"")</f>
        <v/>
      </c>
      <c r="U937" s="35">
        <f>IF(T937="","",INT(T937))</f>
        <v/>
      </c>
      <c r="V937" s="33" t="inlineStr">
        <is>
          <t>NO</t>
        </is>
      </c>
      <c r="W937" s="33" t="inlineStr">
        <is>
          <t>YES</t>
        </is>
      </c>
      <c r="X937" s="33" t="inlineStr">
        <is>
          <t>NO</t>
        </is>
      </c>
      <c r="Y937" s="33" t="n">
        <v>3</v>
      </c>
      <c r="Z937" s="33" t="n">
        <v>6</v>
      </c>
      <c r="AA937" s="33" t="inlineStr">
        <is>
          <t>1</t>
        </is>
      </c>
      <c r="AB937" s="33" t="inlineStr">
        <is>
          <t>https://www.swimcloud.com/results/142083/event/13/?id=24300111#time24300111</t>
        </is>
      </c>
      <c r="AC937" s="33" t="inlineStr">
        <is>
          <t>SwimCloud API v6 2026-10-08</t>
        </is>
      </c>
      <c r="AD937" s="33" t="inlineStr">
        <is>
          <t>Flynn Southam|2019-02-09|LCM|100|Fly|68.56|CSi SOSC Qualifying Meet|TIM|False</t>
        </is>
      </c>
      <c r="AE937" s="53">
        <f>G937+L937/1000+ROW()/1000000000</f>
        <v/>
      </c>
      <c r="AF937" s="35">
        <f>IF(C937&lt;&gt;"Grayson Coulter","",COUNTIFS($C$5:$C$2991,"Grayson Coulter",$Q$5:$Q$2991,Q937,$AE$5:$AE$2991,"&lt;="&amp;AE937,$R$5:$R$2991,"&lt;"&amp;R937))</f>
        <v/>
      </c>
      <c r="AG937" s="35">
        <f>IF(OR(C937&lt;&gt;"Grayson Coulter",G937&lt;'00_Control'!$B$7),"",--(AF937&lt;5))</f>
        <v/>
      </c>
      <c r="AH937" s="35">
        <f>IF(OR(C937&lt;&gt;"Grayson Coulter",G937&lt;'00_Control'!$B$7),"",--(AF937&lt;10))</f>
        <v/>
      </c>
      <c r="AI937" s="35">
        <f>IF(AND(C937="Grayson Coulter",G937&gt;='00_Control'!$B$7),"YES","NO")</f>
        <v/>
      </c>
      <c r="AJ937" s="33" t="inlineStr">
        <is>
          <t>OK</t>
        </is>
      </c>
    </row>
    <row r="938">
      <c r="A938" s="33" t="inlineStr">
        <is>
          <t>SM000934</t>
        </is>
      </c>
      <c r="B938" s="33" t="inlineStr">
        <is>
          <t>SW012</t>
        </is>
      </c>
      <c r="C938" s="33" t="inlineStr">
        <is>
          <t>Flynn Southam</t>
        </is>
      </c>
      <c r="D938" s="33" t="inlineStr">
        <is>
          <t>SwimCloud</t>
        </is>
      </c>
      <c r="E938" s="33" t="inlineStr">
        <is>
          <t>956278</t>
        </is>
      </c>
      <c r="F938" s="33" t="inlineStr">
        <is>
          <t>27027456</t>
        </is>
      </c>
      <c r="G938" s="51" t="n">
        <v>43638</v>
      </c>
      <c r="H938" s="33" t="inlineStr">
        <is>
          <t>Emmanuel College SC Transition</t>
        </is>
      </c>
      <c r="I938" s="33" t="inlineStr">
        <is>
          <t>147754</t>
        </is>
      </c>
      <c r="J938" s="33" t="inlineStr"/>
      <c r="K938" s="33" t="inlineStr">
        <is>
          <t>TIM</t>
        </is>
      </c>
      <c r="L938" s="35">
        <f>IF(K938="FIN",3,IF(OR(K938="SEM",K938="SEMI"),2,IF(OR(K938="PRE",K938="HEAT"),1,IF(V938="YES",4,2))))</f>
        <v/>
      </c>
      <c r="M938" s="33" t="inlineStr">
        <is>
          <t>SCM</t>
        </is>
      </c>
      <c r="N938" s="33" t="n">
        <v>200</v>
      </c>
      <c r="O938" s="33" t="inlineStr">
        <is>
          <t>Free</t>
        </is>
      </c>
      <c r="P938" s="33" t="inlineStr">
        <is>
          <t>200 Free</t>
        </is>
      </c>
      <c r="Q938" s="33" t="inlineStr">
        <is>
          <t>SCM_200_FREE</t>
        </is>
      </c>
      <c r="R938" s="36" t="n">
        <v>120.15</v>
      </c>
      <c r="S938" s="35">
        <f>IF(R938="","",IF(R938&gt;=60,INT(R938/60)&amp;":"&amp;TEXT(MOD(R938,60),"00.00"),TEXT(R938,"0.00")))</f>
        <v/>
      </c>
      <c r="T938" s="52">
        <f>IFERROR((G938-INDEX('01_Swimmers'!$E$5:$E$22,MATCH(B938,'01_Swimmers'!$A$5:$A$22,0)))/'00_Control'!$B$10,"")</f>
        <v/>
      </c>
      <c r="U938" s="35">
        <f>IF(T938="","",INT(T938))</f>
        <v/>
      </c>
      <c r="V938" s="33" t="inlineStr">
        <is>
          <t>NO</t>
        </is>
      </c>
      <c r="W938" s="33" t="inlineStr">
        <is>
          <t>YES</t>
        </is>
      </c>
      <c r="X938" s="33" t="inlineStr">
        <is>
          <t>NO</t>
        </is>
      </c>
      <c r="Y938" s="33" t="n">
        <v>6</v>
      </c>
      <c r="Z938" s="33" t="n">
        <v>7</v>
      </c>
      <c r="AA938" s="33" t="inlineStr">
        <is>
          <t>2</t>
        </is>
      </c>
      <c r="AB938" s="33" t="inlineStr">
        <is>
          <t>https://www.swimcloud.com/results/147754/event/1/?id=27027456#time27027456</t>
        </is>
      </c>
      <c r="AC938" s="33" t="inlineStr">
        <is>
          <t>SwimCloud API v6 2026-10-08</t>
        </is>
      </c>
      <c r="AD938" s="33" t="inlineStr">
        <is>
          <t>Flynn Southam|2019-06-22|SCM|200|Free|120.15|Emmanuel College SC Transition|TIM|False</t>
        </is>
      </c>
      <c r="AE938" s="53">
        <f>G938+L938/1000+ROW()/1000000000</f>
        <v/>
      </c>
      <c r="AF938" s="35">
        <f>IF(C938&lt;&gt;"Grayson Coulter","",COUNTIFS($C$5:$C$2991,"Grayson Coulter",$Q$5:$Q$2991,Q938,$AE$5:$AE$2991,"&lt;="&amp;AE938,$R$5:$R$2991,"&lt;"&amp;R938))</f>
        <v/>
      </c>
      <c r="AG938" s="35">
        <f>IF(OR(C938&lt;&gt;"Grayson Coulter",G938&lt;'00_Control'!$B$7),"",--(AF938&lt;5))</f>
        <v/>
      </c>
      <c r="AH938" s="35">
        <f>IF(OR(C938&lt;&gt;"Grayson Coulter",G938&lt;'00_Control'!$B$7),"",--(AF938&lt;10))</f>
        <v/>
      </c>
      <c r="AI938" s="35">
        <f>IF(AND(C938="Grayson Coulter",G938&gt;='00_Control'!$B$7),"YES","NO")</f>
        <v/>
      </c>
      <c r="AJ938" s="33" t="inlineStr">
        <is>
          <t>OK</t>
        </is>
      </c>
    </row>
    <row r="939">
      <c r="A939" s="33" t="inlineStr">
        <is>
          <t>SM000935</t>
        </is>
      </c>
      <c r="B939" s="33" t="inlineStr">
        <is>
          <t>SW012</t>
        </is>
      </c>
      <c r="C939" s="33" t="inlineStr">
        <is>
          <t>Flynn Southam</t>
        </is>
      </c>
      <c r="D939" s="33" t="inlineStr">
        <is>
          <t>SwimCloud</t>
        </is>
      </c>
      <c r="E939" s="33" t="inlineStr">
        <is>
          <t>956278</t>
        </is>
      </c>
      <c r="F939" s="33" t="inlineStr">
        <is>
          <t>41377645</t>
        </is>
      </c>
      <c r="G939" s="51" t="n">
        <v>44294</v>
      </c>
      <c r="H939" s="33" t="inlineStr">
        <is>
          <t>Australian Age Championships</t>
        </is>
      </c>
      <c r="I939" s="33" t="inlineStr">
        <is>
          <t>197551</t>
        </is>
      </c>
      <c r="J939" s="33" t="inlineStr"/>
      <c r="K939" s="33" t="inlineStr">
        <is>
          <t>PRE</t>
        </is>
      </c>
      <c r="L939" s="35">
        <f>IF(K939="FIN",3,IF(OR(K939="SEM",K939="SEMI"),2,IF(OR(K939="PRE",K939="HEAT"),1,IF(V939="YES",4,2))))</f>
        <v/>
      </c>
      <c r="M939" s="33" t="inlineStr">
        <is>
          <t>LCM</t>
        </is>
      </c>
      <c r="N939" s="33" t="n">
        <v>100</v>
      </c>
      <c r="O939" s="33" t="inlineStr">
        <is>
          <t>Free</t>
        </is>
      </c>
      <c r="P939" s="33" t="inlineStr">
        <is>
          <t>100 Free</t>
        </is>
      </c>
      <c r="Q939" s="33" t="inlineStr">
        <is>
          <t>LCM_100_FREE</t>
        </is>
      </c>
      <c r="R939" s="36" t="n">
        <v>50.9</v>
      </c>
      <c r="S939" s="35">
        <f>IF(R939="","",IF(R939&gt;=60,INT(R939/60)&amp;":"&amp;TEXT(MOD(R939,60),"00.00"),TEXT(R939,"0.00")))</f>
        <v/>
      </c>
      <c r="T939" s="52">
        <f>IFERROR((G939-INDEX('01_Swimmers'!$E$5:$E$22,MATCH(B939,'01_Swimmers'!$A$5:$A$22,0)))/'00_Control'!$B$10,"")</f>
        <v/>
      </c>
      <c r="U939" s="35">
        <f>IF(T939="","",INT(T939))</f>
        <v/>
      </c>
      <c r="V939" s="33" t="inlineStr">
        <is>
          <t>NO</t>
        </is>
      </c>
      <c r="W939" s="33" t="inlineStr">
        <is>
          <t>YES</t>
        </is>
      </c>
      <c r="X939" s="33" t="inlineStr">
        <is>
          <t>NO</t>
        </is>
      </c>
      <c r="Y939" s="33" t="n">
        <v>1</v>
      </c>
      <c r="Z939" s="33" t="n">
        <v>4</v>
      </c>
      <c r="AA939" s="33" t="inlineStr">
        <is>
          <t>1</t>
        </is>
      </c>
      <c r="AB939" s="33" t="inlineStr">
        <is>
          <t>https://www.swimcloud.com/results/197551/event/108/?id=41377645#time41377645</t>
        </is>
      </c>
      <c r="AC939" s="33" t="inlineStr">
        <is>
          <t>SwimCloud API v6 2026-10-08</t>
        </is>
      </c>
      <c r="AD939" s="33" t="inlineStr">
        <is>
          <t>Flynn Southam|2021-04-08|LCM|100|Free|50.9|Australian Age Championships|PRE|False</t>
        </is>
      </c>
      <c r="AE939" s="53">
        <f>G939+L939/1000+ROW()/1000000000</f>
        <v/>
      </c>
      <c r="AF939" s="35">
        <f>IF(C939&lt;&gt;"Grayson Coulter","",COUNTIFS($C$5:$C$2991,"Grayson Coulter",$Q$5:$Q$2991,Q939,$AE$5:$AE$2991,"&lt;="&amp;AE939,$R$5:$R$2991,"&lt;"&amp;R939))</f>
        <v/>
      </c>
      <c r="AG939" s="35">
        <f>IF(OR(C939&lt;&gt;"Grayson Coulter",G939&lt;'00_Control'!$B$7),"",--(AF939&lt;5))</f>
        <v/>
      </c>
      <c r="AH939" s="35">
        <f>IF(OR(C939&lt;&gt;"Grayson Coulter",G939&lt;'00_Control'!$B$7),"",--(AF939&lt;10))</f>
        <v/>
      </c>
      <c r="AI939" s="35">
        <f>IF(AND(C939="Grayson Coulter",G939&gt;='00_Control'!$B$7),"YES","NO")</f>
        <v/>
      </c>
      <c r="AJ939" s="33" t="inlineStr">
        <is>
          <t>OK</t>
        </is>
      </c>
    </row>
    <row r="940">
      <c r="A940" s="33" t="inlineStr">
        <is>
          <t>SM000936</t>
        </is>
      </c>
      <c r="B940" s="33" t="inlineStr">
        <is>
          <t>SW012</t>
        </is>
      </c>
      <c r="C940" s="33" t="inlineStr">
        <is>
          <t>Flynn Southam</t>
        </is>
      </c>
      <c r="D940" s="33" t="inlineStr">
        <is>
          <t>SwimCloud</t>
        </is>
      </c>
      <c r="E940" s="33" t="inlineStr">
        <is>
          <t>956278</t>
        </is>
      </c>
      <c r="F940" s="33" t="inlineStr">
        <is>
          <t>41377646</t>
        </is>
      </c>
      <c r="G940" s="51" t="n">
        <v>44294</v>
      </c>
      <c r="H940" s="33" t="inlineStr">
        <is>
          <t>Australian Age Championships</t>
        </is>
      </c>
      <c r="I940" s="33" t="inlineStr">
        <is>
          <t>197551</t>
        </is>
      </c>
      <c r="J940" s="33" t="inlineStr"/>
      <c r="K940" s="33" t="inlineStr">
        <is>
          <t>FIN</t>
        </is>
      </c>
      <c r="L940" s="35">
        <f>IF(K940="FIN",3,IF(OR(K940="SEM",K940="SEMI"),2,IF(OR(K940="PRE",K940="HEAT"),1,IF(V940="YES",4,2))))</f>
        <v/>
      </c>
      <c r="M940" s="33" t="inlineStr">
        <is>
          <t>LCM</t>
        </is>
      </c>
      <c r="N940" s="33" t="n">
        <v>100</v>
      </c>
      <c r="O940" s="33" t="inlineStr">
        <is>
          <t>Free</t>
        </is>
      </c>
      <c r="P940" s="33" t="inlineStr">
        <is>
          <t>100 Free</t>
        </is>
      </c>
      <c r="Q940" s="33" t="inlineStr">
        <is>
          <t>LCM_100_FREE</t>
        </is>
      </c>
      <c r="R940" s="36" t="n">
        <v>49.55</v>
      </c>
      <c r="S940" s="35">
        <f>IF(R940="","",IF(R940&gt;=60,INT(R940/60)&amp;":"&amp;TEXT(MOD(R940,60),"00.00"),TEXT(R940,"0.00")))</f>
        <v/>
      </c>
      <c r="T940" s="52">
        <f>IFERROR((G940-INDEX('01_Swimmers'!$E$5:$E$22,MATCH(B940,'01_Swimmers'!$A$5:$A$22,0)))/'00_Control'!$B$10,"")</f>
        <v/>
      </c>
      <c r="U940" s="35">
        <f>IF(T940="","",INT(T940))</f>
        <v/>
      </c>
      <c r="V940" s="33" t="inlineStr">
        <is>
          <t>NO</t>
        </is>
      </c>
      <c r="W940" s="33" t="inlineStr">
        <is>
          <t>YES</t>
        </is>
      </c>
      <c r="X940" s="33" t="inlineStr">
        <is>
          <t>NO</t>
        </is>
      </c>
      <c r="Y940" s="33" t="n">
        <v>1</v>
      </c>
      <c r="Z940" s="33" t="n">
        <v>4</v>
      </c>
      <c r="AA940" s="33" t="inlineStr">
        <is>
          <t>1</t>
        </is>
      </c>
      <c r="AB940" s="33" t="inlineStr">
        <is>
          <t>https://www.swimcloud.com/results/197551/event/108/?id=41377646#time41377646</t>
        </is>
      </c>
      <c r="AC940" s="33" t="inlineStr">
        <is>
          <t>SwimCloud API v6 2026-10-08</t>
        </is>
      </c>
      <c r="AD940" s="33" t="inlineStr">
        <is>
          <t>Flynn Southam|2021-04-08|LCM|100|Free|49.55|Australian Age Championships|FIN|False</t>
        </is>
      </c>
      <c r="AE940" s="53">
        <f>G940+L940/1000+ROW()/1000000000</f>
        <v/>
      </c>
      <c r="AF940" s="35">
        <f>IF(C940&lt;&gt;"Grayson Coulter","",COUNTIFS($C$5:$C$2991,"Grayson Coulter",$Q$5:$Q$2991,Q940,$AE$5:$AE$2991,"&lt;="&amp;AE940,$R$5:$R$2991,"&lt;"&amp;R940))</f>
        <v/>
      </c>
      <c r="AG940" s="35">
        <f>IF(OR(C940&lt;&gt;"Grayson Coulter",G940&lt;'00_Control'!$B$7),"",--(AF940&lt;5))</f>
        <v/>
      </c>
      <c r="AH940" s="35">
        <f>IF(OR(C940&lt;&gt;"Grayson Coulter",G940&lt;'00_Control'!$B$7),"",--(AF940&lt;10))</f>
        <v/>
      </c>
      <c r="AI940" s="35">
        <f>IF(AND(C940="Grayson Coulter",G940&gt;='00_Control'!$B$7),"YES","NO")</f>
        <v/>
      </c>
      <c r="AJ940" s="33" t="inlineStr">
        <is>
          <t>OK</t>
        </is>
      </c>
    </row>
    <row r="941">
      <c r="A941" s="33" t="inlineStr">
        <is>
          <t>SM000937</t>
        </is>
      </c>
      <c r="B941" s="33" t="inlineStr">
        <is>
          <t>SW012</t>
        </is>
      </c>
      <c r="C941" s="33" t="inlineStr">
        <is>
          <t>Flynn Southam</t>
        </is>
      </c>
      <c r="D941" s="33" t="inlineStr">
        <is>
          <t>SwimCloud</t>
        </is>
      </c>
      <c r="E941" s="33" t="inlineStr">
        <is>
          <t>956278</t>
        </is>
      </c>
      <c r="F941" s="33" t="inlineStr">
        <is>
          <t>41378091</t>
        </is>
      </c>
      <c r="G941" s="51" t="n">
        <v>44297</v>
      </c>
      <c r="H941" s="33" t="inlineStr">
        <is>
          <t>Australian Age Championships</t>
        </is>
      </c>
      <c r="I941" s="33" t="inlineStr">
        <is>
          <t>197551</t>
        </is>
      </c>
      <c r="J941" s="33" t="inlineStr"/>
      <c r="K941" s="33" t="inlineStr">
        <is>
          <t>PRE</t>
        </is>
      </c>
      <c r="L941" s="35">
        <f>IF(K941="FIN",3,IF(OR(K941="SEM",K941="SEMI"),2,IF(OR(K941="PRE",K941="HEAT"),1,IF(V941="YES",4,2))))</f>
        <v/>
      </c>
      <c r="M941" s="33" t="inlineStr">
        <is>
          <t>LCM</t>
        </is>
      </c>
      <c r="N941" s="33" t="n">
        <v>200</v>
      </c>
      <c r="O941" s="33" t="inlineStr">
        <is>
          <t>Free</t>
        </is>
      </c>
      <c r="P941" s="33" t="inlineStr">
        <is>
          <t>200 Free</t>
        </is>
      </c>
      <c r="Q941" s="33" t="inlineStr">
        <is>
          <t>LCM_200_FREE</t>
        </is>
      </c>
      <c r="R941" s="36" t="n">
        <v>114.28</v>
      </c>
      <c r="S941" s="35">
        <f>IF(R941="","",IF(R941&gt;=60,INT(R941/60)&amp;":"&amp;TEXT(MOD(R941,60),"00.00"),TEXT(R941,"0.00")))</f>
        <v/>
      </c>
      <c r="T941" s="52">
        <f>IFERROR((G941-INDEX('01_Swimmers'!$E$5:$E$22,MATCH(B941,'01_Swimmers'!$A$5:$A$22,0)))/'00_Control'!$B$10,"")</f>
        <v/>
      </c>
      <c r="U941" s="35">
        <f>IF(T941="","",INT(T941))</f>
        <v/>
      </c>
      <c r="V941" s="33" t="inlineStr">
        <is>
          <t>NO</t>
        </is>
      </c>
      <c r="W941" s="33" t="inlineStr">
        <is>
          <t>YES</t>
        </is>
      </c>
      <c r="X941" s="33" t="inlineStr">
        <is>
          <t>NO</t>
        </is>
      </c>
      <c r="Y941" s="33" t="n">
        <v>1</v>
      </c>
      <c r="Z941" s="33" t="n">
        <v>4</v>
      </c>
      <c r="AA941" s="33" t="inlineStr">
        <is>
          <t>1</t>
        </is>
      </c>
      <c r="AB941" s="33" t="inlineStr">
        <is>
          <t>https://www.swimcloud.com/results/197551/event/169/?id=41378091#time41378091</t>
        </is>
      </c>
      <c r="AC941" s="33" t="inlineStr">
        <is>
          <t>SwimCloud API v6 2026-10-08</t>
        </is>
      </c>
      <c r="AD941" s="33" t="inlineStr">
        <is>
          <t>Flynn Southam|2021-04-11|LCM|200|Free|114.28|Australian Age Championships|PRE|False</t>
        </is>
      </c>
      <c r="AE941" s="53">
        <f>G941+L941/1000+ROW()/1000000000</f>
        <v/>
      </c>
      <c r="AF941" s="35">
        <f>IF(C941&lt;&gt;"Grayson Coulter","",COUNTIFS($C$5:$C$2991,"Grayson Coulter",$Q$5:$Q$2991,Q941,$AE$5:$AE$2991,"&lt;="&amp;AE941,$R$5:$R$2991,"&lt;"&amp;R941))</f>
        <v/>
      </c>
      <c r="AG941" s="35">
        <f>IF(OR(C941&lt;&gt;"Grayson Coulter",G941&lt;'00_Control'!$B$7),"",--(AF941&lt;5))</f>
        <v/>
      </c>
      <c r="AH941" s="35">
        <f>IF(OR(C941&lt;&gt;"Grayson Coulter",G941&lt;'00_Control'!$B$7),"",--(AF941&lt;10))</f>
        <v/>
      </c>
      <c r="AI941" s="35">
        <f>IF(AND(C941="Grayson Coulter",G941&gt;='00_Control'!$B$7),"YES","NO")</f>
        <v/>
      </c>
      <c r="AJ941" s="33" t="inlineStr">
        <is>
          <t>OK</t>
        </is>
      </c>
    </row>
    <row r="942">
      <c r="A942" s="33" t="inlineStr">
        <is>
          <t>SM000938</t>
        </is>
      </c>
      <c r="B942" s="33" t="inlineStr">
        <is>
          <t>SW012</t>
        </is>
      </c>
      <c r="C942" s="33" t="inlineStr">
        <is>
          <t>Flynn Southam</t>
        </is>
      </c>
      <c r="D942" s="33" t="inlineStr">
        <is>
          <t>SwimCloud</t>
        </is>
      </c>
      <c r="E942" s="33" t="inlineStr">
        <is>
          <t>956278</t>
        </is>
      </c>
      <c r="F942" s="33" t="inlineStr">
        <is>
          <t>41378092</t>
        </is>
      </c>
      <c r="G942" s="51" t="n">
        <v>44297</v>
      </c>
      <c r="H942" s="33" t="inlineStr">
        <is>
          <t>Australian Age Championships</t>
        </is>
      </c>
      <c r="I942" s="33" t="inlineStr">
        <is>
          <t>197551</t>
        </is>
      </c>
      <c r="J942" s="33" t="inlineStr"/>
      <c r="K942" s="33" t="inlineStr">
        <is>
          <t>FIN</t>
        </is>
      </c>
      <c r="L942" s="35">
        <f>IF(K942="FIN",3,IF(OR(K942="SEM",K942="SEMI"),2,IF(OR(K942="PRE",K942="HEAT"),1,IF(V942="YES",4,2))))</f>
        <v/>
      </c>
      <c r="M942" s="33" t="inlineStr">
        <is>
          <t>LCM</t>
        </is>
      </c>
      <c r="N942" s="33" t="n">
        <v>200</v>
      </c>
      <c r="O942" s="33" t="inlineStr">
        <is>
          <t>Free</t>
        </is>
      </c>
      <c r="P942" s="33" t="inlineStr">
        <is>
          <t>200 Free</t>
        </is>
      </c>
      <c r="Q942" s="33" t="inlineStr">
        <is>
          <t>LCM_200_FREE</t>
        </is>
      </c>
      <c r="R942" s="36" t="n">
        <v>109.66</v>
      </c>
      <c r="S942" s="35">
        <f>IF(R942="","",IF(R942&gt;=60,INT(R942/60)&amp;":"&amp;TEXT(MOD(R942,60),"00.00"),TEXT(R942,"0.00")))</f>
        <v/>
      </c>
      <c r="T942" s="52">
        <f>IFERROR((G942-INDEX('01_Swimmers'!$E$5:$E$22,MATCH(B942,'01_Swimmers'!$A$5:$A$22,0)))/'00_Control'!$B$10,"")</f>
        <v/>
      </c>
      <c r="U942" s="35">
        <f>IF(T942="","",INT(T942))</f>
        <v/>
      </c>
      <c r="V942" s="33" t="inlineStr">
        <is>
          <t>NO</t>
        </is>
      </c>
      <c r="W942" s="33" t="inlineStr">
        <is>
          <t>YES</t>
        </is>
      </c>
      <c r="X942" s="33" t="inlineStr">
        <is>
          <t>NO</t>
        </is>
      </c>
      <c r="Y942" s="33" t="n">
        <v>1</v>
      </c>
      <c r="Z942" s="33" t="n">
        <v>4</v>
      </c>
      <c r="AA942" s="33" t="inlineStr">
        <is>
          <t>1</t>
        </is>
      </c>
      <c r="AB942" s="33" t="inlineStr">
        <is>
          <t>https://www.swimcloud.com/results/197551/event/169/?id=41378092#time41378092</t>
        </is>
      </c>
      <c r="AC942" s="33" t="inlineStr">
        <is>
          <t>SwimCloud API v6 2026-10-08</t>
        </is>
      </c>
      <c r="AD942" s="33" t="inlineStr">
        <is>
          <t>Flynn Southam|2021-04-11|LCM|200|Free|109.66|Australian Age Championships|FIN|False</t>
        </is>
      </c>
      <c r="AE942" s="53">
        <f>G942+L942/1000+ROW()/1000000000</f>
        <v/>
      </c>
      <c r="AF942" s="35">
        <f>IF(C942&lt;&gt;"Grayson Coulter","",COUNTIFS($C$5:$C$2991,"Grayson Coulter",$Q$5:$Q$2991,Q942,$AE$5:$AE$2991,"&lt;="&amp;AE942,$R$5:$R$2991,"&lt;"&amp;R942))</f>
        <v/>
      </c>
      <c r="AG942" s="35">
        <f>IF(OR(C942&lt;&gt;"Grayson Coulter",G942&lt;'00_Control'!$B$7),"",--(AF942&lt;5))</f>
        <v/>
      </c>
      <c r="AH942" s="35">
        <f>IF(OR(C942&lt;&gt;"Grayson Coulter",G942&lt;'00_Control'!$B$7),"",--(AF942&lt;10))</f>
        <v/>
      </c>
      <c r="AI942" s="35">
        <f>IF(AND(C942="Grayson Coulter",G942&gt;='00_Control'!$B$7),"YES","NO")</f>
        <v/>
      </c>
      <c r="AJ942" s="33" t="inlineStr">
        <is>
          <t>OK</t>
        </is>
      </c>
    </row>
    <row r="943">
      <c r="A943" s="33" t="inlineStr">
        <is>
          <t>SM000939</t>
        </is>
      </c>
      <c r="B943" s="33" t="inlineStr">
        <is>
          <t>SW012</t>
        </is>
      </c>
      <c r="C943" s="33" t="inlineStr">
        <is>
          <t>Flynn Southam</t>
        </is>
      </c>
      <c r="D943" s="33" t="inlineStr">
        <is>
          <t>SwimCloud</t>
        </is>
      </c>
      <c r="E943" s="33" t="inlineStr">
        <is>
          <t>956278</t>
        </is>
      </c>
      <c r="F943" s="33" t="inlineStr">
        <is>
          <t>59703481</t>
        </is>
      </c>
      <c r="G943" s="51" t="n">
        <v>44457</v>
      </c>
      <c r="H943" s="33" t="inlineStr">
        <is>
          <t>Queensland SC Championships</t>
        </is>
      </c>
      <c r="I943" s="33" t="inlineStr">
        <is>
          <t>206028</t>
        </is>
      </c>
      <c r="J943" s="33" t="inlineStr"/>
      <c r="K943" s="33" t="inlineStr">
        <is>
          <t>TIM</t>
        </is>
      </c>
      <c r="L943" s="35">
        <f>IF(K943="FIN",3,IF(OR(K943="SEM",K943="SEMI"),2,IF(OR(K943="PRE",K943="HEAT"),1,IF(V943="YES",4,2))))</f>
        <v/>
      </c>
      <c r="M943" s="33" t="inlineStr">
        <is>
          <t>SCM</t>
        </is>
      </c>
      <c r="N943" s="33" t="n">
        <v>100</v>
      </c>
      <c r="O943" s="33" t="inlineStr">
        <is>
          <t>Free</t>
        </is>
      </c>
      <c r="P943" s="33" t="inlineStr">
        <is>
          <t>100 Free</t>
        </is>
      </c>
      <c r="Q943" s="33" t="inlineStr">
        <is>
          <t>SCM_100_FREE</t>
        </is>
      </c>
      <c r="R943" s="36" t="n">
        <v>48.05</v>
      </c>
      <c r="S943" s="35">
        <f>IF(R943="","",IF(R943&gt;=60,INT(R943/60)&amp;":"&amp;TEXT(MOD(R943,60),"00.00"),TEXT(R943,"0.00")))</f>
        <v/>
      </c>
      <c r="T943" s="52">
        <f>IFERROR((G943-INDEX('01_Swimmers'!$E$5:$E$22,MATCH(B943,'01_Swimmers'!$A$5:$A$22,0)))/'00_Control'!$B$10,"")</f>
        <v/>
      </c>
      <c r="U943" s="35">
        <f>IF(T943="","",INT(T943))</f>
        <v/>
      </c>
      <c r="V943" s="33" t="inlineStr">
        <is>
          <t>NO</t>
        </is>
      </c>
      <c r="W943" s="33" t="inlineStr">
        <is>
          <t>YES</t>
        </is>
      </c>
      <c r="X943" s="33" t="inlineStr">
        <is>
          <t>NO</t>
        </is>
      </c>
      <c r="Y943" s="33" t="n">
        <v>1</v>
      </c>
      <c r="Z943" s="33" t="n">
        <v>3</v>
      </c>
      <c r="AA943" s="33" t="inlineStr">
        <is>
          <t>1</t>
        </is>
      </c>
      <c r="AB943" s="33" t="inlineStr">
        <is>
          <t>https://www.swimcloud.com/results/206028/event/77/?id=59703481#time59703481</t>
        </is>
      </c>
      <c r="AC943" s="33" t="inlineStr">
        <is>
          <t>SwimCloud API v6 2026-10-08</t>
        </is>
      </c>
      <c r="AD943" s="33" t="inlineStr">
        <is>
          <t>Flynn Southam|2021-09-18|SCM|100|Free|48.05|Queensland SC Championships|TIM|False</t>
        </is>
      </c>
      <c r="AE943" s="53">
        <f>G943+L943/1000+ROW()/1000000000</f>
        <v/>
      </c>
      <c r="AF943" s="35">
        <f>IF(C943&lt;&gt;"Grayson Coulter","",COUNTIFS($C$5:$C$2991,"Grayson Coulter",$Q$5:$Q$2991,Q943,$AE$5:$AE$2991,"&lt;="&amp;AE943,$R$5:$R$2991,"&lt;"&amp;R943))</f>
        <v/>
      </c>
      <c r="AG943" s="35">
        <f>IF(OR(C943&lt;&gt;"Grayson Coulter",G943&lt;'00_Control'!$B$7),"",--(AF943&lt;5))</f>
        <v/>
      </c>
      <c r="AH943" s="35">
        <f>IF(OR(C943&lt;&gt;"Grayson Coulter",G943&lt;'00_Control'!$B$7),"",--(AF943&lt;10))</f>
        <v/>
      </c>
      <c r="AI943" s="35">
        <f>IF(AND(C943="Grayson Coulter",G943&gt;='00_Control'!$B$7),"YES","NO")</f>
        <v/>
      </c>
      <c r="AJ943" s="33" t="inlineStr">
        <is>
          <t>OK</t>
        </is>
      </c>
    </row>
    <row r="944">
      <c r="A944" s="33" t="inlineStr">
        <is>
          <t>SM000940</t>
        </is>
      </c>
      <c r="B944" s="33" t="inlineStr">
        <is>
          <t>SW012</t>
        </is>
      </c>
      <c r="C944" s="33" t="inlineStr">
        <is>
          <t>Flynn Southam</t>
        </is>
      </c>
      <c r="D944" s="33" t="inlineStr">
        <is>
          <t>SwimCloud</t>
        </is>
      </c>
      <c r="E944" s="33" t="inlineStr">
        <is>
          <t>956278</t>
        </is>
      </c>
      <c r="F944" s="33" t="inlineStr">
        <is>
          <t>74699981</t>
        </is>
      </c>
      <c r="G944" s="51" t="n">
        <v>44776</v>
      </c>
      <c r="H944" s="33" t="inlineStr">
        <is>
          <t>XXII Commonwealth Games</t>
        </is>
      </c>
      <c r="I944" s="33" t="inlineStr">
        <is>
          <t>234864</t>
        </is>
      </c>
      <c r="J944" s="33" t="inlineStr"/>
      <c r="K944" s="33" t="inlineStr">
        <is>
          <t>FIN</t>
        </is>
      </c>
      <c r="L944" s="35">
        <f>IF(K944="FIN",3,IF(OR(K944="SEM",K944="SEMI"),2,IF(OR(K944="PRE",K944="HEAT"),1,IF(V944="YES",4,2))))</f>
        <v/>
      </c>
      <c r="M944" s="33" t="inlineStr">
        <is>
          <t>LCM</t>
        </is>
      </c>
      <c r="N944" s="33" t="n">
        <v>100</v>
      </c>
      <c r="O944" s="33" t="inlineStr">
        <is>
          <t>Free</t>
        </is>
      </c>
      <c r="P944" s="33" t="inlineStr">
        <is>
          <t>100 Free</t>
        </is>
      </c>
      <c r="Q944" s="33" t="inlineStr">
        <is>
          <t>LCM_100_FREE</t>
        </is>
      </c>
      <c r="R944" s="36" t="n">
        <v>48.54</v>
      </c>
      <c r="S944" s="35">
        <f>IF(R944="","",IF(R944&gt;=60,INT(R944/60)&amp;":"&amp;TEXT(MOD(R944,60),"00.00"),TEXT(R944,"0.00")))</f>
        <v/>
      </c>
      <c r="T944" s="52">
        <f>IFERROR((G944-INDEX('01_Swimmers'!$E$5:$E$22,MATCH(B944,'01_Swimmers'!$A$5:$A$22,0)))/'00_Control'!$B$10,"")</f>
        <v/>
      </c>
      <c r="U944" s="35">
        <f>IF(T944="","",INT(T944))</f>
        <v/>
      </c>
      <c r="V944" s="33" t="inlineStr">
        <is>
          <t>NO</t>
        </is>
      </c>
      <c r="W944" s="33" t="inlineStr">
        <is>
          <t>YES</t>
        </is>
      </c>
      <c r="X944" s="33" t="inlineStr">
        <is>
          <t>NO</t>
        </is>
      </c>
      <c r="Y944" s="33" t="n"/>
      <c r="Z944" s="33" t="n"/>
      <c r="AA944" s="33" t="inlineStr">
        <is>
          <t>5</t>
        </is>
      </c>
      <c r="AB944" s="33" t="inlineStr">
        <is>
          <t>https://www.swimcloud.com/results/234864/event/55/?id=74699981#time74699981</t>
        </is>
      </c>
      <c r="AC944" s="33" t="inlineStr">
        <is>
          <t>SwimCloud API v6 2026-10-08</t>
        </is>
      </c>
      <c r="AD944" s="33" t="inlineStr">
        <is>
          <t>Flynn Southam|2022-08-03|LCM|100|Free|48.54|XXII Commonwealth Games|FIN|False</t>
        </is>
      </c>
      <c r="AE944" s="53">
        <f>G944+L944/1000+ROW()/1000000000</f>
        <v/>
      </c>
      <c r="AF944" s="35">
        <f>IF(C944&lt;&gt;"Grayson Coulter","",COUNTIFS($C$5:$C$2991,"Grayson Coulter",$Q$5:$Q$2991,Q944,$AE$5:$AE$2991,"&lt;="&amp;AE944,$R$5:$R$2991,"&lt;"&amp;R944))</f>
        <v/>
      </c>
      <c r="AG944" s="35">
        <f>IF(OR(C944&lt;&gt;"Grayson Coulter",G944&lt;'00_Control'!$B$7),"",--(AF944&lt;5))</f>
        <v/>
      </c>
      <c r="AH944" s="35">
        <f>IF(OR(C944&lt;&gt;"Grayson Coulter",G944&lt;'00_Control'!$B$7),"",--(AF944&lt;10))</f>
        <v/>
      </c>
      <c r="AI944" s="35">
        <f>IF(AND(C944="Grayson Coulter",G944&gt;='00_Control'!$B$7),"YES","NO")</f>
        <v/>
      </c>
      <c r="AJ944" s="33" t="inlineStr">
        <is>
          <t>OK</t>
        </is>
      </c>
    </row>
    <row r="945">
      <c r="A945" s="33" t="inlineStr">
        <is>
          <t>SM000941</t>
        </is>
      </c>
      <c r="B945" s="33" t="inlineStr">
        <is>
          <t>SW012</t>
        </is>
      </c>
      <c r="C945" s="33" t="inlineStr">
        <is>
          <t>Flynn Southam</t>
        </is>
      </c>
      <c r="D945" s="33" t="inlineStr">
        <is>
          <t>SwimCloud</t>
        </is>
      </c>
      <c r="E945" s="33" t="inlineStr">
        <is>
          <t>956278</t>
        </is>
      </c>
      <c r="F945" s="33" t="inlineStr">
        <is>
          <t>77084150</t>
        </is>
      </c>
      <c r="G945" s="51" t="n">
        <v>44797</v>
      </c>
      <c r="H945" s="33" t="inlineStr">
        <is>
          <t>Junior Pan Pacific Swimming Championships</t>
        </is>
      </c>
      <c r="I945" s="33" t="inlineStr">
        <is>
          <t>238371</t>
        </is>
      </c>
      <c r="J945" s="33" t="inlineStr"/>
      <c r="K945" s="33" t="inlineStr">
        <is>
          <t>PRE</t>
        </is>
      </c>
      <c r="L945" s="35">
        <f>IF(K945="FIN",3,IF(OR(K945="SEM",K945="SEMI"),2,IF(OR(K945="PRE",K945="HEAT"),1,IF(V945="YES",4,2))))</f>
        <v/>
      </c>
      <c r="M945" s="33" t="inlineStr">
        <is>
          <t>LCM</t>
        </is>
      </c>
      <c r="N945" s="33" t="n">
        <v>200</v>
      </c>
      <c r="O945" s="33" t="inlineStr">
        <is>
          <t>Free</t>
        </is>
      </c>
      <c r="P945" s="33" t="inlineStr">
        <is>
          <t>200 Free</t>
        </is>
      </c>
      <c r="Q945" s="33" t="inlineStr">
        <is>
          <t>LCM_200_FREE</t>
        </is>
      </c>
      <c r="R945" s="36" t="n">
        <v>108.35</v>
      </c>
      <c r="S945" s="35">
        <f>IF(R945="","",IF(R945&gt;=60,INT(R945/60)&amp;":"&amp;TEXT(MOD(R945,60),"00.00"),TEXT(R945,"0.00")))</f>
        <v/>
      </c>
      <c r="T945" s="52">
        <f>IFERROR((G945-INDEX('01_Swimmers'!$E$5:$E$22,MATCH(B945,'01_Swimmers'!$A$5:$A$22,0)))/'00_Control'!$B$10,"")</f>
        <v/>
      </c>
      <c r="U945" s="35">
        <f>IF(T945="","",INT(T945))</f>
        <v/>
      </c>
      <c r="V945" s="33" t="inlineStr">
        <is>
          <t>NO</t>
        </is>
      </c>
      <c r="W945" s="33" t="inlineStr">
        <is>
          <t>YES</t>
        </is>
      </c>
      <c r="X945" s="33" t="inlineStr">
        <is>
          <t>NO</t>
        </is>
      </c>
      <c r="Y945" s="33" t="n">
        <v>4</v>
      </c>
      <c r="Z945" s="33" t="n">
        <v>5</v>
      </c>
      <c r="AA945" s="33" t="inlineStr">
        <is>
          <t>1</t>
        </is>
      </c>
      <c r="AB945" s="33" t="inlineStr">
        <is>
          <t>https://www.swimcloud.com/results/238371/event/2/?id=77084150#time77084150</t>
        </is>
      </c>
      <c r="AC945" s="33" t="inlineStr">
        <is>
          <t>SwimCloud API v6 2026-10-08</t>
        </is>
      </c>
      <c r="AD945" s="33" t="inlineStr">
        <is>
          <t>Flynn Southam|2022-08-24|LCM|200|Free|108.35|Junior Pan Pacific Swimming Championships|PRE|False</t>
        </is>
      </c>
      <c r="AE945" s="53">
        <f>G945+L945/1000+ROW()/1000000000</f>
        <v/>
      </c>
      <c r="AF945" s="35">
        <f>IF(C945&lt;&gt;"Grayson Coulter","",COUNTIFS($C$5:$C$2991,"Grayson Coulter",$Q$5:$Q$2991,Q945,$AE$5:$AE$2991,"&lt;="&amp;AE945,$R$5:$R$2991,"&lt;"&amp;R945))</f>
        <v/>
      </c>
      <c r="AG945" s="35">
        <f>IF(OR(C945&lt;&gt;"Grayson Coulter",G945&lt;'00_Control'!$B$7),"",--(AF945&lt;5))</f>
        <v/>
      </c>
      <c r="AH945" s="35">
        <f>IF(OR(C945&lt;&gt;"Grayson Coulter",G945&lt;'00_Control'!$B$7),"",--(AF945&lt;10))</f>
        <v/>
      </c>
      <c r="AI945" s="35">
        <f>IF(AND(C945="Grayson Coulter",G945&gt;='00_Control'!$B$7),"YES","NO")</f>
        <v/>
      </c>
      <c r="AJ945" s="33" t="inlineStr">
        <is>
          <t>OK</t>
        </is>
      </c>
    </row>
    <row r="946">
      <c r="A946" s="33" t="inlineStr">
        <is>
          <t>SM000942</t>
        </is>
      </c>
      <c r="B946" s="33" t="inlineStr">
        <is>
          <t>SW012</t>
        </is>
      </c>
      <c r="C946" s="33" t="inlineStr">
        <is>
          <t>Flynn Southam</t>
        </is>
      </c>
      <c r="D946" s="33" t="inlineStr">
        <is>
          <t>SwimCloud</t>
        </is>
      </c>
      <c r="E946" s="33" t="inlineStr">
        <is>
          <t>956278</t>
        </is>
      </c>
      <c r="F946" s="33" t="inlineStr">
        <is>
          <t>77084151</t>
        </is>
      </c>
      <c r="G946" s="51" t="n">
        <v>44797</v>
      </c>
      <c r="H946" s="33" t="inlineStr">
        <is>
          <t>Junior Pan Pacific Swimming Championships</t>
        </is>
      </c>
      <c r="I946" s="33" t="inlineStr">
        <is>
          <t>238371</t>
        </is>
      </c>
      <c r="J946" s="33" t="inlineStr"/>
      <c r="K946" s="33" t="inlineStr">
        <is>
          <t>FIN</t>
        </is>
      </c>
      <c r="L946" s="35">
        <f>IF(K946="FIN",3,IF(OR(K946="SEM",K946="SEMI"),2,IF(OR(K946="PRE",K946="HEAT"),1,IF(V946="YES",4,2))))</f>
        <v/>
      </c>
      <c r="M946" s="33" t="inlineStr">
        <is>
          <t>LCM</t>
        </is>
      </c>
      <c r="N946" s="33" t="n">
        <v>200</v>
      </c>
      <c r="O946" s="33" t="inlineStr">
        <is>
          <t>Free</t>
        </is>
      </c>
      <c r="P946" s="33" t="inlineStr">
        <is>
          <t>200 Free</t>
        </is>
      </c>
      <c r="Q946" s="33" t="inlineStr">
        <is>
          <t>LCM_200_FREE</t>
        </is>
      </c>
      <c r="R946" s="36" t="n">
        <v>107.11</v>
      </c>
      <c r="S946" s="35">
        <f>IF(R946="","",IF(R946&gt;=60,INT(R946/60)&amp;":"&amp;TEXT(MOD(R946,60),"00.00"),TEXT(R946,"0.00")))</f>
        <v/>
      </c>
      <c r="T946" s="52">
        <f>IFERROR((G946-INDEX('01_Swimmers'!$E$5:$E$22,MATCH(B946,'01_Swimmers'!$A$5:$A$22,0)))/'00_Control'!$B$10,"")</f>
        <v/>
      </c>
      <c r="U946" s="35">
        <f>IF(T946="","",INT(T946))</f>
        <v/>
      </c>
      <c r="V946" s="33" t="inlineStr">
        <is>
          <t>NO</t>
        </is>
      </c>
      <c r="W946" s="33" t="inlineStr">
        <is>
          <t>YES</t>
        </is>
      </c>
      <c r="X946" s="33" t="inlineStr">
        <is>
          <t>NO</t>
        </is>
      </c>
      <c r="Y946" s="33" t="n">
        <v>2</v>
      </c>
      <c r="Z946" s="33" t="n">
        <v>5</v>
      </c>
      <c r="AA946" s="33" t="inlineStr">
        <is>
          <t>1</t>
        </is>
      </c>
      <c r="AB946" s="33" t="inlineStr">
        <is>
          <t>https://www.swimcloud.com/results/238371/event/2/?id=77084151#time77084151</t>
        </is>
      </c>
      <c r="AC946" s="33" t="inlineStr">
        <is>
          <t>SwimCloud API v6 2026-10-08</t>
        </is>
      </c>
      <c r="AD946" s="33" t="inlineStr">
        <is>
          <t>Flynn Southam|2022-08-24|LCM|200|Free|107.11|Junior Pan Pacific Swimming Championships|FIN|False</t>
        </is>
      </c>
      <c r="AE946" s="53">
        <f>G946+L946/1000+ROW()/1000000000</f>
        <v/>
      </c>
      <c r="AF946" s="35">
        <f>IF(C946&lt;&gt;"Grayson Coulter","",COUNTIFS($C$5:$C$2991,"Grayson Coulter",$Q$5:$Q$2991,Q946,$AE$5:$AE$2991,"&lt;="&amp;AE946,$R$5:$R$2991,"&lt;"&amp;R946))</f>
        <v/>
      </c>
      <c r="AG946" s="35">
        <f>IF(OR(C946&lt;&gt;"Grayson Coulter",G946&lt;'00_Control'!$B$7),"",--(AF946&lt;5))</f>
        <v/>
      </c>
      <c r="AH946" s="35">
        <f>IF(OR(C946&lt;&gt;"Grayson Coulter",G946&lt;'00_Control'!$B$7),"",--(AF946&lt;10))</f>
        <v/>
      </c>
      <c r="AI946" s="35">
        <f>IF(AND(C946="Grayson Coulter",G946&gt;='00_Control'!$B$7),"YES","NO")</f>
        <v/>
      </c>
      <c r="AJ946" s="33" t="inlineStr">
        <is>
          <t>OK</t>
        </is>
      </c>
    </row>
    <row r="947">
      <c r="A947" s="33" t="inlineStr">
        <is>
          <t>SM000943</t>
        </is>
      </c>
      <c r="B947" s="33" t="inlineStr">
        <is>
          <t>SW012</t>
        </is>
      </c>
      <c r="C947" s="33" t="inlineStr">
        <is>
          <t>Flynn Southam</t>
        </is>
      </c>
      <c r="D947" s="33" t="inlineStr">
        <is>
          <t>SwimCloud</t>
        </is>
      </c>
      <c r="E947" s="33" t="inlineStr">
        <is>
          <t>956278</t>
        </is>
      </c>
      <c r="F947" s="33" t="inlineStr">
        <is>
          <t>77083580</t>
        </is>
      </c>
      <c r="G947" s="51" t="n">
        <v>44798</v>
      </c>
      <c r="H947" s="33" t="inlineStr">
        <is>
          <t>Junior Pan Pacific Swimming Championships</t>
        </is>
      </c>
      <c r="I947" s="33" t="inlineStr">
        <is>
          <t>238371</t>
        </is>
      </c>
      <c r="J947" s="33" t="inlineStr"/>
      <c r="K947" s="33" t="inlineStr">
        <is>
          <t>PRE</t>
        </is>
      </c>
      <c r="L947" s="35">
        <f>IF(K947="FIN",3,IF(OR(K947="SEM",K947="SEMI"),2,IF(OR(K947="PRE",K947="HEAT"),1,IF(V947="YES",4,2))))</f>
        <v/>
      </c>
      <c r="M947" s="33" t="inlineStr">
        <is>
          <t>LCM</t>
        </is>
      </c>
      <c r="N947" s="33" t="n">
        <v>100</v>
      </c>
      <c r="O947" s="33" t="inlineStr">
        <is>
          <t>Free</t>
        </is>
      </c>
      <c r="P947" s="33" t="inlineStr">
        <is>
          <t>100 Free</t>
        </is>
      </c>
      <c r="Q947" s="33" t="inlineStr">
        <is>
          <t>LCM_100_FREE</t>
        </is>
      </c>
      <c r="R947" s="36" t="n">
        <v>49.12</v>
      </c>
      <c r="S947" s="35">
        <f>IF(R947="","",IF(R947&gt;=60,INT(R947/60)&amp;":"&amp;TEXT(MOD(R947,60),"00.00"),TEXT(R947,"0.00")))</f>
        <v/>
      </c>
      <c r="T947" s="52">
        <f>IFERROR((G947-INDEX('01_Swimmers'!$E$5:$E$22,MATCH(B947,'01_Swimmers'!$A$5:$A$22,0)))/'00_Control'!$B$10,"")</f>
        <v/>
      </c>
      <c r="U947" s="35">
        <f>IF(T947="","",INT(T947))</f>
        <v/>
      </c>
      <c r="V947" s="33" t="inlineStr">
        <is>
          <t>NO</t>
        </is>
      </c>
      <c r="W947" s="33" t="inlineStr">
        <is>
          <t>YES</t>
        </is>
      </c>
      <c r="X947" s="33" t="inlineStr">
        <is>
          <t>NO</t>
        </is>
      </c>
      <c r="Y947" s="33" t="n">
        <v>7</v>
      </c>
      <c r="Z947" s="33" t="n">
        <v>5</v>
      </c>
      <c r="AA947" s="33" t="inlineStr">
        <is>
          <t>2</t>
        </is>
      </c>
      <c r="AB947" s="33" t="inlineStr">
        <is>
          <t>https://www.swimcloud.com/results/238371/event/11/?id=77083580#time77083580</t>
        </is>
      </c>
      <c r="AC947" s="33" t="inlineStr">
        <is>
          <t>SwimCloud API v6 2026-10-08</t>
        </is>
      </c>
      <c r="AD947" s="33" t="inlineStr">
        <is>
          <t>Flynn Southam|2022-08-25|LCM|100|Free|49.12|Junior Pan Pacific Swimming Championships|PRE|False</t>
        </is>
      </c>
      <c r="AE947" s="53">
        <f>G947+L947/1000+ROW()/1000000000</f>
        <v/>
      </c>
      <c r="AF947" s="35">
        <f>IF(C947&lt;&gt;"Grayson Coulter","",COUNTIFS($C$5:$C$2991,"Grayson Coulter",$Q$5:$Q$2991,Q947,$AE$5:$AE$2991,"&lt;="&amp;AE947,$R$5:$R$2991,"&lt;"&amp;R947))</f>
        <v/>
      </c>
      <c r="AG947" s="35">
        <f>IF(OR(C947&lt;&gt;"Grayson Coulter",G947&lt;'00_Control'!$B$7),"",--(AF947&lt;5))</f>
        <v/>
      </c>
      <c r="AH947" s="35">
        <f>IF(OR(C947&lt;&gt;"Grayson Coulter",G947&lt;'00_Control'!$B$7),"",--(AF947&lt;10))</f>
        <v/>
      </c>
      <c r="AI947" s="35">
        <f>IF(AND(C947="Grayson Coulter",G947&gt;='00_Control'!$B$7),"YES","NO")</f>
        <v/>
      </c>
      <c r="AJ947" s="33" t="inlineStr">
        <is>
          <t>OK</t>
        </is>
      </c>
    </row>
    <row r="948">
      <c r="A948" s="33" t="inlineStr">
        <is>
          <t>SM000944</t>
        </is>
      </c>
      <c r="B948" s="33" t="inlineStr">
        <is>
          <t>SW012</t>
        </is>
      </c>
      <c r="C948" s="33" t="inlineStr">
        <is>
          <t>Flynn Southam</t>
        </is>
      </c>
      <c r="D948" s="33" t="inlineStr">
        <is>
          <t>SwimCloud</t>
        </is>
      </c>
      <c r="E948" s="33" t="inlineStr">
        <is>
          <t>956278</t>
        </is>
      </c>
      <c r="F948" s="33" t="inlineStr">
        <is>
          <t>77083581</t>
        </is>
      </c>
      <c r="G948" s="51" t="n">
        <v>44798</v>
      </c>
      <c r="H948" s="33" t="inlineStr">
        <is>
          <t>Junior Pan Pacific Swimming Championships</t>
        </is>
      </c>
      <c r="I948" s="33" t="inlineStr">
        <is>
          <t>238371</t>
        </is>
      </c>
      <c r="J948" s="33" t="inlineStr"/>
      <c r="K948" s="33" t="inlineStr">
        <is>
          <t>FIN</t>
        </is>
      </c>
      <c r="L948" s="35">
        <f>IF(K948="FIN",3,IF(OR(K948="SEM",K948="SEMI"),2,IF(OR(K948="PRE",K948="HEAT"),1,IF(V948="YES",4,2))))</f>
        <v/>
      </c>
      <c r="M948" s="33" t="inlineStr">
        <is>
          <t>LCM</t>
        </is>
      </c>
      <c r="N948" s="33" t="n">
        <v>100</v>
      </c>
      <c r="O948" s="33" t="inlineStr">
        <is>
          <t>Free</t>
        </is>
      </c>
      <c r="P948" s="33" t="inlineStr">
        <is>
          <t>100 Free</t>
        </is>
      </c>
      <c r="Q948" s="33" t="inlineStr">
        <is>
          <t>LCM_100_FREE</t>
        </is>
      </c>
      <c r="R948" s="36" t="n">
        <v>48.23</v>
      </c>
      <c r="S948" s="35">
        <f>IF(R948="","",IF(R948&gt;=60,INT(R948/60)&amp;":"&amp;TEXT(MOD(R948,60),"00.00"),TEXT(R948,"0.00")))</f>
        <v/>
      </c>
      <c r="T948" s="52">
        <f>IFERROR((G948-INDEX('01_Swimmers'!$E$5:$E$22,MATCH(B948,'01_Swimmers'!$A$5:$A$22,0)))/'00_Control'!$B$10,"")</f>
        <v/>
      </c>
      <c r="U948" s="35">
        <f>IF(T948="","",INT(T948))</f>
        <v/>
      </c>
      <c r="V948" s="33" t="inlineStr">
        <is>
          <t>NO</t>
        </is>
      </c>
      <c r="W948" s="33" t="inlineStr">
        <is>
          <t>YES</t>
        </is>
      </c>
      <c r="X948" s="33" t="inlineStr">
        <is>
          <t>NO</t>
        </is>
      </c>
      <c r="Y948" s="33" t="n">
        <v>2</v>
      </c>
      <c r="Z948" s="33" t="n">
        <v>6</v>
      </c>
      <c r="AA948" s="33" t="inlineStr">
        <is>
          <t>1</t>
        </is>
      </c>
      <c r="AB948" s="33" t="inlineStr">
        <is>
          <t>https://www.swimcloud.com/results/238371/event/11/?id=77083581#time77083581</t>
        </is>
      </c>
      <c r="AC948" s="33" t="inlineStr">
        <is>
          <t>SwimCloud API v6 2026-10-08</t>
        </is>
      </c>
      <c r="AD948" s="33" t="inlineStr">
        <is>
          <t>Flynn Southam|2022-08-25|LCM|100|Free|48.23|Junior Pan Pacific Swimming Championships|FIN|False</t>
        </is>
      </c>
      <c r="AE948" s="53">
        <f>G948+L948/1000+ROW()/1000000000</f>
        <v/>
      </c>
      <c r="AF948" s="35">
        <f>IF(C948&lt;&gt;"Grayson Coulter","",COUNTIFS($C$5:$C$2991,"Grayson Coulter",$Q$5:$Q$2991,Q948,$AE$5:$AE$2991,"&lt;="&amp;AE948,$R$5:$R$2991,"&lt;"&amp;R948))</f>
        <v/>
      </c>
      <c r="AG948" s="35">
        <f>IF(OR(C948&lt;&gt;"Grayson Coulter",G948&lt;'00_Control'!$B$7),"",--(AF948&lt;5))</f>
        <v/>
      </c>
      <c r="AH948" s="35">
        <f>IF(OR(C948&lt;&gt;"Grayson Coulter",G948&lt;'00_Control'!$B$7),"",--(AF948&lt;10))</f>
        <v/>
      </c>
      <c r="AI948" s="35">
        <f>IF(AND(C948="Grayson Coulter",G948&gt;='00_Control'!$B$7),"YES","NO")</f>
        <v/>
      </c>
      <c r="AJ948" s="33" t="inlineStr">
        <is>
          <t>OK</t>
        </is>
      </c>
    </row>
    <row r="949">
      <c r="A949" s="33" t="inlineStr">
        <is>
          <t>SM000945</t>
        </is>
      </c>
      <c r="B949" s="33" t="inlineStr">
        <is>
          <t>SW012</t>
        </is>
      </c>
      <c r="C949" s="33" t="inlineStr">
        <is>
          <t>Flynn Southam</t>
        </is>
      </c>
      <c r="D949" s="33" t="inlineStr">
        <is>
          <t>SwimCloud</t>
        </is>
      </c>
      <c r="E949" s="33" t="inlineStr">
        <is>
          <t>956278</t>
        </is>
      </c>
      <c r="F949" s="33" t="inlineStr">
        <is>
          <t>77084605</t>
        </is>
      </c>
      <c r="G949" s="51" t="n">
        <v>44798</v>
      </c>
      <c r="H949" s="33" t="inlineStr">
        <is>
          <t>Junior Pan Pacific Swimming Championships</t>
        </is>
      </c>
      <c r="I949" s="33" t="inlineStr">
        <is>
          <t>238371</t>
        </is>
      </c>
      <c r="J949" s="33" t="inlineStr"/>
      <c r="K949" s="33" t="inlineStr">
        <is>
          <t>TIM</t>
        </is>
      </c>
      <c r="L949" s="35">
        <f>IF(K949="FIN",3,IF(OR(K949="SEM",K949="SEMI"),2,IF(OR(K949="PRE",K949="HEAT"),1,IF(V949="YES",4,2))))</f>
        <v/>
      </c>
      <c r="M949" s="33" t="inlineStr">
        <is>
          <t>LCM</t>
        </is>
      </c>
      <c r="N949" s="33" t="n">
        <v>200</v>
      </c>
      <c r="O949" s="33" t="inlineStr">
        <is>
          <t>Free</t>
        </is>
      </c>
      <c r="P949" s="33" t="inlineStr">
        <is>
          <t>200 Free</t>
        </is>
      </c>
      <c r="Q949" s="33" t="inlineStr">
        <is>
          <t>LCM_200_FREE</t>
        </is>
      </c>
      <c r="R949" s="36" t="n">
        <v>107.3</v>
      </c>
      <c r="S949" s="35">
        <f>IF(R949="","",IF(R949&gt;=60,INT(R949/60)&amp;":"&amp;TEXT(MOD(R949,60),"00.00"),TEXT(R949,"0.00")))</f>
        <v/>
      </c>
      <c r="T949" s="52">
        <f>IFERROR((G949-INDEX('01_Swimmers'!$E$5:$E$22,MATCH(B949,'01_Swimmers'!$A$5:$A$22,0)))/'00_Control'!$B$10,"")</f>
        <v/>
      </c>
      <c r="U949" s="35">
        <f>IF(T949="","",INT(T949))</f>
        <v/>
      </c>
      <c r="V949" s="33" t="inlineStr">
        <is>
          <t>YES</t>
        </is>
      </c>
      <c r="W949" s="33" t="inlineStr">
        <is>
          <t>YES</t>
        </is>
      </c>
      <c r="X949" s="33" t="inlineStr">
        <is>
          <t>NO</t>
        </is>
      </c>
      <c r="Y949" s="33" t="n">
        <v>2</v>
      </c>
      <c r="Z949" s="33" t="n">
        <v>6</v>
      </c>
      <c r="AA949" s="33" t="inlineStr"/>
      <c r="AB949" s="33" t="inlineStr">
        <is>
          <t>https://www.swimcloud.com/results/238371/event/17/?id=77084499#time77084499</t>
        </is>
      </c>
      <c r="AC949" s="33" t="inlineStr">
        <is>
          <t>SwimCloud API v6 2026-10-08</t>
        </is>
      </c>
      <c r="AD949" s="33" t="inlineStr">
        <is>
          <t>Flynn Southam|2022-08-25|LCM|200|Free|107.3|Junior Pan Pacific Swimming Championships|TIM|True</t>
        </is>
      </c>
      <c r="AE949" s="53">
        <f>G949+L949/1000+ROW()/1000000000</f>
        <v/>
      </c>
      <c r="AF949" s="35">
        <f>IF(C949&lt;&gt;"Grayson Coulter","",COUNTIFS($C$5:$C$2991,"Grayson Coulter",$Q$5:$Q$2991,Q949,$AE$5:$AE$2991,"&lt;="&amp;AE949,$R$5:$R$2991,"&lt;"&amp;R949))</f>
        <v/>
      </c>
      <c r="AG949" s="35">
        <f>IF(OR(C949&lt;&gt;"Grayson Coulter",G949&lt;'00_Control'!$B$7),"",--(AF949&lt;5))</f>
        <v/>
      </c>
      <c r="AH949" s="35">
        <f>IF(OR(C949&lt;&gt;"Grayson Coulter",G949&lt;'00_Control'!$B$7),"",--(AF949&lt;10))</f>
        <v/>
      </c>
      <c r="AI949" s="35">
        <f>IF(AND(C949="Grayson Coulter",G949&gt;='00_Control'!$B$7),"YES","NO")</f>
        <v/>
      </c>
      <c r="AJ949" s="33" t="inlineStr">
        <is>
          <t>OK</t>
        </is>
      </c>
    </row>
    <row r="950">
      <c r="A950" s="33" t="inlineStr">
        <is>
          <t>SM000946</t>
        </is>
      </c>
      <c r="B950" s="33" t="inlineStr">
        <is>
          <t>SW012</t>
        </is>
      </c>
      <c r="C950" s="33" t="inlineStr">
        <is>
          <t>Flynn Southam</t>
        </is>
      </c>
      <c r="D950" s="33" t="inlineStr">
        <is>
          <t>SwimCloud</t>
        </is>
      </c>
      <c r="E950" s="33" t="inlineStr">
        <is>
          <t>956278</t>
        </is>
      </c>
      <c r="F950" s="33" t="inlineStr">
        <is>
          <t>77084685</t>
        </is>
      </c>
      <c r="G950" s="51" t="n">
        <v>44799</v>
      </c>
      <c r="H950" s="33" t="inlineStr">
        <is>
          <t>Junior Pan Pacific Swimming Championships</t>
        </is>
      </c>
      <c r="I950" s="33" t="inlineStr">
        <is>
          <t>238371</t>
        </is>
      </c>
      <c r="J950" s="33" t="inlineStr"/>
      <c r="K950" s="33" t="inlineStr">
        <is>
          <t>TIM</t>
        </is>
      </c>
      <c r="L950" s="35">
        <f>IF(K950="FIN",3,IF(OR(K950="SEM",K950="SEMI"),2,IF(OR(K950="PRE",K950="HEAT"),1,IF(V950="YES",4,2))))</f>
        <v/>
      </c>
      <c r="M950" s="33" t="inlineStr">
        <is>
          <t>LCM</t>
        </is>
      </c>
      <c r="N950" s="33" t="n">
        <v>100</v>
      </c>
      <c r="O950" s="33" t="inlineStr">
        <is>
          <t>Free</t>
        </is>
      </c>
      <c r="P950" s="33" t="inlineStr">
        <is>
          <t>100 Free</t>
        </is>
      </c>
      <c r="Q950" s="33" t="inlineStr">
        <is>
          <t>LCM_100_FREE</t>
        </is>
      </c>
      <c r="R950" s="36" t="n">
        <v>48.43</v>
      </c>
      <c r="S950" s="35">
        <f>IF(R950="","",IF(R950&gt;=60,INT(R950/60)&amp;":"&amp;TEXT(MOD(R950,60),"00.00"),TEXT(R950,"0.00")))</f>
        <v/>
      </c>
      <c r="T950" s="52">
        <f>IFERROR((G950-INDEX('01_Swimmers'!$E$5:$E$22,MATCH(B950,'01_Swimmers'!$A$5:$A$22,0)))/'00_Control'!$B$10,"")</f>
        <v/>
      </c>
      <c r="U950" s="35">
        <f>IF(T950="","",INT(T950))</f>
        <v/>
      </c>
      <c r="V950" s="33" t="inlineStr">
        <is>
          <t>YES</t>
        </is>
      </c>
      <c r="W950" s="33" t="inlineStr">
        <is>
          <t>YES</t>
        </is>
      </c>
      <c r="X950" s="33" t="inlineStr">
        <is>
          <t>NO</t>
        </is>
      </c>
      <c r="Y950" s="33" t="n">
        <v>2</v>
      </c>
      <c r="Z950" s="33" t="n">
        <v>4</v>
      </c>
      <c r="AA950" s="33" t="inlineStr"/>
      <c r="AB950" s="33" t="inlineStr">
        <is>
          <t>https://www.swimcloud.com/results/238371/event/25/?id=77084519#time77084519</t>
        </is>
      </c>
      <c r="AC950" s="33" t="inlineStr">
        <is>
          <t>SwimCloud API v6 2026-10-08</t>
        </is>
      </c>
      <c r="AD950" s="33" t="inlineStr">
        <is>
          <t>Flynn Southam|2022-08-26|LCM|100|Free|48.43|Junior Pan Pacific Swimming Championships|TIM|True</t>
        </is>
      </c>
      <c r="AE950" s="53">
        <f>G950+L950/1000+ROW()/1000000000</f>
        <v/>
      </c>
      <c r="AF950" s="35">
        <f>IF(C950&lt;&gt;"Grayson Coulter","",COUNTIFS($C$5:$C$2991,"Grayson Coulter",$Q$5:$Q$2991,Q950,$AE$5:$AE$2991,"&lt;="&amp;AE950,$R$5:$R$2991,"&lt;"&amp;R950))</f>
        <v/>
      </c>
      <c r="AG950" s="35">
        <f>IF(OR(C950&lt;&gt;"Grayson Coulter",G950&lt;'00_Control'!$B$7),"",--(AF950&lt;5))</f>
        <v/>
      </c>
      <c r="AH950" s="35">
        <f>IF(OR(C950&lt;&gt;"Grayson Coulter",G950&lt;'00_Control'!$B$7),"",--(AF950&lt;10))</f>
        <v/>
      </c>
      <c r="AI950" s="35">
        <f>IF(AND(C950="Grayson Coulter",G950&gt;='00_Control'!$B$7),"YES","NO")</f>
        <v/>
      </c>
      <c r="AJ950" s="33" t="inlineStr">
        <is>
          <t>OK</t>
        </is>
      </c>
    </row>
    <row r="951">
      <c r="A951" s="33" t="inlineStr">
        <is>
          <t>SM000947</t>
        </is>
      </c>
      <c r="B951" s="33" t="inlineStr">
        <is>
          <t>SW012</t>
        </is>
      </c>
      <c r="C951" s="33" t="inlineStr">
        <is>
          <t>Flynn Southam</t>
        </is>
      </c>
      <c r="D951" s="33" t="inlineStr">
        <is>
          <t>SwimCloud</t>
        </is>
      </c>
      <c r="E951" s="33" t="inlineStr">
        <is>
          <t>956278</t>
        </is>
      </c>
      <c r="F951" s="33" t="inlineStr">
        <is>
          <t>91594640</t>
        </is>
      </c>
      <c r="G951" s="51" t="n">
        <v>44908</v>
      </c>
      <c r="H951" s="33" t="inlineStr">
        <is>
          <t>16th FINA World Short Course Championships</t>
        </is>
      </c>
      <c r="I951" s="33" t="inlineStr">
        <is>
          <t>234877</t>
        </is>
      </c>
      <c r="J951" s="33" t="inlineStr"/>
      <c r="K951" s="33" t="inlineStr">
        <is>
          <t>FIN</t>
        </is>
      </c>
      <c r="L951" s="35">
        <f>IF(K951="FIN",3,IF(OR(K951="SEM",K951="SEMI"),2,IF(OR(K951="PRE",K951="HEAT"),1,IF(V951="YES",4,2))))</f>
        <v/>
      </c>
      <c r="M951" s="33" t="inlineStr">
        <is>
          <t>SCM</t>
        </is>
      </c>
      <c r="N951" s="33" t="n">
        <v>100</v>
      </c>
      <c r="O951" s="33" t="inlineStr">
        <is>
          <t>Free</t>
        </is>
      </c>
      <c r="P951" s="33" t="inlineStr">
        <is>
          <t>100 Free</t>
        </is>
      </c>
      <c r="Q951" s="33" t="inlineStr">
        <is>
          <t>SCM_100_FREE</t>
        </is>
      </c>
      <c r="R951" s="36" t="n">
        <v>47.04</v>
      </c>
      <c r="S951" s="35">
        <f>IF(R951="","",IF(R951&gt;=60,INT(R951/60)&amp;":"&amp;TEXT(MOD(R951,60),"00.00"),TEXT(R951,"0.00")))</f>
        <v/>
      </c>
      <c r="T951" s="52">
        <f>IFERROR((G951-INDEX('01_Swimmers'!$E$5:$E$22,MATCH(B951,'01_Swimmers'!$A$5:$A$22,0)))/'00_Control'!$B$10,"")</f>
        <v/>
      </c>
      <c r="U951" s="35">
        <f>IF(T951="","",INT(T951))</f>
        <v/>
      </c>
      <c r="V951" s="33" t="inlineStr">
        <is>
          <t>YES</t>
        </is>
      </c>
      <c r="W951" s="33" t="inlineStr">
        <is>
          <t>YES</t>
        </is>
      </c>
      <c r="X951" s="33" t="inlineStr">
        <is>
          <t>NO</t>
        </is>
      </c>
      <c r="Y951" s="33" t="n">
        <v>1</v>
      </c>
      <c r="Z951" s="33" t="n">
        <v>6</v>
      </c>
      <c r="AA951" s="33" t="inlineStr"/>
      <c r="AB951" s="33" t="inlineStr">
        <is>
          <t>https://www.swimcloud.com/results/234877/event/9/?id=91592381#time91592381</t>
        </is>
      </c>
      <c r="AC951" s="33" t="inlineStr">
        <is>
          <t>SwimCloud API v6 2026-10-08</t>
        </is>
      </c>
      <c r="AD951" s="33" t="inlineStr">
        <is>
          <t>Flynn Southam|2022-12-13|SCM|100|Free|47.04|16th FINA World Short Course Championships|FIN|True</t>
        </is>
      </c>
      <c r="AE951" s="53">
        <f>G951+L951/1000+ROW()/1000000000</f>
        <v/>
      </c>
      <c r="AF951" s="35">
        <f>IF(C951&lt;&gt;"Grayson Coulter","",COUNTIFS($C$5:$C$2991,"Grayson Coulter",$Q$5:$Q$2991,Q951,$AE$5:$AE$2991,"&lt;="&amp;AE951,$R$5:$R$2991,"&lt;"&amp;R951))</f>
        <v/>
      </c>
      <c r="AG951" s="35">
        <f>IF(OR(C951&lt;&gt;"Grayson Coulter",G951&lt;'00_Control'!$B$7),"",--(AF951&lt;5))</f>
        <v/>
      </c>
      <c r="AH951" s="35">
        <f>IF(OR(C951&lt;&gt;"Grayson Coulter",G951&lt;'00_Control'!$B$7),"",--(AF951&lt;10))</f>
        <v/>
      </c>
      <c r="AI951" s="35">
        <f>IF(AND(C951="Grayson Coulter",G951&gt;='00_Control'!$B$7),"YES","NO")</f>
        <v/>
      </c>
      <c r="AJ951" s="33" t="inlineStr">
        <is>
          <t>OK</t>
        </is>
      </c>
    </row>
    <row r="952">
      <c r="A952" s="33" t="inlineStr">
        <is>
          <t>SM000948</t>
        </is>
      </c>
      <c r="B952" s="33" t="inlineStr">
        <is>
          <t>SW012</t>
        </is>
      </c>
      <c r="C952" s="33" t="inlineStr">
        <is>
          <t>Flynn Southam</t>
        </is>
      </c>
      <c r="D952" s="33" t="inlineStr">
        <is>
          <t>SwimCloud</t>
        </is>
      </c>
      <c r="E952" s="33" t="inlineStr">
        <is>
          <t>956278</t>
        </is>
      </c>
      <c r="F952" s="33" t="inlineStr">
        <is>
          <t>100035302</t>
        </is>
      </c>
      <c r="G952" s="51" t="n">
        <v>44995</v>
      </c>
      <c r="H952" s="33" t="inlineStr">
        <is>
          <t>NSW State Open Championships</t>
        </is>
      </c>
      <c r="I952" s="33" t="inlineStr">
        <is>
          <t>255526</t>
        </is>
      </c>
      <c r="J952" s="33" t="inlineStr"/>
      <c r="K952" s="33" t="inlineStr">
        <is>
          <t>PRE</t>
        </is>
      </c>
      <c r="L952" s="35">
        <f>IF(K952="FIN",3,IF(OR(K952="SEM",K952="SEMI"),2,IF(OR(K952="PRE",K952="HEAT"),1,IF(V952="YES",4,2))))</f>
        <v/>
      </c>
      <c r="M952" s="33" t="inlineStr">
        <is>
          <t>LCM</t>
        </is>
      </c>
      <c r="N952" s="33" t="n">
        <v>100</v>
      </c>
      <c r="O952" s="33" t="inlineStr">
        <is>
          <t>Free</t>
        </is>
      </c>
      <c r="P952" s="33" t="inlineStr">
        <is>
          <t>100 Free</t>
        </is>
      </c>
      <c r="Q952" s="33" t="inlineStr">
        <is>
          <t>LCM_100_FREE</t>
        </is>
      </c>
      <c r="R952" s="36" t="n">
        <v>49.08</v>
      </c>
      <c r="S952" s="35">
        <f>IF(R952="","",IF(R952&gt;=60,INT(R952/60)&amp;":"&amp;TEXT(MOD(R952,60),"00.00"),TEXT(R952,"0.00")))</f>
        <v/>
      </c>
      <c r="T952" s="52">
        <f>IFERROR((G952-INDEX('01_Swimmers'!$E$5:$E$22,MATCH(B952,'01_Swimmers'!$A$5:$A$22,0)))/'00_Control'!$B$10,"")</f>
        <v/>
      </c>
      <c r="U952" s="35">
        <f>IF(T952="","",INT(T952))</f>
        <v/>
      </c>
      <c r="V952" s="33" t="inlineStr">
        <is>
          <t>NO</t>
        </is>
      </c>
      <c r="W952" s="33" t="inlineStr">
        <is>
          <t>YES</t>
        </is>
      </c>
      <c r="X952" s="33" t="inlineStr">
        <is>
          <t>NO</t>
        </is>
      </c>
      <c r="Y952" s="33" t="n">
        <v>1</v>
      </c>
      <c r="Z952" s="33" t="n">
        <v>4</v>
      </c>
      <c r="AA952" s="33" t="inlineStr">
        <is>
          <t>4</t>
        </is>
      </c>
      <c r="AB952" s="33" t="inlineStr">
        <is>
          <t>https://www.swimcloud.com/results/255526/event/4/?id=100035302#time100035302</t>
        </is>
      </c>
      <c r="AC952" s="33" t="inlineStr">
        <is>
          <t>SwimCloud API v6 2026-10-08</t>
        </is>
      </c>
      <c r="AD952" s="33" t="inlineStr">
        <is>
          <t>Flynn Southam|2023-03-10|LCM|100|Free|49.08|NSW State Open Championships|PRE|False</t>
        </is>
      </c>
      <c r="AE952" s="53">
        <f>G952+L952/1000+ROW()/1000000000</f>
        <v/>
      </c>
      <c r="AF952" s="35">
        <f>IF(C952&lt;&gt;"Grayson Coulter","",COUNTIFS($C$5:$C$2991,"Grayson Coulter",$Q$5:$Q$2991,Q952,$AE$5:$AE$2991,"&lt;="&amp;AE952,$R$5:$R$2991,"&lt;"&amp;R952))</f>
        <v/>
      </c>
      <c r="AG952" s="35">
        <f>IF(OR(C952&lt;&gt;"Grayson Coulter",G952&lt;'00_Control'!$B$7),"",--(AF952&lt;5))</f>
        <v/>
      </c>
      <c r="AH952" s="35">
        <f>IF(OR(C952&lt;&gt;"Grayson Coulter",G952&lt;'00_Control'!$B$7),"",--(AF952&lt;10))</f>
        <v/>
      </c>
      <c r="AI952" s="35">
        <f>IF(AND(C952="Grayson Coulter",G952&gt;='00_Control'!$B$7),"YES","NO")</f>
        <v/>
      </c>
      <c r="AJ952" s="33" t="inlineStr">
        <is>
          <t>OK</t>
        </is>
      </c>
    </row>
    <row r="953">
      <c r="A953" s="33" t="inlineStr">
        <is>
          <t>SM000949</t>
        </is>
      </c>
      <c r="B953" s="33" t="inlineStr">
        <is>
          <t>SW012</t>
        </is>
      </c>
      <c r="C953" s="33" t="inlineStr">
        <is>
          <t>Flynn Southam</t>
        </is>
      </c>
      <c r="D953" s="33" t="inlineStr">
        <is>
          <t>SwimCloud</t>
        </is>
      </c>
      <c r="E953" s="33" t="inlineStr">
        <is>
          <t>956278</t>
        </is>
      </c>
      <c r="F953" s="33" t="inlineStr">
        <is>
          <t>100035310</t>
        </is>
      </c>
      <c r="G953" s="51" t="n">
        <v>45017</v>
      </c>
      <c r="H953" s="33" t="inlineStr">
        <is>
          <t>NSW State Open Championships</t>
        </is>
      </c>
      <c r="I953" s="33" t="inlineStr">
        <is>
          <t>255526</t>
        </is>
      </c>
      <c r="J953" s="33" t="inlineStr"/>
      <c r="K953" s="33" t="inlineStr">
        <is>
          <t>TIM</t>
        </is>
      </c>
      <c r="L953" s="35">
        <f>IF(K953="FIN",3,IF(OR(K953="SEM",K953="SEMI"),2,IF(OR(K953="PRE",K953="HEAT"),1,IF(V953="YES",4,2))))</f>
        <v/>
      </c>
      <c r="M953" s="33" t="inlineStr">
        <is>
          <t>LCM</t>
        </is>
      </c>
      <c r="N953" s="33" t="n">
        <v>200</v>
      </c>
      <c r="O953" s="33" t="inlineStr">
        <is>
          <t>Free</t>
        </is>
      </c>
      <c r="P953" s="33" t="inlineStr">
        <is>
          <t>200 Free</t>
        </is>
      </c>
      <c r="Q953" s="33" t="inlineStr">
        <is>
          <t>LCM_200_FREE</t>
        </is>
      </c>
      <c r="R953" s="36" t="n">
        <v>107.08</v>
      </c>
      <c r="S953" s="35">
        <f>IF(R953="","",IF(R953&gt;=60,INT(R953/60)&amp;":"&amp;TEXT(MOD(R953,60),"00.00"),TEXT(R953,"0.00")))</f>
        <v/>
      </c>
      <c r="T953" s="52">
        <f>IFERROR((G953-INDEX('01_Swimmers'!$E$5:$E$22,MATCH(B953,'01_Swimmers'!$A$5:$A$22,0)))/'00_Control'!$B$10,"")</f>
        <v/>
      </c>
      <c r="U953" s="35">
        <f>IF(T953="","",INT(T953))</f>
        <v/>
      </c>
      <c r="V953" s="33" t="inlineStr">
        <is>
          <t>NO</t>
        </is>
      </c>
      <c r="W953" s="33" t="inlineStr">
        <is>
          <t>YES</t>
        </is>
      </c>
      <c r="X953" s="33" t="inlineStr">
        <is>
          <t>NO</t>
        </is>
      </c>
      <c r="Y953" s="33" t="n">
        <v>1</v>
      </c>
      <c r="Z953" s="33" t="n">
        <v>1</v>
      </c>
      <c r="AA953" s="33" t="inlineStr">
        <is>
          <t>1</t>
        </is>
      </c>
      <c r="AB953" s="33" t="inlineStr">
        <is>
          <t>https://www.swimcloud.com/results/255526/event/28/?id=100035310#time100035310</t>
        </is>
      </c>
      <c r="AC953" s="33" t="inlineStr">
        <is>
          <t>SwimCloud API v6 2026-10-08</t>
        </is>
      </c>
      <c r="AD953" s="33" t="inlineStr">
        <is>
          <t>Flynn Southam|2023-04-01|LCM|200|Free|107.08|NSW State Open Championships|TIM|False</t>
        </is>
      </c>
      <c r="AE953" s="53">
        <f>G953+L953/1000+ROW()/1000000000</f>
        <v/>
      </c>
      <c r="AF953" s="35">
        <f>IF(C953&lt;&gt;"Grayson Coulter","",COUNTIFS($C$5:$C$2991,"Grayson Coulter",$Q$5:$Q$2991,Q953,$AE$5:$AE$2991,"&lt;="&amp;AE953,$R$5:$R$2991,"&lt;"&amp;R953))</f>
        <v/>
      </c>
      <c r="AG953" s="35">
        <f>IF(OR(C953&lt;&gt;"Grayson Coulter",G953&lt;'00_Control'!$B$7),"",--(AF953&lt;5))</f>
        <v/>
      </c>
      <c r="AH953" s="35">
        <f>IF(OR(C953&lt;&gt;"Grayson Coulter",G953&lt;'00_Control'!$B$7),"",--(AF953&lt;10))</f>
        <v/>
      </c>
      <c r="AI953" s="35">
        <f>IF(AND(C953="Grayson Coulter",G953&gt;='00_Control'!$B$7),"YES","NO")</f>
        <v/>
      </c>
      <c r="AJ953" s="33" t="inlineStr">
        <is>
          <t>OK</t>
        </is>
      </c>
    </row>
    <row r="954">
      <c r="A954" s="33" t="inlineStr">
        <is>
          <t>SM000950</t>
        </is>
      </c>
      <c r="B954" s="33" t="inlineStr">
        <is>
          <t>SW012</t>
        </is>
      </c>
      <c r="C954" s="33" t="inlineStr">
        <is>
          <t>Flynn Southam</t>
        </is>
      </c>
      <c r="D954" s="33" t="inlineStr">
        <is>
          <t>SwimCloud</t>
        </is>
      </c>
      <c r="E954" s="33" t="inlineStr">
        <is>
          <t>956278</t>
        </is>
      </c>
      <c r="F954" s="33" t="inlineStr">
        <is>
          <t>118974295</t>
        </is>
      </c>
      <c r="G954" s="51" t="n">
        <v>45025</v>
      </c>
      <c r="H954" s="33" t="inlineStr">
        <is>
          <t>Australian Age &amp; MC Championships</t>
        </is>
      </c>
      <c r="I954" s="33" t="inlineStr">
        <is>
          <t>292876</t>
        </is>
      </c>
      <c r="J954" s="33" t="inlineStr"/>
      <c r="K954" s="33" t="inlineStr">
        <is>
          <t>PRE</t>
        </is>
      </c>
      <c r="L954" s="35">
        <f>IF(K954="FIN",3,IF(OR(K954="SEM",K954="SEMI"),2,IF(OR(K954="PRE",K954="HEAT"),1,IF(V954="YES",4,2))))</f>
        <v/>
      </c>
      <c r="M954" s="33" t="inlineStr">
        <is>
          <t>LCM</t>
        </is>
      </c>
      <c r="N954" s="33" t="n">
        <v>400</v>
      </c>
      <c r="O954" s="33" t="inlineStr">
        <is>
          <t>Free</t>
        </is>
      </c>
      <c r="P954" s="33" t="inlineStr">
        <is>
          <t>400 Free</t>
        </is>
      </c>
      <c r="Q954" s="33" t="inlineStr">
        <is>
          <t>LCM_400_FREE</t>
        </is>
      </c>
      <c r="R954" s="36" t="n">
        <v>237.61</v>
      </c>
      <c r="S954" s="35">
        <f>IF(R954="","",IF(R954&gt;=60,INT(R954/60)&amp;":"&amp;TEXT(MOD(R954,60),"00.00"),TEXT(R954,"0.00")))</f>
        <v/>
      </c>
      <c r="T954" s="52">
        <f>IFERROR((G954-INDEX('01_Swimmers'!$E$5:$E$22,MATCH(B954,'01_Swimmers'!$A$5:$A$22,0)))/'00_Control'!$B$10,"")</f>
        <v/>
      </c>
      <c r="U954" s="35">
        <f>IF(T954="","",INT(T954))</f>
        <v/>
      </c>
      <c r="V954" s="33" t="inlineStr">
        <is>
          <t>NO</t>
        </is>
      </c>
      <c r="W954" s="33" t="inlineStr">
        <is>
          <t>YES</t>
        </is>
      </c>
      <c r="X954" s="33" t="inlineStr">
        <is>
          <t>NO</t>
        </is>
      </c>
      <c r="Y954" s="33" t="n">
        <v>1</v>
      </c>
      <c r="Z954" s="33" t="n">
        <v>2</v>
      </c>
      <c r="AA954" s="33" t="inlineStr">
        <is>
          <t>1</t>
        </is>
      </c>
      <c r="AB954" s="33" t="inlineStr">
        <is>
          <t>https://www.swimcloud.com/results/292876/event/29/?id=118974295#time118974295</t>
        </is>
      </c>
      <c r="AC954" s="33" t="inlineStr">
        <is>
          <t>SwimCloud API v6 2026-10-08</t>
        </is>
      </c>
      <c r="AD954" s="33" t="inlineStr">
        <is>
          <t>Flynn Southam|2023-04-09|LCM|400|Free|237.61|Australian Age &amp; MC Championships|PRE|False</t>
        </is>
      </c>
      <c r="AE954" s="53">
        <f>G954+L954/1000+ROW()/1000000000</f>
        <v/>
      </c>
      <c r="AF954" s="35">
        <f>IF(C954&lt;&gt;"Grayson Coulter","",COUNTIFS($C$5:$C$2991,"Grayson Coulter",$Q$5:$Q$2991,Q954,$AE$5:$AE$2991,"&lt;="&amp;AE954,$R$5:$R$2991,"&lt;"&amp;R954))</f>
        <v/>
      </c>
      <c r="AG954" s="35">
        <f>IF(OR(C954&lt;&gt;"Grayson Coulter",G954&lt;'00_Control'!$B$7),"",--(AF954&lt;5))</f>
        <v/>
      </c>
      <c r="AH954" s="35">
        <f>IF(OR(C954&lt;&gt;"Grayson Coulter",G954&lt;'00_Control'!$B$7),"",--(AF954&lt;10))</f>
        <v/>
      </c>
      <c r="AI954" s="35">
        <f>IF(AND(C954="Grayson Coulter",G954&gt;='00_Control'!$B$7),"YES","NO")</f>
        <v/>
      </c>
      <c r="AJ954" s="33" t="inlineStr">
        <is>
          <t>OK</t>
        </is>
      </c>
    </row>
    <row r="955">
      <c r="A955" s="33" t="inlineStr">
        <is>
          <t>SM000951</t>
        </is>
      </c>
      <c r="B955" s="33" t="inlineStr">
        <is>
          <t>SW012</t>
        </is>
      </c>
      <c r="C955" s="33" t="inlineStr">
        <is>
          <t>Flynn Southam</t>
        </is>
      </c>
      <c r="D955" s="33" t="inlineStr">
        <is>
          <t>SwimCloud</t>
        </is>
      </c>
      <c r="E955" s="33" t="inlineStr">
        <is>
          <t>956278</t>
        </is>
      </c>
      <c r="F955" s="33" t="inlineStr">
        <is>
          <t>118974296</t>
        </is>
      </c>
      <c r="G955" s="51" t="n">
        <v>45025</v>
      </c>
      <c r="H955" s="33" t="inlineStr">
        <is>
          <t>Australian Age &amp; MC Championships</t>
        </is>
      </c>
      <c r="I955" s="33" t="inlineStr">
        <is>
          <t>292876</t>
        </is>
      </c>
      <c r="J955" s="33" t="inlineStr"/>
      <c r="K955" s="33" t="inlineStr">
        <is>
          <t>FIN</t>
        </is>
      </c>
      <c r="L955" s="35">
        <f>IF(K955="FIN",3,IF(OR(K955="SEM",K955="SEMI"),2,IF(OR(K955="PRE",K955="HEAT"),1,IF(V955="YES",4,2))))</f>
        <v/>
      </c>
      <c r="M955" s="33" t="inlineStr">
        <is>
          <t>LCM</t>
        </is>
      </c>
      <c r="N955" s="33" t="n">
        <v>400</v>
      </c>
      <c r="O955" s="33" t="inlineStr">
        <is>
          <t>Free</t>
        </is>
      </c>
      <c r="P955" s="33" t="inlineStr">
        <is>
          <t>400 Free</t>
        </is>
      </c>
      <c r="Q955" s="33" t="inlineStr">
        <is>
          <t>LCM_400_FREE</t>
        </is>
      </c>
      <c r="R955" s="36" t="n">
        <v>232.62</v>
      </c>
      <c r="S955" s="35">
        <f>IF(R955="","",IF(R955&gt;=60,INT(R955/60)&amp;":"&amp;TEXT(MOD(R955,60),"00.00"),TEXT(R955,"0.00")))</f>
        <v/>
      </c>
      <c r="T955" s="52">
        <f>IFERROR((G955-INDEX('01_Swimmers'!$E$5:$E$22,MATCH(B955,'01_Swimmers'!$A$5:$A$22,0)))/'00_Control'!$B$10,"")</f>
        <v/>
      </c>
      <c r="U955" s="35">
        <f>IF(T955="","",INT(T955))</f>
        <v/>
      </c>
      <c r="V955" s="33" t="inlineStr">
        <is>
          <t>NO</t>
        </is>
      </c>
      <c r="W955" s="33" t="inlineStr">
        <is>
          <t>YES</t>
        </is>
      </c>
      <c r="X955" s="33" t="inlineStr">
        <is>
          <t>NO</t>
        </is>
      </c>
      <c r="Y955" s="33" t="n">
        <v>1</v>
      </c>
      <c r="Z955" s="33" t="n">
        <v>4</v>
      </c>
      <c r="AA955" s="33" t="inlineStr">
        <is>
          <t>2</t>
        </is>
      </c>
      <c r="AB955" s="33" t="inlineStr">
        <is>
          <t>https://www.swimcloud.com/results/292876/event/29/?id=118974296#time118974296</t>
        </is>
      </c>
      <c r="AC955" s="33" t="inlineStr">
        <is>
          <t>SwimCloud API v6 2026-10-08</t>
        </is>
      </c>
      <c r="AD955" s="33" t="inlineStr">
        <is>
          <t>Flynn Southam|2023-04-09|LCM|400|Free|232.62|Australian Age &amp; MC Championships|FIN|False</t>
        </is>
      </c>
      <c r="AE955" s="53">
        <f>G955+L955/1000+ROW()/1000000000</f>
        <v/>
      </c>
      <c r="AF955" s="35">
        <f>IF(C955&lt;&gt;"Grayson Coulter","",COUNTIFS($C$5:$C$2991,"Grayson Coulter",$Q$5:$Q$2991,Q955,$AE$5:$AE$2991,"&lt;="&amp;AE955,$R$5:$R$2991,"&lt;"&amp;R955))</f>
        <v/>
      </c>
      <c r="AG955" s="35">
        <f>IF(OR(C955&lt;&gt;"Grayson Coulter",G955&lt;'00_Control'!$B$7),"",--(AF955&lt;5))</f>
        <v/>
      </c>
      <c r="AH955" s="35">
        <f>IF(OR(C955&lt;&gt;"Grayson Coulter",G955&lt;'00_Control'!$B$7),"",--(AF955&lt;10))</f>
        <v/>
      </c>
      <c r="AI955" s="35">
        <f>IF(AND(C955="Grayson Coulter",G955&gt;='00_Control'!$B$7),"YES","NO")</f>
        <v/>
      </c>
      <c r="AJ955" s="33" t="inlineStr">
        <is>
          <t>OK</t>
        </is>
      </c>
    </row>
    <row r="956">
      <c r="A956" s="33" t="inlineStr">
        <is>
          <t>SM000952</t>
        </is>
      </c>
      <c r="B956" s="33" t="inlineStr">
        <is>
          <t>SW012</t>
        </is>
      </c>
      <c r="C956" s="33" t="inlineStr">
        <is>
          <t>Flynn Southam</t>
        </is>
      </c>
      <c r="D956" s="33" t="inlineStr">
        <is>
          <t>SwimCloud</t>
        </is>
      </c>
      <c r="E956" s="33" t="inlineStr">
        <is>
          <t>956278</t>
        </is>
      </c>
      <c r="F956" s="33" t="inlineStr">
        <is>
          <t>118977852</t>
        </is>
      </c>
      <c r="G956" s="51" t="n">
        <v>45030</v>
      </c>
      <c r="H956" s="33" t="inlineStr">
        <is>
          <t>Australian Age &amp; MC Championships</t>
        </is>
      </c>
      <c r="I956" s="33" t="inlineStr">
        <is>
          <t>292876</t>
        </is>
      </c>
      <c r="J956" s="33" t="inlineStr"/>
      <c r="K956" s="33" t="inlineStr">
        <is>
          <t>PRE</t>
        </is>
      </c>
      <c r="L956" s="35">
        <f>IF(K956="FIN",3,IF(OR(K956="SEM",K956="SEMI"),2,IF(OR(K956="PRE",K956="HEAT"),1,IF(V956="YES",4,2))))</f>
        <v/>
      </c>
      <c r="M956" s="33" t="inlineStr">
        <is>
          <t>LCM</t>
        </is>
      </c>
      <c r="N956" s="33" t="n">
        <v>200</v>
      </c>
      <c r="O956" s="33" t="inlineStr">
        <is>
          <t>Free</t>
        </is>
      </c>
      <c r="P956" s="33" t="inlineStr">
        <is>
          <t>200 Free</t>
        </is>
      </c>
      <c r="Q956" s="33" t="inlineStr">
        <is>
          <t>LCM_200_FREE</t>
        </is>
      </c>
      <c r="R956" s="36" t="n">
        <v>109.2</v>
      </c>
      <c r="S956" s="35">
        <f>IF(R956="","",IF(R956&gt;=60,INT(R956/60)&amp;":"&amp;TEXT(MOD(R956,60),"00.00"),TEXT(R956,"0.00")))</f>
        <v/>
      </c>
      <c r="T956" s="52">
        <f>IFERROR((G956-INDEX('01_Swimmers'!$E$5:$E$22,MATCH(B956,'01_Swimmers'!$A$5:$A$22,0)))/'00_Control'!$B$10,"")</f>
        <v/>
      </c>
      <c r="U956" s="35">
        <f>IF(T956="","",INT(T956))</f>
        <v/>
      </c>
      <c r="V956" s="33" t="inlineStr">
        <is>
          <t>NO</t>
        </is>
      </c>
      <c r="W956" s="33" t="inlineStr">
        <is>
          <t>YES</t>
        </is>
      </c>
      <c r="X956" s="33" t="inlineStr">
        <is>
          <t>NO</t>
        </is>
      </c>
      <c r="Y956" s="33" t="n">
        <v>1</v>
      </c>
      <c r="Z956" s="33" t="n">
        <v>4</v>
      </c>
      <c r="AA956" s="33" t="inlineStr">
        <is>
          <t>1</t>
        </is>
      </c>
      <c r="AB956" s="33" t="inlineStr">
        <is>
          <t>https://www.swimcloud.com/results/292876/event/183/?id=118977852#time118977852</t>
        </is>
      </c>
      <c r="AC956" s="33" t="inlineStr">
        <is>
          <t>SwimCloud API v6 2026-10-08</t>
        </is>
      </c>
      <c r="AD956" s="33" t="inlineStr">
        <is>
          <t>Flynn Southam|2023-04-14|LCM|200|Free|109.2|Australian Age &amp; MC Championships|PRE|False</t>
        </is>
      </c>
      <c r="AE956" s="53">
        <f>G956+L956/1000+ROW()/1000000000</f>
        <v/>
      </c>
      <c r="AF956" s="35">
        <f>IF(C956&lt;&gt;"Grayson Coulter","",COUNTIFS($C$5:$C$2991,"Grayson Coulter",$Q$5:$Q$2991,Q956,$AE$5:$AE$2991,"&lt;="&amp;AE956,$R$5:$R$2991,"&lt;"&amp;R956))</f>
        <v/>
      </c>
      <c r="AG956" s="35">
        <f>IF(OR(C956&lt;&gt;"Grayson Coulter",G956&lt;'00_Control'!$B$7),"",--(AF956&lt;5))</f>
        <v/>
      </c>
      <c r="AH956" s="35">
        <f>IF(OR(C956&lt;&gt;"Grayson Coulter",G956&lt;'00_Control'!$B$7),"",--(AF956&lt;10))</f>
        <v/>
      </c>
      <c r="AI956" s="35">
        <f>IF(AND(C956="Grayson Coulter",G956&gt;='00_Control'!$B$7),"YES","NO")</f>
        <v/>
      </c>
      <c r="AJ956" s="33" t="inlineStr">
        <is>
          <t>OK</t>
        </is>
      </c>
    </row>
    <row r="957">
      <c r="A957" s="33" t="inlineStr">
        <is>
          <t>SM000953</t>
        </is>
      </c>
      <c r="B957" s="33" t="inlineStr">
        <is>
          <t>SW012</t>
        </is>
      </c>
      <c r="C957" s="33" t="inlineStr">
        <is>
          <t>Flynn Southam</t>
        </is>
      </c>
      <c r="D957" s="33" t="inlineStr">
        <is>
          <t>SwimCloud</t>
        </is>
      </c>
      <c r="E957" s="33" t="inlineStr">
        <is>
          <t>956278</t>
        </is>
      </c>
      <c r="F957" s="33" t="inlineStr">
        <is>
          <t>118977853</t>
        </is>
      </c>
      <c r="G957" s="51" t="n">
        <v>45030</v>
      </c>
      <c r="H957" s="33" t="inlineStr">
        <is>
          <t>Australian Age &amp; MC Championships</t>
        </is>
      </c>
      <c r="I957" s="33" t="inlineStr">
        <is>
          <t>292876</t>
        </is>
      </c>
      <c r="J957" s="33" t="inlineStr"/>
      <c r="K957" s="33" t="inlineStr">
        <is>
          <t>FIN</t>
        </is>
      </c>
      <c r="L957" s="35">
        <f>IF(K957="FIN",3,IF(OR(K957="SEM",K957="SEMI"),2,IF(OR(K957="PRE",K957="HEAT"),1,IF(V957="YES",4,2))))</f>
        <v/>
      </c>
      <c r="M957" s="33" t="inlineStr">
        <is>
          <t>LCM</t>
        </is>
      </c>
      <c r="N957" s="33" t="n">
        <v>200</v>
      </c>
      <c r="O957" s="33" t="inlineStr">
        <is>
          <t>Free</t>
        </is>
      </c>
      <c r="P957" s="33" t="inlineStr">
        <is>
          <t>200 Free</t>
        </is>
      </c>
      <c r="Q957" s="33" t="inlineStr">
        <is>
          <t>LCM_200_FREE</t>
        </is>
      </c>
      <c r="R957" s="36" t="n">
        <v>106.24</v>
      </c>
      <c r="S957" s="35">
        <f>IF(R957="","",IF(R957&gt;=60,INT(R957/60)&amp;":"&amp;TEXT(MOD(R957,60),"00.00"),TEXT(R957,"0.00")))</f>
        <v/>
      </c>
      <c r="T957" s="52">
        <f>IFERROR((G957-INDEX('01_Swimmers'!$E$5:$E$22,MATCH(B957,'01_Swimmers'!$A$5:$A$22,0)))/'00_Control'!$B$10,"")</f>
        <v/>
      </c>
      <c r="U957" s="35">
        <f>IF(T957="","",INT(T957))</f>
        <v/>
      </c>
      <c r="V957" s="33" t="inlineStr">
        <is>
          <t>NO</t>
        </is>
      </c>
      <c r="W957" s="33" t="inlineStr">
        <is>
          <t>YES</t>
        </is>
      </c>
      <c r="X957" s="33" t="inlineStr">
        <is>
          <t>NO</t>
        </is>
      </c>
      <c r="Y957" s="33" t="n">
        <v>1</v>
      </c>
      <c r="Z957" s="33" t="n">
        <v>4</v>
      </c>
      <c r="AA957" s="33" t="inlineStr">
        <is>
          <t>1</t>
        </is>
      </c>
      <c r="AB957" s="33" t="inlineStr">
        <is>
          <t>https://www.swimcloud.com/results/292876/event/183/?id=118977853#time118977853</t>
        </is>
      </c>
      <c r="AC957" s="33" t="inlineStr">
        <is>
          <t>SwimCloud API v6 2026-10-08</t>
        </is>
      </c>
      <c r="AD957" s="33" t="inlineStr">
        <is>
          <t>Flynn Southam|2023-04-14|LCM|200|Free|106.24|Australian Age &amp; MC Championships|FIN|False</t>
        </is>
      </c>
      <c r="AE957" s="53">
        <f>G957+L957/1000+ROW()/1000000000</f>
        <v/>
      </c>
      <c r="AF957" s="35">
        <f>IF(C957&lt;&gt;"Grayson Coulter","",COUNTIFS($C$5:$C$2991,"Grayson Coulter",$Q$5:$Q$2991,Q957,$AE$5:$AE$2991,"&lt;="&amp;AE957,$R$5:$R$2991,"&lt;"&amp;R957))</f>
        <v/>
      </c>
      <c r="AG957" s="35">
        <f>IF(OR(C957&lt;&gt;"Grayson Coulter",G957&lt;'00_Control'!$B$7),"",--(AF957&lt;5))</f>
        <v/>
      </c>
      <c r="AH957" s="35">
        <f>IF(OR(C957&lt;&gt;"Grayson Coulter",G957&lt;'00_Control'!$B$7),"",--(AF957&lt;10))</f>
        <v/>
      </c>
      <c r="AI957" s="35">
        <f>IF(AND(C957="Grayson Coulter",G957&gt;='00_Control'!$B$7),"YES","NO")</f>
        <v/>
      </c>
      <c r="AJ957" s="33" t="inlineStr">
        <is>
          <t>OK</t>
        </is>
      </c>
    </row>
    <row r="958">
      <c r="A958" s="33" t="inlineStr">
        <is>
          <t>SM000954</t>
        </is>
      </c>
      <c r="B958" s="33" t="inlineStr">
        <is>
          <t>SW012</t>
        </is>
      </c>
      <c r="C958" s="33" t="inlineStr">
        <is>
          <t>Flynn Southam</t>
        </is>
      </c>
      <c r="D958" s="33" t="inlineStr">
        <is>
          <t>SwimCloud</t>
        </is>
      </c>
      <c r="E958" s="33" t="inlineStr">
        <is>
          <t>956278</t>
        </is>
      </c>
      <c r="F958" s="33" t="inlineStr">
        <is>
          <t>118969485</t>
        </is>
      </c>
      <c r="G958" s="51" t="n">
        <v>45031</v>
      </c>
      <c r="H958" s="33" t="inlineStr">
        <is>
          <t>Australian Age &amp; MC Championships</t>
        </is>
      </c>
      <c r="I958" s="33" t="inlineStr">
        <is>
          <t>292876</t>
        </is>
      </c>
      <c r="J958" s="33" t="inlineStr"/>
      <c r="K958" s="33" t="inlineStr">
        <is>
          <t>PRE</t>
        </is>
      </c>
      <c r="L958" s="35">
        <f>IF(K958="FIN",3,IF(OR(K958="SEM",K958="SEMI"),2,IF(OR(K958="PRE",K958="HEAT"),1,IF(V958="YES",4,2))))</f>
        <v/>
      </c>
      <c r="M958" s="33" t="inlineStr">
        <is>
          <t>LCM</t>
        </is>
      </c>
      <c r="N958" s="33" t="n">
        <v>100</v>
      </c>
      <c r="O958" s="33" t="inlineStr">
        <is>
          <t>Free</t>
        </is>
      </c>
      <c r="P958" s="33" t="inlineStr">
        <is>
          <t>100 Free</t>
        </is>
      </c>
      <c r="Q958" s="33" t="inlineStr">
        <is>
          <t>LCM_100_FREE</t>
        </is>
      </c>
      <c r="R958" s="36" t="n">
        <v>49.49</v>
      </c>
      <c r="S958" s="35">
        <f>IF(R958="","",IF(R958&gt;=60,INT(R958/60)&amp;":"&amp;TEXT(MOD(R958,60),"00.00"),TEXT(R958,"0.00")))</f>
        <v/>
      </c>
      <c r="T958" s="52">
        <f>IFERROR((G958-INDEX('01_Swimmers'!$E$5:$E$22,MATCH(B958,'01_Swimmers'!$A$5:$A$22,0)))/'00_Control'!$B$10,"")</f>
        <v/>
      </c>
      <c r="U958" s="35">
        <f>IF(T958="","",INT(T958))</f>
        <v/>
      </c>
      <c r="V958" s="33" t="inlineStr">
        <is>
          <t>NO</t>
        </is>
      </c>
      <c r="W958" s="33" t="inlineStr">
        <is>
          <t>YES</t>
        </is>
      </c>
      <c r="X958" s="33" t="inlineStr">
        <is>
          <t>NO</t>
        </is>
      </c>
      <c r="Y958" s="33" t="n">
        <v>1</v>
      </c>
      <c r="Z958" s="33" t="n">
        <v>4</v>
      </c>
      <c r="AA958" s="33" t="inlineStr">
        <is>
          <t>1</t>
        </is>
      </c>
      <c r="AB958" s="33" t="inlineStr">
        <is>
          <t>https://www.swimcloud.com/results/292876/event/189/?id=118969485#time118969485</t>
        </is>
      </c>
      <c r="AC958" s="33" t="inlineStr">
        <is>
          <t>SwimCloud API v6 2026-10-08</t>
        </is>
      </c>
      <c r="AD958" s="33" t="inlineStr">
        <is>
          <t>Flynn Southam|2023-04-15|LCM|100|Free|49.49|Australian Age &amp; MC Championships|PRE|False</t>
        </is>
      </c>
      <c r="AE958" s="53">
        <f>G958+L958/1000+ROW()/1000000000</f>
        <v/>
      </c>
      <c r="AF958" s="35">
        <f>IF(C958&lt;&gt;"Grayson Coulter","",COUNTIFS($C$5:$C$2991,"Grayson Coulter",$Q$5:$Q$2991,Q958,$AE$5:$AE$2991,"&lt;="&amp;AE958,$R$5:$R$2991,"&lt;"&amp;R958))</f>
        <v/>
      </c>
      <c r="AG958" s="35">
        <f>IF(OR(C958&lt;&gt;"Grayson Coulter",G958&lt;'00_Control'!$B$7),"",--(AF958&lt;5))</f>
        <v/>
      </c>
      <c r="AH958" s="35">
        <f>IF(OR(C958&lt;&gt;"Grayson Coulter",G958&lt;'00_Control'!$B$7),"",--(AF958&lt;10))</f>
        <v/>
      </c>
      <c r="AI958" s="35">
        <f>IF(AND(C958="Grayson Coulter",G958&gt;='00_Control'!$B$7),"YES","NO")</f>
        <v/>
      </c>
      <c r="AJ958" s="33" t="inlineStr">
        <is>
          <t>OK</t>
        </is>
      </c>
    </row>
    <row r="959">
      <c r="A959" s="33" t="inlineStr">
        <is>
          <t>SM000955</t>
        </is>
      </c>
      <c r="B959" s="33" t="inlineStr">
        <is>
          <t>SW012</t>
        </is>
      </c>
      <c r="C959" s="33" t="inlineStr">
        <is>
          <t>Flynn Southam</t>
        </is>
      </c>
      <c r="D959" s="33" t="inlineStr">
        <is>
          <t>SwimCloud</t>
        </is>
      </c>
      <c r="E959" s="33" t="inlineStr">
        <is>
          <t>956278</t>
        </is>
      </c>
      <c r="F959" s="33" t="inlineStr">
        <is>
          <t>118969486</t>
        </is>
      </c>
      <c r="G959" s="51" t="n">
        <v>45031</v>
      </c>
      <c r="H959" s="33" t="inlineStr">
        <is>
          <t>Australian Age &amp; MC Championships</t>
        </is>
      </c>
      <c r="I959" s="33" t="inlineStr">
        <is>
          <t>292876</t>
        </is>
      </c>
      <c r="J959" s="33" t="inlineStr"/>
      <c r="K959" s="33" t="inlineStr">
        <is>
          <t>FIN</t>
        </is>
      </c>
      <c r="L959" s="35">
        <f>IF(K959="FIN",3,IF(OR(K959="SEM",K959="SEMI"),2,IF(OR(K959="PRE",K959="HEAT"),1,IF(V959="YES",4,2))))</f>
        <v/>
      </c>
      <c r="M959" s="33" t="inlineStr">
        <is>
          <t>LCM</t>
        </is>
      </c>
      <c r="N959" s="33" t="n">
        <v>100</v>
      </c>
      <c r="O959" s="33" t="inlineStr">
        <is>
          <t>Free</t>
        </is>
      </c>
      <c r="P959" s="33" t="inlineStr">
        <is>
          <t>100 Free</t>
        </is>
      </c>
      <c r="Q959" s="33" t="inlineStr">
        <is>
          <t>LCM_100_FREE</t>
        </is>
      </c>
      <c r="R959" s="36" t="n">
        <v>48.91</v>
      </c>
      <c r="S959" s="35">
        <f>IF(R959="","",IF(R959&gt;=60,INT(R959/60)&amp;":"&amp;TEXT(MOD(R959,60),"00.00"),TEXT(R959,"0.00")))</f>
        <v/>
      </c>
      <c r="T959" s="52">
        <f>IFERROR((G959-INDEX('01_Swimmers'!$E$5:$E$22,MATCH(B959,'01_Swimmers'!$A$5:$A$22,0)))/'00_Control'!$B$10,"")</f>
        <v/>
      </c>
      <c r="U959" s="35">
        <f>IF(T959="","",INT(T959))</f>
        <v/>
      </c>
      <c r="V959" s="33" t="inlineStr">
        <is>
          <t>NO</t>
        </is>
      </c>
      <c r="W959" s="33" t="inlineStr">
        <is>
          <t>YES</t>
        </is>
      </c>
      <c r="X959" s="33" t="inlineStr">
        <is>
          <t>NO</t>
        </is>
      </c>
      <c r="Y959" s="33" t="n">
        <v>1</v>
      </c>
      <c r="Z959" s="33" t="n">
        <v>4</v>
      </c>
      <c r="AA959" s="33" t="inlineStr">
        <is>
          <t>1</t>
        </is>
      </c>
      <c r="AB959" s="33" t="inlineStr">
        <is>
          <t>https://www.swimcloud.com/results/292876/event/189/?id=118969486#time118969486</t>
        </is>
      </c>
      <c r="AC959" s="33" t="inlineStr">
        <is>
          <t>SwimCloud API v6 2026-10-08</t>
        </is>
      </c>
      <c r="AD959" s="33" t="inlineStr">
        <is>
          <t>Flynn Southam|2023-04-15|LCM|100|Free|48.91|Australian Age &amp; MC Championships|FIN|False</t>
        </is>
      </c>
      <c r="AE959" s="53">
        <f>G959+L959/1000+ROW()/1000000000</f>
        <v/>
      </c>
      <c r="AF959" s="35">
        <f>IF(C959&lt;&gt;"Grayson Coulter","",COUNTIFS($C$5:$C$2991,"Grayson Coulter",$Q$5:$Q$2991,Q959,$AE$5:$AE$2991,"&lt;="&amp;AE959,$R$5:$R$2991,"&lt;"&amp;R959))</f>
        <v/>
      </c>
      <c r="AG959" s="35">
        <f>IF(OR(C959&lt;&gt;"Grayson Coulter",G959&lt;'00_Control'!$B$7),"",--(AF959&lt;5))</f>
        <v/>
      </c>
      <c r="AH959" s="35">
        <f>IF(OR(C959&lt;&gt;"Grayson Coulter",G959&lt;'00_Control'!$B$7),"",--(AF959&lt;10))</f>
        <v/>
      </c>
      <c r="AI959" s="35">
        <f>IF(AND(C959="Grayson Coulter",G959&gt;='00_Control'!$B$7),"YES","NO")</f>
        <v/>
      </c>
      <c r="AJ959" s="33" t="inlineStr">
        <is>
          <t>OK</t>
        </is>
      </c>
    </row>
    <row r="960">
      <c r="A960" s="33" t="inlineStr">
        <is>
          <t>SM000956</t>
        </is>
      </c>
      <c r="B960" s="33" t="inlineStr">
        <is>
          <t>SW012</t>
        </is>
      </c>
      <c r="C960" s="33" t="inlineStr">
        <is>
          <t>Flynn Southam</t>
        </is>
      </c>
      <c r="D960" s="33" t="inlineStr">
        <is>
          <t>SwimCloud</t>
        </is>
      </c>
      <c r="E960" s="33" t="inlineStr">
        <is>
          <t>956278</t>
        </is>
      </c>
      <c r="F960" s="33" t="inlineStr">
        <is>
          <t>118948305</t>
        </is>
      </c>
      <c r="G960" s="51" t="n">
        <v>45034</v>
      </c>
      <c r="H960" s="33" t="inlineStr">
        <is>
          <t>Australian Championships</t>
        </is>
      </c>
      <c r="I960" s="33" t="inlineStr">
        <is>
          <t>255523</t>
        </is>
      </c>
      <c r="J960" s="33" t="inlineStr"/>
      <c r="K960" s="33" t="inlineStr">
        <is>
          <t>PRE</t>
        </is>
      </c>
      <c r="L960" s="35">
        <f>IF(K960="FIN",3,IF(OR(K960="SEM",K960="SEMI"),2,IF(OR(K960="PRE",K960="HEAT"),1,IF(V960="YES",4,2))))</f>
        <v/>
      </c>
      <c r="M960" s="33" t="inlineStr">
        <is>
          <t>LCM</t>
        </is>
      </c>
      <c r="N960" s="33" t="n">
        <v>200</v>
      </c>
      <c r="O960" s="33" t="inlineStr">
        <is>
          <t>Free</t>
        </is>
      </c>
      <c r="P960" s="33" t="inlineStr">
        <is>
          <t>200 Free</t>
        </is>
      </c>
      <c r="Q960" s="33" t="inlineStr">
        <is>
          <t>LCM_200_FREE</t>
        </is>
      </c>
      <c r="R960" s="36" t="n">
        <v>107.53</v>
      </c>
      <c r="S960" s="35">
        <f>IF(R960="","",IF(R960&gt;=60,INT(R960/60)&amp;":"&amp;TEXT(MOD(R960,60),"00.00"),TEXT(R960,"0.00")))</f>
        <v/>
      </c>
      <c r="T960" s="52">
        <f>IFERROR((G960-INDEX('01_Swimmers'!$E$5:$E$22,MATCH(B960,'01_Swimmers'!$A$5:$A$22,0)))/'00_Control'!$B$10,"")</f>
        <v/>
      </c>
      <c r="U960" s="35">
        <f>IF(T960="","",INT(T960))</f>
        <v/>
      </c>
      <c r="V960" s="33" t="inlineStr">
        <is>
          <t>NO</t>
        </is>
      </c>
      <c r="W960" s="33" t="inlineStr">
        <is>
          <t>YES</t>
        </is>
      </c>
      <c r="X960" s="33" t="inlineStr">
        <is>
          <t>NO</t>
        </is>
      </c>
      <c r="Y960" s="33" t="n">
        <v>2</v>
      </c>
      <c r="Z960" s="33" t="n">
        <v>5</v>
      </c>
      <c r="AA960" s="33" t="inlineStr">
        <is>
          <t>3</t>
        </is>
      </c>
      <c r="AB960" s="33" t="inlineStr">
        <is>
          <t>https://www.swimcloud.com/results/255523/event/19/?id=118948305#time118948305</t>
        </is>
      </c>
      <c r="AC960" s="33" t="inlineStr">
        <is>
          <t>SwimCloud API v6 2026-10-08</t>
        </is>
      </c>
      <c r="AD960" s="33" t="inlineStr">
        <is>
          <t>Flynn Southam|2023-04-18|LCM|200|Free|107.53|Australian Championships|PRE|False</t>
        </is>
      </c>
      <c r="AE960" s="53">
        <f>G960+L960/1000+ROW()/1000000000</f>
        <v/>
      </c>
      <c r="AF960" s="35">
        <f>IF(C960&lt;&gt;"Grayson Coulter","",COUNTIFS($C$5:$C$2991,"Grayson Coulter",$Q$5:$Q$2991,Q960,$AE$5:$AE$2991,"&lt;="&amp;AE960,$R$5:$R$2991,"&lt;"&amp;R960))</f>
        <v/>
      </c>
      <c r="AG960" s="35">
        <f>IF(OR(C960&lt;&gt;"Grayson Coulter",G960&lt;'00_Control'!$B$7),"",--(AF960&lt;5))</f>
        <v/>
      </c>
      <c r="AH960" s="35">
        <f>IF(OR(C960&lt;&gt;"Grayson Coulter",G960&lt;'00_Control'!$B$7),"",--(AF960&lt;10))</f>
        <v/>
      </c>
      <c r="AI960" s="35">
        <f>IF(AND(C960="Grayson Coulter",G960&gt;='00_Control'!$B$7),"YES","NO")</f>
        <v/>
      </c>
      <c r="AJ960" s="33" t="inlineStr">
        <is>
          <t>OK</t>
        </is>
      </c>
    </row>
    <row r="961">
      <c r="A961" s="33" t="inlineStr">
        <is>
          <t>SM000957</t>
        </is>
      </c>
      <c r="B961" s="33" t="inlineStr">
        <is>
          <t>SW012</t>
        </is>
      </c>
      <c r="C961" s="33" t="inlineStr">
        <is>
          <t>Flynn Southam</t>
        </is>
      </c>
      <c r="D961" s="33" t="inlineStr">
        <is>
          <t>SwimCloud</t>
        </is>
      </c>
      <c r="E961" s="33" t="inlineStr">
        <is>
          <t>956278</t>
        </is>
      </c>
      <c r="F961" s="33" t="inlineStr">
        <is>
          <t>118948306</t>
        </is>
      </c>
      <c r="G961" s="51" t="n">
        <v>45034</v>
      </c>
      <c r="H961" s="33" t="inlineStr">
        <is>
          <t>Australian Championships</t>
        </is>
      </c>
      <c r="I961" s="33" t="inlineStr">
        <is>
          <t>255523</t>
        </is>
      </c>
      <c r="J961" s="33" t="inlineStr"/>
      <c r="K961" s="33" t="inlineStr">
        <is>
          <t>FIN</t>
        </is>
      </c>
      <c r="L961" s="35">
        <f>IF(K961="FIN",3,IF(OR(K961="SEM",K961="SEMI"),2,IF(OR(K961="PRE",K961="HEAT"),1,IF(V961="YES",4,2))))</f>
        <v/>
      </c>
      <c r="M961" s="33" t="inlineStr">
        <is>
          <t>LCM</t>
        </is>
      </c>
      <c r="N961" s="33" t="n">
        <v>200</v>
      </c>
      <c r="O961" s="33" t="inlineStr">
        <is>
          <t>Free</t>
        </is>
      </c>
      <c r="P961" s="33" t="inlineStr">
        <is>
          <t>200 Free</t>
        </is>
      </c>
      <c r="Q961" s="33" t="inlineStr">
        <is>
          <t>LCM_200_FREE</t>
        </is>
      </c>
      <c r="R961" s="36" t="n">
        <v>106.67</v>
      </c>
      <c r="S961" s="35">
        <f>IF(R961="","",IF(R961&gt;=60,INT(R961/60)&amp;":"&amp;TEXT(MOD(R961,60),"00.00"),TEXT(R961,"0.00")))</f>
        <v/>
      </c>
      <c r="T961" s="52">
        <f>IFERROR((G961-INDEX('01_Swimmers'!$E$5:$E$22,MATCH(B961,'01_Swimmers'!$A$5:$A$22,0)))/'00_Control'!$B$10,"")</f>
        <v/>
      </c>
      <c r="U961" s="35">
        <f>IF(T961="","",INT(T961))</f>
        <v/>
      </c>
      <c r="V961" s="33" t="inlineStr">
        <is>
          <t>NO</t>
        </is>
      </c>
      <c r="W961" s="33" t="inlineStr">
        <is>
          <t>YES</t>
        </is>
      </c>
      <c r="X961" s="33" t="inlineStr">
        <is>
          <t>NO</t>
        </is>
      </c>
      <c r="Y961" s="33" t="n">
        <v>1</v>
      </c>
      <c r="Z961" s="33" t="n">
        <v>5</v>
      </c>
      <c r="AA961" s="33" t="inlineStr">
        <is>
          <t>2</t>
        </is>
      </c>
      <c r="AB961" s="33" t="inlineStr">
        <is>
          <t>https://www.swimcloud.com/results/255523/event/19/?id=118948306#time118948306</t>
        </is>
      </c>
      <c r="AC961" s="33" t="inlineStr">
        <is>
          <t>SwimCloud API v6 2026-10-08</t>
        </is>
      </c>
      <c r="AD961" s="33" t="inlineStr">
        <is>
          <t>Flynn Southam|2023-04-18|LCM|200|Free|106.67|Australian Championships|FIN|False</t>
        </is>
      </c>
      <c r="AE961" s="53">
        <f>G961+L961/1000+ROW()/1000000000</f>
        <v/>
      </c>
      <c r="AF961" s="35">
        <f>IF(C961&lt;&gt;"Grayson Coulter","",COUNTIFS($C$5:$C$2991,"Grayson Coulter",$Q$5:$Q$2991,Q961,$AE$5:$AE$2991,"&lt;="&amp;AE961,$R$5:$R$2991,"&lt;"&amp;R961))</f>
        <v/>
      </c>
      <c r="AG961" s="35">
        <f>IF(OR(C961&lt;&gt;"Grayson Coulter",G961&lt;'00_Control'!$B$7),"",--(AF961&lt;5))</f>
        <v/>
      </c>
      <c r="AH961" s="35">
        <f>IF(OR(C961&lt;&gt;"Grayson Coulter",G961&lt;'00_Control'!$B$7),"",--(AF961&lt;10))</f>
        <v/>
      </c>
      <c r="AI961" s="35">
        <f>IF(AND(C961="Grayson Coulter",G961&gt;='00_Control'!$B$7),"YES","NO")</f>
        <v/>
      </c>
      <c r="AJ961" s="33" t="inlineStr">
        <is>
          <t>OK</t>
        </is>
      </c>
    </row>
    <row r="962">
      <c r="A962" s="33" t="inlineStr">
        <is>
          <t>SM000958</t>
        </is>
      </c>
      <c r="B962" s="33" t="inlineStr">
        <is>
          <t>SW012</t>
        </is>
      </c>
      <c r="C962" s="33" t="inlineStr">
        <is>
          <t>Flynn Southam</t>
        </is>
      </c>
      <c r="D962" s="33" t="inlineStr">
        <is>
          <t>SwimCloud</t>
        </is>
      </c>
      <c r="E962" s="33" t="inlineStr">
        <is>
          <t>956278</t>
        </is>
      </c>
      <c r="F962" s="33" t="inlineStr">
        <is>
          <t>118948490</t>
        </is>
      </c>
      <c r="G962" s="51" t="n">
        <v>45036</v>
      </c>
      <c r="H962" s="33" t="inlineStr">
        <is>
          <t>Australian Championships</t>
        </is>
      </c>
      <c r="I962" s="33" t="inlineStr">
        <is>
          <t>255523</t>
        </is>
      </c>
      <c r="J962" s="33" t="inlineStr"/>
      <c r="K962" s="33" t="inlineStr">
        <is>
          <t>PRE</t>
        </is>
      </c>
      <c r="L962" s="35">
        <f>IF(K962="FIN",3,IF(OR(K962="SEM",K962="SEMI"),2,IF(OR(K962="PRE",K962="HEAT"),1,IF(V962="YES",4,2))))</f>
        <v/>
      </c>
      <c r="M962" s="33" t="inlineStr">
        <is>
          <t>LCM</t>
        </is>
      </c>
      <c r="N962" s="33" t="n">
        <v>100</v>
      </c>
      <c r="O962" s="33" t="inlineStr">
        <is>
          <t>Free</t>
        </is>
      </c>
      <c r="P962" s="33" t="inlineStr">
        <is>
          <t>100 Free</t>
        </is>
      </c>
      <c r="Q962" s="33" t="inlineStr">
        <is>
          <t>LCM_100_FREE</t>
        </is>
      </c>
      <c r="R962" s="36" t="n">
        <v>48.72</v>
      </c>
      <c r="S962" s="35">
        <f>IF(R962="","",IF(R962&gt;=60,INT(R962/60)&amp;":"&amp;TEXT(MOD(R962,60),"00.00"),TEXT(R962,"0.00")))</f>
        <v/>
      </c>
      <c r="T962" s="52">
        <f>IFERROR((G962-INDEX('01_Swimmers'!$E$5:$E$22,MATCH(B962,'01_Swimmers'!$A$5:$A$22,0)))/'00_Control'!$B$10,"")</f>
        <v/>
      </c>
      <c r="U962" s="35">
        <f>IF(T962="","",INT(T962))</f>
        <v/>
      </c>
      <c r="V962" s="33" t="inlineStr">
        <is>
          <t>NO</t>
        </is>
      </c>
      <c r="W962" s="33" t="inlineStr">
        <is>
          <t>YES</t>
        </is>
      </c>
      <c r="X962" s="33" t="inlineStr">
        <is>
          <t>NO</t>
        </is>
      </c>
      <c r="Y962" s="33" t="n">
        <v>2</v>
      </c>
      <c r="Z962" s="33" t="n">
        <v>4</v>
      </c>
      <c r="AA962" s="33" t="inlineStr">
        <is>
          <t>2</t>
        </is>
      </c>
      <c r="AB962" s="33" t="inlineStr">
        <is>
          <t>https://www.swimcloud.com/results/255523/event/51/?id=118948490#time118948490</t>
        </is>
      </c>
      <c r="AC962" s="33" t="inlineStr">
        <is>
          <t>SwimCloud API v6 2026-10-08</t>
        </is>
      </c>
      <c r="AD962" s="33" t="inlineStr">
        <is>
          <t>Flynn Southam|2023-04-20|LCM|100|Free|48.72|Australian Championships|PRE|False</t>
        </is>
      </c>
      <c r="AE962" s="53">
        <f>G962+L962/1000+ROW()/1000000000</f>
        <v/>
      </c>
      <c r="AF962" s="35">
        <f>IF(C962&lt;&gt;"Grayson Coulter","",COUNTIFS($C$5:$C$2991,"Grayson Coulter",$Q$5:$Q$2991,Q962,$AE$5:$AE$2991,"&lt;="&amp;AE962,$R$5:$R$2991,"&lt;"&amp;R962))</f>
        <v/>
      </c>
      <c r="AG962" s="35">
        <f>IF(OR(C962&lt;&gt;"Grayson Coulter",G962&lt;'00_Control'!$B$7),"",--(AF962&lt;5))</f>
        <v/>
      </c>
      <c r="AH962" s="35">
        <f>IF(OR(C962&lt;&gt;"Grayson Coulter",G962&lt;'00_Control'!$B$7),"",--(AF962&lt;10))</f>
        <v/>
      </c>
      <c r="AI962" s="35">
        <f>IF(AND(C962="Grayson Coulter",G962&gt;='00_Control'!$B$7),"YES","NO")</f>
        <v/>
      </c>
      <c r="AJ962" s="33" t="inlineStr">
        <is>
          <t>OK</t>
        </is>
      </c>
    </row>
    <row r="963">
      <c r="A963" s="33" t="inlineStr">
        <is>
          <t>SM000959</t>
        </is>
      </c>
      <c r="B963" s="33" t="inlineStr">
        <is>
          <t>SW012</t>
        </is>
      </c>
      <c r="C963" s="33" t="inlineStr">
        <is>
          <t>Flynn Southam</t>
        </is>
      </c>
      <c r="D963" s="33" t="inlineStr">
        <is>
          <t>SwimCloud</t>
        </is>
      </c>
      <c r="E963" s="33" t="inlineStr">
        <is>
          <t>956278</t>
        </is>
      </c>
      <c r="F963" s="33" t="inlineStr">
        <is>
          <t>118948491</t>
        </is>
      </c>
      <c r="G963" s="51" t="n">
        <v>45036</v>
      </c>
      <c r="H963" s="33" t="inlineStr">
        <is>
          <t>Australian Championships</t>
        </is>
      </c>
      <c r="I963" s="33" t="inlineStr">
        <is>
          <t>255523</t>
        </is>
      </c>
      <c r="J963" s="33" t="inlineStr"/>
      <c r="K963" s="33" t="inlineStr">
        <is>
          <t>FIN</t>
        </is>
      </c>
      <c r="L963" s="35">
        <f>IF(K963="FIN",3,IF(OR(K963="SEM",K963="SEMI"),2,IF(OR(K963="PRE",K963="HEAT"),1,IF(V963="YES",4,2))))</f>
        <v/>
      </c>
      <c r="M963" s="33" t="inlineStr">
        <is>
          <t>LCM</t>
        </is>
      </c>
      <c r="N963" s="33" t="n">
        <v>100</v>
      </c>
      <c r="O963" s="33" t="inlineStr">
        <is>
          <t>Free</t>
        </is>
      </c>
      <c r="P963" s="33" t="inlineStr">
        <is>
          <t>100 Free</t>
        </is>
      </c>
      <c r="Q963" s="33" t="inlineStr">
        <is>
          <t>LCM_100_FREE</t>
        </is>
      </c>
      <c r="R963" s="36" t="n">
        <v>48.53</v>
      </c>
      <c r="S963" s="35">
        <f>IF(R963="","",IF(R963&gt;=60,INT(R963/60)&amp;":"&amp;TEXT(MOD(R963,60),"00.00"),TEXT(R963,"0.00")))</f>
        <v/>
      </c>
      <c r="T963" s="52">
        <f>IFERROR((G963-INDEX('01_Swimmers'!$E$5:$E$22,MATCH(B963,'01_Swimmers'!$A$5:$A$22,0)))/'00_Control'!$B$10,"")</f>
        <v/>
      </c>
      <c r="U963" s="35">
        <f>IF(T963="","",INT(T963))</f>
        <v/>
      </c>
      <c r="V963" s="33" t="inlineStr">
        <is>
          <t>NO</t>
        </is>
      </c>
      <c r="W963" s="33" t="inlineStr">
        <is>
          <t>YES</t>
        </is>
      </c>
      <c r="X963" s="33" t="inlineStr">
        <is>
          <t>NO</t>
        </is>
      </c>
      <c r="Y963" s="33" t="n">
        <v>1</v>
      </c>
      <c r="Z963" s="33" t="n">
        <v>5</v>
      </c>
      <c r="AA963" s="33" t="inlineStr">
        <is>
          <t>3</t>
        </is>
      </c>
      <c r="AB963" s="33" t="inlineStr">
        <is>
          <t>https://www.swimcloud.com/results/255523/event/51/?id=118948491#time118948491</t>
        </is>
      </c>
      <c r="AC963" s="33" t="inlineStr">
        <is>
          <t>SwimCloud API v6 2026-10-08</t>
        </is>
      </c>
      <c r="AD963" s="33" t="inlineStr">
        <is>
          <t>Flynn Southam|2023-04-20|LCM|100|Free|48.53|Australian Championships|FIN|False</t>
        </is>
      </c>
      <c r="AE963" s="53">
        <f>G963+L963/1000+ROW()/1000000000</f>
        <v/>
      </c>
      <c r="AF963" s="35">
        <f>IF(C963&lt;&gt;"Grayson Coulter","",COUNTIFS($C$5:$C$2991,"Grayson Coulter",$Q$5:$Q$2991,Q963,$AE$5:$AE$2991,"&lt;="&amp;AE963,$R$5:$R$2991,"&lt;"&amp;R963))</f>
        <v/>
      </c>
      <c r="AG963" s="35">
        <f>IF(OR(C963&lt;&gt;"Grayson Coulter",G963&lt;'00_Control'!$B$7),"",--(AF963&lt;5))</f>
        <v/>
      </c>
      <c r="AH963" s="35">
        <f>IF(OR(C963&lt;&gt;"Grayson Coulter",G963&lt;'00_Control'!$B$7),"",--(AF963&lt;10))</f>
        <v/>
      </c>
      <c r="AI963" s="35">
        <f>IF(AND(C963="Grayson Coulter",G963&gt;='00_Control'!$B$7),"YES","NO")</f>
        <v/>
      </c>
      <c r="AJ963" s="33" t="inlineStr">
        <is>
          <t>OK</t>
        </is>
      </c>
    </row>
    <row r="964">
      <c r="A964" s="33" t="inlineStr">
        <is>
          <t>SM000960</t>
        </is>
      </c>
      <c r="B964" s="33" t="inlineStr">
        <is>
          <t>SW012</t>
        </is>
      </c>
      <c r="C964" s="33" t="inlineStr">
        <is>
          <t>Flynn Southam</t>
        </is>
      </c>
      <c r="D964" s="33" t="inlineStr">
        <is>
          <t>SwimCloud</t>
        </is>
      </c>
      <c r="E964" s="33" t="inlineStr">
        <is>
          <t>956278</t>
        </is>
      </c>
      <c r="F964" s="33" t="inlineStr">
        <is>
          <t>119090781</t>
        </is>
      </c>
      <c r="G964" s="51" t="n">
        <v>45091</v>
      </c>
      <c r="H964" s="33" t="inlineStr">
        <is>
          <t>2023 Australian Swimming Trial</t>
        </is>
      </c>
      <c r="I964" s="33" t="inlineStr">
        <is>
          <t>296581</t>
        </is>
      </c>
      <c r="J964" s="33" t="inlineStr"/>
      <c r="K964" s="33" t="inlineStr">
        <is>
          <t>PRE</t>
        </is>
      </c>
      <c r="L964" s="35">
        <f>IF(K964="FIN",3,IF(OR(K964="SEM",K964="SEMI"),2,IF(OR(K964="PRE",K964="HEAT"),1,IF(V964="YES",4,2))))</f>
        <v/>
      </c>
      <c r="M964" s="33" t="inlineStr">
        <is>
          <t>LCM</t>
        </is>
      </c>
      <c r="N964" s="33" t="n">
        <v>200</v>
      </c>
      <c r="O964" s="33" t="inlineStr">
        <is>
          <t>Free</t>
        </is>
      </c>
      <c r="P964" s="33" t="inlineStr">
        <is>
          <t>200 Free</t>
        </is>
      </c>
      <c r="Q964" s="33" t="inlineStr">
        <is>
          <t>LCM_200_FREE</t>
        </is>
      </c>
      <c r="R964" s="36" t="n">
        <v>108.26</v>
      </c>
      <c r="S964" s="35">
        <f>IF(R964="","",IF(R964&gt;=60,INT(R964/60)&amp;":"&amp;TEXT(MOD(R964,60),"00.00"),TEXT(R964,"0.00")))</f>
        <v/>
      </c>
      <c r="T964" s="52">
        <f>IFERROR((G964-INDEX('01_Swimmers'!$E$5:$E$22,MATCH(B964,'01_Swimmers'!$A$5:$A$22,0)))/'00_Control'!$B$10,"")</f>
        <v/>
      </c>
      <c r="U964" s="35">
        <f>IF(T964="","",INT(T964))</f>
        <v/>
      </c>
      <c r="V964" s="33" t="inlineStr">
        <is>
          <t>NO</t>
        </is>
      </c>
      <c r="W964" s="33" t="inlineStr">
        <is>
          <t>YES</t>
        </is>
      </c>
      <c r="X964" s="33" t="inlineStr">
        <is>
          <t>NO</t>
        </is>
      </c>
      <c r="Y964" s="33" t="n">
        <v>2</v>
      </c>
      <c r="Z964" s="33" t="n">
        <v>5</v>
      </c>
      <c r="AA964" s="33" t="inlineStr">
        <is>
          <t>8</t>
        </is>
      </c>
      <c r="AB964" s="33" t="inlineStr">
        <is>
          <t>https://www.swimcloud.com/results/296581/event/8/?id=119090781#time119090781</t>
        </is>
      </c>
      <c r="AC964" s="33" t="inlineStr">
        <is>
          <t>SwimCloud API v6 2026-10-08</t>
        </is>
      </c>
      <c r="AD964" s="33" t="inlineStr">
        <is>
          <t>Flynn Southam|2023-06-14|LCM|200|Free|108.26|2023 Australian Swimming Trial|PRE|False</t>
        </is>
      </c>
      <c r="AE964" s="53">
        <f>G964+L964/1000+ROW()/1000000000</f>
        <v/>
      </c>
      <c r="AF964" s="35">
        <f>IF(C964&lt;&gt;"Grayson Coulter","",COUNTIFS($C$5:$C$2991,"Grayson Coulter",$Q$5:$Q$2991,Q964,$AE$5:$AE$2991,"&lt;="&amp;AE964,$R$5:$R$2991,"&lt;"&amp;R964))</f>
        <v/>
      </c>
      <c r="AG964" s="35">
        <f>IF(OR(C964&lt;&gt;"Grayson Coulter",G964&lt;'00_Control'!$B$7),"",--(AF964&lt;5))</f>
        <v/>
      </c>
      <c r="AH964" s="35">
        <f>IF(OR(C964&lt;&gt;"Grayson Coulter",G964&lt;'00_Control'!$B$7),"",--(AF964&lt;10))</f>
        <v/>
      </c>
      <c r="AI964" s="35">
        <f>IF(AND(C964="Grayson Coulter",G964&gt;='00_Control'!$B$7),"YES","NO")</f>
        <v/>
      </c>
      <c r="AJ964" s="33" t="inlineStr">
        <is>
          <t>OK</t>
        </is>
      </c>
    </row>
    <row r="965">
      <c r="A965" s="33" t="inlineStr">
        <is>
          <t>SM000961</t>
        </is>
      </c>
      <c r="B965" s="33" t="inlineStr">
        <is>
          <t>SW012</t>
        </is>
      </c>
      <c r="C965" s="33" t="inlineStr">
        <is>
          <t>Flynn Southam</t>
        </is>
      </c>
      <c r="D965" s="33" t="inlineStr">
        <is>
          <t>SwimCloud</t>
        </is>
      </c>
      <c r="E965" s="33" t="inlineStr">
        <is>
          <t>956278</t>
        </is>
      </c>
      <c r="F965" s="33" t="inlineStr">
        <is>
          <t>119090782</t>
        </is>
      </c>
      <c r="G965" s="51" t="n">
        <v>45091</v>
      </c>
      <c r="H965" s="33" t="inlineStr">
        <is>
          <t>2023 Australian Swimming Trial</t>
        </is>
      </c>
      <c r="I965" s="33" t="inlineStr">
        <is>
          <t>296581</t>
        </is>
      </c>
      <c r="J965" s="33" t="inlineStr"/>
      <c r="K965" s="33" t="inlineStr">
        <is>
          <t>FIN</t>
        </is>
      </c>
      <c r="L965" s="35">
        <f>IF(K965="FIN",3,IF(OR(K965="SEM",K965="SEMI"),2,IF(OR(K965="PRE",K965="HEAT"),1,IF(V965="YES",4,2))))</f>
        <v/>
      </c>
      <c r="M965" s="33" t="inlineStr">
        <is>
          <t>LCM</t>
        </is>
      </c>
      <c r="N965" s="33" t="n">
        <v>200</v>
      </c>
      <c r="O965" s="33" t="inlineStr">
        <is>
          <t>Free</t>
        </is>
      </c>
      <c r="P965" s="33" t="inlineStr">
        <is>
          <t>200 Free</t>
        </is>
      </c>
      <c r="Q965" s="33" t="inlineStr">
        <is>
          <t>LCM_200_FREE</t>
        </is>
      </c>
      <c r="R965" s="36" t="n">
        <v>107.11</v>
      </c>
      <c r="S965" s="35">
        <f>IF(R965="","",IF(R965&gt;=60,INT(R965/60)&amp;":"&amp;TEXT(MOD(R965,60),"00.00"),TEXT(R965,"0.00")))</f>
        <v/>
      </c>
      <c r="T965" s="52">
        <f>IFERROR((G965-INDEX('01_Swimmers'!$E$5:$E$22,MATCH(B965,'01_Swimmers'!$A$5:$A$22,0)))/'00_Control'!$B$10,"")</f>
        <v/>
      </c>
      <c r="U965" s="35">
        <f>IF(T965="","",INT(T965))</f>
        <v/>
      </c>
      <c r="V965" s="33" t="inlineStr">
        <is>
          <t>NO</t>
        </is>
      </c>
      <c r="W965" s="33" t="inlineStr">
        <is>
          <t>YES</t>
        </is>
      </c>
      <c r="X965" s="33" t="inlineStr">
        <is>
          <t>NO</t>
        </is>
      </c>
      <c r="Y965" s="33" t="n">
        <v>1</v>
      </c>
      <c r="Z965" s="33" t="n">
        <v>1</v>
      </c>
      <c r="AA965" s="33" t="inlineStr">
        <is>
          <t>5</t>
        </is>
      </c>
      <c r="AB965" s="33" t="inlineStr">
        <is>
          <t>https://www.swimcloud.com/results/296581/event/8/?id=119090782#time119090782</t>
        </is>
      </c>
      <c r="AC965" s="33" t="inlineStr">
        <is>
          <t>SwimCloud API v6 2026-10-08</t>
        </is>
      </c>
      <c r="AD965" s="33" t="inlineStr">
        <is>
          <t>Flynn Southam|2023-06-14|LCM|200|Free|107.11|2023 Australian Swimming Trial|FIN|False</t>
        </is>
      </c>
      <c r="AE965" s="53">
        <f>G965+L965/1000+ROW()/1000000000</f>
        <v/>
      </c>
      <c r="AF965" s="35">
        <f>IF(C965&lt;&gt;"Grayson Coulter","",COUNTIFS($C$5:$C$2991,"Grayson Coulter",$Q$5:$Q$2991,Q965,$AE$5:$AE$2991,"&lt;="&amp;AE965,$R$5:$R$2991,"&lt;"&amp;R965))</f>
        <v/>
      </c>
      <c r="AG965" s="35">
        <f>IF(OR(C965&lt;&gt;"Grayson Coulter",G965&lt;'00_Control'!$B$7),"",--(AF965&lt;5))</f>
        <v/>
      </c>
      <c r="AH965" s="35">
        <f>IF(OR(C965&lt;&gt;"Grayson Coulter",G965&lt;'00_Control'!$B$7),"",--(AF965&lt;10))</f>
        <v/>
      </c>
      <c r="AI965" s="35">
        <f>IF(AND(C965="Grayson Coulter",G965&gt;='00_Control'!$B$7),"YES","NO")</f>
        <v/>
      </c>
      <c r="AJ965" s="33" t="inlineStr">
        <is>
          <t>OK</t>
        </is>
      </c>
    </row>
    <row r="966">
      <c r="A966" s="33" t="inlineStr">
        <is>
          <t>SM000962</t>
        </is>
      </c>
      <c r="B966" s="33" t="inlineStr">
        <is>
          <t>SW012</t>
        </is>
      </c>
      <c r="C966" s="33" t="inlineStr">
        <is>
          <t>Flynn Southam</t>
        </is>
      </c>
      <c r="D966" s="33" t="inlineStr">
        <is>
          <t>SwimCloud</t>
        </is>
      </c>
      <c r="E966" s="33" t="inlineStr">
        <is>
          <t>956278</t>
        </is>
      </c>
      <c r="F966" s="33" t="inlineStr">
        <is>
          <t>119089170</t>
        </is>
      </c>
      <c r="G966" s="51" t="n">
        <v>45093</v>
      </c>
      <c r="H966" s="33" t="inlineStr">
        <is>
          <t>2023 Australian Swimming Trial</t>
        </is>
      </c>
      <c r="I966" s="33" t="inlineStr">
        <is>
          <t>296581</t>
        </is>
      </c>
      <c r="J966" s="33" t="inlineStr"/>
      <c r="K966" s="33" t="inlineStr">
        <is>
          <t>PRE</t>
        </is>
      </c>
      <c r="L966" s="35">
        <f>IF(K966="FIN",3,IF(OR(K966="SEM",K966="SEMI"),2,IF(OR(K966="PRE",K966="HEAT"),1,IF(V966="YES",4,2))))</f>
        <v/>
      </c>
      <c r="M966" s="33" t="inlineStr">
        <is>
          <t>LCM</t>
        </is>
      </c>
      <c r="N966" s="33" t="n">
        <v>100</v>
      </c>
      <c r="O966" s="33" t="inlineStr">
        <is>
          <t>Free</t>
        </is>
      </c>
      <c r="P966" s="33" t="inlineStr">
        <is>
          <t>100 Free</t>
        </is>
      </c>
      <c r="Q966" s="33" t="inlineStr">
        <is>
          <t>LCM_100_FREE</t>
        </is>
      </c>
      <c r="R966" s="36" t="n">
        <v>48.75</v>
      </c>
      <c r="S966" s="35">
        <f>IF(R966="","",IF(R966&gt;=60,INT(R966/60)&amp;":"&amp;TEXT(MOD(R966,60),"00.00"),TEXT(R966,"0.00")))</f>
        <v/>
      </c>
      <c r="T966" s="52">
        <f>IFERROR((G966-INDEX('01_Swimmers'!$E$5:$E$22,MATCH(B966,'01_Swimmers'!$A$5:$A$22,0)))/'00_Control'!$B$10,"")</f>
        <v/>
      </c>
      <c r="U966" s="35">
        <f>IF(T966="","",INT(T966))</f>
        <v/>
      </c>
      <c r="V966" s="33" t="inlineStr">
        <is>
          <t>NO</t>
        </is>
      </c>
      <c r="W966" s="33" t="inlineStr">
        <is>
          <t>YES</t>
        </is>
      </c>
      <c r="X966" s="33" t="inlineStr">
        <is>
          <t>NO</t>
        </is>
      </c>
      <c r="Y966" s="33" t="n">
        <v>3</v>
      </c>
      <c r="Z966" s="33" t="n">
        <v>4</v>
      </c>
      <c r="AA966" s="33" t="inlineStr">
        <is>
          <t>3</t>
        </is>
      </c>
      <c r="AB966" s="33" t="inlineStr">
        <is>
          <t>https://www.swimcloud.com/results/296581/event/19/?id=119089170#time119089170</t>
        </is>
      </c>
      <c r="AC966" s="33" t="inlineStr">
        <is>
          <t>SwimCloud API v6 2026-10-08</t>
        </is>
      </c>
      <c r="AD966" s="33" t="inlineStr">
        <is>
          <t>Flynn Southam|2023-06-16|LCM|100|Free|48.75|2023 Australian Swimming Trial|PRE|False</t>
        </is>
      </c>
      <c r="AE966" s="53">
        <f>G966+L966/1000+ROW()/1000000000</f>
        <v/>
      </c>
      <c r="AF966" s="35">
        <f>IF(C966&lt;&gt;"Grayson Coulter","",COUNTIFS($C$5:$C$2991,"Grayson Coulter",$Q$5:$Q$2991,Q966,$AE$5:$AE$2991,"&lt;="&amp;AE966,$R$5:$R$2991,"&lt;"&amp;R966))</f>
        <v/>
      </c>
      <c r="AG966" s="35">
        <f>IF(OR(C966&lt;&gt;"Grayson Coulter",G966&lt;'00_Control'!$B$7),"",--(AF966&lt;5))</f>
        <v/>
      </c>
      <c r="AH966" s="35">
        <f>IF(OR(C966&lt;&gt;"Grayson Coulter",G966&lt;'00_Control'!$B$7),"",--(AF966&lt;10))</f>
        <v/>
      </c>
      <c r="AI966" s="35">
        <f>IF(AND(C966="Grayson Coulter",G966&gt;='00_Control'!$B$7),"YES","NO")</f>
        <v/>
      </c>
      <c r="AJ966" s="33" t="inlineStr">
        <is>
          <t>OK</t>
        </is>
      </c>
    </row>
    <row r="967">
      <c r="A967" s="33" t="inlineStr">
        <is>
          <t>SM000963</t>
        </is>
      </c>
      <c r="B967" s="33" t="inlineStr">
        <is>
          <t>SW012</t>
        </is>
      </c>
      <c r="C967" s="33" t="inlineStr">
        <is>
          <t>Flynn Southam</t>
        </is>
      </c>
      <c r="D967" s="33" t="inlineStr">
        <is>
          <t>SwimCloud</t>
        </is>
      </c>
      <c r="E967" s="33" t="inlineStr">
        <is>
          <t>956278</t>
        </is>
      </c>
      <c r="F967" s="33" t="inlineStr">
        <is>
          <t>119089171</t>
        </is>
      </c>
      <c r="G967" s="51" t="n">
        <v>45093</v>
      </c>
      <c r="H967" s="33" t="inlineStr">
        <is>
          <t>2023 Australian Swimming Trial</t>
        </is>
      </c>
      <c r="I967" s="33" t="inlineStr">
        <is>
          <t>296581</t>
        </is>
      </c>
      <c r="J967" s="33" t="inlineStr"/>
      <c r="K967" s="33" t="inlineStr">
        <is>
          <t>FIN</t>
        </is>
      </c>
      <c r="L967" s="35">
        <f>IF(K967="FIN",3,IF(OR(K967="SEM",K967="SEMI"),2,IF(OR(K967="PRE",K967="HEAT"),1,IF(V967="YES",4,2))))</f>
        <v/>
      </c>
      <c r="M967" s="33" t="inlineStr">
        <is>
          <t>LCM</t>
        </is>
      </c>
      <c r="N967" s="33" t="n">
        <v>100</v>
      </c>
      <c r="O967" s="33" t="inlineStr">
        <is>
          <t>Free</t>
        </is>
      </c>
      <c r="P967" s="33" t="inlineStr">
        <is>
          <t>100 Free</t>
        </is>
      </c>
      <c r="Q967" s="33" t="inlineStr">
        <is>
          <t>LCM_100_FREE</t>
        </is>
      </c>
      <c r="R967" s="36" t="n">
        <v>47.77</v>
      </c>
      <c r="S967" s="35">
        <f>IF(R967="","",IF(R967&gt;=60,INT(R967/60)&amp;":"&amp;TEXT(MOD(R967,60),"00.00"),TEXT(R967,"0.00")))</f>
        <v/>
      </c>
      <c r="T967" s="52">
        <f>IFERROR((G967-INDEX('01_Swimmers'!$E$5:$E$22,MATCH(B967,'01_Swimmers'!$A$5:$A$22,0)))/'00_Control'!$B$10,"")</f>
        <v/>
      </c>
      <c r="U967" s="35">
        <f>IF(T967="","",INT(T967))</f>
        <v/>
      </c>
      <c r="V967" s="33" t="inlineStr">
        <is>
          <t>NO</t>
        </is>
      </c>
      <c r="W967" s="33" t="inlineStr">
        <is>
          <t>YES</t>
        </is>
      </c>
      <c r="X967" s="33" t="inlineStr">
        <is>
          <t>NO</t>
        </is>
      </c>
      <c r="Y967" s="33" t="n">
        <v>1</v>
      </c>
      <c r="Z967" s="33" t="n">
        <v>3</v>
      </c>
      <c r="AA967" s="33" t="inlineStr">
        <is>
          <t>2</t>
        </is>
      </c>
      <c r="AB967" s="33" t="inlineStr">
        <is>
          <t>https://www.swimcloud.com/results/296581/event/19/?id=119089171#time119089171</t>
        </is>
      </c>
      <c r="AC967" s="33" t="inlineStr">
        <is>
          <t>SwimCloud API v6 2026-10-08</t>
        </is>
      </c>
      <c r="AD967" s="33" t="inlineStr">
        <is>
          <t>Flynn Southam|2023-06-16|LCM|100|Free|47.77|2023 Australian Swimming Trial|FIN|False</t>
        </is>
      </c>
      <c r="AE967" s="53">
        <f>G967+L967/1000+ROW()/1000000000</f>
        <v/>
      </c>
      <c r="AF967" s="35">
        <f>IF(C967&lt;&gt;"Grayson Coulter","",COUNTIFS($C$5:$C$2991,"Grayson Coulter",$Q$5:$Q$2991,Q967,$AE$5:$AE$2991,"&lt;="&amp;AE967,$R$5:$R$2991,"&lt;"&amp;R967))</f>
        <v/>
      </c>
      <c r="AG967" s="35">
        <f>IF(OR(C967&lt;&gt;"Grayson Coulter",G967&lt;'00_Control'!$B$7),"",--(AF967&lt;5))</f>
        <v/>
      </c>
      <c r="AH967" s="35">
        <f>IF(OR(C967&lt;&gt;"Grayson Coulter",G967&lt;'00_Control'!$B$7),"",--(AF967&lt;10))</f>
        <v/>
      </c>
      <c r="AI967" s="35">
        <f>IF(AND(C967="Grayson Coulter",G967&gt;='00_Control'!$B$7),"YES","NO")</f>
        <v/>
      </c>
      <c r="AJ967" s="33" t="inlineStr">
        <is>
          <t>OK</t>
        </is>
      </c>
    </row>
    <row r="968">
      <c r="A968" s="33" t="inlineStr">
        <is>
          <t>SM000964</t>
        </is>
      </c>
      <c r="B968" s="33" t="inlineStr">
        <is>
          <t>SW012</t>
        </is>
      </c>
      <c r="C968" s="33" t="inlineStr">
        <is>
          <t>Flynn Southam</t>
        </is>
      </c>
      <c r="D968" s="33" t="inlineStr">
        <is>
          <t>SwimCloud</t>
        </is>
      </c>
      <c r="E968" s="33" t="inlineStr">
        <is>
          <t>956278</t>
        </is>
      </c>
      <c r="F968" s="33" t="inlineStr">
        <is>
          <t>104770415</t>
        </is>
      </c>
      <c r="G968" s="51" t="n">
        <v>45133</v>
      </c>
      <c r="H968" s="33" t="inlineStr">
        <is>
          <t>20th World Aquatics Championships</t>
        </is>
      </c>
      <c r="I968" s="33" t="inlineStr">
        <is>
          <t>273652</t>
        </is>
      </c>
      <c r="J968" s="33" t="inlineStr"/>
      <c r="K968" s="33" t="inlineStr">
        <is>
          <t>PRE</t>
        </is>
      </c>
      <c r="L968" s="35">
        <f>IF(K968="FIN",3,IF(OR(K968="SEM",K968="SEMI"),2,IF(OR(K968="PRE",K968="HEAT"),1,IF(V968="YES",4,2))))</f>
        <v/>
      </c>
      <c r="M968" s="33" t="inlineStr">
        <is>
          <t>LCM</t>
        </is>
      </c>
      <c r="N968" s="33" t="n">
        <v>100</v>
      </c>
      <c r="O968" s="33" t="inlineStr">
        <is>
          <t>Free</t>
        </is>
      </c>
      <c r="P968" s="33" t="inlineStr">
        <is>
          <t>100 Free</t>
        </is>
      </c>
      <c r="Q968" s="33" t="inlineStr">
        <is>
          <t>LCM_100_FREE</t>
        </is>
      </c>
      <c r="R968" s="36" t="n">
        <v>48.18</v>
      </c>
      <c r="S968" s="35">
        <f>IF(R968="","",IF(R968&gt;=60,INT(R968/60)&amp;":"&amp;TEXT(MOD(R968,60),"00.00"),TEXT(R968,"0.00")))</f>
        <v/>
      </c>
      <c r="T968" s="52">
        <f>IFERROR((G968-INDEX('01_Swimmers'!$E$5:$E$22,MATCH(B968,'01_Swimmers'!$A$5:$A$22,0)))/'00_Control'!$B$10,"")</f>
        <v/>
      </c>
      <c r="U968" s="35">
        <f>IF(T968="","",INT(T968))</f>
        <v/>
      </c>
      <c r="V968" s="33" t="inlineStr">
        <is>
          <t>NO</t>
        </is>
      </c>
      <c r="W968" s="33" t="inlineStr">
        <is>
          <t>YES</t>
        </is>
      </c>
      <c r="X968" s="33" t="inlineStr">
        <is>
          <t>NO</t>
        </is>
      </c>
      <c r="Y968" s="33" t="n">
        <v>11</v>
      </c>
      <c r="Z968" s="33" t="n">
        <v>6</v>
      </c>
      <c r="AA968" s="33" t="inlineStr">
        <is>
          <t>11</t>
        </is>
      </c>
      <c r="AB968" s="33" t="inlineStr">
        <is>
          <t>https://www.swimcloud.com/results/273652/event/20/?id=104770415#time104770415</t>
        </is>
      </c>
      <c r="AC968" s="33" t="inlineStr">
        <is>
          <t>SwimCloud API v6 2026-10-08</t>
        </is>
      </c>
      <c r="AD968" s="33" t="inlineStr">
        <is>
          <t>Flynn Southam|2023-07-26|LCM|100|Free|48.18|20th World Aquatics Championships|PRE|False</t>
        </is>
      </c>
      <c r="AE968" s="53">
        <f>G968+L968/1000+ROW()/1000000000</f>
        <v/>
      </c>
      <c r="AF968" s="35">
        <f>IF(C968&lt;&gt;"Grayson Coulter","",COUNTIFS($C$5:$C$2991,"Grayson Coulter",$Q$5:$Q$2991,Q968,$AE$5:$AE$2991,"&lt;="&amp;AE968,$R$5:$R$2991,"&lt;"&amp;R968))</f>
        <v/>
      </c>
      <c r="AG968" s="35">
        <f>IF(OR(C968&lt;&gt;"Grayson Coulter",G968&lt;'00_Control'!$B$7),"",--(AF968&lt;5))</f>
        <v/>
      </c>
      <c r="AH968" s="35">
        <f>IF(OR(C968&lt;&gt;"Grayson Coulter",G968&lt;'00_Control'!$B$7),"",--(AF968&lt;10))</f>
        <v/>
      </c>
      <c r="AI968" s="35">
        <f>IF(AND(C968="Grayson Coulter",G968&gt;='00_Control'!$B$7),"YES","NO")</f>
        <v/>
      </c>
      <c r="AJ968" s="33" t="inlineStr">
        <is>
          <t>OK</t>
        </is>
      </c>
    </row>
    <row r="969">
      <c r="A969" s="33" t="inlineStr">
        <is>
          <t>SM000965</t>
        </is>
      </c>
      <c r="B969" s="33" t="inlineStr">
        <is>
          <t>SW012</t>
        </is>
      </c>
      <c r="C969" s="33" t="inlineStr">
        <is>
          <t>Flynn Southam</t>
        </is>
      </c>
      <c r="D969" s="33" t="inlineStr">
        <is>
          <t>SwimCloud</t>
        </is>
      </c>
      <c r="E969" s="33" t="inlineStr">
        <is>
          <t>956278</t>
        </is>
      </c>
      <c r="F969" s="33" t="inlineStr">
        <is>
          <t>104770416</t>
        </is>
      </c>
      <c r="G969" s="51" t="n">
        <v>45133</v>
      </c>
      <c r="H969" s="33" t="inlineStr">
        <is>
          <t>20th World Aquatics Championships</t>
        </is>
      </c>
      <c r="I969" s="33" t="inlineStr">
        <is>
          <t>273652</t>
        </is>
      </c>
      <c r="J969" s="33" t="inlineStr"/>
      <c r="K969" s="33" t="inlineStr">
        <is>
          <t>SEM</t>
        </is>
      </c>
      <c r="L969" s="35">
        <f>IF(K969="FIN",3,IF(OR(K969="SEM",K969="SEMI"),2,IF(OR(K969="PRE",K969="HEAT"),1,IF(V969="YES",4,2))))</f>
        <v/>
      </c>
      <c r="M969" s="33" t="inlineStr">
        <is>
          <t>LCM</t>
        </is>
      </c>
      <c r="N969" s="33" t="n">
        <v>100</v>
      </c>
      <c r="O969" s="33" t="inlineStr">
        <is>
          <t>Free</t>
        </is>
      </c>
      <c r="P969" s="33" t="inlineStr">
        <is>
          <t>100 Free</t>
        </is>
      </c>
      <c r="Q969" s="33" t="inlineStr">
        <is>
          <t>LCM_100_FREE</t>
        </is>
      </c>
      <c r="R969" s="36" t="n">
        <v>48.15</v>
      </c>
      <c r="S969" s="35">
        <f>IF(R969="","",IF(R969&gt;=60,INT(R969/60)&amp;":"&amp;TEXT(MOD(R969,60),"00.00"),TEXT(R969,"0.00")))</f>
        <v/>
      </c>
      <c r="T969" s="52">
        <f>IFERROR((G969-INDEX('01_Swimmers'!$E$5:$E$22,MATCH(B969,'01_Swimmers'!$A$5:$A$22,0)))/'00_Control'!$B$10,"")</f>
        <v/>
      </c>
      <c r="U969" s="35">
        <f>IF(T969="","",INT(T969))</f>
        <v/>
      </c>
      <c r="V969" s="33" t="inlineStr">
        <is>
          <t>NO</t>
        </is>
      </c>
      <c r="W969" s="33" t="inlineStr">
        <is>
          <t>YES</t>
        </is>
      </c>
      <c r="X969" s="33" t="inlineStr">
        <is>
          <t>NO</t>
        </is>
      </c>
      <c r="Y969" s="33" t="n">
        <v>2</v>
      </c>
      <c r="Z969" s="33" t="n">
        <v>7</v>
      </c>
      <c r="AA969" s="33" t="inlineStr">
        <is>
          <t>11</t>
        </is>
      </c>
      <c r="AB969" s="33" t="inlineStr">
        <is>
          <t>https://www.swimcloud.com/results/273652/event/20/?id=104770416#time104770416</t>
        </is>
      </c>
      <c r="AC969" s="33" t="inlineStr">
        <is>
          <t>SwimCloud API v6 2026-10-08</t>
        </is>
      </c>
      <c r="AD969" s="33" t="inlineStr">
        <is>
          <t>Flynn Southam|2023-07-26|LCM|100|Free|48.15|20th World Aquatics Championships|SEM|False</t>
        </is>
      </c>
      <c r="AE969" s="53">
        <f>G969+L969/1000+ROW()/1000000000</f>
        <v/>
      </c>
      <c r="AF969" s="35">
        <f>IF(C969&lt;&gt;"Grayson Coulter","",COUNTIFS($C$5:$C$2991,"Grayson Coulter",$Q$5:$Q$2991,Q969,$AE$5:$AE$2991,"&lt;="&amp;AE969,$R$5:$R$2991,"&lt;"&amp;R969))</f>
        <v/>
      </c>
      <c r="AG969" s="35">
        <f>IF(OR(C969&lt;&gt;"Grayson Coulter",G969&lt;'00_Control'!$B$7),"",--(AF969&lt;5))</f>
        <v/>
      </c>
      <c r="AH969" s="35">
        <f>IF(OR(C969&lt;&gt;"Grayson Coulter",G969&lt;'00_Control'!$B$7),"",--(AF969&lt;10))</f>
        <v/>
      </c>
      <c r="AI969" s="35">
        <f>IF(AND(C969="Grayson Coulter",G969&gt;='00_Control'!$B$7),"YES","NO")</f>
        <v/>
      </c>
      <c r="AJ969" s="33" t="inlineStr">
        <is>
          <t>OK</t>
        </is>
      </c>
    </row>
    <row r="970">
      <c r="A970" s="33" t="inlineStr">
        <is>
          <t>SM000966</t>
        </is>
      </c>
      <c r="B970" s="33" t="inlineStr">
        <is>
          <t>SW012</t>
        </is>
      </c>
      <c r="C970" s="33" t="inlineStr">
        <is>
          <t>Flynn Southam</t>
        </is>
      </c>
      <c r="D970" s="33" t="inlineStr">
        <is>
          <t>SwimCloud</t>
        </is>
      </c>
      <c r="E970" s="33" t="inlineStr">
        <is>
          <t>956278</t>
        </is>
      </c>
      <c r="F970" s="33" t="inlineStr">
        <is>
          <t>104773302</t>
        </is>
      </c>
      <c r="G970" s="51" t="n">
        <v>45135</v>
      </c>
      <c r="H970" s="33" t="inlineStr">
        <is>
          <t>20th World Aquatics Championships</t>
        </is>
      </c>
      <c r="I970" s="33" t="inlineStr">
        <is>
          <t>273652</t>
        </is>
      </c>
      <c r="J970" s="33" t="inlineStr"/>
      <c r="K970" s="33" t="inlineStr">
        <is>
          <t>PRE</t>
        </is>
      </c>
      <c r="L970" s="35">
        <f>IF(K970="FIN",3,IF(OR(K970="SEM",K970="SEMI"),2,IF(OR(K970="PRE",K970="HEAT"),1,IF(V970="YES",4,2))))</f>
        <v/>
      </c>
      <c r="M970" s="33" t="inlineStr">
        <is>
          <t>LCM</t>
        </is>
      </c>
      <c r="N970" s="33" t="n">
        <v>200</v>
      </c>
      <c r="O970" s="33" t="inlineStr">
        <is>
          <t>Free</t>
        </is>
      </c>
      <c r="P970" s="33" t="inlineStr">
        <is>
          <t>200 Free</t>
        </is>
      </c>
      <c r="Q970" s="33" t="inlineStr">
        <is>
          <t>LCM_200_FREE</t>
        </is>
      </c>
      <c r="R970" s="36" t="n">
        <v>107.85</v>
      </c>
      <c r="S970" s="35">
        <f>IF(R970="","",IF(R970&gt;=60,INT(R970/60)&amp;":"&amp;TEXT(MOD(R970,60),"00.00"),TEXT(R970,"0.00")))</f>
        <v/>
      </c>
      <c r="T970" s="52">
        <f>IFERROR((G970-INDEX('01_Swimmers'!$E$5:$E$22,MATCH(B970,'01_Swimmers'!$A$5:$A$22,0)))/'00_Control'!$B$10,"")</f>
        <v/>
      </c>
      <c r="U970" s="35">
        <f>IF(T970="","",INT(T970))</f>
        <v/>
      </c>
      <c r="V970" s="33" t="inlineStr">
        <is>
          <t>YES</t>
        </is>
      </c>
      <c r="W970" s="33" t="inlineStr">
        <is>
          <t>YES</t>
        </is>
      </c>
      <c r="X970" s="33" t="inlineStr">
        <is>
          <t>NO</t>
        </is>
      </c>
      <c r="Y970" s="33" t="n">
        <v>1</v>
      </c>
      <c r="Z970" s="33" t="n">
        <v>4</v>
      </c>
      <c r="AA970" s="33" t="inlineStr"/>
      <c r="AB970" s="33" t="inlineStr">
        <is>
          <t>https://www.swimcloud.com/results/273652/event/33/?id=104770518#time104770518</t>
        </is>
      </c>
      <c r="AC970" s="33" t="inlineStr">
        <is>
          <t>SwimCloud API v6 2026-10-08</t>
        </is>
      </c>
      <c r="AD970" s="33" t="inlineStr">
        <is>
          <t>Flynn Southam|2023-07-28|LCM|200|Free|107.85|20th World Aquatics Championships|PRE|True</t>
        </is>
      </c>
      <c r="AE970" s="53">
        <f>G970+L970/1000+ROW()/1000000000</f>
        <v/>
      </c>
      <c r="AF970" s="35">
        <f>IF(C970&lt;&gt;"Grayson Coulter","",COUNTIFS($C$5:$C$2991,"Grayson Coulter",$Q$5:$Q$2991,Q970,$AE$5:$AE$2991,"&lt;="&amp;AE970,$R$5:$R$2991,"&lt;"&amp;R970))</f>
        <v/>
      </c>
      <c r="AG970" s="35">
        <f>IF(OR(C970&lt;&gt;"Grayson Coulter",G970&lt;'00_Control'!$B$7),"",--(AF970&lt;5))</f>
        <v/>
      </c>
      <c r="AH970" s="35">
        <f>IF(OR(C970&lt;&gt;"Grayson Coulter",G970&lt;'00_Control'!$B$7),"",--(AF970&lt;10))</f>
        <v/>
      </c>
      <c r="AI970" s="35">
        <f>IF(AND(C970="Grayson Coulter",G970&gt;='00_Control'!$B$7),"YES","NO")</f>
        <v/>
      </c>
      <c r="AJ970" s="33" t="inlineStr">
        <is>
          <t>OK</t>
        </is>
      </c>
    </row>
    <row r="971">
      <c r="A971" s="33" t="inlineStr">
        <is>
          <t>SM000967</t>
        </is>
      </c>
      <c r="B971" s="33" t="inlineStr">
        <is>
          <t>SW012</t>
        </is>
      </c>
      <c r="C971" s="33" t="inlineStr">
        <is>
          <t>Flynn Southam</t>
        </is>
      </c>
      <c r="D971" s="33" t="inlineStr">
        <is>
          <t>SwimCloud</t>
        </is>
      </c>
      <c r="E971" s="33" t="inlineStr">
        <is>
          <t>956278</t>
        </is>
      </c>
      <c r="F971" s="33" t="inlineStr">
        <is>
          <t>104773342</t>
        </is>
      </c>
      <c r="G971" s="51" t="n">
        <v>45136</v>
      </c>
      <c r="H971" s="33" t="inlineStr">
        <is>
          <t>20th World Aquatics Championships</t>
        </is>
      </c>
      <c r="I971" s="33" t="inlineStr">
        <is>
          <t>273652</t>
        </is>
      </c>
      <c r="J971" s="33" t="inlineStr"/>
      <c r="K971" s="33" t="inlineStr">
        <is>
          <t>PRE</t>
        </is>
      </c>
      <c r="L971" s="35">
        <f>IF(K971="FIN",3,IF(OR(K971="SEM",K971="SEMI"),2,IF(OR(K971="PRE",K971="HEAT"),1,IF(V971="YES",4,2))))</f>
        <v/>
      </c>
      <c r="M971" s="33" t="inlineStr">
        <is>
          <t>LCM</t>
        </is>
      </c>
      <c r="N971" s="33" t="n">
        <v>100</v>
      </c>
      <c r="O971" s="33" t="inlineStr">
        <is>
          <t>Free</t>
        </is>
      </c>
      <c r="P971" s="33" t="inlineStr">
        <is>
          <t>100 Free</t>
        </is>
      </c>
      <c r="Q971" s="33" t="inlineStr">
        <is>
          <t>LCM_100_FREE</t>
        </is>
      </c>
      <c r="R971" s="36" t="n">
        <v>48.69</v>
      </c>
      <c r="S971" s="35">
        <f>IF(R971="","",IF(R971&gt;=60,INT(R971/60)&amp;":"&amp;TEXT(MOD(R971,60),"00.00"),TEXT(R971,"0.00")))</f>
        <v/>
      </c>
      <c r="T971" s="52">
        <f>IFERROR((G971-INDEX('01_Swimmers'!$E$5:$E$22,MATCH(B971,'01_Swimmers'!$A$5:$A$22,0)))/'00_Control'!$B$10,"")</f>
        <v/>
      </c>
      <c r="U971" s="35">
        <f>IF(T971="","",INT(T971))</f>
        <v/>
      </c>
      <c r="V971" s="33" t="inlineStr">
        <is>
          <t>YES</t>
        </is>
      </c>
      <c r="W971" s="33" t="inlineStr">
        <is>
          <t>YES</t>
        </is>
      </c>
      <c r="X971" s="33" t="inlineStr">
        <is>
          <t>NO</t>
        </is>
      </c>
      <c r="Y971" s="33" t="n">
        <v>5</v>
      </c>
      <c r="Z971" s="33" t="n">
        <v>4</v>
      </c>
      <c r="AA971" s="33" t="inlineStr"/>
      <c r="AB971" s="33" t="inlineStr">
        <is>
          <t>https://www.swimcloud.com/results/273652/event/38/?id=104770528#time104770528</t>
        </is>
      </c>
      <c r="AC971" s="33" t="inlineStr">
        <is>
          <t>SwimCloud API v6 2026-10-08</t>
        </is>
      </c>
      <c r="AD971" s="33" t="inlineStr">
        <is>
          <t>Flynn Southam|2023-07-29|LCM|100|Free|48.69|20th World Aquatics Championships|PRE|True</t>
        </is>
      </c>
      <c r="AE971" s="53">
        <f>G971+L971/1000+ROW()/1000000000</f>
        <v/>
      </c>
      <c r="AF971" s="35">
        <f>IF(C971&lt;&gt;"Grayson Coulter","",COUNTIFS($C$5:$C$2991,"Grayson Coulter",$Q$5:$Q$2991,Q971,$AE$5:$AE$2991,"&lt;="&amp;AE971,$R$5:$R$2991,"&lt;"&amp;R971))</f>
        <v/>
      </c>
      <c r="AG971" s="35">
        <f>IF(OR(C971&lt;&gt;"Grayson Coulter",G971&lt;'00_Control'!$B$7),"",--(AF971&lt;5))</f>
        <v/>
      </c>
      <c r="AH971" s="35">
        <f>IF(OR(C971&lt;&gt;"Grayson Coulter",G971&lt;'00_Control'!$B$7),"",--(AF971&lt;10))</f>
        <v/>
      </c>
      <c r="AI971" s="35">
        <f>IF(AND(C971="Grayson Coulter",G971&gt;='00_Control'!$B$7),"YES","NO")</f>
        <v/>
      </c>
      <c r="AJ971" s="33" t="inlineStr">
        <is>
          <t>OK</t>
        </is>
      </c>
    </row>
    <row r="972">
      <c r="A972" s="33" t="inlineStr">
        <is>
          <t>SM000968</t>
        </is>
      </c>
      <c r="B972" s="33" t="inlineStr">
        <is>
          <t>SW012</t>
        </is>
      </c>
      <c r="C972" s="33" t="inlineStr">
        <is>
          <t>Flynn Southam</t>
        </is>
      </c>
      <c r="D972" s="33" t="inlineStr">
        <is>
          <t>SwimCloud</t>
        </is>
      </c>
      <c r="E972" s="33" t="inlineStr">
        <is>
          <t>956278</t>
        </is>
      </c>
      <c r="F972" s="33" t="inlineStr">
        <is>
          <t>105830333</t>
        </is>
      </c>
      <c r="G972" s="51" t="n">
        <v>45174</v>
      </c>
      <c r="H972" s="33" t="inlineStr">
        <is>
          <t>9th World Aquatics Junior Championships</t>
        </is>
      </c>
      <c r="I972" s="33" t="inlineStr">
        <is>
          <t>268916</t>
        </is>
      </c>
      <c r="J972" s="33" t="inlineStr"/>
      <c r="K972" s="33" t="inlineStr">
        <is>
          <t>PRE</t>
        </is>
      </c>
      <c r="L972" s="35">
        <f>IF(K972="FIN",3,IF(OR(K972="SEM",K972="SEMI"),2,IF(OR(K972="PRE",K972="HEAT"),1,IF(V972="YES",4,2))))</f>
        <v/>
      </c>
      <c r="M972" s="33" t="inlineStr">
        <is>
          <t>LCM</t>
        </is>
      </c>
      <c r="N972" s="33" t="n">
        <v>200</v>
      </c>
      <c r="O972" s="33" t="inlineStr">
        <is>
          <t>Free</t>
        </is>
      </c>
      <c r="P972" s="33" t="inlineStr">
        <is>
          <t>200 Free</t>
        </is>
      </c>
      <c r="Q972" s="33" t="inlineStr">
        <is>
          <t>LCM_200_FREE</t>
        </is>
      </c>
      <c r="R972" s="36" t="n">
        <v>108.83</v>
      </c>
      <c r="S972" s="35">
        <f>IF(R972="","",IF(R972&gt;=60,INT(R972/60)&amp;":"&amp;TEXT(MOD(R972,60),"00.00"),TEXT(R972,"0.00")))</f>
        <v/>
      </c>
      <c r="T972" s="52">
        <f>IFERROR((G972-INDEX('01_Swimmers'!$E$5:$E$22,MATCH(B972,'01_Swimmers'!$A$5:$A$22,0)))/'00_Control'!$B$10,"")</f>
        <v/>
      </c>
      <c r="U972" s="35">
        <f>IF(T972="","",INT(T972))</f>
        <v/>
      </c>
      <c r="V972" s="33" t="inlineStr">
        <is>
          <t>NO</t>
        </is>
      </c>
      <c r="W972" s="33" t="inlineStr">
        <is>
          <t>YES</t>
        </is>
      </c>
      <c r="X972" s="33" t="inlineStr">
        <is>
          <t>NO</t>
        </is>
      </c>
      <c r="Y972" s="33" t="n">
        <v>7</v>
      </c>
      <c r="Z972" s="33" t="n">
        <v>4</v>
      </c>
      <c r="AA972" s="33" t="inlineStr">
        <is>
          <t>5</t>
        </is>
      </c>
      <c r="AB972" s="33" t="inlineStr">
        <is>
          <t>https://www.swimcloud.com/results/268916/event/13/?id=105830333#time105830333</t>
        </is>
      </c>
      <c r="AC972" s="33" t="inlineStr">
        <is>
          <t>SwimCloud API v6 2026-10-08</t>
        </is>
      </c>
      <c r="AD972" s="33" t="inlineStr">
        <is>
          <t>Flynn Southam|2023-09-05|LCM|200|Free|108.83|9th World Aquatics Junior Championships|PRE|False</t>
        </is>
      </c>
      <c r="AE972" s="53">
        <f>G972+L972/1000+ROW()/1000000000</f>
        <v/>
      </c>
      <c r="AF972" s="35">
        <f>IF(C972&lt;&gt;"Grayson Coulter","",COUNTIFS($C$5:$C$2991,"Grayson Coulter",$Q$5:$Q$2991,Q972,$AE$5:$AE$2991,"&lt;="&amp;AE972,$R$5:$R$2991,"&lt;"&amp;R972))</f>
        <v/>
      </c>
      <c r="AG972" s="35">
        <f>IF(OR(C972&lt;&gt;"Grayson Coulter",G972&lt;'00_Control'!$B$7),"",--(AF972&lt;5))</f>
        <v/>
      </c>
      <c r="AH972" s="35">
        <f>IF(OR(C972&lt;&gt;"Grayson Coulter",G972&lt;'00_Control'!$B$7),"",--(AF972&lt;10))</f>
        <v/>
      </c>
      <c r="AI972" s="35">
        <f>IF(AND(C972="Grayson Coulter",G972&gt;='00_Control'!$B$7),"YES","NO")</f>
        <v/>
      </c>
      <c r="AJ972" s="33" t="inlineStr">
        <is>
          <t>OK</t>
        </is>
      </c>
    </row>
    <row r="973">
      <c r="A973" s="33" t="inlineStr">
        <is>
          <t>SM000969</t>
        </is>
      </c>
      <c r="B973" s="33" t="inlineStr">
        <is>
          <t>SW012</t>
        </is>
      </c>
      <c r="C973" s="33" t="inlineStr">
        <is>
          <t>Flynn Southam</t>
        </is>
      </c>
      <c r="D973" s="33" t="inlineStr">
        <is>
          <t>SwimCloud</t>
        </is>
      </c>
      <c r="E973" s="33" t="inlineStr">
        <is>
          <t>956278</t>
        </is>
      </c>
      <c r="F973" s="33" t="inlineStr">
        <is>
          <t>105830332</t>
        </is>
      </c>
      <c r="G973" s="51" t="n">
        <v>45174</v>
      </c>
      <c r="H973" s="33" t="inlineStr">
        <is>
          <t>9th World Aquatics Junior Championships</t>
        </is>
      </c>
      <c r="I973" s="33" t="inlineStr">
        <is>
          <t>268916</t>
        </is>
      </c>
      <c r="J973" s="33" t="inlineStr"/>
      <c r="K973" s="33" t="inlineStr">
        <is>
          <t>FIN</t>
        </is>
      </c>
      <c r="L973" s="35">
        <f>IF(K973="FIN",3,IF(OR(K973="SEM",K973="SEMI"),2,IF(OR(K973="PRE",K973="HEAT"),1,IF(V973="YES",4,2))))</f>
        <v/>
      </c>
      <c r="M973" s="33" t="inlineStr">
        <is>
          <t>LCM</t>
        </is>
      </c>
      <c r="N973" s="33" t="n">
        <v>200</v>
      </c>
      <c r="O973" s="33" t="inlineStr">
        <is>
          <t>Free</t>
        </is>
      </c>
      <c r="P973" s="33" t="inlineStr">
        <is>
          <t>200 Free</t>
        </is>
      </c>
      <c r="Q973" s="33" t="inlineStr">
        <is>
          <t>LCM_200_FREE</t>
        </is>
      </c>
      <c r="R973" s="36" t="n">
        <v>106.57</v>
      </c>
      <c r="S973" s="35">
        <f>IF(R973="","",IF(R973&gt;=60,INT(R973/60)&amp;":"&amp;TEXT(MOD(R973,60),"00.00"),TEXT(R973,"0.00")))</f>
        <v/>
      </c>
      <c r="T973" s="52">
        <f>IFERROR((G973-INDEX('01_Swimmers'!$E$5:$E$22,MATCH(B973,'01_Swimmers'!$A$5:$A$22,0)))/'00_Control'!$B$10,"")</f>
        <v/>
      </c>
      <c r="U973" s="35">
        <f>IF(T973="","",INT(T973))</f>
        <v/>
      </c>
      <c r="V973" s="33" t="inlineStr">
        <is>
          <t>NO</t>
        </is>
      </c>
      <c r="W973" s="33" t="inlineStr">
        <is>
          <t>YES</t>
        </is>
      </c>
      <c r="X973" s="33" t="inlineStr">
        <is>
          <t>NO</t>
        </is>
      </c>
      <c r="Y973" s="33" t="n">
        <v>1</v>
      </c>
      <c r="Z973" s="33" t="n">
        <v>2</v>
      </c>
      <c r="AA973" s="33" t="inlineStr">
        <is>
          <t>1</t>
        </is>
      </c>
      <c r="AB973" s="33" t="inlineStr">
        <is>
          <t>https://www.swimcloud.com/results/268916/event/13/?id=105830332#time105830332</t>
        </is>
      </c>
      <c r="AC973" s="33" t="inlineStr">
        <is>
          <t>SwimCloud API v6 2026-10-08</t>
        </is>
      </c>
      <c r="AD973" s="33" t="inlineStr">
        <is>
          <t>Flynn Southam|2023-09-05|LCM|200|Free|106.57|9th World Aquatics Junior Championships|FIN|False</t>
        </is>
      </c>
      <c r="AE973" s="53">
        <f>G973+L973/1000+ROW()/1000000000</f>
        <v/>
      </c>
      <c r="AF973" s="35">
        <f>IF(C973&lt;&gt;"Grayson Coulter","",COUNTIFS($C$5:$C$2991,"Grayson Coulter",$Q$5:$Q$2991,Q973,$AE$5:$AE$2991,"&lt;="&amp;AE973,$R$5:$R$2991,"&lt;"&amp;R973))</f>
        <v/>
      </c>
      <c r="AG973" s="35">
        <f>IF(OR(C973&lt;&gt;"Grayson Coulter",G973&lt;'00_Control'!$B$7),"",--(AF973&lt;5))</f>
        <v/>
      </c>
      <c r="AH973" s="35">
        <f>IF(OR(C973&lt;&gt;"Grayson Coulter",G973&lt;'00_Control'!$B$7),"",--(AF973&lt;10))</f>
        <v/>
      </c>
      <c r="AI973" s="35">
        <f>IF(AND(C973="Grayson Coulter",G973&gt;='00_Control'!$B$7),"YES","NO")</f>
        <v/>
      </c>
      <c r="AJ973" s="33" t="inlineStr">
        <is>
          <t>OK</t>
        </is>
      </c>
    </row>
    <row r="974">
      <c r="A974" s="33" t="inlineStr">
        <is>
          <t>SM000970</t>
        </is>
      </c>
      <c r="B974" s="33" t="inlineStr">
        <is>
          <t>SW012</t>
        </is>
      </c>
      <c r="C974" s="33" t="inlineStr">
        <is>
          <t>Flynn Southam</t>
        </is>
      </c>
      <c r="D974" s="33" t="inlineStr">
        <is>
          <t>SwimCloud</t>
        </is>
      </c>
      <c r="E974" s="33" t="inlineStr">
        <is>
          <t>956278</t>
        </is>
      </c>
      <c r="F974" s="33" t="inlineStr">
        <is>
          <t>105833000</t>
        </is>
      </c>
      <c r="G974" s="51" t="n">
        <v>45175</v>
      </c>
      <c r="H974" s="33" t="inlineStr">
        <is>
          <t>9th World Aquatics Junior Championships</t>
        </is>
      </c>
      <c r="I974" s="33" t="inlineStr">
        <is>
          <t>268916</t>
        </is>
      </c>
      <c r="J974" s="33" t="inlineStr"/>
      <c r="K974" s="33" t="inlineStr">
        <is>
          <t>FIN</t>
        </is>
      </c>
      <c r="L974" s="35">
        <f>IF(K974="FIN",3,IF(OR(K974="SEM",K974="SEMI"),2,IF(OR(K974="PRE",K974="HEAT"),1,IF(V974="YES",4,2))))</f>
        <v/>
      </c>
      <c r="M974" s="33" t="inlineStr">
        <is>
          <t>LCM</t>
        </is>
      </c>
      <c r="N974" s="33" t="n">
        <v>100</v>
      </c>
      <c r="O974" s="33" t="inlineStr">
        <is>
          <t>Free</t>
        </is>
      </c>
      <c r="P974" s="33" t="inlineStr">
        <is>
          <t>100 Free</t>
        </is>
      </c>
      <c r="Q974" s="33" t="inlineStr">
        <is>
          <t>LCM_100_FREE</t>
        </is>
      </c>
      <c r="R974" s="36" t="n">
        <v>48.58</v>
      </c>
      <c r="S974" s="35">
        <f>IF(R974="","",IF(R974&gt;=60,INT(R974/60)&amp;":"&amp;TEXT(MOD(R974,60),"00.00"),TEXT(R974,"0.00")))</f>
        <v/>
      </c>
      <c r="T974" s="52">
        <f>IFERROR((G974-INDEX('01_Swimmers'!$E$5:$E$22,MATCH(B974,'01_Swimmers'!$A$5:$A$22,0)))/'00_Control'!$B$10,"")</f>
        <v/>
      </c>
      <c r="U974" s="35">
        <f>IF(T974="","",INT(T974))</f>
        <v/>
      </c>
      <c r="V974" s="33" t="inlineStr">
        <is>
          <t>YES</t>
        </is>
      </c>
      <c r="W974" s="33" t="inlineStr">
        <is>
          <t>YES</t>
        </is>
      </c>
      <c r="X974" s="33" t="inlineStr">
        <is>
          <t>NO</t>
        </is>
      </c>
      <c r="Y974" s="33" t="n">
        <v>1</v>
      </c>
      <c r="Z974" s="33" t="n">
        <v>4</v>
      </c>
      <c r="AA974" s="33" t="inlineStr"/>
      <c r="AB974" s="33" t="inlineStr">
        <is>
          <t>https://www.swimcloud.com/results/268916/event/21/?id=105830433#time105830433</t>
        </is>
      </c>
      <c r="AC974" s="33" t="inlineStr">
        <is>
          <t>SwimCloud API v6 2026-10-08</t>
        </is>
      </c>
      <c r="AD974" s="33" t="inlineStr">
        <is>
          <t>Flynn Southam|2023-09-06|LCM|100|Free|48.58|9th World Aquatics Junior Championships|FIN|True</t>
        </is>
      </c>
      <c r="AE974" s="53">
        <f>G974+L974/1000+ROW()/1000000000</f>
        <v/>
      </c>
      <c r="AF974" s="35">
        <f>IF(C974&lt;&gt;"Grayson Coulter","",COUNTIFS($C$5:$C$2991,"Grayson Coulter",$Q$5:$Q$2991,Q974,$AE$5:$AE$2991,"&lt;="&amp;AE974,$R$5:$R$2991,"&lt;"&amp;R974))</f>
        <v/>
      </c>
      <c r="AG974" s="35">
        <f>IF(OR(C974&lt;&gt;"Grayson Coulter",G974&lt;'00_Control'!$B$7),"",--(AF974&lt;5))</f>
        <v/>
      </c>
      <c r="AH974" s="35">
        <f>IF(OR(C974&lt;&gt;"Grayson Coulter",G974&lt;'00_Control'!$B$7),"",--(AF974&lt;10))</f>
        <v/>
      </c>
      <c r="AI974" s="35">
        <f>IF(AND(C974="Grayson Coulter",G974&gt;='00_Control'!$B$7),"YES","NO")</f>
        <v/>
      </c>
      <c r="AJ974" s="33" t="inlineStr">
        <is>
          <t>OK</t>
        </is>
      </c>
    </row>
    <row r="975">
      <c r="A975" s="33" t="inlineStr">
        <is>
          <t>SM000971</t>
        </is>
      </c>
      <c r="B975" s="33" t="inlineStr">
        <is>
          <t>SW012</t>
        </is>
      </c>
      <c r="C975" s="33" t="inlineStr">
        <is>
          <t>Flynn Southam</t>
        </is>
      </c>
      <c r="D975" s="33" t="inlineStr">
        <is>
          <t>SwimCloud</t>
        </is>
      </c>
      <c r="E975" s="33" t="inlineStr">
        <is>
          <t>956278</t>
        </is>
      </c>
      <c r="F975" s="33" t="inlineStr">
        <is>
          <t>105830330</t>
        </is>
      </c>
      <c r="G975" s="51" t="n">
        <v>45177</v>
      </c>
      <c r="H975" s="33" t="inlineStr">
        <is>
          <t>9th World Aquatics Junior Championships</t>
        </is>
      </c>
      <c r="I975" s="33" t="inlineStr">
        <is>
          <t>268916</t>
        </is>
      </c>
      <c r="J975" s="33" t="inlineStr"/>
      <c r="K975" s="33" t="inlineStr">
        <is>
          <t>PRE</t>
        </is>
      </c>
      <c r="L975" s="35">
        <f>IF(K975="FIN",3,IF(OR(K975="SEM",K975="SEMI"),2,IF(OR(K975="PRE",K975="HEAT"),1,IF(V975="YES",4,2))))</f>
        <v/>
      </c>
      <c r="M975" s="33" t="inlineStr">
        <is>
          <t>LCM</t>
        </is>
      </c>
      <c r="N975" s="33" t="n">
        <v>100</v>
      </c>
      <c r="O975" s="33" t="inlineStr">
        <is>
          <t>Free</t>
        </is>
      </c>
      <c r="P975" s="33" t="inlineStr">
        <is>
          <t>100 Free</t>
        </is>
      </c>
      <c r="Q975" s="33" t="inlineStr">
        <is>
          <t>LCM_100_FREE</t>
        </is>
      </c>
      <c r="R975" s="36" t="n">
        <v>49.88</v>
      </c>
      <c r="S975" s="35">
        <f>IF(R975="","",IF(R975&gt;=60,INT(R975/60)&amp;":"&amp;TEXT(MOD(R975,60),"00.00"),TEXT(R975,"0.00")))</f>
        <v/>
      </c>
      <c r="T975" s="52">
        <f>IFERROR((G975-INDEX('01_Swimmers'!$E$5:$E$22,MATCH(B975,'01_Swimmers'!$A$5:$A$22,0)))/'00_Control'!$B$10,"")</f>
        <v/>
      </c>
      <c r="U975" s="35">
        <f>IF(T975="","",INT(T975))</f>
        <v/>
      </c>
      <c r="V975" s="33" t="inlineStr">
        <is>
          <t>NO</t>
        </is>
      </c>
      <c r="W975" s="33" t="inlineStr">
        <is>
          <t>YES</t>
        </is>
      </c>
      <c r="X975" s="33" t="inlineStr">
        <is>
          <t>NO</t>
        </is>
      </c>
      <c r="Y975" s="33" t="n">
        <v>11</v>
      </c>
      <c r="Z975" s="33" t="n">
        <v>4</v>
      </c>
      <c r="AA975" s="33" t="inlineStr">
        <is>
          <t>3</t>
        </is>
      </c>
      <c r="AB975" s="33" t="inlineStr">
        <is>
          <t>https://www.swimcloud.com/results/268916/event/29/?id=105830330#time105830330</t>
        </is>
      </c>
      <c r="AC975" s="33" t="inlineStr">
        <is>
          <t>SwimCloud API v6 2026-10-08</t>
        </is>
      </c>
      <c r="AD975" s="33" t="inlineStr">
        <is>
          <t>Flynn Southam|2023-09-08|LCM|100|Free|49.88|9th World Aquatics Junior Championships|PRE|False</t>
        </is>
      </c>
      <c r="AE975" s="53">
        <f>G975+L975/1000+ROW()/1000000000</f>
        <v/>
      </c>
      <c r="AF975" s="35">
        <f>IF(C975&lt;&gt;"Grayson Coulter","",COUNTIFS($C$5:$C$2991,"Grayson Coulter",$Q$5:$Q$2991,Q975,$AE$5:$AE$2991,"&lt;="&amp;AE975,$R$5:$R$2991,"&lt;"&amp;R975))</f>
        <v/>
      </c>
      <c r="AG975" s="35">
        <f>IF(OR(C975&lt;&gt;"Grayson Coulter",G975&lt;'00_Control'!$B$7),"",--(AF975&lt;5))</f>
        <v/>
      </c>
      <c r="AH975" s="35">
        <f>IF(OR(C975&lt;&gt;"Grayson Coulter",G975&lt;'00_Control'!$B$7),"",--(AF975&lt;10))</f>
        <v/>
      </c>
      <c r="AI975" s="35">
        <f>IF(AND(C975="Grayson Coulter",G975&gt;='00_Control'!$B$7),"YES","NO")</f>
        <v/>
      </c>
      <c r="AJ975" s="33" t="inlineStr">
        <is>
          <t>OK</t>
        </is>
      </c>
    </row>
    <row r="976">
      <c r="A976" s="33" t="inlineStr">
        <is>
          <t>SM000972</t>
        </is>
      </c>
      <c r="B976" s="33" t="inlineStr">
        <is>
          <t>SW012</t>
        </is>
      </c>
      <c r="C976" s="33" t="inlineStr">
        <is>
          <t>Flynn Southam</t>
        </is>
      </c>
      <c r="D976" s="33" t="inlineStr">
        <is>
          <t>SwimCloud</t>
        </is>
      </c>
      <c r="E976" s="33" t="inlineStr">
        <is>
          <t>956278</t>
        </is>
      </c>
      <c r="F976" s="33" t="inlineStr">
        <is>
          <t>105830331</t>
        </is>
      </c>
      <c r="G976" s="51" t="n">
        <v>45177</v>
      </c>
      <c r="H976" s="33" t="inlineStr">
        <is>
          <t>9th World Aquatics Junior Championships</t>
        </is>
      </c>
      <c r="I976" s="33" t="inlineStr">
        <is>
          <t>268916</t>
        </is>
      </c>
      <c r="J976" s="33" t="inlineStr"/>
      <c r="K976" s="33" t="inlineStr">
        <is>
          <t>SEM</t>
        </is>
      </c>
      <c r="L976" s="35">
        <f>IF(K976="FIN",3,IF(OR(K976="SEM",K976="SEMI"),2,IF(OR(K976="PRE",K976="HEAT"),1,IF(V976="YES",4,2))))</f>
        <v/>
      </c>
      <c r="M976" s="33" t="inlineStr">
        <is>
          <t>LCM</t>
        </is>
      </c>
      <c r="N976" s="33" t="n">
        <v>100</v>
      </c>
      <c r="O976" s="33" t="inlineStr">
        <is>
          <t>Free</t>
        </is>
      </c>
      <c r="P976" s="33" t="inlineStr">
        <is>
          <t>100 Free</t>
        </is>
      </c>
      <c r="Q976" s="33" t="inlineStr">
        <is>
          <t>LCM_100_FREE</t>
        </is>
      </c>
      <c r="R976" s="36" t="n">
        <v>50.04</v>
      </c>
      <c r="S976" s="35">
        <f>IF(R976="","",IF(R976&gt;=60,INT(R976/60)&amp;":"&amp;TEXT(MOD(R976,60),"00.00"),TEXT(R976,"0.00")))</f>
        <v/>
      </c>
      <c r="T976" s="52">
        <f>IFERROR((G976-INDEX('01_Swimmers'!$E$5:$E$22,MATCH(B976,'01_Swimmers'!$A$5:$A$22,0)))/'00_Control'!$B$10,"")</f>
        <v/>
      </c>
      <c r="U976" s="35">
        <f>IF(T976="","",INT(T976))</f>
        <v/>
      </c>
      <c r="V976" s="33" t="inlineStr">
        <is>
          <t>NO</t>
        </is>
      </c>
      <c r="W976" s="33" t="inlineStr">
        <is>
          <t>YES</t>
        </is>
      </c>
      <c r="X976" s="33" t="inlineStr">
        <is>
          <t>NO</t>
        </is>
      </c>
      <c r="Y976" s="33" t="n">
        <v>2</v>
      </c>
      <c r="Z976" s="33" t="n">
        <v>5</v>
      </c>
      <c r="AA976" s="33" t="inlineStr">
        <is>
          <t>9</t>
        </is>
      </c>
      <c r="AB976" s="33" t="inlineStr">
        <is>
          <t>https://www.swimcloud.com/results/268916/event/29/?id=105830331#time105830331</t>
        </is>
      </c>
      <c r="AC976" s="33" t="inlineStr">
        <is>
          <t>SwimCloud API v6 2026-10-08</t>
        </is>
      </c>
      <c r="AD976" s="33" t="inlineStr">
        <is>
          <t>Flynn Southam|2023-09-08|LCM|100|Free|50.04|9th World Aquatics Junior Championships|SEM|False</t>
        </is>
      </c>
      <c r="AE976" s="53">
        <f>G976+L976/1000+ROW()/1000000000</f>
        <v/>
      </c>
      <c r="AF976" s="35">
        <f>IF(C976&lt;&gt;"Grayson Coulter","",COUNTIFS($C$5:$C$2991,"Grayson Coulter",$Q$5:$Q$2991,Q976,$AE$5:$AE$2991,"&lt;="&amp;AE976,$R$5:$R$2991,"&lt;"&amp;R976))</f>
        <v/>
      </c>
      <c r="AG976" s="35">
        <f>IF(OR(C976&lt;&gt;"Grayson Coulter",G976&lt;'00_Control'!$B$7),"",--(AF976&lt;5))</f>
        <v/>
      </c>
      <c r="AH976" s="35">
        <f>IF(OR(C976&lt;&gt;"Grayson Coulter",G976&lt;'00_Control'!$B$7),"",--(AF976&lt;10))</f>
        <v/>
      </c>
      <c r="AI976" s="35">
        <f>IF(AND(C976="Grayson Coulter",G976&gt;='00_Control'!$B$7),"YES","NO")</f>
        <v/>
      </c>
      <c r="AJ976" s="33" t="inlineStr">
        <is>
          <t>OK</t>
        </is>
      </c>
    </row>
    <row r="977">
      <c r="A977" s="33" t="inlineStr">
        <is>
          <t>SM000973</t>
        </is>
      </c>
      <c r="B977" s="33" t="inlineStr">
        <is>
          <t>SW012</t>
        </is>
      </c>
      <c r="C977" s="33" t="inlineStr">
        <is>
          <t>Flynn Southam</t>
        </is>
      </c>
      <c r="D977" s="33" t="inlineStr">
        <is>
          <t>SwimCloud</t>
        </is>
      </c>
      <c r="E977" s="33" t="inlineStr">
        <is>
          <t>956278</t>
        </is>
      </c>
      <c r="F977" s="33" t="inlineStr">
        <is>
          <t>125009096</t>
        </is>
      </c>
      <c r="G977" s="51" t="n">
        <v>45366</v>
      </c>
      <c r="H977" s="33" t="inlineStr">
        <is>
          <t>2024 NSW State Open Championships</t>
        </is>
      </c>
      <c r="I977" s="33" t="inlineStr">
        <is>
          <t>302572</t>
        </is>
      </c>
      <c r="J977" s="33" t="inlineStr"/>
      <c r="K977" s="33" t="inlineStr">
        <is>
          <t>PRE</t>
        </is>
      </c>
      <c r="L977" s="35">
        <f>IF(K977="FIN",3,IF(OR(K977="SEM",K977="SEMI"),2,IF(OR(K977="PRE",K977="HEAT"),1,IF(V977="YES",4,2))))</f>
        <v/>
      </c>
      <c r="M977" s="33" t="inlineStr">
        <is>
          <t>LCM</t>
        </is>
      </c>
      <c r="N977" s="33" t="n">
        <v>100</v>
      </c>
      <c r="O977" s="33" t="inlineStr">
        <is>
          <t>Free</t>
        </is>
      </c>
      <c r="P977" s="33" t="inlineStr">
        <is>
          <t>100 Free</t>
        </is>
      </c>
      <c r="Q977" s="33" t="inlineStr">
        <is>
          <t>LCM_100_FREE</t>
        </is>
      </c>
      <c r="R977" s="36" t="n">
        <v>50.08</v>
      </c>
      <c r="S977" s="35">
        <f>IF(R977="","",IF(R977&gt;=60,INT(R977/60)&amp;":"&amp;TEXT(MOD(R977,60),"00.00"),TEXT(R977,"0.00")))</f>
        <v/>
      </c>
      <c r="T977" s="52">
        <f>IFERROR((G977-INDEX('01_Swimmers'!$E$5:$E$22,MATCH(B977,'01_Swimmers'!$A$5:$A$22,0)))/'00_Control'!$B$10,"")</f>
        <v/>
      </c>
      <c r="U977" s="35">
        <f>IF(T977="","",INT(T977))</f>
        <v/>
      </c>
      <c r="V977" s="33" t="inlineStr">
        <is>
          <t>NO</t>
        </is>
      </c>
      <c r="W977" s="33" t="inlineStr">
        <is>
          <t>YES</t>
        </is>
      </c>
      <c r="X977" s="33" t="inlineStr">
        <is>
          <t>NO</t>
        </is>
      </c>
      <c r="Y977" s="33" t="n">
        <v>2</v>
      </c>
      <c r="Z977" s="33" t="n">
        <v>4</v>
      </c>
      <c r="AA977" s="33" t="inlineStr">
        <is>
          <t>7</t>
        </is>
      </c>
      <c r="AB977" s="33" t="inlineStr">
        <is>
          <t>https://www.swimcloud.com/results/302572/event/9/?id=125009096#time125009096</t>
        </is>
      </c>
      <c r="AC977" s="33" t="inlineStr">
        <is>
          <t>SwimCloud API v6 2026-10-08</t>
        </is>
      </c>
      <c r="AD977" s="33" t="inlineStr">
        <is>
          <t>Flynn Southam|2024-03-15|LCM|100|Free|50.08|2024 NSW State Open Championships|PRE|False</t>
        </is>
      </c>
      <c r="AE977" s="53">
        <f>G977+L977/1000+ROW()/1000000000</f>
        <v/>
      </c>
      <c r="AF977" s="35">
        <f>IF(C977&lt;&gt;"Grayson Coulter","",COUNTIFS($C$5:$C$2991,"Grayson Coulter",$Q$5:$Q$2991,Q977,$AE$5:$AE$2991,"&lt;="&amp;AE977,$R$5:$R$2991,"&lt;"&amp;R977))</f>
        <v/>
      </c>
      <c r="AG977" s="35">
        <f>IF(OR(C977&lt;&gt;"Grayson Coulter",G977&lt;'00_Control'!$B$7),"",--(AF977&lt;5))</f>
        <v/>
      </c>
      <c r="AH977" s="35">
        <f>IF(OR(C977&lt;&gt;"Grayson Coulter",G977&lt;'00_Control'!$B$7),"",--(AF977&lt;10))</f>
        <v/>
      </c>
      <c r="AI977" s="35">
        <f>IF(AND(C977="Grayson Coulter",G977&gt;='00_Control'!$B$7),"YES","NO")</f>
        <v/>
      </c>
      <c r="AJ977" s="33" t="inlineStr">
        <is>
          <t>OK</t>
        </is>
      </c>
    </row>
    <row r="978">
      <c r="A978" s="33" t="inlineStr">
        <is>
          <t>SM000974</t>
        </is>
      </c>
      <c r="B978" s="33" t="inlineStr">
        <is>
          <t>SW012</t>
        </is>
      </c>
      <c r="C978" s="33" t="inlineStr">
        <is>
          <t>Flynn Southam</t>
        </is>
      </c>
      <c r="D978" s="33" t="inlineStr">
        <is>
          <t>SwimCloud</t>
        </is>
      </c>
      <c r="E978" s="33" t="inlineStr">
        <is>
          <t>956278</t>
        </is>
      </c>
      <c r="F978" s="33" t="inlineStr">
        <is>
          <t>125009097</t>
        </is>
      </c>
      <c r="G978" s="51" t="n">
        <v>45366</v>
      </c>
      <c r="H978" s="33" t="inlineStr">
        <is>
          <t>2024 NSW State Open Championships</t>
        </is>
      </c>
      <c r="I978" s="33" t="inlineStr">
        <is>
          <t>302572</t>
        </is>
      </c>
      <c r="J978" s="33" t="inlineStr"/>
      <c r="K978" s="33" t="inlineStr">
        <is>
          <t>FIN</t>
        </is>
      </c>
      <c r="L978" s="35">
        <f>IF(K978="FIN",3,IF(OR(K978="SEM",K978="SEMI"),2,IF(OR(K978="PRE",K978="HEAT"),1,IF(V978="YES",4,2))))</f>
        <v/>
      </c>
      <c r="M978" s="33" t="inlineStr">
        <is>
          <t>LCM</t>
        </is>
      </c>
      <c r="N978" s="33" t="n">
        <v>100</v>
      </c>
      <c r="O978" s="33" t="inlineStr">
        <is>
          <t>Free</t>
        </is>
      </c>
      <c r="P978" s="33" t="inlineStr">
        <is>
          <t>100 Free</t>
        </is>
      </c>
      <c r="Q978" s="33" t="inlineStr">
        <is>
          <t>LCM_100_FREE</t>
        </is>
      </c>
      <c r="R978" s="36" t="n">
        <v>49.87</v>
      </c>
      <c r="S978" s="35">
        <f>IF(R978="","",IF(R978&gt;=60,INT(R978/60)&amp;":"&amp;TEXT(MOD(R978,60),"00.00"),TEXT(R978,"0.00")))</f>
        <v/>
      </c>
      <c r="T978" s="52">
        <f>IFERROR((G978-INDEX('01_Swimmers'!$E$5:$E$22,MATCH(B978,'01_Swimmers'!$A$5:$A$22,0)))/'00_Control'!$B$10,"")</f>
        <v/>
      </c>
      <c r="U978" s="35">
        <f>IF(T978="","",INT(T978))</f>
        <v/>
      </c>
      <c r="V978" s="33" t="inlineStr">
        <is>
          <t>NO</t>
        </is>
      </c>
      <c r="W978" s="33" t="inlineStr">
        <is>
          <t>YES</t>
        </is>
      </c>
      <c r="X978" s="33" t="inlineStr">
        <is>
          <t>NO</t>
        </is>
      </c>
      <c r="Y978" s="33" t="n">
        <v>1</v>
      </c>
      <c r="Z978" s="33" t="n">
        <v>1</v>
      </c>
      <c r="AA978" s="33" t="inlineStr">
        <is>
          <t>7</t>
        </is>
      </c>
      <c r="AB978" s="33" t="inlineStr">
        <is>
          <t>https://www.swimcloud.com/results/302572/event/9/?id=125009097#time125009097</t>
        </is>
      </c>
      <c r="AC978" s="33" t="inlineStr">
        <is>
          <t>SwimCloud API v6 2026-10-08</t>
        </is>
      </c>
      <c r="AD978" s="33" t="inlineStr">
        <is>
          <t>Flynn Southam|2024-03-15|LCM|100|Free|49.87|2024 NSW State Open Championships|FIN|False</t>
        </is>
      </c>
      <c r="AE978" s="53">
        <f>G978+L978/1000+ROW()/1000000000</f>
        <v/>
      </c>
      <c r="AF978" s="35">
        <f>IF(C978&lt;&gt;"Grayson Coulter","",COUNTIFS($C$5:$C$2991,"Grayson Coulter",$Q$5:$Q$2991,Q978,$AE$5:$AE$2991,"&lt;="&amp;AE978,$R$5:$R$2991,"&lt;"&amp;R978))</f>
        <v/>
      </c>
      <c r="AG978" s="35">
        <f>IF(OR(C978&lt;&gt;"Grayson Coulter",G978&lt;'00_Control'!$B$7),"",--(AF978&lt;5))</f>
        <v/>
      </c>
      <c r="AH978" s="35">
        <f>IF(OR(C978&lt;&gt;"Grayson Coulter",G978&lt;'00_Control'!$B$7),"",--(AF978&lt;10))</f>
        <v/>
      </c>
      <c r="AI978" s="35">
        <f>IF(AND(C978="Grayson Coulter",G978&gt;='00_Control'!$B$7),"YES","NO")</f>
        <v/>
      </c>
      <c r="AJ978" s="33" t="inlineStr">
        <is>
          <t>OK</t>
        </is>
      </c>
    </row>
    <row r="979">
      <c r="A979" s="33" t="inlineStr">
        <is>
          <t>SM000975</t>
        </is>
      </c>
      <c r="B979" s="33" t="inlineStr">
        <is>
          <t>SW012</t>
        </is>
      </c>
      <c r="C979" s="33" t="inlineStr">
        <is>
          <t>Flynn Southam</t>
        </is>
      </c>
      <c r="D979" s="33" t="inlineStr">
        <is>
          <t>SwimCloud</t>
        </is>
      </c>
      <c r="E979" s="33" t="inlineStr">
        <is>
          <t>956278</t>
        </is>
      </c>
      <c r="F979" s="33" t="inlineStr">
        <is>
          <t>125008677</t>
        </is>
      </c>
      <c r="G979" s="51" t="n">
        <v>45367</v>
      </c>
      <c r="H979" s="33" t="inlineStr">
        <is>
          <t>2024 NSW State Open Championships</t>
        </is>
      </c>
      <c r="I979" s="33" t="inlineStr">
        <is>
          <t>302572</t>
        </is>
      </c>
      <c r="J979" s="33" t="inlineStr"/>
      <c r="K979" s="33" t="inlineStr">
        <is>
          <t>PRE</t>
        </is>
      </c>
      <c r="L979" s="35">
        <f>IF(K979="FIN",3,IF(OR(K979="SEM",K979="SEMI"),2,IF(OR(K979="PRE",K979="HEAT"),1,IF(V979="YES",4,2))))</f>
        <v/>
      </c>
      <c r="M979" s="33" t="inlineStr">
        <is>
          <t>LCM</t>
        </is>
      </c>
      <c r="N979" s="33" t="n">
        <v>200</v>
      </c>
      <c r="O979" s="33" t="inlineStr">
        <is>
          <t>Free</t>
        </is>
      </c>
      <c r="P979" s="33" t="inlineStr">
        <is>
          <t>200 Free</t>
        </is>
      </c>
      <c r="Q979" s="33" t="inlineStr">
        <is>
          <t>LCM_200_FREE</t>
        </is>
      </c>
      <c r="R979" s="36" t="n">
        <v>109.04</v>
      </c>
      <c r="S979" s="35">
        <f>IF(R979="","",IF(R979&gt;=60,INT(R979/60)&amp;":"&amp;TEXT(MOD(R979,60),"00.00"),TEXT(R979,"0.00")))</f>
        <v/>
      </c>
      <c r="T979" s="52">
        <f>IFERROR((G979-INDEX('01_Swimmers'!$E$5:$E$22,MATCH(B979,'01_Swimmers'!$A$5:$A$22,0)))/'00_Control'!$B$10,"")</f>
        <v/>
      </c>
      <c r="U979" s="35">
        <f>IF(T979="","",INT(T979))</f>
        <v/>
      </c>
      <c r="V979" s="33" t="inlineStr">
        <is>
          <t>NO</t>
        </is>
      </c>
      <c r="W979" s="33" t="inlineStr">
        <is>
          <t>YES</t>
        </is>
      </c>
      <c r="X979" s="33" t="inlineStr">
        <is>
          <t>NO</t>
        </is>
      </c>
      <c r="Y979" s="33" t="n">
        <v>2</v>
      </c>
      <c r="Z979" s="33" t="n">
        <v>4</v>
      </c>
      <c r="AA979" s="33" t="inlineStr">
        <is>
          <t>1</t>
        </is>
      </c>
      <c r="AB979" s="33" t="inlineStr">
        <is>
          <t>https://www.swimcloud.com/results/302572/event/23/?id=125008677#time125008677</t>
        </is>
      </c>
      <c r="AC979" s="33" t="inlineStr">
        <is>
          <t>SwimCloud API v6 2026-10-08</t>
        </is>
      </c>
      <c r="AD979" s="33" t="inlineStr">
        <is>
          <t>Flynn Southam|2024-03-16|LCM|200|Free|109.04|2024 NSW State Open Championships|PRE|False</t>
        </is>
      </c>
      <c r="AE979" s="53">
        <f>G979+L979/1000+ROW()/1000000000</f>
        <v/>
      </c>
      <c r="AF979" s="35">
        <f>IF(C979&lt;&gt;"Grayson Coulter","",COUNTIFS($C$5:$C$2991,"Grayson Coulter",$Q$5:$Q$2991,Q979,$AE$5:$AE$2991,"&lt;="&amp;AE979,$R$5:$R$2991,"&lt;"&amp;R979))</f>
        <v/>
      </c>
      <c r="AG979" s="35">
        <f>IF(OR(C979&lt;&gt;"Grayson Coulter",G979&lt;'00_Control'!$B$7),"",--(AF979&lt;5))</f>
        <v/>
      </c>
      <c r="AH979" s="35">
        <f>IF(OR(C979&lt;&gt;"Grayson Coulter",G979&lt;'00_Control'!$B$7),"",--(AF979&lt;10))</f>
        <v/>
      </c>
      <c r="AI979" s="35">
        <f>IF(AND(C979="Grayson Coulter",G979&gt;='00_Control'!$B$7),"YES","NO")</f>
        <v/>
      </c>
      <c r="AJ979" s="33" t="inlineStr">
        <is>
          <t>OK</t>
        </is>
      </c>
    </row>
    <row r="980">
      <c r="A980" s="33" t="inlineStr">
        <is>
          <t>SM000976</t>
        </is>
      </c>
      <c r="B980" s="33" t="inlineStr">
        <is>
          <t>SW012</t>
        </is>
      </c>
      <c r="C980" s="33" t="inlineStr">
        <is>
          <t>Flynn Southam</t>
        </is>
      </c>
      <c r="D980" s="33" t="inlineStr">
        <is>
          <t>SwimCloud</t>
        </is>
      </c>
      <c r="E980" s="33" t="inlineStr">
        <is>
          <t>956278</t>
        </is>
      </c>
      <c r="F980" s="33" t="inlineStr">
        <is>
          <t>125008678</t>
        </is>
      </c>
      <c r="G980" s="51" t="n">
        <v>45367</v>
      </c>
      <c r="H980" s="33" t="inlineStr">
        <is>
          <t>2024 NSW State Open Championships</t>
        </is>
      </c>
      <c r="I980" s="33" t="inlineStr">
        <is>
          <t>302572</t>
        </is>
      </c>
      <c r="J980" s="33" t="inlineStr"/>
      <c r="K980" s="33" t="inlineStr">
        <is>
          <t>FIN</t>
        </is>
      </c>
      <c r="L980" s="35">
        <f>IF(K980="FIN",3,IF(OR(K980="SEM",K980="SEMI"),2,IF(OR(K980="PRE",K980="HEAT"),1,IF(V980="YES",4,2))))</f>
        <v/>
      </c>
      <c r="M980" s="33" t="inlineStr">
        <is>
          <t>LCM</t>
        </is>
      </c>
      <c r="N980" s="33" t="n">
        <v>200</v>
      </c>
      <c r="O980" s="33" t="inlineStr">
        <is>
          <t>Free</t>
        </is>
      </c>
      <c r="P980" s="33" t="inlineStr">
        <is>
          <t>200 Free</t>
        </is>
      </c>
      <c r="Q980" s="33" t="inlineStr">
        <is>
          <t>LCM_200_FREE</t>
        </is>
      </c>
      <c r="R980" s="36" t="n">
        <v>108.28</v>
      </c>
      <c r="S980" s="35">
        <f>IF(R980="","",IF(R980&gt;=60,INT(R980/60)&amp;":"&amp;TEXT(MOD(R980,60),"00.00"),TEXT(R980,"0.00")))</f>
        <v/>
      </c>
      <c r="T980" s="52">
        <f>IFERROR((G980-INDEX('01_Swimmers'!$E$5:$E$22,MATCH(B980,'01_Swimmers'!$A$5:$A$22,0)))/'00_Control'!$B$10,"")</f>
        <v/>
      </c>
      <c r="U980" s="35">
        <f>IF(T980="","",INT(T980))</f>
        <v/>
      </c>
      <c r="V980" s="33" t="inlineStr">
        <is>
          <t>NO</t>
        </is>
      </c>
      <c r="W980" s="33" t="inlineStr">
        <is>
          <t>YES</t>
        </is>
      </c>
      <c r="X980" s="33" t="inlineStr">
        <is>
          <t>NO</t>
        </is>
      </c>
      <c r="Y980" s="33" t="n">
        <v>1</v>
      </c>
      <c r="Z980" s="33" t="n">
        <v>4</v>
      </c>
      <c r="AA980" s="33" t="inlineStr">
        <is>
          <t>1</t>
        </is>
      </c>
      <c r="AB980" s="33" t="inlineStr">
        <is>
          <t>https://www.swimcloud.com/results/302572/event/23/?id=125008678#time125008678</t>
        </is>
      </c>
      <c r="AC980" s="33" t="inlineStr">
        <is>
          <t>SwimCloud API v6 2026-10-08</t>
        </is>
      </c>
      <c r="AD980" s="33" t="inlineStr">
        <is>
          <t>Flynn Southam|2024-03-16|LCM|200|Free|108.28|2024 NSW State Open Championships|FIN|False</t>
        </is>
      </c>
      <c r="AE980" s="53">
        <f>G980+L980/1000+ROW()/1000000000</f>
        <v/>
      </c>
      <c r="AF980" s="35">
        <f>IF(C980&lt;&gt;"Grayson Coulter","",COUNTIFS($C$5:$C$2991,"Grayson Coulter",$Q$5:$Q$2991,Q980,$AE$5:$AE$2991,"&lt;="&amp;AE980,$R$5:$R$2991,"&lt;"&amp;R980))</f>
        <v/>
      </c>
      <c r="AG980" s="35">
        <f>IF(OR(C980&lt;&gt;"Grayson Coulter",G980&lt;'00_Control'!$B$7),"",--(AF980&lt;5))</f>
        <v/>
      </c>
      <c r="AH980" s="35">
        <f>IF(OR(C980&lt;&gt;"Grayson Coulter",G980&lt;'00_Control'!$B$7),"",--(AF980&lt;10))</f>
        <v/>
      </c>
      <c r="AI980" s="35">
        <f>IF(AND(C980="Grayson Coulter",G980&gt;='00_Control'!$B$7),"YES","NO")</f>
        <v/>
      </c>
      <c r="AJ980" s="33" t="inlineStr">
        <is>
          <t>OK</t>
        </is>
      </c>
    </row>
    <row r="981">
      <c r="A981" s="33" t="inlineStr">
        <is>
          <t>SM000977</t>
        </is>
      </c>
      <c r="B981" s="33" t="inlineStr">
        <is>
          <t>SW012</t>
        </is>
      </c>
      <c r="C981" s="33" t="inlineStr">
        <is>
          <t>Flynn Southam</t>
        </is>
      </c>
      <c r="D981" s="33" t="inlineStr">
        <is>
          <t>SwimCloud</t>
        </is>
      </c>
      <c r="E981" s="33" t="inlineStr">
        <is>
          <t>956278</t>
        </is>
      </c>
      <c r="F981" s="33" t="inlineStr">
        <is>
          <t>126731486</t>
        </is>
      </c>
      <c r="G981" s="51" t="n">
        <v>45390</v>
      </c>
      <c r="H981" s="33" t="inlineStr">
        <is>
          <t>Australian Age &amp; MC Age Championships</t>
        </is>
      </c>
      <c r="I981" s="33" t="inlineStr">
        <is>
          <t>304552</t>
        </is>
      </c>
      <c r="J981" s="33" t="inlineStr"/>
      <c r="K981" s="33" t="inlineStr">
        <is>
          <t>PRE</t>
        </is>
      </c>
      <c r="L981" s="35">
        <f>IF(K981="FIN",3,IF(OR(K981="SEM",K981="SEMI"),2,IF(OR(K981="PRE",K981="HEAT"),1,IF(V981="YES",4,2))))</f>
        <v/>
      </c>
      <c r="M981" s="33" t="inlineStr">
        <is>
          <t>LCM</t>
        </is>
      </c>
      <c r="N981" s="33" t="n">
        <v>400</v>
      </c>
      <c r="O981" s="33" t="inlineStr">
        <is>
          <t>Free</t>
        </is>
      </c>
      <c r="P981" s="33" t="inlineStr">
        <is>
          <t>400 Free</t>
        </is>
      </c>
      <c r="Q981" s="33" t="inlineStr">
        <is>
          <t>LCM_400_FREE</t>
        </is>
      </c>
      <c r="R981" s="36" t="n">
        <v>242</v>
      </c>
      <c r="S981" s="35">
        <f>IF(R981="","",IF(R981&gt;=60,INT(R981/60)&amp;":"&amp;TEXT(MOD(R981,60),"00.00"),TEXT(R981,"0.00")))</f>
        <v/>
      </c>
      <c r="T981" s="52">
        <f>IFERROR((G981-INDEX('01_Swimmers'!$E$5:$E$22,MATCH(B981,'01_Swimmers'!$A$5:$A$22,0)))/'00_Control'!$B$10,"")</f>
        <v/>
      </c>
      <c r="U981" s="35">
        <f>IF(T981="","",INT(T981))</f>
        <v/>
      </c>
      <c r="V981" s="33" t="inlineStr">
        <is>
          <t>NO</t>
        </is>
      </c>
      <c r="W981" s="33" t="inlineStr">
        <is>
          <t>YES</t>
        </is>
      </c>
      <c r="X981" s="33" t="inlineStr">
        <is>
          <t>NO</t>
        </is>
      </c>
      <c r="Y981" s="33" t="n">
        <v>1</v>
      </c>
      <c r="Z981" s="33" t="n">
        <v>4</v>
      </c>
      <c r="AA981" s="33" t="inlineStr">
        <is>
          <t>8</t>
        </is>
      </c>
      <c r="AB981" s="33" t="inlineStr">
        <is>
          <t>https://www.swimcloud.com/results/304552/event/41/?id=126731486#time126731486</t>
        </is>
      </c>
      <c r="AC981" s="33" t="inlineStr">
        <is>
          <t>SwimCloud API v6 2026-10-08</t>
        </is>
      </c>
      <c r="AD981" s="33" t="inlineStr">
        <is>
          <t>Flynn Southam|2024-04-08|LCM|400|Free|242.0|Australian Age &amp; MC Age Championships|PRE|False</t>
        </is>
      </c>
      <c r="AE981" s="53">
        <f>G981+L981/1000+ROW()/1000000000</f>
        <v/>
      </c>
      <c r="AF981" s="35">
        <f>IF(C981&lt;&gt;"Grayson Coulter","",COUNTIFS($C$5:$C$2991,"Grayson Coulter",$Q$5:$Q$2991,Q981,$AE$5:$AE$2991,"&lt;="&amp;AE981,$R$5:$R$2991,"&lt;"&amp;R981))</f>
        <v/>
      </c>
      <c r="AG981" s="35">
        <f>IF(OR(C981&lt;&gt;"Grayson Coulter",G981&lt;'00_Control'!$B$7),"",--(AF981&lt;5))</f>
        <v/>
      </c>
      <c r="AH981" s="35">
        <f>IF(OR(C981&lt;&gt;"Grayson Coulter",G981&lt;'00_Control'!$B$7),"",--(AF981&lt;10))</f>
        <v/>
      </c>
      <c r="AI981" s="35">
        <f>IF(AND(C981="Grayson Coulter",G981&gt;='00_Control'!$B$7),"YES","NO")</f>
        <v/>
      </c>
      <c r="AJ981" s="33" t="inlineStr">
        <is>
          <t>OK</t>
        </is>
      </c>
    </row>
    <row r="982">
      <c r="A982" s="33" t="inlineStr">
        <is>
          <t>SM000978</t>
        </is>
      </c>
      <c r="B982" s="33" t="inlineStr">
        <is>
          <t>SW012</t>
        </is>
      </c>
      <c r="C982" s="33" t="inlineStr">
        <is>
          <t>Flynn Southam</t>
        </is>
      </c>
      <c r="D982" s="33" t="inlineStr">
        <is>
          <t>SwimCloud</t>
        </is>
      </c>
      <c r="E982" s="33" t="inlineStr">
        <is>
          <t>956278</t>
        </is>
      </c>
      <c r="F982" s="33" t="inlineStr">
        <is>
          <t>126825483</t>
        </is>
      </c>
      <c r="G982" s="51" t="n">
        <v>45390</v>
      </c>
      <c r="H982" s="33" t="inlineStr">
        <is>
          <t>Australian Age &amp; MC Age Championships</t>
        </is>
      </c>
      <c r="I982" s="33" t="inlineStr">
        <is>
          <t>302285</t>
        </is>
      </c>
      <c r="J982" s="33" t="inlineStr"/>
      <c r="K982" s="33" t="inlineStr">
        <is>
          <t>PRE</t>
        </is>
      </c>
      <c r="L982" s="35">
        <f>IF(K982="FIN",3,IF(OR(K982="SEM",K982="SEMI"),2,IF(OR(K982="PRE",K982="HEAT"),1,IF(V982="YES",4,2))))</f>
        <v/>
      </c>
      <c r="M982" s="33" t="inlineStr">
        <is>
          <t>LCM</t>
        </is>
      </c>
      <c r="N982" s="33" t="n">
        <v>400</v>
      </c>
      <c r="O982" s="33" t="inlineStr">
        <is>
          <t>Free</t>
        </is>
      </c>
      <c r="P982" s="33" t="inlineStr">
        <is>
          <t>400 Free</t>
        </is>
      </c>
      <c r="Q982" s="33" t="inlineStr">
        <is>
          <t>LCM_400_FREE</t>
        </is>
      </c>
      <c r="R982" s="36" t="n">
        <v>242</v>
      </c>
      <c r="S982" s="35">
        <f>IF(R982="","",IF(R982&gt;=60,INT(R982/60)&amp;":"&amp;TEXT(MOD(R982,60),"00.00"),TEXT(R982,"0.00")))</f>
        <v/>
      </c>
      <c r="T982" s="52">
        <f>IFERROR((G982-INDEX('01_Swimmers'!$E$5:$E$22,MATCH(B982,'01_Swimmers'!$A$5:$A$22,0)))/'00_Control'!$B$10,"")</f>
        <v/>
      </c>
      <c r="U982" s="35">
        <f>IF(T982="","",INT(T982))</f>
        <v/>
      </c>
      <c r="V982" s="33" t="inlineStr">
        <is>
          <t>NO</t>
        </is>
      </c>
      <c r="W982" s="33" t="inlineStr">
        <is>
          <t>YES</t>
        </is>
      </c>
      <c r="X982" s="33" t="inlineStr">
        <is>
          <t>NO</t>
        </is>
      </c>
      <c r="Y982" s="33" t="n">
        <v>1</v>
      </c>
      <c r="Z982" s="33" t="n">
        <v>4</v>
      </c>
      <c r="AA982" s="33" t="inlineStr">
        <is>
          <t>8</t>
        </is>
      </c>
      <c r="AB982" s="33" t="inlineStr">
        <is>
          <t>https://www.swimcloud.com/results/302285/event/41/?id=126825483#time126825483</t>
        </is>
      </c>
      <c r="AC982" s="33" t="inlineStr">
        <is>
          <t>SwimCloud API v6 2026-10-08</t>
        </is>
      </c>
      <c r="AD982" s="33" t="inlineStr">
        <is>
          <t>Flynn Southam|2024-04-08|LCM|400|Free|242.0|Australian Age &amp; MC Age Championships|PRE|False</t>
        </is>
      </c>
      <c r="AE982" s="53">
        <f>G982+L982/1000+ROW()/1000000000</f>
        <v/>
      </c>
      <c r="AF982" s="35">
        <f>IF(C982&lt;&gt;"Grayson Coulter","",COUNTIFS($C$5:$C$2991,"Grayson Coulter",$Q$5:$Q$2991,Q982,$AE$5:$AE$2991,"&lt;="&amp;AE982,$R$5:$R$2991,"&lt;"&amp;R982))</f>
        <v/>
      </c>
      <c r="AG982" s="35">
        <f>IF(OR(C982&lt;&gt;"Grayson Coulter",G982&lt;'00_Control'!$B$7),"",--(AF982&lt;5))</f>
        <v/>
      </c>
      <c r="AH982" s="35">
        <f>IF(OR(C982&lt;&gt;"Grayson Coulter",G982&lt;'00_Control'!$B$7),"",--(AF982&lt;10))</f>
        <v/>
      </c>
      <c r="AI982" s="35">
        <f>IF(AND(C982="Grayson Coulter",G982&gt;='00_Control'!$B$7),"YES","NO")</f>
        <v/>
      </c>
      <c r="AJ982" s="33" t="inlineStr">
        <is>
          <t>OK</t>
        </is>
      </c>
    </row>
    <row r="983">
      <c r="A983" s="33" t="inlineStr">
        <is>
          <t>SM000979</t>
        </is>
      </c>
      <c r="B983" s="33" t="inlineStr">
        <is>
          <t>SW012</t>
        </is>
      </c>
      <c r="C983" s="33" t="inlineStr">
        <is>
          <t>Flynn Southam</t>
        </is>
      </c>
      <c r="D983" s="33" t="inlineStr">
        <is>
          <t>SwimCloud</t>
        </is>
      </c>
      <c r="E983" s="33" t="inlineStr">
        <is>
          <t>956278</t>
        </is>
      </c>
      <c r="F983" s="33" t="inlineStr">
        <is>
          <t>126731487</t>
        </is>
      </c>
      <c r="G983" s="51" t="n">
        <v>45390</v>
      </c>
      <c r="H983" s="33" t="inlineStr">
        <is>
          <t>Australian Age &amp; MC Age Championships</t>
        </is>
      </c>
      <c r="I983" s="33" t="inlineStr">
        <is>
          <t>304552</t>
        </is>
      </c>
      <c r="J983" s="33" t="inlineStr"/>
      <c r="K983" s="33" t="inlineStr">
        <is>
          <t>FIN</t>
        </is>
      </c>
      <c r="L983" s="35">
        <f>IF(K983="FIN",3,IF(OR(K983="SEM",K983="SEMI"),2,IF(OR(K983="PRE",K983="HEAT"),1,IF(V983="YES",4,2))))</f>
        <v/>
      </c>
      <c r="M983" s="33" t="inlineStr">
        <is>
          <t>LCM</t>
        </is>
      </c>
      <c r="N983" s="33" t="n">
        <v>400</v>
      </c>
      <c r="O983" s="33" t="inlineStr">
        <is>
          <t>Free</t>
        </is>
      </c>
      <c r="P983" s="33" t="inlineStr">
        <is>
          <t>400 Free</t>
        </is>
      </c>
      <c r="Q983" s="33" t="inlineStr">
        <is>
          <t>LCM_400_FREE</t>
        </is>
      </c>
      <c r="R983" s="36" t="n">
        <v>232.13</v>
      </c>
      <c r="S983" s="35">
        <f>IF(R983="","",IF(R983&gt;=60,INT(R983/60)&amp;":"&amp;TEXT(MOD(R983,60),"00.00"),TEXT(R983,"0.00")))</f>
        <v/>
      </c>
      <c r="T983" s="52">
        <f>IFERROR((G983-INDEX('01_Swimmers'!$E$5:$E$22,MATCH(B983,'01_Swimmers'!$A$5:$A$22,0)))/'00_Control'!$B$10,"")</f>
        <v/>
      </c>
      <c r="U983" s="35">
        <f>IF(T983="","",INT(T983))</f>
        <v/>
      </c>
      <c r="V983" s="33" t="inlineStr">
        <is>
          <t>NO</t>
        </is>
      </c>
      <c r="W983" s="33" t="inlineStr">
        <is>
          <t>YES</t>
        </is>
      </c>
      <c r="X983" s="33" t="inlineStr">
        <is>
          <t>NO</t>
        </is>
      </c>
      <c r="Y983" s="33" t="n">
        <v>1</v>
      </c>
      <c r="Z983" s="33" t="n">
        <v>8</v>
      </c>
      <c r="AA983" s="33" t="inlineStr">
        <is>
          <t>1</t>
        </is>
      </c>
      <c r="AB983" s="33" t="inlineStr">
        <is>
          <t>https://www.swimcloud.com/results/304552/event/41/?id=126731487#time126731487</t>
        </is>
      </c>
      <c r="AC983" s="33" t="inlineStr">
        <is>
          <t>SwimCloud API v6 2026-10-08</t>
        </is>
      </c>
      <c r="AD983" s="33" t="inlineStr">
        <is>
          <t>Flynn Southam|2024-04-08|LCM|400|Free|232.13|Australian Age &amp; MC Age Championships|FIN|False</t>
        </is>
      </c>
      <c r="AE983" s="53">
        <f>G983+L983/1000+ROW()/1000000000</f>
        <v/>
      </c>
      <c r="AF983" s="35">
        <f>IF(C983&lt;&gt;"Grayson Coulter","",COUNTIFS($C$5:$C$2991,"Grayson Coulter",$Q$5:$Q$2991,Q983,$AE$5:$AE$2991,"&lt;="&amp;AE983,$R$5:$R$2991,"&lt;"&amp;R983))</f>
        <v/>
      </c>
      <c r="AG983" s="35">
        <f>IF(OR(C983&lt;&gt;"Grayson Coulter",G983&lt;'00_Control'!$B$7),"",--(AF983&lt;5))</f>
        <v/>
      </c>
      <c r="AH983" s="35">
        <f>IF(OR(C983&lt;&gt;"Grayson Coulter",G983&lt;'00_Control'!$B$7),"",--(AF983&lt;10))</f>
        <v/>
      </c>
      <c r="AI983" s="35">
        <f>IF(AND(C983="Grayson Coulter",G983&gt;='00_Control'!$B$7),"YES","NO")</f>
        <v/>
      </c>
      <c r="AJ983" s="33" t="inlineStr">
        <is>
          <t>OK</t>
        </is>
      </c>
    </row>
    <row r="984">
      <c r="A984" s="33" t="inlineStr">
        <is>
          <t>SM000980</t>
        </is>
      </c>
      <c r="B984" s="33" t="inlineStr">
        <is>
          <t>SW012</t>
        </is>
      </c>
      <c r="C984" s="33" t="inlineStr">
        <is>
          <t>Flynn Southam</t>
        </is>
      </c>
      <c r="D984" s="33" t="inlineStr">
        <is>
          <t>SwimCloud</t>
        </is>
      </c>
      <c r="E984" s="33" t="inlineStr">
        <is>
          <t>956278</t>
        </is>
      </c>
      <c r="F984" s="33" t="inlineStr">
        <is>
          <t>126825484</t>
        </is>
      </c>
      <c r="G984" s="51" t="n">
        <v>45390</v>
      </c>
      <c r="H984" s="33" t="inlineStr">
        <is>
          <t>Australian Age &amp; MC Age Championships</t>
        </is>
      </c>
      <c r="I984" s="33" t="inlineStr">
        <is>
          <t>302285</t>
        </is>
      </c>
      <c r="J984" s="33" t="inlineStr"/>
      <c r="K984" s="33" t="inlineStr">
        <is>
          <t>FIN</t>
        </is>
      </c>
      <c r="L984" s="35">
        <f>IF(K984="FIN",3,IF(OR(K984="SEM",K984="SEMI"),2,IF(OR(K984="PRE",K984="HEAT"),1,IF(V984="YES",4,2))))</f>
        <v/>
      </c>
      <c r="M984" s="33" t="inlineStr">
        <is>
          <t>LCM</t>
        </is>
      </c>
      <c r="N984" s="33" t="n">
        <v>400</v>
      </c>
      <c r="O984" s="33" t="inlineStr">
        <is>
          <t>Free</t>
        </is>
      </c>
      <c r="P984" s="33" t="inlineStr">
        <is>
          <t>400 Free</t>
        </is>
      </c>
      <c r="Q984" s="33" t="inlineStr">
        <is>
          <t>LCM_400_FREE</t>
        </is>
      </c>
      <c r="R984" s="36" t="n">
        <v>232.13</v>
      </c>
      <c r="S984" s="35">
        <f>IF(R984="","",IF(R984&gt;=60,INT(R984/60)&amp;":"&amp;TEXT(MOD(R984,60),"00.00"),TEXT(R984,"0.00")))</f>
        <v/>
      </c>
      <c r="T984" s="52">
        <f>IFERROR((G984-INDEX('01_Swimmers'!$E$5:$E$22,MATCH(B984,'01_Swimmers'!$A$5:$A$22,0)))/'00_Control'!$B$10,"")</f>
        <v/>
      </c>
      <c r="U984" s="35">
        <f>IF(T984="","",INT(T984))</f>
        <v/>
      </c>
      <c r="V984" s="33" t="inlineStr">
        <is>
          <t>NO</t>
        </is>
      </c>
      <c r="W984" s="33" t="inlineStr">
        <is>
          <t>YES</t>
        </is>
      </c>
      <c r="X984" s="33" t="inlineStr">
        <is>
          <t>NO</t>
        </is>
      </c>
      <c r="Y984" s="33" t="n">
        <v>1</v>
      </c>
      <c r="Z984" s="33" t="n">
        <v>8</v>
      </c>
      <c r="AA984" s="33" t="inlineStr">
        <is>
          <t>1</t>
        </is>
      </c>
      <c r="AB984" s="33" t="inlineStr">
        <is>
          <t>https://www.swimcloud.com/results/302285/event/41/?id=126825484#time126825484</t>
        </is>
      </c>
      <c r="AC984" s="33" t="inlineStr">
        <is>
          <t>SwimCloud API v6 2026-10-08</t>
        </is>
      </c>
      <c r="AD984" s="33" t="inlineStr">
        <is>
          <t>Flynn Southam|2024-04-08|LCM|400|Free|232.13|Australian Age &amp; MC Age Championships|FIN|False</t>
        </is>
      </c>
      <c r="AE984" s="53">
        <f>G984+L984/1000+ROW()/1000000000</f>
        <v/>
      </c>
      <c r="AF984" s="35">
        <f>IF(C984&lt;&gt;"Grayson Coulter","",COUNTIFS($C$5:$C$2991,"Grayson Coulter",$Q$5:$Q$2991,Q984,$AE$5:$AE$2991,"&lt;="&amp;AE984,$R$5:$R$2991,"&lt;"&amp;R984))</f>
        <v/>
      </c>
      <c r="AG984" s="35">
        <f>IF(OR(C984&lt;&gt;"Grayson Coulter",G984&lt;'00_Control'!$B$7),"",--(AF984&lt;5))</f>
        <v/>
      </c>
      <c r="AH984" s="35">
        <f>IF(OR(C984&lt;&gt;"Grayson Coulter",G984&lt;'00_Control'!$B$7),"",--(AF984&lt;10))</f>
        <v/>
      </c>
      <c r="AI984" s="35">
        <f>IF(AND(C984="Grayson Coulter",G984&gt;='00_Control'!$B$7),"YES","NO")</f>
        <v/>
      </c>
      <c r="AJ984" s="33" t="inlineStr">
        <is>
          <t>OK</t>
        </is>
      </c>
    </row>
    <row r="985">
      <c r="A985" s="33" t="inlineStr">
        <is>
          <t>SM000981</t>
        </is>
      </c>
      <c r="B985" s="33" t="inlineStr">
        <is>
          <t>SW012</t>
        </is>
      </c>
      <c r="C985" s="33" t="inlineStr">
        <is>
          <t>Flynn Southam</t>
        </is>
      </c>
      <c r="D985" s="33" t="inlineStr">
        <is>
          <t>SwimCloud</t>
        </is>
      </c>
      <c r="E985" s="33" t="inlineStr">
        <is>
          <t>956278</t>
        </is>
      </c>
      <c r="F985" s="33" t="inlineStr">
        <is>
          <t>126731520</t>
        </is>
      </c>
      <c r="G985" s="51" t="n">
        <v>45392</v>
      </c>
      <c r="H985" s="33" t="inlineStr">
        <is>
          <t>Australian Age &amp; MC Age Championships</t>
        </is>
      </c>
      <c r="I985" s="33" t="inlineStr">
        <is>
          <t>304552</t>
        </is>
      </c>
      <c r="J985" s="33" t="inlineStr"/>
      <c r="K985" s="33" t="inlineStr">
        <is>
          <t>PRE</t>
        </is>
      </c>
      <c r="L985" s="35">
        <f>IF(K985="FIN",3,IF(OR(K985="SEM",K985="SEMI"),2,IF(OR(K985="PRE",K985="HEAT"),1,IF(V985="YES",4,2))))</f>
        <v/>
      </c>
      <c r="M985" s="33" t="inlineStr">
        <is>
          <t>LCM</t>
        </is>
      </c>
      <c r="N985" s="33" t="n">
        <v>200</v>
      </c>
      <c r="O985" s="33" t="inlineStr">
        <is>
          <t>Free</t>
        </is>
      </c>
      <c r="P985" s="33" t="inlineStr">
        <is>
          <t>200 Free</t>
        </is>
      </c>
      <c r="Q985" s="33" t="inlineStr">
        <is>
          <t>LCM_200_FREE</t>
        </is>
      </c>
      <c r="R985" s="36" t="n">
        <v>110.08</v>
      </c>
      <c r="S985" s="35">
        <f>IF(R985="","",IF(R985&gt;=60,INT(R985/60)&amp;":"&amp;TEXT(MOD(R985,60),"00.00"),TEXT(R985,"0.00")))</f>
        <v/>
      </c>
      <c r="T985" s="52">
        <f>IFERROR((G985-INDEX('01_Swimmers'!$E$5:$E$22,MATCH(B985,'01_Swimmers'!$A$5:$A$22,0)))/'00_Control'!$B$10,"")</f>
        <v/>
      </c>
      <c r="U985" s="35">
        <f>IF(T985="","",INT(T985))</f>
        <v/>
      </c>
      <c r="V985" s="33" t="inlineStr">
        <is>
          <t>NO</t>
        </is>
      </c>
      <c r="W985" s="33" t="inlineStr">
        <is>
          <t>YES</t>
        </is>
      </c>
      <c r="X985" s="33" t="inlineStr">
        <is>
          <t>NO</t>
        </is>
      </c>
      <c r="Y985" s="33" t="n">
        <v>1</v>
      </c>
      <c r="Z985" s="33" t="n">
        <v>4</v>
      </c>
      <c r="AA985" s="33" t="inlineStr">
        <is>
          <t>1</t>
        </is>
      </c>
      <c r="AB985" s="33" t="inlineStr">
        <is>
          <t>https://www.swimcloud.com/results/304552/event/85/?id=126731520#time126731520</t>
        </is>
      </c>
      <c r="AC985" s="33" t="inlineStr">
        <is>
          <t>SwimCloud API v6 2026-10-08</t>
        </is>
      </c>
      <c r="AD985" s="33" t="inlineStr">
        <is>
          <t>Flynn Southam|2024-04-10|LCM|200|Free|110.08|Australian Age &amp; MC Age Championships|PRE|False</t>
        </is>
      </c>
      <c r="AE985" s="53">
        <f>G985+L985/1000+ROW()/1000000000</f>
        <v/>
      </c>
      <c r="AF985" s="35">
        <f>IF(C985&lt;&gt;"Grayson Coulter","",COUNTIFS($C$5:$C$2991,"Grayson Coulter",$Q$5:$Q$2991,Q985,$AE$5:$AE$2991,"&lt;="&amp;AE985,$R$5:$R$2991,"&lt;"&amp;R985))</f>
        <v/>
      </c>
      <c r="AG985" s="35">
        <f>IF(OR(C985&lt;&gt;"Grayson Coulter",G985&lt;'00_Control'!$B$7),"",--(AF985&lt;5))</f>
        <v/>
      </c>
      <c r="AH985" s="35">
        <f>IF(OR(C985&lt;&gt;"Grayson Coulter",G985&lt;'00_Control'!$B$7),"",--(AF985&lt;10))</f>
        <v/>
      </c>
      <c r="AI985" s="35">
        <f>IF(AND(C985="Grayson Coulter",G985&gt;='00_Control'!$B$7),"YES","NO")</f>
        <v/>
      </c>
      <c r="AJ985" s="33" t="inlineStr">
        <is>
          <t>OK</t>
        </is>
      </c>
    </row>
    <row r="986">
      <c r="A986" s="33" t="inlineStr">
        <is>
          <t>SM000982</t>
        </is>
      </c>
      <c r="B986" s="33" t="inlineStr">
        <is>
          <t>SW012</t>
        </is>
      </c>
      <c r="C986" s="33" t="inlineStr">
        <is>
          <t>Flynn Southam</t>
        </is>
      </c>
      <c r="D986" s="33" t="inlineStr">
        <is>
          <t>SwimCloud</t>
        </is>
      </c>
      <c r="E986" s="33" t="inlineStr">
        <is>
          <t>956278</t>
        </is>
      </c>
      <c r="F986" s="33" t="inlineStr">
        <is>
          <t>126825517</t>
        </is>
      </c>
      <c r="G986" s="51" t="n">
        <v>45392</v>
      </c>
      <c r="H986" s="33" t="inlineStr">
        <is>
          <t>Australian Age &amp; MC Age Championships</t>
        </is>
      </c>
      <c r="I986" s="33" t="inlineStr">
        <is>
          <t>302285</t>
        </is>
      </c>
      <c r="J986" s="33" t="inlineStr"/>
      <c r="K986" s="33" t="inlineStr">
        <is>
          <t>PRE</t>
        </is>
      </c>
      <c r="L986" s="35">
        <f>IF(K986="FIN",3,IF(OR(K986="SEM",K986="SEMI"),2,IF(OR(K986="PRE",K986="HEAT"),1,IF(V986="YES",4,2))))</f>
        <v/>
      </c>
      <c r="M986" s="33" t="inlineStr">
        <is>
          <t>LCM</t>
        </is>
      </c>
      <c r="N986" s="33" t="n">
        <v>200</v>
      </c>
      <c r="O986" s="33" t="inlineStr">
        <is>
          <t>Free</t>
        </is>
      </c>
      <c r="P986" s="33" t="inlineStr">
        <is>
          <t>200 Free</t>
        </is>
      </c>
      <c r="Q986" s="33" t="inlineStr">
        <is>
          <t>LCM_200_FREE</t>
        </is>
      </c>
      <c r="R986" s="36" t="n">
        <v>110.08</v>
      </c>
      <c r="S986" s="35">
        <f>IF(R986="","",IF(R986&gt;=60,INT(R986/60)&amp;":"&amp;TEXT(MOD(R986,60),"00.00"),TEXT(R986,"0.00")))</f>
        <v/>
      </c>
      <c r="T986" s="52">
        <f>IFERROR((G986-INDEX('01_Swimmers'!$E$5:$E$22,MATCH(B986,'01_Swimmers'!$A$5:$A$22,0)))/'00_Control'!$B$10,"")</f>
        <v/>
      </c>
      <c r="U986" s="35">
        <f>IF(T986="","",INT(T986))</f>
        <v/>
      </c>
      <c r="V986" s="33" t="inlineStr">
        <is>
          <t>NO</t>
        </is>
      </c>
      <c r="W986" s="33" t="inlineStr">
        <is>
          <t>YES</t>
        </is>
      </c>
      <c r="X986" s="33" t="inlineStr">
        <is>
          <t>NO</t>
        </is>
      </c>
      <c r="Y986" s="33" t="n">
        <v>1</v>
      </c>
      <c r="Z986" s="33" t="n">
        <v>4</v>
      </c>
      <c r="AA986" s="33" t="inlineStr">
        <is>
          <t>1</t>
        </is>
      </c>
      <c r="AB986" s="33" t="inlineStr">
        <is>
          <t>https://www.swimcloud.com/results/302285/event/85/?id=126825517#time126825517</t>
        </is>
      </c>
      <c r="AC986" s="33" t="inlineStr">
        <is>
          <t>SwimCloud API v6 2026-10-08</t>
        </is>
      </c>
      <c r="AD986" s="33" t="inlineStr">
        <is>
          <t>Flynn Southam|2024-04-10|LCM|200|Free|110.08|Australian Age &amp; MC Age Championships|PRE|False</t>
        </is>
      </c>
      <c r="AE986" s="53">
        <f>G986+L986/1000+ROW()/1000000000</f>
        <v/>
      </c>
      <c r="AF986" s="35">
        <f>IF(C986&lt;&gt;"Grayson Coulter","",COUNTIFS($C$5:$C$2991,"Grayson Coulter",$Q$5:$Q$2991,Q986,$AE$5:$AE$2991,"&lt;="&amp;AE986,$R$5:$R$2991,"&lt;"&amp;R986))</f>
        <v/>
      </c>
      <c r="AG986" s="35">
        <f>IF(OR(C986&lt;&gt;"Grayson Coulter",G986&lt;'00_Control'!$B$7),"",--(AF986&lt;5))</f>
        <v/>
      </c>
      <c r="AH986" s="35">
        <f>IF(OR(C986&lt;&gt;"Grayson Coulter",G986&lt;'00_Control'!$B$7),"",--(AF986&lt;10))</f>
        <v/>
      </c>
      <c r="AI986" s="35">
        <f>IF(AND(C986="Grayson Coulter",G986&gt;='00_Control'!$B$7),"YES","NO")</f>
        <v/>
      </c>
      <c r="AJ986" s="33" t="inlineStr">
        <is>
          <t>OK</t>
        </is>
      </c>
    </row>
    <row r="987">
      <c r="A987" s="33" t="inlineStr">
        <is>
          <t>SM000983</t>
        </is>
      </c>
      <c r="B987" s="33" t="inlineStr">
        <is>
          <t>SW012</t>
        </is>
      </c>
      <c r="C987" s="33" t="inlineStr">
        <is>
          <t>Flynn Southam</t>
        </is>
      </c>
      <c r="D987" s="33" t="inlineStr">
        <is>
          <t>SwimCloud</t>
        </is>
      </c>
      <c r="E987" s="33" t="inlineStr">
        <is>
          <t>956278</t>
        </is>
      </c>
      <c r="F987" s="33" t="inlineStr">
        <is>
          <t>126731521</t>
        </is>
      </c>
      <c r="G987" s="51" t="n">
        <v>45392</v>
      </c>
      <c r="H987" s="33" t="inlineStr">
        <is>
          <t>Australian Age &amp; MC Age Championships</t>
        </is>
      </c>
      <c r="I987" s="33" t="inlineStr">
        <is>
          <t>304552</t>
        </is>
      </c>
      <c r="J987" s="33" t="inlineStr"/>
      <c r="K987" s="33" t="inlineStr">
        <is>
          <t>FIN</t>
        </is>
      </c>
      <c r="L987" s="35">
        <f>IF(K987="FIN",3,IF(OR(K987="SEM",K987="SEMI"),2,IF(OR(K987="PRE",K987="HEAT"),1,IF(V987="YES",4,2))))</f>
        <v/>
      </c>
      <c r="M987" s="33" t="inlineStr">
        <is>
          <t>LCM</t>
        </is>
      </c>
      <c r="N987" s="33" t="n">
        <v>200</v>
      </c>
      <c r="O987" s="33" t="inlineStr">
        <is>
          <t>Free</t>
        </is>
      </c>
      <c r="P987" s="33" t="inlineStr">
        <is>
          <t>200 Free</t>
        </is>
      </c>
      <c r="Q987" s="33" t="inlineStr">
        <is>
          <t>LCM_200_FREE</t>
        </is>
      </c>
      <c r="R987" s="36" t="n">
        <v>106.43</v>
      </c>
      <c r="S987" s="35">
        <f>IF(R987="","",IF(R987&gt;=60,INT(R987/60)&amp;":"&amp;TEXT(MOD(R987,60),"00.00"),TEXT(R987,"0.00")))</f>
        <v/>
      </c>
      <c r="T987" s="52">
        <f>IFERROR((G987-INDEX('01_Swimmers'!$E$5:$E$22,MATCH(B987,'01_Swimmers'!$A$5:$A$22,0)))/'00_Control'!$B$10,"")</f>
        <v/>
      </c>
      <c r="U987" s="35">
        <f>IF(T987="","",INT(T987))</f>
        <v/>
      </c>
      <c r="V987" s="33" t="inlineStr">
        <is>
          <t>NO</t>
        </is>
      </c>
      <c r="W987" s="33" t="inlineStr">
        <is>
          <t>YES</t>
        </is>
      </c>
      <c r="X987" s="33" t="inlineStr">
        <is>
          <t>NO</t>
        </is>
      </c>
      <c r="Y987" s="33" t="n">
        <v>1</v>
      </c>
      <c r="Z987" s="33" t="n">
        <v>4</v>
      </c>
      <c r="AA987" s="33" t="inlineStr">
        <is>
          <t>1</t>
        </is>
      </c>
      <c r="AB987" s="33" t="inlineStr">
        <is>
          <t>https://www.swimcloud.com/results/304552/event/85/?id=126731521#time126731521</t>
        </is>
      </c>
      <c r="AC987" s="33" t="inlineStr">
        <is>
          <t>SwimCloud API v6 2026-10-08</t>
        </is>
      </c>
      <c r="AD987" s="33" t="inlineStr">
        <is>
          <t>Flynn Southam|2024-04-10|LCM|200|Free|106.43|Australian Age &amp; MC Age Championships|FIN|False</t>
        </is>
      </c>
      <c r="AE987" s="53">
        <f>G987+L987/1000+ROW()/1000000000</f>
        <v/>
      </c>
      <c r="AF987" s="35">
        <f>IF(C987&lt;&gt;"Grayson Coulter","",COUNTIFS($C$5:$C$2991,"Grayson Coulter",$Q$5:$Q$2991,Q987,$AE$5:$AE$2991,"&lt;="&amp;AE987,$R$5:$R$2991,"&lt;"&amp;R987))</f>
        <v/>
      </c>
      <c r="AG987" s="35">
        <f>IF(OR(C987&lt;&gt;"Grayson Coulter",G987&lt;'00_Control'!$B$7),"",--(AF987&lt;5))</f>
        <v/>
      </c>
      <c r="AH987" s="35">
        <f>IF(OR(C987&lt;&gt;"Grayson Coulter",G987&lt;'00_Control'!$B$7),"",--(AF987&lt;10))</f>
        <v/>
      </c>
      <c r="AI987" s="35">
        <f>IF(AND(C987="Grayson Coulter",G987&gt;='00_Control'!$B$7),"YES","NO")</f>
        <v/>
      </c>
      <c r="AJ987" s="33" t="inlineStr">
        <is>
          <t>OK</t>
        </is>
      </c>
    </row>
    <row r="988">
      <c r="A988" s="33" t="inlineStr">
        <is>
          <t>SM000984</t>
        </is>
      </c>
      <c r="B988" s="33" t="inlineStr">
        <is>
          <t>SW012</t>
        </is>
      </c>
      <c r="C988" s="33" t="inlineStr">
        <is>
          <t>Flynn Southam</t>
        </is>
      </c>
      <c r="D988" s="33" t="inlineStr">
        <is>
          <t>SwimCloud</t>
        </is>
      </c>
      <c r="E988" s="33" t="inlineStr">
        <is>
          <t>956278</t>
        </is>
      </c>
      <c r="F988" s="33" t="inlineStr">
        <is>
          <t>126825518</t>
        </is>
      </c>
      <c r="G988" s="51" t="n">
        <v>45392</v>
      </c>
      <c r="H988" s="33" t="inlineStr">
        <is>
          <t>Australian Age &amp; MC Age Championships</t>
        </is>
      </c>
      <c r="I988" s="33" t="inlineStr">
        <is>
          <t>302285</t>
        </is>
      </c>
      <c r="J988" s="33" t="inlineStr"/>
      <c r="K988" s="33" t="inlineStr">
        <is>
          <t>FIN</t>
        </is>
      </c>
      <c r="L988" s="35">
        <f>IF(K988="FIN",3,IF(OR(K988="SEM",K988="SEMI"),2,IF(OR(K988="PRE",K988="HEAT"),1,IF(V988="YES",4,2))))</f>
        <v/>
      </c>
      <c r="M988" s="33" t="inlineStr">
        <is>
          <t>LCM</t>
        </is>
      </c>
      <c r="N988" s="33" t="n">
        <v>200</v>
      </c>
      <c r="O988" s="33" t="inlineStr">
        <is>
          <t>Free</t>
        </is>
      </c>
      <c r="P988" s="33" t="inlineStr">
        <is>
          <t>200 Free</t>
        </is>
      </c>
      <c r="Q988" s="33" t="inlineStr">
        <is>
          <t>LCM_200_FREE</t>
        </is>
      </c>
      <c r="R988" s="36" t="n">
        <v>106.43</v>
      </c>
      <c r="S988" s="35">
        <f>IF(R988="","",IF(R988&gt;=60,INT(R988/60)&amp;":"&amp;TEXT(MOD(R988,60),"00.00"),TEXT(R988,"0.00")))</f>
        <v/>
      </c>
      <c r="T988" s="52">
        <f>IFERROR((G988-INDEX('01_Swimmers'!$E$5:$E$22,MATCH(B988,'01_Swimmers'!$A$5:$A$22,0)))/'00_Control'!$B$10,"")</f>
        <v/>
      </c>
      <c r="U988" s="35">
        <f>IF(T988="","",INT(T988))</f>
        <v/>
      </c>
      <c r="V988" s="33" t="inlineStr">
        <is>
          <t>NO</t>
        </is>
      </c>
      <c r="W988" s="33" t="inlineStr">
        <is>
          <t>YES</t>
        </is>
      </c>
      <c r="X988" s="33" t="inlineStr">
        <is>
          <t>NO</t>
        </is>
      </c>
      <c r="Y988" s="33" t="n">
        <v>1</v>
      </c>
      <c r="Z988" s="33" t="n">
        <v>4</v>
      </c>
      <c r="AA988" s="33" t="inlineStr">
        <is>
          <t>1</t>
        </is>
      </c>
      <c r="AB988" s="33" t="inlineStr">
        <is>
          <t>https://www.swimcloud.com/results/302285/event/85/?id=126825518#time126825518</t>
        </is>
      </c>
      <c r="AC988" s="33" t="inlineStr">
        <is>
          <t>SwimCloud API v6 2026-10-08</t>
        </is>
      </c>
      <c r="AD988" s="33" t="inlineStr">
        <is>
          <t>Flynn Southam|2024-04-10|LCM|200|Free|106.43|Australian Age &amp; MC Age Championships|FIN|False</t>
        </is>
      </c>
      <c r="AE988" s="53">
        <f>G988+L988/1000+ROW()/1000000000</f>
        <v/>
      </c>
      <c r="AF988" s="35">
        <f>IF(C988&lt;&gt;"Grayson Coulter","",COUNTIFS($C$5:$C$2991,"Grayson Coulter",$Q$5:$Q$2991,Q988,$AE$5:$AE$2991,"&lt;="&amp;AE988,$R$5:$R$2991,"&lt;"&amp;R988))</f>
        <v/>
      </c>
      <c r="AG988" s="35">
        <f>IF(OR(C988&lt;&gt;"Grayson Coulter",G988&lt;'00_Control'!$B$7),"",--(AF988&lt;5))</f>
        <v/>
      </c>
      <c r="AH988" s="35">
        <f>IF(OR(C988&lt;&gt;"Grayson Coulter",G988&lt;'00_Control'!$B$7),"",--(AF988&lt;10))</f>
        <v/>
      </c>
      <c r="AI988" s="35">
        <f>IF(AND(C988="Grayson Coulter",G988&gt;='00_Control'!$B$7),"YES","NO")</f>
        <v/>
      </c>
      <c r="AJ988" s="33" t="inlineStr">
        <is>
          <t>OK</t>
        </is>
      </c>
    </row>
    <row r="989">
      <c r="A989" s="33" t="inlineStr">
        <is>
          <t>SM000985</t>
        </is>
      </c>
      <c r="B989" s="33" t="inlineStr">
        <is>
          <t>SW012</t>
        </is>
      </c>
      <c r="C989" s="33" t="inlineStr">
        <is>
          <t>Flynn Southam</t>
        </is>
      </c>
      <c r="D989" s="33" t="inlineStr">
        <is>
          <t>SwimCloud</t>
        </is>
      </c>
      <c r="E989" s="33" t="inlineStr">
        <is>
          <t>956278</t>
        </is>
      </c>
      <c r="F989" s="33" t="inlineStr">
        <is>
          <t>126731583</t>
        </is>
      </c>
      <c r="G989" s="51" t="n">
        <v>45395</v>
      </c>
      <c r="H989" s="33" t="inlineStr">
        <is>
          <t>Australian Age &amp; MC Age Championships</t>
        </is>
      </c>
      <c r="I989" s="33" t="inlineStr">
        <is>
          <t>304552</t>
        </is>
      </c>
      <c r="J989" s="33" t="inlineStr"/>
      <c r="K989" s="33" t="inlineStr">
        <is>
          <t>PRE</t>
        </is>
      </c>
      <c r="L989" s="35">
        <f>IF(K989="FIN",3,IF(OR(K989="SEM",K989="SEMI"),2,IF(OR(K989="PRE",K989="HEAT"),1,IF(V989="YES",4,2))))</f>
        <v/>
      </c>
      <c r="M989" s="33" t="inlineStr">
        <is>
          <t>LCM</t>
        </is>
      </c>
      <c r="N989" s="33" t="n">
        <v>100</v>
      </c>
      <c r="O989" s="33" t="inlineStr">
        <is>
          <t>Free</t>
        </is>
      </c>
      <c r="P989" s="33" t="inlineStr">
        <is>
          <t>100 Free</t>
        </is>
      </c>
      <c r="Q989" s="33" t="inlineStr">
        <is>
          <t>LCM_100_FREE</t>
        </is>
      </c>
      <c r="R989" s="36" t="n">
        <v>48.96</v>
      </c>
      <c r="S989" s="35">
        <f>IF(R989="","",IF(R989&gt;=60,INT(R989/60)&amp;":"&amp;TEXT(MOD(R989,60),"00.00"),TEXT(R989,"0.00")))</f>
        <v/>
      </c>
      <c r="T989" s="52">
        <f>IFERROR((G989-INDEX('01_Swimmers'!$E$5:$E$22,MATCH(B989,'01_Swimmers'!$A$5:$A$22,0)))/'00_Control'!$B$10,"")</f>
        <v/>
      </c>
      <c r="U989" s="35">
        <f>IF(T989="","",INT(T989))</f>
        <v/>
      </c>
      <c r="V989" s="33" t="inlineStr">
        <is>
          <t>NO</t>
        </is>
      </c>
      <c r="W989" s="33" t="inlineStr">
        <is>
          <t>YES</t>
        </is>
      </c>
      <c r="X989" s="33" t="inlineStr">
        <is>
          <t>NO</t>
        </is>
      </c>
      <c r="Y989" s="33" t="n">
        <v>1</v>
      </c>
      <c r="Z989" s="33" t="n">
        <v>4</v>
      </c>
      <c r="AA989" s="33" t="inlineStr">
        <is>
          <t>1</t>
        </is>
      </c>
      <c r="AB989" s="33" t="inlineStr">
        <is>
          <t>https://www.swimcloud.com/results/304552/event/169/?id=126731583#time126731583</t>
        </is>
      </c>
      <c r="AC989" s="33" t="inlineStr">
        <is>
          <t>SwimCloud API v6 2026-10-08</t>
        </is>
      </c>
      <c r="AD989" s="33" t="inlineStr">
        <is>
          <t>Flynn Southam|2024-04-13|LCM|100|Free|48.96|Australian Age &amp; MC Age Championships|PRE|False</t>
        </is>
      </c>
      <c r="AE989" s="53">
        <f>G989+L989/1000+ROW()/1000000000</f>
        <v/>
      </c>
      <c r="AF989" s="35">
        <f>IF(C989&lt;&gt;"Grayson Coulter","",COUNTIFS($C$5:$C$2991,"Grayson Coulter",$Q$5:$Q$2991,Q989,$AE$5:$AE$2991,"&lt;="&amp;AE989,$R$5:$R$2991,"&lt;"&amp;R989))</f>
        <v/>
      </c>
      <c r="AG989" s="35">
        <f>IF(OR(C989&lt;&gt;"Grayson Coulter",G989&lt;'00_Control'!$B$7),"",--(AF989&lt;5))</f>
        <v/>
      </c>
      <c r="AH989" s="35">
        <f>IF(OR(C989&lt;&gt;"Grayson Coulter",G989&lt;'00_Control'!$B$7),"",--(AF989&lt;10))</f>
        <v/>
      </c>
      <c r="AI989" s="35">
        <f>IF(AND(C989="Grayson Coulter",G989&gt;='00_Control'!$B$7),"YES","NO")</f>
        <v/>
      </c>
      <c r="AJ989" s="33" t="inlineStr">
        <is>
          <t>OK</t>
        </is>
      </c>
    </row>
    <row r="990">
      <c r="A990" s="33" t="inlineStr">
        <is>
          <t>SM000986</t>
        </is>
      </c>
      <c r="B990" s="33" t="inlineStr">
        <is>
          <t>SW012</t>
        </is>
      </c>
      <c r="C990" s="33" t="inlineStr">
        <is>
          <t>Flynn Southam</t>
        </is>
      </c>
      <c r="D990" s="33" t="inlineStr">
        <is>
          <t>SwimCloud</t>
        </is>
      </c>
      <c r="E990" s="33" t="inlineStr">
        <is>
          <t>956278</t>
        </is>
      </c>
      <c r="F990" s="33" t="inlineStr">
        <is>
          <t>126825580</t>
        </is>
      </c>
      <c r="G990" s="51" t="n">
        <v>45395</v>
      </c>
      <c r="H990" s="33" t="inlineStr">
        <is>
          <t>Australian Age &amp; MC Age Championships</t>
        </is>
      </c>
      <c r="I990" s="33" t="inlineStr">
        <is>
          <t>302285</t>
        </is>
      </c>
      <c r="J990" s="33" t="inlineStr"/>
      <c r="K990" s="33" t="inlineStr">
        <is>
          <t>PRE</t>
        </is>
      </c>
      <c r="L990" s="35">
        <f>IF(K990="FIN",3,IF(OR(K990="SEM",K990="SEMI"),2,IF(OR(K990="PRE",K990="HEAT"),1,IF(V990="YES",4,2))))</f>
        <v/>
      </c>
      <c r="M990" s="33" t="inlineStr">
        <is>
          <t>LCM</t>
        </is>
      </c>
      <c r="N990" s="33" t="n">
        <v>100</v>
      </c>
      <c r="O990" s="33" t="inlineStr">
        <is>
          <t>Free</t>
        </is>
      </c>
      <c r="P990" s="33" t="inlineStr">
        <is>
          <t>100 Free</t>
        </is>
      </c>
      <c r="Q990" s="33" t="inlineStr">
        <is>
          <t>LCM_100_FREE</t>
        </is>
      </c>
      <c r="R990" s="36" t="n">
        <v>48.96</v>
      </c>
      <c r="S990" s="35">
        <f>IF(R990="","",IF(R990&gt;=60,INT(R990/60)&amp;":"&amp;TEXT(MOD(R990,60),"00.00"),TEXT(R990,"0.00")))</f>
        <v/>
      </c>
      <c r="T990" s="52">
        <f>IFERROR((G990-INDEX('01_Swimmers'!$E$5:$E$22,MATCH(B990,'01_Swimmers'!$A$5:$A$22,0)))/'00_Control'!$B$10,"")</f>
        <v/>
      </c>
      <c r="U990" s="35">
        <f>IF(T990="","",INT(T990))</f>
        <v/>
      </c>
      <c r="V990" s="33" t="inlineStr">
        <is>
          <t>NO</t>
        </is>
      </c>
      <c r="W990" s="33" t="inlineStr">
        <is>
          <t>YES</t>
        </is>
      </c>
      <c r="X990" s="33" t="inlineStr">
        <is>
          <t>NO</t>
        </is>
      </c>
      <c r="Y990" s="33" t="n">
        <v>1</v>
      </c>
      <c r="Z990" s="33" t="n">
        <v>4</v>
      </c>
      <c r="AA990" s="33" t="inlineStr">
        <is>
          <t>1</t>
        </is>
      </c>
      <c r="AB990" s="33" t="inlineStr">
        <is>
          <t>https://www.swimcloud.com/results/302285/event/169/?id=126825580#time126825580</t>
        </is>
      </c>
      <c r="AC990" s="33" t="inlineStr">
        <is>
          <t>SwimCloud API v6 2026-10-08</t>
        </is>
      </c>
      <c r="AD990" s="33" t="inlineStr">
        <is>
          <t>Flynn Southam|2024-04-13|LCM|100|Free|48.96|Australian Age &amp; MC Age Championships|PRE|False</t>
        </is>
      </c>
      <c r="AE990" s="53">
        <f>G990+L990/1000+ROW()/1000000000</f>
        <v/>
      </c>
      <c r="AF990" s="35">
        <f>IF(C990&lt;&gt;"Grayson Coulter","",COUNTIFS($C$5:$C$2991,"Grayson Coulter",$Q$5:$Q$2991,Q990,$AE$5:$AE$2991,"&lt;="&amp;AE990,$R$5:$R$2991,"&lt;"&amp;R990))</f>
        <v/>
      </c>
      <c r="AG990" s="35">
        <f>IF(OR(C990&lt;&gt;"Grayson Coulter",G990&lt;'00_Control'!$B$7),"",--(AF990&lt;5))</f>
        <v/>
      </c>
      <c r="AH990" s="35">
        <f>IF(OR(C990&lt;&gt;"Grayson Coulter",G990&lt;'00_Control'!$B$7),"",--(AF990&lt;10))</f>
        <v/>
      </c>
      <c r="AI990" s="35">
        <f>IF(AND(C990="Grayson Coulter",G990&gt;='00_Control'!$B$7),"YES","NO")</f>
        <v/>
      </c>
      <c r="AJ990" s="33" t="inlineStr">
        <is>
          <t>OK</t>
        </is>
      </c>
    </row>
    <row r="991">
      <c r="A991" s="33" t="inlineStr">
        <is>
          <t>SM000987</t>
        </is>
      </c>
      <c r="B991" s="33" t="inlineStr">
        <is>
          <t>SW012</t>
        </is>
      </c>
      <c r="C991" s="33" t="inlineStr">
        <is>
          <t>Flynn Southam</t>
        </is>
      </c>
      <c r="D991" s="33" t="inlineStr">
        <is>
          <t>SwimCloud</t>
        </is>
      </c>
      <c r="E991" s="33" t="inlineStr">
        <is>
          <t>956278</t>
        </is>
      </c>
      <c r="F991" s="33" t="inlineStr">
        <is>
          <t>126731584</t>
        </is>
      </c>
      <c r="G991" s="51" t="n">
        <v>45395</v>
      </c>
      <c r="H991" s="33" t="inlineStr">
        <is>
          <t>Australian Age &amp; MC Age Championships</t>
        </is>
      </c>
      <c r="I991" s="33" t="inlineStr">
        <is>
          <t>304552</t>
        </is>
      </c>
      <c r="J991" s="33" t="inlineStr"/>
      <c r="K991" s="33" t="inlineStr">
        <is>
          <t>FIN</t>
        </is>
      </c>
      <c r="L991" s="35">
        <f>IF(K991="FIN",3,IF(OR(K991="SEM",K991="SEMI"),2,IF(OR(K991="PRE",K991="HEAT"),1,IF(V991="YES",4,2))))</f>
        <v/>
      </c>
      <c r="M991" s="33" t="inlineStr">
        <is>
          <t>LCM</t>
        </is>
      </c>
      <c r="N991" s="33" t="n">
        <v>100</v>
      </c>
      <c r="O991" s="33" t="inlineStr">
        <is>
          <t>Free</t>
        </is>
      </c>
      <c r="P991" s="33" t="inlineStr">
        <is>
          <t>100 Free</t>
        </is>
      </c>
      <c r="Q991" s="33" t="inlineStr">
        <is>
          <t>LCM_100_FREE</t>
        </is>
      </c>
      <c r="R991" s="36" t="n">
        <v>48.94</v>
      </c>
      <c r="S991" s="35">
        <f>IF(R991="","",IF(R991&gt;=60,INT(R991/60)&amp;":"&amp;TEXT(MOD(R991,60),"00.00"),TEXT(R991,"0.00")))</f>
        <v/>
      </c>
      <c r="T991" s="52">
        <f>IFERROR((G991-INDEX('01_Swimmers'!$E$5:$E$22,MATCH(B991,'01_Swimmers'!$A$5:$A$22,0)))/'00_Control'!$B$10,"")</f>
        <v/>
      </c>
      <c r="U991" s="35">
        <f>IF(T991="","",INT(T991))</f>
        <v/>
      </c>
      <c r="V991" s="33" t="inlineStr">
        <is>
          <t>NO</t>
        </is>
      </c>
      <c r="W991" s="33" t="inlineStr">
        <is>
          <t>YES</t>
        </is>
      </c>
      <c r="X991" s="33" t="inlineStr">
        <is>
          <t>NO</t>
        </is>
      </c>
      <c r="Y991" s="33" t="n">
        <v>1</v>
      </c>
      <c r="Z991" s="33" t="n">
        <v>4</v>
      </c>
      <c r="AA991" s="33" t="inlineStr">
        <is>
          <t>1</t>
        </is>
      </c>
      <c r="AB991" s="33" t="inlineStr">
        <is>
          <t>https://www.swimcloud.com/results/304552/event/169/?id=126731584#time126731584</t>
        </is>
      </c>
      <c r="AC991" s="33" t="inlineStr">
        <is>
          <t>SwimCloud API v6 2026-10-08</t>
        </is>
      </c>
      <c r="AD991" s="33" t="inlineStr">
        <is>
          <t>Flynn Southam|2024-04-13|LCM|100|Free|48.94|Australian Age &amp; MC Age Championships|FIN|False</t>
        </is>
      </c>
      <c r="AE991" s="53">
        <f>G991+L991/1000+ROW()/1000000000</f>
        <v/>
      </c>
      <c r="AF991" s="35">
        <f>IF(C991&lt;&gt;"Grayson Coulter","",COUNTIFS($C$5:$C$2991,"Grayson Coulter",$Q$5:$Q$2991,Q991,$AE$5:$AE$2991,"&lt;="&amp;AE991,$R$5:$R$2991,"&lt;"&amp;R991))</f>
        <v/>
      </c>
      <c r="AG991" s="35">
        <f>IF(OR(C991&lt;&gt;"Grayson Coulter",G991&lt;'00_Control'!$B$7),"",--(AF991&lt;5))</f>
        <v/>
      </c>
      <c r="AH991" s="35">
        <f>IF(OR(C991&lt;&gt;"Grayson Coulter",G991&lt;'00_Control'!$B$7),"",--(AF991&lt;10))</f>
        <v/>
      </c>
      <c r="AI991" s="35">
        <f>IF(AND(C991="Grayson Coulter",G991&gt;='00_Control'!$B$7),"YES","NO")</f>
        <v/>
      </c>
      <c r="AJ991" s="33" t="inlineStr">
        <is>
          <t>OK</t>
        </is>
      </c>
    </row>
    <row r="992">
      <c r="A992" s="33" t="inlineStr">
        <is>
          <t>SM000988</t>
        </is>
      </c>
      <c r="B992" s="33" t="inlineStr">
        <is>
          <t>SW012</t>
        </is>
      </c>
      <c r="C992" s="33" t="inlineStr">
        <is>
          <t>Flynn Southam</t>
        </is>
      </c>
      <c r="D992" s="33" t="inlineStr">
        <is>
          <t>SwimCloud</t>
        </is>
      </c>
      <c r="E992" s="33" t="inlineStr">
        <is>
          <t>956278</t>
        </is>
      </c>
      <c r="F992" s="33" t="inlineStr">
        <is>
          <t>126825581</t>
        </is>
      </c>
      <c r="G992" s="51" t="n">
        <v>45395</v>
      </c>
      <c r="H992" s="33" t="inlineStr">
        <is>
          <t>Australian Age &amp; MC Age Championships</t>
        </is>
      </c>
      <c r="I992" s="33" t="inlineStr">
        <is>
          <t>302285</t>
        </is>
      </c>
      <c r="J992" s="33" t="inlineStr"/>
      <c r="K992" s="33" t="inlineStr">
        <is>
          <t>FIN</t>
        </is>
      </c>
      <c r="L992" s="35">
        <f>IF(K992="FIN",3,IF(OR(K992="SEM",K992="SEMI"),2,IF(OR(K992="PRE",K992="HEAT"),1,IF(V992="YES",4,2))))</f>
        <v/>
      </c>
      <c r="M992" s="33" t="inlineStr">
        <is>
          <t>LCM</t>
        </is>
      </c>
      <c r="N992" s="33" t="n">
        <v>100</v>
      </c>
      <c r="O992" s="33" t="inlineStr">
        <is>
          <t>Free</t>
        </is>
      </c>
      <c r="P992" s="33" t="inlineStr">
        <is>
          <t>100 Free</t>
        </is>
      </c>
      <c r="Q992" s="33" t="inlineStr">
        <is>
          <t>LCM_100_FREE</t>
        </is>
      </c>
      <c r="R992" s="36" t="n">
        <v>48.94</v>
      </c>
      <c r="S992" s="35">
        <f>IF(R992="","",IF(R992&gt;=60,INT(R992/60)&amp;":"&amp;TEXT(MOD(R992,60),"00.00"),TEXT(R992,"0.00")))</f>
        <v/>
      </c>
      <c r="T992" s="52">
        <f>IFERROR((G992-INDEX('01_Swimmers'!$E$5:$E$22,MATCH(B992,'01_Swimmers'!$A$5:$A$22,0)))/'00_Control'!$B$10,"")</f>
        <v/>
      </c>
      <c r="U992" s="35">
        <f>IF(T992="","",INT(T992))</f>
        <v/>
      </c>
      <c r="V992" s="33" t="inlineStr">
        <is>
          <t>NO</t>
        </is>
      </c>
      <c r="W992" s="33" t="inlineStr">
        <is>
          <t>YES</t>
        </is>
      </c>
      <c r="X992" s="33" t="inlineStr">
        <is>
          <t>NO</t>
        </is>
      </c>
      <c r="Y992" s="33" t="n">
        <v>1</v>
      </c>
      <c r="Z992" s="33" t="n">
        <v>4</v>
      </c>
      <c r="AA992" s="33" t="inlineStr">
        <is>
          <t>1</t>
        </is>
      </c>
      <c r="AB992" s="33" t="inlineStr">
        <is>
          <t>https://www.swimcloud.com/results/302285/event/169/?id=126825581#time126825581</t>
        </is>
      </c>
      <c r="AC992" s="33" t="inlineStr">
        <is>
          <t>SwimCloud API v6 2026-10-08</t>
        </is>
      </c>
      <c r="AD992" s="33" t="inlineStr">
        <is>
          <t>Flynn Southam|2024-04-13|LCM|100|Free|48.94|Australian Age &amp; MC Age Championships|FIN|False</t>
        </is>
      </c>
      <c r="AE992" s="53">
        <f>G992+L992/1000+ROW()/1000000000</f>
        <v/>
      </c>
      <c r="AF992" s="35">
        <f>IF(C992&lt;&gt;"Grayson Coulter","",COUNTIFS($C$5:$C$2991,"Grayson Coulter",$Q$5:$Q$2991,Q992,$AE$5:$AE$2991,"&lt;="&amp;AE992,$R$5:$R$2991,"&lt;"&amp;R992))</f>
        <v/>
      </c>
      <c r="AG992" s="35">
        <f>IF(OR(C992&lt;&gt;"Grayson Coulter",G992&lt;'00_Control'!$B$7),"",--(AF992&lt;5))</f>
        <v/>
      </c>
      <c r="AH992" s="35">
        <f>IF(OR(C992&lt;&gt;"Grayson Coulter",G992&lt;'00_Control'!$B$7),"",--(AF992&lt;10))</f>
        <v/>
      </c>
      <c r="AI992" s="35">
        <f>IF(AND(C992="Grayson Coulter",G992&gt;='00_Control'!$B$7),"YES","NO")</f>
        <v/>
      </c>
      <c r="AJ992" s="33" t="inlineStr">
        <is>
          <t>OK</t>
        </is>
      </c>
    </row>
    <row r="993">
      <c r="A993" s="33" t="inlineStr">
        <is>
          <t>SM000989</t>
        </is>
      </c>
      <c r="B993" s="33" t="inlineStr">
        <is>
          <t>SW012</t>
        </is>
      </c>
      <c r="C993" s="33" t="inlineStr">
        <is>
          <t>Flynn Southam</t>
        </is>
      </c>
      <c r="D993" s="33" t="inlineStr">
        <is>
          <t>SwimCloud</t>
        </is>
      </c>
      <c r="E993" s="33" t="inlineStr">
        <is>
          <t>956278</t>
        </is>
      </c>
      <c r="F993" s="33" t="inlineStr">
        <is>
          <t>124862699</t>
        </is>
      </c>
      <c r="G993" s="51" t="n">
        <v>45400</v>
      </c>
      <c r="H993" s="33" t="inlineStr">
        <is>
          <t>Australian Open Championships</t>
        </is>
      </c>
      <c r="I993" s="33" t="inlineStr">
        <is>
          <t>302425</t>
        </is>
      </c>
      <c r="J993" s="33" t="inlineStr"/>
      <c r="K993" s="33" t="inlineStr">
        <is>
          <t>PRE</t>
        </is>
      </c>
      <c r="L993" s="35">
        <f>IF(K993="FIN",3,IF(OR(K993="SEM",K993="SEMI"),2,IF(OR(K993="PRE",K993="HEAT"),1,IF(V993="YES",4,2))))</f>
        <v/>
      </c>
      <c r="M993" s="33" t="inlineStr">
        <is>
          <t>LCM</t>
        </is>
      </c>
      <c r="N993" s="33" t="n">
        <v>200</v>
      </c>
      <c r="O993" s="33" t="inlineStr">
        <is>
          <t>Free</t>
        </is>
      </c>
      <c r="P993" s="33" t="inlineStr">
        <is>
          <t>200 Free</t>
        </is>
      </c>
      <c r="Q993" s="33" t="inlineStr">
        <is>
          <t>LCM_200_FREE</t>
        </is>
      </c>
      <c r="R993" s="36" t="n">
        <v>108.62</v>
      </c>
      <c r="S993" s="35">
        <f>IF(R993="","",IF(R993&gt;=60,INT(R993/60)&amp;":"&amp;TEXT(MOD(R993,60),"00.00"),TEXT(R993,"0.00")))</f>
        <v/>
      </c>
      <c r="T993" s="52">
        <f>IFERROR((G993-INDEX('01_Swimmers'!$E$5:$E$22,MATCH(B993,'01_Swimmers'!$A$5:$A$22,0)))/'00_Control'!$B$10,"")</f>
        <v/>
      </c>
      <c r="U993" s="35">
        <f>IF(T993="","",INT(T993))</f>
        <v/>
      </c>
      <c r="V993" s="33" t="inlineStr">
        <is>
          <t>NO</t>
        </is>
      </c>
      <c r="W993" s="33" t="inlineStr">
        <is>
          <t>YES</t>
        </is>
      </c>
      <c r="X993" s="33" t="inlineStr">
        <is>
          <t>NO</t>
        </is>
      </c>
      <c r="Y993" s="33" t="n">
        <v>2</v>
      </c>
      <c r="Z993" s="33" t="n">
        <v>5</v>
      </c>
      <c r="AA993" s="33" t="inlineStr">
        <is>
          <t>8</t>
        </is>
      </c>
      <c r="AB993" s="33" t="inlineStr">
        <is>
          <t>https://www.swimcloud.com/results/302425/event/19/?id=124862699#time124862699</t>
        </is>
      </c>
      <c r="AC993" s="33" t="inlineStr">
        <is>
          <t>SwimCloud API v6 2026-10-08</t>
        </is>
      </c>
      <c r="AD993" s="33" t="inlineStr">
        <is>
          <t>Flynn Southam|2024-04-18|LCM|200|Free|108.62|Australian Open Championships|PRE|False</t>
        </is>
      </c>
      <c r="AE993" s="53">
        <f>G993+L993/1000+ROW()/1000000000</f>
        <v/>
      </c>
      <c r="AF993" s="35">
        <f>IF(C993&lt;&gt;"Grayson Coulter","",COUNTIFS($C$5:$C$2991,"Grayson Coulter",$Q$5:$Q$2991,Q993,$AE$5:$AE$2991,"&lt;="&amp;AE993,$R$5:$R$2991,"&lt;"&amp;R993))</f>
        <v/>
      </c>
      <c r="AG993" s="35">
        <f>IF(OR(C993&lt;&gt;"Grayson Coulter",G993&lt;'00_Control'!$B$7),"",--(AF993&lt;5))</f>
        <v/>
      </c>
      <c r="AH993" s="35">
        <f>IF(OR(C993&lt;&gt;"Grayson Coulter",G993&lt;'00_Control'!$B$7),"",--(AF993&lt;10))</f>
        <v/>
      </c>
      <c r="AI993" s="35">
        <f>IF(AND(C993="Grayson Coulter",G993&gt;='00_Control'!$B$7),"YES","NO")</f>
        <v/>
      </c>
      <c r="AJ993" s="33" t="inlineStr">
        <is>
          <t>OK</t>
        </is>
      </c>
    </row>
    <row r="994">
      <c r="A994" s="33" t="inlineStr">
        <is>
          <t>SM000990</t>
        </is>
      </c>
      <c r="B994" s="33" t="inlineStr">
        <is>
          <t>SW012</t>
        </is>
      </c>
      <c r="C994" s="33" t="inlineStr">
        <is>
          <t>Flynn Southam</t>
        </is>
      </c>
      <c r="D994" s="33" t="inlineStr">
        <is>
          <t>SwimCloud</t>
        </is>
      </c>
      <c r="E994" s="33" t="inlineStr">
        <is>
          <t>956278</t>
        </is>
      </c>
      <c r="F994" s="33" t="inlineStr">
        <is>
          <t>124862700</t>
        </is>
      </c>
      <c r="G994" s="51" t="n">
        <v>45400</v>
      </c>
      <c r="H994" s="33" t="inlineStr">
        <is>
          <t>Australian Open Championships</t>
        </is>
      </c>
      <c r="I994" s="33" t="inlineStr">
        <is>
          <t>302425</t>
        </is>
      </c>
      <c r="J994" s="33" t="inlineStr"/>
      <c r="K994" s="33" t="inlineStr">
        <is>
          <t>FIN</t>
        </is>
      </c>
      <c r="L994" s="35">
        <f>IF(K994="FIN",3,IF(OR(K994="SEM",K994="SEMI"),2,IF(OR(K994="PRE",K994="HEAT"),1,IF(V994="YES",4,2))))</f>
        <v/>
      </c>
      <c r="M994" s="33" t="inlineStr">
        <is>
          <t>LCM</t>
        </is>
      </c>
      <c r="N994" s="33" t="n">
        <v>200</v>
      </c>
      <c r="O994" s="33" t="inlineStr">
        <is>
          <t>Free</t>
        </is>
      </c>
      <c r="P994" s="33" t="inlineStr">
        <is>
          <t>200 Free</t>
        </is>
      </c>
      <c r="Q994" s="33" t="inlineStr">
        <is>
          <t>LCM_200_FREE</t>
        </is>
      </c>
      <c r="R994" s="36" t="n">
        <v>106.11</v>
      </c>
      <c r="S994" s="35">
        <f>IF(R994="","",IF(R994&gt;=60,INT(R994/60)&amp;":"&amp;TEXT(MOD(R994,60),"00.00"),TEXT(R994,"0.00")))</f>
        <v/>
      </c>
      <c r="T994" s="52">
        <f>IFERROR((G994-INDEX('01_Swimmers'!$E$5:$E$22,MATCH(B994,'01_Swimmers'!$A$5:$A$22,0)))/'00_Control'!$B$10,"")</f>
        <v/>
      </c>
      <c r="U994" s="35">
        <f>IF(T994="","",INT(T994))</f>
        <v/>
      </c>
      <c r="V994" s="33" t="inlineStr">
        <is>
          <t>NO</t>
        </is>
      </c>
      <c r="W994" s="33" t="inlineStr">
        <is>
          <t>YES</t>
        </is>
      </c>
      <c r="X994" s="33" t="inlineStr">
        <is>
          <t>NO</t>
        </is>
      </c>
      <c r="Y994" s="33" t="n">
        <v>1</v>
      </c>
      <c r="Z994" s="33" t="n">
        <v>8</v>
      </c>
      <c r="AA994" s="33" t="inlineStr">
        <is>
          <t>1</t>
        </is>
      </c>
      <c r="AB994" s="33" t="inlineStr">
        <is>
          <t>https://www.swimcloud.com/results/302425/event/19/?id=124862700#time124862700</t>
        </is>
      </c>
      <c r="AC994" s="33" t="inlineStr">
        <is>
          <t>SwimCloud API v6 2026-10-08</t>
        </is>
      </c>
      <c r="AD994" s="33" t="inlineStr">
        <is>
          <t>Flynn Southam|2024-04-18|LCM|200|Free|106.11|Australian Open Championships|FIN|False</t>
        </is>
      </c>
      <c r="AE994" s="53">
        <f>G994+L994/1000+ROW()/1000000000</f>
        <v/>
      </c>
      <c r="AF994" s="35">
        <f>IF(C994&lt;&gt;"Grayson Coulter","",COUNTIFS($C$5:$C$2991,"Grayson Coulter",$Q$5:$Q$2991,Q994,$AE$5:$AE$2991,"&lt;="&amp;AE994,$R$5:$R$2991,"&lt;"&amp;R994))</f>
        <v/>
      </c>
      <c r="AG994" s="35">
        <f>IF(OR(C994&lt;&gt;"Grayson Coulter",G994&lt;'00_Control'!$B$7),"",--(AF994&lt;5))</f>
        <v/>
      </c>
      <c r="AH994" s="35">
        <f>IF(OR(C994&lt;&gt;"Grayson Coulter",G994&lt;'00_Control'!$B$7),"",--(AF994&lt;10))</f>
        <v/>
      </c>
      <c r="AI994" s="35">
        <f>IF(AND(C994="Grayson Coulter",G994&gt;='00_Control'!$B$7),"YES","NO")</f>
        <v/>
      </c>
      <c r="AJ994" s="33" t="inlineStr">
        <is>
          <t>OK</t>
        </is>
      </c>
    </row>
    <row r="995">
      <c r="A995" s="33" t="inlineStr">
        <is>
          <t>SM000991</t>
        </is>
      </c>
      <c r="B995" s="33" t="inlineStr">
        <is>
          <t>SW012</t>
        </is>
      </c>
      <c r="C995" s="33" t="inlineStr">
        <is>
          <t>Flynn Southam</t>
        </is>
      </c>
      <c r="D995" s="33" t="inlineStr">
        <is>
          <t>SwimCloud</t>
        </is>
      </c>
      <c r="E995" s="33" t="inlineStr">
        <is>
          <t>956278</t>
        </is>
      </c>
      <c r="F995" s="33" t="inlineStr">
        <is>
          <t>124862407</t>
        </is>
      </c>
      <c r="G995" s="51" t="n">
        <v>45402</v>
      </c>
      <c r="H995" s="33" t="inlineStr">
        <is>
          <t>Australian Open Championships</t>
        </is>
      </c>
      <c r="I995" s="33" t="inlineStr">
        <is>
          <t>302425</t>
        </is>
      </c>
      <c r="J995" s="33" t="inlineStr"/>
      <c r="K995" s="33" t="inlineStr">
        <is>
          <t>PRE</t>
        </is>
      </c>
      <c r="L995" s="35">
        <f>IF(K995="FIN",3,IF(OR(K995="SEM",K995="SEMI"),2,IF(OR(K995="PRE",K995="HEAT"),1,IF(V995="YES",4,2))))</f>
        <v/>
      </c>
      <c r="M995" s="33" t="inlineStr">
        <is>
          <t>LCM</t>
        </is>
      </c>
      <c r="N995" s="33" t="n">
        <v>100</v>
      </c>
      <c r="O995" s="33" t="inlineStr">
        <is>
          <t>Free</t>
        </is>
      </c>
      <c r="P995" s="33" t="inlineStr">
        <is>
          <t>100 Free</t>
        </is>
      </c>
      <c r="Q995" s="33" t="inlineStr">
        <is>
          <t>LCM_100_FREE</t>
        </is>
      </c>
      <c r="R995" s="36" t="n">
        <v>49.07</v>
      </c>
      <c r="S995" s="35">
        <f>IF(R995="","",IF(R995&gt;=60,INT(R995/60)&amp;":"&amp;TEXT(MOD(R995,60),"00.00"),TEXT(R995,"0.00")))</f>
        <v/>
      </c>
      <c r="T995" s="52">
        <f>IFERROR((G995-INDEX('01_Swimmers'!$E$5:$E$22,MATCH(B995,'01_Swimmers'!$A$5:$A$22,0)))/'00_Control'!$B$10,"")</f>
        <v/>
      </c>
      <c r="U995" s="35">
        <f>IF(T995="","",INT(T995))</f>
        <v/>
      </c>
      <c r="V995" s="33" t="inlineStr">
        <is>
          <t>NO</t>
        </is>
      </c>
      <c r="W995" s="33" t="inlineStr">
        <is>
          <t>YES</t>
        </is>
      </c>
      <c r="X995" s="33" t="inlineStr">
        <is>
          <t>NO</t>
        </is>
      </c>
      <c r="Y995" s="33" t="n">
        <v>2</v>
      </c>
      <c r="Z995" s="33" t="n">
        <v>4</v>
      </c>
      <c r="AA995" s="33" t="inlineStr">
        <is>
          <t>7</t>
        </is>
      </c>
      <c r="AB995" s="33" t="inlineStr">
        <is>
          <t>https://www.swimcloud.com/results/302425/event/52/?id=124862407#time124862407</t>
        </is>
      </c>
      <c r="AC995" s="33" t="inlineStr">
        <is>
          <t>SwimCloud API v6 2026-10-08</t>
        </is>
      </c>
      <c r="AD995" s="33" t="inlineStr">
        <is>
          <t>Flynn Southam|2024-04-20|LCM|100|Free|49.07|Australian Open Championships|PRE|False</t>
        </is>
      </c>
      <c r="AE995" s="53">
        <f>G995+L995/1000+ROW()/1000000000</f>
        <v/>
      </c>
      <c r="AF995" s="35">
        <f>IF(C995&lt;&gt;"Grayson Coulter","",COUNTIFS($C$5:$C$2991,"Grayson Coulter",$Q$5:$Q$2991,Q995,$AE$5:$AE$2991,"&lt;="&amp;AE995,$R$5:$R$2991,"&lt;"&amp;R995))</f>
        <v/>
      </c>
      <c r="AG995" s="35">
        <f>IF(OR(C995&lt;&gt;"Grayson Coulter",G995&lt;'00_Control'!$B$7),"",--(AF995&lt;5))</f>
        <v/>
      </c>
      <c r="AH995" s="35">
        <f>IF(OR(C995&lt;&gt;"Grayson Coulter",G995&lt;'00_Control'!$B$7),"",--(AF995&lt;10))</f>
        <v/>
      </c>
      <c r="AI995" s="35">
        <f>IF(AND(C995="Grayson Coulter",G995&gt;='00_Control'!$B$7),"YES","NO")</f>
        <v/>
      </c>
      <c r="AJ995" s="33" t="inlineStr">
        <is>
          <t>OK</t>
        </is>
      </c>
    </row>
    <row r="996">
      <c r="A996" s="33" t="inlineStr">
        <is>
          <t>SM000992</t>
        </is>
      </c>
      <c r="B996" s="33" t="inlineStr">
        <is>
          <t>SW012</t>
        </is>
      </c>
      <c r="C996" s="33" t="inlineStr">
        <is>
          <t>Flynn Southam</t>
        </is>
      </c>
      <c r="D996" s="33" t="inlineStr">
        <is>
          <t>SwimCloud</t>
        </is>
      </c>
      <c r="E996" s="33" t="inlineStr">
        <is>
          <t>956278</t>
        </is>
      </c>
      <c r="F996" s="33" t="inlineStr">
        <is>
          <t>124862408</t>
        </is>
      </c>
      <c r="G996" s="51" t="n">
        <v>45402</v>
      </c>
      <c r="H996" s="33" t="inlineStr">
        <is>
          <t>Australian Open Championships</t>
        </is>
      </c>
      <c r="I996" s="33" t="inlineStr">
        <is>
          <t>302425</t>
        </is>
      </c>
      <c r="J996" s="33" t="inlineStr"/>
      <c r="K996" s="33" t="inlineStr">
        <is>
          <t>FIN</t>
        </is>
      </c>
      <c r="L996" s="35">
        <f>IF(K996="FIN",3,IF(OR(K996="SEM",K996="SEMI"),2,IF(OR(K996="PRE",K996="HEAT"),1,IF(V996="YES",4,2))))</f>
        <v/>
      </c>
      <c r="M996" s="33" t="inlineStr">
        <is>
          <t>LCM</t>
        </is>
      </c>
      <c r="N996" s="33" t="n">
        <v>100</v>
      </c>
      <c r="O996" s="33" t="inlineStr">
        <is>
          <t>Free</t>
        </is>
      </c>
      <c r="P996" s="33" t="inlineStr">
        <is>
          <t>100 Free</t>
        </is>
      </c>
      <c r="Q996" s="33" t="inlineStr">
        <is>
          <t>LCM_100_FREE</t>
        </is>
      </c>
      <c r="R996" s="36" t="n">
        <v>48.96</v>
      </c>
      <c r="S996" s="35">
        <f>IF(R996="","",IF(R996&gt;=60,INT(R996/60)&amp;":"&amp;TEXT(MOD(R996,60),"00.00"),TEXT(R996,"0.00")))</f>
        <v/>
      </c>
      <c r="T996" s="52">
        <f>IFERROR((G996-INDEX('01_Swimmers'!$E$5:$E$22,MATCH(B996,'01_Swimmers'!$A$5:$A$22,0)))/'00_Control'!$B$10,"")</f>
        <v/>
      </c>
      <c r="U996" s="35">
        <f>IF(T996="","",INT(T996))</f>
        <v/>
      </c>
      <c r="V996" s="33" t="inlineStr">
        <is>
          <t>NO</t>
        </is>
      </c>
      <c r="W996" s="33" t="inlineStr">
        <is>
          <t>YES</t>
        </is>
      </c>
      <c r="X996" s="33" t="inlineStr">
        <is>
          <t>NO</t>
        </is>
      </c>
      <c r="Y996" s="33" t="n">
        <v>1</v>
      </c>
      <c r="Z996" s="33" t="n">
        <v>1</v>
      </c>
      <c r="AA996" s="33" t="inlineStr">
        <is>
          <t>5</t>
        </is>
      </c>
      <c r="AB996" s="33" t="inlineStr">
        <is>
          <t>https://www.swimcloud.com/results/302425/event/52/?id=124862408#time124862408</t>
        </is>
      </c>
      <c r="AC996" s="33" t="inlineStr">
        <is>
          <t>SwimCloud API v6 2026-10-08</t>
        </is>
      </c>
      <c r="AD996" s="33" t="inlineStr">
        <is>
          <t>Flynn Southam|2024-04-20|LCM|100|Free|48.96|Australian Open Championships|FIN|False</t>
        </is>
      </c>
      <c r="AE996" s="53">
        <f>G996+L996/1000+ROW()/1000000000</f>
        <v/>
      </c>
      <c r="AF996" s="35">
        <f>IF(C996&lt;&gt;"Grayson Coulter","",COUNTIFS($C$5:$C$2991,"Grayson Coulter",$Q$5:$Q$2991,Q996,$AE$5:$AE$2991,"&lt;="&amp;AE996,$R$5:$R$2991,"&lt;"&amp;R996))</f>
        <v/>
      </c>
      <c r="AG996" s="35">
        <f>IF(OR(C996&lt;&gt;"Grayson Coulter",G996&lt;'00_Control'!$B$7),"",--(AF996&lt;5))</f>
        <v/>
      </c>
      <c r="AH996" s="35">
        <f>IF(OR(C996&lt;&gt;"Grayson Coulter",G996&lt;'00_Control'!$B$7),"",--(AF996&lt;10))</f>
        <v/>
      </c>
      <c r="AI996" s="35">
        <f>IF(AND(C996="Grayson Coulter",G996&gt;='00_Control'!$B$7),"YES","NO")</f>
        <v/>
      </c>
      <c r="AJ996" s="33" t="inlineStr">
        <is>
          <t>OK</t>
        </is>
      </c>
    </row>
    <row r="997">
      <c r="A997" s="33" t="inlineStr">
        <is>
          <t>SM000993</t>
        </is>
      </c>
      <c r="B997" s="33" t="inlineStr">
        <is>
          <t>SW012</t>
        </is>
      </c>
      <c r="C997" s="33" t="inlineStr">
        <is>
          <t>Flynn Southam</t>
        </is>
      </c>
      <c r="D997" s="33" t="inlineStr">
        <is>
          <t>SwimCloud</t>
        </is>
      </c>
      <c r="E997" s="33" t="inlineStr">
        <is>
          <t>956278</t>
        </is>
      </c>
      <c r="F997" s="33" t="inlineStr">
        <is>
          <t>127540906</t>
        </is>
      </c>
      <c r="G997" s="51" t="n">
        <v>45454</v>
      </c>
      <c r="H997" s="33" t="inlineStr">
        <is>
          <t>Australian Swimming Trials</t>
        </is>
      </c>
      <c r="I997" s="33" t="inlineStr">
        <is>
          <t>305560</t>
        </is>
      </c>
      <c r="J997" s="33" t="inlineStr"/>
      <c r="K997" s="33" t="inlineStr">
        <is>
          <t>PRE</t>
        </is>
      </c>
      <c r="L997" s="35">
        <f>IF(K997="FIN",3,IF(OR(K997="SEM",K997="SEMI"),2,IF(OR(K997="PRE",K997="HEAT"),1,IF(V997="YES",4,2))))</f>
        <v/>
      </c>
      <c r="M997" s="33" t="inlineStr">
        <is>
          <t>LCM</t>
        </is>
      </c>
      <c r="N997" s="33" t="n">
        <v>200</v>
      </c>
      <c r="O997" s="33" t="inlineStr">
        <is>
          <t>Free</t>
        </is>
      </c>
      <c r="P997" s="33" t="inlineStr">
        <is>
          <t>200 Free</t>
        </is>
      </c>
      <c r="Q997" s="33" t="inlineStr">
        <is>
          <t>LCM_200_FREE</t>
        </is>
      </c>
      <c r="R997" s="36" t="n">
        <v>107.07</v>
      </c>
      <c r="S997" s="35">
        <f>IF(R997="","",IF(R997&gt;=60,INT(R997/60)&amp;":"&amp;TEXT(MOD(R997,60),"00.00"),TEXT(R997,"0.00")))</f>
        <v/>
      </c>
      <c r="T997" s="52">
        <f>IFERROR((G997-INDEX('01_Swimmers'!$E$5:$E$22,MATCH(B997,'01_Swimmers'!$A$5:$A$22,0)))/'00_Control'!$B$10,"")</f>
        <v/>
      </c>
      <c r="U997" s="35">
        <f>IF(T997="","",INT(T997))</f>
        <v/>
      </c>
      <c r="V997" s="33" t="inlineStr">
        <is>
          <t>NO</t>
        </is>
      </c>
      <c r="W997" s="33" t="inlineStr">
        <is>
          <t>YES</t>
        </is>
      </c>
      <c r="X997" s="33" t="inlineStr">
        <is>
          <t>NO</t>
        </is>
      </c>
      <c r="Y997" s="33" t="n">
        <v>3</v>
      </c>
      <c r="Z997" s="33" t="n">
        <v>5</v>
      </c>
      <c r="AA997" s="33" t="inlineStr">
        <is>
          <t>6</t>
        </is>
      </c>
      <c r="AB997" s="33" t="inlineStr">
        <is>
          <t>https://www.swimcloud.com/results/305560/event/9/?id=127540906#time127540906</t>
        </is>
      </c>
      <c r="AC997" s="33" t="inlineStr">
        <is>
          <t>SwimCloud API v6 2026-10-08</t>
        </is>
      </c>
      <c r="AD997" s="33" t="inlineStr">
        <is>
          <t>Flynn Southam|2024-06-11|LCM|200|Free|107.07|Australian Swimming Trials|PRE|False</t>
        </is>
      </c>
      <c r="AE997" s="53">
        <f>G997+L997/1000+ROW()/1000000000</f>
        <v/>
      </c>
      <c r="AF997" s="35">
        <f>IF(C997&lt;&gt;"Grayson Coulter","",COUNTIFS($C$5:$C$2991,"Grayson Coulter",$Q$5:$Q$2991,Q997,$AE$5:$AE$2991,"&lt;="&amp;AE997,$R$5:$R$2991,"&lt;"&amp;R997))</f>
        <v/>
      </c>
      <c r="AG997" s="35">
        <f>IF(OR(C997&lt;&gt;"Grayson Coulter",G997&lt;'00_Control'!$B$7),"",--(AF997&lt;5))</f>
        <v/>
      </c>
      <c r="AH997" s="35">
        <f>IF(OR(C997&lt;&gt;"Grayson Coulter",G997&lt;'00_Control'!$B$7),"",--(AF997&lt;10))</f>
        <v/>
      </c>
      <c r="AI997" s="35">
        <f>IF(AND(C997="Grayson Coulter",G997&gt;='00_Control'!$B$7),"YES","NO")</f>
        <v/>
      </c>
      <c r="AJ997" s="33" t="inlineStr">
        <is>
          <t>OK</t>
        </is>
      </c>
    </row>
    <row r="998">
      <c r="A998" s="33" t="inlineStr">
        <is>
          <t>SM000994</t>
        </is>
      </c>
      <c r="B998" s="33" t="inlineStr">
        <is>
          <t>SW012</t>
        </is>
      </c>
      <c r="C998" s="33" t="inlineStr">
        <is>
          <t>Flynn Southam</t>
        </is>
      </c>
      <c r="D998" s="33" t="inlineStr">
        <is>
          <t>SwimCloud</t>
        </is>
      </c>
      <c r="E998" s="33" t="inlineStr">
        <is>
          <t>956278</t>
        </is>
      </c>
      <c r="F998" s="33" t="inlineStr">
        <is>
          <t>127540907</t>
        </is>
      </c>
      <c r="G998" s="51" t="n">
        <v>45454</v>
      </c>
      <c r="H998" s="33" t="inlineStr">
        <is>
          <t>Australian Swimming Trials</t>
        </is>
      </c>
      <c r="I998" s="33" t="inlineStr">
        <is>
          <t>305560</t>
        </is>
      </c>
      <c r="J998" s="33" t="inlineStr"/>
      <c r="K998" s="33" t="inlineStr">
        <is>
          <t>FIN</t>
        </is>
      </c>
      <c r="L998" s="35">
        <f>IF(K998="FIN",3,IF(OR(K998="SEM",K998="SEMI"),2,IF(OR(K998="PRE",K998="HEAT"),1,IF(V998="YES",4,2))))</f>
        <v/>
      </c>
      <c r="M998" s="33" t="inlineStr">
        <is>
          <t>LCM</t>
        </is>
      </c>
      <c r="N998" s="33" t="n">
        <v>200</v>
      </c>
      <c r="O998" s="33" t="inlineStr">
        <is>
          <t>Free</t>
        </is>
      </c>
      <c r="P998" s="33" t="inlineStr">
        <is>
          <t>200 Free</t>
        </is>
      </c>
      <c r="Q998" s="33" t="inlineStr">
        <is>
          <t>LCM_200_FREE</t>
        </is>
      </c>
      <c r="R998" s="36" t="n">
        <v>107.29</v>
      </c>
      <c r="S998" s="35">
        <f>IF(R998="","",IF(R998&gt;=60,INT(R998/60)&amp;":"&amp;TEXT(MOD(R998,60),"00.00"),TEXT(R998,"0.00")))</f>
        <v/>
      </c>
      <c r="T998" s="52">
        <f>IFERROR((G998-INDEX('01_Swimmers'!$E$5:$E$22,MATCH(B998,'01_Swimmers'!$A$5:$A$22,0)))/'00_Control'!$B$10,"")</f>
        <v/>
      </c>
      <c r="U998" s="35">
        <f>IF(T998="","",INT(T998))</f>
        <v/>
      </c>
      <c r="V998" s="33" t="inlineStr">
        <is>
          <t>NO</t>
        </is>
      </c>
      <c r="W998" s="33" t="inlineStr">
        <is>
          <t>YES</t>
        </is>
      </c>
      <c r="X998" s="33" t="inlineStr">
        <is>
          <t>NO</t>
        </is>
      </c>
      <c r="Y998" s="33" t="n">
        <v>1</v>
      </c>
      <c r="Z998" s="33" t="n">
        <v>7</v>
      </c>
      <c r="AA998" s="33" t="inlineStr">
        <is>
          <t>7</t>
        </is>
      </c>
      <c r="AB998" s="33" t="inlineStr">
        <is>
          <t>https://www.swimcloud.com/results/305560/event/9/?id=127540907#time127540907</t>
        </is>
      </c>
      <c r="AC998" s="33" t="inlineStr">
        <is>
          <t>SwimCloud API v6 2026-10-08</t>
        </is>
      </c>
      <c r="AD998" s="33" t="inlineStr">
        <is>
          <t>Flynn Southam|2024-06-11|LCM|200|Free|107.29|Australian Swimming Trials|FIN|False</t>
        </is>
      </c>
      <c r="AE998" s="53">
        <f>G998+L998/1000+ROW()/1000000000</f>
        <v/>
      </c>
      <c r="AF998" s="35">
        <f>IF(C998&lt;&gt;"Grayson Coulter","",COUNTIFS($C$5:$C$2991,"Grayson Coulter",$Q$5:$Q$2991,Q998,$AE$5:$AE$2991,"&lt;="&amp;AE998,$R$5:$R$2991,"&lt;"&amp;R998))</f>
        <v/>
      </c>
      <c r="AG998" s="35">
        <f>IF(OR(C998&lt;&gt;"Grayson Coulter",G998&lt;'00_Control'!$B$7),"",--(AF998&lt;5))</f>
        <v/>
      </c>
      <c r="AH998" s="35">
        <f>IF(OR(C998&lt;&gt;"Grayson Coulter",G998&lt;'00_Control'!$B$7),"",--(AF998&lt;10))</f>
        <v/>
      </c>
      <c r="AI998" s="35">
        <f>IF(AND(C998="Grayson Coulter",G998&gt;='00_Control'!$B$7),"YES","NO")</f>
        <v/>
      </c>
      <c r="AJ998" s="33" t="inlineStr">
        <is>
          <t>OK</t>
        </is>
      </c>
    </row>
    <row r="999">
      <c r="A999" s="33" t="inlineStr">
        <is>
          <t>SM000995</t>
        </is>
      </c>
      <c r="B999" s="33" t="inlineStr">
        <is>
          <t>SW012</t>
        </is>
      </c>
      <c r="C999" s="33" t="inlineStr">
        <is>
          <t>Flynn Southam</t>
        </is>
      </c>
      <c r="D999" s="33" t="inlineStr">
        <is>
          <t>SwimCloud</t>
        </is>
      </c>
      <c r="E999" s="33" t="inlineStr">
        <is>
          <t>956278</t>
        </is>
      </c>
      <c r="F999" s="33" t="inlineStr">
        <is>
          <t>127539375</t>
        </is>
      </c>
      <c r="G999" s="51" t="n">
        <v>45456</v>
      </c>
      <c r="H999" s="33" t="inlineStr">
        <is>
          <t>Australian Swimming Trials</t>
        </is>
      </c>
      <c r="I999" s="33" t="inlineStr">
        <is>
          <t>305560</t>
        </is>
      </c>
      <c r="J999" s="33" t="inlineStr"/>
      <c r="K999" s="33" t="inlineStr">
        <is>
          <t>PRE</t>
        </is>
      </c>
      <c r="L999" s="35">
        <f>IF(K999="FIN",3,IF(OR(K999="SEM",K999="SEMI"),2,IF(OR(K999="PRE",K999="HEAT"),1,IF(V999="YES",4,2))))</f>
        <v/>
      </c>
      <c r="M999" s="33" t="inlineStr">
        <is>
          <t>LCM</t>
        </is>
      </c>
      <c r="N999" s="33" t="n">
        <v>100</v>
      </c>
      <c r="O999" s="33" t="inlineStr">
        <is>
          <t>Free</t>
        </is>
      </c>
      <c r="P999" s="33" t="inlineStr">
        <is>
          <t>100 Free</t>
        </is>
      </c>
      <c r="Q999" s="33" t="inlineStr">
        <is>
          <t>LCM_100_FREE</t>
        </is>
      </c>
      <c r="R999" s="36" t="n">
        <v>48.64</v>
      </c>
      <c r="S999" s="35">
        <f>IF(R999="","",IF(R999&gt;=60,INT(R999/60)&amp;":"&amp;TEXT(MOD(R999,60),"00.00"),TEXT(R999,"0.00")))</f>
        <v/>
      </c>
      <c r="T999" s="52">
        <f>IFERROR((G999-INDEX('01_Swimmers'!$E$5:$E$22,MATCH(B999,'01_Swimmers'!$A$5:$A$22,0)))/'00_Control'!$B$10,"")</f>
        <v/>
      </c>
      <c r="U999" s="35">
        <f>IF(T999="","",INT(T999))</f>
        <v/>
      </c>
      <c r="V999" s="33" t="inlineStr">
        <is>
          <t>NO</t>
        </is>
      </c>
      <c r="W999" s="33" t="inlineStr">
        <is>
          <t>YES</t>
        </is>
      </c>
      <c r="X999" s="33" t="inlineStr">
        <is>
          <t>NO</t>
        </is>
      </c>
      <c r="Y999" s="33" t="n">
        <v>2</v>
      </c>
      <c r="Z999" s="33" t="n">
        <v>4</v>
      </c>
      <c r="AA999" s="33" t="inlineStr">
        <is>
          <t>3</t>
        </is>
      </c>
      <c r="AB999" s="33" t="inlineStr">
        <is>
          <t>https://www.swimcloud.com/results/305560/event/16/?id=127539375#time127539375</t>
        </is>
      </c>
      <c r="AC999" s="33" t="inlineStr">
        <is>
          <t>SwimCloud API v6 2026-10-08</t>
        </is>
      </c>
      <c r="AD999" s="33" t="inlineStr">
        <is>
          <t>Flynn Southam|2024-06-13|LCM|100|Free|48.64|Australian Swimming Trials|PRE|False</t>
        </is>
      </c>
      <c r="AE999" s="53">
        <f>G999+L999/1000+ROW()/1000000000</f>
        <v/>
      </c>
      <c r="AF999" s="35">
        <f>IF(C999&lt;&gt;"Grayson Coulter","",COUNTIFS($C$5:$C$2991,"Grayson Coulter",$Q$5:$Q$2991,Q999,$AE$5:$AE$2991,"&lt;="&amp;AE999,$R$5:$R$2991,"&lt;"&amp;R999))</f>
        <v/>
      </c>
      <c r="AG999" s="35">
        <f>IF(OR(C999&lt;&gt;"Grayson Coulter",G999&lt;'00_Control'!$B$7),"",--(AF999&lt;5))</f>
        <v/>
      </c>
      <c r="AH999" s="35">
        <f>IF(OR(C999&lt;&gt;"Grayson Coulter",G999&lt;'00_Control'!$B$7),"",--(AF999&lt;10))</f>
        <v/>
      </c>
      <c r="AI999" s="35">
        <f>IF(AND(C999="Grayson Coulter",G999&gt;='00_Control'!$B$7),"YES","NO")</f>
        <v/>
      </c>
      <c r="AJ999" s="33" t="inlineStr">
        <is>
          <t>OK</t>
        </is>
      </c>
    </row>
    <row r="1000">
      <c r="A1000" s="33" t="inlineStr">
        <is>
          <t>SM000996</t>
        </is>
      </c>
      <c r="B1000" s="33" t="inlineStr">
        <is>
          <t>SW012</t>
        </is>
      </c>
      <c r="C1000" s="33" t="inlineStr">
        <is>
          <t>Flynn Southam</t>
        </is>
      </c>
      <c r="D1000" s="33" t="inlineStr">
        <is>
          <t>SwimCloud</t>
        </is>
      </c>
      <c r="E1000" s="33" t="inlineStr">
        <is>
          <t>956278</t>
        </is>
      </c>
      <c r="F1000" s="33" t="inlineStr">
        <is>
          <t>127539376</t>
        </is>
      </c>
      <c r="G1000" s="51" t="n">
        <v>45456</v>
      </c>
      <c r="H1000" s="33" t="inlineStr">
        <is>
          <t>Australian Swimming Trials</t>
        </is>
      </c>
      <c r="I1000" s="33" t="inlineStr">
        <is>
          <t>305560</t>
        </is>
      </c>
      <c r="J1000" s="33" t="inlineStr"/>
      <c r="K1000" s="33" t="inlineStr">
        <is>
          <t>FIN</t>
        </is>
      </c>
      <c r="L1000" s="35">
        <f>IF(K1000="FIN",3,IF(OR(K1000="SEM",K1000="SEMI"),2,IF(OR(K1000="PRE",K1000="HEAT"),1,IF(V1000="YES",4,2))))</f>
        <v/>
      </c>
      <c r="M1000" s="33" t="inlineStr">
        <is>
          <t>LCM</t>
        </is>
      </c>
      <c r="N1000" s="33" t="n">
        <v>100</v>
      </c>
      <c r="O1000" s="33" t="inlineStr">
        <is>
          <t>Free</t>
        </is>
      </c>
      <c r="P1000" s="33" t="inlineStr">
        <is>
          <t>100 Free</t>
        </is>
      </c>
      <c r="Q1000" s="33" t="inlineStr">
        <is>
          <t>LCM_100_FREE</t>
        </is>
      </c>
      <c r="R1000" s="36" t="n">
        <v>48.11</v>
      </c>
      <c r="S1000" s="35">
        <f>IF(R1000="","",IF(R1000&gt;=60,INT(R1000/60)&amp;":"&amp;TEXT(MOD(R1000,60),"00.00"),TEXT(R1000,"0.00")))</f>
        <v/>
      </c>
      <c r="T1000" s="52">
        <f>IFERROR((G1000-INDEX('01_Swimmers'!$E$5:$E$22,MATCH(B1000,'01_Swimmers'!$A$5:$A$22,0)))/'00_Control'!$B$10,"")</f>
        <v/>
      </c>
      <c r="U1000" s="35">
        <f>IF(T1000="","",INT(T1000))</f>
        <v/>
      </c>
      <c r="V1000" s="33" t="inlineStr">
        <is>
          <t>NO</t>
        </is>
      </c>
      <c r="W1000" s="33" t="inlineStr">
        <is>
          <t>YES</t>
        </is>
      </c>
      <c r="X1000" s="33" t="inlineStr">
        <is>
          <t>NO</t>
        </is>
      </c>
      <c r="Y1000" s="33" t="n">
        <v>1</v>
      </c>
      <c r="Z1000" s="33" t="n">
        <v>3</v>
      </c>
      <c r="AA1000" s="33" t="inlineStr">
        <is>
          <t>3</t>
        </is>
      </c>
      <c r="AB1000" s="33" t="inlineStr">
        <is>
          <t>https://www.swimcloud.com/results/305560/event/16/?id=127539376#time127539376</t>
        </is>
      </c>
      <c r="AC1000" s="33" t="inlineStr">
        <is>
          <t>SwimCloud API v6 2026-10-08</t>
        </is>
      </c>
      <c r="AD1000" s="33" t="inlineStr">
        <is>
          <t>Flynn Southam|2024-06-13|LCM|100|Free|48.11|Australian Swimming Trials|FIN|False</t>
        </is>
      </c>
      <c r="AE1000" s="53">
        <f>G1000+L1000/1000+ROW()/1000000000</f>
        <v/>
      </c>
      <c r="AF1000" s="35">
        <f>IF(C1000&lt;&gt;"Grayson Coulter","",COUNTIFS($C$5:$C$2991,"Grayson Coulter",$Q$5:$Q$2991,Q1000,$AE$5:$AE$2991,"&lt;="&amp;AE1000,$R$5:$R$2991,"&lt;"&amp;R1000))</f>
        <v/>
      </c>
      <c r="AG1000" s="35">
        <f>IF(OR(C1000&lt;&gt;"Grayson Coulter",G1000&lt;'00_Control'!$B$7),"",--(AF1000&lt;5))</f>
        <v/>
      </c>
      <c r="AH1000" s="35">
        <f>IF(OR(C1000&lt;&gt;"Grayson Coulter",G1000&lt;'00_Control'!$B$7),"",--(AF1000&lt;10))</f>
        <v/>
      </c>
      <c r="AI1000" s="35">
        <f>IF(AND(C1000="Grayson Coulter",G1000&gt;='00_Control'!$B$7),"YES","NO")</f>
        <v/>
      </c>
      <c r="AJ1000" s="33" t="inlineStr">
        <is>
          <t>OK</t>
        </is>
      </c>
    </row>
    <row r="1001">
      <c r="A1001" s="33" t="inlineStr">
        <is>
          <t>SM000997</t>
        </is>
      </c>
      <c r="B1001" s="33" t="inlineStr">
        <is>
          <t>SW012</t>
        </is>
      </c>
      <c r="C1001" s="33" t="inlineStr">
        <is>
          <t>Flynn Southam</t>
        </is>
      </c>
      <c r="D1001" s="33" t="inlineStr">
        <is>
          <t>SwimCloud</t>
        </is>
      </c>
      <c r="E1001" s="33" t="inlineStr">
        <is>
          <t>956278</t>
        </is>
      </c>
      <c r="F1001" s="33" t="inlineStr">
        <is>
          <t>151434501</t>
        </is>
      </c>
      <c r="G1001" s="51" t="n">
        <v>45768</v>
      </c>
      <c r="H1001" s="33" t="inlineStr">
        <is>
          <t>Australian Open Championships</t>
        </is>
      </c>
      <c r="I1001" s="33" t="inlineStr">
        <is>
          <t>342467</t>
        </is>
      </c>
      <c r="J1001" s="33" t="inlineStr"/>
      <c r="K1001" s="33" t="inlineStr">
        <is>
          <t>PRE</t>
        </is>
      </c>
      <c r="L1001" s="35">
        <f>IF(K1001="FIN",3,IF(OR(K1001="SEM",K1001="SEMI"),2,IF(OR(K1001="PRE",K1001="HEAT"),1,IF(V1001="YES",4,2))))</f>
        <v/>
      </c>
      <c r="M1001" s="33" t="inlineStr">
        <is>
          <t>LCM</t>
        </is>
      </c>
      <c r="N1001" s="33" t="n">
        <v>400</v>
      </c>
      <c r="O1001" s="33" t="inlineStr">
        <is>
          <t>Free</t>
        </is>
      </c>
      <c r="P1001" s="33" t="inlineStr">
        <is>
          <t>400 Free</t>
        </is>
      </c>
      <c r="Q1001" s="33" t="inlineStr">
        <is>
          <t>LCM_400_FREE</t>
        </is>
      </c>
      <c r="R1001" s="36" t="n">
        <v>233.68</v>
      </c>
      <c r="S1001" s="35">
        <f>IF(R1001="","",IF(R1001&gt;=60,INT(R1001/60)&amp;":"&amp;TEXT(MOD(R1001,60),"00.00"),TEXT(R1001,"0.00")))</f>
        <v/>
      </c>
      <c r="T1001" s="52">
        <f>IFERROR((G1001-INDEX('01_Swimmers'!$E$5:$E$22,MATCH(B1001,'01_Swimmers'!$A$5:$A$22,0)))/'00_Control'!$B$10,"")</f>
        <v/>
      </c>
      <c r="U1001" s="35">
        <f>IF(T1001="","",INT(T1001))</f>
        <v/>
      </c>
      <c r="V1001" s="33" t="inlineStr">
        <is>
          <t>NO</t>
        </is>
      </c>
      <c r="W1001" s="33" t="inlineStr">
        <is>
          <t>YES</t>
        </is>
      </c>
      <c r="X1001" s="33" t="inlineStr">
        <is>
          <t>NO</t>
        </is>
      </c>
      <c r="Y1001" s="33" t="n">
        <v>2</v>
      </c>
      <c r="Z1001" s="33" t="n">
        <v>3</v>
      </c>
      <c r="AA1001" s="33" t="inlineStr">
        <is>
          <t>3</t>
        </is>
      </c>
      <c r="AB1001" s="33" t="inlineStr">
        <is>
          <t>https://www.swimcloud.com/results/342467/event/9/?id=151434501#time151434501</t>
        </is>
      </c>
      <c r="AC1001" s="33" t="inlineStr">
        <is>
          <t>SwimCloud API v6 2026-10-08</t>
        </is>
      </c>
      <c r="AD1001" s="33" t="inlineStr">
        <is>
          <t>Flynn Southam|2025-04-21|LCM|400|Free|233.68|Australian Open Championships|PRE|False</t>
        </is>
      </c>
      <c r="AE1001" s="53">
        <f>G1001+L1001/1000+ROW()/1000000000</f>
        <v/>
      </c>
      <c r="AF1001" s="35">
        <f>IF(C1001&lt;&gt;"Grayson Coulter","",COUNTIFS($C$5:$C$2991,"Grayson Coulter",$Q$5:$Q$2991,Q1001,$AE$5:$AE$2991,"&lt;="&amp;AE1001,$R$5:$R$2991,"&lt;"&amp;R1001))</f>
        <v/>
      </c>
      <c r="AG1001" s="35">
        <f>IF(OR(C1001&lt;&gt;"Grayson Coulter",G1001&lt;'00_Control'!$B$7),"",--(AF1001&lt;5))</f>
        <v/>
      </c>
      <c r="AH1001" s="35">
        <f>IF(OR(C1001&lt;&gt;"Grayson Coulter",G1001&lt;'00_Control'!$B$7),"",--(AF1001&lt;10))</f>
        <v/>
      </c>
      <c r="AI1001" s="35">
        <f>IF(AND(C1001="Grayson Coulter",G1001&gt;='00_Control'!$B$7),"YES","NO")</f>
        <v/>
      </c>
      <c r="AJ1001" s="33" t="inlineStr">
        <is>
          <t>OK</t>
        </is>
      </c>
    </row>
    <row r="1002">
      <c r="A1002" s="33" t="inlineStr">
        <is>
          <t>SM000998</t>
        </is>
      </c>
      <c r="B1002" s="33" t="inlineStr">
        <is>
          <t>SW012</t>
        </is>
      </c>
      <c r="C1002" s="33" t="inlineStr">
        <is>
          <t>Flynn Southam</t>
        </is>
      </c>
      <c r="D1002" s="33" t="inlineStr">
        <is>
          <t>SwimCloud</t>
        </is>
      </c>
      <c r="E1002" s="33" t="inlineStr">
        <is>
          <t>956278</t>
        </is>
      </c>
      <c r="F1002" s="33" t="inlineStr">
        <is>
          <t>151434565</t>
        </is>
      </c>
      <c r="G1002" s="51" t="n">
        <v>45769</v>
      </c>
      <c r="H1002" s="33" t="inlineStr">
        <is>
          <t>Australian Open Championships</t>
        </is>
      </c>
      <c r="I1002" s="33" t="inlineStr">
        <is>
          <t>342467</t>
        </is>
      </c>
      <c r="J1002" s="33" t="inlineStr"/>
      <c r="K1002" s="33" t="inlineStr">
        <is>
          <t>PRE</t>
        </is>
      </c>
      <c r="L1002" s="35">
        <f>IF(K1002="FIN",3,IF(OR(K1002="SEM",K1002="SEMI"),2,IF(OR(K1002="PRE",K1002="HEAT"),1,IF(V1002="YES",4,2))))</f>
        <v/>
      </c>
      <c r="M1002" s="33" t="inlineStr">
        <is>
          <t>LCM</t>
        </is>
      </c>
      <c r="N1002" s="33" t="n">
        <v>200</v>
      </c>
      <c r="O1002" s="33" t="inlineStr">
        <is>
          <t>Free</t>
        </is>
      </c>
      <c r="P1002" s="33" t="inlineStr">
        <is>
          <t>200 Free</t>
        </is>
      </c>
      <c r="Q1002" s="33" t="inlineStr">
        <is>
          <t>LCM_200_FREE</t>
        </is>
      </c>
      <c r="R1002" s="36" t="n">
        <v>107.64</v>
      </c>
      <c r="S1002" s="35">
        <f>IF(R1002="","",IF(R1002&gt;=60,INT(R1002/60)&amp;":"&amp;TEXT(MOD(R1002,60),"00.00"),TEXT(R1002,"0.00")))</f>
        <v/>
      </c>
      <c r="T1002" s="52">
        <f>IFERROR((G1002-INDEX('01_Swimmers'!$E$5:$E$22,MATCH(B1002,'01_Swimmers'!$A$5:$A$22,0)))/'00_Control'!$B$10,"")</f>
        <v/>
      </c>
      <c r="U1002" s="35">
        <f>IF(T1002="","",INT(T1002))</f>
        <v/>
      </c>
      <c r="V1002" s="33" t="inlineStr">
        <is>
          <t>NO</t>
        </is>
      </c>
      <c r="W1002" s="33" t="inlineStr">
        <is>
          <t>YES</t>
        </is>
      </c>
      <c r="X1002" s="33" t="inlineStr">
        <is>
          <t>NO</t>
        </is>
      </c>
      <c r="Y1002" s="33" t="n">
        <v>1</v>
      </c>
      <c r="Z1002" s="33" t="n">
        <v>5</v>
      </c>
      <c r="AA1002" s="33" t="inlineStr">
        <is>
          <t>1</t>
        </is>
      </c>
      <c r="AB1002" s="33" t="inlineStr">
        <is>
          <t>https://www.swimcloud.com/results/342467/event/19/?id=151434565#time151434565</t>
        </is>
      </c>
      <c r="AC1002" s="33" t="inlineStr">
        <is>
          <t>SwimCloud API v6 2026-10-08</t>
        </is>
      </c>
      <c r="AD1002" s="33" t="inlineStr">
        <is>
          <t>Flynn Southam|2025-04-22|LCM|200|Free|107.64|Australian Open Championships|PRE|False</t>
        </is>
      </c>
      <c r="AE1002" s="53">
        <f>G1002+L1002/1000+ROW()/1000000000</f>
        <v/>
      </c>
      <c r="AF1002" s="35">
        <f>IF(C1002&lt;&gt;"Grayson Coulter","",COUNTIFS($C$5:$C$2991,"Grayson Coulter",$Q$5:$Q$2991,Q1002,$AE$5:$AE$2991,"&lt;="&amp;AE1002,$R$5:$R$2991,"&lt;"&amp;R1002))</f>
        <v/>
      </c>
      <c r="AG1002" s="35">
        <f>IF(OR(C1002&lt;&gt;"Grayson Coulter",G1002&lt;'00_Control'!$B$7),"",--(AF1002&lt;5))</f>
        <v/>
      </c>
      <c r="AH1002" s="35">
        <f>IF(OR(C1002&lt;&gt;"Grayson Coulter",G1002&lt;'00_Control'!$B$7),"",--(AF1002&lt;10))</f>
        <v/>
      </c>
      <c r="AI1002" s="35">
        <f>IF(AND(C1002="Grayson Coulter",G1002&gt;='00_Control'!$B$7),"YES","NO")</f>
        <v/>
      </c>
      <c r="AJ1002" s="33" t="inlineStr">
        <is>
          <t>OK</t>
        </is>
      </c>
    </row>
    <row r="1003">
      <c r="A1003" s="33" t="inlineStr">
        <is>
          <t>SM000999</t>
        </is>
      </c>
      <c r="B1003" s="33" t="inlineStr">
        <is>
          <t>SW012</t>
        </is>
      </c>
      <c r="C1003" s="33" t="inlineStr">
        <is>
          <t>Flynn Southam</t>
        </is>
      </c>
      <c r="D1003" s="33" t="inlineStr">
        <is>
          <t>SwimCloud</t>
        </is>
      </c>
      <c r="E1003" s="33" t="inlineStr">
        <is>
          <t>956278</t>
        </is>
      </c>
      <c r="F1003" s="33" t="inlineStr">
        <is>
          <t>151434566</t>
        </is>
      </c>
      <c r="G1003" s="51" t="n">
        <v>45769</v>
      </c>
      <c r="H1003" s="33" t="inlineStr">
        <is>
          <t>Australian Open Championships</t>
        </is>
      </c>
      <c r="I1003" s="33" t="inlineStr">
        <is>
          <t>342467</t>
        </is>
      </c>
      <c r="J1003" s="33" t="inlineStr"/>
      <c r="K1003" s="33" t="inlineStr">
        <is>
          <t>FIN</t>
        </is>
      </c>
      <c r="L1003" s="35">
        <f>IF(K1003="FIN",3,IF(OR(K1003="SEM",K1003="SEMI"),2,IF(OR(K1003="PRE",K1003="HEAT"),1,IF(V1003="YES",4,2))))</f>
        <v/>
      </c>
      <c r="M1003" s="33" t="inlineStr">
        <is>
          <t>LCM</t>
        </is>
      </c>
      <c r="N1003" s="33" t="n">
        <v>200</v>
      </c>
      <c r="O1003" s="33" t="inlineStr">
        <is>
          <t>Free</t>
        </is>
      </c>
      <c r="P1003" s="33" t="inlineStr">
        <is>
          <t>200 Free</t>
        </is>
      </c>
      <c r="Q1003" s="33" t="inlineStr">
        <is>
          <t>LCM_200_FREE</t>
        </is>
      </c>
      <c r="R1003" s="36" t="n">
        <v>109.14</v>
      </c>
      <c r="S1003" s="35">
        <f>IF(R1003="","",IF(R1003&gt;=60,INT(R1003/60)&amp;":"&amp;TEXT(MOD(R1003,60),"00.00"),TEXT(R1003,"0.00")))</f>
        <v/>
      </c>
      <c r="T1003" s="52">
        <f>IFERROR((G1003-INDEX('01_Swimmers'!$E$5:$E$22,MATCH(B1003,'01_Swimmers'!$A$5:$A$22,0)))/'00_Control'!$B$10,"")</f>
        <v/>
      </c>
      <c r="U1003" s="35">
        <f>IF(T1003="","",INT(T1003))</f>
        <v/>
      </c>
      <c r="V1003" s="33" t="inlineStr">
        <is>
          <t>NO</t>
        </is>
      </c>
      <c r="W1003" s="33" t="inlineStr">
        <is>
          <t>YES</t>
        </is>
      </c>
      <c r="X1003" s="33" t="inlineStr">
        <is>
          <t>NO</t>
        </is>
      </c>
      <c r="Y1003" s="33" t="n">
        <v>1</v>
      </c>
      <c r="Z1003" s="33" t="n">
        <v>4</v>
      </c>
      <c r="AA1003" s="33" t="inlineStr">
        <is>
          <t>7</t>
        </is>
      </c>
      <c r="AB1003" s="33" t="inlineStr">
        <is>
          <t>https://www.swimcloud.com/results/342467/event/19/?id=151434566#time151434566</t>
        </is>
      </c>
      <c r="AC1003" s="33" t="inlineStr">
        <is>
          <t>SwimCloud API v6 2026-10-08</t>
        </is>
      </c>
      <c r="AD1003" s="33" t="inlineStr">
        <is>
          <t>Flynn Southam|2025-04-22|LCM|200|Free|109.14|Australian Open Championships|FIN|False</t>
        </is>
      </c>
      <c r="AE1003" s="53">
        <f>G1003+L1003/1000+ROW()/1000000000</f>
        <v/>
      </c>
      <c r="AF1003" s="35">
        <f>IF(C1003&lt;&gt;"Grayson Coulter","",COUNTIFS($C$5:$C$2991,"Grayson Coulter",$Q$5:$Q$2991,Q1003,$AE$5:$AE$2991,"&lt;="&amp;AE1003,$R$5:$R$2991,"&lt;"&amp;R1003))</f>
        <v/>
      </c>
      <c r="AG1003" s="35">
        <f>IF(OR(C1003&lt;&gt;"Grayson Coulter",G1003&lt;'00_Control'!$B$7),"",--(AF1003&lt;5))</f>
        <v/>
      </c>
      <c r="AH1003" s="35">
        <f>IF(OR(C1003&lt;&gt;"Grayson Coulter",G1003&lt;'00_Control'!$B$7),"",--(AF1003&lt;10))</f>
        <v/>
      </c>
      <c r="AI1003" s="35">
        <f>IF(AND(C1003="Grayson Coulter",G1003&gt;='00_Control'!$B$7),"YES","NO")</f>
        <v/>
      </c>
      <c r="AJ1003" s="33" t="inlineStr">
        <is>
          <t>OK</t>
        </is>
      </c>
    </row>
    <row r="1004">
      <c r="A1004" s="33" t="inlineStr">
        <is>
          <t>SM001000</t>
        </is>
      </c>
      <c r="B1004" s="33" t="inlineStr">
        <is>
          <t>SW012</t>
        </is>
      </c>
      <c r="C1004" s="33" t="inlineStr">
        <is>
          <t>Flynn Southam</t>
        </is>
      </c>
      <c r="D1004" s="33" t="inlineStr">
        <is>
          <t>SwimCloud</t>
        </is>
      </c>
      <c r="E1004" s="33" t="inlineStr">
        <is>
          <t>956278</t>
        </is>
      </c>
      <c r="F1004" s="33" t="inlineStr">
        <is>
          <t>151432958</t>
        </is>
      </c>
      <c r="G1004" s="51" t="n">
        <v>45771</v>
      </c>
      <c r="H1004" s="33" t="inlineStr">
        <is>
          <t>Australian Open Championships</t>
        </is>
      </c>
      <c r="I1004" s="33" t="inlineStr">
        <is>
          <t>342467</t>
        </is>
      </c>
      <c r="J1004" s="33" t="inlineStr"/>
      <c r="K1004" s="33" t="inlineStr">
        <is>
          <t>PRE</t>
        </is>
      </c>
      <c r="L1004" s="35">
        <f>IF(K1004="FIN",3,IF(OR(K1004="SEM",K1004="SEMI"),2,IF(OR(K1004="PRE",K1004="HEAT"),1,IF(V1004="YES",4,2))))</f>
        <v/>
      </c>
      <c r="M1004" s="33" t="inlineStr">
        <is>
          <t>LCM</t>
        </is>
      </c>
      <c r="N1004" s="33" t="n">
        <v>100</v>
      </c>
      <c r="O1004" s="33" t="inlineStr">
        <is>
          <t>Free</t>
        </is>
      </c>
      <c r="P1004" s="33" t="inlineStr">
        <is>
          <t>100 Free</t>
        </is>
      </c>
      <c r="Q1004" s="33" t="inlineStr">
        <is>
          <t>LCM_100_FREE</t>
        </is>
      </c>
      <c r="R1004" s="36" t="n">
        <v>49.09</v>
      </c>
      <c r="S1004" s="35">
        <f>IF(R1004="","",IF(R1004&gt;=60,INT(R1004/60)&amp;":"&amp;TEXT(MOD(R1004,60),"00.00"),TEXT(R1004,"0.00")))</f>
        <v/>
      </c>
      <c r="T1004" s="52">
        <f>IFERROR((G1004-INDEX('01_Swimmers'!$E$5:$E$22,MATCH(B1004,'01_Swimmers'!$A$5:$A$22,0)))/'00_Control'!$B$10,"")</f>
        <v/>
      </c>
      <c r="U1004" s="35">
        <f>IF(T1004="","",INT(T1004))</f>
        <v/>
      </c>
      <c r="V1004" s="33" t="inlineStr">
        <is>
          <t>NO</t>
        </is>
      </c>
      <c r="W1004" s="33" t="inlineStr">
        <is>
          <t>YES</t>
        </is>
      </c>
      <c r="X1004" s="33" t="inlineStr">
        <is>
          <t>NO</t>
        </is>
      </c>
      <c r="Y1004" s="33" t="n">
        <v>2</v>
      </c>
      <c r="Z1004" s="33" t="n">
        <v>4</v>
      </c>
      <c r="AA1004" s="33" t="inlineStr">
        <is>
          <t>1</t>
        </is>
      </c>
      <c r="AB1004" s="33" t="inlineStr">
        <is>
          <t>https://www.swimcloud.com/results/342467/event/52/?id=151432958#time151432958</t>
        </is>
      </c>
      <c r="AC1004" s="33" t="inlineStr">
        <is>
          <t>SwimCloud API v6 2026-10-08</t>
        </is>
      </c>
      <c r="AD1004" s="33" t="inlineStr">
        <is>
          <t>Flynn Southam|2025-04-24|LCM|100|Free|49.09|Australian Open Championships|PRE|False</t>
        </is>
      </c>
      <c r="AE1004" s="53">
        <f>G1004+L1004/1000+ROW()/1000000000</f>
        <v/>
      </c>
      <c r="AF1004" s="35">
        <f>IF(C1004&lt;&gt;"Grayson Coulter","",COUNTIFS($C$5:$C$2991,"Grayson Coulter",$Q$5:$Q$2991,Q1004,$AE$5:$AE$2991,"&lt;="&amp;AE1004,$R$5:$R$2991,"&lt;"&amp;R1004))</f>
        <v/>
      </c>
      <c r="AG1004" s="35">
        <f>IF(OR(C1004&lt;&gt;"Grayson Coulter",G1004&lt;'00_Control'!$B$7),"",--(AF1004&lt;5))</f>
        <v/>
      </c>
      <c r="AH1004" s="35">
        <f>IF(OR(C1004&lt;&gt;"Grayson Coulter",G1004&lt;'00_Control'!$B$7),"",--(AF1004&lt;10))</f>
        <v/>
      </c>
      <c r="AI1004" s="35">
        <f>IF(AND(C1004="Grayson Coulter",G1004&gt;='00_Control'!$B$7),"YES","NO")</f>
        <v/>
      </c>
      <c r="AJ1004" s="33" t="inlineStr">
        <is>
          <t>OK</t>
        </is>
      </c>
    </row>
    <row r="1005">
      <c r="A1005" s="33" t="inlineStr">
        <is>
          <t>SM001001</t>
        </is>
      </c>
      <c r="B1005" s="33" t="inlineStr">
        <is>
          <t>SW012</t>
        </is>
      </c>
      <c r="C1005" s="33" t="inlineStr">
        <is>
          <t>Flynn Southam</t>
        </is>
      </c>
      <c r="D1005" s="33" t="inlineStr">
        <is>
          <t>SwimCloud</t>
        </is>
      </c>
      <c r="E1005" s="33" t="inlineStr">
        <is>
          <t>956278</t>
        </is>
      </c>
      <c r="F1005" s="33" t="inlineStr">
        <is>
          <t>151432959</t>
        </is>
      </c>
      <c r="G1005" s="51" t="n">
        <v>45771</v>
      </c>
      <c r="H1005" s="33" t="inlineStr">
        <is>
          <t>Australian Open Championships</t>
        </is>
      </c>
      <c r="I1005" s="33" t="inlineStr">
        <is>
          <t>342467</t>
        </is>
      </c>
      <c r="J1005" s="33" t="inlineStr"/>
      <c r="K1005" s="33" t="inlineStr">
        <is>
          <t>FIN</t>
        </is>
      </c>
      <c r="L1005" s="35">
        <f>IF(K1005="FIN",3,IF(OR(K1005="SEM",K1005="SEMI"),2,IF(OR(K1005="PRE",K1005="HEAT"),1,IF(V1005="YES",4,2))))</f>
        <v/>
      </c>
      <c r="M1005" s="33" t="inlineStr">
        <is>
          <t>LCM</t>
        </is>
      </c>
      <c r="N1005" s="33" t="n">
        <v>100</v>
      </c>
      <c r="O1005" s="33" t="inlineStr">
        <is>
          <t>Free</t>
        </is>
      </c>
      <c r="P1005" s="33" t="inlineStr">
        <is>
          <t>100 Free</t>
        </is>
      </c>
      <c r="Q1005" s="33" t="inlineStr">
        <is>
          <t>LCM_100_FREE</t>
        </is>
      </c>
      <c r="R1005" s="36" t="n">
        <v>49.05</v>
      </c>
      <c r="S1005" s="35">
        <f>IF(R1005="","",IF(R1005&gt;=60,INT(R1005/60)&amp;":"&amp;TEXT(MOD(R1005,60),"00.00"),TEXT(R1005,"0.00")))</f>
        <v/>
      </c>
      <c r="T1005" s="52">
        <f>IFERROR((G1005-INDEX('01_Swimmers'!$E$5:$E$22,MATCH(B1005,'01_Swimmers'!$A$5:$A$22,0)))/'00_Control'!$B$10,"")</f>
        <v/>
      </c>
      <c r="U1005" s="35">
        <f>IF(T1005="","",INT(T1005))</f>
        <v/>
      </c>
      <c r="V1005" s="33" t="inlineStr">
        <is>
          <t>NO</t>
        </is>
      </c>
      <c r="W1005" s="33" t="inlineStr">
        <is>
          <t>YES</t>
        </is>
      </c>
      <c r="X1005" s="33" t="inlineStr">
        <is>
          <t>NO</t>
        </is>
      </c>
      <c r="Y1005" s="33" t="n">
        <v>1</v>
      </c>
      <c r="Z1005" s="33" t="n">
        <v>4</v>
      </c>
      <c r="AA1005" s="33" t="inlineStr">
        <is>
          <t>2</t>
        </is>
      </c>
      <c r="AB1005" s="33" t="inlineStr">
        <is>
          <t>https://www.swimcloud.com/results/342467/event/52/?id=151432959#time151432959</t>
        </is>
      </c>
      <c r="AC1005" s="33" t="inlineStr">
        <is>
          <t>SwimCloud API v6 2026-10-08</t>
        </is>
      </c>
      <c r="AD1005" s="33" t="inlineStr">
        <is>
          <t>Flynn Southam|2025-04-24|LCM|100|Free|49.05|Australian Open Championships|FIN|False</t>
        </is>
      </c>
      <c r="AE1005" s="53">
        <f>G1005+L1005/1000+ROW()/1000000000</f>
        <v/>
      </c>
      <c r="AF1005" s="35">
        <f>IF(C1005&lt;&gt;"Grayson Coulter","",COUNTIFS($C$5:$C$2991,"Grayson Coulter",$Q$5:$Q$2991,Q1005,$AE$5:$AE$2991,"&lt;="&amp;AE1005,$R$5:$R$2991,"&lt;"&amp;R1005))</f>
        <v/>
      </c>
      <c r="AG1005" s="35">
        <f>IF(OR(C1005&lt;&gt;"Grayson Coulter",G1005&lt;'00_Control'!$B$7),"",--(AF1005&lt;5))</f>
        <v/>
      </c>
      <c r="AH1005" s="35">
        <f>IF(OR(C1005&lt;&gt;"Grayson Coulter",G1005&lt;'00_Control'!$B$7),"",--(AF1005&lt;10))</f>
        <v/>
      </c>
      <c r="AI1005" s="35">
        <f>IF(AND(C1005="Grayson Coulter",G1005&gt;='00_Control'!$B$7),"YES","NO")</f>
        <v/>
      </c>
      <c r="AJ1005" s="33" t="inlineStr">
        <is>
          <t>OK</t>
        </is>
      </c>
    </row>
    <row r="1006">
      <c r="A1006" s="33" t="inlineStr">
        <is>
          <t>SM001002</t>
        </is>
      </c>
      <c r="B1006" s="33" t="inlineStr">
        <is>
          <t>SW012</t>
        </is>
      </c>
      <c r="C1006" s="33" t="inlineStr">
        <is>
          <t>Flynn Southam</t>
        </is>
      </c>
      <c r="D1006" s="33" t="inlineStr">
        <is>
          <t>SwimCloud</t>
        </is>
      </c>
      <c r="E1006" s="33" t="inlineStr">
        <is>
          <t>956278</t>
        </is>
      </c>
      <c r="F1006" s="33" t="inlineStr">
        <is>
          <t>153446042</t>
        </is>
      </c>
      <c r="G1006" s="51" t="n">
        <v>45818</v>
      </c>
      <c r="H1006" s="33" t="inlineStr">
        <is>
          <t>Australian Swimming Trials</t>
        </is>
      </c>
      <c r="I1006" s="33" t="inlineStr">
        <is>
          <t>345789</t>
        </is>
      </c>
      <c r="J1006" s="33" t="inlineStr"/>
      <c r="K1006" s="33" t="inlineStr">
        <is>
          <t>PRE</t>
        </is>
      </c>
      <c r="L1006" s="35">
        <f>IF(K1006="FIN",3,IF(OR(K1006="SEM",K1006="SEMI"),2,IF(OR(K1006="PRE",K1006="HEAT"),1,IF(V1006="YES",4,2))))</f>
        <v/>
      </c>
      <c r="M1006" s="33" t="inlineStr">
        <is>
          <t>LCM</t>
        </is>
      </c>
      <c r="N1006" s="33" t="n">
        <v>200</v>
      </c>
      <c r="O1006" s="33" t="inlineStr">
        <is>
          <t>Free</t>
        </is>
      </c>
      <c r="P1006" s="33" t="inlineStr">
        <is>
          <t>200 Free</t>
        </is>
      </c>
      <c r="Q1006" s="33" t="inlineStr">
        <is>
          <t>LCM_200_FREE</t>
        </is>
      </c>
      <c r="R1006" s="36" t="n">
        <v>106.82</v>
      </c>
      <c r="S1006" s="35">
        <f>IF(R1006="","",IF(R1006&gt;=60,INT(R1006/60)&amp;":"&amp;TEXT(MOD(R1006,60),"00.00"),TEXT(R1006,"0.00")))</f>
        <v/>
      </c>
      <c r="T1006" s="52">
        <f>IFERROR((G1006-INDEX('01_Swimmers'!$E$5:$E$22,MATCH(B1006,'01_Swimmers'!$A$5:$A$22,0)))/'00_Control'!$B$10,"")</f>
        <v/>
      </c>
      <c r="U1006" s="35">
        <f>IF(T1006="","",INT(T1006))</f>
        <v/>
      </c>
      <c r="V1006" s="33" t="inlineStr">
        <is>
          <t>NO</t>
        </is>
      </c>
      <c r="W1006" s="33" t="inlineStr">
        <is>
          <t>YES</t>
        </is>
      </c>
      <c r="X1006" s="33" t="inlineStr">
        <is>
          <t>NO</t>
        </is>
      </c>
      <c r="Y1006" s="33" t="n">
        <v>1</v>
      </c>
      <c r="Z1006" s="33" t="n">
        <v>5</v>
      </c>
      <c r="AA1006" s="33" t="inlineStr">
        <is>
          <t>5</t>
        </is>
      </c>
      <c r="AB1006" s="33" t="inlineStr">
        <is>
          <t>https://www.swimcloud.com/results/345789/event/19/?id=153446042#time153446042</t>
        </is>
      </c>
      <c r="AC1006" s="33" t="inlineStr">
        <is>
          <t>SwimCloud API v6 2026-10-08</t>
        </is>
      </c>
      <c r="AD1006" s="33" t="inlineStr">
        <is>
          <t>Flynn Southam|2025-06-10|LCM|200|Free|106.82|Australian Swimming Trials|PRE|False</t>
        </is>
      </c>
      <c r="AE1006" s="53">
        <f>G1006+L1006/1000+ROW()/1000000000</f>
        <v/>
      </c>
      <c r="AF1006" s="35">
        <f>IF(C1006&lt;&gt;"Grayson Coulter","",COUNTIFS($C$5:$C$2991,"Grayson Coulter",$Q$5:$Q$2991,Q1006,$AE$5:$AE$2991,"&lt;="&amp;AE1006,$R$5:$R$2991,"&lt;"&amp;R1006))</f>
        <v/>
      </c>
      <c r="AG1006" s="35">
        <f>IF(OR(C1006&lt;&gt;"Grayson Coulter",G1006&lt;'00_Control'!$B$7),"",--(AF1006&lt;5))</f>
        <v/>
      </c>
      <c r="AH1006" s="35">
        <f>IF(OR(C1006&lt;&gt;"Grayson Coulter",G1006&lt;'00_Control'!$B$7),"",--(AF1006&lt;10))</f>
        <v/>
      </c>
      <c r="AI1006" s="35">
        <f>IF(AND(C1006="Grayson Coulter",G1006&gt;='00_Control'!$B$7),"YES","NO")</f>
        <v/>
      </c>
      <c r="AJ1006" s="33" t="inlineStr">
        <is>
          <t>OK</t>
        </is>
      </c>
    </row>
    <row r="1007">
      <c r="A1007" s="33" t="inlineStr">
        <is>
          <t>SM001003</t>
        </is>
      </c>
      <c r="B1007" s="33" t="inlineStr">
        <is>
          <t>SW012</t>
        </is>
      </c>
      <c r="C1007" s="33" t="inlineStr">
        <is>
          <t>Flynn Southam</t>
        </is>
      </c>
      <c r="D1007" s="33" t="inlineStr">
        <is>
          <t>SwimCloud</t>
        </is>
      </c>
      <c r="E1007" s="33" t="inlineStr">
        <is>
          <t>956278</t>
        </is>
      </c>
      <c r="F1007" s="33" t="inlineStr">
        <is>
          <t>153446043</t>
        </is>
      </c>
      <c r="G1007" s="51" t="n">
        <v>45818</v>
      </c>
      <c r="H1007" s="33" t="inlineStr">
        <is>
          <t>Australian Swimming Trials</t>
        </is>
      </c>
      <c r="I1007" s="33" t="inlineStr">
        <is>
          <t>345789</t>
        </is>
      </c>
      <c r="J1007" s="33" t="inlineStr"/>
      <c r="K1007" s="33" t="inlineStr">
        <is>
          <t>FIN</t>
        </is>
      </c>
      <c r="L1007" s="35">
        <f>IF(K1007="FIN",3,IF(OR(K1007="SEM",K1007="SEMI"),2,IF(OR(K1007="PRE",K1007="HEAT"),1,IF(V1007="YES",4,2))))</f>
        <v/>
      </c>
      <c r="M1007" s="33" t="inlineStr">
        <is>
          <t>LCM</t>
        </is>
      </c>
      <c r="N1007" s="33" t="n">
        <v>200</v>
      </c>
      <c r="O1007" s="33" t="inlineStr">
        <is>
          <t>Free</t>
        </is>
      </c>
      <c r="P1007" s="33" t="inlineStr">
        <is>
          <t>200 Free</t>
        </is>
      </c>
      <c r="Q1007" s="33" t="inlineStr">
        <is>
          <t>LCM_200_FREE</t>
        </is>
      </c>
      <c r="R1007" s="36" t="n">
        <v>105.85</v>
      </c>
      <c r="S1007" s="35">
        <f>IF(R1007="","",IF(R1007&gt;=60,INT(R1007/60)&amp;":"&amp;TEXT(MOD(R1007,60),"00.00"),TEXT(R1007,"0.00")))</f>
        <v/>
      </c>
      <c r="T1007" s="52">
        <f>IFERROR((G1007-INDEX('01_Swimmers'!$E$5:$E$22,MATCH(B1007,'01_Swimmers'!$A$5:$A$22,0)))/'00_Control'!$B$10,"")</f>
        <v/>
      </c>
      <c r="U1007" s="35">
        <f>IF(T1007="","",INT(T1007))</f>
        <v/>
      </c>
      <c r="V1007" s="33" t="inlineStr">
        <is>
          <t>NO</t>
        </is>
      </c>
      <c r="W1007" s="33" t="inlineStr">
        <is>
          <t>YES</t>
        </is>
      </c>
      <c r="X1007" s="33" t="inlineStr">
        <is>
          <t>NO</t>
        </is>
      </c>
      <c r="Y1007" s="33" t="n">
        <v>1</v>
      </c>
      <c r="Z1007" s="33" t="n">
        <v>6</v>
      </c>
      <c r="AA1007" s="33" t="inlineStr">
        <is>
          <t>3</t>
        </is>
      </c>
      <c r="AB1007" s="33" t="inlineStr">
        <is>
          <t>https://www.swimcloud.com/results/345789/event/19/?id=153446043#time153446043</t>
        </is>
      </c>
      <c r="AC1007" s="33" t="inlineStr">
        <is>
          <t>SwimCloud API v6 2026-10-08</t>
        </is>
      </c>
      <c r="AD1007" s="33" t="inlineStr">
        <is>
          <t>Flynn Southam|2025-06-10|LCM|200|Free|105.85|Australian Swimming Trials|FIN|False</t>
        </is>
      </c>
      <c r="AE1007" s="53">
        <f>G1007+L1007/1000+ROW()/1000000000</f>
        <v/>
      </c>
      <c r="AF1007" s="35">
        <f>IF(C1007&lt;&gt;"Grayson Coulter","",COUNTIFS($C$5:$C$2991,"Grayson Coulter",$Q$5:$Q$2991,Q1007,$AE$5:$AE$2991,"&lt;="&amp;AE1007,$R$5:$R$2991,"&lt;"&amp;R1007))</f>
        <v/>
      </c>
      <c r="AG1007" s="35">
        <f>IF(OR(C1007&lt;&gt;"Grayson Coulter",G1007&lt;'00_Control'!$B$7),"",--(AF1007&lt;5))</f>
        <v/>
      </c>
      <c r="AH1007" s="35">
        <f>IF(OR(C1007&lt;&gt;"Grayson Coulter",G1007&lt;'00_Control'!$B$7),"",--(AF1007&lt;10))</f>
        <v/>
      </c>
      <c r="AI1007" s="35">
        <f>IF(AND(C1007="Grayson Coulter",G1007&gt;='00_Control'!$B$7),"YES","NO")</f>
        <v/>
      </c>
      <c r="AJ1007" s="33" t="inlineStr">
        <is>
          <t>OK</t>
        </is>
      </c>
    </row>
    <row r="1008">
      <c r="A1008" s="33" t="inlineStr">
        <is>
          <t>SM001004</t>
        </is>
      </c>
      <c r="B1008" s="33" t="inlineStr">
        <is>
          <t>SW012</t>
        </is>
      </c>
      <c r="C1008" s="33" t="inlineStr">
        <is>
          <t>Flynn Southam</t>
        </is>
      </c>
      <c r="D1008" s="33" t="inlineStr">
        <is>
          <t>SwimCloud</t>
        </is>
      </c>
      <c r="E1008" s="33" t="inlineStr">
        <is>
          <t>956278</t>
        </is>
      </c>
      <c r="F1008" s="33" t="inlineStr">
        <is>
          <t>153447227</t>
        </is>
      </c>
      <c r="G1008" s="51" t="n">
        <v>45820</v>
      </c>
      <c r="H1008" s="33" t="inlineStr">
        <is>
          <t>Australian Swimming Trials</t>
        </is>
      </c>
      <c r="I1008" s="33" t="inlineStr">
        <is>
          <t>345789</t>
        </is>
      </c>
      <c r="J1008" s="33" t="inlineStr"/>
      <c r="K1008" s="33" t="inlineStr">
        <is>
          <t>PRE</t>
        </is>
      </c>
      <c r="L1008" s="35">
        <f>IF(K1008="FIN",3,IF(OR(K1008="SEM",K1008="SEMI"),2,IF(OR(K1008="PRE",K1008="HEAT"),1,IF(V1008="YES",4,2))))</f>
        <v/>
      </c>
      <c r="M1008" s="33" t="inlineStr">
        <is>
          <t>LCM</t>
        </is>
      </c>
      <c r="N1008" s="33" t="n">
        <v>100</v>
      </c>
      <c r="O1008" s="33" t="inlineStr">
        <is>
          <t>Free</t>
        </is>
      </c>
      <c r="P1008" s="33" t="inlineStr">
        <is>
          <t>100 Free</t>
        </is>
      </c>
      <c r="Q1008" s="33" t="inlineStr">
        <is>
          <t>LCM_100_FREE</t>
        </is>
      </c>
      <c r="R1008" s="36" t="n">
        <v>48.55</v>
      </c>
      <c r="S1008" s="35">
        <f>IF(R1008="","",IF(R1008&gt;=60,INT(R1008/60)&amp;":"&amp;TEXT(MOD(R1008,60),"00.00"),TEXT(R1008,"0.00")))</f>
        <v/>
      </c>
      <c r="T1008" s="52">
        <f>IFERROR((G1008-INDEX('01_Swimmers'!$E$5:$E$22,MATCH(B1008,'01_Swimmers'!$A$5:$A$22,0)))/'00_Control'!$B$10,"")</f>
        <v/>
      </c>
      <c r="U1008" s="35">
        <f>IF(T1008="","",INT(T1008))</f>
        <v/>
      </c>
      <c r="V1008" s="33" t="inlineStr">
        <is>
          <t>NO</t>
        </is>
      </c>
      <c r="W1008" s="33" t="inlineStr">
        <is>
          <t>YES</t>
        </is>
      </c>
      <c r="X1008" s="33" t="inlineStr">
        <is>
          <t>NO</t>
        </is>
      </c>
      <c r="Y1008" s="33" t="n">
        <v>3</v>
      </c>
      <c r="Z1008" s="33" t="n">
        <v>4</v>
      </c>
      <c r="AA1008" s="33" t="inlineStr">
        <is>
          <t>3</t>
        </is>
      </c>
      <c r="AB1008" s="33" t="inlineStr">
        <is>
          <t>https://www.swimcloud.com/results/345789/event/43/?id=153447227#time153447227</t>
        </is>
      </c>
      <c r="AC1008" s="33" t="inlineStr">
        <is>
          <t>SwimCloud API v6 2026-10-08</t>
        </is>
      </c>
      <c r="AD1008" s="33" t="inlineStr">
        <is>
          <t>Flynn Southam|2025-06-12|LCM|100|Free|48.55|Australian Swimming Trials|PRE|False</t>
        </is>
      </c>
      <c r="AE1008" s="53">
        <f>G1008+L1008/1000+ROW()/1000000000</f>
        <v/>
      </c>
      <c r="AF1008" s="35">
        <f>IF(C1008&lt;&gt;"Grayson Coulter","",COUNTIFS($C$5:$C$2991,"Grayson Coulter",$Q$5:$Q$2991,Q1008,$AE$5:$AE$2991,"&lt;="&amp;AE1008,$R$5:$R$2991,"&lt;"&amp;R1008))</f>
        <v/>
      </c>
      <c r="AG1008" s="35">
        <f>IF(OR(C1008&lt;&gt;"Grayson Coulter",G1008&lt;'00_Control'!$B$7),"",--(AF1008&lt;5))</f>
        <v/>
      </c>
      <c r="AH1008" s="35">
        <f>IF(OR(C1008&lt;&gt;"Grayson Coulter",G1008&lt;'00_Control'!$B$7),"",--(AF1008&lt;10))</f>
        <v/>
      </c>
      <c r="AI1008" s="35">
        <f>IF(AND(C1008="Grayson Coulter",G1008&gt;='00_Control'!$B$7),"YES","NO")</f>
        <v/>
      </c>
      <c r="AJ1008" s="33" t="inlineStr">
        <is>
          <t>OK</t>
        </is>
      </c>
    </row>
    <row r="1009">
      <c r="A1009" s="33" t="inlineStr">
        <is>
          <t>SM001005</t>
        </is>
      </c>
      <c r="B1009" s="33" t="inlineStr">
        <is>
          <t>SW012</t>
        </is>
      </c>
      <c r="C1009" s="33" t="inlineStr">
        <is>
          <t>Flynn Southam</t>
        </is>
      </c>
      <c r="D1009" s="33" t="inlineStr">
        <is>
          <t>SwimCloud</t>
        </is>
      </c>
      <c r="E1009" s="33" t="inlineStr">
        <is>
          <t>956278</t>
        </is>
      </c>
      <c r="F1009" s="33" t="inlineStr">
        <is>
          <t>153447228</t>
        </is>
      </c>
      <c r="G1009" s="51" t="n">
        <v>45820</v>
      </c>
      <c r="H1009" s="33" t="inlineStr">
        <is>
          <t>Australian Swimming Trials</t>
        </is>
      </c>
      <c r="I1009" s="33" t="inlineStr">
        <is>
          <t>345789</t>
        </is>
      </c>
      <c r="J1009" s="33" t="inlineStr"/>
      <c r="K1009" s="33" t="inlineStr">
        <is>
          <t>FIN</t>
        </is>
      </c>
      <c r="L1009" s="35">
        <f>IF(K1009="FIN",3,IF(OR(K1009="SEM",K1009="SEMI"),2,IF(OR(K1009="PRE",K1009="HEAT"),1,IF(V1009="YES",4,2))))</f>
        <v/>
      </c>
      <c r="M1009" s="33" t="inlineStr">
        <is>
          <t>LCM</t>
        </is>
      </c>
      <c r="N1009" s="33" t="n">
        <v>100</v>
      </c>
      <c r="O1009" s="33" t="inlineStr">
        <is>
          <t>Free</t>
        </is>
      </c>
      <c r="P1009" s="33" t="inlineStr">
        <is>
          <t>100 Free</t>
        </is>
      </c>
      <c r="Q1009" s="33" t="inlineStr">
        <is>
          <t>LCM_100_FREE</t>
        </is>
      </c>
      <c r="R1009" s="36" t="n">
        <v>47.69</v>
      </c>
      <c r="S1009" s="35">
        <f>IF(R1009="","",IF(R1009&gt;=60,INT(R1009/60)&amp;":"&amp;TEXT(MOD(R1009,60),"00.00"),TEXT(R1009,"0.00")))</f>
        <v/>
      </c>
      <c r="T1009" s="52">
        <f>IFERROR((G1009-INDEX('01_Swimmers'!$E$5:$E$22,MATCH(B1009,'01_Swimmers'!$A$5:$A$22,0)))/'00_Control'!$B$10,"")</f>
        <v/>
      </c>
      <c r="U1009" s="35">
        <f>IF(T1009="","",INT(T1009))</f>
        <v/>
      </c>
      <c r="V1009" s="33" t="inlineStr">
        <is>
          <t>NO</t>
        </is>
      </c>
      <c r="W1009" s="33" t="inlineStr">
        <is>
          <t>YES</t>
        </is>
      </c>
      <c r="X1009" s="33" t="inlineStr">
        <is>
          <t>NO</t>
        </is>
      </c>
      <c r="Y1009" s="33" t="n">
        <v>1</v>
      </c>
      <c r="Z1009" s="33" t="n">
        <v>3</v>
      </c>
      <c r="AA1009" s="33" t="inlineStr">
        <is>
          <t>2</t>
        </is>
      </c>
      <c r="AB1009" s="33" t="inlineStr">
        <is>
          <t>https://www.swimcloud.com/results/345789/event/43/?id=153447228#time153447228</t>
        </is>
      </c>
      <c r="AC1009" s="33" t="inlineStr">
        <is>
          <t>SwimCloud API v6 2026-10-08</t>
        </is>
      </c>
      <c r="AD1009" s="33" t="inlineStr">
        <is>
          <t>Flynn Southam|2025-06-12|LCM|100|Free|47.69|Australian Swimming Trials|FIN|False</t>
        </is>
      </c>
      <c r="AE1009" s="53">
        <f>G1009+L1009/1000+ROW()/1000000000</f>
        <v/>
      </c>
      <c r="AF1009" s="35">
        <f>IF(C1009&lt;&gt;"Grayson Coulter","",COUNTIFS($C$5:$C$2991,"Grayson Coulter",$Q$5:$Q$2991,Q1009,$AE$5:$AE$2991,"&lt;="&amp;AE1009,$R$5:$R$2991,"&lt;"&amp;R1009))</f>
        <v/>
      </c>
      <c r="AG1009" s="35">
        <f>IF(OR(C1009&lt;&gt;"Grayson Coulter",G1009&lt;'00_Control'!$B$7),"",--(AF1009&lt;5))</f>
        <v/>
      </c>
      <c r="AH1009" s="35">
        <f>IF(OR(C1009&lt;&gt;"Grayson Coulter",G1009&lt;'00_Control'!$B$7),"",--(AF1009&lt;10))</f>
        <v/>
      </c>
      <c r="AI1009" s="35">
        <f>IF(AND(C1009="Grayson Coulter",G1009&gt;='00_Control'!$B$7),"YES","NO")</f>
        <v/>
      </c>
      <c r="AJ1009" s="33" t="inlineStr">
        <is>
          <t>OK</t>
        </is>
      </c>
    </row>
    <row r="1010">
      <c r="A1010" s="33" t="inlineStr">
        <is>
          <t>SM001006</t>
        </is>
      </c>
      <c r="B1010" s="33" t="inlineStr">
        <is>
          <t>SW012</t>
        </is>
      </c>
      <c r="C1010" s="33" t="inlineStr">
        <is>
          <t>Flynn Southam</t>
        </is>
      </c>
      <c r="D1010" s="33" t="inlineStr">
        <is>
          <t>SwimCloud</t>
        </is>
      </c>
      <c r="E1010" s="33" t="inlineStr">
        <is>
          <t>956278</t>
        </is>
      </c>
      <c r="F1010" s="33" t="inlineStr">
        <is>
          <t>156829063</t>
        </is>
      </c>
      <c r="G1010" s="51" t="n">
        <v>45865</v>
      </c>
      <c r="H1010" s="33" t="inlineStr">
        <is>
          <t>22nd World Aquatics Championships</t>
        </is>
      </c>
      <c r="I1010" s="33" t="inlineStr">
        <is>
          <t>348385</t>
        </is>
      </c>
      <c r="J1010" s="33" t="inlineStr"/>
      <c r="K1010" s="33" t="inlineStr">
        <is>
          <t>PRE</t>
        </is>
      </c>
      <c r="L1010" s="35">
        <f>IF(K1010="FIN",3,IF(OR(K1010="SEM",K1010="SEMI"),2,IF(OR(K1010="PRE",K1010="HEAT"),1,IF(V1010="YES",4,2))))</f>
        <v/>
      </c>
      <c r="M1010" s="33" t="inlineStr">
        <is>
          <t>LCM</t>
        </is>
      </c>
      <c r="N1010" s="33" t="n">
        <v>100</v>
      </c>
      <c r="O1010" s="33" t="inlineStr">
        <is>
          <t>Free</t>
        </is>
      </c>
      <c r="P1010" s="33" t="inlineStr">
        <is>
          <t>100 Free</t>
        </is>
      </c>
      <c r="Q1010" s="33" t="inlineStr">
        <is>
          <t>LCM_100_FREE</t>
        </is>
      </c>
      <c r="R1010" s="36" t="n">
        <v>48.12</v>
      </c>
      <c r="S1010" s="35">
        <f>IF(R1010="","",IF(R1010&gt;=60,INT(R1010/60)&amp;":"&amp;TEXT(MOD(R1010,60),"00.00"),TEXT(R1010,"0.00")))</f>
        <v/>
      </c>
      <c r="T1010" s="52">
        <f>IFERROR((G1010-INDEX('01_Swimmers'!$E$5:$E$22,MATCH(B1010,'01_Swimmers'!$A$5:$A$22,0)))/'00_Control'!$B$10,"")</f>
        <v/>
      </c>
      <c r="U1010" s="35">
        <f>IF(T1010="","",INT(T1010))</f>
        <v/>
      </c>
      <c r="V1010" s="33" t="inlineStr">
        <is>
          <t>YES</t>
        </is>
      </c>
      <c r="W1010" s="33" t="inlineStr">
        <is>
          <t>YES</t>
        </is>
      </c>
      <c r="X1010" s="33" t="inlineStr">
        <is>
          <t>NO</t>
        </is>
      </c>
      <c r="Y1010" s="33" t="n">
        <v>2</v>
      </c>
      <c r="Z1010" s="33" t="n">
        <v>4</v>
      </c>
      <c r="AA1010" s="33" t="inlineStr"/>
      <c r="AB1010" s="33" t="inlineStr">
        <is>
          <t>https://www.swimcloud.com/results/348385/event/8/?id=156825712#time156825712</t>
        </is>
      </c>
      <c r="AC1010" s="33" t="inlineStr">
        <is>
          <t>SwimCloud API v6 2026-10-08</t>
        </is>
      </c>
      <c r="AD1010" s="33" t="inlineStr">
        <is>
          <t>Flynn Southam|2025-07-27|LCM|100|Free|48.12|22nd World Aquatics Championships|PRE|True</t>
        </is>
      </c>
      <c r="AE1010" s="53">
        <f>G1010+L1010/1000+ROW()/1000000000</f>
        <v/>
      </c>
      <c r="AF1010" s="35">
        <f>IF(C1010&lt;&gt;"Grayson Coulter","",COUNTIFS($C$5:$C$2991,"Grayson Coulter",$Q$5:$Q$2991,Q1010,$AE$5:$AE$2991,"&lt;="&amp;AE1010,$R$5:$R$2991,"&lt;"&amp;R1010))</f>
        <v/>
      </c>
      <c r="AG1010" s="35">
        <f>IF(OR(C1010&lt;&gt;"Grayson Coulter",G1010&lt;'00_Control'!$B$7),"",--(AF1010&lt;5))</f>
        <v/>
      </c>
      <c r="AH1010" s="35">
        <f>IF(OR(C1010&lt;&gt;"Grayson Coulter",G1010&lt;'00_Control'!$B$7),"",--(AF1010&lt;10))</f>
        <v/>
      </c>
      <c r="AI1010" s="35">
        <f>IF(AND(C1010="Grayson Coulter",G1010&gt;='00_Control'!$B$7),"YES","NO")</f>
        <v/>
      </c>
      <c r="AJ1010" s="33" t="inlineStr">
        <is>
          <t>OK</t>
        </is>
      </c>
    </row>
    <row r="1011">
      <c r="A1011" s="33" t="inlineStr">
        <is>
          <t>SM001007</t>
        </is>
      </c>
      <c r="B1011" s="33" t="inlineStr">
        <is>
          <t>SW012</t>
        </is>
      </c>
      <c r="C1011" s="33" t="inlineStr">
        <is>
          <t>Flynn Southam</t>
        </is>
      </c>
      <c r="D1011" s="33" t="inlineStr">
        <is>
          <t>SwimCloud</t>
        </is>
      </c>
      <c r="E1011" s="33" t="inlineStr">
        <is>
          <t>956278</t>
        </is>
      </c>
      <c r="F1011" s="33" t="inlineStr">
        <is>
          <t>156829059</t>
        </is>
      </c>
      <c r="G1011" s="51" t="n">
        <v>45865</v>
      </c>
      <c r="H1011" s="33" t="inlineStr">
        <is>
          <t>22nd World Aquatics Championships</t>
        </is>
      </c>
      <c r="I1011" s="33" t="inlineStr">
        <is>
          <t>348385</t>
        </is>
      </c>
      <c r="J1011" s="33" t="inlineStr"/>
      <c r="K1011" s="33" t="inlineStr">
        <is>
          <t>FIN</t>
        </is>
      </c>
      <c r="L1011" s="35">
        <f>IF(K1011="FIN",3,IF(OR(K1011="SEM",K1011="SEMI"),2,IF(OR(K1011="PRE",K1011="HEAT"),1,IF(V1011="YES",4,2))))</f>
        <v/>
      </c>
      <c r="M1011" s="33" t="inlineStr">
        <is>
          <t>LCM</t>
        </is>
      </c>
      <c r="N1011" s="33" t="n">
        <v>100</v>
      </c>
      <c r="O1011" s="33" t="inlineStr">
        <is>
          <t>Free</t>
        </is>
      </c>
      <c r="P1011" s="33" t="inlineStr">
        <is>
          <t>100 Free</t>
        </is>
      </c>
      <c r="Q1011" s="33" t="inlineStr">
        <is>
          <t>LCM_100_FREE</t>
        </is>
      </c>
      <c r="R1011" s="36" t="n">
        <v>47.77</v>
      </c>
      <c r="S1011" s="35">
        <f>IF(R1011="","",IF(R1011&gt;=60,INT(R1011/60)&amp;":"&amp;TEXT(MOD(R1011,60),"00.00"),TEXT(R1011,"0.00")))</f>
        <v/>
      </c>
      <c r="T1011" s="52">
        <f>IFERROR((G1011-INDEX('01_Swimmers'!$E$5:$E$22,MATCH(B1011,'01_Swimmers'!$A$5:$A$22,0)))/'00_Control'!$B$10,"")</f>
        <v/>
      </c>
      <c r="U1011" s="35">
        <f>IF(T1011="","",INT(T1011))</f>
        <v/>
      </c>
      <c r="V1011" s="33" t="inlineStr">
        <is>
          <t>YES</t>
        </is>
      </c>
      <c r="W1011" s="33" t="inlineStr">
        <is>
          <t>YES</t>
        </is>
      </c>
      <c r="X1011" s="33" t="inlineStr">
        <is>
          <t>NO</t>
        </is>
      </c>
      <c r="Y1011" s="33" t="n">
        <v>1</v>
      </c>
      <c r="Z1011" s="33" t="n">
        <v>5</v>
      </c>
      <c r="AA1011" s="33" t="inlineStr"/>
      <c r="AB1011" s="33" t="inlineStr">
        <is>
          <t>https://www.swimcloud.com/results/348385/event/8/?id=156825711#time156825711</t>
        </is>
      </c>
      <c r="AC1011" s="33" t="inlineStr">
        <is>
          <t>SwimCloud API v6 2026-10-08</t>
        </is>
      </c>
      <c r="AD1011" s="33" t="inlineStr">
        <is>
          <t>Flynn Southam|2025-07-27|LCM|100|Free|47.77|22nd World Aquatics Championships|FIN|True</t>
        </is>
      </c>
      <c r="AE1011" s="53">
        <f>G1011+L1011/1000+ROW()/1000000000</f>
        <v/>
      </c>
      <c r="AF1011" s="35">
        <f>IF(C1011&lt;&gt;"Grayson Coulter","",COUNTIFS($C$5:$C$2991,"Grayson Coulter",$Q$5:$Q$2991,Q1011,$AE$5:$AE$2991,"&lt;="&amp;AE1011,$R$5:$R$2991,"&lt;"&amp;R1011))</f>
        <v/>
      </c>
      <c r="AG1011" s="35">
        <f>IF(OR(C1011&lt;&gt;"Grayson Coulter",G1011&lt;'00_Control'!$B$7),"",--(AF1011&lt;5))</f>
        <v/>
      </c>
      <c r="AH1011" s="35">
        <f>IF(OR(C1011&lt;&gt;"Grayson Coulter",G1011&lt;'00_Control'!$B$7),"",--(AF1011&lt;10))</f>
        <v/>
      </c>
      <c r="AI1011" s="35">
        <f>IF(AND(C1011="Grayson Coulter",G1011&gt;='00_Control'!$B$7),"YES","NO")</f>
        <v/>
      </c>
      <c r="AJ1011" s="33" t="inlineStr">
        <is>
          <t>OK</t>
        </is>
      </c>
    </row>
    <row r="1012">
      <c r="A1012" s="33" t="inlineStr">
        <is>
          <t>SM001008</t>
        </is>
      </c>
      <c r="B1012" s="33" t="inlineStr">
        <is>
          <t>SW012</t>
        </is>
      </c>
      <c r="C1012" s="33" t="inlineStr">
        <is>
          <t>Flynn Southam</t>
        </is>
      </c>
      <c r="D1012" s="33" t="inlineStr">
        <is>
          <t>SwimCloud</t>
        </is>
      </c>
      <c r="E1012" s="33" t="inlineStr">
        <is>
          <t>956278</t>
        </is>
      </c>
      <c r="F1012" s="33" t="inlineStr">
        <is>
          <t>156825594</t>
        </is>
      </c>
      <c r="G1012" s="51" t="n">
        <v>45866</v>
      </c>
      <c r="H1012" s="33" t="inlineStr">
        <is>
          <t>22nd World Aquatics Championships</t>
        </is>
      </c>
      <c r="I1012" s="33" t="inlineStr">
        <is>
          <t>348385</t>
        </is>
      </c>
      <c r="J1012" s="33" t="inlineStr"/>
      <c r="K1012" s="33" t="inlineStr">
        <is>
          <t>PRE</t>
        </is>
      </c>
      <c r="L1012" s="35">
        <f>IF(K1012="FIN",3,IF(OR(K1012="SEM",K1012="SEMI"),2,IF(OR(K1012="PRE",K1012="HEAT"),1,IF(V1012="YES",4,2))))</f>
        <v/>
      </c>
      <c r="M1012" s="33" t="inlineStr">
        <is>
          <t>LCM</t>
        </is>
      </c>
      <c r="N1012" s="33" t="n">
        <v>200</v>
      </c>
      <c r="O1012" s="33" t="inlineStr">
        <is>
          <t>Free</t>
        </is>
      </c>
      <c r="P1012" s="33" t="inlineStr">
        <is>
          <t>200 Free</t>
        </is>
      </c>
      <c r="Q1012" s="33" t="inlineStr">
        <is>
          <t>LCM_200_FREE</t>
        </is>
      </c>
      <c r="R1012" s="36" t="n">
        <v>106</v>
      </c>
      <c r="S1012" s="35">
        <f>IF(R1012="","",IF(R1012&gt;=60,INT(R1012/60)&amp;":"&amp;TEXT(MOD(R1012,60),"00.00"),TEXT(R1012,"0.00")))</f>
        <v/>
      </c>
      <c r="T1012" s="52">
        <f>IFERROR((G1012-INDEX('01_Swimmers'!$E$5:$E$22,MATCH(B1012,'01_Swimmers'!$A$5:$A$22,0)))/'00_Control'!$B$10,"")</f>
        <v/>
      </c>
      <c r="U1012" s="35">
        <f>IF(T1012="","",INT(T1012))</f>
        <v/>
      </c>
      <c r="V1012" s="33" t="inlineStr">
        <is>
          <t>NO</t>
        </is>
      </c>
      <c r="W1012" s="33" t="inlineStr">
        <is>
          <t>YES</t>
        </is>
      </c>
      <c r="X1012" s="33" t="inlineStr">
        <is>
          <t>NO</t>
        </is>
      </c>
      <c r="Y1012" s="33" t="n">
        <v>5</v>
      </c>
      <c r="Z1012" s="33" t="n">
        <v>6</v>
      </c>
      <c r="AA1012" s="33" t="inlineStr">
        <is>
          <t>6</t>
        </is>
      </c>
      <c r="AB1012" s="33" t="inlineStr">
        <is>
          <t>https://www.swimcloud.com/results/348385/event/12/?id=156825594#time156825594</t>
        </is>
      </c>
      <c r="AC1012" s="33" t="inlineStr">
        <is>
          <t>SwimCloud API v6 2026-10-08</t>
        </is>
      </c>
      <c r="AD1012" s="33" t="inlineStr">
        <is>
          <t>Flynn Southam|2025-07-28|LCM|200|Free|106.0|22nd World Aquatics Championships|PRE|False</t>
        </is>
      </c>
      <c r="AE1012" s="53">
        <f>G1012+L1012/1000+ROW()/1000000000</f>
        <v/>
      </c>
      <c r="AF1012" s="35">
        <f>IF(C1012&lt;&gt;"Grayson Coulter","",COUNTIFS($C$5:$C$2991,"Grayson Coulter",$Q$5:$Q$2991,Q1012,$AE$5:$AE$2991,"&lt;="&amp;AE1012,$R$5:$R$2991,"&lt;"&amp;R1012))</f>
        <v/>
      </c>
      <c r="AG1012" s="35">
        <f>IF(OR(C1012&lt;&gt;"Grayson Coulter",G1012&lt;'00_Control'!$B$7),"",--(AF1012&lt;5))</f>
        <v/>
      </c>
      <c r="AH1012" s="35">
        <f>IF(OR(C1012&lt;&gt;"Grayson Coulter",G1012&lt;'00_Control'!$B$7),"",--(AF1012&lt;10))</f>
        <v/>
      </c>
      <c r="AI1012" s="35">
        <f>IF(AND(C1012="Grayson Coulter",G1012&gt;='00_Control'!$B$7),"YES","NO")</f>
        <v/>
      </c>
      <c r="AJ1012" s="33" t="inlineStr">
        <is>
          <t>OK</t>
        </is>
      </c>
    </row>
    <row r="1013">
      <c r="A1013" s="33" t="inlineStr">
        <is>
          <t>SM001009</t>
        </is>
      </c>
      <c r="B1013" s="33" t="inlineStr">
        <is>
          <t>SW012</t>
        </is>
      </c>
      <c r="C1013" s="33" t="inlineStr">
        <is>
          <t>Flynn Southam</t>
        </is>
      </c>
      <c r="D1013" s="33" t="inlineStr">
        <is>
          <t>SwimCloud</t>
        </is>
      </c>
      <c r="E1013" s="33" t="inlineStr">
        <is>
          <t>956278</t>
        </is>
      </c>
      <c r="F1013" s="33" t="inlineStr">
        <is>
          <t>156825595</t>
        </is>
      </c>
      <c r="G1013" s="51" t="n">
        <v>45866</v>
      </c>
      <c r="H1013" s="33" t="inlineStr">
        <is>
          <t>22nd World Aquatics Championships</t>
        </is>
      </c>
      <c r="I1013" s="33" t="inlineStr">
        <is>
          <t>348385</t>
        </is>
      </c>
      <c r="J1013" s="33" t="inlineStr"/>
      <c r="K1013" s="33" t="inlineStr">
        <is>
          <t>SEM</t>
        </is>
      </c>
      <c r="L1013" s="35">
        <f>IF(K1013="FIN",3,IF(OR(K1013="SEM",K1013="SEMI"),2,IF(OR(K1013="PRE",K1013="HEAT"),1,IF(V1013="YES",4,2))))</f>
        <v/>
      </c>
      <c r="M1013" s="33" t="inlineStr">
        <is>
          <t>LCM</t>
        </is>
      </c>
      <c r="N1013" s="33" t="n">
        <v>200</v>
      </c>
      <c r="O1013" s="33" t="inlineStr">
        <is>
          <t>Free</t>
        </is>
      </c>
      <c r="P1013" s="33" t="inlineStr">
        <is>
          <t>200 Free</t>
        </is>
      </c>
      <c r="Q1013" s="33" t="inlineStr">
        <is>
          <t>LCM_200_FREE</t>
        </is>
      </c>
      <c r="R1013" s="36" t="n">
        <v>105.8</v>
      </c>
      <c r="S1013" s="35">
        <f>IF(R1013="","",IF(R1013&gt;=60,INT(R1013/60)&amp;":"&amp;TEXT(MOD(R1013,60),"00.00"),TEXT(R1013,"0.00")))</f>
        <v/>
      </c>
      <c r="T1013" s="52">
        <f>IFERROR((G1013-INDEX('01_Swimmers'!$E$5:$E$22,MATCH(B1013,'01_Swimmers'!$A$5:$A$22,0)))/'00_Control'!$B$10,"")</f>
        <v/>
      </c>
      <c r="U1013" s="35">
        <f>IF(T1013="","",INT(T1013))</f>
        <v/>
      </c>
      <c r="V1013" s="33" t="inlineStr">
        <is>
          <t>NO</t>
        </is>
      </c>
      <c r="W1013" s="33" t="inlineStr">
        <is>
          <t>YES</t>
        </is>
      </c>
      <c r="X1013" s="33" t="inlineStr">
        <is>
          <t>NO</t>
        </is>
      </c>
      <c r="Y1013" s="33" t="n">
        <v>1</v>
      </c>
      <c r="Z1013" s="33" t="n">
        <v>3</v>
      </c>
      <c r="AA1013" s="33" t="inlineStr">
        <is>
          <t>10</t>
        </is>
      </c>
      <c r="AB1013" s="33" t="inlineStr">
        <is>
          <t>https://www.swimcloud.com/results/348385/event/12/?id=156825595#time156825595</t>
        </is>
      </c>
      <c r="AC1013" s="33" t="inlineStr">
        <is>
          <t>SwimCloud API v6 2026-10-08</t>
        </is>
      </c>
      <c r="AD1013" s="33" t="inlineStr">
        <is>
          <t>Flynn Southam|2025-07-28|LCM|200|Free|105.8|22nd World Aquatics Championships|SEM|False</t>
        </is>
      </c>
      <c r="AE1013" s="53">
        <f>G1013+L1013/1000+ROW()/1000000000</f>
        <v/>
      </c>
      <c r="AF1013" s="35">
        <f>IF(C1013&lt;&gt;"Grayson Coulter","",COUNTIFS($C$5:$C$2991,"Grayson Coulter",$Q$5:$Q$2991,Q1013,$AE$5:$AE$2991,"&lt;="&amp;AE1013,$R$5:$R$2991,"&lt;"&amp;R1013))</f>
        <v/>
      </c>
      <c r="AG1013" s="35">
        <f>IF(OR(C1013&lt;&gt;"Grayson Coulter",G1013&lt;'00_Control'!$B$7),"",--(AF1013&lt;5))</f>
        <v/>
      </c>
      <c r="AH1013" s="35">
        <f>IF(OR(C1013&lt;&gt;"Grayson Coulter",G1013&lt;'00_Control'!$B$7),"",--(AF1013&lt;10))</f>
        <v/>
      </c>
      <c r="AI1013" s="35">
        <f>IF(AND(C1013="Grayson Coulter",G1013&gt;='00_Control'!$B$7),"YES","NO")</f>
        <v/>
      </c>
      <c r="AJ1013" s="33" t="inlineStr">
        <is>
          <t>OK</t>
        </is>
      </c>
    </row>
    <row r="1014">
      <c r="A1014" s="33" t="inlineStr">
        <is>
          <t>SM001010</t>
        </is>
      </c>
      <c r="B1014" s="33" t="inlineStr">
        <is>
          <t>SW012</t>
        </is>
      </c>
      <c r="C1014" s="33" t="inlineStr">
        <is>
          <t>Flynn Southam</t>
        </is>
      </c>
      <c r="D1014" s="33" t="inlineStr">
        <is>
          <t>SwimCloud</t>
        </is>
      </c>
      <c r="E1014" s="33" t="inlineStr">
        <is>
          <t>956278</t>
        </is>
      </c>
      <c r="F1014" s="33" t="inlineStr">
        <is>
          <t>156825592</t>
        </is>
      </c>
      <c r="G1014" s="51" t="n">
        <v>45868</v>
      </c>
      <c r="H1014" s="33" t="inlineStr">
        <is>
          <t>22nd World Aquatics Championships</t>
        </is>
      </c>
      <c r="I1014" s="33" t="inlineStr">
        <is>
          <t>348385</t>
        </is>
      </c>
      <c r="J1014" s="33" t="inlineStr"/>
      <c r="K1014" s="33" t="inlineStr">
        <is>
          <t>PRE</t>
        </is>
      </c>
      <c r="L1014" s="35">
        <f>IF(K1014="FIN",3,IF(OR(K1014="SEM",K1014="SEMI"),2,IF(OR(K1014="PRE",K1014="HEAT"),1,IF(V1014="YES",4,2))))</f>
        <v/>
      </c>
      <c r="M1014" s="33" t="inlineStr">
        <is>
          <t>LCM</t>
        </is>
      </c>
      <c r="N1014" s="33" t="n">
        <v>100</v>
      </c>
      <c r="O1014" s="33" t="inlineStr">
        <is>
          <t>Free</t>
        </is>
      </c>
      <c r="P1014" s="33" t="inlineStr">
        <is>
          <t>100 Free</t>
        </is>
      </c>
      <c r="Q1014" s="33" t="inlineStr">
        <is>
          <t>LCM_100_FREE</t>
        </is>
      </c>
      <c r="R1014" s="36" t="n">
        <v>47.73</v>
      </c>
      <c r="S1014" s="35">
        <f>IF(R1014="","",IF(R1014&gt;=60,INT(R1014/60)&amp;":"&amp;TEXT(MOD(R1014,60),"00.00"),TEXT(R1014,"0.00")))</f>
        <v/>
      </c>
      <c r="T1014" s="52">
        <f>IFERROR((G1014-INDEX('01_Swimmers'!$E$5:$E$22,MATCH(B1014,'01_Swimmers'!$A$5:$A$22,0)))/'00_Control'!$B$10,"")</f>
        <v/>
      </c>
      <c r="U1014" s="35">
        <f>IF(T1014="","",INT(T1014))</f>
        <v/>
      </c>
      <c r="V1014" s="33" t="inlineStr">
        <is>
          <t>NO</t>
        </is>
      </c>
      <c r="W1014" s="33" t="inlineStr">
        <is>
          <t>YES</t>
        </is>
      </c>
      <c r="X1014" s="33" t="inlineStr">
        <is>
          <t>NO</t>
        </is>
      </c>
      <c r="Y1014" s="33" t="n">
        <v>12</v>
      </c>
      <c r="Z1014" s="33" t="n">
        <v>6</v>
      </c>
      <c r="AA1014" s="33" t="inlineStr">
        <is>
          <t>4</t>
        </is>
      </c>
      <c r="AB1014" s="33" t="inlineStr">
        <is>
          <t>https://www.swimcloud.com/results/348385/event/19/?id=156825592#time156825592</t>
        </is>
      </c>
      <c r="AC1014" s="33" t="inlineStr">
        <is>
          <t>SwimCloud API v6 2026-10-08</t>
        </is>
      </c>
      <c r="AD1014" s="33" t="inlineStr">
        <is>
          <t>Flynn Southam|2025-07-30|LCM|100|Free|47.73|22nd World Aquatics Championships|PRE|False</t>
        </is>
      </c>
      <c r="AE1014" s="53">
        <f>G1014+L1014/1000+ROW()/1000000000</f>
        <v/>
      </c>
      <c r="AF1014" s="35">
        <f>IF(C1014&lt;&gt;"Grayson Coulter","",COUNTIFS($C$5:$C$2991,"Grayson Coulter",$Q$5:$Q$2991,Q1014,$AE$5:$AE$2991,"&lt;="&amp;AE1014,$R$5:$R$2991,"&lt;"&amp;R1014))</f>
        <v/>
      </c>
      <c r="AG1014" s="35">
        <f>IF(OR(C1014&lt;&gt;"Grayson Coulter",G1014&lt;'00_Control'!$B$7),"",--(AF1014&lt;5))</f>
        <v/>
      </c>
      <c r="AH1014" s="35">
        <f>IF(OR(C1014&lt;&gt;"Grayson Coulter",G1014&lt;'00_Control'!$B$7),"",--(AF1014&lt;10))</f>
        <v/>
      </c>
      <c r="AI1014" s="35">
        <f>IF(AND(C1014="Grayson Coulter",G1014&gt;='00_Control'!$B$7),"YES","NO")</f>
        <v/>
      </c>
      <c r="AJ1014" s="33" t="inlineStr">
        <is>
          <t>OK</t>
        </is>
      </c>
    </row>
    <row r="1015">
      <c r="A1015" s="33" t="inlineStr">
        <is>
          <t>SM001011</t>
        </is>
      </c>
      <c r="B1015" s="33" t="inlineStr">
        <is>
          <t>SW012</t>
        </is>
      </c>
      <c r="C1015" s="33" t="inlineStr">
        <is>
          <t>Flynn Southam</t>
        </is>
      </c>
      <c r="D1015" s="33" t="inlineStr">
        <is>
          <t>SwimCloud</t>
        </is>
      </c>
      <c r="E1015" s="33" t="inlineStr">
        <is>
          <t>956278</t>
        </is>
      </c>
      <c r="F1015" s="33" t="inlineStr">
        <is>
          <t>156825593</t>
        </is>
      </c>
      <c r="G1015" s="51" t="n">
        <v>45868</v>
      </c>
      <c r="H1015" s="33" t="inlineStr">
        <is>
          <t>22nd World Aquatics Championships</t>
        </is>
      </c>
      <c r="I1015" s="33" t="inlineStr">
        <is>
          <t>348385</t>
        </is>
      </c>
      <c r="J1015" s="33" t="inlineStr"/>
      <c r="K1015" s="33" t="inlineStr">
        <is>
          <t>SEM</t>
        </is>
      </c>
      <c r="L1015" s="35">
        <f>IF(K1015="FIN",3,IF(OR(K1015="SEM",K1015="SEMI"),2,IF(OR(K1015="PRE",K1015="HEAT"),1,IF(V1015="YES",4,2))))</f>
        <v/>
      </c>
      <c r="M1015" s="33" t="inlineStr">
        <is>
          <t>LCM</t>
        </is>
      </c>
      <c r="N1015" s="33" t="n">
        <v>100</v>
      </c>
      <c r="O1015" s="33" t="inlineStr">
        <is>
          <t>Free</t>
        </is>
      </c>
      <c r="P1015" s="33" t="inlineStr">
        <is>
          <t>100 Free</t>
        </is>
      </c>
      <c r="Q1015" s="33" t="inlineStr">
        <is>
          <t>LCM_100_FREE</t>
        </is>
      </c>
      <c r="R1015" s="36" t="n">
        <v>47.9</v>
      </c>
      <c r="S1015" s="35">
        <f>IF(R1015="","",IF(R1015&gt;=60,INT(R1015/60)&amp;":"&amp;TEXT(MOD(R1015,60),"00.00"),TEXT(R1015,"0.00")))</f>
        <v/>
      </c>
      <c r="T1015" s="52">
        <f>IFERROR((G1015-INDEX('01_Swimmers'!$E$5:$E$22,MATCH(B1015,'01_Swimmers'!$A$5:$A$22,0)))/'00_Control'!$B$10,"")</f>
        <v/>
      </c>
      <c r="U1015" s="35">
        <f>IF(T1015="","",INT(T1015))</f>
        <v/>
      </c>
      <c r="V1015" s="33" t="inlineStr">
        <is>
          <t>NO</t>
        </is>
      </c>
      <c r="W1015" s="33" t="inlineStr">
        <is>
          <t>YES</t>
        </is>
      </c>
      <c r="X1015" s="33" t="inlineStr">
        <is>
          <t>NO</t>
        </is>
      </c>
      <c r="Y1015" s="33" t="n">
        <v>1</v>
      </c>
      <c r="Z1015" s="33" t="n">
        <v>5</v>
      </c>
      <c r="AA1015" s="33" t="inlineStr">
        <is>
          <t>12</t>
        </is>
      </c>
      <c r="AB1015" s="33" t="inlineStr">
        <is>
          <t>https://www.swimcloud.com/results/348385/event/19/?id=156825593#time156825593</t>
        </is>
      </c>
      <c r="AC1015" s="33" t="inlineStr">
        <is>
          <t>SwimCloud API v6 2026-10-08</t>
        </is>
      </c>
      <c r="AD1015" s="33" t="inlineStr">
        <is>
          <t>Flynn Southam|2025-07-30|LCM|100|Free|47.9|22nd World Aquatics Championships|SEM|False</t>
        </is>
      </c>
      <c r="AE1015" s="53">
        <f>G1015+L1015/1000+ROW()/1000000000</f>
        <v/>
      </c>
      <c r="AF1015" s="35">
        <f>IF(C1015&lt;&gt;"Grayson Coulter","",COUNTIFS($C$5:$C$2991,"Grayson Coulter",$Q$5:$Q$2991,Q1015,$AE$5:$AE$2991,"&lt;="&amp;AE1015,$R$5:$R$2991,"&lt;"&amp;R1015))</f>
        <v/>
      </c>
      <c r="AG1015" s="35">
        <f>IF(OR(C1015&lt;&gt;"Grayson Coulter",G1015&lt;'00_Control'!$B$7),"",--(AF1015&lt;5))</f>
        <v/>
      </c>
      <c r="AH1015" s="35">
        <f>IF(OR(C1015&lt;&gt;"Grayson Coulter",G1015&lt;'00_Control'!$B$7),"",--(AF1015&lt;10))</f>
        <v/>
      </c>
      <c r="AI1015" s="35">
        <f>IF(AND(C1015="Grayson Coulter",G1015&gt;='00_Control'!$B$7),"YES","NO")</f>
        <v/>
      </c>
      <c r="AJ1015" s="33" t="inlineStr">
        <is>
          <t>OK</t>
        </is>
      </c>
    </row>
    <row r="1016">
      <c r="A1016" s="33" t="inlineStr">
        <is>
          <t>SM001012</t>
        </is>
      </c>
      <c r="B1016" s="33" t="inlineStr">
        <is>
          <t>SW012</t>
        </is>
      </c>
      <c r="C1016" s="33" t="inlineStr">
        <is>
          <t>Flynn Southam</t>
        </is>
      </c>
      <c r="D1016" s="33" t="inlineStr">
        <is>
          <t>SwimCloud</t>
        </is>
      </c>
      <c r="E1016" s="33" t="inlineStr">
        <is>
          <t>956278</t>
        </is>
      </c>
      <c r="F1016" s="33" t="inlineStr">
        <is>
          <t>156829071</t>
        </is>
      </c>
      <c r="G1016" s="51" t="n">
        <v>45870</v>
      </c>
      <c r="H1016" s="33" t="inlineStr">
        <is>
          <t>22nd World Aquatics Championships</t>
        </is>
      </c>
      <c r="I1016" s="33" t="inlineStr">
        <is>
          <t>348385</t>
        </is>
      </c>
      <c r="J1016" s="33" t="inlineStr"/>
      <c r="K1016" s="33" t="inlineStr">
        <is>
          <t>FIN</t>
        </is>
      </c>
      <c r="L1016" s="35">
        <f>IF(K1016="FIN",3,IF(OR(K1016="SEM",K1016="SEMI"),2,IF(OR(K1016="PRE",K1016="HEAT"),1,IF(V1016="YES",4,2))))</f>
        <v/>
      </c>
      <c r="M1016" s="33" t="inlineStr">
        <is>
          <t>LCM</t>
        </is>
      </c>
      <c r="N1016" s="33" t="n">
        <v>200</v>
      </c>
      <c r="O1016" s="33" t="inlineStr">
        <is>
          <t>Free</t>
        </is>
      </c>
      <c r="P1016" s="33" t="inlineStr">
        <is>
          <t>200 Free</t>
        </is>
      </c>
      <c r="Q1016" s="33" t="inlineStr">
        <is>
          <t>LCM_200_FREE</t>
        </is>
      </c>
      <c r="R1016" s="36" t="n">
        <v>105.85</v>
      </c>
      <c r="S1016" s="35">
        <f>IF(R1016="","",IF(R1016&gt;=60,INT(R1016/60)&amp;":"&amp;TEXT(MOD(R1016,60),"00.00"),TEXT(R1016,"0.00")))</f>
        <v/>
      </c>
      <c r="T1016" s="52">
        <f>IFERROR((G1016-INDEX('01_Swimmers'!$E$5:$E$22,MATCH(B1016,'01_Swimmers'!$A$5:$A$22,0)))/'00_Control'!$B$10,"")</f>
        <v/>
      </c>
      <c r="U1016" s="35">
        <f>IF(T1016="","",INT(T1016))</f>
        <v/>
      </c>
      <c r="V1016" s="33" t="inlineStr">
        <is>
          <t>YES</t>
        </is>
      </c>
      <c r="W1016" s="33" t="inlineStr">
        <is>
          <t>YES</t>
        </is>
      </c>
      <c r="X1016" s="33" t="inlineStr">
        <is>
          <t>NO</t>
        </is>
      </c>
      <c r="Y1016" s="33" t="n">
        <v>1</v>
      </c>
      <c r="Z1016" s="33" t="n">
        <v>5</v>
      </c>
      <c r="AA1016" s="33" t="inlineStr"/>
      <c r="AB1016" s="33" t="inlineStr">
        <is>
          <t>https://www.swimcloud.com/results/348385/event/32/?id=156825714#time156825714</t>
        </is>
      </c>
      <c r="AC1016" s="33" t="inlineStr">
        <is>
          <t>SwimCloud API v6 2026-10-08</t>
        </is>
      </c>
      <c r="AD1016" s="33" t="inlineStr">
        <is>
          <t>Flynn Southam|2025-08-01|LCM|200|Free|105.85|22nd World Aquatics Championships|FIN|True</t>
        </is>
      </c>
      <c r="AE1016" s="53">
        <f>G1016+L1016/1000+ROW()/1000000000</f>
        <v/>
      </c>
      <c r="AF1016" s="35">
        <f>IF(C1016&lt;&gt;"Grayson Coulter","",COUNTIFS($C$5:$C$2991,"Grayson Coulter",$Q$5:$Q$2991,Q1016,$AE$5:$AE$2991,"&lt;="&amp;AE1016,$R$5:$R$2991,"&lt;"&amp;R1016))</f>
        <v/>
      </c>
      <c r="AG1016" s="35">
        <f>IF(OR(C1016&lt;&gt;"Grayson Coulter",G1016&lt;'00_Control'!$B$7),"",--(AF1016&lt;5))</f>
        <v/>
      </c>
      <c r="AH1016" s="35">
        <f>IF(OR(C1016&lt;&gt;"Grayson Coulter",G1016&lt;'00_Control'!$B$7),"",--(AF1016&lt;10))</f>
        <v/>
      </c>
      <c r="AI1016" s="35">
        <f>IF(AND(C1016="Grayson Coulter",G1016&gt;='00_Control'!$B$7),"YES","NO")</f>
        <v/>
      </c>
      <c r="AJ1016" s="33" t="inlineStr">
        <is>
          <t>OK</t>
        </is>
      </c>
    </row>
    <row r="1017">
      <c r="A1017" s="33" t="inlineStr">
        <is>
          <t>SM001013</t>
        </is>
      </c>
      <c r="B1017" s="33" t="inlineStr">
        <is>
          <t>SW012</t>
        </is>
      </c>
      <c r="C1017" s="33" t="inlineStr">
        <is>
          <t>Flynn Southam</t>
        </is>
      </c>
      <c r="D1017" s="33" t="inlineStr">
        <is>
          <t>SwimCloud</t>
        </is>
      </c>
      <c r="E1017" s="33" t="inlineStr">
        <is>
          <t>956278</t>
        </is>
      </c>
      <c r="F1017" s="33" t="inlineStr">
        <is>
          <t>166762736</t>
        </is>
      </c>
      <c r="G1017" s="51" t="n">
        <v>46006</v>
      </c>
      <c r="H1017" s="33" t="inlineStr">
        <is>
          <t>Queensland Championships</t>
        </is>
      </c>
      <c r="I1017" s="33" t="inlineStr">
        <is>
          <t>367863</t>
        </is>
      </c>
      <c r="J1017" s="33" t="inlineStr"/>
      <c r="K1017" s="33" t="inlineStr">
        <is>
          <t>PRE</t>
        </is>
      </c>
      <c r="L1017" s="35">
        <f>IF(K1017="FIN",3,IF(OR(K1017="SEM",K1017="SEMI"),2,IF(OR(K1017="PRE",K1017="HEAT"),1,IF(V1017="YES",4,2))))</f>
        <v/>
      </c>
      <c r="M1017" s="33" t="inlineStr">
        <is>
          <t>LCM</t>
        </is>
      </c>
      <c r="N1017" s="33" t="n">
        <v>100</v>
      </c>
      <c r="O1017" s="33" t="inlineStr">
        <is>
          <t>Free</t>
        </is>
      </c>
      <c r="P1017" s="33" t="inlineStr">
        <is>
          <t>100 Free</t>
        </is>
      </c>
      <c r="Q1017" s="33" t="inlineStr">
        <is>
          <t>LCM_100_FREE</t>
        </is>
      </c>
      <c r="R1017" s="36" t="n">
        <v>49.69</v>
      </c>
      <c r="S1017" s="35">
        <f>IF(R1017="","",IF(R1017&gt;=60,INT(R1017/60)&amp;":"&amp;TEXT(MOD(R1017,60),"00.00"),TEXT(R1017,"0.00")))</f>
        <v/>
      </c>
      <c r="T1017" s="52">
        <f>IFERROR((G1017-INDEX('01_Swimmers'!$E$5:$E$22,MATCH(B1017,'01_Swimmers'!$A$5:$A$22,0)))/'00_Control'!$B$10,"")</f>
        <v/>
      </c>
      <c r="U1017" s="35">
        <f>IF(T1017="","",INT(T1017))</f>
        <v/>
      </c>
      <c r="V1017" s="33" t="inlineStr">
        <is>
          <t>NO</t>
        </is>
      </c>
      <c r="W1017" s="33" t="inlineStr">
        <is>
          <t>YES</t>
        </is>
      </c>
      <c r="X1017" s="33" t="inlineStr">
        <is>
          <t>NO</t>
        </is>
      </c>
      <c r="Y1017" s="33" t="n">
        <v>8</v>
      </c>
      <c r="Z1017" s="33" t="n">
        <v>6</v>
      </c>
      <c r="AA1017" s="33" t="inlineStr">
        <is>
          <t>9</t>
        </is>
      </c>
      <c r="AB1017" s="33" t="inlineStr">
        <is>
          <t>https://www.swimcloud.com/results/367863/event/93/?id=166762736#time166762736</t>
        </is>
      </c>
      <c r="AC1017" s="33" t="inlineStr">
        <is>
          <t>SwimCloud API v6 2026-10-08</t>
        </is>
      </c>
      <c r="AD1017" s="33" t="inlineStr">
        <is>
          <t>Flynn Southam|2025-12-15|LCM|100|Free|49.69|Queensland Championships|PRE|False</t>
        </is>
      </c>
      <c r="AE1017" s="53">
        <f>G1017+L1017/1000+ROW()/1000000000</f>
        <v/>
      </c>
      <c r="AF1017" s="35">
        <f>IF(C1017&lt;&gt;"Grayson Coulter","",COUNTIFS($C$5:$C$2991,"Grayson Coulter",$Q$5:$Q$2991,Q1017,$AE$5:$AE$2991,"&lt;="&amp;AE1017,$R$5:$R$2991,"&lt;"&amp;R1017))</f>
        <v/>
      </c>
      <c r="AG1017" s="35">
        <f>IF(OR(C1017&lt;&gt;"Grayson Coulter",G1017&lt;'00_Control'!$B$7),"",--(AF1017&lt;5))</f>
        <v/>
      </c>
      <c r="AH1017" s="35">
        <f>IF(OR(C1017&lt;&gt;"Grayson Coulter",G1017&lt;'00_Control'!$B$7),"",--(AF1017&lt;10))</f>
        <v/>
      </c>
      <c r="AI1017" s="35">
        <f>IF(AND(C1017="Grayson Coulter",G1017&gt;='00_Control'!$B$7),"YES","NO")</f>
        <v/>
      </c>
      <c r="AJ1017" s="33" t="inlineStr">
        <is>
          <t>OK</t>
        </is>
      </c>
    </row>
    <row r="1018">
      <c r="A1018" s="33" t="inlineStr">
        <is>
          <t>SM001014</t>
        </is>
      </c>
      <c r="B1018" s="33" t="inlineStr">
        <is>
          <t>SW012</t>
        </is>
      </c>
      <c r="C1018" s="33" t="inlineStr">
        <is>
          <t>Flynn Southam</t>
        </is>
      </c>
      <c r="D1018" s="33" t="inlineStr">
        <is>
          <t>SwimCloud</t>
        </is>
      </c>
      <c r="E1018" s="33" t="inlineStr">
        <is>
          <t>956278</t>
        </is>
      </c>
      <c r="F1018" s="33" t="inlineStr">
        <is>
          <t>166762737</t>
        </is>
      </c>
      <c r="G1018" s="51" t="n">
        <v>46006</v>
      </c>
      <c r="H1018" s="33" t="inlineStr">
        <is>
          <t>Queensland Championships</t>
        </is>
      </c>
      <c r="I1018" s="33" t="inlineStr">
        <is>
          <t>367863</t>
        </is>
      </c>
      <c r="J1018" s="33" t="inlineStr"/>
      <c r="K1018" s="33" t="inlineStr">
        <is>
          <t>FIN</t>
        </is>
      </c>
      <c r="L1018" s="35">
        <f>IF(K1018="FIN",3,IF(OR(K1018="SEM",K1018="SEMI"),2,IF(OR(K1018="PRE",K1018="HEAT"),1,IF(V1018="YES",4,2))))</f>
        <v/>
      </c>
      <c r="M1018" s="33" t="inlineStr">
        <is>
          <t>LCM</t>
        </is>
      </c>
      <c r="N1018" s="33" t="n">
        <v>100</v>
      </c>
      <c r="O1018" s="33" t="inlineStr">
        <is>
          <t>Free</t>
        </is>
      </c>
      <c r="P1018" s="33" t="inlineStr">
        <is>
          <t>100 Free</t>
        </is>
      </c>
      <c r="Q1018" s="33" t="inlineStr">
        <is>
          <t>LCM_100_FREE</t>
        </is>
      </c>
      <c r="R1018" s="36" t="n">
        <v>50.28</v>
      </c>
      <c r="S1018" s="35">
        <f>IF(R1018="","",IF(R1018&gt;=60,INT(R1018/60)&amp;":"&amp;TEXT(MOD(R1018,60),"00.00"),TEXT(R1018,"0.00")))</f>
        <v/>
      </c>
      <c r="T1018" s="52">
        <f>IFERROR((G1018-INDEX('01_Swimmers'!$E$5:$E$22,MATCH(B1018,'01_Swimmers'!$A$5:$A$22,0)))/'00_Control'!$B$10,"")</f>
        <v/>
      </c>
      <c r="U1018" s="35">
        <f>IF(T1018="","",INT(T1018))</f>
        <v/>
      </c>
      <c r="V1018" s="33" t="inlineStr">
        <is>
          <t>NO</t>
        </is>
      </c>
      <c r="W1018" s="33" t="inlineStr">
        <is>
          <t>YES</t>
        </is>
      </c>
      <c r="X1018" s="33" t="inlineStr">
        <is>
          <t>NO</t>
        </is>
      </c>
      <c r="Y1018" s="33" t="n">
        <v>1</v>
      </c>
      <c r="Z1018" s="33" t="n">
        <v>0</v>
      </c>
      <c r="AA1018" s="33" t="inlineStr">
        <is>
          <t>9</t>
        </is>
      </c>
      <c r="AB1018" s="33" t="inlineStr">
        <is>
          <t>https://www.swimcloud.com/results/367863/event/93/?id=166762737#time166762737</t>
        </is>
      </c>
      <c r="AC1018" s="33" t="inlineStr">
        <is>
          <t>SwimCloud API v6 2026-10-08</t>
        </is>
      </c>
      <c r="AD1018" s="33" t="inlineStr">
        <is>
          <t>Flynn Southam|2025-12-15|LCM|100|Free|50.28|Queensland Championships|FIN|False</t>
        </is>
      </c>
      <c r="AE1018" s="53">
        <f>G1018+L1018/1000+ROW()/1000000000</f>
        <v/>
      </c>
      <c r="AF1018" s="35">
        <f>IF(C1018&lt;&gt;"Grayson Coulter","",COUNTIFS($C$5:$C$2991,"Grayson Coulter",$Q$5:$Q$2991,Q1018,$AE$5:$AE$2991,"&lt;="&amp;AE1018,$R$5:$R$2991,"&lt;"&amp;R1018))</f>
        <v/>
      </c>
      <c r="AG1018" s="35">
        <f>IF(OR(C1018&lt;&gt;"Grayson Coulter",G1018&lt;'00_Control'!$B$7),"",--(AF1018&lt;5))</f>
        <v/>
      </c>
      <c r="AH1018" s="35">
        <f>IF(OR(C1018&lt;&gt;"Grayson Coulter",G1018&lt;'00_Control'!$B$7),"",--(AF1018&lt;10))</f>
        <v/>
      </c>
      <c r="AI1018" s="35">
        <f>IF(AND(C1018="Grayson Coulter",G1018&gt;='00_Control'!$B$7),"YES","NO")</f>
        <v/>
      </c>
      <c r="AJ1018" s="33" t="inlineStr">
        <is>
          <t>OK</t>
        </is>
      </c>
    </row>
    <row r="1019">
      <c r="A1019" s="33" t="inlineStr">
        <is>
          <t>SM001015</t>
        </is>
      </c>
      <c r="B1019" s="33" t="inlineStr">
        <is>
          <t>SW012</t>
        </is>
      </c>
      <c r="C1019" s="33" t="inlineStr">
        <is>
          <t>Flynn Southam</t>
        </is>
      </c>
      <c r="D1019" s="33" t="inlineStr">
        <is>
          <t>SwimCloud</t>
        </is>
      </c>
      <c r="E1019" s="33" t="inlineStr">
        <is>
          <t>956278</t>
        </is>
      </c>
      <c r="F1019" s="33" t="inlineStr">
        <is>
          <t>175907325</t>
        </is>
      </c>
      <c r="G1019" s="51" t="n">
        <v>46118</v>
      </c>
      <c r="H1019" s="33" t="inlineStr">
        <is>
          <t>Australian Open</t>
        </is>
      </c>
      <c r="I1019" s="33" t="inlineStr">
        <is>
          <t>383755</t>
        </is>
      </c>
      <c r="J1019" s="33" t="inlineStr"/>
      <c r="K1019" s="33" t="inlineStr">
        <is>
          <t>PRE</t>
        </is>
      </c>
      <c r="L1019" s="35">
        <f>IF(K1019="FIN",3,IF(OR(K1019="SEM",K1019="SEMI"),2,IF(OR(K1019="PRE",K1019="HEAT"),1,IF(V1019="YES",4,2))))</f>
        <v/>
      </c>
      <c r="M1019" s="33" t="inlineStr">
        <is>
          <t>LCM</t>
        </is>
      </c>
      <c r="N1019" s="33" t="n">
        <v>100</v>
      </c>
      <c r="O1019" s="33" t="inlineStr">
        <is>
          <t>Free</t>
        </is>
      </c>
      <c r="P1019" s="33" t="inlineStr">
        <is>
          <t>100 Free</t>
        </is>
      </c>
      <c r="Q1019" s="33" t="inlineStr">
        <is>
          <t>LCM_100_FREE</t>
        </is>
      </c>
      <c r="R1019" s="36" t="n">
        <v>48.83</v>
      </c>
      <c r="S1019" s="35">
        <f>IF(R1019="","",IF(R1019&gt;=60,INT(R1019/60)&amp;":"&amp;TEXT(MOD(R1019,60),"00.00"),TEXT(R1019,"0.00")))</f>
        <v/>
      </c>
      <c r="T1019" s="52">
        <f>IFERROR((G1019-INDEX('01_Swimmers'!$E$5:$E$22,MATCH(B1019,'01_Swimmers'!$A$5:$A$22,0)))/'00_Control'!$B$10,"")</f>
        <v/>
      </c>
      <c r="U1019" s="35">
        <f>IF(T1019="","",INT(T1019))</f>
        <v/>
      </c>
      <c r="V1019" s="33" t="inlineStr">
        <is>
          <t>NO</t>
        </is>
      </c>
      <c r="W1019" s="33" t="inlineStr">
        <is>
          <t>YES</t>
        </is>
      </c>
      <c r="X1019" s="33" t="inlineStr">
        <is>
          <t>NO</t>
        </is>
      </c>
      <c r="Y1019" s="33" t="n">
        <v>2</v>
      </c>
      <c r="Z1019" s="33" t="n">
        <v>4</v>
      </c>
      <c r="AA1019" s="33" t="inlineStr">
        <is>
          <t>2</t>
        </is>
      </c>
      <c r="AB1019" s="33" t="inlineStr">
        <is>
          <t>https://www.swimcloud.com/results/383755/event/13/?id=175907325#time175907325</t>
        </is>
      </c>
      <c r="AC1019" s="33" t="inlineStr">
        <is>
          <t>SwimCloud API v6 2026-10-08</t>
        </is>
      </c>
      <c r="AD1019" s="33" t="inlineStr">
        <is>
          <t>Flynn Southam|2026-04-06|LCM|100|Free|48.83|Australian Open|PRE|False</t>
        </is>
      </c>
      <c r="AE1019" s="53">
        <f>G1019+L1019/1000+ROW()/1000000000</f>
        <v/>
      </c>
      <c r="AF1019" s="35">
        <f>IF(C1019&lt;&gt;"Grayson Coulter","",COUNTIFS($C$5:$C$2991,"Grayson Coulter",$Q$5:$Q$2991,Q1019,$AE$5:$AE$2991,"&lt;="&amp;AE1019,$R$5:$R$2991,"&lt;"&amp;R1019))</f>
        <v/>
      </c>
      <c r="AG1019" s="35">
        <f>IF(OR(C1019&lt;&gt;"Grayson Coulter",G1019&lt;'00_Control'!$B$7),"",--(AF1019&lt;5))</f>
        <v/>
      </c>
      <c r="AH1019" s="35">
        <f>IF(OR(C1019&lt;&gt;"Grayson Coulter",G1019&lt;'00_Control'!$B$7),"",--(AF1019&lt;10))</f>
        <v/>
      </c>
      <c r="AI1019" s="35">
        <f>IF(AND(C1019="Grayson Coulter",G1019&gt;='00_Control'!$B$7),"YES","NO")</f>
        <v/>
      </c>
      <c r="AJ1019" s="33" t="inlineStr">
        <is>
          <t>OK</t>
        </is>
      </c>
    </row>
    <row r="1020">
      <c r="A1020" s="33" t="inlineStr">
        <is>
          <t>SM001016</t>
        </is>
      </c>
      <c r="B1020" s="33" t="inlineStr">
        <is>
          <t>SW012</t>
        </is>
      </c>
      <c r="C1020" s="33" t="inlineStr">
        <is>
          <t>Flynn Southam</t>
        </is>
      </c>
      <c r="D1020" s="33" t="inlineStr">
        <is>
          <t>SwimCloud</t>
        </is>
      </c>
      <c r="E1020" s="33" t="inlineStr">
        <is>
          <t>956278</t>
        </is>
      </c>
      <c r="F1020" s="33" t="inlineStr">
        <is>
          <t>175907326</t>
        </is>
      </c>
      <c r="G1020" s="51" t="n">
        <v>46118</v>
      </c>
      <c r="H1020" s="33" t="inlineStr">
        <is>
          <t>Australian Open</t>
        </is>
      </c>
      <c r="I1020" s="33" t="inlineStr">
        <is>
          <t>383755</t>
        </is>
      </c>
      <c r="J1020" s="33" t="inlineStr"/>
      <c r="K1020" s="33" t="inlineStr">
        <is>
          <t>FIN</t>
        </is>
      </c>
      <c r="L1020" s="35">
        <f>IF(K1020="FIN",3,IF(OR(K1020="SEM",K1020="SEMI"),2,IF(OR(K1020="PRE",K1020="HEAT"),1,IF(V1020="YES",4,2))))</f>
        <v/>
      </c>
      <c r="M1020" s="33" t="inlineStr">
        <is>
          <t>LCM</t>
        </is>
      </c>
      <c r="N1020" s="33" t="n">
        <v>100</v>
      </c>
      <c r="O1020" s="33" t="inlineStr">
        <is>
          <t>Free</t>
        </is>
      </c>
      <c r="P1020" s="33" t="inlineStr">
        <is>
          <t>100 Free</t>
        </is>
      </c>
      <c r="Q1020" s="33" t="inlineStr">
        <is>
          <t>LCM_100_FREE</t>
        </is>
      </c>
      <c r="R1020" s="36" t="n">
        <v>48.8</v>
      </c>
      <c r="S1020" s="35">
        <f>IF(R1020="","",IF(R1020&gt;=60,INT(R1020/60)&amp;":"&amp;TEXT(MOD(R1020,60),"00.00"),TEXT(R1020,"0.00")))</f>
        <v/>
      </c>
      <c r="T1020" s="52">
        <f>IFERROR((G1020-INDEX('01_Swimmers'!$E$5:$E$22,MATCH(B1020,'01_Swimmers'!$A$5:$A$22,0)))/'00_Control'!$B$10,"")</f>
        <v/>
      </c>
      <c r="U1020" s="35">
        <f>IF(T1020="","",INT(T1020))</f>
        <v/>
      </c>
      <c r="V1020" s="33" t="inlineStr">
        <is>
          <t>NO</t>
        </is>
      </c>
      <c r="W1020" s="33" t="inlineStr">
        <is>
          <t>YES</t>
        </is>
      </c>
      <c r="X1020" s="33" t="inlineStr">
        <is>
          <t>NO</t>
        </is>
      </c>
      <c r="Y1020" s="33" t="n">
        <v>1</v>
      </c>
      <c r="Z1020" s="33" t="n">
        <v>5</v>
      </c>
      <c r="AA1020" s="33" t="inlineStr">
        <is>
          <t>2</t>
        </is>
      </c>
      <c r="AB1020" s="33" t="inlineStr">
        <is>
          <t>https://www.swimcloud.com/results/383755/event/13/?id=175907326#time175907326</t>
        </is>
      </c>
      <c r="AC1020" s="33" t="inlineStr">
        <is>
          <t>SwimCloud API v6 2026-10-08</t>
        </is>
      </c>
      <c r="AD1020" s="33" t="inlineStr">
        <is>
          <t>Flynn Southam|2026-04-06|LCM|100|Free|48.8|Australian Open|FIN|False</t>
        </is>
      </c>
      <c r="AE1020" s="53">
        <f>G1020+L1020/1000+ROW()/1000000000</f>
        <v/>
      </c>
      <c r="AF1020" s="35">
        <f>IF(C1020&lt;&gt;"Grayson Coulter","",COUNTIFS($C$5:$C$2991,"Grayson Coulter",$Q$5:$Q$2991,Q1020,$AE$5:$AE$2991,"&lt;="&amp;AE1020,$R$5:$R$2991,"&lt;"&amp;R1020))</f>
        <v/>
      </c>
      <c r="AG1020" s="35">
        <f>IF(OR(C1020&lt;&gt;"Grayson Coulter",G1020&lt;'00_Control'!$B$7),"",--(AF1020&lt;5))</f>
        <v/>
      </c>
      <c r="AH1020" s="35">
        <f>IF(OR(C1020&lt;&gt;"Grayson Coulter",G1020&lt;'00_Control'!$B$7),"",--(AF1020&lt;10))</f>
        <v/>
      </c>
      <c r="AI1020" s="35">
        <f>IF(AND(C1020="Grayson Coulter",G1020&gt;='00_Control'!$B$7),"YES","NO")</f>
        <v/>
      </c>
      <c r="AJ1020" s="33" t="inlineStr">
        <is>
          <t>OK</t>
        </is>
      </c>
    </row>
    <row r="1021">
      <c r="A1021" s="33" t="inlineStr">
        <is>
          <t>SM001017</t>
        </is>
      </c>
      <c r="B1021" s="33" t="inlineStr">
        <is>
          <t>SW012</t>
        </is>
      </c>
      <c r="C1021" s="33" t="inlineStr">
        <is>
          <t>Flynn Southam</t>
        </is>
      </c>
      <c r="D1021" s="33" t="inlineStr">
        <is>
          <t>SwimCloud</t>
        </is>
      </c>
      <c r="E1021" s="33" t="inlineStr">
        <is>
          <t>956278</t>
        </is>
      </c>
      <c r="F1021" s="33" t="inlineStr">
        <is>
          <t>175907461</t>
        </is>
      </c>
      <c r="G1021" s="51" t="n">
        <v>46119</v>
      </c>
      <c r="H1021" s="33" t="inlineStr">
        <is>
          <t>Australian Open</t>
        </is>
      </c>
      <c r="I1021" s="33" t="inlineStr">
        <is>
          <t>383755</t>
        </is>
      </c>
      <c r="J1021" s="33" t="inlineStr"/>
      <c r="K1021" s="33" t="inlineStr">
        <is>
          <t>PRE</t>
        </is>
      </c>
      <c r="L1021" s="35">
        <f>IF(K1021="FIN",3,IF(OR(K1021="SEM",K1021="SEMI"),2,IF(OR(K1021="PRE",K1021="HEAT"),1,IF(V1021="YES",4,2))))</f>
        <v/>
      </c>
      <c r="M1021" s="33" t="inlineStr">
        <is>
          <t>LCM</t>
        </is>
      </c>
      <c r="N1021" s="33" t="n">
        <v>200</v>
      </c>
      <c r="O1021" s="33" t="inlineStr">
        <is>
          <t>Free</t>
        </is>
      </c>
      <c r="P1021" s="33" t="inlineStr">
        <is>
          <t>200 Free</t>
        </is>
      </c>
      <c r="Q1021" s="33" t="inlineStr">
        <is>
          <t>LCM_200_FREE</t>
        </is>
      </c>
      <c r="R1021" s="36" t="n">
        <v>112.39</v>
      </c>
      <c r="S1021" s="35">
        <f>IF(R1021="","",IF(R1021&gt;=60,INT(R1021/60)&amp;":"&amp;TEXT(MOD(R1021,60),"00.00"),TEXT(R1021,"0.00")))</f>
        <v/>
      </c>
      <c r="T1021" s="52">
        <f>IFERROR((G1021-INDEX('01_Swimmers'!$E$5:$E$22,MATCH(B1021,'01_Swimmers'!$A$5:$A$22,0)))/'00_Control'!$B$10,"")</f>
        <v/>
      </c>
      <c r="U1021" s="35">
        <f>IF(T1021="","",INT(T1021))</f>
        <v/>
      </c>
      <c r="V1021" s="33" t="inlineStr">
        <is>
          <t>NO</t>
        </is>
      </c>
      <c r="W1021" s="33" t="inlineStr">
        <is>
          <t>YES</t>
        </is>
      </c>
      <c r="X1021" s="33" t="inlineStr">
        <is>
          <t>NO</t>
        </is>
      </c>
      <c r="Y1021" s="33" t="n">
        <v>2</v>
      </c>
      <c r="Z1021" s="33" t="n">
        <v>4</v>
      </c>
      <c r="AA1021" s="33" t="inlineStr">
        <is>
          <t>23</t>
        </is>
      </c>
      <c r="AB1021" s="33" t="inlineStr">
        <is>
          <t>https://www.swimcloud.com/results/383755/event/24/?id=175907461#time175907461</t>
        </is>
      </c>
      <c r="AC1021" s="33" t="inlineStr">
        <is>
          <t>SwimCloud API v6 2026-10-08</t>
        </is>
      </c>
      <c r="AD1021" s="33" t="inlineStr">
        <is>
          <t>Flynn Southam|2026-04-07|LCM|200|Free|112.39|Australian Open|PRE|False</t>
        </is>
      </c>
      <c r="AE1021" s="53">
        <f>G1021+L1021/1000+ROW()/1000000000</f>
        <v/>
      </c>
      <c r="AF1021" s="35">
        <f>IF(C1021&lt;&gt;"Grayson Coulter","",COUNTIFS($C$5:$C$2991,"Grayson Coulter",$Q$5:$Q$2991,Q1021,$AE$5:$AE$2991,"&lt;="&amp;AE1021,$R$5:$R$2991,"&lt;"&amp;R1021))</f>
        <v/>
      </c>
      <c r="AG1021" s="35">
        <f>IF(OR(C1021&lt;&gt;"Grayson Coulter",G1021&lt;'00_Control'!$B$7),"",--(AF1021&lt;5))</f>
        <v/>
      </c>
      <c r="AH1021" s="35">
        <f>IF(OR(C1021&lt;&gt;"Grayson Coulter",G1021&lt;'00_Control'!$B$7),"",--(AF1021&lt;10))</f>
        <v/>
      </c>
      <c r="AI1021" s="35">
        <f>IF(AND(C1021="Grayson Coulter",G1021&gt;='00_Control'!$B$7),"YES","NO")</f>
        <v/>
      </c>
      <c r="AJ1021" s="33" t="inlineStr">
        <is>
          <t>OK</t>
        </is>
      </c>
    </row>
    <row r="1022">
      <c r="A1022" s="33" t="inlineStr">
        <is>
          <t>SM001018</t>
        </is>
      </c>
      <c r="B1022" s="33" t="inlineStr">
        <is>
          <t>SW012</t>
        </is>
      </c>
      <c r="C1022" s="33" t="inlineStr">
        <is>
          <t>Flynn Southam</t>
        </is>
      </c>
      <c r="D1022" s="33" t="inlineStr">
        <is>
          <t>SwimCloud</t>
        </is>
      </c>
      <c r="E1022" s="33" t="inlineStr">
        <is>
          <t>956278</t>
        </is>
      </c>
      <c r="F1022" s="33" t="inlineStr">
        <is>
          <t>175907462</t>
        </is>
      </c>
      <c r="G1022" s="51" t="n">
        <v>46119</v>
      </c>
      <c r="H1022" s="33" t="inlineStr">
        <is>
          <t>Australian Open</t>
        </is>
      </c>
      <c r="I1022" s="33" t="inlineStr">
        <is>
          <t>383755</t>
        </is>
      </c>
      <c r="J1022" s="33" t="inlineStr"/>
      <c r="K1022" s="33" t="inlineStr">
        <is>
          <t>FIN</t>
        </is>
      </c>
      <c r="L1022" s="35">
        <f>IF(K1022="FIN",3,IF(OR(K1022="SEM",K1022="SEMI"),2,IF(OR(K1022="PRE",K1022="HEAT"),1,IF(V1022="YES",4,2))))</f>
        <v/>
      </c>
      <c r="M1022" s="33" t="inlineStr">
        <is>
          <t>LCM</t>
        </is>
      </c>
      <c r="N1022" s="33" t="n">
        <v>200</v>
      </c>
      <c r="O1022" s="33" t="inlineStr">
        <is>
          <t>Free</t>
        </is>
      </c>
      <c r="P1022" s="33" t="inlineStr">
        <is>
          <t>200 Free</t>
        </is>
      </c>
      <c r="Q1022" s="33" t="inlineStr">
        <is>
          <t>LCM_200_FREE</t>
        </is>
      </c>
      <c r="R1022" s="36" t="n">
        <v>111.29</v>
      </c>
      <c r="S1022" s="35">
        <f>IF(R1022="","",IF(R1022&gt;=60,INT(R1022/60)&amp;":"&amp;TEXT(MOD(R1022,60),"00.00"),TEXT(R1022,"0.00")))</f>
        <v/>
      </c>
      <c r="T1022" s="52">
        <f>IFERROR((G1022-INDEX('01_Swimmers'!$E$5:$E$22,MATCH(B1022,'01_Swimmers'!$A$5:$A$22,0)))/'00_Control'!$B$10,"")</f>
        <v/>
      </c>
      <c r="U1022" s="35">
        <f>IF(T1022="","",INT(T1022))</f>
        <v/>
      </c>
      <c r="V1022" s="33" t="inlineStr">
        <is>
          <t>NO</t>
        </is>
      </c>
      <c r="W1022" s="33" t="inlineStr">
        <is>
          <t>YES</t>
        </is>
      </c>
      <c r="X1022" s="33" t="inlineStr">
        <is>
          <t>NO</t>
        </is>
      </c>
      <c r="Y1022" s="33" t="n">
        <v>2</v>
      </c>
      <c r="Z1022" s="33" t="n">
        <v>9</v>
      </c>
      <c r="AA1022" s="33" t="inlineStr">
        <is>
          <t>7</t>
        </is>
      </c>
      <c r="AB1022" s="33" t="inlineStr">
        <is>
          <t>https://www.swimcloud.com/results/383755/event/24/?id=175907462#time175907462</t>
        </is>
      </c>
      <c r="AC1022" s="33" t="inlineStr">
        <is>
          <t>SwimCloud API v6 2026-10-08</t>
        </is>
      </c>
      <c r="AD1022" s="33" t="inlineStr">
        <is>
          <t>Flynn Southam|2026-04-07|LCM|200|Free|111.29|Australian Open|FIN|False</t>
        </is>
      </c>
      <c r="AE1022" s="53">
        <f>G1022+L1022/1000+ROW()/1000000000</f>
        <v/>
      </c>
      <c r="AF1022" s="35">
        <f>IF(C1022&lt;&gt;"Grayson Coulter","",COUNTIFS($C$5:$C$2991,"Grayson Coulter",$Q$5:$Q$2991,Q1022,$AE$5:$AE$2991,"&lt;="&amp;AE1022,$R$5:$R$2991,"&lt;"&amp;R1022))</f>
        <v/>
      </c>
      <c r="AG1022" s="35">
        <f>IF(OR(C1022&lt;&gt;"Grayson Coulter",G1022&lt;'00_Control'!$B$7),"",--(AF1022&lt;5))</f>
        <v/>
      </c>
      <c r="AH1022" s="35">
        <f>IF(OR(C1022&lt;&gt;"Grayson Coulter",G1022&lt;'00_Control'!$B$7),"",--(AF1022&lt;10))</f>
        <v/>
      </c>
      <c r="AI1022" s="35">
        <f>IF(AND(C1022="Grayson Coulter",G1022&gt;='00_Control'!$B$7),"YES","NO")</f>
        <v/>
      </c>
      <c r="AJ1022" s="33" t="inlineStr">
        <is>
          <t>OK</t>
        </is>
      </c>
    </row>
    <row r="1023">
      <c r="A1023" s="33" t="inlineStr">
        <is>
          <t>SM001019</t>
        </is>
      </c>
      <c r="B1023" s="33" t="inlineStr">
        <is>
          <t>SW012</t>
        </is>
      </c>
      <c r="C1023" s="33" t="inlineStr">
        <is>
          <t>Flynn Southam</t>
        </is>
      </c>
      <c r="D1023" s="33" t="inlineStr">
        <is>
          <t>SwimCloud</t>
        </is>
      </c>
      <c r="E1023" s="33" t="inlineStr">
        <is>
          <t>956278</t>
        </is>
      </c>
      <c r="F1023" s="33" t="inlineStr">
        <is>
          <t>178832108</t>
        </is>
      </c>
      <c r="G1023" s="51" t="n">
        <v>46184</v>
      </c>
      <c r="H1023" s="33" t="inlineStr">
        <is>
          <t>Australian Swimming Trials</t>
        </is>
      </c>
      <c r="I1023" s="33" t="inlineStr">
        <is>
          <t>388115</t>
        </is>
      </c>
      <c r="J1023" s="33" t="inlineStr"/>
      <c r="K1023" s="33" t="inlineStr">
        <is>
          <t>PRE</t>
        </is>
      </c>
      <c r="L1023" s="35">
        <f>IF(K1023="FIN",3,IF(OR(K1023="SEM",K1023="SEMI"),2,IF(OR(K1023="PRE",K1023="HEAT"),1,IF(V1023="YES",4,2))))</f>
        <v/>
      </c>
      <c r="M1023" s="33" t="inlineStr">
        <is>
          <t>LCM</t>
        </is>
      </c>
      <c r="N1023" s="33" t="n">
        <v>100</v>
      </c>
      <c r="O1023" s="33" t="inlineStr">
        <is>
          <t>Free</t>
        </is>
      </c>
      <c r="P1023" s="33" t="inlineStr">
        <is>
          <t>100 Free</t>
        </is>
      </c>
      <c r="Q1023" s="33" t="inlineStr">
        <is>
          <t>LCM_100_FREE</t>
        </is>
      </c>
      <c r="R1023" s="36" t="n">
        <v>47.98</v>
      </c>
      <c r="S1023" s="35">
        <f>IF(R1023="","",IF(R1023&gt;=60,INT(R1023/60)&amp;":"&amp;TEXT(MOD(R1023,60),"00.00"),TEXT(R1023,"0.00")))</f>
        <v/>
      </c>
      <c r="T1023" s="52">
        <f>IFERROR((G1023-INDEX('01_Swimmers'!$E$5:$E$22,MATCH(B1023,'01_Swimmers'!$A$5:$A$22,0)))/'00_Control'!$B$10,"")</f>
        <v/>
      </c>
      <c r="U1023" s="35">
        <f>IF(T1023="","",INT(T1023))</f>
        <v/>
      </c>
      <c r="V1023" s="33" t="inlineStr">
        <is>
          <t>NO</t>
        </is>
      </c>
      <c r="W1023" s="33" t="inlineStr">
        <is>
          <t>YES</t>
        </is>
      </c>
      <c r="X1023" s="33" t="inlineStr">
        <is>
          <t>NO</t>
        </is>
      </c>
      <c r="Y1023" s="33" t="n">
        <v>2</v>
      </c>
      <c r="Z1023" s="33" t="n">
        <v>4</v>
      </c>
      <c r="AA1023" s="33" t="inlineStr">
        <is>
          <t>1</t>
        </is>
      </c>
      <c r="AB1023" s="33" t="inlineStr">
        <is>
          <t>https://www.swimcloud.com/results/388115/event/39/?id=178832108#time178832108</t>
        </is>
      </c>
      <c r="AC1023" s="33" t="inlineStr">
        <is>
          <t>SwimCloud API v6 2026-10-08</t>
        </is>
      </c>
      <c r="AD1023" s="33" t="inlineStr">
        <is>
          <t>Flynn Southam|2026-06-11|LCM|100|Free|47.98|Australian Swimming Trials|PRE|False</t>
        </is>
      </c>
      <c r="AE1023" s="53">
        <f>G1023+L1023/1000+ROW()/1000000000</f>
        <v/>
      </c>
      <c r="AF1023" s="35">
        <f>IF(C1023&lt;&gt;"Grayson Coulter","",COUNTIFS($C$5:$C$2991,"Grayson Coulter",$Q$5:$Q$2991,Q1023,$AE$5:$AE$2991,"&lt;="&amp;AE1023,$R$5:$R$2991,"&lt;"&amp;R1023))</f>
        <v/>
      </c>
      <c r="AG1023" s="35">
        <f>IF(OR(C1023&lt;&gt;"Grayson Coulter",G1023&lt;'00_Control'!$B$7),"",--(AF1023&lt;5))</f>
        <v/>
      </c>
      <c r="AH1023" s="35">
        <f>IF(OR(C1023&lt;&gt;"Grayson Coulter",G1023&lt;'00_Control'!$B$7),"",--(AF1023&lt;10))</f>
        <v/>
      </c>
      <c r="AI1023" s="35">
        <f>IF(AND(C1023="Grayson Coulter",G1023&gt;='00_Control'!$B$7),"YES","NO")</f>
        <v/>
      </c>
      <c r="AJ1023" s="33" t="inlineStr">
        <is>
          <t>OK</t>
        </is>
      </c>
    </row>
    <row r="1024">
      <c r="A1024" s="33" t="inlineStr">
        <is>
          <t>SM001020</t>
        </is>
      </c>
      <c r="B1024" s="33" t="inlineStr">
        <is>
          <t>SW012</t>
        </is>
      </c>
      <c r="C1024" s="33" t="inlineStr">
        <is>
          <t>Flynn Southam</t>
        </is>
      </c>
      <c r="D1024" s="33" t="inlineStr">
        <is>
          <t>SwimCloud</t>
        </is>
      </c>
      <c r="E1024" s="33" t="inlineStr">
        <is>
          <t>956278</t>
        </is>
      </c>
      <c r="F1024" s="33" t="inlineStr">
        <is>
          <t>178832109</t>
        </is>
      </c>
      <c r="G1024" s="51" t="n">
        <v>46184</v>
      </c>
      <c r="H1024" s="33" t="inlineStr">
        <is>
          <t>Australian Swimming Trials</t>
        </is>
      </c>
      <c r="I1024" s="33" t="inlineStr">
        <is>
          <t>388115</t>
        </is>
      </c>
      <c r="J1024" s="33" t="inlineStr"/>
      <c r="K1024" s="33" t="inlineStr">
        <is>
          <t>FIN</t>
        </is>
      </c>
      <c r="L1024" s="35">
        <f>IF(K1024="FIN",3,IF(OR(K1024="SEM",K1024="SEMI"),2,IF(OR(K1024="PRE",K1024="HEAT"),1,IF(V1024="YES",4,2))))</f>
        <v/>
      </c>
      <c r="M1024" s="33" t="inlineStr">
        <is>
          <t>LCM</t>
        </is>
      </c>
      <c r="N1024" s="33" t="n">
        <v>100</v>
      </c>
      <c r="O1024" s="33" t="inlineStr">
        <is>
          <t>Free</t>
        </is>
      </c>
      <c r="P1024" s="33" t="inlineStr">
        <is>
          <t>100 Free</t>
        </is>
      </c>
      <c r="Q1024" s="33" t="inlineStr">
        <is>
          <t>LCM_100_FREE</t>
        </is>
      </c>
      <c r="R1024" s="36" t="n">
        <v>47.94</v>
      </c>
      <c r="S1024" s="35">
        <f>IF(R1024="","",IF(R1024&gt;=60,INT(R1024/60)&amp;":"&amp;TEXT(MOD(R1024,60),"00.00"),TEXT(R1024,"0.00")))</f>
        <v/>
      </c>
      <c r="T1024" s="52">
        <f>IFERROR((G1024-INDEX('01_Swimmers'!$E$5:$E$22,MATCH(B1024,'01_Swimmers'!$A$5:$A$22,0)))/'00_Control'!$B$10,"")</f>
        <v/>
      </c>
      <c r="U1024" s="35">
        <f>IF(T1024="","",INT(T1024))</f>
        <v/>
      </c>
      <c r="V1024" s="33" t="inlineStr">
        <is>
          <t>NO</t>
        </is>
      </c>
      <c r="W1024" s="33" t="inlineStr">
        <is>
          <t>YES</t>
        </is>
      </c>
      <c r="X1024" s="33" t="inlineStr">
        <is>
          <t>NO</t>
        </is>
      </c>
      <c r="Y1024" s="33" t="n">
        <v>1</v>
      </c>
      <c r="Z1024" s="33" t="n">
        <v>4</v>
      </c>
      <c r="AA1024" s="33" t="inlineStr">
        <is>
          <t>2</t>
        </is>
      </c>
      <c r="AB1024" s="33" t="inlineStr">
        <is>
          <t>https://www.swimcloud.com/results/388115/event/39/?id=178832109#time178832109</t>
        </is>
      </c>
      <c r="AC1024" s="33" t="inlineStr">
        <is>
          <t>SwimCloud API v6 2026-10-08</t>
        </is>
      </c>
      <c r="AD1024" s="33" t="inlineStr">
        <is>
          <t>Flynn Southam|2026-06-11|LCM|100|Free|47.94|Australian Swimming Trials|FIN|False</t>
        </is>
      </c>
      <c r="AE1024" s="53">
        <f>G1024+L1024/1000+ROW()/1000000000</f>
        <v/>
      </c>
      <c r="AF1024" s="35">
        <f>IF(C1024&lt;&gt;"Grayson Coulter","",COUNTIFS($C$5:$C$2991,"Grayson Coulter",$Q$5:$Q$2991,Q1024,$AE$5:$AE$2991,"&lt;="&amp;AE1024,$R$5:$R$2991,"&lt;"&amp;R1024))</f>
        <v/>
      </c>
      <c r="AG1024" s="35">
        <f>IF(OR(C1024&lt;&gt;"Grayson Coulter",G1024&lt;'00_Control'!$B$7),"",--(AF1024&lt;5))</f>
        <v/>
      </c>
      <c r="AH1024" s="35">
        <f>IF(OR(C1024&lt;&gt;"Grayson Coulter",G1024&lt;'00_Control'!$B$7),"",--(AF1024&lt;10))</f>
        <v/>
      </c>
      <c r="AI1024" s="35">
        <f>IF(AND(C1024="Grayson Coulter",G1024&gt;='00_Control'!$B$7),"YES","NO")</f>
        <v/>
      </c>
      <c r="AJ1024" s="33" t="inlineStr">
        <is>
          <t>OK</t>
        </is>
      </c>
    </row>
    <row r="1025">
      <c r="A1025" s="33" t="inlineStr">
        <is>
          <t>SM001021</t>
        </is>
      </c>
      <c r="B1025" s="33" t="inlineStr">
        <is>
          <t>SW012</t>
        </is>
      </c>
      <c r="C1025" s="33" t="inlineStr">
        <is>
          <t>Flynn Southam</t>
        </is>
      </c>
      <c r="D1025" s="33" t="inlineStr">
        <is>
          <t>SwimCloud</t>
        </is>
      </c>
      <c r="E1025" s="33" t="inlineStr">
        <is>
          <t>956278</t>
        </is>
      </c>
      <c r="F1025" s="33" t="inlineStr">
        <is>
          <t>182774581</t>
        </is>
      </c>
      <c r="G1025" s="51" t="n">
        <v>46230</v>
      </c>
      <c r="H1025" s="33" t="inlineStr">
        <is>
          <t>XXIII Commonwealth Games</t>
        </is>
      </c>
      <c r="I1025" s="33" t="inlineStr">
        <is>
          <t>389322</t>
        </is>
      </c>
      <c r="J1025" s="33" t="inlineStr"/>
      <c r="K1025" s="33" t="inlineStr">
        <is>
          <t>PRE</t>
        </is>
      </c>
      <c r="L1025" s="35">
        <f>IF(K1025="FIN",3,IF(OR(K1025="SEM",K1025="SEMI"),2,IF(OR(K1025="PRE",K1025="HEAT"),1,IF(V1025="YES",4,2))))</f>
        <v/>
      </c>
      <c r="M1025" s="33" t="inlineStr">
        <is>
          <t>LCM</t>
        </is>
      </c>
      <c r="N1025" s="33" t="n">
        <v>100</v>
      </c>
      <c r="O1025" s="33" t="inlineStr">
        <is>
          <t>Free</t>
        </is>
      </c>
      <c r="P1025" s="33" t="inlineStr">
        <is>
          <t>100 Free</t>
        </is>
      </c>
      <c r="Q1025" s="33" t="inlineStr">
        <is>
          <t>LCM_100_FREE</t>
        </is>
      </c>
      <c r="R1025" s="36" t="n">
        <v>48.58</v>
      </c>
      <c r="S1025" s="35">
        <f>IF(R1025="","",IF(R1025&gt;=60,INT(R1025/60)&amp;":"&amp;TEXT(MOD(R1025,60),"00.00"),TEXT(R1025,"0.00")))</f>
        <v/>
      </c>
      <c r="T1025" s="52">
        <f>IFERROR((G1025-INDEX('01_Swimmers'!$E$5:$E$22,MATCH(B1025,'01_Swimmers'!$A$5:$A$22,0)))/'00_Control'!$B$10,"")</f>
        <v/>
      </c>
      <c r="U1025" s="35">
        <f>IF(T1025="","",INT(T1025))</f>
        <v/>
      </c>
      <c r="V1025" s="33" t="inlineStr">
        <is>
          <t>NO</t>
        </is>
      </c>
      <c r="W1025" s="33" t="inlineStr">
        <is>
          <t>YES</t>
        </is>
      </c>
      <c r="X1025" s="33" t="inlineStr">
        <is>
          <t>NO</t>
        </is>
      </c>
      <c r="Y1025" s="33" t="n"/>
      <c r="Z1025" s="33" t="n"/>
      <c r="AA1025" s="33" t="inlineStr">
        <is>
          <t>2</t>
        </is>
      </c>
      <c r="AB1025" s="33" t="inlineStr">
        <is>
          <t>https://www.swimcloud.com/results/389322/event/25/?id=182774581#time182774581</t>
        </is>
      </c>
      <c r="AC1025" s="33" t="inlineStr">
        <is>
          <t>SwimCloud API v6 2026-10-08</t>
        </is>
      </c>
      <c r="AD1025" s="33" t="inlineStr">
        <is>
          <t>Flynn Southam|2026-07-27|LCM|100|Free|48.58|XXIII Commonwealth Games|PRE|False</t>
        </is>
      </c>
      <c r="AE1025" s="53">
        <f>G1025+L1025/1000+ROW()/1000000000</f>
        <v/>
      </c>
      <c r="AF1025" s="35">
        <f>IF(C1025&lt;&gt;"Grayson Coulter","",COUNTIFS($C$5:$C$2991,"Grayson Coulter",$Q$5:$Q$2991,Q1025,$AE$5:$AE$2991,"&lt;="&amp;AE1025,$R$5:$R$2991,"&lt;"&amp;R1025))</f>
        <v/>
      </c>
      <c r="AG1025" s="35">
        <f>IF(OR(C1025&lt;&gt;"Grayson Coulter",G1025&lt;'00_Control'!$B$7),"",--(AF1025&lt;5))</f>
        <v/>
      </c>
      <c r="AH1025" s="35">
        <f>IF(OR(C1025&lt;&gt;"Grayson Coulter",G1025&lt;'00_Control'!$B$7),"",--(AF1025&lt;10))</f>
        <v/>
      </c>
      <c r="AI1025" s="35">
        <f>IF(AND(C1025="Grayson Coulter",G1025&gt;='00_Control'!$B$7),"YES","NO")</f>
        <v/>
      </c>
      <c r="AJ1025" s="33" t="inlineStr">
        <is>
          <t>OK</t>
        </is>
      </c>
    </row>
    <row r="1026">
      <c r="A1026" s="33" t="inlineStr">
        <is>
          <t>SM001022</t>
        </is>
      </c>
      <c r="B1026" s="33" t="inlineStr">
        <is>
          <t>SW012</t>
        </is>
      </c>
      <c r="C1026" s="33" t="inlineStr">
        <is>
          <t>Flynn Southam</t>
        </is>
      </c>
      <c r="D1026" s="33" t="inlineStr">
        <is>
          <t>SwimCloud</t>
        </is>
      </c>
      <c r="E1026" s="33" t="inlineStr">
        <is>
          <t>956278</t>
        </is>
      </c>
      <c r="F1026" s="33" t="inlineStr">
        <is>
          <t>182775601</t>
        </is>
      </c>
      <c r="G1026" s="51" t="n">
        <v>46234</v>
      </c>
      <c r="H1026" s="33" t="inlineStr">
        <is>
          <t>XXIII Commonwealth Games</t>
        </is>
      </c>
      <c r="I1026" s="33" t="inlineStr">
        <is>
          <t>389322</t>
        </is>
      </c>
      <c r="J1026" s="33" t="inlineStr"/>
      <c r="K1026" s="33" t="inlineStr">
        <is>
          <t>SEM</t>
        </is>
      </c>
      <c r="L1026" s="35">
        <f>IF(K1026="FIN",3,IF(OR(K1026="SEM",K1026="SEMI"),2,IF(OR(K1026="PRE",K1026="HEAT"),1,IF(V1026="YES",4,2))))</f>
        <v/>
      </c>
      <c r="M1026" s="33" t="inlineStr">
        <is>
          <t>LCM</t>
        </is>
      </c>
      <c r="N1026" s="33" t="n">
        <v>100</v>
      </c>
      <c r="O1026" s="33" t="inlineStr">
        <is>
          <t>Free</t>
        </is>
      </c>
      <c r="P1026" s="33" t="inlineStr">
        <is>
          <t>100 Free</t>
        </is>
      </c>
      <c r="Q1026" s="33" t="inlineStr">
        <is>
          <t>LCM_100_FREE</t>
        </is>
      </c>
      <c r="R1026" s="36" t="n">
        <v>48.08</v>
      </c>
      <c r="S1026" s="35">
        <f>IF(R1026="","",IF(R1026&gt;=60,INT(R1026/60)&amp;":"&amp;TEXT(MOD(R1026,60),"00.00"),TEXT(R1026,"0.00")))</f>
        <v/>
      </c>
      <c r="T1026" s="52">
        <f>IFERROR((G1026-INDEX('01_Swimmers'!$E$5:$E$22,MATCH(B1026,'01_Swimmers'!$A$5:$A$22,0)))/'00_Control'!$B$10,"")</f>
        <v/>
      </c>
      <c r="U1026" s="35">
        <f>IF(T1026="","",INT(T1026))</f>
        <v/>
      </c>
      <c r="V1026" s="33" t="inlineStr">
        <is>
          <t>NO</t>
        </is>
      </c>
      <c r="W1026" s="33" t="inlineStr">
        <is>
          <t>YES</t>
        </is>
      </c>
      <c r="X1026" s="33" t="inlineStr">
        <is>
          <t>NO</t>
        </is>
      </c>
      <c r="Y1026" s="33" t="n">
        <v>1</v>
      </c>
      <c r="Z1026" s="33" t="n">
        <v>4</v>
      </c>
      <c r="AA1026" s="33" t="inlineStr">
        <is>
          <t>2</t>
        </is>
      </c>
      <c r="AB1026" s="33" t="inlineStr">
        <is>
          <t>https://www.swimcloud.com/results/389322/event/25/?id=182775601#time182775601</t>
        </is>
      </c>
      <c r="AC1026" s="33" t="inlineStr">
        <is>
          <t>SwimCloud API v6 2026-10-08</t>
        </is>
      </c>
      <c r="AD1026" s="33" t="inlineStr">
        <is>
          <t>Flynn Southam|2026-07-31|LCM|100|Free|48.08|XXIII Commonwealth Games|SEM|False</t>
        </is>
      </c>
      <c r="AE1026" s="53">
        <f>G1026+L1026/1000+ROW()/1000000000</f>
        <v/>
      </c>
      <c r="AF1026" s="35">
        <f>IF(C1026&lt;&gt;"Grayson Coulter","",COUNTIFS($C$5:$C$2991,"Grayson Coulter",$Q$5:$Q$2991,Q1026,$AE$5:$AE$2991,"&lt;="&amp;AE1026,$R$5:$R$2991,"&lt;"&amp;R1026))</f>
        <v/>
      </c>
      <c r="AG1026" s="35">
        <f>IF(OR(C1026&lt;&gt;"Grayson Coulter",G1026&lt;'00_Control'!$B$7),"",--(AF1026&lt;5))</f>
        <v/>
      </c>
      <c r="AH1026" s="35">
        <f>IF(OR(C1026&lt;&gt;"Grayson Coulter",G1026&lt;'00_Control'!$B$7),"",--(AF1026&lt;10))</f>
        <v/>
      </c>
      <c r="AI1026" s="35">
        <f>IF(AND(C1026="Grayson Coulter",G1026&gt;='00_Control'!$B$7),"YES","NO")</f>
        <v/>
      </c>
      <c r="AJ1026" s="33" t="inlineStr">
        <is>
          <t>OK</t>
        </is>
      </c>
    </row>
    <row r="1027">
      <c r="A1027" s="33" t="inlineStr">
        <is>
          <t>SM001023</t>
        </is>
      </c>
      <c r="B1027" s="33" t="inlineStr">
        <is>
          <t>SW012</t>
        </is>
      </c>
      <c r="C1027" s="33" t="inlineStr">
        <is>
          <t>Flynn Southam</t>
        </is>
      </c>
      <c r="D1027" s="33" t="inlineStr">
        <is>
          <t>SwimCloud</t>
        </is>
      </c>
      <c r="E1027" s="33" t="inlineStr">
        <is>
          <t>956278</t>
        </is>
      </c>
      <c r="F1027" s="33" t="inlineStr">
        <is>
          <t>182782976</t>
        </is>
      </c>
      <c r="G1027" s="51" t="n">
        <v>46237</v>
      </c>
      <c r="H1027" s="33" t="inlineStr">
        <is>
          <t>XXIII Commonwealth Games</t>
        </is>
      </c>
      <c r="I1027" s="33" t="inlineStr">
        <is>
          <t>389322</t>
        </is>
      </c>
      <c r="J1027" s="33" t="inlineStr"/>
      <c r="K1027" s="33" t="inlineStr">
        <is>
          <t>FIN</t>
        </is>
      </c>
      <c r="L1027" s="35">
        <f>IF(K1027="FIN",3,IF(OR(K1027="SEM",K1027="SEMI"),2,IF(OR(K1027="PRE",K1027="HEAT"),1,IF(V1027="YES",4,2))))</f>
        <v/>
      </c>
      <c r="M1027" s="33" t="inlineStr">
        <is>
          <t>LCM</t>
        </is>
      </c>
      <c r="N1027" s="33" t="n">
        <v>100</v>
      </c>
      <c r="O1027" s="33" t="inlineStr">
        <is>
          <t>Free</t>
        </is>
      </c>
      <c r="P1027" s="33" t="inlineStr">
        <is>
          <t>100 Free</t>
        </is>
      </c>
      <c r="Q1027" s="33" t="inlineStr">
        <is>
          <t>LCM_100_FREE</t>
        </is>
      </c>
      <c r="R1027" s="36" t="n">
        <v>47.13</v>
      </c>
      <c r="S1027" s="35">
        <f>IF(R1027="","",IF(R1027&gt;=60,INT(R1027/60)&amp;":"&amp;TEXT(MOD(R1027,60),"00.00"),TEXT(R1027,"0.00")))</f>
        <v/>
      </c>
      <c r="T1027" s="52">
        <f>IFERROR((G1027-INDEX('01_Swimmers'!$E$5:$E$22,MATCH(B1027,'01_Swimmers'!$A$5:$A$22,0)))/'00_Control'!$B$10,"")</f>
        <v/>
      </c>
      <c r="U1027" s="35">
        <f>IF(T1027="","",INT(T1027))</f>
        <v/>
      </c>
      <c r="V1027" s="33" t="inlineStr">
        <is>
          <t>NO</t>
        </is>
      </c>
      <c r="W1027" s="33" t="inlineStr">
        <is>
          <t>YES</t>
        </is>
      </c>
      <c r="X1027" s="33" t="inlineStr">
        <is>
          <t>NO</t>
        </is>
      </c>
      <c r="Y1027" s="33" t="n">
        <v>1</v>
      </c>
      <c r="Z1027" s="33" t="n">
        <v>5</v>
      </c>
      <c r="AA1027" s="33" t="inlineStr">
        <is>
          <t>1</t>
        </is>
      </c>
      <c r="AB1027" s="33" t="inlineStr">
        <is>
          <t>https://www.swimcloud.com/results/389322/event/25/?id=182782976#time182782976</t>
        </is>
      </c>
      <c r="AC1027" s="33" t="inlineStr">
        <is>
          <t>SwimCloud API v6 2026-10-08</t>
        </is>
      </c>
      <c r="AD1027" s="33" t="inlineStr">
        <is>
          <t>Flynn Southam|2026-08-03|LCM|100|Free|47.13|XXIII Commonwealth Games|FIN|False</t>
        </is>
      </c>
      <c r="AE1027" s="53">
        <f>G1027+L1027/1000+ROW()/1000000000</f>
        <v/>
      </c>
      <c r="AF1027" s="35">
        <f>IF(C1027&lt;&gt;"Grayson Coulter","",COUNTIFS($C$5:$C$2991,"Grayson Coulter",$Q$5:$Q$2991,Q1027,$AE$5:$AE$2991,"&lt;="&amp;AE1027,$R$5:$R$2991,"&lt;"&amp;R1027))</f>
        <v/>
      </c>
      <c r="AG1027" s="35">
        <f>IF(OR(C1027&lt;&gt;"Grayson Coulter",G1027&lt;'00_Control'!$B$7),"",--(AF1027&lt;5))</f>
        <v/>
      </c>
      <c r="AH1027" s="35">
        <f>IF(OR(C1027&lt;&gt;"Grayson Coulter",G1027&lt;'00_Control'!$B$7),"",--(AF1027&lt;10))</f>
        <v/>
      </c>
      <c r="AI1027" s="35">
        <f>IF(AND(C1027="Grayson Coulter",G1027&gt;='00_Control'!$B$7),"YES","NO")</f>
        <v/>
      </c>
      <c r="AJ1027" s="33" t="inlineStr">
        <is>
          <t>OK</t>
        </is>
      </c>
    </row>
    <row r="1028">
      <c r="A1028" s="33" t="inlineStr">
        <is>
          <t>SM001024</t>
        </is>
      </c>
      <c r="B1028" s="33" t="inlineStr">
        <is>
          <t>SW001</t>
        </is>
      </c>
      <c r="C1028" s="33" t="inlineStr">
        <is>
          <t>Grayson Coulter</t>
        </is>
      </c>
      <c r="D1028" s="33" t="inlineStr">
        <is>
          <t>SwimCloud</t>
        </is>
      </c>
      <c r="E1028" s="33" t="inlineStr">
        <is>
          <t>3651023</t>
        </is>
      </c>
      <c r="F1028" s="33" t="inlineStr">
        <is>
          <t>109351635</t>
        </is>
      </c>
      <c r="G1028" s="51" t="n">
        <v>44717</v>
      </c>
      <c r="H1028" s="33" t="inlineStr">
        <is>
          <t>2022 Golden Homes Swimfest</t>
        </is>
      </c>
      <c r="I1028" s="33" t="inlineStr">
        <is>
          <t>267185</t>
        </is>
      </c>
      <c r="J1028" s="33" t="inlineStr"/>
      <c r="K1028" s="33" t="inlineStr">
        <is>
          <t>TIM</t>
        </is>
      </c>
      <c r="L1028" s="35">
        <f>IF(K1028="FIN",3,IF(OR(K1028="SEM",K1028="SEMI"),2,IF(OR(K1028="PRE",K1028="HEAT"),1,IF(V1028="YES",4,2))))</f>
        <v/>
      </c>
      <c r="M1028" s="33" t="inlineStr">
        <is>
          <t>LCM</t>
        </is>
      </c>
      <c r="N1028" s="33" t="n">
        <v>100</v>
      </c>
      <c r="O1028" s="33" t="inlineStr">
        <is>
          <t>Free</t>
        </is>
      </c>
      <c r="P1028" s="33" t="inlineStr">
        <is>
          <t>100 Free</t>
        </is>
      </c>
      <c r="Q1028" s="33" t="inlineStr">
        <is>
          <t>LCM_100_FREE</t>
        </is>
      </c>
      <c r="R1028" s="36" t="n">
        <v>67.25</v>
      </c>
      <c r="S1028" s="35">
        <f>IF(R1028="","",IF(R1028&gt;=60,INT(R1028/60)&amp;":"&amp;TEXT(MOD(R1028,60),"00.00"),TEXT(R1028,"0.00")))</f>
        <v/>
      </c>
      <c r="T1028" s="52">
        <f>IFERROR((G1028-INDEX('01_Swimmers'!$E$5:$E$22,MATCH(B1028,'01_Swimmers'!$A$5:$A$22,0)))/'00_Control'!$B$10,"")</f>
        <v/>
      </c>
      <c r="U1028" s="35">
        <f>IF(T1028="","",INT(T1028))</f>
        <v/>
      </c>
      <c r="V1028" s="33" t="inlineStr">
        <is>
          <t>NO</t>
        </is>
      </c>
      <c r="W1028" s="33" t="inlineStr">
        <is>
          <t>YES</t>
        </is>
      </c>
      <c r="X1028" s="33" t="inlineStr">
        <is>
          <t>NO</t>
        </is>
      </c>
      <c r="Y1028" s="33" t="n">
        <v>14</v>
      </c>
      <c r="Z1028" s="33" t="n">
        <v>5</v>
      </c>
      <c r="AA1028" s="33" t="inlineStr">
        <is>
          <t>1</t>
        </is>
      </c>
      <c r="AB1028" s="33" t="inlineStr">
        <is>
          <t>https://www.swimcloud.com/results/267185/event/40/?id=109351635#time109351635</t>
        </is>
      </c>
      <c r="AC1028" s="33" t="inlineStr">
        <is>
          <t>SwimCloud API v6 2026-10-08</t>
        </is>
      </c>
      <c r="AD1028" s="33" t="inlineStr">
        <is>
          <t>Grayson Coulter|2022-06-05|LCM|100|Free|67.25|2022 Golden Homes Swimfest|TIM|False</t>
        </is>
      </c>
      <c r="AE1028" s="53">
        <f>G1028+L1028/1000+ROW()/1000000000</f>
        <v/>
      </c>
      <c r="AF1028" s="35">
        <f>IF(C1028&lt;&gt;"Grayson Coulter","",COUNTIFS($C$5:$C$2991,"Grayson Coulter",$Q$5:$Q$2991,Q1028,$AE$5:$AE$2991,"&lt;="&amp;AE1028,$R$5:$R$2991,"&lt;"&amp;R1028))</f>
        <v/>
      </c>
      <c r="AG1028" s="35">
        <f>IF(OR(C1028&lt;&gt;"Grayson Coulter",G1028&lt;'00_Control'!$B$7),"",--(AF1028&lt;5))</f>
        <v/>
      </c>
      <c r="AH1028" s="35">
        <f>IF(OR(C1028&lt;&gt;"Grayson Coulter",G1028&lt;'00_Control'!$B$7),"",--(AF1028&lt;10))</f>
        <v/>
      </c>
      <c r="AI1028" s="35">
        <f>IF(AND(C1028="Grayson Coulter",G1028&gt;='00_Control'!$B$7),"YES","NO")</f>
        <v/>
      </c>
      <c r="AJ1028" s="33" t="inlineStr">
        <is>
          <t>OK</t>
        </is>
      </c>
    </row>
    <row r="1029">
      <c r="A1029" s="33" t="inlineStr">
        <is>
          <t>SM001025</t>
        </is>
      </c>
      <c r="B1029" s="33" t="inlineStr">
        <is>
          <t>SW001</t>
        </is>
      </c>
      <c r="C1029" s="33" t="inlineStr">
        <is>
          <t>Grayson Coulter</t>
        </is>
      </c>
      <c r="D1029" s="33" t="inlineStr">
        <is>
          <t>SwimCloud</t>
        </is>
      </c>
      <c r="E1029" s="33" t="inlineStr">
        <is>
          <t>3651023</t>
        </is>
      </c>
      <c r="F1029" s="33" t="inlineStr">
        <is>
          <t>125055389</t>
        </is>
      </c>
      <c r="G1029" s="51" t="n">
        <v>45011</v>
      </c>
      <c r="H1029" s="33" t="inlineStr">
        <is>
          <t>2023 ASA Juniors</t>
        </is>
      </c>
      <c r="I1029" s="33" t="inlineStr">
        <is>
          <t>302652</t>
        </is>
      </c>
      <c r="J1029" s="33" t="inlineStr"/>
      <c r="K1029" s="33" t="inlineStr">
        <is>
          <t>TIM</t>
        </is>
      </c>
      <c r="L1029" s="35">
        <f>IF(K1029="FIN",3,IF(OR(K1029="SEM",K1029="SEMI"),2,IF(OR(K1029="PRE",K1029="HEAT"),1,IF(V1029="YES",4,2))))</f>
        <v/>
      </c>
      <c r="M1029" s="33" t="inlineStr">
        <is>
          <t>SCM</t>
        </is>
      </c>
      <c r="N1029" s="33" t="n">
        <v>100</v>
      </c>
      <c r="O1029" s="33" t="inlineStr">
        <is>
          <t>Free</t>
        </is>
      </c>
      <c r="P1029" s="33" t="inlineStr">
        <is>
          <t>100 Free</t>
        </is>
      </c>
      <c r="Q1029" s="33" t="inlineStr">
        <is>
          <t>SCM_100_FREE</t>
        </is>
      </c>
      <c r="R1029" s="36" t="n">
        <v>60.09</v>
      </c>
      <c r="S1029" s="35">
        <f>IF(R1029="","",IF(R1029&gt;=60,INT(R1029/60)&amp;":"&amp;TEXT(MOD(R1029,60),"00.00"),TEXT(R1029,"0.00")))</f>
        <v/>
      </c>
      <c r="T1029" s="52">
        <f>IFERROR((G1029-INDEX('01_Swimmers'!$E$5:$E$22,MATCH(B1029,'01_Swimmers'!$A$5:$A$22,0)))/'00_Control'!$B$10,"")</f>
        <v/>
      </c>
      <c r="U1029" s="35">
        <f>IF(T1029="","",INT(T1029))</f>
        <v/>
      </c>
      <c r="V1029" s="33" t="inlineStr">
        <is>
          <t>NO</t>
        </is>
      </c>
      <c r="W1029" s="33" t="inlineStr">
        <is>
          <t>YES</t>
        </is>
      </c>
      <c r="X1029" s="33" t="inlineStr">
        <is>
          <t>NO</t>
        </is>
      </c>
      <c r="Y1029" s="33" t="n">
        <v>18</v>
      </c>
      <c r="Z1029" s="33" t="n">
        <v>5</v>
      </c>
      <c r="AA1029" s="33" t="inlineStr">
        <is>
          <t>1</t>
        </is>
      </c>
      <c r="AB1029" s="33" t="inlineStr">
        <is>
          <t>https://www.swimcloud.com/results/302652/event/18/?id=125055389#time125055389</t>
        </is>
      </c>
      <c r="AC1029" s="33" t="inlineStr">
        <is>
          <t>SwimCloud API v6 2026-10-08</t>
        </is>
      </c>
      <c r="AD1029" s="33" t="inlineStr">
        <is>
          <t>Grayson Coulter|2023-03-26|SCM|100|Free|60.09|2023 ASA Juniors|TIM|False</t>
        </is>
      </c>
      <c r="AE1029" s="53">
        <f>G1029+L1029/1000+ROW()/1000000000</f>
        <v/>
      </c>
      <c r="AF1029" s="35">
        <f>IF(C1029&lt;&gt;"Grayson Coulter","",COUNTIFS($C$5:$C$2991,"Grayson Coulter",$Q$5:$Q$2991,Q1029,$AE$5:$AE$2991,"&lt;="&amp;AE1029,$R$5:$R$2991,"&lt;"&amp;R1029))</f>
        <v/>
      </c>
      <c r="AG1029" s="35">
        <f>IF(OR(C1029&lt;&gt;"Grayson Coulter",G1029&lt;'00_Control'!$B$7),"",--(AF1029&lt;5))</f>
        <v/>
      </c>
      <c r="AH1029" s="35">
        <f>IF(OR(C1029&lt;&gt;"Grayson Coulter",G1029&lt;'00_Control'!$B$7),"",--(AF1029&lt;10))</f>
        <v/>
      </c>
      <c r="AI1029" s="35">
        <f>IF(AND(C1029="Grayson Coulter",G1029&gt;='00_Control'!$B$7),"YES","NO")</f>
        <v/>
      </c>
      <c r="AJ1029" s="33" t="inlineStr">
        <is>
          <t>OK</t>
        </is>
      </c>
    </row>
    <row r="1030">
      <c r="A1030" s="33" t="inlineStr">
        <is>
          <t>SM001026</t>
        </is>
      </c>
      <c r="B1030" s="33" t="inlineStr">
        <is>
          <t>SW001</t>
        </is>
      </c>
      <c r="C1030" s="33" t="inlineStr">
        <is>
          <t>Grayson Coulter</t>
        </is>
      </c>
      <c r="D1030" s="33" t="inlineStr">
        <is>
          <t>SwimCloud</t>
        </is>
      </c>
      <c r="E1030" s="33" t="inlineStr">
        <is>
          <t>3651023</t>
        </is>
      </c>
      <c r="F1030" s="33" t="inlineStr">
        <is>
          <t>125055995</t>
        </is>
      </c>
      <c r="G1030" s="51" t="n">
        <v>45011</v>
      </c>
      <c r="H1030" s="33" t="inlineStr">
        <is>
          <t>2023 ASA Juniors</t>
        </is>
      </c>
      <c r="I1030" s="33" t="inlineStr">
        <is>
          <t>302652</t>
        </is>
      </c>
      <c r="J1030" s="33" t="inlineStr"/>
      <c r="K1030" s="33" t="inlineStr">
        <is>
          <t>TIM</t>
        </is>
      </c>
      <c r="L1030" s="35">
        <f>IF(K1030="FIN",3,IF(OR(K1030="SEM",K1030="SEMI"),2,IF(OR(K1030="PRE",K1030="HEAT"),1,IF(V1030="YES",4,2))))</f>
        <v/>
      </c>
      <c r="M1030" s="33" t="inlineStr">
        <is>
          <t>SCM</t>
        </is>
      </c>
      <c r="N1030" s="33" t="n">
        <v>100</v>
      </c>
      <c r="O1030" s="33" t="inlineStr">
        <is>
          <t>Free</t>
        </is>
      </c>
      <c r="P1030" s="33" t="inlineStr">
        <is>
          <t>100 Free</t>
        </is>
      </c>
      <c r="Q1030" s="33" t="inlineStr">
        <is>
          <t>SCM_100_FREE</t>
        </is>
      </c>
      <c r="R1030" s="36" t="n">
        <v>61.13</v>
      </c>
      <c r="S1030" s="35">
        <f>IF(R1030="","",IF(R1030&gt;=60,INT(R1030/60)&amp;":"&amp;TEXT(MOD(R1030,60),"00.00"),TEXT(R1030,"0.00")))</f>
        <v/>
      </c>
      <c r="T1030" s="52">
        <f>IFERROR((G1030-INDEX('01_Swimmers'!$E$5:$E$22,MATCH(B1030,'01_Swimmers'!$A$5:$A$22,0)))/'00_Control'!$B$10,"")</f>
        <v/>
      </c>
      <c r="U1030" s="35">
        <f>IF(T1030="","",INT(T1030))</f>
        <v/>
      </c>
      <c r="V1030" s="33" t="inlineStr">
        <is>
          <t>YES</t>
        </is>
      </c>
      <c r="W1030" s="33" t="inlineStr">
        <is>
          <t>YES</t>
        </is>
      </c>
      <c r="X1030" s="33" t="inlineStr">
        <is>
          <t>NO</t>
        </is>
      </c>
      <c r="Y1030" s="33" t="n">
        <v>1</v>
      </c>
      <c r="Z1030" s="33" t="n">
        <v>2</v>
      </c>
      <c r="AA1030" s="33" t="inlineStr"/>
      <c r="AB1030" s="33" t="inlineStr">
        <is>
          <t>https://www.swimcloud.com/results/302652/event/17/?id=125055806#time125055806</t>
        </is>
      </c>
      <c r="AC1030" s="33" t="inlineStr">
        <is>
          <t>SwimCloud API v6 2026-10-08</t>
        </is>
      </c>
      <c r="AD1030" s="33" t="inlineStr">
        <is>
          <t>Grayson Coulter|2023-03-26|SCM|100|Free|61.13|2023 ASA Juniors|TIM|True</t>
        </is>
      </c>
      <c r="AE1030" s="53">
        <f>G1030+L1030/1000+ROW()/1000000000</f>
        <v/>
      </c>
      <c r="AF1030" s="35">
        <f>IF(C1030&lt;&gt;"Grayson Coulter","",COUNTIFS($C$5:$C$2991,"Grayson Coulter",$Q$5:$Q$2991,Q1030,$AE$5:$AE$2991,"&lt;="&amp;AE1030,$R$5:$R$2991,"&lt;"&amp;R1030))</f>
        <v/>
      </c>
      <c r="AG1030" s="35">
        <f>IF(OR(C1030&lt;&gt;"Grayson Coulter",G1030&lt;'00_Control'!$B$7),"",--(AF1030&lt;5))</f>
        <v/>
      </c>
      <c r="AH1030" s="35">
        <f>IF(OR(C1030&lt;&gt;"Grayson Coulter",G1030&lt;'00_Control'!$B$7),"",--(AF1030&lt;10))</f>
        <v/>
      </c>
      <c r="AI1030" s="35">
        <f>IF(AND(C1030="Grayson Coulter",G1030&gt;='00_Control'!$B$7),"YES","NO")</f>
        <v/>
      </c>
      <c r="AJ1030" s="33" t="inlineStr">
        <is>
          <t>OK</t>
        </is>
      </c>
    </row>
    <row r="1031">
      <c r="A1031" s="33" t="inlineStr">
        <is>
          <t>SM001027</t>
        </is>
      </c>
      <c r="B1031" s="33" t="inlineStr">
        <is>
          <t>SW001</t>
        </is>
      </c>
      <c r="C1031" s="33" t="inlineStr">
        <is>
          <t>Grayson Coulter</t>
        </is>
      </c>
      <c r="D1031" s="33" t="inlineStr">
        <is>
          <t>SwimCloud</t>
        </is>
      </c>
      <c r="E1031" s="33" t="inlineStr">
        <is>
          <t>3651023</t>
        </is>
      </c>
      <c r="F1031" s="33" t="inlineStr">
        <is>
          <t>125055837</t>
        </is>
      </c>
      <c r="G1031" s="51" t="n">
        <v>45011</v>
      </c>
      <c r="H1031" s="33" t="inlineStr">
        <is>
          <t>2023 ASA Juniors</t>
        </is>
      </c>
      <c r="I1031" s="33" t="inlineStr">
        <is>
          <t>302652</t>
        </is>
      </c>
      <c r="J1031" s="33" t="inlineStr"/>
      <c r="K1031" s="33" t="inlineStr">
        <is>
          <t>TIM</t>
        </is>
      </c>
      <c r="L1031" s="35">
        <f>IF(K1031="FIN",3,IF(OR(K1031="SEM",K1031="SEMI"),2,IF(OR(K1031="PRE",K1031="HEAT"),1,IF(V1031="YES",4,2))))</f>
        <v/>
      </c>
      <c r="M1031" s="33" t="inlineStr">
        <is>
          <t>SCM</t>
        </is>
      </c>
      <c r="N1031" s="33" t="n">
        <v>200</v>
      </c>
      <c r="O1031" s="33" t="inlineStr">
        <is>
          <t>Free</t>
        </is>
      </c>
      <c r="P1031" s="33" t="inlineStr">
        <is>
          <t>200 Free</t>
        </is>
      </c>
      <c r="Q1031" s="33" t="inlineStr">
        <is>
          <t>SCM_200_FREE</t>
        </is>
      </c>
      <c r="R1031" s="36" t="n">
        <v>130.05</v>
      </c>
      <c r="S1031" s="35">
        <f>IF(R1031="","",IF(R1031&gt;=60,INT(R1031/60)&amp;":"&amp;TEXT(MOD(R1031,60),"00.00"),TEXT(R1031,"0.00")))</f>
        <v/>
      </c>
      <c r="T1031" s="52">
        <f>IFERROR((G1031-INDEX('01_Swimmers'!$E$5:$E$22,MATCH(B1031,'01_Swimmers'!$A$5:$A$22,0)))/'00_Control'!$B$10,"")</f>
        <v/>
      </c>
      <c r="U1031" s="35">
        <f>IF(T1031="","",INT(T1031))</f>
        <v/>
      </c>
      <c r="V1031" s="33" t="inlineStr">
        <is>
          <t>NO</t>
        </is>
      </c>
      <c r="W1031" s="33" t="inlineStr">
        <is>
          <t>YES</t>
        </is>
      </c>
      <c r="X1031" s="33" t="inlineStr">
        <is>
          <t>NO</t>
        </is>
      </c>
      <c r="Y1031" s="33" t="n">
        <v>12</v>
      </c>
      <c r="Z1031" s="33" t="n">
        <v>5</v>
      </c>
      <c r="AA1031" s="33" t="inlineStr">
        <is>
          <t>1</t>
        </is>
      </c>
      <c r="AB1031" s="33" t="inlineStr">
        <is>
          <t>https://www.swimcloud.com/results/302652/event/14/?id=125055837#time125055837</t>
        </is>
      </c>
      <c r="AC1031" s="33" t="inlineStr">
        <is>
          <t>SwimCloud API v6 2026-10-08</t>
        </is>
      </c>
      <c r="AD1031" s="33" t="inlineStr">
        <is>
          <t>Grayson Coulter|2023-03-26|SCM|200|Free|130.05|2023 ASA Juniors|TIM|False</t>
        </is>
      </c>
      <c r="AE1031" s="53">
        <f>G1031+L1031/1000+ROW()/1000000000</f>
        <v/>
      </c>
      <c r="AF1031" s="35">
        <f>IF(C1031&lt;&gt;"Grayson Coulter","",COUNTIFS($C$5:$C$2991,"Grayson Coulter",$Q$5:$Q$2991,Q1031,$AE$5:$AE$2991,"&lt;="&amp;AE1031,$R$5:$R$2991,"&lt;"&amp;R1031))</f>
        <v/>
      </c>
      <c r="AG1031" s="35">
        <f>IF(OR(C1031&lt;&gt;"Grayson Coulter",G1031&lt;'00_Control'!$B$7),"",--(AF1031&lt;5))</f>
        <v/>
      </c>
      <c r="AH1031" s="35">
        <f>IF(OR(C1031&lt;&gt;"Grayson Coulter",G1031&lt;'00_Control'!$B$7),"",--(AF1031&lt;10))</f>
        <v/>
      </c>
      <c r="AI1031" s="35">
        <f>IF(AND(C1031="Grayson Coulter",G1031&gt;='00_Control'!$B$7),"YES","NO")</f>
        <v/>
      </c>
      <c r="AJ1031" s="33" t="inlineStr">
        <is>
          <t>OK</t>
        </is>
      </c>
    </row>
    <row r="1032">
      <c r="A1032" s="33" t="inlineStr">
        <is>
          <t>SM001028</t>
        </is>
      </c>
      <c r="B1032" s="33" t="inlineStr">
        <is>
          <t>SW001</t>
        </is>
      </c>
      <c r="C1032" s="33" t="inlineStr">
        <is>
          <t>Grayson Coulter</t>
        </is>
      </c>
      <c r="D1032" s="33" t="inlineStr">
        <is>
          <t>SwimCloud</t>
        </is>
      </c>
      <c r="E1032" s="33" t="inlineStr">
        <is>
          <t>3651023</t>
        </is>
      </c>
      <c r="F1032" s="33" t="inlineStr">
        <is>
          <t>125060279</t>
        </is>
      </c>
      <c r="G1032" s="51" t="n">
        <v>45074</v>
      </c>
      <c r="H1032" s="33" t="inlineStr">
        <is>
          <t>Waitakere Swimming Club Winter Meet 12U</t>
        </is>
      </c>
      <c r="I1032" s="33" t="inlineStr">
        <is>
          <t>302667</t>
        </is>
      </c>
      <c r="J1032" s="33" t="inlineStr"/>
      <c r="K1032" s="33" t="inlineStr">
        <is>
          <t>TIM</t>
        </is>
      </c>
      <c r="L1032" s="35">
        <f>IF(K1032="FIN",3,IF(OR(K1032="SEM",K1032="SEMI"),2,IF(OR(K1032="PRE",K1032="HEAT"),1,IF(V1032="YES",4,2))))</f>
        <v/>
      </c>
      <c r="M1032" s="33" t="inlineStr">
        <is>
          <t>SCM</t>
        </is>
      </c>
      <c r="N1032" s="33" t="n">
        <v>100</v>
      </c>
      <c r="O1032" s="33" t="inlineStr">
        <is>
          <t>Fly</t>
        </is>
      </c>
      <c r="P1032" s="33" t="inlineStr">
        <is>
          <t>100 Fly</t>
        </is>
      </c>
      <c r="Q1032" s="33" t="inlineStr">
        <is>
          <t>SCM_100_FLY</t>
        </is>
      </c>
      <c r="R1032" s="36" t="n">
        <v>67.48</v>
      </c>
      <c r="S1032" s="35">
        <f>IF(R1032="","",IF(R1032&gt;=60,INT(R1032/60)&amp;":"&amp;TEXT(MOD(R1032,60),"00.00"),TEXT(R1032,"0.00")))</f>
        <v/>
      </c>
      <c r="T1032" s="52">
        <f>IFERROR((G1032-INDEX('01_Swimmers'!$E$5:$E$22,MATCH(B1032,'01_Swimmers'!$A$5:$A$22,0)))/'00_Control'!$B$10,"")</f>
        <v/>
      </c>
      <c r="U1032" s="35">
        <f>IF(T1032="","",INT(T1032))</f>
        <v/>
      </c>
      <c r="V1032" s="33" t="inlineStr">
        <is>
          <t>NO</t>
        </is>
      </c>
      <c r="W1032" s="33" t="inlineStr">
        <is>
          <t>YES</t>
        </is>
      </c>
      <c r="X1032" s="33" t="inlineStr">
        <is>
          <t>NO</t>
        </is>
      </c>
      <c r="Y1032" s="33" t="n">
        <v>1</v>
      </c>
      <c r="Z1032" s="33" t="n">
        <v>5</v>
      </c>
      <c r="AA1032" s="33" t="inlineStr">
        <is>
          <t>1</t>
        </is>
      </c>
      <c r="AB1032" s="33" t="inlineStr">
        <is>
          <t>https://www.swimcloud.com/results/302667/event/7/?id=125060279#time125060279</t>
        </is>
      </c>
      <c r="AC1032" s="33" t="inlineStr">
        <is>
          <t>SwimCloud API v6 2026-10-08</t>
        </is>
      </c>
      <c r="AD1032" s="33" t="inlineStr">
        <is>
          <t>Grayson Coulter|2023-05-28|SCM|100|Fly|67.48|Waitakere Swimming Club Winter Meet 12U|TIM|False</t>
        </is>
      </c>
      <c r="AE1032" s="53">
        <f>G1032+L1032/1000+ROW()/1000000000</f>
        <v/>
      </c>
      <c r="AF1032" s="35">
        <f>IF(C1032&lt;&gt;"Grayson Coulter","",COUNTIFS($C$5:$C$2991,"Grayson Coulter",$Q$5:$Q$2991,Q1032,$AE$5:$AE$2991,"&lt;="&amp;AE1032,$R$5:$R$2991,"&lt;"&amp;R1032))</f>
        <v/>
      </c>
      <c r="AG1032" s="35">
        <f>IF(OR(C1032&lt;&gt;"Grayson Coulter",G1032&lt;'00_Control'!$B$7),"",--(AF1032&lt;5))</f>
        <v/>
      </c>
      <c r="AH1032" s="35">
        <f>IF(OR(C1032&lt;&gt;"Grayson Coulter",G1032&lt;'00_Control'!$B$7),"",--(AF1032&lt;10))</f>
        <v/>
      </c>
      <c r="AI1032" s="35">
        <f>IF(AND(C1032="Grayson Coulter",G1032&gt;='00_Control'!$B$7),"YES","NO")</f>
        <v/>
      </c>
      <c r="AJ1032" s="33" t="inlineStr">
        <is>
          <t>OK</t>
        </is>
      </c>
    </row>
    <row r="1033">
      <c r="A1033" s="33" t="inlineStr">
        <is>
          <t>SM001029</t>
        </is>
      </c>
      <c r="B1033" s="33" t="inlineStr">
        <is>
          <t>SW001</t>
        </is>
      </c>
      <c r="C1033" s="33" t="inlineStr">
        <is>
          <t>Grayson Coulter</t>
        </is>
      </c>
      <c r="D1033" s="33" t="inlineStr">
        <is>
          <t>SwimCloud</t>
        </is>
      </c>
      <c r="E1033" s="33" t="inlineStr">
        <is>
          <t>3651023</t>
        </is>
      </c>
      <c r="F1033" s="33" t="inlineStr">
        <is>
          <t>125060641</t>
        </is>
      </c>
      <c r="G1033" s="51" t="n">
        <v>45074</v>
      </c>
      <c r="H1033" s="33" t="inlineStr">
        <is>
          <t>Waitakere Swimming Club Winter Meet 12U</t>
        </is>
      </c>
      <c r="I1033" s="33" t="inlineStr">
        <is>
          <t>302667</t>
        </is>
      </c>
      <c r="J1033" s="33" t="inlineStr"/>
      <c r="K1033" s="33" t="inlineStr">
        <is>
          <t>TIM</t>
        </is>
      </c>
      <c r="L1033" s="35">
        <f>IF(K1033="FIN",3,IF(OR(K1033="SEM",K1033="SEMI"),2,IF(OR(K1033="PRE",K1033="HEAT"),1,IF(V1033="YES",4,2))))</f>
        <v/>
      </c>
      <c r="M1033" s="33" t="inlineStr">
        <is>
          <t>SCM</t>
        </is>
      </c>
      <c r="N1033" s="33" t="n">
        <v>100</v>
      </c>
      <c r="O1033" s="33" t="inlineStr">
        <is>
          <t>Free</t>
        </is>
      </c>
      <c r="P1033" s="33" t="inlineStr">
        <is>
          <t>100 Free</t>
        </is>
      </c>
      <c r="Q1033" s="33" t="inlineStr">
        <is>
          <t>SCM_100_FREE</t>
        </is>
      </c>
      <c r="R1033" s="36" t="n">
        <v>59.59</v>
      </c>
      <c r="S1033" s="35">
        <f>IF(R1033="","",IF(R1033&gt;=60,INT(R1033/60)&amp;":"&amp;TEXT(MOD(R1033,60),"00.00"),TEXT(R1033,"0.00")))</f>
        <v/>
      </c>
      <c r="T1033" s="52">
        <f>IFERROR((G1033-INDEX('01_Swimmers'!$E$5:$E$22,MATCH(B1033,'01_Swimmers'!$A$5:$A$22,0)))/'00_Control'!$B$10,"")</f>
        <v/>
      </c>
      <c r="U1033" s="35">
        <f>IF(T1033="","",INT(T1033))</f>
        <v/>
      </c>
      <c r="V1033" s="33" t="inlineStr">
        <is>
          <t>NO</t>
        </is>
      </c>
      <c r="W1033" s="33" t="inlineStr">
        <is>
          <t>YES</t>
        </is>
      </c>
      <c r="X1033" s="33" t="inlineStr">
        <is>
          <t>NO</t>
        </is>
      </c>
      <c r="Y1033" s="33" t="n">
        <v>19</v>
      </c>
      <c r="Z1033" s="33" t="n">
        <v>4</v>
      </c>
      <c r="AA1033" s="33" t="inlineStr">
        <is>
          <t>1</t>
        </is>
      </c>
      <c r="AB1033" s="33" t="inlineStr">
        <is>
          <t>https://www.swimcloud.com/results/302667/event/15/?id=125060641#time125060641</t>
        </is>
      </c>
      <c r="AC1033" s="33" t="inlineStr">
        <is>
          <t>SwimCloud API v6 2026-10-08</t>
        </is>
      </c>
      <c r="AD1033" s="33" t="inlineStr">
        <is>
          <t>Grayson Coulter|2023-05-28|SCM|100|Free|59.59|Waitakere Swimming Club Winter Meet 12U|TIM|False</t>
        </is>
      </c>
      <c r="AE1033" s="53">
        <f>G1033+L1033/1000+ROW()/1000000000</f>
        <v/>
      </c>
      <c r="AF1033" s="35">
        <f>IF(C1033&lt;&gt;"Grayson Coulter","",COUNTIFS($C$5:$C$2991,"Grayson Coulter",$Q$5:$Q$2991,Q1033,$AE$5:$AE$2991,"&lt;="&amp;AE1033,$R$5:$R$2991,"&lt;"&amp;R1033))</f>
        <v/>
      </c>
      <c r="AG1033" s="35">
        <f>IF(OR(C1033&lt;&gt;"Grayson Coulter",G1033&lt;'00_Control'!$B$7),"",--(AF1033&lt;5))</f>
        <v/>
      </c>
      <c r="AH1033" s="35">
        <f>IF(OR(C1033&lt;&gt;"Grayson Coulter",G1033&lt;'00_Control'!$B$7),"",--(AF1033&lt;10))</f>
        <v/>
      </c>
      <c r="AI1033" s="35">
        <f>IF(AND(C1033="Grayson Coulter",G1033&gt;='00_Control'!$B$7),"YES","NO")</f>
        <v/>
      </c>
      <c r="AJ1033" s="33" t="inlineStr">
        <is>
          <t>OK</t>
        </is>
      </c>
    </row>
    <row r="1034">
      <c r="A1034" s="33" t="inlineStr">
        <is>
          <t>SM001030</t>
        </is>
      </c>
      <c r="B1034" s="33" t="inlineStr">
        <is>
          <t>SW001</t>
        </is>
      </c>
      <c r="C1034" s="33" t="inlineStr">
        <is>
          <t>Grayson Coulter</t>
        </is>
      </c>
      <c r="D1034" s="33" t="inlineStr">
        <is>
          <t>SwimCloud</t>
        </is>
      </c>
      <c r="E1034" s="33" t="inlineStr">
        <is>
          <t>3651023</t>
        </is>
      </c>
      <c r="F1034" s="33" t="inlineStr">
        <is>
          <t>124995661</t>
        </is>
      </c>
      <c r="G1034" s="51" t="n">
        <v>45235</v>
      </c>
      <c r="H1034" s="33" t="inlineStr">
        <is>
          <t>2023 NZ Junior Festival - Harlequins</t>
        </is>
      </c>
      <c r="I1034" s="33" t="inlineStr">
        <is>
          <t>302562</t>
        </is>
      </c>
      <c r="J1034" s="33" t="inlineStr"/>
      <c r="K1034" s="33" t="inlineStr">
        <is>
          <t>TIM</t>
        </is>
      </c>
      <c r="L1034" s="35">
        <f>IF(K1034="FIN",3,IF(OR(K1034="SEM",K1034="SEMI"),2,IF(OR(K1034="PRE",K1034="HEAT"),1,IF(V1034="YES",4,2))))</f>
        <v/>
      </c>
      <c r="M1034" s="33" t="inlineStr">
        <is>
          <t>SCM</t>
        </is>
      </c>
      <c r="N1034" s="33" t="n">
        <v>100</v>
      </c>
      <c r="O1034" s="33" t="inlineStr">
        <is>
          <t>Fly</t>
        </is>
      </c>
      <c r="P1034" s="33" t="inlineStr">
        <is>
          <t>100 Fly</t>
        </is>
      </c>
      <c r="Q1034" s="33" t="inlineStr">
        <is>
          <t>SCM_100_FLY</t>
        </is>
      </c>
      <c r="R1034" s="36" t="n">
        <v>63.07</v>
      </c>
      <c r="S1034" s="35">
        <f>IF(R1034="","",IF(R1034&gt;=60,INT(R1034/60)&amp;":"&amp;TEXT(MOD(R1034,60),"00.00"),TEXT(R1034,"0.00")))</f>
        <v/>
      </c>
      <c r="T1034" s="52">
        <f>IFERROR((G1034-INDEX('01_Swimmers'!$E$5:$E$22,MATCH(B1034,'01_Swimmers'!$A$5:$A$22,0)))/'00_Control'!$B$10,"")</f>
        <v/>
      </c>
      <c r="U1034" s="35">
        <f>IF(T1034="","",INT(T1034))</f>
        <v/>
      </c>
      <c r="V1034" s="33" t="inlineStr">
        <is>
          <t>NO</t>
        </is>
      </c>
      <c r="W1034" s="33" t="inlineStr">
        <is>
          <t>YES</t>
        </is>
      </c>
      <c r="X1034" s="33" t="inlineStr">
        <is>
          <t>NO</t>
        </is>
      </c>
      <c r="Y1034" s="33" t="n">
        <v>2</v>
      </c>
      <c r="Z1034" s="33" t="n">
        <v>4</v>
      </c>
      <c r="AA1034" s="33" t="inlineStr">
        <is>
          <t>1</t>
        </is>
      </c>
      <c r="AB1034" s="33" t="inlineStr">
        <is>
          <t>https://www.swimcloud.com/results/302562/event/81/?id=124995661#time124995661</t>
        </is>
      </c>
      <c r="AC1034" s="33" t="inlineStr">
        <is>
          <t>SwimCloud API v6 2026-10-08</t>
        </is>
      </c>
      <c r="AD1034" s="33" t="inlineStr">
        <is>
          <t>Grayson Coulter|2023-11-05|SCM|100|Fly|63.07|2023 NZ Junior Festival - Harlequins|TIM|False</t>
        </is>
      </c>
      <c r="AE1034" s="53">
        <f>G1034+L1034/1000+ROW()/1000000000</f>
        <v/>
      </c>
      <c r="AF1034" s="35">
        <f>IF(C1034&lt;&gt;"Grayson Coulter","",COUNTIFS($C$5:$C$2991,"Grayson Coulter",$Q$5:$Q$2991,Q1034,$AE$5:$AE$2991,"&lt;="&amp;AE1034,$R$5:$R$2991,"&lt;"&amp;R1034))</f>
        <v/>
      </c>
      <c r="AG1034" s="35">
        <f>IF(OR(C1034&lt;&gt;"Grayson Coulter",G1034&lt;'00_Control'!$B$7),"",--(AF1034&lt;5))</f>
        <v/>
      </c>
      <c r="AH1034" s="35">
        <f>IF(OR(C1034&lt;&gt;"Grayson Coulter",G1034&lt;'00_Control'!$B$7),"",--(AF1034&lt;10))</f>
        <v/>
      </c>
      <c r="AI1034" s="35">
        <f>IF(AND(C1034="Grayson Coulter",G1034&gt;='00_Control'!$B$7),"YES","NO")</f>
        <v/>
      </c>
      <c r="AJ1034" s="33" t="inlineStr">
        <is>
          <t>OK</t>
        </is>
      </c>
    </row>
    <row r="1035">
      <c r="A1035" s="33" t="inlineStr">
        <is>
          <t>SM001031</t>
        </is>
      </c>
      <c r="B1035" s="33" t="inlineStr">
        <is>
          <t>SW001</t>
        </is>
      </c>
      <c r="C1035" s="33" t="inlineStr">
        <is>
          <t>Grayson Coulter</t>
        </is>
      </c>
      <c r="D1035" s="33" t="inlineStr">
        <is>
          <t>SwimCloud</t>
        </is>
      </c>
      <c r="E1035" s="33" t="inlineStr">
        <is>
          <t>3651023</t>
        </is>
      </c>
      <c r="F1035" s="33" t="inlineStr">
        <is>
          <t>124995116</t>
        </is>
      </c>
      <c r="G1035" s="51" t="n">
        <v>45235</v>
      </c>
      <c r="H1035" s="33" t="inlineStr">
        <is>
          <t>2023 NZ Junior Festival - Harlequins</t>
        </is>
      </c>
      <c r="I1035" s="33" t="inlineStr">
        <is>
          <t>302562</t>
        </is>
      </c>
      <c r="J1035" s="33" t="inlineStr"/>
      <c r="K1035" s="33" t="inlineStr">
        <is>
          <t>TIM</t>
        </is>
      </c>
      <c r="L1035" s="35">
        <f>IF(K1035="FIN",3,IF(OR(K1035="SEM",K1035="SEMI"),2,IF(OR(K1035="PRE",K1035="HEAT"),1,IF(V1035="YES",4,2))))</f>
        <v/>
      </c>
      <c r="M1035" s="33" t="inlineStr">
        <is>
          <t>SCM</t>
        </is>
      </c>
      <c r="N1035" s="33" t="n">
        <v>100</v>
      </c>
      <c r="O1035" s="33" t="inlineStr">
        <is>
          <t>Free</t>
        </is>
      </c>
      <c r="P1035" s="33" t="inlineStr">
        <is>
          <t>100 Free</t>
        </is>
      </c>
      <c r="Q1035" s="33" t="inlineStr">
        <is>
          <t>SCM_100_FREE</t>
        </is>
      </c>
      <c r="R1035" s="36" t="n">
        <v>56.29</v>
      </c>
      <c r="S1035" s="35">
        <f>IF(R1035="","",IF(R1035&gt;=60,INT(R1035/60)&amp;":"&amp;TEXT(MOD(R1035,60),"00.00"),TEXT(R1035,"0.00")))</f>
        <v/>
      </c>
      <c r="T1035" s="52">
        <f>IFERROR((G1035-INDEX('01_Swimmers'!$E$5:$E$22,MATCH(B1035,'01_Swimmers'!$A$5:$A$22,0)))/'00_Control'!$B$10,"")</f>
        <v/>
      </c>
      <c r="U1035" s="35">
        <f>IF(T1035="","",INT(T1035))</f>
        <v/>
      </c>
      <c r="V1035" s="33" t="inlineStr">
        <is>
          <t>NO</t>
        </is>
      </c>
      <c r="W1035" s="33" t="inlineStr">
        <is>
          <t>YES</t>
        </is>
      </c>
      <c r="X1035" s="33" t="inlineStr">
        <is>
          <t>NO</t>
        </is>
      </c>
      <c r="Y1035" s="33" t="n">
        <v>3</v>
      </c>
      <c r="Z1035" s="33" t="n">
        <v>4</v>
      </c>
      <c r="AA1035" s="33" t="inlineStr">
        <is>
          <t>1</t>
        </is>
      </c>
      <c r="AB1035" s="33" t="inlineStr">
        <is>
          <t>https://www.swimcloud.com/results/302562/event/53/?id=124995116#time124995116</t>
        </is>
      </c>
      <c r="AC1035" s="33" t="inlineStr">
        <is>
          <t>SwimCloud API v6 2026-10-08</t>
        </is>
      </c>
      <c r="AD1035" s="33" t="inlineStr">
        <is>
          <t>Grayson Coulter|2023-11-05|SCM|100|Free|56.29|2023 NZ Junior Festival - Harlequins|TIM|False</t>
        </is>
      </c>
      <c r="AE1035" s="53">
        <f>G1035+L1035/1000+ROW()/1000000000</f>
        <v/>
      </c>
      <c r="AF1035" s="35">
        <f>IF(C1035&lt;&gt;"Grayson Coulter","",COUNTIFS($C$5:$C$2991,"Grayson Coulter",$Q$5:$Q$2991,Q1035,$AE$5:$AE$2991,"&lt;="&amp;AE1035,$R$5:$R$2991,"&lt;"&amp;R1035))</f>
        <v/>
      </c>
      <c r="AG1035" s="35">
        <f>IF(OR(C1035&lt;&gt;"Grayson Coulter",G1035&lt;'00_Control'!$B$7),"",--(AF1035&lt;5))</f>
        <v/>
      </c>
      <c r="AH1035" s="35">
        <f>IF(OR(C1035&lt;&gt;"Grayson Coulter",G1035&lt;'00_Control'!$B$7),"",--(AF1035&lt;10))</f>
        <v/>
      </c>
      <c r="AI1035" s="35">
        <f>IF(AND(C1035="Grayson Coulter",G1035&gt;='00_Control'!$B$7),"YES","NO")</f>
        <v/>
      </c>
      <c r="AJ1035" s="33" t="inlineStr">
        <is>
          <t>OK</t>
        </is>
      </c>
    </row>
    <row r="1036">
      <c r="A1036" s="33" t="inlineStr">
        <is>
          <t>SM001032</t>
        </is>
      </c>
      <c r="B1036" s="33" t="inlineStr">
        <is>
          <t>SW001</t>
        </is>
      </c>
      <c r="C1036" s="33" t="inlineStr">
        <is>
          <t>Grayson Coulter</t>
        </is>
      </c>
      <c r="D1036" s="33" t="inlineStr">
        <is>
          <t>SwimCloud</t>
        </is>
      </c>
      <c r="E1036" s="33" t="inlineStr">
        <is>
          <t>3651023</t>
        </is>
      </c>
      <c r="F1036" s="33" t="inlineStr">
        <is>
          <t>125070925</t>
        </is>
      </c>
      <c r="G1036" s="51" t="n">
        <v>45333</v>
      </c>
      <c r="H1036" s="33" t="inlineStr">
        <is>
          <t>ROS Level 1&amp;2</t>
        </is>
      </c>
      <c r="I1036" s="33" t="inlineStr">
        <is>
          <t>302674</t>
        </is>
      </c>
      <c r="J1036" s="33" t="inlineStr"/>
      <c r="K1036" s="33" t="inlineStr">
        <is>
          <t>TIM</t>
        </is>
      </c>
      <c r="L1036" s="35">
        <f>IF(K1036="FIN",3,IF(OR(K1036="SEM",K1036="SEMI"),2,IF(OR(K1036="PRE",K1036="HEAT"),1,IF(V1036="YES",4,2))))</f>
        <v/>
      </c>
      <c r="M1036" s="33" t="inlineStr">
        <is>
          <t>LCM</t>
        </is>
      </c>
      <c r="N1036" s="33" t="n">
        <v>100</v>
      </c>
      <c r="O1036" s="33" t="inlineStr">
        <is>
          <t>Free</t>
        </is>
      </c>
      <c r="P1036" s="33" t="inlineStr">
        <is>
          <t>100 Free</t>
        </is>
      </c>
      <c r="Q1036" s="33" t="inlineStr">
        <is>
          <t>LCM_100_FREE</t>
        </is>
      </c>
      <c r="R1036" s="36" t="n">
        <v>56.8</v>
      </c>
      <c r="S1036" s="35">
        <f>IF(R1036="","",IF(R1036&gt;=60,INT(R1036/60)&amp;":"&amp;TEXT(MOD(R1036,60),"00.00"),TEXT(R1036,"0.00")))</f>
        <v/>
      </c>
      <c r="T1036" s="52">
        <f>IFERROR((G1036-INDEX('01_Swimmers'!$E$5:$E$22,MATCH(B1036,'01_Swimmers'!$A$5:$A$22,0)))/'00_Control'!$B$10,"")</f>
        <v/>
      </c>
      <c r="U1036" s="35">
        <f>IF(T1036="","",INT(T1036))</f>
        <v/>
      </c>
      <c r="V1036" s="33" t="inlineStr">
        <is>
          <t>NO</t>
        </is>
      </c>
      <c r="W1036" s="33" t="inlineStr">
        <is>
          <t>YES</t>
        </is>
      </c>
      <c r="X1036" s="33" t="inlineStr">
        <is>
          <t>NO</t>
        </is>
      </c>
      <c r="Y1036" s="33" t="n">
        <v>16</v>
      </c>
      <c r="Z1036" s="33" t="n">
        <v>6</v>
      </c>
      <c r="AA1036" s="33" t="inlineStr">
        <is>
          <t>12</t>
        </is>
      </c>
      <c r="AB1036" s="33" t="inlineStr">
        <is>
          <t>https://www.swimcloud.com/results/302674/event/16/?id=125070925#time125070925</t>
        </is>
      </c>
      <c r="AC1036" s="33" t="inlineStr">
        <is>
          <t>SwimCloud API v6 2026-10-08</t>
        </is>
      </c>
      <c r="AD1036" s="33" t="inlineStr">
        <is>
          <t>Grayson Coulter|2024-02-11|LCM|100|Free|56.8|ROS Level 1&amp;2|TIM|False</t>
        </is>
      </c>
      <c r="AE1036" s="53">
        <f>G1036+L1036/1000+ROW()/1000000000</f>
        <v/>
      </c>
      <c r="AF1036" s="35">
        <f>IF(C1036&lt;&gt;"Grayson Coulter","",COUNTIFS($C$5:$C$2991,"Grayson Coulter",$Q$5:$Q$2991,Q1036,$AE$5:$AE$2991,"&lt;="&amp;AE1036,$R$5:$R$2991,"&lt;"&amp;R1036))</f>
        <v/>
      </c>
      <c r="AG1036" s="35">
        <f>IF(OR(C1036&lt;&gt;"Grayson Coulter",G1036&lt;'00_Control'!$B$7),"",--(AF1036&lt;5))</f>
        <v/>
      </c>
      <c r="AH1036" s="35">
        <f>IF(OR(C1036&lt;&gt;"Grayson Coulter",G1036&lt;'00_Control'!$B$7),"",--(AF1036&lt;10))</f>
        <v/>
      </c>
      <c r="AI1036" s="35">
        <f>IF(AND(C1036="Grayson Coulter",G1036&gt;='00_Control'!$B$7),"YES","NO")</f>
        <v/>
      </c>
      <c r="AJ1036" s="33" t="inlineStr">
        <is>
          <t>OK</t>
        </is>
      </c>
    </row>
    <row r="1037">
      <c r="A1037" s="33" t="inlineStr">
        <is>
          <t>SM001033</t>
        </is>
      </c>
      <c r="B1037" s="33" t="inlineStr">
        <is>
          <t>SW001</t>
        </is>
      </c>
      <c r="C1037" s="33" t="inlineStr">
        <is>
          <t>Grayson Coulter</t>
        </is>
      </c>
      <c r="D1037" s="33" t="inlineStr">
        <is>
          <t>SwimCloud</t>
        </is>
      </c>
      <c r="E1037" s="33" t="inlineStr">
        <is>
          <t>3651023</t>
        </is>
      </c>
      <c r="F1037" s="33" t="inlineStr">
        <is>
          <t>125073844</t>
        </is>
      </c>
      <c r="G1037" s="51" t="n">
        <v>45352</v>
      </c>
      <c r="H1037" s="33" t="inlineStr">
        <is>
          <t>2024 ASA Juniors</t>
        </is>
      </c>
      <c r="I1037" s="33" t="inlineStr">
        <is>
          <t>302675</t>
        </is>
      </c>
      <c r="J1037" s="33" t="inlineStr"/>
      <c r="K1037" s="33" t="inlineStr">
        <is>
          <t>TIM</t>
        </is>
      </c>
      <c r="L1037" s="35">
        <f>IF(K1037="FIN",3,IF(OR(K1037="SEM",K1037="SEMI"),2,IF(OR(K1037="PRE",K1037="HEAT"),1,IF(V1037="YES",4,2))))</f>
        <v/>
      </c>
      <c r="M1037" s="33" t="inlineStr">
        <is>
          <t>LCM</t>
        </is>
      </c>
      <c r="N1037" s="33" t="n">
        <v>100</v>
      </c>
      <c r="O1037" s="33" t="inlineStr">
        <is>
          <t>Fly</t>
        </is>
      </c>
      <c r="P1037" s="33" t="inlineStr">
        <is>
          <t>100 Fly</t>
        </is>
      </c>
      <c r="Q1037" s="33" t="inlineStr">
        <is>
          <t>LCM_100_FLY</t>
        </is>
      </c>
      <c r="R1037" s="36" t="n">
        <v>65.31</v>
      </c>
      <c r="S1037" s="35">
        <f>IF(R1037="","",IF(R1037&gt;=60,INT(R1037/60)&amp;":"&amp;TEXT(MOD(R1037,60),"00.00"),TEXT(R1037,"0.00")))</f>
        <v/>
      </c>
      <c r="T1037" s="52">
        <f>IFERROR((G1037-INDEX('01_Swimmers'!$E$5:$E$22,MATCH(B1037,'01_Swimmers'!$A$5:$A$22,0)))/'00_Control'!$B$10,"")</f>
        <v/>
      </c>
      <c r="U1037" s="35">
        <f>IF(T1037="","",INT(T1037))</f>
        <v/>
      </c>
      <c r="V1037" s="33" t="inlineStr">
        <is>
          <t>NO</t>
        </is>
      </c>
      <c r="W1037" s="33" t="inlineStr">
        <is>
          <t>YES</t>
        </is>
      </c>
      <c r="X1037" s="33" t="inlineStr">
        <is>
          <t>NO</t>
        </is>
      </c>
      <c r="Y1037" s="33" t="n">
        <v>9</v>
      </c>
      <c r="Z1037" s="33" t="n">
        <v>4</v>
      </c>
      <c r="AA1037" s="33" t="inlineStr">
        <is>
          <t>1</t>
        </is>
      </c>
      <c r="AB1037" s="33" t="inlineStr">
        <is>
          <t>https://www.swimcloud.com/results/302675/event/3/?id=125073844#time125073844</t>
        </is>
      </c>
      <c r="AC1037" s="33" t="inlineStr">
        <is>
          <t>SwimCloud API v6 2026-10-08</t>
        </is>
      </c>
      <c r="AD1037" s="33" t="inlineStr">
        <is>
          <t>Grayson Coulter|2024-03-01|LCM|100|Fly|65.31|2024 ASA Juniors|TIM|False</t>
        </is>
      </c>
      <c r="AE1037" s="53">
        <f>G1037+L1037/1000+ROW()/1000000000</f>
        <v/>
      </c>
      <c r="AF1037" s="35">
        <f>IF(C1037&lt;&gt;"Grayson Coulter","",COUNTIFS($C$5:$C$2991,"Grayson Coulter",$Q$5:$Q$2991,Q1037,$AE$5:$AE$2991,"&lt;="&amp;AE1037,$R$5:$R$2991,"&lt;"&amp;R1037))</f>
        <v/>
      </c>
      <c r="AG1037" s="35">
        <f>IF(OR(C1037&lt;&gt;"Grayson Coulter",G1037&lt;'00_Control'!$B$7),"",--(AF1037&lt;5))</f>
        <v/>
      </c>
      <c r="AH1037" s="35">
        <f>IF(OR(C1037&lt;&gt;"Grayson Coulter",G1037&lt;'00_Control'!$B$7),"",--(AF1037&lt;10))</f>
        <v/>
      </c>
      <c r="AI1037" s="35">
        <f>IF(AND(C1037="Grayson Coulter",G1037&gt;='00_Control'!$B$7),"YES","NO")</f>
        <v/>
      </c>
      <c r="AJ1037" s="33" t="inlineStr">
        <is>
          <t>OK</t>
        </is>
      </c>
    </row>
    <row r="1038">
      <c r="A1038" s="33" t="inlineStr">
        <is>
          <t>SM001034</t>
        </is>
      </c>
      <c r="B1038" s="33" t="inlineStr">
        <is>
          <t>SW001</t>
        </is>
      </c>
      <c r="C1038" s="33" t="inlineStr">
        <is>
          <t>Grayson Coulter</t>
        </is>
      </c>
      <c r="D1038" s="33" t="inlineStr">
        <is>
          <t>SwimCloud</t>
        </is>
      </c>
      <c r="E1038" s="33" t="inlineStr">
        <is>
          <t>3651023</t>
        </is>
      </c>
      <c r="F1038" s="33" t="inlineStr">
        <is>
          <t>125073754</t>
        </is>
      </c>
      <c r="G1038" s="51" t="n">
        <v>45352</v>
      </c>
      <c r="H1038" s="33" t="inlineStr">
        <is>
          <t>2024 ASA Juniors</t>
        </is>
      </c>
      <c r="I1038" s="33" t="inlineStr">
        <is>
          <t>302675</t>
        </is>
      </c>
      <c r="J1038" s="33" t="inlineStr"/>
      <c r="K1038" s="33" t="inlineStr">
        <is>
          <t>TIM</t>
        </is>
      </c>
      <c r="L1038" s="35">
        <f>IF(K1038="FIN",3,IF(OR(K1038="SEM",K1038="SEMI"),2,IF(OR(K1038="PRE",K1038="HEAT"),1,IF(V1038="YES",4,2))))</f>
        <v/>
      </c>
      <c r="M1038" s="33" t="inlineStr">
        <is>
          <t>LCM</t>
        </is>
      </c>
      <c r="N1038" s="33" t="n">
        <v>400</v>
      </c>
      <c r="O1038" s="33" t="inlineStr">
        <is>
          <t>Free</t>
        </is>
      </c>
      <c r="P1038" s="33" t="inlineStr">
        <is>
          <t>400 Free</t>
        </is>
      </c>
      <c r="Q1038" s="33" t="inlineStr">
        <is>
          <t>LCM_400_FREE</t>
        </is>
      </c>
      <c r="R1038" s="36" t="n">
        <v>272.54</v>
      </c>
      <c r="S1038" s="35">
        <f>IF(R1038="","",IF(R1038&gt;=60,INT(R1038/60)&amp;":"&amp;TEXT(MOD(R1038,60),"00.00"),TEXT(R1038,"0.00")))</f>
        <v/>
      </c>
      <c r="T1038" s="52">
        <f>IFERROR((G1038-INDEX('01_Swimmers'!$E$5:$E$22,MATCH(B1038,'01_Swimmers'!$A$5:$A$22,0)))/'00_Control'!$B$10,"")</f>
        <v/>
      </c>
      <c r="U1038" s="35">
        <f>IF(T1038="","",INT(T1038))</f>
        <v/>
      </c>
      <c r="V1038" s="33" t="inlineStr">
        <is>
          <t>NO</t>
        </is>
      </c>
      <c r="W1038" s="33" t="inlineStr">
        <is>
          <t>YES</t>
        </is>
      </c>
      <c r="X1038" s="33" t="inlineStr">
        <is>
          <t>NO</t>
        </is>
      </c>
      <c r="Y1038" s="33" t="n">
        <v>2</v>
      </c>
      <c r="Z1038" s="33" t="n">
        <v>4</v>
      </c>
      <c r="AA1038" s="33" t="inlineStr">
        <is>
          <t>1</t>
        </is>
      </c>
      <c r="AB1038" s="33" t="inlineStr">
        <is>
          <t>https://www.swimcloud.com/results/302675/event/1/?id=125073754#time125073754</t>
        </is>
      </c>
      <c r="AC1038" s="33" t="inlineStr">
        <is>
          <t>SwimCloud API v6 2026-10-08</t>
        </is>
      </c>
      <c r="AD1038" s="33" t="inlineStr">
        <is>
          <t>Grayson Coulter|2024-03-01|LCM|400|Free|272.54|2024 ASA Juniors|TIM|False</t>
        </is>
      </c>
      <c r="AE1038" s="53">
        <f>G1038+L1038/1000+ROW()/1000000000</f>
        <v/>
      </c>
      <c r="AF1038" s="35">
        <f>IF(C1038&lt;&gt;"Grayson Coulter","",COUNTIFS($C$5:$C$2991,"Grayson Coulter",$Q$5:$Q$2991,Q1038,$AE$5:$AE$2991,"&lt;="&amp;AE1038,$R$5:$R$2991,"&lt;"&amp;R1038))</f>
        <v/>
      </c>
      <c r="AG1038" s="35">
        <f>IF(OR(C1038&lt;&gt;"Grayson Coulter",G1038&lt;'00_Control'!$B$7),"",--(AF1038&lt;5))</f>
        <v/>
      </c>
      <c r="AH1038" s="35">
        <f>IF(OR(C1038&lt;&gt;"Grayson Coulter",G1038&lt;'00_Control'!$B$7),"",--(AF1038&lt;10))</f>
        <v/>
      </c>
      <c r="AI1038" s="35">
        <f>IF(AND(C1038="Grayson Coulter",G1038&gt;='00_Control'!$B$7),"YES","NO")</f>
        <v/>
      </c>
      <c r="AJ1038" s="33" t="inlineStr">
        <is>
          <t>OK</t>
        </is>
      </c>
    </row>
    <row r="1039">
      <c r="A1039" s="33" t="inlineStr">
        <is>
          <t>SM001035</t>
        </is>
      </c>
      <c r="B1039" s="33" t="inlineStr">
        <is>
          <t>SW001</t>
        </is>
      </c>
      <c r="C1039" s="33" t="inlineStr">
        <is>
          <t>Grayson Coulter</t>
        </is>
      </c>
      <c r="D1039" s="33" t="inlineStr">
        <is>
          <t>SwimCloud</t>
        </is>
      </c>
      <c r="E1039" s="33" t="inlineStr">
        <is>
          <t>3651023</t>
        </is>
      </c>
      <c r="F1039" s="33" t="inlineStr">
        <is>
          <t>125073875</t>
        </is>
      </c>
      <c r="G1039" s="51" t="n">
        <v>45354</v>
      </c>
      <c r="H1039" s="33" t="inlineStr">
        <is>
          <t>2024 ASA Juniors</t>
        </is>
      </c>
      <c r="I1039" s="33" t="inlineStr">
        <is>
          <t>302675</t>
        </is>
      </c>
      <c r="J1039" s="33" t="inlineStr"/>
      <c r="K1039" s="33" t="inlineStr">
        <is>
          <t>TIM</t>
        </is>
      </c>
      <c r="L1039" s="35">
        <f>IF(K1039="FIN",3,IF(OR(K1039="SEM",K1039="SEMI"),2,IF(OR(K1039="PRE",K1039="HEAT"),1,IF(V1039="YES",4,2))))</f>
        <v/>
      </c>
      <c r="M1039" s="33" t="inlineStr">
        <is>
          <t>LCM</t>
        </is>
      </c>
      <c r="N1039" s="33" t="n">
        <v>200</v>
      </c>
      <c r="O1039" s="33" t="inlineStr">
        <is>
          <t>Free</t>
        </is>
      </c>
      <c r="P1039" s="33" t="inlineStr">
        <is>
          <t>200 Free</t>
        </is>
      </c>
      <c r="Q1039" s="33" t="inlineStr">
        <is>
          <t>LCM_200_FREE</t>
        </is>
      </c>
      <c r="R1039" s="36" t="n">
        <v>123.25</v>
      </c>
      <c r="S1039" s="35">
        <f>IF(R1039="","",IF(R1039&gt;=60,INT(R1039/60)&amp;":"&amp;TEXT(MOD(R1039,60),"00.00"),TEXT(R1039,"0.00")))</f>
        <v/>
      </c>
      <c r="T1039" s="52">
        <f>IFERROR((G1039-INDEX('01_Swimmers'!$E$5:$E$22,MATCH(B1039,'01_Swimmers'!$A$5:$A$22,0)))/'00_Control'!$B$10,"")</f>
        <v/>
      </c>
      <c r="U1039" s="35">
        <f>IF(T1039="","",INT(T1039))</f>
        <v/>
      </c>
      <c r="V1039" s="33" t="inlineStr">
        <is>
          <t>NO</t>
        </is>
      </c>
      <c r="W1039" s="33" t="inlineStr">
        <is>
          <t>YES</t>
        </is>
      </c>
      <c r="X1039" s="33" t="inlineStr">
        <is>
          <t>NO</t>
        </is>
      </c>
      <c r="Y1039" s="33" t="n">
        <v>11</v>
      </c>
      <c r="Z1039" s="33" t="n">
        <v>4</v>
      </c>
      <c r="AA1039" s="33" t="inlineStr">
        <is>
          <t>1</t>
        </is>
      </c>
      <c r="AB1039" s="33" t="inlineStr">
        <is>
          <t>https://www.swimcloud.com/results/302675/event/15/?id=125073875#time125073875</t>
        </is>
      </c>
      <c r="AC1039" s="33" t="inlineStr">
        <is>
          <t>SwimCloud API v6 2026-10-08</t>
        </is>
      </c>
      <c r="AD1039" s="33" t="inlineStr">
        <is>
          <t>Grayson Coulter|2024-03-03|LCM|200|Free|123.25|2024 ASA Juniors|TIM|False</t>
        </is>
      </c>
      <c r="AE1039" s="53">
        <f>G1039+L1039/1000+ROW()/1000000000</f>
        <v/>
      </c>
      <c r="AF1039" s="35">
        <f>IF(C1039&lt;&gt;"Grayson Coulter","",COUNTIFS($C$5:$C$2991,"Grayson Coulter",$Q$5:$Q$2991,Q1039,$AE$5:$AE$2991,"&lt;="&amp;AE1039,$R$5:$R$2991,"&lt;"&amp;R1039))</f>
        <v/>
      </c>
      <c r="AG1039" s="35">
        <f>IF(OR(C1039&lt;&gt;"Grayson Coulter",G1039&lt;'00_Control'!$B$7),"",--(AF1039&lt;5))</f>
        <v/>
      </c>
      <c r="AH1039" s="35">
        <f>IF(OR(C1039&lt;&gt;"Grayson Coulter",G1039&lt;'00_Control'!$B$7),"",--(AF1039&lt;10))</f>
        <v/>
      </c>
      <c r="AI1039" s="35">
        <f>IF(AND(C1039="Grayson Coulter",G1039&gt;='00_Control'!$B$7),"YES","NO")</f>
        <v/>
      </c>
      <c r="AJ1039" s="33" t="inlineStr">
        <is>
          <t>OK</t>
        </is>
      </c>
    </row>
    <row r="1040">
      <c r="A1040" s="33" t="inlineStr">
        <is>
          <t>SM001036</t>
        </is>
      </c>
      <c r="B1040" s="33" t="inlineStr">
        <is>
          <t>SW001</t>
        </is>
      </c>
      <c r="C1040" s="33" t="inlineStr">
        <is>
          <t>Grayson Coulter</t>
        </is>
      </c>
      <c r="D1040" s="33" t="inlineStr">
        <is>
          <t>SwimCloud</t>
        </is>
      </c>
      <c r="E1040" s="33" t="inlineStr">
        <is>
          <t>3651023</t>
        </is>
      </c>
      <c r="F1040" s="33" t="inlineStr">
        <is>
          <t>125076125</t>
        </is>
      </c>
      <c r="G1040" s="51" t="n">
        <v>45366</v>
      </c>
      <c r="H1040" s="33" t="inlineStr">
        <is>
          <t>2024 Auckland Age Group &amp; Open</t>
        </is>
      </c>
      <c r="I1040" s="33" t="inlineStr">
        <is>
          <t>302676</t>
        </is>
      </c>
      <c r="J1040" s="33" t="inlineStr"/>
      <c r="K1040" s="33" t="inlineStr">
        <is>
          <t>PRE</t>
        </is>
      </c>
      <c r="L1040" s="35">
        <f>IF(K1040="FIN",3,IF(OR(K1040="SEM",K1040="SEMI"),2,IF(OR(K1040="PRE",K1040="HEAT"),1,IF(V1040="YES",4,2))))</f>
        <v/>
      </c>
      <c r="M1040" s="33" t="inlineStr">
        <is>
          <t>LCM</t>
        </is>
      </c>
      <c r="N1040" s="33" t="n">
        <v>200</v>
      </c>
      <c r="O1040" s="33" t="inlineStr">
        <is>
          <t>Free</t>
        </is>
      </c>
      <c r="P1040" s="33" t="inlineStr">
        <is>
          <t>200 Free</t>
        </is>
      </c>
      <c r="Q1040" s="33" t="inlineStr">
        <is>
          <t>LCM_200_FREE</t>
        </is>
      </c>
      <c r="R1040" s="36" t="n">
        <v>121.28</v>
      </c>
      <c r="S1040" s="35">
        <f>IF(R1040="","",IF(R1040&gt;=60,INT(R1040/60)&amp;":"&amp;TEXT(MOD(R1040,60),"00.00"),TEXT(R1040,"0.00")))</f>
        <v/>
      </c>
      <c r="T1040" s="52">
        <f>IFERROR((G1040-INDEX('01_Swimmers'!$E$5:$E$22,MATCH(B1040,'01_Swimmers'!$A$5:$A$22,0)))/'00_Control'!$B$10,"")</f>
        <v/>
      </c>
      <c r="U1040" s="35">
        <f>IF(T1040="","",INT(T1040))</f>
        <v/>
      </c>
      <c r="V1040" s="33" t="inlineStr">
        <is>
          <t>NO</t>
        </is>
      </c>
      <c r="W1040" s="33" t="inlineStr">
        <is>
          <t>YES</t>
        </is>
      </c>
      <c r="X1040" s="33" t="inlineStr">
        <is>
          <t>NO</t>
        </is>
      </c>
      <c r="Y1040" s="33" t="n">
        <v>6</v>
      </c>
      <c r="Z1040" s="33" t="n">
        <v>7</v>
      </c>
      <c r="AA1040" s="33" t="inlineStr">
        <is>
          <t>9</t>
        </is>
      </c>
      <c r="AB1040" s="33" t="inlineStr">
        <is>
          <t>https://www.swimcloud.com/results/302676/event/6/?id=125076125#time125076125</t>
        </is>
      </c>
      <c r="AC1040" s="33" t="inlineStr">
        <is>
          <t>SwimCloud API v6 2026-10-08</t>
        </is>
      </c>
      <c r="AD1040" s="33" t="inlineStr">
        <is>
          <t>Grayson Coulter|2024-03-15|LCM|200|Free|121.28|2024 Auckland Age Group &amp; Open|PRE|False</t>
        </is>
      </c>
      <c r="AE1040" s="53">
        <f>G1040+L1040/1000+ROW()/1000000000</f>
        <v/>
      </c>
      <c r="AF1040" s="35">
        <f>IF(C1040&lt;&gt;"Grayson Coulter","",COUNTIFS($C$5:$C$2991,"Grayson Coulter",$Q$5:$Q$2991,Q1040,$AE$5:$AE$2991,"&lt;="&amp;AE1040,$R$5:$R$2991,"&lt;"&amp;R1040))</f>
        <v/>
      </c>
      <c r="AG1040" s="35">
        <f>IF(OR(C1040&lt;&gt;"Grayson Coulter",G1040&lt;'00_Control'!$B$7),"",--(AF1040&lt;5))</f>
        <v/>
      </c>
      <c r="AH1040" s="35">
        <f>IF(OR(C1040&lt;&gt;"Grayson Coulter",G1040&lt;'00_Control'!$B$7),"",--(AF1040&lt;10))</f>
        <v/>
      </c>
      <c r="AI1040" s="35">
        <f>IF(AND(C1040="Grayson Coulter",G1040&gt;='00_Control'!$B$7),"YES","NO")</f>
        <v/>
      </c>
      <c r="AJ1040" s="33" t="inlineStr">
        <is>
          <t>OK</t>
        </is>
      </c>
    </row>
    <row r="1041">
      <c r="A1041" s="33" t="inlineStr">
        <is>
          <t>SM001037</t>
        </is>
      </c>
      <c r="B1041" s="33" t="inlineStr">
        <is>
          <t>SW001</t>
        </is>
      </c>
      <c r="C1041" s="33" t="inlineStr">
        <is>
          <t>Grayson Coulter</t>
        </is>
      </c>
      <c r="D1041" s="33" t="inlineStr">
        <is>
          <t>SwimCloud</t>
        </is>
      </c>
      <c r="E1041" s="33" t="inlineStr">
        <is>
          <t>3651023</t>
        </is>
      </c>
      <c r="F1041" s="33" t="inlineStr">
        <is>
          <t>125076126</t>
        </is>
      </c>
      <c r="G1041" s="51" t="n">
        <v>45366</v>
      </c>
      <c r="H1041" s="33" t="inlineStr">
        <is>
          <t>2024 Auckland Age Group &amp; Open</t>
        </is>
      </c>
      <c r="I1041" s="33" t="inlineStr">
        <is>
          <t>302676</t>
        </is>
      </c>
      <c r="J1041" s="33" t="inlineStr"/>
      <c r="K1041" s="33" t="inlineStr">
        <is>
          <t>FIN</t>
        </is>
      </c>
      <c r="L1041" s="35">
        <f>IF(K1041="FIN",3,IF(OR(K1041="SEM",K1041="SEMI"),2,IF(OR(K1041="PRE",K1041="HEAT"),1,IF(V1041="YES",4,2))))</f>
        <v/>
      </c>
      <c r="M1041" s="33" t="inlineStr">
        <is>
          <t>LCM</t>
        </is>
      </c>
      <c r="N1041" s="33" t="n">
        <v>200</v>
      </c>
      <c r="O1041" s="33" t="inlineStr">
        <is>
          <t>Free</t>
        </is>
      </c>
      <c r="P1041" s="33" t="inlineStr">
        <is>
          <t>200 Free</t>
        </is>
      </c>
      <c r="Q1041" s="33" t="inlineStr">
        <is>
          <t>LCM_200_FREE</t>
        </is>
      </c>
      <c r="R1041" s="36" t="n">
        <v>121.15</v>
      </c>
      <c r="S1041" s="35">
        <f>IF(R1041="","",IF(R1041&gt;=60,INT(R1041/60)&amp;":"&amp;TEXT(MOD(R1041,60),"00.00"),TEXT(R1041,"0.00")))</f>
        <v/>
      </c>
      <c r="T1041" s="52">
        <f>IFERROR((G1041-INDEX('01_Swimmers'!$E$5:$E$22,MATCH(B1041,'01_Swimmers'!$A$5:$A$22,0)))/'00_Control'!$B$10,"")</f>
        <v/>
      </c>
      <c r="U1041" s="35">
        <f>IF(T1041="","",INT(T1041))</f>
        <v/>
      </c>
      <c r="V1041" s="33" t="inlineStr">
        <is>
          <t>NO</t>
        </is>
      </c>
      <c r="W1041" s="33" t="inlineStr">
        <is>
          <t>YES</t>
        </is>
      </c>
      <c r="X1041" s="33" t="inlineStr">
        <is>
          <t>NO</t>
        </is>
      </c>
      <c r="Y1041" s="33" t="n">
        <v>4</v>
      </c>
      <c r="Z1041" s="33" t="n">
        <v>0</v>
      </c>
      <c r="AA1041" s="33" t="inlineStr">
        <is>
          <t>8</t>
        </is>
      </c>
      <c r="AB1041" s="33" t="inlineStr">
        <is>
          <t>https://www.swimcloud.com/results/302676/event/6/?id=125076126#time125076126</t>
        </is>
      </c>
      <c r="AC1041" s="33" t="inlineStr">
        <is>
          <t>SwimCloud API v6 2026-10-08</t>
        </is>
      </c>
      <c r="AD1041" s="33" t="inlineStr">
        <is>
          <t>Grayson Coulter|2024-03-15|LCM|200|Free|121.15|2024 Auckland Age Group &amp; Open|FIN|False</t>
        </is>
      </c>
      <c r="AE1041" s="53">
        <f>G1041+L1041/1000+ROW()/1000000000</f>
        <v/>
      </c>
      <c r="AF1041" s="35">
        <f>IF(C1041&lt;&gt;"Grayson Coulter","",COUNTIFS($C$5:$C$2991,"Grayson Coulter",$Q$5:$Q$2991,Q1041,$AE$5:$AE$2991,"&lt;="&amp;AE1041,$R$5:$R$2991,"&lt;"&amp;R1041))</f>
        <v/>
      </c>
      <c r="AG1041" s="35">
        <f>IF(OR(C1041&lt;&gt;"Grayson Coulter",G1041&lt;'00_Control'!$B$7),"",--(AF1041&lt;5))</f>
        <v/>
      </c>
      <c r="AH1041" s="35">
        <f>IF(OR(C1041&lt;&gt;"Grayson Coulter",G1041&lt;'00_Control'!$B$7),"",--(AF1041&lt;10))</f>
        <v/>
      </c>
      <c r="AI1041" s="35">
        <f>IF(AND(C1041="Grayson Coulter",G1041&gt;='00_Control'!$B$7),"YES","NO")</f>
        <v/>
      </c>
      <c r="AJ1041" s="33" t="inlineStr">
        <is>
          <t>OK</t>
        </is>
      </c>
    </row>
    <row r="1042">
      <c r="A1042" s="33" t="inlineStr">
        <is>
          <t>SM001038</t>
        </is>
      </c>
      <c r="B1042" s="33" t="inlineStr">
        <is>
          <t>SW001</t>
        </is>
      </c>
      <c r="C1042" s="33" t="inlineStr">
        <is>
          <t>Grayson Coulter</t>
        </is>
      </c>
      <c r="D1042" s="33" t="inlineStr">
        <is>
          <t>SwimCloud</t>
        </is>
      </c>
      <c r="E1042" s="33" t="inlineStr">
        <is>
          <t>3651023</t>
        </is>
      </c>
      <c r="F1042" s="33" t="inlineStr">
        <is>
          <t>125075802</t>
        </is>
      </c>
      <c r="G1042" s="51" t="n">
        <v>45367</v>
      </c>
      <c r="H1042" s="33" t="inlineStr">
        <is>
          <t>2024 Auckland Age Group &amp; Open</t>
        </is>
      </c>
      <c r="I1042" s="33" t="inlineStr">
        <is>
          <t>302676</t>
        </is>
      </c>
      <c r="J1042" s="33" t="inlineStr"/>
      <c r="K1042" s="33" t="inlineStr">
        <is>
          <t>PRE</t>
        </is>
      </c>
      <c r="L1042" s="35">
        <f>IF(K1042="FIN",3,IF(OR(K1042="SEM",K1042="SEMI"),2,IF(OR(K1042="PRE",K1042="HEAT"),1,IF(V1042="YES",4,2))))</f>
        <v/>
      </c>
      <c r="M1042" s="33" t="inlineStr">
        <is>
          <t>LCM</t>
        </is>
      </c>
      <c r="N1042" s="33" t="n">
        <v>100</v>
      </c>
      <c r="O1042" s="33" t="inlineStr">
        <is>
          <t>Fly</t>
        </is>
      </c>
      <c r="P1042" s="33" t="inlineStr">
        <is>
          <t>100 Fly</t>
        </is>
      </c>
      <c r="Q1042" s="33" t="inlineStr">
        <is>
          <t>LCM_100_FLY</t>
        </is>
      </c>
      <c r="R1042" s="36" t="n">
        <v>64.65000000000001</v>
      </c>
      <c r="S1042" s="35">
        <f>IF(R1042="","",IF(R1042&gt;=60,INT(R1042/60)&amp;":"&amp;TEXT(MOD(R1042,60),"00.00"),TEXT(R1042,"0.00")))</f>
        <v/>
      </c>
      <c r="T1042" s="52">
        <f>IFERROR((G1042-INDEX('01_Swimmers'!$E$5:$E$22,MATCH(B1042,'01_Swimmers'!$A$5:$A$22,0)))/'00_Control'!$B$10,"")</f>
        <v/>
      </c>
      <c r="U1042" s="35">
        <f>IF(T1042="","",INT(T1042))</f>
        <v/>
      </c>
      <c r="V1042" s="33" t="inlineStr">
        <is>
          <t>NO</t>
        </is>
      </c>
      <c r="W1042" s="33" t="inlineStr">
        <is>
          <t>YES</t>
        </is>
      </c>
      <c r="X1042" s="33" t="inlineStr">
        <is>
          <t>NO</t>
        </is>
      </c>
      <c r="Y1042" s="33" t="n">
        <v>6</v>
      </c>
      <c r="Z1042" s="33" t="n">
        <v>0</v>
      </c>
      <c r="AA1042" s="33" t="inlineStr">
        <is>
          <t>2</t>
        </is>
      </c>
      <c r="AB1042" s="33" t="inlineStr">
        <is>
          <t>https://www.swimcloud.com/results/302676/event/22/?id=125075802#time125075802</t>
        </is>
      </c>
      <c r="AC1042" s="33" t="inlineStr">
        <is>
          <t>SwimCloud API v6 2026-10-08</t>
        </is>
      </c>
      <c r="AD1042" s="33" t="inlineStr">
        <is>
          <t>Grayson Coulter|2024-03-16|LCM|100|Fly|64.65|2024 Auckland Age Group &amp; Open|PRE|False</t>
        </is>
      </c>
      <c r="AE1042" s="53">
        <f>G1042+L1042/1000+ROW()/1000000000</f>
        <v/>
      </c>
      <c r="AF1042" s="35">
        <f>IF(C1042&lt;&gt;"Grayson Coulter","",COUNTIFS($C$5:$C$2991,"Grayson Coulter",$Q$5:$Q$2991,Q1042,$AE$5:$AE$2991,"&lt;="&amp;AE1042,$R$5:$R$2991,"&lt;"&amp;R1042))</f>
        <v/>
      </c>
      <c r="AG1042" s="35">
        <f>IF(OR(C1042&lt;&gt;"Grayson Coulter",G1042&lt;'00_Control'!$B$7),"",--(AF1042&lt;5))</f>
        <v/>
      </c>
      <c r="AH1042" s="35">
        <f>IF(OR(C1042&lt;&gt;"Grayson Coulter",G1042&lt;'00_Control'!$B$7),"",--(AF1042&lt;10))</f>
        <v/>
      </c>
      <c r="AI1042" s="35">
        <f>IF(AND(C1042="Grayson Coulter",G1042&gt;='00_Control'!$B$7),"YES","NO")</f>
        <v/>
      </c>
      <c r="AJ1042" s="33" t="inlineStr">
        <is>
          <t>OK</t>
        </is>
      </c>
    </row>
    <row r="1043">
      <c r="A1043" s="33" t="inlineStr">
        <is>
          <t>SM001039</t>
        </is>
      </c>
      <c r="B1043" s="33" t="inlineStr">
        <is>
          <t>SW001</t>
        </is>
      </c>
      <c r="C1043" s="33" t="inlineStr">
        <is>
          <t>Grayson Coulter</t>
        </is>
      </c>
      <c r="D1043" s="33" t="inlineStr">
        <is>
          <t>SwimCloud</t>
        </is>
      </c>
      <c r="E1043" s="33" t="inlineStr">
        <is>
          <t>3651023</t>
        </is>
      </c>
      <c r="F1043" s="33" t="inlineStr">
        <is>
          <t>125075803</t>
        </is>
      </c>
      <c r="G1043" s="51" t="n">
        <v>45367</v>
      </c>
      <c r="H1043" s="33" t="inlineStr">
        <is>
          <t>2024 Auckland Age Group &amp; Open</t>
        </is>
      </c>
      <c r="I1043" s="33" t="inlineStr">
        <is>
          <t>302676</t>
        </is>
      </c>
      <c r="J1043" s="33" t="inlineStr"/>
      <c r="K1043" s="33" t="inlineStr">
        <is>
          <t>FIN</t>
        </is>
      </c>
      <c r="L1043" s="35">
        <f>IF(K1043="FIN",3,IF(OR(K1043="SEM",K1043="SEMI"),2,IF(OR(K1043="PRE",K1043="HEAT"),1,IF(V1043="YES",4,2))))</f>
        <v/>
      </c>
      <c r="M1043" s="33" t="inlineStr">
        <is>
          <t>LCM</t>
        </is>
      </c>
      <c r="N1043" s="33" t="n">
        <v>100</v>
      </c>
      <c r="O1043" s="33" t="inlineStr">
        <is>
          <t>Fly</t>
        </is>
      </c>
      <c r="P1043" s="33" t="inlineStr">
        <is>
          <t>100 Fly</t>
        </is>
      </c>
      <c r="Q1043" s="33" t="inlineStr">
        <is>
          <t>LCM_100_FLY</t>
        </is>
      </c>
      <c r="R1043" s="36" t="n">
        <v>62.76</v>
      </c>
      <c r="S1043" s="35">
        <f>IF(R1043="","",IF(R1043&gt;=60,INT(R1043/60)&amp;":"&amp;TEXT(MOD(R1043,60),"00.00"),TEXT(R1043,"0.00")))</f>
        <v/>
      </c>
      <c r="T1043" s="52">
        <f>IFERROR((G1043-INDEX('01_Swimmers'!$E$5:$E$22,MATCH(B1043,'01_Swimmers'!$A$5:$A$22,0)))/'00_Control'!$B$10,"")</f>
        <v/>
      </c>
      <c r="U1043" s="35">
        <f>IF(T1043="","",INT(T1043))</f>
        <v/>
      </c>
      <c r="V1043" s="33" t="inlineStr">
        <is>
          <t>NO</t>
        </is>
      </c>
      <c r="W1043" s="33" t="inlineStr">
        <is>
          <t>YES</t>
        </is>
      </c>
      <c r="X1043" s="33" t="inlineStr">
        <is>
          <t>NO</t>
        </is>
      </c>
      <c r="Y1043" s="33" t="n">
        <v>1</v>
      </c>
      <c r="Z1043" s="33" t="n">
        <v>5</v>
      </c>
      <c r="AA1043" s="33" t="inlineStr">
        <is>
          <t>2</t>
        </is>
      </c>
      <c r="AB1043" s="33" t="inlineStr">
        <is>
          <t>https://www.swimcloud.com/results/302676/event/22/?id=125075803#time125075803</t>
        </is>
      </c>
      <c r="AC1043" s="33" t="inlineStr">
        <is>
          <t>SwimCloud API v6 2026-10-08</t>
        </is>
      </c>
      <c r="AD1043" s="33" t="inlineStr">
        <is>
          <t>Grayson Coulter|2024-03-16|LCM|100|Fly|62.76|2024 Auckland Age Group &amp; Open|FIN|False</t>
        </is>
      </c>
      <c r="AE1043" s="53">
        <f>G1043+L1043/1000+ROW()/1000000000</f>
        <v/>
      </c>
      <c r="AF1043" s="35">
        <f>IF(C1043&lt;&gt;"Grayson Coulter","",COUNTIFS($C$5:$C$2991,"Grayson Coulter",$Q$5:$Q$2991,Q1043,$AE$5:$AE$2991,"&lt;="&amp;AE1043,$R$5:$R$2991,"&lt;"&amp;R1043))</f>
        <v/>
      </c>
      <c r="AG1043" s="35">
        <f>IF(OR(C1043&lt;&gt;"Grayson Coulter",G1043&lt;'00_Control'!$B$7),"",--(AF1043&lt;5))</f>
        <v/>
      </c>
      <c r="AH1043" s="35">
        <f>IF(OR(C1043&lt;&gt;"Grayson Coulter",G1043&lt;'00_Control'!$B$7),"",--(AF1043&lt;10))</f>
        <v/>
      </c>
      <c r="AI1043" s="35">
        <f>IF(AND(C1043="Grayson Coulter",G1043&gt;='00_Control'!$B$7),"YES","NO")</f>
        <v/>
      </c>
      <c r="AJ1043" s="33" t="inlineStr">
        <is>
          <t>OK</t>
        </is>
      </c>
    </row>
    <row r="1044">
      <c r="A1044" s="33" t="inlineStr">
        <is>
          <t>SM001040</t>
        </is>
      </c>
      <c r="B1044" s="33" t="inlineStr">
        <is>
          <t>SW001</t>
        </is>
      </c>
      <c r="C1044" s="33" t="inlineStr">
        <is>
          <t>Grayson Coulter</t>
        </is>
      </c>
      <c r="D1044" s="33" t="inlineStr">
        <is>
          <t>SwimCloud</t>
        </is>
      </c>
      <c r="E1044" s="33" t="inlineStr">
        <is>
          <t>3651023</t>
        </is>
      </c>
      <c r="F1044" s="33" t="inlineStr">
        <is>
          <t>125075676</t>
        </is>
      </c>
      <c r="G1044" s="51" t="n">
        <v>45367</v>
      </c>
      <c r="H1044" s="33" t="inlineStr">
        <is>
          <t>2024 Auckland Age Group &amp; Open</t>
        </is>
      </c>
      <c r="I1044" s="33" t="inlineStr">
        <is>
          <t>302676</t>
        </is>
      </c>
      <c r="J1044" s="33" t="inlineStr"/>
      <c r="K1044" s="33" t="inlineStr">
        <is>
          <t>PRE</t>
        </is>
      </c>
      <c r="L1044" s="35">
        <f>IF(K1044="FIN",3,IF(OR(K1044="SEM",K1044="SEMI"),2,IF(OR(K1044="PRE",K1044="HEAT"),1,IF(V1044="YES",4,2))))</f>
        <v/>
      </c>
      <c r="M1044" s="33" t="inlineStr">
        <is>
          <t>LCM</t>
        </is>
      </c>
      <c r="N1044" s="33" t="n">
        <v>100</v>
      </c>
      <c r="O1044" s="33" t="inlineStr">
        <is>
          <t>Free</t>
        </is>
      </c>
      <c r="P1044" s="33" t="inlineStr">
        <is>
          <t>100 Free</t>
        </is>
      </c>
      <c r="Q1044" s="33" t="inlineStr">
        <is>
          <t>LCM_100_FREE</t>
        </is>
      </c>
      <c r="R1044" s="36" t="n">
        <v>56.81</v>
      </c>
      <c r="S1044" s="35">
        <f>IF(R1044="","",IF(R1044&gt;=60,INT(R1044/60)&amp;":"&amp;TEXT(MOD(R1044,60),"00.00"),TEXT(R1044,"0.00")))</f>
        <v/>
      </c>
      <c r="T1044" s="52">
        <f>IFERROR((G1044-INDEX('01_Swimmers'!$E$5:$E$22,MATCH(B1044,'01_Swimmers'!$A$5:$A$22,0)))/'00_Control'!$B$10,"")</f>
        <v/>
      </c>
      <c r="U1044" s="35">
        <f>IF(T1044="","",INT(T1044))</f>
        <v/>
      </c>
      <c r="V1044" s="33" t="inlineStr">
        <is>
          <t>NO</t>
        </is>
      </c>
      <c r="W1044" s="33" t="inlineStr">
        <is>
          <t>YES</t>
        </is>
      </c>
      <c r="X1044" s="33" t="inlineStr">
        <is>
          <t>NO</t>
        </is>
      </c>
      <c r="Y1044" s="33" t="n">
        <v>8</v>
      </c>
      <c r="Z1044" s="33" t="n">
        <v>0</v>
      </c>
      <c r="AA1044" s="33" t="inlineStr">
        <is>
          <t>2</t>
        </is>
      </c>
      <c r="AB1044" s="33" t="inlineStr">
        <is>
          <t>https://www.swimcloud.com/results/302676/event/14/?id=125075676#time125075676</t>
        </is>
      </c>
      <c r="AC1044" s="33" t="inlineStr">
        <is>
          <t>SwimCloud API v6 2026-10-08</t>
        </is>
      </c>
      <c r="AD1044" s="33" t="inlineStr">
        <is>
          <t>Grayson Coulter|2024-03-16|LCM|100|Free|56.81|2024 Auckland Age Group &amp; Open|PRE|False</t>
        </is>
      </c>
      <c r="AE1044" s="53">
        <f>G1044+L1044/1000+ROW()/1000000000</f>
        <v/>
      </c>
      <c r="AF1044" s="35">
        <f>IF(C1044&lt;&gt;"Grayson Coulter","",COUNTIFS($C$5:$C$2991,"Grayson Coulter",$Q$5:$Q$2991,Q1044,$AE$5:$AE$2991,"&lt;="&amp;AE1044,$R$5:$R$2991,"&lt;"&amp;R1044))</f>
        <v/>
      </c>
      <c r="AG1044" s="35">
        <f>IF(OR(C1044&lt;&gt;"Grayson Coulter",G1044&lt;'00_Control'!$B$7),"",--(AF1044&lt;5))</f>
        <v/>
      </c>
      <c r="AH1044" s="35">
        <f>IF(OR(C1044&lt;&gt;"Grayson Coulter",G1044&lt;'00_Control'!$B$7),"",--(AF1044&lt;10))</f>
        <v/>
      </c>
      <c r="AI1044" s="35">
        <f>IF(AND(C1044="Grayson Coulter",G1044&gt;='00_Control'!$B$7),"YES","NO")</f>
        <v/>
      </c>
      <c r="AJ1044" s="33" t="inlineStr">
        <is>
          <t>OK</t>
        </is>
      </c>
    </row>
    <row r="1045">
      <c r="A1045" s="33" t="inlineStr">
        <is>
          <t>SM001041</t>
        </is>
      </c>
      <c r="B1045" s="33" t="inlineStr">
        <is>
          <t>SW001</t>
        </is>
      </c>
      <c r="C1045" s="33" t="inlineStr">
        <is>
          <t>Grayson Coulter</t>
        </is>
      </c>
      <c r="D1045" s="33" t="inlineStr">
        <is>
          <t>SwimCloud</t>
        </is>
      </c>
      <c r="E1045" s="33" t="inlineStr">
        <is>
          <t>3651023</t>
        </is>
      </c>
      <c r="F1045" s="33" t="inlineStr">
        <is>
          <t>125075677</t>
        </is>
      </c>
      <c r="G1045" s="51" t="n">
        <v>45367</v>
      </c>
      <c r="H1045" s="33" t="inlineStr">
        <is>
          <t>2024 Auckland Age Group &amp; Open</t>
        </is>
      </c>
      <c r="I1045" s="33" t="inlineStr">
        <is>
          <t>302676</t>
        </is>
      </c>
      <c r="J1045" s="33" t="inlineStr"/>
      <c r="K1045" s="33" t="inlineStr">
        <is>
          <t>FIN</t>
        </is>
      </c>
      <c r="L1045" s="35">
        <f>IF(K1045="FIN",3,IF(OR(K1045="SEM",K1045="SEMI"),2,IF(OR(K1045="PRE",K1045="HEAT"),1,IF(V1045="YES",4,2))))</f>
        <v/>
      </c>
      <c r="M1045" s="33" t="inlineStr">
        <is>
          <t>LCM</t>
        </is>
      </c>
      <c r="N1045" s="33" t="n">
        <v>100</v>
      </c>
      <c r="O1045" s="33" t="inlineStr">
        <is>
          <t>Free</t>
        </is>
      </c>
      <c r="P1045" s="33" t="inlineStr">
        <is>
          <t>100 Free</t>
        </is>
      </c>
      <c r="Q1045" s="33" t="inlineStr">
        <is>
          <t>LCM_100_FREE</t>
        </is>
      </c>
      <c r="R1045" s="36" t="n">
        <v>55.91</v>
      </c>
      <c r="S1045" s="35">
        <f>IF(R1045="","",IF(R1045&gt;=60,INT(R1045/60)&amp;":"&amp;TEXT(MOD(R1045,60),"00.00"),TEXT(R1045,"0.00")))</f>
        <v/>
      </c>
      <c r="T1045" s="52">
        <f>IFERROR((G1045-INDEX('01_Swimmers'!$E$5:$E$22,MATCH(B1045,'01_Swimmers'!$A$5:$A$22,0)))/'00_Control'!$B$10,"")</f>
        <v/>
      </c>
      <c r="U1045" s="35">
        <f>IF(T1045="","",INT(T1045))</f>
        <v/>
      </c>
      <c r="V1045" s="33" t="inlineStr">
        <is>
          <t>NO</t>
        </is>
      </c>
      <c r="W1045" s="33" t="inlineStr">
        <is>
          <t>YES</t>
        </is>
      </c>
      <c r="X1045" s="33" t="inlineStr">
        <is>
          <t>NO</t>
        </is>
      </c>
      <c r="Y1045" s="33" t="n">
        <v>1</v>
      </c>
      <c r="Z1045" s="33" t="n">
        <v>5</v>
      </c>
      <c r="AA1045" s="33" t="inlineStr">
        <is>
          <t>2</t>
        </is>
      </c>
      <c r="AB1045" s="33" t="inlineStr">
        <is>
          <t>https://www.swimcloud.com/results/302676/event/14/?id=125075677#time125075677</t>
        </is>
      </c>
      <c r="AC1045" s="33" t="inlineStr">
        <is>
          <t>SwimCloud API v6 2026-10-08</t>
        </is>
      </c>
      <c r="AD1045" s="33" t="inlineStr">
        <is>
          <t>Grayson Coulter|2024-03-16|LCM|100|Free|55.91|2024 Auckland Age Group &amp; Open|FIN|False</t>
        </is>
      </c>
      <c r="AE1045" s="53">
        <f>G1045+L1045/1000+ROW()/1000000000</f>
        <v/>
      </c>
      <c r="AF1045" s="35">
        <f>IF(C1045&lt;&gt;"Grayson Coulter","",COUNTIFS($C$5:$C$2991,"Grayson Coulter",$Q$5:$Q$2991,Q1045,$AE$5:$AE$2991,"&lt;="&amp;AE1045,$R$5:$R$2991,"&lt;"&amp;R1045))</f>
        <v/>
      </c>
      <c r="AG1045" s="35">
        <f>IF(OR(C1045&lt;&gt;"Grayson Coulter",G1045&lt;'00_Control'!$B$7),"",--(AF1045&lt;5))</f>
        <v/>
      </c>
      <c r="AH1045" s="35">
        <f>IF(OR(C1045&lt;&gt;"Grayson Coulter",G1045&lt;'00_Control'!$B$7),"",--(AF1045&lt;10))</f>
        <v/>
      </c>
      <c r="AI1045" s="35">
        <f>IF(AND(C1045="Grayson Coulter",G1045&gt;='00_Control'!$B$7),"YES","NO")</f>
        <v/>
      </c>
      <c r="AJ1045" s="33" t="inlineStr">
        <is>
          <t>OK</t>
        </is>
      </c>
    </row>
    <row r="1046">
      <c r="A1046" s="33" t="inlineStr">
        <is>
          <t>SM001042</t>
        </is>
      </c>
      <c r="B1046" s="33" t="inlineStr">
        <is>
          <t>SW001</t>
        </is>
      </c>
      <c r="C1046" s="33" t="inlineStr">
        <is>
          <t>Grayson Coulter</t>
        </is>
      </c>
      <c r="D1046" s="33" t="inlineStr">
        <is>
          <t>SwimCloud</t>
        </is>
      </c>
      <c r="E1046" s="33" t="inlineStr">
        <is>
          <t>3651023</t>
        </is>
      </c>
      <c r="F1046" s="33" t="inlineStr">
        <is>
          <t>126597824</t>
        </is>
      </c>
      <c r="G1046" s="51" t="n">
        <v>45416</v>
      </c>
      <c r="H1046" s="33" t="inlineStr">
        <is>
          <t>Waterhole 12/over 400s &amp; 50s</t>
        </is>
      </c>
      <c r="I1046" s="33" t="inlineStr">
        <is>
          <t>303731</t>
        </is>
      </c>
      <c r="J1046" s="33" t="inlineStr"/>
      <c r="K1046" s="33" t="inlineStr">
        <is>
          <t>TIM</t>
        </is>
      </c>
      <c r="L1046" s="35">
        <f>IF(K1046="FIN",3,IF(OR(K1046="SEM",K1046="SEMI"),2,IF(OR(K1046="PRE",K1046="HEAT"),1,IF(V1046="YES",4,2))))</f>
        <v/>
      </c>
      <c r="M1046" s="33" t="inlineStr">
        <is>
          <t>SCM</t>
        </is>
      </c>
      <c r="N1046" s="33" t="n">
        <v>400</v>
      </c>
      <c r="O1046" s="33" t="inlineStr">
        <is>
          <t>Free</t>
        </is>
      </c>
      <c r="P1046" s="33" t="inlineStr">
        <is>
          <t>400 Free</t>
        </is>
      </c>
      <c r="Q1046" s="33" t="inlineStr">
        <is>
          <t>SCM_400_FREE</t>
        </is>
      </c>
      <c r="R1046" s="36" t="n">
        <v>255.38</v>
      </c>
      <c r="S1046" s="35">
        <f>IF(R1046="","",IF(R1046&gt;=60,INT(R1046/60)&amp;":"&amp;TEXT(MOD(R1046,60),"00.00"),TEXT(R1046,"0.00")))</f>
        <v/>
      </c>
      <c r="T1046" s="52">
        <f>IFERROR((G1046-INDEX('01_Swimmers'!$E$5:$E$22,MATCH(B1046,'01_Swimmers'!$A$5:$A$22,0)))/'00_Control'!$B$10,"")</f>
        <v/>
      </c>
      <c r="U1046" s="35">
        <f>IF(T1046="","",INT(T1046))</f>
        <v/>
      </c>
      <c r="V1046" s="33" t="inlineStr">
        <is>
          <t>NO</t>
        </is>
      </c>
      <c r="W1046" s="33" t="inlineStr">
        <is>
          <t>YES</t>
        </is>
      </c>
      <c r="X1046" s="33" t="inlineStr">
        <is>
          <t>NO</t>
        </is>
      </c>
      <c r="Y1046" s="33" t="n">
        <v>14</v>
      </c>
      <c r="Z1046" s="33" t="n">
        <v>5</v>
      </c>
      <c r="AA1046" s="33" t="inlineStr">
        <is>
          <t>1</t>
        </is>
      </c>
      <c r="AB1046" s="33" t="inlineStr">
        <is>
          <t>https://www.swimcloud.com/results/303731/event/5/?id=126597824#time126597824</t>
        </is>
      </c>
      <c r="AC1046" s="33" t="inlineStr">
        <is>
          <t>SwimCloud API v6 2026-10-08</t>
        </is>
      </c>
      <c r="AD1046" s="33" t="inlineStr">
        <is>
          <t>Grayson Coulter|2024-05-04|SCM|400|Free|255.38|Waterhole 12/over 400s &amp; 50s|TIM|False</t>
        </is>
      </c>
      <c r="AE1046" s="53">
        <f>G1046+L1046/1000+ROW()/1000000000</f>
        <v/>
      </c>
      <c r="AF1046" s="35">
        <f>IF(C1046&lt;&gt;"Grayson Coulter","",COUNTIFS($C$5:$C$2991,"Grayson Coulter",$Q$5:$Q$2991,Q1046,$AE$5:$AE$2991,"&lt;="&amp;AE1046,$R$5:$R$2991,"&lt;"&amp;R1046))</f>
        <v/>
      </c>
      <c r="AG1046" s="35">
        <f>IF(OR(C1046&lt;&gt;"Grayson Coulter",G1046&lt;'00_Control'!$B$7),"",--(AF1046&lt;5))</f>
        <v/>
      </c>
      <c r="AH1046" s="35">
        <f>IF(OR(C1046&lt;&gt;"Grayson Coulter",G1046&lt;'00_Control'!$B$7),"",--(AF1046&lt;10))</f>
        <v/>
      </c>
      <c r="AI1046" s="35">
        <f>IF(AND(C1046="Grayson Coulter",G1046&gt;='00_Control'!$B$7),"YES","NO")</f>
        <v/>
      </c>
      <c r="AJ1046" s="33" t="inlineStr">
        <is>
          <t>OK</t>
        </is>
      </c>
    </row>
    <row r="1047">
      <c r="A1047" s="33" t="inlineStr">
        <is>
          <t>SM001043</t>
        </is>
      </c>
      <c r="B1047" s="33" t="inlineStr">
        <is>
          <t>SW001</t>
        </is>
      </c>
      <c r="C1047" s="33" t="inlineStr">
        <is>
          <t>Grayson Coulter</t>
        </is>
      </c>
      <c r="D1047" s="33" t="inlineStr">
        <is>
          <t>SwimCloud</t>
        </is>
      </c>
      <c r="E1047" s="33" t="inlineStr">
        <is>
          <t>3651023</t>
        </is>
      </c>
      <c r="F1047" s="33" t="inlineStr">
        <is>
          <t>127580305</t>
        </is>
      </c>
      <c r="G1047" s="51" t="n">
        <v>45437</v>
      </c>
      <c r="H1047" s="33" t="inlineStr">
        <is>
          <t>2024 Golden Homes Swimfest</t>
        </is>
      </c>
      <c r="I1047" s="33" t="inlineStr">
        <is>
          <t>305604</t>
        </is>
      </c>
      <c r="J1047" s="33" t="inlineStr"/>
      <c r="K1047" s="33" t="inlineStr">
        <is>
          <t>TIM</t>
        </is>
      </c>
      <c r="L1047" s="35">
        <f>IF(K1047="FIN",3,IF(OR(K1047="SEM",K1047="SEMI"),2,IF(OR(K1047="PRE",K1047="HEAT"),1,IF(V1047="YES",4,2))))</f>
        <v/>
      </c>
      <c r="M1047" s="33" t="inlineStr">
        <is>
          <t>LCM</t>
        </is>
      </c>
      <c r="N1047" s="33" t="n">
        <v>200</v>
      </c>
      <c r="O1047" s="33" t="inlineStr">
        <is>
          <t>Free</t>
        </is>
      </c>
      <c r="P1047" s="33" t="inlineStr">
        <is>
          <t>200 Free</t>
        </is>
      </c>
      <c r="Q1047" s="33" t="inlineStr">
        <is>
          <t>LCM_200_FREE</t>
        </is>
      </c>
      <c r="R1047" s="36" t="n">
        <v>119.68</v>
      </c>
      <c r="S1047" s="35">
        <f>IF(R1047="","",IF(R1047&gt;=60,INT(R1047/60)&amp;":"&amp;TEXT(MOD(R1047,60),"00.00"),TEXT(R1047,"0.00")))</f>
        <v/>
      </c>
      <c r="T1047" s="52">
        <f>IFERROR((G1047-INDEX('01_Swimmers'!$E$5:$E$22,MATCH(B1047,'01_Swimmers'!$A$5:$A$22,0)))/'00_Control'!$B$10,"")</f>
        <v/>
      </c>
      <c r="U1047" s="35">
        <f>IF(T1047="","",INT(T1047))</f>
        <v/>
      </c>
      <c r="V1047" s="33" t="inlineStr">
        <is>
          <t>NO</t>
        </is>
      </c>
      <c r="W1047" s="33" t="inlineStr">
        <is>
          <t>YES</t>
        </is>
      </c>
      <c r="X1047" s="33" t="inlineStr">
        <is>
          <t>NO</t>
        </is>
      </c>
      <c r="Y1047" s="33" t="n">
        <v>9</v>
      </c>
      <c r="Z1047" s="33" t="n">
        <v>1</v>
      </c>
      <c r="AA1047" s="33" t="inlineStr">
        <is>
          <t>1</t>
        </is>
      </c>
      <c r="AB1047" s="33" t="inlineStr">
        <is>
          <t>https://www.swimcloud.com/results/305604/event/24/?id=127580305#time127580305</t>
        </is>
      </c>
      <c r="AC1047" s="33" t="inlineStr">
        <is>
          <t>SwimCloud API v6 2026-10-08</t>
        </is>
      </c>
      <c r="AD1047" s="33" t="inlineStr">
        <is>
          <t>Grayson Coulter|2024-05-25|LCM|200|Free|119.68|2024 Golden Homes Swimfest|TIM|False</t>
        </is>
      </c>
      <c r="AE1047" s="53">
        <f>G1047+L1047/1000+ROW()/1000000000</f>
        <v/>
      </c>
      <c r="AF1047" s="35">
        <f>IF(C1047&lt;&gt;"Grayson Coulter","",COUNTIFS($C$5:$C$2991,"Grayson Coulter",$Q$5:$Q$2991,Q1047,$AE$5:$AE$2991,"&lt;="&amp;AE1047,$R$5:$R$2991,"&lt;"&amp;R1047))</f>
        <v/>
      </c>
      <c r="AG1047" s="35">
        <f>IF(OR(C1047&lt;&gt;"Grayson Coulter",G1047&lt;'00_Control'!$B$7),"",--(AF1047&lt;5))</f>
        <v/>
      </c>
      <c r="AH1047" s="35">
        <f>IF(OR(C1047&lt;&gt;"Grayson Coulter",G1047&lt;'00_Control'!$B$7),"",--(AF1047&lt;10))</f>
        <v/>
      </c>
      <c r="AI1047" s="35">
        <f>IF(AND(C1047="Grayson Coulter",G1047&gt;='00_Control'!$B$7),"YES","NO")</f>
        <v/>
      </c>
      <c r="AJ1047" s="33" t="inlineStr">
        <is>
          <t>OK</t>
        </is>
      </c>
    </row>
    <row r="1048">
      <c r="A1048" s="33" t="inlineStr">
        <is>
          <t>SM001044</t>
        </is>
      </c>
      <c r="B1048" s="33" t="inlineStr">
        <is>
          <t>SW001</t>
        </is>
      </c>
      <c r="C1048" s="33" t="inlineStr">
        <is>
          <t>Grayson Coulter</t>
        </is>
      </c>
      <c r="D1048" s="33" t="inlineStr">
        <is>
          <t>SwimCloud</t>
        </is>
      </c>
      <c r="E1048" s="33" t="inlineStr">
        <is>
          <t>3651023</t>
        </is>
      </c>
      <c r="F1048" s="33" t="inlineStr">
        <is>
          <t>127579379</t>
        </is>
      </c>
      <c r="G1048" s="51" t="n">
        <v>45438</v>
      </c>
      <c r="H1048" s="33" t="inlineStr">
        <is>
          <t>2024 Golden Homes Swimfest</t>
        </is>
      </c>
      <c r="I1048" s="33" t="inlineStr">
        <is>
          <t>305604</t>
        </is>
      </c>
      <c r="J1048" s="33" t="inlineStr"/>
      <c r="K1048" s="33" t="inlineStr">
        <is>
          <t>TIM</t>
        </is>
      </c>
      <c r="L1048" s="35">
        <f>IF(K1048="FIN",3,IF(OR(K1048="SEM",K1048="SEMI"),2,IF(OR(K1048="PRE",K1048="HEAT"),1,IF(V1048="YES",4,2))))</f>
        <v/>
      </c>
      <c r="M1048" s="33" t="inlineStr">
        <is>
          <t>LCM</t>
        </is>
      </c>
      <c r="N1048" s="33" t="n">
        <v>100</v>
      </c>
      <c r="O1048" s="33" t="inlineStr">
        <is>
          <t>Free</t>
        </is>
      </c>
      <c r="P1048" s="33" t="inlineStr">
        <is>
          <t>100 Free</t>
        </is>
      </c>
      <c r="Q1048" s="33" t="inlineStr">
        <is>
          <t>LCM_100_FREE</t>
        </is>
      </c>
      <c r="R1048" s="36" t="n">
        <v>55.32</v>
      </c>
      <c r="S1048" s="35">
        <f>IF(R1048="","",IF(R1048&gt;=60,INT(R1048/60)&amp;":"&amp;TEXT(MOD(R1048,60),"00.00"),TEXT(R1048,"0.00")))</f>
        <v/>
      </c>
      <c r="T1048" s="52">
        <f>IFERROR((G1048-INDEX('01_Swimmers'!$E$5:$E$22,MATCH(B1048,'01_Swimmers'!$A$5:$A$22,0)))/'00_Control'!$B$10,"")</f>
        <v/>
      </c>
      <c r="U1048" s="35">
        <f>IF(T1048="","",INT(T1048))</f>
        <v/>
      </c>
      <c r="V1048" s="33" t="inlineStr">
        <is>
          <t>NO</t>
        </is>
      </c>
      <c r="W1048" s="33" t="inlineStr">
        <is>
          <t>YES</t>
        </is>
      </c>
      <c r="X1048" s="33" t="inlineStr">
        <is>
          <t>NO</t>
        </is>
      </c>
      <c r="Y1048" s="33" t="n">
        <v>18</v>
      </c>
      <c r="Z1048" s="33" t="n">
        <v>9</v>
      </c>
      <c r="AA1048" s="33" t="inlineStr">
        <is>
          <t>1</t>
        </is>
      </c>
      <c r="AB1048" s="33" t="inlineStr">
        <is>
          <t>https://www.swimcloud.com/results/305604/event/38/?id=127579379#time127579379</t>
        </is>
      </c>
      <c r="AC1048" s="33" t="inlineStr">
        <is>
          <t>SwimCloud API v6 2026-10-08</t>
        </is>
      </c>
      <c r="AD1048" s="33" t="inlineStr">
        <is>
          <t>Grayson Coulter|2024-05-26|LCM|100|Free|55.32|2024 Golden Homes Swimfest|TIM|False</t>
        </is>
      </c>
      <c r="AE1048" s="53">
        <f>G1048+L1048/1000+ROW()/1000000000</f>
        <v/>
      </c>
      <c r="AF1048" s="35">
        <f>IF(C1048&lt;&gt;"Grayson Coulter","",COUNTIFS($C$5:$C$2991,"Grayson Coulter",$Q$5:$Q$2991,Q1048,$AE$5:$AE$2991,"&lt;="&amp;AE1048,$R$5:$R$2991,"&lt;"&amp;R1048))</f>
        <v/>
      </c>
      <c r="AG1048" s="35">
        <f>IF(OR(C1048&lt;&gt;"Grayson Coulter",G1048&lt;'00_Control'!$B$7),"",--(AF1048&lt;5))</f>
        <v/>
      </c>
      <c r="AH1048" s="35">
        <f>IF(OR(C1048&lt;&gt;"Grayson Coulter",G1048&lt;'00_Control'!$B$7),"",--(AF1048&lt;10))</f>
        <v/>
      </c>
      <c r="AI1048" s="35">
        <f>IF(AND(C1048="Grayson Coulter",G1048&gt;='00_Control'!$B$7),"YES","NO")</f>
        <v/>
      </c>
      <c r="AJ1048" s="33" t="inlineStr">
        <is>
          <t>OK</t>
        </is>
      </c>
    </row>
    <row r="1049">
      <c r="A1049" s="33" t="inlineStr">
        <is>
          <t>SM001045</t>
        </is>
      </c>
      <c r="B1049" s="33" t="inlineStr">
        <is>
          <t>SW001</t>
        </is>
      </c>
      <c r="C1049" s="33" t="inlineStr">
        <is>
          <t>Grayson Coulter</t>
        </is>
      </c>
      <c r="D1049" s="33" t="inlineStr">
        <is>
          <t>SwimCloud</t>
        </is>
      </c>
      <c r="E1049" s="33" t="inlineStr">
        <is>
          <t>3651023</t>
        </is>
      </c>
      <c r="F1049" s="33" t="inlineStr">
        <is>
          <t>137771879</t>
        </is>
      </c>
      <c r="G1049" s="51" t="n">
        <v>45543</v>
      </c>
      <c r="H1049" s="33" t="inlineStr">
        <is>
          <t>Zespri AIMS Games - Kauh</t>
        </is>
      </c>
      <c r="I1049" s="33" t="inlineStr">
        <is>
          <t>323338</t>
        </is>
      </c>
      <c r="J1049" s="33" t="inlineStr"/>
      <c r="K1049" s="33" t="inlineStr">
        <is>
          <t>TIM</t>
        </is>
      </c>
      <c r="L1049" s="35">
        <f>IF(K1049="FIN",3,IF(OR(K1049="SEM",K1049="SEMI"),2,IF(OR(K1049="PRE",K1049="HEAT"),1,IF(V1049="YES",4,2))))</f>
        <v/>
      </c>
      <c r="M1049" s="33" t="inlineStr">
        <is>
          <t>SCM</t>
        </is>
      </c>
      <c r="N1049" s="33" t="n">
        <v>200</v>
      </c>
      <c r="O1049" s="33" t="inlineStr">
        <is>
          <t>Free</t>
        </is>
      </c>
      <c r="P1049" s="33" t="inlineStr">
        <is>
          <t>200 Free</t>
        </is>
      </c>
      <c r="Q1049" s="33" t="inlineStr">
        <is>
          <t>SCM_200_FREE</t>
        </is>
      </c>
      <c r="R1049" s="36" t="n">
        <v>114.64</v>
      </c>
      <c r="S1049" s="35">
        <f>IF(R1049="","",IF(R1049&gt;=60,INT(R1049/60)&amp;":"&amp;TEXT(MOD(R1049,60),"00.00"),TEXT(R1049,"0.00")))</f>
        <v/>
      </c>
      <c r="T1049" s="52">
        <f>IFERROR((G1049-INDEX('01_Swimmers'!$E$5:$E$22,MATCH(B1049,'01_Swimmers'!$A$5:$A$22,0)))/'00_Control'!$B$10,"")</f>
        <v/>
      </c>
      <c r="U1049" s="35">
        <f>IF(T1049="","",INT(T1049))</f>
        <v/>
      </c>
      <c r="V1049" s="33" t="inlineStr">
        <is>
          <t>NO</t>
        </is>
      </c>
      <c r="W1049" s="33" t="inlineStr">
        <is>
          <t>YES</t>
        </is>
      </c>
      <c r="X1049" s="33" t="inlineStr">
        <is>
          <t>NO</t>
        </is>
      </c>
      <c r="Y1049" s="33" t="n">
        <v>5</v>
      </c>
      <c r="Z1049" s="33" t="n">
        <v>5</v>
      </c>
      <c r="AA1049" s="33" t="inlineStr">
        <is>
          <t>1</t>
        </is>
      </c>
      <c r="AB1049" s="33" t="inlineStr">
        <is>
          <t>https://www.swimcloud.com/results/323338/event/30/?id=137771879#time137771879</t>
        </is>
      </c>
      <c r="AC1049" s="33" t="inlineStr">
        <is>
          <t>SwimCloud API v6 2026-10-08</t>
        </is>
      </c>
      <c r="AD1049" s="33" t="inlineStr">
        <is>
          <t>Grayson Coulter|2024-09-08|SCM|200|Free|114.64|Zespri AIMS Games - Kauh|TIM|False</t>
        </is>
      </c>
      <c r="AE1049" s="53">
        <f>G1049+L1049/1000+ROW()/1000000000</f>
        <v/>
      </c>
      <c r="AF1049" s="35">
        <f>IF(C1049&lt;&gt;"Grayson Coulter","",COUNTIFS($C$5:$C$2991,"Grayson Coulter",$Q$5:$Q$2991,Q1049,$AE$5:$AE$2991,"&lt;="&amp;AE1049,$R$5:$R$2991,"&lt;"&amp;R1049))</f>
        <v/>
      </c>
      <c r="AG1049" s="35">
        <f>IF(OR(C1049&lt;&gt;"Grayson Coulter",G1049&lt;'00_Control'!$B$7),"",--(AF1049&lt;5))</f>
        <v/>
      </c>
      <c r="AH1049" s="35">
        <f>IF(OR(C1049&lt;&gt;"Grayson Coulter",G1049&lt;'00_Control'!$B$7),"",--(AF1049&lt;10))</f>
        <v/>
      </c>
      <c r="AI1049" s="35">
        <f>IF(AND(C1049="Grayson Coulter",G1049&gt;='00_Control'!$B$7),"YES","NO")</f>
        <v/>
      </c>
      <c r="AJ1049" s="33" t="inlineStr">
        <is>
          <t>OK</t>
        </is>
      </c>
    </row>
    <row r="1050">
      <c r="A1050" s="33" t="inlineStr">
        <is>
          <t>SM001046</t>
        </is>
      </c>
      <c r="B1050" s="33" t="inlineStr">
        <is>
          <t>SW001</t>
        </is>
      </c>
      <c r="C1050" s="33" t="inlineStr">
        <is>
          <t>Grayson Coulter</t>
        </is>
      </c>
      <c r="D1050" s="33" t="inlineStr">
        <is>
          <t>SwimCloud</t>
        </is>
      </c>
      <c r="E1050" s="33" t="inlineStr">
        <is>
          <t>3651023</t>
        </is>
      </c>
      <c r="F1050" s="33" t="inlineStr">
        <is>
          <t>137772183</t>
        </is>
      </c>
      <c r="G1050" s="51" t="n">
        <v>45544</v>
      </c>
      <c r="H1050" s="33" t="inlineStr">
        <is>
          <t>Zespri AIMS Games - Kauh</t>
        </is>
      </c>
      <c r="I1050" s="33" t="inlineStr">
        <is>
          <t>323338</t>
        </is>
      </c>
      <c r="J1050" s="33" t="inlineStr"/>
      <c r="K1050" s="33" t="inlineStr">
        <is>
          <t>TIM</t>
        </is>
      </c>
      <c r="L1050" s="35">
        <f>IF(K1050="FIN",3,IF(OR(K1050="SEM",K1050="SEMI"),2,IF(OR(K1050="PRE",K1050="HEAT"),1,IF(V1050="YES",4,2))))</f>
        <v/>
      </c>
      <c r="M1050" s="33" t="inlineStr">
        <is>
          <t>SCM</t>
        </is>
      </c>
      <c r="N1050" s="33" t="n">
        <v>100</v>
      </c>
      <c r="O1050" s="33" t="inlineStr">
        <is>
          <t>Fly</t>
        </is>
      </c>
      <c r="P1050" s="33" t="inlineStr">
        <is>
          <t>100 Fly</t>
        </is>
      </c>
      <c r="Q1050" s="33" t="inlineStr">
        <is>
          <t>SCM_100_FLY</t>
        </is>
      </c>
      <c r="R1050" s="36" t="n">
        <v>58.98</v>
      </c>
      <c r="S1050" s="35">
        <f>IF(R1050="","",IF(R1050&gt;=60,INT(R1050/60)&amp;":"&amp;TEXT(MOD(R1050,60),"00.00"),TEXT(R1050,"0.00")))</f>
        <v/>
      </c>
      <c r="T1050" s="52">
        <f>IFERROR((G1050-INDEX('01_Swimmers'!$E$5:$E$22,MATCH(B1050,'01_Swimmers'!$A$5:$A$22,0)))/'00_Control'!$B$10,"")</f>
        <v/>
      </c>
      <c r="U1050" s="35">
        <f>IF(T1050="","",INT(T1050))</f>
        <v/>
      </c>
      <c r="V1050" s="33" t="inlineStr">
        <is>
          <t>NO</t>
        </is>
      </c>
      <c r="W1050" s="33" t="inlineStr">
        <is>
          <t>YES</t>
        </is>
      </c>
      <c r="X1050" s="33" t="inlineStr">
        <is>
          <t>NO</t>
        </is>
      </c>
      <c r="Y1050" s="33" t="n">
        <v>3</v>
      </c>
      <c r="Z1050" s="33" t="n">
        <v>5</v>
      </c>
      <c r="AA1050" s="33" t="inlineStr">
        <is>
          <t>1</t>
        </is>
      </c>
      <c r="AB1050" s="33" t="inlineStr">
        <is>
          <t>https://www.swimcloud.com/results/323338/event/39/?id=137772183#time137772183</t>
        </is>
      </c>
      <c r="AC1050" s="33" t="inlineStr">
        <is>
          <t>SwimCloud API v6 2026-10-08</t>
        </is>
      </c>
      <c r="AD1050" s="33" t="inlineStr">
        <is>
          <t>Grayson Coulter|2024-09-09|SCM|100|Fly|58.98|Zespri AIMS Games - Kauh|TIM|False</t>
        </is>
      </c>
      <c r="AE1050" s="53">
        <f>G1050+L1050/1000+ROW()/1000000000</f>
        <v/>
      </c>
      <c r="AF1050" s="35">
        <f>IF(C1050&lt;&gt;"Grayson Coulter","",COUNTIFS($C$5:$C$2991,"Grayson Coulter",$Q$5:$Q$2991,Q1050,$AE$5:$AE$2991,"&lt;="&amp;AE1050,$R$5:$R$2991,"&lt;"&amp;R1050))</f>
        <v/>
      </c>
      <c r="AG1050" s="35">
        <f>IF(OR(C1050&lt;&gt;"Grayson Coulter",G1050&lt;'00_Control'!$B$7),"",--(AF1050&lt;5))</f>
        <v/>
      </c>
      <c r="AH1050" s="35">
        <f>IF(OR(C1050&lt;&gt;"Grayson Coulter",G1050&lt;'00_Control'!$B$7),"",--(AF1050&lt;10))</f>
        <v/>
      </c>
      <c r="AI1050" s="35">
        <f>IF(AND(C1050="Grayson Coulter",G1050&gt;='00_Control'!$B$7),"YES","NO")</f>
        <v/>
      </c>
      <c r="AJ1050" s="33" t="inlineStr">
        <is>
          <t>OK</t>
        </is>
      </c>
    </row>
    <row r="1051">
      <c r="A1051" s="33" t="inlineStr">
        <is>
          <t>SM001047</t>
        </is>
      </c>
      <c r="B1051" s="33" t="inlineStr">
        <is>
          <t>SW001</t>
        </is>
      </c>
      <c r="C1051" s="33" t="inlineStr">
        <is>
          <t>Grayson Coulter</t>
        </is>
      </c>
      <c r="D1051" s="33" t="inlineStr">
        <is>
          <t>SwimCloud</t>
        </is>
      </c>
      <c r="E1051" s="33" t="inlineStr">
        <is>
          <t>3651023</t>
        </is>
      </c>
      <c r="F1051" s="33" t="inlineStr">
        <is>
          <t>137771996</t>
        </is>
      </c>
      <c r="G1051" s="51" t="n">
        <v>45545</v>
      </c>
      <c r="H1051" s="33" t="inlineStr">
        <is>
          <t>Zespri AIMS Games - Kauh</t>
        </is>
      </c>
      <c r="I1051" s="33" t="inlineStr">
        <is>
          <t>323338</t>
        </is>
      </c>
      <c r="J1051" s="33" t="inlineStr"/>
      <c r="K1051" s="33" t="inlineStr">
        <is>
          <t>TIM</t>
        </is>
      </c>
      <c r="L1051" s="35">
        <f>IF(K1051="FIN",3,IF(OR(K1051="SEM",K1051="SEMI"),2,IF(OR(K1051="PRE",K1051="HEAT"),1,IF(V1051="YES",4,2))))</f>
        <v/>
      </c>
      <c r="M1051" s="33" t="inlineStr">
        <is>
          <t>SCM</t>
        </is>
      </c>
      <c r="N1051" s="33" t="n">
        <v>100</v>
      </c>
      <c r="O1051" s="33" t="inlineStr">
        <is>
          <t>Free</t>
        </is>
      </c>
      <c r="P1051" s="33" t="inlineStr">
        <is>
          <t>100 Free</t>
        </is>
      </c>
      <c r="Q1051" s="33" t="inlineStr">
        <is>
          <t>SCM_100_FREE</t>
        </is>
      </c>
      <c r="R1051" s="36" t="n">
        <v>52.64</v>
      </c>
      <c r="S1051" s="35">
        <f>IF(R1051="","",IF(R1051&gt;=60,INT(R1051/60)&amp;":"&amp;TEXT(MOD(R1051,60),"00.00"),TEXT(R1051,"0.00")))</f>
        <v/>
      </c>
      <c r="T1051" s="52">
        <f>IFERROR((G1051-INDEX('01_Swimmers'!$E$5:$E$22,MATCH(B1051,'01_Swimmers'!$A$5:$A$22,0)))/'00_Control'!$B$10,"")</f>
        <v/>
      </c>
      <c r="U1051" s="35">
        <f>IF(T1051="","",INT(T1051))</f>
        <v/>
      </c>
      <c r="V1051" s="33" t="inlineStr">
        <is>
          <t>NO</t>
        </is>
      </c>
      <c r="W1051" s="33" t="inlineStr">
        <is>
          <t>YES</t>
        </is>
      </c>
      <c r="X1051" s="33" t="inlineStr">
        <is>
          <t>NO</t>
        </is>
      </c>
      <c r="Y1051" s="33" t="n">
        <v>7</v>
      </c>
      <c r="Z1051" s="33" t="n">
        <v>5</v>
      </c>
      <c r="AA1051" s="33" t="inlineStr">
        <is>
          <t>1</t>
        </is>
      </c>
      <c r="AB1051" s="33" t="inlineStr">
        <is>
          <t>https://www.swimcloud.com/results/323338/event/84/?id=137771996#time137771996</t>
        </is>
      </c>
      <c r="AC1051" s="33" t="inlineStr">
        <is>
          <t>SwimCloud API v6 2026-10-08</t>
        </is>
      </c>
      <c r="AD1051" s="33" t="inlineStr">
        <is>
          <t>Grayson Coulter|2024-09-10|SCM|100|Free|52.64|Zespri AIMS Games - Kauh|TIM|False</t>
        </is>
      </c>
      <c r="AE1051" s="53">
        <f>G1051+L1051/1000+ROW()/1000000000</f>
        <v/>
      </c>
      <c r="AF1051" s="35">
        <f>IF(C1051&lt;&gt;"Grayson Coulter","",COUNTIFS($C$5:$C$2991,"Grayson Coulter",$Q$5:$Q$2991,Q1051,$AE$5:$AE$2991,"&lt;="&amp;AE1051,$R$5:$R$2991,"&lt;"&amp;R1051))</f>
        <v/>
      </c>
      <c r="AG1051" s="35">
        <f>IF(OR(C1051&lt;&gt;"Grayson Coulter",G1051&lt;'00_Control'!$B$7),"",--(AF1051&lt;5))</f>
        <v/>
      </c>
      <c r="AH1051" s="35">
        <f>IF(OR(C1051&lt;&gt;"Grayson Coulter",G1051&lt;'00_Control'!$B$7),"",--(AF1051&lt;10))</f>
        <v/>
      </c>
      <c r="AI1051" s="35">
        <f>IF(AND(C1051="Grayson Coulter",G1051&gt;='00_Control'!$B$7),"YES","NO")</f>
        <v/>
      </c>
      <c r="AJ1051" s="33" t="inlineStr">
        <is>
          <t>OK</t>
        </is>
      </c>
    </row>
    <row r="1052">
      <c r="A1052" s="33" t="inlineStr">
        <is>
          <t>SM001048</t>
        </is>
      </c>
      <c r="B1052" s="33" t="inlineStr">
        <is>
          <t>SW001</t>
        </is>
      </c>
      <c r="C1052" s="33" t="inlineStr">
        <is>
          <t>Grayson Coulter</t>
        </is>
      </c>
      <c r="D1052" s="33" t="inlineStr">
        <is>
          <t>SwimCloud</t>
        </is>
      </c>
      <c r="E1052" s="33" t="inlineStr">
        <is>
          <t>3651023</t>
        </is>
      </c>
      <c r="F1052" s="33" t="inlineStr">
        <is>
          <t>137762014</t>
        </is>
      </c>
      <c r="G1052" s="51" t="n">
        <v>45556</v>
      </c>
      <c r="H1052" s="33" t="inlineStr">
        <is>
          <t>SW Junior Champs</t>
        </is>
      </c>
      <c r="I1052" s="33" t="inlineStr">
        <is>
          <t>323327</t>
        </is>
      </c>
      <c r="J1052" s="33" t="inlineStr"/>
      <c r="K1052" s="33" t="inlineStr">
        <is>
          <t>TIM</t>
        </is>
      </c>
      <c r="L1052" s="35">
        <f>IF(K1052="FIN",3,IF(OR(K1052="SEM",K1052="SEMI"),2,IF(OR(K1052="PRE",K1052="HEAT"),1,IF(V1052="YES",4,2))))</f>
        <v/>
      </c>
      <c r="M1052" s="33" t="inlineStr">
        <is>
          <t>SCM</t>
        </is>
      </c>
      <c r="N1052" s="33" t="n">
        <v>100</v>
      </c>
      <c r="O1052" s="33" t="inlineStr">
        <is>
          <t>Fly</t>
        </is>
      </c>
      <c r="P1052" s="33" t="inlineStr">
        <is>
          <t>100 Fly</t>
        </is>
      </c>
      <c r="Q1052" s="33" t="inlineStr">
        <is>
          <t>SCM_100_FLY</t>
        </is>
      </c>
      <c r="R1052" s="36" t="n">
        <v>59.65</v>
      </c>
      <c r="S1052" s="35">
        <f>IF(R1052="","",IF(R1052&gt;=60,INT(R1052/60)&amp;":"&amp;TEXT(MOD(R1052,60),"00.00"),TEXT(R1052,"0.00")))</f>
        <v/>
      </c>
      <c r="T1052" s="52">
        <f>IFERROR((G1052-INDEX('01_Swimmers'!$E$5:$E$22,MATCH(B1052,'01_Swimmers'!$A$5:$A$22,0)))/'00_Control'!$B$10,"")</f>
        <v/>
      </c>
      <c r="U1052" s="35">
        <f>IF(T1052="","",INT(T1052))</f>
        <v/>
      </c>
      <c r="V1052" s="33" t="inlineStr">
        <is>
          <t>NO</t>
        </is>
      </c>
      <c r="W1052" s="33" t="inlineStr">
        <is>
          <t>YES</t>
        </is>
      </c>
      <c r="X1052" s="33" t="inlineStr">
        <is>
          <t>NO</t>
        </is>
      </c>
      <c r="Y1052" s="33" t="n">
        <v>1</v>
      </c>
      <c r="Z1052" s="33" t="n">
        <v>4</v>
      </c>
      <c r="AA1052" s="33" t="inlineStr">
        <is>
          <t>1</t>
        </is>
      </c>
      <c r="AB1052" s="33" t="inlineStr">
        <is>
          <t>https://www.swimcloud.com/results/323327/event/7/?id=137762014#time137762014</t>
        </is>
      </c>
      <c r="AC1052" s="33" t="inlineStr">
        <is>
          <t>SwimCloud API v6 2026-10-08</t>
        </is>
      </c>
      <c r="AD1052" s="33" t="inlineStr">
        <is>
          <t>Grayson Coulter|2024-09-21|SCM|100|Fly|59.65|SW Junior Champs|TIM|False</t>
        </is>
      </c>
      <c r="AE1052" s="53">
        <f>G1052+L1052/1000+ROW()/1000000000</f>
        <v/>
      </c>
      <c r="AF1052" s="35">
        <f>IF(C1052&lt;&gt;"Grayson Coulter","",COUNTIFS($C$5:$C$2991,"Grayson Coulter",$Q$5:$Q$2991,Q1052,$AE$5:$AE$2991,"&lt;="&amp;AE1052,$R$5:$R$2991,"&lt;"&amp;R1052))</f>
        <v/>
      </c>
      <c r="AG1052" s="35">
        <f>IF(OR(C1052&lt;&gt;"Grayson Coulter",G1052&lt;'00_Control'!$B$7),"",--(AF1052&lt;5))</f>
        <v/>
      </c>
      <c r="AH1052" s="35">
        <f>IF(OR(C1052&lt;&gt;"Grayson Coulter",G1052&lt;'00_Control'!$B$7),"",--(AF1052&lt;10))</f>
        <v/>
      </c>
      <c r="AI1052" s="35">
        <f>IF(AND(C1052="Grayson Coulter",G1052&gt;='00_Control'!$B$7),"YES","NO")</f>
        <v/>
      </c>
      <c r="AJ1052" s="33" t="inlineStr">
        <is>
          <t>OK</t>
        </is>
      </c>
    </row>
    <row r="1053">
      <c r="A1053" s="33" t="inlineStr">
        <is>
          <t>SM001049</t>
        </is>
      </c>
      <c r="B1053" s="33" t="inlineStr">
        <is>
          <t>SW001</t>
        </is>
      </c>
      <c r="C1053" s="33" t="inlineStr">
        <is>
          <t>Grayson Coulter</t>
        </is>
      </c>
      <c r="D1053" s="33" t="inlineStr">
        <is>
          <t>SwimCloud</t>
        </is>
      </c>
      <c r="E1053" s="33" t="inlineStr">
        <is>
          <t>3651023</t>
        </is>
      </c>
      <c r="F1053" s="33" t="inlineStr">
        <is>
          <t>137761609</t>
        </is>
      </c>
      <c r="G1053" s="51" t="n">
        <v>45557</v>
      </c>
      <c r="H1053" s="33" t="inlineStr">
        <is>
          <t>SW Junior Champs</t>
        </is>
      </c>
      <c r="I1053" s="33" t="inlineStr">
        <is>
          <t>323327</t>
        </is>
      </c>
      <c r="J1053" s="33" t="inlineStr"/>
      <c r="K1053" s="33" t="inlineStr">
        <is>
          <t>TIM</t>
        </is>
      </c>
      <c r="L1053" s="35">
        <f>IF(K1053="FIN",3,IF(OR(K1053="SEM",K1053="SEMI"),2,IF(OR(K1053="PRE",K1053="HEAT"),1,IF(V1053="YES",4,2))))</f>
        <v/>
      </c>
      <c r="M1053" s="33" t="inlineStr">
        <is>
          <t>SCM</t>
        </is>
      </c>
      <c r="N1053" s="33" t="n">
        <v>100</v>
      </c>
      <c r="O1053" s="33" t="inlineStr">
        <is>
          <t>Free</t>
        </is>
      </c>
      <c r="P1053" s="33" t="inlineStr">
        <is>
          <t>100 Free</t>
        </is>
      </c>
      <c r="Q1053" s="33" t="inlineStr">
        <is>
          <t>SCM_100_FREE</t>
        </is>
      </c>
      <c r="R1053" s="36" t="n">
        <v>54.08</v>
      </c>
      <c r="S1053" s="35">
        <f>IF(R1053="","",IF(R1053&gt;=60,INT(R1053/60)&amp;":"&amp;TEXT(MOD(R1053,60),"00.00"),TEXT(R1053,"0.00")))</f>
        <v/>
      </c>
      <c r="T1053" s="52">
        <f>IFERROR((G1053-INDEX('01_Swimmers'!$E$5:$E$22,MATCH(B1053,'01_Swimmers'!$A$5:$A$22,0)))/'00_Control'!$B$10,"")</f>
        <v/>
      </c>
      <c r="U1053" s="35">
        <f>IF(T1053="","",INT(T1053))</f>
        <v/>
      </c>
      <c r="V1053" s="33" t="inlineStr">
        <is>
          <t>NO</t>
        </is>
      </c>
      <c r="W1053" s="33" t="inlineStr">
        <is>
          <t>YES</t>
        </is>
      </c>
      <c r="X1053" s="33" t="inlineStr">
        <is>
          <t>NO</t>
        </is>
      </c>
      <c r="Y1053" s="33" t="n">
        <v>2</v>
      </c>
      <c r="Z1053" s="33" t="n">
        <v>4</v>
      </c>
      <c r="AA1053" s="33" t="inlineStr">
        <is>
          <t>1</t>
        </is>
      </c>
      <c r="AB1053" s="33" t="inlineStr">
        <is>
          <t>https://www.swimcloud.com/results/323327/event/11/?id=137761609#time137761609</t>
        </is>
      </c>
      <c r="AC1053" s="33" t="inlineStr">
        <is>
          <t>SwimCloud API v6 2026-10-08</t>
        </is>
      </c>
      <c r="AD1053" s="33" t="inlineStr">
        <is>
          <t>Grayson Coulter|2024-09-22|SCM|100|Free|54.08|SW Junior Champs|TIM|False</t>
        </is>
      </c>
      <c r="AE1053" s="53">
        <f>G1053+L1053/1000+ROW()/1000000000</f>
        <v/>
      </c>
      <c r="AF1053" s="35">
        <f>IF(C1053&lt;&gt;"Grayson Coulter","",COUNTIFS($C$5:$C$2991,"Grayson Coulter",$Q$5:$Q$2991,Q1053,$AE$5:$AE$2991,"&lt;="&amp;AE1053,$R$5:$R$2991,"&lt;"&amp;R1053))</f>
        <v/>
      </c>
      <c r="AG1053" s="35">
        <f>IF(OR(C1053&lt;&gt;"Grayson Coulter",G1053&lt;'00_Control'!$B$7),"",--(AF1053&lt;5))</f>
        <v/>
      </c>
      <c r="AH1053" s="35">
        <f>IF(OR(C1053&lt;&gt;"Grayson Coulter",G1053&lt;'00_Control'!$B$7),"",--(AF1053&lt;10))</f>
        <v/>
      </c>
      <c r="AI1053" s="35">
        <f>IF(AND(C1053="Grayson Coulter",G1053&gt;='00_Control'!$B$7),"YES","NO")</f>
        <v/>
      </c>
      <c r="AJ1053" s="33" t="inlineStr">
        <is>
          <t>OK</t>
        </is>
      </c>
    </row>
    <row r="1054">
      <c r="A1054" s="33" t="inlineStr">
        <is>
          <t>SM001050</t>
        </is>
      </c>
      <c r="B1054" s="33" t="inlineStr">
        <is>
          <t>SW001</t>
        </is>
      </c>
      <c r="C1054" s="33" t="inlineStr">
        <is>
          <t>Grayson Coulter</t>
        </is>
      </c>
      <c r="D1054" s="33" t="inlineStr">
        <is>
          <t>SwimCloud</t>
        </is>
      </c>
      <c r="E1054" s="33" t="inlineStr">
        <is>
          <t>3651023</t>
        </is>
      </c>
      <c r="F1054" s="33" t="inlineStr">
        <is>
          <t>137761418</t>
        </is>
      </c>
      <c r="G1054" s="51" t="n">
        <v>45557</v>
      </c>
      <c r="H1054" s="33" t="inlineStr">
        <is>
          <t>SW Junior Champs</t>
        </is>
      </c>
      <c r="I1054" s="33" t="inlineStr">
        <is>
          <t>323327</t>
        </is>
      </c>
      <c r="J1054" s="33" t="inlineStr"/>
      <c r="K1054" s="33" t="inlineStr">
        <is>
          <t>TIM</t>
        </is>
      </c>
      <c r="L1054" s="35">
        <f>IF(K1054="FIN",3,IF(OR(K1054="SEM",K1054="SEMI"),2,IF(OR(K1054="PRE",K1054="HEAT"),1,IF(V1054="YES",4,2))))</f>
        <v/>
      </c>
      <c r="M1054" s="33" t="inlineStr">
        <is>
          <t>SCM</t>
        </is>
      </c>
      <c r="N1054" s="33" t="n">
        <v>200</v>
      </c>
      <c r="O1054" s="33" t="inlineStr">
        <is>
          <t>Free</t>
        </is>
      </c>
      <c r="P1054" s="33" t="inlineStr">
        <is>
          <t>200 Free</t>
        </is>
      </c>
      <c r="Q1054" s="33" t="inlineStr">
        <is>
          <t>SCM_200_FREE</t>
        </is>
      </c>
      <c r="R1054" s="36" t="n">
        <v>119.04</v>
      </c>
      <c r="S1054" s="35">
        <f>IF(R1054="","",IF(R1054&gt;=60,INT(R1054/60)&amp;":"&amp;TEXT(MOD(R1054,60),"00.00"),TEXT(R1054,"0.00")))</f>
        <v/>
      </c>
      <c r="T1054" s="52">
        <f>IFERROR((G1054-INDEX('01_Swimmers'!$E$5:$E$22,MATCH(B1054,'01_Swimmers'!$A$5:$A$22,0)))/'00_Control'!$B$10,"")</f>
        <v/>
      </c>
      <c r="U1054" s="35">
        <f>IF(T1054="","",INT(T1054))</f>
        <v/>
      </c>
      <c r="V1054" s="33" t="inlineStr">
        <is>
          <t>NO</t>
        </is>
      </c>
      <c r="W1054" s="33" t="inlineStr">
        <is>
          <t>YES</t>
        </is>
      </c>
      <c r="X1054" s="33" t="inlineStr">
        <is>
          <t>NO</t>
        </is>
      </c>
      <c r="Y1054" s="33" t="n">
        <v>2</v>
      </c>
      <c r="Z1054" s="33" t="n">
        <v>4</v>
      </c>
      <c r="AA1054" s="33" t="inlineStr">
        <is>
          <t>1</t>
        </is>
      </c>
      <c r="AB1054" s="33" t="inlineStr">
        <is>
          <t>https://www.swimcloud.com/results/323327/event/17/?id=137761418#time137761418</t>
        </is>
      </c>
      <c r="AC1054" s="33" t="inlineStr">
        <is>
          <t>SwimCloud API v6 2026-10-08</t>
        </is>
      </c>
      <c r="AD1054" s="33" t="inlineStr">
        <is>
          <t>Grayson Coulter|2024-09-22|SCM|200|Free|119.04|SW Junior Champs|TIM|False</t>
        </is>
      </c>
      <c r="AE1054" s="53">
        <f>G1054+L1054/1000+ROW()/1000000000</f>
        <v/>
      </c>
      <c r="AF1054" s="35">
        <f>IF(C1054&lt;&gt;"Grayson Coulter","",COUNTIFS($C$5:$C$2991,"Grayson Coulter",$Q$5:$Q$2991,Q1054,$AE$5:$AE$2991,"&lt;="&amp;AE1054,$R$5:$R$2991,"&lt;"&amp;R1054))</f>
        <v/>
      </c>
      <c r="AG1054" s="35">
        <f>IF(OR(C1054&lt;&gt;"Grayson Coulter",G1054&lt;'00_Control'!$B$7),"",--(AF1054&lt;5))</f>
        <v/>
      </c>
      <c r="AH1054" s="35">
        <f>IF(OR(C1054&lt;&gt;"Grayson Coulter",G1054&lt;'00_Control'!$B$7),"",--(AF1054&lt;10))</f>
        <v/>
      </c>
      <c r="AI1054" s="35">
        <f>IF(AND(C1054="Grayson Coulter",G1054&gt;='00_Control'!$B$7),"YES","NO")</f>
        <v/>
      </c>
      <c r="AJ1054" s="33" t="inlineStr">
        <is>
          <t>OK</t>
        </is>
      </c>
    </row>
    <row r="1055">
      <c r="A1055" s="33" t="inlineStr">
        <is>
          <t>SM001051</t>
        </is>
      </c>
      <c r="B1055" s="33" t="inlineStr">
        <is>
          <t>SW001</t>
        </is>
      </c>
      <c r="C1055" s="33" t="inlineStr">
        <is>
          <t>Grayson Coulter</t>
        </is>
      </c>
      <c r="D1055" s="33" t="inlineStr">
        <is>
          <t>SwimCloud</t>
        </is>
      </c>
      <c r="E1055" s="33" t="inlineStr">
        <is>
          <t>3651023</t>
        </is>
      </c>
      <c r="F1055" s="33" t="inlineStr">
        <is>
          <t>149407643</t>
        </is>
      </c>
      <c r="G1055" s="51" t="n">
        <v>45730</v>
      </c>
      <c r="H1055" s="33" t="inlineStr">
        <is>
          <t>Swimming Auckland Age Group and Open Championships</t>
        </is>
      </c>
      <c r="I1055" s="33" t="inlineStr">
        <is>
          <t>340538</t>
        </is>
      </c>
      <c r="J1055" s="33" t="inlineStr"/>
      <c r="K1055" s="33" t="inlineStr">
        <is>
          <t>PRE</t>
        </is>
      </c>
      <c r="L1055" s="35">
        <f>IF(K1055="FIN",3,IF(OR(K1055="SEM",K1055="SEMI"),2,IF(OR(K1055="PRE",K1055="HEAT"),1,IF(V1055="YES",4,2))))</f>
        <v/>
      </c>
      <c r="M1055" s="33" t="inlineStr">
        <is>
          <t>LCM</t>
        </is>
      </c>
      <c r="N1055" s="33" t="n">
        <v>200</v>
      </c>
      <c r="O1055" s="33" t="inlineStr">
        <is>
          <t>Free</t>
        </is>
      </c>
      <c r="P1055" s="33" t="inlineStr">
        <is>
          <t>200 Free</t>
        </is>
      </c>
      <c r="Q1055" s="33" t="inlineStr">
        <is>
          <t>LCM_200_FREE</t>
        </is>
      </c>
      <c r="R1055" s="36" t="n">
        <v>116.34</v>
      </c>
      <c r="S1055" s="35">
        <f>IF(R1055="","",IF(R1055&gt;=60,INT(R1055/60)&amp;":"&amp;TEXT(MOD(R1055,60),"00.00"),TEXT(R1055,"0.00")))</f>
        <v/>
      </c>
      <c r="T1055" s="52">
        <f>IFERROR((G1055-INDEX('01_Swimmers'!$E$5:$E$22,MATCH(B1055,'01_Swimmers'!$A$5:$A$22,0)))/'00_Control'!$B$10,"")</f>
        <v/>
      </c>
      <c r="U1055" s="35">
        <f>IF(T1055="","",INT(T1055))</f>
        <v/>
      </c>
      <c r="V1055" s="33" t="inlineStr">
        <is>
          <t>NO</t>
        </is>
      </c>
      <c r="W1055" s="33" t="inlineStr">
        <is>
          <t>YES</t>
        </is>
      </c>
      <c r="X1055" s="33" t="inlineStr">
        <is>
          <t>NO</t>
        </is>
      </c>
      <c r="Y1055" s="33" t="n">
        <v>7</v>
      </c>
      <c r="Z1055" s="33" t="n">
        <v>5</v>
      </c>
      <c r="AA1055" s="33" t="inlineStr">
        <is>
          <t>6</t>
        </is>
      </c>
      <c r="AB1055" s="33" t="inlineStr">
        <is>
          <t>https://www.swimcloud.com/results/340538/event/6/?id=149407643#time149407643</t>
        </is>
      </c>
      <c r="AC1055" s="33" t="inlineStr">
        <is>
          <t>SwimCloud API v6 2026-10-08</t>
        </is>
      </c>
      <c r="AD1055" s="33" t="inlineStr">
        <is>
          <t>Grayson Coulter|2025-03-14|LCM|200|Free|116.34|Swimming Auckland Age Group and Open Championships|PRE|False</t>
        </is>
      </c>
      <c r="AE1055" s="53">
        <f>G1055+L1055/1000+ROW()/1000000000</f>
        <v/>
      </c>
      <c r="AF1055" s="35">
        <f>IF(C1055&lt;&gt;"Grayson Coulter","",COUNTIFS($C$5:$C$2991,"Grayson Coulter",$Q$5:$Q$2991,Q1055,$AE$5:$AE$2991,"&lt;="&amp;AE1055,$R$5:$R$2991,"&lt;"&amp;R1055))</f>
        <v/>
      </c>
      <c r="AG1055" s="35">
        <f>IF(OR(C1055&lt;&gt;"Grayson Coulter",G1055&lt;'00_Control'!$B$7),"",--(AF1055&lt;5))</f>
        <v/>
      </c>
      <c r="AH1055" s="35">
        <f>IF(OR(C1055&lt;&gt;"Grayson Coulter",G1055&lt;'00_Control'!$B$7),"",--(AF1055&lt;10))</f>
        <v/>
      </c>
      <c r="AI1055" s="35">
        <f>IF(AND(C1055="Grayson Coulter",G1055&gt;='00_Control'!$B$7),"YES","NO")</f>
        <v/>
      </c>
      <c r="AJ1055" s="33" t="inlineStr">
        <is>
          <t>OK</t>
        </is>
      </c>
    </row>
    <row r="1056">
      <c r="A1056" s="33" t="inlineStr">
        <is>
          <t>SM001052</t>
        </is>
      </c>
      <c r="B1056" s="33" t="inlineStr">
        <is>
          <t>SW001</t>
        </is>
      </c>
      <c r="C1056" s="33" t="inlineStr">
        <is>
          <t>Grayson Coulter</t>
        </is>
      </c>
      <c r="D1056" s="33" t="inlineStr">
        <is>
          <t>SwimCloud</t>
        </is>
      </c>
      <c r="E1056" s="33" t="inlineStr">
        <is>
          <t>3651023</t>
        </is>
      </c>
      <c r="F1056" s="33" t="inlineStr">
        <is>
          <t>149407644</t>
        </is>
      </c>
      <c r="G1056" s="51" t="n">
        <v>45730</v>
      </c>
      <c r="H1056" s="33" t="inlineStr">
        <is>
          <t>Swimming Auckland Age Group and Open Championships</t>
        </is>
      </c>
      <c r="I1056" s="33" t="inlineStr">
        <is>
          <t>340538</t>
        </is>
      </c>
      <c r="J1056" s="33" t="inlineStr"/>
      <c r="K1056" s="33" t="inlineStr">
        <is>
          <t>FIN</t>
        </is>
      </c>
      <c r="L1056" s="35">
        <f>IF(K1056="FIN",3,IF(OR(K1056="SEM",K1056="SEMI"),2,IF(OR(K1056="PRE",K1056="HEAT"),1,IF(V1056="YES",4,2))))</f>
        <v/>
      </c>
      <c r="M1056" s="33" t="inlineStr">
        <is>
          <t>LCM</t>
        </is>
      </c>
      <c r="N1056" s="33" t="n">
        <v>200</v>
      </c>
      <c r="O1056" s="33" t="inlineStr">
        <is>
          <t>Free</t>
        </is>
      </c>
      <c r="P1056" s="33" t="inlineStr">
        <is>
          <t>200 Free</t>
        </is>
      </c>
      <c r="Q1056" s="33" t="inlineStr">
        <is>
          <t>LCM_200_FREE</t>
        </is>
      </c>
      <c r="R1056" s="36" t="n">
        <v>116.55</v>
      </c>
      <c r="S1056" s="35">
        <f>IF(R1056="","",IF(R1056&gt;=60,INT(R1056/60)&amp;":"&amp;TEXT(MOD(R1056,60),"00.00"),TEXT(R1056,"0.00")))</f>
        <v/>
      </c>
      <c r="T1056" s="52">
        <f>IFERROR((G1056-INDEX('01_Swimmers'!$E$5:$E$22,MATCH(B1056,'01_Swimmers'!$A$5:$A$22,0)))/'00_Control'!$B$10,"")</f>
        <v/>
      </c>
      <c r="U1056" s="35">
        <f>IF(T1056="","",INT(T1056))</f>
        <v/>
      </c>
      <c r="V1056" s="33" t="inlineStr">
        <is>
          <t>NO</t>
        </is>
      </c>
      <c r="W1056" s="33" t="inlineStr">
        <is>
          <t>YES</t>
        </is>
      </c>
      <c r="X1056" s="33" t="inlineStr">
        <is>
          <t>NO</t>
        </is>
      </c>
      <c r="Y1056" s="33" t="n">
        <v>4</v>
      </c>
      <c r="Z1056" s="33" t="n">
        <v>7</v>
      </c>
      <c r="AA1056" s="33" t="inlineStr">
        <is>
          <t>5</t>
        </is>
      </c>
      <c r="AB1056" s="33" t="inlineStr">
        <is>
          <t>https://www.swimcloud.com/results/340538/event/6/?id=149407644#time149407644</t>
        </is>
      </c>
      <c r="AC1056" s="33" t="inlineStr">
        <is>
          <t>SwimCloud API v6 2026-10-08</t>
        </is>
      </c>
      <c r="AD1056" s="33" t="inlineStr">
        <is>
          <t>Grayson Coulter|2025-03-14|LCM|200|Free|116.55|Swimming Auckland Age Group and Open Championships|FIN|False</t>
        </is>
      </c>
      <c r="AE1056" s="53">
        <f>G1056+L1056/1000+ROW()/1000000000</f>
        <v/>
      </c>
      <c r="AF1056" s="35">
        <f>IF(C1056&lt;&gt;"Grayson Coulter","",COUNTIFS($C$5:$C$2991,"Grayson Coulter",$Q$5:$Q$2991,Q1056,$AE$5:$AE$2991,"&lt;="&amp;AE1056,$R$5:$R$2991,"&lt;"&amp;R1056))</f>
        <v/>
      </c>
      <c r="AG1056" s="35">
        <f>IF(OR(C1056&lt;&gt;"Grayson Coulter",G1056&lt;'00_Control'!$B$7),"",--(AF1056&lt;5))</f>
        <v/>
      </c>
      <c r="AH1056" s="35">
        <f>IF(OR(C1056&lt;&gt;"Grayson Coulter",G1056&lt;'00_Control'!$B$7),"",--(AF1056&lt;10))</f>
        <v/>
      </c>
      <c r="AI1056" s="35">
        <f>IF(AND(C1056="Grayson Coulter",G1056&gt;='00_Control'!$B$7),"YES","NO")</f>
        <v/>
      </c>
      <c r="AJ1056" s="33" t="inlineStr">
        <is>
          <t>OK</t>
        </is>
      </c>
    </row>
    <row r="1057">
      <c r="A1057" s="33" t="inlineStr">
        <is>
          <t>SM001053</t>
        </is>
      </c>
      <c r="B1057" s="33" t="inlineStr">
        <is>
          <t>SW001</t>
        </is>
      </c>
      <c r="C1057" s="33" t="inlineStr">
        <is>
          <t>Grayson Coulter</t>
        </is>
      </c>
      <c r="D1057" s="33" t="inlineStr">
        <is>
          <t>SwimCloud</t>
        </is>
      </c>
      <c r="E1057" s="33" t="inlineStr">
        <is>
          <t>3651023</t>
        </is>
      </c>
      <c r="F1057" s="33" t="inlineStr">
        <is>
          <t>149406602</t>
        </is>
      </c>
      <c r="G1057" s="51" t="n">
        <v>45731</v>
      </c>
      <c r="H1057" s="33" t="inlineStr">
        <is>
          <t>Swimming Auckland Age Group and Open Championships</t>
        </is>
      </c>
      <c r="I1057" s="33" t="inlineStr">
        <is>
          <t>340538</t>
        </is>
      </c>
      <c r="J1057" s="33" t="inlineStr"/>
      <c r="K1057" s="33" t="inlineStr">
        <is>
          <t>PRE</t>
        </is>
      </c>
      <c r="L1057" s="35">
        <f>IF(K1057="FIN",3,IF(OR(K1057="SEM",K1057="SEMI"),2,IF(OR(K1057="PRE",K1057="HEAT"),1,IF(V1057="YES",4,2))))</f>
        <v/>
      </c>
      <c r="M1057" s="33" t="inlineStr">
        <is>
          <t>LCM</t>
        </is>
      </c>
      <c r="N1057" s="33" t="n">
        <v>100</v>
      </c>
      <c r="O1057" s="33" t="inlineStr">
        <is>
          <t>Fly</t>
        </is>
      </c>
      <c r="P1057" s="33" t="inlineStr">
        <is>
          <t>100 Fly</t>
        </is>
      </c>
      <c r="Q1057" s="33" t="inlineStr">
        <is>
          <t>LCM_100_FLY</t>
        </is>
      </c>
      <c r="R1057" s="36" t="n">
        <v>57.89</v>
      </c>
      <c r="S1057" s="35">
        <f>IF(R1057="","",IF(R1057&gt;=60,INT(R1057/60)&amp;":"&amp;TEXT(MOD(R1057,60),"00.00"),TEXT(R1057,"0.00")))</f>
        <v/>
      </c>
      <c r="T1057" s="52">
        <f>IFERROR((G1057-INDEX('01_Swimmers'!$E$5:$E$22,MATCH(B1057,'01_Swimmers'!$A$5:$A$22,0)))/'00_Control'!$B$10,"")</f>
        <v/>
      </c>
      <c r="U1057" s="35">
        <f>IF(T1057="","",INT(T1057))</f>
        <v/>
      </c>
      <c r="V1057" s="33" t="inlineStr">
        <is>
          <t>NO</t>
        </is>
      </c>
      <c r="W1057" s="33" t="inlineStr">
        <is>
          <t>YES</t>
        </is>
      </c>
      <c r="X1057" s="33" t="inlineStr">
        <is>
          <t>NO</t>
        </is>
      </c>
      <c r="Y1057" s="33" t="n">
        <v>8</v>
      </c>
      <c r="Z1057" s="33" t="n">
        <v>6</v>
      </c>
      <c r="AA1057" s="33" t="inlineStr">
        <is>
          <t>5</t>
        </is>
      </c>
      <c r="AB1057" s="33" t="inlineStr">
        <is>
          <t>https://www.swimcloud.com/results/340538/event/22/?id=149406602#time149406602</t>
        </is>
      </c>
      <c r="AC1057" s="33" t="inlineStr">
        <is>
          <t>SwimCloud API v6 2026-10-08</t>
        </is>
      </c>
      <c r="AD1057" s="33" t="inlineStr">
        <is>
          <t>Grayson Coulter|2025-03-15|LCM|100|Fly|57.89|Swimming Auckland Age Group and Open Championships|PRE|False</t>
        </is>
      </c>
      <c r="AE1057" s="53">
        <f>G1057+L1057/1000+ROW()/1000000000</f>
        <v/>
      </c>
      <c r="AF1057" s="35">
        <f>IF(C1057&lt;&gt;"Grayson Coulter","",COUNTIFS($C$5:$C$2991,"Grayson Coulter",$Q$5:$Q$2991,Q1057,$AE$5:$AE$2991,"&lt;="&amp;AE1057,$R$5:$R$2991,"&lt;"&amp;R1057))</f>
        <v/>
      </c>
      <c r="AG1057" s="35">
        <f>IF(OR(C1057&lt;&gt;"Grayson Coulter",G1057&lt;'00_Control'!$B$7),"",--(AF1057&lt;5))</f>
        <v/>
      </c>
      <c r="AH1057" s="35">
        <f>IF(OR(C1057&lt;&gt;"Grayson Coulter",G1057&lt;'00_Control'!$B$7),"",--(AF1057&lt;10))</f>
        <v/>
      </c>
      <c r="AI1057" s="35">
        <f>IF(AND(C1057="Grayson Coulter",G1057&gt;='00_Control'!$B$7),"YES","NO")</f>
        <v/>
      </c>
      <c r="AJ1057" s="33" t="inlineStr">
        <is>
          <t>OK</t>
        </is>
      </c>
    </row>
    <row r="1058">
      <c r="A1058" s="33" t="inlineStr">
        <is>
          <t>SM001054</t>
        </is>
      </c>
      <c r="B1058" s="33" t="inlineStr">
        <is>
          <t>SW001</t>
        </is>
      </c>
      <c r="C1058" s="33" t="inlineStr">
        <is>
          <t>Grayson Coulter</t>
        </is>
      </c>
      <c r="D1058" s="33" t="inlineStr">
        <is>
          <t>SwimCloud</t>
        </is>
      </c>
      <c r="E1058" s="33" t="inlineStr">
        <is>
          <t>3651023</t>
        </is>
      </c>
      <c r="F1058" s="33" t="inlineStr">
        <is>
          <t>149406603</t>
        </is>
      </c>
      <c r="G1058" s="51" t="n">
        <v>45731</v>
      </c>
      <c r="H1058" s="33" t="inlineStr">
        <is>
          <t>Swimming Auckland Age Group and Open Championships</t>
        </is>
      </c>
      <c r="I1058" s="33" t="inlineStr">
        <is>
          <t>340538</t>
        </is>
      </c>
      <c r="J1058" s="33" t="inlineStr"/>
      <c r="K1058" s="33" t="inlineStr">
        <is>
          <t>FIN</t>
        </is>
      </c>
      <c r="L1058" s="35">
        <f>IF(K1058="FIN",3,IF(OR(K1058="SEM",K1058="SEMI"),2,IF(OR(K1058="PRE",K1058="HEAT"),1,IF(V1058="YES",4,2))))</f>
        <v/>
      </c>
      <c r="M1058" s="33" t="inlineStr">
        <is>
          <t>LCM</t>
        </is>
      </c>
      <c r="N1058" s="33" t="n">
        <v>100</v>
      </c>
      <c r="O1058" s="33" t="inlineStr">
        <is>
          <t>Fly</t>
        </is>
      </c>
      <c r="P1058" s="33" t="inlineStr">
        <is>
          <t>100 Fly</t>
        </is>
      </c>
      <c r="Q1058" s="33" t="inlineStr">
        <is>
          <t>LCM_100_FLY</t>
        </is>
      </c>
      <c r="R1058" s="36" t="n">
        <v>59.14</v>
      </c>
      <c r="S1058" s="35">
        <f>IF(R1058="","",IF(R1058&gt;=60,INT(R1058/60)&amp;":"&amp;TEXT(MOD(R1058,60),"00.00"),TEXT(R1058,"0.00")))</f>
        <v/>
      </c>
      <c r="T1058" s="52">
        <f>IFERROR((G1058-INDEX('01_Swimmers'!$E$5:$E$22,MATCH(B1058,'01_Swimmers'!$A$5:$A$22,0)))/'00_Control'!$B$10,"")</f>
        <v/>
      </c>
      <c r="U1058" s="35">
        <f>IF(T1058="","",INT(T1058))</f>
        <v/>
      </c>
      <c r="V1058" s="33" t="inlineStr">
        <is>
          <t>NO</t>
        </is>
      </c>
      <c r="W1058" s="33" t="inlineStr">
        <is>
          <t>YES</t>
        </is>
      </c>
      <c r="X1058" s="33" t="inlineStr">
        <is>
          <t>NO</t>
        </is>
      </c>
      <c r="Y1058" s="33" t="n">
        <v>4</v>
      </c>
      <c r="Z1058" s="33" t="n">
        <v>6</v>
      </c>
      <c r="AA1058" s="33" t="inlineStr">
        <is>
          <t>5</t>
        </is>
      </c>
      <c r="AB1058" s="33" t="inlineStr">
        <is>
          <t>https://www.swimcloud.com/results/340538/event/22/?id=149406603#time149406603</t>
        </is>
      </c>
      <c r="AC1058" s="33" t="inlineStr">
        <is>
          <t>SwimCloud API v6 2026-10-08</t>
        </is>
      </c>
      <c r="AD1058" s="33" t="inlineStr">
        <is>
          <t>Grayson Coulter|2025-03-15|LCM|100|Fly|59.14|Swimming Auckland Age Group and Open Championships|FIN|False</t>
        </is>
      </c>
      <c r="AE1058" s="53">
        <f>G1058+L1058/1000+ROW()/1000000000</f>
        <v/>
      </c>
      <c r="AF1058" s="35">
        <f>IF(C1058&lt;&gt;"Grayson Coulter","",COUNTIFS($C$5:$C$2991,"Grayson Coulter",$Q$5:$Q$2991,Q1058,$AE$5:$AE$2991,"&lt;="&amp;AE1058,$R$5:$R$2991,"&lt;"&amp;R1058))</f>
        <v/>
      </c>
      <c r="AG1058" s="35">
        <f>IF(OR(C1058&lt;&gt;"Grayson Coulter",G1058&lt;'00_Control'!$B$7),"",--(AF1058&lt;5))</f>
        <v/>
      </c>
      <c r="AH1058" s="35">
        <f>IF(OR(C1058&lt;&gt;"Grayson Coulter",G1058&lt;'00_Control'!$B$7),"",--(AF1058&lt;10))</f>
        <v/>
      </c>
      <c r="AI1058" s="35">
        <f>IF(AND(C1058="Grayson Coulter",G1058&gt;='00_Control'!$B$7),"YES","NO")</f>
        <v/>
      </c>
      <c r="AJ1058" s="33" t="inlineStr">
        <is>
          <t>OK</t>
        </is>
      </c>
    </row>
    <row r="1059">
      <c r="A1059" s="33" t="inlineStr">
        <is>
          <t>SM001055</t>
        </is>
      </c>
      <c r="B1059" s="33" t="inlineStr">
        <is>
          <t>SW001</t>
        </is>
      </c>
      <c r="C1059" s="33" t="inlineStr">
        <is>
          <t>Grayson Coulter</t>
        </is>
      </c>
      <c r="D1059" s="33" t="inlineStr">
        <is>
          <t>SwimCloud</t>
        </is>
      </c>
      <c r="E1059" s="33" t="inlineStr">
        <is>
          <t>3651023</t>
        </is>
      </c>
      <c r="F1059" s="33" t="inlineStr">
        <is>
          <t>149407177</t>
        </is>
      </c>
      <c r="G1059" s="51" t="n">
        <v>45731</v>
      </c>
      <c r="H1059" s="33" t="inlineStr">
        <is>
          <t>Swimming Auckland Age Group and Open Championships</t>
        </is>
      </c>
      <c r="I1059" s="33" t="inlineStr">
        <is>
          <t>340538</t>
        </is>
      </c>
      <c r="J1059" s="33" t="inlineStr"/>
      <c r="K1059" s="33" t="inlineStr">
        <is>
          <t>PRE</t>
        </is>
      </c>
      <c r="L1059" s="35">
        <f>IF(K1059="FIN",3,IF(OR(K1059="SEM",K1059="SEMI"),2,IF(OR(K1059="PRE",K1059="HEAT"),1,IF(V1059="YES",4,2))))</f>
        <v/>
      </c>
      <c r="M1059" s="33" t="inlineStr">
        <is>
          <t>LCM</t>
        </is>
      </c>
      <c r="N1059" s="33" t="n">
        <v>100</v>
      </c>
      <c r="O1059" s="33" t="inlineStr">
        <is>
          <t>Free</t>
        </is>
      </c>
      <c r="P1059" s="33" t="inlineStr">
        <is>
          <t>100 Free</t>
        </is>
      </c>
      <c r="Q1059" s="33" t="inlineStr">
        <is>
          <t>LCM_100_FREE</t>
        </is>
      </c>
      <c r="R1059" s="36" t="n">
        <v>53.5</v>
      </c>
      <c r="S1059" s="35">
        <f>IF(R1059="","",IF(R1059&gt;=60,INT(R1059/60)&amp;":"&amp;TEXT(MOD(R1059,60),"00.00"),TEXT(R1059,"0.00")))</f>
        <v/>
      </c>
      <c r="T1059" s="52">
        <f>IFERROR((G1059-INDEX('01_Swimmers'!$E$5:$E$22,MATCH(B1059,'01_Swimmers'!$A$5:$A$22,0)))/'00_Control'!$B$10,"")</f>
        <v/>
      </c>
      <c r="U1059" s="35">
        <f>IF(T1059="","",INT(T1059))</f>
        <v/>
      </c>
      <c r="V1059" s="33" t="inlineStr">
        <is>
          <t>NO</t>
        </is>
      </c>
      <c r="W1059" s="33" t="inlineStr">
        <is>
          <t>YES</t>
        </is>
      </c>
      <c r="X1059" s="33" t="inlineStr">
        <is>
          <t>NO</t>
        </is>
      </c>
      <c r="Y1059" s="33" t="n">
        <v>17</v>
      </c>
      <c r="Z1059" s="33" t="n">
        <v>7</v>
      </c>
      <c r="AA1059" s="33" t="inlineStr">
        <is>
          <t>1</t>
        </is>
      </c>
      <c r="AB1059" s="33" t="inlineStr">
        <is>
          <t>https://www.swimcloud.com/results/340538/event/14/?id=149407177#time149407177</t>
        </is>
      </c>
      <c r="AC1059" s="33" t="inlineStr">
        <is>
          <t>SwimCloud API v6 2026-10-08</t>
        </is>
      </c>
      <c r="AD1059" s="33" t="inlineStr">
        <is>
          <t>Grayson Coulter|2025-03-15|LCM|100|Free|53.5|Swimming Auckland Age Group and Open Championships|PRE|False</t>
        </is>
      </c>
      <c r="AE1059" s="53">
        <f>G1059+L1059/1000+ROW()/1000000000</f>
        <v/>
      </c>
      <c r="AF1059" s="35">
        <f>IF(C1059&lt;&gt;"Grayson Coulter","",COUNTIFS($C$5:$C$2991,"Grayson Coulter",$Q$5:$Q$2991,Q1059,$AE$5:$AE$2991,"&lt;="&amp;AE1059,$R$5:$R$2991,"&lt;"&amp;R1059))</f>
        <v/>
      </c>
      <c r="AG1059" s="35">
        <f>IF(OR(C1059&lt;&gt;"Grayson Coulter",G1059&lt;'00_Control'!$B$7),"",--(AF1059&lt;5))</f>
        <v/>
      </c>
      <c r="AH1059" s="35">
        <f>IF(OR(C1059&lt;&gt;"Grayson Coulter",G1059&lt;'00_Control'!$B$7),"",--(AF1059&lt;10))</f>
        <v/>
      </c>
      <c r="AI1059" s="35">
        <f>IF(AND(C1059="Grayson Coulter",G1059&gt;='00_Control'!$B$7),"YES","NO")</f>
        <v/>
      </c>
      <c r="AJ1059" s="33" t="inlineStr">
        <is>
          <t>OK</t>
        </is>
      </c>
    </row>
    <row r="1060">
      <c r="A1060" s="33" t="inlineStr">
        <is>
          <t>SM001056</t>
        </is>
      </c>
      <c r="B1060" s="33" t="inlineStr">
        <is>
          <t>SW001</t>
        </is>
      </c>
      <c r="C1060" s="33" t="inlineStr">
        <is>
          <t>Grayson Coulter</t>
        </is>
      </c>
      <c r="D1060" s="33" t="inlineStr">
        <is>
          <t>SwimCloud</t>
        </is>
      </c>
      <c r="E1060" s="33" t="inlineStr">
        <is>
          <t>3651023</t>
        </is>
      </c>
      <c r="F1060" s="33" t="inlineStr">
        <is>
          <t>149407178</t>
        </is>
      </c>
      <c r="G1060" s="51" t="n">
        <v>45731</v>
      </c>
      <c r="H1060" s="33" t="inlineStr">
        <is>
          <t>Swimming Auckland Age Group and Open Championships</t>
        </is>
      </c>
      <c r="I1060" s="33" t="inlineStr">
        <is>
          <t>340538</t>
        </is>
      </c>
      <c r="J1060" s="33" t="inlineStr"/>
      <c r="K1060" s="33" t="inlineStr">
        <is>
          <t>FIN</t>
        </is>
      </c>
      <c r="L1060" s="35">
        <f>IF(K1060="FIN",3,IF(OR(K1060="SEM",K1060="SEMI"),2,IF(OR(K1060="PRE",K1060="HEAT"),1,IF(V1060="YES",4,2))))</f>
        <v/>
      </c>
      <c r="M1060" s="33" t="inlineStr">
        <is>
          <t>LCM</t>
        </is>
      </c>
      <c r="N1060" s="33" t="n">
        <v>100</v>
      </c>
      <c r="O1060" s="33" t="inlineStr">
        <is>
          <t>Free</t>
        </is>
      </c>
      <c r="P1060" s="33" t="inlineStr">
        <is>
          <t>100 Free</t>
        </is>
      </c>
      <c r="Q1060" s="33" t="inlineStr">
        <is>
          <t>LCM_100_FREE</t>
        </is>
      </c>
      <c r="R1060" s="36" t="n">
        <v>54.03</v>
      </c>
      <c r="S1060" s="35">
        <f>IF(R1060="","",IF(R1060&gt;=60,INT(R1060/60)&amp;":"&amp;TEXT(MOD(R1060,60),"00.00"),TEXT(R1060,"0.00")))</f>
        <v/>
      </c>
      <c r="T1060" s="52">
        <f>IFERROR((G1060-INDEX('01_Swimmers'!$E$5:$E$22,MATCH(B1060,'01_Swimmers'!$A$5:$A$22,0)))/'00_Control'!$B$10,"")</f>
        <v/>
      </c>
      <c r="U1060" s="35">
        <f>IF(T1060="","",INT(T1060))</f>
        <v/>
      </c>
      <c r="V1060" s="33" t="inlineStr">
        <is>
          <t>NO</t>
        </is>
      </c>
      <c r="W1060" s="33" t="inlineStr">
        <is>
          <t>YES</t>
        </is>
      </c>
      <c r="X1060" s="33" t="inlineStr">
        <is>
          <t>NO</t>
        </is>
      </c>
      <c r="Y1060" s="33" t="n">
        <v>4</v>
      </c>
      <c r="Z1060" s="33" t="n">
        <v>8</v>
      </c>
      <c r="AA1060" s="33" t="inlineStr">
        <is>
          <t>8</t>
        </is>
      </c>
      <c r="AB1060" s="33" t="inlineStr">
        <is>
          <t>https://www.swimcloud.com/results/340538/event/14/?id=149407178#time149407178</t>
        </is>
      </c>
      <c r="AC1060" s="33" t="inlineStr">
        <is>
          <t>SwimCloud API v6 2026-10-08</t>
        </is>
      </c>
      <c r="AD1060" s="33" t="inlineStr">
        <is>
          <t>Grayson Coulter|2025-03-15|LCM|100|Free|54.03|Swimming Auckland Age Group and Open Championships|FIN|False</t>
        </is>
      </c>
      <c r="AE1060" s="53">
        <f>G1060+L1060/1000+ROW()/1000000000</f>
        <v/>
      </c>
      <c r="AF1060" s="35">
        <f>IF(C1060&lt;&gt;"Grayson Coulter","",COUNTIFS($C$5:$C$2991,"Grayson Coulter",$Q$5:$Q$2991,Q1060,$AE$5:$AE$2991,"&lt;="&amp;AE1060,$R$5:$R$2991,"&lt;"&amp;R1060))</f>
        <v/>
      </c>
      <c r="AG1060" s="35">
        <f>IF(OR(C1060&lt;&gt;"Grayson Coulter",G1060&lt;'00_Control'!$B$7),"",--(AF1060&lt;5))</f>
        <v/>
      </c>
      <c r="AH1060" s="35">
        <f>IF(OR(C1060&lt;&gt;"Grayson Coulter",G1060&lt;'00_Control'!$B$7),"",--(AF1060&lt;10))</f>
        <v/>
      </c>
      <c r="AI1060" s="35">
        <f>IF(AND(C1060="Grayson Coulter",G1060&gt;='00_Control'!$B$7),"YES","NO")</f>
        <v/>
      </c>
      <c r="AJ1060" s="33" t="inlineStr">
        <is>
          <t>OK</t>
        </is>
      </c>
    </row>
    <row r="1061">
      <c r="A1061" s="33" t="inlineStr">
        <is>
          <t>SM001057</t>
        </is>
      </c>
      <c r="B1061" s="33" t="inlineStr">
        <is>
          <t>SW001</t>
        </is>
      </c>
      <c r="C1061" s="33" t="inlineStr">
        <is>
          <t>Grayson Coulter</t>
        </is>
      </c>
      <c r="D1061" s="33" t="inlineStr">
        <is>
          <t>SwimCloud</t>
        </is>
      </c>
      <c r="E1061" s="33" t="inlineStr">
        <is>
          <t>3651023</t>
        </is>
      </c>
      <c r="F1061" s="33" t="inlineStr">
        <is>
          <t>151360697</t>
        </is>
      </c>
      <c r="G1061" s="51" t="n">
        <v>45760</v>
      </c>
      <c r="H1061" s="33" t="inlineStr">
        <is>
          <t>Apollo Projects New Zealand Age Group Championships</t>
        </is>
      </c>
      <c r="I1061" s="33" t="inlineStr">
        <is>
          <t>342666</t>
        </is>
      </c>
      <c r="J1061" s="33" t="inlineStr"/>
      <c r="K1061" s="33" t="inlineStr">
        <is>
          <t>PRE</t>
        </is>
      </c>
      <c r="L1061" s="35">
        <f>IF(K1061="FIN",3,IF(OR(K1061="SEM",K1061="SEMI"),2,IF(OR(K1061="PRE",K1061="HEAT"),1,IF(V1061="YES",4,2))))</f>
        <v/>
      </c>
      <c r="M1061" s="33" t="inlineStr">
        <is>
          <t>LCM</t>
        </is>
      </c>
      <c r="N1061" s="33" t="n">
        <v>100</v>
      </c>
      <c r="O1061" s="33" t="inlineStr">
        <is>
          <t>Fly</t>
        </is>
      </c>
      <c r="P1061" s="33" t="inlineStr">
        <is>
          <t>100 Fly</t>
        </is>
      </c>
      <c r="Q1061" s="33" t="inlineStr">
        <is>
          <t>LCM_100_FLY</t>
        </is>
      </c>
      <c r="R1061" s="36" t="n">
        <v>57.96</v>
      </c>
      <c r="S1061" s="35">
        <f>IF(R1061="","",IF(R1061&gt;=60,INT(R1061/60)&amp;":"&amp;TEXT(MOD(R1061,60),"00.00"),TEXT(R1061,"0.00")))</f>
        <v/>
      </c>
      <c r="T1061" s="52">
        <f>IFERROR((G1061-INDEX('01_Swimmers'!$E$5:$E$22,MATCH(B1061,'01_Swimmers'!$A$5:$A$22,0)))/'00_Control'!$B$10,"")</f>
        <v/>
      </c>
      <c r="U1061" s="35">
        <f>IF(T1061="","",INT(T1061))</f>
        <v/>
      </c>
      <c r="V1061" s="33" t="inlineStr">
        <is>
          <t>NO</t>
        </is>
      </c>
      <c r="W1061" s="33" t="inlineStr">
        <is>
          <t>YES</t>
        </is>
      </c>
      <c r="X1061" s="33" t="inlineStr">
        <is>
          <t>NO</t>
        </is>
      </c>
      <c r="Y1061" s="33" t="n">
        <v>7</v>
      </c>
      <c r="Z1061" s="33" t="n">
        <v>7</v>
      </c>
      <c r="AA1061" s="33" t="inlineStr">
        <is>
          <t>1</t>
        </is>
      </c>
      <c r="AB1061" s="33" t="inlineStr">
        <is>
          <t>https://www.swimcloud.com/results/342666/event/2/?id=151360697#time151360697</t>
        </is>
      </c>
      <c r="AC1061" s="33" t="inlineStr">
        <is>
          <t>SwimCloud API v6 2026-10-08</t>
        </is>
      </c>
      <c r="AD1061" s="33" t="inlineStr">
        <is>
          <t>Grayson Coulter|2025-04-13|LCM|100|Fly|57.96|Apollo Projects New Zealand Age Group Championships|PRE|False</t>
        </is>
      </c>
      <c r="AE1061" s="53">
        <f>G1061+L1061/1000+ROW()/1000000000</f>
        <v/>
      </c>
      <c r="AF1061" s="35">
        <f>IF(C1061&lt;&gt;"Grayson Coulter","",COUNTIFS($C$5:$C$2991,"Grayson Coulter",$Q$5:$Q$2991,Q1061,$AE$5:$AE$2991,"&lt;="&amp;AE1061,$R$5:$R$2991,"&lt;"&amp;R1061))</f>
        <v/>
      </c>
      <c r="AG1061" s="35">
        <f>IF(OR(C1061&lt;&gt;"Grayson Coulter",G1061&lt;'00_Control'!$B$7),"",--(AF1061&lt;5))</f>
        <v/>
      </c>
      <c r="AH1061" s="35">
        <f>IF(OR(C1061&lt;&gt;"Grayson Coulter",G1061&lt;'00_Control'!$B$7),"",--(AF1061&lt;10))</f>
        <v/>
      </c>
      <c r="AI1061" s="35">
        <f>IF(AND(C1061="Grayson Coulter",G1061&gt;='00_Control'!$B$7),"YES","NO")</f>
        <v/>
      </c>
      <c r="AJ1061" s="33" t="inlineStr">
        <is>
          <t>OK</t>
        </is>
      </c>
    </row>
    <row r="1062">
      <c r="A1062" s="33" t="inlineStr">
        <is>
          <t>SM001058</t>
        </is>
      </c>
      <c r="B1062" s="33" t="inlineStr">
        <is>
          <t>SW001</t>
        </is>
      </c>
      <c r="C1062" s="33" t="inlineStr">
        <is>
          <t>Grayson Coulter</t>
        </is>
      </c>
      <c r="D1062" s="33" t="inlineStr">
        <is>
          <t>SwimCloud</t>
        </is>
      </c>
      <c r="E1062" s="33" t="inlineStr">
        <is>
          <t>3651023</t>
        </is>
      </c>
      <c r="F1062" s="33" t="inlineStr">
        <is>
          <t>151360707</t>
        </is>
      </c>
      <c r="G1062" s="51" t="n">
        <v>45760</v>
      </c>
      <c r="H1062" s="33" t="inlineStr">
        <is>
          <t>Apollo Projects New Zealand Age Group Championships</t>
        </is>
      </c>
      <c r="I1062" s="33" t="inlineStr">
        <is>
          <t>342666</t>
        </is>
      </c>
      <c r="J1062" s="33" t="inlineStr"/>
      <c r="K1062" s="33" t="inlineStr">
        <is>
          <t>FIN</t>
        </is>
      </c>
      <c r="L1062" s="35">
        <f>IF(K1062="FIN",3,IF(OR(K1062="SEM",K1062="SEMI"),2,IF(OR(K1062="PRE",K1062="HEAT"),1,IF(V1062="YES",4,2))))</f>
        <v/>
      </c>
      <c r="M1062" s="33" t="inlineStr">
        <is>
          <t>LCM</t>
        </is>
      </c>
      <c r="N1062" s="33" t="n">
        <v>100</v>
      </c>
      <c r="O1062" s="33" t="inlineStr">
        <is>
          <t>Fly</t>
        </is>
      </c>
      <c r="P1062" s="33" t="inlineStr">
        <is>
          <t>100 Fly</t>
        </is>
      </c>
      <c r="Q1062" s="33" t="inlineStr">
        <is>
          <t>LCM_100_FLY</t>
        </is>
      </c>
      <c r="R1062" s="36" t="n">
        <v>57.56</v>
      </c>
      <c r="S1062" s="35">
        <f>IF(R1062="","",IF(R1062&gt;=60,INT(R1062/60)&amp;":"&amp;TEXT(MOD(R1062,60),"00.00"),TEXT(R1062,"0.00")))</f>
        <v/>
      </c>
      <c r="T1062" s="52">
        <f>IFERROR((G1062-INDEX('01_Swimmers'!$E$5:$E$22,MATCH(B1062,'01_Swimmers'!$A$5:$A$22,0)))/'00_Control'!$B$10,"")</f>
        <v/>
      </c>
      <c r="U1062" s="35">
        <f>IF(T1062="","",INT(T1062))</f>
        <v/>
      </c>
      <c r="V1062" s="33" t="inlineStr">
        <is>
          <t>NO</t>
        </is>
      </c>
      <c r="W1062" s="33" t="inlineStr">
        <is>
          <t>YES</t>
        </is>
      </c>
      <c r="X1062" s="33" t="inlineStr">
        <is>
          <t>NO</t>
        </is>
      </c>
      <c r="Y1062" s="33" t="n">
        <v>1</v>
      </c>
      <c r="Z1062" s="33" t="n">
        <v>4</v>
      </c>
      <c r="AA1062" s="33" t="inlineStr">
        <is>
          <t>1</t>
        </is>
      </c>
      <c r="AB1062" s="33" t="inlineStr">
        <is>
          <t>https://www.swimcloud.com/results/342666/event/2/?id=151360707#time151360707</t>
        </is>
      </c>
      <c r="AC1062" s="33" t="inlineStr">
        <is>
          <t>SwimCloud API v6 2026-10-08</t>
        </is>
      </c>
      <c r="AD1062" s="33" t="inlineStr">
        <is>
          <t>Grayson Coulter|2025-04-13|LCM|100|Fly|57.56|Apollo Projects New Zealand Age Group Championships|FIN|False</t>
        </is>
      </c>
      <c r="AE1062" s="53">
        <f>G1062+L1062/1000+ROW()/1000000000</f>
        <v/>
      </c>
      <c r="AF1062" s="35">
        <f>IF(C1062&lt;&gt;"Grayson Coulter","",COUNTIFS($C$5:$C$2991,"Grayson Coulter",$Q$5:$Q$2991,Q1062,$AE$5:$AE$2991,"&lt;="&amp;AE1062,$R$5:$R$2991,"&lt;"&amp;R1062))</f>
        <v/>
      </c>
      <c r="AG1062" s="35">
        <f>IF(OR(C1062&lt;&gt;"Grayson Coulter",G1062&lt;'00_Control'!$B$7),"",--(AF1062&lt;5))</f>
        <v/>
      </c>
      <c r="AH1062" s="35">
        <f>IF(OR(C1062&lt;&gt;"Grayson Coulter",G1062&lt;'00_Control'!$B$7),"",--(AF1062&lt;10))</f>
        <v/>
      </c>
      <c r="AI1062" s="35">
        <f>IF(AND(C1062="Grayson Coulter",G1062&gt;='00_Control'!$B$7),"YES","NO")</f>
        <v/>
      </c>
      <c r="AJ1062" s="33" t="inlineStr">
        <is>
          <t>OK</t>
        </is>
      </c>
    </row>
    <row r="1063">
      <c r="A1063" s="33" t="inlineStr">
        <is>
          <t>SM001059</t>
        </is>
      </c>
      <c r="B1063" s="33" t="inlineStr">
        <is>
          <t>SW001</t>
        </is>
      </c>
      <c r="C1063" s="33" t="inlineStr">
        <is>
          <t>Grayson Coulter</t>
        </is>
      </c>
      <c r="D1063" s="33" t="inlineStr">
        <is>
          <t>SwimCloud</t>
        </is>
      </c>
      <c r="E1063" s="33" t="inlineStr">
        <is>
          <t>3651023</t>
        </is>
      </c>
      <c r="F1063" s="33" t="inlineStr">
        <is>
          <t>151360699</t>
        </is>
      </c>
      <c r="G1063" s="51" t="n">
        <v>45761</v>
      </c>
      <c r="H1063" s="33" t="inlineStr">
        <is>
          <t>Apollo Projects New Zealand Age Group Championships</t>
        </is>
      </c>
      <c r="I1063" s="33" t="inlineStr">
        <is>
          <t>342666</t>
        </is>
      </c>
      <c r="J1063" s="33" t="inlineStr"/>
      <c r="K1063" s="33" t="inlineStr">
        <is>
          <t>PRE</t>
        </is>
      </c>
      <c r="L1063" s="35">
        <f>IF(K1063="FIN",3,IF(OR(K1063="SEM",K1063="SEMI"),2,IF(OR(K1063="PRE",K1063="HEAT"),1,IF(V1063="YES",4,2))))</f>
        <v/>
      </c>
      <c r="M1063" s="33" t="inlineStr">
        <is>
          <t>LCM</t>
        </is>
      </c>
      <c r="N1063" s="33" t="n">
        <v>100</v>
      </c>
      <c r="O1063" s="33" t="inlineStr">
        <is>
          <t>Free</t>
        </is>
      </c>
      <c r="P1063" s="33" t="inlineStr">
        <is>
          <t>100 Free</t>
        </is>
      </c>
      <c r="Q1063" s="33" t="inlineStr">
        <is>
          <t>LCM_100_FREE</t>
        </is>
      </c>
      <c r="R1063" s="36" t="n">
        <v>53.29</v>
      </c>
      <c r="S1063" s="35">
        <f>IF(R1063="","",IF(R1063&gt;=60,INT(R1063/60)&amp;":"&amp;TEXT(MOD(R1063,60),"00.00"),TEXT(R1063,"0.00")))</f>
        <v/>
      </c>
      <c r="T1063" s="52">
        <f>IFERROR((G1063-INDEX('01_Swimmers'!$E$5:$E$22,MATCH(B1063,'01_Swimmers'!$A$5:$A$22,0)))/'00_Control'!$B$10,"")</f>
        <v/>
      </c>
      <c r="U1063" s="35">
        <f>IF(T1063="","",INT(T1063))</f>
        <v/>
      </c>
      <c r="V1063" s="33" t="inlineStr">
        <is>
          <t>NO</t>
        </is>
      </c>
      <c r="W1063" s="33" t="inlineStr">
        <is>
          <t>YES</t>
        </is>
      </c>
      <c r="X1063" s="33" t="inlineStr">
        <is>
          <t>NO</t>
        </is>
      </c>
      <c r="Y1063" s="33" t="n">
        <v>10</v>
      </c>
      <c r="Z1063" s="33" t="n">
        <v>2</v>
      </c>
      <c r="AA1063" s="33" t="inlineStr">
        <is>
          <t>1</t>
        </is>
      </c>
      <c r="AB1063" s="33" t="inlineStr">
        <is>
          <t>https://www.swimcloud.com/results/342666/event/14/?id=151360699#time151360699</t>
        </is>
      </c>
      <c r="AC1063" s="33" t="inlineStr">
        <is>
          <t>SwimCloud API v6 2026-10-08</t>
        </is>
      </c>
      <c r="AD1063" s="33" t="inlineStr">
        <is>
          <t>Grayson Coulter|2025-04-14|LCM|100|Free|53.29|Apollo Projects New Zealand Age Group Championships|PRE|False</t>
        </is>
      </c>
      <c r="AE1063" s="53">
        <f>G1063+L1063/1000+ROW()/1000000000</f>
        <v/>
      </c>
      <c r="AF1063" s="35">
        <f>IF(C1063&lt;&gt;"Grayson Coulter","",COUNTIFS($C$5:$C$2991,"Grayson Coulter",$Q$5:$Q$2991,Q1063,$AE$5:$AE$2991,"&lt;="&amp;AE1063,$R$5:$R$2991,"&lt;"&amp;R1063))</f>
        <v/>
      </c>
      <c r="AG1063" s="35">
        <f>IF(OR(C1063&lt;&gt;"Grayson Coulter",G1063&lt;'00_Control'!$B$7),"",--(AF1063&lt;5))</f>
        <v/>
      </c>
      <c r="AH1063" s="35">
        <f>IF(OR(C1063&lt;&gt;"Grayson Coulter",G1063&lt;'00_Control'!$B$7),"",--(AF1063&lt;10))</f>
        <v/>
      </c>
      <c r="AI1063" s="35">
        <f>IF(AND(C1063="Grayson Coulter",G1063&gt;='00_Control'!$B$7),"YES","NO")</f>
        <v/>
      </c>
      <c r="AJ1063" s="33" t="inlineStr">
        <is>
          <t>OK</t>
        </is>
      </c>
    </row>
    <row r="1064">
      <c r="A1064" s="33" t="inlineStr">
        <is>
          <t>SM001060</t>
        </is>
      </c>
      <c r="B1064" s="33" t="inlineStr">
        <is>
          <t>SW001</t>
        </is>
      </c>
      <c r="C1064" s="33" t="inlineStr">
        <is>
          <t>Grayson Coulter</t>
        </is>
      </c>
      <c r="D1064" s="33" t="inlineStr">
        <is>
          <t>SwimCloud</t>
        </is>
      </c>
      <c r="E1064" s="33" t="inlineStr">
        <is>
          <t>3651023</t>
        </is>
      </c>
      <c r="F1064" s="33" t="inlineStr">
        <is>
          <t>151360708</t>
        </is>
      </c>
      <c r="G1064" s="51" t="n">
        <v>45761</v>
      </c>
      <c r="H1064" s="33" t="inlineStr">
        <is>
          <t>Apollo Projects New Zealand Age Group Championships</t>
        </is>
      </c>
      <c r="I1064" s="33" t="inlineStr">
        <is>
          <t>342666</t>
        </is>
      </c>
      <c r="J1064" s="33" t="inlineStr"/>
      <c r="K1064" s="33" t="inlineStr">
        <is>
          <t>FIN</t>
        </is>
      </c>
      <c r="L1064" s="35">
        <f>IF(K1064="FIN",3,IF(OR(K1064="SEM",K1064="SEMI"),2,IF(OR(K1064="PRE",K1064="HEAT"),1,IF(V1064="YES",4,2))))</f>
        <v/>
      </c>
      <c r="M1064" s="33" t="inlineStr">
        <is>
          <t>LCM</t>
        </is>
      </c>
      <c r="N1064" s="33" t="n">
        <v>100</v>
      </c>
      <c r="O1064" s="33" t="inlineStr">
        <is>
          <t>Free</t>
        </is>
      </c>
      <c r="P1064" s="33" t="inlineStr">
        <is>
          <t>100 Free</t>
        </is>
      </c>
      <c r="Q1064" s="33" t="inlineStr">
        <is>
          <t>LCM_100_FREE</t>
        </is>
      </c>
      <c r="R1064" s="36" t="n">
        <v>52.62</v>
      </c>
      <c r="S1064" s="35">
        <f>IF(R1064="","",IF(R1064&gt;=60,INT(R1064/60)&amp;":"&amp;TEXT(MOD(R1064,60),"00.00"),TEXT(R1064,"0.00")))</f>
        <v/>
      </c>
      <c r="T1064" s="52">
        <f>IFERROR((G1064-INDEX('01_Swimmers'!$E$5:$E$22,MATCH(B1064,'01_Swimmers'!$A$5:$A$22,0)))/'00_Control'!$B$10,"")</f>
        <v/>
      </c>
      <c r="U1064" s="35">
        <f>IF(T1064="","",INT(T1064))</f>
        <v/>
      </c>
      <c r="V1064" s="33" t="inlineStr">
        <is>
          <t>NO</t>
        </is>
      </c>
      <c r="W1064" s="33" t="inlineStr">
        <is>
          <t>YES</t>
        </is>
      </c>
      <c r="X1064" s="33" t="inlineStr">
        <is>
          <t>NO</t>
        </is>
      </c>
      <c r="Y1064" s="33" t="n">
        <v>1</v>
      </c>
      <c r="Z1064" s="33" t="n">
        <v>4</v>
      </c>
      <c r="AA1064" s="33" t="inlineStr">
        <is>
          <t>1</t>
        </is>
      </c>
      <c r="AB1064" s="33" t="inlineStr">
        <is>
          <t>https://www.swimcloud.com/results/342666/event/14/?id=151360708#time151360708</t>
        </is>
      </c>
      <c r="AC1064" s="33" t="inlineStr">
        <is>
          <t>SwimCloud API v6 2026-10-08</t>
        </is>
      </c>
      <c r="AD1064" s="33" t="inlineStr">
        <is>
          <t>Grayson Coulter|2025-04-14|LCM|100|Free|52.62|Apollo Projects New Zealand Age Group Championships|FIN|False</t>
        </is>
      </c>
      <c r="AE1064" s="53">
        <f>G1064+L1064/1000+ROW()/1000000000</f>
        <v/>
      </c>
      <c r="AF1064" s="35">
        <f>IF(C1064&lt;&gt;"Grayson Coulter","",COUNTIFS($C$5:$C$2991,"Grayson Coulter",$Q$5:$Q$2991,Q1064,$AE$5:$AE$2991,"&lt;="&amp;AE1064,$R$5:$R$2991,"&lt;"&amp;R1064))</f>
        <v/>
      </c>
      <c r="AG1064" s="35">
        <f>IF(OR(C1064&lt;&gt;"Grayson Coulter",G1064&lt;'00_Control'!$B$7),"",--(AF1064&lt;5))</f>
        <v/>
      </c>
      <c r="AH1064" s="35">
        <f>IF(OR(C1064&lt;&gt;"Grayson Coulter",G1064&lt;'00_Control'!$B$7),"",--(AF1064&lt;10))</f>
        <v/>
      </c>
      <c r="AI1064" s="35">
        <f>IF(AND(C1064="Grayson Coulter",G1064&gt;='00_Control'!$B$7),"YES","NO")</f>
        <v/>
      </c>
      <c r="AJ1064" s="33" t="inlineStr">
        <is>
          <t>OK</t>
        </is>
      </c>
    </row>
    <row r="1065">
      <c r="A1065" s="33" t="inlineStr">
        <is>
          <t>SM001061</t>
        </is>
      </c>
      <c r="B1065" s="33" t="inlineStr">
        <is>
          <t>SW001</t>
        </is>
      </c>
      <c r="C1065" s="33" t="inlineStr">
        <is>
          <t>Grayson Coulter</t>
        </is>
      </c>
      <c r="D1065" s="33" t="inlineStr">
        <is>
          <t>SwimCloud</t>
        </is>
      </c>
      <c r="E1065" s="33" t="inlineStr">
        <is>
          <t>3651023</t>
        </is>
      </c>
      <c r="F1065" s="33" t="inlineStr">
        <is>
          <t>151360701</t>
        </is>
      </c>
      <c r="G1065" s="51" t="n">
        <v>45762</v>
      </c>
      <c r="H1065" s="33" t="inlineStr">
        <is>
          <t>Apollo Projects New Zealand Age Group Championships</t>
        </is>
      </c>
      <c r="I1065" s="33" t="inlineStr">
        <is>
          <t>342666</t>
        </is>
      </c>
      <c r="J1065" s="33" t="inlineStr"/>
      <c r="K1065" s="33" t="inlineStr">
        <is>
          <t>PRE</t>
        </is>
      </c>
      <c r="L1065" s="35">
        <f>IF(K1065="FIN",3,IF(OR(K1065="SEM",K1065="SEMI"),2,IF(OR(K1065="PRE",K1065="HEAT"),1,IF(V1065="YES",4,2))))</f>
        <v/>
      </c>
      <c r="M1065" s="33" t="inlineStr">
        <is>
          <t>LCM</t>
        </is>
      </c>
      <c r="N1065" s="33" t="n">
        <v>400</v>
      </c>
      <c r="O1065" s="33" t="inlineStr">
        <is>
          <t>Free</t>
        </is>
      </c>
      <c r="P1065" s="33" t="inlineStr">
        <is>
          <t>400 Free</t>
        </is>
      </c>
      <c r="Q1065" s="33" t="inlineStr">
        <is>
          <t>LCM_400_FREE</t>
        </is>
      </c>
      <c r="R1065" s="36" t="n">
        <v>254.46</v>
      </c>
      <c r="S1065" s="35">
        <f>IF(R1065="","",IF(R1065&gt;=60,INT(R1065/60)&amp;":"&amp;TEXT(MOD(R1065,60),"00.00"),TEXT(R1065,"0.00")))</f>
        <v/>
      </c>
      <c r="T1065" s="52">
        <f>IFERROR((G1065-INDEX('01_Swimmers'!$E$5:$E$22,MATCH(B1065,'01_Swimmers'!$A$5:$A$22,0)))/'00_Control'!$B$10,"")</f>
        <v/>
      </c>
      <c r="U1065" s="35">
        <f>IF(T1065="","",INT(T1065))</f>
        <v/>
      </c>
      <c r="V1065" s="33" t="inlineStr">
        <is>
          <t>NO</t>
        </is>
      </c>
      <c r="W1065" s="33" t="inlineStr">
        <is>
          <t>YES</t>
        </is>
      </c>
      <c r="X1065" s="33" t="inlineStr">
        <is>
          <t>NO</t>
        </is>
      </c>
      <c r="Y1065" s="33" t="n">
        <v>6</v>
      </c>
      <c r="Z1065" s="33" t="n">
        <v>3</v>
      </c>
      <c r="AA1065" s="33" t="inlineStr">
        <is>
          <t>1</t>
        </is>
      </c>
      <c r="AB1065" s="33" t="inlineStr">
        <is>
          <t>https://www.swimcloud.com/results/342666/event/24/?id=151360701#time151360701</t>
        </is>
      </c>
      <c r="AC1065" s="33" t="inlineStr">
        <is>
          <t>SwimCloud API v6 2026-10-08</t>
        </is>
      </c>
      <c r="AD1065" s="33" t="inlineStr">
        <is>
          <t>Grayson Coulter|2025-04-15|LCM|400|Free|254.46|Apollo Projects New Zealand Age Group Championships|PRE|False</t>
        </is>
      </c>
      <c r="AE1065" s="53">
        <f>G1065+L1065/1000+ROW()/1000000000</f>
        <v/>
      </c>
      <c r="AF1065" s="35">
        <f>IF(C1065&lt;&gt;"Grayson Coulter","",COUNTIFS($C$5:$C$2991,"Grayson Coulter",$Q$5:$Q$2991,Q1065,$AE$5:$AE$2991,"&lt;="&amp;AE1065,$R$5:$R$2991,"&lt;"&amp;R1065))</f>
        <v/>
      </c>
      <c r="AG1065" s="35">
        <f>IF(OR(C1065&lt;&gt;"Grayson Coulter",G1065&lt;'00_Control'!$B$7),"",--(AF1065&lt;5))</f>
        <v/>
      </c>
      <c r="AH1065" s="35">
        <f>IF(OR(C1065&lt;&gt;"Grayson Coulter",G1065&lt;'00_Control'!$B$7),"",--(AF1065&lt;10))</f>
        <v/>
      </c>
      <c r="AI1065" s="35">
        <f>IF(AND(C1065="Grayson Coulter",G1065&gt;='00_Control'!$B$7),"YES","NO")</f>
        <v/>
      </c>
      <c r="AJ1065" s="33" t="inlineStr">
        <is>
          <t>OK</t>
        </is>
      </c>
    </row>
    <row r="1066">
      <c r="A1066" s="33" t="inlineStr">
        <is>
          <t>SM001062</t>
        </is>
      </c>
      <c r="B1066" s="33" t="inlineStr">
        <is>
          <t>SW001</t>
        </is>
      </c>
      <c r="C1066" s="33" t="inlineStr">
        <is>
          <t>Grayson Coulter</t>
        </is>
      </c>
      <c r="D1066" s="33" t="inlineStr">
        <is>
          <t>SwimCloud</t>
        </is>
      </c>
      <c r="E1066" s="33" t="inlineStr">
        <is>
          <t>3651023</t>
        </is>
      </c>
      <c r="F1066" s="33" t="inlineStr">
        <is>
          <t>151360710</t>
        </is>
      </c>
      <c r="G1066" s="51" t="n">
        <v>45762</v>
      </c>
      <c r="H1066" s="33" t="inlineStr">
        <is>
          <t>Apollo Projects New Zealand Age Group Championships</t>
        </is>
      </c>
      <c r="I1066" s="33" t="inlineStr">
        <is>
          <t>342666</t>
        </is>
      </c>
      <c r="J1066" s="33" t="inlineStr"/>
      <c r="K1066" s="33" t="inlineStr">
        <is>
          <t>FIN</t>
        </is>
      </c>
      <c r="L1066" s="35">
        <f>IF(K1066="FIN",3,IF(OR(K1066="SEM",K1066="SEMI"),2,IF(OR(K1066="PRE",K1066="HEAT"),1,IF(V1066="YES",4,2))))</f>
        <v/>
      </c>
      <c r="M1066" s="33" t="inlineStr">
        <is>
          <t>LCM</t>
        </is>
      </c>
      <c r="N1066" s="33" t="n">
        <v>400</v>
      </c>
      <c r="O1066" s="33" t="inlineStr">
        <is>
          <t>Free</t>
        </is>
      </c>
      <c r="P1066" s="33" t="inlineStr">
        <is>
          <t>400 Free</t>
        </is>
      </c>
      <c r="Q1066" s="33" t="inlineStr">
        <is>
          <t>LCM_400_FREE</t>
        </is>
      </c>
      <c r="R1066" s="36" t="n">
        <v>248.49</v>
      </c>
      <c r="S1066" s="35">
        <f>IF(R1066="","",IF(R1066&gt;=60,INT(R1066/60)&amp;":"&amp;TEXT(MOD(R1066,60),"00.00"),TEXT(R1066,"0.00")))</f>
        <v/>
      </c>
      <c r="T1066" s="52">
        <f>IFERROR((G1066-INDEX('01_Swimmers'!$E$5:$E$22,MATCH(B1066,'01_Swimmers'!$A$5:$A$22,0)))/'00_Control'!$B$10,"")</f>
        <v/>
      </c>
      <c r="U1066" s="35">
        <f>IF(T1066="","",INT(T1066))</f>
        <v/>
      </c>
      <c r="V1066" s="33" t="inlineStr">
        <is>
          <t>NO</t>
        </is>
      </c>
      <c r="W1066" s="33" t="inlineStr">
        <is>
          <t>YES</t>
        </is>
      </c>
      <c r="X1066" s="33" t="inlineStr">
        <is>
          <t>NO</t>
        </is>
      </c>
      <c r="Y1066" s="33" t="n">
        <v>1</v>
      </c>
      <c r="Z1066" s="33" t="n">
        <v>4</v>
      </c>
      <c r="AA1066" s="33" t="inlineStr">
        <is>
          <t>1</t>
        </is>
      </c>
      <c r="AB1066" s="33" t="inlineStr">
        <is>
          <t>https://www.swimcloud.com/results/342666/event/24/?id=151360710#time151360710</t>
        </is>
      </c>
      <c r="AC1066" s="33" t="inlineStr">
        <is>
          <t>SwimCloud API v6 2026-10-08</t>
        </is>
      </c>
      <c r="AD1066" s="33" t="inlineStr">
        <is>
          <t>Grayson Coulter|2025-04-15|LCM|400|Free|248.49|Apollo Projects New Zealand Age Group Championships|FIN|False</t>
        </is>
      </c>
      <c r="AE1066" s="53">
        <f>G1066+L1066/1000+ROW()/1000000000</f>
        <v/>
      </c>
      <c r="AF1066" s="35">
        <f>IF(C1066&lt;&gt;"Grayson Coulter","",COUNTIFS($C$5:$C$2991,"Grayson Coulter",$Q$5:$Q$2991,Q1066,$AE$5:$AE$2991,"&lt;="&amp;AE1066,$R$5:$R$2991,"&lt;"&amp;R1066))</f>
        <v/>
      </c>
      <c r="AG1066" s="35">
        <f>IF(OR(C1066&lt;&gt;"Grayson Coulter",G1066&lt;'00_Control'!$B$7),"",--(AF1066&lt;5))</f>
        <v/>
      </c>
      <c r="AH1066" s="35">
        <f>IF(OR(C1066&lt;&gt;"Grayson Coulter",G1066&lt;'00_Control'!$B$7),"",--(AF1066&lt;10))</f>
        <v/>
      </c>
      <c r="AI1066" s="35">
        <f>IF(AND(C1066="Grayson Coulter",G1066&gt;='00_Control'!$B$7),"YES","NO")</f>
        <v/>
      </c>
      <c r="AJ1066" s="33" t="inlineStr">
        <is>
          <t>OK</t>
        </is>
      </c>
    </row>
    <row r="1067">
      <c r="A1067" s="33" t="inlineStr">
        <is>
          <t>SM001063</t>
        </is>
      </c>
      <c r="B1067" s="33" t="inlineStr">
        <is>
          <t>SW001</t>
        </is>
      </c>
      <c r="C1067" s="33" t="inlineStr">
        <is>
          <t>Grayson Coulter</t>
        </is>
      </c>
      <c r="D1067" s="33" t="inlineStr">
        <is>
          <t>SwimCloud</t>
        </is>
      </c>
      <c r="E1067" s="33" t="inlineStr">
        <is>
          <t>3651023</t>
        </is>
      </c>
      <c r="F1067" s="33" t="inlineStr">
        <is>
          <t>151360703</t>
        </is>
      </c>
      <c r="G1067" s="51" t="n">
        <v>45763</v>
      </c>
      <c r="H1067" s="33" t="inlineStr">
        <is>
          <t>Apollo Projects New Zealand Age Group Championships</t>
        </is>
      </c>
      <c r="I1067" s="33" t="inlineStr">
        <is>
          <t>342666</t>
        </is>
      </c>
      <c r="J1067" s="33" t="inlineStr"/>
      <c r="K1067" s="33" t="inlineStr">
        <is>
          <t>PRE</t>
        </is>
      </c>
      <c r="L1067" s="35">
        <f>IF(K1067="FIN",3,IF(OR(K1067="SEM",K1067="SEMI"),2,IF(OR(K1067="PRE",K1067="HEAT"),1,IF(V1067="YES",4,2))))</f>
        <v/>
      </c>
      <c r="M1067" s="33" t="inlineStr">
        <is>
          <t>LCM</t>
        </is>
      </c>
      <c r="N1067" s="33" t="n">
        <v>200</v>
      </c>
      <c r="O1067" s="33" t="inlineStr">
        <is>
          <t>Free</t>
        </is>
      </c>
      <c r="P1067" s="33" t="inlineStr">
        <is>
          <t>200 Free</t>
        </is>
      </c>
      <c r="Q1067" s="33" t="inlineStr">
        <is>
          <t>LCM_200_FREE</t>
        </is>
      </c>
      <c r="R1067" s="36" t="n">
        <v>114.8</v>
      </c>
      <c r="S1067" s="35">
        <f>IF(R1067="","",IF(R1067&gt;=60,INT(R1067/60)&amp;":"&amp;TEXT(MOD(R1067,60),"00.00"),TEXT(R1067,"0.00")))</f>
        <v/>
      </c>
      <c r="T1067" s="52">
        <f>IFERROR((G1067-INDEX('01_Swimmers'!$E$5:$E$22,MATCH(B1067,'01_Swimmers'!$A$5:$A$22,0)))/'00_Control'!$B$10,"")</f>
        <v/>
      </c>
      <c r="U1067" s="35">
        <f>IF(T1067="","",INT(T1067))</f>
        <v/>
      </c>
      <c r="V1067" s="33" t="inlineStr">
        <is>
          <t>NO</t>
        </is>
      </c>
      <c r="W1067" s="33" t="inlineStr">
        <is>
          <t>YES</t>
        </is>
      </c>
      <c r="X1067" s="33" t="inlineStr">
        <is>
          <t>NO</t>
        </is>
      </c>
      <c r="Y1067" s="33" t="n">
        <v>9</v>
      </c>
      <c r="Z1067" s="33" t="n">
        <v>4</v>
      </c>
      <c r="AA1067" s="33" t="inlineStr">
        <is>
          <t>1</t>
        </is>
      </c>
      <c r="AB1067" s="33" t="inlineStr">
        <is>
          <t>https://www.swimcloud.com/results/342666/event/40/?id=151360703#time151360703</t>
        </is>
      </c>
      <c r="AC1067" s="33" t="inlineStr">
        <is>
          <t>SwimCloud API v6 2026-10-08</t>
        </is>
      </c>
      <c r="AD1067" s="33" t="inlineStr">
        <is>
          <t>Grayson Coulter|2025-04-16|LCM|200|Free|114.8|Apollo Projects New Zealand Age Group Championships|PRE|False</t>
        </is>
      </c>
      <c r="AE1067" s="53">
        <f>G1067+L1067/1000+ROW()/1000000000</f>
        <v/>
      </c>
      <c r="AF1067" s="35">
        <f>IF(C1067&lt;&gt;"Grayson Coulter","",COUNTIFS($C$5:$C$2991,"Grayson Coulter",$Q$5:$Q$2991,Q1067,$AE$5:$AE$2991,"&lt;="&amp;AE1067,$R$5:$R$2991,"&lt;"&amp;R1067))</f>
        <v/>
      </c>
      <c r="AG1067" s="35">
        <f>IF(OR(C1067&lt;&gt;"Grayson Coulter",G1067&lt;'00_Control'!$B$7),"",--(AF1067&lt;5))</f>
        <v/>
      </c>
      <c r="AH1067" s="35">
        <f>IF(OR(C1067&lt;&gt;"Grayson Coulter",G1067&lt;'00_Control'!$B$7),"",--(AF1067&lt;10))</f>
        <v/>
      </c>
      <c r="AI1067" s="35">
        <f>IF(AND(C1067="Grayson Coulter",G1067&gt;='00_Control'!$B$7),"YES","NO")</f>
        <v/>
      </c>
      <c r="AJ1067" s="33" t="inlineStr">
        <is>
          <t>OK</t>
        </is>
      </c>
    </row>
    <row r="1068">
      <c r="A1068" s="33" t="inlineStr">
        <is>
          <t>SM001064</t>
        </is>
      </c>
      <c r="B1068" s="33" t="inlineStr">
        <is>
          <t>SW001</t>
        </is>
      </c>
      <c r="C1068" s="33" t="inlineStr">
        <is>
          <t>Grayson Coulter</t>
        </is>
      </c>
      <c r="D1068" s="33" t="inlineStr">
        <is>
          <t>SwimCloud</t>
        </is>
      </c>
      <c r="E1068" s="33" t="inlineStr">
        <is>
          <t>3651023</t>
        </is>
      </c>
      <c r="F1068" s="33" t="inlineStr">
        <is>
          <t>151360712</t>
        </is>
      </c>
      <c r="G1068" s="51" t="n">
        <v>45763</v>
      </c>
      <c r="H1068" s="33" t="inlineStr">
        <is>
          <t>Apollo Projects New Zealand Age Group Championships</t>
        </is>
      </c>
      <c r="I1068" s="33" t="inlineStr">
        <is>
          <t>342666</t>
        </is>
      </c>
      <c r="J1068" s="33" t="inlineStr"/>
      <c r="K1068" s="33" t="inlineStr">
        <is>
          <t>FIN</t>
        </is>
      </c>
      <c r="L1068" s="35">
        <f>IF(K1068="FIN",3,IF(OR(K1068="SEM",K1068="SEMI"),2,IF(OR(K1068="PRE",K1068="HEAT"),1,IF(V1068="YES",4,2))))</f>
        <v/>
      </c>
      <c r="M1068" s="33" t="inlineStr">
        <is>
          <t>LCM</t>
        </is>
      </c>
      <c r="N1068" s="33" t="n">
        <v>200</v>
      </c>
      <c r="O1068" s="33" t="inlineStr">
        <is>
          <t>Free</t>
        </is>
      </c>
      <c r="P1068" s="33" t="inlineStr">
        <is>
          <t>200 Free</t>
        </is>
      </c>
      <c r="Q1068" s="33" t="inlineStr">
        <is>
          <t>LCM_200_FREE</t>
        </is>
      </c>
      <c r="R1068" s="36" t="n">
        <v>116.44</v>
      </c>
      <c r="S1068" s="35">
        <f>IF(R1068="","",IF(R1068&gt;=60,INT(R1068/60)&amp;":"&amp;TEXT(MOD(R1068,60),"00.00"),TEXT(R1068,"0.00")))</f>
        <v/>
      </c>
      <c r="T1068" s="52">
        <f>IFERROR((G1068-INDEX('01_Swimmers'!$E$5:$E$22,MATCH(B1068,'01_Swimmers'!$A$5:$A$22,0)))/'00_Control'!$B$10,"")</f>
        <v/>
      </c>
      <c r="U1068" s="35">
        <f>IF(T1068="","",INT(T1068))</f>
        <v/>
      </c>
      <c r="V1068" s="33" t="inlineStr">
        <is>
          <t>NO</t>
        </is>
      </c>
      <c r="W1068" s="33" t="inlineStr">
        <is>
          <t>YES</t>
        </is>
      </c>
      <c r="X1068" s="33" t="inlineStr">
        <is>
          <t>NO</t>
        </is>
      </c>
      <c r="Y1068" s="33" t="n">
        <v>1</v>
      </c>
      <c r="Z1068" s="33" t="n">
        <v>4</v>
      </c>
      <c r="AA1068" s="33" t="inlineStr">
        <is>
          <t>1</t>
        </is>
      </c>
      <c r="AB1068" s="33" t="inlineStr">
        <is>
          <t>https://www.swimcloud.com/results/342666/event/40/?id=151360712#time151360712</t>
        </is>
      </c>
      <c r="AC1068" s="33" t="inlineStr">
        <is>
          <t>SwimCloud API v6 2026-10-08</t>
        </is>
      </c>
      <c r="AD1068" s="33" t="inlineStr">
        <is>
          <t>Grayson Coulter|2025-04-16|LCM|200|Free|116.44|Apollo Projects New Zealand Age Group Championships|FIN|False</t>
        </is>
      </c>
      <c r="AE1068" s="53">
        <f>G1068+L1068/1000+ROW()/1000000000</f>
        <v/>
      </c>
      <c r="AF1068" s="35">
        <f>IF(C1068&lt;&gt;"Grayson Coulter","",COUNTIFS($C$5:$C$2991,"Grayson Coulter",$Q$5:$Q$2991,Q1068,$AE$5:$AE$2991,"&lt;="&amp;AE1068,$R$5:$R$2991,"&lt;"&amp;R1068))</f>
        <v/>
      </c>
      <c r="AG1068" s="35">
        <f>IF(OR(C1068&lt;&gt;"Grayson Coulter",G1068&lt;'00_Control'!$B$7),"",--(AF1068&lt;5))</f>
        <v/>
      </c>
      <c r="AH1068" s="35">
        <f>IF(OR(C1068&lt;&gt;"Grayson Coulter",G1068&lt;'00_Control'!$B$7),"",--(AF1068&lt;10))</f>
        <v/>
      </c>
      <c r="AI1068" s="35">
        <f>IF(AND(C1068="Grayson Coulter",G1068&gt;='00_Control'!$B$7),"YES","NO")</f>
        <v/>
      </c>
      <c r="AJ1068" s="33" t="inlineStr">
        <is>
          <t>OK</t>
        </is>
      </c>
    </row>
    <row r="1069">
      <c r="A1069" s="33" t="inlineStr">
        <is>
          <t>SM001065</t>
        </is>
      </c>
      <c r="B1069" s="33" t="inlineStr">
        <is>
          <t>SW001</t>
        </is>
      </c>
      <c r="C1069" s="33" t="inlineStr">
        <is>
          <t>Grayson Coulter</t>
        </is>
      </c>
      <c r="D1069" s="33" t="inlineStr">
        <is>
          <t>SwimCloud</t>
        </is>
      </c>
      <c r="E1069" s="33" t="inlineStr">
        <is>
          <t>3651023</t>
        </is>
      </c>
      <c r="F1069" s="33" t="inlineStr">
        <is>
          <t>159514745</t>
        </is>
      </c>
      <c r="G1069" s="51" t="n">
        <v>45798</v>
      </c>
      <c r="H1069" s="33" t="inlineStr">
        <is>
          <t>2025 Apollo Projects New Zealand Swimming Championships</t>
        </is>
      </c>
      <c r="I1069" s="33" t="inlineStr">
        <is>
          <t>344530</t>
        </is>
      </c>
      <c r="J1069" s="33" t="inlineStr"/>
      <c r="K1069" s="33" t="inlineStr">
        <is>
          <t>TIM</t>
        </is>
      </c>
      <c r="L1069" s="35">
        <f>IF(K1069="FIN",3,IF(OR(K1069="SEM",K1069="SEMI"),2,IF(OR(K1069="PRE",K1069="HEAT"),1,IF(V1069="YES",4,2))))</f>
        <v/>
      </c>
      <c r="M1069" s="33" t="inlineStr">
        <is>
          <t>LCM</t>
        </is>
      </c>
      <c r="N1069" s="33" t="n">
        <v>100</v>
      </c>
      <c r="O1069" s="33" t="inlineStr">
        <is>
          <t>Free</t>
        </is>
      </c>
      <c r="P1069" s="33" t="inlineStr">
        <is>
          <t>100 Free</t>
        </is>
      </c>
      <c r="Q1069" s="33" t="inlineStr">
        <is>
          <t>LCM_100_FREE</t>
        </is>
      </c>
      <c r="R1069" s="36" t="n">
        <v>53.1</v>
      </c>
      <c r="S1069" s="35">
        <f>IF(R1069="","",IF(R1069&gt;=60,INT(R1069/60)&amp;":"&amp;TEXT(MOD(R1069,60),"00.00"),TEXT(R1069,"0.00")))</f>
        <v/>
      </c>
      <c r="T1069" s="52">
        <f>IFERROR((G1069-INDEX('01_Swimmers'!$E$5:$E$22,MATCH(B1069,'01_Swimmers'!$A$5:$A$22,0)))/'00_Control'!$B$10,"")</f>
        <v/>
      </c>
      <c r="U1069" s="35">
        <f>IF(T1069="","",INT(T1069))</f>
        <v/>
      </c>
      <c r="V1069" s="33" t="inlineStr">
        <is>
          <t>YES</t>
        </is>
      </c>
      <c r="W1069" s="33" t="inlineStr">
        <is>
          <t>YES</t>
        </is>
      </c>
      <c r="X1069" s="33" t="inlineStr">
        <is>
          <t>NO</t>
        </is>
      </c>
      <c r="Y1069" s="33" t="n">
        <v>1</v>
      </c>
      <c r="Z1069" s="33" t="n">
        <v>6</v>
      </c>
      <c r="AA1069" s="33" t="inlineStr"/>
      <c r="AB1069" s="33" t="inlineStr">
        <is>
          <t>https://www.swimcloud.com/results/344530/event/10/?id=159513792#time159513792</t>
        </is>
      </c>
      <c r="AC1069" s="33" t="inlineStr">
        <is>
          <t>SwimCloud API v6 2026-10-08</t>
        </is>
      </c>
      <c r="AD1069" s="33" t="inlineStr">
        <is>
          <t>Grayson Coulter|2025-05-21|LCM|100|Free|53.1|2025 Apollo Projects New Zealand Swimming Championships|TIM|True</t>
        </is>
      </c>
      <c r="AE1069" s="53">
        <f>G1069+L1069/1000+ROW()/1000000000</f>
        <v/>
      </c>
      <c r="AF1069" s="35">
        <f>IF(C1069&lt;&gt;"Grayson Coulter","",COUNTIFS($C$5:$C$2991,"Grayson Coulter",$Q$5:$Q$2991,Q1069,$AE$5:$AE$2991,"&lt;="&amp;AE1069,$R$5:$R$2991,"&lt;"&amp;R1069))</f>
        <v/>
      </c>
      <c r="AG1069" s="35">
        <f>IF(OR(C1069&lt;&gt;"Grayson Coulter",G1069&lt;'00_Control'!$B$7),"",--(AF1069&lt;5))</f>
        <v/>
      </c>
      <c r="AH1069" s="35">
        <f>IF(OR(C1069&lt;&gt;"Grayson Coulter",G1069&lt;'00_Control'!$B$7),"",--(AF1069&lt;10))</f>
        <v/>
      </c>
      <c r="AI1069" s="35">
        <f>IF(AND(C1069="Grayson Coulter",G1069&gt;='00_Control'!$B$7),"YES","NO")</f>
        <v/>
      </c>
      <c r="AJ1069" s="33" t="inlineStr">
        <is>
          <t>OK</t>
        </is>
      </c>
    </row>
    <row r="1070">
      <c r="A1070" s="33" t="inlineStr">
        <is>
          <t>SM001066</t>
        </is>
      </c>
      <c r="B1070" s="33" t="inlineStr">
        <is>
          <t>SW001</t>
        </is>
      </c>
      <c r="C1070" s="33" t="inlineStr">
        <is>
          <t>Grayson Coulter</t>
        </is>
      </c>
      <c r="D1070" s="33" t="inlineStr">
        <is>
          <t>SwimCloud</t>
        </is>
      </c>
      <c r="E1070" s="33" t="inlineStr">
        <is>
          <t>3651023</t>
        </is>
      </c>
      <c r="F1070" s="33" t="inlineStr">
        <is>
          <t>159514749</t>
        </is>
      </c>
      <c r="G1070" s="51" t="n">
        <v>45800</v>
      </c>
      <c r="H1070" s="33" t="inlineStr">
        <is>
          <t>2025 Apollo Projects New Zealand Swimming Championships</t>
        </is>
      </c>
      <c r="I1070" s="33" t="inlineStr">
        <is>
          <t>344530</t>
        </is>
      </c>
      <c r="J1070" s="33" t="inlineStr"/>
      <c r="K1070" s="33" t="inlineStr">
        <is>
          <t>TIM</t>
        </is>
      </c>
      <c r="L1070" s="35">
        <f>IF(K1070="FIN",3,IF(OR(K1070="SEM",K1070="SEMI"),2,IF(OR(K1070="PRE",K1070="HEAT"),1,IF(V1070="YES",4,2))))</f>
        <v/>
      </c>
      <c r="M1070" s="33" t="inlineStr">
        <is>
          <t>LCM</t>
        </is>
      </c>
      <c r="N1070" s="33" t="n">
        <v>200</v>
      </c>
      <c r="O1070" s="33" t="inlineStr">
        <is>
          <t>Free</t>
        </is>
      </c>
      <c r="P1070" s="33" t="inlineStr">
        <is>
          <t>200 Free</t>
        </is>
      </c>
      <c r="Q1070" s="33" t="inlineStr">
        <is>
          <t>LCM_200_FREE</t>
        </is>
      </c>
      <c r="R1070" s="36" t="n">
        <v>115.34</v>
      </c>
      <c r="S1070" s="35">
        <f>IF(R1070="","",IF(R1070&gt;=60,INT(R1070/60)&amp;":"&amp;TEXT(MOD(R1070,60),"00.00"),TEXT(R1070,"0.00")))</f>
        <v/>
      </c>
      <c r="T1070" s="52">
        <f>IFERROR((G1070-INDEX('01_Swimmers'!$E$5:$E$22,MATCH(B1070,'01_Swimmers'!$A$5:$A$22,0)))/'00_Control'!$B$10,"")</f>
        <v/>
      </c>
      <c r="U1070" s="35">
        <f>IF(T1070="","",INT(T1070))</f>
        <v/>
      </c>
      <c r="V1070" s="33" t="inlineStr">
        <is>
          <t>YES</t>
        </is>
      </c>
      <c r="W1070" s="33" t="inlineStr">
        <is>
          <t>YES</t>
        </is>
      </c>
      <c r="X1070" s="33" t="inlineStr">
        <is>
          <t>NO</t>
        </is>
      </c>
      <c r="Y1070" s="33" t="n">
        <v>1</v>
      </c>
      <c r="Z1070" s="33" t="n">
        <v>5</v>
      </c>
      <c r="AA1070" s="33" t="inlineStr"/>
      <c r="AB1070" s="33" t="inlineStr">
        <is>
          <t>https://www.swimcloud.com/results/344530/event/27/?id=159513793#time159513793</t>
        </is>
      </c>
      <c r="AC1070" s="33" t="inlineStr">
        <is>
          <t>SwimCloud API v6 2026-10-08</t>
        </is>
      </c>
      <c r="AD1070" s="33" t="inlineStr">
        <is>
          <t>Grayson Coulter|2025-05-23|LCM|200|Free|115.34|2025 Apollo Projects New Zealand Swimming Championships|TIM|True</t>
        </is>
      </c>
      <c r="AE1070" s="53">
        <f>G1070+L1070/1000+ROW()/1000000000</f>
        <v/>
      </c>
      <c r="AF1070" s="35">
        <f>IF(C1070&lt;&gt;"Grayson Coulter","",COUNTIFS($C$5:$C$2991,"Grayson Coulter",$Q$5:$Q$2991,Q1070,$AE$5:$AE$2991,"&lt;="&amp;AE1070,$R$5:$R$2991,"&lt;"&amp;R1070))</f>
        <v/>
      </c>
      <c r="AG1070" s="35">
        <f>IF(OR(C1070&lt;&gt;"Grayson Coulter",G1070&lt;'00_Control'!$B$7),"",--(AF1070&lt;5))</f>
        <v/>
      </c>
      <c r="AH1070" s="35">
        <f>IF(OR(C1070&lt;&gt;"Grayson Coulter",G1070&lt;'00_Control'!$B$7),"",--(AF1070&lt;10))</f>
        <v/>
      </c>
      <c r="AI1070" s="35">
        <f>IF(AND(C1070="Grayson Coulter",G1070&gt;='00_Control'!$B$7),"YES","NO")</f>
        <v/>
      </c>
      <c r="AJ1070" s="33" t="inlineStr">
        <is>
          <t>OK</t>
        </is>
      </c>
    </row>
    <row r="1071">
      <c r="A1071" s="33" t="inlineStr">
        <is>
          <t>SM001067</t>
        </is>
      </c>
      <c r="B1071" s="33" t="inlineStr">
        <is>
          <t>SW001</t>
        </is>
      </c>
      <c r="C1071" s="33" t="inlineStr">
        <is>
          <t>Grayson Coulter</t>
        </is>
      </c>
      <c r="D1071" s="33" t="inlineStr">
        <is>
          <t>SwimCloud</t>
        </is>
      </c>
      <c r="E1071" s="33" t="inlineStr">
        <is>
          <t>3651023</t>
        </is>
      </c>
      <c r="F1071" s="33" t="inlineStr">
        <is>
          <t>159513587</t>
        </is>
      </c>
      <c r="G1071" s="51" t="n">
        <v>45801</v>
      </c>
      <c r="H1071" s="33" t="inlineStr">
        <is>
          <t>2025 Apollo Projects New Zealand Swimming Championships</t>
        </is>
      </c>
      <c r="I1071" s="33" t="inlineStr">
        <is>
          <t>344530</t>
        </is>
      </c>
      <c r="J1071" s="33" t="inlineStr"/>
      <c r="K1071" s="33" t="inlineStr">
        <is>
          <t>PRE</t>
        </is>
      </c>
      <c r="L1071" s="35">
        <f>IF(K1071="FIN",3,IF(OR(K1071="SEM",K1071="SEMI"),2,IF(OR(K1071="PRE",K1071="HEAT"),1,IF(V1071="YES",4,2))))</f>
        <v/>
      </c>
      <c r="M1071" s="33" t="inlineStr">
        <is>
          <t>LCM</t>
        </is>
      </c>
      <c r="N1071" s="33" t="n">
        <v>200</v>
      </c>
      <c r="O1071" s="33" t="inlineStr">
        <is>
          <t>Free</t>
        </is>
      </c>
      <c r="P1071" s="33" t="inlineStr">
        <is>
          <t>200 Free</t>
        </is>
      </c>
      <c r="Q1071" s="33" t="inlineStr">
        <is>
          <t>LCM_200_FREE</t>
        </is>
      </c>
      <c r="R1071" s="36" t="n">
        <v>114.59</v>
      </c>
      <c r="S1071" s="35">
        <f>IF(R1071="","",IF(R1071&gt;=60,INT(R1071/60)&amp;":"&amp;TEXT(MOD(R1071,60),"00.00"),TEXT(R1071,"0.00")))</f>
        <v/>
      </c>
      <c r="T1071" s="52">
        <f>IFERROR((G1071-INDEX('01_Swimmers'!$E$5:$E$22,MATCH(B1071,'01_Swimmers'!$A$5:$A$22,0)))/'00_Control'!$B$10,"")</f>
        <v/>
      </c>
      <c r="U1071" s="35">
        <f>IF(T1071="","",INT(T1071))</f>
        <v/>
      </c>
      <c r="V1071" s="33" t="inlineStr">
        <is>
          <t>NO</t>
        </is>
      </c>
      <c r="W1071" s="33" t="inlineStr">
        <is>
          <t>YES</t>
        </is>
      </c>
      <c r="X1071" s="33" t="inlineStr">
        <is>
          <t>NO</t>
        </is>
      </c>
      <c r="Y1071" s="33" t="n">
        <v>4</v>
      </c>
      <c r="Z1071" s="33" t="n">
        <v>6</v>
      </c>
      <c r="AA1071" s="33" t="inlineStr">
        <is>
          <t>7,7</t>
        </is>
      </c>
      <c r="AB1071" s="33" t="inlineStr">
        <is>
          <t>https://www.swimcloud.com/results/344530/event/33/?id=159513587#time159513587</t>
        </is>
      </c>
      <c r="AC1071" s="33" t="inlineStr">
        <is>
          <t>SwimCloud API v6 2026-10-08</t>
        </is>
      </c>
      <c r="AD1071" s="33" t="inlineStr">
        <is>
          <t>Grayson Coulter|2025-05-24|LCM|200|Free|114.59|2025 Apollo Projects New Zealand Swimming Championships|PRE|False</t>
        </is>
      </c>
      <c r="AE1071" s="53">
        <f>G1071+L1071/1000+ROW()/1000000000</f>
        <v/>
      </c>
      <c r="AF1071" s="35">
        <f>IF(C1071&lt;&gt;"Grayson Coulter","",COUNTIFS($C$5:$C$2991,"Grayson Coulter",$Q$5:$Q$2991,Q1071,$AE$5:$AE$2991,"&lt;="&amp;AE1071,$R$5:$R$2991,"&lt;"&amp;R1071))</f>
        <v/>
      </c>
      <c r="AG1071" s="35">
        <f>IF(OR(C1071&lt;&gt;"Grayson Coulter",G1071&lt;'00_Control'!$B$7),"",--(AF1071&lt;5))</f>
        <v/>
      </c>
      <c r="AH1071" s="35">
        <f>IF(OR(C1071&lt;&gt;"Grayson Coulter",G1071&lt;'00_Control'!$B$7),"",--(AF1071&lt;10))</f>
        <v/>
      </c>
      <c r="AI1071" s="35">
        <f>IF(AND(C1071="Grayson Coulter",G1071&gt;='00_Control'!$B$7),"YES","NO")</f>
        <v/>
      </c>
      <c r="AJ1071" s="33" t="inlineStr">
        <is>
          <t>OK</t>
        </is>
      </c>
    </row>
    <row r="1072">
      <c r="A1072" s="33" t="inlineStr">
        <is>
          <t>SM001068</t>
        </is>
      </c>
      <c r="B1072" s="33" t="inlineStr">
        <is>
          <t>SW001</t>
        </is>
      </c>
      <c r="C1072" s="33" t="inlineStr">
        <is>
          <t>Grayson Coulter</t>
        </is>
      </c>
      <c r="D1072" s="33" t="inlineStr">
        <is>
          <t>SwimCloud</t>
        </is>
      </c>
      <c r="E1072" s="33" t="inlineStr">
        <is>
          <t>3651023</t>
        </is>
      </c>
      <c r="F1072" s="33" t="inlineStr">
        <is>
          <t>159513590</t>
        </is>
      </c>
      <c r="G1072" s="51" t="n">
        <v>45801</v>
      </c>
      <c r="H1072" s="33" t="inlineStr">
        <is>
          <t>2025 Apollo Projects New Zealand Swimming Championships</t>
        </is>
      </c>
      <c r="I1072" s="33" t="inlineStr">
        <is>
          <t>344530</t>
        </is>
      </c>
      <c r="J1072" s="33" t="inlineStr"/>
      <c r="K1072" s="33" t="inlineStr">
        <is>
          <t>FIN</t>
        </is>
      </c>
      <c r="L1072" s="35">
        <f>IF(K1072="FIN",3,IF(OR(K1072="SEM",K1072="SEMI"),2,IF(OR(K1072="PRE",K1072="HEAT"),1,IF(V1072="YES",4,2))))</f>
        <v/>
      </c>
      <c r="M1072" s="33" t="inlineStr">
        <is>
          <t>LCM</t>
        </is>
      </c>
      <c r="N1072" s="33" t="n">
        <v>200</v>
      </c>
      <c r="O1072" s="33" t="inlineStr">
        <is>
          <t>Free</t>
        </is>
      </c>
      <c r="P1072" s="33" t="inlineStr">
        <is>
          <t>200 Free</t>
        </is>
      </c>
      <c r="Q1072" s="33" t="inlineStr">
        <is>
          <t>LCM_200_FREE</t>
        </is>
      </c>
      <c r="R1072" s="36" t="n">
        <v>113.67</v>
      </c>
      <c r="S1072" s="35">
        <f>IF(R1072="","",IF(R1072&gt;=60,INT(R1072/60)&amp;":"&amp;TEXT(MOD(R1072,60),"00.00"),TEXT(R1072,"0.00")))</f>
        <v/>
      </c>
      <c r="T1072" s="52">
        <f>IFERROR((G1072-INDEX('01_Swimmers'!$E$5:$E$22,MATCH(B1072,'01_Swimmers'!$A$5:$A$22,0)))/'00_Control'!$B$10,"")</f>
        <v/>
      </c>
      <c r="U1072" s="35">
        <f>IF(T1072="","",INT(T1072))</f>
        <v/>
      </c>
      <c r="V1072" s="33" t="inlineStr">
        <is>
          <t>NO</t>
        </is>
      </c>
      <c r="W1072" s="33" t="inlineStr">
        <is>
          <t>YES</t>
        </is>
      </c>
      <c r="X1072" s="33" t="inlineStr">
        <is>
          <t>NO</t>
        </is>
      </c>
      <c r="Y1072" s="33" t="n">
        <v>3</v>
      </c>
      <c r="Z1072" s="33" t="n">
        <v>1</v>
      </c>
      <c r="AA1072" s="33" t="inlineStr">
        <is>
          <t>9,9</t>
        </is>
      </c>
      <c r="AB1072" s="33" t="inlineStr">
        <is>
          <t>https://www.swimcloud.com/results/344530/event/33/?id=159513590#time159513590</t>
        </is>
      </c>
      <c r="AC1072" s="33" t="inlineStr">
        <is>
          <t>SwimCloud API v6 2026-10-08</t>
        </is>
      </c>
      <c r="AD1072" s="33" t="inlineStr">
        <is>
          <t>Grayson Coulter|2025-05-24|LCM|200|Free|113.67|2025 Apollo Projects New Zealand Swimming Championships|FIN|False</t>
        </is>
      </c>
      <c r="AE1072" s="53">
        <f>G1072+L1072/1000+ROW()/1000000000</f>
        <v/>
      </c>
      <c r="AF1072" s="35">
        <f>IF(C1072&lt;&gt;"Grayson Coulter","",COUNTIFS($C$5:$C$2991,"Grayson Coulter",$Q$5:$Q$2991,Q1072,$AE$5:$AE$2991,"&lt;="&amp;AE1072,$R$5:$R$2991,"&lt;"&amp;R1072))</f>
        <v/>
      </c>
      <c r="AG1072" s="35">
        <f>IF(OR(C1072&lt;&gt;"Grayson Coulter",G1072&lt;'00_Control'!$B$7),"",--(AF1072&lt;5))</f>
        <v/>
      </c>
      <c r="AH1072" s="35">
        <f>IF(OR(C1072&lt;&gt;"Grayson Coulter",G1072&lt;'00_Control'!$B$7),"",--(AF1072&lt;10))</f>
        <v/>
      </c>
      <c r="AI1072" s="35">
        <f>IF(AND(C1072="Grayson Coulter",G1072&gt;='00_Control'!$B$7),"YES","NO")</f>
        <v/>
      </c>
      <c r="AJ1072" s="33" t="inlineStr">
        <is>
          <t>OK</t>
        </is>
      </c>
    </row>
    <row r="1073">
      <c r="A1073" s="33" t="inlineStr">
        <is>
          <t>SM001069</t>
        </is>
      </c>
      <c r="B1073" s="33" t="inlineStr">
        <is>
          <t>SW001</t>
        </is>
      </c>
      <c r="C1073" s="33" t="inlineStr">
        <is>
          <t>Grayson Coulter</t>
        </is>
      </c>
      <c r="D1073" s="33" t="inlineStr">
        <is>
          <t>SwimCloud</t>
        </is>
      </c>
      <c r="E1073" s="33" t="inlineStr">
        <is>
          <t>3651023</t>
        </is>
      </c>
      <c r="F1073" s="33" t="inlineStr">
        <is>
          <t>159525620</t>
        </is>
      </c>
      <c r="G1073" s="51" t="n">
        <v>45862</v>
      </c>
      <c r="H1073" s="33" t="inlineStr">
        <is>
          <t>New Zealand Secondary School Swimming Championships</t>
        </is>
      </c>
      <c r="I1073" s="33" t="inlineStr">
        <is>
          <t>349742</t>
        </is>
      </c>
      <c r="J1073" s="33" t="inlineStr"/>
      <c r="K1073" s="33" t="inlineStr">
        <is>
          <t>TIM</t>
        </is>
      </c>
      <c r="L1073" s="35">
        <f>IF(K1073="FIN",3,IF(OR(K1073="SEM",K1073="SEMI"),2,IF(OR(K1073="PRE",K1073="HEAT"),1,IF(V1073="YES",4,2))))</f>
        <v/>
      </c>
      <c r="M1073" s="33" t="inlineStr">
        <is>
          <t>SCM</t>
        </is>
      </c>
      <c r="N1073" s="33" t="n">
        <v>400</v>
      </c>
      <c r="O1073" s="33" t="inlineStr">
        <is>
          <t>Free</t>
        </is>
      </c>
      <c r="P1073" s="33" t="inlineStr">
        <is>
          <t>400 Free</t>
        </is>
      </c>
      <c r="Q1073" s="33" t="inlineStr">
        <is>
          <t>SCM_400_FREE</t>
        </is>
      </c>
      <c r="R1073" s="36" t="n">
        <v>236.78</v>
      </c>
      <c r="S1073" s="35">
        <f>IF(R1073="","",IF(R1073&gt;=60,INT(R1073/60)&amp;":"&amp;TEXT(MOD(R1073,60),"00.00"),TEXT(R1073,"0.00")))</f>
        <v/>
      </c>
      <c r="T1073" s="52">
        <f>IFERROR((G1073-INDEX('01_Swimmers'!$E$5:$E$22,MATCH(B1073,'01_Swimmers'!$A$5:$A$22,0)))/'00_Control'!$B$10,"")</f>
        <v/>
      </c>
      <c r="U1073" s="35">
        <f>IF(T1073="","",INT(T1073))</f>
        <v/>
      </c>
      <c r="V1073" s="33" t="inlineStr">
        <is>
          <t>NO</t>
        </is>
      </c>
      <c r="W1073" s="33" t="inlineStr">
        <is>
          <t>YES</t>
        </is>
      </c>
      <c r="X1073" s="33" t="inlineStr">
        <is>
          <t>NO</t>
        </is>
      </c>
      <c r="Y1073" s="33" t="n">
        <v>7</v>
      </c>
      <c r="Z1073" s="33" t="n">
        <v>7</v>
      </c>
      <c r="AA1073" s="33" t="inlineStr">
        <is>
          <t>1</t>
        </is>
      </c>
      <c r="AB1073" s="33" t="inlineStr">
        <is>
          <t>https://www.swimcloud.com/results/349742/event/1/?id=159525620#time159525620</t>
        </is>
      </c>
      <c r="AC1073" s="33" t="inlineStr">
        <is>
          <t>SwimCloud API v6 2026-10-08</t>
        </is>
      </c>
      <c r="AD1073" s="33" t="inlineStr">
        <is>
          <t>Grayson Coulter|2025-07-24|SCM|400|Free|236.78|New Zealand Secondary School Swimming Championships|TIM|False</t>
        </is>
      </c>
      <c r="AE1073" s="53">
        <f>G1073+L1073/1000+ROW()/1000000000</f>
        <v/>
      </c>
      <c r="AF1073" s="35">
        <f>IF(C1073&lt;&gt;"Grayson Coulter","",COUNTIFS($C$5:$C$2991,"Grayson Coulter",$Q$5:$Q$2991,Q1073,$AE$5:$AE$2991,"&lt;="&amp;AE1073,$R$5:$R$2991,"&lt;"&amp;R1073))</f>
        <v/>
      </c>
      <c r="AG1073" s="35">
        <f>IF(OR(C1073&lt;&gt;"Grayson Coulter",G1073&lt;'00_Control'!$B$7),"",--(AF1073&lt;5))</f>
        <v/>
      </c>
      <c r="AH1073" s="35">
        <f>IF(OR(C1073&lt;&gt;"Grayson Coulter",G1073&lt;'00_Control'!$B$7),"",--(AF1073&lt;10))</f>
        <v/>
      </c>
      <c r="AI1073" s="35">
        <f>IF(AND(C1073="Grayson Coulter",G1073&gt;='00_Control'!$B$7),"YES","NO")</f>
        <v/>
      </c>
      <c r="AJ1073" s="33" t="inlineStr">
        <is>
          <t>OK</t>
        </is>
      </c>
    </row>
    <row r="1074">
      <c r="A1074" s="33" t="inlineStr">
        <is>
          <t>SM001070</t>
        </is>
      </c>
      <c r="B1074" s="33" t="inlineStr">
        <is>
          <t>SW001</t>
        </is>
      </c>
      <c r="C1074" s="33" t="inlineStr">
        <is>
          <t>Grayson Coulter</t>
        </is>
      </c>
      <c r="D1074" s="33" t="inlineStr">
        <is>
          <t>SwimCloud</t>
        </is>
      </c>
      <c r="E1074" s="33" t="inlineStr">
        <is>
          <t>3651023</t>
        </is>
      </c>
      <c r="F1074" s="33" t="inlineStr">
        <is>
          <t>159525623</t>
        </is>
      </c>
      <c r="G1074" s="51" t="n">
        <v>45863</v>
      </c>
      <c r="H1074" s="33" t="inlineStr">
        <is>
          <t>New Zealand Secondary School Swimming Championships</t>
        </is>
      </c>
      <c r="I1074" s="33" t="inlineStr">
        <is>
          <t>349742</t>
        </is>
      </c>
      <c r="J1074" s="33" t="inlineStr"/>
      <c r="K1074" s="33" t="inlineStr">
        <is>
          <t>TIM</t>
        </is>
      </c>
      <c r="L1074" s="35">
        <f>IF(K1074="FIN",3,IF(OR(K1074="SEM",K1074="SEMI"),2,IF(OR(K1074="PRE",K1074="HEAT"),1,IF(V1074="YES",4,2))))</f>
        <v/>
      </c>
      <c r="M1074" s="33" t="inlineStr">
        <is>
          <t>SCM</t>
        </is>
      </c>
      <c r="N1074" s="33" t="n">
        <v>100</v>
      </c>
      <c r="O1074" s="33" t="inlineStr">
        <is>
          <t>Free</t>
        </is>
      </c>
      <c r="P1074" s="33" t="inlineStr">
        <is>
          <t>100 Free</t>
        </is>
      </c>
      <c r="Q1074" s="33" t="inlineStr">
        <is>
          <t>SCM_100_FREE</t>
        </is>
      </c>
      <c r="R1074" s="36" t="n">
        <v>50.81</v>
      </c>
      <c r="S1074" s="35">
        <f>IF(R1074="","",IF(R1074&gt;=60,INT(R1074/60)&amp;":"&amp;TEXT(MOD(R1074,60),"00.00"),TEXT(R1074,"0.00")))</f>
        <v/>
      </c>
      <c r="T1074" s="52">
        <f>IFERROR((G1074-INDEX('01_Swimmers'!$E$5:$E$22,MATCH(B1074,'01_Swimmers'!$A$5:$A$22,0)))/'00_Control'!$B$10,"")</f>
        <v/>
      </c>
      <c r="U1074" s="35">
        <f>IF(T1074="","",INT(T1074))</f>
        <v/>
      </c>
      <c r="V1074" s="33" t="inlineStr">
        <is>
          <t>NO</t>
        </is>
      </c>
      <c r="W1074" s="33" t="inlineStr">
        <is>
          <t>YES</t>
        </is>
      </c>
      <c r="X1074" s="33" t="inlineStr">
        <is>
          <t>NO</t>
        </is>
      </c>
      <c r="Y1074" s="33" t="n">
        <v>19</v>
      </c>
      <c r="Z1074" s="33" t="n">
        <v>4</v>
      </c>
      <c r="AA1074" s="33" t="inlineStr">
        <is>
          <t>1</t>
        </is>
      </c>
      <c r="AB1074" s="33" t="inlineStr">
        <is>
          <t>https://www.swimcloud.com/results/349742/event/26/?id=159525623#time159525623</t>
        </is>
      </c>
      <c r="AC1074" s="33" t="inlineStr">
        <is>
          <t>SwimCloud API v6 2026-10-08</t>
        </is>
      </c>
      <c r="AD1074" s="33" t="inlineStr">
        <is>
          <t>Grayson Coulter|2025-07-25|SCM|100|Free|50.81|New Zealand Secondary School Swimming Championships|TIM|False</t>
        </is>
      </c>
      <c r="AE1074" s="53">
        <f>G1074+L1074/1000+ROW()/1000000000</f>
        <v/>
      </c>
      <c r="AF1074" s="35">
        <f>IF(C1074&lt;&gt;"Grayson Coulter","",COUNTIFS($C$5:$C$2991,"Grayson Coulter",$Q$5:$Q$2991,Q1074,$AE$5:$AE$2991,"&lt;="&amp;AE1074,$R$5:$R$2991,"&lt;"&amp;R1074))</f>
        <v/>
      </c>
      <c r="AG1074" s="35">
        <f>IF(OR(C1074&lt;&gt;"Grayson Coulter",G1074&lt;'00_Control'!$B$7),"",--(AF1074&lt;5))</f>
        <v/>
      </c>
      <c r="AH1074" s="35">
        <f>IF(OR(C1074&lt;&gt;"Grayson Coulter",G1074&lt;'00_Control'!$B$7),"",--(AF1074&lt;10))</f>
        <v/>
      </c>
      <c r="AI1074" s="35">
        <f>IF(AND(C1074="Grayson Coulter",G1074&gt;='00_Control'!$B$7),"YES","NO")</f>
        <v/>
      </c>
      <c r="AJ1074" s="33" t="inlineStr">
        <is>
          <t>OK</t>
        </is>
      </c>
    </row>
    <row r="1075">
      <c r="A1075" s="33" t="inlineStr">
        <is>
          <t>SM001071</t>
        </is>
      </c>
      <c r="B1075" s="33" t="inlineStr">
        <is>
          <t>SW001</t>
        </is>
      </c>
      <c r="C1075" s="33" t="inlineStr">
        <is>
          <t>Grayson Coulter</t>
        </is>
      </c>
      <c r="D1075" s="33" t="inlineStr">
        <is>
          <t>SwimCloud</t>
        </is>
      </c>
      <c r="E1075" s="33" t="inlineStr">
        <is>
          <t>3651023</t>
        </is>
      </c>
      <c r="F1075" s="33" t="inlineStr">
        <is>
          <t>159525625</t>
        </is>
      </c>
      <c r="G1075" s="51" t="n">
        <v>45864</v>
      </c>
      <c r="H1075" s="33" t="inlineStr">
        <is>
          <t>New Zealand Secondary School Swimming Championships</t>
        </is>
      </c>
      <c r="I1075" s="33" t="inlineStr">
        <is>
          <t>349742</t>
        </is>
      </c>
      <c r="J1075" s="33" t="inlineStr"/>
      <c r="K1075" s="33" t="inlineStr">
        <is>
          <t>TIM</t>
        </is>
      </c>
      <c r="L1075" s="35">
        <f>IF(K1075="FIN",3,IF(OR(K1075="SEM",K1075="SEMI"),2,IF(OR(K1075="PRE",K1075="HEAT"),1,IF(V1075="YES",4,2))))</f>
        <v/>
      </c>
      <c r="M1075" s="33" t="inlineStr">
        <is>
          <t>SCM</t>
        </is>
      </c>
      <c r="N1075" s="33" t="n">
        <v>100</v>
      </c>
      <c r="O1075" s="33" t="inlineStr">
        <is>
          <t>Fly</t>
        </is>
      </c>
      <c r="P1075" s="33" t="inlineStr">
        <is>
          <t>100 Fly</t>
        </is>
      </c>
      <c r="Q1075" s="33" t="inlineStr">
        <is>
          <t>SCM_100_FLY</t>
        </is>
      </c>
      <c r="R1075" s="36" t="n">
        <v>56.9</v>
      </c>
      <c r="S1075" s="35">
        <f>IF(R1075="","",IF(R1075&gt;=60,INT(R1075/60)&amp;":"&amp;TEXT(MOD(R1075,60),"00.00"),TEXT(R1075,"0.00")))</f>
        <v/>
      </c>
      <c r="T1075" s="52">
        <f>IFERROR((G1075-INDEX('01_Swimmers'!$E$5:$E$22,MATCH(B1075,'01_Swimmers'!$A$5:$A$22,0)))/'00_Control'!$B$10,"")</f>
        <v/>
      </c>
      <c r="U1075" s="35">
        <f>IF(T1075="","",INT(T1075))</f>
        <v/>
      </c>
      <c r="V1075" s="33" t="inlineStr">
        <is>
          <t>NO</t>
        </is>
      </c>
      <c r="W1075" s="33" t="inlineStr">
        <is>
          <t>YES</t>
        </is>
      </c>
      <c r="X1075" s="33" t="inlineStr">
        <is>
          <t>NO</t>
        </is>
      </c>
      <c r="Y1075" s="33" t="n">
        <v>10</v>
      </c>
      <c r="Z1075" s="33" t="n">
        <v>4</v>
      </c>
      <c r="AA1075" s="33" t="inlineStr">
        <is>
          <t>1</t>
        </is>
      </c>
      <c r="AB1075" s="33" t="inlineStr">
        <is>
          <t>https://www.swimcloud.com/results/349742/event/43/?id=159525625#time159525625</t>
        </is>
      </c>
      <c r="AC1075" s="33" t="inlineStr">
        <is>
          <t>SwimCloud API v6 2026-10-08</t>
        </is>
      </c>
      <c r="AD1075" s="33" t="inlineStr">
        <is>
          <t>Grayson Coulter|2025-07-26|SCM|100|Fly|56.9|New Zealand Secondary School Swimming Championships|TIM|False</t>
        </is>
      </c>
      <c r="AE1075" s="53">
        <f>G1075+L1075/1000+ROW()/1000000000</f>
        <v/>
      </c>
      <c r="AF1075" s="35">
        <f>IF(C1075&lt;&gt;"Grayson Coulter","",COUNTIFS($C$5:$C$2991,"Grayson Coulter",$Q$5:$Q$2991,Q1075,$AE$5:$AE$2991,"&lt;="&amp;AE1075,$R$5:$R$2991,"&lt;"&amp;R1075))</f>
        <v/>
      </c>
      <c r="AG1075" s="35">
        <f>IF(OR(C1075&lt;&gt;"Grayson Coulter",G1075&lt;'00_Control'!$B$7),"",--(AF1075&lt;5))</f>
        <v/>
      </c>
      <c r="AH1075" s="35">
        <f>IF(OR(C1075&lt;&gt;"Grayson Coulter",G1075&lt;'00_Control'!$B$7),"",--(AF1075&lt;10))</f>
        <v/>
      </c>
      <c r="AI1075" s="35">
        <f>IF(AND(C1075="Grayson Coulter",G1075&gt;='00_Control'!$B$7),"YES","NO")</f>
        <v/>
      </c>
      <c r="AJ1075" s="33" t="inlineStr">
        <is>
          <t>OK</t>
        </is>
      </c>
    </row>
    <row r="1076">
      <c r="A1076" s="33" t="inlineStr">
        <is>
          <t>SM001072</t>
        </is>
      </c>
      <c r="B1076" s="33" t="inlineStr">
        <is>
          <t>SW001</t>
        </is>
      </c>
      <c r="C1076" s="33" t="inlineStr">
        <is>
          <t>Grayson Coulter</t>
        </is>
      </c>
      <c r="D1076" s="33" t="inlineStr">
        <is>
          <t>SwimCloud</t>
        </is>
      </c>
      <c r="E1076" s="33" t="inlineStr">
        <is>
          <t>3651023</t>
        </is>
      </c>
      <c r="F1076" s="33" t="inlineStr">
        <is>
          <t>159525626</t>
        </is>
      </c>
      <c r="G1076" s="51" t="n">
        <v>45864</v>
      </c>
      <c r="H1076" s="33" t="inlineStr">
        <is>
          <t>New Zealand Secondary School Swimming Championships</t>
        </is>
      </c>
      <c r="I1076" s="33" t="inlineStr">
        <is>
          <t>349742</t>
        </is>
      </c>
      <c r="J1076" s="33" t="inlineStr"/>
      <c r="K1076" s="33" t="inlineStr">
        <is>
          <t>TIM</t>
        </is>
      </c>
      <c r="L1076" s="35">
        <f>IF(K1076="FIN",3,IF(OR(K1076="SEM",K1076="SEMI"),2,IF(OR(K1076="PRE",K1076="HEAT"),1,IF(V1076="YES",4,2))))</f>
        <v/>
      </c>
      <c r="M1076" s="33" t="inlineStr">
        <is>
          <t>SCM</t>
        </is>
      </c>
      <c r="N1076" s="33" t="n">
        <v>200</v>
      </c>
      <c r="O1076" s="33" t="inlineStr">
        <is>
          <t>Free</t>
        </is>
      </c>
      <c r="P1076" s="33" t="inlineStr">
        <is>
          <t>200 Free</t>
        </is>
      </c>
      <c r="Q1076" s="33" t="inlineStr">
        <is>
          <t>SCM_200_FREE</t>
        </is>
      </c>
      <c r="R1076" s="36" t="n">
        <v>110.07</v>
      </c>
      <c r="S1076" s="35">
        <f>IF(R1076="","",IF(R1076&gt;=60,INT(R1076/60)&amp;":"&amp;TEXT(MOD(R1076,60),"00.00"),TEXT(R1076,"0.00")))</f>
        <v/>
      </c>
      <c r="T1076" s="52">
        <f>IFERROR((G1076-INDEX('01_Swimmers'!$E$5:$E$22,MATCH(B1076,'01_Swimmers'!$A$5:$A$22,0)))/'00_Control'!$B$10,"")</f>
        <v/>
      </c>
      <c r="U1076" s="35">
        <f>IF(T1076="","",INT(T1076))</f>
        <v/>
      </c>
      <c r="V1076" s="33" t="inlineStr">
        <is>
          <t>NO</t>
        </is>
      </c>
      <c r="W1076" s="33" t="inlineStr">
        <is>
          <t>YES</t>
        </is>
      </c>
      <c r="X1076" s="33" t="inlineStr">
        <is>
          <t>NO</t>
        </is>
      </c>
      <c r="Y1076" s="33" t="n">
        <v>9</v>
      </c>
      <c r="Z1076" s="33" t="n">
        <v>4</v>
      </c>
      <c r="AA1076" s="33" t="inlineStr">
        <is>
          <t>1</t>
        </is>
      </c>
      <c r="AB1076" s="33" t="inlineStr">
        <is>
          <t>https://www.swimcloud.com/results/349742/event/45/?id=159525626#time159525626</t>
        </is>
      </c>
      <c r="AC1076" s="33" t="inlineStr">
        <is>
          <t>SwimCloud API v6 2026-10-08</t>
        </is>
      </c>
      <c r="AD1076" s="33" t="inlineStr">
        <is>
          <t>Grayson Coulter|2025-07-26|SCM|200|Free|110.07|New Zealand Secondary School Swimming Championships|TIM|False</t>
        </is>
      </c>
      <c r="AE1076" s="53">
        <f>G1076+L1076/1000+ROW()/1000000000</f>
        <v/>
      </c>
      <c r="AF1076" s="35">
        <f>IF(C1076&lt;&gt;"Grayson Coulter","",COUNTIFS($C$5:$C$2991,"Grayson Coulter",$Q$5:$Q$2991,Q1076,$AE$5:$AE$2991,"&lt;="&amp;AE1076,$R$5:$R$2991,"&lt;"&amp;R1076))</f>
        <v/>
      </c>
      <c r="AG1076" s="35">
        <f>IF(OR(C1076&lt;&gt;"Grayson Coulter",G1076&lt;'00_Control'!$B$7),"",--(AF1076&lt;5))</f>
        <v/>
      </c>
      <c r="AH1076" s="35">
        <f>IF(OR(C1076&lt;&gt;"Grayson Coulter",G1076&lt;'00_Control'!$B$7),"",--(AF1076&lt;10))</f>
        <v/>
      </c>
      <c r="AI1076" s="35">
        <f>IF(AND(C1076="Grayson Coulter",G1076&gt;='00_Control'!$B$7),"YES","NO")</f>
        <v/>
      </c>
      <c r="AJ1076" s="33" t="inlineStr">
        <is>
          <t>OK</t>
        </is>
      </c>
    </row>
    <row r="1077">
      <c r="A1077" s="33" t="inlineStr">
        <is>
          <t>SM001073</t>
        </is>
      </c>
      <c r="B1077" s="33" t="inlineStr">
        <is>
          <t>SW001</t>
        </is>
      </c>
      <c r="C1077" s="33" t="inlineStr">
        <is>
          <t>Grayson Coulter</t>
        </is>
      </c>
      <c r="D1077" s="33" t="inlineStr">
        <is>
          <t>SwimCloud</t>
        </is>
      </c>
      <c r="E1077" s="33" t="inlineStr">
        <is>
          <t>3651023</t>
        </is>
      </c>
      <c r="F1077" s="33" t="inlineStr">
        <is>
          <t>157413663</t>
        </is>
      </c>
      <c r="G1077" s="51" t="n">
        <v>45891</v>
      </c>
      <c r="H1077" s="33" t="inlineStr">
        <is>
          <t>Auckland-Northland Short Course Championships</t>
        </is>
      </c>
      <c r="I1077" s="33" t="inlineStr">
        <is>
          <t>351357</t>
        </is>
      </c>
      <c r="J1077" s="33" t="inlineStr"/>
      <c r="K1077" s="33" t="inlineStr">
        <is>
          <t>PRE</t>
        </is>
      </c>
      <c r="L1077" s="35">
        <f>IF(K1077="FIN",3,IF(OR(K1077="SEM",K1077="SEMI"),2,IF(OR(K1077="PRE",K1077="HEAT"),1,IF(V1077="YES",4,2))))</f>
        <v/>
      </c>
      <c r="M1077" s="33" t="inlineStr">
        <is>
          <t>SCM</t>
        </is>
      </c>
      <c r="N1077" s="33" t="n">
        <v>200</v>
      </c>
      <c r="O1077" s="33" t="inlineStr">
        <is>
          <t>Free</t>
        </is>
      </c>
      <c r="P1077" s="33" t="inlineStr">
        <is>
          <t>200 Free</t>
        </is>
      </c>
      <c r="Q1077" s="33" t="inlineStr">
        <is>
          <t>SCM_200_FREE</t>
        </is>
      </c>
      <c r="R1077" s="36" t="n">
        <v>111.45</v>
      </c>
      <c r="S1077" s="35">
        <f>IF(R1077="","",IF(R1077&gt;=60,INT(R1077/60)&amp;":"&amp;TEXT(MOD(R1077,60),"00.00"),TEXT(R1077,"0.00")))</f>
        <v/>
      </c>
      <c r="T1077" s="52">
        <f>IFERROR((G1077-INDEX('01_Swimmers'!$E$5:$E$22,MATCH(B1077,'01_Swimmers'!$A$5:$A$22,0)))/'00_Control'!$B$10,"")</f>
        <v/>
      </c>
      <c r="U1077" s="35">
        <f>IF(T1077="","",INT(T1077))</f>
        <v/>
      </c>
      <c r="V1077" s="33" t="inlineStr">
        <is>
          <t>NO</t>
        </is>
      </c>
      <c r="W1077" s="33" t="inlineStr">
        <is>
          <t>YES</t>
        </is>
      </c>
      <c r="X1077" s="33" t="inlineStr">
        <is>
          <t>NO</t>
        </is>
      </c>
      <c r="Y1077" s="33" t="n">
        <v>7</v>
      </c>
      <c r="Z1077" s="33" t="n">
        <v>3</v>
      </c>
      <c r="AA1077" s="33" t="inlineStr">
        <is>
          <t>6</t>
        </is>
      </c>
      <c r="AB1077" s="33" t="inlineStr">
        <is>
          <t>https://www.swimcloud.com/results/351357/event/1/?id=157413663#time157413663</t>
        </is>
      </c>
      <c r="AC1077" s="33" t="inlineStr">
        <is>
          <t>SwimCloud API v6 2026-10-08</t>
        </is>
      </c>
      <c r="AD1077" s="33" t="inlineStr">
        <is>
          <t>Grayson Coulter|2025-08-22|SCM|200|Free|111.45|Auckland-Northland Short Course Championships|PRE|False</t>
        </is>
      </c>
      <c r="AE1077" s="53">
        <f>G1077+L1077/1000+ROW()/1000000000</f>
        <v/>
      </c>
      <c r="AF1077" s="35">
        <f>IF(C1077&lt;&gt;"Grayson Coulter","",COUNTIFS($C$5:$C$2991,"Grayson Coulter",$Q$5:$Q$2991,Q1077,$AE$5:$AE$2991,"&lt;="&amp;AE1077,$R$5:$R$2991,"&lt;"&amp;R1077))</f>
        <v/>
      </c>
      <c r="AG1077" s="35">
        <f>IF(OR(C1077&lt;&gt;"Grayson Coulter",G1077&lt;'00_Control'!$B$7),"",--(AF1077&lt;5))</f>
        <v/>
      </c>
      <c r="AH1077" s="35">
        <f>IF(OR(C1077&lt;&gt;"Grayson Coulter",G1077&lt;'00_Control'!$B$7),"",--(AF1077&lt;10))</f>
        <v/>
      </c>
      <c r="AI1077" s="35">
        <f>IF(AND(C1077="Grayson Coulter",G1077&gt;='00_Control'!$B$7),"YES","NO")</f>
        <v/>
      </c>
      <c r="AJ1077" s="33" t="inlineStr">
        <is>
          <t>OK</t>
        </is>
      </c>
    </row>
    <row r="1078">
      <c r="A1078" s="33" t="inlineStr">
        <is>
          <t>SM001074</t>
        </is>
      </c>
      <c r="B1078" s="33" t="inlineStr">
        <is>
          <t>SW001</t>
        </is>
      </c>
      <c r="C1078" s="33" t="inlineStr">
        <is>
          <t>Grayson Coulter</t>
        </is>
      </c>
      <c r="D1078" s="33" t="inlineStr">
        <is>
          <t>SwimCloud</t>
        </is>
      </c>
      <c r="E1078" s="33" t="inlineStr">
        <is>
          <t>3651023</t>
        </is>
      </c>
      <c r="F1078" s="33" t="inlineStr">
        <is>
          <t>157413664</t>
        </is>
      </c>
      <c r="G1078" s="51" t="n">
        <v>45891</v>
      </c>
      <c r="H1078" s="33" t="inlineStr">
        <is>
          <t>Auckland-Northland Short Course Championships</t>
        </is>
      </c>
      <c r="I1078" s="33" t="inlineStr">
        <is>
          <t>351357</t>
        </is>
      </c>
      <c r="J1078" s="33" t="inlineStr"/>
      <c r="K1078" s="33" t="inlineStr">
        <is>
          <t>FIN</t>
        </is>
      </c>
      <c r="L1078" s="35">
        <f>IF(K1078="FIN",3,IF(OR(K1078="SEM",K1078="SEMI"),2,IF(OR(K1078="PRE",K1078="HEAT"),1,IF(V1078="YES",4,2))))</f>
        <v/>
      </c>
      <c r="M1078" s="33" t="inlineStr">
        <is>
          <t>SCM</t>
        </is>
      </c>
      <c r="N1078" s="33" t="n">
        <v>200</v>
      </c>
      <c r="O1078" s="33" t="inlineStr">
        <is>
          <t>Free</t>
        </is>
      </c>
      <c r="P1078" s="33" t="inlineStr">
        <is>
          <t>200 Free</t>
        </is>
      </c>
      <c r="Q1078" s="33" t="inlineStr">
        <is>
          <t>SCM_200_FREE</t>
        </is>
      </c>
      <c r="R1078" s="36" t="n">
        <v>109.65</v>
      </c>
      <c r="S1078" s="35">
        <f>IF(R1078="","",IF(R1078&gt;=60,INT(R1078/60)&amp;":"&amp;TEXT(MOD(R1078,60),"00.00"),TEXT(R1078,"0.00")))</f>
        <v/>
      </c>
      <c r="T1078" s="52">
        <f>IFERROR((G1078-INDEX('01_Swimmers'!$E$5:$E$22,MATCH(B1078,'01_Swimmers'!$A$5:$A$22,0)))/'00_Control'!$B$10,"")</f>
        <v/>
      </c>
      <c r="U1078" s="35">
        <f>IF(T1078="","",INT(T1078))</f>
        <v/>
      </c>
      <c r="V1078" s="33" t="inlineStr">
        <is>
          <t>NO</t>
        </is>
      </c>
      <c r="W1078" s="33" t="inlineStr">
        <is>
          <t>YES</t>
        </is>
      </c>
      <c r="X1078" s="33" t="inlineStr">
        <is>
          <t>NO</t>
        </is>
      </c>
      <c r="Y1078" s="33" t="n">
        <v>4</v>
      </c>
      <c r="Z1078" s="33" t="n">
        <v>2</v>
      </c>
      <c r="AA1078" s="33" t="inlineStr">
        <is>
          <t>3</t>
        </is>
      </c>
      <c r="AB1078" s="33" t="inlineStr">
        <is>
          <t>https://www.swimcloud.com/results/351357/event/1/?id=157413664#time157413664</t>
        </is>
      </c>
      <c r="AC1078" s="33" t="inlineStr">
        <is>
          <t>SwimCloud API v6 2026-10-08</t>
        </is>
      </c>
      <c r="AD1078" s="33" t="inlineStr">
        <is>
          <t>Grayson Coulter|2025-08-22|SCM|200|Free|109.65|Auckland-Northland Short Course Championships|FIN|False</t>
        </is>
      </c>
      <c r="AE1078" s="53">
        <f>G1078+L1078/1000+ROW()/1000000000</f>
        <v/>
      </c>
      <c r="AF1078" s="35">
        <f>IF(C1078&lt;&gt;"Grayson Coulter","",COUNTIFS($C$5:$C$2991,"Grayson Coulter",$Q$5:$Q$2991,Q1078,$AE$5:$AE$2991,"&lt;="&amp;AE1078,$R$5:$R$2991,"&lt;"&amp;R1078))</f>
        <v/>
      </c>
      <c r="AG1078" s="35">
        <f>IF(OR(C1078&lt;&gt;"Grayson Coulter",G1078&lt;'00_Control'!$B$7),"",--(AF1078&lt;5))</f>
        <v/>
      </c>
      <c r="AH1078" s="35">
        <f>IF(OR(C1078&lt;&gt;"Grayson Coulter",G1078&lt;'00_Control'!$B$7),"",--(AF1078&lt;10))</f>
        <v/>
      </c>
      <c r="AI1078" s="35">
        <f>IF(AND(C1078="Grayson Coulter",G1078&gt;='00_Control'!$B$7),"YES","NO")</f>
        <v/>
      </c>
      <c r="AJ1078" s="33" t="inlineStr">
        <is>
          <t>OK</t>
        </is>
      </c>
    </row>
    <row r="1079">
      <c r="A1079" s="33" t="inlineStr">
        <is>
          <t>SM001075</t>
        </is>
      </c>
      <c r="B1079" s="33" t="inlineStr">
        <is>
          <t>SW001</t>
        </is>
      </c>
      <c r="C1079" s="33" t="inlineStr">
        <is>
          <t>Grayson Coulter</t>
        </is>
      </c>
      <c r="D1079" s="33" t="inlineStr">
        <is>
          <t>SwimCloud</t>
        </is>
      </c>
      <c r="E1079" s="33" t="inlineStr">
        <is>
          <t>3651023</t>
        </is>
      </c>
      <c r="F1079" s="33" t="inlineStr">
        <is>
          <t>157412778</t>
        </is>
      </c>
      <c r="G1079" s="51" t="n">
        <v>45892</v>
      </c>
      <c r="H1079" s="33" t="inlineStr">
        <is>
          <t>Auckland-Northland Short Course Championships</t>
        </is>
      </c>
      <c r="I1079" s="33" t="inlineStr">
        <is>
          <t>351357</t>
        </is>
      </c>
      <c r="J1079" s="33" t="inlineStr"/>
      <c r="K1079" s="33" t="inlineStr">
        <is>
          <t>PRE</t>
        </is>
      </c>
      <c r="L1079" s="35">
        <f>IF(K1079="FIN",3,IF(OR(K1079="SEM",K1079="SEMI"),2,IF(OR(K1079="PRE",K1079="HEAT"),1,IF(V1079="YES",4,2))))</f>
        <v/>
      </c>
      <c r="M1079" s="33" t="inlineStr">
        <is>
          <t>SCM</t>
        </is>
      </c>
      <c r="N1079" s="33" t="n">
        <v>100</v>
      </c>
      <c r="O1079" s="33" t="inlineStr">
        <is>
          <t>Fly</t>
        </is>
      </c>
      <c r="P1079" s="33" t="inlineStr">
        <is>
          <t>100 Fly</t>
        </is>
      </c>
      <c r="Q1079" s="33" t="inlineStr">
        <is>
          <t>SCM_100_FLY</t>
        </is>
      </c>
      <c r="R1079" s="36" t="n">
        <v>58.16</v>
      </c>
      <c r="S1079" s="35">
        <f>IF(R1079="","",IF(R1079&gt;=60,INT(R1079/60)&amp;":"&amp;TEXT(MOD(R1079,60),"00.00"),TEXT(R1079,"0.00")))</f>
        <v/>
      </c>
      <c r="T1079" s="52">
        <f>IFERROR((G1079-INDEX('01_Swimmers'!$E$5:$E$22,MATCH(B1079,'01_Swimmers'!$A$5:$A$22,0)))/'00_Control'!$B$10,"")</f>
        <v/>
      </c>
      <c r="U1079" s="35">
        <f>IF(T1079="","",INT(T1079))</f>
        <v/>
      </c>
      <c r="V1079" s="33" t="inlineStr">
        <is>
          <t>NO</t>
        </is>
      </c>
      <c r="W1079" s="33" t="inlineStr">
        <is>
          <t>YES</t>
        </is>
      </c>
      <c r="X1079" s="33" t="inlineStr">
        <is>
          <t>NO</t>
        </is>
      </c>
      <c r="Y1079" s="33" t="n">
        <v>6</v>
      </c>
      <c r="Z1079" s="33" t="n">
        <v>5</v>
      </c>
      <c r="AA1079" s="33" t="inlineStr">
        <is>
          <t>7</t>
        </is>
      </c>
      <c r="AB1079" s="33" t="inlineStr">
        <is>
          <t>https://www.swimcloud.com/results/351357/event/21/?id=157412778#time157412778</t>
        </is>
      </c>
      <c r="AC1079" s="33" t="inlineStr">
        <is>
          <t>SwimCloud API v6 2026-10-08</t>
        </is>
      </c>
      <c r="AD1079" s="33" t="inlineStr">
        <is>
          <t>Grayson Coulter|2025-08-23|SCM|100|Fly|58.16|Auckland-Northland Short Course Championships|PRE|False</t>
        </is>
      </c>
      <c r="AE1079" s="53">
        <f>G1079+L1079/1000+ROW()/1000000000</f>
        <v/>
      </c>
      <c r="AF1079" s="35">
        <f>IF(C1079&lt;&gt;"Grayson Coulter","",COUNTIFS($C$5:$C$2991,"Grayson Coulter",$Q$5:$Q$2991,Q1079,$AE$5:$AE$2991,"&lt;="&amp;AE1079,$R$5:$R$2991,"&lt;"&amp;R1079))</f>
        <v/>
      </c>
      <c r="AG1079" s="35">
        <f>IF(OR(C1079&lt;&gt;"Grayson Coulter",G1079&lt;'00_Control'!$B$7),"",--(AF1079&lt;5))</f>
        <v/>
      </c>
      <c r="AH1079" s="35">
        <f>IF(OR(C1079&lt;&gt;"Grayson Coulter",G1079&lt;'00_Control'!$B$7),"",--(AF1079&lt;10))</f>
        <v/>
      </c>
      <c r="AI1079" s="35">
        <f>IF(AND(C1079="Grayson Coulter",G1079&gt;='00_Control'!$B$7),"YES","NO")</f>
        <v/>
      </c>
      <c r="AJ1079" s="33" t="inlineStr">
        <is>
          <t>OK</t>
        </is>
      </c>
    </row>
    <row r="1080">
      <c r="A1080" s="33" t="inlineStr">
        <is>
          <t>SM001076</t>
        </is>
      </c>
      <c r="B1080" s="33" t="inlineStr">
        <is>
          <t>SW001</t>
        </is>
      </c>
      <c r="C1080" s="33" t="inlineStr">
        <is>
          <t>Grayson Coulter</t>
        </is>
      </c>
      <c r="D1080" s="33" t="inlineStr">
        <is>
          <t>SwimCloud</t>
        </is>
      </c>
      <c r="E1080" s="33" t="inlineStr">
        <is>
          <t>3651023</t>
        </is>
      </c>
      <c r="F1080" s="33" t="inlineStr">
        <is>
          <t>157412779</t>
        </is>
      </c>
      <c r="G1080" s="51" t="n">
        <v>45892</v>
      </c>
      <c r="H1080" s="33" t="inlineStr">
        <is>
          <t>Auckland-Northland Short Course Championships</t>
        </is>
      </c>
      <c r="I1080" s="33" t="inlineStr">
        <is>
          <t>351357</t>
        </is>
      </c>
      <c r="J1080" s="33" t="inlineStr"/>
      <c r="K1080" s="33" t="inlineStr">
        <is>
          <t>FIN</t>
        </is>
      </c>
      <c r="L1080" s="35">
        <f>IF(K1080="FIN",3,IF(OR(K1080="SEM",K1080="SEMI"),2,IF(OR(K1080="PRE",K1080="HEAT"),1,IF(V1080="YES",4,2))))</f>
        <v/>
      </c>
      <c r="M1080" s="33" t="inlineStr">
        <is>
          <t>SCM</t>
        </is>
      </c>
      <c r="N1080" s="33" t="n">
        <v>100</v>
      </c>
      <c r="O1080" s="33" t="inlineStr">
        <is>
          <t>Fly</t>
        </is>
      </c>
      <c r="P1080" s="33" t="inlineStr">
        <is>
          <t>100 Fly</t>
        </is>
      </c>
      <c r="Q1080" s="33" t="inlineStr">
        <is>
          <t>SCM_100_FLY</t>
        </is>
      </c>
      <c r="R1080" s="36" t="n">
        <v>57.58</v>
      </c>
      <c r="S1080" s="35">
        <f>IF(R1080="","",IF(R1080&gt;=60,INT(R1080/60)&amp;":"&amp;TEXT(MOD(R1080,60),"00.00"),TEXT(R1080,"0.00")))</f>
        <v/>
      </c>
      <c r="T1080" s="52">
        <f>IFERROR((G1080-INDEX('01_Swimmers'!$E$5:$E$22,MATCH(B1080,'01_Swimmers'!$A$5:$A$22,0)))/'00_Control'!$B$10,"")</f>
        <v/>
      </c>
      <c r="U1080" s="35">
        <f>IF(T1080="","",INT(T1080))</f>
        <v/>
      </c>
      <c r="V1080" s="33" t="inlineStr">
        <is>
          <t>NO</t>
        </is>
      </c>
      <c r="W1080" s="33" t="inlineStr">
        <is>
          <t>YES</t>
        </is>
      </c>
      <c r="X1080" s="33" t="inlineStr">
        <is>
          <t>NO</t>
        </is>
      </c>
      <c r="Y1080" s="33" t="n">
        <v>4</v>
      </c>
      <c r="Z1080" s="33" t="n">
        <v>1</v>
      </c>
      <c r="AA1080" s="33" t="inlineStr">
        <is>
          <t>6</t>
        </is>
      </c>
      <c r="AB1080" s="33" t="inlineStr">
        <is>
          <t>https://www.swimcloud.com/results/351357/event/21/?id=157412779#time157412779</t>
        </is>
      </c>
      <c r="AC1080" s="33" t="inlineStr">
        <is>
          <t>SwimCloud API v6 2026-10-08</t>
        </is>
      </c>
      <c r="AD1080" s="33" t="inlineStr">
        <is>
          <t>Grayson Coulter|2025-08-23|SCM|100|Fly|57.58|Auckland-Northland Short Course Championships|FIN|False</t>
        </is>
      </c>
      <c r="AE1080" s="53">
        <f>G1080+L1080/1000+ROW()/1000000000</f>
        <v/>
      </c>
      <c r="AF1080" s="35">
        <f>IF(C1080&lt;&gt;"Grayson Coulter","",COUNTIFS($C$5:$C$2991,"Grayson Coulter",$Q$5:$Q$2991,Q1080,$AE$5:$AE$2991,"&lt;="&amp;AE1080,$R$5:$R$2991,"&lt;"&amp;R1080))</f>
        <v/>
      </c>
      <c r="AG1080" s="35">
        <f>IF(OR(C1080&lt;&gt;"Grayson Coulter",G1080&lt;'00_Control'!$B$7),"",--(AF1080&lt;5))</f>
        <v/>
      </c>
      <c r="AH1080" s="35">
        <f>IF(OR(C1080&lt;&gt;"Grayson Coulter",G1080&lt;'00_Control'!$B$7),"",--(AF1080&lt;10))</f>
        <v/>
      </c>
      <c r="AI1080" s="35">
        <f>IF(AND(C1080="Grayson Coulter",G1080&gt;='00_Control'!$B$7),"YES","NO")</f>
        <v/>
      </c>
      <c r="AJ1080" s="33" t="inlineStr">
        <is>
          <t>OK</t>
        </is>
      </c>
    </row>
    <row r="1081">
      <c r="A1081" s="33" t="inlineStr">
        <is>
          <t>SM001077</t>
        </is>
      </c>
      <c r="B1081" s="33" t="inlineStr">
        <is>
          <t>SW001</t>
        </is>
      </c>
      <c r="C1081" s="33" t="inlineStr">
        <is>
          <t>Grayson Coulter</t>
        </is>
      </c>
      <c r="D1081" s="33" t="inlineStr">
        <is>
          <t>SwimCloud</t>
        </is>
      </c>
      <c r="E1081" s="33" t="inlineStr">
        <is>
          <t>3651023</t>
        </is>
      </c>
      <c r="F1081" s="33" t="inlineStr">
        <is>
          <t>157412842</t>
        </is>
      </c>
      <c r="G1081" s="51" t="n">
        <v>45892</v>
      </c>
      <c r="H1081" s="33" t="inlineStr">
        <is>
          <t>Auckland-Northland Short Course Championships</t>
        </is>
      </c>
      <c r="I1081" s="33" t="inlineStr">
        <is>
          <t>351357</t>
        </is>
      </c>
      <c r="J1081" s="33" t="inlineStr"/>
      <c r="K1081" s="33" t="inlineStr">
        <is>
          <t>PRE</t>
        </is>
      </c>
      <c r="L1081" s="35">
        <f>IF(K1081="FIN",3,IF(OR(K1081="SEM",K1081="SEMI"),2,IF(OR(K1081="PRE",K1081="HEAT"),1,IF(V1081="YES",4,2))))</f>
        <v/>
      </c>
      <c r="M1081" s="33" t="inlineStr">
        <is>
          <t>SCM</t>
        </is>
      </c>
      <c r="N1081" s="33" t="n">
        <v>100</v>
      </c>
      <c r="O1081" s="33" t="inlineStr">
        <is>
          <t>Free</t>
        </is>
      </c>
      <c r="P1081" s="33" t="inlineStr">
        <is>
          <t>100 Free</t>
        </is>
      </c>
      <c r="Q1081" s="33" t="inlineStr">
        <is>
          <t>SCM_100_FREE</t>
        </is>
      </c>
      <c r="R1081" s="36" t="n">
        <v>51.04</v>
      </c>
      <c r="S1081" s="35">
        <f>IF(R1081="","",IF(R1081&gt;=60,INT(R1081/60)&amp;":"&amp;TEXT(MOD(R1081,60),"00.00"),TEXT(R1081,"0.00")))</f>
        <v/>
      </c>
      <c r="T1081" s="52">
        <f>IFERROR((G1081-INDEX('01_Swimmers'!$E$5:$E$22,MATCH(B1081,'01_Swimmers'!$A$5:$A$22,0)))/'00_Control'!$B$10,"")</f>
        <v/>
      </c>
      <c r="U1081" s="35">
        <f>IF(T1081="","",INT(T1081))</f>
        <v/>
      </c>
      <c r="V1081" s="33" t="inlineStr">
        <is>
          <t>NO</t>
        </is>
      </c>
      <c r="W1081" s="33" t="inlineStr">
        <is>
          <t>YES</t>
        </is>
      </c>
      <c r="X1081" s="33" t="inlineStr">
        <is>
          <t>NO</t>
        </is>
      </c>
      <c r="Y1081" s="33" t="n">
        <v>10</v>
      </c>
      <c r="Z1081" s="33" t="n">
        <v>3</v>
      </c>
      <c r="AA1081" s="33" t="inlineStr">
        <is>
          <t>7</t>
        </is>
      </c>
      <c r="AB1081" s="33" t="inlineStr">
        <is>
          <t>https://www.swimcloud.com/results/351357/event/13/?id=157412842#time157412842</t>
        </is>
      </c>
      <c r="AC1081" s="33" t="inlineStr">
        <is>
          <t>SwimCloud API v6 2026-10-08</t>
        </is>
      </c>
      <c r="AD1081" s="33" t="inlineStr">
        <is>
          <t>Grayson Coulter|2025-08-23|SCM|100|Free|51.04|Auckland-Northland Short Course Championships|PRE|False</t>
        </is>
      </c>
      <c r="AE1081" s="53">
        <f>G1081+L1081/1000+ROW()/1000000000</f>
        <v/>
      </c>
      <c r="AF1081" s="35">
        <f>IF(C1081&lt;&gt;"Grayson Coulter","",COUNTIFS($C$5:$C$2991,"Grayson Coulter",$Q$5:$Q$2991,Q1081,$AE$5:$AE$2991,"&lt;="&amp;AE1081,$R$5:$R$2991,"&lt;"&amp;R1081))</f>
        <v/>
      </c>
      <c r="AG1081" s="35">
        <f>IF(OR(C1081&lt;&gt;"Grayson Coulter",G1081&lt;'00_Control'!$B$7),"",--(AF1081&lt;5))</f>
        <v/>
      </c>
      <c r="AH1081" s="35">
        <f>IF(OR(C1081&lt;&gt;"Grayson Coulter",G1081&lt;'00_Control'!$B$7),"",--(AF1081&lt;10))</f>
        <v/>
      </c>
      <c r="AI1081" s="35">
        <f>IF(AND(C1081="Grayson Coulter",G1081&gt;='00_Control'!$B$7),"YES","NO")</f>
        <v/>
      </c>
      <c r="AJ1081" s="33" t="inlineStr">
        <is>
          <t>OK</t>
        </is>
      </c>
    </row>
    <row r="1082">
      <c r="A1082" s="33" t="inlineStr">
        <is>
          <t>SM001078</t>
        </is>
      </c>
      <c r="B1082" s="33" t="inlineStr">
        <is>
          <t>SW001</t>
        </is>
      </c>
      <c r="C1082" s="33" t="inlineStr">
        <is>
          <t>Grayson Coulter</t>
        </is>
      </c>
      <c r="D1082" s="33" t="inlineStr">
        <is>
          <t>SwimCloud</t>
        </is>
      </c>
      <c r="E1082" s="33" t="inlineStr">
        <is>
          <t>3651023</t>
        </is>
      </c>
      <c r="F1082" s="33" t="inlineStr">
        <is>
          <t>157412843</t>
        </is>
      </c>
      <c r="G1082" s="51" t="n">
        <v>45892</v>
      </c>
      <c r="H1082" s="33" t="inlineStr">
        <is>
          <t>Auckland-Northland Short Course Championships</t>
        </is>
      </c>
      <c r="I1082" s="33" t="inlineStr">
        <is>
          <t>351357</t>
        </is>
      </c>
      <c r="J1082" s="33" t="inlineStr"/>
      <c r="K1082" s="33" t="inlineStr">
        <is>
          <t>FIN</t>
        </is>
      </c>
      <c r="L1082" s="35">
        <f>IF(K1082="FIN",3,IF(OR(K1082="SEM",K1082="SEMI"),2,IF(OR(K1082="PRE",K1082="HEAT"),1,IF(V1082="YES",4,2))))</f>
        <v/>
      </c>
      <c r="M1082" s="33" t="inlineStr">
        <is>
          <t>SCM</t>
        </is>
      </c>
      <c r="N1082" s="33" t="n">
        <v>100</v>
      </c>
      <c r="O1082" s="33" t="inlineStr">
        <is>
          <t>Free</t>
        </is>
      </c>
      <c r="P1082" s="33" t="inlineStr">
        <is>
          <t>100 Free</t>
        </is>
      </c>
      <c r="Q1082" s="33" t="inlineStr">
        <is>
          <t>SCM_100_FREE</t>
        </is>
      </c>
      <c r="R1082" s="36" t="n">
        <v>51.43</v>
      </c>
      <c r="S1082" s="35">
        <f>IF(R1082="","",IF(R1082&gt;=60,INT(R1082/60)&amp;":"&amp;TEXT(MOD(R1082,60),"00.00"),TEXT(R1082,"0.00")))</f>
        <v/>
      </c>
      <c r="T1082" s="52">
        <f>IFERROR((G1082-INDEX('01_Swimmers'!$E$5:$E$22,MATCH(B1082,'01_Swimmers'!$A$5:$A$22,0)))/'00_Control'!$B$10,"")</f>
        <v/>
      </c>
      <c r="U1082" s="35">
        <f>IF(T1082="","",INT(T1082))</f>
        <v/>
      </c>
      <c r="V1082" s="33" t="inlineStr">
        <is>
          <t>NO</t>
        </is>
      </c>
      <c r="W1082" s="33" t="inlineStr">
        <is>
          <t>YES</t>
        </is>
      </c>
      <c r="X1082" s="33" t="inlineStr">
        <is>
          <t>NO</t>
        </is>
      </c>
      <c r="Y1082" s="33" t="n">
        <v>4</v>
      </c>
      <c r="Z1082" s="33" t="n">
        <v>1</v>
      </c>
      <c r="AA1082" s="33" t="inlineStr">
        <is>
          <t>7</t>
        </is>
      </c>
      <c r="AB1082" s="33" t="inlineStr">
        <is>
          <t>https://www.swimcloud.com/results/351357/event/13/?id=157412843#time157412843</t>
        </is>
      </c>
      <c r="AC1082" s="33" t="inlineStr">
        <is>
          <t>SwimCloud API v6 2026-10-08</t>
        </is>
      </c>
      <c r="AD1082" s="33" t="inlineStr">
        <is>
          <t>Grayson Coulter|2025-08-23|SCM|100|Free|51.43|Auckland-Northland Short Course Championships|FIN|False</t>
        </is>
      </c>
      <c r="AE1082" s="53">
        <f>G1082+L1082/1000+ROW()/1000000000</f>
        <v/>
      </c>
      <c r="AF1082" s="35">
        <f>IF(C1082&lt;&gt;"Grayson Coulter","",COUNTIFS($C$5:$C$2991,"Grayson Coulter",$Q$5:$Q$2991,Q1082,$AE$5:$AE$2991,"&lt;="&amp;AE1082,$R$5:$R$2991,"&lt;"&amp;R1082))</f>
        <v/>
      </c>
      <c r="AG1082" s="35">
        <f>IF(OR(C1082&lt;&gt;"Grayson Coulter",G1082&lt;'00_Control'!$B$7),"",--(AF1082&lt;5))</f>
        <v/>
      </c>
      <c r="AH1082" s="35">
        <f>IF(OR(C1082&lt;&gt;"Grayson Coulter",G1082&lt;'00_Control'!$B$7),"",--(AF1082&lt;10))</f>
        <v/>
      </c>
      <c r="AI1082" s="35">
        <f>IF(AND(C1082="Grayson Coulter",G1082&gt;='00_Control'!$B$7),"YES","NO")</f>
        <v/>
      </c>
      <c r="AJ1082" s="33" t="inlineStr">
        <is>
          <t>OK</t>
        </is>
      </c>
    </row>
    <row r="1083">
      <c r="A1083" s="33" t="inlineStr">
        <is>
          <t>SM001079</t>
        </is>
      </c>
      <c r="B1083" s="33" t="inlineStr">
        <is>
          <t>SW001</t>
        </is>
      </c>
      <c r="C1083" s="33" t="inlineStr">
        <is>
          <t>Grayson Coulter</t>
        </is>
      </c>
      <c r="D1083" s="33" t="inlineStr">
        <is>
          <t>SwimCloud</t>
        </is>
      </c>
      <c r="E1083" s="33" t="inlineStr">
        <is>
          <t>3651023</t>
        </is>
      </c>
      <c r="F1083" s="33" t="inlineStr">
        <is>
          <t>159520820</t>
        </is>
      </c>
      <c r="G1083" s="51" t="n">
        <v>45921</v>
      </c>
      <c r="H1083" s="33" t="inlineStr">
        <is>
          <t>New Zealand Short Course Championships</t>
        </is>
      </c>
      <c r="I1083" s="33" t="inlineStr">
        <is>
          <t>355663</t>
        </is>
      </c>
      <c r="J1083" s="33" t="inlineStr"/>
      <c r="K1083" s="33" t="inlineStr">
        <is>
          <t>TIM</t>
        </is>
      </c>
      <c r="L1083" s="35">
        <f>IF(K1083="FIN",3,IF(OR(K1083="SEM",K1083="SEMI"),2,IF(OR(K1083="PRE",K1083="HEAT"),1,IF(V1083="YES",4,2))))</f>
        <v/>
      </c>
      <c r="M1083" s="33" t="inlineStr">
        <is>
          <t>SCM</t>
        </is>
      </c>
      <c r="N1083" s="33" t="n">
        <v>100</v>
      </c>
      <c r="O1083" s="33" t="inlineStr">
        <is>
          <t>Free</t>
        </is>
      </c>
      <c r="P1083" s="33" t="inlineStr">
        <is>
          <t>100 Free</t>
        </is>
      </c>
      <c r="Q1083" s="33" t="inlineStr">
        <is>
          <t>SCM_100_FREE</t>
        </is>
      </c>
      <c r="R1083" s="36" t="n">
        <v>50.89</v>
      </c>
      <c r="S1083" s="35">
        <f>IF(R1083="","",IF(R1083&gt;=60,INT(R1083/60)&amp;":"&amp;TEXT(MOD(R1083,60),"00.00"),TEXT(R1083,"0.00")))</f>
        <v/>
      </c>
      <c r="T1083" s="52">
        <f>IFERROR((G1083-INDEX('01_Swimmers'!$E$5:$E$22,MATCH(B1083,'01_Swimmers'!$A$5:$A$22,0)))/'00_Control'!$B$10,"")</f>
        <v/>
      </c>
      <c r="U1083" s="35">
        <f>IF(T1083="","",INT(T1083))</f>
        <v/>
      </c>
      <c r="V1083" s="33" t="inlineStr">
        <is>
          <t>YES</t>
        </is>
      </c>
      <c r="W1083" s="33" t="inlineStr">
        <is>
          <t>YES</t>
        </is>
      </c>
      <c r="X1083" s="33" t="inlineStr">
        <is>
          <t>NO</t>
        </is>
      </c>
      <c r="Y1083" s="33" t="n">
        <v>2</v>
      </c>
      <c r="Z1083" s="33" t="n">
        <v>7</v>
      </c>
      <c r="AA1083" s="33" t="inlineStr"/>
      <c r="AB1083" s="33" t="inlineStr">
        <is>
          <t>https://www.swimcloud.com/results/355663/event/10/?id=159518009#time159518009</t>
        </is>
      </c>
      <c r="AC1083" s="33" t="inlineStr">
        <is>
          <t>SwimCloud API v6 2026-10-08</t>
        </is>
      </c>
      <c r="AD1083" s="33" t="inlineStr">
        <is>
          <t>Grayson Coulter|2025-09-21|SCM|100|Free|50.89|New Zealand Short Course Championships|TIM|True</t>
        </is>
      </c>
      <c r="AE1083" s="53">
        <f>G1083+L1083/1000+ROW()/1000000000</f>
        <v/>
      </c>
      <c r="AF1083" s="35">
        <f>IF(C1083&lt;&gt;"Grayson Coulter","",COUNTIFS($C$5:$C$2991,"Grayson Coulter",$Q$5:$Q$2991,Q1083,$AE$5:$AE$2991,"&lt;="&amp;AE1083,$R$5:$R$2991,"&lt;"&amp;R1083))</f>
        <v/>
      </c>
      <c r="AG1083" s="35">
        <f>IF(OR(C1083&lt;&gt;"Grayson Coulter",G1083&lt;'00_Control'!$B$7),"",--(AF1083&lt;5))</f>
        <v/>
      </c>
      <c r="AH1083" s="35">
        <f>IF(OR(C1083&lt;&gt;"Grayson Coulter",G1083&lt;'00_Control'!$B$7),"",--(AF1083&lt;10))</f>
        <v/>
      </c>
      <c r="AI1083" s="35">
        <f>IF(AND(C1083="Grayson Coulter",G1083&gt;='00_Control'!$B$7),"YES","NO")</f>
        <v/>
      </c>
      <c r="AJ1083" s="33" t="inlineStr">
        <is>
          <t>OK</t>
        </is>
      </c>
    </row>
    <row r="1084">
      <c r="A1084" s="33" t="inlineStr">
        <is>
          <t>SM001080</t>
        </is>
      </c>
      <c r="B1084" s="33" t="inlineStr">
        <is>
          <t>SW001</t>
        </is>
      </c>
      <c r="C1084" s="33" t="inlineStr">
        <is>
          <t>Grayson Coulter</t>
        </is>
      </c>
      <c r="D1084" s="33" t="inlineStr">
        <is>
          <t>SwimCloud</t>
        </is>
      </c>
      <c r="E1084" s="33" t="inlineStr">
        <is>
          <t>3651023</t>
        </is>
      </c>
      <c r="F1084" s="33" t="inlineStr">
        <is>
          <t>159517695</t>
        </is>
      </c>
      <c r="G1084" s="51" t="n">
        <v>45922</v>
      </c>
      <c r="H1084" s="33" t="inlineStr">
        <is>
          <t>New Zealand Short Course Championships</t>
        </is>
      </c>
      <c r="I1084" s="33" t="inlineStr">
        <is>
          <t>355663</t>
        </is>
      </c>
      <c r="J1084" s="33" t="inlineStr"/>
      <c r="K1084" s="33" t="inlineStr">
        <is>
          <t>PRE</t>
        </is>
      </c>
      <c r="L1084" s="35">
        <f>IF(K1084="FIN",3,IF(OR(K1084="SEM",K1084="SEMI"),2,IF(OR(K1084="PRE",K1084="HEAT"),1,IF(V1084="YES",4,2))))</f>
        <v/>
      </c>
      <c r="M1084" s="33" t="inlineStr">
        <is>
          <t>SCM</t>
        </is>
      </c>
      <c r="N1084" s="33" t="n">
        <v>100</v>
      </c>
      <c r="O1084" s="33" t="inlineStr">
        <is>
          <t>Free</t>
        </is>
      </c>
      <c r="P1084" s="33" t="inlineStr">
        <is>
          <t>100 Free</t>
        </is>
      </c>
      <c r="Q1084" s="33" t="inlineStr">
        <is>
          <t>SCM_100_FREE</t>
        </is>
      </c>
      <c r="R1084" s="36" t="n">
        <v>50.58</v>
      </c>
      <c r="S1084" s="35">
        <f>IF(R1084="","",IF(R1084&gt;=60,INT(R1084/60)&amp;":"&amp;TEXT(MOD(R1084,60),"00.00"),TEXT(R1084,"0.00")))</f>
        <v/>
      </c>
      <c r="T1084" s="52">
        <f>IFERROR((G1084-INDEX('01_Swimmers'!$E$5:$E$22,MATCH(B1084,'01_Swimmers'!$A$5:$A$22,0)))/'00_Control'!$B$10,"")</f>
        <v/>
      </c>
      <c r="U1084" s="35">
        <f>IF(T1084="","",INT(T1084))</f>
        <v/>
      </c>
      <c r="V1084" s="33" t="inlineStr">
        <is>
          <t>NO</t>
        </is>
      </c>
      <c r="W1084" s="33" t="inlineStr">
        <is>
          <t>YES</t>
        </is>
      </c>
      <c r="X1084" s="33" t="inlineStr">
        <is>
          <t>NO</t>
        </is>
      </c>
      <c r="Y1084" s="33" t="n">
        <v>10</v>
      </c>
      <c r="Z1084" s="33" t="n">
        <v>4</v>
      </c>
      <c r="AA1084" s="33" t="inlineStr">
        <is>
          <t>1</t>
        </is>
      </c>
      <c r="AB1084" s="33" t="inlineStr">
        <is>
          <t>https://www.swimcloud.com/results/355663/event/12/?id=159517695#time159517695</t>
        </is>
      </c>
      <c r="AC1084" s="33" t="inlineStr">
        <is>
          <t>SwimCloud API v6 2026-10-08</t>
        </is>
      </c>
      <c r="AD1084" s="33" t="inlineStr">
        <is>
          <t>Grayson Coulter|2025-09-22|SCM|100|Free|50.58|New Zealand Short Course Championships|PRE|False</t>
        </is>
      </c>
      <c r="AE1084" s="53">
        <f>G1084+L1084/1000+ROW()/1000000000</f>
        <v/>
      </c>
      <c r="AF1084" s="35">
        <f>IF(C1084&lt;&gt;"Grayson Coulter","",COUNTIFS($C$5:$C$2991,"Grayson Coulter",$Q$5:$Q$2991,Q1084,$AE$5:$AE$2991,"&lt;="&amp;AE1084,$R$5:$R$2991,"&lt;"&amp;R1084))</f>
        <v/>
      </c>
      <c r="AG1084" s="35">
        <f>IF(OR(C1084&lt;&gt;"Grayson Coulter",G1084&lt;'00_Control'!$B$7),"",--(AF1084&lt;5))</f>
        <v/>
      </c>
      <c r="AH1084" s="35">
        <f>IF(OR(C1084&lt;&gt;"Grayson Coulter",G1084&lt;'00_Control'!$B$7),"",--(AF1084&lt;10))</f>
        <v/>
      </c>
      <c r="AI1084" s="35">
        <f>IF(AND(C1084="Grayson Coulter",G1084&gt;='00_Control'!$B$7),"YES","NO")</f>
        <v/>
      </c>
      <c r="AJ1084" s="33" t="inlineStr">
        <is>
          <t>OK</t>
        </is>
      </c>
    </row>
    <row r="1085">
      <c r="A1085" s="33" t="inlineStr">
        <is>
          <t>SM001081</t>
        </is>
      </c>
      <c r="B1085" s="33" t="inlineStr">
        <is>
          <t>SW001</t>
        </is>
      </c>
      <c r="C1085" s="33" t="inlineStr">
        <is>
          <t>Grayson Coulter</t>
        </is>
      </c>
      <c r="D1085" s="33" t="inlineStr">
        <is>
          <t>SwimCloud</t>
        </is>
      </c>
      <c r="E1085" s="33" t="inlineStr">
        <is>
          <t>3651023</t>
        </is>
      </c>
      <c r="F1085" s="33" t="inlineStr">
        <is>
          <t>159517697</t>
        </is>
      </c>
      <c r="G1085" s="51" t="n">
        <v>45923</v>
      </c>
      <c r="H1085" s="33" t="inlineStr">
        <is>
          <t>New Zealand Short Course Championships</t>
        </is>
      </c>
      <c r="I1085" s="33" t="inlineStr">
        <is>
          <t>355663</t>
        </is>
      </c>
      <c r="J1085" s="33" t="inlineStr"/>
      <c r="K1085" s="33" t="inlineStr">
        <is>
          <t>PRE</t>
        </is>
      </c>
      <c r="L1085" s="35">
        <f>IF(K1085="FIN",3,IF(OR(K1085="SEM",K1085="SEMI"),2,IF(OR(K1085="PRE",K1085="HEAT"),1,IF(V1085="YES",4,2))))</f>
        <v/>
      </c>
      <c r="M1085" s="33" t="inlineStr">
        <is>
          <t>SCM</t>
        </is>
      </c>
      <c r="N1085" s="33" t="n">
        <v>400</v>
      </c>
      <c r="O1085" s="33" t="inlineStr">
        <is>
          <t>Free</t>
        </is>
      </c>
      <c r="P1085" s="33" t="inlineStr">
        <is>
          <t>400 Free</t>
        </is>
      </c>
      <c r="Q1085" s="33" t="inlineStr">
        <is>
          <t>SCM_400_FREE</t>
        </is>
      </c>
      <c r="R1085" s="36" t="n">
        <v>242.15</v>
      </c>
      <c r="S1085" s="35">
        <f>IF(R1085="","",IF(R1085&gt;=60,INT(R1085/60)&amp;":"&amp;TEXT(MOD(R1085,60),"00.00"),TEXT(R1085,"0.00")))</f>
        <v/>
      </c>
      <c r="T1085" s="52">
        <f>IFERROR((G1085-INDEX('01_Swimmers'!$E$5:$E$22,MATCH(B1085,'01_Swimmers'!$A$5:$A$22,0)))/'00_Control'!$B$10,"")</f>
        <v/>
      </c>
      <c r="U1085" s="35">
        <f>IF(T1085="","",INT(T1085))</f>
        <v/>
      </c>
      <c r="V1085" s="33" t="inlineStr">
        <is>
          <t>NO</t>
        </is>
      </c>
      <c r="W1085" s="33" t="inlineStr">
        <is>
          <t>YES</t>
        </is>
      </c>
      <c r="X1085" s="33" t="inlineStr">
        <is>
          <t>NO</t>
        </is>
      </c>
      <c r="Y1085" s="33" t="n">
        <v>4</v>
      </c>
      <c r="Z1085" s="33" t="n">
        <v>4</v>
      </c>
      <c r="AA1085" s="33" t="inlineStr">
        <is>
          <t>1</t>
        </is>
      </c>
      <c r="AB1085" s="33" t="inlineStr">
        <is>
          <t>https://www.swimcloud.com/results/355663/event/26/?id=159517697#time159517697</t>
        </is>
      </c>
      <c r="AC1085" s="33" t="inlineStr">
        <is>
          <t>SwimCloud API v6 2026-10-08</t>
        </is>
      </c>
      <c r="AD1085" s="33" t="inlineStr">
        <is>
          <t>Grayson Coulter|2025-09-23|SCM|400|Free|242.15|New Zealand Short Course Championships|PRE|False</t>
        </is>
      </c>
      <c r="AE1085" s="53">
        <f>G1085+L1085/1000+ROW()/1000000000</f>
        <v/>
      </c>
      <c r="AF1085" s="35">
        <f>IF(C1085&lt;&gt;"Grayson Coulter","",COUNTIFS($C$5:$C$2991,"Grayson Coulter",$Q$5:$Q$2991,Q1085,$AE$5:$AE$2991,"&lt;="&amp;AE1085,$R$5:$R$2991,"&lt;"&amp;R1085))</f>
        <v/>
      </c>
      <c r="AG1085" s="35">
        <f>IF(OR(C1085&lt;&gt;"Grayson Coulter",G1085&lt;'00_Control'!$B$7),"",--(AF1085&lt;5))</f>
        <v/>
      </c>
      <c r="AH1085" s="35">
        <f>IF(OR(C1085&lt;&gt;"Grayson Coulter",G1085&lt;'00_Control'!$B$7),"",--(AF1085&lt;10))</f>
        <v/>
      </c>
      <c r="AI1085" s="35">
        <f>IF(AND(C1085="Grayson Coulter",G1085&gt;='00_Control'!$B$7),"YES","NO")</f>
        <v/>
      </c>
      <c r="AJ1085" s="33" t="inlineStr">
        <is>
          <t>OK</t>
        </is>
      </c>
    </row>
    <row r="1086">
      <c r="A1086" s="33" t="inlineStr">
        <is>
          <t>SM001082</t>
        </is>
      </c>
      <c r="B1086" s="33" t="inlineStr">
        <is>
          <t>SW001</t>
        </is>
      </c>
      <c r="C1086" s="33" t="inlineStr">
        <is>
          <t>Grayson Coulter</t>
        </is>
      </c>
      <c r="D1086" s="33" t="inlineStr">
        <is>
          <t>SwimCloud</t>
        </is>
      </c>
      <c r="E1086" s="33" t="inlineStr">
        <is>
          <t>3651023</t>
        </is>
      </c>
      <c r="F1086" s="33" t="inlineStr">
        <is>
          <t>159517698</t>
        </is>
      </c>
      <c r="G1086" s="51" t="n">
        <v>45924</v>
      </c>
      <c r="H1086" s="33" t="inlineStr">
        <is>
          <t>New Zealand Short Course Championships</t>
        </is>
      </c>
      <c r="I1086" s="33" t="inlineStr">
        <is>
          <t>355663</t>
        </is>
      </c>
      <c r="J1086" s="33" t="inlineStr"/>
      <c r="K1086" s="33" t="inlineStr">
        <is>
          <t>PRE</t>
        </is>
      </c>
      <c r="L1086" s="35">
        <f>IF(K1086="FIN",3,IF(OR(K1086="SEM",K1086="SEMI"),2,IF(OR(K1086="PRE",K1086="HEAT"),1,IF(V1086="YES",4,2))))</f>
        <v/>
      </c>
      <c r="M1086" s="33" t="inlineStr">
        <is>
          <t>SCM</t>
        </is>
      </c>
      <c r="N1086" s="33" t="n">
        <v>200</v>
      </c>
      <c r="O1086" s="33" t="inlineStr">
        <is>
          <t>Free</t>
        </is>
      </c>
      <c r="P1086" s="33" t="inlineStr">
        <is>
          <t>200 Free</t>
        </is>
      </c>
      <c r="Q1086" s="33" t="inlineStr">
        <is>
          <t>SCM_200_FREE</t>
        </is>
      </c>
      <c r="R1086" s="36" t="n">
        <v>109.18</v>
      </c>
      <c r="S1086" s="35">
        <f>IF(R1086="","",IF(R1086&gt;=60,INT(R1086/60)&amp;":"&amp;TEXT(MOD(R1086,60),"00.00"),TEXT(R1086,"0.00")))</f>
        <v/>
      </c>
      <c r="T1086" s="52">
        <f>IFERROR((G1086-INDEX('01_Swimmers'!$E$5:$E$22,MATCH(B1086,'01_Swimmers'!$A$5:$A$22,0)))/'00_Control'!$B$10,"")</f>
        <v/>
      </c>
      <c r="U1086" s="35">
        <f>IF(T1086="","",INT(T1086))</f>
        <v/>
      </c>
      <c r="V1086" s="33" t="inlineStr">
        <is>
          <t>NO</t>
        </is>
      </c>
      <c r="W1086" s="33" t="inlineStr">
        <is>
          <t>YES</t>
        </is>
      </c>
      <c r="X1086" s="33" t="inlineStr">
        <is>
          <t>NO</t>
        </is>
      </c>
      <c r="Y1086" s="33" t="n">
        <v>8</v>
      </c>
      <c r="Z1086" s="33" t="n">
        <v>4</v>
      </c>
      <c r="AA1086" s="33" t="inlineStr">
        <is>
          <t>1</t>
        </is>
      </c>
      <c r="AB1086" s="33" t="inlineStr">
        <is>
          <t>https://www.swimcloud.com/results/355663/event/36/?id=159517698#time159517698</t>
        </is>
      </c>
      <c r="AC1086" s="33" t="inlineStr">
        <is>
          <t>SwimCloud API v6 2026-10-08</t>
        </is>
      </c>
      <c r="AD1086" s="33" t="inlineStr">
        <is>
          <t>Grayson Coulter|2025-09-24|SCM|200|Free|109.18|New Zealand Short Course Championships|PRE|False</t>
        </is>
      </c>
      <c r="AE1086" s="53">
        <f>G1086+L1086/1000+ROW()/1000000000</f>
        <v/>
      </c>
      <c r="AF1086" s="35">
        <f>IF(C1086&lt;&gt;"Grayson Coulter","",COUNTIFS($C$5:$C$2991,"Grayson Coulter",$Q$5:$Q$2991,Q1086,$AE$5:$AE$2991,"&lt;="&amp;AE1086,$R$5:$R$2991,"&lt;"&amp;R1086))</f>
        <v/>
      </c>
      <c r="AG1086" s="35">
        <f>IF(OR(C1086&lt;&gt;"Grayson Coulter",G1086&lt;'00_Control'!$B$7),"",--(AF1086&lt;5))</f>
        <v/>
      </c>
      <c r="AH1086" s="35">
        <f>IF(OR(C1086&lt;&gt;"Grayson Coulter",G1086&lt;'00_Control'!$B$7),"",--(AF1086&lt;10))</f>
        <v/>
      </c>
      <c r="AI1086" s="35">
        <f>IF(AND(C1086="Grayson Coulter",G1086&gt;='00_Control'!$B$7),"YES","NO")</f>
        <v/>
      </c>
      <c r="AJ1086" s="33" t="inlineStr">
        <is>
          <t>OK</t>
        </is>
      </c>
    </row>
    <row r="1087">
      <c r="A1087" s="33" t="inlineStr">
        <is>
          <t>SM001083</t>
        </is>
      </c>
      <c r="B1087" s="33" t="inlineStr">
        <is>
          <t>SW001</t>
        </is>
      </c>
      <c r="C1087" s="33" t="inlineStr">
        <is>
          <t>Grayson Coulter</t>
        </is>
      </c>
      <c r="D1087" s="33" t="inlineStr">
        <is>
          <t>SwimCloud</t>
        </is>
      </c>
      <c r="E1087" s="33" t="inlineStr">
        <is>
          <t>3651023</t>
        </is>
      </c>
      <c r="F1087" s="33" t="inlineStr">
        <is>
          <t>159520828</t>
        </is>
      </c>
      <c r="G1087" s="51" t="n">
        <v>45925</v>
      </c>
      <c r="H1087" s="33" t="inlineStr">
        <is>
          <t>New Zealand Short Course Championships</t>
        </is>
      </c>
      <c r="I1087" s="33" t="inlineStr">
        <is>
          <t>355663</t>
        </is>
      </c>
      <c r="J1087" s="33" t="inlineStr"/>
      <c r="K1087" s="33" t="inlineStr">
        <is>
          <t>TIM</t>
        </is>
      </c>
      <c r="L1087" s="35">
        <f>IF(K1087="FIN",3,IF(OR(K1087="SEM",K1087="SEMI"),2,IF(OR(K1087="PRE",K1087="HEAT"),1,IF(V1087="YES",4,2))))</f>
        <v/>
      </c>
      <c r="M1087" s="33" t="inlineStr">
        <is>
          <t>SCM</t>
        </is>
      </c>
      <c r="N1087" s="33" t="n">
        <v>100</v>
      </c>
      <c r="O1087" s="33" t="inlineStr">
        <is>
          <t>Free</t>
        </is>
      </c>
      <c r="P1087" s="33" t="inlineStr">
        <is>
          <t>100 Free</t>
        </is>
      </c>
      <c r="Q1087" s="33" t="inlineStr">
        <is>
          <t>SCM_100_FREE</t>
        </is>
      </c>
      <c r="R1087" s="36" t="n">
        <v>50.09</v>
      </c>
      <c r="S1087" s="35">
        <f>IF(R1087="","",IF(R1087&gt;=60,INT(R1087/60)&amp;":"&amp;TEXT(MOD(R1087,60),"00.00"),TEXT(R1087,"0.00")))</f>
        <v/>
      </c>
      <c r="T1087" s="52">
        <f>IFERROR((G1087-INDEX('01_Swimmers'!$E$5:$E$22,MATCH(B1087,'01_Swimmers'!$A$5:$A$22,0)))/'00_Control'!$B$10,"")</f>
        <v/>
      </c>
      <c r="U1087" s="35">
        <f>IF(T1087="","",INT(T1087))</f>
        <v/>
      </c>
      <c r="V1087" s="33" t="inlineStr">
        <is>
          <t>YES</t>
        </is>
      </c>
      <c r="W1087" s="33" t="inlineStr">
        <is>
          <t>YES</t>
        </is>
      </c>
      <c r="X1087" s="33" t="inlineStr">
        <is>
          <t>NO</t>
        </is>
      </c>
      <c r="Y1087" s="33" t="n">
        <v>2</v>
      </c>
      <c r="Z1087" s="33" t="n">
        <v>5</v>
      </c>
      <c r="AA1087" s="33" t="inlineStr"/>
      <c r="AB1087" s="33" t="inlineStr">
        <is>
          <t>https://www.swimcloud.com/results/355663/event/45/?id=159518011#time159518011</t>
        </is>
      </c>
      <c r="AC1087" s="33" t="inlineStr">
        <is>
          <t>SwimCloud API v6 2026-10-08</t>
        </is>
      </c>
      <c r="AD1087" s="33" t="inlineStr">
        <is>
          <t>Grayson Coulter|2025-09-25|SCM|100|Free|50.09|New Zealand Short Course Championships|TIM|True</t>
        </is>
      </c>
      <c r="AE1087" s="53">
        <f>G1087+L1087/1000+ROW()/1000000000</f>
        <v/>
      </c>
      <c r="AF1087" s="35">
        <f>IF(C1087&lt;&gt;"Grayson Coulter","",COUNTIFS($C$5:$C$2991,"Grayson Coulter",$Q$5:$Q$2991,Q1087,$AE$5:$AE$2991,"&lt;="&amp;AE1087,$R$5:$R$2991,"&lt;"&amp;R1087))</f>
        <v/>
      </c>
      <c r="AG1087" s="35">
        <f>IF(OR(C1087&lt;&gt;"Grayson Coulter",G1087&lt;'00_Control'!$B$7),"",--(AF1087&lt;5))</f>
        <v/>
      </c>
      <c r="AH1087" s="35">
        <f>IF(OR(C1087&lt;&gt;"Grayson Coulter",G1087&lt;'00_Control'!$B$7),"",--(AF1087&lt;10))</f>
        <v/>
      </c>
      <c r="AI1087" s="35">
        <f>IF(AND(C1087="Grayson Coulter",G1087&gt;='00_Control'!$B$7),"YES","NO")</f>
        <v/>
      </c>
      <c r="AJ1087" s="33" t="inlineStr">
        <is>
          <t>OK</t>
        </is>
      </c>
    </row>
    <row r="1088">
      <c r="A1088" s="33" t="inlineStr">
        <is>
          <t>SM001084</t>
        </is>
      </c>
      <c r="B1088" s="33" t="inlineStr">
        <is>
          <t>SW001</t>
        </is>
      </c>
      <c r="C1088" s="33" t="inlineStr">
        <is>
          <t>Grayson Coulter</t>
        </is>
      </c>
      <c r="D1088" s="33" t="inlineStr">
        <is>
          <t>SwimCloud</t>
        </is>
      </c>
      <c r="E1088" s="33" t="inlineStr">
        <is>
          <t>3651023</t>
        </is>
      </c>
      <c r="F1088" s="33" t="inlineStr">
        <is>
          <t>166761445</t>
        </is>
      </c>
      <c r="G1088" s="51" t="n">
        <v>46005</v>
      </c>
      <c r="H1088" s="33" t="inlineStr">
        <is>
          <t>Queensland Championships</t>
        </is>
      </c>
      <c r="I1088" s="33" t="inlineStr">
        <is>
          <t>367863</t>
        </is>
      </c>
      <c r="J1088" s="33" t="inlineStr"/>
      <c r="K1088" s="33" t="inlineStr">
        <is>
          <t>PRE</t>
        </is>
      </c>
      <c r="L1088" s="35">
        <f>IF(K1088="FIN",3,IF(OR(K1088="SEM",K1088="SEMI"),2,IF(OR(K1088="PRE",K1088="HEAT"),1,IF(V1088="YES",4,2))))</f>
        <v/>
      </c>
      <c r="M1088" s="33" t="inlineStr">
        <is>
          <t>LCM</t>
        </is>
      </c>
      <c r="N1088" s="33" t="n">
        <v>100</v>
      </c>
      <c r="O1088" s="33" t="inlineStr">
        <is>
          <t>Free</t>
        </is>
      </c>
      <c r="P1088" s="33" t="inlineStr">
        <is>
          <t>100 Free</t>
        </is>
      </c>
      <c r="Q1088" s="33" t="inlineStr">
        <is>
          <t>LCM_100_FREE</t>
        </is>
      </c>
      <c r="R1088" s="36" t="n">
        <v>52.26</v>
      </c>
      <c r="S1088" s="35">
        <f>IF(R1088="","",IF(R1088&gt;=60,INT(R1088/60)&amp;":"&amp;TEXT(MOD(R1088,60),"00.00"),TEXT(R1088,"0.00")))</f>
        <v/>
      </c>
      <c r="T1088" s="52">
        <f>IFERROR((G1088-INDEX('01_Swimmers'!$E$5:$E$22,MATCH(B1088,'01_Swimmers'!$A$5:$A$22,0)))/'00_Control'!$B$10,"")</f>
        <v/>
      </c>
      <c r="U1088" s="35">
        <f>IF(T1088="","",INT(T1088))</f>
        <v/>
      </c>
      <c r="V1088" s="33" t="inlineStr">
        <is>
          <t>NO</t>
        </is>
      </c>
      <c r="W1088" s="33" t="inlineStr">
        <is>
          <t>YES</t>
        </is>
      </c>
      <c r="X1088" s="33" t="inlineStr">
        <is>
          <t>NO</t>
        </is>
      </c>
      <c r="Y1088" s="33" t="n">
        <v>1</v>
      </c>
      <c r="Z1088" s="33" t="n">
        <v>4</v>
      </c>
      <c r="AA1088" s="33" t="inlineStr">
        <is>
          <t>1</t>
        </is>
      </c>
      <c r="AB1088" s="33" t="inlineStr">
        <is>
          <t>https://www.swimcloud.com/results/367863/event/55/?id=166761445#time166761445</t>
        </is>
      </c>
      <c r="AC1088" s="33" t="inlineStr">
        <is>
          <t>SwimCloud API v6 2026-10-08</t>
        </is>
      </c>
      <c r="AD1088" s="33" t="inlineStr">
        <is>
          <t>Grayson Coulter|2025-12-14|LCM|100|Free|52.26|Queensland Championships|PRE|False</t>
        </is>
      </c>
      <c r="AE1088" s="53">
        <f>G1088+L1088/1000+ROW()/1000000000</f>
        <v/>
      </c>
      <c r="AF1088" s="35">
        <f>IF(C1088&lt;&gt;"Grayson Coulter","",COUNTIFS($C$5:$C$2991,"Grayson Coulter",$Q$5:$Q$2991,Q1088,$AE$5:$AE$2991,"&lt;="&amp;AE1088,$R$5:$R$2991,"&lt;"&amp;R1088))</f>
        <v/>
      </c>
      <c r="AG1088" s="35">
        <f>IF(OR(C1088&lt;&gt;"Grayson Coulter",G1088&lt;'00_Control'!$B$7),"",--(AF1088&lt;5))</f>
        <v/>
      </c>
      <c r="AH1088" s="35">
        <f>IF(OR(C1088&lt;&gt;"Grayson Coulter",G1088&lt;'00_Control'!$B$7),"",--(AF1088&lt;10))</f>
        <v/>
      </c>
      <c r="AI1088" s="35">
        <f>IF(AND(C1088="Grayson Coulter",G1088&gt;='00_Control'!$B$7),"YES","NO")</f>
        <v/>
      </c>
      <c r="AJ1088" s="33" t="inlineStr">
        <is>
          <t>OK</t>
        </is>
      </c>
    </row>
    <row r="1089">
      <c r="A1089" s="33" t="inlineStr">
        <is>
          <t>SM001085</t>
        </is>
      </c>
      <c r="B1089" s="33" t="inlineStr">
        <is>
          <t>SW001</t>
        </is>
      </c>
      <c r="C1089" s="33" t="inlineStr">
        <is>
          <t>Grayson Coulter</t>
        </is>
      </c>
      <c r="D1089" s="33" t="inlineStr">
        <is>
          <t>SwimCloud</t>
        </is>
      </c>
      <c r="E1089" s="33" t="inlineStr">
        <is>
          <t>3651023</t>
        </is>
      </c>
      <c r="F1089" s="33" t="inlineStr">
        <is>
          <t>166761446</t>
        </is>
      </c>
      <c r="G1089" s="51" t="n">
        <v>46005</v>
      </c>
      <c r="H1089" s="33" t="inlineStr">
        <is>
          <t>Queensland Championships</t>
        </is>
      </c>
      <c r="I1089" s="33" t="inlineStr">
        <is>
          <t>367863</t>
        </is>
      </c>
      <c r="J1089" s="33" t="inlineStr"/>
      <c r="K1089" s="33" t="inlineStr">
        <is>
          <t>FIN</t>
        </is>
      </c>
      <c r="L1089" s="35">
        <f>IF(K1089="FIN",3,IF(OR(K1089="SEM",K1089="SEMI"),2,IF(OR(K1089="PRE",K1089="HEAT"),1,IF(V1089="YES",4,2))))</f>
        <v/>
      </c>
      <c r="M1089" s="33" t="inlineStr">
        <is>
          <t>LCM</t>
        </is>
      </c>
      <c r="N1089" s="33" t="n">
        <v>100</v>
      </c>
      <c r="O1089" s="33" t="inlineStr">
        <is>
          <t>Free</t>
        </is>
      </c>
      <c r="P1089" s="33" t="inlineStr">
        <is>
          <t>100 Free</t>
        </is>
      </c>
      <c r="Q1089" s="33" t="inlineStr">
        <is>
          <t>LCM_100_FREE</t>
        </is>
      </c>
      <c r="R1089" s="36" t="n">
        <v>51.63</v>
      </c>
      <c r="S1089" s="35">
        <f>IF(R1089="","",IF(R1089&gt;=60,INT(R1089/60)&amp;":"&amp;TEXT(MOD(R1089,60),"00.00"),TEXT(R1089,"0.00")))</f>
        <v/>
      </c>
      <c r="T1089" s="52">
        <f>IFERROR((G1089-INDEX('01_Swimmers'!$E$5:$E$22,MATCH(B1089,'01_Swimmers'!$A$5:$A$22,0)))/'00_Control'!$B$10,"")</f>
        <v/>
      </c>
      <c r="U1089" s="35">
        <f>IF(T1089="","",INT(T1089))</f>
        <v/>
      </c>
      <c r="V1089" s="33" t="inlineStr">
        <is>
          <t>NO</t>
        </is>
      </c>
      <c r="W1089" s="33" t="inlineStr">
        <is>
          <t>YES</t>
        </is>
      </c>
      <c r="X1089" s="33" t="inlineStr">
        <is>
          <t>NO</t>
        </is>
      </c>
      <c r="Y1089" s="33" t="n">
        <v>1</v>
      </c>
      <c r="Z1089" s="33" t="n">
        <v>4</v>
      </c>
      <c r="AA1089" s="33" t="inlineStr">
        <is>
          <t>1</t>
        </is>
      </c>
      <c r="AB1089" s="33" t="inlineStr">
        <is>
          <t>https://www.swimcloud.com/results/367863/event/55/?id=166761446#time166761446</t>
        </is>
      </c>
      <c r="AC1089" s="33" t="inlineStr">
        <is>
          <t>SwimCloud API v6 2026-10-08</t>
        </is>
      </c>
      <c r="AD1089" s="33" t="inlineStr">
        <is>
          <t>Grayson Coulter|2025-12-14|LCM|100|Free|51.63|Queensland Championships|FIN|False</t>
        </is>
      </c>
      <c r="AE1089" s="53">
        <f>G1089+L1089/1000+ROW()/1000000000</f>
        <v/>
      </c>
      <c r="AF1089" s="35">
        <f>IF(C1089&lt;&gt;"Grayson Coulter","",COUNTIFS($C$5:$C$2991,"Grayson Coulter",$Q$5:$Q$2991,Q1089,$AE$5:$AE$2991,"&lt;="&amp;AE1089,$R$5:$R$2991,"&lt;"&amp;R1089))</f>
        <v/>
      </c>
      <c r="AG1089" s="35">
        <f>IF(OR(C1089&lt;&gt;"Grayson Coulter",G1089&lt;'00_Control'!$B$7),"",--(AF1089&lt;5))</f>
        <v/>
      </c>
      <c r="AH1089" s="35">
        <f>IF(OR(C1089&lt;&gt;"Grayson Coulter",G1089&lt;'00_Control'!$B$7),"",--(AF1089&lt;10))</f>
        <v/>
      </c>
      <c r="AI1089" s="35">
        <f>IF(AND(C1089="Grayson Coulter",G1089&gt;='00_Control'!$B$7),"YES","NO")</f>
        <v/>
      </c>
      <c r="AJ1089" s="33" t="inlineStr">
        <is>
          <t>OK</t>
        </is>
      </c>
    </row>
    <row r="1090">
      <c r="A1090" s="33" t="inlineStr">
        <is>
          <t>SM001086</t>
        </is>
      </c>
      <c r="B1090" s="33" t="inlineStr">
        <is>
          <t>SW001</t>
        </is>
      </c>
      <c r="C1090" s="33" t="inlineStr">
        <is>
          <t>Grayson Coulter</t>
        </is>
      </c>
      <c r="D1090" s="33" t="inlineStr">
        <is>
          <t>SwimCloud</t>
        </is>
      </c>
      <c r="E1090" s="33" t="inlineStr">
        <is>
          <t>3651023</t>
        </is>
      </c>
      <c r="F1090" s="33" t="inlineStr">
        <is>
          <t>166767532</t>
        </is>
      </c>
      <c r="G1090" s="51" t="n">
        <v>46006</v>
      </c>
      <c r="H1090" s="33" t="inlineStr">
        <is>
          <t>Queensland Championships</t>
        </is>
      </c>
      <c r="I1090" s="33" t="inlineStr">
        <is>
          <t>367863</t>
        </is>
      </c>
      <c r="J1090" s="33" t="inlineStr"/>
      <c r="K1090" s="33" t="inlineStr">
        <is>
          <t>PRE</t>
        </is>
      </c>
      <c r="L1090" s="35">
        <f>IF(K1090="FIN",3,IF(OR(K1090="SEM",K1090="SEMI"),2,IF(OR(K1090="PRE",K1090="HEAT"),1,IF(V1090="YES",4,2))))</f>
        <v/>
      </c>
      <c r="M1090" s="33" t="inlineStr">
        <is>
          <t>LCM</t>
        </is>
      </c>
      <c r="N1090" s="33" t="n">
        <v>100</v>
      </c>
      <c r="O1090" s="33" t="inlineStr">
        <is>
          <t>Fly</t>
        </is>
      </c>
      <c r="P1090" s="33" t="inlineStr">
        <is>
          <t>100 Fly</t>
        </is>
      </c>
      <c r="Q1090" s="33" t="inlineStr">
        <is>
          <t>LCM_100_FLY</t>
        </is>
      </c>
      <c r="R1090" s="36" t="n">
        <v>57.95</v>
      </c>
      <c r="S1090" s="35">
        <f>IF(R1090="","",IF(R1090&gt;=60,INT(R1090/60)&amp;":"&amp;TEXT(MOD(R1090,60),"00.00"),TEXT(R1090,"0.00")))</f>
        <v/>
      </c>
      <c r="T1090" s="52">
        <f>IFERROR((G1090-INDEX('01_Swimmers'!$E$5:$E$22,MATCH(B1090,'01_Swimmers'!$A$5:$A$22,0)))/'00_Control'!$B$10,"")</f>
        <v/>
      </c>
      <c r="U1090" s="35">
        <f>IF(T1090="","",INT(T1090))</f>
        <v/>
      </c>
      <c r="V1090" s="33" t="inlineStr">
        <is>
          <t>NO</t>
        </is>
      </c>
      <c r="W1090" s="33" t="inlineStr">
        <is>
          <t>YES</t>
        </is>
      </c>
      <c r="X1090" s="33" t="inlineStr">
        <is>
          <t>NO</t>
        </is>
      </c>
      <c r="Y1090" s="33" t="n">
        <v>1</v>
      </c>
      <c r="Z1090" s="33" t="n">
        <v>4</v>
      </c>
      <c r="AA1090" s="33" t="inlineStr">
        <is>
          <t>1</t>
        </is>
      </c>
      <c r="AB1090" s="33" t="inlineStr">
        <is>
          <t>https://www.swimcloud.com/results/367863/event/95/?id=166767532#time166767532</t>
        </is>
      </c>
      <c r="AC1090" s="33" t="inlineStr">
        <is>
          <t>SwimCloud API v6 2026-10-08</t>
        </is>
      </c>
      <c r="AD1090" s="33" t="inlineStr">
        <is>
          <t>Grayson Coulter|2025-12-15|LCM|100|Fly|57.95|Queensland Championships|PRE|False</t>
        </is>
      </c>
      <c r="AE1090" s="53">
        <f>G1090+L1090/1000+ROW()/1000000000</f>
        <v/>
      </c>
      <c r="AF1090" s="35">
        <f>IF(C1090&lt;&gt;"Grayson Coulter","",COUNTIFS($C$5:$C$2991,"Grayson Coulter",$Q$5:$Q$2991,Q1090,$AE$5:$AE$2991,"&lt;="&amp;AE1090,$R$5:$R$2991,"&lt;"&amp;R1090))</f>
        <v/>
      </c>
      <c r="AG1090" s="35">
        <f>IF(OR(C1090&lt;&gt;"Grayson Coulter",G1090&lt;'00_Control'!$B$7),"",--(AF1090&lt;5))</f>
        <v/>
      </c>
      <c r="AH1090" s="35">
        <f>IF(OR(C1090&lt;&gt;"Grayson Coulter",G1090&lt;'00_Control'!$B$7),"",--(AF1090&lt;10))</f>
        <v/>
      </c>
      <c r="AI1090" s="35">
        <f>IF(AND(C1090="Grayson Coulter",G1090&gt;='00_Control'!$B$7),"YES","NO")</f>
        <v/>
      </c>
      <c r="AJ1090" s="33" t="inlineStr">
        <is>
          <t>OK</t>
        </is>
      </c>
    </row>
    <row r="1091">
      <c r="A1091" s="33" t="inlineStr">
        <is>
          <t>SM001087</t>
        </is>
      </c>
      <c r="B1091" s="33" t="inlineStr">
        <is>
          <t>SW001</t>
        </is>
      </c>
      <c r="C1091" s="33" t="inlineStr">
        <is>
          <t>Grayson Coulter</t>
        </is>
      </c>
      <c r="D1091" s="33" t="inlineStr">
        <is>
          <t>SwimCloud</t>
        </is>
      </c>
      <c r="E1091" s="33" t="inlineStr">
        <is>
          <t>3651023</t>
        </is>
      </c>
      <c r="F1091" s="33" t="inlineStr">
        <is>
          <t>166767533</t>
        </is>
      </c>
      <c r="G1091" s="51" t="n">
        <v>46006</v>
      </c>
      <c r="H1091" s="33" t="inlineStr">
        <is>
          <t>Queensland Championships</t>
        </is>
      </c>
      <c r="I1091" s="33" t="inlineStr">
        <is>
          <t>367863</t>
        </is>
      </c>
      <c r="J1091" s="33" t="inlineStr"/>
      <c r="K1091" s="33" t="inlineStr">
        <is>
          <t>FIN</t>
        </is>
      </c>
      <c r="L1091" s="35">
        <f>IF(K1091="FIN",3,IF(OR(K1091="SEM",K1091="SEMI"),2,IF(OR(K1091="PRE",K1091="HEAT"),1,IF(V1091="YES",4,2))))</f>
        <v/>
      </c>
      <c r="M1091" s="33" t="inlineStr">
        <is>
          <t>LCM</t>
        </is>
      </c>
      <c r="N1091" s="33" t="n">
        <v>100</v>
      </c>
      <c r="O1091" s="33" t="inlineStr">
        <is>
          <t>Fly</t>
        </is>
      </c>
      <c r="P1091" s="33" t="inlineStr">
        <is>
          <t>100 Fly</t>
        </is>
      </c>
      <c r="Q1091" s="33" t="inlineStr">
        <is>
          <t>LCM_100_FLY</t>
        </is>
      </c>
      <c r="R1091" s="36" t="n">
        <v>56.85</v>
      </c>
      <c r="S1091" s="35">
        <f>IF(R1091="","",IF(R1091&gt;=60,INT(R1091/60)&amp;":"&amp;TEXT(MOD(R1091,60),"00.00"),TEXT(R1091,"0.00")))</f>
        <v/>
      </c>
      <c r="T1091" s="52">
        <f>IFERROR((G1091-INDEX('01_Swimmers'!$E$5:$E$22,MATCH(B1091,'01_Swimmers'!$A$5:$A$22,0)))/'00_Control'!$B$10,"")</f>
        <v/>
      </c>
      <c r="U1091" s="35">
        <f>IF(T1091="","",INT(T1091))</f>
        <v/>
      </c>
      <c r="V1091" s="33" t="inlineStr">
        <is>
          <t>NO</t>
        </is>
      </c>
      <c r="W1091" s="33" t="inlineStr">
        <is>
          <t>YES</t>
        </is>
      </c>
      <c r="X1091" s="33" t="inlineStr">
        <is>
          <t>NO</t>
        </is>
      </c>
      <c r="Y1091" s="33" t="n">
        <v>1</v>
      </c>
      <c r="Z1091" s="33" t="n">
        <v>4</v>
      </c>
      <c r="AA1091" s="33" t="inlineStr">
        <is>
          <t>1</t>
        </is>
      </c>
      <c r="AB1091" s="33" t="inlineStr">
        <is>
          <t>https://www.swimcloud.com/results/367863/event/95/?id=166767533#time166767533</t>
        </is>
      </c>
      <c r="AC1091" s="33" t="inlineStr">
        <is>
          <t>SwimCloud API v6 2026-10-08</t>
        </is>
      </c>
      <c r="AD1091" s="33" t="inlineStr">
        <is>
          <t>Grayson Coulter|2025-12-15|LCM|100|Fly|56.85|Queensland Championships|FIN|False</t>
        </is>
      </c>
      <c r="AE1091" s="53">
        <f>G1091+L1091/1000+ROW()/1000000000</f>
        <v/>
      </c>
      <c r="AF1091" s="35">
        <f>IF(C1091&lt;&gt;"Grayson Coulter","",COUNTIFS($C$5:$C$2991,"Grayson Coulter",$Q$5:$Q$2991,Q1091,$AE$5:$AE$2991,"&lt;="&amp;AE1091,$R$5:$R$2991,"&lt;"&amp;R1091))</f>
        <v/>
      </c>
      <c r="AG1091" s="35">
        <f>IF(OR(C1091&lt;&gt;"Grayson Coulter",G1091&lt;'00_Control'!$B$7),"",--(AF1091&lt;5))</f>
        <v/>
      </c>
      <c r="AH1091" s="35">
        <f>IF(OR(C1091&lt;&gt;"Grayson Coulter",G1091&lt;'00_Control'!$B$7),"",--(AF1091&lt;10))</f>
        <v/>
      </c>
      <c r="AI1091" s="35">
        <f>IF(AND(C1091="Grayson Coulter",G1091&gt;='00_Control'!$B$7),"YES","NO")</f>
        <v/>
      </c>
      <c r="AJ1091" s="33" t="inlineStr">
        <is>
          <t>OK</t>
        </is>
      </c>
    </row>
    <row r="1092">
      <c r="A1092" s="33" t="inlineStr">
        <is>
          <t>SM001088</t>
        </is>
      </c>
      <c r="B1092" s="33" t="inlineStr">
        <is>
          <t>SW001</t>
        </is>
      </c>
      <c r="C1092" s="33" t="inlineStr">
        <is>
          <t>Grayson Coulter</t>
        </is>
      </c>
      <c r="D1092" s="33" t="inlineStr">
        <is>
          <t>SwimCloud</t>
        </is>
      </c>
      <c r="E1092" s="33" t="inlineStr">
        <is>
          <t>3651023</t>
        </is>
      </c>
      <c r="F1092" s="33" t="inlineStr">
        <is>
          <t>166762977</t>
        </is>
      </c>
      <c r="G1092" s="51" t="n">
        <v>46008</v>
      </c>
      <c r="H1092" s="33" t="inlineStr">
        <is>
          <t>Queensland Championships</t>
        </is>
      </c>
      <c r="I1092" s="33" t="inlineStr">
        <is>
          <t>367863</t>
        </is>
      </c>
      <c r="J1092" s="33" t="inlineStr"/>
      <c r="K1092" s="33" t="inlineStr">
        <is>
          <t>PRE</t>
        </is>
      </c>
      <c r="L1092" s="35">
        <f>IF(K1092="FIN",3,IF(OR(K1092="SEM",K1092="SEMI"),2,IF(OR(K1092="PRE",K1092="HEAT"),1,IF(V1092="YES",4,2))))</f>
        <v/>
      </c>
      <c r="M1092" s="33" t="inlineStr">
        <is>
          <t>LCM</t>
        </is>
      </c>
      <c r="N1092" s="33" t="n">
        <v>400</v>
      </c>
      <c r="O1092" s="33" t="inlineStr">
        <is>
          <t>Free</t>
        </is>
      </c>
      <c r="P1092" s="33" t="inlineStr">
        <is>
          <t>400 Free</t>
        </is>
      </c>
      <c r="Q1092" s="33" t="inlineStr">
        <is>
          <t>LCM_400_FREE</t>
        </is>
      </c>
      <c r="R1092" s="36" t="n">
        <v>250.91</v>
      </c>
      <c r="S1092" s="35">
        <f>IF(R1092="","",IF(R1092&gt;=60,INT(R1092/60)&amp;":"&amp;TEXT(MOD(R1092,60),"00.00"),TEXT(R1092,"0.00")))</f>
        <v/>
      </c>
      <c r="T1092" s="52">
        <f>IFERROR((G1092-INDEX('01_Swimmers'!$E$5:$E$22,MATCH(B1092,'01_Swimmers'!$A$5:$A$22,0)))/'00_Control'!$B$10,"")</f>
        <v/>
      </c>
      <c r="U1092" s="35">
        <f>IF(T1092="","",INT(T1092))</f>
        <v/>
      </c>
      <c r="V1092" s="33" t="inlineStr">
        <is>
          <t>NO</t>
        </is>
      </c>
      <c r="W1092" s="33" t="inlineStr">
        <is>
          <t>YES</t>
        </is>
      </c>
      <c r="X1092" s="33" t="inlineStr">
        <is>
          <t>NO</t>
        </is>
      </c>
      <c r="Y1092" s="33" t="n">
        <v>1</v>
      </c>
      <c r="Z1092" s="33" t="n">
        <v>4</v>
      </c>
      <c r="AA1092" s="33" t="inlineStr">
        <is>
          <t>1</t>
        </is>
      </c>
      <c r="AB1092" s="33" t="inlineStr">
        <is>
          <t>https://www.swimcloud.com/results/367863/event/171/?id=166762977#time166762977</t>
        </is>
      </c>
      <c r="AC1092" s="33" t="inlineStr">
        <is>
          <t>SwimCloud API v6 2026-10-08</t>
        </is>
      </c>
      <c r="AD1092" s="33" t="inlineStr">
        <is>
          <t>Grayson Coulter|2025-12-17|LCM|400|Free|250.91|Queensland Championships|PRE|False</t>
        </is>
      </c>
      <c r="AE1092" s="53">
        <f>G1092+L1092/1000+ROW()/1000000000</f>
        <v/>
      </c>
      <c r="AF1092" s="35">
        <f>IF(C1092&lt;&gt;"Grayson Coulter","",COUNTIFS($C$5:$C$2991,"Grayson Coulter",$Q$5:$Q$2991,Q1092,$AE$5:$AE$2991,"&lt;="&amp;AE1092,$R$5:$R$2991,"&lt;"&amp;R1092))</f>
        <v/>
      </c>
      <c r="AG1092" s="35">
        <f>IF(OR(C1092&lt;&gt;"Grayson Coulter",G1092&lt;'00_Control'!$B$7),"",--(AF1092&lt;5))</f>
        <v/>
      </c>
      <c r="AH1092" s="35">
        <f>IF(OR(C1092&lt;&gt;"Grayson Coulter",G1092&lt;'00_Control'!$B$7),"",--(AF1092&lt;10))</f>
        <v/>
      </c>
      <c r="AI1092" s="35">
        <f>IF(AND(C1092="Grayson Coulter",G1092&gt;='00_Control'!$B$7),"YES","NO")</f>
        <v/>
      </c>
      <c r="AJ1092" s="33" t="inlineStr">
        <is>
          <t>OK</t>
        </is>
      </c>
    </row>
    <row r="1093">
      <c r="A1093" s="33" t="inlineStr">
        <is>
          <t>SM001089</t>
        </is>
      </c>
      <c r="B1093" s="33" t="inlineStr">
        <is>
          <t>SW001</t>
        </is>
      </c>
      <c r="C1093" s="33" t="inlineStr">
        <is>
          <t>Grayson Coulter</t>
        </is>
      </c>
      <c r="D1093" s="33" t="inlineStr">
        <is>
          <t>SwimCloud</t>
        </is>
      </c>
      <c r="E1093" s="33" t="inlineStr">
        <is>
          <t>3651023</t>
        </is>
      </c>
      <c r="F1093" s="33" t="inlineStr">
        <is>
          <t>166762978</t>
        </is>
      </c>
      <c r="G1093" s="51" t="n">
        <v>46008</v>
      </c>
      <c r="H1093" s="33" t="inlineStr">
        <is>
          <t>Queensland Championships</t>
        </is>
      </c>
      <c r="I1093" s="33" t="inlineStr">
        <is>
          <t>367863</t>
        </is>
      </c>
      <c r="J1093" s="33" t="inlineStr"/>
      <c r="K1093" s="33" t="inlineStr">
        <is>
          <t>FIN</t>
        </is>
      </c>
      <c r="L1093" s="35">
        <f>IF(K1093="FIN",3,IF(OR(K1093="SEM",K1093="SEMI"),2,IF(OR(K1093="PRE",K1093="HEAT"),1,IF(V1093="YES",4,2))))</f>
        <v/>
      </c>
      <c r="M1093" s="33" t="inlineStr">
        <is>
          <t>LCM</t>
        </is>
      </c>
      <c r="N1093" s="33" t="n">
        <v>400</v>
      </c>
      <c r="O1093" s="33" t="inlineStr">
        <is>
          <t>Free</t>
        </is>
      </c>
      <c r="P1093" s="33" t="inlineStr">
        <is>
          <t>400 Free</t>
        </is>
      </c>
      <c r="Q1093" s="33" t="inlineStr">
        <is>
          <t>LCM_400_FREE</t>
        </is>
      </c>
      <c r="R1093" s="36" t="n">
        <v>239.4</v>
      </c>
      <c r="S1093" s="35">
        <f>IF(R1093="","",IF(R1093&gt;=60,INT(R1093/60)&amp;":"&amp;TEXT(MOD(R1093,60),"00.00"),TEXT(R1093,"0.00")))</f>
        <v/>
      </c>
      <c r="T1093" s="52">
        <f>IFERROR((G1093-INDEX('01_Swimmers'!$E$5:$E$22,MATCH(B1093,'01_Swimmers'!$A$5:$A$22,0)))/'00_Control'!$B$10,"")</f>
        <v/>
      </c>
      <c r="U1093" s="35">
        <f>IF(T1093="","",INT(T1093))</f>
        <v/>
      </c>
      <c r="V1093" s="33" t="inlineStr">
        <is>
          <t>NO</t>
        </is>
      </c>
      <c r="W1093" s="33" t="inlineStr">
        <is>
          <t>YES</t>
        </is>
      </c>
      <c r="X1093" s="33" t="inlineStr">
        <is>
          <t>NO</t>
        </is>
      </c>
      <c r="Y1093" s="33" t="n">
        <v>1</v>
      </c>
      <c r="Z1093" s="33" t="n">
        <v>4</v>
      </c>
      <c r="AA1093" s="33" t="inlineStr">
        <is>
          <t>1</t>
        </is>
      </c>
      <c r="AB1093" s="33" t="inlineStr">
        <is>
          <t>https://www.swimcloud.com/results/367863/event/171/?id=166762978#time166762978</t>
        </is>
      </c>
      <c r="AC1093" s="33" t="inlineStr">
        <is>
          <t>SwimCloud API v6 2026-10-08</t>
        </is>
      </c>
      <c r="AD1093" s="33" t="inlineStr">
        <is>
          <t>Grayson Coulter|2025-12-17|LCM|400|Free|239.4|Queensland Championships|FIN|False</t>
        </is>
      </c>
      <c r="AE1093" s="53">
        <f>G1093+L1093/1000+ROW()/1000000000</f>
        <v/>
      </c>
      <c r="AF1093" s="35">
        <f>IF(C1093&lt;&gt;"Grayson Coulter","",COUNTIFS($C$5:$C$2991,"Grayson Coulter",$Q$5:$Q$2991,Q1093,$AE$5:$AE$2991,"&lt;="&amp;AE1093,$R$5:$R$2991,"&lt;"&amp;R1093))</f>
        <v/>
      </c>
      <c r="AG1093" s="35">
        <f>IF(OR(C1093&lt;&gt;"Grayson Coulter",G1093&lt;'00_Control'!$B$7),"",--(AF1093&lt;5))</f>
        <v/>
      </c>
      <c r="AH1093" s="35">
        <f>IF(OR(C1093&lt;&gt;"Grayson Coulter",G1093&lt;'00_Control'!$B$7),"",--(AF1093&lt;10))</f>
        <v/>
      </c>
      <c r="AI1093" s="35">
        <f>IF(AND(C1093="Grayson Coulter",G1093&gt;='00_Control'!$B$7),"YES","NO")</f>
        <v/>
      </c>
      <c r="AJ1093" s="33" t="inlineStr">
        <is>
          <t>OK</t>
        </is>
      </c>
    </row>
    <row r="1094">
      <c r="A1094" s="33" t="inlineStr">
        <is>
          <t>SM001090</t>
        </is>
      </c>
      <c r="B1094" s="33" t="inlineStr">
        <is>
          <t>SW001</t>
        </is>
      </c>
      <c r="C1094" s="33" t="inlineStr">
        <is>
          <t>Grayson Coulter</t>
        </is>
      </c>
      <c r="D1094" s="33" t="inlineStr">
        <is>
          <t>SwimCloud</t>
        </is>
      </c>
      <c r="E1094" s="33" t="inlineStr">
        <is>
          <t>3651023</t>
        </is>
      </c>
      <c r="F1094" s="33" t="inlineStr">
        <is>
          <t>166763008</t>
        </is>
      </c>
      <c r="G1094" s="51" t="n">
        <v>46009</v>
      </c>
      <c r="H1094" s="33" t="inlineStr">
        <is>
          <t>Queensland Championships</t>
        </is>
      </c>
      <c r="I1094" s="33" t="inlineStr">
        <is>
          <t>367863</t>
        </is>
      </c>
      <c r="J1094" s="33" t="inlineStr"/>
      <c r="K1094" s="33" t="inlineStr">
        <is>
          <t>PRE</t>
        </is>
      </c>
      <c r="L1094" s="35">
        <f>IF(K1094="FIN",3,IF(OR(K1094="SEM",K1094="SEMI"),2,IF(OR(K1094="PRE",K1094="HEAT"),1,IF(V1094="YES",4,2))))</f>
        <v/>
      </c>
      <c r="M1094" s="33" t="inlineStr">
        <is>
          <t>LCM</t>
        </is>
      </c>
      <c r="N1094" s="33" t="n">
        <v>200</v>
      </c>
      <c r="O1094" s="33" t="inlineStr">
        <is>
          <t>Free</t>
        </is>
      </c>
      <c r="P1094" s="33" t="inlineStr">
        <is>
          <t>200 Free</t>
        </is>
      </c>
      <c r="Q1094" s="33" t="inlineStr">
        <is>
          <t>LCM_200_FREE</t>
        </is>
      </c>
      <c r="R1094" s="36" t="n">
        <v>116.42</v>
      </c>
      <c r="S1094" s="35">
        <f>IF(R1094="","",IF(R1094&gt;=60,INT(R1094/60)&amp;":"&amp;TEXT(MOD(R1094,60),"00.00"),TEXT(R1094,"0.00")))</f>
        <v/>
      </c>
      <c r="T1094" s="52">
        <f>IFERROR((G1094-INDEX('01_Swimmers'!$E$5:$E$22,MATCH(B1094,'01_Swimmers'!$A$5:$A$22,0)))/'00_Control'!$B$10,"")</f>
        <v/>
      </c>
      <c r="U1094" s="35">
        <f>IF(T1094="","",INT(T1094))</f>
        <v/>
      </c>
      <c r="V1094" s="33" t="inlineStr">
        <is>
          <t>NO</t>
        </is>
      </c>
      <c r="W1094" s="33" t="inlineStr">
        <is>
          <t>YES</t>
        </is>
      </c>
      <c r="X1094" s="33" t="inlineStr">
        <is>
          <t>NO</t>
        </is>
      </c>
      <c r="Y1094" s="33" t="n">
        <v>1</v>
      </c>
      <c r="Z1094" s="33" t="n">
        <v>4</v>
      </c>
      <c r="AA1094" s="33" t="inlineStr">
        <is>
          <t>1</t>
        </is>
      </c>
      <c r="AB1094" s="33" t="inlineStr">
        <is>
          <t>https://www.swimcloud.com/results/367863/event/193/?id=166763008#time166763008</t>
        </is>
      </c>
      <c r="AC1094" s="33" t="inlineStr">
        <is>
          <t>SwimCloud API v6 2026-10-08</t>
        </is>
      </c>
      <c r="AD1094" s="33" t="inlineStr">
        <is>
          <t>Grayson Coulter|2025-12-18|LCM|200|Free|116.42|Queensland Championships|PRE|False</t>
        </is>
      </c>
      <c r="AE1094" s="53">
        <f>G1094+L1094/1000+ROW()/1000000000</f>
        <v/>
      </c>
      <c r="AF1094" s="35">
        <f>IF(C1094&lt;&gt;"Grayson Coulter","",COUNTIFS($C$5:$C$2991,"Grayson Coulter",$Q$5:$Q$2991,Q1094,$AE$5:$AE$2991,"&lt;="&amp;AE1094,$R$5:$R$2991,"&lt;"&amp;R1094))</f>
        <v/>
      </c>
      <c r="AG1094" s="35">
        <f>IF(OR(C1094&lt;&gt;"Grayson Coulter",G1094&lt;'00_Control'!$B$7),"",--(AF1094&lt;5))</f>
        <v/>
      </c>
      <c r="AH1094" s="35">
        <f>IF(OR(C1094&lt;&gt;"Grayson Coulter",G1094&lt;'00_Control'!$B$7),"",--(AF1094&lt;10))</f>
        <v/>
      </c>
      <c r="AI1094" s="35">
        <f>IF(AND(C1094="Grayson Coulter",G1094&gt;='00_Control'!$B$7),"YES","NO")</f>
        <v/>
      </c>
      <c r="AJ1094" s="33" t="inlineStr">
        <is>
          <t>OK</t>
        </is>
      </c>
    </row>
    <row r="1095">
      <c r="A1095" s="33" t="inlineStr">
        <is>
          <t>SM001091</t>
        </is>
      </c>
      <c r="B1095" s="33" t="inlineStr">
        <is>
          <t>SW001</t>
        </is>
      </c>
      <c r="C1095" s="33" t="inlineStr">
        <is>
          <t>Grayson Coulter</t>
        </is>
      </c>
      <c r="D1095" s="33" t="inlineStr">
        <is>
          <t>SwimCloud</t>
        </is>
      </c>
      <c r="E1095" s="33" t="inlineStr">
        <is>
          <t>3651023</t>
        </is>
      </c>
      <c r="F1095" s="33" t="inlineStr">
        <is>
          <t>166763009</t>
        </is>
      </c>
      <c r="G1095" s="51" t="n">
        <v>46009</v>
      </c>
      <c r="H1095" s="33" t="inlineStr">
        <is>
          <t>Queensland Championships</t>
        </is>
      </c>
      <c r="I1095" s="33" t="inlineStr">
        <is>
          <t>367863</t>
        </is>
      </c>
      <c r="J1095" s="33" t="inlineStr"/>
      <c r="K1095" s="33" t="inlineStr">
        <is>
          <t>FIN</t>
        </is>
      </c>
      <c r="L1095" s="35">
        <f>IF(K1095="FIN",3,IF(OR(K1095="SEM",K1095="SEMI"),2,IF(OR(K1095="PRE",K1095="HEAT"),1,IF(V1095="YES",4,2))))</f>
        <v/>
      </c>
      <c r="M1095" s="33" t="inlineStr">
        <is>
          <t>LCM</t>
        </is>
      </c>
      <c r="N1095" s="33" t="n">
        <v>200</v>
      </c>
      <c r="O1095" s="33" t="inlineStr">
        <is>
          <t>Free</t>
        </is>
      </c>
      <c r="P1095" s="33" t="inlineStr">
        <is>
          <t>200 Free</t>
        </is>
      </c>
      <c r="Q1095" s="33" t="inlineStr">
        <is>
          <t>LCM_200_FREE</t>
        </is>
      </c>
      <c r="R1095" s="36" t="n">
        <v>112.13</v>
      </c>
      <c r="S1095" s="35">
        <f>IF(R1095="","",IF(R1095&gt;=60,INT(R1095/60)&amp;":"&amp;TEXT(MOD(R1095,60),"00.00"),TEXT(R1095,"0.00")))</f>
        <v/>
      </c>
      <c r="T1095" s="52">
        <f>IFERROR((G1095-INDEX('01_Swimmers'!$E$5:$E$22,MATCH(B1095,'01_Swimmers'!$A$5:$A$22,0)))/'00_Control'!$B$10,"")</f>
        <v/>
      </c>
      <c r="U1095" s="35">
        <f>IF(T1095="","",INT(T1095))</f>
        <v/>
      </c>
      <c r="V1095" s="33" t="inlineStr">
        <is>
          <t>NO</t>
        </is>
      </c>
      <c r="W1095" s="33" t="inlineStr">
        <is>
          <t>YES</t>
        </is>
      </c>
      <c r="X1095" s="33" t="inlineStr">
        <is>
          <t>NO</t>
        </is>
      </c>
      <c r="Y1095" s="33" t="n">
        <v>1</v>
      </c>
      <c r="Z1095" s="33" t="n">
        <v>4</v>
      </c>
      <c r="AA1095" s="33" t="inlineStr">
        <is>
          <t>1</t>
        </is>
      </c>
      <c r="AB1095" s="33" t="inlineStr">
        <is>
          <t>https://www.swimcloud.com/results/367863/event/193/?id=166763009#time166763009</t>
        </is>
      </c>
      <c r="AC1095" s="33" t="inlineStr">
        <is>
          <t>SwimCloud API v6 2026-10-08</t>
        </is>
      </c>
      <c r="AD1095" s="33" t="inlineStr">
        <is>
          <t>Grayson Coulter|2025-12-18|LCM|200|Free|112.13|Queensland Championships|FIN|False</t>
        </is>
      </c>
      <c r="AE1095" s="53">
        <f>G1095+L1095/1000+ROW()/1000000000</f>
        <v/>
      </c>
      <c r="AF1095" s="35">
        <f>IF(C1095&lt;&gt;"Grayson Coulter","",COUNTIFS($C$5:$C$2991,"Grayson Coulter",$Q$5:$Q$2991,Q1095,$AE$5:$AE$2991,"&lt;="&amp;AE1095,$R$5:$R$2991,"&lt;"&amp;R1095))</f>
        <v/>
      </c>
      <c r="AG1095" s="35">
        <f>IF(OR(C1095&lt;&gt;"Grayson Coulter",G1095&lt;'00_Control'!$B$7),"",--(AF1095&lt;5))</f>
        <v/>
      </c>
      <c r="AH1095" s="35">
        <f>IF(OR(C1095&lt;&gt;"Grayson Coulter",G1095&lt;'00_Control'!$B$7),"",--(AF1095&lt;10))</f>
        <v/>
      </c>
      <c r="AI1095" s="35">
        <f>IF(AND(C1095="Grayson Coulter",G1095&gt;='00_Control'!$B$7),"YES","NO")</f>
        <v/>
      </c>
      <c r="AJ1095" s="33" t="inlineStr">
        <is>
          <t>OK</t>
        </is>
      </c>
    </row>
    <row r="1096">
      <c r="A1096" s="33" t="inlineStr">
        <is>
          <t>SM001092</t>
        </is>
      </c>
      <c r="B1096" s="33" t="inlineStr">
        <is>
          <t>SW001</t>
        </is>
      </c>
      <c r="C1096" s="33" t="inlineStr">
        <is>
          <t>Grayson Coulter</t>
        </is>
      </c>
      <c r="D1096" s="33" t="inlineStr">
        <is>
          <t>SwimCloud</t>
        </is>
      </c>
      <c r="E1096" s="33" t="inlineStr">
        <is>
          <t>3651023</t>
        </is>
      </c>
      <c r="F1096" s="33" t="inlineStr">
        <is>
          <t>169785053</t>
        </is>
      </c>
      <c r="G1096" s="51" t="n">
        <v>46052</v>
      </c>
      <c r="H1096" s="33" t="inlineStr">
        <is>
          <t>Anthony Mosse Classic</t>
        </is>
      </c>
      <c r="I1096" s="33" t="inlineStr">
        <is>
          <t>376629</t>
        </is>
      </c>
      <c r="J1096" s="33" t="inlineStr"/>
      <c r="K1096" s="33" t="inlineStr">
        <is>
          <t>PRE</t>
        </is>
      </c>
      <c r="L1096" s="35">
        <f>IF(K1096="FIN",3,IF(OR(K1096="SEM",K1096="SEMI"),2,IF(OR(K1096="PRE",K1096="HEAT"),1,IF(V1096="YES",4,2))))</f>
        <v/>
      </c>
      <c r="M1096" s="33" t="inlineStr">
        <is>
          <t>SCM</t>
        </is>
      </c>
      <c r="N1096" s="33" t="n">
        <v>200</v>
      </c>
      <c r="O1096" s="33" t="inlineStr">
        <is>
          <t>Free</t>
        </is>
      </c>
      <c r="P1096" s="33" t="inlineStr">
        <is>
          <t>200 Free</t>
        </is>
      </c>
      <c r="Q1096" s="33" t="inlineStr">
        <is>
          <t>SCM_200_FREE</t>
        </is>
      </c>
      <c r="R1096" s="36" t="n">
        <v>111.83</v>
      </c>
      <c r="S1096" s="35">
        <f>IF(R1096="","",IF(R1096&gt;=60,INT(R1096/60)&amp;":"&amp;TEXT(MOD(R1096,60),"00.00"),TEXT(R1096,"0.00")))</f>
        <v/>
      </c>
      <c r="T1096" s="52">
        <f>IFERROR((G1096-INDEX('01_Swimmers'!$E$5:$E$22,MATCH(B1096,'01_Swimmers'!$A$5:$A$22,0)))/'00_Control'!$B$10,"")</f>
        <v/>
      </c>
      <c r="U1096" s="35">
        <f>IF(T1096="","",INT(T1096))</f>
        <v/>
      </c>
      <c r="V1096" s="33" t="inlineStr">
        <is>
          <t>NO</t>
        </is>
      </c>
      <c r="W1096" s="33" t="inlineStr">
        <is>
          <t>YES</t>
        </is>
      </c>
      <c r="X1096" s="33" t="inlineStr">
        <is>
          <t>NO</t>
        </is>
      </c>
      <c r="Y1096" s="33" t="n">
        <v>9</v>
      </c>
      <c r="Z1096" s="33" t="n">
        <v>3</v>
      </c>
      <c r="AA1096" s="33" t="inlineStr">
        <is>
          <t>5</t>
        </is>
      </c>
      <c r="AB1096" s="33" t="inlineStr">
        <is>
          <t>https://www.swimcloud.com/results/376629/event/1/?id=169785053#time169785053</t>
        </is>
      </c>
      <c r="AC1096" s="33" t="inlineStr">
        <is>
          <t>SwimCloud API v6 2026-10-08</t>
        </is>
      </c>
      <c r="AD1096" s="33" t="inlineStr">
        <is>
          <t>Grayson Coulter|2026-01-30|SCM|200|Free|111.83|Anthony Mosse Classic|PRE|False</t>
        </is>
      </c>
      <c r="AE1096" s="53">
        <f>G1096+L1096/1000+ROW()/1000000000</f>
        <v/>
      </c>
      <c r="AF1096" s="35">
        <f>IF(C1096&lt;&gt;"Grayson Coulter","",COUNTIFS($C$5:$C$2991,"Grayson Coulter",$Q$5:$Q$2991,Q1096,$AE$5:$AE$2991,"&lt;="&amp;AE1096,$R$5:$R$2991,"&lt;"&amp;R1096))</f>
        <v/>
      </c>
      <c r="AG1096" s="35">
        <f>IF(OR(C1096&lt;&gt;"Grayson Coulter",G1096&lt;'00_Control'!$B$7),"",--(AF1096&lt;5))</f>
        <v/>
      </c>
      <c r="AH1096" s="35">
        <f>IF(OR(C1096&lt;&gt;"Grayson Coulter",G1096&lt;'00_Control'!$B$7),"",--(AF1096&lt;10))</f>
        <v/>
      </c>
      <c r="AI1096" s="35">
        <f>IF(AND(C1096="Grayson Coulter",G1096&gt;='00_Control'!$B$7),"YES","NO")</f>
        <v/>
      </c>
      <c r="AJ1096" s="33" t="inlineStr">
        <is>
          <t>OK</t>
        </is>
      </c>
    </row>
    <row r="1097">
      <c r="A1097" s="33" t="inlineStr">
        <is>
          <t>SM001093</t>
        </is>
      </c>
      <c r="B1097" s="33" t="inlineStr">
        <is>
          <t>SW001</t>
        </is>
      </c>
      <c r="C1097" s="33" t="inlineStr">
        <is>
          <t>Grayson Coulter</t>
        </is>
      </c>
      <c r="D1097" s="33" t="inlineStr">
        <is>
          <t>SwimCloud</t>
        </is>
      </c>
      <c r="E1097" s="33" t="inlineStr">
        <is>
          <t>3651023</t>
        </is>
      </c>
      <c r="F1097" s="33" t="inlineStr">
        <is>
          <t>169785054</t>
        </is>
      </c>
      <c r="G1097" s="51" t="n">
        <v>46052</v>
      </c>
      <c r="H1097" s="33" t="inlineStr">
        <is>
          <t>Anthony Mosse Classic</t>
        </is>
      </c>
      <c r="I1097" s="33" t="inlineStr">
        <is>
          <t>376629</t>
        </is>
      </c>
      <c r="J1097" s="33" t="inlineStr"/>
      <c r="K1097" s="33" t="inlineStr">
        <is>
          <t>FIN</t>
        </is>
      </c>
      <c r="L1097" s="35">
        <f>IF(K1097="FIN",3,IF(OR(K1097="SEM",K1097="SEMI"),2,IF(OR(K1097="PRE",K1097="HEAT"),1,IF(V1097="YES",4,2))))</f>
        <v/>
      </c>
      <c r="M1097" s="33" t="inlineStr">
        <is>
          <t>SCM</t>
        </is>
      </c>
      <c r="N1097" s="33" t="n">
        <v>200</v>
      </c>
      <c r="O1097" s="33" t="inlineStr">
        <is>
          <t>Free</t>
        </is>
      </c>
      <c r="P1097" s="33" t="inlineStr">
        <is>
          <t>200 Free</t>
        </is>
      </c>
      <c r="Q1097" s="33" t="inlineStr">
        <is>
          <t>SCM_200_FREE</t>
        </is>
      </c>
      <c r="R1097" s="36" t="n">
        <v>110.14</v>
      </c>
      <c r="S1097" s="35">
        <f>IF(R1097="","",IF(R1097&gt;=60,INT(R1097/60)&amp;":"&amp;TEXT(MOD(R1097,60),"00.00"),TEXT(R1097,"0.00")))</f>
        <v/>
      </c>
      <c r="T1097" s="52">
        <f>IFERROR((G1097-INDEX('01_Swimmers'!$E$5:$E$22,MATCH(B1097,'01_Swimmers'!$A$5:$A$22,0)))/'00_Control'!$B$10,"")</f>
        <v/>
      </c>
      <c r="U1097" s="35">
        <f>IF(T1097="","",INT(T1097))</f>
        <v/>
      </c>
      <c r="V1097" s="33" t="inlineStr">
        <is>
          <t>NO</t>
        </is>
      </c>
      <c r="W1097" s="33" t="inlineStr">
        <is>
          <t>YES</t>
        </is>
      </c>
      <c r="X1097" s="33" t="inlineStr">
        <is>
          <t>NO</t>
        </is>
      </c>
      <c r="Y1097" s="33" t="n">
        <v>4</v>
      </c>
      <c r="Z1097" s="33" t="n">
        <v>2</v>
      </c>
      <c r="AA1097" s="33" t="inlineStr">
        <is>
          <t>3</t>
        </is>
      </c>
      <c r="AB1097" s="33" t="inlineStr">
        <is>
          <t>https://www.swimcloud.com/results/376629/event/1/?id=169785054#time169785054</t>
        </is>
      </c>
      <c r="AC1097" s="33" t="inlineStr">
        <is>
          <t>SwimCloud API v6 2026-10-08</t>
        </is>
      </c>
      <c r="AD1097" s="33" t="inlineStr">
        <is>
          <t>Grayson Coulter|2026-01-30|SCM|200|Free|110.14|Anthony Mosse Classic|FIN|False</t>
        </is>
      </c>
      <c r="AE1097" s="53">
        <f>G1097+L1097/1000+ROW()/1000000000</f>
        <v/>
      </c>
      <c r="AF1097" s="35">
        <f>IF(C1097&lt;&gt;"Grayson Coulter","",COUNTIFS($C$5:$C$2991,"Grayson Coulter",$Q$5:$Q$2991,Q1097,$AE$5:$AE$2991,"&lt;="&amp;AE1097,$R$5:$R$2991,"&lt;"&amp;R1097))</f>
        <v/>
      </c>
      <c r="AG1097" s="35">
        <f>IF(OR(C1097&lt;&gt;"Grayson Coulter",G1097&lt;'00_Control'!$B$7),"",--(AF1097&lt;5))</f>
        <v/>
      </c>
      <c r="AH1097" s="35">
        <f>IF(OR(C1097&lt;&gt;"Grayson Coulter",G1097&lt;'00_Control'!$B$7),"",--(AF1097&lt;10))</f>
        <v/>
      </c>
      <c r="AI1097" s="35">
        <f>IF(AND(C1097="Grayson Coulter",G1097&gt;='00_Control'!$B$7),"YES","NO")</f>
        <v/>
      </c>
      <c r="AJ1097" s="33" t="inlineStr">
        <is>
          <t>OK</t>
        </is>
      </c>
    </row>
    <row r="1098">
      <c r="A1098" s="33" t="inlineStr">
        <is>
          <t>SM001094</t>
        </is>
      </c>
      <c r="B1098" s="33" t="inlineStr">
        <is>
          <t>SW001</t>
        </is>
      </c>
      <c r="C1098" s="33" t="inlineStr">
        <is>
          <t>Grayson Coulter</t>
        </is>
      </c>
      <c r="D1098" s="33" t="inlineStr">
        <is>
          <t>SwimCloud</t>
        </is>
      </c>
      <c r="E1098" s="33" t="inlineStr">
        <is>
          <t>3651023</t>
        </is>
      </c>
      <c r="F1098" s="33" t="inlineStr">
        <is>
          <t>169785113</t>
        </is>
      </c>
      <c r="G1098" s="51" t="n">
        <v>46053</v>
      </c>
      <c r="H1098" s="33" t="inlineStr">
        <is>
          <t>Anthony Mosse Classic</t>
        </is>
      </c>
      <c r="I1098" s="33" t="inlineStr">
        <is>
          <t>376629</t>
        </is>
      </c>
      <c r="J1098" s="33" t="inlineStr"/>
      <c r="K1098" s="33" t="inlineStr">
        <is>
          <t>PRE</t>
        </is>
      </c>
      <c r="L1098" s="35">
        <f>IF(K1098="FIN",3,IF(OR(K1098="SEM",K1098="SEMI"),2,IF(OR(K1098="PRE",K1098="HEAT"),1,IF(V1098="YES",4,2))))</f>
        <v/>
      </c>
      <c r="M1098" s="33" t="inlineStr">
        <is>
          <t>SCM</t>
        </is>
      </c>
      <c r="N1098" s="33" t="n">
        <v>100</v>
      </c>
      <c r="O1098" s="33" t="inlineStr">
        <is>
          <t>Free</t>
        </is>
      </c>
      <c r="P1098" s="33" t="inlineStr">
        <is>
          <t>100 Free</t>
        </is>
      </c>
      <c r="Q1098" s="33" t="inlineStr">
        <is>
          <t>SCM_100_FREE</t>
        </is>
      </c>
      <c r="R1098" s="36" t="n">
        <v>51.33</v>
      </c>
      <c r="S1098" s="35">
        <f>IF(R1098="","",IF(R1098&gt;=60,INT(R1098/60)&amp;":"&amp;TEXT(MOD(R1098,60),"00.00"),TEXT(R1098,"0.00")))</f>
        <v/>
      </c>
      <c r="T1098" s="52">
        <f>IFERROR((G1098-INDEX('01_Swimmers'!$E$5:$E$22,MATCH(B1098,'01_Swimmers'!$A$5:$A$22,0)))/'00_Control'!$B$10,"")</f>
        <v/>
      </c>
      <c r="U1098" s="35">
        <f>IF(T1098="","",INT(T1098))</f>
        <v/>
      </c>
      <c r="V1098" s="33" t="inlineStr">
        <is>
          <t>NO</t>
        </is>
      </c>
      <c r="W1098" s="33" t="inlineStr">
        <is>
          <t>YES</t>
        </is>
      </c>
      <c r="X1098" s="33" t="inlineStr">
        <is>
          <t>NO</t>
        </is>
      </c>
      <c r="Y1098" s="33" t="n">
        <v>16</v>
      </c>
      <c r="Z1098" s="33" t="n">
        <v>3</v>
      </c>
      <c r="AA1098" s="33" t="inlineStr">
        <is>
          <t>8</t>
        </is>
      </c>
      <c r="AB1098" s="33" t="inlineStr">
        <is>
          <t>https://www.swimcloud.com/results/376629/event/13/?id=169785113#time169785113</t>
        </is>
      </c>
      <c r="AC1098" s="33" t="inlineStr">
        <is>
          <t>SwimCloud API v6 2026-10-08</t>
        </is>
      </c>
      <c r="AD1098" s="33" t="inlineStr">
        <is>
          <t>Grayson Coulter|2026-01-31|SCM|100|Free|51.33|Anthony Mosse Classic|PRE|False</t>
        </is>
      </c>
      <c r="AE1098" s="53">
        <f>G1098+L1098/1000+ROW()/1000000000</f>
        <v/>
      </c>
      <c r="AF1098" s="35">
        <f>IF(C1098&lt;&gt;"Grayson Coulter","",COUNTIFS($C$5:$C$2991,"Grayson Coulter",$Q$5:$Q$2991,Q1098,$AE$5:$AE$2991,"&lt;="&amp;AE1098,$R$5:$R$2991,"&lt;"&amp;R1098))</f>
        <v/>
      </c>
      <c r="AG1098" s="35">
        <f>IF(OR(C1098&lt;&gt;"Grayson Coulter",G1098&lt;'00_Control'!$B$7),"",--(AF1098&lt;5))</f>
        <v/>
      </c>
      <c r="AH1098" s="35">
        <f>IF(OR(C1098&lt;&gt;"Grayson Coulter",G1098&lt;'00_Control'!$B$7),"",--(AF1098&lt;10))</f>
        <v/>
      </c>
      <c r="AI1098" s="35">
        <f>IF(AND(C1098="Grayson Coulter",G1098&gt;='00_Control'!$B$7),"YES","NO")</f>
        <v/>
      </c>
      <c r="AJ1098" s="33" t="inlineStr">
        <is>
          <t>OK</t>
        </is>
      </c>
    </row>
    <row r="1099">
      <c r="A1099" s="33" t="inlineStr">
        <is>
          <t>SM001095</t>
        </is>
      </c>
      <c r="B1099" s="33" t="inlineStr">
        <is>
          <t>SW001</t>
        </is>
      </c>
      <c r="C1099" s="33" t="inlineStr">
        <is>
          <t>Grayson Coulter</t>
        </is>
      </c>
      <c r="D1099" s="33" t="inlineStr">
        <is>
          <t>SwimCloud</t>
        </is>
      </c>
      <c r="E1099" s="33" t="inlineStr">
        <is>
          <t>3651023</t>
        </is>
      </c>
      <c r="F1099" s="33" t="inlineStr">
        <is>
          <t>169785114</t>
        </is>
      </c>
      <c r="G1099" s="51" t="n">
        <v>46053</v>
      </c>
      <c r="H1099" s="33" t="inlineStr">
        <is>
          <t>Anthony Mosse Classic</t>
        </is>
      </c>
      <c r="I1099" s="33" t="inlineStr">
        <is>
          <t>376629</t>
        </is>
      </c>
      <c r="J1099" s="33" t="inlineStr"/>
      <c r="K1099" s="33" t="inlineStr">
        <is>
          <t>FIN</t>
        </is>
      </c>
      <c r="L1099" s="35">
        <f>IF(K1099="FIN",3,IF(OR(K1099="SEM",K1099="SEMI"),2,IF(OR(K1099="PRE",K1099="HEAT"),1,IF(V1099="YES",4,2))))</f>
        <v/>
      </c>
      <c r="M1099" s="33" t="inlineStr">
        <is>
          <t>SCM</t>
        </is>
      </c>
      <c r="N1099" s="33" t="n">
        <v>100</v>
      </c>
      <c r="O1099" s="33" t="inlineStr">
        <is>
          <t>Free</t>
        </is>
      </c>
      <c r="P1099" s="33" t="inlineStr">
        <is>
          <t>100 Free</t>
        </is>
      </c>
      <c r="Q1099" s="33" t="inlineStr">
        <is>
          <t>SCM_100_FREE</t>
        </is>
      </c>
      <c r="R1099" s="36" t="n">
        <v>51.29</v>
      </c>
      <c r="S1099" s="35">
        <f>IF(R1099="","",IF(R1099&gt;=60,INT(R1099/60)&amp;":"&amp;TEXT(MOD(R1099,60),"00.00"),TEXT(R1099,"0.00")))</f>
        <v/>
      </c>
      <c r="T1099" s="52">
        <f>IFERROR((G1099-INDEX('01_Swimmers'!$E$5:$E$22,MATCH(B1099,'01_Swimmers'!$A$5:$A$22,0)))/'00_Control'!$B$10,"")</f>
        <v/>
      </c>
      <c r="U1099" s="35">
        <f>IF(T1099="","",INT(T1099))</f>
        <v/>
      </c>
      <c r="V1099" s="33" t="inlineStr">
        <is>
          <t>NO</t>
        </is>
      </c>
      <c r="W1099" s="33" t="inlineStr">
        <is>
          <t>YES</t>
        </is>
      </c>
      <c r="X1099" s="33" t="inlineStr">
        <is>
          <t>NO</t>
        </is>
      </c>
      <c r="Y1099" s="33" t="n">
        <v>4</v>
      </c>
      <c r="Z1099" s="33" t="n">
        <v>8</v>
      </c>
      <c r="AA1099" s="33" t="inlineStr">
        <is>
          <t>7</t>
        </is>
      </c>
      <c r="AB1099" s="33" t="inlineStr">
        <is>
          <t>https://www.swimcloud.com/results/376629/event/13/?id=169785114#time169785114</t>
        </is>
      </c>
      <c r="AC1099" s="33" t="inlineStr">
        <is>
          <t>SwimCloud API v6 2026-10-08</t>
        </is>
      </c>
      <c r="AD1099" s="33" t="inlineStr">
        <is>
          <t>Grayson Coulter|2026-01-31|SCM|100|Free|51.29|Anthony Mosse Classic|FIN|False</t>
        </is>
      </c>
      <c r="AE1099" s="53">
        <f>G1099+L1099/1000+ROW()/1000000000</f>
        <v/>
      </c>
      <c r="AF1099" s="35">
        <f>IF(C1099&lt;&gt;"Grayson Coulter","",COUNTIFS($C$5:$C$2991,"Grayson Coulter",$Q$5:$Q$2991,Q1099,$AE$5:$AE$2991,"&lt;="&amp;AE1099,$R$5:$R$2991,"&lt;"&amp;R1099))</f>
        <v/>
      </c>
      <c r="AG1099" s="35">
        <f>IF(OR(C1099&lt;&gt;"Grayson Coulter",G1099&lt;'00_Control'!$B$7),"",--(AF1099&lt;5))</f>
        <v/>
      </c>
      <c r="AH1099" s="35">
        <f>IF(OR(C1099&lt;&gt;"Grayson Coulter",G1099&lt;'00_Control'!$B$7),"",--(AF1099&lt;10))</f>
        <v/>
      </c>
      <c r="AI1099" s="35">
        <f>IF(AND(C1099="Grayson Coulter",G1099&gt;='00_Control'!$B$7),"YES","NO")</f>
        <v/>
      </c>
      <c r="AJ1099" s="33" t="inlineStr">
        <is>
          <t>OK</t>
        </is>
      </c>
    </row>
    <row r="1100">
      <c r="A1100" s="33" t="inlineStr">
        <is>
          <t>SM001096</t>
        </is>
      </c>
      <c r="B1100" s="33" t="inlineStr">
        <is>
          <t>SW001</t>
        </is>
      </c>
      <c r="C1100" s="33" t="inlineStr">
        <is>
          <t>Grayson Coulter</t>
        </is>
      </c>
      <c r="D1100" s="33" t="inlineStr">
        <is>
          <t>SwimCloud</t>
        </is>
      </c>
      <c r="E1100" s="33" t="inlineStr">
        <is>
          <t>3651023</t>
        </is>
      </c>
      <c r="F1100" s="33" t="inlineStr">
        <is>
          <t>175678322</t>
        </is>
      </c>
      <c r="G1100" s="51" t="n">
        <v>46094</v>
      </c>
      <c r="H1100" s="33" t="inlineStr">
        <is>
          <t>ASA Age Groups &amp; Open Championships</t>
        </is>
      </c>
      <c r="I1100" s="33" t="inlineStr">
        <is>
          <t>372749</t>
        </is>
      </c>
      <c r="J1100" s="33" t="inlineStr"/>
      <c r="K1100" s="33" t="inlineStr">
        <is>
          <t>PRE</t>
        </is>
      </c>
      <c r="L1100" s="35">
        <f>IF(K1100="FIN",3,IF(OR(K1100="SEM",K1100="SEMI"),2,IF(OR(K1100="PRE",K1100="HEAT"),1,IF(V1100="YES",4,2))))</f>
        <v/>
      </c>
      <c r="M1100" s="33" t="inlineStr">
        <is>
          <t>LCM</t>
        </is>
      </c>
      <c r="N1100" s="33" t="n">
        <v>200</v>
      </c>
      <c r="O1100" s="33" t="inlineStr">
        <is>
          <t>Free</t>
        </is>
      </c>
      <c r="P1100" s="33" t="inlineStr">
        <is>
          <t>200 Free</t>
        </is>
      </c>
      <c r="Q1100" s="33" t="inlineStr">
        <is>
          <t>LCM_200_FREE</t>
        </is>
      </c>
      <c r="R1100" s="36" t="n">
        <v>114.62</v>
      </c>
      <c r="S1100" s="35">
        <f>IF(R1100="","",IF(R1100&gt;=60,INT(R1100/60)&amp;":"&amp;TEXT(MOD(R1100,60),"00.00"),TEXT(R1100,"0.00")))</f>
        <v/>
      </c>
      <c r="T1100" s="52">
        <f>IFERROR((G1100-INDEX('01_Swimmers'!$E$5:$E$22,MATCH(B1100,'01_Swimmers'!$A$5:$A$22,0)))/'00_Control'!$B$10,"")</f>
        <v/>
      </c>
      <c r="U1100" s="35">
        <f>IF(T1100="","",INT(T1100))</f>
        <v/>
      </c>
      <c r="V1100" s="33" t="inlineStr">
        <is>
          <t>NO</t>
        </is>
      </c>
      <c r="W1100" s="33" t="inlineStr">
        <is>
          <t>YES</t>
        </is>
      </c>
      <c r="X1100" s="33" t="inlineStr">
        <is>
          <t>NO</t>
        </is>
      </c>
      <c r="Y1100" s="33" t="n">
        <v>7</v>
      </c>
      <c r="Z1100" s="33" t="n">
        <v>5</v>
      </c>
      <c r="AA1100" s="33" t="inlineStr">
        <is>
          <t>2</t>
        </is>
      </c>
      <c r="AB1100" s="33" t="inlineStr">
        <is>
          <t>https://www.swimcloud.com/results/372749/event/6/?id=175678322#time175678322</t>
        </is>
      </c>
      <c r="AC1100" s="33" t="inlineStr">
        <is>
          <t>SwimCloud API v6 2026-10-08</t>
        </is>
      </c>
      <c r="AD1100" s="33" t="inlineStr">
        <is>
          <t>Grayson Coulter|2026-03-13|LCM|200|Free|114.62|ASA Age Groups &amp; Open Championships|PRE|False</t>
        </is>
      </c>
      <c r="AE1100" s="53">
        <f>G1100+L1100/1000+ROW()/1000000000</f>
        <v/>
      </c>
      <c r="AF1100" s="35">
        <f>IF(C1100&lt;&gt;"Grayson Coulter","",COUNTIFS($C$5:$C$2991,"Grayson Coulter",$Q$5:$Q$2991,Q1100,$AE$5:$AE$2991,"&lt;="&amp;AE1100,$R$5:$R$2991,"&lt;"&amp;R1100))</f>
        <v/>
      </c>
      <c r="AG1100" s="35">
        <f>IF(OR(C1100&lt;&gt;"Grayson Coulter",G1100&lt;'00_Control'!$B$7),"",--(AF1100&lt;5))</f>
        <v/>
      </c>
      <c r="AH1100" s="35">
        <f>IF(OR(C1100&lt;&gt;"Grayson Coulter",G1100&lt;'00_Control'!$B$7),"",--(AF1100&lt;10))</f>
        <v/>
      </c>
      <c r="AI1100" s="35">
        <f>IF(AND(C1100="Grayson Coulter",G1100&gt;='00_Control'!$B$7),"YES","NO")</f>
        <v/>
      </c>
      <c r="AJ1100" s="33" t="inlineStr">
        <is>
          <t>OK</t>
        </is>
      </c>
    </row>
    <row r="1101">
      <c r="A1101" s="33" t="inlineStr">
        <is>
          <t>SM001097</t>
        </is>
      </c>
      <c r="B1101" s="33" t="inlineStr">
        <is>
          <t>SW001</t>
        </is>
      </c>
      <c r="C1101" s="33" t="inlineStr">
        <is>
          <t>Grayson Coulter</t>
        </is>
      </c>
      <c r="D1101" s="33" t="inlineStr">
        <is>
          <t>SwimCloud</t>
        </is>
      </c>
      <c r="E1101" s="33" t="inlineStr">
        <is>
          <t>3651023</t>
        </is>
      </c>
      <c r="F1101" s="33" t="inlineStr">
        <is>
          <t>175678323</t>
        </is>
      </c>
      <c r="G1101" s="51" t="n">
        <v>46094</v>
      </c>
      <c r="H1101" s="33" t="inlineStr">
        <is>
          <t>ASA Age Groups &amp; Open Championships</t>
        </is>
      </c>
      <c r="I1101" s="33" t="inlineStr">
        <is>
          <t>372749</t>
        </is>
      </c>
      <c r="J1101" s="33" t="inlineStr"/>
      <c r="K1101" s="33" t="inlineStr">
        <is>
          <t>FIN</t>
        </is>
      </c>
      <c r="L1101" s="35">
        <f>IF(K1101="FIN",3,IF(OR(K1101="SEM",K1101="SEMI"),2,IF(OR(K1101="PRE",K1101="HEAT"),1,IF(V1101="YES",4,2))))</f>
        <v/>
      </c>
      <c r="M1101" s="33" t="inlineStr">
        <is>
          <t>LCM</t>
        </is>
      </c>
      <c r="N1101" s="33" t="n">
        <v>200</v>
      </c>
      <c r="O1101" s="33" t="inlineStr">
        <is>
          <t>Free</t>
        </is>
      </c>
      <c r="P1101" s="33" t="inlineStr">
        <is>
          <t>200 Free</t>
        </is>
      </c>
      <c r="Q1101" s="33" t="inlineStr">
        <is>
          <t>LCM_200_FREE</t>
        </is>
      </c>
      <c r="R1101" s="36" t="n">
        <v>113.04</v>
      </c>
      <c r="S1101" s="35">
        <f>IF(R1101="","",IF(R1101&gt;=60,INT(R1101/60)&amp;":"&amp;TEXT(MOD(R1101,60),"00.00"),TEXT(R1101,"0.00")))</f>
        <v/>
      </c>
      <c r="T1101" s="52">
        <f>IFERROR((G1101-INDEX('01_Swimmers'!$E$5:$E$22,MATCH(B1101,'01_Swimmers'!$A$5:$A$22,0)))/'00_Control'!$B$10,"")</f>
        <v/>
      </c>
      <c r="U1101" s="35">
        <f>IF(T1101="","",INT(T1101))</f>
        <v/>
      </c>
      <c r="V1101" s="33" t="inlineStr">
        <is>
          <t>NO</t>
        </is>
      </c>
      <c r="W1101" s="33" t="inlineStr">
        <is>
          <t>YES</t>
        </is>
      </c>
      <c r="X1101" s="33" t="inlineStr">
        <is>
          <t>NO</t>
        </is>
      </c>
      <c r="Y1101" s="33" t="n">
        <v>4</v>
      </c>
      <c r="Z1101" s="33" t="n">
        <v>5</v>
      </c>
      <c r="AA1101" s="33" t="inlineStr">
        <is>
          <t>1</t>
        </is>
      </c>
      <c r="AB1101" s="33" t="inlineStr">
        <is>
          <t>https://www.swimcloud.com/results/372749/event/6/?id=175678323#time175678323</t>
        </is>
      </c>
      <c r="AC1101" s="33" t="inlineStr">
        <is>
          <t>SwimCloud API v6 2026-10-08</t>
        </is>
      </c>
      <c r="AD1101" s="33" t="inlineStr">
        <is>
          <t>Grayson Coulter|2026-03-13|LCM|200|Free|113.04|ASA Age Groups &amp; Open Championships|FIN|False</t>
        </is>
      </c>
      <c r="AE1101" s="53">
        <f>G1101+L1101/1000+ROW()/1000000000</f>
        <v/>
      </c>
      <c r="AF1101" s="35">
        <f>IF(C1101&lt;&gt;"Grayson Coulter","",COUNTIFS($C$5:$C$2991,"Grayson Coulter",$Q$5:$Q$2991,Q1101,$AE$5:$AE$2991,"&lt;="&amp;AE1101,$R$5:$R$2991,"&lt;"&amp;R1101))</f>
        <v/>
      </c>
      <c r="AG1101" s="35">
        <f>IF(OR(C1101&lt;&gt;"Grayson Coulter",G1101&lt;'00_Control'!$B$7),"",--(AF1101&lt;5))</f>
        <v/>
      </c>
      <c r="AH1101" s="35">
        <f>IF(OR(C1101&lt;&gt;"Grayson Coulter",G1101&lt;'00_Control'!$B$7),"",--(AF1101&lt;10))</f>
        <v/>
      </c>
      <c r="AI1101" s="35">
        <f>IF(AND(C1101="Grayson Coulter",G1101&gt;='00_Control'!$B$7),"YES","NO")</f>
        <v/>
      </c>
      <c r="AJ1101" s="33" t="inlineStr">
        <is>
          <t>OK</t>
        </is>
      </c>
    </row>
    <row r="1102">
      <c r="A1102" s="33" t="inlineStr">
        <is>
          <t>SM001098</t>
        </is>
      </c>
      <c r="B1102" s="33" t="inlineStr">
        <is>
          <t>SW001</t>
        </is>
      </c>
      <c r="C1102" s="33" t="inlineStr">
        <is>
          <t>Grayson Coulter</t>
        </is>
      </c>
      <c r="D1102" s="33" t="inlineStr">
        <is>
          <t>SwimCloud</t>
        </is>
      </c>
      <c r="E1102" s="33" t="inlineStr">
        <is>
          <t>3651023</t>
        </is>
      </c>
      <c r="F1102" s="33" t="inlineStr">
        <is>
          <t>175679535</t>
        </is>
      </c>
      <c r="G1102" s="51" t="n">
        <v>46095</v>
      </c>
      <c r="H1102" s="33" t="inlineStr">
        <is>
          <t>ASA Age Groups &amp; Open Championships</t>
        </is>
      </c>
      <c r="I1102" s="33" t="inlineStr">
        <is>
          <t>372749</t>
        </is>
      </c>
      <c r="J1102" s="33" t="inlineStr"/>
      <c r="K1102" s="33" t="inlineStr">
        <is>
          <t>PRE</t>
        </is>
      </c>
      <c r="L1102" s="35">
        <f>IF(K1102="FIN",3,IF(OR(K1102="SEM",K1102="SEMI"),2,IF(OR(K1102="PRE",K1102="HEAT"),1,IF(V1102="YES",4,2))))</f>
        <v/>
      </c>
      <c r="M1102" s="33" t="inlineStr">
        <is>
          <t>LCM</t>
        </is>
      </c>
      <c r="N1102" s="33" t="n">
        <v>100</v>
      </c>
      <c r="O1102" s="33" t="inlineStr">
        <is>
          <t>Fly</t>
        </is>
      </c>
      <c r="P1102" s="33" t="inlineStr">
        <is>
          <t>100 Fly</t>
        </is>
      </c>
      <c r="Q1102" s="33" t="inlineStr">
        <is>
          <t>LCM_100_FLY</t>
        </is>
      </c>
      <c r="R1102" s="36" t="n">
        <v>59.71</v>
      </c>
      <c r="S1102" s="35">
        <f>IF(R1102="","",IF(R1102&gt;=60,INT(R1102/60)&amp;":"&amp;TEXT(MOD(R1102,60),"00.00"),TEXT(R1102,"0.00")))</f>
        <v/>
      </c>
      <c r="T1102" s="52">
        <f>IFERROR((G1102-INDEX('01_Swimmers'!$E$5:$E$22,MATCH(B1102,'01_Swimmers'!$A$5:$A$22,0)))/'00_Control'!$B$10,"")</f>
        <v/>
      </c>
      <c r="U1102" s="35">
        <f>IF(T1102="","",INT(T1102))</f>
        <v/>
      </c>
      <c r="V1102" s="33" t="inlineStr">
        <is>
          <t>NO</t>
        </is>
      </c>
      <c r="W1102" s="33" t="inlineStr">
        <is>
          <t>YES</t>
        </is>
      </c>
      <c r="X1102" s="33" t="inlineStr">
        <is>
          <t>NO</t>
        </is>
      </c>
      <c r="Y1102" s="33" t="n">
        <v>5</v>
      </c>
      <c r="Z1102" s="33" t="n">
        <v>3</v>
      </c>
      <c r="AA1102" s="33" t="inlineStr">
        <is>
          <t>7</t>
        </is>
      </c>
      <c r="AB1102" s="33" t="inlineStr">
        <is>
          <t>https://www.swimcloud.com/results/372749/event/22/?id=175679535#time175679535</t>
        </is>
      </c>
      <c r="AC1102" s="33" t="inlineStr">
        <is>
          <t>SwimCloud API v6 2026-10-08</t>
        </is>
      </c>
      <c r="AD1102" s="33" t="inlineStr">
        <is>
          <t>Grayson Coulter|2026-03-14|LCM|100|Fly|59.71|ASA Age Groups &amp; Open Championships|PRE|False</t>
        </is>
      </c>
      <c r="AE1102" s="53">
        <f>G1102+L1102/1000+ROW()/1000000000</f>
        <v/>
      </c>
      <c r="AF1102" s="35">
        <f>IF(C1102&lt;&gt;"Grayson Coulter","",COUNTIFS($C$5:$C$2991,"Grayson Coulter",$Q$5:$Q$2991,Q1102,$AE$5:$AE$2991,"&lt;="&amp;AE1102,$R$5:$R$2991,"&lt;"&amp;R1102))</f>
        <v/>
      </c>
      <c r="AG1102" s="35">
        <f>IF(OR(C1102&lt;&gt;"Grayson Coulter",G1102&lt;'00_Control'!$B$7),"",--(AF1102&lt;5))</f>
        <v/>
      </c>
      <c r="AH1102" s="35">
        <f>IF(OR(C1102&lt;&gt;"Grayson Coulter",G1102&lt;'00_Control'!$B$7),"",--(AF1102&lt;10))</f>
        <v/>
      </c>
      <c r="AI1102" s="35">
        <f>IF(AND(C1102="Grayson Coulter",G1102&gt;='00_Control'!$B$7),"YES","NO")</f>
        <v/>
      </c>
      <c r="AJ1102" s="33" t="inlineStr">
        <is>
          <t>OK</t>
        </is>
      </c>
    </row>
    <row r="1103">
      <c r="A1103" s="33" t="inlineStr">
        <is>
          <t>SM001099</t>
        </is>
      </c>
      <c r="B1103" s="33" t="inlineStr">
        <is>
          <t>SW001</t>
        </is>
      </c>
      <c r="C1103" s="33" t="inlineStr">
        <is>
          <t>Grayson Coulter</t>
        </is>
      </c>
      <c r="D1103" s="33" t="inlineStr">
        <is>
          <t>SwimCloud</t>
        </is>
      </c>
      <c r="E1103" s="33" t="inlineStr">
        <is>
          <t>3651023</t>
        </is>
      </c>
      <c r="F1103" s="33" t="inlineStr">
        <is>
          <t>175679536</t>
        </is>
      </c>
      <c r="G1103" s="51" t="n">
        <v>46095</v>
      </c>
      <c r="H1103" s="33" t="inlineStr">
        <is>
          <t>ASA Age Groups &amp; Open Championships</t>
        </is>
      </c>
      <c r="I1103" s="33" t="inlineStr">
        <is>
          <t>372749</t>
        </is>
      </c>
      <c r="J1103" s="33" t="inlineStr"/>
      <c r="K1103" s="33" t="inlineStr">
        <is>
          <t>FIN</t>
        </is>
      </c>
      <c r="L1103" s="35">
        <f>IF(K1103="FIN",3,IF(OR(K1103="SEM",K1103="SEMI"),2,IF(OR(K1103="PRE",K1103="HEAT"),1,IF(V1103="YES",4,2))))</f>
        <v/>
      </c>
      <c r="M1103" s="33" t="inlineStr">
        <is>
          <t>LCM</t>
        </is>
      </c>
      <c r="N1103" s="33" t="n">
        <v>100</v>
      </c>
      <c r="O1103" s="33" t="inlineStr">
        <is>
          <t>Fly</t>
        </is>
      </c>
      <c r="P1103" s="33" t="inlineStr">
        <is>
          <t>100 Fly</t>
        </is>
      </c>
      <c r="Q1103" s="33" t="inlineStr">
        <is>
          <t>LCM_100_FLY</t>
        </is>
      </c>
      <c r="R1103" s="36" t="n">
        <v>58.28</v>
      </c>
      <c r="S1103" s="35">
        <f>IF(R1103="","",IF(R1103&gt;=60,INT(R1103/60)&amp;":"&amp;TEXT(MOD(R1103,60),"00.00"),TEXT(R1103,"0.00")))</f>
        <v/>
      </c>
      <c r="T1103" s="52">
        <f>IFERROR((G1103-INDEX('01_Swimmers'!$E$5:$E$22,MATCH(B1103,'01_Swimmers'!$A$5:$A$22,0)))/'00_Control'!$B$10,"")</f>
        <v/>
      </c>
      <c r="U1103" s="35">
        <f>IF(T1103="","",INT(T1103))</f>
        <v/>
      </c>
      <c r="V1103" s="33" t="inlineStr">
        <is>
          <t>NO</t>
        </is>
      </c>
      <c r="W1103" s="33" t="inlineStr">
        <is>
          <t>YES</t>
        </is>
      </c>
      <c r="X1103" s="33" t="inlineStr">
        <is>
          <t>NO</t>
        </is>
      </c>
      <c r="Y1103" s="33" t="n">
        <v>4</v>
      </c>
      <c r="Z1103" s="33" t="n">
        <v>1</v>
      </c>
      <c r="AA1103" s="33" t="inlineStr">
        <is>
          <t>6</t>
        </is>
      </c>
      <c r="AB1103" s="33" t="inlineStr">
        <is>
          <t>https://www.swimcloud.com/results/372749/event/22/?id=175679536#time175679536</t>
        </is>
      </c>
      <c r="AC1103" s="33" t="inlineStr">
        <is>
          <t>SwimCloud API v6 2026-10-08</t>
        </is>
      </c>
      <c r="AD1103" s="33" t="inlineStr">
        <is>
          <t>Grayson Coulter|2026-03-14|LCM|100|Fly|58.28|ASA Age Groups &amp; Open Championships|FIN|False</t>
        </is>
      </c>
      <c r="AE1103" s="53">
        <f>G1103+L1103/1000+ROW()/1000000000</f>
        <v/>
      </c>
      <c r="AF1103" s="35">
        <f>IF(C1103&lt;&gt;"Grayson Coulter","",COUNTIFS($C$5:$C$2991,"Grayson Coulter",$Q$5:$Q$2991,Q1103,$AE$5:$AE$2991,"&lt;="&amp;AE1103,$R$5:$R$2991,"&lt;"&amp;R1103))</f>
        <v/>
      </c>
      <c r="AG1103" s="35">
        <f>IF(OR(C1103&lt;&gt;"Grayson Coulter",G1103&lt;'00_Control'!$B$7),"",--(AF1103&lt;5))</f>
        <v/>
      </c>
      <c r="AH1103" s="35">
        <f>IF(OR(C1103&lt;&gt;"Grayson Coulter",G1103&lt;'00_Control'!$B$7),"",--(AF1103&lt;10))</f>
        <v/>
      </c>
      <c r="AI1103" s="35">
        <f>IF(AND(C1103="Grayson Coulter",G1103&gt;='00_Control'!$B$7),"YES","NO")</f>
        <v/>
      </c>
      <c r="AJ1103" s="33" t="inlineStr">
        <is>
          <t>OK</t>
        </is>
      </c>
    </row>
    <row r="1104">
      <c r="A1104" s="33" t="inlineStr">
        <is>
          <t>SM001100</t>
        </is>
      </c>
      <c r="B1104" s="33" t="inlineStr">
        <is>
          <t>SW001</t>
        </is>
      </c>
      <c r="C1104" s="33" t="inlineStr">
        <is>
          <t>Grayson Coulter</t>
        </is>
      </c>
      <c r="D1104" s="33" t="inlineStr">
        <is>
          <t>SwimCloud</t>
        </is>
      </c>
      <c r="E1104" s="33" t="inlineStr">
        <is>
          <t>3651023</t>
        </is>
      </c>
      <c r="F1104" s="33" t="inlineStr">
        <is>
          <t>175678153</t>
        </is>
      </c>
      <c r="G1104" s="51" t="n">
        <v>46095</v>
      </c>
      <c r="H1104" s="33" t="inlineStr">
        <is>
          <t>ASA Age Groups &amp; Open Championships</t>
        </is>
      </c>
      <c r="I1104" s="33" t="inlineStr">
        <is>
          <t>372749</t>
        </is>
      </c>
      <c r="J1104" s="33" t="inlineStr"/>
      <c r="K1104" s="33" t="inlineStr">
        <is>
          <t>PRE</t>
        </is>
      </c>
      <c r="L1104" s="35">
        <f>IF(K1104="FIN",3,IF(OR(K1104="SEM",K1104="SEMI"),2,IF(OR(K1104="PRE",K1104="HEAT"),1,IF(V1104="YES",4,2))))</f>
        <v/>
      </c>
      <c r="M1104" s="33" t="inlineStr">
        <is>
          <t>LCM</t>
        </is>
      </c>
      <c r="N1104" s="33" t="n">
        <v>100</v>
      </c>
      <c r="O1104" s="33" t="inlineStr">
        <is>
          <t>Free</t>
        </is>
      </c>
      <c r="P1104" s="33" t="inlineStr">
        <is>
          <t>100 Free</t>
        </is>
      </c>
      <c r="Q1104" s="33" t="inlineStr">
        <is>
          <t>LCM_100_FREE</t>
        </is>
      </c>
      <c r="R1104" s="36" t="n">
        <v>53.16</v>
      </c>
      <c r="S1104" s="35">
        <f>IF(R1104="","",IF(R1104&gt;=60,INT(R1104/60)&amp;":"&amp;TEXT(MOD(R1104,60),"00.00"),TEXT(R1104,"0.00")))</f>
        <v/>
      </c>
      <c r="T1104" s="52">
        <f>IFERROR((G1104-INDEX('01_Swimmers'!$E$5:$E$22,MATCH(B1104,'01_Swimmers'!$A$5:$A$22,0)))/'00_Control'!$B$10,"")</f>
        <v/>
      </c>
      <c r="U1104" s="35">
        <f>IF(T1104="","",INT(T1104))</f>
        <v/>
      </c>
      <c r="V1104" s="33" t="inlineStr">
        <is>
          <t>NO</t>
        </is>
      </c>
      <c r="W1104" s="33" t="inlineStr">
        <is>
          <t>YES</t>
        </is>
      </c>
      <c r="X1104" s="33" t="inlineStr">
        <is>
          <t>NO</t>
        </is>
      </c>
      <c r="Y1104" s="33" t="n">
        <v>14</v>
      </c>
      <c r="Z1104" s="33" t="n">
        <v>3</v>
      </c>
      <c r="AA1104" s="33" t="inlineStr">
        <is>
          <t>1</t>
        </is>
      </c>
      <c r="AB1104" s="33" t="inlineStr">
        <is>
          <t>https://www.swimcloud.com/results/372749/event/14/?id=175678153#time175678153</t>
        </is>
      </c>
      <c r="AC1104" s="33" t="inlineStr">
        <is>
          <t>SwimCloud API v6 2026-10-08</t>
        </is>
      </c>
      <c r="AD1104" s="33" t="inlineStr">
        <is>
          <t>Grayson Coulter|2026-03-14|LCM|100|Free|53.16|ASA Age Groups &amp; Open Championships|PRE|False</t>
        </is>
      </c>
      <c r="AE1104" s="53">
        <f>G1104+L1104/1000+ROW()/1000000000</f>
        <v/>
      </c>
      <c r="AF1104" s="35">
        <f>IF(C1104&lt;&gt;"Grayson Coulter","",COUNTIFS($C$5:$C$2991,"Grayson Coulter",$Q$5:$Q$2991,Q1104,$AE$5:$AE$2991,"&lt;="&amp;AE1104,$R$5:$R$2991,"&lt;"&amp;R1104))</f>
        <v/>
      </c>
      <c r="AG1104" s="35">
        <f>IF(OR(C1104&lt;&gt;"Grayson Coulter",G1104&lt;'00_Control'!$B$7),"",--(AF1104&lt;5))</f>
        <v/>
      </c>
      <c r="AH1104" s="35">
        <f>IF(OR(C1104&lt;&gt;"Grayson Coulter",G1104&lt;'00_Control'!$B$7),"",--(AF1104&lt;10))</f>
        <v/>
      </c>
      <c r="AI1104" s="35">
        <f>IF(AND(C1104="Grayson Coulter",G1104&gt;='00_Control'!$B$7),"YES","NO")</f>
        <v/>
      </c>
      <c r="AJ1104" s="33" t="inlineStr">
        <is>
          <t>OK</t>
        </is>
      </c>
    </row>
    <row r="1105">
      <c r="A1105" s="33" t="inlineStr">
        <is>
          <t>SM001101</t>
        </is>
      </c>
      <c r="B1105" s="33" t="inlineStr">
        <is>
          <t>SW001</t>
        </is>
      </c>
      <c r="C1105" s="33" t="inlineStr">
        <is>
          <t>Grayson Coulter</t>
        </is>
      </c>
      <c r="D1105" s="33" t="inlineStr">
        <is>
          <t>SwimCloud</t>
        </is>
      </c>
      <c r="E1105" s="33" t="inlineStr">
        <is>
          <t>3651023</t>
        </is>
      </c>
      <c r="F1105" s="33" t="inlineStr">
        <is>
          <t>175678154</t>
        </is>
      </c>
      <c r="G1105" s="51" t="n">
        <v>46095</v>
      </c>
      <c r="H1105" s="33" t="inlineStr">
        <is>
          <t>ASA Age Groups &amp; Open Championships</t>
        </is>
      </c>
      <c r="I1105" s="33" t="inlineStr">
        <is>
          <t>372749</t>
        </is>
      </c>
      <c r="J1105" s="33" t="inlineStr"/>
      <c r="K1105" s="33" t="inlineStr">
        <is>
          <t>FIN</t>
        </is>
      </c>
      <c r="L1105" s="35">
        <f>IF(K1105="FIN",3,IF(OR(K1105="SEM",K1105="SEMI"),2,IF(OR(K1105="PRE",K1105="HEAT"),1,IF(V1105="YES",4,2))))</f>
        <v/>
      </c>
      <c r="M1105" s="33" t="inlineStr">
        <is>
          <t>LCM</t>
        </is>
      </c>
      <c r="N1105" s="33" t="n">
        <v>100</v>
      </c>
      <c r="O1105" s="33" t="inlineStr">
        <is>
          <t>Free</t>
        </is>
      </c>
      <c r="P1105" s="33" t="inlineStr">
        <is>
          <t>100 Free</t>
        </is>
      </c>
      <c r="Q1105" s="33" t="inlineStr">
        <is>
          <t>LCM_100_FREE</t>
        </is>
      </c>
      <c r="R1105" s="36" t="n">
        <v>52.25</v>
      </c>
      <c r="S1105" s="35">
        <f>IF(R1105="","",IF(R1105&gt;=60,INT(R1105/60)&amp;":"&amp;TEXT(MOD(R1105,60),"00.00"),TEXT(R1105,"0.00")))</f>
        <v/>
      </c>
      <c r="T1105" s="52">
        <f>IFERROR((G1105-INDEX('01_Swimmers'!$E$5:$E$22,MATCH(B1105,'01_Swimmers'!$A$5:$A$22,0)))/'00_Control'!$B$10,"")</f>
        <v/>
      </c>
      <c r="U1105" s="35">
        <f>IF(T1105="","",INT(T1105))</f>
        <v/>
      </c>
      <c r="V1105" s="33" t="inlineStr">
        <is>
          <t>NO</t>
        </is>
      </c>
      <c r="W1105" s="33" t="inlineStr">
        <is>
          <t>YES</t>
        </is>
      </c>
      <c r="X1105" s="33" t="inlineStr">
        <is>
          <t>NO</t>
        </is>
      </c>
      <c r="Y1105" s="33" t="n">
        <v>2</v>
      </c>
      <c r="Z1105" s="33" t="n">
        <v>4</v>
      </c>
      <c r="AA1105" s="33" t="inlineStr">
        <is>
          <t>1</t>
        </is>
      </c>
      <c r="AB1105" s="33" t="inlineStr">
        <is>
          <t>https://www.swimcloud.com/results/372749/event/14/?id=175678154#time175678154</t>
        </is>
      </c>
      <c r="AC1105" s="33" t="inlineStr">
        <is>
          <t>SwimCloud API v6 2026-10-08</t>
        </is>
      </c>
      <c r="AD1105" s="33" t="inlineStr">
        <is>
          <t>Grayson Coulter|2026-03-14|LCM|100|Free|52.25|ASA Age Groups &amp; Open Championships|FIN|False</t>
        </is>
      </c>
      <c r="AE1105" s="53">
        <f>G1105+L1105/1000+ROW()/1000000000</f>
        <v/>
      </c>
      <c r="AF1105" s="35">
        <f>IF(C1105&lt;&gt;"Grayson Coulter","",COUNTIFS($C$5:$C$2991,"Grayson Coulter",$Q$5:$Q$2991,Q1105,$AE$5:$AE$2991,"&lt;="&amp;AE1105,$R$5:$R$2991,"&lt;"&amp;R1105))</f>
        <v/>
      </c>
      <c r="AG1105" s="35">
        <f>IF(OR(C1105&lt;&gt;"Grayson Coulter",G1105&lt;'00_Control'!$B$7),"",--(AF1105&lt;5))</f>
        <v/>
      </c>
      <c r="AH1105" s="35">
        <f>IF(OR(C1105&lt;&gt;"Grayson Coulter",G1105&lt;'00_Control'!$B$7),"",--(AF1105&lt;10))</f>
        <v/>
      </c>
      <c r="AI1105" s="35">
        <f>IF(AND(C1105="Grayson Coulter",G1105&gt;='00_Control'!$B$7),"YES","NO")</f>
        <v/>
      </c>
      <c r="AJ1105" s="33" t="inlineStr">
        <is>
          <t>OK</t>
        </is>
      </c>
    </row>
    <row r="1106">
      <c r="A1106" s="33" t="inlineStr">
        <is>
          <t>SM001102</t>
        </is>
      </c>
      <c r="B1106" s="33" t="inlineStr">
        <is>
          <t>SW001</t>
        </is>
      </c>
      <c r="C1106" s="33" t="inlineStr">
        <is>
          <t>Grayson Coulter</t>
        </is>
      </c>
      <c r="D1106" s="33" t="inlineStr">
        <is>
          <t>SwimCloud</t>
        </is>
      </c>
      <c r="E1106" s="33" t="inlineStr">
        <is>
          <t>3651023</t>
        </is>
      </c>
      <c r="F1106" s="33" t="inlineStr">
        <is>
          <t>176423597</t>
        </is>
      </c>
      <c r="G1106" s="51" t="n">
        <v>46120</v>
      </c>
      <c r="H1106" s="33" t="inlineStr">
        <is>
          <t>Apollo Projects New Zealand Age Group Championships</t>
        </is>
      </c>
      <c r="I1106" s="33" t="inlineStr">
        <is>
          <t>371122</t>
        </is>
      </c>
      <c r="J1106" s="33" t="inlineStr"/>
      <c r="K1106" s="33" t="inlineStr">
        <is>
          <t>PRE</t>
        </is>
      </c>
      <c r="L1106" s="35">
        <f>IF(K1106="FIN",3,IF(OR(K1106="SEM",K1106="SEMI"),2,IF(OR(K1106="PRE",K1106="HEAT"),1,IF(V1106="YES",4,2))))</f>
        <v/>
      </c>
      <c r="M1106" s="33" t="inlineStr">
        <is>
          <t>LCM</t>
        </is>
      </c>
      <c r="N1106" s="33" t="n">
        <v>100</v>
      </c>
      <c r="O1106" s="33" t="inlineStr">
        <is>
          <t>Fly</t>
        </is>
      </c>
      <c r="P1106" s="33" t="inlineStr">
        <is>
          <t>100 Fly</t>
        </is>
      </c>
      <c r="Q1106" s="33" t="inlineStr">
        <is>
          <t>LCM_100_FLY</t>
        </is>
      </c>
      <c r="R1106" s="36" t="n">
        <v>57.12</v>
      </c>
      <c r="S1106" s="35">
        <f>IF(R1106="","",IF(R1106&gt;=60,INT(R1106/60)&amp;":"&amp;TEXT(MOD(R1106,60),"00.00"),TEXT(R1106,"0.00")))</f>
        <v/>
      </c>
      <c r="T1106" s="52">
        <f>IFERROR((G1106-INDEX('01_Swimmers'!$E$5:$E$22,MATCH(B1106,'01_Swimmers'!$A$5:$A$22,0)))/'00_Control'!$B$10,"")</f>
        <v/>
      </c>
      <c r="U1106" s="35">
        <f>IF(T1106="","",INT(T1106))</f>
        <v/>
      </c>
      <c r="V1106" s="33" t="inlineStr">
        <is>
          <t>NO</t>
        </is>
      </c>
      <c r="W1106" s="33" t="inlineStr">
        <is>
          <t>YES</t>
        </is>
      </c>
      <c r="X1106" s="33" t="inlineStr">
        <is>
          <t>NO</t>
        </is>
      </c>
      <c r="Y1106" s="33" t="n"/>
      <c r="Z1106" s="33" t="n"/>
      <c r="AA1106" s="33" t="inlineStr">
        <is>
          <t>1</t>
        </is>
      </c>
      <c r="AB1106" s="33" t="inlineStr">
        <is>
          <t>https://www.swimcloud.com/results/371122/event/2/?id=176423597#time176423597</t>
        </is>
      </c>
      <c r="AC1106" s="33" t="inlineStr">
        <is>
          <t>SwimCloud API v6 2026-10-08</t>
        </is>
      </c>
      <c r="AD1106" s="33" t="inlineStr">
        <is>
          <t>Grayson Coulter|2026-04-08|LCM|100|Fly|57.12|Apollo Projects New Zealand Age Group Championships|PRE|False</t>
        </is>
      </c>
      <c r="AE1106" s="53">
        <f>G1106+L1106/1000+ROW()/1000000000</f>
        <v/>
      </c>
      <c r="AF1106" s="35">
        <f>IF(C1106&lt;&gt;"Grayson Coulter","",COUNTIFS($C$5:$C$2991,"Grayson Coulter",$Q$5:$Q$2991,Q1106,$AE$5:$AE$2991,"&lt;="&amp;AE1106,$R$5:$R$2991,"&lt;"&amp;R1106))</f>
        <v/>
      </c>
      <c r="AG1106" s="35">
        <f>IF(OR(C1106&lt;&gt;"Grayson Coulter",G1106&lt;'00_Control'!$B$7),"",--(AF1106&lt;5))</f>
        <v/>
      </c>
      <c r="AH1106" s="35">
        <f>IF(OR(C1106&lt;&gt;"Grayson Coulter",G1106&lt;'00_Control'!$B$7),"",--(AF1106&lt;10))</f>
        <v/>
      </c>
      <c r="AI1106" s="35">
        <f>IF(AND(C1106="Grayson Coulter",G1106&gt;='00_Control'!$B$7),"YES","NO")</f>
        <v/>
      </c>
      <c r="AJ1106" s="33" t="inlineStr">
        <is>
          <t>OK</t>
        </is>
      </c>
    </row>
    <row r="1107">
      <c r="A1107" s="33" t="inlineStr">
        <is>
          <t>SM001103</t>
        </is>
      </c>
      <c r="B1107" s="33" t="inlineStr">
        <is>
          <t>SW001</t>
        </is>
      </c>
      <c r="C1107" s="33" t="inlineStr">
        <is>
          <t>Grayson Coulter</t>
        </is>
      </c>
      <c r="D1107" s="33" t="inlineStr">
        <is>
          <t>SwimCloud</t>
        </is>
      </c>
      <c r="E1107" s="33" t="inlineStr">
        <is>
          <t>3651023</t>
        </is>
      </c>
      <c r="F1107" s="33" t="inlineStr">
        <is>
          <t>176423603</t>
        </is>
      </c>
      <c r="G1107" s="51" t="n">
        <v>46120</v>
      </c>
      <c r="H1107" s="33" t="inlineStr">
        <is>
          <t>Apollo Projects New Zealand Age Group Championships</t>
        </is>
      </c>
      <c r="I1107" s="33" t="inlineStr">
        <is>
          <t>371122</t>
        </is>
      </c>
      <c r="J1107" s="33" t="inlineStr"/>
      <c r="K1107" s="33" t="inlineStr">
        <is>
          <t>FIN</t>
        </is>
      </c>
      <c r="L1107" s="35">
        <f>IF(K1107="FIN",3,IF(OR(K1107="SEM",K1107="SEMI"),2,IF(OR(K1107="PRE",K1107="HEAT"),1,IF(V1107="YES",4,2))))</f>
        <v/>
      </c>
      <c r="M1107" s="33" t="inlineStr">
        <is>
          <t>LCM</t>
        </is>
      </c>
      <c r="N1107" s="33" t="n">
        <v>100</v>
      </c>
      <c r="O1107" s="33" t="inlineStr">
        <is>
          <t>Fly</t>
        </is>
      </c>
      <c r="P1107" s="33" t="inlineStr">
        <is>
          <t>100 Fly</t>
        </is>
      </c>
      <c r="Q1107" s="33" t="inlineStr">
        <is>
          <t>LCM_100_FLY</t>
        </is>
      </c>
      <c r="R1107" s="36" t="n">
        <v>56.09</v>
      </c>
      <c r="S1107" s="35">
        <f>IF(R1107="","",IF(R1107&gt;=60,INT(R1107/60)&amp;":"&amp;TEXT(MOD(R1107,60),"00.00"),TEXT(R1107,"0.00")))</f>
        <v/>
      </c>
      <c r="T1107" s="52">
        <f>IFERROR((G1107-INDEX('01_Swimmers'!$E$5:$E$22,MATCH(B1107,'01_Swimmers'!$A$5:$A$22,0)))/'00_Control'!$B$10,"")</f>
        <v/>
      </c>
      <c r="U1107" s="35">
        <f>IF(T1107="","",INT(T1107))</f>
        <v/>
      </c>
      <c r="V1107" s="33" t="inlineStr">
        <is>
          <t>NO</t>
        </is>
      </c>
      <c r="W1107" s="33" t="inlineStr">
        <is>
          <t>YES</t>
        </is>
      </c>
      <c r="X1107" s="33" t="inlineStr">
        <is>
          <t>NO</t>
        </is>
      </c>
      <c r="Y1107" s="33" t="n"/>
      <c r="Z1107" s="33" t="n"/>
      <c r="AA1107" s="33" t="inlineStr">
        <is>
          <t>1</t>
        </is>
      </c>
      <c r="AB1107" s="33" t="inlineStr">
        <is>
          <t>https://www.swimcloud.com/results/371122/event/2/?id=176423603#time176423603</t>
        </is>
      </c>
      <c r="AC1107" s="33" t="inlineStr">
        <is>
          <t>SwimCloud API v6 2026-10-08</t>
        </is>
      </c>
      <c r="AD1107" s="33" t="inlineStr">
        <is>
          <t>Grayson Coulter|2026-04-08|LCM|100|Fly|56.09|Apollo Projects New Zealand Age Group Championships|FIN|False</t>
        </is>
      </c>
      <c r="AE1107" s="53">
        <f>G1107+L1107/1000+ROW()/1000000000</f>
        <v/>
      </c>
      <c r="AF1107" s="35">
        <f>IF(C1107&lt;&gt;"Grayson Coulter","",COUNTIFS($C$5:$C$2991,"Grayson Coulter",$Q$5:$Q$2991,Q1107,$AE$5:$AE$2991,"&lt;="&amp;AE1107,$R$5:$R$2991,"&lt;"&amp;R1107))</f>
        <v/>
      </c>
      <c r="AG1107" s="35">
        <f>IF(OR(C1107&lt;&gt;"Grayson Coulter",G1107&lt;'00_Control'!$B$7),"",--(AF1107&lt;5))</f>
        <v/>
      </c>
      <c r="AH1107" s="35">
        <f>IF(OR(C1107&lt;&gt;"Grayson Coulter",G1107&lt;'00_Control'!$B$7),"",--(AF1107&lt;10))</f>
        <v/>
      </c>
      <c r="AI1107" s="35">
        <f>IF(AND(C1107="Grayson Coulter",G1107&gt;='00_Control'!$B$7),"YES","NO")</f>
        <v/>
      </c>
      <c r="AJ1107" s="33" t="inlineStr">
        <is>
          <t>OK</t>
        </is>
      </c>
    </row>
    <row r="1108">
      <c r="A1108" s="33" t="inlineStr">
        <is>
          <t>SM001104</t>
        </is>
      </c>
      <c r="B1108" s="33" t="inlineStr">
        <is>
          <t>SW001</t>
        </is>
      </c>
      <c r="C1108" s="33" t="inlineStr">
        <is>
          <t>Grayson Coulter</t>
        </is>
      </c>
      <c r="D1108" s="33" t="inlineStr">
        <is>
          <t>SwimCloud</t>
        </is>
      </c>
      <c r="E1108" s="33" t="inlineStr">
        <is>
          <t>3651023</t>
        </is>
      </c>
      <c r="F1108" s="33" t="inlineStr">
        <is>
          <t>176423599</t>
        </is>
      </c>
      <c r="G1108" s="51" t="n">
        <v>46121</v>
      </c>
      <c r="H1108" s="33" t="inlineStr">
        <is>
          <t>Apollo Projects New Zealand Age Group Championships</t>
        </is>
      </c>
      <c r="I1108" s="33" t="inlineStr">
        <is>
          <t>371122</t>
        </is>
      </c>
      <c r="J1108" s="33" t="inlineStr"/>
      <c r="K1108" s="33" t="inlineStr">
        <is>
          <t>PRE</t>
        </is>
      </c>
      <c r="L1108" s="35">
        <f>IF(K1108="FIN",3,IF(OR(K1108="SEM",K1108="SEMI"),2,IF(OR(K1108="PRE",K1108="HEAT"),1,IF(V1108="YES",4,2))))</f>
        <v/>
      </c>
      <c r="M1108" s="33" t="inlineStr">
        <is>
          <t>LCM</t>
        </is>
      </c>
      <c r="N1108" s="33" t="n">
        <v>100</v>
      </c>
      <c r="O1108" s="33" t="inlineStr">
        <is>
          <t>Free</t>
        </is>
      </c>
      <c r="P1108" s="33" t="inlineStr">
        <is>
          <t>100 Free</t>
        </is>
      </c>
      <c r="Q1108" s="33" t="inlineStr">
        <is>
          <t>LCM_100_FREE</t>
        </is>
      </c>
      <c r="R1108" s="36" t="n">
        <v>53</v>
      </c>
      <c r="S1108" s="35">
        <f>IF(R1108="","",IF(R1108&gt;=60,INT(R1108/60)&amp;":"&amp;TEXT(MOD(R1108,60),"00.00"),TEXT(R1108,"0.00")))</f>
        <v/>
      </c>
      <c r="T1108" s="52">
        <f>IFERROR((G1108-INDEX('01_Swimmers'!$E$5:$E$22,MATCH(B1108,'01_Swimmers'!$A$5:$A$22,0)))/'00_Control'!$B$10,"")</f>
        <v/>
      </c>
      <c r="U1108" s="35">
        <f>IF(T1108="","",INT(T1108))</f>
        <v/>
      </c>
      <c r="V1108" s="33" t="inlineStr">
        <is>
          <t>NO</t>
        </is>
      </c>
      <c r="W1108" s="33" t="inlineStr">
        <is>
          <t>YES</t>
        </is>
      </c>
      <c r="X1108" s="33" t="inlineStr">
        <is>
          <t>NO</t>
        </is>
      </c>
      <c r="Y1108" s="33" t="n"/>
      <c r="Z1108" s="33" t="n"/>
      <c r="AA1108" s="33" t="inlineStr">
        <is>
          <t>1</t>
        </is>
      </c>
      <c r="AB1108" s="33" t="inlineStr">
        <is>
          <t>https://www.swimcloud.com/results/371122/event/12/?id=176423599#time176423599</t>
        </is>
      </c>
      <c r="AC1108" s="33" t="inlineStr">
        <is>
          <t>SwimCloud API v6 2026-10-08</t>
        </is>
      </c>
      <c r="AD1108" s="33" t="inlineStr">
        <is>
          <t>Grayson Coulter|2026-04-09|LCM|100|Free|53.0|Apollo Projects New Zealand Age Group Championships|PRE|False</t>
        </is>
      </c>
      <c r="AE1108" s="53">
        <f>G1108+L1108/1000+ROW()/1000000000</f>
        <v/>
      </c>
      <c r="AF1108" s="35">
        <f>IF(C1108&lt;&gt;"Grayson Coulter","",COUNTIFS($C$5:$C$2991,"Grayson Coulter",$Q$5:$Q$2991,Q1108,$AE$5:$AE$2991,"&lt;="&amp;AE1108,$R$5:$R$2991,"&lt;"&amp;R1108))</f>
        <v/>
      </c>
      <c r="AG1108" s="35">
        <f>IF(OR(C1108&lt;&gt;"Grayson Coulter",G1108&lt;'00_Control'!$B$7),"",--(AF1108&lt;5))</f>
        <v/>
      </c>
      <c r="AH1108" s="35">
        <f>IF(OR(C1108&lt;&gt;"Grayson Coulter",G1108&lt;'00_Control'!$B$7),"",--(AF1108&lt;10))</f>
        <v/>
      </c>
      <c r="AI1108" s="35">
        <f>IF(AND(C1108="Grayson Coulter",G1108&gt;='00_Control'!$B$7),"YES","NO")</f>
        <v/>
      </c>
      <c r="AJ1108" s="33" t="inlineStr">
        <is>
          <t>OK</t>
        </is>
      </c>
    </row>
    <row r="1109">
      <c r="A1109" s="33" t="inlineStr">
        <is>
          <t>SM001105</t>
        </is>
      </c>
      <c r="B1109" s="33" t="inlineStr">
        <is>
          <t>SW001</t>
        </is>
      </c>
      <c r="C1109" s="33" t="inlineStr">
        <is>
          <t>Grayson Coulter</t>
        </is>
      </c>
      <c r="D1109" s="33" t="inlineStr">
        <is>
          <t>SwimCloud</t>
        </is>
      </c>
      <c r="E1109" s="33" t="inlineStr">
        <is>
          <t>3651023</t>
        </is>
      </c>
      <c r="F1109" s="33" t="inlineStr">
        <is>
          <t>176423604</t>
        </is>
      </c>
      <c r="G1109" s="51" t="n">
        <v>46121</v>
      </c>
      <c r="H1109" s="33" t="inlineStr">
        <is>
          <t>Apollo Projects New Zealand Age Group Championships</t>
        </is>
      </c>
      <c r="I1109" s="33" t="inlineStr">
        <is>
          <t>371122</t>
        </is>
      </c>
      <c r="J1109" s="33" t="inlineStr"/>
      <c r="K1109" s="33" t="inlineStr">
        <is>
          <t>FIN</t>
        </is>
      </c>
      <c r="L1109" s="35">
        <f>IF(K1109="FIN",3,IF(OR(K1109="SEM",K1109="SEMI"),2,IF(OR(K1109="PRE",K1109="HEAT"),1,IF(V1109="YES",4,2))))</f>
        <v/>
      </c>
      <c r="M1109" s="33" t="inlineStr">
        <is>
          <t>LCM</t>
        </is>
      </c>
      <c r="N1109" s="33" t="n">
        <v>100</v>
      </c>
      <c r="O1109" s="33" t="inlineStr">
        <is>
          <t>Free</t>
        </is>
      </c>
      <c r="P1109" s="33" t="inlineStr">
        <is>
          <t>100 Free</t>
        </is>
      </c>
      <c r="Q1109" s="33" t="inlineStr">
        <is>
          <t>LCM_100_FREE</t>
        </is>
      </c>
      <c r="R1109" s="36" t="n">
        <v>51.61</v>
      </c>
      <c r="S1109" s="35">
        <f>IF(R1109="","",IF(R1109&gt;=60,INT(R1109/60)&amp;":"&amp;TEXT(MOD(R1109,60),"00.00"),TEXT(R1109,"0.00")))</f>
        <v/>
      </c>
      <c r="T1109" s="52">
        <f>IFERROR((G1109-INDEX('01_Swimmers'!$E$5:$E$22,MATCH(B1109,'01_Swimmers'!$A$5:$A$22,0)))/'00_Control'!$B$10,"")</f>
        <v/>
      </c>
      <c r="U1109" s="35">
        <f>IF(T1109="","",INT(T1109))</f>
        <v/>
      </c>
      <c r="V1109" s="33" t="inlineStr">
        <is>
          <t>NO</t>
        </is>
      </c>
      <c r="W1109" s="33" t="inlineStr">
        <is>
          <t>YES</t>
        </is>
      </c>
      <c r="X1109" s="33" t="inlineStr">
        <is>
          <t>NO</t>
        </is>
      </c>
      <c r="Y1109" s="33" t="n"/>
      <c r="Z1109" s="33" t="n"/>
      <c r="AA1109" s="33" t="inlineStr">
        <is>
          <t>1</t>
        </is>
      </c>
      <c r="AB1109" s="33" t="inlineStr">
        <is>
          <t>https://www.swimcloud.com/results/371122/event/12/?id=176423604#time176423604</t>
        </is>
      </c>
      <c r="AC1109" s="33" t="inlineStr">
        <is>
          <t>SwimCloud API v6 2026-10-08</t>
        </is>
      </c>
      <c r="AD1109" s="33" t="inlineStr">
        <is>
          <t>Grayson Coulter|2026-04-09|LCM|100|Free|51.61|Apollo Projects New Zealand Age Group Championships|FIN|False</t>
        </is>
      </c>
      <c r="AE1109" s="53">
        <f>G1109+L1109/1000+ROW()/1000000000</f>
        <v/>
      </c>
      <c r="AF1109" s="35">
        <f>IF(C1109&lt;&gt;"Grayson Coulter","",COUNTIFS($C$5:$C$2991,"Grayson Coulter",$Q$5:$Q$2991,Q1109,$AE$5:$AE$2991,"&lt;="&amp;AE1109,$R$5:$R$2991,"&lt;"&amp;R1109))</f>
        <v/>
      </c>
      <c r="AG1109" s="35">
        <f>IF(OR(C1109&lt;&gt;"Grayson Coulter",G1109&lt;'00_Control'!$B$7),"",--(AF1109&lt;5))</f>
        <v/>
      </c>
      <c r="AH1109" s="35">
        <f>IF(OR(C1109&lt;&gt;"Grayson Coulter",G1109&lt;'00_Control'!$B$7),"",--(AF1109&lt;10))</f>
        <v/>
      </c>
      <c r="AI1109" s="35">
        <f>IF(AND(C1109="Grayson Coulter",G1109&gt;='00_Control'!$B$7),"YES","NO")</f>
        <v/>
      </c>
      <c r="AJ1109" s="33" t="inlineStr">
        <is>
          <t>OK</t>
        </is>
      </c>
    </row>
    <row r="1110">
      <c r="A1110" s="33" t="inlineStr">
        <is>
          <t>SM001106</t>
        </is>
      </c>
      <c r="B1110" s="33" t="inlineStr">
        <is>
          <t>SW001</t>
        </is>
      </c>
      <c r="C1110" s="33" t="inlineStr">
        <is>
          <t>Grayson Coulter</t>
        </is>
      </c>
      <c r="D1110" s="33" t="inlineStr">
        <is>
          <t>SwimCloud</t>
        </is>
      </c>
      <c r="E1110" s="33" t="inlineStr">
        <is>
          <t>3651023</t>
        </is>
      </c>
      <c r="F1110" s="33" t="inlineStr">
        <is>
          <t>176423601</t>
        </is>
      </c>
      <c r="G1110" s="51" t="n">
        <v>46122</v>
      </c>
      <c r="H1110" s="33" t="inlineStr">
        <is>
          <t>Apollo Projects New Zealand Age Group Championships</t>
        </is>
      </c>
      <c r="I1110" s="33" t="inlineStr">
        <is>
          <t>371122</t>
        </is>
      </c>
      <c r="J1110" s="33" t="inlineStr"/>
      <c r="K1110" s="33" t="inlineStr">
        <is>
          <t>PRE</t>
        </is>
      </c>
      <c r="L1110" s="35">
        <f>IF(K1110="FIN",3,IF(OR(K1110="SEM",K1110="SEMI"),2,IF(OR(K1110="PRE",K1110="HEAT"),1,IF(V1110="YES",4,2))))</f>
        <v/>
      </c>
      <c r="M1110" s="33" t="inlineStr">
        <is>
          <t>LCM</t>
        </is>
      </c>
      <c r="N1110" s="33" t="n">
        <v>400</v>
      </c>
      <c r="O1110" s="33" t="inlineStr">
        <is>
          <t>Free</t>
        </is>
      </c>
      <c r="P1110" s="33" t="inlineStr">
        <is>
          <t>400 Free</t>
        </is>
      </c>
      <c r="Q1110" s="33" t="inlineStr">
        <is>
          <t>LCM_400_FREE</t>
        </is>
      </c>
      <c r="R1110" s="36" t="n">
        <v>250.67</v>
      </c>
      <c r="S1110" s="35">
        <f>IF(R1110="","",IF(R1110&gt;=60,INT(R1110/60)&amp;":"&amp;TEXT(MOD(R1110,60),"00.00"),TEXT(R1110,"0.00")))</f>
        <v/>
      </c>
      <c r="T1110" s="52">
        <f>IFERROR((G1110-INDEX('01_Swimmers'!$E$5:$E$22,MATCH(B1110,'01_Swimmers'!$A$5:$A$22,0)))/'00_Control'!$B$10,"")</f>
        <v/>
      </c>
      <c r="U1110" s="35">
        <f>IF(T1110="","",INT(T1110))</f>
        <v/>
      </c>
      <c r="V1110" s="33" t="inlineStr">
        <is>
          <t>NO</t>
        </is>
      </c>
      <c r="W1110" s="33" t="inlineStr">
        <is>
          <t>YES</t>
        </is>
      </c>
      <c r="X1110" s="33" t="inlineStr">
        <is>
          <t>NO</t>
        </is>
      </c>
      <c r="Y1110" s="33" t="n"/>
      <c r="Z1110" s="33" t="n"/>
      <c r="AA1110" s="33" t="inlineStr">
        <is>
          <t>1</t>
        </is>
      </c>
      <c r="AB1110" s="33" t="inlineStr">
        <is>
          <t>https://www.swimcloud.com/results/371122/event/30/?id=176423601#time176423601</t>
        </is>
      </c>
      <c r="AC1110" s="33" t="inlineStr">
        <is>
          <t>SwimCloud API v6 2026-10-08</t>
        </is>
      </c>
      <c r="AD1110" s="33" t="inlineStr">
        <is>
          <t>Grayson Coulter|2026-04-10|LCM|400|Free|250.67|Apollo Projects New Zealand Age Group Championships|PRE|False</t>
        </is>
      </c>
      <c r="AE1110" s="53">
        <f>G1110+L1110/1000+ROW()/1000000000</f>
        <v/>
      </c>
      <c r="AF1110" s="35">
        <f>IF(C1110&lt;&gt;"Grayson Coulter","",COUNTIFS($C$5:$C$2991,"Grayson Coulter",$Q$5:$Q$2991,Q1110,$AE$5:$AE$2991,"&lt;="&amp;AE1110,$R$5:$R$2991,"&lt;"&amp;R1110))</f>
        <v/>
      </c>
      <c r="AG1110" s="35">
        <f>IF(OR(C1110&lt;&gt;"Grayson Coulter",G1110&lt;'00_Control'!$B$7),"",--(AF1110&lt;5))</f>
        <v/>
      </c>
      <c r="AH1110" s="35">
        <f>IF(OR(C1110&lt;&gt;"Grayson Coulter",G1110&lt;'00_Control'!$B$7),"",--(AF1110&lt;10))</f>
        <v/>
      </c>
      <c r="AI1110" s="35">
        <f>IF(AND(C1110="Grayson Coulter",G1110&gt;='00_Control'!$B$7),"YES","NO")</f>
        <v/>
      </c>
      <c r="AJ1110" s="33" t="inlineStr">
        <is>
          <t>OK</t>
        </is>
      </c>
    </row>
    <row r="1111">
      <c r="A1111" s="33" t="inlineStr">
        <is>
          <t>SM001107</t>
        </is>
      </c>
      <c r="B1111" s="33" t="inlineStr">
        <is>
          <t>SW001</t>
        </is>
      </c>
      <c r="C1111" s="33" t="inlineStr">
        <is>
          <t>Grayson Coulter</t>
        </is>
      </c>
      <c r="D1111" s="33" t="inlineStr">
        <is>
          <t>SwimCloud</t>
        </is>
      </c>
      <c r="E1111" s="33" t="inlineStr">
        <is>
          <t>3651023</t>
        </is>
      </c>
      <c r="F1111" s="33" t="inlineStr">
        <is>
          <t>176423606</t>
        </is>
      </c>
      <c r="G1111" s="51" t="n">
        <v>46122</v>
      </c>
      <c r="H1111" s="33" t="inlineStr">
        <is>
          <t>Apollo Projects New Zealand Age Group Championships</t>
        </is>
      </c>
      <c r="I1111" s="33" t="inlineStr">
        <is>
          <t>371122</t>
        </is>
      </c>
      <c r="J1111" s="33" t="inlineStr"/>
      <c r="K1111" s="33" t="inlineStr">
        <is>
          <t>FIN</t>
        </is>
      </c>
      <c r="L1111" s="35">
        <f>IF(K1111="FIN",3,IF(OR(K1111="SEM",K1111="SEMI"),2,IF(OR(K1111="PRE",K1111="HEAT"),1,IF(V1111="YES",4,2))))</f>
        <v/>
      </c>
      <c r="M1111" s="33" t="inlineStr">
        <is>
          <t>LCM</t>
        </is>
      </c>
      <c r="N1111" s="33" t="n">
        <v>400</v>
      </c>
      <c r="O1111" s="33" t="inlineStr">
        <is>
          <t>Free</t>
        </is>
      </c>
      <c r="P1111" s="33" t="inlineStr">
        <is>
          <t>400 Free</t>
        </is>
      </c>
      <c r="Q1111" s="33" t="inlineStr">
        <is>
          <t>LCM_400_FREE</t>
        </is>
      </c>
      <c r="R1111" s="36" t="n">
        <v>242.64</v>
      </c>
      <c r="S1111" s="35">
        <f>IF(R1111="","",IF(R1111&gt;=60,INT(R1111/60)&amp;":"&amp;TEXT(MOD(R1111,60),"00.00"),TEXT(R1111,"0.00")))</f>
        <v/>
      </c>
      <c r="T1111" s="52">
        <f>IFERROR((G1111-INDEX('01_Swimmers'!$E$5:$E$22,MATCH(B1111,'01_Swimmers'!$A$5:$A$22,0)))/'00_Control'!$B$10,"")</f>
        <v/>
      </c>
      <c r="U1111" s="35">
        <f>IF(T1111="","",INT(T1111))</f>
        <v/>
      </c>
      <c r="V1111" s="33" t="inlineStr">
        <is>
          <t>NO</t>
        </is>
      </c>
      <c r="W1111" s="33" t="inlineStr">
        <is>
          <t>YES</t>
        </is>
      </c>
      <c r="X1111" s="33" t="inlineStr">
        <is>
          <t>NO</t>
        </is>
      </c>
      <c r="Y1111" s="33" t="n"/>
      <c r="Z1111" s="33" t="n"/>
      <c r="AA1111" s="33" t="inlineStr">
        <is>
          <t>1</t>
        </is>
      </c>
      <c r="AB1111" s="33" t="inlineStr">
        <is>
          <t>https://www.swimcloud.com/results/371122/event/30/?id=176423606#time176423606</t>
        </is>
      </c>
      <c r="AC1111" s="33" t="inlineStr">
        <is>
          <t>SwimCloud API v6 2026-10-08</t>
        </is>
      </c>
      <c r="AD1111" s="33" t="inlineStr">
        <is>
          <t>Grayson Coulter|2026-04-10|LCM|400|Free|242.64|Apollo Projects New Zealand Age Group Championships|FIN|False</t>
        </is>
      </c>
      <c r="AE1111" s="53">
        <f>G1111+L1111/1000+ROW()/1000000000</f>
        <v/>
      </c>
      <c r="AF1111" s="35">
        <f>IF(C1111&lt;&gt;"Grayson Coulter","",COUNTIFS($C$5:$C$2991,"Grayson Coulter",$Q$5:$Q$2991,Q1111,$AE$5:$AE$2991,"&lt;="&amp;AE1111,$R$5:$R$2991,"&lt;"&amp;R1111))</f>
        <v/>
      </c>
      <c r="AG1111" s="35">
        <f>IF(OR(C1111&lt;&gt;"Grayson Coulter",G1111&lt;'00_Control'!$B$7),"",--(AF1111&lt;5))</f>
        <v/>
      </c>
      <c r="AH1111" s="35">
        <f>IF(OR(C1111&lt;&gt;"Grayson Coulter",G1111&lt;'00_Control'!$B$7),"",--(AF1111&lt;10))</f>
        <v/>
      </c>
      <c r="AI1111" s="35">
        <f>IF(AND(C1111="Grayson Coulter",G1111&gt;='00_Control'!$B$7),"YES","NO")</f>
        <v/>
      </c>
      <c r="AJ1111" s="33" t="inlineStr">
        <is>
          <t>OK</t>
        </is>
      </c>
    </row>
    <row r="1112">
      <c r="A1112" s="33" t="inlineStr">
        <is>
          <t>SM001108</t>
        </is>
      </c>
      <c r="B1112" s="33" t="inlineStr">
        <is>
          <t>SW001</t>
        </is>
      </c>
      <c r="C1112" s="33" t="inlineStr">
        <is>
          <t>Grayson Coulter</t>
        </is>
      </c>
      <c r="D1112" s="33" t="inlineStr">
        <is>
          <t>SwimCloud</t>
        </is>
      </c>
      <c r="E1112" s="33" t="inlineStr">
        <is>
          <t>3651023</t>
        </is>
      </c>
      <c r="F1112" s="33" t="inlineStr">
        <is>
          <t>185510682</t>
        </is>
      </c>
      <c r="G1112" s="51" t="n">
        <v>46221</v>
      </c>
      <c r="H1112" s="33" t="inlineStr">
        <is>
          <t>2026 Golden Homes Swimfest</t>
        </is>
      </c>
      <c r="I1112" s="33" t="inlineStr">
        <is>
          <t>391961</t>
        </is>
      </c>
      <c r="J1112" s="33" t="inlineStr"/>
      <c r="K1112" s="33" t="inlineStr">
        <is>
          <t>TIM</t>
        </is>
      </c>
      <c r="L1112" s="35">
        <f>IF(K1112="FIN",3,IF(OR(K1112="SEM",K1112="SEMI"),2,IF(OR(K1112="PRE",K1112="HEAT"),1,IF(V1112="YES",4,2))))</f>
        <v/>
      </c>
      <c r="M1112" s="33" t="inlineStr">
        <is>
          <t>LCM</t>
        </is>
      </c>
      <c r="N1112" s="33" t="n">
        <v>100</v>
      </c>
      <c r="O1112" s="33" t="inlineStr">
        <is>
          <t>Fly</t>
        </is>
      </c>
      <c r="P1112" s="33" t="inlineStr">
        <is>
          <t>100 Fly</t>
        </is>
      </c>
      <c r="Q1112" s="33" t="inlineStr">
        <is>
          <t>LCM_100_FLY</t>
        </is>
      </c>
      <c r="R1112" s="36" t="n">
        <v>58.46</v>
      </c>
      <c r="S1112" s="35">
        <f>IF(R1112="","",IF(R1112&gt;=60,INT(R1112/60)&amp;":"&amp;TEXT(MOD(R1112,60),"00.00"),TEXT(R1112,"0.00")))</f>
        <v/>
      </c>
      <c r="T1112" s="52">
        <f>IFERROR((G1112-INDEX('01_Swimmers'!$E$5:$E$22,MATCH(B1112,'01_Swimmers'!$A$5:$A$22,0)))/'00_Control'!$B$10,"")</f>
        <v/>
      </c>
      <c r="U1112" s="35">
        <f>IF(T1112="","",INT(T1112))</f>
        <v/>
      </c>
      <c r="V1112" s="33" t="inlineStr">
        <is>
          <t>NO</t>
        </is>
      </c>
      <c r="W1112" s="33" t="inlineStr">
        <is>
          <t>YES</t>
        </is>
      </c>
      <c r="X1112" s="33" t="inlineStr">
        <is>
          <t>NO</t>
        </is>
      </c>
      <c r="Y1112" s="33" t="n">
        <v>7</v>
      </c>
      <c r="Z1112" s="33" t="n">
        <v>3</v>
      </c>
      <c r="AA1112" s="33" t="inlineStr">
        <is>
          <t>2</t>
        </is>
      </c>
      <c r="AB1112" s="33" t="inlineStr">
        <is>
          <t>https://www.swimcloud.com/results/391961/event/26/?id=185510682#time185510682</t>
        </is>
      </c>
      <c r="AC1112" s="33" t="inlineStr">
        <is>
          <t>SwimCloud API v6 2026-10-08</t>
        </is>
      </c>
      <c r="AD1112" s="33" t="inlineStr">
        <is>
          <t>Grayson Coulter|2026-07-18|LCM|100|Fly|58.46|2026 Golden Homes Swimfest|TIM|False</t>
        </is>
      </c>
      <c r="AE1112" s="53">
        <f>G1112+L1112/1000+ROW()/1000000000</f>
        <v/>
      </c>
      <c r="AF1112" s="35">
        <f>IF(C1112&lt;&gt;"Grayson Coulter","",COUNTIFS($C$5:$C$2991,"Grayson Coulter",$Q$5:$Q$2991,Q1112,$AE$5:$AE$2991,"&lt;="&amp;AE1112,$R$5:$R$2991,"&lt;"&amp;R1112))</f>
        <v/>
      </c>
      <c r="AG1112" s="35">
        <f>IF(OR(C1112&lt;&gt;"Grayson Coulter",G1112&lt;'00_Control'!$B$7),"",--(AF1112&lt;5))</f>
        <v/>
      </c>
      <c r="AH1112" s="35">
        <f>IF(OR(C1112&lt;&gt;"Grayson Coulter",G1112&lt;'00_Control'!$B$7),"",--(AF1112&lt;10))</f>
        <v/>
      </c>
      <c r="AI1112" s="35">
        <f>IF(AND(C1112="Grayson Coulter",G1112&gt;='00_Control'!$B$7),"YES","NO")</f>
        <v/>
      </c>
      <c r="AJ1112" s="33" t="inlineStr">
        <is>
          <t>OK</t>
        </is>
      </c>
    </row>
    <row r="1113">
      <c r="A1113" s="33" t="inlineStr">
        <is>
          <t>SM001109</t>
        </is>
      </c>
      <c r="B1113" s="33" t="inlineStr">
        <is>
          <t>SW001</t>
        </is>
      </c>
      <c r="C1113" s="33" t="inlineStr">
        <is>
          <t>Grayson Coulter</t>
        </is>
      </c>
      <c r="D1113" s="33" t="inlineStr">
        <is>
          <t>SwimCloud</t>
        </is>
      </c>
      <c r="E1113" s="33" t="inlineStr">
        <is>
          <t>3651023</t>
        </is>
      </c>
      <c r="F1113" s="33" t="inlineStr">
        <is>
          <t>185512879</t>
        </is>
      </c>
      <c r="G1113" s="51" t="n">
        <v>46221</v>
      </c>
      <c r="H1113" s="33" t="inlineStr">
        <is>
          <t>2026 Golden Homes Swimfest</t>
        </is>
      </c>
      <c r="I1113" s="33" t="inlineStr">
        <is>
          <t>391961</t>
        </is>
      </c>
      <c r="J1113" s="33" t="inlineStr"/>
      <c r="K1113" s="33" t="inlineStr">
        <is>
          <t>TIM</t>
        </is>
      </c>
      <c r="L1113" s="35">
        <f>IF(K1113="FIN",3,IF(OR(K1113="SEM",K1113="SEMI"),2,IF(OR(K1113="PRE",K1113="HEAT"),1,IF(V1113="YES",4,2))))</f>
        <v/>
      </c>
      <c r="M1113" s="33" t="inlineStr">
        <is>
          <t>LCM</t>
        </is>
      </c>
      <c r="N1113" s="33" t="n">
        <v>200</v>
      </c>
      <c r="O1113" s="33" t="inlineStr">
        <is>
          <t>Free</t>
        </is>
      </c>
      <c r="P1113" s="33" t="inlineStr">
        <is>
          <t>200 Free</t>
        </is>
      </c>
      <c r="Q1113" s="33" t="inlineStr">
        <is>
          <t>LCM_200_FREE</t>
        </is>
      </c>
      <c r="R1113" s="36" t="n">
        <v>116.12</v>
      </c>
      <c r="S1113" s="35">
        <f>IF(R1113="","",IF(R1113&gt;=60,INT(R1113/60)&amp;":"&amp;TEXT(MOD(R1113,60),"00.00"),TEXT(R1113,"0.00")))</f>
        <v/>
      </c>
      <c r="T1113" s="52">
        <f>IFERROR((G1113-INDEX('01_Swimmers'!$E$5:$E$22,MATCH(B1113,'01_Swimmers'!$A$5:$A$22,0)))/'00_Control'!$B$10,"")</f>
        <v/>
      </c>
      <c r="U1113" s="35">
        <f>IF(T1113="","",INT(T1113))</f>
        <v/>
      </c>
      <c r="V1113" s="33" t="inlineStr">
        <is>
          <t>NO</t>
        </is>
      </c>
      <c r="W1113" s="33" t="inlineStr">
        <is>
          <t>YES</t>
        </is>
      </c>
      <c r="X1113" s="33" t="inlineStr">
        <is>
          <t>NO</t>
        </is>
      </c>
      <c r="Y1113" s="33" t="n">
        <v>11</v>
      </c>
      <c r="Z1113" s="33" t="n">
        <v>6</v>
      </c>
      <c r="AA1113" s="33" t="inlineStr">
        <is>
          <t>1</t>
        </is>
      </c>
      <c r="AB1113" s="33" t="inlineStr">
        <is>
          <t>https://www.swimcloud.com/results/391961/event/24/?id=185512879#time185512879</t>
        </is>
      </c>
      <c r="AC1113" s="33" t="inlineStr">
        <is>
          <t>SwimCloud API v6 2026-10-08</t>
        </is>
      </c>
      <c r="AD1113" s="33" t="inlineStr">
        <is>
          <t>Grayson Coulter|2026-07-18|LCM|200|Free|116.12|2026 Golden Homes Swimfest|TIM|False</t>
        </is>
      </c>
      <c r="AE1113" s="53">
        <f>G1113+L1113/1000+ROW()/1000000000</f>
        <v/>
      </c>
      <c r="AF1113" s="35">
        <f>IF(C1113&lt;&gt;"Grayson Coulter","",COUNTIFS($C$5:$C$2991,"Grayson Coulter",$Q$5:$Q$2991,Q1113,$AE$5:$AE$2991,"&lt;="&amp;AE1113,$R$5:$R$2991,"&lt;"&amp;R1113))</f>
        <v/>
      </c>
      <c r="AG1113" s="35">
        <f>IF(OR(C1113&lt;&gt;"Grayson Coulter",G1113&lt;'00_Control'!$B$7),"",--(AF1113&lt;5))</f>
        <v/>
      </c>
      <c r="AH1113" s="35">
        <f>IF(OR(C1113&lt;&gt;"Grayson Coulter",G1113&lt;'00_Control'!$B$7),"",--(AF1113&lt;10))</f>
        <v/>
      </c>
      <c r="AI1113" s="35">
        <f>IF(AND(C1113="Grayson Coulter",G1113&gt;='00_Control'!$B$7),"YES","NO")</f>
        <v/>
      </c>
      <c r="AJ1113" s="33" t="inlineStr">
        <is>
          <t>OK</t>
        </is>
      </c>
    </row>
    <row r="1114">
      <c r="A1114" s="33" t="inlineStr">
        <is>
          <t>SM001110</t>
        </is>
      </c>
      <c r="B1114" s="33" t="inlineStr">
        <is>
          <t>SW001</t>
        </is>
      </c>
      <c r="C1114" s="33" t="inlineStr">
        <is>
          <t>Grayson Coulter</t>
        </is>
      </c>
      <c r="D1114" s="33" t="inlineStr">
        <is>
          <t>SwimCloud</t>
        </is>
      </c>
      <c r="E1114" s="33" t="inlineStr">
        <is>
          <t>3651023</t>
        </is>
      </c>
      <c r="F1114" s="33" t="inlineStr">
        <is>
          <t>185510941</t>
        </is>
      </c>
      <c r="G1114" s="51" t="n">
        <v>46221</v>
      </c>
      <c r="H1114" s="33" t="inlineStr">
        <is>
          <t>2026 Golden Homes Swimfest</t>
        </is>
      </c>
      <c r="I1114" s="33" t="inlineStr">
        <is>
          <t>391961</t>
        </is>
      </c>
      <c r="J1114" s="33" t="inlineStr"/>
      <c r="K1114" s="33" t="inlineStr">
        <is>
          <t>TIM</t>
        </is>
      </c>
      <c r="L1114" s="35">
        <f>IF(K1114="FIN",3,IF(OR(K1114="SEM",K1114="SEMI"),2,IF(OR(K1114="PRE",K1114="HEAT"),1,IF(V1114="YES",4,2))))</f>
        <v/>
      </c>
      <c r="M1114" s="33" t="inlineStr">
        <is>
          <t>LCM</t>
        </is>
      </c>
      <c r="N1114" s="33" t="n">
        <v>400</v>
      </c>
      <c r="O1114" s="33" t="inlineStr">
        <is>
          <t>Free</t>
        </is>
      </c>
      <c r="P1114" s="33" t="inlineStr">
        <is>
          <t>400 Free</t>
        </is>
      </c>
      <c r="Q1114" s="33" t="inlineStr">
        <is>
          <t>LCM_400_FREE</t>
        </is>
      </c>
      <c r="R1114" s="36" t="n">
        <v>244.34</v>
      </c>
      <c r="S1114" s="35">
        <f>IF(R1114="","",IF(R1114&gt;=60,INT(R1114/60)&amp;":"&amp;TEXT(MOD(R1114,60),"00.00"),TEXT(R1114,"0.00")))</f>
        <v/>
      </c>
      <c r="T1114" s="52">
        <f>IFERROR((G1114-INDEX('01_Swimmers'!$E$5:$E$22,MATCH(B1114,'01_Swimmers'!$A$5:$A$22,0)))/'00_Control'!$B$10,"")</f>
        <v/>
      </c>
      <c r="U1114" s="35">
        <f>IF(T1114="","",INT(T1114))</f>
        <v/>
      </c>
      <c r="V1114" s="33" t="inlineStr">
        <is>
          <t>NO</t>
        </is>
      </c>
      <c r="W1114" s="33" t="inlineStr">
        <is>
          <t>YES</t>
        </is>
      </c>
      <c r="X1114" s="33" t="inlineStr">
        <is>
          <t>NO</t>
        </is>
      </c>
      <c r="Y1114" s="33" t="n">
        <v>6</v>
      </c>
      <c r="Z1114" s="33" t="n">
        <v>4</v>
      </c>
      <c r="AA1114" s="33" t="inlineStr">
        <is>
          <t>1</t>
        </is>
      </c>
      <c r="AB1114" s="33" t="inlineStr">
        <is>
          <t>https://www.swimcloud.com/results/391961/event/18/?id=185510941#time185510941</t>
        </is>
      </c>
      <c r="AC1114" s="33" t="inlineStr">
        <is>
          <t>SwimCloud API v6 2026-10-08</t>
        </is>
      </c>
      <c r="AD1114" s="33" t="inlineStr">
        <is>
          <t>Grayson Coulter|2026-07-18|LCM|400|Free|244.34|2026 Golden Homes Swimfest|TIM|False</t>
        </is>
      </c>
      <c r="AE1114" s="53">
        <f>G1114+L1114/1000+ROW()/1000000000</f>
        <v/>
      </c>
      <c r="AF1114" s="35">
        <f>IF(C1114&lt;&gt;"Grayson Coulter","",COUNTIFS($C$5:$C$2991,"Grayson Coulter",$Q$5:$Q$2991,Q1114,$AE$5:$AE$2991,"&lt;="&amp;AE1114,$R$5:$R$2991,"&lt;"&amp;R1114))</f>
        <v/>
      </c>
      <c r="AG1114" s="35">
        <f>IF(OR(C1114&lt;&gt;"Grayson Coulter",G1114&lt;'00_Control'!$B$7),"",--(AF1114&lt;5))</f>
        <v/>
      </c>
      <c r="AH1114" s="35">
        <f>IF(OR(C1114&lt;&gt;"Grayson Coulter",G1114&lt;'00_Control'!$B$7),"",--(AF1114&lt;10))</f>
        <v/>
      </c>
      <c r="AI1114" s="35">
        <f>IF(AND(C1114="Grayson Coulter",G1114&gt;='00_Control'!$B$7),"YES","NO")</f>
        <v/>
      </c>
      <c r="AJ1114" s="33" t="inlineStr">
        <is>
          <t>OK</t>
        </is>
      </c>
    </row>
    <row r="1115">
      <c r="A1115" s="33" t="inlineStr">
        <is>
          <t>SM001111</t>
        </is>
      </c>
      <c r="B1115" s="33" t="inlineStr">
        <is>
          <t>SW001</t>
        </is>
      </c>
      <c r="C1115" s="33" t="inlineStr">
        <is>
          <t>Grayson Coulter</t>
        </is>
      </c>
      <c r="D1115" s="33" t="inlineStr">
        <is>
          <t>SwimCloud</t>
        </is>
      </c>
      <c r="E1115" s="33" t="inlineStr">
        <is>
          <t>3651023</t>
        </is>
      </c>
      <c r="F1115" s="33" t="inlineStr">
        <is>
          <t>185510671</t>
        </is>
      </c>
      <c r="G1115" s="51" t="n">
        <v>46222</v>
      </c>
      <c r="H1115" s="33" t="inlineStr">
        <is>
          <t>2026 Golden Homes Swimfest</t>
        </is>
      </c>
      <c r="I1115" s="33" t="inlineStr">
        <is>
          <t>391961</t>
        </is>
      </c>
      <c r="J1115" s="33" t="inlineStr"/>
      <c r="K1115" s="33" t="inlineStr">
        <is>
          <t>TIM</t>
        </is>
      </c>
      <c r="L1115" s="35">
        <f>IF(K1115="FIN",3,IF(OR(K1115="SEM",K1115="SEMI"),2,IF(OR(K1115="PRE",K1115="HEAT"),1,IF(V1115="YES",4,2))))</f>
        <v/>
      </c>
      <c r="M1115" s="33" t="inlineStr">
        <is>
          <t>LCM</t>
        </is>
      </c>
      <c r="N1115" s="33" t="n">
        <v>100</v>
      </c>
      <c r="O1115" s="33" t="inlineStr">
        <is>
          <t>Free</t>
        </is>
      </c>
      <c r="P1115" s="33" t="inlineStr">
        <is>
          <t>100 Free</t>
        </is>
      </c>
      <c r="Q1115" s="33" t="inlineStr">
        <is>
          <t>LCM_100_FREE</t>
        </is>
      </c>
      <c r="R1115" s="36" t="n">
        <v>52.28</v>
      </c>
      <c r="S1115" s="35">
        <f>IF(R1115="","",IF(R1115&gt;=60,INT(R1115/60)&amp;":"&amp;TEXT(MOD(R1115,60),"00.00"),TEXT(R1115,"0.00")))</f>
        <v/>
      </c>
      <c r="T1115" s="52">
        <f>IFERROR((G1115-INDEX('01_Swimmers'!$E$5:$E$22,MATCH(B1115,'01_Swimmers'!$A$5:$A$22,0)))/'00_Control'!$B$10,"")</f>
        <v/>
      </c>
      <c r="U1115" s="35">
        <f>IF(T1115="","",INT(T1115))</f>
        <v/>
      </c>
      <c r="V1115" s="33" t="inlineStr">
        <is>
          <t>NO</t>
        </is>
      </c>
      <c r="W1115" s="33" t="inlineStr">
        <is>
          <t>YES</t>
        </is>
      </c>
      <c r="X1115" s="33" t="inlineStr">
        <is>
          <t>NO</t>
        </is>
      </c>
      <c r="Y1115" s="33" t="n">
        <v>15</v>
      </c>
      <c r="Z1115" s="33" t="n">
        <v>6</v>
      </c>
      <c r="AA1115" s="33" t="inlineStr">
        <is>
          <t>1</t>
        </is>
      </c>
      <c r="AB1115" s="33" t="inlineStr">
        <is>
          <t>https://www.swimcloud.com/results/391961/event/38/?id=185510671#time185510671</t>
        </is>
      </c>
      <c r="AC1115" s="33" t="inlineStr">
        <is>
          <t>SwimCloud API v6 2026-10-08</t>
        </is>
      </c>
      <c r="AD1115" s="33" t="inlineStr">
        <is>
          <t>Grayson Coulter|2026-07-19|LCM|100|Free|52.28|2026 Golden Homes Swimfest|TIM|False</t>
        </is>
      </c>
      <c r="AE1115" s="53">
        <f>G1115+L1115/1000+ROW()/1000000000</f>
        <v/>
      </c>
      <c r="AF1115" s="35">
        <f>IF(C1115&lt;&gt;"Grayson Coulter","",COUNTIFS($C$5:$C$2991,"Grayson Coulter",$Q$5:$Q$2991,Q1115,$AE$5:$AE$2991,"&lt;="&amp;AE1115,$R$5:$R$2991,"&lt;"&amp;R1115))</f>
        <v/>
      </c>
      <c r="AG1115" s="35">
        <f>IF(OR(C1115&lt;&gt;"Grayson Coulter",G1115&lt;'00_Control'!$B$7),"",--(AF1115&lt;5))</f>
        <v/>
      </c>
      <c r="AH1115" s="35">
        <f>IF(OR(C1115&lt;&gt;"Grayson Coulter",G1115&lt;'00_Control'!$B$7),"",--(AF1115&lt;10))</f>
        <v/>
      </c>
      <c r="AI1115" s="35">
        <f>IF(AND(C1115="Grayson Coulter",G1115&gt;='00_Control'!$B$7),"YES","NO")</f>
        <v/>
      </c>
      <c r="AJ1115" s="33" t="inlineStr">
        <is>
          <t>OK</t>
        </is>
      </c>
    </row>
    <row r="1116">
      <c r="A1116" s="33" t="inlineStr">
        <is>
          <t>SM001112</t>
        </is>
      </c>
      <c r="B1116" s="33" t="inlineStr">
        <is>
          <t>SW001</t>
        </is>
      </c>
      <c r="C1116" s="33" t="inlineStr">
        <is>
          <t>Grayson Coulter</t>
        </is>
      </c>
      <c r="D1116" s="33" t="inlineStr">
        <is>
          <t>SwimCloud</t>
        </is>
      </c>
      <c r="E1116" s="33" t="inlineStr">
        <is>
          <t>3637780</t>
        </is>
      </c>
      <c r="F1116" s="33" t="inlineStr">
        <is>
          <t>184298256</t>
        </is>
      </c>
      <c r="G1116" s="51" t="n">
        <v>46251</v>
      </c>
      <c r="H1116" s="33" t="inlineStr">
        <is>
          <t>Junior Pan Pacific Championships</t>
        </is>
      </c>
      <c r="I1116" s="33" t="inlineStr">
        <is>
          <t>387116</t>
        </is>
      </c>
      <c r="J1116" s="33" t="inlineStr"/>
      <c r="K1116" s="33" t="inlineStr">
        <is>
          <t>PRE</t>
        </is>
      </c>
      <c r="L1116" s="35">
        <f>IF(K1116="FIN",3,IF(OR(K1116="SEM",K1116="SEMI"),2,IF(OR(K1116="PRE",K1116="HEAT"),1,IF(V1116="YES",4,2))))</f>
        <v/>
      </c>
      <c r="M1116" s="33" t="inlineStr">
        <is>
          <t>LCM</t>
        </is>
      </c>
      <c r="N1116" s="33" t="n">
        <v>100</v>
      </c>
      <c r="O1116" s="33" t="inlineStr">
        <is>
          <t>Free</t>
        </is>
      </c>
      <c r="P1116" s="33" t="inlineStr">
        <is>
          <t>100 Free</t>
        </is>
      </c>
      <c r="Q1116" s="33" t="inlineStr">
        <is>
          <t>LCM_100_FREE</t>
        </is>
      </c>
      <c r="R1116" s="36" t="n">
        <v>51.18</v>
      </c>
      <c r="S1116" s="35">
        <f>IF(R1116="","",IF(R1116&gt;=60,INT(R1116/60)&amp;":"&amp;TEXT(MOD(R1116,60),"00.00"),TEXT(R1116,"0.00")))</f>
        <v/>
      </c>
      <c r="T1116" s="52">
        <f>IFERROR((G1116-INDEX('01_Swimmers'!$E$5:$E$22,MATCH(B1116,'01_Swimmers'!$A$5:$A$22,0)))/'00_Control'!$B$10,"")</f>
        <v/>
      </c>
      <c r="U1116" s="35">
        <f>IF(T1116="","",INT(T1116))</f>
        <v/>
      </c>
      <c r="V1116" s="33" t="inlineStr">
        <is>
          <t>NO</t>
        </is>
      </c>
      <c r="W1116" s="33" t="inlineStr">
        <is>
          <t>YES</t>
        </is>
      </c>
      <c r="X1116" s="33" t="inlineStr">
        <is>
          <t>NO</t>
        </is>
      </c>
      <c r="Y1116" s="33" t="n">
        <v>1</v>
      </c>
      <c r="Z1116" s="33" t="n"/>
      <c r="AA1116" s="33" t="inlineStr">
        <is>
          <t>17</t>
        </is>
      </c>
      <c r="AB1116" s="33" t="inlineStr">
        <is>
          <t>https://www.swimcloud.com/results/387116/event/16/?id=184298256#time184298256</t>
        </is>
      </c>
      <c r="AC1116" s="33" t="inlineStr">
        <is>
          <t>SwimCloud API v6 2026-10-08</t>
        </is>
      </c>
      <c r="AD1116" s="33" t="inlineStr">
        <is>
          <t>Grayson Coulter|2026-08-17|LCM|100|Free|51.18|Junior Pan Pacific Championships|PRE|False</t>
        </is>
      </c>
      <c r="AE1116" s="53">
        <f>G1116+L1116/1000+ROW()/1000000000</f>
        <v/>
      </c>
      <c r="AF1116" s="35">
        <f>IF(C1116&lt;&gt;"Grayson Coulter","",COUNTIFS($C$5:$C$2991,"Grayson Coulter",$Q$5:$Q$2991,Q1116,$AE$5:$AE$2991,"&lt;="&amp;AE1116,$R$5:$R$2991,"&lt;"&amp;R1116))</f>
        <v/>
      </c>
      <c r="AG1116" s="35">
        <f>IF(OR(C1116&lt;&gt;"Grayson Coulter",G1116&lt;'00_Control'!$B$7),"",--(AF1116&lt;5))</f>
        <v/>
      </c>
      <c r="AH1116" s="35">
        <f>IF(OR(C1116&lt;&gt;"Grayson Coulter",G1116&lt;'00_Control'!$B$7),"",--(AF1116&lt;10))</f>
        <v/>
      </c>
      <c r="AI1116" s="35">
        <f>IF(AND(C1116="Grayson Coulter",G1116&gt;='00_Control'!$B$7),"YES","NO")</f>
        <v/>
      </c>
      <c r="AJ1116" s="33" t="inlineStr">
        <is>
          <t>OK</t>
        </is>
      </c>
    </row>
    <row r="1117">
      <c r="A1117" s="33" t="inlineStr">
        <is>
          <t>SM001113</t>
        </is>
      </c>
      <c r="B1117" s="33" t="inlineStr">
        <is>
          <t>SW001</t>
        </is>
      </c>
      <c r="C1117" s="33" t="inlineStr">
        <is>
          <t>Grayson Coulter</t>
        </is>
      </c>
      <c r="D1117" s="33" t="inlineStr">
        <is>
          <t>SwimCloud</t>
        </is>
      </c>
      <c r="E1117" s="33" t="inlineStr">
        <is>
          <t>3637780</t>
        </is>
      </c>
      <c r="F1117" s="33" t="inlineStr">
        <is>
          <t>184298257</t>
        </is>
      </c>
      <c r="G1117" s="51" t="n">
        <v>46251</v>
      </c>
      <c r="H1117" s="33" t="inlineStr">
        <is>
          <t>Junior Pan Pacific Championships</t>
        </is>
      </c>
      <c r="I1117" s="33" t="inlineStr">
        <is>
          <t>387116</t>
        </is>
      </c>
      <c r="J1117" s="33" t="inlineStr"/>
      <c r="K1117" s="33" t="inlineStr">
        <is>
          <t>FIN</t>
        </is>
      </c>
      <c r="L1117" s="35">
        <f>IF(K1117="FIN",3,IF(OR(K1117="SEM",K1117="SEMI"),2,IF(OR(K1117="PRE",K1117="HEAT"),1,IF(V1117="YES",4,2))))</f>
        <v/>
      </c>
      <c r="M1117" s="33" t="inlineStr">
        <is>
          <t>LCM</t>
        </is>
      </c>
      <c r="N1117" s="33" t="n">
        <v>100</v>
      </c>
      <c r="O1117" s="33" t="inlineStr">
        <is>
          <t>Free</t>
        </is>
      </c>
      <c r="P1117" s="33" t="inlineStr">
        <is>
          <t>100 Free</t>
        </is>
      </c>
      <c r="Q1117" s="33" t="inlineStr">
        <is>
          <t>LCM_100_FREE</t>
        </is>
      </c>
      <c r="R1117" s="36" t="n">
        <v>51.29</v>
      </c>
      <c r="S1117" s="35">
        <f>IF(R1117="","",IF(R1117&gt;=60,INT(R1117/60)&amp;":"&amp;TEXT(MOD(R1117,60),"00.00"),TEXT(R1117,"0.00")))</f>
        <v/>
      </c>
      <c r="T1117" s="52">
        <f>IFERROR((G1117-INDEX('01_Swimmers'!$E$5:$E$22,MATCH(B1117,'01_Swimmers'!$A$5:$A$22,0)))/'00_Control'!$B$10,"")</f>
        <v/>
      </c>
      <c r="U1117" s="35">
        <f>IF(T1117="","",INT(T1117))</f>
        <v/>
      </c>
      <c r="V1117" s="33" t="inlineStr">
        <is>
          <t>NO</t>
        </is>
      </c>
      <c r="W1117" s="33" t="inlineStr">
        <is>
          <t>YES</t>
        </is>
      </c>
      <c r="X1117" s="33" t="inlineStr">
        <is>
          <t>NO</t>
        </is>
      </c>
      <c r="Y1117" s="33" t="n">
        <v>1</v>
      </c>
      <c r="Z1117" s="33" t="n"/>
      <c r="AA1117" s="33" t="inlineStr">
        <is>
          <t>17</t>
        </is>
      </c>
      <c r="AB1117" s="33" t="inlineStr">
        <is>
          <t>https://www.swimcloud.com/results/387116/event/16/?id=184298257#time184298257</t>
        </is>
      </c>
      <c r="AC1117" s="33" t="inlineStr">
        <is>
          <t>SwimCloud API v6 2026-10-08</t>
        </is>
      </c>
      <c r="AD1117" s="33" t="inlineStr">
        <is>
          <t>Grayson Coulter|2026-08-17|LCM|100|Free|51.29|Junior Pan Pacific Championships|FIN|False</t>
        </is>
      </c>
      <c r="AE1117" s="53">
        <f>G1117+L1117/1000+ROW()/1000000000</f>
        <v/>
      </c>
      <c r="AF1117" s="35">
        <f>IF(C1117&lt;&gt;"Grayson Coulter","",COUNTIFS($C$5:$C$2991,"Grayson Coulter",$Q$5:$Q$2991,Q1117,$AE$5:$AE$2991,"&lt;="&amp;AE1117,$R$5:$R$2991,"&lt;"&amp;R1117))</f>
        <v/>
      </c>
      <c r="AG1117" s="35">
        <f>IF(OR(C1117&lt;&gt;"Grayson Coulter",G1117&lt;'00_Control'!$B$7),"",--(AF1117&lt;5))</f>
        <v/>
      </c>
      <c r="AH1117" s="35">
        <f>IF(OR(C1117&lt;&gt;"Grayson Coulter",G1117&lt;'00_Control'!$B$7),"",--(AF1117&lt;10))</f>
        <v/>
      </c>
      <c r="AI1117" s="35">
        <f>IF(AND(C1117="Grayson Coulter",G1117&gt;='00_Control'!$B$7),"YES","NO")</f>
        <v/>
      </c>
      <c r="AJ1117" s="33" t="inlineStr">
        <is>
          <t>OK</t>
        </is>
      </c>
    </row>
    <row r="1118">
      <c r="A1118" s="33" t="inlineStr">
        <is>
          <t>SM001114</t>
        </is>
      </c>
      <c r="B1118" s="33" t="inlineStr">
        <is>
          <t>SW001</t>
        </is>
      </c>
      <c r="C1118" s="33" t="inlineStr">
        <is>
          <t>Grayson Coulter</t>
        </is>
      </c>
      <c r="D1118" s="33" t="inlineStr">
        <is>
          <t>SwimCloud</t>
        </is>
      </c>
      <c r="E1118" s="33" t="inlineStr">
        <is>
          <t>3637780</t>
        </is>
      </c>
      <c r="F1118" s="33" t="inlineStr">
        <is>
          <t>184299595</t>
        </is>
      </c>
      <c r="G1118" s="51" t="n">
        <v>46251</v>
      </c>
      <c r="H1118" s="33" t="inlineStr">
        <is>
          <t>Junior Pan Pacific Championships</t>
        </is>
      </c>
      <c r="I1118" s="33" t="inlineStr">
        <is>
          <t>387116</t>
        </is>
      </c>
      <c r="J1118" s="33" t="inlineStr"/>
      <c r="K1118" s="33" t="inlineStr">
        <is>
          <t>TIM</t>
        </is>
      </c>
      <c r="L1118" s="35">
        <f>IF(K1118="FIN",3,IF(OR(K1118="SEM",K1118="SEMI"),2,IF(OR(K1118="PRE",K1118="HEAT"),1,IF(V1118="YES",4,2))))</f>
        <v/>
      </c>
      <c r="M1118" s="33" t="inlineStr">
        <is>
          <t>LCM</t>
        </is>
      </c>
      <c r="N1118" s="33" t="n">
        <v>100</v>
      </c>
      <c r="O1118" s="33" t="inlineStr">
        <is>
          <t>Free</t>
        </is>
      </c>
      <c r="P1118" s="33" t="inlineStr">
        <is>
          <t>100 Free</t>
        </is>
      </c>
      <c r="Q1118" s="33" t="inlineStr">
        <is>
          <t>LCM_100_FREE</t>
        </is>
      </c>
      <c r="R1118" s="36" t="n">
        <v>51.04</v>
      </c>
      <c r="S1118" s="35">
        <f>IF(R1118="","",IF(R1118&gt;=60,INT(R1118/60)&amp;":"&amp;TEXT(MOD(R1118,60),"00.00"),TEXT(R1118,"0.00")))</f>
        <v/>
      </c>
      <c r="T1118" s="52">
        <f>IFERROR((G1118-INDEX('01_Swimmers'!$E$5:$E$22,MATCH(B1118,'01_Swimmers'!$A$5:$A$22,0)))/'00_Control'!$B$10,"")</f>
        <v/>
      </c>
      <c r="U1118" s="35">
        <f>IF(T1118="","",INT(T1118))</f>
        <v/>
      </c>
      <c r="V1118" s="33" t="inlineStr">
        <is>
          <t>YES</t>
        </is>
      </c>
      <c r="W1118" s="33" t="inlineStr">
        <is>
          <t>YES</t>
        </is>
      </c>
      <c r="X1118" s="33" t="inlineStr">
        <is>
          <t>NO</t>
        </is>
      </c>
      <c r="Y1118" s="33" t="n"/>
      <c r="Z1118" s="33" t="n"/>
      <c r="AA1118" s="33" t="inlineStr"/>
      <c r="AB1118" s="33" t="inlineStr">
        <is>
          <t>https://www.swimcloud.com/results/387116/event/32/?id=184299431#time184299431</t>
        </is>
      </c>
      <c r="AC1118" s="33" t="inlineStr">
        <is>
          <t>SwimCloud API v6 2026-10-08</t>
        </is>
      </c>
      <c r="AD1118" s="33" t="inlineStr">
        <is>
          <t>Grayson Coulter|2026-08-17|LCM|100|Free|51.04|Junior Pan Pacific Championships|TIM|True</t>
        </is>
      </c>
      <c r="AE1118" s="53">
        <f>G1118+L1118/1000+ROW()/1000000000</f>
        <v/>
      </c>
      <c r="AF1118" s="35">
        <f>IF(C1118&lt;&gt;"Grayson Coulter","",COUNTIFS($C$5:$C$2991,"Grayson Coulter",$Q$5:$Q$2991,Q1118,$AE$5:$AE$2991,"&lt;="&amp;AE1118,$R$5:$R$2991,"&lt;"&amp;R1118))</f>
        <v/>
      </c>
      <c r="AG1118" s="35">
        <f>IF(OR(C1118&lt;&gt;"Grayson Coulter",G1118&lt;'00_Control'!$B$7),"",--(AF1118&lt;5))</f>
        <v/>
      </c>
      <c r="AH1118" s="35">
        <f>IF(OR(C1118&lt;&gt;"Grayson Coulter",G1118&lt;'00_Control'!$B$7),"",--(AF1118&lt;10))</f>
        <v/>
      </c>
      <c r="AI1118" s="35">
        <f>IF(AND(C1118="Grayson Coulter",G1118&gt;='00_Control'!$B$7),"YES","NO")</f>
        <v/>
      </c>
      <c r="AJ1118" s="33" t="inlineStr">
        <is>
          <t>OK</t>
        </is>
      </c>
    </row>
    <row r="1119">
      <c r="A1119" s="33" t="inlineStr">
        <is>
          <t>SM001115</t>
        </is>
      </c>
      <c r="B1119" s="33" t="inlineStr">
        <is>
          <t>SW001</t>
        </is>
      </c>
      <c r="C1119" s="33" t="inlineStr">
        <is>
          <t>Grayson Coulter</t>
        </is>
      </c>
      <c r="D1119" s="33" t="inlineStr">
        <is>
          <t>SwimCloud</t>
        </is>
      </c>
      <c r="E1119" s="33" t="inlineStr">
        <is>
          <t>3637780</t>
        </is>
      </c>
      <c r="F1119" s="33" t="inlineStr">
        <is>
          <t>184298050</t>
        </is>
      </c>
      <c r="G1119" s="51" t="n">
        <v>46251</v>
      </c>
      <c r="H1119" s="33" t="inlineStr">
        <is>
          <t>Junior Pan Pacific Championships</t>
        </is>
      </c>
      <c r="I1119" s="33" t="inlineStr">
        <is>
          <t>387116</t>
        </is>
      </c>
      <c r="J1119" s="33" t="inlineStr"/>
      <c r="K1119" s="33" t="inlineStr">
        <is>
          <t>PRE</t>
        </is>
      </c>
      <c r="L1119" s="35">
        <f>IF(K1119="FIN",3,IF(OR(K1119="SEM",K1119="SEMI"),2,IF(OR(K1119="PRE",K1119="HEAT"),1,IF(V1119="YES",4,2))))</f>
        <v/>
      </c>
      <c r="M1119" s="33" t="inlineStr">
        <is>
          <t>LCM</t>
        </is>
      </c>
      <c r="N1119" s="33" t="n">
        <v>200</v>
      </c>
      <c r="O1119" s="33" t="inlineStr">
        <is>
          <t>Free</t>
        </is>
      </c>
      <c r="P1119" s="33" t="inlineStr">
        <is>
          <t>200 Free</t>
        </is>
      </c>
      <c r="Q1119" s="33" t="inlineStr">
        <is>
          <t>LCM_200_FREE</t>
        </is>
      </c>
      <c r="R1119" s="36" t="n">
        <v>111.8</v>
      </c>
      <c r="S1119" s="35">
        <f>IF(R1119="","",IF(R1119&gt;=60,INT(R1119/60)&amp;":"&amp;TEXT(MOD(R1119,60),"00.00"),TEXT(R1119,"0.00")))</f>
        <v/>
      </c>
      <c r="T1119" s="52">
        <f>IFERROR((G1119-INDEX('01_Swimmers'!$E$5:$E$22,MATCH(B1119,'01_Swimmers'!$A$5:$A$22,0)))/'00_Control'!$B$10,"")</f>
        <v/>
      </c>
      <c r="U1119" s="35">
        <f>IF(T1119="","",INT(T1119))</f>
        <v/>
      </c>
      <c r="V1119" s="33" t="inlineStr">
        <is>
          <t>NO</t>
        </is>
      </c>
      <c r="W1119" s="33" t="inlineStr">
        <is>
          <t>YES</t>
        </is>
      </c>
      <c r="X1119" s="33" t="inlineStr">
        <is>
          <t>NO</t>
        </is>
      </c>
      <c r="Y1119" s="33" t="n">
        <v>1</v>
      </c>
      <c r="Z1119" s="33" t="n"/>
      <c r="AA1119" s="33" t="inlineStr">
        <is>
          <t>16</t>
        </is>
      </c>
      <c r="AB1119" s="33" t="inlineStr">
        <is>
          <t>https://www.swimcloud.com/results/387116/event/4/?id=184298050#time184298050</t>
        </is>
      </c>
      <c r="AC1119" s="33" t="inlineStr">
        <is>
          <t>SwimCloud API v6 2026-10-08</t>
        </is>
      </c>
      <c r="AD1119" s="33" t="inlineStr">
        <is>
          <t>Grayson Coulter|2026-08-17|LCM|200|Free|111.8|Junior Pan Pacific Championships|PRE|False</t>
        </is>
      </c>
      <c r="AE1119" s="53">
        <f>G1119+L1119/1000+ROW()/1000000000</f>
        <v/>
      </c>
      <c r="AF1119" s="35">
        <f>IF(C1119&lt;&gt;"Grayson Coulter","",COUNTIFS($C$5:$C$2991,"Grayson Coulter",$Q$5:$Q$2991,Q1119,$AE$5:$AE$2991,"&lt;="&amp;AE1119,$R$5:$R$2991,"&lt;"&amp;R1119))</f>
        <v/>
      </c>
      <c r="AG1119" s="35">
        <f>IF(OR(C1119&lt;&gt;"Grayson Coulter",G1119&lt;'00_Control'!$B$7),"",--(AF1119&lt;5))</f>
        <v/>
      </c>
      <c r="AH1119" s="35">
        <f>IF(OR(C1119&lt;&gt;"Grayson Coulter",G1119&lt;'00_Control'!$B$7),"",--(AF1119&lt;10))</f>
        <v/>
      </c>
      <c r="AI1119" s="35">
        <f>IF(AND(C1119="Grayson Coulter",G1119&gt;='00_Control'!$B$7),"YES","NO")</f>
        <v/>
      </c>
      <c r="AJ1119" s="33" t="inlineStr">
        <is>
          <t>OK</t>
        </is>
      </c>
    </row>
    <row r="1120">
      <c r="A1120" s="33" t="inlineStr">
        <is>
          <t>SM001116</t>
        </is>
      </c>
      <c r="B1120" s="33" t="inlineStr">
        <is>
          <t>SW001</t>
        </is>
      </c>
      <c r="C1120" s="33" t="inlineStr">
        <is>
          <t>Grayson Coulter</t>
        </is>
      </c>
      <c r="D1120" s="33" t="inlineStr">
        <is>
          <t>SwimCloud</t>
        </is>
      </c>
      <c r="E1120" s="33" t="inlineStr">
        <is>
          <t>3637780</t>
        </is>
      </c>
      <c r="F1120" s="33" t="inlineStr">
        <is>
          <t>184298051</t>
        </is>
      </c>
      <c r="G1120" s="51" t="n">
        <v>46251</v>
      </c>
      <c r="H1120" s="33" t="inlineStr">
        <is>
          <t>Junior Pan Pacific Championships</t>
        </is>
      </c>
      <c r="I1120" s="33" t="inlineStr">
        <is>
          <t>387116</t>
        </is>
      </c>
      <c r="J1120" s="33" t="inlineStr"/>
      <c r="K1120" s="33" t="inlineStr">
        <is>
          <t>FIN</t>
        </is>
      </c>
      <c r="L1120" s="35">
        <f>IF(K1120="FIN",3,IF(OR(K1120="SEM",K1120="SEMI"),2,IF(OR(K1120="PRE",K1120="HEAT"),1,IF(V1120="YES",4,2))))</f>
        <v/>
      </c>
      <c r="M1120" s="33" t="inlineStr">
        <is>
          <t>LCM</t>
        </is>
      </c>
      <c r="N1120" s="33" t="n">
        <v>200</v>
      </c>
      <c r="O1120" s="33" t="inlineStr">
        <is>
          <t>Free</t>
        </is>
      </c>
      <c r="P1120" s="33" t="inlineStr">
        <is>
          <t>200 Free</t>
        </is>
      </c>
      <c r="Q1120" s="33" t="inlineStr">
        <is>
          <t>LCM_200_FREE</t>
        </is>
      </c>
      <c r="R1120" s="36" t="n">
        <v>111.5</v>
      </c>
      <c r="S1120" s="35">
        <f>IF(R1120="","",IF(R1120&gt;=60,INT(R1120/60)&amp;":"&amp;TEXT(MOD(R1120,60),"00.00"),TEXT(R1120,"0.00")))</f>
        <v/>
      </c>
      <c r="T1120" s="52">
        <f>IFERROR((G1120-INDEX('01_Swimmers'!$E$5:$E$22,MATCH(B1120,'01_Swimmers'!$A$5:$A$22,0)))/'00_Control'!$B$10,"")</f>
        <v/>
      </c>
      <c r="U1120" s="35">
        <f>IF(T1120="","",INT(T1120))</f>
        <v/>
      </c>
      <c r="V1120" s="33" t="inlineStr">
        <is>
          <t>NO</t>
        </is>
      </c>
      <c r="W1120" s="33" t="inlineStr">
        <is>
          <t>YES</t>
        </is>
      </c>
      <c r="X1120" s="33" t="inlineStr">
        <is>
          <t>NO</t>
        </is>
      </c>
      <c r="Y1120" s="33" t="n">
        <v>1</v>
      </c>
      <c r="Z1120" s="33" t="n"/>
      <c r="AA1120" s="33" t="inlineStr">
        <is>
          <t>16</t>
        </is>
      </c>
      <c r="AB1120" s="33" t="inlineStr">
        <is>
          <t>https://www.swimcloud.com/results/387116/event/4/?id=184298051#time184298051</t>
        </is>
      </c>
      <c r="AC1120" s="33" t="inlineStr">
        <is>
          <t>SwimCloud API v6 2026-10-08</t>
        </is>
      </c>
      <c r="AD1120" s="33" t="inlineStr">
        <is>
          <t>Grayson Coulter|2026-08-17|LCM|200|Free|111.5|Junior Pan Pacific Championships|FIN|False</t>
        </is>
      </c>
      <c r="AE1120" s="53">
        <f>G1120+L1120/1000+ROW()/1000000000</f>
        <v/>
      </c>
      <c r="AF1120" s="35">
        <f>IF(C1120&lt;&gt;"Grayson Coulter","",COUNTIFS($C$5:$C$2991,"Grayson Coulter",$Q$5:$Q$2991,Q1120,$AE$5:$AE$2991,"&lt;="&amp;AE1120,$R$5:$R$2991,"&lt;"&amp;R1120))</f>
        <v/>
      </c>
      <c r="AG1120" s="35">
        <f>IF(OR(C1120&lt;&gt;"Grayson Coulter",G1120&lt;'00_Control'!$B$7),"",--(AF1120&lt;5))</f>
        <v/>
      </c>
      <c r="AH1120" s="35">
        <f>IF(OR(C1120&lt;&gt;"Grayson Coulter",G1120&lt;'00_Control'!$B$7),"",--(AF1120&lt;10))</f>
        <v/>
      </c>
      <c r="AI1120" s="35">
        <f>IF(AND(C1120="Grayson Coulter",G1120&gt;='00_Control'!$B$7),"YES","NO")</f>
        <v/>
      </c>
      <c r="AJ1120" s="33" t="inlineStr">
        <is>
          <t>OK</t>
        </is>
      </c>
    </row>
    <row r="1121">
      <c r="A1121" s="33" t="inlineStr">
        <is>
          <t>SM001117</t>
        </is>
      </c>
      <c r="B1121" s="33" t="inlineStr">
        <is>
          <t>SW001</t>
        </is>
      </c>
      <c r="C1121" s="33" t="inlineStr">
        <is>
          <t>Grayson Coulter</t>
        </is>
      </c>
      <c r="D1121" s="33" t="inlineStr">
        <is>
          <t>SwimCloud</t>
        </is>
      </c>
      <c r="E1121" s="33" t="inlineStr">
        <is>
          <t>3637780</t>
        </is>
      </c>
      <c r="F1121" s="33" t="inlineStr">
        <is>
          <t>184298361</t>
        </is>
      </c>
      <c r="G1121" s="51" t="n">
        <v>46251</v>
      </c>
      <c r="H1121" s="33" t="inlineStr">
        <is>
          <t>Junior Pan Pacific Championships</t>
        </is>
      </c>
      <c r="I1121" s="33" t="inlineStr">
        <is>
          <t>387116</t>
        </is>
      </c>
      <c r="J1121" s="33" t="inlineStr"/>
      <c r="K1121" s="33" t="inlineStr">
        <is>
          <t>PRE</t>
        </is>
      </c>
      <c r="L1121" s="35">
        <f>IF(K1121="FIN",3,IF(OR(K1121="SEM",K1121="SEMI"),2,IF(OR(K1121="PRE",K1121="HEAT"),1,IF(V1121="YES",4,2))))</f>
        <v/>
      </c>
      <c r="M1121" s="33" t="inlineStr">
        <is>
          <t>LCM</t>
        </is>
      </c>
      <c r="N1121" s="33" t="n">
        <v>400</v>
      </c>
      <c r="O1121" s="33" t="inlineStr">
        <is>
          <t>Free</t>
        </is>
      </c>
      <c r="P1121" s="33" t="inlineStr">
        <is>
          <t>400 Free</t>
        </is>
      </c>
      <c r="Q1121" s="33" t="inlineStr">
        <is>
          <t>LCM_400_FREE</t>
        </is>
      </c>
      <c r="R1121" s="36" t="n">
        <v>245.58</v>
      </c>
      <c r="S1121" s="35">
        <f>IF(R1121="","",IF(R1121&gt;=60,INT(R1121/60)&amp;":"&amp;TEXT(MOD(R1121,60),"00.00"),TEXT(R1121,"0.00")))</f>
        <v/>
      </c>
      <c r="T1121" s="52">
        <f>IFERROR((G1121-INDEX('01_Swimmers'!$E$5:$E$22,MATCH(B1121,'01_Swimmers'!$A$5:$A$22,0)))/'00_Control'!$B$10,"")</f>
        <v/>
      </c>
      <c r="U1121" s="35">
        <f>IF(T1121="","",INT(T1121))</f>
        <v/>
      </c>
      <c r="V1121" s="33" t="inlineStr">
        <is>
          <t>NO</t>
        </is>
      </c>
      <c r="W1121" s="33" t="inlineStr">
        <is>
          <t>YES</t>
        </is>
      </c>
      <c r="X1121" s="33" t="inlineStr">
        <is>
          <t>NO</t>
        </is>
      </c>
      <c r="Y1121" s="33" t="n">
        <v>1</v>
      </c>
      <c r="Z1121" s="33" t="n"/>
      <c r="AA1121" s="33" t="inlineStr">
        <is>
          <t>25</t>
        </is>
      </c>
      <c r="AB1121" s="33" t="inlineStr">
        <is>
          <t>https://www.swimcloud.com/results/387116/event/24/?id=184298361#time184298361</t>
        </is>
      </c>
      <c r="AC1121" s="33" t="inlineStr">
        <is>
          <t>SwimCloud API v6 2026-10-08</t>
        </is>
      </c>
      <c r="AD1121" s="33" t="inlineStr">
        <is>
          <t>Grayson Coulter|2026-08-17|LCM|400|Free|245.58|Junior Pan Pacific Championships|PRE|False</t>
        </is>
      </c>
      <c r="AE1121" s="53">
        <f>G1121+L1121/1000+ROW()/1000000000</f>
        <v/>
      </c>
      <c r="AF1121" s="35">
        <f>IF(C1121&lt;&gt;"Grayson Coulter","",COUNTIFS($C$5:$C$2991,"Grayson Coulter",$Q$5:$Q$2991,Q1121,$AE$5:$AE$2991,"&lt;="&amp;AE1121,$R$5:$R$2991,"&lt;"&amp;R1121))</f>
        <v/>
      </c>
      <c r="AG1121" s="35">
        <f>IF(OR(C1121&lt;&gt;"Grayson Coulter",G1121&lt;'00_Control'!$B$7),"",--(AF1121&lt;5))</f>
        <v/>
      </c>
      <c r="AH1121" s="35">
        <f>IF(OR(C1121&lt;&gt;"Grayson Coulter",G1121&lt;'00_Control'!$B$7),"",--(AF1121&lt;10))</f>
        <v/>
      </c>
      <c r="AI1121" s="35">
        <f>IF(AND(C1121="Grayson Coulter",G1121&gt;='00_Control'!$B$7),"YES","NO")</f>
        <v/>
      </c>
      <c r="AJ1121" s="33" t="inlineStr">
        <is>
          <t>OK</t>
        </is>
      </c>
    </row>
    <row r="1122" s="17">
      <c r="A1122" s="33" t="inlineStr">
        <is>
          <t>SM001118</t>
        </is>
      </c>
      <c r="B1122" s="33" t="inlineStr">
        <is>
          <t>SW001</t>
        </is>
      </c>
      <c r="C1122" s="33" t="inlineStr">
        <is>
          <t>Grayson Coulter</t>
        </is>
      </c>
      <c r="D1122" s="33" t="inlineStr">
        <is>
          <t>NZSC 2026 public report</t>
        </is>
      </c>
      <c r="E1122" s="33" t="inlineStr"/>
      <c r="F1122" s="33" t="inlineStr">
        <is>
          <t>NZSC2026-01</t>
        </is>
      </c>
      <c r="G1122" s="51" t="n">
        <v>46293</v>
      </c>
      <c r="H1122" s="33" t="inlineStr">
        <is>
          <t>2026 New Zealand Short Course Championships</t>
        </is>
      </c>
      <c r="I1122" s="33" t="inlineStr">
        <is>
          <t>NZSC2026</t>
        </is>
      </c>
      <c r="J1122" s="33" t="inlineStr"/>
      <c r="K1122" s="33" t="inlineStr">
        <is>
          <t>PRE</t>
        </is>
      </c>
      <c r="L1122" s="35">
        <f>IF(K1122="FIN",3,IF(OR(K1122="SEM",K1122="SEMI"),2,IF(OR(K1122="PRE",K1122="HEAT"),1,IF(V1122="YES",4,2))))</f>
        <v/>
      </c>
      <c r="M1122" s="33" t="inlineStr">
        <is>
          <t>SCM</t>
        </is>
      </c>
      <c r="N1122" s="33" t="n">
        <v>100</v>
      </c>
      <c r="O1122" s="33" t="inlineStr">
        <is>
          <t>Free</t>
        </is>
      </c>
      <c r="P1122" s="33" t="inlineStr">
        <is>
          <t>100 Free</t>
        </is>
      </c>
      <c r="Q1122" s="33" t="inlineStr">
        <is>
          <t>SCM_100_FREE</t>
        </is>
      </c>
      <c r="R1122" s="36" t="n">
        <v>50.16</v>
      </c>
      <c r="S1122" s="35">
        <f>IF(R1122="","",IF(R1122&gt;=60,INT(R1122/60)&amp;":"&amp;TEXT(MOD(R1122,60),"00.00"),TEXT(R1122,"0.00")))</f>
        <v/>
      </c>
      <c r="T1122" s="52">
        <f>IFERROR((G1122-INDEX('01_Swimmers'!$E$5:$E$22,MATCH(B1122,'01_Swimmers'!$A$5:$A$22,0)))/'00_Control'!$B$10,"")</f>
        <v/>
      </c>
      <c r="U1122" s="35">
        <f>IF(T1122="","",INT(T1122))</f>
        <v/>
      </c>
      <c r="V1122" s="33" t="inlineStr">
        <is>
          <t>NO</t>
        </is>
      </c>
      <c r="W1122" s="33" t="inlineStr">
        <is>
          <t>YES</t>
        </is>
      </c>
      <c r="X1122" s="33" t="inlineStr">
        <is>
          <t>NO</t>
        </is>
      </c>
      <c r="Y1122" s="33" t="inlineStr"/>
      <c r="Z1122" s="33" t="inlineStr"/>
      <c r="AA1122" s="33" t="inlineStr"/>
      <c r="AB1122" s="33" t="inlineStr">
        <is>
          <t>https://swimdadnz.github.io/NZSC_2026/NZSC_2026_Day2_editorial_report_PB_corrected.html</t>
        </is>
      </c>
      <c r="AC1122" s="33" t="inlineStr">
        <is>
          <t>NZSC 2026 supplement 2026-10-08</t>
        </is>
      </c>
      <c r="AD1122" s="33" t="inlineStr">
        <is>
          <t>Grayson Coulter|2026-09-28|SCM|100|Free|50.16|2026 New Zealand Short Course Championships|PRE|False</t>
        </is>
      </c>
      <c r="AE1122" s="53">
        <f>G1122+L1122/1000+ROW()/1000000000</f>
        <v/>
      </c>
      <c r="AF1122" s="35">
        <f>IF(C1122&lt;&gt;"Grayson Coulter","",COUNTIFS($C$5:$C$2991,"Grayson Coulter",$Q$5:$Q$2991,Q1122,$AE$5:$AE$2991,"&lt;="&amp;AE1122,$R$5:$R$2991,"&lt;"&amp;R1122))</f>
        <v/>
      </c>
      <c r="AG1122" s="35">
        <f>IF(OR(C1122&lt;&gt;"Grayson Coulter",G1122&lt;'00_Control'!$B$7),"",--(AF1122&lt;5))</f>
        <v/>
      </c>
      <c r="AH1122" s="35">
        <f>IF(OR(C1122&lt;&gt;"Grayson Coulter",G1122&lt;'00_Control'!$B$7),"",--(AF1122&lt;10))</f>
        <v/>
      </c>
      <c r="AI1122" s="35">
        <f>IF(AND(C1122="Grayson Coulter",G1122&gt;='00_Control'!$B$7),"YES","NO")</f>
        <v/>
      </c>
      <c r="AJ1122" s="33" t="inlineStr">
        <is>
          <t>OK</t>
        </is>
      </c>
    </row>
    <row r="1123">
      <c r="A1123" s="33" t="inlineStr">
        <is>
          <t>SM001119</t>
        </is>
      </c>
      <c r="B1123" s="33" t="inlineStr">
        <is>
          <t>SW001</t>
        </is>
      </c>
      <c r="C1123" s="33" t="inlineStr">
        <is>
          <t>Grayson Coulter</t>
        </is>
      </c>
      <c r="D1123" s="33" t="inlineStr">
        <is>
          <t>NZSC 2026 public report</t>
        </is>
      </c>
      <c r="E1123" s="33" t="inlineStr"/>
      <c r="F1123" s="33" t="inlineStr">
        <is>
          <t>NZSC2026-02</t>
        </is>
      </c>
      <c r="G1123" s="51" t="n">
        <v>46293</v>
      </c>
      <c r="H1123" s="33" t="inlineStr">
        <is>
          <t>2026 New Zealand Short Course Championships</t>
        </is>
      </c>
      <c r="I1123" s="33" t="inlineStr">
        <is>
          <t>NZSC2026</t>
        </is>
      </c>
      <c r="J1123" s="33" t="inlineStr"/>
      <c r="K1123" s="33" t="inlineStr">
        <is>
          <t>FIN</t>
        </is>
      </c>
      <c r="L1123" s="35">
        <f>IF(K1123="FIN",3,IF(OR(K1123="SEM",K1123="SEMI"),2,IF(OR(K1123="PRE",K1123="HEAT"),1,IF(V1123="YES",4,2))))</f>
        <v/>
      </c>
      <c r="M1123" s="33" t="inlineStr">
        <is>
          <t>SCM</t>
        </is>
      </c>
      <c r="N1123" s="33" t="n">
        <v>100</v>
      </c>
      <c r="O1123" s="33" t="inlineStr">
        <is>
          <t>Free</t>
        </is>
      </c>
      <c r="P1123" s="33" t="inlineStr">
        <is>
          <t>100 Free</t>
        </is>
      </c>
      <c r="Q1123" s="33" t="inlineStr">
        <is>
          <t>SCM_100_FREE</t>
        </is>
      </c>
      <c r="R1123" s="36" t="n">
        <v>50.1</v>
      </c>
      <c r="S1123" s="35">
        <f>IF(R1123="","",IF(R1123&gt;=60,INT(R1123/60)&amp;":"&amp;TEXT(MOD(R1123,60),"00.00"),TEXT(R1123,"0.00")))</f>
        <v/>
      </c>
      <c r="T1123" s="52">
        <f>IFERROR((G1123-INDEX('01_Swimmers'!$E$5:$E$22,MATCH(B1123,'01_Swimmers'!$A$5:$A$22,0)))/'00_Control'!$B$10,"")</f>
        <v/>
      </c>
      <c r="U1123" s="35">
        <f>IF(T1123="","",INT(T1123))</f>
        <v/>
      </c>
      <c r="V1123" s="33" t="inlineStr">
        <is>
          <t>NO</t>
        </is>
      </c>
      <c r="W1123" s="33" t="inlineStr">
        <is>
          <t>YES</t>
        </is>
      </c>
      <c r="X1123" s="33" t="inlineStr">
        <is>
          <t>NO</t>
        </is>
      </c>
      <c r="Y1123" s="33" t="inlineStr"/>
      <c r="Z1123" s="33" t="inlineStr"/>
      <c r="AA1123" s="33" t="inlineStr"/>
      <c r="AB1123" s="33" t="inlineStr">
        <is>
          <t>https://swimdadnz.github.io/NZSC_2026/NZSC_2026_Day2_editorial_report_PB_corrected.html</t>
        </is>
      </c>
      <c r="AC1123" s="33" t="inlineStr">
        <is>
          <t>NZSC 2026 supplement 2026-10-08</t>
        </is>
      </c>
      <c r="AD1123" s="33" t="inlineStr">
        <is>
          <t>Grayson Coulter|2026-09-28|SCM|100|Free|50.1|2026 New Zealand Short Course Championships|FIN|False</t>
        </is>
      </c>
      <c r="AE1123" s="53">
        <f>G1123+L1123/1000+ROW()/1000000000</f>
        <v/>
      </c>
      <c r="AF1123" s="35">
        <f>IF(C1123&lt;&gt;"Grayson Coulter","",COUNTIFS($C$5:$C$2991,"Grayson Coulter",$Q$5:$Q$2991,Q1123,$AE$5:$AE$2991,"&lt;="&amp;AE1123,$R$5:$R$2991,"&lt;"&amp;R1123))</f>
        <v/>
      </c>
      <c r="AG1123" s="35">
        <f>IF(OR(C1123&lt;&gt;"Grayson Coulter",G1123&lt;'00_Control'!$B$7),"",--(AF1123&lt;5))</f>
        <v/>
      </c>
      <c r="AH1123" s="35">
        <f>IF(OR(C1123&lt;&gt;"Grayson Coulter",G1123&lt;'00_Control'!$B$7),"",--(AF1123&lt;10))</f>
        <v/>
      </c>
      <c r="AI1123" s="35">
        <f>IF(AND(C1123="Grayson Coulter",G1123&gt;='00_Control'!$B$7),"YES","NO")</f>
        <v/>
      </c>
      <c r="AJ1123" s="33" t="inlineStr">
        <is>
          <t>OK</t>
        </is>
      </c>
    </row>
    <row r="1124">
      <c r="A1124" s="33" t="inlineStr">
        <is>
          <t>SM001120</t>
        </is>
      </c>
      <c r="B1124" s="33" t="inlineStr">
        <is>
          <t>SW001</t>
        </is>
      </c>
      <c r="C1124" s="33" t="inlineStr">
        <is>
          <t>Grayson Coulter</t>
        </is>
      </c>
      <c r="D1124" s="33" t="inlineStr">
        <is>
          <t>NZSC 2026 public report</t>
        </is>
      </c>
      <c r="E1124" s="33" t="inlineStr"/>
      <c r="F1124" s="33" t="inlineStr">
        <is>
          <t>NZSC2026-03</t>
        </is>
      </c>
      <c r="G1124" s="51" t="n">
        <v>46294</v>
      </c>
      <c r="H1124" s="33" t="inlineStr">
        <is>
          <t>2026 New Zealand Short Course Championships</t>
        </is>
      </c>
      <c r="I1124" s="33" t="inlineStr">
        <is>
          <t>NZSC2026</t>
        </is>
      </c>
      <c r="J1124" s="33" t="inlineStr"/>
      <c r="K1124" s="33" t="inlineStr">
        <is>
          <t>PRE</t>
        </is>
      </c>
      <c r="L1124" s="35">
        <f>IF(K1124="FIN",3,IF(OR(K1124="SEM",K1124="SEMI"),2,IF(OR(K1124="PRE",K1124="HEAT"),1,IF(V1124="YES",4,2))))</f>
        <v/>
      </c>
      <c r="M1124" s="33" t="inlineStr">
        <is>
          <t>SCM</t>
        </is>
      </c>
      <c r="N1124" s="33" t="n">
        <v>100</v>
      </c>
      <c r="O1124" s="33" t="inlineStr">
        <is>
          <t>Fly</t>
        </is>
      </c>
      <c r="P1124" s="33" t="inlineStr">
        <is>
          <t>100 Fly</t>
        </is>
      </c>
      <c r="Q1124" s="33" t="inlineStr">
        <is>
          <t>SCM_100_FLY</t>
        </is>
      </c>
      <c r="R1124" s="36" t="n">
        <v>54.98</v>
      </c>
      <c r="S1124" s="35">
        <f>IF(R1124="","",IF(R1124&gt;=60,INT(R1124/60)&amp;":"&amp;TEXT(MOD(R1124,60),"00.00"),TEXT(R1124,"0.00")))</f>
        <v/>
      </c>
      <c r="T1124" s="52">
        <f>IFERROR((G1124-INDEX('01_Swimmers'!$E$5:$E$22,MATCH(B1124,'01_Swimmers'!$A$5:$A$22,0)))/'00_Control'!$B$10,"")</f>
        <v/>
      </c>
      <c r="U1124" s="35">
        <f>IF(T1124="","",INT(T1124))</f>
        <v/>
      </c>
      <c r="V1124" s="33" t="inlineStr">
        <is>
          <t>NO</t>
        </is>
      </c>
      <c r="W1124" s="33" t="inlineStr">
        <is>
          <t>YES</t>
        </is>
      </c>
      <c r="X1124" s="33" t="inlineStr">
        <is>
          <t>NO</t>
        </is>
      </c>
      <c r="Y1124" s="33" t="inlineStr"/>
      <c r="Z1124" s="33" t="inlineStr"/>
      <c r="AA1124" s="33" t="inlineStr"/>
      <c r="AB1124" s="33" t="inlineStr">
        <is>
          <t>https://swimdadnz.github.io/NZSC_2026/NZSC_2026_Day3_editorial_report_PB_corrected.html</t>
        </is>
      </c>
      <c r="AC1124" s="33" t="inlineStr">
        <is>
          <t>NZSC 2026 supplement 2026-10-08</t>
        </is>
      </c>
      <c r="AD1124" s="33" t="inlineStr">
        <is>
          <t>Grayson Coulter|2026-09-29|SCM|100|Fly|54.98|2026 New Zealand Short Course Championships|PRE|False</t>
        </is>
      </c>
      <c r="AE1124" s="53">
        <f>G1124+L1124/1000+ROW()/1000000000</f>
        <v/>
      </c>
      <c r="AF1124" s="35">
        <f>IF(C1124&lt;&gt;"Grayson Coulter","",COUNTIFS($C$5:$C$2991,"Grayson Coulter",$Q$5:$Q$2991,Q1124,$AE$5:$AE$2991,"&lt;="&amp;AE1124,$R$5:$R$2991,"&lt;"&amp;R1124))</f>
        <v/>
      </c>
      <c r="AG1124" s="35">
        <f>IF(OR(C1124&lt;&gt;"Grayson Coulter",G1124&lt;'00_Control'!$B$7),"",--(AF1124&lt;5))</f>
        <v/>
      </c>
      <c r="AH1124" s="35">
        <f>IF(OR(C1124&lt;&gt;"Grayson Coulter",G1124&lt;'00_Control'!$B$7),"",--(AF1124&lt;10))</f>
        <v/>
      </c>
      <c r="AI1124" s="35">
        <f>IF(AND(C1124="Grayson Coulter",G1124&gt;='00_Control'!$B$7),"YES","NO")</f>
        <v/>
      </c>
      <c r="AJ1124" s="33" t="inlineStr">
        <is>
          <t>OK</t>
        </is>
      </c>
    </row>
    <row r="1125">
      <c r="A1125" s="33" t="inlineStr">
        <is>
          <t>SM001121</t>
        </is>
      </c>
      <c r="B1125" s="33" t="inlineStr">
        <is>
          <t>SW001</t>
        </is>
      </c>
      <c r="C1125" s="33" t="inlineStr">
        <is>
          <t>Grayson Coulter</t>
        </is>
      </c>
      <c r="D1125" s="33" t="inlineStr">
        <is>
          <t>NZSC 2026 public report</t>
        </is>
      </c>
      <c r="E1125" s="33" t="inlineStr"/>
      <c r="F1125" s="33" t="inlineStr">
        <is>
          <t>NZSC2026-04</t>
        </is>
      </c>
      <c r="G1125" s="51" t="n">
        <v>46294</v>
      </c>
      <c r="H1125" s="33" t="inlineStr">
        <is>
          <t>2026 New Zealand Short Course Championships</t>
        </is>
      </c>
      <c r="I1125" s="33" t="inlineStr">
        <is>
          <t>NZSC2026</t>
        </is>
      </c>
      <c r="J1125" s="33" t="inlineStr"/>
      <c r="K1125" s="33" t="inlineStr">
        <is>
          <t>FIN</t>
        </is>
      </c>
      <c r="L1125" s="35">
        <f>IF(K1125="FIN",3,IF(OR(K1125="SEM",K1125="SEMI"),2,IF(OR(K1125="PRE",K1125="HEAT"),1,IF(V1125="YES",4,2))))</f>
        <v/>
      </c>
      <c r="M1125" s="33" t="inlineStr">
        <is>
          <t>SCM</t>
        </is>
      </c>
      <c r="N1125" s="33" t="n">
        <v>100</v>
      </c>
      <c r="O1125" s="33" t="inlineStr">
        <is>
          <t>Fly</t>
        </is>
      </c>
      <c r="P1125" s="33" t="inlineStr">
        <is>
          <t>100 Fly</t>
        </is>
      </c>
      <c r="Q1125" s="33" t="inlineStr">
        <is>
          <t>SCM_100_FLY</t>
        </is>
      </c>
      <c r="R1125" s="36" t="n">
        <v>54.92</v>
      </c>
      <c r="S1125" s="35">
        <f>IF(R1125="","",IF(R1125&gt;=60,INT(R1125/60)&amp;":"&amp;TEXT(MOD(R1125,60),"00.00"),TEXT(R1125,"0.00")))</f>
        <v/>
      </c>
      <c r="T1125" s="52">
        <f>IFERROR((G1125-INDEX('01_Swimmers'!$E$5:$E$22,MATCH(B1125,'01_Swimmers'!$A$5:$A$22,0)))/'00_Control'!$B$10,"")</f>
        <v/>
      </c>
      <c r="U1125" s="35">
        <f>IF(T1125="","",INT(T1125))</f>
        <v/>
      </c>
      <c r="V1125" s="33" t="inlineStr">
        <is>
          <t>NO</t>
        </is>
      </c>
      <c r="W1125" s="33" t="inlineStr">
        <is>
          <t>YES</t>
        </is>
      </c>
      <c r="X1125" s="33" t="inlineStr">
        <is>
          <t>NO</t>
        </is>
      </c>
      <c r="Y1125" s="33" t="inlineStr"/>
      <c r="Z1125" s="33" t="inlineStr"/>
      <c r="AA1125" s="33" t="inlineStr"/>
      <c r="AB1125" s="33" t="inlineStr">
        <is>
          <t>https://swimdadnz.github.io/NZSC_2026/NZSC_2026_Day3_editorial_report_PB_corrected.html</t>
        </is>
      </c>
      <c r="AC1125" s="33" t="inlineStr">
        <is>
          <t>NZSC 2026 supplement 2026-10-08</t>
        </is>
      </c>
      <c r="AD1125" s="33" t="inlineStr">
        <is>
          <t>Grayson Coulter|2026-09-29|SCM|100|Fly|54.92|2026 New Zealand Short Course Championships|FIN|False</t>
        </is>
      </c>
      <c r="AE1125" s="53">
        <f>G1125+L1125/1000+ROW()/1000000000</f>
        <v/>
      </c>
      <c r="AF1125" s="35">
        <f>IF(C1125&lt;&gt;"Grayson Coulter","",COUNTIFS($C$5:$C$2991,"Grayson Coulter",$Q$5:$Q$2991,Q1125,$AE$5:$AE$2991,"&lt;="&amp;AE1125,$R$5:$R$2991,"&lt;"&amp;R1125))</f>
        <v/>
      </c>
      <c r="AG1125" s="35">
        <f>IF(OR(C1125&lt;&gt;"Grayson Coulter",G1125&lt;'00_Control'!$B$7),"",--(AF1125&lt;5))</f>
        <v/>
      </c>
      <c r="AH1125" s="35">
        <f>IF(OR(C1125&lt;&gt;"Grayson Coulter",G1125&lt;'00_Control'!$B$7),"",--(AF1125&lt;10))</f>
        <v/>
      </c>
      <c r="AI1125" s="35">
        <f>IF(AND(C1125="Grayson Coulter",G1125&gt;='00_Control'!$B$7),"YES","NO")</f>
        <v/>
      </c>
      <c r="AJ1125" s="33" t="inlineStr">
        <is>
          <t>OK</t>
        </is>
      </c>
    </row>
    <row r="1126">
      <c r="A1126" s="33" t="inlineStr">
        <is>
          <t>SM001122</t>
        </is>
      </c>
      <c r="B1126" s="33" t="inlineStr">
        <is>
          <t>SW001</t>
        </is>
      </c>
      <c r="C1126" s="33" t="inlineStr">
        <is>
          <t>Grayson Coulter</t>
        </is>
      </c>
      <c r="D1126" s="33" t="inlineStr">
        <is>
          <t>NZSC 2026 public report</t>
        </is>
      </c>
      <c r="E1126" s="33" t="inlineStr"/>
      <c r="F1126" s="33" t="inlineStr">
        <is>
          <t>NZSC2026-05</t>
        </is>
      </c>
      <c r="G1126" s="51" t="n">
        <v>46295</v>
      </c>
      <c r="H1126" s="33" t="inlineStr">
        <is>
          <t>2026 New Zealand Short Course Championships</t>
        </is>
      </c>
      <c r="I1126" s="33" t="inlineStr">
        <is>
          <t>NZSC2026</t>
        </is>
      </c>
      <c r="J1126" s="33" t="inlineStr"/>
      <c r="K1126" s="33" t="inlineStr">
        <is>
          <t>PRE</t>
        </is>
      </c>
      <c r="L1126" s="35">
        <f>IF(K1126="FIN",3,IF(OR(K1126="SEM",K1126="SEMI"),2,IF(OR(K1126="PRE",K1126="HEAT"),1,IF(V1126="YES",4,2))))</f>
        <v/>
      </c>
      <c r="M1126" s="33" t="inlineStr">
        <is>
          <t>SCM</t>
        </is>
      </c>
      <c r="N1126" s="33" t="n">
        <v>200</v>
      </c>
      <c r="O1126" s="33" t="inlineStr">
        <is>
          <t>Free</t>
        </is>
      </c>
      <c r="P1126" s="33" t="inlineStr">
        <is>
          <t>200 Free</t>
        </is>
      </c>
      <c r="Q1126" s="33" t="inlineStr">
        <is>
          <t>SCM_200_FREE</t>
        </is>
      </c>
      <c r="R1126" s="36" t="n">
        <v>108.97</v>
      </c>
      <c r="S1126" s="35">
        <f>IF(R1126="","",IF(R1126&gt;=60,INT(R1126/60)&amp;":"&amp;TEXT(MOD(R1126,60),"00.00"),TEXT(R1126,"0.00")))</f>
        <v/>
      </c>
      <c r="T1126" s="52">
        <f>IFERROR((G1126-INDEX('01_Swimmers'!$E$5:$E$22,MATCH(B1126,'01_Swimmers'!$A$5:$A$22,0)))/'00_Control'!$B$10,"")</f>
        <v/>
      </c>
      <c r="U1126" s="35">
        <f>IF(T1126="","",INT(T1126))</f>
        <v/>
      </c>
      <c r="V1126" s="33" t="inlineStr">
        <is>
          <t>NO</t>
        </is>
      </c>
      <c r="W1126" s="33" t="inlineStr">
        <is>
          <t>YES</t>
        </is>
      </c>
      <c r="X1126" s="33" t="inlineStr">
        <is>
          <t>NO</t>
        </is>
      </c>
      <c r="Y1126" s="33" t="inlineStr"/>
      <c r="Z1126" s="33" t="inlineStr"/>
      <c r="AA1126" s="33" t="inlineStr"/>
      <c r="AB1126" s="33" t="inlineStr">
        <is>
          <t>https://swimdadnz.github.io/NZSC_2026/NZSC_2026_Day4_editorial_final.html</t>
        </is>
      </c>
      <c r="AC1126" s="33" t="inlineStr">
        <is>
          <t>NZSC 2026 supplement 2026-10-08</t>
        </is>
      </c>
      <c r="AD1126" s="33" t="inlineStr">
        <is>
          <t>Grayson Coulter|2026-09-30|SCM|200|Free|108.97|2026 New Zealand Short Course Championships|PRE|False</t>
        </is>
      </c>
      <c r="AE1126" s="53">
        <f>G1126+L1126/1000+ROW()/1000000000</f>
        <v/>
      </c>
      <c r="AF1126" s="35">
        <f>IF(C1126&lt;&gt;"Grayson Coulter","",COUNTIFS($C$5:$C$2991,"Grayson Coulter",$Q$5:$Q$2991,Q1126,$AE$5:$AE$2991,"&lt;="&amp;AE1126,$R$5:$R$2991,"&lt;"&amp;R1126))</f>
        <v/>
      </c>
      <c r="AG1126" s="35">
        <f>IF(OR(C1126&lt;&gt;"Grayson Coulter",G1126&lt;'00_Control'!$B$7),"",--(AF1126&lt;5))</f>
        <v/>
      </c>
      <c r="AH1126" s="35">
        <f>IF(OR(C1126&lt;&gt;"Grayson Coulter",G1126&lt;'00_Control'!$B$7),"",--(AF1126&lt;10))</f>
        <v/>
      </c>
      <c r="AI1126" s="35">
        <f>IF(AND(C1126="Grayson Coulter",G1126&gt;='00_Control'!$B$7),"YES","NO")</f>
        <v/>
      </c>
      <c r="AJ1126" s="33" t="inlineStr">
        <is>
          <t>OK</t>
        </is>
      </c>
    </row>
    <row r="1127">
      <c r="A1127" s="33" t="inlineStr">
        <is>
          <t>SM001123</t>
        </is>
      </c>
      <c r="B1127" s="33" t="inlineStr">
        <is>
          <t>SW001</t>
        </is>
      </c>
      <c r="C1127" s="33" t="inlineStr">
        <is>
          <t>Grayson Coulter</t>
        </is>
      </c>
      <c r="D1127" s="33" t="inlineStr">
        <is>
          <t>NZSC 2026 public report</t>
        </is>
      </c>
      <c r="E1127" s="33" t="inlineStr"/>
      <c r="F1127" s="33" t="inlineStr">
        <is>
          <t>NZSC2026-06</t>
        </is>
      </c>
      <c r="G1127" s="51" t="n">
        <v>46295</v>
      </c>
      <c r="H1127" s="33" t="inlineStr">
        <is>
          <t>2026 New Zealand Short Course Championships</t>
        </is>
      </c>
      <c r="I1127" s="33" t="inlineStr">
        <is>
          <t>NZSC2026</t>
        </is>
      </c>
      <c r="J1127" s="33" t="inlineStr"/>
      <c r="K1127" s="33" t="inlineStr">
        <is>
          <t>FIN</t>
        </is>
      </c>
      <c r="L1127" s="35">
        <f>IF(K1127="FIN",3,IF(OR(K1127="SEM",K1127="SEMI"),2,IF(OR(K1127="PRE",K1127="HEAT"),1,IF(V1127="YES",4,2))))</f>
        <v/>
      </c>
      <c r="M1127" s="33" t="inlineStr">
        <is>
          <t>SCM</t>
        </is>
      </c>
      <c r="N1127" s="33" t="n">
        <v>200</v>
      </c>
      <c r="O1127" s="33" t="inlineStr">
        <is>
          <t>Free</t>
        </is>
      </c>
      <c r="P1127" s="33" t="inlineStr">
        <is>
          <t>200 Free</t>
        </is>
      </c>
      <c r="Q1127" s="33" t="inlineStr">
        <is>
          <t>SCM_200_FREE</t>
        </is>
      </c>
      <c r="R1127" s="36" t="n">
        <v>108.13</v>
      </c>
      <c r="S1127" s="35">
        <f>IF(R1127="","",IF(R1127&gt;=60,INT(R1127/60)&amp;":"&amp;TEXT(MOD(R1127,60),"00.00"),TEXT(R1127,"0.00")))</f>
        <v/>
      </c>
      <c r="T1127" s="52">
        <f>IFERROR((G1127-INDEX('01_Swimmers'!$E$5:$E$22,MATCH(B1127,'01_Swimmers'!$A$5:$A$22,0)))/'00_Control'!$B$10,"")</f>
        <v/>
      </c>
      <c r="U1127" s="35">
        <f>IF(T1127="","",INT(T1127))</f>
        <v/>
      </c>
      <c r="V1127" s="33" t="inlineStr">
        <is>
          <t>NO</t>
        </is>
      </c>
      <c r="W1127" s="33" t="inlineStr">
        <is>
          <t>YES</t>
        </is>
      </c>
      <c r="X1127" s="33" t="inlineStr">
        <is>
          <t>NO</t>
        </is>
      </c>
      <c r="Y1127" s="33" t="inlineStr"/>
      <c r="Z1127" s="33" t="inlineStr"/>
      <c r="AA1127" s="33" t="inlineStr"/>
      <c r="AB1127" s="33" t="inlineStr">
        <is>
          <t>https://swimdadnz.github.io/NZSC_2026/NZSC_2026_Day4_editorial_final.html</t>
        </is>
      </c>
      <c r="AC1127" s="33" t="inlineStr">
        <is>
          <t>NZSC 2026 supplement 2026-10-08</t>
        </is>
      </c>
      <c r="AD1127" s="33" t="inlineStr">
        <is>
          <t>Grayson Coulter|2026-09-30|SCM|200|Free|108.13|2026 New Zealand Short Course Championships|FIN|False</t>
        </is>
      </c>
      <c r="AE1127" s="53">
        <f>G1127+L1127/1000+ROW()/1000000000</f>
        <v/>
      </c>
      <c r="AF1127" s="35">
        <f>IF(C1127&lt;&gt;"Grayson Coulter","",COUNTIFS($C$5:$C$2991,"Grayson Coulter",$Q$5:$Q$2991,Q1127,$AE$5:$AE$2991,"&lt;="&amp;AE1127,$R$5:$R$2991,"&lt;"&amp;R1127))</f>
        <v/>
      </c>
      <c r="AG1127" s="35">
        <f>IF(OR(C1127&lt;&gt;"Grayson Coulter",G1127&lt;'00_Control'!$B$7),"",--(AF1127&lt;5))</f>
        <v/>
      </c>
      <c r="AH1127" s="35">
        <f>IF(OR(C1127&lt;&gt;"Grayson Coulter",G1127&lt;'00_Control'!$B$7),"",--(AF1127&lt;10))</f>
        <v/>
      </c>
      <c r="AI1127" s="35">
        <f>IF(AND(C1127="Grayson Coulter",G1127&gt;='00_Control'!$B$7),"YES","NO")</f>
        <v/>
      </c>
      <c r="AJ1127" s="33" t="inlineStr">
        <is>
          <t>OK</t>
        </is>
      </c>
    </row>
    <row r="1128">
      <c r="A1128" s="33" t="inlineStr">
        <is>
          <t>SM001124</t>
        </is>
      </c>
      <c r="B1128" s="33" t="inlineStr">
        <is>
          <t>SW001</t>
        </is>
      </c>
      <c r="C1128" s="33" t="inlineStr">
        <is>
          <t>Grayson Coulter</t>
        </is>
      </c>
      <c r="D1128" s="33" t="inlineStr">
        <is>
          <t>NZSC 2026 public report</t>
        </is>
      </c>
      <c r="E1128" s="33" t="inlineStr"/>
      <c r="F1128" s="33" t="inlineStr">
        <is>
          <t>NZSC2026-07</t>
        </is>
      </c>
      <c r="G1128" s="51" t="n">
        <v>46296</v>
      </c>
      <c r="H1128" s="33" t="inlineStr">
        <is>
          <t>2026 New Zealand Short Course Championships</t>
        </is>
      </c>
      <c r="I1128" s="33" t="inlineStr">
        <is>
          <t>NZSC2026</t>
        </is>
      </c>
      <c r="J1128" s="33" t="inlineStr"/>
      <c r="K1128" s="33" t="inlineStr">
        <is>
          <t>TIM</t>
        </is>
      </c>
      <c r="L1128" s="35">
        <f>IF(K1128="FIN",3,IF(OR(K1128="SEM",K1128="SEMI"),2,IF(OR(K1128="PRE",K1128="HEAT"),1,IF(V1128="YES",4,2))))</f>
        <v/>
      </c>
      <c r="M1128" s="33" t="inlineStr">
        <is>
          <t>SCM</t>
        </is>
      </c>
      <c r="N1128" s="33" t="n">
        <v>100</v>
      </c>
      <c r="O1128" s="33" t="inlineStr">
        <is>
          <t>Free</t>
        </is>
      </c>
      <c r="P1128" s="33" t="inlineStr">
        <is>
          <t>100 Free</t>
        </is>
      </c>
      <c r="Q1128" s="33" t="inlineStr">
        <is>
          <t>SCM_100_FREE</t>
        </is>
      </c>
      <c r="R1128" s="36" t="n">
        <v>50.06</v>
      </c>
      <c r="S1128" s="35">
        <f>IF(R1128="","",IF(R1128&gt;=60,INT(R1128/60)&amp;":"&amp;TEXT(MOD(R1128,60),"00.00"),TEXT(R1128,"0.00")))</f>
        <v/>
      </c>
      <c r="T1128" s="52">
        <f>IFERROR((G1128-INDEX('01_Swimmers'!$E$5:$E$22,MATCH(B1128,'01_Swimmers'!$A$5:$A$22,0)))/'00_Control'!$B$10,"")</f>
        <v/>
      </c>
      <c r="U1128" s="35">
        <f>IF(T1128="","",INT(T1128))</f>
        <v/>
      </c>
      <c r="V1128" s="33" t="inlineStr">
        <is>
          <t>YES</t>
        </is>
      </c>
      <c r="W1128" s="33" t="inlineStr">
        <is>
          <t>YES</t>
        </is>
      </c>
      <c r="X1128" s="33" t="inlineStr">
        <is>
          <t>NO</t>
        </is>
      </c>
      <c r="Y1128" s="33" t="inlineStr"/>
      <c r="Z1128" s="33" t="inlineStr"/>
      <c r="AA1128" s="33" t="inlineStr"/>
      <c r="AB1128" s="33" t="inlineStr">
        <is>
          <t>https://swimdadnz.github.io/NZSC_2026/NZSC_2026_Day5_editorial_final_v2.html</t>
        </is>
      </c>
      <c r="AC1128" s="33" t="inlineStr">
        <is>
          <t>NZSC 2026 supplement 2026-10-08</t>
        </is>
      </c>
      <c r="AD1128" s="33" t="inlineStr">
        <is>
          <t>Grayson Coulter|2026-10-01|SCM|100|Free|50.06|2026 New Zealand Short Course Championships|TIM|True</t>
        </is>
      </c>
      <c r="AE1128" s="53">
        <f>G1128+L1128/1000+ROW()/1000000000</f>
        <v/>
      </c>
      <c r="AF1128" s="35">
        <f>IF(C1128&lt;&gt;"Grayson Coulter","",COUNTIFS($C$5:$C$2991,"Grayson Coulter",$Q$5:$Q$2991,Q1128,$AE$5:$AE$2991,"&lt;="&amp;AE1128,$R$5:$R$2991,"&lt;"&amp;R1128))</f>
        <v/>
      </c>
      <c r="AG1128" s="35">
        <f>IF(OR(C1128&lt;&gt;"Grayson Coulter",G1128&lt;'00_Control'!$B$7),"",--(AF1128&lt;5))</f>
        <v/>
      </c>
      <c r="AH1128" s="35">
        <f>IF(OR(C1128&lt;&gt;"Grayson Coulter",G1128&lt;'00_Control'!$B$7),"",--(AF1128&lt;10))</f>
        <v/>
      </c>
      <c r="AI1128" s="35">
        <f>IF(AND(C1128="Grayson Coulter",G1128&gt;='00_Control'!$B$7),"YES","NO")</f>
        <v/>
      </c>
      <c r="AJ1128" s="33" t="inlineStr">
        <is>
          <t>OK</t>
        </is>
      </c>
    </row>
    <row r="1129">
      <c r="A1129" s="33" t="inlineStr">
        <is>
          <t>SM001125</t>
        </is>
      </c>
      <c r="B1129" s="33" t="inlineStr">
        <is>
          <t>SW015</t>
        </is>
      </c>
      <c r="C1129" s="33" t="inlineStr">
        <is>
          <t>Jack Alexy</t>
        </is>
      </c>
      <c r="D1129" s="33" t="inlineStr">
        <is>
          <t>SwimCloud</t>
        </is>
      </c>
      <c r="E1129" s="33" t="inlineStr">
        <is>
          <t>503872</t>
        </is>
      </c>
      <c r="F1129" s="33" t="inlineStr">
        <is>
          <t>74753173</t>
        </is>
      </c>
      <c r="G1129" s="51" t="n">
        <v>41493</v>
      </c>
      <c r="H1129" s="33" t="inlineStr">
        <is>
          <t>2013 Eastern Zone LC Championships</t>
        </is>
      </c>
      <c r="I1129" s="33" t="inlineStr">
        <is>
          <t>58860</t>
        </is>
      </c>
      <c r="J1129" s="33" t="inlineStr"/>
      <c r="K1129" s="33" t="inlineStr">
        <is>
          <t>TIM</t>
        </is>
      </c>
      <c r="L1129" s="35">
        <f>IF(K1129="FIN",3,IF(OR(K1129="SEM",K1129="SEMI"),2,IF(OR(K1129="PRE",K1129="HEAT"),1,IF(V1129="YES",4,2))))</f>
        <v/>
      </c>
      <c r="M1129" s="33" t="inlineStr">
        <is>
          <t>LCM</t>
        </is>
      </c>
      <c r="N1129" s="33" t="n">
        <v>100</v>
      </c>
      <c r="O1129" s="33" t="inlineStr">
        <is>
          <t>Free</t>
        </is>
      </c>
      <c r="P1129" s="33" t="inlineStr">
        <is>
          <t>100 Free</t>
        </is>
      </c>
      <c r="Q1129" s="33" t="inlineStr">
        <is>
          <t>LCM_100_FREE</t>
        </is>
      </c>
      <c r="R1129" s="36" t="n">
        <v>65.59</v>
      </c>
      <c r="S1129" s="35">
        <f>IF(R1129="","",IF(R1129&gt;=60,INT(R1129/60)&amp;":"&amp;TEXT(MOD(R1129,60),"00.00"),TEXT(R1129,"0.00")))</f>
        <v/>
      </c>
      <c r="T1129" s="52">
        <f>IFERROR((G1129-INDEX('01_Swimmers'!$E$5:$E$22,MATCH(B1129,'01_Swimmers'!$A$5:$A$22,0)))/'00_Control'!$B$10,"")</f>
        <v/>
      </c>
      <c r="U1129" s="35">
        <f>IF(T1129="","",INT(T1129))</f>
        <v/>
      </c>
      <c r="V1129" s="33" t="inlineStr">
        <is>
          <t>NO</t>
        </is>
      </c>
      <c r="W1129" s="33" t="inlineStr">
        <is>
          <t>YES</t>
        </is>
      </c>
      <c r="X1129" s="33" t="inlineStr">
        <is>
          <t>NO</t>
        </is>
      </c>
      <c r="Y1129" s="33" t="n">
        <v>5</v>
      </c>
      <c r="Z1129" s="33" t="n">
        <v>5</v>
      </c>
      <c r="AA1129" s="33" t="inlineStr">
        <is>
          <t>1</t>
        </is>
      </c>
      <c r="AB1129" s="33" t="inlineStr">
        <is>
          <t>https://www.swimcloud.com/results/58860/event/32/?id=74753173#time74753173</t>
        </is>
      </c>
      <c r="AC1129" s="33" t="inlineStr">
        <is>
          <t>SwimCloud API v6 2026-10-08</t>
        </is>
      </c>
      <c r="AD1129" s="33" t="inlineStr">
        <is>
          <t>Jack Alexy|2013-08-07|LCM|100|Free|65.59|2013 Eastern Zone LC Championships|TIM|False</t>
        </is>
      </c>
      <c r="AE1129" s="53">
        <f>G1129+L1129/1000+ROW()/1000000000</f>
        <v/>
      </c>
      <c r="AF1129" s="35">
        <f>IF(C1129&lt;&gt;"Grayson Coulter","",COUNTIFS($C$5:$C$2991,"Grayson Coulter",$Q$5:$Q$2991,Q1129,$AE$5:$AE$2991,"&lt;="&amp;AE1129,$R$5:$R$2991,"&lt;"&amp;R1129))</f>
        <v/>
      </c>
      <c r="AG1129" s="35">
        <f>IF(OR(C1129&lt;&gt;"Grayson Coulter",G1129&lt;'00_Control'!$B$7),"",--(AF1129&lt;5))</f>
        <v/>
      </c>
      <c r="AH1129" s="35">
        <f>IF(OR(C1129&lt;&gt;"Grayson Coulter",G1129&lt;'00_Control'!$B$7),"",--(AF1129&lt;10))</f>
        <v/>
      </c>
      <c r="AI1129" s="35">
        <f>IF(AND(C1129="Grayson Coulter",G1129&gt;='00_Control'!$B$7),"YES","NO")</f>
        <v/>
      </c>
      <c r="AJ1129" s="33" t="inlineStr">
        <is>
          <t>OK</t>
        </is>
      </c>
    </row>
    <row r="1130">
      <c r="A1130" s="33" t="inlineStr">
        <is>
          <t>SM001126</t>
        </is>
      </c>
      <c r="B1130" s="33" t="inlineStr">
        <is>
          <t>SW015</t>
        </is>
      </c>
      <c r="C1130" s="33" t="inlineStr">
        <is>
          <t>Jack Alexy</t>
        </is>
      </c>
      <c r="D1130" s="33" t="inlineStr">
        <is>
          <t>SwimCloud</t>
        </is>
      </c>
      <c r="E1130" s="33" t="inlineStr">
        <is>
          <t>503872</t>
        </is>
      </c>
      <c r="F1130" s="33" t="inlineStr">
        <is>
          <t>74752452</t>
        </is>
      </c>
      <c r="G1130" s="51" t="n">
        <v>41494</v>
      </c>
      <c r="H1130" s="33" t="inlineStr">
        <is>
          <t>2013 Eastern Zone LC Championships</t>
        </is>
      </c>
      <c r="I1130" s="33" t="inlineStr">
        <is>
          <t>58860</t>
        </is>
      </c>
      <c r="J1130" s="33" t="inlineStr"/>
      <c r="K1130" s="33" t="inlineStr">
        <is>
          <t>TIM</t>
        </is>
      </c>
      <c r="L1130" s="35">
        <f>IF(K1130="FIN",3,IF(OR(K1130="SEM",K1130="SEMI"),2,IF(OR(K1130="PRE",K1130="HEAT"),1,IF(V1130="YES",4,2))))</f>
        <v/>
      </c>
      <c r="M1130" s="33" t="inlineStr">
        <is>
          <t>LCM</t>
        </is>
      </c>
      <c r="N1130" s="33" t="n">
        <v>200</v>
      </c>
      <c r="O1130" s="33" t="inlineStr">
        <is>
          <t>Free</t>
        </is>
      </c>
      <c r="P1130" s="33" t="inlineStr">
        <is>
          <t>200 Free</t>
        </is>
      </c>
      <c r="Q1130" s="33" t="inlineStr">
        <is>
          <t>LCM_200_FREE</t>
        </is>
      </c>
      <c r="R1130" s="36" t="n">
        <v>148.07</v>
      </c>
      <c r="S1130" s="35">
        <f>IF(R1130="","",IF(R1130&gt;=60,INT(R1130/60)&amp;":"&amp;TEXT(MOD(R1130,60),"00.00"),TEXT(R1130,"0.00")))</f>
        <v/>
      </c>
      <c r="T1130" s="52">
        <f>IFERROR((G1130-INDEX('01_Swimmers'!$E$5:$E$22,MATCH(B1130,'01_Swimmers'!$A$5:$A$22,0)))/'00_Control'!$B$10,"")</f>
        <v/>
      </c>
      <c r="U1130" s="35">
        <f>IF(T1130="","",INT(T1130))</f>
        <v/>
      </c>
      <c r="V1130" s="33" t="inlineStr">
        <is>
          <t>NO</t>
        </is>
      </c>
      <c r="W1130" s="33" t="inlineStr">
        <is>
          <t>YES</t>
        </is>
      </c>
      <c r="X1130" s="33" t="inlineStr">
        <is>
          <t>NO</t>
        </is>
      </c>
      <c r="Y1130" s="33" t="n">
        <v>3</v>
      </c>
      <c r="Z1130" s="33" t="n">
        <v>2</v>
      </c>
      <c r="AA1130" s="33" t="inlineStr">
        <is>
          <t>4</t>
        </is>
      </c>
      <c r="AB1130" s="33" t="inlineStr">
        <is>
          <t>https://www.swimcloud.com/results/58860/event/68/?id=74752452#time74752452</t>
        </is>
      </c>
      <c r="AC1130" s="33" t="inlineStr">
        <is>
          <t>SwimCloud API v6 2026-10-08</t>
        </is>
      </c>
      <c r="AD1130" s="33" t="inlineStr">
        <is>
          <t>Jack Alexy|2013-08-08|LCM|200|Free|148.07|2013 Eastern Zone LC Championships|TIM|False</t>
        </is>
      </c>
      <c r="AE1130" s="53">
        <f>G1130+L1130/1000+ROW()/1000000000</f>
        <v/>
      </c>
      <c r="AF1130" s="35">
        <f>IF(C1130&lt;&gt;"Grayson Coulter","",COUNTIFS($C$5:$C$2991,"Grayson Coulter",$Q$5:$Q$2991,Q1130,$AE$5:$AE$2991,"&lt;="&amp;AE1130,$R$5:$R$2991,"&lt;"&amp;R1130))</f>
        <v/>
      </c>
      <c r="AG1130" s="35">
        <f>IF(OR(C1130&lt;&gt;"Grayson Coulter",G1130&lt;'00_Control'!$B$7),"",--(AF1130&lt;5))</f>
        <v/>
      </c>
      <c r="AH1130" s="35">
        <f>IF(OR(C1130&lt;&gt;"Grayson Coulter",G1130&lt;'00_Control'!$B$7),"",--(AF1130&lt;10))</f>
        <v/>
      </c>
      <c r="AI1130" s="35">
        <f>IF(AND(C1130="Grayson Coulter",G1130&gt;='00_Control'!$B$7),"YES","NO")</f>
        <v/>
      </c>
      <c r="AJ1130" s="33" t="inlineStr">
        <is>
          <t>OK</t>
        </is>
      </c>
    </row>
    <row r="1131">
      <c r="A1131" s="33" t="inlineStr">
        <is>
          <t>SM001127</t>
        </is>
      </c>
      <c r="B1131" s="33" t="inlineStr">
        <is>
          <t>SW015</t>
        </is>
      </c>
      <c r="C1131" s="33" t="inlineStr">
        <is>
          <t>Jack Alexy</t>
        </is>
      </c>
      <c r="D1131" s="33" t="inlineStr">
        <is>
          <t>SwimCloud</t>
        </is>
      </c>
      <c r="E1131" s="33" t="inlineStr">
        <is>
          <t>503872</t>
        </is>
      </c>
      <c r="F1131" s="33" t="inlineStr">
        <is>
          <t>74752774</t>
        </is>
      </c>
      <c r="G1131" s="51" t="n">
        <v>41495</v>
      </c>
      <c r="H1131" s="33" t="inlineStr">
        <is>
          <t>2013 Eastern Zone LC Championships</t>
        </is>
      </c>
      <c r="I1131" s="33" t="inlineStr">
        <is>
          <t>58860</t>
        </is>
      </c>
      <c r="J1131" s="33" t="inlineStr"/>
      <c r="K1131" s="33" t="inlineStr">
        <is>
          <t>TIM</t>
        </is>
      </c>
      <c r="L1131" s="35">
        <f>IF(K1131="FIN",3,IF(OR(K1131="SEM",K1131="SEMI"),2,IF(OR(K1131="PRE",K1131="HEAT"),1,IF(V1131="YES",4,2))))</f>
        <v/>
      </c>
      <c r="M1131" s="33" t="inlineStr">
        <is>
          <t>LCM</t>
        </is>
      </c>
      <c r="N1131" s="33" t="n">
        <v>400</v>
      </c>
      <c r="O1131" s="33" t="inlineStr">
        <is>
          <t>Free</t>
        </is>
      </c>
      <c r="P1131" s="33" t="inlineStr">
        <is>
          <t>400 Free</t>
        </is>
      </c>
      <c r="Q1131" s="33" t="inlineStr">
        <is>
          <t>LCM_400_FREE</t>
        </is>
      </c>
      <c r="R1131" s="36" t="n">
        <v>309.14</v>
      </c>
      <c r="S1131" s="35">
        <f>IF(R1131="","",IF(R1131&gt;=60,INT(R1131/60)&amp;":"&amp;TEXT(MOD(R1131,60),"00.00"),TEXT(R1131,"0.00")))</f>
        <v/>
      </c>
      <c r="T1131" s="52">
        <f>IFERROR((G1131-INDEX('01_Swimmers'!$E$5:$E$22,MATCH(B1131,'01_Swimmers'!$A$5:$A$22,0)))/'00_Control'!$B$10,"")</f>
        <v/>
      </c>
      <c r="U1131" s="35">
        <f>IF(T1131="","",INT(T1131))</f>
        <v/>
      </c>
      <c r="V1131" s="33" t="inlineStr">
        <is>
          <t>NO</t>
        </is>
      </c>
      <c r="W1131" s="33" t="inlineStr">
        <is>
          <t>YES</t>
        </is>
      </c>
      <c r="X1131" s="33" t="inlineStr">
        <is>
          <t>NO</t>
        </is>
      </c>
      <c r="Y1131" s="33" t="n">
        <v>3</v>
      </c>
      <c r="Z1131" s="33" t="n">
        <v>2</v>
      </c>
      <c r="AA1131" s="33" t="inlineStr">
        <is>
          <t>4</t>
        </is>
      </c>
      <c r="AB1131" s="33" t="inlineStr">
        <is>
          <t>https://www.swimcloud.com/results/58860/event/104/?id=74752774#time74752774</t>
        </is>
      </c>
      <c r="AC1131" s="33" t="inlineStr">
        <is>
          <t>SwimCloud API v6 2026-10-08</t>
        </is>
      </c>
      <c r="AD1131" s="33" t="inlineStr">
        <is>
          <t>Jack Alexy|2013-08-09|LCM|400|Free|309.14|2013 Eastern Zone LC Championships|TIM|False</t>
        </is>
      </c>
      <c r="AE1131" s="53">
        <f>G1131+L1131/1000+ROW()/1000000000</f>
        <v/>
      </c>
      <c r="AF1131" s="35">
        <f>IF(C1131&lt;&gt;"Grayson Coulter","",COUNTIFS($C$5:$C$2991,"Grayson Coulter",$Q$5:$Q$2991,Q1131,$AE$5:$AE$2991,"&lt;="&amp;AE1131,$R$5:$R$2991,"&lt;"&amp;R1131))</f>
        <v/>
      </c>
      <c r="AG1131" s="35">
        <f>IF(OR(C1131&lt;&gt;"Grayson Coulter",G1131&lt;'00_Control'!$B$7),"",--(AF1131&lt;5))</f>
        <v/>
      </c>
      <c r="AH1131" s="35">
        <f>IF(OR(C1131&lt;&gt;"Grayson Coulter",G1131&lt;'00_Control'!$B$7),"",--(AF1131&lt;10))</f>
        <v/>
      </c>
      <c r="AI1131" s="35">
        <f>IF(AND(C1131="Grayson Coulter",G1131&gt;='00_Control'!$B$7),"YES","NO")</f>
        <v/>
      </c>
      <c r="AJ1131" s="33" t="inlineStr">
        <is>
          <t>OK</t>
        </is>
      </c>
    </row>
    <row r="1132">
      <c r="A1132" s="33" t="inlineStr">
        <is>
          <t>SM001128</t>
        </is>
      </c>
      <c r="B1132" s="33" t="inlineStr">
        <is>
          <t>SW015</t>
        </is>
      </c>
      <c r="C1132" s="33" t="inlineStr">
        <is>
          <t>Jack Alexy</t>
        </is>
      </c>
      <c r="D1132" s="33" t="inlineStr">
        <is>
          <t>SwimCloud</t>
        </is>
      </c>
      <c r="E1132" s="33" t="inlineStr">
        <is>
          <t>503872</t>
        </is>
      </c>
      <c r="F1132" s="33" t="inlineStr">
        <is>
          <t>19665714</t>
        </is>
      </c>
      <c r="G1132" s="51" t="n">
        <v>41857</v>
      </c>
      <c r="H1132" s="33" t="inlineStr">
        <is>
          <t>Eastern Zone Age Group Championships</t>
        </is>
      </c>
      <c r="I1132" s="33" t="inlineStr">
        <is>
          <t>30568</t>
        </is>
      </c>
      <c r="J1132" s="33" t="inlineStr"/>
      <c r="K1132" s="33" t="inlineStr">
        <is>
          <t>PRE</t>
        </is>
      </c>
      <c r="L1132" s="35">
        <f>IF(K1132="FIN",3,IF(OR(K1132="SEM",K1132="SEMI"),2,IF(OR(K1132="PRE",K1132="HEAT"),1,IF(V1132="YES",4,2))))</f>
        <v/>
      </c>
      <c r="M1132" s="33" t="inlineStr">
        <is>
          <t>LCM</t>
        </is>
      </c>
      <c r="N1132" s="33" t="n">
        <v>100</v>
      </c>
      <c r="O1132" s="33" t="inlineStr">
        <is>
          <t>Fly</t>
        </is>
      </c>
      <c r="P1132" s="33" t="inlineStr">
        <is>
          <t>100 Fly</t>
        </is>
      </c>
      <c r="Q1132" s="33" t="inlineStr">
        <is>
          <t>LCM_100_FLY</t>
        </is>
      </c>
      <c r="R1132" s="36" t="n">
        <v>73.86</v>
      </c>
      <c r="S1132" s="35">
        <f>IF(R1132="","",IF(R1132&gt;=60,INT(R1132/60)&amp;":"&amp;TEXT(MOD(R1132,60),"00.00"),TEXT(R1132,"0.00")))</f>
        <v/>
      </c>
      <c r="T1132" s="52">
        <f>IFERROR((G1132-INDEX('01_Swimmers'!$E$5:$E$22,MATCH(B1132,'01_Swimmers'!$A$5:$A$22,0)))/'00_Control'!$B$10,"")</f>
        <v/>
      </c>
      <c r="U1132" s="35">
        <f>IF(T1132="","",INT(T1132))</f>
        <v/>
      </c>
      <c r="V1132" s="33" t="inlineStr">
        <is>
          <t>NO</t>
        </is>
      </c>
      <c r="W1132" s="33" t="inlineStr">
        <is>
          <t>YES</t>
        </is>
      </c>
      <c r="X1132" s="33" t="inlineStr">
        <is>
          <t>NO</t>
        </is>
      </c>
      <c r="Y1132" s="33" t="n">
        <v>3</v>
      </c>
      <c r="Z1132" s="33" t="n">
        <v>3</v>
      </c>
      <c r="AA1132" s="33" t="inlineStr">
        <is>
          <t>61</t>
        </is>
      </c>
      <c r="AB1132" s="33" t="inlineStr">
        <is>
          <t>https://www.swimcloud.com/results/30568/event/20/?id=19665714#time19665714</t>
        </is>
      </c>
      <c r="AC1132" s="33" t="inlineStr">
        <is>
          <t>SwimCloud API v6 2026-10-08</t>
        </is>
      </c>
      <c r="AD1132" s="33" t="inlineStr">
        <is>
          <t>Jack Alexy|2014-08-06|LCM|100|Fly|73.86|Eastern Zone Age Group Championships|PRE|False</t>
        </is>
      </c>
      <c r="AE1132" s="53">
        <f>G1132+L1132/1000+ROW()/1000000000</f>
        <v/>
      </c>
      <c r="AF1132" s="35">
        <f>IF(C1132&lt;&gt;"Grayson Coulter","",COUNTIFS($C$5:$C$2991,"Grayson Coulter",$Q$5:$Q$2991,Q1132,$AE$5:$AE$2991,"&lt;="&amp;AE1132,$R$5:$R$2991,"&lt;"&amp;R1132))</f>
        <v/>
      </c>
      <c r="AG1132" s="35">
        <f>IF(OR(C1132&lt;&gt;"Grayson Coulter",G1132&lt;'00_Control'!$B$7),"",--(AF1132&lt;5))</f>
        <v/>
      </c>
      <c r="AH1132" s="35">
        <f>IF(OR(C1132&lt;&gt;"Grayson Coulter",G1132&lt;'00_Control'!$B$7),"",--(AF1132&lt;10))</f>
        <v/>
      </c>
      <c r="AI1132" s="35">
        <f>IF(AND(C1132="Grayson Coulter",G1132&gt;='00_Control'!$B$7),"YES","NO")</f>
        <v/>
      </c>
      <c r="AJ1132" s="33" t="inlineStr">
        <is>
          <t>OK</t>
        </is>
      </c>
    </row>
    <row r="1133">
      <c r="A1133" s="33" t="inlineStr">
        <is>
          <t>SM001129</t>
        </is>
      </c>
      <c r="B1133" s="33" t="inlineStr">
        <is>
          <t>SW015</t>
        </is>
      </c>
      <c r="C1133" s="33" t="inlineStr">
        <is>
          <t>Jack Alexy</t>
        </is>
      </c>
      <c r="D1133" s="33" t="inlineStr">
        <is>
          <t>SwimCloud</t>
        </is>
      </c>
      <c r="E1133" s="33" t="inlineStr">
        <is>
          <t>503872</t>
        </is>
      </c>
      <c r="F1133" s="33" t="inlineStr">
        <is>
          <t>73055668</t>
        </is>
      </c>
      <c r="G1133" s="51" t="n">
        <v>41857</v>
      </c>
      <c r="H1133" s="33" t="inlineStr">
        <is>
          <t>2014 Eastern Zone Long Course Championships</t>
        </is>
      </c>
      <c r="I1133" s="33" t="inlineStr">
        <is>
          <t>227708</t>
        </is>
      </c>
      <c r="J1133" s="33" t="inlineStr"/>
      <c r="K1133" s="33" t="inlineStr">
        <is>
          <t>PRE</t>
        </is>
      </c>
      <c r="L1133" s="35">
        <f>IF(K1133="FIN",3,IF(OR(K1133="SEM",K1133="SEMI"),2,IF(OR(K1133="PRE",K1133="HEAT"),1,IF(V1133="YES",4,2))))</f>
        <v/>
      </c>
      <c r="M1133" s="33" t="inlineStr">
        <is>
          <t>LCM</t>
        </is>
      </c>
      <c r="N1133" s="33" t="n">
        <v>100</v>
      </c>
      <c r="O1133" s="33" t="inlineStr">
        <is>
          <t>Fly</t>
        </is>
      </c>
      <c r="P1133" s="33" t="inlineStr">
        <is>
          <t>100 Fly</t>
        </is>
      </c>
      <c r="Q1133" s="33" t="inlineStr">
        <is>
          <t>LCM_100_FLY</t>
        </is>
      </c>
      <c r="R1133" s="36" t="n">
        <v>73.86</v>
      </c>
      <c r="S1133" s="35">
        <f>IF(R1133="","",IF(R1133&gt;=60,INT(R1133/60)&amp;":"&amp;TEXT(MOD(R1133,60),"00.00"),TEXT(R1133,"0.00")))</f>
        <v/>
      </c>
      <c r="T1133" s="52">
        <f>IFERROR((G1133-INDEX('01_Swimmers'!$E$5:$E$22,MATCH(B1133,'01_Swimmers'!$A$5:$A$22,0)))/'00_Control'!$B$10,"")</f>
        <v/>
      </c>
      <c r="U1133" s="35">
        <f>IF(T1133="","",INT(T1133))</f>
        <v/>
      </c>
      <c r="V1133" s="33" t="inlineStr">
        <is>
          <t>NO</t>
        </is>
      </c>
      <c r="W1133" s="33" t="inlineStr">
        <is>
          <t>YES</t>
        </is>
      </c>
      <c r="X1133" s="33" t="inlineStr">
        <is>
          <t>NO</t>
        </is>
      </c>
      <c r="Y1133" s="33" t="n">
        <v>3</v>
      </c>
      <c r="Z1133" s="33" t="n">
        <v>3</v>
      </c>
      <c r="AA1133" s="33" t="inlineStr">
        <is>
          <t>61</t>
        </is>
      </c>
      <c r="AB1133" s="33" t="inlineStr">
        <is>
          <t>https://www.swimcloud.com/results/227708/event/20/?id=73055668#time73055668</t>
        </is>
      </c>
      <c r="AC1133" s="33" t="inlineStr">
        <is>
          <t>SwimCloud API v6 2026-10-08</t>
        </is>
      </c>
      <c r="AD1133" s="33" t="inlineStr">
        <is>
          <t>Jack Alexy|2014-08-06|LCM|100|Fly|73.86|2014 Eastern Zone Long Course Championships|PRE|False</t>
        </is>
      </c>
      <c r="AE1133" s="53">
        <f>G1133+L1133/1000+ROW()/1000000000</f>
        <v/>
      </c>
      <c r="AF1133" s="35">
        <f>IF(C1133&lt;&gt;"Grayson Coulter","",COUNTIFS($C$5:$C$2991,"Grayson Coulter",$Q$5:$Q$2991,Q1133,$AE$5:$AE$2991,"&lt;="&amp;AE1133,$R$5:$R$2991,"&lt;"&amp;R1133))</f>
        <v/>
      </c>
      <c r="AG1133" s="35">
        <f>IF(OR(C1133&lt;&gt;"Grayson Coulter",G1133&lt;'00_Control'!$B$7),"",--(AF1133&lt;5))</f>
        <v/>
      </c>
      <c r="AH1133" s="35">
        <f>IF(OR(C1133&lt;&gt;"Grayson Coulter",G1133&lt;'00_Control'!$B$7),"",--(AF1133&lt;10))</f>
        <v/>
      </c>
      <c r="AI1133" s="35">
        <f>IF(AND(C1133="Grayson Coulter",G1133&gt;='00_Control'!$B$7),"YES","NO")</f>
        <v/>
      </c>
      <c r="AJ1133" s="33" t="inlineStr">
        <is>
          <t>OK</t>
        </is>
      </c>
    </row>
    <row r="1134">
      <c r="A1134" s="33" t="inlineStr">
        <is>
          <t>SM001130</t>
        </is>
      </c>
      <c r="B1134" s="33" t="inlineStr">
        <is>
          <t>SW015</t>
        </is>
      </c>
      <c r="C1134" s="33" t="inlineStr">
        <is>
          <t>Jack Alexy</t>
        </is>
      </c>
      <c r="D1134" s="33" t="inlineStr">
        <is>
          <t>SwimCloud</t>
        </is>
      </c>
      <c r="E1134" s="33" t="inlineStr">
        <is>
          <t>503872</t>
        </is>
      </c>
      <c r="F1134" s="33" t="inlineStr">
        <is>
          <t>56162228</t>
        </is>
      </c>
      <c r="G1134" s="51" t="n">
        <v>42221</v>
      </c>
      <c r="H1134" s="33" t="inlineStr">
        <is>
          <t>2015 VA Eastern Zone LC Championships</t>
        </is>
      </c>
      <c r="I1134" s="33" t="inlineStr">
        <is>
          <t>215760</t>
        </is>
      </c>
      <c r="J1134" s="33" t="inlineStr"/>
      <c r="K1134" s="33" t="inlineStr">
        <is>
          <t>PRE</t>
        </is>
      </c>
      <c r="L1134" s="35">
        <f>IF(K1134="FIN",3,IF(OR(K1134="SEM",K1134="SEMI"),2,IF(OR(K1134="PRE",K1134="HEAT"),1,IF(V1134="YES",4,2))))</f>
        <v/>
      </c>
      <c r="M1134" s="33" t="inlineStr">
        <is>
          <t>LCM</t>
        </is>
      </c>
      <c r="N1134" s="33" t="n">
        <v>100</v>
      </c>
      <c r="O1134" s="33" t="inlineStr">
        <is>
          <t>Fly</t>
        </is>
      </c>
      <c r="P1134" s="33" t="inlineStr">
        <is>
          <t>100 Fly</t>
        </is>
      </c>
      <c r="Q1134" s="33" t="inlineStr">
        <is>
          <t>LCM_100_FLY</t>
        </is>
      </c>
      <c r="R1134" s="36" t="n">
        <v>67.29000000000001</v>
      </c>
      <c r="S1134" s="35">
        <f>IF(R1134="","",IF(R1134&gt;=60,INT(R1134/60)&amp;":"&amp;TEXT(MOD(R1134,60),"00.00"),TEXT(R1134,"0.00")))</f>
        <v/>
      </c>
      <c r="T1134" s="52">
        <f>IFERROR((G1134-INDEX('01_Swimmers'!$E$5:$E$22,MATCH(B1134,'01_Swimmers'!$A$5:$A$22,0)))/'00_Control'!$B$10,"")</f>
        <v/>
      </c>
      <c r="U1134" s="35">
        <f>IF(T1134="","",INT(T1134))</f>
        <v/>
      </c>
      <c r="V1134" s="33" t="inlineStr">
        <is>
          <t>NO</t>
        </is>
      </c>
      <c r="W1134" s="33" t="inlineStr">
        <is>
          <t>YES</t>
        </is>
      </c>
      <c r="X1134" s="33" t="inlineStr">
        <is>
          <t>NO</t>
        </is>
      </c>
      <c r="Y1134" s="33" t="n">
        <v>7</v>
      </c>
      <c r="Z1134" s="33" t="n">
        <v>6</v>
      </c>
      <c r="AA1134" s="33" t="inlineStr">
        <is>
          <t>11</t>
        </is>
      </c>
      <c r="AB1134" s="33" t="inlineStr">
        <is>
          <t>https://www.swimcloud.com/results/215760/event/20/?id=56162228#time56162228</t>
        </is>
      </c>
      <c r="AC1134" s="33" t="inlineStr">
        <is>
          <t>SwimCloud API v6 2026-10-08</t>
        </is>
      </c>
      <c r="AD1134" s="33" t="inlineStr">
        <is>
          <t>Jack Alexy|2015-08-05|LCM|100|Fly|67.29|2015 VA Eastern Zone LC Championships|PRE|False</t>
        </is>
      </c>
      <c r="AE1134" s="53">
        <f>G1134+L1134/1000+ROW()/1000000000</f>
        <v/>
      </c>
      <c r="AF1134" s="35">
        <f>IF(C1134&lt;&gt;"Grayson Coulter","",COUNTIFS($C$5:$C$2991,"Grayson Coulter",$Q$5:$Q$2991,Q1134,$AE$5:$AE$2991,"&lt;="&amp;AE1134,$R$5:$R$2991,"&lt;"&amp;R1134))</f>
        <v/>
      </c>
      <c r="AG1134" s="35">
        <f>IF(OR(C1134&lt;&gt;"Grayson Coulter",G1134&lt;'00_Control'!$B$7),"",--(AF1134&lt;5))</f>
        <v/>
      </c>
      <c r="AH1134" s="35">
        <f>IF(OR(C1134&lt;&gt;"Grayson Coulter",G1134&lt;'00_Control'!$B$7),"",--(AF1134&lt;10))</f>
        <v/>
      </c>
      <c r="AI1134" s="35">
        <f>IF(AND(C1134="Grayson Coulter",G1134&gt;='00_Control'!$B$7),"YES","NO")</f>
        <v/>
      </c>
      <c r="AJ1134" s="33" t="inlineStr">
        <is>
          <t>OK</t>
        </is>
      </c>
    </row>
    <row r="1135">
      <c r="A1135" s="33" t="inlineStr">
        <is>
          <t>SM001131</t>
        </is>
      </c>
      <c r="B1135" s="33" t="inlineStr">
        <is>
          <t>SW015</t>
        </is>
      </c>
      <c r="C1135" s="33" t="inlineStr">
        <is>
          <t>Jack Alexy</t>
        </is>
      </c>
      <c r="D1135" s="33" t="inlineStr">
        <is>
          <t>SwimCloud</t>
        </is>
      </c>
      <c r="E1135" s="33" t="inlineStr">
        <is>
          <t>503872</t>
        </is>
      </c>
      <c r="F1135" s="33" t="inlineStr">
        <is>
          <t>56160402</t>
        </is>
      </c>
      <c r="G1135" s="51" t="n">
        <v>42221</v>
      </c>
      <c r="H1135" s="33" t="inlineStr">
        <is>
          <t>2015 VA Eastern Zone LC Championships</t>
        </is>
      </c>
      <c r="I1135" s="33" t="inlineStr">
        <is>
          <t>215760</t>
        </is>
      </c>
      <c r="J1135" s="33" t="inlineStr"/>
      <c r="K1135" s="33" t="inlineStr">
        <is>
          <t>PRE</t>
        </is>
      </c>
      <c r="L1135" s="35">
        <f>IF(K1135="FIN",3,IF(OR(K1135="SEM",K1135="SEMI"),2,IF(OR(K1135="PRE",K1135="HEAT"),1,IF(V1135="YES",4,2))))</f>
        <v/>
      </c>
      <c r="M1135" s="33" t="inlineStr">
        <is>
          <t>LCM</t>
        </is>
      </c>
      <c r="N1135" s="33" t="n">
        <v>100</v>
      </c>
      <c r="O1135" s="33" t="inlineStr">
        <is>
          <t>Free</t>
        </is>
      </c>
      <c r="P1135" s="33" t="inlineStr">
        <is>
          <t>100 Free</t>
        </is>
      </c>
      <c r="Q1135" s="33" t="inlineStr">
        <is>
          <t>LCM_100_FREE</t>
        </is>
      </c>
      <c r="R1135" s="36" t="n">
        <v>60.88</v>
      </c>
      <c r="S1135" s="35">
        <f>IF(R1135="","",IF(R1135&gt;=60,INT(R1135/60)&amp;":"&amp;TEXT(MOD(R1135,60),"00.00"),TEXT(R1135,"0.00")))</f>
        <v/>
      </c>
      <c r="T1135" s="52">
        <f>IFERROR((G1135-INDEX('01_Swimmers'!$E$5:$E$22,MATCH(B1135,'01_Swimmers'!$A$5:$A$22,0)))/'00_Control'!$B$10,"")</f>
        <v/>
      </c>
      <c r="U1135" s="35">
        <f>IF(T1135="","",INT(T1135))</f>
        <v/>
      </c>
      <c r="V1135" s="33" t="inlineStr">
        <is>
          <t>NO</t>
        </is>
      </c>
      <c r="W1135" s="33" t="inlineStr">
        <is>
          <t>YES</t>
        </is>
      </c>
      <c r="X1135" s="33" t="inlineStr">
        <is>
          <t>NO</t>
        </is>
      </c>
      <c r="Y1135" s="33" t="n">
        <v>7</v>
      </c>
      <c r="Z1135" s="33" t="n">
        <v>3</v>
      </c>
      <c r="AA1135" s="33" t="inlineStr">
        <is>
          <t>11</t>
        </is>
      </c>
      <c r="AB1135" s="33" t="inlineStr">
        <is>
          <t>https://www.swimcloud.com/results/215760/event/6/?id=56160402#time56160402</t>
        </is>
      </c>
      <c r="AC1135" s="33" t="inlineStr">
        <is>
          <t>SwimCloud API v6 2026-10-08</t>
        </is>
      </c>
      <c r="AD1135" s="33" t="inlineStr">
        <is>
          <t>Jack Alexy|2015-08-05|LCM|100|Free|60.88|2015 VA Eastern Zone LC Championships|PRE|False</t>
        </is>
      </c>
      <c r="AE1135" s="53">
        <f>G1135+L1135/1000+ROW()/1000000000</f>
        <v/>
      </c>
      <c r="AF1135" s="35">
        <f>IF(C1135&lt;&gt;"Grayson Coulter","",COUNTIFS($C$5:$C$2991,"Grayson Coulter",$Q$5:$Q$2991,Q1135,$AE$5:$AE$2991,"&lt;="&amp;AE1135,$R$5:$R$2991,"&lt;"&amp;R1135))</f>
        <v/>
      </c>
      <c r="AG1135" s="35">
        <f>IF(OR(C1135&lt;&gt;"Grayson Coulter",G1135&lt;'00_Control'!$B$7),"",--(AF1135&lt;5))</f>
        <v/>
      </c>
      <c r="AH1135" s="35">
        <f>IF(OR(C1135&lt;&gt;"Grayson Coulter",G1135&lt;'00_Control'!$B$7),"",--(AF1135&lt;10))</f>
        <v/>
      </c>
      <c r="AI1135" s="35">
        <f>IF(AND(C1135="Grayson Coulter",G1135&gt;='00_Control'!$B$7),"YES","NO")</f>
        <v/>
      </c>
      <c r="AJ1135" s="33" t="inlineStr">
        <is>
          <t>OK</t>
        </is>
      </c>
    </row>
    <row r="1136">
      <c r="A1136" s="33" t="inlineStr">
        <is>
          <t>SM001132</t>
        </is>
      </c>
      <c r="B1136" s="33" t="inlineStr">
        <is>
          <t>SW015</t>
        </is>
      </c>
      <c r="C1136" s="33" t="inlineStr">
        <is>
          <t>Jack Alexy</t>
        </is>
      </c>
      <c r="D1136" s="33" t="inlineStr">
        <is>
          <t>SwimCloud</t>
        </is>
      </c>
      <c r="E1136" s="33" t="inlineStr">
        <is>
          <t>503872</t>
        </is>
      </c>
      <c r="F1136" s="33" t="inlineStr">
        <is>
          <t>56166606</t>
        </is>
      </c>
      <c r="G1136" s="51" t="n">
        <v>42223</v>
      </c>
      <c r="H1136" s="33" t="inlineStr">
        <is>
          <t>2015 VA Eastern Zone LC Championships</t>
        </is>
      </c>
      <c r="I1136" s="33" t="inlineStr">
        <is>
          <t>215760</t>
        </is>
      </c>
      <c r="J1136" s="33" t="inlineStr"/>
      <c r="K1136" s="33" t="inlineStr">
        <is>
          <t>TIM</t>
        </is>
      </c>
      <c r="L1136" s="35">
        <f>IF(K1136="FIN",3,IF(OR(K1136="SEM",K1136="SEMI"),2,IF(OR(K1136="PRE",K1136="HEAT"),1,IF(V1136="YES",4,2))))</f>
        <v/>
      </c>
      <c r="M1136" s="33" t="inlineStr">
        <is>
          <t>LCM</t>
        </is>
      </c>
      <c r="N1136" s="33" t="n">
        <v>100</v>
      </c>
      <c r="O1136" s="33" t="inlineStr">
        <is>
          <t>Free</t>
        </is>
      </c>
      <c r="P1136" s="33" t="inlineStr">
        <is>
          <t>100 Free</t>
        </is>
      </c>
      <c r="Q1136" s="33" t="inlineStr">
        <is>
          <t>LCM_100_FREE</t>
        </is>
      </c>
      <c r="R1136" s="36" t="n">
        <v>59.5</v>
      </c>
      <c r="S1136" s="35">
        <f>IF(R1136="","",IF(R1136&gt;=60,INT(R1136/60)&amp;":"&amp;TEXT(MOD(R1136,60),"00.00"),TEXT(R1136,"0.00")))</f>
        <v/>
      </c>
      <c r="T1136" s="52">
        <f>IFERROR((G1136-INDEX('01_Swimmers'!$E$5:$E$22,MATCH(B1136,'01_Swimmers'!$A$5:$A$22,0)))/'00_Control'!$B$10,"")</f>
        <v/>
      </c>
      <c r="U1136" s="35">
        <f>IF(T1136="","",INT(T1136))</f>
        <v/>
      </c>
      <c r="V1136" s="33" t="inlineStr">
        <is>
          <t>YES</t>
        </is>
      </c>
      <c r="W1136" s="33" t="inlineStr">
        <is>
          <t>YES</t>
        </is>
      </c>
      <c r="X1136" s="33" t="inlineStr">
        <is>
          <t>NO</t>
        </is>
      </c>
      <c r="Y1136" s="33" t="n">
        <v>3</v>
      </c>
      <c r="Z1136" s="33" t="n">
        <v>4</v>
      </c>
      <c r="AA1136" s="33" t="inlineStr"/>
      <c r="AB1136" s="33" t="inlineStr">
        <is>
          <t>https://www.swimcloud.com/results/215760/event/96/?id=56164810#time56164810</t>
        </is>
      </c>
      <c r="AC1136" s="33" t="inlineStr">
        <is>
          <t>SwimCloud API v6 2026-10-08</t>
        </is>
      </c>
      <c r="AD1136" s="33" t="inlineStr">
        <is>
          <t>Jack Alexy|2015-08-07|LCM|100|Free|59.5|2015 VA Eastern Zone LC Championships|TIM|True</t>
        </is>
      </c>
      <c r="AE1136" s="53">
        <f>G1136+L1136/1000+ROW()/1000000000</f>
        <v/>
      </c>
      <c r="AF1136" s="35">
        <f>IF(C1136&lt;&gt;"Grayson Coulter","",COUNTIFS($C$5:$C$2991,"Grayson Coulter",$Q$5:$Q$2991,Q1136,$AE$5:$AE$2991,"&lt;="&amp;AE1136,$R$5:$R$2991,"&lt;"&amp;R1136))</f>
        <v/>
      </c>
      <c r="AG1136" s="35">
        <f>IF(OR(C1136&lt;&gt;"Grayson Coulter",G1136&lt;'00_Control'!$B$7),"",--(AF1136&lt;5))</f>
        <v/>
      </c>
      <c r="AH1136" s="35">
        <f>IF(OR(C1136&lt;&gt;"Grayson Coulter",G1136&lt;'00_Control'!$B$7),"",--(AF1136&lt;10))</f>
        <v/>
      </c>
      <c r="AI1136" s="35">
        <f>IF(AND(C1136="Grayson Coulter",G1136&gt;='00_Control'!$B$7),"YES","NO")</f>
        <v/>
      </c>
      <c r="AJ1136" s="33" t="inlineStr">
        <is>
          <t>OK</t>
        </is>
      </c>
    </row>
    <row r="1137">
      <c r="A1137" s="33" t="inlineStr">
        <is>
          <t>SM001133</t>
        </is>
      </c>
      <c r="B1137" s="33" t="inlineStr">
        <is>
          <t>SW015</t>
        </is>
      </c>
      <c r="C1137" s="33" t="inlineStr">
        <is>
          <t>Jack Alexy</t>
        </is>
      </c>
      <c r="D1137" s="33" t="inlineStr">
        <is>
          <t>SwimCloud</t>
        </is>
      </c>
      <c r="E1137" s="33" t="inlineStr">
        <is>
          <t>503872</t>
        </is>
      </c>
      <c r="F1137" s="33" t="inlineStr">
        <is>
          <t>8685938</t>
        </is>
      </c>
      <c r="G1137" s="51" t="n">
        <v>42582</v>
      </c>
      <c r="H1137" s="33" t="inlineStr">
        <is>
          <t>YMCA LCY Nationals - TIme Trials</t>
        </is>
      </c>
      <c r="I1137" s="33" t="inlineStr">
        <is>
          <t>75734</t>
        </is>
      </c>
      <c r="J1137" s="33" t="inlineStr"/>
      <c r="K1137" s="33" t="inlineStr">
        <is>
          <t>TIM</t>
        </is>
      </c>
      <c r="L1137" s="35">
        <f>IF(K1137="FIN",3,IF(OR(K1137="SEM",K1137="SEMI"),2,IF(OR(K1137="PRE",K1137="HEAT"),1,IF(V1137="YES",4,2))))</f>
        <v/>
      </c>
      <c r="M1137" s="33" t="inlineStr">
        <is>
          <t>LCM</t>
        </is>
      </c>
      <c r="N1137" s="33" t="n">
        <v>100</v>
      </c>
      <c r="O1137" s="33" t="inlineStr">
        <is>
          <t>Free</t>
        </is>
      </c>
      <c r="P1137" s="33" t="inlineStr">
        <is>
          <t>100 Free</t>
        </is>
      </c>
      <c r="Q1137" s="33" t="inlineStr">
        <is>
          <t>LCM_100_FREE</t>
        </is>
      </c>
      <c r="R1137" s="36" t="n">
        <v>57</v>
      </c>
      <c r="S1137" s="35">
        <f>IF(R1137="","",IF(R1137&gt;=60,INT(R1137/60)&amp;":"&amp;TEXT(MOD(R1137,60),"00.00"),TEXT(R1137,"0.00")))</f>
        <v/>
      </c>
      <c r="T1137" s="52">
        <f>IFERROR((G1137-INDEX('01_Swimmers'!$E$5:$E$22,MATCH(B1137,'01_Swimmers'!$A$5:$A$22,0)))/'00_Control'!$B$10,"")</f>
        <v/>
      </c>
      <c r="U1137" s="35">
        <f>IF(T1137="","",INT(T1137))</f>
        <v/>
      </c>
      <c r="V1137" s="33" t="inlineStr">
        <is>
          <t>NO</t>
        </is>
      </c>
      <c r="W1137" s="33" t="inlineStr">
        <is>
          <t>YES</t>
        </is>
      </c>
      <c r="X1137" s="33" t="inlineStr">
        <is>
          <t>NO</t>
        </is>
      </c>
      <c r="Y1137" s="33" t="n">
        <v>5</v>
      </c>
      <c r="Z1137" s="33" t="n">
        <v>8</v>
      </c>
      <c r="AA1137" s="33" t="inlineStr">
        <is>
          <t>13</t>
        </is>
      </c>
      <c r="AB1137" s="33" t="inlineStr">
        <is>
          <t>https://www.swimcloud.com/results/75734/event/544/?id=8685938#time8685938</t>
        </is>
      </c>
      <c r="AC1137" s="33" t="inlineStr">
        <is>
          <t>SwimCloud API v6 2026-10-08</t>
        </is>
      </c>
      <c r="AD1137" s="33" t="inlineStr">
        <is>
          <t>Jack Alexy|2016-07-31|LCM|100|Free|57.0|YMCA LCY Nationals - TIme Trials|TIM|False</t>
        </is>
      </c>
      <c r="AE1137" s="53">
        <f>G1137+L1137/1000+ROW()/1000000000</f>
        <v/>
      </c>
      <c r="AF1137" s="35">
        <f>IF(C1137&lt;&gt;"Grayson Coulter","",COUNTIFS($C$5:$C$2991,"Grayson Coulter",$Q$5:$Q$2991,Q1137,$AE$5:$AE$2991,"&lt;="&amp;AE1137,$R$5:$R$2991,"&lt;"&amp;R1137))</f>
        <v/>
      </c>
      <c r="AG1137" s="35">
        <f>IF(OR(C1137&lt;&gt;"Grayson Coulter",G1137&lt;'00_Control'!$B$7),"",--(AF1137&lt;5))</f>
        <v/>
      </c>
      <c r="AH1137" s="35">
        <f>IF(OR(C1137&lt;&gt;"Grayson Coulter",G1137&lt;'00_Control'!$B$7),"",--(AF1137&lt;10))</f>
        <v/>
      </c>
      <c r="AI1137" s="35">
        <f>IF(AND(C1137="Grayson Coulter",G1137&gt;='00_Control'!$B$7),"YES","NO")</f>
        <v/>
      </c>
      <c r="AJ1137" s="33" t="inlineStr">
        <is>
          <t>OK</t>
        </is>
      </c>
    </row>
    <row r="1138">
      <c r="A1138" s="33" t="inlineStr">
        <is>
          <t>SM001134</t>
        </is>
      </c>
      <c r="B1138" s="33" t="inlineStr">
        <is>
          <t>SW015</t>
        </is>
      </c>
      <c r="C1138" s="33" t="inlineStr">
        <is>
          <t>Jack Alexy</t>
        </is>
      </c>
      <c r="D1138" s="33" t="inlineStr">
        <is>
          <t>SwimCloud</t>
        </is>
      </c>
      <c r="E1138" s="33" t="inlineStr">
        <is>
          <t>503872</t>
        </is>
      </c>
      <c r="F1138" s="33" t="inlineStr">
        <is>
          <t>9134244</t>
        </is>
      </c>
      <c r="G1138" s="51" t="n">
        <v>42888</v>
      </c>
      <c r="H1138" s="33" t="inlineStr">
        <is>
          <t>Arena Pro Swim Series - Santa Clara</t>
        </is>
      </c>
      <c r="I1138" s="33" t="inlineStr">
        <is>
          <t>76269</t>
        </is>
      </c>
      <c r="J1138" s="33" t="inlineStr"/>
      <c r="K1138" s="33" t="inlineStr">
        <is>
          <t>PRE</t>
        </is>
      </c>
      <c r="L1138" s="35">
        <f>IF(K1138="FIN",3,IF(OR(K1138="SEM",K1138="SEMI"),2,IF(OR(K1138="PRE",K1138="HEAT"),1,IF(V1138="YES",4,2))))</f>
        <v/>
      </c>
      <c r="M1138" s="33" t="inlineStr">
        <is>
          <t>LCM</t>
        </is>
      </c>
      <c r="N1138" s="33" t="n">
        <v>100</v>
      </c>
      <c r="O1138" s="33" t="inlineStr">
        <is>
          <t>Free</t>
        </is>
      </c>
      <c r="P1138" s="33" t="inlineStr">
        <is>
          <t>100 Free</t>
        </is>
      </c>
      <c r="Q1138" s="33" t="inlineStr">
        <is>
          <t>LCM_100_FREE</t>
        </is>
      </c>
      <c r="R1138" s="36" t="n">
        <v>54.23</v>
      </c>
      <c r="S1138" s="35">
        <f>IF(R1138="","",IF(R1138&gt;=60,INT(R1138/60)&amp;":"&amp;TEXT(MOD(R1138,60),"00.00"),TEXT(R1138,"0.00")))</f>
        <v/>
      </c>
      <c r="T1138" s="52">
        <f>IFERROR((G1138-INDEX('01_Swimmers'!$E$5:$E$22,MATCH(B1138,'01_Swimmers'!$A$5:$A$22,0)))/'00_Control'!$B$10,"")</f>
        <v/>
      </c>
      <c r="U1138" s="35">
        <f>IF(T1138="","",INT(T1138))</f>
        <v/>
      </c>
      <c r="V1138" s="33" t="inlineStr">
        <is>
          <t>NO</t>
        </is>
      </c>
      <c r="W1138" s="33" t="inlineStr">
        <is>
          <t>YES</t>
        </is>
      </c>
      <c r="X1138" s="33" t="inlineStr">
        <is>
          <t>NO</t>
        </is>
      </c>
      <c r="Y1138" s="33" t="n">
        <v>1</v>
      </c>
      <c r="Z1138" s="33" t="n">
        <v>7</v>
      </c>
      <c r="AA1138" s="33" t="inlineStr">
        <is>
          <t>84</t>
        </is>
      </c>
      <c r="AB1138" s="33" t="inlineStr">
        <is>
          <t>https://www.swimcloud.com/results/76269/event/8/?id=9134244#time9134244</t>
        </is>
      </c>
      <c r="AC1138" s="33" t="inlineStr">
        <is>
          <t>SwimCloud API v6 2026-10-08</t>
        </is>
      </c>
      <c r="AD1138" s="33" t="inlineStr">
        <is>
          <t>Jack Alexy|2017-06-02|LCM|100|Free|54.23|Arena Pro Swim Series - Santa Clara|PRE|False</t>
        </is>
      </c>
      <c r="AE1138" s="53">
        <f>G1138+L1138/1000+ROW()/1000000000</f>
        <v/>
      </c>
      <c r="AF1138" s="35">
        <f>IF(C1138&lt;&gt;"Grayson Coulter","",COUNTIFS($C$5:$C$2991,"Grayson Coulter",$Q$5:$Q$2991,Q1138,$AE$5:$AE$2991,"&lt;="&amp;AE1138,$R$5:$R$2991,"&lt;"&amp;R1138))</f>
        <v/>
      </c>
      <c r="AG1138" s="35">
        <f>IF(OR(C1138&lt;&gt;"Grayson Coulter",G1138&lt;'00_Control'!$B$7),"",--(AF1138&lt;5))</f>
        <v/>
      </c>
      <c r="AH1138" s="35">
        <f>IF(OR(C1138&lt;&gt;"Grayson Coulter",G1138&lt;'00_Control'!$B$7),"",--(AF1138&lt;10))</f>
        <v/>
      </c>
      <c r="AI1138" s="35">
        <f>IF(AND(C1138="Grayson Coulter",G1138&gt;='00_Control'!$B$7),"YES","NO")</f>
        <v/>
      </c>
      <c r="AJ1138" s="33" t="inlineStr">
        <is>
          <t>OK</t>
        </is>
      </c>
    </row>
    <row r="1139">
      <c r="A1139" s="33" t="inlineStr">
        <is>
          <t>SM001135</t>
        </is>
      </c>
      <c r="B1139" s="33" t="inlineStr">
        <is>
          <t>SW015</t>
        </is>
      </c>
      <c r="C1139" s="33" t="inlineStr">
        <is>
          <t>Jack Alexy</t>
        </is>
      </c>
      <c r="D1139" s="33" t="inlineStr">
        <is>
          <t>SwimCloud</t>
        </is>
      </c>
      <c r="E1139" s="33" t="inlineStr">
        <is>
          <t>503872</t>
        </is>
      </c>
      <c r="F1139" s="33" t="inlineStr">
        <is>
          <t>11995326</t>
        </is>
      </c>
      <c r="G1139" s="51" t="n">
        <v>42910</v>
      </c>
      <c r="H1139" s="33" t="inlineStr">
        <is>
          <t>FL BSS TYR Summer Classic</t>
        </is>
      </c>
      <c r="I1139" s="33" t="inlineStr">
        <is>
          <t>95542</t>
        </is>
      </c>
      <c r="J1139" s="33" t="inlineStr"/>
      <c r="K1139" s="33" t="inlineStr">
        <is>
          <t>PRE</t>
        </is>
      </c>
      <c r="L1139" s="35">
        <f>IF(K1139="FIN",3,IF(OR(K1139="SEM",K1139="SEMI"),2,IF(OR(K1139="PRE",K1139="HEAT"),1,IF(V1139="YES",4,2))))</f>
        <v/>
      </c>
      <c r="M1139" s="33" t="inlineStr">
        <is>
          <t>LCM</t>
        </is>
      </c>
      <c r="N1139" s="33" t="n">
        <v>200</v>
      </c>
      <c r="O1139" s="33" t="inlineStr">
        <is>
          <t>Free</t>
        </is>
      </c>
      <c r="P1139" s="33" t="inlineStr">
        <is>
          <t>200 Free</t>
        </is>
      </c>
      <c r="Q1139" s="33" t="inlineStr">
        <is>
          <t>LCM_200_FREE</t>
        </is>
      </c>
      <c r="R1139" s="36" t="n">
        <v>125.48</v>
      </c>
      <c r="S1139" s="35">
        <f>IF(R1139="","",IF(R1139&gt;=60,INT(R1139/60)&amp;":"&amp;TEXT(MOD(R1139,60),"00.00"),TEXT(R1139,"0.00")))</f>
        <v/>
      </c>
      <c r="T1139" s="52">
        <f>IFERROR((G1139-INDEX('01_Swimmers'!$E$5:$E$22,MATCH(B1139,'01_Swimmers'!$A$5:$A$22,0)))/'00_Control'!$B$10,"")</f>
        <v/>
      </c>
      <c r="U1139" s="35">
        <f>IF(T1139="","",INT(T1139))</f>
        <v/>
      </c>
      <c r="V1139" s="33" t="inlineStr">
        <is>
          <t>NO</t>
        </is>
      </c>
      <c r="W1139" s="33" t="inlineStr">
        <is>
          <t>YES</t>
        </is>
      </c>
      <c r="X1139" s="33" t="inlineStr">
        <is>
          <t>NO</t>
        </is>
      </c>
      <c r="Y1139" s="33" t="n">
        <v>2</v>
      </c>
      <c r="Z1139" s="33" t="n">
        <v>3</v>
      </c>
      <c r="AA1139" s="33" t="inlineStr">
        <is>
          <t>3</t>
        </is>
      </c>
      <c r="AB1139" s="33" t="inlineStr">
        <is>
          <t>https://www.swimcloud.com/results/95542/event/58/?id=11995326#time11995326</t>
        </is>
      </c>
      <c r="AC1139" s="33" t="inlineStr">
        <is>
          <t>SwimCloud API v6 2026-10-08</t>
        </is>
      </c>
      <c r="AD1139" s="33" t="inlineStr">
        <is>
          <t>Jack Alexy|2017-06-24|LCM|200|Free|125.48|FL BSS TYR Summer Classic|PRE|False</t>
        </is>
      </c>
      <c r="AE1139" s="53">
        <f>G1139+L1139/1000+ROW()/1000000000</f>
        <v/>
      </c>
      <c r="AF1139" s="35">
        <f>IF(C1139&lt;&gt;"Grayson Coulter","",COUNTIFS($C$5:$C$2991,"Grayson Coulter",$Q$5:$Q$2991,Q1139,$AE$5:$AE$2991,"&lt;="&amp;AE1139,$R$5:$R$2991,"&lt;"&amp;R1139))</f>
        <v/>
      </c>
      <c r="AG1139" s="35">
        <f>IF(OR(C1139&lt;&gt;"Grayson Coulter",G1139&lt;'00_Control'!$B$7),"",--(AF1139&lt;5))</f>
        <v/>
      </c>
      <c r="AH1139" s="35">
        <f>IF(OR(C1139&lt;&gt;"Grayson Coulter",G1139&lt;'00_Control'!$B$7),"",--(AF1139&lt;10))</f>
        <v/>
      </c>
      <c r="AI1139" s="35">
        <f>IF(AND(C1139="Grayson Coulter",G1139&gt;='00_Control'!$B$7),"YES","NO")</f>
        <v/>
      </c>
      <c r="AJ1139" s="33" t="inlineStr">
        <is>
          <t>OK</t>
        </is>
      </c>
    </row>
    <row r="1140">
      <c r="A1140" s="33" t="inlineStr">
        <is>
          <t>SM001136</t>
        </is>
      </c>
      <c r="B1140" s="33" t="inlineStr">
        <is>
          <t>SW015</t>
        </is>
      </c>
      <c r="C1140" s="33" t="inlineStr">
        <is>
          <t>Jack Alexy</t>
        </is>
      </c>
      <c r="D1140" s="33" t="inlineStr">
        <is>
          <t>SwimCloud</t>
        </is>
      </c>
      <c r="E1140" s="33" t="inlineStr">
        <is>
          <t>503872</t>
        </is>
      </c>
      <c r="F1140" s="33" t="inlineStr">
        <is>
          <t>11995379</t>
        </is>
      </c>
      <c r="G1140" s="51" t="n">
        <v>42910</v>
      </c>
      <c r="H1140" s="33" t="inlineStr">
        <is>
          <t>FL BSS TYR Summer Classic</t>
        </is>
      </c>
      <c r="I1140" s="33" t="inlineStr">
        <is>
          <t>95542</t>
        </is>
      </c>
      <c r="J1140" s="33" t="inlineStr"/>
      <c r="K1140" s="33" t="inlineStr">
        <is>
          <t>FIN</t>
        </is>
      </c>
      <c r="L1140" s="35">
        <f>IF(K1140="FIN",3,IF(OR(K1140="SEM",K1140="SEMI"),2,IF(OR(K1140="PRE",K1140="HEAT"),1,IF(V1140="YES",4,2))))</f>
        <v/>
      </c>
      <c r="M1140" s="33" t="inlineStr">
        <is>
          <t>LCM</t>
        </is>
      </c>
      <c r="N1140" s="33" t="n">
        <v>200</v>
      </c>
      <c r="O1140" s="33" t="inlineStr">
        <is>
          <t>Free</t>
        </is>
      </c>
      <c r="P1140" s="33" t="inlineStr">
        <is>
          <t>200 Free</t>
        </is>
      </c>
      <c r="Q1140" s="33" t="inlineStr">
        <is>
          <t>LCM_200_FREE</t>
        </is>
      </c>
      <c r="R1140" s="36" t="n">
        <v>121.42</v>
      </c>
      <c r="S1140" s="35">
        <f>IF(R1140="","",IF(R1140&gt;=60,INT(R1140/60)&amp;":"&amp;TEXT(MOD(R1140,60),"00.00"),TEXT(R1140,"0.00")))</f>
        <v/>
      </c>
      <c r="T1140" s="52">
        <f>IFERROR((G1140-INDEX('01_Swimmers'!$E$5:$E$22,MATCH(B1140,'01_Swimmers'!$A$5:$A$22,0)))/'00_Control'!$B$10,"")</f>
        <v/>
      </c>
      <c r="U1140" s="35">
        <f>IF(T1140="","",INT(T1140))</f>
        <v/>
      </c>
      <c r="V1140" s="33" t="inlineStr">
        <is>
          <t>NO</t>
        </is>
      </c>
      <c r="W1140" s="33" t="inlineStr">
        <is>
          <t>YES</t>
        </is>
      </c>
      <c r="X1140" s="33" t="inlineStr">
        <is>
          <t>NO</t>
        </is>
      </c>
      <c r="Y1140" s="33" t="n">
        <v>1</v>
      </c>
      <c r="Z1140" s="33" t="n">
        <v>3</v>
      </c>
      <c r="AA1140" s="33" t="inlineStr">
        <is>
          <t>1</t>
        </is>
      </c>
      <c r="AB1140" s="33" t="inlineStr">
        <is>
          <t>https://www.swimcloud.com/results/95542/event/58/?id=11995379#time11995379</t>
        </is>
      </c>
      <c r="AC1140" s="33" t="inlineStr">
        <is>
          <t>SwimCloud API v6 2026-10-08</t>
        </is>
      </c>
      <c r="AD1140" s="33" t="inlineStr">
        <is>
          <t>Jack Alexy|2017-06-24|LCM|200|Free|121.42|FL BSS TYR Summer Classic|FIN|False</t>
        </is>
      </c>
      <c r="AE1140" s="53">
        <f>G1140+L1140/1000+ROW()/1000000000</f>
        <v/>
      </c>
      <c r="AF1140" s="35">
        <f>IF(C1140&lt;&gt;"Grayson Coulter","",COUNTIFS($C$5:$C$2991,"Grayson Coulter",$Q$5:$Q$2991,Q1140,$AE$5:$AE$2991,"&lt;="&amp;AE1140,$R$5:$R$2991,"&lt;"&amp;R1140))</f>
        <v/>
      </c>
      <c r="AG1140" s="35">
        <f>IF(OR(C1140&lt;&gt;"Grayson Coulter",G1140&lt;'00_Control'!$B$7),"",--(AF1140&lt;5))</f>
        <v/>
      </c>
      <c r="AH1140" s="35">
        <f>IF(OR(C1140&lt;&gt;"Grayson Coulter",G1140&lt;'00_Control'!$B$7),"",--(AF1140&lt;10))</f>
        <v/>
      </c>
      <c r="AI1140" s="35">
        <f>IF(AND(C1140="Grayson Coulter",G1140&gt;='00_Control'!$B$7),"YES","NO")</f>
        <v/>
      </c>
      <c r="AJ1140" s="33" t="inlineStr">
        <is>
          <t>OK</t>
        </is>
      </c>
    </row>
    <row r="1141">
      <c r="A1141" s="33" t="inlineStr">
        <is>
          <t>SM001137</t>
        </is>
      </c>
      <c r="B1141" s="33" t="inlineStr">
        <is>
          <t>SW015</t>
        </is>
      </c>
      <c r="C1141" s="33" t="inlineStr">
        <is>
          <t>Jack Alexy</t>
        </is>
      </c>
      <c r="D1141" s="33" t="inlineStr">
        <is>
          <t>SwimCloud</t>
        </is>
      </c>
      <c r="E1141" s="33" t="inlineStr">
        <is>
          <t>503872</t>
        </is>
      </c>
      <c r="F1141" s="33" t="inlineStr">
        <is>
          <t>11994119</t>
        </is>
      </c>
      <c r="G1141" s="51" t="n">
        <v>42911</v>
      </c>
      <c r="H1141" s="33" t="inlineStr">
        <is>
          <t>FL BSS TYR Summer Classic</t>
        </is>
      </c>
      <c r="I1141" s="33" t="inlineStr">
        <is>
          <t>95542</t>
        </is>
      </c>
      <c r="J1141" s="33" t="inlineStr"/>
      <c r="K1141" s="33" t="inlineStr">
        <is>
          <t>PRE</t>
        </is>
      </c>
      <c r="L1141" s="35">
        <f>IF(K1141="FIN",3,IF(OR(K1141="SEM",K1141="SEMI"),2,IF(OR(K1141="PRE",K1141="HEAT"),1,IF(V1141="YES",4,2))))</f>
        <v/>
      </c>
      <c r="M1141" s="33" t="inlineStr">
        <is>
          <t>LCM</t>
        </is>
      </c>
      <c r="N1141" s="33" t="n">
        <v>100</v>
      </c>
      <c r="O1141" s="33" t="inlineStr">
        <is>
          <t>Free</t>
        </is>
      </c>
      <c r="P1141" s="33" t="inlineStr">
        <is>
          <t>100 Free</t>
        </is>
      </c>
      <c r="Q1141" s="33" t="inlineStr">
        <is>
          <t>LCM_100_FREE</t>
        </is>
      </c>
      <c r="R1141" s="36" t="n">
        <v>54.69</v>
      </c>
      <c r="S1141" s="35">
        <f>IF(R1141="","",IF(R1141&gt;=60,INT(R1141/60)&amp;":"&amp;TEXT(MOD(R1141,60),"00.00"),TEXT(R1141,"0.00")))</f>
        <v/>
      </c>
      <c r="T1141" s="52">
        <f>IFERROR((G1141-INDEX('01_Swimmers'!$E$5:$E$22,MATCH(B1141,'01_Swimmers'!$A$5:$A$22,0)))/'00_Control'!$B$10,"")</f>
        <v/>
      </c>
      <c r="U1141" s="35">
        <f>IF(T1141="","",INT(T1141))</f>
        <v/>
      </c>
      <c r="V1141" s="33" t="inlineStr">
        <is>
          <t>NO</t>
        </is>
      </c>
      <c r="W1141" s="33" t="inlineStr">
        <is>
          <t>YES</t>
        </is>
      </c>
      <c r="X1141" s="33" t="inlineStr">
        <is>
          <t>NO</t>
        </is>
      </c>
      <c r="Y1141" s="33" t="n">
        <v>1</v>
      </c>
      <c r="Z1141" s="33" t="n">
        <v>4</v>
      </c>
      <c r="AA1141" s="33" t="inlineStr">
        <is>
          <t>1</t>
        </is>
      </c>
      <c r="AB1141" s="33" t="inlineStr">
        <is>
          <t>https://www.swimcloud.com/results/95542/event/102/?id=11994119#time11994119</t>
        </is>
      </c>
      <c r="AC1141" s="33" t="inlineStr">
        <is>
          <t>SwimCloud API v6 2026-10-08</t>
        </is>
      </c>
      <c r="AD1141" s="33" t="inlineStr">
        <is>
          <t>Jack Alexy|2017-06-25|LCM|100|Free|54.69|FL BSS TYR Summer Classic|PRE|False</t>
        </is>
      </c>
      <c r="AE1141" s="53">
        <f>G1141+L1141/1000+ROW()/1000000000</f>
        <v/>
      </c>
      <c r="AF1141" s="35">
        <f>IF(C1141&lt;&gt;"Grayson Coulter","",COUNTIFS($C$5:$C$2991,"Grayson Coulter",$Q$5:$Q$2991,Q1141,$AE$5:$AE$2991,"&lt;="&amp;AE1141,$R$5:$R$2991,"&lt;"&amp;R1141))</f>
        <v/>
      </c>
      <c r="AG1141" s="35">
        <f>IF(OR(C1141&lt;&gt;"Grayson Coulter",G1141&lt;'00_Control'!$B$7),"",--(AF1141&lt;5))</f>
        <v/>
      </c>
      <c r="AH1141" s="35">
        <f>IF(OR(C1141&lt;&gt;"Grayson Coulter",G1141&lt;'00_Control'!$B$7),"",--(AF1141&lt;10))</f>
        <v/>
      </c>
      <c r="AI1141" s="35">
        <f>IF(AND(C1141="Grayson Coulter",G1141&gt;='00_Control'!$B$7),"YES","NO")</f>
        <v/>
      </c>
      <c r="AJ1141" s="33" t="inlineStr">
        <is>
          <t>OK</t>
        </is>
      </c>
    </row>
    <row r="1142">
      <c r="A1142" s="33" t="inlineStr">
        <is>
          <t>SM001138</t>
        </is>
      </c>
      <c r="B1142" s="33" t="inlineStr">
        <is>
          <t>SW015</t>
        </is>
      </c>
      <c r="C1142" s="33" t="inlineStr">
        <is>
          <t>Jack Alexy</t>
        </is>
      </c>
      <c r="D1142" s="33" t="inlineStr">
        <is>
          <t>SwimCloud</t>
        </is>
      </c>
      <c r="E1142" s="33" t="inlineStr">
        <is>
          <t>503872</t>
        </is>
      </c>
      <c r="F1142" s="33" t="inlineStr">
        <is>
          <t>11994202</t>
        </is>
      </c>
      <c r="G1142" s="51" t="n">
        <v>42911</v>
      </c>
      <c r="H1142" s="33" t="inlineStr">
        <is>
          <t>FL BSS TYR Summer Classic</t>
        </is>
      </c>
      <c r="I1142" s="33" t="inlineStr">
        <is>
          <t>95542</t>
        </is>
      </c>
      <c r="J1142" s="33" t="inlineStr"/>
      <c r="K1142" s="33" t="inlineStr">
        <is>
          <t>FIN</t>
        </is>
      </c>
      <c r="L1142" s="35">
        <f>IF(K1142="FIN",3,IF(OR(K1142="SEM",K1142="SEMI"),2,IF(OR(K1142="PRE",K1142="HEAT"),1,IF(V1142="YES",4,2))))</f>
        <v/>
      </c>
      <c r="M1142" s="33" t="inlineStr">
        <is>
          <t>LCM</t>
        </is>
      </c>
      <c r="N1142" s="33" t="n">
        <v>100</v>
      </c>
      <c r="O1142" s="33" t="inlineStr">
        <is>
          <t>Free</t>
        </is>
      </c>
      <c r="P1142" s="33" t="inlineStr">
        <is>
          <t>100 Free</t>
        </is>
      </c>
      <c r="Q1142" s="33" t="inlineStr">
        <is>
          <t>LCM_100_FREE</t>
        </is>
      </c>
      <c r="R1142" s="36" t="n">
        <v>54.49</v>
      </c>
      <c r="S1142" s="35">
        <f>IF(R1142="","",IF(R1142&gt;=60,INT(R1142/60)&amp;":"&amp;TEXT(MOD(R1142,60),"00.00"),TEXT(R1142,"0.00")))</f>
        <v/>
      </c>
      <c r="T1142" s="52">
        <f>IFERROR((G1142-INDEX('01_Swimmers'!$E$5:$E$22,MATCH(B1142,'01_Swimmers'!$A$5:$A$22,0)))/'00_Control'!$B$10,"")</f>
        <v/>
      </c>
      <c r="U1142" s="35">
        <f>IF(T1142="","",INT(T1142))</f>
        <v/>
      </c>
      <c r="V1142" s="33" t="inlineStr">
        <is>
          <t>NO</t>
        </is>
      </c>
      <c r="W1142" s="33" t="inlineStr">
        <is>
          <t>YES</t>
        </is>
      </c>
      <c r="X1142" s="33" t="inlineStr">
        <is>
          <t>NO</t>
        </is>
      </c>
      <c r="Y1142" s="33" t="n">
        <v>1</v>
      </c>
      <c r="Z1142" s="33" t="n">
        <v>4</v>
      </c>
      <c r="AA1142" s="33" t="inlineStr">
        <is>
          <t>1</t>
        </is>
      </c>
      <c r="AB1142" s="33" t="inlineStr">
        <is>
          <t>https://www.swimcloud.com/results/95542/event/102/?id=11994202#time11994202</t>
        </is>
      </c>
      <c r="AC1142" s="33" t="inlineStr">
        <is>
          <t>SwimCloud API v6 2026-10-08</t>
        </is>
      </c>
      <c r="AD1142" s="33" t="inlineStr">
        <is>
          <t>Jack Alexy|2017-06-25|LCM|100|Free|54.49|FL BSS TYR Summer Classic|FIN|False</t>
        </is>
      </c>
      <c r="AE1142" s="53">
        <f>G1142+L1142/1000+ROW()/1000000000</f>
        <v/>
      </c>
      <c r="AF1142" s="35">
        <f>IF(C1142&lt;&gt;"Grayson Coulter","",COUNTIFS($C$5:$C$2991,"Grayson Coulter",$Q$5:$Q$2991,Q1142,$AE$5:$AE$2991,"&lt;="&amp;AE1142,$R$5:$R$2991,"&lt;"&amp;R1142))</f>
        <v/>
      </c>
      <c r="AG1142" s="35">
        <f>IF(OR(C1142&lt;&gt;"Grayson Coulter",G1142&lt;'00_Control'!$B$7),"",--(AF1142&lt;5))</f>
        <v/>
      </c>
      <c r="AH1142" s="35">
        <f>IF(OR(C1142&lt;&gt;"Grayson Coulter",G1142&lt;'00_Control'!$B$7),"",--(AF1142&lt;10))</f>
        <v/>
      </c>
      <c r="AI1142" s="35">
        <f>IF(AND(C1142="Grayson Coulter",G1142&gt;='00_Control'!$B$7),"YES","NO")</f>
        <v/>
      </c>
      <c r="AJ1142" s="33" t="inlineStr">
        <is>
          <t>OK</t>
        </is>
      </c>
    </row>
    <row r="1143">
      <c r="A1143" s="33" t="inlineStr">
        <is>
          <t>SM001139</t>
        </is>
      </c>
      <c r="B1143" s="33" t="inlineStr">
        <is>
          <t>SW015</t>
        </is>
      </c>
      <c r="C1143" s="33" t="inlineStr">
        <is>
          <t>Jack Alexy</t>
        </is>
      </c>
      <c r="D1143" s="33" t="inlineStr">
        <is>
          <t>SwimCloud</t>
        </is>
      </c>
      <c r="E1143" s="33" t="inlineStr">
        <is>
          <t>503872</t>
        </is>
      </c>
      <c r="F1143" s="33" t="inlineStr">
        <is>
          <t>56080454</t>
        </is>
      </c>
      <c r="G1143" s="51" t="n">
        <v>42951</v>
      </c>
      <c r="H1143" s="33" t="inlineStr">
        <is>
          <t>YMCA Long Course National Championship</t>
        </is>
      </c>
      <c r="I1143" s="33" t="inlineStr">
        <is>
          <t>88809</t>
        </is>
      </c>
      <c r="J1143" s="33" t="inlineStr"/>
      <c r="K1143" s="33" t="inlineStr">
        <is>
          <t>PRE</t>
        </is>
      </c>
      <c r="L1143" s="35">
        <f>IF(K1143="FIN",3,IF(OR(K1143="SEM",K1143="SEMI"),2,IF(OR(K1143="PRE",K1143="HEAT"),1,IF(V1143="YES",4,2))))</f>
        <v/>
      </c>
      <c r="M1143" s="33" t="inlineStr">
        <is>
          <t>LCM</t>
        </is>
      </c>
      <c r="N1143" s="33" t="n">
        <v>100</v>
      </c>
      <c r="O1143" s="33" t="inlineStr">
        <is>
          <t>Free</t>
        </is>
      </c>
      <c r="P1143" s="33" t="inlineStr">
        <is>
          <t>100 Free</t>
        </is>
      </c>
      <c r="Q1143" s="33" t="inlineStr">
        <is>
          <t>LCM_100_FREE</t>
        </is>
      </c>
      <c r="R1143" s="36" t="n">
        <v>54.62</v>
      </c>
      <c r="S1143" s="35">
        <f>IF(R1143="","",IF(R1143&gt;=60,INT(R1143/60)&amp;":"&amp;TEXT(MOD(R1143,60),"00.00"),TEXT(R1143,"0.00")))</f>
        <v/>
      </c>
      <c r="T1143" s="52">
        <f>IFERROR((G1143-INDEX('01_Swimmers'!$E$5:$E$22,MATCH(B1143,'01_Swimmers'!$A$5:$A$22,0)))/'00_Control'!$B$10,"")</f>
        <v/>
      </c>
      <c r="U1143" s="35">
        <f>IF(T1143="","",INT(T1143))</f>
        <v/>
      </c>
      <c r="V1143" s="33" t="inlineStr">
        <is>
          <t>NO</t>
        </is>
      </c>
      <c r="W1143" s="33" t="inlineStr">
        <is>
          <t>YES</t>
        </is>
      </c>
      <c r="X1143" s="33" t="inlineStr">
        <is>
          <t>NO</t>
        </is>
      </c>
      <c r="Y1143" s="33" t="n">
        <v>18</v>
      </c>
      <c r="Z1143" s="33" t="n">
        <v>7</v>
      </c>
      <c r="AA1143" s="33" t="inlineStr">
        <is>
          <t>32</t>
        </is>
      </c>
      <c r="AB1143" s="33" t="inlineStr">
        <is>
          <t>https://www.swimcloud.com/results/88809/event/504/?id=56080454#time56080454</t>
        </is>
      </c>
      <c r="AC1143" s="33" t="inlineStr">
        <is>
          <t>SwimCloud API v6 2026-10-08</t>
        </is>
      </c>
      <c r="AD1143" s="33" t="inlineStr">
        <is>
          <t>Jack Alexy|2017-08-04|LCM|100|Free|54.62|YMCA Long Course National Championship|PRE|False</t>
        </is>
      </c>
      <c r="AE1143" s="53">
        <f>G1143+L1143/1000+ROW()/1000000000</f>
        <v/>
      </c>
      <c r="AF1143" s="35">
        <f>IF(C1143&lt;&gt;"Grayson Coulter","",COUNTIFS($C$5:$C$2991,"Grayson Coulter",$Q$5:$Q$2991,Q1143,$AE$5:$AE$2991,"&lt;="&amp;AE1143,$R$5:$R$2991,"&lt;"&amp;R1143))</f>
        <v/>
      </c>
      <c r="AG1143" s="35">
        <f>IF(OR(C1143&lt;&gt;"Grayson Coulter",G1143&lt;'00_Control'!$B$7),"",--(AF1143&lt;5))</f>
        <v/>
      </c>
      <c r="AH1143" s="35">
        <f>IF(OR(C1143&lt;&gt;"Grayson Coulter",G1143&lt;'00_Control'!$B$7),"",--(AF1143&lt;10))</f>
        <v/>
      </c>
      <c r="AI1143" s="35">
        <f>IF(AND(C1143="Grayson Coulter",G1143&gt;='00_Control'!$B$7),"YES","NO")</f>
        <v/>
      </c>
      <c r="AJ1143" s="33" t="inlineStr">
        <is>
          <t>OK</t>
        </is>
      </c>
    </row>
    <row r="1144">
      <c r="A1144" s="33" t="inlineStr">
        <is>
          <t>SM001140</t>
        </is>
      </c>
      <c r="B1144" s="33" t="inlineStr">
        <is>
          <t>SW015</t>
        </is>
      </c>
      <c r="C1144" s="33" t="inlineStr">
        <is>
          <t>Jack Alexy</t>
        </is>
      </c>
      <c r="D1144" s="33" t="inlineStr">
        <is>
          <t>SwimCloud</t>
        </is>
      </c>
      <c r="E1144" s="33" t="inlineStr">
        <is>
          <t>503872</t>
        </is>
      </c>
      <c r="F1144" s="33" t="inlineStr">
        <is>
          <t>18744879</t>
        </is>
      </c>
      <c r="G1144" s="51" t="n">
        <v>43239</v>
      </c>
      <c r="H1144" s="33" t="inlineStr">
        <is>
          <t>NJ MYM May Warm-Up</t>
        </is>
      </c>
      <c r="I1144" s="33" t="inlineStr">
        <is>
          <t>117919</t>
        </is>
      </c>
      <c r="J1144" s="33" t="inlineStr"/>
      <c r="K1144" s="33" t="inlineStr">
        <is>
          <t>TIM</t>
        </is>
      </c>
      <c r="L1144" s="35">
        <f>IF(K1144="FIN",3,IF(OR(K1144="SEM",K1144="SEMI"),2,IF(OR(K1144="PRE",K1144="HEAT"),1,IF(V1144="YES",4,2))))</f>
        <v/>
      </c>
      <c r="M1144" s="33" t="inlineStr">
        <is>
          <t>LCM</t>
        </is>
      </c>
      <c r="N1144" s="33" t="n">
        <v>100</v>
      </c>
      <c r="O1144" s="33" t="inlineStr">
        <is>
          <t>Fly</t>
        </is>
      </c>
      <c r="P1144" s="33" t="inlineStr">
        <is>
          <t>100 Fly</t>
        </is>
      </c>
      <c r="Q1144" s="33" t="inlineStr">
        <is>
          <t>LCM_100_FLY</t>
        </is>
      </c>
      <c r="R1144" s="36" t="n">
        <v>63.56</v>
      </c>
      <c r="S1144" s="35">
        <f>IF(R1144="","",IF(R1144&gt;=60,INT(R1144/60)&amp;":"&amp;TEXT(MOD(R1144,60),"00.00"),TEXT(R1144,"0.00")))</f>
        <v/>
      </c>
      <c r="T1144" s="52">
        <f>IFERROR((G1144-INDEX('01_Swimmers'!$E$5:$E$22,MATCH(B1144,'01_Swimmers'!$A$5:$A$22,0)))/'00_Control'!$B$10,"")</f>
        <v/>
      </c>
      <c r="U1144" s="35">
        <f>IF(T1144="","",INT(T1144))</f>
        <v/>
      </c>
      <c r="V1144" s="33" t="inlineStr">
        <is>
          <t>NO</t>
        </is>
      </c>
      <c r="W1144" s="33" t="inlineStr">
        <is>
          <t>YES</t>
        </is>
      </c>
      <c r="X1144" s="33" t="inlineStr">
        <is>
          <t>NO</t>
        </is>
      </c>
      <c r="Y1144" s="33" t="n">
        <v>8</v>
      </c>
      <c r="Z1144" s="33" t="n">
        <v>4</v>
      </c>
      <c r="AA1144" s="33" t="inlineStr">
        <is>
          <t>3</t>
        </is>
      </c>
      <c r="AB1144" s="33" t="inlineStr">
        <is>
          <t>https://www.swimcloud.com/results/117919/event/22/?id=18744879#time18744879</t>
        </is>
      </c>
      <c r="AC1144" s="33" t="inlineStr">
        <is>
          <t>SwimCloud API v6 2026-10-08</t>
        </is>
      </c>
      <c r="AD1144" s="33" t="inlineStr">
        <is>
          <t>Jack Alexy|2018-05-19|LCM|100|Fly|63.56|NJ MYM May Warm-Up|TIM|False</t>
        </is>
      </c>
      <c r="AE1144" s="53">
        <f>G1144+L1144/1000+ROW()/1000000000</f>
        <v/>
      </c>
      <c r="AF1144" s="35">
        <f>IF(C1144&lt;&gt;"Grayson Coulter","",COUNTIFS($C$5:$C$2991,"Grayson Coulter",$Q$5:$Q$2991,Q1144,$AE$5:$AE$2991,"&lt;="&amp;AE1144,$R$5:$R$2991,"&lt;"&amp;R1144))</f>
        <v/>
      </c>
      <c r="AG1144" s="35">
        <f>IF(OR(C1144&lt;&gt;"Grayson Coulter",G1144&lt;'00_Control'!$B$7),"",--(AF1144&lt;5))</f>
        <v/>
      </c>
      <c r="AH1144" s="35">
        <f>IF(OR(C1144&lt;&gt;"Grayson Coulter",G1144&lt;'00_Control'!$B$7),"",--(AF1144&lt;10))</f>
        <v/>
      </c>
      <c r="AI1144" s="35">
        <f>IF(AND(C1144="Grayson Coulter",G1144&gt;='00_Control'!$B$7),"YES","NO")</f>
        <v/>
      </c>
      <c r="AJ1144" s="33" t="inlineStr">
        <is>
          <t>OK</t>
        </is>
      </c>
    </row>
    <row r="1145">
      <c r="A1145" s="33" t="inlineStr">
        <is>
          <t>SM001141</t>
        </is>
      </c>
      <c r="B1145" s="33" t="inlineStr">
        <is>
          <t>SW015</t>
        </is>
      </c>
      <c r="C1145" s="33" t="inlineStr">
        <is>
          <t>Jack Alexy</t>
        </is>
      </c>
      <c r="D1145" s="33" t="inlineStr">
        <is>
          <t>SwimCloud</t>
        </is>
      </c>
      <c r="E1145" s="33" t="inlineStr">
        <is>
          <t>503872</t>
        </is>
      </c>
      <c r="F1145" s="33" t="inlineStr">
        <is>
          <t>18744780</t>
        </is>
      </c>
      <c r="G1145" s="51" t="n">
        <v>43239</v>
      </c>
      <c r="H1145" s="33" t="inlineStr">
        <is>
          <t>NJ MYM May Warm-Up</t>
        </is>
      </c>
      <c r="I1145" s="33" t="inlineStr">
        <is>
          <t>117919</t>
        </is>
      </c>
      <c r="J1145" s="33" t="inlineStr"/>
      <c r="K1145" s="33" t="inlineStr">
        <is>
          <t>TIM</t>
        </is>
      </c>
      <c r="L1145" s="35">
        <f>IF(K1145="FIN",3,IF(OR(K1145="SEM",K1145="SEMI"),2,IF(OR(K1145="PRE",K1145="HEAT"),1,IF(V1145="YES",4,2))))</f>
        <v/>
      </c>
      <c r="M1145" s="33" t="inlineStr">
        <is>
          <t>LCM</t>
        </is>
      </c>
      <c r="N1145" s="33" t="n">
        <v>100</v>
      </c>
      <c r="O1145" s="33" t="inlineStr">
        <is>
          <t>Free</t>
        </is>
      </c>
      <c r="P1145" s="33" t="inlineStr">
        <is>
          <t>100 Free</t>
        </is>
      </c>
      <c r="Q1145" s="33" t="inlineStr">
        <is>
          <t>LCM_100_FREE</t>
        </is>
      </c>
      <c r="R1145" s="36" t="n">
        <v>54.42</v>
      </c>
      <c r="S1145" s="35">
        <f>IF(R1145="","",IF(R1145&gt;=60,INT(R1145/60)&amp;":"&amp;TEXT(MOD(R1145,60),"00.00"),TEXT(R1145,"0.00")))</f>
        <v/>
      </c>
      <c r="T1145" s="52">
        <f>IFERROR((G1145-INDEX('01_Swimmers'!$E$5:$E$22,MATCH(B1145,'01_Swimmers'!$A$5:$A$22,0)))/'00_Control'!$B$10,"")</f>
        <v/>
      </c>
      <c r="U1145" s="35">
        <f>IF(T1145="","",INT(T1145))</f>
        <v/>
      </c>
      <c r="V1145" s="33" t="inlineStr">
        <is>
          <t>NO</t>
        </is>
      </c>
      <c r="W1145" s="33" t="inlineStr">
        <is>
          <t>YES</t>
        </is>
      </c>
      <c r="X1145" s="33" t="inlineStr">
        <is>
          <t>NO</t>
        </is>
      </c>
      <c r="Y1145" s="33" t="n">
        <v>13</v>
      </c>
      <c r="Z1145" s="33" t="n">
        <v>4</v>
      </c>
      <c r="AA1145" s="33" t="inlineStr">
        <is>
          <t>1</t>
        </is>
      </c>
      <c r="AB1145" s="33" t="inlineStr">
        <is>
          <t>https://www.swimcloud.com/results/117919/event/20/?id=18744780#time18744780</t>
        </is>
      </c>
      <c r="AC1145" s="33" t="inlineStr">
        <is>
          <t>SwimCloud API v6 2026-10-08</t>
        </is>
      </c>
      <c r="AD1145" s="33" t="inlineStr">
        <is>
          <t>Jack Alexy|2018-05-19|LCM|100|Free|54.42|NJ MYM May Warm-Up|TIM|False</t>
        </is>
      </c>
      <c r="AE1145" s="53">
        <f>G1145+L1145/1000+ROW()/1000000000</f>
        <v/>
      </c>
      <c r="AF1145" s="35">
        <f>IF(C1145&lt;&gt;"Grayson Coulter","",COUNTIFS($C$5:$C$2991,"Grayson Coulter",$Q$5:$Q$2991,Q1145,$AE$5:$AE$2991,"&lt;="&amp;AE1145,$R$5:$R$2991,"&lt;"&amp;R1145))</f>
        <v/>
      </c>
      <c r="AG1145" s="35">
        <f>IF(OR(C1145&lt;&gt;"Grayson Coulter",G1145&lt;'00_Control'!$B$7),"",--(AF1145&lt;5))</f>
        <v/>
      </c>
      <c r="AH1145" s="35">
        <f>IF(OR(C1145&lt;&gt;"Grayson Coulter",G1145&lt;'00_Control'!$B$7),"",--(AF1145&lt;10))</f>
        <v/>
      </c>
      <c r="AI1145" s="35">
        <f>IF(AND(C1145="Grayson Coulter",G1145&gt;='00_Control'!$B$7),"YES","NO")</f>
        <v/>
      </c>
      <c r="AJ1145" s="33" t="inlineStr">
        <is>
          <t>OK</t>
        </is>
      </c>
    </row>
    <row r="1146">
      <c r="A1146" s="33" t="inlineStr">
        <is>
          <t>SM001142</t>
        </is>
      </c>
      <c r="B1146" s="33" t="inlineStr">
        <is>
          <t>SW015</t>
        </is>
      </c>
      <c r="C1146" s="33" t="inlineStr">
        <is>
          <t>Jack Alexy</t>
        </is>
      </c>
      <c r="D1146" s="33" t="inlineStr">
        <is>
          <t>SwimCloud</t>
        </is>
      </c>
      <c r="E1146" s="33" t="inlineStr">
        <is>
          <t>503872</t>
        </is>
      </c>
      <c r="F1146" s="33" t="inlineStr">
        <is>
          <t>18209140</t>
        </is>
      </c>
      <c r="G1146" s="51" t="n">
        <v>43260</v>
      </c>
      <c r="H1146" s="33" t="inlineStr">
        <is>
          <t>TYR Pro Swim Series - Santa Clara</t>
        </is>
      </c>
      <c r="I1146" s="33" t="inlineStr">
        <is>
          <t>116513</t>
        </is>
      </c>
      <c r="J1146" s="33" t="inlineStr"/>
      <c r="K1146" s="33" t="inlineStr">
        <is>
          <t>PRE</t>
        </is>
      </c>
      <c r="L1146" s="35">
        <f>IF(K1146="FIN",3,IF(OR(K1146="SEM",K1146="SEMI"),2,IF(OR(K1146="PRE",K1146="HEAT"),1,IF(V1146="YES",4,2))))</f>
        <v/>
      </c>
      <c r="M1146" s="33" t="inlineStr">
        <is>
          <t>LCM</t>
        </is>
      </c>
      <c r="N1146" s="33" t="n">
        <v>100</v>
      </c>
      <c r="O1146" s="33" t="inlineStr">
        <is>
          <t>Free</t>
        </is>
      </c>
      <c r="P1146" s="33" t="inlineStr">
        <is>
          <t>100 Free</t>
        </is>
      </c>
      <c r="Q1146" s="33" t="inlineStr">
        <is>
          <t>LCM_100_FREE</t>
        </is>
      </c>
      <c r="R1146" s="36" t="n">
        <v>51.95</v>
      </c>
      <c r="S1146" s="35">
        <f>IF(R1146="","",IF(R1146&gt;=60,INT(R1146/60)&amp;":"&amp;TEXT(MOD(R1146,60),"00.00"),TEXT(R1146,"0.00")))</f>
        <v/>
      </c>
      <c r="T1146" s="52">
        <f>IFERROR((G1146-INDEX('01_Swimmers'!$E$5:$E$22,MATCH(B1146,'01_Swimmers'!$A$5:$A$22,0)))/'00_Control'!$B$10,"")</f>
        <v/>
      </c>
      <c r="U1146" s="35">
        <f>IF(T1146="","",INT(T1146))</f>
        <v/>
      </c>
      <c r="V1146" s="33" t="inlineStr">
        <is>
          <t>NO</t>
        </is>
      </c>
      <c r="W1146" s="33" t="inlineStr">
        <is>
          <t>YES</t>
        </is>
      </c>
      <c r="X1146" s="33" t="inlineStr">
        <is>
          <t>NO</t>
        </is>
      </c>
      <c r="Y1146" s="33" t="n">
        <v>9</v>
      </c>
      <c r="Z1146" s="33" t="n">
        <v>4</v>
      </c>
      <c r="AA1146" s="33" t="inlineStr">
        <is>
          <t>31</t>
        </is>
      </c>
      <c r="AB1146" s="33" t="inlineStr">
        <is>
          <t>https://www.swimcloud.com/results/116513/event/23/?id=18209140#time18209140</t>
        </is>
      </c>
      <c r="AC1146" s="33" t="inlineStr">
        <is>
          <t>SwimCloud API v6 2026-10-08</t>
        </is>
      </c>
      <c r="AD1146" s="33" t="inlineStr">
        <is>
          <t>Jack Alexy|2018-06-09|LCM|100|Free|51.95|TYR Pro Swim Series - Santa Clara|PRE|False</t>
        </is>
      </c>
      <c r="AE1146" s="53">
        <f>G1146+L1146/1000+ROW()/1000000000</f>
        <v/>
      </c>
      <c r="AF1146" s="35">
        <f>IF(C1146&lt;&gt;"Grayson Coulter","",COUNTIFS($C$5:$C$2991,"Grayson Coulter",$Q$5:$Q$2991,Q1146,$AE$5:$AE$2991,"&lt;="&amp;AE1146,$R$5:$R$2991,"&lt;"&amp;R1146))</f>
        <v/>
      </c>
      <c r="AG1146" s="35">
        <f>IF(OR(C1146&lt;&gt;"Grayson Coulter",G1146&lt;'00_Control'!$B$7),"",--(AF1146&lt;5))</f>
        <v/>
      </c>
      <c r="AH1146" s="35">
        <f>IF(OR(C1146&lt;&gt;"Grayson Coulter",G1146&lt;'00_Control'!$B$7),"",--(AF1146&lt;10))</f>
        <v/>
      </c>
      <c r="AI1146" s="35">
        <f>IF(AND(C1146="Grayson Coulter",G1146&gt;='00_Control'!$B$7),"YES","NO")</f>
        <v/>
      </c>
      <c r="AJ1146" s="33" t="inlineStr">
        <is>
          <t>OK</t>
        </is>
      </c>
    </row>
    <row r="1147">
      <c r="A1147" s="33" t="inlineStr">
        <is>
          <t>SM001143</t>
        </is>
      </c>
      <c r="B1147" s="33" t="inlineStr">
        <is>
          <t>SW015</t>
        </is>
      </c>
      <c r="C1147" s="33" t="inlineStr">
        <is>
          <t>Jack Alexy</t>
        </is>
      </c>
      <c r="D1147" s="33" t="inlineStr">
        <is>
          <t>SwimCloud</t>
        </is>
      </c>
      <c r="E1147" s="33" t="inlineStr">
        <is>
          <t>503872</t>
        </is>
      </c>
      <c r="F1147" s="33" t="inlineStr">
        <is>
          <t>18209236</t>
        </is>
      </c>
      <c r="G1147" s="51" t="n">
        <v>43260</v>
      </c>
      <c r="H1147" s="33" t="inlineStr">
        <is>
          <t>TYR Pro Swim Series - Santa Clara</t>
        </is>
      </c>
      <c r="I1147" s="33" t="inlineStr">
        <is>
          <t>116513</t>
        </is>
      </c>
      <c r="J1147" s="33" t="inlineStr"/>
      <c r="K1147" s="33" t="inlineStr">
        <is>
          <t>FIN</t>
        </is>
      </c>
      <c r="L1147" s="35">
        <f>IF(K1147="FIN",3,IF(OR(K1147="SEM",K1147="SEMI"),2,IF(OR(K1147="PRE",K1147="HEAT"),1,IF(V1147="YES",4,2))))</f>
        <v/>
      </c>
      <c r="M1147" s="33" t="inlineStr">
        <is>
          <t>LCM</t>
        </is>
      </c>
      <c r="N1147" s="33" t="n">
        <v>100</v>
      </c>
      <c r="O1147" s="33" t="inlineStr">
        <is>
          <t>Free</t>
        </is>
      </c>
      <c r="P1147" s="33" t="inlineStr">
        <is>
          <t>100 Free</t>
        </is>
      </c>
      <c r="Q1147" s="33" t="inlineStr">
        <is>
          <t>LCM_100_FREE</t>
        </is>
      </c>
      <c r="R1147" s="36" t="n">
        <v>52.13</v>
      </c>
      <c r="S1147" s="35">
        <f>IF(R1147="","",IF(R1147&gt;=60,INT(R1147/60)&amp;":"&amp;TEXT(MOD(R1147,60),"00.00"),TEXT(R1147,"0.00")))</f>
        <v/>
      </c>
      <c r="T1147" s="52">
        <f>IFERROR((G1147-INDEX('01_Swimmers'!$E$5:$E$22,MATCH(B1147,'01_Swimmers'!$A$5:$A$22,0)))/'00_Control'!$B$10,"")</f>
        <v/>
      </c>
      <c r="U1147" s="35">
        <f>IF(T1147="","",INT(T1147))</f>
        <v/>
      </c>
      <c r="V1147" s="33" t="inlineStr">
        <is>
          <t>NO</t>
        </is>
      </c>
      <c r="W1147" s="33" t="inlineStr">
        <is>
          <t>YES</t>
        </is>
      </c>
      <c r="X1147" s="33" t="inlineStr">
        <is>
          <t>NO</t>
        </is>
      </c>
      <c r="Y1147" s="33" t="n">
        <v>4</v>
      </c>
      <c r="Z1147" s="33" t="n">
        <v>5</v>
      </c>
      <c r="AA1147" s="33" t="inlineStr">
        <is>
          <t>30</t>
        </is>
      </c>
      <c r="AB1147" s="33" t="inlineStr">
        <is>
          <t>https://www.swimcloud.com/results/116513/event/23/?id=18209236#time18209236</t>
        </is>
      </c>
      <c r="AC1147" s="33" t="inlineStr">
        <is>
          <t>SwimCloud API v6 2026-10-08</t>
        </is>
      </c>
      <c r="AD1147" s="33" t="inlineStr">
        <is>
          <t>Jack Alexy|2018-06-09|LCM|100|Free|52.13|TYR Pro Swim Series - Santa Clara|FIN|False</t>
        </is>
      </c>
      <c r="AE1147" s="53">
        <f>G1147+L1147/1000+ROW()/1000000000</f>
        <v/>
      </c>
      <c r="AF1147" s="35">
        <f>IF(C1147&lt;&gt;"Grayson Coulter","",COUNTIFS($C$5:$C$2991,"Grayson Coulter",$Q$5:$Q$2991,Q1147,$AE$5:$AE$2991,"&lt;="&amp;AE1147,$R$5:$R$2991,"&lt;"&amp;R1147))</f>
        <v/>
      </c>
      <c r="AG1147" s="35">
        <f>IF(OR(C1147&lt;&gt;"Grayson Coulter",G1147&lt;'00_Control'!$B$7),"",--(AF1147&lt;5))</f>
        <v/>
      </c>
      <c r="AH1147" s="35">
        <f>IF(OR(C1147&lt;&gt;"Grayson Coulter",G1147&lt;'00_Control'!$B$7),"",--(AF1147&lt;10))</f>
        <v/>
      </c>
      <c r="AI1147" s="35">
        <f>IF(AND(C1147="Grayson Coulter",G1147&gt;='00_Control'!$B$7),"YES","NO")</f>
        <v/>
      </c>
      <c r="AJ1147" s="33" t="inlineStr">
        <is>
          <t>OK</t>
        </is>
      </c>
    </row>
    <row r="1148">
      <c r="A1148" s="33" t="inlineStr">
        <is>
          <t>SM001144</t>
        </is>
      </c>
      <c r="B1148" s="33" t="inlineStr">
        <is>
          <t>SW015</t>
        </is>
      </c>
      <c r="C1148" s="33" t="inlineStr">
        <is>
          <t>Jack Alexy</t>
        </is>
      </c>
      <c r="D1148" s="33" t="inlineStr">
        <is>
          <t>SwimCloud</t>
        </is>
      </c>
      <c r="E1148" s="33" t="inlineStr">
        <is>
          <t>503872</t>
        </is>
      </c>
      <c r="F1148" s="33" t="inlineStr">
        <is>
          <t>19975926</t>
        </is>
      </c>
      <c r="G1148" s="51" t="n">
        <v>43312</v>
      </c>
      <c r="H1148" s="33" t="inlineStr">
        <is>
          <t>YMCA Long Course National Championships</t>
        </is>
      </c>
      <c r="I1148" s="33" t="inlineStr">
        <is>
          <t>99095</t>
        </is>
      </c>
      <c r="J1148" s="33" t="inlineStr"/>
      <c r="K1148" s="33" t="inlineStr">
        <is>
          <t>PRE</t>
        </is>
      </c>
      <c r="L1148" s="35">
        <f>IF(K1148="FIN",3,IF(OR(K1148="SEM",K1148="SEMI"),2,IF(OR(K1148="PRE",K1148="HEAT"),1,IF(V1148="YES",4,2))))</f>
        <v/>
      </c>
      <c r="M1148" s="33" t="inlineStr">
        <is>
          <t>LCM</t>
        </is>
      </c>
      <c r="N1148" s="33" t="n">
        <v>100</v>
      </c>
      <c r="O1148" s="33" t="inlineStr">
        <is>
          <t>Fly</t>
        </is>
      </c>
      <c r="P1148" s="33" t="inlineStr">
        <is>
          <t>100 Fly</t>
        </is>
      </c>
      <c r="Q1148" s="33" t="inlineStr">
        <is>
          <t>LCM_100_FLY</t>
        </is>
      </c>
      <c r="R1148" s="36" t="n">
        <v>56.2</v>
      </c>
      <c r="S1148" s="35">
        <f>IF(R1148="","",IF(R1148&gt;=60,INT(R1148/60)&amp;":"&amp;TEXT(MOD(R1148,60),"00.00"),TEXT(R1148,"0.00")))</f>
        <v/>
      </c>
      <c r="T1148" s="52">
        <f>IFERROR((G1148-INDEX('01_Swimmers'!$E$5:$E$22,MATCH(B1148,'01_Swimmers'!$A$5:$A$22,0)))/'00_Control'!$B$10,"")</f>
        <v/>
      </c>
      <c r="U1148" s="35">
        <f>IF(T1148="","",INT(T1148))</f>
        <v/>
      </c>
      <c r="V1148" s="33" t="inlineStr">
        <is>
          <t>NO</t>
        </is>
      </c>
      <c r="W1148" s="33" t="inlineStr">
        <is>
          <t>YES</t>
        </is>
      </c>
      <c r="X1148" s="33" t="inlineStr">
        <is>
          <t>NO</t>
        </is>
      </c>
      <c r="Y1148" s="33" t="n">
        <v>13</v>
      </c>
      <c r="Z1148" s="33" t="n">
        <v>8</v>
      </c>
      <c r="AA1148" s="33" t="inlineStr">
        <is>
          <t>3</t>
        </is>
      </c>
      <c r="AB1148" s="33" t="inlineStr">
        <is>
          <t>https://www.swimcloud.com/results/99095/event/204/?id=19975926#time19975926</t>
        </is>
      </c>
      <c r="AC1148" s="33" t="inlineStr">
        <is>
          <t>SwimCloud API v6 2026-10-08</t>
        </is>
      </c>
      <c r="AD1148" s="33" t="inlineStr">
        <is>
          <t>Jack Alexy|2018-07-31|LCM|100|Fly|56.2|YMCA Long Course National Championships|PRE|False</t>
        </is>
      </c>
      <c r="AE1148" s="53">
        <f>G1148+L1148/1000+ROW()/1000000000</f>
        <v/>
      </c>
      <c r="AF1148" s="35">
        <f>IF(C1148&lt;&gt;"Grayson Coulter","",COUNTIFS($C$5:$C$2991,"Grayson Coulter",$Q$5:$Q$2991,Q1148,$AE$5:$AE$2991,"&lt;="&amp;AE1148,$R$5:$R$2991,"&lt;"&amp;R1148))</f>
        <v/>
      </c>
      <c r="AG1148" s="35">
        <f>IF(OR(C1148&lt;&gt;"Grayson Coulter",G1148&lt;'00_Control'!$B$7),"",--(AF1148&lt;5))</f>
        <v/>
      </c>
      <c r="AH1148" s="35">
        <f>IF(OR(C1148&lt;&gt;"Grayson Coulter",G1148&lt;'00_Control'!$B$7),"",--(AF1148&lt;10))</f>
        <v/>
      </c>
      <c r="AI1148" s="35">
        <f>IF(AND(C1148="Grayson Coulter",G1148&gt;='00_Control'!$B$7),"YES","NO")</f>
        <v/>
      </c>
      <c r="AJ1148" s="33" t="inlineStr">
        <is>
          <t>OK</t>
        </is>
      </c>
    </row>
    <row r="1149">
      <c r="A1149" s="33" t="inlineStr">
        <is>
          <t>SM001145</t>
        </is>
      </c>
      <c r="B1149" s="33" t="inlineStr">
        <is>
          <t>SW015</t>
        </is>
      </c>
      <c r="C1149" s="33" t="inlineStr">
        <is>
          <t>Jack Alexy</t>
        </is>
      </c>
      <c r="D1149" s="33" t="inlineStr">
        <is>
          <t>SwimCloud</t>
        </is>
      </c>
      <c r="E1149" s="33" t="inlineStr">
        <is>
          <t>503872</t>
        </is>
      </c>
      <c r="F1149" s="33" t="inlineStr">
        <is>
          <t>19975927</t>
        </is>
      </c>
      <c r="G1149" s="51" t="n">
        <v>43312</v>
      </c>
      <c r="H1149" s="33" t="inlineStr">
        <is>
          <t>YMCA Long Course National Championships</t>
        </is>
      </c>
      <c r="I1149" s="33" t="inlineStr">
        <is>
          <t>99095</t>
        </is>
      </c>
      <c r="J1149" s="33" t="inlineStr"/>
      <c r="K1149" s="33" t="inlineStr">
        <is>
          <t>FIN</t>
        </is>
      </c>
      <c r="L1149" s="35">
        <f>IF(K1149="FIN",3,IF(OR(K1149="SEM",K1149="SEMI"),2,IF(OR(K1149="PRE",K1149="HEAT"),1,IF(V1149="YES",4,2))))</f>
        <v/>
      </c>
      <c r="M1149" s="33" t="inlineStr">
        <is>
          <t>LCM</t>
        </is>
      </c>
      <c r="N1149" s="33" t="n">
        <v>100</v>
      </c>
      <c r="O1149" s="33" t="inlineStr">
        <is>
          <t>Fly</t>
        </is>
      </c>
      <c r="P1149" s="33" t="inlineStr">
        <is>
          <t>100 Fly</t>
        </is>
      </c>
      <c r="Q1149" s="33" t="inlineStr">
        <is>
          <t>LCM_100_FLY</t>
        </is>
      </c>
      <c r="R1149" s="36" t="n">
        <v>56.19</v>
      </c>
      <c r="S1149" s="35">
        <f>IF(R1149="","",IF(R1149&gt;=60,INT(R1149/60)&amp;":"&amp;TEXT(MOD(R1149,60),"00.00"),TEXT(R1149,"0.00")))</f>
        <v/>
      </c>
      <c r="T1149" s="52">
        <f>IFERROR((G1149-INDEX('01_Swimmers'!$E$5:$E$22,MATCH(B1149,'01_Swimmers'!$A$5:$A$22,0)))/'00_Control'!$B$10,"")</f>
        <v/>
      </c>
      <c r="U1149" s="35">
        <f>IF(T1149="","",INT(T1149))</f>
        <v/>
      </c>
      <c r="V1149" s="33" t="inlineStr">
        <is>
          <t>NO</t>
        </is>
      </c>
      <c r="W1149" s="33" t="inlineStr">
        <is>
          <t>YES</t>
        </is>
      </c>
      <c r="X1149" s="33" t="inlineStr">
        <is>
          <t>NO</t>
        </is>
      </c>
      <c r="Y1149" s="33" t="n">
        <v>3</v>
      </c>
      <c r="Z1149" s="33" t="n">
        <v>3</v>
      </c>
      <c r="AA1149" s="33" t="inlineStr">
        <is>
          <t>4</t>
        </is>
      </c>
      <c r="AB1149" s="33" t="inlineStr">
        <is>
          <t>https://www.swimcloud.com/results/99095/event/204/?id=19975927#time19975927</t>
        </is>
      </c>
      <c r="AC1149" s="33" t="inlineStr">
        <is>
          <t>SwimCloud API v6 2026-10-08</t>
        </is>
      </c>
      <c r="AD1149" s="33" t="inlineStr">
        <is>
          <t>Jack Alexy|2018-07-31|LCM|100|Fly|56.19|YMCA Long Course National Championships|FIN|False</t>
        </is>
      </c>
      <c r="AE1149" s="53">
        <f>G1149+L1149/1000+ROW()/1000000000</f>
        <v/>
      </c>
      <c r="AF1149" s="35">
        <f>IF(C1149&lt;&gt;"Grayson Coulter","",COUNTIFS($C$5:$C$2991,"Grayson Coulter",$Q$5:$Q$2991,Q1149,$AE$5:$AE$2991,"&lt;="&amp;AE1149,$R$5:$R$2991,"&lt;"&amp;R1149))</f>
        <v/>
      </c>
      <c r="AG1149" s="35">
        <f>IF(OR(C1149&lt;&gt;"Grayson Coulter",G1149&lt;'00_Control'!$B$7),"",--(AF1149&lt;5))</f>
        <v/>
      </c>
      <c r="AH1149" s="35">
        <f>IF(OR(C1149&lt;&gt;"Grayson Coulter",G1149&lt;'00_Control'!$B$7),"",--(AF1149&lt;10))</f>
        <v/>
      </c>
      <c r="AI1149" s="35">
        <f>IF(AND(C1149="Grayson Coulter",G1149&gt;='00_Control'!$B$7),"YES","NO")</f>
        <v/>
      </c>
      <c r="AJ1149" s="33" t="inlineStr">
        <is>
          <t>OK</t>
        </is>
      </c>
    </row>
    <row r="1150">
      <c r="A1150" s="33" t="inlineStr">
        <is>
          <t>SM001146</t>
        </is>
      </c>
      <c r="B1150" s="33" t="inlineStr">
        <is>
          <t>SW015</t>
        </is>
      </c>
      <c r="C1150" s="33" t="inlineStr">
        <is>
          <t>Jack Alexy</t>
        </is>
      </c>
      <c r="D1150" s="33" t="inlineStr">
        <is>
          <t>SwimCloud</t>
        </is>
      </c>
      <c r="E1150" s="33" t="inlineStr">
        <is>
          <t>503872</t>
        </is>
      </c>
      <c r="F1150" s="33" t="inlineStr">
        <is>
          <t>19977708</t>
        </is>
      </c>
      <c r="G1150" s="51" t="n">
        <v>43313</v>
      </c>
      <c r="H1150" s="33" t="inlineStr">
        <is>
          <t>YMCA Long Course National Championships</t>
        </is>
      </c>
      <c r="I1150" s="33" t="inlineStr">
        <is>
          <t>99095</t>
        </is>
      </c>
      <c r="J1150" s="33" t="inlineStr"/>
      <c r="K1150" s="33" t="inlineStr">
        <is>
          <t>PRE</t>
        </is>
      </c>
      <c r="L1150" s="35">
        <f>IF(K1150="FIN",3,IF(OR(K1150="SEM",K1150="SEMI"),2,IF(OR(K1150="PRE",K1150="HEAT"),1,IF(V1150="YES",4,2))))</f>
        <v/>
      </c>
      <c r="M1150" s="33" t="inlineStr">
        <is>
          <t>LCM</t>
        </is>
      </c>
      <c r="N1150" s="33" t="n">
        <v>200</v>
      </c>
      <c r="O1150" s="33" t="inlineStr">
        <is>
          <t>Free</t>
        </is>
      </c>
      <c r="P1150" s="33" t="inlineStr">
        <is>
          <t>200 Free</t>
        </is>
      </c>
      <c r="Q1150" s="33" t="inlineStr">
        <is>
          <t>LCM_200_FREE</t>
        </is>
      </c>
      <c r="R1150" s="36" t="n">
        <v>115.69</v>
      </c>
      <c r="S1150" s="35">
        <f>IF(R1150="","",IF(R1150&gt;=60,INT(R1150/60)&amp;":"&amp;TEXT(MOD(R1150,60),"00.00"),TEXT(R1150,"0.00")))</f>
        <v/>
      </c>
      <c r="T1150" s="52">
        <f>IFERROR((G1150-INDEX('01_Swimmers'!$E$5:$E$22,MATCH(B1150,'01_Swimmers'!$A$5:$A$22,0)))/'00_Control'!$B$10,"")</f>
        <v/>
      </c>
      <c r="U1150" s="35">
        <f>IF(T1150="","",INT(T1150))</f>
        <v/>
      </c>
      <c r="V1150" s="33" t="inlineStr">
        <is>
          <t>NO</t>
        </is>
      </c>
      <c r="W1150" s="33" t="inlineStr">
        <is>
          <t>YES</t>
        </is>
      </c>
      <c r="X1150" s="33" t="inlineStr">
        <is>
          <t>NO</t>
        </is>
      </c>
      <c r="Y1150" s="33" t="n">
        <v>11</v>
      </c>
      <c r="Z1150" s="33" t="n">
        <v>8</v>
      </c>
      <c r="AA1150" s="33" t="inlineStr">
        <is>
          <t>3</t>
        </is>
      </c>
      <c r="AB1150" s="33" t="inlineStr">
        <is>
          <t>https://www.swimcloud.com/results/99095/event/308/?id=19977708#time19977708</t>
        </is>
      </c>
      <c r="AC1150" s="33" t="inlineStr">
        <is>
          <t>SwimCloud API v6 2026-10-08</t>
        </is>
      </c>
      <c r="AD1150" s="33" t="inlineStr">
        <is>
          <t>Jack Alexy|2018-08-01|LCM|200|Free|115.69|YMCA Long Course National Championships|PRE|False</t>
        </is>
      </c>
      <c r="AE1150" s="53">
        <f>G1150+L1150/1000+ROW()/1000000000</f>
        <v/>
      </c>
      <c r="AF1150" s="35">
        <f>IF(C1150&lt;&gt;"Grayson Coulter","",COUNTIFS($C$5:$C$2991,"Grayson Coulter",$Q$5:$Q$2991,Q1150,$AE$5:$AE$2991,"&lt;="&amp;AE1150,$R$5:$R$2991,"&lt;"&amp;R1150))</f>
        <v/>
      </c>
      <c r="AG1150" s="35">
        <f>IF(OR(C1150&lt;&gt;"Grayson Coulter",G1150&lt;'00_Control'!$B$7),"",--(AF1150&lt;5))</f>
        <v/>
      </c>
      <c r="AH1150" s="35">
        <f>IF(OR(C1150&lt;&gt;"Grayson Coulter",G1150&lt;'00_Control'!$B$7),"",--(AF1150&lt;10))</f>
        <v/>
      </c>
      <c r="AI1150" s="35">
        <f>IF(AND(C1150="Grayson Coulter",G1150&gt;='00_Control'!$B$7),"YES","NO")</f>
        <v/>
      </c>
      <c r="AJ1150" s="33" t="inlineStr">
        <is>
          <t>OK</t>
        </is>
      </c>
    </row>
    <row r="1151">
      <c r="A1151" s="33" t="inlineStr">
        <is>
          <t>SM001147</t>
        </is>
      </c>
      <c r="B1151" s="33" t="inlineStr">
        <is>
          <t>SW015</t>
        </is>
      </c>
      <c r="C1151" s="33" t="inlineStr">
        <is>
          <t>Jack Alexy</t>
        </is>
      </c>
      <c r="D1151" s="33" t="inlineStr">
        <is>
          <t>SwimCloud</t>
        </is>
      </c>
      <c r="E1151" s="33" t="inlineStr">
        <is>
          <t>503872</t>
        </is>
      </c>
      <c r="F1151" s="33" t="inlineStr">
        <is>
          <t>19977709</t>
        </is>
      </c>
      <c r="G1151" s="51" t="n">
        <v>43313</v>
      </c>
      <c r="H1151" s="33" t="inlineStr">
        <is>
          <t>YMCA Long Course National Championships</t>
        </is>
      </c>
      <c r="I1151" s="33" t="inlineStr">
        <is>
          <t>99095</t>
        </is>
      </c>
      <c r="J1151" s="33" t="inlineStr"/>
      <c r="K1151" s="33" t="inlineStr">
        <is>
          <t>FIN</t>
        </is>
      </c>
      <c r="L1151" s="35">
        <f>IF(K1151="FIN",3,IF(OR(K1151="SEM",K1151="SEMI"),2,IF(OR(K1151="PRE",K1151="HEAT"),1,IF(V1151="YES",4,2))))</f>
        <v/>
      </c>
      <c r="M1151" s="33" t="inlineStr">
        <is>
          <t>LCM</t>
        </is>
      </c>
      <c r="N1151" s="33" t="n">
        <v>200</v>
      </c>
      <c r="O1151" s="33" t="inlineStr">
        <is>
          <t>Free</t>
        </is>
      </c>
      <c r="P1151" s="33" t="inlineStr">
        <is>
          <t>200 Free</t>
        </is>
      </c>
      <c r="Q1151" s="33" t="inlineStr">
        <is>
          <t>LCM_200_FREE</t>
        </is>
      </c>
      <c r="R1151" s="36" t="n">
        <v>113.44</v>
      </c>
      <c r="S1151" s="35">
        <f>IF(R1151="","",IF(R1151&gt;=60,INT(R1151/60)&amp;":"&amp;TEXT(MOD(R1151,60),"00.00"),TEXT(R1151,"0.00")))</f>
        <v/>
      </c>
      <c r="T1151" s="52">
        <f>IFERROR((G1151-INDEX('01_Swimmers'!$E$5:$E$22,MATCH(B1151,'01_Swimmers'!$A$5:$A$22,0)))/'00_Control'!$B$10,"")</f>
        <v/>
      </c>
      <c r="U1151" s="35">
        <f>IF(T1151="","",INT(T1151))</f>
        <v/>
      </c>
      <c r="V1151" s="33" t="inlineStr">
        <is>
          <t>NO</t>
        </is>
      </c>
      <c r="W1151" s="33" t="inlineStr">
        <is>
          <t>YES</t>
        </is>
      </c>
      <c r="X1151" s="33" t="inlineStr">
        <is>
          <t>NO</t>
        </is>
      </c>
      <c r="Y1151" s="33" t="n">
        <v>3</v>
      </c>
      <c r="Z1151" s="33" t="n">
        <v>6</v>
      </c>
      <c r="AA1151" s="33" t="inlineStr">
        <is>
          <t>2</t>
        </is>
      </c>
      <c r="AB1151" s="33" t="inlineStr">
        <is>
          <t>https://www.swimcloud.com/results/99095/event/308/?id=19977709#time19977709</t>
        </is>
      </c>
      <c r="AC1151" s="33" t="inlineStr">
        <is>
          <t>SwimCloud API v6 2026-10-08</t>
        </is>
      </c>
      <c r="AD1151" s="33" t="inlineStr">
        <is>
          <t>Jack Alexy|2018-08-01|LCM|200|Free|113.44|YMCA Long Course National Championships|FIN|False</t>
        </is>
      </c>
      <c r="AE1151" s="53">
        <f>G1151+L1151/1000+ROW()/1000000000</f>
        <v/>
      </c>
      <c r="AF1151" s="35">
        <f>IF(C1151&lt;&gt;"Grayson Coulter","",COUNTIFS($C$5:$C$2991,"Grayson Coulter",$Q$5:$Q$2991,Q1151,$AE$5:$AE$2991,"&lt;="&amp;AE1151,$R$5:$R$2991,"&lt;"&amp;R1151))</f>
        <v/>
      </c>
      <c r="AG1151" s="35">
        <f>IF(OR(C1151&lt;&gt;"Grayson Coulter",G1151&lt;'00_Control'!$B$7),"",--(AF1151&lt;5))</f>
        <v/>
      </c>
      <c r="AH1151" s="35">
        <f>IF(OR(C1151&lt;&gt;"Grayson Coulter",G1151&lt;'00_Control'!$B$7),"",--(AF1151&lt;10))</f>
        <v/>
      </c>
      <c r="AI1151" s="35">
        <f>IF(AND(C1151="Grayson Coulter",G1151&gt;='00_Control'!$B$7),"YES","NO")</f>
        <v/>
      </c>
      <c r="AJ1151" s="33" t="inlineStr">
        <is>
          <t>OK</t>
        </is>
      </c>
    </row>
    <row r="1152">
      <c r="A1152" s="33" t="inlineStr">
        <is>
          <t>SM001148</t>
        </is>
      </c>
      <c r="B1152" s="33" t="inlineStr">
        <is>
          <t>SW015</t>
        </is>
      </c>
      <c r="C1152" s="33" t="inlineStr">
        <is>
          <t>Jack Alexy</t>
        </is>
      </c>
      <c r="D1152" s="33" t="inlineStr">
        <is>
          <t>SwimCloud</t>
        </is>
      </c>
      <c r="E1152" s="33" t="inlineStr">
        <is>
          <t>503872</t>
        </is>
      </c>
      <c r="F1152" s="33" t="inlineStr">
        <is>
          <t>19976371</t>
        </is>
      </c>
      <c r="G1152" s="51" t="n">
        <v>43315</v>
      </c>
      <c r="H1152" s="33" t="inlineStr">
        <is>
          <t>YMCA Long Course National Championships</t>
        </is>
      </c>
      <c r="I1152" s="33" t="inlineStr">
        <is>
          <t>99095</t>
        </is>
      </c>
      <c r="J1152" s="33" t="inlineStr"/>
      <c r="K1152" s="33" t="inlineStr">
        <is>
          <t>PRE</t>
        </is>
      </c>
      <c r="L1152" s="35">
        <f>IF(K1152="FIN",3,IF(OR(K1152="SEM",K1152="SEMI"),2,IF(OR(K1152="PRE",K1152="HEAT"),1,IF(V1152="YES",4,2))))</f>
        <v/>
      </c>
      <c r="M1152" s="33" t="inlineStr">
        <is>
          <t>LCM</t>
        </is>
      </c>
      <c r="N1152" s="33" t="n">
        <v>100</v>
      </c>
      <c r="O1152" s="33" t="inlineStr">
        <is>
          <t>Free</t>
        </is>
      </c>
      <c r="P1152" s="33" t="inlineStr">
        <is>
          <t>100 Free</t>
        </is>
      </c>
      <c r="Q1152" s="33" t="inlineStr">
        <is>
          <t>LCM_100_FREE</t>
        </is>
      </c>
      <c r="R1152" s="36" t="n">
        <v>52.04</v>
      </c>
      <c r="S1152" s="35">
        <f>IF(R1152="","",IF(R1152&gt;=60,INT(R1152/60)&amp;":"&amp;TEXT(MOD(R1152,60),"00.00"),TEXT(R1152,"0.00")))</f>
        <v/>
      </c>
      <c r="T1152" s="52">
        <f>IFERROR((G1152-INDEX('01_Swimmers'!$E$5:$E$22,MATCH(B1152,'01_Swimmers'!$A$5:$A$22,0)))/'00_Control'!$B$10,"")</f>
        <v/>
      </c>
      <c r="U1152" s="35">
        <f>IF(T1152="","",INT(T1152))</f>
        <v/>
      </c>
      <c r="V1152" s="33" t="inlineStr">
        <is>
          <t>NO</t>
        </is>
      </c>
      <c r="W1152" s="33" t="inlineStr">
        <is>
          <t>YES</t>
        </is>
      </c>
      <c r="X1152" s="33" t="inlineStr">
        <is>
          <t>NO</t>
        </is>
      </c>
      <c r="Y1152" s="33" t="n">
        <v>17</v>
      </c>
      <c r="Z1152" s="33" t="n">
        <v>4</v>
      </c>
      <c r="AA1152" s="33" t="inlineStr">
        <is>
          <t>1</t>
        </is>
      </c>
      <c r="AB1152" s="33" t="inlineStr">
        <is>
          <t>https://www.swimcloud.com/results/99095/event/504/?id=19976371#time19976371</t>
        </is>
      </c>
      <c r="AC1152" s="33" t="inlineStr">
        <is>
          <t>SwimCloud API v6 2026-10-08</t>
        </is>
      </c>
      <c r="AD1152" s="33" t="inlineStr">
        <is>
          <t>Jack Alexy|2018-08-03|LCM|100|Free|52.04|YMCA Long Course National Championships|PRE|False</t>
        </is>
      </c>
      <c r="AE1152" s="53">
        <f>G1152+L1152/1000+ROW()/1000000000</f>
        <v/>
      </c>
      <c r="AF1152" s="35">
        <f>IF(C1152&lt;&gt;"Grayson Coulter","",COUNTIFS($C$5:$C$2991,"Grayson Coulter",$Q$5:$Q$2991,Q1152,$AE$5:$AE$2991,"&lt;="&amp;AE1152,$R$5:$R$2991,"&lt;"&amp;R1152))</f>
        <v/>
      </c>
      <c r="AG1152" s="35">
        <f>IF(OR(C1152&lt;&gt;"Grayson Coulter",G1152&lt;'00_Control'!$B$7),"",--(AF1152&lt;5))</f>
        <v/>
      </c>
      <c r="AH1152" s="35">
        <f>IF(OR(C1152&lt;&gt;"Grayson Coulter",G1152&lt;'00_Control'!$B$7),"",--(AF1152&lt;10))</f>
        <v/>
      </c>
      <c r="AI1152" s="35">
        <f>IF(AND(C1152="Grayson Coulter",G1152&gt;='00_Control'!$B$7),"YES","NO")</f>
        <v/>
      </c>
      <c r="AJ1152" s="33" t="inlineStr">
        <is>
          <t>OK</t>
        </is>
      </c>
    </row>
    <row r="1153">
      <c r="A1153" s="33" t="inlineStr">
        <is>
          <t>SM001149</t>
        </is>
      </c>
      <c r="B1153" s="33" t="inlineStr">
        <is>
          <t>SW015</t>
        </is>
      </c>
      <c r="C1153" s="33" t="inlineStr">
        <is>
          <t>Jack Alexy</t>
        </is>
      </c>
      <c r="D1153" s="33" t="inlineStr">
        <is>
          <t>SwimCloud</t>
        </is>
      </c>
      <c r="E1153" s="33" t="inlineStr">
        <is>
          <t>503872</t>
        </is>
      </c>
      <c r="F1153" s="33" t="inlineStr">
        <is>
          <t>19976372</t>
        </is>
      </c>
      <c r="G1153" s="51" t="n">
        <v>43315</v>
      </c>
      <c r="H1153" s="33" t="inlineStr">
        <is>
          <t>YMCA Long Course National Championships</t>
        </is>
      </c>
      <c r="I1153" s="33" t="inlineStr">
        <is>
          <t>99095</t>
        </is>
      </c>
      <c r="J1153" s="33" t="inlineStr"/>
      <c r="K1153" s="33" t="inlineStr">
        <is>
          <t>FIN</t>
        </is>
      </c>
      <c r="L1153" s="35">
        <f>IF(K1153="FIN",3,IF(OR(K1153="SEM",K1153="SEMI"),2,IF(OR(K1153="PRE",K1153="HEAT"),1,IF(V1153="YES",4,2))))</f>
        <v/>
      </c>
      <c r="M1153" s="33" t="inlineStr">
        <is>
          <t>LCM</t>
        </is>
      </c>
      <c r="N1153" s="33" t="n">
        <v>100</v>
      </c>
      <c r="O1153" s="33" t="inlineStr">
        <is>
          <t>Free</t>
        </is>
      </c>
      <c r="P1153" s="33" t="inlineStr">
        <is>
          <t>100 Free</t>
        </is>
      </c>
      <c r="Q1153" s="33" t="inlineStr">
        <is>
          <t>LCM_100_FREE</t>
        </is>
      </c>
      <c r="R1153" s="36" t="n">
        <v>51.41</v>
      </c>
      <c r="S1153" s="35">
        <f>IF(R1153="","",IF(R1153&gt;=60,INT(R1153/60)&amp;":"&amp;TEXT(MOD(R1153,60),"00.00"),TEXT(R1153,"0.00")))</f>
        <v/>
      </c>
      <c r="T1153" s="52">
        <f>IFERROR((G1153-INDEX('01_Swimmers'!$E$5:$E$22,MATCH(B1153,'01_Swimmers'!$A$5:$A$22,0)))/'00_Control'!$B$10,"")</f>
        <v/>
      </c>
      <c r="U1153" s="35">
        <f>IF(T1153="","",INT(T1153))</f>
        <v/>
      </c>
      <c r="V1153" s="33" t="inlineStr">
        <is>
          <t>NO</t>
        </is>
      </c>
      <c r="W1153" s="33" t="inlineStr">
        <is>
          <t>YES</t>
        </is>
      </c>
      <c r="X1153" s="33" t="inlineStr">
        <is>
          <t>NO</t>
        </is>
      </c>
      <c r="Y1153" s="33" t="n">
        <v>3</v>
      </c>
      <c r="Z1153" s="33" t="n">
        <v>4</v>
      </c>
      <c r="AA1153" s="33" t="inlineStr">
        <is>
          <t>1</t>
        </is>
      </c>
      <c r="AB1153" s="33" t="inlineStr">
        <is>
          <t>https://www.swimcloud.com/results/99095/event/504/?id=19976372#time19976372</t>
        </is>
      </c>
      <c r="AC1153" s="33" t="inlineStr">
        <is>
          <t>SwimCloud API v6 2026-10-08</t>
        </is>
      </c>
      <c r="AD1153" s="33" t="inlineStr">
        <is>
          <t>Jack Alexy|2018-08-03|LCM|100|Free|51.41|YMCA Long Course National Championships|FIN|False</t>
        </is>
      </c>
      <c r="AE1153" s="53">
        <f>G1153+L1153/1000+ROW()/1000000000</f>
        <v/>
      </c>
      <c r="AF1153" s="35">
        <f>IF(C1153&lt;&gt;"Grayson Coulter","",COUNTIFS($C$5:$C$2991,"Grayson Coulter",$Q$5:$Q$2991,Q1153,$AE$5:$AE$2991,"&lt;="&amp;AE1153,$R$5:$R$2991,"&lt;"&amp;R1153))</f>
        <v/>
      </c>
      <c r="AG1153" s="35">
        <f>IF(OR(C1153&lt;&gt;"Grayson Coulter",G1153&lt;'00_Control'!$B$7),"",--(AF1153&lt;5))</f>
        <v/>
      </c>
      <c r="AH1153" s="35">
        <f>IF(OR(C1153&lt;&gt;"Grayson Coulter",G1153&lt;'00_Control'!$B$7),"",--(AF1153&lt;10))</f>
        <v/>
      </c>
      <c r="AI1153" s="35">
        <f>IF(AND(C1153="Grayson Coulter",G1153&gt;='00_Control'!$B$7),"YES","NO")</f>
        <v/>
      </c>
      <c r="AJ1153" s="33" t="inlineStr">
        <is>
          <t>OK</t>
        </is>
      </c>
    </row>
    <row r="1154">
      <c r="A1154" s="33" t="inlineStr">
        <is>
          <t>SM001150</t>
        </is>
      </c>
      <c r="B1154" s="33" t="inlineStr">
        <is>
          <t>SW015</t>
        </is>
      </c>
      <c r="C1154" s="33" t="inlineStr">
        <is>
          <t>Jack Alexy</t>
        </is>
      </c>
      <c r="D1154" s="33" t="inlineStr">
        <is>
          <t>SwimCloud</t>
        </is>
      </c>
      <c r="E1154" s="33" t="inlineStr">
        <is>
          <t>503872</t>
        </is>
      </c>
      <c r="F1154" s="33" t="inlineStr">
        <is>
          <t>26889716</t>
        </is>
      </c>
      <c r="G1154" s="51" t="n">
        <v>43629</v>
      </c>
      <c r="H1154" s="33" t="inlineStr">
        <is>
          <t>TYR Pro Swim Series - Clovis</t>
        </is>
      </c>
      <c r="I1154" s="33" t="inlineStr">
        <is>
          <t>129720</t>
        </is>
      </c>
      <c r="J1154" s="33" t="inlineStr"/>
      <c r="K1154" s="33" t="inlineStr">
        <is>
          <t>PRE</t>
        </is>
      </c>
      <c r="L1154" s="35">
        <f>IF(K1154="FIN",3,IF(OR(K1154="SEM",K1154="SEMI"),2,IF(OR(K1154="PRE",K1154="HEAT"),1,IF(V1154="YES",4,2))))</f>
        <v/>
      </c>
      <c r="M1154" s="33" t="inlineStr">
        <is>
          <t>LCM</t>
        </is>
      </c>
      <c r="N1154" s="33" t="n">
        <v>200</v>
      </c>
      <c r="O1154" s="33" t="inlineStr">
        <is>
          <t>Free</t>
        </is>
      </c>
      <c r="P1154" s="33" t="inlineStr">
        <is>
          <t>200 Free</t>
        </is>
      </c>
      <c r="Q1154" s="33" t="inlineStr">
        <is>
          <t>LCM_200_FREE</t>
        </is>
      </c>
      <c r="R1154" s="36" t="n">
        <v>113.97</v>
      </c>
      <c r="S1154" s="35">
        <f>IF(R1154="","",IF(R1154&gt;=60,INT(R1154/60)&amp;":"&amp;TEXT(MOD(R1154,60),"00.00"),TEXT(R1154,"0.00")))</f>
        <v/>
      </c>
      <c r="T1154" s="52">
        <f>IFERROR((G1154-INDEX('01_Swimmers'!$E$5:$E$22,MATCH(B1154,'01_Swimmers'!$A$5:$A$22,0)))/'00_Control'!$B$10,"")</f>
        <v/>
      </c>
      <c r="U1154" s="35">
        <f>IF(T1154="","",INT(T1154))</f>
        <v/>
      </c>
      <c r="V1154" s="33" t="inlineStr">
        <is>
          <t>NO</t>
        </is>
      </c>
      <c r="W1154" s="33" t="inlineStr">
        <is>
          <t>YES</t>
        </is>
      </c>
      <c r="X1154" s="33" t="inlineStr">
        <is>
          <t>NO</t>
        </is>
      </c>
      <c r="Y1154" s="33" t="n">
        <v>3</v>
      </c>
      <c r="Z1154" s="33" t="n">
        <v>1</v>
      </c>
      <c r="AA1154" s="33" t="inlineStr">
        <is>
          <t>15</t>
        </is>
      </c>
      <c r="AB1154" s="33" t="inlineStr">
        <is>
          <t>https://www.swimcloud.com/results/129720/event/4/?id=26889716#time26889716</t>
        </is>
      </c>
      <c r="AC1154" s="33" t="inlineStr">
        <is>
          <t>SwimCloud API v6 2026-10-08</t>
        </is>
      </c>
      <c r="AD1154" s="33" t="inlineStr">
        <is>
          <t>Jack Alexy|2019-06-13|LCM|200|Free|113.97|TYR Pro Swim Series - Clovis|PRE|False</t>
        </is>
      </c>
      <c r="AE1154" s="53">
        <f>G1154+L1154/1000+ROW()/1000000000</f>
        <v/>
      </c>
      <c r="AF1154" s="35">
        <f>IF(C1154&lt;&gt;"Grayson Coulter","",COUNTIFS($C$5:$C$2991,"Grayson Coulter",$Q$5:$Q$2991,Q1154,$AE$5:$AE$2991,"&lt;="&amp;AE1154,$R$5:$R$2991,"&lt;"&amp;R1154))</f>
        <v/>
      </c>
      <c r="AG1154" s="35">
        <f>IF(OR(C1154&lt;&gt;"Grayson Coulter",G1154&lt;'00_Control'!$B$7),"",--(AF1154&lt;5))</f>
        <v/>
      </c>
      <c r="AH1154" s="35">
        <f>IF(OR(C1154&lt;&gt;"Grayson Coulter",G1154&lt;'00_Control'!$B$7),"",--(AF1154&lt;10))</f>
        <v/>
      </c>
      <c r="AI1154" s="35">
        <f>IF(AND(C1154="Grayson Coulter",G1154&gt;='00_Control'!$B$7),"YES","NO")</f>
        <v/>
      </c>
      <c r="AJ1154" s="33" t="inlineStr">
        <is>
          <t>OK</t>
        </is>
      </c>
    </row>
    <row r="1155">
      <c r="A1155" s="33" t="inlineStr">
        <is>
          <t>SM001151</t>
        </is>
      </c>
      <c r="B1155" s="33" t="inlineStr">
        <is>
          <t>SW015</t>
        </is>
      </c>
      <c r="C1155" s="33" t="inlineStr">
        <is>
          <t>Jack Alexy</t>
        </is>
      </c>
      <c r="D1155" s="33" t="inlineStr">
        <is>
          <t>SwimCloud</t>
        </is>
      </c>
      <c r="E1155" s="33" t="inlineStr">
        <is>
          <t>503872</t>
        </is>
      </c>
      <c r="F1155" s="33" t="inlineStr">
        <is>
          <t>26889717</t>
        </is>
      </c>
      <c r="G1155" s="51" t="n">
        <v>43629</v>
      </c>
      <c r="H1155" s="33" t="inlineStr">
        <is>
          <t>TYR Pro Swim Series - Clovis</t>
        </is>
      </c>
      <c r="I1155" s="33" t="inlineStr">
        <is>
          <t>129720</t>
        </is>
      </c>
      <c r="J1155" s="33" t="inlineStr"/>
      <c r="K1155" s="33" t="inlineStr">
        <is>
          <t>FIN</t>
        </is>
      </c>
      <c r="L1155" s="35">
        <f>IF(K1155="FIN",3,IF(OR(K1155="SEM",K1155="SEMI"),2,IF(OR(K1155="PRE",K1155="HEAT"),1,IF(V1155="YES",4,2))))</f>
        <v/>
      </c>
      <c r="M1155" s="33" t="inlineStr">
        <is>
          <t>LCM</t>
        </is>
      </c>
      <c r="N1155" s="33" t="n">
        <v>200</v>
      </c>
      <c r="O1155" s="33" t="inlineStr">
        <is>
          <t>Free</t>
        </is>
      </c>
      <c r="P1155" s="33" t="inlineStr">
        <is>
          <t>200 Free</t>
        </is>
      </c>
      <c r="Q1155" s="33" t="inlineStr">
        <is>
          <t>LCM_200_FREE</t>
        </is>
      </c>
      <c r="R1155" s="36" t="n">
        <v>113.77</v>
      </c>
      <c r="S1155" s="35">
        <f>IF(R1155="","",IF(R1155&gt;=60,INT(R1155/60)&amp;":"&amp;TEXT(MOD(R1155,60),"00.00"),TEXT(R1155,"0.00")))</f>
        <v/>
      </c>
      <c r="T1155" s="52">
        <f>IFERROR((G1155-INDEX('01_Swimmers'!$E$5:$E$22,MATCH(B1155,'01_Swimmers'!$A$5:$A$22,0)))/'00_Control'!$B$10,"")</f>
        <v/>
      </c>
      <c r="U1155" s="35">
        <f>IF(T1155="","",INT(T1155))</f>
        <v/>
      </c>
      <c r="V1155" s="33" t="inlineStr">
        <is>
          <t>NO</t>
        </is>
      </c>
      <c r="W1155" s="33" t="inlineStr">
        <is>
          <t>YES</t>
        </is>
      </c>
      <c r="X1155" s="33" t="inlineStr">
        <is>
          <t>NO</t>
        </is>
      </c>
      <c r="Y1155" s="33" t="n">
        <v>1</v>
      </c>
      <c r="Z1155" s="33" t="n">
        <v>7</v>
      </c>
      <c r="AA1155" s="33" t="inlineStr">
        <is>
          <t>14</t>
        </is>
      </c>
      <c r="AB1155" s="33" t="inlineStr">
        <is>
          <t>https://www.swimcloud.com/results/129720/event/4/?id=26889717#time26889717</t>
        </is>
      </c>
      <c r="AC1155" s="33" t="inlineStr">
        <is>
          <t>SwimCloud API v6 2026-10-08</t>
        </is>
      </c>
      <c r="AD1155" s="33" t="inlineStr">
        <is>
          <t>Jack Alexy|2019-06-13|LCM|200|Free|113.77|TYR Pro Swim Series - Clovis|FIN|False</t>
        </is>
      </c>
      <c r="AE1155" s="53">
        <f>G1155+L1155/1000+ROW()/1000000000</f>
        <v/>
      </c>
      <c r="AF1155" s="35">
        <f>IF(C1155&lt;&gt;"Grayson Coulter","",COUNTIFS($C$5:$C$2991,"Grayson Coulter",$Q$5:$Q$2991,Q1155,$AE$5:$AE$2991,"&lt;="&amp;AE1155,$R$5:$R$2991,"&lt;"&amp;R1155))</f>
        <v/>
      </c>
      <c r="AG1155" s="35">
        <f>IF(OR(C1155&lt;&gt;"Grayson Coulter",G1155&lt;'00_Control'!$B$7),"",--(AF1155&lt;5))</f>
        <v/>
      </c>
      <c r="AH1155" s="35">
        <f>IF(OR(C1155&lt;&gt;"Grayson Coulter",G1155&lt;'00_Control'!$B$7),"",--(AF1155&lt;10))</f>
        <v/>
      </c>
      <c r="AI1155" s="35">
        <f>IF(AND(C1155="Grayson Coulter",G1155&gt;='00_Control'!$B$7),"YES","NO")</f>
        <v/>
      </c>
      <c r="AJ1155" s="33" t="inlineStr">
        <is>
          <t>OK</t>
        </is>
      </c>
    </row>
    <row r="1156">
      <c r="A1156" s="33" t="inlineStr">
        <is>
          <t>SM001152</t>
        </is>
      </c>
      <c r="B1156" s="33" t="inlineStr">
        <is>
          <t>SW015</t>
        </is>
      </c>
      <c r="C1156" s="33" t="inlineStr">
        <is>
          <t>Jack Alexy</t>
        </is>
      </c>
      <c r="D1156" s="33" t="inlineStr">
        <is>
          <t>SwimCloud</t>
        </is>
      </c>
      <c r="E1156" s="33" t="inlineStr">
        <is>
          <t>503872</t>
        </is>
      </c>
      <c r="F1156" s="33" t="inlineStr">
        <is>
          <t>26889899</t>
        </is>
      </c>
      <c r="G1156" s="51" t="n">
        <v>43631</v>
      </c>
      <c r="H1156" s="33" t="inlineStr">
        <is>
          <t>TYR Pro Swim Series - Clovis</t>
        </is>
      </c>
      <c r="I1156" s="33" t="inlineStr">
        <is>
          <t>129720</t>
        </is>
      </c>
      <c r="J1156" s="33" t="inlineStr"/>
      <c r="K1156" s="33" t="inlineStr">
        <is>
          <t>PRE</t>
        </is>
      </c>
      <c r="L1156" s="35">
        <f>IF(K1156="FIN",3,IF(OR(K1156="SEM",K1156="SEMI"),2,IF(OR(K1156="PRE",K1156="HEAT"),1,IF(V1156="YES",4,2))))</f>
        <v/>
      </c>
      <c r="M1156" s="33" t="inlineStr">
        <is>
          <t>LCM</t>
        </is>
      </c>
      <c r="N1156" s="33" t="n">
        <v>100</v>
      </c>
      <c r="O1156" s="33" t="inlineStr">
        <is>
          <t>Free</t>
        </is>
      </c>
      <c r="P1156" s="33" t="inlineStr">
        <is>
          <t>100 Free</t>
        </is>
      </c>
      <c r="Q1156" s="33" t="inlineStr">
        <is>
          <t>LCM_100_FREE</t>
        </is>
      </c>
      <c r="R1156" s="36" t="n">
        <v>50.77</v>
      </c>
      <c r="S1156" s="35">
        <f>IF(R1156="","",IF(R1156&gt;=60,INT(R1156/60)&amp;":"&amp;TEXT(MOD(R1156,60),"00.00"),TEXT(R1156,"0.00")))</f>
        <v/>
      </c>
      <c r="T1156" s="52">
        <f>IFERROR((G1156-INDEX('01_Swimmers'!$E$5:$E$22,MATCH(B1156,'01_Swimmers'!$A$5:$A$22,0)))/'00_Control'!$B$10,"")</f>
        <v/>
      </c>
      <c r="U1156" s="35">
        <f>IF(T1156="","",INT(T1156))</f>
        <v/>
      </c>
      <c r="V1156" s="33" t="inlineStr">
        <is>
          <t>NO</t>
        </is>
      </c>
      <c r="W1156" s="33" t="inlineStr">
        <is>
          <t>YES</t>
        </is>
      </c>
      <c r="X1156" s="33" t="inlineStr">
        <is>
          <t>NO</t>
        </is>
      </c>
      <c r="Y1156" s="33" t="n">
        <v>5</v>
      </c>
      <c r="Z1156" s="33" t="n">
        <v>8</v>
      </c>
      <c r="AA1156" s="33" t="inlineStr">
        <is>
          <t>11</t>
        </is>
      </c>
      <c r="AB1156" s="33" t="inlineStr">
        <is>
          <t>https://www.swimcloud.com/results/129720/event/35/?id=26889899#time26889899</t>
        </is>
      </c>
      <c r="AC1156" s="33" t="inlineStr">
        <is>
          <t>SwimCloud API v6 2026-10-08</t>
        </is>
      </c>
      <c r="AD1156" s="33" t="inlineStr">
        <is>
          <t>Jack Alexy|2019-06-15|LCM|100|Free|50.77|TYR Pro Swim Series - Clovis|PRE|False</t>
        </is>
      </c>
      <c r="AE1156" s="53">
        <f>G1156+L1156/1000+ROW()/1000000000</f>
        <v/>
      </c>
      <c r="AF1156" s="35">
        <f>IF(C1156&lt;&gt;"Grayson Coulter","",COUNTIFS($C$5:$C$2991,"Grayson Coulter",$Q$5:$Q$2991,Q1156,$AE$5:$AE$2991,"&lt;="&amp;AE1156,$R$5:$R$2991,"&lt;"&amp;R1156))</f>
        <v/>
      </c>
      <c r="AG1156" s="35">
        <f>IF(OR(C1156&lt;&gt;"Grayson Coulter",G1156&lt;'00_Control'!$B$7),"",--(AF1156&lt;5))</f>
        <v/>
      </c>
      <c r="AH1156" s="35">
        <f>IF(OR(C1156&lt;&gt;"Grayson Coulter",G1156&lt;'00_Control'!$B$7),"",--(AF1156&lt;10))</f>
        <v/>
      </c>
      <c r="AI1156" s="35">
        <f>IF(AND(C1156="Grayson Coulter",G1156&gt;='00_Control'!$B$7),"YES","NO")</f>
        <v/>
      </c>
      <c r="AJ1156" s="33" t="inlineStr">
        <is>
          <t>OK</t>
        </is>
      </c>
    </row>
    <row r="1157">
      <c r="A1157" s="33" t="inlineStr">
        <is>
          <t>SM001153</t>
        </is>
      </c>
      <c r="B1157" s="33" t="inlineStr">
        <is>
          <t>SW015</t>
        </is>
      </c>
      <c r="C1157" s="33" t="inlineStr">
        <is>
          <t>Jack Alexy</t>
        </is>
      </c>
      <c r="D1157" s="33" t="inlineStr">
        <is>
          <t>SwimCloud</t>
        </is>
      </c>
      <c r="E1157" s="33" t="inlineStr">
        <is>
          <t>503872</t>
        </is>
      </c>
      <c r="F1157" s="33" t="inlineStr">
        <is>
          <t>26889900</t>
        </is>
      </c>
      <c r="G1157" s="51" t="n">
        <v>43631</v>
      </c>
      <c r="H1157" s="33" t="inlineStr">
        <is>
          <t>TYR Pro Swim Series - Clovis</t>
        </is>
      </c>
      <c r="I1157" s="33" t="inlineStr">
        <is>
          <t>129720</t>
        </is>
      </c>
      <c r="J1157" s="33" t="inlineStr"/>
      <c r="K1157" s="33" t="inlineStr">
        <is>
          <t>FIN</t>
        </is>
      </c>
      <c r="L1157" s="35">
        <f>IF(K1157="FIN",3,IF(OR(K1157="SEM",K1157="SEMI"),2,IF(OR(K1157="PRE",K1157="HEAT"),1,IF(V1157="YES",4,2))))</f>
        <v/>
      </c>
      <c r="M1157" s="33" t="inlineStr">
        <is>
          <t>LCM</t>
        </is>
      </c>
      <c r="N1157" s="33" t="n">
        <v>100</v>
      </c>
      <c r="O1157" s="33" t="inlineStr">
        <is>
          <t>Free</t>
        </is>
      </c>
      <c r="P1157" s="33" t="inlineStr">
        <is>
          <t>100 Free</t>
        </is>
      </c>
      <c r="Q1157" s="33" t="inlineStr">
        <is>
          <t>LCM_100_FREE</t>
        </is>
      </c>
      <c r="R1157" s="36" t="n">
        <v>50.67</v>
      </c>
      <c r="S1157" s="35">
        <f>IF(R1157="","",IF(R1157&gt;=60,INT(R1157/60)&amp;":"&amp;TEXT(MOD(R1157,60),"00.00"),TEXT(R1157,"0.00")))</f>
        <v/>
      </c>
      <c r="T1157" s="52">
        <f>IFERROR((G1157-INDEX('01_Swimmers'!$E$5:$E$22,MATCH(B1157,'01_Swimmers'!$A$5:$A$22,0)))/'00_Control'!$B$10,"")</f>
        <v/>
      </c>
      <c r="U1157" s="35">
        <f>IF(T1157="","",INT(T1157))</f>
        <v/>
      </c>
      <c r="V1157" s="33" t="inlineStr">
        <is>
          <t>NO</t>
        </is>
      </c>
      <c r="W1157" s="33" t="inlineStr">
        <is>
          <t>YES</t>
        </is>
      </c>
      <c r="X1157" s="33" t="inlineStr">
        <is>
          <t>NO</t>
        </is>
      </c>
      <c r="Y1157" s="33" t="n">
        <v>1</v>
      </c>
      <c r="Z1157" s="33" t="n">
        <v>4</v>
      </c>
      <c r="AA1157" s="33" t="inlineStr">
        <is>
          <t>10</t>
        </is>
      </c>
      <c r="AB1157" s="33" t="inlineStr">
        <is>
          <t>https://www.swimcloud.com/results/129720/event/35/?id=26889900#time26889900</t>
        </is>
      </c>
      <c r="AC1157" s="33" t="inlineStr">
        <is>
          <t>SwimCloud API v6 2026-10-08</t>
        </is>
      </c>
      <c r="AD1157" s="33" t="inlineStr">
        <is>
          <t>Jack Alexy|2019-06-15|LCM|100|Free|50.67|TYR Pro Swim Series - Clovis|FIN|False</t>
        </is>
      </c>
      <c r="AE1157" s="53">
        <f>G1157+L1157/1000+ROW()/1000000000</f>
        <v/>
      </c>
      <c r="AF1157" s="35">
        <f>IF(C1157&lt;&gt;"Grayson Coulter","",COUNTIFS($C$5:$C$2991,"Grayson Coulter",$Q$5:$Q$2991,Q1157,$AE$5:$AE$2991,"&lt;="&amp;AE1157,$R$5:$R$2991,"&lt;"&amp;R1157))</f>
        <v/>
      </c>
      <c r="AG1157" s="35">
        <f>IF(OR(C1157&lt;&gt;"Grayson Coulter",G1157&lt;'00_Control'!$B$7),"",--(AF1157&lt;5))</f>
        <v/>
      </c>
      <c r="AH1157" s="35">
        <f>IF(OR(C1157&lt;&gt;"Grayson Coulter",G1157&lt;'00_Control'!$B$7),"",--(AF1157&lt;10))</f>
        <v/>
      </c>
      <c r="AI1157" s="35">
        <f>IF(AND(C1157="Grayson Coulter",G1157&gt;='00_Control'!$B$7),"YES","NO")</f>
        <v/>
      </c>
      <c r="AJ1157" s="33" t="inlineStr">
        <is>
          <t>OK</t>
        </is>
      </c>
    </row>
    <row r="1158">
      <c r="A1158" s="33" t="inlineStr">
        <is>
          <t>SM001154</t>
        </is>
      </c>
      <c r="B1158" s="33" t="inlineStr">
        <is>
          <t>SW015</t>
        </is>
      </c>
      <c r="C1158" s="33" t="inlineStr">
        <is>
          <t>Jack Alexy</t>
        </is>
      </c>
      <c r="D1158" s="33" t="inlineStr">
        <is>
          <t>SwimCloud</t>
        </is>
      </c>
      <c r="E1158" s="33" t="inlineStr">
        <is>
          <t>503872</t>
        </is>
      </c>
      <c r="F1158" s="33" t="inlineStr">
        <is>
          <t>27280012</t>
        </is>
      </c>
      <c r="G1158" s="51" t="n">
        <v>43639</v>
      </c>
      <c r="H1158" s="33" t="inlineStr">
        <is>
          <t>FL BSS TYR Summer Classic</t>
        </is>
      </c>
      <c r="I1158" s="33" t="inlineStr">
        <is>
          <t>129869</t>
        </is>
      </c>
      <c r="J1158" s="33" t="inlineStr"/>
      <c r="K1158" s="33" t="inlineStr">
        <is>
          <t>PRE</t>
        </is>
      </c>
      <c r="L1158" s="35">
        <f>IF(K1158="FIN",3,IF(OR(K1158="SEM",K1158="SEMI"),2,IF(OR(K1158="PRE",K1158="HEAT"),1,IF(V1158="YES",4,2))))</f>
        <v/>
      </c>
      <c r="M1158" s="33" t="inlineStr">
        <is>
          <t>LCM</t>
        </is>
      </c>
      <c r="N1158" s="33" t="n">
        <v>200</v>
      </c>
      <c r="O1158" s="33" t="inlineStr">
        <is>
          <t>Free</t>
        </is>
      </c>
      <c r="P1158" s="33" t="inlineStr">
        <is>
          <t>200 Free</t>
        </is>
      </c>
      <c r="Q1158" s="33" t="inlineStr">
        <is>
          <t>LCM_200_FREE</t>
        </is>
      </c>
      <c r="R1158" s="36" t="n">
        <v>121.91</v>
      </c>
      <c r="S1158" s="35">
        <f>IF(R1158="","",IF(R1158&gt;=60,INT(R1158/60)&amp;":"&amp;TEXT(MOD(R1158,60),"00.00"),TEXT(R1158,"0.00")))</f>
        <v/>
      </c>
      <c r="T1158" s="52">
        <f>IFERROR((G1158-INDEX('01_Swimmers'!$E$5:$E$22,MATCH(B1158,'01_Swimmers'!$A$5:$A$22,0)))/'00_Control'!$B$10,"")</f>
        <v/>
      </c>
      <c r="U1158" s="35">
        <f>IF(T1158="","",INT(T1158))</f>
        <v/>
      </c>
      <c r="V1158" s="33" t="inlineStr">
        <is>
          <t>NO</t>
        </is>
      </c>
      <c r="W1158" s="33" t="inlineStr">
        <is>
          <t>YES</t>
        </is>
      </c>
      <c r="X1158" s="33" t="inlineStr">
        <is>
          <t>NO</t>
        </is>
      </c>
      <c r="Y1158" s="33" t="n">
        <v>16</v>
      </c>
      <c r="Z1158" s="33" t="n">
        <v>5</v>
      </c>
      <c r="AA1158" s="33" t="inlineStr">
        <is>
          <t>16</t>
        </is>
      </c>
      <c r="AB1158" s="33" t="inlineStr">
        <is>
          <t>https://www.swimcloud.com/results/129869/event/46/?id=27280012#time27280012</t>
        </is>
      </c>
      <c r="AC1158" s="33" t="inlineStr">
        <is>
          <t>SwimCloud API v6 2026-10-08</t>
        </is>
      </c>
      <c r="AD1158" s="33" t="inlineStr">
        <is>
          <t>Jack Alexy|2019-06-23|LCM|200|Free|121.91|FL BSS TYR Summer Classic|PRE|False</t>
        </is>
      </c>
      <c r="AE1158" s="53">
        <f>G1158+L1158/1000+ROW()/1000000000</f>
        <v/>
      </c>
      <c r="AF1158" s="35">
        <f>IF(C1158&lt;&gt;"Grayson Coulter","",COUNTIFS($C$5:$C$2991,"Grayson Coulter",$Q$5:$Q$2991,Q1158,$AE$5:$AE$2991,"&lt;="&amp;AE1158,$R$5:$R$2991,"&lt;"&amp;R1158))</f>
        <v/>
      </c>
      <c r="AG1158" s="35">
        <f>IF(OR(C1158&lt;&gt;"Grayson Coulter",G1158&lt;'00_Control'!$B$7),"",--(AF1158&lt;5))</f>
        <v/>
      </c>
      <c r="AH1158" s="35">
        <f>IF(OR(C1158&lt;&gt;"Grayson Coulter",G1158&lt;'00_Control'!$B$7),"",--(AF1158&lt;10))</f>
        <v/>
      </c>
      <c r="AI1158" s="35">
        <f>IF(AND(C1158="Grayson Coulter",G1158&gt;='00_Control'!$B$7),"YES","NO")</f>
        <v/>
      </c>
      <c r="AJ1158" s="33" t="inlineStr">
        <is>
          <t>OK</t>
        </is>
      </c>
    </row>
    <row r="1159">
      <c r="A1159" s="33" t="inlineStr">
        <is>
          <t>SM001155</t>
        </is>
      </c>
      <c r="B1159" s="33" t="inlineStr">
        <is>
          <t>SW015</t>
        </is>
      </c>
      <c r="C1159" s="33" t="inlineStr">
        <is>
          <t>Jack Alexy</t>
        </is>
      </c>
      <c r="D1159" s="33" t="inlineStr">
        <is>
          <t>SwimCloud</t>
        </is>
      </c>
      <c r="E1159" s="33" t="inlineStr">
        <is>
          <t>503872</t>
        </is>
      </c>
      <c r="F1159" s="33" t="inlineStr">
        <is>
          <t>27280013</t>
        </is>
      </c>
      <c r="G1159" s="51" t="n">
        <v>43639</v>
      </c>
      <c r="H1159" s="33" t="inlineStr">
        <is>
          <t>FL BSS TYR Summer Classic</t>
        </is>
      </c>
      <c r="I1159" s="33" t="inlineStr">
        <is>
          <t>129869</t>
        </is>
      </c>
      <c r="J1159" s="33" t="inlineStr"/>
      <c r="K1159" s="33" t="inlineStr">
        <is>
          <t>FIN</t>
        </is>
      </c>
      <c r="L1159" s="35">
        <f>IF(K1159="FIN",3,IF(OR(K1159="SEM",K1159="SEMI"),2,IF(OR(K1159="PRE",K1159="HEAT"),1,IF(V1159="YES",4,2))))</f>
        <v/>
      </c>
      <c r="M1159" s="33" t="inlineStr">
        <is>
          <t>LCM</t>
        </is>
      </c>
      <c r="N1159" s="33" t="n">
        <v>200</v>
      </c>
      <c r="O1159" s="33" t="inlineStr">
        <is>
          <t>Free</t>
        </is>
      </c>
      <c r="P1159" s="33" t="inlineStr">
        <is>
          <t>200 Free</t>
        </is>
      </c>
      <c r="Q1159" s="33" t="inlineStr">
        <is>
          <t>LCM_200_FREE</t>
        </is>
      </c>
      <c r="R1159" s="36" t="n">
        <v>117.36</v>
      </c>
      <c r="S1159" s="35">
        <f>IF(R1159="","",IF(R1159&gt;=60,INT(R1159/60)&amp;":"&amp;TEXT(MOD(R1159,60),"00.00"),TEXT(R1159,"0.00")))</f>
        <v/>
      </c>
      <c r="T1159" s="52">
        <f>IFERROR((G1159-INDEX('01_Swimmers'!$E$5:$E$22,MATCH(B1159,'01_Swimmers'!$A$5:$A$22,0)))/'00_Control'!$B$10,"")</f>
        <v/>
      </c>
      <c r="U1159" s="35">
        <f>IF(T1159="","",INT(T1159))</f>
        <v/>
      </c>
      <c r="V1159" s="33" t="inlineStr">
        <is>
          <t>NO</t>
        </is>
      </c>
      <c r="W1159" s="33" t="inlineStr">
        <is>
          <t>YES</t>
        </is>
      </c>
      <c r="X1159" s="33" t="inlineStr">
        <is>
          <t>NO</t>
        </is>
      </c>
      <c r="Y1159" s="33" t="n">
        <v>2</v>
      </c>
      <c r="Z1159" s="33" t="n">
        <v>1</v>
      </c>
      <c r="AA1159" s="33" t="inlineStr">
        <is>
          <t>10</t>
        </is>
      </c>
      <c r="AB1159" s="33" t="inlineStr">
        <is>
          <t>https://www.swimcloud.com/results/129869/event/46/?id=27280013#time27280013</t>
        </is>
      </c>
      <c r="AC1159" s="33" t="inlineStr">
        <is>
          <t>SwimCloud API v6 2026-10-08</t>
        </is>
      </c>
      <c r="AD1159" s="33" t="inlineStr">
        <is>
          <t>Jack Alexy|2019-06-23|LCM|200|Free|117.36|FL BSS TYR Summer Classic|FIN|False</t>
        </is>
      </c>
      <c r="AE1159" s="53">
        <f>G1159+L1159/1000+ROW()/1000000000</f>
        <v/>
      </c>
      <c r="AF1159" s="35">
        <f>IF(C1159&lt;&gt;"Grayson Coulter","",COUNTIFS($C$5:$C$2991,"Grayson Coulter",$Q$5:$Q$2991,Q1159,$AE$5:$AE$2991,"&lt;="&amp;AE1159,$R$5:$R$2991,"&lt;"&amp;R1159))</f>
        <v/>
      </c>
      <c r="AG1159" s="35">
        <f>IF(OR(C1159&lt;&gt;"Grayson Coulter",G1159&lt;'00_Control'!$B$7),"",--(AF1159&lt;5))</f>
        <v/>
      </c>
      <c r="AH1159" s="35">
        <f>IF(OR(C1159&lt;&gt;"Grayson Coulter",G1159&lt;'00_Control'!$B$7),"",--(AF1159&lt;10))</f>
        <v/>
      </c>
      <c r="AI1159" s="35">
        <f>IF(AND(C1159="Grayson Coulter",G1159&gt;='00_Control'!$B$7),"YES","NO")</f>
        <v/>
      </c>
      <c r="AJ1159" s="33" t="inlineStr">
        <is>
          <t>OK</t>
        </is>
      </c>
    </row>
    <row r="1160">
      <c r="A1160" s="33" t="inlineStr">
        <is>
          <t>SM001156</t>
        </is>
      </c>
      <c r="B1160" s="33" t="inlineStr">
        <is>
          <t>SW015</t>
        </is>
      </c>
      <c r="C1160" s="33" t="inlineStr">
        <is>
          <t>Jack Alexy</t>
        </is>
      </c>
      <c r="D1160" s="33" t="inlineStr">
        <is>
          <t>SwimCloud</t>
        </is>
      </c>
      <c r="E1160" s="33" t="inlineStr">
        <is>
          <t>503872</t>
        </is>
      </c>
      <c r="F1160" s="33" t="inlineStr">
        <is>
          <t>27280382</t>
        </is>
      </c>
      <c r="G1160" s="51" t="n">
        <v>43640</v>
      </c>
      <c r="H1160" s="33" t="inlineStr">
        <is>
          <t>FL BSS TYR Summer Classic</t>
        </is>
      </c>
      <c r="I1160" s="33" t="inlineStr">
        <is>
          <t>129869</t>
        </is>
      </c>
      <c r="J1160" s="33" t="inlineStr"/>
      <c r="K1160" s="33" t="inlineStr">
        <is>
          <t>PRE</t>
        </is>
      </c>
      <c r="L1160" s="35">
        <f>IF(K1160="FIN",3,IF(OR(K1160="SEM",K1160="SEMI"),2,IF(OR(K1160="PRE",K1160="HEAT"),1,IF(V1160="YES",4,2))))</f>
        <v/>
      </c>
      <c r="M1160" s="33" t="inlineStr">
        <is>
          <t>LCM</t>
        </is>
      </c>
      <c r="N1160" s="33" t="n">
        <v>100</v>
      </c>
      <c r="O1160" s="33" t="inlineStr">
        <is>
          <t>Free</t>
        </is>
      </c>
      <c r="P1160" s="33" t="inlineStr">
        <is>
          <t>100 Free</t>
        </is>
      </c>
      <c r="Q1160" s="33" t="inlineStr">
        <is>
          <t>LCM_100_FREE</t>
        </is>
      </c>
      <c r="R1160" s="36" t="n">
        <v>54.04</v>
      </c>
      <c r="S1160" s="35">
        <f>IF(R1160="","",IF(R1160&gt;=60,INT(R1160/60)&amp;":"&amp;TEXT(MOD(R1160,60),"00.00"),TEXT(R1160,"0.00")))</f>
        <v/>
      </c>
      <c r="T1160" s="52">
        <f>IFERROR((G1160-INDEX('01_Swimmers'!$E$5:$E$22,MATCH(B1160,'01_Swimmers'!$A$5:$A$22,0)))/'00_Control'!$B$10,"")</f>
        <v/>
      </c>
      <c r="U1160" s="35">
        <f>IF(T1160="","",INT(T1160))</f>
        <v/>
      </c>
      <c r="V1160" s="33" t="inlineStr">
        <is>
          <t>NO</t>
        </is>
      </c>
      <c r="W1160" s="33" t="inlineStr">
        <is>
          <t>YES</t>
        </is>
      </c>
      <c r="X1160" s="33" t="inlineStr">
        <is>
          <t>NO</t>
        </is>
      </c>
      <c r="Y1160" s="33" t="n">
        <v>18</v>
      </c>
      <c r="Z1160" s="33" t="n">
        <v>5</v>
      </c>
      <c r="AA1160" s="33" t="inlineStr">
        <is>
          <t>3</t>
        </is>
      </c>
      <c r="AB1160" s="33" t="inlineStr">
        <is>
          <t>https://www.swimcloud.com/results/129869/event/80/?id=27280382#time27280382</t>
        </is>
      </c>
      <c r="AC1160" s="33" t="inlineStr">
        <is>
          <t>SwimCloud API v6 2026-10-08</t>
        </is>
      </c>
      <c r="AD1160" s="33" t="inlineStr">
        <is>
          <t>Jack Alexy|2019-06-24|LCM|100|Free|54.04|FL BSS TYR Summer Classic|PRE|False</t>
        </is>
      </c>
      <c r="AE1160" s="53">
        <f>G1160+L1160/1000+ROW()/1000000000</f>
        <v/>
      </c>
      <c r="AF1160" s="35">
        <f>IF(C1160&lt;&gt;"Grayson Coulter","",COUNTIFS($C$5:$C$2991,"Grayson Coulter",$Q$5:$Q$2991,Q1160,$AE$5:$AE$2991,"&lt;="&amp;AE1160,$R$5:$R$2991,"&lt;"&amp;R1160))</f>
        <v/>
      </c>
      <c r="AG1160" s="35">
        <f>IF(OR(C1160&lt;&gt;"Grayson Coulter",G1160&lt;'00_Control'!$B$7),"",--(AF1160&lt;5))</f>
        <v/>
      </c>
      <c r="AH1160" s="35">
        <f>IF(OR(C1160&lt;&gt;"Grayson Coulter",G1160&lt;'00_Control'!$B$7),"",--(AF1160&lt;10))</f>
        <v/>
      </c>
      <c r="AI1160" s="35">
        <f>IF(AND(C1160="Grayson Coulter",G1160&gt;='00_Control'!$B$7),"YES","NO")</f>
        <v/>
      </c>
      <c r="AJ1160" s="33" t="inlineStr">
        <is>
          <t>OK</t>
        </is>
      </c>
    </row>
    <row r="1161">
      <c r="A1161" s="33" t="inlineStr">
        <is>
          <t>SM001157</t>
        </is>
      </c>
      <c r="B1161" s="33" t="inlineStr">
        <is>
          <t>SW015</t>
        </is>
      </c>
      <c r="C1161" s="33" t="inlineStr">
        <is>
          <t>Jack Alexy</t>
        </is>
      </c>
      <c r="D1161" s="33" t="inlineStr">
        <is>
          <t>SwimCloud</t>
        </is>
      </c>
      <c r="E1161" s="33" t="inlineStr">
        <is>
          <t>503872</t>
        </is>
      </c>
      <c r="F1161" s="33" t="inlineStr">
        <is>
          <t>27280383</t>
        </is>
      </c>
      <c r="G1161" s="51" t="n">
        <v>43640</v>
      </c>
      <c r="H1161" s="33" t="inlineStr">
        <is>
          <t>FL BSS TYR Summer Classic</t>
        </is>
      </c>
      <c r="I1161" s="33" t="inlineStr">
        <is>
          <t>129869</t>
        </is>
      </c>
      <c r="J1161" s="33" t="inlineStr"/>
      <c r="K1161" s="33" t="inlineStr">
        <is>
          <t>FIN</t>
        </is>
      </c>
      <c r="L1161" s="35">
        <f>IF(K1161="FIN",3,IF(OR(K1161="SEM",K1161="SEMI"),2,IF(OR(K1161="PRE",K1161="HEAT"),1,IF(V1161="YES",4,2))))</f>
        <v/>
      </c>
      <c r="M1161" s="33" t="inlineStr">
        <is>
          <t>LCM</t>
        </is>
      </c>
      <c r="N1161" s="33" t="n">
        <v>100</v>
      </c>
      <c r="O1161" s="33" t="inlineStr">
        <is>
          <t>Free</t>
        </is>
      </c>
      <c r="P1161" s="33" t="inlineStr">
        <is>
          <t>100 Free</t>
        </is>
      </c>
      <c r="Q1161" s="33" t="inlineStr">
        <is>
          <t>LCM_100_FREE</t>
        </is>
      </c>
      <c r="R1161" s="36" t="n">
        <v>51.82</v>
      </c>
      <c r="S1161" s="35">
        <f>IF(R1161="","",IF(R1161&gt;=60,INT(R1161/60)&amp;":"&amp;TEXT(MOD(R1161,60),"00.00"),TEXT(R1161,"0.00")))</f>
        <v/>
      </c>
      <c r="T1161" s="52">
        <f>IFERROR((G1161-INDEX('01_Swimmers'!$E$5:$E$22,MATCH(B1161,'01_Swimmers'!$A$5:$A$22,0)))/'00_Control'!$B$10,"")</f>
        <v/>
      </c>
      <c r="U1161" s="35">
        <f>IF(T1161="","",INT(T1161))</f>
        <v/>
      </c>
      <c r="V1161" s="33" t="inlineStr">
        <is>
          <t>NO</t>
        </is>
      </c>
      <c r="W1161" s="33" t="inlineStr">
        <is>
          <t>YES</t>
        </is>
      </c>
      <c r="X1161" s="33" t="inlineStr">
        <is>
          <t>NO</t>
        </is>
      </c>
      <c r="Y1161" s="33" t="n">
        <v>3</v>
      </c>
      <c r="Z1161" s="33" t="n">
        <v>5</v>
      </c>
      <c r="AA1161" s="33" t="inlineStr">
        <is>
          <t>1</t>
        </is>
      </c>
      <c r="AB1161" s="33" t="inlineStr">
        <is>
          <t>https://www.swimcloud.com/results/129869/event/80/?id=27280383#time27280383</t>
        </is>
      </c>
      <c r="AC1161" s="33" t="inlineStr">
        <is>
          <t>SwimCloud API v6 2026-10-08</t>
        </is>
      </c>
      <c r="AD1161" s="33" t="inlineStr">
        <is>
          <t>Jack Alexy|2019-06-24|LCM|100|Free|51.82|FL BSS TYR Summer Classic|FIN|False</t>
        </is>
      </c>
      <c r="AE1161" s="53">
        <f>G1161+L1161/1000+ROW()/1000000000</f>
        <v/>
      </c>
      <c r="AF1161" s="35">
        <f>IF(C1161&lt;&gt;"Grayson Coulter","",COUNTIFS($C$5:$C$2991,"Grayson Coulter",$Q$5:$Q$2991,Q1161,$AE$5:$AE$2991,"&lt;="&amp;AE1161,$R$5:$R$2991,"&lt;"&amp;R1161))</f>
        <v/>
      </c>
      <c r="AG1161" s="35">
        <f>IF(OR(C1161&lt;&gt;"Grayson Coulter",G1161&lt;'00_Control'!$B$7),"",--(AF1161&lt;5))</f>
        <v/>
      </c>
      <c r="AH1161" s="35">
        <f>IF(OR(C1161&lt;&gt;"Grayson Coulter",G1161&lt;'00_Control'!$B$7),"",--(AF1161&lt;10))</f>
        <v/>
      </c>
      <c r="AI1161" s="35">
        <f>IF(AND(C1161="Grayson Coulter",G1161&gt;='00_Control'!$B$7),"YES","NO")</f>
        <v/>
      </c>
      <c r="AJ1161" s="33" t="inlineStr">
        <is>
          <t>OK</t>
        </is>
      </c>
    </row>
    <row r="1162">
      <c r="A1162" s="33" t="inlineStr">
        <is>
          <t>SM001158</t>
        </is>
      </c>
      <c r="B1162" s="33" t="inlineStr">
        <is>
          <t>SW015</t>
        </is>
      </c>
      <c r="C1162" s="33" t="inlineStr">
        <is>
          <t>Jack Alexy</t>
        </is>
      </c>
      <c r="D1162" s="33" t="inlineStr">
        <is>
          <t>SwimCloud</t>
        </is>
      </c>
      <c r="E1162" s="33" t="inlineStr">
        <is>
          <t>503872</t>
        </is>
      </c>
      <c r="F1162" s="33" t="inlineStr">
        <is>
          <t>28440191</t>
        </is>
      </c>
      <c r="G1162" s="51" t="n">
        <v>43677</v>
      </c>
      <c r="H1162" s="33" t="inlineStr">
        <is>
          <t>Phillips 66 Summer National Championships</t>
        </is>
      </c>
      <c r="I1162" s="33" t="inlineStr">
        <is>
          <t>130241</t>
        </is>
      </c>
      <c r="J1162" s="33" t="inlineStr"/>
      <c r="K1162" s="33" t="inlineStr">
        <is>
          <t>PRE</t>
        </is>
      </c>
      <c r="L1162" s="35">
        <f>IF(K1162="FIN",3,IF(OR(K1162="SEM",K1162="SEMI"),2,IF(OR(K1162="PRE",K1162="HEAT"),1,IF(V1162="YES",4,2))))</f>
        <v/>
      </c>
      <c r="M1162" s="33" t="inlineStr">
        <is>
          <t>LCM</t>
        </is>
      </c>
      <c r="N1162" s="33" t="n">
        <v>100</v>
      </c>
      <c r="O1162" s="33" t="inlineStr">
        <is>
          <t>Free</t>
        </is>
      </c>
      <c r="P1162" s="33" t="inlineStr">
        <is>
          <t>100 Free</t>
        </is>
      </c>
      <c r="Q1162" s="33" t="inlineStr">
        <is>
          <t>LCM_100_FREE</t>
        </is>
      </c>
      <c r="R1162" s="36" t="n">
        <v>50.41</v>
      </c>
      <c r="S1162" s="35">
        <f>IF(R1162="","",IF(R1162&gt;=60,INT(R1162/60)&amp;":"&amp;TEXT(MOD(R1162,60),"00.00"),TEXT(R1162,"0.00")))</f>
        <v/>
      </c>
      <c r="T1162" s="52">
        <f>IFERROR((G1162-INDEX('01_Swimmers'!$E$5:$E$22,MATCH(B1162,'01_Swimmers'!$A$5:$A$22,0)))/'00_Control'!$B$10,"")</f>
        <v/>
      </c>
      <c r="U1162" s="35">
        <f>IF(T1162="","",INT(T1162))</f>
        <v/>
      </c>
      <c r="V1162" s="33" t="inlineStr">
        <is>
          <t>NO</t>
        </is>
      </c>
      <c r="W1162" s="33" t="inlineStr">
        <is>
          <t>YES</t>
        </is>
      </c>
      <c r="X1162" s="33" t="inlineStr">
        <is>
          <t>NO</t>
        </is>
      </c>
      <c r="Y1162" s="33" t="n">
        <v>4</v>
      </c>
      <c r="Z1162" s="33" t="n">
        <v>9</v>
      </c>
      <c r="AA1162" s="33" t="inlineStr">
        <is>
          <t>52</t>
        </is>
      </c>
      <c r="AB1162" s="33" t="inlineStr">
        <is>
          <t>https://www.swimcloud.com/results/130241/event/4/?id=28440191#time28440191</t>
        </is>
      </c>
      <c r="AC1162" s="33" t="inlineStr">
        <is>
          <t>SwimCloud API v6 2026-10-08</t>
        </is>
      </c>
      <c r="AD1162" s="33" t="inlineStr">
        <is>
          <t>Jack Alexy|2019-07-31|LCM|100|Free|50.41|Phillips 66 Summer National Championships|PRE|False</t>
        </is>
      </c>
      <c r="AE1162" s="53">
        <f>G1162+L1162/1000+ROW()/1000000000</f>
        <v/>
      </c>
      <c r="AF1162" s="35">
        <f>IF(C1162&lt;&gt;"Grayson Coulter","",COUNTIFS($C$5:$C$2991,"Grayson Coulter",$Q$5:$Q$2991,Q1162,$AE$5:$AE$2991,"&lt;="&amp;AE1162,$R$5:$R$2991,"&lt;"&amp;R1162))</f>
        <v/>
      </c>
      <c r="AG1162" s="35">
        <f>IF(OR(C1162&lt;&gt;"Grayson Coulter",G1162&lt;'00_Control'!$B$7),"",--(AF1162&lt;5))</f>
        <v/>
      </c>
      <c r="AH1162" s="35">
        <f>IF(OR(C1162&lt;&gt;"Grayson Coulter",G1162&lt;'00_Control'!$B$7),"",--(AF1162&lt;10))</f>
        <v/>
      </c>
      <c r="AI1162" s="35">
        <f>IF(AND(C1162="Grayson Coulter",G1162&gt;='00_Control'!$B$7),"YES","NO")</f>
        <v/>
      </c>
      <c r="AJ1162" s="33" t="inlineStr">
        <is>
          <t>OK</t>
        </is>
      </c>
    </row>
    <row r="1163">
      <c r="A1163" s="33" t="inlineStr">
        <is>
          <t>SM001159</t>
        </is>
      </c>
      <c r="B1163" s="33" t="inlineStr">
        <is>
          <t>SW015</t>
        </is>
      </c>
      <c r="C1163" s="33" t="inlineStr">
        <is>
          <t>Jack Alexy</t>
        </is>
      </c>
      <c r="D1163" s="33" t="inlineStr">
        <is>
          <t>SwimCloud</t>
        </is>
      </c>
      <c r="E1163" s="33" t="inlineStr">
        <is>
          <t>503872</t>
        </is>
      </c>
      <c r="F1163" s="33" t="inlineStr">
        <is>
          <t>28440192</t>
        </is>
      </c>
      <c r="G1163" s="51" t="n">
        <v>43677</v>
      </c>
      <c r="H1163" s="33" t="inlineStr">
        <is>
          <t>Phillips 66 Summer National Championships</t>
        </is>
      </c>
      <c r="I1163" s="33" t="inlineStr">
        <is>
          <t>130241</t>
        </is>
      </c>
      <c r="J1163" s="33" t="inlineStr"/>
      <c r="K1163" s="33" t="inlineStr">
        <is>
          <t>FIN</t>
        </is>
      </c>
      <c r="L1163" s="35">
        <f>IF(K1163="FIN",3,IF(OR(K1163="SEM",K1163="SEMI"),2,IF(OR(K1163="PRE",K1163="HEAT"),1,IF(V1163="YES",4,2))))</f>
        <v/>
      </c>
      <c r="M1163" s="33" t="inlineStr">
        <is>
          <t>LCM</t>
        </is>
      </c>
      <c r="N1163" s="33" t="n">
        <v>100</v>
      </c>
      <c r="O1163" s="33" t="inlineStr">
        <is>
          <t>Free</t>
        </is>
      </c>
      <c r="P1163" s="33" t="inlineStr">
        <is>
          <t>100 Free</t>
        </is>
      </c>
      <c r="Q1163" s="33" t="inlineStr">
        <is>
          <t>LCM_100_FREE</t>
        </is>
      </c>
      <c r="R1163" s="36" t="n">
        <v>49.67</v>
      </c>
      <c r="S1163" s="35">
        <f>IF(R1163="","",IF(R1163&gt;=60,INT(R1163/60)&amp;":"&amp;TEXT(MOD(R1163,60),"00.00"),TEXT(R1163,"0.00")))</f>
        <v/>
      </c>
      <c r="T1163" s="52">
        <f>IFERROR((G1163-INDEX('01_Swimmers'!$E$5:$E$22,MATCH(B1163,'01_Swimmers'!$A$5:$A$22,0)))/'00_Control'!$B$10,"")</f>
        <v/>
      </c>
      <c r="U1163" s="35">
        <f>IF(T1163="","",INT(T1163))</f>
        <v/>
      </c>
      <c r="V1163" s="33" t="inlineStr">
        <is>
          <t>NO</t>
        </is>
      </c>
      <c r="W1163" s="33" t="inlineStr">
        <is>
          <t>YES</t>
        </is>
      </c>
      <c r="X1163" s="33" t="inlineStr">
        <is>
          <t>NO</t>
        </is>
      </c>
      <c r="Y1163" s="33" t="n">
        <v>4</v>
      </c>
      <c r="Z1163" s="33" t="n">
        <v>7</v>
      </c>
      <c r="AA1163" s="33" t="inlineStr">
        <is>
          <t>26</t>
        </is>
      </c>
      <c r="AB1163" s="33" t="inlineStr">
        <is>
          <t>https://www.swimcloud.com/results/130241/event/4/?id=28440192#time28440192</t>
        </is>
      </c>
      <c r="AC1163" s="33" t="inlineStr">
        <is>
          <t>SwimCloud API v6 2026-10-08</t>
        </is>
      </c>
      <c r="AD1163" s="33" t="inlineStr">
        <is>
          <t>Jack Alexy|2019-07-31|LCM|100|Free|49.67|Phillips 66 Summer National Championships|FIN|False</t>
        </is>
      </c>
      <c r="AE1163" s="53">
        <f>G1163+L1163/1000+ROW()/1000000000</f>
        <v/>
      </c>
      <c r="AF1163" s="35">
        <f>IF(C1163&lt;&gt;"Grayson Coulter","",COUNTIFS($C$5:$C$2991,"Grayson Coulter",$Q$5:$Q$2991,Q1163,$AE$5:$AE$2991,"&lt;="&amp;AE1163,$R$5:$R$2991,"&lt;"&amp;R1163))</f>
        <v/>
      </c>
      <c r="AG1163" s="35">
        <f>IF(OR(C1163&lt;&gt;"Grayson Coulter",G1163&lt;'00_Control'!$B$7),"",--(AF1163&lt;5))</f>
        <v/>
      </c>
      <c r="AH1163" s="35">
        <f>IF(OR(C1163&lt;&gt;"Grayson Coulter",G1163&lt;'00_Control'!$B$7),"",--(AF1163&lt;10))</f>
        <v/>
      </c>
      <c r="AI1163" s="35">
        <f>IF(AND(C1163="Grayson Coulter",G1163&gt;='00_Control'!$B$7),"YES","NO")</f>
        <v/>
      </c>
      <c r="AJ1163" s="33" t="inlineStr">
        <is>
          <t>OK</t>
        </is>
      </c>
    </row>
    <row r="1164">
      <c r="A1164" s="33" t="inlineStr">
        <is>
          <t>SM001160</t>
        </is>
      </c>
      <c r="B1164" s="33" t="inlineStr">
        <is>
          <t>SW015</t>
        </is>
      </c>
      <c r="C1164" s="33" t="inlineStr">
        <is>
          <t>Jack Alexy</t>
        </is>
      </c>
      <c r="D1164" s="33" t="inlineStr">
        <is>
          <t>SwimCloud</t>
        </is>
      </c>
      <c r="E1164" s="33" t="inlineStr">
        <is>
          <t>503872</t>
        </is>
      </c>
      <c r="F1164" s="33" t="inlineStr">
        <is>
          <t>28440357</t>
        </is>
      </c>
      <c r="G1164" s="51" t="n">
        <v>43678</v>
      </c>
      <c r="H1164" s="33" t="inlineStr">
        <is>
          <t>Phillips 66 Summer National Championships</t>
        </is>
      </c>
      <c r="I1164" s="33" t="inlineStr">
        <is>
          <t>130241</t>
        </is>
      </c>
      <c r="J1164" s="33" t="inlineStr"/>
      <c r="K1164" s="33" t="inlineStr">
        <is>
          <t>PRE</t>
        </is>
      </c>
      <c r="L1164" s="35">
        <f>IF(K1164="FIN",3,IF(OR(K1164="SEM",K1164="SEMI"),2,IF(OR(K1164="PRE",K1164="HEAT"),1,IF(V1164="YES",4,2))))</f>
        <v/>
      </c>
      <c r="M1164" s="33" t="inlineStr">
        <is>
          <t>LCM</t>
        </is>
      </c>
      <c r="N1164" s="33" t="n">
        <v>200</v>
      </c>
      <c r="O1164" s="33" t="inlineStr">
        <is>
          <t>Free</t>
        </is>
      </c>
      <c r="P1164" s="33" t="inlineStr">
        <is>
          <t>200 Free</t>
        </is>
      </c>
      <c r="Q1164" s="33" t="inlineStr">
        <is>
          <t>LCM_200_FREE</t>
        </is>
      </c>
      <c r="R1164" s="36" t="n">
        <v>114.66</v>
      </c>
      <c r="S1164" s="35">
        <f>IF(R1164="","",IF(R1164&gt;=60,INT(R1164/60)&amp;":"&amp;TEXT(MOD(R1164,60),"00.00"),TEXT(R1164,"0.00")))</f>
        <v/>
      </c>
      <c r="T1164" s="52">
        <f>IFERROR((G1164-INDEX('01_Swimmers'!$E$5:$E$22,MATCH(B1164,'01_Swimmers'!$A$5:$A$22,0)))/'00_Control'!$B$10,"")</f>
        <v/>
      </c>
      <c r="U1164" s="35">
        <f>IF(T1164="","",INT(T1164))</f>
        <v/>
      </c>
      <c r="V1164" s="33" t="inlineStr">
        <is>
          <t>NO</t>
        </is>
      </c>
      <c r="W1164" s="33" t="inlineStr">
        <is>
          <t>YES</t>
        </is>
      </c>
      <c r="X1164" s="33" t="inlineStr">
        <is>
          <t>NO</t>
        </is>
      </c>
      <c r="Y1164" s="33" t="n">
        <v>2</v>
      </c>
      <c r="Z1164" s="33" t="n">
        <v>1</v>
      </c>
      <c r="AA1164" s="33" t="inlineStr">
        <is>
          <t>119</t>
        </is>
      </c>
      <c r="AB1164" s="33" t="inlineStr">
        <is>
          <t>https://www.swimcloud.com/results/130241/event/9/?id=28440357#time28440357</t>
        </is>
      </c>
      <c r="AC1164" s="33" t="inlineStr">
        <is>
          <t>SwimCloud API v6 2026-10-08</t>
        </is>
      </c>
      <c r="AD1164" s="33" t="inlineStr">
        <is>
          <t>Jack Alexy|2019-08-01|LCM|200|Free|114.66|Phillips 66 Summer National Championships|PRE|False</t>
        </is>
      </c>
      <c r="AE1164" s="53">
        <f>G1164+L1164/1000+ROW()/1000000000</f>
        <v/>
      </c>
      <c r="AF1164" s="35">
        <f>IF(C1164&lt;&gt;"Grayson Coulter","",COUNTIFS($C$5:$C$2991,"Grayson Coulter",$Q$5:$Q$2991,Q1164,$AE$5:$AE$2991,"&lt;="&amp;AE1164,$R$5:$R$2991,"&lt;"&amp;R1164))</f>
        <v/>
      </c>
      <c r="AG1164" s="35">
        <f>IF(OR(C1164&lt;&gt;"Grayson Coulter",G1164&lt;'00_Control'!$B$7),"",--(AF1164&lt;5))</f>
        <v/>
      </c>
      <c r="AH1164" s="35">
        <f>IF(OR(C1164&lt;&gt;"Grayson Coulter",G1164&lt;'00_Control'!$B$7),"",--(AF1164&lt;10))</f>
        <v/>
      </c>
      <c r="AI1164" s="35">
        <f>IF(AND(C1164="Grayson Coulter",G1164&gt;='00_Control'!$B$7),"YES","NO")</f>
        <v/>
      </c>
      <c r="AJ1164" s="33" t="inlineStr">
        <is>
          <t>OK</t>
        </is>
      </c>
    </row>
    <row r="1165">
      <c r="A1165" s="33" t="inlineStr">
        <is>
          <t>SM001161</t>
        </is>
      </c>
      <c r="B1165" s="33" t="inlineStr">
        <is>
          <t>SW015</t>
        </is>
      </c>
      <c r="C1165" s="33" t="inlineStr">
        <is>
          <t>Jack Alexy</t>
        </is>
      </c>
      <c r="D1165" s="33" t="inlineStr">
        <is>
          <t>SwimCloud</t>
        </is>
      </c>
      <c r="E1165" s="33" t="inlineStr">
        <is>
          <t>503872</t>
        </is>
      </c>
      <c r="F1165" s="33" t="inlineStr">
        <is>
          <t>28803624</t>
        </is>
      </c>
      <c r="G1165" s="51" t="n">
        <v>43697</v>
      </c>
      <c r="H1165" s="33" t="inlineStr">
        <is>
          <t>7th FINA World Junior Championship</t>
        </is>
      </c>
      <c r="I1165" s="33" t="inlineStr">
        <is>
          <t>147293</t>
        </is>
      </c>
      <c r="J1165" s="33" t="inlineStr"/>
      <c r="K1165" s="33" t="inlineStr">
        <is>
          <t>PRE</t>
        </is>
      </c>
      <c r="L1165" s="35">
        <f>IF(K1165="FIN",3,IF(OR(K1165="SEM",K1165="SEMI"),2,IF(OR(K1165="PRE",K1165="HEAT"),1,IF(V1165="YES",4,2))))</f>
        <v/>
      </c>
      <c r="M1165" s="33" t="inlineStr">
        <is>
          <t>LCM</t>
        </is>
      </c>
      <c r="N1165" s="33" t="n">
        <v>100</v>
      </c>
      <c r="O1165" s="33" t="inlineStr">
        <is>
          <t>Free</t>
        </is>
      </c>
      <c r="P1165" s="33" t="inlineStr">
        <is>
          <t>100 Free</t>
        </is>
      </c>
      <c r="Q1165" s="33" t="inlineStr">
        <is>
          <t>LCM_100_FREE</t>
        </is>
      </c>
      <c r="R1165" s="36" t="n">
        <v>50.26</v>
      </c>
      <c r="S1165" s="35">
        <f>IF(R1165="","",IF(R1165&gt;=60,INT(R1165/60)&amp;":"&amp;TEXT(MOD(R1165,60),"00.00"),TEXT(R1165,"0.00")))</f>
        <v/>
      </c>
      <c r="T1165" s="52">
        <f>IFERROR((G1165-INDEX('01_Swimmers'!$E$5:$E$22,MATCH(B1165,'01_Swimmers'!$A$5:$A$22,0)))/'00_Control'!$B$10,"")</f>
        <v/>
      </c>
      <c r="U1165" s="35">
        <f>IF(T1165="","",INT(T1165))</f>
        <v/>
      </c>
      <c r="V1165" s="33" t="inlineStr">
        <is>
          <t>YES</t>
        </is>
      </c>
      <c r="W1165" s="33" t="inlineStr">
        <is>
          <t>YES</t>
        </is>
      </c>
      <c r="X1165" s="33" t="inlineStr">
        <is>
          <t>NO</t>
        </is>
      </c>
      <c r="Y1165" s="33" t="n">
        <v>2</v>
      </c>
      <c r="Z1165" s="33" t="n">
        <v>5</v>
      </c>
      <c r="AA1165" s="33" t="inlineStr"/>
      <c r="AB1165" s="33" t="inlineStr">
        <is>
          <t>https://www.swimcloud.com/results/147293/event/7/?id=28802569#time28802569</t>
        </is>
      </c>
      <c r="AC1165" s="33" t="inlineStr">
        <is>
          <t>SwimCloud API v6 2026-10-08</t>
        </is>
      </c>
      <c r="AD1165" s="33" t="inlineStr">
        <is>
          <t>Jack Alexy|2019-08-20|LCM|100|Free|50.26|7th FINA World Junior Championship|PRE|True</t>
        </is>
      </c>
      <c r="AE1165" s="53">
        <f>G1165+L1165/1000+ROW()/1000000000</f>
        <v/>
      </c>
      <c r="AF1165" s="35">
        <f>IF(C1165&lt;&gt;"Grayson Coulter","",COUNTIFS($C$5:$C$2991,"Grayson Coulter",$Q$5:$Q$2991,Q1165,$AE$5:$AE$2991,"&lt;="&amp;AE1165,$R$5:$R$2991,"&lt;"&amp;R1165))</f>
        <v/>
      </c>
      <c r="AG1165" s="35">
        <f>IF(OR(C1165&lt;&gt;"Grayson Coulter",G1165&lt;'00_Control'!$B$7),"",--(AF1165&lt;5))</f>
        <v/>
      </c>
      <c r="AH1165" s="35">
        <f>IF(OR(C1165&lt;&gt;"Grayson Coulter",G1165&lt;'00_Control'!$B$7),"",--(AF1165&lt;10))</f>
        <v/>
      </c>
      <c r="AI1165" s="35">
        <f>IF(AND(C1165="Grayson Coulter",G1165&gt;='00_Control'!$B$7),"YES","NO")</f>
        <v/>
      </c>
      <c r="AJ1165" s="33" t="inlineStr">
        <is>
          <t>OK</t>
        </is>
      </c>
    </row>
    <row r="1166">
      <c r="A1166" s="33" t="inlineStr">
        <is>
          <t>SM001162</t>
        </is>
      </c>
      <c r="B1166" s="33" t="inlineStr">
        <is>
          <t>SW015</t>
        </is>
      </c>
      <c r="C1166" s="33" t="inlineStr">
        <is>
          <t>Jack Alexy</t>
        </is>
      </c>
      <c r="D1166" s="33" t="inlineStr">
        <is>
          <t>SwimCloud</t>
        </is>
      </c>
      <c r="E1166" s="33" t="inlineStr">
        <is>
          <t>503872</t>
        </is>
      </c>
      <c r="F1166" s="33" t="inlineStr">
        <is>
          <t>41602845</t>
        </is>
      </c>
      <c r="G1166" s="51" t="n">
        <v>44318</v>
      </c>
      <c r="H1166" s="33" t="inlineStr">
        <is>
          <t>TYR 18 &amp; Under Spring Cup - Orlando</t>
        </is>
      </c>
      <c r="I1166" s="33" t="inlineStr">
        <is>
          <t>196920</t>
        </is>
      </c>
      <c r="J1166" s="33" t="inlineStr"/>
      <c r="K1166" s="33" t="inlineStr">
        <is>
          <t>PRE</t>
        </is>
      </c>
      <c r="L1166" s="35">
        <f>IF(K1166="FIN",3,IF(OR(K1166="SEM",K1166="SEMI"),2,IF(OR(K1166="PRE",K1166="HEAT"),1,IF(V1166="YES",4,2))))</f>
        <v/>
      </c>
      <c r="M1166" s="33" t="inlineStr">
        <is>
          <t>LCM</t>
        </is>
      </c>
      <c r="N1166" s="33" t="n">
        <v>100</v>
      </c>
      <c r="O1166" s="33" t="inlineStr">
        <is>
          <t>Free</t>
        </is>
      </c>
      <c r="P1166" s="33" t="inlineStr">
        <is>
          <t>100 Free</t>
        </is>
      </c>
      <c r="Q1166" s="33" t="inlineStr">
        <is>
          <t>LCM_100_FREE</t>
        </is>
      </c>
      <c r="R1166" s="36" t="n">
        <v>50.78</v>
      </c>
      <c r="S1166" s="35">
        <f>IF(R1166="","",IF(R1166&gt;=60,INT(R1166/60)&amp;":"&amp;TEXT(MOD(R1166,60),"00.00"),TEXT(R1166,"0.00")))</f>
        <v/>
      </c>
      <c r="T1166" s="52">
        <f>IFERROR((G1166-INDEX('01_Swimmers'!$E$5:$E$22,MATCH(B1166,'01_Swimmers'!$A$5:$A$22,0)))/'00_Control'!$B$10,"")</f>
        <v/>
      </c>
      <c r="U1166" s="35">
        <f>IF(T1166="","",INT(T1166))</f>
        <v/>
      </c>
      <c r="V1166" s="33" t="inlineStr">
        <is>
          <t>NO</t>
        </is>
      </c>
      <c r="W1166" s="33" t="inlineStr">
        <is>
          <t>YES</t>
        </is>
      </c>
      <c r="X1166" s="33" t="inlineStr">
        <is>
          <t>NO</t>
        </is>
      </c>
      <c r="Y1166" s="33" t="n">
        <v>3</v>
      </c>
      <c r="Z1166" s="33" t="n">
        <v>4</v>
      </c>
      <c r="AA1166" s="33" t="inlineStr">
        <is>
          <t>1</t>
        </is>
      </c>
      <c r="AB1166" s="33" t="inlineStr">
        <is>
          <t>https://www.swimcloud.com/results/196920/event/22/?id=41602845#time41602845</t>
        </is>
      </c>
      <c r="AC1166" s="33" t="inlineStr">
        <is>
          <t>SwimCloud API v6 2026-10-08</t>
        </is>
      </c>
      <c r="AD1166" s="33" t="inlineStr">
        <is>
          <t>Jack Alexy|2021-05-02|LCM|100|Free|50.78|TYR 18 &amp; Under Spring Cup - Orlando|PRE|False</t>
        </is>
      </c>
      <c r="AE1166" s="53">
        <f>G1166+L1166/1000+ROW()/1000000000</f>
        <v/>
      </c>
      <c r="AF1166" s="35">
        <f>IF(C1166&lt;&gt;"Grayson Coulter","",COUNTIFS($C$5:$C$2991,"Grayson Coulter",$Q$5:$Q$2991,Q1166,$AE$5:$AE$2991,"&lt;="&amp;AE1166,$R$5:$R$2991,"&lt;"&amp;R1166))</f>
        <v/>
      </c>
      <c r="AG1166" s="35">
        <f>IF(OR(C1166&lt;&gt;"Grayson Coulter",G1166&lt;'00_Control'!$B$7),"",--(AF1166&lt;5))</f>
        <v/>
      </c>
      <c r="AH1166" s="35">
        <f>IF(OR(C1166&lt;&gt;"Grayson Coulter",G1166&lt;'00_Control'!$B$7),"",--(AF1166&lt;10))</f>
        <v/>
      </c>
      <c r="AI1166" s="35">
        <f>IF(AND(C1166="Grayson Coulter",G1166&gt;='00_Control'!$B$7),"YES","NO")</f>
        <v/>
      </c>
      <c r="AJ1166" s="33" t="inlineStr">
        <is>
          <t>OK</t>
        </is>
      </c>
    </row>
    <row r="1167">
      <c r="A1167" s="33" t="inlineStr">
        <is>
          <t>SM001163</t>
        </is>
      </c>
      <c r="B1167" s="33" t="inlineStr">
        <is>
          <t>SW015</t>
        </is>
      </c>
      <c r="C1167" s="33" t="inlineStr">
        <is>
          <t>Jack Alexy</t>
        </is>
      </c>
      <c r="D1167" s="33" t="inlineStr">
        <is>
          <t>SwimCloud</t>
        </is>
      </c>
      <c r="E1167" s="33" t="inlineStr">
        <is>
          <t>503872</t>
        </is>
      </c>
      <c r="F1167" s="33" t="inlineStr">
        <is>
          <t>41602846</t>
        </is>
      </c>
      <c r="G1167" s="51" t="n">
        <v>44318</v>
      </c>
      <c r="H1167" s="33" t="inlineStr">
        <is>
          <t>TYR 18 &amp; Under Spring Cup - Orlando</t>
        </is>
      </c>
      <c r="I1167" s="33" t="inlineStr">
        <is>
          <t>196920</t>
        </is>
      </c>
      <c r="J1167" s="33" t="inlineStr"/>
      <c r="K1167" s="33" t="inlineStr">
        <is>
          <t>FIN</t>
        </is>
      </c>
      <c r="L1167" s="35">
        <f>IF(K1167="FIN",3,IF(OR(K1167="SEM",K1167="SEMI"),2,IF(OR(K1167="PRE",K1167="HEAT"),1,IF(V1167="YES",4,2))))</f>
        <v/>
      </c>
      <c r="M1167" s="33" t="inlineStr">
        <is>
          <t>LCM</t>
        </is>
      </c>
      <c r="N1167" s="33" t="n">
        <v>100</v>
      </c>
      <c r="O1167" s="33" t="inlineStr">
        <is>
          <t>Free</t>
        </is>
      </c>
      <c r="P1167" s="33" t="inlineStr">
        <is>
          <t>100 Free</t>
        </is>
      </c>
      <c r="Q1167" s="33" t="inlineStr">
        <is>
          <t>LCM_100_FREE</t>
        </is>
      </c>
      <c r="R1167" s="36" t="n">
        <v>50.08</v>
      </c>
      <c r="S1167" s="35">
        <f>IF(R1167="","",IF(R1167&gt;=60,INT(R1167/60)&amp;":"&amp;TEXT(MOD(R1167,60),"00.00"),TEXT(R1167,"0.00")))</f>
        <v/>
      </c>
      <c r="T1167" s="52">
        <f>IFERROR((G1167-INDEX('01_Swimmers'!$E$5:$E$22,MATCH(B1167,'01_Swimmers'!$A$5:$A$22,0)))/'00_Control'!$B$10,"")</f>
        <v/>
      </c>
      <c r="U1167" s="35">
        <f>IF(T1167="","",INT(T1167))</f>
        <v/>
      </c>
      <c r="V1167" s="33" t="inlineStr">
        <is>
          <t>NO</t>
        </is>
      </c>
      <c r="W1167" s="33" t="inlineStr">
        <is>
          <t>YES</t>
        </is>
      </c>
      <c r="X1167" s="33" t="inlineStr">
        <is>
          <t>NO</t>
        </is>
      </c>
      <c r="Y1167" s="33" t="n">
        <v>2</v>
      </c>
      <c r="Z1167" s="33" t="n">
        <v>4</v>
      </c>
      <c r="AA1167" s="33" t="inlineStr">
        <is>
          <t>1</t>
        </is>
      </c>
      <c r="AB1167" s="33" t="inlineStr">
        <is>
          <t>https://www.swimcloud.com/results/196920/event/22/?id=41602846#time41602846</t>
        </is>
      </c>
      <c r="AC1167" s="33" t="inlineStr">
        <is>
          <t>SwimCloud API v6 2026-10-08</t>
        </is>
      </c>
      <c r="AD1167" s="33" t="inlineStr">
        <is>
          <t>Jack Alexy|2021-05-02|LCM|100|Free|50.08|TYR 18 &amp; Under Spring Cup - Orlando|FIN|False</t>
        </is>
      </c>
      <c r="AE1167" s="53">
        <f>G1167+L1167/1000+ROW()/1000000000</f>
        <v/>
      </c>
      <c r="AF1167" s="35">
        <f>IF(C1167&lt;&gt;"Grayson Coulter","",COUNTIFS($C$5:$C$2991,"Grayson Coulter",$Q$5:$Q$2991,Q1167,$AE$5:$AE$2991,"&lt;="&amp;AE1167,$R$5:$R$2991,"&lt;"&amp;R1167))</f>
        <v/>
      </c>
      <c r="AG1167" s="35">
        <f>IF(OR(C1167&lt;&gt;"Grayson Coulter",G1167&lt;'00_Control'!$B$7),"",--(AF1167&lt;5))</f>
        <v/>
      </c>
      <c r="AH1167" s="35">
        <f>IF(OR(C1167&lt;&gt;"Grayson Coulter",G1167&lt;'00_Control'!$B$7),"",--(AF1167&lt;10))</f>
        <v/>
      </c>
      <c r="AI1167" s="35">
        <f>IF(AND(C1167="Grayson Coulter",G1167&gt;='00_Control'!$B$7),"YES","NO")</f>
        <v/>
      </c>
      <c r="AJ1167" s="33" t="inlineStr">
        <is>
          <t>OK</t>
        </is>
      </c>
    </row>
    <row r="1168">
      <c r="A1168" s="33" t="inlineStr">
        <is>
          <t>SM001164</t>
        </is>
      </c>
      <c r="B1168" s="33" t="inlineStr">
        <is>
          <t>SW015</t>
        </is>
      </c>
      <c r="C1168" s="33" t="inlineStr">
        <is>
          <t>Jack Alexy</t>
        </is>
      </c>
      <c r="D1168" s="33" t="inlineStr">
        <is>
          <t>SwimCloud</t>
        </is>
      </c>
      <c r="E1168" s="33" t="inlineStr">
        <is>
          <t>503872</t>
        </is>
      </c>
      <c r="F1168" s="33" t="inlineStr">
        <is>
          <t>42485281</t>
        </is>
      </c>
      <c r="G1168" s="51" t="n">
        <v>44337</v>
      </c>
      <c r="H1168" s="33" t="inlineStr">
        <is>
          <t>2021 FL SPA MAY 813 MEET</t>
        </is>
      </c>
      <c r="I1168" s="33" t="inlineStr">
        <is>
          <t>199733</t>
        </is>
      </c>
      <c r="J1168" s="33" t="inlineStr"/>
      <c r="K1168" s="33" t="inlineStr">
        <is>
          <t>TIM</t>
        </is>
      </c>
      <c r="L1168" s="35">
        <f>IF(K1168="FIN",3,IF(OR(K1168="SEM",K1168="SEMI"),2,IF(OR(K1168="PRE",K1168="HEAT"),1,IF(V1168="YES",4,2))))</f>
        <v/>
      </c>
      <c r="M1168" s="33" t="inlineStr">
        <is>
          <t>LCM</t>
        </is>
      </c>
      <c r="N1168" s="33" t="n">
        <v>100</v>
      </c>
      <c r="O1168" s="33" t="inlineStr">
        <is>
          <t>Free</t>
        </is>
      </c>
      <c r="P1168" s="33" t="inlineStr">
        <is>
          <t>100 Free</t>
        </is>
      </c>
      <c r="Q1168" s="33" t="inlineStr">
        <is>
          <t>LCM_100_FREE</t>
        </is>
      </c>
      <c r="R1168" s="36" t="n">
        <v>49.31</v>
      </c>
      <c r="S1168" s="35">
        <f>IF(R1168="","",IF(R1168&gt;=60,INT(R1168/60)&amp;":"&amp;TEXT(MOD(R1168,60),"00.00"),TEXT(R1168,"0.00")))</f>
        <v/>
      </c>
      <c r="T1168" s="52">
        <f>IFERROR((G1168-INDEX('01_Swimmers'!$E$5:$E$22,MATCH(B1168,'01_Swimmers'!$A$5:$A$22,0)))/'00_Control'!$B$10,"")</f>
        <v/>
      </c>
      <c r="U1168" s="35">
        <f>IF(T1168="","",INT(T1168))</f>
        <v/>
      </c>
      <c r="V1168" s="33" t="inlineStr">
        <is>
          <t>NO</t>
        </is>
      </c>
      <c r="W1168" s="33" t="inlineStr">
        <is>
          <t>YES</t>
        </is>
      </c>
      <c r="X1168" s="33" t="inlineStr">
        <is>
          <t>NO</t>
        </is>
      </c>
      <c r="Y1168" s="33" t="n">
        <v>1</v>
      </c>
      <c r="Z1168" s="33" t="n">
        <v>5</v>
      </c>
      <c r="AA1168" s="33" t="inlineStr">
        <is>
          <t>1</t>
        </is>
      </c>
      <c r="AB1168" s="33" t="inlineStr">
        <is>
          <t>https://www.swimcloud.com/results/199733/event/1/?id=42485281#time42485281</t>
        </is>
      </c>
      <c r="AC1168" s="33" t="inlineStr">
        <is>
          <t>SwimCloud API v6 2026-10-08</t>
        </is>
      </c>
      <c r="AD1168" s="33" t="inlineStr">
        <is>
          <t>Jack Alexy|2021-05-21|LCM|100|Free|49.31|2021 FL SPA MAY 813 MEET|TIM|False</t>
        </is>
      </c>
      <c r="AE1168" s="53">
        <f>G1168+L1168/1000+ROW()/1000000000</f>
        <v/>
      </c>
      <c r="AF1168" s="35">
        <f>IF(C1168&lt;&gt;"Grayson Coulter","",COUNTIFS($C$5:$C$2991,"Grayson Coulter",$Q$5:$Q$2991,Q1168,$AE$5:$AE$2991,"&lt;="&amp;AE1168,$R$5:$R$2991,"&lt;"&amp;R1168))</f>
        <v/>
      </c>
      <c r="AG1168" s="35">
        <f>IF(OR(C1168&lt;&gt;"Grayson Coulter",G1168&lt;'00_Control'!$B$7),"",--(AF1168&lt;5))</f>
        <v/>
      </c>
      <c r="AH1168" s="35">
        <f>IF(OR(C1168&lt;&gt;"Grayson Coulter",G1168&lt;'00_Control'!$B$7),"",--(AF1168&lt;10))</f>
        <v/>
      </c>
      <c r="AI1168" s="35">
        <f>IF(AND(C1168="Grayson Coulter",G1168&gt;='00_Control'!$B$7),"YES","NO")</f>
        <v/>
      </c>
      <c r="AJ1168" s="33" t="inlineStr">
        <is>
          <t>OK</t>
        </is>
      </c>
    </row>
    <row r="1169">
      <c r="A1169" s="33" t="inlineStr">
        <is>
          <t>SM001165</t>
        </is>
      </c>
      <c r="B1169" s="33" t="inlineStr">
        <is>
          <t>SW015</t>
        </is>
      </c>
      <c r="C1169" s="33" t="inlineStr">
        <is>
          <t>Jack Alexy</t>
        </is>
      </c>
      <c r="D1169" s="33" t="inlineStr">
        <is>
          <t>SwimCloud</t>
        </is>
      </c>
      <c r="E1169" s="33" t="inlineStr">
        <is>
          <t>503872</t>
        </is>
      </c>
      <c r="F1169" s="33" t="inlineStr">
        <is>
          <t>42485904</t>
        </is>
      </c>
      <c r="G1169" s="51" t="n">
        <v>44338</v>
      </c>
      <c r="H1169" s="33" t="inlineStr">
        <is>
          <t>2021 FL SPA MAY 813 MEET</t>
        </is>
      </c>
      <c r="I1169" s="33" t="inlineStr">
        <is>
          <t>199733</t>
        </is>
      </c>
      <c r="J1169" s="33" t="inlineStr"/>
      <c r="K1169" s="33" t="inlineStr">
        <is>
          <t>TIM</t>
        </is>
      </c>
      <c r="L1169" s="35">
        <f>IF(K1169="FIN",3,IF(OR(K1169="SEM",K1169="SEMI"),2,IF(OR(K1169="PRE",K1169="HEAT"),1,IF(V1169="YES",4,2))))</f>
        <v/>
      </c>
      <c r="M1169" s="33" t="inlineStr">
        <is>
          <t>LCM</t>
        </is>
      </c>
      <c r="N1169" s="33" t="n">
        <v>200</v>
      </c>
      <c r="O1169" s="33" t="inlineStr">
        <is>
          <t>Free</t>
        </is>
      </c>
      <c r="P1169" s="33" t="inlineStr">
        <is>
          <t>200 Free</t>
        </is>
      </c>
      <c r="Q1169" s="33" t="inlineStr">
        <is>
          <t>LCM_200_FREE</t>
        </is>
      </c>
      <c r="R1169" s="36" t="n">
        <v>115.45</v>
      </c>
      <c r="S1169" s="35">
        <f>IF(R1169="","",IF(R1169&gt;=60,INT(R1169/60)&amp;":"&amp;TEXT(MOD(R1169,60),"00.00"),TEXT(R1169,"0.00")))</f>
        <v/>
      </c>
      <c r="T1169" s="52">
        <f>IFERROR((G1169-INDEX('01_Swimmers'!$E$5:$E$22,MATCH(B1169,'01_Swimmers'!$A$5:$A$22,0)))/'00_Control'!$B$10,"")</f>
        <v/>
      </c>
      <c r="U1169" s="35">
        <f>IF(T1169="","",INT(T1169))</f>
        <v/>
      </c>
      <c r="V1169" s="33" t="inlineStr">
        <is>
          <t>NO</t>
        </is>
      </c>
      <c r="W1169" s="33" t="inlineStr">
        <is>
          <t>YES</t>
        </is>
      </c>
      <c r="X1169" s="33" t="inlineStr">
        <is>
          <t>NO</t>
        </is>
      </c>
      <c r="Y1169" s="33" t="n">
        <v>1</v>
      </c>
      <c r="Z1169" s="33" t="n">
        <v>6</v>
      </c>
      <c r="AA1169" s="33" t="inlineStr">
        <is>
          <t>1</t>
        </is>
      </c>
      <c r="AB1169" s="33" t="inlineStr">
        <is>
          <t>https://www.swimcloud.com/results/199733/event/13/?id=42485904#time42485904</t>
        </is>
      </c>
      <c r="AC1169" s="33" t="inlineStr">
        <is>
          <t>SwimCloud API v6 2026-10-08</t>
        </is>
      </c>
      <c r="AD1169" s="33" t="inlineStr">
        <is>
          <t>Jack Alexy|2021-05-22|LCM|200|Free|115.45|2021 FL SPA MAY 813 MEET|TIM|False</t>
        </is>
      </c>
      <c r="AE1169" s="53">
        <f>G1169+L1169/1000+ROW()/1000000000</f>
        <v/>
      </c>
      <c r="AF1169" s="35">
        <f>IF(C1169&lt;&gt;"Grayson Coulter","",COUNTIFS($C$5:$C$2991,"Grayson Coulter",$Q$5:$Q$2991,Q1169,$AE$5:$AE$2991,"&lt;="&amp;AE1169,$R$5:$R$2991,"&lt;"&amp;R1169))</f>
        <v/>
      </c>
      <c r="AG1169" s="35">
        <f>IF(OR(C1169&lt;&gt;"Grayson Coulter",G1169&lt;'00_Control'!$B$7),"",--(AF1169&lt;5))</f>
        <v/>
      </c>
      <c r="AH1169" s="35">
        <f>IF(OR(C1169&lt;&gt;"Grayson Coulter",G1169&lt;'00_Control'!$B$7),"",--(AF1169&lt;10))</f>
        <v/>
      </c>
      <c r="AI1169" s="35">
        <f>IF(AND(C1169="Grayson Coulter",G1169&gt;='00_Control'!$B$7),"YES","NO")</f>
        <v/>
      </c>
      <c r="AJ1169" s="33" t="inlineStr">
        <is>
          <t>OK</t>
        </is>
      </c>
    </row>
    <row r="1170">
      <c r="A1170" s="33" t="inlineStr">
        <is>
          <t>SM001166</t>
        </is>
      </c>
      <c r="B1170" s="33" t="inlineStr">
        <is>
          <t>SW015</t>
        </is>
      </c>
      <c r="C1170" s="33" t="inlineStr">
        <is>
          <t>Jack Alexy</t>
        </is>
      </c>
      <c r="D1170" s="33" t="inlineStr">
        <is>
          <t>SwimCloud</t>
        </is>
      </c>
      <c r="E1170" s="33" t="inlineStr">
        <is>
          <t>503872</t>
        </is>
      </c>
      <c r="F1170" s="33" t="inlineStr">
        <is>
          <t>42382215</t>
        </is>
      </c>
      <c r="G1170" s="51" t="n">
        <v>44363</v>
      </c>
      <c r="H1170" s="33" t="inlineStr">
        <is>
          <t>USA Olympic Team Trials - Wave 2</t>
        </is>
      </c>
      <c r="I1170" s="33" t="inlineStr">
        <is>
          <t>197324</t>
        </is>
      </c>
      <c r="J1170" s="33" t="inlineStr"/>
      <c r="K1170" s="33" t="inlineStr">
        <is>
          <t>PRE</t>
        </is>
      </c>
      <c r="L1170" s="35">
        <f>IF(K1170="FIN",3,IF(OR(K1170="SEM",K1170="SEMI"),2,IF(OR(K1170="PRE",K1170="HEAT"),1,IF(V1170="YES",4,2))))</f>
        <v/>
      </c>
      <c r="M1170" s="33" t="inlineStr">
        <is>
          <t>LCM</t>
        </is>
      </c>
      <c r="N1170" s="33" t="n">
        <v>100</v>
      </c>
      <c r="O1170" s="33" t="inlineStr">
        <is>
          <t>Free</t>
        </is>
      </c>
      <c r="P1170" s="33" t="inlineStr">
        <is>
          <t>100 Free</t>
        </is>
      </c>
      <c r="Q1170" s="33" t="inlineStr">
        <is>
          <t>LCM_100_FREE</t>
        </is>
      </c>
      <c r="R1170" s="36" t="n">
        <v>48.69</v>
      </c>
      <c r="S1170" s="35">
        <f>IF(R1170="","",IF(R1170&gt;=60,INT(R1170/60)&amp;":"&amp;TEXT(MOD(R1170,60),"00.00"),TEXT(R1170,"0.00")))</f>
        <v/>
      </c>
      <c r="T1170" s="52">
        <f>IFERROR((G1170-INDEX('01_Swimmers'!$E$5:$E$22,MATCH(B1170,'01_Swimmers'!$A$5:$A$22,0)))/'00_Control'!$B$10,"")</f>
        <v/>
      </c>
      <c r="U1170" s="35">
        <f>IF(T1170="","",INT(T1170))</f>
        <v/>
      </c>
      <c r="V1170" s="33" t="inlineStr">
        <is>
          <t>NO</t>
        </is>
      </c>
      <c r="W1170" s="33" t="inlineStr">
        <is>
          <t>YES</t>
        </is>
      </c>
      <c r="X1170" s="33" t="inlineStr">
        <is>
          <t>NO</t>
        </is>
      </c>
      <c r="Y1170" s="33" t="n">
        <v>6</v>
      </c>
      <c r="Z1170" s="33" t="n">
        <v>1</v>
      </c>
      <c r="AA1170" s="33" t="inlineStr">
        <is>
          <t>9</t>
        </is>
      </c>
      <c r="AB1170" s="33" t="inlineStr">
        <is>
          <t>https://www.swimcloud.com/results/197324/event/15/?id=42382215#time42382215</t>
        </is>
      </c>
      <c r="AC1170" s="33" t="inlineStr">
        <is>
          <t>SwimCloud API v6 2026-10-08</t>
        </is>
      </c>
      <c r="AD1170" s="33" t="inlineStr">
        <is>
          <t>Jack Alexy|2021-06-16|LCM|100|Free|48.69|USA Olympic Team Trials - Wave 2|PRE|False</t>
        </is>
      </c>
      <c r="AE1170" s="53">
        <f>G1170+L1170/1000+ROW()/1000000000</f>
        <v/>
      </c>
      <c r="AF1170" s="35">
        <f>IF(C1170&lt;&gt;"Grayson Coulter","",COUNTIFS($C$5:$C$2991,"Grayson Coulter",$Q$5:$Q$2991,Q1170,$AE$5:$AE$2991,"&lt;="&amp;AE1170,$R$5:$R$2991,"&lt;"&amp;R1170))</f>
        <v/>
      </c>
      <c r="AG1170" s="35">
        <f>IF(OR(C1170&lt;&gt;"Grayson Coulter",G1170&lt;'00_Control'!$B$7),"",--(AF1170&lt;5))</f>
        <v/>
      </c>
      <c r="AH1170" s="35">
        <f>IF(OR(C1170&lt;&gt;"Grayson Coulter",G1170&lt;'00_Control'!$B$7),"",--(AF1170&lt;10))</f>
        <v/>
      </c>
      <c r="AI1170" s="35">
        <f>IF(AND(C1170="Grayson Coulter",G1170&gt;='00_Control'!$B$7),"YES","NO")</f>
        <v/>
      </c>
      <c r="AJ1170" s="33" t="inlineStr">
        <is>
          <t>OK</t>
        </is>
      </c>
    </row>
    <row r="1171">
      <c r="A1171" s="33" t="inlineStr">
        <is>
          <t>SM001167</t>
        </is>
      </c>
      <c r="B1171" s="33" t="inlineStr">
        <is>
          <t>SW015</t>
        </is>
      </c>
      <c r="C1171" s="33" t="inlineStr">
        <is>
          <t>Jack Alexy</t>
        </is>
      </c>
      <c r="D1171" s="33" t="inlineStr">
        <is>
          <t>SwimCloud</t>
        </is>
      </c>
      <c r="E1171" s="33" t="inlineStr">
        <is>
          <t>503872</t>
        </is>
      </c>
      <c r="F1171" s="33" t="inlineStr">
        <is>
          <t>42383599</t>
        </is>
      </c>
      <c r="G1171" s="51" t="n">
        <v>44363</v>
      </c>
      <c r="H1171" s="33" t="inlineStr">
        <is>
          <t>USA Olympic Team Trials - Wave 2</t>
        </is>
      </c>
      <c r="I1171" s="33" t="inlineStr">
        <is>
          <t>197324</t>
        </is>
      </c>
      <c r="J1171" s="33" t="inlineStr"/>
      <c r="K1171" s="33" t="inlineStr">
        <is>
          <t>SEM</t>
        </is>
      </c>
      <c r="L1171" s="35">
        <f>IF(K1171="FIN",3,IF(OR(K1171="SEM",K1171="SEMI"),2,IF(OR(K1171="PRE",K1171="HEAT"),1,IF(V1171="YES",4,2))))</f>
        <v/>
      </c>
      <c r="M1171" s="33" t="inlineStr">
        <is>
          <t>LCM</t>
        </is>
      </c>
      <c r="N1171" s="33" t="n">
        <v>100</v>
      </c>
      <c r="O1171" s="33" t="inlineStr">
        <is>
          <t>Free</t>
        </is>
      </c>
      <c r="P1171" s="33" t="inlineStr">
        <is>
          <t>100 Free</t>
        </is>
      </c>
      <c r="Q1171" s="33" t="inlineStr">
        <is>
          <t>LCM_100_FREE</t>
        </is>
      </c>
      <c r="R1171" s="36" t="n">
        <v>48.82</v>
      </c>
      <c r="S1171" s="35">
        <f>IF(R1171="","",IF(R1171&gt;=60,INT(R1171/60)&amp;":"&amp;TEXT(MOD(R1171,60),"00.00"),TEXT(R1171,"0.00")))</f>
        <v/>
      </c>
      <c r="T1171" s="52">
        <f>IFERROR((G1171-INDEX('01_Swimmers'!$E$5:$E$22,MATCH(B1171,'01_Swimmers'!$A$5:$A$22,0)))/'00_Control'!$B$10,"")</f>
        <v/>
      </c>
      <c r="U1171" s="35">
        <f>IF(T1171="","",INT(T1171))</f>
        <v/>
      </c>
      <c r="V1171" s="33" t="inlineStr">
        <is>
          <t>NO</t>
        </is>
      </c>
      <c r="W1171" s="33" t="inlineStr">
        <is>
          <t>YES</t>
        </is>
      </c>
      <c r="X1171" s="33" t="inlineStr">
        <is>
          <t>NO</t>
        </is>
      </c>
      <c r="Y1171" s="33" t="n">
        <v>2</v>
      </c>
      <c r="Z1171" s="33" t="n">
        <v>2</v>
      </c>
      <c r="AA1171" s="33" t="inlineStr">
        <is>
          <t>10</t>
        </is>
      </c>
      <c r="AB1171" s="33" t="inlineStr">
        <is>
          <t>https://www.swimcloud.com/results/197324/event/15/?id=42383599#time42383599</t>
        </is>
      </c>
      <c r="AC1171" s="33" t="inlineStr">
        <is>
          <t>SwimCloud API v6 2026-10-08</t>
        </is>
      </c>
      <c r="AD1171" s="33" t="inlineStr">
        <is>
          <t>Jack Alexy|2021-06-16|LCM|100|Free|48.82|USA Olympic Team Trials - Wave 2|SEM|False</t>
        </is>
      </c>
      <c r="AE1171" s="53">
        <f>G1171+L1171/1000+ROW()/1000000000</f>
        <v/>
      </c>
      <c r="AF1171" s="35">
        <f>IF(C1171&lt;&gt;"Grayson Coulter","",COUNTIFS($C$5:$C$2991,"Grayson Coulter",$Q$5:$Q$2991,Q1171,$AE$5:$AE$2991,"&lt;="&amp;AE1171,$R$5:$R$2991,"&lt;"&amp;R1171))</f>
        <v/>
      </c>
      <c r="AG1171" s="35">
        <f>IF(OR(C1171&lt;&gt;"Grayson Coulter",G1171&lt;'00_Control'!$B$7),"",--(AF1171&lt;5))</f>
        <v/>
      </c>
      <c r="AH1171" s="35">
        <f>IF(OR(C1171&lt;&gt;"Grayson Coulter",G1171&lt;'00_Control'!$B$7),"",--(AF1171&lt;10))</f>
        <v/>
      </c>
      <c r="AI1171" s="35">
        <f>IF(AND(C1171="Grayson Coulter",G1171&gt;='00_Control'!$B$7),"YES","NO")</f>
        <v/>
      </c>
      <c r="AJ1171" s="33" t="inlineStr">
        <is>
          <t>OK</t>
        </is>
      </c>
    </row>
    <row r="1172">
      <c r="A1172" s="33" t="inlineStr">
        <is>
          <t>SM001168</t>
        </is>
      </c>
      <c r="B1172" s="33" t="inlineStr">
        <is>
          <t>SW015</t>
        </is>
      </c>
      <c r="C1172" s="33" t="inlineStr">
        <is>
          <t>Jack Alexy</t>
        </is>
      </c>
      <c r="D1172" s="33" t="inlineStr">
        <is>
          <t>SwimCloud</t>
        </is>
      </c>
      <c r="E1172" s="33" t="inlineStr">
        <is>
          <t>503872</t>
        </is>
      </c>
      <c r="F1172" s="33" t="inlineStr">
        <is>
          <t>63739832</t>
        </is>
      </c>
      <c r="G1172" s="51" t="n">
        <v>44668</v>
      </c>
      <c r="H1172" s="33" t="inlineStr">
        <is>
          <t>Pacific Swimming LC Senior Open</t>
        </is>
      </c>
      <c r="I1172" s="33" t="inlineStr">
        <is>
          <t>229162</t>
        </is>
      </c>
      <c r="J1172" s="33" t="inlineStr"/>
      <c r="K1172" s="33" t="inlineStr">
        <is>
          <t>TIM</t>
        </is>
      </c>
      <c r="L1172" s="35">
        <f>IF(K1172="FIN",3,IF(OR(K1172="SEM",K1172="SEMI"),2,IF(OR(K1172="PRE",K1172="HEAT"),1,IF(V1172="YES",4,2))))</f>
        <v/>
      </c>
      <c r="M1172" s="33" t="inlineStr">
        <is>
          <t>LCM</t>
        </is>
      </c>
      <c r="N1172" s="33" t="n">
        <v>100</v>
      </c>
      <c r="O1172" s="33" t="inlineStr">
        <is>
          <t>Free</t>
        </is>
      </c>
      <c r="P1172" s="33" t="inlineStr">
        <is>
          <t>100 Free</t>
        </is>
      </c>
      <c r="Q1172" s="33" t="inlineStr">
        <is>
          <t>LCM_100_FREE</t>
        </is>
      </c>
      <c r="R1172" s="36" t="n">
        <v>51.32</v>
      </c>
      <c r="S1172" s="35">
        <f>IF(R1172="","",IF(R1172&gt;=60,INT(R1172/60)&amp;":"&amp;TEXT(MOD(R1172,60),"00.00"),TEXT(R1172,"0.00")))</f>
        <v/>
      </c>
      <c r="T1172" s="52">
        <f>IFERROR((G1172-INDEX('01_Swimmers'!$E$5:$E$22,MATCH(B1172,'01_Swimmers'!$A$5:$A$22,0)))/'00_Control'!$B$10,"")</f>
        <v/>
      </c>
      <c r="U1172" s="35">
        <f>IF(T1172="","",INT(T1172))</f>
        <v/>
      </c>
      <c r="V1172" s="33" t="inlineStr">
        <is>
          <t>NO</t>
        </is>
      </c>
      <c r="W1172" s="33" t="inlineStr">
        <is>
          <t>YES</t>
        </is>
      </c>
      <c r="X1172" s="33" t="inlineStr">
        <is>
          <t>NO</t>
        </is>
      </c>
      <c r="Y1172" s="33" t="n">
        <v>1</v>
      </c>
      <c r="Z1172" s="33" t="n">
        <v>5</v>
      </c>
      <c r="AA1172" s="33" t="inlineStr">
        <is>
          <t>1</t>
        </is>
      </c>
      <c r="AB1172" s="33" t="inlineStr">
        <is>
          <t>https://www.swimcloud.com/results/229162/event/22/?id=63739832#time63739832</t>
        </is>
      </c>
      <c r="AC1172" s="33" t="inlineStr">
        <is>
          <t>SwimCloud API v6 2026-10-08</t>
        </is>
      </c>
      <c r="AD1172" s="33" t="inlineStr">
        <is>
          <t>Jack Alexy|2022-04-17|LCM|100|Free|51.32|Pacific Swimming LC Senior Open|TIM|False</t>
        </is>
      </c>
      <c r="AE1172" s="53">
        <f>G1172+L1172/1000+ROW()/1000000000</f>
        <v/>
      </c>
      <c r="AF1172" s="35">
        <f>IF(C1172&lt;&gt;"Grayson Coulter","",COUNTIFS($C$5:$C$2991,"Grayson Coulter",$Q$5:$Q$2991,Q1172,$AE$5:$AE$2991,"&lt;="&amp;AE1172,$R$5:$R$2991,"&lt;"&amp;R1172))</f>
        <v/>
      </c>
      <c r="AG1172" s="35">
        <f>IF(OR(C1172&lt;&gt;"Grayson Coulter",G1172&lt;'00_Control'!$B$7),"",--(AF1172&lt;5))</f>
        <v/>
      </c>
      <c r="AH1172" s="35">
        <f>IF(OR(C1172&lt;&gt;"Grayson Coulter",G1172&lt;'00_Control'!$B$7),"",--(AF1172&lt;10))</f>
        <v/>
      </c>
      <c r="AI1172" s="35">
        <f>IF(AND(C1172="Grayson Coulter",G1172&gt;='00_Control'!$B$7),"YES","NO")</f>
        <v/>
      </c>
      <c r="AJ1172" s="33" t="inlineStr">
        <is>
          <t>OK</t>
        </is>
      </c>
    </row>
    <row r="1173">
      <c r="A1173" s="33" t="inlineStr">
        <is>
          <t>SM001169</t>
        </is>
      </c>
      <c r="B1173" s="33" t="inlineStr">
        <is>
          <t>SW015</t>
        </is>
      </c>
      <c r="C1173" s="33" t="inlineStr">
        <is>
          <t>Jack Alexy</t>
        </is>
      </c>
      <c r="D1173" s="33" t="inlineStr">
        <is>
          <t>SwimCloud</t>
        </is>
      </c>
      <c r="E1173" s="33" t="inlineStr">
        <is>
          <t>503872</t>
        </is>
      </c>
      <c r="F1173" s="33" t="inlineStr">
        <is>
          <t>64635460</t>
        </is>
      </c>
      <c r="G1173" s="51" t="n">
        <v>44677</v>
      </c>
      <c r="H1173" s="33" t="inlineStr">
        <is>
          <t>Phillips 66 International Team Trials</t>
        </is>
      </c>
      <c r="I1173" s="33" t="inlineStr">
        <is>
          <t>203553</t>
        </is>
      </c>
      <c r="J1173" s="33" t="inlineStr"/>
      <c r="K1173" s="33" t="inlineStr">
        <is>
          <t>PRE</t>
        </is>
      </c>
      <c r="L1173" s="35">
        <f>IF(K1173="FIN",3,IF(OR(K1173="SEM",K1173="SEMI"),2,IF(OR(K1173="PRE",K1173="HEAT"),1,IF(V1173="YES",4,2))))</f>
        <v/>
      </c>
      <c r="M1173" s="33" t="inlineStr">
        <is>
          <t>LCM</t>
        </is>
      </c>
      <c r="N1173" s="33" t="n">
        <v>100</v>
      </c>
      <c r="O1173" s="33" t="inlineStr">
        <is>
          <t>Free</t>
        </is>
      </c>
      <c r="P1173" s="33" t="inlineStr">
        <is>
          <t>100 Free</t>
        </is>
      </c>
      <c r="Q1173" s="33" t="inlineStr">
        <is>
          <t>LCM_100_FREE</t>
        </is>
      </c>
      <c r="R1173" s="36" t="n">
        <v>49.97</v>
      </c>
      <c r="S1173" s="35">
        <f>IF(R1173="","",IF(R1173&gt;=60,INT(R1173/60)&amp;":"&amp;TEXT(MOD(R1173,60),"00.00"),TEXT(R1173,"0.00")))</f>
        <v/>
      </c>
      <c r="T1173" s="52">
        <f>IFERROR((G1173-INDEX('01_Swimmers'!$E$5:$E$22,MATCH(B1173,'01_Swimmers'!$A$5:$A$22,0)))/'00_Control'!$B$10,"")</f>
        <v/>
      </c>
      <c r="U1173" s="35">
        <f>IF(T1173="","",INT(T1173))</f>
        <v/>
      </c>
      <c r="V1173" s="33" t="inlineStr">
        <is>
          <t>NO</t>
        </is>
      </c>
      <c r="W1173" s="33" t="inlineStr">
        <is>
          <t>YES</t>
        </is>
      </c>
      <c r="X1173" s="33" t="inlineStr">
        <is>
          <t>NO</t>
        </is>
      </c>
      <c r="Y1173" s="33" t="n">
        <v>7</v>
      </c>
      <c r="Z1173" s="33" t="n">
        <v>6</v>
      </c>
      <c r="AA1173" s="33" t="inlineStr">
        <is>
          <t>24</t>
        </is>
      </c>
      <c r="AB1173" s="33" t="inlineStr">
        <is>
          <t>https://www.swimcloud.com/results/203553/event/4/?id=64635460#time64635460</t>
        </is>
      </c>
      <c r="AC1173" s="33" t="inlineStr">
        <is>
          <t>SwimCloud API v6 2026-10-08</t>
        </is>
      </c>
      <c r="AD1173" s="33" t="inlineStr">
        <is>
          <t>Jack Alexy|2022-04-26|LCM|100|Free|49.97|Phillips 66 International Team Trials|PRE|False</t>
        </is>
      </c>
      <c r="AE1173" s="53">
        <f>G1173+L1173/1000+ROW()/1000000000</f>
        <v/>
      </c>
      <c r="AF1173" s="35">
        <f>IF(C1173&lt;&gt;"Grayson Coulter","",COUNTIFS($C$5:$C$2991,"Grayson Coulter",$Q$5:$Q$2991,Q1173,$AE$5:$AE$2991,"&lt;="&amp;AE1173,$R$5:$R$2991,"&lt;"&amp;R1173))</f>
        <v/>
      </c>
      <c r="AG1173" s="35">
        <f>IF(OR(C1173&lt;&gt;"Grayson Coulter",G1173&lt;'00_Control'!$B$7),"",--(AF1173&lt;5))</f>
        <v/>
      </c>
      <c r="AH1173" s="35">
        <f>IF(OR(C1173&lt;&gt;"Grayson Coulter",G1173&lt;'00_Control'!$B$7),"",--(AF1173&lt;10))</f>
        <v/>
      </c>
      <c r="AI1173" s="35">
        <f>IF(AND(C1173="Grayson Coulter",G1173&gt;='00_Control'!$B$7),"YES","NO")</f>
        <v/>
      </c>
      <c r="AJ1173" s="33" t="inlineStr">
        <is>
          <t>OK</t>
        </is>
      </c>
    </row>
    <row r="1174">
      <c r="A1174" s="33" t="inlineStr">
        <is>
          <t>SM001170</t>
        </is>
      </c>
      <c r="B1174" s="33" t="inlineStr">
        <is>
          <t>SW015</t>
        </is>
      </c>
      <c r="C1174" s="33" t="inlineStr">
        <is>
          <t>Jack Alexy</t>
        </is>
      </c>
      <c r="D1174" s="33" t="inlineStr">
        <is>
          <t>SwimCloud</t>
        </is>
      </c>
      <c r="E1174" s="33" t="inlineStr">
        <is>
          <t>503872</t>
        </is>
      </c>
      <c r="F1174" s="33" t="inlineStr">
        <is>
          <t>67399103</t>
        </is>
      </c>
      <c r="G1174" s="51" t="n">
        <v>44737</v>
      </c>
      <c r="H1174" s="33" t="inlineStr">
        <is>
          <t>Orinda Aquatics PC LC Senior O</t>
        </is>
      </c>
      <c r="I1174" s="33" t="inlineStr">
        <is>
          <t>233697</t>
        </is>
      </c>
      <c r="J1174" s="33" t="inlineStr"/>
      <c r="K1174" s="33" t="inlineStr">
        <is>
          <t>TIM</t>
        </is>
      </c>
      <c r="L1174" s="35">
        <f>IF(K1174="FIN",3,IF(OR(K1174="SEM",K1174="SEMI"),2,IF(OR(K1174="PRE",K1174="HEAT"),1,IF(V1174="YES",4,2))))</f>
        <v/>
      </c>
      <c r="M1174" s="33" t="inlineStr">
        <is>
          <t>LCM</t>
        </is>
      </c>
      <c r="N1174" s="33" t="n">
        <v>100</v>
      </c>
      <c r="O1174" s="33" t="inlineStr">
        <is>
          <t>Free</t>
        </is>
      </c>
      <c r="P1174" s="33" t="inlineStr">
        <is>
          <t>100 Free</t>
        </is>
      </c>
      <c r="Q1174" s="33" t="inlineStr">
        <is>
          <t>LCM_100_FREE</t>
        </is>
      </c>
      <c r="R1174" s="36" t="n">
        <v>51.02</v>
      </c>
      <c r="S1174" s="35">
        <f>IF(R1174="","",IF(R1174&gt;=60,INT(R1174/60)&amp;":"&amp;TEXT(MOD(R1174,60),"00.00"),TEXT(R1174,"0.00")))</f>
        <v/>
      </c>
      <c r="T1174" s="52">
        <f>IFERROR((G1174-INDEX('01_Swimmers'!$E$5:$E$22,MATCH(B1174,'01_Swimmers'!$A$5:$A$22,0)))/'00_Control'!$B$10,"")</f>
        <v/>
      </c>
      <c r="U1174" s="35">
        <f>IF(T1174="","",INT(T1174))</f>
        <v/>
      </c>
      <c r="V1174" s="33" t="inlineStr">
        <is>
          <t>NO</t>
        </is>
      </c>
      <c r="W1174" s="33" t="inlineStr">
        <is>
          <t>YES</t>
        </is>
      </c>
      <c r="X1174" s="33" t="inlineStr">
        <is>
          <t>NO</t>
        </is>
      </c>
      <c r="Y1174" s="33" t="n">
        <v>1</v>
      </c>
      <c r="Z1174" s="33" t="n">
        <v>4</v>
      </c>
      <c r="AA1174" s="33" t="inlineStr">
        <is>
          <t>2</t>
        </is>
      </c>
      <c r="AB1174" s="33" t="inlineStr">
        <is>
          <t>https://www.swimcloud.com/results/233697/event/10/?id=67399103#time67399103</t>
        </is>
      </c>
      <c r="AC1174" s="33" t="inlineStr">
        <is>
          <t>SwimCloud API v6 2026-10-08</t>
        </is>
      </c>
      <c r="AD1174" s="33" t="inlineStr">
        <is>
          <t>Jack Alexy|2022-06-25|LCM|100|Free|51.02|Orinda Aquatics PC LC Senior O|TIM|False</t>
        </is>
      </c>
      <c r="AE1174" s="53">
        <f>G1174+L1174/1000+ROW()/1000000000</f>
        <v/>
      </c>
      <c r="AF1174" s="35">
        <f>IF(C1174&lt;&gt;"Grayson Coulter","",COUNTIFS($C$5:$C$2991,"Grayson Coulter",$Q$5:$Q$2991,Q1174,$AE$5:$AE$2991,"&lt;="&amp;AE1174,$R$5:$R$2991,"&lt;"&amp;R1174))</f>
        <v/>
      </c>
      <c r="AG1174" s="35">
        <f>IF(OR(C1174&lt;&gt;"Grayson Coulter",G1174&lt;'00_Control'!$B$7),"",--(AF1174&lt;5))</f>
        <v/>
      </c>
      <c r="AH1174" s="35">
        <f>IF(OR(C1174&lt;&gt;"Grayson Coulter",G1174&lt;'00_Control'!$B$7),"",--(AF1174&lt;10))</f>
        <v/>
      </c>
      <c r="AI1174" s="35">
        <f>IF(AND(C1174="Grayson Coulter",G1174&gt;='00_Control'!$B$7),"YES","NO")</f>
        <v/>
      </c>
      <c r="AJ1174" s="33" t="inlineStr">
        <is>
          <t>OK</t>
        </is>
      </c>
    </row>
    <row r="1175">
      <c r="A1175" s="33" t="inlineStr">
        <is>
          <t>SM001171</t>
        </is>
      </c>
      <c r="B1175" s="33" t="inlineStr">
        <is>
          <t>SW015</t>
        </is>
      </c>
      <c r="C1175" s="33" t="inlineStr">
        <is>
          <t>Jack Alexy</t>
        </is>
      </c>
      <c r="D1175" s="33" t="inlineStr">
        <is>
          <t>SwimCloud</t>
        </is>
      </c>
      <c r="E1175" s="33" t="inlineStr">
        <is>
          <t>503872</t>
        </is>
      </c>
      <c r="F1175" s="33" t="inlineStr">
        <is>
          <t>71106988</t>
        </is>
      </c>
      <c r="G1175" s="51" t="n">
        <v>44768</v>
      </c>
      <c r="H1175" s="33" t="inlineStr">
        <is>
          <t>Phillips 66 National Championships</t>
        </is>
      </c>
      <c r="I1175" s="33" t="inlineStr">
        <is>
          <t>203554</t>
        </is>
      </c>
      <c r="J1175" s="33" t="inlineStr"/>
      <c r="K1175" s="33" t="inlineStr">
        <is>
          <t>PRE</t>
        </is>
      </c>
      <c r="L1175" s="35">
        <f>IF(K1175="FIN",3,IF(OR(K1175="SEM",K1175="SEMI"),2,IF(OR(K1175="PRE",K1175="HEAT"),1,IF(V1175="YES",4,2))))</f>
        <v/>
      </c>
      <c r="M1175" s="33" t="inlineStr">
        <is>
          <t>LCM</t>
        </is>
      </c>
      <c r="N1175" s="33" t="n">
        <v>100</v>
      </c>
      <c r="O1175" s="33" t="inlineStr">
        <is>
          <t>Free</t>
        </is>
      </c>
      <c r="P1175" s="33" t="inlineStr">
        <is>
          <t>100 Free</t>
        </is>
      </c>
      <c r="Q1175" s="33" t="inlineStr">
        <is>
          <t>LCM_100_FREE</t>
        </is>
      </c>
      <c r="R1175" s="36" t="n">
        <v>49.85</v>
      </c>
      <c r="S1175" s="35">
        <f>IF(R1175="","",IF(R1175&gt;=60,INT(R1175/60)&amp;":"&amp;TEXT(MOD(R1175,60),"00.00"),TEXT(R1175,"0.00")))</f>
        <v/>
      </c>
      <c r="T1175" s="52">
        <f>IFERROR((G1175-INDEX('01_Swimmers'!$E$5:$E$22,MATCH(B1175,'01_Swimmers'!$A$5:$A$22,0)))/'00_Control'!$B$10,"")</f>
        <v/>
      </c>
      <c r="U1175" s="35">
        <f>IF(T1175="","",INT(T1175))</f>
        <v/>
      </c>
      <c r="V1175" s="33" t="inlineStr">
        <is>
          <t>NO</t>
        </is>
      </c>
      <c r="W1175" s="33" t="inlineStr">
        <is>
          <t>YES</t>
        </is>
      </c>
      <c r="X1175" s="33" t="inlineStr">
        <is>
          <t>NO</t>
        </is>
      </c>
      <c r="Y1175" s="33" t="n">
        <v>9</v>
      </c>
      <c r="Z1175" s="33" t="n">
        <v>3</v>
      </c>
      <c r="AA1175" s="33" t="inlineStr">
        <is>
          <t>28</t>
        </is>
      </c>
      <c r="AB1175" s="33" t="inlineStr">
        <is>
          <t>https://www.swimcloud.com/results/203554/event/4/?id=71106988#time71106988</t>
        </is>
      </c>
      <c r="AC1175" s="33" t="inlineStr">
        <is>
          <t>SwimCloud API v6 2026-10-08</t>
        </is>
      </c>
      <c r="AD1175" s="33" t="inlineStr">
        <is>
          <t>Jack Alexy|2022-07-26|LCM|100|Free|49.85|Phillips 66 National Championships|PRE|False</t>
        </is>
      </c>
      <c r="AE1175" s="53">
        <f>G1175+L1175/1000+ROW()/1000000000</f>
        <v/>
      </c>
      <c r="AF1175" s="35">
        <f>IF(C1175&lt;&gt;"Grayson Coulter","",COUNTIFS($C$5:$C$2991,"Grayson Coulter",$Q$5:$Q$2991,Q1175,$AE$5:$AE$2991,"&lt;="&amp;AE1175,$R$5:$R$2991,"&lt;"&amp;R1175))</f>
        <v/>
      </c>
      <c r="AG1175" s="35">
        <f>IF(OR(C1175&lt;&gt;"Grayson Coulter",G1175&lt;'00_Control'!$B$7),"",--(AF1175&lt;5))</f>
        <v/>
      </c>
      <c r="AH1175" s="35">
        <f>IF(OR(C1175&lt;&gt;"Grayson Coulter",G1175&lt;'00_Control'!$B$7),"",--(AF1175&lt;10))</f>
        <v/>
      </c>
      <c r="AI1175" s="35">
        <f>IF(AND(C1175="Grayson Coulter",G1175&gt;='00_Control'!$B$7),"YES","NO")</f>
        <v/>
      </c>
      <c r="AJ1175" s="33" t="inlineStr">
        <is>
          <t>OK</t>
        </is>
      </c>
    </row>
    <row r="1176">
      <c r="A1176" s="33" t="inlineStr">
        <is>
          <t>SM001172</t>
        </is>
      </c>
      <c r="B1176" s="33" t="inlineStr">
        <is>
          <t>SW015</t>
        </is>
      </c>
      <c r="C1176" s="33" t="inlineStr">
        <is>
          <t>Jack Alexy</t>
        </is>
      </c>
      <c r="D1176" s="33" t="inlineStr">
        <is>
          <t>SwimCloud</t>
        </is>
      </c>
      <c r="E1176" s="33" t="inlineStr">
        <is>
          <t>503872</t>
        </is>
      </c>
      <c r="F1176" s="33" t="inlineStr">
        <is>
          <t>94272831</t>
        </is>
      </c>
      <c r="G1176" s="51" t="n">
        <v>44940</v>
      </c>
      <c r="H1176" s="33" t="inlineStr">
        <is>
          <t>TYR Pro Swim Series - Knoxville</t>
        </is>
      </c>
      <c r="I1176" s="33" t="inlineStr">
        <is>
          <t>234776</t>
        </is>
      </c>
      <c r="J1176" s="33" t="inlineStr"/>
      <c r="K1176" s="33" t="inlineStr">
        <is>
          <t>PRE</t>
        </is>
      </c>
      <c r="L1176" s="35">
        <f>IF(K1176="FIN",3,IF(OR(K1176="SEM",K1176="SEMI"),2,IF(OR(K1176="PRE",K1176="HEAT"),1,IF(V1176="YES",4,2))))</f>
        <v/>
      </c>
      <c r="M1176" s="33" t="inlineStr">
        <is>
          <t>LCM</t>
        </is>
      </c>
      <c r="N1176" s="33" t="n">
        <v>100</v>
      </c>
      <c r="O1176" s="33" t="inlineStr">
        <is>
          <t>Free</t>
        </is>
      </c>
      <c r="P1176" s="33" t="inlineStr">
        <is>
          <t>100 Free</t>
        </is>
      </c>
      <c r="Q1176" s="33" t="inlineStr">
        <is>
          <t>LCM_100_FREE</t>
        </is>
      </c>
      <c r="R1176" s="36" t="n">
        <v>49.14</v>
      </c>
      <c r="S1176" s="35">
        <f>IF(R1176="","",IF(R1176&gt;=60,INT(R1176/60)&amp;":"&amp;TEXT(MOD(R1176,60),"00.00"),TEXT(R1176,"0.00")))</f>
        <v/>
      </c>
      <c r="T1176" s="52">
        <f>IFERROR((G1176-INDEX('01_Swimmers'!$E$5:$E$22,MATCH(B1176,'01_Swimmers'!$A$5:$A$22,0)))/'00_Control'!$B$10,"")</f>
        <v/>
      </c>
      <c r="U1176" s="35">
        <f>IF(T1176="","",INT(T1176))</f>
        <v/>
      </c>
      <c r="V1176" s="33" t="inlineStr">
        <is>
          <t>NO</t>
        </is>
      </c>
      <c r="W1176" s="33" t="inlineStr">
        <is>
          <t>YES</t>
        </is>
      </c>
      <c r="X1176" s="33" t="inlineStr">
        <is>
          <t>NO</t>
        </is>
      </c>
      <c r="Y1176" s="33" t="n">
        <v>9</v>
      </c>
      <c r="Z1176" s="33" t="n">
        <v>3</v>
      </c>
      <c r="AA1176" s="33" t="inlineStr">
        <is>
          <t>2</t>
        </is>
      </c>
      <c r="AB1176" s="33" t="inlineStr">
        <is>
          <t>https://www.swimcloud.com/results/234776/event/34/?id=94272831#time94272831</t>
        </is>
      </c>
      <c r="AC1176" s="33" t="inlineStr">
        <is>
          <t>SwimCloud API v6 2026-10-08</t>
        </is>
      </c>
      <c r="AD1176" s="33" t="inlineStr">
        <is>
          <t>Jack Alexy|2023-01-14|LCM|100|Free|49.14|TYR Pro Swim Series - Knoxville|PRE|False</t>
        </is>
      </c>
      <c r="AE1176" s="53">
        <f>G1176+L1176/1000+ROW()/1000000000</f>
        <v/>
      </c>
      <c r="AF1176" s="35">
        <f>IF(C1176&lt;&gt;"Grayson Coulter","",COUNTIFS($C$5:$C$2991,"Grayson Coulter",$Q$5:$Q$2991,Q1176,$AE$5:$AE$2991,"&lt;="&amp;AE1176,$R$5:$R$2991,"&lt;"&amp;R1176))</f>
        <v/>
      </c>
      <c r="AG1176" s="35">
        <f>IF(OR(C1176&lt;&gt;"Grayson Coulter",G1176&lt;'00_Control'!$B$7),"",--(AF1176&lt;5))</f>
        <v/>
      </c>
      <c r="AH1176" s="35">
        <f>IF(OR(C1176&lt;&gt;"Grayson Coulter",G1176&lt;'00_Control'!$B$7),"",--(AF1176&lt;10))</f>
        <v/>
      </c>
      <c r="AI1176" s="35">
        <f>IF(AND(C1176="Grayson Coulter",G1176&gt;='00_Control'!$B$7),"YES","NO")</f>
        <v/>
      </c>
      <c r="AJ1176" s="33" t="inlineStr">
        <is>
          <t>OK</t>
        </is>
      </c>
    </row>
    <row r="1177">
      <c r="A1177" s="33" t="inlineStr">
        <is>
          <t>SM001173</t>
        </is>
      </c>
      <c r="B1177" s="33" t="inlineStr">
        <is>
          <t>SW015</t>
        </is>
      </c>
      <c r="C1177" s="33" t="inlineStr">
        <is>
          <t>Jack Alexy</t>
        </is>
      </c>
      <c r="D1177" s="33" t="inlineStr">
        <is>
          <t>SwimCloud</t>
        </is>
      </c>
      <c r="E1177" s="33" t="inlineStr">
        <is>
          <t>503872</t>
        </is>
      </c>
      <c r="F1177" s="33" t="inlineStr">
        <is>
          <t>100341193</t>
        </is>
      </c>
      <c r="G1177" s="51" t="n">
        <v>45031</v>
      </c>
      <c r="H1177" s="33" t="inlineStr">
        <is>
          <t>TYR Pro Swim Series - Westmont</t>
        </is>
      </c>
      <c r="I1177" s="33" t="inlineStr">
        <is>
          <t>253796</t>
        </is>
      </c>
      <c r="J1177" s="33" t="inlineStr"/>
      <c r="K1177" s="33" t="inlineStr">
        <is>
          <t>PRE</t>
        </is>
      </c>
      <c r="L1177" s="35">
        <f>IF(K1177="FIN",3,IF(OR(K1177="SEM",K1177="SEMI"),2,IF(OR(K1177="PRE",K1177="HEAT"),1,IF(V1177="YES",4,2))))</f>
        <v/>
      </c>
      <c r="M1177" s="33" t="inlineStr">
        <is>
          <t>LCM</t>
        </is>
      </c>
      <c r="N1177" s="33" t="n">
        <v>100</v>
      </c>
      <c r="O1177" s="33" t="inlineStr">
        <is>
          <t>Free</t>
        </is>
      </c>
      <c r="P1177" s="33" t="inlineStr">
        <is>
          <t>100 Free</t>
        </is>
      </c>
      <c r="Q1177" s="33" t="inlineStr">
        <is>
          <t>LCM_100_FREE</t>
        </is>
      </c>
      <c r="R1177" s="36" t="n">
        <v>48.97</v>
      </c>
      <c r="S1177" s="35">
        <f>IF(R1177="","",IF(R1177&gt;=60,INT(R1177/60)&amp;":"&amp;TEXT(MOD(R1177,60),"00.00"),TEXT(R1177,"0.00")))</f>
        <v/>
      </c>
      <c r="T1177" s="52">
        <f>IFERROR((G1177-INDEX('01_Swimmers'!$E$5:$E$22,MATCH(B1177,'01_Swimmers'!$A$5:$A$22,0)))/'00_Control'!$B$10,"")</f>
        <v/>
      </c>
      <c r="U1177" s="35">
        <f>IF(T1177="","",INT(T1177))</f>
        <v/>
      </c>
      <c r="V1177" s="33" t="inlineStr">
        <is>
          <t>NO</t>
        </is>
      </c>
      <c r="W1177" s="33" t="inlineStr">
        <is>
          <t>YES</t>
        </is>
      </c>
      <c r="X1177" s="33" t="inlineStr">
        <is>
          <t>NO</t>
        </is>
      </c>
      <c r="Y1177" s="33" t="n">
        <v>8</v>
      </c>
      <c r="Z1177" s="33" t="n">
        <v>7</v>
      </c>
      <c r="AA1177" s="33" t="inlineStr">
        <is>
          <t>3</t>
        </is>
      </c>
      <c r="AB1177" s="33" t="inlineStr">
        <is>
          <t>https://www.swimcloud.com/results/253796/event/34/?id=100341193#time100341193</t>
        </is>
      </c>
      <c r="AC1177" s="33" t="inlineStr">
        <is>
          <t>SwimCloud API v6 2026-10-08</t>
        </is>
      </c>
      <c r="AD1177" s="33" t="inlineStr">
        <is>
          <t>Jack Alexy|2023-04-15|LCM|100|Free|48.97|TYR Pro Swim Series - Westmont|PRE|False</t>
        </is>
      </c>
      <c r="AE1177" s="53">
        <f>G1177+L1177/1000+ROW()/1000000000</f>
        <v/>
      </c>
      <c r="AF1177" s="35">
        <f>IF(C1177&lt;&gt;"Grayson Coulter","",COUNTIFS($C$5:$C$2991,"Grayson Coulter",$Q$5:$Q$2991,Q1177,$AE$5:$AE$2991,"&lt;="&amp;AE1177,$R$5:$R$2991,"&lt;"&amp;R1177))</f>
        <v/>
      </c>
      <c r="AG1177" s="35">
        <f>IF(OR(C1177&lt;&gt;"Grayson Coulter",G1177&lt;'00_Control'!$B$7),"",--(AF1177&lt;5))</f>
        <v/>
      </c>
      <c r="AH1177" s="35">
        <f>IF(OR(C1177&lt;&gt;"Grayson Coulter",G1177&lt;'00_Control'!$B$7),"",--(AF1177&lt;10))</f>
        <v/>
      </c>
      <c r="AI1177" s="35">
        <f>IF(AND(C1177="Grayson Coulter",G1177&gt;='00_Control'!$B$7),"YES","NO")</f>
        <v/>
      </c>
      <c r="AJ1177" s="33" t="inlineStr">
        <is>
          <t>OK</t>
        </is>
      </c>
    </row>
    <row r="1178">
      <c r="A1178" s="33" t="inlineStr">
        <is>
          <t>SM001174</t>
        </is>
      </c>
      <c r="B1178" s="33" t="inlineStr">
        <is>
          <t>SW015</t>
        </is>
      </c>
      <c r="C1178" s="33" t="inlineStr">
        <is>
          <t>Jack Alexy</t>
        </is>
      </c>
      <c r="D1178" s="33" t="inlineStr">
        <is>
          <t>SwimCloud</t>
        </is>
      </c>
      <c r="E1178" s="33" t="inlineStr">
        <is>
          <t>503872</t>
        </is>
      </c>
      <c r="F1178" s="33" t="inlineStr">
        <is>
          <t>100341192</t>
        </is>
      </c>
      <c r="G1178" s="51" t="n">
        <v>45031</v>
      </c>
      <c r="H1178" s="33" t="inlineStr">
        <is>
          <t>TYR Pro Swim Series - Westmont</t>
        </is>
      </c>
      <c r="I1178" s="33" t="inlineStr">
        <is>
          <t>253796</t>
        </is>
      </c>
      <c r="J1178" s="33" t="inlineStr"/>
      <c r="K1178" s="33" t="inlineStr">
        <is>
          <t>FIN</t>
        </is>
      </c>
      <c r="L1178" s="35">
        <f>IF(K1178="FIN",3,IF(OR(K1178="SEM",K1178="SEMI"),2,IF(OR(K1178="PRE",K1178="HEAT"),1,IF(V1178="YES",4,2))))</f>
        <v/>
      </c>
      <c r="M1178" s="33" t="inlineStr">
        <is>
          <t>LCM</t>
        </is>
      </c>
      <c r="N1178" s="33" t="n">
        <v>100</v>
      </c>
      <c r="O1178" s="33" t="inlineStr">
        <is>
          <t>Free</t>
        </is>
      </c>
      <c r="P1178" s="33" t="inlineStr">
        <is>
          <t>100 Free</t>
        </is>
      </c>
      <c r="Q1178" s="33" t="inlineStr">
        <is>
          <t>LCM_100_FREE</t>
        </is>
      </c>
      <c r="R1178" s="36" t="n">
        <v>48.85</v>
      </c>
      <c r="S1178" s="35">
        <f>IF(R1178="","",IF(R1178&gt;=60,INT(R1178/60)&amp;":"&amp;TEXT(MOD(R1178,60),"00.00"),TEXT(R1178,"0.00")))</f>
        <v/>
      </c>
      <c r="T1178" s="52">
        <f>IFERROR((G1178-INDEX('01_Swimmers'!$E$5:$E$22,MATCH(B1178,'01_Swimmers'!$A$5:$A$22,0)))/'00_Control'!$B$10,"")</f>
        <v/>
      </c>
      <c r="U1178" s="35">
        <f>IF(T1178="","",INT(T1178))</f>
        <v/>
      </c>
      <c r="V1178" s="33" t="inlineStr">
        <is>
          <t>NO</t>
        </is>
      </c>
      <c r="W1178" s="33" t="inlineStr">
        <is>
          <t>YES</t>
        </is>
      </c>
      <c r="X1178" s="33" t="inlineStr">
        <is>
          <t>NO</t>
        </is>
      </c>
      <c r="Y1178" s="33" t="n">
        <v>1</v>
      </c>
      <c r="Z1178" s="33" t="n">
        <v>3</v>
      </c>
      <c r="AA1178" s="33" t="inlineStr">
        <is>
          <t>2</t>
        </is>
      </c>
      <c r="AB1178" s="33" t="inlineStr">
        <is>
          <t>https://www.swimcloud.com/results/253796/event/34/?id=100341192#time100341192</t>
        </is>
      </c>
      <c r="AC1178" s="33" t="inlineStr">
        <is>
          <t>SwimCloud API v6 2026-10-08</t>
        </is>
      </c>
      <c r="AD1178" s="33" t="inlineStr">
        <is>
          <t>Jack Alexy|2023-04-15|LCM|100|Free|48.85|TYR Pro Swim Series - Westmont|FIN|False</t>
        </is>
      </c>
      <c r="AE1178" s="53">
        <f>G1178+L1178/1000+ROW()/1000000000</f>
        <v/>
      </c>
      <c r="AF1178" s="35">
        <f>IF(C1178&lt;&gt;"Grayson Coulter","",COUNTIFS($C$5:$C$2991,"Grayson Coulter",$Q$5:$Q$2991,Q1178,$AE$5:$AE$2991,"&lt;="&amp;AE1178,$R$5:$R$2991,"&lt;"&amp;R1178))</f>
        <v/>
      </c>
      <c r="AG1178" s="35">
        <f>IF(OR(C1178&lt;&gt;"Grayson Coulter",G1178&lt;'00_Control'!$B$7),"",--(AF1178&lt;5))</f>
        <v/>
      </c>
      <c r="AH1178" s="35">
        <f>IF(OR(C1178&lt;&gt;"Grayson Coulter",G1178&lt;'00_Control'!$B$7),"",--(AF1178&lt;10))</f>
        <v/>
      </c>
      <c r="AI1178" s="35">
        <f>IF(AND(C1178="Grayson Coulter",G1178&gt;='00_Control'!$B$7),"YES","NO")</f>
        <v/>
      </c>
      <c r="AJ1178" s="33" t="inlineStr">
        <is>
          <t>OK</t>
        </is>
      </c>
    </row>
    <row r="1179">
      <c r="A1179" s="33" t="inlineStr">
        <is>
          <t>SM001175</t>
        </is>
      </c>
      <c r="B1179" s="33" t="inlineStr">
        <is>
          <t>SW015</t>
        </is>
      </c>
      <c r="C1179" s="33" t="inlineStr">
        <is>
          <t>Jack Alexy</t>
        </is>
      </c>
      <c r="D1179" s="33" t="inlineStr">
        <is>
          <t>SwimCloud</t>
        </is>
      </c>
      <c r="E1179" s="33" t="inlineStr">
        <is>
          <t>503872</t>
        </is>
      </c>
      <c r="F1179" s="33" t="inlineStr">
        <is>
          <t>101946889</t>
        </is>
      </c>
      <c r="G1179" s="51" t="n">
        <v>45064</v>
      </c>
      <c r="H1179" s="33" t="inlineStr">
        <is>
          <t>TYR Pro Swim Series - Mission Viejo</t>
        </is>
      </c>
      <c r="I1179" s="33" t="inlineStr">
        <is>
          <t>234778</t>
        </is>
      </c>
      <c r="J1179" s="33" t="inlineStr"/>
      <c r="K1179" s="33" t="inlineStr">
        <is>
          <t>PRE</t>
        </is>
      </c>
      <c r="L1179" s="35">
        <f>IF(K1179="FIN",3,IF(OR(K1179="SEM",K1179="SEMI"),2,IF(OR(K1179="PRE",K1179="HEAT"),1,IF(V1179="YES",4,2))))</f>
        <v/>
      </c>
      <c r="M1179" s="33" t="inlineStr">
        <is>
          <t>LCM</t>
        </is>
      </c>
      <c r="N1179" s="33" t="n">
        <v>100</v>
      </c>
      <c r="O1179" s="33" t="inlineStr">
        <is>
          <t>Free</t>
        </is>
      </c>
      <c r="P1179" s="33" t="inlineStr">
        <is>
          <t>100 Free</t>
        </is>
      </c>
      <c r="Q1179" s="33" t="inlineStr">
        <is>
          <t>LCM_100_FREE</t>
        </is>
      </c>
      <c r="R1179" s="36" t="n">
        <v>49.38</v>
      </c>
      <c r="S1179" s="35">
        <f>IF(R1179="","",IF(R1179&gt;=60,INT(R1179/60)&amp;":"&amp;TEXT(MOD(R1179,60),"00.00"),TEXT(R1179,"0.00")))</f>
        <v/>
      </c>
      <c r="T1179" s="52">
        <f>IFERROR((G1179-INDEX('01_Swimmers'!$E$5:$E$22,MATCH(B1179,'01_Swimmers'!$A$5:$A$22,0)))/'00_Control'!$B$10,"")</f>
        <v/>
      </c>
      <c r="U1179" s="35">
        <f>IF(T1179="","",INT(T1179))</f>
        <v/>
      </c>
      <c r="V1179" s="33" t="inlineStr">
        <is>
          <t>NO</t>
        </is>
      </c>
      <c r="W1179" s="33" t="inlineStr">
        <is>
          <t>YES</t>
        </is>
      </c>
      <c r="X1179" s="33" t="inlineStr">
        <is>
          <t>NO</t>
        </is>
      </c>
      <c r="Y1179" s="33" t="n">
        <v>11</v>
      </c>
      <c r="Z1179" s="33" t="n">
        <v>3</v>
      </c>
      <c r="AA1179" s="33" t="inlineStr">
        <is>
          <t>4</t>
        </is>
      </c>
      <c r="AB1179" s="33" t="inlineStr">
        <is>
          <t>https://www.swimcloud.com/results/234778/event/4/?id=101946889#time101946889</t>
        </is>
      </c>
      <c r="AC1179" s="33" t="inlineStr">
        <is>
          <t>SwimCloud API v6 2026-10-08</t>
        </is>
      </c>
      <c r="AD1179" s="33" t="inlineStr">
        <is>
          <t>Jack Alexy|2023-05-18|LCM|100|Free|49.38|TYR Pro Swim Series - Mission Viejo|PRE|False</t>
        </is>
      </c>
      <c r="AE1179" s="53">
        <f>G1179+L1179/1000+ROW()/1000000000</f>
        <v/>
      </c>
      <c r="AF1179" s="35">
        <f>IF(C1179&lt;&gt;"Grayson Coulter","",COUNTIFS($C$5:$C$2991,"Grayson Coulter",$Q$5:$Q$2991,Q1179,$AE$5:$AE$2991,"&lt;="&amp;AE1179,$R$5:$R$2991,"&lt;"&amp;R1179))</f>
        <v/>
      </c>
      <c r="AG1179" s="35">
        <f>IF(OR(C1179&lt;&gt;"Grayson Coulter",G1179&lt;'00_Control'!$B$7),"",--(AF1179&lt;5))</f>
        <v/>
      </c>
      <c r="AH1179" s="35">
        <f>IF(OR(C1179&lt;&gt;"Grayson Coulter",G1179&lt;'00_Control'!$B$7),"",--(AF1179&lt;10))</f>
        <v/>
      </c>
      <c r="AI1179" s="35">
        <f>IF(AND(C1179="Grayson Coulter",G1179&gt;='00_Control'!$B$7),"YES","NO")</f>
        <v/>
      </c>
      <c r="AJ1179" s="33" t="inlineStr">
        <is>
          <t>OK</t>
        </is>
      </c>
    </row>
    <row r="1180">
      <c r="A1180" s="33" t="inlineStr">
        <is>
          <t>SM001176</t>
        </is>
      </c>
      <c r="B1180" s="33" t="inlineStr">
        <is>
          <t>SW015</t>
        </is>
      </c>
      <c r="C1180" s="33" t="inlineStr">
        <is>
          <t>Jack Alexy</t>
        </is>
      </c>
      <c r="D1180" s="33" t="inlineStr">
        <is>
          <t>SwimCloud</t>
        </is>
      </c>
      <c r="E1180" s="33" t="inlineStr">
        <is>
          <t>503872</t>
        </is>
      </c>
      <c r="F1180" s="33" t="inlineStr">
        <is>
          <t>101946890</t>
        </is>
      </c>
      <c r="G1180" s="51" t="n">
        <v>45064</v>
      </c>
      <c r="H1180" s="33" t="inlineStr">
        <is>
          <t>TYR Pro Swim Series - Mission Viejo</t>
        </is>
      </c>
      <c r="I1180" s="33" t="inlineStr">
        <is>
          <t>234778</t>
        </is>
      </c>
      <c r="J1180" s="33" t="inlineStr"/>
      <c r="K1180" s="33" t="inlineStr">
        <is>
          <t>FIN</t>
        </is>
      </c>
      <c r="L1180" s="35">
        <f>IF(K1180="FIN",3,IF(OR(K1180="SEM",K1180="SEMI"),2,IF(OR(K1180="PRE",K1180="HEAT"),1,IF(V1180="YES",4,2))))</f>
        <v/>
      </c>
      <c r="M1180" s="33" t="inlineStr">
        <is>
          <t>LCM</t>
        </is>
      </c>
      <c r="N1180" s="33" t="n">
        <v>100</v>
      </c>
      <c r="O1180" s="33" t="inlineStr">
        <is>
          <t>Free</t>
        </is>
      </c>
      <c r="P1180" s="33" t="inlineStr">
        <is>
          <t>100 Free</t>
        </is>
      </c>
      <c r="Q1180" s="33" t="inlineStr">
        <is>
          <t>LCM_100_FREE</t>
        </is>
      </c>
      <c r="R1180" s="36" t="n">
        <v>49.14</v>
      </c>
      <c r="S1180" s="35">
        <f>IF(R1180="","",IF(R1180&gt;=60,INT(R1180/60)&amp;":"&amp;TEXT(MOD(R1180,60),"00.00"),TEXT(R1180,"0.00")))</f>
        <v/>
      </c>
      <c r="T1180" s="52">
        <f>IFERROR((G1180-INDEX('01_Swimmers'!$E$5:$E$22,MATCH(B1180,'01_Swimmers'!$A$5:$A$22,0)))/'00_Control'!$B$10,"")</f>
        <v/>
      </c>
      <c r="U1180" s="35">
        <f>IF(T1180="","",INT(T1180))</f>
        <v/>
      </c>
      <c r="V1180" s="33" t="inlineStr">
        <is>
          <t>NO</t>
        </is>
      </c>
      <c r="W1180" s="33" t="inlineStr">
        <is>
          <t>YES</t>
        </is>
      </c>
      <c r="X1180" s="33" t="inlineStr">
        <is>
          <t>NO</t>
        </is>
      </c>
      <c r="Y1180" s="33" t="n">
        <v>2</v>
      </c>
      <c r="Z1180" s="33" t="n">
        <v>6</v>
      </c>
      <c r="AA1180" s="33" t="inlineStr">
        <is>
          <t>4</t>
        </is>
      </c>
      <c r="AB1180" s="33" t="inlineStr">
        <is>
          <t>https://www.swimcloud.com/results/234778/event/4/?id=101946890#time101946890</t>
        </is>
      </c>
      <c r="AC1180" s="33" t="inlineStr">
        <is>
          <t>SwimCloud API v6 2026-10-08</t>
        </is>
      </c>
      <c r="AD1180" s="33" t="inlineStr">
        <is>
          <t>Jack Alexy|2023-05-18|LCM|100|Free|49.14|TYR Pro Swim Series - Mission Viejo|FIN|False</t>
        </is>
      </c>
      <c r="AE1180" s="53">
        <f>G1180+L1180/1000+ROW()/1000000000</f>
        <v/>
      </c>
      <c r="AF1180" s="35">
        <f>IF(C1180&lt;&gt;"Grayson Coulter","",COUNTIFS($C$5:$C$2991,"Grayson Coulter",$Q$5:$Q$2991,Q1180,$AE$5:$AE$2991,"&lt;="&amp;AE1180,$R$5:$R$2991,"&lt;"&amp;R1180))</f>
        <v/>
      </c>
      <c r="AG1180" s="35">
        <f>IF(OR(C1180&lt;&gt;"Grayson Coulter",G1180&lt;'00_Control'!$B$7),"",--(AF1180&lt;5))</f>
        <v/>
      </c>
      <c r="AH1180" s="35">
        <f>IF(OR(C1180&lt;&gt;"Grayson Coulter",G1180&lt;'00_Control'!$B$7),"",--(AF1180&lt;10))</f>
        <v/>
      </c>
      <c r="AI1180" s="35">
        <f>IF(AND(C1180="Grayson Coulter",G1180&gt;='00_Control'!$B$7),"YES","NO")</f>
        <v/>
      </c>
      <c r="AJ1180" s="33" t="inlineStr">
        <is>
          <t>OK</t>
        </is>
      </c>
    </row>
    <row r="1181">
      <c r="A1181" s="33" t="inlineStr">
        <is>
          <t>SM001177</t>
        </is>
      </c>
      <c r="B1181" s="33" t="inlineStr">
        <is>
          <t>SW015</t>
        </is>
      </c>
      <c r="C1181" s="33" t="inlineStr">
        <is>
          <t>Jack Alexy</t>
        </is>
      </c>
      <c r="D1181" s="33" t="inlineStr">
        <is>
          <t>SwimCloud</t>
        </is>
      </c>
      <c r="E1181" s="33" t="inlineStr">
        <is>
          <t>503872</t>
        </is>
      </c>
      <c r="F1181" s="33" t="inlineStr">
        <is>
          <t>103344200</t>
        </is>
      </c>
      <c r="G1181" s="51" t="n">
        <v>45104</v>
      </c>
      <c r="H1181" s="33" t="inlineStr">
        <is>
          <t>Phillips 66 USA National Championships</t>
        </is>
      </c>
      <c r="I1181" s="33" t="inlineStr">
        <is>
          <t>234779</t>
        </is>
      </c>
      <c r="J1181" s="33" t="inlineStr"/>
      <c r="K1181" s="33" t="inlineStr">
        <is>
          <t>PRE</t>
        </is>
      </c>
      <c r="L1181" s="35">
        <f>IF(K1181="FIN",3,IF(OR(K1181="SEM",K1181="SEMI"),2,IF(OR(K1181="PRE",K1181="HEAT"),1,IF(V1181="YES",4,2))))</f>
        <v/>
      </c>
      <c r="M1181" s="33" t="inlineStr">
        <is>
          <t>LCM</t>
        </is>
      </c>
      <c r="N1181" s="33" t="n">
        <v>100</v>
      </c>
      <c r="O1181" s="33" t="inlineStr">
        <is>
          <t>Free</t>
        </is>
      </c>
      <c r="P1181" s="33" t="inlineStr">
        <is>
          <t>100 Free</t>
        </is>
      </c>
      <c r="Q1181" s="33" t="inlineStr">
        <is>
          <t>LCM_100_FREE</t>
        </is>
      </c>
      <c r="R1181" s="36" t="n">
        <v>47.75</v>
      </c>
      <c r="S1181" s="35">
        <f>IF(R1181="","",IF(R1181&gt;=60,INT(R1181/60)&amp;":"&amp;TEXT(MOD(R1181,60),"00.00"),TEXT(R1181,"0.00")))</f>
        <v/>
      </c>
      <c r="T1181" s="52">
        <f>IFERROR((G1181-INDEX('01_Swimmers'!$E$5:$E$22,MATCH(B1181,'01_Swimmers'!$A$5:$A$22,0)))/'00_Control'!$B$10,"")</f>
        <v/>
      </c>
      <c r="U1181" s="35">
        <f>IF(T1181="","",INT(T1181))</f>
        <v/>
      </c>
      <c r="V1181" s="33" t="inlineStr">
        <is>
          <t>NO</t>
        </is>
      </c>
      <c r="W1181" s="33" t="inlineStr">
        <is>
          <t>YES</t>
        </is>
      </c>
      <c r="X1181" s="33" t="inlineStr">
        <is>
          <t>NO</t>
        </is>
      </c>
      <c r="Y1181" s="33" t="n">
        <v>7</v>
      </c>
      <c r="Z1181" s="33" t="n">
        <v>2</v>
      </c>
      <c r="AA1181" s="33" t="inlineStr">
        <is>
          <t>2</t>
        </is>
      </c>
      <c r="AB1181" s="33" t="inlineStr">
        <is>
          <t>https://www.swimcloud.com/results/234779/event/4/?id=103344200#time103344200</t>
        </is>
      </c>
      <c r="AC1181" s="33" t="inlineStr">
        <is>
          <t>SwimCloud API v6 2026-10-08</t>
        </is>
      </c>
      <c r="AD1181" s="33" t="inlineStr">
        <is>
          <t>Jack Alexy|2023-06-27|LCM|100|Free|47.75|Phillips 66 USA National Championships|PRE|False</t>
        </is>
      </c>
      <c r="AE1181" s="53">
        <f>G1181+L1181/1000+ROW()/1000000000</f>
        <v/>
      </c>
      <c r="AF1181" s="35">
        <f>IF(C1181&lt;&gt;"Grayson Coulter","",COUNTIFS($C$5:$C$2991,"Grayson Coulter",$Q$5:$Q$2991,Q1181,$AE$5:$AE$2991,"&lt;="&amp;AE1181,$R$5:$R$2991,"&lt;"&amp;R1181))</f>
        <v/>
      </c>
      <c r="AG1181" s="35">
        <f>IF(OR(C1181&lt;&gt;"Grayson Coulter",G1181&lt;'00_Control'!$B$7),"",--(AF1181&lt;5))</f>
        <v/>
      </c>
      <c r="AH1181" s="35">
        <f>IF(OR(C1181&lt;&gt;"Grayson Coulter",G1181&lt;'00_Control'!$B$7),"",--(AF1181&lt;10))</f>
        <v/>
      </c>
      <c r="AI1181" s="35">
        <f>IF(AND(C1181="Grayson Coulter",G1181&gt;='00_Control'!$B$7),"YES","NO")</f>
        <v/>
      </c>
      <c r="AJ1181" s="33" t="inlineStr">
        <is>
          <t>OK</t>
        </is>
      </c>
    </row>
    <row r="1182">
      <c r="A1182" s="33" t="inlineStr">
        <is>
          <t>SM001178</t>
        </is>
      </c>
      <c r="B1182" s="33" t="inlineStr">
        <is>
          <t>SW015</t>
        </is>
      </c>
      <c r="C1182" s="33" t="inlineStr">
        <is>
          <t>Jack Alexy</t>
        </is>
      </c>
      <c r="D1182" s="33" t="inlineStr">
        <is>
          <t>SwimCloud</t>
        </is>
      </c>
      <c r="E1182" s="33" t="inlineStr">
        <is>
          <t>503872</t>
        </is>
      </c>
      <c r="F1182" s="33" t="inlineStr">
        <is>
          <t>103344199</t>
        </is>
      </c>
      <c r="G1182" s="51" t="n">
        <v>45104</v>
      </c>
      <c r="H1182" s="33" t="inlineStr">
        <is>
          <t>Phillips 66 USA National Championships</t>
        </is>
      </c>
      <c r="I1182" s="33" t="inlineStr">
        <is>
          <t>234779</t>
        </is>
      </c>
      <c r="J1182" s="33" t="inlineStr"/>
      <c r="K1182" s="33" t="inlineStr">
        <is>
          <t>FIN</t>
        </is>
      </c>
      <c r="L1182" s="35">
        <f>IF(K1182="FIN",3,IF(OR(K1182="SEM",K1182="SEMI"),2,IF(OR(K1182="PRE",K1182="HEAT"),1,IF(V1182="YES",4,2))))</f>
        <v/>
      </c>
      <c r="M1182" s="33" t="inlineStr">
        <is>
          <t>LCM</t>
        </is>
      </c>
      <c r="N1182" s="33" t="n">
        <v>100</v>
      </c>
      <c r="O1182" s="33" t="inlineStr">
        <is>
          <t>Free</t>
        </is>
      </c>
      <c r="P1182" s="33" t="inlineStr">
        <is>
          <t>100 Free</t>
        </is>
      </c>
      <c r="Q1182" s="33" t="inlineStr">
        <is>
          <t>LCM_100_FREE</t>
        </is>
      </c>
      <c r="R1182" s="36" t="n">
        <v>47.93</v>
      </c>
      <c r="S1182" s="35">
        <f>IF(R1182="","",IF(R1182&gt;=60,INT(R1182/60)&amp;":"&amp;TEXT(MOD(R1182,60),"00.00"),TEXT(R1182,"0.00")))</f>
        <v/>
      </c>
      <c r="T1182" s="52">
        <f>IFERROR((G1182-INDEX('01_Swimmers'!$E$5:$E$22,MATCH(B1182,'01_Swimmers'!$A$5:$A$22,0)))/'00_Control'!$B$10,"")</f>
        <v/>
      </c>
      <c r="U1182" s="35">
        <f>IF(T1182="","",INT(T1182))</f>
        <v/>
      </c>
      <c r="V1182" s="33" t="inlineStr">
        <is>
          <t>NO</t>
        </is>
      </c>
      <c r="W1182" s="33" t="inlineStr">
        <is>
          <t>YES</t>
        </is>
      </c>
      <c r="X1182" s="33" t="inlineStr">
        <is>
          <t>NO</t>
        </is>
      </c>
      <c r="Y1182" s="33" t="n">
        <v>1</v>
      </c>
      <c r="Z1182" s="33" t="n">
        <v>5</v>
      </c>
      <c r="AA1182" s="33" t="inlineStr">
        <is>
          <t>1</t>
        </is>
      </c>
      <c r="AB1182" s="33" t="inlineStr">
        <is>
          <t>https://www.swimcloud.com/results/234779/event/4/?id=103344199#time103344199</t>
        </is>
      </c>
      <c r="AC1182" s="33" t="inlineStr">
        <is>
          <t>SwimCloud API v6 2026-10-08</t>
        </is>
      </c>
      <c r="AD1182" s="33" t="inlineStr">
        <is>
          <t>Jack Alexy|2023-06-27|LCM|100|Free|47.93|Phillips 66 USA National Championships|FIN|False</t>
        </is>
      </c>
      <c r="AE1182" s="53">
        <f>G1182+L1182/1000+ROW()/1000000000</f>
        <v/>
      </c>
      <c r="AF1182" s="35">
        <f>IF(C1182&lt;&gt;"Grayson Coulter","",COUNTIFS($C$5:$C$2991,"Grayson Coulter",$Q$5:$Q$2991,Q1182,$AE$5:$AE$2991,"&lt;="&amp;AE1182,$R$5:$R$2991,"&lt;"&amp;R1182))</f>
        <v/>
      </c>
      <c r="AG1182" s="35">
        <f>IF(OR(C1182&lt;&gt;"Grayson Coulter",G1182&lt;'00_Control'!$B$7),"",--(AF1182&lt;5))</f>
        <v/>
      </c>
      <c r="AH1182" s="35">
        <f>IF(OR(C1182&lt;&gt;"Grayson Coulter",G1182&lt;'00_Control'!$B$7),"",--(AF1182&lt;10))</f>
        <v/>
      </c>
      <c r="AI1182" s="35">
        <f>IF(AND(C1182="Grayson Coulter",G1182&gt;='00_Control'!$B$7),"YES","NO")</f>
        <v/>
      </c>
      <c r="AJ1182" s="33" t="inlineStr">
        <is>
          <t>OK</t>
        </is>
      </c>
    </row>
    <row r="1183">
      <c r="A1183" s="33" t="inlineStr">
        <is>
          <t>SM001179</t>
        </is>
      </c>
      <c r="B1183" s="33" t="inlineStr">
        <is>
          <t>SW015</t>
        </is>
      </c>
      <c r="C1183" s="33" t="inlineStr">
        <is>
          <t>Jack Alexy</t>
        </is>
      </c>
      <c r="D1183" s="33" t="inlineStr">
        <is>
          <t>SwimCloud</t>
        </is>
      </c>
      <c r="E1183" s="33" t="inlineStr">
        <is>
          <t>503872</t>
        </is>
      </c>
      <c r="F1183" s="33" t="inlineStr">
        <is>
          <t>104773039</t>
        </is>
      </c>
      <c r="G1183" s="51" t="n">
        <v>45133</v>
      </c>
      <c r="H1183" s="33" t="inlineStr">
        <is>
          <t>20th World Aquatics Championships</t>
        </is>
      </c>
      <c r="I1183" s="33" t="inlineStr">
        <is>
          <t>273652</t>
        </is>
      </c>
      <c r="J1183" s="33" t="inlineStr"/>
      <c r="K1183" s="33" t="inlineStr">
        <is>
          <t>PRE</t>
        </is>
      </c>
      <c r="L1183" s="35">
        <f>IF(K1183="FIN",3,IF(OR(K1183="SEM",K1183="SEMI"),2,IF(OR(K1183="PRE",K1183="HEAT"),1,IF(V1183="YES",4,2))))</f>
        <v/>
      </c>
      <c r="M1183" s="33" t="inlineStr">
        <is>
          <t>LCM</t>
        </is>
      </c>
      <c r="N1183" s="33" t="n">
        <v>100</v>
      </c>
      <c r="O1183" s="33" t="inlineStr">
        <is>
          <t>Free</t>
        </is>
      </c>
      <c r="P1183" s="33" t="inlineStr">
        <is>
          <t>100 Free</t>
        </is>
      </c>
      <c r="Q1183" s="33" t="inlineStr">
        <is>
          <t>LCM_100_FREE</t>
        </is>
      </c>
      <c r="R1183" s="36" t="n">
        <v>47.68</v>
      </c>
      <c r="S1183" s="35">
        <f>IF(R1183="","",IF(R1183&gt;=60,INT(R1183/60)&amp;":"&amp;TEXT(MOD(R1183,60),"00.00"),TEXT(R1183,"0.00")))</f>
        <v/>
      </c>
      <c r="T1183" s="52">
        <f>IFERROR((G1183-INDEX('01_Swimmers'!$E$5:$E$22,MATCH(B1183,'01_Swimmers'!$A$5:$A$22,0)))/'00_Control'!$B$10,"")</f>
        <v/>
      </c>
      <c r="U1183" s="35">
        <f>IF(T1183="","",INT(T1183))</f>
        <v/>
      </c>
      <c r="V1183" s="33" t="inlineStr">
        <is>
          <t>NO</t>
        </is>
      </c>
      <c r="W1183" s="33" t="inlineStr">
        <is>
          <t>YES</t>
        </is>
      </c>
      <c r="X1183" s="33" t="inlineStr">
        <is>
          <t>NO</t>
        </is>
      </c>
      <c r="Y1183" s="33" t="n">
        <v>12</v>
      </c>
      <c r="Z1183" s="33" t="n">
        <v>6</v>
      </c>
      <c r="AA1183" s="33" t="inlineStr">
        <is>
          <t>2</t>
        </is>
      </c>
      <c r="AB1183" s="33" t="inlineStr">
        <is>
          <t>https://www.swimcloud.com/results/273652/event/20/?id=104773039#time104773039</t>
        </is>
      </c>
      <c r="AC1183" s="33" t="inlineStr">
        <is>
          <t>SwimCloud API v6 2026-10-08</t>
        </is>
      </c>
      <c r="AD1183" s="33" t="inlineStr">
        <is>
          <t>Jack Alexy|2023-07-26|LCM|100|Free|47.68|20th World Aquatics Championships|PRE|False</t>
        </is>
      </c>
      <c r="AE1183" s="53">
        <f>G1183+L1183/1000+ROW()/1000000000</f>
        <v/>
      </c>
      <c r="AF1183" s="35">
        <f>IF(C1183&lt;&gt;"Grayson Coulter","",COUNTIFS($C$5:$C$2991,"Grayson Coulter",$Q$5:$Q$2991,Q1183,$AE$5:$AE$2991,"&lt;="&amp;AE1183,$R$5:$R$2991,"&lt;"&amp;R1183))</f>
        <v/>
      </c>
      <c r="AG1183" s="35">
        <f>IF(OR(C1183&lt;&gt;"Grayson Coulter",G1183&lt;'00_Control'!$B$7),"",--(AF1183&lt;5))</f>
        <v/>
      </c>
      <c r="AH1183" s="35">
        <f>IF(OR(C1183&lt;&gt;"Grayson Coulter",G1183&lt;'00_Control'!$B$7),"",--(AF1183&lt;10))</f>
        <v/>
      </c>
      <c r="AI1183" s="35">
        <f>IF(AND(C1183="Grayson Coulter",G1183&gt;='00_Control'!$B$7),"YES","NO")</f>
        <v/>
      </c>
      <c r="AJ1183" s="33" t="inlineStr">
        <is>
          <t>OK</t>
        </is>
      </c>
    </row>
    <row r="1184">
      <c r="A1184" s="33" t="inlineStr">
        <is>
          <t>SM001180</t>
        </is>
      </c>
      <c r="B1184" s="33" t="inlineStr">
        <is>
          <t>SW015</t>
        </is>
      </c>
      <c r="C1184" s="33" t="inlineStr">
        <is>
          <t>Jack Alexy</t>
        </is>
      </c>
      <c r="D1184" s="33" t="inlineStr">
        <is>
          <t>SwimCloud</t>
        </is>
      </c>
      <c r="E1184" s="33" t="inlineStr">
        <is>
          <t>503872</t>
        </is>
      </c>
      <c r="F1184" s="33" t="inlineStr">
        <is>
          <t>104773040</t>
        </is>
      </c>
      <c r="G1184" s="51" t="n">
        <v>45133</v>
      </c>
      <c r="H1184" s="33" t="inlineStr">
        <is>
          <t>20th World Aquatics Championships</t>
        </is>
      </c>
      <c r="I1184" s="33" t="inlineStr">
        <is>
          <t>273652</t>
        </is>
      </c>
      <c r="J1184" s="33" t="inlineStr"/>
      <c r="K1184" s="33" t="inlineStr">
        <is>
          <t>SEM</t>
        </is>
      </c>
      <c r="L1184" s="35">
        <f>IF(K1184="FIN",3,IF(OR(K1184="SEM",K1184="SEMI"),2,IF(OR(K1184="PRE",K1184="HEAT"),1,IF(V1184="YES",4,2))))</f>
        <v/>
      </c>
      <c r="M1184" s="33" t="inlineStr">
        <is>
          <t>LCM</t>
        </is>
      </c>
      <c r="N1184" s="33" t="n">
        <v>100</v>
      </c>
      <c r="O1184" s="33" t="inlineStr">
        <is>
          <t>Free</t>
        </is>
      </c>
      <c r="P1184" s="33" t="inlineStr">
        <is>
          <t>100 Free</t>
        </is>
      </c>
      <c r="Q1184" s="33" t="inlineStr">
        <is>
          <t>LCM_100_FREE</t>
        </is>
      </c>
      <c r="R1184" s="36" t="n">
        <v>48.06</v>
      </c>
      <c r="S1184" s="35">
        <f>IF(R1184="","",IF(R1184&gt;=60,INT(R1184/60)&amp;":"&amp;TEXT(MOD(R1184,60),"00.00"),TEXT(R1184,"0.00")))</f>
        <v/>
      </c>
      <c r="T1184" s="52">
        <f>IFERROR((G1184-INDEX('01_Swimmers'!$E$5:$E$22,MATCH(B1184,'01_Swimmers'!$A$5:$A$22,0)))/'00_Control'!$B$10,"")</f>
        <v/>
      </c>
      <c r="U1184" s="35">
        <f>IF(T1184="","",INT(T1184))</f>
        <v/>
      </c>
      <c r="V1184" s="33" t="inlineStr">
        <is>
          <t>NO</t>
        </is>
      </c>
      <c r="W1184" s="33" t="inlineStr">
        <is>
          <t>YES</t>
        </is>
      </c>
      <c r="X1184" s="33" t="inlineStr">
        <is>
          <t>NO</t>
        </is>
      </c>
      <c r="Y1184" s="33" t="n">
        <v>1</v>
      </c>
      <c r="Z1184" s="33" t="n">
        <v>4</v>
      </c>
      <c r="AA1184" s="33" t="inlineStr">
        <is>
          <t>8</t>
        </is>
      </c>
      <c r="AB1184" s="33" t="inlineStr">
        <is>
          <t>https://www.swimcloud.com/results/273652/event/20/?id=104773040#time104773040</t>
        </is>
      </c>
      <c r="AC1184" s="33" t="inlineStr">
        <is>
          <t>SwimCloud API v6 2026-10-08</t>
        </is>
      </c>
      <c r="AD1184" s="33" t="inlineStr">
        <is>
          <t>Jack Alexy|2023-07-26|LCM|100|Free|48.06|20th World Aquatics Championships|SEM|False</t>
        </is>
      </c>
      <c r="AE1184" s="53">
        <f>G1184+L1184/1000+ROW()/1000000000</f>
        <v/>
      </c>
      <c r="AF1184" s="35">
        <f>IF(C1184&lt;&gt;"Grayson Coulter","",COUNTIFS($C$5:$C$2991,"Grayson Coulter",$Q$5:$Q$2991,Q1184,$AE$5:$AE$2991,"&lt;="&amp;AE1184,$R$5:$R$2991,"&lt;"&amp;R1184))</f>
        <v/>
      </c>
      <c r="AG1184" s="35">
        <f>IF(OR(C1184&lt;&gt;"Grayson Coulter",G1184&lt;'00_Control'!$B$7),"",--(AF1184&lt;5))</f>
        <v/>
      </c>
      <c r="AH1184" s="35">
        <f>IF(OR(C1184&lt;&gt;"Grayson Coulter",G1184&lt;'00_Control'!$B$7),"",--(AF1184&lt;10))</f>
        <v/>
      </c>
      <c r="AI1184" s="35">
        <f>IF(AND(C1184="Grayson Coulter",G1184&gt;='00_Control'!$B$7),"YES","NO")</f>
        <v/>
      </c>
      <c r="AJ1184" s="33" t="inlineStr">
        <is>
          <t>OK</t>
        </is>
      </c>
    </row>
    <row r="1185">
      <c r="A1185" s="33" t="inlineStr">
        <is>
          <t>SM001181</t>
        </is>
      </c>
      <c r="B1185" s="33" t="inlineStr">
        <is>
          <t>SW015</t>
        </is>
      </c>
      <c r="C1185" s="33" t="inlineStr">
        <is>
          <t>Jack Alexy</t>
        </is>
      </c>
      <c r="D1185" s="33" t="inlineStr">
        <is>
          <t>SwimCloud</t>
        </is>
      </c>
      <c r="E1185" s="33" t="inlineStr">
        <is>
          <t>503872</t>
        </is>
      </c>
      <c r="F1185" s="33" t="inlineStr">
        <is>
          <t>104773038</t>
        </is>
      </c>
      <c r="G1185" s="51" t="n">
        <v>45134</v>
      </c>
      <c r="H1185" s="33" t="inlineStr">
        <is>
          <t>20th World Aquatics Championships</t>
        </is>
      </c>
      <c r="I1185" s="33" t="inlineStr">
        <is>
          <t>273652</t>
        </is>
      </c>
      <c r="J1185" s="33" t="inlineStr"/>
      <c r="K1185" s="33" t="inlineStr">
        <is>
          <t>FIN</t>
        </is>
      </c>
      <c r="L1185" s="35">
        <f>IF(K1185="FIN",3,IF(OR(K1185="SEM",K1185="SEMI"),2,IF(OR(K1185="PRE",K1185="HEAT"),1,IF(V1185="YES",4,2))))</f>
        <v/>
      </c>
      <c r="M1185" s="33" t="inlineStr">
        <is>
          <t>LCM</t>
        </is>
      </c>
      <c r="N1185" s="33" t="n">
        <v>100</v>
      </c>
      <c r="O1185" s="33" t="inlineStr">
        <is>
          <t>Free</t>
        </is>
      </c>
      <c r="P1185" s="33" t="inlineStr">
        <is>
          <t>100 Free</t>
        </is>
      </c>
      <c r="Q1185" s="33" t="inlineStr">
        <is>
          <t>LCM_100_FREE</t>
        </is>
      </c>
      <c r="R1185" s="36" t="n">
        <v>47.31</v>
      </c>
      <c r="S1185" s="35">
        <f>IF(R1185="","",IF(R1185&gt;=60,INT(R1185/60)&amp;":"&amp;TEXT(MOD(R1185,60),"00.00"),TEXT(R1185,"0.00")))</f>
        <v/>
      </c>
      <c r="T1185" s="52">
        <f>IFERROR((G1185-INDEX('01_Swimmers'!$E$5:$E$22,MATCH(B1185,'01_Swimmers'!$A$5:$A$22,0)))/'00_Control'!$B$10,"")</f>
        <v/>
      </c>
      <c r="U1185" s="35">
        <f>IF(T1185="","",INT(T1185))</f>
        <v/>
      </c>
      <c r="V1185" s="33" t="inlineStr">
        <is>
          <t>NO</t>
        </is>
      </c>
      <c r="W1185" s="33" t="inlineStr">
        <is>
          <t>YES</t>
        </is>
      </c>
      <c r="X1185" s="33" t="inlineStr">
        <is>
          <t>NO</t>
        </is>
      </c>
      <c r="Y1185" s="33" t="n">
        <v>1</v>
      </c>
      <c r="Z1185" s="33" t="n">
        <v>8</v>
      </c>
      <c r="AA1185" s="33" t="inlineStr">
        <is>
          <t>2</t>
        </is>
      </c>
      <c r="AB1185" s="33" t="inlineStr">
        <is>
          <t>https://www.swimcloud.com/results/273652/event/20/?id=104773038#time104773038</t>
        </is>
      </c>
      <c r="AC1185" s="33" t="inlineStr">
        <is>
          <t>SwimCloud API v6 2026-10-08</t>
        </is>
      </c>
      <c r="AD1185" s="33" t="inlineStr">
        <is>
          <t>Jack Alexy|2023-07-27|LCM|100|Free|47.31|20th World Aquatics Championships|FIN|False</t>
        </is>
      </c>
      <c r="AE1185" s="53">
        <f>G1185+L1185/1000+ROW()/1000000000</f>
        <v/>
      </c>
      <c r="AF1185" s="35">
        <f>IF(C1185&lt;&gt;"Grayson Coulter","",COUNTIFS($C$5:$C$2991,"Grayson Coulter",$Q$5:$Q$2991,Q1185,$AE$5:$AE$2991,"&lt;="&amp;AE1185,$R$5:$R$2991,"&lt;"&amp;R1185))</f>
        <v/>
      </c>
      <c r="AG1185" s="35">
        <f>IF(OR(C1185&lt;&gt;"Grayson Coulter",G1185&lt;'00_Control'!$B$7),"",--(AF1185&lt;5))</f>
        <v/>
      </c>
      <c r="AH1185" s="35">
        <f>IF(OR(C1185&lt;&gt;"Grayson Coulter",G1185&lt;'00_Control'!$B$7),"",--(AF1185&lt;10))</f>
        <v/>
      </c>
      <c r="AI1185" s="35">
        <f>IF(AND(C1185="Grayson Coulter",G1185&gt;='00_Control'!$B$7),"YES","NO")</f>
        <v/>
      </c>
      <c r="AJ1185" s="33" t="inlineStr">
        <is>
          <t>OK</t>
        </is>
      </c>
    </row>
    <row r="1186">
      <c r="A1186" s="33" t="inlineStr">
        <is>
          <t>SM001182</t>
        </is>
      </c>
      <c r="B1186" s="33" t="inlineStr">
        <is>
          <t>SW015</t>
        </is>
      </c>
      <c r="C1186" s="33" t="inlineStr">
        <is>
          <t>Jack Alexy</t>
        </is>
      </c>
      <c r="D1186" s="33" t="inlineStr">
        <is>
          <t>SwimCloud</t>
        </is>
      </c>
      <c r="E1186" s="33" t="inlineStr">
        <is>
          <t>503872</t>
        </is>
      </c>
      <c r="F1186" s="33" t="inlineStr">
        <is>
          <t>104774322</t>
        </is>
      </c>
      <c r="G1186" s="51" t="n">
        <v>45136</v>
      </c>
      <c r="H1186" s="33" t="inlineStr">
        <is>
          <t>20th World Aquatics Championships</t>
        </is>
      </c>
      <c r="I1186" s="33" t="inlineStr">
        <is>
          <t>273652</t>
        </is>
      </c>
      <c r="J1186" s="33" t="inlineStr"/>
      <c r="K1186" s="33" t="inlineStr">
        <is>
          <t>FIN</t>
        </is>
      </c>
      <c r="L1186" s="35">
        <f>IF(K1186="FIN",3,IF(OR(K1186="SEM",K1186="SEMI"),2,IF(OR(K1186="PRE",K1186="HEAT"),1,IF(V1186="YES",4,2))))</f>
        <v/>
      </c>
      <c r="M1186" s="33" t="inlineStr">
        <is>
          <t>LCM</t>
        </is>
      </c>
      <c r="N1186" s="33" t="n">
        <v>100</v>
      </c>
      <c r="O1186" s="33" t="inlineStr">
        <is>
          <t>Free</t>
        </is>
      </c>
      <c r="P1186" s="33" t="inlineStr">
        <is>
          <t>100 Free</t>
        </is>
      </c>
      <c r="Q1186" s="33" t="inlineStr">
        <is>
          <t>LCM_100_FREE</t>
        </is>
      </c>
      <c r="R1186" s="36" t="n">
        <v>47.68</v>
      </c>
      <c r="S1186" s="35">
        <f>IF(R1186="","",IF(R1186&gt;=60,INT(R1186/60)&amp;":"&amp;TEXT(MOD(R1186,60),"00.00"),TEXT(R1186,"0.00")))</f>
        <v/>
      </c>
      <c r="T1186" s="52">
        <f>IFERROR((G1186-INDEX('01_Swimmers'!$E$5:$E$22,MATCH(B1186,'01_Swimmers'!$A$5:$A$22,0)))/'00_Control'!$B$10,"")</f>
        <v/>
      </c>
      <c r="U1186" s="35">
        <f>IF(T1186="","",INT(T1186))</f>
        <v/>
      </c>
      <c r="V1186" s="33" t="inlineStr">
        <is>
          <t>YES</t>
        </is>
      </c>
      <c r="W1186" s="33" t="inlineStr">
        <is>
          <t>YES</t>
        </is>
      </c>
      <c r="X1186" s="33" t="inlineStr">
        <is>
          <t>NO</t>
        </is>
      </c>
      <c r="Y1186" s="33" t="n">
        <v>1</v>
      </c>
      <c r="Z1186" s="33" t="n">
        <v>5</v>
      </c>
      <c r="AA1186" s="33" t="inlineStr"/>
      <c r="AB1186" s="33" t="inlineStr">
        <is>
          <t>https://www.swimcloud.com/results/273652/event/38/?id=104773191#time104773191</t>
        </is>
      </c>
      <c r="AC1186" s="33" t="inlineStr">
        <is>
          <t>SwimCloud API v6 2026-10-08</t>
        </is>
      </c>
      <c r="AD1186" s="33" t="inlineStr">
        <is>
          <t>Jack Alexy|2023-07-29|LCM|100|Free|47.68|20th World Aquatics Championships|FIN|True</t>
        </is>
      </c>
      <c r="AE1186" s="53">
        <f>G1186+L1186/1000+ROW()/1000000000</f>
        <v/>
      </c>
      <c r="AF1186" s="35">
        <f>IF(C1186&lt;&gt;"Grayson Coulter","",COUNTIFS($C$5:$C$2991,"Grayson Coulter",$Q$5:$Q$2991,Q1186,$AE$5:$AE$2991,"&lt;="&amp;AE1186,$R$5:$R$2991,"&lt;"&amp;R1186))</f>
        <v/>
      </c>
      <c r="AG1186" s="35">
        <f>IF(OR(C1186&lt;&gt;"Grayson Coulter",G1186&lt;'00_Control'!$B$7),"",--(AF1186&lt;5))</f>
        <v/>
      </c>
      <c r="AH1186" s="35">
        <f>IF(OR(C1186&lt;&gt;"Grayson Coulter",G1186&lt;'00_Control'!$B$7),"",--(AF1186&lt;10))</f>
        <v/>
      </c>
      <c r="AI1186" s="35">
        <f>IF(AND(C1186="Grayson Coulter",G1186&gt;='00_Control'!$B$7),"YES","NO")</f>
        <v/>
      </c>
      <c r="AJ1186" s="33" t="inlineStr">
        <is>
          <t>OK</t>
        </is>
      </c>
    </row>
    <row r="1187">
      <c r="A1187" s="33" t="inlineStr">
        <is>
          <t>SM001183</t>
        </is>
      </c>
      <c r="B1187" s="33" t="inlineStr">
        <is>
          <t>SW015</t>
        </is>
      </c>
      <c r="C1187" s="33" t="inlineStr">
        <is>
          <t>Jack Alexy</t>
        </is>
      </c>
      <c r="D1187" s="33" t="inlineStr">
        <is>
          <t>SwimCloud</t>
        </is>
      </c>
      <c r="E1187" s="33" t="inlineStr">
        <is>
          <t>503872</t>
        </is>
      </c>
      <c r="F1187" s="33" t="inlineStr">
        <is>
          <t>116655411</t>
        </is>
      </c>
      <c r="G1187" s="51" t="n">
        <v>45302</v>
      </c>
      <c r="H1187" s="33" t="inlineStr">
        <is>
          <t>TYR Pro Swim Series - Knoxville</t>
        </is>
      </c>
      <c r="I1187" s="33" t="inlineStr">
        <is>
          <t>274519</t>
        </is>
      </c>
      <c r="J1187" s="33" t="inlineStr"/>
      <c r="K1187" s="33" t="inlineStr">
        <is>
          <t>PRE</t>
        </is>
      </c>
      <c r="L1187" s="35">
        <f>IF(K1187="FIN",3,IF(OR(K1187="SEM",K1187="SEMI"),2,IF(OR(K1187="PRE",K1187="HEAT"),1,IF(V1187="YES",4,2))))</f>
        <v/>
      </c>
      <c r="M1187" s="33" t="inlineStr">
        <is>
          <t>LCM</t>
        </is>
      </c>
      <c r="N1187" s="33" t="n">
        <v>100</v>
      </c>
      <c r="O1187" s="33" t="inlineStr">
        <is>
          <t>Free</t>
        </is>
      </c>
      <c r="P1187" s="33" t="inlineStr">
        <is>
          <t>100 Free</t>
        </is>
      </c>
      <c r="Q1187" s="33" t="inlineStr">
        <is>
          <t>LCM_100_FREE</t>
        </is>
      </c>
      <c r="R1187" s="36" t="n">
        <v>48.28</v>
      </c>
      <c r="S1187" s="35">
        <f>IF(R1187="","",IF(R1187&gt;=60,INT(R1187/60)&amp;":"&amp;TEXT(MOD(R1187,60),"00.00"),TEXT(R1187,"0.00")))</f>
        <v/>
      </c>
      <c r="T1187" s="52">
        <f>IFERROR((G1187-INDEX('01_Swimmers'!$E$5:$E$22,MATCH(B1187,'01_Swimmers'!$A$5:$A$22,0)))/'00_Control'!$B$10,"")</f>
        <v/>
      </c>
      <c r="U1187" s="35">
        <f>IF(T1187="","",INT(T1187))</f>
        <v/>
      </c>
      <c r="V1187" s="33" t="inlineStr">
        <is>
          <t>NO</t>
        </is>
      </c>
      <c r="W1187" s="33" t="inlineStr">
        <is>
          <t>YES</t>
        </is>
      </c>
      <c r="X1187" s="33" t="inlineStr">
        <is>
          <t>NO</t>
        </is>
      </c>
      <c r="Y1187" s="33" t="n">
        <v>13</v>
      </c>
      <c r="Z1187" s="33" t="n">
        <v>4</v>
      </c>
      <c r="AA1187" s="33" t="inlineStr">
        <is>
          <t>1</t>
        </is>
      </c>
      <c r="AB1187" s="33" t="inlineStr">
        <is>
          <t>https://www.swimcloud.com/results/274519/event/4/?id=116655411#time116655411</t>
        </is>
      </c>
      <c r="AC1187" s="33" t="inlineStr">
        <is>
          <t>SwimCloud API v6 2026-10-08</t>
        </is>
      </c>
      <c r="AD1187" s="33" t="inlineStr">
        <is>
          <t>Jack Alexy|2024-01-11|LCM|100|Free|48.28|TYR Pro Swim Series - Knoxville|PRE|False</t>
        </is>
      </c>
      <c r="AE1187" s="53">
        <f>G1187+L1187/1000+ROW()/1000000000</f>
        <v/>
      </c>
      <c r="AF1187" s="35">
        <f>IF(C1187&lt;&gt;"Grayson Coulter","",COUNTIFS($C$5:$C$2991,"Grayson Coulter",$Q$5:$Q$2991,Q1187,$AE$5:$AE$2991,"&lt;="&amp;AE1187,$R$5:$R$2991,"&lt;"&amp;R1187))</f>
        <v/>
      </c>
      <c r="AG1187" s="35">
        <f>IF(OR(C1187&lt;&gt;"Grayson Coulter",G1187&lt;'00_Control'!$B$7),"",--(AF1187&lt;5))</f>
        <v/>
      </c>
      <c r="AH1187" s="35">
        <f>IF(OR(C1187&lt;&gt;"Grayson Coulter",G1187&lt;'00_Control'!$B$7),"",--(AF1187&lt;10))</f>
        <v/>
      </c>
      <c r="AI1187" s="35">
        <f>IF(AND(C1187="Grayson Coulter",G1187&gt;='00_Control'!$B$7),"YES","NO")</f>
        <v/>
      </c>
      <c r="AJ1187" s="33" t="inlineStr">
        <is>
          <t>OK</t>
        </is>
      </c>
    </row>
    <row r="1188">
      <c r="A1188" s="33" t="inlineStr">
        <is>
          <t>SM001184</t>
        </is>
      </c>
      <c r="B1188" s="33" t="inlineStr">
        <is>
          <t>SW015</t>
        </is>
      </c>
      <c r="C1188" s="33" t="inlineStr">
        <is>
          <t>Jack Alexy</t>
        </is>
      </c>
      <c r="D1188" s="33" t="inlineStr">
        <is>
          <t>SwimCloud</t>
        </is>
      </c>
      <c r="E1188" s="33" t="inlineStr">
        <is>
          <t>503872</t>
        </is>
      </c>
      <c r="F1188" s="33" t="inlineStr">
        <is>
          <t>116655412</t>
        </is>
      </c>
      <c r="G1188" s="51" t="n">
        <v>45302</v>
      </c>
      <c r="H1188" s="33" t="inlineStr">
        <is>
          <t>TYR Pro Swim Series - Knoxville</t>
        </is>
      </c>
      <c r="I1188" s="33" t="inlineStr">
        <is>
          <t>274519</t>
        </is>
      </c>
      <c r="J1188" s="33" t="inlineStr"/>
      <c r="K1188" s="33" t="inlineStr">
        <is>
          <t>FIN</t>
        </is>
      </c>
      <c r="L1188" s="35">
        <f>IF(K1188="FIN",3,IF(OR(K1188="SEM",K1188="SEMI"),2,IF(OR(K1188="PRE",K1188="HEAT"),1,IF(V1188="YES",4,2))))</f>
        <v/>
      </c>
      <c r="M1188" s="33" t="inlineStr">
        <is>
          <t>LCM</t>
        </is>
      </c>
      <c r="N1188" s="33" t="n">
        <v>100</v>
      </c>
      <c r="O1188" s="33" t="inlineStr">
        <is>
          <t>Free</t>
        </is>
      </c>
      <c r="P1188" s="33" t="inlineStr">
        <is>
          <t>100 Free</t>
        </is>
      </c>
      <c r="Q1188" s="33" t="inlineStr">
        <is>
          <t>LCM_100_FREE</t>
        </is>
      </c>
      <c r="R1188" s="36" t="n">
        <v>48.24</v>
      </c>
      <c r="S1188" s="35">
        <f>IF(R1188="","",IF(R1188&gt;=60,INT(R1188/60)&amp;":"&amp;TEXT(MOD(R1188,60),"00.00"),TEXT(R1188,"0.00")))</f>
        <v/>
      </c>
      <c r="T1188" s="52">
        <f>IFERROR((G1188-INDEX('01_Swimmers'!$E$5:$E$22,MATCH(B1188,'01_Swimmers'!$A$5:$A$22,0)))/'00_Control'!$B$10,"")</f>
        <v/>
      </c>
      <c r="U1188" s="35">
        <f>IF(T1188="","",INT(T1188))</f>
        <v/>
      </c>
      <c r="V1188" s="33" t="inlineStr">
        <is>
          <t>NO</t>
        </is>
      </c>
      <c r="W1188" s="33" t="inlineStr">
        <is>
          <t>YES</t>
        </is>
      </c>
      <c r="X1188" s="33" t="inlineStr">
        <is>
          <t>NO</t>
        </is>
      </c>
      <c r="Y1188" s="33" t="n">
        <v>2</v>
      </c>
      <c r="Z1188" s="33" t="n">
        <v>4</v>
      </c>
      <c r="AA1188" s="33" t="inlineStr">
        <is>
          <t>17</t>
        </is>
      </c>
      <c r="AB1188" s="33" t="inlineStr">
        <is>
          <t>https://www.swimcloud.com/results/274519/event/4/?id=116655412#time116655412</t>
        </is>
      </c>
      <c r="AC1188" s="33" t="inlineStr">
        <is>
          <t>SwimCloud API v6 2026-10-08</t>
        </is>
      </c>
      <c r="AD1188" s="33" t="inlineStr">
        <is>
          <t>Jack Alexy|2024-01-11|LCM|100|Free|48.24|TYR Pro Swim Series - Knoxville|FIN|False</t>
        </is>
      </c>
      <c r="AE1188" s="53">
        <f>G1188+L1188/1000+ROW()/1000000000</f>
        <v/>
      </c>
      <c r="AF1188" s="35">
        <f>IF(C1188&lt;&gt;"Grayson Coulter","",COUNTIFS($C$5:$C$2991,"Grayson Coulter",$Q$5:$Q$2991,Q1188,$AE$5:$AE$2991,"&lt;="&amp;AE1188,$R$5:$R$2991,"&lt;"&amp;R1188))</f>
        <v/>
      </c>
      <c r="AG1188" s="35">
        <f>IF(OR(C1188&lt;&gt;"Grayson Coulter",G1188&lt;'00_Control'!$B$7),"",--(AF1188&lt;5))</f>
        <v/>
      </c>
      <c r="AH1188" s="35">
        <f>IF(OR(C1188&lt;&gt;"Grayson Coulter",G1188&lt;'00_Control'!$B$7),"",--(AF1188&lt;10))</f>
        <v/>
      </c>
      <c r="AI1188" s="35">
        <f>IF(AND(C1188="Grayson Coulter",G1188&gt;='00_Control'!$B$7),"YES","NO")</f>
        <v/>
      </c>
      <c r="AJ1188" s="33" t="inlineStr">
        <is>
          <t>OK</t>
        </is>
      </c>
    </row>
    <row r="1189">
      <c r="A1189" s="33" t="inlineStr">
        <is>
          <t>SM001185</t>
        </is>
      </c>
      <c r="B1189" s="33" t="inlineStr">
        <is>
          <t>SW015</t>
        </is>
      </c>
      <c r="C1189" s="33" t="inlineStr">
        <is>
          <t>Jack Alexy</t>
        </is>
      </c>
      <c r="D1189" s="33" t="inlineStr">
        <is>
          <t>SwimCloud</t>
        </is>
      </c>
      <c r="E1189" s="33" t="inlineStr">
        <is>
          <t>503872</t>
        </is>
      </c>
      <c r="F1189" s="33" t="inlineStr">
        <is>
          <t>116653840</t>
        </is>
      </c>
      <c r="G1189" s="51" t="n">
        <v>45303</v>
      </c>
      <c r="H1189" s="33" t="inlineStr">
        <is>
          <t>TYR Pro Swim Series - Knoxville</t>
        </is>
      </c>
      <c r="I1189" s="33" t="inlineStr">
        <is>
          <t>274519</t>
        </is>
      </c>
      <c r="J1189" s="33" t="inlineStr"/>
      <c r="K1189" s="33" t="inlineStr">
        <is>
          <t>PRE</t>
        </is>
      </c>
      <c r="L1189" s="35">
        <f>IF(K1189="FIN",3,IF(OR(K1189="SEM",K1189="SEMI"),2,IF(OR(K1189="PRE",K1189="HEAT"),1,IF(V1189="YES",4,2))))</f>
        <v/>
      </c>
      <c r="M1189" s="33" t="inlineStr">
        <is>
          <t>LCM</t>
        </is>
      </c>
      <c r="N1189" s="33" t="n">
        <v>200</v>
      </c>
      <c r="O1189" s="33" t="inlineStr">
        <is>
          <t>Free</t>
        </is>
      </c>
      <c r="P1189" s="33" t="inlineStr">
        <is>
          <t>200 Free</t>
        </is>
      </c>
      <c r="Q1189" s="33" t="inlineStr">
        <is>
          <t>LCM_200_FREE</t>
        </is>
      </c>
      <c r="R1189" s="36" t="n">
        <v>141.02</v>
      </c>
      <c r="S1189" s="35">
        <f>IF(R1189="","",IF(R1189&gt;=60,INT(R1189/60)&amp;":"&amp;TEXT(MOD(R1189,60),"00.00"),TEXT(R1189,"0.00")))</f>
        <v/>
      </c>
      <c r="T1189" s="52">
        <f>IFERROR((G1189-INDEX('01_Swimmers'!$E$5:$E$22,MATCH(B1189,'01_Swimmers'!$A$5:$A$22,0)))/'00_Control'!$B$10,"")</f>
        <v/>
      </c>
      <c r="U1189" s="35">
        <f>IF(T1189="","",INT(T1189))</f>
        <v/>
      </c>
      <c r="V1189" s="33" t="inlineStr">
        <is>
          <t>NO</t>
        </is>
      </c>
      <c r="W1189" s="33" t="inlineStr">
        <is>
          <t>YES</t>
        </is>
      </c>
      <c r="X1189" s="33" t="inlineStr">
        <is>
          <t>NO</t>
        </is>
      </c>
      <c r="Y1189" s="33" t="n">
        <v>1</v>
      </c>
      <c r="Z1189" s="33" t="n">
        <v>6</v>
      </c>
      <c r="AA1189" s="33" t="inlineStr">
        <is>
          <t>72</t>
        </is>
      </c>
      <c r="AB1189" s="33" t="inlineStr">
        <is>
          <t>https://www.swimcloud.com/results/274519/event/12/?id=116653840#time116653840</t>
        </is>
      </c>
      <c r="AC1189" s="33" t="inlineStr">
        <is>
          <t>SwimCloud API v6 2026-10-08</t>
        </is>
      </c>
      <c r="AD1189" s="33" t="inlineStr">
        <is>
          <t>Jack Alexy|2024-01-12|LCM|200|Free|141.02|TYR Pro Swim Series - Knoxville|PRE|False</t>
        </is>
      </c>
      <c r="AE1189" s="53">
        <f>G1189+L1189/1000+ROW()/1000000000</f>
        <v/>
      </c>
      <c r="AF1189" s="35">
        <f>IF(C1189&lt;&gt;"Grayson Coulter","",COUNTIFS($C$5:$C$2991,"Grayson Coulter",$Q$5:$Q$2991,Q1189,$AE$5:$AE$2991,"&lt;="&amp;AE1189,$R$5:$R$2991,"&lt;"&amp;R1189))</f>
        <v/>
      </c>
      <c r="AG1189" s="35">
        <f>IF(OR(C1189&lt;&gt;"Grayson Coulter",G1189&lt;'00_Control'!$B$7),"",--(AF1189&lt;5))</f>
        <v/>
      </c>
      <c r="AH1189" s="35">
        <f>IF(OR(C1189&lt;&gt;"Grayson Coulter",G1189&lt;'00_Control'!$B$7),"",--(AF1189&lt;10))</f>
        <v/>
      </c>
      <c r="AI1189" s="35">
        <f>IF(AND(C1189="Grayson Coulter",G1189&gt;='00_Control'!$B$7),"YES","NO")</f>
        <v/>
      </c>
      <c r="AJ1189" s="33" t="inlineStr">
        <is>
          <t>OK</t>
        </is>
      </c>
    </row>
    <row r="1190">
      <c r="A1190" s="33" t="inlineStr">
        <is>
          <t>SM001186</t>
        </is>
      </c>
      <c r="B1190" s="33" t="inlineStr">
        <is>
          <t>SW015</t>
        </is>
      </c>
      <c r="C1190" s="33" t="inlineStr">
        <is>
          <t>Jack Alexy</t>
        </is>
      </c>
      <c r="D1190" s="33" t="inlineStr">
        <is>
          <t>SwimCloud</t>
        </is>
      </c>
      <c r="E1190" s="33" t="inlineStr">
        <is>
          <t>503872</t>
        </is>
      </c>
      <c r="F1190" s="33" t="inlineStr">
        <is>
          <t>118964521</t>
        </is>
      </c>
      <c r="G1190" s="51" t="n">
        <v>45325</v>
      </c>
      <c r="H1190" s="33" t="inlineStr">
        <is>
          <t>2024 Triton Invitational</t>
        </is>
      </c>
      <c r="I1190" s="33" t="inlineStr">
        <is>
          <t>296480</t>
        </is>
      </c>
      <c r="J1190" s="33" t="inlineStr"/>
      <c r="K1190" s="33" t="inlineStr">
        <is>
          <t>TIM</t>
        </is>
      </c>
      <c r="L1190" s="35">
        <f>IF(K1190="FIN",3,IF(OR(K1190="SEM",K1190="SEMI"),2,IF(OR(K1190="PRE",K1190="HEAT"),1,IF(V1190="YES",4,2))))</f>
        <v/>
      </c>
      <c r="M1190" s="33" t="inlineStr">
        <is>
          <t>LCM</t>
        </is>
      </c>
      <c r="N1190" s="33" t="n">
        <v>100</v>
      </c>
      <c r="O1190" s="33" t="inlineStr">
        <is>
          <t>Free</t>
        </is>
      </c>
      <c r="P1190" s="33" t="inlineStr">
        <is>
          <t>100 Free</t>
        </is>
      </c>
      <c r="Q1190" s="33" t="inlineStr">
        <is>
          <t>LCM_100_FREE</t>
        </is>
      </c>
      <c r="R1190" s="36" t="n">
        <v>48.24</v>
      </c>
      <c r="S1190" s="35">
        <f>IF(R1190="","",IF(R1190&gt;=60,INT(R1190/60)&amp;":"&amp;TEXT(MOD(R1190,60),"00.00"),TEXT(R1190,"0.00")))</f>
        <v/>
      </c>
      <c r="T1190" s="52">
        <f>IFERROR((G1190-INDEX('01_Swimmers'!$E$5:$E$22,MATCH(B1190,'01_Swimmers'!$A$5:$A$22,0)))/'00_Control'!$B$10,"")</f>
        <v/>
      </c>
      <c r="U1190" s="35">
        <f>IF(T1190="","",INT(T1190))</f>
        <v/>
      </c>
      <c r="V1190" s="33" t="inlineStr">
        <is>
          <t>NO</t>
        </is>
      </c>
      <c r="W1190" s="33" t="inlineStr">
        <is>
          <t>YES</t>
        </is>
      </c>
      <c r="X1190" s="33" t="inlineStr">
        <is>
          <t>NO</t>
        </is>
      </c>
      <c r="Y1190" s="33" t="n">
        <v>1</v>
      </c>
      <c r="Z1190" s="33" t="n">
        <v>7</v>
      </c>
      <c r="AA1190" s="33" t="inlineStr">
        <is>
          <t>1</t>
        </is>
      </c>
      <c r="AB1190" s="33" t="inlineStr">
        <is>
          <t>https://www.swimcloud.com/results/296480/event/30/?id=118964521#time118964521</t>
        </is>
      </c>
      <c r="AC1190" s="33" t="inlineStr">
        <is>
          <t>SwimCloud API v6 2026-10-08</t>
        </is>
      </c>
      <c r="AD1190" s="33" t="inlineStr">
        <is>
          <t>Jack Alexy|2024-02-03|LCM|100|Free|48.24|2024 Triton Invitational|TIM|False</t>
        </is>
      </c>
      <c r="AE1190" s="53">
        <f>G1190+L1190/1000+ROW()/1000000000</f>
        <v/>
      </c>
      <c r="AF1190" s="35">
        <f>IF(C1190&lt;&gt;"Grayson Coulter","",COUNTIFS($C$5:$C$2991,"Grayson Coulter",$Q$5:$Q$2991,Q1190,$AE$5:$AE$2991,"&lt;="&amp;AE1190,$R$5:$R$2991,"&lt;"&amp;R1190))</f>
        <v/>
      </c>
      <c r="AG1190" s="35">
        <f>IF(OR(C1190&lt;&gt;"Grayson Coulter",G1190&lt;'00_Control'!$B$7),"",--(AF1190&lt;5))</f>
        <v/>
      </c>
      <c r="AH1190" s="35">
        <f>IF(OR(C1190&lt;&gt;"Grayson Coulter",G1190&lt;'00_Control'!$B$7),"",--(AF1190&lt;10))</f>
        <v/>
      </c>
      <c r="AI1190" s="35">
        <f>IF(AND(C1190="Grayson Coulter",G1190&gt;='00_Control'!$B$7),"YES","NO")</f>
        <v/>
      </c>
      <c r="AJ1190" s="33" t="inlineStr">
        <is>
          <t>OK</t>
        </is>
      </c>
    </row>
    <row r="1191">
      <c r="A1191" s="33" t="inlineStr">
        <is>
          <t>SM001187</t>
        </is>
      </c>
      <c r="B1191" s="33" t="inlineStr">
        <is>
          <t>SW015</t>
        </is>
      </c>
      <c r="C1191" s="33" t="inlineStr">
        <is>
          <t>Jack Alexy</t>
        </is>
      </c>
      <c r="D1191" s="33" t="inlineStr">
        <is>
          <t>SwimCloud</t>
        </is>
      </c>
      <c r="E1191" s="33" t="inlineStr">
        <is>
          <t>503872</t>
        </is>
      </c>
      <c r="F1191" s="33" t="inlineStr">
        <is>
          <t>122011459</t>
        </is>
      </c>
      <c r="G1191" s="51" t="n">
        <v>45358</v>
      </c>
      <c r="H1191" s="33" t="inlineStr">
        <is>
          <t>TYR Pro Swim Series - Westmont</t>
        </is>
      </c>
      <c r="I1191" s="33" t="inlineStr">
        <is>
          <t>274520</t>
        </is>
      </c>
      <c r="J1191" s="33" t="inlineStr"/>
      <c r="K1191" s="33" t="inlineStr">
        <is>
          <t>PRE</t>
        </is>
      </c>
      <c r="L1191" s="35">
        <f>IF(K1191="FIN",3,IF(OR(K1191="SEM",K1191="SEMI"),2,IF(OR(K1191="PRE",K1191="HEAT"),1,IF(V1191="YES",4,2))))</f>
        <v/>
      </c>
      <c r="M1191" s="33" t="inlineStr">
        <is>
          <t>LCM</t>
        </is>
      </c>
      <c r="N1191" s="33" t="n">
        <v>200</v>
      </c>
      <c r="O1191" s="33" t="inlineStr">
        <is>
          <t>Free</t>
        </is>
      </c>
      <c r="P1191" s="33" t="inlineStr">
        <is>
          <t>200 Free</t>
        </is>
      </c>
      <c r="Q1191" s="33" t="inlineStr">
        <is>
          <t>LCM_200_FREE</t>
        </is>
      </c>
      <c r="R1191" s="36" t="n">
        <v>135.5</v>
      </c>
      <c r="S1191" s="35">
        <f>IF(R1191="","",IF(R1191&gt;=60,INT(R1191/60)&amp;":"&amp;TEXT(MOD(R1191,60),"00.00"),TEXT(R1191,"0.00")))</f>
        <v/>
      </c>
      <c r="T1191" s="52">
        <f>IFERROR((G1191-INDEX('01_Swimmers'!$E$5:$E$22,MATCH(B1191,'01_Swimmers'!$A$5:$A$22,0)))/'00_Control'!$B$10,"")</f>
        <v/>
      </c>
      <c r="U1191" s="35">
        <f>IF(T1191="","",INT(T1191))</f>
        <v/>
      </c>
      <c r="V1191" s="33" t="inlineStr">
        <is>
          <t>NO</t>
        </is>
      </c>
      <c r="W1191" s="33" t="inlineStr">
        <is>
          <t>YES</t>
        </is>
      </c>
      <c r="X1191" s="33" t="inlineStr">
        <is>
          <t>NO</t>
        </is>
      </c>
      <c r="Y1191" s="33" t="n">
        <v>1</v>
      </c>
      <c r="Z1191" s="33" t="n">
        <v>5</v>
      </c>
      <c r="AA1191" s="33" t="inlineStr">
        <is>
          <t>53</t>
        </is>
      </c>
      <c r="AB1191" s="33" t="inlineStr">
        <is>
          <t>https://www.swimcloud.com/results/274520/event/4/?id=122011459#time122011459</t>
        </is>
      </c>
      <c r="AC1191" s="33" t="inlineStr">
        <is>
          <t>SwimCloud API v6 2026-10-08</t>
        </is>
      </c>
      <c r="AD1191" s="33" t="inlineStr">
        <is>
          <t>Jack Alexy|2024-03-07|LCM|200|Free|135.5|TYR Pro Swim Series - Westmont|PRE|False</t>
        </is>
      </c>
      <c r="AE1191" s="53">
        <f>G1191+L1191/1000+ROW()/1000000000</f>
        <v/>
      </c>
      <c r="AF1191" s="35">
        <f>IF(C1191&lt;&gt;"Grayson Coulter","",COUNTIFS($C$5:$C$2991,"Grayson Coulter",$Q$5:$Q$2991,Q1191,$AE$5:$AE$2991,"&lt;="&amp;AE1191,$R$5:$R$2991,"&lt;"&amp;R1191))</f>
        <v/>
      </c>
      <c r="AG1191" s="35">
        <f>IF(OR(C1191&lt;&gt;"Grayson Coulter",G1191&lt;'00_Control'!$B$7),"",--(AF1191&lt;5))</f>
        <v/>
      </c>
      <c r="AH1191" s="35">
        <f>IF(OR(C1191&lt;&gt;"Grayson Coulter",G1191&lt;'00_Control'!$B$7),"",--(AF1191&lt;10))</f>
        <v/>
      </c>
      <c r="AI1191" s="35">
        <f>IF(AND(C1191="Grayson Coulter",G1191&gt;='00_Control'!$B$7),"YES","NO")</f>
        <v/>
      </c>
      <c r="AJ1191" s="33" t="inlineStr">
        <is>
          <t>OK</t>
        </is>
      </c>
    </row>
    <row r="1192">
      <c r="A1192" s="33" t="inlineStr">
        <is>
          <t>SM001188</t>
        </is>
      </c>
      <c r="B1192" s="33" t="inlineStr">
        <is>
          <t>SW015</t>
        </is>
      </c>
      <c r="C1192" s="33" t="inlineStr">
        <is>
          <t>Jack Alexy</t>
        </is>
      </c>
      <c r="D1192" s="33" t="inlineStr">
        <is>
          <t>SwimCloud</t>
        </is>
      </c>
      <c r="E1192" s="33" t="inlineStr">
        <is>
          <t>503872</t>
        </is>
      </c>
      <c r="F1192" s="33" t="inlineStr">
        <is>
          <t>122011458</t>
        </is>
      </c>
      <c r="G1192" s="51" t="n">
        <v>45360</v>
      </c>
      <c r="H1192" s="33" t="inlineStr">
        <is>
          <t>TYR Pro Swim Series - Westmont</t>
        </is>
      </c>
      <c r="I1192" s="33" t="inlineStr">
        <is>
          <t>274520</t>
        </is>
      </c>
      <c r="J1192" s="33" t="inlineStr"/>
      <c r="K1192" s="33" t="inlineStr">
        <is>
          <t>PRE</t>
        </is>
      </c>
      <c r="L1192" s="35">
        <f>IF(K1192="FIN",3,IF(OR(K1192="SEM",K1192="SEMI"),2,IF(OR(K1192="PRE",K1192="HEAT"),1,IF(V1192="YES",4,2))))</f>
        <v/>
      </c>
      <c r="M1192" s="33" t="inlineStr">
        <is>
          <t>LCM</t>
        </is>
      </c>
      <c r="N1192" s="33" t="n">
        <v>100</v>
      </c>
      <c r="O1192" s="33" t="inlineStr">
        <is>
          <t>Free</t>
        </is>
      </c>
      <c r="P1192" s="33" t="inlineStr">
        <is>
          <t>100 Free</t>
        </is>
      </c>
      <c r="Q1192" s="33" t="inlineStr">
        <is>
          <t>LCM_100_FREE</t>
        </is>
      </c>
      <c r="R1192" s="36" t="n">
        <v>48.38</v>
      </c>
      <c r="S1192" s="35">
        <f>IF(R1192="","",IF(R1192&gt;=60,INT(R1192/60)&amp;":"&amp;TEXT(MOD(R1192,60),"00.00"),TEXT(R1192,"0.00")))</f>
        <v/>
      </c>
      <c r="T1192" s="52">
        <f>IFERROR((G1192-INDEX('01_Swimmers'!$E$5:$E$22,MATCH(B1192,'01_Swimmers'!$A$5:$A$22,0)))/'00_Control'!$B$10,"")</f>
        <v/>
      </c>
      <c r="U1192" s="35">
        <f>IF(T1192="","",INT(T1192))</f>
        <v/>
      </c>
      <c r="V1192" s="33" t="inlineStr">
        <is>
          <t>NO</t>
        </is>
      </c>
      <c r="W1192" s="33" t="inlineStr">
        <is>
          <t>YES</t>
        </is>
      </c>
      <c r="X1192" s="33" t="inlineStr">
        <is>
          <t>NO</t>
        </is>
      </c>
      <c r="Y1192" s="33" t="n">
        <v>9</v>
      </c>
      <c r="Z1192" s="33" t="n">
        <v>4</v>
      </c>
      <c r="AA1192" s="33" t="inlineStr">
        <is>
          <t>1</t>
        </is>
      </c>
      <c r="AB1192" s="33" t="inlineStr">
        <is>
          <t>https://www.swimcloud.com/results/274520/event/28/?id=122011458#time122011458</t>
        </is>
      </c>
      <c r="AC1192" s="33" t="inlineStr">
        <is>
          <t>SwimCloud API v6 2026-10-08</t>
        </is>
      </c>
      <c r="AD1192" s="33" t="inlineStr">
        <is>
          <t>Jack Alexy|2024-03-09|LCM|100|Free|48.38|TYR Pro Swim Series - Westmont|PRE|False</t>
        </is>
      </c>
      <c r="AE1192" s="53">
        <f>G1192+L1192/1000+ROW()/1000000000</f>
        <v/>
      </c>
      <c r="AF1192" s="35">
        <f>IF(C1192&lt;&gt;"Grayson Coulter","",COUNTIFS($C$5:$C$2991,"Grayson Coulter",$Q$5:$Q$2991,Q1192,$AE$5:$AE$2991,"&lt;="&amp;AE1192,$R$5:$R$2991,"&lt;"&amp;R1192))</f>
        <v/>
      </c>
      <c r="AG1192" s="35">
        <f>IF(OR(C1192&lt;&gt;"Grayson Coulter",G1192&lt;'00_Control'!$B$7),"",--(AF1192&lt;5))</f>
        <v/>
      </c>
      <c r="AH1192" s="35">
        <f>IF(OR(C1192&lt;&gt;"Grayson Coulter",G1192&lt;'00_Control'!$B$7),"",--(AF1192&lt;10))</f>
        <v/>
      </c>
      <c r="AI1192" s="35">
        <f>IF(AND(C1192="Grayson Coulter",G1192&gt;='00_Control'!$B$7),"YES","NO")</f>
        <v/>
      </c>
      <c r="AJ1192" s="33" t="inlineStr">
        <is>
          <t>OK</t>
        </is>
      </c>
    </row>
    <row r="1193">
      <c r="A1193" s="33" t="inlineStr">
        <is>
          <t>SM001189</t>
        </is>
      </c>
      <c r="B1193" s="33" t="inlineStr">
        <is>
          <t>SW015</t>
        </is>
      </c>
      <c r="C1193" s="33" t="inlineStr">
        <is>
          <t>Jack Alexy</t>
        </is>
      </c>
      <c r="D1193" s="33" t="inlineStr">
        <is>
          <t>SwimCloud</t>
        </is>
      </c>
      <c r="E1193" s="33" t="inlineStr">
        <is>
          <t>503872</t>
        </is>
      </c>
      <c r="F1193" s="33" t="inlineStr">
        <is>
          <t>122011457</t>
        </is>
      </c>
      <c r="G1193" s="51" t="n">
        <v>45360</v>
      </c>
      <c r="H1193" s="33" t="inlineStr">
        <is>
          <t>TYR Pro Swim Series - Westmont</t>
        </is>
      </c>
      <c r="I1193" s="33" t="inlineStr">
        <is>
          <t>274520</t>
        </is>
      </c>
      <c r="J1193" s="33" t="inlineStr"/>
      <c r="K1193" s="33" t="inlineStr">
        <is>
          <t>FIN</t>
        </is>
      </c>
      <c r="L1193" s="35">
        <f>IF(K1193="FIN",3,IF(OR(K1193="SEM",K1193="SEMI"),2,IF(OR(K1193="PRE",K1193="HEAT"),1,IF(V1193="YES",4,2))))</f>
        <v/>
      </c>
      <c r="M1193" s="33" t="inlineStr">
        <is>
          <t>LCM</t>
        </is>
      </c>
      <c r="N1193" s="33" t="n">
        <v>100</v>
      </c>
      <c r="O1193" s="33" t="inlineStr">
        <is>
          <t>Free</t>
        </is>
      </c>
      <c r="P1193" s="33" t="inlineStr">
        <is>
          <t>100 Free</t>
        </is>
      </c>
      <c r="Q1193" s="33" t="inlineStr">
        <is>
          <t>LCM_100_FREE</t>
        </is>
      </c>
      <c r="R1193" s="36" t="n">
        <v>48.37</v>
      </c>
      <c r="S1193" s="35">
        <f>IF(R1193="","",IF(R1193&gt;=60,INT(R1193/60)&amp;":"&amp;TEXT(MOD(R1193,60),"00.00"),TEXT(R1193,"0.00")))</f>
        <v/>
      </c>
      <c r="T1193" s="52">
        <f>IFERROR((G1193-INDEX('01_Swimmers'!$E$5:$E$22,MATCH(B1193,'01_Swimmers'!$A$5:$A$22,0)))/'00_Control'!$B$10,"")</f>
        <v/>
      </c>
      <c r="U1193" s="35">
        <f>IF(T1193="","",INT(T1193))</f>
        <v/>
      </c>
      <c r="V1193" s="33" t="inlineStr">
        <is>
          <t>NO</t>
        </is>
      </c>
      <c r="W1193" s="33" t="inlineStr">
        <is>
          <t>YES</t>
        </is>
      </c>
      <c r="X1193" s="33" t="inlineStr">
        <is>
          <t>NO</t>
        </is>
      </c>
      <c r="Y1193" s="33" t="n">
        <v>1</v>
      </c>
      <c r="Z1193" s="33" t="n">
        <v>4</v>
      </c>
      <c r="AA1193" s="33" t="inlineStr">
        <is>
          <t>1</t>
        </is>
      </c>
      <c r="AB1193" s="33" t="inlineStr">
        <is>
          <t>https://www.swimcloud.com/results/274520/event/28/?id=122011457#time122011457</t>
        </is>
      </c>
      <c r="AC1193" s="33" t="inlineStr">
        <is>
          <t>SwimCloud API v6 2026-10-08</t>
        </is>
      </c>
      <c r="AD1193" s="33" t="inlineStr">
        <is>
          <t>Jack Alexy|2024-03-09|LCM|100|Free|48.37|TYR Pro Swim Series - Westmont|FIN|False</t>
        </is>
      </c>
      <c r="AE1193" s="53">
        <f>G1193+L1193/1000+ROW()/1000000000</f>
        <v/>
      </c>
      <c r="AF1193" s="35">
        <f>IF(C1193&lt;&gt;"Grayson Coulter","",COUNTIFS($C$5:$C$2991,"Grayson Coulter",$Q$5:$Q$2991,Q1193,$AE$5:$AE$2991,"&lt;="&amp;AE1193,$R$5:$R$2991,"&lt;"&amp;R1193))</f>
        <v/>
      </c>
      <c r="AG1193" s="35">
        <f>IF(OR(C1193&lt;&gt;"Grayson Coulter",G1193&lt;'00_Control'!$B$7),"",--(AF1193&lt;5))</f>
        <v/>
      </c>
      <c r="AH1193" s="35">
        <f>IF(OR(C1193&lt;&gt;"Grayson Coulter",G1193&lt;'00_Control'!$B$7),"",--(AF1193&lt;10))</f>
        <v/>
      </c>
      <c r="AI1193" s="35">
        <f>IF(AND(C1193="Grayson Coulter",G1193&gt;='00_Control'!$B$7),"YES","NO")</f>
        <v/>
      </c>
      <c r="AJ1193" s="33" t="inlineStr">
        <is>
          <t>OK</t>
        </is>
      </c>
    </row>
    <row r="1194">
      <c r="A1194" s="33" t="inlineStr">
        <is>
          <t>SM001190</t>
        </is>
      </c>
      <c r="B1194" s="33" t="inlineStr">
        <is>
          <t>SW015</t>
        </is>
      </c>
      <c r="C1194" s="33" t="inlineStr">
        <is>
          <t>Jack Alexy</t>
        </is>
      </c>
      <c r="D1194" s="33" t="inlineStr">
        <is>
          <t>SwimCloud</t>
        </is>
      </c>
      <c r="E1194" s="33" t="inlineStr">
        <is>
          <t>503872</t>
        </is>
      </c>
      <c r="F1194" s="33" t="inlineStr">
        <is>
          <t>124705595</t>
        </is>
      </c>
      <c r="G1194" s="51" t="n">
        <v>45395</v>
      </c>
      <c r="H1194" s="33" t="inlineStr">
        <is>
          <t>PC TERA LC Senior Open Meet</t>
        </is>
      </c>
      <c r="I1194" s="33" t="inlineStr">
        <is>
          <t>302268</t>
        </is>
      </c>
      <c r="J1194" s="33" t="inlineStr"/>
      <c r="K1194" s="33" t="inlineStr">
        <is>
          <t>TIM</t>
        </is>
      </c>
      <c r="L1194" s="35">
        <f>IF(K1194="FIN",3,IF(OR(K1194="SEM",K1194="SEMI"),2,IF(OR(K1194="PRE",K1194="HEAT"),1,IF(V1194="YES",4,2))))</f>
        <v/>
      </c>
      <c r="M1194" s="33" t="inlineStr">
        <is>
          <t>LCM</t>
        </is>
      </c>
      <c r="N1194" s="33" t="n">
        <v>100</v>
      </c>
      <c r="O1194" s="33" t="inlineStr">
        <is>
          <t>Free</t>
        </is>
      </c>
      <c r="P1194" s="33" t="inlineStr">
        <is>
          <t>100 Free</t>
        </is>
      </c>
      <c r="Q1194" s="33" t="inlineStr">
        <is>
          <t>LCM_100_FREE</t>
        </is>
      </c>
      <c r="R1194" s="36" t="n">
        <v>48.36</v>
      </c>
      <c r="S1194" s="35">
        <f>IF(R1194="","",IF(R1194&gt;=60,INT(R1194/60)&amp;":"&amp;TEXT(MOD(R1194,60),"00.00"),TEXT(R1194,"0.00")))</f>
        <v/>
      </c>
      <c r="T1194" s="52">
        <f>IFERROR((G1194-INDEX('01_Swimmers'!$E$5:$E$22,MATCH(B1194,'01_Swimmers'!$A$5:$A$22,0)))/'00_Control'!$B$10,"")</f>
        <v/>
      </c>
      <c r="U1194" s="35">
        <f>IF(T1194="","",INT(T1194))</f>
        <v/>
      </c>
      <c r="V1194" s="33" t="inlineStr">
        <is>
          <t>NO</t>
        </is>
      </c>
      <c r="W1194" s="33" t="inlineStr">
        <is>
          <t>YES</t>
        </is>
      </c>
      <c r="X1194" s="33" t="inlineStr">
        <is>
          <t>NO</t>
        </is>
      </c>
      <c r="Y1194" s="33" t="n">
        <v>1</v>
      </c>
      <c r="Z1194" s="33" t="n">
        <v>1</v>
      </c>
      <c r="AA1194" s="33" t="inlineStr">
        <is>
          <t>1</t>
        </is>
      </c>
      <c r="AB1194" s="33" t="inlineStr">
        <is>
          <t>https://www.swimcloud.com/results/302268/event/117/?id=124705595#time124705595</t>
        </is>
      </c>
      <c r="AC1194" s="33" t="inlineStr">
        <is>
          <t>SwimCloud API v6 2026-10-08</t>
        </is>
      </c>
      <c r="AD1194" s="33" t="inlineStr">
        <is>
          <t>Jack Alexy|2024-04-13|LCM|100|Free|48.36|PC TERA LC Senior Open Meet|TIM|False</t>
        </is>
      </c>
      <c r="AE1194" s="53">
        <f>G1194+L1194/1000+ROW()/1000000000</f>
        <v/>
      </c>
      <c r="AF1194" s="35">
        <f>IF(C1194&lt;&gt;"Grayson Coulter","",COUNTIFS($C$5:$C$2991,"Grayson Coulter",$Q$5:$Q$2991,Q1194,$AE$5:$AE$2991,"&lt;="&amp;AE1194,$R$5:$R$2991,"&lt;"&amp;R1194))</f>
        <v/>
      </c>
      <c r="AG1194" s="35">
        <f>IF(OR(C1194&lt;&gt;"Grayson Coulter",G1194&lt;'00_Control'!$B$7),"",--(AF1194&lt;5))</f>
        <v/>
      </c>
      <c r="AH1194" s="35">
        <f>IF(OR(C1194&lt;&gt;"Grayson Coulter",G1194&lt;'00_Control'!$B$7),"",--(AF1194&lt;10))</f>
        <v/>
      </c>
      <c r="AI1194" s="35">
        <f>IF(AND(C1194="Grayson Coulter",G1194&gt;='00_Control'!$B$7),"YES","NO")</f>
        <v/>
      </c>
      <c r="AJ1194" s="33" t="inlineStr">
        <is>
          <t>OK</t>
        </is>
      </c>
    </row>
    <row r="1195">
      <c r="A1195" s="33" t="inlineStr">
        <is>
          <t>SM001191</t>
        </is>
      </c>
      <c r="B1195" s="33" t="inlineStr">
        <is>
          <t>SW015</t>
        </is>
      </c>
      <c r="C1195" s="33" t="inlineStr">
        <is>
          <t>Jack Alexy</t>
        </is>
      </c>
      <c r="D1195" s="33" t="inlineStr">
        <is>
          <t>SwimCloud</t>
        </is>
      </c>
      <c r="E1195" s="33" t="inlineStr">
        <is>
          <t>503872</t>
        </is>
      </c>
      <c r="F1195" s="33" t="inlineStr">
        <is>
          <t>124705495</t>
        </is>
      </c>
      <c r="G1195" s="51" t="n">
        <v>45395</v>
      </c>
      <c r="H1195" s="33" t="inlineStr">
        <is>
          <t>PC TERA LC Senior Open Meet</t>
        </is>
      </c>
      <c r="I1195" s="33" t="inlineStr">
        <is>
          <t>302268</t>
        </is>
      </c>
      <c r="J1195" s="33" t="inlineStr"/>
      <c r="K1195" s="33" t="inlineStr">
        <is>
          <t>TIM</t>
        </is>
      </c>
      <c r="L1195" s="35">
        <f>IF(K1195="FIN",3,IF(OR(K1195="SEM",K1195="SEMI"),2,IF(OR(K1195="PRE",K1195="HEAT"),1,IF(V1195="YES",4,2))))</f>
        <v/>
      </c>
      <c r="M1195" s="33" t="inlineStr">
        <is>
          <t>LCM</t>
        </is>
      </c>
      <c r="N1195" s="33" t="n">
        <v>400</v>
      </c>
      <c r="O1195" s="33" t="inlineStr">
        <is>
          <t>Free</t>
        </is>
      </c>
      <c r="P1195" s="33" t="inlineStr">
        <is>
          <t>400 Free</t>
        </is>
      </c>
      <c r="Q1195" s="33" t="inlineStr">
        <is>
          <t>LCM_400_FREE</t>
        </is>
      </c>
      <c r="R1195" s="36" t="n">
        <v>283.5</v>
      </c>
      <c r="S1195" s="35">
        <f>IF(R1195="","",IF(R1195&gt;=60,INT(R1195/60)&amp;":"&amp;TEXT(MOD(R1195,60),"00.00"),TEXT(R1195,"0.00")))</f>
        <v/>
      </c>
      <c r="T1195" s="52">
        <f>IFERROR((G1195-INDEX('01_Swimmers'!$E$5:$E$22,MATCH(B1195,'01_Swimmers'!$A$5:$A$22,0)))/'00_Control'!$B$10,"")</f>
        <v/>
      </c>
      <c r="U1195" s="35">
        <f>IF(T1195="","",INT(T1195))</f>
        <v/>
      </c>
      <c r="V1195" s="33" t="inlineStr">
        <is>
          <t>NO</t>
        </is>
      </c>
      <c r="W1195" s="33" t="inlineStr">
        <is>
          <t>YES</t>
        </is>
      </c>
      <c r="X1195" s="33" t="inlineStr">
        <is>
          <t>NO</t>
        </is>
      </c>
      <c r="Y1195" s="33" t="n">
        <v>1</v>
      </c>
      <c r="Z1195" s="33" t="n">
        <v>8</v>
      </c>
      <c r="AA1195" s="33" t="inlineStr">
        <is>
          <t>25</t>
        </is>
      </c>
      <c r="AB1195" s="33" t="inlineStr">
        <is>
          <t>https://www.swimcloud.com/results/302268/event/2/?id=124705495#time124705495</t>
        </is>
      </c>
      <c r="AC1195" s="33" t="inlineStr">
        <is>
          <t>SwimCloud API v6 2026-10-08</t>
        </is>
      </c>
      <c r="AD1195" s="33" t="inlineStr">
        <is>
          <t>Jack Alexy|2024-04-13|LCM|400|Free|283.5|PC TERA LC Senior Open Meet|TIM|False</t>
        </is>
      </c>
      <c r="AE1195" s="53">
        <f>G1195+L1195/1000+ROW()/1000000000</f>
        <v/>
      </c>
      <c r="AF1195" s="35">
        <f>IF(C1195&lt;&gt;"Grayson Coulter","",COUNTIFS($C$5:$C$2991,"Grayson Coulter",$Q$5:$Q$2991,Q1195,$AE$5:$AE$2991,"&lt;="&amp;AE1195,$R$5:$R$2991,"&lt;"&amp;R1195))</f>
        <v/>
      </c>
      <c r="AG1195" s="35">
        <f>IF(OR(C1195&lt;&gt;"Grayson Coulter",G1195&lt;'00_Control'!$B$7),"",--(AF1195&lt;5))</f>
        <v/>
      </c>
      <c r="AH1195" s="35">
        <f>IF(OR(C1195&lt;&gt;"Grayson Coulter",G1195&lt;'00_Control'!$B$7),"",--(AF1195&lt;10))</f>
        <v/>
      </c>
      <c r="AI1195" s="35">
        <f>IF(AND(C1195="Grayson Coulter",G1195&gt;='00_Control'!$B$7),"YES","NO")</f>
        <v/>
      </c>
      <c r="AJ1195" s="33" t="inlineStr">
        <is>
          <t>OK</t>
        </is>
      </c>
    </row>
    <row r="1196">
      <c r="A1196" s="33" t="inlineStr">
        <is>
          <t>SM001192</t>
        </is>
      </c>
      <c r="B1196" s="33" t="inlineStr">
        <is>
          <t>SW015</t>
        </is>
      </c>
      <c r="C1196" s="33" t="inlineStr">
        <is>
          <t>Jack Alexy</t>
        </is>
      </c>
      <c r="D1196" s="33" t="inlineStr">
        <is>
          <t>SwimCloud</t>
        </is>
      </c>
      <c r="E1196" s="33" t="inlineStr">
        <is>
          <t>503872</t>
        </is>
      </c>
      <c r="F1196" s="33" t="inlineStr">
        <is>
          <t>126232376</t>
        </is>
      </c>
      <c r="G1196" s="51" t="n">
        <v>45428</v>
      </c>
      <c r="H1196" s="33" t="inlineStr">
        <is>
          <t>CA Trojan Aquatics Los Angeles Invite</t>
        </is>
      </c>
      <c r="I1196" s="33" t="inlineStr">
        <is>
          <t>304132</t>
        </is>
      </c>
      <c r="J1196" s="33" t="inlineStr"/>
      <c r="K1196" s="33" t="inlineStr">
        <is>
          <t>PRE</t>
        </is>
      </c>
      <c r="L1196" s="35">
        <f>IF(K1196="FIN",3,IF(OR(K1196="SEM",K1196="SEMI"),2,IF(OR(K1196="PRE",K1196="HEAT"),1,IF(V1196="YES",4,2))))</f>
        <v/>
      </c>
      <c r="M1196" s="33" t="inlineStr">
        <is>
          <t>LCM</t>
        </is>
      </c>
      <c r="N1196" s="33" t="n">
        <v>100</v>
      </c>
      <c r="O1196" s="33" t="inlineStr">
        <is>
          <t>Free</t>
        </is>
      </c>
      <c r="P1196" s="33" t="inlineStr">
        <is>
          <t>100 Free</t>
        </is>
      </c>
      <c r="Q1196" s="33" t="inlineStr">
        <is>
          <t>LCM_100_FREE</t>
        </is>
      </c>
      <c r="R1196" s="36" t="n">
        <v>48.2</v>
      </c>
      <c r="S1196" s="35">
        <f>IF(R1196="","",IF(R1196&gt;=60,INT(R1196/60)&amp;":"&amp;TEXT(MOD(R1196,60),"00.00"),TEXT(R1196,"0.00")))</f>
        <v/>
      </c>
      <c r="T1196" s="52">
        <f>IFERROR((G1196-INDEX('01_Swimmers'!$E$5:$E$22,MATCH(B1196,'01_Swimmers'!$A$5:$A$22,0)))/'00_Control'!$B$10,"")</f>
        <v/>
      </c>
      <c r="U1196" s="35">
        <f>IF(T1196="","",INT(T1196))</f>
        <v/>
      </c>
      <c r="V1196" s="33" t="inlineStr">
        <is>
          <t>NO</t>
        </is>
      </c>
      <c r="W1196" s="33" t="inlineStr">
        <is>
          <t>YES</t>
        </is>
      </c>
      <c r="X1196" s="33" t="inlineStr">
        <is>
          <t>NO</t>
        </is>
      </c>
      <c r="Y1196" s="33" t="n">
        <v>1</v>
      </c>
      <c r="Z1196" s="33" t="n">
        <v>4</v>
      </c>
      <c r="AA1196" s="33" t="inlineStr">
        <is>
          <t>1</t>
        </is>
      </c>
      <c r="AB1196" s="33" t="inlineStr">
        <is>
          <t>https://www.swimcloud.com/results/304132/event/4/?id=126232376#time126232376</t>
        </is>
      </c>
      <c r="AC1196" s="33" t="inlineStr">
        <is>
          <t>SwimCloud API v6 2026-10-08</t>
        </is>
      </c>
      <c r="AD1196" s="33" t="inlineStr">
        <is>
          <t>Jack Alexy|2024-05-16|LCM|100|Free|48.2|CA Trojan Aquatics Los Angeles Invite|PRE|False</t>
        </is>
      </c>
      <c r="AE1196" s="53">
        <f>G1196+L1196/1000+ROW()/1000000000</f>
        <v/>
      </c>
      <c r="AF1196" s="35">
        <f>IF(C1196&lt;&gt;"Grayson Coulter","",COUNTIFS($C$5:$C$2991,"Grayson Coulter",$Q$5:$Q$2991,Q1196,$AE$5:$AE$2991,"&lt;="&amp;AE1196,$R$5:$R$2991,"&lt;"&amp;R1196))</f>
        <v/>
      </c>
      <c r="AG1196" s="35">
        <f>IF(OR(C1196&lt;&gt;"Grayson Coulter",G1196&lt;'00_Control'!$B$7),"",--(AF1196&lt;5))</f>
        <v/>
      </c>
      <c r="AH1196" s="35">
        <f>IF(OR(C1196&lt;&gt;"Grayson Coulter",G1196&lt;'00_Control'!$B$7),"",--(AF1196&lt;10))</f>
        <v/>
      </c>
      <c r="AI1196" s="35">
        <f>IF(AND(C1196="Grayson Coulter",G1196&gt;='00_Control'!$B$7),"YES","NO")</f>
        <v/>
      </c>
      <c r="AJ1196" s="33" t="inlineStr">
        <is>
          <t>OK</t>
        </is>
      </c>
    </row>
    <row r="1197">
      <c r="A1197" s="33" t="inlineStr">
        <is>
          <t>SM001193</t>
        </is>
      </c>
      <c r="B1197" s="33" t="inlineStr">
        <is>
          <t>SW015</t>
        </is>
      </c>
      <c r="C1197" s="33" t="inlineStr">
        <is>
          <t>Jack Alexy</t>
        </is>
      </c>
      <c r="D1197" s="33" t="inlineStr">
        <is>
          <t>SwimCloud</t>
        </is>
      </c>
      <c r="E1197" s="33" t="inlineStr">
        <is>
          <t>503872</t>
        </is>
      </c>
      <c r="F1197" s="33" t="inlineStr">
        <is>
          <t>126232377</t>
        </is>
      </c>
      <c r="G1197" s="51" t="n">
        <v>45428</v>
      </c>
      <c r="H1197" s="33" t="inlineStr">
        <is>
          <t>CA Trojan Aquatics Los Angeles Invite</t>
        </is>
      </c>
      <c r="I1197" s="33" t="inlineStr">
        <is>
          <t>304132</t>
        </is>
      </c>
      <c r="J1197" s="33" t="inlineStr"/>
      <c r="K1197" s="33" t="inlineStr">
        <is>
          <t>FIN</t>
        </is>
      </c>
      <c r="L1197" s="35">
        <f>IF(K1197="FIN",3,IF(OR(K1197="SEM",K1197="SEMI"),2,IF(OR(K1197="PRE",K1197="HEAT"),1,IF(V1197="YES",4,2))))</f>
        <v/>
      </c>
      <c r="M1197" s="33" t="inlineStr">
        <is>
          <t>LCM</t>
        </is>
      </c>
      <c r="N1197" s="33" t="n">
        <v>100</v>
      </c>
      <c r="O1197" s="33" t="inlineStr">
        <is>
          <t>Free</t>
        </is>
      </c>
      <c r="P1197" s="33" t="inlineStr">
        <is>
          <t>100 Free</t>
        </is>
      </c>
      <c r="Q1197" s="33" t="inlineStr">
        <is>
          <t>LCM_100_FREE</t>
        </is>
      </c>
      <c r="R1197" s="36" t="n">
        <v>48.37</v>
      </c>
      <c r="S1197" s="35">
        <f>IF(R1197="","",IF(R1197&gt;=60,INT(R1197/60)&amp;":"&amp;TEXT(MOD(R1197,60),"00.00"),TEXT(R1197,"0.00")))</f>
        <v/>
      </c>
      <c r="T1197" s="52">
        <f>IFERROR((G1197-INDEX('01_Swimmers'!$E$5:$E$22,MATCH(B1197,'01_Swimmers'!$A$5:$A$22,0)))/'00_Control'!$B$10,"")</f>
        <v/>
      </c>
      <c r="U1197" s="35">
        <f>IF(T1197="","",INT(T1197))</f>
        <v/>
      </c>
      <c r="V1197" s="33" t="inlineStr">
        <is>
          <t>NO</t>
        </is>
      </c>
      <c r="W1197" s="33" t="inlineStr">
        <is>
          <t>YES</t>
        </is>
      </c>
      <c r="X1197" s="33" t="inlineStr">
        <is>
          <t>NO</t>
        </is>
      </c>
      <c r="Y1197" s="33" t="n">
        <v>3</v>
      </c>
      <c r="Z1197" s="33" t="n">
        <v>4</v>
      </c>
      <c r="AA1197" s="33" t="inlineStr">
        <is>
          <t>1</t>
        </is>
      </c>
      <c r="AB1197" s="33" t="inlineStr">
        <is>
          <t>https://www.swimcloud.com/results/304132/event/4/?id=126232377#time126232377</t>
        </is>
      </c>
      <c r="AC1197" s="33" t="inlineStr">
        <is>
          <t>SwimCloud API v6 2026-10-08</t>
        </is>
      </c>
      <c r="AD1197" s="33" t="inlineStr">
        <is>
          <t>Jack Alexy|2024-05-16|LCM|100|Free|48.37|CA Trojan Aquatics Los Angeles Invite|FIN|False</t>
        </is>
      </c>
      <c r="AE1197" s="53">
        <f>G1197+L1197/1000+ROW()/1000000000</f>
        <v/>
      </c>
      <c r="AF1197" s="35">
        <f>IF(C1197&lt;&gt;"Grayson Coulter","",COUNTIFS($C$5:$C$2991,"Grayson Coulter",$Q$5:$Q$2991,Q1197,$AE$5:$AE$2991,"&lt;="&amp;AE1197,$R$5:$R$2991,"&lt;"&amp;R1197))</f>
        <v/>
      </c>
      <c r="AG1197" s="35">
        <f>IF(OR(C1197&lt;&gt;"Grayson Coulter",G1197&lt;'00_Control'!$B$7),"",--(AF1197&lt;5))</f>
        <v/>
      </c>
      <c r="AH1197" s="35">
        <f>IF(OR(C1197&lt;&gt;"Grayson Coulter",G1197&lt;'00_Control'!$B$7),"",--(AF1197&lt;10))</f>
        <v/>
      </c>
      <c r="AI1197" s="35">
        <f>IF(AND(C1197="Grayson Coulter",G1197&gt;='00_Control'!$B$7),"YES","NO")</f>
        <v/>
      </c>
      <c r="AJ1197" s="33" t="inlineStr">
        <is>
          <t>OK</t>
        </is>
      </c>
    </row>
    <row r="1198">
      <c r="A1198" s="33" t="inlineStr">
        <is>
          <t>SM001194</t>
        </is>
      </c>
      <c r="B1198" s="33" t="inlineStr">
        <is>
          <t>SW015</t>
        </is>
      </c>
      <c r="C1198" s="33" t="inlineStr">
        <is>
          <t>Jack Alexy</t>
        </is>
      </c>
      <c r="D1198" s="33" t="inlineStr">
        <is>
          <t>SwimCloud</t>
        </is>
      </c>
      <c r="E1198" s="33" t="inlineStr">
        <is>
          <t>503872</t>
        </is>
      </c>
      <c r="F1198" s="33" t="inlineStr">
        <is>
          <t>126232923</t>
        </is>
      </c>
      <c r="G1198" s="51" t="n">
        <v>45429</v>
      </c>
      <c r="H1198" s="33" t="inlineStr">
        <is>
          <t>CA Trojan Aquatics Los Angeles Invite</t>
        </is>
      </c>
      <c r="I1198" s="33" t="inlineStr">
        <is>
          <t>304132</t>
        </is>
      </c>
      <c r="J1198" s="33" t="inlineStr"/>
      <c r="K1198" s="33" t="inlineStr">
        <is>
          <t>PRE</t>
        </is>
      </c>
      <c r="L1198" s="35">
        <f>IF(K1198="FIN",3,IF(OR(K1198="SEM",K1198="SEMI"),2,IF(OR(K1198="PRE",K1198="HEAT"),1,IF(V1198="YES",4,2))))</f>
        <v/>
      </c>
      <c r="M1198" s="33" t="inlineStr">
        <is>
          <t>LCM</t>
        </is>
      </c>
      <c r="N1198" s="33" t="n">
        <v>200</v>
      </c>
      <c r="O1198" s="33" t="inlineStr">
        <is>
          <t>Free</t>
        </is>
      </c>
      <c r="P1198" s="33" t="inlineStr">
        <is>
          <t>200 Free</t>
        </is>
      </c>
      <c r="Q1198" s="33" t="inlineStr">
        <is>
          <t>LCM_200_FREE</t>
        </is>
      </c>
      <c r="R1198" s="36" t="n">
        <v>150.79</v>
      </c>
      <c r="S1198" s="35">
        <f>IF(R1198="","",IF(R1198&gt;=60,INT(R1198/60)&amp;":"&amp;TEXT(MOD(R1198,60),"00.00"),TEXT(R1198,"0.00")))</f>
        <v/>
      </c>
      <c r="T1198" s="52">
        <f>IFERROR((G1198-INDEX('01_Swimmers'!$E$5:$E$22,MATCH(B1198,'01_Swimmers'!$A$5:$A$22,0)))/'00_Control'!$B$10,"")</f>
        <v/>
      </c>
      <c r="U1198" s="35">
        <f>IF(T1198="","",INT(T1198))</f>
        <v/>
      </c>
      <c r="V1198" s="33" t="inlineStr">
        <is>
          <t>NO</t>
        </is>
      </c>
      <c r="W1198" s="33" t="inlineStr">
        <is>
          <t>YES</t>
        </is>
      </c>
      <c r="X1198" s="33" t="inlineStr">
        <is>
          <t>NO</t>
        </is>
      </c>
      <c r="Y1198" s="33" t="n">
        <v>1</v>
      </c>
      <c r="Z1198" s="33" t="n">
        <v>4</v>
      </c>
      <c r="AA1198" s="33" t="inlineStr">
        <is>
          <t>24</t>
        </is>
      </c>
      <c r="AB1198" s="33" t="inlineStr">
        <is>
          <t>https://www.swimcloud.com/results/304132/event/12/?id=126232923#time126232923</t>
        </is>
      </c>
      <c r="AC1198" s="33" t="inlineStr">
        <is>
          <t>SwimCloud API v6 2026-10-08</t>
        </is>
      </c>
      <c r="AD1198" s="33" t="inlineStr">
        <is>
          <t>Jack Alexy|2024-05-17|LCM|200|Free|150.79|CA Trojan Aquatics Los Angeles Invite|PRE|False</t>
        </is>
      </c>
      <c r="AE1198" s="53">
        <f>G1198+L1198/1000+ROW()/1000000000</f>
        <v/>
      </c>
      <c r="AF1198" s="35">
        <f>IF(C1198&lt;&gt;"Grayson Coulter","",COUNTIFS($C$5:$C$2991,"Grayson Coulter",$Q$5:$Q$2991,Q1198,$AE$5:$AE$2991,"&lt;="&amp;AE1198,$R$5:$R$2991,"&lt;"&amp;R1198))</f>
        <v/>
      </c>
      <c r="AG1198" s="35">
        <f>IF(OR(C1198&lt;&gt;"Grayson Coulter",G1198&lt;'00_Control'!$B$7),"",--(AF1198&lt;5))</f>
        <v/>
      </c>
      <c r="AH1198" s="35">
        <f>IF(OR(C1198&lt;&gt;"Grayson Coulter",G1198&lt;'00_Control'!$B$7),"",--(AF1198&lt;10))</f>
        <v/>
      </c>
      <c r="AI1198" s="35">
        <f>IF(AND(C1198="Grayson Coulter",G1198&gt;='00_Control'!$B$7),"YES","NO")</f>
        <v/>
      </c>
      <c r="AJ1198" s="33" t="inlineStr">
        <is>
          <t>OK</t>
        </is>
      </c>
    </row>
    <row r="1199">
      <c r="A1199" s="33" t="inlineStr">
        <is>
          <t>SM001195</t>
        </is>
      </c>
      <c r="B1199" s="33" t="inlineStr">
        <is>
          <t>SW015</t>
        </is>
      </c>
      <c r="C1199" s="33" t="inlineStr">
        <is>
          <t>Jack Alexy</t>
        </is>
      </c>
      <c r="D1199" s="33" t="inlineStr">
        <is>
          <t>SwimCloud</t>
        </is>
      </c>
      <c r="E1199" s="33" t="inlineStr">
        <is>
          <t>503872</t>
        </is>
      </c>
      <c r="F1199" s="33" t="inlineStr">
        <is>
          <t>126232924</t>
        </is>
      </c>
      <c r="G1199" s="51" t="n">
        <v>45429</v>
      </c>
      <c r="H1199" s="33" t="inlineStr">
        <is>
          <t>CA Trojan Aquatics Los Angeles Invite</t>
        </is>
      </c>
      <c r="I1199" s="33" t="inlineStr">
        <is>
          <t>304132</t>
        </is>
      </c>
      <c r="J1199" s="33" t="inlineStr"/>
      <c r="K1199" s="33" t="inlineStr">
        <is>
          <t>FIN</t>
        </is>
      </c>
      <c r="L1199" s="35">
        <f>IF(K1199="FIN",3,IF(OR(K1199="SEM",K1199="SEMI"),2,IF(OR(K1199="PRE",K1199="HEAT"),1,IF(V1199="YES",4,2))))</f>
        <v/>
      </c>
      <c r="M1199" s="33" t="inlineStr">
        <is>
          <t>LCM</t>
        </is>
      </c>
      <c r="N1199" s="33" t="n">
        <v>200</v>
      </c>
      <c r="O1199" s="33" t="inlineStr">
        <is>
          <t>Free</t>
        </is>
      </c>
      <c r="P1199" s="33" t="inlineStr">
        <is>
          <t>200 Free</t>
        </is>
      </c>
      <c r="Q1199" s="33" t="inlineStr">
        <is>
          <t>LCM_200_FREE</t>
        </is>
      </c>
      <c r="R1199" s="36" t="n">
        <v>142.95</v>
      </c>
      <c r="S1199" s="35">
        <f>IF(R1199="","",IF(R1199&gt;=60,INT(R1199/60)&amp;":"&amp;TEXT(MOD(R1199,60),"00.00"),TEXT(R1199,"0.00")))</f>
        <v/>
      </c>
      <c r="T1199" s="52">
        <f>IFERROR((G1199-INDEX('01_Swimmers'!$E$5:$E$22,MATCH(B1199,'01_Swimmers'!$A$5:$A$22,0)))/'00_Control'!$B$10,"")</f>
        <v/>
      </c>
      <c r="U1199" s="35">
        <f>IF(T1199="","",INT(T1199))</f>
        <v/>
      </c>
      <c r="V1199" s="33" t="inlineStr">
        <is>
          <t>NO</t>
        </is>
      </c>
      <c r="W1199" s="33" t="inlineStr">
        <is>
          <t>YES</t>
        </is>
      </c>
      <c r="X1199" s="33" t="inlineStr">
        <is>
          <t>NO</t>
        </is>
      </c>
      <c r="Y1199" s="33" t="n">
        <v>1</v>
      </c>
      <c r="Z1199" s="33" t="n">
        <v>2</v>
      </c>
      <c r="AA1199" s="33" t="inlineStr">
        <is>
          <t>20</t>
        </is>
      </c>
      <c r="AB1199" s="33" t="inlineStr">
        <is>
          <t>https://www.swimcloud.com/results/304132/event/12/?id=126232924#time126232924</t>
        </is>
      </c>
      <c r="AC1199" s="33" t="inlineStr">
        <is>
          <t>SwimCloud API v6 2026-10-08</t>
        </is>
      </c>
      <c r="AD1199" s="33" t="inlineStr">
        <is>
          <t>Jack Alexy|2024-05-17|LCM|200|Free|142.95|CA Trojan Aquatics Los Angeles Invite|FIN|False</t>
        </is>
      </c>
      <c r="AE1199" s="53">
        <f>G1199+L1199/1000+ROW()/1000000000</f>
        <v/>
      </c>
      <c r="AF1199" s="35">
        <f>IF(C1199&lt;&gt;"Grayson Coulter","",COUNTIFS($C$5:$C$2991,"Grayson Coulter",$Q$5:$Q$2991,Q1199,$AE$5:$AE$2991,"&lt;="&amp;AE1199,$R$5:$R$2991,"&lt;"&amp;R1199))</f>
        <v/>
      </c>
      <c r="AG1199" s="35">
        <f>IF(OR(C1199&lt;&gt;"Grayson Coulter",G1199&lt;'00_Control'!$B$7),"",--(AF1199&lt;5))</f>
        <v/>
      </c>
      <c r="AH1199" s="35">
        <f>IF(OR(C1199&lt;&gt;"Grayson Coulter",G1199&lt;'00_Control'!$B$7),"",--(AF1199&lt;10))</f>
        <v/>
      </c>
      <c r="AI1199" s="35">
        <f>IF(AND(C1199="Grayson Coulter",G1199&gt;='00_Control'!$B$7),"YES","NO")</f>
        <v/>
      </c>
      <c r="AJ1199" s="33" t="inlineStr">
        <is>
          <t>OK</t>
        </is>
      </c>
    </row>
    <row r="1200">
      <c r="A1200" s="33" t="inlineStr">
        <is>
          <t>SM001196</t>
        </is>
      </c>
      <c r="B1200" s="33" t="inlineStr">
        <is>
          <t>SW015</t>
        </is>
      </c>
      <c r="C1200" s="33" t="inlineStr">
        <is>
          <t>Jack Alexy</t>
        </is>
      </c>
      <c r="D1200" s="33" t="inlineStr">
        <is>
          <t>SwimCloud</t>
        </is>
      </c>
      <c r="E1200" s="33" t="inlineStr">
        <is>
          <t>503872</t>
        </is>
      </c>
      <c r="F1200" s="33" t="inlineStr">
        <is>
          <t>128577781</t>
        </is>
      </c>
      <c r="G1200" s="51" t="n">
        <v>45461</v>
      </c>
      <c r="H1200" s="33" t="inlineStr">
        <is>
          <t>US Olympic Team Trials</t>
        </is>
      </c>
      <c r="I1200" s="33" t="inlineStr">
        <is>
          <t>302718</t>
        </is>
      </c>
      <c r="J1200" s="33" t="inlineStr"/>
      <c r="K1200" s="33" t="inlineStr">
        <is>
          <t>PRE</t>
        </is>
      </c>
      <c r="L1200" s="35">
        <f>IF(K1200="FIN",3,IF(OR(K1200="SEM",K1200="SEMI"),2,IF(OR(K1200="PRE",K1200="HEAT"),1,IF(V1200="YES",4,2))))</f>
        <v/>
      </c>
      <c r="M1200" s="33" t="inlineStr">
        <is>
          <t>LCM</t>
        </is>
      </c>
      <c r="N1200" s="33" t="n">
        <v>100</v>
      </c>
      <c r="O1200" s="33" t="inlineStr">
        <is>
          <t>Free</t>
        </is>
      </c>
      <c r="P1200" s="33" t="inlineStr">
        <is>
          <t>100 Free</t>
        </is>
      </c>
      <c r="Q1200" s="33" t="inlineStr">
        <is>
          <t>LCM_100_FREE</t>
        </is>
      </c>
      <c r="R1200" s="36" t="n">
        <v>47.08</v>
      </c>
      <c r="S1200" s="35">
        <f>IF(R1200="","",IF(R1200&gt;=60,INT(R1200/60)&amp;":"&amp;TEXT(MOD(R1200,60),"00.00"),TEXT(R1200,"0.00")))</f>
        <v/>
      </c>
      <c r="T1200" s="52">
        <f>IFERROR((G1200-INDEX('01_Swimmers'!$E$5:$E$22,MATCH(B1200,'01_Swimmers'!$A$5:$A$22,0)))/'00_Control'!$B$10,"")</f>
        <v/>
      </c>
      <c r="U1200" s="35">
        <f>IF(T1200="","",INT(T1200))</f>
        <v/>
      </c>
      <c r="V1200" s="33" t="inlineStr">
        <is>
          <t>NO</t>
        </is>
      </c>
      <c r="W1200" s="33" t="inlineStr">
        <is>
          <t>YES</t>
        </is>
      </c>
      <c r="X1200" s="33" t="inlineStr">
        <is>
          <t>NO</t>
        </is>
      </c>
      <c r="Y1200" s="33" t="n">
        <v>9</v>
      </c>
      <c r="Z1200" s="33" t="n">
        <v>4</v>
      </c>
      <c r="AA1200" s="33" t="inlineStr">
        <is>
          <t>1</t>
        </is>
      </c>
      <c r="AB1200" s="33" t="inlineStr">
        <is>
          <t>https://www.swimcloud.com/results/302718/event/14/?id=128577781#time128577781</t>
        </is>
      </c>
      <c r="AC1200" s="33" t="inlineStr">
        <is>
          <t>SwimCloud API v6 2026-10-08</t>
        </is>
      </c>
      <c r="AD1200" s="33" t="inlineStr">
        <is>
          <t>Jack Alexy|2024-06-18|LCM|100|Free|47.08|US Olympic Team Trials|PRE|False</t>
        </is>
      </c>
      <c r="AE1200" s="53">
        <f>G1200+L1200/1000+ROW()/1000000000</f>
        <v/>
      </c>
      <c r="AF1200" s="35">
        <f>IF(C1200&lt;&gt;"Grayson Coulter","",COUNTIFS($C$5:$C$2991,"Grayson Coulter",$Q$5:$Q$2991,Q1200,$AE$5:$AE$2991,"&lt;="&amp;AE1200,$R$5:$R$2991,"&lt;"&amp;R1200))</f>
        <v/>
      </c>
      <c r="AG1200" s="35">
        <f>IF(OR(C1200&lt;&gt;"Grayson Coulter",G1200&lt;'00_Control'!$B$7),"",--(AF1200&lt;5))</f>
        <v/>
      </c>
      <c r="AH1200" s="35">
        <f>IF(OR(C1200&lt;&gt;"Grayson Coulter",G1200&lt;'00_Control'!$B$7),"",--(AF1200&lt;10))</f>
        <v/>
      </c>
      <c r="AI1200" s="35">
        <f>IF(AND(C1200="Grayson Coulter",G1200&gt;='00_Control'!$B$7),"YES","NO")</f>
        <v/>
      </c>
      <c r="AJ1200" s="33" t="inlineStr">
        <is>
          <t>OK</t>
        </is>
      </c>
    </row>
    <row r="1201">
      <c r="A1201" s="33" t="inlineStr">
        <is>
          <t>SM001197</t>
        </is>
      </c>
      <c r="B1201" s="33" t="inlineStr">
        <is>
          <t>SW015</t>
        </is>
      </c>
      <c r="C1201" s="33" t="inlineStr">
        <is>
          <t>Jack Alexy</t>
        </is>
      </c>
      <c r="D1201" s="33" t="inlineStr">
        <is>
          <t>SwimCloud</t>
        </is>
      </c>
      <c r="E1201" s="33" t="inlineStr">
        <is>
          <t>503872</t>
        </is>
      </c>
      <c r="F1201" s="33" t="inlineStr">
        <is>
          <t>128577782</t>
        </is>
      </c>
      <c r="G1201" s="51" t="n">
        <v>45461</v>
      </c>
      <c r="H1201" s="33" t="inlineStr">
        <is>
          <t>US Olympic Team Trials</t>
        </is>
      </c>
      <c r="I1201" s="33" t="inlineStr">
        <is>
          <t>302718</t>
        </is>
      </c>
      <c r="J1201" s="33" t="inlineStr"/>
      <c r="K1201" s="33" t="inlineStr">
        <is>
          <t>SEM</t>
        </is>
      </c>
      <c r="L1201" s="35">
        <f>IF(K1201="FIN",3,IF(OR(K1201="SEM",K1201="SEMI"),2,IF(OR(K1201="PRE",K1201="HEAT"),1,IF(V1201="YES",4,2))))</f>
        <v/>
      </c>
      <c r="M1201" s="33" t="inlineStr">
        <is>
          <t>LCM</t>
        </is>
      </c>
      <c r="N1201" s="33" t="n">
        <v>100</v>
      </c>
      <c r="O1201" s="33" t="inlineStr">
        <is>
          <t>Free</t>
        </is>
      </c>
      <c r="P1201" s="33" t="inlineStr">
        <is>
          <t>100 Free</t>
        </is>
      </c>
      <c r="Q1201" s="33" t="inlineStr">
        <is>
          <t>LCM_100_FREE</t>
        </is>
      </c>
      <c r="R1201" s="36" t="n">
        <v>47.33</v>
      </c>
      <c r="S1201" s="35">
        <f>IF(R1201="","",IF(R1201&gt;=60,INT(R1201/60)&amp;":"&amp;TEXT(MOD(R1201,60),"00.00"),TEXT(R1201,"0.00")))</f>
        <v/>
      </c>
      <c r="T1201" s="52">
        <f>IFERROR((G1201-INDEX('01_Swimmers'!$E$5:$E$22,MATCH(B1201,'01_Swimmers'!$A$5:$A$22,0)))/'00_Control'!$B$10,"")</f>
        <v/>
      </c>
      <c r="U1201" s="35">
        <f>IF(T1201="","",INT(T1201))</f>
        <v/>
      </c>
      <c r="V1201" s="33" t="inlineStr">
        <is>
          <t>NO</t>
        </is>
      </c>
      <c r="W1201" s="33" t="inlineStr">
        <is>
          <t>YES</t>
        </is>
      </c>
      <c r="X1201" s="33" t="inlineStr">
        <is>
          <t>NO</t>
        </is>
      </c>
      <c r="Y1201" s="33" t="n">
        <v>2</v>
      </c>
      <c r="Z1201" s="33" t="n">
        <v>4</v>
      </c>
      <c r="AA1201" s="33" t="inlineStr">
        <is>
          <t>2</t>
        </is>
      </c>
      <c r="AB1201" s="33" t="inlineStr">
        <is>
          <t>https://www.swimcloud.com/results/302718/event/14/?id=128577782#time128577782</t>
        </is>
      </c>
      <c r="AC1201" s="33" t="inlineStr">
        <is>
          <t>SwimCloud API v6 2026-10-08</t>
        </is>
      </c>
      <c r="AD1201" s="33" t="inlineStr">
        <is>
          <t>Jack Alexy|2024-06-18|LCM|100|Free|47.33|US Olympic Team Trials|SEM|False</t>
        </is>
      </c>
      <c r="AE1201" s="53">
        <f>G1201+L1201/1000+ROW()/1000000000</f>
        <v/>
      </c>
      <c r="AF1201" s="35">
        <f>IF(C1201&lt;&gt;"Grayson Coulter","",COUNTIFS($C$5:$C$2991,"Grayson Coulter",$Q$5:$Q$2991,Q1201,$AE$5:$AE$2991,"&lt;="&amp;AE1201,$R$5:$R$2991,"&lt;"&amp;R1201))</f>
        <v/>
      </c>
      <c r="AG1201" s="35">
        <f>IF(OR(C1201&lt;&gt;"Grayson Coulter",G1201&lt;'00_Control'!$B$7),"",--(AF1201&lt;5))</f>
        <v/>
      </c>
      <c r="AH1201" s="35">
        <f>IF(OR(C1201&lt;&gt;"Grayson Coulter",G1201&lt;'00_Control'!$B$7),"",--(AF1201&lt;10))</f>
        <v/>
      </c>
      <c r="AI1201" s="35">
        <f>IF(AND(C1201="Grayson Coulter",G1201&gt;='00_Control'!$B$7),"YES","NO")</f>
        <v/>
      </c>
      <c r="AJ1201" s="33" t="inlineStr">
        <is>
          <t>OK</t>
        </is>
      </c>
    </row>
    <row r="1202">
      <c r="A1202" s="33" t="inlineStr">
        <is>
          <t>SM001198</t>
        </is>
      </c>
      <c r="B1202" s="33" t="inlineStr">
        <is>
          <t>SW015</t>
        </is>
      </c>
      <c r="C1202" s="33" t="inlineStr">
        <is>
          <t>Jack Alexy</t>
        </is>
      </c>
      <c r="D1202" s="33" t="inlineStr">
        <is>
          <t>SwimCloud</t>
        </is>
      </c>
      <c r="E1202" s="33" t="inlineStr">
        <is>
          <t>503872</t>
        </is>
      </c>
      <c r="F1202" s="33" t="inlineStr">
        <is>
          <t>128577780</t>
        </is>
      </c>
      <c r="G1202" s="51" t="n">
        <v>45462</v>
      </c>
      <c r="H1202" s="33" t="inlineStr">
        <is>
          <t>US Olympic Team Trials</t>
        </is>
      </c>
      <c r="I1202" s="33" t="inlineStr">
        <is>
          <t>302718</t>
        </is>
      </c>
      <c r="J1202" s="33" t="inlineStr"/>
      <c r="K1202" s="33" t="inlineStr">
        <is>
          <t>FIN</t>
        </is>
      </c>
      <c r="L1202" s="35">
        <f>IF(K1202="FIN",3,IF(OR(K1202="SEM",K1202="SEMI"),2,IF(OR(K1202="PRE",K1202="HEAT"),1,IF(V1202="YES",4,2))))</f>
        <v/>
      </c>
      <c r="M1202" s="33" t="inlineStr">
        <is>
          <t>LCM</t>
        </is>
      </c>
      <c r="N1202" s="33" t="n">
        <v>100</v>
      </c>
      <c r="O1202" s="33" t="inlineStr">
        <is>
          <t>Free</t>
        </is>
      </c>
      <c r="P1202" s="33" t="inlineStr">
        <is>
          <t>100 Free</t>
        </is>
      </c>
      <c r="Q1202" s="33" t="inlineStr">
        <is>
          <t>LCM_100_FREE</t>
        </is>
      </c>
      <c r="R1202" s="36" t="n">
        <v>47.47</v>
      </c>
      <c r="S1202" s="35">
        <f>IF(R1202="","",IF(R1202&gt;=60,INT(R1202/60)&amp;":"&amp;TEXT(MOD(R1202,60),"00.00"),TEXT(R1202,"0.00")))</f>
        <v/>
      </c>
      <c r="T1202" s="52">
        <f>IFERROR((G1202-INDEX('01_Swimmers'!$E$5:$E$22,MATCH(B1202,'01_Swimmers'!$A$5:$A$22,0)))/'00_Control'!$B$10,"")</f>
        <v/>
      </c>
      <c r="U1202" s="35">
        <f>IF(T1202="","",INT(T1202))</f>
        <v/>
      </c>
      <c r="V1202" s="33" t="inlineStr">
        <is>
          <t>NO</t>
        </is>
      </c>
      <c r="W1202" s="33" t="inlineStr">
        <is>
          <t>YES</t>
        </is>
      </c>
      <c r="X1202" s="33" t="inlineStr">
        <is>
          <t>NO</t>
        </is>
      </c>
      <c r="Y1202" s="33" t="n">
        <v>1</v>
      </c>
      <c r="Z1202" s="33" t="n">
        <v>5</v>
      </c>
      <c r="AA1202" s="33" t="inlineStr">
        <is>
          <t>2</t>
        </is>
      </c>
      <c r="AB1202" s="33" t="inlineStr">
        <is>
          <t>https://www.swimcloud.com/results/302718/event/14/?id=128577780#time128577780</t>
        </is>
      </c>
      <c r="AC1202" s="33" t="inlineStr">
        <is>
          <t>SwimCloud API v6 2026-10-08</t>
        </is>
      </c>
      <c r="AD1202" s="33" t="inlineStr">
        <is>
          <t>Jack Alexy|2024-06-19|LCM|100|Free|47.47|US Olympic Team Trials|FIN|False</t>
        </is>
      </c>
      <c r="AE1202" s="53">
        <f>G1202+L1202/1000+ROW()/1000000000</f>
        <v/>
      </c>
      <c r="AF1202" s="35">
        <f>IF(C1202&lt;&gt;"Grayson Coulter","",COUNTIFS($C$5:$C$2991,"Grayson Coulter",$Q$5:$Q$2991,Q1202,$AE$5:$AE$2991,"&lt;="&amp;AE1202,$R$5:$R$2991,"&lt;"&amp;R1202))</f>
        <v/>
      </c>
      <c r="AG1202" s="35">
        <f>IF(OR(C1202&lt;&gt;"Grayson Coulter",G1202&lt;'00_Control'!$B$7),"",--(AF1202&lt;5))</f>
        <v/>
      </c>
      <c r="AH1202" s="35">
        <f>IF(OR(C1202&lt;&gt;"Grayson Coulter",G1202&lt;'00_Control'!$B$7),"",--(AF1202&lt;10))</f>
        <v/>
      </c>
      <c r="AI1202" s="35">
        <f>IF(AND(C1202="Grayson Coulter",G1202&gt;='00_Control'!$B$7),"YES","NO")</f>
        <v/>
      </c>
      <c r="AJ1202" s="33" t="inlineStr">
        <is>
          <t>OK</t>
        </is>
      </c>
    </row>
    <row r="1203">
      <c r="A1203" s="33" t="inlineStr">
        <is>
          <t>SM001199</t>
        </is>
      </c>
      <c r="B1203" s="33" t="inlineStr">
        <is>
          <t>SW015</t>
        </is>
      </c>
      <c r="C1203" s="33" t="inlineStr">
        <is>
          <t>Jack Alexy</t>
        </is>
      </c>
      <c r="D1203" s="33" t="inlineStr">
        <is>
          <t>SwimCloud</t>
        </is>
      </c>
      <c r="E1203" s="33" t="inlineStr">
        <is>
          <t>503872</t>
        </is>
      </c>
      <c r="F1203" s="33" t="inlineStr">
        <is>
          <t>130573003</t>
        </is>
      </c>
      <c r="G1203" s="51" t="n">
        <v>45500</v>
      </c>
      <c r="H1203" s="33" t="inlineStr">
        <is>
          <t>Olympic Games</t>
        </is>
      </c>
      <c r="I1203" s="33" t="inlineStr">
        <is>
          <t>2424</t>
        </is>
      </c>
      <c r="J1203" s="33" t="inlineStr"/>
      <c r="K1203" s="33" t="inlineStr">
        <is>
          <t>PRE</t>
        </is>
      </c>
      <c r="L1203" s="35">
        <f>IF(K1203="FIN",3,IF(OR(K1203="SEM",K1203="SEMI"),2,IF(OR(K1203="PRE",K1203="HEAT"),1,IF(V1203="YES",4,2))))</f>
        <v/>
      </c>
      <c r="M1203" s="33" t="inlineStr">
        <is>
          <t>LCM</t>
        </is>
      </c>
      <c r="N1203" s="33" t="n">
        <v>100</v>
      </c>
      <c r="O1203" s="33" t="inlineStr">
        <is>
          <t>Free</t>
        </is>
      </c>
      <c r="P1203" s="33" t="inlineStr">
        <is>
          <t>100 Free</t>
        </is>
      </c>
      <c r="Q1203" s="33" t="inlineStr">
        <is>
          <t>LCM_100_FREE</t>
        </is>
      </c>
      <c r="R1203" s="36" t="n">
        <v>47.54</v>
      </c>
      <c r="S1203" s="35">
        <f>IF(R1203="","",IF(R1203&gt;=60,INT(R1203/60)&amp;":"&amp;TEXT(MOD(R1203,60),"00.00"),TEXT(R1203,"0.00")))</f>
        <v/>
      </c>
      <c r="T1203" s="52">
        <f>IFERROR((G1203-INDEX('01_Swimmers'!$E$5:$E$22,MATCH(B1203,'01_Swimmers'!$A$5:$A$22,0)))/'00_Control'!$B$10,"")</f>
        <v/>
      </c>
      <c r="U1203" s="35">
        <f>IF(T1203="","",INT(T1203))</f>
        <v/>
      </c>
      <c r="V1203" s="33" t="inlineStr">
        <is>
          <t>NO</t>
        </is>
      </c>
      <c r="W1203" s="33" t="inlineStr">
        <is>
          <t>YES</t>
        </is>
      </c>
      <c r="X1203" s="33" t="inlineStr">
        <is>
          <t>NO</t>
        </is>
      </c>
      <c r="Y1203" s="33" t="n">
        <v>10</v>
      </c>
      <c r="Z1203" s="33" t="n">
        <v>7</v>
      </c>
      <c r="AA1203" s="33" t="inlineStr">
        <is>
          <t>1</t>
        </is>
      </c>
      <c r="AB1203" s="33" t="inlineStr">
        <is>
          <t>https://www.swimcloud.com/results/2424/event/104/?id=130573003#time130573003</t>
        </is>
      </c>
      <c r="AC1203" s="33" t="inlineStr">
        <is>
          <t>SwimCloud API v6 2026-10-08</t>
        </is>
      </c>
      <c r="AD1203" s="33" t="inlineStr">
        <is>
          <t>Jack Alexy|2024-07-27|LCM|100|Free|47.54|Olympic Games|PRE|False</t>
        </is>
      </c>
      <c r="AE1203" s="53">
        <f>G1203+L1203/1000+ROW()/1000000000</f>
        <v/>
      </c>
      <c r="AF1203" s="35">
        <f>IF(C1203&lt;&gt;"Grayson Coulter","",COUNTIFS($C$5:$C$2991,"Grayson Coulter",$Q$5:$Q$2991,Q1203,$AE$5:$AE$2991,"&lt;="&amp;AE1203,$R$5:$R$2991,"&lt;"&amp;R1203))</f>
        <v/>
      </c>
      <c r="AG1203" s="35">
        <f>IF(OR(C1203&lt;&gt;"Grayson Coulter",G1203&lt;'00_Control'!$B$7),"",--(AF1203&lt;5))</f>
        <v/>
      </c>
      <c r="AH1203" s="35">
        <f>IF(OR(C1203&lt;&gt;"Grayson Coulter",G1203&lt;'00_Control'!$B$7),"",--(AF1203&lt;10))</f>
        <v/>
      </c>
      <c r="AI1203" s="35">
        <f>IF(AND(C1203="Grayson Coulter",G1203&gt;='00_Control'!$B$7),"YES","NO")</f>
        <v/>
      </c>
      <c r="AJ1203" s="33" t="inlineStr">
        <is>
          <t>OK</t>
        </is>
      </c>
    </row>
    <row r="1204">
      <c r="A1204" s="33" t="inlineStr">
        <is>
          <t>SM001200</t>
        </is>
      </c>
      <c r="B1204" s="33" t="inlineStr">
        <is>
          <t>SW015</t>
        </is>
      </c>
      <c r="C1204" s="33" t="inlineStr">
        <is>
          <t>Jack Alexy</t>
        </is>
      </c>
      <c r="D1204" s="33" t="inlineStr">
        <is>
          <t>SwimCloud</t>
        </is>
      </c>
      <c r="E1204" s="33" t="inlineStr">
        <is>
          <t>503872</t>
        </is>
      </c>
      <c r="F1204" s="33" t="inlineStr">
        <is>
          <t>130612915</t>
        </is>
      </c>
      <c r="G1204" s="51" t="n">
        <v>45500</v>
      </c>
      <c r="H1204" s="33" t="inlineStr">
        <is>
          <t>Olympic Games</t>
        </is>
      </c>
      <c r="I1204" s="33" t="inlineStr">
        <is>
          <t>2424</t>
        </is>
      </c>
      <c r="J1204" s="33" t="inlineStr"/>
      <c r="K1204" s="33" t="inlineStr">
        <is>
          <t>SEM</t>
        </is>
      </c>
      <c r="L1204" s="35">
        <f>IF(K1204="FIN",3,IF(OR(K1204="SEM",K1204="SEMI"),2,IF(OR(K1204="PRE",K1204="HEAT"),1,IF(V1204="YES",4,2))))</f>
        <v/>
      </c>
      <c r="M1204" s="33" t="inlineStr">
        <is>
          <t>LCM</t>
        </is>
      </c>
      <c r="N1204" s="33" t="n">
        <v>100</v>
      </c>
      <c r="O1204" s="33" t="inlineStr">
        <is>
          <t>Free</t>
        </is>
      </c>
      <c r="P1204" s="33" t="inlineStr">
        <is>
          <t>100 Free</t>
        </is>
      </c>
      <c r="Q1204" s="33" t="inlineStr">
        <is>
          <t>LCM_100_FREE</t>
        </is>
      </c>
      <c r="R1204" s="36" t="n">
        <v>47.68</v>
      </c>
      <c r="S1204" s="35">
        <f>IF(R1204="","",IF(R1204&gt;=60,INT(R1204/60)&amp;":"&amp;TEXT(MOD(R1204,60),"00.00"),TEXT(R1204,"0.00")))</f>
        <v/>
      </c>
      <c r="T1204" s="52">
        <f>IFERROR((G1204-INDEX('01_Swimmers'!$E$5:$E$22,MATCH(B1204,'01_Swimmers'!$A$5:$A$22,0)))/'00_Control'!$B$10,"")</f>
        <v/>
      </c>
      <c r="U1204" s="35">
        <f>IF(T1204="","",INT(T1204))</f>
        <v/>
      </c>
      <c r="V1204" s="33" t="inlineStr">
        <is>
          <t>NO</t>
        </is>
      </c>
      <c r="W1204" s="33" t="inlineStr">
        <is>
          <t>YES</t>
        </is>
      </c>
      <c r="X1204" s="33" t="inlineStr">
        <is>
          <t>NO</t>
        </is>
      </c>
      <c r="Y1204" s="33" t="n">
        <v>2</v>
      </c>
      <c r="Z1204" s="33" t="n">
        <v>6</v>
      </c>
      <c r="AA1204" s="33" t="inlineStr">
        <is>
          <t>6</t>
        </is>
      </c>
      <c r="AB1204" s="33" t="inlineStr">
        <is>
          <t>https://www.swimcloud.com/results/2424/event/104/?id=130612915#time130612915</t>
        </is>
      </c>
      <c r="AC1204" s="33" t="inlineStr">
        <is>
          <t>SwimCloud API v6 2026-10-08</t>
        </is>
      </c>
      <c r="AD1204" s="33" t="inlineStr">
        <is>
          <t>Jack Alexy|2024-07-27|LCM|100|Free|47.68|Olympic Games|SEM|False</t>
        </is>
      </c>
      <c r="AE1204" s="53">
        <f>G1204+L1204/1000+ROW()/1000000000</f>
        <v/>
      </c>
      <c r="AF1204" s="35">
        <f>IF(C1204&lt;&gt;"Grayson Coulter","",COUNTIFS($C$5:$C$2991,"Grayson Coulter",$Q$5:$Q$2991,Q1204,$AE$5:$AE$2991,"&lt;="&amp;AE1204,$R$5:$R$2991,"&lt;"&amp;R1204))</f>
        <v/>
      </c>
      <c r="AG1204" s="35">
        <f>IF(OR(C1204&lt;&gt;"Grayson Coulter",G1204&lt;'00_Control'!$B$7),"",--(AF1204&lt;5))</f>
        <v/>
      </c>
      <c r="AH1204" s="35">
        <f>IF(OR(C1204&lt;&gt;"Grayson Coulter",G1204&lt;'00_Control'!$B$7),"",--(AF1204&lt;10))</f>
        <v/>
      </c>
      <c r="AI1204" s="35">
        <f>IF(AND(C1204="Grayson Coulter",G1204&gt;='00_Control'!$B$7),"YES","NO")</f>
        <v/>
      </c>
      <c r="AJ1204" s="33" t="inlineStr">
        <is>
          <t>OK</t>
        </is>
      </c>
    </row>
    <row r="1205">
      <c r="A1205" s="33" t="inlineStr">
        <is>
          <t>SM001201</t>
        </is>
      </c>
      <c r="B1205" s="33" t="inlineStr">
        <is>
          <t>SW015</t>
        </is>
      </c>
      <c r="C1205" s="33" t="inlineStr">
        <is>
          <t>Jack Alexy</t>
        </is>
      </c>
      <c r="D1205" s="33" t="inlineStr">
        <is>
          <t>SwimCloud</t>
        </is>
      </c>
      <c r="E1205" s="33" t="inlineStr">
        <is>
          <t>503872</t>
        </is>
      </c>
      <c r="F1205" s="33" t="inlineStr">
        <is>
          <t>130574151</t>
        </is>
      </c>
      <c r="G1205" s="51" t="n">
        <v>45500</v>
      </c>
      <c r="H1205" s="33" t="inlineStr">
        <is>
          <t>Olympic Games</t>
        </is>
      </c>
      <c r="I1205" s="33" t="inlineStr">
        <is>
          <t>2424</t>
        </is>
      </c>
      <c r="J1205" s="33" t="inlineStr"/>
      <c r="K1205" s="33" t="inlineStr">
        <is>
          <t>FIN</t>
        </is>
      </c>
      <c r="L1205" s="35">
        <f>IF(K1205="FIN",3,IF(OR(K1205="SEM",K1205="SEMI"),2,IF(OR(K1205="PRE",K1205="HEAT"),1,IF(V1205="YES",4,2))))</f>
        <v/>
      </c>
      <c r="M1205" s="33" t="inlineStr">
        <is>
          <t>LCM</t>
        </is>
      </c>
      <c r="N1205" s="33" t="n">
        <v>100</v>
      </c>
      <c r="O1205" s="33" t="inlineStr">
        <is>
          <t>Free</t>
        </is>
      </c>
      <c r="P1205" s="33" t="inlineStr">
        <is>
          <t>100 Free</t>
        </is>
      </c>
      <c r="Q1205" s="33" t="inlineStr">
        <is>
          <t>LCM_100_FREE</t>
        </is>
      </c>
      <c r="R1205" s="36" t="n">
        <v>47.93</v>
      </c>
      <c r="S1205" s="35">
        <f>IF(R1205="","",IF(R1205&gt;=60,INT(R1205/60)&amp;":"&amp;TEXT(MOD(R1205,60),"00.00"),TEXT(R1205,"0.00")))</f>
        <v/>
      </c>
      <c r="T1205" s="52">
        <f>IFERROR((G1205-INDEX('01_Swimmers'!$E$5:$E$22,MATCH(B1205,'01_Swimmers'!$A$5:$A$22,0)))/'00_Control'!$B$10,"")</f>
        <v/>
      </c>
      <c r="U1205" s="35">
        <f>IF(T1205="","",INT(T1205))</f>
        <v/>
      </c>
      <c r="V1205" s="33" t="inlineStr">
        <is>
          <t>YES</t>
        </is>
      </c>
      <c r="W1205" s="33" t="inlineStr">
        <is>
          <t>YES</t>
        </is>
      </c>
      <c r="X1205" s="33" t="inlineStr">
        <is>
          <t>NO</t>
        </is>
      </c>
      <c r="Y1205" s="33" t="n">
        <v>1</v>
      </c>
      <c r="Z1205" s="33" t="n">
        <v>6</v>
      </c>
      <c r="AA1205" s="33" t="inlineStr"/>
      <c r="AB1205" s="33" t="inlineStr">
        <is>
          <t>https://www.swimcloud.com/results/2424/event/602/?id=130573868#time130573868</t>
        </is>
      </c>
      <c r="AC1205" s="33" t="inlineStr">
        <is>
          <t>SwimCloud API v6 2026-10-08</t>
        </is>
      </c>
      <c r="AD1205" s="33" t="inlineStr">
        <is>
          <t>Jack Alexy|2024-07-27|LCM|100|Free|47.93|Olympic Games|FIN|True</t>
        </is>
      </c>
      <c r="AE1205" s="53">
        <f>G1205+L1205/1000+ROW()/1000000000</f>
        <v/>
      </c>
      <c r="AF1205" s="35">
        <f>IF(C1205&lt;&gt;"Grayson Coulter","",COUNTIFS($C$5:$C$2991,"Grayson Coulter",$Q$5:$Q$2991,Q1205,$AE$5:$AE$2991,"&lt;="&amp;AE1205,$R$5:$R$2991,"&lt;"&amp;R1205))</f>
        <v/>
      </c>
      <c r="AG1205" s="35">
        <f>IF(OR(C1205&lt;&gt;"Grayson Coulter",G1205&lt;'00_Control'!$B$7),"",--(AF1205&lt;5))</f>
        <v/>
      </c>
      <c r="AH1205" s="35">
        <f>IF(OR(C1205&lt;&gt;"Grayson Coulter",G1205&lt;'00_Control'!$B$7),"",--(AF1205&lt;10))</f>
        <v/>
      </c>
      <c r="AI1205" s="35">
        <f>IF(AND(C1205="Grayson Coulter",G1205&gt;='00_Control'!$B$7),"YES","NO")</f>
        <v/>
      </c>
      <c r="AJ1205" s="33" t="inlineStr">
        <is>
          <t>OK</t>
        </is>
      </c>
    </row>
    <row r="1206">
      <c r="A1206" s="33" t="inlineStr">
        <is>
          <t>SM001202</t>
        </is>
      </c>
      <c r="B1206" s="33" t="inlineStr">
        <is>
          <t>SW015</t>
        </is>
      </c>
      <c r="C1206" s="33" t="inlineStr">
        <is>
          <t>Jack Alexy</t>
        </is>
      </c>
      <c r="D1206" s="33" t="inlineStr">
        <is>
          <t>SwimCloud</t>
        </is>
      </c>
      <c r="E1206" s="33" t="inlineStr">
        <is>
          <t>503872</t>
        </is>
      </c>
      <c r="F1206" s="33" t="inlineStr">
        <is>
          <t>130612931</t>
        </is>
      </c>
      <c r="G1206" s="51" t="n">
        <v>45500</v>
      </c>
      <c r="H1206" s="33" t="inlineStr">
        <is>
          <t>Olympic Games</t>
        </is>
      </c>
      <c r="I1206" s="33" t="inlineStr">
        <is>
          <t>2424</t>
        </is>
      </c>
      <c r="J1206" s="33" t="inlineStr"/>
      <c r="K1206" s="33" t="inlineStr">
        <is>
          <t>FIN</t>
        </is>
      </c>
      <c r="L1206" s="35">
        <f>IF(K1206="FIN",3,IF(OR(K1206="SEM",K1206="SEMI"),2,IF(OR(K1206="PRE",K1206="HEAT"),1,IF(V1206="YES",4,2))))</f>
        <v/>
      </c>
      <c r="M1206" s="33" t="inlineStr">
        <is>
          <t>LCM</t>
        </is>
      </c>
      <c r="N1206" s="33" t="n">
        <v>100</v>
      </c>
      <c r="O1206" s="33" t="inlineStr">
        <is>
          <t>Free</t>
        </is>
      </c>
      <c r="P1206" s="33" t="inlineStr">
        <is>
          <t>100 Free</t>
        </is>
      </c>
      <c r="Q1206" s="33" t="inlineStr">
        <is>
          <t>LCM_100_FREE</t>
        </is>
      </c>
      <c r="R1206" s="36" t="n">
        <v>47.96</v>
      </c>
      <c r="S1206" s="35">
        <f>IF(R1206="","",IF(R1206&gt;=60,INT(R1206/60)&amp;":"&amp;TEXT(MOD(R1206,60),"00.00"),TEXT(R1206,"0.00")))</f>
        <v/>
      </c>
      <c r="T1206" s="52">
        <f>IFERROR((G1206-INDEX('01_Swimmers'!$E$5:$E$22,MATCH(B1206,'01_Swimmers'!$A$5:$A$22,0)))/'00_Control'!$B$10,"")</f>
        <v/>
      </c>
      <c r="U1206" s="35">
        <f>IF(T1206="","",INT(T1206))</f>
        <v/>
      </c>
      <c r="V1206" s="33" t="inlineStr">
        <is>
          <t>NO</t>
        </is>
      </c>
      <c r="W1206" s="33" t="inlineStr">
        <is>
          <t>YES</t>
        </is>
      </c>
      <c r="X1206" s="33" t="inlineStr">
        <is>
          <t>NO</t>
        </is>
      </c>
      <c r="Y1206" s="33" t="n">
        <v>1</v>
      </c>
      <c r="Z1206" s="33" t="n">
        <v>7</v>
      </c>
      <c r="AA1206" s="33" t="inlineStr">
        <is>
          <t>7</t>
        </is>
      </c>
      <c r="AB1206" s="33" t="inlineStr">
        <is>
          <t>https://www.swimcloud.com/results/2424/event/104/?id=130612931#time130612931</t>
        </is>
      </c>
      <c r="AC1206" s="33" t="inlineStr">
        <is>
          <t>SwimCloud API v6 2026-10-08</t>
        </is>
      </c>
      <c r="AD1206" s="33" t="inlineStr">
        <is>
          <t>Jack Alexy|2024-07-27|LCM|100|Free|47.96|Olympic Games|FIN|False</t>
        </is>
      </c>
      <c r="AE1206" s="53">
        <f>G1206+L1206/1000+ROW()/1000000000</f>
        <v/>
      </c>
      <c r="AF1206" s="35">
        <f>IF(C1206&lt;&gt;"Grayson Coulter","",COUNTIFS($C$5:$C$2991,"Grayson Coulter",$Q$5:$Q$2991,Q1206,$AE$5:$AE$2991,"&lt;="&amp;AE1206,$R$5:$R$2991,"&lt;"&amp;R1206))</f>
        <v/>
      </c>
      <c r="AG1206" s="35">
        <f>IF(OR(C1206&lt;&gt;"Grayson Coulter",G1206&lt;'00_Control'!$B$7),"",--(AF1206&lt;5))</f>
        <v/>
      </c>
      <c r="AH1206" s="35">
        <f>IF(OR(C1206&lt;&gt;"Grayson Coulter",G1206&lt;'00_Control'!$B$7),"",--(AF1206&lt;10))</f>
        <v/>
      </c>
      <c r="AI1206" s="35">
        <f>IF(AND(C1206="Grayson Coulter",G1206&gt;='00_Control'!$B$7),"YES","NO")</f>
        <v/>
      </c>
      <c r="AJ1206" s="33" t="inlineStr">
        <is>
          <t>OK</t>
        </is>
      </c>
    </row>
    <row r="1207">
      <c r="A1207" s="33" t="inlineStr">
        <is>
          <t>SM001203</t>
        </is>
      </c>
      <c r="B1207" s="33" t="inlineStr">
        <is>
          <t>SW015</t>
        </is>
      </c>
      <c r="C1207" s="33" t="inlineStr">
        <is>
          <t>Jack Alexy</t>
        </is>
      </c>
      <c r="D1207" s="33" t="inlineStr">
        <is>
          <t>SwimCloud</t>
        </is>
      </c>
      <c r="E1207" s="33" t="inlineStr">
        <is>
          <t>503872</t>
        </is>
      </c>
      <c r="F1207" s="33" t="inlineStr">
        <is>
          <t>139381195</t>
        </is>
      </c>
      <c r="G1207" s="51" t="n">
        <v>45636</v>
      </c>
      <c r="H1207" s="33" t="inlineStr">
        <is>
          <t>World Aquatics Short Course Championships</t>
        </is>
      </c>
      <c r="I1207" s="33" t="inlineStr">
        <is>
          <t>285196</t>
        </is>
      </c>
      <c r="J1207" s="33" t="inlineStr"/>
      <c r="K1207" s="33" t="inlineStr">
        <is>
          <t>FIN</t>
        </is>
      </c>
      <c r="L1207" s="35">
        <f>IF(K1207="FIN",3,IF(OR(K1207="SEM",K1207="SEMI"),2,IF(OR(K1207="PRE",K1207="HEAT"),1,IF(V1207="YES",4,2))))</f>
        <v/>
      </c>
      <c r="M1207" s="33" t="inlineStr">
        <is>
          <t>SCM</t>
        </is>
      </c>
      <c r="N1207" s="33" t="n">
        <v>100</v>
      </c>
      <c r="O1207" s="33" t="inlineStr">
        <is>
          <t>Free</t>
        </is>
      </c>
      <c r="P1207" s="33" t="inlineStr">
        <is>
          <t>100 Free</t>
        </is>
      </c>
      <c r="Q1207" s="33" t="inlineStr">
        <is>
          <t>SCM_100_FREE</t>
        </is>
      </c>
      <c r="R1207" s="36" t="n">
        <v>45.05</v>
      </c>
      <c r="S1207" s="35">
        <f>IF(R1207="","",IF(R1207&gt;=60,INT(R1207/60)&amp;":"&amp;TEXT(MOD(R1207,60),"00.00"),TEXT(R1207,"0.00")))</f>
        <v/>
      </c>
      <c r="T1207" s="52">
        <f>IFERROR((G1207-INDEX('01_Swimmers'!$E$5:$E$22,MATCH(B1207,'01_Swimmers'!$A$5:$A$22,0)))/'00_Control'!$B$10,"")</f>
        <v/>
      </c>
      <c r="U1207" s="35">
        <f>IF(T1207="","",INT(T1207))</f>
        <v/>
      </c>
      <c r="V1207" s="33" t="inlineStr">
        <is>
          <t>YES</t>
        </is>
      </c>
      <c r="W1207" s="33" t="inlineStr">
        <is>
          <t>YES</t>
        </is>
      </c>
      <c r="X1207" s="33" t="inlineStr">
        <is>
          <t>NO</t>
        </is>
      </c>
      <c r="Y1207" s="33" t="n">
        <v>1</v>
      </c>
      <c r="Z1207" s="33" t="n">
        <v>4</v>
      </c>
      <c r="AA1207" s="33" t="inlineStr"/>
      <c r="AB1207" s="33" t="inlineStr">
        <is>
          <t>https://www.swimcloud.com/results/285196/event/9/?id=139380077#time139380077</t>
        </is>
      </c>
      <c r="AC1207" s="33" t="inlineStr">
        <is>
          <t>SwimCloud API v6 2026-10-08</t>
        </is>
      </c>
      <c r="AD1207" s="33" t="inlineStr">
        <is>
          <t>Jack Alexy|2024-12-10|SCM|100|Free|45.05|World Aquatics Short Course Championships|FIN|True</t>
        </is>
      </c>
      <c r="AE1207" s="53">
        <f>G1207+L1207/1000+ROW()/1000000000</f>
        <v/>
      </c>
      <c r="AF1207" s="35">
        <f>IF(C1207&lt;&gt;"Grayson Coulter","",COUNTIFS($C$5:$C$2991,"Grayson Coulter",$Q$5:$Q$2991,Q1207,$AE$5:$AE$2991,"&lt;="&amp;AE1207,$R$5:$R$2991,"&lt;"&amp;R1207))</f>
        <v/>
      </c>
      <c r="AG1207" s="35">
        <f>IF(OR(C1207&lt;&gt;"Grayson Coulter",G1207&lt;'00_Control'!$B$7),"",--(AF1207&lt;5))</f>
        <v/>
      </c>
      <c r="AH1207" s="35">
        <f>IF(OR(C1207&lt;&gt;"Grayson Coulter",G1207&lt;'00_Control'!$B$7),"",--(AF1207&lt;10))</f>
        <v/>
      </c>
      <c r="AI1207" s="35">
        <f>IF(AND(C1207="Grayson Coulter",G1207&gt;='00_Control'!$B$7),"YES","NO")</f>
        <v/>
      </c>
      <c r="AJ1207" s="33" t="inlineStr">
        <is>
          <t>OK</t>
        </is>
      </c>
    </row>
    <row r="1208">
      <c r="A1208" s="33" t="inlineStr">
        <is>
          <t>SM001204</t>
        </is>
      </c>
      <c r="B1208" s="33" t="inlineStr">
        <is>
          <t>SW015</t>
        </is>
      </c>
      <c r="C1208" s="33" t="inlineStr">
        <is>
          <t>Jack Alexy</t>
        </is>
      </c>
      <c r="D1208" s="33" t="inlineStr">
        <is>
          <t>SwimCloud</t>
        </is>
      </c>
      <c r="E1208" s="33" t="inlineStr">
        <is>
          <t>503872</t>
        </is>
      </c>
      <c r="F1208" s="33" t="inlineStr">
        <is>
          <t>139379926</t>
        </is>
      </c>
      <c r="G1208" s="51" t="n">
        <v>45637</v>
      </c>
      <c r="H1208" s="33" t="inlineStr">
        <is>
          <t>World Aquatics Short Course Championships</t>
        </is>
      </c>
      <c r="I1208" s="33" t="inlineStr">
        <is>
          <t>285196</t>
        </is>
      </c>
      <c r="J1208" s="33" t="inlineStr"/>
      <c r="K1208" s="33" t="inlineStr">
        <is>
          <t>PRE</t>
        </is>
      </c>
      <c r="L1208" s="35">
        <f>IF(K1208="FIN",3,IF(OR(K1208="SEM",K1208="SEMI"),2,IF(OR(K1208="PRE",K1208="HEAT"),1,IF(V1208="YES",4,2))))</f>
        <v/>
      </c>
      <c r="M1208" s="33" t="inlineStr">
        <is>
          <t>SCM</t>
        </is>
      </c>
      <c r="N1208" s="33" t="n">
        <v>100</v>
      </c>
      <c r="O1208" s="33" t="inlineStr">
        <is>
          <t>Free</t>
        </is>
      </c>
      <c r="P1208" s="33" t="inlineStr">
        <is>
          <t>100 Free</t>
        </is>
      </c>
      <c r="Q1208" s="33" t="inlineStr">
        <is>
          <t>SCM_100_FREE</t>
        </is>
      </c>
      <c r="R1208" s="36" t="n">
        <v>46.57</v>
      </c>
      <c r="S1208" s="35">
        <f>IF(R1208="","",IF(R1208&gt;=60,INT(R1208/60)&amp;":"&amp;TEXT(MOD(R1208,60),"00.00"),TEXT(R1208,"0.00")))</f>
        <v/>
      </c>
      <c r="T1208" s="52">
        <f>IFERROR((G1208-INDEX('01_Swimmers'!$E$5:$E$22,MATCH(B1208,'01_Swimmers'!$A$5:$A$22,0)))/'00_Control'!$B$10,"")</f>
        <v/>
      </c>
      <c r="U1208" s="35">
        <f>IF(T1208="","",INT(T1208))</f>
        <v/>
      </c>
      <c r="V1208" s="33" t="inlineStr">
        <is>
          <t>NO</t>
        </is>
      </c>
      <c r="W1208" s="33" t="inlineStr">
        <is>
          <t>YES</t>
        </is>
      </c>
      <c r="X1208" s="33" t="inlineStr">
        <is>
          <t>NO</t>
        </is>
      </c>
      <c r="Y1208" s="33" t="n">
        <v>10</v>
      </c>
      <c r="Z1208" s="33" t="n">
        <v>7</v>
      </c>
      <c r="AA1208" s="33" t="inlineStr">
        <is>
          <t>9</t>
        </is>
      </c>
      <c r="AB1208" s="33" t="inlineStr">
        <is>
          <t>https://www.swimcloud.com/results/285196/event/12/?id=139379926#time139379926</t>
        </is>
      </c>
      <c r="AC1208" s="33" t="inlineStr">
        <is>
          <t>SwimCloud API v6 2026-10-08</t>
        </is>
      </c>
      <c r="AD1208" s="33" t="inlineStr">
        <is>
          <t>Jack Alexy|2024-12-11|SCM|100|Free|46.57|World Aquatics Short Course Championships|PRE|False</t>
        </is>
      </c>
      <c r="AE1208" s="53">
        <f>G1208+L1208/1000+ROW()/1000000000</f>
        <v/>
      </c>
      <c r="AF1208" s="35">
        <f>IF(C1208&lt;&gt;"Grayson Coulter","",COUNTIFS($C$5:$C$2991,"Grayson Coulter",$Q$5:$Q$2991,Q1208,$AE$5:$AE$2991,"&lt;="&amp;AE1208,$R$5:$R$2991,"&lt;"&amp;R1208))</f>
        <v/>
      </c>
      <c r="AG1208" s="35">
        <f>IF(OR(C1208&lt;&gt;"Grayson Coulter",G1208&lt;'00_Control'!$B$7),"",--(AF1208&lt;5))</f>
        <v/>
      </c>
      <c r="AH1208" s="35">
        <f>IF(OR(C1208&lt;&gt;"Grayson Coulter",G1208&lt;'00_Control'!$B$7),"",--(AF1208&lt;10))</f>
        <v/>
      </c>
      <c r="AI1208" s="35">
        <f>IF(AND(C1208="Grayson Coulter",G1208&gt;='00_Control'!$B$7),"YES","NO")</f>
        <v/>
      </c>
      <c r="AJ1208" s="33" t="inlineStr">
        <is>
          <t>OK</t>
        </is>
      </c>
    </row>
    <row r="1209">
      <c r="A1209" s="33" t="inlineStr">
        <is>
          <t>SM001205</t>
        </is>
      </c>
      <c r="B1209" s="33" t="inlineStr">
        <is>
          <t>SW015</t>
        </is>
      </c>
      <c r="C1209" s="33" t="inlineStr">
        <is>
          <t>Jack Alexy</t>
        </is>
      </c>
      <c r="D1209" s="33" t="inlineStr">
        <is>
          <t>SwimCloud</t>
        </is>
      </c>
      <c r="E1209" s="33" t="inlineStr">
        <is>
          <t>503872</t>
        </is>
      </c>
      <c r="F1209" s="33" t="inlineStr">
        <is>
          <t>139379927</t>
        </is>
      </c>
      <c r="G1209" s="51" t="n">
        <v>45637</v>
      </c>
      <c r="H1209" s="33" t="inlineStr">
        <is>
          <t>World Aquatics Short Course Championships</t>
        </is>
      </c>
      <c r="I1209" s="33" t="inlineStr">
        <is>
          <t>285196</t>
        </is>
      </c>
      <c r="J1209" s="33" t="inlineStr"/>
      <c r="K1209" s="33" t="inlineStr">
        <is>
          <t>SEM</t>
        </is>
      </c>
      <c r="L1209" s="35">
        <f>IF(K1209="FIN",3,IF(OR(K1209="SEM",K1209="SEMI"),2,IF(OR(K1209="PRE",K1209="HEAT"),1,IF(V1209="YES",4,2))))</f>
        <v/>
      </c>
      <c r="M1209" s="33" t="inlineStr">
        <is>
          <t>SCM</t>
        </is>
      </c>
      <c r="N1209" s="33" t="n">
        <v>100</v>
      </c>
      <c r="O1209" s="33" t="inlineStr">
        <is>
          <t>Free</t>
        </is>
      </c>
      <c r="P1209" s="33" t="inlineStr">
        <is>
          <t>100 Free</t>
        </is>
      </c>
      <c r="Q1209" s="33" t="inlineStr">
        <is>
          <t>SCM_100_FREE</t>
        </is>
      </c>
      <c r="R1209" s="36" t="n">
        <v>45.29</v>
      </c>
      <c r="S1209" s="35">
        <f>IF(R1209="","",IF(R1209&gt;=60,INT(R1209/60)&amp;":"&amp;TEXT(MOD(R1209,60),"00.00"),TEXT(R1209,"0.00")))</f>
        <v/>
      </c>
      <c r="T1209" s="52">
        <f>IFERROR((G1209-INDEX('01_Swimmers'!$E$5:$E$22,MATCH(B1209,'01_Swimmers'!$A$5:$A$22,0)))/'00_Control'!$B$10,"")</f>
        <v/>
      </c>
      <c r="U1209" s="35">
        <f>IF(T1209="","",INT(T1209))</f>
        <v/>
      </c>
      <c r="V1209" s="33" t="inlineStr">
        <is>
          <t>NO</t>
        </is>
      </c>
      <c r="W1209" s="33" t="inlineStr">
        <is>
          <t>YES</t>
        </is>
      </c>
      <c r="X1209" s="33" t="inlineStr">
        <is>
          <t>NO</t>
        </is>
      </c>
      <c r="Y1209" s="33" t="n">
        <v>2</v>
      </c>
      <c r="Z1209" s="33" t="n">
        <v>2</v>
      </c>
      <c r="AA1209" s="33" t="inlineStr">
        <is>
          <t>2</t>
        </is>
      </c>
      <c r="AB1209" s="33" t="inlineStr">
        <is>
          <t>https://www.swimcloud.com/results/285196/event/12/?id=139379927#time139379927</t>
        </is>
      </c>
      <c r="AC1209" s="33" t="inlineStr">
        <is>
          <t>SwimCloud API v6 2026-10-08</t>
        </is>
      </c>
      <c r="AD1209" s="33" t="inlineStr">
        <is>
          <t>Jack Alexy|2024-12-11|SCM|100|Free|45.29|World Aquatics Short Course Championships|SEM|False</t>
        </is>
      </c>
      <c r="AE1209" s="53">
        <f>G1209+L1209/1000+ROW()/1000000000</f>
        <v/>
      </c>
      <c r="AF1209" s="35">
        <f>IF(C1209&lt;&gt;"Grayson Coulter","",COUNTIFS($C$5:$C$2991,"Grayson Coulter",$Q$5:$Q$2991,Q1209,$AE$5:$AE$2991,"&lt;="&amp;AE1209,$R$5:$R$2991,"&lt;"&amp;R1209))</f>
        <v/>
      </c>
      <c r="AG1209" s="35">
        <f>IF(OR(C1209&lt;&gt;"Grayson Coulter",G1209&lt;'00_Control'!$B$7),"",--(AF1209&lt;5))</f>
        <v/>
      </c>
      <c r="AH1209" s="35">
        <f>IF(OR(C1209&lt;&gt;"Grayson Coulter",G1209&lt;'00_Control'!$B$7),"",--(AF1209&lt;10))</f>
        <v/>
      </c>
      <c r="AI1209" s="35">
        <f>IF(AND(C1209="Grayson Coulter",G1209&gt;='00_Control'!$B$7),"YES","NO")</f>
        <v/>
      </c>
      <c r="AJ1209" s="33" t="inlineStr">
        <is>
          <t>OK</t>
        </is>
      </c>
    </row>
    <row r="1210">
      <c r="A1210" s="33" t="inlineStr">
        <is>
          <t>SM001206</t>
        </is>
      </c>
      <c r="B1210" s="33" t="inlineStr">
        <is>
          <t>SW015</t>
        </is>
      </c>
      <c r="C1210" s="33" t="inlineStr">
        <is>
          <t>Jack Alexy</t>
        </is>
      </c>
      <c r="D1210" s="33" t="inlineStr">
        <is>
          <t>SwimCloud</t>
        </is>
      </c>
      <c r="E1210" s="33" t="inlineStr">
        <is>
          <t>503872</t>
        </is>
      </c>
      <c r="F1210" s="33" t="inlineStr">
        <is>
          <t>139379925</t>
        </is>
      </c>
      <c r="G1210" s="51" t="n">
        <v>45638</v>
      </c>
      <c r="H1210" s="33" t="inlineStr">
        <is>
          <t>World Aquatics Short Course Championships</t>
        </is>
      </c>
      <c r="I1210" s="33" t="inlineStr">
        <is>
          <t>285196</t>
        </is>
      </c>
      <c r="J1210" s="33" t="inlineStr"/>
      <c r="K1210" s="33" t="inlineStr">
        <is>
          <t>FIN</t>
        </is>
      </c>
      <c r="L1210" s="35">
        <f>IF(K1210="FIN",3,IF(OR(K1210="SEM",K1210="SEMI"),2,IF(OR(K1210="PRE",K1210="HEAT"),1,IF(V1210="YES",4,2))))</f>
        <v/>
      </c>
      <c r="M1210" s="33" t="inlineStr">
        <is>
          <t>SCM</t>
        </is>
      </c>
      <c r="N1210" s="33" t="n">
        <v>100</v>
      </c>
      <c r="O1210" s="33" t="inlineStr">
        <is>
          <t>Free</t>
        </is>
      </c>
      <c r="P1210" s="33" t="inlineStr">
        <is>
          <t>100 Free</t>
        </is>
      </c>
      <c r="Q1210" s="33" t="inlineStr">
        <is>
          <t>SCM_100_FREE</t>
        </is>
      </c>
      <c r="R1210" s="36" t="n">
        <v>45.38</v>
      </c>
      <c r="S1210" s="35">
        <f>IF(R1210="","",IF(R1210&gt;=60,INT(R1210/60)&amp;":"&amp;TEXT(MOD(R1210,60),"00.00"),TEXT(R1210,"0.00")))</f>
        <v/>
      </c>
      <c r="T1210" s="52">
        <f>IFERROR((G1210-INDEX('01_Swimmers'!$E$5:$E$22,MATCH(B1210,'01_Swimmers'!$A$5:$A$22,0)))/'00_Control'!$B$10,"")</f>
        <v/>
      </c>
      <c r="U1210" s="35">
        <f>IF(T1210="","",INT(T1210))</f>
        <v/>
      </c>
      <c r="V1210" s="33" t="inlineStr">
        <is>
          <t>NO</t>
        </is>
      </c>
      <c r="W1210" s="33" t="inlineStr">
        <is>
          <t>YES</t>
        </is>
      </c>
      <c r="X1210" s="33" t="inlineStr">
        <is>
          <t>NO</t>
        </is>
      </c>
      <c r="Y1210" s="33" t="n">
        <v>1</v>
      </c>
      <c r="Z1210" s="33" t="n">
        <v>5</v>
      </c>
      <c r="AA1210" s="33" t="inlineStr">
        <is>
          <t>1</t>
        </is>
      </c>
      <c r="AB1210" s="33" t="inlineStr">
        <is>
          <t>https://www.swimcloud.com/results/285196/event/12/?id=139379925#time139379925</t>
        </is>
      </c>
      <c r="AC1210" s="33" t="inlineStr">
        <is>
          <t>SwimCloud API v6 2026-10-08</t>
        </is>
      </c>
      <c r="AD1210" s="33" t="inlineStr">
        <is>
          <t>Jack Alexy|2024-12-12|SCM|100|Free|45.38|World Aquatics Short Course Championships|FIN|False</t>
        </is>
      </c>
      <c r="AE1210" s="53">
        <f>G1210+L1210/1000+ROW()/1000000000</f>
        <v/>
      </c>
      <c r="AF1210" s="35">
        <f>IF(C1210&lt;&gt;"Grayson Coulter","",COUNTIFS($C$5:$C$2991,"Grayson Coulter",$Q$5:$Q$2991,Q1210,$AE$5:$AE$2991,"&lt;="&amp;AE1210,$R$5:$R$2991,"&lt;"&amp;R1210))</f>
        <v/>
      </c>
      <c r="AG1210" s="35">
        <f>IF(OR(C1210&lt;&gt;"Grayson Coulter",G1210&lt;'00_Control'!$B$7),"",--(AF1210&lt;5))</f>
        <v/>
      </c>
      <c r="AH1210" s="35">
        <f>IF(OR(C1210&lt;&gt;"Grayson Coulter",G1210&lt;'00_Control'!$B$7),"",--(AF1210&lt;10))</f>
        <v/>
      </c>
      <c r="AI1210" s="35">
        <f>IF(AND(C1210="Grayson Coulter",G1210&gt;='00_Control'!$B$7),"YES","NO")</f>
        <v/>
      </c>
      <c r="AJ1210" s="33" t="inlineStr">
        <is>
          <t>OK</t>
        </is>
      </c>
    </row>
    <row r="1211">
      <c r="A1211" s="33" t="inlineStr">
        <is>
          <t>SM001207</t>
        </is>
      </c>
      <c r="B1211" s="33" t="inlineStr">
        <is>
          <t>SW015</t>
        </is>
      </c>
      <c r="C1211" s="33" t="inlineStr">
        <is>
          <t>Jack Alexy</t>
        </is>
      </c>
      <c r="D1211" s="33" t="inlineStr">
        <is>
          <t>SwimCloud</t>
        </is>
      </c>
      <c r="E1211" s="33" t="inlineStr">
        <is>
          <t>503872</t>
        </is>
      </c>
      <c r="F1211" s="33" t="inlineStr">
        <is>
          <t>152584615</t>
        </is>
      </c>
      <c r="G1211" s="51" t="n">
        <v>45801</v>
      </c>
      <c r="H1211" s="33" t="inlineStr">
        <is>
          <t>CA NOVA Speedo Grand Challenge Time Trials</t>
        </is>
      </c>
      <c r="I1211" s="33" t="inlineStr">
        <is>
          <t>344645</t>
        </is>
      </c>
      <c r="J1211" s="33" t="inlineStr"/>
      <c r="K1211" s="33" t="inlineStr">
        <is>
          <t>TIM</t>
        </is>
      </c>
      <c r="L1211" s="35">
        <f>IF(K1211="FIN",3,IF(OR(K1211="SEM",K1211="SEMI"),2,IF(OR(K1211="PRE",K1211="HEAT"),1,IF(V1211="YES",4,2))))</f>
        <v/>
      </c>
      <c r="M1211" s="33" t="inlineStr">
        <is>
          <t>LCM</t>
        </is>
      </c>
      <c r="N1211" s="33" t="n">
        <v>100</v>
      </c>
      <c r="O1211" s="33" t="inlineStr">
        <is>
          <t>Free</t>
        </is>
      </c>
      <c r="P1211" s="33" t="inlineStr">
        <is>
          <t>100 Free</t>
        </is>
      </c>
      <c r="Q1211" s="33" t="inlineStr">
        <is>
          <t>LCM_100_FREE</t>
        </is>
      </c>
      <c r="R1211" s="36" t="n">
        <v>48.43</v>
      </c>
      <c r="S1211" s="35">
        <f>IF(R1211="","",IF(R1211&gt;=60,INT(R1211/60)&amp;":"&amp;TEXT(MOD(R1211,60),"00.00"),TEXT(R1211,"0.00")))</f>
        <v/>
      </c>
      <c r="T1211" s="52">
        <f>IFERROR((G1211-INDEX('01_Swimmers'!$E$5:$E$22,MATCH(B1211,'01_Swimmers'!$A$5:$A$22,0)))/'00_Control'!$B$10,"")</f>
        <v/>
      </c>
      <c r="U1211" s="35">
        <f>IF(T1211="","",INT(T1211))</f>
        <v/>
      </c>
      <c r="V1211" s="33" t="inlineStr">
        <is>
          <t>NO</t>
        </is>
      </c>
      <c r="W1211" s="33" t="inlineStr">
        <is>
          <t>YES</t>
        </is>
      </c>
      <c r="X1211" s="33" t="inlineStr">
        <is>
          <t>NO</t>
        </is>
      </c>
      <c r="Y1211" s="33" t="n">
        <v>1</v>
      </c>
      <c r="Z1211" s="33" t="n">
        <v>5</v>
      </c>
      <c r="AA1211" s="33" t="inlineStr">
        <is>
          <t>1</t>
        </is>
      </c>
      <c r="AB1211" s="33" t="inlineStr">
        <is>
          <t>https://www.swimcloud.com/results/344645/event/222/?id=152584615#time152584615</t>
        </is>
      </c>
      <c r="AC1211" s="33" t="inlineStr">
        <is>
          <t>SwimCloud API v6 2026-10-08</t>
        </is>
      </c>
      <c r="AD1211" s="33" t="inlineStr">
        <is>
          <t>Jack Alexy|2025-05-24|LCM|100|Free|48.43|CA NOVA Speedo Grand Challenge Time Trials|TIM|False</t>
        </is>
      </c>
      <c r="AE1211" s="53">
        <f>G1211+L1211/1000+ROW()/1000000000</f>
        <v/>
      </c>
      <c r="AF1211" s="35">
        <f>IF(C1211&lt;&gt;"Grayson Coulter","",COUNTIFS($C$5:$C$2991,"Grayson Coulter",$Q$5:$Q$2991,Q1211,$AE$5:$AE$2991,"&lt;="&amp;AE1211,$R$5:$R$2991,"&lt;"&amp;R1211))</f>
        <v/>
      </c>
      <c r="AG1211" s="35">
        <f>IF(OR(C1211&lt;&gt;"Grayson Coulter",G1211&lt;'00_Control'!$B$7),"",--(AF1211&lt;5))</f>
        <v/>
      </c>
      <c r="AH1211" s="35">
        <f>IF(OR(C1211&lt;&gt;"Grayson Coulter",G1211&lt;'00_Control'!$B$7),"",--(AF1211&lt;10))</f>
        <v/>
      </c>
      <c r="AI1211" s="35">
        <f>IF(AND(C1211="Grayson Coulter",G1211&gt;='00_Control'!$B$7),"YES","NO")</f>
        <v/>
      </c>
      <c r="AJ1211" s="33" t="inlineStr">
        <is>
          <t>OK</t>
        </is>
      </c>
    </row>
    <row r="1212">
      <c r="A1212" s="33" t="inlineStr">
        <is>
          <t>SM001208</t>
        </is>
      </c>
      <c r="B1212" s="33" t="inlineStr">
        <is>
          <t>SW015</t>
        </is>
      </c>
      <c r="C1212" s="33" t="inlineStr">
        <is>
          <t>Jack Alexy</t>
        </is>
      </c>
      <c r="D1212" s="33" t="inlineStr">
        <is>
          <t>SwimCloud</t>
        </is>
      </c>
      <c r="E1212" s="33" t="inlineStr">
        <is>
          <t>503872</t>
        </is>
      </c>
      <c r="F1212" s="33" t="inlineStr">
        <is>
          <t>153091184</t>
        </is>
      </c>
      <c r="G1212" s="51" t="n">
        <v>45811</v>
      </c>
      <c r="H1212" s="33" t="inlineStr">
        <is>
          <t>USA Swimming National Championships</t>
        </is>
      </c>
      <c r="I1212" s="33" t="inlineStr">
        <is>
          <t>321137</t>
        </is>
      </c>
      <c r="J1212" s="33" t="inlineStr"/>
      <c r="K1212" s="33" t="inlineStr">
        <is>
          <t>PRE</t>
        </is>
      </c>
      <c r="L1212" s="35">
        <f>IF(K1212="FIN",3,IF(OR(K1212="SEM",K1212="SEMI"),2,IF(OR(K1212="PRE",K1212="HEAT"),1,IF(V1212="YES",4,2))))</f>
        <v/>
      </c>
      <c r="M1212" s="33" t="inlineStr">
        <is>
          <t>LCM</t>
        </is>
      </c>
      <c r="N1212" s="33" t="n">
        <v>100</v>
      </c>
      <c r="O1212" s="33" t="inlineStr">
        <is>
          <t>Free</t>
        </is>
      </c>
      <c r="P1212" s="33" t="inlineStr">
        <is>
          <t>100 Free</t>
        </is>
      </c>
      <c r="Q1212" s="33" t="inlineStr">
        <is>
          <t>LCM_100_FREE</t>
        </is>
      </c>
      <c r="R1212" s="36" t="n">
        <v>46.99</v>
      </c>
      <c r="S1212" s="35">
        <f>IF(R1212="","",IF(R1212&gt;=60,INT(R1212/60)&amp;":"&amp;TEXT(MOD(R1212,60),"00.00"),TEXT(R1212,"0.00")))</f>
        <v/>
      </c>
      <c r="T1212" s="52">
        <f>IFERROR((G1212-INDEX('01_Swimmers'!$E$5:$E$22,MATCH(B1212,'01_Swimmers'!$A$5:$A$22,0)))/'00_Control'!$B$10,"")</f>
        <v/>
      </c>
      <c r="U1212" s="35">
        <f>IF(T1212="","",INT(T1212))</f>
        <v/>
      </c>
      <c r="V1212" s="33" t="inlineStr">
        <is>
          <t>NO</t>
        </is>
      </c>
      <c r="W1212" s="33" t="inlineStr">
        <is>
          <t>YES</t>
        </is>
      </c>
      <c r="X1212" s="33" t="inlineStr">
        <is>
          <t>NO</t>
        </is>
      </c>
      <c r="Y1212" s="33" t="n">
        <v>9</v>
      </c>
      <c r="Z1212" s="33" t="n">
        <v>4</v>
      </c>
      <c r="AA1212" s="33" t="inlineStr">
        <is>
          <t>1</t>
        </is>
      </c>
      <c r="AB1212" s="33" t="inlineStr">
        <is>
          <t>https://www.swimcloud.com/results/321137/event/4/?id=153091184#time153091184</t>
        </is>
      </c>
      <c r="AC1212" s="33" t="inlineStr">
        <is>
          <t>SwimCloud API v6 2026-10-08</t>
        </is>
      </c>
      <c r="AD1212" s="33" t="inlineStr">
        <is>
          <t>Jack Alexy|2025-06-03|LCM|100|Free|46.99|USA Swimming National Championships|PRE|False</t>
        </is>
      </c>
      <c r="AE1212" s="53">
        <f>G1212+L1212/1000+ROW()/1000000000</f>
        <v/>
      </c>
      <c r="AF1212" s="35">
        <f>IF(C1212&lt;&gt;"Grayson Coulter","",COUNTIFS($C$5:$C$2991,"Grayson Coulter",$Q$5:$Q$2991,Q1212,$AE$5:$AE$2991,"&lt;="&amp;AE1212,$R$5:$R$2991,"&lt;"&amp;R1212))</f>
        <v/>
      </c>
      <c r="AG1212" s="35">
        <f>IF(OR(C1212&lt;&gt;"Grayson Coulter",G1212&lt;'00_Control'!$B$7),"",--(AF1212&lt;5))</f>
        <v/>
      </c>
      <c r="AH1212" s="35">
        <f>IF(OR(C1212&lt;&gt;"Grayson Coulter",G1212&lt;'00_Control'!$B$7),"",--(AF1212&lt;10))</f>
        <v/>
      </c>
      <c r="AI1212" s="35">
        <f>IF(AND(C1212="Grayson Coulter",G1212&gt;='00_Control'!$B$7),"YES","NO")</f>
        <v/>
      </c>
      <c r="AJ1212" s="33" t="inlineStr">
        <is>
          <t>OK</t>
        </is>
      </c>
    </row>
    <row r="1213">
      <c r="A1213" s="33" t="inlineStr">
        <is>
          <t>SM001209</t>
        </is>
      </c>
      <c r="B1213" s="33" t="inlineStr">
        <is>
          <t>SW015</t>
        </is>
      </c>
      <c r="C1213" s="33" t="inlineStr">
        <is>
          <t>Jack Alexy</t>
        </is>
      </c>
      <c r="D1213" s="33" t="inlineStr">
        <is>
          <t>SwimCloud</t>
        </is>
      </c>
      <c r="E1213" s="33" t="inlineStr">
        <is>
          <t>503872</t>
        </is>
      </c>
      <c r="F1213" s="33" t="inlineStr">
        <is>
          <t>153091183</t>
        </is>
      </c>
      <c r="G1213" s="51" t="n">
        <v>45811</v>
      </c>
      <c r="H1213" s="33" t="inlineStr">
        <is>
          <t>USA Swimming National Championships</t>
        </is>
      </c>
      <c r="I1213" s="33" t="inlineStr">
        <is>
          <t>321137</t>
        </is>
      </c>
      <c r="J1213" s="33" t="inlineStr"/>
      <c r="K1213" s="33" t="inlineStr">
        <is>
          <t>FIN</t>
        </is>
      </c>
      <c r="L1213" s="35">
        <f>IF(K1213="FIN",3,IF(OR(K1213="SEM",K1213="SEMI"),2,IF(OR(K1213="PRE",K1213="HEAT"),1,IF(V1213="YES",4,2))))</f>
        <v/>
      </c>
      <c r="M1213" s="33" t="inlineStr">
        <is>
          <t>LCM</t>
        </is>
      </c>
      <c r="N1213" s="33" t="n">
        <v>100</v>
      </c>
      <c r="O1213" s="33" t="inlineStr">
        <is>
          <t>Free</t>
        </is>
      </c>
      <c r="P1213" s="33" t="inlineStr">
        <is>
          <t>100 Free</t>
        </is>
      </c>
      <c r="Q1213" s="33" t="inlineStr">
        <is>
          <t>LCM_100_FREE</t>
        </is>
      </c>
      <c r="R1213" s="36" t="n">
        <v>47.17</v>
      </c>
      <c r="S1213" s="35">
        <f>IF(R1213="","",IF(R1213&gt;=60,INT(R1213/60)&amp;":"&amp;TEXT(MOD(R1213,60),"00.00"),TEXT(R1213,"0.00")))</f>
        <v/>
      </c>
      <c r="T1213" s="52">
        <f>IFERROR((G1213-INDEX('01_Swimmers'!$E$5:$E$22,MATCH(B1213,'01_Swimmers'!$A$5:$A$22,0)))/'00_Control'!$B$10,"")</f>
        <v/>
      </c>
      <c r="U1213" s="35">
        <f>IF(T1213="","",INT(T1213))</f>
        <v/>
      </c>
      <c r="V1213" s="33" t="inlineStr">
        <is>
          <t>NO</t>
        </is>
      </c>
      <c r="W1213" s="33" t="inlineStr">
        <is>
          <t>YES</t>
        </is>
      </c>
      <c r="X1213" s="33" t="inlineStr">
        <is>
          <t>NO</t>
        </is>
      </c>
      <c r="Y1213" s="33" t="n">
        <v>1</v>
      </c>
      <c r="Z1213" s="33" t="n">
        <v>4</v>
      </c>
      <c r="AA1213" s="33" t="inlineStr">
        <is>
          <t>1</t>
        </is>
      </c>
      <c r="AB1213" s="33" t="inlineStr">
        <is>
          <t>https://www.swimcloud.com/results/321137/event/4/?id=153091183#time153091183</t>
        </is>
      </c>
      <c r="AC1213" s="33" t="inlineStr">
        <is>
          <t>SwimCloud API v6 2026-10-08</t>
        </is>
      </c>
      <c r="AD1213" s="33" t="inlineStr">
        <is>
          <t>Jack Alexy|2025-06-03|LCM|100|Free|47.17|USA Swimming National Championships|FIN|False</t>
        </is>
      </c>
      <c r="AE1213" s="53">
        <f>G1213+L1213/1000+ROW()/1000000000</f>
        <v/>
      </c>
      <c r="AF1213" s="35">
        <f>IF(C1213&lt;&gt;"Grayson Coulter","",COUNTIFS($C$5:$C$2991,"Grayson Coulter",$Q$5:$Q$2991,Q1213,$AE$5:$AE$2991,"&lt;="&amp;AE1213,$R$5:$R$2991,"&lt;"&amp;R1213))</f>
        <v/>
      </c>
      <c r="AG1213" s="35">
        <f>IF(OR(C1213&lt;&gt;"Grayson Coulter",G1213&lt;'00_Control'!$B$7),"",--(AF1213&lt;5))</f>
        <v/>
      </c>
      <c r="AH1213" s="35">
        <f>IF(OR(C1213&lt;&gt;"Grayson Coulter",G1213&lt;'00_Control'!$B$7),"",--(AF1213&lt;10))</f>
        <v/>
      </c>
      <c r="AI1213" s="35">
        <f>IF(AND(C1213="Grayson Coulter",G1213&gt;='00_Control'!$B$7),"YES","NO")</f>
        <v/>
      </c>
      <c r="AJ1213" s="33" t="inlineStr">
        <is>
          <t>OK</t>
        </is>
      </c>
    </row>
    <row r="1214">
      <c r="A1214" s="33" t="inlineStr">
        <is>
          <t>SM001210</t>
        </is>
      </c>
      <c r="B1214" s="33" t="inlineStr">
        <is>
          <t>SW015</t>
        </is>
      </c>
      <c r="C1214" s="33" t="inlineStr">
        <is>
          <t>Jack Alexy</t>
        </is>
      </c>
      <c r="D1214" s="33" t="inlineStr">
        <is>
          <t>SwimCloud</t>
        </is>
      </c>
      <c r="E1214" s="33" t="inlineStr">
        <is>
          <t>503872</t>
        </is>
      </c>
      <c r="F1214" s="33" t="inlineStr">
        <is>
          <t>156829951</t>
        </is>
      </c>
      <c r="G1214" s="51" t="n">
        <v>45865</v>
      </c>
      <c r="H1214" s="33" t="inlineStr">
        <is>
          <t>22nd World Aquatics Championships</t>
        </is>
      </c>
      <c r="I1214" s="33" t="inlineStr">
        <is>
          <t>348385</t>
        </is>
      </c>
      <c r="J1214" s="33" t="inlineStr"/>
      <c r="K1214" s="33" t="inlineStr">
        <is>
          <t>FIN</t>
        </is>
      </c>
      <c r="L1214" s="35">
        <f>IF(K1214="FIN",3,IF(OR(K1214="SEM",K1214="SEMI"),2,IF(OR(K1214="PRE",K1214="HEAT"),1,IF(V1214="YES",4,2))))</f>
        <v/>
      </c>
      <c r="M1214" s="33" t="inlineStr">
        <is>
          <t>LCM</t>
        </is>
      </c>
      <c r="N1214" s="33" t="n">
        <v>100</v>
      </c>
      <c r="O1214" s="33" t="inlineStr">
        <is>
          <t>Free</t>
        </is>
      </c>
      <c r="P1214" s="33" t="inlineStr">
        <is>
          <t>100 Free</t>
        </is>
      </c>
      <c r="Q1214" s="33" t="inlineStr">
        <is>
          <t>LCM_100_FREE</t>
        </is>
      </c>
      <c r="R1214" s="36" t="n">
        <v>47.24</v>
      </c>
      <c r="S1214" s="35">
        <f>IF(R1214="","",IF(R1214&gt;=60,INT(R1214/60)&amp;":"&amp;TEXT(MOD(R1214,60),"00.00"),TEXT(R1214,"0.00")))</f>
        <v/>
      </c>
      <c r="T1214" s="52">
        <f>IFERROR((G1214-INDEX('01_Swimmers'!$E$5:$E$22,MATCH(B1214,'01_Swimmers'!$A$5:$A$22,0)))/'00_Control'!$B$10,"")</f>
        <v/>
      </c>
      <c r="U1214" s="35">
        <f>IF(T1214="","",INT(T1214))</f>
        <v/>
      </c>
      <c r="V1214" s="33" t="inlineStr">
        <is>
          <t>YES</t>
        </is>
      </c>
      <c r="W1214" s="33" t="inlineStr">
        <is>
          <t>YES</t>
        </is>
      </c>
      <c r="X1214" s="33" t="inlineStr">
        <is>
          <t>NO</t>
        </is>
      </c>
      <c r="Y1214" s="33" t="n">
        <v>1</v>
      </c>
      <c r="Z1214" s="33" t="n">
        <v>4</v>
      </c>
      <c r="AA1214" s="33" t="inlineStr"/>
      <c r="AB1214" s="33" t="inlineStr">
        <is>
          <t>https://www.swimcloud.com/results/348385/event/8/?id=156828982#time156828982</t>
        </is>
      </c>
      <c r="AC1214" s="33" t="inlineStr">
        <is>
          <t>SwimCloud API v6 2026-10-08</t>
        </is>
      </c>
      <c r="AD1214" s="33" t="inlineStr">
        <is>
          <t>Jack Alexy|2025-07-27|LCM|100|Free|47.24|22nd World Aquatics Championships|FIN|True</t>
        </is>
      </c>
      <c r="AE1214" s="53">
        <f>G1214+L1214/1000+ROW()/1000000000</f>
        <v/>
      </c>
      <c r="AF1214" s="35">
        <f>IF(C1214&lt;&gt;"Grayson Coulter","",COUNTIFS($C$5:$C$2991,"Grayson Coulter",$Q$5:$Q$2991,Q1214,$AE$5:$AE$2991,"&lt;="&amp;AE1214,$R$5:$R$2991,"&lt;"&amp;R1214))</f>
        <v/>
      </c>
      <c r="AG1214" s="35">
        <f>IF(OR(C1214&lt;&gt;"Grayson Coulter",G1214&lt;'00_Control'!$B$7),"",--(AF1214&lt;5))</f>
        <v/>
      </c>
      <c r="AH1214" s="35">
        <f>IF(OR(C1214&lt;&gt;"Grayson Coulter",G1214&lt;'00_Control'!$B$7),"",--(AF1214&lt;10))</f>
        <v/>
      </c>
      <c r="AI1214" s="35">
        <f>IF(AND(C1214="Grayson Coulter",G1214&gt;='00_Control'!$B$7),"YES","NO")</f>
        <v/>
      </c>
      <c r="AJ1214" s="33" t="inlineStr">
        <is>
          <t>OK</t>
        </is>
      </c>
    </row>
    <row r="1215">
      <c r="A1215" s="33" t="inlineStr">
        <is>
          <t>SM001211</t>
        </is>
      </c>
      <c r="B1215" s="33" t="inlineStr">
        <is>
          <t>SW015</t>
        </is>
      </c>
      <c r="C1215" s="33" t="inlineStr">
        <is>
          <t>Jack Alexy</t>
        </is>
      </c>
      <c r="D1215" s="33" t="inlineStr">
        <is>
          <t>SwimCloud</t>
        </is>
      </c>
      <c r="E1215" s="33" t="inlineStr">
        <is>
          <t>503872</t>
        </is>
      </c>
      <c r="F1215" s="33" t="inlineStr">
        <is>
          <t>156828829</t>
        </is>
      </c>
      <c r="G1215" s="51" t="n">
        <v>45868</v>
      </c>
      <c r="H1215" s="33" t="inlineStr">
        <is>
          <t>22nd World Aquatics Championships</t>
        </is>
      </c>
      <c r="I1215" s="33" t="inlineStr">
        <is>
          <t>348385</t>
        </is>
      </c>
      <c r="J1215" s="33" t="inlineStr"/>
      <c r="K1215" s="33" t="inlineStr">
        <is>
          <t>PRE</t>
        </is>
      </c>
      <c r="L1215" s="35">
        <f>IF(K1215="FIN",3,IF(OR(K1215="SEM",K1215="SEMI"),2,IF(OR(K1215="PRE",K1215="HEAT"),1,IF(V1215="YES",4,2))))</f>
        <v/>
      </c>
      <c r="M1215" s="33" t="inlineStr">
        <is>
          <t>LCM</t>
        </is>
      </c>
      <c r="N1215" s="33" t="n">
        <v>100</v>
      </c>
      <c r="O1215" s="33" t="inlineStr">
        <is>
          <t>Free</t>
        </is>
      </c>
      <c r="P1215" s="33" t="inlineStr">
        <is>
          <t>100 Free</t>
        </is>
      </c>
      <c r="Q1215" s="33" t="inlineStr">
        <is>
          <t>LCM_100_FREE</t>
        </is>
      </c>
      <c r="R1215" s="36" t="n">
        <v>48.07</v>
      </c>
      <c r="S1215" s="35">
        <f>IF(R1215="","",IF(R1215&gt;=60,INT(R1215/60)&amp;":"&amp;TEXT(MOD(R1215,60),"00.00"),TEXT(R1215,"0.00")))</f>
        <v/>
      </c>
      <c r="T1215" s="52">
        <f>IFERROR((G1215-INDEX('01_Swimmers'!$E$5:$E$22,MATCH(B1215,'01_Swimmers'!$A$5:$A$22,0)))/'00_Control'!$B$10,"")</f>
        <v/>
      </c>
      <c r="U1215" s="35">
        <f>IF(T1215="","",INT(T1215))</f>
        <v/>
      </c>
      <c r="V1215" s="33" t="inlineStr">
        <is>
          <t>NO</t>
        </is>
      </c>
      <c r="W1215" s="33" t="inlineStr">
        <is>
          <t>YES</t>
        </is>
      </c>
      <c r="X1215" s="33" t="inlineStr">
        <is>
          <t>NO</t>
        </is>
      </c>
      <c r="Y1215" s="33" t="n">
        <v>11</v>
      </c>
      <c r="Z1215" s="33" t="n">
        <v>4</v>
      </c>
      <c r="AA1215" s="33" t="inlineStr">
        <is>
          <t>10</t>
        </is>
      </c>
      <c r="AB1215" s="33" t="inlineStr">
        <is>
          <t>https://www.swimcloud.com/results/348385/event/19/?id=156828829#time156828829</t>
        </is>
      </c>
      <c r="AC1215" s="33" t="inlineStr">
        <is>
          <t>SwimCloud API v6 2026-10-08</t>
        </is>
      </c>
      <c r="AD1215" s="33" t="inlineStr">
        <is>
          <t>Jack Alexy|2025-07-30|LCM|100|Free|48.07|22nd World Aquatics Championships|PRE|False</t>
        </is>
      </c>
      <c r="AE1215" s="53">
        <f>G1215+L1215/1000+ROW()/1000000000</f>
        <v/>
      </c>
      <c r="AF1215" s="35">
        <f>IF(C1215&lt;&gt;"Grayson Coulter","",COUNTIFS($C$5:$C$2991,"Grayson Coulter",$Q$5:$Q$2991,Q1215,$AE$5:$AE$2991,"&lt;="&amp;AE1215,$R$5:$R$2991,"&lt;"&amp;R1215))</f>
        <v/>
      </c>
      <c r="AG1215" s="35">
        <f>IF(OR(C1215&lt;&gt;"Grayson Coulter",G1215&lt;'00_Control'!$B$7),"",--(AF1215&lt;5))</f>
        <v/>
      </c>
      <c r="AH1215" s="35">
        <f>IF(OR(C1215&lt;&gt;"Grayson Coulter",G1215&lt;'00_Control'!$B$7),"",--(AF1215&lt;10))</f>
        <v/>
      </c>
      <c r="AI1215" s="35">
        <f>IF(AND(C1215="Grayson Coulter",G1215&gt;='00_Control'!$B$7),"YES","NO")</f>
        <v/>
      </c>
      <c r="AJ1215" s="33" t="inlineStr">
        <is>
          <t>OK</t>
        </is>
      </c>
    </row>
    <row r="1216">
      <c r="A1216" s="33" t="inlineStr">
        <is>
          <t>SM001212</t>
        </is>
      </c>
      <c r="B1216" s="33" t="inlineStr">
        <is>
          <t>SW015</t>
        </is>
      </c>
      <c r="C1216" s="33" t="inlineStr">
        <is>
          <t>Jack Alexy</t>
        </is>
      </c>
      <c r="D1216" s="33" t="inlineStr">
        <is>
          <t>SwimCloud</t>
        </is>
      </c>
      <c r="E1216" s="33" t="inlineStr">
        <is>
          <t>503872</t>
        </is>
      </c>
      <c r="F1216" s="33" t="inlineStr">
        <is>
          <t>156828830</t>
        </is>
      </c>
      <c r="G1216" s="51" t="n">
        <v>45868</v>
      </c>
      <c r="H1216" s="33" t="inlineStr">
        <is>
          <t>22nd World Aquatics Championships</t>
        </is>
      </c>
      <c r="I1216" s="33" t="inlineStr">
        <is>
          <t>348385</t>
        </is>
      </c>
      <c r="J1216" s="33" t="inlineStr"/>
      <c r="K1216" s="33" t="inlineStr">
        <is>
          <t>SEM</t>
        </is>
      </c>
      <c r="L1216" s="35">
        <f>IF(K1216="FIN",3,IF(OR(K1216="SEM",K1216="SEMI"),2,IF(OR(K1216="PRE",K1216="HEAT"),1,IF(V1216="YES",4,2))))</f>
        <v/>
      </c>
      <c r="M1216" s="33" t="inlineStr">
        <is>
          <t>LCM</t>
        </is>
      </c>
      <c r="N1216" s="33" t="n">
        <v>100</v>
      </c>
      <c r="O1216" s="33" t="inlineStr">
        <is>
          <t>Free</t>
        </is>
      </c>
      <c r="P1216" s="33" t="inlineStr">
        <is>
          <t>100 Free</t>
        </is>
      </c>
      <c r="Q1216" s="33" t="inlineStr">
        <is>
          <t>LCM_100_FREE</t>
        </is>
      </c>
      <c r="R1216" s="36" t="n">
        <v>46.81</v>
      </c>
      <c r="S1216" s="35">
        <f>IF(R1216="","",IF(R1216&gt;=60,INT(R1216/60)&amp;":"&amp;TEXT(MOD(R1216,60),"00.00"),TEXT(R1216,"0.00")))</f>
        <v/>
      </c>
      <c r="T1216" s="52">
        <f>IFERROR((G1216-INDEX('01_Swimmers'!$E$5:$E$22,MATCH(B1216,'01_Swimmers'!$A$5:$A$22,0)))/'00_Control'!$B$10,"")</f>
        <v/>
      </c>
      <c r="U1216" s="35">
        <f>IF(T1216="","",INT(T1216))</f>
        <v/>
      </c>
      <c r="V1216" s="33" t="inlineStr">
        <is>
          <t>NO</t>
        </is>
      </c>
      <c r="W1216" s="33" t="inlineStr">
        <is>
          <t>YES</t>
        </is>
      </c>
      <c r="X1216" s="33" t="inlineStr">
        <is>
          <t>NO</t>
        </is>
      </c>
      <c r="Y1216" s="33" t="n">
        <v>2</v>
      </c>
      <c r="Z1216" s="33" t="n">
        <v>7</v>
      </c>
      <c r="AA1216" s="33" t="inlineStr">
        <is>
          <t>1</t>
        </is>
      </c>
      <c r="AB1216" s="33" t="inlineStr">
        <is>
          <t>https://www.swimcloud.com/results/348385/event/19/?id=156828830#time156828830</t>
        </is>
      </c>
      <c r="AC1216" s="33" t="inlineStr">
        <is>
          <t>SwimCloud API v6 2026-10-08</t>
        </is>
      </c>
      <c r="AD1216" s="33" t="inlineStr">
        <is>
          <t>Jack Alexy|2025-07-30|LCM|100|Free|46.81|22nd World Aquatics Championships|SEM|False</t>
        </is>
      </c>
      <c r="AE1216" s="53">
        <f>G1216+L1216/1000+ROW()/1000000000</f>
        <v/>
      </c>
      <c r="AF1216" s="35">
        <f>IF(C1216&lt;&gt;"Grayson Coulter","",COUNTIFS($C$5:$C$2991,"Grayson Coulter",$Q$5:$Q$2991,Q1216,$AE$5:$AE$2991,"&lt;="&amp;AE1216,$R$5:$R$2991,"&lt;"&amp;R1216))</f>
        <v/>
      </c>
      <c r="AG1216" s="35">
        <f>IF(OR(C1216&lt;&gt;"Grayson Coulter",G1216&lt;'00_Control'!$B$7),"",--(AF1216&lt;5))</f>
        <v/>
      </c>
      <c r="AH1216" s="35">
        <f>IF(OR(C1216&lt;&gt;"Grayson Coulter",G1216&lt;'00_Control'!$B$7),"",--(AF1216&lt;10))</f>
        <v/>
      </c>
      <c r="AI1216" s="35">
        <f>IF(AND(C1216="Grayson Coulter",G1216&gt;='00_Control'!$B$7),"YES","NO")</f>
        <v/>
      </c>
      <c r="AJ1216" s="33" t="inlineStr">
        <is>
          <t>OK</t>
        </is>
      </c>
    </row>
    <row r="1217">
      <c r="A1217" s="33" t="inlineStr">
        <is>
          <t>SM001213</t>
        </is>
      </c>
      <c r="B1217" s="33" t="inlineStr">
        <is>
          <t>SW015</t>
        </is>
      </c>
      <c r="C1217" s="33" t="inlineStr">
        <is>
          <t>Jack Alexy</t>
        </is>
      </c>
      <c r="D1217" s="33" t="inlineStr">
        <is>
          <t>SwimCloud</t>
        </is>
      </c>
      <c r="E1217" s="33" t="inlineStr">
        <is>
          <t>503872</t>
        </is>
      </c>
      <c r="F1217" s="33" t="inlineStr">
        <is>
          <t>156828828</t>
        </is>
      </c>
      <c r="G1217" s="51" t="n">
        <v>45869</v>
      </c>
      <c r="H1217" s="33" t="inlineStr">
        <is>
          <t>22nd World Aquatics Championships</t>
        </is>
      </c>
      <c r="I1217" s="33" t="inlineStr">
        <is>
          <t>348385</t>
        </is>
      </c>
      <c r="J1217" s="33" t="inlineStr"/>
      <c r="K1217" s="33" t="inlineStr">
        <is>
          <t>FIN</t>
        </is>
      </c>
      <c r="L1217" s="35">
        <f>IF(K1217="FIN",3,IF(OR(K1217="SEM",K1217="SEMI"),2,IF(OR(K1217="PRE",K1217="HEAT"),1,IF(V1217="YES",4,2))))</f>
        <v/>
      </c>
      <c r="M1217" s="33" t="inlineStr">
        <is>
          <t>LCM</t>
        </is>
      </c>
      <c r="N1217" s="33" t="n">
        <v>100</v>
      </c>
      <c r="O1217" s="33" t="inlineStr">
        <is>
          <t>Free</t>
        </is>
      </c>
      <c r="P1217" s="33" t="inlineStr">
        <is>
          <t>100 Free</t>
        </is>
      </c>
      <c r="Q1217" s="33" t="inlineStr">
        <is>
          <t>LCM_100_FREE</t>
        </is>
      </c>
      <c r="R1217" s="36" t="n">
        <v>46.92</v>
      </c>
      <c r="S1217" s="35">
        <f>IF(R1217="","",IF(R1217&gt;=60,INT(R1217/60)&amp;":"&amp;TEXT(MOD(R1217,60),"00.00"),TEXT(R1217,"0.00")))</f>
        <v/>
      </c>
      <c r="T1217" s="52">
        <f>IFERROR((G1217-INDEX('01_Swimmers'!$E$5:$E$22,MATCH(B1217,'01_Swimmers'!$A$5:$A$22,0)))/'00_Control'!$B$10,"")</f>
        <v/>
      </c>
      <c r="U1217" s="35">
        <f>IF(T1217="","",INT(T1217))</f>
        <v/>
      </c>
      <c r="V1217" s="33" t="inlineStr">
        <is>
          <t>NO</t>
        </is>
      </c>
      <c r="W1217" s="33" t="inlineStr">
        <is>
          <t>YES</t>
        </is>
      </c>
      <c r="X1217" s="33" t="inlineStr">
        <is>
          <t>NO</t>
        </is>
      </c>
      <c r="Y1217" s="33" t="n">
        <v>1</v>
      </c>
      <c r="Z1217" s="33" t="n">
        <v>4</v>
      </c>
      <c r="AA1217" s="33" t="inlineStr">
        <is>
          <t>2</t>
        </is>
      </c>
      <c r="AB1217" s="33" t="inlineStr">
        <is>
          <t>https://www.swimcloud.com/results/348385/event/19/?id=156828828#time156828828</t>
        </is>
      </c>
      <c r="AC1217" s="33" t="inlineStr">
        <is>
          <t>SwimCloud API v6 2026-10-08</t>
        </is>
      </c>
      <c r="AD1217" s="33" t="inlineStr">
        <is>
          <t>Jack Alexy|2025-07-31|LCM|100|Free|46.92|22nd World Aquatics Championships|FIN|False</t>
        </is>
      </c>
      <c r="AE1217" s="53">
        <f>G1217+L1217/1000+ROW()/1000000000</f>
        <v/>
      </c>
      <c r="AF1217" s="35">
        <f>IF(C1217&lt;&gt;"Grayson Coulter","",COUNTIFS($C$5:$C$2991,"Grayson Coulter",$Q$5:$Q$2991,Q1217,$AE$5:$AE$2991,"&lt;="&amp;AE1217,$R$5:$R$2991,"&lt;"&amp;R1217))</f>
        <v/>
      </c>
      <c r="AG1217" s="35">
        <f>IF(OR(C1217&lt;&gt;"Grayson Coulter",G1217&lt;'00_Control'!$B$7),"",--(AF1217&lt;5))</f>
        <v/>
      </c>
      <c r="AH1217" s="35">
        <f>IF(OR(C1217&lt;&gt;"Grayson Coulter",G1217&lt;'00_Control'!$B$7),"",--(AF1217&lt;10))</f>
        <v/>
      </c>
      <c r="AI1217" s="35">
        <f>IF(AND(C1217="Grayson Coulter",G1217&gt;='00_Control'!$B$7),"YES","NO")</f>
        <v/>
      </c>
      <c r="AJ1217" s="33" t="inlineStr">
        <is>
          <t>OK</t>
        </is>
      </c>
    </row>
    <row r="1218">
      <c r="A1218" s="33" t="inlineStr">
        <is>
          <t>SM001214</t>
        </is>
      </c>
      <c r="B1218" s="33" t="inlineStr">
        <is>
          <t>SW015</t>
        </is>
      </c>
      <c r="C1218" s="33" t="inlineStr">
        <is>
          <t>Jack Alexy</t>
        </is>
      </c>
      <c r="D1218" s="33" t="inlineStr">
        <is>
          <t>SwimCloud</t>
        </is>
      </c>
      <c r="E1218" s="33" t="inlineStr">
        <is>
          <t>503872</t>
        </is>
      </c>
      <c r="F1218" s="33" t="inlineStr">
        <is>
          <t>156830003</t>
        </is>
      </c>
      <c r="G1218" s="51" t="n">
        <v>45871</v>
      </c>
      <c r="H1218" s="33" t="inlineStr">
        <is>
          <t>22nd World Aquatics Championships</t>
        </is>
      </c>
      <c r="I1218" s="33" t="inlineStr">
        <is>
          <t>348385</t>
        </is>
      </c>
      <c r="J1218" s="33" t="inlineStr"/>
      <c r="K1218" s="33" t="inlineStr">
        <is>
          <t>FIN</t>
        </is>
      </c>
      <c r="L1218" s="35">
        <f>IF(K1218="FIN",3,IF(OR(K1218="SEM",K1218="SEMI"),2,IF(OR(K1218="PRE",K1218="HEAT"),1,IF(V1218="YES",4,2))))</f>
        <v/>
      </c>
      <c r="M1218" s="33" t="inlineStr">
        <is>
          <t>LCM</t>
        </is>
      </c>
      <c r="N1218" s="33" t="n">
        <v>100</v>
      </c>
      <c r="O1218" s="33" t="inlineStr">
        <is>
          <t>Free</t>
        </is>
      </c>
      <c r="P1218" s="33" t="inlineStr">
        <is>
          <t>100 Free</t>
        </is>
      </c>
      <c r="Q1218" s="33" t="inlineStr">
        <is>
          <t>LCM_100_FREE</t>
        </is>
      </c>
      <c r="R1218" s="36" t="n">
        <v>46.91</v>
      </c>
      <c r="S1218" s="35">
        <f>IF(R1218="","",IF(R1218&gt;=60,INT(R1218/60)&amp;":"&amp;TEXT(MOD(R1218,60),"00.00"),TEXT(R1218,"0.00")))</f>
        <v/>
      </c>
      <c r="T1218" s="52">
        <f>IFERROR((G1218-INDEX('01_Swimmers'!$E$5:$E$22,MATCH(B1218,'01_Swimmers'!$A$5:$A$22,0)))/'00_Control'!$B$10,"")</f>
        <v/>
      </c>
      <c r="U1218" s="35">
        <f>IF(T1218="","",INT(T1218))</f>
        <v/>
      </c>
      <c r="V1218" s="33" t="inlineStr">
        <is>
          <t>YES</t>
        </is>
      </c>
      <c r="W1218" s="33" t="inlineStr">
        <is>
          <t>YES</t>
        </is>
      </c>
      <c r="X1218" s="33" t="inlineStr">
        <is>
          <t>NO</t>
        </is>
      </c>
      <c r="Y1218" s="33" t="n">
        <v>1</v>
      </c>
      <c r="Z1218" s="33" t="n">
        <v>4</v>
      </c>
      <c r="AA1218" s="33" t="inlineStr"/>
      <c r="AB1218" s="33" t="inlineStr">
        <is>
          <t>https://www.swimcloud.com/results/348385/event/37/?id=156828995#time156828995</t>
        </is>
      </c>
      <c r="AC1218" s="33" t="inlineStr">
        <is>
          <t>SwimCloud API v6 2026-10-08</t>
        </is>
      </c>
      <c r="AD1218" s="33" t="inlineStr">
        <is>
          <t>Jack Alexy|2025-08-02|LCM|100|Free|46.91|22nd World Aquatics Championships|FIN|True</t>
        </is>
      </c>
      <c r="AE1218" s="53">
        <f>G1218+L1218/1000+ROW()/1000000000</f>
        <v/>
      </c>
      <c r="AF1218" s="35">
        <f>IF(C1218&lt;&gt;"Grayson Coulter","",COUNTIFS($C$5:$C$2991,"Grayson Coulter",$Q$5:$Q$2991,Q1218,$AE$5:$AE$2991,"&lt;="&amp;AE1218,$R$5:$R$2991,"&lt;"&amp;R1218))</f>
        <v/>
      </c>
      <c r="AG1218" s="35">
        <f>IF(OR(C1218&lt;&gt;"Grayson Coulter",G1218&lt;'00_Control'!$B$7),"",--(AF1218&lt;5))</f>
        <v/>
      </c>
      <c r="AH1218" s="35">
        <f>IF(OR(C1218&lt;&gt;"Grayson Coulter",G1218&lt;'00_Control'!$B$7),"",--(AF1218&lt;10))</f>
        <v/>
      </c>
      <c r="AI1218" s="35">
        <f>IF(AND(C1218="Grayson Coulter",G1218&gt;='00_Control'!$B$7),"YES","NO")</f>
        <v/>
      </c>
      <c r="AJ1218" s="33" t="inlineStr">
        <is>
          <t>OK</t>
        </is>
      </c>
    </row>
    <row r="1219">
      <c r="A1219" s="33" t="inlineStr">
        <is>
          <t>SM001215</t>
        </is>
      </c>
      <c r="B1219" s="33" t="inlineStr">
        <is>
          <t>SW015</t>
        </is>
      </c>
      <c r="C1219" s="33" t="inlineStr">
        <is>
          <t>Jack Alexy</t>
        </is>
      </c>
      <c r="D1219" s="33" t="inlineStr">
        <is>
          <t>SwimCloud</t>
        </is>
      </c>
      <c r="E1219" s="33" t="inlineStr">
        <is>
          <t>503872</t>
        </is>
      </c>
      <c r="F1219" s="33" t="inlineStr">
        <is>
          <t>159282491</t>
        </is>
      </c>
      <c r="G1219" s="51" t="n">
        <v>45941</v>
      </c>
      <c r="H1219" s="33" t="inlineStr">
        <is>
          <t>World Aquatics World Cup - Carmel</t>
        </is>
      </c>
      <c r="I1219" s="33" t="inlineStr">
        <is>
          <t>356985</t>
        </is>
      </c>
      <c r="J1219" s="33" t="inlineStr"/>
      <c r="K1219" s="33" t="inlineStr">
        <is>
          <t>PRE</t>
        </is>
      </c>
      <c r="L1219" s="35">
        <f>IF(K1219="FIN",3,IF(OR(K1219="SEM",K1219="SEMI"),2,IF(OR(K1219="PRE",K1219="HEAT"),1,IF(V1219="YES",4,2))))</f>
        <v/>
      </c>
      <c r="M1219" s="33" t="inlineStr">
        <is>
          <t>SCM</t>
        </is>
      </c>
      <c r="N1219" s="33" t="n">
        <v>100</v>
      </c>
      <c r="O1219" s="33" t="inlineStr">
        <is>
          <t>Free</t>
        </is>
      </c>
      <c r="P1219" s="33" t="inlineStr">
        <is>
          <t>100 Free</t>
        </is>
      </c>
      <c r="Q1219" s="33" t="inlineStr">
        <is>
          <t>SCM_100_FREE</t>
        </is>
      </c>
      <c r="R1219" s="36" t="n">
        <v>45.36</v>
      </c>
      <c r="S1219" s="35">
        <f>IF(R1219="","",IF(R1219&gt;=60,INT(R1219/60)&amp;":"&amp;TEXT(MOD(R1219,60),"00.00"),TEXT(R1219,"0.00")))</f>
        <v/>
      </c>
      <c r="T1219" s="52">
        <f>IFERROR((G1219-INDEX('01_Swimmers'!$E$5:$E$22,MATCH(B1219,'01_Swimmers'!$A$5:$A$22,0)))/'00_Control'!$B$10,"")</f>
        <v/>
      </c>
      <c r="U1219" s="35">
        <f>IF(T1219="","",INT(T1219))</f>
        <v/>
      </c>
      <c r="V1219" s="33" t="inlineStr">
        <is>
          <t>NO</t>
        </is>
      </c>
      <c r="W1219" s="33" t="inlineStr">
        <is>
          <t>YES</t>
        </is>
      </c>
      <c r="X1219" s="33" t="inlineStr">
        <is>
          <t>NO</t>
        </is>
      </c>
      <c r="Y1219" s="33" t="n">
        <v>9</v>
      </c>
      <c r="Z1219" s="33" t="n">
        <v>4</v>
      </c>
      <c r="AA1219" s="33" t="inlineStr">
        <is>
          <t>1</t>
        </is>
      </c>
      <c r="AB1219" s="33" t="inlineStr">
        <is>
          <t>https://www.swimcloud.com/results/356985/event/20/?id=159282491#time159282491</t>
        </is>
      </c>
      <c r="AC1219" s="33" t="inlineStr">
        <is>
          <t>SwimCloud API v6 2026-10-08</t>
        </is>
      </c>
      <c r="AD1219" s="33" t="inlineStr">
        <is>
          <t>Jack Alexy|2025-10-11|SCM|100|Free|45.36|World Aquatics World Cup - Carmel|PRE|False</t>
        </is>
      </c>
      <c r="AE1219" s="53">
        <f>G1219+L1219/1000+ROW()/1000000000</f>
        <v/>
      </c>
      <c r="AF1219" s="35">
        <f>IF(C1219&lt;&gt;"Grayson Coulter","",COUNTIFS($C$5:$C$2991,"Grayson Coulter",$Q$5:$Q$2991,Q1219,$AE$5:$AE$2991,"&lt;="&amp;AE1219,$R$5:$R$2991,"&lt;"&amp;R1219))</f>
        <v/>
      </c>
      <c r="AG1219" s="35">
        <f>IF(OR(C1219&lt;&gt;"Grayson Coulter",G1219&lt;'00_Control'!$B$7),"",--(AF1219&lt;5))</f>
        <v/>
      </c>
      <c r="AH1219" s="35">
        <f>IF(OR(C1219&lt;&gt;"Grayson Coulter",G1219&lt;'00_Control'!$B$7),"",--(AF1219&lt;10))</f>
        <v/>
      </c>
      <c r="AI1219" s="35">
        <f>IF(AND(C1219="Grayson Coulter",G1219&gt;='00_Control'!$B$7),"YES","NO")</f>
        <v/>
      </c>
      <c r="AJ1219" s="33" t="inlineStr">
        <is>
          <t>OK</t>
        </is>
      </c>
    </row>
    <row r="1220">
      <c r="A1220" s="33" t="inlineStr">
        <is>
          <t>SM001216</t>
        </is>
      </c>
      <c r="B1220" s="33" t="inlineStr">
        <is>
          <t>SW015</t>
        </is>
      </c>
      <c r="C1220" s="33" t="inlineStr">
        <is>
          <t>Jack Alexy</t>
        </is>
      </c>
      <c r="D1220" s="33" t="inlineStr">
        <is>
          <t>SwimCloud</t>
        </is>
      </c>
      <c r="E1220" s="33" t="inlineStr">
        <is>
          <t>503872</t>
        </is>
      </c>
      <c r="F1220" s="33" t="inlineStr">
        <is>
          <t>159282490</t>
        </is>
      </c>
      <c r="G1220" s="51" t="n">
        <v>45941</v>
      </c>
      <c r="H1220" s="33" t="inlineStr">
        <is>
          <t>World Aquatics World Cup - Carmel</t>
        </is>
      </c>
      <c r="I1220" s="33" t="inlineStr">
        <is>
          <t>356985</t>
        </is>
      </c>
      <c r="J1220" s="33" t="inlineStr"/>
      <c r="K1220" s="33" t="inlineStr">
        <is>
          <t>FIN</t>
        </is>
      </c>
      <c r="L1220" s="35">
        <f>IF(K1220="FIN",3,IF(OR(K1220="SEM",K1220="SEMI"),2,IF(OR(K1220="PRE",K1220="HEAT"),1,IF(V1220="YES",4,2))))</f>
        <v/>
      </c>
      <c r="M1220" s="33" t="inlineStr">
        <is>
          <t>SCM</t>
        </is>
      </c>
      <c r="N1220" s="33" t="n">
        <v>100</v>
      </c>
      <c r="O1220" s="33" t="inlineStr">
        <is>
          <t>Free</t>
        </is>
      </c>
      <c r="P1220" s="33" t="inlineStr">
        <is>
          <t>100 Free</t>
        </is>
      </c>
      <c r="Q1220" s="33" t="inlineStr">
        <is>
          <t>SCM_100_FREE</t>
        </is>
      </c>
      <c r="R1220" s="36" t="n">
        <v>45.32</v>
      </c>
      <c r="S1220" s="35">
        <f>IF(R1220="","",IF(R1220&gt;=60,INT(R1220/60)&amp;":"&amp;TEXT(MOD(R1220,60),"00.00"),TEXT(R1220,"0.00")))</f>
        <v/>
      </c>
      <c r="T1220" s="52">
        <f>IFERROR((G1220-INDEX('01_Swimmers'!$E$5:$E$22,MATCH(B1220,'01_Swimmers'!$A$5:$A$22,0)))/'00_Control'!$B$10,"")</f>
        <v/>
      </c>
      <c r="U1220" s="35">
        <f>IF(T1220="","",INT(T1220))</f>
        <v/>
      </c>
      <c r="V1220" s="33" t="inlineStr">
        <is>
          <t>NO</t>
        </is>
      </c>
      <c r="W1220" s="33" t="inlineStr">
        <is>
          <t>YES</t>
        </is>
      </c>
      <c r="X1220" s="33" t="inlineStr">
        <is>
          <t>NO</t>
        </is>
      </c>
      <c r="Y1220" s="33" t="n">
        <v>1</v>
      </c>
      <c r="Z1220" s="33" t="n">
        <v>4</v>
      </c>
      <c r="AA1220" s="33" t="inlineStr">
        <is>
          <t>1</t>
        </is>
      </c>
      <c r="AB1220" s="33" t="inlineStr">
        <is>
          <t>https://www.swimcloud.com/results/356985/event/20/?id=159282490#time159282490</t>
        </is>
      </c>
      <c r="AC1220" s="33" t="inlineStr">
        <is>
          <t>SwimCloud API v6 2026-10-08</t>
        </is>
      </c>
      <c r="AD1220" s="33" t="inlineStr">
        <is>
          <t>Jack Alexy|2025-10-11|SCM|100|Free|45.32|World Aquatics World Cup - Carmel|FIN|False</t>
        </is>
      </c>
      <c r="AE1220" s="53">
        <f>G1220+L1220/1000+ROW()/1000000000</f>
        <v/>
      </c>
      <c r="AF1220" s="35">
        <f>IF(C1220&lt;&gt;"Grayson Coulter","",COUNTIFS($C$5:$C$2991,"Grayson Coulter",$Q$5:$Q$2991,Q1220,$AE$5:$AE$2991,"&lt;="&amp;AE1220,$R$5:$R$2991,"&lt;"&amp;R1220))</f>
        <v/>
      </c>
      <c r="AG1220" s="35">
        <f>IF(OR(C1220&lt;&gt;"Grayson Coulter",G1220&lt;'00_Control'!$B$7),"",--(AF1220&lt;5))</f>
        <v/>
      </c>
      <c r="AH1220" s="35">
        <f>IF(OR(C1220&lt;&gt;"Grayson Coulter",G1220&lt;'00_Control'!$B$7),"",--(AF1220&lt;10))</f>
        <v/>
      </c>
      <c r="AI1220" s="35">
        <f>IF(AND(C1220="Grayson Coulter",G1220&gt;='00_Control'!$B$7),"YES","NO")</f>
        <v/>
      </c>
      <c r="AJ1220" s="33" t="inlineStr">
        <is>
          <t>OK</t>
        </is>
      </c>
    </row>
    <row r="1221">
      <c r="A1221" s="33" t="inlineStr">
        <is>
          <t>SM001217</t>
        </is>
      </c>
      <c r="B1221" s="33" t="inlineStr">
        <is>
          <t>SW015</t>
        </is>
      </c>
      <c r="C1221" s="33" t="inlineStr">
        <is>
          <t>Jack Alexy</t>
        </is>
      </c>
      <c r="D1221" s="33" t="inlineStr">
        <is>
          <t>SwimCloud</t>
        </is>
      </c>
      <c r="E1221" s="33" t="inlineStr">
        <is>
          <t>503872</t>
        </is>
      </c>
      <c r="F1221" s="33" t="inlineStr">
        <is>
          <t>159282493</t>
        </is>
      </c>
      <c r="G1221" s="51" t="n">
        <v>45942</v>
      </c>
      <c r="H1221" s="33" t="inlineStr">
        <is>
          <t>World Aquatics World Cup - Carmel</t>
        </is>
      </c>
      <c r="I1221" s="33" t="inlineStr">
        <is>
          <t>356985</t>
        </is>
      </c>
      <c r="J1221" s="33" t="inlineStr"/>
      <c r="K1221" s="33" t="inlineStr">
        <is>
          <t>PRE</t>
        </is>
      </c>
      <c r="L1221" s="35">
        <f>IF(K1221="FIN",3,IF(OR(K1221="SEM",K1221="SEMI"),2,IF(OR(K1221="PRE",K1221="HEAT"),1,IF(V1221="YES",4,2))))</f>
        <v/>
      </c>
      <c r="M1221" s="33" t="inlineStr">
        <is>
          <t>SCM</t>
        </is>
      </c>
      <c r="N1221" s="33" t="n">
        <v>200</v>
      </c>
      <c r="O1221" s="33" t="inlineStr">
        <is>
          <t>Free</t>
        </is>
      </c>
      <c r="P1221" s="33" t="inlineStr">
        <is>
          <t>200 Free</t>
        </is>
      </c>
      <c r="Q1221" s="33" t="inlineStr">
        <is>
          <t>SCM_200_FREE</t>
        </is>
      </c>
      <c r="R1221" s="36" t="n">
        <v>102.66</v>
      </c>
      <c r="S1221" s="35">
        <f>IF(R1221="","",IF(R1221&gt;=60,INT(R1221/60)&amp;":"&amp;TEXT(MOD(R1221,60),"00.00"),TEXT(R1221,"0.00")))</f>
        <v/>
      </c>
      <c r="T1221" s="52">
        <f>IFERROR((G1221-INDEX('01_Swimmers'!$E$5:$E$22,MATCH(B1221,'01_Swimmers'!$A$5:$A$22,0)))/'00_Control'!$B$10,"")</f>
        <v/>
      </c>
      <c r="U1221" s="35">
        <f>IF(T1221="","",INT(T1221))</f>
        <v/>
      </c>
      <c r="V1221" s="33" t="inlineStr">
        <is>
          <t>NO</t>
        </is>
      </c>
      <c r="W1221" s="33" t="inlineStr">
        <is>
          <t>YES</t>
        </is>
      </c>
      <c r="X1221" s="33" t="inlineStr">
        <is>
          <t>NO</t>
        </is>
      </c>
      <c r="Y1221" s="33" t="n">
        <v>7</v>
      </c>
      <c r="Z1221" s="33" t="n">
        <v>5</v>
      </c>
      <c r="AA1221" s="33" t="inlineStr">
        <is>
          <t>4</t>
        </is>
      </c>
      <c r="AB1221" s="33" t="inlineStr">
        <is>
          <t>https://www.swimcloud.com/results/356985/event/32/?id=159282493#time159282493</t>
        </is>
      </c>
      <c r="AC1221" s="33" t="inlineStr">
        <is>
          <t>SwimCloud API v6 2026-10-08</t>
        </is>
      </c>
      <c r="AD1221" s="33" t="inlineStr">
        <is>
          <t>Jack Alexy|2025-10-12|SCM|200|Free|102.66|World Aquatics World Cup - Carmel|PRE|False</t>
        </is>
      </c>
      <c r="AE1221" s="53">
        <f>G1221+L1221/1000+ROW()/1000000000</f>
        <v/>
      </c>
      <c r="AF1221" s="35">
        <f>IF(C1221&lt;&gt;"Grayson Coulter","",COUNTIFS($C$5:$C$2991,"Grayson Coulter",$Q$5:$Q$2991,Q1221,$AE$5:$AE$2991,"&lt;="&amp;AE1221,$R$5:$R$2991,"&lt;"&amp;R1221))</f>
        <v/>
      </c>
      <c r="AG1221" s="35">
        <f>IF(OR(C1221&lt;&gt;"Grayson Coulter",G1221&lt;'00_Control'!$B$7),"",--(AF1221&lt;5))</f>
        <v/>
      </c>
      <c r="AH1221" s="35">
        <f>IF(OR(C1221&lt;&gt;"Grayson Coulter",G1221&lt;'00_Control'!$B$7),"",--(AF1221&lt;10))</f>
        <v/>
      </c>
      <c r="AI1221" s="35">
        <f>IF(AND(C1221="Grayson Coulter",G1221&gt;='00_Control'!$B$7),"YES","NO")</f>
        <v/>
      </c>
      <c r="AJ1221" s="33" t="inlineStr">
        <is>
          <t>OK</t>
        </is>
      </c>
    </row>
    <row r="1222">
      <c r="A1222" s="33" t="inlineStr">
        <is>
          <t>SM001218</t>
        </is>
      </c>
      <c r="B1222" s="33" t="inlineStr">
        <is>
          <t>SW015</t>
        </is>
      </c>
      <c r="C1222" s="33" t="inlineStr">
        <is>
          <t>Jack Alexy</t>
        </is>
      </c>
      <c r="D1222" s="33" t="inlineStr">
        <is>
          <t>SwimCloud</t>
        </is>
      </c>
      <c r="E1222" s="33" t="inlineStr">
        <is>
          <t>503872</t>
        </is>
      </c>
      <c r="F1222" s="33" t="inlineStr">
        <is>
          <t>159282492</t>
        </is>
      </c>
      <c r="G1222" s="51" t="n">
        <v>45942</v>
      </c>
      <c r="H1222" s="33" t="inlineStr">
        <is>
          <t>World Aquatics World Cup - Carmel</t>
        </is>
      </c>
      <c r="I1222" s="33" t="inlineStr">
        <is>
          <t>356985</t>
        </is>
      </c>
      <c r="J1222" s="33" t="inlineStr"/>
      <c r="K1222" s="33" t="inlineStr">
        <is>
          <t>FIN</t>
        </is>
      </c>
      <c r="L1222" s="35">
        <f>IF(K1222="FIN",3,IF(OR(K1222="SEM",K1222="SEMI"),2,IF(OR(K1222="PRE",K1222="HEAT"),1,IF(V1222="YES",4,2))))</f>
        <v/>
      </c>
      <c r="M1222" s="33" t="inlineStr">
        <is>
          <t>SCM</t>
        </is>
      </c>
      <c r="N1222" s="33" t="n">
        <v>200</v>
      </c>
      <c r="O1222" s="33" t="inlineStr">
        <is>
          <t>Free</t>
        </is>
      </c>
      <c r="P1222" s="33" t="inlineStr">
        <is>
          <t>200 Free</t>
        </is>
      </c>
      <c r="Q1222" s="33" t="inlineStr">
        <is>
          <t>SCM_200_FREE</t>
        </is>
      </c>
      <c r="R1222" s="36" t="n">
        <v>102.16</v>
      </c>
      <c r="S1222" s="35">
        <f>IF(R1222="","",IF(R1222&gt;=60,INT(R1222/60)&amp;":"&amp;TEXT(MOD(R1222,60),"00.00"),TEXT(R1222,"0.00")))</f>
        <v/>
      </c>
      <c r="T1222" s="52">
        <f>IFERROR((G1222-INDEX('01_Swimmers'!$E$5:$E$22,MATCH(B1222,'01_Swimmers'!$A$5:$A$22,0)))/'00_Control'!$B$10,"")</f>
        <v/>
      </c>
      <c r="U1222" s="35">
        <f>IF(T1222="","",INT(T1222))</f>
        <v/>
      </c>
      <c r="V1222" s="33" t="inlineStr">
        <is>
          <t>NO</t>
        </is>
      </c>
      <c r="W1222" s="33" t="inlineStr">
        <is>
          <t>YES</t>
        </is>
      </c>
      <c r="X1222" s="33" t="inlineStr">
        <is>
          <t>NO</t>
        </is>
      </c>
      <c r="Y1222" s="33" t="n">
        <v>1</v>
      </c>
      <c r="Z1222" s="33" t="n">
        <v>6</v>
      </c>
      <c r="AA1222" s="33" t="inlineStr">
        <is>
          <t>5</t>
        </is>
      </c>
      <c r="AB1222" s="33" t="inlineStr">
        <is>
          <t>https://www.swimcloud.com/results/356985/event/32/?id=159282492#time159282492</t>
        </is>
      </c>
      <c r="AC1222" s="33" t="inlineStr">
        <is>
          <t>SwimCloud API v6 2026-10-08</t>
        </is>
      </c>
      <c r="AD1222" s="33" t="inlineStr">
        <is>
          <t>Jack Alexy|2025-10-12|SCM|200|Free|102.16|World Aquatics World Cup - Carmel|FIN|False</t>
        </is>
      </c>
      <c r="AE1222" s="53">
        <f>G1222+L1222/1000+ROW()/1000000000</f>
        <v/>
      </c>
      <c r="AF1222" s="35">
        <f>IF(C1222&lt;&gt;"Grayson Coulter","",COUNTIFS($C$5:$C$2991,"Grayson Coulter",$Q$5:$Q$2991,Q1222,$AE$5:$AE$2991,"&lt;="&amp;AE1222,$R$5:$R$2991,"&lt;"&amp;R1222))</f>
        <v/>
      </c>
      <c r="AG1222" s="35">
        <f>IF(OR(C1222&lt;&gt;"Grayson Coulter",G1222&lt;'00_Control'!$B$7),"",--(AF1222&lt;5))</f>
        <v/>
      </c>
      <c r="AH1222" s="35">
        <f>IF(OR(C1222&lt;&gt;"Grayson Coulter",G1222&lt;'00_Control'!$B$7),"",--(AF1222&lt;10))</f>
        <v/>
      </c>
      <c r="AI1222" s="35">
        <f>IF(AND(C1222="Grayson Coulter",G1222&gt;='00_Control'!$B$7),"YES","NO")</f>
        <v/>
      </c>
      <c r="AJ1222" s="33" t="inlineStr">
        <is>
          <t>OK</t>
        </is>
      </c>
    </row>
    <row r="1223">
      <c r="A1223" s="33" t="inlineStr">
        <is>
          <t>SM001219</t>
        </is>
      </c>
      <c r="B1223" s="33" t="inlineStr">
        <is>
          <t>SW015</t>
        </is>
      </c>
      <c r="C1223" s="33" t="inlineStr">
        <is>
          <t>Jack Alexy</t>
        </is>
      </c>
      <c r="D1223" s="33" t="inlineStr">
        <is>
          <t>SwimCloud</t>
        </is>
      </c>
      <c r="E1223" s="33" t="inlineStr">
        <is>
          <t>503872</t>
        </is>
      </c>
      <c r="F1223" s="33" t="inlineStr">
        <is>
          <t>160029878</t>
        </is>
      </c>
      <c r="G1223" s="51" t="n">
        <v>45948</v>
      </c>
      <c r="H1223" s="33" t="inlineStr">
        <is>
          <t>World Aquatics World Cup - Westmont</t>
        </is>
      </c>
      <c r="I1223" s="33" t="inlineStr">
        <is>
          <t>357247</t>
        </is>
      </c>
      <c r="J1223" s="33" t="inlineStr"/>
      <c r="K1223" s="33" t="inlineStr">
        <is>
          <t>PRE</t>
        </is>
      </c>
      <c r="L1223" s="35">
        <f>IF(K1223="FIN",3,IF(OR(K1223="SEM",K1223="SEMI"),2,IF(OR(K1223="PRE",K1223="HEAT"),1,IF(V1223="YES",4,2))))</f>
        <v/>
      </c>
      <c r="M1223" s="33" t="inlineStr">
        <is>
          <t>SCM</t>
        </is>
      </c>
      <c r="N1223" s="33" t="n">
        <v>100</v>
      </c>
      <c r="O1223" s="33" t="inlineStr">
        <is>
          <t>Free</t>
        </is>
      </c>
      <c r="P1223" s="33" t="inlineStr">
        <is>
          <t>100 Free</t>
        </is>
      </c>
      <c r="Q1223" s="33" t="inlineStr">
        <is>
          <t>SCM_100_FREE</t>
        </is>
      </c>
      <c r="R1223" s="36" t="n">
        <v>45.53</v>
      </c>
      <c r="S1223" s="35">
        <f>IF(R1223="","",IF(R1223&gt;=60,INT(R1223/60)&amp;":"&amp;TEXT(MOD(R1223,60),"00.00"),TEXT(R1223,"0.00")))</f>
        <v/>
      </c>
      <c r="T1223" s="52">
        <f>IFERROR((G1223-INDEX('01_Swimmers'!$E$5:$E$22,MATCH(B1223,'01_Swimmers'!$A$5:$A$22,0)))/'00_Control'!$B$10,"")</f>
        <v/>
      </c>
      <c r="U1223" s="35">
        <f>IF(T1223="","",INT(T1223))</f>
        <v/>
      </c>
      <c r="V1223" s="33" t="inlineStr">
        <is>
          <t>NO</t>
        </is>
      </c>
      <c r="W1223" s="33" t="inlineStr">
        <is>
          <t>YES</t>
        </is>
      </c>
      <c r="X1223" s="33" t="inlineStr">
        <is>
          <t>NO</t>
        </is>
      </c>
      <c r="Y1223" s="33" t="n">
        <v>11</v>
      </c>
      <c r="Z1223" s="33" t="n">
        <v>4</v>
      </c>
      <c r="AA1223" s="33" t="inlineStr">
        <is>
          <t>1</t>
        </is>
      </c>
      <c r="AB1223" s="33" t="inlineStr">
        <is>
          <t>https://www.swimcloud.com/results/357247/event/20/?id=160029878#time160029878</t>
        </is>
      </c>
      <c r="AC1223" s="33" t="inlineStr">
        <is>
          <t>SwimCloud API v6 2026-10-08</t>
        </is>
      </c>
      <c r="AD1223" s="33" t="inlineStr">
        <is>
          <t>Jack Alexy|2025-10-18|SCM|100|Free|45.53|World Aquatics World Cup - Westmont|PRE|False</t>
        </is>
      </c>
      <c r="AE1223" s="53">
        <f>G1223+L1223/1000+ROW()/1000000000</f>
        <v/>
      </c>
      <c r="AF1223" s="35">
        <f>IF(C1223&lt;&gt;"Grayson Coulter","",COUNTIFS($C$5:$C$2991,"Grayson Coulter",$Q$5:$Q$2991,Q1223,$AE$5:$AE$2991,"&lt;="&amp;AE1223,$R$5:$R$2991,"&lt;"&amp;R1223))</f>
        <v/>
      </c>
      <c r="AG1223" s="35">
        <f>IF(OR(C1223&lt;&gt;"Grayson Coulter",G1223&lt;'00_Control'!$B$7),"",--(AF1223&lt;5))</f>
        <v/>
      </c>
      <c r="AH1223" s="35">
        <f>IF(OR(C1223&lt;&gt;"Grayson Coulter",G1223&lt;'00_Control'!$B$7),"",--(AF1223&lt;10))</f>
        <v/>
      </c>
      <c r="AI1223" s="35">
        <f>IF(AND(C1223="Grayson Coulter",G1223&gt;='00_Control'!$B$7),"YES","NO")</f>
        <v/>
      </c>
      <c r="AJ1223" s="33" t="inlineStr">
        <is>
          <t>OK</t>
        </is>
      </c>
    </row>
    <row r="1224">
      <c r="A1224" s="33" t="inlineStr">
        <is>
          <t>SM001220</t>
        </is>
      </c>
      <c r="B1224" s="33" t="inlineStr">
        <is>
          <t>SW015</t>
        </is>
      </c>
      <c r="C1224" s="33" t="inlineStr">
        <is>
          <t>Jack Alexy</t>
        </is>
      </c>
      <c r="D1224" s="33" t="inlineStr">
        <is>
          <t>SwimCloud</t>
        </is>
      </c>
      <c r="E1224" s="33" t="inlineStr">
        <is>
          <t>503872</t>
        </is>
      </c>
      <c r="F1224" s="33" t="inlineStr">
        <is>
          <t>160030323</t>
        </is>
      </c>
      <c r="G1224" s="51" t="n">
        <v>45948</v>
      </c>
      <c r="H1224" s="33" t="inlineStr">
        <is>
          <t>World Aquatics World Cup - Westmont</t>
        </is>
      </c>
      <c r="I1224" s="33" t="inlineStr">
        <is>
          <t>357247</t>
        </is>
      </c>
      <c r="J1224" s="33" t="inlineStr"/>
      <c r="K1224" s="33" t="inlineStr">
        <is>
          <t>FIN</t>
        </is>
      </c>
      <c r="L1224" s="35">
        <f>IF(K1224="FIN",3,IF(OR(K1224="SEM",K1224="SEMI"),2,IF(OR(K1224="PRE",K1224="HEAT"),1,IF(V1224="YES",4,2))))</f>
        <v/>
      </c>
      <c r="M1224" s="33" t="inlineStr">
        <is>
          <t>SCM</t>
        </is>
      </c>
      <c r="N1224" s="33" t="n">
        <v>100</v>
      </c>
      <c r="O1224" s="33" t="inlineStr">
        <is>
          <t>Free</t>
        </is>
      </c>
      <c r="P1224" s="33" t="inlineStr">
        <is>
          <t>100 Free</t>
        </is>
      </c>
      <c r="Q1224" s="33" t="inlineStr">
        <is>
          <t>SCM_100_FREE</t>
        </is>
      </c>
      <c r="R1224" s="36" t="n">
        <v>45.84</v>
      </c>
      <c r="S1224" s="35">
        <f>IF(R1224="","",IF(R1224&gt;=60,INT(R1224/60)&amp;":"&amp;TEXT(MOD(R1224,60),"00.00"),TEXT(R1224,"0.00")))</f>
        <v/>
      </c>
      <c r="T1224" s="52">
        <f>IFERROR((G1224-INDEX('01_Swimmers'!$E$5:$E$22,MATCH(B1224,'01_Swimmers'!$A$5:$A$22,0)))/'00_Control'!$B$10,"")</f>
        <v/>
      </c>
      <c r="U1224" s="35">
        <f>IF(T1224="","",INT(T1224))</f>
        <v/>
      </c>
      <c r="V1224" s="33" t="inlineStr">
        <is>
          <t>NO</t>
        </is>
      </c>
      <c r="W1224" s="33" t="inlineStr">
        <is>
          <t>YES</t>
        </is>
      </c>
      <c r="X1224" s="33" t="inlineStr">
        <is>
          <t>NO</t>
        </is>
      </c>
      <c r="Y1224" s="33" t="n">
        <v>1</v>
      </c>
      <c r="Z1224" s="33" t="n">
        <v>4</v>
      </c>
      <c r="AA1224" s="33" t="inlineStr">
        <is>
          <t>1</t>
        </is>
      </c>
      <c r="AB1224" s="33" t="inlineStr">
        <is>
          <t>https://www.swimcloud.com/results/357247/event/20/?id=160030323#time160030323</t>
        </is>
      </c>
      <c r="AC1224" s="33" t="inlineStr">
        <is>
          <t>SwimCloud API v6 2026-10-08</t>
        </is>
      </c>
      <c r="AD1224" s="33" t="inlineStr">
        <is>
          <t>Jack Alexy|2025-10-18|SCM|100|Free|45.84|World Aquatics World Cup - Westmont|FIN|False</t>
        </is>
      </c>
      <c r="AE1224" s="53">
        <f>G1224+L1224/1000+ROW()/1000000000</f>
        <v/>
      </c>
      <c r="AF1224" s="35">
        <f>IF(C1224&lt;&gt;"Grayson Coulter","",COUNTIFS($C$5:$C$2991,"Grayson Coulter",$Q$5:$Q$2991,Q1224,$AE$5:$AE$2991,"&lt;="&amp;AE1224,$R$5:$R$2991,"&lt;"&amp;R1224))</f>
        <v/>
      </c>
      <c r="AG1224" s="35">
        <f>IF(OR(C1224&lt;&gt;"Grayson Coulter",G1224&lt;'00_Control'!$B$7),"",--(AF1224&lt;5))</f>
        <v/>
      </c>
      <c r="AH1224" s="35">
        <f>IF(OR(C1224&lt;&gt;"Grayson Coulter",G1224&lt;'00_Control'!$B$7),"",--(AF1224&lt;10))</f>
        <v/>
      </c>
      <c r="AI1224" s="35">
        <f>IF(AND(C1224="Grayson Coulter",G1224&gt;='00_Control'!$B$7),"YES","NO")</f>
        <v/>
      </c>
      <c r="AJ1224" s="33" t="inlineStr">
        <is>
          <t>OK</t>
        </is>
      </c>
    </row>
    <row r="1225">
      <c r="A1225" s="33" t="inlineStr">
        <is>
          <t>SM001221</t>
        </is>
      </c>
      <c r="B1225" s="33" t="inlineStr">
        <is>
          <t>SW015</t>
        </is>
      </c>
      <c r="C1225" s="33" t="inlineStr">
        <is>
          <t>Jack Alexy</t>
        </is>
      </c>
      <c r="D1225" s="33" t="inlineStr">
        <is>
          <t>SwimCloud</t>
        </is>
      </c>
      <c r="E1225" s="33" t="inlineStr">
        <is>
          <t>503872</t>
        </is>
      </c>
      <c r="F1225" s="33" t="inlineStr">
        <is>
          <t>160030226</t>
        </is>
      </c>
      <c r="G1225" s="51" t="n">
        <v>45949</v>
      </c>
      <c r="H1225" s="33" t="inlineStr">
        <is>
          <t>World Aquatics World Cup - Westmont</t>
        </is>
      </c>
      <c r="I1225" s="33" t="inlineStr">
        <is>
          <t>357247</t>
        </is>
      </c>
      <c r="J1225" s="33" t="inlineStr"/>
      <c r="K1225" s="33" t="inlineStr">
        <is>
          <t>PRE</t>
        </is>
      </c>
      <c r="L1225" s="35">
        <f>IF(K1225="FIN",3,IF(OR(K1225="SEM",K1225="SEMI"),2,IF(OR(K1225="PRE",K1225="HEAT"),1,IF(V1225="YES",4,2))))</f>
        <v/>
      </c>
      <c r="M1225" s="33" t="inlineStr">
        <is>
          <t>SCM</t>
        </is>
      </c>
      <c r="N1225" s="33" t="n">
        <v>200</v>
      </c>
      <c r="O1225" s="33" t="inlineStr">
        <is>
          <t>Free</t>
        </is>
      </c>
      <c r="P1225" s="33" t="inlineStr">
        <is>
          <t>200 Free</t>
        </is>
      </c>
      <c r="Q1225" s="33" t="inlineStr">
        <is>
          <t>SCM_200_FREE</t>
        </is>
      </c>
      <c r="R1225" s="36" t="n">
        <v>104.32</v>
      </c>
      <c r="S1225" s="35">
        <f>IF(R1225="","",IF(R1225&gt;=60,INT(R1225/60)&amp;":"&amp;TEXT(MOD(R1225,60),"00.00"),TEXT(R1225,"0.00")))</f>
        <v/>
      </c>
      <c r="T1225" s="52">
        <f>IFERROR((G1225-INDEX('01_Swimmers'!$E$5:$E$22,MATCH(B1225,'01_Swimmers'!$A$5:$A$22,0)))/'00_Control'!$B$10,"")</f>
        <v/>
      </c>
      <c r="U1225" s="35">
        <f>IF(T1225="","",INT(T1225))</f>
        <v/>
      </c>
      <c r="V1225" s="33" t="inlineStr">
        <is>
          <t>NO</t>
        </is>
      </c>
      <c r="W1225" s="33" t="inlineStr">
        <is>
          <t>YES</t>
        </is>
      </c>
      <c r="X1225" s="33" t="inlineStr">
        <is>
          <t>NO</t>
        </is>
      </c>
      <c r="Y1225" s="33" t="n">
        <v>7</v>
      </c>
      <c r="Z1225" s="33" t="n">
        <v>3</v>
      </c>
      <c r="AA1225" s="33" t="inlineStr">
        <is>
          <t>18</t>
        </is>
      </c>
      <c r="AB1225" s="33" t="inlineStr">
        <is>
          <t>https://www.swimcloud.com/results/357247/event/32/?id=160030226#time160030226</t>
        </is>
      </c>
      <c r="AC1225" s="33" t="inlineStr">
        <is>
          <t>SwimCloud API v6 2026-10-08</t>
        </is>
      </c>
      <c r="AD1225" s="33" t="inlineStr">
        <is>
          <t>Jack Alexy|2025-10-19|SCM|200|Free|104.32|World Aquatics World Cup - Westmont|PRE|False</t>
        </is>
      </c>
      <c r="AE1225" s="53">
        <f>G1225+L1225/1000+ROW()/1000000000</f>
        <v/>
      </c>
      <c r="AF1225" s="35">
        <f>IF(C1225&lt;&gt;"Grayson Coulter","",COUNTIFS($C$5:$C$2991,"Grayson Coulter",$Q$5:$Q$2991,Q1225,$AE$5:$AE$2991,"&lt;="&amp;AE1225,$R$5:$R$2991,"&lt;"&amp;R1225))</f>
        <v/>
      </c>
      <c r="AG1225" s="35">
        <f>IF(OR(C1225&lt;&gt;"Grayson Coulter",G1225&lt;'00_Control'!$B$7),"",--(AF1225&lt;5))</f>
        <v/>
      </c>
      <c r="AH1225" s="35">
        <f>IF(OR(C1225&lt;&gt;"Grayson Coulter",G1225&lt;'00_Control'!$B$7),"",--(AF1225&lt;10))</f>
        <v/>
      </c>
      <c r="AI1225" s="35">
        <f>IF(AND(C1225="Grayson Coulter",G1225&gt;='00_Control'!$B$7),"YES","NO")</f>
        <v/>
      </c>
      <c r="AJ1225" s="33" t="inlineStr">
        <is>
          <t>OK</t>
        </is>
      </c>
    </row>
    <row r="1226">
      <c r="A1226" s="33" t="inlineStr">
        <is>
          <t>SM001222</t>
        </is>
      </c>
      <c r="B1226" s="33" t="inlineStr">
        <is>
          <t>SW015</t>
        </is>
      </c>
      <c r="C1226" s="33" t="inlineStr">
        <is>
          <t>Jack Alexy</t>
        </is>
      </c>
      <c r="D1226" s="33" t="inlineStr">
        <is>
          <t>SwimCloud</t>
        </is>
      </c>
      <c r="E1226" s="33" t="inlineStr">
        <is>
          <t>503872</t>
        </is>
      </c>
      <c r="F1226" s="33" t="inlineStr">
        <is>
          <t>160541850</t>
        </is>
      </c>
      <c r="G1226" s="51" t="n">
        <v>45954</v>
      </c>
      <c r="H1226" s="33" t="inlineStr">
        <is>
          <t>World Aquatics World Cup - Toronto</t>
        </is>
      </c>
      <c r="I1226" s="33" t="inlineStr">
        <is>
          <t>357248</t>
        </is>
      </c>
      <c r="J1226" s="33" t="inlineStr"/>
      <c r="K1226" s="33" t="inlineStr">
        <is>
          <t>PRE</t>
        </is>
      </c>
      <c r="L1226" s="35">
        <f>IF(K1226="FIN",3,IF(OR(K1226="SEM",K1226="SEMI"),2,IF(OR(K1226="PRE",K1226="HEAT"),1,IF(V1226="YES",4,2))))</f>
        <v/>
      </c>
      <c r="M1226" s="33" t="inlineStr">
        <is>
          <t>SCM</t>
        </is>
      </c>
      <c r="N1226" s="33" t="n">
        <v>100</v>
      </c>
      <c r="O1226" s="33" t="inlineStr">
        <is>
          <t>Free</t>
        </is>
      </c>
      <c r="P1226" s="33" t="inlineStr">
        <is>
          <t>100 Free</t>
        </is>
      </c>
      <c r="Q1226" s="33" t="inlineStr">
        <is>
          <t>SCM_100_FREE</t>
        </is>
      </c>
      <c r="R1226" s="36" t="n">
        <v>46.26</v>
      </c>
      <c r="S1226" s="35">
        <f>IF(R1226="","",IF(R1226&gt;=60,INT(R1226/60)&amp;":"&amp;TEXT(MOD(R1226,60),"00.00"),TEXT(R1226,"0.00")))</f>
        <v/>
      </c>
      <c r="T1226" s="52">
        <f>IFERROR((G1226-INDEX('01_Swimmers'!$E$5:$E$22,MATCH(B1226,'01_Swimmers'!$A$5:$A$22,0)))/'00_Control'!$B$10,"")</f>
        <v/>
      </c>
      <c r="U1226" s="35">
        <f>IF(T1226="","",INT(T1226))</f>
        <v/>
      </c>
      <c r="V1226" s="33" t="inlineStr">
        <is>
          <t>NO</t>
        </is>
      </c>
      <c r="W1226" s="33" t="inlineStr">
        <is>
          <t>YES</t>
        </is>
      </c>
      <c r="X1226" s="33" t="inlineStr">
        <is>
          <t>NO</t>
        </is>
      </c>
      <c r="Y1226" s="33" t="n">
        <v>7</v>
      </c>
      <c r="Z1226" s="33" t="n">
        <v>4</v>
      </c>
      <c r="AA1226" s="33" t="inlineStr">
        <is>
          <t>3</t>
        </is>
      </c>
      <c r="AB1226" s="33" t="inlineStr">
        <is>
          <t>https://www.swimcloud.com/results/357248/event/20/?id=160541850#time160541850</t>
        </is>
      </c>
      <c r="AC1226" s="33" t="inlineStr">
        <is>
          <t>SwimCloud API v6 2026-10-08</t>
        </is>
      </c>
      <c r="AD1226" s="33" t="inlineStr">
        <is>
          <t>Jack Alexy|2025-10-24|SCM|100|Free|46.26|World Aquatics World Cup - Toronto|PRE|False</t>
        </is>
      </c>
      <c r="AE1226" s="53">
        <f>G1226+L1226/1000+ROW()/1000000000</f>
        <v/>
      </c>
      <c r="AF1226" s="35">
        <f>IF(C1226&lt;&gt;"Grayson Coulter","",COUNTIFS($C$5:$C$2991,"Grayson Coulter",$Q$5:$Q$2991,Q1226,$AE$5:$AE$2991,"&lt;="&amp;AE1226,$R$5:$R$2991,"&lt;"&amp;R1226))</f>
        <v/>
      </c>
      <c r="AG1226" s="35">
        <f>IF(OR(C1226&lt;&gt;"Grayson Coulter",G1226&lt;'00_Control'!$B$7),"",--(AF1226&lt;5))</f>
        <v/>
      </c>
      <c r="AH1226" s="35">
        <f>IF(OR(C1226&lt;&gt;"Grayson Coulter",G1226&lt;'00_Control'!$B$7),"",--(AF1226&lt;10))</f>
        <v/>
      </c>
      <c r="AI1226" s="35">
        <f>IF(AND(C1226="Grayson Coulter",G1226&gt;='00_Control'!$B$7),"YES","NO")</f>
        <v/>
      </c>
      <c r="AJ1226" s="33" t="inlineStr">
        <is>
          <t>OK</t>
        </is>
      </c>
    </row>
    <row r="1227">
      <c r="A1227" s="33" t="inlineStr">
        <is>
          <t>SM001223</t>
        </is>
      </c>
      <c r="B1227" s="33" t="inlineStr">
        <is>
          <t>SW015</t>
        </is>
      </c>
      <c r="C1227" s="33" t="inlineStr">
        <is>
          <t>Jack Alexy</t>
        </is>
      </c>
      <c r="D1227" s="33" t="inlineStr">
        <is>
          <t>SwimCloud</t>
        </is>
      </c>
      <c r="E1227" s="33" t="inlineStr">
        <is>
          <t>503872</t>
        </is>
      </c>
      <c r="F1227" s="33" t="inlineStr">
        <is>
          <t>160541849</t>
        </is>
      </c>
      <c r="G1227" s="51" t="n">
        <v>45954</v>
      </c>
      <c r="H1227" s="33" t="inlineStr">
        <is>
          <t>World Aquatics World Cup - Toronto</t>
        </is>
      </c>
      <c r="I1227" s="33" t="inlineStr">
        <is>
          <t>357248</t>
        </is>
      </c>
      <c r="J1227" s="33" t="inlineStr"/>
      <c r="K1227" s="33" t="inlineStr">
        <is>
          <t>FIN</t>
        </is>
      </c>
      <c r="L1227" s="35">
        <f>IF(K1227="FIN",3,IF(OR(K1227="SEM",K1227="SEMI"),2,IF(OR(K1227="PRE",K1227="HEAT"),1,IF(V1227="YES",4,2))))</f>
        <v/>
      </c>
      <c r="M1227" s="33" t="inlineStr">
        <is>
          <t>SCM</t>
        </is>
      </c>
      <c r="N1227" s="33" t="n">
        <v>100</v>
      </c>
      <c r="O1227" s="33" t="inlineStr">
        <is>
          <t>Free</t>
        </is>
      </c>
      <c r="P1227" s="33" t="inlineStr">
        <is>
          <t>100 Free</t>
        </is>
      </c>
      <c r="Q1227" s="33" t="inlineStr">
        <is>
          <t>SCM_100_FREE</t>
        </is>
      </c>
      <c r="R1227" s="36" t="n">
        <v>45.55</v>
      </c>
      <c r="S1227" s="35">
        <f>IF(R1227="","",IF(R1227&gt;=60,INT(R1227/60)&amp;":"&amp;TEXT(MOD(R1227,60),"00.00"),TEXT(R1227,"0.00")))</f>
        <v/>
      </c>
      <c r="T1227" s="52">
        <f>IFERROR((G1227-INDEX('01_Swimmers'!$E$5:$E$22,MATCH(B1227,'01_Swimmers'!$A$5:$A$22,0)))/'00_Control'!$B$10,"")</f>
        <v/>
      </c>
      <c r="U1227" s="35">
        <f>IF(T1227="","",INT(T1227))</f>
        <v/>
      </c>
      <c r="V1227" s="33" t="inlineStr">
        <is>
          <t>NO</t>
        </is>
      </c>
      <c r="W1227" s="33" t="inlineStr">
        <is>
          <t>YES</t>
        </is>
      </c>
      <c r="X1227" s="33" t="inlineStr">
        <is>
          <t>NO</t>
        </is>
      </c>
      <c r="Y1227" s="33" t="n">
        <v>1</v>
      </c>
      <c r="Z1227" s="33" t="n">
        <v>3</v>
      </c>
      <c r="AA1227" s="33" t="inlineStr">
        <is>
          <t>2</t>
        </is>
      </c>
      <c r="AB1227" s="33" t="inlineStr">
        <is>
          <t>https://www.swimcloud.com/results/357248/event/20/?id=160541849#time160541849</t>
        </is>
      </c>
      <c r="AC1227" s="33" t="inlineStr">
        <is>
          <t>SwimCloud API v6 2026-10-08</t>
        </is>
      </c>
      <c r="AD1227" s="33" t="inlineStr">
        <is>
          <t>Jack Alexy|2025-10-24|SCM|100|Free|45.55|World Aquatics World Cup - Toronto|FIN|False</t>
        </is>
      </c>
      <c r="AE1227" s="53">
        <f>G1227+L1227/1000+ROW()/1000000000</f>
        <v/>
      </c>
      <c r="AF1227" s="35">
        <f>IF(C1227&lt;&gt;"Grayson Coulter","",COUNTIFS($C$5:$C$2991,"Grayson Coulter",$Q$5:$Q$2991,Q1227,$AE$5:$AE$2991,"&lt;="&amp;AE1227,$R$5:$R$2991,"&lt;"&amp;R1227))</f>
        <v/>
      </c>
      <c r="AG1227" s="35">
        <f>IF(OR(C1227&lt;&gt;"Grayson Coulter",G1227&lt;'00_Control'!$B$7),"",--(AF1227&lt;5))</f>
        <v/>
      </c>
      <c r="AH1227" s="35">
        <f>IF(OR(C1227&lt;&gt;"Grayson Coulter",G1227&lt;'00_Control'!$B$7),"",--(AF1227&lt;10))</f>
        <v/>
      </c>
      <c r="AI1227" s="35">
        <f>IF(AND(C1227="Grayson Coulter",G1227&gt;='00_Control'!$B$7),"YES","NO")</f>
        <v/>
      </c>
      <c r="AJ1227" s="33" t="inlineStr">
        <is>
          <t>OK</t>
        </is>
      </c>
    </row>
    <row r="1228">
      <c r="A1228" s="33" t="inlineStr">
        <is>
          <t>SM001224</t>
        </is>
      </c>
      <c r="B1228" s="33" t="inlineStr">
        <is>
          <t>SW015</t>
        </is>
      </c>
      <c r="C1228" s="33" t="inlineStr">
        <is>
          <t>Jack Alexy</t>
        </is>
      </c>
      <c r="D1228" s="33" t="inlineStr">
        <is>
          <t>SwimCloud</t>
        </is>
      </c>
      <c r="E1228" s="33" t="inlineStr">
        <is>
          <t>503872</t>
        </is>
      </c>
      <c r="F1228" s="33" t="inlineStr">
        <is>
          <t>160541851</t>
        </is>
      </c>
      <c r="G1228" s="51" t="n">
        <v>45955</v>
      </c>
      <c r="H1228" s="33" t="inlineStr">
        <is>
          <t>World Aquatics World Cup - Toronto</t>
        </is>
      </c>
      <c r="I1228" s="33" t="inlineStr">
        <is>
          <t>357248</t>
        </is>
      </c>
      <c r="J1228" s="33" t="inlineStr"/>
      <c r="K1228" s="33" t="inlineStr">
        <is>
          <t>PRE</t>
        </is>
      </c>
      <c r="L1228" s="35">
        <f>IF(K1228="FIN",3,IF(OR(K1228="SEM",K1228="SEMI"),2,IF(OR(K1228="PRE",K1228="HEAT"),1,IF(V1228="YES",4,2))))</f>
        <v/>
      </c>
      <c r="M1228" s="33" t="inlineStr">
        <is>
          <t>SCM</t>
        </is>
      </c>
      <c r="N1228" s="33" t="n">
        <v>200</v>
      </c>
      <c r="O1228" s="33" t="inlineStr">
        <is>
          <t>Free</t>
        </is>
      </c>
      <c r="P1228" s="33" t="inlineStr">
        <is>
          <t>200 Free</t>
        </is>
      </c>
      <c r="Q1228" s="33" t="inlineStr">
        <is>
          <t>SCM_200_FREE</t>
        </is>
      </c>
      <c r="R1228" s="36" t="n">
        <v>103.93</v>
      </c>
      <c r="S1228" s="35">
        <f>IF(R1228="","",IF(R1228&gt;=60,INT(R1228/60)&amp;":"&amp;TEXT(MOD(R1228,60),"00.00"),TEXT(R1228,"0.00")))</f>
        <v/>
      </c>
      <c r="T1228" s="52">
        <f>IFERROR((G1228-INDEX('01_Swimmers'!$E$5:$E$22,MATCH(B1228,'01_Swimmers'!$A$5:$A$22,0)))/'00_Control'!$B$10,"")</f>
        <v/>
      </c>
      <c r="U1228" s="35">
        <f>IF(T1228="","",INT(T1228))</f>
        <v/>
      </c>
      <c r="V1228" s="33" t="inlineStr">
        <is>
          <t>NO</t>
        </is>
      </c>
      <c r="W1228" s="33" t="inlineStr">
        <is>
          <t>YES</t>
        </is>
      </c>
      <c r="X1228" s="33" t="inlineStr">
        <is>
          <t>NO</t>
        </is>
      </c>
      <c r="Y1228" s="33" t="n">
        <v>3</v>
      </c>
      <c r="Z1228" s="33" t="n">
        <v>5</v>
      </c>
      <c r="AA1228" s="33" t="inlineStr">
        <is>
          <t>12</t>
        </is>
      </c>
      <c r="AB1228" s="33" t="inlineStr">
        <is>
          <t>https://www.swimcloud.com/results/357248/event/32/?id=160541851#time160541851</t>
        </is>
      </c>
      <c r="AC1228" s="33" t="inlineStr">
        <is>
          <t>SwimCloud API v6 2026-10-08</t>
        </is>
      </c>
      <c r="AD1228" s="33" t="inlineStr">
        <is>
          <t>Jack Alexy|2025-10-25|SCM|200|Free|103.93|World Aquatics World Cup - Toronto|PRE|False</t>
        </is>
      </c>
      <c r="AE1228" s="53">
        <f>G1228+L1228/1000+ROW()/1000000000</f>
        <v/>
      </c>
      <c r="AF1228" s="35">
        <f>IF(C1228&lt;&gt;"Grayson Coulter","",COUNTIFS($C$5:$C$2991,"Grayson Coulter",$Q$5:$Q$2991,Q1228,$AE$5:$AE$2991,"&lt;="&amp;AE1228,$R$5:$R$2991,"&lt;"&amp;R1228))</f>
        <v/>
      </c>
      <c r="AG1228" s="35">
        <f>IF(OR(C1228&lt;&gt;"Grayson Coulter",G1228&lt;'00_Control'!$B$7),"",--(AF1228&lt;5))</f>
        <v/>
      </c>
      <c r="AH1228" s="35">
        <f>IF(OR(C1228&lt;&gt;"Grayson Coulter",G1228&lt;'00_Control'!$B$7),"",--(AF1228&lt;10))</f>
        <v/>
      </c>
      <c r="AI1228" s="35">
        <f>IF(AND(C1228="Grayson Coulter",G1228&gt;='00_Control'!$B$7),"YES","NO")</f>
        <v/>
      </c>
      <c r="AJ1228" s="33" t="inlineStr">
        <is>
          <t>OK</t>
        </is>
      </c>
    </row>
    <row r="1229">
      <c r="A1229" s="33" t="inlineStr">
        <is>
          <t>SM001225</t>
        </is>
      </c>
      <c r="B1229" s="33" t="inlineStr">
        <is>
          <t>SW015</t>
        </is>
      </c>
      <c r="C1229" s="33" t="inlineStr">
        <is>
          <t>Jack Alexy</t>
        </is>
      </c>
      <c r="D1229" s="33" t="inlineStr">
        <is>
          <t>SwimCloud</t>
        </is>
      </c>
      <c r="E1229" s="33" t="inlineStr">
        <is>
          <t>503872</t>
        </is>
      </c>
      <c r="F1229" s="33" t="inlineStr">
        <is>
          <t>164092685</t>
        </is>
      </c>
      <c r="G1229" s="51" t="n">
        <v>45996</v>
      </c>
      <c r="H1229" s="33" t="inlineStr">
        <is>
          <t>Toyota US Open Championships</t>
        </is>
      </c>
      <c r="I1229" s="33" t="inlineStr">
        <is>
          <t>344574</t>
        </is>
      </c>
      <c r="J1229" s="33" t="inlineStr"/>
      <c r="K1229" s="33" t="inlineStr">
        <is>
          <t>PRE</t>
        </is>
      </c>
      <c r="L1229" s="35">
        <f>IF(K1229="FIN",3,IF(OR(K1229="SEM",K1229="SEMI"),2,IF(OR(K1229="PRE",K1229="HEAT"),1,IF(V1229="YES",4,2))))</f>
        <v/>
      </c>
      <c r="M1229" s="33" t="inlineStr">
        <is>
          <t>LCM</t>
        </is>
      </c>
      <c r="N1229" s="33" t="n">
        <v>200</v>
      </c>
      <c r="O1229" s="33" t="inlineStr">
        <is>
          <t>Free</t>
        </is>
      </c>
      <c r="P1229" s="33" t="inlineStr">
        <is>
          <t>200 Free</t>
        </is>
      </c>
      <c r="Q1229" s="33" t="inlineStr">
        <is>
          <t>LCM_200_FREE</t>
        </is>
      </c>
      <c r="R1229" s="36" t="n">
        <v>108.38</v>
      </c>
      <c r="S1229" s="35">
        <f>IF(R1229="","",IF(R1229&gt;=60,INT(R1229/60)&amp;":"&amp;TEXT(MOD(R1229,60),"00.00"),TEXT(R1229,"0.00")))</f>
        <v/>
      </c>
      <c r="T1229" s="52">
        <f>IFERROR((G1229-INDEX('01_Swimmers'!$E$5:$E$22,MATCH(B1229,'01_Swimmers'!$A$5:$A$22,0)))/'00_Control'!$B$10,"")</f>
        <v/>
      </c>
      <c r="U1229" s="35">
        <f>IF(T1229="","",INT(T1229))</f>
        <v/>
      </c>
      <c r="V1229" s="33" t="inlineStr">
        <is>
          <t>NO</t>
        </is>
      </c>
      <c r="W1229" s="33" t="inlineStr">
        <is>
          <t>YES</t>
        </is>
      </c>
      <c r="X1229" s="33" t="inlineStr">
        <is>
          <t>NO</t>
        </is>
      </c>
      <c r="Y1229" s="33" t="n">
        <v>1</v>
      </c>
      <c r="Z1229" s="33" t="n">
        <v>3</v>
      </c>
      <c r="AA1229" s="33" t="inlineStr">
        <is>
          <t>11</t>
        </is>
      </c>
      <c r="AB1229" s="33" t="inlineStr">
        <is>
          <t>https://www.swimcloud.com/results/344574/event/22/?id=164092685#time164092685</t>
        </is>
      </c>
      <c r="AC1229" s="33" t="inlineStr">
        <is>
          <t>SwimCloud API v6 2026-10-08</t>
        </is>
      </c>
      <c r="AD1229" s="33" t="inlineStr">
        <is>
          <t>Jack Alexy|2025-12-05|LCM|200|Free|108.38|Toyota US Open Championships|PRE|False</t>
        </is>
      </c>
      <c r="AE1229" s="53">
        <f>G1229+L1229/1000+ROW()/1000000000</f>
        <v/>
      </c>
      <c r="AF1229" s="35">
        <f>IF(C1229&lt;&gt;"Grayson Coulter","",COUNTIFS($C$5:$C$2991,"Grayson Coulter",$Q$5:$Q$2991,Q1229,$AE$5:$AE$2991,"&lt;="&amp;AE1229,$R$5:$R$2991,"&lt;"&amp;R1229))</f>
        <v/>
      </c>
      <c r="AG1229" s="35">
        <f>IF(OR(C1229&lt;&gt;"Grayson Coulter",G1229&lt;'00_Control'!$B$7),"",--(AF1229&lt;5))</f>
        <v/>
      </c>
      <c r="AH1229" s="35">
        <f>IF(OR(C1229&lt;&gt;"Grayson Coulter",G1229&lt;'00_Control'!$B$7),"",--(AF1229&lt;10))</f>
        <v/>
      </c>
      <c r="AI1229" s="35">
        <f>IF(AND(C1229="Grayson Coulter",G1229&gt;='00_Control'!$B$7),"YES","NO")</f>
        <v/>
      </c>
      <c r="AJ1229" s="33" t="inlineStr">
        <is>
          <t>OK</t>
        </is>
      </c>
    </row>
    <row r="1230">
      <c r="A1230" s="33" t="inlineStr">
        <is>
          <t>SM001226</t>
        </is>
      </c>
      <c r="B1230" s="33" t="inlineStr">
        <is>
          <t>SW015</t>
        </is>
      </c>
      <c r="C1230" s="33" t="inlineStr">
        <is>
          <t>Jack Alexy</t>
        </is>
      </c>
      <c r="D1230" s="33" t="inlineStr">
        <is>
          <t>SwimCloud</t>
        </is>
      </c>
      <c r="E1230" s="33" t="inlineStr">
        <is>
          <t>503872</t>
        </is>
      </c>
      <c r="F1230" s="33" t="inlineStr">
        <is>
          <t>164093621</t>
        </is>
      </c>
      <c r="G1230" s="51" t="n">
        <v>45997</v>
      </c>
      <c r="H1230" s="33" t="inlineStr">
        <is>
          <t>Toyota US Open Championships</t>
        </is>
      </c>
      <c r="I1230" s="33" t="inlineStr">
        <is>
          <t>344574</t>
        </is>
      </c>
      <c r="J1230" s="33" t="inlineStr"/>
      <c r="K1230" s="33" t="inlineStr">
        <is>
          <t>PRE</t>
        </is>
      </c>
      <c r="L1230" s="35">
        <f>IF(K1230="FIN",3,IF(OR(K1230="SEM",K1230="SEMI"),2,IF(OR(K1230="PRE",K1230="HEAT"),1,IF(V1230="YES",4,2))))</f>
        <v/>
      </c>
      <c r="M1230" s="33" t="inlineStr">
        <is>
          <t>LCM</t>
        </is>
      </c>
      <c r="N1230" s="33" t="n">
        <v>100</v>
      </c>
      <c r="O1230" s="33" t="inlineStr">
        <is>
          <t>Free</t>
        </is>
      </c>
      <c r="P1230" s="33" t="inlineStr">
        <is>
          <t>100 Free</t>
        </is>
      </c>
      <c r="Q1230" s="33" t="inlineStr">
        <is>
          <t>LCM_100_FREE</t>
        </is>
      </c>
      <c r="R1230" s="36" t="n">
        <v>47.66</v>
      </c>
      <c r="S1230" s="35">
        <f>IF(R1230="","",IF(R1230&gt;=60,INT(R1230/60)&amp;":"&amp;TEXT(MOD(R1230,60),"00.00"),TEXT(R1230,"0.00")))</f>
        <v/>
      </c>
      <c r="T1230" s="52">
        <f>IFERROR((G1230-INDEX('01_Swimmers'!$E$5:$E$22,MATCH(B1230,'01_Swimmers'!$A$5:$A$22,0)))/'00_Control'!$B$10,"")</f>
        <v/>
      </c>
      <c r="U1230" s="35">
        <f>IF(T1230="","",INT(T1230))</f>
        <v/>
      </c>
      <c r="V1230" s="33" t="inlineStr">
        <is>
          <t>NO</t>
        </is>
      </c>
      <c r="W1230" s="33" t="inlineStr">
        <is>
          <t>YES</t>
        </is>
      </c>
      <c r="X1230" s="33" t="inlineStr">
        <is>
          <t>NO</t>
        </is>
      </c>
      <c r="Y1230" s="33" t="n">
        <v>8</v>
      </c>
      <c r="Z1230" s="33" t="n">
        <v>4</v>
      </c>
      <c r="AA1230" s="33" t="inlineStr">
        <is>
          <t>1</t>
        </is>
      </c>
      <c r="AB1230" s="33" t="inlineStr">
        <is>
          <t>https://www.swimcloud.com/results/344574/event/32/?id=164093621#time164093621</t>
        </is>
      </c>
      <c r="AC1230" s="33" t="inlineStr">
        <is>
          <t>SwimCloud API v6 2026-10-08</t>
        </is>
      </c>
      <c r="AD1230" s="33" t="inlineStr">
        <is>
          <t>Jack Alexy|2025-12-06|LCM|100|Free|47.66|Toyota US Open Championships|PRE|False</t>
        </is>
      </c>
      <c r="AE1230" s="53">
        <f>G1230+L1230/1000+ROW()/1000000000</f>
        <v/>
      </c>
      <c r="AF1230" s="35">
        <f>IF(C1230&lt;&gt;"Grayson Coulter","",COUNTIFS($C$5:$C$2991,"Grayson Coulter",$Q$5:$Q$2991,Q1230,$AE$5:$AE$2991,"&lt;="&amp;AE1230,$R$5:$R$2991,"&lt;"&amp;R1230))</f>
        <v/>
      </c>
      <c r="AG1230" s="35">
        <f>IF(OR(C1230&lt;&gt;"Grayson Coulter",G1230&lt;'00_Control'!$B$7),"",--(AF1230&lt;5))</f>
        <v/>
      </c>
      <c r="AH1230" s="35">
        <f>IF(OR(C1230&lt;&gt;"Grayson Coulter",G1230&lt;'00_Control'!$B$7),"",--(AF1230&lt;10))</f>
        <v/>
      </c>
      <c r="AI1230" s="35">
        <f>IF(AND(C1230="Grayson Coulter",G1230&gt;='00_Control'!$B$7),"YES","NO")</f>
        <v/>
      </c>
      <c r="AJ1230" s="33" t="inlineStr">
        <is>
          <t>OK</t>
        </is>
      </c>
    </row>
    <row r="1231">
      <c r="A1231" s="33" t="inlineStr">
        <is>
          <t>SM001227</t>
        </is>
      </c>
      <c r="B1231" s="33" t="inlineStr">
        <is>
          <t>SW015</t>
        </is>
      </c>
      <c r="C1231" s="33" t="inlineStr">
        <is>
          <t>Jack Alexy</t>
        </is>
      </c>
      <c r="D1231" s="33" t="inlineStr">
        <is>
          <t>SwimCloud</t>
        </is>
      </c>
      <c r="E1231" s="33" t="inlineStr">
        <is>
          <t>503872</t>
        </is>
      </c>
      <c r="F1231" s="33" t="inlineStr">
        <is>
          <t>164093620</t>
        </is>
      </c>
      <c r="G1231" s="51" t="n">
        <v>45997</v>
      </c>
      <c r="H1231" s="33" t="inlineStr">
        <is>
          <t>Toyota US Open Championships</t>
        </is>
      </c>
      <c r="I1231" s="33" t="inlineStr">
        <is>
          <t>344574</t>
        </is>
      </c>
      <c r="J1231" s="33" t="inlineStr"/>
      <c r="K1231" s="33" t="inlineStr">
        <is>
          <t>FIN</t>
        </is>
      </c>
      <c r="L1231" s="35">
        <f>IF(K1231="FIN",3,IF(OR(K1231="SEM",K1231="SEMI"),2,IF(OR(K1231="PRE",K1231="HEAT"),1,IF(V1231="YES",4,2))))</f>
        <v/>
      </c>
      <c r="M1231" s="33" t="inlineStr">
        <is>
          <t>LCM</t>
        </is>
      </c>
      <c r="N1231" s="33" t="n">
        <v>100</v>
      </c>
      <c r="O1231" s="33" t="inlineStr">
        <is>
          <t>Free</t>
        </is>
      </c>
      <c r="P1231" s="33" t="inlineStr">
        <is>
          <t>100 Free</t>
        </is>
      </c>
      <c r="Q1231" s="33" t="inlineStr">
        <is>
          <t>LCM_100_FREE</t>
        </is>
      </c>
      <c r="R1231" s="36" t="n">
        <v>47.4</v>
      </c>
      <c r="S1231" s="35">
        <f>IF(R1231="","",IF(R1231&gt;=60,INT(R1231/60)&amp;":"&amp;TEXT(MOD(R1231,60),"00.00"),TEXT(R1231,"0.00")))</f>
        <v/>
      </c>
      <c r="T1231" s="52">
        <f>IFERROR((G1231-INDEX('01_Swimmers'!$E$5:$E$22,MATCH(B1231,'01_Swimmers'!$A$5:$A$22,0)))/'00_Control'!$B$10,"")</f>
        <v/>
      </c>
      <c r="U1231" s="35">
        <f>IF(T1231="","",INT(T1231))</f>
        <v/>
      </c>
      <c r="V1231" s="33" t="inlineStr">
        <is>
          <t>NO</t>
        </is>
      </c>
      <c r="W1231" s="33" t="inlineStr">
        <is>
          <t>YES</t>
        </is>
      </c>
      <c r="X1231" s="33" t="inlineStr">
        <is>
          <t>NO</t>
        </is>
      </c>
      <c r="Y1231" s="33" t="n">
        <v>1</v>
      </c>
      <c r="Z1231" s="33" t="n">
        <v>4</v>
      </c>
      <c r="AA1231" s="33" t="inlineStr">
        <is>
          <t>1</t>
        </is>
      </c>
      <c r="AB1231" s="33" t="inlineStr">
        <is>
          <t>https://www.swimcloud.com/results/344574/event/32/?id=164093620#time164093620</t>
        </is>
      </c>
      <c r="AC1231" s="33" t="inlineStr">
        <is>
          <t>SwimCloud API v6 2026-10-08</t>
        </is>
      </c>
      <c r="AD1231" s="33" t="inlineStr">
        <is>
          <t>Jack Alexy|2025-12-06|LCM|100|Free|47.4|Toyota US Open Championships|FIN|False</t>
        </is>
      </c>
      <c r="AE1231" s="53">
        <f>G1231+L1231/1000+ROW()/1000000000</f>
        <v/>
      </c>
      <c r="AF1231" s="35">
        <f>IF(C1231&lt;&gt;"Grayson Coulter","",COUNTIFS($C$5:$C$2991,"Grayson Coulter",$Q$5:$Q$2991,Q1231,$AE$5:$AE$2991,"&lt;="&amp;AE1231,$R$5:$R$2991,"&lt;"&amp;R1231))</f>
        <v/>
      </c>
      <c r="AG1231" s="35">
        <f>IF(OR(C1231&lt;&gt;"Grayson Coulter",G1231&lt;'00_Control'!$B$7),"",--(AF1231&lt;5))</f>
        <v/>
      </c>
      <c r="AH1231" s="35">
        <f>IF(OR(C1231&lt;&gt;"Grayson Coulter",G1231&lt;'00_Control'!$B$7),"",--(AF1231&lt;10))</f>
        <v/>
      </c>
      <c r="AI1231" s="35">
        <f>IF(AND(C1231="Grayson Coulter",G1231&gt;='00_Control'!$B$7),"YES","NO")</f>
        <v/>
      </c>
      <c r="AJ1231" s="33" t="inlineStr">
        <is>
          <t>OK</t>
        </is>
      </c>
    </row>
    <row r="1232">
      <c r="A1232" s="33" t="inlineStr">
        <is>
          <t>SM001228</t>
        </is>
      </c>
      <c r="B1232" s="33" t="inlineStr">
        <is>
          <t>SW015</t>
        </is>
      </c>
      <c r="C1232" s="33" t="inlineStr">
        <is>
          <t>Jack Alexy</t>
        </is>
      </c>
      <c r="D1232" s="33" t="inlineStr">
        <is>
          <t>SwimCloud</t>
        </is>
      </c>
      <c r="E1232" s="33" t="inlineStr">
        <is>
          <t>503872</t>
        </is>
      </c>
      <c r="F1232" s="33" t="inlineStr">
        <is>
          <t>167938597</t>
        </is>
      </c>
      <c r="G1232" s="51" t="n">
        <v>46038</v>
      </c>
      <c r="H1232" s="33" t="inlineStr">
        <is>
          <t>TYR Pro Swim Series - Austin</t>
        </is>
      </c>
      <c r="I1232" s="33" t="inlineStr">
        <is>
          <t>351184</t>
        </is>
      </c>
      <c r="J1232" s="33" t="inlineStr"/>
      <c r="K1232" s="33" t="inlineStr">
        <is>
          <t>PRE</t>
        </is>
      </c>
      <c r="L1232" s="35">
        <f>IF(K1232="FIN",3,IF(OR(K1232="SEM",K1232="SEMI"),2,IF(OR(K1232="PRE",K1232="HEAT"),1,IF(V1232="YES",4,2))))</f>
        <v/>
      </c>
      <c r="M1232" s="33" t="inlineStr">
        <is>
          <t>LCM</t>
        </is>
      </c>
      <c r="N1232" s="33" t="n">
        <v>200</v>
      </c>
      <c r="O1232" s="33" t="inlineStr">
        <is>
          <t>Free</t>
        </is>
      </c>
      <c r="P1232" s="33" t="inlineStr">
        <is>
          <t>200 Free</t>
        </is>
      </c>
      <c r="Q1232" s="33" t="inlineStr">
        <is>
          <t>LCM_200_FREE</t>
        </is>
      </c>
      <c r="R1232" s="36" t="n">
        <v>110.68</v>
      </c>
      <c r="S1232" s="35">
        <f>IF(R1232="","",IF(R1232&gt;=60,INT(R1232/60)&amp;":"&amp;TEXT(MOD(R1232,60),"00.00"),TEXT(R1232,"0.00")))</f>
        <v/>
      </c>
      <c r="T1232" s="52">
        <f>IFERROR((G1232-INDEX('01_Swimmers'!$E$5:$E$22,MATCH(B1232,'01_Swimmers'!$A$5:$A$22,0)))/'00_Control'!$B$10,"")</f>
        <v/>
      </c>
      <c r="U1232" s="35">
        <f>IF(T1232="","",INT(T1232))</f>
        <v/>
      </c>
      <c r="V1232" s="33" t="inlineStr">
        <is>
          <t>NO</t>
        </is>
      </c>
      <c r="W1232" s="33" t="inlineStr">
        <is>
          <t>YES</t>
        </is>
      </c>
      <c r="X1232" s="33" t="inlineStr">
        <is>
          <t>NO</t>
        </is>
      </c>
      <c r="Y1232" s="33" t="n">
        <v>6</v>
      </c>
      <c r="Z1232" s="33" t="n">
        <v>7</v>
      </c>
      <c r="AA1232" s="33" t="inlineStr">
        <is>
          <t>12</t>
        </is>
      </c>
      <c r="AB1232" s="33" t="inlineStr">
        <is>
          <t>https://www.swimcloud.com/results/351184/event/20/?id=167938597#time167938597</t>
        </is>
      </c>
      <c r="AC1232" s="33" t="inlineStr">
        <is>
          <t>SwimCloud API v6 2026-10-08</t>
        </is>
      </c>
      <c r="AD1232" s="33" t="inlineStr">
        <is>
          <t>Jack Alexy|2026-01-16|LCM|200|Free|110.68|TYR Pro Swim Series - Austin|PRE|False</t>
        </is>
      </c>
      <c r="AE1232" s="53">
        <f>G1232+L1232/1000+ROW()/1000000000</f>
        <v/>
      </c>
      <c r="AF1232" s="35">
        <f>IF(C1232&lt;&gt;"Grayson Coulter","",COUNTIFS($C$5:$C$2991,"Grayson Coulter",$Q$5:$Q$2991,Q1232,$AE$5:$AE$2991,"&lt;="&amp;AE1232,$R$5:$R$2991,"&lt;"&amp;R1232))</f>
        <v/>
      </c>
      <c r="AG1232" s="35">
        <f>IF(OR(C1232&lt;&gt;"Grayson Coulter",G1232&lt;'00_Control'!$B$7),"",--(AF1232&lt;5))</f>
        <v/>
      </c>
      <c r="AH1232" s="35">
        <f>IF(OR(C1232&lt;&gt;"Grayson Coulter",G1232&lt;'00_Control'!$B$7),"",--(AF1232&lt;10))</f>
        <v/>
      </c>
      <c r="AI1232" s="35">
        <f>IF(AND(C1232="Grayson Coulter",G1232&gt;='00_Control'!$B$7),"YES","NO")</f>
        <v/>
      </c>
      <c r="AJ1232" s="33" t="inlineStr">
        <is>
          <t>OK</t>
        </is>
      </c>
    </row>
    <row r="1233">
      <c r="A1233" s="33" t="inlineStr">
        <is>
          <t>SM001229</t>
        </is>
      </c>
      <c r="B1233" s="33" t="inlineStr">
        <is>
          <t>SW015</t>
        </is>
      </c>
      <c r="C1233" s="33" t="inlineStr">
        <is>
          <t>Jack Alexy</t>
        </is>
      </c>
      <c r="D1233" s="33" t="inlineStr">
        <is>
          <t>SwimCloud</t>
        </is>
      </c>
      <c r="E1233" s="33" t="inlineStr">
        <is>
          <t>503872</t>
        </is>
      </c>
      <c r="F1233" s="33" t="inlineStr">
        <is>
          <t>167938596</t>
        </is>
      </c>
      <c r="G1233" s="51" t="n">
        <v>46039</v>
      </c>
      <c r="H1233" s="33" t="inlineStr">
        <is>
          <t>TYR Pro Swim Series - Austin</t>
        </is>
      </c>
      <c r="I1233" s="33" t="inlineStr">
        <is>
          <t>351184</t>
        </is>
      </c>
      <c r="J1233" s="33" t="inlineStr"/>
      <c r="K1233" s="33" t="inlineStr">
        <is>
          <t>PRE</t>
        </is>
      </c>
      <c r="L1233" s="35">
        <f>IF(K1233="FIN",3,IF(OR(K1233="SEM",K1233="SEMI"),2,IF(OR(K1233="PRE",K1233="HEAT"),1,IF(V1233="YES",4,2))))</f>
        <v/>
      </c>
      <c r="M1233" s="33" t="inlineStr">
        <is>
          <t>LCM</t>
        </is>
      </c>
      <c r="N1233" s="33" t="n">
        <v>100</v>
      </c>
      <c r="O1233" s="33" t="inlineStr">
        <is>
          <t>Free</t>
        </is>
      </c>
      <c r="P1233" s="33" t="inlineStr">
        <is>
          <t>100 Free</t>
        </is>
      </c>
      <c r="Q1233" s="33" t="inlineStr">
        <is>
          <t>LCM_100_FREE</t>
        </is>
      </c>
      <c r="R1233" s="36" t="n">
        <v>48.81</v>
      </c>
      <c r="S1233" s="35">
        <f>IF(R1233="","",IF(R1233&gt;=60,INT(R1233/60)&amp;":"&amp;TEXT(MOD(R1233,60),"00.00"),TEXT(R1233,"0.00")))</f>
        <v/>
      </c>
      <c r="T1233" s="52">
        <f>IFERROR((G1233-INDEX('01_Swimmers'!$E$5:$E$22,MATCH(B1233,'01_Swimmers'!$A$5:$A$22,0)))/'00_Control'!$B$10,"")</f>
        <v/>
      </c>
      <c r="U1233" s="35">
        <f>IF(T1233="","",INT(T1233))</f>
        <v/>
      </c>
      <c r="V1233" s="33" t="inlineStr">
        <is>
          <t>NO</t>
        </is>
      </c>
      <c r="W1233" s="33" t="inlineStr">
        <is>
          <t>YES</t>
        </is>
      </c>
      <c r="X1233" s="33" t="inlineStr">
        <is>
          <t>NO</t>
        </is>
      </c>
      <c r="Y1233" s="33" t="n">
        <v>7</v>
      </c>
      <c r="Z1233" s="33" t="n">
        <v>4</v>
      </c>
      <c r="AA1233" s="33" t="inlineStr">
        <is>
          <t>5</t>
        </is>
      </c>
      <c r="AB1233" s="33" t="inlineStr">
        <is>
          <t>https://www.swimcloud.com/results/351184/event/30/?id=167938596#time167938596</t>
        </is>
      </c>
      <c r="AC1233" s="33" t="inlineStr">
        <is>
          <t>SwimCloud API v6 2026-10-08</t>
        </is>
      </c>
      <c r="AD1233" s="33" t="inlineStr">
        <is>
          <t>Jack Alexy|2026-01-17|LCM|100|Free|48.81|TYR Pro Swim Series - Austin|PRE|False</t>
        </is>
      </c>
      <c r="AE1233" s="53">
        <f>G1233+L1233/1000+ROW()/1000000000</f>
        <v/>
      </c>
      <c r="AF1233" s="35">
        <f>IF(C1233&lt;&gt;"Grayson Coulter","",COUNTIFS($C$5:$C$2991,"Grayson Coulter",$Q$5:$Q$2991,Q1233,$AE$5:$AE$2991,"&lt;="&amp;AE1233,$R$5:$R$2991,"&lt;"&amp;R1233))</f>
        <v/>
      </c>
      <c r="AG1233" s="35">
        <f>IF(OR(C1233&lt;&gt;"Grayson Coulter",G1233&lt;'00_Control'!$B$7),"",--(AF1233&lt;5))</f>
        <v/>
      </c>
      <c r="AH1233" s="35">
        <f>IF(OR(C1233&lt;&gt;"Grayson Coulter",G1233&lt;'00_Control'!$B$7),"",--(AF1233&lt;10))</f>
        <v/>
      </c>
      <c r="AI1233" s="35">
        <f>IF(AND(C1233="Grayson Coulter",G1233&gt;='00_Control'!$B$7),"YES","NO")</f>
        <v/>
      </c>
      <c r="AJ1233" s="33" t="inlineStr">
        <is>
          <t>OK</t>
        </is>
      </c>
    </row>
    <row r="1234">
      <c r="A1234" s="33" t="inlineStr">
        <is>
          <t>SM001230</t>
        </is>
      </c>
      <c r="B1234" s="33" t="inlineStr">
        <is>
          <t>SW015</t>
        </is>
      </c>
      <c r="C1234" s="33" t="inlineStr">
        <is>
          <t>Jack Alexy</t>
        </is>
      </c>
      <c r="D1234" s="33" t="inlineStr">
        <is>
          <t>SwimCloud</t>
        </is>
      </c>
      <c r="E1234" s="33" t="inlineStr">
        <is>
          <t>503872</t>
        </is>
      </c>
      <c r="F1234" s="33" t="inlineStr">
        <is>
          <t>167938595</t>
        </is>
      </c>
      <c r="G1234" s="51" t="n">
        <v>46039</v>
      </c>
      <c r="H1234" s="33" t="inlineStr">
        <is>
          <t>TYR Pro Swim Series - Austin</t>
        </is>
      </c>
      <c r="I1234" s="33" t="inlineStr">
        <is>
          <t>351184</t>
        </is>
      </c>
      <c r="J1234" s="33" t="inlineStr"/>
      <c r="K1234" s="33" t="inlineStr">
        <is>
          <t>FIN</t>
        </is>
      </c>
      <c r="L1234" s="35">
        <f>IF(K1234="FIN",3,IF(OR(K1234="SEM",K1234="SEMI"),2,IF(OR(K1234="PRE",K1234="HEAT"),1,IF(V1234="YES",4,2))))</f>
        <v/>
      </c>
      <c r="M1234" s="33" t="inlineStr">
        <is>
          <t>LCM</t>
        </is>
      </c>
      <c r="N1234" s="33" t="n">
        <v>100</v>
      </c>
      <c r="O1234" s="33" t="inlineStr">
        <is>
          <t>Free</t>
        </is>
      </c>
      <c r="P1234" s="33" t="inlineStr">
        <is>
          <t>100 Free</t>
        </is>
      </c>
      <c r="Q1234" s="33" t="inlineStr">
        <is>
          <t>LCM_100_FREE</t>
        </is>
      </c>
      <c r="R1234" s="36" t="n">
        <v>48.53</v>
      </c>
      <c r="S1234" s="35">
        <f>IF(R1234="","",IF(R1234&gt;=60,INT(R1234/60)&amp;":"&amp;TEXT(MOD(R1234,60),"00.00"),TEXT(R1234,"0.00")))</f>
        <v/>
      </c>
      <c r="T1234" s="52">
        <f>IFERROR((G1234-INDEX('01_Swimmers'!$E$5:$E$22,MATCH(B1234,'01_Swimmers'!$A$5:$A$22,0)))/'00_Control'!$B$10,"")</f>
        <v/>
      </c>
      <c r="U1234" s="35">
        <f>IF(T1234="","",INT(T1234))</f>
        <v/>
      </c>
      <c r="V1234" s="33" t="inlineStr">
        <is>
          <t>NO</t>
        </is>
      </c>
      <c r="W1234" s="33" t="inlineStr">
        <is>
          <t>YES</t>
        </is>
      </c>
      <c r="X1234" s="33" t="inlineStr">
        <is>
          <t>NO</t>
        </is>
      </c>
      <c r="Y1234" s="33" t="n">
        <v>1</v>
      </c>
      <c r="Z1234" s="33" t="n">
        <v>2</v>
      </c>
      <c r="AA1234" s="33" t="inlineStr">
        <is>
          <t>4</t>
        </is>
      </c>
      <c r="AB1234" s="33" t="inlineStr">
        <is>
          <t>https://www.swimcloud.com/results/351184/event/30/?id=167938595#time167938595</t>
        </is>
      </c>
      <c r="AC1234" s="33" t="inlineStr">
        <is>
          <t>SwimCloud API v6 2026-10-08</t>
        </is>
      </c>
      <c r="AD1234" s="33" t="inlineStr">
        <is>
          <t>Jack Alexy|2026-01-17|LCM|100|Free|48.53|TYR Pro Swim Series - Austin|FIN|False</t>
        </is>
      </c>
      <c r="AE1234" s="53">
        <f>G1234+L1234/1000+ROW()/1000000000</f>
        <v/>
      </c>
      <c r="AF1234" s="35">
        <f>IF(C1234&lt;&gt;"Grayson Coulter","",COUNTIFS($C$5:$C$2991,"Grayson Coulter",$Q$5:$Q$2991,Q1234,$AE$5:$AE$2991,"&lt;="&amp;AE1234,$R$5:$R$2991,"&lt;"&amp;R1234))</f>
        <v/>
      </c>
      <c r="AG1234" s="35">
        <f>IF(OR(C1234&lt;&gt;"Grayson Coulter",G1234&lt;'00_Control'!$B$7),"",--(AF1234&lt;5))</f>
        <v/>
      </c>
      <c r="AH1234" s="35">
        <f>IF(OR(C1234&lt;&gt;"Grayson Coulter",G1234&lt;'00_Control'!$B$7),"",--(AF1234&lt;10))</f>
        <v/>
      </c>
      <c r="AI1234" s="35">
        <f>IF(AND(C1234="Grayson Coulter",G1234&gt;='00_Control'!$B$7),"YES","NO")</f>
        <v/>
      </c>
      <c r="AJ1234" s="33" t="inlineStr">
        <is>
          <t>OK</t>
        </is>
      </c>
    </row>
    <row r="1235">
      <c r="A1235" s="33" t="inlineStr">
        <is>
          <t>SM001231</t>
        </is>
      </c>
      <c r="B1235" s="33" t="inlineStr">
        <is>
          <t>SW015</t>
        </is>
      </c>
      <c r="C1235" s="33" t="inlineStr">
        <is>
          <t>Jack Alexy</t>
        </is>
      </c>
      <c r="D1235" s="33" t="inlineStr">
        <is>
          <t>SwimCloud</t>
        </is>
      </c>
      <c r="E1235" s="33" t="inlineStr">
        <is>
          <t>503872</t>
        </is>
      </c>
      <c r="F1235" s="33" t="inlineStr">
        <is>
          <t>178827394</t>
        </is>
      </c>
      <c r="G1235" s="51" t="n">
        <v>46100</v>
      </c>
      <c r="H1235" s="33" t="inlineStr">
        <is>
          <t>China Open</t>
        </is>
      </c>
      <c r="I1235" s="33" t="inlineStr">
        <is>
          <t>383745</t>
        </is>
      </c>
      <c r="J1235" s="33" t="inlineStr"/>
      <c r="K1235" s="33" t="inlineStr">
        <is>
          <t>TIM</t>
        </is>
      </c>
      <c r="L1235" s="35">
        <f>IF(K1235="FIN",3,IF(OR(K1235="SEM",K1235="SEMI"),2,IF(OR(K1235="PRE",K1235="HEAT"),1,IF(V1235="YES",4,2))))</f>
        <v/>
      </c>
      <c r="M1235" s="33" t="inlineStr">
        <is>
          <t>LCM</t>
        </is>
      </c>
      <c r="N1235" s="33" t="n">
        <v>100</v>
      </c>
      <c r="O1235" s="33" t="inlineStr">
        <is>
          <t>Free</t>
        </is>
      </c>
      <c r="P1235" s="33" t="inlineStr">
        <is>
          <t>100 Free</t>
        </is>
      </c>
      <c r="Q1235" s="33" t="inlineStr">
        <is>
          <t>LCM_100_FREE</t>
        </is>
      </c>
      <c r="R1235" s="36" t="n">
        <v>47.7</v>
      </c>
      <c r="S1235" s="35">
        <f>IF(R1235="","",IF(R1235&gt;=60,INT(R1235/60)&amp;":"&amp;TEXT(MOD(R1235,60),"00.00"),TEXT(R1235,"0.00")))</f>
        <v/>
      </c>
      <c r="T1235" s="52">
        <f>IFERROR((G1235-INDEX('01_Swimmers'!$E$5:$E$22,MATCH(B1235,'01_Swimmers'!$A$5:$A$22,0)))/'00_Control'!$B$10,"")</f>
        <v/>
      </c>
      <c r="U1235" s="35">
        <f>IF(T1235="","",INT(T1235))</f>
        <v/>
      </c>
      <c r="V1235" s="33" t="inlineStr">
        <is>
          <t>NO</t>
        </is>
      </c>
      <c r="W1235" s="33" t="inlineStr">
        <is>
          <t>YES</t>
        </is>
      </c>
      <c r="X1235" s="33" t="inlineStr">
        <is>
          <t>NO</t>
        </is>
      </c>
      <c r="Y1235" s="33" t="n">
        <v>1</v>
      </c>
      <c r="Z1235" s="33" t="n">
        <v>4</v>
      </c>
      <c r="AA1235" s="33" t="inlineStr">
        <is>
          <t>1</t>
        </is>
      </c>
      <c r="AB1235" s="33" t="inlineStr">
        <is>
          <t>https://www.swimcloud.com/results/383745/event/23/?id=178827394#time178827394</t>
        </is>
      </c>
      <c r="AC1235" s="33" t="inlineStr">
        <is>
          <t>SwimCloud API v6 2026-10-08</t>
        </is>
      </c>
      <c r="AD1235" s="33" t="inlineStr">
        <is>
          <t>Jack Alexy|2026-03-19|LCM|100|Free|47.7|China Open|TIM|False</t>
        </is>
      </c>
      <c r="AE1235" s="53">
        <f>G1235+L1235/1000+ROW()/1000000000</f>
        <v/>
      </c>
      <c r="AF1235" s="35">
        <f>IF(C1235&lt;&gt;"Grayson Coulter","",COUNTIFS($C$5:$C$2991,"Grayson Coulter",$Q$5:$Q$2991,Q1235,$AE$5:$AE$2991,"&lt;="&amp;AE1235,$R$5:$R$2991,"&lt;"&amp;R1235))</f>
        <v/>
      </c>
      <c r="AG1235" s="35">
        <f>IF(OR(C1235&lt;&gt;"Grayson Coulter",G1235&lt;'00_Control'!$B$7),"",--(AF1235&lt;5))</f>
        <v/>
      </c>
      <c r="AH1235" s="35">
        <f>IF(OR(C1235&lt;&gt;"Grayson Coulter",G1235&lt;'00_Control'!$B$7),"",--(AF1235&lt;10))</f>
        <v/>
      </c>
      <c r="AI1235" s="35">
        <f>IF(AND(C1235="Grayson Coulter",G1235&gt;='00_Control'!$B$7),"YES","NO")</f>
        <v/>
      </c>
      <c r="AJ1235" s="33" t="inlineStr">
        <is>
          <t>OK</t>
        </is>
      </c>
    </row>
    <row r="1236">
      <c r="A1236" s="33" t="inlineStr">
        <is>
          <t>SM001232</t>
        </is>
      </c>
      <c r="B1236" s="33" t="inlineStr">
        <is>
          <t>SW015</t>
        </is>
      </c>
      <c r="C1236" s="33" t="inlineStr">
        <is>
          <t>Jack Alexy</t>
        </is>
      </c>
      <c r="D1236" s="33" t="inlineStr">
        <is>
          <t>SwimCloud</t>
        </is>
      </c>
      <c r="E1236" s="33" t="inlineStr">
        <is>
          <t>503872</t>
        </is>
      </c>
      <c r="F1236" s="33" t="inlineStr">
        <is>
          <t>178182506</t>
        </is>
      </c>
      <c r="G1236" s="51" t="n">
        <v>46165</v>
      </c>
      <c r="H1236" s="33" t="inlineStr">
        <is>
          <t>Mare Nostrum Monaco</t>
        </is>
      </c>
      <c r="I1236" s="33" t="inlineStr">
        <is>
          <t>387479</t>
        </is>
      </c>
      <c r="J1236" s="33" t="inlineStr"/>
      <c r="K1236" s="33" t="inlineStr">
        <is>
          <t>PRE</t>
        </is>
      </c>
      <c r="L1236" s="35">
        <f>IF(K1236="FIN",3,IF(OR(K1236="SEM",K1236="SEMI"),2,IF(OR(K1236="PRE",K1236="HEAT"),1,IF(V1236="YES",4,2))))</f>
        <v/>
      </c>
      <c r="M1236" s="33" t="inlineStr">
        <is>
          <t>LCM</t>
        </is>
      </c>
      <c r="N1236" s="33" t="n">
        <v>100</v>
      </c>
      <c r="O1236" s="33" t="inlineStr">
        <is>
          <t>Free</t>
        </is>
      </c>
      <c r="P1236" s="33" t="inlineStr">
        <is>
          <t>100 Free</t>
        </is>
      </c>
      <c r="Q1236" s="33" t="inlineStr">
        <is>
          <t>LCM_100_FREE</t>
        </is>
      </c>
      <c r="R1236" s="36" t="n">
        <v>51.35</v>
      </c>
      <c r="S1236" s="35">
        <f>IF(R1236="","",IF(R1236&gt;=60,INT(R1236/60)&amp;":"&amp;TEXT(MOD(R1236,60),"00.00"),TEXT(R1236,"0.00")))</f>
        <v/>
      </c>
      <c r="T1236" s="52">
        <f>IFERROR((G1236-INDEX('01_Swimmers'!$E$5:$E$22,MATCH(B1236,'01_Swimmers'!$A$5:$A$22,0)))/'00_Control'!$B$10,"")</f>
        <v/>
      </c>
      <c r="U1236" s="35">
        <f>IF(T1236="","",INT(T1236))</f>
        <v/>
      </c>
      <c r="V1236" s="33" t="inlineStr">
        <is>
          <t>NO</t>
        </is>
      </c>
      <c r="W1236" s="33" t="inlineStr">
        <is>
          <t>YES</t>
        </is>
      </c>
      <c r="X1236" s="33" t="inlineStr">
        <is>
          <t>NO</t>
        </is>
      </c>
      <c r="Y1236" s="33" t="n">
        <v>9</v>
      </c>
      <c r="Z1236" s="33" t="n">
        <v>4</v>
      </c>
      <c r="AA1236" s="33" t="inlineStr">
        <is>
          <t>25</t>
        </is>
      </c>
      <c r="AB1236" s="33" t="inlineStr">
        <is>
          <t>https://www.swimcloud.com/results/387479/event/103/?id=178182506#time178182506</t>
        </is>
      </c>
      <c r="AC1236" s="33" t="inlineStr">
        <is>
          <t>SwimCloud API v6 2026-10-08</t>
        </is>
      </c>
      <c r="AD1236" s="33" t="inlineStr">
        <is>
          <t>Jack Alexy|2026-05-23|LCM|100|Free|51.35|Mare Nostrum Monaco|PRE|False</t>
        </is>
      </c>
      <c r="AE1236" s="53">
        <f>G1236+L1236/1000+ROW()/1000000000</f>
        <v/>
      </c>
      <c r="AF1236" s="35">
        <f>IF(C1236&lt;&gt;"Grayson Coulter","",COUNTIFS($C$5:$C$2991,"Grayson Coulter",$Q$5:$Q$2991,Q1236,$AE$5:$AE$2991,"&lt;="&amp;AE1236,$R$5:$R$2991,"&lt;"&amp;R1236))</f>
        <v/>
      </c>
      <c r="AG1236" s="35">
        <f>IF(OR(C1236&lt;&gt;"Grayson Coulter",G1236&lt;'00_Control'!$B$7),"",--(AF1236&lt;5))</f>
        <v/>
      </c>
      <c r="AH1236" s="35">
        <f>IF(OR(C1236&lt;&gt;"Grayson Coulter",G1236&lt;'00_Control'!$B$7),"",--(AF1236&lt;10))</f>
        <v/>
      </c>
      <c r="AI1236" s="35">
        <f>IF(AND(C1236="Grayson Coulter",G1236&gt;='00_Control'!$B$7),"YES","NO")</f>
        <v/>
      </c>
      <c r="AJ1236" s="33" t="inlineStr">
        <is>
          <t>OK</t>
        </is>
      </c>
    </row>
    <row r="1237">
      <c r="A1237" s="33" t="inlineStr">
        <is>
          <t>SM001233</t>
        </is>
      </c>
      <c r="B1237" s="33" t="inlineStr">
        <is>
          <t>SW015</t>
        </is>
      </c>
      <c r="C1237" s="33" t="inlineStr">
        <is>
          <t>Jack Alexy</t>
        </is>
      </c>
      <c r="D1237" s="33" t="inlineStr">
        <is>
          <t>SwimCloud</t>
        </is>
      </c>
      <c r="E1237" s="33" t="inlineStr">
        <is>
          <t>503872</t>
        </is>
      </c>
      <c r="F1237" s="33" t="inlineStr">
        <is>
          <t>178604590</t>
        </is>
      </c>
      <c r="G1237" s="51" t="n">
        <v>46169</v>
      </c>
      <c r="H1237" s="33" t="inlineStr">
        <is>
          <t>38e Meeting International de Canet-en-Roussillon</t>
        </is>
      </c>
      <c r="I1237" s="33" t="inlineStr">
        <is>
          <t>387553</t>
        </is>
      </c>
      <c r="J1237" s="33" t="inlineStr"/>
      <c r="K1237" s="33" t="inlineStr">
        <is>
          <t>PRE</t>
        </is>
      </c>
      <c r="L1237" s="35">
        <f>IF(K1237="FIN",3,IF(OR(K1237="SEM",K1237="SEMI"),2,IF(OR(K1237="PRE",K1237="HEAT"),1,IF(V1237="YES",4,2))))</f>
        <v/>
      </c>
      <c r="M1237" s="33" t="inlineStr">
        <is>
          <t>LCM</t>
        </is>
      </c>
      <c r="N1237" s="33" t="n">
        <v>100</v>
      </c>
      <c r="O1237" s="33" t="inlineStr">
        <is>
          <t>Free</t>
        </is>
      </c>
      <c r="P1237" s="33" t="inlineStr">
        <is>
          <t>100 Free</t>
        </is>
      </c>
      <c r="Q1237" s="33" t="inlineStr">
        <is>
          <t>LCM_100_FREE</t>
        </is>
      </c>
      <c r="R1237" s="36" t="n">
        <v>49.88</v>
      </c>
      <c r="S1237" s="35">
        <f>IF(R1237="","",IF(R1237&gt;=60,INT(R1237/60)&amp;":"&amp;TEXT(MOD(R1237,60),"00.00"),TEXT(R1237,"0.00")))</f>
        <v/>
      </c>
      <c r="T1237" s="52">
        <f>IFERROR((G1237-INDEX('01_Swimmers'!$E$5:$E$22,MATCH(B1237,'01_Swimmers'!$A$5:$A$22,0)))/'00_Control'!$B$10,"")</f>
        <v/>
      </c>
      <c r="U1237" s="35">
        <f>IF(T1237="","",INT(T1237))</f>
        <v/>
      </c>
      <c r="V1237" s="33" t="inlineStr">
        <is>
          <t>NO</t>
        </is>
      </c>
      <c r="W1237" s="33" t="inlineStr">
        <is>
          <t>YES</t>
        </is>
      </c>
      <c r="X1237" s="33" t="inlineStr">
        <is>
          <t>NO</t>
        </is>
      </c>
      <c r="Y1237" s="33" t="n">
        <v>12</v>
      </c>
      <c r="Z1237" s="33" t="n"/>
      <c r="AA1237" s="33" t="inlineStr">
        <is>
          <t>21</t>
        </is>
      </c>
      <c r="AB1237" s="33" t="inlineStr">
        <is>
          <t>https://www.swimcloud.com/results/387553/event/119/?id=178604590#time178604590</t>
        </is>
      </c>
      <c r="AC1237" s="33" t="inlineStr">
        <is>
          <t>SwimCloud API v6 2026-10-08</t>
        </is>
      </c>
      <c r="AD1237" s="33" t="inlineStr">
        <is>
          <t>Jack Alexy|2026-05-27|LCM|100|Free|49.88|38e Meeting International de Canet-en-Roussillon|PRE|False</t>
        </is>
      </c>
      <c r="AE1237" s="53">
        <f>G1237+L1237/1000+ROW()/1000000000</f>
        <v/>
      </c>
      <c r="AF1237" s="35">
        <f>IF(C1237&lt;&gt;"Grayson Coulter","",COUNTIFS($C$5:$C$2991,"Grayson Coulter",$Q$5:$Q$2991,Q1237,$AE$5:$AE$2991,"&lt;="&amp;AE1237,$R$5:$R$2991,"&lt;"&amp;R1237))</f>
        <v/>
      </c>
      <c r="AG1237" s="35">
        <f>IF(OR(C1237&lt;&gt;"Grayson Coulter",G1237&lt;'00_Control'!$B$7),"",--(AF1237&lt;5))</f>
        <v/>
      </c>
      <c r="AH1237" s="35">
        <f>IF(OR(C1237&lt;&gt;"Grayson Coulter",G1237&lt;'00_Control'!$B$7),"",--(AF1237&lt;10))</f>
        <v/>
      </c>
      <c r="AI1237" s="35">
        <f>IF(AND(C1237="Grayson Coulter",G1237&gt;='00_Control'!$B$7),"YES","NO")</f>
        <v/>
      </c>
      <c r="AJ1237" s="33" t="inlineStr">
        <is>
          <t>OK</t>
        </is>
      </c>
    </row>
    <row r="1238">
      <c r="A1238" s="33" t="inlineStr">
        <is>
          <t>SM001234</t>
        </is>
      </c>
      <c r="B1238" s="33" t="inlineStr">
        <is>
          <t>SW015</t>
        </is>
      </c>
      <c r="C1238" s="33" t="inlineStr">
        <is>
          <t>Jack Alexy</t>
        </is>
      </c>
      <c r="D1238" s="33" t="inlineStr">
        <is>
          <t>SwimCloud</t>
        </is>
      </c>
      <c r="E1238" s="33" t="inlineStr">
        <is>
          <t>503872</t>
        </is>
      </c>
      <c r="F1238" s="33" t="inlineStr">
        <is>
          <t>178604593</t>
        </is>
      </c>
      <c r="G1238" s="51" t="n">
        <v>46169</v>
      </c>
      <c r="H1238" s="33" t="inlineStr">
        <is>
          <t>38e Meeting International de Canet-en-Roussillon</t>
        </is>
      </c>
      <c r="I1238" s="33" t="inlineStr">
        <is>
          <t>387553</t>
        </is>
      </c>
      <c r="J1238" s="33" t="inlineStr"/>
      <c r="K1238" s="33" t="inlineStr">
        <is>
          <t>FIN</t>
        </is>
      </c>
      <c r="L1238" s="35">
        <f>IF(K1238="FIN",3,IF(OR(K1238="SEM",K1238="SEMI"),2,IF(OR(K1238="PRE",K1238="HEAT"),1,IF(V1238="YES",4,2))))</f>
        <v/>
      </c>
      <c r="M1238" s="33" t="inlineStr">
        <is>
          <t>LCM</t>
        </is>
      </c>
      <c r="N1238" s="33" t="n">
        <v>100</v>
      </c>
      <c r="O1238" s="33" t="inlineStr">
        <is>
          <t>Free</t>
        </is>
      </c>
      <c r="P1238" s="33" t="inlineStr">
        <is>
          <t>100 Free</t>
        </is>
      </c>
      <c r="Q1238" s="33" t="inlineStr">
        <is>
          <t>LCM_100_FREE</t>
        </is>
      </c>
      <c r="R1238" s="36" t="n">
        <v>49.8</v>
      </c>
      <c r="S1238" s="35">
        <f>IF(R1238="","",IF(R1238&gt;=60,INT(R1238/60)&amp;":"&amp;TEXT(MOD(R1238,60),"00.00"),TEXT(R1238,"0.00")))</f>
        <v/>
      </c>
      <c r="T1238" s="52">
        <f>IFERROR((G1238-INDEX('01_Swimmers'!$E$5:$E$22,MATCH(B1238,'01_Swimmers'!$A$5:$A$22,0)))/'00_Control'!$B$10,"")</f>
        <v/>
      </c>
      <c r="U1238" s="35">
        <f>IF(T1238="","",INT(T1238))</f>
        <v/>
      </c>
      <c r="V1238" s="33" t="inlineStr">
        <is>
          <t>NO</t>
        </is>
      </c>
      <c r="W1238" s="33" t="inlineStr">
        <is>
          <t>YES</t>
        </is>
      </c>
      <c r="X1238" s="33" t="inlineStr">
        <is>
          <t>NO</t>
        </is>
      </c>
      <c r="Y1238" s="33" t="n">
        <v>1</v>
      </c>
      <c r="Z1238" s="33" t="n"/>
      <c r="AA1238" s="33" t="inlineStr">
        <is>
          <t>12</t>
        </is>
      </c>
      <c r="AB1238" s="33" t="inlineStr">
        <is>
          <t>https://www.swimcloud.com/results/387553/event/119/?id=178604593#time178604593</t>
        </is>
      </c>
      <c r="AC1238" s="33" t="inlineStr">
        <is>
          <t>SwimCloud API v6 2026-10-08</t>
        </is>
      </c>
      <c r="AD1238" s="33" t="inlineStr">
        <is>
          <t>Jack Alexy|2026-05-27|LCM|100|Free|49.8|38e Meeting International de Canet-en-Roussillon|FIN|False</t>
        </is>
      </c>
      <c r="AE1238" s="53">
        <f>G1238+L1238/1000+ROW()/1000000000</f>
        <v/>
      </c>
      <c r="AF1238" s="35">
        <f>IF(C1238&lt;&gt;"Grayson Coulter","",COUNTIFS($C$5:$C$2991,"Grayson Coulter",$Q$5:$Q$2991,Q1238,$AE$5:$AE$2991,"&lt;="&amp;AE1238,$R$5:$R$2991,"&lt;"&amp;R1238))</f>
        <v/>
      </c>
      <c r="AG1238" s="35">
        <f>IF(OR(C1238&lt;&gt;"Grayson Coulter",G1238&lt;'00_Control'!$B$7),"",--(AF1238&lt;5))</f>
        <v/>
      </c>
      <c r="AH1238" s="35">
        <f>IF(OR(C1238&lt;&gt;"Grayson Coulter",G1238&lt;'00_Control'!$B$7),"",--(AF1238&lt;10))</f>
        <v/>
      </c>
      <c r="AI1238" s="35">
        <f>IF(AND(C1238="Grayson Coulter",G1238&gt;='00_Control'!$B$7),"YES","NO")</f>
        <v/>
      </c>
      <c r="AJ1238" s="33" t="inlineStr">
        <is>
          <t>OK</t>
        </is>
      </c>
    </row>
    <row r="1239">
      <c r="A1239" s="33" t="inlineStr">
        <is>
          <t>SM001235</t>
        </is>
      </c>
      <c r="B1239" s="33" t="inlineStr">
        <is>
          <t>SW015</t>
        </is>
      </c>
      <c r="C1239" s="33" t="inlineStr">
        <is>
          <t>Jack Alexy</t>
        </is>
      </c>
      <c r="D1239" s="33" t="inlineStr">
        <is>
          <t>SwimCloud</t>
        </is>
      </c>
      <c r="E1239" s="33" t="inlineStr">
        <is>
          <t>503872</t>
        </is>
      </c>
      <c r="F1239" s="33" t="inlineStr">
        <is>
          <t>178602950</t>
        </is>
      </c>
      <c r="G1239" s="51" t="n">
        <v>46173</v>
      </c>
      <c r="H1239" s="33" t="inlineStr">
        <is>
          <t>Trofeu Internacional Ciutat de Barcelona</t>
        </is>
      </c>
      <c r="I1239" s="33" t="inlineStr">
        <is>
          <t>387917</t>
        </is>
      </c>
      <c r="J1239" s="33" t="inlineStr"/>
      <c r="K1239" s="33" t="inlineStr">
        <is>
          <t>PRE</t>
        </is>
      </c>
      <c r="L1239" s="35">
        <f>IF(K1239="FIN",3,IF(OR(K1239="SEM",K1239="SEMI"),2,IF(OR(K1239="PRE",K1239="HEAT"),1,IF(V1239="YES",4,2))))</f>
        <v/>
      </c>
      <c r="M1239" s="33" t="inlineStr">
        <is>
          <t>LCM</t>
        </is>
      </c>
      <c r="N1239" s="33" t="n">
        <v>100</v>
      </c>
      <c r="O1239" s="33" t="inlineStr">
        <is>
          <t>Free</t>
        </is>
      </c>
      <c r="P1239" s="33" t="inlineStr">
        <is>
          <t>100 Free</t>
        </is>
      </c>
      <c r="Q1239" s="33" t="inlineStr">
        <is>
          <t>LCM_100_FREE</t>
        </is>
      </c>
      <c r="R1239" s="36" t="n">
        <v>49.41</v>
      </c>
      <c r="S1239" s="35">
        <f>IF(R1239="","",IF(R1239&gt;=60,INT(R1239/60)&amp;":"&amp;TEXT(MOD(R1239,60),"00.00"),TEXT(R1239,"0.00")))</f>
        <v/>
      </c>
      <c r="T1239" s="52">
        <f>IFERROR((G1239-INDEX('01_Swimmers'!$E$5:$E$22,MATCH(B1239,'01_Swimmers'!$A$5:$A$22,0)))/'00_Control'!$B$10,"")</f>
        <v/>
      </c>
      <c r="U1239" s="35">
        <f>IF(T1239="","",INT(T1239))</f>
        <v/>
      </c>
      <c r="V1239" s="33" t="inlineStr">
        <is>
          <t>NO</t>
        </is>
      </c>
      <c r="W1239" s="33" t="inlineStr">
        <is>
          <t>YES</t>
        </is>
      </c>
      <c r="X1239" s="33" t="inlineStr">
        <is>
          <t>NO</t>
        </is>
      </c>
      <c r="Y1239" s="33" t="n">
        <v>15</v>
      </c>
      <c r="Z1239" s="33" t="n">
        <v>4</v>
      </c>
      <c r="AA1239" s="33" t="inlineStr">
        <is>
          <t>5</t>
        </is>
      </c>
      <c r="AB1239" s="33" t="inlineStr">
        <is>
          <t>https://www.swimcloud.com/results/387917/event/22/?id=178602950#time178602950</t>
        </is>
      </c>
      <c r="AC1239" s="33" t="inlineStr">
        <is>
          <t>SwimCloud API v6 2026-10-08</t>
        </is>
      </c>
      <c r="AD1239" s="33" t="inlineStr">
        <is>
          <t>Jack Alexy|2026-05-31|LCM|100|Free|49.41|Trofeu Internacional Ciutat de Barcelona|PRE|False</t>
        </is>
      </c>
      <c r="AE1239" s="53">
        <f>G1239+L1239/1000+ROW()/1000000000</f>
        <v/>
      </c>
      <c r="AF1239" s="35">
        <f>IF(C1239&lt;&gt;"Grayson Coulter","",COUNTIFS($C$5:$C$2991,"Grayson Coulter",$Q$5:$Q$2991,Q1239,$AE$5:$AE$2991,"&lt;="&amp;AE1239,$R$5:$R$2991,"&lt;"&amp;R1239))</f>
        <v/>
      </c>
      <c r="AG1239" s="35">
        <f>IF(OR(C1239&lt;&gt;"Grayson Coulter",G1239&lt;'00_Control'!$B$7),"",--(AF1239&lt;5))</f>
        <v/>
      </c>
      <c r="AH1239" s="35">
        <f>IF(OR(C1239&lt;&gt;"Grayson Coulter",G1239&lt;'00_Control'!$B$7),"",--(AF1239&lt;10))</f>
        <v/>
      </c>
      <c r="AI1239" s="35">
        <f>IF(AND(C1239="Grayson Coulter",G1239&gt;='00_Control'!$B$7),"YES","NO")</f>
        <v/>
      </c>
      <c r="AJ1239" s="33" t="inlineStr">
        <is>
          <t>OK</t>
        </is>
      </c>
    </row>
    <row r="1240">
      <c r="A1240" s="33" t="inlineStr">
        <is>
          <t>SM001236</t>
        </is>
      </c>
      <c r="B1240" s="33" t="inlineStr">
        <is>
          <t>SW015</t>
        </is>
      </c>
      <c r="C1240" s="33" t="inlineStr">
        <is>
          <t>Jack Alexy</t>
        </is>
      </c>
      <c r="D1240" s="33" t="inlineStr">
        <is>
          <t>SwimCloud</t>
        </is>
      </c>
      <c r="E1240" s="33" t="inlineStr">
        <is>
          <t>503872</t>
        </is>
      </c>
      <c r="F1240" s="33" t="inlineStr">
        <is>
          <t>178602952</t>
        </is>
      </c>
      <c r="G1240" s="51" t="n">
        <v>46173</v>
      </c>
      <c r="H1240" s="33" t="inlineStr">
        <is>
          <t>Trofeu Internacional Ciutat de Barcelona</t>
        </is>
      </c>
      <c r="I1240" s="33" t="inlineStr">
        <is>
          <t>387917</t>
        </is>
      </c>
      <c r="J1240" s="33" t="inlineStr"/>
      <c r="K1240" s="33" t="inlineStr">
        <is>
          <t>FIN</t>
        </is>
      </c>
      <c r="L1240" s="35">
        <f>IF(K1240="FIN",3,IF(OR(K1240="SEM",K1240="SEMI"),2,IF(OR(K1240="PRE",K1240="HEAT"),1,IF(V1240="YES",4,2))))</f>
        <v/>
      </c>
      <c r="M1240" s="33" t="inlineStr">
        <is>
          <t>LCM</t>
        </is>
      </c>
      <c r="N1240" s="33" t="n">
        <v>100</v>
      </c>
      <c r="O1240" s="33" t="inlineStr">
        <is>
          <t>Free</t>
        </is>
      </c>
      <c r="P1240" s="33" t="inlineStr">
        <is>
          <t>100 Free</t>
        </is>
      </c>
      <c r="Q1240" s="33" t="inlineStr">
        <is>
          <t>LCM_100_FREE</t>
        </is>
      </c>
      <c r="R1240" s="36" t="n">
        <v>49.37</v>
      </c>
      <c r="S1240" s="35">
        <f>IF(R1240="","",IF(R1240&gt;=60,INT(R1240/60)&amp;":"&amp;TEXT(MOD(R1240,60),"00.00"),TEXT(R1240,"0.00")))</f>
        <v/>
      </c>
      <c r="T1240" s="52">
        <f>IFERROR((G1240-INDEX('01_Swimmers'!$E$5:$E$22,MATCH(B1240,'01_Swimmers'!$A$5:$A$22,0)))/'00_Control'!$B$10,"")</f>
        <v/>
      </c>
      <c r="U1240" s="35">
        <f>IF(T1240="","",INT(T1240))</f>
        <v/>
      </c>
      <c r="V1240" s="33" t="inlineStr">
        <is>
          <t>NO</t>
        </is>
      </c>
      <c r="W1240" s="33" t="inlineStr">
        <is>
          <t>YES</t>
        </is>
      </c>
      <c r="X1240" s="33" t="inlineStr">
        <is>
          <t>NO</t>
        </is>
      </c>
      <c r="Y1240" s="33" t="n">
        <v>1</v>
      </c>
      <c r="Z1240" s="33" t="n">
        <v>2</v>
      </c>
      <c r="AA1240" s="33" t="inlineStr">
        <is>
          <t>6</t>
        </is>
      </c>
      <c r="AB1240" s="33" t="inlineStr">
        <is>
          <t>https://www.swimcloud.com/results/387917/event/22/?id=178602952#time178602952</t>
        </is>
      </c>
      <c r="AC1240" s="33" t="inlineStr">
        <is>
          <t>SwimCloud API v6 2026-10-08</t>
        </is>
      </c>
      <c r="AD1240" s="33" t="inlineStr">
        <is>
          <t>Jack Alexy|2026-05-31|LCM|100|Free|49.37|Trofeu Internacional Ciutat de Barcelona|FIN|False</t>
        </is>
      </c>
      <c r="AE1240" s="53">
        <f>G1240+L1240/1000+ROW()/1000000000</f>
        <v/>
      </c>
      <c r="AF1240" s="35">
        <f>IF(C1240&lt;&gt;"Grayson Coulter","",COUNTIFS($C$5:$C$2991,"Grayson Coulter",$Q$5:$Q$2991,Q1240,$AE$5:$AE$2991,"&lt;="&amp;AE1240,$R$5:$R$2991,"&lt;"&amp;R1240))</f>
        <v/>
      </c>
      <c r="AG1240" s="35">
        <f>IF(OR(C1240&lt;&gt;"Grayson Coulter",G1240&lt;'00_Control'!$B$7),"",--(AF1240&lt;5))</f>
        <v/>
      </c>
      <c r="AH1240" s="35">
        <f>IF(OR(C1240&lt;&gt;"Grayson Coulter",G1240&lt;'00_Control'!$B$7),"",--(AF1240&lt;10))</f>
        <v/>
      </c>
      <c r="AI1240" s="35">
        <f>IF(AND(C1240="Grayson Coulter",G1240&gt;='00_Control'!$B$7),"YES","NO")</f>
        <v/>
      </c>
      <c r="AJ1240" s="33" t="inlineStr">
        <is>
          <t>OK</t>
        </is>
      </c>
    </row>
    <row r="1241">
      <c r="A1241" s="33" t="inlineStr">
        <is>
          <t>SM001237</t>
        </is>
      </c>
      <c r="B1241" s="33" t="inlineStr">
        <is>
          <t>SW015</t>
        </is>
      </c>
      <c r="C1241" s="33" t="inlineStr">
        <is>
          <t>Jack Alexy</t>
        </is>
      </c>
      <c r="D1241" s="33" t="inlineStr">
        <is>
          <t>SwimCloud</t>
        </is>
      </c>
      <c r="E1241" s="33" t="inlineStr">
        <is>
          <t>503872</t>
        </is>
      </c>
      <c r="F1241" s="33" t="inlineStr">
        <is>
          <t>180840510</t>
        </is>
      </c>
      <c r="G1241" s="51" t="n">
        <v>46213</v>
      </c>
      <c r="H1241" s="33" t="inlineStr">
        <is>
          <t>CA TROJ LA Invitational</t>
        </is>
      </c>
      <c r="I1241" s="33" t="inlineStr">
        <is>
          <t>385825</t>
        </is>
      </c>
      <c r="J1241" s="33" t="inlineStr"/>
      <c r="K1241" s="33" t="inlineStr">
        <is>
          <t>PRE</t>
        </is>
      </c>
      <c r="L1241" s="35">
        <f>IF(K1241="FIN",3,IF(OR(K1241="SEM",K1241="SEMI"),2,IF(OR(K1241="PRE",K1241="HEAT"),1,IF(V1241="YES",4,2))))</f>
        <v/>
      </c>
      <c r="M1241" s="33" t="inlineStr">
        <is>
          <t>LCM</t>
        </is>
      </c>
      <c r="N1241" s="33" t="n">
        <v>200</v>
      </c>
      <c r="O1241" s="33" t="inlineStr">
        <is>
          <t>Free</t>
        </is>
      </c>
      <c r="P1241" s="33" t="inlineStr">
        <is>
          <t>200 Free</t>
        </is>
      </c>
      <c r="Q1241" s="33" t="inlineStr">
        <is>
          <t>LCM_200_FREE</t>
        </is>
      </c>
      <c r="R1241" s="36" t="n">
        <v>121.37</v>
      </c>
      <c r="S1241" s="35">
        <f>IF(R1241="","",IF(R1241&gt;=60,INT(R1241/60)&amp;":"&amp;TEXT(MOD(R1241,60),"00.00"),TEXT(R1241,"0.00")))</f>
        <v/>
      </c>
      <c r="T1241" s="52">
        <f>IFERROR((G1241-INDEX('01_Swimmers'!$E$5:$E$22,MATCH(B1241,'01_Swimmers'!$A$5:$A$22,0)))/'00_Control'!$B$10,"")</f>
        <v/>
      </c>
      <c r="U1241" s="35">
        <f>IF(T1241="","",INT(T1241))</f>
        <v/>
      </c>
      <c r="V1241" s="33" t="inlineStr">
        <is>
          <t>NO</t>
        </is>
      </c>
      <c r="W1241" s="33" t="inlineStr">
        <is>
          <t>YES</t>
        </is>
      </c>
      <c r="X1241" s="33" t="inlineStr">
        <is>
          <t>NO</t>
        </is>
      </c>
      <c r="Y1241" s="33" t="n">
        <v>6</v>
      </c>
      <c r="Z1241" s="33" t="n">
        <v>4</v>
      </c>
      <c r="AA1241" s="33" t="inlineStr">
        <is>
          <t>74</t>
        </is>
      </c>
      <c r="AB1241" s="33" t="inlineStr">
        <is>
          <t>https://www.swimcloud.com/results/385825/event/8/?id=180840510#time180840510</t>
        </is>
      </c>
      <c r="AC1241" s="33" t="inlineStr">
        <is>
          <t>SwimCloud API v6 2026-10-08</t>
        </is>
      </c>
      <c r="AD1241" s="33" t="inlineStr">
        <is>
          <t>Jack Alexy|2026-07-10|LCM|200|Free|121.37|CA TROJ LA Invitational|PRE|False</t>
        </is>
      </c>
      <c r="AE1241" s="53">
        <f>G1241+L1241/1000+ROW()/1000000000</f>
        <v/>
      </c>
      <c r="AF1241" s="35">
        <f>IF(C1241&lt;&gt;"Grayson Coulter","",COUNTIFS($C$5:$C$2991,"Grayson Coulter",$Q$5:$Q$2991,Q1241,$AE$5:$AE$2991,"&lt;="&amp;AE1241,$R$5:$R$2991,"&lt;"&amp;R1241))</f>
        <v/>
      </c>
      <c r="AG1241" s="35">
        <f>IF(OR(C1241&lt;&gt;"Grayson Coulter",G1241&lt;'00_Control'!$B$7),"",--(AF1241&lt;5))</f>
        <v/>
      </c>
      <c r="AH1241" s="35">
        <f>IF(OR(C1241&lt;&gt;"Grayson Coulter",G1241&lt;'00_Control'!$B$7),"",--(AF1241&lt;10))</f>
        <v/>
      </c>
      <c r="AI1241" s="35">
        <f>IF(AND(C1241="Grayson Coulter",G1241&gt;='00_Control'!$B$7),"YES","NO")</f>
        <v/>
      </c>
      <c r="AJ1241" s="33" t="inlineStr">
        <is>
          <t>OK</t>
        </is>
      </c>
    </row>
    <row r="1242">
      <c r="A1242" s="33" t="inlineStr">
        <is>
          <t>SM001238</t>
        </is>
      </c>
      <c r="B1242" s="33" t="inlineStr">
        <is>
          <t>SW015</t>
        </is>
      </c>
      <c r="C1242" s="33" t="inlineStr">
        <is>
          <t>Jack Alexy</t>
        </is>
      </c>
      <c r="D1242" s="33" t="inlineStr">
        <is>
          <t>SwimCloud</t>
        </is>
      </c>
      <c r="E1242" s="33" t="inlineStr">
        <is>
          <t>503872</t>
        </is>
      </c>
      <c r="F1242" s="33" t="inlineStr">
        <is>
          <t>180843299</t>
        </is>
      </c>
      <c r="G1242" s="51" t="n">
        <v>46215</v>
      </c>
      <c r="H1242" s="33" t="inlineStr">
        <is>
          <t>CA TROJ LA Invitational</t>
        </is>
      </c>
      <c r="I1242" s="33" t="inlineStr">
        <is>
          <t>385825</t>
        </is>
      </c>
      <c r="J1242" s="33" t="inlineStr"/>
      <c r="K1242" s="33" t="inlineStr">
        <is>
          <t>TIM</t>
        </is>
      </c>
      <c r="L1242" s="35">
        <f>IF(K1242="FIN",3,IF(OR(K1242="SEM",K1242="SEMI"),2,IF(OR(K1242="PRE",K1242="HEAT"),1,IF(V1242="YES",4,2))))</f>
        <v/>
      </c>
      <c r="M1242" s="33" t="inlineStr">
        <is>
          <t>LCM</t>
        </is>
      </c>
      <c r="N1242" s="33" t="n">
        <v>100</v>
      </c>
      <c r="O1242" s="33" t="inlineStr">
        <is>
          <t>Free</t>
        </is>
      </c>
      <c r="P1242" s="33" t="inlineStr">
        <is>
          <t>100 Free</t>
        </is>
      </c>
      <c r="Q1242" s="33" t="inlineStr">
        <is>
          <t>LCM_100_FREE</t>
        </is>
      </c>
      <c r="R1242" s="36" t="n">
        <v>48.69</v>
      </c>
      <c r="S1242" s="35">
        <f>IF(R1242="","",IF(R1242&gt;=60,INT(R1242/60)&amp;":"&amp;TEXT(MOD(R1242,60),"00.00"),TEXT(R1242,"0.00")))</f>
        <v/>
      </c>
      <c r="T1242" s="52">
        <f>IFERROR((G1242-INDEX('01_Swimmers'!$E$5:$E$22,MATCH(B1242,'01_Swimmers'!$A$5:$A$22,0)))/'00_Control'!$B$10,"")</f>
        <v/>
      </c>
      <c r="U1242" s="35">
        <f>IF(T1242="","",INT(T1242))</f>
        <v/>
      </c>
      <c r="V1242" s="33" t="inlineStr">
        <is>
          <t>NO</t>
        </is>
      </c>
      <c r="W1242" s="33" t="inlineStr">
        <is>
          <t>YES</t>
        </is>
      </c>
      <c r="X1242" s="33" t="inlineStr">
        <is>
          <t>NO</t>
        </is>
      </c>
      <c r="Y1242" s="33" t="n">
        <v>1</v>
      </c>
      <c r="Z1242" s="33" t="n">
        <v>1</v>
      </c>
      <c r="AA1242" s="33" t="inlineStr">
        <is>
          <t>1</t>
        </is>
      </c>
      <c r="AB1242" s="33" t="inlineStr">
        <is>
          <t>https://www.swimcloud.com/results/385825/event/901/?id=180843299#time180843299</t>
        </is>
      </c>
      <c r="AC1242" s="33" t="inlineStr">
        <is>
          <t>SwimCloud API v6 2026-10-08</t>
        </is>
      </c>
      <c r="AD1242" s="33" t="inlineStr">
        <is>
          <t>Jack Alexy|2026-07-12|LCM|100|Free|48.69|CA TROJ LA Invitational|TIM|False</t>
        </is>
      </c>
      <c r="AE1242" s="53">
        <f>G1242+L1242/1000+ROW()/1000000000</f>
        <v/>
      </c>
      <c r="AF1242" s="35">
        <f>IF(C1242&lt;&gt;"Grayson Coulter","",COUNTIFS($C$5:$C$2991,"Grayson Coulter",$Q$5:$Q$2991,Q1242,$AE$5:$AE$2991,"&lt;="&amp;AE1242,$R$5:$R$2991,"&lt;"&amp;R1242))</f>
        <v/>
      </c>
      <c r="AG1242" s="35">
        <f>IF(OR(C1242&lt;&gt;"Grayson Coulter",G1242&lt;'00_Control'!$B$7),"",--(AF1242&lt;5))</f>
        <v/>
      </c>
      <c r="AH1242" s="35">
        <f>IF(OR(C1242&lt;&gt;"Grayson Coulter",G1242&lt;'00_Control'!$B$7),"",--(AF1242&lt;10))</f>
        <v/>
      </c>
      <c r="AI1242" s="35">
        <f>IF(AND(C1242="Grayson Coulter",G1242&gt;='00_Control'!$B$7),"YES","NO")</f>
        <v/>
      </c>
      <c r="AJ1242" s="33" t="inlineStr">
        <is>
          <t>OK</t>
        </is>
      </c>
    </row>
    <row r="1243">
      <c r="A1243" s="33" t="inlineStr">
        <is>
          <t>SM001239</t>
        </is>
      </c>
      <c r="B1243" s="33" t="inlineStr">
        <is>
          <t>SW015</t>
        </is>
      </c>
      <c r="C1243" s="33" t="inlineStr">
        <is>
          <t>Jack Alexy</t>
        </is>
      </c>
      <c r="D1243" s="33" t="inlineStr">
        <is>
          <t>SwimCloud</t>
        </is>
      </c>
      <c r="E1243" s="33" t="inlineStr">
        <is>
          <t>503872</t>
        </is>
      </c>
      <c r="F1243" s="33" t="inlineStr">
        <is>
          <t>182866526</t>
        </is>
      </c>
      <c r="G1243" s="51" t="n">
        <v>46231</v>
      </c>
      <c r="H1243" s="33" t="inlineStr">
        <is>
          <t>USA Swimming National Championships</t>
        </is>
      </c>
      <c r="I1243" s="33" t="inlineStr">
        <is>
          <t>351189</t>
        </is>
      </c>
      <c r="J1243" s="33" t="inlineStr"/>
      <c r="K1243" s="33" t="inlineStr">
        <is>
          <t>PRE</t>
        </is>
      </c>
      <c r="L1243" s="35">
        <f>IF(K1243="FIN",3,IF(OR(K1243="SEM",K1243="SEMI"),2,IF(OR(K1243="PRE",K1243="HEAT"),1,IF(V1243="YES",4,2))))</f>
        <v/>
      </c>
      <c r="M1243" s="33" t="inlineStr">
        <is>
          <t>LCM</t>
        </is>
      </c>
      <c r="N1243" s="33" t="n">
        <v>100</v>
      </c>
      <c r="O1243" s="33" t="inlineStr">
        <is>
          <t>Free</t>
        </is>
      </c>
      <c r="P1243" s="33" t="inlineStr">
        <is>
          <t>100 Free</t>
        </is>
      </c>
      <c r="Q1243" s="33" t="inlineStr">
        <is>
          <t>LCM_100_FREE</t>
        </is>
      </c>
      <c r="R1243" s="36" t="n">
        <v>48.61</v>
      </c>
      <c r="S1243" s="35">
        <f>IF(R1243="","",IF(R1243&gt;=60,INT(R1243/60)&amp;":"&amp;TEXT(MOD(R1243,60),"00.00"),TEXT(R1243,"0.00")))</f>
        <v/>
      </c>
      <c r="T1243" s="52">
        <f>IFERROR((G1243-INDEX('01_Swimmers'!$E$5:$E$22,MATCH(B1243,'01_Swimmers'!$A$5:$A$22,0)))/'00_Control'!$B$10,"")</f>
        <v/>
      </c>
      <c r="U1243" s="35">
        <f>IF(T1243="","",INT(T1243))</f>
        <v/>
      </c>
      <c r="V1243" s="33" t="inlineStr">
        <is>
          <t>NO</t>
        </is>
      </c>
      <c r="W1243" s="33" t="inlineStr">
        <is>
          <t>YES</t>
        </is>
      </c>
      <c r="X1243" s="33" t="inlineStr">
        <is>
          <t>NO</t>
        </is>
      </c>
      <c r="Y1243" s="33" t="n">
        <v>11</v>
      </c>
      <c r="Z1243" s="33" t="n">
        <v>4</v>
      </c>
      <c r="AA1243" s="33" t="inlineStr">
        <is>
          <t>8</t>
        </is>
      </c>
      <c r="AB1243" s="33" t="inlineStr">
        <is>
          <t>https://www.swimcloud.com/results/351189/event/4/?id=182866526#time182866526</t>
        </is>
      </c>
      <c r="AC1243" s="33" t="inlineStr">
        <is>
          <t>SwimCloud API v6 2026-10-08</t>
        </is>
      </c>
      <c r="AD1243" s="33" t="inlineStr">
        <is>
          <t>Jack Alexy|2026-07-28|LCM|100|Free|48.61|USA Swimming National Championships|PRE|False</t>
        </is>
      </c>
      <c r="AE1243" s="53">
        <f>G1243+L1243/1000+ROW()/1000000000</f>
        <v/>
      </c>
      <c r="AF1243" s="35">
        <f>IF(C1243&lt;&gt;"Grayson Coulter","",COUNTIFS($C$5:$C$2991,"Grayson Coulter",$Q$5:$Q$2991,Q1243,$AE$5:$AE$2991,"&lt;="&amp;AE1243,$R$5:$R$2991,"&lt;"&amp;R1243))</f>
        <v/>
      </c>
      <c r="AG1243" s="35">
        <f>IF(OR(C1243&lt;&gt;"Grayson Coulter",G1243&lt;'00_Control'!$B$7),"",--(AF1243&lt;5))</f>
        <v/>
      </c>
      <c r="AH1243" s="35">
        <f>IF(OR(C1243&lt;&gt;"Grayson Coulter",G1243&lt;'00_Control'!$B$7),"",--(AF1243&lt;10))</f>
        <v/>
      </c>
      <c r="AI1243" s="35">
        <f>IF(AND(C1243="Grayson Coulter",G1243&gt;='00_Control'!$B$7),"YES","NO")</f>
        <v/>
      </c>
      <c r="AJ1243" s="33" t="inlineStr">
        <is>
          <t>OK</t>
        </is>
      </c>
    </row>
    <row r="1244">
      <c r="A1244" s="33" t="inlineStr">
        <is>
          <t>SM001240</t>
        </is>
      </c>
      <c r="B1244" s="33" t="inlineStr">
        <is>
          <t>SW015</t>
        </is>
      </c>
      <c r="C1244" s="33" t="inlineStr">
        <is>
          <t>Jack Alexy</t>
        </is>
      </c>
      <c r="D1244" s="33" t="inlineStr">
        <is>
          <t>SwimCloud</t>
        </is>
      </c>
      <c r="E1244" s="33" t="inlineStr">
        <is>
          <t>503872</t>
        </is>
      </c>
      <c r="F1244" s="33" t="inlineStr">
        <is>
          <t>182866525</t>
        </is>
      </c>
      <c r="G1244" s="51" t="n">
        <v>46231</v>
      </c>
      <c r="H1244" s="33" t="inlineStr">
        <is>
          <t>USA Swimming National Championships</t>
        </is>
      </c>
      <c r="I1244" s="33" t="inlineStr">
        <is>
          <t>351189</t>
        </is>
      </c>
      <c r="J1244" s="33" t="inlineStr"/>
      <c r="K1244" s="33" t="inlineStr">
        <is>
          <t>FIN</t>
        </is>
      </c>
      <c r="L1244" s="35">
        <f>IF(K1244="FIN",3,IF(OR(K1244="SEM",K1244="SEMI"),2,IF(OR(K1244="PRE",K1244="HEAT"),1,IF(V1244="YES",4,2))))</f>
        <v/>
      </c>
      <c r="M1244" s="33" t="inlineStr">
        <is>
          <t>LCM</t>
        </is>
      </c>
      <c r="N1244" s="33" t="n">
        <v>100</v>
      </c>
      <c r="O1244" s="33" t="inlineStr">
        <is>
          <t>Free</t>
        </is>
      </c>
      <c r="P1244" s="33" t="inlineStr">
        <is>
          <t>100 Free</t>
        </is>
      </c>
      <c r="Q1244" s="33" t="inlineStr">
        <is>
          <t>LCM_100_FREE</t>
        </is>
      </c>
      <c r="R1244" s="36" t="n">
        <v>48.62</v>
      </c>
      <c r="S1244" s="35">
        <f>IF(R1244="","",IF(R1244&gt;=60,INT(R1244/60)&amp;":"&amp;TEXT(MOD(R1244,60),"00.00"),TEXT(R1244,"0.00")))</f>
        <v/>
      </c>
      <c r="T1244" s="52">
        <f>IFERROR((G1244-INDEX('01_Swimmers'!$E$5:$E$22,MATCH(B1244,'01_Swimmers'!$A$5:$A$22,0)))/'00_Control'!$B$10,"")</f>
        <v/>
      </c>
      <c r="U1244" s="35">
        <f>IF(T1244="","",INT(T1244))</f>
        <v/>
      </c>
      <c r="V1244" s="33" t="inlineStr">
        <is>
          <t>NO</t>
        </is>
      </c>
      <c r="W1244" s="33" t="inlineStr">
        <is>
          <t>YES</t>
        </is>
      </c>
      <c r="X1244" s="33" t="inlineStr">
        <is>
          <t>NO</t>
        </is>
      </c>
      <c r="Y1244" s="33" t="n">
        <v>1</v>
      </c>
      <c r="Z1244" s="33" t="n">
        <v>8</v>
      </c>
      <c r="AA1244" s="33" t="inlineStr">
        <is>
          <t>7</t>
        </is>
      </c>
      <c r="AB1244" s="33" t="inlineStr">
        <is>
          <t>https://www.swimcloud.com/results/351189/event/4/?id=182866525#time182866525</t>
        </is>
      </c>
      <c r="AC1244" s="33" t="inlineStr">
        <is>
          <t>SwimCloud API v6 2026-10-08</t>
        </is>
      </c>
      <c r="AD1244" s="33" t="inlineStr">
        <is>
          <t>Jack Alexy|2026-07-28|LCM|100|Free|48.62|USA Swimming National Championships|FIN|False</t>
        </is>
      </c>
      <c r="AE1244" s="53">
        <f>G1244+L1244/1000+ROW()/1000000000</f>
        <v/>
      </c>
      <c r="AF1244" s="35">
        <f>IF(C1244&lt;&gt;"Grayson Coulter","",COUNTIFS($C$5:$C$2991,"Grayson Coulter",$Q$5:$Q$2991,Q1244,$AE$5:$AE$2991,"&lt;="&amp;AE1244,$R$5:$R$2991,"&lt;"&amp;R1244))</f>
        <v/>
      </c>
      <c r="AG1244" s="35">
        <f>IF(OR(C1244&lt;&gt;"Grayson Coulter",G1244&lt;'00_Control'!$B$7),"",--(AF1244&lt;5))</f>
        <v/>
      </c>
      <c r="AH1244" s="35">
        <f>IF(OR(C1244&lt;&gt;"Grayson Coulter",G1244&lt;'00_Control'!$B$7),"",--(AF1244&lt;10))</f>
        <v/>
      </c>
      <c r="AI1244" s="35">
        <f>IF(AND(C1244="Grayson Coulter",G1244&gt;='00_Control'!$B$7),"YES","NO")</f>
        <v/>
      </c>
      <c r="AJ1244" s="33" t="inlineStr">
        <is>
          <t>OK</t>
        </is>
      </c>
    </row>
    <row r="1245">
      <c r="A1245" s="33" t="inlineStr">
        <is>
          <t>SM001241</t>
        </is>
      </c>
      <c r="B1245" s="33" t="inlineStr">
        <is>
          <t>SW015</t>
        </is>
      </c>
      <c r="C1245" s="33" t="inlineStr">
        <is>
          <t>Jack Alexy</t>
        </is>
      </c>
      <c r="D1245" s="33" t="inlineStr">
        <is>
          <t>SwimCloud</t>
        </is>
      </c>
      <c r="E1245" s="33" t="inlineStr">
        <is>
          <t>503872</t>
        </is>
      </c>
      <c r="F1245" s="33" t="inlineStr">
        <is>
          <t>182866527</t>
        </is>
      </c>
      <c r="G1245" s="51" t="n">
        <v>46232</v>
      </c>
      <c r="H1245" s="33" t="inlineStr">
        <is>
          <t>USA Swimming National Championships</t>
        </is>
      </c>
      <c r="I1245" s="33" t="inlineStr">
        <is>
          <t>351189</t>
        </is>
      </c>
      <c r="J1245" s="33" t="inlineStr"/>
      <c r="K1245" s="33" t="inlineStr">
        <is>
          <t>PRE</t>
        </is>
      </c>
      <c r="L1245" s="35">
        <f>IF(K1245="FIN",3,IF(OR(K1245="SEM",K1245="SEMI"),2,IF(OR(K1245="PRE",K1245="HEAT"),1,IF(V1245="YES",4,2))))</f>
        <v/>
      </c>
      <c r="M1245" s="33" t="inlineStr">
        <is>
          <t>LCM</t>
        </is>
      </c>
      <c r="N1245" s="33" t="n">
        <v>200</v>
      </c>
      <c r="O1245" s="33" t="inlineStr">
        <is>
          <t>Free</t>
        </is>
      </c>
      <c r="P1245" s="33" t="inlineStr">
        <is>
          <t>200 Free</t>
        </is>
      </c>
      <c r="Q1245" s="33" t="inlineStr">
        <is>
          <t>LCM_200_FREE</t>
        </is>
      </c>
      <c r="R1245" s="36" t="n">
        <v>136.8</v>
      </c>
      <c r="S1245" s="35">
        <f>IF(R1245="","",IF(R1245&gt;=60,INT(R1245/60)&amp;":"&amp;TEXT(MOD(R1245,60),"00.00"),TEXT(R1245,"0.00")))</f>
        <v/>
      </c>
      <c r="T1245" s="52">
        <f>IFERROR((G1245-INDEX('01_Swimmers'!$E$5:$E$22,MATCH(B1245,'01_Swimmers'!$A$5:$A$22,0)))/'00_Control'!$B$10,"")</f>
        <v/>
      </c>
      <c r="U1245" s="35">
        <f>IF(T1245="","",INT(T1245))</f>
        <v/>
      </c>
      <c r="V1245" s="33" t="inlineStr">
        <is>
          <t>NO</t>
        </is>
      </c>
      <c r="W1245" s="33" t="inlineStr">
        <is>
          <t>YES</t>
        </is>
      </c>
      <c r="X1245" s="33" t="inlineStr">
        <is>
          <t>NO</t>
        </is>
      </c>
      <c r="Y1245" s="33" t="n">
        <v>8</v>
      </c>
      <c r="Z1245" s="33" t="n">
        <v>2</v>
      </c>
      <c r="AA1245" s="33" t="inlineStr">
        <is>
          <t>78</t>
        </is>
      </c>
      <c r="AB1245" s="33" t="inlineStr">
        <is>
          <t>https://www.swimcloud.com/results/351189/event/8/?id=182866527#time182866527</t>
        </is>
      </c>
      <c r="AC1245" s="33" t="inlineStr">
        <is>
          <t>SwimCloud API v6 2026-10-08</t>
        </is>
      </c>
      <c r="AD1245" s="33" t="inlineStr">
        <is>
          <t>Jack Alexy|2026-07-29|LCM|200|Free|136.8|USA Swimming National Championships|PRE|False</t>
        </is>
      </c>
      <c r="AE1245" s="53">
        <f>G1245+L1245/1000+ROW()/1000000000</f>
        <v/>
      </c>
      <c r="AF1245" s="35">
        <f>IF(C1245&lt;&gt;"Grayson Coulter","",COUNTIFS($C$5:$C$2991,"Grayson Coulter",$Q$5:$Q$2991,Q1245,$AE$5:$AE$2991,"&lt;="&amp;AE1245,$R$5:$R$2991,"&lt;"&amp;R1245))</f>
        <v/>
      </c>
      <c r="AG1245" s="35">
        <f>IF(OR(C1245&lt;&gt;"Grayson Coulter",G1245&lt;'00_Control'!$B$7),"",--(AF1245&lt;5))</f>
        <v/>
      </c>
      <c r="AH1245" s="35">
        <f>IF(OR(C1245&lt;&gt;"Grayson Coulter",G1245&lt;'00_Control'!$B$7),"",--(AF1245&lt;10))</f>
        <v/>
      </c>
      <c r="AI1245" s="35">
        <f>IF(AND(C1245="Grayson Coulter",G1245&gt;='00_Control'!$B$7),"YES","NO")</f>
        <v/>
      </c>
      <c r="AJ1245" s="33" t="inlineStr">
        <is>
          <t>OK</t>
        </is>
      </c>
    </row>
    <row r="1246">
      <c r="A1246" s="33" t="inlineStr">
        <is>
          <t>SM001242</t>
        </is>
      </c>
      <c r="B1246" s="33" t="inlineStr">
        <is>
          <t>SW015</t>
        </is>
      </c>
      <c r="C1246" s="33" t="inlineStr">
        <is>
          <t>Jack Alexy</t>
        </is>
      </c>
      <c r="D1246" s="33" t="inlineStr">
        <is>
          <t>SwimCloud</t>
        </is>
      </c>
      <c r="E1246" s="33" t="inlineStr">
        <is>
          <t>503872</t>
        </is>
      </c>
      <c r="F1246" s="33" t="inlineStr">
        <is>
          <t>184089807</t>
        </is>
      </c>
      <c r="G1246" s="51" t="n">
        <v>46247</v>
      </c>
      <c r="H1246" s="33" t="inlineStr">
        <is>
          <t>Pan Pacific Championships</t>
        </is>
      </c>
      <c r="I1246" s="33" t="inlineStr">
        <is>
          <t>377355</t>
        </is>
      </c>
      <c r="J1246" s="33" t="inlineStr"/>
      <c r="K1246" s="33" t="inlineStr">
        <is>
          <t>PRE</t>
        </is>
      </c>
      <c r="L1246" s="35">
        <f>IF(K1246="FIN",3,IF(OR(K1246="SEM",K1246="SEMI"),2,IF(OR(K1246="PRE",K1246="HEAT"),1,IF(V1246="YES",4,2))))</f>
        <v/>
      </c>
      <c r="M1246" s="33" t="inlineStr">
        <is>
          <t>LCM</t>
        </is>
      </c>
      <c r="N1246" s="33" t="n">
        <v>100</v>
      </c>
      <c r="O1246" s="33" t="inlineStr">
        <is>
          <t>Free</t>
        </is>
      </c>
      <c r="P1246" s="33" t="inlineStr">
        <is>
          <t>100 Free</t>
        </is>
      </c>
      <c r="Q1246" s="33" t="inlineStr">
        <is>
          <t>LCM_100_FREE</t>
        </is>
      </c>
      <c r="R1246" s="36" t="n">
        <v>47.4</v>
      </c>
      <c r="S1246" s="35">
        <f>IF(R1246="","",IF(R1246&gt;=60,INT(R1246/60)&amp;":"&amp;TEXT(MOD(R1246,60),"00.00"),TEXT(R1246,"0.00")))</f>
        <v/>
      </c>
      <c r="T1246" s="52">
        <f>IFERROR((G1246-INDEX('01_Swimmers'!$E$5:$E$22,MATCH(B1246,'01_Swimmers'!$A$5:$A$22,0)))/'00_Control'!$B$10,"")</f>
        <v/>
      </c>
      <c r="U1246" s="35">
        <f>IF(T1246="","",INT(T1246))</f>
        <v/>
      </c>
      <c r="V1246" s="33" t="inlineStr">
        <is>
          <t>NO</t>
        </is>
      </c>
      <c r="W1246" s="33" t="inlineStr">
        <is>
          <t>YES</t>
        </is>
      </c>
      <c r="X1246" s="33" t="inlineStr">
        <is>
          <t>NO</t>
        </is>
      </c>
      <c r="Y1246" s="33" t="n">
        <v>6</v>
      </c>
      <c r="Z1246" s="33" t="n">
        <v>4</v>
      </c>
      <c r="AA1246" s="33" t="inlineStr">
        <is>
          <t>1</t>
        </is>
      </c>
      <c r="AB1246" s="33" t="inlineStr">
        <is>
          <t>https://www.swimcloud.com/results/377355/event/15/?id=184089807#time184089807</t>
        </is>
      </c>
      <c r="AC1246" s="33" t="inlineStr">
        <is>
          <t>SwimCloud API v6 2026-10-08</t>
        </is>
      </c>
      <c r="AD1246" s="33" t="inlineStr">
        <is>
          <t>Jack Alexy|2026-08-13|LCM|100|Free|47.4|Pan Pacific Championships|PRE|False</t>
        </is>
      </c>
      <c r="AE1246" s="53">
        <f>G1246+L1246/1000+ROW()/1000000000</f>
        <v/>
      </c>
      <c r="AF1246" s="35">
        <f>IF(C1246&lt;&gt;"Grayson Coulter","",COUNTIFS($C$5:$C$2991,"Grayson Coulter",$Q$5:$Q$2991,Q1246,$AE$5:$AE$2991,"&lt;="&amp;AE1246,$R$5:$R$2991,"&lt;"&amp;R1246))</f>
        <v/>
      </c>
      <c r="AG1246" s="35">
        <f>IF(OR(C1246&lt;&gt;"Grayson Coulter",G1246&lt;'00_Control'!$B$7),"",--(AF1246&lt;5))</f>
        <v/>
      </c>
      <c r="AH1246" s="35">
        <f>IF(OR(C1246&lt;&gt;"Grayson Coulter",G1246&lt;'00_Control'!$B$7),"",--(AF1246&lt;10))</f>
        <v/>
      </c>
      <c r="AI1246" s="35">
        <f>IF(AND(C1246="Grayson Coulter",G1246&gt;='00_Control'!$B$7),"YES","NO")</f>
        <v/>
      </c>
      <c r="AJ1246" s="33" t="inlineStr">
        <is>
          <t>OK</t>
        </is>
      </c>
    </row>
    <row r="1247">
      <c r="A1247" s="33" t="inlineStr">
        <is>
          <t>SM001243</t>
        </is>
      </c>
      <c r="B1247" s="33" t="inlineStr">
        <is>
          <t>SW015</t>
        </is>
      </c>
      <c r="C1247" s="33" t="inlineStr">
        <is>
          <t>Jack Alexy</t>
        </is>
      </c>
      <c r="D1247" s="33" t="inlineStr">
        <is>
          <t>SwimCloud</t>
        </is>
      </c>
      <c r="E1247" s="33" t="inlineStr">
        <is>
          <t>503872</t>
        </is>
      </c>
      <c r="F1247" s="33" t="inlineStr">
        <is>
          <t>184089806</t>
        </is>
      </c>
      <c r="G1247" s="51" t="n">
        <v>46247</v>
      </c>
      <c r="H1247" s="33" t="inlineStr">
        <is>
          <t>Pan Pacific Championships</t>
        </is>
      </c>
      <c r="I1247" s="33" t="inlineStr">
        <is>
          <t>377355</t>
        </is>
      </c>
      <c r="J1247" s="33" t="inlineStr"/>
      <c r="K1247" s="33" t="inlineStr">
        <is>
          <t>FIN</t>
        </is>
      </c>
      <c r="L1247" s="35">
        <f>IF(K1247="FIN",3,IF(OR(K1247="SEM",K1247="SEMI"),2,IF(OR(K1247="PRE",K1247="HEAT"),1,IF(V1247="YES",4,2))))</f>
        <v/>
      </c>
      <c r="M1247" s="33" t="inlineStr">
        <is>
          <t>LCM</t>
        </is>
      </c>
      <c r="N1247" s="33" t="n">
        <v>100</v>
      </c>
      <c r="O1247" s="33" t="inlineStr">
        <is>
          <t>Free</t>
        </is>
      </c>
      <c r="P1247" s="33" t="inlineStr">
        <is>
          <t>100 Free</t>
        </is>
      </c>
      <c r="Q1247" s="33" t="inlineStr">
        <is>
          <t>LCM_100_FREE</t>
        </is>
      </c>
      <c r="R1247" s="36" t="n">
        <v>47.14</v>
      </c>
      <c r="S1247" s="35">
        <f>IF(R1247="","",IF(R1247&gt;=60,INT(R1247/60)&amp;":"&amp;TEXT(MOD(R1247,60),"00.00"),TEXT(R1247,"0.00")))</f>
        <v/>
      </c>
      <c r="T1247" s="52">
        <f>IFERROR((G1247-INDEX('01_Swimmers'!$E$5:$E$22,MATCH(B1247,'01_Swimmers'!$A$5:$A$22,0)))/'00_Control'!$B$10,"")</f>
        <v/>
      </c>
      <c r="U1247" s="35">
        <f>IF(T1247="","",INT(T1247))</f>
        <v/>
      </c>
      <c r="V1247" s="33" t="inlineStr">
        <is>
          <t>NO</t>
        </is>
      </c>
      <c r="W1247" s="33" t="inlineStr">
        <is>
          <t>YES</t>
        </is>
      </c>
      <c r="X1247" s="33" t="inlineStr">
        <is>
          <t>NO</t>
        </is>
      </c>
      <c r="Y1247" s="33" t="n">
        <v>1</v>
      </c>
      <c r="Z1247" s="33" t="n">
        <v>4</v>
      </c>
      <c r="AA1247" s="33" t="inlineStr">
        <is>
          <t>1</t>
        </is>
      </c>
      <c r="AB1247" s="33" t="inlineStr">
        <is>
          <t>https://www.swimcloud.com/results/377355/event/15/?id=184089806#time184089806</t>
        </is>
      </c>
      <c r="AC1247" s="33" t="inlineStr">
        <is>
          <t>SwimCloud API v6 2026-10-08</t>
        </is>
      </c>
      <c r="AD1247" s="33" t="inlineStr">
        <is>
          <t>Jack Alexy|2026-08-13|LCM|100|Free|47.14|Pan Pacific Championships|FIN|False</t>
        </is>
      </c>
      <c r="AE1247" s="53">
        <f>G1247+L1247/1000+ROW()/1000000000</f>
        <v/>
      </c>
      <c r="AF1247" s="35">
        <f>IF(C1247&lt;&gt;"Grayson Coulter","",COUNTIFS($C$5:$C$2991,"Grayson Coulter",$Q$5:$Q$2991,Q1247,$AE$5:$AE$2991,"&lt;="&amp;AE1247,$R$5:$R$2991,"&lt;"&amp;R1247))</f>
        <v/>
      </c>
      <c r="AG1247" s="35">
        <f>IF(OR(C1247&lt;&gt;"Grayson Coulter",G1247&lt;'00_Control'!$B$7),"",--(AF1247&lt;5))</f>
        <v/>
      </c>
      <c r="AH1247" s="35">
        <f>IF(OR(C1247&lt;&gt;"Grayson Coulter",G1247&lt;'00_Control'!$B$7),"",--(AF1247&lt;10))</f>
        <v/>
      </c>
      <c r="AI1247" s="35">
        <f>IF(AND(C1247="Grayson Coulter",G1247&gt;='00_Control'!$B$7),"YES","NO")</f>
        <v/>
      </c>
      <c r="AJ1247" s="33" t="inlineStr">
        <is>
          <t>OK</t>
        </is>
      </c>
    </row>
    <row r="1248">
      <c r="A1248" s="33" t="inlineStr">
        <is>
          <t>SM001244</t>
        </is>
      </c>
      <c r="B1248" s="33" t="inlineStr">
        <is>
          <t>SW008</t>
        </is>
      </c>
      <c r="C1248" s="33" t="inlineStr">
        <is>
          <t>Jacob Whittle</t>
        </is>
      </c>
      <c r="D1248" s="33" t="inlineStr">
        <is>
          <t>SwimCloud</t>
        </is>
      </c>
      <c r="E1248" s="33" t="inlineStr">
        <is>
          <t>1133535</t>
        </is>
      </c>
      <c r="F1248" s="33" t="inlineStr">
        <is>
          <t>27589886</t>
        </is>
      </c>
      <c r="G1248" s="51" t="n">
        <v>43650</v>
      </c>
      <c r="H1248" s="33" t="inlineStr">
        <is>
          <t>LEN European Junior Championships</t>
        </is>
      </c>
      <c r="I1248" s="33" t="inlineStr">
        <is>
          <t>148695</t>
        </is>
      </c>
      <c r="J1248" s="33" t="inlineStr"/>
      <c r="K1248" s="33" t="inlineStr">
        <is>
          <t>PRE</t>
        </is>
      </c>
      <c r="L1248" s="35">
        <f>IF(K1248="FIN",3,IF(OR(K1248="SEM",K1248="SEMI"),2,IF(OR(K1248="PRE",K1248="HEAT"),1,IF(V1248="YES",4,2))))</f>
        <v/>
      </c>
      <c r="M1248" s="33" t="inlineStr">
        <is>
          <t>LCM</t>
        </is>
      </c>
      <c r="N1248" s="33" t="n">
        <v>100</v>
      </c>
      <c r="O1248" s="33" t="inlineStr">
        <is>
          <t>Free</t>
        </is>
      </c>
      <c r="P1248" s="33" t="inlineStr">
        <is>
          <t>100 Free</t>
        </is>
      </c>
      <c r="Q1248" s="33" t="inlineStr">
        <is>
          <t>LCM_100_FREE</t>
        </is>
      </c>
      <c r="R1248" s="36" t="n">
        <v>50.65</v>
      </c>
      <c r="S1248" s="35">
        <f>IF(R1248="","",IF(R1248&gt;=60,INT(R1248/60)&amp;":"&amp;TEXT(MOD(R1248,60),"00.00"),TEXT(R1248,"0.00")))</f>
        <v/>
      </c>
      <c r="T1248" s="52">
        <f>IFERROR((G1248-INDEX('01_Swimmers'!$E$5:$E$22,MATCH(B1248,'01_Swimmers'!$A$5:$A$22,0)))/'00_Control'!$B$10,"")</f>
        <v/>
      </c>
      <c r="U1248" s="35">
        <f>IF(T1248="","",INT(T1248))</f>
        <v/>
      </c>
      <c r="V1248" s="33" t="inlineStr">
        <is>
          <t>NO</t>
        </is>
      </c>
      <c r="W1248" s="33" t="inlineStr">
        <is>
          <t>YES</t>
        </is>
      </c>
      <c r="X1248" s="33" t="inlineStr">
        <is>
          <t>NO</t>
        </is>
      </c>
      <c r="Y1248" s="33" t="n">
        <v>8</v>
      </c>
      <c r="Z1248" s="33" t="n">
        <v>6</v>
      </c>
      <c r="AA1248" s="33" t="inlineStr">
        <is>
          <t>11</t>
        </is>
      </c>
      <c r="AB1248" s="33" t="inlineStr">
        <is>
          <t>https://www.swimcloud.com/results/148695/event/27/?id=27589886#time27589886</t>
        </is>
      </c>
      <c r="AC1248" s="33" t="inlineStr">
        <is>
          <t>SwimCloud API v6 2026-10-08</t>
        </is>
      </c>
      <c r="AD1248" s="33" t="inlineStr">
        <is>
          <t>Jacob Whittle|2019-07-04|LCM|100|Free|50.65|LEN European Junior Championships|PRE|False</t>
        </is>
      </c>
      <c r="AE1248" s="53">
        <f>G1248+L1248/1000+ROW()/1000000000</f>
        <v/>
      </c>
      <c r="AF1248" s="35">
        <f>IF(C1248&lt;&gt;"Grayson Coulter","",COUNTIFS($C$5:$C$2991,"Grayson Coulter",$Q$5:$Q$2991,Q1248,$AE$5:$AE$2991,"&lt;="&amp;AE1248,$R$5:$R$2991,"&lt;"&amp;R1248))</f>
        <v/>
      </c>
      <c r="AG1248" s="35">
        <f>IF(OR(C1248&lt;&gt;"Grayson Coulter",G1248&lt;'00_Control'!$B$7),"",--(AF1248&lt;5))</f>
        <v/>
      </c>
      <c r="AH1248" s="35">
        <f>IF(OR(C1248&lt;&gt;"Grayson Coulter",G1248&lt;'00_Control'!$B$7),"",--(AF1248&lt;10))</f>
        <v/>
      </c>
      <c r="AI1248" s="35">
        <f>IF(AND(C1248="Grayson Coulter",G1248&gt;='00_Control'!$B$7),"YES","NO")</f>
        <v/>
      </c>
      <c r="AJ1248" s="33" t="inlineStr">
        <is>
          <t>OK</t>
        </is>
      </c>
    </row>
    <row r="1249">
      <c r="A1249" s="33" t="inlineStr">
        <is>
          <t>SM001245</t>
        </is>
      </c>
      <c r="B1249" s="33" t="inlineStr">
        <is>
          <t>SW008</t>
        </is>
      </c>
      <c r="C1249" s="33" t="inlineStr">
        <is>
          <t>Jacob Whittle</t>
        </is>
      </c>
      <c r="D1249" s="33" t="inlineStr">
        <is>
          <t>SwimCloud</t>
        </is>
      </c>
      <c r="E1249" s="33" t="inlineStr">
        <is>
          <t>1133535</t>
        </is>
      </c>
      <c r="F1249" s="33" t="inlineStr">
        <is>
          <t>27589887</t>
        </is>
      </c>
      <c r="G1249" s="51" t="n">
        <v>43650</v>
      </c>
      <c r="H1249" s="33" t="inlineStr">
        <is>
          <t>LEN European Junior Championships</t>
        </is>
      </c>
      <c r="I1249" s="33" t="inlineStr">
        <is>
          <t>148695</t>
        </is>
      </c>
      <c r="J1249" s="33" t="inlineStr"/>
      <c r="K1249" s="33" t="inlineStr">
        <is>
          <t>SEM</t>
        </is>
      </c>
      <c r="L1249" s="35">
        <f>IF(K1249="FIN",3,IF(OR(K1249="SEM",K1249="SEMI"),2,IF(OR(K1249="PRE",K1249="HEAT"),1,IF(V1249="YES",4,2))))</f>
        <v/>
      </c>
      <c r="M1249" s="33" t="inlineStr">
        <is>
          <t>LCM</t>
        </is>
      </c>
      <c r="N1249" s="33" t="n">
        <v>100</v>
      </c>
      <c r="O1249" s="33" t="inlineStr">
        <is>
          <t>Free</t>
        </is>
      </c>
      <c r="P1249" s="33" t="inlineStr">
        <is>
          <t>100 Free</t>
        </is>
      </c>
      <c r="Q1249" s="33" t="inlineStr">
        <is>
          <t>LCM_100_FREE</t>
        </is>
      </c>
      <c r="R1249" s="36" t="n">
        <v>49.97</v>
      </c>
      <c r="S1249" s="35">
        <f>IF(R1249="","",IF(R1249&gt;=60,INT(R1249/60)&amp;":"&amp;TEXT(MOD(R1249,60),"00.00"),TEXT(R1249,"0.00")))</f>
        <v/>
      </c>
      <c r="T1249" s="52">
        <f>IFERROR((G1249-INDEX('01_Swimmers'!$E$5:$E$22,MATCH(B1249,'01_Swimmers'!$A$5:$A$22,0)))/'00_Control'!$B$10,"")</f>
        <v/>
      </c>
      <c r="U1249" s="35">
        <f>IF(T1249="","",INT(T1249))</f>
        <v/>
      </c>
      <c r="V1249" s="33" t="inlineStr">
        <is>
          <t>NO</t>
        </is>
      </c>
      <c r="W1249" s="33" t="inlineStr">
        <is>
          <t>YES</t>
        </is>
      </c>
      <c r="X1249" s="33" t="inlineStr">
        <is>
          <t>NO</t>
        </is>
      </c>
      <c r="Y1249" s="33" t="n">
        <v>3</v>
      </c>
      <c r="Z1249" s="33" t="n">
        <v>2</v>
      </c>
      <c r="AA1249" s="33" t="inlineStr">
        <is>
          <t>5</t>
        </is>
      </c>
      <c r="AB1249" s="33" t="inlineStr">
        <is>
          <t>https://www.swimcloud.com/results/148695/event/36/?id=27589887#time27589887</t>
        </is>
      </c>
      <c r="AC1249" s="33" t="inlineStr">
        <is>
          <t>SwimCloud API v6 2026-10-08</t>
        </is>
      </c>
      <c r="AD1249" s="33" t="inlineStr">
        <is>
          <t>Jacob Whittle|2019-07-04|LCM|100|Free|49.97|LEN European Junior Championships|SEM|False</t>
        </is>
      </c>
      <c r="AE1249" s="53">
        <f>G1249+L1249/1000+ROW()/1000000000</f>
        <v/>
      </c>
      <c r="AF1249" s="35">
        <f>IF(C1249&lt;&gt;"Grayson Coulter","",COUNTIFS($C$5:$C$2991,"Grayson Coulter",$Q$5:$Q$2991,Q1249,$AE$5:$AE$2991,"&lt;="&amp;AE1249,$R$5:$R$2991,"&lt;"&amp;R1249))</f>
        <v/>
      </c>
      <c r="AG1249" s="35">
        <f>IF(OR(C1249&lt;&gt;"Grayson Coulter",G1249&lt;'00_Control'!$B$7),"",--(AF1249&lt;5))</f>
        <v/>
      </c>
      <c r="AH1249" s="35">
        <f>IF(OR(C1249&lt;&gt;"Grayson Coulter",G1249&lt;'00_Control'!$B$7),"",--(AF1249&lt;10))</f>
        <v/>
      </c>
      <c r="AI1249" s="35">
        <f>IF(AND(C1249="Grayson Coulter",G1249&gt;='00_Control'!$B$7),"YES","NO")</f>
        <v/>
      </c>
      <c r="AJ1249" s="33" t="inlineStr">
        <is>
          <t>OK</t>
        </is>
      </c>
    </row>
    <row r="1250">
      <c r="A1250" s="33" t="inlineStr">
        <is>
          <t>SM001246</t>
        </is>
      </c>
      <c r="B1250" s="33" t="inlineStr">
        <is>
          <t>SW008</t>
        </is>
      </c>
      <c r="C1250" s="33" t="inlineStr">
        <is>
          <t>Jacob Whittle</t>
        </is>
      </c>
      <c r="D1250" s="33" t="inlineStr">
        <is>
          <t>SwimCloud</t>
        </is>
      </c>
      <c r="E1250" s="33" t="inlineStr">
        <is>
          <t>1133535</t>
        </is>
      </c>
      <c r="F1250" s="33" t="inlineStr">
        <is>
          <t>27589888</t>
        </is>
      </c>
      <c r="G1250" s="51" t="n">
        <v>43651</v>
      </c>
      <c r="H1250" s="33" t="inlineStr">
        <is>
          <t>LEN European Junior Championships</t>
        </is>
      </c>
      <c r="I1250" s="33" t="inlineStr">
        <is>
          <t>148695</t>
        </is>
      </c>
      <c r="J1250" s="33" t="inlineStr"/>
      <c r="K1250" s="33" t="inlineStr">
        <is>
          <t>FIN</t>
        </is>
      </c>
      <c r="L1250" s="35">
        <f>IF(K1250="FIN",3,IF(OR(K1250="SEM",K1250="SEMI"),2,IF(OR(K1250="PRE",K1250="HEAT"),1,IF(V1250="YES",4,2))))</f>
        <v/>
      </c>
      <c r="M1250" s="33" t="inlineStr">
        <is>
          <t>LCM</t>
        </is>
      </c>
      <c r="N1250" s="33" t="n">
        <v>100</v>
      </c>
      <c r="O1250" s="33" t="inlineStr">
        <is>
          <t>Free</t>
        </is>
      </c>
      <c r="P1250" s="33" t="inlineStr">
        <is>
          <t>100 Free</t>
        </is>
      </c>
      <c r="Q1250" s="33" t="inlineStr">
        <is>
          <t>LCM_100_FREE</t>
        </is>
      </c>
      <c r="R1250" s="36" t="n">
        <v>50.01</v>
      </c>
      <c r="S1250" s="35">
        <f>IF(R1250="","",IF(R1250&gt;=60,INT(R1250/60)&amp;":"&amp;TEXT(MOD(R1250,60),"00.00"),TEXT(R1250,"0.00")))</f>
        <v/>
      </c>
      <c r="T1250" s="52">
        <f>IFERROR((G1250-INDEX('01_Swimmers'!$E$5:$E$22,MATCH(B1250,'01_Swimmers'!$A$5:$A$22,0)))/'00_Control'!$B$10,"")</f>
        <v/>
      </c>
      <c r="U1250" s="35">
        <f>IF(T1250="","",INT(T1250))</f>
        <v/>
      </c>
      <c r="V1250" s="33" t="inlineStr">
        <is>
          <t>NO</t>
        </is>
      </c>
      <c r="W1250" s="33" t="inlineStr">
        <is>
          <t>YES</t>
        </is>
      </c>
      <c r="X1250" s="33" t="inlineStr">
        <is>
          <t>NO</t>
        </is>
      </c>
      <c r="Y1250" s="33" t="n">
        <v>11</v>
      </c>
      <c r="Z1250" s="33" t="n">
        <v>2</v>
      </c>
      <c r="AA1250" s="33" t="inlineStr">
        <is>
          <t>7</t>
        </is>
      </c>
      <c r="AB1250" s="33" t="inlineStr">
        <is>
          <t>https://www.swimcloud.com/results/148695/event/60/?id=27589888#time27589888</t>
        </is>
      </c>
      <c r="AC1250" s="33" t="inlineStr">
        <is>
          <t>SwimCloud API v6 2026-10-08</t>
        </is>
      </c>
      <c r="AD1250" s="33" t="inlineStr">
        <is>
          <t>Jacob Whittle|2019-07-05|LCM|100|Free|50.01|LEN European Junior Championships|FIN|False</t>
        </is>
      </c>
      <c r="AE1250" s="53">
        <f>G1250+L1250/1000+ROW()/1000000000</f>
        <v/>
      </c>
      <c r="AF1250" s="35">
        <f>IF(C1250&lt;&gt;"Grayson Coulter","",COUNTIFS($C$5:$C$2991,"Grayson Coulter",$Q$5:$Q$2991,Q1250,$AE$5:$AE$2991,"&lt;="&amp;AE1250,$R$5:$R$2991,"&lt;"&amp;R1250))</f>
        <v/>
      </c>
      <c r="AG1250" s="35">
        <f>IF(OR(C1250&lt;&gt;"Grayson Coulter",G1250&lt;'00_Control'!$B$7),"",--(AF1250&lt;5))</f>
        <v/>
      </c>
      <c r="AH1250" s="35">
        <f>IF(OR(C1250&lt;&gt;"Grayson Coulter",G1250&lt;'00_Control'!$B$7),"",--(AF1250&lt;10))</f>
        <v/>
      </c>
      <c r="AI1250" s="35">
        <f>IF(AND(C1250="Grayson Coulter",G1250&gt;='00_Control'!$B$7),"YES","NO")</f>
        <v/>
      </c>
      <c r="AJ1250" s="33" t="inlineStr">
        <is>
          <t>OK</t>
        </is>
      </c>
    </row>
    <row r="1251">
      <c r="A1251" s="33" t="inlineStr">
        <is>
          <t>SM001247</t>
        </is>
      </c>
      <c r="B1251" s="33" t="inlineStr">
        <is>
          <t>SW008</t>
        </is>
      </c>
      <c r="C1251" s="33" t="inlineStr">
        <is>
          <t>Jacob Whittle</t>
        </is>
      </c>
      <c r="D1251" s="33" t="inlineStr">
        <is>
          <t>SwimCloud</t>
        </is>
      </c>
      <c r="E1251" s="33" t="inlineStr">
        <is>
          <t>1133535</t>
        </is>
      </c>
      <c r="F1251" s="33" t="inlineStr">
        <is>
          <t>27589889</t>
        </is>
      </c>
      <c r="G1251" s="51" t="n">
        <v>43652</v>
      </c>
      <c r="H1251" s="33" t="inlineStr">
        <is>
          <t>LEN European Junior Championships</t>
        </is>
      </c>
      <c r="I1251" s="33" t="inlineStr">
        <is>
          <t>148695</t>
        </is>
      </c>
      <c r="J1251" s="33" t="inlineStr"/>
      <c r="K1251" s="33" t="inlineStr">
        <is>
          <t>PRE</t>
        </is>
      </c>
      <c r="L1251" s="35">
        <f>IF(K1251="FIN",3,IF(OR(K1251="SEM",K1251="SEMI"),2,IF(OR(K1251="PRE",K1251="HEAT"),1,IF(V1251="YES",4,2))))</f>
        <v/>
      </c>
      <c r="M1251" s="33" t="inlineStr">
        <is>
          <t>LCM</t>
        </is>
      </c>
      <c r="N1251" s="33" t="n">
        <v>200</v>
      </c>
      <c r="O1251" s="33" t="inlineStr">
        <is>
          <t>Free</t>
        </is>
      </c>
      <c r="P1251" s="33" t="inlineStr">
        <is>
          <t>200 Free</t>
        </is>
      </c>
      <c r="Q1251" s="33" t="inlineStr">
        <is>
          <t>LCM_200_FREE</t>
        </is>
      </c>
      <c r="R1251" s="36" t="n">
        <v>113.02</v>
      </c>
      <c r="S1251" s="35">
        <f>IF(R1251="","",IF(R1251&gt;=60,INT(R1251/60)&amp;":"&amp;TEXT(MOD(R1251,60),"00.00"),TEXT(R1251,"0.00")))</f>
        <v/>
      </c>
      <c r="T1251" s="52">
        <f>IFERROR((G1251-INDEX('01_Swimmers'!$E$5:$E$22,MATCH(B1251,'01_Swimmers'!$A$5:$A$22,0)))/'00_Control'!$B$10,"")</f>
        <v/>
      </c>
      <c r="U1251" s="35">
        <f>IF(T1251="","",INT(T1251))</f>
        <v/>
      </c>
      <c r="V1251" s="33" t="inlineStr">
        <is>
          <t>NO</t>
        </is>
      </c>
      <c r="W1251" s="33" t="inlineStr">
        <is>
          <t>YES</t>
        </is>
      </c>
      <c r="X1251" s="33" t="inlineStr">
        <is>
          <t>NO</t>
        </is>
      </c>
      <c r="Y1251" s="33" t="n">
        <v>18</v>
      </c>
      <c r="Z1251" s="33" t="n">
        <v>4</v>
      </c>
      <c r="AA1251" s="33" t="inlineStr">
        <is>
          <t>26</t>
        </is>
      </c>
      <c r="AB1251" s="33" t="inlineStr">
        <is>
          <t>https://www.swimcloud.com/results/148695/event/64/?id=27589889#time27589889</t>
        </is>
      </c>
      <c r="AC1251" s="33" t="inlineStr">
        <is>
          <t>SwimCloud API v6 2026-10-08</t>
        </is>
      </c>
      <c r="AD1251" s="33" t="inlineStr">
        <is>
          <t>Jacob Whittle|2019-07-06|LCM|200|Free|113.02|LEN European Junior Championships|PRE|False</t>
        </is>
      </c>
      <c r="AE1251" s="53">
        <f>G1251+L1251/1000+ROW()/1000000000</f>
        <v/>
      </c>
      <c r="AF1251" s="35">
        <f>IF(C1251&lt;&gt;"Grayson Coulter","",COUNTIFS($C$5:$C$2991,"Grayson Coulter",$Q$5:$Q$2991,Q1251,$AE$5:$AE$2991,"&lt;="&amp;AE1251,$R$5:$R$2991,"&lt;"&amp;R1251))</f>
        <v/>
      </c>
      <c r="AG1251" s="35">
        <f>IF(OR(C1251&lt;&gt;"Grayson Coulter",G1251&lt;'00_Control'!$B$7),"",--(AF1251&lt;5))</f>
        <v/>
      </c>
      <c r="AH1251" s="35">
        <f>IF(OR(C1251&lt;&gt;"Grayson Coulter",G1251&lt;'00_Control'!$B$7),"",--(AF1251&lt;10))</f>
        <v/>
      </c>
      <c r="AI1251" s="35">
        <f>IF(AND(C1251="Grayson Coulter",G1251&gt;='00_Control'!$B$7),"YES","NO")</f>
        <v/>
      </c>
      <c r="AJ1251" s="33" t="inlineStr">
        <is>
          <t>OK</t>
        </is>
      </c>
    </row>
    <row r="1252">
      <c r="A1252" s="33" t="inlineStr">
        <is>
          <t>SM001248</t>
        </is>
      </c>
      <c r="B1252" s="33" t="inlineStr">
        <is>
          <t>SW008</t>
        </is>
      </c>
      <c r="C1252" s="33" t="inlineStr">
        <is>
          <t>Jacob Whittle</t>
        </is>
      </c>
      <c r="D1252" s="33" t="inlineStr">
        <is>
          <t>SwimCloud</t>
        </is>
      </c>
      <c r="E1252" s="33" t="inlineStr">
        <is>
          <t>1133535</t>
        </is>
      </c>
      <c r="F1252" s="33" t="inlineStr">
        <is>
          <t>31499632</t>
        </is>
      </c>
      <c r="G1252" s="51" t="n">
        <v>43812</v>
      </c>
      <c r="H1252" s="33" t="inlineStr">
        <is>
          <t>Ontario Junior International</t>
        </is>
      </c>
      <c r="I1252" s="33" t="inlineStr">
        <is>
          <t>167620</t>
        </is>
      </c>
      <c r="J1252" s="33" t="inlineStr"/>
      <c r="K1252" s="33" t="inlineStr">
        <is>
          <t>PRE</t>
        </is>
      </c>
      <c r="L1252" s="35">
        <f>IF(K1252="FIN",3,IF(OR(K1252="SEM",K1252="SEMI"),2,IF(OR(K1252="PRE",K1252="HEAT"),1,IF(V1252="YES",4,2))))</f>
        <v/>
      </c>
      <c r="M1252" s="33" t="inlineStr">
        <is>
          <t>SCM</t>
        </is>
      </c>
      <c r="N1252" s="33" t="n">
        <v>200</v>
      </c>
      <c r="O1252" s="33" t="inlineStr">
        <is>
          <t>Free</t>
        </is>
      </c>
      <c r="P1252" s="33" t="inlineStr">
        <is>
          <t>200 Free</t>
        </is>
      </c>
      <c r="Q1252" s="33" t="inlineStr">
        <is>
          <t>SCM_200_FREE</t>
        </is>
      </c>
      <c r="R1252" s="36" t="n">
        <v>109.17</v>
      </c>
      <c r="S1252" s="35">
        <f>IF(R1252="","",IF(R1252&gt;=60,INT(R1252/60)&amp;":"&amp;TEXT(MOD(R1252,60),"00.00"),TEXT(R1252,"0.00")))</f>
        <v/>
      </c>
      <c r="T1252" s="52">
        <f>IFERROR((G1252-INDEX('01_Swimmers'!$E$5:$E$22,MATCH(B1252,'01_Swimmers'!$A$5:$A$22,0)))/'00_Control'!$B$10,"")</f>
        <v/>
      </c>
      <c r="U1252" s="35">
        <f>IF(T1252="","",INT(T1252))</f>
        <v/>
      </c>
      <c r="V1252" s="33" t="inlineStr">
        <is>
          <t>NO</t>
        </is>
      </c>
      <c r="W1252" s="33" t="inlineStr">
        <is>
          <t>YES</t>
        </is>
      </c>
      <c r="X1252" s="33" t="inlineStr">
        <is>
          <t>NO</t>
        </is>
      </c>
      <c r="Y1252" s="33" t="n">
        <v>7</v>
      </c>
      <c r="Z1252" s="33" t="n">
        <v>2</v>
      </c>
      <c r="AA1252" s="33" t="inlineStr">
        <is>
          <t>6</t>
        </is>
      </c>
      <c r="AB1252" s="33" t="inlineStr">
        <is>
          <t>https://www.swimcloud.com/results/167620/event/2/?id=31499632#time31499632</t>
        </is>
      </c>
      <c r="AC1252" s="33" t="inlineStr">
        <is>
          <t>SwimCloud API v6 2026-10-08</t>
        </is>
      </c>
      <c r="AD1252" s="33" t="inlineStr">
        <is>
          <t>Jacob Whittle|2019-12-13|SCM|200|Free|109.17|Ontario Junior International|PRE|False</t>
        </is>
      </c>
      <c r="AE1252" s="53">
        <f>G1252+L1252/1000+ROW()/1000000000</f>
        <v/>
      </c>
      <c r="AF1252" s="35">
        <f>IF(C1252&lt;&gt;"Grayson Coulter","",COUNTIFS($C$5:$C$2991,"Grayson Coulter",$Q$5:$Q$2991,Q1252,$AE$5:$AE$2991,"&lt;="&amp;AE1252,$R$5:$R$2991,"&lt;"&amp;R1252))</f>
        <v/>
      </c>
      <c r="AG1252" s="35">
        <f>IF(OR(C1252&lt;&gt;"Grayson Coulter",G1252&lt;'00_Control'!$B$7),"",--(AF1252&lt;5))</f>
        <v/>
      </c>
      <c r="AH1252" s="35">
        <f>IF(OR(C1252&lt;&gt;"Grayson Coulter",G1252&lt;'00_Control'!$B$7),"",--(AF1252&lt;10))</f>
        <v/>
      </c>
      <c r="AI1252" s="35">
        <f>IF(AND(C1252="Grayson Coulter",G1252&gt;='00_Control'!$B$7),"YES","NO")</f>
        <v/>
      </c>
      <c r="AJ1252" s="33" t="inlineStr">
        <is>
          <t>OK</t>
        </is>
      </c>
    </row>
    <row r="1253">
      <c r="A1253" s="33" t="inlineStr">
        <is>
          <t>SM001249</t>
        </is>
      </c>
      <c r="B1253" s="33" t="inlineStr">
        <is>
          <t>SW008</t>
        </is>
      </c>
      <c r="C1253" s="33" t="inlineStr">
        <is>
          <t>Jacob Whittle</t>
        </is>
      </c>
      <c r="D1253" s="33" t="inlineStr">
        <is>
          <t>SwimCloud</t>
        </is>
      </c>
      <c r="E1253" s="33" t="inlineStr">
        <is>
          <t>1133535</t>
        </is>
      </c>
      <c r="F1253" s="33" t="inlineStr">
        <is>
          <t>31499633</t>
        </is>
      </c>
      <c r="G1253" s="51" t="n">
        <v>43812</v>
      </c>
      <c r="H1253" s="33" t="inlineStr">
        <is>
          <t>Ontario Junior International</t>
        </is>
      </c>
      <c r="I1253" s="33" t="inlineStr">
        <is>
          <t>167620</t>
        </is>
      </c>
      <c r="J1253" s="33" t="inlineStr"/>
      <c r="K1253" s="33" t="inlineStr">
        <is>
          <t>FIN</t>
        </is>
      </c>
      <c r="L1253" s="35">
        <f>IF(K1253="FIN",3,IF(OR(K1253="SEM",K1253="SEMI"),2,IF(OR(K1253="PRE",K1253="HEAT"),1,IF(V1253="YES",4,2))))</f>
        <v/>
      </c>
      <c r="M1253" s="33" t="inlineStr">
        <is>
          <t>SCM</t>
        </is>
      </c>
      <c r="N1253" s="33" t="n">
        <v>200</v>
      </c>
      <c r="O1253" s="33" t="inlineStr">
        <is>
          <t>Free</t>
        </is>
      </c>
      <c r="P1253" s="33" t="inlineStr">
        <is>
          <t>200 Free</t>
        </is>
      </c>
      <c r="Q1253" s="33" t="inlineStr">
        <is>
          <t>SCM_200_FREE</t>
        </is>
      </c>
      <c r="R1253" s="36" t="n">
        <v>108.28</v>
      </c>
      <c r="S1253" s="35">
        <f>IF(R1253="","",IF(R1253&gt;=60,INT(R1253/60)&amp;":"&amp;TEXT(MOD(R1253,60),"00.00"),TEXT(R1253,"0.00")))</f>
        <v/>
      </c>
      <c r="T1253" s="52">
        <f>IFERROR((G1253-INDEX('01_Swimmers'!$E$5:$E$22,MATCH(B1253,'01_Swimmers'!$A$5:$A$22,0)))/'00_Control'!$B$10,"")</f>
        <v/>
      </c>
      <c r="U1253" s="35">
        <f>IF(T1253="","",INT(T1253))</f>
        <v/>
      </c>
      <c r="V1253" s="33" t="inlineStr">
        <is>
          <t>NO</t>
        </is>
      </c>
      <c r="W1253" s="33" t="inlineStr">
        <is>
          <t>YES</t>
        </is>
      </c>
      <c r="X1253" s="33" t="inlineStr">
        <is>
          <t>NO</t>
        </is>
      </c>
      <c r="Y1253" s="33" t="n">
        <v>2</v>
      </c>
      <c r="Z1253" s="33" t="n">
        <v>2</v>
      </c>
      <c r="AA1253" s="33" t="inlineStr">
        <is>
          <t>5</t>
        </is>
      </c>
      <c r="AB1253" s="33" t="inlineStr">
        <is>
          <t>https://www.swimcloud.com/results/167620/event/2/?id=31499633#time31499633</t>
        </is>
      </c>
      <c r="AC1253" s="33" t="inlineStr">
        <is>
          <t>SwimCloud API v6 2026-10-08</t>
        </is>
      </c>
      <c r="AD1253" s="33" t="inlineStr">
        <is>
          <t>Jacob Whittle|2019-12-13|SCM|200|Free|108.28|Ontario Junior International|FIN|False</t>
        </is>
      </c>
      <c r="AE1253" s="53">
        <f>G1253+L1253/1000+ROW()/1000000000</f>
        <v/>
      </c>
      <c r="AF1253" s="35">
        <f>IF(C1253&lt;&gt;"Grayson Coulter","",COUNTIFS($C$5:$C$2991,"Grayson Coulter",$Q$5:$Q$2991,Q1253,$AE$5:$AE$2991,"&lt;="&amp;AE1253,$R$5:$R$2991,"&lt;"&amp;R1253))</f>
        <v/>
      </c>
      <c r="AG1253" s="35">
        <f>IF(OR(C1253&lt;&gt;"Grayson Coulter",G1253&lt;'00_Control'!$B$7),"",--(AF1253&lt;5))</f>
        <v/>
      </c>
      <c r="AH1253" s="35">
        <f>IF(OR(C1253&lt;&gt;"Grayson Coulter",G1253&lt;'00_Control'!$B$7),"",--(AF1253&lt;10))</f>
        <v/>
      </c>
      <c r="AI1253" s="35">
        <f>IF(AND(C1253="Grayson Coulter",G1253&gt;='00_Control'!$B$7),"YES","NO")</f>
        <v/>
      </c>
      <c r="AJ1253" s="33" t="inlineStr">
        <is>
          <t>OK</t>
        </is>
      </c>
    </row>
    <row r="1254">
      <c r="A1254" s="33" t="inlineStr">
        <is>
          <t>SM001250</t>
        </is>
      </c>
      <c r="B1254" s="33" t="inlineStr">
        <is>
          <t>SW008</t>
        </is>
      </c>
      <c r="C1254" s="33" t="inlineStr">
        <is>
          <t>Jacob Whittle</t>
        </is>
      </c>
      <c r="D1254" s="33" t="inlineStr">
        <is>
          <t>SwimCloud</t>
        </is>
      </c>
      <c r="E1254" s="33" t="inlineStr">
        <is>
          <t>1133535</t>
        </is>
      </c>
      <c r="F1254" s="33" t="inlineStr">
        <is>
          <t>31499927</t>
        </is>
      </c>
      <c r="G1254" s="51" t="n">
        <v>43814</v>
      </c>
      <c r="H1254" s="33" t="inlineStr">
        <is>
          <t>Ontario Junior International</t>
        </is>
      </c>
      <c r="I1254" s="33" t="inlineStr">
        <is>
          <t>167620</t>
        </is>
      </c>
      <c r="J1254" s="33" t="inlineStr"/>
      <c r="K1254" s="33" t="inlineStr">
        <is>
          <t>PRE</t>
        </is>
      </c>
      <c r="L1254" s="35">
        <f>IF(K1254="FIN",3,IF(OR(K1254="SEM",K1254="SEMI"),2,IF(OR(K1254="PRE",K1254="HEAT"),1,IF(V1254="YES",4,2))))</f>
        <v/>
      </c>
      <c r="M1254" s="33" t="inlineStr">
        <is>
          <t>SCM</t>
        </is>
      </c>
      <c r="N1254" s="33" t="n">
        <v>100</v>
      </c>
      <c r="O1254" s="33" t="inlineStr">
        <is>
          <t>Free</t>
        </is>
      </c>
      <c r="P1254" s="33" t="inlineStr">
        <is>
          <t>100 Free</t>
        </is>
      </c>
      <c r="Q1254" s="33" t="inlineStr">
        <is>
          <t>SCM_100_FREE</t>
        </is>
      </c>
      <c r="R1254" s="36" t="n">
        <v>48.71</v>
      </c>
      <c r="S1254" s="35">
        <f>IF(R1254="","",IF(R1254&gt;=60,INT(R1254/60)&amp;":"&amp;TEXT(MOD(R1254,60),"00.00"),TEXT(R1254,"0.00")))</f>
        <v/>
      </c>
      <c r="T1254" s="52">
        <f>IFERROR((G1254-INDEX('01_Swimmers'!$E$5:$E$22,MATCH(B1254,'01_Swimmers'!$A$5:$A$22,0)))/'00_Control'!$B$10,"")</f>
        <v/>
      </c>
      <c r="U1254" s="35">
        <f>IF(T1254="","",INT(T1254))</f>
        <v/>
      </c>
      <c r="V1254" s="33" t="inlineStr">
        <is>
          <t>NO</t>
        </is>
      </c>
      <c r="W1254" s="33" t="inlineStr">
        <is>
          <t>YES</t>
        </is>
      </c>
      <c r="X1254" s="33" t="inlineStr">
        <is>
          <t>NO</t>
        </is>
      </c>
      <c r="Y1254" s="33" t="n">
        <v>5</v>
      </c>
      <c r="Z1254" s="33" t="n">
        <v>4</v>
      </c>
      <c r="AA1254" s="33" t="inlineStr">
        <is>
          <t>3</t>
        </is>
      </c>
      <c r="AB1254" s="33" t="inlineStr">
        <is>
          <t>https://www.swimcloud.com/results/167620/event/30/?id=31499927#time31499927</t>
        </is>
      </c>
      <c r="AC1254" s="33" t="inlineStr">
        <is>
          <t>SwimCloud API v6 2026-10-08</t>
        </is>
      </c>
      <c r="AD1254" s="33" t="inlineStr">
        <is>
          <t>Jacob Whittle|2019-12-15|SCM|100|Free|48.71|Ontario Junior International|PRE|False</t>
        </is>
      </c>
      <c r="AE1254" s="53">
        <f>G1254+L1254/1000+ROW()/1000000000</f>
        <v/>
      </c>
      <c r="AF1254" s="35">
        <f>IF(C1254&lt;&gt;"Grayson Coulter","",COUNTIFS($C$5:$C$2991,"Grayson Coulter",$Q$5:$Q$2991,Q1254,$AE$5:$AE$2991,"&lt;="&amp;AE1254,$R$5:$R$2991,"&lt;"&amp;R1254))</f>
        <v/>
      </c>
      <c r="AG1254" s="35">
        <f>IF(OR(C1254&lt;&gt;"Grayson Coulter",G1254&lt;'00_Control'!$B$7),"",--(AF1254&lt;5))</f>
        <v/>
      </c>
      <c r="AH1254" s="35">
        <f>IF(OR(C1254&lt;&gt;"Grayson Coulter",G1254&lt;'00_Control'!$B$7),"",--(AF1254&lt;10))</f>
        <v/>
      </c>
      <c r="AI1254" s="35">
        <f>IF(AND(C1254="Grayson Coulter",G1254&gt;='00_Control'!$B$7),"YES","NO")</f>
        <v/>
      </c>
      <c r="AJ1254" s="33" t="inlineStr">
        <is>
          <t>OK</t>
        </is>
      </c>
    </row>
    <row r="1255">
      <c r="A1255" s="33" t="inlineStr">
        <is>
          <t>SM001251</t>
        </is>
      </c>
      <c r="B1255" s="33" t="inlineStr">
        <is>
          <t>SW008</t>
        </is>
      </c>
      <c r="C1255" s="33" t="inlineStr">
        <is>
          <t>Jacob Whittle</t>
        </is>
      </c>
      <c r="D1255" s="33" t="inlineStr">
        <is>
          <t>SwimCloud</t>
        </is>
      </c>
      <c r="E1255" s="33" t="inlineStr">
        <is>
          <t>1133535</t>
        </is>
      </c>
      <c r="F1255" s="33" t="inlineStr">
        <is>
          <t>31499928</t>
        </is>
      </c>
      <c r="G1255" s="51" t="n">
        <v>43814</v>
      </c>
      <c r="H1255" s="33" t="inlineStr">
        <is>
          <t>Ontario Junior International</t>
        </is>
      </c>
      <c r="I1255" s="33" t="inlineStr">
        <is>
          <t>167620</t>
        </is>
      </c>
      <c r="J1255" s="33" t="inlineStr"/>
      <c r="K1255" s="33" t="inlineStr">
        <is>
          <t>FIN</t>
        </is>
      </c>
      <c r="L1255" s="35">
        <f>IF(K1255="FIN",3,IF(OR(K1255="SEM",K1255="SEMI"),2,IF(OR(K1255="PRE",K1255="HEAT"),1,IF(V1255="YES",4,2))))</f>
        <v/>
      </c>
      <c r="M1255" s="33" t="inlineStr">
        <is>
          <t>SCM</t>
        </is>
      </c>
      <c r="N1255" s="33" t="n">
        <v>100</v>
      </c>
      <c r="O1255" s="33" t="inlineStr">
        <is>
          <t>Free</t>
        </is>
      </c>
      <c r="P1255" s="33" t="inlineStr">
        <is>
          <t>100 Free</t>
        </is>
      </c>
      <c r="Q1255" s="33" t="inlineStr">
        <is>
          <t>SCM_100_FREE</t>
        </is>
      </c>
      <c r="R1255" s="36" t="n">
        <v>48.29</v>
      </c>
      <c r="S1255" s="35">
        <f>IF(R1255="","",IF(R1255&gt;=60,INT(R1255/60)&amp;":"&amp;TEXT(MOD(R1255,60),"00.00"),TEXT(R1255,"0.00")))</f>
        <v/>
      </c>
      <c r="T1255" s="52">
        <f>IFERROR((G1255-INDEX('01_Swimmers'!$E$5:$E$22,MATCH(B1255,'01_Swimmers'!$A$5:$A$22,0)))/'00_Control'!$B$10,"")</f>
        <v/>
      </c>
      <c r="U1255" s="35">
        <f>IF(T1255="","",INT(T1255))</f>
        <v/>
      </c>
      <c r="V1255" s="33" t="inlineStr">
        <is>
          <t>NO</t>
        </is>
      </c>
      <c r="W1255" s="33" t="inlineStr">
        <is>
          <t>YES</t>
        </is>
      </c>
      <c r="X1255" s="33" t="inlineStr">
        <is>
          <t>NO</t>
        </is>
      </c>
      <c r="Y1255" s="33" t="n">
        <v>2</v>
      </c>
      <c r="Z1255" s="33" t="n">
        <v>3</v>
      </c>
      <c r="AA1255" s="33" t="inlineStr">
        <is>
          <t>3</t>
        </is>
      </c>
      <c r="AB1255" s="33" t="inlineStr">
        <is>
          <t>https://www.swimcloud.com/results/167620/event/30/?id=31499928#time31499928</t>
        </is>
      </c>
      <c r="AC1255" s="33" t="inlineStr">
        <is>
          <t>SwimCloud API v6 2026-10-08</t>
        </is>
      </c>
      <c r="AD1255" s="33" t="inlineStr">
        <is>
          <t>Jacob Whittle|2019-12-15|SCM|100|Free|48.29|Ontario Junior International|FIN|False</t>
        </is>
      </c>
      <c r="AE1255" s="53">
        <f>G1255+L1255/1000+ROW()/1000000000</f>
        <v/>
      </c>
      <c r="AF1255" s="35">
        <f>IF(C1255&lt;&gt;"Grayson Coulter","",COUNTIFS($C$5:$C$2991,"Grayson Coulter",$Q$5:$Q$2991,Q1255,$AE$5:$AE$2991,"&lt;="&amp;AE1255,$R$5:$R$2991,"&lt;"&amp;R1255))</f>
        <v/>
      </c>
      <c r="AG1255" s="35">
        <f>IF(OR(C1255&lt;&gt;"Grayson Coulter",G1255&lt;'00_Control'!$B$7),"",--(AF1255&lt;5))</f>
        <v/>
      </c>
      <c r="AH1255" s="35">
        <f>IF(OR(C1255&lt;&gt;"Grayson Coulter",G1255&lt;'00_Control'!$B$7),"",--(AF1255&lt;10))</f>
        <v/>
      </c>
      <c r="AI1255" s="35">
        <f>IF(AND(C1255="Grayson Coulter",G1255&gt;='00_Control'!$B$7),"YES","NO")</f>
        <v/>
      </c>
      <c r="AJ1255" s="33" t="inlineStr">
        <is>
          <t>OK</t>
        </is>
      </c>
    </row>
    <row r="1256">
      <c r="A1256" s="33" t="inlineStr">
        <is>
          <t>SM001252</t>
        </is>
      </c>
      <c r="B1256" s="33" t="inlineStr">
        <is>
          <t>SW008</t>
        </is>
      </c>
      <c r="C1256" s="33" t="inlineStr">
        <is>
          <t>Jacob Whittle</t>
        </is>
      </c>
      <c r="D1256" s="33" t="inlineStr">
        <is>
          <t>SwimCloud</t>
        </is>
      </c>
      <c r="E1256" s="33" t="inlineStr">
        <is>
          <t>1133535</t>
        </is>
      </c>
      <c r="F1256" s="33" t="inlineStr">
        <is>
          <t>34526028</t>
        </is>
      </c>
      <c r="G1256" s="51" t="n">
        <v>43848</v>
      </c>
      <c r="H1256" s="33" t="inlineStr">
        <is>
          <t>Flanders Swimming Cup</t>
        </is>
      </c>
      <c r="I1256" s="33" t="inlineStr">
        <is>
          <t>175608</t>
        </is>
      </c>
      <c r="J1256" s="33" t="inlineStr"/>
      <c r="K1256" s="33" t="inlineStr">
        <is>
          <t>PRE</t>
        </is>
      </c>
      <c r="L1256" s="35">
        <f>IF(K1256="FIN",3,IF(OR(K1256="SEM",K1256="SEMI"),2,IF(OR(K1256="PRE",K1256="HEAT"),1,IF(V1256="YES",4,2))))</f>
        <v/>
      </c>
      <c r="M1256" s="33" t="inlineStr">
        <is>
          <t>LCM</t>
        </is>
      </c>
      <c r="N1256" s="33" t="n">
        <v>200</v>
      </c>
      <c r="O1256" s="33" t="inlineStr">
        <is>
          <t>Free</t>
        </is>
      </c>
      <c r="P1256" s="33" t="inlineStr">
        <is>
          <t>200 Free</t>
        </is>
      </c>
      <c r="Q1256" s="33" t="inlineStr">
        <is>
          <t>LCM_200_FREE</t>
        </is>
      </c>
      <c r="R1256" s="36" t="n">
        <v>113.6</v>
      </c>
      <c r="S1256" s="35">
        <f>IF(R1256="","",IF(R1256&gt;=60,INT(R1256/60)&amp;":"&amp;TEXT(MOD(R1256,60),"00.00"),TEXT(R1256,"0.00")))</f>
        <v/>
      </c>
      <c r="T1256" s="52">
        <f>IFERROR((G1256-INDEX('01_Swimmers'!$E$5:$E$22,MATCH(B1256,'01_Swimmers'!$A$5:$A$22,0)))/'00_Control'!$B$10,"")</f>
        <v/>
      </c>
      <c r="U1256" s="35">
        <f>IF(T1256="","",INT(T1256))</f>
        <v/>
      </c>
      <c r="V1256" s="33" t="inlineStr">
        <is>
          <t>NO</t>
        </is>
      </c>
      <c r="W1256" s="33" t="inlineStr">
        <is>
          <t>YES</t>
        </is>
      </c>
      <c r="X1256" s="33" t="inlineStr">
        <is>
          <t>NO</t>
        </is>
      </c>
      <c r="Y1256" s="33" t="n">
        <v>10</v>
      </c>
      <c r="Z1256" s="33" t="n">
        <v>8</v>
      </c>
      <c r="AA1256" s="33" t="inlineStr">
        <is>
          <t>17</t>
        </is>
      </c>
      <c r="AB1256" s="33" t="inlineStr">
        <is>
          <t>https://www.swimcloud.com/results/175608/event/1/?id=34526028#time34526028</t>
        </is>
      </c>
      <c r="AC1256" s="33" t="inlineStr">
        <is>
          <t>SwimCloud API v6 2026-10-08</t>
        </is>
      </c>
      <c r="AD1256" s="33" t="inlineStr">
        <is>
          <t>Jacob Whittle|2020-01-18|LCM|200|Free|113.6|Flanders Swimming Cup|PRE|False</t>
        </is>
      </c>
      <c r="AE1256" s="53">
        <f>G1256+L1256/1000+ROW()/1000000000</f>
        <v/>
      </c>
      <c r="AF1256" s="35">
        <f>IF(C1256&lt;&gt;"Grayson Coulter","",COUNTIFS($C$5:$C$2991,"Grayson Coulter",$Q$5:$Q$2991,Q1256,$AE$5:$AE$2991,"&lt;="&amp;AE1256,$R$5:$R$2991,"&lt;"&amp;R1256))</f>
        <v/>
      </c>
      <c r="AG1256" s="35">
        <f>IF(OR(C1256&lt;&gt;"Grayson Coulter",G1256&lt;'00_Control'!$B$7),"",--(AF1256&lt;5))</f>
        <v/>
      </c>
      <c r="AH1256" s="35">
        <f>IF(OR(C1256&lt;&gt;"Grayson Coulter",G1256&lt;'00_Control'!$B$7),"",--(AF1256&lt;10))</f>
        <v/>
      </c>
      <c r="AI1256" s="35">
        <f>IF(AND(C1256="Grayson Coulter",G1256&gt;='00_Control'!$B$7),"YES","NO")</f>
        <v/>
      </c>
      <c r="AJ1256" s="33" t="inlineStr">
        <is>
          <t>OK</t>
        </is>
      </c>
    </row>
    <row r="1257">
      <c r="A1257" s="33" t="inlineStr">
        <is>
          <t>SM001253</t>
        </is>
      </c>
      <c r="B1257" s="33" t="inlineStr">
        <is>
          <t>SW008</t>
        </is>
      </c>
      <c r="C1257" s="33" t="inlineStr">
        <is>
          <t>Jacob Whittle</t>
        </is>
      </c>
      <c r="D1257" s="33" t="inlineStr">
        <is>
          <t>SwimCloud</t>
        </is>
      </c>
      <c r="E1257" s="33" t="inlineStr">
        <is>
          <t>1133535</t>
        </is>
      </c>
      <c r="F1257" s="33" t="inlineStr">
        <is>
          <t>34526027</t>
        </is>
      </c>
      <c r="G1257" s="51" t="n">
        <v>43848</v>
      </c>
      <c r="H1257" s="33" t="inlineStr">
        <is>
          <t>Flanders Swimming Cup</t>
        </is>
      </c>
      <c r="I1257" s="33" t="inlineStr">
        <is>
          <t>175608</t>
        </is>
      </c>
      <c r="J1257" s="33" t="inlineStr"/>
      <c r="K1257" s="33" t="inlineStr">
        <is>
          <t>FIN</t>
        </is>
      </c>
      <c r="L1257" s="35">
        <f>IF(K1257="FIN",3,IF(OR(K1257="SEM",K1257="SEMI"),2,IF(OR(K1257="PRE",K1257="HEAT"),1,IF(V1257="YES",4,2))))</f>
        <v/>
      </c>
      <c r="M1257" s="33" t="inlineStr">
        <is>
          <t>LCM</t>
        </is>
      </c>
      <c r="N1257" s="33" t="n">
        <v>200</v>
      </c>
      <c r="O1257" s="33" t="inlineStr">
        <is>
          <t>Free</t>
        </is>
      </c>
      <c r="P1257" s="33" t="inlineStr">
        <is>
          <t>200 Free</t>
        </is>
      </c>
      <c r="Q1257" s="33" t="inlineStr">
        <is>
          <t>LCM_200_FREE</t>
        </is>
      </c>
      <c r="R1257" s="36" t="n">
        <v>113.66</v>
      </c>
      <c r="S1257" s="35">
        <f>IF(R1257="","",IF(R1257&gt;=60,INT(R1257/60)&amp;":"&amp;TEXT(MOD(R1257,60),"00.00"),TEXT(R1257,"0.00")))</f>
        <v/>
      </c>
      <c r="T1257" s="52">
        <f>IFERROR((G1257-INDEX('01_Swimmers'!$E$5:$E$22,MATCH(B1257,'01_Swimmers'!$A$5:$A$22,0)))/'00_Control'!$B$10,"")</f>
        <v/>
      </c>
      <c r="U1257" s="35">
        <f>IF(T1257="","",INT(T1257))</f>
        <v/>
      </c>
      <c r="V1257" s="33" t="inlineStr">
        <is>
          <t>NO</t>
        </is>
      </c>
      <c r="W1257" s="33" t="inlineStr">
        <is>
          <t>YES</t>
        </is>
      </c>
      <c r="X1257" s="33" t="inlineStr">
        <is>
          <t>NO</t>
        </is>
      </c>
      <c r="Y1257" s="33" t="n"/>
      <c r="Z1257" s="33" t="n">
        <v>1</v>
      </c>
      <c r="AA1257" s="33" t="inlineStr">
        <is>
          <t>16</t>
        </is>
      </c>
      <c r="AB1257" s="33" t="inlineStr">
        <is>
          <t>https://www.swimcloud.com/results/175608/event/1/?id=34526027#time34526027</t>
        </is>
      </c>
      <c r="AC1257" s="33" t="inlineStr">
        <is>
          <t>SwimCloud API v6 2026-10-08</t>
        </is>
      </c>
      <c r="AD1257" s="33" t="inlineStr">
        <is>
          <t>Jacob Whittle|2020-01-18|LCM|200|Free|113.66|Flanders Swimming Cup|FIN|False</t>
        </is>
      </c>
      <c r="AE1257" s="53">
        <f>G1257+L1257/1000+ROW()/1000000000</f>
        <v/>
      </c>
      <c r="AF1257" s="35">
        <f>IF(C1257&lt;&gt;"Grayson Coulter","",COUNTIFS($C$5:$C$2991,"Grayson Coulter",$Q$5:$Q$2991,Q1257,$AE$5:$AE$2991,"&lt;="&amp;AE1257,$R$5:$R$2991,"&lt;"&amp;R1257))</f>
        <v/>
      </c>
      <c r="AG1257" s="35">
        <f>IF(OR(C1257&lt;&gt;"Grayson Coulter",G1257&lt;'00_Control'!$B$7),"",--(AF1257&lt;5))</f>
        <v/>
      </c>
      <c r="AH1257" s="35">
        <f>IF(OR(C1257&lt;&gt;"Grayson Coulter",G1257&lt;'00_Control'!$B$7),"",--(AF1257&lt;10))</f>
        <v/>
      </c>
      <c r="AI1257" s="35">
        <f>IF(AND(C1257="Grayson Coulter",G1257&gt;='00_Control'!$B$7),"YES","NO")</f>
        <v/>
      </c>
      <c r="AJ1257" s="33" t="inlineStr">
        <is>
          <t>OK</t>
        </is>
      </c>
    </row>
    <row r="1258">
      <c r="A1258" s="33" t="inlineStr">
        <is>
          <t>SM001254</t>
        </is>
      </c>
      <c r="B1258" s="33" t="inlineStr">
        <is>
          <t>SW008</t>
        </is>
      </c>
      <c r="C1258" s="33" t="inlineStr">
        <is>
          <t>Jacob Whittle</t>
        </is>
      </c>
      <c r="D1258" s="33" t="inlineStr">
        <is>
          <t>SwimCloud</t>
        </is>
      </c>
      <c r="E1258" s="33" t="inlineStr">
        <is>
          <t>1133535</t>
        </is>
      </c>
      <c r="F1258" s="33" t="inlineStr">
        <is>
          <t>34526026</t>
        </is>
      </c>
      <c r="G1258" s="51" t="n">
        <v>43849</v>
      </c>
      <c r="H1258" s="33" t="inlineStr">
        <is>
          <t>Flanders Swimming Cup</t>
        </is>
      </c>
      <c r="I1258" s="33" t="inlineStr">
        <is>
          <t>175608</t>
        </is>
      </c>
      <c r="J1258" s="33" t="inlineStr"/>
      <c r="K1258" s="33" t="inlineStr">
        <is>
          <t>PRE</t>
        </is>
      </c>
      <c r="L1258" s="35">
        <f>IF(K1258="FIN",3,IF(OR(K1258="SEM",K1258="SEMI"),2,IF(OR(K1258="PRE",K1258="HEAT"),1,IF(V1258="YES",4,2))))</f>
        <v/>
      </c>
      <c r="M1258" s="33" t="inlineStr">
        <is>
          <t>LCM</t>
        </is>
      </c>
      <c r="N1258" s="33" t="n">
        <v>100</v>
      </c>
      <c r="O1258" s="33" t="inlineStr">
        <is>
          <t>Free</t>
        </is>
      </c>
      <c r="P1258" s="33" t="inlineStr">
        <is>
          <t>100 Free</t>
        </is>
      </c>
      <c r="Q1258" s="33" t="inlineStr">
        <is>
          <t>LCM_100_FREE</t>
        </is>
      </c>
      <c r="R1258" s="36" t="n">
        <v>50.42</v>
      </c>
      <c r="S1258" s="35">
        <f>IF(R1258="","",IF(R1258&gt;=60,INT(R1258/60)&amp;":"&amp;TEXT(MOD(R1258,60),"00.00"),TEXT(R1258,"0.00")))</f>
        <v/>
      </c>
      <c r="T1258" s="52">
        <f>IFERROR((G1258-INDEX('01_Swimmers'!$E$5:$E$22,MATCH(B1258,'01_Swimmers'!$A$5:$A$22,0)))/'00_Control'!$B$10,"")</f>
        <v/>
      </c>
      <c r="U1258" s="35">
        <f>IF(T1258="","",INT(T1258))</f>
        <v/>
      </c>
      <c r="V1258" s="33" t="inlineStr">
        <is>
          <t>NO</t>
        </is>
      </c>
      <c r="W1258" s="33" t="inlineStr">
        <is>
          <t>YES</t>
        </is>
      </c>
      <c r="X1258" s="33" t="inlineStr">
        <is>
          <t>NO</t>
        </is>
      </c>
      <c r="Y1258" s="33" t="n">
        <v>13</v>
      </c>
      <c r="Z1258" s="33" t="n">
        <v>2</v>
      </c>
      <c r="AA1258" s="33" t="inlineStr">
        <is>
          <t>6</t>
        </is>
      </c>
      <c r="AB1258" s="33" t="inlineStr">
        <is>
          <t>https://www.swimcloud.com/results/175608/event/24/?id=34526026#time34526026</t>
        </is>
      </c>
      <c r="AC1258" s="33" t="inlineStr">
        <is>
          <t>SwimCloud API v6 2026-10-08</t>
        </is>
      </c>
      <c r="AD1258" s="33" t="inlineStr">
        <is>
          <t>Jacob Whittle|2020-01-19|LCM|100|Free|50.42|Flanders Swimming Cup|PRE|False</t>
        </is>
      </c>
      <c r="AE1258" s="53">
        <f>G1258+L1258/1000+ROW()/1000000000</f>
        <v/>
      </c>
      <c r="AF1258" s="35">
        <f>IF(C1258&lt;&gt;"Grayson Coulter","",COUNTIFS($C$5:$C$2991,"Grayson Coulter",$Q$5:$Q$2991,Q1258,$AE$5:$AE$2991,"&lt;="&amp;AE1258,$R$5:$R$2991,"&lt;"&amp;R1258))</f>
        <v/>
      </c>
      <c r="AG1258" s="35">
        <f>IF(OR(C1258&lt;&gt;"Grayson Coulter",G1258&lt;'00_Control'!$B$7),"",--(AF1258&lt;5))</f>
        <v/>
      </c>
      <c r="AH1258" s="35">
        <f>IF(OR(C1258&lt;&gt;"Grayson Coulter",G1258&lt;'00_Control'!$B$7),"",--(AF1258&lt;10))</f>
        <v/>
      </c>
      <c r="AI1258" s="35">
        <f>IF(AND(C1258="Grayson Coulter",G1258&gt;='00_Control'!$B$7),"YES","NO")</f>
        <v/>
      </c>
      <c r="AJ1258" s="33" t="inlineStr">
        <is>
          <t>OK</t>
        </is>
      </c>
    </row>
    <row r="1259">
      <c r="A1259" s="33" t="inlineStr">
        <is>
          <t>SM001255</t>
        </is>
      </c>
      <c r="B1259" s="33" t="inlineStr">
        <is>
          <t>SW008</t>
        </is>
      </c>
      <c r="C1259" s="33" t="inlineStr">
        <is>
          <t>Jacob Whittle</t>
        </is>
      </c>
      <c r="D1259" s="33" t="inlineStr">
        <is>
          <t>SwimCloud</t>
        </is>
      </c>
      <c r="E1259" s="33" t="inlineStr">
        <is>
          <t>1133535</t>
        </is>
      </c>
      <c r="F1259" s="33" t="inlineStr">
        <is>
          <t>34526025</t>
        </is>
      </c>
      <c r="G1259" s="51" t="n">
        <v>43849</v>
      </c>
      <c r="H1259" s="33" t="inlineStr">
        <is>
          <t>Flanders Swimming Cup</t>
        </is>
      </c>
      <c r="I1259" s="33" t="inlineStr">
        <is>
          <t>175608</t>
        </is>
      </c>
      <c r="J1259" s="33" t="inlineStr"/>
      <c r="K1259" s="33" t="inlineStr">
        <is>
          <t>FIN</t>
        </is>
      </c>
      <c r="L1259" s="35">
        <f>IF(K1259="FIN",3,IF(OR(K1259="SEM",K1259="SEMI"),2,IF(OR(K1259="PRE",K1259="HEAT"),1,IF(V1259="YES",4,2))))</f>
        <v/>
      </c>
      <c r="M1259" s="33" t="inlineStr">
        <is>
          <t>LCM</t>
        </is>
      </c>
      <c r="N1259" s="33" t="n">
        <v>100</v>
      </c>
      <c r="O1259" s="33" t="inlineStr">
        <is>
          <t>Free</t>
        </is>
      </c>
      <c r="P1259" s="33" t="inlineStr">
        <is>
          <t>100 Free</t>
        </is>
      </c>
      <c r="Q1259" s="33" t="inlineStr">
        <is>
          <t>LCM_100_FREE</t>
        </is>
      </c>
      <c r="R1259" s="36" t="n">
        <v>50.14</v>
      </c>
      <c r="S1259" s="35">
        <f>IF(R1259="","",IF(R1259&gt;=60,INT(R1259/60)&amp;":"&amp;TEXT(MOD(R1259,60),"00.00"),TEXT(R1259,"0.00")))</f>
        <v/>
      </c>
      <c r="T1259" s="52">
        <f>IFERROR((G1259-INDEX('01_Swimmers'!$E$5:$E$22,MATCH(B1259,'01_Swimmers'!$A$5:$A$22,0)))/'00_Control'!$B$10,"")</f>
        <v/>
      </c>
      <c r="U1259" s="35">
        <f>IF(T1259="","",INT(T1259))</f>
        <v/>
      </c>
      <c r="V1259" s="33" t="inlineStr">
        <is>
          <t>NO</t>
        </is>
      </c>
      <c r="W1259" s="33" t="inlineStr">
        <is>
          <t>YES</t>
        </is>
      </c>
      <c r="X1259" s="33" t="inlineStr">
        <is>
          <t>NO</t>
        </is>
      </c>
      <c r="Y1259" s="33" t="n"/>
      <c r="Z1259" s="33" t="n">
        <v>7</v>
      </c>
      <c r="AA1259" s="33" t="inlineStr">
        <is>
          <t>4</t>
        </is>
      </c>
      <c r="AB1259" s="33" t="inlineStr">
        <is>
          <t>https://www.swimcloud.com/results/175608/event/24/?id=34526025#time34526025</t>
        </is>
      </c>
      <c r="AC1259" s="33" t="inlineStr">
        <is>
          <t>SwimCloud API v6 2026-10-08</t>
        </is>
      </c>
      <c r="AD1259" s="33" t="inlineStr">
        <is>
          <t>Jacob Whittle|2020-01-19|LCM|100|Free|50.14|Flanders Swimming Cup|FIN|False</t>
        </is>
      </c>
      <c r="AE1259" s="53">
        <f>G1259+L1259/1000+ROW()/1000000000</f>
        <v/>
      </c>
      <c r="AF1259" s="35">
        <f>IF(C1259&lt;&gt;"Grayson Coulter","",COUNTIFS($C$5:$C$2991,"Grayson Coulter",$Q$5:$Q$2991,Q1259,$AE$5:$AE$2991,"&lt;="&amp;AE1259,$R$5:$R$2991,"&lt;"&amp;R1259))</f>
        <v/>
      </c>
      <c r="AG1259" s="35">
        <f>IF(OR(C1259&lt;&gt;"Grayson Coulter",G1259&lt;'00_Control'!$B$7),"",--(AF1259&lt;5))</f>
        <v/>
      </c>
      <c r="AH1259" s="35">
        <f>IF(OR(C1259&lt;&gt;"Grayson Coulter",G1259&lt;'00_Control'!$B$7),"",--(AF1259&lt;10))</f>
        <v/>
      </c>
      <c r="AI1259" s="35">
        <f>IF(AND(C1259="Grayson Coulter",G1259&gt;='00_Control'!$B$7),"YES","NO")</f>
        <v/>
      </c>
      <c r="AJ1259" s="33" t="inlineStr">
        <is>
          <t>OK</t>
        </is>
      </c>
    </row>
    <row r="1260">
      <c r="A1260" s="33" t="inlineStr">
        <is>
          <t>SM001256</t>
        </is>
      </c>
      <c r="B1260" s="33" t="inlineStr">
        <is>
          <t>SW008</t>
        </is>
      </c>
      <c r="C1260" s="33" t="inlineStr">
        <is>
          <t>Jacob Whittle</t>
        </is>
      </c>
      <c r="D1260" s="33" t="inlineStr">
        <is>
          <t>SwimCloud</t>
        </is>
      </c>
      <c r="E1260" s="33" t="inlineStr">
        <is>
          <t>1133535</t>
        </is>
      </c>
      <c r="F1260" s="33" t="inlineStr">
        <is>
          <t>65886620</t>
        </is>
      </c>
      <c r="G1260" s="51" t="n">
        <v>44140</v>
      </c>
      <c r="H1260" s="33" t="inlineStr">
        <is>
          <t>International Swim League - Match 8</t>
        </is>
      </c>
      <c r="I1260" s="33" t="inlineStr">
        <is>
          <t>185450</t>
        </is>
      </c>
      <c r="J1260" s="33" t="inlineStr"/>
      <c r="K1260" s="33" t="inlineStr">
        <is>
          <t>FIN</t>
        </is>
      </c>
      <c r="L1260" s="35">
        <f>IF(K1260="FIN",3,IF(OR(K1260="SEM",K1260="SEMI"),2,IF(OR(K1260="PRE",K1260="HEAT"),1,IF(V1260="YES",4,2))))</f>
        <v/>
      </c>
      <c r="M1260" s="33" t="inlineStr">
        <is>
          <t>SCM</t>
        </is>
      </c>
      <c r="N1260" s="33" t="n">
        <v>100</v>
      </c>
      <c r="O1260" s="33" t="inlineStr">
        <is>
          <t>Free</t>
        </is>
      </c>
      <c r="P1260" s="33" t="inlineStr">
        <is>
          <t>100 Free</t>
        </is>
      </c>
      <c r="Q1260" s="33" t="inlineStr">
        <is>
          <t>SCM_100_FREE</t>
        </is>
      </c>
      <c r="R1260" s="36" t="n">
        <v>48.33</v>
      </c>
      <c r="S1260" s="35">
        <f>IF(R1260="","",IF(R1260&gt;=60,INT(R1260/60)&amp;":"&amp;TEXT(MOD(R1260,60),"00.00"),TEXT(R1260,"0.00")))</f>
        <v/>
      </c>
      <c r="T1260" s="52">
        <f>IFERROR((G1260-INDEX('01_Swimmers'!$E$5:$E$22,MATCH(B1260,'01_Swimmers'!$A$5:$A$22,0)))/'00_Control'!$B$10,"")</f>
        <v/>
      </c>
      <c r="U1260" s="35">
        <f>IF(T1260="","",INT(T1260))</f>
        <v/>
      </c>
      <c r="V1260" s="33" t="inlineStr">
        <is>
          <t>YES</t>
        </is>
      </c>
      <c r="W1260" s="33" t="inlineStr">
        <is>
          <t>YES</t>
        </is>
      </c>
      <c r="X1260" s="33" t="inlineStr">
        <is>
          <t>NO</t>
        </is>
      </c>
      <c r="Y1260" s="33" t="n">
        <v>1</v>
      </c>
      <c r="Z1260" s="33" t="n">
        <v>2</v>
      </c>
      <c r="AA1260" s="33" t="inlineStr"/>
      <c r="AB1260" s="33" t="inlineStr">
        <is>
          <t>https://www.swimcloud.com/results/185450/event/14/?id=65886446#time65886446</t>
        </is>
      </c>
      <c r="AC1260" s="33" t="inlineStr">
        <is>
          <t>SwimCloud API v6 2026-10-08</t>
        </is>
      </c>
      <c r="AD1260" s="33" t="inlineStr">
        <is>
          <t>Jacob Whittle|2020-11-05|SCM|100|Free|48.33|International Swim League - Match 8|FIN|True</t>
        </is>
      </c>
      <c r="AE1260" s="53">
        <f>G1260+L1260/1000+ROW()/1000000000</f>
        <v/>
      </c>
      <c r="AF1260" s="35">
        <f>IF(C1260&lt;&gt;"Grayson Coulter","",COUNTIFS($C$5:$C$2991,"Grayson Coulter",$Q$5:$Q$2991,Q1260,$AE$5:$AE$2991,"&lt;="&amp;AE1260,$R$5:$R$2991,"&lt;"&amp;R1260))</f>
        <v/>
      </c>
      <c r="AG1260" s="35">
        <f>IF(OR(C1260&lt;&gt;"Grayson Coulter",G1260&lt;'00_Control'!$B$7),"",--(AF1260&lt;5))</f>
        <v/>
      </c>
      <c r="AH1260" s="35">
        <f>IF(OR(C1260&lt;&gt;"Grayson Coulter",G1260&lt;'00_Control'!$B$7),"",--(AF1260&lt;10))</f>
        <v/>
      </c>
      <c r="AI1260" s="35">
        <f>IF(AND(C1260="Grayson Coulter",G1260&gt;='00_Control'!$B$7),"YES","NO")</f>
        <v/>
      </c>
      <c r="AJ1260" s="33" t="inlineStr">
        <is>
          <t>OK</t>
        </is>
      </c>
    </row>
    <row r="1261">
      <c r="A1261" s="33" t="inlineStr">
        <is>
          <t>SM001257</t>
        </is>
      </c>
      <c r="B1261" s="33" t="inlineStr">
        <is>
          <t>SW008</t>
        </is>
      </c>
      <c r="C1261" s="33" t="inlineStr">
        <is>
          <t>Jacob Whittle</t>
        </is>
      </c>
      <c r="D1261" s="33" t="inlineStr">
        <is>
          <t>SwimCloud</t>
        </is>
      </c>
      <c r="E1261" s="33" t="inlineStr">
        <is>
          <t>1133535</t>
        </is>
      </c>
      <c r="F1261" s="33" t="inlineStr">
        <is>
          <t>65886636</t>
        </is>
      </c>
      <c r="G1261" s="51" t="n">
        <v>44141</v>
      </c>
      <c r="H1261" s="33" t="inlineStr">
        <is>
          <t>International Swim League - Match 8</t>
        </is>
      </c>
      <c r="I1261" s="33" t="inlineStr">
        <is>
          <t>185450</t>
        </is>
      </c>
      <c r="J1261" s="33" t="inlineStr"/>
      <c r="K1261" s="33" t="inlineStr">
        <is>
          <t>FIN</t>
        </is>
      </c>
      <c r="L1261" s="35">
        <f>IF(K1261="FIN",3,IF(OR(K1261="SEM",K1261="SEMI"),2,IF(OR(K1261="PRE",K1261="HEAT"),1,IF(V1261="YES",4,2))))</f>
        <v/>
      </c>
      <c r="M1261" s="33" t="inlineStr">
        <is>
          <t>SCM</t>
        </is>
      </c>
      <c r="N1261" s="33" t="n">
        <v>100</v>
      </c>
      <c r="O1261" s="33" t="inlineStr">
        <is>
          <t>Free</t>
        </is>
      </c>
      <c r="P1261" s="33" t="inlineStr">
        <is>
          <t>100 Free</t>
        </is>
      </c>
      <c r="Q1261" s="33" t="inlineStr">
        <is>
          <t>SCM_100_FREE</t>
        </is>
      </c>
      <c r="R1261" s="36" t="n">
        <v>47.74</v>
      </c>
      <c r="S1261" s="35">
        <f>IF(R1261="","",IF(R1261&gt;=60,INT(R1261/60)&amp;":"&amp;TEXT(MOD(R1261,60),"00.00"),TEXT(R1261,"0.00")))</f>
        <v/>
      </c>
      <c r="T1261" s="52">
        <f>IFERROR((G1261-INDEX('01_Swimmers'!$E$5:$E$22,MATCH(B1261,'01_Swimmers'!$A$5:$A$22,0)))/'00_Control'!$B$10,"")</f>
        <v/>
      </c>
      <c r="U1261" s="35">
        <f>IF(T1261="","",INT(T1261))</f>
        <v/>
      </c>
      <c r="V1261" s="33" t="inlineStr">
        <is>
          <t>YES</t>
        </is>
      </c>
      <c r="W1261" s="33" t="inlineStr">
        <is>
          <t>YES</t>
        </is>
      </c>
      <c r="X1261" s="33" t="inlineStr">
        <is>
          <t>NO</t>
        </is>
      </c>
      <c r="Y1261" s="33" t="n">
        <v>1</v>
      </c>
      <c r="Z1261" s="33" t="n">
        <v>8</v>
      </c>
      <c r="AA1261" s="33" t="inlineStr"/>
      <c r="AB1261" s="33" t="inlineStr">
        <is>
          <t>https://www.swimcloud.com/results/185450/event/35/?id=65886450#time65886450</t>
        </is>
      </c>
      <c r="AC1261" s="33" t="inlineStr">
        <is>
          <t>SwimCloud API v6 2026-10-08</t>
        </is>
      </c>
      <c r="AD1261" s="33" t="inlineStr">
        <is>
          <t>Jacob Whittle|2020-11-06|SCM|100|Free|47.74|International Swim League - Match 8|FIN|True</t>
        </is>
      </c>
      <c r="AE1261" s="53">
        <f>G1261+L1261/1000+ROW()/1000000000</f>
        <v/>
      </c>
      <c r="AF1261" s="35">
        <f>IF(C1261&lt;&gt;"Grayson Coulter","",COUNTIFS($C$5:$C$2991,"Grayson Coulter",$Q$5:$Q$2991,Q1261,$AE$5:$AE$2991,"&lt;="&amp;AE1261,$R$5:$R$2991,"&lt;"&amp;R1261))</f>
        <v/>
      </c>
      <c r="AG1261" s="35">
        <f>IF(OR(C1261&lt;&gt;"Grayson Coulter",G1261&lt;'00_Control'!$B$7),"",--(AF1261&lt;5))</f>
        <v/>
      </c>
      <c r="AH1261" s="35">
        <f>IF(OR(C1261&lt;&gt;"Grayson Coulter",G1261&lt;'00_Control'!$B$7),"",--(AF1261&lt;10))</f>
        <v/>
      </c>
      <c r="AI1261" s="35">
        <f>IF(AND(C1261="Grayson Coulter",G1261&gt;='00_Control'!$B$7),"YES","NO")</f>
        <v/>
      </c>
      <c r="AJ1261" s="33" t="inlineStr">
        <is>
          <t>OK</t>
        </is>
      </c>
    </row>
    <row r="1262">
      <c r="A1262" s="33" t="inlineStr">
        <is>
          <t>SM001258</t>
        </is>
      </c>
      <c r="B1262" s="33" t="inlineStr">
        <is>
          <t>SW008</t>
        </is>
      </c>
      <c r="C1262" s="33" t="inlineStr">
        <is>
          <t>Jacob Whittle</t>
        </is>
      </c>
      <c r="D1262" s="33" t="inlineStr">
        <is>
          <t>SwimCloud</t>
        </is>
      </c>
      <c r="E1262" s="33" t="inlineStr">
        <is>
          <t>1133535</t>
        </is>
      </c>
      <c r="F1262" s="33" t="inlineStr">
        <is>
          <t>65685008</t>
        </is>
      </c>
      <c r="G1262" s="51" t="n">
        <v>44149</v>
      </c>
      <c r="H1262" s="33" t="inlineStr">
        <is>
          <t>International Swim League - Semi-Final</t>
        </is>
      </c>
      <c r="I1262" s="33" t="inlineStr">
        <is>
          <t>185454</t>
        </is>
      </c>
      <c r="J1262" s="33" t="inlineStr"/>
      <c r="K1262" s="33" t="inlineStr">
        <is>
          <t>FIN</t>
        </is>
      </c>
      <c r="L1262" s="35">
        <f>IF(K1262="FIN",3,IF(OR(K1262="SEM",K1262="SEMI"),2,IF(OR(K1262="PRE",K1262="HEAT"),1,IF(V1262="YES",4,2))))</f>
        <v/>
      </c>
      <c r="M1262" s="33" t="inlineStr">
        <is>
          <t>SCM</t>
        </is>
      </c>
      <c r="N1262" s="33" t="n">
        <v>100</v>
      </c>
      <c r="O1262" s="33" t="inlineStr">
        <is>
          <t>Free</t>
        </is>
      </c>
      <c r="P1262" s="33" t="inlineStr">
        <is>
          <t>100 Free</t>
        </is>
      </c>
      <c r="Q1262" s="33" t="inlineStr">
        <is>
          <t>SCM_100_FREE</t>
        </is>
      </c>
      <c r="R1262" s="36" t="n">
        <v>47.58</v>
      </c>
      <c r="S1262" s="35">
        <f>IF(R1262="","",IF(R1262&gt;=60,INT(R1262/60)&amp;":"&amp;TEXT(MOD(R1262,60),"00.00"),TEXT(R1262,"0.00")))</f>
        <v/>
      </c>
      <c r="T1262" s="52">
        <f>IFERROR((G1262-INDEX('01_Swimmers'!$E$5:$E$22,MATCH(B1262,'01_Swimmers'!$A$5:$A$22,0)))/'00_Control'!$B$10,"")</f>
        <v/>
      </c>
      <c r="U1262" s="35">
        <f>IF(T1262="","",INT(T1262))</f>
        <v/>
      </c>
      <c r="V1262" s="33" t="inlineStr">
        <is>
          <t>YES</t>
        </is>
      </c>
      <c r="W1262" s="33" t="inlineStr">
        <is>
          <t>YES</t>
        </is>
      </c>
      <c r="X1262" s="33" t="inlineStr">
        <is>
          <t>NO</t>
        </is>
      </c>
      <c r="Y1262" s="33" t="n">
        <v>1</v>
      </c>
      <c r="Z1262" s="33" t="n">
        <v>8</v>
      </c>
      <c r="AA1262" s="33" t="inlineStr"/>
      <c r="AB1262" s="33" t="inlineStr">
        <is>
          <t>https://www.swimcloud.com/results/185454/event/14/?id=65684837#time65684837</t>
        </is>
      </c>
      <c r="AC1262" s="33" t="inlineStr">
        <is>
          <t>SwimCloud API v6 2026-10-08</t>
        </is>
      </c>
      <c r="AD1262" s="33" t="inlineStr">
        <is>
          <t>Jacob Whittle|2020-11-14|SCM|100|Free|47.58|International Swim League - Semi-Final|FIN|True</t>
        </is>
      </c>
      <c r="AE1262" s="53">
        <f>G1262+L1262/1000+ROW()/1000000000</f>
        <v/>
      </c>
      <c r="AF1262" s="35">
        <f>IF(C1262&lt;&gt;"Grayson Coulter","",COUNTIFS($C$5:$C$2991,"Grayson Coulter",$Q$5:$Q$2991,Q1262,$AE$5:$AE$2991,"&lt;="&amp;AE1262,$R$5:$R$2991,"&lt;"&amp;R1262))</f>
        <v/>
      </c>
      <c r="AG1262" s="35">
        <f>IF(OR(C1262&lt;&gt;"Grayson Coulter",G1262&lt;'00_Control'!$B$7),"",--(AF1262&lt;5))</f>
        <v/>
      </c>
      <c r="AH1262" s="35">
        <f>IF(OR(C1262&lt;&gt;"Grayson Coulter",G1262&lt;'00_Control'!$B$7),"",--(AF1262&lt;10))</f>
        <v/>
      </c>
      <c r="AI1262" s="35">
        <f>IF(AND(C1262="Grayson Coulter",G1262&gt;='00_Control'!$B$7),"YES","NO")</f>
        <v/>
      </c>
      <c r="AJ1262" s="33" t="inlineStr">
        <is>
          <t>OK</t>
        </is>
      </c>
    </row>
    <row r="1263">
      <c r="A1263" s="33" t="inlineStr">
        <is>
          <t>SM001259</t>
        </is>
      </c>
      <c r="B1263" s="33" t="inlineStr">
        <is>
          <t>SW008</t>
        </is>
      </c>
      <c r="C1263" s="33" t="inlineStr">
        <is>
          <t>Jacob Whittle</t>
        </is>
      </c>
      <c r="D1263" s="33" t="inlineStr">
        <is>
          <t>SwimCloud</t>
        </is>
      </c>
      <c r="E1263" s="33" t="inlineStr">
        <is>
          <t>1133535</t>
        </is>
      </c>
      <c r="F1263" s="33" t="inlineStr">
        <is>
          <t>65685024</t>
        </is>
      </c>
      <c r="G1263" s="51" t="n">
        <v>44150</v>
      </c>
      <c r="H1263" s="33" t="inlineStr">
        <is>
          <t>International Swim League - Semi-Final</t>
        </is>
      </c>
      <c r="I1263" s="33" t="inlineStr">
        <is>
          <t>185454</t>
        </is>
      </c>
      <c r="J1263" s="33" t="inlineStr"/>
      <c r="K1263" s="33" t="inlineStr">
        <is>
          <t>FIN</t>
        </is>
      </c>
      <c r="L1263" s="35">
        <f>IF(K1263="FIN",3,IF(OR(K1263="SEM",K1263="SEMI"),2,IF(OR(K1263="PRE",K1263="HEAT"),1,IF(V1263="YES",4,2))))</f>
        <v/>
      </c>
      <c r="M1263" s="33" t="inlineStr">
        <is>
          <t>SCM</t>
        </is>
      </c>
      <c r="N1263" s="33" t="n">
        <v>100</v>
      </c>
      <c r="O1263" s="33" t="inlineStr">
        <is>
          <t>Free</t>
        </is>
      </c>
      <c r="P1263" s="33" t="inlineStr">
        <is>
          <t>100 Free</t>
        </is>
      </c>
      <c r="Q1263" s="33" t="inlineStr">
        <is>
          <t>SCM_100_FREE</t>
        </is>
      </c>
      <c r="R1263" s="36" t="n">
        <v>47.75</v>
      </c>
      <c r="S1263" s="35">
        <f>IF(R1263="","",IF(R1263&gt;=60,INT(R1263/60)&amp;":"&amp;TEXT(MOD(R1263,60),"00.00"),TEXT(R1263,"0.00")))</f>
        <v/>
      </c>
      <c r="T1263" s="52">
        <f>IFERROR((G1263-INDEX('01_Swimmers'!$E$5:$E$22,MATCH(B1263,'01_Swimmers'!$A$5:$A$22,0)))/'00_Control'!$B$10,"")</f>
        <v/>
      </c>
      <c r="U1263" s="35">
        <f>IF(T1263="","",INT(T1263))</f>
        <v/>
      </c>
      <c r="V1263" s="33" t="inlineStr">
        <is>
          <t>YES</t>
        </is>
      </c>
      <c r="W1263" s="33" t="inlineStr">
        <is>
          <t>YES</t>
        </is>
      </c>
      <c r="X1263" s="33" t="inlineStr">
        <is>
          <t>NO</t>
        </is>
      </c>
      <c r="Y1263" s="33" t="n">
        <v>1</v>
      </c>
      <c r="Z1263" s="33" t="n">
        <v>8</v>
      </c>
      <c r="AA1263" s="33" t="inlineStr"/>
      <c r="AB1263" s="33" t="inlineStr">
        <is>
          <t>https://www.swimcloud.com/results/185454/event/35/?id=65684841#time65684841</t>
        </is>
      </c>
      <c r="AC1263" s="33" t="inlineStr">
        <is>
          <t>SwimCloud API v6 2026-10-08</t>
        </is>
      </c>
      <c r="AD1263" s="33" t="inlineStr">
        <is>
          <t>Jacob Whittle|2020-11-15|SCM|100|Free|47.75|International Swim League - Semi-Final|FIN|True</t>
        </is>
      </c>
      <c r="AE1263" s="53">
        <f>G1263+L1263/1000+ROW()/1000000000</f>
        <v/>
      </c>
      <c r="AF1263" s="35">
        <f>IF(C1263&lt;&gt;"Grayson Coulter","",COUNTIFS($C$5:$C$2991,"Grayson Coulter",$Q$5:$Q$2991,Q1263,$AE$5:$AE$2991,"&lt;="&amp;AE1263,$R$5:$R$2991,"&lt;"&amp;R1263))</f>
        <v/>
      </c>
      <c r="AG1263" s="35">
        <f>IF(OR(C1263&lt;&gt;"Grayson Coulter",G1263&lt;'00_Control'!$B$7),"",--(AF1263&lt;5))</f>
        <v/>
      </c>
      <c r="AH1263" s="35">
        <f>IF(OR(C1263&lt;&gt;"Grayson Coulter",G1263&lt;'00_Control'!$B$7),"",--(AF1263&lt;10))</f>
        <v/>
      </c>
      <c r="AI1263" s="35">
        <f>IF(AND(C1263="Grayson Coulter",G1263&gt;='00_Control'!$B$7),"YES","NO")</f>
        <v/>
      </c>
      <c r="AJ1263" s="33" t="inlineStr">
        <is>
          <t>OK</t>
        </is>
      </c>
    </row>
    <row r="1264">
      <c r="A1264" s="33" t="inlineStr">
        <is>
          <t>SM001260</t>
        </is>
      </c>
      <c r="B1264" s="33" t="inlineStr">
        <is>
          <t>SW008</t>
        </is>
      </c>
      <c r="C1264" s="33" t="inlineStr">
        <is>
          <t>Jacob Whittle</t>
        </is>
      </c>
      <c r="D1264" s="33" t="inlineStr">
        <is>
          <t>SwimCloud</t>
        </is>
      </c>
      <c r="E1264" s="33" t="inlineStr">
        <is>
          <t>1133535</t>
        </is>
      </c>
      <c r="F1264" s="33" t="inlineStr">
        <is>
          <t>41865464</t>
        </is>
      </c>
      <c r="G1264" s="51" t="n">
        <v>44300</v>
      </c>
      <c r="H1264" s="33" t="inlineStr">
        <is>
          <t>British Swimming Selection Trials</t>
        </is>
      </c>
      <c r="I1264" s="33" t="inlineStr">
        <is>
          <t>197317</t>
        </is>
      </c>
      <c r="J1264" s="33" t="inlineStr"/>
      <c r="K1264" s="33" t="inlineStr">
        <is>
          <t>TIM</t>
        </is>
      </c>
      <c r="L1264" s="35">
        <f>IF(K1264="FIN",3,IF(OR(K1264="SEM",K1264="SEMI"),2,IF(OR(K1264="PRE",K1264="HEAT"),1,IF(V1264="YES",4,2))))</f>
        <v/>
      </c>
      <c r="M1264" s="33" t="inlineStr">
        <is>
          <t>LCM</t>
        </is>
      </c>
      <c r="N1264" s="33" t="n">
        <v>100</v>
      </c>
      <c r="O1264" s="33" t="inlineStr">
        <is>
          <t>Free</t>
        </is>
      </c>
      <c r="P1264" s="33" t="inlineStr">
        <is>
          <t>100 Free</t>
        </is>
      </c>
      <c r="Q1264" s="33" t="inlineStr">
        <is>
          <t>LCM_100_FREE</t>
        </is>
      </c>
      <c r="R1264" s="36" t="n">
        <v>48.76</v>
      </c>
      <c r="S1264" s="35">
        <f>IF(R1264="","",IF(R1264&gt;=60,INT(R1264/60)&amp;":"&amp;TEXT(MOD(R1264,60),"00.00"),TEXT(R1264,"0.00")))</f>
        <v/>
      </c>
      <c r="T1264" s="52">
        <f>IFERROR((G1264-INDEX('01_Swimmers'!$E$5:$E$22,MATCH(B1264,'01_Swimmers'!$A$5:$A$22,0)))/'00_Control'!$B$10,"")</f>
        <v/>
      </c>
      <c r="U1264" s="35">
        <f>IF(T1264="","",INT(T1264))</f>
        <v/>
      </c>
      <c r="V1264" s="33" t="inlineStr">
        <is>
          <t>NO</t>
        </is>
      </c>
      <c r="W1264" s="33" t="inlineStr">
        <is>
          <t>YES</t>
        </is>
      </c>
      <c r="X1264" s="33" t="inlineStr">
        <is>
          <t>NO</t>
        </is>
      </c>
      <c r="Y1264" s="33" t="n"/>
      <c r="Z1264" s="33" t="n"/>
      <c r="AA1264" s="33" t="inlineStr">
        <is>
          <t>4</t>
        </is>
      </c>
      <c r="AB1264" s="33" t="inlineStr">
        <is>
          <t>https://www.swimcloud.com/results/197317/event/4/?id=41865464#time41865464</t>
        </is>
      </c>
      <c r="AC1264" s="33" t="inlineStr">
        <is>
          <t>SwimCloud API v6 2026-10-08</t>
        </is>
      </c>
      <c r="AD1264" s="33" t="inlineStr">
        <is>
          <t>Jacob Whittle|2021-04-14|LCM|100|Free|48.76|British Swimming Selection Trials|TIM|False</t>
        </is>
      </c>
      <c r="AE1264" s="53">
        <f>G1264+L1264/1000+ROW()/1000000000</f>
        <v/>
      </c>
      <c r="AF1264" s="35">
        <f>IF(C1264&lt;&gt;"Grayson Coulter","",COUNTIFS($C$5:$C$2991,"Grayson Coulter",$Q$5:$Q$2991,Q1264,$AE$5:$AE$2991,"&lt;="&amp;AE1264,$R$5:$R$2991,"&lt;"&amp;R1264))</f>
        <v/>
      </c>
      <c r="AG1264" s="35">
        <f>IF(OR(C1264&lt;&gt;"Grayson Coulter",G1264&lt;'00_Control'!$B$7),"",--(AF1264&lt;5))</f>
        <v/>
      </c>
      <c r="AH1264" s="35">
        <f>IF(OR(C1264&lt;&gt;"Grayson Coulter",G1264&lt;'00_Control'!$B$7),"",--(AF1264&lt;10))</f>
        <v/>
      </c>
      <c r="AI1264" s="35">
        <f>IF(AND(C1264="Grayson Coulter",G1264&gt;='00_Control'!$B$7),"YES","NO")</f>
        <v/>
      </c>
      <c r="AJ1264" s="33" t="inlineStr">
        <is>
          <t>OK</t>
        </is>
      </c>
    </row>
    <row r="1265">
      <c r="A1265" s="33" t="inlineStr">
        <is>
          <t>SM001261</t>
        </is>
      </c>
      <c r="B1265" s="33" t="inlineStr">
        <is>
          <t>SW008</t>
        </is>
      </c>
      <c r="C1265" s="33" t="inlineStr">
        <is>
          <t>Jacob Whittle</t>
        </is>
      </c>
      <c r="D1265" s="33" t="inlineStr">
        <is>
          <t>SwimCloud</t>
        </is>
      </c>
      <c r="E1265" s="33" t="inlineStr">
        <is>
          <t>1133535</t>
        </is>
      </c>
      <c r="F1265" s="33" t="inlineStr">
        <is>
          <t>41865469</t>
        </is>
      </c>
      <c r="G1265" s="51" t="n">
        <v>44300</v>
      </c>
      <c r="H1265" s="33" t="inlineStr">
        <is>
          <t>British Swimming Selection Trials</t>
        </is>
      </c>
      <c r="I1265" s="33" t="inlineStr">
        <is>
          <t>197317</t>
        </is>
      </c>
      <c r="J1265" s="33" t="inlineStr"/>
      <c r="K1265" s="33" t="inlineStr">
        <is>
          <t>TIM</t>
        </is>
      </c>
      <c r="L1265" s="35">
        <f>IF(K1265="FIN",3,IF(OR(K1265="SEM",K1265="SEMI"),2,IF(OR(K1265="PRE",K1265="HEAT"),1,IF(V1265="YES",4,2))))</f>
        <v/>
      </c>
      <c r="M1265" s="33" t="inlineStr">
        <is>
          <t>LCM</t>
        </is>
      </c>
      <c r="N1265" s="33" t="n">
        <v>200</v>
      </c>
      <c r="O1265" s="33" t="inlineStr">
        <is>
          <t>Free</t>
        </is>
      </c>
      <c r="P1265" s="33" t="inlineStr">
        <is>
          <t>200 Free</t>
        </is>
      </c>
      <c r="Q1265" s="33" t="inlineStr">
        <is>
          <t>LCM_200_FREE</t>
        </is>
      </c>
      <c r="R1265" s="36" t="n">
        <v>109.12</v>
      </c>
      <c r="S1265" s="35">
        <f>IF(R1265="","",IF(R1265&gt;=60,INT(R1265/60)&amp;":"&amp;TEXT(MOD(R1265,60),"00.00"),TEXT(R1265,"0.00")))</f>
        <v/>
      </c>
      <c r="T1265" s="52">
        <f>IFERROR((G1265-INDEX('01_Swimmers'!$E$5:$E$22,MATCH(B1265,'01_Swimmers'!$A$5:$A$22,0)))/'00_Control'!$B$10,"")</f>
        <v/>
      </c>
      <c r="U1265" s="35">
        <f>IF(T1265="","",INT(T1265))</f>
        <v/>
      </c>
      <c r="V1265" s="33" t="inlineStr">
        <is>
          <t>NO</t>
        </is>
      </c>
      <c r="W1265" s="33" t="inlineStr">
        <is>
          <t>YES</t>
        </is>
      </c>
      <c r="X1265" s="33" t="inlineStr">
        <is>
          <t>NO</t>
        </is>
      </c>
      <c r="Y1265" s="33" t="n"/>
      <c r="Z1265" s="33" t="n"/>
      <c r="AA1265" s="33" t="inlineStr">
        <is>
          <t>9</t>
        </is>
      </c>
      <c r="AB1265" s="33" t="inlineStr">
        <is>
          <t>https://www.swimcloud.com/results/197317/event/6/?id=41865469#time41865469</t>
        </is>
      </c>
      <c r="AC1265" s="33" t="inlineStr">
        <is>
          <t>SwimCloud API v6 2026-10-08</t>
        </is>
      </c>
      <c r="AD1265" s="33" t="inlineStr">
        <is>
          <t>Jacob Whittle|2021-04-14|LCM|200|Free|109.12|British Swimming Selection Trials|TIM|False</t>
        </is>
      </c>
      <c r="AE1265" s="53">
        <f>G1265+L1265/1000+ROW()/1000000000</f>
        <v/>
      </c>
      <c r="AF1265" s="35">
        <f>IF(C1265&lt;&gt;"Grayson Coulter","",COUNTIFS($C$5:$C$2991,"Grayson Coulter",$Q$5:$Q$2991,Q1265,$AE$5:$AE$2991,"&lt;="&amp;AE1265,$R$5:$R$2991,"&lt;"&amp;R1265))</f>
        <v/>
      </c>
      <c r="AG1265" s="35">
        <f>IF(OR(C1265&lt;&gt;"Grayson Coulter",G1265&lt;'00_Control'!$B$7),"",--(AF1265&lt;5))</f>
        <v/>
      </c>
      <c r="AH1265" s="35">
        <f>IF(OR(C1265&lt;&gt;"Grayson Coulter",G1265&lt;'00_Control'!$B$7),"",--(AF1265&lt;10))</f>
        <v/>
      </c>
      <c r="AI1265" s="35">
        <f>IF(AND(C1265="Grayson Coulter",G1265&gt;='00_Control'!$B$7),"YES","NO")</f>
        <v/>
      </c>
      <c r="AJ1265" s="33" t="inlineStr">
        <is>
          <t>OK</t>
        </is>
      </c>
    </row>
    <row r="1266">
      <c r="A1266" s="33" t="inlineStr">
        <is>
          <t>SM001262</t>
        </is>
      </c>
      <c r="B1266" s="33" t="inlineStr">
        <is>
          <t>SW008</t>
        </is>
      </c>
      <c r="C1266" s="33" t="inlineStr">
        <is>
          <t>Jacob Whittle</t>
        </is>
      </c>
      <c r="D1266" s="33" t="inlineStr">
        <is>
          <t>SwimCloud</t>
        </is>
      </c>
      <c r="E1266" s="33" t="inlineStr">
        <is>
          <t>1133535</t>
        </is>
      </c>
      <c r="F1266" s="33" t="inlineStr">
        <is>
          <t>41862026</t>
        </is>
      </c>
      <c r="G1266" s="51" t="n">
        <v>44334</v>
      </c>
      <c r="H1266" s="33" t="inlineStr">
        <is>
          <t>LEN European Aquatics Championships</t>
        </is>
      </c>
      <c r="I1266" s="33" t="inlineStr">
        <is>
          <t>198640</t>
        </is>
      </c>
      <c r="J1266" s="33" t="inlineStr"/>
      <c r="K1266" s="33" t="inlineStr">
        <is>
          <t>PRE</t>
        </is>
      </c>
      <c r="L1266" s="35">
        <f>IF(K1266="FIN",3,IF(OR(K1266="SEM",K1266="SEMI"),2,IF(OR(K1266="PRE",K1266="HEAT"),1,IF(V1266="YES",4,2))))</f>
        <v/>
      </c>
      <c r="M1266" s="33" t="inlineStr">
        <is>
          <t>LCM</t>
        </is>
      </c>
      <c r="N1266" s="33" t="n">
        <v>100</v>
      </c>
      <c r="O1266" s="33" t="inlineStr">
        <is>
          <t>Free</t>
        </is>
      </c>
      <c r="P1266" s="33" t="inlineStr">
        <is>
          <t>100 Free</t>
        </is>
      </c>
      <c r="Q1266" s="33" t="inlineStr">
        <is>
          <t>LCM_100_FREE</t>
        </is>
      </c>
      <c r="R1266" s="36" t="n">
        <v>48.78</v>
      </c>
      <c r="S1266" s="35">
        <f>IF(R1266="","",IF(R1266&gt;=60,INT(R1266/60)&amp;":"&amp;TEXT(MOD(R1266,60),"00.00"),TEXT(R1266,"0.00")))</f>
        <v/>
      </c>
      <c r="T1266" s="52">
        <f>IFERROR((G1266-INDEX('01_Swimmers'!$E$5:$E$22,MATCH(B1266,'01_Swimmers'!$A$5:$A$22,0)))/'00_Control'!$B$10,"")</f>
        <v/>
      </c>
      <c r="U1266" s="35">
        <f>IF(T1266="","",INT(T1266))</f>
        <v/>
      </c>
      <c r="V1266" s="33" t="inlineStr">
        <is>
          <t>NO</t>
        </is>
      </c>
      <c r="W1266" s="33" t="inlineStr">
        <is>
          <t>YES</t>
        </is>
      </c>
      <c r="X1266" s="33" t="inlineStr">
        <is>
          <t>NO</t>
        </is>
      </c>
      <c r="Y1266" s="33" t="n">
        <v>9</v>
      </c>
      <c r="Z1266" s="33" t="n">
        <v>1</v>
      </c>
      <c r="AA1266" s="33" t="inlineStr">
        <is>
          <t>17</t>
        </is>
      </c>
      <c r="AB1266" s="33" t="inlineStr">
        <is>
          <t>https://www.swimcloud.com/results/198640/event/10/?id=41862026#time41862026</t>
        </is>
      </c>
      <c r="AC1266" s="33" t="inlineStr">
        <is>
          <t>SwimCloud API v6 2026-10-08</t>
        </is>
      </c>
      <c r="AD1266" s="33" t="inlineStr">
        <is>
          <t>Jacob Whittle|2021-05-18|LCM|100|Free|48.78|LEN European Aquatics Championships|PRE|False</t>
        </is>
      </c>
      <c r="AE1266" s="53">
        <f>G1266+L1266/1000+ROW()/1000000000</f>
        <v/>
      </c>
      <c r="AF1266" s="35">
        <f>IF(C1266&lt;&gt;"Grayson Coulter","",COUNTIFS($C$5:$C$2991,"Grayson Coulter",$Q$5:$Q$2991,Q1266,$AE$5:$AE$2991,"&lt;="&amp;AE1266,$R$5:$R$2991,"&lt;"&amp;R1266))</f>
        <v/>
      </c>
      <c r="AG1266" s="35">
        <f>IF(OR(C1266&lt;&gt;"Grayson Coulter",G1266&lt;'00_Control'!$B$7),"",--(AF1266&lt;5))</f>
        <v/>
      </c>
      <c r="AH1266" s="35">
        <f>IF(OR(C1266&lt;&gt;"Grayson Coulter",G1266&lt;'00_Control'!$B$7),"",--(AF1266&lt;10))</f>
        <v/>
      </c>
      <c r="AI1266" s="35">
        <f>IF(AND(C1266="Grayson Coulter",G1266&gt;='00_Control'!$B$7),"YES","NO")</f>
        <v/>
      </c>
      <c r="AJ1266" s="33" t="inlineStr">
        <is>
          <t>OK</t>
        </is>
      </c>
    </row>
    <row r="1267">
      <c r="A1267" s="33" t="inlineStr">
        <is>
          <t>SM001263</t>
        </is>
      </c>
      <c r="B1267" s="33" t="inlineStr">
        <is>
          <t>SW008</t>
        </is>
      </c>
      <c r="C1267" s="33" t="inlineStr">
        <is>
          <t>Jacob Whittle</t>
        </is>
      </c>
      <c r="D1267" s="33" t="inlineStr">
        <is>
          <t>SwimCloud</t>
        </is>
      </c>
      <c r="E1267" s="33" t="inlineStr">
        <is>
          <t>1133535</t>
        </is>
      </c>
      <c r="F1267" s="33" t="inlineStr">
        <is>
          <t>123023942</t>
        </is>
      </c>
      <c r="G1267" s="51" t="n">
        <v>44351</v>
      </c>
      <c r="H1267" s="33" t="inlineStr">
        <is>
          <t>British Swimming Glasgow Open</t>
        </is>
      </c>
      <c r="I1267" s="33" t="inlineStr">
        <is>
          <t>300608</t>
        </is>
      </c>
      <c r="J1267" s="33" t="inlineStr"/>
      <c r="K1267" s="33" t="inlineStr">
        <is>
          <t>PRE</t>
        </is>
      </c>
      <c r="L1267" s="35">
        <f>IF(K1267="FIN",3,IF(OR(K1267="SEM",K1267="SEMI"),2,IF(OR(K1267="PRE",K1267="HEAT"),1,IF(V1267="YES",4,2))))</f>
        <v/>
      </c>
      <c r="M1267" s="33" t="inlineStr">
        <is>
          <t>LCM</t>
        </is>
      </c>
      <c r="N1267" s="33" t="n">
        <v>200</v>
      </c>
      <c r="O1267" s="33" t="inlineStr">
        <is>
          <t>Free</t>
        </is>
      </c>
      <c r="P1267" s="33" t="inlineStr">
        <is>
          <t>200 Free</t>
        </is>
      </c>
      <c r="Q1267" s="33" t="inlineStr">
        <is>
          <t>LCM_200_FREE</t>
        </is>
      </c>
      <c r="R1267" s="36" t="n">
        <v>108.86</v>
      </c>
      <c r="S1267" s="35">
        <f>IF(R1267="","",IF(R1267&gt;=60,INT(R1267/60)&amp;":"&amp;TEXT(MOD(R1267,60),"00.00"),TEXT(R1267,"0.00")))</f>
        <v/>
      </c>
      <c r="T1267" s="52">
        <f>IFERROR((G1267-INDEX('01_Swimmers'!$E$5:$E$22,MATCH(B1267,'01_Swimmers'!$A$5:$A$22,0)))/'00_Control'!$B$10,"")</f>
        <v/>
      </c>
      <c r="U1267" s="35">
        <f>IF(T1267="","",INT(T1267))</f>
        <v/>
      </c>
      <c r="V1267" s="33" t="inlineStr">
        <is>
          <t>NO</t>
        </is>
      </c>
      <c r="W1267" s="33" t="inlineStr">
        <is>
          <t>YES</t>
        </is>
      </c>
      <c r="X1267" s="33" t="inlineStr">
        <is>
          <t>NO</t>
        </is>
      </c>
      <c r="Y1267" s="33" t="n">
        <v>4</v>
      </c>
      <c r="Z1267" s="33" t="n">
        <v>7</v>
      </c>
      <c r="AA1267" s="33" t="inlineStr">
        <is>
          <t>7</t>
        </is>
      </c>
      <c r="AB1267" s="33" t="inlineStr">
        <is>
          <t>https://www.swimcloud.com/results/300608/event/208/?id=123023942#time123023942</t>
        </is>
      </c>
      <c r="AC1267" s="33" t="inlineStr">
        <is>
          <t>SwimCloud API v6 2026-10-08</t>
        </is>
      </c>
      <c r="AD1267" s="33" t="inlineStr">
        <is>
          <t>Jacob Whittle|2021-06-04|LCM|200|Free|108.86|British Swimming Glasgow Open|PRE|False</t>
        </is>
      </c>
      <c r="AE1267" s="53">
        <f>G1267+L1267/1000+ROW()/1000000000</f>
        <v/>
      </c>
      <c r="AF1267" s="35">
        <f>IF(C1267&lt;&gt;"Grayson Coulter","",COUNTIFS($C$5:$C$2991,"Grayson Coulter",$Q$5:$Q$2991,Q1267,$AE$5:$AE$2991,"&lt;="&amp;AE1267,$R$5:$R$2991,"&lt;"&amp;R1267))</f>
        <v/>
      </c>
      <c r="AG1267" s="35">
        <f>IF(OR(C1267&lt;&gt;"Grayson Coulter",G1267&lt;'00_Control'!$B$7),"",--(AF1267&lt;5))</f>
        <v/>
      </c>
      <c r="AH1267" s="35">
        <f>IF(OR(C1267&lt;&gt;"Grayson Coulter",G1267&lt;'00_Control'!$B$7),"",--(AF1267&lt;10))</f>
        <v/>
      </c>
      <c r="AI1267" s="35">
        <f>IF(AND(C1267="Grayson Coulter",G1267&gt;='00_Control'!$B$7),"YES","NO")</f>
        <v/>
      </c>
      <c r="AJ1267" s="33" t="inlineStr">
        <is>
          <t>OK</t>
        </is>
      </c>
    </row>
    <row r="1268">
      <c r="A1268" s="33" t="inlineStr">
        <is>
          <t>SM001264</t>
        </is>
      </c>
      <c r="B1268" s="33" t="inlineStr">
        <is>
          <t>SW008</t>
        </is>
      </c>
      <c r="C1268" s="33" t="inlineStr">
        <is>
          <t>Jacob Whittle</t>
        </is>
      </c>
      <c r="D1268" s="33" t="inlineStr">
        <is>
          <t>SwimCloud</t>
        </is>
      </c>
      <c r="E1268" s="33" t="inlineStr">
        <is>
          <t>1133535</t>
        </is>
      </c>
      <c r="F1268" s="33" t="inlineStr">
        <is>
          <t>123023943</t>
        </is>
      </c>
      <c r="G1268" s="51" t="n">
        <v>44351</v>
      </c>
      <c r="H1268" s="33" t="inlineStr">
        <is>
          <t>British Swimming Glasgow Open</t>
        </is>
      </c>
      <c r="I1268" s="33" t="inlineStr">
        <is>
          <t>300608</t>
        </is>
      </c>
      <c r="J1268" s="33" t="inlineStr"/>
      <c r="K1268" s="33" t="inlineStr">
        <is>
          <t>FIN</t>
        </is>
      </c>
      <c r="L1268" s="35">
        <f>IF(K1268="FIN",3,IF(OR(K1268="SEM",K1268="SEMI"),2,IF(OR(K1268="PRE",K1268="HEAT"),1,IF(V1268="YES",4,2))))</f>
        <v/>
      </c>
      <c r="M1268" s="33" t="inlineStr">
        <is>
          <t>LCM</t>
        </is>
      </c>
      <c r="N1268" s="33" t="n">
        <v>200</v>
      </c>
      <c r="O1268" s="33" t="inlineStr">
        <is>
          <t>Free</t>
        </is>
      </c>
      <c r="P1268" s="33" t="inlineStr">
        <is>
          <t>200 Free</t>
        </is>
      </c>
      <c r="Q1268" s="33" t="inlineStr">
        <is>
          <t>LCM_200_FREE</t>
        </is>
      </c>
      <c r="R1268" s="36" t="n">
        <v>108.1</v>
      </c>
      <c r="S1268" s="35">
        <f>IF(R1268="","",IF(R1268&gt;=60,INT(R1268/60)&amp;":"&amp;TEXT(MOD(R1268,60),"00.00"),TEXT(R1268,"0.00")))</f>
        <v/>
      </c>
      <c r="T1268" s="52">
        <f>IFERROR((G1268-INDEX('01_Swimmers'!$E$5:$E$22,MATCH(B1268,'01_Swimmers'!$A$5:$A$22,0)))/'00_Control'!$B$10,"")</f>
        <v/>
      </c>
      <c r="U1268" s="35">
        <f>IF(T1268="","",INT(T1268))</f>
        <v/>
      </c>
      <c r="V1268" s="33" t="inlineStr">
        <is>
          <t>NO</t>
        </is>
      </c>
      <c r="W1268" s="33" t="inlineStr">
        <is>
          <t>YES</t>
        </is>
      </c>
      <c r="X1268" s="33" t="inlineStr">
        <is>
          <t>NO</t>
        </is>
      </c>
      <c r="Y1268" s="33" t="n">
        <v>3</v>
      </c>
      <c r="Z1268" s="33" t="n">
        <v>7</v>
      </c>
      <c r="AA1268" s="33" t="inlineStr">
        <is>
          <t>6</t>
        </is>
      </c>
      <c r="AB1268" s="33" t="inlineStr">
        <is>
          <t>https://www.swimcloud.com/results/300608/event/208/?id=123023943#time123023943</t>
        </is>
      </c>
      <c r="AC1268" s="33" t="inlineStr">
        <is>
          <t>SwimCloud API v6 2026-10-08</t>
        </is>
      </c>
      <c r="AD1268" s="33" t="inlineStr">
        <is>
          <t>Jacob Whittle|2021-06-04|LCM|200|Free|108.1|British Swimming Glasgow Open|FIN|False</t>
        </is>
      </c>
      <c r="AE1268" s="53">
        <f>G1268+L1268/1000+ROW()/1000000000</f>
        <v/>
      </c>
      <c r="AF1268" s="35">
        <f>IF(C1268&lt;&gt;"Grayson Coulter","",COUNTIFS($C$5:$C$2991,"Grayson Coulter",$Q$5:$Q$2991,Q1268,$AE$5:$AE$2991,"&lt;="&amp;AE1268,$R$5:$R$2991,"&lt;"&amp;R1268))</f>
        <v/>
      </c>
      <c r="AG1268" s="35">
        <f>IF(OR(C1268&lt;&gt;"Grayson Coulter",G1268&lt;'00_Control'!$B$7),"",--(AF1268&lt;5))</f>
        <v/>
      </c>
      <c r="AH1268" s="35">
        <f>IF(OR(C1268&lt;&gt;"Grayson Coulter",G1268&lt;'00_Control'!$B$7),"",--(AF1268&lt;10))</f>
        <v/>
      </c>
      <c r="AI1268" s="35">
        <f>IF(AND(C1268="Grayson Coulter",G1268&gt;='00_Control'!$B$7),"YES","NO")</f>
        <v/>
      </c>
      <c r="AJ1268" s="33" t="inlineStr">
        <is>
          <t>OK</t>
        </is>
      </c>
    </row>
    <row r="1269">
      <c r="A1269" s="33" t="inlineStr">
        <is>
          <t>SM001265</t>
        </is>
      </c>
      <c r="B1269" s="33" t="inlineStr">
        <is>
          <t>SW008</t>
        </is>
      </c>
      <c r="C1269" s="33" t="inlineStr">
        <is>
          <t>Jacob Whittle</t>
        </is>
      </c>
      <c r="D1269" s="33" t="inlineStr">
        <is>
          <t>SwimCloud</t>
        </is>
      </c>
      <c r="E1269" s="33" t="inlineStr">
        <is>
          <t>1133535</t>
        </is>
      </c>
      <c r="F1269" s="33" t="inlineStr">
        <is>
          <t>123023530</t>
        </is>
      </c>
      <c r="G1269" s="51" t="n">
        <v>44352</v>
      </c>
      <c r="H1269" s="33" t="inlineStr">
        <is>
          <t>British Swimming Glasgow Open</t>
        </is>
      </c>
      <c r="I1269" s="33" t="inlineStr">
        <is>
          <t>300608</t>
        </is>
      </c>
      <c r="J1269" s="33" t="inlineStr"/>
      <c r="K1269" s="33" t="inlineStr">
        <is>
          <t>PRE</t>
        </is>
      </c>
      <c r="L1269" s="35">
        <f>IF(K1269="FIN",3,IF(OR(K1269="SEM",K1269="SEMI"),2,IF(OR(K1269="PRE",K1269="HEAT"),1,IF(V1269="YES",4,2))))</f>
        <v/>
      </c>
      <c r="M1269" s="33" t="inlineStr">
        <is>
          <t>LCM</t>
        </is>
      </c>
      <c r="N1269" s="33" t="n">
        <v>100</v>
      </c>
      <c r="O1269" s="33" t="inlineStr">
        <is>
          <t>Free</t>
        </is>
      </c>
      <c r="P1269" s="33" t="inlineStr">
        <is>
          <t>100 Free</t>
        </is>
      </c>
      <c r="Q1269" s="33" t="inlineStr">
        <is>
          <t>LCM_100_FREE</t>
        </is>
      </c>
      <c r="R1269" s="36" t="n">
        <v>48.75</v>
      </c>
      <c r="S1269" s="35">
        <f>IF(R1269="","",IF(R1269&gt;=60,INT(R1269/60)&amp;":"&amp;TEXT(MOD(R1269,60),"00.00"),TEXT(R1269,"0.00")))</f>
        <v/>
      </c>
      <c r="T1269" s="52">
        <f>IFERROR((G1269-INDEX('01_Swimmers'!$E$5:$E$22,MATCH(B1269,'01_Swimmers'!$A$5:$A$22,0)))/'00_Control'!$B$10,"")</f>
        <v/>
      </c>
      <c r="U1269" s="35">
        <f>IF(T1269="","",INT(T1269))</f>
        <v/>
      </c>
      <c r="V1269" s="33" t="inlineStr">
        <is>
          <t>NO</t>
        </is>
      </c>
      <c r="W1269" s="33" t="inlineStr">
        <is>
          <t>YES</t>
        </is>
      </c>
      <c r="X1269" s="33" t="inlineStr">
        <is>
          <t>NO</t>
        </is>
      </c>
      <c r="Y1269" s="33" t="n">
        <v>4</v>
      </c>
      <c r="Z1269" s="33" t="n">
        <v>6</v>
      </c>
      <c r="AA1269" s="33" t="inlineStr">
        <is>
          <t>1</t>
        </is>
      </c>
      <c r="AB1269" s="33" t="inlineStr">
        <is>
          <t>https://www.swimcloud.com/results/300608/event/310/?id=123023530#time123023530</t>
        </is>
      </c>
      <c r="AC1269" s="33" t="inlineStr">
        <is>
          <t>SwimCloud API v6 2026-10-08</t>
        </is>
      </c>
      <c r="AD1269" s="33" t="inlineStr">
        <is>
          <t>Jacob Whittle|2021-06-05|LCM|100|Free|48.75|British Swimming Glasgow Open|PRE|False</t>
        </is>
      </c>
      <c r="AE1269" s="53">
        <f>G1269+L1269/1000+ROW()/1000000000</f>
        <v/>
      </c>
      <c r="AF1269" s="35">
        <f>IF(C1269&lt;&gt;"Grayson Coulter","",COUNTIFS($C$5:$C$2991,"Grayson Coulter",$Q$5:$Q$2991,Q1269,$AE$5:$AE$2991,"&lt;="&amp;AE1269,$R$5:$R$2991,"&lt;"&amp;R1269))</f>
        <v/>
      </c>
      <c r="AG1269" s="35">
        <f>IF(OR(C1269&lt;&gt;"Grayson Coulter",G1269&lt;'00_Control'!$B$7),"",--(AF1269&lt;5))</f>
        <v/>
      </c>
      <c r="AH1269" s="35">
        <f>IF(OR(C1269&lt;&gt;"Grayson Coulter",G1269&lt;'00_Control'!$B$7),"",--(AF1269&lt;10))</f>
        <v/>
      </c>
      <c r="AI1269" s="35">
        <f>IF(AND(C1269="Grayson Coulter",G1269&gt;='00_Control'!$B$7),"YES","NO")</f>
        <v/>
      </c>
      <c r="AJ1269" s="33" t="inlineStr">
        <is>
          <t>OK</t>
        </is>
      </c>
    </row>
    <row r="1270">
      <c r="A1270" s="33" t="inlineStr">
        <is>
          <t>SM001266</t>
        </is>
      </c>
      <c r="B1270" s="33" t="inlineStr">
        <is>
          <t>SW008</t>
        </is>
      </c>
      <c r="C1270" s="33" t="inlineStr">
        <is>
          <t>Jacob Whittle</t>
        </is>
      </c>
      <c r="D1270" s="33" t="inlineStr">
        <is>
          <t>SwimCloud</t>
        </is>
      </c>
      <c r="E1270" s="33" t="inlineStr">
        <is>
          <t>1133535</t>
        </is>
      </c>
      <c r="F1270" s="33" t="inlineStr">
        <is>
          <t>123023531</t>
        </is>
      </c>
      <c r="G1270" s="51" t="n">
        <v>44352</v>
      </c>
      <c r="H1270" s="33" t="inlineStr">
        <is>
          <t>British Swimming Glasgow Open</t>
        </is>
      </c>
      <c r="I1270" s="33" t="inlineStr">
        <is>
          <t>300608</t>
        </is>
      </c>
      <c r="J1270" s="33" t="inlineStr"/>
      <c r="K1270" s="33" t="inlineStr">
        <is>
          <t>FIN</t>
        </is>
      </c>
      <c r="L1270" s="35">
        <f>IF(K1270="FIN",3,IF(OR(K1270="SEM",K1270="SEMI"),2,IF(OR(K1270="PRE",K1270="HEAT"),1,IF(V1270="YES",4,2))))</f>
        <v/>
      </c>
      <c r="M1270" s="33" t="inlineStr">
        <is>
          <t>LCM</t>
        </is>
      </c>
      <c r="N1270" s="33" t="n">
        <v>100</v>
      </c>
      <c r="O1270" s="33" t="inlineStr">
        <is>
          <t>Free</t>
        </is>
      </c>
      <c r="P1270" s="33" t="inlineStr">
        <is>
          <t>100 Free</t>
        </is>
      </c>
      <c r="Q1270" s="33" t="inlineStr">
        <is>
          <t>LCM_100_FREE</t>
        </is>
      </c>
      <c r="R1270" s="36" t="n">
        <v>48.55</v>
      </c>
      <c r="S1270" s="35">
        <f>IF(R1270="","",IF(R1270&gt;=60,INT(R1270/60)&amp;":"&amp;TEXT(MOD(R1270,60),"00.00"),TEXT(R1270,"0.00")))</f>
        <v/>
      </c>
      <c r="T1270" s="52">
        <f>IFERROR((G1270-INDEX('01_Swimmers'!$E$5:$E$22,MATCH(B1270,'01_Swimmers'!$A$5:$A$22,0)))/'00_Control'!$B$10,"")</f>
        <v/>
      </c>
      <c r="U1270" s="35">
        <f>IF(T1270="","",INT(T1270))</f>
        <v/>
      </c>
      <c r="V1270" s="33" t="inlineStr">
        <is>
          <t>NO</t>
        </is>
      </c>
      <c r="W1270" s="33" t="inlineStr">
        <is>
          <t>YES</t>
        </is>
      </c>
      <c r="X1270" s="33" t="inlineStr">
        <is>
          <t>NO</t>
        </is>
      </c>
      <c r="Y1270" s="33" t="n">
        <v>3</v>
      </c>
      <c r="Z1270" s="33" t="n">
        <v>4</v>
      </c>
      <c r="AA1270" s="33" t="inlineStr">
        <is>
          <t>1</t>
        </is>
      </c>
      <c r="AB1270" s="33" t="inlineStr">
        <is>
          <t>https://www.swimcloud.com/results/300608/event/310/?id=123023531#time123023531</t>
        </is>
      </c>
      <c r="AC1270" s="33" t="inlineStr">
        <is>
          <t>SwimCloud API v6 2026-10-08</t>
        </is>
      </c>
      <c r="AD1270" s="33" t="inlineStr">
        <is>
          <t>Jacob Whittle|2021-06-05|LCM|100|Free|48.55|British Swimming Glasgow Open|FIN|False</t>
        </is>
      </c>
      <c r="AE1270" s="53">
        <f>G1270+L1270/1000+ROW()/1000000000</f>
        <v/>
      </c>
      <c r="AF1270" s="35">
        <f>IF(C1270&lt;&gt;"Grayson Coulter","",COUNTIFS($C$5:$C$2991,"Grayson Coulter",$Q$5:$Q$2991,Q1270,$AE$5:$AE$2991,"&lt;="&amp;AE1270,$R$5:$R$2991,"&lt;"&amp;R1270))</f>
        <v/>
      </c>
      <c r="AG1270" s="35">
        <f>IF(OR(C1270&lt;&gt;"Grayson Coulter",G1270&lt;'00_Control'!$B$7),"",--(AF1270&lt;5))</f>
        <v/>
      </c>
      <c r="AH1270" s="35">
        <f>IF(OR(C1270&lt;&gt;"Grayson Coulter",G1270&lt;'00_Control'!$B$7),"",--(AF1270&lt;10))</f>
        <v/>
      </c>
      <c r="AI1270" s="35">
        <f>IF(AND(C1270="Grayson Coulter",G1270&gt;='00_Control'!$B$7),"YES","NO")</f>
        <v/>
      </c>
      <c r="AJ1270" s="33" t="inlineStr">
        <is>
          <t>OK</t>
        </is>
      </c>
    </row>
    <row r="1271">
      <c r="A1271" s="33" t="inlineStr">
        <is>
          <t>SM001267</t>
        </is>
      </c>
      <c r="B1271" s="33" t="inlineStr">
        <is>
          <t>SW008</t>
        </is>
      </c>
      <c r="C1271" s="33" t="inlineStr">
        <is>
          <t>Jacob Whittle</t>
        </is>
      </c>
      <c r="D1271" s="33" t="inlineStr">
        <is>
          <t>SwimCloud</t>
        </is>
      </c>
      <c r="E1271" s="33" t="inlineStr">
        <is>
          <t>1133535</t>
        </is>
      </c>
      <c r="F1271" s="33" t="inlineStr">
        <is>
          <t>43395906</t>
        </is>
      </c>
      <c r="G1271" s="51" t="n">
        <v>44401</v>
      </c>
      <c r="H1271" s="33" t="inlineStr">
        <is>
          <t>Olympic Games</t>
        </is>
      </c>
      <c r="I1271" s="33" t="inlineStr">
        <is>
          <t>130521</t>
        </is>
      </c>
      <c r="J1271" s="33" t="inlineStr"/>
      <c r="K1271" s="33" t="inlineStr">
        <is>
          <t>PRE</t>
        </is>
      </c>
      <c r="L1271" s="35">
        <f>IF(K1271="FIN",3,IF(OR(K1271="SEM",K1271="SEMI"),2,IF(OR(K1271="PRE",K1271="HEAT"),1,IF(V1271="YES",4,2))))</f>
        <v/>
      </c>
      <c r="M1271" s="33" t="inlineStr">
        <is>
          <t>LCM</t>
        </is>
      </c>
      <c r="N1271" s="33" t="n">
        <v>100</v>
      </c>
      <c r="O1271" s="33" t="inlineStr">
        <is>
          <t>Free</t>
        </is>
      </c>
      <c r="P1271" s="33" t="inlineStr">
        <is>
          <t>100 Free</t>
        </is>
      </c>
      <c r="Q1271" s="33" t="inlineStr">
        <is>
          <t>LCM_100_FREE</t>
        </is>
      </c>
      <c r="R1271" s="36" t="n">
        <v>48.44</v>
      </c>
      <c r="S1271" s="35">
        <f>IF(R1271="","",IF(R1271&gt;=60,INT(R1271/60)&amp;":"&amp;TEXT(MOD(R1271,60),"00.00"),TEXT(R1271,"0.00")))</f>
        <v/>
      </c>
      <c r="T1271" s="52">
        <f>IFERROR((G1271-INDEX('01_Swimmers'!$E$5:$E$22,MATCH(B1271,'01_Swimmers'!$A$5:$A$22,0)))/'00_Control'!$B$10,"")</f>
        <v/>
      </c>
      <c r="U1271" s="35">
        <f>IF(T1271="","",INT(T1271))</f>
        <v/>
      </c>
      <c r="V1271" s="33" t="inlineStr">
        <is>
          <t>NO</t>
        </is>
      </c>
      <c r="W1271" s="33" t="inlineStr">
        <is>
          <t>YES</t>
        </is>
      </c>
      <c r="X1271" s="33" t="inlineStr">
        <is>
          <t>NO</t>
        </is>
      </c>
      <c r="Y1271" s="33" t="n">
        <v>6</v>
      </c>
      <c r="Z1271" s="33" t="n">
        <v>2</v>
      </c>
      <c r="AA1271" s="33" t="inlineStr">
        <is>
          <t>16</t>
        </is>
      </c>
      <c r="AB1271" s="33" t="inlineStr">
        <is>
          <t>https://www.swimcloud.com/results/130521/event/71/?id=43395906#time43395906</t>
        </is>
      </c>
      <c r="AC1271" s="33" t="inlineStr">
        <is>
          <t>SwimCloud API v6 2026-10-08</t>
        </is>
      </c>
      <c r="AD1271" s="33" t="inlineStr">
        <is>
          <t>Jacob Whittle|2021-07-24|LCM|100|Free|48.44|Olympic Games|PRE|False</t>
        </is>
      </c>
      <c r="AE1271" s="53">
        <f>G1271+L1271/1000+ROW()/1000000000</f>
        <v/>
      </c>
      <c r="AF1271" s="35">
        <f>IF(C1271&lt;&gt;"Grayson Coulter","",COUNTIFS($C$5:$C$2991,"Grayson Coulter",$Q$5:$Q$2991,Q1271,$AE$5:$AE$2991,"&lt;="&amp;AE1271,$R$5:$R$2991,"&lt;"&amp;R1271))</f>
        <v/>
      </c>
      <c r="AG1271" s="35">
        <f>IF(OR(C1271&lt;&gt;"Grayson Coulter",G1271&lt;'00_Control'!$B$7),"",--(AF1271&lt;5))</f>
        <v/>
      </c>
      <c r="AH1271" s="35">
        <f>IF(OR(C1271&lt;&gt;"Grayson Coulter",G1271&lt;'00_Control'!$B$7),"",--(AF1271&lt;10))</f>
        <v/>
      </c>
      <c r="AI1271" s="35">
        <f>IF(AND(C1271="Grayson Coulter",G1271&gt;='00_Control'!$B$7),"YES","NO")</f>
        <v/>
      </c>
      <c r="AJ1271" s="33" t="inlineStr">
        <is>
          <t>OK</t>
        </is>
      </c>
    </row>
    <row r="1272">
      <c r="A1272" s="33" t="inlineStr">
        <is>
          <t>SM001268</t>
        </is>
      </c>
      <c r="B1272" s="33" t="inlineStr">
        <is>
          <t>SW008</t>
        </is>
      </c>
      <c r="C1272" s="33" t="inlineStr">
        <is>
          <t>Jacob Whittle</t>
        </is>
      </c>
      <c r="D1272" s="33" t="inlineStr">
        <is>
          <t>SwimCloud</t>
        </is>
      </c>
      <c r="E1272" s="33" t="inlineStr">
        <is>
          <t>1133535</t>
        </is>
      </c>
      <c r="F1272" s="33" t="inlineStr">
        <is>
          <t>43395953</t>
        </is>
      </c>
      <c r="G1272" s="51" t="n">
        <v>44401</v>
      </c>
      <c r="H1272" s="33" t="inlineStr">
        <is>
          <t>Olympic Games</t>
        </is>
      </c>
      <c r="I1272" s="33" t="inlineStr">
        <is>
          <t>130521</t>
        </is>
      </c>
      <c r="J1272" s="33" t="inlineStr"/>
      <c r="K1272" s="33" t="inlineStr">
        <is>
          <t>SEM</t>
        </is>
      </c>
      <c r="L1272" s="35">
        <f>IF(K1272="FIN",3,IF(OR(K1272="SEM",K1272="SEMI"),2,IF(OR(K1272="PRE",K1272="HEAT"),1,IF(V1272="YES",4,2))))</f>
        <v/>
      </c>
      <c r="M1272" s="33" t="inlineStr">
        <is>
          <t>LCM</t>
        </is>
      </c>
      <c r="N1272" s="33" t="n">
        <v>100</v>
      </c>
      <c r="O1272" s="33" t="inlineStr">
        <is>
          <t>Free</t>
        </is>
      </c>
      <c r="P1272" s="33" t="inlineStr">
        <is>
          <t>100 Free</t>
        </is>
      </c>
      <c r="Q1272" s="33" t="inlineStr">
        <is>
          <t>LCM_100_FREE</t>
        </is>
      </c>
      <c r="R1272" s="36" t="n">
        <v>48.11</v>
      </c>
      <c r="S1272" s="35">
        <f>IF(R1272="","",IF(R1272&gt;=60,INT(R1272/60)&amp;":"&amp;TEXT(MOD(R1272,60),"00.00"),TEXT(R1272,"0.00")))</f>
        <v/>
      </c>
      <c r="T1272" s="52">
        <f>IFERROR((G1272-INDEX('01_Swimmers'!$E$5:$E$22,MATCH(B1272,'01_Swimmers'!$A$5:$A$22,0)))/'00_Control'!$B$10,"")</f>
        <v/>
      </c>
      <c r="U1272" s="35">
        <f>IF(T1272="","",INT(T1272))</f>
        <v/>
      </c>
      <c r="V1272" s="33" t="inlineStr">
        <is>
          <t>NO</t>
        </is>
      </c>
      <c r="W1272" s="33" t="inlineStr">
        <is>
          <t>YES</t>
        </is>
      </c>
      <c r="X1272" s="33" t="inlineStr">
        <is>
          <t>NO</t>
        </is>
      </c>
      <c r="Y1272" s="33" t="n">
        <v>1</v>
      </c>
      <c r="Z1272" s="33" t="n">
        <v>8</v>
      </c>
      <c r="AA1272" s="33" t="inlineStr">
        <is>
          <t>13</t>
        </is>
      </c>
      <c r="AB1272" s="33" t="inlineStr">
        <is>
          <t>https://www.swimcloud.com/results/130521/event/71/?id=43395953#time43395953</t>
        </is>
      </c>
      <c r="AC1272" s="33" t="inlineStr">
        <is>
          <t>SwimCloud API v6 2026-10-08</t>
        </is>
      </c>
      <c r="AD1272" s="33" t="inlineStr">
        <is>
          <t>Jacob Whittle|2021-07-24|LCM|100|Free|48.11|Olympic Games|SEM|False</t>
        </is>
      </c>
      <c r="AE1272" s="53">
        <f>G1272+L1272/1000+ROW()/1000000000</f>
        <v/>
      </c>
      <c r="AF1272" s="35">
        <f>IF(C1272&lt;&gt;"Grayson Coulter","",COUNTIFS($C$5:$C$2991,"Grayson Coulter",$Q$5:$Q$2991,Q1272,$AE$5:$AE$2991,"&lt;="&amp;AE1272,$R$5:$R$2991,"&lt;"&amp;R1272))</f>
        <v/>
      </c>
      <c r="AG1272" s="35">
        <f>IF(OR(C1272&lt;&gt;"Grayson Coulter",G1272&lt;'00_Control'!$B$7),"",--(AF1272&lt;5))</f>
        <v/>
      </c>
      <c r="AH1272" s="35">
        <f>IF(OR(C1272&lt;&gt;"Grayson Coulter",G1272&lt;'00_Control'!$B$7),"",--(AF1272&lt;10))</f>
        <v/>
      </c>
      <c r="AI1272" s="35">
        <f>IF(AND(C1272="Grayson Coulter",G1272&gt;='00_Control'!$B$7),"YES","NO")</f>
        <v/>
      </c>
      <c r="AJ1272" s="33" t="inlineStr">
        <is>
          <t>OK</t>
        </is>
      </c>
    </row>
    <row r="1273">
      <c r="A1273" s="33" t="inlineStr">
        <is>
          <t>SM001269</t>
        </is>
      </c>
      <c r="B1273" s="33" t="inlineStr">
        <is>
          <t>SW008</t>
        </is>
      </c>
      <c r="C1273" s="33" t="inlineStr">
        <is>
          <t>Jacob Whittle</t>
        </is>
      </c>
      <c r="D1273" s="33" t="inlineStr">
        <is>
          <t>SwimCloud</t>
        </is>
      </c>
      <c r="E1273" s="33" t="inlineStr">
        <is>
          <t>1133535</t>
        </is>
      </c>
      <c r="F1273" s="33" t="inlineStr">
        <is>
          <t>43887848</t>
        </is>
      </c>
      <c r="G1273" s="51" t="n">
        <v>44437</v>
      </c>
      <c r="H1273" s="33" t="inlineStr">
        <is>
          <t>ISL - Season 3, Match 2</t>
        </is>
      </c>
      <c r="I1273" s="33" t="inlineStr">
        <is>
          <t>202858</t>
        </is>
      </c>
      <c r="J1273" s="33" t="inlineStr"/>
      <c r="K1273" s="33" t="inlineStr">
        <is>
          <t>FIN</t>
        </is>
      </c>
      <c r="L1273" s="35">
        <f>IF(K1273="FIN",3,IF(OR(K1273="SEM",K1273="SEMI"),2,IF(OR(K1273="PRE",K1273="HEAT"),1,IF(V1273="YES",4,2))))</f>
        <v/>
      </c>
      <c r="M1273" s="33" t="inlineStr">
        <is>
          <t>SCM</t>
        </is>
      </c>
      <c r="N1273" s="33" t="n">
        <v>100</v>
      </c>
      <c r="O1273" s="33" t="inlineStr">
        <is>
          <t>Free</t>
        </is>
      </c>
      <c r="P1273" s="33" t="inlineStr">
        <is>
          <t>100 Free</t>
        </is>
      </c>
      <c r="Q1273" s="33" t="inlineStr">
        <is>
          <t>SCM_100_FREE</t>
        </is>
      </c>
      <c r="R1273" s="36" t="n">
        <v>47.84</v>
      </c>
      <c r="S1273" s="35">
        <f>IF(R1273="","",IF(R1273&gt;=60,INT(R1273/60)&amp;":"&amp;TEXT(MOD(R1273,60),"00.00"),TEXT(R1273,"0.00")))</f>
        <v/>
      </c>
      <c r="T1273" s="52">
        <f>IFERROR((G1273-INDEX('01_Swimmers'!$E$5:$E$22,MATCH(B1273,'01_Swimmers'!$A$5:$A$22,0)))/'00_Control'!$B$10,"")</f>
        <v/>
      </c>
      <c r="U1273" s="35">
        <f>IF(T1273="","",INT(T1273))</f>
        <v/>
      </c>
      <c r="V1273" s="33" t="inlineStr">
        <is>
          <t>NO</t>
        </is>
      </c>
      <c r="W1273" s="33" t="inlineStr">
        <is>
          <t>YES</t>
        </is>
      </c>
      <c r="X1273" s="33" t="inlineStr">
        <is>
          <t>NO</t>
        </is>
      </c>
      <c r="Y1273" s="33" t="n">
        <v>1</v>
      </c>
      <c r="Z1273" s="33" t="n">
        <v>7</v>
      </c>
      <c r="AA1273" s="33" t="inlineStr">
        <is>
          <t>7</t>
        </is>
      </c>
      <c r="AB1273" s="33" t="inlineStr">
        <is>
          <t>https://www.swimcloud.com/results/202858/event/22/?id=43887848#time43887848</t>
        </is>
      </c>
      <c r="AC1273" s="33" t="inlineStr">
        <is>
          <t>SwimCloud API v6 2026-10-08</t>
        </is>
      </c>
      <c r="AD1273" s="33" t="inlineStr">
        <is>
          <t>Jacob Whittle|2021-08-29|SCM|100|Free|47.84|ISL - Season 3, Match 2|FIN|False</t>
        </is>
      </c>
      <c r="AE1273" s="53">
        <f>G1273+L1273/1000+ROW()/1000000000</f>
        <v/>
      </c>
      <c r="AF1273" s="35">
        <f>IF(C1273&lt;&gt;"Grayson Coulter","",COUNTIFS($C$5:$C$2991,"Grayson Coulter",$Q$5:$Q$2991,Q1273,$AE$5:$AE$2991,"&lt;="&amp;AE1273,$R$5:$R$2991,"&lt;"&amp;R1273))</f>
        <v/>
      </c>
      <c r="AG1273" s="35">
        <f>IF(OR(C1273&lt;&gt;"Grayson Coulter",G1273&lt;'00_Control'!$B$7),"",--(AF1273&lt;5))</f>
        <v/>
      </c>
      <c r="AH1273" s="35">
        <f>IF(OR(C1273&lt;&gt;"Grayson Coulter",G1273&lt;'00_Control'!$B$7),"",--(AF1273&lt;10))</f>
        <v/>
      </c>
      <c r="AI1273" s="35">
        <f>IF(AND(C1273="Grayson Coulter",G1273&gt;='00_Control'!$B$7),"YES","NO")</f>
        <v/>
      </c>
      <c r="AJ1273" s="33" t="inlineStr">
        <is>
          <t>OK</t>
        </is>
      </c>
    </row>
    <row r="1274">
      <c r="A1274" s="33" t="inlineStr">
        <is>
          <t>SM001270</t>
        </is>
      </c>
      <c r="B1274" s="33" t="inlineStr">
        <is>
          <t>SW008</t>
        </is>
      </c>
      <c r="C1274" s="33" t="inlineStr">
        <is>
          <t>Jacob Whittle</t>
        </is>
      </c>
      <c r="D1274" s="33" t="inlineStr">
        <is>
          <t>SwimCloud</t>
        </is>
      </c>
      <c r="E1274" s="33" t="inlineStr">
        <is>
          <t>1133535</t>
        </is>
      </c>
      <c r="F1274" s="33" t="inlineStr">
        <is>
          <t>43909159</t>
        </is>
      </c>
      <c r="G1274" s="51" t="n">
        <v>44441</v>
      </c>
      <c r="H1274" s="33" t="inlineStr">
        <is>
          <t>ISL - Season 3, Match 3</t>
        </is>
      </c>
      <c r="I1274" s="33" t="inlineStr">
        <is>
          <t>203031</t>
        </is>
      </c>
      <c r="J1274" s="33" t="inlineStr"/>
      <c r="K1274" s="33" t="inlineStr">
        <is>
          <t>FIN</t>
        </is>
      </c>
      <c r="L1274" s="35">
        <f>IF(K1274="FIN",3,IF(OR(K1274="SEM",K1274="SEMI"),2,IF(OR(K1274="PRE",K1274="HEAT"),1,IF(V1274="YES",4,2))))</f>
        <v/>
      </c>
      <c r="M1274" s="33" t="inlineStr">
        <is>
          <t>SCM</t>
        </is>
      </c>
      <c r="N1274" s="33" t="n">
        <v>100</v>
      </c>
      <c r="O1274" s="33" t="inlineStr">
        <is>
          <t>Free</t>
        </is>
      </c>
      <c r="P1274" s="33" t="inlineStr">
        <is>
          <t>100 Free</t>
        </is>
      </c>
      <c r="Q1274" s="33" t="inlineStr">
        <is>
          <t>SCM_100_FREE</t>
        </is>
      </c>
      <c r="R1274" s="36" t="n">
        <v>47.35</v>
      </c>
      <c r="S1274" s="35">
        <f>IF(R1274="","",IF(R1274&gt;=60,INT(R1274/60)&amp;":"&amp;TEXT(MOD(R1274,60),"00.00"),TEXT(R1274,"0.00")))</f>
        <v/>
      </c>
      <c r="T1274" s="52">
        <f>IFERROR((G1274-INDEX('01_Swimmers'!$E$5:$E$22,MATCH(B1274,'01_Swimmers'!$A$5:$A$22,0)))/'00_Control'!$B$10,"")</f>
        <v/>
      </c>
      <c r="U1274" s="35">
        <f>IF(T1274="","",INT(T1274))</f>
        <v/>
      </c>
      <c r="V1274" s="33" t="inlineStr">
        <is>
          <t>YES</t>
        </is>
      </c>
      <c r="W1274" s="33" t="inlineStr">
        <is>
          <t>YES</t>
        </is>
      </c>
      <c r="X1274" s="33" t="inlineStr">
        <is>
          <t>NO</t>
        </is>
      </c>
      <c r="Y1274" s="33" t="n">
        <v>1</v>
      </c>
      <c r="Z1274" s="33" t="n">
        <v>7</v>
      </c>
      <c r="AA1274" s="33" t="inlineStr"/>
      <c r="AB1274" s="33" t="inlineStr">
        <is>
          <t>https://www.swimcloud.com/results/203031/event/14/?id=43909026#time43909026</t>
        </is>
      </c>
      <c r="AC1274" s="33" t="inlineStr">
        <is>
          <t>SwimCloud API v6 2026-10-08</t>
        </is>
      </c>
      <c r="AD1274" s="33" t="inlineStr">
        <is>
          <t>Jacob Whittle|2021-09-02|SCM|100|Free|47.35|ISL - Season 3, Match 3|FIN|True</t>
        </is>
      </c>
      <c r="AE1274" s="53">
        <f>G1274+L1274/1000+ROW()/1000000000</f>
        <v/>
      </c>
      <c r="AF1274" s="35">
        <f>IF(C1274&lt;&gt;"Grayson Coulter","",COUNTIFS($C$5:$C$2991,"Grayson Coulter",$Q$5:$Q$2991,Q1274,$AE$5:$AE$2991,"&lt;="&amp;AE1274,$R$5:$R$2991,"&lt;"&amp;R1274))</f>
        <v/>
      </c>
      <c r="AG1274" s="35">
        <f>IF(OR(C1274&lt;&gt;"Grayson Coulter",G1274&lt;'00_Control'!$B$7),"",--(AF1274&lt;5))</f>
        <v/>
      </c>
      <c r="AH1274" s="35">
        <f>IF(OR(C1274&lt;&gt;"Grayson Coulter",G1274&lt;'00_Control'!$B$7),"",--(AF1274&lt;10))</f>
        <v/>
      </c>
      <c r="AI1274" s="35">
        <f>IF(AND(C1274="Grayson Coulter",G1274&gt;='00_Control'!$B$7),"YES","NO")</f>
        <v/>
      </c>
      <c r="AJ1274" s="33" t="inlineStr">
        <is>
          <t>OK</t>
        </is>
      </c>
    </row>
    <row r="1275">
      <c r="A1275" s="33" t="inlineStr">
        <is>
          <t>SM001271</t>
        </is>
      </c>
      <c r="B1275" s="33" t="inlineStr">
        <is>
          <t>SW008</t>
        </is>
      </c>
      <c r="C1275" s="33" t="inlineStr">
        <is>
          <t>Jacob Whittle</t>
        </is>
      </c>
      <c r="D1275" s="33" t="inlineStr">
        <is>
          <t>SwimCloud</t>
        </is>
      </c>
      <c r="E1275" s="33" t="inlineStr">
        <is>
          <t>1133535</t>
        </is>
      </c>
      <c r="F1275" s="33" t="inlineStr">
        <is>
          <t>43908975</t>
        </is>
      </c>
      <c r="G1275" s="51" t="n">
        <v>44442</v>
      </c>
      <c r="H1275" s="33" t="inlineStr">
        <is>
          <t>ISL - Season 3, Match 3</t>
        </is>
      </c>
      <c r="I1275" s="33" t="inlineStr">
        <is>
          <t>203031</t>
        </is>
      </c>
      <c r="J1275" s="33" t="inlineStr"/>
      <c r="K1275" s="33" t="inlineStr">
        <is>
          <t>FIN</t>
        </is>
      </c>
      <c r="L1275" s="35">
        <f>IF(K1275="FIN",3,IF(OR(K1275="SEM",K1275="SEMI"),2,IF(OR(K1275="PRE",K1275="HEAT"),1,IF(V1275="YES",4,2))))</f>
        <v/>
      </c>
      <c r="M1275" s="33" t="inlineStr">
        <is>
          <t>SCM</t>
        </is>
      </c>
      <c r="N1275" s="33" t="n">
        <v>100</v>
      </c>
      <c r="O1275" s="33" t="inlineStr">
        <is>
          <t>Free</t>
        </is>
      </c>
      <c r="P1275" s="33" t="inlineStr">
        <is>
          <t>100 Free</t>
        </is>
      </c>
      <c r="Q1275" s="33" t="inlineStr">
        <is>
          <t>SCM_100_FREE</t>
        </is>
      </c>
      <c r="R1275" s="36" t="n">
        <v>48.08</v>
      </c>
      <c r="S1275" s="35">
        <f>IF(R1275="","",IF(R1275&gt;=60,INT(R1275/60)&amp;":"&amp;TEXT(MOD(R1275,60),"00.00"),TEXT(R1275,"0.00")))</f>
        <v/>
      </c>
      <c r="T1275" s="52">
        <f>IFERROR((G1275-INDEX('01_Swimmers'!$E$5:$E$22,MATCH(B1275,'01_Swimmers'!$A$5:$A$22,0)))/'00_Control'!$B$10,"")</f>
        <v/>
      </c>
      <c r="U1275" s="35">
        <f>IF(T1275="","",INT(T1275))</f>
        <v/>
      </c>
      <c r="V1275" s="33" t="inlineStr">
        <is>
          <t>NO</t>
        </is>
      </c>
      <c r="W1275" s="33" t="inlineStr">
        <is>
          <t>YES</t>
        </is>
      </c>
      <c r="X1275" s="33" t="inlineStr">
        <is>
          <t>NO</t>
        </is>
      </c>
      <c r="Y1275" s="33" t="n">
        <v>1</v>
      </c>
      <c r="Z1275" s="33" t="n">
        <v>7</v>
      </c>
      <c r="AA1275" s="33" t="inlineStr">
        <is>
          <t>7</t>
        </is>
      </c>
      <c r="AB1275" s="33" t="inlineStr">
        <is>
          <t>https://www.swimcloud.com/results/203031/event/22/?id=43908975#time43908975</t>
        </is>
      </c>
      <c r="AC1275" s="33" t="inlineStr">
        <is>
          <t>SwimCloud API v6 2026-10-08</t>
        </is>
      </c>
      <c r="AD1275" s="33" t="inlineStr">
        <is>
          <t>Jacob Whittle|2021-09-03|SCM|100|Free|48.08|ISL - Season 3, Match 3|FIN|False</t>
        </is>
      </c>
      <c r="AE1275" s="53">
        <f>G1275+L1275/1000+ROW()/1000000000</f>
        <v/>
      </c>
      <c r="AF1275" s="35">
        <f>IF(C1275&lt;&gt;"Grayson Coulter","",COUNTIFS($C$5:$C$2991,"Grayson Coulter",$Q$5:$Q$2991,Q1275,$AE$5:$AE$2991,"&lt;="&amp;AE1275,$R$5:$R$2991,"&lt;"&amp;R1275))</f>
        <v/>
      </c>
      <c r="AG1275" s="35">
        <f>IF(OR(C1275&lt;&gt;"Grayson Coulter",G1275&lt;'00_Control'!$B$7),"",--(AF1275&lt;5))</f>
        <v/>
      </c>
      <c r="AH1275" s="35">
        <f>IF(OR(C1275&lt;&gt;"Grayson Coulter",G1275&lt;'00_Control'!$B$7),"",--(AF1275&lt;10))</f>
        <v/>
      </c>
      <c r="AI1275" s="35">
        <f>IF(AND(C1275="Grayson Coulter",G1275&gt;='00_Control'!$B$7),"YES","NO")</f>
        <v/>
      </c>
      <c r="AJ1275" s="33" t="inlineStr">
        <is>
          <t>OK</t>
        </is>
      </c>
    </row>
    <row r="1276">
      <c r="A1276" s="33" t="inlineStr">
        <is>
          <t>SM001272</t>
        </is>
      </c>
      <c r="B1276" s="33" t="inlineStr">
        <is>
          <t>SW008</t>
        </is>
      </c>
      <c r="C1276" s="33" t="inlineStr">
        <is>
          <t>Jacob Whittle</t>
        </is>
      </c>
      <c r="D1276" s="33" t="inlineStr">
        <is>
          <t>SwimCloud</t>
        </is>
      </c>
      <c r="E1276" s="33" t="inlineStr">
        <is>
          <t>1133535</t>
        </is>
      </c>
      <c r="F1276" s="33" t="inlineStr">
        <is>
          <t>43908976</t>
        </is>
      </c>
      <c r="G1276" s="51" t="n">
        <v>44442</v>
      </c>
      <c r="H1276" s="33" t="inlineStr">
        <is>
          <t>ISL - Season 3, Match 3</t>
        </is>
      </c>
      <c r="I1276" s="33" t="inlineStr">
        <is>
          <t>203031</t>
        </is>
      </c>
      <c r="J1276" s="33" t="inlineStr"/>
      <c r="K1276" s="33" t="inlineStr">
        <is>
          <t>FIN</t>
        </is>
      </c>
      <c r="L1276" s="35">
        <f>IF(K1276="FIN",3,IF(OR(K1276="SEM",K1276="SEMI"),2,IF(OR(K1276="PRE",K1276="HEAT"),1,IF(V1276="YES",4,2))))</f>
        <v/>
      </c>
      <c r="M1276" s="33" t="inlineStr">
        <is>
          <t>SCM</t>
        </is>
      </c>
      <c r="N1276" s="33" t="n">
        <v>200</v>
      </c>
      <c r="O1276" s="33" t="inlineStr">
        <is>
          <t>Free</t>
        </is>
      </c>
      <c r="P1276" s="33" t="inlineStr">
        <is>
          <t>200 Free</t>
        </is>
      </c>
      <c r="Q1276" s="33" t="inlineStr">
        <is>
          <t>SCM_200_FREE</t>
        </is>
      </c>
      <c r="R1276" s="36" t="n">
        <v>106.41</v>
      </c>
      <c r="S1276" s="35">
        <f>IF(R1276="","",IF(R1276&gt;=60,INT(R1276/60)&amp;":"&amp;TEXT(MOD(R1276,60),"00.00"),TEXT(R1276,"0.00")))</f>
        <v/>
      </c>
      <c r="T1276" s="52">
        <f>IFERROR((G1276-INDEX('01_Swimmers'!$E$5:$E$22,MATCH(B1276,'01_Swimmers'!$A$5:$A$22,0)))/'00_Control'!$B$10,"")</f>
        <v/>
      </c>
      <c r="U1276" s="35">
        <f>IF(T1276="","",INT(T1276))</f>
        <v/>
      </c>
      <c r="V1276" s="33" t="inlineStr">
        <is>
          <t>NO</t>
        </is>
      </c>
      <c r="W1276" s="33" t="inlineStr">
        <is>
          <t>YES</t>
        </is>
      </c>
      <c r="X1276" s="33" t="inlineStr">
        <is>
          <t>NO</t>
        </is>
      </c>
      <c r="Y1276" s="33" t="n">
        <v>1</v>
      </c>
      <c r="Z1276" s="33" t="n">
        <v>7</v>
      </c>
      <c r="AA1276" s="33" t="inlineStr">
        <is>
          <t>8</t>
        </is>
      </c>
      <c r="AB1276" s="33" t="inlineStr">
        <is>
          <t>https://www.swimcloud.com/results/203031/event/34/?id=43908976#time43908976</t>
        </is>
      </c>
      <c r="AC1276" s="33" t="inlineStr">
        <is>
          <t>SwimCloud API v6 2026-10-08</t>
        </is>
      </c>
      <c r="AD1276" s="33" t="inlineStr">
        <is>
          <t>Jacob Whittle|2021-09-03|SCM|200|Free|106.41|ISL - Season 3, Match 3|FIN|False</t>
        </is>
      </c>
      <c r="AE1276" s="53">
        <f>G1276+L1276/1000+ROW()/1000000000</f>
        <v/>
      </c>
      <c r="AF1276" s="35">
        <f>IF(C1276&lt;&gt;"Grayson Coulter","",COUNTIFS($C$5:$C$2991,"Grayson Coulter",$Q$5:$Q$2991,Q1276,$AE$5:$AE$2991,"&lt;="&amp;AE1276,$R$5:$R$2991,"&lt;"&amp;R1276))</f>
        <v/>
      </c>
      <c r="AG1276" s="35">
        <f>IF(OR(C1276&lt;&gt;"Grayson Coulter",G1276&lt;'00_Control'!$B$7),"",--(AF1276&lt;5))</f>
        <v/>
      </c>
      <c r="AH1276" s="35">
        <f>IF(OR(C1276&lt;&gt;"Grayson Coulter",G1276&lt;'00_Control'!$B$7),"",--(AF1276&lt;10))</f>
        <v/>
      </c>
      <c r="AI1276" s="35">
        <f>IF(AND(C1276="Grayson Coulter",G1276&gt;='00_Control'!$B$7),"YES","NO")</f>
        <v/>
      </c>
      <c r="AJ1276" s="33" t="inlineStr">
        <is>
          <t>OK</t>
        </is>
      </c>
    </row>
    <row r="1277">
      <c r="A1277" s="33" t="inlineStr">
        <is>
          <t>SM001273</t>
        </is>
      </c>
      <c r="B1277" s="33" t="inlineStr">
        <is>
          <t>SW008</t>
        </is>
      </c>
      <c r="C1277" s="33" t="inlineStr">
        <is>
          <t>Jacob Whittle</t>
        </is>
      </c>
      <c r="D1277" s="33" t="inlineStr">
        <is>
          <t>SwimCloud</t>
        </is>
      </c>
      <c r="E1277" s="33" t="inlineStr">
        <is>
          <t>1133535</t>
        </is>
      </c>
      <c r="F1277" s="33" t="inlineStr">
        <is>
          <t>44269355</t>
        </is>
      </c>
      <c r="G1277" s="51" t="n">
        <v>44464</v>
      </c>
      <c r="H1277" s="33" t="inlineStr">
        <is>
          <t>ISL - Season 3, Match 10</t>
        </is>
      </c>
      <c r="I1277" s="33" t="inlineStr">
        <is>
          <t>204565</t>
        </is>
      </c>
      <c r="J1277" s="33" t="inlineStr"/>
      <c r="K1277" s="33" t="inlineStr">
        <is>
          <t>FIN</t>
        </is>
      </c>
      <c r="L1277" s="35">
        <f>IF(K1277="FIN",3,IF(OR(K1277="SEM",K1277="SEMI"),2,IF(OR(K1277="PRE",K1277="HEAT"),1,IF(V1277="YES",4,2))))</f>
        <v/>
      </c>
      <c r="M1277" s="33" t="inlineStr">
        <is>
          <t>SCM</t>
        </is>
      </c>
      <c r="N1277" s="33" t="n">
        <v>100</v>
      </c>
      <c r="O1277" s="33" t="inlineStr">
        <is>
          <t>Free</t>
        </is>
      </c>
      <c r="P1277" s="33" t="inlineStr">
        <is>
          <t>100 Free</t>
        </is>
      </c>
      <c r="Q1277" s="33" t="inlineStr">
        <is>
          <t>SCM_100_FREE</t>
        </is>
      </c>
      <c r="R1277" s="36" t="n">
        <v>47.26</v>
      </c>
      <c r="S1277" s="35">
        <f>IF(R1277="","",IF(R1277&gt;=60,INT(R1277/60)&amp;":"&amp;TEXT(MOD(R1277,60),"00.00"),TEXT(R1277,"0.00")))</f>
        <v/>
      </c>
      <c r="T1277" s="52">
        <f>IFERROR((G1277-INDEX('01_Swimmers'!$E$5:$E$22,MATCH(B1277,'01_Swimmers'!$A$5:$A$22,0)))/'00_Control'!$B$10,"")</f>
        <v/>
      </c>
      <c r="U1277" s="35">
        <f>IF(T1277="","",INT(T1277))</f>
        <v/>
      </c>
      <c r="V1277" s="33" t="inlineStr">
        <is>
          <t>YES</t>
        </is>
      </c>
      <c r="W1277" s="33" t="inlineStr">
        <is>
          <t>YES</t>
        </is>
      </c>
      <c r="X1277" s="33" t="inlineStr">
        <is>
          <t>NO</t>
        </is>
      </c>
      <c r="Y1277" s="33" t="n">
        <v>1</v>
      </c>
      <c r="Z1277" s="33" t="n">
        <v>2</v>
      </c>
      <c r="AA1277" s="33" t="inlineStr"/>
      <c r="AB1277" s="33" t="inlineStr">
        <is>
          <t>https://www.swimcloud.com/results/204565/event/14/?id=44269183#time44269183</t>
        </is>
      </c>
      <c r="AC1277" s="33" t="inlineStr">
        <is>
          <t>SwimCloud API v6 2026-10-08</t>
        </is>
      </c>
      <c r="AD1277" s="33" t="inlineStr">
        <is>
          <t>Jacob Whittle|2021-09-25|SCM|100|Free|47.26|ISL - Season 3, Match 10|FIN|True</t>
        </is>
      </c>
      <c r="AE1277" s="53">
        <f>G1277+L1277/1000+ROW()/1000000000</f>
        <v/>
      </c>
      <c r="AF1277" s="35">
        <f>IF(C1277&lt;&gt;"Grayson Coulter","",COUNTIFS($C$5:$C$2991,"Grayson Coulter",$Q$5:$Q$2991,Q1277,$AE$5:$AE$2991,"&lt;="&amp;AE1277,$R$5:$R$2991,"&lt;"&amp;R1277))</f>
        <v/>
      </c>
      <c r="AG1277" s="35">
        <f>IF(OR(C1277&lt;&gt;"Grayson Coulter",G1277&lt;'00_Control'!$B$7),"",--(AF1277&lt;5))</f>
        <v/>
      </c>
      <c r="AH1277" s="35">
        <f>IF(OR(C1277&lt;&gt;"Grayson Coulter",G1277&lt;'00_Control'!$B$7),"",--(AF1277&lt;10))</f>
        <v/>
      </c>
      <c r="AI1277" s="35">
        <f>IF(AND(C1277="Grayson Coulter",G1277&gt;='00_Control'!$B$7),"YES","NO")</f>
        <v/>
      </c>
      <c r="AJ1277" s="33" t="inlineStr">
        <is>
          <t>OK</t>
        </is>
      </c>
    </row>
    <row r="1278">
      <c r="A1278" s="33" t="inlineStr">
        <is>
          <t>SM001274</t>
        </is>
      </c>
      <c r="B1278" s="33" t="inlineStr">
        <is>
          <t>SW008</t>
        </is>
      </c>
      <c r="C1278" s="33" t="inlineStr">
        <is>
          <t>Jacob Whittle</t>
        </is>
      </c>
      <c r="D1278" s="33" t="inlineStr">
        <is>
          <t>SwimCloud</t>
        </is>
      </c>
      <c r="E1278" s="33" t="inlineStr">
        <is>
          <t>1133535</t>
        </is>
      </c>
      <c r="F1278" s="33" t="inlineStr">
        <is>
          <t>44361321</t>
        </is>
      </c>
      <c r="G1278" s="51" t="n">
        <v>44468</v>
      </c>
      <c r="H1278" s="33" t="inlineStr">
        <is>
          <t>ISL - Season 3, Match 11</t>
        </is>
      </c>
      <c r="I1278" s="33" t="inlineStr">
        <is>
          <t>204569</t>
        </is>
      </c>
      <c r="J1278" s="33" t="inlineStr"/>
      <c r="K1278" s="33" t="inlineStr">
        <is>
          <t>FIN</t>
        </is>
      </c>
      <c r="L1278" s="35">
        <f>IF(K1278="FIN",3,IF(OR(K1278="SEM",K1278="SEMI"),2,IF(OR(K1278="PRE",K1278="HEAT"),1,IF(V1278="YES",4,2))))</f>
        <v/>
      </c>
      <c r="M1278" s="33" t="inlineStr">
        <is>
          <t>SCM</t>
        </is>
      </c>
      <c r="N1278" s="33" t="n">
        <v>100</v>
      </c>
      <c r="O1278" s="33" t="inlineStr">
        <is>
          <t>Free</t>
        </is>
      </c>
      <c r="P1278" s="33" t="inlineStr">
        <is>
          <t>100 Free</t>
        </is>
      </c>
      <c r="Q1278" s="33" t="inlineStr">
        <is>
          <t>SCM_100_FREE</t>
        </is>
      </c>
      <c r="R1278" s="36" t="n">
        <v>47.23</v>
      </c>
      <c r="S1278" s="35">
        <f>IF(R1278="","",IF(R1278&gt;=60,INT(R1278/60)&amp;":"&amp;TEXT(MOD(R1278,60),"00.00"),TEXT(R1278,"0.00")))</f>
        <v/>
      </c>
      <c r="T1278" s="52">
        <f>IFERROR((G1278-INDEX('01_Swimmers'!$E$5:$E$22,MATCH(B1278,'01_Swimmers'!$A$5:$A$22,0)))/'00_Control'!$B$10,"")</f>
        <v/>
      </c>
      <c r="U1278" s="35">
        <f>IF(T1278="","",INT(T1278))</f>
        <v/>
      </c>
      <c r="V1278" s="33" t="inlineStr">
        <is>
          <t>YES</t>
        </is>
      </c>
      <c r="W1278" s="33" t="inlineStr">
        <is>
          <t>YES</t>
        </is>
      </c>
      <c r="X1278" s="33" t="inlineStr">
        <is>
          <t>NO</t>
        </is>
      </c>
      <c r="Y1278" s="33" t="n">
        <v>1</v>
      </c>
      <c r="Z1278" s="33" t="n">
        <v>2</v>
      </c>
      <c r="AA1278" s="33" t="inlineStr"/>
      <c r="AB1278" s="33" t="inlineStr">
        <is>
          <t>https://www.swimcloud.com/results/204569/event/14/?id=44361148#time44361148</t>
        </is>
      </c>
      <c r="AC1278" s="33" t="inlineStr">
        <is>
          <t>SwimCloud API v6 2026-10-08</t>
        </is>
      </c>
      <c r="AD1278" s="33" t="inlineStr">
        <is>
          <t>Jacob Whittle|2021-09-29|SCM|100|Free|47.23|ISL - Season 3, Match 11|FIN|True</t>
        </is>
      </c>
      <c r="AE1278" s="53">
        <f>G1278+L1278/1000+ROW()/1000000000</f>
        <v/>
      </c>
      <c r="AF1278" s="35">
        <f>IF(C1278&lt;&gt;"Grayson Coulter","",COUNTIFS($C$5:$C$2991,"Grayson Coulter",$Q$5:$Q$2991,Q1278,$AE$5:$AE$2991,"&lt;="&amp;AE1278,$R$5:$R$2991,"&lt;"&amp;R1278))</f>
        <v/>
      </c>
      <c r="AG1278" s="35">
        <f>IF(OR(C1278&lt;&gt;"Grayson Coulter",G1278&lt;'00_Control'!$B$7),"",--(AF1278&lt;5))</f>
        <v/>
      </c>
      <c r="AH1278" s="35">
        <f>IF(OR(C1278&lt;&gt;"Grayson Coulter",G1278&lt;'00_Control'!$B$7),"",--(AF1278&lt;10))</f>
        <v/>
      </c>
      <c r="AI1278" s="35">
        <f>IF(AND(C1278="Grayson Coulter",G1278&gt;='00_Control'!$B$7),"YES","NO")</f>
        <v/>
      </c>
      <c r="AJ1278" s="33" t="inlineStr">
        <is>
          <t>OK</t>
        </is>
      </c>
    </row>
    <row r="1279">
      <c r="A1279" s="33" t="inlineStr">
        <is>
          <t>SM001275</t>
        </is>
      </c>
      <c r="B1279" s="33" t="inlineStr">
        <is>
          <t>SW008</t>
        </is>
      </c>
      <c r="C1279" s="33" t="inlineStr">
        <is>
          <t>Jacob Whittle</t>
        </is>
      </c>
      <c r="D1279" s="33" t="inlineStr">
        <is>
          <t>SwimCloud</t>
        </is>
      </c>
      <c r="E1279" s="33" t="inlineStr">
        <is>
          <t>1133535</t>
        </is>
      </c>
      <c r="F1279" s="33" t="inlineStr">
        <is>
          <t>74236141</t>
        </is>
      </c>
      <c r="G1279" s="51" t="n">
        <v>44625</v>
      </c>
      <c r="H1279" s="33" t="inlineStr">
        <is>
          <t>Golden Tour FFN 2</t>
        </is>
      </c>
      <c r="I1279" s="33" t="inlineStr">
        <is>
          <t>224342</t>
        </is>
      </c>
      <c r="J1279" s="33" t="inlineStr"/>
      <c r="K1279" s="33" t="inlineStr">
        <is>
          <t>PRE</t>
        </is>
      </c>
      <c r="L1279" s="35">
        <f>IF(K1279="FIN",3,IF(OR(K1279="SEM",K1279="SEMI"),2,IF(OR(K1279="PRE",K1279="HEAT"),1,IF(V1279="YES",4,2))))</f>
        <v/>
      </c>
      <c r="M1279" s="33" t="inlineStr">
        <is>
          <t>LCM</t>
        </is>
      </c>
      <c r="N1279" s="33" t="n">
        <v>200</v>
      </c>
      <c r="O1279" s="33" t="inlineStr">
        <is>
          <t>Free</t>
        </is>
      </c>
      <c r="P1279" s="33" t="inlineStr">
        <is>
          <t>200 Free</t>
        </is>
      </c>
      <c r="Q1279" s="33" t="inlineStr">
        <is>
          <t>LCM_200_FREE</t>
        </is>
      </c>
      <c r="R1279" s="36" t="n">
        <v>110.33</v>
      </c>
      <c r="S1279" s="35">
        <f>IF(R1279="","",IF(R1279&gt;=60,INT(R1279/60)&amp;":"&amp;TEXT(MOD(R1279,60),"00.00"),TEXT(R1279,"0.00")))</f>
        <v/>
      </c>
      <c r="T1279" s="52">
        <f>IFERROR((G1279-INDEX('01_Swimmers'!$E$5:$E$22,MATCH(B1279,'01_Swimmers'!$A$5:$A$22,0)))/'00_Control'!$B$10,"")</f>
        <v/>
      </c>
      <c r="U1279" s="35">
        <f>IF(T1279="","",INT(T1279))</f>
        <v/>
      </c>
      <c r="V1279" s="33" t="inlineStr">
        <is>
          <t>NO</t>
        </is>
      </c>
      <c r="W1279" s="33" t="inlineStr">
        <is>
          <t>YES</t>
        </is>
      </c>
      <c r="X1279" s="33" t="inlineStr">
        <is>
          <t>NO</t>
        </is>
      </c>
      <c r="Y1279" s="33" t="n">
        <v>6</v>
      </c>
      <c r="Z1279" s="33" t="n">
        <v>3</v>
      </c>
      <c r="AA1279" s="33" t="inlineStr">
        <is>
          <t>5</t>
        </is>
      </c>
      <c r="AB1279" s="33" t="inlineStr">
        <is>
          <t>https://www.swimcloud.com/results/224342/event/53/?id=74236141#time74236141</t>
        </is>
      </c>
      <c r="AC1279" s="33" t="inlineStr">
        <is>
          <t>SwimCloud API v6 2026-10-08</t>
        </is>
      </c>
      <c r="AD1279" s="33" t="inlineStr">
        <is>
          <t>Jacob Whittle|2022-03-05|LCM|200|Free|110.33|Golden Tour FFN 2|PRE|False</t>
        </is>
      </c>
      <c r="AE1279" s="53">
        <f>G1279+L1279/1000+ROW()/1000000000</f>
        <v/>
      </c>
      <c r="AF1279" s="35">
        <f>IF(C1279&lt;&gt;"Grayson Coulter","",COUNTIFS($C$5:$C$2991,"Grayson Coulter",$Q$5:$Q$2991,Q1279,$AE$5:$AE$2991,"&lt;="&amp;AE1279,$R$5:$R$2991,"&lt;"&amp;R1279))</f>
        <v/>
      </c>
      <c r="AG1279" s="35">
        <f>IF(OR(C1279&lt;&gt;"Grayson Coulter",G1279&lt;'00_Control'!$B$7),"",--(AF1279&lt;5))</f>
        <v/>
      </c>
      <c r="AH1279" s="35">
        <f>IF(OR(C1279&lt;&gt;"Grayson Coulter",G1279&lt;'00_Control'!$B$7),"",--(AF1279&lt;10))</f>
        <v/>
      </c>
      <c r="AI1279" s="35">
        <f>IF(AND(C1279="Grayson Coulter",G1279&gt;='00_Control'!$B$7),"YES","NO")</f>
        <v/>
      </c>
      <c r="AJ1279" s="33" t="inlineStr">
        <is>
          <t>OK</t>
        </is>
      </c>
    </row>
    <row r="1280">
      <c r="A1280" s="33" t="inlineStr">
        <is>
          <t>SM001276</t>
        </is>
      </c>
      <c r="B1280" s="33" t="inlineStr">
        <is>
          <t>SW008</t>
        </is>
      </c>
      <c r="C1280" s="33" t="inlineStr">
        <is>
          <t>Jacob Whittle</t>
        </is>
      </c>
      <c r="D1280" s="33" t="inlineStr">
        <is>
          <t>SwimCloud</t>
        </is>
      </c>
      <c r="E1280" s="33" t="inlineStr">
        <is>
          <t>1133535</t>
        </is>
      </c>
      <c r="F1280" s="33" t="inlineStr">
        <is>
          <t>74236319</t>
        </is>
      </c>
      <c r="G1280" s="51" t="n">
        <v>44625</v>
      </c>
      <c r="H1280" s="33" t="inlineStr">
        <is>
          <t>Golden Tour FFN 2</t>
        </is>
      </c>
      <c r="I1280" s="33" t="inlineStr">
        <is>
          <t>224342</t>
        </is>
      </c>
      <c r="J1280" s="33" t="inlineStr"/>
      <c r="K1280" s="33" t="inlineStr">
        <is>
          <t>FIN</t>
        </is>
      </c>
      <c r="L1280" s="35">
        <f>IF(K1280="FIN",3,IF(OR(K1280="SEM",K1280="SEMI"),2,IF(OR(K1280="PRE",K1280="HEAT"),1,IF(V1280="YES",4,2))))</f>
        <v/>
      </c>
      <c r="M1280" s="33" t="inlineStr">
        <is>
          <t>LCM</t>
        </is>
      </c>
      <c r="N1280" s="33" t="n">
        <v>200</v>
      </c>
      <c r="O1280" s="33" t="inlineStr">
        <is>
          <t>Free</t>
        </is>
      </c>
      <c r="P1280" s="33" t="inlineStr">
        <is>
          <t>200 Free</t>
        </is>
      </c>
      <c r="Q1280" s="33" t="inlineStr">
        <is>
          <t>LCM_200_FREE</t>
        </is>
      </c>
      <c r="R1280" s="36" t="n">
        <v>109.19</v>
      </c>
      <c r="S1280" s="35">
        <f>IF(R1280="","",IF(R1280&gt;=60,INT(R1280/60)&amp;":"&amp;TEXT(MOD(R1280,60),"00.00"),TEXT(R1280,"0.00")))</f>
        <v/>
      </c>
      <c r="T1280" s="52">
        <f>IFERROR((G1280-INDEX('01_Swimmers'!$E$5:$E$22,MATCH(B1280,'01_Swimmers'!$A$5:$A$22,0)))/'00_Control'!$B$10,"")</f>
        <v/>
      </c>
      <c r="U1280" s="35">
        <f>IF(T1280="","",INT(T1280))</f>
        <v/>
      </c>
      <c r="V1280" s="33" t="inlineStr">
        <is>
          <t>NO</t>
        </is>
      </c>
      <c r="W1280" s="33" t="inlineStr">
        <is>
          <t>YES</t>
        </is>
      </c>
      <c r="X1280" s="33" t="inlineStr">
        <is>
          <t>NO</t>
        </is>
      </c>
      <c r="Y1280" s="33" t="n">
        <v>4</v>
      </c>
      <c r="Z1280" s="33" t="n">
        <v>2</v>
      </c>
      <c r="AA1280" s="33" t="inlineStr">
        <is>
          <t>3</t>
        </is>
      </c>
      <c r="AB1280" s="33" t="inlineStr">
        <is>
          <t>https://www.swimcloud.com/results/224342/event/53/?id=74236319#time74236319</t>
        </is>
      </c>
      <c r="AC1280" s="33" t="inlineStr">
        <is>
          <t>SwimCloud API v6 2026-10-08</t>
        </is>
      </c>
      <c r="AD1280" s="33" t="inlineStr">
        <is>
          <t>Jacob Whittle|2022-03-05|LCM|200|Free|109.19|Golden Tour FFN 2|FIN|False</t>
        </is>
      </c>
      <c r="AE1280" s="53">
        <f>G1280+L1280/1000+ROW()/1000000000</f>
        <v/>
      </c>
      <c r="AF1280" s="35">
        <f>IF(C1280&lt;&gt;"Grayson Coulter","",COUNTIFS($C$5:$C$2991,"Grayson Coulter",$Q$5:$Q$2991,Q1280,$AE$5:$AE$2991,"&lt;="&amp;AE1280,$R$5:$R$2991,"&lt;"&amp;R1280))</f>
        <v/>
      </c>
      <c r="AG1280" s="35">
        <f>IF(OR(C1280&lt;&gt;"Grayson Coulter",G1280&lt;'00_Control'!$B$7),"",--(AF1280&lt;5))</f>
        <v/>
      </c>
      <c r="AH1280" s="35">
        <f>IF(OR(C1280&lt;&gt;"Grayson Coulter",G1280&lt;'00_Control'!$B$7),"",--(AF1280&lt;10))</f>
        <v/>
      </c>
      <c r="AI1280" s="35">
        <f>IF(AND(C1280="Grayson Coulter",G1280&gt;='00_Control'!$B$7),"YES","NO")</f>
        <v/>
      </c>
      <c r="AJ1280" s="33" t="inlineStr">
        <is>
          <t>OK</t>
        </is>
      </c>
    </row>
    <row r="1281">
      <c r="A1281" s="33" t="inlineStr">
        <is>
          <t>SM001277</t>
        </is>
      </c>
      <c r="B1281" s="33" t="inlineStr">
        <is>
          <t>SW008</t>
        </is>
      </c>
      <c r="C1281" s="33" t="inlineStr">
        <is>
          <t>Jacob Whittle</t>
        </is>
      </c>
      <c r="D1281" s="33" t="inlineStr">
        <is>
          <t>SwimCloud</t>
        </is>
      </c>
      <c r="E1281" s="33" t="inlineStr">
        <is>
          <t>1133535</t>
        </is>
      </c>
      <c r="F1281" s="33" t="inlineStr">
        <is>
          <t>74236613</t>
        </is>
      </c>
      <c r="G1281" s="51" t="n">
        <v>44626</v>
      </c>
      <c r="H1281" s="33" t="inlineStr">
        <is>
          <t>Golden Tour FFN 2</t>
        </is>
      </c>
      <c r="I1281" s="33" t="inlineStr">
        <is>
          <t>224342</t>
        </is>
      </c>
      <c r="J1281" s="33" t="inlineStr"/>
      <c r="K1281" s="33" t="inlineStr">
        <is>
          <t>PRE</t>
        </is>
      </c>
      <c r="L1281" s="35">
        <f>IF(K1281="FIN",3,IF(OR(K1281="SEM",K1281="SEMI"),2,IF(OR(K1281="PRE",K1281="HEAT"),1,IF(V1281="YES",4,2))))</f>
        <v/>
      </c>
      <c r="M1281" s="33" t="inlineStr">
        <is>
          <t>LCM</t>
        </is>
      </c>
      <c r="N1281" s="33" t="n">
        <v>100</v>
      </c>
      <c r="O1281" s="33" t="inlineStr">
        <is>
          <t>Free</t>
        </is>
      </c>
      <c r="P1281" s="33" t="inlineStr">
        <is>
          <t>100 Free</t>
        </is>
      </c>
      <c r="Q1281" s="33" t="inlineStr">
        <is>
          <t>LCM_100_FREE</t>
        </is>
      </c>
      <c r="R1281" s="36" t="n">
        <v>49.26</v>
      </c>
      <c r="S1281" s="35">
        <f>IF(R1281="","",IF(R1281&gt;=60,INT(R1281/60)&amp;":"&amp;TEXT(MOD(R1281,60),"00.00"),TEXT(R1281,"0.00")))</f>
        <v/>
      </c>
      <c r="T1281" s="52">
        <f>IFERROR((G1281-INDEX('01_Swimmers'!$E$5:$E$22,MATCH(B1281,'01_Swimmers'!$A$5:$A$22,0)))/'00_Control'!$B$10,"")</f>
        <v/>
      </c>
      <c r="U1281" s="35">
        <f>IF(T1281="","",INT(T1281))</f>
        <v/>
      </c>
      <c r="V1281" s="33" t="inlineStr">
        <is>
          <t>NO</t>
        </is>
      </c>
      <c r="W1281" s="33" t="inlineStr">
        <is>
          <t>YES</t>
        </is>
      </c>
      <c r="X1281" s="33" t="inlineStr">
        <is>
          <t>NO</t>
        </is>
      </c>
      <c r="Y1281" s="33" t="n">
        <v>8</v>
      </c>
      <c r="Z1281" s="33" t="n">
        <v>4</v>
      </c>
      <c r="AA1281" s="33" t="inlineStr">
        <is>
          <t>1</t>
        </is>
      </c>
      <c r="AB1281" s="33" t="inlineStr">
        <is>
          <t>https://www.swimcloud.com/results/224342/event/52/?id=74236613#time74236613</t>
        </is>
      </c>
      <c r="AC1281" s="33" t="inlineStr">
        <is>
          <t>SwimCloud API v6 2026-10-08</t>
        </is>
      </c>
      <c r="AD1281" s="33" t="inlineStr">
        <is>
          <t>Jacob Whittle|2022-03-06|LCM|100|Free|49.26|Golden Tour FFN 2|PRE|False</t>
        </is>
      </c>
      <c r="AE1281" s="53">
        <f>G1281+L1281/1000+ROW()/1000000000</f>
        <v/>
      </c>
      <c r="AF1281" s="35">
        <f>IF(C1281&lt;&gt;"Grayson Coulter","",COUNTIFS($C$5:$C$2991,"Grayson Coulter",$Q$5:$Q$2991,Q1281,$AE$5:$AE$2991,"&lt;="&amp;AE1281,$R$5:$R$2991,"&lt;"&amp;R1281))</f>
        <v/>
      </c>
      <c r="AG1281" s="35">
        <f>IF(OR(C1281&lt;&gt;"Grayson Coulter",G1281&lt;'00_Control'!$B$7),"",--(AF1281&lt;5))</f>
        <v/>
      </c>
      <c r="AH1281" s="35">
        <f>IF(OR(C1281&lt;&gt;"Grayson Coulter",G1281&lt;'00_Control'!$B$7),"",--(AF1281&lt;10))</f>
        <v/>
      </c>
      <c r="AI1281" s="35">
        <f>IF(AND(C1281="Grayson Coulter",G1281&gt;='00_Control'!$B$7),"YES","NO")</f>
        <v/>
      </c>
      <c r="AJ1281" s="33" t="inlineStr">
        <is>
          <t>OK</t>
        </is>
      </c>
    </row>
    <row r="1282">
      <c r="A1282" s="33" t="inlineStr">
        <is>
          <t>SM001278</t>
        </is>
      </c>
      <c r="B1282" s="33" t="inlineStr">
        <is>
          <t>SW008</t>
        </is>
      </c>
      <c r="C1282" s="33" t="inlineStr">
        <is>
          <t>Jacob Whittle</t>
        </is>
      </c>
      <c r="D1282" s="33" t="inlineStr">
        <is>
          <t>SwimCloud</t>
        </is>
      </c>
      <c r="E1282" s="33" t="inlineStr">
        <is>
          <t>1133535</t>
        </is>
      </c>
      <c r="F1282" s="33" t="inlineStr">
        <is>
          <t>74236876</t>
        </is>
      </c>
      <c r="G1282" s="51" t="n">
        <v>44626</v>
      </c>
      <c r="H1282" s="33" t="inlineStr">
        <is>
          <t>Golden Tour FFN 2</t>
        </is>
      </c>
      <c r="I1282" s="33" t="inlineStr">
        <is>
          <t>224342</t>
        </is>
      </c>
      <c r="J1282" s="33" t="inlineStr"/>
      <c r="K1282" s="33" t="inlineStr">
        <is>
          <t>FIN</t>
        </is>
      </c>
      <c r="L1282" s="35">
        <f>IF(K1282="FIN",3,IF(OR(K1282="SEM",K1282="SEMI"),2,IF(OR(K1282="PRE",K1282="HEAT"),1,IF(V1282="YES",4,2))))</f>
        <v/>
      </c>
      <c r="M1282" s="33" t="inlineStr">
        <is>
          <t>LCM</t>
        </is>
      </c>
      <c r="N1282" s="33" t="n">
        <v>100</v>
      </c>
      <c r="O1282" s="33" t="inlineStr">
        <is>
          <t>Free</t>
        </is>
      </c>
      <c r="P1282" s="33" t="inlineStr">
        <is>
          <t>100 Free</t>
        </is>
      </c>
      <c r="Q1282" s="33" t="inlineStr">
        <is>
          <t>LCM_100_FREE</t>
        </is>
      </c>
      <c r="R1282" s="36" t="n">
        <v>49.15</v>
      </c>
      <c r="S1282" s="35">
        <f>IF(R1282="","",IF(R1282&gt;=60,INT(R1282/60)&amp;":"&amp;TEXT(MOD(R1282,60),"00.00"),TEXT(R1282,"0.00")))</f>
        <v/>
      </c>
      <c r="T1282" s="52">
        <f>IFERROR((G1282-INDEX('01_Swimmers'!$E$5:$E$22,MATCH(B1282,'01_Swimmers'!$A$5:$A$22,0)))/'00_Control'!$B$10,"")</f>
        <v/>
      </c>
      <c r="U1282" s="35">
        <f>IF(T1282="","",INT(T1282))</f>
        <v/>
      </c>
      <c r="V1282" s="33" t="inlineStr">
        <is>
          <t>NO</t>
        </is>
      </c>
      <c r="W1282" s="33" t="inlineStr">
        <is>
          <t>YES</t>
        </is>
      </c>
      <c r="X1282" s="33" t="inlineStr">
        <is>
          <t>NO</t>
        </is>
      </c>
      <c r="Y1282" s="33" t="n">
        <v>4</v>
      </c>
      <c r="Z1282" s="33" t="n">
        <v>4</v>
      </c>
      <c r="AA1282" s="33" t="inlineStr">
        <is>
          <t>1</t>
        </is>
      </c>
      <c r="AB1282" s="33" t="inlineStr">
        <is>
          <t>https://www.swimcloud.com/results/224342/event/52/?id=74236876#time74236876</t>
        </is>
      </c>
      <c r="AC1282" s="33" t="inlineStr">
        <is>
          <t>SwimCloud API v6 2026-10-08</t>
        </is>
      </c>
      <c r="AD1282" s="33" t="inlineStr">
        <is>
          <t>Jacob Whittle|2022-03-06|LCM|100|Free|49.15|Golden Tour FFN 2|FIN|False</t>
        </is>
      </c>
      <c r="AE1282" s="53">
        <f>G1282+L1282/1000+ROW()/1000000000</f>
        <v/>
      </c>
      <c r="AF1282" s="35">
        <f>IF(C1282&lt;&gt;"Grayson Coulter","",COUNTIFS($C$5:$C$2991,"Grayson Coulter",$Q$5:$Q$2991,Q1282,$AE$5:$AE$2991,"&lt;="&amp;AE1282,$R$5:$R$2991,"&lt;"&amp;R1282))</f>
        <v/>
      </c>
      <c r="AG1282" s="35">
        <f>IF(OR(C1282&lt;&gt;"Grayson Coulter",G1282&lt;'00_Control'!$B$7),"",--(AF1282&lt;5))</f>
        <v/>
      </c>
      <c r="AH1282" s="35">
        <f>IF(OR(C1282&lt;&gt;"Grayson Coulter",G1282&lt;'00_Control'!$B$7),"",--(AF1282&lt;10))</f>
        <v/>
      </c>
      <c r="AI1282" s="35">
        <f>IF(AND(C1282="Grayson Coulter",G1282&gt;='00_Control'!$B$7),"YES","NO")</f>
        <v/>
      </c>
      <c r="AJ1282" s="33" t="inlineStr">
        <is>
          <t>OK</t>
        </is>
      </c>
    </row>
    <row r="1283">
      <c r="A1283" s="33" t="inlineStr">
        <is>
          <t>SM001279</t>
        </is>
      </c>
      <c r="B1283" s="33" t="inlineStr">
        <is>
          <t>SW008</t>
        </is>
      </c>
      <c r="C1283" s="33" t="inlineStr">
        <is>
          <t>Jacob Whittle</t>
        </is>
      </c>
      <c r="D1283" s="33" t="inlineStr">
        <is>
          <t>SwimCloud</t>
        </is>
      </c>
      <c r="E1283" s="33" t="inlineStr">
        <is>
          <t>1133535</t>
        </is>
      </c>
      <c r="F1283" s="33" t="inlineStr">
        <is>
          <t>123091316</t>
        </is>
      </c>
      <c r="G1283" s="51" t="n">
        <v>44631</v>
      </c>
      <c r="H1283" s="33" t="inlineStr">
        <is>
          <t>Edinburgh International Swim Meet</t>
        </is>
      </c>
      <c r="I1283" s="33" t="inlineStr">
        <is>
          <t>229984</t>
        </is>
      </c>
      <c r="J1283" s="33" t="inlineStr"/>
      <c r="K1283" s="33" t="inlineStr">
        <is>
          <t>PRE</t>
        </is>
      </c>
      <c r="L1283" s="35">
        <f>IF(K1283="FIN",3,IF(OR(K1283="SEM",K1283="SEMI"),2,IF(OR(K1283="PRE",K1283="HEAT"),1,IF(V1283="YES",4,2))))</f>
        <v/>
      </c>
      <c r="M1283" s="33" t="inlineStr">
        <is>
          <t>LCM</t>
        </is>
      </c>
      <c r="N1283" s="33" t="n">
        <v>200</v>
      </c>
      <c r="O1283" s="33" t="inlineStr">
        <is>
          <t>Free</t>
        </is>
      </c>
      <c r="P1283" s="33" t="inlineStr">
        <is>
          <t>200 Free</t>
        </is>
      </c>
      <c r="Q1283" s="33" t="inlineStr">
        <is>
          <t>LCM_200_FREE</t>
        </is>
      </c>
      <c r="R1283" s="36" t="n">
        <v>111.81</v>
      </c>
      <c r="S1283" s="35">
        <f>IF(R1283="","",IF(R1283&gt;=60,INT(R1283/60)&amp;":"&amp;TEXT(MOD(R1283,60),"00.00"),TEXT(R1283,"0.00")))</f>
        <v/>
      </c>
      <c r="T1283" s="52">
        <f>IFERROR((G1283-INDEX('01_Swimmers'!$E$5:$E$22,MATCH(B1283,'01_Swimmers'!$A$5:$A$22,0)))/'00_Control'!$B$10,"")</f>
        <v/>
      </c>
      <c r="U1283" s="35">
        <f>IF(T1283="","",INT(T1283))</f>
        <v/>
      </c>
      <c r="V1283" s="33" t="inlineStr">
        <is>
          <t>NO</t>
        </is>
      </c>
      <c r="W1283" s="33" t="inlineStr">
        <is>
          <t>YES</t>
        </is>
      </c>
      <c r="X1283" s="33" t="inlineStr">
        <is>
          <t>NO</t>
        </is>
      </c>
      <c r="Y1283" s="33" t="n">
        <v>9</v>
      </c>
      <c r="Z1283" s="33" t="n">
        <v>6</v>
      </c>
      <c r="AA1283" s="33" t="inlineStr">
        <is>
          <t>11</t>
        </is>
      </c>
      <c r="AB1283" s="33" t="inlineStr">
        <is>
          <t>https://www.swimcloud.com/results/229984/event/105/?id=123091316#time123091316</t>
        </is>
      </c>
      <c r="AC1283" s="33" t="inlineStr">
        <is>
          <t>SwimCloud API v6 2026-10-08</t>
        </is>
      </c>
      <c r="AD1283" s="33" t="inlineStr">
        <is>
          <t>Jacob Whittle|2022-03-11|LCM|200|Free|111.81|Edinburgh International Swim Meet|PRE|False</t>
        </is>
      </c>
      <c r="AE1283" s="53">
        <f>G1283+L1283/1000+ROW()/1000000000</f>
        <v/>
      </c>
      <c r="AF1283" s="35">
        <f>IF(C1283&lt;&gt;"Grayson Coulter","",COUNTIFS($C$5:$C$2991,"Grayson Coulter",$Q$5:$Q$2991,Q1283,$AE$5:$AE$2991,"&lt;="&amp;AE1283,$R$5:$R$2991,"&lt;"&amp;R1283))</f>
        <v/>
      </c>
      <c r="AG1283" s="35">
        <f>IF(OR(C1283&lt;&gt;"Grayson Coulter",G1283&lt;'00_Control'!$B$7),"",--(AF1283&lt;5))</f>
        <v/>
      </c>
      <c r="AH1283" s="35">
        <f>IF(OR(C1283&lt;&gt;"Grayson Coulter",G1283&lt;'00_Control'!$B$7),"",--(AF1283&lt;10))</f>
        <v/>
      </c>
      <c r="AI1283" s="35">
        <f>IF(AND(C1283="Grayson Coulter",G1283&gt;='00_Control'!$B$7),"YES","NO")</f>
        <v/>
      </c>
      <c r="AJ1283" s="33" t="inlineStr">
        <is>
          <t>OK</t>
        </is>
      </c>
    </row>
    <row r="1284">
      <c r="A1284" s="33" t="inlineStr">
        <is>
          <t>SM001280</t>
        </is>
      </c>
      <c r="B1284" s="33" t="inlineStr">
        <is>
          <t>SW008</t>
        </is>
      </c>
      <c r="C1284" s="33" t="inlineStr">
        <is>
          <t>Jacob Whittle</t>
        </is>
      </c>
      <c r="D1284" s="33" t="inlineStr">
        <is>
          <t>SwimCloud</t>
        </is>
      </c>
      <c r="E1284" s="33" t="inlineStr">
        <is>
          <t>1133535</t>
        </is>
      </c>
      <c r="F1284" s="33" t="inlineStr">
        <is>
          <t>123091317</t>
        </is>
      </c>
      <c r="G1284" s="51" t="n">
        <v>44631</v>
      </c>
      <c r="H1284" s="33" t="inlineStr">
        <is>
          <t>Edinburgh International Swim Meet</t>
        </is>
      </c>
      <c r="I1284" s="33" t="inlineStr">
        <is>
          <t>229984</t>
        </is>
      </c>
      <c r="J1284" s="33" t="inlineStr"/>
      <c r="K1284" s="33" t="inlineStr">
        <is>
          <t>FIN</t>
        </is>
      </c>
      <c r="L1284" s="35">
        <f>IF(K1284="FIN",3,IF(OR(K1284="SEM",K1284="SEMI"),2,IF(OR(K1284="PRE",K1284="HEAT"),1,IF(V1284="YES",4,2))))</f>
        <v/>
      </c>
      <c r="M1284" s="33" t="inlineStr">
        <is>
          <t>LCM</t>
        </is>
      </c>
      <c r="N1284" s="33" t="n">
        <v>200</v>
      </c>
      <c r="O1284" s="33" t="inlineStr">
        <is>
          <t>Free</t>
        </is>
      </c>
      <c r="P1284" s="33" t="inlineStr">
        <is>
          <t>200 Free</t>
        </is>
      </c>
      <c r="Q1284" s="33" t="inlineStr">
        <is>
          <t>LCM_200_FREE</t>
        </is>
      </c>
      <c r="R1284" s="36" t="n">
        <v>110.84</v>
      </c>
      <c r="S1284" s="35">
        <f>IF(R1284="","",IF(R1284&gt;=60,INT(R1284/60)&amp;":"&amp;TEXT(MOD(R1284,60),"00.00"),TEXT(R1284,"0.00")))</f>
        <v/>
      </c>
      <c r="T1284" s="52">
        <f>IFERROR((G1284-INDEX('01_Swimmers'!$E$5:$E$22,MATCH(B1284,'01_Swimmers'!$A$5:$A$22,0)))/'00_Control'!$B$10,"")</f>
        <v/>
      </c>
      <c r="U1284" s="35">
        <f>IF(T1284="","",INT(T1284))</f>
        <v/>
      </c>
      <c r="V1284" s="33" t="inlineStr">
        <is>
          <t>NO</t>
        </is>
      </c>
      <c r="W1284" s="33" t="inlineStr">
        <is>
          <t>YES</t>
        </is>
      </c>
      <c r="X1284" s="33" t="inlineStr">
        <is>
          <t>NO</t>
        </is>
      </c>
      <c r="Y1284" s="33" t="n">
        <v>2</v>
      </c>
      <c r="Z1284" s="33" t="n">
        <v>3</v>
      </c>
      <c r="AA1284" s="33" t="inlineStr">
        <is>
          <t>10</t>
        </is>
      </c>
      <c r="AB1284" s="33" t="inlineStr">
        <is>
          <t>https://www.swimcloud.com/results/229984/event/105/?id=123091317#time123091317</t>
        </is>
      </c>
      <c r="AC1284" s="33" t="inlineStr">
        <is>
          <t>SwimCloud API v6 2026-10-08</t>
        </is>
      </c>
      <c r="AD1284" s="33" t="inlineStr">
        <is>
          <t>Jacob Whittle|2022-03-11|LCM|200|Free|110.84|Edinburgh International Swim Meet|FIN|False</t>
        </is>
      </c>
      <c r="AE1284" s="53">
        <f>G1284+L1284/1000+ROW()/1000000000</f>
        <v/>
      </c>
      <c r="AF1284" s="35">
        <f>IF(C1284&lt;&gt;"Grayson Coulter","",COUNTIFS($C$5:$C$2991,"Grayson Coulter",$Q$5:$Q$2991,Q1284,$AE$5:$AE$2991,"&lt;="&amp;AE1284,$R$5:$R$2991,"&lt;"&amp;R1284))</f>
        <v/>
      </c>
      <c r="AG1284" s="35">
        <f>IF(OR(C1284&lt;&gt;"Grayson Coulter",G1284&lt;'00_Control'!$B$7),"",--(AF1284&lt;5))</f>
        <v/>
      </c>
      <c r="AH1284" s="35">
        <f>IF(OR(C1284&lt;&gt;"Grayson Coulter",G1284&lt;'00_Control'!$B$7),"",--(AF1284&lt;10))</f>
        <v/>
      </c>
      <c r="AI1284" s="35">
        <f>IF(AND(C1284="Grayson Coulter",G1284&gt;='00_Control'!$B$7),"YES","NO")</f>
        <v/>
      </c>
      <c r="AJ1284" s="33" t="inlineStr">
        <is>
          <t>OK</t>
        </is>
      </c>
    </row>
    <row r="1285">
      <c r="A1285" s="33" t="inlineStr">
        <is>
          <t>SM001281</t>
        </is>
      </c>
      <c r="B1285" s="33" t="inlineStr">
        <is>
          <t>SW008</t>
        </is>
      </c>
      <c r="C1285" s="33" t="inlineStr">
        <is>
          <t>Jacob Whittle</t>
        </is>
      </c>
      <c r="D1285" s="33" t="inlineStr">
        <is>
          <t>SwimCloud</t>
        </is>
      </c>
      <c r="E1285" s="33" t="inlineStr">
        <is>
          <t>1133535</t>
        </is>
      </c>
      <c r="F1285" s="33" t="inlineStr">
        <is>
          <t>123091042</t>
        </is>
      </c>
      <c r="G1285" s="51" t="n">
        <v>44633</v>
      </c>
      <c r="H1285" s="33" t="inlineStr">
        <is>
          <t>Edinburgh International Swim Meet</t>
        </is>
      </c>
      <c r="I1285" s="33" t="inlineStr">
        <is>
          <t>229984</t>
        </is>
      </c>
      <c r="J1285" s="33" t="inlineStr"/>
      <c r="K1285" s="33" t="inlineStr">
        <is>
          <t>PRE</t>
        </is>
      </c>
      <c r="L1285" s="35">
        <f>IF(K1285="FIN",3,IF(OR(K1285="SEM",K1285="SEMI"),2,IF(OR(K1285="PRE",K1285="HEAT"),1,IF(V1285="YES",4,2))))</f>
        <v/>
      </c>
      <c r="M1285" s="33" t="inlineStr">
        <is>
          <t>LCM</t>
        </is>
      </c>
      <c r="N1285" s="33" t="n">
        <v>100</v>
      </c>
      <c r="O1285" s="33" t="inlineStr">
        <is>
          <t>Free</t>
        </is>
      </c>
      <c r="P1285" s="33" t="inlineStr">
        <is>
          <t>100 Free</t>
        </is>
      </c>
      <c r="Q1285" s="33" t="inlineStr">
        <is>
          <t>LCM_100_FREE</t>
        </is>
      </c>
      <c r="R1285" s="36" t="n">
        <v>49.57</v>
      </c>
      <c r="S1285" s="35">
        <f>IF(R1285="","",IF(R1285&gt;=60,INT(R1285/60)&amp;":"&amp;TEXT(MOD(R1285,60),"00.00"),TEXT(R1285,"0.00")))</f>
        <v/>
      </c>
      <c r="T1285" s="52">
        <f>IFERROR((G1285-INDEX('01_Swimmers'!$E$5:$E$22,MATCH(B1285,'01_Swimmers'!$A$5:$A$22,0)))/'00_Control'!$B$10,"")</f>
        <v/>
      </c>
      <c r="U1285" s="35">
        <f>IF(T1285="","",INT(T1285))</f>
        <v/>
      </c>
      <c r="V1285" s="33" t="inlineStr">
        <is>
          <t>NO</t>
        </is>
      </c>
      <c r="W1285" s="33" t="inlineStr">
        <is>
          <t>YES</t>
        </is>
      </c>
      <c r="X1285" s="33" t="inlineStr">
        <is>
          <t>NO</t>
        </is>
      </c>
      <c r="Y1285" s="33" t="n">
        <v>8</v>
      </c>
      <c r="Z1285" s="33" t="n">
        <v>4</v>
      </c>
      <c r="AA1285" s="33" t="inlineStr">
        <is>
          <t>2</t>
        </is>
      </c>
      <c r="AB1285" s="33" t="inlineStr">
        <is>
          <t>https://www.swimcloud.com/results/229984/event/306/?id=123091042#time123091042</t>
        </is>
      </c>
      <c r="AC1285" s="33" t="inlineStr">
        <is>
          <t>SwimCloud API v6 2026-10-08</t>
        </is>
      </c>
      <c r="AD1285" s="33" t="inlineStr">
        <is>
          <t>Jacob Whittle|2022-03-13|LCM|100|Free|49.57|Edinburgh International Swim Meet|PRE|False</t>
        </is>
      </c>
      <c r="AE1285" s="53">
        <f>G1285+L1285/1000+ROW()/1000000000</f>
        <v/>
      </c>
      <c r="AF1285" s="35">
        <f>IF(C1285&lt;&gt;"Grayson Coulter","",COUNTIFS($C$5:$C$2991,"Grayson Coulter",$Q$5:$Q$2991,Q1285,$AE$5:$AE$2991,"&lt;="&amp;AE1285,$R$5:$R$2991,"&lt;"&amp;R1285))</f>
        <v/>
      </c>
      <c r="AG1285" s="35">
        <f>IF(OR(C1285&lt;&gt;"Grayson Coulter",G1285&lt;'00_Control'!$B$7),"",--(AF1285&lt;5))</f>
        <v/>
      </c>
      <c r="AH1285" s="35">
        <f>IF(OR(C1285&lt;&gt;"Grayson Coulter",G1285&lt;'00_Control'!$B$7),"",--(AF1285&lt;10))</f>
        <v/>
      </c>
      <c r="AI1285" s="35">
        <f>IF(AND(C1285="Grayson Coulter",G1285&gt;='00_Control'!$B$7),"YES","NO")</f>
        <v/>
      </c>
      <c r="AJ1285" s="33" t="inlineStr">
        <is>
          <t>OK</t>
        </is>
      </c>
    </row>
    <row r="1286">
      <c r="A1286" s="33" t="inlineStr">
        <is>
          <t>SM001282</t>
        </is>
      </c>
      <c r="B1286" s="33" t="inlineStr">
        <is>
          <t>SW008</t>
        </is>
      </c>
      <c r="C1286" s="33" t="inlineStr">
        <is>
          <t>Jacob Whittle</t>
        </is>
      </c>
      <c r="D1286" s="33" t="inlineStr">
        <is>
          <t>SwimCloud</t>
        </is>
      </c>
      <c r="E1286" s="33" t="inlineStr">
        <is>
          <t>1133535</t>
        </is>
      </c>
      <c r="F1286" s="33" t="inlineStr">
        <is>
          <t>123091043</t>
        </is>
      </c>
      <c r="G1286" s="51" t="n">
        <v>44633</v>
      </c>
      <c r="H1286" s="33" t="inlineStr">
        <is>
          <t>Edinburgh International Swim Meet</t>
        </is>
      </c>
      <c r="I1286" s="33" t="inlineStr">
        <is>
          <t>229984</t>
        </is>
      </c>
      <c r="J1286" s="33" t="inlineStr"/>
      <c r="K1286" s="33" t="inlineStr">
        <is>
          <t>FIN</t>
        </is>
      </c>
      <c r="L1286" s="35">
        <f>IF(K1286="FIN",3,IF(OR(K1286="SEM",K1286="SEMI"),2,IF(OR(K1286="PRE",K1286="HEAT"),1,IF(V1286="YES",4,2))))</f>
        <v/>
      </c>
      <c r="M1286" s="33" t="inlineStr">
        <is>
          <t>LCM</t>
        </is>
      </c>
      <c r="N1286" s="33" t="n">
        <v>100</v>
      </c>
      <c r="O1286" s="33" t="inlineStr">
        <is>
          <t>Free</t>
        </is>
      </c>
      <c r="P1286" s="33" t="inlineStr">
        <is>
          <t>100 Free</t>
        </is>
      </c>
      <c r="Q1286" s="33" t="inlineStr">
        <is>
          <t>LCM_100_FREE</t>
        </is>
      </c>
      <c r="R1286" s="36" t="n">
        <v>49.67</v>
      </c>
      <c r="S1286" s="35">
        <f>IF(R1286="","",IF(R1286&gt;=60,INT(R1286/60)&amp;":"&amp;TEXT(MOD(R1286,60),"00.00"),TEXT(R1286,"0.00")))</f>
        <v/>
      </c>
      <c r="T1286" s="52">
        <f>IFERROR((G1286-INDEX('01_Swimmers'!$E$5:$E$22,MATCH(B1286,'01_Swimmers'!$A$5:$A$22,0)))/'00_Control'!$B$10,"")</f>
        <v/>
      </c>
      <c r="U1286" s="35">
        <f>IF(T1286="","",INT(T1286))</f>
        <v/>
      </c>
      <c r="V1286" s="33" t="inlineStr">
        <is>
          <t>NO</t>
        </is>
      </c>
      <c r="W1286" s="33" t="inlineStr">
        <is>
          <t>YES</t>
        </is>
      </c>
      <c r="X1286" s="33" t="inlineStr">
        <is>
          <t>NO</t>
        </is>
      </c>
      <c r="Y1286" s="33" t="n">
        <v>3</v>
      </c>
      <c r="Z1286" s="33" t="n">
        <v>4</v>
      </c>
      <c r="AA1286" s="33" t="inlineStr">
        <is>
          <t>1</t>
        </is>
      </c>
      <c r="AB1286" s="33" t="inlineStr">
        <is>
          <t>https://www.swimcloud.com/results/229984/event/306/?id=123091043#time123091043</t>
        </is>
      </c>
      <c r="AC1286" s="33" t="inlineStr">
        <is>
          <t>SwimCloud API v6 2026-10-08</t>
        </is>
      </c>
      <c r="AD1286" s="33" t="inlineStr">
        <is>
          <t>Jacob Whittle|2022-03-13|LCM|100|Free|49.67|Edinburgh International Swim Meet|FIN|False</t>
        </is>
      </c>
      <c r="AE1286" s="53">
        <f>G1286+L1286/1000+ROW()/1000000000</f>
        <v/>
      </c>
      <c r="AF1286" s="35">
        <f>IF(C1286&lt;&gt;"Grayson Coulter","",COUNTIFS($C$5:$C$2991,"Grayson Coulter",$Q$5:$Q$2991,Q1286,$AE$5:$AE$2991,"&lt;="&amp;AE1286,$R$5:$R$2991,"&lt;"&amp;R1286))</f>
        <v/>
      </c>
      <c r="AG1286" s="35">
        <f>IF(OR(C1286&lt;&gt;"Grayson Coulter",G1286&lt;'00_Control'!$B$7),"",--(AF1286&lt;5))</f>
        <v/>
      </c>
      <c r="AH1286" s="35">
        <f>IF(OR(C1286&lt;&gt;"Grayson Coulter",G1286&lt;'00_Control'!$B$7),"",--(AF1286&lt;10))</f>
        <v/>
      </c>
      <c r="AI1286" s="35">
        <f>IF(AND(C1286="Grayson Coulter",G1286&gt;='00_Control'!$B$7),"YES","NO")</f>
        <v/>
      </c>
      <c r="AJ1286" s="33" t="inlineStr">
        <is>
          <t>OK</t>
        </is>
      </c>
    </row>
    <row r="1287">
      <c r="A1287" s="33" t="inlineStr">
        <is>
          <t>SM001283</t>
        </is>
      </c>
      <c r="B1287" s="33" t="inlineStr">
        <is>
          <t>SW008</t>
        </is>
      </c>
      <c r="C1287" s="33" t="inlineStr">
        <is>
          <t>Jacob Whittle</t>
        </is>
      </c>
      <c r="D1287" s="33" t="inlineStr">
        <is>
          <t>SwimCloud</t>
        </is>
      </c>
      <c r="E1287" s="33" t="inlineStr">
        <is>
          <t>1133535</t>
        </is>
      </c>
      <c r="F1287" s="33" t="inlineStr">
        <is>
          <t>90669921</t>
        </is>
      </c>
      <c r="G1287" s="51" t="n">
        <v>44706</v>
      </c>
      <c r="H1287" s="33" t="inlineStr">
        <is>
          <t>Trofeu Internacional Ciutat de Barcelona / Mare Nostrum</t>
        </is>
      </c>
      <c r="I1287" s="33" t="inlineStr">
        <is>
          <t>253753</t>
        </is>
      </c>
      <c r="J1287" s="33" t="inlineStr"/>
      <c r="K1287" s="33" t="inlineStr">
        <is>
          <t>PRE</t>
        </is>
      </c>
      <c r="L1287" s="35">
        <f>IF(K1287="FIN",3,IF(OR(K1287="SEM",K1287="SEMI"),2,IF(OR(K1287="PRE",K1287="HEAT"),1,IF(V1287="YES",4,2))))</f>
        <v/>
      </c>
      <c r="M1287" s="33" t="inlineStr">
        <is>
          <t>LCM</t>
        </is>
      </c>
      <c r="N1287" s="33" t="n">
        <v>200</v>
      </c>
      <c r="O1287" s="33" t="inlineStr">
        <is>
          <t>Free</t>
        </is>
      </c>
      <c r="P1287" s="33" t="inlineStr">
        <is>
          <t>200 Free</t>
        </is>
      </c>
      <c r="Q1287" s="33" t="inlineStr">
        <is>
          <t>LCM_200_FREE</t>
        </is>
      </c>
      <c r="R1287" s="36" t="n">
        <v>110.76</v>
      </c>
      <c r="S1287" s="35">
        <f>IF(R1287="","",IF(R1287&gt;=60,INT(R1287/60)&amp;":"&amp;TEXT(MOD(R1287,60),"00.00"),TEXT(R1287,"0.00")))</f>
        <v/>
      </c>
      <c r="T1287" s="52">
        <f>IFERROR((G1287-INDEX('01_Swimmers'!$E$5:$E$22,MATCH(B1287,'01_Swimmers'!$A$5:$A$22,0)))/'00_Control'!$B$10,"")</f>
        <v/>
      </c>
      <c r="U1287" s="35">
        <f>IF(T1287="","",INT(T1287))</f>
        <v/>
      </c>
      <c r="V1287" s="33" t="inlineStr">
        <is>
          <t>NO</t>
        </is>
      </c>
      <c r="W1287" s="33" t="inlineStr">
        <is>
          <t>YES</t>
        </is>
      </c>
      <c r="X1287" s="33" t="inlineStr">
        <is>
          <t>NO</t>
        </is>
      </c>
      <c r="Y1287" s="33" t="n">
        <v>4</v>
      </c>
      <c r="Z1287" s="33" t="n">
        <v>4</v>
      </c>
      <c r="AA1287" s="33" t="inlineStr">
        <is>
          <t>25</t>
        </is>
      </c>
      <c r="AB1287" s="33" t="inlineStr">
        <is>
          <t>https://www.swimcloud.com/results/253753/event/15/?id=90669921#time90669921</t>
        </is>
      </c>
      <c r="AC1287" s="33" t="inlineStr">
        <is>
          <t>SwimCloud API v6 2026-10-08</t>
        </is>
      </c>
      <c r="AD1287" s="33" t="inlineStr">
        <is>
          <t>Jacob Whittle|2022-05-25|LCM|200|Free|110.76|Trofeu Internacional Ciutat de Barcelona / Mare Nostrum|PRE|False</t>
        </is>
      </c>
      <c r="AE1287" s="53">
        <f>G1287+L1287/1000+ROW()/1000000000</f>
        <v/>
      </c>
      <c r="AF1287" s="35">
        <f>IF(C1287&lt;&gt;"Grayson Coulter","",COUNTIFS($C$5:$C$2991,"Grayson Coulter",$Q$5:$Q$2991,Q1287,$AE$5:$AE$2991,"&lt;="&amp;AE1287,$R$5:$R$2991,"&lt;"&amp;R1287))</f>
        <v/>
      </c>
      <c r="AG1287" s="35">
        <f>IF(OR(C1287&lt;&gt;"Grayson Coulter",G1287&lt;'00_Control'!$B$7),"",--(AF1287&lt;5))</f>
        <v/>
      </c>
      <c r="AH1287" s="35">
        <f>IF(OR(C1287&lt;&gt;"Grayson Coulter",G1287&lt;'00_Control'!$B$7),"",--(AF1287&lt;10))</f>
        <v/>
      </c>
      <c r="AI1287" s="35">
        <f>IF(AND(C1287="Grayson Coulter",G1287&gt;='00_Control'!$B$7),"YES","NO")</f>
        <v/>
      </c>
      <c r="AJ1287" s="33" t="inlineStr">
        <is>
          <t>OK</t>
        </is>
      </c>
    </row>
    <row r="1288">
      <c r="A1288" s="33" t="inlineStr">
        <is>
          <t>SM001284</t>
        </is>
      </c>
      <c r="B1288" s="33" t="inlineStr">
        <is>
          <t>SW008</t>
        </is>
      </c>
      <c r="C1288" s="33" t="inlineStr">
        <is>
          <t>Jacob Whittle</t>
        </is>
      </c>
      <c r="D1288" s="33" t="inlineStr">
        <is>
          <t>SwimCloud</t>
        </is>
      </c>
      <c r="E1288" s="33" t="inlineStr">
        <is>
          <t>1133535</t>
        </is>
      </c>
      <c r="F1288" s="33" t="inlineStr">
        <is>
          <t>90669922</t>
        </is>
      </c>
      <c r="G1288" s="51" t="n">
        <v>44707</v>
      </c>
      <c r="H1288" s="33" t="inlineStr">
        <is>
          <t>Trofeu Internacional Ciutat de Barcelona / Mare Nostrum</t>
        </is>
      </c>
      <c r="I1288" s="33" t="inlineStr">
        <is>
          <t>253753</t>
        </is>
      </c>
      <c r="J1288" s="33" t="inlineStr"/>
      <c r="K1288" s="33" t="inlineStr">
        <is>
          <t>PRE</t>
        </is>
      </c>
      <c r="L1288" s="35">
        <f>IF(K1288="FIN",3,IF(OR(K1288="SEM",K1288="SEMI"),2,IF(OR(K1288="PRE",K1288="HEAT"),1,IF(V1288="YES",4,2))))</f>
        <v/>
      </c>
      <c r="M1288" s="33" t="inlineStr">
        <is>
          <t>LCM</t>
        </is>
      </c>
      <c r="N1288" s="33" t="n">
        <v>100</v>
      </c>
      <c r="O1288" s="33" t="inlineStr">
        <is>
          <t>Free</t>
        </is>
      </c>
      <c r="P1288" s="33" t="inlineStr">
        <is>
          <t>100 Free</t>
        </is>
      </c>
      <c r="Q1288" s="33" t="inlineStr">
        <is>
          <t>LCM_100_FREE</t>
        </is>
      </c>
      <c r="R1288" s="36" t="n">
        <v>49.37</v>
      </c>
      <c r="S1288" s="35">
        <f>IF(R1288="","",IF(R1288&gt;=60,INT(R1288/60)&amp;":"&amp;TEXT(MOD(R1288,60),"00.00"),TEXT(R1288,"0.00")))</f>
        <v/>
      </c>
      <c r="T1288" s="52">
        <f>IFERROR((G1288-INDEX('01_Swimmers'!$E$5:$E$22,MATCH(B1288,'01_Swimmers'!$A$5:$A$22,0)))/'00_Control'!$B$10,"")</f>
        <v/>
      </c>
      <c r="U1288" s="35">
        <f>IF(T1288="","",INT(T1288))</f>
        <v/>
      </c>
      <c r="V1288" s="33" t="inlineStr">
        <is>
          <t>NO</t>
        </is>
      </c>
      <c r="W1288" s="33" t="inlineStr">
        <is>
          <t>YES</t>
        </is>
      </c>
      <c r="X1288" s="33" t="inlineStr">
        <is>
          <t>NO</t>
        </is>
      </c>
      <c r="Y1288" s="33" t="n">
        <v>8</v>
      </c>
      <c r="Z1288" s="33" t="n">
        <v>4</v>
      </c>
      <c r="AA1288" s="33" t="inlineStr">
        <is>
          <t>5</t>
        </is>
      </c>
      <c r="AB1288" s="33" t="inlineStr">
        <is>
          <t>https://www.swimcloud.com/results/253753/event/22/?id=90669922#time90669922</t>
        </is>
      </c>
      <c r="AC1288" s="33" t="inlineStr">
        <is>
          <t>SwimCloud API v6 2026-10-08</t>
        </is>
      </c>
      <c r="AD1288" s="33" t="inlineStr">
        <is>
          <t>Jacob Whittle|2022-05-26|LCM|100|Free|49.37|Trofeu Internacional Ciutat de Barcelona / Mare Nostrum|PRE|False</t>
        </is>
      </c>
      <c r="AE1288" s="53">
        <f>G1288+L1288/1000+ROW()/1000000000</f>
        <v/>
      </c>
      <c r="AF1288" s="35">
        <f>IF(C1288&lt;&gt;"Grayson Coulter","",COUNTIFS($C$5:$C$2991,"Grayson Coulter",$Q$5:$Q$2991,Q1288,$AE$5:$AE$2991,"&lt;="&amp;AE1288,$R$5:$R$2991,"&lt;"&amp;R1288))</f>
        <v/>
      </c>
      <c r="AG1288" s="35">
        <f>IF(OR(C1288&lt;&gt;"Grayson Coulter",G1288&lt;'00_Control'!$B$7),"",--(AF1288&lt;5))</f>
        <v/>
      </c>
      <c r="AH1288" s="35">
        <f>IF(OR(C1288&lt;&gt;"Grayson Coulter",G1288&lt;'00_Control'!$B$7),"",--(AF1288&lt;10))</f>
        <v/>
      </c>
      <c r="AI1288" s="35">
        <f>IF(AND(C1288="Grayson Coulter",G1288&gt;='00_Control'!$B$7),"YES","NO")</f>
        <v/>
      </c>
      <c r="AJ1288" s="33" t="inlineStr">
        <is>
          <t>OK</t>
        </is>
      </c>
    </row>
    <row r="1289">
      <c r="A1289" s="33" t="inlineStr">
        <is>
          <t>SM001285</t>
        </is>
      </c>
      <c r="B1289" s="33" t="inlineStr">
        <is>
          <t>SW008</t>
        </is>
      </c>
      <c r="C1289" s="33" t="inlineStr">
        <is>
          <t>Jacob Whittle</t>
        </is>
      </c>
      <c r="D1289" s="33" t="inlineStr">
        <is>
          <t>SwimCloud</t>
        </is>
      </c>
      <c r="E1289" s="33" t="inlineStr">
        <is>
          <t>1133535</t>
        </is>
      </c>
      <c r="F1289" s="33" t="inlineStr">
        <is>
          <t>90669923</t>
        </is>
      </c>
      <c r="G1289" s="51" t="n">
        <v>44707</v>
      </c>
      <c r="H1289" s="33" t="inlineStr">
        <is>
          <t>Trofeu Internacional Ciutat de Barcelona / Mare Nostrum</t>
        </is>
      </c>
      <c r="I1289" s="33" t="inlineStr">
        <is>
          <t>253753</t>
        </is>
      </c>
      <c r="J1289" s="33" t="inlineStr"/>
      <c r="K1289" s="33" t="inlineStr">
        <is>
          <t>FIN</t>
        </is>
      </c>
      <c r="L1289" s="35">
        <f>IF(K1289="FIN",3,IF(OR(K1289="SEM",K1289="SEMI"),2,IF(OR(K1289="PRE",K1289="HEAT"),1,IF(V1289="YES",4,2))))</f>
        <v/>
      </c>
      <c r="M1289" s="33" t="inlineStr">
        <is>
          <t>LCM</t>
        </is>
      </c>
      <c r="N1289" s="33" t="n">
        <v>100</v>
      </c>
      <c r="O1289" s="33" t="inlineStr">
        <is>
          <t>Free</t>
        </is>
      </c>
      <c r="P1289" s="33" t="inlineStr">
        <is>
          <t>100 Free</t>
        </is>
      </c>
      <c r="Q1289" s="33" t="inlineStr">
        <is>
          <t>LCM_100_FREE</t>
        </is>
      </c>
      <c r="R1289" s="36" t="n">
        <v>49.38</v>
      </c>
      <c r="S1289" s="35">
        <f>IF(R1289="","",IF(R1289&gt;=60,INT(R1289/60)&amp;":"&amp;TEXT(MOD(R1289,60),"00.00"),TEXT(R1289,"0.00")))</f>
        <v/>
      </c>
      <c r="T1289" s="52">
        <f>IFERROR((G1289-INDEX('01_Swimmers'!$E$5:$E$22,MATCH(B1289,'01_Swimmers'!$A$5:$A$22,0)))/'00_Control'!$B$10,"")</f>
        <v/>
      </c>
      <c r="U1289" s="35">
        <f>IF(T1289="","",INT(T1289))</f>
        <v/>
      </c>
      <c r="V1289" s="33" t="inlineStr">
        <is>
          <t>NO</t>
        </is>
      </c>
      <c r="W1289" s="33" t="inlineStr">
        <is>
          <t>YES</t>
        </is>
      </c>
      <c r="X1289" s="33" t="inlineStr">
        <is>
          <t>NO</t>
        </is>
      </c>
      <c r="Y1289" s="33" t="n">
        <v>1</v>
      </c>
      <c r="Z1289" s="33" t="n">
        <v>2</v>
      </c>
      <c r="AA1289" s="33" t="inlineStr">
        <is>
          <t>6</t>
        </is>
      </c>
      <c r="AB1289" s="33" t="inlineStr">
        <is>
          <t>https://www.swimcloud.com/results/253753/event/22/?id=90669923#time90669923</t>
        </is>
      </c>
      <c r="AC1289" s="33" t="inlineStr">
        <is>
          <t>SwimCloud API v6 2026-10-08</t>
        </is>
      </c>
      <c r="AD1289" s="33" t="inlineStr">
        <is>
          <t>Jacob Whittle|2022-05-26|LCM|100|Free|49.38|Trofeu Internacional Ciutat de Barcelona / Mare Nostrum|FIN|False</t>
        </is>
      </c>
      <c r="AE1289" s="53">
        <f>G1289+L1289/1000+ROW()/1000000000</f>
        <v/>
      </c>
      <c r="AF1289" s="35">
        <f>IF(C1289&lt;&gt;"Grayson Coulter","",COUNTIFS($C$5:$C$2991,"Grayson Coulter",$Q$5:$Q$2991,Q1289,$AE$5:$AE$2991,"&lt;="&amp;AE1289,$R$5:$R$2991,"&lt;"&amp;R1289))</f>
        <v/>
      </c>
      <c r="AG1289" s="35">
        <f>IF(OR(C1289&lt;&gt;"Grayson Coulter",G1289&lt;'00_Control'!$B$7),"",--(AF1289&lt;5))</f>
        <v/>
      </c>
      <c r="AH1289" s="35">
        <f>IF(OR(C1289&lt;&gt;"Grayson Coulter",G1289&lt;'00_Control'!$B$7),"",--(AF1289&lt;10))</f>
        <v/>
      </c>
      <c r="AI1289" s="35">
        <f>IF(AND(C1289="Grayson Coulter",G1289&gt;='00_Control'!$B$7),"YES","NO")</f>
        <v/>
      </c>
      <c r="AJ1289" s="33" t="inlineStr">
        <is>
          <t>OK</t>
        </is>
      </c>
    </row>
    <row r="1290">
      <c r="A1290" s="33" t="inlineStr">
        <is>
          <t>SM001286</t>
        </is>
      </c>
      <c r="B1290" s="33" t="inlineStr">
        <is>
          <t>SW008</t>
        </is>
      </c>
      <c r="C1290" s="33" t="inlineStr">
        <is>
          <t>Jacob Whittle</t>
        </is>
      </c>
      <c r="D1290" s="33" t="inlineStr">
        <is>
          <t>SwimCloud</t>
        </is>
      </c>
      <c r="E1290" s="33" t="inlineStr">
        <is>
          <t>1133535</t>
        </is>
      </c>
      <c r="F1290" s="33" t="inlineStr">
        <is>
          <t>80930106</t>
        </is>
      </c>
      <c r="G1290" s="51" t="n">
        <v>44709</v>
      </c>
      <c r="H1290" s="33" t="inlineStr">
        <is>
          <t>34e Meeting International de Canet-en-Roussillon</t>
        </is>
      </c>
      <c r="I1290" s="33" t="inlineStr">
        <is>
          <t>242328</t>
        </is>
      </c>
      <c r="J1290" s="33" t="inlineStr"/>
      <c r="K1290" s="33" t="inlineStr">
        <is>
          <t>FIN</t>
        </is>
      </c>
      <c r="L1290" s="35">
        <f>IF(K1290="FIN",3,IF(OR(K1290="SEM",K1290="SEMI"),2,IF(OR(K1290="PRE",K1290="HEAT"),1,IF(V1290="YES",4,2))))</f>
        <v/>
      </c>
      <c r="M1290" s="33" t="inlineStr">
        <is>
          <t>LCM</t>
        </is>
      </c>
      <c r="N1290" s="33" t="n">
        <v>200</v>
      </c>
      <c r="O1290" s="33" t="inlineStr">
        <is>
          <t>Free</t>
        </is>
      </c>
      <c r="P1290" s="33" t="inlineStr">
        <is>
          <t>200 Free</t>
        </is>
      </c>
      <c r="Q1290" s="33" t="inlineStr">
        <is>
          <t>LCM_200_FREE</t>
        </is>
      </c>
      <c r="R1290" s="36" t="n">
        <v>108.19</v>
      </c>
      <c r="S1290" s="35">
        <f>IF(R1290="","",IF(R1290&gt;=60,INT(R1290/60)&amp;":"&amp;TEXT(MOD(R1290,60),"00.00"),TEXT(R1290,"0.00")))</f>
        <v/>
      </c>
      <c r="T1290" s="52">
        <f>IFERROR((G1290-INDEX('01_Swimmers'!$E$5:$E$22,MATCH(B1290,'01_Swimmers'!$A$5:$A$22,0)))/'00_Control'!$B$10,"")</f>
        <v/>
      </c>
      <c r="U1290" s="35">
        <f>IF(T1290="","",INT(T1290))</f>
        <v/>
      </c>
      <c r="V1290" s="33" t="inlineStr">
        <is>
          <t>NO</t>
        </is>
      </c>
      <c r="W1290" s="33" t="inlineStr">
        <is>
          <t>YES</t>
        </is>
      </c>
      <c r="X1290" s="33" t="inlineStr">
        <is>
          <t>NO</t>
        </is>
      </c>
      <c r="Y1290" s="33" t="n">
        <v>1</v>
      </c>
      <c r="Z1290" s="33" t="n"/>
      <c r="AA1290" s="33" t="inlineStr">
        <is>
          <t>3</t>
        </is>
      </c>
      <c r="AB1290" s="33" t="inlineStr">
        <is>
          <t>https://www.swimcloud.com/results/242328/event/116/?id=80930106#time80930106</t>
        </is>
      </c>
      <c r="AC1290" s="33" t="inlineStr">
        <is>
          <t>SwimCloud API v6 2026-10-08</t>
        </is>
      </c>
      <c r="AD1290" s="33" t="inlineStr">
        <is>
          <t>Jacob Whittle|2022-05-28|LCM|200|Free|108.19|34e Meeting International de Canet-en-Roussillon|FIN|False</t>
        </is>
      </c>
      <c r="AE1290" s="53">
        <f>G1290+L1290/1000+ROW()/1000000000</f>
        <v/>
      </c>
      <c r="AF1290" s="35">
        <f>IF(C1290&lt;&gt;"Grayson Coulter","",COUNTIFS($C$5:$C$2991,"Grayson Coulter",$Q$5:$Q$2991,Q1290,$AE$5:$AE$2991,"&lt;="&amp;AE1290,$R$5:$R$2991,"&lt;"&amp;R1290))</f>
        <v/>
      </c>
      <c r="AG1290" s="35">
        <f>IF(OR(C1290&lt;&gt;"Grayson Coulter",G1290&lt;'00_Control'!$B$7),"",--(AF1290&lt;5))</f>
        <v/>
      </c>
      <c r="AH1290" s="35">
        <f>IF(OR(C1290&lt;&gt;"Grayson Coulter",G1290&lt;'00_Control'!$B$7),"",--(AF1290&lt;10))</f>
        <v/>
      </c>
      <c r="AI1290" s="35">
        <f>IF(AND(C1290="Grayson Coulter",G1290&gt;='00_Control'!$B$7),"YES","NO")</f>
        <v/>
      </c>
      <c r="AJ1290" s="33" t="inlineStr">
        <is>
          <t>OK</t>
        </is>
      </c>
    </row>
    <row r="1291">
      <c r="A1291" s="33" t="inlineStr">
        <is>
          <t>SM001287</t>
        </is>
      </c>
      <c r="B1291" s="33" t="inlineStr">
        <is>
          <t>SW008</t>
        </is>
      </c>
      <c r="C1291" s="33" t="inlineStr">
        <is>
          <t>Jacob Whittle</t>
        </is>
      </c>
      <c r="D1291" s="33" t="inlineStr">
        <is>
          <t>SwimCloud</t>
        </is>
      </c>
      <c r="E1291" s="33" t="inlineStr">
        <is>
          <t>1133535</t>
        </is>
      </c>
      <c r="F1291" s="33" t="inlineStr">
        <is>
          <t>80930104</t>
        </is>
      </c>
      <c r="G1291" s="51" t="n">
        <v>44709</v>
      </c>
      <c r="H1291" s="33" t="inlineStr">
        <is>
          <t>34e Meeting International de Canet-en-Roussillon</t>
        </is>
      </c>
      <c r="I1291" s="33" t="inlineStr">
        <is>
          <t>242328</t>
        </is>
      </c>
      <c r="J1291" s="33" t="inlineStr"/>
      <c r="K1291" s="33" t="inlineStr">
        <is>
          <t>TIM</t>
        </is>
      </c>
      <c r="L1291" s="35">
        <f>IF(K1291="FIN",3,IF(OR(K1291="SEM",K1291="SEMI"),2,IF(OR(K1291="PRE",K1291="HEAT"),1,IF(V1291="YES",4,2))))</f>
        <v/>
      </c>
      <c r="M1291" s="33" t="inlineStr">
        <is>
          <t>LCM</t>
        </is>
      </c>
      <c r="N1291" s="33" t="n">
        <v>200</v>
      </c>
      <c r="O1291" s="33" t="inlineStr">
        <is>
          <t>Free</t>
        </is>
      </c>
      <c r="P1291" s="33" t="inlineStr">
        <is>
          <t>200 Free</t>
        </is>
      </c>
      <c r="Q1291" s="33" t="inlineStr">
        <is>
          <t>LCM_200_FREE</t>
        </is>
      </c>
      <c r="R1291" s="36" t="n">
        <v>110.55</v>
      </c>
      <c r="S1291" s="35">
        <f>IF(R1291="","",IF(R1291&gt;=60,INT(R1291/60)&amp;":"&amp;TEXT(MOD(R1291,60),"00.00"),TEXT(R1291,"0.00")))</f>
        <v/>
      </c>
      <c r="T1291" s="52">
        <f>IFERROR((G1291-INDEX('01_Swimmers'!$E$5:$E$22,MATCH(B1291,'01_Swimmers'!$A$5:$A$22,0)))/'00_Control'!$B$10,"")</f>
        <v/>
      </c>
      <c r="U1291" s="35">
        <f>IF(T1291="","",INT(T1291))</f>
        <v/>
      </c>
      <c r="V1291" s="33" t="inlineStr">
        <is>
          <t>NO</t>
        </is>
      </c>
      <c r="W1291" s="33" t="inlineStr">
        <is>
          <t>YES</t>
        </is>
      </c>
      <c r="X1291" s="33" t="inlineStr">
        <is>
          <t>NO</t>
        </is>
      </c>
      <c r="Y1291" s="33" t="n">
        <v>5</v>
      </c>
      <c r="Z1291" s="33" t="n"/>
      <c r="AA1291" s="33" t="inlineStr">
        <is>
          <t>21</t>
        </is>
      </c>
      <c r="AB1291" s="33" t="inlineStr">
        <is>
          <t>https://www.swimcloud.com/results/242328/event/116/?id=80930104#time80930104</t>
        </is>
      </c>
      <c r="AC1291" s="33" t="inlineStr">
        <is>
          <t>SwimCloud API v6 2026-10-08</t>
        </is>
      </c>
      <c r="AD1291" s="33" t="inlineStr">
        <is>
          <t>Jacob Whittle|2022-05-28|LCM|200|Free|110.55|34e Meeting International de Canet-en-Roussillon|TIM|False</t>
        </is>
      </c>
      <c r="AE1291" s="53">
        <f>G1291+L1291/1000+ROW()/1000000000</f>
        <v/>
      </c>
      <c r="AF1291" s="35">
        <f>IF(C1291&lt;&gt;"Grayson Coulter","",COUNTIFS($C$5:$C$2991,"Grayson Coulter",$Q$5:$Q$2991,Q1291,$AE$5:$AE$2991,"&lt;="&amp;AE1291,$R$5:$R$2991,"&lt;"&amp;R1291))</f>
        <v/>
      </c>
      <c r="AG1291" s="35">
        <f>IF(OR(C1291&lt;&gt;"Grayson Coulter",G1291&lt;'00_Control'!$B$7),"",--(AF1291&lt;5))</f>
        <v/>
      </c>
      <c r="AH1291" s="35">
        <f>IF(OR(C1291&lt;&gt;"Grayson Coulter",G1291&lt;'00_Control'!$B$7),"",--(AF1291&lt;10))</f>
        <v/>
      </c>
      <c r="AI1291" s="35">
        <f>IF(AND(C1291="Grayson Coulter",G1291&gt;='00_Control'!$B$7),"YES","NO")</f>
        <v/>
      </c>
      <c r="AJ1291" s="33" t="inlineStr">
        <is>
          <t>OK</t>
        </is>
      </c>
    </row>
    <row r="1292">
      <c r="A1292" s="33" t="inlineStr">
        <is>
          <t>SM001288</t>
        </is>
      </c>
      <c r="B1292" s="33" t="inlineStr">
        <is>
          <t>SW008</t>
        </is>
      </c>
      <c r="C1292" s="33" t="inlineStr">
        <is>
          <t>Jacob Whittle</t>
        </is>
      </c>
      <c r="D1292" s="33" t="inlineStr">
        <is>
          <t>SwimCloud</t>
        </is>
      </c>
      <c r="E1292" s="33" t="inlineStr">
        <is>
          <t>1133535</t>
        </is>
      </c>
      <c r="F1292" s="33" t="inlineStr">
        <is>
          <t>80930107</t>
        </is>
      </c>
      <c r="G1292" s="51" t="n">
        <v>44710</v>
      </c>
      <c r="H1292" s="33" t="inlineStr">
        <is>
          <t>34e Meeting International de Canet-en-Roussillon</t>
        </is>
      </c>
      <c r="I1292" s="33" t="inlineStr">
        <is>
          <t>242328</t>
        </is>
      </c>
      <c r="J1292" s="33" t="inlineStr"/>
      <c r="K1292" s="33" t="inlineStr">
        <is>
          <t>FIN</t>
        </is>
      </c>
      <c r="L1292" s="35">
        <f>IF(K1292="FIN",3,IF(OR(K1292="SEM",K1292="SEMI"),2,IF(OR(K1292="PRE",K1292="HEAT"),1,IF(V1292="YES",4,2))))</f>
        <v/>
      </c>
      <c r="M1292" s="33" t="inlineStr">
        <is>
          <t>LCM</t>
        </is>
      </c>
      <c r="N1292" s="33" t="n">
        <v>100</v>
      </c>
      <c r="O1292" s="33" t="inlineStr">
        <is>
          <t>Free</t>
        </is>
      </c>
      <c r="P1292" s="33" t="inlineStr">
        <is>
          <t>100 Free</t>
        </is>
      </c>
      <c r="Q1292" s="33" t="inlineStr">
        <is>
          <t>LCM_100_FREE</t>
        </is>
      </c>
      <c r="R1292" s="36" t="n">
        <v>49.22</v>
      </c>
      <c r="S1292" s="35">
        <f>IF(R1292="","",IF(R1292&gt;=60,INT(R1292/60)&amp;":"&amp;TEXT(MOD(R1292,60),"00.00"),TEXT(R1292,"0.00")))</f>
        <v/>
      </c>
      <c r="T1292" s="52">
        <f>IFERROR((G1292-INDEX('01_Swimmers'!$E$5:$E$22,MATCH(B1292,'01_Swimmers'!$A$5:$A$22,0)))/'00_Control'!$B$10,"")</f>
        <v/>
      </c>
      <c r="U1292" s="35">
        <f>IF(T1292="","",INT(T1292))</f>
        <v/>
      </c>
      <c r="V1292" s="33" t="inlineStr">
        <is>
          <t>NO</t>
        </is>
      </c>
      <c r="W1292" s="33" t="inlineStr">
        <is>
          <t>YES</t>
        </is>
      </c>
      <c r="X1292" s="33" t="inlineStr">
        <is>
          <t>NO</t>
        </is>
      </c>
      <c r="Y1292" s="33" t="n">
        <v>1</v>
      </c>
      <c r="Z1292" s="33" t="n"/>
      <c r="AA1292" s="33" t="inlineStr">
        <is>
          <t>7</t>
        </is>
      </c>
      <c r="AB1292" s="33" t="inlineStr">
        <is>
          <t>https://www.swimcloud.com/results/242328/event/214/?id=80930107#time80930107</t>
        </is>
      </c>
      <c r="AC1292" s="33" t="inlineStr">
        <is>
          <t>SwimCloud API v6 2026-10-08</t>
        </is>
      </c>
      <c r="AD1292" s="33" t="inlineStr">
        <is>
          <t>Jacob Whittle|2022-05-29|LCM|100|Free|49.22|34e Meeting International de Canet-en-Roussillon|FIN|False</t>
        </is>
      </c>
      <c r="AE1292" s="53">
        <f>G1292+L1292/1000+ROW()/1000000000</f>
        <v/>
      </c>
      <c r="AF1292" s="35">
        <f>IF(C1292&lt;&gt;"Grayson Coulter","",COUNTIFS($C$5:$C$2991,"Grayson Coulter",$Q$5:$Q$2991,Q1292,$AE$5:$AE$2991,"&lt;="&amp;AE1292,$R$5:$R$2991,"&lt;"&amp;R1292))</f>
        <v/>
      </c>
      <c r="AG1292" s="35">
        <f>IF(OR(C1292&lt;&gt;"Grayson Coulter",G1292&lt;'00_Control'!$B$7),"",--(AF1292&lt;5))</f>
        <v/>
      </c>
      <c r="AH1292" s="35">
        <f>IF(OR(C1292&lt;&gt;"Grayson Coulter",G1292&lt;'00_Control'!$B$7),"",--(AF1292&lt;10))</f>
        <v/>
      </c>
      <c r="AI1292" s="35">
        <f>IF(AND(C1292="Grayson Coulter",G1292&gt;='00_Control'!$B$7),"YES","NO")</f>
        <v/>
      </c>
      <c r="AJ1292" s="33" t="inlineStr">
        <is>
          <t>OK</t>
        </is>
      </c>
    </row>
    <row r="1293">
      <c r="A1293" s="33" t="inlineStr">
        <is>
          <t>SM001289</t>
        </is>
      </c>
      <c r="B1293" s="33" t="inlineStr">
        <is>
          <t>SW008</t>
        </is>
      </c>
      <c r="C1293" s="33" t="inlineStr">
        <is>
          <t>Jacob Whittle</t>
        </is>
      </c>
      <c r="D1293" s="33" t="inlineStr">
        <is>
          <t>SwimCloud</t>
        </is>
      </c>
      <c r="E1293" s="33" t="inlineStr">
        <is>
          <t>1133535</t>
        </is>
      </c>
      <c r="F1293" s="33" t="inlineStr">
        <is>
          <t>80930105</t>
        </is>
      </c>
      <c r="G1293" s="51" t="n">
        <v>44710</v>
      </c>
      <c r="H1293" s="33" t="inlineStr">
        <is>
          <t>34e Meeting International de Canet-en-Roussillon</t>
        </is>
      </c>
      <c r="I1293" s="33" t="inlineStr">
        <is>
          <t>242328</t>
        </is>
      </c>
      <c r="J1293" s="33" t="inlineStr"/>
      <c r="K1293" s="33" t="inlineStr">
        <is>
          <t>TIM</t>
        </is>
      </c>
      <c r="L1293" s="35">
        <f>IF(K1293="FIN",3,IF(OR(K1293="SEM",K1293="SEMI"),2,IF(OR(K1293="PRE",K1293="HEAT"),1,IF(V1293="YES",4,2))))</f>
        <v/>
      </c>
      <c r="M1293" s="33" t="inlineStr">
        <is>
          <t>LCM</t>
        </is>
      </c>
      <c r="N1293" s="33" t="n">
        <v>100</v>
      </c>
      <c r="O1293" s="33" t="inlineStr">
        <is>
          <t>Free</t>
        </is>
      </c>
      <c r="P1293" s="33" t="inlineStr">
        <is>
          <t>100 Free</t>
        </is>
      </c>
      <c r="Q1293" s="33" t="inlineStr">
        <is>
          <t>LCM_100_FREE</t>
        </is>
      </c>
      <c r="R1293" s="36" t="n">
        <v>49.21</v>
      </c>
      <c r="S1293" s="35">
        <f>IF(R1293="","",IF(R1293&gt;=60,INT(R1293/60)&amp;":"&amp;TEXT(MOD(R1293,60),"00.00"),TEXT(R1293,"0.00")))</f>
        <v/>
      </c>
      <c r="T1293" s="52">
        <f>IFERROR((G1293-INDEX('01_Swimmers'!$E$5:$E$22,MATCH(B1293,'01_Swimmers'!$A$5:$A$22,0)))/'00_Control'!$B$10,"")</f>
        <v/>
      </c>
      <c r="U1293" s="35">
        <f>IF(T1293="","",INT(T1293))</f>
        <v/>
      </c>
      <c r="V1293" s="33" t="inlineStr">
        <is>
          <t>NO</t>
        </is>
      </c>
      <c r="W1293" s="33" t="inlineStr">
        <is>
          <t>YES</t>
        </is>
      </c>
      <c r="X1293" s="33" t="inlineStr">
        <is>
          <t>NO</t>
        </is>
      </c>
      <c r="Y1293" s="33" t="n">
        <v>8</v>
      </c>
      <c r="Z1293" s="33" t="n"/>
      <c r="AA1293" s="33" t="inlineStr">
        <is>
          <t>11</t>
        </is>
      </c>
      <c r="AB1293" s="33" t="inlineStr">
        <is>
          <t>https://www.swimcloud.com/results/242328/event/214/?id=80930105#time80930105</t>
        </is>
      </c>
      <c r="AC1293" s="33" t="inlineStr">
        <is>
          <t>SwimCloud API v6 2026-10-08</t>
        </is>
      </c>
      <c r="AD1293" s="33" t="inlineStr">
        <is>
          <t>Jacob Whittle|2022-05-29|LCM|100|Free|49.21|34e Meeting International de Canet-en-Roussillon|TIM|False</t>
        </is>
      </c>
      <c r="AE1293" s="53">
        <f>G1293+L1293/1000+ROW()/1000000000</f>
        <v/>
      </c>
      <c r="AF1293" s="35">
        <f>IF(C1293&lt;&gt;"Grayson Coulter","",COUNTIFS($C$5:$C$2991,"Grayson Coulter",$Q$5:$Q$2991,Q1293,$AE$5:$AE$2991,"&lt;="&amp;AE1293,$R$5:$R$2991,"&lt;"&amp;R1293))</f>
        <v/>
      </c>
      <c r="AG1293" s="35">
        <f>IF(OR(C1293&lt;&gt;"Grayson Coulter",G1293&lt;'00_Control'!$B$7),"",--(AF1293&lt;5))</f>
        <v/>
      </c>
      <c r="AH1293" s="35">
        <f>IF(OR(C1293&lt;&gt;"Grayson Coulter",G1293&lt;'00_Control'!$B$7),"",--(AF1293&lt;10))</f>
        <v/>
      </c>
      <c r="AI1293" s="35">
        <f>IF(AND(C1293="Grayson Coulter",G1293&gt;='00_Control'!$B$7),"YES","NO")</f>
        <v/>
      </c>
      <c r="AJ1293" s="33" t="inlineStr">
        <is>
          <t>OK</t>
        </is>
      </c>
    </row>
    <row r="1294">
      <c r="A1294" s="33" t="inlineStr">
        <is>
          <t>SM001290</t>
        </is>
      </c>
      <c r="B1294" s="33" t="inlineStr">
        <is>
          <t>SW008</t>
        </is>
      </c>
      <c r="C1294" s="33" t="inlineStr">
        <is>
          <t>Jacob Whittle</t>
        </is>
      </c>
      <c r="D1294" s="33" t="inlineStr">
        <is>
          <t>SwimCloud</t>
        </is>
      </c>
      <c r="E1294" s="33" t="inlineStr">
        <is>
          <t>1133535</t>
        </is>
      </c>
      <c r="F1294" s="33" t="inlineStr">
        <is>
          <t>67637018</t>
        </is>
      </c>
      <c r="G1294" s="51" t="n">
        <v>44733</v>
      </c>
      <c r="H1294" s="33" t="inlineStr">
        <is>
          <t>19th FINA World Championships</t>
        </is>
      </c>
      <c r="I1294" s="33" t="inlineStr">
        <is>
          <t>222377</t>
        </is>
      </c>
      <c r="J1294" s="33" t="inlineStr"/>
      <c r="K1294" s="33" t="inlineStr">
        <is>
          <t>PRE</t>
        </is>
      </c>
      <c r="L1294" s="35">
        <f>IF(K1294="FIN",3,IF(OR(K1294="SEM",K1294="SEMI"),2,IF(OR(K1294="PRE",K1294="HEAT"),1,IF(V1294="YES",4,2))))</f>
        <v/>
      </c>
      <c r="M1294" s="33" t="inlineStr">
        <is>
          <t>LCM</t>
        </is>
      </c>
      <c r="N1294" s="33" t="n">
        <v>100</v>
      </c>
      <c r="O1294" s="33" t="inlineStr">
        <is>
          <t>Free</t>
        </is>
      </c>
      <c r="P1294" s="33" t="inlineStr">
        <is>
          <t>100 Free</t>
        </is>
      </c>
      <c r="Q1294" s="33" t="inlineStr">
        <is>
          <t>LCM_100_FREE</t>
        </is>
      </c>
      <c r="R1294" s="36" t="n">
        <v>48.23</v>
      </c>
      <c r="S1294" s="35">
        <f>IF(R1294="","",IF(R1294&gt;=60,INT(R1294/60)&amp;":"&amp;TEXT(MOD(R1294,60),"00.00"),TEXT(R1294,"0.00")))</f>
        <v/>
      </c>
      <c r="T1294" s="52">
        <f>IFERROR((G1294-INDEX('01_Swimmers'!$E$5:$E$22,MATCH(B1294,'01_Swimmers'!$A$5:$A$22,0)))/'00_Control'!$B$10,"")</f>
        <v/>
      </c>
      <c r="U1294" s="35">
        <f>IF(T1294="","",INT(T1294))</f>
        <v/>
      </c>
      <c r="V1294" s="33" t="inlineStr">
        <is>
          <t>NO</t>
        </is>
      </c>
      <c r="W1294" s="33" t="inlineStr">
        <is>
          <t>YES</t>
        </is>
      </c>
      <c r="X1294" s="33" t="inlineStr">
        <is>
          <t>NO</t>
        </is>
      </c>
      <c r="Y1294" s="33" t="n">
        <v>11</v>
      </c>
      <c r="Z1294" s="33" t="n">
        <v>6</v>
      </c>
      <c r="AA1294" s="33" t="inlineStr">
        <is>
          <t>7</t>
        </is>
      </c>
      <c r="AB1294" s="33" t="inlineStr">
        <is>
          <t>https://www.swimcloud.com/results/222377/event/20/?id=67637018#time67637018</t>
        </is>
      </c>
      <c r="AC1294" s="33" t="inlineStr">
        <is>
          <t>SwimCloud API v6 2026-10-08</t>
        </is>
      </c>
      <c r="AD1294" s="33" t="inlineStr">
        <is>
          <t>Jacob Whittle|2022-06-21|LCM|100|Free|48.23|19th FINA World Championships|PRE|False</t>
        </is>
      </c>
      <c r="AE1294" s="53">
        <f>G1294+L1294/1000+ROW()/1000000000</f>
        <v/>
      </c>
      <c r="AF1294" s="35">
        <f>IF(C1294&lt;&gt;"Grayson Coulter","",COUNTIFS($C$5:$C$2991,"Grayson Coulter",$Q$5:$Q$2991,Q1294,$AE$5:$AE$2991,"&lt;="&amp;AE1294,$R$5:$R$2991,"&lt;"&amp;R1294))</f>
        <v/>
      </c>
      <c r="AG1294" s="35">
        <f>IF(OR(C1294&lt;&gt;"Grayson Coulter",G1294&lt;'00_Control'!$B$7),"",--(AF1294&lt;5))</f>
        <v/>
      </c>
      <c r="AH1294" s="35">
        <f>IF(OR(C1294&lt;&gt;"Grayson Coulter",G1294&lt;'00_Control'!$B$7),"",--(AF1294&lt;10))</f>
        <v/>
      </c>
      <c r="AI1294" s="35">
        <f>IF(AND(C1294="Grayson Coulter",G1294&gt;='00_Control'!$B$7),"YES","NO")</f>
        <v/>
      </c>
      <c r="AJ1294" s="33" t="inlineStr">
        <is>
          <t>OK</t>
        </is>
      </c>
    </row>
    <row r="1295">
      <c r="A1295" s="33" t="inlineStr">
        <is>
          <t>SM001291</t>
        </is>
      </c>
      <c r="B1295" s="33" t="inlineStr">
        <is>
          <t>SW008</t>
        </is>
      </c>
      <c r="C1295" s="33" t="inlineStr">
        <is>
          <t>Jacob Whittle</t>
        </is>
      </c>
      <c r="D1295" s="33" t="inlineStr">
        <is>
          <t>SwimCloud</t>
        </is>
      </c>
      <c r="E1295" s="33" t="inlineStr">
        <is>
          <t>1133535</t>
        </is>
      </c>
      <c r="F1295" s="33" t="inlineStr">
        <is>
          <t>67637611</t>
        </is>
      </c>
      <c r="G1295" s="51" t="n">
        <v>44733</v>
      </c>
      <c r="H1295" s="33" t="inlineStr">
        <is>
          <t>19th FINA World Championships</t>
        </is>
      </c>
      <c r="I1295" s="33" t="inlineStr">
        <is>
          <t>222377</t>
        </is>
      </c>
      <c r="J1295" s="33" t="inlineStr"/>
      <c r="K1295" s="33" t="inlineStr">
        <is>
          <t>SEM</t>
        </is>
      </c>
      <c r="L1295" s="35">
        <f>IF(K1295="FIN",3,IF(OR(K1295="SEM",K1295="SEMI"),2,IF(OR(K1295="PRE",K1295="HEAT"),1,IF(V1295="YES",4,2))))</f>
        <v/>
      </c>
      <c r="M1295" s="33" t="inlineStr">
        <is>
          <t>LCM</t>
        </is>
      </c>
      <c r="N1295" s="33" t="n">
        <v>100</v>
      </c>
      <c r="O1295" s="33" t="inlineStr">
        <is>
          <t>Free</t>
        </is>
      </c>
      <c r="P1295" s="33" t="inlineStr">
        <is>
          <t>100 Free</t>
        </is>
      </c>
      <c r="Q1295" s="33" t="inlineStr">
        <is>
          <t>LCM_100_FREE</t>
        </is>
      </c>
      <c r="R1295" s="36" t="n">
        <v>48.19</v>
      </c>
      <c r="S1295" s="35">
        <f>IF(R1295="","",IF(R1295&gt;=60,INT(R1295/60)&amp;":"&amp;TEXT(MOD(R1295,60),"00.00"),TEXT(R1295,"0.00")))</f>
        <v/>
      </c>
      <c r="T1295" s="52">
        <f>IFERROR((G1295-INDEX('01_Swimmers'!$E$5:$E$22,MATCH(B1295,'01_Swimmers'!$A$5:$A$22,0)))/'00_Control'!$B$10,"")</f>
        <v/>
      </c>
      <c r="U1295" s="35">
        <f>IF(T1295="","",INT(T1295))</f>
        <v/>
      </c>
      <c r="V1295" s="33" t="inlineStr">
        <is>
          <t>NO</t>
        </is>
      </c>
      <c r="W1295" s="33" t="inlineStr">
        <is>
          <t>YES</t>
        </is>
      </c>
      <c r="X1295" s="33" t="inlineStr">
        <is>
          <t>NO</t>
        </is>
      </c>
      <c r="Y1295" s="33" t="n">
        <v>1</v>
      </c>
      <c r="Z1295" s="33" t="n">
        <v>3</v>
      </c>
      <c r="AA1295" s="33" t="inlineStr">
        <is>
          <t>12</t>
        </is>
      </c>
      <c r="AB1295" s="33" t="inlineStr">
        <is>
          <t>https://www.swimcloud.com/results/222377/event/20/?id=67637611#time67637611</t>
        </is>
      </c>
      <c r="AC1295" s="33" t="inlineStr">
        <is>
          <t>SwimCloud API v6 2026-10-08</t>
        </is>
      </c>
      <c r="AD1295" s="33" t="inlineStr">
        <is>
          <t>Jacob Whittle|2022-06-21|LCM|100|Free|48.19|19th FINA World Championships|SEM|False</t>
        </is>
      </c>
      <c r="AE1295" s="53">
        <f>G1295+L1295/1000+ROW()/1000000000</f>
        <v/>
      </c>
      <c r="AF1295" s="35">
        <f>IF(C1295&lt;&gt;"Grayson Coulter","",COUNTIFS($C$5:$C$2991,"Grayson Coulter",$Q$5:$Q$2991,Q1295,$AE$5:$AE$2991,"&lt;="&amp;AE1295,$R$5:$R$2991,"&lt;"&amp;R1295))</f>
        <v/>
      </c>
      <c r="AG1295" s="35">
        <f>IF(OR(C1295&lt;&gt;"Grayson Coulter",G1295&lt;'00_Control'!$B$7),"",--(AF1295&lt;5))</f>
        <v/>
      </c>
      <c r="AH1295" s="35">
        <f>IF(OR(C1295&lt;&gt;"Grayson Coulter",G1295&lt;'00_Control'!$B$7),"",--(AF1295&lt;10))</f>
        <v/>
      </c>
      <c r="AI1295" s="35">
        <f>IF(AND(C1295="Grayson Coulter",G1295&gt;='00_Control'!$B$7),"YES","NO")</f>
        <v/>
      </c>
      <c r="AJ1295" s="33" t="inlineStr">
        <is>
          <t>OK</t>
        </is>
      </c>
    </row>
    <row r="1296">
      <c r="A1296" s="33" t="inlineStr">
        <is>
          <t>SM001292</t>
        </is>
      </c>
      <c r="B1296" s="33" t="inlineStr">
        <is>
          <t>SW008</t>
        </is>
      </c>
      <c r="C1296" s="33" t="inlineStr">
        <is>
          <t>Jacob Whittle</t>
        </is>
      </c>
      <c r="D1296" s="33" t="inlineStr">
        <is>
          <t>SwimCloud</t>
        </is>
      </c>
      <c r="E1296" s="33" t="inlineStr">
        <is>
          <t>1133535</t>
        </is>
      </c>
      <c r="F1296" s="33" t="inlineStr">
        <is>
          <t>67639582</t>
        </is>
      </c>
      <c r="G1296" s="51" t="n">
        <v>44736</v>
      </c>
      <c r="H1296" s="33" t="inlineStr">
        <is>
          <t>19th FINA World Championships</t>
        </is>
      </c>
      <c r="I1296" s="33" t="inlineStr">
        <is>
          <t>222377</t>
        </is>
      </c>
      <c r="J1296" s="33" t="inlineStr"/>
      <c r="K1296" s="33" t="inlineStr">
        <is>
          <t>PRE</t>
        </is>
      </c>
      <c r="L1296" s="35">
        <f>IF(K1296="FIN",3,IF(OR(K1296="SEM",K1296="SEMI"),2,IF(OR(K1296="PRE",K1296="HEAT"),1,IF(V1296="YES",4,2))))</f>
        <v/>
      </c>
      <c r="M1296" s="33" t="inlineStr">
        <is>
          <t>LCM</t>
        </is>
      </c>
      <c r="N1296" s="33" t="n">
        <v>100</v>
      </c>
      <c r="O1296" s="33" t="inlineStr">
        <is>
          <t>Free</t>
        </is>
      </c>
      <c r="P1296" s="33" t="inlineStr">
        <is>
          <t>100 Free</t>
        </is>
      </c>
      <c r="Q1296" s="33" t="inlineStr">
        <is>
          <t>LCM_100_FREE</t>
        </is>
      </c>
      <c r="R1296" s="36" t="n">
        <v>49.04</v>
      </c>
      <c r="S1296" s="35">
        <f>IF(R1296="","",IF(R1296&gt;=60,INT(R1296/60)&amp;":"&amp;TEXT(MOD(R1296,60),"00.00"),TEXT(R1296,"0.00")))</f>
        <v/>
      </c>
      <c r="T1296" s="52">
        <f>IFERROR((G1296-INDEX('01_Swimmers'!$E$5:$E$22,MATCH(B1296,'01_Swimmers'!$A$5:$A$22,0)))/'00_Control'!$B$10,"")</f>
        <v/>
      </c>
      <c r="U1296" s="35">
        <f>IF(T1296="","",INT(T1296))</f>
        <v/>
      </c>
      <c r="V1296" s="33" t="inlineStr">
        <is>
          <t>YES</t>
        </is>
      </c>
      <c r="W1296" s="33" t="inlineStr">
        <is>
          <t>YES</t>
        </is>
      </c>
      <c r="X1296" s="33" t="inlineStr">
        <is>
          <t>NO</t>
        </is>
      </c>
      <c r="Y1296" s="33" t="n">
        <v>3</v>
      </c>
      <c r="Z1296" s="33" t="n">
        <v>4</v>
      </c>
      <c r="AA1296" s="33" t="inlineStr"/>
      <c r="AB1296" s="33" t="inlineStr">
        <is>
          <t>https://www.swimcloud.com/results/222377/event/38/?id=67638040#time67638040</t>
        </is>
      </c>
      <c r="AC1296" s="33" t="inlineStr">
        <is>
          <t>SwimCloud API v6 2026-10-08</t>
        </is>
      </c>
      <c r="AD1296" s="33" t="inlineStr">
        <is>
          <t>Jacob Whittle|2022-06-24|LCM|100|Free|49.04|19th FINA World Championships|PRE|True</t>
        </is>
      </c>
      <c r="AE1296" s="53">
        <f>G1296+L1296/1000+ROW()/1000000000</f>
        <v/>
      </c>
      <c r="AF1296" s="35">
        <f>IF(C1296&lt;&gt;"Grayson Coulter","",COUNTIFS($C$5:$C$2991,"Grayson Coulter",$Q$5:$Q$2991,Q1296,$AE$5:$AE$2991,"&lt;="&amp;AE1296,$R$5:$R$2991,"&lt;"&amp;R1296))</f>
        <v/>
      </c>
      <c r="AG1296" s="35">
        <f>IF(OR(C1296&lt;&gt;"Grayson Coulter",G1296&lt;'00_Control'!$B$7),"",--(AF1296&lt;5))</f>
        <v/>
      </c>
      <c r="AH1296" s="35">
        <f>IF(OR(C1296&lt;&gt;"Grayson Coulter",G1296&lt;'00_Control'!$B$7),"",--(AF1296&lt;10))</f>
        <v/>
      </c>
      <c r="AI1296" s="35">
        <f>IF(AND(C1296="Grayson Coulter",G1296&gt;='00_Control'!$B$7),"YES","NO")</f>
        <v/>
      </c>
      <c r="AJ1296" s="33" t="inlineStr">
        <is>
          <t>OK</t>
        </is>
      </c>
    </row>
    <row r="1297">
      <c r="A1297" s="33" t="inlineStr">
        <is>
          <t>SM001293</t>
        </is>
      </c>
      <c r="B1297" s="33" t="inlineStr">
        <is>
          <t>SW008</t>
        </is>
      </c>
      <c r="C1297" s="33" t="inlineStr">
        <is>
          <t>Jacob Whittle</t>
        </is>
      </c>
      <c r="D1297" s="33" t="inlineStr">
        <is>
          <t>SwimCloud</t>
        </is>
      </c>
      <c r="E1297" s="33" t="inlineStr">
        <is>
          <t>1133535</t>
        </is>
      </c>
      <c r="F1297" s="33" t="inlineStr">
        <is>
          <t>68674436</t>
        </is>
      </c>
      <c r="G1297" s="51" t="n">
        <v>44747</v>
      </c>
      <c r="H1297" s="33" t="inlineStr">
        <is>
          <t>European Junior Swimming Championships</t>
        </is>
      </c>
      <c r="I1297" s="33" t="inlineStr">
        <is>
          <t>234614</t>
        </is>
      </c>
      <c r="J1297" s="33" t="inlineStr"/>
      <c r="K1297" s="33" t="inlineStr">
        <is>
          <t>PRE</t>
        </is>
      </c>
      <c r="L1297" s="35">
        <f>IF(K1297="FIN",3,IF(OR(K1297="SEM",K1297="SEMI"),2,IF(OR(K1297="PRE",K1297="HEAT"),1,IF(V1297="YES",4,2))))</f>
        <v/>
      </c>
      <c r="M1297" s="33" t="inlineStr">
        <is>
          <t>LCM</t>
        </is>
      </c>
      <c r="N1297" s="33" t="n">
        <v>100</v>
      </c>
      <c r="O1297" s="33" t="inlineStr">
        <is>
          <t>Free</t>
        </is>
      </c>
      <c r="P1297" s="33" t="inlineStr">
        <is>
          <t>100 Free</t>
        </is>
      </c>
      <c r="Q1297" s="33" t="inlineStr">
        <is>
          <t>LCM_100_FREE</t>
        </is>
      </c>
      <c r="R1297" s="36" t="n">
        <v>48.95</v>
      </c>
      <c r="S1297" s="35">
        <f>IF(R1297="","",IF(R1297&gt;=60,INT(R1297/60)&amp;":"&amp;TEXT(MOD(R1297,60),"00.00"),TEXT(R1297,"0.00")))</f>
        <v/>
      </c>
      <c r="T1297" s="52">
        <f>IFERROR((G1297-INDEX('01_Swimmers'!$E$5:$E$22,MATCH(B1297,'01_Swimmers'!$A$5:$A$22,0)))/'00_Control'!$B$10,"")</f>
        <v/>
      </c>
      <c r="U1297" s="35">
        <f>IF(T1297="","",INT(T1297))</f>
        <v/>
      </c>
      <c r="V1297" s="33" t="inlineStr">
        <is>
          <t>YES</t>
        </is>
      </c>
      <c r="W1297" s="33" t="inlineStr">
        <is>
          <t>YES</t>
        </is>
      </c>
      <c r="X1297" s="33" t="inlineStr">
        <is>
          <t>NO</t>
        </is>
      </c>
      <c r="Y1297" s="33" t="n">
        <v>42</v>
      </c>
      <c r="Z1297" s="33" t="n">
        <v>7</v>
      </c>
      <c r="AA1297" s="33" t="inlineStr"/>
      <c r="AB1297" s="33" t="inlineStr">
        <is>
          <t>https://www.swimcloud.com/results/234614/event/10/?id=68672761#time68672761</t>
        </is>
      </c>
      <c r="AC1297" s="33" t="inlineStr">
        <is>
          <t>SwimCloud API v6 2026-10-08</t>
        </is>
      </c>
      <c r="AD1297" s="33" t="inlineStr">
        <is>
          <t>Jacob Whittle|2022-07-05|LCM|100|Free|48.95|European Junior Swimming Championships|PRE|True</t>
        </is>
      </c>
      <c r="AE1297" s="53">
        <f>G1297+L1297/1000+ROW()/1000000000</f>
        <v/>
      </c>
      <c r="AF1297" s="35">
        <f>IF(C1297&lt;&gt;"Grayson Coulter","",COUNTIFS($C$5:$C$2991,"Grayson Coulter",$Q$5:$Q$2991,Q1297,$AE$5:$AE$2991,"&lt;="&amp;AE1297,$R$5:$R$2991,"&lt;"&amp;R1297))</f>
        <v/>
      </c>
      <c r="AG1297" s="35">
        <f>IF(OR(C1297&lt;&gt;"Grayson Coulter",G1297&lt;'00_Control'!$B$7),"",--(AF1297&lt;5))</f>
        <v/>
      </c>
      <c r="AH1297" s="35">
        <f>IF(OR(C1297&lt;&gt;"Grayson Coulter",G1297&lt;'00_Control'!$B$7),"",--(AF1297&lt;10))</f>
        <v/>
      </c>
      <c r="AI1297" s="35">
        <f>IF(AND(C1297="Grayson Coulter",G1297&gt;='00_Control'!$B$7),"YES","NO")</f>
        <v/>
      </c>
      <c r="AJ1297" s="33" t="inlineStr">
        <is>
          <t>OK</t>
        </is>
      </c>
    </row>
    <row r="1298">
      <c r="A1298" s="33" t="inlineStr">
        <is>
          <t>SM001294</t>
        </is>
      </c>
      <c r="B1298" s="33" t="inlineStr">
        <is>
          <t>SW008</t>
        </is>
      </c>
      <c r="C1298" s="33" t="inlineStr">
        <is>
          <t>Jacob Whittle</t>
        </is>
      </c>
      <c r="D1298" s="33" t="inlineStr">
        <is>
          <t>SwimCloud</t>
        </is>
      </c>
      <c r="E1298" s="33" t="inlineStr">
        <is>
          <t>1133535</t>
        </is>
      </c>
      <c r="F1298" s="33" t="inlineStr">
        <is>
          <t>68674440</t>
        </is>
      </c>
      <c r="G1298" s="51" t="n">
        <v>44747</v>
      </c>
      <c r="H1298" s="33" t="inlineStr">
        <is>
          <t>European Junior Swimming Championships</t>
        </is>
      </c>
      <c r="I1298" s="33" t="inlineStr">
        <is>
          <t>234614</t>
        </is>
      </c>
      <c r="J1298" s="33" t="inlineStr"/>
      <c r="K1298" s="33" t="inlineStr">
        <is>
          <t>FIN</t>
        </is>
      </c>
      <c r="L1298" s="35">
        <f>IF(K1298="FIN",3,IF(OR(K1298="SEM",K1298="SEMI"),2,IF(OR(K1298="PRE",K1298="HEAT"),1,IF(V1298="YES",4,2))))</f>
        <v/>
      </c>
      <c r="M1298" s="33" t="inlineStr">
        <is>
          <t>LCM</t>
        </is>
      </c>
      <c r="N1298" s="33" t="n">
        <v>100</v>
      </c>
      <c r="O1298" s="33" t="inlineStr">
        <is>
          <t>Free</t>
        </is>
      </c>
      <c r="P1298" s="33" t="inlineStr">
        <is>
          <t>100 Free</t>
        </is>
      </c>
      <c r="Q1298" s="33" t="inlineStr">
        <is>
          <t>LCM_100_FREE</t>
        </is>
      </c>
      <c r="R1298" s="36" t="n">
        <v>48.69</v>
      </c>
      <c r="S1298" s="35">
        <f>IF(R1298="","",IF(R1298&gt;=60,INT(R1298/60)&amp;":"&amp;TEXT(MOD(R1298,60),"00.00"),TEXT(R1298,"0.00")))</f>
        <v/>
      </c>
      <c r="T1298" s="52">
        <f>IFERROR((G1298-INDEX('01_Swimmers'!$E$5:$E$22,MATCH(B1298,'01_Swimmers'!$A$5:$A$22,0)))/'00_Control'!$B$10,"")</f>
        <v/>
      </c>
      <c r="U1298" s="35">
        <f>IF(T1298="","",INT(T1298))</f>
        <v/>
      </c>
      <c r="V1298" s="33" t="inlineStr">
        <is>
          <t>YES</t>
        </is>
      </c>
      <c r="W1298" s="33" t="inlineStr">
        <is>
          <t>YES</t>
        </is>
      </c>
      <c r="X1298" s="33" t="inlineStr">
        <is>
          <t>NO</t>
        </is>
      </c>
      <c r="Y1298" s="33" t="n">
        <v>17</v>
      </c>
      <c r="Z1298" s="33" t="n">
        <v>5</v>
      </c>
      <c r="AA1298" s="33" t="inlineStr"/>
      <c r="AB1298" s="33" t="inlineStr">
        <is>
          <t>https://www.swimcloud.com/results/234614/event/10/?id=68672762#time68672762</t>
        </is>
      </c>
      <c r="AC1298" s="33" t="inlineStr">
        <is>
          <t>SwimCloud API v6 2026-10-08</t>
        </is>
      </c>
      <c r="AD1298" s="33" t="inlineStr">
        <is>
          <t>Jacob Whittle|2022-07-05|LCM|100|Free|48.69|European Junior Swimming Championships|FIN|True</t>
        </is>
      </c>
      <c r="AE1298" s="53">
        <f>G1298+L1298/1000+ROW()/1000000000</f>
        <v/>
      </c>
      <c r="AF1298" s="35">
        <f>IF(C1298&lt;&gt;"Grayson Coulter","",COUNTIFS($C$5:$C$2991,"Grayson Coulter",$Q$5:$Q$2991,Q1298,$AE$5:$AE$2991,"&lt;="&amp;AE1298,$R$5:$R$2991,"&lt;"&amp;R1298))</f>
        <v/>
      </c>
      <c r="AG1298" s="35">
        <f>IF(OR(C1298&lt;&gt;"Grayson Coulter",G1298&lt;'00_Control'!$B$7),"",--(AF1298&lt;5))</f>
        <v/>
      </c>
      <c r="AH1298" s="35">
        <f>IF(OR(C1298&lt;&gt;"Grayson Coulter",G1298&lt;'00_Control'!$B$7),"",--(AF1298&lt;10))</f>
        <v/>
      </c>
      <c r="AI1298" s="35">
        <f>IF(AND(C1298="Grayson Coulter",G1298&gt;='00_Control'!$B$7),"YES","NO")</f>
        <v/>
      </c>
      <c r="AJ1298" s="33" t="inlineStr">
        <is>
          <t>OK</t>
        </is>
      </c>
    </row>
    <row r="1299">
      <c r="A1299" s="33" t="inlineStr">
        <is>
          <t>SM001295</t>
        </is>
      </c>
      <c r="B1299" s="33" t="inlineStr">
        <is>
          <t>SW008</t>
        </is>
      </c>
      <c r="C1299" s="33" t="inlineStr">
        <is>
          <t>Jacob Whittle</t>
        </is>
      </c>
      <c r="D1299" s="33" t="inlineStr">
        <is>
          <t>SwimCloud</t>
        </is>
      </c>
      <c r="E1299" s="33" t="inlineStr">
        <is>
          <t>1133535</t>
        </is>
      </c>
      <c r="F1299" s="33" t="inlineStr">
        <is>
          <t>68672739</t>
        </is>
      </c>
      <c r="G1299" s="51" t="n">
        <v>44747</v>
      </c>
      <c r="H1299" s="33" t="inlineStr">
        <is>
          <t>European Junior Swimming Championships</t>
        </is>
      </c>
      <c r="I1299" s="33" t="inlineStr">
        <is>
          <t>234614</t>
        </is>
      </c>
      <c r="J1299" s="33" t="inlineStr"/>
      <c r="K1299" s="33" t="inlineStr">
        <is>
          <t>PRE</t>
        </is>
      </c>
      <c r="L1299" s="35">
        <f>IF(K1299="FIN",3,IF(OR(K1299="SEM",K1299="SEMI"),2,IF(OR(K1299="PRE",K1299="HEAT"),1,IF(V1299="YES",4,2))))</f>
        <v/>
      </c>
      <c r="M1299" s="33" t="inlineStr">
        <is>
          <t>LCM</t>
        </is>
      </c>
      <c r="N1299" s="33" t="n">
        <v>200</v>
      </c>
      <c r="O1299" s="33" t="inlineStr">
        <is>
          <t>Free</t>
        </is>
      </c>
      <c r="P1299" s="33" t="inlineStr">
        <is>
          <t>200 Free</t>
        </is>
      </c>
      <c r="Q1299" s="33" t="inlineStr">
        <is>
          <t>LCM_200_FREE</t>
        </is>
      </c>
      <c r="R1299" s="36" t="n">
        <v>111.24</v>
      </c>
      <c r="S1299" s="35">
        <f>IF(R1299="","",IF(R1299&gt;=60,INT(R1299/60)&amp;":"&amp;TEXT(MOD(R1299,60),"00.00"),TEXT(R1299,"0.00")))</f>
        <v/>
      </c>
      <c r="T1299" s="52">
        <f>IFERROR((G1299-INDEX('01_Swimmers'!$E$5:$E$22,MATCH(B1299,'01_Swimmers'!$A$5:$A$22,0)))/'00_Control'!$B$10,"")</f>
        <v/>
      </c>
      <c r="U1299" s="35">
        <f>IF(T1299="","",INT(T1299))</f>
        <v/>
      </c>
      <c r="V1299" s="33" t="inlineStr">
        <is>
          <t>NO</t>
        </is>
      </c>
      <c r="W1299" s="33" t="inlineStr">
        <is>
          <t>YES</t>
        </is>
      </c>
      <c r="X1299" s="33" t="inlineStr">
        <is>
          <t>NO</t>
        </is>
      </c>
      <c r="Y1299" s="33" t="n">
        <v>9</v>
      </c>
      <c r="Z1299" s="33" t="n">
        <v>4</v>
      </c>
      <c r="AA1299" s="33" t="inlineStr">
        <is>
          <t>10</t>
        </is>
      </c>
      <c r="AB1299" s="33" t="inlineStr">
        <is>
          <t>https://www.swimcloud.com/results/234614/event/2/?id=68672739#time68672739</t>
        </is>
      </c>
      <c r="AC1299" s="33" t="inlineStr">
        <is>
          <t>SwimCloud API v6 2026-10-08</t>
        </is>
      </c>
      <c r="AD1299" s="33" t="inlineStr">
        <is>
          <t>Jacob Whittle|2022-07-05|LCM|200|Free|111.24|European Junior Swimming Championships|PRE|False</t>
        </is>
      </c>
      <c r="AE1299" s="53">
        <f>G1299+L1299/1000+ROW()/1000000000</f>
        <v/>
      </c>
      <c r="AF1299" s="35">
        <f>IF(C1299&lt;&gt;"Grayson Coulter","",COUNTIFS($C$5:$C$2991,"Grayson Coulter",$Q$5:$Q$2991,Q1299,$AE$5:$AE$2991,"&lt;="&amp;AE1299,$R$5:$R$2991,"&lt;"&amp;R1299))</f>
        <v/>
      </c>
      <c r="AG1299" s="35">
        <f>IF(OR(C1299&lt;&gt;"Grayson Coulter",G1299&lt;'00_Control'!$B$7),"",--(AF1299&lt;5))</f>
        <v/>
      </c>
      <c r="AH1299" s="35">
        <f>IF(OR(C1299&lt;&gt;"Grayson Coulter",G1299&lt;'00_Control'!$B$7),"",--(AF1299&lt;10))</f>
        <v/>
      </c>
      <c r="AI1299" s="35">
        <f>IF(AND(C1299="Grayson Coulter",G1299&gt;='00_Control'!$B$7),"YES","NO")</f>
        <v/>
      </c>
      <c r="AJ1299" s="33" t="inlineStr">
        <is>
          <t>OK</t>
        </is>
      </c>
    </row>
    <row r="1300">
      <c r="A1300" s="33" t="inlineStr">
        <is>
          <t>SM001296</t>
        </is>
      </c>
      <c r="B1300" s="33" t="inlineStr">
        <is>
          <t>SW008</t>
        </is>
      </c>
      <c r="C1300" s="33" t="inlineStr">
        <is>
          <t>Jacob Whittle</t>
        </is>
      </c>
      <c r="D1300" s="33" t="inlineStr">
        <is>
          <t>SwimCloud</t>
        </is>
      </c>
      <c r="E1300" s="33" t="inlineStr">
        <is>
          <t>1133535</t>
        </is>
      </c>
      <c r="F1300" s="33" t="inlineStr">
        <is>
          <t>68672740</t>
        </is>
      </c>
      <c r="G1300" s="51" t="n">
        <v>44747</v>
      </c>
      <c r="H1300" s="33" t="inlineStr">
        <is>
          <t>European Junior Swimming Championships</t>
        </is>
      </c>
      <c r="I1300" s="33" t="inlineStr">
        <is>
          <t>234614</t>
        </is>
      </c>
      <c r="J1300" s="33" t="inlineStr"/>
      <c r="K1300" s="33" t="inlineStr">
        <is>
          <t>SEM</t>
        </is>
      </c>
      <c r="L1300" s="35">
        <f>IF(K1300="FIN",3,IF(OR(K1300="SEM",K1300="SEMI"),2,IF(OR(K1300="PRE",K1300="HEAT"),1,IF(V1300="YES",4,2))))</f>
        <v/>
      </c>
      <c r="M1300" s="33" t="inlineStr">
        <is>
          <t>LCM</t>
        </is>
      </c>
      <c r="N1300" s="33" t="n">
        <v>200</v>
      </c>
      <c r="O1300" s="33" t="inlineStr">
        <is>
          <t>Free</t>
        </is>
      </c>
      <c r="P1300" s="33" t="inlineStr">
        <is>
          <t>200 Free</t>
        </is>
      </c>
      <c r="Q1300" s="33" t="inlineStr">
        <is>
          <t>LCM_200_FREE</t>
        </is>
      </c>
      <c r="R1300" s="36" t="n">
        <v>109.91</v>
      </c>
      <c r="S1300" s="35">
        <f>IF(R1300="","",IF(R1300&gt;=60,INT(R1300/60)&amp;":"&amp;TEXT(MOD(R1300,60),"00.00"),TEXT(R1300,"0.00")))</f>
        <v/>
      </c>
      <c r="T1300" s="52">
        <f>IFERROR((G1300-INDEX('01_Swimmers'!$E$5:$E$22,MATCH(B1300,'01_Swimmers'!$A$5:$A$22,0)))/'00_Control'!$B$10,"")</f>
        <v/>
      </c>
      <c r="U1300" s="35">
        <f>IF(T1300="","",INT(T1300))</f>
        <v/>
      </c>
      <c r="V1300" s="33" t="inlineStr">
        <is>
          <t>NO</t>
        </is>
      </c>
      <c r="W1300" s="33" t="inlineStr">
        <is>
          <t>YES</t>
        </is>
      </c>
      <c r="X1300" s="33" t="inlineStr">
        <is>
          <t>NO</t>
        </is>
      </c>
      <c r="Y1300" s="33" t="n">
        <v>4</v>
      </c>
      <c r="Z1300" s="33" t="n">
        <v>2</v>
      </c>
      <c r="AA1300" s="33" t="inlineStr">
        <is>
          <t>6</t>
        </is>
      </c>
      <c r="AB1300" s="33" t="inlineStr">
        <is>
          <t>https://www.swimcloud.com/results/234614/event/2/?id=68672740#time68672740</t>
        </is>
      </c>
      <c r="AC1300" s="33" t="inlineStr">
        <is>
          <t>SwimCloud API v6 2026-10-08</t>
        </is>
      </c>
      <c r="AD1300" s="33" t="inlineStr">
        <is>
          <t>Jacob Whittle|2022-07-05|LCM|200|Free|109.91|European Junior Swimming Championships|SEM|False</t>
        </is>
      </c>
      <c r="AE1300" s="53">
        <f>G1300+L1300/1000+ROW()/1000000000</f>
        <v/>
      </c>
      <c r="AF1300" s="35">
        <f>IF(C1300&lt;&gt;"Grayson Coulter","",COUNTIFS($C$5:$C$2991,"Grayson Coulter",$Q$5:$Q$2991,Q1300,$AE$5:$AE$2991,"&lt;="&amp;AE1300,$R$5:$R$2991,"&lt;"&amp;R1300))</f>
        <v/>
      </c>
      <c r="AG1300" s="35">
        <f>IF(OR(C1300&lt;&gt;"Grayson Coulter",G1300&lt;'00_Control'!$B$7),"",--(AF1300&lt;5))</f>
        <v/>
      </c>
      <c r="AH1300" s="35">
        <f>IF(OR(C1300&lt;&gt;"Grayson Coulter",G1300&lt;'00_Control'!$B$7),"",--(AF1300&lt;10))</f>
        <v/>
      </c>
      <c r="AI1300" s="35">
        <f>IF(AND(C1300="Grayson Coulter",G1300&gt;='00_Control'!$B$7),"YES","NO")</f>
        <v/>
      </c>
      <c r="AJ1300" s="33" t="inlineStr">
        <is>
          <t>OK</t>
        </is>
      </c>
    </row>
    <row r="1301">
      <c r="A1301" s="33" t="inlineStr">
        <is>
          <t>SM001297</t>
        </is>
      </c>
      <c r="B1301" s="33" t="inlineStr">
        <is>
          <t>SW008</t>
        </is>
      </c>
      <c r="C1301" s="33" t="inlineStr">
        <is>
          <t>Jacob Whittle</t>
        </is>
      </c>
      <c r="D1301" s="33" t="inlineStr">
        <is>
          <t>SwimCloud</t>
        </is>
      </c>
      <c r="E1301" s="33" t="inlineStr">
        <is>
          <t>1133535</t>
        </is>
      </c>
      <c r="F1301" s="33" t="inlineStr">
        <is>
          <t>68674460</t>
        </is>
      </c>
      <c r="G1301" s="51" t="n">
        <v>44748</v>
      </c>
      <c r="H1301" s="33" t="inlineStr">
        <is>
          <t>European Junior Swimming Championships</t>
        </is>
      </c>
      <c r="I1301" s="33" t="inlineStr">
        <is>
          <t>234614</t>
        </is>
      </c>
      <c r="J1301" s="33" t="inlineStr"/>
      <c r="K1301" s="33" t="inlineStr">
        <is>
          <t>PRE</t>
        </is>
      </c>
      <c r="L1301" s="35">
        <f>IF(K1301="FIN",3,IF(OR(K1301="SEM",K1301="SEMI"),2,IF(OR(K1301="PRE",K1301="HEAT"),1,IF(V1301="YES",4,2))))</f>
        <v/>
      </c>
      <c r="M1301" s="33" t="inlineStr">
        <is>
          <t>LCM</t>
        </is>
      </c>
      <c r="N1301" s="33" t="n">
        <v>100</v>
      </c>
      <c r="O1301" s="33" t="inlineStr">
        <is>
          <t>Free</t>
        </is>
      </c>
      <c r="P1301" s="33" t="inlineStr">
        <is>
          <t>100 Free</t>
        </is>
      </c>
      <c r="Q1301" s="33" t="inlineStr">
        <is>
          <t>LCM_100_FREE</t>
        </is>
      </c>
      <c r="R1301" s="36" t="n">
        <v>49</v>
      </c>
      <c r="S1301" s="35">
        <f>IF(R1301="","",IF(R1301&gt;=60,INT(R1301/60)&amp;":"&amp;TEXT(MOD(R1301,60),"00.00"),TEXT(R1301,"0.00")))</f>
        <v/>
      </c>
      <c r="T1301" s="52">
        <f>IFERROR((G1301-INDEX('01_Swimmers'!$E$5:$E$22,MATCH(B1301,'01_Swimmers'!$A$5:$A$22,0)))/'00_Control'!$B$10,"")</f>
        <v/>
      </c>
      <c r="U1301" s="35">
        <f>IF(T1301="","",INT(T1301))</f>
        <v/>
      </c>
      <c r="V1301" s="33" t="inlineStr">
        <is>
          <t>YES</t>
        </is>
      </c>
      <c r="W1301" s="33" t="inlineStr">
        <is>
          <t>YES</t>
        </is>
      </c>
      <c r="X1301" s="33" t="inlineStr">
        <is>
          <t>NO</t>
        </is>
      </c>
      <c r="Y1301" s="33" t="n">
        <v>15</v>
      </c>
      <c r="Z1301" s="33" t="n">
        <v>6</v>
      </c>
      <c r="AA1301" s="33" t="inlineStr"/>
      <c r="AB1301" s="33" t="inlineStr">
        <is>
          <t>https://www.swimcloud.com/results/234614/event/15/?id=68672767#time68672767</t>
        </is>
      </c>
      <c r="AC1301" s="33" t="inlineStr">
        <is>
          <t>SwimCloud API v6 2026-10-08</t>
        </is>
      </c>
      <c r="AD1301" s="33" t="inlineStr">
        <is>
          <t>Jacob Whittle|2022-07-06|LCM|100|Free|49.0|European Junior Swimming Championships|PRE|True</t>
        </is>
      </c>
      <c r="AE1301" s="53">
        <f>G1301+L1301/1000+ROW()/1000000000</f>
        <v/>
      </c>
      <c r="AF1301" s="35">
        <f>IF(C1301&lt;&gt;"Grayson Coulter","",COUNTIFS($C$5:$C$2991,"Grayson Coulter",$Q$5:$Q$2991,Q1301,$AE$5:$AE$2991,"&lt;="&amp;AE1301,$R$5:$R$2991,"&lt;"&amp;R1301))</f>
        <v/>
      </c>
      <c r="AG1301" s="35">
        <f>IF(OR(C1301&lt;&gt;"Grayson Coulter",G1301&lt;'00_Control'!$B$7),"",--(AF1301&lt;5))</f>
        <v/>
      </c>
      <c r="AH1301" s="35">
        <f>IF(OR(C1301&lt;&gt;"Grayson Coulter",G1301&lt;'00_Control'!$B$7),"",--(AF1301&lt;10))</f>
        <v/>
      </c>
      <c r="AI1301" s="35">
        <f>IF(AND(C1301="Grayson Coulter",G1301&gt;='00_Control'!$B$7),"YES","NO")</f>
        <v/>
      </c>
      <c r="AJ1301" s="33" t="inlineStr">
        <is>
          <t>OK</t>
        </is>
      </c>
    </row>
    <row r="1302">
      <c r="A1302" s="33" t="inlineStr">
        <is>
          <t>SM001298</t>
        </is>
      </c>
      <c r="B1302" s="33" t="inlineStr">
        <is>
          <t>SW008</t>
        </is>
      </c>
      <c r="C1302" s="33" t="inlineStr">
        <is>
          <t>Jacob Whittle</t>
        </is>
      </c>
      <c r="D1302" s="33" t="inlineStr">
        <is>
          <t>SwimCloud</t>
        </is>
      </c>
      <c r="E1302" s="33" t="inlineStr">
        <is>
          <t>1133535</t>
        </is>
      </c>
      <c r="F1302" s="33" t="inlineStr">
        <is>
          <t>68674464</t>
        </is>
      </c>
      <c r="G1302" s="51" t="n">
        <v>44748</v>
      </c>
      <c r="H1302" s="33" t="inlineStr">
        <is>
          <t>European Junior Swimming Championships</t>
        </is>
      </c>
      <c r="I1302" s="33" t="inlineStr">
        <is>
          <t>234614</t>
        </is>
      </c>
      <c r="J1302" s="33" t="inlineStr"/>
      <c r="K1302" s="33" t="inlineStr">
        <is>
          <t>FIN</t>
        </is>
      </c>
      <c r="L1302" s="35">
        <f>IF(K1302="FIN",3,IF(OR(K1302="SEM",K1302="SEMI"),2,IF(OR(K1302="PRE",K1302="HEAT"),1,IF(V1302="YES",4,2))))</f>
        <v/>
      </c>
      <c r="M1302" s="33" t="inlineStr">
        <is>
          <t>LCM</t>
        </is>
      </c>
      <c r="N1302" s="33" t="n">
        <v>100</v>
      </c>
      <c r="O1302" s="33" t="inlineStr">
        <is>
          <t>Free</t>
        </is>
      </c>
      <c r="P1302" s="33" t="inlineStr">
        <is>
          <t>100 Free</t>
        </is>
      </c>
      <c r="Q1302" s="33" t="inlineStr">
        <is>
          <t>LCM_100_FREE</t>
        </is>
      </c>
      <c r="R1302" s="36" t="n">
        <v>49.18</v>
      </c>
      <c r="S1302" s="35">
        <f>IF(R1302="","",IF(R1302&gt;=60,INT(R1302/60)&amp;":"&amp;TEXT(MOD(R1302,60),"00.00"),TEXT(R1302,"0.00")))</f>
        <v/>
      </c>
      <c r="T1302" s="52">
        <f>IFERROR((G1302-INDEX('01_Swimmers'!$E$5:$E$22,MATCH(B1302,'01_Swimmers'!$A$5:$A$22,0)))/'00_Control'!$B$10,"")</f>
        <v/>
      </c>
      <c r="U1302" s="35">
        <f>IF(T1302="","",INT(T1302))</f>
        <v/>
      </c>
      <c r="V1302" s="33" t="inlineStr">
        <is>
          <t>YES</t>
        </is>
      </c>
      <c r="W1302" s="33" t="inlineStr">
        <is>
          <t>YES</t>
        </is>
      </c>
      <c r="X1302" s="33" t="inlineStr">
        <is>
          <t>NO</t>
        </is>
      </c>
      <c r="Y1302" s="33" t="n">
        <v>15</v>
      </c>
      <c r="Z1302" s="33" t="n">
        <v>5</v>
      </c>
      <c r="AA1302" s="33" t="inlineStr"/>
      <c r="AB1302" s="33" t="inlineStr">
        <is>
          <t>https://www.swimcloud.com/results/234614/event/15/?id=68672768#time68672768</t>
        </is>
      </c>
      <c r="AC1302" s="33" t="inlineStr">
        <is>
          <t>SwimCloud API v6 2026-10-08</t>
        </is>
      </c>
      <c r="AD1302" s="33" t="inlineStr">
        <is>
          <t>Jacob Whittle|2022-07-06|LCM|100|Free|49.18|European Junior Swimming Championships|FIN|True</t>
        </is>
      </c>
      <c r="AE1302" s="53">
        <f>G1302+L1302/1000+ROW()/1000000000</f>
        <v/>
      </c>
      <c r="AF1302" s="35">
        <f>IF(C1302&lt;&gt;"Grayson Coulter","",COUNTIFS($C$5:$C$2991,"Grayson Coulter",$Q$5:$Q$2991,Q1302,$AE$5:$AE$2991,"&lt;="&amp;AE1302,$R$5:$R$2991,"&lt;"&amp;R1302))</f>
        <v/>
      </c>
      <c r="AG1302" s="35">
        <f>IF(OR(C1302&lt;&gt;"Grayson Coulter",G1302&lt;'00_Control'!$B$7),"",--(AF1302&lt;5))</f>
        <v/>
      </c>
      <c r="AH1302" s="35">
        <f>IF(OR(C1302&lt;&gt;"Grayson Coulter",G1302&lt;'00_Control'!$B$7),"",--(AF1302&lt;10))</f>
        <v/>
      </c>
      <c r="AI1302" s="35">
        <f>IF(AND(C1302="Grayson Coulter",G1302&gt;='00_Control'!$B$7),"YES","NO")</f>
        <v/>
      </c>
      <c r="AJ1302" s="33" t="inlineStr">
        <is>
          <t>OK</t>
        </is>
      </c>
    </row>
    <row r="1303">
      <c r="A1303" s="33" t="inlineStr">
        <is>
          <t>SM001299</t>
        </is>
      </c>
      <c r="B1303" s="33" t="inlineStr">
        <is>
          <t>SW008</t>
        </is>
      </c>
      <c r="C1303" s="33" t="inlineStr">
        <is>
          <t>Jacob Whittle</t>
        </is>
      </c>
      <c r="D1303" s="33" t="inlineStr">
        <is>
          <t>SwimCloud</t>
        </is>
      </c>
      <c r="E1303" s="33" t="inlineStr">
        <is>
          <t>1133535</t>
        </is>
      </c>
      <c r="F1303" s="33" t="inlineStr">
        <is>
          <t>68672741</t>
        </is>
      </c>
      <c r="G1303" s="51" t="n">
        <v>44748</v>
      </c>
      <c r="H1303" s="33" t="inlineStr">
        <is>
          <t>European Junior Swimming Championships</t>
        </is>
      </c>
      <c r="I1303" s="33" t="inlineStr">
        <is>
          <t>234614</t>
        </is>
      </c>
      <c r="J1303" s="33" t="inlineStr"/>
      <c r="K1303" s="33" t="inlineStr">
        <is>
          <t>FIN</t>
        </is>
      </c>
      <c r="L1303" s="35">
        <f>IF(K1303="FIN",3,IF(OR(K1303="SEM",K1303="SEMI"),2,IF(OR(K1303="PRE",K1303="HEAT"),1,IF(V1303="YES",4,2))))</f>
        <v/>
      </c>
      <c r="M1303" s="33" t="inlineStr">
        <is>
          <t>LCM</t>
        </is>
      </c>
      <c r="N1303" s="33" t="n">
        <v>200</v>
      </c>
      <c r="O1303" s="33" t="inlineStr">
        <is>
          <t>Free</t>
        </is>
      </c>
      <c r="P1303" s="33" t="inlineStr">
        <is>
          <t>200 Free</t>
        </is>
      </c>
      <c r="Q1303" s="33" t="inlineStr">
        <is>
          <t>LCM_200_FREE</t>
        </is>
      </c>
      <c r="R1303" s="36" t="n">
        <v>107.85</v>
      </c>
      <c r="S1303" s="35">
        <f>IF(R1303="","",IF(R1303&gt;=60,INT(R1303/60)&amp;":"&amp;TEXT(MOD(R1303,60),"00.00"),TEXT(R1303,"0.00")))</f>
        <v/>
      </c>
      <c r="T1303" s="52">
        <f>IFERROR((G1303-INDEX('01_Swimmers'!$E$5:$E$22,MATCH(B1303,'01_Swimmers'!$A$5:$A$22,0)))/'00_Control'!$B$10,"")</f>
        <v/>
      </c>
      <c r="U1303" s="35">
        <f>IF(T1303="","",INT(T1303))</f>
        <v/>
      </c>
      <c r="V1303" s="33" t="inlineStr">
        <is>
          <t>NO</t>
        </is>
      </c>
      <c r="W1303" s="33" t="inlineStr">
        <is>
          <t>YES</t>
        </is>
      </c>
      <c r="X1303" s="33" t="inlineStr">
        <is>
          <t>NO</t>
        </is>
      </c>
      <c r="Y1303" s="33" t="n">
        <v>2</v>
      </c>
      <c r="Z1303" s="33" t="n">
        <v>7</v>
      </c>
      <c r="AA1303" s="33" t="inlineStr">
        <is>
          <t>3</t>
        </is>
      </c>
      <c r="AB1303" s="33" t="inlineStr">
        <is>
          <t>https://www.swimcloud.com/results/234614/event/2/?id=68672741#time68672741</t>
        </is>
      </c>
      <c r="AC1303" s="33" t="inlineStr">
        <is>
          <t>SwimCloud API v6 2026-10-08</t>
        </is>
      </c>
      <c r="AD1303" s="33" t="inlineStr">
        <is>
          <t>Jacob Whittle|2022-07-06|LCM|200|Free|107.85|European Junior Swimming Championships|FIN|False</t>
        </is>
      </c>
      <c r="AE1303" s="53">
        <f>G1303+L1303/1000+ROW()/1000000000</f>
        <v/>
      </c>
      <c r="AF1303" s="35">
        <f>IF(C1303&lt;&gt;"Grayson Coulter","",COUNTIFS($C$5:$C$2991,"Grayson Coulter",$Q$5:$Q$2991,Q1303,$AE$5:$AE$2991,"&lt;="&amp;AE1303,$R$5:$R$2991,"&lt;"&amp;R1303))</f>
        <v/>
      </c>
      <c r="AG1303" s="35">
        <f>IF(OR(C1303&lt;&gt;"Grayson Coulter",G1303&lt;'00_Control'!$B$7),"",--(AF1303&lt;5))</f>
        <v/>
      </c>
      <c r="AH1303" s="35">
        <f>IF(OR(C1303&lt;&gt;"Grayson Coulter",G1303&lt;'00_Control'!$B$7),"",--(AF1303&lt;10))</f>
        <v/>
      </c>
      <c r="AI1303" s="35">
        <f>IF(AND(C1303="Grayson Coulter",G1303&gt;='00_Control'!$B$7),"YES","NO")</f>
        <v/>
      </c>
      <c r="AJ1303" s="33" t="inlineStr">
        <is>
          <t>OK</t>
        </is>
      </c>
    </row>
    <row r="1304">
      <c r="A1304" s="33" t="inlineStr">
        <is>
          <t>SM001300</t>
        </is>
      </c>
      <c r="B1304" s="33" t="inlineStr">
        <is>
          <t>SW008</t>
        </is>
      </c>
      <c r="C1304" s="33" t="inlineStr">
        <is>
          <t>Jacob Whittle</t>
        </is>
      </c>
      <c r="D1304" s="33" t="inlineStr">
        <is>
          <t>SwimCloud</t>
        </is>
      </c>
      <c r="E1304" s="33" t="inlineStr">
        <is>
          <t>1133535</t>
        </is>
      </c>
      <c r="F1304" s="33" t="inlineStr">
        <is>
          <t>68672736</t>
        </is>
      </c>
      <c r="G1304" s="51" t="n">
        <v>44751</v>
      </c>
      <c r="H1304" s="33" t="inlineStr">
        <is>
          <t>European Junior Swimming Championships</t>
        </is>
      </c>
      <c r="I1304" s="33" t="inlineStr">
        <is>
          <t>234614</t>
        </is>
      </c>
      <c r="J1304" s="33" t="inlineStr"/>
      <c r="K1304" s="33" t="inlineStr">
        <is>
          <t>PRE</t>
        </is>
      </c>
      <c r="L1304" s="35">
        <f>IF(K1304="FIN",3,IF(OR(K1304="SEM",K1304="SEMI"),2,IF(OR(K1304="PRE",K1304="HEAT"),1,IF(V1304="YES",4,2))))</f>
        <v/>
      </c>
      <c r="M1304" s="33" t="inlineStr">
        <is>
          <t>LCM</t>
        </is>
      </c>
      <c r="N1304" s="33" t="n">
        <v>100</v>
      </c>
      <c r="O1304" s="33" t="inlineStr">
        <is>
          <t>Free</t>
        </is>
      </c>
      <c r="P1304" s="33" t="inlineStr">
        <is>
          <t>100 Free</t>
        </is>
      </c>
      <c r="Q1304" s="33" t="inlineStr">
        <is>
          <t>LCM_100_FREE</t>
        </is>
      </c>
      <c r="R1304" s="36" t="n">
        <v>49.3</v>
      </c>
      <c r="S1304" s="35">
        <f>IF(R1304="","",IF(R1304&gt;=60,INT(R1304/60)&amp;":"&amp;TEXT(MOD(R1304,60),"00.00"),TEXT(R1304,"0.00")))</f>
        <v/>
      </c>
      <c r="T1304" s="52">
        <f>IFERROR((G1304-INDEX('01_Swimmers'!$E$5:$E$22,MATCH(B1304,'01_Swimmers'!$A$5:$A$22,0)))/'00_Control'!$B$10,"")</f>
        <v/>
      </c>
      <c r="U1304" s="35">
        <f>IF(T1304="","",INT(T1304))</f>
        <v/>
      </c>
      <c r="V1304" s="33" t="inlineStr">
        <is>
          <t>NO</t>
        </is>
      </c>
      <c r="W1304" s="33" t="inlineStr">
        <is>
          <t>YES</t>
        </is>
      </c>
      <c r="X1304" s="33" t="inlineStr">
        <is>
          <t>NO</t>
        </is>
      </c>
      <c r="Y1304" s="33" t="n">
        <v>7</v>
      </c>
      <c r="Z1304" s="33" t="n">
        <v>4</v>
      </c>
      <c r="AA1304" s="33" t="inlineStr">
        <is>
          <t>1</t>
        </is>
      </c>
      <c r="AB1304" s="33" t="inlineStr">
        <is>
          <t>https://www.swimcloud.com/results/234614/event/30/?id=68672736#time68672736</t>
        </is>
      </c>
      <c r="AC1304" s="33" t="inlineStr">
        <is>
          <t>SwimCloud API v6 2026-10-08</t>
        </is>
      </c>
      <c r="AD1304" s="33" t="inlineStr">
        <is>
          <t>Jacob Whittle|2022-07-09|LCM|100|Free|49.3|European Junior Swimming Championships|PRE|False</t>
        </is>
      </c>
      <c r="AE1304" s="53">
        <f>G1304+L1304/1000+ROW()/1000000000</f>
        <v/>
      </c>
      <c r="AF1304" s="35">
        <f>IF(C1304&lt;&gt;"Grayson Coulter","",COUNTIFS($C$5:$C$2991,"Grayson Coulter",$Q$5:$Q$2991,Q1304,$AE$5:$AE$2991,"&lt;="&amp;AE1304,$R$5:$R$2991,"&lt;"&amp;R1304))</f>
        <v/>
      </c>
      <c r="AG1304" s="35">
        <f>IF(OR(C1304&lt;&gt;"Grayson Coulter",G1304&lt;'00_Control'!$B$7),"",--(AF1304&lt;5))</f>
        <v/>
      </c>
      <c r="AH1304" s="35">
        <f>IF(OR(C1304&lt;&gt;"Grayson Coulter",G1304&lt;'00_Control'!$B$7),"",--(AF1304&lt;10))</f>
        <v/>
      </c>
      <c r="AI1304" s="35">
        <f>IF(AND(C1304="Grayson Coulter",G1304&gt;='00_Control'!$B$7),"YES","NO")</f>
        <v/>
      </c>
      <c r="AJ1304" s="33" t="inlineStr">
        <is>
          <t>OK</t>
        </is>
      </c>
    </row>
    <row r="1305">
      <c r="A1305" s="33" t="inlineStr">
        <is>
          <t>SM001301</t>
        </is>
      </c>
      <c r="B1305" s="33" t="inlineStr">
        <is>
          <t>SW008</t>
        </is>
      </c>
      <c r="C1305" s="33" t="inlineStr">
        <is>
          <t>Jacob Whittle</t>
        </is>
      </c>
      <c r="D1305" s="33" t="inlineStr">
        <is>
          <t>SwimCloud</t>
        </is>
      </c>
      <c r="E1305" s="33" t="inlineStr">
        <is>
          <t>1133535</t>
        </is>
      </c>
      <c r="F1305" s="33" t="inlineStr">
        <is>
          <t>68672737</t>
        </is>
      </c>
      <c r="G1305" s="51" t="n">
        <v>44751</v>
      </c>
      <c r="H1305" s="33" t="inlineStr">
        <is>
          <t>European Junior Swimming Championships</t>
        </is>
      </c>
      <c r="I1305" s="33" t="inlineStr">
        <is>
          <t>234614</t>
        </is>
      </c>
      <c r="J1305" s="33" t="inlineStr"/>
      <c r="K1305" s="33" t="inlineStr">
        <is>
          <t>SEM</t>
        </is>
      </c>
      <c r="L1305" s="35">
        <f>IF(K1305="FIN",3,IF(OR(K1305="SEM",K1305="SEMI"),2,IF(OR(K1305="PRE",K1305="HEAT"),1,IF(V1305="YES",4,2))))</f>
        <v/>
      </c>
      <c r="M1305" s="33" t="inlineStr">
        <is>
          <t>LCM</t>
        </is>
      </c>
      <c r="N1305" s="33" t="n">
        <v>100</v>
      </c>
      <c r="O1305" s="33" t="inlineStr">
        <is>
          <t>Free</t>
        </is>
      </c>
      <c r="P1305" s="33" t="inlineStr">
        <is>
          <t>100 Free</t>
        </is>
      </c>
      <c r="Q1305" s="33" t="inlineStr">
        <is>
          <t>LCM_100_FREE</t>
        </is>
      </c>
      <c r="R1305" s="36" t="n">
        <v>48.68</v>
      </c>
      <c r="S1305" s="35">
        <f>IF(R1305="","",IF(R1305&gt;=60,INT(R1305/60)&amp;":"&amp;TEXT(MOD(R1305,60),"00.00"),TEXT(R1305,"0.00")))</f>
        <v/>
      </c>
      <c r="T1305" s="52">
        <f>IFERROR((G1305-INDEX('01_Swimmers'!$E$5:$E$22,MATCH(B1305,'01_Swimmers'!$A$5:$A$22,0)))/'00_Control'!$B$10,"")</f>
        <v/>
      </c>
      <c r="U1305" s="35">
        <f>IF(T1305="","",INT(T1305))</f>
        <v/>
      </c>
      <c r="V1305" s="33" t="inlineStr">
        <is>
          <t>NO</t>
        </is>
      </c>
      <c r="W1305" s="33" t="inlineStr">
        <is>
          <t>YES</t>
        </is>
      </c>
      <c r="X1305" s="33" t="inlineStr">
        <is>
          <t>NO</t>
        </is>
      </c>
      <c r="Y1305" s="33" t="n">
        <v>3</v>
      </c>
      <c r="Z1305" s="33" t="n">
        <v>4</v>
      </c>
      <c r="AA1305" s="33" t="inlineStr">
        <is>
          <t>2</t>
        </is>
      </c>
      <c r="AB1305" s="33" t="inlineStr">
        <is>
          <t>https://www.swimcloud.com/results/234614/event/30/?id=68672737#time68672737</t>
        </is>
      </c>
      <c r="AC1305" s="33" t="inlineStr">
        <is>
          <t>SwimCloud API v6 2026-10-08</t>
        </is>
      </c>
      <c r="AD1305" s="33" t="inlineStr">
        <is>
          <t>Jacob Whittle|2022-07-09|LCM|100|Free|48.68|European Junior Swimming Championships|SEM|False</t>
        </is>
      </c>
      <c r="AE1305" s="53">
        <f>G1305+L1305/1000+ROW()/1000000000</f>
        <v/>
      </c>
      <c r="AF1305" s="35">
        <f>IF(C1305&lt;&gt;"Grayson Coulter","",COUNTIFS($C$5:$C$2991,"Grayson Coulter",$Q$5:$Q$2991,Q1305,$AE$5:$AE$2991,"&lt;="&amp;AE1305,$R$5:$R$2991,"&lt;"&amp;R1305))</f>
        <v/>
      </c>
      <c r="AG1305" s="35">
        <f>IF(OR(C1305&lt;&gt;"Grayson Coulter",G1305&lt;'00_Control'!$B$7),"",--(AF1305&lt;5))</f>
        <v/>
      </c>
      <c r="AH1305" s="35">
        <f>IF(OR(C1305&lt;&gt;"Grayson Coulter",G1305&lt;'00_Control'!$B$7),"",--(AF1305&lt;10))</f>
        <v/>
      </c>
      <c r="AI1305" s="35">
        <f>IF(AND(C1305="Grayson Coulter",G1305&gt;='00_Control'!$B$7),"YES","NO")</f>
        <v/>
      </c>
      <c r="AJ1305" s="33" t="inlineStr">
        <is>
          <t>OK</t>
        </is>
      </c>
    </row>
    <row r="1306">
      <c r="A1306" s="33" t="inlineStr">
        <is>
          <t>SM001302</t>
        </is>
      </c>
      <c r="B1306" s="33" t="inlineStr">
        <is>
          <t>SW008</t>
        </is>
      </c>
      <c r="C1306" s="33" t="inlineStr">
        <is>
          <t>Jacob Whittle</t>
        </is>
      </c>
      <c r="D1306" s="33" t="inlineStr">
        <is>
          <t>SwimCloud</t>
        </is>
      </c>
      <c r="E1306" s="33" t="inlineStr">
        <is>
          <t>1133535</t>
        </is>
      </c>
      <c r="F1306" s="33" t="inlineStr">
        <is>
          <t>68674448</t>
        </is>
      </c>
      <c r="G1306" s="51" t="n">
        <v>44751</v>
      </c>
      <c r="H1306" s="33" t="inlineStr">
        <is>
          <t>European Junior Swimming Championships</t>
        </is>
      </c>
      <c r="I1306" s="33" t="inlineStr">
        <is>
          <t>234614</t>
        </is>
      </c>
      <c r="J1306" s="33" t="inlineStr"/>
      <c r="K1306" s="33" t="inlineStr">
        <is>
          <t>FIN</t>
        </is>
      </c>
      <c r="L1306" s="35">
        <f>IF(K1306="FIN",3,IF(OR(K1306="SEM",K1306="SEMI"),2,IF(OR(K1306="PRE",K1306="HEAT"),1,IF(V1306="YES",4,2))))</f>
        <v/>
      </c>
      <c r="M1306" s="33" t="inlineStr">
        <is>
          <t>LCM</t>
        </is>
      </c>
      <c r="N1306" s="33" t="n">
        <v>200</v>
      </c>
      <c r="O1306" s="33" t="inlineStr">
        <is>
          <t>Free</t>
        </is>
      </c>
      <c r="P1306" s="33" t="inlineStr">
        <is>
          <t>200 Free</t>
        </is>
      </c>
      <c r="Q1306" s="33" t="inlineStr">
        <is>
          <t>LCM_200_FREE</t>
        </is>
      </c>
      <c r="R1306" s="36" t="n">
        <v>110.31</v>
      </c>
      <c r="S1306" s="35">
        <f>IF(R1306="","",IF(R1306&gt;=60,INT(R1306/60)&amp;":"&amp;TEXT(MOD(R1306,60),"00.00"),TEXT(R1306,"0.00")))</f>
        <v/>
      </c>
      <c r="T1306" s="52">
        <f>IFERROR((G1306-INDEX('01_Swimmers'!$E$5:$E$22,MATCH(B1306,'01_Swimmers'!$A$5:$A$22,0)))/'00_Control'!$B$10,"")</f>
        <v/>
      </c>
      <c r="U1306" s="35">
        <f>IF(T1306="","",INT(T1306))</f>
        <v/>
      </c>
      <c r="V1306" s="33" t="inlineStr">
        <is>
          <t>YES</t>
        </is>
      </c>
      <c r="W1306" s="33" t="inlineStr">
        <is>
          <t>YES</t>
        </is>
      </c>
      <c r="X1306" s="33" t="inlineStr">
        <is>
          <t>NO</t>
        </is>
      </c>
      <c r="Y1306" s="33" t="n">
        <v>21</v>
      </c>
      <c r="Z1306" s="33" t="n">
        <v>2</v>
      </c>
      <c r="AA1306" s="33" t="inlineStr"/>
      <c r="AB1306" s="33" t="inlineStr">
        <is>
          <t>https://www.swimcloud.com/results/234614/event/38/?id=68672764#time68672764</t>
        </is>
      </c>
      <c r="AC1306" s="33" t="inlineStr">
        <is>
          <t>SwimCloud API v6 2026-10-08</t>
        </is>
      </c>
      <c r="AD1306" s="33" t="inlineStr">
        <is>
          <t>Jacob Whittle|2022-07-09|LCM|200|Free|110.31|European Junior Swimming Championships|FIN|True</t>
        </is>
      </c>
      <c r="AE1306" s="53">
        <f>G1306+L1306/1000+ROW()/1000000000</f>
        <v/>
      </c>
      <c r="AF1306" s="35">
        <f>IF(C1306&lt;&gt;"Grayson Coulter","",COUNTIFS($C$5:$C$2991,"Grayson Coulter",$Q$5:$Q$2991,Q1306,$AE$5:$AE$2991,"&lt;="&amp;AE1306,$R$5:$R$2991,"&lt;"&amp;R1306))</f>
        <v/>
      </c>
      <c r="AG1306" s="35">
        <f>IF(OR(C1306&lt;&gt;"Grayson Coulter",G1306&lt;'00_Control'!$B$7),"",--(AF1306&lt;5))</f>
        <v/>
      </c>
      <c r="AH1306" s="35">
        <f>IF(OR(C1306&lt;&gt;"Grayson Coulter",G1306&lt;'00_Control'!$B$7),"",--(AF1306&lt;10))</f>
        <v/>
      </c>
      <c r="AI1306" s="35">
        <f>IF(AND(C1306="Grayson Coulter",G1306&gt;='00_Control'!$B$7),"YES","NO")</f>
        <v/>
      </c>
      <c r="AJ1306" s="33" t="inlineStr">
        <is>
          <t>OK</t>
        </is>
      </c>
    </row>
    <row r="1307">
      <c r="A1307" s="33" t="inlineStr">
        <is>
          <t>SM001303</t>
        </is>
      </c>
      <c r="B1307" s="33" t="inlineStr">
        <is>
          <t>SW008</t>
        </is>
      </c>
      <c r="C1307" s="33" t="inlineStr">
        <is>
          <t>Jacob Whittle</t>
        </is>
      </c>
      <c r="D1307" s="33" t="inlineStr">
        <is>
          <t>SwimCloud</t>
        </is>
      </c>
      <c r="E1307" s="33" t="inlineStr">
        <is>
          <t>1133535</t>
        </is>
      </c>
      <c r="F1307" s="33" t="inlineStr">
        <is>
          <t>68672738</t>
        </is>
      </c>
      <c r="G1307" s="51" t="n">
        <v>44752</v>
      </c>
      <c r="H1307" s="33" t="inlineStr">
        <is>
          <t>European Junior Swimming Championships</t>
        </is>
      </c>
      <c r="I1307" s="33" t="inlineStr">
        <is>
          <t>234614</t>
        </is>
      </c>
      <c r="J1307" s="33" t="inlineStr"/>
      <c r="K1307" s="33" t="inlineStr">
        <is>
          <t>FIN</t>
        </is>
      </c>
      <c r="L1307" s="35">
        <f>IF(K1307="FIN",3,IF(OR(K1307="SEM",K1307="SEMI"),2,IF(OR(K1307="PRE",K1307="HEAT"),1,IF(V1307="YES",4,2))))</f>
        <v/>
      </c>
      <c r="M1307" s="33" t="inlineStr">
        <is>
          <t>LCM</t>
        </is>
      </c>
      <c r="N1307" s="33" t="n">
        <v>100</v>
      </c>
      <c r="O1307" s="33" t="inlineStr">
        <is>
          <t>Free</t>
        </is>
      </c>
      <c r="P1307" s="33" t="inlineStr">
        <is>
          <t>100 Free</t>
        </is>
      </c>
      <c r="Q1307" s="33" t="inlineStr">
        <is>
          <t>LCM_100_FREE</t>
        </is>
      </c>
      <c r="R1307" s="36" t="n">
        <v>48.65</v>
      </c>
      <c r="S1307" s="35">
        <f>IF(R1307="","",IF(R1307&gt;=60,INT(R1307/60)&amp;":"&amp;TEXT(MOD(R1307,60),"00.00"),TEXT(R1307,"0.00")))</f>
        <v/>
      </c>
      <c r="T1307" s="52">
        <f>IFERROR((G1307-INDEX('01_Swimmers'!$E$5:$E$22,MATCH(B1307,'01_Swimmers'!$A$5:$A$22,0)))/'00_Control'!$B$10,"")</f>
        <v/>
      </c>
      <c r="U1307" s="35">
        <f>IF(T1307="","",INT(T1307))</f>
        <v/>
      </c>
      <c r="V1307" s="33" t="inlineStr">
        <is>
          <t>NO</t>
        </is>
      </c>
      <c r="W1307" s="33" t="inlineStr">
        <is>
          <t>YES</t>
        </is>
      </c>
      <c r="X1307" s="33" t="inlineStr">
        <is>
          <t>NO</t>
        </is>
      </c>
      <c r="Y1307" s="33" t="n">
        <v>5</v>
      </c>
      <c r="Z1307" s="33" t="n">
        <v>5</v>
      </c>
      <c r="AA1307" s="33" t="inlineStr">
        <is>
          <t>2</t>
        </is>
      </c>
      <c r="AB1307" s="33" t="inlineStr">
        <is>
          <t>https://www.swimcloud.com/results/234614/event/30/?id=68672738#time68672738</t>
        </is>
      </c>
      <c r="AC1307" s="33" t="inlineStr">
        <is>
          <t>SwimCloud API v6 2026-10-08</t>
        </is>
      </c>
      <c r="AD1307" s="33" t="inlineStr">
        <is>
          <t>Jacob Whittle|2022-07-10|LCM|100|Free|48.65|European Junior Swimming Championships|FIN|False</t>
        </is>
      </c>
      <c r="AE1307" s="53">
        <f>G1307+L1307/1000+ROW()/1000000000</f>
        <v/>
      </c>
      <c r="AF1307" s="35">
        <f>IF(C1307&lt;&gt;"Grayson Coulter","",COUNTIFS($C$5:$C$2991,"Grayson Coulter",$Q$5:$Q$2991,Q1307,$AE$5:$AE$2991,"&lt;="&amp;AE1307,$R$5:$R$2991,"&lt;"&amp;R1307))</f>
        <v/>
      </c>
      <c r="AG1307" s="35">
        <f>IF(OR(C1307&lt;&gt;"Grayson Coulter",G1307&lt;'00_Control'!$B$7),"",--(AF1307&lt;5))</f>
        <v/>
      </c>
      <c r="AH1307" s="35">
        <f>IF(OR(C1307&lt;&gt;"Grayson Coulter",G1307&lt;'00_Control'!$B$7),"",--(AF1307&lt;10))</f>
        <v/>
      </c>
      <c r="AI1307" s="35">
        <f>IF(AND(C1307="Grayson Coulter",G1307&gt;='00_Control'!$B$7),"YES","NO")</f>
        <v/>
      </c>
      <c r="AJ1307" s="33" t="inlineStr">
        <is>
          <t>OK</t>
        </is>
      </c>
    </row>
    <row r="1308">
      <c r="A1308" s="33" t="inlineStr">
        <is>
          <t>SM001304</t>
        </is>
      </c>
      <c r="B1308" s="33" t="inlineStr">
        <is>
          <t>SW008</t>
        </is>
      </c>
      <c r="C1308" s="33" t="inlineStr">
        <is>
          <t>Jacob Whittle</t>
        </is>
      </c>
      <c r="D1308" s="33" t="inlineStr">
        <is>
          <t>SwimCloud</t>
        </is>
      </c>
      <c r="E1308" s="33" t="inlineStr">
        <is>
          <t>1133535</t>
        </is>
      </c>
      <c r="F1308" s="33" t="inlineStr">
        <is>
          <t>74482661</t>
        </is>
      </c>
      <c r="G1308" s="51" t="n">
        <v>44785</v>
      </c>
      <c r="H1308" s="33" t="inlineStr">
        <is>
          <t>LEN European Championships</t>
        </is>
      </c>
      <c r="I1308" s="33" t="inlineStr">
        <is>
          <t>204182</t>
        </is>
      </c>
      <c r="J1308" s="33" t="inlineStr"/>
      <c r="K1308" s="33" t="inlineStr">
        <is>
          <t>PRE</t>
        </is>
      </c>
      <c r="L1308" s="35">
        <f>IF(K1308="FIN",3,IF(OR(K1308="SEM",K1308="SEMI"),2,IF(OR(K1308="PRE",K1308="HEAT"),1,IF(V1308="YES",4,2))))</f>
        <v/>
      </c>
      <c r="M1308" s="33" t="inlineStr">
        <is>
          <t>LCM</t>
        </is>
      </c>
      <c r="N1308" s="33" t="n">
        <v>100</v>
      </c>
      <c r="O1308" s="33" t="inlineStr">
        <is>
          <t>Free</t>
        </is>
      </c>
      <c r="P1308" s="33" t="inlineStr">
        <is>
          <t>100 Free</t>
        </is>
      </c>
      <c r="Q1308" s="33" t="inlineStr">
        <is>
          <t>LCM_100_FREE</t>
        </is>
      </c>
      <c r="R1308" s="36" t="n">
        <v>49.35</v>
      </c>
      <c r="S1308" s="35">
        <f>IF(R1308="","",IF(R1308&gt;=60,INT(R1308/60)&amp;":"&amp;TEXT(MOD(R1308,60),"00.00"),TEXT(R1308,"0.00")))</f>
        <v/>
      </c>
      <c r="T1308" s="52">
        <f>IFERROR((G1308-INDEX('01_Swimmers'!$E$5:$E$22,MATCH(B1308,'01_Swimmers'!$A$5:$A$22,0)))/'00_Control'!$B$10,"")</f>
        <v/>
      </c>
      <c r="U1308" s="35">
        <f>IF(T1308="","",INT(T1308))</f>
        <v/>
      </c>
      <c r="V1308" s="33" t="inlineStr">
        <is>
          <t>NO</t>
        </is>
      </c>
      <c r="W1308" s="33" t="inlineStr">
        <is>
          <t>YES</t>
        </is>
      </c>
      <c r="X1308" s="33" t="inlineStr">
        <is>
          <t>NO</t>
        </is>
      </c>
      <c r="Y1308" s="33" t="n">
        <v>10</v>
      </c>
      <c r="Z1308" s="33" t="n">
        <v>3</v>
      </c>
      <c r="AA1308" s="33" t="inlineStr">
        <is>
          <t>23</t>
        </is>
      </c>
      <c r="AB1308" s="33" t="inlineStr">
        <is>
          <t>https://www.swimcloud.com/results/204182/event/10/?id=74482661#time74482661</t>
        </is>
      </c>
      <c r="AC1308" s="33" t="inlineStr">
        <is>
          <t>SwimCloud API v6 2026-10-08</t>
        </is>
      </c>
      <c r="AD1308" s="33" t="inlineStr">
        <is>
          <t>Jacob Whittle|2022-08-12|LCM|100|Free|49.35|LEN European Championships|PRE|False</t>
        </is>
      </c>
      <c r="AE1308" s="53">
        <f>G1308+L1308/1000+ROW()/1000000000</f>
        <v/>
      </c>
      <c r="AF1308" s="35">
        <f>IF(C1308&lt;&gt;"Grayson Coulter","",COUNTIFS($C$5:$C$2991,"Grayson Coulter",$Q$5:$Q$2991,Q1308,$AE$5:$AE$2991,"&lt;="&amp;AE1308,$R$5:$R$2991,"&lt;"&amp;R1308))</f>
        <v/>
      </c>
      <c r="AG1308" s="35">
        <f>IF(OR(C1308&lt;&gt;"Grayson Coulter",G1308&lt;'00_Control'!$B$7),"",--(AF1308&lt;5))</f>
        <v/>
      </c>
      <c r="AH1308" s="35">
        <f>IF(OR(C1308&lt;&gt;"Grayson Coulter",G1308&lt;'00_Control'!$B$7),"",--(AF1308&lt;10))</f>
        <v/>
      </c>
      <c r="AI1308" s="35">
        <f>IF(AND(C1308="Grayson Coulter",G1308&gt;='00_Control'!$B$7),"YES","NO")</f>
        <v/>
      </c>
      <c r="AJ1308" s="33" t="inlineStr">
        <is>
          <t>OK</t>
        </is>
      </c>
    </row>
    <row r="1309">
      <c r="A1309" s="33" t="inlineStr">
        <is>
          <t>SM001305</t>
        </is>
      </c>
      <c r="B1309" s="33" t="inlineStr">
        <is>
          <t>SW008</t>
        </is>
      </c>
      <c r="C1309" s="33" t="inlineStr">
        <is>
          <t>Jacob Whittle</t>
        </is>
      </c>
      <c r="D1309" s="33" t="inlineStr">
        <is>
          <t>SwimCloud</t>
        </is>
      </c>
      <c r="E1309" s="33" t="inlineStr">
        <is>
          <t>1133535</t>
        </is>
      </c>
      <c r="F1309" s="33" t="inlineStr">
        <is>
          <t>74484272</t>
        </is>
      </c>
      <c r="G1309" s="51" t="n">
        <v>44787</v>
      </c>
      <c r="H1309" s="33" t="inlineStr">
        <is>
          <t>LEN European Championships</t>
        </is>
      </c>
      <c r="I1309" s="33" t="inlineStr">
        <is>
          <t>204182</t>
        </is>
      </c>
      <c r="J1309" s="33" t="inlineStr"/>
      <c r="K1309" s="33" t="inlineStr">
        <is>
          <t>FIN</t>
        </is>
      </c>
      <c r="L1309" s="35">
        <f>IF(K1309="FIN",3,IF(OR(K1309="SEM",K1309="SEMI"),2,IF(OR(K1309="PRE",K1309="HEAT"),1,IF(V1309="YES",4,2))))</f>
        <v/>
      </c>
      <c r="M1309" s="33" t="inlineStr">
        <is>
          <t>LCM</t>
        </is>
      </c>
      <c r="N1309" s="33" t="n">
        <v>100</v>
      </c>
      <c r="O1309" s="33" t="inlineStr">
        <is>
          <t>Free</t>
        </is>
      </c>
      <c r="P1309" s="33" t="inlineStr">
        <is>
          <t>100 Free</t>
        </is>
      </c>
      <c r="Q1309" s="33" t="inlineStr">
        <is>
          <t>LCM_100_FREE</t>
        </is>
      </c>
      <c r="R1309" s="36" t="n">
        <v>48.72</v>
      </c>
      <c r="S1309" s="35">
        <f>IF(R1309="","",IF(R1309&gt;=60,INT(R1309/60)&amp;":"&amp;TEXT(MOD(R1309,60),"00.00"),TEXT(R1309,"0.00")))</f>
        <v/>
      </c>
      <c r="T1309" s="52">
        <f>IFERROR((G1309-INDEX('01_Swimmers'!$E$5:$E$22,MATCH(B1309,'01_Swimmers'!$A$5:$A$22,0)))/'00_Control'!$B$10,"")</f>
        <v/>
      </c>
      <c r="U1309" s="35">
        <f>IF(T1309="","",INT(T1309))</f>
        <v/>
      </c>
      <c r="V1309" s="33" t="inlineStr">
        <is>
          <t>YES</t>
        </is>
      </c>
      <c r="W1309" s="33" t="inlineStr">
        <is>
          <t>YES</t>
        </is>
      </c>
      <c r="X1309" s="33" t="inlineStr">
        <is>
          <t>NO</t>
        </is>
      </c>
      <c r="Y1309" s="33" t="n">
        <v>13</v>
      </c>
      <c r="Z1309" s="33" t="n">
        <v>3</v>
      </c>
      <c r="AA1309" s="33" t="inlineStr"/>
      <c r="AB1309" s="33" t="inlineStr">
        <is>
          <t>https://www.swimcloud.com/results/204182/event/25/?id=74482685#time74482685</t>
        </is>
      </c>
      <c r="AC1309" s="33" t="inlineStr">
        <is>
          <t>SwimCloud API v6 2026-10-08</t>
        </is>
      </c>
      <c r="AD1309" s="33" t="inlineStr">
        <is>
          <t>Jacob Whittle|2022-08-14|LCM|100|Free|48.72|LEN European Championships|FIN|True</t>
        </is>
      </c>
      <c r="AE1309" s="53">
        <f>G1309+L1309/1000+ROW()/1000000000</f>
        <v/>
      </c>
      <c r="AF1309" s="35">
        <f>IF(C1309&lt;&gt;"Grayson Coulter","",COUNTIFS($C$5:$C$2991,"Grayson Coulter",$Q$5:$Q$2991,Q1309,$AE$5:$AE$2991,"&lt;="&amp;AE1309,$R$5:$R$2991,"&lt;"&amp;R1309))</f>
        <v/>
      </c>
      <c r="AG1309" s="35">
        <f>IF(OR(C1309&lt;&gt;"Grayson Coulter",G1309&lt;'00_Control'!$B$7),"",--(AF1309&lt;5))</f>
        <v/>
      </c>
      <c r="AH1309" s="35">
        <f>IF(OR(C1309&lt;&gt;"Grayson Coulter",G1309&lt;'00_Control'!$B$7),"",--(AF1309&lt;10))</f>
        <v/>
      </c>
      <c r="AI1309" s="35">
        <f>IF(AND(C1309="Grayson Coulter",G1309&gt;='00_Control'!$B$7),"YES","NO")</f>
        <v/>
      </c>
      <c r="AJ1309" s="33" t="inlineStr">
        <is>
          <t>OK</t>
        </is>
      </c>
    </row>
    <row r="1310">
      <c r="A1310" s="33" t="inlineStr">
        <is>
          <t>SM001306</t>
        </is>
      </c>
      <c r="B1310" s="33" t="inlineStr">
        <is>
          <t>SW008</t>
        </is>
      </c>
      <c r="C1310" s="33" t="inlineStr">
        <is>
          <t>Jacob Whittle</t>
        </is>
      </c>
      <c r="D1310" s="33" t="inlineStr">
        <is>
          <t>SwimCloud</t>
        </is>
      </c>
      <c r="E1310" s="33" t="inlineStr">
        <is>
          <t>1133535</t>
        </is>
      </c>
      <c r="F1310" s="33" t="inlineStr">
        <is>
          <t>98014733</t>
        </is>
      </c>
      <c r="G1310" s="51" t="n">
        <v>44982</v>
      </c>
      <c r="H1310" s="33" t="inlineStr">
        <is>
          <t>Lausanne Swim Cup</t>
        </is>
      </c>
      <c r="I1310" s="33" t="inlineStr">
        <is>
          <t>255387</t>
        </is>
      </c>
      <c r="J1310" s="33" t="inlineStr"/>
      <c r="K1310" s="33" t="inlineStr">
        <is>
          <t>PRE</t>
        </is>
      </c>
      <c r="L1310" s="35">
        <f>IF(K1310="FIN",3,IF(OR(K1310="SEM",K1310="SEMI"),2,IF(OR(K1310="PRE",K1310="HEAT"),1,IF(V1310="YES",4,2))))</f>
        <v/>
      </c>
      <c r="M1310" s="33" t="inlineStr">
        <is>
          <t>LCM</t>
        </is>
      </c>
      <c r="N1310" s="33" t="n">
        <v>200</v>
      </c>
      <c r="O1310" s="33" t="inlineStr">
        <is>
          <t>Free</t>
        </is>
      </c>
      <c r="P1310" s="33" t="inlineStr">
        <is>
          <t>200 Free</t>
        </is>
      </c>
      <c r="Q1310" s="33" t="inlineStr">
        <is>
          <t>LCM_200_FREE</t>
        </is>
      </c>
      <c r="R1310" s="36" t="n">
        <v>111.83</v>
      </c>
      <c r="S1310" s="35">
        <f>IF(R1310="","",IF(R1310&gt;=60,INT(R1310/60)&amp;":"&amp;TEXT(MOD(R1310,60),"00.00"),TEXT(R1310,"0.00")))</f>
        <v/>
      </c>
      <c r="T1310" s="52">
        <f>IFERROR((G1310-INDEX('01_Swimmers'!$E$5:$E$22,MATCH(B1310,'01_Swimmers'!$A$5:$A$22,0)))/'00_Control'!$B$10,"")</f>
        <v/>
      </c>
      <c r="U1310" s="35">
        <f>IF(T1310="","",INT(T1310))</f>
        <v/>
      </c>
      <c r="V1310" s="33" t="inlineStr">
        <is>
          <t>NO</t>
        </is>
      </c>
      <c r="W1310" s="33" t="inlineStr">
        <is>
          <t>YES</t>
        </is>
      </c>
      <c r="X1310" s="33" t="inlineStr">
        <is>
          <t>NO</t>
        </is>
      </c>
      <c r="Y1310" s="33" t="n">
        <v>7</v>
      </c>
      <c r="Z1310" s="33" t="n">
        <v>5</v>
      </c>
      <c r="AA1310" s="33" t="inlineStr">
        <is>
          <t>7</t>
        </is>
      </c>
      <c r="AB1310" s="33" t="inlineStr">
        <is>
          <t>https://www.swimcloud.com/results/255387/event/15/?id=98014733#time98014733</t>
        </is>
      </c>
      <c r="AC1310" s="33" t="inlineStr">
        <is>
          <t>SwimCloud API v6 2026-10-08</t>
        </is>
      </c>
      <c r="AD1310" s="33" t="inlineStr">
        <is>
          <t>Jacob Whittle|2023-02-25|LCM|200|Free|111.83|Lausanne Swim Cup|PRE|False</t>
        </is>
      </c>
      <c r="AE1310" s="53">
        <f>G1310+L1310/1000+ROW()/1000000000</f>
        <v/>
      </c>
      <c r="AF1310" s="35">
        <f>IF(C1310&lt;&gt;"Grayson Coulter","",COUNTIFS($C$5:$C$2991,"Grayson Coulter",$Q$5:$Q$2991,Q1310,$AE$5:$AE$2991,"&lt;="&amp;AE1310,$R$5:$R$2991,"&lt;"&amp;R1310))</f>
        <v/>
      </c>
      <c r="AG1310" s="35">
        <f>IF(OR(C1310&lt;&gt;"Grayson Coulter",G1310&lt;'00_Control'!$B$7),"",--(AF1310&lt;5))</f>
        <v/>
      </c>
      <c r="AH1310" s="35">
        <f>IF(OR(C1310&lt;&gt;"Grayson Coulter",G1310&lt;'00_Control'!$B$7),"",--(AF1310&lt;10))</f>
        <v/>
      </c>
      <c r="AI1310" s="35">
        <f>IF(AND(C1310="Grayson Coulter",G1310&gt;='00_Control'!$B$7),"YES","NO")</f>
        <v/>
      </c>
      <c r="AJ1310" s="33" t="inlineStr">
        <is>
          <t>OK</t>
        </is>
      </c>
    </row>
    <row r="1311">
      <c r="A1311" s="33" t="inlineStr">
        <is>
          <t>SM001307</t>
        </is>
      </c>
      <c r="B1311" s="33" t="inlineStr">
        <is>
          <t>SW008</t>
        </is>
      </c>
      <c r="C1311" s="33" t="inlineStr">
        <is>
          <t>Jacob Whittle</t>
        </is>
      </c>
      <c r="D1311" s="33" t="inlineStr">
        <is>
          <t>SwimCloud</t>
        </is>
      </c>
      <c r="E1311" s="33" t="inlineStr">
        <is>
          <t>1133535</t>
        </is>
      </c>
      <c r="F1311" s="33" t="inlineStr">
        <is>
          <t>98014736</t>
        </is>
      </c>
      <c r="G1311" s="51" t="n">
        <v>44982</v>
      </c>
      <c r="H1311" s="33" t="inlineStr">
        <is>
          <t>Lausanne Swim Cup</t>
        </is>
      </c>
      <c r="I1311" s="33" t="inlineStr">
        <is>
          <t>255387</t>
        </is>
      </c>
      <c r="J1311" s="33" t="inlineStr"/>
      <c r="K1311" s="33" t="inlineStr">
        <is>
          <t>FIN</t>
        </is>
      </c>
      <c r="L1311" s="35">
        <f>IF(K1311="FIN",3,IF(OR(K1311="SEM",K1311="SEMI"),2,IF(OR(K1311="PRE",K1311="HEAT"),1,IF(V1311="YES",4,2))))</f>
        <v/>
      </c>
      <c r="M1311" s="33" t="inlineStr">
        <is>
          <t>LCM</t>
        </is>
      </c>
      <c r="N1311" s="33" t="n">
        <v>200</v>
      </c>
      <c r="O1311" s="33" t="inlineStr">
        <is>
          <t>Free</t>
        </is>
      </c>
      <c r="P1311" s="33" t="inlineStr">
        <is>
          <t>200 Free</t>
        </is>
      </c>
      <c r="Q1311" s="33" t="inlineStr">
        <is>
          <t>LCM_200_FREE</t>
        </is>
      </c>
      <c r="R1311" s="36" t="n">
        <v>112.49</v>
      </c>
      <c r="S1311" s="35">
        <f>IF(R1311="","",IF(R1311&gt;=60,INT(R1311/60)&amp;":"&amp;TEXT(MOD(R1311,60),"00.00"),TEXT(R1311,"0.00")))</f>
        <v/>
      </c>
      <c r="T1311" s="52">
        <f>IFERROR((G1311-INDEX('01_Swimmers'!$E$5:$E$22,MATCH(B1311,'01_Swimmers'!$A$5:$A$22,0)))/'00_Control'!$B$10,"")</f>
        <v/>
      </c>
      <c r="U1311" s="35">
        <f>IF(T1311="","",INT(T1311))</f>
        <v/>
      </c>
      <c r="V1311" s="33" t="inlineStr">
        <is>
          <t>NO</t>
        </is>
      </c>
      <c r="W1311" s="33" t="inlineStr">
        <is>
          <t>YES</t>
        </is>
      </c>
      <c r="X1311" s="33" t="inlineStr">
        <is>
          <t>NO</t>
        </is>
      </c>
      <c r="Y1311" s="33" t="n">
        <v>2</v>
      </c>
      <c r="Z1311" s="33" t="n">
        <v>1</v>
      </c>
      <c r="AA1311" s="33" t="inlineStr">
        <is>
          <t>9</t>
        </is>
      </c>
      <c r="AB1311" s="33" t="inlineStr">
        <is>
          <t>https://www.swimcloud.com/results/255387/event/15/?id=98014736#time98014736</t>
        </is>
      </c>
      <c r="AC1311" s="33" t="inlineStr">
        <is>
          <t>SwimCloud API v6 2026-10-08</t>
        </is>
      </c>
      <c r="AD1311" s="33" t="inlineStr">
        <is>
          <t>Jacob Whittle|2023-02-25|LCM|200|Free|112.49|Lausanne Swim Cup|FIN|False</t>
        </is>
      </c>
      <c r="AE1311" s="53">
        <f>G1311+L1311/1000+ROW()/1000000000</f>
        <v/>
      </c>
      <c r="AF1311" s="35">
        <f>IF(C1311&lt;&gt;"Grayson Coulter","",COUNTIFS($C$5:$C$2991,"Grayson Coulter",$Q$5:$Q$2991,Q1311,$AE$5:$AE$2991,"&lt;="&amp;AE1311,$R$5:$R$2991,"&lt;"&amp;R1311))</f>
        <v/>
      </c>
      <c r="AG1311" s="35">
        <f>IF(OR(C1311&lt;&gt;"Grayson Coulter",G1311&lt;'00_Control'!$B$7),"",--(AF1311&lt;5))</f>
        <v/>
      </c>
      <c r="AH1311" s="35">
        <f>IF(OR(C1311&lt;&gt;"Grayson Coulter",G1311&lt;'00_Control'!$B$7),"",--(AF1311&lt;10))</f>
        <v/>
      </c>
      <c r="AI1311" s="35">
        <f>IF(AND(C1311="Grayson Coulter",G1311&gt;='00_Control'!$B$7),"YES","NO")</f>
        <v/>
      </c>
      <c r="AJ1311" s="33" t="inlineStr">
        <is>
          <t>OK</t>
        </is>
      </c>
    </row>
    <row r="1312">
      <c r="A1312" s="33" t="inlineStr">
        <is>
          <t>SM001308</t>
        </is>
      </c>
      <c r="B1312" s="33" t="inlineStr">
        <is>
          <t>SW008</t>
        </is>
      </c>
      <c r="C1312" s="33" t="inlineStr">
        <is>
          <t>Jacob Whittle</t>
        </is>
      </c>
      <c r="D1312" s="33" t="inlineStr">
        <is>
          <t>SwimCloud</t>
        </is>
      </c>
      <c r="E1312" s="33" t="inlineStr">
        <is>
          <t>1133535</t>
        </is>
      </c>
      <c r="F1312" s="33" t="inlineStr">
        <is>
          <t>98014732</t>
        </is>
      </c>
      <c r="G1312" s="51" t="n">
        <v>44983</v>
      </c>
      <c r="H1312" s="33" t="inlineStr">
        <is>
          <t>Lausanne Swim Cup</t>
        </is>
      </c>
      <c r="I1312" s="33" t="inlineStr">
        <is>
          <t>255387</t>
        </is>
      </c>
      <c r="J1312" s="33" t="inlineStr"/>
      <c r="K1312" s="33" t="inlineStr">
        <is>
          <t>PRE</t>
        </is>
      </c>
      <c r="L1312" s="35">
        <f>IF(K1312="FIN",3,IF(OR(K1312="SEM",K1312="SEMI"),2,IF(OR(K1312="PRE",K1312="HEAT"),1,IF(V1312="YES",4,2))))</f>
        <v/>
      </c>
      <c r="M1312" s="33" t="inlineStr">
        <is>
          <t>LCM</t>
        </is>
      </c>
      <c r="N1312" s="33" t="n">
        <v>100</v>
      </c>
      <c r="O1312" s="33" t="inlineStr">
        <is>
          <t>Free</t>
        </is>
      </c>
      <c r="P1312" s="33" t="inlineStr">
        <is>
          <t>100 Free</t>
        </is>
      </c>
      <c r="Q1312" s="33" t="inlineStr">
        <is>
          <t>LCM_100_FREE</t>
        </is>
      </c>
      <c r="R1312" s="36" t="n">
        <v>50.02</v>
      </c>
      <c r="S1312" s="35">
        <f>IF(R1312="","",IF(R1312&gt;=60,INT(R1312/60)&amp;":"&amp;TEXT(MOD(R1312,60),"00.00"),TEXT(R1312,"0.00")))</f>
        <v/>
      </c>
      <c r="T1312" s="52">
        <f>IFERROR((G1312-INDEX('01_Swimmers'!$E$5:$E$22,MATCH(B1312,'01_Swimmers'!$A$5:$A$22,0)))/'00_Control'!$B$10,"")</f>
        <v/>
      </c>
      <c r="U1312" s="35">
        <f>IF(T1312="","",INT(T1312))</f>
        <v/>
      </c>
      <c r="V1312" s="33" t="inlineStr">
        <is>
          <t>NO</t>
        </is>
      </c>
      <c r="W1312" s="33" t="inlineStr">
        <is>
          <t>YES</t>
        </is>
      </c>
      <c r="X1312" s="33" t="inlineStr">
        <is>
          <t>NO</t>
        </is>
      </c>
      <c r="Y1312" s="33" t="n">
        <v>7</v>
      </c>
      <c r="Z1312" s="33" t="n">
        <v>4</v>
      </c>
      <c r="AA1312" s="33" t="inlineStr">
        <is>
          <t>3</t>
        </is>
      </c>
      <c r="AB1312" s="33" t="inlineStr">
        <is>
          <t>https://www.swimcloud.com/results/255387/event/30/?id=98014732#time98014732</t>
        </is>
      </c>
      <c r="AC1312" s="33" t="inlineStr">
        <is>
          <t>SwimCloud API v6 2026-10-08</t>
        </is>
      </c>
      <c r="AD1312" s="33" t="inlineStr">
        <is>
          <t>Jacob Whittle|2023-02-26|LCM|100|Free|50.02|Lausanne Swim Cup|PRE|False</t>
        </is>
      </c>
      <c r="AE1312" s="53">
        <f>G1312+L1312/1000+ROW()/1000000000</f>
        <v/>
      </c>
      <c r="AF1312" s="35">
        <f>IF(C1312&lt;&gt;"Grayson Coulter","",COUNTIFS($C$5:$C$2991,"Grayson Coulter",$Q$5:$Q$2991,Q1312,$AE$5:$AE$2991,"&lt;="&amp;AE1312,$R$5:$R$2991,"&lt;"&amp;R1312))</f>
        <v/>
      </c>
      <c r="AG1312" s="35">
        <f>IF(OR(C1312&lt;&gt;"Grayson Coulter",G1312&lt;'00_Control'!$B$7),"",--(AF1312&lt;5))</f>
        <v/>
      </c>
      <c r="AH1312" s="35">
        <f>IF(OR(C1312&lt;&gt;"Grayson Coulter",G1312&lt;'00_Control'!$B$7),"",--(AF1312&lt;10))</f>
        <v/>
      </c>
      <c r="AI1312" s="35">
        <f>IF(AND(C1312="Grayson Coulter",G1312&gt;='00_Control'!$B$7),"YES","NO")</f>
        <v/>
      </c>
      <c r="AJ1312" s="33" t="inlineStr">
        <is>
          <t>OK</t>
        </is>
      </c>
    </row>
    <row r="1313">
      <c r="A1313" s="33" t="inlineStr">
        <is>
          <t>SM001309</t>
        </is>
      </c>
      <c r="B1313" s="33" t="inlineStr">
        <is>
          <t>SW008</t>
        </is>
      </c>
      <c r="C1313" s="33" t="inlineStr">
        <is>
          <t>Jacob Whittle</t>
        </is>
      </c>
      <c r="D1313" s="33" t="inlineStr">
        <is>
          <t>SwimCloud</t>
        </is>
      </c>
      <c r="E1313" s="33" t="inlineStr">
        <is>
          <t>1133535</t>
        </is>
      </c>
      <c r="F1313" s="33" t="inlineStr">
        <is>
          <t>98014737</t>
        </is>
      </c>
      <c r="G1313" s="51" t="n">
        <v>44983</v>
      </c>
      <c r="H1313" s="33" t="inlineStr">
        <is>
          <t>Lausanne Swim Cup</t>
        </is>
      </c>
      <c r="I1313" s="33" t="inlineStr">
        <is>
          <t>255387</t>
        </is>
      </c>
      <c r="J1313" s="33" t="inlineStr"/>
      <c r="K1313" s="33" t="inlineStr">
        <is>
          <t>FIN</t>
        </is>
      </c>
      <c r="L1313" s="35">
        <f>IF(K1313="FIN",3,IF(OR(K1313="SEM",K1313="SEMI"),2,IF(OR(K1313="PRE",K1313="HEAT"),1,IF(V1313="YES",4,2))))</f>
        <v/>
      </c>
      <c r="M1313" s="33" t="inlineStr">
        <is>
          <t>LCM</t>
        </is>
      </c>
      <c r="N1313" s="33" t="n">
        <v>100</v>
      </c>
      <c r="O1313" s="33" t="inlineStr">
        <is>
          <t>Free</t>
        </is>
      </c>
      <c r="P1313" s="33" t="inlineStr">
        <is>
          <t>100 Free</t>
        </is>
      </c>
      <c r="Q1313" s="33" t="inlineStr">
        <is>
          <t>LCM_100_FREE</t>
        </is>
      </c>
      <c r="R1313" s="36" t="n">
        <v>49.79</v>
      </c>
      <c r="S1313" s="35">
        <f>IF(R1313="","",IF(R1313&gt;=60,INT(R1313/60)&amp;":"&amp;TEXT(MOD(R1313,60),"00.00"),TEXT(R1313,"0.00")))</f>
        <v/>
      </c>
      <c r="T1313" s="52">
        <f>IFERROR((G1313-INDEX('01_Swimmers'!$E$5:$E$22,MATCH(B1313,'01_Swimmers'!$A$5:$A$22,0)))/'00_Control'!$B$10,"")</f>
        <v/>
      </c>
      <c r="U1313" s="35">
        <f>IF(T1313="","",INT(T1313))</f>
        <v/>
      </c>
      <c r="V1313" s="33" t="inlineStr">
        <is>
          <t>NO</t>
        </is>
      </c>
      <c r="W1313" s="33" t="inlineStr">
        <is>
          <t>YES</t>
        </is>
      </c>
      <c r="X1313" s="33" t="inlineStr">
        <is>
          <t>NO</t>
        </is>
      </c>
      <c r="Y1313" s="33" t="n">
        <v>2</v>
      </c>
      <c r="Z1313" s="33" t="n">
        <v>3</v>
      </c>
      <c r="AA1313" s="33" t="inlineStr">
        <is>
          <t>4</t>
        </is>
      </c>
      <c r="AB1313" s="33" t="inlineStr">
        <is>
          <t>https://www.swimcloud.com/results/255387/event/30/?id=98014737#time98014737</t>
        </is>
      </c>
      <c r="AC1313" s="33" t="inlineStr">
        <is>
          <t>SwimCloud API v6 2026-10-08</t>
        </is>
      </c>
      <c r="AD1313" s="33" t="inlineStr">
        <is>
          <t>Jacob Whittle|2023-02-26|LCM|100|Free|49.79|Lausanne Swim Cup|FIN|False</t>
        </is>
      </c>
      <c r="AE1313" s="53">
        <f>G1313+L1313/1000+ROW()/1000000000</f>
        <v/>
      </c>
      <c r="AF1313" s="35">
        <f>IF(C1313&lt;&gt;"Grayson Coulter","",COUNTIFS($C$5:$C$2991,"Grayson Coulter",$Q$5:$Q$2991,Q1313,$AE$5:$AE$2991,"&lt;="&amp;AE1313,$R$5:$R$2991,"&lt;"&amp;R1313))</f>
        <v/>
      </c>
      <c r="AG1313" s="35">
        <f>IF(OR(C1313&lt;&gt;"Grayson Coulter",G1313&lt;'00_Control'!$B$7),"",--(AF1313&lt;5))</f>
        <v/>
      </c>
      <c r="AH1313" s="35">
        <f>IF(OR(C1313&lt;&gt;"Grayson Coulter",G1313&lt;'00_Control'!$B$7),"",--(AF1313&lt;10))</f>
        <v/>
      </c>
      <c r="AI1313" s="35">
        <f>IF(AND(C1313="Grayson Coulter",G1313&gt;='00_Control'!$B$7),"YES","NO")</f>
        <v/>
      </c>
      <c r="AJ1313" s="33" t="inlineStr">
        <is>
          <t>OK</t>
        </is>
      </c>
    </row>
    <row r="1314">
      <c r="A1314" s="33" t="inlineStr">
        <is>
          <t>SM001310</t>
        </is>
      </c>
      <c r="B1314" s="33" t="inlineStr">
        <is>
          <t>SW008</t>
        </is>
      </c>
      <c r="C1314" s="33" t="inlineStr">
        <is>
          <t>Jacob Whittle</t>
        </is>
      </c>
      <c r="D1314" s="33" t="inlineStr">
        <is>
          <t>SwimCloud</t>
        </is>
      </c>
      <c r="E1314" s="33" t="inlineStr">
        <is>
          <t>1133535</t>
        </is>
      </c>
      <c r="F1314" s="33" t="inlineStr">
        <is>
          <t>116852521</t>
        </is>
      </c>
      <c r="G1314" s="51" t="n">
        <v>44995</v>
      </c>
      <c r="H1314" s="33" t="inlineStr">
        <is>
          <t>Edinburgh International</t>
        </is>
      </c>
      <c r="I1314" s="33" t="inlineStr">
        <is>
          <t>265322</t>
        </is>
      </c>
      <c r="J1314" s="33" t="inlineStr"/>
      <c r="K1314" s="33" t="inlineStr">
        <is>
          <t>PRE</t>
        </is>
      </c>
      <c r="L1314" s="35">
        <f>IF(K1314="FIN",3,IF(OR(K1314="SEM",K1314="SEMI"),2,IF(OR(K1314="PRE",K1314="HEAT"),1,IF(V1314="YES",4,2))))</f>
        <v/>
      </c>
      <c r="M1314" s="33" t="inlineStr">
        <is>
          <t>LCM</t>
        </is>
      </c>
      <c r="N1314" s="33" t="n">
        <v>200</v>
      </c>
      <c r="O1314" s="33" t="inlineStr">
        <is>
          <t>Free</t>
        </is>
      </c>
      <c r="P1314" s="33" t="inlineStr">
        <is>
          <t>200 Free</t>
        </is>
      </c>
      <c r="Q1314" s="33" t="inlineStr">
        <is>
          <t>LCM_200_FREE</t>
        </is>
      </c>
      <c r="R1314" s="36" t="n">
        <v>113.42</v>
      </c>
      <c r="S1314" s="35">
        <f>IF(R1314="","",IF(R1314&gt;=60,INT(R1314/60)&amp;":"&amp;TEXT(MOD(R1314,60),"00.00"),TEXT(R1314,"0.00")))</f>
        <v/>
      </c>
      <c r="T1314" s="52">
        <f>IFERROR((G1314-INDEX('01_Swimmers'!$E$5:$E$22,MATCH(B1314,'01_Swimmers'!$A$5:$A$22,0)))/'00_Control'!$B$10,"")</f>
        <v/>
      </c>
      <c r="U1314" s="35">
        <f>IF(T1314="","",INT(T1314))</f>
        <v/>
      </c>
      <c r="V1314" s="33" t="inlineStr">
        <is>
          <t>NO</t>
        </is>
      </c>
      <c r="W1314" s="33" t="inlineStr">
        <is>
          <t>YES</t>
        </is>
      </c>
      <c r="X1314" s="33" t="inlineStr">
        <is>
          <t>NO</t>
        </is>
      </c>
      <c r="Y1314" s="33" t="n">
        <v>5</v>
      </c>
      <c r="Z1314" s="33" t="n">
        <v>3</v>
      </c>
      <c r="AA1314" s="33" t="inlineStr">
        <is>
          <t>19</t>
        </is>
      </c>
      <c r="AB1314" s="33" t="inlineStr">
        <is>
          <t>https://www.swimcloud.com/results/265322/event/105/?id=116852521#time116852521</t>
        </is>
      </c>
      <c r="AC1314" s="33" t="inlineStr">
        <is>
          <t>SwimCloud API v6 2026-10-08</t>
        </is>
      </c>
      <c r="AD1314" s="33" t="inlineStr">
        <is>
          <t>Jacob Whittle|2023-03-10|LCM|200|Free|113.42|Edinburgh International|PRE|False</t>
        </is>
      </c>
      <c r="AE1314" s="53">
        <f>G1314+L1314/1000+ROW()/1000000000</f>
        <v/>
      </c>
      <c r="AF1314" s="35">
        <f>IF(C1314&lt;&gt;"Grayson Coulter","",COUNTIFS($C$5:$C$2991,"Grayson Coulter",$Q$5:$Q$2991,Q1314,$AE$5:$AE$2991,"&lt;="&amp;AE1314,$R$5:$R$2991,"&lt;"&amp;R1314))</f>
        <v/>
      </c>
      <c r="AG1314" s="35">
        <f>IF(OR(C1314&lt;&gt;"Grayson Coulter",G1314&lt;'00_Control'!$B$7),"",--(AF1314&lt;5))</f>
        <v/>
      </c>
      <c r="AH1314" s="35">
        <f>IF(OR(C1314&lt;&gt;"Grayson Coulter",G1314&lt;'00_Control'!$B$7),"",--(AF1314&lt;10))</f>
        <v/>
      </c>
      <c r="AI1314" s="35">
        <f>IF(AND(C1314="Grayson Coulter",G1314&gt;='00_Control'!$B$7),"YES","NO")</f>
        <v/>
      </c>
      <c r="AJ1314" s="33" t="inlineStr">
        <is>
          <t>OK</t>
        </is>
      </c>
    </row>
    <row r="1315">
      <c r="A1315" s="33" t="inlineStr">
        <is>
          <t>SM001311</t>
        </is>
      </c>
      <c r="B1315" s="33" t="inlineStr">
        <is>
          <t>SW008</t>
        </is>
      </c>
      <c r="C1315" s="33" t="inlineStr">
        <is>
          <t>Jacob Whittle</t>
        </is>
      </c>
      <c r="D1315" s="33" t="inlineStr">
        <is>
          <t>SwimCloud</t>
        </is>
      </c>
      <c r="E1315" s="33" t="inlineStr">
        <is>
          <t>1133535</t>
        </is>
      </c>
      <c r="F1315" s="33" t="inlineStr">
        <is>
          <t>116852881</t>
        </is>
      </c>
      <c r="G1315" s="51" t="n">
        <v>44997</v>
      </c>
      <c r="H1315" s="33" t="inlineStr">
        <is>
          <t>Edinburgh International</t>
        </is>
      </c>
      <c r="I1315" s="33" t="inlineStr">
        <is>
          <t>265322</t>
        </is>
      </c>
      <c r="J1315" s="33" t="inlineStr"/>
      <c r="K1315" s="33" t="inlineStr">
        <is>
          <t>PRE</t>
        </is>
      </c>
      <c r="L1315" s="35">
        <f>IF(K1315="FIN",3,IF(OR(K1315="SEM",K1315="SEMI"),2,IF(OR(K1315="PRE",K1315="HEAT"),1,IF(V1315="YES",4,2))))</f>
        <v/>
      </c>
      <c r="M1315" s="33" t="inlineStr">
        <is>
          <t>LCM</t>
        </is>
      </c>
      <c r="N1315" s="33" t="n">
        <v>100</v>
      </c>
      <c r="O1315" s="33" t="inlineStr">
        <is>
          <t>Free</t>
        </is>
      </c>
      <c r="P1315" s="33" t="inlineStr">
        <is>
          <t>100 Free</t>
        </is>
      </c>
      <c r="Q1315" s="33" t="inlineStr">
        <is>
          <t>LCM_100_FREE</t>
        </is>
      </c>
      <c r="R1315" s="36" t="n">
        <v>49.87</v>
      </c>
      <c r="S1315" s="35">
        <f>IF(R1315="","",IF(R1315&gt;=60,INT(R1315/60)&amp;":"&amp;TEXT(MOD(R1315,60),"00.00"),TEXT(R1315,"0.00")))</f>
        <v/>
      </c>
      <c r="T1315" s="52">
        <f>IFERROR((G1315-INDEX('01_Swimmers'!$E$5:$E$22,MATCH(B1315,'01_Swimmers'!$A$5:$A$22,0)))/'00_Control'!$B$10,"")</f>
        <v/>
      </c>
      <c r="U1315" s="35">
        <f>IF(T1315="","",INT(T1315))</f>
        <v/>
      </c>
      <c r="V1315" s="33" t="inlineStr">
        <is>
          <t>NO</t>
        </is>
      </c>
      <c r="W1315" s="33" t="inlineStr">
        <is>
          <t>YES</t>
        </is>
      </c>
      <c r="X1315" s="33" t="inlineStr">
        <is>
          <t>NO</t>
        </is>
      </c>
      <c r="Y1315" s="33" t="n">
        <v>3</v>
      </c>
      <c r="Z1315" s="33" t="n">
        <v>4</v>
      </c>
      <c r="AA1315" s="33" t="inlineStr">
        <is>
          <t>3</t>
        </is>
      </c>
      <c r="AB1315" s="33" t="inlineStr">
        <is>
          <t>https://www.swimcloud.com/results/265322/event/304/?id=116852881#time116852881</t>
        </is>
      </c>
      <c r="AC1315" s="33" t="inlineStr">
        <is>
          <t>SwimCloud API v6 2026-10-08</t>
        </is>
      </c>
      <c r="AD1315" s="33" t="inlineStr">
        <is>
          <t>Jacob Whittle|2023-03-12|LCM|100|Free|49.87|Edinburgh International|PRE|False</t>
        </is>
      </c>
      <c r="AE1315" s="53">
        <f>G1315+L1315/1000+ROW()/1000000000</f>
        <v/>
      </c>
      <c r="AF1315" s="35">
        <f>IF(C1315&lt;&gt;"Grayson Coulter","",COUNTIFS($C$5:$C$2991,"Grayson Coulter",$Q$5:$Q$2991,Q1315,$AE$5:$AE$2991,"&lt;="&amp;AE1315,$R$5:$R$2991,"&lt;"&amp;R1315))</f>
        <v/>
      </c>
      <c r="AG1315" s="35">
        <f>IF(OR(C1315&lt;&gt;"Grayson Coulter",G1315&lt;'00_Control'!$B$7),"",--(AF1315&lt;5))</f>
        <v/>
      </c>
      <c r="AH1315" s="35">
        <f>IF(OR(C1315&lt;&gt;"Grayson Coulter",G1315&lt;'00_Control'!$B$7),"",--(AF1315&lt;10))</f>
        <v/>
      </c>
      <c r="AI1315" s="35">
        <f>IF(AND(C1315="Grayson Coulter",G1315&gt;='00_Control'!$B$7),"YES","NO")</f>
        <v/>
      </c>
      <c r="AJ1315" s="33" t="inlineStr">
        <is>
          <t>OK</t>
        </is>
      </c>
    </row>
    <row r="1316">
      <c r="A1316" s="33" t="inlineStr">
        <is>
          <t>SM001312</t>
        </is>
      </c>
      <c r="B1316" s="33" t="inlineStr">
        <is>
          <t>SW008</t>
        </is>
      </c>
      <c r="C1316" s="33" t="inlineStr">
        <is>
          <t>Jacob Whittle</t>
        </is>
      </c>
      <c r="D1316" s="33" t="inlineStr">
        <is>
          <t>SwimCloud</t>
        </is>
      </c>
      <c r="E1316" s="33" t="inlineStr">
        <is>
          <t>1133535</t>
        </is>
      </c>
      <c r="F1316" s="33" t="inlineStr">
        <is>
          <t>116852882</t>
        </is>
      </c>
      <c r="G1316" s="51" t="n">
        <v>44997</v>
      </c>
      <c r="H1316" s="33" t="inlineStr">
        <is>
          <t>Edinburgh International</t>
        </is>
      </c>
      <c r="I1316" s="33" t="inlineStr">
        <is>
          <t>265322</t>
        </is>
      </c>
      <c r="J1316" s="33" t="inlineStr"/>
      <c r="K1316" s="33" t="inlineStr">
        <is>
          <t>FIN</t>
        </is>
      </c>
      <c r="L1316" s="35">
        <f>IF(K1316="FIN",3,IF(OR(K1316="SEM",K1316="SEMI"),2,IF(OR(K1316="PRE",K1316="HEAT"),1,IF(V1316="YES",4,2))))</f>
        <v/>
      </c>
      <c r="M1316" s="33" t="inlineStr">
        <is>
          <t>LCM</t>
        </is>
      </c>
      <c r="N1316" s="33" t="n">
        <v>100</v>
      </c>
      <c r="O1316" s="33" t="inlineStr">
        <is>
          <t>Free</t>
        </is>
      </c>
      <c r="P1316" s="33" t="inlineStr">
        <is>
          <t>100 Free</t>
        </is>
      </c>
      <c r="Q1316" s="33" t="inlineStr">
        <is>
          <t>LCM_100_FREE</t>
        </is>
      </c>
      <c r="R1316" s="36" t="n">
        <v>49.86</v>
      </c>
      <c r="S1316" s="35">
        <f>IF(R1316="","",IF(R1316&gt;=60,INT(R1316/60)&amp;":"&amp;TEXT(MOD(R1316,60),"00.00"),TEXT(R1316,"0.00")))</f>
        <v/>
      </c>
      <c r="T1316" s="52">
        <f>IFERROR((G1316-INDEX('01_Swimmers'!$E$5:$E$22,MATCH(B1316,'01_Swimmers'!$A$5:$A$22,0)))/'00_Control'!$B$10,"")</f>
        <v/>
      </c>
      <c r="U1316" s="35">
        <f>IF(T1316="","",INT(T1316))</f>
        <v/>
      </c>
      <c r="V1316" s="33" t="inlineStr">
        <is>
          <t>NO</t>
        </is>
      </c>
      <c r="W1316" s="33" t="inlineStr">
        <is>
          <t>YES</t>
        </is>
      </c>
      <c r="X1316" s="33" t="inlineStr">
        <is>
          <t>NO</t>
        </is>
      </c>
      <c r="Y1316" s="33" t="n">
        <v>3</v>
      </c>
      <c r="Z1316" s="33" t="n">
        <v>3</v>
      </c>
      <c r="AA1316" s="33" t="inlineStr">
        <is>
          <t>2</t>
        </is>
      </c>
      <c r="AB1316" s="33" t="inlineStr">
        <is>
          <t>https://www.swimcloud.com/results/265322/event/304/?id=116852882#time116852882</t>
        </is>
      </c>
      <c r="AC1316" s="33" t="inlineStr">
        <is>
          <t>SwimCloud API v6 2026-10-08</t>
        </is>
      </c>
      <c r="AD1316" s="33" t="inlineStr">
        <is>
          <t>Jacob Whittle|2023-03-12|LCM|100|Free|49.86|Edinburgh International|FIN|False</t>
        </is>
      </c>
      <c r="AE1316" s="53">
        <f>G1316+L1316/1000+ROW()/1000000000</f>
        <v/>
      </c>
      <c r="AF1316" s="35">
        <f>IF(C1316&lt;&gt;"Grayson Coulter","",COUNTIFS($C$5:$C$2991,"Grayson Coulter",$Q$5:$Q$2991,Q1316,$AE$5:$AE$2991,"&lt;="&amp;AE1316,$R$5:$R$2991,"&lt;"&amp;R1316))</f>
        <v/>
      </c>
      <c r="AG1316" s="35">
        <f>IF(OR(C1316&lt;&gt;"Grayson Coulter",G1316&lt;'00_Control'!$B$7),"",--(AF1316&lt;5))</f>
        <v/>
      </c>
      <c r="AH1316" s="35">
        <f>IF(OR(C1316&lt;&gt;"Grayson Coulter",G1316&lt;'00_Control'!$B$7),"",--(AF1316&lt;10))</f>
        <v/>
      </c>
      <c r="AI1316" s="35">
        <f>IF(AND(C1316="Grayson Coulter",G1316&gt;='00_Control'!$B$7),"YES","NO")</f>
        <v/>
      </c>
      <c r="AJ1316" s="33" t="inlineStr">
        <is>
          <t>OK</t>
        </is>
      </c>
    </row>
    <row r="1317">
      <c r="A1317" s="33" t="inlineStr">
        <is>
          <t>SM001313</t>
        </is>
      </c>
      <c r="B1317" s="33" t="inlineStr">
        <is>
          <t>SW008</t>
        </is>
      </c>
      <c r="C1317" s="33" t="inlineStr">
        <is>
          <t>Jacob Whittle</t>
        </is>
      </c>
      <c r="D1317" s="33" t="inlineStr">
        <is>
          <t>SwimCloud</t>
        </is>
      </c>
      <c r="E1317" s="33" t="inlineStr">
        <is>
          <t>1133535</t>
        </is>
      </c>
      <c r="F1317" s="33" t="inlineStr">
        <is>
          <t>100104727</t>
        </is>
      </c>
      <c r="G1317" s="51" t="n">
        <v>45020</v>
      </c>
      <c r="H1317" s="33" t="inlineStr">
        <is>
          <t>British World Championship Trials</t>
        </is>
      </c>
      <c r="I1317" s="33" t="inlineStr">
        <is>
          <t>237835</t>
        </is>
      </c>
      <c r="J1317" s="33" t="inlineStr"/>
      <c r="K1317" s="33" t="inlineStr">
        <is>
          <t>FIN</t>
        </is>
      </c>
      <c r="L1317" s="35">
        <f>IF(K1317="FIN",3,IF(OR(K1317="SEM",K1317="SEMI"),2,IF(OR(K1317="PRE",K1317="HEAT"),1,IF(V1317="YES",4,2))))</f>
        <v/>
      </c>
      <c r="M1317" s="33" t="inlineStr">
        <is>
          <t>LCM</t>
        </is>
      </c>
      <c r="N1317" s="33" t="n">
        <v>100</v>
      </c>
      <c r="O1317" s="33" t="inlineStr">
        <is>
          <t>Free</t>
        </is>
      </c>
      <c r="P1317" s="33" t="inlineStr">
        <is>
          <t>100 Free</t>
        </is>
      </c>
      <c r="Q1317" s="33" t="inlineStr">
        <is>
          <t>LCM_100_FREE</t>
        </is>
      </c>
      <c r="R1317" s="36" t="n">
        <v>48.66</v>
      </c>
      <c r="S1317" s="35">
        <f>IF(R1317="","",IF(R1317&gt;=60,INT(R1317/60)&amp;":"&amp;TEXT(MOD(R1317,60),"00.00"),TEXT(R1317,"0.00")))</f>
        <v/>
      </c>
      <c r="T1317" s="52">
        <f>IFERROR((G1317-INDEX('01_Swimmers'!$E$5:$E$22,MATCH(B1317,'01_Swimmers'!$A$5:$A$22,0)))/'00_Control'!$B$10,"")</f>
        <v/>
      </c>
      <c r="U1317" s="35">
        <f>IF(T1317="","",INT(T1317))</f>
        <v/>
      </c>
      <c r="V1317" s="33" t="inlineStr">
        <is>
          <t>NO</t>
        </is>
      </c>
      <c r="W1317" s="33" t="inlineStr">
        <is>
          <t>YES</t>
        </is>
      </c>
      <c r="X1317" s="33" t="inlineStr">
        <is>
          <t>NO</t>
        </is>
      </c>
      <c r="Y1317" s="33" t="n">
        <v>1</v>
      </c>
      <c r="Z1317" s="33" t="n">
        <v>5</v>
      </c>
      <c r="AA1317" s="33" t="inlineStr">
        <is>
          <t>5</t>
        </is>
      </c>
      <c r="AB1317" s="33" t="inlineStr">
        <is>
          <t>https://www.swimcloud.com/results/237835/event/33/?id=100104727#time100104727</t>
        </is>
      </c>
      <c r="AC1317" s="33" t="inlineStr">
        <is>
          <t>SwimCloud API v6 2026-10-08</t>
        </is>
      </c>
      <c r="AD1317" s="33" t="inlineStr">
        <is>
          <t>Jacob Whittle|2023-04-04|LCM|100|Free|48.66|British World Championship Trials|FIN|False</t>
        </is>
      </c>
      <c r="AE1317" s="53">
        <f>G1317+L1317/1000+ROW()/1000000000</f>
        <v/>
      </c>
      <c r="AF1317" s="35">
        <f>IF(C1317&lt;&gt;"Grayson Coulter","",COUNTIFS($C$5:$C$2991,"Grayson Coulter",$Q$5:$Q$2991,Q1317,$AE$5:$AE$2991,"&lt;="&amp;AE1317,$R$5:$R$2991,"&lt;"&amp;R1317))</f>
        <v/>
      </c>
      <c r="AG1317" s="35">
        <f>IF(OR(C1317&lt;&gt;"Grayson Coulter",G1317&lt;'00_Control'!$B$7),"",--(AF1317&lt;5))</f>
        <v/>
      </c>
      <c r="AH1317" s="35">
        <f>IF(OR(C1317&lt;&gt;"Grayson Coulter",G1317&lt;'00_Control'!$B$7),"",--(AF1317&lt;10))</f>
        <v/>
      </c>
      <c r="AI1317" s="35">
        <f>IF(AND(C1317="Grayson Coulter",G1317&gt;='00_Control'!$B$7),"YES","NO")</f>
        <v/>
      </c>
      <c r="AJ1317" s="33" t="inlineStr">
        <is>
          <t>OK</t>
        </is>
      </c>
    </row>
    <row r="1318">
      <c r="A1318" s="33" t="inlineStr">
        <is>
          <t>SM001314</t>
        </is>
      </c>
      <c r="B1318" s="33" t="inlineStr">
        <is>
          <t>SW008</t>
        </is>
      </c>
      <c r="C1318" s="33" t="inlineStr">
        <is>
          <t>Jacob Whittle</t>
        </is>
      </c>
      <c r="D1318" s="33" t="inlineStr">
        <is>
          <t>SwimCloud</t>
        </is>
      </c>
      <c r="E1318" s="33" t="inlineStr">
        <is>
          <t>1133535</t>
        </is>
      </c>
      <c r="F1318" s="33" t="inlineStr">
        <is>
          <t>102646471</t>
        </is>
      </c>
      <c r="G1318" s="51" t="n">
        <v>45074</v>
      </c>
      <c r="H1318" s="33" t="inlineStr">
        <is>
          <t>AP Race London International</t>
        </is>
      </c>
      <c r="I1318" s="33" t="inlineStr">
        <is>
          <t>270523</t>
        </is>
      </c>
      <c r="J1318" s="33" t="inlineStr"/>
      <c r="K1318" s="33" t="inlineStr">
        <is>
          <t>PRE</t>
        </is>
      </c>
      <c r="L1318" s="35">
        <f>IF(K1318="FIN",3,IF(OR(K1318="SEM",K1318="SEMI"),2,IF(OR(K1318="PRE",K1318="HEAT"),1,IF(V1318="YES",4,2))))</f>
        <v/>
      </c>
      <c r="M1318" s="33" t="inlineStr">
        <is>
          <t>LCM</t>
        </is>
      </c>
      <c r="N1318" s="33" t="n">
        <v>100</v>
      </c>
      <c r="O1318" s="33" t="inlineStr">
        <is>
          <t>Free</t>
        </is>
      </c>
      <c r="P1318" s="33" t="inlineStr">
        <is>
          <t>100 Free</t>
        </is>
      </c>
      <c r="Q1318" s="33" t="inlineStr">
        <is>
          <t>LCM_100_FREE</t>
        </is>
      </c>
      <c r="R1318" s="36" t="n">
        <v>49.97</v>
      </c>
      <c r="S1318" s="35">
        <f>IF(R1318="","",IF(R1318&gt;=60,INT(R1318/60)&amp;":"&amp;TEXT(MOD(R1318,60),"00.00"),TEXT(R1318,"0.00")))</f>
        <v/>
      </c>
      <c r="T1318" s="52">
        <f>IFERROR((G1318-INDEX('01_Swimmers'!$E$5:$E$22,MATCH(B1318,'01_Swimmers'!$A$5:$A$22,0)))/'00_Control'!$B$10,"")</f>
        <v/>
      </c>
      <c r="U1318" s="35">
        <f>IF(T1318="","",INT(T1318))</f>
        <v/>
      </c>
      <c r="V1318" s="33" t="inlineStr">
        <is>
          <t>NO</t>
        </is>
      </c>
      <c r="W1318" s="33" t="inlineStr">
        <is>
          <t>YES</t>
        </is>
      </c>
      <c r="X1318" s="33" t="inlineStr">
        <is>
          <t>NO</t>
        </is>
      </c>
      <c r="Y1318" s="33" t="n">
        <v>7</v>
      </c>
      <c r="Z1318" s="33" t="n">
        <v>4</v>
      </c>
      <c r="AA1318" s="33" t="inlineStr"/>
      <c r="AB1318" s="33" t="inlineStr">
        <is>
          <t>https://www.swimcloud.com/results/270523/event/406/?id=102646471#time102646471</t>
        </is>
      </c>
      <c r="AC1318" s="33" t="inlineStr">
        <is>
          <t>SwimCloud API v6 2026-10-08</t>
        </is>
      </c>
      <c r="AD1318" s="33" t="inlineStr">
        <is>
          <t>Jacob Whittle|2023-05-28|LCM|100|Free|49.97|AP Race London International|PRE|False</t>
        </is>
      </c>
      <c r="AE1318" s="53">
        <f>G1318+L1318/1000+ROW()/1000000000</f>
        <v/>
      </c>
      <c r="AF1318" s="35">
        <f>IF(C1318&lt;&gt;"Grayson Coulter","",COUNTIFS($C$5:$C$2991,"Grayson Coulter",$Q$5:$Q$2991,Q1318,$AE$5:$AE$2991,"&lt;="&amp;AE1318,$R$5:$R$2991,"&lt;"&amp;R1318))</f>
        <v/>
      </c>
      <c r="AG1318" s="35">
        <f>IF(OR(C1318&lt;&gt;"Grayson Coulter",G1318&lt;'00_Control'!$B$7),"",--(AF1318&lt;5))</f>
        <v/>
      </c>
      <c r="AH1318" s="35">
        <f>IF(OR(C1318&lt;&gt;"Grayson Coulter",G1318&lt;'00_Control'!$B$7),"",--(AF1318&lt;10))</f>
        <v/>
      </c>
      <c r="AI1318" s="35">
        <f>IF(AND(C1318="Grayson Coulter",G1318&gt;='00_Control'!$B$7),"YES","NO")</f>
        <v/>
      </c>
      <c r="AJ1318" s="33" t="inlineStr">
        <is>
          <t>OK</t>
        </is>
      </c>
    </row>
    <row r="1319">
      <c r="A1319" s="33" t="inlineStr">
        <is>
          <t>SM001315</t>
        </is>
      </c>
      <c r="B1319" s="33" t="inlineStr">
        <is>
          <t>SW008</t>
        </is>
      </c>
      <c r="C1319" s="33" t="inlineStr">
        <is>
          <t>Jacob Whittle</t>
        </is>
      </c>
      <c r="D1319" s="33" t="inlineStr">
        <is>
          <t>SwimCloud</t>
        </is>
      </c>
      <c r="E1319" s="33" t="inlineStr">
        <is>
          <t>1133535</t>
        </is>
      </c>
      <c r="F1319" s="33" t="inlineStr">
        <is>
          <t>102646472</t>
        </is>
      </c>
      <c r="G1319" s="51" t="n">
        <v>45074</v>
      </c>
      <c r="H1319" s="33" t="inlineStr">
        <is>
          <t>AP Race London International</t>
        </is>
      </c>
      <c r="I1319" s="33" t="inlineStr">
        <is>
          <t>270523</t>
        </is>
      </c>
      <c r="J1319" s="33" t="inlineStr"/>
      <c r="K1319" s="33" t="inlineStr">
        <is>
          <t>FIN</t>
        </is>
      </c>
      <c r="L1319" s="35">
        <f>IF(K1319="FIN",3,IF(OR(K1319="SEM",K1319="SEMI"),2,IF(OR(K1319="PRE",K1319="HEAT"),1,IF(V1319="YES",4,2))))</f>
        <v/>
      </c>
      <c r="M1319" s="33" t="inlineStr">
        <is>
          <t>LCM</t>
        </is>
      </c>
      <c r="N1319" s="33" t="n">
        <v>100</v>
      </c>
      <c r="O1319" s="33" t="inlineStr">
        <is>
          <t>Free</t>
        </is>
      </c>
      <c r="P1319" s="33" t="inlineStr">
        <is>
          <t>100 Free</t>
        </is>
      </c>
      <c r="Q1319" s="33" t="inlineStr">
        <is>
          <t>LCM_100_FREE</t>
        </is>
      </c>
      <c r="R1319" s="36" t="n">
        <v>49.07</v>
      </c>
      <c r="S1319" s="35">
        <f>IF(R1319="","",IF(R1319&gt;=60,INT(R1319/60)&amp;":"&amp;TEXT(MOD(R1319,60),"00.00"),TEXT(R1319,"0.00")))</f>
        <v/>
      </c>
      <c r="T1319" s="52">
        <f>IFERROR((G1319-INDEX('01_Swimmers'!$E$5:$E$22,MATCH(B1319,'01_Swimmers'!$A$5:$A$22,0)))/'00_Control'!$B$10,"")</f>
        <v/>
      </c>
      <c r="U1319" s="35">
        <f>IF(T1319="","",INT(T1319))</f>
        <v/>
      </c>
      <c r="V1319" s="33" t="inlineStr">
        <is>
          <t>NO</t>
        </is>
      </c>
      <c r="W1319" s="33" t="inlineStr">
        <is>
          <t>YES</t>
        </is>
      </c>
      <c r="X1319" s="33" t="inlineStr">
        <is>
          <t>NO</t>
        </is>
      </c>
      <c r="Y1319" s="33" t="n">
        <v>1</v>
      </c>
      <c r="Z1319" s="33" t="n">
        <v>6</v>
      </c>
      <c r="AA1319" s="33" t="inlineStr"/>
      <c r="AB1319" s="33" t="inlineStr">
        <is>
          <t>https://www.swimcloud.com/results/270523/event/612/?id=102646472#time102646472</t>
        </is>
      </c>
      <c r="AC1319" s="33" t="inlineStr">
        <is>
          <t>SwimCloud API v6 2026-10-08</t>
        </is>
      </c>
      <c r="AD1319" s="33" t="inlineStr">
        <is>
          <t>Jacob Whittle|2023-05-28|LCM|100|Free|49.07|AP Race London International|FIN|False</t>
        </is>
      </c>
      <c r="AE1319" s="53">
        <f>G1319+L1319/1000+ROW()/1000000000</f>
        <v/>
      </c>
      <c r="AF1319" s="35">
        <f>IF(C1319&lt;&gt;"Grayson Coulter","",COUNTIFS($C$5:$C$2991,"Grayson Coulter",$Q$5:$Q$2991,Q1319,$AE$5:$AE$2991,"&lt;="&amp;AE1319,$R$5:$R$2991,"&lt;"&amp;R1319))</f>
        <v/>
      </c>
      <c r="AG1319" s="35">
        <f>IF(OR(C1319&lt;&gt;"Grayson Coulter",G1319&lt;'00_Control'!$B$7),"",--(AF1319&lt;5))</f>
        <v/>
      </c>
      <c r="AH1319" s="35">
        <f>IF(OR(C1319&lt;&gt;"Grayson Coulter",G1319&lt;'00_Control'!$B$7),"",--(AF1319&lt;10))</f>
        <v/>
      </c>
      <c r="AI1319" s="35">
        <f>IF(AND(C1319="Grayson Coulter",G1319&gt;='00_Control'!$B$7),"YES","NO")</f>
        <v/>
      </c>
      <c r="AJ1319" s="33" t="inlineStr">
        <is>
          <t>OK</t>
        </is>
      </c>
    </row>
    <row r="1320">
      <c r="A1320" s="33" t="inlineStr">
        <is>
          <t>SM001316</t>
        </is>
      </c>
      <c r="B1320" s="33" t="inlineStr">
        <is>
          <t>SW008</t>
        </is>
      </c>
      <c r="C1320" s="33" t="inlineStr">
        <is>
          <t>Jacob Whittle</t>
        </is>
      </c>
      <c r="D1320" s="33" t="inlineStr">
        <is>
          <t>SwimCloud</t>
        </is>
      </c>
      <c r="E1320" s="33" t="inlineStr">
        <is>
          <t>1133535</t>
        </is>
      </c>
      <c r="F1320" s="33" t="inlineStr">
        <is>
          <t>102646473</t>
        </is>
      </c>
      <c r="G1320" s="51" t="n">
        <v>45075</v>
      </c>
      <c r="H1320" s="33" t="inlineStr">
        <is>
          <t>AP Race London International</t>
        </is>
      </c>
      <c r="I1320" s="33" t="inlineStr">
        <is>
          <t>270523</t>
        </is>
      </c>
      <c r="J1320" s="33" t="inlineStr"/>
      <c r="K1320" s="33" t="inlineStr">
        <is>
          <t>PRE</t>
        </is>
      </c>
      <c r="L1320" s="35">
        <f>IF(K1320="FIN",3,IF(OR(K1320="SEM",K1320="SEMI"),2,IF(OR(K1320="PRE",K1320="HEAT"),1,IF(V1320="YES",4,2))))</f>
        <v/>
      </c>
      <c r="M1320" s="33" t="inlineStr">
        <is>
          <t>LCM</t>
        </is>
      </c>
      <c r="N1320" s="33" t="n">
        <v>200</v>
      </c>
      <c r="O1320" s="33" t="inlineStr">
        <is>
          <t>Free</t>
        </is>
      </c>
      <c r="P1320" s="33" t="inlineStr">
        <is>
          <t>200 Free</t>
        </is>
      </c>
      <c r="Q1320" s="33" t="inlineStr">
        <is>
          <t>LCM_200_FREE</t>
        </is>
      </c>
      <c r="R1320" s="36" t="n">
        <v>111.38</v>
      </c>
      <c r="S1320" s="35">
        <f>IF(R1320="","",IF(R1320&gt;=60,INT(R1320/60)&amp;":"&amp;TEXT(MOD(R1320,60),"00.00"),TEXT(R1320,"0.00")))</f>
        <v/>
      </c>
      <c r="T1320" s="52">
        <f>IFERROR((G1320-INDEX('01_Swimmers'!$E$5:$E$22,MATCH(B1320,'01_Swimmers'!$A$5:$A$22,0)))/'00_Control'!$B$10,"")</f>
        <v/>
      </c>
      <c r="U1320" s="35">
        <f>IF(T1320="","",INT(T1320))</f>
        <v/>
      </c>
      <c r="V1320" s="33" t="inlineStr">
        <is>
          <t>NO</t>
        </is>
      </c>
      <c r="W1320" s="33" t="inlineStr">
        <is>
          <t>YES</t>
        </is>
      </c>
      <c r="X1320" s="33" t="inlineStr">
        <is>
          <t>NO</t>
        </is>
      </c>
      <c r="Y1320" s="33" t="n">
        <v>3</v>
      </c>
      <c r="Z1320" s="33" t="n">
        <v>5</v>
      </c>
      <c r="AA1320" s="33" t="inlineStr"/>
      <c r="AB1320" s="33" t="inlineStr">
        <is>
          <t>https://www.swimcloud.com/results/270523/event/706/?id=102646473#time102646473</t>
        </is>
      </c>
      <c r="AC1320" s="33" t="inlineStr">
        <is>
          <t>SwimCloud API v6 2026-10-08</t>
        </is>
      </c>
      <c r="AD1320" s="33" t="inlineStr">
        <is>
          <t>Jacob Whittle|2023-05-29|LCM|200|Free|111.38|AP Race London International|PRE|False</t>
        </is>
      </c>
      <c r="AE1320" s="53">
        <f>G1320+L1320/1000+ROW()/1000000000</f>
        <v/>
      </c>
      <c r="AF1320" s="35">
        <f>IF(C1320&lt;&gt;"Grayson Coulter","",COUNTIFS($C$5:$C$2991,"Grayson Coulter",$Q$5:$Q$2991,Q1320,$AE$5:$AE$2991,"&lt;="&amp;AE1320,$R$5:$R$2991,"&lt;"&amp;R1320))</f>
        <v/>
      </c>
      <c r="AG1320" s="35">
        <f>IF(OR(C1320&lt;&gt;"Grayson Coulter",G1320&lt;'00_Control'!$B$7),"",--(AF1320&lt;5))</f>
        <v/>
      </c>
      <c r="AH1320" s="35">
        <f>IF(OR(C1320&lt;&gt;"Grayson Coulter",G1320&lt;'00_Control'!$B$7),"",--(AF1320&lt;10))</f>
        <v/>
      </c>
      <c r="AI1320" s="35">
        <f>IF(AND(C1320="Grayson Coulter",G1320&gt;='00_Control'!$B$7),"YES","NO")</f>
        <v/>
      </c>
      <c r="AJ1320" s="33" t="inlineStr">
        <is>
          <t>OK</t>
        </is>
      </c>
    </row>
    <row r="1321">
      <c r="A1321" s="33" t="inlineStr">
        <is>
          <t>SM001317</t>
        </is>
      </c>
      <c r="B1321" s="33" t="inlineStr">
        <is>
          <t>SW008</t>
        </is>
      </c>
      <c r="C1321" s="33" t="inlineStr">
        <is>
          <t>Jacob Whittle</t>
        </is>
      </c>
      <c r="D1321" s="33" t="inlineStr">
        <is>
          <t>SwimCloud</t>
        </is>
      </c>
      <c r="E1321" s="33" t="inlineStr">
        <is>
          <t>1133535</t>
        </is>
      </c>
      <c r="F1321" s="33" t="inlineStr">
        <is>
          <t>102646474</t>
        </is>
      </c>
      <c r="G1321" s="51" t="n">
        <v>45075</v>
      </c>
      <c r="H1321" s="33" t="inlineStr">
        <is>
          <t>AP Race London International</t>
        </is>
      </c>
      <c r="I1321" s="33" t="inlineStr">
        <is>
          <t>270523</t>
        </is>
      </c>
      <c r="J1321" s="33" t="inlineStr"/>
      <c r="K1321" s="33" t="inlineStr">
        <is>
          <t>FIN</t>
        </is>
      </c>
      <c r="L1321" s="35">
        <f>IF(K1321="FIN",3,IF(OR(K1321="SEM",K1321="SEMI"),2,IF(OR(K1321="PRE",K1321="HEAT"),1,IF(V1321="YES",4,2))))</f>
        <v/>
      </c>
      <c r="M1321" s="33" t="inlineStr">
        <is>
          <t>LCM</t>
        </is>
      </c>
      <c r="N1321" s="33" t="n">
        <v>200</v>
      </c>
      <c r="O1321" s="33" t="inlineStr">
        <is>
          <t>Free</t>
        </is>
      </c>
      <c r="P1321" s="33" t="inlineStr">
        <is>
          <t>200 Free</t>
        </is>
      </c>
      <c r="Q1321" s="33" t="inlineStr">
        <is>
          <t>LCM_200_FREE</t>
        </is>
      </c>
      <c r="R1321" s="36" t="n">
        <v>111.59</v>
      </c>
      <c r="S1321" s="35">
        <f>IF(R1321="","",IF(R1321&gt;=60,INT(R1321/60)&amp;":"&amp;TEXT(MOD(R1321,60),"00.00"),TEXT(R1321,"0.00")))</f>
        <v/>
      </c>
      <c r="T1321" s="52">
        <f>IFERROR((G1321-INDEX('01_Swimmers'!$E$5:$E$22,MATCH(B1321,'01_Swimmers'!$A$5:$A$22,0)))/'00_Control'!$B$10,"")</f>
        <v/>
      </c>
      <c r="U1321" s="35">
        <f>IF(T1321="","",INT(T1321))</f>
        <v/>
      </c>
      <c r="V1321" s="33" t="inlineStr">
        <is>
          <t>NO</t>
        </is>
      </c>
      <c r="W1321" s="33" t="inlineStr">
        <is>
          <t>YES</t>
        </is>
      </c>
      <c r="X1321" s="33" t="inlineStr">
        <is>
          <t>NO</t>
        </is>
      </c>
      <c r="Y1321" s="33" t="n">
        <v>1</v>
      </c>
      <c r="Z1321" s="33" t="n">
        <v>3</v>
      </c>
      <c r="AA1321" s="33" t="inlineStr"/>
      <c r="AB1321" s="33" t="inlineStr">
        <is>
          <t>https://www.swimcloud.com/results/270523/event/911/?id=102646474#time102646474</t>
        </is>
      </c>
      <c r="AC1321" s="33" t="inlineStr">
        <is>
          <t>SwimCloud API v6 2026-10-08</t>
        </is>
      </c>
      <c r="AD1321" s="33" t="inlineStr">
        <is>
          <t>Jacob Whittle|2023-05-29|LCM|200|Free|111.59|AP Race London International|FIN|False</t>
        </is>
      </c>
      <c r="AE1321" s="53">
        <f>G1321+L1321/1000+ROW()/1000000000</f>
        <v/>
      </c>
      <c r="AF1321" s="35">
        <f>IF(C1321&lt;&gt;"Grayson Coulter","",COUNTIFS($C$5:$C$2991,"Grayson Coulter",$Q$5:$Q$2991,Q1321,$AE$5:$AE$2991,"&lt;="&amp;AE1321,$R$5:$R$2991,"&lt;"&amp;R1321))</f>
        <v/>
      </c>
      <c r="AG1321" s="35">
        <f>IF(OR(C1321&lt;&gt;"Grayson Coulter",G1321&lt;'00_Control'!$B$7),"",--(AF1321&lt;5))</f>
        <v/>
      </c>
      <c r="AH1321" s="35">
        <f>IF(OR(C1321&lt;&gt;"Grayson Coulter",G1321&lt;'00_Control'!$B$7),"",--(AF1321&lt;10))</f>
        <v/>
      </c>
      <c r="AI1321" s="35">
        <f>IF(AND(C1321="Grayson Coulter",G1321&gt;='00_Control'!$B$7),"YES","NO")</f>
        <v/>
      </c>
      <c r="AJ1321" s="33" t="inlineStr">
        <is>
          <t>OK</t>
        </is>
      </c>
    </row>
    <row r="1322">
      <c r="A1322" s="33" t="inlineStr">
        <is>
          <t>SM001318</t>
        </is>
      </c>
      <c r="B1322" s="33" t="inlineStr">
        <is>
          <t>SW008</t>
        </is>
      </c>
      <c r="C1322" s="33" t="inlineStr">
        <is>
          <t>Jacob Whittle</t>
        </is>
      </c>
      <c r="D1322" s="33" t="inlineStr">
        <is>
          <t>SwimCloud</t>
        </is>
      </c>
      <c r="E1322" s="33" t="inlineStr">
        <is>
          <t>1133535</t>
        </is>
      </c>
      <c r="F1322" s="33" t="inlineStr">
        <is>
          <t>111677401</t>
        </is>
      </c>
      <c r="G1322" s="51" t="n">
        <v>45101</v>
      </c>
      <c r="H1322" s="33" t="inlineStr">
        <is>
          <t>Internazionali di Nuoto - 59 Sette Colli</t>
        </is>
      </c>
      <c r="I1322" s="33" t="inlineStr">
        <is>
          <t>237979</t>
        </is>
      </c>
      <c r="J1322" s="33" t="inlineStr"/>
      <c r="K1322" s="33" t="inlineStr">
        <is>
          <t>PRE</t>
        </is>
      </c>
      <c r="L1322" s="35">
        <f>IF(K1322="FIN",3,IF(OR(K1322="SEM",K1322="SEMI"),2,IF(OR(K1322="PRE",K1322="HEAT"),1,IF(V1322="YES",4,2))))</f>
        <v/>
      </c>
      <c r="M1322" s="33" t="inlineStr">
        <is>
          <t>LCM</t>
        </is>
      </c>
      <c r="N1322" s="33" t="n">
        <v>100</v>
      </c>
      <c r="O1322" s="33" t="inlineStr">
        <is>
          <t>Free</t>
        </is>
      </c>
      <c r="P1322" s="33" t="inlineStr">
        <is>
          <t>100 Free</t>
        </is>
      </c>
      <c r="Q1322" s="33" t="inlineStr">
        <is>
          <t>LCM_100_FREE</t>
        </is>
      </c>
      <c r="R1322" s="36" t="n">
        <v>49.23</v>
      </c>
      <c r="S1322" s="35">
        <f>IF(R1322="","",IF(R1322&gt;=60,INT(R1322/60)&amp;":"&amp;TEXT(MOD(R1322,60),"00.00"),TEXT(R1322,"0.00")))</f>
        <v/>
      </c>
      <c r="T1322" s="52">
        <f>IFERROR((G1322-INDEX('01_Swimmers'!$E$5:$E$22,MATCH(B1322,'01_Swimmers'!$A$5:$A$22,0)))/'00_Control'!$B$10,"")</f>
        <v/>
      </c>
      <c r="U1322" s="35">
        <f>IF(T1322="","",INT(T1322))</f>
        <v/>
      </c>
      <c r="V1322" s="33" t="inlineStr">
        <is>
          <t>NO</t>
        </is>
      </c>
      <c r="W1322" s="33" t="inlineStr">
        <is>
          <t>YES</t>
        </is>
      </c>
      <c r="X1322" s="33" t="inlineStr">
        <is>
          <t>NO</t>
        </is>
      </c>
      <c r="Y1322" s="33" t="n">
        <v>47</v>
      </c>
      <c r="Z1322" s="33" t="n">
        <v>3</v>
      </c>
      <c r="AA1322" s="33" t="inlineStr">
        <is>
          <t>10</t>
        </is>
      </c>
      <c r="AB1322" s="33" t="inlineStr">
        <is>
          <t>https://www.swimcloud.com/results/237979/event/18/?id=111677401#time111677401</t>
        </is>
      </c>
      <c r="AC1322" s="33" t="inlineStr">
        <is>
          <t>SwimCloud API v6 2026-10-08</t>
        </is>
      </c>
      <c r="AD1322" s="33" t="inlineStr">
        <is>
          <t>Jacob Whittle|2023-06-24|LCM|100|Free|49.23|Internazionali di Nuoto - 59 Sette Colli|PRE|False</t>
        </is>
      </c>
      <c r="AE1322" s="53">
        <f>G1322+L1322/1000+ROW()/1000000000</f>
        <v/>
      </c>
      <c r="AF1322" s="35">
        <f>IF(C1322&lt;&gt;"Grayson Coulter","",COUNTIFS($C$5:$C$2991,"Grayson Coulter",$Q$5:$Q$2991,Q1322,$AE$5:$AE$2991,"&lt;="&amp;AE1322,$R$5:$R$2991,"&lt;"&amp;R1322))</f>
        <v/>
      </c>
      <c r="AG1322" s="35">
        <f>IF(OR(C1322&lt;&gt;"Grayson Coulter",G1322&lt;'00_Control'!$B$7),"",--(AF1322&lt;5))</f>
        <v/>
      </c>
      <c r="AH1322" s="35">
        <f>IF(OR(C1322&lt;&gt;"Grayson Coulter",G1322&lt;'00_Control'!$B$7),"",--(AF1322&lt;10))</f>
        <v/>
      </c>
      <c r="AI1322" s="35">
        <f>IF(AND(C1322="Grayson Coulter",G1322&gt;='00_Control'!$B$7),"YES","NO")</f>
        <v/>
      </c>
      <c r="AJ1322" s="33" t="inlineStr">
        <is>
          <t>OK</t>
        </is>
      </c>
    </row>
    <row r="1323">
      <c r="A1323" s="33" t="inlineStr">
        <is>
          <t>SM001319</t>
        </is>
      </c>
      <c r="B1323" s="33" t="inlineStr">
        <is>
          <t>SW008</t>
        </is>
      </c>
      <c r="C1323" s="33" t="inlineStr">
        <is>
          <t>Jacob Whittle</t>
        </is>
      </c>
      <c r="D1323" s="33" t="inlineStr">
        <is>
          <t>SwimCloud</t>
        </is>
      </c>
      <c r="E1323" s="33" t="inlineStr">
        <is>
          <t>1133535</t>
        </is>
      </c>
      <c r="F1323" s="33" t="inlineStr">
        <is>
          <t>111677402</t>
        </is>
      </c>
      <c r="G1323" s="51" t="n">
        <v>45101</v>
      </c>
      <c r="H1323" s="33" t="inlineStr">
        <is>
          <t>Internazionali di Nuoto - 59 Sette Colli</t>
        </is>
      </c>
      <c r="I1323" s="33" t="inlineStr">
        <is>
          <t>237979</t>
        </is>
      </c>
      <c r="J1323" s="33" t="inlineStr"/>
      <c r="K1323" s="33" t="inlineStr">
        <is>
          <t>FIN</t>
        </is>
      </c>
      <c r="L1323" s="35">
        <f>IF(K1323="FIN",3,IF(OR(K1323="SEM",K1323="SEMI"),2,IF(OR(K1323="PRE",K1323="HEAT"),1,IF(V1323="YES",4,2))))</f>
        <v/>
      </c>
      <c r="M1323" s="33" t="inlineStr">
        <is>
          <t>LCM</t>
        </is>
      </c>
      <c r="N1323" s="33" t="n">
        <v>100</v>
      </c>
      <c r="O1323" s="33" t="inlineStr">
        <is>
          <t>Free</t>
        </is>
      </c>
      <c r="P1323" s="33" t="inlineStr">
        <is>
          <t>100 Free</t>
        </is>
      </c>
      <c r="Q1323" s="33" t="inlineStr">
        <is>
          <t>LCM_100_FREE</t>
        </is>
      </c>
      <c r="R1323" s="36" t="n">
        <v>49.53</v>
      </c>
      <c r="S1323" s="35">
        <f>IF(R1323="","",IF(R1323&gt;=60,INT(R1323/60)&amp;":"&amp;TEXT(MOD(R1323,60),"00.00"),TEXT(R1323,"0.00")))</f>
        <v/>
      </c>
      <c r="T1323" s="52">
        <f>IFERROR((G1323-INDEX('01_Swimmers'!$E$5:$E$22,MATCH(B1323,'01_Swimmers'!$A$5:$A$22,0)))/'00_Control'!$B$10,"")</f>
        <v/>
      </c>
      <c r="U1323" s="35">
        <f>IF(T1323="","",INT(T1323))</f>
        <v/>
      </c>
      <c r="V1323" s="33" t="inlineStr">
        <is>
          <t>NO</t>
        </is>
      </c>
      <c r="W1323" s="33" t="inlineStr">
        <is>
          <t>YES</t>
        </is>
      </c>
      <c r="X1323" s="33" t="inlineStr">
        <is>
          <t>NO</t>
        </is>
      </c>
      <c r="Y1323" s="33" t="n">
        <v>18</v>
      </c>
      <c r="Z1323" s="33" t="n">
        <v>9</v>
      </c>
      <c r="AA1323" s="33" t="inlineStr">
        <is>
          <t>9</t>
        </is>
      </c>
      <c r="AB1323" s="33" t="inlineStr">
        <is>
          <t>https://www.swimcloud.com/results/237979/event/18/?id=111677402#time111677402</t>
        </is>
      </c>
      <c r="AC1323" s="33" t="inlineStr">
        <is>
          <t>SwimCloud API v6 2026-10-08</t>
        </is>
      </c>
      <c r="AD1323" s="33" t="inlineStr">
        <is>
          <t>Jacob Whittle|2023-06-24|LCM|100|Free|49.53|Internazionali di Nuoto - 59 Sette Colli|FIN|False</t>
        </is>
      </c>
      <c r="AE1323" s="53">
        <f>G1323+L1323/1000+ROW()/1000000000</f>
        <v/>
      </c>
      <c r="AF1323" s="35">
        <f>IF(C1323&lt;&gt;"Grayson Coulter","",COUNTIFS($C$5:$C$2991,"Grayson Coulter",$Q$5:$Q$2991,Q1323,$AE$5:$AE$2991,"&lt;="&amp;AE1323,$R$5:$R$2991,"&lt;"&amp;R1323))</f>
        <v/>
      </c>
      <c r="AG1323" s="35">
        <f>IF(OR(C1323&lt;&gt;"Grayson Coulter",G1323&lt;'00_Control'!$B$7),"",--(AF1323&lt;5))</f>
        <v/>
      </c>
      <c r="AH1323" s="35">
        <f>IF(OR(C1323&lt;&gt;"Grayson Coulter",G1323&lt;'00_Control'!$B$7),"",--(AF1323&lt;10))</f>
        <v/>
      </c>
      <c r="AI1323" s="35">
        <f>IF(AND(C1323="Grayson Coulter",G1323&gt;='00_Control'!$B$7),"YES","NO")</f>
        <v/>
      </c>
      <c r="AJ1323" s="33" t="inlineStr">
        <is>
          <t>OK</t>
        </is>
      </c>
    </row>
    <row r="1324">
      <c r="A1324" s="33" t="inlineStr">
        <is>
          <t>SM001320</t>
        </is>
      </c>
      <c r="B1324" s="33" t="inlineStr">
        <is>
          <t>SW008</t>
        </is>
      </c>
      <c r="C1324" s="33" t="inlineStr">
        <is>
          <t>Jacob Whittle</t>
        </is>
      </c>
      <c r="D1324" s="33" t="inlineStr">
        <is>
          <t>SwimCloud</t>
        </is>
      </c>
      <c r="E1324" s="33" t="inlineStr">
        <is>
          <t>1133535</t>
        </is>
      </c>
      <c r="F1324" s="33" t="inlineStr">
        <is>
          <t>111677403</t>
        </is>
      </c>
      <c r="G1324" s="51" t="n">
        <v>45102</v>
      </c>
      <c r="H1324" s="33" t="inlineStr">
        <is>
          <t>Internazionali di Nuoto - 59 Sette Colli</t>
        </is>
      </c>
      <c r="I1324" s="33" t="inlineStr">
        <is>
          <t>237979</t>
        </is>
      </c>
      <c r="J1324" s="33" t="inlineStr"/>
      <c r="K1324" s="33" t="inlineStr">
        <is>
          <t>PRE</t>
        </is>
      </c>
      <c r="L1324" s="35">
        <f>IF(K1324="FIN",3,IF(OR(K1324="SEM",K1324="SEMI"),2,IF(OR(K1324="PRE",K1324="HEAT"),1,IF(V1324="YES",4,2))))</f>
        <v/>
      </c>
      <c r="M1324" s="33" t="inlineStr">
        <is>
          <t>LCM</t>
        </is>
      </c>
      <c r="N1324" s="33" t="n">
        <v>200</v>
      </c>
      <c r="O1324" s="33" t="inlineStr">
        <is>
          <t>Free</t>
        </is>
      </c>
      <c r="P1324" s="33" t="inlineStr">
        <is>
          <t>200 Free</t>
        </is>
      </c>
      <c r="Q1324" s="33" t="inlineStr">
        <is>
          <t>LCM_200_FREE</t>
        </is>
      </c>
      <c r="R1324" s="36" t="n">
        <v>111.16</v>
      </c>
      <c r="S1324" s="35">
        <f>IF(R1324="","",IF(R1324&gt;=60,INT(R1324/60)&amp;":"&amp;TEXT(MOD(R1324,60),"00.00"),TEXT(R1324,"0.00")))</f>
        <v/>
      </c>
      <c r="T1324" s="52">
        <f>IFERROR((G1324-INDEX('01_Swimmers'!$E$5:$E$22,MATCH(B1324,'01_Swimmers'!$A$5:$A$22,0)))/'00_Control'!$B$10,"")</f>
        <v/>
      </c>
      <c r="U1324" s="35">
        <f>IF(T1324="","",INT(T1324))</f>
        <v/>
      </c>
      <c r="V1324" s="33" t="inlineStr">
        <is>
          <t>NO</t>
        </is>
      </c>
      <c r="W1324" s="33" t="inlineStr">
        <is>
          <t>YES</t>
        </is>
      </c>
      <c r="X1324" s="33" t="inlineStr">
        <is>
          <t>NO</t>
        </is>
      </c>
      <c r="Y1324" s="33" t="n">
        <v>46</v>
      </c>
      <c r="Z1324" s="33" t="n">
        <v>1</v>
      </c>
      <c r="AA1324" s="33" t="inlineStr">
        <is>
          <t>36</t>
        </is>
      </c>
      <c r="AB1324" s="33" t="inlineStr">
        <is>
          <t>https://www.swimcloud.com/results/237979/event/30/?id=111677403#time111677403</t>
        </is>
      </c>
      <c r="AC1324" s="33" t="inlineStr">
        <is>
          <t>SwimCloud API v6 2026-10-08</t>
        </is>
      </c>
      <c r="AD1324" s="33" t="inlineStr">
        <is>
          <t>Jacob Whittle|2023-06-25|LCM|200|Free|111.16|Internazionali di Nuoto - 59 Sette Colli|PRE|False</t>
        </is>
      </c>
      <c r="AE1324" s="53">
        <f>G1324+L1324/1000+ROW()/1000000000</f>
        <v/>
      </c>
      <c r="AF1324" s="35">
        <f>IF(C1324&lt;&gt;"Grayson Coulter","",COUNTIFS($C$5:$C$2991,"Grayson Coulter",$Q$5:$Q$2991,Q1324,$AE$5:$AE$2991,"&lt;="&amp;AE1324,$R$5:$R$2991,"&lt;"&amp;R1324))</f>
        <v/>
      </c>
      <c r="AG1324" s="35">
        <f>IF(OR(C1324&lt;&gt;"Grayson Coulter",G1324&lt;'00_Control'!$B$7),"",--(AF1324&lt;5))</f>
        <v/>
      </c>
      <c r="AH1324" s="35">
        <f>IF(OR(C1324&lt;&gt;"Grayson Coulter",G1324&lt;'00_Control'!$B$7),"",--(AF1324&lt;10))</f>
        <v/>
      </c>
      <c r="AI1324" s="35">
        <f>IF(AND(C1324="Grayson Coulter",G1324&gt;='00_Control'!$B$7),"YES","NO")</f>
        <v/>
      </c>
      <c r="AJ1324" s="33" t="inlineStr">
        <is>
          <t>OK</t>
        </is>
      </c>
    </row>
    <row r="1325">
      <c r="A1325" s="33" t="inlineStr">
        <is>
          <t>SM001321</t>
        </is>
      </c>
      <c r="B1325" s="33" t="inlineStr">
        <is>
          <t>SW008</t>
        </is>
      </c>
      <c r="C1325" s="33" t="inlineStr">
        <is>
          <t>Jacob Whittle</t>
        </is>
      </c>
      <c r="D1325" s="33" t="inlineStr">
        <is>
          <t>SwimCloud</t>
        </is>
      </c>
      <c r="E1325" s="33" t="inlineStr">
        <is>
          <t>1133535</t>
        </is>
      </c>
      <c r="F1325" s="33" t="inlineStr">
        <is>
          <t>104773706</t>
        </is>
      </c>
      <c r="G1325" s="51" t="n">
        <v>45136</v>
      </c>
      <c r="H1325" s="33" t="inlineStr">
        <is>
          <t>20th World Aquatics Championships</t>
        </is>
      </c>
      <c r="I1325" s="33" t="inlineStr">
        <is>
          <t>273652</t>
        </is>
      </c>
      <c r="J1325" s="33" t="inlineStr"/>
      <c r="K1325" s="33" t="inlineStr">
        <is>
          <t>PRE</t>
        </is>
      </c>
      <c r="L1325" s="35">
        <f>IF(K1325="FIN",3,IF(OR(K1325="SEM",K1325="SEMI"),2,IF(OR(K1325="PRE",K1325="HEAT"),1,IF(V1325="YES",4,2))))</f>
        <v/>
      </c>
      <c r="M1325" s="33" t="inlineStr">
        <is>
          <t>LCM</t>
        </is>
      </c>
      <c r="N1325" s="33" t="n">
        <v>100</v>
      </c>
      <c r="O1325" s="33" t="inlineStr">
        <is>
          <t>Free</t>
        </is>
      </c>
      <c r="P1325" s="33" t="inlineStr">
        <is>
          <t>100 Free</t>
        </is>
      </c>
      <c r="Q1325" s="33" t="inlineStr">
        <is>
          <t>LCM_100_FREE</t>
        </is>
      </c>
      <c r="R1325" s="36" t="n">
        <v>48.84</v>
      </c>
      <c r="S1325" s="35">
        <f>IF(R1325="","",IF(R1325&gt;=60,INT(R1325/60)&amp;":"&amp;TEXT(MOD(R1325,60),"00.00"),TEXT(R1325,"0.00")))</f>
        <v/>
      </c>
      <c r="T1325" s="52">
        <f>IFERROR((G1325-INDEX('01_Swimmers'!$E$5:$E$22,MATCH(B1325,'01_Swimmers'!$A$5:$A$22,0)))/'00_Control'!$B$10,"")</f>
        <v/>
      </c>
      <c r="U1325" s="35">
        <f>IF(T1325="","",INT(T1325))</f>
        <v/>
      </c>
      <c r="V1325" s="33" t="inlineStr">
        <is>
          <t>YES</t>
        </is>
      </c>
      <c r="W1325" s="33" t="inlineStr">
        <is>
          <t>YES</t>
        </is>
      </c>
      <c r="X1325" s="33" t="inlineStr">
        <is>
          <t>NO</t>
        </is>
      </c>
      <c r="Y1325" s="33" t="n">
        <v>4</v>
      </c>
      <c r="Z1325" s="33" t="n">
        <v>5</v>
      </c>
      <c r="AA1325" s="33" t="inlineStr"/>
      <c r="AB1325" s="33" t="inlineStr">
        <is>
          <t>https://www.swimcloud.com/results/273652/event/38/?id=104771416#time104771416</t>
        </is>
      </c>
      <c r="AC1325" s="33" t="inlineStr">
        <is>
          <t>SwimCloud API v6 2026-10-08</t>
        </is>
      </c>
      <c r="AD1325" s="33" t="inlineStr">
        <is>
          <t>Jacob Whittle|2023-07-29|LCM|100|Free|48.84|20th World Aquatics Championships|PRE|True</t>
        </is>
      </c>
      <c r="AE1325" s="53">
        <f>G1325+L1325/1000+ROW()/1000000000</f>
        <v/>
      </c>
      <c r="AF1325" s="35">
        <f>IF(C1325&lt;&gt;"Grayson Coulter","",COUNTIFS($C$5:$C$2991,"Grayson Coulter",$Q$5:$Q$2991,Q1325,$AE$5:$AE$2991,"&lt;="&amp;AE1325,$R$5:$R$2991,"&lt;"&amp;R1325))</f>
        <v/>
      </c>
      <c r="AG1325" s="35">
        <f>IF(OR(C1325&lt;&gt;"Grayson Coulter",G1325&lt;'00_Control'!$B$7),"",--(AF1325&lt;5))</f>
        <v/>
      </c>
      <c r="AH1325" s="35">
        <f>IF(OR(C1325&lt;&gt;"Grayson Coulter",G1325&lt;'00_Control'!$B$7),"",--(AF1325&lt;10))</f>
        <v/>
      </c>
      <c r="AI1325" s="35">
        <f>IF(AND(C1325="Grayson Coulter",G1325&gt;='00_Control'!$B$7),"YES","NO")</f>
        <v/>
      </c>
      <c r="AJ1325" s="33" t="inlineStr">
        <is>
          <t>OK</t>
        </is>
      </c>
    </row>
    <row r="1326">
      <c r="A1326" s="33" t="inlineStr">
        <is>
          <t>SM001322</t>
        </is>
      </c>
      <c r="B1326" s="33" t="inlineStr">
        <is>
          <t>SW008</t>
        </is>
      </c>
      <c r="C1326" s="33" t="inlineStr">
        <is>
          <t>Jacob Whittle</t>
        </is>
      </c>
      <c r="D1326" s="33" t="inlineStr">
        <is>
          <t>SwimCloud</t>
        </is>
      </c>
      <c r="E1326" s="33" t="inlineStr">
        <is>
          <t>1133535</t>
        </is>
      </c>
      <c r="F1326" s="33" t="inlineStr">
        <is>
          <t>111571751</t>
        </is>
      </c>
      <c r="G1326" s="51" t="n">
        <v>45260</v>
      </c>
      <c r="H1326" s="33" t="inlineStr">
        <is>
          <t>Rotterdam Qualification Meet</t>
        </is>
      </c>
      <c r="I1326" s="33" t="inlineStr">
        <is>
          <t>286192</t>
        </is>
      </c>
      <c r="J1326" s="33" t="inlineStr"/>
      <c r="K1326" s="33" t="inlineStr">
        <is>
          <t>PRE</t>
        </is>
      </c>
      <c r="L1326" s="35">
        <f>IF(K1326="FIN",3,IF(OR(K1326="SEM",K1326="SEMI"),2,IF(OR(K1326="PRE",K1326="HEAT"),1,IF(V1326="YES",4,2))))</f>
        <v/>
      </c>
      <c r="M1326" s="33" t="inlineStr">
        <is>
          <t>LCM</t>
        </is>
      </c>
      <c r="N1326" s="33" t="n">
        <v>200</v>
      </c>
      <c r="O1326" s="33" t="inlineStr">
        <is>
          <t>Free</t>
        </is>
      </c>
      <c r="P1326" s="33" t="inlineStr">
        <is>
          <t>200 Free</t>
        </is>
      </c>
      <c r="Q1326" s="33" t="inlineStr">
        <is>
          <t>LCM_200_FREE</t>
        </is>
      </c>
      <c r="R1326" s="36" t="n">
        <v>108.9</v>
      </c>
      <c r="S1326" s="35">
        <f>IF(R1326="","",IF(R1326&gt;=60,INT(R1326/60)&amp;":"&amp;TEXT(MOD(R1326,60),"00.00"),TEXT(R1326,"0.00")))</f>
        <v/>
      </c>
      <c r="T1326" s="52">
        <f>IFERROR((G1326-INDEX('01_Swimmers'!$E$5:$E$22,MATCH(B1326,'01_Swimmers'!$A$5:$A$22,0)))/'00_Control'!$B$10,"")</f>
        <v/>
      </c>
      <c r="U1326" s="35">
        <f>IF(T1326="","",INT(T1326))</f>
        <v/>
      </c>
      <c r="V1326" s="33" t="inlineStr">
        <is>
          <t>NO</t>
        </is>
      </c>
      <c r="W1326" s="33" t="inlineStr">
        <is>
          <t>YES</t>
        </is>
      </c>
      <c r="X1326" s="33" t="inlineStr">
        <is>
          <t>NO</t>
        </is>
      </c>
      <c r="Y1326" s="33" t="n">
        <v>8</v>
      </c>
      <c r="Z1326" s="33" t="n">
        <v>5</v>
      </c>
      <c r="AA1326" s="33" t="inlineStr">
        <is>
          <t>4</t>
        </is>
      </c>
      <c r="AB1326" s="33" t="inlineStr">
        <is>
          <t>https://www.swimcloud.com/results/286192/event/1/?id=111571751#time111571751</t>
        </is>
      </c>
      <c r="AC1326" s="33" t="inlineStr">
        <is>
          <t>SwimCloud API v6 2026-10-08</t>
        </is>
      </c>
      <c r="AD1326" s="33" t="inlineStr">
        <is>
          <t>Jacob Whittle|2023-11-30|LCM|200|Free|108.9|Rotterdam Qualification Meet|PRE|False</t>
        </is>
      </c>
      <c r="AE1326" s="53">
        <f>G1326+L1326/1000+ROW()/1000000000</f>
        <v/>
      </c>
      <c r="AF1326" s="35">
        <f>IF(C1326&lt;&gt;"Grayson Coulter","",COUNTIFS($C$5:$C$2991,"Grayson Coulter",$Q$5:$Q$2991,Q1326,$AE$5:$AE$2991,"&lt;="&amp;AE1326,$R$5:$R$2991,"&lt;"&amp;R1326))</f>
        <v/>
      </c>
      <c r="AG1326" s="35">
        <f>IF(OR(C1326&lt;&gt;"Grayson Coulter",G1326&lt;'00_Control'!$B$7),"",--(AF1326&lt;5))</f>
        <v/>
      </c>
      <c r="AH1326" s="35">
        <f>IF(OR(C1326&lt;&gt;"Grayson Coulter",G1326&lt;'00_Control'!$B$7),"",--(AF1326&lt;10))</f>
        <v/>
      </c>
      <c r="AI1326" s="35">
        <f>IF(AND(C1326="Grayson Coulter",G1326&gt;='00_Control'!$B$7),"YES","NO")</f>
        <v/>
      </c>
      <c r="AJ1326" s="33" t="inlineStr">
        <is>
          <t>OK</t>
        </is>
      </c>
    </row>
    <row r="1327">
      <c r="A1327" s="33" t="inlineStr">
        <is>
          <t>SM001323</t>
        </is>
      </c>
      <c r="B1327" s="33" t="inlineStr">
        <is>
          <t>SW008</t>
        </is>
      </c>
      <c r="C1327" s="33" t="inlineStr">
        <is>
          <t>Jacob Whittle</t>
        </is>
      </c>
      <c r="D1327" s="33" t="inlineStr">
        <is>
          <t>SwimCloud</t>
        </is>
      </c>
      <c r="E1327" s="33" t="inlineStr">
        <is>
          <t>1133535</t>
        </is>
      </c>
      <c r="F1327" s="33" t="inlineStr">
        <is>
          <t>111571752</t>
        </is>
      </c>
      <c r="G1327" s="51" t="n">
        <v>45260</v>
      </c>
      <c r="H1327" s="33" t="inlineStr">
        <is>
          <t>Rotterdam Qualification Meet</t>
        </is>
      </c>
      <c r="I1327" s="33" t="inlineStr">
        <is>
          <t>286192</t>
        </is>
      </c>
      <c r="J1327" s="33" t="inlineStr"/>
      <c r="K1327" s="33" t="inlineStr">
        <is>
          <t>FIN</t>
        </is>
      </c>
      <c r="L1327" s="35">
        <f>IF(K1327="FIN",3,IF(OR(K1327="SEM",K1327="SEMI"),2,IF(OR(K1327="PRE",K1327="HEAT"),1,IF(V1327="YES",4,2))))</f>
        <v/>
      </c>
      <c r="M1327" s="33" t="inlineStr">
        <is>
          <t>LCM</t>
        </is>
      </c>
      <c r="N1327" s="33" t="n">
        <v>200</v>
      </c>
      <c r="O1327" s="33" t="inlineStr">
        <is>
          <t>Free</t>
        </is>
      </c>
      <c r="P1327" s="33" t="inlineStr">
        <is>
          <t>200 Free</t>
        </is>
      </c>
      <c r="Q1327" s="33" t="inlineStr">
        <is>
          <t>LCM_200_FREE</t>
        </is>
      </c>
      <c r="R1327" s="36" t="n">
        <v>108.15</v>
      </c>
      <c r="S1327" s="35">
        <f>IF(R1327="","",IF(R1327&gt;=60,INT(R1327/60)&amp;":"&amp;TEXT(MOD(R1327,60),"00.00"),TEXT(R1327,"0.00")))</f>
        <v/>
      </c>
      <c r="T1327" s="52">
        <f>IFERROR((G1327-INDEX('01_Swimmers'!$E$5:$E$22,MATCH(B1327,'01_Swimmers'!$A$5:$A$22,0)))/'00_Control'!$B$10,"")</f>
        <v/>
      </c>
      <c r="U1327" s="35">
        <f>IF(T1327="","",INT(T1327))</f>
        <v/>
      </c>
      <c r="V1327" s="33" t="inlineStr">
        <is>
          <t>NO</t>
        </is>
      </c>
      <c r="W1327" s="33" t="inlineStr">
        <is>
          <t>YES</t>
        </is>
      </c>
      <c r="X1327" s="33" t="inlineStr">
        <is>
          <t>NO</t>
        </is>
      </c>
      <c r="Y1327" s="33" t="n">
        <v>2</v>
      </c>
      <c r="Z1327" s="33" t="n">
        <v>3</v>
      </c>
      <c r="AA1327" s="33" t="inlineStr">
        <is>
          <t>5</t>
        </is>
      </c>
      <c r="AB1327" s="33" t="inlineStr">
        <is>
          <t>https://www.swimcloud.com/results/286192/event/1/?id=111571752#time111571752</t>
        </is>
      </c>
      <c r="AC1327" s="33" t="inlineStr">
        <is>
          <t>SwimCloud API v6 2026-10-08</t>
        </is>
      </c>
      <c r="AD1327" s="33" t="inlineStr">
        <is>
          <t>Jacob Whittle|2023-11-30|LCM|200|Free|108.15|Rotterdam Qualification Meet|FIN|False</t>
        </is>
      </c>
      <c r="AE1327" s="53">
        <f>G1327+L1327/1000+ROW()/1000000000</f>
        <v/>
      </c>
      <c r="AF1327" s="35">
        <f>IF(C1327&lt;&gt;"Grayson Coulter","",COUNTIFS($C$5:$C$2991,"Grayson Coulter",$Q$5:$Q$2991,Q1327,$AE$5:$AE$2991,"&lt;="&amp;AE1327,$R$5:$R$2991,"&lt;"&amp;R1327))</f>
        <v/>
      </c>
      <c r="AG1327" s="35">
        <f>IF(OR(C1327&lt;&gt;"Grayson Coulter",G1327&lt;'00_Control'!$B$7),"",--(AF1327&lt;5))</f>
        <v/>
      </c>
      <c r="AH1327" s="35">
        <f>IF(OR(C1327&lt;&gt;"Grayson Coulter",G1327&lt;'00_Control'!$B$7),"",--(AF1327&lt;10))</f>
        <v/>
      </c>
      <c r="AI1327" s="35">
        <f>IF(AND(C1327="Grayson Coulter",G1327&gt;='00_Control'!$B$7),"YES","NO")</f>
        <v/>
      </c>
      <c r="AJ1327" s="33" t="inlineStr">
        <is>
          <t>OK</t>
        </is>
      </c>
    </row>
    <row r="1328">
      <c r="A1328" s="33" t="inlineStr">
        <is>
          <t>SM001324</t>
        </is>
      </c>
      <c r="B1328" s="33" t="inlineStr">
        <is>
          <t>SW008</t>
        </is>
      </c>
      <c r="C1328" s="33" t="inlineStr">
        <is>
          <t>Jacob Whittle</t>
        </is>
      </c>
      <c r="D1328" s="33" t="inlineStr">
        <is>
          <t>SwimCloud</t>
        </is>
      </c>
      <c r="E1328" s="33" t="inlineStr">
        <is>
          <t>1133535</t>
        </is>
      </c>
      <c r="F1328" s="33" t="inlineStr">
        <is>
          <t>111571750</t>
        </is>
      </c>
      <c r="G1328" s="51" t="n">
        <v>45262</v>
      </c>
      <c r="H1328" s="33" t="inlineStr">
        <is>
          <t>Rotterdam Qualification Meet</t>
        </is>
      </c>
      <c r="I1328" s="33" t="inlineStr">
        <is>
          <t>286192</t>
        </is>
      </c>
      <c r="J1328" s="33" t="inlineStr"/>
      <c r="K1328" s="33" t="inlineStr">
        <is>
          <t>PRE</t>
        </is>
      </c>
      <c r="L1328" s="35">
        <f>IF(K1328="FIN",3,IF(OR(K1328="SEM",K1328="SEMI"),2,IF(OR(K1328="PRE",K1328="HEAT"),1,IF(V1328="YES",4,2))))</f>
        <v/>
      </c>
      <c r="M1328" s="33" t="inlineStr">
        <is>
          <t>LCM</t>
        </is>
      </c>
      <c r="N1328" s="33" t="n">
        <v>100</v>
      </c>
      <c r="O1328" s="33" t="inlineStr">
        <is>
          <t>Free</t>
        </is>
      </c>
      <c r="P1328" s="33" t="inlineStr">
        <is>
          <t>100 Free</t>
        </is>
      </c>
      <c r="Q1328" s="33" t="inlineStr">
        <is>
          <t>LCM_100_FREE</t>
        </is>
      </c>
      <c r="R1328" s="36" t="n">
        <v>48.48</v>
      </c>
      <c r="S1328" s="35">
        <f>IF(R1328="","",IF(R1328&gt;=60,INT(R1328/60)&amp;":"&amp;TEXT(MOD(R1328,60),"00.00"),TEXT(R1328,"0.00")))</f>
        <v/>
      </c>
      <c r="T1328" s="52">
        <f>IFERROR((G1328-INDEX('01_Swimmers'!$E$5:$E$22,MATCH(B1328,'01_Swimmers'!$A$5:$A$22,0)))/'00_Control'!$B$10,"")</f>
        <v/>
      </c>
      <c r="U1328" s="35">
        <f>IF(T1328="","",INT(T1328))</f>
        <v/>
      </c>
      <c r="V1328" s="33" t="inlineStr">
        <is>
          <t>NO</t>
        </is>
      </c>
      <c r="W1328" s="33" t="inlineStr">
        <is>
          <t>YES</t>
        </is>
      </c>
      <c r="X1328" s="33" t="inlineStr">
        <is>
          <t>NO</t>
        </is>
      </c>
      <c r="Y1328" s="33" t="n">
        <v>9</v>
      </c>
      <c r="Z1328" s="33" t="n">
        <v>4</v>
      </c>
      <c r="AA1328" s="33" t="inlineStr">
        <is>
          <t>2</t>
        </is>
      </c>
      <c r="AB1328" s="33" t="inlineStr">
        <is>
          <t>https://www.swimcloud.com/results/286192/event/19/?id=111571750#time111571750</t>
        </is>
      </c>
      <c r="AC1328" s="33" t="inlineStr">
        <is>
          <t>SwimCloud API v6 2026-10-08</t>
        </is>
      </c>
      <c r="AD1328" s="33" t="inlineStr">
        <is>
          <t>Jacob Whittle|2023-12-02|LCM|100|Free|48.48|Rotterdam Qualification Meet|PRE|False</t>
        </is>
      </c>
      <c r="AE1328" s="53">
        <f>G1328+L1328/1000+ROW()/1000000000</f>
        <v/>
      </c>
      <c r="AF1328" s="35">
        <f>IF(C1328&lt;&gt;"Grayson Coulter","",COUNTIFS($C$5:$C$2991,"Grayson Coulter",$Q$5:$Q$2991,Q1328,$AE$5:$AE$2991,"&lt;="&amp;AE1328,$R$5:$R$2991,"&lt;"&amp;R1328))</f>
        <v/>
      </c>
      <c r="AG1328" s="35">
        <f>IF(OR(C1328&lt;&gt;"Grayson Coulter",G1328&lt;'00_Control'!$B$7),"",--(AF1328&lt;5))</f>
        <v/>
      </c>
      <c r="AH1328" s="35">
        <f>IF(OR(C1328&lt;&gt;"Grayson Coulter",G1328&lt;'00_Control'!$B$7),"",--(AF1328&lt;10))</f>
        <v/>
      </c>
      <c r="AI1328" s="35">
        <f>IF(AND(C1328="Grayson Coulter",G1328&gt;='00_Control'!$B$7),"YES","NO")</f>
        <v/>
      </c>
      <c r="AJ1328" s="33" t="inlineStr">
        <is>
          <t>OK</t>
        </is>
      </c>
    </row>
    <row r="1329">
      <c r="A1329" s="33" t="inlineStr">
        <is>
          <t>SM001325</t>
        </is>
      </c>
      <c r="B1329" s="33" t="inlineStr">
        <is>
          <t>SW008</t>
        </is>
      </c>
      <c r="C1329" s="33" t="inlineStr">
        <is>
          <t>Jacob Whittle</t>
        </is>
      </c>
      <c r="D1329" s="33" t="inlineStr">
        <is>
          <t>SwimCloud</t>
        </is>
      </c>
      <c r="E1329" s="33" t="inlineStr">
        <is>
          <t>1133535</t>
        </is>
      </c>
      <c r="F1329" s="33" t="inlineStr">
        <is>
          <t>111571753</t>
        </is>
      </c>
      <c r="G1329" s="51" t="n">
        <v>45262</v>
      </c>
      <c r="H1329" s="33" t="inlineStr">
        <is>
          <t>Rotterdam Qualification Meet</t>
        </is>
      </c>
      <c r="I1329" s="33" t="inlineStr">
        <is>
          <t>286192</t>
        </is>
      </c>
      <c r="J1329" s="33" t="inlineStr"/>
      <c r="K1329" s="33" t="inlineStr">
        <is>
          <t>FIN</t>
        </is>
      </c>
      <c r="L1329" s="35">
        <f>IF(K1329="FIN",3,IF(OR(K1329="SEM",K1329="SEMI"),2,IF(OR(K1329="PRE",K1329="HEAT"),1,IF(V1329="YES",4,2))))</f>
        <v/>
      </c>
      <c r="M1329" s="33" t="inlineStr">
        <is>
          <t>LCM</t>
        </is>
      </c>
      <c r="N1329" s="33" t="n">
        <v>100</v>
      </c>
      <c r="O1329" s="33" t="inlineStr">
        <is>
          <t>Free</t>
        </is>
      </c>
      <c r="P1329" s="33" t="inlineStr">
        <is>
          <t>100 Free</t>
        </is>
      </c>
      <c r="Q1329" s="33" t="inlineStr">
        <is>
          <t>LCM_100_FREE</t>
        </is>
      </c>
      <c r="R1329" s="36" t="n">
        <v>48.03</v>
      </c>
      <c r="S1329" s="35">
        <f>IF(R1329="","",IF(R1329&gt;=60,INT(R1329/60)&amp;":"&amp;TEXT(MOD(R1329,60),"00.00"),TEXT(R1329,"0.00")))</f>
        <v/>
      </c>
      <c r="T1329" s="52">
        <f>IFERROR((G1329-INDEX('01_Swimmers'!$E$5:$E$22,MATCH(B1329,'01_Swimmers'!$A$5:$A$22,0)))/'00_Control'!$B$10,"")</f>
        <v/>
      </c>
      <c r="U1329" s="35">
        <f>IF(T1329="","",INT(T1329))</f>
        <v/>
      </c>
      <c r="V1329" s="33" t="inlineStr">
        <is>
          <t>NO</t>
        </is>
      </c>
      <c r="W1329" s="33" t="inlineStr">
        <is>
          <t>YES</t>
        </is>
      </c>
      <c r="X1329" s="33" t="inlineStr">
        <is>
          <t>NO</t>
        </is>
      </c>
      <c r="Y1329" s="33" t="n">
        <v>2</v>
      </c>
      <c r="Z1329" s="33" t="n">
        <v>5</v>
      </c>
      <c r="AA1329" s="33" t="inlineStr">
        <is>
          <t>1</t>
        </is>
      </c>
      <c r="AB1329" s="33" t="inlineStr">
        <is>
          <t>https://www.swimcloud.com/results/286192/event/19/?id=111571753#time111571753</t>
        </is>
      </c>
      <c r="AC1329" s="33" t="inlineStr">
        <is>
          <t>SwimCloud API v6 2026-10-08</t>
        </is>
      </c>
      <c r="AD1329" s="33" t="inlineStr">
        <is>
          <t>Jacob Whittle|2023-12-02|LCM|100|Free|48.03|Rotterdam Qualification Meet|FIN|False</t>
        </is>
      </c>
      <c r="AE1329" s="53">
        <f>G1329+L1329/1000+ROW()/1000000000</f>
        <v/>
      </c>
      <c r="AF1329" s="35">
        <f>IF(C1329&lt;&gt;"Grayson Coulter","",COUNTIFS($C$5:$C$2991,"Grayson Coulter",$Q$5:$Q$2991,Q1329,$AE$5:$AE$2991,"&lt;="&amp;AE1329,$R$5:$R$2991,"&lt;"&amp;R1329))</f>
        <v/>
      </c>
      <c r="AG1329" s="35">
        <f>IF(OR(C1329&lt;&gt;"Grayson Coulter",G1329&lt;'00_Control'!$B$7),"",--(AF1329&lt;5))</f>
        <v/>
      </c>
      <c r="AH1329" s="35">
        <f>IF(OR(C1329&lt;&gt;"Grayson Coulter",G1329&lt;'00_Control'!$B$7),"",--(AF1329&lt;10))</f>
        <v/>
      </c>
      <c r="AI1329" s="35">
        <f>IF(AND(C1329="Grayson Coulter",G1329&gt;='00_Control'!$B$7),"YES","NO")</f>
        <v/>
      </c>
      <c r="AJ1329" s="33" t="inlineStr">
        <is>
          <t>OK</t>
        </is>
      </c>
    </row>
    <row r="1330">
      <c r="A1330" s="33" t="inlineStr">
        <is>
          <t>SM001326</t>
        </is>
      </c>
      <c r="B1330" s="33" t="inlineStr">
        <is>
          <t>SW008</t>
        </is>
      </c>
      <c r="C1330" s="33" t="inlineStr">
        <is>
          <t>Jacob Whittle</t>
        </is>
      </c>
      <c r="D1330" s="33" t="inlineStr">
        <is>
          <t>SwimCloud</t>
        </is>
      </c>
      <c r="E1330" s="33" t="inlineStr">
        <is>
          <t>1133535</t>
        </is>
      </c>
      <c r="F1330" s="33" t="inlineStr">
        <is>
          <t>111938052</t>
        </is>
      </c>
      <c r="G1330" s="51" t="n">
        <v>45269</v>
      </c>
      <c r="H1330" s="33" t="inlineStr">
        <is>
          <t>European SC Championships</t>
        </is>
      </c>
      <c r="I1330" s="33" t="inlineStr">
        <is>
          <t>267917</t>
        </is>
      </c>
      <c r="J1330" s="33" t="inlineStr"/>
      <c r="K1330" s="33" t="inlineStr">
        <is>
          <t>PRE</t>
        </is>
      </c>
      <c r="L1330" s="35">
        <f>IF(K1330="FIN",3,IF(OR(K1330="SEM",K1330="SEMI"),2,IF(OR(K1330="PRE",K1330="HEAT"),1,IF(V1330="YES",4,2))))</f>
        <v/>
      </c>
      <c r="M1330" s="33" t="inlineStr">
        <is>
          <t>SCM</t>
        </is>
      </c>
      <c r="N1330" s="33" t="n">
        <v>100</v>
      </c>
      <c r="O1330" s="33" t="inlineStr">
        <is>
          <t>Free</t>
        </is>
      </c>
      <c r="P1330" s="33" t="inlineStr">
        <is>
          <t>100 Free</t>
        </is>
      </c>
      <c r="Q1330" s="33" t="inlineStr">
        <is>
          <t>SCM_100_FREE</t>
        </is>
      </c>
      <c r="R1330" s="36" t="n">
        <v>46.85</v>
      </c>
      <c r="S1330" s="35">
        <f>IF(R1330="","",IF(R1330&gt;=60,INT(R1330/60)&amp;":"&amp;TEXT(MOD(R1330,60),"00.00"),TEXT(R1330,"0.00")))</f>
        <v/>
      </c>
      <c r="T1330" s="52">
        <f>IFERROR((G1330-INDEX('01_Swimmers'!$E$5:$E$22,MATCH(B1330,'01_Swimmers'!$A$5:$A$22,0)))/'00_Control'!$B$10,"")</f>
        <v/>
      </c>
      <c r="U1330" s="35">
        <f>IF(T1330="","",INT(T1330))</f>
        <v/>
      </c>
      <c r="V1330" s="33" t="inlineStr">
        <is>
          <t>NO</t>
        </is>
      </c>
      <c r="W1330" s="33" t="inlineStr">
        <is>
          <t>YES</t>
        </is>
      </c>
      <c r="X1330" s="33" t="inlineStr">
        <is>
          <t>NO</t>
        </is>
      </c>
      <c r="Y1330" s="33" t="n">
        <v>3</v>
      </c>
      <c r="Z1330" s="33" t="n">
        <v>3</v>
      </c>
      <c r="AA1330" s="33" t="inlineStr">
        <is>
          <t>3</t>
        </is>
      </c>
      <c r="AB1330" s="33" t="inlineStr">
        <is>
          <t>https://www.swimcloud.com/results/267917/event/35/?id=111938052#time111938052</t>
        </is>
      </c>
      <c r="AC1330" s="33" t="inlineStr">
        <is>
          <t>SwimCloud API v6 2026-10-08</t>
        </is>
      </c>
      <c r="AD1330" s="33" t="inlineStr">
        <is>
          <t>Jacob Whittle|2023-12-09|SCM|100|Free|46.85|European SC Championships|PRE|False</t>
        </is>
      </c>
      <c r="AE1330" s="53">
        <f>G1330+L1330/1000+ROW()/1000000000</f>
        <v/>
      </c>
      <c r="AF1330" s="35">
        <f>IF(C1330&lt;&gt;"Grayson Coulter","",COUNTIFS($C$5:$C$2991,"Grayson Coulter",$Q$5:$Q$2991,Q1330,$AE$5:$AE$2991,"&lt;="&amp;AE1330,$R$5:$R$2991,"&lt;"&amp;R1330))</f>
        <v/>
      </c>
      <c r="AG1330" s="35">
        <f>IF(OR(C1330&lt;&gt;"Grayson Coulter",G1330&lt;'00_Control'!$B$7),"",--(AF1330&lt;5))</f>
        <v/>
      </c>
      <c r="AH1330" s="35">
        <f>IF(OR(C1330&lt;&gt;"Grayson Coulter",G1330&lt;'00_Control'!$B$7),"",--(AF1330&lt;10))</f>
        <v/>
      </c>
      <c r="AI1330" s="35">
        <f>IF(AND(C1330="Grayson Coulter",G1330&gt;='00_Control'!$B$7),"YES","NO")</f>
        <v/>
      </c>
      <c r="AJ1330" s="33" t="inlineStr">
        <is>
          <t>OK</t>
        </is>
      </c>
    </row>
    <row r="1331">
      <c r="A1331" s="33" t="inlineStr">
        <is>
          <t>SM001327</t>
        </is>
      </c>
      <c r="B1331" s="33" t="inlineStr">
        <is>
          <t>SW008</t>
        </is>
      </c>
      <c r="C1331" s="33" t="inlineStr">
        <is>
          <t>Jacob Whittle</t>
        </is>
      </c>
      <c r="D1331" s="33" t="inlineStr">
        <is>
          <t>SwimCloud</t>
        </is>
      </c>
      <c r="E1331" s="33" t="inlineStr">
        <is>
          <t>1133535</t>
        </is>
      </c>
      <c r="F1331" s="33" t="inlineStr">
        <is>
          <t>112250491</t>
        </is>
      </c>
      <c r="G1331" s="51" t="n">
        <v>45269</v>
      </c>
      <c r="H1331" s="33" t="inlineStr">
        <is>
          <t>European SC Championships</t>
        </is>
      </c>
      <c r="I1331" s="33" t="inlineStr">
        <is>
          <t>267917</t>
        </is>
      </c>
      <c r="J1331" s="33" t="inlineStr"/>
      <c r="K1331" s="33" t="inlineStr">
        <is>
          <t>SEM</t>
        </is>
      </c>
      <c r="L1331" s="35">
        <f>IF(K1331="FIN",3,IF(OR(K1331="SEM",K1331="SEMI"),2,IF(OR(K1331="PRE",K1331="HEAT"),1,IF(V1331="YES",4,2))))</f>
        <v/>
      </c>
      <c r="M1331" s="33" t="inlineStr">
        <is>
          <t>SCM</t>
        </is>
      </c>
      <c r="N1331" s="33" t="n">
        <v>100</v>
      </c>
      <c r="O1331" s="33" t="inlineStr">
        <is>
          <t>Free</t>
        </is>
      </c>
      <c r="P1331" s="33" t="inlineStr">
        <is>
          <t>100 Free</t>
        </is>
      </c>
      <c r="Q1331" s="33" t="inlineStr">
        <is>
          <t>SCM_100_FREE</t>
        </is>
      </c>
      <c r="R1331" s="36" t="n">
        <v>46.38</v>
      </c>
      <c r="S1331" s="35">
        <f>IF(R1331="","",IF(R1331&gt;=60,INT(R1331/60)&amp;":"&amp;TEXT(MOD(R1331,60),"00.00"),TEXT(R1331,"0.00")))</f>
        <v/>
      </c>
      <c r="T1331" s="52">
        <f>IFERROR((G1331-INDEX('01_Swimmers'!$E$5:$E$22,MATCH(B1331,'01_Swimmers'!$A$5:$A$22,0)))/'00_Control'!$B$10,"")</f>
        <v/>
      </c>
      <c r="U1331" s="35">
        <f>IF(T1331="","",INT(T1331))</f>
        <v/>
      </c>
      <c r="V1331" s="33" t="inlineStr">
        <is>
          <t>NO</t>
        </is>
      </c>
      <c r="W1331" s="33" t="inlineStr">
        <is>
          <t>YES</t>
        </is>
      </c>
      <c r="X1331" s="33" t="inlineStr">
        <is>
          <t>NO</t>
        </is>
      </c>
      <c r="Y1331" s="33" t="n">
        <v>2</v>
      </c>
      <c r="Z1331" s="33" t="n">
        <v>5</v>
      </c>
      <c r="AA1331" s="33" t="inlineStr">
        <is>
          <t>4</t>
        </is>
      </c>
      <c r="AB1331" s="33" t="inlineStr">
        <is>
          <t>https://www.swimcloud.com/results/267917/event/35/?id=112250491#time112250491</t>
        </is>
      </c>
      <c r="AC1331" s="33" t="inlineStr">
        <is>
          <t>SwimCloud API v6 2026-10-08</t>
        </is>
      </c>
      <c r="AD1331" s="33" t="inlineStr">
        <is>
          <t>Jacob Whittle|2023-12-09|SCM|100|Free|46.38|European SC Championships|SEM|False</t>
        </is>
      </c>
      <c r="AE1331" s="53">
        <f>G1331+L1331/1000+ROW()/1000000000</f>
        <v/>
      </c>
      <c r="AF1331" s="35">
        <f>IF(C1331&lt;&gt;"Grayson Coulter","",COUNTIFS($C$5:$C$2991,"Grayson Coulter",$Q$5:$Q$2991,Q1331,$AE$5:$AE$2991,"&lt;="&amp;AE1331,$R$5:$R$2991,"&lt;"&amp;R1331))</f>
        <v/>
      </c>
      <c r="AG1331" s="35">
        <f>IF(OR(C1331&lt;&gt;"Grayson Coulter",G1331&lt;'00_Control'!$B$7),"",--(AF1331&lt;5))</f>
        <v/>
      </c>
      <c r="AH1331" s="35">
        <f>IF(OR(C1331&lt;&gt;"Grayson Coulter",G1331&lt;'00_Control'!$B$7),"",--(AF1331&lt;10))</f>
        <v/>
      </c>
      <c r="AI1331" s="35">
        <f>IF(AND(C1331="Grayson Coulter",G1331&gt;='00_Control'!$B$7),"YES","NO")</f>
        <v/>
      </c>
      <c r="AJ1331" s="33" t="inlineStr">
        <is>
          <t>OK</t>
        </is>
      </c>
    </row>
    <row r="1332">
      <c r="A1332" s="33" t="inlineStr">
        <is>
          <t>SM001328</t>
        </is>
      </c>
      <c r="B1332" s="33" t="inlineStr">
        <is>
          <t>SW008</t>
        </is>
      </c>
      <c r="C1332" s="33" t="inlineStr">
        <is>
          <t>Jacob Whittle</t>
        </is>
      </c>
      <c r="D1332" s="33" t="inlineStr">
        <is>
          <t>SwimCloud</t>
        </is>
      </c>
      <c r="E1332" s="33" t="inlineStr">
        <is>
          <t>1133535</t>
        </is>
      </c>
      <c r="F1332" s="33" t="inlineStr">
        <is>
          <t>112389237</t>
        </is>
      </c>
      <c r="G1332" s="51" t="n">
        <v>45270</v>
      </c>
      <c r="H1332" s="33" t="inlineStr">
        <is>
          <t>European SC Championships</t>
        </is>
      </c>
      <c r="I1332" s="33" t="inlineStr">
        <is>
          <t>267917</t>
        </is>
      </c>
      <c r="J1332" s="33" t="inlineStr"/>
      <c r="K1332" s="33" t="inlineStr">
        <is>
          <t>FIN</t>
        </is>
      </c>
      <c r="L1332" s="35">
        <f>IF(K1332="FIN",3,IF(OR(K1332="SEM",K1332="SEMI"),2,IF(OR(K1332="PRE",K1332="HEAT"),1,IF(V1332="YES",4,2))))</f>
        <v/>
      </c>
      <c r="M1332" s="33" t="inlineStr">
        <is>
          <t>SCM</t>
        </is>
      </c>
      <c r="N1332" s="33" t="n">
        <v>100</v>
      </c>
      <c r="O1332" s="33" t="inlineStr">
        <is>
          <t>Free</t>
        </is>
      </c>
      <c r="P1332" s="33" t="inlineStr">
        <is>
          <t>100 Free</t>
        </is>
      </c>
      <c r="Q1332" s="33" t="inlineStr">
        <is>
          <t>SCM_100_FREE</t>
        </is>
      </c>
      <c r="R1332" s="36" t="n">
        <v>46.77</v>
      </c>
      <c r="S1332" s="35">
        <f>IF(R1332="","",IF(R1332&gt;=60,INT(R1332/60)&amp;":"&amp;TEXT(MOD(R1332,60),"00.00"),TEXT(R1332,"0.00")))</f>
        <v/>
      </c>
      <c r="T1332" s="52">
        <f>IFERROR((G1332-INDEX('01_Swimmers'!$E$5:$E$22,MATCH(B1332,'01_Swimmers'!$A$5:$A$22,0)))/'00_Control'!$B$10,"")</f>
        <v/>
      </c>
      <c r="U1332" s="35">
        <f>IF(T1332="","",INT(T1332))</f>
        <v/>
      </c>
      <c r="V1332" s="33" t="inlineStr">
        <is>
          <t>NO</t>
        </is>
      </c>
      <c r="W1332" s="33" t="inlineStr">
        <is>
          <t>YES</t>
        </is>
      </c>
      <c r="X1332" s="33" t="inlineStr">
        <is>
          <t>NO</t>
        </is>
      </c>
      <c r="Y1332" s="33" t="n">
        <v>1</v>
      </c>
      <c r="Z1332" s="33" t="n">
        <v>6</v>
      </c>
      <c r="AA1332" s="33" t="inlineStr">
        <is>
          <t>8</t>
        </is>
      </c>
      <c r="AB1332" s="33" t="inlineStr">
        <is>
          <t>https://www.swimcloud.com/results/267917/event/35/?id=112389237#time112389237</t>
        </is>
      </c>
      <c r="AC1332" s="33" t="inlineStr">
        <is>
          <t>SwimCloud API v6 2026-10-08</t>
        </is>
      </c>
      <c r="AD1332" s="33" t="inlineStr">
        <is>
          <t>Jacob Whittle|2023-12-10|SCM|100|Free|46.77|European SC Championships|FIN|False</t>
        </is>
      </c>
      <c r="AE1332" s="53">
        <f>G1332+L1332/1000+ROW()/1000000000</f>
        <v/>
      </c>
      <c r="AF1332" s="35">
        <f>IF(C1332&lt;&gt;"Grayson Coulter","",COUNTIFS($C$5:$C$2991,"Grayson Coulter",$Q$5:$Q$2991,Q1332,$AE$5:$AE$2991,"&lt;="&amp;AE1332,$R$5:$R$2991,"&lt;"&amp;R1332))</f>
        <v/>
      </c>
      <c r="AG1332" s="35">
        <f>IF(OR(C1332&lt;&gt;"Grayson Coulter",G1332&lt;'00_Control'!$B$7),"",--(AF1332&lt;5))</f>
        <v/>
      </c>
      <c r="AH1332" s="35">
        <f>IF(OR(C1332&lt;&gt;"Grayson Coulter",G1332&lt;'00_Control'!$B$7),"",--(AF1332&lt;10))</f>
        <v/>
      </c>
      <c r="AI1332" s="35">
        <f>IF(AND(C1332="Grayson Coulter",G1332&gt;='00_Control'!$B$7),"YES","NO")</f>
        <v/>
      </c>
      <c r="AJ1332" s="33" t="inlineStr">
        <is>
          <t>OK</t>
        </is>
      </c>
    </row>
    <row r="1333">
      <c r="A1333" s="33" t="inlineStr">
        <is>
          <t>SM001329</t>
        </is>
      </c>
      <c r="B1333" s="33" t="inlineStr">
        <is>
          <t>SW008</t>
        </is>
      </c>
      <c r="C1333" s="33" t="inlineStr">
        <is>
          <t>Jacob Whittle</t>
        </is>
      </c>
      <c r="D1333" s="33" t="inlineStr">
        <is>
          <t>SwimCloud</t>
        </is>
      </c>
      <c r="E1333" s="33" t="inlineStr">
        <is>
          <t>1133535</t>
        </is>
      </c>
      <c r="F1333" s="33" t="inlineStr">
        <is>
          <t>118006089</t>
        </is>
      </c>
      <c r="G1333" s="51" t="n">
        <v>45311</v>
      </c>
      <c r="H1333" s="33" t="inlineStr">
        <is>
          <t>Flanders Swimming Cup</t>
        </is>
      </c>
      <c r="I1333" s="33" t="inlineStr">
        <is>
          <t>294694</t>
        </is>
      </c>
      <c r="J1333" s="33" t="inlineStr"/>
      <c r="K1333" s="33" t="inlineStr">
        <is>
          <t>TIM</t>
        </is>
      </c>
      <c r="L1333" s="35">
        <f>IF(K1333="FIN",3,IF(OR(K1333="SEM",K1333="SEMI"),2,IF(OR(K1333="PRE",K1333="HEAT"),1,IF(V1333="YES",4,2))))</f>
        <v/>
      </c>
      <c r="M1333" s="33" t="inlineStr">
        <is>
          <t>LCM</t>
        </is>
      </c>
      <c r="N1333" s="33" t="n">
        <v>100</v>
      </c>
      <c r="O1333" s="33" t="inlineStr">
        <is>
          <t>Free</t>
        </is>
      </c>
      <c r="P1333" s="33" t="inlineStr">
        <is>
          <t>100 Free</t>
        </is>
      </c>
      <c r="Q1333" s="33" t="inlineStr">
        <is>
          <t>LCM_100_FREE</t>
        </is>
      </c>
      <c r="R1333" s="36" t="n">
        <v>49.08</v>
      </c>
      <c r="S1333" s="35">
        <f>IF(R1333="","",IF(R1333&gt;=60,INT(R1333/60)&amp;":"&amp;TEXT(MOD(R1333,60),"00.00"),TEXT(R1333,"0.00")))</f>
        <v/>
      </c>
      <c r="T1333" s="52">
        <f>IFERROR((G1333-INDEX('01_Swimmers'!$E$5:$E$22,MATCH(B1333,'01_Swimmers'!$A$5:$A$22,0)))/'00_Control'!$B$10,"")</f>
        <v/>
      </c>
      <c r="U1333" s="35">
        <f>IF(T1333="","",INT(T1333))</f>
        <v/>
      </c>
      <c r="V1333" s="33" t="inlineStr">
        <is>
          <t>NO</t>
        </is>
      </c>
      <c r="W1333" s="33" t="inlineStr">
        <is>
          <t>YES</t>
        </is>
      </c>
      <c r="X1333" s="33" t="inlineStr">
        <is>
          <t>NO</t>
        </is>
      </c>
      <c r="Y1333" s="33" t="n">
        <v>1</v>
      </c>
      <c r="Z1333" s="33" t="n">
        <v>4</v>
      </c>
      <c r="AA1333" s="33" t="inlineStr">
        <is>
          <t>1</t>
        </is>
      </c>
      <c r="AB1333" s="33" t="inlineStr">
        <is>
          <t>https://www.swimcloud.com/results/294694/event/321/?id=118006089#time118006089</t>
        </is>
      </c>
      <c r="AC1333" s="33" t="inlineStr">
        <is>
          <t>SwimCloud API v6 2026-10-08</t>
        </is>
      </c>
      <c r="AD1333" s="33" t="inlineStr">
        <is>
          <t>Jacob Whittle|2024-01-20|LCM|100|Free|49.08|Flanders Swimming Cup|TIM|False</t>
        </is>
      </c>
      <c r="AE1333" s="53">
        <f>G1333+L1333/1000+ROW()/1000000000</f>
        <v/>
      </c>
      <c r="AF1333" s="35">
        <f>IF(C1333&lt;&gt;"Grayson Coulter","",COUNTIFS($C$5:$C$2991,"Grayson Coulter",$Q$5:$Q$2991,Q1333,$AE$5:$AE$2991,"&lt;="&amp;AE1333,$R$5:$R$2991,"&lt;"&amp;R1333))</f>
        <v/>
      </c>
      <c r="AG1333" s="35">
        <f>IF(OR(C1333&lt;&gt;"Grayson Coulter",G1333&lt;'00_Control'!$B$7),"",--(AF1333&lt;5))</f>
        <v/>
      </c>
      <c r="AH1333" s="35">
        <f>IF(OR(C1333&lt;&gt;"Grayson Coulter",G1333&lt;'00_Control'!$B$7),"",--(AF1333&lt;10))</f>
        <v/>
      </c>
      <c r="AI1333" s="35">
        <f>IF(AND(C1333="Grayson Coulter",G1333&gt;='00_Control'!$B$7),"YES","NO")</f>
        <v/>
      </c>
      <c r="AJ1333" s="33" t="inlineStr">
        <is>
          <t>OK</t>
        </is>
      </c>
    </row>
    <row r="1334">
      <c r="A1334" s="33" t="inlineStr">
        <is>
          <t>SM001330</t>
        </is>
      </c>
      <c r="B1334" s="33" t="inlineStr">
        <is>
          <t>SW008</t>
        </is>
      </c>
      <c r="C1334" s="33" t="inlineStr">
        <is>
          <t>Jacob Whittle</t>
        </is>
      </c>
      <c r="D1334" s="33" t="inlineStr">
        <is>
          <t>SwimCloud</t>
        </is>
      </c>
      <c r="E1334" s="33" t="inlineStr">
        <is>
          <t>1133535</t>
        </is>
      </c>
      <c r="F1334" s="33" t="inlineStr">
        <is>
          <t>118006086</t>
        </is>
      </c>
      <c r="G1334" s="51" t="n">
        <v>45311</v>
      </c>
      <c r="H1334" s="33" t="inlineStr">
        <is>
          <t>Flanders Swimming Cup</t>
        </is>
      </c>
      <c r="I1334" s="33" t="inlineStr">
        <is>
          <t>294694</t>
        </is>
      </c>
      <c r="J1334" s="33" t="inlineStr"/>
      <c r="K1334" s="33" t="inlineStr">
        <is>
          <t>TIM</t>
        </is>
      </c>
      <c r="L1334" s="35">
        <f>IF(K1334="FIN",3,IF(OR(K1334="SEM",K1334="SEMI"),2,IF(OR(K1334="PRE",K1334="HEAT"),1,IF(V1334="YES",4,2))))</f>
        <v/>
      </c>
      <c r="M1334" s="33" t="inlineStr">
        <is>
          <t>LCM</t>
        </is>
      </c>
      <c r="N1334" s="33" t="n">
        <v>100</v>
      </c>
      <c r="O1334" s="33" t="inlineStr">
        <is>
          <t>Free</t>
        </is>
      </c>
      <c r="P1334" s="33" t="inlineStr">
        <is>
          <t>100 Free</t>
        </is>
      </c>
      <c r="Q1334" s="33" t="inlineStr">
        <is>
          <t>LCM_100_FREE</t>
        </is>
      </c>
      <c r="R1334" s="36" t="n">
        <v>49.38</v>
      </c>
      <c r="S1334" s="35">
        <f>IF(R1334="","",IF(R1334&gt;=60,INT(R1334/60)&amp;":"&amp;TEXT(MOD(R1334,60),"00.00"),TEXT(R1334,"0.00")))</f>
        <v/>
      </c>
      <c r="T1334" s="52">
        <f>IFERROR((G1334-INDEX('01_Swimmers'!$E$5:$E$22,MATCH(B1334,'01_Swimmers'!$A$5:$A$22,0)))/'00_Control'!$B$10,"")</f>
        <v/>
      </c>
      <c r="U1334" s="35">
        <f>IF(T1334="","",INT(T1334))</f>
        <v/>
      </c>
      <c r="V1334" s="33" t="inlineStr">
        <is>
          <t>NO</t>
        </is>
      </c>
      <c r="W1334" s="33" t="inlineStr">
        <is>
          <t>YES</t>
        </is>
      </c>
      <c r="X1334" s="33" t="inlineStr">
        <is>
          <t>NO</t>
        </is>
      </c>
      <c r="Y1334" s="33" t="n">
        <v>23</v>
      </c>
      <c r="Z1334" s="33" t="n">
        <v>4</v>
      </c>
      <c r="AA1334" s="33" t="inlineStr">
        <is>
          <t>1</t>
        </is>
      </c>
      <c r="AB1334" s="33" t="inlineStr">
        <is>
          <t>https://www.swimcloud.com/results/294694/event/21/?id=118006086#time118006086</t>
        </is>
      </c>
      <c r="AC1334" s="33" t="inlineStr">
        <is>
          <t>SwimCloud API v6 2026-10-08</t>
        </is>
      </c>
      <c r="AD1334" s="33" t="inlineStr">
        <is>
          <t>Jacob Whittle|2024-01-20|LCM|100|Free|49.38|Flanders Swimming Cup|TIM|False</t>
        </is>
      </c>
      <c r="AE1334" s="53">
        <f>G1334+L1334/1000+ROW()/1000000000</f>
        <v/>
      </c>
      <c r="AF1334" s="35">
        <f>IF(C1334&lt;&gt;"Grayson Coulter","",COUNTIFS($C$5:$C$2991,"Grayson Coulter",$Q$5:$Q$2991,Q1334,$AE$5:$AE$2991,"&lt;="&amp;AE1334,$R$5:$R$2991,"&lt;"&amp;R1334))</f>
        <v/>
      </c>
      <c r="AG1334" s="35">
        <f>IF(OR(C1334&lt;&gt;"Grayson Coulter",G1334&lt;'00_Control'!$B$7),"",--(AF1334&lt;5))</f>
        <v/>
      </c>
      <c r="AH1334" s="35">
        <f>IF(OR(C1334&lt;&gt;"Grayson Coulter",G1334&lt;'00_Control'!$B$7),"",--(AF1334&lt;10))</f>
        <v/>
      </c>
      <c r="AI1334" s="35">
        <f>IF(AND(C1334="Grayson Coulter",G1334&gt;='00_Control'!$B$7),"YES","NO")</f>
        <v/>
      </c>
      <c r="AJ1334" s="33" t="inlineStr">
        <is>
          <t>OK</t>
        </is>
      </c>
    </row>
    <row r="1335">
      <c r="A1335" s="33" t="inlineStr">
        <is>
          <t>SM001331</t>
        </is>
      </c>
      <c r="B1335" s="33" t="inlineStr">
        <is>
          <t>SW008</t>
        </is>
      </c>
      <c r="C1335" s="33" t="inlineStr">
        <is>
          <t>Jacob Whittle</t>
        </is>
      </c>
      <c r="D1335" s="33" t="inlineStr">
        <is>
          <t>SwimCloud</t>
        </is>
      </c>
      <c r="E1335" s="33" t="inlineStr">
        <is>
          <t>1133535</t>
        </is>
      </c>
      <c r="F1335" s="33" t="inlineStr">
        <is>
          <t>118006090</t>
        </is>
      </c>
      <c r="G1335" s="51" t="n">
        <v>45312</v>
      </c>
      <c r="H1335" s="33" t="inlineStr">
        <is>
          <t>Flanders Swimming Cup</t>
        </is>
      </c>
      <c r="I1335" s="33" t="inlineStr">
        <is>
          <t>294694</t>
        </is>
      </c>
      <c r="J1335" s="33" t="inlineStr"/>
      <c r="K1335" s="33" t="inlineStr">
        <is>
          <t>TIM</t>
        </is>
      </c>
      <c r="L1335" s="35">
        <f>IF(K1335="FIN",3,IF(OR(K1335="SEM",K1335="SEMI"),2,IF(OR(K1335="PRE",K1335="HEAT"),1,IF(V1335="YES",4,2))))</f>
        <v/>
      </c>
      <c r="M1335" s="33" t="inlineStr">
        <is>
          <t>LCM</t>
        </is>
      </c>
      <c r="N1335" s="33" t="n">
        <v>200</v>
      </c>
      <c r="O1335" s="33" t="inlineStr">
        <is>
          <t>Free</t>
        </is>
      </c>
      <c r="P1335" s="33" t="inlineStr">
        <is>
          <t>200 Free</t>
        </is>
      </c>
      <c r="Q1335" s="33" t="inlineStr">
        <is>
          <t>LCM_200_FREE</t>
        </is>
      </c>
      <c r="R1335" s="36" t="n">
        <v>110.69</v>
      </c>
      <c r="S1335" s="35">
        <f>IF(R1335="","",IF(R1335&gt;=60,INT(R1335/60)&amp;":"&amp;TEXT(MOD(R1335,60),"00.00"),TEXT(R1335,"0.00")))</f>
        <v/>
      </c>
      <c r="T1335" s="52">
        <f>IFERROR((G1335-INDEX('01_Swimmers'!$E$5:$E$22,MATCH(B1335,'01_Swimmers'!$A$5:$A$22,0)))/'00_Control'!$B$10,"")</f>
        <v/>
      </c>
      <c r="U1335" s="35">
        <f>IF(T1335="","",INT(T1335))</f>
        <v/>
      </c>
      <c r="V1335" s="33" t="inlineStr">
        <is>
          <t>NO</t>
        </is>
      </c>
      <c r="W1335" s="33" t="inlineStr">
        <is>
          <t>YES</t>
        </is>
      </c>
      <c r="X1335" s="33" t="inlineStr">
        <is>
          <t>NO</t>
        </is>
      </c>
      <c r="Y1335" s="33" t="n">
        <v>1</v>
      </c>
      <c r="Z1335" s="33" t="n">
        <v>2</v>
      </c>
      <c r="AA1335" s="33" t="inlineStr">
        <is>
          <t>4</t>
        </is>
      </c>
      <c r="AB1335" s="33" t="inlineStr">
        <is>
          <t>https://www.swimcloud.com/results/294694/event/332/?id=118006090#time118006090</t>
        </is>
      </c>
      <c r="AC1335" s="33" t="inlineStr">
        <is>
          <t>SwimCloud API v6 2026-10-08</t>
        </is>
      </c>
      <c r="AD1335" s="33" t="inlineStr">
        <is>
          <t>Jacob Whittle|2024-01-21|LCM|200|Free|110.69|Flanders Swimming Cup|TIM|False</t>
        </is>
      </c>
      <c r="AE1335" s="53">
        <f>G1335+L1335/1000+ROW()/1000000000</f>
        <v/>
      </c>
      <c r="AF1335" s="35">
        <f>IF(C1335&lt;&gt;"Grayson Coulter","",COUNTIFS($C$5:$C$2991,"Grayson Coulter",$Q$5:$Q$2991,Q1335,$AE$5:$AE$2991,"&lt;="&amp;AE1335,$R$5:$R$2991,"&lt;"&amp;R1335))</f>
        <v/>
      </c>
      <c r="AG1335" s="35">
        <f>IF(OR(C1335&lt;&gt;"Grayson Coulter",G1335&lt;'00_Control'!$B$7),"",--(AF1335&lt;5))</f>
        <v/>
      </c>
      <c r="AH1335" s="35">
        <f>IF(OR(C1335&lt;&gt;"Grayson Coulter",G1335&lt;'00_Control'!$B$7),"",--(AF1335&lt;10))</f>
        <v/>
      </c>
      <c r="AI1335" s="35">
        <f>IF(AND(C1335="Grayson Coulter",G1335&gt;='00_Control'!$B$7),"YES","NO")</f>
        <v/>
      </c>
      <c r="AJ1335" s="33" t="inlineStr">
        <is>
          <t>OK</t>
        </is>
      </c>
    </row>
    <row r="1336">
      <c r="A1336" s="33" t="inlineStr">
        <is>
          <t>SM001332</t>
        </is>
      </c>
      <c r="B1336" s="33" t="inlineStr">
        <is>
          <t>SW008</t>
        </is>
      </c>
      <c r="C1336" s="33" t="inlineStr">
        <is>
          <t>Jacob Whittle</t>
        </is>
      </c>
      <c r="D1336" s="33" t="inlineStr">
        <is>
          <t>SwimCloud</t>
        </is>
      </c>
      <c r="E1336" s="33" t="inlineStr">
        <is>
          <t>1133535</t>
        </is>
      </c>
      <c r="F1336" s="33" t="inlineStr">
        <is>
          <t>118006087</t>
        </is>
      </c>
      <c r="G1336" s="51" t="n">
        <v>45312</v>
      </c>
      <c r="H1336" s="33" t="inlineStr">
        <is>
          <t>Flanders Swimming Cup</t>
        </is>
      </c>
      <c r="I1336" s="33" t="inlineStr">
        <is>
          <t>294694</t>
        </is>
      </c>
      <c r="J1336" s="33" t="inlineStr"/>
      <c r="K1336" s="33" t="inlineStr">
        <is>
          <t>TIM</t>
        </is>
      </c>
      <c r="L1336" s="35">
        <f>IF(K1336="FIN",3,IF(OR(K1336="SEM",K1336="SEMI"),2,IF(OR(K1336="PRE",K1336="HEAT"),1,IF(V1336="YES",4,2))))</f>
        <v/>
      </c>
      <c r="M1336" s="33" t="inlineStr">
        <is>
          <t>LCM</t>
        </is>
      </c>
      <c r="N1336" s="33" t="n">
        <v>200</v>
      </c>
      <c r="O1336" s="33" t="inlineStr">
        <is>
          <t>Free</t>
        </is>
      </c>
      <c r="P1336" s="33" t="inlineStr">
        <is>
          <t>200 Free</t>
        </is>
      </c>
      <c r="Q1336" s="33" t="inlineStr">
        <is>
          <t>LCM_200_FREE</t>
        </is>
      </c>
      <c r="R1336" s="36" t="n">
        <v>112.42</v>
      </c>
      <c r="S1336" s="35">
        <f>IF(R1336="","",IF(R1336&gt;=60,INT(R1336/60)&amp;":"&amp;TEXT(MOD(R1336,60),"00.00"),TEXT(R1336,"0.00")))</f>
        <v/>
      </c>
      <c r="T1336" s="52">
        <f>IFERROR((G1336-INDEX('01_Swimmers'!$E$5:$E$22,MATCH(B1336,'01_Swimmers'!$A$5:$A$22,0)))/'00_Control'!$B$10,"")</f>
        <v/>
      </c>
      <c r="U1336" s="35">
        <f>IF(T1336="","",INT(T1336))</f>
        <v/>
      </c>
      <c r="V1336" s="33" t="inlineStr">
        <is>
          <t>NO</t>
        </is>
      </c>
      <c r="W1336" s="33" t="inlineStr">
        <is>
          <t>YES</t>
        </is>
      </c>
      <c r="X1336" s="33" t="inlineStr">
        <is>
          <t>NO</t>
        </is>
      </c>
      <c r="Y1336" s="33" t="n">
        <v>16</v>
      </c>
      <c r="Z1336" s="33" t="n">
        <v>4</v>
      </c>
      <c r="AA1336" s="33" t="inlineStr">
        <is>
          <t>5</t>
        </is>
      </c>
      <c r="AB1336" s="33" t="inlineStr">
        <is>
          <t>https://www.swimcloud.com/results/294694/event/32/?id=118006087#time118006087</t>
        </is>
      </c>
      <c r="AC1336" s="33" t="inlineStr">
        <is>
          <t>SwimCloud API v6 2026-10-08</t>
        </is>
      </c>
      <c r="AD1336" s="33" t="inlineStr">
        <is>
          <t>Jacob Whittle|2024-01-21|LCM|200|Free|112.42|Flanders Swimming Cup|TIM|False</t>
        </is>
      </c>
      <c r="AE1336" s="53">
        <f>G1336+L1336/1000+ROW()/1000000000</f>
        <v/>
      </c>
      <c r="AF1336" s="35">
        <f>IF(C1336&lt;&gt;"Grayson Coulter","",COUNTIFS($C$5:$C$2991,"Grayson Coulter",$Q$5:$Q$2991,Q1336,$AE$5:$AE$2991,"&lt;="&amp;AE1336,$R$5:$R$2991,"&lt;"&amp;R1336))</f>
        <v/>
      </c>
      <c r="AG1336" s="35">
        <f>IF(OR(C1336&lt;&gt;"Grayson Coulter",G1336&lt;'00_Control'!$B$7),"",--(AF1336&lt;5))</f>
        <v/>
      </c>
      <c r="AH1336" s="35">
        <f>IF(OR(C1336&lt;&gt;"Grayson Coulter",G1336&lt;'00_Control'!$B$7),"",--(AF1336&lt;10))</f>
        <v/>
      </c>
      <c r="AI1336" s="35">
        <f>IF(AND(C1336="Grayson Coulter",G1336&gt;='00_Control'!$B$7),"YES","NO")</f>
        <v/>
      </c>
      <c r="AJ1336" s="33" t="inlineStr">
        <is>
          <t>OK</t>
        </is>
      </c>
    </row>
    <row r="1337">
      <c r="A1337" s="33" t="inlineStr">
        <is>
          <t>SM001333</t>
        </is>
      </c>
      <c r="B1337" s="33" t="inlineStr">
        <is>
          <t>SW008</t>
        </is>
      </c>
      <c r="C1337" s="33" t="inlineStr">
        <is>
          <t>Jacob Whittle</t>
        </is>
      </c>
      <c r="D1337" s="33" t="inlineStr">
        <is>
          <t>SwimCloud</t>
        </is>
      </c>
      <c r="E1337" s="33" t="inlineStr">
        <is>
          <t>1133535</t>
        </is>
      </c>
      <c r="F1337" s="33" t="inlineStr">
        <is>
          <t>120041921</t>
        </is>
      </c>
      <c r="G1337" s="51" t="n">
        <v>45333</v>
      </c>
      <c r="H1337" s="33" t="inlineStr">
        <is>
          <t>21st World Aquatics Championships</t>
        </is>
      </c>
      <c r="I1337" s="33" t="inlineStr">
        <is>
          <t>297318</t>
        </is>
      </c>
      <c r="J1337" s="33" t="inlineStr"/>
      <c r="K1337" s="33" t="inlineStr">
        <is>
          <t>PRE</t>
        </is>
      </c>
      <c r="L1337" s="35">
        <f>IF(K1337="FIN",3,IF(OR(K1337="SEM",K1337="SEMI"),2,IF(OR(K1337="PRE",K1337="HEAT"),1,IF(V1337="YES",4,2))))</f>
        <v/>
      </c>
      <c r="M1337" s="33" t="inlineStr">
        <is>
          <t>LCM</t>
        </is>
      </c>
      <c r="N1337" s="33" t="n">
        <v>100</v>
      </c>
      <c r="O1337" s="33" t="inlineStr">
        <is>
          <t>Free</t>
        </is>
      </c>
      <c r="P1337" s="33" t="inlineStr">
        <is>
          <t>100 Free</t>
        </is>
      </c>
      <c r="Q1337" s="33" t="inlineStr">
        <is>
          <t>LCM_100_FREE</t>
        </is>
      </c>
      <c r="R1337" s="36" t="n">
        <v>48.82</v>
      </c>
      <c r="S1337" s="35">
        <f>IF(R1337="","",IF(R1337&gt;=60,INT(R1337/60)&amp;":"&amp;TEXT(MOD(R1337,60),"00.00"),TEXT(R1337,"0.00")))</f>
        <v/>
      </c>
      <c r="T1337" s="52">
        <f>IFERROR((G1337-INDEX('01_Swimmers'!$E$5:$E$22,MATCH(B1337,'01_Swimmers'!$A$5:$A$22,0)))/'00_Control'!$B$10,"")</f>
        <v/>
      </c>
      <c r="U1337" s="35">
        <f>IF(T1337="","",INT(T1337))</f>
        <v/>
      </c>
      <c r="V1337" s="33" t="inlineStr">
        <is>
          <t>YES</t>
        </is>
      </c>
      <c r="W1337" s="33" t="inlineStr">
        <is>
          <t>YES</t>
        </is>
      </c>
      <c r="X1337" s="33" t="inlineStr">
        <is>
          <t>NO</t>
        </is>
      </c>
      <c r="Y1337" s="33" t="n">
        <v>2</v>
      </c>
      <c r="Z1337" s="33" t="n"/>
      <c r="AA1337" s="33" t="inlineStr"/>
      <c r="AB1337" s="33" t="inlineStr">
        <is>
          <t>https://www.swimcloud.com/results/297318/event/8/?id=120039399#time120039399</t>
        </is>
      </c>
      <c r="AC1337" s="33" t="inlineStr">
        <is>
          <t>SwimCloud API v6 2026-10-08</t>
        </is>
      </c>
      <c r="AD1337" s="33" t="inlineStr">
        <is>
          <t>Jacob Whittle|2024-02-11|LCM|100|Free|48.82|21st World Aquatics Championships|PRE|True</t>
        </is>
      </c>
      <c r="AE1337" s="53">
        <f>G1337+L1337/1000+ROW()/1000000000</f>
        <v/>
      </c>
      <c r="AF1337" s="35">
        <f>IF(C1337&lt;&gt;"Grayson Coulter","",COUNTIFS($C$5:$C$2991,"Grayson Coulter",$Q$5:$Q$2991,Q1337,$AE$5:$AE$2991,"&lt;="&amp;AE1337,$R$5:$R$2991,"&lt;"&amp;R1337))</f>
        <v/>
      </c>
      <c r="AG1337" s="35">
        <f>IF(OR(C1337&lt;&gt;"Grayson Coulter",G1337&lt;'00_Control'!$B$7),"",--(AF1337&lt;5))</f>
        <v/>
      </c>
      <c r="AH1337" s="35">
        <f>IF(OR(C1337&lt;&gt;"Grayson Coulter",G1337&lt;'00_Control'!$B$7),"",--(AF1337&lt;10))</f>
        <v/>
      </c>
      <c r="AI1337" s="35">
        <f>IF(AND(C1337="Grayson Coulter",G1337&gt;='00_Control'!$B$7),"YES","NO")</f>
        <v/>
      </c>
      <c r="AJ1337" s="33" t="inlineStr">
        <is>
          <t>OK</t>
        </is>
      </c>
    </row>
    <row r="1338">
      <c r="A1338" s="33" t="inlineStr">
        <is>
          <t>SM001334</t>
        </is>
      </c>
      <c r="B1338" s="33" t="inlineStr">
        <is>
          <t>SW008</t>
        </is>
      </c>
      <c r="C1338" s="33" t="inlineStr">
        <is>
          <t>Jacob Whittle</t>
        </is>
      </c>
      <c r="D1338" s="33" t="inlineStr">
        <is>
          <t>SwimCloud</t>
        </is>
      </c>
      <c r="E1338" s="33" t="inlineStr">
        <is>
          <t>1133535</t>
        </is>
      </c>
      <c r="F1338" s="33" t="inlineStr">
        <is>
          <t>126947526</t>
        </is>
      </c>
      <c r="G1338" s="51" t="n">
        <v>45438</v>
      </c>
      <c r="H1338" s="33" t="inlineStr">
        <is>
          <t>36e Meeting International de Canet-en-Roussillon</t>
        </is>
      </c>
      <c r="I1338" s="33" t="inlineStr">
        <is>
          <t>304871</t>
        </is>
      </c>
      <c r="J1338" s="33" t="inlineStr"/>
      <c r="K1338" s="33" t="inlineStr">
        <is>
          <t>PRE</t>
        </is>
      </c>
      <c r="L1338" s="35">
        <f>IF(K1338="FIN",3,IF(OR(K1338="SEM",K1338="SEMI"),2,IF(OR(K1338="PRE",K1338="HEAT"),1,IF(V1338="YES",4,2))))</f>
        <v/>
      </c>
      <c r="M1338" s="33" t="inlineStr">
        <is>
          <t>LCM</t>
        </is>
      </c>
      <c r="N1338" s="33" t="n">
        <v>100</v>
      </c>
      <c r="O1338" s="33" t="inlineStr">
        <is>
          <t>Free</t>
        </is>
      </c>
      <c r="P1338" s="33" t="inlineStr">
        <is>
          <t>100 Free</t>
        </is>
      </c>
      <c r="Q1338" s="33" t="inlineStr">
        <is>
          <t>LCM_100_FREE</t>
        </is>
      </c>
      <c r="R1338" s="36" t="n">
        <v>49.56</v>
      </c>
      <c r="S1338" s="35">
        <f>IF(R1338="","",IF(R1338&gt;=60,INT(R1338/60)&amp;":"&amp;TEXT(MOD(R1338,60),"00.00"),TEXT(R1338,"0.00")))</f>
        <v/>
      </c>
      <c r="T1338" s="52">
        <f>IFERROR((G1338-INDEX('01_Swimmers'!$E$5:$E$22,MATCH(B1338,'01_Swimmers'!$A$5:$A$22,0)))/'00_Control'!$B$10,"")</f>
        <v/>
      </c>
      <c r="U1338" s="35">
        <f>IF(T1338="","",INT(T1338))</f>
        <v/>
      </c>
      <c r="V1338" s="33" t="inlineStr">
        <is>
          <t>NO</t>
        </is>
      </c>
      <c r="W1338" s="33" t="inlineStr">
        <is>
          <t>YES</t>
        </is>
      </c>
      <c r="X1338" s="33" t="inlineStr">
        <is>
          <t>NO</t>
        </is>
      </c>
      <c r="Y1338" s="33" t="n">
        <v>9</v>
      </c>
      <c r="Z1338" s="33" t="n"/>
      <c r="AA1338" s="33" t="inlineStr">
        <is>
          <t>9</t>
        </is>
      </c>
      <c r="AB1338" s="33" t="inlineStr">
        <is>
          <t>https://www.swimcloud.com/results/304871/event/212/?id=126947526#time126947526</t>
        </is>
      </c>
      <c r="AC1338" s="33" t="inlineStr">
        <is>
          <t>SwimCloud API v6 2026-10-08</t>
        </is>
      </c>
      <c r="AD1338" s="33" t="inlineStr">
        <is>
          <t>Jacob Whittle|2024-05-26|LCM|100|Free|49.56|36e Meeting International de Canet-en-Roussillon|PRE|False</t>
        </is>
      </c>
      <c r="AE1338" s="53">
        <f>G1338+L1338/1000+ROW()/1000000000</f>
        <v/>
      </c>
      <c r="AF1338" s="35">
        <f>IF(C1338&lt;&gt;"Grayson Coulter","",COUNTIFS($C$5:$C$2991,"Grayson Coulter",$Q$5:$Q$2991,Q1338,$AE$5:$AE$2991,"&lt;="&amp;AE1338,$R$5:$R$2991,"&lt;"&amp;R1338))</f>
        <v/>
      </c>
      <c r="AG1338" s="35">
        <f>IF(OR(C1338&lt;&gt;"Grayson Coulter",G1338&lt;'00_Control'!$B$7),"",--(AF1338&lt;5))</f>
        <v/>
      </c>
      <c r="AH1338" s="35">
        <f>IF(OR(C1338&lt;&gt;"Grayson Coulter",G1338&lt;'00_Control'!$B$7),"",--(AF1338&lt;10))</f>
        <v/>
      </c>
      <c r="AI1338" s="35">
        <f>IF(AND(C1338="Grayson Coulter",G1338&gt;='00_Control'!$B$7),"YES","NO")</f>
        <v/>
      </c>
      <c r="AJ1338" s="33" t="inlineStr">
        <is>
          <t>OK</t>
        </is>
      </c>
    </row>
    <row r="1339">
      <c r="A1339" s="33" t="inlineStr">
        <is>
          <t>SM001335</t>
        </is>
      </c>
      <c r="B1339" s="33" t="inlineStr">
        <is>
          <t>SW008</t>
        </is>
      </c>
      <c r="C1339" s="33" t="inlineStr">
        <is>
          <t>Jacob Whittle</t>
        </is>
      </c>
      <c r="D1339" s="33" t="inlineStr">
        <is>
          <t>SwimCloud</t>
        </is>
      </c>
      <c r="E1339" s="33" t="inlineStr">
        <is>
          <t>1133535</t>
        </is>
      </c>
      <c r="F1339" s="33" t="inlineStr">
        <is>
          <t>126947528</t>
        </is>
      </c>
      <c r="G1339" s="51" t="n">
        <v>45438</v>
      </c>
      <c r="H1339" s="33" t="inlineStr">
        <is>
          <t>36e Meeting International de Canet-en-Roussillon</t>
        </is>
      </c>
      <c r="I1339" s="33" t="inlineStr">
        <is>
          <t>304871</t>
        </is>
      </c>
      <c r="J1339" s="33" t="inlineStr"/>
      <c r="K1339" s="33" t="inlineStr">
        <is>
          <t>FIN</t>
        </is>
      </c>
      <c r="L1339" s="35">
        <f>IF(K1339="FIN",3,IF(OR(K1339="SEM",K1339="SEMI"),2,IF(OR(K1339="PRE",K1339="HEAT"),1,IF(V1339="YES",4,2))))</f>
        <v/>
      </c>
      <c r="M1339" s="33" t="inlineStr">
        <is>
          <t>LCM</t>
        </is>
      </c>
      <c r="N1339" s="33" t="n">
        <v>100</v>
      </c>
      <c r="O1339" s="33" t="inlineStr">
        <is>
          <t>Free</t>
        </is>
      </c>
      <c r="P1339" s="33" t="inlineStr">
        <is>
          <t>100 Free</t>
        </is>
      </c>
      <c r="Q1339" s="33" t="inlineStr">
        <is>
          <t>LCM_100_FREE</t>
        </is>
      </c>
      <c r="R1339" s="36" t="n">
        <v>49.33</v>
      </c>
      <c r="S1339" s="35">
        <f>IF(R1339="","",IF(R1339&gt;=60,INT(R1339/60)&amp;":"&amp;TEXT(MOD(R1339,60),"00.00"),TEXT(R1339,"0.00")))</f>
        <v/>
      </c>
      <c r="T1339" s="52">
        <f>IFERROR((G1339-INDEX('01_Swimmers'!$E$5:$E$22,MATCH(B1339,'01_Swimmers'!$A$5:$A$22,0)))/'00_Control'!$B$10,"")</f>
        <v/>
      </c>
      <c r="U1339" s="35">
        <f>IF(T1339="","",INT(T1339))</f>
        <v/>
      </c>
      <c r="V1339" s="33" t="inlineStr">
        <is>
          <t>NO</t>
        </is>
      </c>
      <c r="W1339" s="33" t="inlineStr">
        <is>
          <t>YES</t>
        </is>
      </c>
      <c r="X1339" s="33" t="inlineStr">
        <is>
          <t>NO</t>
        </is>
      </c>
      <c r="Y1339" s="33" t="n">
        <v>1</v>
      </c>
      <c r="Z1339" s="33" t="n"/>
      <c r="AA1339" s="33" t="inlineStr">
        <is>
          <t>4</t>
        </is>
      </c>
      <c r="AB1339" s="33" t="inlineStr">
        <is>
          <t>https://www.swimcloud.com/results/304871/event/212/?id=126947528#time126947528</t>
        </is>
      </c>
      <c r="AC1339" s="33" t="inlineStr">
        <is>
          <t>SwimCloud API v6 2026-10-08</t>
        </is>
      </c>
      <c r="AD1339" s="33" t="inlineStr">
        <is>
          <t>Jacob Whittle|2024-05-26|LCM|100|Free|49.33|36e Meeting International de Canet-en-Roussillon|FIN|False</t>
        </is>
      </c>
      <c r="AE1339" s="53">
        <f>G1339+L1339/1000+ROW()/1000000000</f>
        <v/>
      </c>
      <c r="AF1339" s="35">
        <f>IF(C1339&lt;&gt;"Grayson Coulter","",COUNTIFS($C$5:$C$2991,"Grayson Coulter",$Q$5:$Q$2991,Q1339,$AE$5:$AE$2991,"&lt;="&amp;AE1339,$R$5:$R$2991,"&lt;"&amp;R1339))</f>
        <v/>
      </c>
      <c r="AG1339" s="35">
        <f>IF(OR(C1339&lt;&gt;"Grayson Coulter",G1339&lt;'00_Control'!$B$7),"",--(AF1339&lt;5))</f>
        <v/>
      </c>
      <c r="AH1339" s="35">
        <f>IF(OR(C1339&lt;&gt;"Grayson Coulter",G1339&lt;'00_Control'!$B$7),"",--(AF1339&lt;10))</f>
        <v/>
      </c>
      <c r="AI1339" s="35">
        <f>IF(AND(C1339="Grayson Coulter",G1339&gt;='00_Control'!$B$7),"YES","NO")</f>
        <v/>
      </c>
      <c r="AJ1339" s="33" t="inlineStr">
        <is>
          <t>OK</t>
        </is>
      </c>
    </row>
    <row r="1340">
      <c r="A1340" s="33" t="inlineStr">
        <is>
          <t>SM001336</t>
        </is>
      </c>
      <c r="B1340" s="33" t="inlineStr">
        <is>
          <t>SW008</t>
        </is>
      </c>
      <c r="C1340" s="33" t="inlineStr">
        <is>
          <t>Jacob Whittle</t>
        </is>
      </c>
      <c r="D1340" s="33" t="inlineStr">
        <is>
          <t>SwimCloud</t>
        </is>
      </c>
      <c r="E1340" s="33" t="inlineStr">
        <is>
          <t>1133535</t>
        </is>
      </c>
      <c r="F1340" s="33" t="inlineStr">
        <is>
          <t>127065484</t>
        </is>
      </c>
      <c r="G1340" s="51" t="n">
        <v>45442</v>
      </c>
      <c r="H1340" s="33" t="inlineStr">
        <is>
          <t>Trofeu Internacional Ciutat de Barcelona</t>
        </is>
      </c>
      <c r="I1340" s="33" t="inlineStr">
        <is>
          <t>304977</t>
        </is>
      </c>
      <c r="J1340" s="33" t="inlineStr"/>
      <c r="K1340" s="33" t="inlineStr">
        <is>
          <t>PRE</t>
        </is>
      </c>
      <c r="L1340" s="35">
        <f>IF(K1340="FIN",3,IF(OR(K1340="SEM",K1340="SEMI"),2,IF(OR(K1340="PRE",K1340="HEAT"),1,IF(V1340="YES",4,2))))</f>
        <v/>
      </c>
      <c r="M1340" s="33" t="inlineStr">
        <is>
          <t>LCM</t>
        </is>
      </c>
      <c r="N1340" s="33" t="n">
        <v>100</v>
      </c>
      <c r="O1340" s="33" t="inlineStr">
        <is>
          <t>Free</t>
        </is>
      </c>
      <c r="P1340" s="33" t="inlineStr">
        <is>
          <t>100 Free</t>
        </is>
      </c>
      <c r="Q1340" s="33" t="inlineStr">
        <is>
          <t>LCM_100_FREE</t>
        </is>
      </c>
      <c r="R1340" s="36" t="n">
        <v>49.46</v>
      </c>
      <c r="S1340" s="35">
        <f>IF(R1340="","",IF(R1340&gt;=60,INT(R1340/60)&amp;":"&amp;TEXT(MOD(R1340,60),"00.00"),TEXT(R1340,"0.00")))</f>
        <v/>
      </c>
      <c r="T1340" s="52">
        <f>IFERROR((G1340-INDEX('01_Swimmers'!$E$5:$E$22,MATCH(B1340,'01_Swimmers'!$A$5:$A$22,0)))/'00_Control'!$B$10,"")</f>
        <v/>
      </c>
      <c r="U1340" s="35">
        <f>IF(T1340="","",INT(T1340))</f>
        <v/>
      </c>
      <c r="V1340" s="33" t="inlineStr">
        <is>
          <t>NO</t>
        </is>
      </c>
      <c r="W1340" s="33" t="inlineStr">
        <is>
          <t>YES</t>
        </is>
      </c>
      <c r="X1340" s="33" t="inlineStr">
        <is>
          <t>NO</t>
        </is>
      </c>
      <c r="Y1340" s="33" t="n"/>
      <c r="Z1340" s="33" t="n"/>
      <c r="AA1340" s="33" t="inlineStr">
        <is>
          <t>8</t>
        </is>
      </c>
      <c r="AB1340" s="33" t="inlineStr">
        <is>
          <t>https://www.swimcloud.com/results/304977/event/22/?id=127065484#time127065484</t>
        </is>
      </c>
      <c r="AC1340" s="33" t="inlineStr">
        <is>
          <t>SwimCloud API v6 2026-10-08</t>
        </is>
      </c>
      <c r="AD1340" s="33" t="inlineStr">
        <is>
          <t>Jacob Whittle|2024-05-30|LCM|100|Free|49.46|Trofeu Internacional Ciutat de Barcelona|PRE|False</t>
        </is>
      </c>
      <c r="AE1340" s="53">
        <f>G1340+L1340/1000+ROW()/1000000000</f>
        <v/>
      </c>
      <c r="AF1340" s="35">
        <f>IF(C1340&lt;&gt;"Grayson Coulter","",COUNTIFS($C$5:$C$2991,"Grayson Coulter",$Q$5:$Q$2991,Q1340,$AE$5:$AE$2991,"&lt;="&amp;AE1340,$R$5:$R$2991,"&lt;"&amp;R1340))</f>
        <v/>
      </c>
      <c r="AG1340" s="35">
        <f>IF(OR(C1340&lt;&gt;"Grayson Coulter",G1340&lt;'00_Control'!$B$7),"",--(AF1340&lt;5))</f>
        <v/>
      </c>
      <c r="AH1340" s="35">
        <f>IF(OR(C1340&lt;&gt;"Grayson Coulter",G1340&lt;'00_Control'!$B$7),"",--(AF1340&lt;10))</f>
        <v/>
      </c>
      <c r="AI1340" s="35">
        <f>IF(AND(C1340="Grayson Coulter",G1340&gt;='00_Control'!$B$7),"YES","NO")</f>
        <v/>
      </c>
      <c r="AJ1340" s="33" t="inlineStr">
        <is>
          <t>OK</t>
        </is>
      </c>
    </row>
    <row r="1341">
      <c r="A1341" s="33" t="inlineStr">
        <is>
          <t>SM001337</t>
        </is>
      </c>
      <c r="B1341" s="33" t="inlineStr">
        <is>
          <t>SW008</t>
        </is>
      </c>
      <c r="C1341" s="33" t="inlineStr">
        <is>
          <t>Jacob Whittle</t>
        </is>
      </c>
      <c r="D1341" s="33" t="inlineStr">
        <is>
          <t>SwimCloud</t>
        </is>
      </c>
      <c r="E1341" s="33" t="inlineStr">
        <is>
          <t>1133535</t>
        </is>
      </c>
      <c r="F1341" s="33" t="inlineStr">
        <is>
          <t>127065485</t>
        </is>
      </c>
      <c r="G1341" s="51" t="n">
        <v>45442</v>
      </c>
      <c r="H1341" s="33" t="inlineStr">
        <is>
          <t>Trofeu Internacional Ciutat de Barcelona</t>
        </is>
      </c>
      <c r="I1341" s="33" t="inlineStr">
        <is>
          <t>304977</t>
        </is>
      </c>
      <c r="J1341" s="33" t="inlineStr"/>
      <c r="K1341" s="33" t="inlineStr">
        <is>
          <t>FIN</t>
        </is>
      </c>
      <c r="L1341" s="35">
        <f>IF(K1341="FIN",3,IF(OR(K1341="SEM",K1341="SEMI"),2,IF(OR(K1341="PRE",K1341="HEAT"),1,IF(V1341="YES",4,2))))</f>
        <v/>
      </c>
      <c r="M1341" s="33" t="inlineStr">
        <is>
          <t>LCM</t>
        </is>
      </c>
      <c r="N1341" s="33" t="n">
        <v>100</v>
      </c>
      <c r="O1341" s="33" t="inlineStr">
        <is>
          <t>Free</t>
        </is>
      </c>
      <c r="P1341" s="33" t="inlineStr">
        <is>
          <t>100 Free</t>
        </is>
      </c>
      <c r="Q1341" s="33" t="inlineStr">
        <is>
          <t>LCM_100_FREE</t>
        </is>
      </c>
      <c r="R1341" s="36" t="n">
        <v>49.21</v>
      </c>
      <c r="S1341" s="35">
        <f>IF(R1341="","",IF(R1341&gt;=60,INT(R1341/60)&amp;":"&amp;TEXT(MOD(R1341,60),"00.00"),TEXT(R1341,"0.00")))</f>
        <v/>
      </c>
      <c r="T1341" s="52">
        <f>IFERROR((G1341-INDEX('01_Swimmers'!$E$5:$E$22,MATCH(B1341,'01_Swimmers'!$A$5:$A$22,0)))/'00_Control'!$B$10,"")</f>
        <v/>
      </c>
      <c r="U1341" s="35">
        <f>IF(T1341="","",INT(T1341))</f>
        <v/>
      </c>
      <c r="V1341" s="33" t="inlineStr">
        <is>
          <t>NO</t>
        </is>
      </c>
      <c r="W1341" s="33" t="inlineStr">
        <is>
          <t>YES</t>
        </is>
      </c>
      <c r="X1341" s="33" t="inlineStr">
        <is>
          <t>NO</t>
        </is>
      </c>
      <c r="Y1341" s="33" t="n"/>
      <c r="Z1341" s="33" t="n"/>
      <c r="AA1341" s="33" t="inlineStr">
        <is>
          <t>7</t>
        </is>
      </c>
      <c r="AB1341" s="33" t="inlineStr">
        <is>
          <t>https://www.swimcloud.com/results/304977/event/22/?id=127065485#time127065485</t>
        </is>
      </c>
      <c r="AC1341" s="33" t="inlineStr">
        <is>
          <t>SwimCloud API v6 2026-10-08</t>
        </is>
      </c>
      <c r="AD1341" s="33" t="inlineStr">
        <is>
          <t>Jacob Whittle|2024-05-30|LCM|100|Free|49.21|Trofeu Internacional Ciutat de Barcelona|FIN|False</t>
        </is>
      </c>
      <c r="AE1341" s="53">
        <f>G1341+L1341/1000+ROW()/1000000000</f>
        <v/>
      </c>
      <c r="AF1341" s="35">
        <f>IF(C1341&lt;&gt;"Grayson Coulter","",COUNTIFS($C$5:$C$2991,"Grayson Coulter",$Q$5:$Q$2991,Q1341,$AE$5:$AE$2991,"&lt;="&amp;AE1341,$R$5:$R$2991,"&lt;"&amp;R1341))</f>
        <v/>
      </c>
      <c r="AG1341" s="35">
        <f>IF(OR(C1341&lt;&gt;"Grayson Coulter",G1341&lt;'00_Control'!$B$7),"",--(AF1341&lt;5))</f>
        <v/>
      </c>
      <c r="AH1341" s="35">
        <f>IF(OR(C1341&lt;&gt;"Grayson Coulter",G1341&lt;'00_Control'!$B$7),"",--(AF1341&lt;10))</f>
        <v/>
      </c>
      <c r="AI1341" s="35">
        <f>IF(AND(C1341="Grayson Coulter",G1341&gt;='00_Control'!$B$7),"YES","NO")</f>
        <v/>
      </c>
      <c r="AJ1341" s="33" t="inlineStr">
        <is>
          <t>OK</t>
        </is>
      </c>
    </row>
    <row r="1342">
      <c r="A1342" s="33" t="inlineStr">
        <is>
          <t>SM001338</t>
        </is>
      </c>
      <c r="B1342" s="33" t="inlineStr">
        <is>
          <t>SW008</t>
        </is>
      </c>
      <c r="C1342" s="33" t="inlineStr">
        <is>
          <t>Jacob Whittle</t>
        </is>
      </c>
      <c r="D1342" s="33" t="inlineStr">
        <is>
          <t>SwimCloud</t>
        </is>
      </c>
      <c r="E1342" s="33" t="inlineStr">
        <is>
          <t>1133535</t>
        </is>
      </c>
      <c r="F1342" s="33" t="inlineStr">
        <is>
          <t>130572942</t>
        </is>
      </c>
      <c r="G1342" s="51" t="n">
        <v>45500</v>
      </c>
      <c r="H1342" s="33" t="inlineStr">
        <is>
          <t>Olympic Games</t>
        </is>
      </c>
      <c r="I1342" s="33" t="inlineStr">
        <is>
          <t>2424</t>
        </is>
      </c>
      <c r="J1342" s="33" t="inlineStr"/>
      <c r="K1342" s="33" t="inlineStr">
        <is>
          <t>PRE</t>
        </is>
      </c>
      <c r="L1342" s="35">
        <f>IF(K1342="FIN",3,IF(OR(K1342="SEM",K1342="SEMI"),2,IF(OR(K1342="PRE",K1342="HEAT"),1,IF(V1342="YES",4,2))))</f>
        <v/>
      </c>
      <c r="M1342" s="33" t="inlineStr">
        <is>
          <t>LCM</t>
        </is>
      </c>
      <c r="N1342" s="33" t="n">
        <v>100</v>
      </c>
      <c r="O1342" s="33" t="inlineStr">
        <is>
          <t>Free</t>
        </is>
      </c>
      <c r="P1342" s="33" t="inlineStr">
        <is>
          <t>100 Free</t>
        </is>
      </c>
      <c r="Q1342" s="33" t="inlineStr">
        <is>
          <t>LCM_100_FREE</t>
        </is>
      </c>
      <c r="R1342" s="36" t="n">
        <v>48.47</v>
      </c>
      <c r="S1342" s="35">
        <f>IF(R1342="","",IF(R1342&gt;=60,INT(R1342/60)&amp;":"&amp;TEXT(MOD(R1342,60),"00.00"),TEXT(R1342,"0.00")))</f>
        <v/>
      </c>
      <c r="T1342" s="52">
        <f>IFERROR((G1342-INDEX('01_Swimmers'!$E$5:$E$22,MATCH(B1342,'01_Swimmers'!$A$5:$A$22,0)))/'00_Control'!$B$10,"")</f>
        <v/>
      </c>
      <c r="U1342" s="35">
        <f>IF(T1342="","",INT(T1342))</f>
        <v/>
      </c>
      <c r="V1342" s="33" t="inlineStr">
        <is>
          <t>NO</t>
        </is>
      </c>
      <c r="W1342" s="33" t="inlineStr">
        <is>
          <t>YES</t>
        </is>
      </c>
      <c r="X1342" s="33" t="inlineStr">
        <is>
          <t>NO</t>
        </is>
      </c>
      <c r="Y1342" s="33" t="n">
        <v>8</v>
      </c>
      <c r="Z1342" s="33" t="n">
        <v>6</v>
      </c>
      <c r="AA1342" s="33" t="inlineStr">
        <is>
          <t>18</t>
        </is>
      </c>
      <c r="AB1342" s="33" t="inlineStr">
        <is>
          <t>https://www.swimcloud.com/results/2424/event/104/?id=130572942#time130572942</t>
        </is>
      </c>
      <c r="AC1342" s="33" t="inlineStr">
        <is>
          <t>SwimCloud API v6 2026-10-08</t>
        </is>
      </c>
      <c r="AD1342" s="33" t="inlineStr">
        <is>
          <t>Jacob Whittle|2024-07-27|LCM|100|Free|48.47|Olympic Games|PRE|False</t>
        </is>
      </c>
      <c r="AE1342" s="53">
        <f>G1342+L1342/1000+ROW()/1000000000</f>
        <v/>
      </c>
      <c r="AF1342" s="35">
        <f>IF(C1342&lt;&gt;"Grayson Coulter","",COUNTIFS($C$5:$C$2991,"Grayson Coulter",$Q$5:$Q$2991,Q1342,$AE$5:$AE$2991,"&lt;="&amp;AE1342,$R$5:$R$2991,"&lt;"&amp;R1342))</f>
        <v/>
      </c>
      <c r="AG1342" s="35">
        <f>IF(OR(C1342&lt;&gt;"Grayson Coulter",G1342&lt;'00_Control'!$B$7),"",--(AF1342&lt;5))</f>
        <v/>
      </c>
      <c r="AH1342" s="35">
        <f>IF(OR(C1342&lt;&gt;"Grayson Coulter",G1342&lt;'00_Control'!$B$7),"",--(AF1342&lt;10))</f>
        <v/>
      </c>
      <c r="AI1342" s="35">
        <f>IF(AND(C1342="Grayson Coulter",G1342&gt;='00_Control'!$B$7),"YES","NO")</f>
        <v/>
      </c>
      <c r="AJ1342" s="33" t="inlineStr">
        <is>
          <t>OK</t>
        </is>
      </c>
    </row>
    <row r="1343">
      <c r="A1343" s="33" t="inlineStr">
        <is>
          <t>SM001339</t>
        </is>
      </c>
      <c r="B1343" s="33" t="inlineStr">
        <is>
          <t>SW008</t>
        </is>
      </c>
      <c r="C1343" s="33" t="inlineStr">
        <is>
          <t>Jacob Whittle</t>
        </is>
      </c>
      <c r="D1343" s="33" t="inlineStr">
        <is>
          <t>SwimCloud</t>
        </is>
      </c>
      <c r="E1343" s="33" t="inlineStr">
        <is>
          <t>1133535</t>
        </is>
      </c>
      <c r="F1343" s="33" t="inlineStr">
        <is>
          <t>151012227</t>
        </is>
      </c>
      <c r="G1343" s="51" t="n">
        <v>45730</v>
      </c>
      <c r="H1343" s="33" t="inlineStr">
        <is>
          <t>Edinburgh International</t>
        </is>
      </c>
      <c r="I1343" s="33" t="inlineStr">
        <is>
          <t>342614</t>
        </is>
      </c>
      <c r="J1343" s="33" t="inlineStr"/>
      <c r="K1343" s="33" t="inlineStr">
        <is>
          <t>PRE</t>
        </is>
      </c>
      <c r="L1343" s="35">
        <f>IF(K1343="FIN",3,IF(OR(K1343="SEM",K1343="SEMI"),2,IF(OR(K1343="PRE",K1343="HEAT"),1,IF(V1343="YES",4,2))))</f>
        <v/>
      </c>
      <c r="M1343" s="33" t="inlineStr">
        <is>
          <t>LCM</t>
        </is>
      </c>
      <c r="N1343" s="33" t="n">
        <v>200</v>
      </c>
      <c r="O1343" s="33" t="inlineStr">
        <is>
          <t>Free</t>
        </is>
      </c>
      <c r="P1343" s="33" t="inlineStr">
        <is>
          <t>200 Free</t>
        </is>
      </c>
      <c r="Q1343" s="33" t="inlineStr">
        <is>
          <t>LCM_200_FREE</t>
        </is>
      </c>
      <c r="R1343" s="36" t="n">
        <v>113.14</v>
      </c>
      <c r="S1343" s="35">
        <f>IF(R1343="","",IF(R1343&gt;=60,INT(R1343/60)&amp;":"&amp;TEXT(MOD(R1343,60),"00.00"),TEXT(R1343,"0.00")))</f>
        <v/>
      </c>
      <c r="T1343" s="52">
        <f>IFERROR((G1343-INDEX('01_Swimmers'!$E$5:$E$22,MATCH(B1343,'01_Swimmers'!$A$5:$A$22,0)))/'00_Control'!$B$10,"")</f>
        <v/>
      </c>
      <c r="U1343" s="35">
        <f>IF(T1343="","",INT(T1343))</f>
        <v/>
      </c>
      <c r="V1343" s="33" t="inlineStr">
        <is>
          <t>NO</t>
        </is>
      </c>
      <c r="W1343" s="33" t="inlineStr">
        <is>
          <t>YES</t>
        </is>
      </c>
      <c r="X1343" s="33" t="inlineStr">
        <is>
          <t>NO</t>
        </is>
      </c>
      <c r="Y1343" s="33" t="n">
        <v>3</v>
      </c>
      <c r="Z1343" s="33" t="n">
        <v>2</v>
      </c>
      <c r="AA1343" s="33" t="inlineStr">
        <is>
          <t>29</t>
        </is>
      </c>
      <c r="AB1343" s="33" t="inlineStr">
        <is>
          <t>https://www.swimcloud.com/results/342614/event/105/?id=151012227#time151012227</t>
        </is>
      </c>
      <c r="AC1343" s="33" t="inlineStr">
        <is>
          <t>SwimCloud API v6 2026-10-08</t>
        </is>
      </c>
      <c r="AD1343" s="33" t="inlineStr">
        <is>
          <t>Jacob Whittle|2025-03-14|LCM|200|Free|113.14|Edinburgh International|PRE|False</t>
        </is>
      </c>
      <c r="AE1343" s="53">
        <f>G1343+L1343/1000+ROW()/1000000000</f>
        <v/>
      </c>
      <c r="AF1343" s="35">
        <f>IF(C1343&lt;&gt;"Grayson Coulter","",COUNTIFS($C$5:$C$2991,"Grayson Coulter",$Q$5:$Q$2991,Q1343,$AE$5:$AE$2991,"&lt;="&amp;AE1343,$R$5:$R$2991,"&lt;"&amp;R1343))</f>
        <v/>
      </c>
      <c r="AG1343" s="35">
        <f>IF(OR(C1343&lt;&gt;"Grayson Coulter",G1343&lt;'00_Control'!$B$7),"",--(AF1343&lt;5))</f>
        <v/>
      </c>
      <c r="AH1343" s="35">
        <f>IF(OR(C1343&lt;&gt;"Grayson Coulter",G1343&lt;'00_Control'!$B$7),"",--(AF1343&lt;10))</f>
        <v/>
      </c>
      <c r="AI1343" s="35">
        <f>IF(AND(C1343="Grayson Coulter",G1343&gt;='00_Control'!$B$7),"YES","NO")</f>
        <v/>
      </c>
      <c r="AJ1343" s="33" t="inlineStr">
        <is>
          <t>OK</t>
        </is>
      </c>
    </row>
    <row r="1344">
      <c r="A1344" s="33" t="inlineStr">
        <is>
          <t>SM001340</t>
        </is>
      </c>
      <c r="B1344" s="33" t="inlineStr">
        <is>
          <t>SW008</t>
        </is>
      </c>
      <c r="C1344" s="33" t="inlineStr">
        <is>
          <t>Jacob Whittle</t>
        </is>
      </c>
      <c r="D1344" s="33" t="inlineStr">
        <is>
          <t>SwimCloud</t>
        </is>
      </c>
      <c r="E1344" s="33" t="inlineStr">
        <is>
          <t>1133535</t>
        </is>
      </c>
      <c r="F1344" s="33" t="inlineStr">
        <is>
          <t>151011535</t>
        </is>
      </c>
      <c r="G1344" s="51" t="n">
        <v>45732</v>
      </c>
      <c r="H1344" s="33" t="inlineStr">
        <is>
          <t>Edinburgh International</t>
        </is>
      </c>
      <c r="I1344" s="33" t="inlineStr">
        <is>
          <t>342614</t>
        </is>
      </c>
      <c r="J1344" s="33" t="inlineStr"/>
      <c r="K1344" s="33" t="inlineStr">
        <is>
          <t>PRE</t>
        </is>
      </c>
      <c r="L1344" s="35">
        <f>IF(K1344="FIN",3,IF(OR(K1344="SEM",K1344="SEMI"),2,IF(OR(K1344="PRE",K1344="HEAT"),1,IF(V1344="YES",4,2))))</f>
        <v/>
      </c>
      <c r="M1344" s="33" t="inlineStr">
        <is>
          <t>LCM</t>
        </is>
      </c>
      <c r="N1344" s="33" t="n">
        <v>100</v>
      </c>
      <c r="O1344" s="33" t="inlineStr">
        <is>
          <t>Free</t>
        </is>
      </c>
      <c r="P1344" s="33" t="inlineStr">
        <is>
          <t>100 Free</t>
        </is>
      </c>
      <c r="Q1344" s="33" t="inlineStr">
        <is>
          <t>LCM_100_FREE</t>
        </is>
      </c>
      <c r="R1344" s="36" t="n">
        <v>49.72</v>
      </c>
      <c r="S1344" s="35">
        <f>IF(R1344="","",IF(R1344&gt;=60,INT(R1344/60)&amp;":"&amp;TEXT(MOD(R1344,60),"00.00"),TEXT(R1344,"0.00")))</f>
        <v/>
      </c>
      <c r="T1344" s="52">
        <f>IFERROR((G1344-INDEX('01_Swimmers'!$E$5:$E$22,MATCH(B1344,'01_Swimmers'!$A$5:$A$22,0)))/'00_Control'!$B$10,"")</f>
        <v/>
      </c>
      <c r="U1344" s="35">
        <f>IF(T1344="","",INT(T1344))</f>
        <v/>
      </c>
      <c r="V1344" s="33" t="inlineStr">
        <is>
          <t>NO</t>
        </is>
      </c>
      <c r="W1344" s="33" t="inlineStr">
        <is>
          <t>YES</t>
        </is>
      </c>
      <c r="X1344" s="33" t="inlineStr">
        <is>
          <t>NO</t>
        </is>
      </c>
      <c r="Y1344" s="33" t="n">
        <v>4</v>
      </c>
      <c r="Z1344" s="33" t="n">
        <v>5</v>
      </c>
      <c r="AA1344" s="33" t="inlineStr">
        <is>
          <t>2</t>
        </is>
      </c>
      <c r="AB1344" s="33" t="inlineStr">
        <is>
          <t>https://www.swimcloud.com/results/342614/event/304/?id=151011535#time151011535</t>
        </is>
      </c>
      <c r="AC1344" s="33" t="inlineStr">
        <is>
          <t>SwimCloud API v6 2026-10-08</t>
        </is>
      </c>
      <c r="AD1344" s="33" t="inlineStr">
        <is>
          <t>Jacob Whittle|2025-03-16|LCM|100|Free|49.72|Edinburgh International|PRE|False</t>
        </is>
      </c>
      <c r="AE1344" s="53">
        <f>G1344+L1344/1000+ROW()/1000000000</f>
        <v/>
      </c>
      <c r="AF1344" s="35">
        <f>IF(C1344&lt;&gt;"Grayson Coulter","",COUNTIFS($C$5:$C$2991,"Grayson Coulter",$Q$5:$Q$2991,Q1344,$AE$5:$AE$2991,"&lt;="&amp;AE1344,$R$5:$R$2991,"&lt;"&amp;R1344))</f>
        <v/>
      </c>
      <c r="AG1344" s="35">
        <f>IF(OR(C1344&lt;&gt;"Grayson Coulter",G1344&lt;'00_Control'!$B$7),"",--(AF1344&lt;5))</f>
        <v/>
      </c>
      <c r="AH1344" s="35">
        <f>IF(OR(C1344&lt;&gt;"Grayson Coulter",G1344&lt;'00_Control'!$B$7),"",--(AF1344&lt;10))</f>
        <v/>
      </c>
      <c r="AI1344" s="35">
        <f>IF(AND(C1344="Grayson Coulter",G1344&gt;='00_Control'!$B$7),"YES","NO")</f>
        <v/>
      </c>
      <c r="AJ1344" s="33" t="inlineStr">
        <is>
          <t>OK</t>
        </is>
      </c>
    </row>
    <row r="1345">
      <c r="A1345" s="33" t="inlineStr">
        <is>
          <t>SM001341</t>
        </is>
      </c>
      <c r="B1345" s="33" t="inlineStr">
        <is>
          <t>SW008</t>
        </is>
      </c>
      <c r="C1345" s="33" t="inlineStr">
        <is>
          <t>Jacob Whittle</t>
        </is>
      </c>
      <c r="D1345" s="33" t="inlineStr">
        <is>
          <t>SwimCloud</t>
        </is>
      </c>
      <c r="E1345" s="33" t="inlineStr">
        <is>
          <t>1133535</t>
        </is>
      </c>
      <c r="F1345" s="33" t="inlineStr">
        <is>
          <t>151011536</t>
        </is>
      </c>
      <c r="G1345" s="51" t="n">
        <v>45732</v>
      </c>
      <c r="H1345" s="33" t="inlineStr">
        <is>
          <t>Edinburgh International</t>
        </is>
      </c>
      <c r="I1345" s="33" t="inlineStr">
        <is>
          <t>342614</t>
        </is>
      </c>
      <c r="J1345" s="33" t="inlineStr"/>
      <c r="K1345" s="33" t="inlineStr">
        <is>
          <t>FIN</t>
        </is>
      </c>
      <c r="L1345" s="35">
        <f>IF(K1345="FIN",3,IF(OR(K1345="SEM",K1345="SEMI"),2,IF(OR(K1345="PRE",K1345="HEAT"),1,IF(V1345="YES",4,2))))</f>
        <v/>
      </c>
      <c r="M1345" s="33" t="inlineStr">
        <is>
          <t>LCM</t>
        </is>
      </c>
      <c r="N1345" s="33" t="n">
        <v>100</v>
      </c>
      <c r="O1345" s="33" t="inlineStr">
        <is>
          <t>Free</t>
        </is>
      </c>
      <c r="P1345" s="33" t="inlineStr">
        <is>
          <t>100 Free</t>
        </is>
      </c>
      <c r="Q1345" s="33" t="inlineStr">
        <is>
          <t>LCM_100_FREE</t>
        </is>
      </c>
      <c r="R1345" s="36" t="n">
        <v>49.78</v>
      </c>
      <c r="S1345" s="35">
        <f>IF(R1345="","",IF(R1345&gt;=60,INT(R1345/60)&amp;":"&amp;TEXT(MOD(R1345,60),"00.00"),TEXT(R1345,"0.00")))</f>
        <v/>
      </c>
      <c r="T1345" s="52">
        <f>IFERROR((G1345-INDEX('01_Swimmers'!$E$5:$E$22,MATCH(B1345,'01_Swimmers'!$A$5:$A$22,0)))/'00_Control'!$B$10,"")</f>
        <v/>
      </c>
      <c r="U1345" s="35">
        <f>IF(T1345="","",INT(T1345))</f>
        <v/>
      </c>
      <c r="V1345" s="33" t="inlineStr">
        <is>
          <t>NO</t>
        </is>
      </c>
      <c r="W1345" s="33" t="inlineStr">
        <is>
          <t>YES</t>
        </is>
      </c>
      <c r="X1345" s="33" t="inlineStr">
        <is>
          <t>NO</t>
        </is>
      </c>
      <c r="Y1345" s="33" t="n">
        <v>3</v>
      </c>
      <c r="Z1345" s="33" t="n">
        <v>3</v>
      </c>
      <c r="AA1345" s="33" t="inlineStr">
        <is>
          <t>7</t>
        </is>
      </c>
      <c r="AB1345" s="33" t="inlineStr">
        <is>
          <t>https://www.swimcloud.com/results/342614/event/304/?id=151011536#time151011536</t>
        </is>
      </c>
      <c r="AC1345" s="33" t="inlineStr">
        <is>
          <t>SwimCloud API v6 2026-10-08</t>
        </is>
      </c>
      <c r="AD1345" s="33" t="inlineStr">
        <is>
          <t>Jacob Whittle|2025-03-16|LCM|100|Free|49.78|Edinburgh International|FIN|False</t>
        </is>
      </c>
      <c r="AE1345" s="53">
        <f>G1345+L1345/1000+ROW()/1000000000</f>
        <v/>
      </c>
      <c r="AF1345" s="35">
        <f>IF(C1345&lt;&gt;"Grayson Coulter","",COUNTIFS($C$5:$C$2991,"Grayson Coulter",$Q$5:$Q$2991,Q1345,$AE$5:$AE$2991,"&lt;="&amp;AE1345,$R$5:$R$2991,"&lt;"&amp;R1345))</f>
        <v/>
      </c>
      <c r="AG1345" s="35">
        <f>IF(OR(C1345&lt;&gt;"Grayson Coulter",G1345&lt;'00_Control'!$B$7),"",--(AF1345&lt;5))</f>
        <v/>
      </c>
      <c r="AH1345" s="35">
        <f>IF(OR(C1345&lt;&gt;"Grayson Coulter",G1345&lt;'00_Control'!$B$7),"",--(AF1345&lt;10))</f>
        <v/>
      </c>
      <c r="AI1345" s="35">
        <f>IF(AND(C1345="Grayson Coulter",G1345&gt;='00_Control'!$B$7),"YES","NO")</f>
        <v/>
      </c>
      <c r="AJ1345" s="33" t="inlineStr">
        <is>
          <t>OK</t>
        </is>
      </c>
    </row>
    <row r="1346">
      <c r="A1346" s="33" t="inlineStr">
        <is>
          <t>SM001342</t>
        </is>
      </c>
      <c r="B1346" s="33" t="inlineStr">
        <is>
          <t>SW008</t>
        </is>
      </c>
      <c r="C1346" s="33" t="inlineStr">
        <is>
          <t>Jacob Whittle</t>
        </is>
      </c>
      <c r="D1346" s="33" t="inlineStr">
        <is>
          <t>SwimCloud</t>
        </is>
      </c>
      <c r="E1346" s="33" t="inlineStr">
        <is>
          <t>1133535</t>
        </is>
      </c>
      <c r="F1346" s="33" t="inlineStr">
        <is>
          <t>166444932</t>
        </is>
      </c>
      <c r="G1346" s="51" t="n">
        <v>45767</v>
      </c>
      <c r="H1346" s="33" t="inlineStr">
        <is>
          <t>Aquatics GB Championships</t>
        </is>
      </c>
      <c r="I1346" s="33" t="inlineStr">
        <is>
          <t>345603</t>
        </is>
      </c>
      <c r="J1346" s="33" t="inlineStr"/>
      <c r="K1346" s="33" t="inlineStr">
        <is>
          <t>FIN</t>
        </is>
      </c>
      <c r="L1346" s="35">
        <f>IF(K1346="FIN",3,IF(OR(K1346="SEM",K1346="SEMI"),2,IF(OR(K1346="PRE",K1346="HEAT"),1,IF(V1346="YES",4,2))))</f>
        <v/>
      </c>
      <c r="M1346" s="33" t="inlineStr">
        <is>
          <t>LCM</t>
        </is>
      </c>
      <c r="N1346" s="33" t="n">
        <v>100</v>
      </c>
      <c r="O1346" s="33" t="inlineStr">
        <is>
          <t>Free</t>
        </is>
      </c>
      <c r="P1346" s="33" t="inlineStr">
        <is>
          <t>100 Free</t>
        </is>
      </c>
      <c r="Q1346" s="33" t="inlineStr">
        <is>
          <t>LCM_100_FREE</t>
        </is>
      </c>
      <c r="R1346" s="36" t="n">
        <v>48.45</v>
      </c>
      <c r="S1346" s="35">
        <f>IF(R1346="","",IF(R1346&gt;=60,INT(R1346/60)&amp;":"&amp;TEXT(MOD(R1346,60),"00.00"),TEXT(R1346,"0.00")))</f>
        <v/>
      </c>
      <c r="T1346" s="52">
        <f>IFERROR((G1346-INDEX('01_Swimmers'!$E$5:$E$22,MATCH(B1346,'01_Swimmers'!$A$5:$A$22,0)))/'00_Control'!$B$10,"")</f>
        <v/>
      </c>
      <c r="U1346" s="35">
        <f>IF(T1346="","",INT(T1346))</f>
        <v/>
      </c>
      <c r="V1346" s="33" t="inlineStr">
        <is>
          <t>NO</t>
        </is>
      </c>
      <c r="W1346" s="33" t="inlineStr">
        <is>
          <t>YES</t>
        </is>
      </c>
      <c r="X1346" s="33" t="inlineStr">
        <is>
          <t>NO</t>
        </is>
      </c>
      <c r="Y1346" s="33" t="n">
        <v>1</v>
      </c>
      <c r="Z1346" s="33" t="n">
        <v>1</v>
      </c>
      <c r="AA1346" s="33" t="inlineStr">
        <is>
          <t>4</t>
        </is>
      </c>
      <c r="AB1346" s="33" t="inlineStr">
        <is>
          <t>https://www.swimcloud.com/results/345603/event/305/?id=166444932#time166444932</t>
        </is>
      </c>
      <c r="AC1346" s="33" t="inlineStr">
        <is>
          <t>SwimCloud API v6 2026-10-08</t>
        </is>
      </c>
      <c r="AD1346" s="33" t="inlineStr">
        <is>
          <t>Jacob Whittle|2025-04-20|LCM|100|Free|48.45|Aquatics GB Championships|FIN|False</t>
        </is>
      </c>
      <c r="AE1346" s="53">
        <f>G1346+L1346/1000+ROW()/1000000000</f>
        <v/>
      </c>
      <c r="AF1346" s="35">
        <f>IF(C1346&lt;&gt;"Grayson Coulter","",COUNTIFS($C$5:$C$2991,"Grayson Coulter",$Q$5:$Q$2991,Q1346,$AE$5:$AE$2991,"&lt;="&amp;AE1346,$R$5:$R$2991,"&lt;"&amp;R1346))</f>
        <v/>
      </c>
      <c r="AG1346" s="35">
        <f>IF(OR(C1346&lt;&gt;"Grayson Coulter",G1346&lt;'00_Control'!$B$7),"",--(AF1346&lt;5))</f>
        <v/>
      </c>
      <c r="AH1346" s="35">
        <f>IF(OR(C1346&lt;&gt;"Grayson Coulter",G1346&lt;'00_Control'!$B$7),"",--(AF1346&lt;10))</f>
        <v/>
      </c>
      <c r="AI1346" s="35">
        <f>IF(AND(C1346="Grayson Coulter",G1346&gt;='00_Control'!$B$7),"YES","NO")</f>
        <v/>
      </c>
      <c r="AJ1346" s="33" t="inlineStr">
        <is>
          <t>OK</t>
        </is>
      </c>
    </row>
    <row r="1347">
      <c r="A1347" s="33" t="inlineStr">
        <is>
          <t>SM001343</t>
        </is>
      </c>
      <c r="B1347" s="33" t="inlineStr">
        <is>
          <t>SW008</t>
        </is>
      </c>
      <c r="C1347" s="33" t="inlineStr">
        <is>
          <t>Jacob Whittle</t>
        </is>
      </c>
      <c r="D1347" s="33" t="inlineStr">
        <is>
          <t>SwimCloud</t>
        </is>
      </c>
      <c r="E1347" s="33" t="inlineStr">
        <is>
          <t>1133535</t>
        </is>
      </c>
      <c r="F1347" s="33" t="inlineStr">
        <is>
          <t>152471155</t>
        </is>
      </c>
      <c r="G1347" s="51" t="n">
        <v>45799</v>
      </c>
      <c r="H1347" s="33" t="inlineStr">
        <is>
          <t>Mare Nostrum - Trofeu Internacional Ciutat de Barcelona</t>
        </is>
      </c>
      <c r="I1347" s="33" t="inlineStr">
        <is>
          <t>344367</t>
        </is>
      </c>
      <c r="J1347" s="33" t="inlineStr"/>
      <c r="K1347" s="33" t="inlineStr">
        <is>
          <t>PRE</t>
        </is>
      </c>
      <c r="L1347" s="35">
        <f>IF(K1347="FIN",3,IF(OR(K1347="SEM",K1347="SEMI"),2,IF(OR(K1347="PRE",K1347="HEAT"),1,IF(V1347="YES",4,2))))</f>
        <v/>
      </c>
      <c r="M1347" s="33" t="inlineStr">
        <is>
          <t>LCM</t>
        </is>
      </c>
      <c r="N1347" s="33" t="n">
        <v>100</v>
      </c>
      <c r="O1347" s="33" t="inlineStr">
        <is>
          <t>Free</t>
        </is>
      </c>
      <c r="P1347" s="33" t="inlineStr">
        <is>
          <t>100 Free</t>
        </is>
      </c>
      <c r="Q1347" s="33" t="inlineStr">
        <is>
          <t>LCM_100_FREE</t>
        </is>
      </c>
      <c r="R1347" s="36" t="n">
        <v>49.91</v>
      </c>
      <c r="S1347" s="35">
        <f>IF(R1347="","",IF(R1347&gt;=60,INT(R1347/60)&amp;":"&amp;TEXT(MOD(R1347,60),"00.00"),TEXT(R1347,"0.00")))</f>
        <v/>
      </c>
      <c r="T1347" s="52">
        <f>IFERROR((G1347-INDEX('01_Swimmers'!$E$5:$E$22,MATCH(B1347,'01_Swimmers'!$A$5:$A$22,0)))/'00_Control'!$B$10,"")</f>
        <v/>
      </c>
      <c r="U1347" s="35">
        <f>IF(T1347="","",INT(T1347))</f>
        <v/>
      </c>
      <c r="V1347" s="33" t="inlineStr">
        <is>
          <t>NO</t>
        </is>
      </c>
      <c r="W1347" s="33" t="inlineStr">
        <is>
          <t>YES</t>
        </is>
      </c>
      <c r="X1347" s="33" t="inlineStr">
        <is>
          <t>NO</t>
        </is>
      </c>
      <c r="Y1347" s="33" t="n">
        <v>10</v>
      </c>
      <c r="Z1347" s="33" t="n">
        <v>4</v>
      </c>
      <c r="AA1347" s="33" t="inlineStr">
        <is>
          <t>7</t>
        </is>
      </c>
      <c r="AB1347" s="33" t="inlineStr">
        <is>
          <t>https://www.swimcloud.com/results/344367/event/22/?id=152471155#time152471155</t>
        </is>
      </c>
      <c r="AC1347" s="33" t="inlineStr">
        <is>
          <t>SwimCloud API v6 2026-10-08</t>
        </is>
      </c>
      <c r="AD1347" s="33" t="inlineStr">
        <is>
          <t>Jacob Whittle|2025-05-22|LCM|100|Free|49.91|Mare Nostrum - Trofeu Internacional Ciutat de Barcelona|PRE|False</t>
        </is>
      </c>
      <c r="AE1347" s="53">
        <f>G1347+L1347/1000+ROW()/1000000000</f>
        <v/>
      </c>
      <c r="AF1347" s="35">
        <f>IF(C1347&lt;&gt;"Grayson Coulter","",COUNTIFS($C$5:$C$2991,"Grayson Coulter",$Q$5:$Q$2991,Q1347,$AE$5:$AE$2991,"&lt;="&amp;AE1347,$R$5:$R$2991,"&lt;"&amp;R1347))</f>
        <v/>
      </c>
      <c r="AG1347" s="35">
        <f>IF(OR(C1347&lt;&gt;"Grayson Coulter",G1347&lt;'00_Control'!$B$7),"",--(AF1347&lt;5))</f>
        <v/>
      </c>
      <c r="AH1347" s="35">
        <f>IF(OR(C1347&lt;&gt;"Grayson Coulter",G1347&lt;'00_Control'!$B$7),"",--(AF1347&lt;10))</f>
        <v/>
      </c>
      <c r="AI1347" s="35">
        <f>IF(AND(C1347="Grayson Coulter",G1347&gt;='00_Control'!$B$7),"YES","NO")</f>
        <v/>
      </c>
      <c r="AJ1347" s="33" t="inlineStr">
        <is>
          <t>OK</t>
        </is>
      </c>
    </row>
    <row r="1348">
      <c r="A1348" s="33" t="inlineStr">
        <is>
          <t>SM001344</t>
        </is>
      </c>
      <c r="B1348" s="33" t="inlineStr">
        <is>
          <t>SW008</t>
        </is>
      </c>
      <c r="C1348" s="33" t="inlineStr">
        <is>
          <t>Jacob Whittle</t>
        </is>
      </c>
      <c r="D1348" s="33" t="inlineStr">
        <is>
          <t>SwimCloud</t>
        </is>
      </c>
      <c r="E1348" s="33" t="inlineStr">
        <is>
          <t>1133535</t>
        </is>
      </c>
      <c r="F1348" s="33" t="inlineStr">
        <is>
          <t>152471157</t>
        </is>
      </c>
      <c r="G1348" s="51" t="n">
        <v>45799</v>
      </c>
      <c r="H1348" s="33" t="inlineStr">
        <is>
          <t>Mare Nostrum - Trofeu Internacional Ciutat de Barcelona</t>
        </is>
      </c>
      <c r="I1348" s="33" t="inlineStr">
        <is>
          <t>344367</t>
        </is>
      </c>
      <c r="J1348" s="33" t="inlineStr"/>
      <c r="K1348" s="33" t="inlineStr">
        <is>
          <t>FIN</t>
        </is>
      </c>
      <c r="L1348" s="35">
        <f>IF(K1348="FIN",3,IF(OR(K1348="SEM",K1348="SEMI"),2,IF(OR(K1348="PRE",K1348="HEAT"),1,IF(V1348="YES",4,2))))</f>
        <v/>
      </c>
      <c r="M1348" s="33" t="inlineStr">
        <is>
          <t>LCM</t>
        </is>
      </c>
      <c r="N1348" s="33" t="n">
        <v>100</v>
      </c>
      <c r="O1348" s="33" t="inlineStr">
        <is>
          <t>Free</t>
        </is>
      </c>
      <c r="P1348" s="33" t="inlineStr">
        <is>
          <t>100 Free</t>
        </is>
      </c>
      <c r="Q1348" s="33" t="inlineStr">
        <is>
          <t>LCM_100_FREE</t>
        </is>
      </c>
      <c r="R1348" s="36" t="n">
        <v>50.14</v>
      </c>
      <c r="S1348" s="35">
        <f>IF(R1348="","",IF(R1348&gt;=60,INT(R1348/60)&amp;":"&amp;TEXT(MOD(R1348,60),"00.00"),TEXT(R1348,"0.00")))</f>
        <v/>
      </c>
      <c r="T1348" s="52">
        <f>IFERROR((G1348-INDEX('01_Swimmers'!$E$5:$E$22,MATCH(B1348,'01_Swimmers'!$A$5:$A$22,0)))/'00_Control'!$B$10,"")</f>
        <v/>
      </c>
      <c r="U1348" s="35">
        <f>IF(T1348="","",INT(T1348))</f>
        <v/>
      </c>
      <c r="V1348" s="33" t="inlineStr">
        <is>
          <t>NO</t>
        </is>
      </c>
      <c r="W1348" s="33" t="inlineStr">
        <is>
          <t>YES</t>
        </is>
      </c>
      <c r="X1348" s="33" t="inlineStr">
        <is>
          <t>NO</t>
        </is>
      </c>
      <c r="Y1348" s="33" t="n">
        <v>1</v>
      </c>
      <c r="Z1348" s="33" t="n">
        <v>1</v>
      </c>
      <c r="AA1348" s="33" t="inlineStr">
        <is>
          <t>8</t>
        </is>
      </c>
      <c r="AB1348" s="33" t="inlineStr">
        <is>
          <t>https://www.swimcloud.com/results/344367/event/22/?id=152471157#time152471157</t>
        </is>
      </c>
      <c r="AC1348" s="33" t="inlineStr">
        <is>
          <t>SwimCloud API v6 2026-10-08</t>
        </is>
      </c>
      <c r="AD1348" s="33" t="inlineStr">
        <is>
          <t>Jacob Whittle|2025-05-22|LCM|100|Free|50.14|Mare Nostrum - Trofeu Internacional Ciutat de Barcelona|FIN|False</t>
        </is>
      </c>
      <c r="AE1348" s="53">
        <f>G1348+L1348/1000+ROW()/1000000000</f>
        <v/>
      </c>
      <c r="AF1348" s="35">
        <f>IF(C1348&lt;&gt;"Grayson Coulter","",COUNTIFS($C$5:$C$2991,"Grayson Coulter",$Q$5:$Q$2991,Q1348,$AE$5:$AE$2991,"&lt;="&amp;AE1348,$R$5:$R$2991,"&lt;"&amp;R1348))</f>
        <v/>
      </c>
      <c r="AG1348" s="35">
        <f>IF(OR(C1348&lt;&gt;"Grayson Coulter",G1348&lt;'00_Control'!$B$7),"",--(AF1348&lt;5))</f>
        <v/>
      </c>
      <c r="AH1348" s="35">
        <f>IF(OR(C1348&lt;&gt;"Grayson Coulter",G1348&lt;'00_Control'!$B$7),"",--(AF1348&lt;10))</f>
        <v/>
      </c>
      <c r="AI1348" s="35">
        <f>IF(AND(C1348="Grayson Coulter",G1348&gt;='00_Control'!$B$7),"YES","NO")</f>
        <v/>
      </c>
      <c r="AJ1348" s="33" t="inlineStr">
        <is>
          <t>OK</t>
        </is>
      </c>
    </row>
    <row r="1349">
      <c r="A1349" s="33" t="inlineStr">
        <is>
          <t>SM001345</t>
        </is>
      </c>
      <c r="B1349" s="33" t="inlineStr">
        <is>
          <t>SW008</t>
        </is>
      </c>
      <c r="C1349" s="33" t="inlineStr">
        <is>
          <t>Jacob Whittle</t>
        </is>
      </c>
      <c r="D1349" s="33" t="inlineStr">
        <is>
          <t>SwimCloud</t>
        </is>
      </c>
      <c r="E1349" s="33" t="inlineStr">
        <is>
          <t>1133535</t>
        </is>
      </c>
      <c r="F1349" s="33" t="inlineStr">
        <is>
          <t>158425262</t>
        </is>
      </c>
      <c r="G1349" s="51" t="n">
        <v>45802</v>
      </c>
      <c r="H1349" s="33" t="inlineStr">
        <is>
          <t>AP Race London International</t>
        </is>
      </c>
      <c r="I1349" s="33" t="inlineStr">
        <is>
          <t>344629</t>
        </is>
      </c>
      <c r="J1349" s="33" t="inlineStr"/>
      <c r="K1349" s="33" t="inlineStr">
        <is>
          <t>PRE</t>
        </is>
      </c>
      <c r="L1349" s="35">
        <f>IF(K1349="FIN",3,IF(OR(K1349="SEM",K1349="SEMI"),2,IF(OR(K1349="PRE",K1349="HEAT"),1,IF(V1349="YES",4,2))))</f>
        <v/>
      </c>
      <c r="M1349" s="33" t="inlineStr">
        <is>
          <t>LCM</t>
        </is>
      </c>
      <c r="N1349" s="33" t="n">
        <v>100</v>
      </c>
      <c r="O1349" s="33" t="inlineStr">
        <is>
          <t>Free</t>
        </is>
      </c>
      <c r="P1349" s="33" t="inlineStr">
        <is>
          <t>100 Free</t>
        </is>
      </c>
      <c r="Q1349" s="33" t="inlineStr">
        <is>
          <t>LCM_100_FREE</t>
        </is>
      </c>
      <c r="R1349" s="36" t="n">
        <v>49.61</v>
      </c>
      <c r="S1349" s="35">
        <f>IF(R1349="","",IF(R1349&gt;=60,INT(R1349/60)&amp;":"&amp;TEXT(MOD(R1349,60),"00.00"),TEXT(R1349,"0.00")))</f>
        <v/>
      </c>
      <c r="T1349" s="52">
        <f>IFERROR((G1349-INDEX('01_Swimmers'!$E$5:$E$22,MATCH(B1349,'01_Swimmers'!$A$5:$A$22,0)))/'00_Control'!$B$10,"")</f>
        <v/>
      </c>
      <c r="U1349" s="35">
        <f>IF(T1349="","",INT(T1349))</f>
        <v/>
      </c>
      <c r="V1349" s="33" t="inlineStr">
        <is>
          <t>NO</t>
        </is>
      </c>
      <c r="W1349" s="33" t="inlineStr">
        <is>
          <t>YES</t>
        </is>
      </c>
      <c r="X1349" s="33" t="inlineStr">
        <is>
          <t>NO</t>
        </is>
      </c>
      <c r="Y1349" s="33" t="n">
        <v>14</v>
      </c>
      <c r="Z1349" s="33" t="n">
        <v>5</v>
      </c>
      <c r="AA1349" s="33" t="inlineStr">
        <is>
          <t>4</t>
        </is>
      </c>
      <c r="AB1349" s="33" t="inlineStr">
        <is>
          <t>https://www.swimcloud.com/results/344629/event/407/?id=158425262#time158425262</t>
        </is>
      </c>
      <c r="AC1349" s="33" t="inlineStr">
        <is>
          <t>SwimCloud API v6 2026-10-08</t>
        </is>
      </c>
      <c r="AD1349" s="33" t="inlineStr">
        <is>
          <t>Jacob Whittle|2025-05-25|LCM|100|Free|49.61|AP Race London International|PRE|False</t>
        </is>
      </c>
      <c r="AE1349" s="53">
        <f>G1349+L1349/1000+ROW()/1000000000</f>
        <v/>
      </c>
      <c r="AF1349" s="35">
        <f>IF(C1349&lt;&gt;"Grayson Coulter","",COUNTIFS($C$5:$C$2991,"Grayson Coulter",$Q$5:$Q$2991,Q1349,$AE$5:$AE$2991,"&lt;="&amp;AE1349,$R$5:$R$2991,"&lt;"&amp;R1349))</f>
        <v/>
      </c>
      <c r="AG1349" s="35">
        <f>IF(OR(C1349&lt;&gt;"Grayson Coulter",G1349&lt;'00_Control'!$B$7),"",--(AF1349&lt;5))</f>
        <v/>
      </c>
      <c r="AH1349" s="35">
        <f>IF(OR(C1349&lt;&gt;"Grayson Coulter",G1349&lt;'00_Control'!$B$7),"",--(AF1349&lt;10))</f>
        <v/>
      </c>
      <c r="AI1349" s="35">
        <f>IF(AND(C1349="Grayson Coulter",G1349&gt;='00_Control'!$B$7),"YES","NO")</f>
        <v/>
      </c>
      <c r="AJ1349" s="33" t="inlineStr">
        <is>
          <t>OK</t>
        </is>
      </c>
    </row>
    <row r="1350">
      <c r="A1350" s="33" t="inlineStr">
        <is>
          <t>SM001346</t>
        </is>
      </c>
      <c r="B1350" s="33" t="inlineStr">
        <is>
          <t>SW008</t>
        </is>
      </c>
      <c r="C1350" s="33" t="inlineStr">
        <is>
          <t>Jacob Whittle</t>
        </is>
      </c>
      <c r="D1350" s="33" t="inlineStr">
        <is>
          <t>SwimCloud</t>
        </is>
      </c>
      <c r="E1350" s="33" t="inlineStr">
        <is>
          <t>1133535</t>
        </is>
      </c>
      <c r="F1350" s="33" t="inlineStr">
        <is>
          <t>158426624</t>
        </is>
      </c>
      <c r="G1350" s="51" t="n">
        <v>45802</v>
      </c>
      <c r="H1350" s="33" t="inlineStr">
        <is>
          <t>AP Race London International</t>
        </is>
      </c>
      <c r="I1350" s="33" t="inlineStr">
        <is>
          <t>344629</t>
        </is>
      </c>
      <c r="J1350" s="33" t="inlineStr"/>
      <c r="K1350" s="33" t="inlineStr">
        <is>
          <t>PRE</t>
        </is>
      </c>
      <c r="L1350" s="35">
        <f>IF(K1350="FIN",3,IF(OR(K1350="SEM",K1350="SEMI"),2,IF(OR(K1350="PRE",K1350="HEAT"),1,IF(V1350="YES",4,2))))</f>
        <v/>
      </c>
      <c r="M1350" s="33" t="inlineStr">
        <is>
          <t>LCM</t>
        </is>
      </c>
      <c r="N1350" s="33" t="n">
        <v>100</v>
      </c>
      <c r="O1350" s="33" t="inlineStr">
        <is>
          <t>Free</t>
        </is>
      </c>
      <c r="P1350" s="33" t="inlineStr">
        <is>
          <t>100 Free</t>
        </is>
      </c>
      <c r="Q1350" s="33" t="inlineStr">
        <is>
          <t>LCM_100_FREE</t>
        </is>
      </c>
      <c r="R1350" s="36" t="n">
        <v>49.64</v>
      </c>
      <c r="S1350" s="35">
        <f>IF(R1350="","",IF(R1350&gt;=60,INT(R1350/60)&amp;":"&amp;TEXT(MOD(R1350,60),"00.00"),TEXT(R1350,"0.00")))</f>
        <v/>
      </c>
      <c r="T1350" s="52">
        <f>IFERROR((G1350-INDEX('01_Swimmers'!$E$5:$E$22,MATCH(B1350,'01_Swimmers'!$A$5:$A$22,0)))/'00_Control'!$B$10,"")</f>
        <v/>
      </c>
      <c r="U1350" s="35">
        <f>IF(T1350="","",INT(T1350))</f>
        <v/>
      </c>
      <c r="V1350" s="33" t="inlineStr">
        <is>
          <t>NO</t>
        </is>
      </c>
      <c r="W1350" s="33" t="inlineStr">
        <is>
          <t>YES</t>
        </is>
      </c>
      <c r="X1350" s="33" t="inlineStr">
        <is>
          <t>NO</t>
        </is>
      </c>
      <c r="Y1350" s="33" t="n">
        <v>1</v>
      </c>
      <c r="Z1350" s="33" t="n">
        <v>6</v>
      </c>
      <c r="AA1350" s="33" t="inlineStr">
        <is>
          <t>6</t>
        </is>
      </c>
      <c r="AB1350" s="33" t="inlineStr">
        <is>
          <t>https://www.swimcloud.com/results/344629/event/613/?id=158426624#time158426624</t>
        </is>
      </c>
      <c r="AC1350" s="33" t="inlineStr">
        <is>
          <t>SwimCloud API v6 2026-10-08</t>
        </is>
      </c>
      <c r="AD1350" s="33" t="inlineStr">
        <is>
          <t>Jacob Whittle|2025-05-25|LCM|100|Free|49.64|AP Race London International|PRE|False</t>
        </is>
      </c>
      <c r="AE1350" s="53">
        <f>G1350+L1350/1000+ROW()/1000000000</f>
        <v/>
      </c>
      <c r="AF1350" s="35">
        <f>IF(C1350&lt;&gt;"Grayson Coulter","",COUNTIFS($C$5:$C$2991,"Grayson Coulter",$Q$5:$Q$2991,Q1350,$AE$5:$AE$2991,"&lt;="&amp;AE1350,$R$5:$R$2991,"&lt;"&amp;R1350))</f>
        <v/>
      </c>
      <c r="AG1350" s="35">
        <f>IF(OR(C1350&lt;&gt;"Grayson Coulter",G1350&lt;'00_Control'!$B$7),"",--(AF1350&lt;5))</f>
        <v/>
      </c>
      <c r="AH1350" s="35">
        <f>IF(OR(C1350&lt;&gt;"Grayson Coulter",G1350&lt;'00_Control'!$B$7),"",--(AF1350&lt;10))</f>
        <v/>
      </c>
      <c r="AI1350" s="35">
        <f>IF(AND(C1350="Grayson Coulter",G1350&gt;='00_Control'!$B$7),"YES","NO")</f>
        <v/>
      </c>
      <c r="AJ1350" s="33" t="inlineStr">
        <is>
          <t>OK</t>
        </is>
      </c>
    </row>
    <row r="1351">
      <c r="A1351" s="33" t="inlineStr">
        <is>
          <t>SM001347</t>
        </is>
      </c>
      <c r="B1351" s="33" t="inlineStr">
        <is>
          <t>SW008</t>
        </is>
      </c>
      <c r="C1351" s="33" t="inlineStr">
        <is>
          <t>Jacob Whittle</t>
        </is>
      </c>
      <c r="D1351" s="33" t="inlineStr">
        <is>
          <t>SwimCloud</t>
        </is>
      </c>
      <c r="E1351" s="33" t="inlineStr">
        <is>
          <t>1133535</t>
        </is>
      </c>
      <c r="F1351" s="33" t="inlineStr">
        <is>
          <t>154391873</t>
        </is>
      </c>
      <c r="G1351" s="51" t="n">
        <v>45835</v>
      </c>
      <c r="H1351" s="33" t="inlineStr">
        <is>
          <t>Trofeo Internazionale Sette Colli</t>
        </is>
      </c>
      <c r="I1351" s="33" t="inlineStr">
        <is>
          <t>346642</t>
        </is>
      </c>
      <c r="J1351" s="33" t="inlineStr"/>
      <c r="K1351" s="33" t="inlineStr">
        <is>
          <t>PRE</t>
        </is>
      </c>
      <c r="L1351" s="35">
        <f>IF(K1351="FIN",3,IF(OR(K1351="SEM",K1351="SEMI"),2,IF(OR(K1351="PRE",K1351="HEAT"),1,IF(V1351="YES",4,2))))</f>
        <v/>
      </c>
      <c r="M1351" s="33" t="inlineStr">
        <is>
          <t>LCM</t>
        </is>
      </c>
      <c r="N1351" s="33" t="n">
        <v>100</v>
      </c>
      <c r="O1351" s="33" t="inlineStr">
        <is>
          <t>Free</t>
        </is>
      </c>
      <c r="P1351" s="33" t="inlineStr">
        <is>
          <t>100 Free</t>
        </is>
      </c>
      <c r="Q1351" s="33" t="inlineStr">
        <is>
          <t>LCM_100_FREE</t>
        </is>
      </c>
      <c r="R1351" s="36" t="n">
        <v>49.62</v>
      </c>
      <c r="S1351" s="35">
        <f>IF(R1351="","",IF(R1351&gt;=60,INT(R1351/60)&amp;":"&amp;TEXT(MOD(R1351,60),"00.00"),TEXT(R1351,"0.00")))</f>
        <v/>
      </c>
      <c r="T1351" s="52">
        <f>IFERROR((G1351-INDEX('01_Swimmers'!$E$5:$E$22,MATCH(B1351,'01_Swimmers'!$A$5:$A$22,0)))/'00_Control'!$B$10,"")</f>
        <v/>
      </c>
      <c r="U1351" s="35">
        <f>IF(T1351="","",INT(T1351))</f>
        <v/>
      </c>
      <c r="V1351" s="33" t="inlineStr">
        <is>
          <t>NO</t>
        </is>
      </c>
      <c r="W1351" s="33" t="inlineStr">
        <is>
          <t>YES</t>
        </is>
      </c>
      <c r="X1351" s="33" t="inlineStr">
        <is>
          <t>NO</t>
        </is>
      </c>
      <c r="Y1351" s="33" t="n">
        <v>35</v>
      </c>
      <c r="Z1351" s="33" t="n">
        <v>2</v>
      </c>
      <c r="AA1351" s="33" t="inlineStr">
        <is>
          <t>19</t>
        </is>
      </c>
      <c r="AB1351" s="33" t="inlineStr">
        <is>
          <t>https://www.swimcloud.com/results/346642/event/30/?id=154391873#time154391873</t>
        </is>
      </c>
      <c r="AC1351" s="33" t="inlineStr">
        <is>
          <t>SwimCloud API v6 2026-10-08</t>
        </is>
      </c>
      <c r="AD1351" s="33" t="inlineStr">
        <is>
          <t>Jacob Whittle|2025-06-27|LCM|100|Free|49.62|Trofeo Internazionale Sette Colli|PRE|False</t>
        </is>
      </c>
      <c r="AE1351" s="53">
        <f>G1351+L1351/1000+ROW()/1000000000</f>
        <v/>
      </c>
      <c r="AF1351" s="35">
        <f>IF(C1351&lt;&gt;"Grayson Coulter","",COUNTIFS($C$5:$C$2991,"Grayson Coulter",$Q$5:$Q$2991,Q1351,$AE$5:$AE$2991,"&lt;="&amp;AE1351,$R$5:$R$2991,"&lt;"&amp;R1351))</f>
        <v/>
      </c>
      <c r="AG1351" s="35">
        <f>IF(OR(C1351&lt;&gt;"Grayson Coulter",G1351&lt;'00_Control'!$B$7),"",--(AF1351&lt;5))</f>
        <v/>
      </c>
      <c r="AH1351" s="35">
        <f>IF(OR(C1351&lt;&gt;"Grayson Coulter",G1351&lt;'00_Control'!$B$7),"",--(AF1351&lt;10))</f>
        <v/>
      </c>
      <c r="AI1351" s="35">
        <f>IF(AND(C1351="Grayson Coulter",G1351&gt;='00_Control'!$B$7),"YES","NO")</f>
        <v/>
      </c>
      <c r="AJ1351" s="33" t="inlineStr">
        <is>
          <t>OK</t>
        </is>
      </c>
    </row>
    <row r="1352">
      <c r="A1352" s="33" t="inlineStr">
        <is>
          <t>SM001348</t>
        </is>
      </c>
      <c r="B1352" s="33" t="inlineStr">
        <is>
          <t>SW008</t>
        </is>
      </c>
      <c r="C1352" s="33" t="inlineStr">
        <is>
          <t>Jacob Whittle</t>
        </is>
      </c>
      <c r="D1352" s="33" t="inlineStr">
        <is>
          <t>SwimCloud</t>
        </is>
      </c>
      <c r="E1352" s="33" t="inlineStr">
        <is>
          <t>1133535</t>
        </is>
      </c>
      <c r="F1352" s="33" t="inlineStr">
        <is>
          <t>156829387</t>
        </is>
      </c>
      <c r="G1352" s="51" t="n">
        <v>45871</v>
      </c>
      <c r="H1352" s="33" t="inlineStr">
        <is>
          <t>22nd World Aquatics Championships</t>
        </is>
      </c>
      <c r="I1352" s="33" t="inlineStr">
        <is>
          <t>348385</t>
        </is>
      </c>
      <c r="J1352" s="33" t="inlineStr"/>
      <c r="K1352" s="33" t="inlineStr">
        <is>
          <t>PRE</t>
        </is>
      </c>
      <c r="L1352" s="35">
        <f>IF(K1352="FIN",3,IF(OR(K1352="SEM",K1352="SEMI"),2,IF(OR(K1352="PRE",K1352="HEAT"),1,IF(V1352="YES",4,2))))</f>
        <v/>
      </c>
      <c r="M1352" s="33" t="inlineStr">
        <is>
          <t>LCM</t>
        </is>
      </c>
      <c r="N1352" s="33" t="n">
        <v>100</v>
      </c>
      <c r="O1352" s="33" t="inlineStr">
        <is>
          <t>Free</t>
        </is>
      </c>
      <c r="P1352" s="33" t="inlineStr">
        <is>
          <t>100 Free</t>
        </is>
      </c>
      <c r="Q1352" s="33" t="inlineStr">
        <is>
          <t>LCM_100_FREE</t>
        </is>
      </c>
      <c r="R1352" s="36" t="n">
        <v>48.82</v>
      </c>
      <c r="S1352" s="35">
        <f>IF(R1352="","",IF(R1352&gt;=60,INT(R1352/60)&amp;":"&amp;TEXT(MOD(R1352,60),"00.00"),TEXT(R1352,"0.00")))</f>
        <v/>
      </c>
      <c r="T1352" s="52">
        <f>IFERROR((G1352-INDEX('01_Swimmers'!$E$5:$E$22,MATCH(B1352,'01_Swimmers'!$A$5:$A$22,0)))/'00_Control'!$B$10,"")</f>
        <v/>
      </c>
      <c r="U1352" s="35">
        <f>IF(T1352="","",INT(T1352))</f>
        <v/>
      </c>
      <c r="V1352" s="33" t="inlineStr">
        <is>
          <t>YES</t>
        </is>
      </c>
      <c r="W1352" s="33" t="inlineStr">
        <is>
          <t>YES</t>
        </is>
      </c>
      <c r="X1352" s="33" t="inlineStr">
        <is>
          <t>NO</t>
        </is>
      </c>
      <c r="Y1352" s="33" t="n">
        <v>3</v>
      </c>
      <c r="Z1352" s="33" t="n">
        <v>5</v>
      </c>
      <c r="AA1352" s="33" t="inlineStr"/>
      <c r="AB1352" s="33" t="inlineStr">
        <is>
          <t>https://www.swimcloud.com/results/348385/event/37/?id=156826733#time156826733</t>
        </is>
      </c>
      <c r="AC1352" s="33" t="inlineStr">
        <is>
          <t>SwimCloud API v6 2026-10-08</t>
        </is>
      </c>
      <c r="AD1352" s="33" t="inlineStr">
        <is>
          <t>Jacob Whittle|2025-08-02|LCM|100|Free|48.82|22nd World Aquatics Championships|PRE|True</t>
        </is>
      </c>
      <c r="AE1352" s="53">
        <f>G1352+L1352/1000+ROW()/1000000000</f>
        <v/>
      </c>
      <c r="AF1352" s="35">
        <f>IF(C1352&lt;&gt;"Grayson Coulter","",COUNTIFS($C$5:$C$2991,"Grayson Coulter",$Q$5:$Q$2991,Q1352,$AE$5:$AE$2991,"&lt;="&amp;AE1352,$R$5:$R$2991,"&lt;"&amp;R1352))</f>
        <v/>
      </c>
      <c r="AG1352" s="35">
        <f>IF(OR(C1352&lt;&gt;"Grayson Coulter",G1352&lt;'00_Control'!$B$7),"",--(AF1352&lt;5))</f>
        <v/>
      </c>
      <c r="AH1352" s="35">
        <f>IF(OR(C1352&lt;&gt;"Grayson Coulter",G1352&lt;'00_Control'!$B$7),"",--(AF1352&lt;10))</f>
        <v/>
      </c>
      <c r="AI1352" s="35">
        <f>IF(AND(C1352="Grayson Coulter",G1352&gt;='00_Control'!$B$7),"YES","NO")</f>
        <v/>
      </c>
      <c r="AJ1352" s="33" t="inlineStr">
        <is>
          <t>OK</t>
        </is>
      </c>
    </row>
    <row r="1353">
      <c r="A1353" s="33" t="inlineStr">
        <is>
          <t>SM001349</t>
        </is>
      </c>
      <c r="B1353" s="33" t="inlineStr">
        <is>
          <t>SW008</t>
        </is>
      </c>
      <c r="C1353" s="33" t="inlineStr">
        <is>
          <t>Jacob Whittle</t>
        </is>
      </c>
      <c r="D1353" s="33" t="inlineStr">
        <is>
          <t>SwimCloud</t>
        </is>
      </c>
      <c r="E1353" s="33" t="inlineStr">
        <is>
          <t>1133535</t>
        </is>
      </c>
      <c r="F1353" s="33" t="inlineStr">
        <is>
          <t>178820764</t>
        </is>
      </c>
      <c r="G1353" s="51" t="n">
        <v>46002</v>
      </c>
      <c r="H1353" s="33" t="inlineStr">
        <is>
          <t>Swim England National Winter Championships</t>
        </is>
      </c>
      <c r="I1353" s="33" t="inlineStr">
        <is>
          <t>369419</t>
        </is>
      </c>
      <c r="J1353" s="33" t="inlineStr"/>
      <c r="K1353" s="33" t="inlineStr">
        <is>
          <t>TIM</t>
        </is>
      </c>
      <c r="L1353" s="35">
        <f>IF(K1353="FIN",3,IF(OR(K1353="SEM",K1353="SEMI"),2,IF(OR(K1353="PRE",K1353="HEAT"),1,IF(V1353="YES",4,2))))</f>
        <v/>
      </c>
      <c r="M1353" s="33" t="inlineStr">
        <is>
          <t>SCM</t>
        </is>
      </c>
      <c r="N1353" s="33" t="n">
        <v>100</v>
      </c>
      <c r="O1353" s="33" t="inlineStr">
        <is>
          <t>Free</t>
        </is>
      </c>
      <c r="P1353" s="33" t="inlineStr">
        <is>
          <t>100 Free</t>
        </is>
      </c>
      <c r="Q1353" s="33" t="inlineStr">
        <is>
          <t>SCM_100_FREE</t>
        </is>
      </c>
      <c r="R1353" s="36" t="n">
        <v>46.98</v>
      </c>
      <c r="S1353" s="35">
        <f>IF(R1353="","",IF(R1353&gt;=60,INT(R1353/60)&amp;":"&amp;TEXT(MOD(R1353,60),"00.00"),TEXT(R1353,"0.00")))</f>
        <v/>
      </c>
      <c r="T1353" s="52">
        <f>IFERROR((G1353-INDEX('01_Swimmers'!$E$5:$E$22,MATCH(B1353,'01_Swimmers'!$A$5:$A$22,0)))/'00_Control'!$B$10,"")</f>
        <v/>
      </c>
      <c r="U1353" s="35">
        <f>IF(T1353="","",INT(T1353))</f>
        <v/>
      </c>
      <c r="V1353" s="33" t="inlineStr">
        <is>
          <t>NO</t>
        </is>
      </c>
      <c r="W1353" s="33" t="inlineStr">
        <is>
          <t>YES</t>
        </is>
      </c>
      <c r="X1353" s="33" t="inlineStr">
        <is>
          <t>NO</t>
        </is>
      </c>
      <c r="Y1353" s="33" t="n"/>
      <c r="Z1353" s="33" t="n"/>
      <c r="AA1353" s="33" t="inlineStr">
        <is>
          <t>1</t>
        </is>
      </c>
      <c r="AB1353" s="33" t="inlineStr">
        <is>
          <t>https://www.swimcloud.com/results/369419/event/457/?id=178820764#time178820764</t>
        </is>
      </c>
      <c r="AC1353" s="33" t="inlineStr">
        <is>
          <t>SwimCloud API v6 2026-10-08</t>
        </is>
      </c>
      <c r="AD1353" s="33" t="inlineStr">
        <is>
          <t>Jacob Whittle|2025-12-11|SCM|100|Free|46.98|Swim England National Winter Championships|TIM|False</t>
        </is>
      </c>
      <c r="AE1353" s="53">
        <f>G1353+L1353/1000+ROW()/1000000000</f>
        <v/>
      </c>
      <c r="AF1353" s="35">
        <f>IF(C1353&lt;&gt;"Grayson Coulter","",COUNTIFS($C$5:$C$2991,"Grayson Coulter",$Q$5:$Q$2991,Q1353,$AE$5:$AE$2991,"&lt;="&amp;AE1353,$R$5:$R$2991,"&lt;"&amp;R1353))</f>
        <v/>
      </c>
      <c r="AG1353" s="35">
        <f>IF(OR(C1353&lt;&gt;"Grayson Coulter",G1353&lt;'00_Control'!$B$7),"",--(AF1353&lt;5))</f>
        <v/>
      </c>
      <c r="AH1353" s="35">
        <f>IF(OR(C1353&lt;&gt;"Grayson Coulter",G1353&lt;'00_Control'!$B$7),"",--(AF1353&lt;10))</f>
        <v/>
      </c>
      <c r="AI1353" s="35">
        <f>IF(AND(C1353="Grayson Coulter",G1353&gt;='00_Control'!$B$7),"YES","NO")</f>
        <v/>
      </c>
      <c r="AJ1353" s="33" t="inlineStr">
        <is>
          <t>OK</t>
        </is>
      </c>
    </row>
    <row r="1354">
      <c r="A1354" s="33" t="inlineStr">
        <is>
          <t>SM001350</t>
        </is>
      </c>
      <c r="B1354" s="33" t="inlineStr">
        <is>
          <t>SW008</t>
        </is>
      </c>
      <c r="C1354" s="33" t="inlineStr">
        <is>
          <t>Jacob Whittle</t>
        </is>
      </c>
      <c r="D1354" s="33" t="inlineStr">
        <is>
          <t>SwimCloud</t>
        </is>
      </c>
      <c r="E1354" s="33" t="inlineStr">
        <is>
          <t>1133535</t>
        </is>
      </c>
      <c r="F1354" s="33" t="inlineStr">
        <is>
          <t>178820665</t>
        </is>
      </c>
      <c r="G1354" s="51" t="n">
        <v>46002</v>
      </c>
      <c r="H1354" s="33" t="inlineStr">
        <is>
          <t>Swim England National Winter Championships</t>
        </is>
      </c>
      <c r="I1354" s="33" t="inlineStr">
        <is>
          <t>369419</t>
        </is>
      </c>
      <c r="J1354" s="33" t="inlineStr"/>
      <c r="K1354" s="33" t="inlineStr">
        <is>
          <t>TIM</t>
        </is>
      </c>
      <c r="L1354" s="35">
        <f>IF(K1354="FIN",3,IF(OR(K1354="SEM",K1354="SEMI"),2,IF(OR(K1354="PRE",K1354="HEAT"),1,IF(V1354="YES",4,2))))</f>
        <v/>
      </c>
      <c r="M1354" s="33" t="inlineStr">
        <is>
          <t>SCM</t>
        </is>
      </c>
      <c r="N1354" s="33" t="n">
        <v>200</v>
      </c>
      <c r="O1354" s="33" t="inlineStr">
        <is>
          <t>Free</t>
        </is>
      </c>
      <c r="P1354" s="33" t="inlineStr">
        <is>
          <t>200 Free</t>
        </is>
      </c>
      <c r="Q1354" s="33" t="inlineStr">
        <is>
          <t>SCM_200_FREE</t>
        </is>
      </c>
      <c r="R1354" s="36" t="n">
        <v>104.29</v>
      </c>
      <c r="S1354" s="35">
        <f>IF(R1354="","",IF(R1354&gt;=60,INT(R1354/60)&amp;":"&amp;TEXT(MOD(R1354,60),"00.00"),TEXT(R1354,"0.00")))</f>
        <v/>
      </c>
      <c r="T1354" s="52">
        <f>IFERROR((G1354-INDEX('01_Swimmers'!$E$5:$E$22,MATCH(B1354,'01_Swimmers'!$A$5:$A$22,0)))/'00_Control'!$B$10,"")</f>
        <v/>
      </c>
      <c r="U1354" s="35">
        <f>IF(T1354="","",INT(T1354))</f>
        <v/>
      </c>
      <c r="V1354" s="33" t="inlineStr">
        <is>
          <t>NO</t>
        </is>
      </c>
      <c r="W1354" s="33" t="inlineStr">
        <is>
          <t>YES</t>
        </is>
      </c>
      <c r="X1354" s="33" t="inlineStr">
        <is>
          <t>NO</t>
        </is>
      </c>
      <c r="Y1354" s="33" t="n"/>
      <c r="Z1354" s="33" t="n"/>
      <c r="AA1354" s="33" t="inlineStr">
        <is>
          <t>6</t>
        </is>
      </c>
      <c r="AB1354" s="33" t="inlineStr">
        <is>
          <t>https://www.swimcloud.com/results/369419/event/258/?id=178820665#time178820665</t>
        </is>
      </c>
      <c r="AC1354" s="33" t="inlineStr">
        <is>
          <t>SwimCloud API v6 2026-10-08</t>
        </is>
      </c>
      <c r="AD1354" s="33" t="inlineStr">
        <is>
          <t>Jacob Whittle|2025-12-11|SCM|200|Free|104.29|Swim England National Winter Championships|TIM|False</t>
        </is>
      </c>
      <c r="AE1354" s="53">
        <f>G1354+L1354/1000+ROW()/1000000000</f>
        <v/>
      </c>
      <c r="AF1354" s="35">
        <f>IF(C1354&lt;&gt;"Grayson Coulter","",COUNTIFS($C$5:$C$2991,"Grayson Coulter",$Q$5:$Q$2991,Q1354,$AE$5:$AE$2991,"&lt;="&amp;AE1354,$R$5:$R$2991,"&lt;"&amp;R1354))</f>
        <v/>
      </c>
      <c r="AG1354" s="35">
        <f>IF(OR(C1354&lt;&gt;"Grayson Coulter",G1354&lt;'00_Control'!$B$7),"",--(AF1354&lt;5))</f>
        <v/>
      </c>
      <c r="AH1354" s="35">
        <f>IF(OR(C1354&lt;&gt;"Grayson Coulter",G1354&lt;'00_Control'!$B$7),"",--(AF1354&lt;10))</f>
        <v/>
      </c>
      <c r="AI1354" s="35">
        <f>IF(AND(C1354="Grayson Coulter",G1354&gt;='00_Control'!$B$7),"YES","NO")</f>
        <v/>
      </c>
      <c r="AJ1354" s="33" t="inlineStr">
        <is>
          <t>OK</t>
        </is>
      </c>
    </row>
    <row r="1355">
      <c r="A1355" s="33" t="inlineStr">
        <is>
          <t>SM001351</t>
        </is>
      </c>
      <c r="B1355" s="33" t="inlineStr">
        <is>
          <t>SW008</t>
        </is>
      </c>
      <c r="C1355" s="33" t="inlineStr">
        <is>
          <t>Jacob Whittle</t>
        </is>
      </c>
      <c r="D1355" s="33" t="inlineStr">
        <is>
          <t>SwimCloud</t>
        </is>
      </c>
      <c r="E1355" s="33" t="inlineStr">
        <is>
          <t>1133535</t>
        </is>
      </c>
      <c r="F1355" s="33" t="inlineStr">
        <is>
          <t>173895527</t>
        </is>
      </c>
      <c r="G1355" s="51" t="n">
        <v>46094</v>
      </c>
      <c r="H1355" s="33" t="inlineStr">
        <is>
          <t>Edinburgh International</t>
        </is>
      </c>
      <c r="I1355" s="33" t="inlineStr">
        <is>
          <t>382301</t>
        </is>
      </c>
      <c r="J1355" s="33" t="inlineStr"/>
      <c r="K1355" s="33" t="inlineStr">
        <is>
          <t>PRE</t>
        </is>
      </c>
      <c r="L1355" s="35">
        <f>IF(K1355="FIN",3,IF(OR(K1355="SEM",K1355="SEMI"),2,IF(OR(K1355="PRE",K1355="HEAT"),1,IF(V1355="YES",4,2))))</f>
        <v/>
      </c>
      <c r="M1355" s="33" t="inlineStr">
        <is>
          <t>LCM</t>
        </is>
      </c>
      <c r="N1355" s="33" t="n">
        <v>200</v>
      </c>
      <c r="O1355" s="33" t="inlineStr">
        <is>
          <t>Free</t>
        </is>
      </c>
      <c r="P1355" s="33" t="inlineStr">
        <is>
          <t>200 Free</t>
        </is>
      </c>
      <c r="Q1355" s="33" t="inlineStr">
        <is>
          <t>LCM_200_FREE</t>
        </is>
      </c>
      <c r="R1355" s="36" t="n">
        <v>112.42</v>
      </c>
      <c r="S1355" s="35">
        <f>IF(R1355="","",IF(R1355&gt;=60,INT(R1355/60)&amp;":"&amp;TEXT(MOD(R1355,60),"00.00"),TEXT(R1355,"0.00")))</f>
        <v/>
      </c>
      <c r="T1355" s="52">
        <f>IFERROR((G1355-INDEX('01_Swimmers'!$E$5:$E$22,MATCH(B1355,'01_Swimmers'!$A$5:$A$22,0)))/'00_Control'!$B$10,"")</f>
        <v/>
      </c>
      <c r="U1355" s="35">
        <f>IF(T1355="","",INT(T1355))</f>
        <v/>
      </c>
      <c r="V1355" s="33" t="inlineStr">
        <is>
          <t>NO</t>
        </is>
      </c>
      <c r="W1355" s="33" t="inlineStr">
        <is>
          <t>YES</t>
        </is>
      </c>
      <c r="X1355" s="33" t="inlineStr">
        <is>
          <t>NO</t>
        </is>
      </c>
      <c r="Y1355" s="33" t="n">
        <v>5</v>
      </c>
      <c r="Z1355" s="33" t="n">
        <v>3</v>
      </c>
      <c r="AA1355" s="33" t="inlineStr">
        <is>
          <t>20</t>
        </is>
      </c>
      <c r="AB1355" s="33" t="inlineStr">
        <is>
          <t>https://www.swimcloud.com/results/382301/event/105/?id=173895527#time173895527</t>
        </is>
      </c>
      <c r="AC1355" s="33" t="inlineStr">
        <is>
          <t>SwimCloud API v6 2026-10-08</t>
        </is>
      </c>
      <c r="AD1355" s="33" t="inlineStr">
        <is>
          <t>Jacob Whittle|2026-03-13|LCM|200|Free|112.42|Edinburgh International|PRE|False</t>
        </is>
      </c>
      <c r="AE1355" s="53">
        <f>G1355+L1355/1000+ROW()/1000000000</f>
        <v/>
      </c>
      <c r="AF1355" s="35">
        <f>IF(C1355&lt;&gt;"Grayson Coulter","",COUNTIFS($C$5:$C$2991,"Grayson Coulter",$Q$5:$Q$2991,Q1355,$AE$5:$AE$2991,"&lt;="&amp;AE1355,$R$5:$R$2991,"&lt;"&amp;R1355))</f>
        <v/>
      </c>
      <c r="AG1355" s="35">
        <f>IF(OR(C1355&lt;&gt;"Grayson Coulter",G1355&lt;'00_Control'!$B$7),"",--(AF1355&lt;5))</f>
        <v/>
      </c>
      <c r="AH1355" s="35">
        <f>IF(OR(C1355&lt;&gt;"Grayson Coulter",G1355&lt;'00_Control'!$B$7),"",--(AF1355&lt;10))</f>
        <v/>
      </c>
      <c r="AI1355" s="35">
        <f>IF(AND(C1355="Grayson Coulter",G1355&gt;='00_Control'!$B$7),"YES","NO")</f>
        <v/>
      </c>
      <c r="AJ1355" s="33" t="inlineStr">
        <is>
          <t>OK</t>
        </is>
      </c>
    </row>
    <row r="1356">
      <c r="A1356" s="33" t="inlineStr">
        <is>
          <t>SM001352</t>
        </is>
      </c>
      <c r="B1356" s="33" t="inlineStr">
        <is>
          <t>SW008</t>
        </is>
      </c>
      <c r="C1356" s="33" t="inlineStr">
        <is>
          <t>Jacob Whittle</t>
        </is>
      </c>
      <c r="D1356" s="33" t="inlineStr">
        <is>
          <t>SwimCloud</t>
        </is>
      </c>
      <c r="E1356" s="33" t="inlineStr">
        <is>
          <t>1133535</t>
        </is>
      </c>
      <c r="F1356" s="33" t="inlineStr">
        <is>
          <t>173894682</t>
        </is>
      </c>
      <c r="G1356" s="51" t="n">
        <v>46096</v>
      </c>
      <c r="H1356" s="33" t="inlineStr">
        <is>
          <t>Edinburgh International</t>
        </is>
      </c>
      <c r="I1356" s="33" t="inlineStr">
        <is>
          <t>382301</t>
        </is>
      </c>
      <c r="J1356" s="33" t="inlineStr"/>
      <c r="K1356" s="33" t="inlineStr">
        <is>
          <t>PRE</t>
        </is>
      </c>
      <c r="L1356" s="35">
        <f>IF(K1356="FIN",3,IF(OR(K1356="SEM",K1356="SEMI"),2,IF(OR(K1356="PRE",K1356="HEAT"),1,IF(V1356="YES",4,2))))</f>
        <v/>
      </c>
      <c r="M1356" s="33" t="inlineStr">
        <is>
          <t>LCM</t>
        </is>
      </c>
      <c r="N1356" s="33" t="n">
        <v>100</v>
      </c>
      <c r="O1356" s="33" t="inlineStr">
        <is>
          <t>Free</t>
        </is>
      </c>
      <c r="P1356" s="33" t="inlineStr">
        <is>
          <t>100 Free</t>
        </is>
      </c>
      <c r="Q1356" s="33" t="inlineStr">
        <is>
          <t>LCM_100_FREE</t>
        </is>
      </c>
      <c r="R1356" s="36" t="n">
        <v>50.16</v>
      </c>
      <c r="S1356" s="35">
        <f>IF(R1356="","",IF(R1356&gt;=60,INT(R1356/60)&amp;":"&amp;TEXT(MOD(R1356,60),"00.00"),TEXT(R1356,"0.00")))</f>
        <v/>
      </c>
      <c r="T1356" s="52">
        <f>IFERROR((G1356-INDEX('01_Swimmers'!$E$5:$E$22,MATCH(B1356,'01_Swimmers'!$A$5:$A$22,0)))/'00_Control'!$B$10,"")</f>
        <v/>
      </c>
      <c r="U1356" s="35">
        <f>IF(T1356="","",INT(T1356))</f>
        <v/>
      </c>
      <c r="V1356" s="33" t="inlineStr">
        <is>
          <t>NO</t>
        </is>
      </c>
      <c r="W1356" s="33" t="inlineStr">
        <is>
          <t>YES</t>
        </is>
      </c>
      <c r="X1356" s="33" t="inlineStr">
        <is>
          <t>NO</t>
        </is>
      </c>
      <c r="Y1356" s="33" t="n">
        <v>6</v>
      </c>
      <c r="Z1356" s="33" t="n">
        <v>5</v>
      </c>
      <c r="AA1356" s="33" t="inlineStr">
        <is>
          <t>10</t>
        </is>
      </c>
      <c r="AB1356" s="33" t="inlineStr">
        <is>
          <t>https://www.swimcloud.com/results/382301/event/304/?id=173894682#time173894682</t>
        </is>
      </c>
      <c r="AC1356" s="33" t="inlineStr">
        <is>
          <t>SwimCloud API v6 2026-10-08</t>
        </is>
      </c>
      <c r="AD1356" s="33" t="inlineStr">
        <is>
          <t>Jacob Whittle|2026-03-15|LCM|100|Free|50.16|Edinburgh International|PRE|False</t>
        </is>
      </c>
      <c r="AE1356" s="53">
        <f>G1356+L1356/1000+ROW()/1000000000</f>
        <v/>
      </c>
      <c r="AF1356" s="35">
        <f>IF(C1356&lt;&gt;"Grayson Coulter","",COUNTIFS($C$5:$C$2991,"Grayson Coulter",$Q$5:$Q$2991,Q1356,$AE$5:$AE$2991,"&lt;="&amp;AE1356,$R$5:$R$2991,"&lt;"&amp;R1356))</f>
        <v/>
      </c>
      <c r="AG1356" s="35">
        <f>IF(OR(C1356&lt;&gt;"Grayson Coulter",G1356&lt;'00_Control'!$B$7),"",--(AF1356&lt;5))</f>
        <v/>
      </c>
      <c r="AH1356" s="35">
        <f>IF(OR(C1356&lt;&gt;"Grayson Coulter",G1356&lt;'00_Control'!$B$7),"",--(AF1356&lt;10))</f>
        <v/>
      </c>
      <c r="AI1356" s="35">
        <f>IF(AND(C1356="Grayson Coulter",G1356&gt;='00_Control'!$B$7),"YES","NO")</f>
        <v/>
      </c>
      <c r="AJ1356" s="33" t="inlineStr">
        <is>
          <t>OK</t>
        </is>
      </c>
    </row>
    <row r="1357">
      <c r="A1357" s="33" t="inlineStr">
        <is>
          <t>SM001353</t>
        </is>
      </c>
      <c r="B1357" s="33" t="inlineStr">
        <is>
          <t>SW008</t>
        </is>
      </c>
      <c r="C1357" s="33" t="inlineStr">
        <is>
          <t>Jacob Whittle</t>
        </is>
      </c>
      <c r="D1357" s="33" t="inlineStr">
        <is>
          <t>SwimCloud</t>
        </is>
      </c>
      <c r="E1357" s="33" t="inlineStr">
        <is>
          <t>1133535</t>
        </is>
      </c>
      <c r="F1357" s="33" t="inlineStr">
        <is>
          <t>173894683</t>
        </is>
      </c>
      <c r="G1357" s="51" t="n">
        <v>46096</v>
      </c>
      <c r="H1357" s="33" t="inlineStr">
        <is>
          <t>Edinburgh International</t>
        </is>
      </c>
      <c r="I1357" s="33" t="inlineStr">
        <is>
          <t>382301</t>
        </is>
      </c>
      <c r="J1357" s="33" t="inlineStr"/>
      <c r="K1357" s="33" t="inlineStr">
        <is>
          <t>FIN</t>
        </is>
      </c>
      <c r="L1357" s="35">
        <f>IF(K1357="FIN",3,IF(OR(K1357="SEM",K1357="SEMI"),2,IF(OR(K1357="PRE",K1357="HEAT"),1,IF(V1357="YES",4,2))))</f>
        <v/>
      </c>
      <c r="M1357" s="33" t="inlineStr">
        <is>
          <t>LCM</t>
        </is>
      </c>
      <c r="N1357" s="33" t="n">
        <v>100</v>
      </c>
      <c r="O1357" s="33" t="inlineStr">
        <is>
          <t>Free</t>
        </is>
      </c>
      <c r="P1357" s="33" t="inlineStr">
        <is>
          <t>100 Free</t>
        </is>
      </c>
      <c r="Q1357" s="33" t="inlineStr">
        <is>
          <t>LCM_100_FREE</t>
        </is>
      </c>
      <c r="R1357" s="36" t="n">
        <v>49.98</v>
      </c>
      <c r="S1357" s="35">
        <f>IF(R1357="","",IF(R1357&gt;=60,INT(R1357/60)&amp;":"&amp;TEXT(MOD(R1357,60),"00.00"),TEXT(R1357,"0.00")))</f>
        <v/>
      </c>
      <c r="T1357" s="52">
        <f>IFERROR((G1357-INDEX('01_Swimmers'!$E$5:$E$22,MATCH(B1357,'01_Swimmers'!$A$5:$A$22,0)))/'00_Control'!$B$10,"")</f>
        <v/>
      </c>
      <c r="U1357" s="35">
        <f>IF(T1357="","",INT(T1357))</f>
        <v/>
      </c>
      <c r="V1357" s="33" t="inlineStr">
        <is>
          <t>NO</t>
        </is>
      </c>
      <c r="W1357" s="33" t="inlineStr">
        <is>
          <t>YES</t>
        </is>
      </c>
      <c r="X1357" s="33" t="inlineStr">
        <is>
          <t>NO</t>
        </is>
      </c>
      <c r="Y1357" s="33" t="n">
        <v>2</v>
      </c>
      <c r="Z1357" s="33" t="n">
        <v>5</v>
      </c>
      <c r="AA1357" s="33" t="inlineStr">
        <is>
          <t>10</t>
        </is>
      </c>
      <c r="AB1357" s="33" t="inlineStr">
        <is>
          <t>https://www.swimcloud.com/results/382301/event/304/?id=173894683#time173894683</t>
        </is>
      </c>
      <c r="AC1357" s="33" t="inlineStr">
        <is>
          <t>SwimCloud API v6 2026-10-08</t>
        </is>
      </c>
      <c r="AD1357" s="33" t="inlineStr">
        <is>
          <t>Jacob Whittle|2026-03-15|LCM|100|Free|49.98|Edinburgh International|FIN|False</t>
        </is>
      </c>
      <c r="AE1357" s="53">
        <f>G1357+L1357/1000+ROW()/1000000000</f>
        <v/>
      </c>
      <c r="AF1357" s="35">
        <f>IF(C1357&lt;&gt;"Grayson Coulter","",COUNTIFS($C$5:$C$2991,"Grayson Coulter",$Q$5:$Q$2991,Q1357,$AE$5:$AE$2991,"&lt;="&amp;AE1357,$R$5:$R$2991,"&lt;"&amp;R1357))</f>
        <v/>
      </c>
      <c r="AG1357" s="35">
        <f>IF(OR(C1357&lt;&gt;"Grayson Coulter",G1357&lt;'00_Control'!$B$7),"",--(AF1357&lt;5))</f>
        <v/>
      </c>
      <c r="AH1357" s="35">
        <f>IF(OR(C1357&lt;&gt;"Grayson Coulter",G1357&lt;'00_Control'!$B$7),"",--(AF1357&lt;10))</f>
        <v/>
      </c>
      <c r="AI1357" s="35">
        <f>IF(AND(C1357="Grayson Coulter",G1357&gt;='00_Control'!$B$7),"YES","NO")</f>
        <v/>
      </c>
      <c r="AJ1357" s="33" t="inlineStr">
        <is>
          <t>OK</t>
        </is>
      </c>
    </row>
    <row r="1358">
      <c r="A1358" s="33" t="inlineStr">
        <is>
          <t>SM001354</t>
        </is>
      </c>
      <c r="B1358" s="33" t="inlineStr">
        <is>
          <t>SW008</t>
        </is>
      </c>
      <c r="C1358" s="33" t="inlineStr">
        <is>
          <t>Jacob Whittle</t>
        </is>
      </c>
      <c r="D1358" s="33" t="inlineStr">
        <is>
          <t>SwimCloud</t>
        </is>
      </c>
      <c r="E1358" s="33" t="inlineStr">
        <is>
          <t>1133535</t>
        </is>
      </c>
      <c r="F1358" s="33" t="inlineStr">
        <is>
          <t>182774592</t>
        </is>
      </c>
      <c r="G1358" s="51" t="n">
        <v>46230</v>
      </c>
      <c r="H1358" s="33" t="inlineStr">
        <is>
          <t>XXIII Commonwealth Games</t>
        </is>
      </c>
      <c r="I1358" s="33" t="inlineStr">
        <is>
          <t>389322</t>
        </is>
      </c>
      <c r="J1358" s="33" t="inlineStr"/>
      <c r="K1358" s="33" t="inlineStr">
        <is>
          <t>PRE</t>
        </is>
      </c>
      <c r="L1358" s="35">
        <f>IF(K1358="FIN",3,IF(OR(K1358="SEM",K1358="SEMI"),2,IF(OR(K1358="PRE",K1358="HEAT"),1,IF(V1358="YES",4,2))))</f>
        <v/>
      </c>
      <c r="M1358" s="33" t="inlineStr">
        <is>
          <t>LCM</t>
        </is>
      </c>
      <c r="N1358" s="33" t="n">
        <v>100</v>
      </c>
      <c r="O1358" s="33" t="inlineStr">
        <is>
          <t>Free</t>
        </is>
      </c>
      <c r="P1358" s="33" t="inlineStr">
        <is>
          <t>100 Free</t>
        </is>
      </c>
      <c r="Q1358" s="33" t="inlineStr">
        <is>
          <t>LCM_100_FREE</t>
        </is>
      </c>
      <c r="R1358" s="36" t="n">
        <v>48.78</v>
      </c>
      <c r="S1358" s="35">
        <f>IF(R1358="","",IF(R1358&gt;=60,INT(R1358/60)&amp;":"&amp;TEXT(MOD(R1358,60),"00.00"),TEXT(R1358,"0.00")))</f>
        <v/>
      </c>
      <c r="T1358" s="52">
        <f>IFERROR((G1358-INDEX('01_Swimmers'!$E$5:$E$22,MATCH(B1358,'01_Swimmers'!$A$5:$A$22,0)))/'00_Control'!$B$10,"")</f>
        <v/>
      </c>
      <c r="U1358" s="35">
        <f>IF(T1358="","",INT(T1358))</f>
        <v/>
      </c>
      <c r="V1358" s="33" t="inlineStr">
        <is>
          <t>NO</t>
        </is>
      </c>
      <c r="W1358" s="33" t="inlineStr">
        <is>
          <t>YES</t>
        </is>
      </c>
      <c r="X1358" s="33" t="inlineStr">
        <is>
          <t>NO</t>
        </is>
      </c>
      <c r="Y1358" s="33" t="n"/>
      <c r="Z1358" s="33" t="n"/>
      <c r="AA1358" s="33" t="inlineStr">
        <is>
          <t>4</t>
        </is>
      </c>
      <c r="AB1358" s="33" t="inlineStr">
        <is>
          <t>https://www.swimcloud.com/results/389322/event/25/?id=182774592#time182774592</t>
        </is>
      </c>
      <c r="AC1358" s="33" t="inlineStr">
        <is>
          <t>SwimCloud API v6 2026-10-08</t>
        </is>
      </c>
      <c r="AD1358" s="33" t="inlineStr">
        <is>
          <t>Jacob Whittle|2026-07-27|LCM|100|Free|48.78|XXIII Commonwealth Games|PRE|False</t>
        </is>
      </c>
      <c r="AE1358" s="53">
        <f>G1358+L1358/1000+ROW()/1000000000</f>
        <v/>
      </c>
      <c r="AF1358" s="35">
        <f>IF(C1358&lt;&gt;"Grayson Coulter","",COUNTIFS($C$5:$C$2991,"Grayson Coulter",$Q$5:$Q$2991,Q1358,$AE$5:$AE$2991,"&lt;="&amp;AE1358,$R$5:$R$2991,"&lt;"&amp;R1358))</f>
        <v/>
      </c>
      <c r="AG1358" s="35">
        <f>IF(OR(C1358&lt;&gt;"Grayson Coulter",G1358&lt;'00_Control'!$B$7),"",--(AF1358&lt;5))</f>
        <v/>
      </c>
      <c r="AH1358" s="35">
        <f>IF(OR(C1358&lt;&gt;"Grayson Coulter",G1358&lt;'00_Control'!$B$7),"",--(AF1358&lt;10))</f>
        <v/>
      </c>
      <c r="AI1358" s="35">
        <f>IF(AND(C1358="Grayson Coulter",G1358&gt;='00_Control'!$B$7),"YES","NO")</f>
        <v/>
      </c>
      <c r="AJ1358" s="33" t="inlineStr">
        <is>
          <t>OK</t>
        </is>
      </c>
    </row>
    <row r="1359">
      <c r="A1359" s="33" t="inlineStr">
        <is>
          <t>SM001355</t>
        </is>
      </c>
      <c r="B1359" s="33" t="inlineStr">
        <is>
          <t>SW008</t>
        </is>
      </c>
      <c r="C1359" s="33" t="inlineStr">
        <is>
          <t>Jacob Whittle</t>
        </is>
      </c>
      <c r="D1359" s="33" t="inlineStr">
        <is>
          <t>SwimCloud</t>
        </is>
      </c>
      <c r="E1359" s="33" t="inlineStr">
        <is>
          <t>1133535</t>
        </is>
      </c>
      <c r="F1359" s="33" t="inlineStr">
        <is>
          <t>182775603</t>
        </is>
      </c>
      <c r="G1359" s="51" t="n">
        <v>46234</v>
      </c>
      <c r="H1359" s="33" t="inlineStr">
        <is>
          <t>XXIII Commonwealth Games</t>
        </is>
      </c>
      <c r="I1359" s="33" t="inlineStr">
        <is>
          <t>389322</t>
        </is>
      </c>
      <c r="J1359" s="33" t="inlineStr"/>
      <c r="K1359" s="33" t="inlineStr">
        <is>
          <t>SEM</t>
        </is>
      </c>
      <c r="L1359" s="35">
        <f>IF(K1359="FIN",3,IF(OR(K1359="SEM",K1359="SEMI"),2,IF(OR(K1359="PRE",K1359="HEAT"),1,IF(V1359="YES",4,2))))</f>
        <v/>
      </c>
      <c r="M1359" s="33" t="inlineStr">
        <is>
          <t>LCM</t>
        </is>
      </c>
      <c r="N1359" s="33" t="n">
        <v>100</v>
      </c>
      <c r="O1359" s="33" t="inlineStr">
        <is>
          <t>Free</t>
        </is>
      </c>
      <c r="P1359" s="33" t="inlineStr">
        <is>
          <t>100 Free</t>
        </is>
      </c>
      <c r="Q1359" s="33" t="inlineStr">
        <is>
          <t>LCM_100_FREE</t>
        </is>
      </c>
      <c r="R1359" s="36" t="n">
        <v>48.6</v>
      </c>
      <c r="S1359" s="35">
        <f>IF(R1359="","",IF(R1359&gt;=60,INT(R1359/60)&amp;":"&amp;TEXT(MOD(R1359,60),"00.00"),TEXT(R1359,"0.00")))</f>
        <v/>
      </c>
      <c r="T1359" s="52">
        <f>IFERROR((G1359-INDEX('01_Swimmers'!$E$5:$E$22,MATCH(B1359,'01_Swimmers'!$A$5:$A$22,0)))/'00_Control'!$B$10,"")</f>
        <v/>
      </c>
      <c r="U1359" s="35">
        <f>IF(T1359="","",INT(T1359))</f>
        <v/>
      </c>
      <c r="V1359" s="33" t="inlineStr">
        <is>
          <t>NO</t>
        </is>
      </c>
      <c r="W1359" s="33" t="inlineStr">
        <is>
          <t>YES</t>
        </is>
      </c>
      <c r="X1359" s="33" t="inlineStr">
        <is>
          <t>NO</t>
        </is>
      </c>
      <c r="Y1359" s="33" t="n">
        <v>1</v>
      </c>
      <c r="Z1359" s="33" t="n">
        <v>5</v>
      </c>
      <c r="AA1359" s="33" t="inlineStr">
        <is>
          <t>7</t>
        </is>
      </c>
      <c r="AB1359" s="33" t="inlineStr">
        <is>
          <t>https://www.swimcloud.com/results/389322/event/25/?id=182775603#time182775603</t>
        </is>
      </c>
      <c r="AC1359" s="33" t="inlineStr">
        <is>
          <t>SwimCloud API v6 2026-10-08</t>
        </is>
      </c>
      <c r="AD1359" s="33" t="inlineStr">
        <is>
          <t>Jacob Whittle|2026-07-31|LCM|100|Free|48.6|XXIII Commonwealth Games|SEM|False</t>
        </is>
      </c>
      <c r="AE1359" s="53">
        <f>G1359+L1359/1000+ROW()/1000000000</f>
        <v/>
      </c>
      <c r="AF1359" s="35">
        <f>IF(C1359&lt;&gt;"Grayson Coulter","",COUNTIFS($C$5:$C$2991,"Grayson Coulter",$Q$5:$Q$2991,Q1359,$AE$5:$AE$2991,"&lt;="&amp;AE1359,$R$5:$R$2991,"&lt;"&amp;R1359))</f>
        <v/>
      </c>
      <c r="AG1359" s="35">
        <f>IF(OR(C1359&lt;&gt;"Grayson Coulter",G1359&lt;'00_Control'!$B$7),"",--(AF1359&lt;5))</f>
        <v/>
      </c>
      <c r="AH1359" s="35">
        <f>IF(OR(C1359&lt;&gt;"Grayson Coulter",G1359&lt;'00_Control'!$B$7),"",--(AF1359&lt;10))</f>
        <v/>
      </c>
      <c r="AI1359" s="35">
        <f>IF(AND(C1359="Grayson Coulter",G1359&gt;='00_Control'!$B$7),"YES","NO")</f>
        <v/>
      </c>
      <c r="AJ1359" s="33" t="inlineStr">
        <is>
          <t>OK</t>
        </is>
      </c>
    </row>
    <row r="1360">
      <c r="A1360" s="33" t="inlineStr">
        <is>
          <t>SM001356</t>
        </is>
      </c>
      <c r="B1360" s="33" t="inlineStr">
        <is>
          <t>SW008</t>
        </is>
      </c>
      <c r="C1360" s="33" t="inlineStr">
        <is>
          <t>Jacob Whittle</t>
        </is>
      </c>
      <c r="D1360" s="33" t="inlineStr">
        <is>
          <t>SwimCloud</t>
        </is>
      </c>
      <c r="E1360" s="33" t="inlineStr">
        <is>
          <t>1133535</t>
        </is>
      </c>
      <c r="F1360" s="33" t="inlineStr">
        <is>
          <t>182782981</t>
        </is>
      </c>
      <c r="G1360" s="51" t="n">
        <v>46237</v>
      </c>
      <c r="H1360" s="33" t="inlineStr">
        <is>
          <t>XXIII Commonwealth Games</t>
        </is>
      </c>
      <c r="I1360" s="33" t="inlineStr">
        <is>
          <t>389322</t>
        </is>
      </c>
      <c r="J1360" s="33" t="inlineStr"/>
      <c r="K1360" s="33" t="inlineStr">
        <is>
          <t>FIN</t>
        </is>
      </c>
      <c r="L1360" s="35">
        <f>IF(K1360="FIN",3,IF(OR(K1360="SEM",K1360="SEMI"),2,IF(OR(K1360="PRE",K1360="HEAT"),1,IF(V1360="YES",4,2))))</f>
        <v/>
      </c>
      <c r="M1360" s="33" t="inlineStr">
        <is>
          <t>LCM</t>
        </is>
      </c>
      <c r="N1360" s="33" t="n">
        <v>100</v>
      </c>
      <c r="O1360" s="33" t="inlineStr">
        <is>
          <t>Free</t>
        </is>
      </c>
      <c r="P1360" s="33" t="inlineStr">
        <is>
          <t>100 Free</t>
        </is>
      </c>
      <c r="Q1360" s="33" t="inlineStr">
        <is>
          <t>LCM_100_FREE</t>
        </is>
      </c>
      <c r="R1360" s="36" t="n">
        <v>48.76</v>
      </c>
      <c r="S1360" s="35">
        <f>IF(R1360="","",IF(R1360&gt;=60,INT(R1360/60)&amp;":"&amp;TEXT(MOD(R1360,60),"00.00"),TEXT(R1360,"0.00")))</f>
        <v/>
      </c>
      <c r="T1360" s="52">
        <f>IFERROR((G1360-INDEX('01_Swimmers'!$E$5:$E$22,MATCH(B1360,'01_Swimmers'!$A$5:$A$22,0)))/'00_Control'!$B$10,"")</f>
        <v/>
      </c>
      <c r="U1360" s="35">
        <f>IF(T1360="","",INT(T1360))</f>
        <v/>
      </c>
      <c r="V1360" s="33" t="inlineStr">
        <is>
          <t>NO</t>
        </is>
      </c>
      <c r="W1360" s="33" t="inlineStr">
        <is>
          <t>YES</t>
        </is>
      </c>
      <c r="X1360" s="33" t="inlineStr">
        <is>
          <t>NO</t>
        </is>
      </c>
      <c r="Y1360" s="33" t="n">
        <v>1</v>
      </c>
      <c r="Z1360" s="33" t="n">
        <v>1</v>
      </c>
      <c r="AA1360" s="33" t="inlineStr">
        <is>
          <t>7</t>
        </is>
      </c>
      <c r="AB1360" s="33" t="inlineStr">
        <is>
          <t>https://www.swimcloud.com/results/389322/event/25/?id=182782981#time182782981</t>
        </is>
      </c>
      <c r="AC1360" s="33" t="inlineStr">
        <is>
          <t>SwimCloud API v6 2026-10-08</t>
        </is>
      </c>
      <c r="AD1360" s="33" t="inlineStr">
        <is>
          <t>Jacob Whittle|2026-08-03|LCM|100|Free|48.76|XXIII Commonwealth Games|FIN|False</t>
        </is>
      </c>
      <c r="AE1360" s="53">
        <f>G1360+L1360/1000+ROW()/1000000000</f>
        <v/>
      </c>
      <c r="AF1360" s="35">
        <f>IF(C1360&lt;&gt;"Grayson Coulter","",COUNTIFS($C$5:$C$2991,"Grayson Coulter",$Q$5:$Q$2991,Q1360,$AE$5:$AE$2991,"&lt;="&amp;AE1360,$R$5:$R$2991,"&lt;"&amp;R1360))</f>
        <v/>
      </c>
      <c r="AG1360" s="35">
        <f>IF(OR(C1360&lt;&gt;"Grayson Coulter",G1360&lt;'00_Control'!$B$7),"",--(AF1360&lt;5))</f>
        <v/>
      </c>
      <c r="AH1360" s="35">
        <f>IF(OR(C1360&lt;&gt;"Grayson Coulter",G1360&lt;'00_Control'!$B$7),"",--(AF1360&lt;10))</f>
        <v/>
      </c>
      <c r="AI1360" s="35">
        <f>IF(AND(C1360="Grayson Coulter",G1360&gt;='00_Control'!$B$7),"YES","NO")</f>
        <v/>
      </c>
      <c r="AJ1360" s="33" t="inlineStr">
        <is>
          <t>OK</t>
        </is>
      </c>
    </row>
    <row r="1361">
      <c r="A1361" s="33" t="inlineStr">
        <is>
          <t>SM001357</t>
        </is>
      </c>
      <c r="B1361" s="33" t="inlineStr">
        <is>
          <t>SW008</t>
        </is>
      </c>
      <c r="C1361" s="33" t="inlineStr">
        <is>
          <t>Jacob Whittle</t>
        </is>
      </c>
      <c r="D1361" s="33" t="inlineStr">
        <is>
          <t>SwimCloud</t>
        </is>
      </c>
      <c r="E1361" s="33" t="inlineStr">
        <is>
          <t>1133535</t>
        </is>
      </c>
      <c r="F1361" s="33" t="inlineStr">
        <is>
          <t>184117815</t>
        </is>
      </c>
      <c r="G1361" s="51" t="n">
        <v>46245</v>
      </c>
      <c r="H1361" s="33" t="inlineStr">
        <is>
          <t>European Championships</t>
        </is>
      </c>
      <c r="I1361" s="33" t="inlineStr">
        <is>
          <t>390252</t>
        </is>
      </c>
      <c r="J1361" s="33" t="inlineStr"/>
      <c r="K1361" s="33" t="inlineStr">
        <is>
          <t>PRE</t>
        </is>
      </c>
      <c r="L1361" s="35">
        <f>IF(K1361="FIN",3,IF(OR(K1361="SEM",K1361="SEMI"),2,IF(OR(K1361="PRE",K1361="HEAT"),1,IF(V1361="YES",4,2))))</f>
        <v/>
      </c>
      <c r="M1361" s="33" t="inlineStr">
        <is>
          <t>LCM</t>
        </is>
      </c>
      <c r="N1361" s="33" t="n">
        <v>100</v>
      </c>
      <c r="O1361" s="33" t="inlineStr">
        <is>
          <t>Free</t>
        </is>
      </c>
      <c r="P1361" s="33" t="inlineStr">
        <is>
          <t>100 Free</t>
        </is>
      </c>
      <c r="Q1361" s="33" t="inlineStr">
        <is>
          <t>LCM_100_FREE</t>
        </is>
      </c>
      <c r="R1361" s="36" t="n">
        <v>49.08</v>
      </c>
      <c r="S1361" s="35">
        <f>IF(R1361="","",IF(R1361&gt;=60,INT(R1361/60)&amp;":"&amp;TEXT(MOD(R1361,60),"00.00"),TEXT(R1361,"0.00")))</f>
        <v/>
      </c>
      <c r="T1361" s="52">
        <f>IFERROR((G1361-INDEX('01_Swimmers'!$E$5:$E$22,MATCH(B1361,'01_Swimmers'!$A$5:$A$22,0)))/'00_Control'!$B$10,"")</f>
        <v/>
      </c>
      <c r="U1361" s="35">
        <f>IF(T1361="","",INT(T1361))</f>
        <v/>
      </c>
      <c r="V1361" s="33" t="inlineStr">
        <is>
          <t>NO</t>
        </is>
      </c>
      <c r="W1361" s="33" t="inlineStr">
        <is>
          <t>YES</t>
        </is>
      </c>
      <c r="X1361" s="33" t="inlineStr">
        <is>
          <t>NO</t>
        </is>
      </c>
      <c r="Y1361" s="33" t="n">
        <v>8</v>
      </c>
      <c r="Z1361" s="33" t="n">
        <v>9</v>
      </c>
      <c r="AA1361" s="33" t="inlineStr">
        <is>
          <t>34</t>
        </is>
      </c>
      <c r="AB1361" s="33" t="inlineStr">
        <is>
          <t>https://www.swimcloud.com/results/390252/event/10/?id=184117815#time184117815</t>
        </is>
      </c>
      <c r="AC1361" s="33" t="inlineStr">
        <is>
          <t>SwimCloud API v6 2026-10-08</t>
        </is>
      </c>
      <c r="AD1361" s="33" t="inlineStr">
        <is>
          <t>Jacob Whittle|2026-08-11|LCM|100|Free|49.08|European Championships|PRE|False</t>
        </is>
      </c>
      <c r="AE1361" s="53">
        <f>G1361+L1361/1000+ROW()/1000000000</f>
        <v/>
      </c>
      <c r="AF1361" s="35">
        <f>IF(C1361&lt;&gt;"Grayson Coulter","",COUNTIFS($C$5:$C$2991,"Grayson Coulter",$Q$5:$Q$2991,Q1361,$AE$5:$AE$2991,"&lt;="&amp;AE1361,$R$5:$R$2991,"&lt;"&amp;R1361))</f>
        <v/>
      </c>
      <c r="AG1361" s="35">
        <f>IF(OR(C1361&lt;&gt;"Grayson Coulter",G1361&lt;'00_Control'!$B$7),"",--(AF1361&lt;5))</f>
        <v/>
      </c>
      <c r="AH1361" s="35">
        <f>IF(OR(C1361&lt;&gt;"Grayson Coulter",G1361&lt;'00_Control'!$B$7),"",--(AF1361&lt;10))</f>
        <v/>
      </c>
      <c r="AI1361" s="35">
        <f>IF(AND(C1361="Grayson Coulter",G1361&gt;='00_Control'!$B$7),"YES","NO")</f>
        <v/>
      </c>
      <c r="AJ1361" s="33" t="inlineStr">
        <is>
          <t>OK</t>
        </is>
      </c>
    </row>
    <row r="1362">
      <c r="A1362" s="33" t="inlineStr">
        <is>
          <t>SM001358</t>
        </is>
      </c>
      <c r="B1362" s="33" t="inlineStr">
        <is>
          <t>SW018</t>
        </is>
      </c>
      <c r="C1362" s="33" t="inlineStr">
        <is>
          <t>Kristof Milak</t>
        </is>
      </c>
      <c r="D1362" s="33" t="inlineStr">
        <is>
          <t>SwimCloud</t>
        </is>
      </c>
      <c r="E1362" s="33" t="inlineStr">
        <is>
          <t>508643</t>
        </is>
      </c>
      <c r="F1362" s="33" t="inlineStr">
        <is>
          <t>9819399</t>
        </is>
      </c>
      <c r="G1362" s="51" t="n">
        <v>42560</v>
      </c>
      <c r="H1362" s="33" t="inlineStr">
        <is>
          <t>Arena European Junior Swimming Championships</t>
        </is>
      </c>
      <c r="I1362" s="33" t="inlineStr">
        <is>
          <t>78573</t>
        </is>
      </c>
      <c r="J1362" s="33" t="inlineStr"/>
      <c r="K1362" s="33" t="inlineStr">
        <is>
          <t>PRE</t>
        </is>
      </c>
      <c r="L1362" s="35">
        <f>IF(K1362="FIN",3,IF(OR(K1362="SEM",K1362="SEMI"),2,IF(OR(K1362="PRE",K1362="HEAT"),1,IF(V1362="YES",4,2))))</f>
        <v/>
      </c>
      <c r="M1362" s="33" t="inlineStr">
        <is>
          <t>LCM</t>
        </is>
      </c>
      <c r="N1362" s="33" t="n">
        <v>100</v>
      </c>
      <c r="O1362" s="33" t="inlineStr">
        <is>
          <t>Fly</t>
        </is>
      </c>
      <c r="P1362" s="33" t="inlineStr">
        <is>
          <t>100 Fly</t>
        </is>
      </c>
      <c r="Q1362" s="33" t="inlineStr">
        <is>
          <t>LCM_100_FLY</t>
        </is>
      </c>
      <c r="R1362" s="36" t="n">
        <v>53.17</v>
      </c>
      <c r="S1362" s="35">
        <f>IF(R1362="","",IF(R1362&gt;=60,INT(R1362/60)&amp;":"&amp;TEXT(MOD(R1362,60),"00.00"),TEXT(R1362,"0.00")))</f>
        <v/>
      </c>
      <c r="T1362" s="52">
        <f>IFERROR((G1362-INDEX('01_Swimmers'!$E$5:$E$22,MATCH(B1362,'01_Swimmers'!$A$5:$A$22,0)))/'00_Control'!$B$10,"")</f>
        <v/>
      </c>
      <c r="U1362" s="35">
        <f>IF(T1362="","",INT(T1362))</f>
        <v/>
      </c>
      <c r="V1362" s="33" t="inlineStr">
        <is>
          <t>NO</t>
        </is>
      </c>
      <c r="W1362" s="33" t="inlineStr">
        <is>
          <t>YES</t>
        </is>
      </c>
      <c r="X1362" s="33" t="inlineStr">
        <is>
          <t>NO</t>
        </is>
      </c>
      <c r="Y1362" s="33" t="n">
        <v>73</v>
      </c>
      <c r="Z1362" s="33" t="n">
        <v>5</v>
      </c>
      <c r="AA1362" s="33" t="inlineStr">
        <is>
          <t>4</t>
        </is>
      </c>
      <c r="AB1362" s="33" t="inlineStr">
        <is>
          <t>https://www.swimcloud.com/results/78573/event/33/?id=9819399#time9819399</t>
        </is>
      </c>
      <c r="AC1362" s="33" t="inlineStr">
        <is>
          <t>SwimCloud API v6 2026-10-08</t>
        </is>
      </c>
      <c r="AD1362" s="33" t="inlineStr">
        <is>
          <t>Kristof Milak|2016-07-09|LCM|100|Fly|53.17|Arena European Junior Swimming Championships|PRE|False</t>
        </is>
      </c>
      <c r="AE1362" s="53">
        <f>G1362+L1362/1000+ROW()/1000000000</f>
        <v/>
      </c>
      <c r="AF1362" s="35">
        <f>IF(C1362&lt;&gt;"Grayson Coulter","",COUNTIFS($C$5:$C$2991,"Grayson Coulter",$Q$5:$Q$2991,Q1362,$AE$5:$AE$2991,"&lt;="&amp;AE1362,$R$5:$R$2991,"&lt;"&amp;R1362))</f>
        <v/>
      </c>
      <c r="AG1362" s="35">
        <f>IF(OR(C1362&lt;&gt;"Grayson Coulter",G1362&lt;'00_Control'!$B$7),"",--(AF1362&lt;5))</f>
        <v/>
      </c>
      <c r="AH1362" s="35">
        <f>IF(OR(C1362&lt;&gt;"Grayson Coulter",G1362&lt;'00_Control'!$B$7),"",--(AF1362&lt;10))</f>
        <v/>
      </c>
      <c r="AI1362" s="35">
        <f>IF(AND(C1362="Grayson Coulter",G1362&gt;='00_Control'!$B$7),"YES","NO")</f>
        <v/>
      </c>
      <c r="AJ1362" s="33" t="inlineStr">
        <is>
          <t>OK</t>
        </is>
      </c>
    </row>
    <row r="1363">
      <c r="A1363" s="33" t="inlineStr">
        <is>
          <t>SM001359</t>
        </is>
      </c>
      <c r="B1363" s="33" t="inlineStr">
        <is>
          <t>SW018</t>
        </is>
      </c>
      <c r="C1363" s="33" t="inlineStr">
        <is>
          <t>Kristof Milak</t>
        </is>
      </c>
      <c r="D1363" s="33" t="inlineStr">
        <is>
          <t>SwimCloud</t>
        </is>
      </c>
      <c r="E1363" s="33" t="inlineStr">
        <is>
          <t>508643</t>
        </is>
      </c>
      <c r="F1363" s="33" t="inlineStr">
        <is>
          <t>9819445</t>
        </is>
      </c>
      <c r="G1363" s="51" t="n">
        <v>42560</v>
      </c>
      <c r="H1363" s="33" t="inlineStr">
        <is>
          <t>Arena European Junior Swimming Championships</t>
        </is>
      </c>
      <c r="I1363" s="33" t="inlineStr">
        <is>
          <t>78573</t>
        </is>
      </c>
      <c r="J1363" s="33" t="inlineStr"/>
      <c r="K1363" s="33" t="inlineStr">
        <is>
          <t>FIN</t>
        </is>
      </c>
      <c r="L1363" s="35">
        <f>IF(K1363="FIN",3,IF(OR(K1363="SEM",K1363="SEMI"),2,IF(OR(K1363="PRE",K1363="HEAT"),1,IF(V1363="YES",4,2))))</f>
        <v/>
      </c>
      <c r="M1363" s="33" t="inlineStr">
        <is>
          <t>LCM</t>
        </is>
      </c>
      <c r="N1363" s="33" t="n">
        <v>100</v>
      </c>
      <c r="O1363" s="33" t="inlineStr">
        <is>
          <t>Fly</t>
        </is>
      </c>
      <c r="P1363" s="33" t="inlineStr">
        <is>
          <t>100 Fly</t>
        </is>
      </c>
      <c r="Q1363" s="33" t="inlineStr">
        <is>
          <t>LCM_100_FLY</t>
        </is>
      </c>
      <c r="R1363" s="36" t="n">
        <v>52.84</v>
      </c>
      <c r="S1363" s="35">
        <f>IF(R1363="","",IF(R1363&gt;=60,INT(R1363/60)&amp;":"&amp;TEXT(MOD(R1363,60),"00.00"),TEXT(R1363,"0.00")))</f>
        <v/>
      </c>
      <c r="T1363" s="52">
        <f>IFERROR((G1363-INDEX('01_Swimmers'!$E$5:$E$22,MATCH(B1363,'01_Swimmers'!$A$5:$A$22,0)))/'00_Control'!$B$10,"")</f>
        <v/>
      </c>
      <c r="U1363" s="35">
        <f>IF(T1363="","",INT(T1363))</f>
        <v/>
      </c>
      <c r="V1363" s="33" t="inlineStr">
        <is>
          <t>NO</t>
        </is>
      </c>
      <c r="W1363" s="33" t="inlineStr">
        <is>
          <t>YES</t>
        </is>
      </c>
      <c r="X1363" s="33" t="inlineStr">
        <is>
          <t>NO</t>
        </is>
      </c>
      <c r="Y1363" s="33" t="n">
        <v>81</v>
      </c>
      <c r="Z1363" s="33" t="n">
        <v>5</v>
      </c>
      <c r="AA1363" s="33" t="inlineStr"/>
      <c r="AB1363" s="33" t="inlineStr">
        <is>
          <t>https://www.swimcloud.com/results/78573/event/33/?id=9819445#time9819445</t>
        </is>
      </c>
      <c r="AC1363" s="33" t="inlineStr">
        <is>
          <t>SwimCloud API v6 2026-10-08</t>
        </is>
      </c>
      <c r="AD1363" s="33" t="inlineStr">
        <is>
          <t>Kristof Milak|2016-07-09|LCM|100|Fly|52.84|Arena European Junior Swimming Championships|FIN|False</t>
        </is>
      </c>
      <c r="AE1363" s="53">
        <f>G1363+L1363/1000+ROW()/1000000000</f>
        <v/>
      </c>
      <c r="AF1363" s="35">
        <f>IF(C1363&lt;&gt;"Grayson Coulter","",COUNTIFS($C$5:$C$2991,"Grayson Coulter",$Q$5:$Q$2991,Q1363,$AE$5:$AE$2991,"&lt;="&amp;AE1363,$R$5:$R$2991,"&lt;"&amp;R1363))</f>
        <v/>
      </c>
      <c r="AG1363" s="35">
        <f>IF(OR(C1363&lt;&gt;"Grayson Coulter",G1363&lt;'00_Control'!$B$7),"",--(AF1363&lt;5))</f>
        <v/>
      </c>
      <c r="AH1363" s="35">
        <f>IF(OR(C1363&lt;&gt;"Grayson Coulter",G1363&lt;'00_Control'!$B$7),"",--(AF1363&lt;10))</f>
        <v/>
      </c>
      <c r="AI1363" s="35">
        <f>IF(AND(C1363="Grayson Coulter",G1363&gt;='00_Control'!$B$7),"YES","NO")</f>
        <v/>
      </c>
      <c r="AJ1363" s="33" t="inlineStr">
        <is>
          <t>OK</t>
        </is>
      </c>
    </row>
    <row r="1364">
      <c r="A1364" s="33" t="inlineStr">
        <is>
          <t>SM001360</t>
        </is>
      </c>
      <c r="B1364" s="33" t="inlineStr">
        <is>
          <t>SW018</t>
        </is>
      </c>
      <c r="C1364" s="33" t="inlineStr">
        <is>
          <t>Kristof Milak</t>
        </is>
      </c>
      <c r="D1364" s="33" t="inlineStr">
        <is>
          <t>SwimCloud</t>
        </is>
      </c>
      <c r="E1364" s="33" t="inlineStr">
        <is>
          <t>508643</t>
        </is>
      </c>
      <c r="F1364" s="33" t="inlineStr">
        <is>
          <t>9819460</t>
        </is>
      </c>
      <c r="G1364" s="51" t="n">
        <v>42561</v>
      </c>
      <c r="H1364" s="33" t="inlineStr">
        <is>
          <t>Arena European Junior Swimming Championships</t>
        </is>
      </c>
      <c r="I1364" s="33" t="inlineStr">
        <is>
          <t>78573</t>
        </is>
      </c>
      <c r="J1364" s="33" t="inlineStr"/>
      <c r="K1364" s="33" t="inlineStr">
        <is>
          <t>FIN</t>
        </is>
      </c>
      <c r="L1364" s="35">
        <f>IF(K1364="FIN",3,IF(OR(K1364="SEM",K1364="SEMI"),2,IF(OR(K1364="PRE",K1364="HEAT"),1,IF(V1364="YES",4,2))))</f>
        <v/>
      </c>
      <c r="M1364" s="33" t="inlineStr">
        <is>
          <t>LCM</t>
        </is>
      </c>
      <c r="N1364" s="33" t="n">
        <v>100</v>
      </c>
      <c r="O1364" s="33" t="inlineStr">
        <is>
          <t>Fly</t>
        </is>
      </c>
      <c r="P1364" s="33" t="inlineStr">
        <is>
          <t>100 Fly</t>
        </is>
      </c>
      <c r="Q1364" s="33" t="inlineStr">
        <is>
          <t>LCM_100_FLY</t>
        </is>
      </c>
      <c r="R1364" s="36" t="n">
        <v>52.98</v>
      </c>
      <c r="S1364" s="35">
        <f>IF(R1364="","",IF(R1364&gt;=60,INT(R1364/60)&amp;":"&amp;TEXT(MOD(R1364,60),"00.00"),TEXT(R1364,"0.00")))</f>
        <v/>
      </c>
      <c r="T1364" s="52">
        <f>IFERROR((G1364-INDEX('01_Swimmers'!$E$5:$E$22,MATCH(B1364,'01_Swimmers'!$A$5:$A$22,0)))/'00_Control'!$B$10,"")</f>
        <v/>
      </c>
      <c r="U1364" s="35">
        <f>IF(T1364="","",INT(T1364))</f>
        <v/>
      </c>
      <c r="V1364" s="33" t="inlineStr">
        <is>
          <t>NO</t>
        </is>
      </c>
      <c r="W1364" s="33" t="inlineStr">
        <is>
          <t>YES</t>
        </is>
      </c>
      <c r="X1364" s="33" t="inlineStr">
        <is>
          <t>NO</t>
        </is>
      </c>
      <c r="Y1364" s="33" t="n">
        <v>106</v>
      </c>
      <c r="Z1364" s="33" t="n">
        <v>6</v>
      </c>
      <c r="AA1364" s="33" t="inlineStr">
        <is>
          <t>5</t>
        </is>
      </c>
      <c r="AB1364" s="33" t="inlineStr">
        <is>
          <t>https://www.swimcloud.com/results/78573/event/33/?id=9819460#time9819460</t>
        </is>
      </c>
      <c r="AC1364" s="33" t="inlineStr">
        <is>
          <t>SwimCloud API v6 2026-10-08</t>
        </is>
      </c>
      <c r="AD1364" s="33" t="inlineStr">
        <is>
          <t>Kristof Milak|2016-07-10|LCM|100|Fly|52.98|Arena European Junior Swimming Championships|FIN|False</t>
        </is>
      </c>
      <c r="AE1364" s="53">
        <f>G1364+L1364/1000+ROW()/1000000000</f>
        <v/>
      </c>
      <c r="AF1364" s="35">
        <f>IF(C1364&lt;&gt;"Grayson Coulter","",COUNTIFS($C$5:$C$2991,"Grayson Coulter",$Q$5:$Q$2991,Q1364,$AE$5:$AE$2991,"&lt;="&amp;AE1364,$R$5:$R$2991,"&lt;"&amp;R1364))</f>
        <v/>
      </c>
      <c r="AG1364" s="35">
        <f>IF(OR(C1364&lt;&gt;"Grayson Coulter",G1364&lt;'00_Control'!$B$7),"",--(AF1364&lt;5))</f>
        <v/>
      </c>
      <c r="AH1364" s="35">
        <f>IF(OR(C1364&lt;&gt;"Grayson Coulter",G1364&lt;'00_Control'!$B$7),"",--(AF1364&lt;10))</f>
        <v/>
      </c>
      <c r="AI1364" s="35">
        <f>IF(AND(C1364="Grayson Coulter",G1364&gt;='00_Control'!$B$7),"YES","NO")</f>
        <v/>
      </c>
      <c r="AJ1364" s="33" t="inlineStr">
        <is>
          <t>OK</t>
        </is>
      </c>
    </row>
    <row r="1365">
      <c r="A1365" s="33" t="inlineStr">
        <is>
          <t>SM001361</t>
        </is>
      </c>
      <c r="B1365" s="33" t="inlineStr">
        <is>
          <t>SW018</t>
        </is>
      </c>
      <c r="C1365" s="33" t="inlineStr">
        <is>
          <t>Kristof Milak</t>
        </is>
      </c>
      <c r="D1365" s="33" t="inlineStr">
        <is>
          <t>SwimCloud</t>
        </is>
      </c>
      <c r="E1365" s="33" t="inlineStr">
        <is>
          <t>508643</t>
        </is>
      </c>
      <c r="F1365" s="33" t="inlineStr">
        <is>
          <t>12264144</t>
        </is>
      </c>
      <c r="G1365" s="51" t="n">
        <v>42944</v>
      </c>
      <c r="H1365" s="33" t="inlineStr">
        <is>
          <t>17th FINA World Championships</t>
        </is>
      </c>
      <c r="I1365" s="33" t="inlineStr">
        <is>
          <t>96880</t>
        </is>
      </c>
      <c r="J1365" s="33" t="inlineStr"/>
      <c r="K1365" s="33" t="inlineStr">
        <is>
          <t>PRE</t>
        </is>
      </c>
      <c r="L1365" s="35">
        <f>IF(K1365="FIN",3,IF(OR(K1365="SEM",K1365="SEMI"),2,IF(OR(K1365="PRE",K1365="HEAT"),1,IF(V1365="YES",4,2))))</f>
        <v/>
      </c>
      <c r="M1365" s="33" t="inlineStr">
        <is>
          <t>LCM</t>
        </is>
      </c>
      <c r="N1365" s="33" t="n">
        <v>100</v>
      </c>
      <c r="O1365" s="33" t="inlineStr">
        <is>
          <t>Fly</t>
        </is>
      </c>
      <c r="P1365" s="33" t="inlineStr">
        <is>
          <t>100 Fly</t>
        </is>
      </c>
      <c r="Q1365" s="33" t="inlineStr">
        <is>
          <t>LCM_100_FLY</t>
        </is>
      </c>
      <c r="R1365" s="36" t="n">
        <v>51.23</v>
      </c>
      <c r="S1365" s="35">
        <f>IF(R1365="","",IF(R1365&gt;=60,INT(R1365/60)&amp;":"&amp;TEXT(MOD(R1365,60),"00.00"),TEXT(R1365,"0.00")))</f>
        <v/>
      </c>
      <c r="T1365" s="52">
        <f>IFERROR((G1365-INDEX('01_Swimmers'!$E$5:$E$22,MATCH(B1365,'01_Swimmers'!$A$5:$A$22,0)))/'00_Control'!$B$10,"")</f>
        <v/>
      </c>
      <c r="U1365" s="35">
        <f>IF(T1365="","",INT(T1365))</f>
        <v/>
      </c>
      <c r="V1365" s="33" t="inlineStr">
        <is>
          <t>NO</t>
        </is>
      </c>
      <c r="W1365" s="33" t="inlineStr">
        <is>
          <t>YES</t>
        </is>
      </c>
      <c r="X1365" s="33" t="inlineStr">
        <is>
          <t>NO</t>
        </is>
      </c>
      <c r="Y1365" s="33" t="n">
        <v>8</v>
      </c>
      <c r="Z1365" s="33" t="n">
        <v>6</v>
      </c>
      <c r="AA1365" s="33" t="inlineStr">
        <is>
          <t>5</t>
        </is>
      </c>
      <c r="AB1365" s="33" t="inlineStr">
        <is>
          <t>https://www.swimcloud.com/results/96880/event/30/?id=12264144#time12264144</t>
        </is>
      </c>
      <c r="AC1365" s="33" t="inlineStr">
        <is>
          <t>SwimCloud API v6 2026-10-08</t>
        </is>
      </c>
      <c r="AD1365" s="33" t="inlineStr">
        <is>
          <t>Kristof Milak|2017-07-28|LCM|100|Fly|51.23|17th FINA World Championships|PRE|False</t>
        </is>
      </c>
      <c r="AE1365" s="53">
        <f>G1365+L1365/1000+ROW()/1000000000</f>
        <v/>
      </c>
      <c r="AF1365" s="35">
        <f>IF(C1365&lt;&gt;"Grayson Coulter","",COUNTIFS($C$5:$C$2991,"Grayson Coulter",$Q$5:$Q$2991,Q1365,$AE$5:$AE$2991,"&lt;="&amp;AE1365,$R$5:$R$2991,"&lt;"&amp;R1365))</f>
        <v/>
      </c>
      <c r="AG1365" s="35">
        <f>IF(OR(C1365&lt;&gt;"Grayson Coulter",G1365&lt;'00_Control'!$B$7),"",--(AF1365&lt;5))</f>
        <v/>
      </c>
      <c r="AH1365" s="35">
        <f>IF(OR(C1365&lt;&gt;"Grayson Coulter",G1365&lt;'00_Control'!$B$7),"",--(AF1365&lt;10))</f>
        <v/>
      </c>
      <c r="AI1365" s="35">
        <f>IF(AND(C1365="Grayson Coulter",G1365&gt;='00_Control'!$B$7),"YES","NO")</f>
        <v/>
      </c>
      <c r="AJ1365" s="33" t="inlineStr">
        <is>
          <t>OK</t>
        </is>
      </c>
    </row>
    <row r="1366">
      <c r="A1366" s="33" t="inlineStr">
        <is>
          <t>SM001362</t>
        </is>
      </c>
      <c r="B1366" s="33" t="inlineStr">
        <is>
          <t>SW018</t>
        </is>
      </c>
      <c r="C1366" s="33" t="inlineStr">
        <is>
          <t>Kristof Milak</t>
        </is>
      </c>
      <c r="D1366" s="33" t="inlineStr">
        <is>
          <t>SwimCloud</t>
        </is>
      </c>
      <c r="E1366" s="33" t="inlineStr">
        <is>
          <t>508643</t>
        </is>
      </c>
      <c r="F1366" s="33" t="inlineStr">
        <is>
          <t>12264198</t>
        </is>
      </c>
      <c r="G1366" s="51" t="n">
        <v>42944</v>
      </c>
      <c r="H1366" s="33" t="inlineStr">
        <is>
          <t>17th FINA World Championships</t>
        </is>
      </c>
      <c r="I1366" s="33" t="inlineStr">
        <is>
          <t>96880</t>
        </is>
      </c>
      <c r="J1366" s="33" t="inlineStr"/>
      <c r="K1366" s="33" t="inlineStr">
        <is>
          <t>SEM</t>
        </is>
      </c>
      <c r="L1366" s="35">
        <f>IF(K1366="FIN",3,IF(OR(K1366="SEM",K1366="SEMI"),2,IF(OR(K1366="PRE",K1366="HEAT"),1,IF(V1366="YES",4,2))))</f>
        <v/>
      </c>
      <c r="M1366" s="33" t="inlineStr">
        <is>
          <t>LCM</t>
        </is>
      </c>
      <c r="N1366" s="33" t="n">
        <v>100</v>
      </c>
      <c r="O1366" s="33" t="inlineStr">
        <is>
          <t>Fly</t>
        </is>
      </c>
      <c r="P1366" s="33" t="inlineStr">
        <is>
          <t>100 Fly</t>
        </is>
      </c>
      <c r="Q1366" s="33" t="inlineStr">
        <is>
          <t>LCM_100_FLY</t>
        </is>
      </c>
      <c r="R1366" s="36" t="n">
        <v>50.77</v>
      </c>
      <c r="S1366" s="35">
        <f>IF(R1366="","",IF(R1366&gt;=60,INT(R1366/60)&amp;":"&amp;TEXT(MOD(R1366,60),"00.00"),TEXT(R1366,"0.00")))</f>
        <v/>
      </c>
      <c r="T1366" s="52">
        <f>IFERROR((G1366-INDEX('01_Swimmers'!$E$5:$E$22,MATCH(B1366,'01_Swimmers'!$A$5:$A$22,0)))/'00_Control'!$B$10,"")</f>
        <v/>
      </c>
      <c r="U1366" s="35">
        <f>IF(T1366="","",INT(T1366))</f>
        <v/>
      </c>
      <c r="V1366" s="33" t="inlineStr">
        <is>
          <t>NO</t>
        </is>
      </c>
      <c r="W1366" s="33" t="inlineStr">
        <is>
          <t>YES</t>
        </is>
      </c>
      <c r="X1366" s="33" t="inlineStr">
        <is>
          <t>NO</t>
        </is>
      </c>
      <c r="Y1366" s="33" t="n">
        <v>21</v>
      </c>
      <c r="Z1366" s="33" t="n">
        <v>3</v>
      </c>
      <c r="AA1366" s="33" t="inlineStr"/>
      <c r="AB1366" s="33" t="inlineStr">
        <is>
          <t>https://www.swimcloud.com/results/96880/event/30/?id=12264198#time12264198</t>
        </is>
      </c>
      <c r="AC1366" s="33" t="inlineStr">
        <is>
          <t>SwimCloud API v6 2026-10-08</t>
        </is>
      </c>
      <c r="AD1366" s="33" t="inlineStr">
        <is>
          <t>Kristof Milak|2017-07-28|LCM|100|Fly|50.77|17th FINA World Championships|SEM|False</t>
        </is>
      </c>
      <c r="AE1366" s="53">
        <f>G1366+L1366/1000+ROW()/1000000000</f>
        <v/>
      </c>
      <c r="AF1366" s="35">
        <f>IF(C1366&lt;&gt;"Grayson Coulter","",COUNTIFS($C$5:$C$2991,"Grayson Coulter",$Q$5:$Q$2991,Q1366,$AE$5:$AE$2991,"&lt;="&amp;AE1366,$R$5:$R$2991,"&lt;"&amp;R1366))</f>
        <v/>
      </c>
      <c r="AG1366" s="35">
        <f>IF(OR(C1366&lt;&gt;"Grayson Coulter",G1366&lt;'00_Control'!$B$7),"",--(AF1366&lt;5))</f>
        <v/>
      </c>
      <c r="AH1366" s="35">
        <f>IF(OR(C1366&lt;&gt;"Grayson Coulter",G1366&lt;'00_Control'!$B$7),"",--(AF1366&lt;10))</f>
        <v/>
      </c>
      <c r="AI1366" s="35">
        <f>IF(AND(C1366="Grayson Coulter",G1366&gt;='00_Control'!$B$7),"YES","NO")</f>
        <v/>
      </c>
      <c r="AJ1366" s="33" t="inlineStr">
        <is>
          <t>OK</t>
        </is>
      </c>
    </row>
    <row r="1367">
      <c r="A1367" s="33" t="inlineStr">
        <is>
          <t>SM001363</t>
        </is>
      </c>
      <c r="B1367" s="33" t="inlineStr">
        <is>
          <t>SW018</t>
        </is>
      </c>
      <c r="C1367" s="33" t="inlineStr">
        <is>
          <t>Kristof Milak</t>
        </is>
      </c>
      <c r="D1367" s="33" t="inlineStr">
        <is>
          <t>SwimCloud</t>
        </is>
      </c>
      <c r="E1367" s="33" t="inlineStr">
        <is>
          <t>508643</t>
        </is>
      </c>
      <c r="F1367" s="33" t="inlineStr">
        <is>
          <t>12264186</t>
        </is>
      </c>
      <c r="G1367" s="51" t="n">
        <v>42945</v>
      </c>
      <c r="H1367" s="33" t="inlineStr">
        <is>
          <t>17th FINA World Championships</t>
        </is>
      </c>
      <c r="I1367" s="33" t="inlineStr">
        <is>
          <t>96880</t>
        </is>
      </c>
      <c r="J1367" s="33" t="inlineStr"/>
      <c r="K1367" s="33" t="inlineStr">
        <is>
          <t>FIN</t>
        </is>
      </c>
      <c r="L1367" s="35">
        <f>IF(K1367="FIN",3,IF(OR(K1367="SEM",K1367="SEMI"),2,IF(OR(K1367="PRE",K1367="HEAT"),1,IF(V1367="YES",4,2))))</f>
        <v/>
      </c>
      <c r="M1367" s="33" t="inlineStr">
        <is>
          <t>LCM</t>
        </is>
      </c>
      <c r="N1367" s="33" t="n">
        <v>100</v>
      </c>
      <c r="O1367" s="33" t="inlineStr">
        <is>
          <t>Fly</t>
        </is>
      </c>
      <c r="P1367" s="33" t="inlineStr">
        <is>
          <t>100 Fly</t>
        </is>
      </c>
      <c r="Q1367" s="33" t="inlineStr">
        <is>
          <t>LCM_100_FLY</t>
        </is>
      </c>
      <c r="R1367" s="36" t="n">
        <v>50.62</v>
      </c>
      <c r="S1367" s="35">
        <f>IF(R1367="","",IF(R1367&gt;=60,INT(R1367/60)&amp;":"&amp;TEXT(MOD(R1367,60),"00.00"),TEXT(R1367,"0.00")))</f>
        <v/>
      </c>
      <c r="T1367" s="52">
        <f>IFERROR((G1367-INDEX('01_Swimmers'!$E$5:$E$22,MATCH(B1367,'01_Swimmers'!$A$5:$A$22,0)))/'00_Control'!$B$10,"")</f>
        <v/>
      </c>
      <c r="U1367" s="35">
        <f>IF(T1367="","",INT(T1367))</f>
        <v/>
      </c>
      <c r="V1367" s="33" t="inlineStr">
        <is>
          <t>NO</t>
        </is>
      </c>
      <c r="W1367" s="33" t="inlineStr">
        <is>
          <t>YES</t>
        </is>
      </c>
      <c r="X1367" s="33" t="inlineStr">
        <is>
          <t>NO</t>
        </is>
      </c>
      <c r="Y1367" s="33" t="n">
        <v>31</v>
      </c>
      <c r="Z1367" s="33" t="n">
        <v>3</v>
      </c>
      <c r="AA1367" s="33" t="inlineStr">
        <is>
          <t>2</t>
        </is>
      </c>
      <c r="AB1367" s="33" t="inlineStr">
        <is>
          <t>https://www.swimcloud.com/results/96880/event/30/?id=12264186#time12264186</t>
        </is>
      </c>
      <c r="AC1367" s="33" t="inlineStr">
        <is>
          <t>SwimCloud API v6 2026-10-08</t>
        </is>
      </c>
      <c r="AD1367" s="33" t="inlineStr">
        <is>
          <t>Kristof Milak|2017-07-29|LCM|100|Fly|50.62|17th FINA World Championships|FIN|False</t>
        </is>
      </c>
      <c r="AE1367" s="53">
        <f>G1367+L1367/1000+ROW()/1000000000</f>
        <v/>
      </c>
      <c r="AF1367" s="35">
        <f>IF(C1367&lt;&gt;"Grayson Coulter","",COUNTIFS($C$5:$C$2991,"Grayson Coulter",$Q$5:$Q$2991,Q1367,$AE$5:$AE$2991,"&lt;="&amp;AE1367,$R$5:$R$2991,"&lt;"&amp;R1367))</f>
        <v/>
      </c>
      <c r="AG1367" s="35">
        <f>IF(OR(C1367&lt;&gt;"Grayson Coulter",G1367&lt;'00_Control'!$B$7),"",--(AF1367&lt;5))</f>
        <v/>
      </c>
      <c r="AH1367" s="35">
        <f>IF(OR(C1367&lt;&gt;"Grayson Coulter",G1367&lt;'00_Control'!$B$7),"",--(AF1367&lt;10))</f>
        <v/>
      </c>
      <c r="AI1367" s="35">
        <f>IF(AND(C1367="Grayson Coulter",G1367&gt;='00_Control'!$B$7),"YES","NO")</f>
        <v/>
      </c>
      <c r="AJ1367" s="33" t="inlineStr">
        <is>
          <t>OK</t>
        </is>
      </c>
    </row>
    <row r="1368">
      <c r="A1368" s="33" t="inlineStr">
        <is>
          <t>SM001364</t>
        </is>
      </c>
      <c r="B1368" s="33" t="inlineStr">
        <is>
          <t>SW018</t>
        </is>
      </c>
      <c r="C1368" s="33" t="inlineStr">
        <is>
          <t>Kristof Milak</t>
        </is>
      </c>
      <c r="D1368" s="33" t="inlineStr">
        <is>
          <t>SwimCloud</t>
        </is>
      </c>
      <c r="E1368" s="33" t="inlineStr">
        <is>
          <t>508643</t>
        </is>
      </c>
      <c r="F1368" s="33" t="inlineStr">
        <is>
          <t>13992443</t>
        </is>
      </c>
      <c r="G1368" s="51" t="n">
        <v>42970</v>
      </c>
      <c r="H1368" s="33" t="inlineStr">
        <is>
          <t>6th FINA World Junior Championships</t>
        </is>
      </c>
      <c r="I1368" s="33" t="inlineStr">
        <is>
          <t>102575</t>
        </is>
      </c>
      <c r="J1368" s="33" t="inlineStr"/>
      <c r="K1368" s="33" t="inlineStr">
        <is>
          <t>FIN</t>
        </is>
      </c>
      <c r="L1368" s="35">
        <f>IF(K1368="FIN",3,IF(OR(K1368="SEM",K1368="SEMI"),2,IF(OR(K1368="PRE",K1368="HEAT"),1,IF(V1368="YES",4,2))))</f>
        <v/>
      </c>
      <c r="M1368" s="33" t="inlineStr">
        <is>
          <t>LCM</t>
        </is>
      </c>
      <c r="N1368" s="33" t="n">
        <v>100</v>
      </c>
      <c r="O1368" s="33" t="inlineStr">
        <is>
          <t>Free</t>
        </is>
      </c>
      <c r="P1368" s="33" t="inlineStr">
        <is>
          <t>100 Free</t>
        </is>
      </c>
      <c r="Q1368" s="33" t="inlineStr">
        <is>
          <t>LCM_100_FREE</t>
        </is>
      </c>
      <c r="R1368" s="36" t="n">
        <v>49.08</v>
      </c>
      <c r="S1368" s="35">
        <f>IF(R1368="","",IF(R1368&gt;=60,INT(R1368/60)&amp;":"&amp;TEXT(MOD(R1368,60),"00.00"),TEXT(R1368,"0.00")))</f>
        <v/>
      </c>
      <c r="T1368" s="52">
        <f>IFERROR((G1368-INDEX('01_Swimmers'!$E$5:$E$22,MATCH(B1368,'01_Swimmers'!$A$5:$A$22,0)))/'00_Control'!$B$10,"")</f>
        <v/>
      </c>
      <c r="U1368" s="35">
        <f>IF(T1368="","",INT(T1368))</f>
        <v/>
      </c>
      <c r="V1368" s="33" t="inlineStr">
        <is>
          <t>YES</t>
        </is>
      </c>
      <c r="W1368" s="33" t="inlineStr">
        <is>
          <t>YES</t>
        </is>
      </c>
      <c r="X1368" s="33" t="inlineStr">
        <is>
          <t>NO</t>
        </is>
      </c>
      <c r="Y1368" s="33" t="n">
        <v>31</v>
      </c>
      <c r="Z1368" s="33" t="n">
        <v>7</v>
      </c>
      <c r="AA1368" s="33" t="inlineStr"/>
      <c r="AB1368" s="33" t="inlineStr">
        <is>
          <t>https://www.swimcloud.com/results/102575/event/7/?id=13992233#time13992233</t>
        </is>
      </c>
      <c r="AC1368" s="33" t="inlineStr">
        <is>
          <t>SwimCloud API v6 2026-10-08</t>
        </is>
      </c>
      <c r="AD1368" s="33" t="inlineStr">
        <is>
          <t>Kristof Milak|2017-08-23|LCM|100|Free|49.08|6th FINA World Junior Championships|FIN|True</t>
        </is>
      </c>
      <c r="AE1368" s="53">
        <f>G1368+L1368/1000+ROW()/1000000000</f>
        <v/>
      </c>
      <c r="AF1368" s="35">
        <f>IF(C1368&lt;&gt;"Grayson Coulter","",COUNTIFS($C$5:$C$2991,"Grayson Coulter",$Q$5:$Q$2991,Q1368,$AE$5:$AE$2991,"&lt;="&amp;AE1368,$R$5:$R$2991,"&lt;"&amp;R1368))</f>
        <v/>
      </c>
      <c r="AG1368" s="35">
        <f>IF(OR(C1368&lt;&gt;"Grayson Coulter",G1368&lt;'00_Control'!$B$7),"",--(AF1368&lt;5))</f>
        <v/>
      </c>
      <c r="AH1368" s="35">
        <f>IF(OR(C1368&lt;&gt;"Grayson Coulter",G1368&lt;'00_Control'!$B$7),"",--(AF1368&lt;10))</f>
        <v/>
      </c>
      <c r="AI1368" s="35">
        <f>IF(AND(C1368="Grayson Coulter",G1368&gt;='00_Control'!$B$7),"YES","NO")</f>
        <v/>
      </c>
      <c r="AJ1368" s="33" t="inlineStr">
        <is>
          <t>OK</t>
        </is>
      </c>
    </row>
    <row r="1369">
      <c r="A1369" s="33" t="inlineStr">
        <is>
          <t>SM001365</t>
        </is>
      </c>
      <c r="B1369" s="33" t="inlineStr">
        <is>
          <t>SW018</t>
        </is>
      </c>
      <c r="C1369" s="33" t="inlineStr">
        <is>
          <t>Kristof Milak</t>
        </is>
      </c>
      <c r="D1369" s="33" t="inlineStr">
        <is>
          <t>SwimCloud</t>
        </is>
      </c>
      <c r="E1369" s="33" t="inlineStr">
        <is>
          <t>508643</t>
        </is>
      </c>
      <c r="F1369" s="33" t="inlineStr">
        <is>
          <t>13990468</t>
        </is>
      </c>
      <c r="G1369" s="51" t="n">
        <v>42971</v>
      </c>
      <c r="H1369" s="33" t="inlineStr">
        <is>
          <t>6th FINA World Junior Championships</t>
        </is>
      </c>
      <c r="I1369" s="33" t="inlineStr">
        <is>
          <t>102575</t>
        </is>
      </c>
      <c r="J1369" s="33" t="inlineStr"/>
      <c r="K1369" s="33" t="inlineStr">
        <is>
          <t>PRE</t>
        </is>
      </c>
      <c r="L1369" s="35">
        <f>IF(K1369="FIN",3,IF(OR(K1369="SEM",K1369="SEMI"),2,IF(OR(K1369="PRE",K1369="HEAT"),1,IF(V1369="YES",4,2))))</f>
        <v/>
      </c>
      <c r="M1369" s="33" t="inlineStr">
        <is>
          <t>LCM</t>
        </is>
      </c>
      <c r="N1369" s="33" t="n">
        <v>100</v>
      </c>
      <c r="O1369" s="33" t="inlineStr">
        <is>
          <t>Fly</t>
        </is>
      </c>
      <c r="P1369" s="33" t="inlineStr">
        <is>
          <t>100 Fly</t>
        </is>
      </c>
      <c r="Q1369" s="33" t="inlineStr">
        <is>
          <t>LCM_100_FLY</t>
        </is>
      </c>
      <c r="R1369" s="36" t="n">
        <v>53.07</v>
      </c>
      <c r="S1369" s="35">
        <f>IF(R1369="","",IF(R1369&gt;=60,INT(R1369/60)&amp;":"&amp;TEXT(MOD(R1369,60),"00.00"),TEXT(R1369,"0.00")))</f>
        <v/>
      </c>
      <c r="T1369" s="52">
        <f>IFERROR((G1369-INDEX('01_Swimmers'!$E$5:$E$22,MATCH(B1369,'01_Swimmers'!$A$5:$A$22,0)))/'00_Control'!$B$10,"")</f>
        <v/>
      </c>
      <c r="U1369" s="35">
        <f>IF(T1369="","",INT(T1369))</f>
        <v/>
      </c>
      <c r="V1369" s="33" t="inlineStr">
        <is>
          <t>NO</t>
        </is>
      </c>
      <c r="W1369" s="33" t="inlineStr">
        <is>
          <t>YES</t>
        </is>
      </c>
      <c r="X1369" s="33" t="inlineStr">
        <is>
          <t>NO</t>
        </is>
      </c>
      <c r="Y1369" s="33" t="n">
        <v>8</v>
      </c>
      <c r="Z1369" s="33" t="n">
        <v>4</v>
      </c>
      <c r="AA1369" s="33" t="inlineStr">
        <is>
          <t>3</t>
        </is>
      </c>
      <c r="AB1369" s="33" t="inlineStr">
        <is>
          <t>https://www.swimcloud.com/results/102575/event/11/?id=13990468#time13990468</t>
        </is>
      </c>
      <c r="AC1369" s="33" t="inlineStr">
        <is>
          <t>SwimCloud API v6 2026-10-08</t>
        </is>
      </c>
      <c r="AD1369" s="33" t="inlineStr">
        <is>
          <t>Kristof Milak|2017-08-24|LCM|100|Fly|53.07|6th FINA World Junior Championships|PRE|False</t>
        </is>
      </c>
      <c r="AE1369" s="53">
        <f>G1369+L1369/1000+ROW()/1000000000</f>
        <v/>
      </c>
      <c r="AF1369" s="35">
        <f>IF(C1369&lt;&gt;"Grayson Coulter","",COUNTIFS($C$5:$C$2991,"Grayson Coulter",$Q$5:$Q$2991,Q1369,$AE$5:$AE$2991,"&lt;="&amp;AE1369,$R$5:$R$2991,"&lt;"&amp;R1369))</f>
        <v/>
      </c>
      <c r="AG1369" s="35">
        <f>IF(OR(C1369&lt;&gt;"Grayson Coulter",G1369&lt;'00_Control'!$B$7),"",--(AF1369&lt;5))</f>
        <v/>
      </c>
      <c r="AH1369" s="35">
        <f>IF(OR(C1369&lt;&gt;"Grayson Coulter",G1369&lt;'00_Control'!$B$7),"",--(AF1369&lt;10))</f>
        <v/>
      </c>
      <c r="AI1369" s="35">
        <f>IF(AND(C1369="Grayson Coulter",G1369&gt;='00_Control'!$B$7),"YES","NO")</f>
        <v/>
      </c>
      <c r="AJ1369" s="33" t="inlineStr">
        <is>
          <t>OK</t>
        </is>
      </c>
    </row>
    <row r="1370">
      <c r="A1370" s="33" t="inlineStr">
        <is>
          <t>SM001366</t>
        </is>
      </c>
      <c r="B1370" s="33" t="inlineStr">
        <is>
          <t>SW018</t>
        </is>
      </c>
      <c r="C1370" s="33" t="inlineStr">
        <is>
          <t>Kristof Milak</t>
        </is>
      </c>
      <c r="D1370" s="33" t="inlineStr">
        <is>
          <t>SwimCloud</t>
        </is>
      </c>
      <c r="E1370" s="33" t="inlineStr">
        <is>
          <t>508643</t>
        </is>
      </c>
      <c r="F1370" s="33" t="inlineStr">
        <is>
          <t>13990502</t>
        </is>
      </c>
      <c r="G1370" s="51" t="n">
        <v>42971</v>
      </c>
      <c r="H1370" s="33" t="inlineStr">
        <is>
          <t>6th FINA World Junior Championships</t>
        </is>
      </c>
      <c r="I1370" s="33" t="inlineStr">
        <is>
          <t>102575</t>
        </is>
      </c>
      <c r="J1370" s="33" t="inlineStr"/>
      <c r="K1370" s="33" t="inlineStr">
        <is>
          <t>SEM</t>
        </is>
      </c>
      <c r="L1370" s="35">
        <f>IF(K1370="FIN",3,IF(OR(K1370="SEM",K1370="SEMI"),2,IF(OR(K1370="PRE",K1370="HEAT"),1,IF(V1370="YES",4,2))))</f>
        <v/>
      </c>
      <c r="M1370" s="33" t="inlineStr">
        <is>
          <t>LCM</t>
        </is>
      </c>
      <c r="N1370" s="33" t="n">
        <v>100</v>
      </c>
      <c r="O1370" s="33" t="inlineStr">
        <is>
          <t>Fly</t>
        </is>
      </c>
      <c r="P1370" s="33" t="inlineStr">
        <is>
          <t>100 Fly</t>
        </is>
      </c>
      <c r="Q1370" s="33" t="inlineStr">
        <is>
          <t>LCM_100_FLY</t>
        </is>
      </c>
      <c r="R1370" s="36" t="n">
        <v>52.61</v>
      </c>
      <c r="S1370" s="35">
        <f>IF(R1370="","",IF(R1370&gt;=60,INT(R1370/60)&amp;":"&amp;TEXT(MOD(R1370,60),"00.00"),TEXT(R1370,"0.00")))</f>
        <v/>
      </c>
      <c r="T1370" s="52">
        <f>IFERROR((G1370-INDEX('01_Swimmers'!$E$5:$E$22,MATCH(B1370,'01_Swimmers'!$A$5:$A$22,0)))/'00_Control'!$B$10,"")</f>
        <v/>
      </c>
      <c r="U1370" s="35">
        <f>IF(T1370="","",INT(T1370))</f>
        <v/>
      </c>
      <c r="V1370" s="33" t="inlineStr">
        <is>
          <t>NO</t>
        </is>
      </c>
      <c r="W1370" s="33" t="inlineStr">
        <is>
          <t>YES</t>
        </is>
      </c>
      <c r="X1370" s="33" t="inlineStr">
        <is>
          <t>NO</t>
        </is>
      </c>
      <c r="Y1370" s="33" t="n">
        <v>21</v>
      </c>
      <c r="Z1370" s="33" t="n">
        <v>5</v>
      </c>
      <c r="AA1370" s="33" t="inlineStr"/>
      <c r="AB1370" s="33" t="inlineStr">
        <is>
          <t>https://www.swimcloud.com/results/102575/event/11/?id=13990502#time13990502</t>
        </is>
      </c>
      <c r="AC1370" s="33" t="inlineStr">
        <is>
          <t>SwimCloud API v6 2026-10-08</t>
        </is>
      </c>
      <c r="AD1370" s="33" t="inlineStr">
        <is>
          <t>Kristof Milak|2017-08-24|LCM|100|Fly|52.61|6th FINA World Junior Championships|SEM|False</t>
        </is>
      </c>
      <c r="AE1370" s="53">
        <f>G1370+L1370/1000+ROW()/1000000000</f>
        <v/>
      </c>
      <c r="AF1370" s="35">
        <f>IF(C1370&lt;&gt;"Grayson Coulter","",COUNTIFS($C$5:$C$2991,"Grayson Coulter",$Q$5:$Q$2991,Q1370,$AE$5:$AE$2991,"&lt;="&amp;AE1370,$R$5:$R$2991,"&lt;"&amp;R1370))</f>
        <v/>
      </c>
      <c r="AG1370" s="35">
        <f>IF(OR(C1370&lt;&gt;"Grayson Coulter",G1370&lt;'00_Control'!$B$7),"",--(AF1370&lt;5))</f>
        <v/>
      </c>
      <c r="AH1370" s="35">
        <f>IF(OR(C1370&lt;&gt;"Grayson Coulter",G1370&lt;'00_Control'!$B$7),"",--(AF1370&lt;10))</f>
        <v/>
      </c>
      <c r="AI1370" s="35">
        <f>IF(AND(C1370="Grayson Coulter",G1370&gt;='00_Control'!$B$7),"YES","NO")</f>
        <v/>
      </c>
      <c r="AJ1370" s="33" t="inlineStr">
        <is>
          <t>OK</t>
        </is>
      </c>
    </row>
    <row r="1371">
      <c r="A1371" s="33" t="inlineStr">
        <is>
          <t>SM001367</t>
        </is>
      </c>
      <c r="B1371" s="33" t="inlineStr">
        <is>
          <t>SW018</t>
        </is>
      </c>
      <c r="C1371" s="33" t="inlineStr">
        <is>
          <t>Kristof Milak</t>
        </is>
      </c>
      <c r="D1371" s="33" t="inlineStr">
        <is>
          <t>SwimCloud</t>
        </is>
      </c>
      <c r="E1371" s="33" t="inlineStr">
        <is>
          <t>508643</t>
        </is>
      </c>
      <c r="F1371" s="33" t="inlineStr">
        <is>
          <t>13990512</t>
        </is>
      </c>
      <c r="G1371" s="51" t="n">
        <v>42972</v>
      </c>
      <c r="H1371" s="33" t="inlineStr">
        <is>
          <t>6th FINA World Junior Championships</t>
        </is>
      </c>
      <c r="I1371" s="33" t="inlineStr">
        <is>
          <t>102575</t>
        </is>
      </c>
      <c r="J1371" s="33" t="inlineStr"/>
      <c r="K1371" s="33" t="inlineStr">
        <is>
          <t>FIN</t>
        </is>
      </c>
      <c r="L1371" s="35">
        <f>IF(K1371="FIN",3,IF(OR(K1371="SEM",K1371="SEMI"),2,IF(OR(K1371="PRE",K1371="HEAT"),1,IF(V1371="YES",4,2))))</f>
        <v/>
      </c>
      <c r="M1371" s="33" t="inlineStr">
        <is>
          <t>LCM</t>
        </is>
      </c>
      <c r="N1371" s="33" t="n">
        <v>100</v>
      </c>
      <c r="O1371" s="33" t="inlineStr">
        <is>
          <t>Fly</t>
        </is>
      </c>
      <c r="P1371" s="33" t="inlineStr">
        <is>
          <t>100 Fly</t>
        </is>
      </c>
      <c r="Q1371" s="33" t="inlineStr">
        <is>
          <t>LCM_100_FLY</t>
        </is>
      </c>
      <c r="R1371" s="36" t="n">
        <v>51.08</v>
      </c>
      <c r="S1371" s="35">
        <f>IF(R1371="","",IF(R1371&gt;=60,INT(R1371/60)&amp;":"&amp;TEXT(MOD(R1371,60),"00.00"),TEXT(R1371,"0.00")))</f>
        <v/>
      </c>
      <c r="T1371" s="52">
        <f>IFERROR((G1371-INDEX('01_Swimmers'!$E$5:$E$22,MATCH(B1371,'01_Swimmers'!$A$5:$A$22,0)))/'00_Control'!$B$10,"")</f>
        <v/>
      </c>
      <c r="U1371" s="35">
        <f>IF(T1371="","",INT(T1371))</f>
        <v/>
      </c>
      <c r="V1371" s="33" t="inlineStr">
        <is>
          <t>NO</t>
        </is>
      </c>
      <c r="W1371" s="33" t="inlineStr">
        <is>
          <t>YES</t>
        </is>
      </c>
      <c r="X1371" s="33" t="inlineStr">
        <is>
          <t>NO</t>
        </is>
      </c>
      <c r="Y1371" s="33" t="n">
        <v>31</v>
      </c>
      <c r="Z1371" s="33" t="n">
        <v>5</v>
      </c>
      <c r="AA1371" s="33" t="inlineStr">
        <is>
          <t>1</t>
        </is>
      </c>
      <c r="AB1371" s="33" t="inlineStr">
        <is>
          <t>https://www.swimcloud.com/results/102575/event/11/?id=13990512#time13990512</t>
        </is>
      </c>
      <c r="AC1371" s="33" t="inlineStr">
        <is>
          <t>SwimCloud API v6 2026-10-08</t>
        </is>
      </c>
      <c r="AD1371" s="33" t="inlineStr">
        <is>
          <t>Kristof Milak|2017-08-25|LCM|100|Fly|51.08|6th FINA World Junior Championships|FIN|False</t>
        </is>
      </c>
      <c r="AE1371" s="53">
        <f>G1371+L1371/1000+ROW()/1000000000</f>
        <v/>
      </c>
      <c r="AF1371" s="35">
        <f>IF(C1371&lt;&gt;"Grayson Coulter","",COUNTIFS($C$5:$C$2991,"Grayson Coulter",$Q$5:$Q$2991,Q1371,$AE$5:$AE$2991,"&lt;="&amp;AE1371,$R$5:$R$2991,"&lt;"&amp;R1371))</f>
        <v/>
      </c>
      <c r="AG1371" s="35">
        <f>IF(OR(C1371&lt;&gt;"Grayson Coulter",G1371&lt;'00_Control'!$B$7),"",--(AF1371&lt;5))</f>
        <v/>
      </c>
      <c r="AH1371" s="35">
        <f>IF(OR(C1371&lt;&gt;"Grayson Coulter",G1371&lt;'00_Control'!$B$7),"",--(AF1371&lt;10))</f>
        <v/>
      </c>
      <c r="AI1371" s="35">
        <f>IF(AND(C1371="Grayson Coulter",G1371&gt;='00_Control'!$B$7),"YES","NO")</f>
        <v/>
      </c>
      <c r="AJ1371" s="33" t="inlineStr">
        <is>
          <t>OK</t>
        </is>
      </c>
    </row>
    <row r="1372">
      <c r="A1372" s="33" t="inlineStr">
        <is>
          <t>SM001368</t>
        </is>
      </c>
      <c r="B1372" s="33" t="inlineStr">
        <is>
          <t>SW018</t>
        </is>
      </c>
      <c r="C1372" s="33" t="inlineStr">
        <is>
          <t>Kristof Milak</t>
        </is>
      </c>
      <c r="D1372" s="33" t="inlineStr">
        <is>
          <t>SwimCloud</t>
        </is>
      </c>
      <c r="E1372" s="33" t="inlineStr">
        <is>
          <t>508643</t>
        </is>
      </c>
      <c r="F1372" s="33" t="inlineStr">
        <is>
          <t>13595065</t>
        </is>
      </c>
      <c r="G1372" s="51" t="n">
        <v>43134</v>
      </c>
      <c r="H1372" s="33" t="inlineStr">
        <is>
          <t>26th Uster International Swim Meet</t>
        </is>
      </c>
      <c r="I1372" s="33" t="inlineStr">
        <is>
          <t>101015</t>
        </is>
      </c>
      <c r="J1372" s="33" t="inlineStr"/>
      <c r="K1372" s="33" t="inlineStr">
        <is>
          <t>PRE</t>
        </is>
      </c>
      <c r="L1372" s="35">
        <f>IF(K1372="FIN",3,IF(OR(K1372="SEM",K1372="SEMI"),2,IF(OR(K1372="PRE",K1372="HEAT"),1,IF(V1372="YES",4,2))))</f>
        <v/>
      </c>
      <c r="M1372" s="33" t="inlineStr">
        <is>
          <t>LCM</t>
        </is>
      </c>
      <c r="N1372" s="33" t="n">
        <v>100</v>
      </c>
      <c r="O1372" s="33" t="inlineStr">
        <is>
          <t>Fly</t>
        </is>
      </c>
      <c r="P1372" s="33" t="inlineStr">
        <is>
          <t>100 Fly</t>
        </is>
      </c>
      <c r="Q1372" s="33" t="inlineStr">
        <is>
          <t>LCM_100_FLY</t>
        </is>
      </c>
      <c r="R1372" s="36" t="n">
        <v>54.37</v>
      </c>
      <c r="S1372" s="35">
        <f>IF(R1372="","",IF(R1372&gt;=60,INT(R1372/60)&amp;":"&amp;TEXT(MOD(R1372,60),"00.00"),TEXT(R1372,"0.00")))</f>
        <v/>
      </c>
      <c r="T1372" s="52">
        <f>IFERROR((G1372-INDEX('01_Swimmers'!$E$5:$E$22,MATCH(B1372,'01_Swimmers'!$A$5:$A$22,0)))/'00_Control'!$B$10,"")</f>
        <v/>
      </c>
      <c r="U1372" s="35">
        <f>IF(T1372="","",INT(T1372))</f>
        <v/>
      </c>
      <c r="V1372" s="33" t="inlineStr">
        <is>
          <t>NO</t>
        </is>
      </c>
      <c r="W1372" s="33" t="inlineStr">
        <is>
          <t>YES</t>
        </is>
      </c>
      <c r="X1372" s="33" t="inlineStr">
        <is>
          <t>NO</t>
        </is>
      </c>
      <c r="Y1372" s="33" t="n">
        <v>0</v>
      </c>
      <c r="Z1372" s="33" t="n"/>
      <c r="AA1372" s="33" t="inlineStr">
        <is>
          <t>1</t>
        </is>
      </c>
      <c r="AB1372" s="33" t="inlineStr">
        <is>
          <t>https://www.swimcloud.com/results/101015/event/16/?id=13595065#time13595065</t>
        </is>
      </c>
      <c r="AC1372" s="33" t="inlineStr">
        <is>
          <t>SwimCloud API v6 2026-10-08</t>
        </is>
      </c>
      <c r="AD1372" s="33" t="inlineStr">
        <is>
          <t>Kristof Milak|2018-02-03|LCM|100|Fly|54.37|26th Uster International Swim Meet|PRE|False</t>
        </is>
      </c>
      <c r="AE1372" s="53">
        <f>G1372+L1372/1000+ROW()/1000000000</f>
        <v/>
      </c>
      <c r="AF1372" s="35">
        <f>IF(C1372&lt;&gt;"Grayson Coulter","",COUNTIFS($C$5:$C$2991,"Grayson Coulter",$Q$5:$Q$2991,Q1372,$AE$5:$AE$2991,"&lt;="&amp;AE1372,$R$5:$R$2991,"&lt;"&amp;R1372))</f>
        <v/>
      </c>
      <c r="AG1372" s="35">
        <f>IF(OR(C1372&lt;&gt;"Grayson Coulter",G1372&lt;'00_Control'!$B$7),"",--(AF1372&lt;5))</f>
        <v/>
      </c>
      <c r="AH1372" s="35">
        <f>IF(OR(C1372&lt;&gt;"Grayson Coulter",G1372&lt;'00_Control'!$B$7),"",--(AF1372&lt;10))</f>
        <v/>
      </c>
      <c r="AI1372" s="35">
        <f>IF(AND(C1372="Grayson Coulter",G1372&gt;='00_Control'!$B$7),"YES","NO")</f>
        <v/>
      </c>
      <c r="AJ1372" s="33" t="inlineStr">
        <is>
          <t>OK</t>
        </is>
      </c>
    </row>
    <row r="1373">
      <c r="A1373" s="33" t="inlineStr">
        <is>
          <t>SM001369</t>
        </is>
      </c>
      <c r="B1373" s="33" t="inlineStr">
        <is>
          <t>SW018</t>
        </is>
      </c>
      <c r="C1373" s="33" t="inlineStr">
        <is>
          <t>Kristof Milak</t>
        </is>
      </c>
      <c r="D1373" s="33" t="inlineStr">
        <is>
          <t>SwimCloud</t>
        </is>
      </c>
      <c r="E1373" s="33" t="inlineStr">
        <is>
          <t>508643</t>
        </is>
      </c>
      <c r="F1373" s="33" t="inlineStr">
        <is>
          <t>13595088</t>
        </is>
      </c>
      <c r="G1373" s="51" t="n">
        <v>43134</v>
      </c>
      <c r="H1373" s="33" t="inlineStr">
        <is>
          <t>26th Uster International Swim Meet</t>
        </is>
      </c>
      <c r="I1373" s="33" t="inlineStr">
        <is>
          <t>101015</t>
        </is>
      </c>
      <c r="J1373" s="33" t="inlineStr"/>
      <c r="K1373" s="33" t="inlineStr">
        <is>
          <t>FIN</t>
        </is>
      </c>
      <c r="L1373" s="35">
        <f>IF(K1373="FIN",3,IF(OR(K1373="SEM",K1373="SEMI"),2,IF(OR(K1373="PRE",K1373="HEAT"),1,IF(V1373="YES",4,2))))</f>
        <v/>
      </c>
      <c r="M1373" s="33" t="inlineStr">
        <is>
          <t>LCM</t>
        </is>
      </c>
      <c r="N1373" s="33" t="n">
        <v>100</v>
      </c>
      <c r="O1373" s="33" t="inlineStr">
        <is>
          <t>Fly</t>
        </is>
      </c>
      <c r="P1373" s="33" t="inlineStr">
        <is>
          <t>100 Fly</t>
        </is>
      </c>
      <c r="Q1373" s="33" t="inlineStr">
        <is>
          <t>LCM_100_FLY</t>
        </is>
      </c>
      <c r="R1373" s="36" t="n">
        <v>52.63</v>
      </c>
      <c r="S1373" s="35">
        <f>IF(R1373="","",IF(R1373&gt;=60,INT(R1373/60)&amp;":"&amp;TEXT(MOD(R1373,60),"00.00"),TEXT(R1373,"0.00")))</f>
        <v/>
      </c>
      <c r="T1373" s="52">
        <f>IFERROR((G1373-INDEX('01_Swimmers'!$E$5:$E$22,MATCH(B1373,'01_Swimmers'!$A$5:$A$22,0)))/'00_Control'!$B$10,"")</f>
        <v/>
      </c>
      <c r="U1373" s="35">
        <f>IF(T1373="","",INT(T1373))</f>
        <v/>
      </c>
      <c r="V1373" s="33" t="inlineStr">
        <is>
          <t>NO</t>
        </is>
      </c>
      <c r="W1373" s="33" t="inlineStr">
        <is>
          <t>YES</t>
        </is>
      </c>
      <c r="X1373" s="33" t="inlineStr">
        <is>
          <t>NO</t>
        </is>
      </c>
      <c r="Y1373" s="33" t="n">
        <v>0</v>
      </c>
      <c r="Z1373" s="33" t="n"/>
      <c r="AA1373" s="33" t="inlineStr">
        <is>
          <t>2</t>
        </is>
      </c>
      <c r="AB1373" s="33" t="inlineStr">
        <is>
          <t>https://www.swimcloud.com/results/101015/event/16/?id=13595088#time13595088</t>
        </is>
      </c>
      <c r="AC1373" s="33" t="inlineStr">
        <is>
          <t>SwimCloud API v6 2026-10-08</t>
        </is>
      </c>
      <c r="AD1373" s="33" t="inlineStr">
        <is>
          <t>Kristof Milak|2018-02-03|LCM|100|Fly|52.63|26th Uster International Swim Meet|FIN|False</t>
        </is>
      </c>
      <c r="AE1373" s="53">
        <f>G1373+L1373/1000+ROW()/1000000000</f>
        <v/>
      </c>
      <c r="AF1373" s="35">
        <f>IF(C1373&lt;&gt;"Grayson Coulter","",COUNTIFS($C$5:$C$2991,"Grayson Coulter",$Q$5:$Q$2991,Q1373,$AE$5:$AE$2991,"&lt;="&amp;AE1373,$R$5:$R$2991,"&lt;"&amp;R1373))</f>
        <v/>
      </c>
      <c r="AG1373" s="35">
        <f>IF(OR(C1373&lt;&gt;"Grayson Coulter",G1373&lt;'00_Control'!$B$7),"",--(AF1373&lt;5))</f>
        <v/>
      </c>
      <c r="AH1373" s="35">
        <f>IF(OR(C1373&lt;&gt;"Grayson Coulter",G1373&lt;'00_Control'!$B$7),"",--(AF1373&lt;10))</f>
        <v/>
      </c>
      <c r="AI1373" s="35">
        <f>IF(AND(C1373="Grayson Coulter",G1373&gt;='00_Control'!$B$7),"YES","NO")</f>
        <v/>
      </c>
      <c r="AJ1373" s="33" t="inlineStr">
        <is>
          <t>OK</t>
        </is>
      </c>
    </row>
    <row r="1374">
      <c r="A1374" s="33" t="inlineStr">
        <is>
          <t>SM001370</t>
        </is>
      </c>
      <c r="B1374" s="33" t="inlineStr">
        <is>
          <t>SW018</t>
        </is>
      </c>
      <c r="C1374" s="33" t="inlineStr">
        <is>
          <t>Kristof Milak</t>
        </is>
      </c>
      <c r="D1374" s="33" t="inlineStr">
        <is>
          <t>SwimCloud</t>
        </is>
      </c>
      <c r="E1374" s="33" t="inlineStr">
        <is>
          <t>508643</t>
        </is>
      </c>
      <c r="F1374" s="33" t="inlineStr">
        <is>
          <t>13594511</t>
        </is>
      </c>
      <c r="G1374" s="51" t="n">
        <v>43134</v>
      </c>
      <c r="H1374" s="33" t="inlineStr">
        <is>
          <t>26th Uster International Swim Meet</t>
        </is>
      </c>
      <c r="I1374" s="33" t="inlineStr">
        <is>
          <t>101015</t>
        </is>
      </c>
      <c r="J1374" s="33" t="inlineStr"/>
      <c r="K1374" s="33" t="inlineStr">
        <is>
          <t>PRE</t>
        </is>
      </c>
      <c r="L1374" s="35">
        <f>IF(K1374="FIN",3,IF(OR(K1374="SEM",K1374="SEMI"),2,IF(OR(K1374="PRE",K1374="HEAT"),1,IF(V1374="YES",4,2))))</f>
        <v/>
      </c>
      <c r="M1374" s="33" t="inlineStr">
        <is>
          <t>LCM</t>
        </is>
      </c>
      <c r="N1374" s="33" t="n">
        <v>200</v>
      </c>
      <c r="O1374" s="33" t="inlineStr">
        <is>
          <t>Free</t>
        </is>
      </c>
      <c r="P1374" s="33" t="inlineStr">
        <is>
          <t>200 Free</t>
        </is>
      </c>
      <c r="Q1374" s="33" t="inlineStr">
        <is>
          <t>LCM_200_FREE</t>
        </is>
      </c>
      <c r="R1374" s="36" t="n">
        <v>113.47</v>
      </c>
      <c r="S1374" s="35">
        <f>IF(R1374="","",IF(R1374&gt;=60,INT(R1374/60)&amp;":"&amp;TEXT(MOD(R1374,60),"00.00"),TEXT(R1374,"0.00")))</f>
        <v/>
      </c>
      <c r="T1374" s="52">
        <f>IFERROR((G1374-INDEX('01_Swimmers'!$E$5:$E$22,MATCH(B1374,'01_Swimmers'!$A$5:$A$22,0)))/'00_Control'!$B$10,"")</f>
        <v/>
      </c>
      <c r="U1374" s="35">
        <f>IF(T1374="","",INT(T1374))</f>
        <v/>
      </c>
      <c r="V1374" s="33" t="inlineStr">
        <is>
          <t>NO</t>
        </is>
      </c>
      <c r="W1374" s="33" t="inlineStr">
        <is>
          <t>YES</t>
        </is>
      </c>
      <c r="X1374" s="33" t="inlineStr">
        <is>
          <t>NO</t>
        </is>
      </c>
      <c r="Y1374" s="33" t="n">
        <v>0</v>
      </c>
      <c r="Z1374" s="33" t="n"/>
      <c r="AA1374" s="33" t="inlineStr">
        <is>
          <t>11</t>
        </is>
      </c>
      <c r="AB1374" s="33" t="inlineStr">
        <is>
          <t>https://www.swimcloud.com/results/101015/event/18/?id=13594511#time13594511</t>
        </is>
      </c>
      <c r="AC1374" s="33" t="inlineStr">
        <is>
          <t>SwimCloud API v6 2026-10-08</t>
        </is>
      </c>
      <c r="AD1374" s="33" t="inlineStr">
        <is>
          <t>Kristof Milak|2018-02-03|LCM|200|Free|113.47|26th Uster International Swim Meet|PRE|False</t>
        </is>
      </c>
      <c r="AE1374" s="53">
        <f>G1374+L1374/1000+ROW()/1000000000</f>
        <v/>
      </c>
      <c r="AF1374" s="35">
        <f>IF(C1374&lt;&gt;"Grayson Coulter","",COUNTIFS($C$5:$C$2991,"Grayson Coulter",$Q$5:$Q$2991,Q1374,$AE$5:$AE$2991,"&lt;="&amp;AE1374,$R$5:$R$2991,"&lt;"&amp;R1374))</f>
        <v/>
      </c>
      <c r="AG1374" s="35">
        <f>IF(OR(C1374&lt;&gt;"Grayson Coulter",G1374&lt;'00_Control'!$B$7),"",--(AF1374&lt;5))</f>
        <v/>
      </c>
      <c r="AH1374" s="35">
        <f>IF(OR(C1374&lt;&gt;"Grayson Coulter",G1374&lt;'00_Control'!$B$7),"",--(AF1374&lt;10))</f>
        <v/>
      </c>
      <c r="AI1374" s="35">
        <f>IF(AND(C1374="Grayson Coulter",G1374&gt;='00_Control'!$B$7),"YES","NO")</f>
        <v/>
      </c>
      <c r="AJ1374" s="33" t="inlineStr">
        <is>
          <t>OK</t>
        </is>
      </c>
    </row>
    <row r="1375">
      <c r="A1375" s="33" t="inlineStr">
        <is>
          <t>SM001371</t>
        </is>
      </c>
      <c r="B1375" s="33" t="inlineStr">
        <is>
          <t>SW018</t>
        </is>
      </c>
      <c r="C1375" s="33" t="inlineStr">
        <is>
          <t>Kristof Milak</t>
        </is>
      </c>
      <c r="D1375" s="33" t="inlineStr">
        <is>
          <t>SwimCloud</t>
        </is>
      </c>
      <c r="E1375" s="33" t="inlineStr">
        <is>
          <t>508643</t>
        </is>
      </c>
      <c r="F1375" s="33" t="inlineStr">
        <is>
          <t>13594527</t>
        </is>
      </c>
      <c r="G1375" s="51" t="n">
        <v>43134</v>
      </c>
      <c r="H1375" s="33" t="inlineStr">
        <is>
          <t>26th Uster International Swim Meet</t>
        </is>
      </c>
      <c r="I1375" s="33" t="inlineStr">
        <is>
          <t>101015</t>
        </is>
      </c>
      <c r="J1375" s="33" t="inlineStr"/>
      <c r="K1375" s="33" t="inlineStr">
        <is>
          <t>FIN</t>
        </is>
      </c>
      <c r="L1375" s="35">
        <f>IF(K1375="FIN",3,IF(OR(K1375="SEM",K1375="SEMI"),2,IF(OR(K1375="PRE",K1375="HEAT"),1,IF(V1375="YES",4,2))))</f>
        <v/>
      </c>
      <c r="M1375" s="33" t="inlineStr">
        <is>
          <t>LCM</t>
        </is>
      </c>
      <c r="N1375" s="33" t="n">
        <v>200</v>
      </c>
      <c r="O1375" s="33" t="inlineStr">
        <is>
          <t>Free</t>
        </is>
      </c>
      <c r="P1375" s="33" t="inlineStr">
        <is>
          <t>200 Free</t>
        </is>
      </c>
      <c r="Q1375" s="33" t="inlineStr">
        <is>
          <t>LCM_200_FREE</t>
        </is>
      </c>
      <c r="R1375" s="36" t="n">
        <v>114.11</v>
      </c>
      <c r="S1375" s="35">
        <f>IF(R1375="","",IF(R1375&gt;=60,INT(R1375/60)&amp;":"&amp;TEXT(MOD(R1375,60),"00.00"),TEXT(R1375,"0.00")))</f>
        <v/>
      </c>
      <c r="T1375" s="52">
        <f>IFERROR((G1375-INDEX('01_Swimmers'!$E$5:$E$22,MATCH(B1375,'01_Swimmers'!$A$5:$A$22,0)))/'00_Control'!$B$10,"")</f>
        <v/>
      </c>
      <c r="U1375" s="35">
        <f>IF(T1375="","",INT(T1375))</f>
        <v/>
      </c>
      <c r="V1375" s="33" t="inlineStr">
        <is>
          <t>NO</t>
        </is>
      </c>
      <c r="W1375" s="33" t="inlineStr">
        <is>
          <t>YES</t>
        </is>
      </c>
      <c r="X1375" s="33" t="inlineStr">
        <is>
          <t>NO</t>
        </is>
      </c>
      <c r="Y1375" s="33" t="n">
        <v>0</v>
      </c>
      <c r="Z1375" s="33" t="n"/>
      <c r="AA1375" s="33" t="inlineStr">
        <is>
          <t>15</t>
        </is>
      </c>
      <c r="AB1375" s="33" t="inlineStr">
        <is>
          <t>https://www.swimcloud.com/results/101015/event/18/?id=13594527#time13594527</t>
        </is>
      </c>
      <c r="AC1375" s="33" t="inlineStr">
        <is>
          <t>SwimCloud API v6 2026-10-08</t>
        </is>
      </c>
      <c r="AD1375" s="33" t="inlineStr">
        <is>
          <t>Kristof Milak|2018-02-03|LCM|200|Free|114.11|26th Uster International Swim Meet|FIN|False</t>
        </is>
      </c>
      <c r="AE1375" s="53">
        <f>G1375+L1375/1000+ROW()/1000000000</f>
        <v/>
      </c>
      <c r="AF1375" s="35">
        <f>IF(C1375&lt;&gt;"Grayson Coulter","",COUNTIFS($C$5:$C$2991,"Grayson Coulter",$Q$5:$Q$2991,Q1375,$AE$5:$AE$2991,"&lt;="&amp;AE1375,$R$5:$R$2991,"&lt;"&amp;R1375))</f>
        <v/>
      </c>
      <c r="AG1375" s="35">
        <f>IF(OR(C1375&lt;&gt;"Grayson Coulter",G1375&lt;'00_Control'!$B$7),"",--(AF1375&lt;5))</f>
        <v/>
      </c>
      <c r="AH1375" s="35">
        <f>IF(OR(C1375&lt;&gt;"Grayson Coulter",G1375&lt;'00_Control'!$B$7),"",--(AF1375&lt;10))</f>
        <v/>
      </c>
      <c r="AI1375" s="35">
        <f>IF(AND(C1375="Grayson Coulter",G1375&gt;='00_Control'!$B$7),"YES","NO")</f>
        <v/>
      </c>
      <c r="AJ1375" s="33" t="inlineStr">
        <is>
          <t>OK</t>
        </is>
      </c>
    </row>
    <row r="1376">
      <c r="A1376" s="33" t="inlineStr">
        <is>
          <t>SM001372</t>
        </is>
      </c>
      <c r="B1376" s="33" t="inlineStr">
        <is>
          <t>SW018</t>
        </is>
      </c>
      <c r="C1376" s="33" t="inlineStr">
        <is>
          <t>Kristof Milak</t>
        </is>
      </c>
      <c r="D1376" s="33" t="inlineStr">
        <is>
          <t>SwimCloud</t>
        </is>
      </c>
      <c r="E1376" s="33" t="inlineStr">
        <is>
          <t>508643</t>
        </is>
      </c>
      <c r="F1376" s="33" t="inlineStr">
        <is>
          <t>13594553</t>
        </is>
      </c>
      <c r="G1376" s="51" t="n">
        <v>43134</v>
      </c>
      <c r="H1376" s="33" t="inlineStr">
        <is>
          <t>26th Uster International Swim Meet</t>
        </is>
      </c>
      <c r="I1376" s="33" t="inlineStr">
        <is>
          <t>101015</t>
        </is>
      </c>
      <c r="J1376" s="33" t="inlineStr"/>
      <c r="K1376" s="33" t="inlineStr">
        <is>
          <t>PRE</t>
        </is>
      </c>
      <c r="L1376" s="35">
        <f>IF(K1376="FIN",3,IF(OR(K1376="SEM",K1376="SEMI"),2,IF(OR(K1376="PRE",K1376="HEAT"),1,IF(V1376="YES",4,2))))</f>
        <v/>
      </c>
      <c r="M1376" s="33" t="inlineStr">
        <is>
          <t>LCM</t>
        </is>
      </c>
      <c r="N1376" s="33" t="n">
        <v>400</v>
      </c>
      <c r="O1376" s="33" t="inlineStr">
        <is>
          <t>Free</t>
        </is>
      </c>
      <c r="P1376" s="33" t="inlineStr">
        <is>
          <t>400 Free</t>
        </is>
      </c>
      <c r="Q1376" s="33" t="inlineStr">
        <is>
          <t>LCM_400_FREE</t>
        </is>
      </c>
      <c r="R1376" s="36" t="n">
        <v>243.58</v>
      </c>
      <c r="S1376" s="35">
        <f>IF(R1376="","",IF(R1376&gt;=60,INT(R1376/60)&amp;":"&amp;TEXT(MOD(R1376,60),"00.00"),TEXT(R1376,"0.00")))</f>
        <v/>
      </c>
      <c r="T1376" s="52">
        <f>IFERROR((G1376-INDEX('01_Swimmers'!$E$5:$E$22,MATCH(B1376,'01_Swimmers'!$A$5:$A$22,0)))/'00_Control'!$B$10,"")</f>
        <v/>
      </c>
      <c r="U1376" s="35">
        <f>IF(T1376="","",INT(T1376))</f>
        <v/>
      </c>
      <c r="V1376" s="33" t="inlineStr">
        <is>
          <t>NO</t>
        </is>
      </c>
      <c r="W1376" s="33" t="inlineStr">
        <is>
          <t>YES</t>
        </is>
      </c>
      <c r="X1376" s="33" t="inlineStr">
        <is>
          <t>NO</t>
        </is>
      </c>
      <c r="Y1376" s="33" t="n">
        <v>0</v>
      </c>
      <c r="Z1376" s="33" t="n"/>
      <c r="AA1376" s="33" t="inlineStr">
        <is>
          <t>6</t>
        </is>
      </c>
      <c r="AB1376" s="33" t="inlineStr">
        <is>
          <t>https://www.swimcloud.com/results/101015/event/28/?id=13594553#time13594553</t>
        </is>
      </c>
      <c r="AC1376" s="33" t="inlineStr">
        <is>
          <t>SwimCloud API v6 2026-10-08</t>
        </is>
      </c>
      <c r="AD1376" s="33" t="inlineStr">
        <is>
          <t>Kristof Milak|2018-02-03|LCM|400|Free|243.58|26th Uster International Swim Meet|PRE|False</t>
        </is>
      </c>
      <c r="AE1376" s="53">
        <f>G1376+L1376/1000+ROW()/1000000000</f>
        <v/>
      </c>
      <c r="AF1376" s="35">
        <f>IF(C1376&lt;&gt;"Grayson Coulter","",COUNTIFS($C$5:$C$2991,"Grayson Coulter",$Q$5:$Q$2991,Q1376,$AE$5:$AE$2991,"&lt;="&amp;AE1376,$R$5:$R$2991,"&lt;"&amp;R1376))</f>
        <v/>
      </c>
      <c r="AG1376" s="35">
        <f>IF(OR(C1376&lt;&gt;"Grayson Coulter",G1376&lt;'00_Control'!$B$7),"",--(AF1376&lt;5))</f>
        <v/>
      </c>
      <c r="AH1376" s="35">
        <f>IF(OR(C1376&lt;&gt;"Grayson Coulter",G1376&lt;'00_Control'!$B$7),"",--(AF1376&lt;10))</f>
        <v/>
      </c>
      <c r="AI1376" s="35">
        <f>IF(AND(C1376="Grayson Coulter",G1376&gt;='00_Control'!$B$7),"YES","NO")</f>
        <v/>
      </c>
      <c r="AJ1376" s="33" t="inlineStr">
        <is>
          <t>OK</t>
        </is>
      </c>
    </row>
    <row r="1377">
      <c r="A1377" s="33" t="inlineStr">
        <is>
          <t>SM001373</t>
        </is>
      </c>
      <c r="B1377" s="33" t="inlineStr">
        <is>
          <t>SW018</t>
        </is>
      </c>
      <c r="C1377" s="33" t="inlineStr">
        <is>
          <t>Kristof Milak</t>
        </is>
      </c>
      <c r="D1377" s="33" t="inlineStr">
        <is>
          <t>SwimCloud</t>
        </is>
      </c>
      <c r="E1377" s="33" t="inlineStr">
        <is>
          <t>508643</t>
        </is>
      </c>
      <c r="F1377" s="33" t="inlineStr">
        <is>
          <t>13594569</t>
        </is>
      </c>
      <c r="G1377" s="51" t="n">
        <v>43134</v>
      </c>
      <c r="H1377" s="33" t="inlineStr">
        <is>
          <t>26th Uster International Swim Meet</t>
        </is>
      </c>
      <c r="I1377" s="33" t="inlineStr">
        <is>
          <t>101015</t>
        </is>
      </c>
      <c r="J1377" s="33" t="inlineStr"/>
      <c r="K1377" s="33" t="inlineStr">
        <is>
          <t>FIN</t>
        </is>
      </c>
      <c r="L1377" s="35">
        <f>IF(K1377="FIN",3,IF(OR(K1377="SEM",K1377="SEMI"),2,IF(OR(K1377="PRE",K1377="HEAT"),1,IF(V1377="YES",4,2))))</f>
        <v/>
      </c>
      <c r="M1377" s="33" t="inlineStr">
        <is>
          <t>LCM</t>
        </is>
      </c>
      <c r="N1377" s="33" t="n">
        <v>400</v>
      </c>
      <c r="O1377" s="33" t="inlineStr">
        <is>
          <t>Free</t>
        </is>
      </c>
      <c r="P1377" s="33" t="inlineStr">
        <is>
          <t>400 Free</t>
        </is>
      </c>
      <c r="Q1377" s="33" t="inlineStr">
        <is>
          <t>LCM_400_FREE</t>
        </is>
      </c>
      <c r="R1377" s="36" t="n">
        <v>235.92</v>
      </c>
      <c r="S1377" s="35">
        <f>IF(R1377="","",IF(R1377&gt;=60,INT(R1377/60)&amp;":"&amp;TEXT(MOD(R1377,60),"00.00"),TEXT(R1377,"0.00")))</f>
        <v/>
      </c>
      <c r="T1377" s="52">
        <f>IFERROR((G1377-INDEX('01_Swimmers'!$E$5:$E$22,MATCH(B1377,'01_Swimmers'!$A$5:$A$22,0)))/'00_Control'!$B$10,"")</f>
        <v/>
      </c>
      <c r="U1377" s="35">
        <f>IF(T1377="","",INT(T1377))</f>
        <v/>
      </c>
      <c r="V1377" s="33" t="inlineStr">
        <is>
          <t>NO</t>
        </is>
      </c>
      <c r="W1377" s="33" t="inlineStr">
        <is>
          <t>YES</t>
        </is>
      </c>
      <c r="X1377" s="33" t="inlineStr">
        <is>
          <t>NO</t>
        </is>
      </c>
      <c r="Y1377" s="33" t="n">
        <v>0</v>
      </c>
      <c r="Z1377" s="33" t="n"/>
      <c r="AA1377" s="33" t="inlineStr">
        <is>
          <t>1</t>
        </is>
      </c>
      <c r="AB1377" s="33" t="inlineStr">
        <is>
          <t>https://www.swimcloud.com/results/101015/event/28/?id=13594569#time13594569</t>
        </is>
      </c>
      <c r="AC1377" s="33" t="inlineStr">
        <is>
          <t>SwimCloud API v6 2026-10-08</t>
        </is>
      </c>
      <c r="AD1377" s="33" t="inlineStr">
        <is>
          <t>Kristof Milak|2018-02-03|LCM|400|Free|235.92|26th Uster International Swim Meet|FIN|False</t>
        </is>
      </c>
      <c r="AE1377" s="53">
        <f>G1377+L1377/1000+ROW()/1000000000</f>
        <v/>
      </c>
      <c r="AF1377" s="35">
        <f>IF(C1377&lt;&gt;"Grayson Coulter","",COUNTIFS($C$5:$C$2991,"Grayson Coulter",$Q$5:$Q$2991,Q1377,$AE$5:$AE$2991,"&lt;="&amp;AE1377,$R$5:$R$2991,"&lt;"&amp;R1377))</f>
        <v/>
      </c>
      <c r="AG1377" s="35">
        <f>IF(OR(C1377&lt;&gt;"Grayson Coulter",G1377&lt;'00_Control'!$B$7),"",--(AF1377&lt;5))</f>
        <v/>
      </c>
      <c r="AH1377" s="35">
        <f>IF(OR(C1377&lt;&gt;"Grayson Coulter",G1377&lt;'00_Control'!$B$7),"",--(AF1377&lt;10))</f>
        <v/>
      </c>
      <c r="AI1377" s="35">
        <f>IF(AND(C1377="Grayson Coulter",G1377&gt;='00_Control'!$B$7),"YES","NO")</f>
        <v/>
      </c>
      <c r="AJ1377" s="33" t="inlineStr">
        <is>
          <t>OK</t>
        </is>
      </c>
    </row>
    <row r="1378">
      <c r="A1378" s="33" t="inlineStr">
        <is>
          <t>SM001374</t>
        </is>
      </c>
      <c r="B1378" s="33" t="inlineStr">
        <is>
          <t>SW018</t>
        </is>
      </c>
      <c r="C1378" s="33" t="inlineStr">
        <is>
          <t>Kristof Milak</t>
        </is>
      </c>
      <c r="D1378" s="33" t="inlineStr">
        <is>
          <t>SwimCloud</t>
        </is>
      </c>
      <c r="E1378" s="33" t="inlineStr">
        <is>
          <t>508643</t>
        </is>
      </c>
      <c r="F1378" s="33" t="inlineStr">
        <is>
          <t>19275369</t>
        </is>
      </c>
      <c r="G1378" s="51" t="n">
        <v>43285</v>
      </c>
      <c r="H1378" s="33" t="inlineStr">
        <is>
          <t>LEN European Junior Championships</t>
        </is>
      </c>
      <c r="I1378" s="33" t="inlineStr">
        <is>
          <t>119198</t>
        </is>
      </c>
      <c r="J1378" s="33" t="inlineStr"/>
      <c r="K1378" s="33" t="inlineStr">
        <is>
          <t>PRE</t>
        </is>
      </c>
      <c r="L1378" s="35">
        <f>IF(K1378="FIN",3,IF(OR(K1378="SEM",K1378="SEMI"),2,IF(OR(K1378="PRE",K1378="HEAT"),1,IF(V1378="YES",4,2))))</f>
        <v/>
      </c>
      <c r="M1378" s="33" t="inlineStr">
        <is>
          <t>LCM</t>
        </is>
      </c>
      <c r="N1378" s="33" t="n">
        <v>400</v>
      </c>
      <c r="O1378" s="33" t="inlineStr">
        <is>
          <t>Free</t>
        </is>
      </c>
      <c r="P1378" s="33" t="inlineStr">
        <is>
          <t>400 Free</t>
        </is>
      </c>
      <c r="Q1378" s="33" t="inlineStr">
        <is>
          <t>LCM_400_FREE</t>
        </is>
      </c>
      <c r="R1378" s="36" t="n">
        <v>232.06</v>
      </c>
      <c r="S1378" s="35">
        <f>IF(R1378="","",IF(R1378&gt;=60,INT(R1378/60)&amp;":"&amp;TEXT(MOD(R1378,60),"00.00"),TEXT(R1378,"0.00")))</f>
        <v/>
      </c>
      <c r="T1378" s="52">
        <f>IFERROR((G1378-INDEX('01_Swimmers'!$E$5:$E$22,MATCH(B1378,'01_Swimmers'!$A$5:$A$22,0)))/'00_Control'!$B$10,"")</f>
        <v/>
      </c>
      <c r="U1378" s="35">
        <f>IF(T1378="","",INT(T1378))</f>
        <v/>
      </c>
      <c r="V1378" s="33" t="inlineStr">
        <is>
          <t>NO</t>
        </is>
      </c>
      <c r="W1378" s="33" t="inlineStr">
        <is>
          <t>YES</t>
        </is>
      </c>
      <c r="X1378" s="33" t="inlineStr">
        <is>
          <t>NO</t>
        </is>
      </c>
      <c r="Y1378" s="33" t="n">
        <v>26</v>
      </c>
      <c r="Z1378" s="33" t="n">
        <v>4</v>
      </c>
      <c r="AA1378" s="33" t="inlineStr">
        <is>
          <t>1</t>
        </is>
      </c>
      <c r="AB1378" s="33" t="inlineStr">
        <is>
          <t>https://www.swimcloud.com/results/119198/event/4/?id=19275369#time19275369</t>
        </is>
      </c>
      <c r="AC1378" s="33" t="inlineStr">
        <is>
          <t>SwimCloud API v6 2026-10-08</t>
        </is>
      </c>
      <c r="AD1378" s="33" t="inlineStr">
        <is>
          <t>Kristof Milak|2018-07-04|LCM|400|Free|232.06|LEN European Junior Championships|PRE|False</t>
        </is>
      </c>
      <c r="AE1378" s="53">
        <f>G1378+L1378/1000+ROW()/1000000000</f>
        <v/>
      </c>
      <c r="AF1378" s="35">
        <f>IF(C1378&lt;&gt;"Grayson Coulter","",COUNTIFS($C$5:$C$2991,"Grayson Coulter",$Q$5:$Q$2991,Q1378,$AE$5:$AE$2991,"&lt;="&amp;AE1378,$R$5:$R$2991,"&lt;"&amp;R1378))</f>
        <v/>
      </c>
      <c r="AG1378" s="35">
        <f>IF(OR(C1378&lt;&gt;"Grayson Coulter",G1378&lt;'00_Control'!$B$7),"",--(AF1378&lt;5))</f>
        <v/>
      </c>
      <c r="AH1378" s="35">
        <f>IF(OR(C1378&lt;&gt;"Grayson Coulter",G1378&lt;'00_Control'!$B$7),"",--(AF1378&lt;10))</f>
        <v/>
      </c>
      <c r="AI1378" s="35">
        <f>IF(AND(C1378="Grayson Coulter",G1378&gt;='00_Control'!$B$7),"YES","NO")</f>
        <v/>
      </c>
      <c r="AJ1378" s="33" t="inlineStr">
        <is>
          <t>OK</t>
        </is>
      </c>
    </row>
    <row r="1379">
      <c r="A1379" s="33" t="inlineStr">
        <is>
          <t>SM001375</t>
        </is>
      </c>
      <c r="B1379" s="33" t="inlineStr">
        <is>
          <t>SW018</t>
        </is>
      </c>
      <c r="C1379" s="33" t="inlineStr">
        <is>
          <t>Kristof Milak</t>
        </is>
      </c>
      <c r="D1379" s="33" t="inlineStr">
        <is>
          <t>SwimCloud</t>
        </is>
      </c>
      <c r="E1379" s="33" t="inlineStr">
        <is>
          <t>508643</t>
        </is>
      </c>
      <c r="F1379" s="33" t="inlineStr">
        <is>
          <t>19275370</t>
        </is>
      </c>
      <c r="G1379" s="51" t="n">
        <v>43285</v>
      </c>
      <c r="H1379" s="33" t="inlineStr">
        <is>
          <t>LEN European Junior Championships</t>
        </is>
      </c>
      <c r="I1379" s="33" t="inlineStr">
        <is>
          <t>119198</t>
        </is>
      </c>
      <c r="J1379" s="33" t="inlineStr"/>
      <c r="K1379" s="33" t="inlineStr">
        <is>
          <t>FIN</t>
        </is>
      </c>
      <c r="L1379" s="35">
        <f>IF(K1379="FIN",3,IF(OR(K1379="SEM",K1379="SEMI"),2,IF(OR(K1379="PRE",K1379="HEAT"),1,IF(V1379="YES",4,2))))</f>
        <v/>
      </c>
      <c r="M1379" s="33" t="inlineStr">
        <is>
          <t>LCM</t>
        </is>
      </c>
      <c r="N1379" s="33" t="n">
        <v>400</v>
      </c>
      <c r="O1379" s="33" t="inlineStr">
        <is>
          <t>Free</t>
        </is>
      </c>
      <c r="P1379" s="33" t="inlineStr">
        <is>
          <t>400 Free</t>
        </is>
      </c>
      <c r="Q1379" s="33" t="inlineStr">
        <is>
          <t>LCM_400_FREE</t>
        </is>
      </c>
      <c r="R1379" s="36" t="n">
        <v>230</v>
      </c>
      <c r="S1379" s="35">
        <f>IF(R1379="","",IF(R1379&gt;=60,INT(R1379/60)&amp;":"&amp;TEXT(MOD(R1379,60),"00.00"),TEXT(R1379,"0.00")))</f>
        <v/>
      </c>
      <c r="T1379" s="52">
        <f>IFERROR((G1379-INDEX('01_Swimmers'!$E$5:$E$22,MATCH(B1379,'01_Swimmers'!$A$5:$A$22,0)))/'00_Control'!$B$10,"")</f>
        <v/>
      </c>
      <c r="U1379" s="35">
        <f>IF(T1379="","",INT(T1379))</f>
        <v/>
      </c>
      <c r="V1379" s="33" t="inlineStr">
        <is>
          <t>NO</t>
        </is>
      </c>
      <c r="W1379" s="33" t="inlineStr">
        <is>
          <t>YES</t>
        </is>
      </c>
      <c r="X1379" s="33" t="inlineStr">
        <is>
          <t>NO</t>
        </is>
      </c>
      <c r="Y1379" s="33" t="n">
        <v>11</v>
      </c>
      <c r="Z1379" s="33" t="n">
        <v>4</v>
      </c>
      <c r="AA1379" s="33" t="inlineStr">
        <is>
          <t>1</t>
        </is>
      </c>
      <c r="AB1379" s="33" t="inlineStr">
        <is>
          <t>https://www.swimcloud.com/results/119198/event/104/?id=19275370#time19275370</t>
        </is>
      </c>
      <c r="AC1379" s="33" t="inlineStr">
        <is>
          <t>SwimCloud API v6 2026-10-08</t>
        </is>
      </c>
      <c r="AD1379" s="33" t="inlineStr">
        <is>
          <t>Kristof Milak|2018-07-04|LCM|400|Free|230.0|LEN European Junior Championships|FIN|False</t>
        </is>
      </c>
      <c r="AE1379" s="53">
        <f>G1379+L1379/1000+ROW()/1000000000</f>
        <v/>
      </c>
      <c r="AF1379" s="35">
        <f>IF(C1379&lt;&gt;"Grayson Coulter","",COUNTIFS($C$5:$C$2991,"Grayson Coulter",$Q$5:$Q$2991,Q1379,$AE$5:$AE$2991,"&lt;="&amp;AE1379,$R$5:$R$2991,"&lt;"&amp;R1379))</f>
        <v/>
      </c>
      <c r="AG1379" s="35">
        <f>IF(OR(C1379&lt;&gt;"Grayson Coulter",G1379&lt;'00_Control'!$B$7),"",--(AF1379&lt;5))</f>
        <v/>
      </c>
      <c r="AH1379" s="35">
        <f>IF(OR(C1379&lt;&gt;"Grayson Coulter",G1379&lt;'00_Control'!$B$7),"",--(AF1379&lt;10))</f>
        <v/>
      </c>
      <c r="AI1379" s="35">
        <f>IF(AND(C1379="Grayson Coulter",G1379&gt;='00_Control'!$B$7),"YES","NO")</f>
        <v/>
      </c>
      <c r="AJ1379" s="33" t="inlineStr">
        <is>
          <t>OK</t>
        </is>
      </c>
    </row>
    <row r="1380">
      <c r="A1380" s="33" t="inlineStr">
        <is>
          <t>SM001376</t>
        </is>
      </c>
      <c r="B1380" s="33" t="inlineStr">
        <is>
          <t>SW018</t>
        </is>
      </c>
      <c r="C1380" s="33" t="inlineStr">
        <is>
          <t>Kristof Milak</t>
        </is>
      </c>
      <c r="D1380" s="33" t="inlineStr">
        <is>
          <t>SwimCloud</t>
        </is>
      </c>
      <c r="E1380" s="33" t="inlineStr">
        <is>
          <t>508643</t>
        </is>
      </c>
      <c r="F1380" s="33" t="inlineStr">
        <is>
          <t>19275364</t>
        </is>
      </c>
      <c r="G1380" s="51" t="n">
        <v>43286</v>
      </c>
      <c r="H1380" s="33" t="inlineStr">
        <is>
          <t>LEN European Junior Championships</t>
        </is>
      </c>
      <c r="I1380" s="33" t="inlineStr">
        <is>
          <t>119198</t>
        </is>
      </c>
      <c r="J1380" s="33" t="inlineStr"/>
      <c r="K1380" s="33" t="inlineStr">
        <is>
          <t>PRE</t>
        </is>
      </c>
      <c r="L1380" s="35">
        <f>IF(K1380="FIN",3,IF(OR(K1380="SEM",K1380="SEMI"),2,IF(OR(K1380="PRE",K1380="HEAT"),1,IF(V1380="YES",4,2))))</f>
        <v/>
      </c>
      <c r="M1380" s="33" t="inlineStr">
        <is>
          <t>LCM</t>
        </is>
      </c>
      <c r="N1380" s="33" t="n">
        <v>100</v>
      </c>
      <c r="O1380" s="33" t="inlineStr">
        <is>
          <t>Free</t>
        </is>
      </c>
      <c r="P1380" s="33" t="inlineStr">
        <is>
          <t>100 Free</t>
        </is>
      </c>
      <c r="Q1380" s="33" t="inlineStr">
        <is>
          <t>LCM_100_FREE</t>
        </is>
      </c>
      <c r="R1380" s="36" t="n">
        <v>50.83</v>
      </c>
      <c r="S1380" s="35">
        <f>IF(R1380="","",IF(R1380&gt;=60,INT(R1380/60)&amp;":"&amp;TEXT(MOD(R1380,60),"00.00"),TEXT(R1380,"0.00")))</f>
        <v/>
      </c>
      <c r="T1380" s="52">
        <f>IFERROR((G1380-INDEX('01_Swimmers'!$E$5:$E$22,MATCH(B1380,'01_Swimmers'!$A$5:$A$22,0)))/'00_Control'!$B$10,"")</f>
        <v/>
      </c>
      <c r="U1380" s="35">
        <f>IF(T1380="","",INT(T1380))</f>
        <v/>
      </c>
      <c r="V1380" s="33" t="inlineStr">
        <is>
          <t>NO</t>
        </is>
      </c>
      <c r="W1380" s="33" t="inlineStr">
        <is>
          <t>YES</t>
        </is>
      </c>
      <c r="X1380" s="33" t="inlineStr">
        <is>
          <t>NO</t>
        </is>
      </c>
      <c r="Y1380" s="33" t="n">
        <v>8</v>
      </c>
      <c r="Z1380" s="33" t="n">
        <v>4</v>
      </c>
      <c r="AA1380" s="33" t="inlineStr">
        <is>
          <t>13</t>
        </is>
      </c>
      <c r="AB1380" s="33" t="inlineStr">
        <is>
          <t>https://www.swimcloud.com/results/119198/event/13/?id=19275364#time19275364</t>
        </is>
      </c>
      <c r="AC1380" s="33" t="inlineStr">
        <is>
          <t>SwimCloud API v6 2026-10-08</t>
        </is>
      </c>
      <c r="AD1380" s="33" t="inlineStr">
        <is>
          <t>Kristof Milak|2018-07-05|LCM|100|Free|50.83|LEN European Junior Championships|PRE|False</t>
        </is>
      </c>
      <c r="AE1380" s="53">
        <f>G1380+L1380/1000+ROW()/1000000000</f>
        <v/>
      </c>
      <c r="AF1380" s="35">
        <f>IF(C1380&lt;&gt;"Grayson Coulter","",COUNTIFS($C$5:$C$2991,"Grayson Coulter",$Q$5:$Q$2991,Q1380,$AE$5:$AE$2991,"&lt;="&amp;AE1380,$R$5:$R$2991,"&lt;"&amp;R1380))</f>
        <v/>
      </c>
      <c r="AG1380" s="35">
        <f>IF(OR(C1380&lt;&gt;"Grayson Coulter",G1380&lt;'00_Control'!$B$7),"",--(AF1380&lt;5))</f>
        <v/>
      </c>
      <c r="AH1380" s="35">
        <f>IF(OR(C1380&lt;&gt;"Grayson Coulter",G1380&lt;'00_Control'!$B$7),"",--(AF1380&lt;10))</f>
        <v/>
      </c>
      <c r="AI1380" s="35">
        <f>IF(AND(C1380="Grayson Coulter",G1380&gt;='00_Control'!$B$7),"YES","NO")</f>
        <v/>
      </c>
      <c r="AJ1380" s="33" t="inlineStr">
        <is>
          <t>OK</t>
        </is>
      </c>
    </row>
    <row r="1381">
      <c r="A1381" s="33" t="inlineStr">
        <is>
          <t>SM001377</t>
        </is>
      </c>
      <c r="B1381" s="33" t="inlineStr">
        <is>
          <t>SW018</t>
        </is>
      </c>
      <c r="C1381" s="33" t="inlineStr">
        <is>
          <t>Kristof Milak</t>
        </is>
      </c>
      <c r="D1381" s="33" t="inlineStr">
        <is>
          <t>SwimCloud</t>
        </is>
      </c>
      <c r="E1381" s="33" t="inlineStr">
        <is>
          <t>508643</t>
        </is>
      </c>
      <c r="F1381" s="33" t="inlineStr">
        <is>
          <t>19275365</t>
        </is>
      </c>
      <c r="G1381" s="51" t="n">
        <v>43286</v>
      </c>
      <c r="H1381" s="33" t="inlineStr">
        <is>
          <t>LEN European Junior Championships</t>
        </is>
      </c>
      <c r="I1381" s="33" t="inlineStr">
        <is>
          <t>119198</t>
        </is>
      </c>
      <c r="J1381" s="33" t="inlineStr"/>
      <c r="K1381" s="33" t="inlineStr">
        <is>
          <t>SEM</t>
        </is>
      </c>
      <c r="L1381" s="35">
        <f>IF(K1381="FIN",3,IF(OR(K1381="SEM",K1381="SEMI"),2,IF(OR(K1381="PRE",K1381="HEAT"),1,IF(V1381="YES",4,2))))</f>
        <v/>
      </c>
      <c r="M1381" s="33" t="inlineStr">
        <is>
          <t>LCM</t>
        </is>
      </c>
      <c r="N1381" s="33" t="n">
        <v>100</v>
      </c>
      <c r="O1381" s="33" t="inlineStr">
        <is>
          <t>Free</t>
        </is>
      </c>
      <c r="P1381" s="33" t="inlineStr">
        <is>
          <t>100 Free</t>
        </is>
      </c>
      <c r="Q1381" s="33" t="inlineStr">
        <is>
          <t>LCM_100_FREE</t>
        </is>
      </c>
      <c r="R1381" s="36" t="n">
        <v>50.27</v>
      </c>
      <c r="S1381" s="35">
        <f>IF(R1381="","",IF(R1381&gt;=60,INT(R1381/60)&amp;":"&amp;TEXT(MOD(R1381,60),"00.00"),TEXT(R1381,"0.00")))</f>
        <v/>
      </c>
      <c r="T1381" s="52">
        <f>IFERROR((G1381-INDEX('01_Swimmers'!$E$5:$E$22,MATCH(B1381,'01_Swimmers'!$A$5:$A$22,0)))/'00_Control'!$B$10,"")</f>
        <v/>
      </c>
      <c r="U1381" s="35">
        <f>IF(T1381="","",INT(T1381))</f>
        <v/>
      </c>
      <c r="V1381" s="33" t="inlineStr">
        <is>
          <t>NO</t>
        </is>
      </c>
      <c r="W1381" s="33" t="inlineStr">
        <is>
          <t>YES</t>
        </is>
      </c>
      <c r="X1381" s="33" t="inlineStr">
        <is>
          <t>NO</t>
        </is>
      </c>
      <c r="Y1381" s="33" t="n">
        <v>3</v>
      </c>
      <c r="Z1381" s="33" t="n">
        <v>7</v>
      </c>
      <c r="AA1381" s="33" t="inlineStr">
        <is>
          <t>9</t>
        </is>
      </c>
      <c r="AB1381" s="33" t="inlineStr">
        <is>
          <t>https://www.swimcloud.com/results/119198/event/213/?id=19275365#time19275365</t>
        </is>
      </c>
      <c r="AC1381" s="33" t="inlineStr">
        <is>
          <t>SwimCloud API v6 2026-10-08</t>
        </is>
      </c>
      <c r="AD1381" s="33" t="inlineStr">
        <is>
          <t>Kristof Milak|2018-07-05|LCM|100|Free|50.27|LEN European Junior Championships|SEM|False</t>
        </is>
      </c>
      <c r="AE1381" s="53">
        <f>G1381+L1381/1000+ROW()/1000000000</f>
        <v/>
      </c>
      <c r="AF1381" s="35">
        <f>IF(C1381&lt;&gt;"Grayson Coulter","",COUNTIFS($C$5:$C$2991,"Grayson Coulter",$Q$5:$Q$2991,Q1381,$AE$5:$AE$2991,"&lt;="&amp;AE1381,$R$5:$R$2991,"&lt;"&amp;R1381))</f>
        <v/>
      </c>
      <c r="AG1381" s="35">
        <f>IF(OR(C1381&lt;&gt;"Grayson Coulter",G1381&lt;'00_Control'!$B$7),"",--(AF1381&lt;5))</f>
        <v/>
      </c>
      <c r="AH1381" s="35">
        <f>IF(OR(C1381&lt;&gt;"Grayson Coulter",G1381&lt;'00_Control'!$B$7),"",--(AF1381&lt;10))</f>
        <v/>
      </c>
      <c r="AI1381" s="35">
        <f>IF(AND(C1381="Grayson Coulter",G1381&gt;='00_Control'!$B$7),"YES","NO")</f>
        <v/>
      </c>
      <c r="AJ1381" s="33" t="inlineStr">
        <is>
          <t>OK</t>
        </is>
      </c>
    </row>
    <row r="1382">
      <c r="A1382" s="33" t="inlineStr">
        <is>
          <t>SM001378</t>
        </is>
      </c>
      <c r="B1382" s="33" t="inlineStr">
        <is>
          <t>SW018</t>
        </is>
      </c>
      <c r="C1382" s="33" t="inlineStr">
        <is>
          <t>Kristof Milak</t>
        </is>
      </c>
      <c r="D1382" s="33" t="inlineStr">
        <is>
          <t>SwimCloud</t>
        </is>
      </c>
      <c r="E1382" s="33" t="inlineStr">
        <is>
          <t>508643</t>
        </is>
      </c>
      <c r="F1382" s="33" t="inlineStr">
        <is>
          <t>19277179</t>
        </is>
      </c>
      <c r="G1382" s="51" t="n">
        <v>43286</v>
      </c>
      <c r="H1382" s="33" t="inlineStr">
        <is>
          <t>LEN European Junior Championships</t>
        </is>
      </c>
      <c r="I1382" s="33" t="inlineStr">
        <is>
          <t>119198</t>
        </is>
      </c>
      <c r="J1382" s="33" t="inlineStr"/>
      <c r="K1382" s="33" t="inlineStr">
        <is>
          <t>FIN</t>
        </is>
      </c>
      <c r="L1382" s="35">
        <f>IF(K1382="FIN",3,IF(OR(K1382="SEM",K1382="SEMI"),2,IF(OR(K1382="PRE",K1382="HEAT"),1,IF(V1382="YES",4,2))))</f>
        <v/>
      </c>
      <c r="M1382" s="33" t="inlineStr">
        <is>
          <t>LCM</t>
        </is>
      </c>
      <c r="N1382" s="33" t="n">
        <v>100</v>
      </c>
      <c r="O1382" s="33" t="inlineStr">
        <is>
          <t>Free</t>
        </is>
      </c>
      <c r="P1382" s="33" t="inlineStr">
        <is>
          <t>100 Free</t>
        </is>
      </c>
      <c r="Q1382" s="33" t="inlineStr">
        <is>
          <t>LCM_100_FREE</t>
        </is>
      </c>
      <c r="R1382" s="36" t="n">
        <v>49.24</v>
      </c>
      <c r="S1382" s="35">
        <f>IF(R1382="","",IF(R1382&gt;=60,INT(R1382/60)&amp;":"&amp;TEXT(MOD(R1382,60),"00.00"),TEXT(R1382,"0.00")))</f>
        <v/>
      </c>
      <c r="T1382" s="52">
        <f>IFERROR((G1382-INDEX('01_Swimmers'!$E$5:$E$22,MATCH(B1382,'01_Swimmers'!$A$5:$A$22,0)))/'00_Control'!$B$10,"")</f>
        <v/>
      </c>
      <c r="U1382" s="35">
        <f>IF(T1382="","",INT(T1382))</f>
        <v/>
      </c>
      <c r="V1382" s="33" t="inlineStr">
        <is>
          <t>YES</t>
        </is>
      </c>
      <c r="W1382" s="33" t="inlineStr">
        <is>
          <t>YES</t>
        </is>
      </c>
      <c r="X1382" s="33" t="inlineStr">
        <is>
          <t>NO</t>
        </is>
      </c>
      <c r="Y1382" s="33" t="n">
        <v>18</v>
      </c>
      <c r="Z1382" s="33" t="n">
        <v>3</v>
      </c>
      <c r="AA1382" s="33" t="inlineStr"/>
      <c r="AB1382" s="33" t="inlineStr">
        <is>
          <t>https://www.swimcloud.com/results/119198/event/118/?id=19275414#time19275414</t>
        </is>
      </c>
      <c r="AC1382" s="33" t="inlineStr">
        <is>
          <t>SwimCloud API v6 2026-10-08</t>
        </is>
      </c>
      <c r="AD1382" s="33" t="inlineStr">
        <is>
          <t>Kristof Milak|2018-07-05|LCM|100|Free|49.24|LEN European Junior Championships|FIN|True</t>
        </is>
      </c>
      <c r="AE1382" s="53">
        <f>G1382+L1382/1000+ROW()/1000000000</f>
        <v/>
      </c>
      <c r="AF1382" s="35">
        <f>IF(C1382&lt;&gt;"Grayson Coulter","",COUNTIFS($C$5:$C$2991,"Grayson Coulter",$Q$5:$Q$2991,Q1382,$AE$5:$AE$2991,"&lt;="&amp;AE1382,$R$5:$R$2991,"&lt;"&amp;R1382))</f>
        <v/>
      </c>
      <c r="AG1382" s="35">
        <f>IF(OR(C1382&lt;&gt;"Grayson Coulter",G1382&lt;'00_Control'!$B$7),"",--(AF1382&lt;5))</f>
        <v/>
      </c>
      <c r="AH1382" s="35">
        <f>IF(OR(C1382&lt;&gt;"Grayson Coulter",G1382&lt;'00_Control'!$B$7),"",--(AF1382&lt;10))</f>
        <v/>
      </c>
      <c r="AI1382" s="35">
        <f>IF(AND(C1382="Grayson Coulter",G1382&gt;='00_Control'!$B$7),"YES","NO")</f>
        <v/>
      </c>
      <c r="AJ1382" s="33" t="inlineStr">
        <is>
          <t>OK</t>
        </is>
      </c>
    </row>
    <row r="1383">
      <c r="A1383" s="33" t="inlineStr">
        <is>
          <t>SM001379</t>
        </is>
      </c>
      <c r="B1383" s="33" t="inlineStr">
        <is>
          <t>SW018</t>
        </is>
      </c>
      <c r="C1383" s="33" t="inlineStr">
        <is>
          <t>Kristof Milak</t>
        </is>
      </c>
      <c r="D1383" s="33" t="inlineStr">
        <is>
          <t>SwimCloud</t>
        </is>
      </c>
      <c r="E1383" s="33" t="inlineStr">
        <is>
          <t>508643</t>
        </is>
      </c>
      <c r="F1383" s="33" t="inlineStr">
        <is>
          <t>19275377</t>
        </is>
      </c>
      <c r="G1383" s="51" t="n">
        <v>43288</v>
      </c>
      <c r="H1383" s="33" t="inlineStr">
        <is>
          <t>LEN European Junior Championships</t>
        </is>
      </c>
      <c r="I1383" s="33" t="inlineStr">
        <is>
          <t>119198</t>
        </is>
      </c>
      <c r="J1383" s="33" t="inlineStr"/>
      <c r="K1383" s="33" t="inlineStr">
        <is>
          <t>PRE</t>
        </is>
      </c>
      <c r="L1383" s="35">
        <f>IF(K1383="FIN",3,IF(OR(K1383="SEM",K1383="SEMI"),2,IF(OR(K1383="PRE",K1383="HEAT"),1,IF(V1383="YES",4,2))))</f>
        <v/>
      </c>
      <c r="M1383" s="33" t="inlineStr">
        <is>
          <t>LCM</t>
        </is>
      </c>
      <c r="N1383" s="33" t="n">
        <v>100</v>
      </c>
      <c r="O1383" s="33" t="inlineStr">
        <is>
          <t>Fly</t>
        </is>
      </c>
      <c r="P1383" s="33" t="inlineStr">
        <is>
          <t>100 Fly</t>
        </is>
      </c>
      <c r="Q1383" s="33" t="inlineStr">
        <is>
          <t>LCM_100_FLY</t>
        </is>
      </c>
      <c r="R1383" s="36" t="n">
        <v>53.2</v>
      </c>
      <c r="S1383" s="35">
        <f>IF(R1383="","",IF(R1383&gt;=60,INT(R1383/60)&amp;":"&amp;TEXT(MOD(R1383,60),"00.00"),TEXT(R1383,"0.00")))</f>
        <v/>
      </c>
      <c r="T1383" s="52">
        <f>IFERROR((G1383-INDEX('01_Swimmers'!$E$5:$E$22,MATCH(B1383,'01_Swimmers'!$A$5:$A$22,0)))/'00_Control'!$B$10,"")</f>
        <v/>
      </c>
      <c r="U1383" s="35">
        <f>IF(T1383="","",INT(T1383))</f>
        <v/>
      </c>
      <c r="V1383" s="33" t="inlineStr">
        <is>
          <t>NO</t>
        </is>
      </c>
      <c r="W1383" s="33" t="inlineStr">
        <is>
          <t>YES</t>
        </is>
      </c>
      <c r="X1383" s="33" t="inlineStr">
        <is>
          <t>NO</t>
        </is>
      </c>
      <c r="Y1383" s="33" t="n">
        <v>36</v>
      </c>
      <c r="Z1383" s="33" t="n">
        <v>4</v>
      </c>
      <c r="AA1383" s="33" t="inlineStr">
        <is>
          <t>3</t>
        </is>
      </c>
      <c r="AB1383" s="33" t="inlineStr">
        <is>
          <t>https://www.swimcloud.com/results/119198/event/33/?id=19275377#time19275377</t>
        </is>
      </c>
      <c r="AC1383" s="33" t="inlineStr">
        <is>
          <t>SwimCloud API v6 2026-10-08</t>
        </is>
      </c>
      <c r="AD1383" s="33" t="inlineStr">
        <is>
          <t>Kristof Milak|2018-07-07|LCM|100|Fly|53.2|LEN European Junior Championships|PRE|False</t>
        </is>
      </c>
      <c r="AE1383" s="53">
        <f>G1383+L1383/1000+ROW()/1000000000</f>
        <v/>
      </c>
      <c r="AF1383" s="35">
        <f>IF(C1383&lt;&gt;"Grayson Coulter","",COUNTIFS($C$5:$C$2991,"Grayson Coulter",$Q$5:$Q$2991,Q1383,$AE$5:$AE$2991,"&lt;="&amp;AE1383,$R$5:$R$2991,"&lt;"&amp;R1383))</f>
        <v/>
      </c>
      <c r="AG1383" s="35">
        <f>IF(OR(C1383&lt;&gt;"Grayson Coulter",G1383&lt;'00_Control'!$B$7),"",--(AF1383&lt;5))</f>
        <v/>
      </c>
      <c r="AH1383" s="35">
        <f>IF(OR(C1383&lt;&gt;"Grayson Coulter",G1383&lt;'00_Control'!$B$7),"",--(AF1383&lt;10))</f>
        <v/>
      </c>
      <c r="AI1383" s="35">
        <f>IF(AND(C1383="Grayson Coulter",G1383&gt;='00_Control'!$B$7),"YES","NO")</f>
        <v/>
      </c>
      <c r="AJ1383" s="33" t="inlineStr">
        <is>
          <t>OK</t>
        </is>
      </c>
    </row>
    <row r="1384">
      <c r="A1384" s="33" t="inlineStr">
        <is>
          <t>SM001380</t>
        </is>
      </c>
      <c r="B1384" s="33" t="inlineStr">
        <is>
          <t>SW018</t>
        </is>
      </c>
      <c r="C1384" s="33" t="inlineStr">
        <is>
          <t>Kristof Milak</t>
        </is>
      </c>
      <c r="D1384" s="33" t="inlineStr">
        <is>
          <t>SwimCloud</t>
        </is>
      </c>
      <c r="E1384" s="33" t="inlineStr">
        <is>
          <t>508643</t>
        </is>
      </c>
      <c r="F1384" s="33" t="inlineStr">
        <is>
          <t>19275378</t>
        </is>
      </c>
      <c r="G1384" s="51" t="n">
        <v>43288</v>
      </c>
      <c r="H1384" s="33" t="inlineStr">
        <is>
          <t>LEN European Junior Championships</t>
        </is>
      </c>
      <c r="I1384" s="33" t="inlineStr">
        <is>
          <t>119198</t>
        </is>
      </c>
      <c r="J1384" s="33" t="inlineStr"/>
      <c r="K1384" s="33" t="inlineStr">
        <is>
          <t>SEM</t>
        </is>
      </c>
      <c r="L1384" s="35">
        <f>IF(K1384="FIN",3,IF(OR(K1384="SEM",K1384="SEMI"),2,IF(OR(K1384="PRE",K1384="HEAT"),1,IF(V1384="YES",4,2))))</f>
        <v/>
      </c>
      <c r="M1384" s="33" t="inlineStr">
        <is>
          <t>LCM</t>
        </is>
      </c>
      <c r="N1384" s="33" t="n">
        <v>100</v>
      </c>
      <c r="O1384" s="33" t="inlineStr">
        <is>
          <t>Fly</t>
        </is>
      </c>
      <c r="P1384" s="33" t="inlineStr">
        <is>
          <t>100 Fly</t>
        </is>
      </c>
      <c r="Q1384" s="33" t="inlineStr">
        <is>
          <t>LCM_100_FLY</t>
        </is>
      </c>
      <c r="R1384" s="36" t="n">
        <v>52.97</v>
      </c>
      <c r="S1384" s="35">
        <f>IF(R1384="","",IF(R1384&gt;=60,INT(R1384/60)&amp;":"&amp;TEXT(MOD(R1384,60),"00.00"),TEXT(R1384,"0.00")))</f>
        <v/>
      </c>
      <c r="T1384" s="52">
        <f>IFERROR((G1384-INDEX('01_Swimmers'!$E$5:$E$22,MATCH(B1384,'01_Swimmers'!$A$5:$A$22,0)))/'00_Control'!$B$10,"")</f>
        <v/>
      </c>
      <c r="U1384" s="35">
        <f>IF(T1384="","",INT(T1384))</f>
        <v/>
      </c>
      <c r="V1384" s="33" t="inlineStr">
        <is>
          <t>NO</t>
        </is>
      </c>
      <c r="W1384" s="33" t="inlineStr">
        <is>
          <t>YES</t>
        </is>
      </c>
      <c r="X1384" s="33" t="inlineStr">
        <is>
          <t>NO</t>
        </is>
      </c>
      <c r="Y1384" s="33" t="n">
        <v>8</v>
      </c>
      <c r="Z1384" s="33" t="n">
        <v>5</v>
      </c>
      <c r="AA1384" s="33" t="inlineStr">
        <is>
          <t>3</t>
        </is>
      </c>
      <c r="AB1384" s="33" t="inlineStr">
        <is>
          <t>https://www.swimcloud.com/results/119198/event/233/?id=19275378#time19275378</t>
        </is>
      </c>
      <c r="AC1384" s="33" t="inlineStr">
        <is>
          <t>SwimCloud API v6 2026-10-08</t>
        </is>
      </c>
      <c r="AD1384" s="33" t="inlineStr">
        <is>
          <t>Kristof Milak|2018-07-07|LCM|100|Fly|52.97|LEN European Junior Championships|SEM|False</t>
        </is>
      </c>
      <c r="AE1384" s="53">
        <f>G1384+L1384/1000+ROW()/1000000000</f>
        <v/>
      </c>
      <c r="AF1384" s="35">
        <f>IF(C1384&lt;&gt;"Grayson Coulter","",COUNTIFS($C$5:$C$2991,"Grayson Coulter",$Q$5:$Q$2991,Q1384,$AE$5:$AE$2991,"&lt;="&amp;AE1384,$R$5:$R$2991,"&lt;"&amp;R1384))</f>
        <v/>
      </c>
      <c r="AG1384" s="35">
        <f>IF(OR(C1384&lt;&gt;"Grayson Coulter",G1384&lt;'00_Control'!$B$7),"",--(AF1384&lt;5))</f>
        <v/>
      </c>
      <c r="AH1384" s="35">
        <f>IF(OR(C1384&lt;&gt;"Grayson Coulter",G1384&lt;'00_Control'!$B$7),"",--(AF1384&lt;10))</f>
        <v/>
      </c>
      <c r="AI1384" s="35">
        <f>IF(AND(C1384="Grayson Coulter",G1384&gt;='00_Control'!$B$7),"YES","NO")</f>
        <v/>
      </c>
      <c r="AJ1384" s="33" t="inlineStr">
        <is>
          <t>OK</t>
        </is>
      </c>
    </row>
    <row r="1385">
      <c r="A1385" s="33" t="inlineStr">
        <is>
          <t>SM001381</t>
        </is>
      </c>
      <c r="B1385" s="33" t="inlineStr">
        <is>
          <t>SW018</t>
        </is>
      </c>
      <c r="C1385" s="33" t="inlineStr">
        <is>
          <t>Kristof Milak</t>
        </is>
      </c>
      <c r="D1385" s="33" t="inlineStr">
        <is>
          <t>SwimCloud</t>
        </is>
      </c>
      <c r="E1385" s="33" t="inlineStr">
        <is>
          <t>508643</t>
        </is>
      </c>
      <c r="F1385" s="33" t="inlineStr">
        <is>
          <t>19275366</t>
        </is>
      </c>
      <c r="G1385" s="51" t="n">
        <v>43288</v>
      </c>
      <c r="H1385" s="33" t="inlineStr">
        <is>
          <t>LEN European Junior Championships</t>
        </is>
      </c>
      <c r="I1385" s="33" t="inlineStr">
        <is>
          <t>119198</t>
        </is>
      </c>
      <c r="J1385" s="33" t="inlineStr"/>
      <c r="K1385" s="33" t="inlineStr">
        <is>
          <t>PRE</t>
        </is>
      </c>
      <c r="L1385" s="35">
        <f>IF(K1385="FIN",3,IF(OR(K1385="SEM",K1385="SEMI"),2,IF(OR(K1385="PRE",K1385="HEAT"),1,IF(V1385="YES",4,2))))</f>
        <v/>
      </c>
      <c r="M1385" s="33" t="inlineStr">
        <is>
          <t>LCM</t>
        </is>
      </c>
      <c r="N1385" s="33" t="n">
        <v>200</v>
      </c>
      <c r="O1385" s="33" t="inlineStr">
        <is>
          <t>Free</t>
        </is>
      </c>
      <c r="P1385" s="33" t="inlineStr">
        <is>
          <t>200 Free</t>
        </is>
      </c>
      <c r="Q1385" s="33" t="inlineStr">
        <is>
          <t>LCM_200_FREE</t>
        </is>
      </c>
      <c r="R1385" s="36" t="n">
        <v>110.4</v>
      </c>
      <c r="S1385" s="35">
        <f>IF(R1385="","",IF(R1385&gt;=60,INT(R1385/60)&amp;":"&amp;TEXT(MOD(R1385,60),"00.00"),TEXT(R1385,"0.00")))</f>
        <v/>
      </c>
      <c r="T1385" s="52">
        <f>IFERROR((G1385-INDEX('01_Swimmers'!$E$5:$E$22,MATCH(B1385,'01_Swimmers'!$A$5:$A$22,0)))/'00_Control'!$B$10,"")</f>
        <v/>
      </c>
      <c r="U1385" s="35">
        <f>IF(T1385="","",INT(T1385))</f>
        <v/>
      </c>
      <c r="V1385" s="33" t="inlineStr">
        <is>
          <t>NO</t>
        </is>
      </c>
      <c r="W1385" s="33" t="inlineStr">
        <is>
          <t>YES</t>
        </is>
      </c>
      <c r="X1385" s="33" t="inlineStr">
        <is>
          <t>NO</t>
        </is>
      </c>
      <c r="Y1385" s="33" t="n">
        <v>24</v>
      </c>
      <c r="Z1385" s="33" t="n">
        <v>4</v>
      </c>
      <c r="AA1385" s="33" t="inlineStr">
        <is>
          <t>5</t>
        </is>
      </c>
      <c r="AB1385" s="33" t="inlineStr">
        <is>
          <t>https://www.swimcloud.com/results/119198/event/31/?id=19275366#time19275366</t>
        </is>
      </c>
      <c r="AC1385" s="33" t="inlineStr">
        <is>
          <t>SwimCloud API v6 2026-10-08</t>
        </is>
      </c>
      <c r="AD1385" s="33" t="inlineStr">
        <is>
          <t>Kristof Milak|2018-07-07|LCM|200|Free|110.4|LEN European Junior Championships|PRE|False</t>
        </is>
      </c>
      <c r="AE1385" s="53">
        <f>G1385+L1385/1000+ROW()/1000000000</f>
        <v/>
      </c>
      <c r="AF1385" s="35">
        <f>IF(C1385&lt;&gt;"Grayson Coulter","",COUNTIFS($C$5:$C$2991,"Grayson Coulter",$Q$5:$Q$2991,Q1385,$AE$5:$AE$2991,"&lt;="&amp;AE1385,$R$5:$R$2991,"&lt;"&amp;R1385))</f>
        <v/>
      </c>
      <c r="AG1385" s="35">
        <f>IF(OR(C1385&lt;&gt;"Grayson Coulter",G1385&lt;'00_Control'!$B$7),"",--(AF1385&lt;5))</f>
        <v/>
      </c>
      <c r="AH1385" s="35">
        <f>IF(OR(C1385&lt;&gt;"Grayson Coulter",G1385&lt;'00_Control'!$B$7),"",--(AF1385&lt;10))</f>
        <v/>
      </c>
      <c r="AI1385" s="35">
        <f>IF(AND(C1385="Grayson Coulter",G1385&gt;='00_Control'!$B$7),"YES","NO")</f>
        <v/>
      </c>
      <c r="AJ1385" s="33" t="inlineStr">
        <is>
          <t>OK</t>
        </is>
      </c>
    </row>
    <row r="1386">
      <c r="A1386" s="33" t="inlineStr">
        <is>
          <t>SM001382</t>
        </is>
      </c>
      <c r="B1386" s="33" t="inlineStr">
        <is>
          <t>SW018</t>
        </is>
      </c>
      <c r="C1386" s="33" t="inlineStr">
        <is>
          <t>Kristof Milak</t>
        </is>
      </c>
      <c r="D1386" s="33" t="inlineStr">
        <is>
          <t>SwimCloud</t>
        </is>
      </c>
      <c r="E1386" s="33" t="inlineStr">
        <is>
          <t>508643</t>
        </is>
      </c>
      <c r="F1386" s="33" t="inlineStr">
        <is>
          <t>19275367</t>
        </is>
      </c>
      <c r="G1386" s="51" t="n">
        <v>43288</v>
      </c>
      <c r="H1386" s="33" t="inlineStr">
        <is>
          <t>LEN European Junior Championships</t>
        </is>
      </c>
      <c r="I1386" s="33" t="inlineStr">
        <is>
          <t>119198</t>
        </is>
      </c>
      <c r="J1386" s="33" t="inlineStr"/>
      <c r="K1386" s="33" t="inlineStr">
        <is>
          <t>SEM</t>
        </is>
      </c>
      <c r="L1386" s="35">
        <f>IF(K1386="FIN",3,IF(OR(K1386="SEM",K1386="SEMI"),2,IF(OR(K1386="PRE",K1386="HEAT"),1,IF(V1386="YES",4,2))))</f>
        <v/>
      </c>
      <c r="M1386" s="33" t="inlineStr">
        <is>
          <t>LCM</t>
        </is>
      </c>
      <c r="N1386" s="33" t="n">
        <v>200</v>
      </c>
      <c r="O1386" s="33" t="inlineStr">
        <is>
          <t>Free</t>
        </is>
      </c>
      <c r="P1386" s="33" t="inlineStr">
        <is>
          <t>200 Free</t>
        </is>
      </c>
      <c r="Q1386" s="33" t="inlineStr">
        <is>
          <t>LCM_200_FREE</t>
        </is>
      </c>
      <c r="R1386" s="36" t="n">
        <v>108.19</v>
      </c>
      <c r="S1386" s="35">
        <f>IF(R1386="","",IF(R1386&gt;=60,INT(R1386/60)&amp;":"&amp;TEXT(MOD(R1386,60),"00.00"),TEXT(R1386,"0.00")))</f>
        <v/>
      </c>
      <c r="T1386" s="52">
        <f>IFERROR((G1386-INDEX('01_Swimmers'!$E$5:$E$22,MATCH(B1386,'01_Swimmers'!$A$5:$A$22,0)))/'00_Control'!$B$10,"")</f>
        <v/>
      </c>
      <c r="U1386" s="35">
        <f>IF(T1386="","",INT(T1386))</f>
        <v/>
      </c>
      <c r="V1386" s="33" t="inlineStr">
        <is>
          <t>NO</t>
        </is>
      </c>
      <c r="W1386" s="33" t="inlineStr">
        <is>
          <t>YES</t>
        </is>
      </c>
      <c r="X1386" s="33" t="inlineStr">
        <is>
          <t>NO</t>
        </is>
      </c>
      <c r="Y1386" s="33" t="n">
        <v>12</v>
      </c>
      <c r="Z1386" s="33" t="n">
        <v>3</v>
      </c>
      <c r="AA1386" s="33" t="inlineStr">
        <is>
          <t>2</t>
        </is>
      </c>
      <c r="AB1386" s="33" t="inlineStr">
        <is>
          <t>https://www.swimcloud.com/results/119198/event/231/?id=19275367#time19275367</t>
        </is>
      </c>
      <c r="AC1386" s="33" t="inlineStr">
        <is>
          <t>SwimCloud API v6 2026-10-08</t>
        </is>
      </c>
      <c r="AD1386" s="33" t="inlineStr">
        <is>
          <t>Kristof Milak|2018-07-07|LCM|200|Free|108.19|LEN European Junior Championships|SEM|False</t>
        </is>
      </c>
      <c r="AE1386" s="53">
        <f>G1386+L1386/1000+ROW()/1000000000</f>
        <v/>
      </c>
      <c r="AF1386" s="35">
        <f>IF(C1386&lt;&gt;"Grayson Coulter","",COUNTIFS($C$5:$C$2991,"Grayson Coulter",$Q$5:$Q$2991,Q1386,$AE$5:$AE$2991,"&lt;="&amp;AE1386,$R$5:$R$2991,"&lt;"&amp;R1386))</f>
        <v/>
      </c>
      <c r="AG1386" s="35">
        <f>IF(OR(C1386&lt;&gt;"Grayson Coulter",G1386&lt;'00_Control'!$B$7),"",--(AF1386&lt;5))</f>
        <v/>
      </c>
      <c r="AH1386" s="35">
        <f>IF(OR(C1386&lt;&gt;"Grayson Coulter",G1386&lt;'00_Control'!$B$7),"",--(AF1386&lt;10))</f>
        <v/>
      </c>
      <c r="AI1386" s="35">
        <f>IF(AND(C1386="Grayson Coulter",G1386&gt;='00_Control'!$B$7),"YES","NO")</f>
        <v/>
      </c>
      <c r="AJ1386" s="33" t="inlineStr">
        <is>
          <t>OK</t>
        </is>
      </c>
    </row>
    <row r="1387">
      <c r="A1387" s="33" t="inlineStr">
        <is>
          <t>SM001383</t>
        </is>
      </c>
      <c r="B1387" s="33" t="inlineStr">
        <is>
          <t>SW018</t>
        </is>
      </c>
      <c r="C1387" s="33" t="inlineStr">
        <is>
          <t>Kristof Milak</t>
        </is>
      </c>
      <c r="D1387" s="33" t="inlineStr">
        <is>
          <t>SwimCloud</t>
        </is>
      </c>
      <c r="E1387" s="33" t="inlineStr">
        <is>
          <t>508643</t>
        </is>
      </c>
      <c r="F1387" s="33" t="inlineStr">
        <is>
          <t>19275379</t>
        </is>
      </c>
      <c r="G1387" s="51" t="n">
        <v>43289</v>
      </c>
      <c r="H1387" s="33" t="inlineStr">
        <is>
          <t>LEN European Junior Championships</t>
        </is>
      </c>
      <c r="I1387" s="33" t="inlineStr">
        <is>
          <t>119198</t>
        </is>
      </c>
      <c r="J1387" s="33" t="inlineStr"/>
      <c r="K1387" s="33" t="inlineStr">
        <is>
          <t>FIN</t>
        </is>
      </c>
      <c r="L1387" s="35">
        <f>IF(K1387="FIN",3,IF(OR(K1387="SEM",K1387="SEMI"),2,IF(OR(K1387="PRE",K1387="HEAT"),1,IF(V1387="YES",4,2))))</f>
        <v/>
      </c>
      <c r="M1387" s="33" t="inlineStr">
        <is>
          <t>LCM</t>
        </is>
      </c>
      <c r="N1387" s="33" t="n">
        <v>100</v>
      </c>
      <c r="O1387" s="33" t="inlineStr">
        <is>
          <t>Fly</t>
        </is>
      </c>
      <c r="P1387" s="33" t="inlineStr">
        <is>
          <t>100 Fly</t>
        </is>
      </c>
      <c r="Q1387" s="33" t="inlineStr">
        <is>
          <t>LCM_100_FLY</t>
        </is>
      </c>
      <c r="R1387" s="36" t="n">
        <v>51.78</v>
      </c>
      <c r="S1387" s="35">
        <f>IF(R1387="","",IF(R1387&gt;=60,INT(R1387/60)&amp;":"&amp;TEXT(MOD(R1387,60),"00.00"),TEXT(R1387,"0.00")))</f>
        <v/>
      </c>
      <c r="T1387" s="52">
        <f>IFERROR((G1387-INDEX('01_Swimmers'!$E$5:$E$22,MATCH(B1387,'01_Swimmers'!$A$5:$A$22,0)))/'00_Control'!$B$10,"")</f>
        <v/>
      </c>
      <c r="U1387" s="35">
        <f>IF(T1387="","",INT(T1387))</f>
        <v/>
      </c>
      <c r="V1387" s="33" t="inlineStr">
        <is>
          <t>NO</t>
        </is>
      </c>
      <c r="W1387" s="33" t="inlineStr">
        <is>
          <t>YES</t>
        </is>
      </c>
      <c r="X1387" s="33" t="inlineStr">
        <is>
          <t>NO</t>
        </is>
      </c>
      <c r="Y1387" s="33" t="n">
        <v>11</v>
      </c>
      <c r="Z1387" s="33" t="n">
        <v>3</v>
      </c>
      <c r="AA1387" s="33" t="inlineStr">
        <is>
          <t>1</t>
        </is>
      </c>
      <c r="AB1387" s="33" t="inlineStr">
        <is>
          <t>https://www.swimcloud.com/results/119198/event/133/?id=19275379#time19275379</t>
        </is>
      </c>
      <c r="AC1387" s="33" t="inlineStr">
        <is>
          <t>SwimCloud API v6 2026-10-08</t>
        </is>
      </c>
      <c r="AD1387" s="33" t="inlineStr">
        <is>
          <t>Kristof Milak|2018-07-08|LCM|100|Fly|51.78|LEN European Junior Championships|FIN|False</t>
        </is>
      </c>
      <c r="AE1387" s="53">
        <f>G1387+L1387/1000+ROW()/1000000000</f>
        <v/>
      </c>
      <c r="AF1387" s="35">
        <f>IF(C1387&lt;&gt;"Grayson Coulter","",COUNTIFS($C$5:$C$2991,"Grayson Coulter",$Q$5:$Q$2991,Q1387,$AE$5:$AE$2991,"&lt;="&amp;AE1387,$R$5:$R$2991,"&lt;"&amp;R1387))</f>
        <v/>
      </c>
      <c r="AG1387" s="35">
        <f>IF(OR(C1387&lt;&gt;"Grayson Coulter",G1387&lt;'00_Control'!$B$7),"",--(AF1387&lt;5))</f>
        <v/>
      </c>
      <c r="AH1387" s="35">
        <f>IF(OR(C1387&lt;&gt;"Grayson Coulter",G1387&lt;'00_Control'!$B$7),"",--(AF1387&lt;10))</f>
        <v/>
      </c>
      <c r="AI1387" s="35">
        <f>IF(AND(C1387="Grayson Coulter",G1387&gt;='00_Control'!$B$7),"YES","NO")</f>
        <v/>
      </c>
      <c r="AJ1387" s="33" t="inlineStr">
        <is>
          <t>OK</t>
        </is>
      </c>
    </row>
    <row r="1388">
      <c r="A1388" s="33" t="inlineStr">
        <is>
          <t>SM001384</t>
        </is>
      </c>
      <c r="B1388" s="33" t="inlineStr">
        <is>
          <t>SW018</t>
        </is>
      </c>
      <c r="C1388" s="33" t="inlineStr">
        <is>
          <t>Kristof Milak</t>
        </is>
      </c>
      <c r="D1388" s="33" t="inlineStr">
        <is>
          <t>SwimCloud</t>
        </is>
      </c>
      <c r="E1388" s="33" t="inlineStr">
        <is>
          <t>508643</t>
        </is>
      </c>
      <c r="F1388" s="33" t="inlineStr">
        <is>
          <t>19275368</t>
        </is>
      </c>
      <c r="G1388" s="51" t="n">
        <v>43289</v>
      </c>
      <c r="H1388" s="33" t="inlineStr">
        <is>
          <t>LEN European Junior Championships</t>
        </is>
      </c>
      <c r="I1388" s="33" t="inlineStr">
        <is>
          <t>119198</t>
        </is>
      </c>
      <c r="J1388" s="33" t="inlineStr"/>
      <c r="K1388" s="33" t="inlineStr">
        <is>
          <t>FIN</t>
        </is>
      </c>
      <c r="L1388" s="35">
        <f>IF(K1388="FIN",3,IF(OR(K1388="SEM",K1388="SEMI"),2,IF(OR(K1388="PRE",K1388="HEAT"),1,IF(V1388="YES",4,2))))</f>
        <v/>
      </c>
      <c r="M1388" s="33" t="inlineStr">
        <is>
          <t>LCM</t>
        </is>
      </c>
      <c r="N1388" s="33" t="n">
        <v>200</v>
      </c>
      <c r="O1388" s="33" t="inlineStr">
        <is>
          <t>Free</t>
        </is>
      </c>
      <c r="P1388" s="33" t="inlineStr">
        <is>
          <t>200 Free</t>
        </is>
      </c>
      <c r="Q1388" s="33" t="inlineStr">
        <is>
          <t>LCM_200_FREE</t>
        </is>
      </c>
      <c r="R1388" s="36" t="n">
        <v>107.19</v>
      </c>
      <c r="S1388" s="35">
        <f>IF(R1388="","",IF(R1388&gt;=60,INT(R1388/60)&amp;":"&amp;TEXT(MOD(R1388,60),"00.00"),TEXT(R1388,"0.00")))</f>
        <v/>
      </c>
      <c r="T1388" s="52">
        <f>IFERROR((G1388-INDEX('01_Swimmers'!$E$5:$E$22,MATCH(B1388,'01_Swimmers'!$A$5:$A$22,0)))/'00_Control'!$B$10,"")</f>
        <v/>
      </c>
      <c r="U1388" s="35">
        <f>IF(T1388="","",INT(T1388))</f>
        <v/>
      </c>
      <c r="V1388" s="33" t="inlineStr">
        <is>
          <t>NO</t>
        </is>
      </c>
      <c r="W1388" s="33" t="inlineStr">
        <is>
          <t>YES</t>
        </is>
      </c>
      <c r="X1388" s="33" t="inlineStr">
        <is>
          <t>NO</t>
        </is>
      </c>
      <c r="Y1388" s="33" t="n">
        <v>9</v>
      </c>
      <c r="Z1388" s="33" t="n">
        <v>5</v>
      </c>
      <c r="AA1388" s="33" t="inlineStr">
        <is>
          <t>1</t>
        </is>
      </c>
      <c r="AB1388" s="33" t="inlineStr">
        <is>
          <t>https://www.swimcloud.com/results/119198/event/131/?id=19275368#time19275368</t>
        </is>
      </c>
      <c r="AC1388" s="33" t="inlineStr">
        <is>
          <t>SwimCloud API v6 2026-10-08</t>
        </is>
      </c>
      <c r="AD1388" s="33" t="inlineStr">
        <is>
          <t>Kristof Milak|2018-07-08|LCM|200|Free|107.19|LEN European Junior Championships|FIN|False</t>
        </is>
      </c>
      <c r="AE1388" s="53">
        <f>G1388+L1388/1000+ROW()/1000000000</f>
        <v/>
      </c>
      <c r="AF1388" s="35">
        <f>IF(C1388&lt;&gt;"Grayson Coulter","",COUNTIFS($C$5:$C$2991,"Grayson Coulter",$Q$5:$Q$2991,Q1388,$AE$5:$AE$2991,"&lt;="&amp;AE1388,$R$5:$R$2991,"&lt;"&amp;R1388))</f>
        <v/>
      </c>
      <c r="AG1388" s="35">
        <f>IF(OR(C1388&lt;&gt;"Grayson Coulter",G1388&lt;'00_Control'!$B$7),"",--(AF1388&lt;5))</f>
        <v/>
      </c>
      <c r="AH1388" s="35">
        <f>IF(OR(C1388&lt;&gt;"Grayson Coulter",G1388&lt;'00_Control'!$B$7),"",--(AF1388&lt;10))</f>
        <v/>
      </c>
      <c r="AI1388" s="35">
        <f>IF(AND(C1388="Grayson Coulter",G1388&gt;='00_Control'!$B$7),"YES","NO")</f>
        <v/>
      </c>
      <c r="AJ1388" s="33" t="inlineStr">
        <is>
          <t>OK</t>
        </is>
      </c>
    </row>
    <row r="1389">
      <c r="A1389" s="33" t="inlineStr">
        <is>
          <t>SM001385</t>
        </is>
      </c>
      <c r="B1389" s="33" t="inlineStr">
        <is>
          <t>SW018</t>
        </is>
      </c>
      <c r="C1389" s="33" t="inlineStr">
        <is>
          <t>Kristof Milak</t>
        </is>
      </c>
      <c r="D1389" s="33" t="inlineStr">
        <is>
          <t>SwimCloud</t>
        </is>
      </c>
      <c r="E1389" s="33" t="inlineStr">
        <is>
          <t>508643</t>
        </is>
      </c>
      <c r="F1389" s="33" t="inlineStr">
        <is>
          <t>20132919</t>
        </is>
      </c>
      <c r="G1389" s="51" t="n">
        <v>43320</v>
      </c>
      <c r="H1389" s="33" t="inlineStr">
        <is>
          <t>LEN European Swimming Championships</t>
        </is>
      </c>
      <c r="I1389" s="33" t="inlineStr">
        <is>
          <t>100868</t>
        </is>
      </c>
      <c r="J1389" s="33" t="inlineStr"/>
      <c r="K1389" s="33" t="inlineStr">
        <is>
          <t>PRE</t>
        </is>
      </c>
      <c r="L1389" s="35">
        <f>IF(K1389="FIN",3,IF(OR(K1389="SEM",K1389="SEMI"),2,IF(OR(K1389="PRE",K1389="HEAT"),1,IF(V1389="YES",4,2))))</f>
        <v/>
      </c>
      <c r="M1389" s="33" t="inlineStr">
        <is>
          <t>LCM</t>
        </is>
      </c>
      <c r="N1389" s="33" t="n">
        <v>100</v>
      </c>
      <c r="O1389" s="33" t="inlineStr">
        <is>
          <t>Fly</t>
        </is>
      </c>
      <c r="P1389" s="33" t="inlineStr">
        <is>
          <t>100 Fly</t>
        </is>
      </c>
      <c r="Q1389" s="33" t="inlineStr">
        <is>
          <t>LCM_100_FLY</t>
        </is>
      </c>
      <c r="R1389" s="36" t="n">
        <v>52.04</v>
      </c>
      <c r="S1389" s="35">
        <f>IF(R1389="","",IF(R1389&gt;=60,INT(R1389/60)&amp;":"&amp;TEXT(MOD(R1389,60),"00.00"),TEXT(R1389,"0.00")))</f>
        <v/>
      </c>
      <c r="T1389" s="52">
        <f>IFERROR((G1389-INDEX('01_Swimmers'!$E$5:$E$22,MATCH(B1389,'01_Swimmers'!$A$5:$A$22,0)))/'00_Control'!$B$10,"")</f>
        <v/>
      </c>
      <c r="U1389" s="35">
        <f>IF(T1389="","",INT(T1389))</f>
        <v/>
      </c>
      <c r="V1389" s="33" t="inlineStr">
        <is>
          <t>NO</t>
        </is>
      </c>
      <c r="W1389" s="33" t="inlineStr">
        <is>
          <t>YES</t>
        </is>
      </c>
      <c r="X1389" s="33" t="inlineStr">
        <is>
          <t>NO</t>
        </is>
      </c>
      <c r="Y1389" s="33" t="n"/>
      <c r="Z1389" s="33" t="n"/>
      <c r="AA1389" s="33" t="inlineStr">
        <is>
          <t>5</t>
        </is>
      </c>
      <c r="AB1389" s="33" t="inlineStr">
        <is>
          <t>https://www.swimcloud.com/results/100868/event/19/?id=20132919#time20132919</t>
        </is>
      </c>
      <c r="AC1389" s="33" t="inlineStr">
        <is>
          <t>SwimCloud API v6 2026-10-08</t>
        </is>
      </c>
      <c r="AD1389" s="33" t="inlineStr">
        <is>
          <t>Kristof Milak|2018-08-08|LCM|100|Fly|52.04|LEN European Swimming Championships|PRE|False</t>
        </is>
      </c>
      <c r="AE1389" s="53">
        <f>G1389+L1389/1000+ROW()/1000000000</f>
        <v/>
      </c>
      <c r="AF1389" s="35">
        <f>IF(C1389&lt;&gt;"Grayson Coulter","",COUNTIFS($C$5:$C$2991,"Grayson Coulter",$Q$5:$Q$2991,Q1389,$AE$5:$AE$2991,"&lt;="&amp;AE1389,$R$5:$R$2991,"&lt;"&amp;R1389))</f>
        <v/>
      </c>
      <c r="AG1389" s="35">
        <f>IF(OR(C1389&lt;&gt;"Grayson Coulter",G1389&lt;'00_Control'!$B$7),"",--(AF1389&lt;5))</f>
        <v/>
      </c>
      <c r="AH1389" s="35">
        <f>IF(OR(C1389&lt;&gt;"Grayson Coulter",G1389&lt;'00_Control'!$B$7),"",--(AF1389&lt;10))</f>
        <v/>
      </c>
      <c r="AI1389" s="35">
        <f>IF(AND(C1389="Grayson Coulter",G1389&gt;='00_Control'!$B$7),"YES","NO")</f>
        <v/>
      </c>
      <c r="AJ1389" s="33" t="inlineStr">
        <is>
          <t>OK</t>
        </is>
      </c>
    </row>
    <row r="1390">
      <c r="A1390" s="33" t="inlineStr">
        <is>
          <t>SM001386</t>
        </is>
      </c>
      <c r="B1390" s="33" t="inlineStr">
        <is>
          <t>SW018</t>
        </is>
      </c>
      <c r="C1390" s="33" t="inlineStr">
        <is>
          <t>Kristof Milak</t>
        </is>
      </c>
      <c r="D1390" s="33" t="inlineStr">
        <is>
          <t>SwimCloud</t>
        </is>
      </c>
      <c r="E1390" s="33" t="inlineStr">
        <is>
          <t>508643</t>
        </is>
      </c>
      <c r="F1390" s="33" t="inlineStr">
        <is>
          <t>20132821</t>
        </is>
      </c>
      <c r="G1390" s="51" t="n">
        <v>43320</v>
      </c>
      <c r="H1390" s="33" t="inlineStr">
        <is>
          <t>LEN European Swimming Championships</t>
        </is>
      </c>
      <c r="I1390" s="33" t="inlineStr">
        <is>
          <t>100868</t>
        </is>
      </c>
      <c r="J1390" s="33" t="inlineStr"/>
      <c r="K1390" s="33" t="inlineStr">
        <is>
          <t>SEM</t>
        </is>
      </c>
      <c r="L1390" s="35">
        <f>IF(K1390="FIN",3,IF(OR(K1390="SEM",K1390="SEMI"),2,IF(OR(K1390="PRE",K1390="HEAT"),1,IF(V1390="YES",4,2))))</f>
        <v/>
      </c>
      <c r="M1390" s="33" t="inlineStr">
        <is>
          <t>LCM</t>
        </is>
      </c>
      <c r="N1390" s="33" t="n">
        <v>100</v>
      </c>
      <c r="O1390" s="33" t="inlineStr">
        <is>
          <t>Fly</t>
        </is>
      </c>
      <c r="P1390" s="33" t="inlineStr">
        <is>
          <t>100 Fly</t>
        </is>
      </c>
      <c r="Q1390" s="33" t="inlineStr">
        <is>
          <t>LCM_100_FLY</t>
        </is>
      </c>
      <c r="R1390" s="36" t="n">
        <v>51.76</v>
      </c>
      <c r="S1390" s="35">
        <f>IF(R1390="","",IF(R1390&gt;=60,INT(R1390/60)&amp;":"&amp;TEXT(MOD(R1390,60),"00.00"),TEXT(R1390,"0.00")))</f>
        <v/>
      </c>
      <c r="T1390" s="52">
        <f>IFERROR((G1390-INDEX('01_Swimmers'!$E$5:$E$22,MATCH(B1390,'01_Swimmers'!$A$5:$A$22,0)))/'00_Control'!$B$10,"")</f>
        <v/>
      </c>
      <c r="U1390" s="35">
        <f>IF(T1390="","",INT(T1390))</f>
        <v/>
      </c>
      <c r="V1390" s="33" t="inlineStr">
        <is>
          <t>NO</t>
        </is>
      </c>
      <c r="W1390" s="33" t="inlineStr">
        <is>
          <t>YES</t>
        </is>
      </c>
      <c r="X1390" s="33" t="inlineStr">
        <is>
          <t>NO</t>
        </is>
      </c>
      <c r="Y1390" s="33" t="n"/>
      <c r="Z1390" s="33" t="n"/>
      <c r="AA1390" s="33" t="inlineStr">
        <is>
          <t>4</t>
        </is>
      </c>
      <c r="AB1390" s="33" t="inlineStr">
        <is>
          <t>https://www.swimcloud.com/results/100868/event/19/?id=20132821#time20132821</t>
        </is>
      </c>
      <c r="AC1390" s="33" t="inlineStr">
        <is>
          <t>SwimCloud API v6 2026-10-08</t>
        </is>
      </c>
      <c r="AD1390" s="33" t="inlineStr">
        <is>
          <t>Kristof Milak|2018-08-08|LCM|100|Fly|51.76|LEN European Swimming Championships|SEM|False</t>
        </is>
      </c>
      <c r="AE1390" s="53">
        <f>G1390+L1390/1000+ROW()/1000000000</f>
        <v/>
      </c>
      <c r="AF1390" s="35">
        <f>IF(C1390&lt;&gt;"Grayson Coulter","",COUNTIFS($C$5:$C$2991,"Grayson Coulter",$Q$5:$Q$2991,Q1390,$AE$5:$AE$2991,"&lt;="&amp;AE1390,$R$5:$R$2991,"&lt;"&amp;R1390))</f>
        <v/>
      </c>
      <c r="AG1390" s="35">
        <f>IF(OR(C1390&lt;&gt;"Grayson Coulter",G1390&lt;'00_Control'!$B$7),"",--(AF1390&lt;5))</f>
        <v/>
      </c>
      <c r="AH1390" s="35">
        <f>IF(OR(C1390&lt;&gt;"Grayson Coulter",G1390&lt;'00_Control'!$B$7),"",--(AF1390&lt;10))</f>
        <v/>
      </c>
      <c r="AI1390" s="35">
        <f>IF(AND(C1390="Grayson Coulter",G1390&gt;='00_Control'!$B$7),"YES","NO")</f>
        <v/>
      </c>
      <c r="AJ1390" s="33" t="inlineStr">
        <is>
          <t>OK</t>
        </is>
      </c>
    </row>
    <row r="1391">
      <c r="A1391" s="33" t="inlineStr">
        <is>
          <t>SM001387</t>
        </is>
      </c>
      <c r="B1391" s="33" t="inlineStr">
        <is>
          <t>SW018</t>
        </is>
      </c>
      <c r="C1391" s="33" t="inlineStr">
        <is>
          <t>Kristof Milak</t>
        </is>
      </c>
      <c r="D1391" s="33" t="inlineStr">
        <is>
          <t>SwimCloud</t>
        </is>
      </c>
      <c r="E1391" s="33" t="inlineStr">
        <is>
          <t>508643</t>
        </is>
      </c>
      <c r="F1391" s="33" t="inlineStr">
        <is>
          <t>20132820</t>
        </is>
      </c>
      <c r="G1391" s="51" t="n">
        <v>43321</v>
      </c>
      <c r="H1391" s="33" t="inlineStr">
        <is>
          <t>LEN European Swimming Championships</t>
        </is>
      </c>
      <c r="I1391" s="33" t="inlineStr">
        <is>
          <t>100868</t>
        </is>
      </c>
      <c r="J1391" s="33" t="inlineStr"/>
      <c r="K1391" s="33" t="inlineStr">
        <is>
          <t>FIN</t>
        </is>
      </c>
      <c r="L1391" s="35">
        <f>IF(K1391="FIN",3,IF(OR(K1391="SEM",K1391="SEMI"),2,IF(OR(K1391="PRE",K1391="HEAT"),1,IF(V1391="YES",4,2))))</f>
        <v/>
      </c>
      <c r="M1391" s="33" t="inlineStr">
        <is>
          <t>LCM</t>
        </is>
      </c>
      <c r="N1391" s="33" t="n">
        <v>100</v>
      </c>
      <c r="O1391" s="33" t="inlineStr">
        <is>
          <t>Fly</t>
        </is>
      </c>
      <c r="P1391" s="33" t="inlineStr">
        <is>
          <t>100 Fly</t>
        </is>
      </c>
      <c r="Q1391" s="33" t="inlineStr">
        <is>
          <t>LCM_100_FLY</t>
        </is>
      </c>
      <c r="R1391" s="36" t="n">
        <v>51.51</v>
      </c>
      <c r="S1391" s="35">
        <f>IF(R1391="","",IF(R1391&gt;=60,INT(R1391/60)&amp;":"&amp;TEXT(MOD(R1391,60),"00.00"),TEXT(R1391,"0.00")))</f>
        <v/>
      </c>
      <c r="T1391" s="52">
        <f>IFERROR((G1391-INDEX('01_Swimmers'!$E$5:$E$22,MATCH(B1391,'01_Swimmers'!$A$5:$A$22,0)))/'00_Control'!$B$10,"")</f>
        <v/>
      </c>
      <c r="U1391" s="35">
        <f>IF(T1391="","",INT(T1391))</f>
        <v/>
      </c>
      <c r="V1391" s="33" t="inlineStr">
        <is>
          <t>NO</t>
        </is>
      </c>
      <c r="W1391" s="33" t="inlineStr">
        <is>
          <t>YES</t>
        </is>
      </c>
      <c r="X1391" s="33" t="inlineStr">
        <is>
          <t>NO</t>
        </is>
      </c>
      <c r="Y1391" s="33" t="n"/>
      <c r="Z1391" s="33" t="n"/>
      <c r="AA1391" s="33" t="inlineStr">
        <is>
          <t>4</t>
        </is>
      </c>
      <c r="AB1391" s="33" t="inlineStr">
        <is>
          <t>https://www.swimcloud.com/results/100868/event/19/?id=20132820#time20132820</t>
        </is>
      </c>
      <c r="AC1391" s="33" t="inlineStr">
        <is>
          <t>SwimCloud API v6 2026-10-08</t>
        </is>
      </c>
      <c r="AD1391" s="33" t="inlineStr">
        <is>
          <t>Kristof Milak|2018-08-09|LCM|100|Fly|51.51|LEN European Swimming Championships|FIN|False</t>
        </is>
      </c>
      <c r="AE1391" s="53">
        <f>G1391+L1391/1000+ROW()/1000000000</f>
        <v/>
      </c>
      <c r="AF1391" s="35">
        <f>IF(C1391&lt;&gt;"Grayson Coulter","",COUNTIFS($C$5:$C$2991,"Grayson Coulter",$Q$5:$Q$2991,Q1391,$AE$5:$AE$2991,"&lt;="&amp;AE1391,$R$5:$R$2991,"&lt;"&amp;R1391))</f>
        <v/>
      </c>
      <c r="AG1391" s="35">
        <f>IF(OR(C1391&lt;&gt;"Grayson Coulter",G1391&lt;'00_Control'!$B$7),"",--(AF1391&lt;5))</f>
        <v/>
      </c>
      <c r="AH1391" s="35">
        <f>IF(OR(C1391&lt;&gt;"Grayson Coulter",G1391&lt;'00_Control'!$B$7),"",--(AF1391&lt;10))</f>
        <v/>
      </c>
      <c r="AI1391" s="35">
        <f>IF(AND(C1391="Grayson Coulter",G1391&gt;='00_Control'!$B$7),"YES","NO")</f>
        <v/>
      </c>
      <c r="AJ1391" s="33" t="inlineStr">
        <is>
          <t>OK</t>
        </is>
      </c>
    </row>
    <row r="1392">
      <c r="A1392" s="33" t="inlineStr">
        <is>
          <t>SM001388</t>
        </is>
      </c>
      <c r="B1392" s="33" t="inlineStr">
        <is>
          <t>SW018</t>
        </is>
      </c>
      <c r="C1392" s="33" t="inlineStr">
        <is>
          <t>Kristof Milak</t>
        </is>
      </c>
      <c r="D1392" s="33" t="inlineStr">
        <is>
          <t>SwimCloud</t>
        </is>
      </c>
      <c r="E1392" s="33" t="inlineStr">
        <is>
          <t>508643</t>
        </is>
      </c>
      <c r="F1392" s="33" t="inlineStr">
        <is>
          <t>22517771</t>
        </is>
      </c>
      <c r="G1392" s="51" t="n">
        <v>43454</v>
      </c>
      <c r="H1392" s="33" t="inlineStr">
        <is>
          <t>Lausanne Swim Cup</t>
        </is>
      </c>
      <c r="I1392" s="33" t="inlineStr">
        <is>
          <t>138457</t>
        </is>
      </c>
      <c r="J1392" s="33" t="inlineStr"/>
      <c r="K1392" s="33" t="inlineStr">
        <is>
          <t>PRE</t>
        </is>
      </c>
      <c r="L1392" s="35">
        <f>IF(K1392="FIN",3,IF(OR(K1392="SEM",K1392="SEMI"),2,IF(OR(K1392="PRE",K1392="HEAT"),1,IF(V1392="YES",4,2))))</f>
        <v/>
      </c>
      <c r="M1392" s="33" t="inlineStr">
        <is>
          <t>SCM</t>
        </is>
      </c>
      <c r="N1392" s="33" t="n">
        <v>400</v>
      </c>
      <c r="O1392" s="33" t="inlineStr">
        <is>
          <t>Free</t>
        </is>
      </c>
      <c r="P1392" s="33" t="inlineStr">
        <is>
          <t>400 Free</t>
        </is>
      </c>
      <c r="Q1392" s="33" t="inlineStr">
        <is>
          <t>SCM_400_FREE</t>
        </is>
      </c>
      <c r="R1392" s="36" t="n">
        <v>232.92</v>
      </c>
      <c r="S1392" s="35">
        <f>IF(R1392="","",IF(R1392&gt;=60,INT(R1392/60)&amp;":"&amp;TEXT(MOD(R1392,60),"00.00"),TEXT(R1392,"0.00")))</f>
        <v/>
      </c>
      <c r="T1392" s="52">
        <f>IFERROR((G1392-INDEX('01_Swimmers'!$E$5:$E$22,MATCH(B1392,'01_Swimmers'!$A$5:$A$22,0)))/'00_Control'!$B$10,"")</f>
        <v/>
      </c>
      <c r="U1392" s="35">
        <f>IF(T1392="","",INT(T1392))</f>
        <v/>
      </c>
      <c r="V1392" s="33" t="inlineStr">
        <is>
          <t>NO</t>
        </is>
      </c>
      <c r="W1392" s="33" t="inlineStr">
        <is>
          <t>YES</t>
        </is>
      </c>
      <c r="X1392" s="33" t="inlineStr">
        <is>
          <t>NO</t>
        </is>
      </c>
      <c r="Y1392" s="33" t="n">
        <v>4</v>
      </c>
      <c r="Z1392" s="33" t="n">
        <v>3</v>
      </c>
      <c r="AA1392" s="33" t="inlineStr">
        <is>
          <t>11</t>
        </is>
      </c>
      <c r="AB1392" s="33" t="inlineStr">
        <is>
          <t>https://www.swimcloud.com/results/138457/event/102/?id=22517771#time22517771</t>
        </is>
      </c>
      <c r="AC1392" s="33" t="inlineStr">
        <is>
          <t>SwimCloud API v6 2026-10-08</t>
        </is>
      </c>
      <c r="AD1392" s="33" t="inlineStr">
        <is>
          <t>Kristof Milak|2018-12-20|SCM|400|Free|232.92|Lausanne Swim Cup|PRE|False</t>
        </is>
      </c>
      <c r="AE1392" s="53">
        <f>G1392+L1392/1000+ROW()/1000000000</f>
        <v/>
      </c>
      <c r="AF1392" s="35">
        <f>IF(C1392&lt;&gt;"Grayson Coulter","",COUNTIFS($C$5:$C$2991,"Grayson Coulter",$Q$5:$Q$2991,Q1392,$AE$5:$AE$2991,"&lt;="&amp;AE1392,$R$5:$R$2991,"&lt;"&amp;R1392))</f>
        <v/>
      </c>
      <c r="AG1392" s="35">
        <f>IF(OR(C1392&lt;&gt;"Grayson Coulter",G1392&lt;'00_Control'!$B$7),"",--(AF1392&lt;5))</f>
        <v/>
      </c>
      <c r="AH1392" s="35">
        <f>IF(OR(C1392&lt;&gt;"Grayson Coulter",G1392&lt;'00_Control'!$B$7),"",--(AF1392&lt;10))</f>
        <v/>
      </c>
      <c r="AI1392" s="35">
        <f>IF(AND(C1392="Grayson Coulter",G1392&gt;='00_Control'!$B$7),"YES","NO")</f>
        <v/>
      </c>
      <c r="AJ1392" s="33" t="inlineStr">
        <is>
          <t>OK</t>
        </is>
      </c>
    </row>
    <row r="1393">
      <c r="A1393" s="33" t="inlineStr">
        <is>
          <t>SM001389</t>
        </is>
      </c>
      <c r="B1393" s="33" t="inlineStr">
        <is>
          <t>SW018</t>
        </is>
      </c>
      <c r="C1393" s="33" t="inlineStr">
        <is>
          <t>Kristof Milak</t>
        </is>
      </c>
      <c r="D1393" s="33" t="inlineStr">
        <is>
          <t>SwimCloud</t>
        </is>
      </c>
      <c r="E1393" s="33" t="inlineStr">
        <is>
          <t>508643</t>
        </is>
      </c>
      <c r="F1393" s="33" t="inlineStr">
        <is>
          <t>25492502</t>
        </is>
      </c>
      <c r="G1393" s="51" t="n">
        <v>43454</v>
      </c>
      <c r="H1393" s="33" t="inlineStr">
        <is>
          <t>Swim Cup Lausanne</t>
        </is>
      </c>
      <c r="I1393" s="33" t="inlineStr">
        <is>
          <t>144133</t>
        </is>
      </c>
      <c r="J1393" s="33" t="inlineStr"/>
      <c r="K1393" s="33" t="inlineStr">
        <is>
          <t>PRE</t>
        </is>
      </c>
      <c r="L1393" s="35">
        <f>IF(K1393="FIN",3,IF(OR(K1393="SEM",K1393="SEMI"),2,IF(OR(K1393="PRE",K1393="HEAT"),1,IF(V1393="YES",4,2))))</f>
        <v/>
      </c>
      <c r="M1393" s="33" t="inlineStr">
        <is>
          <t>SCM</t>
        </is>
      </c>
      <c r="N1393" s="33" t="n">
        <v>400</v>
      </c>
      <c r="O1393" s="33" t="inlineStr">
        <is>
          <t>Free</t>
        </is>
      </c>
      <c r="P1393" s="33" t="inlineStr">
        <is>
          <t>400 Free</t>
        </is>
      </c>
      <c r="Q1393" s="33" t="inlineStr">
        <is>
          <t>SCM_400_FREE</t>
        </is>
      </c>
      <c r="R1393" s="36" t="n">
        <v>232.92</v>
      </c>
      <c r="S1393" s="35">
        <f>IF(R1393="","",IF(R1393&gt;=60,INT(R1393/60)&amp;":"&amp;TEXT(MOD(R1393,60),"00.00"),TEXT(R1393,"0.00")))</f>
        <v/>
      </c>
      <c r="T1393" s="52">
        <f>IFERROR((G1393-INDEX('01_Swimmers'!$E$5:$E$22,MATCH(B1393,'01_Swimmers'!$A$5:$A$22,0)))/'00_Control'!$B$10,"")</f>
        <v/>
      </c>
      <c r="U1393" s="35">
        <f>IF(T1393="","",INT(T1393))</f>
        <v/>
      </c>
      <c r="V1393" s="33" t="inlineStr">
        <is>
          <t>NO</t>
        </is>
      </c>
      <c r="W1393" s="33" t="inlineStr">
        <is>
          <t>YES</t>
        </is>
      </c>
      <c r="X1393" s="33" t="inlineStr">
        <is>
          <t>NO</t>
        </is>
      </c>
      <c r="Y1393" s="33" t="n">
        <v>4</v>
      </c>
      <c r="Z1393" s="33" t="n">
        <v>3</v>
      </c>
      <c r="AA1393" s="33" t="inlineStr">
        <is>
          <t>11</t>
        </is>
      </c>
      <c r="AB1393" s="33" t="inlineStr">
        <is>
          <t>https://www.swimcloud.com/results/144133/event/102/?id=25492502#time25492502</t>
        </is>
      </c>
      <c r="AC1393" s="33" t="inlineStr">
        <is>
          <t>SwimCloud API v6 2026-10-08</t>
        </is>
      </c>
      <c r="AD1393" s="33" t="inlineStr">
        <is>
          <t>Kristof Milak|2018-12-20|SCM|400|Free|232.92|Swim Cup Lausanne|PRE|False</t>
        </is>
      </c>
      <c r="AE1393" s="53">
        <f>G1393+L1393/1000+ROW()/1000000000</f>
        <v/>
      </c>
      <c r="AF1393" s="35">
        <f>IF(C1393&lt;&gt;"Grayson Coulter","",COUNTIFS($C$5:$C$2991,"Grayson Coulter",$Q$5:$Q$2991,Q1393,$AE$5:$AE$2991,"&lt;="&amp;AE1393,$R$5:$R$2991,"&lt;"&amp;R1393))</f>
        <v/>
      </c>
      <c r="AG1393" s="35">
        <f>IF(OR(C1393&lt;&gt;"Grayson Coulter",G1393&lt;'00_Control'!$B$7),"",--(AF1393&lt;5))</f>
        <v/>
      </c>
      <c r="AH1393" s="35">
        <f>IF(OR(C1393&lt;&gt;"Grayson Coulter",G1393&lt;'00_Control'!$B$7),"",--(AF1393&lt;10))</f>
        <v/>
      </c>
      <c r="AI1393" s="35">
        <f>IF(AND(C1393="Grayson Coulter",G1393&gt;='00_Control'!$B$7),"YES","NO")</f>
        <v/>
      </c>
      <c r="AJ1393" s="33" t="inlineStr">
        <is>
          <t>OK</t>
        </is>
      </c>
    </row>
    <row r="1394">
      <c r="A1394" s="33" t="inlineStr">
        <is>
          <t>SM001390</t>
        </is>
      </c>
      <c r="B1394" s="33" t="inlineStr">
        <is>
          <t>SW018</t>
        </is>
      </c>
      <c r="C1394" s="33" t="inlineStr">
        <is>
          <t>Kristof Milak</t>
        </is>
      </c>
      <c r="D1394" s="33" t="inlineStr">
        <is>
          <t>SwimCloud</t>
        </is>
      </c>
      <c r="E1394" s="33" t="inlineStr">
        <is>
          <t>508643</t>
        </is>
      </c>
      <c r="F1394" s="33" t="inlineStr">
        <is>
          <t>22517775</t>
        </is>
      </c>
      <c r="G1394" s="51" t="n">
        <v>43455</v>
      </c>
      <c r="H1394" s="33" t="inlineStr">
        <is>
          <t>Lausanne Swim Cup</t>
        </is>
      </c>
      <c r="I1394" s="33" t="inlineStr">
        <is>
          <t>138457</t>
        </is>
      </c>
      <c r="J1394" s="33" t="inlineStr"/>
      <c r="K1394" s="33" t="inlineStr">
        <is>
          <t>PRE</t>
        </is>
      </c>
      <c r="L1394" s="35">
        <f>IF(K1394="FIN",3,IF(OR(K1394="SEM",K1394="SEMI"),2,IF(OR(K1394="PRE",K1394="HEAT"),1,IF(V1394="YES",4,2))))</f>
        <v/>
      </c>
      <c r="M1394" s="33" t="inlineStr">
        <is>
          <t>SCM</t>
        </is>
      </c>
      <c r="N1394" s="33" t="n">
        <v>100</v>
      </c>
      <c r="O1394" s="33" t="inlineStr">
        <is>
          <t>Fly</t>
        </is>
      </c>
      <c r="P1394" s="33" t="inlineStr">
        <is>
          <t>100 Fly</t>
        </is>
      </c>
      <c r="Q1394" s="33" t="inlineStr">
        <is>
          <t>SCM_100_FLY</t>
        </is>
      </c>
      <c r="R1394" s="36" t="n">
        <v>53.23</v>
      </c>
      <c r="S1394" s="35">
        <f>IF(R1394="","",IF(R1394&gt;=60,INT(R1394/60)&amp;":"&amp;TEXT(MOD(R1394,60),"00.00"),TEXT(R1394,"0.00")))</f>
        <v/>
      </c>
      <c r="T1394" s="52">
        <f>IFERROR((G1394-INDEX('01_Swimmers'!$E$5:$E$22,MATCH(B1394,'01_Swimmers'!$A$5:$A$22,0)))/'00_Control'!$B$10,"")</f>
        <v/>
      </c>
      <c r="U1394" s="35">
        <f>IF(T1394="","",INT(T1394))</f>
        <v/>
      </c>
      <c r="V1394" s="33" t="inlineStr">
        <is>
          <t>NO</t>
        </is>
      </c>
      <c r="W1394" s="33" t="inlineStr">
        <is>
          <t>YES</t>
        </is>
      </c>
      <c r="X1394" s="33" t="inlineStr">
        <is>
          <t>NO</t>
        </is>
      </c>
      <c r="Y1394" s="33" t="n">
        <v>4</v>
      </c>
      <c r="Z1394" s="33" t="n">
        <v>3</v>
      </c>
      <c r="AA1394" s="33" t="inlineStr">
        <is>
          <t>8</t>
        </is>
      </c>
      <c r="AB1394" s="33" t="inlineStr">
        <is>
          <t>https://www.swimcloud.com/results/138457/event/208/?id=22517775#time22517775</t>
        </is>
      </c>
      <c r="AC1394" s="33" t="inlineStr">
        <is>
          <t>SwimCloud API v6 2026-10-08</t>
        </is>
      </c>
      <c r="AD1394" s="33" t="inlineStr">
        <is>
          <t>Kristof Milak|2018-12-21|SCM|100|Fly|53.23|Lausanne Swim Cup|PRE|False</t>
        </is>
      </c>
      <c r="AE1394" s="53">
        <f>G1394+L1394/1000+ROW()/1000000000</f>
        <v/>
      </c>
      <c r="AF1394" s="35">
        <f>IF(C1394&lt;&gt;"Grayson Coulter","",COUNTIFS($C$5:$C$2991,"Grayson Coulter",$Q$5:$Q$2991,Q1394,$AE$5:$AE$2991,"&lt;="&amp;AE1394,$R$5:$R$2991,"&lt;"&amp;R1394))</f>
        <v/>
      </c>
      <c r="AG1394" s="35">
        <f>IF(OR(C1394&lt;&gt;"Grayson Coulter",G1394&lt;'00_Control'!$B$7),"",--(AF1394&lt;5))</f>
        <v/>
      </c>
      <c r="AH1394" s="35">
        <f>IF(OR(C1394&lt;&gt;"Grayson Coulter",G1394&lt;'00_Control'!$B$7),"",--(AF1394&lt;10))</f>
        <v/>
      </c>
      <c r="AI1394" s="35">
        <f>IF(AND(C1394="Grayson Coulter",G1394&gt;='00_Control'!$B$7),"YES","NO")</f>
        <v/>
      </c>
      <c r="AJ1394" s="33" t="inlineStr">
        <is>
          <t>OK</t>
        </is>
      </c>
    </row>
    <row r="1395">
      <c r="A1395" s="33" t="inlineStr">
        <is>
          <t>SM001391</t>
        </is>
      </c>
      <c r="B1395" s="33" t="inlineStr">
        <is>
          <t>SW018</t>
        </is>
      </c>
      <c r="C1395" s="33" t="inlineStr">
        <is>
          <t>Kristof Milak</t>
        </is>
      </c>
      <c r="D1395" s="33" t="inlineStr">
        <is>
          <t>SwimCloud</t>
        </is>
      </c>
      <c r="E1395" s="33" t="inlineStr">
        <is>
          <t>508643</t>
        </is>
      </c>
      <c r="F1395" s="33" t="inlineStr">
        <is>
          <t>25492505</t>
        </is>
      </c>
      <c r="G1395" s="51" t="n">
        <v>43455</v>
      </c>
      <c r="H1395" s="33" t="inlineStr">
        <is>
          <t>Swim Cup Lausanne</t>
        </is>
      </c>
      <c r="I1395" s="33" t="inlineStr">
        <is>
          <t>144133</t>
        </is>
      </c>
      <c r="J1395" s="33" t="inlineStr"/>
      <c r="K1395" s="33" t="inlineStr">
        <is>
          <t>PRE</t>
        </is>
      </c>
      <c r="L1395" s="35">
        <f>IF(K1395="FIN",3,IF(OR(K1395="SEM",K1395="SEMI"),2,IF(OR(K1395="PRE",K1395="HEAT"),1,IF(V1395="YES",4,2))))</f>
        <v/>
      </c>
      <c r="M1395" s="33" t="inlineStr">
        <is>
          <t>SCM</t>
        </is>
      </c>
      <c r="N1395" s="33" t="n">
        <v>100</v>
      </c>
      <c r="O1395" s="33" t="inlineStr">
        <is>
          <t>Fly</t>
        </is>
      </c>
      <c r="P1395" s="33" t="inlineStr">
        <is>
          <t>100 Fly</t>
        </is>
      </c>
      <c r="Q1395" s="33" t="inlineStr">
        <is>
          <t>SCM_100_FLY</t>
        </is>
      </c>
      <c r="R1395" s="36" t="n">
        <v>53.23</v>
      </c>
      <c r="S1395" s="35">
        <f>IF(R1395="","",IF(R1395&gt;=60,INT(R1395/60)&amp;":"&amp;TEXT(MOD(R1395,60),"00.00"),TEXT(R1395,"0.00")))</f>
        <v/>
      </c>
      <c r="T1395" s="52">
        <f>IFERROR((G1395-INDEX('01_Swimmers'!$E$5:$E$22,MATCH(B1395,'01_Swimmers'!$A$5:$A$22,0)))/'00_Control'!$B$10,"")</f>
        <v/>
      </c>
      <c r="U1395" s="35">
        <f>IF(T1395="","",INT(T1395))</f>
        <v/>
      </c>
      <c r="V1395" s="33" t="inlineStr">
        <is>
          <t>NO</t>
        </is>
      </c>
      <c r="W1395" s="33" t="inlineStr">
        <is>
          <t>YES</t>
        </is>
      </c>
      <c r="X1395" s="33" t="inlineStr">
        <is>
          <t>NO</t>
        </is>
      </c>
      <c r="Y1395" s="33" t="n">
        <v>4</v>
      </c>
      <c r="Z1395" s="33" t="n">
        <v>3</v>
      </c>
      <c r="AA1395" s="33" t="inlineStr">
        <is>
          <t>8</t>
        </is>
      </c>
      <c r="AB1395" s="33" t="inlineStr">
        <is>
          <t>https://www.swimcloud.com/results/144133/event/208/?id=25492505#time25492505</t>
        </is>
      </c>
      <c r="AC1395" s="33" t="inlineStr">
        <is>
          <t>SwimCloud API v6 2026-10-08</t>
        </is>
      </c>
      <c r="AD1395" s="33" t="inlineStr">
        <is>
          <t>Kristof Milak|2018-12-21|SCM|100|Fly|53.23|Swim Cup Lausanne|PRE|False</t>
        </is>
      </c>
      <c r="AE1395" s="53">
        <f>G1395+L1395/1000+ROW()/1000000000</f>
        <v/>
      </c>
      <c r="AF1395" s="35">
        <f>IF(C1395&lt;&gt;"Grayson Coulter","",COUNTIFS($C$5:$C$2991,"Grayson Coulter",$Q$5:$Q$2991,Q1395,$AE$5:$AE$2991,"&lt;="&amp;AE1395,$R$5:$R$2991,"&lt;"&amp;R1395))</f>
        <v/>
      </c>
      <c r="AG1395" s="35">
        <f>IF(OR(C1395&lt;&gt;"Grayson Coulter",G1395&lt;'00_Control'!$B$7),"",--(AF1395&lt;5))</f>
        <v/>
      </c>
      <c r="AH1395" s="35">
        <f>IF(OR(C1395&lt;&gt;"Grayson Coulter",G1395&lt;'00_Control'!$B$7),"",--(AF1395&lt;10))</f>
        <v/>
      </c>
      <c r="AI1395" s="35">
        <f>IF(AND(C1395="Grayson Coulter",G1395&gt;='00_Control'!$B$7),"YES","NO")</f>
        <v/>
      </c>
      <c r="AJ1395" s="33" t="inlineStr">
        <is>
          <t>OK</t>
        </is>
      </c>
    </row>
    <row r="1396">
      <c r="A1396" s="33" t="inlineStr">
        <is>
          <t>SM001392</t>
        </is>
      </c>
      <c r="B1396" s="33" t="inlineStr">
        <is>
          <t>SW018</t>
        </is>
      </c>
      <c r="C1396" s="33" t="inlineStr">
        <is>
          <t>Kristof Milak</t>
        </is>
      </c>
      <c r="D1396" s="33" t="inlineStr">
        <is>
          <t>SwimCloud</t>
        </is>
      </c>
      <c r="E1396" s="33" t="inlineStr">
        <is>
          <t>508643</t>
        </is>
      </c>
      <c r="F1396" s="33" t="inlineStr">
        <is>
          <t>22517774</t>
        </is>
      </c>
      <c r="G1396" s="51" t="n">
        <v>43455</v>
      </c>
      <c r="H1396" s="33" t="inlineStr">
        <is>
          <t>Lausanne Swim Cup</t>
        </is>
      </c>
      <c r="I1396" s="33" t="inlineStr">
        <is>
          <t>138457</t>
        </is>
      </c>
      <c r="J1396" s="33" t="inlineStr"/>
      <c r="K1396" s="33" t="inlineStr">
        <is>
          <t>FIN</t>
        </is>
      </c>
      <c r="L1396" s="35">
        <f>IF(K1396="FIN",3,IF(OR(K1396="SEM",K1396="SEMI"),2,IF(OR(K1396="PRE",K1396="HEAT"),1,IF(V1396="YES",4,2))))</f>
        <v/>
      </c>
      <c r="M1396" s="33" t="inlineStr">
        <is>
          <t>SCM</t>
        </is>
      </c>
      <c r="N1396" s="33" t="n">
        <v>100</v>
      </c>
      <c r="O1396" s="33" t="inlineStr">
        <is>
          <t>Fly</t>
        </is>
      </c>
      <c r="P1396" s="33" t="inlineStr">
        <is>
          <t>100 Fly</t>
        </is>
      </c>
      <c r="Q1396" s="33" t="inlineStr">
        <is>
          <t>SCM_100_FLY</t>
        </is>
      </c>
      <c r="R1396" s="36" t="n">
        <v>51.62</v>
      </c>
      <c r="S1396" s="35">
        <f>IF(R1396="","",IF(R1396&gt;=60,INT(R1396/60)&amp;":"&amp;TEXT(MOD(R1396,60),"00.00"),TEXT(R1396,"0.00")))</f>
        <v/>
      </c>
      <c r="T1396" s="52">
        <f>IFERROR((G1396-INDEX('01_Swimmers'!$E$5:$E$22,MATCH(B1396,'01_Swimmers'!$A$5:$A$22,0)))/'00_Control'!$B$10,"")</f>
        <v/>
      </c>
      <c r="U1396" s="35">
        <f>IF(T1396="","",INT(T1396))</f>
        <v/>
      </c>
      <c r="V1396" s="33" t="inlineStr">
        <is>
          <t>NO</t>
        </is>
      </c>
      <c r="W1396" s="33" t="inlineStr">
        <is>
          <t>YES</t>
        </is>
      </c>
      <c r="X1396" s="33" t="inlineStr">
        <is>
          <t>NO</t>
        </is>
      </c>
      <c r="Y1396" s="33" t="n"/>
      <c r="Z1396" s="33" t="n">
        <v>4</v>
      </c>
      <c r="AA1396" s="33" t="inlineStr">
        <is>
          <t>7</t>
        </is>
      </c>
      <c r="AB1396" s="33" t="inlineStr">
        <is>
          <t>https://www.swimcloud.com/results/138457/event/208/?id=22517774#time22517774</t>
        </is>
      </c>
      <c r="AC1396" s="33" t="inlineStr">
        <is>
          <t>SwimCloud API v6 2026-10-08</t>
        </is>
      </c>
      <c r="AD1396" s="33" t="inlineStr">
        <is>
          <t>Kristof Milak|2018-12-21|SCM|100|Fly|51.62|Lausanne Swim Cup|FIN|False</t>
        </is>
      </c>
      <c r="AE1396" s="53">
        <f>G1396+L1396/1000+ROW()/1000000000</f>
        <v/>
      </c>
      <c r="AF1396" s="35">
        <f>IF(C1396&lt;&gt;"Grayson Coulter","",COUNTIFS($C$5:$C$2991,"Grayson Coulter",$Q$5:$Q$2991,Q1396,$AE$5:$AE$2991,"&lt;="&amp;AE1396,$R$5:$R$2991,"&lt;"&amp;R1396))</f>
        <v/>
      </c>
      <c r="AG1396" s="35">
        <f>IF(OR(C1396&lt;&gt;"Grayson Coulter",G1396&lt;'00_Control'!$B$7),"",--(AF1396&lt;5))</f>
        <v/>
      </c>
      <c r="AH1396" s="35">
        <f>IF(OR(C1396&lt;&gt;"Grayson Coulter",G1396&lt;'00_Control'!$B$7),"",--(AF1396&lt;10))</f>
        <v/>
      </c>
      <c r="AI1396" s="35">
        <f>IF(AND(C1396="Grayson Coulter",G1396&gt;='00_Control'!$B$7),"YES","NO")</f>
        <v/>
      </c>
      <c r="AJ1396" s="33" t="inlineStr">
        <is>
          <t>OK</t>
        </is>
      </c>
    </row>
    <row r="1397">
      <c r="A1397" s="33" t="inlineStr">
        <is>
          <t>SM001393</t>
        </is>
      </c>
      <c r="B1397" s="33" t="inlineStr">
        <is>
          <t>SW018</t>
        </is>
      </c>
      <c r="C1397" s="33" t="inlineStr">
        <is>
          <t>Kristof Milak</t>
        </is>
      </c>
      <c r="D1397" s="33" t="inlineStr">
        <is>
          <t>SwimCloud</t>
        </is>
      </c>
      <c r="E1397" s="33" t="inlineStr">
        <is>
          <t>508643</t>
        </is>
      </c>
      <c r="F1397" s="33" t="inlineStr">
        <is>
          <t>25492506</t>
        </is>
      </c>
      <c r="G1397" s="51" t="n">
        <v>43455</v>
      </c>
      <c r="H1397" s="33" t="inlineStr">
        <is>
          <t>Swim Cup Lausanne</t>
        </is>
      </c>
      <c r="I1397" s="33" t="inlineStr">
        <is>
          <t>144133</t>
        </is>
      </c>
      <c r="J1397" s="33" t="inlineStr"/>
      <c r="K1397" s="33" t="inlineStr">
        <is>
          <t>FIN</t>
        </is>
      </c>
      <c r="L1397" s="35">
        <f>IF(K1397="FIN",3,IF(OR(K1397="SEM",K1397="SEMI"),2,IF(OR(K1397="PRE",K1397="HEAT"),1,IF(V1397="YES",4,2))))</f>
        <v/>
      </c>
      <c r="M1397" s="33" t="inlineStr">
        <is>
          <t>SCM</t>
        </is>
      </c>
      <c r="N1397" s="33" t="n">
        <v>100</v>
      </c>
      <c r="O1397" s="33" t="inlineStr">
        <is>
          <t>Fly</t>
        </is>
      </c>
      <c r="P1397" s="33" t="inlineStr">
        <is>
          <t>100 Fly</t>
        </is>
      </c>
      <c r="Q1397" s="33" t="inlineStr">
        <is>
          <t>SCM_100_FLY</t>
        </is>
      </c>
      <c r="R1397" s="36" t="n">
        <v>51.62</v>
      </c>
      <c r="S1397" s="35">
        <f>IF(R1397="","",IF(R1397&gt;=60,INT(R1397/60)&amp;":"&amp;TEXT(MOD(R1397,60),"00.00"),TEXT(R1397,"0.00")))</f>
        <v/>
      </c>
      <c r="T1397" s="52">
        <f>IFERROR((G1397-INDEX('01_Swimmers'!$E$5:$E$22,MATCH(B1397,'01_Swimmers'!$A$5:$A$22,0)))/'00_Control'!$B$10,"")</f>
        <v/>
      </c>
      <c r="U1397" s="35">
        <f>IF(T1397="","",INT(T1397))</f>
        <v/>
      </c>
      <c r="V1397" s="33" t="inlineStr">
        <is>
          <t>NO</t>
        </is>
      </c>
      <c r="W1397" s="33" t="inlineStr">
        <is>
          <t>YES</t>
        </is>
      </c>
      <c r="X1397" s="33" t="inlineStr">
        <is>
          <t>NO</t>
        </is>
      </c>
      <c r="Y1397" s="33" t="n"/>
      <c r="Z1397" s="33" t="n">
        <v>4</v>
      </c>
      <c r="AA1397" s="33" t="inlineStr">
        <is>
          <t>7</t>
        </is>
      </c>
      <c r="AB1397" s="33" t="inlineStr">
        <is>
          <t>https://www.swimcloud.com/results/144133/event/208/?id=25492506#time25492506</t>
        </is>
      </c>
      <c r="AC1397" s="33" t="inlineStr">
        <is>
          <t>SwimCloud API v6 2026-10-08</t>
        </is>
      </c>
      <c r="AD1397" s="33" t="inlineStr">
        <is>
          <t>Kristof Milak|2018-12-21|SCM|100|Fly|51.62|Swim Cup Lausanne|FIN|False</t>
        </is>
      </c>
      <c r="AE1397" s="53">
        <f>G1397+L1397/1000+ROW()/1000000000</f>
        <v/>
      </c>
      <c r="AF1397" s="35">
        <f>IF(C1397&lt;&gt;"Grayson Coulter","",COUNTIFS($C$5:$C$2991,"Grayson Coulter",$Q$5:$Q$2991,Q1397,$AE$5:$AE$2991,"&lt;="&amp;AE1397,$R$5:$R$2991,"&lt;"&amp;R1397))</f>
        <v/>
      </c>
      <c r="AG1397" s="35">
        <f>IF(OR(C1397&lt;&gt;"Grayson Coulter",G1397&lt;'00_Control'!$B$7),"",--(AF1397&lt;5))</f>
        <v/>
      </c>
      <c r="AH1397" s="35">
        <f>IF(OR(C1397&lt;&gt;"Grayson Coulter",G1397&lt;'00_Control'!$B$7),"",--(AF1397&lt;10))</f>
        <v/>
      </c>
      <c r="AI1397" s="35">
        <f>IF(AND(C1397="Grayson Coulter",G1397&gt;='00_Control'!$B$7),"YES","NO")</f>
        <v/>
      </c>
      <c r="AJ1397" s="33" t="inlineStr">
        <is>
          <t>OK</t>
        </is>
      </c>
    </row>
    <row r="1398">
      <c r="A1398" s="33" t="inlineStr">
        <is>
          <t>SM001394</t>
        </is>
      </c>
      <c r="B1398" s="33" t="inlineStr">
        <is>
          <t>SW018</t>
        </is>
      </c>
      <c r="C1398" s="33" t="inlineStr">
        <is>
          <t>Kristof Milak</t>
        </is>
      </c>
      <c r="D1398" s="33" t="inlineStr">
        <is>
          <t>SwimCloud</t>
        </is>
      </c>
      <c r="E1398" s="33" t="inlineStr">
        <is>
          <t>508643</t>
        </is>
      </c>
      <c r="F1398" s="33" t="inlineStr">
        <is>
          <t>24822192</t>
        </is>
      </c>
      <c r="G1398" s="51" t="n">
        <v>43519</v>
      </c>
      <c r="H1398" s="33" t="inlineStr">
        <is>
          <t>Diamond Speedo Race</t>
        </is>
      </c>
      <c r="I1398" s="33" t="inlineStr">
        <is>
          <t>143121</t>
        </is>
      </c>
      <c r="J1398" s="33" t="inlineStr"/>
      <c r="K1398" s="33" t="inlineStr">
        <is>
          <t>PRE</t>
        </is>
      </c>
      <c r="L1398" s="35">
        <f>IF(K1398="FIN",3,IF(OR(K1398="SEM",K1398="SEMI"),2,IF(OR(K1398="PRE",K1398="HEAT"),1,IF(V1398="YES",4,2))))</f>
        <v/>
      </c>
      <c r="M1398" s="33" t="inlineStr">
        <is>
          <t>LCM</t>
        </is>
      </c>
      <c r="N1398" s="33" t="n">
        <v>200</v>
      </c>
      <c r="O1398" s="33" t="inlineStr">
        <is>
          <t>Free</t>
        </is>
      </c>
      <c r="P1398" s="33" t="inlineStr">
        <is>
          <t>200 Free</t>
        </is>
      </c>
      <c r="Q1398" s="33" t="inlineStr">
        <is>
          <t>LCM_200_FREE</t>
        </is>
      </c>
      <c r="R1398" s="36" t="n">
        <v>111.37</v>
      </c>
      <c r="S1398" s="35">
        <f>IF(R1398="","",IF(R1398&gt;=60,INT(R1398/60)&amp;":"&amp;TEXT(MOD(R1398,60),"00.00"),TEXT(R1398,"0.00")))</f>
        <v/>
      </c>
      <c r="T1398" s="52">
        <f>IFERROR((G1398-INDEX('01_Swimmers'!$E$5:$E$22,MATCH(B1398,'01_Swimmers'!$A$5:$A$22,0)))/'00_Control'!$B$10,"")</f>
        <v/>
      </c>
      <c r="U1398" s="35">
        <f>IF(T1398="","",INT(T1398))</f>
        <v/>
      </c>
      <c r="V1398" s="33" t="inlineStr">
        <is>
          <t>NO</t>
        </is>
      </c>
      <c r="W1398" s="33" t="inlineStr">
        <is>
          <t>YES</t>
        </is>
      </c>
      <c r="X1398" s="33" t="inlineStr">
        <is>
          <t>NO</t>
        </is>
      </c>
      <c r="Y1398" s="33" t="n">
        <v>13</v>
      </c>
      <c r="Z1398" s="33" t="n">
        <v>4</v>
      </c>
      <c r="AA1398" s="33" t="inlineStr">
        <is>
          <t>7</t>
        </is>
      </c>
      <c r="AB1398" s="33" t="inlineStr">
        <is>
          <t>https://www.swimcloud.com/results/143121/event/2/?id=24822192#time24822192</t>
        </is>
      </c>
      <c r="AC1398" s="33" t="inlineStr">
        <is>
          <t>SwimCloud API v6 2026-10-08</t>
        </is>
      </c>
      <c r="AD1398" s="33" t="inlineStr">
        <is>
          <t>Kristof Milak|2019-02-23|LCM|200|Free|111.37|Diamond Speedo Race|PRE|False</t>
        </is>
      </c>
      <c r="AE1398" s="53">
        <f>G1398+L1398/1000+ROW()/1000000000</f>
        <v/>
      </c>
      <c r="AF1398" s="35">
        <f>IF(C1398&lt;&gt;"Grayson Coulter","",COUNTIFS($C$5:$C$2991,"Grayson Coulter",$Q$5:$Q$2991,Q1398,$AE$5:$AE$2991,"&lt;="&amp;AE1398,$R$5:$R$2991,"&lt;"&amp;R1398))</f>
        <v/>
      </c>
      <c r="AG1398" s="35">
        <f>IF(OR(C1398&lt;&gt;"Grayson Coulter",G1398&lt;'00_Control'!$B$7),"",--(AF1398&lt;5))</f>
        <v/>
      </c>
      <c r="AH1398" s="35">
        <f>IF(OR(C1398&lt;&gt;"Grayson Coulter",G1398&lt;'00_Control'!$B$7),"",--(AF1398&lt;10))</f>
        <v/>
      </c>
      <c r="AI1398" s="35">
        <f>IF(AND(C1398="Grayson Coulter",G1398&gt;='00_Control'!$B$7),"YES","NO")</f>
        <v/>
      </c>
      <c r="AJ1398" s="33" t="inlineStr">
        <is>
          <t>OK</t>
        </is>
      </c>
    </row>
    <row r="1399">
      <c r="A1399" s="33" t="inlineStr">
        <is>
          <t>SM001395</t>
        </is>
      </c>
      <c r="B1399" s="33" t="inlineStr">
        <is>
          <t>SW018</t>
        </is>
      </c>
      <c r="C1399" s="33" t="inlineStr">
        <is>
          <t>Kristof Milak</t>
        </is>
      </c>
      <c r="D1399" s="33" t="inlineStr">
        <is>
          <t>SwimCloud</t>
        </is>
      </c>
      <c r="E1399" s="33" t="inlineStr">
        <is>
          <t>508643</t>
        </is>
      </c>
      <c r="F1399" s="33" t="inlineStr">
        <is>
          <t>24822191</t>
        </is>
      </c>
      <c r="G1399" s="51" t="n">
        <v>43519</v>
      </c>
      <c r="H1399" s="33" t="inlineStr">
        <is>
          <t>Diamond Speedo Race</t>
        </is>
      </c>
      <c r="I1399" s="33" t="inlineStr">
        <is>
          <t>143121</t>
        </is>
      </c>
      <c r="J1399" s="33" t="inlineStr"/>
      <c r="K1399" s="33" t="inlineStr">
        <is>
          <t>FIN</t>
        </is>
      </c>
      <c r="L1399" s="35">
        <f>IF(K1399="FIN",3,IF(OR(K1399="SEM",K1399="SEMI"),2,IF(OR(K1399="PRE",K1399="HEAT"),1,IF(V1399="YES",4,2))))</f>
        <v/>
      </c>
      <c r="M1399" s="33" t="inlineStr">
        <is>
          <t>LCM</t>
        </is>
      </c>
      <c r="N1399" s="33" t="n">
        <v>200</v>
      </c>
      <c r="O1399" s="33" t="inlineStr">
        <is>
          <t>Free</t>
        </is>
      </c>
      <c r="P1399" s="33" t="inlineStr">
        <is>
          <t>200 Free</t>
        </is>
      </c>
      <c r="Q1399" s="33" t="inlineStr">
        <is>
          <t>LCM_200_FREE</t>
        </is>
      </c>
      <c r="R1399" s="36" t="n">
        <v>108.94</v>
      </c>
      <c r="S1399" s="35">
        <f>IF(R1399="","",IF(R1399&gt;=60,INT(R1399/60)&amp;":"&amp;TEXT(MOD(R1399,60),"00.00"),TEXT(R1399,"0.00")))</f>
        <v/>
      </c>
      <c r="T1399" s="52">
        <f>IFERROR((G1399-INDEX('01_Swimmers'!$E$5:$E$22,MATCH(B1399,'01_Swimmers'!$A$5:$A$22,0)))/'00_Control'!$B$10,"")</f>
        <v/>
      </c>
      <c r="U1399" s="35">
        <f>IF(T1399="","",INT(T1399))</f>
        <v/>
      </c>
      <c r="V1399" s="33" t="inlineStr">
        <is>
          <t>NO</t>
        </is>
      </c>
      <c r="W1399" s="33" t="inlineStr">
        <is>
          <t>YES</t>
        </is>
      </c>
      <c r="X1399" s="33" t="inlineStr">
        <is>
          <t>NO</t>
        </is>
      </c>
      <c r="Y1399" s="33" t="n">
        <v>1</v>
      </c>
      <c r="Z1399" s="33" t="n">
        <v>1</v>
      </c>
      <c r="AA1399" s="33" t="inlineStr">
        <is>
          <t>1</t>
        </is>
      </c>
      <c r="AB1399" s="33" t="inlineStr">
        <is>
          <t>https://www.swimcloud.com/results/143121/event/2/?id=24822191#time24822191</t>
        </is>
      </c>
      <c r="AC1399" s="33" t="inlineStr">
        <is>
          <t>SwimCloud API v6 2026-10-08</t>
        </is>
      </c>
      <c r="AD1399" s="33" t="inlineStr">
        <is>
          <t>Kristof Milak|2019-02-23|LCM|200|Free|108.94|Diamond Speedo Race|FIN|False</t>
        </is>
      </c>
      <c r="AE1399" s="53">
        <f>G1399+L1399/1000+ROW()/1000000000</f>
        <v/>
      </c>
      <c r="AF1399" s="35">
        <f>IF(C1399&lt;&gt;"Grayson Coulter","",COUNTIFS($C$5:$C$2991,"Grayson Coulter",$Q$5:$Q$2991,Q1399,$AE$5:$AE$2991,"&lt;="&amp;AE1399,$R$5:$R$2991,"&lt;"&amp;R1399))</f>
        <v/>
      </c>
      <c r="AG1399" s="35">
        <f>IF(OR(C1399&lt;&gt;"Grayson Coulter",G1399&lt;'00_Control'!$B$7),"",--(AF1399&lt;5))</f>
        <v/>
      </c>
      <c r="AH1399" s="35">
        <f>IF(OR(C1399&lt;&gt;"Grayson Coulter",G1399&lt;'00_Control'!$B$7),"",--(AF1399&lt;10))</f>
        <v/>
      </c>
      <c r="AI1399" s="35">
        <f>IF(AND(C1399="Grayson Coulter",G1399&gt;='00_Control'!$B$7),"YES","NO")</f>
        <v/>
      </c>
      <c r="AJ1399" s="33" t="inlineStr">
        <is>
          <t>OK</t>
        </is>
      </c>
    </row>
    <row r="1400">
      <c r="A1400" s="33" t="inlineStr">
        <is>
          <t>SM001396</t>
        </is>
      </c>
      <c r="B1400" s="33" t="inlineStr">
        <is>
          <t>SW018</t>
        </is>
      </c>
      <c r="C1400" s="33" t="inlineStr">
        <is>
          <t>Kristof Milak</t>
        </is>
      </c>
      <c r="D1400" s="33" t="inlineStr">
        <is>
          <t>SwimCloud</t>
        </is>
      </c>
      <c r="E1400" s="33" t="inlineStr">
        <is>
          <t>508643</t>
        </is>
      </c>
      <c r="F1400" s="33" t="inlineStr">
        <is>
          <t>24822198</t>
        </is>
      </c>
      <c r="G1400" s="51" t="n">
        <v>43520</v>
      </c>
      <c r="H1400" s="33" t="inlineStr">
        <is>
          <t>Diamond Speedo Race</t>
        </is>
      </c>
      <c r="I1400" s="33" t="inlineStr">
        <is>
          <t>143121</t>
        </is>
      </c>
      <c r="J1400" s="33" t="inlineStr"/>
      <c r="K1400" s="33" t="inlineStr">
        <is>
          <t>PRE</t>
        </is>
      </c>
      <c r="L1400" s="35">
        <f>IF(K1400="FIN",3,IF(OR(K1400="SEM",K1400="SEMI"),2,IF(OR(K1400="PRE",K1400="HEAT"),1,IF(V1400="YES",4,2))))</f>
        <v/>
      </c>
      <c r="M1400" s="33" t="inlineStr">
        <is>
          <t>LCM</t>
        </is>
      </c>
      <c r="N1400" s="33" t="n">
        <v>100</v>
      </c>
      <c r="O1400" s="33" t="inlineStr">
        <is>
          <t>Fly</t>
        </is>
      </c>
      <c r="P1400" s="33" t="inlineStr">
        <is>
          <t>100 Fly</t>
        </is>
      </c>
      <c r="Q1400" s="33" t="inlineStr">
        <is>
          <t>LCM_100_FLY</t>
        </is>
      </c>
      <c r="R1400" s="36" t="n">
        <v>54.31</v>
      </c>
      <c r="S1400" s="35">
        <f>IF(R1400="","",IF(R1400&gt;=60,INT(R1400/60)&amp;":"&amp;TEXT(MOD(R1400,60),"00.00"),TEXT(R1400,"0.00")))</f>
        <v/>
      </c>
      <c r="T1400" s="52">
        <f>IFERROR((G1400-INDEX('01_Swimmers'!$E$5:$E$22,MATCH(B1400,'01_Swimmers'!$A$5:$A$22,0)))/'00_Control'!$B$10,"")</f>
        <v/>
      </c>
      <c r="U1400" s="35">
        <f>IF(T1400="","",INT(T1400))</f>
        <v/>
      </c>
      <c r="V1400" s="33" t="inlineStr">
        <is>
          <t>NO</t>
        </is>
      </c>
      <c r="W1400" s="33" t="inlineStr">
        <is>
          <t>YES</t>
        </is>
      </c>
      <c r="X1400" s="33" t="inlineStr">
        <is>
          <t>NO</t>
        </is>
      </c>
      <c r="Y1400" s="33" t="n">
        <v>7</v>
      </c>
      <c r="Z1400" s="33" t="n">
        <v>4</v>
      </c>
      <c r="AA1400" s="33" t="inlineStr">
        <is>
          <t>1</t>
        </is>
      </c>
      <c r="AB1400" s="33" t="inlineStr">
        <is>
          <t>https://www.swimcloud.com/results/143121/event/31/?id=24822198#time24822198</t>
        </is>
      </c>
      <c r="AC1400" s="33" t="inlineStr">
        <is>
          <t>SwimCloud API v6 2026-10-08</t>
        </is>
      </c>
      <c r="AD1400" s="33" t="inlineStr">
        <is>
          <t>Kristof Milak|2019-02-24|LCM|100|Fly|54.31|Diamond Speedo Race|PRE|False</t>
        </is>
      </c>
      <c r="AE1400" s="53">
        <f>G1400+L1400/1000+ROW()/1000000000</f>
        <v/>
      </c>
      <c r="AF1400" s="35">
        <f>IF(C1400&lt;&gt;"Grayson Coulter","",COUNTIFS($C$5:$C$2991,"Grayson Coulter",$Q$5:$Q$2991,Q1400,$AE$5:$AE$2991,"&lt;="&amp;AE1400,$R$5:$R$2991,"&lt;"&amp;R1400))</f>
        <v/>
      </c>
      <c r="AG1400" s="35">
        <f>IF(OR(C1400&lt;&gt;"Grayson Coulter",G1400&lt;'00_Control'!$B$7),"",--(AF1400&lt;5))</f>
        <v/>
      </c>
      <c r="AH1400" s="35">
        <f>IF(OR(C1400&lt;&gt;"Grayson Coulter",G1400&lt;'00_Control'!$B$7),"",--(AF1400&lt;10))</f>
        <v/>
      </c>
      <c r="AI1400" s="35">
        <f>IF(AND(C1400="Grayson Coulter",G1400&gt;='00_Control'!$B$7),"YES","NO")</f>
        <v/>
      </c>
      <c r="AJ1400" s="33" t="inlineStr">
        <is>
          <t>OK</t>
        </is>
      </c>
    </row>
    <row r="1401">
      <c r="A1401" s="33" t="inlineStr">
        <is>
          <t>SM001397</t>
        </is>
      </c>
      <c r="B1401" s="33" t="inlineStr">
        <is>
          <t>SW018</t>
        </is>
      </c>
      <c r="C1401" s="33" t="inlineStr">
        <is>
          <t>Kristof Milak</t>
        </is>
      </c>
      <c r="D1401" s="33" t="inlineStr">
        <is>
          <t>SwimCloud</t>
        </is>
      </c>
      <c r="E1401" s="33" t="inlineStr">
        <is>
          <t>508643</t>
        </is>
      </c>
      <c r="F1401" s="33" t="inlineStr">
        <is>
          <t>24822197</t>
        </is>
      </c>
      <c r="G1401" s="51" t="n">
        <v>43520</v>
      </c>
      <c r="H1401" s="33" t="inlineStr">
        <is>
          <t>Diamond Speedo Race</t>
        </is>
      </c>
      <c r="I1401" s="33" t="inlineStr">
        <is>
          <t>143121</t>
        </is>
      </c>
      <c r="J1401" s="33" t="inlineStr"/>
      <c r="K1401" s="33" t="inlineStr">
        <is>
          <t>FIN</t>
        </is>
      </c>
      <c r="L1401" s="35">
        <f>IF(K1401="FIN",3,IF(OR(K1401="SEM",K1401="SEMI"),2,IF(OR(K1401="PRE",K1401="HEAT"),1,IF(V1401="YES",4,2))))</f>
        <v/>
      </c>
      <c r="M1401" s="33" t="inlineStr">
        <is>
          <t>LCM</t>
        </is>
      </c>
      <c r="N1401" s="33" t="n">
        <v>100</v>
      </c>
      <c r="O1401" s="33" t="inlineStr">
        <is>
          <t>Fly</t>
        </is>
      </c>
      <c r="P1401" s="33" t="inlineStr">
        <is>
          <t>100 Fly</t>
        </is>
      </c>
      <c r="Q1401" s="33" t="inlineStr">
        <is>
          <t>LCM_100_FLY</t>
        </is>
      </c>
      <c r="R1401" s="36" t="n">
        <v>53.3</v>
      </c>
      <c r="S1401" s="35">
        <f>IF(R1401="","",IF(R1401&gt;=60,INT(R1401/60)&amp;":"&amp;TEXT(MOD(R1401,60),"00.00"),TEXT(R1401,"0.00")))</f>
        <v/>
      </c>
      <c r="T1401" s="52">
        <f>IFERROR((G1401-INDEX('01_Swimmers'!$E$5:$E$22,MATCH(B1401,'01_Swimmers'!$A$5:$A$22,0)))/'00_Control'!$B$10,"")</f>
        <v/>
      </c>
      <c r="U1401" s="35">
        <f>IF(T1401="","",INT(T1401))</f>
        <v/>
      </c>
      <c r="V1401" s="33" t="inlineStr">
        <is>
          <t>NO</t>
        </is>
      </c>
      <c r="W1401" s="33" t="inlineStr">
        <is>
          <t>YES</t>
        </is>
      </c>
      <c r="X1401" s="33" t="inlineStr">
        <is>
          <t>NO</t>
        </is>
      </c>
      <c r="Y1401" s="33" t="n"/>
      <c r="Z1401" s="33" t="n">
        <v>4</v>
      </c>
      <c r="AA1401" s="33" t="inlineStr">
        <is>
          <t>1</t>
        </is>
      </c>
      <c r="AB1401" s="33" t="inlineStr">
        <is>
          <t>https://www.swimcloud.com/results/143121/event/31/?id=24822197#time24822197</t>
        </is>
      </c>
      <c r="AC1401" s="33" t="inlineStr">
        <is>
          <t>SwimCloud API v6 2026-10-08</t>
        </is>
      </c>
      <c r="AD1401" s="33" t="inlineStr">
        <is>
          <t>Kristof Milak|2019-02-24|LCM|100|Fly|53.3|Diamond Speedo Race|FIN|False</t>
        </is>
      </c>
      <c r="AE1401" s="53">
        <f>G1401+L1401/1000+ROW()/1000000000</f>
        <v/>
      </c>
      <c r="AF1401" s="35">
        <f>IF(C1401&lt;&gt;"Grayson Coulter","",COUNTIFS($C$5:$C$2991,"Grayson Coulter",$Q$5:$Q$2991,Q1401,$AE$5:$AE$2991,"&lt;="&amp;AE1401,$R$5:$R$2991,"&lt;"&amp;R1401))</f>
        <v/>
      </c>
      <c r="AG1401" s="35">
        <f>IF(OR(C1401&lt;&gt;"Grayson Coulter",G1401&lt;'00_Control'!$B$7),"",--(AF1401&lt;5))</f>
        <v/>
      </c>
      <c r="AH1401" s="35">
        <f>IF(OR(C1401&lt;&gt;"Grayson Coulter",G1401&lt;'00_Control'!$B$7),"",--(AF1401&lt;10))</f>
        <v/>
      </c>
      <c r="AI1401" s="35">
        <f>IF(AND(C1401="Grayson Coulter",G1401&gt;='00_Control'!$B$7),"YES","NO")</f>
        <v/>
      </c>
      <c r="AJ1401" s="33" t="inlineStr">
        <is>
          <t>OK</t>
        </is>
      </c>
    </row>
    <row r="1402">
      <c r="A1402" s="33" t="inlineStr">
        <is>
          <t>SM001398</t>
        </is>
      </c>
      <c r="B1402" s="33" t="inlineStr">
        <is>
          <t>SW018</t>
        </is>
      </c>
      <c r="C1402" s="33" t="inlineStr">
        <is>
          <t>Kristof Milak</t>
        </is>
      </c>
      <c r="D1402" s="33" t="inlineStr">
        <is>
          <t>SwimCloud</t>
        </is>
      </c>
      <c r="E1402" s="33" t="inlineStr">
        <is>
          <t>508643</t>
        </is>
      </c>
      <c r="F1402" s="33" t="inlineStr">
        <is>
          <t>24822190</t>
        </is>
      </c>
      <c r="G1402" s="51" t="n">
        <v>43520</v>
      </c>
      <c r="H1402" s="33" t="inlineStr">
        <is>
          <t>Diamond Speedo Race</t>
        </is>
      </c>
      <c r="I1402" s="33" t="inlineStr">
        <is>
          <t>143121</t>
        </is>
      </c>
      <c r="J1402" s="33" t="inlineStr"/>
      <c r="K1402" s="33" t="inlineStr">
        <is>
          <t>PRE</t>
        </is>
      </c>
      <c r="L1402" s="35">
        <f>IF(K1402="FIN",3,IF(OR(K1402="SEM",K1402="SEMI"),2,IF(OR(K1402="PRE",K1402="HEAT"),1,IF(V1402="YES",4,2))))</f>
        <v/>
      </c>
      <c r="M1402" s="33" t="inlineStr">
        <is>
          <t>LCM</t>
        </is>
      </c>
      <c r="N1402" s="33" t="n">
        <v>100</v>
      </c>
      <c r="O1402" s="33" t="inlineStr">
        <is>
          <t>Free</t>
        </is>
      </c>
      <c r="P1402" s="33" t="inlineStr">
        <is>
          <t>100 Free</t>
        </is>
      </c>
      <c r="Q1402" s="33" t="inlineStr">
        <is>
          <t>LCM_100_FREE</t>
        </is>
      </c>
      <c r="R1402" s="36" t="n">
        <v>51.27</v>
      </c>
      <c r="S1402" s="35">
        <f>IF(R1402="","",IF(R1402&gt;=60,INT(R1402/60)&amp;":"&amp;TEXT(MOD(R1402,60),"00.00"),TEXT(R1402,"0.00")))</f>
        <v/>
      </c>
      <c r="T1402" s="52">
        <f>IFERROR((G1402-INDEX('01_Swimmers'!$E$5:$E$22,MATCH(B1402,'01_Swimmers'!$A$5:$A$22,0)))/'00_Control'!$B$10,"")</f>
        <v/>
      </c>
      <c r="U1402" s="35">
        <f>IF(T1402="","",INT(T1402))</f>
        <v/>
      </c>
      <c r="V1402" s="33" t="inlineStr">
        <is>
          <t>NO</t>
        </is>
      </c>
      <c r="W1402" s="33" t="inlineStr">
        <is>
          <t>YES</t>
        </is>
      </c>
      <c r="X1402" s="33" t="inlineStr">
        <is>
          <t>NO</t>
        </is>
      </c>
      <c r="Y1402" s="33" t="n">
        <v>14</v>
      </c>
      <c r="Z1402" s="33" t="n">
        <v>4</v>
      </c>
      <c r="AA1402" s="33" t="inlineStr">
        <is>
          <t>9</t>
        </is>
      </c>
      <c r="AB1402" s="33" t="inlineStr">
        <is>
          <t>https://www.swimcloud.com/results/143121/event/17/?id=24822190#time24822190</t>
        </is>
      </c>
      <c r="AC1402" s="33" t="inlineStr">
        <is>
          <t>SwimCloud API v6 2026-10-08</t>
        </is>
      </c>
      <c r="AD1402" s="33" t="inlineStr">
        <is>
          <t>Kristof Milak|2019-02-24|LCM|100|Free|51.27|Diamond Speedo Race|PRE|False</t>
        </is>
      </c>
      <c r="AE1402" s="53">
        <f>G1402+L1402/1000+ROW()/1000000000</f>
        <v/>
      </c>
      <c r="AF1402" s="35">
        <f>IF(C1402&lt;&gt;"Grayson Coulter","",COUNTIFS($C$5:$C$2991,"Grayson Coulter",$Q$5:$Q$2991,Q1402,$AE$5:$AE$2991,"&lt;="&amp;AE1402,$R$5:$R$2991,"&lt;"&amp;R1402))</f>
        <v/>
      </c>
      <c r="AG1402" s="35">
        <f>IF(OR(C1402&lt;&gt;"Grayson Coulter",G1402&lt;'00_Control'!$B$7),"",--(AF1402&lt;5))</f>
        <v/>
      </c>
      <c r="AH1402" s="35">
        <f>IF(OR(C1402&lt;&gt;"Grayson Coulter",G1402&lt;'00_Control'!$B$7),"",--(AF1402&lt;10))</f>
        <v/>
      </c>
      <c r="AI1402" s="35">
        <f>IF(AND(C1402="Grayson Coulter",G1402&gt;='00_Control'!$B$7),"YES","NO")</f>
        <v/>
      </c>
      <c r="AJ1402" s="33" t="inlineStr">
        <is>
          <t>OK</t>
        </is>
      </c>
    </row>
    <row r="1403">
      <c r="A1403" s="33" t="inlineStr">
        <is>
          <t>SM001399</t>
        </is>
      </c>
      <c r="B1403" s="33" t="inlineStr">
        <is>
          <t>SW018</t>
        </is>
      </c>
      <c r="C1403" s="33" t="inlineStr">
        <is>
          <t>Kristof Milak</t>
        </is>
      </c>
      <c r="D1403" s="33" t="inlineStr">
        <is>
          <t>SwimCloud</t>
        </is>
      </c>
      <c r="E1403" s="33" t="inlineStr">
        <is>
          <t>508643</t>
        </is>
      </c>
      <c r="F1403" s="33" t="inlineStr">
        <is>
          <t>24822189</t>
        </is>
      </c>
      <c r="G1403" s="51" t="n">
        <v>43520</v>
      </c>
      <c r="H1403" s="33" t="inlineStr">
        <is>
          <t>Diamond Speedo Race</t>
        </is>
      </c>
      <c r="I1403" s="33" t="inlineStr">
        <is>
          <t>143121</t>
        </is>
      </c>
      <c r="J1403" s="33" t="inlineStr"/>
      <c r="K1403" s="33" t="inlineStr">
        <is>
          <t>FIN</t>
        </is>
      </c>
      <c r="L1403" s="35">
        <f>IF(K1403="FIN",3,IF(OR(K1403="SEM",K1403="SEMI"),2,IF(OR(K1403="PRE",K1403="HEAT"),1,IF(V1403="YES",4,2))))</f>
        <v/>
      </c>
      <c r="M1403" s="33" t="inlineStr">
        <is>
          <t>LCM</t>
        </is>
      </c>
      <c r="N1403" s="33" t="n">
        <v>100</v>
      </c>
      <c r="O1403" s="33" t="inlineStr">
        <is>
          <t>Free</t>
        </is>
      </c>
      <c r="P1403" s="33" t="inlineStr">
        <is>
          <t>100 Free</t>
        </is>
      </c>
      <c r="Q1403" s="33" t="inlineStr">
        <is>
          <t>LCM_100_FREE</t>
        </is>
      </c>
      <c r="R1403" s="36" t="n">
        <v>50.96</v>
      </c>
      <c r="S1403" s="35">
        <f>IF(R1403="","",IF(R1403&gt;=60,INT(R1403/60)&amp;":"&amp;TEXT(MOD(R1403,60),"00.00"),TEXT(R1403,"0.00")))</f>
        <v/>
      </c>
      <c r="T1403" s="52">
        <f>IFERROR((G1403-INDEX('01_Swimmers'!$E$5:$E$22,MATCH(B1403,'01_Swimmers'!$A$5:$A$22,0)))/'00_Control'!$B$10,"")</f>
        <v/>
      </c>
      <c r="U1403" s="35">
        <f>IF(T1403="","",INT(T1403))</f>
        <v/>
      </c>
      <c r="V1403" s="33" t="inlineStr">
        <is>
          <t>NO</t>
        </is>
      </c>
      <c r="W1403" s="33" t="inlineStr">
        <is>
          <t>YES</t>
        </is>
      </c>
      <c r="X1403" s="33" t="inlineStr">
        <is>
          <t>NO</t>
        </is>
      </c>
      <c r="Y1403" s="33" t="n"/>
      <c r="Z1403" s="33" t="n">
        <v>4</v>
      </c>
      <c r="AA1403" s="33" t="inlineStr">
        <is>
          <t>10</t>
        </is>
      </c>
      <c r="AB1403" s="33" t="inlineStr">
        <is>
          <t>https://www.swimcloud.com/results/143121/event/17/?id=24822189#time24822189</t>
        </is>
      </c>
      <c r="AC1403" s="33" t="inlineStr">
        <is>
          <t>SwimCloud API v6 2026-10-08</t>
        </is>
      </c>
      <c r="AD1403" s="33" t="inlineStr">
        <is>
          <t>Kristof Milak|2019-02-24|LCM|100|Free|50.96|Diamond Speedo Race|FIN|False</t>
        </is>
      </c>
      <c r="AE1403" s="53">
        <f>G1403+L1403/1000+ROW()/1000000000</f>
        <v/>
      </c>
      <c r="AF1403" s="35">
        <f>IF(C1403&lt;&gt;"Grayson Coulter","",COUNTIFS($C$5:$C$2991,"Grayson Coulter",$Q$5:$Q$2991,Q1403,$AE$5:$AE$2991,"&lt;="&amp;AE1403,$R$5:$R$2991,"&lt;"&amp;R1403))</f>
        <v/>
      </c>
      <c r="AG1403" s="35">
        <f>IF(OR(C1403&lt;&gt;"Grayson Coulter",G1403&lt;'00_Control'!$B$7),"",--(AF1403&lt;5))</f>
        <v/>
      </c>
      <c r="AH1403" s="35">
        <f>IF(OR(C1403&lt;&gt;"Grayson Coulter",G1403&lt;'00_Control'!$B$7),"",--(AF1403&lt;10))</f>
        <v/>
      </c>
      <c r="AI1403" s="35">
        <f>IF(AND(C1403="Grayson Coulter",G1403&gt;='00_Control'!$B$7),"YES","NO")</f>
        <v/>
      </c>
      <c r="AJ1403" s="33" t="inlineStr">
        <is>
          <t>OK</t>
        </is>
      </c>
    </row>
    <row r="1404">
      <c r="A1404" s="33" t="inlineStr">
        <is>
          <t>SM001400</t>
        </is>
      </c>
      <c r="B1404" s="33" t="inlineStr">
        <is>
          <t>SW018</t>
        </is>
      </c>
      <c r="C1404" s="33" t="inlineStr">
        <is>
          <t>Kristof Milak</t>
        </is>
      </c>
      <c r="D1404" s="33" t="inlineStr">
        <is>
          <t>SwimCloud</t>
        </is>
      </c>
      <c r="E1404" s="33" t="inlineStr">
        <is>
          <t>508643</t>
        </is>
      </c>
      <c r="F1404" s="33" t="inlineStr">
        <is>
          <t>26306128</t>
        </is>
      </c>
      <c r="G1404" s="51" t="n">
        <v>43597</v>
      </c>
      <c r="H1404" s="33" t="inlineStr">
        <is>
          <t>FINA Champions Swim Series</t>
        </is>
      </c>
      <c r="I1404" s="33" t="inlineStr">
        <is>
          <t>145858</t>
        </is>
      </c>
      <c r="J1404" s="33" t="inlineStr"/>
      <c r="K1404" s="33" t="inlineStr">
        <is>
          <t>FIN</t>
        </is>
      </c>
      <c r="L1404" s="35">
        <f>IF(K1404="FIN",3,IF(OR(K1404="SEM",K1404="SEMI"),2,IF(OR(K1404="PRE",K1404="HEAT"),1,IF(V1404="YES",4,2))))</f>
        <v/>
      </c>
      <c r="M1404" s="33" t="inlineStr">
        <is>
          <t>LCM</t>
        </is>
      </c>
      <c r="N1404" s="33" t="n">
        <v>100</v>
      </c>
      <c r="O1404" s="33" t="inlineStr">
        <is>
          <t>Fly</t>
        </is>
      </c>
      <c r="P1404" s="33" t="inlineStr">
        <is>
          <t>100 Fly</t>
        </is>
      </c>
      <c r="Q1404" s="33" t="inlineStr">
        <is>
          <t>LCM_100_FLY</t>
        </is>
      </c>
      <c r="R1404" s="36" t="n">
        <v>51.67</v>
      </c>
      <c r="S1404" s="35">
        <f>IF(R1404="","",IF(R1404&gt;=60,INT(R1404/60)&amp;":"&amp;TEXT(MOD(R1404,60),"00.00"),TEXT(R1404,"0.00")))</f>
        <v/>
      </c>
      <c r="T1404" s="52">
        <f>IFERROR((G1404-INDEX('01_Swimmers'!$E$5:$E$22,MATCH(B1404,'01_Swimmers'!$A$5:$A$22,0)))/'00_Control'!$B$10,"")</f>
        <v/>
      </c>
      <c r="U1404" s="35">
        <f>IF(T1404="","",INT(T1404))</f>
        <v/>
      </c>
      <c r="V1404" s="33" t="inlineStr">
        <is>
          <t>NO</t>
        </is>
      </c>
      <c r="W1404" s="33" t="inlineStr">
        <is>
          <t>YES</t>
        </is>
      </c>
      <c r="X1404" s="33" t="inlineStr">
        <is>
          <t>NO</t>
        </is>
      </c>
      <c r="Y1404" s="33" t="n">
        <v>1</v>
      </c>
      <c r="Z1404" s="33" t="n">
        <v>3</v>
      </c>
      <c r="AA1404" s="33" t="inlineStr">
        <is>
          <t>2</t>
        </is>
      </c>
      <c r="AB1404" s="33" t="inlineStr">
        <is>
          <t>https://www.swimcloud.com/results/145858/event/18/?id=26306128#time26306128</t>
        </is>
      </c>
      <c r="AC1404" s="33" t="inlineStr">
        <is>
          <t>SwimCloud API v6 2026-10-08</t>
        </is>
      </c>
      <c r="AD1404" s="33" t="inlineStr">
        <is>
          <t>Kristof Milak|2019-05-12|LCM|100|Fly|51.67|FINA Champions Swim Series|FIN|False</t>
        </is>
      </c>
      <c r="AE1404" s="53">
        <f>G1404+L1404/1000+ROW()/1000000000</f>
        <v/>
      </c>
      <c r="AF1404" s="35">
        <f>IF(C1404&lt;&gt;"Grayson Coulter","",COUNTIFS($C$5:$C$2991,"Grayson Coulter",$Q$5:$Q$2991,Q1404,$AE$5:$AE$2991,"&lt;="&amp;AE1404,$R$5:$R$2991,"&lt;"&amp;R1404))</f>
        <v/>
      </c>
      <c r="AG1404" s="35">
        <f>IF(OR(C1404&lt;&gt;"Grayson Coulter",G1404&lt;'00_Control'!$B$7),"",--(AF1404&lt;5))</f>
        <v/>
      </c>
      <c r="AH1404" s="35">
        <f>IF(OR(C1404&lt;&gt;"Grayson Coulter",G1404&lt;'00_Control'!$B$7),"",--(AF1404&lt;10))</f>
        <v/>
      </c>
      <c r="AI1404" s="35">
        <f>IF(AND(C1404="Grayson Coulter",G1404&gt;='00_Control'!$B$7),"YES","NO")</f>
        <v/>
      </c>
      <c r="AJ1404" s="33" t="inlineStr">
        <is>
          <t>OK</t>
        </is>
      </c>
    </row>
    <row r="1405">
      <c r="A1405" s="33" t="inlineStr">
        <is>
          <t>SM001401</t>
        </is>
      </c>
      <c r="B1405" s="33" t="inlineStr">
        <is>
          <t>SW018</t>
        </is>
      </c>
      <c r="C1405" s="33" t="inlineStr">
        <is>
          <t>Kristof Milak</t>
        </is>
      </c>
      <c r="D1405" s="33" t="inlineStr">
        <is>
          <t>SwimCloud</t>
        </is>
      </c>
      <c r="E1405" s="33" t="inlineStr">
        <is>
          <t>508643</t>
        </is>
      </c>
      <c r="F1405" s="33" t="inlineStr">
        <is>
          <t>28188877</t>
        </is>
      </c>
      <c r="G1405" s="51" t="n">
        <v>43672</v>
      </c>
      <c r="H1405" s="33" t="inlineStr">
        <is>
          <t>18th FINA World Championships</t>
        </is>
      </c>
      <c r="I1405" s="33" t="inlineStr">
        <is>
          <t>149555</t>
        </is>
      </c>
      <c r="J1405" s="33" t="inlineStr"/>
      <c r="K1405" s="33" t="inlineStr">
        <is>
          <t>PRE</t>
        </is>
      </c>
      <c r="L1405" s="35">
        <f>IF(K1405="FIN",3,IF(OR(K1405="SEM",K1405="SEMI"),2,IF(OR(K1405="PRE",K1405="HEAT"),1,IF(V1405="YES",4,2))))</f>
        <v/>
      </c>
      <c r="M1405" s="33" t="inlineStr">
        <is>
          <t>LCM</t>
        </is>
      </c>
      <c r="N1405" s="33" t="n">
        <v>100</v>
      </c>
      <c r="O1405" s="33" t="inlineStr">
        <is>
          <t>Fly</t>
        </is>
      </c>
      <c r="P1405" s="33" t="inlineStr">
        <is>
          <t>100 Fly</t>
        </is>
      </c>
      <c r="Q1405" s="33" t="inlineStr">
        <is>
          <t>LCM_100_FLY</t>
        </is>
      </c>
      <c r="R1405" s="36" t="n">
        <v>51.42</v>
      </c>
      <c r="S1405" s="35">
        <f>IF(R1405="","",IF(R1405&gt;=60,INT(R1405/60)&amp;":"&amp;TEXT(MOD(R1405,60),"00.00"),TEXT(R1405,"0.00")))</f>
        <v/>
      </c>
      <c r="T1405" s="52">
        <f>IFERROR((G1405-INDEX('01_Swimmers'!$E$5:$E$22,MATCH(B1405,'01_Swimmers'!$A$5:$A$22,0)))/'00_Control'!$B$10,"")</f>
        <v/>
      </c>
      <c r="U1405" s="35">
        <f>IF(T1405="","",INT(T1405))</f>
        <v/>
      </c>
      <c r="V1405" s="33" t="inlineStr">
        <is>
          <t>NO</t>
        </is>
      </c>
      <c r="W1405" s="33" t="inlineStr">
        <is>
          <t>YES</t>
        </is>
      </c>
      <c r="X1405" s="33" t="inlineStr">
        <is>
          <t>NO</t>
        </is>
      </c>
      <c r="Y1405" s="33" t="n">
        <v>7</v>
      </c>
      <c r="Z1405" s="33" t="n">
        <v>2</v>
      </c>
      <c r="AA1405" s="33" t="inlineStr">
        <is>
          <t>2</t>
        </is>
      </c>
      <c r="AB1405" s="33" t="inlineStr">
        <is>
          <t>https://www.swimcloud.com/results/149555/event/28/?id=28188877#time28188877</t>
        </is>
      </c>
      <c r="AC1405" s="33" t="inlineStr">
        <is>
          <t>SwimCloud API v6 2026-10-08</t>
        </is>
      </c>
      <c r="AD1405" s="33" t="inlineStr">
        <is>
          <t>Kristof Milak|2019-07-26|LCM|100|Fly|51.42|18th FINA World Championships|PRE|False</t>
        </is>
      </c>
      <c r="AE1405" s="53">
        <f>G1405+L1405/1000+ROW()/1000000000</f>
        <v/>
      </c>
      <c r="AF1405" s="35">
        <f>IF(C1405&lt;&gt;"Grayson Coulter","",COUNTIFS($C$5:$C$2991,"Grayson Coulter",$Q$5:$Q$2991,Q1405,$AE$5:$AE$2991,"&lt;="&amp;AE1405,$R$5:$R$2991,"&lt;"&amp;R1405))</f>
        <v/>
      </c>
      <c r="AG1405" s="35">
        <f>IF(OR(C1405&lt;&gt;"Grayson Coulter",G1405&lt;'00_Control'!$B$7),"",--(AF1405&lt;5))</f>
        <v/>
      </c>
      <c r="AH1405" s="35">
        <f>IF(OR(C1405&lt;&gt;"Grayson Coulter",G1405&lt;'00_Control'!$B$7),"",--(AF1405&lt;10))</f>
        <v/>
      </c>
      <c r="AI1405" s="35">
        <f>IF(AND(C1405="Grayson Coulter",G1405&gt;='00_Control'!$B$7),"YES","NO")</f>
        <v/>
      </c>
      <c r="AJ1405" s="33" t="inlineStr">
        <is>
          <t>OK</t>
        </is>
      </c>
    </row>
    <row r="1406">
      <c r="A1406" s="33" t="inlineStr">
        <is>
          <t>SM001402</t>
        </is>
      </c>
      <c r="B1406" s="33" t="inlineStr">
        <is>
          <t>SW018</t>
        </is>
      </c>
      <c r="C1406" s="33" t="inlineStr">
        <is>
          <t>Kristof Milak</t>
        </is>
      </c>
      <c r="D1406" s="33" t="inlineStr">
        <is>
          <t>SwimCloud</t>
        </is>
      </c>
      <c r="E1406" s="33" t="inlineStr">
        <is>
          <t>508643</t>
        </is>
      </c>
      <c r="F1406" s="33" t="inlineStr">
        <is>
          <t>28188878</t>
        </is>
      </c>
      <c r="G1406" s="51" t="n">
        <v>43672</v>
      </c>
      <c r="H1406" s="33" t="inlineStr">
        <is>
          <t>18th FINA World Championships</t>
        </is>
      </c>
      <c r="I1406" s="33" t="inlineStr">
        <is>
          <t>149555</t>
        </is>
      </c>
      <c r="J1406" s="33" t="inlineStr"/>
      <c r="K1406" s="33" t="inlineStr">
        <is>
          <t>SEM</t>
        </is>
      </c>
      <c r="L1406" s="35">
        <f>IF(K1406="FIN",3,IF(OR(K1406="SEM",K1406="SEMI"),2,IF(OR(K1406="PRE",K1406="HEAT"),1,IF(V1406="YES",4,2))))</f>
        <v/>
      </c>
      <c r="M1406" s="33" t="inlineStr">
        <is>
          <t>LCM</t>
        </is>
      </c>
      <c r="N1406" s="33" t="n">
        <v>100</v>
      </c>
      <c r="O1406" s="33" t="inlineStr">
        <is>
          <t>Fly</t>
        </is>
      </c>
      <c r="P1406" s="33" t="inlineStr">
        <is>
          <t>100 Fly</t>
        </is>
      </c>
      <c r="Q1406" s="33" t="inlineStr">
        <is>
          <t>LCM_100_FLY</t>
        </is>
      </c>
      <c r="R1406" s="36" t="n">
        <v>50.95</v>
      </c>
      <c r="S1406" s="35">
        <f>IF(R1406="","",IF(R1406&gt;=60,INT(R1406/60)&amp;":"&amp;TEXT(MOD(R1406,60),"00.00"),TEXT(R1406,"0.00")))</f>
        <v/>
      </c>
      <c r="T1406" s="52">
        <f>IFERROR((G1406-INDEX('01_Swimmers'!$E$5:$E$22,MATCH(B1406,'01_Swimmers'!$A$5:$A$22,0)))/'00_Control'!$B$10,"")</f>
        <v/>
      </c>
      <c r="U1406" s="35">
        <f>IF(T1406="","",INT(T1406))</f>
        <v/>
      </c>
      <c r="V1406" s="33" t="inlineStr">
        <is>
          <t>NO</t>
        </is>
      </c>
      <c r="W1406" s="33" t="inlineStr">
        <is>
          <t>YES</t>
        </is>
      </c>
      <c r="X1406" s="33" t="inlineStr">
        <is>
          <t>NO</t>
        </is>
      </c>
      <c r="Y1406" s="33" t="n">
        <v>1</v>
      </c>
      <c r="Z1406" s="33" t="n">
        <v>4</v>
      </c>
      <c r="AA1406" s="33" t="inlineStr">
        <is>
          <t>3</t>
        </is>
      </c>
      <c r="AB1406" s="33" t="inlineStr">
        <is>
          <t>https://www.swimcloud.com/results/149555/event/28/?id=28188878#time28188878</t>
        </is>
      </c>
      <c r="AC1406" s="33" t="inlineStr">
        <is>
          <t>SwimCloud API v6 2026-10-08</t>
        </is>
      </c>
      <c r="AD1406" s="33" t="inlineStr">
        <is>
          <t>Kristof Milak|2019-07-26|LCM|100|Fly|50.95|18th FINA World Championships|SEM|False</t>
        </is>
      </c>
      <c r="AE1406" s="53">
        <f>G1406+L1406/1000+ROW()/1000000000</f>
        <v/>
      </c>
      <c r="AF1406" s="35">
        <f>IF(C1406&lt;&gt;"Grayson Coulter","",COUNTIFS($C$5:$C$2991,"Grayson Coulter",$Q$5:$Q$2991,Q1406,$AE$5:$AE$2991,"&lt;="&amp;AE1406,$R$5:$R$2991,"&lt;"&amp;R1406))</f>
        <v/>
      </c>
      <c r="AG1406" s="35">
        <f>IF(OR(C1406&lt;&gt;"Grayson Coulter",G1406&lt;'00_Control'!$B$7),"",--(AF1406&lt;5))</f>
        <v/>
      </c>
      <c r="AH1406" s="35">
        <f>IF(OR(C1406&lt;&gt;"Grayson Coulter",G1406&lt;'00_Control'!$B$7),"",--(AF1406&lt;10))</f>
        <v/>
      </c>
      <c r="AI1406" s="35">
        <f>IF(AND(C1406="Grayson Coulter",G1406&gt;='00_Control'!$B$7),"YES","NO")</f>
        <v/>
      </c>
      <c r="AJ1406" s="33" t="inlineStr">
        <is>
          <t>OK</t>
        </is>
      </c>
    </row>
    <row r="1407">
      <c r="A1407" s="33" t="inlineStr">
        <is>
          <t>SM001403</t>
        </is>
      </c>
      <c r="B1407" s="33" t="inlineStr">
        <is>
          <t>SW018</t>
        </is>
      </c>
      <c r="C1407" s="33" t="inlineStr">
        <is>
          <t>Kristof Milak</t>
        </is>
      </c>
      <c r="D1407" s="33" t="inlineStr">
        <is>
          <t>SwimCloud</t>
        </is>
      </c>
      <c r="E1407" s="33" t="inlineStr">
        <is>
          <t>508643</t>
        </is>
      </c>
      <c r="F1407" s="33" t="inlineStr">
        <is>
          <t>28188876</t>
        </is>
      </c>
      <c r="G1407" s="51" t="n">
        <v>43673</v>
      </c>
      <c r="H1407" s="33" t="inlineStr">
        <is>
          <t>18th FINA World Championships</t>
        </is>
      </c>
      <c r="I1407" s="33" t="inlineStr">
        <is>
          <t>149555</t>
        </is>
      </c>
      <c r="J1407" s="33" t="inlineStr"/>
      <c r="K1407" s="33" t="inlineStr">
        <is>
          <t>FIN</t>
        </is>
      </c>
      <c r="L1407" s="35">
        <f>IF(K1407="FIN",3,IF(OR(K1407="SEM",K1407="SEMI"),2,IF(OR(K1407="PRE",K1407="HEAT"),1,IF(V1407="YES",4,2))))</f>
        <v/>
      </c>
      <c r="M1407" s="33" t="inlineStr">
        <is>
          <t>LCM</t>
        </is>
      </c>
      <c r="N1407" s="33" t="n">
        <v>100</v>
      </c>
      <c r="O1407" s="33" t="inlineStr">
        <is>
          <t>Fly</t>
        </is>
      </c>
      <c r="P1407" s="33" t="inlineStr">
        <is>
          <t>100 Fly</t>
        </is>
      </c>
      <c r="Q1407" s="33" t="inlineStr">
        <is>
          <t>LCM_100_FLY</t>
        </is>
      </c>
      <c r="R1407" s="36" t="n">
        <v>51.26</v>
      </c>
      <c r="S1407" s="35">
        <f>IF(R1407="","",IF(R1407&gt;=60,INT(R1407/60)&amp;":"&amp;TEXT(MOD(R1407,60),"00.00"),TEXT(R1407,"0.00")))</f>
        <v/>
      </c>
      <c r="T1407" s="52">
        <f>IFERROR((G1407-INDEX('01_Swimmers'!$E$5:$E$22,MATCH(B1407,'01_Swimmers'!$A$5:$A$22,0)))/'00_Control'!$B$10,"")</f>
        <v/>
      </c>
      <c r="U1407" s="35">
        <f>IF(T1407="","",INT(T1407))</f>
        <v/>
      </c>
      <c r="V1407" s="33" t="inlineStr">
        <is>
          <t>NO</t>
        </is>
      </c>
      <c r="W1407" s="33" t="inlineStr">
        <is>
          <t>YES</t>
        </is>
      </c>
      <c r="X1407" s="33" t="inlineStr">
        <is>
          <t>NO</t>
        </is>
      </c>
      <c r="Y1407" s="33" t="n">
        <v>1</v>
      </c>
      <c r="Z1407" s="33" t="n">
        <v>3</v>
      </c>
      <c r="AA1407" s="33" t="inlineStr">
        <is>
          <t>4</t>
        </is>
      </c>
      <c r="AB1407" s="33" t="inlineStr">
        <is>
          <t>https://www.swimcloud.com/results/149555/event/28/?id=28188876#time28188876</t>
        </is>
      </c>
      <c r="AC1407" s="33" t="inlineStr">
        <is>
          <t>SwimCloud API v6 2026-10-08</t>
        </is>
      </c>
      <c r="AD1407" s="33" t="inlineStr">
        <is>
          <t>Kristof Milak|2019-07-27|LCM|100|Fly|51.26|18th FINA World Championships|FIN|False</t>
        </is>
      </c>
      <c r="AE1407" s="53">
        <f>G1407+L1407/1000+ROW()/1000000000</f>
        <v/>
      </c>
      <c r="AF1407" s="35">
        <f>IF(C1407&lt;&gt;"Grayson Coulter","",COUNTIFS($C$5:$C$2991,"Grayson Coulter",$Q$5:$Q$2991,Q1407,$AE$5:$AE$2991,"&lt;="&amp;AE1407,$R$5:$R$2991,"&lt;"&amp;R1407))</f>
        <v/>
      </c>
      <c r="AG1407" s="35">
        <f>IF(OR(C1407&lt;&gt;"Grayson Coulter",G1407&lt;'00_Control'!$B$7),"",--(AF1407&lt;5))</f>
        <v/>
      </c>
      <c r="AH1407" s="35">
        <f>IF(OR(C1407&lt;&gt;"Grayson Coulter",G1407&lt;'00_Control'!$B$7),"",--(AF1407&lt;10))</f>
        <v/>
      </c>
      <c r="AI1407" s="35">
        <f>IF(AND(C1407="Grayson Coulter",G1407&gt;='00_Control'!$B$7),"YES","NO")</f>
        <v/>
      </c>
      <c r="AJ1407" s="33" t="inlineStr">
        <is>
          <t>OK</t>
        </is>
      </c>
    </row>
    <row r="1408">
      <c r="A1408" s="33" t="inlineStr">
        <is>
          <t>SM001404</t>
        </is>
      </c>
      <c r="B1408" s="33" t="inlineStr">
        <is>
          <t>SW018</t>
        </is>
      </c>
      <c r="C1408" s="33" t="inlineStr">
        <is>
          <t>Kristof Milak</t>
        </is>
      </c>
      <c r="D1408" s="33" t="inlineStr">
        <is>
          <t>SwimCloud</t>
        </is>
      </c>
      <c r="E1408" s="33" t="inlineStr">
        <is>
          <t>508643</t>
        </is>
      </c>
      <c r="F1408" s="33" t="inlineStr">
        <is>
          <t>29371381</t>
        </is>
      </c>
      <c r="G1408" s="51" t="n">
        <v>43742</v>
      </c>
      <c r="H1408" s="33" t="inlineStr">
        <is>
          <t>FINA Swimming World Cup - Budapest</t>
        </is>
      </c>
      <c r="I1408" s="33" t="inlineStr">
        <is>
          <t>167470</t>
        </is>
      </c>
      <c r="J1408" s="33" t="inlineStr"/>
      <c r="K1408" s="33" t="inlineStr">
        <is>
          <t>PRE</t>
        </is>
      </c>
      <c r="L1408" s="35">
        <f>IF(K1408="FIN",3,IF(OR(K1408="SEM",K1408="SEMI"),2,IF(OR(K1408="PRE",K1408="HEAT"),1,IF(V1408="YES",4,2))))</f>
        <v/>
      </c>
      <c r="M1408" s="33" t="inlineStr">
        <is>
          <t>LCM</t>
        </is>
      </c>
      <c r="N1408" s="33" t="n">
        <v>100</v>
      </c>
      <c r="O1408" s="33" t="inlineStr">
        <is>
          <t>Fly</t>
        </is>
      </c>
      <c r="P1408" s="33" t="inlineStr">
        <is>
          <t>100 Fly</t>
        </is>
      </c>
      <c r="Q1408" s="33" t="inlineStr">
        <is>
          <t>LCM_100_FLY</t>
        </is>
      </c>
      <c r="R1408" s="36" t="n">
        <v>52.74</v>
      </c>
      <c r="S1408" s="35">
        <f>IF(R1408="","",IF(R1408&gt;=60,INT(R1408/60)&amp;":"&amp;TEXT(MOD(R1408,60),"00.00"),TEXT(R1408,"0.00")))</f>
        <v/>
      </c>
      <c r="T1408" s="52">
        <f>IFERROR((G1408-INDEX('01_Swimmers'!$E$5:$E$22,MATCH(B1408,'01_Swimmers'!$A$5:$A$22,0)))/'00_Control'!$B$10,"")</f>
        <v/>
      </c>
      <c r="U1408" s="35">
        <f>IF(T1408="","",INT(T1408))</f>
        <v/>
      </c>
      <c r="V1408" s="33" t="inlineStr">
        <is>
          <t>NO</t>
        </is>
      </c>
      <c r="W1408" s="33" t="inlineStr">
        <is>
          <t>YES</t>
        </is>
      </c>
      <c r="X1408" s="33" t="inlineStr">
        <is>
          <t>NO</t>
        </is>
      </c>
      <c r="Y1408" s="33" t="n">
        <v>8</v>
      </c>
      <c r="Z1408" s="33" t="n">
        <v>4</v>
      </c>
      <c r="AA1408" s="33" t="inlineStr">
        <is>
          <t>3</t>
        </is>
      </c>
      <c r="AB1408" s="33" t="inlineStr">
        <is>
          <t>https://www.swimcloud.com/results/167470/event/6/?id=29371381#time29371381</t>
        </is>
      </c>
      <c r="AC1408" s="33" t="inlineStr">
        <is>
          <t>SwimCloud API v6 2026-10-08</t>
        </is>
      </c>
      <c r="AD1408" s="33" t="inlineStr">
        <is>
          <t>Kristof Milak|2019-10-04|LCM|100|Fly|52.74|FINA Swimming World Cup - Budapest|PRE|False</t>
        </is>
      </c>
      <c r="AE1408" s="53">
        <f>G1408+L1408/1000+ROW()/1000000000</f>
        <v/>
      </c>
      <c r="AF1408" s="35">
        <f>IF(C1408&lt;&gt;"Grayson Coulter","",COUNTIFS($C$5:$C$2991,"Grayson Coulter",$Q$5:$Q$2991,Q1408,$AE$5:$AE$2991,"&lt;="&amp;AE1408,$R$5:$R$2991,"&lt;"&amp;R1408))</f>
        <v/>
      </c>
      <c r="AG1408" s="35">
        <f>IF(OR(C1408&lt;&gt;"Grayson Coulter",G1408&lt;'00_Control'!$B$7),"",--(AF1408&lt;5))</f>
        <v/>
      </c>
      <c r="AH1408" s="35">
        <f>IF(OR(C1408&lt;&gt;"Grayson Coulter",G1408&lt;'00_Control'!$B$7),"",--(AF1408&lt;10))</f>
        <v/>
      </c>
      <c r="AI1408" s="35">
        <f>IF(AND(C1408="Grayson Coulter",G1408&gt;='00_Control'!$B$7),"YES","NO")</f>
        <v/>
      </c>
      <c r="AJ1408" s="33" t="inlineStr">
        <is>
          <t>OK</t>
        </is>
      </c>
    </row>
    <row r="1409">
      <c r="A1409" s="33" t="inlineStr">
        <is>
          <t>SM001405</t>
        </is>
      </c>
      <c r="B1409" s="33" t="inlineStr">
        <is>
          <t>SW018</t>
        </is>
      </c>
      <c r="C1409" s="33" t="inlineStr">
        <is>
          <t>Kristof Milak</t>
        </is>
      </c>
      <c r="D1409" s="33" t="inlineStr">
        <is>
          <t>SwimCloud</t>
        </is>
      </c>
      <c r="E1409" s="33" t="inlineStr">
        <is>
          <t>508643</t>
        </is>
      </c>
      <c r="F1409" s="33" t="inlineStr">
        <is>
          <t>29371380</t>
        </is>
      </c>
      <c r="G1409" s="51" t="n">
        <v>43742</v>
      </c>
      <c r="H1409" s="33" t="inlineStr">
        <is>
          <t>FINA Swimming World Cup - Budapest</t>
        </is>
      </c>
      <c r="I1409" s="33" t="inlineStr">
        <is>
          <t>167470</t>
        </is>
      </c>
      <c r="J1409" s="33" t="inlineStr"/>
      <c r="K1409" s="33" t="inlineStr">
        <is>
          <t>FIN</t>
        </is>
      </c>
      <c r="L1409" s="35">
        <f>IF(K1409="FIN",3,IF(OR(K1409="SEM",K1409="SEMI"),2,IF(OR(K1409="PRE",K1409="HEAT"),1,IF(V1409="YES",4,2))))</f>
        <v/>
      </c>
      <c r="M1409" s="33" t="inlineStr">
        <is>
          <t>LCM</t>
        </is>
      </c>
      <c r="N1409" s="33" t="n">
        <v>100</v>
      </c>
      <c r="O1409" s="33" t="inlineStr">
        <is>
          <t>Fly</t>
        </is>
      </c>
      <c r="P1409" s="33" t="inlineStr">
        <is>
          <t>100 Fly</t>
        </is>
      </c>
      <c r="Q1409" s="33" t="inlineStr">
        <is>
          <t>LCM_100_FLY</t>
        </is>
      </c>
      <c r="R1409" s="36" t="n">
        <v>51.27</v>
      </c>
      <c r="S1409" s="35">
        <f>IF(R1409="","",IF(R1409&gt;=60,INT(R1409/60)&amp;":"&amp;TEXT(MOD(R1409,60),"00.00"),TEXT(R1409,"0.00")))</f>
        <v/>
      </c>
      <c r="T1409" s="52">
        <f>IFERROR((G1409-INDEX('01_Swimmers'!$E$5:$E$22,MATCH(B1409,'01_Swimmers'!$A$5:$A$22,0)))/'00_Control'!$B$10,"")</f>
        <v/>
      </c>
      <c r="U1409" s="35">
        <f>IF(T1409="","",INT(T1409))</f>
        <v/>
      </c>
      <c r="V1409" s="33" t="inlineStr">
        <is>
          <t>NO</t>
        </is>
      </c>
      <c r="W1409" s="33" t="inlineStr">
        <is>
          <t>YES</t>
        </is>
      </c>
      <c r="X1409" s="33" t="inlineStr">
        <is>
          <t>NO</t>
        </is>
      </c>
      <c r="Y1409" s="33" t="n">
        <v>1</v>
      </c>
      <c r="Z1409" s="33" t="n">
        <v>3</v>
      </c>
      <c r="AA1409" s="33" t="inlineStr">
        <is>
          <t>1</t>
        </is>
      </c>
      <c r="AB1409" s="33" t="inlineStr">
        <is>
          <t>https://www.swimcloud.com/results/167470/event/6/?id=29371380#time29371380</t>
        </is>
      </c>
      <c r="AC1409" s="33" t="inlineStr">
        <is>
          <t>SwimCloud API v6 2026-10-08</t>
        </is>
      </c>
      <c r="AD1409" s="33" t="inlineStr">
        <is>
          <t>Kristof Milak|2019-10-04|LCM|100|Fly|51.27|FINA Swimming World Cup - Budapest|FIN|False</t>
        </is>
      </c>
      <c r="AE1409" s="53">
        <f>G1409+L1409/1000+ROW()/1000000000</f>
        <v/>
      </c>
      <c r="AF1409" s="35">
        <f>IF(C1409&lt;&gt;"Grayson Coulter","",COUNTIFS($C$5:$C$2991,"Grayson Coulter",$Q$5:$Q$2991,Q1409,$AE$5:$AE$2991,"&lt;="&amp;AE1409,$R$5:$R$2991,"&lt;"&amp;R1409))</f>
        <v/>
      </c>
      <c r="AG1409" s="35">
        <f>IF(OR(C1409&lt;&gt;"Grayson Coulter",G1409&lt;'00_Control'!$B$7),"",--(AF1409&lt;5))</f>
        <v/>
      </c>
      <c r="AH1409" s="35">
        <f>IF(OR(C1409&lt;&gt;"Grayson Coulter",G1409&lt;'00_Control'!$B$7),"",--(AF1409&lt;10))</f>
        <v/>
      </c>
      <c r="AI1409" s="35">
        <f>IF(AND(C1409="Grayson Coulter",G1409&gt;='00_Control'!$B$7),"YES","NO")</f>
        <v/>
      </c>
      <c r="AJ1409" s="33" t="inlineStr">
        <is>
          <t>OK</t>
        </is>
      </c>
    </row>
    <row r="1410">
      <c r="A1410" s="33" t="inlineStr">
        <is>
          <t>SM001406</t>
        </is>
      </c>
      <c r="B1410" s="33" t="inlineStr">
        <is>
          <t>SW018</t>
        </is>
      </c>
      <c r="C1410" s="33" t="inlineStr">
        <is>
          <t>Kristof Milak</t>
        </is>
      </c>
      <c r="D1410" s="33" t="inlineStr">
        <is>
          <t>SwimCloud</t>
        </is>
      </c>
      <c r="E1410" s="33" t="inlineStr">
        <is>
          <t>508643</t>
        </is>
      </c>
      <c r="F1410" s="33" t="inlineStr">
        <is>
          <t>29371387</t>
        </is>
      </c>
      <c r="G1410" s="51" t="n">
        <v>43742</v>
      </c>
      <c r="H1410" s="33" t="inlineStr">
        <is>
          <t>FINA Swimming World Cup - Budapest</t>
        </is>
      </c>
      <c r="I1410" s="33" t="inlineStr">
        <is>
          <t>167470</t>
        </is>
      </c>
      <c r="J1410" s="33" t="inlineStr"/>
      <c r="K1410" s="33" t="inlineStr">
        <is>
          <t>PRE</t>
        </is>
      </c>
      <c r="L1410" s="35">
        <f>IF(K1410="FIN",3,IF(OR(K1410="SEM",K1410="SEMI"),2,IF(OR(K1410="PRE",K1410="HEAT"),1,IF(V1410="YES",4,2))))</f>
        <v/>
      </c>
      <c r="M1410" s="33" t="inlineStr">
        <is>
          <t>LCM</t>
        </is>
      </c>
      <c r="N1410" s="33" t="n">
        <v>400</v>
      </c>
      <c r="O1410" s="33" t="inlineStr">
        <is>
          <t>Free</t>
        </is>
      </c>
      <c r="P1410" s="33" t="inlineStr">
        <is>
          <t>400 Free</t>
        </is>
      </c>
      <c r="Q1410" s="33" t="inlineStr">
        <is>
          <t>LCM_400_FREE</t>
        </is>
      </c>
      <c r="R1410" s="36" t="n">
        <v>235.27</v>
      </c>
      <c r="S1410" s="35">
        <f>IF(R1410="","",IF(R1410&gt;=60,INT(R1410/60)&amp;":"&amp;TEXT(MOD(R1410,60),"00.00"),TEXT(R1410,"0.00")))</f>
        <v/>
      </c>
      <c r="T1410" s="52">
        <f>IFERROR((G1410-INDEX('01_Swimmers'!$E$5:$E$22,MATCH(B1410,'01_Swimmers'!$A$5:$A$22,0)))/'00_Control'!$B$10,"")</f>
        <v/>
      </c>
      <c r="U1410" s="35">
        <f>IF(T1410="","",INT(T1410))</f>
        <v/>
      </c>
      <c r="V1410" s="33" t="inlineStr">
        <is>
          <t>NO</t>
        </is>
      </c>
      <c r="W1410" s="33" t="inlineStr">
        <is>
          <t>YES</t>
        </is>
      </c>
      <c r="X1410" s="33" t="inlineStr">
        <is>
          <t>NO</t>
        </is>
      </c>
      <c r="Y1410" s="33" t="n">
        <v>6</v>
      </c>
      <c r="Z1410" s="33" t="n">
        <v>3</v>
      </c>
      <c r="AA1410" s="33" t="inlineStr">
        <is>
          <t>5</t>
        </is>
      </c>
      <c r="AB1410" s="33" t="inlineStr">
        <is>
          <t>https://www.swimcloud.com/results/167470/event/2/?id=29371387#time29371387</t>
        </is>
      </c>
      <c r="AC1410" s="33" t="inlineStr">
        <is>
          <t>SwimCloud API v6 2026-10-08</t>
        </is>
      </c>
      <c r="AD1410" s="33" t="inlineStr">
        <is>
          <t>Kristof Milak|2019-10-04|LCM|400|Free|235.27|FINA Swimming World Cup - Budapest|PRE|False</t>
        </is>
      </c>
      <c r="AE1410" s="53">
        <f>G1410+L1410/1000+ROW()/1000000000</f>
        <v/>
      </c>
      <c r="AF1410" s="35">
        <f>IF(C1410&lt;&gt;"Grayson Coulter","",COUNTIFS($C$5:$C$2991,"Grayson Coulter",$Q$5:$Q$2991,Q1410,$AE$5:$AE$2991,"&lt;="&amp;AE1410,$R$5:$R$2991,"&lt;"&amp;R1410))</f>
        <v/>
      </c>
      <c r="AG1410" s="35">
        <f>IF(OR(C1410&lt;&gt;"Grayson Coulter",G1410&lt;'00_Control'!$B$7),"",--(AF1410&lt;5))</f>
        <v/>
      </c>
      <c r="AH1410" s="35">
        <f>IF(OR(C1410&lt;&gt;"Grayson Coulter",G1410&lt;'00_Control'!$B$7),"",--(AF1410&lt;10))</f>
        <v/>
      </c>
      <c r="AI1410" s="35">
        <f>IF(AND(C1410="Grayson Coulter",G1410&gt;='00_Control'!$B$7),"YES","NO")</f>
        <v/>
      </c>
      <c r="AJ1410" s="33" t="inlineStr">
        <is>
          <t>OK</t>
        </is>
      </c>
    </row>
    <row r="1411">
      <c r="A1411" s="33" t="inlineStr">
        <is>
          <t>SM001407</t>
        </is>
      </c>
      <c r="B1411" s="33" t="inlineStr">
        <is>
          <t>SW018</t>
        </is>
      </c>
      <c r="C1411" s="33" t="inlineStr">
        <is>
          <t>Kristof Milak</t>
        </is>
      </c>
      <c r="D1411" s="33" t="inlineStr">
        <is>
          <t>SwimCloud</t>
        </is>
      </c>
      <c r="E1411" s="33" t="inlineStr">
        <is>
          <t>508643</t>
        </is>
      </c>
      <c r="F1411" s="33" t="inlineStr">
        <is>
          <t>29371386</t>
        </is>
      </c>
      <c r="G1411" s="51" t="n">
        <v>43742</v>
      </c>
      <c r="H1411" s="33" t="inlineStr">
        <is>
          <t>FINA Swimming World Cup - Budapest</t>
        </is>
      </c>
      <c r="I1411" s="33" t="inlineStr">
        <is>
          <t>167470</t>
        </is>
      </c>
      <c r="J1411" s="33" t="inlineStr"/>
      <c r="K1411" s="33" t="inlineStr">
        <is>
          <t>FIN</t>
        </is>
      </c>
      <c r="L1411" s="35">
        <f>IF(K1411="FIN",3,IF(OR(K1411="SEM",K1411="SEMI"),2,IF(OR(K1411="PRE",K1411="HEAT"),1,IF(V1411="YES",4,2))))</f>
        <v/>
      </c>
      <c r="M1411" s="33" t="inlineStr">
        <is>
          <t>LCM</t>
        </is>
      </c>
      <c r="N1411" s="33" t="n">
        <v>400</v>
      </c>
      <c r="O1411" s="33" t="inlineStr">
        <is>
          <t>Free</t>
        </is>
      </c>
      <c r="P1411" s="33" t="inlineStr">
        <is>
          <t>400 Free</t>
        </is>
      </c>
      <c r="Q1411" s="33" t="inlineStr">
        <is>
          <t>LCM_400_FREE</t>
        </is>
      </c>
      <c r="R1411" s="36" t="n">
        <v>229.8</v>
      </c>
      <c r="S1411" s="35">
        <f>IF(R1411="","",IF(R1411&gt;=60,INT(R1411/60)&amp;":"&amp;TEXT(MOD(R1411,60),"00.00"),TEXT(R1411,"0.00")))</f>
        <v/>
      </c>
      <c r="T1411" s="52">
        <f>IFERROR((G1411-INDEX('01_Swimmers'!$E$5:$E$22,MATCH(B1411,'01_Swimmers'!$A$5:$A$22,0)))/'00_Control'!$B$10,"")</f>
        <v/>
      </c>
      <c r="U1411" s="35">
        <f>IF(T1411="","",INT(T1411))</f>
        <v/>
      </c>
      <c r="V1411" s="33" t="inlineStr">
        <is>
          <t>NO</t>
        </is>
      </c>
      <c r="W1411" s="33" t="inlineStr">
        <is>
          <t>YES</t>
        </is>
      </c>
      <c r="X1411" s="33" t="inlineStr">
        <is>
          <t>NO</t>
        </is>
      </c>
      <c r="Y1411" s="33" t="n">
        <v>1</v>
      </c>
      <c r="Z1411" s="33" t="n">
        <v>2</v>
      </c>
      <c r="AA1411" s="33" t="inlineStr">
        <is>
          <t>2</t>
        </is>
      </c>
      <c r="AB1411" s="33" t="inlineStr">
        <is>
          <t>https://www.swimcloud.com/results/167470/event/2/?id=29371386#time29371386</t>
        </is>
      </c>
      <c r="AC1411" s="33" t="inlineStr">
        <is>
          <t>SwimCloud API v6 2026-10-08</t>
        </is>
      </c>
      <c r="AD1411" s="33" t="inlineStr">
        <is>
          <t>Kristof Milak|2019-10-04|LCM|400|Free|229.8|FINA Swimming World Cup - Budapest|FIN|False</t>
        </is>
      </c>
      <c r="AE1411" s="53">
        <f>G1411+L1411/1000+ROW()/1000000000</f>
        <v/>
      </c>
      <c r="AF1411" s="35">
        <f>IF(C1411&lt;&gt;"Grayson Coulter","",COUNTIFS($C$5:$C$2991,"Grayson Coulter",$Q$5:$Q$2991,Q1411,$AE$5:$AE$2991,"&lt;="&amp;AE1411,$R$5:$R$2991,"&lt;"&amp;R1411))</f>
        <v/>
      </c>
      <c r="AG1411" s="35">
        <f>IF(OR(C1411&lt;&gt;"Grayson Coulter",G1411&lt;'00_Control'!$B$7),"",--(AF1411&lt;5))</f>
        <v/>
      </c>
      <c r="AH1411" s="35">
        <f>IF(OR(C1411&lt;&gt;"Grayson Coulter",G1411&lt;'00_Control'!$B$7),"",--(AF1411&lt;10))</f>
        <v/>
      </c>
      <c r="AI1411" s="35">
        <f>IF(AND(C1411="Grayson Coulter",G1411&gt;='00_Control'!$B$7),"YES","NO")</f>
        <v/>
      </c>
      <c r="AJ1411" s="33" t="inlineStr">
        <is>
          <t>OK</t>
        </is>
      </c>
    </row>
    <row r="1412">
      <c r="A1412" s="33" t="inlineStr">
        <is>
          <t>SM001408</t>
        </is>
      </c>
      <c r="B1412" s="33" t="inlineStr">
        <is>
          <t>SW018</t>
        </is>
      </c>
      <c r="C1412" s="33" t="inlineStr">
        <is>
          <t>Kristof Milak</t>
        </is>
      </c>
      <c r="D1412" s="33" t="inlineStr">
        <is>
          <t>SwimCloud</t>
        </is>
      </c>
      <c r="E1412" s="33" t="inlineStr">
        <is>
          <t>508643</t>
        </is>
      </c>
      <c r="F1412" s="33" t="inlineStr">
        <is>
          <t>29371383</t>
        </is>
      </c>
      <c r="G1412" s="51" t="n">
        <v>43743</v>
      </c>
      <c r="H1412" s="33" t="inlineStr">
        <is>
          <t>FINA Swimming World Cup - Budapest</t>
        </is>
      </c>
      <c r="I1412" s="33" t="inlineStr">
        <is>
          <t>167470</t>
        </is>
      </c>
      <c r="J1412" s="33" t="inlineStr"/>
      <c r="K1412" s="33" t="inlineStr">
        <is>
          <t>PRE</t>
        </is>
      </c>
      <c r="L1412" s="35">
        <f>IF(K1412="FIN",3,IF(OR(K1412="SEM",K1412="SEMI"),2,IF(OR(K1412="PRE",K1412="HEAT"),1,IF(V1412="YES",4,2))))</f>
        <v/>
      </c>
      <c r="M1412" s="33" t="inlineStr">
        <is>
          <t>LCM</t>
        </is>
      </c>
      <c r="N1412" s="33" t="n">
        <v>100</v>
      </c>
      <c r="O1412" s="33" t="inlineStr">
        <is>
          <t>Free</t>
        </is>
      </c>
      <c r="P1412" s="33" t="inlineStr">
        <is>
          <t>100 Free</t>
        </is>
      </c>
      <c r="Q1412" s="33" t="inlineStr">
        <is>
          <t>LCM_100_FREE</t>
        </is>
      </c>
      <c r="R1412" s="36" t="n">
        <v>49.74</v>
      </c>
      <c r="S1412" s="35">
        <f>IF(R1412="","",IF(R1412&gt;=60,INT(R1412/60)&amp;":"&amp;TEXT(MOD(R1412,60),"00.00"),TEXT(R1412,"0.00")))</f>
        <v/>
      </c>
      <c r="T1412" s="52">
        <f>IFERROR((G1412-INDEX('01_Swimmers'!$E$5:$E$22,MATCH(B1412,'01_Swimmers'!$A$5:$A$22,0)))/'00_Control'!$B$10,"")</f>
        <v/>
      </c>
      <c r="U1412" s="35">
        <f>IF(T1412="","",INT(T1412))</f>
        <v/>
      </c>
      <c r="V1412" s="33" t="inlineStr">
        <is>
          <t>NO</t>
        </is>
      </c>
      <c r="W1412" s="33" t="inlineStr">
        <is>
          <t>YES</t>
        </is>
      </c>
      <c r="X1412" s="33" t="inlineStr">
        <is>
          <t>NO</t>
        </is>
      </c>
      <c r="Y1412" s="33" t="n">
        <v>8</v>
      </c>
      <c r="Z1412" s="33" t="n">
        <v>3</v>
      </c>
      <c r="AA1412" s="33" t="inlineStr">
        <is>
          <t>5</t>
        </is>
      </c>
      <c r="AB1412" s="33" t="inlineStr">
        <is>
          <t>https://www.swimcloud.com/results/167470/event/19/?id=29371383#time29371383</t>
        </is>
      </c>
      <c r="AC1412" s="33" t="inlineStr">
        <is>
          <t>SwimCloud API v6 2026-10-08</t>
        </is>
      </c>
      <c r="AD1412" s="33" t="inlineStr">
        <is>
          <t>Kristof Milak|2019-10-05|LCM|100|Free|49.74|FINA Swimming World Cup - Budapest|PRE|False</t>
        </is>
      </c>
      <c r="AE1412" s="53">
        <f>G1412+L1412/1000+ROW()/1000000000</f>
        <v/>
      </c>
      <c r="AF1412" s="35">
        <f>IF(C1412&lt;&gt;"Grayson Coulter","",COUNTIFS($C$5:$C$2991,"Grayson Coulter",$Q$5:$Q$2991,Q1412,$AE$5:$AE$2991,"&lt;="&amp;AE1412,$R$5:$R$2991,"&lt;"&amp;R1412))</f>
        <v/>
      </c>
      <c r="AG1412" s="35">
        <f>IF(OR(C1412&lt;&gt;"Grayson Coulter",G1412&lt;'00_Control'!$B$7),"",--(AF1412&lt;5))</f>
        <v/>
      </c>
      <c r="AH1412" s="35">
        <f>IF(OR(C1412&lt;&gt;"Grayson Coulter",G1412&lt;'00_Control'!$B$7),"",--(AF1412&lt;10))</f>
        <v/>
      </c>
      <c r="AI1412" s="35">
        <f>IF(AND(C1412="Grayson Coulter",G1412&gt;='00_Control'!$B$7),"YES","NO")</f>
        <v/>
      </c>
      <c r="AJ1412" s="33" t="inlineStr">
        <is>
          <t>OK</t>
        </is>
      </c>
    </row>
    <row r="1413">
      <c r="A1413" s="33" t="inlineStr">
        <is>
          <t>SM001409</t>
        </is>
      </c>
      <c r="B1413" s="33" t="inlineStr">
        <is>
          <t>SW018</t>
        </is>
      </c>
      <c r="C1413" s="33" t="inlineStr">
        <is>
          <t>Kristof Milak</t>
        </is>
      </c>
      <c r="D1413" s="33" t="inlineStr">
        <is>
          <t>SwimCloud</t>
        </is>
      </c>
      <c r="E1413" s="33" t="inlineStr">
        <is>
          <t>508643</t>
        </is>
      </c>
      <c r="F1413" s="33" t="inlineStr">
        <is>
          <t>29371382</t>
        </is>
      </c>
      <c r="G1413" s="51" t="n">
        <v>43743</v>
      </c>
      <c r="H1413" s="33" t="inlineStr">
        <is>
          <t>FINA Swimming World Cup - Budapest</t>
        </is>
      </c>
      <c r="I1413" s="33" t="inlineStr">
        <is>
          <t>167470</t>
        </is>
      </c>
      <c r="J1413" s="33" t="inlineStr"/>
      <c r="K1413" s="33" t="inlineStr">
        <is>
          <t>FIN</t>
        </is>
      </c>
      <c r="L1413" s="35">
        <f>IF(K1413="FIN",3,IF(OR(K1413="SEM",K1413="SEMI"),2,IF(OR(K1413="PRE",K1413="HEAT"),1,IF(V1413="YES",4,2))))</f>
        <v/>
      </c>
      <c r="M1413" s="33" t="inlineStr">
        <is>
          <t>LCM</t>
        </is>
      </c>
      <c r="N1413" s="33" t="n">
        <v>100</v>
      </c>
      <c r="O1413" s="33" t="inlineStr">
        <is>
          <t>Free</t>
        </is>
      </c>
      <c r="P1413" s="33" t="inlineStr">
        <is>
          <t>100 Free</t>
        </is>
      </c>
      <c r="Q1413" s="33" t="inlineStr">
        <is>
          <t>LCM_100_FREE</t>
        </is>
      </c>
      <c r="R1413" s="36" t="n">
        <v>49.44</v>
      </c>
      <c r="S1413" s="35">
        <f>IF(R1413="","",IF(R1413&gt;=60,INT(R1413/60)&amp;":"&amp;TEXT(MOD(R1413,60),"00.00"),TEXT(R1413,"0.00")))</f>
        <v/>
      </c>
      <c r="T1413" s="52">
        <f>IFERROR((G1413-INDEX('01_Swimmers'!$E$5:$E$22,MATCH(B1413,'01_Swimmers'!$A$5:$A$22,0)))/'00_Control'!$B$10,"")</f>
        <v/>
      </c>
      <c r="U1413" s="35">
        <f>IF(T1413="","",INT(T1413))</f>
        <v/>
      </c>
      <c r="V1413" s="33" t="inlineStr">
        <is>
          <t>NO</t>
        </is>
      </c>
      <c r="W1413" s="33" t="inlineStr">
        <is>
          <t>YES</t>
        </is>
      </c>
      <c r="X1413" s="33" t="inlineStr">
        <is>
          <t>NO</t>
        </is>
      </c>
      <c r="Y1413" s="33" t="n">
        <v>1</v>
      </c>
      <c r="Z1413" s="33" t="n">
        <v>2</v>
      </c>
      <c r="AA1413" s="33" t="inlineStr">
        <is>
          <t>7</t>
        </is>
      </c>
      <c r="AB1413" s="33" t="inlineStr">
        <is>
          <t>https://www.swimcloud.com/results/167470/event/19/?id=29371382#time29371382</t>
        </is>
      </c>
      <c r="AC1413" s="33" t="inlineStr">
        <is>
          <t>SwimCloud API v6 2026-10-08</t>
        </is>
      </c>
      <c r="AD1413" s="33" t="inlineStr">
        <is>
          <t>Kristof Milak|2019-10-05|LCM|100|Free|49.44|FINA Swimming World Cup - Budapest|FIN|False</t>
        </is>
      </c>
      <c r="AE1413" s="53">
        <f>G1413+L1413/1000+ROW()/1000000000</f>
        <v/>
      </c>
      <c r="AF1413" s="35">
        <f>IF(C1413&lt;&gt;"Grayson Coulter","",COUNTIFS($C$5:$C$2991,"Grayson Coulter",$Q$5:$Q$2991,Q1413,$AE$5:$AE$2991,"&lt;="&amp;AE1413,$R$5:$R$2991,"&lt;"&amp;R1413))</f>
        <v/>
      </c>
      <c r="AG1413" s="35">
        <f>IF(OR(C1413&lt;&gt;"Grayson Coulter",G1413&lt;'00_Control'!$B$7),"",--(AF1413&lt;5))</f>
        <v/>
      </c>
      <c r="AH1413" s="35">
        <f>IF(OR(C1413&lt;&gt;"Grayson Coulter",G1413&lt;'00_Control'!$B$7),"",--(AF1413&lt;10))</f>
        <v/>
      </c>
      <c r="AI1413" s="35">
        <f>IF(AND(C1413="Grayson Coulter",G1413&gt;='00_Control'!$B$7),"YES","NO")</f>
        <v/>
      </c>
      <c r="AJ1413" s="33" t="inlineStr">
        <is>
          <t>OK</t>
        </is>
      </c>
    </row>
    <row r="1414">
      <c r="A1414" s="33" t="inlineStr">
        <is>
          <t>SM001410</t>
        </is>
      </c>
      <c r="B1414" s="33" t="inlineStr">
        <is>
          <t>SW018</t>
        </is>
      </c>
      <c r="C1414" s="33" t="inlineStr">
        <is>
          <t>Kristof Milak</t>
        </is>
      </c>
      <c r="D1414" s="33" t="inlineStr">
        <is>
          <t>SwimCloud</t>
        </is>
      </c>
      <c r="E1414" s="33" t="inlineStr">
        <is>
          <t>508643</t>
        </is>
      </c>
      <c r="F1414" s="33" t="inlineStr">
        <is>
          <t>29371385</t>
        </is>
      </c>
      <c r="G1414" s="51" t="n">
        <v>43744</v>
      </c>
      <c r="H1414" s="33" t="inlineStr">
        <is>
          <t>FINA Swimming World Cup - Budapest</t>
        </is>
      </c>
      <c r="I1414" s="33" t="inlineStr">
        <is>
          <t>167470</t>
        </is>
      </c>
      <c r="J1414" s="33" t="inlineStr"/>
      <c r="K1414" s="33" t="inlineStr">
        <is>
          <t>PRE</t>
        </is>
      </c>
      <c r="L1414" s="35">
        <f>IF(K1414="FIN",3,IF(OR(K1414="SEM",K1414="SEMI"),2,IF(OR(K1414="PRE",K1414="HEAT"),1,IF(V1414="YES",4,2))))</f>
        <v/>
      </c>
      <c r="M1414" s="33" t="inlineStr">
        <is>
          <t>LCM</t>
        </is>
      </c>
      <c r="N1414" s="33" t="n">
        <v>200</v>
      </c>
      <c r="O1414" s="33" t="inlineStr">
        <is>
          <t>Free</t>
        </is>
      </c>
      <c r="P1414" s="33" t="inlineStr">
        <is>
          <t>200 Free</t>
        </is>
      </c>
      <c r="Q1414" s="33" t="inlineStr">
        <is>
          <t>LCM_200_FREE</t>
        </is>
      </c>
      <c r="R1414" s="36" t="n">
        <v>110.27</v>
      </c>
      <c r="S1414" s="35">
        <f>IF(R1414="","",IF(R1414&gt;=60,INT(R1414/60)&amp;":"&amp;TEXT(MOD(R1414,60),"00.00"),TEXT(R1414,"0.00")))</f>
        <v/>
      </c>
      <c r="T1414" s="52">
        <f>IFERROR((G1414-INDEX('01_Swimmers'!$E$5:$E$22,MATCH(B1414,'01_Swimmers'!$A$5:$A$22,0)))/'00_Control'!$B$10,"")</f>
        <v/>
      </c>
      <c r="U1414" s="35">
        <f>IF(T1414="","",INT(T1414))</f>
        <v/>
      </c>
      <c r="V1414" s="33" t="inlineStr">
        <is>
          <t>NO</t>
        </is>
      </c>
      <c r="W1414" s="33" t="inlineStr">
        <is>
          <t>YES</t>
        </is>
      </c>
      <c r="X1414" s="33" t="inlineStr">
        <is>
          <t>NO</t>
        </is>
      </c>
      <c r="Y1414" s="33" t="n">
        <v>6</v>
      </c>
      <c r="Z1414" s="33" t="n">
        <v>5</v>
      </c>
      <c r="AA1414" s="33" t="inlineStr">
        <is>
          <t>4</t>
        </is>
      </c>
      <c r="AB1414" s="33" t="inlineStr">
        <is>
          <t>https://www.swimcloud.com/results/167470/event/32/?id=29371385#time29371385</t>
        </is>
      </c>
      <c r="AC1414" s="33" t="inlineStr">
        <is>
          <t>SwimCloud API v6 2026-10-08</t>
        </is>
      </c>
      <c r="AD1414" s="33" t="inlineStr">
        <is>
          <t>Kristof Milak|2019-10-06|LCM|200|Free|110.27|FINA Swimming World Cup - Budapest|PRE|False</t>
        </is>
      </c>
      <c r="AE1414" s="53">
        <f>G1414+L1414/1000+ROW()/1000000000</f>
        <v/>
      </c>
      <c r="AF1414" s="35">
        <f>IF(C1414&lt;&gt;"Grayson Coulter","",COUNTIFS($C$5:$C$2991,"Grayson Coulter",$Q$5:$Q$2991,Q1414,$AE$5:$AE$2991,"&lt;="&amp;AE1414,$R$5:$R$2991,"&lt;"&amp;R1414))</f>
        <v/>
      </c>
      <c r="AG1414" s="35">
        <f>IF(OR(C1414&lt;&gt;"Grayson Coulter",G1414&lt;'00_Control'!$B$7),"",--(AF1414&lt;5))</f>
        <v/>
      </c>
      <c r="AH1414" s="35">
        <f>IF(OR(C1414&lt;&gt;"Grayson Coulter",G1414&lt;'00_Control'!$B$7),"",--(AF1414&lt;10))</f>
        <v/>
      </c>
      <c r="AI1414" s="35">
        <f>IF(AND(C1414="Grayson Coulter",G1414&gt;='00_Control'!$B$7),"YES","NO")</f>
        <v/>
      </c>
      <c r="AJ1414" s="33" t="inlineStr">
        <is>
          <t>OK</t>
        </is>
      </c>
    </row>
    <row r="1415">
      <c r="A1415" s="33" t="inlineStr">
        <is>
          <t>SM001411</t>
        </is>
      </c>
      <c r="B1415" s="33" t="inlineStr">
        <is>
          <t>SW018</t>
        </is>
      </c>
      <c r="C1415" s="33" t="inlineStr">
        <is>
          <t>Kristof Milak</t>
        </is>
      </c>
      <c r="D1415" s="33" t="inlineStr">
        <is>
          <t>SwimCloud</t>
        </is>
      </c>
      <c r="E1415" s="33" t="inlineStr">
        <is>
          <t>508643</t>
        </is>
      </c>
      <c r="F1415" s="33" t="inlineStr">
        <is>
          <t>29371384</t>
        </is>
      </c>
      <c r="G1415" s="51" t="n">
        <v>43744</v>
      </c>
      <c r="H1415" s="33" t="inlineStr">
        <is>
          <t>FINA Swimming World Cup - Budapest</t>
        </is>
      </c>
      <c r="I1415" s="33" t="inlineStr">
        <is>
          <t>167470</t>
        </is>
      </c>
      <c r="J1415" s="33" t="inlineStr"/>
      <c r="K1415" s="33" t="inlineStr">
        <is>
          <t>FIN</t>
        </is>
      </c>
      <c r="L1415" s="35">
        <f>IF(K1415="FIN",3,IF(OR(K1415="SEM",K1415="SEMI"),2,IF(OR(K1415="PRE",K1415="HEAT"),1,IF(V1415="YES",4,2))))</f>
        <v/>
      </c>
      <c r="M1415" s="33" t="inlineStr">
        <is>
          <t>LCM</t>
        </is>
      </c>
      <c r="N1415" s="33" t="n">
        <v>200</v>
      </c>
      <c r="O1415" s="33" t="inlineStr">
        <is>
          <t>Free</t>
        </is>
      </c>
      <c r="P1415" s="33" t="inlineStr">
        <is>
          <t>200 Free</t>
        </is>
      </c>
      <c r="Q1415" s="33" t="inlineStr">
        <is>
          <t>LCM_200_FREE</t>
        </is>
      </c>
      <c r="R1415" s="36" t="n">
        <v>107.69</v>
      </c>
      <c r="S1415" s="35">
        <f>IF(R1415="","",IF(R1415&gt;=60,INT(R1415/60)&amp;":"&amp;TEXT(MOD(R1415,60),"00.00"),TEXT(R1415,"0.00")))</f>
        <v/>
      </c>
      <c r="T1415" s="52">
        <f>IFERROR((G1415-INDEX('01_Swimmers'!$E$5:$E$22,MATCH(B1415,'01_Swimmers'!$A$5:$A$22,0)))/'00_Control'!$B$10,"")</f>
        <v/>
      </c>
      <c r="U1415" s="35">
        <f>IF(T1415="","",INT(T1415))</f>
        <v/>
      </c>
      <c r="V1415" s="33" t="inlineStr">
        <is>
          <t>NO</t>
        </is>
      </c>
      <c r="W1415" s="33" t="inlineStr">
        <is>
          <t>YES</t>
        </is>
      </c>
      <c r="X1415" s="33" t="inlineStr">
        <is>
          <t>NO</t>
        </is>
      </c>
      <c r="Y1415" s="33" t="n">
        <v>1</v>
      </c>
      <c r="Z1415" s="33" t="n">
        <v>6</v>
      </c>
      <c r="AA1415" s="33" t="inlineStr">
        <is>
          <t>2</t>
        </is>
      </c>
      <c r="AB1415" s="33" t="inlineStr">
        <is>
          <t>https://www.swimcloud.com/results/167470/event/32/?id=29371384#time29371384</t>
        </is>
      </c>
      <c r="AC1415" s="33" t="inlineStr">
        <is>
          <t>SwimCloud API v6 2026-10-08</t>
        </is>
      </c>
      <c r="AD1415" s="33" t="inlineStr">
        <is>
          <t>Kristof Milak|2019-10-06|LCM|200|Free|107.69|FINA Swimming World Cup - Budapest|FIN|False</t>
        </is>
      </c>
      <c r="AE1415" s="53">
        <f>G1415+L1415/1000+ROW()/1000000000</f>
        <v/>
      </c>
      <c r="AF1415" s="35">
        <f>IF(C1415&lt;&gt;"Grayson Coulter","",COUNTIFS($C$5:$C$2991,"Grayson Coulter",$Q$5:$Q$2991,Q1415,$AE$5:$AE$2991,"&lt;="&amp;AE1415,$R$5:$R$2991,"&lt;"&amp;R1415))</f>
        <v/>
      </c>
      <c r="AG1415" s="35">
        <f>IF(OR(C1415&lt;&gt;"Grayson Coulter",G1415&lt;'00_Control'!$B$7),"",--(AF1415&lt;5))</f>
        <v/>
      </c>
      <c r="AH1415" s="35">
        <f>IF(OR(C1415&lt;&gt;"Grayson Coulter",G1415&lt;'00_Control'!$B$7),"",--(AF1415&lt;10))</f>
        <v/>
      </c>
      <c r="AI1415" s="35">
        <f>IF(AND(C1415="Grayson Coulter",G1415&gt;='00_Control'!$B$7),"YES","NO")</f>
        <v/>
      </c>
      <c r="AJ1415" s="33" t="inlineStr">
        <is>
          <t>OK</t>
        </is>
      </c>
    </row>
    <row r="1416">
      <c r="A1416" s="33" t="inlineStr">
        <is>
          <t>SM001412</t>
        </is>
      </c>
      <c r="B1416" s="33" t="inlineStr">
        <is>
          <t>SW018</t>
        </is>
      </c>
      <c r="C1416" s="33" t="inlineStr">
        <is>
          <t>Kristof Milak</t>
        </is>
      </c>
      <c r="D1416" s="33" t="inlineStr">
        <is>
          <t>SwimCloud</t>
        </is>
      </c>
      <c r="E1416" s="33" t="inlineStr">
        <is>
          <t>508643</t>
        </is>
      </c>
      <c r="F1416" s="33" t="inlineStr">
        <is>
          <t>29372626</t>
        </is>
      </c>
      <c r="G1416" s="51" t="n">
        <v>43749</v>
      </c>
      <c r="H1416" s="33" t="inlineStr">
        <is>
          <t>FINA Swimming World Cup</t>
        </is>
      </c>
      <c r="I1416" s="33" t="inlineStr">
        <is>
          <t>150662</t>
        </is>
      </c>
      <c r="J1416" s="33" t="inlineStr"/>
      <c r="K1416" s="33" t="inlineStr">
        <is>
          <t>PRE</t>
        </is>
      </c>
      <c r="L1416" s="35">
        <f>IF(K1416="FIN",3,IF(OR(K1416="SEM",K1416="SEMI"),2,IF(OR(K1416="PRE",K1416="HEAT"),1,IF(V1416="YES",4,2))))</f>
        <v/>
      </c>
      <c r="M1416" s="33" t="inlineStr">
        <is>
          <t>LCM</t>
        </is>
      </c>
      <c r="N1416" s="33" t="n">
        <v>100</v>
      </c>
      <c r="O1416" s="33" t="inlineStr">
        <is>
          <t>Fly</t>
        </is>
      </c>
      <c r="P1416" s="33" t="inlineStr">
        <is>
          <t>100 Fly</t>
        </is>
      </c>
      <c r="Q1416" s="33" t="inlineStr">
        <is>
          <t>LCM_100_FLY</t>
        </is>
      </c>
      <c r="R1416" s="36" t="n">
        <v>52.48</v>
      </c>
      <c r="S1416" s="35">
        <f>IF(R1416="","",IF(R1416&gt;=60,INT(R1416/60)&amp;":"&amp;TEXT(MOD(R1416,60),"00.00"),TEXT(R1416,"0.00")))</f>
        <v/>
      </c>
      <c r="T1416" s="52">
        <f>IFERROR((G1416-INDEX('01_Swimmers'!$E$5:$E$22,MATCH(B1416,'01_Swimmers'!$A$5:$A$22,0)))/'00_Control'!$B$10,"")</f>
        <v/>
      </c>
      <c r="U1416" s="35">
        <f>IF(T1416="","",INT(T1416))</f>
        <v/>
      </c>
      <c r="V1416" s="33" t="inlineStr">
        <is>
          <t>NO</t>
        </is>
      </c>
      <c r="W1416" s="33" t="inlineStr">
        <is>
          <t>YES</t>
        </is>
      </c>
      <c r="X1416" s="33" t="inlineStr">
        <is>
          <t>NO</t>
        </is>
      </c>
      <c r="Y1416" s="33" t="n">
        <v>1</v>
      </c>
      <c r="Z1416" s="33" t="n">
        <v>6</v>
      </c>
      <c r="AA1416" s="33" t="inlineStr">
        <is>
          <t>1</t>
        </is>
      </c>
      <c r="AB1416" s="33" t="inlineStr">
        <is>
          <t>https://www.swimcloud.com/results/150662/event/6/?id=29372626#time29372626</t>
        </is>
      </c>
      <c r="AC1416" s="33" t="inlineStr">
        <is>
          <t>SwimCloud API v6 2026-10-08</t>
        </is>
      </c>
      <c r="AD1416" s="33" t="inlineStr">
        <is>
          <t>Kristof Milak|2019-10-11|LCM|100|Fly|52.48|FINA Swimming World Cup|PRE|False</t>
        </is>
      </c>
      <c r="AE1416" s="53">
        <f>G1416+L1416/1000+ROW()/1000000000</f>
        <v/>
      </c>
      <c r="AF1416" s="35">
        <f>IF(C1416&lt;&gt;"Grayson Coulter","",COUNTIFS($C$5:$C$2991,"Grayson Coulter",$Q$5:$Q$2991,Q1416,$AE$5:$AE$2991,"&lt;="&amp;AE1416,$R$5:$R$2991,"&lt;"&amp;R1416))</f>
        <v/>
      </c>
      <c r="AG1416" s="35">
        <f>IF(OR(C1416&lt;&gt;"Grayson Coulter",G1416&lt;'00_Control'!$B$7),"",--(AF1416&lt;5))</f>
        <v/>
      </c>
      <c r="AH1416" s="35">
        <f>IF(OR(C1416&lt;&gt;"Grayson Coulter",G1416&lt;'00_Control'!$B$7),"",--(AF1416&lt;10))</f>
        <v/>
      </c>
      <c r="AI1416" s="35">
        <f>IF(AND(C1416="Grayson Coulter",G1416&gt;='00_Control'!$B$7),"YES","NO")</f>
        <v/>
      </c>
      <c r="AJ1416" s="33" t="inlineStr">
        <is>
          <t>OK</t>
        </is>
      </c>
    </row>
    <row r="1417">
      <c r="A1417" s="33" t="inlineStr">
        <is>
          <t>SM001413</t>
        </is>
      </c>
      <c r="B1417" s="33" t="inlineStr">
        <is>
          <t>SW018</t>
        </is>
      </c>
      <c r="C1417" s="33" t="inlineStr">
        <is>
          <t>Kristof Milak</t>
        </is>
      </c>
      <c r="D1417" s="33" t="inlineStr">
        <is>
          <t>SwimCloud</t>
        </is>
      </c>
      <c r="E1417" s="33" t="inlineStr">
        <is>
          <t>508643</t>
        </is>
      </c>
      <c r="F1417" s="33" t="inlineStr">
        <is>
          <t>29372625</t>
        </is>
      </c>
      <c r="G1417" s="51" t="n">
        <v>43749</v>
      </c>
      <c r="H1417" s="33" t="inlineStr">
        <is>
          <t>FINA Swimming World Cup</t>
        </is>
      </c>
      <c r="I1417" s="33" t="inlineStr">
        <is>
          <t>150662</t>
        </is>
      </c>
      <c r="J1417" s="33" t="inlineStr"/>
      <c r="K1417" s="33" t="inlineStr">
        <is>
          <t>FIN</t>
        </is>
      </c>
      <c r="L1417" s="35">
        <f>IF(K1417="FIN",3,IF(OR(K1417="SEM",K1417="SEMI"),2,IF(OR(K1417="PRE",K1417="HEAT"),1,IF(V1417="YES",4,2))))</f>
        <v/>
      </c>
      <c r="M1417" s="33" t="inlineStr">
        <is>
          <t>LCM</t>
        </is>
      </c>
      <c r="N1417" s="33" t="n">
        <v>100</v>
      </c>
      <c r="O1417" s="33" t="inlineStr">
        <is>
          <t>Fly</t>
        </is>
      </c>
      <c r="P1417" s="33" t="inlineStr">
        <is>
          <t>100 Fly</t>
        </is>
      </c>
      <c r="Q1417" s="33" t="inlineStr">
        <is>
          <t>LCM_100_FLY</t>
        </is>
      </c>
      <c r="R1417" s="36" t="n">
        <v>51.78</v>
      </c>
      <c r="S1417" s="35">
        <f>IF(R1417="","",IF(R1417&gt;=60,INT(R1417/60)&amp;":"&amp;TEXT(MOD(R1417,60),"00.00"),TEXT(R1417,"0.00")))</f>
        <v/>
      </c>
      <c r="T1417" s="52">
        <f>IFERROR((G1417-INDEX('01_Swimmers'!$E$5:$E$22,MATCH(B1417,'01_Swimmers'!$A$5:$A$22,0)))/'00_Control'!$B$10,"")</f>
        <v/>
      </c>
      <c r="U1417" s="35">
        <f>IF(T1417="","",INT(T1417))</f>
        <v/>
      </c>
      <c r="V1417" s="33" t="inlineStr">
        <is>
          <t>NO</t>
        </is>
      </c>
      <c r="W1417" s="33" t="inlineStr">
        <is>
          <t>YES</t>
        </is>
      </c>
      <c r="X1417" s="33" t="inlineStr">
        <is>
          <t>NO</t>
        </is>
      </c>
      <c r="Y1417" s="33" t="n">
        <v>1</v>
      </c>
      <c r="Z1417" s="33" t="n">
        <v>4</v>
      </c>
      <c r="AA1417" s="33" t="inlineStr">
        <is>
          <t>1</t>
        </is>
      </c>
      <c r="AB1417" s="33" t="inlineStr">
        <is>
          <t>https://www.swimcloud.com/results/150662/event/6/?id=29372625#time29372625</t>
        </is>
      </c>
      <c r="AC1417" s="33" t="inlineStr">
        <is>
          <t>SwimCloud API v6 2026-10-08</t>
        </is>
      </c>
      <c r="AD1417" s="33" t="inlineStr">
        <is>
          <t>Kristof Milak|2019-10-11|LCM|100|Fly|51.78|FINA Swimming World Cup|FIN|False</t>
        </is>
      </c>
      <c r="AE1417" s="53">
        <f>G1417+L1417/1000+ROW()/1000000000</f>
        <v/>
      </c>
      <c r="AF1417" s="35">
        <f>IF(C1417&lt;&gt;"Grayson Coulter","",COUNTIFS($C$5:$C$2991,"Grayson Coulter",$Q$5:$Q$2991,Q1417,$AE$5:$AE$2991,"&lt;="&amp;AE1417,$R$5:$R$2991,"&lt;"&amp;R1417))</f>
        <v/>
      </c>
      <c r="AG1417" s="35">
        <f>IF(OR(C1417&lt;&gt;"Grayson Coulter",G1417&lt;'00_Control'!$B$7),"",--(AF1417&lt;5))</f>
        <v/>
      </c>
      <c r="AH1417" s="35">
        <f>IF(OR(C1417&lt;&gt;"Grayson Coulter",G1417&lt;'00_Control'!$B$7),"",--(AF1417&lt;10))</f>
        <v/>
      </c>
      <c r="AI1417" s="35">
        <f>IF(AND(C1417="Grayson Coulter",G1417&gt;='00_Control'!$B$7),"YES","NO")</f>
        <v/>
      </c>
      <c r="AJ1417" s="33" t="inlineStr">
        <is>
          <t>OK</t>
        </is>
      </c>
    </row>
    <row r="1418">
      <c r="A1418" s="33" t="inlineStr">
        <is>
          <t>SM001414</t>
        </is>
      </c>
      <c r="B1418" s="33" t="inlineStr">
        <is>
          <t>SW018</t>
        </is>
      </c>
      <c r="C1418" s="33" t="inlineStr">
        <is>
          <t>Kristof Milak</t>
        </is>
      </c>
      <c r="D1418" s="33" t="inlineStr">
        <is>
          <t>SwimCloud</t>
        </is>
      </c>
      <c r="E1418" s="33" t="inlineStr">
        <is>
          <t>508643</t>
        </is>
      </c>
      <c r="F1418" s="33" t="inlineStr">
        <is>
          <t>29372632</t>
        </is>
      </c>
      <c r="G1418" s="51" t="n">
        <v>43749</v>
      </c>
      <c r="H1418" s="33" t="inlineStr">
        <is>
          <t>FINA Swimming World Cup</t>
        </is>
      </c>
      <c r="I1418" s="33" t="inlineStr">
        <is>
          <t>150662</t>
        </is>
      </c>
      <c r="J1418" s="33" t="inlineStr"/>
      <c r="K1418" s="33" t="inlineStr">
        <is>
          <t>PRE</t>
        </is>
      </c>
      <c r="L1418" s="35">
        <f>IF(K1418="FIN",3,IF(OR(K1418="SEM",K1418="SEMI"),2,IF(OR(K1418="PRE",K1418="HEAT"),1,IF(V1418="YES",4,2))))</f>
        <v/>
      </c>
      <c r="M1418" s="33" t="inlineStr">
        <is>
          <t>LCM</t>
        </is>
      </c>
      <c r="N1418" s="33" t="n">
        <v>400</v>
      </c>
      <c r="O1418" s="33" t="inlineStr">
        <is>
          <t>Free</t>
        </is>
      </c>
      <c r="P1418" s="33" t="inlineStr">
        <is>
          <t>400 Free</t>
        </is>
      </c>
      <c r="Q1418" s="33" t="inlineStr">
        <is>
          <t>LCM_400_FREE</t>
        </is>
      </c>
      <c r="R1418" s="36" t="n">
        <v>235.25</v>
      </c>
      <c r="S1418" s="35">
        <f>IF(R1418="","",IF(R1418&gt;=60,INT(R1418/60)&amp;":"&amp;TEXT(MOD(R1418,60),"00.00"),TEXT(R1418,"0.00")))</f>
        <v/>
      </c>
      <c r="T1418" s="52">
        <f>IFERROR((G1418-INDEX('01_Swimmers'!$E$5:$E$22,MATCH(B1418,'01_Swimmers'!$A$5:$A$22,0)))/'00_Control'!$B$10,"")</f>
        <v/>
      </c>
      <c r="U1418" s="35">
        <f>IF(T1418="","",INT(T1418))</f>
        <v/>
      </c>
      <c r="V1418" s="33" t="inlineStr">
        <is>
          <t>NO</t>
        </is>
      </c>
      <c r="W1418" s="33" t="inlineStr">
        <is>
          <t>YES</t>
        </is>
      </c>
      <c r="X1418" s="33" t="inlineStr">
        <is>
          <t>NO</t>
        </is>
      </c>
      <c r="Y1418" s="33" t="n">
        <v>5</v>
      </c>
      <c r="Z1418" s="33" t="n">
        <v>3</v>
      </c>
      <c r="AA1418" s="33" t="inlineStr">
        <is>
          <t>6</t>
        </is>
      </c>
      <c r="AB1418" s="33" t="inlineStr">
        <is>
          <t>https://www.swimcloud.com/results/150662/event/2/?id=29372632#time29372632</t>
        </is>
      </c>
      <c r="AC1418" s="33" t="inlineStr">
        <is>
          <t>SwimCloud API v6 2026-10-08</t>
        </is>
      </c>
      <c r="AD1418" s="33" t="inlineStr">
        <is>
          <t>Kristof Milak|2019-10-11|LCM|400|Free|235.25|FINA Swimming World Cup|PRE|False</t>
        </is>
      </c>
      <c r="AE1418" s="53">
        <f>G1418+L1418/1000+ROW()/1000000000</f>
        <v/>
      </c>
      <c r="AF1418" s="35">
        <f>IF(C1418&lt;&gt;"Grayson Coulter","",COUNTIFS($C$5:$C$2991,"Grayson Coulter",$Q$5:$Q$2991,Q1418,$AE$5:$AE$2991,"&lt;="&amp;AE1418,$R$5:$R$2991,"&lt;"&amp;R1418))</f>
        <v/>
      </c>
      <c r="AG1418" s="35">
        <f>IF(OR(C1418&lt;&gt;"Grayson Coulter",G1418&lt;'00_Control'!$B$7),"",--(AF1418&lt;5))</f>
        <v/>
      </c>
      <c r="AH1418" s="35">
        <f>IF(OR(C1418&lt;&gt;"Grayson Coulter",G1418&lt;'00_Control'!$B$7),"",--(AF1418&lt;10))</f>
        <v/>
      </c>
      <c r="AI1418" s="35">
        <f>IF(AND(C1418="Grayson Coulter",G1418&gt;='00_Control'!$B$7),"YES","NO")</f>
        <v/>
      </c>
      <c r="AJ1418" s="33" t="inlineStr">
        <is>
          <t>OK</t>
        </is>
      </c>
    </row>
    <row r="1419">
      <c r="A1419" s="33" t="inlineStr">
        <is>
          <t>SM001415</t>
        </is>
      </c>
      <c r="B1419" s="33" t="inlineStr">
        <is>
          <t>SW018</t>
        </is>
      </c>
      <c r="C1419" s="33" t="inlineStr">
        <is>
          <t>Kristof Milak</t>
        </is>
      </c>
      <c r="D1419" s="33" t="inlineStr">
        <is>
          <t>SwimCloud</t>
        </is>
      </c>
      <c r="E1419" s="33" t="inlineStr">
        <is>
          <t>508643</t>
        </is>
      </c>
      <c r="F1419" s="33" t="inlineStr">
        <is>
          <t>29372631</t>
        </is>
      </c>
      <c r="G1419" s="51" t="n">
        <v>43749</v>
      </c>
      <c r="H1419" s="33" t="inlineStr">
        <is>
          <t>FINA Swimming World Cup</t>
        </is>
      </c>
      <c r="I1419" s="33" t="inlineStr">
        <is>
          <t>150662</t>
        </is>
      </c>
      <c r="J1419" s="33" t="inlineStr"/>
      <c r="K1419" s="33" t="inlineStr">
        <is>
          <t>FIN</t>
        </is>
      </c>
      <c r="L1419" s="35">
        <f>IF(K1419="FIN",3,IF(OR(K1419="SEM",K1419="SEMI"),2,IF(OR(K1419="PRE",K1419="HEAT"),1,IF(V1419="YES",4,2))))</f>
        <v/>
      </c>
      <c r="M1419" s="33" t="inlineStr">
        <is>
          <t>LCM</t>
        </is>
      </c>
      <c r="N1419" s="33" t="n">
        <v>400</v>
      </c>
      <c r="O1419" s="33" t="inlineStr">
        <is>
          <t>Free</t>
        </is>
      </c>
      <c r="P1419" s="33" t="inlineStr">
        <is>
          <t>400 Free</t>
        </is>
      </c>
      <c r="Q1419" s="33" t="inlineStr">
        <is>
          <t>LCM_400_FREE</t>
        </is>
      </c>
      <c r="R1419" s="36" t="n">
        <v>228.98</v>
      </c>
      <c r="S1419" s="35">
        <f>IF(R1419="","",IF(R1419&gt;=60,INT(R1419/60)&amp;":"&amp;TEXT(MOD(R1419,60),"00.00"),TEXT(R1419,"0.00")))</f>
        <v/>
      </c>
      <c r="T1419" s="52">
        <f>IFERROR((G1419-INDEX('01_Swimmers'!$E$5:$E$22,MATCH(B1419,'01_Swimmers'!$A$5:$A$22,0)))/'00_Control'!$B$10,"")</f>
        <v/>
      </c>
      <c r="U1419" s="35">
        <f>IF(T1419="","",INT(T1419))</f>
        <v/>
      </c>
      <c r="V1419" s="33" t="inlineStr">
        <is>
          <t>NO</t>
        </is>
      </c>
      <c r="W1419" s="33" t="inlineStr">
        <is>
          <t>YES</t>
        </is>
      </c>
      <c r="X1419" s="33" t="inlineStr">
        <is>
          <t>NO</t>
        </is>
      </c>
      <c r="Y1419" s="33" t="n">
        <v>1</v>
      </c>
      <c r="Z1419" s="33" t="n">
        <v>7</v>
      </c>
      <c r="AA1419" s="33" t="inlineStr">
        <is>
          <t>2</t>
        </is>
      </c>
      <c r="AB1419" s="33" t="inlineStr">
        <is>
          <t>https://www.swimcloud.com/results/150662/event/2/?id=29372631#time29372631</t>
        </is>
      </c>
      <c r="AC1419" s="33" t="inlineStr">
        <is>
          <t>SwimCloud API v6 2026-10-08</t>
        </is>
      </c>
      <c r="AD1419" s="33" t="inlineStr">
        <is>
          <t>Kristof Milak|2019-10-11|LCM|400|Free|228.98|FINA Swimming World Cup|FIN|False</t>
        </is>
      </c>
      <c r="AE1419" s="53">
        <f>G1419+L1419/1000+ROW()/1000000000</f>
        <v/>
      </c>
      <c r="AF1419" s="35">
        <f>IF(C1419&lt;&gt;"Grayson Coulter","",COUNTIFS($C$5:$C$2991,"Grayson Coulter",$Q$5:$Q$2991,Q1419,$AE$5:$AE$2991,"&lt;="&amp;AE1419,$R$5:$R$2991,"&lt;"&amp;R1419))</f>
        <v/>
      </c>
      <c r="AG1419" s="35">
        <f>IF(OR(C1419&lt;&gt;"Grayson Coulter",G1419&lt;'00_Control'!$B$7),"",--(AF1419&lt;5))</f>
        <v/>
      </c>
      <c r="AH1419" s="35">
        <f>IF(OR(C1419&lt;&gt;"Grayson Coulter",G1419&lt;'00_Control'!$B$7),"",--(AF1419&lt;10))</f>
        <v/>
      </c>
      <c r="AI1419" s="35">
        <f>IF(AND(C1419="Grayson Coulter",G1419&gt;='00_Control'!$B$7),"YES","NO")</f>
        <v/>
      </c>
      <c r="AJ1419" s="33" t="inlineStr">
        <is>
          <t>OK</t>
        </is>
      </c>
    </row>
    <row r="1420">
      <c r="A1420" s="33" t="inlineStr">
        <is>
          <t>SM001416</t>
        </is>
      </c>
      <c r="B1420" s="33" t="inlineStr">
        <is>
          <t>SW018</t>
        </is>
      </c>
      <c r="C1420" s="33" t="inlineStr">
        <is>
          <t>Kristof Milak</t>
        </is>
      </c>
      <c r="D1420" s="33" t="inlineStr">
        <is>
          <t>SwimCloud</t>
        </is>
      </c>
      <c r="E1420" s="33" t="inlineStr">
        <is>
          <t>508643</t>
        </is>
      </c>
      <c r="F1420" s="33" t="inlineStr">
        <is>
          <t>29372630</t>
        </is>
      </c>
      <c r="G1420" s="51" t="n">
        <v>43751</v>
      </c>
      <c r="H1420" s="33" t="inlineStr">
        <is>
          <t>FINA Swimming World Cup</t>
        </is>
      </c>
      <c r="I1420" s="33" t="inlineStr">
        <is>
          <t>150662</t>
        </is>
      </c>
      <c r="J1420" s="33" t="inlineStr"/>
      <c r="K1420" s="33" t="inlineStr">
        <is>
          <t>PRE</t>
        </is>
      </c>
      <c r="L1420" s="35">
        <f>IF(K1420="FIN",3,IF(OR(K1420="SEM",K1420="SEMI"),2,IF(OR(K1420="PRE",K1420="HEAT"),1,IF(V1420="YES",4,2))))</f>
        <v/>
      </c>
      <c r="M1420" s="33" t="inlineStr">
        <is>
          <t>LCM</t>
        </is>
      </c>
      <c r="N1420" s="33" t="n">
        <v>200</v>
      </c>
      <c r="O1420" s="33" t="inlineStr">
        <is>
          <t>Free</t>
        </is>
      </c>
      <c r="P1420" s="33" t="inlineStr">
        <is>
          <t>200 Free</t>
        </is>
      </c>
      <c r="Q1420" s="33" t="inlineStr">
        <is>
          <t>LCM_200_FREE</t>
        </is>
      </c>
      <c r="R1420" s="36" t="n">
        <v>109.72</v>
      </c>
      <c r="S1420" s="35">
        <f>IF(R1420="","",IF(R1420&gt;=60,INT(R1420/60)&amp;":"&amp;TEXT(MOD(R1420,60),"00.00"),TEXT(R1420,"0.00")))</f>
        <v/>
      </c>
      <c r="T1420" s="52">
        <f>IFERROR((G1420-INDEX('01_Swimmers'!$E$5:$E$22,MATCH(B1420,'01_Swimmers'!$A$5:$A$22,0)))/'00_Control'!$B$10,"")</f>
        <v/>
      </c>
      <c r="U1420" s="35">
        <f>IF(T1420="","",INT(T1420))</f>
        <v/>
      </c>
      <c r="V1420" s="33" t="inlineStr">
        <is>
          <t>NO</t>
        </is>
      </c>
      <c r="W1420" s="33" t="inlineStr">
        <is>
          <t>YES</t>
        </is>
      </c>
      <c r="X1420" s="33" t="inlineStr">
        <is>
          <t>NO</t>
        </is>
      </c>
      <c r="Y1420" s="33" t="n">
        <v>5</v>
      </c>
      <c r="Z1420" s="33" t="n">
        <v>4</v>
      </c>
      <c r="AA1420" s="33" t="inlineStr">
        <is>
          <t>2</t>
        </is>
      </c>
      <c r="AB1420" s="33" t="inlineStr">
        <is>
          <t>https://www.swimcloud.com/results/150662/event/32/?id=29372630#time29372630</t>
        </is>
      </c>
      <c r="AC1420" s="33" t="inlineStr">
        <is>
          <t>SwimCloud API v6 2026-10-08</t>
        </is>
      </c>
      <c r="AD1420" s="33" t="inlineStr">
        <is>
          <t>Kristof Milak|2019-10-13|LCM|200|Free|109.72|FINA Swimming World Cup|PRE|False</t>
        </is>
      </c>
      <c r="AE1420" s="53">
        <f>G1420+L1420/1000+ROW()/1000000000</f>
        <v/>
      </c>
      <c r="AF1420" s="35">
        <f>IF(C1420&lt;&gt;"Grayson Coulter","",COUNTIFS($C$5:$C$2991,"Grayson Coulter",$Q$5:$Q$2991,Q1420,$AE$5:$AE$2991,"&lt;="&amp;AE1420,$R$5:$R$2991,"&lt;"&amp;R1420))</f>
        <v/>
      </c>
      <c r="AG1420" s="35">
        <f>IF(OR(C1420&lt;&gt;"Grayson Coulter",G1420&lt;'00_Control'!$B$7),"",--(AF1420&lt;5))</f>
        <v/>
      </c>
      <c r="AH1420" s="35">
        <f>IF(OR(C1420&lt;&gt;"Grayson Coulter",G1420&lt;'00_Control'!$B$7),"",--(AF1420&lt;10))</f>
        <v/>
      </c>
      <c r="AI1420" s="35">
        <f>IF(AND(C1420="Grayson Coulter",G1420&gt;='00_Control'!$B$7),"YES","NO")</f>
        <v/>
      </c>
      <c r="AJ1420" s="33" t="inlineStr">
        <is>
          <t>OK</t>
        </is>
      </c>
    </row>
    <row r="1421">
      <c r="A1421" s="33" t="inlineStr">
        <is>
          <t>SM001417</t>
        </is>
      </c>
      <c r="B1421" s="33" t="inlineStr">
        <is>
          <t>SW018</t>
        </is>
      </c>
      <c r="C1421" s="33" t="inlineStr">
        <is>
          <t>Kristof Milak</t>
        </is>
      </c>
      <c r="D1421" s="33" t="inlineStr">
        <is>
          <t>SwimCloud</t>
        </is>
      </c>
      <c r="E1421" s="33" t="inlineStr">
        <is>
          <t>508643</t>
        </is>
      </c>
      <c r="F1421" s="33" t="inlineStr">
        <is>
          <t>29372629</t>
        </is>
      </c>
      <c r="G1421" s="51" t="n">
        <v>43751</v>
      </c>
      <c r="H1421" s="33" t="inlineStr">
        <is>
          <t>FINA Swimming World Cup</t>
        </is>
      </c>
      <c r="I1421" s="33" t="inlineStr">
        <is>
          <t>150662</t>
        </is>
      </c>
      <c r="J1421" s="33" t="inlineStr"/>
      <c r="K1421" s="33" t="inlineStr">
        <is>
          <t>FIN</t>
        </is>
      </c>
      <c r="L1421" s="35">
        <f>IF(K1421="FIN",3,IF(OR(K1421="SEM",K1421="SEMI"),2,IF(OR(K1421="PRE",K1421="HEAT"),1,IF(V1421="YES",4,2))))</f>
        <v/>
      </c>
      <c r="M1421" s="33" t="inlineStr">
        <is>
          <t>LCM</t>
        </is>
      </c>
      <c r="N1421" s="33" t="n">
        <v>200</v>
      </c>
      <c r="O1421" s="33" t="inlineStr">
        <is>
          <t>Free</t>
        </is>
      </c>
      <c r="P1421" s="33" t="inlineStr">
        <is>
          <t>200 Free</t>
        </is>
      </c>
      <c r="Q1421" s="33" t="inlineStr">
        <is>
          <t>LCM_200_FREE</t>
        </is>
      </c>
      <c r="R1421" s="36" t="n">
        <v>107.73</v>
      </c>
      <c r="S1421" s="35">
        <f>IF(R1421="","",IF(R1421&gt;=60,INT(R1421/60)&amp;":"&amp;TEXT(MOD(R1421,60),"00.00"),TEXT(R1421,"0.00")))</f>
        <v/>
      </c>
      <c r="T1421" s="52">
        <f>IFERROR((G1421-INDEX('01_Swimmers'!$E$5:$E$22,MATCH(B1421,'01_Swimmers'!$A$5:$A$22,0)))/'00_Control'!$B$10,"")</f>
        <v/>
      </c>
      <c r="U1421" s="35">
        <f>IF(T1421="","",INT(T1421))</f>
        <v/>
      </c>
      <c r="V1421" s="33" t="inlineStr">
        <is>
          <t>NO</t>
        </is>
      </c>
      <c r="W1421" s="33" t="inlineStr">
        <is>
          <t>YES</t>
        </is>
      </c>
      <c r="X1421" s="33" t="inlineStr">
        <is>
          <t>NO</t>
        </is>
      </c>
      <c r="Y1421" s="33" t="n">
        <v>1</v>
      </c>
      <c r="Z1421" s="33" t="n">
        <v>5</v>
      </c>
      <c r="AA1421" s="33" t="inlineStr">
        <is>
          <t>3</t>
        </is>
      </c>
      <c r="AB1421" s="33" t="inlineStr">
        <is>
          <t>https://www.swimcloud.com/results/150662/event/32/?id=29372629#time29372629</t>
        </is>
      </c>
      <c r="AC1421" s="33" t="inlineStr">
        <is>
          <t>SwimCloud API v6 2026-10-08</t>
        </is>
      </c>
      <c r="AD1421" s="33" t="inlineStr">
        <is>
          <t>Kristof Milak|2019-10-13|LCM|200|Free|107.73|FINA Swimming World Cup|FIN|False</t>
        </is>
      </c>
      <c r="AE1421" s="53">
        <f>G1421+L1421/1000+ROW()/1000000000</f>
        <v/>
      </c>
      <c r="AF1421" s="35">
        <f>IF(C1421&lt;&gt;"Grayson Coulter","",COUNTIFS($C$5:$C$2991,"Grayson Coulter",$Q$5:$Q$2991,Q1421,$AE$5:$AE$2991,"&lt;="&amp;AE1421,$R$5:$R$2991,"&lt;"&amp;R1421))</f>
        <v/>
      </c>
      <c r="AG1421" s="35">
        <f>IF(OR(C1421&lt;&gt;"Grayson Coulter",G1421&lt;'00_Control'!$B$7),"",--(AF1421&lt;5))</f>
        <v/>
      </c>
      <c r="AH1421" s="35">
        <f>IF(OR(C1421&lt;&gt;"Grayson Coulter",G1421&lt;'00_Control'!$B$7),"",--(AF1421&lt;10))</f>
        <v/>
      </c>
      <c r="AI1421" s="35">
        <f>IF(AND(C1421="Grayson Coulter",G1421&gt;='00_Control'!$B$7),"YES","NO")</f>
        <v/>
      </c>
      <c r="AJ1421" s="33" t="inlineStr">
        <is>
          <t>OK</t>
        </is>
      </c>
    </row>
    <row r="1422">
      <c r="A1422" s="33" t="inlineStr">
        <is>
          <t>SM001418</t>
        </is>
      </c>
      <c r="B1422" s="33" t="inlineStr">
        <is>
          <t>SW018</t>
        </is>
      </c>
      <c r="C1422" s="33" t="inlineStr">
        <is>
          <t>Kristof Milak</t>
        </is>
      </c>
      <c r="D1422" s="33" t="inlineStr">
        <is>
          <t>SwimCloud</t>
        </is>
      </c>
      <c r="E1422" s="33" t="inlineStr">
        <is>
          <t>508643</t>
        </is>
      </c>
      <c r="F1422" s="33" t="inlineStr">
        <is>
          <t>34548117</t>
        </is>
      </c>
      <c r="G1422" s="51" t="n">
        <v>43876</v>
      </c>
      <c r="H1422" s="33" t="inlineStr">
        <is>
          <t>FFBN Speedo Chapionnats</t>
        </is>
      </c>
      <c r="I1422" s="33" t="inlineStr">
        <is>
          <t>173948</t>
        </is>
      </c>
      <c r="J1422" s="33" t="inlineStr"/>
      <c r="K1422" s="33" t="inlineStr">
        <is>
          <t>PRE</t>
        </is>
      </c>
      <c r="L1422" s="35">
        <f>IF(K1422="FIN",3,IF(OR(K1422="SEM",K1422="SEMI"),2,IF(OR(K1422="PRE",K1422="HEAT"),1,IF(V1422="YES",4,2))))</f>
        <v/>
      </c>
      <c r="M1422" s="33" t="inlineStr">
        <is>
          <t>LCM</t>
        </is>
      </c>
      <c r="N1422" s="33" t="n">
        <v>100</v>
      </c>
      <c r="O1422" s="33" t="inlineStr">
        <is>
          <t>Free</t>
        </is>
      </c>
      <c r="P1422" s="33" t="inlineStr">
        <is>
          <t>100 Free</t>
        </is>
      </c>
      <c r="Q1422" s="33" t="inlineStr">
        <is>
          <t>LCM_100_FREE</t>
        </is>
      </c>
      <c r="R1422" s="36" t="n">
        <v>51.89</v>
      </c>
      <c r="S1422" s="35">
        <f>IF(R1422="","",IF(R1422&gt;=60,INT(R1422/60)&amp;":"&amp;TEXT(MOD(R1422,60),"00.00"),TEXT(R1422,"0.00")))</f>
        <v/>
      </c>
      <c r="T1422" s="52">
        <f>IFERROR((G1422-INDEX('01_Swimmers'!$E$5:$E$22,MATCH(B1422,'01_Swimmers'!$A$5:$A$22,0)))/'00_Control'!$B$10,"")</f>
        <v/>
      </c>
      <c r="U1422" s="35">
        <f>IF(T1422="","",INT(T1422))</f>
        <v/>
      </c>
      <c r="V1422" s="33" t="inlineStr">
        <is>
          <t>NO</t>
        </is>
      </c>
      <c r="W1422" s="33" t="inlineStr">
        <is>
          <t>YES</t>
        </is>
      </c>
      <c r="X1422" s="33" t="inlineStr">
        <is>
          <t>NO</t>
        </is>
      </c>
      <c r="Y1422" s="33" t="n">
        <v>15</v>
      </c>
      <c r="Z1422" s="33" t="n">
        <v>4</v>
      </c>
      <c r="AA1422" s="33" t="inlineStr">
        <is>
          <t>3</t>
        </is>
      </c>
      <c r="AB1422" s="33" t="inlineStr">
        <is>
          <t>https://www.swimcloud.com/results/173948/event/11/?id=34548117#time34548117</t>
        </is>
      </c>
      <c r="AC1422" s="33" t="inlineStr">
        <is>
          <t>SwimCloud API v6 2026-10-08</t>
        </is>
      </c>
      <c r="AD1422" s="33" t="inlineStr">
        <is>
          <t>Kristof Milak|2020-02-15|LCM|100|Free|51.89|FFBN Speedo Chapionnats|PRE|False</t>
        </is>
      </c>
      <c r="AE1422" s="53">
        <f>G1422+L1422/1000+ROW()/1000000000</f>
        <v/>
      </c>
      <c r="AF1422" s="35">
        <f>IF(C1422&lt;&gt;"Grayson Coulter","",COUNTIFS($C$5:$C$2991,"Grayson Coulter",$Q$5:$Q$2991,Q1422,$AE$5:$AE$2991,"&lt;="&amp;AE1422,$R$5:$R$2991,"&lt;"&amp;R1422))</f>
        <v/>
      </c>
      <c r="AG1422" s="35">
        <f>IF(OR(C1422&lt;&gt;"Grayson Coulter",G1422&lt;'00_Control'!$B$7),"",--(AF1422&lt;5))</f>
        <v/>
      </c>
      <c r="AH1422" s="35">
        <f>IF(OR(C1422&lt;&gt;"Grayson Coulter",G1422&lt;'00_Control'!$B$7),"",--(AF1422&lt;10))</f>
        <v/>
      </c>
      <c r="AI1422" s="35">
        <f>IF(AND(C1422="Grayson Coulter",G1422&gt;='00_Control'!$B$7),"YES","NO")</f>
        <v/>
      </c>
      <c r="AJ1422" s="33" t="inlineStr">
        <is>
          <t>OK</t>
        </is>
      </c>
    </row>
    <row r="1423">
      <c r="A1423" s="33" t="inlineStr">
        <is>
          <t>SM001419</t>
        </is>
      </c>
      <c r="B1423" s="33" t="inlineStr">
        <is>
          <t>SW018</t>
        </is>
      </c>
      <c r="C1423" s="33" t="inlineStr">
        <is>
          <t>Kristof Milak</t>
        </is>
      </c>
      <c r="D1423" s="33" t="inlineStr">
        <is>
          <t>SwimCloud</t>
        </is>
      </c>
      <c r="E1423" s="33" t="inlineStr">
        <is>
          <t>508643</t>
        </is>
      </c>
      <c r="F1423" s="33" t="inlineStr">
        <is>
          <t>34548116</t>
        </is>
      </c>
      <c r="G1423" s="51" t="n">
        <v>43876</v>
      </c>
      <c r="H1423" s="33" t="inlineStr">
        <is>
          <t>FFBN Speedo Chapionnats</t>
        </is>
      </c>
      <c r="I1423" s="33" t="inlineStr">
        <is>
          <t>173948</t>
        </is>
      </c>
      <c r="J1423" s="33" t="inlineStr"/>
      <c r="K1423" s="33" t="inlineStr">
        <is>
          <t>FIN</t>
        </is>
      </c>
      <c r="L1423" s="35">
        <f>IF(K1423="FIN",3,IF(OR(K1423="SEM",K1423="SEMI"),2,IF(OR(K1423="PRE",K1423="HEAT"),1,IF(V1423="YES",4,2))))</f>
        <v/>
      </c>
      <c r="M1423" s="33" t="inlineStr">
        <is>
          <t>LCM</t>
        </is>
      </c>
      <c r="N1423" s="33" t="n">
        <v>100</v>
      </c>
      <c r="O1423" s="33" t="inlineStr">
        <is>
          <t>Free</t>
        </is>
      </c>
      <c r="P1423" s="33" t="inlineStr">
        <is>
          <t>100 Free</t>
        </is>
      </c>
      <c r="Q1423" s="33" t="inlineStr">
        <is>
          <t>LCM_100_FREE</t>
        </is>
      </c>
      <c r="R1423" s="36" t="n">
        <v>51.08</v>
      </c>
      <c r="S1423" s="35">
        <f>IF(R1423="","",IF(R1423&gt;=60,INT(R1423/60)&amp;":"&amp;TEXT(MOD(R1423,60),"00.00"),TEXT(R1423,"0.00")))</f>
        <v/>
      </c>
      <c r="T1423" s="52">
        <f>IFERROR((G1423-INDEX('01_Swimmers'!$E$5:$E$22,MATCH(B1423,'01_Swimmers'!$A$5:$A$22,0)))/'00_Control'!$B$10,"")</f>
        <v/>
      </c>
      <c r="U1423" s="35">
        <f>IF(T1423="","",INT(T1423))</f>
        <v/>
      </c>
      <c r="V1423" s="33" t="inlineStr">
        <is>
          <t>NO</t>
        </is>
      </c>
      <c r="W1423" s="33" t="inlineStr">
        <is>
          <t>YES</t>
        </is>
      </c>
      <c r="X1423" s="33" t="inlineStr">
        <is>
          <t>NO</t>
        </is>
      </c>
      <c r="Y1423" s="33" t="n">
        <v>1</v>
      </c>
      <c r="Z1423" s="33" t="n">
        <v>3</v>
      </c>
      <c r="AA1423" s="33" t="inlineStr">
        <is>
          <t>2</t>
        </is>
      </c>
      <c r="AB1423" s="33" t="inlineStr">
        <is>
          <t>https://www.swimcloud.com/results/173948/event/11/?id=34548116#time34548116</t>
        </is>
      </c>
      <c r="AC1423" s="33" t="inlineStr">
        <is>
          <t>SwimCloud API v6 2026-10-08</t>
        </is>
      </c>
      <c r="AD1423" s="33" t="inlineStr">
        <is>
          <t>Kristof Milak|2020-02-15|LCM|100|Free|51.08|FFBN Speedo Chapionnats|FIN|False</t>
        </is>
      </c>
      <c r="AE1423" s="53">
        <f>G1423+L1423/1000+ROW()/1000000000</f>
        <v/>
      </c>
      <c r="AF1423" s="35">
        <f>IF(C1423&lt;&gt;"Grayson Coulter","",COUNTIFS($C$5:$C$2991,"Grayson Coulter",$Q$5:$Q$2991,Q1423,$AE$5:$AE$2991,"&lt;="&amp;AE1423,$R$5:$R$2991,"&lt;"&amp;R1423))</f>
        <v/>
      </c>
      <c r="AG1423" s="35">
        <f>IF(OR(C1423&lt;&gt;"Grayson Coulter",G1423&lt;'00_Control'!$B$7),"",--(AF1423&lt;5))</f>
        <v/>
      </c>
      <c r="AH1423" s="35">
        <f>IF(OR(C1423&lt;&gt;"Grayson Coulter",G1423&lt;'00_Control'!$B$7),"",--(AF1423&lt;10))</f>
        <v/>
      </c>
      <c r="AI1423" s="35">
        <f>IF(AND(C1423="Grayson Coulter",G1423&gt;='00_Control'!$B$7),"YES","NO")</f>
        <v/>
      </c>
      <c r="AJ1423" s="33" t="inlineStr">
        <is>
          <t>OK</t>
        </is>
      </c>
    </row>
    <row r="1424">
      <c r="A1424" s="33" t="inlineStr">
        <is>
          <t>SM001420</t>
        </is>
      </c>
      <c r="B1424" s="33" t="inlineStr">
        <is>
          <t>SW018</t>
        </is>
      </c>
      <c r="C1424" s="33" t="inlineStr">
        <is>
          <t>Kristof Milak</t>
        </is>
      </c>
      <c r="D1424" s="33" t="inlineStr">
        <is>
          <t>SwimCloud</t>
        </is>
      </c>
      <c r="E1424" s="33" t="inlineStr">
        <is>
          <t>508643</t>
        </is>
      </c>
      <c r="F1424" s="33" t="inlineStr">
        <is>
          <t>34548120</t>
        </is>
      </c>
      <c r="G1424" s="51" t="n">
        <v>43876</v>
      </c>
      <c r="H1424" s="33" t="inlineStr">
        <is>
          <t>FFBN Speedo Chapionnats</t>
        </is>
      </c>
      <c r="I1424" s="33" t="inlineStr">
        <is>
          <t>173948</t>
        </is>
      </c>
      <c r="J1424" s="33" t="inlineStr"/>
      <c r="K1424" s="33" t="inlineStr">
        <is>
          <t>PRE</t>
        </is>
      </c>
      <c r="L1424" s="35">
        <f>IF(K1424="FIN",3,IF(OR(K1424="SEM",K1424="SEMI"),2,IF(OR(K1424="PRE",K1424="HEAT"),1,IF(V1424="YES",4,2))))</f>
        <v/>
      </c>
      <c r="M1424" s="33" t="inlineStr">
        <is>
          <t>LCM</t>
        </is>
      </c>
      <c r="N1424" s="33" t="n">
        <v>400</v>
      </c>
      <c r="O1424" s="33" t="inlineStr">
        <is>
          <t>Free</t>
        </is>
      </c>
      <c r="P1424" s="33" t="inlineStr">
        <is>
          <t>400 Free</t>
        </is>
      </c>
      <c r="Q1424" s="33" t="inlineStr">
        <is>
          <t>LCM_400_FREE</t>
        </is>
      </c>
      <c r="R1424" s="36" t="n">
        <v>242.51</v>
      </c>
      <c r="S1424" s="35">
        <f>IF(R1424="","",IF(R1424&gt;=60,INT(R1424/60)&amp;":"&amp;TEXT(MOD(R1424,60),"00.00"),TEXT(R1424,"0.00")))</f>
        <v/>
      </c>
      <c r="T1424" s="52">
        <f>IFERROR((G1424-INDEX('01_Swimmers'!$E$5:$E$22,MATCH(B1424,'01_Swimmers'!$A$5:$A$22,0)))/'00_Control'!$B$10,"")</f>
        <v/>
      </c>
      <c r="U1424" s="35">
        <f>IF(T1424="","",INT(T1424))</f>
        <v/>
      </c>
      <c r="V1424" s="33" t="inlineStr">
        <is>
          <t>NO</t>
        </is>
      </c>
      <c r="W1424" s="33" t="inlineStr">
        <is>
          <t>YES</t>
        </is>
      </c>
      <c r="X1424" s="33" t="inlineStr">
        <is>
          <t>NO</t>
        </is>
      </c>
      <c r="Y1424" s="33" t="n">
        <v>5</v>
      </c>
      <c r="Z1424" s="33" t="n">
        <v>4</v>
      </c>
      <c r="AA1424" s="33" t="inlineStr">
        <is>
          <t>1</t>
        </is>
      </c>
      <c r="AB1424" s="33" t="inlineStr">
        <is>
          <t>https://www.swimcloud.com/results/173948/event/15/?id=34548120#time34548120</t>
        </is>
      </c>
      <c r="AC1424" s="33" t="inlineStr">
        <is>
          <t>SwimCloud API v6 2026-10-08</t>
        </is>
      </c>
      <c r="AD1424" s="33" t="inlineStr">
        <is>
          <t>Kristof Milak|2020-02-15|LCM|400|Free|242.51|FFBN Speedo Chapionnats|PRE|False</t>
        </is>
      </c>
      <c r="AE1424" s="53">
        <f>G1424+L1424/1000+ROW()/1000000000</f>
        <v/>
      </c>
      <c r="AF1424" s="35">
        <f>IF(C1424&lt;&gt;"Grayson Coulter","",COUNTIFS($C$5:$C$2991,"Grayson Coulter",$Q$5:$Q$2991,Q1424,$AE$5:$AE$2991,"&lt;="&amp;AE1424,$R$5:$R$2991,"&lt;"&amp;R1424))</f>
        <v/>
      </c>
      <c r="AG1424" s="35">
        <f>IF(OR(C1424&lt;&gt;"Grayson Coulter",G1424&lt;'00_Control'!$B$7),"",--(AF1424&lt;5))</f>
        <v/>
      </c>
      <c r="AH1424" s="35">
        <f>IF(OR(C1424&lt;&gt;"Grayson Coulter",G1424&lt;'00_Control'!$B$7),"",--(AF1424&lt;10))</f>
        <v/>
      </c>
      <c r="AI1424" s="35">
        <f>IF(AND(C1424="Grayson Coulter",G1424&gt;='00_Control'!$B$7),"YES","NO")</f>
        <v/>
      </c>
      <c r="AJ1424" s="33" t="inlineStr">
        <is>
          <t>OK</t>
        </is>
      </c>
    </row>
    <row r="1425">
      <c r="A1425" s="33" t="inlineStr">
        <is>
          <t>SM001421</t>
        </is>
      </c>
      <c r="B1425" s="33" t="inlineStr">
        <is>
          <t>SW018</t>
        </is>
      </c>
      <c r="C1425" s="33" t="inlineStr">
        <is>
          <t>Kristof Milak</t>
        </is>
      </c>
      <c r="D1425" s="33" t="inlineStr">
        <is>
          <t>SwimCloud</t>
        </is>
      </c>
      <c r="E1425" s="33" t="inlineStr">
        <is>
          <t>508643</t>
        </is>
      </c>
      <c r="F1425" s="33" t="inlineStr">
        <is>
          <t>34548119</t>
        </is>
      </c>
      <c r="G1425" s="51" t="n">
        <v>43876</v>
      </c>
      <c r="H1425" s="33" t="inlineStr">
        <is>
          <t>FFBN Speedo Chapionnats</t>
        </is>
      </c>
      <c r="I1425" s="33" t="inlineStr">
        <is>
          <t>173948</t>
        </is>
      </c>
      <c r="J1425" s="33" t="inlineStr"/>
      <c r="K1425" s="33" t="inlineStr">
        <is>
          <t>FIN</t>
        </is>
      </c>
      <c r="L1425" s="35">
        <f>IF(K1425="FIN",3,IF(OR(K1425="SEM",K1425="SEMI"),2,IF(OR(K1425="PRE",K1425="HEAT"),1,IF(V1425="YES",4,2))))</f>
        <v/>
      </c>
      <c r="M1425" s="33" t="inlineStr">
        <is>
          <t>LCM</t>
        </is>
      </c>
      <c r="N1425" s="33" t="n">
        <v>400</v>
      </c>
      <c r="O1425" s="33" t="inlineStr">
        <is>
          <t>Free</t>
        </is>
      </c>
      <c r="P1425" s="33" t="inlineStr">
        <is>
          <t>400 Free</t>
        </is>
      </c>
      <c r="Q1425" s="33" t="inlineStr">
        <is>
          <t>LCM_400_FREE</t>
        </is>
      </c>
      <c r="R1425" s="36" t="n">
        <v>236.68</v>
      </c>
      <c r="S1425" s="35">
        <f>IF(R1425="","",IF(R1425&gt;=60,INT(R1425/60)&amp;":"&amp;TEXT(MOD(R1425,60),"00.00"),TEXT(R1425,"0.00")))</f>
        <v/>
      </c>
      <c r="T1425" s="52">
        <f>IFERROR((G1425-INDEX('01_Swimmers'!$E$5:$E$22,MATCH(B1425,'01_Swimmers'!$A$5:$A$22,0)))/'00_Control'!$B$10,"")</f>
        <v/>
      </c>
      <c r="U1425" s="35">
        <f>IF(T1425="","",INT(T1425))</f>
        <v/>
      </c>
      <c r="V1425" s="33" t="inlineStr">
        <is>
          <t>NO</t>
        </is>
      </c>
      <c r="W1425" s="33" t="inlineStr">
        <is>
          <t>YES</t>
        </is>
      </c>
      <c r="X1425" s="33" t="inlineStr">
        <is>
          <t>NO</t>
        </is>
      </c>
      <c r="Y1425" s="33" t="n">
        <v>1</v>
      </c>
      <c r="Z1425" s="33" t="n">
        <v>5</v>
      </c>
      <c r="AA1425" s="33" t="inlineStr">
        <is>
          <t>1</t>
        </is>
      </c>
      <c r="AB1425" s="33" t="inlineStr">
        <is>
          <t>https://www.swimcloud.com/results/173948/event/15/?id=34548119#time34548119</t>
        </is>
      </c>
      <c r="AC1425" s="33" t="inlineStr">
        <is>
          <t>SwimCloud API v6 2026-10-08</t>
        </is>
      </c>
      <c r="AD1425" s="33" t="inlineStr">
        <is>
          <t>Kristof Milak|2020-02-15|LCM|400|Free|236.68|FFBN Speedo Chapionnats|FIN|False</t>
        </is>
      </c>
      <c r="AE1425" s="53">
        <f>G1425+L1425/1000+ROW()/1000000000</f>
        <v/>
      </c>
      <c r="AF1425" s="35">
        <f>IF(C1425&lt;&gt;"Grayson Coulter","",COUNTIFS($C$5:$C$2991,"Grayson Coulter",$Q$5:$Q$2991,Q1425,$AE$5:$AE$2991,"&lt;="&amp;AE1425,$R$5:$R$2991,"&lt;"&amp;R1425))</f>
        <v/>
      </c>
      <c r="AG1425" s="35">
        <f>IF(OR(C1425&lt;&gt;"Grayson Coulter",G1425&lt;'00_Control'!$B$7),"",--(AF1425&lt;5))</f>
        <v/>
      </c>
      <c r="AH1425" s="35">
        <f>IF(OR(C1425&lt;&gt;"Grayson Coulter",G1425&lt;'00_Control'!$B$7),"",--(AF1425&lt;10))</f>
        <v/>
      </c>
      <c r="AI1425" s="35">
        <f>IF(AND(C1425="Grayson Coulter",G1425&gt;='00_Control'!$B$7),"YES","NO")</f>
        <v/>
      </c>
      <c r="AJ1425" s="33" t="inlineStr">
        <is>
          <t>OK</t>
        </is>
      </c>
    </row>
    <row r="1426">
      <c r="A1426" s="33" t="inlineStr">
        <is>
          <t>SM001422</t>
        </is>
      </c>
      <c r="B1426" s="33" t="inlineStr">
        <is>
          <t>SW018</t>
        </is>
      </c>
      <c r="C1426" s="33" t="inlineStr">
        <is>
          <t>Kristof Milak</t>
        </is>
      </c>
      <c r="D1426" s="33" t="inlineStr">
        <is>
          <t>SwimCloud</t>
        </is>
      </c>
      <c r="E1426" s="33" t="inlineStr">
        <is>
          <t>508643</t>
        </is>
      </c>
      <c r="F1426" s="33" t="inlineStr">
        <is>
          <t>34548122</t>
        </is>
      </c>
      <c r="G1426" s="51" t="n">
        <v>43877</v>
      </c>
      <c r="H1426" s="33" t="inlineStr">
        <is>
          <t>FFBN Speedo Chapionnats</t>
        </is>
      </c>
      <c r="I1426" s="33" t="inlineStr">
        <is>
          <t>173948</t>
        </is>
      </c>
      <c r="J1426" s="33" t="inlineStr"/>
      <c r="K1426" s="33" t="inlineStr">
        <is>
          <t>PRE</t>
        </is>
      </c>
      <c r="L1426" s="35">
        <f>IF(K1426="FIN",3,IF(OR(K1426="SEM",K1426="SEMI"),2,IF(OR(K1426="PRE",K1426="HEAT"),1,IF(V1426="YES",4,2))))</f>
        <v/>
      </c>
      <c r="M1426" s="33" t="inlineStr">
        <is>
          <t>LCM</t>
        </is>
      </c>
      <c r="N1426" s="33" t="n">
        <v>100</v>
      </c>
      <c r="O1426" s="33" t="inlineStr">
        <is>
          <t>Fly</t>
        </is>
      </c>
      <c r="P1426" s="33" t="inlineStr">
        <is>
          <t>100 Fly</t>
        </is>
      </c>
      <c r="Q1426" s="33" t="inlineStr">
        <is>
          <t>LCM_100_FLY</t>
        </is>
      </c>
      <c r="R1426" s="36" t="n">
        <v>53.96</v>
      </c>
      <c r="S1426" s="35">
        <f>IF(R1426="","",IF(R1426&gt;=60,INT(R1426/60)&amp;":"&amp;TEXT(MOD(R1426,60),"00.00"),TEXT(R1426,"0.00")))</f>
        <v/>
      </c>
      <c r="T1426" s="52">
        <f>IFERROR((G1426-INDEX('01_Swimmers'!$E$5:$E$22,MATCH(B1426,'01_Swimmers'!$A$5:$A$22,0)))/'00_Control'!$B$10,"")</f>
        <v/>
      </c>
      <c r="U1426" s="35">
        <f>IF(T1426="","",INT(T1426))</f>
        <v/>
      </c>
      <c r="V1426" s="33" t="inlineStr">
        <is>
          <t>NO</t>
        </is>
      </c>
      <c r="W1426" s="33" t="inlineStr">
        <is>
          <t>YES</t>
        </is>
      </c>
      <c r="X1426" s="33" t="inlineStr">
        <is>
          <t>NO</t>
        </is>
      </c>
      <c r="Y1426" s="33" t="n">
        <v>7</v>
      </c>
      <c r="Z1426" s="33" t="n">
        <v>4</v>
      </c>
      <c r="AA1426" s="33" t="inlineStr">
        <is>
          <t>1</t>
        </is>
      </c>
      <c r="AB1426" s="33" t="inlineStr">
        <is>
          <t>https://www.swimcloud.com/results/173948/event/34/?id=34548122#time34548122</t>
        </is>
      </c>
      <c r="AC1426" s="33" t="inlineStr">
        <is>
          <t>SwimCloud API v6 2026-10-08</t>
        </is>
      </c>
      <c r="AD1426" s="33" t="inlineStr">
        <is>
          <t>Kristof Milak|2020-02-16|LCM|100|Fly|53.96|FFBN Speedo Chapionnats|PRE|False</t>
        </is>
      </c>
      <c r="AE1426" s="53">
        <f>G1426+L1426/1000+ROW()/1000000000</f>
        <v/>
      </c>
      <c r="AF1426" s="35">
        <f>IF(C1426&lt;&gt;"Grayson Coulter","",COUNTIFS($C$5:$C$2991,"Grayson Coulter",$Q$5:$Q$2991,Q1426,$AE$5:$AE$2991,"&lt;="&amp;AE1426,$R$5:$R$2991,"&lt;"&amp;R1426))</f>
        <v/>
      </c>
      <c r="AG1426" s="35">
        <f>IF(OR(C1426&lt;&gt;"Grayson Coulter",G1426&lt;'00_Control'!$B$7),"",--(AF1426&lt;5))</f>
        <v/>
      </c>
      <c r="AH1426" s="35">
        <f>IF(OR(C1426&lt;&gt;"Grayson Coulter",G1426&lt;'00_Control'!$B$7),"",--(AF1426&lt;10))</f>
        <v/>
      </c>
      <c r="AI1426" s="35">
        <f>IF(AND(C1426="Grayson Coulter",G1426&gt;='00_Control'!$B$7),"YES","NO")</f>
        <v/>
      </c>
      <c r="AJ1426" s="33" t="inlineStr">
        <is>
          <t>OK</t>
        </is>
      </c>
    </row>
    <row r="1427">
      <c r="A1427" s="33" t="inlineStr">
        <is>
          <t>SM001423</t>
        </is>
      </c>
      <c r="B1427" s="33" t="inlineStr">
        <is>
          <t>SW018</t>
        </is>
      </c>
      <c r="C1427" s="33" t="inlineStr">
        <is>
          <t>Kristof Milak</t>
        </is>
      </c>
      <c r="D1427" s="33" t="inlineStr">
        <is>
          <t>SwimCloud</t>
        </is>
      </c>
      <c r="E1427" s="33" t="inlineStr">
        <is>
          <t>508643</t>
        </is>
      </c>
      <c r="F1427" s="33" t="inlineStr">
        <is>
          <t>34548121</t>
        </is>
      </c>
      <c r="G1427" s="51" t="n">
        <v>43877</v>
      </c>
      <c r="H1427" s="33" t="inlineStr">
        <is>
          <t>FFBN Speedo Chapionnats</t>
        </is>
      </c>
      <c r="I1427" s="33" t="inlineStr">
        <is>
          <t>173948</t>
        </is>
      </c>
      <c r="J1427" s="33" t="inlineStr"/>
      <c r="K1427" s="33" t="inlineStr">
        <is>
          <t>FIN</t>
        </is>
      </c>
      <c r="L1427" s="35">
        <f>IF(K1427="FIN",3,IF(OR(K1427="SEM",K1427="SEMI"),2,IF(OR(K1427="PRE",K1427="HEAT"),1,IF(V1427="YES",4,2))))</f>
        <v/>
      </c>
      <c r="M1427" s="33" t="inlineStr">
        <is>
          <t>LCM</t>
        </is>
      </c>
      <c r="N1427" s="33" t="n">
        <v>100</v>
      </c>
      <c r="O1427" s="33" t="inlineStr">
        <is>
          <t>Fly</t>
        </is>
      </c>
      <c r="P1427" s="33" t="inlineStr">
        <is>
          <t>100 Fly</t>
        </is>
      </c>
      <c r="Q1427" s="33" t="inlineStr">
        <is>
          <t>LCM_100_FLY</t>
        </is>
      </c>
      <c r="R1427" s="36" t="n">
        <v>52.81</v>
      </c>
      <c r="S1427" s="35">
        <f>IF(R1427="","",IF(R1427&gt;=60,INT(R1427/60)&amp;":"&amp;TEXT(MOD(R1427,60),"00.00"),TEXT(R1427,"0.00")))</f>
        <v/>
      </c>
      <c r="T1427" s="52">
        <f>IFERROR((G1427-INDEX('01_Swimmers'!$E$5:$E$22,MATCH(B1427,'01_Swimmers'!$A$5:$A$22,0)))/'00_Control'!$B$10,"")</f>
        <v/>
      </c>
      <c r="U1427" s="35">
        <f>IF(T1427="","",INT(T1427))</f>
        <v/>
      </c>
      <c r="V1427" s="33" t="inlineStr">
        <is>
          <t>NO</t>
        </is>
      </c>
      <c r="W1427" s="33" t="inlineStr">
        <is>
          <t>YES</t>
        </is>
      </c>
      <c r="X1427" s="33" t="inlineStr">
        <is>
          <t>NO</t>
        </is>
      </c>
      <c r="Y1427" s="33" t="n">
        <v>1</v>
      </c>
      <c r="Z1427" s="33" t="n">
        <v>4</v>
      </c>
      <c r="AA1427" s="33" t="inlineStr">
        <is>
          <t>1</t>
        </is>
      </c>
      <c r="AB1427" s="33" t="inlineStr">
        <is>
          <t>https://www.swimcloud.com/results/173948/event/34/?id=34548121#time34548121</t>
        </is>
      </c>
      <c r="AC1427" s="33" t="inlineStr">
        <is>
          <t>SwimCloud API v6 2026-10-08</t>
        </is>
      </c>
      <c r="AD1427" s="33" t="inlineStr">
        <is>
          <t>Kristof Milak|2020-02-16|LCM|100|Fly|52.81|FFBN Speedo Chapionnats|FIN|False</t>
        </is>
      </c>
      <c r="AE1427" s="53">
        <f>G1427+L1427/1000+ROW()/1000000000</f>
        <v/>
      </c>
      <c r="AF1427" s="35">
        <f>IF(C1427&lt;&gt;"Grayson Coulter","",COUNTIFS($C$5:$C$2991,"Grayson Coulter",$Q$5:$Q$2991,Q1427,$AE$5:$AE$2991,"&lt;="&amp;AE1427,$R$5:$R$2991,"&lt;"&amp;R1427))</f>
        <v/>
      </c>
      <c r="AG1427" s="35">
        <f>IF(OR(C1427&lt;&gt;"Grayson Coulter",G1427&lt;'00_Control'!$B$7),"",--(AF1427&lt;5))</f>
        <v/>
      </c>
      <c r="AH1427" s="35">
        <f>IF(OR(C1427&lt;&gt;"Grayson Coulter",G1427&lt;'00_Control'!$B$7),"",--(AF1427&lt;10))</f>
        <v/>
      </c>
      <c r="AI1427" s="35">
        <f>IF(AND(C1427="Grayson Coulter",G1427&gt;='00_Control'!$B$7),"YES","NO")</f>
        <v/>
      </c>
      <c r="AJ1427" s="33" t="inlineStr">
        <is>
          <t>OK</t>
        </is>
      </c>
    </row>
    <row r="1428">
      <c r="A1428" s="33" t="inlineStr">
        <is>
          <t>SM001424</t>
        </is>
      </c>
      <c r="B1428" s="33" t="inlineStr">
        <is>
          <t>SW018</t>
        </is>
      </c>
      <c r="C1428" s="33" t="inlineStr">
        <is>
          <t>Kristof Milak</t>
        </is>
      </c>
      <c r="D1428" s="33" t="inlineStr">
        <is>
          <t>SwimCloud</t>
        </is>
      </c>
      <c r="E1428" s="33" t="inlineStr">
        <is>
          <t>508643</t>
        </is>
      </c>
      <c r="F1428" s="33" t="inlineStr">
        <is>
          <t>34548118</t>
        </is>
      </c>
      <c r="G1428" s="51" t="n">
        <v>43877</v>
      </c>
      <c r="H1428" s="33" t="inlineStr">
        <is>
          <t>FFBN Speedo Chapionnats</t>
        </is>
      </c>
      <c r="I1428" s="33" t="inlineStr">
        <is>
          <t>173948</t>
        </is>
      </c>
      <c r="J1428" s="33" t="inlineStr"/>
      <c r="K1428" s="33" t="inlineStr">
        <is>
          <t>PRE</t>
        </is>
      </c>
      <c r="L1428" s="35">
        <f>IF(K1428="FIN",3,IF(OR(K1428="SEM",K1428="SEMI"),2,IF(OR(K1428="PRE",K1428="HEAT"),1,IF(V1428="YES",4,2))))</f>
        <v/>
      </c>
      <c r="M1428" s="33" t="inlineStr">
        <is>
          <t>LCM</t>
        </is>
      </c>
      <c r="N1428" s="33" t="n">
        <v>200</v>
      </c>
      <c r="O1428" s="33" t="inlineStr">
        <is>
          <t>Free</t>
        </is>
      </c>
      <c r="P1428" s="33" t="inlineStr">
        <is>
          <t>200 Free</t>
        </is>
      </c>
      <c r="Q1428" s="33" t="inlineStr">
        <is>
          <t>LCM_200_FREE</t>
        </is>
      </c>
      <c r="R1428" s="36" t="n">
        <v>113.23</v>
      </c>
      <c r="S1428" s="35">
        <f>IF(R1428="","",IF(R1428&gt;=60,INT(R1428/60)&amp;":"&amp;TEXT(MOD(R1428,60),"00.00"),TEXT(R1428,"0.00")))</f>
        <v/>
      </c>
      <c r="T1428" s="52">
        <f>IFERROR((G1428-INDEX('01_Swimmers'!$E$5:$E$22,MATCH(B1428,'01_Swimmers'!$A$5:$A$22,0)))/'00_Control'!$B$10,"")</f>
        <v/>
      </c>
      <c r="U1428" s="35">
        <f>IF(T1428="","",INT(T1428))</f>
        <v/>
      </c>
      <c r="V1428" s="33" t="inlineStr">
        <is>
          <t>NO</t>
        </is>
      </c>
      <c r="W1428" s="33" t="inlineStr">
        <is>
          <t>YES</t>
        </is>
      </c>
      <c r="X1428" s="33" t="inlineStr">
        <is>
          <t>NO</t>
        </is>
      </c>
      <c r="Y1428" s="33" t="n">
        <v>8</v>
      </c>
      <c r="Z1428" s="33" t="n">
        <v>4</v>
      </c>
      <c r="AA1428" s="33" t="inlineStr">
        <is>
          <t>4</t>
        </is>
      </c>
      <c r="AB1428" s="33" t="inlineStr">
        <is>
          <t>https://www.swimcloud.com/results/173948/event/26/?id=34548118#time34548118</t>
        </is>
      </c>
      <c r="AC1428" s="33" t="inlineStr">
        <is>
          <t>SwimCloud API v6 2026-10-08</t>
        </is>
      </c>
      <c r="AD1428" s="33" t="inlineStr">
        <is>
          <t>Kristof Milak|2020-02-16|LCM|200|Free|113.23|FFBN Speedo Chapionnats|PRE|False</t>
        </is>
      </c>
      <c r="AE1428" s="53">
        <f>G1428+L1428/1000+ROW()/1000000000</f>
        <v/>
      </c>
      <c r="AF1428" s="35">
        <f>IF(C1428&lt;&gt;"Grayson Coulter","",COUNTIFS($C$5:$C$2991,"Grayson Coulter",$Q$5:$Q$2991,Q1428,$AE$5:$AE$2991,"&lt;="&amp;AE1428,$R$5:$R$2991,"&lt;"&amp;R1428))</f>
        <v/>
      </c>
      <c r="AG1428" s="35">
        <f>IF(OR(C1428&lt;&gt;"Grayson Coulter",G1428&lt;'00_Control'!$B$7),"",--(AF1428&lt;5))</f>
        <v/>
      </c>
      <c r="AH1428" s="35">
        <f>IF(OR(C1428&lt;&gt;"Grayson Coulter",G1428&lt;'00_Control'!$B$7),"",--(AF1428&lt;10))</f>
        <v/>
      </c>
      <c r="AI1428" s="35">
        <f>IF(AND(C1428="Grayson Coulter",G1428&gt;='00_Control'!$B$7),"YES","NO")</f>
        <v/>
      </c>
      <c r="AJ1428" s="33" t="inlineStr">
        <is>
          <t>OK</t>
        </is>
      </c>
    </row>
    <row r="1429">
      <c r="A1429" s="33" t="inlineStr">
        <is>
          <t>SM001425</t>
        </is>
      </c>
      <c r="B1429" s="33" t="inlineStr">
        <is>
          <t>SW018</t>
        </is>
      </c>
      <c r="C1429" s="33" t="inlineStr">
        <is>
          <t>Kristof Milak</t>
        </is>
      </c>
      <c r="D1429" s="33" t="inlineStr">
        <is>
          <t>SwimCloud</t>
        </is>
      </c>
      <c r="E1429" s="33" t="inlineStr">
        <is>
          <t>508643</t>
        </is>
      </c>
      <c r="F1429" s="33" t="inlineStr">
        <is>
          <t>40151531</t>
        </is>
      </c>
      <c r="G1429" s="51" t="n">
        <v>44232</v>
      </c>
      <c r="H1429" s="33" t="inlineStr">
        <is>
          <t>Meeting International FFN Golden Tour Camille Moffatt - Step 1</t>
        </is>
      </c>
      <c r="I1429" s="33" t="inlineStr">
        <is>
          <t>191228</t>
        </is>
      </c>
      <c r="J1429" s="33" t="inlineStr"/>
      <c r="K1429" s="33" t="inlineStr">
        <is>
          <t>FIN</t>
        </is>
      </c>
      <c r="L1429" s="35">
        <f>IF(K1429="FIN",3,IF(OR(K1429="SEM",K1429="SEMI"),2,IF(OR(K1429="PRE",K1429="HEAT"),1,IF(V1429="YES",4,2))))</f>
        <v/>
      </c>
      <c r="M1429" s="33" t="inlineStr">
        <is>
          <t>LCM</t>
        </is>
      </c>
      <c r="N1429" s="33" t="n">
        <v>400</v>
      </c>
      <c r="O1429" s="33" t="inlineStr">
        <is>
          <t>Free</t>
        </is>
      </c>
      <c r="P1429" s="33" t="inlineStr">
        <is>
          <t>400 Free</t>
        </is>
      </c>
      <c r="Q1429" s="33" t="inlineStr">
        <is>
          <t>LCM_400_FREE</t>
        </is>
      </c>
      <c r="R1429" s="36" t="n">
        <v>230.71</v>
      </c>
      <c r="S1429" s="35">
        <f>IF(R1429="","",IF(R1429&gt;=60,INT(R1429/60)&amp;":"&amp;TEXT(MOD(R1429,60),"00.00"),TEXT(R1429,"0.00")))</f>
        <v/>
      </c>
      <c r="T1429" s="52">
        <f>IFERROR((G1429-INDEX('01_Swimmers'!$E$5:$E$22,MATCH(B1429,'01_Swimmers'!$A$5:$A$22,0)))/'00_Control'!$B$10,"")</f>
        <v/>
      </c>
      <c r="U1429" s="35">
        <f>IF(T1429="","",INT(T1429))</f>
        <v/>
      </c>
      <c r="V1429" s="33" t="inlineStr">
        <is>
          <t>NO</t>
        </is>
      </c>
      <c r="W1429" s="33" t="inlineStr">
        <is>
          <t>YES</t>
        </is>
      </c>
      <c r="X1429" s="33" t="inlineStr">
        <is>
          <t>NO</t>
        </is>
      </c>
      <c r="Y1429" s="33" t="n">
        <v>1</v>
      </c>
      <c r="Z1429" s="33" t="n"/>
      <c r="AA1429" s="33" t="inlineStr">
        <is>
          <t>4</t>
        </is>
      </c>
      <c r="AB1429" s="33" t="inlineStr">
        <is>
          <t>https://www.swimcloud.com/results/191228/event/116/?id=40151531#time40151531</t>
        </is>
      </c>
      <c r="AC1429" s="33" t="inlineStr">
        <is>
          <t>SwimCloud API v6 2026-10-08</t>
        </is>
      </c>
      <c r="AD1429" s="33" t="inlineStr">
        <is>
          <t>Kristof Milak|2021-02-05|LCM|400|Free|230.71|Meeting International FFN Golden Tour Camille Moffatt - Step 1|FIN|False</t>
        </is>
      </c>
      <c r="AE1429" s="53">
        <f>G1429+L1429/1000+ROW()/1000000000</f>
        <v/>
      </c>
      <c r="AF1429" s="35">
        <f>IF(C1429&lt;&gt;"Grayson Coulter","",COUNTIFS($C$5:$C$2991,"Grayson Coulter",$Q$5:$Q$2991,Q1429,$AE$5:$AE$2991,"&lt;="&amp;AE1429,$R$5:$R$2991,"&lt;"&amp;R1429))</f>
        <v/>
      </c>
      <c r="AG1429" s="35">
        <f>IF(OR(C1429&lt;&gt;"Grayson Coulter",G1429&lt;'00_Control'!$B$7),"",--(AF1429&lt;5))</f>
        <v/>
      </c>
      <c r="AH1429" s="35">
        <f>IF(OR(C1429&lt;&gt;"Grayson Coulter",G1429&lt;'00_Control'!$B$7),"",--(AF1429&lt;10))</f>
        <v/>
      </c>
      <c r="AI1429" s="35">
        <f>IF(AND(C1429="Grayson Coulter",G1429&gt;='00_Control'!$B$7),"YES","NO")</f>
        <v/>
      </c>
      <c r="AJ1429" s="33" t="inlineStr">
        <is>
          <t>OK</t>
        </is>
      </c>
    </row>
    <row r="1430">
      <c r="A1430" s="33" t="inlineStr">
        <is>
          <t>SM001426</t>
        </is>
      </c>
      <c r="B1430" s="33" t="inlineStr">
        <is>
          <t>SW018</t>
        </is>
      </c>
      <c r="C1430" s="33" t="inlineStr">
        <is>
          <t>Kristof Milak</t>
        </is>
      </c>
      <c r="D1430" s="33" t="inlineStr">
        <is>
          <t>SwimCloud</t>
        </is>
      </c>
      <c r="E1430" s="33" t="inlineStr">
        <is>
          <t>508643</t>
        </is>
      </c>
      <c r="F1430" s="33" t="inlineStr">
        <is>
          <t>40151526</t>
        </is>
      </c>
      <c r="G1430" s="51" t="n">
        <v>44232</v>
      </c>
      <c r="H1430" s="33" t="inlineStr">
        <is>
          <t>Meeting International FFN Golden Tour Camille Moffatt - Step 1</t>
        </is>
      </c>
      <c r="I1430" s="33" t="inlineStr">
        <is>
          <t>191228</t>
        </is>
      </c>
      <c r="J1430" s="33" t="inlineStr"/>
      <c r="K1430" s="33" t="inlineStr">
        <is>
          <t>TIM</t>
        </is>
      </c>
      <c r="L1430" s="35">
        <f>IF(K1430="FIN",3,IF(OR(K1430="SEM",K1430="SEMI"),2,IF(OR(K1430="PRE",K1430="HEAT"),1,IF(V1430="YES",4,2))))</f>
        <v/>
      </c>
      <c r="M1430" s="33" t="inlineStr">
        <is>
          <t>LCM</t>
        </is>
      </c>
      <c r="N1430" s="33" t="n">
        <v>400</v>
      </c>
      <c r="O1430" s="33" t="inlineStr">
        <is>
          <t>Free</t>
        </is>
      </c>
      <c r="P1430" s="33" t="inlineStr">
        <is>
          <t>400 Free</t>
        </is>
      </c>
      <c r="Q1430" s="33" t="inlineStr">
        <is>
          <t>LCM_400_FREE</t>
        </is>
      </c>
      <c r="R1430" s="36" t="n">
        <v>233.21</v>
      </c>
      <c r="S1430" s="35">
        <f>IF(R1430="","",IF(R1430&gt;=60,INT(R1430/60)&amp;":"&amp;TEXT(MOD(R1430,60),"00.00"),TEXT(R1430,"0.00")))</f>
        <v/>
      </c>
      <c r="T1430" s="52">
        <f>IFERROR((G1430-INDEX('01_Swimmers'!$E$5:$E$22,MATCH(B1430,'01_Swimmers'!$A$5:$A$22,0)))/'00_Control'!$B$10,"")</f>
        <v/>
      </c>
      <c r="U1430" s="35">
        <f>IF(T1430="","",INT(T1430))</f>
        <v/>
      </c>
      <c r="V1430" s="33" t="inlineStr">
        <is>
          <t>NO</t>
        </is>
      </c>
      <c r="W1430" s="33" t="inlineStr">
        <is>
          <t>YES</t>
        </is>
      </c>
      <c r="X1430" s="33" t="inlineStr">
        <is>
          <t>NO</t>
        </is>
      </c>
      <c r="Y1430" s="33" t="n">
        <v>2</v>
      </c>
      <c r="Z1430" s="33" t="n"/>
      <c r="AA1430" s="33" t="inlineStr">
        <is>
          <t>3</t>
        </is>
      </c>
      <c r="AB1430" s="33" t="inlineStr">
        <is>
          <t>https://www.swimcloud.com/results/191228/event/116/?id=40151526#time40151526</t>
        </is>
      </c>
      <c r="AC1430" s="33" t="inlineStr">
        <is>
          <t>SwimCloud API v6 2026-10-08</t>
        </is>
      </c>
      <c r="AD1430" s="33" t="inlineStr">
        <is>
          <t>Kristof Milak|2021-02-05|LCM|400|Free|233.21|Meeting International FFN Golden Tour Camille Moffatt - Step 1|TIM|False</t>
        </is>
      </c>
      <c r="AE1430" s="53">
        <f>G1430+L1430/1000+ROW()/1000000000</f>
        <v/>
      </c>
      <c r="AF1430" s="35">
        <f>IF(C1430&lt;&gt;"Grayson Coulter","",COUNTIFS($C$5:$C$2991,"Grayson Coulter",$Q$5:$Q$2991,Q1430,$AE$5:$AE$2991,"&lt;="&amp;AE1430,$R$5:$R$2991,"&lt;"&amp;R1430))</f>
        <v/>
      </c>
      <c r="AG1430" s="35">
        <f>IF(OR(C1430&lt;&gt;"Grayson Coulter",G1430&lt;'00_Control'!$B$7),"",--(AF1430&lt;5))</f>
        <v/>
      </c>
      <c r="AH1430" s="35">
        <f>IF(OR(C1430&lt;&gt;"Grayson Coulter",G1430&lt;'00_Control'!$B$7),"",--(AF1430&lt;10))</f>
        <v/>
      </c>
      <c r="AI1430" s="35">
        <f>IF(AND(C1430="Grayson Coulter",G1430&gt;='00_Control'!$B$7),"YES","NO")</f>
        <v/>
      </c>
      <c r="AJ1430" s="33" t="inlineStr">
        <is>
          <t>OK</t>
        </is>
      </c>
    </row>
    <row r="1431">
      <c r="A1431" s="33" t="inlineStr">
        <is>
          <t>SM001427</t>
        </is>
      </c>
      <c r="B1431" s="33" t="inlineStr">
        <is>
          <t>SW018</t>
        </is>
      </c>
      <c r="C1431" s="33" t="inlineStr">
        <is>
          <t>Kristof Milak</t>
        </is>
      </c>
      <c r="D1431" s="33" t="inlineStr">
        <is>
          <t>SwimCloud</t>
        </is>
      </c>
      <c r="E1431" s="33" t="inlineStr">
        <is>
          <t>508643</t>
        </is>
      </c>
      <c r="F1431" s="33" t="inlineStr">
        <is>
          <t>40151533</t>
        </is>
      </c>
      <c r="G1431" s="51" t="n">
        <v>44233</v>
      </c>
      <c r="H1431" s="33" t="inlineStr">
        <is>
          <t>Meeting International FFN Golden Tour Camille Moffatt - Step 1</t>
        </is>
      </c>
      <c r="I1431" s="33" t="inlineStr">
        <is>
          <t>191228</t>
        </is>
      </c>
      <c r="J1431" s="33" t="inlineStr"/>
      <c r="K1431" s="33" t="inlineStr">
        <is>
          <t>FIN</t>
        </is>
      </c>
      <c r="L1431" s="35">
        <f>IF(K1431="FIN",3,IF(OR(K1431="SEM",K1431="SEMI"),2,IF(OR(K1431="PRE",K1431="HEAT"),1,IF(V1431="YES",4,2))))</f>
        <v/>
      </c>
      <c r="M1431" s="33" t="inlineStr">
        <is>
          <t>LCM</t>
        </is>
      </c>
      <c r="N1431" s="33" t="n">
        <v>100</v>
      </c>
      <c r="O1431" s="33" t="inlineStr">
        <is>
          <t>Free</t>
        </is>
      </c>
      <c r="P1431" s="33" t="inlineStr">
        <is>
          <t>100 Free</t>
        </is>
      </c>
      <c r="Q1431" s="33" t="inlineStr">
        <is>
          <t>LCM_100_FREE</t>
        </is>
      </c>
      <c r="R1431" s="36" t="n">
        <v>49.78</v>
      </c>
      <c r="S1431" s="35">
        <f>IF(R1431="","",IF(R1431&gt;=60,INT(R1431/60)&amp;":"&amp;TEXT(MOD(R1431,60),"00.00"),TEXT(R1431,"0.00")))</f>
        <v/>
      </c>
      <c r="T1431" s="52">
        <f>IFERROR((G1431-INDEX('01_Swimmers'!$E$5:$E$22,MATCH(B1431,'01_Swimmers'!$A$5:$A$22,0)))/'00_Control'!$B$10,"")</f>
        <v/>
      </c>
      <c r="U1431" s="35">
        <f>IF(T1431="","",INT(T1431))</f>
        <v/>
      </c>
      <c r="V1431" s="33" t="inlineStr">
        <is>
          <t>NO</t>
        </is>
      </c>
      <c r="W1431" s="33" t="inlineStr">
        <is>
          <t>YES</t>
        </is>
      </c>
      <c r="X1431" s="33" t="inlineStr">
        <is>
          <t>NO</t>
        </is>
      </c>
      <c r="Y1431" s="33" t="n">
        <v>1</v>
      </c>
      <c r="Z1431" s="33" t="n"/>
      <c r="AA1431" s="33" t="inlineStr">
        <is>
          <t>5</t>
        </is>
      </c>
      <c r="AB1431" s="33" t="inlineStr">
        <is>
          <t>https://www.swimcloud.com/results/191228/event/213/?id=40151533#time40151533</t>
        </is>
      </c>
      <c r="AC1431" s="33" t="inlineStr">
        <is>
          <t>SwimCloud API v6 2026-10-08</t>
        </is>
      </c>
      <c r="AD1431" s="33" t="inlineStr">
        <is>
          <t>Kristof Milak|2021-02-06|LCM|100|Free|49.78|Meeting International FFN Golden Tour Camille Moffatt - Step 1|FIN|False</t>
        </is>
      </c>
      <c r="AE1431" s="53">
        <f>G1431+L1431/1000+ROW()/1000000000</f>
        <v/>
      </c>
      <c r="AF1431" s="35">
        <f>IF(C1431&lt;&gt;"Grayson Coulter","",COUNTIFS($C$5:$C$2991,"Grayson Coulter",$Q$5:$Q$2991,Q1431,$AE$5:$AE$2991,"&lt;="&amp;AE1431,$R$5:$R$2991,"&lt;"&amp;R1431))</f>
        <v/>
      </c>
      <c r="AG1431" s="35">
        <f>IF(OR(C1431&lt;&gt;"Grayson Coulter",G1431&lt;'00_Control'!$B$7),"",--(AF1431&lt;5))</f>
        <v/>
      </c>
      <c r="AH1431" s="35">
        <f>IF(OR(C1431&lt;&gt;"Grayson Coulter",G1431&lt;'00_Control'!$B$7),"",--(AF1431&lt;10))</f>
        <v/>
      </c>
      <c r="AI1431" s="35">
        <f>IF(AND(C1431="Grayson Coulter",G1431&gt;='00_Control'!$B$7),"YES","NO")</f>
        <v/>
      </c>
      <c r="AJ1431" s="33" t="inlineStr">
        <is>
          <t>OK</t>
        </is>
      </c>
    </row>
    <row r="1432">
      <c r="A1432" s="33" t="inlineStr">
        <is>
          <t>SM001428</t>
        </is>
      </c>
      <c r="B1432" s="33" t="inlineStr">
        <is>
          <t>SW018</t>
        </is>
      </c>
      <c r="C1432" s="33" t="inlineStr">
        <is>
          <t>Kristof Milak</t>
        </is>
      </c>
      <c r="D1432" s="33" t="inlineStr">
        <is>
          <t>SwimCloud</t>
        </is>
      </c>
      <c r="E1432" s="33" t="inlineStr">
        <is>
          <t>508643</t>
        </is>
      </c>
      <c r="F1432" s="33" t="inlineStr">
        <is>
          <t>40151528</t>
        </is>
      </c>
      <c r="G1432" s="51" t="n">
        <v>44233</v>
      </c>
      <c r="H1432" s="33" t="inlineStr">
        <is>
          <t>Meeting International FFN Golden Tour Camille Moffatt - Step 1</t>
        </is>
      </c>
      <c r="I1432" s="33" t="inlineStr">
        <is>
          <t>191228</t>
        </is>
      </c>
      <c r="J1432" s="33" t="inlineStr"/>
      <c r="K1432" s="33" t="inlineStr">
        <is>
          <t>TIM</t>
        </is>
      </c>
      <c r="L1432" s="35">
        <f>IF(K1432="FIN",3,IF(OR(K1432="SEM",K1432="SEMI"),2,IF(OR(K1432="PRE",K1432="HEAT"),1,IF(V1432="YES",4,2))))</f>
        <v/>
      </c>
      <c r="M1432" s="33" t="inlineStr">
        <is>
          <t>LCM</t>
        </is>
      </c>
      <c r="N1432" s="33" t="n">
        <v>100</v>
      </c>
      <c r="O1432" s="33" t="inlineStr">
        <is>
          <t>Free</t>
        </is>
      </c>
      <c r="P1432" s="33" t="inlineStr">
        <is>
          <t>100 Free</t>
        </is>
      </c>
      <c r="Q1432" s="33" t="inlineStr">
        <is>
          <t>LCM_100_FREE</t>
        </is>
      </c>
      <c r="R1432" s="36" t="n">
        <v>50.19</v>
      </c>
      <c r="S1432" s="35">
        <f>IF(R1432="","",IF(R1432&gt;=60,INT(R1432/60)&amp;":"&amp;TEXT(MOD(R1432,60),"00.00"),TEXT(R1432,"0.00")))</f>
        <v/>
      </c>
      <c r="T1432" s="52">
        <f>IFERROR((G1432-INDEX('01_Swimmers'!$E$5:$E$22,MATCH(B1432,'01_Swimmers'!$A$5:$A$22,0)))/'00_Control'!$B$10,"")</f>
        <v/>
      </c>
      <c r="U1432" s="35">
        <f>IF(T1432="","",INT(T1432))</f>
        <v/>
      </c>
      <c r="V1432" s="33" t="inlineStr">
        <is>
          <t>NO</t>
        </is>
      </c>
      <c r="W1432" s="33" t="inlineStr">
        <is>
          <t>YES</t>
        </is>
      </c>
      <c r="X1432" s="33" t="inlineStr">
        <is>
          <t>NO</t>
        </is>
      </c>
      <c r="Y1432" s="33" t="n">
        <v>2</v>
      </c>
      <c r="Z1432" s="33" t="n"/>
      <c r="AA1432" s="33" t="inlineStr">
        <is>
          <t>7</t>
        </is>
      </c>
      <c r="AB1432" s="33" t="inlineStr">
        <is>
          <t>https://www.swimcloud.com/results/191228/event/213/?id=40151528#time40151528</t>
        </is>
      </c>
      <c r="AC1432" s="33" t="inlineStr">
        <is>
          <t>SwimCloud API v6 2026-10-08</t>
        </is>
      </c>
      <c r="AD1432" s="33" t="inlineStr">
        <is>
          <t>Kristof Milak|2021-02-06|LCM|100|Free|50.19|Meeting International FFN Golden Tour Camille Moffatt - Step 1|TIM|False</t>
        </is>
      </c>
      <c r="AE1432" s="53">
        <f>G1432+L1432/1000+ROW()/1000000000</f>
        <v/>
      </c>
      <c r="AF1432" s="35">
        <f>IF(C1432&lt;&gt;"Grayson Coulter","",COUNTIFS($C$5:$C$2991,"Grayson Coulter",$Q$5:$Q$2991,Q1432,$AE$5:$AE$2991,"&lt;="&amp;AE1432,$R$5:$R$2991,"&lt;"&amp;R1432))</f>
        <v/>
      </c>
      <c r="AG1432" s="35">
        <f>IF(OR(C1432&lt;&gt;"Grayson Coulter",G1432&lt;'00_Control'!$B$7),"",--(AF1432&lt;5))</f>
        <v/>
      </c>
      <c r="AH1432" s="35">
        <f>IF(OR(C1432&lt;&gt;"Grayson Coulter",G1432&lt;'00_Control'!$B$7),"",--(AF1432&lt;10))</f>
        <v/>
      </c>
      <c r="AI1432" s="35">
        <f>IF(AND(C1432="Grayson Coulter",G1432&gt;='00_Control'!$B$7),"YES","NO")</f>
        <v/>
      </c>
      <c r="AJ1432" s="33" t="inlineStr">
        <is>
          <t>OK</t>
        </is>
      </c>
    </row>
    <row r="1433">
      <c r="A1433" s="33" t="inlineStr">
        <is>
          <t>SM001429</t>
        </is>
      </c>
      <c r="B1433" s="33" t="inlineStr">
        <is>
          <t>SW018</t>
        </is>
      </c>
      <c r="C1433" s="33" t="inlineStr">
        <is>
          <t>Kristof Milak</t>
        </is>
      </c>
      <c r="D1433" s="33" t="inlineStr">
        <is>
          <t>SwimCloud</t>
        </is>
      </c>
      <c r="E1433" s="33" t="inlineStr">
        <is>
          <t>508643</t>
        </is>
      </c>
      <c r="F1433" s="33" t="inlineStr">
        <is>
          <t>40151534</t>
        </is>
      </c>
      <c r="G1433" s="51" t="n">
        <v>44234</v>
      </c>
      <c r="H1433" s="33" t="inlineStr">
        <is>
          <t>Meeting International FFN Golden Tour Camille Moffatt - Step 1</t>
        </is>
      </c>
      <c r="I1433" s="33" t="inlineStr">
        <is>
          <t>191228</t>
        </is>
      </c>
      <c r="J1433" s="33" t="inlineStr"/>
      <c r="K1433" s="33" t="inlineStr">
        <is>
          <t>FIN</t>
        </is>
      </c>
      <c r="L1433" s="35">
        <f>IF(K1433="FIN",3,IF(OR(K1433="SEM",K1433="SEMI"),2,IF(OR(K1433="PRE",K1433="HEAT"),1,IF(V1433="YES",4,2))))</f>
        <v/>
      </c>
      <c r="M1433" s="33" t="inlineStr">
        <is>
          <t>LCM</t>
        </is>
      </c>
      <c r="N1433" s="33" t="n">
        <v>100</v>
      </c>
      <c r="O1433" s="33" t="inlineStr">
        <is>
          <t>Fly</t>
        </is>
      </c>
      <c r="P1433" s="33" t="inlineStr">
        <is>
          <t>100 Fly</t>
        </is>
      </c>
      <c r="Q1433" s="33" t="inlineStr">
        <is>
          <t>LCM_100_FLY</t>
        </is>
      </c>
      <c r="R1433" s="36" t="n">
        <v>52.21</v>
      </c>
      <c r="S1433" s="35">
        <f>IF(R1433="","",IF(R1433&gt;=60,INT(R1433/60)&amp;":"&amp;TEXT(MOD(R1433,60),"00.00"),TEXT(R1433,"0.00")))</f>
        <v/>
      </c>
      <c r="T1433" s="52">
        <f>IFERROR((G1433-INDEX('01_Swimmers'!$E$5:$E$22,MATCH(B1433,'01_Swimmers'!$A$5:$A$22,0)))/'00_Control'!$B$10,"")</f>
        <v/>
      </c>
      <c r="U1433" s="35">
        <f>IF(T1433="","",INT(T1433))</f>
        <v/>
      </c>
      <c r="V1433" s="33" t="inlineStr">
        <is>
          <t>NO</t>
        </is>
      </c>
      <c r="W1433" s="33" t="inlineStr">
        <is>
          <t>YES</t>
        </is>
      </c>
      <c r="X1433" s="33" t="inlineStr">
        <is>
          <t>NO</t>
        </is>
      </c>
      <c r="Y1433" s="33" t="n">
        <v>1</v>
      </c>
      <c r="Z1433" s="33" t="n"/>
      <c r="AA1433" s="33" t="inlineStr">
        <is>
          <t>1</t>
        </is>
      </c>
      <c r="AB1433" s="33" t="inlineStr">
        <is>
          <t>https://www.swimcloud.com/results/191228/event/314/?id=40151534#time40151534</t>
        </is>
      </c>
      <c r="AC1433" s="33" t="inlineStr">
        <is>
          <t>SwimCloud API v6 2026-10-08</t>
        </is>
      </c>
      <c r="AD1433" s="33" t="inlineStr">
        <is>
          <t>Kristof Milak|2021-02-07|LCM|100|Fly|52.21|Meeting International FFN Golden Tour Camille Moffatt - Step 1|FIN|False</t>
        </is>
      </c>
      <c r="AE1433" s="53">
        <f>G1433+L1433/1000+ROW()/1000000000</f>
        <v/>
      </c>
      <c r="AF1433" s="35">
        <f>IF(C1433&lt;&gt;"Grayson Coulter","",COUNTIFS($C$5:$C$2991,"Grayson Coulter",$Q$5:$Q$2991,Q1433,$AE$5:$AE$2991,"&lt;="&amp;AE1433,$R$5:$R$2991,"&lt;"&amp;R1433))</f>
        <v/>
      </c>
      <c r="AG1433" s="35">
        <f>IF(OR(C1433&lt;&gt;"Grayson Coulter",G1433&lt;'00_Control'!$B$7),"",--(AF1433&lt;5))</f>
        <v/>
      </c>
      <c r="AH1433" s="35">
        <f>IF(OR(C1433&lt;&gt;"Grayson Coulter",G1433&lt;'00_Control'!$B$7),"",--(AF1433&lt;10))</f>
        <v/>
      </c>
      <c r="AI1433" s="35">
        <f>IF(AND(C1433="Grayson Coulter",G1433&gt;='00_Control'!$B$7),"YES","NO")</f>
        <v/>
      </c>
      <c r="AJ1433" s="33" t="inlineStr">
        <is>
          <t>OK</t>
        </is>
      </c>
    </row>
    <row r="1434">
      <c r="A1434" s="33" t="inlineStr">
        <is>
          <t>SM001430</t>
        </is>
      </c>
      <c r="B1434" s="33" t="inlineStr">
        <is>
          <t>SW018</t>
        </is>
      </c>
      <c r="C1434" s="33" t="inlineStr">
        <is>
          <t>Kristof Milak</t>
        </is>
      </c>
      <c r="D1434" s="33" t="inlineStr">
        <is>
          <t>SwimCloud</t>
        </is>
      </c>
      <c r="E1434" s="33" t="inlineStr">
        <is>
          <t>508643</t>
        </is>
      </c>
      <c r="F1434" s="33" t="inlineStr">
        <is>
          <t>40151530</t>
        </is>
      </c>
      <c r="G1434" s="51" t="n">
        <v>44234</v>
      </c>
      <c r="H1434" s="33" t="inlineStr">
        <is>
          <t>Meeting International FFN Golden Tour Camille Moffatt - Step 1</t>
        </is>
      </c>
      <c r="I1434" s="33" t="inlineStr">
        <is>
          <t>191228</t>
        </is>
      </c>
      <c r="J1434" s="33" t="inlineStr"/>
      <c r="K1434" s="33" t="inlineStr">
        <is>
          <t>TIM</t>
        </is>
      </c>
      <c r="L1434" s="35">
        <f>IF(K1434="FIN",3,IF(OR(K1434="SEM",K1434="SEMI"),2,IF(OR(K1434="PRE",K1434="HEAT"),1,IF(V1434="YES",4,2))))</f>
        <v/>
      </c>
      <c r="M1434" s="33" t="inlineStr">
        <is>
          <t>LCM</t>
        </is>
      </c>
      <c r="N1434" s="33" t="n">
        <v>100</v>
      </c>
      <c r="O1434" s="33" t="inlineStr">
        <is>
          <t>Fly</t>
        </is>
      </c>
      <c r="P1434" s="33" t="inlineStr">
        <is>
          <t>100 Fly</t>
        </is>
      </c>
      <c r="Q1434" s="33" t="inlineStr">
        <is>
          <t>LCM_100_FLY</t>
        </is>
      </c>
      <c r="R1434" s="36" t="n">
        <v>53.47</v>
      </c>
      <c r="S1434" s="35">
        <f>IF(R1434="","",IF(R1434&gt;=60,INT(R1434/60)&amp;":"&amp;TEXT(MOD(R1434,60),"00.00"),TEXT(R1434,"0.00")))</f>
        <v/>
      </c>
      <c r="T1434" s="52">
        <f>IFERROR((G1434-INDEX('01_Swimmers'!$E$5:$E$22,MATCH(B1434,'01_Swimmers'!$A$5:$A$22,0)))/'00_Control'!$B$10,"")</f>
        <v/>
      </c>
      <c r="U1434" s="35">
        <f>IF(T1434="","",INT(T1434))</f>
        <v/>
      </c>
      <c r="V1434" s="33" t="inlineStr">
        <is>
          <t>NO</t>
        </is>
      </c>
      <c r="W1434" s="33" t="inlineStr">
        <is>
          <t>YES</t>
        </is>
      </c>
      <c r="X1434" s="33" t="inlineStr">
        <is>
          <t>NO</t>
        </is>
      </c>
      <c r="Y1434" s="33" t="n">
        <v>2</v>
      </c>
      <c r="Z1434" s="33" t="n"/>
      <c r="AA1434" s="33" t="inlineStr">
        <is>
          <t>2</t>
        </is>
      </c>
      <c r="AB1434" s="33" t="inlineStr">
        <is>
          <t>https://www.swimcloud.com/results/191228/event/314/?id=40151530#time40151530</t>
        </is>
      </c>
      <c r="AC1434" s="33" t="inlineStr">
        <is>
          <t>SwimCloud API v6 2026-10-08</t>
        </is>
      </c>
      <c r="AD1434" s="33" t="inlineStr">
        <is>
          <t>Kristof Milak|2021-02-07|LCM|100|Fly|53.47|Meeting International FFN Golden Tour Camille Moffatt - Step 1|TIM|False</t>
        </is>
      </c>
      <c r="AE1434" s="53">
        <f>G1434+L1434/1000+ROW()/1000000000</f>
        <v/>
      </c>
      <c r="AF1434" s="35">
        <f>IF(C1434&lt;&gt;"Grayson Coulter","",COUNTIFS($C$5:$C$2991,"Grayson Coulter",$Q$5:$Q$2991,Q1434,$AE$5:$AE$2991,"&lt;="&amp;AE1434,$R$5:$R$2991,"&lt;"&amp;R1434))</f>
        <v/>
      </c>
      <c r="AG1434" s="35">
        <f>IF(OR(C1434&lt;&gt;"Grayson Coulter",G1434&lt;'00_Control'!$B$7),"",--(AF1434&lt;5))</f>
        <v/>
      </c>
      <c r="AH1434" s="35">
        <f>IF(OR(C1434&lt;&gt;"Grayson Coulter",G1434&lt;'00_Control'!$B$7),"",--(AF1434&lt;10))</f>
        <v/>
      </c>
      <c r="AI1434" s="35">
        <f>IF(AND(C1434="Grayson Coulter",G1434&gt;='00_Control'!$B$7),"YES","NO")</f>
        <v/>
      </c>
      <c r="AJ1434" s="33" t="inlineStr">
        <is>
          <t>OK</t>
        </is>
      </c>
    </row>
    <row r="1435">
      <c r="A1435" s="33" t="inlineStr">
        <is>
          <t>SM001431</t>
        </is>
      </c>
      <c r="B1435" s="33" t="inlineStr">
        <is>
          <t>SW018</t>
        </is>
      </c>
      <c r="C1435" s="33" t="inlineStr">
        <is>
          <t>Kristof Milak</t>
        </is>
      </c>
      <c r="D1435" s="33" t="inlineStr">
        <is>
          <t>SwimCloud</t>
        </is>
      </c>
      <c r="E1435" s="33" t="inlineStr">
        <is>
          <t>508643</t>
        </is>
      </c>
      <c r="F1435" s="33" t="inlineStr">
        <is>
          <t>40151529</t>
        </is>
      </c>
      <c r="G1435" s="51" t="n">
        <v>44234</v>
      </c>
      <c r="H1435" s="33" t="inlineStr">
        <is>
          <t>Meeting International FFN Golden Tour Camille Moffatt - Step 1</t>
        </is>
      </c>
      <c r="I1435" s="33" t="inlineStr">
        <is>
          <t>191228</t>
        </is>
      </c>
      <c r="J1435" s="33" t="inlineStr"/>
      <c r="K1435" s="33" t="inlineStr">
        <is>
          <t>TIM</t>
        </is>
      </c>
      <c r="L1435" s="35">
        <f>IF(K1435="FIN",3,IF(OR(K1435="SEM",K1435="SEMI"),2,IF(OR(K1435="PRE",K1435="HEAT"),1,IF(V1435="YES",4,2))))</f>
        <v/>
      </c>
      <c r="M1435" s="33" t="inlineStr">
        <is>
          <t>LCM</t>
        </is>
      </c>
      <c r="N1435" s="33" t="n">
        <v>200</v>
      </c>
      <c r="O1435" s="33" t="inlineStr">
        <is>
          <t>Free</t>
        </is>
      </c>
      <c r="P1435" s="33" t="inlineStr">
        <is>
          <t>200 Free</t>
        </is>
      </c>
      <c r="Q1435" s="33" t="inlineStr">
        <is>
          <t>LCM_200_FREE</t>
        </is>
      </c>
      <c r="R1435" s="36" t="n">
        <v>110.7</v>
      </c>
      <c r="S1435" s="35">
        <f>IF(R1435="","",IF(R1435&gt;=60,INT(R1435/60)&amp;":"&amp;TEXT(MOD(R1435,60),"00.00"),TEXT(R1435,"0.00")))</f>
        <v/>
      </c>
      <c r="T1435" s="52">
        <f>IFERROR((G1435-INDEX('01_Swimmers'!$E$5:$E$22,MATCH(B1435,'01_Swimmers'!$A$5:$A$22,0)))/'00_Control'!$B$10,"")</f>
        <v/>
      </c>
      <c r="U1435" s="35">
        <f>IF(T1435="","",INT(T1435))</f>
        <v/>
      </c>
      <c r="V1435" s="33" t="inlineStr">
        <is>
          <t>NO</t>
        </is>
      </c>
      <c r="W1435" s="33" t="inlineStr">
        <is>
          <t>YES</t>
        </is>
      </c>
      <c r="X1435" s="33" t="inlineStr">
        <is>
          <t>NO</t>
        </is>
      </c>
      <c r="Y1435" s="33" t="n">
        <v>1</v>
      </c>
      <c r="Z1435" s="33" t="n"/>
      <c r="AA1435" s="33" t="inlineStr">
        <is>
          <t>10</t>
        </is>
      </c>
      <c r="AB1435" s="33" t="inlineStr">
        <is>
          <t>https://www.swimcloud.com/results/191228/event/312/?id=40151529#time40151529</t>
        </is>
      </c>
      <c r="AC1435" s="33" t="inlineStr">
        <is>
          <t>SwimCloud API v6 2026-10-08</t>
        </is>
      </c>
      <c r="AD1435" s="33" t="inlineStr">
        <is>
          <t>Kristof Milak|2021-02-07|LCM|200|Free|110.7|Meeting International FFN Golden Tour Camille Moffatt - Step 1|TIM|False</t>
        </is>
      </c>
      <c r="AE1435" s="53">
        <f>G1435+L1435/1000+ROW()/1000000000</f>
        <v/>
      </c>
      <c r="AF1435" s="35">
        <f>IF(C1435&lt;&gt;"Grayson Coulter","",COUNTIFS($C$5:$C$2991,"Grayson Coulter",$Q$5:$Q$2991,Q1435,$AE$5:$AE$2991,"&lt;="&amp;AE1435,$R$5:$R$2991,"&lt;"&amp;R1435))</f>
        <v/>
      </c>
      <c r="AG1435" s="35">
        <f>IF(OR(C1435&lt;&gt;"Grayson Coulter",G1435&lt;'00_Control'!$B$7),"",--(AF1435&lt;5))</f>
        <v/>
      </c>
      <c r="AH1435" s="35">
        <f>IF(OR(C1435&lt;&gt;"Grayson Coulter",G1435&lt;'00_Control'!$B$7),"",--(AF1435&lt;10))</f>
        <v/>
      </c>
      <c r="AI1435" s="35">
        <f>IF(AND(C1435="Grayson Coulter",G1435&gt;='00_Control'!$B$7),"YES","NO")</f>
        <v/>
      </c>
      <c r="AJ1435" s="33" t="inlineStr">
        <is>
          <t>OK</t>
        </is>
      </c>
    </row>
    <row r="1436">
      <c r="A1436" s="33" t="inlineStr">
        <is>
          <t>SM001432</t>
        </is>
      </c>
      <c r="B1436" s="33" t="inlineStr">
        <is>
          <t>SW018</t>
        </is>
      </c>
      <c r="C1436" s="33" t="inlineStr">
        <is>
          <t>Kristof Milak</t>
        </is>
      </c>
      <c r="D1436" s="33" t="inlineStr">
        <is>
          <t>SwimCloud</t>
        </is>
      </c>
      <c r="E1436" s="33" t="inlineStr">
        <is>
          <t>508643</t>
        </is>
      </c>
      <c r="F1436" s="33" t="inlineStr">
        <is>
          <t>41922197</t>
        </is>
      </c>
      <c r="G1436" s="51" t="n">
        <v>44278</v>
      </c>
      <c r="H1436" s="33" t="inlineStr">
        <is>
          <t>Hungarian National Championships</t>
        </is>
      </c>
      <c r="I1436" s="33" t="inlineStr">
        <is>
          <t>196072</t>
        </is>
      </c>
      <c r="J1436" s="33" t="inlineStr"/>
      <c r="K1436" s="33" t="inlineStr">
        <is>
          <t>TIM</t>
        </is>
      </c>
      <c r="L1436" s="35">
        <f>IF(K1436="FIN",3,IF(OR(K1436="SEM",K1436="SEMI"),2,IF(OR(K1436="PRE",K1436="HEAT"),1,IF(V1436="YES",4,2))))</f>
        <v/>
      </c>
      <c r="M1436" s="33" t="inlineStr">
        <is>
          <t>LCM</t>
        </is>
      </c>
      <c r="N1436" s="33" t="n">
        <v>100</v>
      </c>
      <c r="O1436" s="33" t="inlineStr">
        <is>
          <t>Fly</t>
        </is>
      </c>
      <c r="P1436" s="33" t="inlineStr">
        <is>
          <t>100 Fly</t>
        </is>
      </c>
      <c r="Q1436" s="33" t="inlineStr">
        <is>
          <t>LCM_100_FLY</t>
        </is>
      </c>
      <c r="R1436" s="36" t="n">
        <v>50.47</v>
      </c>
      <c r="S1436" s="35">
        <f>IF(R1436="","",IF(R1436&gt;=60,INT(R1436/60)&amp;":"&amp;TEXT(MOD(R1436,60),"00.00"),TEXT(R1436,"0.00")))</f>
        <v/>
      </c>
      <c r="T1436" s="52">
        <f>IFERROR((G1436-INDEX('01_Swimmers'!$E$5:$E$22,MATCH(B1436,'01_Swimmers'!$A$5:$A$22,0)))/'00_Control'!$B$10,"")</f>
        <v/>
      </c>
      <c r="U1436" s="35">
        <f>IF(T1436="","",INT(T1436))</f>
        <v/>
      </c>
      <c r="V1436" s="33" t="inlineStr">
        <is>
          <t>NO</t>
        </is>
      </c>
      <c r="W1436" s="33" t="inlineStr">
        <is>
          <t>YES</t>
        </is>
      </c>
      <c r="X1436" s="33" t="inlineStr">
        <is>
          <t>NO</t>
        </is>
      </c>
      <c r="Y1436" s="33" t="n">
        <v>1</v>
      </c>
      <c r="Z1436" s="33" t="n">
        <v>1</v>
      </c>
      <c r="AA1436" s="33" t="inlineStr">
        <is>
          <t>1</t>
        </is>
      </c>
      <c r="AB1436" s="33" t="inlineStr">
        <is>
          <t>https://www.swimcloud.com/results/196072/event/25/?id=41922197#time41922197</t>
        </is>
      </c>
      <c r="AC1436" s="33" t="inlineStr">
        <is>
          <t>SwimCloud API v6 2026-10-08</t>
        </is>
      </c>
      <c r="AD1436" s="33" t="inlineStr">
        <is>
          <t>Kristof Milak|2021-03-23|LCM|100|Fly|50.47|Hungarian National Championships|TIM|False</t>
        </is>
      </c>
      <c r="AE1436" s="53">
        <f>G1436+L1436/1000+ROW()/1000000000</f>
        <v/>
      </c>
      <c r="AF1436" s="35">
        <f>IF(C1436&lt;&gt;"Grayson Coulter","",COUNTIFS($C$5:$C$2991,"Grayson Coulter",$Q$5:$Q$2991,Q1436,$AE$5:$AE$2991,"&lt;="&amp;AE1436,$R$5:$R$2991,"&lt;"&amp;R1436))</f>
        <v/>
      </c>
      <c r="AG1436" s="35">
        <f>IF(OR(C1436&lt;&gt;"Grayson Coulter",G1436&lt;'00_Control'!$B$7),"",--(AF1436&lt;5))</f>
        <v/>
      </c>
      <c r="AH1436" s="35">
        <f>IF(OR(C1436&lt;&gt;"Grayson Coulter",G1436&lt;'00_Control'!$B$7),"",--(AF1436&lt;10))</f>
        <v/>
      </c>
      <c r="AI1436" s="35">
        <f>IF(AND(C1436="Grayson Coulter",G1436&gt;='00_Control'!$B$7),"YES","NO")</f>
        <v/>
      </c>
      <c r="AJ1436" s="33" t="inlineStr">
        <is>
          <t>OK</t>
        </is>
      </c>
    </row>
    <row r="1437">
      <c r="A1437" s="33" t="inlineStr">
        <is>
          <t>SM001433</t>
        </is>
      </c>
      <c r="B1437" s="33" t="inlineStr">
        <is>
          <t>SW018</t>
        </is>
      </c>
      <c r="C1437" s="33" t="inlineStr">
        <is>
          <t>Kristof Milak</t>
        </is>
      </c>
      <c r="D1437" s="33" t="inlineStr">
        <is>
          <t>SwimCloud</t>
        </is>
      </c>
      <c r="E1437" s="33" t="inlineStr">
        <is>
          <t>508643</t>
        </is>
      </c>
      <c r="F1437" s="33" t="inlineStr">
        <is>
          <t>41924023</t>
        </is>
      </c>
      <c r="G1437" s="51" t="n">
        <v>44278</v>
      </c>
      <c r="H1437" s="33" t="inlineStr">
        <is>
          <t>Hungarian National Championships</t>
        </is>
      </c>
      <c r="I1437" s="33" t="inlineStr">
        <is>
          <t>196072</t>
        </is>
      </c>
      <c r="J1437" s="33" t="inlineStr"/>
      <c r="K1437" s="33" t="inlineStr">
        <is>
          <t>TIM</t>
        </is>
      </c>
      <c r="L1437" s="35">
        <f>IF(K1437="FIN",3,IF(OR(K1437="SEM",K1437="SEMI"),2,IF(OR(K1437="PRE",K1437="HEAT"),1,IF(V1437="YES",4,2))))</f>
        <v/>
      </c>
      <c r="M1437" s="33" t="inlineStr">
        <is>
          <t>LCM</t>
        </is>
      </c>
      <c r="N1437" s="33" t="n">
        <v>100</v>
      </c>
      <c r="O1437" s="33" t="inlineStr">
        <is>
          <t>Free</t>
        </is>
      </c>
      <c r="P1437" s="33" t="inlineStr">
        <is>
          <t>100 Free</t>
        </is>
      </c>
      <c r="Q1437" s="33" t="inlineStr">
        <is>
          <t>LCM_100_FREE</t>
        </is>
      </c>
      <c r="R1437" s="36" t="n">
        <v>48</v>
      </c>
      <c r="S1437" s="35">
        <f>IF(R1437="","",IF(R1437&gt;=60,INT(R1437/60)&amp;":"&amp;TEXT(MOD(R1437,60),"00.00"),TEXT(R1437,"0.00")))</f>
        <v/>
      </c>
      <c r="T1437" s="52">
        <f>IFERROR((G1437-INDEX('01_Swimmers'!$E$5:$E$22,MATCH(B1437,'01_Swimmers'!$A$5:$A$22,0)))/'00_Control'!$B$10,"")</f>
        <v/>
      </c>
      <c r="U1437" s="35">
        <f>IF(T1437="","",INT(T1437))</f>
        <v/>
      </c>
      <c r="V1437" s="33" t="inlineStr">
        <is>
          <t>NO</t>
        </is>
      </c>
      <c r="W1437" s="33" t="inlineStr">
        <is>
          <t>YES</t>
        </is>
      </c>
      <c r="X1437" s="33" t="inlineStr">
        <is>
          <t>NO</t>
        </is>
      </c>
      <c r="Y1437" s="33" t="n"/>
      <c r="Z1437" s="33" t="n"/>
      <c r="AA1437" s="33" t="inlineStr">
        <is>
          <t>1</t>
        </is>
      </c>
      <c r="AB1437" s="33" t="inlineStr">
        <is>
          <t>https://www.swimcloud.com/results/196072/event/16/?id=41924023#time41924023</t>
        </is>
      </c>
      <c r="AC1437" s="33" t="inlineStr">
        <is>
          <t>SwimCloud API v6 2026-10-08</t>
        </is>
      </c>
      <c r="AD1437" s="33" t="inlineStr">
        <is>
          <t>Kristof Milak|2021-03-23|LCM|100|Free|48.0|Hungarian National Championships|TIM|False</t>
        </is>
      </c>
      <c r="AE1437" s="53">
        <f>G1437+L1437/1000+ROW()/1000000000</f>
        <v/>
      </c>
      <c r="AF1437" s="35">
        <f>IF(C1437&lt;&gt;"Grayson Coulter","",COUNTIFS($C$5:$C$2991,"Grayson Coulter",$Q$5:$Q$2991,Q1437,$AE$5:$AE$2991,"&lt;="&amp;AE1437,$R$5:$R$2991,"&lt;"&amp;R1437))</f>
        <v/>
      </c>
      <c r="AG1437" s="35">
        <f>IF(OR(C1437&lt;&gt;"Grayson Coulter",G1437&lt;'00_Control'!$B$7),"",--(AF1437&lt;5))</f>
        <v/>
      </c>
      <c r="AH1437" s="35">
        <f>IF(OR(C1437&lt;&gt;"Grayson Coulter",G1437&lt;'00_Control'!$B$7),"",--(AF1437&lt;10))</f>
        <v/>
      </c>
      <c r="AI1437" s="35">
        <f>IF(AND(C1437="Grayson Coulter",G1437&gt;='00_Control'!$B$7),"YES","NO")</f>
        <v/>
      </c>
      <c r="AJ1437" s="33" t="inlineStr">
        <is>
          <t>OK</t>
        </is>
      </c>
    </row>
    <row r="1438">
      <c r="A1438" s="33" t="inlineStr">
        <is>
          <t>SM001434</t>
        </is>
      </c>
      <c r="B1438" s="33" t="inlineStr">
        <is>
          <t>SW018</t>
        </is>
      </c>
      <c r="C1438" s="33" t="inlineStr">
        <is>
          <t>Kristof Milak</t>
        </is>
      </c>
      <c r="D1438" s="33" t="inlineStr">
        <is>
          <t>SwimCloud</t>
        </is>
      </c>
      <c r="E1438" s="33" t="inlineStr">
        <is>
          <t>508643</t>
        </is>
      </c>
      <c r="F1438" s="33" t="inlineStr">
        <is>
          <t>41930081</t>
        </is>
      </c>
      <c r="G1438" s="51" t="n">
        <v>44278</v>
      </c>
      <c r="H1438" s="33" t="inlineStr">
        <is>
          <t>Hungarian National Championships</t>
        </is>
      </c>
      <c r="I1438" s="33" t="inlineStr">
        <is>
          <t>196072</t>
        </is>
      </c>
      <c r="J1438" s="33" t="inlineStr"/>
      <c r="K1438" s="33" t="inlineStr">
        <is>
          <t>TIM</t>
        </is>
      </c>
      <c r="L1438" s="35">
        <f>IF(K1438="FIN",3,IF(OR(K1438="SEM",K1438="SEMI"),2,IF(OR(K1438="PRE",K1438="HEAT"),1,IF(V1438="YES",4,2))))</f>
        <v/>
      </c>
      <c r="M1438" s="33" t="inlineStr">
        <is>
          <t>LCM</t>
        </is>
      </c>
      <c r="N1438" s="33" t="n">
        <v>200</v>
      </c>
      <c r="O1438" s="33" t="inlineStr">
        <is>
          <t>Free</t>
        </is>
      </c>
      <c r="P1438" s="33" t="inlineStr">
        <is>
          <t>200 Free</t>
        </is>
      </c>
      <c r="Q1438" s="33" t="inlineStr">
        <is>
          <t>LCM_200_FREE</t>
        </is>
      </c>
      <c r="R1438" s="36" t="n">
        <v>106.15</v>
      </c>
      <c r="S1438" s="35">
        <f>IF(R1438="","",IF(R1438&gt;=60,INT(R1438/60)&amp;":"&amp;TEXT(MOD(R1438,60),"00.00"),TEXT(R1438,"0.00")))</f>
        <v/>
      </c>
      <c r="T1438" s="52">
        <f>IFERROR((G1438-INDEX('01_Swimmers'!$E$5:$E$22,MATCH(B1438,'01_Swimmers'!$A$5:$A$22,0)))/'00_Control'!$B$10,"")</f>
        <v/>
      </c>
      <c r="U1438" s="35">
        <f>IF(T1438="","",INT(T1438))</f>
        <v/>
      </c>
      <c r="V1438" s="33" t="inlineStr">
        <is>
          <t>NO</t>
        </is>
      </c>
      <c r="W1438" s="33" t="inlineStr">
        <is>
          <t>YES</t>
        </is>
      </c>
      <c r="X1438" s="33" t="inlineStr">
        <is>
          <t>NO</t>
        </is>
      </c>
      <c r="Y1438" s="33" t="n"/>
      <c r="Z1438" s="33" t="n"/>
      <c r="AA1438" s="33" t="inlineStr">
        <is>
          <t>1</t>
        </is>
      </c>
      <c r="AB1438" s="33" t="inlineStr">
        <is>
          <t>https://www.swimcloud.com/results/196072/event/17/?id=41930081#time41930081</t>
        </is>
      </c>
      <c r="AC1438" s="33" t="inlineStr">
        <is>
          <t>SwimCloud API v6 2026-10-08</t>
        </is>
      </c>
      <c r="AD1438" s="33" t="inlineStr">
        <is>
          <t>Kristof Milak|2021-03-23|LCM|200|Free|106.15|Hungarian National Championships|TIM|False</t>
        </is>
      </c>
      <c r="AE1438" s="53">
        <f>G1438+L1438/1000+ROW()/1000000000</f>
        <v/>
      </c>
      <c r="AF1438" s="35">
        <f>IF(C1438&lt;&gt;"Grayson Coulter","",COUNTIFS($C$5:$C$2991,"Grayson Coulter",$Q$5:$Q$2991,Q1438,$AE$5:$AE$2991,"&lt;="&amp;AE1438,$R$5:$R$2991,"&lt;"&amp;R1438))</f>
        <v/>
      </c>
      <c r="AG1438" s="35">
        <f>IF(OR(C1438&lt;&gt;"Grayson Coulter",G1438&lt;'00_Control'!$B$7),"",--(AF1438&lt;5))</f>
        <v/>
      </c>
      <c r="AH1438" s="35">
        <f>IF(OR(C1438&lt;&gt;"Grayson Coulter",G1438&lt;'00_Control'!$B$7),"",--(AF1438&lt;10))</f>
        <v/>
      </c>
      <c r="AI1438" s="35">
        <f>IF(AND(C1438="Grayson Coulter",G1438&gt;='00_Control'!$B$7),"YES","NO")</f>
        <v/>
      </c>
      <c r="AJ1438" s="33" t="inlineStr">
        <is>
          <t>OK</t>
        </is>
      </c>
    </row>
    <row r="1439">
      <c r="A1439" s="33" t="inlineStr">
        <is>
          <t>SM001435</t>
        </is>
      </c>
      <c r="B1439" s="33" t="inlineStr">
        <is>
          <t>SW018</t>
        </is>
      </c>
      <c r="C1439" s="33" t="inlineStr">
        <is>
          <t>Kristof Milak</t>
        </is>
      </c>
      <c r="D1439" s="33" t="inlineStr">
        <is>
          <t>SwimCloud</t>
        </is>
      </c>
      <c r="E1439" s="33" t="inlineStr">
        <is>
          <t>508643</t>
        </is>
      </c>
      <c r="F1439" s="33" t="inlineStr">
        <is>
          <t>41930092</t>
        </is>
      </c>
      <c r="G1439" s="51" t="n">
        <v>44278</v>
      </c>
      <c r="H1439" s="33" t="inlineStr">
        <is>
          <t>Hungarian National Championships</t>
        </is>
      </c>
      <c r="I1439" s="33" t="inlineStr">
        <is>
          <t>196072</t>
        </is>
      </c>
      <c r="J1439" s="33" t="inlineStr"/>
      <c r="K1439" s="33" t="inlineStr">
        <is>
          <t>TIM</t>
        </is>
      </c>
      <c r="L1439" s="35">
        <f>IF(K1439="FIN",3,IF(OR(K1439="SEM",K1439="SEMI"),2,IF(OR(K1439="PRE",K1439="HEAT"),1,IF(V1439="YES",4,2))))</f>
        <v/>
      </c>
      <c r="M1439" s="33" t="inlineStr">
        <is>
          <t>LCM</t>
        </is>
      </c>
      <c r="N1439" s="33" t="n">
        <v>400</v>
      </c>
      <c r="O1439" s="33" t="inlineStr">
        <is>
          <t>Free</t>
        </is>
      </c>
      <c r="P1439" s="33" t="inlineStr">
        <is>
          <t>400 Free</t>
        </is>
      </c>
      <c r="Q1439" s="33" t="inlineStr">
        <is>
          <t>LCM_400_FREE</t>
        </is>
      </c>
      <c r="R1439" s="36" t="n">
        <v>228.92</v>
      </c>
      <c r="S1439" s="35">
        <f>IF(R1439="","",IF(R1439&gt;=60,INT(R1439/60)&amp;":"&amp;TEXT(MOD(R1439,60),"00.00"),TEXT(R1439,"0.00")))</f>
        <v/>
      </c>
      <c r="T1439" s="52">
        <f>IFERROR((G1439-INDEX('01_Swimmers'!$E$5:$E$22,MATCH(B1439,'01_Swimmers'!$A$5:$A$22,0)))/'00_Control'!$B$10,"")</f>
        <v/>
      </c>
      <c r="U1439" s="35">
        <f>IF(T1439="","",INT(T1439))</f>
        <v/>
      </c>
      <c r="V1439" s="33" t="inlineStr">
        <is>
          <t>NO</t>
        </is>
      </c>
      <c r="W1439" s="33" t="inlineStr">
        <is>
          <t>YES</t>
        </is>
      </c>
      <c r="X1439" s="33" t="inlineStr">
        <is>
          <t>NO</t>
        </is>
      </c>
      <c r="Y1439" s="33" t="n"/>
      <c r="Z1439" s="33" t="n"/>
      <c r="AA1439" s="33" t="inlineStr"/>
      <c r="AB1439" s="33" t="inlineStr">
        <is>
          <t>https://www.swimcloud.com/results/196072/event/18/?id=41930092#time41930092</t>
        </is>
      </c>
      <c r="AC1439" s="33" t="inlineStr">
        <is>
          <t>SwimCloud API v6 2026-10-08</t>
        </is>
      </c>
      <c r="AD1439" s="33" t="inlineStr">
        <is>
          <t>Kristof Milak|2021-03-23|LCM|400|Free|228.92|Hungarian National Championships|TIM|False</t>
        </is>
      </c>
      <c r="AE1439" s="53">
        <f>G1439+L1439/1000+ROW()/1000000000</f>
        <v/>
      </c>
      <c r="AF1439" s="35">
        <f>IF(C1439&lt;&gt;"Grayson Coulter","",COUNTIFS($C$5:$C$2991,"Grayson Coulter",$Q$5:$Q$2991,Q1439,$AE$5:$AE$2991,"&lt;="&amp;AE1439,$R$5:$R$2991,"&lt;"&amp;R1439))</f>
        <v/>
      </c>
      <c r="AG1439" s="35">
        <f>IF(OR(C1439&lt;&gt;"Grayson Coulter",G1439&lt;'00_Control'!$B$7),"",--(AF1439&lt;5))</f>
        <v/>
      </c>
      <c r="AH1439" s="35">
        <f>IF(OR(C1439&lt;&gt;"Grayson Coulter",G1439&lt;'00_Control'!$B$7),"",--(AF1439&lt;10))</f>
        <v/>
      </c>
      <c r="AI1439" s="35">
        <f>IF(AND(C1439="Grayson Coulter",G1439&gt;='00_Control'!$B$7),"YES","NO")</f>
        <v/>
      </c>
      <c r="AJ1439" s="33" t="inlineStr">
        <is>
          <t>OK</t>
        </is>
      </c>
    </row>
    <row r="1440">
      <c r="A1440" s="33" t="inlineStr">
        <is>
          <t>SM001436</t>
        </is>
      </c>
      <c r="B1440" s="33" t="inlineStr">
        <is>
          <t>SW018</t>
        </is>
      </c>
      <c r="C1440" s="33" t="inlineStr">
        <is>
          <t>Kristof Milak</t>
        </is>
      </c>
      <c r="D1440" s="33" t="inlineStr">
        <is>
          <t>SwimCloud</t>
        </is>
      </c>
      <c r="E1440" s="33" t="inlineStr">
        <is>
          <t>508643</t>
        </is>
      </c>
      <c r="F1440" s="33" t="inlineStr">
        <is>
          <t>41862333</t>
        </is>
      </c>
      <c r="G1440" s="51" t="n">
        <v>44333</v>
      </c>
      <c r="H1440" s="33" t="inlineStr">
        <is>
          <t>LEN European Aquatics Championships</t>
        </is>
      </c>
      <c r="I1440" s="33" t="inlineStr">
        <is>
          <t>198640</t>
        </is>
      </c>
      <c r="J1440" s="33" t="inlineStr"/>
      <c r="K1440" s="33" t="inlineStr">
        <is>
          <t>PRE</t>
        </is>
      </c>
      <c r="L1440" s="35">
        <f>IF(K1440="FIN",3,IF(OR(K1440="SEM",K1440="SEMI"),2,IF(OR(K1440="PRE",K1440="HEAT"),1,IF(V1440="YES",4,2))))</f>
        <v/>
      </c>
      <c r="M1440" s="33" t="inlineStr">
        <is>
          <t>LCM</t>
        </is>
      </c>
      <c r="N1440" s="33" t="n">
        <v>400</v>
      </c>
      <c r="O1440" s="33" t="inlineStr">
        <is>
          <t>Free</t>
        </is>
      </c>
      <c r="P1440" s="33" t="inlineStr">
        <is>
          <t>400 Free</t>
        </is>
      </c>
      <c r="Q1440" s="33" t="inlineStr">
        <is>
          <t>LCM_400_FREE</t>
        </is>
      </c>
      <c r="R1440" s="36" t="n">
        <v>231.59</v>
      </c>
      <c r="S1440" s="35">
        <f>IF(R1440="","",IF(R1440&gt;=60,INT(R1440/60)&amp;":"&amp;TEXT(MOD(R1440,60),"00.00"),TEXT(R1440,"0.00")))</f>
        <v/>
      </c>
      <c r="T1440" s="52">
        <f>IFERROR((G1440-INDEX('01_Swimmers'!$E$5:$E$22,MATCH(B1440,'01_Swimmers'!$A$5:$A$22,0)))/'00_Control'!$B$10,"")</f>
        <v/>
      </c>
      <c r="U1440" s="35">
        <f>IF(T1440="","",INT(T1440))</f>
        <v/>
      </c>
      <c r="V1440" s="33" t="inlineStr">
        <is>
          <t>NO</t>
        </is>
      </c>
      <c r="W1440" s="33" t="inlineStr">
        <is>
          <t>YES</t>
        </is>
      </c>
      <c r="X1440" s="33" t="inlineStr">
        <is>
          <t>NO</t>
        </is>
      </c>
      <c r="Y1440" s="33" t="n">
        <v>6</v>
      </c>
      <c r="Z1440" s="33" t="n">
        <v>1</v>
      </c>
      <c r="AA1440" s="33" t="inlineStr">
        <is>
          <t>20</t>
        </is>
      </c>
      <c r="AB1440" s="33" t="inlineStr">
        <is>
          <t>https://www.swimcloud.com/results/198640/event/2/?id=41862333#time41862333</t>
        </is>
      </c>
      <c r="AC1440" s="33" t="inlineStr">
        <is>
          <t>SwimCloud API v6 2026-10-08</t>
        </is>
      </c>
      <c r="AD1440" s="33" t="inlineStr">
        <is>
          <t>Kristof Milak|2021-05-17|LCM|400|Free|231.59|LEN European Aquatics Championships|PRE|False</t>
        </is>
      </c>
      <c r="AE1440" s="53">
        <f>G1440+L1440/1000+ROW()/1000000000</f>
        <v/>
      </c>
      <c r="AF1440" s="35">
        <f>IF(C1440&lt;&gt;"Grayson Coulter","",COUNTIFS($C$5:$C$2991,"Grayson Coulter",$Q$5:$Q$2991,Q1440,$AE$5:$AE$2991,"&lt;="&amp;AE1440,$R$5:$R$2991,"&lt;"&amp;R1440))</f>
        <v/>
      </c>
      <c r="AG1440" s="35">
        <f>IF(OR(C1440&lt;&gt;"Grayson Coulter",G1440&lt;'00_Control'!$B$7),"",--(AF1440&lt;5))</f>
        <v/>
      </c>
      <c r="AH1440" s="35">
        <f>IF(OR(C1440&lt;&gt;"Grayson Coulter",G1440&lt;'00_Control'!$B$7),"",--(AF1440&lt;10))</f>
        <v/>
      </c>
      <c r="AI1440" s="35">
        <f>IF(AND(C1440="Grayson Coulter",G1440&gt;='00_Control'!$B$7),"YES","NO")</f>
        <v/>
      </c>
      <c r="AJ1440" s="33" t="inlineStr">
        <is>
          <t>OK</t>
        </is>
      </c>
    </row>
    <row r="1441">
      <c r="A1441" s="33" t="inlineStr">
        <is>
          <t>SM001437</t>
        </is>
      </c>
      <c r="B1441" s="33" t="inlineStr">
        <is>
          <t>SW018</t>
        </is>
      </c>
      <c r="C1441" s="33" t="inlineStr">
        <is>
          <t>Kristof Milak</t>
        </is>
      </c>
      <c r="D1441" s="33" t="inlineStr">
        <is>
          <t>SwimCloud</t>
        </is>
      </c>
      <c r="E1441" s="33" t="inlineStr">
        <is>
          <t>508643</t>
        </is>
      </c>
      <c r="F1441" s="33" t="inlineStr">
        <is>
          <t>41862329</t>
        </is>
      </c>
      <c r="G1441" s="51" t="n">
        <v>44334</v>
      </c>
      <c r="H1441" s="33" t="inlineStr">
        <is>
          <t>LEN European Aquatics Championships</t>
        </is>
      </c>
      <c r="I1441" s="33" t="inlineStr">
        <is>
          <t>198640</t>
        </is>
      </c>
      <c r="J1441" s="33" t="inlineStr"/>
      <c r="K1441" s="33" t="inlineStr">
        <is>
          <t>PRE</t>
        </is>
      </c>
      <c r="L1441" s="35">
        <f>IF(K1441="FIN",3,IF(OR(K1441="SEM",K1441="SEMI"),2,IF(OR(K1441="PRE",K1441="HEAT"),1,IF(V1441="YES",4,2))))</f>
        <v/>
      </c>
      <c r="M1441" s="33" t="inlineStr">
        <is>
          <t>LCM</t>
        </is>
      </c>
      <c r="N1441" s="33" t="n">
        <v>100</v>
      </c>
      <c r="O1441" s="33" t="inlineStr">
        <is>
          <t>Free</t>
        </is>
      </c>
      <c r="P1441" s="33" t="inlineStr">
        <is>
          <t>100 Free</t>
        </is>
      </c>
      <c r="Q1441" s="33" t="inlineStr">
        <is>
          <t>LCM_100_FREE</t>
        </is>
      </c>
      <c r="R1441" s="36" t="n">
        <v>48.72</v>
      </c>
      <c r="S1441" s="35">
        <f>IF(R1441="","",IF(R1441&gt;=60,INT(R1441/60)&amp;":"&amp;TEXT(MOD(R1441,60),"00.00"),TEXT(R1441,"0.00")))</f>
        <v/>
      </c>
      <c r="T1441" s="52">
        <f>IFERROR((G1441-INDEX('01_Swimmers'!$E$5:$E$22,MATCH(B1441,'01_Swimmers'!$A$5:$A$22,0)))/'00_Control'!$B$10,"")</f>
        <v/>
      </c>
      <c r="U1441" s="35">
        <f>IF(T1441="","",INT(T1441))</f>
        <v/>
      </c>
      <c r="V1441" s="33" t="inlineStr">
        <is>
          <t>NO</t>
        </is>
      </c>
      <c r="W1441" s="33" t="inlineStr">
        <is>
          <t>YES</t>
        </is>
      </c>
      <c r="X1441" s="33" t="inlineStr">
        <is>
          <t>NO</t>
        </is>
      </c>
      <c r="Y1441" s="33" t="n">
        <v>9</v>
      </c>
      <c r="Z1441" s="33" t="n">
        <v>5</v>
      </c>
      <c r="AA1441" s="33" t="inlineStr">
        <is>
          <t>13</t>
        </is>
      </c>
      <c r="AB1441" s="33" t="inlineStr">
        <is>
          <t>https://www.swimcloud.com/results/198640/event/10/?id=41862329#time41862329</t>
        </is>
      </c>
      <c r="AC1441" s="33" t="inlineStr">
        <is>
          <t>SwimCloud API v6 2026-10-08</t>
        </is>
      </c>
      <c r="AD1441" s="33" t="inlineStr">
        <is>
          <t>Kristof Milak|2021-05-18|LCM|100|Free|48.72|LEN European Aquatics Championships|PRE|False</t>
        </is>
      </c>
      <c r="AE1441" s="53">
        <f>G1441+L1441/1000+ROW()/1000000000</f>
        <v/>
      </c>
      <c r="AF1441" s="35">
        <f>IF(C1441&lt;&gt;"Grayson Coulter","",COUNTIFS($C$5:$C$2991,"Grayson Coulter",$Q$5:$Q$2991,Q1441,$AE$5:$AE$2991,"&lt;="&amp;AE1441,$R$5:$R$2991,"&lt;"&amp;R1441))</f>
        <v/>
      </c>
      <c r="AG1441" s="35">
        <f>IF(OR(C1441&lt;&gt;"Grayson Coulter",G1441&lt;'00_Control'!$B$7),"",--(AF1441&lt;5))</f>
        <v/>
      </c>
      <c r="AH1441" s="35">
        <f>IF(OR(C1441&lt;&gt;"Grayson Coulter",G1441&lt;'00_Control'!$B$7),"",--(AF1441&lt;10))</f>
        <v/>
      </c>
      <c r="AI1441" s="35">
        <f>IF(AND(C1441="Grayson Coulter",G1441&gt;='00_Control'!$B$7),"YES","NO")</f>
        <v/>
      </c>
      <c r="AJ1441" s="33" t="inlineStr">
        <is>
          <t>OK</t>
        </is>
      </c>
    </row>
    <row r="1442">
      <c r="A1442" s="33" t="inlineStr">
        <is>
          <t>SM001438</t>
        </is>
      </c>
      <c r="B1442" s="33" t="inlineStr">
        <is>
          <t>SW018</t>
        </is>
      </c>
      <c r="C1442" s="33" t="inlineStr">
        <is>
          <t>Kristof Milak</t>
        </is>
      </c>
      <c r="D1442" s="33" t="inlineStr">
        <is>
          <t>SwimCloud</t>
        </is>
      </c>
      <c r="E1442" s="33" t="inlineStr">
        <is>
          <t>508643</t>
        </is>
      </c>
      <c r="F1442" s="33" t="inlineStr">
        <is>
          <t>41862330</t>
        </is>
      </c>
      <c r="G1442" s="51" t="n">
        <v>44336</v>
      </c>
      <c r="H1442" s="33" t="inlineStr">
        <is>
          <t>LEN European Aquatics Championships</t>
        </is>
      </c>
      <c r="I1442" s="33" t="inlineStr">
        <is>
          <t>198640</t>
        </is>
      </c>
      <c r="J1442" s="33" t="inlineStr"/>
      <c r="K1442" s="33" t="inlineStr">
        <is>
          <t>PRE</t>
        </is>
      </c>
      <c r="L1442" s="35">
        <f>IF(K1442="FIN",3,IF(OR(K1442="SEM",K1442="SEMI"),2,IF(OR(K1442="PRE",K1442="HEAT"),1,IF(V1442="YES",4,2))))</f>
        <v/>
      </c>
      <c r="M1442" s="33" t="inlineStr">
        <is>
          <t>LCM</t>
        </is>
      </c>
      <c r="N1442" s="33" t="n">
        <v>200</v>
      </c>
      <c r="O1442" s="33" t="inlineStr">
        <is>
          <t>Free</t>
        </is>
      </c>
      <c r="P1442" s="33" t="inlineStr">
        <is>
          <t>200 Free</t>
        </is>
      </c>
      <c r="Q1442" s="33" t="inlineStr">
        <is>
          <t>LCM_200_FREE</t>
        </is>
      </c>
      <c r="R1442" s="36" t="n">
        <v>107.27</v>
      </c>
      <c r="S1442" s="35">
        <f>IF(R1442="","",IF(R1442&gt;=60,INT(R1442/60)&amp;":"&amp;TEXT(MOD(R1442,60),"00.00"),TEXT(R1442,"0.00")))</f>
        <v/>
      </c>
      <c r="T1442" s="52">
        <f>IFERROR((G1442-INDEX('01_Swimmers'!$E$5:$E$22,MATCH(B1442,'01_Swimmers'!$A$5:$A$22,0)))/'00_Control'!$B$10,"")</f>
        <v/>
      </c>
      <c r="U1442" s="35">
        <f>IF(T1442="","",INT(T1442))</f>
        <v/>
      </c>
      <c r="V1442" s="33" t="inlineStr">
        <is>
          <t>NO</t>
        </is>
      </c>
      <c r="W1442" s="33" t="inlineStr">
        <is>
          <t>YES</t>
        </is>
      </c>
      <c r="X1442" s="33" t="inlineStr">
        <is>
          <t>NO</t>
        </is>
      </c>
      <c r="Y1442" s="33" t="n">
        <v>7</v>
      </c>
      <c r="Z1442" s="33" t="n">
        <v>6</v>
      </c>
      <c r="AA1442" s="33" t="inlineStr">
        <is>
          <t>4</t>
        </is>
      </c>
      <c r="AB1442" s="33" t="inlineStr">
        <is>
          <t>https://www.swimcloud.com/results/198640/event/22/?id=41862330#time41862330</t>
        </is>
      </c>
      <c r="AC1442" s="33" t="inlineStr">
        <is>
          <t>SwimCloud API v6 2026-10-08</t>
        </is>
      </c>
      <c r="AD1442" s="33" t="inlineStr">
        <is>
          <t>Kristof Milak|2021-05-20|LCM|200|Free|107.27|LEN European Aquatics Championships|PRE|False</t>
        </is>
      </c>
      <c r="AE1442" s="53">
        <f>G1442+L1442/1000+ROW()/1000000000</f>
        <v/>
      </c>
      <c r="AF1442" s="35">
        <f>IF(C1442&lt;&gt;"Grayson Coulter","",COUNTIFS($C$5:$C$2991,"Grayson Coulter",$Q$5:$Q$2991,Q1442,$AE$5:$AE$2991,"&lt;="&amp;AE1442,$R$5:$R$2991,"&lt;"&amp;R1442))</f>
        <v/>
      </c>
      <c r="AG1442" s="35">
        <f>IF(OR(C1442&lt;&gt;"Grayson Coulter",G1442&lt;'00_Control'!$B$7),"",--(AF1442&lt;5))</f>
        <v/>
      </c>
      <c r="AH1442" s="35">
        <f>IF(OR(C1442&lt;&gt;"Grayson Coulter",G1442&lt;'00_Control'!$B$7),"",--(AF1442&lt;10))</f>
        <v/>
      </c>
      <c r="AI1442" s="35">
        <f>IF(AND(C1442="Grayson Coulter",G1442&gt;='00_Control'!$B$7),"YES","NO")</f>
        <v/>
      </c>
      <c r="AJ1442" s="33" t="inlineStr">
        <is>
          <t>OK</t>
        </is>
      </c>
    </row>
    <row r="1443">
      <c r="A1443" s="33" t="inlineStr">
        <is>
          <t>SM001439</t>
        </is>
      </c>
      <c r="B1443" s="33" t="inlineStr">
        <is>
          <t>SW018</t>
        </is>
      </c>
      <c r="C1443" s="33" t="inlineStr">
        <is>
          <t>Kristof Milak</t>
        </is>
      </c>
      <c r="D1443" s="33" t="inlineStr">
        <is>
          <t>SwimCloud</t>
        </is>
      </c>
      <c r="E1443" s="33" t="inlineStr">
        <is>
          <t>508643</t>
        </is>
      </c>
      <c r="F1443" s="33" t="inlineStr">
        <is>
          <t>41862331</t>
        </is>
      </c>
      <c r="G1443" s="51" t="n">
        <v>44336</v>
      </c>
      <c r="H1443" s="33" t="inlineStr">
        <is>
          <t>LEN European Aquatics Championships</t>
        </is>
      </c>
      <c r="I1443" s="33" t="inlineStr">
        <is>
          <t>198640</t>
        </is>
      </c>
      <c r="J1443" s="33" t="inlineStr"/>
      <c r="K1443" s="33" t="inlineStr">
        <is>
          <t>SEM</t>
        </is>
      </c>
      <c r="L1443" s="35">
        <f>IF(K1443="FIN",3,IF(OR(K1443="SEM",K1443="SEMI"),2,IF(OR(K1443="PRE",K1443="HEAT"),1,IF(V1443="YES",4,2))))</f>
        <v/>
      </c>
      <c r="M1443" s="33" t="inlineStr">
        <is>
          <t>LCM</t>
        </is>
      </c>
      <c r="N1443" s="33" t="n">
        <v>200</v>
      </c>
      <c r="O1443" s="33" t="inlineStr">
        <is>
          <t>Free</t>
        </is>
      </c>
      <c r="P1443" s="33" t="inlineStr">
        <is>
          <t>200 Free</t>
        </is>
      </c>
      <c r="Q1443" s="33" t="inlineStr">
        <is>
          <t>LCM_200_FREE</t>
        </is>
      </c>
      <c r="R1443" s="36" t="n">
        <v>106.77</v>
      </c>
      <c r="S1443" s="35">
        <f>IF(R1443="","",IF(R1443&gt;=60,INT(R1443/60)&amp;":"&amp;TEXT(MOD(R1443,60),"00.00"),TEXT(R1443,"0.00")))</f>
        <v/>
      </c>
      <c r="T1443" s="52">
        <f>IFERROR((G1443-INDEX('01_Swimmers'!$E$5:$E$22,MATCH(B1443,'01_Swimmers'!$A$5:$A$22,0)))/'00_Control'!$B$10,"")</f>
        <v/>
      </c>
      <c r="U1443" s="35">
        <f>IF(T1443="","",INT(T1443))</f>
        <v/>
      </c>
      <c r="V1443" s="33" t="inlineStr">
        <is>
          <t>NO</t>
        </is>
      </c>
      <c r="W1443" s="33" t="inlineStr">
        <is>
          <t>YES</t>
        </is>
      </c>
      <c r="X1443" s="33" t="inlineStr">
        <is>
          <t>NO</t>
        </is>
      </c>
      <c r="Y1443" s="33" t="n">
        <v>5</v>
      </c>
      <c r="Z1443" s="33" t="n">
        <v>5</v>
      </c>
      <c r="AA1443" s="33" t="inlineStr">
        <is>
          <t>7</t>
        </is>
      </c>
      <c r="AB1443" s="33" t="inlineStr">
        <is>
          <t>https://www.swimcloud.com/results/198640/event/222/?id=41862331#time41862331</t>
        </is>
      </c>
      <c r="AC1443" s="33" t="inlineStr">
        <is>
          <t>SwimCloud API v6 2026-10-08</t>
        </is>
      </c>
      <c r="AD1443" s="33" t="inlineStr">
        <is>
          <t>Kristof Milak|2021-05-20|LCM|200|Free|106.77|LEN European Aquatics Championships|SEM|False</t>
        </is>
      </c>
      <c r="AE1443" s="53">
        <f>G1443+L1443/1000+ROW()/1000000000</f>
        <v/>
      </c>
      <c r="AF1443" s="35">
        <f>IF(C1443&lt;&gt;"Grayson Coulter","",COUNTIFS($C$5:$C$2991,"Grayson Coulter",$Q$5:$Q$2991,Q1443,$AE$5:$AE$2991,"&lt;="&amp;AE1443,$R$5:$R$2991,"&lt;"&amp;R1443))</f>
        <v/>
      </c>
      <c r="AG1443" s="35">
        <f>IF(OR(C1443&lt;&gt;"Grayson Coulter",G1443&lt;'00_Control'!$B$7),"",--(AF1443&lt;5))</f>
        <v/>
      </c>
      <c r="AH1443" s="35">
        <f>IF(OR(C1443&lt;&gt;"Grayson Coulter",G1443&lt;'00_Control'!$B$7),"",--(AF1443&lt;10))</f>
        <v/>
      </c>
      <c r="AI1443" s="35">
        <f>IF(AND(C1443="Grayson Coulter",G1443&gt;='00_Control'!$B$7),"YES","NO")</f>
        <v/>
      </c>
      <c r="AJ1443" s="33" t="inlineStr">
        <is>
          <t>OK</t>
        </is>
      </c>
    </row>
    <row r="1444">
      <c r="A1444" s="33" t="inlineStr">
        <is>
          <t>SM001440</t>
        </is>
      </c>
      <c r="B1444" s="33" t="inlineStr">
        <is>
          <t>SW018</t>
        </is>
      </c>
      <c r="C1444" s="33" t="inlineStr">
        <is>
          <t>Kristof Milak</t>
        </is>
      </c>
      <c r="D1444" s="33" t="inlineStr">
        <is>
          <t>SwimCloud</t>
        </is>
      </c>
      <c r="E1444" s="33" t="inlineStr">
        <is>
          <t>508643</t>
        </is>
      </c>
      <c r="F1444" s="33" t="inlineStr">
        <is>
          <t>41862332</t>
        </is>
      </c>
      <c r="G1444" s="51" t="n">
        <v>44337</v>
      </c>
      <c r="H1444" s="33" t="inlineStr">
        <is>
          <t>LEN European Aquatics Championships</t>
        </is>
      </c>
      <c r="I1444" s="33" t="inlineStr">
        <is>
          <t>198640</t>
        </is>
      </c>
      <c r="J1444" s="33" t="inlineStr"/>
      <c r="K1444" s="33" t="inlineStr">
        <is>
          <t>FIN</t>
        </is>
      </c>
      <c r="L1444" s="35">
        <f>IF(K1444="FIN",3,IF(OR(K1444="SEM",K1444="SEMI"),2,IF(OR(K1444="PRE",K1444="HEAT"),1,IF(V1444="YES",4,2))))</f>
        <v/>
      </c>
      <c r="M1444" s="33" t="inlineStr">
        <is>
          <t>LCM</t>
        </is>
      </c>
      <c r="N1444" s="33" t="n">
        <v>200</v>
      </c>
      <c r="O1444" s="33" t="inlineStr">
        <is>
          <t>Free</t>
        </is>
      </c>
      <c r="P1444" s="33" t="inlineStr">
        <is>
          <t>200 Free</t>
        </is>
      </c>
      <c r="Q1444" s="33" t="inlineStr">
        <is>
          <t>LCM_200_FREE</t>
        </is>
      </c>
      <c r="R1444" s="36" t="n">
        <v>105.74</v>
      </c>
      <c r="S1444" s="35">
        <f>IF(R1444="","",IF(R1444&gt;=60,INT(R1444/60)&amp;":"&amp;TEXT(MOD(R1444,60),"00.00"),TEXT(R1444,"0.00")))</f>
        <v/>
      </c>
      <c r="T1444" s="52">
        <f>IFERROR((G1444-INDEX('01_Swimmers'!$E$5:$E$22,MATCH(B1444,'01_Swimmers'!$A$5:$A$22,0)))/'00_Control'!$B$10,"")</f>
        <v/>
      </c>
      <c r="U1444" s="35">
        <f>IF(T1444="","",INT(T1444))</f>
        <v/>
      </c>
      <c r="V1444" s="33" t="inlineStr">
        <is>
          <t>NO</t>
        </is>
      </c>
      <c r="W1444" s="33" t="inlineStr">
        <is>
          <t>YES</t>
        </is>
      </c>
      <c r="X1444" s="33" t="inlineStr">
        <is>
          <t>NO</t>
        </is>
      </c>
      <c r="Y1444" s="33" t="n">
        <v>10</v>
      </c>
      <c r="Z1444" s="33" t="n">
        <v>1</v>
      </c>
      <c r="AA1444" s="33" t="inlineStr">
        <is>
          <t>5</t>
        </is>
      </c>
      <c r="AB1444" s="33" t="inlineStr">
        <is>
          <t>https://www.swimcloud.com/results/198640/event/122/?id=41862332#time41862332</t>
        </is>
      </c>
      <c r="AC1444" s="33" t="inlineStr">
        <is>
          <t>SwimCloud API v6 2026-10-08</t>
        </is>
      </c>
      <c r="AD1444" s="33" t="inlineStr">
        <is>
          <t>Kristof Milak|2021-05-21|LCM|200|Free|105.74|LEN European Aquatics Championships|FIN|False</t>
        </is>
      </c>
      <c r="AE1444" s="53">
        <f>G1444+L1444/1000+ROW()/1000000000</f>
        <v/>
      </c>
      <c r="AF1444" s="35">
        <f>IF(C1444&lt;&gt;"Grayson Coulter","",COUNTIFS($C$5:$C$2991,"Grayson Coulter",$Q$5:$Q$2991,Q1444,$AE$5:$AE$2991,"&lt;="&amp;AE1444,$R$5:$R$2991,"&lt;"&amp;R1444))</f>
        <v/>
      </c>
      <c r="AG1444" s="35">
        <f>IF(OR(C1444&lt;&gt;"Grayson Coulter",G1444&lt;'00_Control'!$B$7),"",--(AF1444&lt;5))</f>
        <v/>
      </c>
      <c r="AH1444" s="35">
        <f>IF(OR(C1444&lt;&gt;"Grayson Coulter",G1444&lt;'00_Control'!$B$7),"",--(AF1444&lt;10))</f>
        <v/>
      </c>
      <c r="AI1444" s="35">
        <f>IF(AND(C1444="Grayson Coulter",G1444&gt;='00_Control'!$B$7),"YES","NO")</f>
        <v/>
      </c>
      <c r="AJ1444" s="33" t="inlineStr">
        <is>
          <t>OK</t>
        </is>
      </c>
    </row>
    <row r="1445">
      <c r="A1445" s="33" t="inlineStr">
        <is>
          <t>SM001441</t>
        </is>
      </c>
      <c r="B1445" s="33" t="inlineStr">
        <is>
          <t>SW018</t>
        </is>
      </c>
      <c r="C1445" s="33" t="inlineStr">
        <is>
          <t>Kristof Milak</t>
        </is>
      </c>
      <c r="D1445" s="33" t="inlineStr">
        <is>
          <t>SwimCloud</t>
        </is>
      </c>
      <c r="E1445" s="33" t="inlineStr">
        <is>
          <t>508643</t>
        </is>
      </c>
      <c r="F1445" s="33" t="inlineStr">
        <is>
          <t>41862335</t>
        </is>
      </c>
      <c r="G1445" s="51" t="n">
        <v>44338</v>
      </c>
      <c r="H1445" s="33" t="inlineStr">
        <is>
          <t>LEN European Aquatics Championships</t>
        </is>
      </c>
      <c r="I1445" s="33" t="inlineStr">
        <is>
          <t>198640</t>
        </is>
      </c>
      <c r="J1445" s="33" t="inlineStr"/>
      <c r="K1445" s="33" t="inlineStr">
        <is>
          <t>PRE</t>
        </is>
      </c>
      <c r="L1445" s="35">
        <f>IF(K1445="FIN",3,IF(OR(K1445="SEM",K1445="SEMI"),2,IF(OR(K1445="PRE",K1445="HEAT"),1,IF(V1445="YES",4,2))))</f>
        <v/>
      </c>
      <c r="M1445" s="33" t="inlineStr">
        <is>
          <t>LCM</t>
        </is>
      </c>
      <c r="N1445" s="33" t="n">
        <v>100</v>
      </c>
      <c r="O1445" s="33" t="inlineStr">
        <is>
          <t>Fly</t>
        </is>
      </c>
      <c r="P1445" s="33" t="inlineStr">
        <is>
          <t>100 Fly</t>
        </is>
      </c>
      <c r="Q1445" s="33" t="inlineStr">
        <is>
          <t>LCM_100_FLY</t>
        </is>
      </c>
      <c r="R1445" s="36" t="n">
        <v>50.64</v>
      </c>
      <c r="S1445" s="35">
        <f>IF(R1445="","",IF(R1445&gt;=60,INT(R1445/60)&amp;":"&amp;TEXT(MOD(R1445,60),"00.00"),TEXT(R1445,"0.00")))</f>
        <v/>
      </c>
      <c r="T1445" s="52">
        <f>IFERROR((G1445-INDEX('01_Swimmers'!$E$5:$E$22,MATCH(B1445,'01_Swimmers'!$A$5:$A$22,0)))/'00_Control'!$B$10,"")</f>
        <v/>
      </c>
      <c r="U1445" s="35">
        <f>IF(T1445="","",INT(T1445))</f>
        <v/>
      </c>
      <c r="V1445" s="33" t="inlineStr">
        <is>
          <t>NO</t>
        </is>
      </c>
      <c r="W1445" s="33" t="inlineStr">
        <is>
          <t>YES</t>
        </is>
      </c>
      <c r="X1445" s="33" t="inlineStr">
        <is>
          <t>NO</t>
        </is>
      </c>
      <c r="Y1445" s="33" t="n">
        <v>25</v>
      </c>
      <c r="Z1445" s="33" t="n">
        <v>4</v>
      </c>
      <c r="AA1445" s="33" t="inlineStr">
        <is>
          <t>1</t>
        </is>
      </c>
      <c r="AB1445" s="33" t="inlineStr">
        <is>
          <t>https://www.swimcloud.com/results/198640/event/37/?id=41862335#time41862335</t>
        </is>
      </c>
      <c r="AC1445" s="33" t="inlineStr">
        <is>
          <t>SwimCloud API v6 2026-10-08</t>
        </is>
      </c>
      <c r="AD1445" s="33" t="inlineStr">
        <is>
          <t>Kristof Milak|2021-05-22|LCM|100|Fly|50.64|LEN European Aquatics Championships|PRE|False</t>
        </is>
      </c>
      <c r="AE1445" s="53">
        <f>G1445+L1445/1000+ROW()/1000000000</f>
        <v/>
      </c>
      <c r="AF1445" s="35">
        <f>IF(C1445&lt;&gt;"Grayson Coulter","",COUNTIFS($C$5:$C$2991,"Grayson Coulter",$Q$5:$Q$2991,Q1445,$AE$5:$AE$2991,"&lt;="&amp;AE1445,$R$5:$R$2991,"&lt;"&amp;R1445))</f>
        <v/>
      </c>
      <c r="AG1445" s="35">
        <f>IF(OR(C1445&lt;&gt;"Grayson Coulter",G1445&lt;'00_Control'!$B$7),"",--(AF1445&lt;5))</f>
        <v/>
      </c>
      <c r="AH1445" s="35">
        <f>IF(OR(C1445&lt;&gt;"Grayson Coulter",G1445&lt;'00_Control'!$B$7),"",--(AF1445&lt;10))</f>
        <v/>
      </c>
      <c r="AI1445" s="35">
        <f>IF(AND(C1445="Grayson Coulter",G1445&gt;='00_Control'!$B$7),"YES","NO")</f>
        <v/>
      </c>
      <c r="AJ1445" s="33" t="inlineStr">
        <is>
          <t>OK</t>
        </is>
      </c>
    </row>
    <row r="1446">
      <c r="A1446" s="33" t="inlineStr">
        <is>
          <t>SM001442</t>
        </is>
      </c>
      <c r="B1446" s="33" t="inlineStr">
        <is>
          <t>SW018</t>
        </is>
      </c>
      <c r="C1446" s="33" t="inlineStr">
        <is>
          <t>Kristof Milak</t>
        </is>
      </c>
      <c r="D1446" s="33" t="inlineStr">
        <is>
          <t>SwimCloud</t>
        </is>
      </c>
      <c r="E1446" s="33" t="inlineStr">
        <is>
          <t>508643</t>
        </is>
      </c>
      <c r="F1446" s="33" t="inlineStr">
        <is>
          <t>41862336</t>
        </is>
      </c>
      <c r="G1446" s="51" t="n">
        <v>44338</v>
      </c>
      <c r="H1446" s="33" t="inlineStr">
        <is>
          <t>LEN European Aquatics Championships</t>
        </is>
      </c>
      <c r="I1446" s="33" t="inlineStr">
        <is>
          <t>198640</t>
        </is>
      </c>
      <c r="J1446" s="33" t="inlineStr"/>
      <c r="K1446" s="33" t="inlineStr">
        <is>
          <t>SEM</t>
        </is>
      </c>
      <c r="L1446" s="35">
        <f>IF(K1446="FIN",3,IF(OR(K1446="SEM",K1446="SEMI"),2,IF(OR(K1446="PRE",K1446="HEAT"),1,IF(V1446="YES",4,2))))</f>
        <v/>
      </c>
      <c r="M1446" s="33" t="inlineStr">
        <is>
          <t>LCM</t>
        </is>
      </c>
      <c r="N1446" s="33" t="n">
        <v>100</v>
      </c>
      <c r="O1446" s="33" t="inlineStr">
        <is>
          <t>Fly</t>
        </is>
      </c>
      <c r="P1446" s="33" t="inlineStr">
        <is>
          <t>100 Fly</t>
        </is>
      </c>
      <c r="Q1446" s="33" t="inlineStr">
        <is>
          <t>LCM_100_FLY</t>
        </is>
      </c>
      <c r="R1446" s="36" t="n">
        <v>50.62</v>
      </c>
      <c r="S1446" s="35">
        <f>IF(R1446="","",IF(R1446&gt;=60,INT(R1446/60)&amp;":"&amp;TEXT(MOD(R1446,60),"00.00"),TEXT(R1446,"0.00")))</f>
        <v/>
      </c>
      <c r="T1446" s="52">
        <f>IFERROR((G1446-INDEX('01_Swimmers'!$E$5:$E$22,MATCH(B1446,'01_Swimmers'!$A$5:$A$22,0)))/'00_Control'!$B$10,"")</f>
        <v/>
      </c>
      <c r="U1446" s="35">
        <f>IF(T1446="","",INT(T1446))</f>
        <v/>
      </c>
      <c r="V1446" s="33" t="inlineStr">
        <is>
          <t>NO</t>
        </is>
      </c>
      <c r="W1446" s="33" t="inlineStr">
        <is>
          <t>YES</t>
        </is>
      </c>
      <c r="X1446" s="33" t="inlineStr">
        <is>
          <t>NO</t>
        </is>
      </c>
      <c r="Y1446" s="33" t="n">
        <v>11</v>
      </c>
      <c r="Z1446" s="33" t="n">
        <v>4</v>
      </c>
      <c r="AA1446" s="33" t="inlineStr">
        <is>
          <t>1</t>
        </is>
      </c>
      <c r="AB1446" s="33" t="inlineStr">
        <is>
          <t>https://www.swimcloud.com/results/198640/event/237/?id=41862336#time41862336</t>
        </is>
      </c>
      <c r="AC1446" s="33" t="inlineStr">
        <is>
          <t>SwimCloud API v6 2026-10-08</t>
        </is>
      </c>
      <c r="AD1446" s="33" t="inlineStr">
        <is>
          <t>Kristof Milak|2021-05-22|LCM|100|Fly|50.62|LEN European Aquatics Championships|SEM|False</t>
        </is>
      </c>
      <c r="AE1446" s="53">
        <f>G1446+L1446/1000+ROW()/1000000000</f>
        <v/>
      </c>
      <c r="AF1446" s="35">
        <f>IF(C1446&lt;&gt;"Grayson Coulter","",COUNTIFS($C$5:$C$2991,"Grayson Coulter",$Q$5:$Q$2991,Q1446,$AE$5:$AE$2991,"&lt;="&amp;AE1446,$R$5:$R$2991,"&lt;"&amp;R1446))</f>
        <v/>
      </c>
      <c r="AG1446" s="35">
        <f>IF(OR(C1446&lt;&gt;"Grayson Coulter",G1446&lt;'00_Control'!$B$7),"",--(AF1446&lt;5))</f>
        <v/>
      </c>
      <c r="AH1446" s="35">
        <f>IF(OR(C1446&lt;&gt;"Grayson Coulter",G1446&lt;'00_Control'!$B$7),"",--(AF1446&lt;10))</f>
        <v/>
      </c>
      <c r="AI1446" s="35">
        <f>IF(AND(C1446="Grayson Coulter",G1446&gt;='00_Control'!$B$7),"YES","NO")</f>
        <v/>
      </c>
      <c r="AJ1446" s="33" t="inlineStr">
        <is>
          <t>OK</t>
        </is>
      </c>
    </row>
    <row r="1447">
      <c r="A1447" s="33" t="inlineStr">
        <is>
          <t>SM001443</t>
        </is>
      </c>
      <c r="B1447" s="33" t="inlineStr">
        <is>
          <t>SW018</t>
        </is>
      </c>
      <c r="C1447" s="33" t="inlineStr">
        <is>
          <t>Kristof Milak</t>
        </is>
      </c>
      <c r="D1447" s="33" t="inlineStr">
        <is>
          <t>SwimCloud</t>
        </is>
      </c>
      <c r="E1447" s="33" t="inlineStr">
        <is>
          <t>508643</t>
        </is>
      </c>
      <c r="F1447" s="33" t="inlineStr">
        <is>
          <t>41862337</t>
        </is>
      </c>
      <c r="G1447" s="51" t="n">
        <v>44339</v>
      </c>
      <c r="H1447" s="33" t="inlineStr">
        <is>
          <t>LEN European Aquatics Championships</t>
        </is>
      </c>
      <c r="I1447" s="33" t="inlineStr">
        <is>
          <t>198640</t>
        </is>
      </c>
      <c r="J1447" s="33" t="inlineStr"/>
      <c r="K1447" s="33" t="inlineStr">
        <is>
          <t>FIN</t>
        </is>
      </c>
      <c r="L1447" s="35">
        <f>IF(K1447="FIN",3,IF(OR(K1447="SEM",K1447="SEMI"),2,IF(OR(K1447="PRE",K1447="HEAT"),1,IF(V1447="YES",4,2))))</f>
        <v/>
      </c>
      <c r="M1447" s="33" t="inlineStr">
        <is>
          <t>LCM</t>
        </is>
      </c>
      <c r="N1447" s="33" t="n">
        <v>100</v>
      </c>
      <c r="O1447" s="33" t="inlineStr">
        <is>
          <t>Fly</t>
        </is>
      </c>
      <c r="P1447" s="33" t="inlineStr">
        <is>
          <t>100 Fly</t>
        </is>
      </c>
      <c r="Q1447" s="33" t="inlineStr">
        <is>
          <t>LCM_100_FLY</t>
        </is>
      </c>
      <c r="R1447" s="36" t="n">
        <v>50.18</v>
      </c>
      <c r="S1447" s="35">
        <f>IF(R1447="","",IF(R1447&gt;=60,INT(R1447/60)&amp;":"&amp;TEXT(MOD(R1447,60),"00.00"),TEXT(R1447,"0.00")))</f>
        <v/>
      </c>
      <c r="T1447" s="52">
        <f>IFERROR((G1447-INDEX('01_Swimmers'!$E$5:$E$22,MATCH(B1447,'01_Swimmers'!$A$5:$A$22,0)))/'00_Control'!$B$10,"")</f>
        <v/>
      </c>
      <c r="U1447" s="35">
        <f>IF(T1447="","",INT(T1447))</f>
        <v/>
      </c>
      <c r="V1447" s="33" t="inlineStr">
        <is>
          <t>NO</t>
        </is>
      </c>
      <c r="W1447" s="33" t="inlineStr">
        <is>
          <t>YES</t>
        </is>
      </c>
      <c r="X1447" s="33" t="inlineStr">
        <is>
          <t>NO</t>
        </is>
      </c>
      <c r="Y1447" s="33" t="n">
        <v>4</v>
      </c>
      <c r="Z1447" s="33" t="n">
        <v>4</v>
      </c>
      <c r="AA1447" s="33" t="inlineStr">
        <is>
          <t>1</t>
        </is>
      </c>
      <c r="AB1447" s="33" t="inlineStr">
        <is>
          <t>https://www.swimcloud.com/results/198640/event/137/?id=41862337#time41862337</t>
        </is>
      </c>
      <c r="AC1447" s="33" t="inlineStr">
        <is>
          <t>SwimCloud API v6 2026-10-08</t>
        </is>
      </c>
      <c r="AD1447" s="33" t="inlineStr">
        <is>
          <t>Kristof Milak|2021-05-23|LCM|100|Fly|50.18|LEN European Aquatics Championships|FIN|False</t>
        </is>
      </c>
      <c r="AE1447" s="53">
        <f>G1447+L1447/1000+ROW()/1000000000</f>
        <v/>
      </c>
      <c r="AF1447" s="35">
        <f>IF(C1447&lt;&gt;"Grayson Coulter","",COUNTIFS($C$5:$C$2991,"Grayson Coulter",$Q$5:$Q$2991,Q1447,$AE$5:$AE$2991,"&lt;="&amp;AE1447,$R$5:$R$2991,"&lt;"&amp;R1447))</f>
        <v/>
      </c>
      <c r="AG1447" s="35">
        <f>IF(OR(C1447&lt;&gt;"Grayson Coulter",G1447&lt;'00_Control'!$B$7),"",--(AF1447&lt;5))</f>
        <v/>
      </c>
      <c r="AH1447" s="35">
        <f>IF(OR(C1447&lt;&gt;"Grayson Coulter",G1447&lt;'00_Control'!$B$7),"",--(AF1447&lt;10))</f>
        <v/>
      </c>
      <c r="AI1447" s="35">
        <f>IF(AND(C1447="Grayson Coulter",G1447&gt;='00_Control'!$B$7),"YES","NO")</f>
        <v/>
      </c>
      <c r="AJ1447" s="33" t="inlineStr">
        <is>
          <t>OK</t>
        </is>
      </c>
    </row>
    <row r="1448">
      <c r="A1448" s="33" t="inlineStr">
        <is>
          <t>SM001444</t>
        </is>
      </c>
      <c r="B1448" s="33" t="inlineStr">
        <is>
          <t>SW018</t>
        </is>
      </c>
      <c r="C1448" s="33" t="inlineStr">
        <is>
          <t>Kristof Milak</t>
        </is>
      </c>
      <c r="D1448" s="33" t="inlineStr">
        <is>
          <t>SwimCloud</t>
        </is>
      </c>
      <c r="E1448" s="33" t="inlineStr">
        <is>
          <t>508643</t>
        </is>
      </c>
      <c r="F1448" s="33" t="inlineStr">
        <is>
          <t>90680353</t>
        </is>
      </c>
      <c r="G1448" s="51" t="n">
        <v>44352</v>
      </c>
      <c r="H1448" s="33" t="inlineStr">
        <is>
          <t>Mare Nostrum - Trofeu Internacional Ciutat de Barcelona</t>
        </is>
      </c>
      <c r="I1448" s="33" t="inlineStr">
        <is>
          <t>195522</t>
        </is>
      </c>
      <c r="J1448" s="33" t="inlineStr"/>
      <c r="K1448" s="33" t="inlineStr">
        <is>
          <t>PRE</t>
        </is>
      </c>
      <c r="L1448" s="35">
        <f>IF(K1448="FIN",3,IF(OR(K1448="SEM",K1448="SEMI"),2,IF(OR(K1448="PRE",K1448="HEAT"),1,IF(V1448="YES",4,2))))</f>
        <v/>
      </c>
      <c r="M1448" s="33" t="inlineStr">
        <is>
          <t>LCM</t>
        </is>
      </c>
      <c r="N1448" s="33" t="n">
        <v>100</v>
      </c>
      <c r="O1448" s="33" t="inlineStr">
        <is>
          <t>Fly</t>
        </is>
      </c>
      <c r="P1448" s="33" t="inlineStr">
        <is>
          <t>100 Fly</t>
        </is>
      </c>
      <c r="Q1448" s="33" t="inlineStr">
        <is>
          <t>LCM_100_FLY</t>
        </is>
      </c>
      <c r="R1448" s="36" t="n">
        <v>52.19</v>
      </c>
      <c r="S1448" s="35">
        <f>IF(R1448="","",IF(R1448&gt;=60,INT(R1448/60)&amp;":"&amp;TEXT(MOD(R1448,60),"00.00"),TEXT(R1448,"0.00")))</f>
        <v/>
      </c>
      <c r="T1448" s="52">
        <f>IFERROR((G1448-INDEX('01_Swimmers'!$E$5:$E$22,MATCH(B1448,'01_Swimmers'!$A$5:$A$22,0)))/'00_Control'!$B$10,"")</f>
        <v/>
      </c>
      <c r="U1448" s="35">
        <f>IF(T1448="","",INT(T1448))</f>
        <v/>
      </c>
      <c r="V1448" s="33" t="inlineStr">
        <is>
          <t>NO</t>
        </is>
      </c>
      <c r="W1448" s="33" t="inlineStr">
        <is>
          <t>YES</t>
        </is>
      </c>
      <c r="X1448" s="33" t="inlineStr">
        <is>
          <t>NO</t>
        </is>
      </c>
      <c r="Y1448" s="33" t="n">
        <v>5</v>
      </c>
      <c r="Z1448" s="33" t="n">
        <v>4</v>
      </c>
      <c r="AA1448" s="33" t="inlineStr">
        <is>
          <t>1</t>
        </is>
      </c>
      <c r="AB1448" s="33" t="inlineStr">
        <is>
          <t>https://www.swimcloud.com/results/195522/event/13/?id=90680353#time90680353</t>
        </is>
      </c>
      <c r="AC1448" s="33" t="inlineStr">
        <is>
          <t>SwimCloud API v6 2026-10-08</t>
        </is>
      </c>
      <c r="AD1448" s="33" t="inlineStr">
        <is>
          <t>Kristof Milak|2021-06-05|LCM|100|Fly|52.19|Mare Nostrum - Trofeu Internacional Ciutat de Barcelona|PRE|False</t>
        </is>
      </c>
      <c r="AE1448" s="53">
        <f>G1448+L1448/1000+ROW()/1000000000</f>
        <v/>
      </c>
      <c r="AF1448" s="35">
        <f>IF(C1448&lt;&gt;"Grayson Coulter","",COUNTIFS($C$5:$C$2991,"Grayson Coulter",$Q$5:$Q$2991,Q1448,$AE$5:$AE$2991,"&lt;="&amp;AE1448,$R$5:$R$2991,"&lt;"&amp;R1448))</f>
        <v/>
      </c>
      <c r="AG1448" s="35">
        <f>IF(OR(C1448&lt;&gt;"Grayson Coulter",G1448&lt;'00_Control'!$B$7),"",--(AF1448&lt;5))</f>
        <v/>
      </c>
      <c r="AH1448" s="35">
        <f>IF(OR(C1448&lt;&gt;"Grayson Coulter",G1448&lt;'00_Control'!$B$7),"",--(AF1448&lt;10))</f>
        <v/>
      </c>
      <c r="AI1448" s="35">
        <f>IF(AND(C1448="Grayson Coulter",G1448&gt;='00_Control'!$B$7),"YES","NO")</f>
        <v/>
      </c>
      <c r="AJ1448" s="33" t="inlineStr">
        <is>
          <t>OK</t>
        </is>
      </c>
    </row>
    <row r="1449">
      <c r="A1449" s="33" t="inlineStr">
        <is>
          <t>SM001445</t>
        </is>
      </c>
      <c r="B1449" s="33" t="inlineStr">
        <is>
          <t>SW018</t>
        </is>
      </c>
      <c r="C1449" s="33" t="inlineStr">
        <is>
          <t>Kristof Milak</t>
        </is>
      </c>
      <c r="D1449" s="33" t="inlineStr">
        <is>
          <t>SwimCloud</t>
        </is>
      </c>
      <c r="E1449" s="33" t="inlineStr">
        <is>
          <t>508643</t>
        </is>
      </c>
      <c r="F1449" s="33" t="inlineStr">
        <is>
          <t>90680355</t>
        </is>
      </c>
      <c r="G1449" s="51" t="n">
        <v>44352</v>
      </c>
      <c r="H1449" s="33" t="inlineStr">
        <is>
          <t>Mare Nostrum - Trofeu Internacional Ciutat de Barcelona</t>
        </is>
      </c>
      <c r="I1449" s="33" t="inlineStr">
        <is>
          <t>195522</t>
        </is>
      </c>
      <c r="J1449" s="33" t="inlineStr"/>
      <c r="K1449" s="33" t="inlineStr">
        <is>
          <t>FIN</t>
        </is>
      </c>
      <c r="L1449" s="35">
        <f>IF(K1449="FIN",3,IF(OR(K1449="SEM",K1449="SEMI"),2,IF(OR(K1449="PRE",K1449="HEAT"),1,IF(V1449="YES",4,2))))</f>
        <v/>
      </c>
      <c r="M1449" s="33" t="inlineStr">
        <is>
          <t>LCM</t>
        </is>
      </c>
      <c r="N1449" s="33" t="n">
        <v>100</v>
      </c>
      <c r="O1449" s="33" t="inlineStr">
        <is>
          <t>Fly</t>
        </is>
      </c>
      <c r="P1449" s="33" t="inlineStr">
        <is>
          <t>100 Fly</t>
        </is>
      </c>
      <c r="Q1449" s="33" t="inlineStr">
        <is>
          <t>LCM_100_FLY</t>
        </is>
      </c>
      <c r="R1449" s="36" t="n">
        <v>50.95</v>
      </c>
      <c r="S1449" s="35">
        <f>IF(R1449="","",IF(R1449&gt;=60,INT(R1449/60)&amp;":"&amp;TEXT(MOD(R1449,60),"00.00"),TEXT(R1449,"0.00")))</f>
        <v/>
      </c>
      <c r="T1449" s="52">
        <f>IFERROR((G1449-INDEX('01_Swimmers'!$E$5:$E$22,MATCH(B1449,'01_Swimmers'!$A$5:$A$22,0)))/'00_Control'!$B$10,"")</f>
        <v/>
      </c>
      <c r="U1449" s="35">
        <f>IF(T1449="","",INT(T1449))</f>
        <v/>
      </c>
      <c r="V1449" s="33" t="inlineStr">
        <is>
          <t>NO</t>
        </is>
      </c>
      <c r="W1449" s="33" t="inlineStr">
        <is>
          <t>YES</t>
        </is>
      </c>
      <c r="X1449" s="33" t="inlineStr">
        <is>
          <t>NO</t>
        </is>
      </c>
      <c r="Y1449" s="33" t="n">
        <v>2</v>
      </c>
      <c r="Z1449" s="33" t="n">
        <v>4</v>
      </c>
      <c r="AA1449" s="33" t="inlineStr">
        <is>
          <t>1</t>
        </is>
      </c>
      <c r="AB1449" s="33" t="inlineStr">
        <is>
          <t>https://www.swimcloud.com/results/195522/event/13/?id=90680355#time90680355</t>
        </is>
      </c>
      <c r="AC1449" s="33" t="inlineStr">
        <is>
          <t>SwimCloud API v6 2026-10-08</t>
        </is>
      </c>
      <c r="AD1449" s="33" t="inlineStr">
        <is>
          <t>Kristof Milak|2021-06-05|LCM|100|Fly|50.95|Mare Nostrum - Trofeu Internacional Ciutat de Barcelona|FIN|False</t>
        </is>
      </c>
      <c r="AE1449" s="53">
        <f>G1449+L1449/1000+ROW()/1000000000</f>
        <v/>
      </c>
      <c r="AF1449" s="35">
        <f>IF(C1449&lt;&gt;"Grayson Coulter","",COUNTIFS($C$5:$C$2991,"Grayson Coulter",$Q$5:$Q$2991,Q1449,$AE$5:$AE$2991,"&lt;="&amp;AE1449,$R$5:$R$2991,"&lt;"&amp;R1449))</f>
        <v/>
      </c>
      <c r="AG1449" s="35">
        <f>IF(OR(C1449&lt;&gt;"Grayson Coulter",G1449&lt;'00_Control'!$B$7),"",--(AF1449&lt;5))</f>
        <v/>
      </c>
      <c r="AH1449" s="35">
        <f>IF(OR(C1449&lt;&gt;"Grayson Coulter",G1449&lt;'00_Control'!$B$7),"",--(AF1449&lt;10))</f>
        <v/>
      </c>
      <c r="AI1449" s="35">
        <f>IF(AND(C1449="Grayson Coulter",G1449&gt;='00_Control'!$B$7),"YES","NO")</f>
        <v/>
      </c>
      <c r="AJ1449" s="33" t="inlineStr">
        <is>
          <t>OK</t>
        </is>
      </c>
    </row>
    <row r="1450">
      <c r="A1450" s="33" t="inlineStr">
        <is>
          <t>SM001446</t>
        </is>
      </c>
      <c r="B1450" s="33" t="inlineStr">
        <is>
          <t>SW018</t>
        </is>
      </c>
      <c r="C1450" s="33" t="inlineStr">
        <is>
          <t>Kristof Milak</t>
        </is>
      </c>
      <c r="D1450" s="33" t="inlineStr">
        <is>
          <t>SwimCloud</t>
        </is>
      </c>
      <c r="E1450" s="33" t="inlineStr">
        <is>
          <t>508643</t>
        </is>
      </c>
      <c r="F1450" s="33" t="inlineStr">
        <is>
          <t>90680354</t>
        </is>
      </c>
      <c r="G1450" s="51" t="n">
        <v>44353</v>
      </c>
      <c r="H1450" s="33" t="inlineStr">
        <is>
          <t>Mare Nostrum - Trofeu Internacional Ciutat de Barcelona</t>
        </is>
      </c>
      <c r="I1450" s="33" t="inlineStr">
        <is>
          <t>195522</t>
        </is>
      </c>
      <c r="J1450" s="33" t="inlineStr"/>
      <c r="K1450" s="33" t="inlineStr">
        <is>
          <t>PRE</t>
        </is>
      </c>
      <c r="L1450" s="35">
        <f>IF(K1450="FIN",3,IF(OR(K1450="SEM",K1450="SEMI"),2,IF(OR(K1450="PRE",K1450="HEAT"),1,IF(V1450="YES",4,2))))</f>
        <v/>
      </c>
      <c r="M1450" s="33" t="inlineStr">
        <is>
          <t>LCM</t>
        </is>
      </c>
      <c r="N1450" s="33" t="n">
        <v>100</v>
      </c>
      <c r="O1450" s="33" t="inlineStr">
        <is>
          <t>Free</t>
        </is>
      </c>
      <c r="P1450" s="33" t="inlineStr">
        <is>
          <t>100 Free</t>
        </is>
      </c>
      <c r="Q1450" s="33" t="inlineStr">
        <is>
          <t>LCM_100_FREE</t>
        </is>
      </c>
      <c r="R1450" s="36" t="n">
        <v>49.26</v>
      </c>
      <c r="S1450" s="35">
        <f>IF(R1450="","",IF(R1450&gt;=60,INT(R1450/60)&amp;":"&amp;TEXT(MOD(R1450,60),"00.00"),TEXT(R1450,"0.00")))</f>
        <v/>
      </c>
      <c r="T1450" s="52">
        <f>IFERROR((G1450-INDEX('01_Swimmers'!$E$5:$E$22,MATCH(B1450,'01_Swimmers'!$A$5:$A$22,0)))/'00_Control'!$B$10,"")</f>
        <v/>
      </c>
      <c r="U1450" s="35">
        <f>IF(T1450="","",INT(T1450))</f>
        <v/>
      </c>
      <c r="V1450" s="33" t="inlineStr">
        <is>
          <t>NO</t>
        </is>
      </c>
      <c r="W1450" s="33" t="inlineStr">
        <is>
          <t>YES</t>
        </is>
      </c>
      <c r="X1450" s="33" t="inlineStr">
        <is>
          <t>NO</t>
        </is>
      </c>
      <c r="Y1450" s="33" t="n">
        <v>6</v>
      </c>
      <c r="Z1450" s="33" t="n">
        <v>4</v>
      </c>
      <c r="AA1450" s="33" t="inlineStr">
        <is>
          <t>2</t>
        </is>
      </c>
      <c r="AB1450" s="33" t="inlineStr">
        <is>
          <t>https://www.swimcloud.com/results/195522/event/22/?id=90680354#time90680354</t>
        </is>
      </c>
      <c r="AC1450" s="33" t="inlineStr">
        <is>
          <t>SwimCloud API v6 2026-10-08</t>
        </is>
      </c>
      <c r="AD1450" s="33" t="inlineStr">
        <is>
          <t>Kristof Milak|2021-06-06|LCM|100|Free|49.26|Mare Nostrum - Trofeu Internacional Ciutat de Barcelona|PRE|False</t>
        </is>
      </c>
      <c r="AE1450" s="53">
        <f>G1450+L1450/1000+ROW()/1000000000</f>
        <v/>
      </c>
      <c r="AF1450" s="35">
        <f>IF(C1450&lt;&gt;"Grayson Coulter","",COUNTIFS($C$5:$C$2991,"Grayson Coulter",$Q$5:$Q$2991,Q1450,$AE$5:$AE$2991,"&lt;="&amp;AE1450,$R$5:$R$2991,"&lt;"&amp;R1450))</f>
        <v/>
      </c>
      <c r="AG1450" s="35">
        <f>IF(OR(C1450&lt;&gt;"Grayson Coulter",G1450&lt;'00_Control'!$B$7),"",--(AF1450&lt;5))</f>
        <v/>
      </c>
      <c r="AH1450" s="35">
        <f>IF(OR(C1450&lt;&gt;"Grayson Coulter",G1450&lt;'00_Control'!$B$7),"",--(AF1450&lt;10))</f>
        <v/>
      </c>
      <c r="AI1450" s="35">
        <f>IF(AND(C1450="Grayson Coulter",G1450&gt;='00_Control'!$B$7),"YES","NO")</f>
        <v/>
      </c>
      <c r="AJ1450" s="33" t="inlineStr">
        <is>
          <t>OK</t>
        </is>
      </c>
    </row>
    <row r="1451">
      <c r="A1451" s="33" t="inlineStr">
        <is>
          <t>SM001447</t>
        </is>
      </c>
      <c r="B1451" s="33" t="inlineStr">
        <is>
          <t>SW018</t>
        </is>
      </c>
      <c r="C1451" s="33" t="inlineStr">
        <is>
          <t>Kristof Milak</t>
        </is>
      </c>
      <c r="D1451" s="33" t="inlineStr">
        <is>
          <t>SwimCloud</t>
        </is>
      </c>
      <c r="E1451" s="33" t="inlineStr">
        <is>
          <t>508643</t>
        </is>
      </c>
      <c r="F1451" s="33" t="inlineStr">
        <is>
          <t>90680356</t>
        </is>
      </c>
      <c r="G1451" s="51" t="n">
        <v>44353</v>
      </c>
      <c r="H1451" s="33" t="inlineStr">
        <is>
          <t>Mare Nostrum - Trofeu Internacional Ciutat de Barcelona</t>
        </is>
      </c>
      <c r="I1451" s="33" t="inlineStr">
        <is>
          <t>195522</t>
        </is>
      </c>
      <c r="J1451" s="33" t="inlineStr"/>
      <c r="K1451" s="33" t="inlineStr">
        <is>
          <t>FIN</t>
        </is>
      </c>
      <c r="L1451" s="35">
        <f>IF(K1451="FIN",3,IF(OR(K1451="SEM",K1451="SEMI"),2,IF(OR(K1451="PRE",K1451="HEAT"),1,IF(V1451="YES",4,2))))</f>
        <v/>
      </c>
      <c r="M1451" s="33" t="inlineStr">
        <is>
          <t>LCM</t>
        </is>
      </c>
      <c r="N1451" s="33" t="n">
        <v>100</v>
      </c>
      <c r="O1451" s="33" t="inlineStr">
        <is>
          <t>Free</t>
        </is>
      </c>
      <c r="P1451" s="33" t="inlineStr">
        <is>
          <t>100 Free</t>
        </is>
      </c>
      <c r="Q1451" s="33" t="inlineStr">
        <is>
          <t>LCM_100_FREE</t>
        </is>
      </c>
      <c r="R1451" s="36" t="n">
        <v>48.86</v>
      </c>
      <c r="S1451" s="35">
        <f>IF(R1451="","",IF(R1451&gt;=60,INT(R1451/60)&amp;":"&amp;TEXT(MOD(R1451,60),"00.00"),TEXT(R1451,"0.00")))</f>
        <v/>
      </c>
      <c r="T1451" s="52">
        <f>IFERROR((G1451-INDEX('01_Swimmers'!$E$5:$E$22,MATCH(B1451,'01_Swimmers'!$A$5:$A$22,0)))/'00_Control'!$B$10,"")</f>
        <v/>
      </c>
      <c r="U1451" s="35">
        <f>IF(T1451="","",INT(T1451))</f>
        <v/>
      </c>
      <c r="V1451" s="33" t="inlineStr">
        <is>
          <t>NO</t>
        </is>
      </c>
      <c r="W1451" s="33" t="inlineStr">
        <is>
          <t>YES</t>
        </is>
      </c>
      <c r="X1451" s="33" t="inlineStr">
        <is>
          <t>NO</t>
        </is>
      </c>
      <c r="Y1451" s="33" t="n">
        <v>2</v>
      </c>
      <c r="Z1451" s="33" t="n">
        <v>5</v>
      </c>
      <c r="AA1451" s="33" t="inlineStr">
        <is>
          <t>1</t>
        </is>
      </c>
      <c r="AB1451" s="33" t="inlineStr">
        <is>
          <t>https://www.swimcloud.com/results/195522/event/22/?id=90680356#time90680356</t>
        </is>
      </c>
      <c r="AC1451" s="33" t="inlineStr">
        <is>
          <t>SwimCloud API v6 2026-10-08</t>
        </is>
      </c>
      <c r="AD1451" s="33" t="inlineStr">
        <is>
          <t>Kristof Milak|2021-06-06|LCM|100|Free|48.86|Mare Nostrum - Trofeu Internacional Ciutat de Barcelona|FIN|False</t>
        </is>
      </c>
      <c r="AE1451" s="53">
        <f>G1451+L1451/1000+ROW()/1000000000</f>
        <v/>
      </c>
      <c r="AF1451" s="35">
        <f>IF(C1451&lt;&gt;"Grayson Coulter","",COUNTIFS($C$5:$C$2991,"Grayson Coulter",$Q$5:$Q$2991,Q1451,$AE$5:$AE$2991,"&lt;="&amp;AE1451,$R$5:$R$2991,"&lt;"&amp;R1451))</f>
        <v/>
      </c>
      <c r="AG1451" s="35">
        <f>IF(OR(C1451&lt;&gt;"Grayson Coulter",G1451&lt;'00_Control'!$B$7),"",--(AF1451&lt;5))</f>
        <v/>
      </c>
      <c r="AH1451" s="35">
        <f>IF(OR(C1451&lt;&gt;"Grayson Coulter",G1451&lt;'00_Control'!$B$7),"",--(AF1451&lt;10))</f>
        <v/>
      </c>
      <c r="AI1451" s="35">
        <f>IF(AND(C1451="Grayson Coulter",G1451&gt;='00_Control'!$B$7),"YES","NO")</f>
        <v/>
      </c>
      <c r="AJ1451" s="33" t="inlineStr">
        <is>
          <t>OK</t>
        </is>
      </c>
    </row>
    <row r="1452">
      <c r="A1452" s="33" t="inlineStr">
        <is>
          <t>SM001448</t>
        </is>
      </c>
      <c r="B1452" s="33" t="inlineStr">
        <is>
          <t>SW018</t>
        </is>
      </c>
      <c r="C1452" s="33" t="inlineStr">
        <is>
          <t>Kristof Milak</t>
        </is>
      </c>
      <c r="D1452" s="33" t="inlineStr">
        <is>
          <t>SwimCloud</t>
        </is>
      </c>
      <c r="E1452" s="33" t="inlineStr">
        <is>
          <t>508643</t>
        </is>
      </c>
      <c r="F1452" s="33" t="inlineStr">
        <is>
          <t>49593245</t>
        </is>
      </c>
      <c r="G1452" s="51" t="n">
        <v>44372</v>
      </c>
      <c r="H1452" s="33" t="inlineStr">
        <is>
          <t>Internazionali di Nuoto - 58 Settecolli</t>
        </is>
      </c>
      <c r="I1452" s="33" t="inlineStr">
        <is>
          <t>213060</t>
        </is>
      </c>
      <c r="J1452" s="33" t="inlineStr"/>
      <c r="K1452" s="33" t="inlineStr">
        <is>
          <t>TIM</t>
        </is>
      </c>
      <c r="L1452" s="35">
        <f>IF(K1452="FIN",3,IF(OR(K1452="SEM",K1452="SEMI"),2,IF(OR(K1452="PRE",K1452="HEAT"),1,IF(V1452="YES",4,2))))</f>
        <v/>
      </c>
      <c r="M1452" s="33" t="inlineStr">
        <is>
          <t>LCM</t>
        </is>
      </c>
      <c r="N1452" s="33" t="n">
        <v>100</v>
      </c>
      <c r="O1452" s="33" t="inlineStr">
        <is>
          <t>Fly</t>
        </is>
      </c>
      <c r="P1452" s="33" t="inlineStr">
        <is>
          <t>100 Fly</t>
        </is>
      </c>
      <c r="Q1452" s="33" t="inlineStr">
        <is>
          <t>LCM_100_FLY</t>
        </is>
      </c>
      <c r="R1452" s="36" t="n">
        <v>50.89</v>
      </c>
      <c r="S1452" s="35">
        <f>IF(R1452="","",IF(R1452&gt;=60,INT(R1452/60)&amp;":"&amp;TEXT(MOD(R1452,60),"00.00"),TEXT(R1452,"0.00")))</f>
        <v/>
      </c>
      <c r="T1452" s="52">
        <f>IFERROR((G1452-INDEX('01_Swimmers'!$E$5:$E$22,MATCH(B1452,'01_Swimmers'!$A$5:$A$22,0)))/'00_Control'!$B$10,"")</f>
        <v/>
      </c>
      <c r="U1452" s="35">
        <f>IF(T1452="","",INT(T1452))</f>
        <v/>
      </c>
      <c r="V1452" s="33" t="inlineStr">
        <is>
          <t>NO</t>
        </is>
      </c>
      <c r="W1452" s="33" t="inlineStr">
        <is>
          <t>YES</t>
        </is>
      </c>
      <c r="X1452" s="33" t="inlineStr">
        <is>
          <t>NO</t>
        </is>
      </c>
      <c r="Y1452" s="33" t="n">
        <v>37</v>
      </c>
      <c r="Z1452" s="33" t="n">
        <v>4</v>
      </c>
      <c r="AA1452" s="33" t="inlineStr">
        <is>
          <t>1</t>
        </is>
      </c>
      <c r="AB1452" s="33" t="inlineStr">
        <is>
          <t>https://www.swimcloud.com/results/213060/event/26/?id=49593245#time49593245</t>
        </is>
      </c>
      <c r="AC1452" s="33" t="inlineStr">
        <is>
          <t>SwimCloud API v6 2026-10-08</t>
        </is>
      </c>
      <c r="AD1452" s="33" t="inlineStr">
        <is>
          <t>Kristof Milak|2021-06-25|LCM|100|Fly|50.89|Internazionali di Nuoto - 58 Settecolli|TIM|False</t>
        </is>
      </c>
      <c r="AE1452" s="53">
        <f>G1452+L1452/1000+ROW()/1000000000</f>
        <v/>
      </c>
      <c r="AF1452" s="35">
        <f>IF(C1452&lt;&gt;"Grayson Coulter","",COUNTIFS($C$5:$C$2991,"Grayson Coulter",$Q$5:$Q$2991,Q1452,$AE$5:$AE$2991,"&lt;="&amp;AE1452,$R$5:$R$2991,"&lt;"&amp;R1452))</f>
        <v/>
      </c>
      <c r="AG1452" s="35">
        <f>IF(OR(C1452&lt;&gt;"Grayson Coulter",G1452&lt;'00_Control'!$B$7),"",--(AF1452&lt;5))</f>
        <v/>
      </c>
      <c r="AH1452" s="35">
        <f>IF(OR(C1452&lt;&gt;"Grayson Coulter",G1452&lt;'00_Control'!$B$7),"",--(AF1452&lt;10))</f>
        <v/>
      </c>
      <c r="AI1452" s="35">
        <f>IF(AND(C1452="Grayson Coulter",G1452&gt;='00_Control'!$B$7),"YES","NO")</f>
        <v/>
      </c>
      <c r="AJ1452" s="33" t="inlineStr">
        <is>
          <t>OK</t>
        </is>
      </c>
    </row>
    <row r="1453">
      <c r="A1453" s="33" t="inlineStr">
        <is>
          <t>SM001449</t>
        </is>
      </c>
      <c r="B1453" s="33" t="inlineStr">
        <is>
          <t>SW018</t>
        </is>
      </c>
      <c r="C1453" s="33" t="inlineStr">
        <is>
          <t>Kristof Milak</t>
        </is>
      </c>
      <c r="D1453" s="33" t="inlineStr">
        <is>
          <t>SwimCloud</t>
        </is>
      </c>
      <c r="E1453" s="33" t="inlineStr">
        <is>
          <t>508643</t>
        </is>
      </c>
      <c r="F1453" s="33" t="inlineStr">
        <is>
          <t>49593243</t>
        </is>
      </c>
      <c r="G1453" s="51" t="n">
        <v>44373</v>
      </c>
      <c r="H1453" s="33" t="inlineStr">
        <is>
          <t>Internazionali di Nuoto - 58 Settecolli</t>
        </is>
      </c>
      <c r="I1453" s="33" t="inlineStr">
        <is>
          <t>213060</t>
        </is>
      </c>
      <c r="J1453" s="33" t="inlineStr"/>
      <c r="K1453" s="33" t="inlineStr">
        <is>
          <t>TIM</t>
        </is>
      </c>
      <c r="L1453" s="35">
        <f>IF(K1453="FIN",3,IF(OR(K1453="SEM",K1453="SEMI"),2,IF(OR(K1453="PRE",K1453="HEAT"),1,IF(V1453="YES",4,2))))</f>
        <v/>
      </c>
      <c r="M1453" s="33" t="inlineStr">
        <is>
          <t>LCM</t>
        </is>
      </c>
      <c r="N1453" s="33" t="n">
        <v>100</v>
      </c>
      <c r="O1453" s="33" t="inlineStr">
        <is>
          <t>Free</t>
        </is>
      </c>
      <c r="P1453" s="33" t="inlineStr">
        <is>
          <t>100 Free</t>
        </is>
      </c>
      <c r="Q1453" s="33" t="inlineStr">
        <is>
          <t>LCM_100_FREE</t>
        </is>
      </c>
      <c r="R1453" s="36" t="n">
        <v>48.66</v>
      </c>
      <c r="S1453" s="35">
        <f>IF(R1453="","",IF(R1453&gt;=60,INT(R1453/60)&amp;":"&amp;TEXT(MOD(R1453,60),"00.00"),TEXT(R1453,"0.00")))</f>
        <v/>
      </c>
      <c r="T1453" s="52">
        <f>IFERROR((G1453-INDEX('01_Swimmers'!$E$5:$E$22,MATCH(B1453,'01_Swimmers'!$A$5:$A$22,0)))/'00_Control'!$B$10,"")</f>
        <v/>
      </c>
      <c r="U1453" s="35">
        <f>IF(T1453="","",INT(T1453))</f>
        <v/>
      </c>
      <c r="V1453" s="33" t="inlineStr">
        <is>
          <t>NO</t>
        </is>
      </c>
      <c r="W1453" s="33" t="inlineStr">
        <is>
          <t>YES</t>
        </is>
      </c>
      <c r="X1453" s="33" t="inlineStr">
        <is>
          <t>NO</t>
        </is>
      </c>
      <c r="Y1453" s="33" t="n">
        <v>36</v>
      </c>
      <c r="Z1453" s="33" t="n">
        <v>3</v>
      </c>
      <c r="AA1453" s="33" t="inlineStr">
        <is>
          <t>6</t>
        </is>
      </c>
      <c r="AB1453" s="33" t="inlineStr">
        <is>
          <t>https://www.swimcloud.com/results/213060/event/59/?id=49593243#time49593243</t>
        </is>
      </c>
      <c r="AC1453" s="33" t="inlineStr">
        <is>
          <t>SwimCloud API v6 2026-10-08</t>
        </is>
      </c>
      <c r="AD1453" s="33" t="inlineStr">
        <is>
          <t>Kristof Milak|2021-06-26|LCM|100|Free|48.66|Internazionali di Nuoto - 58 Settecolli|TIM|False</t>
        </is>
      </c>
      <c r="AE1453" s="53">
        <f>G1453+L1453/1000+ROW()/1000000000</f>
        <v/>
      </c>
      <c r="AF1453" s="35">
        <f>IF(C1453&lt;&gt;"Grayson Coulter","",COUNTIFS($C$5:$C$2991,"Grayson Coulter",$Q$5:$Q$2991,Q1453,$AE$5:$AE$2991,"&lt;="&amp;AE1453,$R$5:$R$2991,"&lt;"&amp;R1453))</f>
        <v/>
      </c>
      <c r="AG1453" s="35">
        <f>IF(OR(C1453&lt;&gt;"Grayson Coulter",G1453&lt;'00_Control'!$B$7),"",--(AF1453&lt;5))</f>
        <v/>
      </c>
      <c r="AH1453" s="35">
        <f>IF(OR(C1453&lt;&gt;"Grayson Coulter",G1453&lt;'00_Control'!$B$7),"",--(AF1453&lt;10))</f>
        <v/>
      </c>
      <c r="AI1453" s="35">
        <f>IF(AND(C1453="Grayson Coulter",G1453&gt;='00_Control'!$B$7),"YES","NO")</f>
        <v/>
      </c>
      <c r="AJ1453" s="33" t="inlineStr">
        <is>
          <t>OK</t>
        </is>
      </c>
    </row>
    <row r="1454">
      <c r="A1454" s="33" t="inlineStr">
        <is>
          <t>SM001450</t>
        </is>
      </c>
      <c r="B1454" s="33" t="inlineStr">
        <is>
          <t>SW018</t>
        </is>
      </c>
      <c r="C1454" s="33" t="inlineStr">
        <is>
          <t>Kristof Milak</t>
        </is>
      </c>
      <c r="D1454" s="33" t="inlineStr">
        <is>
          <t>SwimCloud</t>
        </is>
      </c>
      <c r="E1454" s="33" t="inlineStr">
        <is>
          <t>508643</t>
        </is>
      </c>
      <c r="F1454" s="33" t="inlineStr">
        <is>
          <t>49593244</t>
        </is>
      </c>
      <c r="G1454" s="51" t="n">
        <v>44374</v>
      </c>
      <c r="H1454" s="33" t="inlineStr">
        <is>
          <t>Internazionali di Nuoto - 58 Settecolli</t>
        </is>
      </c>
      <c r="I1454" s="33" t="inlineStr">
        <is>
          <t>213060</t>
        </is>
      </c>
      <c r="J1454" s="33" t="inlineStr"/>
      <c r="K1454" s="33" t="inlineStr">
        <is>
          <t>TIM</t>
        </is>
      </c>
      <c r="L1454" s="35">
        <f>IF(K1454="FIN",3,IF(OR(K1454="SEM",K1454="SEMI"),2,IF(OR(K1454="PRE",K1454="HEAT"),1,IF(V1454="YES",4,2))))</f>
        <v/>
      </c>
      <c r="M1454" s="33" t="inlineStr">
        <is>
          <t>LCM</t>
        </is>
      </c>
      <c r="N1454" s="33" t="n">
        <v>200</v>
      </c>
      <c r="O1454" s="33" t="inlineStr">
        <is>
          <t>Free</t>
        </is>
      </c>
      <c r="P1454" s="33" t="inlineStr">
        <is>
          <t>200 Free</t>
        </is>
      </c>
      <c r="Q1454" s="33" t="inlineStr">
        <is>
          <t>LCM_200_FREE</t>
        </is>
      </c>
      <c r="R1454" s="36" t="n">
        <v>106.39</v>
      </c>
      <c r="S1454" s="35">
        <f>IF(R1454="","",IF(R1454&gt;=60,INT(R1454/60)&amp;":"&amp;TEXT(MOD(R1454,60),"00.00"),TEXT(R1454,"0.00")))</f>
        <v/>
      </c>
      <c r="T1454" s="52">
        <f>IFERROR((G1454-INDEX('01_Swimmers'!$E$5:$E$22,MATCH(B1454,'01_Swimmers'!$A$5:$A$22,0)))/'00_Control'!$B$10,"")</f>
        <v/>
      </c>
      <c r="U1454" s="35">
        <f>IF(T1454="","",INT(T1454))</f>
        <v/>
      </c>
      <c r="V1454" s="33" t="inlineStr">
        <is>
          <t>NO</t>
        </is>
      </c>
      <c r="W1454" s="33" t="inlineStr">
        <is>
          <t>YES</t>
        </is>
      </c>
      <c r="X1454" s="33" t="inlineStr">
        <is>
          <t>NO</t>
        </is>
      </c>
      <c r="Y1454" s="33" t="n">
        <v>37</v>
      </c>
      <c r="Z1454" s="33" t="n">
        <v>4</v>
      </c>
      <c r="AA1454" s="33" t="inlineStr">
        <is>
          <t>1</t>
        </is>
      </c>
      <c r="AB1454" s="33" t="inlineStr">
        <is>
          <t>https://www.swimcloud.com/results/213060/event/94/?id=49593244#time49593244</t>
        </is>
      </c>
      <c r="AC1454" s="33" t="inlineStr">
        <is>
          <t>SwimCloud API v6 2026-10-08</t>
        </is>
      </c>
      <c r="AD1454" s="33" t="inlineStr">
        <is>
          <t>Kristof Milak|2021-06-27|LCM|200|Free|106.39|Internazionali di Nuoto - 58 Settecolli|TIM|False</t>
        </is>
      </c>
      <c r="AE1454" s="53">
        <f>G1454+L1454/1000+ROW()/1000000000</f>
        <v/>
      </c>
      <c r="AF1454" s="35">
        <f>IF(C1454&lt;&gt;"Grayson Coulter","",COUNTIFS($C$5:$C$2991,"Grayson Coulter",$Q$5:$Q$2991,Q1454,$AE$5:$AE$2991,"&lt;="&amp;AE1454,$R$5:$R$2991,"&lt;"&amp;R1454))</f>
        <v/>
      </c>
      <c r="AG1454" s="35">
        <f>IF(OR(C1454&lt;&gt;"Grayson Coulter",G1454&lt;'00_Control'!$B$7),"",--(AF1454&lt;5))</f>
        <v/>
      </c>
      <c r="AH1454" s="35">
        <f>IF(OR(C1454&lt;&gt;"Grayson Coulter",G1454&lt;'00_Control'!$B$7),"",--(AF1454&lt;10))</f>
        <v/>
      </c>
      <c r="AI1454" s="35">
        <f>IF(AND(C1454="Grayson Coulter",G1454&gt;='00_Control'!$B$7),"YES","NO")</f>
        <v/>
      </c>
      <c r="AJ1454" s="33" t="inlineStr">
        <is>
          <t>OK</t>
        </is>
      </c>
    </row>
    <row r="1455">
      <c r="A1455" s="33" t="inlineStr">
        <is>
          <t>SM001451</t>
        </is>
      </c>
      <c r="B1455" s="33" t="inlineStr">
        <is>
          <t>SW018</t>
        </is>
      </c>
      <c r="C1455" s="33" t="inlineStr">
        <is>
          <t>Kristof Milak</t>
        </is>
      </c>
      <c r="D1455" s="33" t="inlineStr">
        <is>
          <t>SwimCloud</t>
        </is>
      </c>
      <c r="E1455" s="33" t="inlineStr">
        <is>
          <t>508643</t>
        </is>
      </c>
      <c r="F1455" s="33" t="inlineStr">
        <is>
          <t>43579866</t>
        </is>
      </c>
      <c r="G1455" s="51" t="n">
        <v>44401</v>
      </c>
      <c r="H1455" s="33" t="inlineStr">
        <is>
          <t>Olympic Games</t>
        </is>
      </c>
      <c r="I1455" s="33" t="inlineStr">
        <is>
          <t>130521</t>
        </is>
      </c>
      <c r="J1455" s="33" t="inlineStr"/>
      <c r="K1455" s="33" t="inlineStr">
        <is>
          <t>PRE</t>
        </is>
      </c>
      <c r="L1455" s="35">
        <f>IF(K1455="FIN",3,IF(OR(K1455="SEM",K1455="SEMI"),2,IF(OR(K1455="PRE",K1455="HEAT"),1,IF(V1455="YES",4,2))))</f>
        <v/>
      </c>
      <c r="M1455" s="33" t="inlineStr">
        <is>
          <t>LCM</t>
        </is>
      </c>
      <c r="N1455" s="33" t="n">
        <v>100</v>
      </c>
      <c r="O1455" s="33" t="inlineStr">
        <is>
          <t>Fly</t>
        </is>
      </c>
      <c r="P1455" s="33" t="inlineStr">
        <is>
          <t>100 Fly</t>
        </is>
      </c>
      <c r="Q1455" s="33" t="inlineStr">
        <is>
          <t>LCM_100_FLY</t>
        </is>
      </c>
      <c r="R1455" s="36" t="n">
        <v>50.62</v>
      </c>
      <c r="S1455" s="35">
        <f>IF(R1455="","",IF(R1455&gt;=60,INT(R1455/60)&amp;":"&amp;TEXT(MOD(R1455,60),"00.00"),TEXT(R1455,"0.00")))</f>
        <v/>
      </c>
      <c r="T1455" s="52">
        <f>IFERROR((G1455-INDEX('01_Swimmers'!$E$5:$E$22,MATCH(B1455,'01_Swimmers'!$A$5:$A$22,0)))/'00_Control'!$B$10,"")</f>
        <v/>
      </c>
      <c r="U1455" s="35">
        <f>IF(T1455="","",INT(T1455))</f>
        <v/>
      </c>
      <c r="V1455" s="33" t="inlineStr">
        <is>
          <t>NO</t>
        </is>
      </c>
      <c r="W1455" s="33" t="inlineStr">
        <is>
          <t>YES</t>
        </is>
      </c>
      <c r="X1455" s="33" t="inlineStr">
        <is>
          <t>NO</t>
        </is>
      </c>
      <c r="Y1455" s="33" t="n"/>
      <c r="Z1455" s="33" t="n"/>
      <c r="AA1455" s="33" t="inlineStr">
        <is>
          <t>2</t>
        </is>
      </c>
      <c r="AB1455" s="33" t="inlineStr">
        <is>
          <t>https://www.swimcloud.com/results/130521/event/53/?id=43579866#time43579866</t>
        </is>
      </c>
      <c r="AC1455" s="33" t="inlineStr">
        <is>
          <t>SwimCloud API v6 2026-10-08</t>
        </is>
      </c>
      <c r="AD1455" s="33" t="inlineStr">
        <is>
          <t>Kristof Milak|2021-07-24|LCM|100|Fly|50.62|Olympic Games|PRE|False</t>
        </is>
      </c>
      <c r="AE1455" s="53">
        <f>G1455+L1455/1000+ROW()/1000000000</f>
        <v/>
      </c>
      <c r="AF1455" s="35">
        <f>IF(C1455&lt;&gt;"Grayson Coulter","",COUNTIFS($C$5:$C$2991,"Grayson Coulter",$Q$5:$Q$2991,Q1455,$AE$5:$AE$2991,"&lt;="&amp;AE1455,$R$5:$R$2991,"&lt;"&amp;R1455))</f>
        <v/>
      </c>
      <c r="AG1455" s="35">
        <f>IF(OR(C1455&lt;&gt;"Grayson Coulter",G1455&lt;'00_Control'!$B$7),"",--(AF1455&lt;5))</f>
        <v/>
      </c>
      <c r="AH1455" s="35">
        <f>IF(OR(C1455&lt;&gt;"Grayson Coulter",G1455&lt;'00_Control'!$B$7),"",--(AF1455&lt;10))</f>
        <v/>
      </c>
      <c r="AI1455" s="35">
        <f>IF(AND(C1455="Grayson Coulter",G1455&gt;='00_Control'!$B$7),"YES","NO")</f>
        <v/>
      </c>
      <c r="AJ1455" s="33" t="inlineStr">
        <is>
          <t>OK</t>
        </is>
      </c>
    </row>
    <row r="1456">
      <c r="A1456" s="33" t="inlineStr">
        <is>
          <t>SM001452</t>
        </is>
      </c>
      <c r="B1456" s="33" t="inlineStr">
        <is>
          <t>SW018</t>
        </is>
      </c>
      <c r="C1456" s="33" t="inlineStr">
        <is>
          <t>Kristof Milak</t>
        </is>
      </c>
      <c r="D1456" s="33" t="inlineStr">
        <is>
          <t>SwimCloud</t>
        </is>
      </c>
      <c r="E1456" s="33" t="inlineStr">
        <is>
          <t>508643</t>
        </is>
      </c>
      <c r="F1456" s="33" t="inlineStr">
        <is>
          <t>43582110</t>
        </is>
      </c>
      <c r="G1456" s="51" t="n">
        <v>44401</v>
      </c>
      <c r="H1456" s="33" t="inlineStr">
        <is>
          <t>Olympic Games</t>
        </is>
      </c>
      <c r="I1456" s="33" t="inlineStr">
        <is>
          <t>130521</t>
        </is>
      </c>
      <c r="J1456" s="33" t="inlineStr"/>
      <c r="K1456" s="33" t="inlineStr">
        <is>
          <t>SEM</t>
        </is>
      </c>
      <c r="L1456" s="35">
        <f>IF(K1456="FIN",3,IF(OR(K1456="SEM",K1456="SEMI"),2,IF(OR(K1456="PRE",K1456="HEAT"),1,IF(V1456="YES",4,2))))</f>
        <v/>
      </c>
      <c r="M1456" s="33" t="inlineStr">
        <is>
          <t>LCM</t>
        </is>
      </c>
      <c r="N1456" s="33" t="n">
        <v>100</v>
      </c>
      <c r="O1456" s="33" t="inlineStr">
        <is>
          <t>Fly</t>
        </is>
      </c>
      <c r="P1456" s="33" t="inlineStr">
        <is>
          <t>100 Fly</t>
        </is>
      </c>
      <c r="Q1456" s="33" t="inlineStr">
        <is>
          <t>LCM_100_FLY</t>
        </is>
      </c>
      <c r="R1456" s="36" t="n">
        <v>50.31</v>
      </c>
      <c r="S1456" s="35">
        <f>IF(R1456="","",IF(R1456&gt;=60,INT(R1456/60)&amp;":"&amp;TEXT(MOD(R1456,60),"00.00"),TEXT(R1456,"0.00")))</f>
        <v/>
      </c>
      <c r="T1456" s="52">
        <f>IFERROR((G1456-INDEX('01_Swimmers'!$E$5:$E$22,MATCH(B1456,'01_Swimmers'!$A$5:$A$22,0)))/'00_Control'!$B$10,"")</f>
        <v/>
      </c>
      <c r="U1456" s="35">
        <f>IF(T1456="","",INT(T1456))</f>
        <v/>
      </c>
      <c r="V1456" s="33" t="inlineStr">
        <is>
          <t>NO</t>
        </is>
      </c>
      <c r="W1456" s="33" t="inlineStr">
        <is>
          <t>YES</t>
        </is>
      </c>
      <c r="X1456" s="33" t="inlineStr">
        <is>
          <t>NO</t>
        </is>
      </c>
      <c r="Y1456" s="33" t="n">
        <v>2</v>
      </c>
      <c r="Z1456" s="33" t="n">
        <v>5</v>
      </c>
      <c r="AA1456" s="33" t="inlineStr">
        <is>
          <t>2</t>
        </is>
      </c>
      <c r="AB1456" s="33" t="inlineStr">
        <is>
          <t>https://www.swimcloud.com/results/130521/event/53/?id=43582110#time43582110</t>
        </is>
      </c>
      <c r="AC1456" s="33" t="inlineStr">
        <is>
          <t>SwimCloud API v6 2026-10-08</t>
        </is>
      </c>
      <c r="AD1456" s="33" t="inlineStr">
        <is>
          <t>Kristof Milak|2021-07-24|LCM|100|Fly|50.31|Olympic Games|SEM|False</t>
        </is>
      </c>
      <c r="AE1456" s="53">
        <f>G1456+L1456/1000+ROW()/1000000000</f>
        <v/>
      </c>
      <c r="AF1456" s="35">
        <f>IF(C1456&lt;&gt;"Grayson Coulter","",COUNTIFS($C$5:$C$2991,"Grayson Coulter",$Q$5:$Q$2991,Q1456,$AE$5:$AE$2991,"&lt;="&amp;AE1456,$R$5:$R$2991,"&lt;"&amp;R1456))</f>
        <v/>
      </c>
      <c r="AG1456" s="35">
        <f>IF(OR(C1456&lt;&gt;"Grayson Coulter",G1456&lt;'00_Control'!$B$7),"",--(AF1456&lt;5))</f>
        <v/>
      </c>
      <c r="AH1456" s="35">
        <f>IF(OR(C1456&lt;&gt;"Grayson Coulter",G1456&lt;'00_Control'!$B$7),"",--(AF1456&lt;10))</f>
        <v/>
      </c>
      <c r="AI1456" s="35">
        <f>IF(AND(C1456="Grayson Coulter",G1456&gt;='00_Control'!$B$7),"YES","NO")</f>
        <v/>
      </c>
      <c r="AJ1456" s="33" t="inlineStr">
        <is>
          <t>OK</t>
        </is>
      </c>
    </row>
    <row r="1457">
      <c r="A1457" s="33" t="inlineStr">
        <is>
          <t>SM001453</t>
        </is>
      </c>
      <c r="B1457" s="33" t="inlineStr">
        <is>
          <t>SW018</t>
        </is>
      </c>
      <c r="C1457" s="33" t="inlineStr">
        <is>
          <t>Kristof Milak</t>
        </is>
      </c>
      <c r="D1457" s="33" t="inlineStr">
        <is>
          <t>SwimCloud</t>
        </is>
      </c>
      <c r="E1457" s="33" t="inlineStr">
        <is>
          <t>508643</t>
        </is>
      </c>
      <c r="F1457" s="33" t="inlineStr">
        <is>
          <t>43582124</t>
        </is>
      </c>
      <c r="G1457" s="51" t="n">
        <v>44401</v>
      </c>
      <c r="H1457" s="33" t="inlineStr">
        <is>
          <t>Olympic Games</t>
        </is>
      </c>
      <c r="I1457" s="33" t="inlineStr">
        <is>
          <t>130521</t>
        </is>
      </c>
      <c r="J1457" s="33" t="inlineStr"/>
      <c r="K1457" s="33" t="inlineStr">
        <is>
          <t>FIN</t>
        </is>
      </c>
      <c r="L1457" s="35">
        <f>IF(K1457="FIN",3,IF(OR(K1457="SEM",K1457="SEMI"),2,IF(OR(K1457="PRE",K1457="HEAT"),1,IF(V1457="YES",4,2))))</f>
        <v/>
      </c>
      <c r="M1457" s="33" t="inlineStr">
        <is>
          <t>LCM</t>
        </is>
      </c>
      <c r="N1457" s="33" t="n">
        <v>100</v>
      </c>
      <c r="O1457" s="33" t="inlineStr">
        <is>
          <t>Fly</t>
        </is>
      </c>
      <c r="P1457" s="33" t="inlineStr">
        <is>
          <t>100 Fly</t>
        </is>
      </c>
      <c r="Q1457" s="33" t="inlineStr">
        <is>
          <t>LCM_100_FLY</t>
        </is>
      </c>
      <c r="R1457" s="36" t="n">
        <v>49.68</v>
      </c>
      <c r="S1457" s="35">
        <f>IF(R1457="","",IF(R1457&gt;=60,INT(R1457/60)&amp;":"&amp;TEXT(MOD(R1457,60),"00.00"),TEXT(R1457,"0.00")))</f>
        <v/>
      </c>
      <c r="T1457" s="52">
        <f>IFERROR((G1457-INDEX('01_Swimmers'!$E$5:$E$22,MATCH(B1457,'01_Swimmers'!$A$5:$A$22,0)))/'00_Control'!$B$10,"")</f>
        <v/>
      </c>
      <c r="U1457" s="35">
        <f>IF(T1457="","",INT(T1457))</f>
        <v/>
      </c>
      <c r="V1457" s="33" t="inlineStr">
        <is>
          <t>NO</t>
        </is>
      </c>
      <c r="W1457" s="33" t="inlineStr">
        <is>
          <t>YES</t>
        </is>
      </c>
      <c r="X1457" s="33" t="inlineStr">
        <is>
          <t>NO</t>
        </is>
      </c>
      <c r="Y1457" s="33" t="n">
        <v>1</v>
      </c>
      <c r="Z1457" s="33" t="n">
        <v>5</v>
      </c>
      <c r="AA1457" s="33" t="inlineStr">
        <is>
          <t>2</t>
        </is>
      </c>
      <c r="AB1457" s="33" t="inlineStr">
        <is>
          <t>https://www.swimcloud.com/results/130521/event/53/?id=43582124#time43582124</t>
        </is>
      </c>
      <c r="AC1457" s="33" t="inlineStr">
        <is>
          <t>SwimCloud API v6 2026-10-08</t>
        </is>
      </c>
      <c r="AD1457" s="33" t="inlineStr">
        <is>
          <t>Kristof Milak|2021-07-24|LCM|100|Fly|49.68|Olympic Games|FIN|False</t>
        </is>
      </c>
      <c r="AE1457" s="53">
        <f>G1457+L1457/1000+ROW()/1000000000</f>
        <v/>
      </c>
      <c r="AF1457" s="35">
        <f>IF(C1457&lt;&gt;"Grayson Coulter","",COUNTIFS($C$5:$C$2991,"Grayson Coulter",$Q$5:$Q$2991,Q1457,$AE$5:$AE$2991,"&lt;="&amp;AE1457,$R$5:$R$2991,"&lt;"&amp;R1457))</f>
        <v/>
      </c>
      <c r="AG1457" s="35">
        <f>IF(OR(C1457&lt;&gt;"Grayson Coulter",G1457&lt;'00_Control'!$B$7),"",--(AF1457&lt;5))</f>
        <v/>
      </c>
      <c r="AH1457" s="35">
        <f>IF(OR(C1457&lt;&gt;"Grayson Coulter",G1457&lt;'00_Control'!$B$7),"",--(AF1457&lt;10))</f>
        <v/>
      </c>
      <c r="AI1457" s="35">
        <f>IF(AND(C1457="Grayson Coulter",G1457&gt;='00_Control'!$B$7),"YES","NO")</f>
        <v/>
      </c>
      <c r="AJ1457" s="33" t="inlineStr">
        <is>
          <t>OK</t>
        </is>
      </c>
    </row>
    <row r="1458">
      <c r="A1458" s="33" t="inlineStr">
        <is>
          <t>SM001454</t>
        </is>
      </c>
      <c r="B1458" s="33" t="inlineStr">
        <is>
          <t>SW018</t>
        </is>
      </c>
      <c r="C1458" s="33" t="inlineStr">
        <is>
          <t>Kristof Milak</t>
        </is>
      </c>
      <c r="D1458" s="33" t="inlineStr">
        <is>
          <t>SwimCloud</t>
        </is>
      </c>
      <c r="E1458" s="33" t="inlineStr">
        <is>
          <t>508643</t>
        </is>
      </c>
      <c r="F1458" s="33" t="inlineStr">
        <is>
          <t>43347550</t>
        </is>
      </c>
      <c r="G1458" s="51" t="n">
        <v>44401</v>
      </c>
      <c r="H1458" s="33" t="inlineStr">
        <is>
          <t>Olympic Games</t>
        </is>
      </c>
      <c r="I1458" s="33" t="inlineStr">
        <is>
          <t>130521</t>
        </is>
      </c>
      <c r="J1458" s="33" t="inlineStr"/>
      <c r="K1458" s="33" t="inlineStr">
        <is>
          <t>PRE</t>
        </is>
      </c>
      <c r="L1458" s="35">
        <f>IF(K1458="FIN",3,IF(OR(K1458="SEM",K1458="SEMI"),2,IF(OR(K1458="PRE",K1458="HEAT"),1,IF(V1458="YES",4,2))))</f>
        <v/>
      </c>
      <c r="M1458" s="33" t="inlineStr">
        <is>
          <t>LCM</t>
        </is>
      </c>
      <c r="N1458" s="33" t="n">
        <v>100</v>
      </c>
      <c r="O1458" s="33" t="inlineStr">
        <is>
          <t>Free</t>
        </is>
      </c>
      <c r="P1458" s="33" t="inlineStr">
        <is>
          <t>100 Free</t>
        </is>
      </c>
      <c r="Q1458" s="33" t="inlineStr">
        <is>
          <t>LCM_100_FREE</t>
        </is>
      </c>
      <c r="R1458" s="36" t="n">
        <v>48.56</v>
      </c>
      <c r="S1458" s="35">
        <f>IF(R1458="","",IF(R1458&gt;=60,INT(R1458/60)&amp;":"&amp;TEXT(MOD(R1458,60),"00.00"),TEXT(R1458,"0.00")))</f>
        <v/>
      </c>
      <c r="T1458" s="52">
        <f>IFERROR((G1458-INDEX('01_Swimmers'!$E$5:$E$22,MATCH(B1458,'01_Swimmers'!$A$5:$A$22,0)))/'00_Control'!$B$10,"")</f>
        <v/>
      </c>
      <c r="U1458" s="35">
        <f>IF(T1458="","",INT(T1458))</f>
        <v/>
      </c>
      <c r="V1458" s="33" t="inlineStr">
        <is>
          <t>YES</t>
        </is>
      </c>
      <c r="W1458" s="33" t="inlineStr">
        <is>
          <t>YES</t>
        </is>
      </c>
      <c r="X1458" s="33" t="inlineStr">
        <is>
          <t>NO</t>
        </is>
      </c>
      <c r="Y1458" s="33" t="n">
        <v>2</v>
      </c>
      <c r="Z1458" s="33" t="n">
        <v>6</v>
      </c>
      <c r="AA1458" s="33" t="inlineStr"/>
      <c r="AB1458" s="33" t="inlineStr">
        <is>
          <t>https://www.swimcloud.com/results/130521/event/86/?id=43347549#time43347549</t>
        </is>
      </c>
      <c r="AC1458" s="33" t="inlineStr">
        <is>
          <t>SwimCloud API v6 2026-10-08</t>
        </is>
      </c>
      <c r="AD1458" s="33" t="inlineStr">
        <is>
          <t>Kristof Milak|2021-07-24|LCM|100|Free|48.56|Olympic Games|PRE|True</t>
        </is>
      </c>
      <c r="AE1458" s="53">
        <f>G1458+L1458/1000+ROW()/1000000000</f>
        <v/>
      </c>
      <c r="AF1458" s="35">
        <f>IF(C1458&lt;&gt;"Grayson Coulter","",COUNTIFS($C$5:$C$2991,"Grayson Coulter",$Q$5:$Q$2991,Q1458,$AE$5:$AE$2991,"&lt;="&amp;AE1458,$R$5:$R$2991,"&lt;"&amp;R1458))</f>
        <v/>
      </c>
      <c r="AG1458" s="35">
        <f>IF(OR(C1458&lt;&gt;"Grayson Coulter",G1458&lt;'00_Control'!$B$7),"",--(AF1458&lt;5))</f>
        <v/>
      </c>
      <c r="AH1458" s="35">
        <f>IF(OR(C1458&lt;&gt;"Grayson Coulter",G1458&lt;'00_Control'!$B$7),"",--(AF1458&lt;10))</f>
        <v/>
      </c>
      <c r="AI1458" s="35">
        <f>IF(AND(C1458="Grayson Coulter",G1458&gt;='00_Control'!$B$7),"YES","NO")</f>
        <v/>
      </c>
      <c r="AJ1458" s="33" t="inlineStr">
        <is>
          <t>OK</t>
        </is>
      </c>
    </row>
    <row r="1459">
      <c r="A1459" s="33" t="inlineStr">
        <is>
          <t>SM001455</t>
        </is>
      </c>
      <c r="B1459" s="33" t="inlineStr">
        <is>
          <t>SW018</t>
        </is>
      </c>
      <c r="C1459" s="33" t="inlineStr">
        <is>
          <t>Kristof Milak</t>
        </is>
      </c>
      <c r="D1459" s="33" t="inlineStr">
        <is>
          <t>SwimCloud</t>
        </is>
      </c>
      <c r="E1459" s="33" t="inlineStr">
        <is>
          <t>508643</t>
        </is>
      </c>
      <c r="F1459" s="33" t="inlineStr">
        <is>
          <t>43347655</t>
        </is>
      </c>
      <c r="G1459" s="51" t="n">
        <v>44401</v>
      </c>
      <c r="H1459" s="33" t="inlineStr">
        <is>
          <t>Olympic Games</t>
        </is>
      </c>
      <c r="I1459" s="33" t="inlineStr">
        <is>
          <t>130521</t>
        </is>
      </c>
      <c r="J1459" s="33" t="inlineStr"/>
      <c r="K1459" s="33" t="inlineStr">
        <is>
          <t>FIN</t>
        </is>
      </c>
      <c r="L1459" s="35">
        <f>IF(K1459="FIN",3,IF(OR(K1459="SEM",K1459="SEMI"),2,IF(OR(K1459="PRE",K1459="HEAT"),1,IF(V1459="YES",4,2))))</f>
        <v/>
      </c>
      <c r="M1459" s="33" t="inlineStr">
        <is>
          <t>LCM</t>
        </is>
      </c>
      <c r="N1459" s="33" t="n">
        <v>100</v>
      </c>
      <c r="O1459" s="33" t="inlineStr">
        <is>
          <t>Free</t>
        </is>
      </c>
      <c r="P1459" s="33" t="inlineStr">
        <is>
          <t>100 Free</t>
        </is>
      </c>
      <c r="Q1459" s="33" t="inlineStr">
        <is>
          <t>LCM_100_FREE</t>
        </is>
      </c>
      <c r="R1459" s="36" t="n">
        <v>48.24</v>
      </c>
      <c r="S1459" s="35">
        <f>IF(R1459="","",IF(R1459&gt;=60,INT(R1459/60)&amp;":"&amp;TEXT(MOD(R1459,60),"00.00"),TEXT(R1459,"0.00")))</f>
        <v/>
      </c>
      <c r="T1459" s="52">
        <f>IFERROR((G1459-INDEX('01_Swimmers'!$E$5:$E$22,MATCH(B1459,'01_Swimmers'!$A$5:$A$22,0)))/'00_Control'!$B$10,"")</f>
        <v/>
      </c>
      <c r="U1459" s="35">
        <f>IF(T1459="","",INT(T1459))</f>
        <v/>
      </c>
      <c r="V1459" s="33" t="inlineStr">
        <is>
          <t>YES</t>
        </is>
      </c>
      <c r="W1459" s="33" t="inlineStr">
        <is>
          <t>YES</t>
        </is>
      </c>
      <c r="X1459" s="33" t="inlineStr">
        <is>
          <t>NO</t>
        </is>
      </c>
      <c r="Y1459" s="33" t="n">
        <v>1</v>
      </c>
      <c r="Z1459" s="33" t="n">
        <v>7</v>
      </c>
      <c r="AA1459" s="33" t="inlineStr"/>
      <c r="AB1459" s="33" t="inlineStr">
        <is>
          <t>https://www.swimcloud.com/results/130521/event/86/?id=43347587#time43347587</t>
        </is>
      </c>
      <c r="AC1459" s="33" t="inlineStr">
        <is>
          <t>SwimCloud API v6 2026-10-08</t>
        </is>
      </c>
      <c r="AD1459" s="33" t="inlineStr">
        <is>
          <t>Kristof Milak|2021-07-24|LCM|100|Free|48.24|Olympic Games|FIN|True</t>
        </is>
      </c>
      <c r="AE1459" s="53">
        <f>G1459+L1459/1000+ROW()/1000000000</f>
        <v/>
      </c>
      <c r="AF1459" s="35">
        <f>IF(C1459&lt;&gt;"Grayson Coulter","",COUNTIFS($C$5:$C$2991,"Grayson Coulter",$Q$5:$Q$2991,Q1459,$AE$5:$AE$2991,"&lt;="&amp;AE1459,$R$5:$R$2991,"&lt;"&amp;R1459))</f>
        <v/>
      </c>
      <c r="AG1459" s="35">
        <f>IF(OR(C1459&lt;&gt;"Grayson Coulter",G1459&lt;'00_Control'!$B$7),"",--(AF1459&lt;5))</f>
        <v/>
      </c>
      <c r="AH1459" s="35">
        <f>IF(OR(C1459&lt;&gt;"Grayson Coulter",G1459&lt;'00_Control'!$B$7),"",--(AF1459&lt;10))</f>
        <v/>
      </c>
      <c r="AI1459" s="35">
        <f>IF(AND(C1459="Grayson Coulter",G1459&gt;='00_Control'!$B$7),"YES","NO")</f>
        <v/>
      </c>
      <c r="AJ1459" s="33" t="inlineStr">
        <is>
          <t>OK</t>
        </is>
      </c>
    </row>
    <row r="1460">
      <c r="A1460" s="33" t="inlineStr">
        <is>
          <t>SM001456</t>
        </is>
      </c>
      <c r="B1460" s="33" t="inlineStr">
        <is>
          <t>SW018</t>
        </is>
      </c>
      <c r="C1460" s="33" t="inlineStr">
        <is>
          <t>Kristof Milak</t>
        </is>
      </c>
      <c r="D1460" s="33" t="inlineStr">
        <is>
          <t>SwimCloud</t>
        </is>
      </c>
      <c r="E1460" s="33" t="inlineStr">
        <is>
          <t>508643</t>
        </is>
      </c>
      <c r="F1460" s="33" t="inlineStr">
        <is>
          <t>44586381</t>
        </is>
      </c>
      <c r="G1460" s="51" t="n">
        <v>44476</v>
      </c>
      <c r="H1460" s="33" t="inlineStr">
        <is>
          <t>FINA Swimming World Cup - Budapest</t>
        </is>
      </c>
      <c r="I1460" s="33" t="inlineStr">
        <is>
          <t>205611</t>
        </is>
      </c>
      <c r="J1460" s="33" t="inlineStr"/>
      <c r="K1460" s="33" t="inlineStr">
        <is>
          <t>PRE</t>
        </is>
      </c>
      <c r="L1460" s="35">
        <f>IF(K1460="FIN",3,IF(OR(K1460="SEM",K1460="SEMI"),2,IF(OR(K1460="PRE",K1460="HEAT"),1,IF(V1460="YES",4,2))))</f>
        <v/>
      </c>
      <c r="M1460" s="33" t="inlineStr">
        <is>
          <t>SCM</t>
        </is>
      </c>
      <c r="N1460" s="33" t="n">
        <v>100</v>
      </c>
      <c r="O1460" s="33" t="inlineStr">
        <is>
          <t>Fly</t>
        </is>
      </c>
      <c r="P1460" s="33" t="inlineStr">
        <is>
          <t>100 Fly</t>
        </is>
      </c>
      <c r="Q1460" s="33" t="inlineStr">
        <is>
          <t>SCM_100_FLY</t>
        </is>
      </c>
      <c r="R1460" s="36" t="n">
        <v>50.6</v>
      </c>
      <c r="S1460" s="35">
        <f>IF(R1460="","",IF(R1460&gt;=60,INT(R1460/60)&amp;":"&amp;TEXT(MOD(R1460,60),"00.00"),TEXT(R1460,"0.00")))</f>
        <v/>
      </c>
      <c r="T1460" s="52">
        <f>IFERROR((G1460-INDEX('01_Swimmers'!$E$5:$E$22,MATCH(B1460,'01_Swimmers'!$A$5:$A$22,0)))/'00_Control'!$B$10,"")</f>
        <v/>
      </c>
      <c r="U1460" s="35">
        <f>IF(T1460="","",INT(T1460))</f>
        <v/>
      </c>
      <c r="V1460" s="33" t="inlineStr">
        <is>
          <t>NO</t>
        </is>
      </c>
      <c r="W1460" s="33" t="inlineStr">
        <is>
          <t>YES</t>
        </is>
      </c>
      <c r="X1460" s="33" t="inlineStr">
        <is>
          <t>NO</t>
        </is>
      </c>
      <c r="Y1460" s="33" t="n">
        <v>3</v>
      </c>
      <c r="Z1460" s="33" t="n">
        <v>4</v>
      </c>
      <c r="AA1460" s="33" t="inlineStr">
        <is>
          <t>1</t>
        </is>
      </c>
      <c r="AB1460" s="33" t="inlineStr">
        <is>
          <t>https://www.swimcloud.com/results/205611/event/6/?id=44586381#time44586381</t>
        </is>
      </c>
      <c r="AC1460" s="33" t="inlineStr">
        <is>
          <t>SwimCloud API v6 2026-10-08</t>
        </is>
      </c>
      <c r="AD1460" s="33" t="inlineStr">
        <is>
          <t>Kristof Milak|2021-10-07|SCM|100|Fly|50.6|FINA Swimming World Cup - Budapest|PRE|False</t>
        </is>
      </c>
      <c r="AE1460" s="53">
        <f>G1460+L1460/1000+ROW()/1000000000</f>
        <v/>
      </c>
      <c r="AF1460" s="35">
        <f>IF(C1460&lt;&gt;"Grayson Coulter","",COUNTIFS($C$5:$C$2991,"Grayson Coulter",$Q$5:$Q$2991,Q1460,$AE$5:$AE$2991,"&lt;="&amp;AE1460,$R$5:$R$2991,"&lt;"&amp;R1460))</f>
        <v/>
      </c>
      <c r="AG1460" s="35">
        <f>IF(OR(C1460&lt;&gt;"Grayson Coulter",G1460&lt;'00_Control'!$B$7),"",--(AF1460&lt;5))</f>
        <v/>
      </c>
      <c r="AH1460" s="35">
        <f>IF(OR(C1460&lt;&gt;"Grayson Coulter",G1460&lt;'00_Control'!$B$7),"",--(AF1460&lt;10))</f>
        <v/>
      </c>
      <c r="AI1460" s="35">
        <f>IF(AND(C1460="Grayson Coulter",G1460&gt;='00_Control'!$B$7),"YES","NO")</f>
        <v/>
      </c>
      <c r="AJ1460" s="33" t="inlineStr">
        <is>
          <t>OK</t>
        </is>
      </c>
    </row>
    <row r="1461">
      <c r="A1461" s="33" t="inlineStr">
        <is>
          <t>SM001457</t>
        </is>
      </c>
      <c r="B1461" s="33" t="inlineStr">
        <is>
          <t>SW018</t>
        </is>
      </c>
      <c r="C1461" s="33" t="inlineStr">
        <is>
          <t>Kristof Milak</t>
        </is>
      </c>
      <c r="D1461" s="33" t="inlineStr">
        <is>
          <t>SwimCloud</t>
        </is>
      </c>
      <c r="E1461" s="33" t="inlineStr">
        <is>
          <t>508643</t>
        </is>
      </c>
      <c r="F1461" s="33" t="inlineStr">
        <is>
          <t>44586380</t>
        </is>
      </c>
      <c r="G1461" s="51" t="n">
        <v>44476</v>
      </c>
      <c r="H1461" s="33" t="inlineStr">
        <is>
          <t>FINA Swimming World Cup - Budapest</t>
        </is>
      </c>
      <c r="I1461" s="33" t="inlineStr">
        <is>
          <t>205611</t>
        </is>
      </c>
      <c r="J1461" s="33" t="inlineStr"/>
      <c r="K1461" s="33" t="inlineStr">
        <is>
          <t>FIN</t>
        </is>
      </c>
      <c r="L1461" s="35">
        <f>IF(K1461="FIN",3,IF(OR(K1461="SEM",K1461="SEMI"),2,IF(OR(K1461="PRE",K1461="HEAT"),1,IF(V1461="YES",4,2))))</f>
        <v/>
      </c>
      <c r="M1461" s="33" t="inlineStr">
        <is>
          <t>SCM</t>
        </is>
      </c>
      <c r="N1461" s="33" t="n">
        <v>100</v>
      </c>
      <c r="O1461" s="33" t="inlineStr">
        <is>
          <t>Fly</t>
        </is>
      </c>
      <c r="P1461" s="33" t="inlineStr">
        <is>
          <t>100 Fly</t>
        </is>
      </c>
      <c r="Q1461" s="33" t="inlineStr">
        <is>
          <t>SCM_100_FLY</t>
        </is>
      </c>
      <c r="R1461" s="36" t="n">
        <v>49.92</v>
      </c>
      <c r="S1461" s="35">
        <f>IF(R1461="","",IF(R1461&gt;=60,INT(R1461/60)&amp;":"&amp;TEXT(MOD(R1461,60),"00.00"),TEXT(R1461,"0.00")))</f>
        <v/>
      </c>
      <c r="T1461" s="52">
        <f>IFERROR((G1461-INDEX('01_Swimmers'!$E$5:$E$22,MATCH(B1461,'01_Swimmers'!$A$5:$A$22,0)))/'00_Control'!$B$10,"")</f>
        <v/>
      </c>
      <c r="U1461" s="35">
        <f>IF(T1461="","",INT(T1461))</f>
        <v/>
      </c>
      <c r="V1461" s="33" t="inlineStr">
        <is>
          <t>NO</t>
        </is>
      </c>
      <c r="W1461" s="33" t="inlineStr">
        <is>
          <t>YES</t>
        </is>
      </c>
      <c r="X1461" s="33" t="inlineStr">
        <is>
          <t>NO</t>
        </is>
      </c>
      <c r="Y1461" s="33" t="n">
        <v>1</v>
      </c>
      <c r="Z1461" s="33" t="n">
        <v>4</v>
      </c>
      <c r="AA1461" s="33" t="inlineStr">
        <is>
          <t>2</t>
        </is>
      </c>
      <c r="AB1461" s="33" t="inlineStr">
        <is>
          <t>https://www.swimcloud.com/results/205611/event/6/?id=44586380#time44586380</t>
        </is>
      </c>
      <c r="AC1461" s="33" t="inlineStr">
        <is>
          <t>SwimCloud API v6 2026-10-08</t>
        </is>
      </c>
      <c r="AD1461" s="33" t="inlineStr">
        <is>
          <t>Kristof Milak|2021-10-07|SCM|100|Fly|49.92|FINA Swimming World Cup - Budapest|FIN|False</t>
        </is>
      </c>
      <c r="AE1461" s="53">
        <f>G1461+L1461/1000+ROW()/1000000000</f>
        <v/>
      </c>
      <c r="AF1461" s="35">
        <f>IF(C1461&lt;&gt;"Grayson Coulter","",COUNTIFS($C$5:$C$2991,"Grayson Coulter",$Q$5:$Q$2991,Q1461,$AE$5:$AE$2991,"&lt;="&amp;AE1461,$R$5:$R$2991,"&lt;"&amp;R1461))</f>
        <v/>
      </c>
      <c r="AG1461" s="35">
        <f>IF(OR(C1461&lt;&gt;"Grayson Coulter",G1461&lt;'00_Control'!$B$7),"",--(AF1461&lt;5))</f>
        <v/>
      </c>
      <c r="AH1461" s="35">
        <f>IF(OR(C1461&lt;&gt;"Grayson Coulter",G1461&lt;'00_Control'!$B$7),"",--(AF1461&lt;10))</f>
        <v/>
      </c>
      <c r="AI1461" s="35">
        <f>IF(AND(C1461="Grayson Coulter",G1461&gt;='00_Control'!$B$7),"YES","NO")</f>
        <v/>
      </c>
      <c r="AJ1461" s="33" t="inlineStr">
        <is>
          <t>OK</t>
        </is>
      </c>
    </row>
    <row r="1462">
      <c r="A1462" s="33" t="inlineStr">
        <is>
          <t>SM001458</t>
        </is>
      </c>
      <c r="B1462" s="33" t="inlineStr">
        <is>
          <t>SW018</t>
        </is>
      </c>
      <c r="C1462" s="33" t="inlineStr">
        <is>
          <t>Kristof Milak</t>
        </is>
      </c>
      <c r="D1462" s="33" t="inlineStr">
        <is>
          <t>SwimCloud</t>
        </is>
      </c>
      <c r="E1462" s="33" t="inlineStr">
        <is>
          <t>508643</t>
        </is>
      </c>
      <c r="F1462" s="33" t="inlineStr">
        <is>
          <t>44586383</t>
        </is>
      </c>
      <c r="G1462" s="51" t="n">
        <v>44477</v>
      </c>
      <c r="H1462" s="33" t="inlineStr">
        <is>
          <t>FINA Swimming World Cup - Budapest</t>
        </is>
      </c>
      <c r="I1462" s="33" t="inlineStr">
        <is>
          <t>205611</t>
        </is>
      </c>
      <c r="J1462" s="33" t="inlineStr"/>
      <c r="K1462" s="33" t="inlineStr">
        <is>
          <t>PRE</t>
        </is>
      </c>
      <c r="L1462" s="35">
        <f>IF(K1462="FIN",3,IF(OR(K1462="SEM",K1462="SEMI"),2,IF(OR(K1462="PRE",K1462="HEAT"),1,IF(V1462="YES",4,2))))</f>
        <v/>
      </c>
      <c r="M1462" s="33" t="inlineStr">
        <is>
          <t>SCM</t>
        </is>
      </c>
      <c r="N1462" s="33" t="n">
        <v>100</v>
      </c>
      <c r="O1462" s="33" t="inlineStr">
        <is>
          <t>Free</t>
        </is>
      </c>
      <c r="P1462" s="33" t="inlineStr">
        <is>
          <t>100 Free</t>
        </is>
      </c>
      <c r="Q1462" s="33" t="inlineStr">
        <is>
          <t>SCM_100_FREE</t>
        </is>
      </c>
      <c r="R1462" s="36" t="n">
        <v>47.48</v>
      </c>
      <c r="S1462" s="35">
        <f>IF(R1462="","",IF(R1462&gt;=60,INT(R1462/60)&amp;":"&amp;TEXT(MOD(R1462,60),"00.00"),TEXT(R1462,"0.00")))</f>
        <v/>
      </c>
      <c r="T1462" s="52">
        <f>IFERROR((G1462-INDEX('01_Swimmers'!$E$5:$E$22,MATCH(B1462,'01_Swimmers'!$A$5:$A$22,0)))/'00_Control'!$B$10,"")</f>
        <v/>
      </c>
      <c r="U1462" s="35">
        <f>IF(T1462="","",INT(T1462))</f>
        <v/>
      </c>
      <c r="V1462" s="33" t="inlineStr">
        <is>
          <t>NO</t>
        </is>
      </c>
      <c r="W1462" s="33" t="inlineStr">
        <is>
          <t>YES</t>
        </is>
      </c>
      <c r="X1462" s="33" t="inlineStr">
        <is>
          <t>NO</t>
        </is>
      </c>
      <c r="Y1462" s="33" t="n">
        <v>5</v>
      </c>
      <c r="Z1462" s="33" t="n">
        <v>5</v>
      </c>
      <c r="AA1462" s="33" t="inlineStr">
        <is>
          <t>6</t>
        </is>
      </c>
      <c r="AB1462" s="33" t="inlineStr">
        <is>
          <t>https://www.swimcloud.com/results/205611/event/21/?id=44586383#time44586383</t>
        </is>
      </c>
      <c r="AC1462" s="33" t="inlineStr">
        <is>
          <t>SwimCloud API v6 2026-10-08</t>
        </is>
      </c>
      <c r="AD1462" s="33" t="inlineStr">
        <is>
          <t>Kristof Milak|2021-10-08|SCM|100|Free|47.48|FINA Swimming World Cup - Budapest|PRE|False</t>
        </is>
      </c>
      <c r="AE1462" s="53">
        <f>G1462+L1462/1000+ROW()/1000000000</f>
        <v/>
      </c>
      <c r="AF1462" s="35">
        <f>IF(C1462&lt;&gt;"Grayson Coulter","",COUNTIFS($C$5:$C$2991,"Grayson Coulter",$Q$5:$Q$2991,Q1462,$AE$5:$AE$2991,"&lt;="&amp;AE1462,$R$5:$R$2991,"&lt;"&amp;R1462))</f>
        <v/>
      </c>
      <c r="AG1462" s="35">
        <f>IF(OR(C1462&lt;&gt;"Grayson Coulter",G1462&lt;'00_Control'!$B$7),"",--(AF1462&lt;5))</f>
        <v/>
      </c>
      <c r="AH1462" s="35">
        <f>IF(OR(C1462&lt;&gt;"Grayson Coulter",G1462&lt;'00_Control'!$B$7),"",--(AF1462&lt;10))</f>
        <v/>
      </c>
      <c r="AI1462" s="35">
        <f>IF(AND(C1462="Grayson Coulter",G1462&gt;='00_Control'!$B$7),"YES","NO")</f>
        <v/>
      </c>
      <c r="AJ1462" s="33" t="inlineStr">
        <is>
          <t>OK</t>
        </is>
      </c>
    </row>
    <row r="1463">
      <c r="A1463" s="33" t="inlineStr">
        <is>
          <t>SM001459</t>
        </is>
      </c>
      <c r="B1463" s="33" t="inlineStr">
        <is>
          <t>SW018</t>
        </is>
      </c>
      <c r="C1463" s="33" t="inlineStr">
        <is>
          <t>Kristof Milak</t>
        </is>
      </c>
      <c r="D1463" s="33" t="inlineStr">
        <is>
          <t>SwimCloud</t>
        </is>
      </c>
      <c r="E1463" s="33" t="inlineStr">
        <is>
          <t>508643</t>
        </is>
      </c>
      <c r="F1463" s="33" t="inlineStr">
        <is>
          <t>44586382</t>
        </is>
      </c>
      <c r="G1463" s="51" t="n">
        <v>44477</v>
      </c>
      <c r="H1463" s="33" t="inlineStr">
        <is>
          <t>FINA Swimming World Cup - Budapest</t>
        </is>
      </c>
      <c r="I1463" s="33" t="inlineStr">
        <is>
          <t>205611</t>
        </is>
      </c>
      <c r="J1463" s="33" t="inlineStr"/>
      <c r="K1463" s="33" t="inlineStr">
        <is>
          <t>FIN</t>
        </is>
      </c>
      <c r="L1463" s="35">
        <f>IF(K1463="FIN",3,IF(OR(K1463="SEM",K1463="SEMI"),2,IF(OR(K1463="PRE",K1463="HEAT"),1,IF(V1463="YES",4,2))))</f>
        <v/>
      </c>
      <c r="M1463" s="33" t="inlineStr">
        <is>
          <t>SCM</t>
        </is>
      </c>
      <c r="N1463" s="33" t="n">
        <v>100</v>
      </c>
      <c r="O1463" s="33" t="inlineStr">
        <is>
          <t>Free</t>
        </is>
      </c>
      <c r="P1463" s="33" t="inlineStr">
        <is>
          <t>100 Free</t>
        </is>
      </c>
      <c r="Q1463" s="33" t="inlineStr">
        <is>
          <t>SCM_100_FREE</t>
        </is>
      </c>
      <c r="R1463" s="36" t="n">
        <v>46.93</v>
      </c>
      <c r="S1463" s="35">
        <f>IF(R1463="","",IF(R1463&gt;=60,INT(R1463/60)&amp;":"&amp;TEXT(MOD(R1463,60),"00.00"),TEXT(R1463,"0.00")))</f>
        <v/>
      </c>
      <c r="T1463" s="52">
        <f>IFERROR((G1463-INDEX('01_Swimmers'!$E$5:$E$22,MATCH(B1463,'01_Swimmers'!$A$5:$A$22,0)))/'00_Control'!$B$10,"")</f>
        <v/>
      </c>
      <c r="U1463" s="35">
        <f>IF(T1463="","",INT(T1463))</f>
        <v/>
      </c>
      <c r="V1463" s="33" t="inlineStr">
        <is>
          <t>NO</t>
        </is>
      </c>
      <c r="W1463" s="33" t="inlineStr">
        <is>
          <t>YES</t>
        </is>
      </c>
      <c r="X1463" s="33" t="inlineStr">
        <is>
          <t>NO</t>
        </is>
      </c>
      <c r="Y1463" s="33" t="n">
        <v>1</v>
      </c>
      <c r="Z1463" s="33" t="n">
        <v>7</v>
      </c>
      <c r="AA1463" s="33" t="inlineStr">
        <is>
          <t>3</t>
        </is>
      </c>
      <c r="AB1463" s="33" t="inlineStr">
        <is>
          <t>https://www.swimcloud.com/results/205611/event/21/?id=44586382#time44586382</t>
        </is>
      </c>
      <c r="AC1463" s="33" t="inlineStr">
        <is>
          <t>SwimCloud API v6 2026-10-08</t>
        </is>
      </c>
      <c r="AD1463" s="33" t="inlineStr">
        <is>
          <t>Kristof Milak|2021-10-08|SCM|100|Free|46.93|FINA Swimming World Cup - Budapest|FIN|False</t>
        </is>
      </c>
      <c r="AE1463" s="53">
        <f>G1463+L1463/1000+ROW()/1000000000</f>
        <v/>
      </c>
      <c r="AF1463" s="35">
        <f>IF(C1463&lt;&gt;"Grayson Coulter","",COUNTIFS($C$5:$C$2991,"Grayson Coulter",$Q$5:$Q$2991,Q1463,$AE$5:$AE$2991,"&lt;="&amp;AE1463,$R$5:$R$2991,"&lt;"&amp;R1463))</f>
        <v/>
      </c>
      <c r="AG1463" s="35">
        <f>IF(OR(C1463&lt;&gt;"Grayson Coulter",G1463&lt;'00_Control'!$B$7),"",--(AF1463&lt;5))</f>
        <v/>
      </c>
      <c r="AH1463" s="35">
        <f>IF(OR(C1463&lt;&gt;"Grayson Coulter",G1463&lt;'00_Control'!$B$7),"",--(AF1463&lt;10))</f>
        <v/>
      </c>
      <c r="AI1463" s="35">
        <f>IF(AND(C1463="Grayson Coulter",G1463&gt;='00_Control'!$B$7),"YES","NO")</f>
        <v/>
      </c>
      <c r="AJ1463" s="33" t="inlineStr">
        <is>
          <t>OK</t>
        </is>
      </c>
    </row>
    <row r="1464">
      <c r="A1464" s="33" t="inlineStr">
        <is>
          <t>SM001460</t>
        </is>
      </c>
      <c r="B1464" s="33" t="inlineStr">
        <is>
          <t>SW018</t>
        </is>
      </c>
      <c r="C1464" s="33" t="inlineStr">
        <is>
          <t>Kristof Milak</t>
        </is>
      </c>
      <c r="D1464" s="33" t="inlineStr">
        <is>
          <t>SwimCloud</t>
        </is>
      </c>
      <c r="E1464" s="33" t="inlineStr">
        <is>
          <t>508643</t>
        </is>
      </c>
      <c r="F1464" s="33" t="inlineStr">
        <is>
          <t>44586385</t>
        </is>
      </c>
      <c r="G1464" s="51" t="n">
        <v>44478</v>
      </c>
      <c r="H1464" s="33" t="inlineStr">
        <is>
          <t>FINA Swimming World Cup - Budapest</t>
        </is>
      </c>
      <c r="I1464" s="33" t="inlineStr">
        <is>
          <t>205611</t>
        </is>
      </c>
      <c r="J1464" s="33" t="inlineStr"/>
      <c r="K1464" s="33" t="inlineStr">
        <is>
          <t>PRE</t>
        </is>
      </c>
      <c r="L1464" s="35">
        <f>IF(K1464="FIN",3,IF(OR(K1464="SEM",K1464="SEMI"),2,IF(OR(K1464="PRE",K1464="HEAT"),1,IF(V1464="YES",4,2))))</f>
        <v/>
      </c>
      <c r="M1464" s="33" t="inlineStr">
        <is>
          <t>SCM</t>
        </is>
      </c>
      <c r="N1464" s="33" t="n">
        <v>200</v>
      </c>
      <c r="O1464" s="33" t="inlineStr">
        <is>
          <t>Free</t>
        </is>
      </c>
      <c r="P1464" s="33" t="inlineStr">
        <is>
          <t>200 Free</t>
        </is>
      </c>
      <c r="Q1464" s="33" t="inlineStr">
        <is>
          <t>SCM_200_FREE</t>
        </is>
      </c>
      <c r="R1464" s="36" t="n">
        <v>105.62</v>
      </c>
      <c r="S1464" s="35">
        <f>IF(R1464="","",IF(R1464&gt;=60,INT(R1464/60)&amp;":"&amp;TEXT(MOD(R1464,60),"00.00"),TEXT(R1464,"0.00")))</f>
        <v/>
      </c>
      <c r="T1464" s="52">
        <f>IFERROR((G1464-INDEX('01_Swimmers'!$E$5:$E$22,MATCH(B1464,'01_Swimmers'!$A$5:$A$22,0)))/'00_Control'!$B$10,"")</f>
        <v/>
      </c>
      <c r="U1464" s="35">
        <f>IF(T1464="","",INT(T1464))</f>
        <v/>
      </c>
      <c r="V1464" s="33" t="inlineStr">
        <is>
          <t>NO</t>
        </is>
      </c>
      <c r="W1464" s="33" t="inlineStr">
        <is>
          <t>YES</t>
        </is>
      </c>
      <c r="X1464" s="33" t="inlineStr">
        <is>
          <t>NO</t>
        </is>
      </c>
      <c r="Y1464" s="33" t="n">
        <v>4</v>
      </c>
      <c r="Z1464" s="33" t="n">
        <v>5</v>
      </c>
      <c r="AA1464" s="33" t="inlineStr">
        <is>
          <t>6</t>
        </is>
      </c>
      <c r="AB1464" s="33" t="inlineStr">
        <is>
          <t>https://www.swimcloud.com/results/205611/event/34/?id=44586385#time44586385</t>
        </is>
      </c>
      <c r="AC1464" s="33" t="inlineStr">
        <is>
          <t>SwimCloud API v6 2026-10-08</t>
        </is>
      </c>
      <c r="AD1464" s="33" t="inlineStr">
        <is>
          <t>Kristof Milak|2021-10-09|SCM|200|Free|105.62|FINA Swimming World Cup - Budapest|PRE|False</t>
        </is>
      </c>
      <c r="AE1464" s="53">
        <f>G1464+L1464/1000+ROW()/1000000000</f>
        <v/>
      </c>
      <c r="AF1464" s="35">
        <f>IF(C1464&lt;&gt;"Grayson Coulter","",COUNTIFS($C$5:$C$2991,"Grayson Coulter",$Q$5:$Q$2991,Q1464,$AE$5:$AE$2991,"&lt;="&amp;AE1464,$R$5:$R$2991,"&lt;"&amp;R1464))</f>
        <v/>
      </c>
      <c r="AG1464" s="35">
        <f>IF(OR(C1464&lt;&gt;"Grayson Coulter",G1464&lt;'00_Control'!$B$7),"",--(AF1464&lt;5))</f>
        <v/>
      </c>
      <c r="AH1464" s="35">
        <f>IF(OR(C1464&lt;&gt;"Grayson Coulter",G1464&lt;'00_Control'!$B$7),"",--(AF1464&lt;10))</f>
        <v/>
      </c>
      <c r="AI1464" s="35">
        <f>IF(AND(C1464="Grayson Coulter",G1464&gt;='00_Control'!$B$7),"YES","NO")</f>
        <v/>
      </c>
      <c r="AJ1464" s="33" t="inlineStr">
        <is>
          <t>OK</t>
        </is>
      </c>
    </row>
    <row r="1465">
      <c r="A1465" s="33" t="inlineStr">
        <is>
          <t>SM001461</t>
        </is>
      </c>
      <c r="B1465" s="33" t="inlineStr">
        <is>
          <t>SW018</t>
        </is>
      </c>
      <c r="C1465" s="33" t="inlineStr">
        <is>
          <t>Kristof Milak</t>
        </is>
      </c>
      <c r="D1465" s="33" t="inlineStr">
        <is>
          <t>SwimCloud</t>
        </is>
      </c>
      <c r="E1465" s="33" t="inlineStr">
        <is>
          <t>508643</t>
        </is>
      </c>
      <c r="F1465" s="33" t="inlineStr">
        <is>
          <t>44586384</t>
        </is>
      </c>
      <c r="G1465" s="51" t="n">
        <v>44478</v>
      </c>
      <c r="H1465" s="33" t="inlineStr">
        <is>
          <t>FINA Swimming World Cup - Budapest</t>
        </is>
      </c>
      <c r="I1465" s="33" t="inlineStr">
        <is>
          <t>205611</t>
        </is>
      </c>
      <c r="J1465" s="33" t="inlineStr"/>
      <c r="K1465" s="33" t="inlineStr">
        <is>
          <t>FIN</t>
        </is>
      </c>
      <c r="L1465" s="35">
        <f>IF(K1465="FIN",3,IF(OR(K1465="SEM",K1465="SEMI"),2,IF(OR(K1465="PRE",K1465="HEAT"),1,IF(V1465="YES",4,2))))</f>
        <v/>
      </c>
      <c r="M1465" s="33" t="inlineStr">
        <is>
          <t>SCM</t>
        </is>
      </c>
      <c r="N1465" s="33" t="n">
        <v>200</v>
      </c>
      <c r="O1465" s="33" t="inlineStr">
        <is>
          <t>Free</t>
        </is>
      </c>
      <c r="P1465" s="33" t="inlineStr">
        <is>
          <t>200 Free</t>
        </is>
      </c>
      <c r="Q1465" s="33" t="inlineStr">
        <is>
          <t>SCM_200_FREE</t>
        </is>
      </c>
      <c r="R1465" s="36" t="n">
        <v>102.61</v>
      </c>
      <c r="S1465" s="35">
        <f>IF(R1465="","",IF(R1465&gt;=60,INT(R1465/60)&amp;":"&amp;TEXT(MOD(R1465,60),"00.00"),TEXT(R1465,"0.00")))</f>
        <v/>
      </c>
      <c r="T1465" s="52">
        <f>IFERROR((G1465-INDEX('01_Swimmers'!$E$5:$E$22,MATCH(B1465,'01_Swimmers'!$A$5:$A$22,0)))/'00_Control'!$B$10,"")</f>
        <v/>
      </c>
      <c r="U1465" s="35">
        <f>IF(T1465="","",INT(T1465))</f>
        <v/>
      </c>
      <c r="V1465" s="33" t="inlineStr">
        <is>
          <t>NO</t>
        </is>
      </c>
      <c r="W1465" s="33" t="inlineStr">
        <is>
          <t>YES</t>
        </is>
      </c>
      <c r="X1465" s="33" t="inlineStr">
        <is>
          <t>NO</t>
        </is>
      </c>
      <c r="Y1465" s="33" t="n">
        <v>1</v>
      </c>
      <c r="Z1465" s="33" t="n">
        <v>7</v>
      </c>
      <c r="AA1465" s="33" t="inlineStr">
        <is>
          <t>3</t>
        </is>
      </c>
      <c r="AB1465" s="33" t="inlineStr">
        <is>
          <t>https://www.swimcloud.com/results/205611/event/34/?id=44586384#time44586384</t>
        </is>
      </c>
      <c r="AC1465" s="33" t="inlineStr">
        <is>
          <t>SwimCloud API v6 2026-10-08</t>
        </is>
      </c>
      <c r="AD1465" s="33" t="inlineStr">
        <is>
          <t>Kristof Milak|2021-10-09|SCM|200|Free|102.61|FINA Swimming World Cup - Budapest|FIN|False</t>
        </is>
      </c>
      <c r="AE1465" s="53">
        <f>G1465+L1465/1000+ROW()/1000000000</f>
        <v/>
      </c>
      <c r="AF1465" s="35">
        <f>IF(C1465&lt;&gt;"Grayson Coulter","",COUNTIFS($C$5:$C$2991,"Grayson Coulter",$Q$5:$Q$2991,Q1465,$AE$5:$AE$2991,"&lt;="&amp;AE1465,$R$5:$R$2991,"&lt;"&amp;R1465))</f>
        <v/>
      </c>
      <c r="AG1465" s="35">
        <f>IF(OR(C1465&lt;&gt;"Grayson Coulter",G1465&lt;'00_Control'!$B$7),"",--(AF1465&lt;5))</f>
        <v/>
      </c>
      <c r="AH1465" s="35">
        <f>IF(OR(C1465&lt;&gt;"Grayson Coulter",G1465&lt;'00_Control'!$B$7),"",--(AF1465&lt;10))</f>
        <v/>
      </c>
      <c r="AI1465" s="35">
        <f>IF(AND(C1465="Grayson Coulter",G1465&gt;='00_Control'!$B$7),"YES","NO")</f>
        <v/>
      </c>
      <c r="AJ1465" s="33" t="inlineStr">
        <is>
          <t>OK</t>
        </is>
      </c>
    </row>
    <row r="1466">
      <c r="A1466" s="33" t="inlineStr">
        <is>
          <t>SM001462</t>
        </is>
      </c>
      <c r="B1466" s="33" t="inlineStr">
        <is>
          <t>SW018</t>
        </is>
      </c>
      <c r="C1466" s="33" t="inlineStr">
        <is>
          <t>Kristof Milak</t>
        </is>
      </c>
      <c r="D1466" s="33" t="inlineStr">
        <is>
          <t>SwimCloud</t>
        </is>
      </c>
      <c r="E1466" s="33" t="inlineStr">
        <is>
          <t>508643</t>
        </is>
      </c>
      <c r="F1466" s="33" t="inlineStr">
        <is>
          <t>46127981</t>
        </is>
      </c>
      <c r="G1466" s="51" t="n">
        <v>44502</v>
      </c>
      <c r="H1466" s="33" t="inlineStr">
        <is>
          <t>LEN European Championships</t>
        </is>
      </c>
      <c r="I1466" s="33" t="inlineStr">
        <is>
          <t>209459</t>
        </is>
      </c>
      <c r="J1466" s="33" t="inlineStr"/>
      <c r="K1466" s="33" t="inlineStr">
        <is>
          <t>PRE</t>
        </is>
      </c>
      <c r="L1466" s="35">
        <f>IF(K1466="FIN",3,IF(OR(K1466="SEM",K1466="SEMI"),2,IF(OR(K1466="PRE",K1466="HEAT"),1,IF(V1466="YES",4,2))))</f>
        <v/>
      </c>
      <c r="M1466" s="33" t="inlineStr">
        <is>
          <t>SCM</t>
        </is>
      </c>
      <c r="N1466" s="33" t="n">
        <v>100</v>
      </c>
      <c r="O1466" s="33" t="inlineStr">
        <is>
          <t>Fly</t>
        </is>
      </c>
      <c r="P1466" s="33" t="inlineStr">
        <is>
          <t>100 Fly</t>
        </is>
      </c>
      <c r="Q1466" s="33" t="inlineStr">
        <is>
          <t>SCM_100_FLY</t>
        </is>
      </c>
      <c r="R1466" s="36" t="n">
        <v>50.39</v>
      </c>
      <c r="S1466" s="35">
        <f>IF(R1466="","",IF(R1466&gt;=60,INT(R1466/60)&amp;":"&amp;TEXT(MOD(R1466,60),"00.00"),TEXT(R1466,"0.00")))</f>
        <v/>
      </c>
      <c r="T1466" s="52">
        <f>IFERROR((G1466-INDEX('01_Swimmers'!$E$5:$E$22,MATCH(B1466,'01_Swimmers'!$A$5:$A$22,0)))/'00_Control'!$B$10,"")</f>
        <v/>
      </c>
      <c r="U1466" s="35">
        <f>IF(T1466="","",INT(T1466))</f>
        <v/>
      </c>
      <c r="V1466" s="33" t="inlineStr">
        <is>
          <t>NO</t>
        </is>
      </c>
      <c r="W1466" s="33" t="inlineStr">
        <is>
          <t>YES</t>
        </is>
      </c>
      <c r="X1466" s="33" t="inlineStr">
        <is>
          <t>NO</t>
        </is>
      </c>
      <c r="Y1466" s="33" t="n">
        <v>24</v>
      </c>
      <c r="Z1466" s="33" t="n">
        <v>4</v>
      </c>
      <c r="AA1466" s="33" t="inlineStr">
        <is>
          <t>5</t>
        </is>
      </c>
      <c r="AB1466" s="33" t="inlineStr">
        <is>
          <t>https://www.swimcloud.com/results/209459/event/6/?id=46127981#time46127981</t>
        </is>
      </c>
      <c r="AC1466" s="33" t="inlineStr">
        <is>
          <t>SwimCloud API v6 2026-10-08</t>
        </is>
      </c>
      <c r="AD1466" s="33" t="inlineStr">
        <is>
          <t>Kristof Milak|2021-11-02|SCM|100|Fly|50.39|LEN European Championships|PRE|False</t>
        </is>
      </c>
      <c r="AE1466" s="53">
        <f>G1466+L1466/1000+ROW()/1000000000</f>
        <v/>
      </c>
      <c r="AF1466" s="35">
        <f>IF(C1466&lt;&gt;"Grayson Coulter","",COUNTIFS($C$5:$C$2991,"Grayson Coulter",$Q$5:$Q$2991,Q1466,$AE$5:$AE$2991,"&lt;="&amp;AE1466,$R$5:$R$2991,"&lt;"&amp;R1466))</f>
        <v/>
      </c>
      <c r="AG1466" s="35">
        <f>IF(OR(C1466&lt;&gt;"Grayson Coulter",G1466&lt;'00_Control'!$B$7),"",--(AF1466&lt;5))</f>
        <v/>
      </c>
      <c r="AH1466" s="35">
        <f>IF(OR(C1466&lt;&gt;"Grayson Coulter",G1466&lt;'00_Control'!$B$7),"",--(AF1466&lt;10))</f>
        <v/>
      </c>
      <c r="AI1466" s="35">
        <f>IF(AND(C1466="Grayson Coulter",G1466&gt;='00_Control'!$B$7),"YES","NO")</f>
        <v/>
      </c>
      <c r="AJ1466" s="33" t="inlineStr">
        <is>
          <t>OK</t>
        </is>
      </c>
    </row>
    <row r="1467">
      <c r="A1467" s="33" t="inlineStr">
        <is>
          <t>SM001463</t>
        </is>
      </c>
      <c r="B1467" s="33" t="inlineStr">
        <is>
          <t>SW018</t>
        </is>
      </c>
      <c r="C1467" s="33" t="inlineStr">
        <is>
          <t>Kristof Milak</t>
        </is>
      </c>
      <c r="D1467" s="33" t="inlineStr">
        <is>
          <t>SwimCloud</t>
        </is>
      </c>
      <c r="E1467" s="33" t="inlineStr">
        <is>
          <t>508643</t>
        </is>
      </c>
      <c r="F1467" s="33" t="inlineStr">
        <is>
          <t>46127982</t>
        </is>
      </c>
      <c r="G1467" s="51" t="n">
        <v>44502</v>
      </c>
      <c r="H1467" s="33" t="inlineStr">
        <is>
          <t>LEN European Championships</t>
        </is>
      </c>
      <c r="I1467" s="33" t="inlineStr">
        <is>
          <t>209459</t>
        </is>
      </c>
      <c r="J1467" s="33" t="inlineStr"/>
      <c r="K1467" s="33" t="inlineStr">
        <is>
          <t>SEM</t>
        </is>
      </c>
      <c r="L1467" s="35">
        <f>IF(K1467="FIN",3,IF(OR(K1467="SEM",K1467="SEMI"),2,IF(OR(K1467="PRE",K1467="HEAT"),1,IF(V1467="YES",4,2))))</f>
        <v/>
      </c>
      <c r="M1467" s="33" t="inlineStr">
        <is>
          <t>SCM</t>
        </is>
      </c>
      <c r="N1467" s="33" t="n">
        <v>100</v>
      </c>
      <c r="O1467" s="33" t="inlineStr">
        <is>
          <t>Fly</t>
        </is>
      </c>
      <c r="P1467" s="33" t="inlineStr">
        <is>
          <t>100 Fly</t>
        </is>
      </c>
      <c r="Q1467" s="33" t="inlineStr">
        <is>
          <t>SCM_100_FLY</t>
        </is>
      </c>
      <c r="R1467" s="36" t="n">
        <v>49.71</v>
      </c>
      <c r="S1467" s="35">
        <f>IF(R1467="","",IF(R1467&gt;=60,INT(R1467/60)&amp;":"&amp;TEXT(MOD(R1467,60),"00.00"),TEXT(R1467,"0.00")))</f>
        <v/>
      </c>
      <c r="T1467" s="52">
        <f>IFERROR((G1467-INDEX('01_Swimmers'!$E$5:$E$22,MATCH(B1467,'01_Swimmers'!$A$5:$A$22,0)))/'00_Control'!$B$10,"")</f>
        <v/>
      </c>
      <c r="U1467" s="35">
        <f>IF(T1467="","",INT(T1467))</f>
        <v/>
      </c>
      <c r="V1467" s="33" t="inlineStr">
        <is>
          <t>NO</t>
        </is>
      </c>
      <c r="W1467" s="33" t="inlineStr">
        <is>
          <t>YES</t>
        </is>
      </c>
      <c r="X1467" s="33" t="inlineStr">
        <is>
          <t>NO</t>
        </is>
      </c>
      <c r="Y1467" s="33" t="n">
        <v>10</v>
      </c>
      <c r="Z1467" s="33" t="n">
        <v>3</v>
      </c>
      <c r="AA1467" s="33" t="inlineStr">
        <is>
          <t>2</t>
        </is>
      </c>
      <c r="AB1467" s="33" t="inlineStr">
        <is>
          <t>https://www.swimcloud.com/results/209459/event/206/?id=46127982#time46127982</t>
        </is>
      </c>
      <c r="AC1467" s="33" t="inlineStr">
        <is>
          <t>SwimCloud API v6 2026-10-08</t>
        </is>
      </c>
      <c r="AD1467" s="33" t="inlineStr">
        <is>
          <t>Kristof Milak|2021-11-02|SCM|100|Fly|49.71|LEN European Championships|SEM|False</t>
        </is>
      </c>
      <c r="AE1467" s="53">
        <f>G1467+L1467/1000+ROW()/1000000000</f>
        <v/>
      </c>
      <c r="AF1467" s="35">
        <f>IF(C1467&lt;&gt;"Grayson Coulter","",COUNTIFS($C$5:$C$2991,"Grayson Coulter",$Q$5:$Q$2991,Q1467,$AE$5:$AE$2991,"&lt;="&amp;AE1467,$R$5:$R$2991,"&lt;"&amp;R1467))</f>
        <v/>
      </c>
      <c r="AG1467" s="35">
        <f>IF(OR(C1467&lt;&gt;"Grayson Coulter",G1467&lt;'00_Control'!$B$7),"",--(AF1467&lt;5))</f>
        <v/>
      </c>
      <c r="AH1467" s="35">
        <f>IF(OR(C1467&lt;&gt;"Grayson Coulter",G1467&lt;'00_Control'!$B$7),"",--(AF1467&lt;10))</f>
        <v/>
      </c>
      <c r="AI1467" s="35">
        <f>IF(AND(C1467="Grayson Coulter",G1467&gt;='00_Control'!$B$7),"YES","NO")</f>
        <v/>
      </c>
      <c r="AJ1467" s="33" t="inlineStr">
        <is>
          <t>OK</t>
        </is>
      </c>
    </row>
    <row r="1468">
      <c r="A1468" s="33" t="inlineStr">
        <is>
          <t>SM001464</t>
        </is>
      </c>
      <c r="B1468" s="33" t="inlineStr">
        <is>
          <t>SW018</t>
        </is>
      </c>
      <c r="C1468" s="33" t="inlineStr">
        <is>
          <t>Kristof Milak</t>
        </is>
      </c>
      <c r="D1468" s="33" t="inlineStr">
        <is>
          <t>SwimCloud</t>
        </is>
      </c>
      <c r="E1468" s="33" t="inlineStr">
        <is>
          <t>508643</t>
        </is>
      </c>
      <c r="F1468" s="33" t="inlineStr">
        <is>
          <t>46127983</t>
        </is>
      </c>
      <c r="G1468" s="51" t="n">
        <v>44503</v>
      </c>
      <c r="H1468" s="33" t="inlineStr">
        <is>
          <t>LEN European Championships</t>
        </is>
      </c>
      <c r="I1468" s="33" t="inlineStr">
        <is>
          <t>209459</t>
        </is>
      </c>
      <c r="J1468" s="33" t="inlineStr"/>
      <c r="K1468" s="33" t="inlineStr">
        <is>
          <t>FIN</t>
        </is>
      </c>
      <c r="L1468" s="35">
        <f>IF(K1468="FIN",3,IF(OR(K1468="SEM",K1468="SEMI"),2,IF(OR(K1468="PRE",K1468="HEAT"),1,IF(V1468="YES",4,2))))</f>
        <v/>
      </c>
      <c r="M1468" s="33" t="inlineStr">
        <is>
          <t>SCM</t>
        </is>
      </c>
      <c r="N1468" s="33" t="n">
        <v>100</v>
      </c>
      <c r="O1468" s="33" t="inlineStr">
        <is>
          <t>Fly</t>
        </is>
      </c>
      <c r="P1468" s="33" t="inlineStr">
        <is>
          <t>100 Fly</t>
        </is>
      </c>
      <c r="Q1468" s="33" t="inlineStr">
        <is>
          <t>SCM_100_FLY</t>
        </is>
      </c>
      <c r="R1468" s="36" t="n">
        <v>49.88</v>
      </c>
      <c r="S1468" s="35">
        <f>IF(R1468="","",IF(R1468&gt;=60,INT(R1468/60)&amp;":"&amp;TEXT(MOD(R1468,60),"00.00"),TEXT(R1468,"0.00")))</f>
        <v/>
      </c>
      <c r="T1468" s="52">
        <f>IFERROR((G1468-INDEX('01_Swimmers'!$E$5:$E$22,MATCH(B1468,'01_Swimmers'!$A$5:$A$22,0)))/'00_Control'!$B$10,"")</f>
        <v/>
      </c>
      <c r="U1468" s="35">
        <f>IF(T1468="","",INT(T1468))</f>
        <v/>
      </c>
      <c r="V1468" s="33" t="inlineStr">
        <is>
          <t>NO</t>
        </is>
      </c>
      <c r="W1468" s="33" t="inlineStr">
        <is>
          <t>YES</t>
        </is>
      </c>
      <c r="X1468" s="33" t="inlineStr">
        <is>
          <t>NO</t>
        </is>
      </c>
      <c r="Y1468" s="33" t="n">
        <v>8</v>
      </c>
      <c r="Z1468" s="33" t="n">
        <v>4</v>
      </c>
      <c r="AA1468" s="33" t="inlineStr">
        <is>
          <t>4</t>
        </is>
      </c>
      <c r="AB1468" s="33" t="inlineStr">
        <is>
          <t>https://www.swimcloud.com/results/209459/event/106/?id=46127983#time46127983</t>
        </is>
      </c>
      <c r="AC1468" s="33" t="inlineStr">
        <is>
          <t>SwimCloud API v6 2026-10-08</t>
        </is>
      </c>
      <c r="AD1468" s="33" t="inlineStr">
        <is>
          <t>Kristof Milak|2021-11-03|SCM|100|Fly|49.88|LEN European Championships|FIN|False</t>
        </is>
      </c>
      <c r="AE1468" s="53">
        <f>G1468+L1468/1000+ROW()/1000000000</f>
        <v/>
      </c>
      <c r="AF1468" s="35">
        <f>IF(C1468&lt;&gt;"Grayson Coulter","",COUNTIFS($C$5:$C$2991,"Grayson Coulter",$Q$5:$Q$2991,Q1468,$AE$5:$AE$2991,"&lt;="&amp;AE1468,$R$5:$R$2991,"&lt;"&amp;R1468))</f>
        <v/>
      </c>
      <c r="AG1468" s="35">
        <f>IF(OR(C1468&lt;&gt;"Grayson Coulter",G1468&lt;'00_Control'!$B$7),"",--(AF1468&lt;5))</f>
        <v/>
      </c>
      <c r="AH1468" s="35">
        <f>IF(OR(C1468&lt;&gt;"Grayson Coulter",G1468&lt;'00_Control'!$B$7),"",--(AF1468&lt;10))</f>
        <v/>
      </c>
      <c r="AI1468" s="35">
        <f>IF(AND(C1468="Grayson Coulter",G1468&gt;='00_Control'!$B$7),"YES","NO")</f>
        <v/>
      </c>
      <c r="AJ1468" s="33" t="inlineStr">
        <is>
          <t>OK</t>
        </is>
      </c>
    </row>
    <row r="1469">
      <c r="A1469" s="33" t="inlineStr">
        <is>
          <t>SM001465</t>
        </is>
      </c>
      <c r="B1469" s="33" t="inlineStr">
        <is>
          <t>SW018</t>
        </is>
      </c>
      <c r="C1469" s="33" t="inlineStr">
        <is>
          <t>Kristof Milak</t>
        </is>
      </c>
      <c r="D1469" s="33" t="inlineStr">
        <is>
          <t>SwimCloud</t>
        </is>
      </c>
      <c r="E1469" s="33" t="inlineStr">
        <is>
          <t>508643</t>
        </is>
      </c>
      <c r="F1469" s="33" t="inlineStr">
        <is>
          <t>46127975</t>
        </is>
      </c>
      <c r="G1469" s="51" t="n">
        <v>44506</v>
      </c>
      <c r="H1469" s="33" t="inlineStr">
        <is>
          <t>LEN European Championships</t>
        </is>
      </c>
      <c r="I1469" s="33" t="inlineStr">
        <is>
          <t>209459</t>
        </is>
      </c>
      <c r="J1469" s="33" t="inlineStr"/>
      <c r="K1469" s="33" t="inlineStr">
        <is>
          <t>PRE</t>
        </is>
      </c>
      <c r="L1469" s="35">
        <f>IF(K1469="FIN",3,IF(OR(K1469="SEM",K1469="SEMI"),2,IF(OR(K1469="PRE",K1469="HEAT"),1,IF(V1469="YES",4,2))))</f>
        <v/>
      </c>
      <c r="M1469" s="33" t="inlineStr">
        <is>
          <t>SCM</t>
        </is>
      </c>
      <c r="N1469" s="33" t="n">
        <v>100</v>
      </c>
      <c r="O1469" s="33" t="inlineStr">
        <is>
          <t>Free</t>
        </is>
      </c>
      <c r="P1469" s="33" t="inlineStr">
        <is>
          <t>100 Free</t>
        </is>
      </c>
      <c r="Q1469" s="33" t="inlineStr">
        <is>
          <t>SCM_100_FREE</t>
        </is>
      </c>
      <c r="R1469" s="36" t="n">
        <v>47.16</v>
      </c>
      <c r="S1469" s="35">
        <f>IF(R1469="","",IF(R1469&gt;=60,INT(R1469/60)&amp;":"&amp;TEXT(MOD(R1469,60),"00.00"),TEXT(R1469,"0.00")))</f>
        <v/>
      </c>
      <c r="T1469" s="52">
        <f>IFERROR((G1469-INDEX('01_Swimmers'!$E$5:$E$22,MATCH(B1469,'01_Swimmers'!$A$5:$A$22,0)))/'00_Control'!$B$10,"")</f>
        <v/>
      </c>
      <c r="U1469" s="35">
        <f>IF(T1469="","",INT(T1469))</f>
        <v/>
      </c>
      <c r="V1469" s="33" t="inlineStr">
        <is>
          <t>NO</t>
        </is>
      </c>
      <c r="W1469" s="33" t="inlineStr">
        <is>
          <t>YES</t>
        </is>
      </c>
      <c r="X1469" s="33" t="inlineStr">
        <is>
          <t>NO</t>
        </is>
      </c>
      <c r="Y1469" s="33" t="n">
        <v>22</v>
      </c>
      <c r="Z1469" s="33" t="n">
        <v>2</v>
      </c>
      <c r="AA1469" s="33" t="inlineStr">
        <is>
          <t>14</t>
        </is>
      </c>
      <c r="AB1469" s="33" t="inlineStr">
        <is>
          <t>https://www.swimcloud.com/results/209459/event/35/?id=46127975#time46127975</t>
        </is>
      </c>
      <c r="AC1469" s="33" t="inlineStr">
        <is>
          <t>SwimCloud API v6 2026-10-08</t>
        </is>
      </c>
      <c r="AD1469" s="33" t="inlineStr">
        <is>
          <t>Kristof Milak|2021-11-06|SCM|100|Free|47.16|LEN European Championships|PRE|False</t>
        </is>
      </c>
      <c r="AE1469" s="53">
        <f>G1469+L1469/1000+ROW()/1000000000</f>
        <v/>
      </c>
      <c r="AF1469" s="35">
        <f>IF(C1469&lt;&gt;"Grayson Coulter","",COUNTIFS($C$5:$C$2991,"Grayson Coulter",$Q$5:$Q$2991,Q1469,$AE$5:$AE$2991,"&lt;="&amp;AE1469,$R$5:$R$2991,"&lt;"&amp;R1469))</f>
        <v/>
      </c>
      <c r="AG1469" s="35">
        <f>IF(OR(C1469&lt;&gt;"Grayson Coulter",G1469&lt;'00_Control'!$B$7),"",--(AF1469&lt;5))</f>
        <v/>
      </c>
      <c r="AH1469" s="35">
        <f>IF(OR(C1469&lt;&gt;"Grayson Coulter",G1469&lt;'00_Control'!$B$7),"",--(AF1469&lt;10))</f>
        <v/>
      </c>
      <c r="AI1469" s="35">
        <f>IF(AND(C1469="Grayson Coulter",G1469&gt;='00_Control'!$B$7),"YES","NO")</f>
        <v/>
      </c>
      <c r="AJ1469" s="33" t="inlineStr">
        <is>
          <t>OK</t>
        </is>
      </c>
    </row>
    <row r="1470">
      <c r="A1470" s="33" t="inlineStr">
        <is>
          <t>SM001466</t>
        </is>
      </c>
      <c r="B1470" s="33" t="inlineStr">
        <is>
          <t>SW018</t>
        </is>
      </c>
      <c r="C1470" s="33" t="inlineStr">
        <is>
          <t>Kristof Milak</t>
        </is>
      </c>
      <c r="D1470" s="33" t="inlineStr">
        <is>
          <t>SwimCloud</t>
        </is>
      </c>
      <c r="E1470" s="33" t="inlineStr">
        <is>
          <t>508643</t>
        </is>
      </c>
      <c r="F1470" s="33" t="inlineStr">
        <is>
          <t>46127976</t>
        </is>
      </c>
      <c r="G1470" s="51" t="n">
        <v>44506</v>
      </c>
      <c r="H1470" s="33" t="inlineStr">
        <is>
          <t>LEN European Championships</t>
        </is>
      </c>
      <c r="I1470" s="33" t="inlineStr">
        <is>
          <t>209459</t>
        </is>
      </c>
      <c r="J1470" s="33" t="inlineStr"/>
      <c r="K1470" s="33" t="inlineStr">
        <is>
          <t>SEM</t>
        </is>
      </c>
      <c r="L1470" s="35">
        <f>IF(K1470="FIN",3,IF(OR(K1470="SEM",K1470="SEMI"),2,IF(OR(K1470="PRE",K1470="HEAT"),1,IF(V1470="YES",4,2))))</f>
        <v/>
      </c>
      <c r="M1470" s="33" t="inlineStr">
        <is>
          <t>SCM</t>
        </is>
      </c>
      <c r="N1470" s="33" t="n">
        <v>100</v>
      </c>
      <c r="O1470" s="33" t="inlineStr">
        <is>
          <t>Free</t>
        </is>
      </c>
      <c r="P1470" s="33" t="inlineStr">
        <is>
          <t>100 Free</t>
        </is>
      </c>
      <c r="Q1470" s="33" t="inlineStr">
        <is>
          <t>SCM_100_FREE</t>
        </is>
      </c>
      <c r="R1470" s="36" t="n">
        <v>47.08</v>
      </c>
      <c r="S1470" s="35">
        <f>IF(R1470="","",IF(R1470&gt;=60,INT(R1470/60)&amp;":"&amp;TEXT(MOD(R1470,60),"00.00"),TEXT(R1470,"0.00")))</f>
        <v/>
      </c>
      <c r="T1470" s="52">
        <f>IFERROR((G1470-INDEX('01_Swimmers'!$E$5:$E$22,MATCH(B1470,'01_Swimmers'!$A$5:$A$22,0)))/'00_Control'!$B$10,"")</f>
        <v/>
      </c>
      <c r="U1470" s="35">
        <f>IF(T1470="","",INT(T1470))</f>
        <v/>
      </c>
      <c r="V1470" s="33" t="inlineStr">
        <is>
          <t>NO</t>
        </is>
      </c>
      <c r="W1470" s="33" t="inlineStr">
        <is>
          <t>YES</t>
        </is>
      </c>
      <c r="X1470" s="33" t="inlineStr">
        <is>
          <t>NO</t>
        </is>
      </c>
      <c r="Y1470" s="33" t="n">
        <v>16</v>
      </c>
      <c r="Z1470" s="33" t="n">
        <v>2</v>
      </c>
      <c r="AA1470" s="33" t="inlineStr">
        <is>
          <t>9</t>
        </is>
      </c>
      <c r="AB1470" s="33" t="inlineStr">
        <is>
          <t>https://www.swimcloud.com/results/209459/event/235/?id=46127976#time46127976</t>
        </is>
      </c>
      <c r="AC1470" s="33" t="inlineStr">
        <is>
          <t>SwimCloud API v6 2026-10-08</t>
        </is>
      </c>
      <c r="AD1470" s="33" t="inlineStr">
        <is>
          <t>Kristof Milak|2021-11-06|SCM|100|Free|47.08|LEN European Championships|SEM|False</t>
        </is>
      </c>
      <c r="AE1470" s="53">
        <f>G1470+L1470/1000+ROW()/1000000000</f>
        <v/>
      </c>
      <c r="AF1470" s="35">
        <f>IF(C1470&lt;&gt;"Grayson Coulter","",COUNTIFS($C$5:$C$2991,"Grayson Coulter",$Q$5:$Q$2991,Q1470,$AE$5:$AE$2991,"&lt;="&amp;AE1470,$R$5:$R$2991,"&lt;"&amp;R1470))</f>
        <v/>
      </c>
      <c r="AG1470" s="35">
        <f>IF(OR(C1470&lt;&gt;"Grayson Coulter",G1470&lt;'00_Control'!$B$7),"",--(AF1470&lt;5))</f>
        <v/>
      </c>
      <c r="AH1470" s="35">
        <f>IF(OR(C1470&lt;&gt;"Grayson Coulter",G1470&lt;'00_Control'!$B$7),"",--(AF1470&lt;10))</f>
        <v/>
      </c>
      <c r="AI1470" s="35">
        <f>IF(AND(C1470="Grayson Coulter",G1470&gt;='00_Control'!$B$7),"YES","NO")</f>
        <v/>
      </c>
      <c r="AJ1470" s="33" t="inlineStr">
        <is>
          <t>OK</t>
        </is>
      </c>
    </row>
    <row r="1471">
      <c r="A1471" s="33" t="inlineStr">
        <is>
          <t>SM001467</t>
        </is>
      </c>
      <c r="B1471" s="33" t="inlineStr">
        <is>
          <t>SW018</t>
        </is>
      </c>
      <c r="C1471" s="33" t="inlineStr">
        <is>
          <t>Kristof Milak</t>
        </is>
      </c>
      <c r="D1471" s="33" t="inlineStr">
        <is>
          <t>SwimCloud</t>
        </is>
      </c>
      <c r="E1471" s="33" t="inlineStr">
        <is>
          <t>508643</t>
        </is>
      </c>
      <c r="F1471" s="33" t="inlineStr">
        <is>
          <t>74720017</t>
        </is>
      </c>
      <c r="G1471" s="51" t="n">
        <v>44671</v>
      </c>
      <c r="H1471" s="33" t="inlineStr">
        <is>
          <t>Hungarian National Championship</t>
        </is>
      </c>
      <c r="I1471" s="33" t="inlineStr">
        <is>
          <t>232101</t>
        </is>
      </c>
      <c r="J1471" s="33" t="inlineStr"/>
      <c r="K1471" s="33" t="inlineStr">
        <is>
          <t>TIM</t>
        </is>
      </c>
      <c r="L1471" s="35">
        <f>IF(K1471="FIN",3,IF(OR(K1471="SEM",K1471="SEMI"),2,IF(OR(K1471="PRE",K1471="HEAT"),1,IF(V1471="YES",4,2))))</f>
        <v/>
      </c>
      <c r="M1471" s="33" t="inlineStr">
        <is>
          <t>LCM</t>
        </is>
      </c>
      <c r="N1471" s="33" t="n">
        <v>100</v>
      </c>
      <c r="O1471" s="33" t="inlineStr">
        <is>
          <t>Fly</t>
        </is>
      </c>
      <c r="P1471" s="33" t="inlineStr">
        <is>
          <t>100 Fly</t>
        </is>
      </c>
      <c r="Q1471" s="33" t="inlineStr">
        <is>
          <t>LCM_100_FLY</t>
        </is>
      </c>
      <c r="R1471" s="36" t="n">
        <v>51.03</v>
      </c>
      <c r="S1471" s="35">
        <f>IF(R1471="","",IF(R1471&gt;=60,INT(R1471/60)&amp;":"&amp;TEXT(MOD(R1471,60),"00.00"),TEXT(R1471,"0.00")))</f>
        <v/>
      </c>
      <c r="T1471" s="52">
        <f>IFERROR((G1471-INDEX('01_Swimmers'!$E$5:$E$22,MATCH(B1471,'01_Swimmers'!$A$5:$A$22,0)))/'00_Control'!$B$10,"")</f>
        <v/>
      </c>
      <c r="U1471" s="35">
        <f>IF(T1471="","",INT(T1471))</f>
        <v/>
      </c>
      <c r="V1471" s="33" t="inlineStr">
        <is>
          <t>NO</t>
        </is>
      </c>
      <c r="W1471" s="33" t="inlineStr">
        <is>
          <t>YES</t>
        </is>
      </c>
      <c r="X1471" s="33" t="inlineStr">
        <is>
          <t>NO</t>
        </is>
      </c>
      <c r="Y1471" s="33" t="n"/>
      <c r="Z1471" s="33" t="n"/>
      <c r="AA1471" s="33" t="inlineStr"/>
      <c r="AB1471" s="33" t="inlineStr">
        <is>
          <t>https://www.swimcloud.com/results/232101/event/22/?id=74720017#time74720017</t>
        </is>
      </c>
      <c r="AC1471" s="33" t="inlineStr">
        <is>
          <t>SwimCloud API v6 2026-10-08</t>
        </is>
      </c>
      <c r="AD1471" s="33" t="inlineStr">
        <is>
          <t>Kristof Milak|2022-04-20|LCM|100|Fly|51.03|Hungarian National Championship|TIM|False</t>
        </is>
      </c>
      <c r="AE1471" s="53">
        <f>G1471+L1471/1000+ROW()/1000000000</f>
        <v/>
      </c>
      <c r="AF1471" s="35">
        <f>IF(C1471&lt;&gt;"Grayson Coulter","",COUNTIFS($C$5:$C$2991,"Grayson Coulter",$Q$5:$Q$2991,Q1471,$AE$5:$AE$2991,"&lt;="&amp;AE1471,$R$5:$R$2991,"&lt;"&amp;R1471))</f>
        <v/>
      </c>
      <c r="AG1471" s="35">
        <f>IF(OR(C1471&lt;&gt;"Grayson Coulter",G1471&lt;'00_Control'!$B$7),"",--(AF1471&lt;5))</f>
        <v/>
      </c>
      <c r="AH1471" s="35">
        <f>IF(OR(C1471&lt;&gt;"Grayson Coulter",G1471&lt;'00_Control'!$B$7),"",--(AF1471&lt;10))</f>
        <v/>
      </c>
      <c r="AI1471" s="35">
        <f>IF(AND(C1471="Grayson Coulter",G1471&gt;='00_Control'!$B$7),"YES","NO")</f>
        <v/>
      </c>
      <c r="AJ1471" s="33" t="inlineStr">
        <is>
          <t>OK</t>
        </is>
      </c>
    </row>
    <row r="1472">
      <c r="A1472" s="33" t="inlineStr">
        <is>
          <t>SM001468</t>
        </is>
      </c>
      <c r="B1472" s="33" t="inlineStr">
        <is>
          <t>SW018</t>
        </is>
      </c>
      <c r="C1472" s="33" t="inlineStr">
        <is>
          <t>Kristof Milak</t>
        </is>
      </c>
      <c r="D1472" s="33" t="inlineStr">
        <is>
          <t>SwimCloud</t>
        </is>
      </c>
      <c r="E1472" s="33" t="inlineStr">
        <is>
          <t>508643</t>
        </is>
      </c>
      <c r="F1472" s="33" t="inlineStr">
        <is>
          <t>90670411</t>
        </is>
      </c>
      <c r="G1472" s="51" t="n">
        <v>44706</v>
      </c>
      <c r="H1472" s="33" t="inlineStr">
        <is>
          <t>Trofeu Internacional Ciutat de Barcelona / Mare Nostrum</t>
        </is>
      </c>
      <c r="I1472" s="33" t="inlineStr">
        <is>
          <t>253753</t>
        </is>
      </c>
      <c r="J1472" s="33" t="inlineStr"/>
      <c r="K1472" s="33" t="inlineStr">
        <is>
          <t>PRE</t>
        </is>
      </c>
      <c r="L1472" s="35">
        <f>IF(K1472="FIN",3,IF(OR(K1472="SEM",K1472="SEMI"),2,IF(OR(K1472="PRE",K1472="HEAT"),1,IF(V1472="YES",4,2))))</f>
        <v/>
      </c>
      <c r="M1472" s="33" t="inlineStr">
        <is>
          <t>LCM</t>
        </is>
      </c>
      <c r="N1472" s="33" t="n">
        <v>100</v>
      </c>
      <c r="O1472" s="33" t="inlineStr">
        <is>
          <t>Fly</t>
        </is>
      </c>
      <c r="P1472" s="33" t="inlineStr">
        <is>
          <t>100 Fly</t>
        </is>
      </c>
      <c r="Q1472" s="33" t="inlineStr">
        <is>
          <t>LCM_100_FLY</t>
        </is>
      </c>
      <c r="R1472" s="36" t="n">
        <v>51.65</v>
      </c>
      <c r="S1472" s="35">
        <f>IF(R1472="","",IF(R1472&gt;=60,INT(R1472/60)&amp;":"&amp;TEXT(MOD(R1472,60),"00.00"),TEXT(R1472,"0.00")))</f>
        <v/>
      </c>
      <c r="T1472" s="52">
        <f>IFERROR((G1472-INDEX('01_Swimmers'!$E$5:$E$22,MATCH(B1472,'01_Swimmers'!$A$5:$A$22,0)))/'00_Control'!$B$10,"")</f>
        <v/>
      </c>
      <c r="U1472" s="35">
        <f>IF(T1472="","",INT(T1472))</f>
        <v/>
      </c>
      <c r="V1472" s="33" t="inlineStr">
        <is>
          <t>NO</t>
        </is>
      </c>
      <c r="W1472" s="33" t="inlineStr">
        <is>
          <t>YES</t>
        </is>
      </c>
      <c r="X1472" s="33" t="inlineStr">
        <is>
          <t>NO</t>
        </is>
      </c>
      <c r="Y1472" s="33" t="n">
        <v>10</v>
      </c>
      <c r="Z1472" s="33" t="n">
        <v>4</v>
      </c>
      <c r="AA1472" s="33" t="inlineStr">
        <is>
          <t>1</t>
        </is>
      </c>
      <c r="AB1472" s="33" t="inlineStr">
        <is>
          <t>https://www.swimcloud.com/results/253753/event/13/?id=90670411#time90670411</t>
        </is>
      </c>
      <c r="AC1472" s="33" t="inlineStr">
        <is>
          <t>SwimCloud API v6 2026-10-08</t>
        </is>
      </c>
      <c r="AD1472" s="33" t="inlineStr">
        <is>
          <t>Kristof Milak|2022-05-25|LCM|100|Fly|51.65|Trofeu Internacional Ciutat de Barcelona / Mare Nostrum|PRE|False</t>
        </is>
      </c>
      <c r="AE1472" s="53">
        <f>G1472+L1472/1000+ROW()/1000000000</f>
        <v/>
      </c>
      <c r="AF1472" s="35">
        <f>IF(C1472&lt;&gt;"Grayson Coulter","",COUNTIFS($C$5:$C$2991,"Grayson Coulter",$Q$5:$Q$2991,Q1472,$AE$5:$AE$2991,"&lt;="&amp;AE1472,$R$5:$R$2991,"&lt;"&amp;R1472))</f>
        <v/>
      </c>
      <c r="AG1472" s="35">
        <f>IF(OR(C1472&lt;&gt;"Grayson Coulter",G1472&lt;'00_Control'!$B$7),"",--(AF1472&lt;5))</f>
        <v/>
      </c>
      <c r="AH1472" s="35">
        <f>IF(OR(C1472&lt;&gt;"Grayson Coulter",G1472&lt;'00_Control'!$B$7),"",--(AF1472&lt;10))</f>
        <v/>
      </c>
      <c r="AI1472" s="35">
        <f>IF(AND(C1472="Grayson Coulter",G1472&gt;='00_Control'!$B$7),"YES","NO")</f>
        <v/>
      </c>
      <c r="AJ1472" s="33" t="inlineStr">
        <is>
          <t>OK</t>
        </is>
      </c>
    </row>
    <row r="1473">
      <c r="A1473" s="33" t="inlineStr">
        <is>
          <t>SM001469</t>
        </is>
      </c>
      <c r="B1473" s="33" t="inlineStr">
        <is>
          <t>SW018</t>
        </is>
      </c>
      <c r="C1473" s="33" t="inlineStr">
        <is>
          <t>Kristof Milak</t>
        </is>
      </c>
      <c r="D1473" s="33" t="inlineStr">
        <is>
          <t>SwimCloud</t>
        </is>
      </c>
      <c r="E1473" s="33" t="inlineStr">
        <is>
          <t>508643</t>
        </is>
      </c>
      <c r="F1473" s="33" t="inlineStr">
        <is>
          <t>90670415</t>
        </is>
      </c>
      <c r="G1473" s="51" t="n">
        <v>44706</v>
      </c>
      <c r="H1473" s="33" t="inlineStr">
        <is>
          <t>Trofeu Internacional Ciutat de Barcelona / Mare Nostrum</t>
        </is>
      </c>
      <c r="I1473" s="33" t="inlineStr">
        <is>
          <t>253753</t>
        </is>
      </c>
      <c r="J1473" s="33" t="inlineStr"/>
      <c r="K1473" s="33" t="inlineStr">
        <is>
          <t>FIN</t>
        </is>
      </c>
      <c r="L1473" s="35">
        <f>IF(K1473="FIN",3,IF(OR(K1473="SEM",K1473="SEMI"),2,IF(OR(K1473="PRE",K1473="HEAT"),1,IF(V1473="YES",4,2))))</f>
        <v/>
      </c>
      <c r="M1473" s="33" t="inlineStr">
        <is>
          <t>LCM</t>
        </is>
      </c>
      <c r="N1473" s="33" t="n">
        <v>100</v>
      </c>
      <c r="O1473" s="33" t="inlineStr">
        <is>
          <t>Fly</t>
        </is>
      </c>
      <c r="P1473" s="33" t="inlineStr">
        <is>
          <t>100 Fly</t>
        </is>
      </c>
      <c r="Q1473" s="33" t="inlineStr">
        <is>
          <t>LCM_100_FLY</t>
        </is>
      </c>
      <c r="R1473" s="36" t="n">
        <v>51.51</v>
      </c>
      <c r="S1473" s="35">
        <f>IF(R1473="","",IF(R1473&gt;=60,INT(R1473/60)&amp;":"&amp;TEXT(MOD(R1473,60),"00.00"),TEXT(R1473,"0.00")))</f>
        <v/>
      </c>
      <c r="T1473" s="52">
        <f>IFERROR((G1473-INDEX('01_Swimmers'!$E$5:$E$22,MATCH(B1473,'01_Swimmers'!$A$5:$A$22,0)))/'00_Control'!$B$10,"")</f>
        <v/>
      </c>
      <c r="U1473" s="35">
        <f>IF(T1473="","",INT(T1473))</f>
        <v/>
      </c>
      <c r="V1473" s="33" t="inlineStr">
        <is>
          <t>NO</t>
        </is>
      </c>
      <c r="W1473" s="33" t="inlineStr">
        <is>
          <t>YES</t>
        </is>
      </c>
      <c r="X1473" s="33" t="inlineStr">
        <is>
          <t>NO</t>
        </is>
      </c>
      <c r="Y1473" s="33" t="n">
        <v>1</v>
      </c>
      <c r="Z1473" s="33" t="n">
        <v>4</v>
      </c>
      <c r="AA1473" s="33" t="inlineStr">
        <is>
          <t>2</t>
        </is>
      </c>
      <c r="AB1473" s="33" t="inlineStr">
        <is>
          <t>https://www.swimcloud.com/results/253753/event/13/?id=90670415#time90670415</t>
        </is>
      </c>
      <c r="AC1473" s="33" t="inlineStr">
        <is>
          <t>SwimCloud API v6 2026-10-08</t>
        </is>
      </c>
      <c r="AD1473" s="33" t="inlineStr">
        <is>
          <t>Kristof Milak|2022-05-25|LCM|100|Fly|51.51|Trofeu Internacional Ciutat de Barcelona / Mare Nostrum|FIN|False</t>
        </is>
      </c>
      <c r="AE1473" s="53">
        <f>G1473+L1473/1000+ROW()/1000000000</f>
        <v/>
      </c>
      <c r="AF1473" s="35">
        <f>IF(C1473&lt;&gt;"Grayson Coulter","",COUNTIFS($C$5:$C$2991,"Grayson Coulter",$Q$5:$Q$2991,Q1473,$AE$5:$AE$2991,"&lt;="&amp;AE1473,$R$5:$R$2991,"&lt;"&amp;R1473))</f>
        <v/>
      </c>
      <c r="AG1473" s="35">
        <f>IF(OR(C1473&lt;&gt;"Grayson Coulter",G1473&lt;'00_Control'!$B$7),"",--(AF1473&lt;5))</f>
        <v/>
      </c>
      <c r="AH1473" s="35">
        <f>IF(OR(C1473&lt;&gt;"Grayson Coulter",G1473&lt;'00_Control'!$B$7),"",--(AF1473&lt;10))</f>
        <v/>
      </c>
      <c r="AI1473" s="35">
        <f>IF(AND(C1473="Grayson Coulter",G1473&gt;='00_Control'!$B$7),"YES","NO")</f>
        <v/>
      </c>
      <c r="AJ1473" s="33" t="inlineStr">
        <is>
          <t>OK</t>
        </is>
      </c>
    </row>
    <row r="1474">
      <c r="A1474" s="33" t="inlineStr">
        <is>
          <t>SM001470</t>
        </is>
      </c>
      <c r="B1474" s="33" t="inlineStr">
        <is>
          <t>SW018</t>
        </is>
      </c>
      <c r="C1474" s="33" t="inlineStr">
        <is>
          <t>Kristof Milak</t>
        </is>
      </c>
      <c r="D1474" s="33" t="inlineStr">
        <is>
          <t>SwimCloud</t>
        </is>
      </c>
      <c r="E1474" s="33" t="inlineStr">
        <is>
          <t>508643</t>
        </is>
      </c>
      <c r="F1474" s="33" t="inlineStr">
        <is>
          <t>90670412</t>
        </is>
      </c>
      <c r="G1474" s="51" t="n">
        <v>44706</v>
      </c>
      <c r="H1474" s="33" t="inlineStr">
        <is>
          <t>Trofeu Internacional Ciutat de Barcelona / Mare Nostrum</t>
        </is>
      </c>
      <c r="I1474" s="33" t="inlineStr">
        <is>
          <t>253753</t>
        </is>
      </c>
      <c r="J1474" s="33" t="inlineStr"/>
      <c r="K1474" s="33" t="inlineStr">
        <is>
          <t>PRE</t>
        </is>
      </c>
      <c r="L1474" s="35">
        <f>IF(K1474="FIN",3,IF(OR(K1474="SEM",K1474="SEMI"),2,IF(OR(K1474="PRE",K1474="HEAT"),1,IF(V1474="YES",4,2))))</f>
        <v/>
      </c>
      <c r="M1474" s="33" t="inlineStr">
        <is>
          <t>LCM</t>
        </is>
      </c>
      <c r="N1474" s="33" t="n">
        <v>200</v>
      </c>
      <c r="O1474" s="33" t="inlineStr">
        <is>
          <t>Free</t>
        </is>
      </c>
      <c r="P1474" s="33" t="inlineStr">
        <is>
          <t>200 Free</t>
        </is>
      </c>
      <c r="Q1474" s="33" t="inlineStr">
        <is>
          <t>LCM_200_FREE</t>
        </is>
      </c>
      <c r="R1474" s="36" t="n">
        <v>110.57</v>
      </c>
      <c r="S1474" s="35">
        <f>IF(R1474="","",IF(R1474&gt;=60,INT(R1474/60)&amp;":"&amp;TEXT(MOD(R1474,60),"00.00"),TEXT(R1474,"0.00")))</f>
        <v/>
      </c>
      <c r="T1474" s="52">
        <f>IFERROR((G1474-INDEX('01_Swimmers'!$E$5:$E$22,MATCH(B1474,'01_Swimmers'!$A$5:$A$22,0)))/'00_Control'!$B$10,"")</f>
        <v/>
      </c>
      <c r="U1474" s="35">
        <f>IF(T1474="","",INT(T1474))</f>
        <v/>
      </c>
      <c r="V1474" s="33" t="inlineStr">
        <is>
          <t>NO</t>
        </is>
      </c>
      <c r="W1474" s="33" t="inlineStr">
        <is>
          <t>YES</t>
        </is>
      </c>
      <c r="X1474" s="33" t="inlineStr">
        <is>
          <t>NO</t>
        </is>
      </c>
      <c r="Y1474" s="33" t="n">
        <v>8</v>
      </c>
      <c r="Z1474" s="33" t="n">
        <v>5</v>
      </c>
      <c r="AA1474" s="33" t="inlineStr">
        <is>
          <t>22</t>
        </is>
      </c>
      <c r="AB1474" s="33" t="inlineStr">
        <is>
          <t>https://www.swimcloud.com/results/253753/event/15/?id=90670412#time90670412</t>
        </is>
      </c>
      <c r="AC1474" s="33" t="inlineStr">
        <is>
          <t>SwimCloud API v6 2026-10-08</t>
        </is>
      </c>
      <c r="AD1474" s="33" t="inlineStr">
        <is>
          <t>Kristof Milak|2022-05-25|LCM|200|Free|110.57|Trofeu Internacional Ciutat de Barcelona / Mare Nostrum|PRE|False</t>
        </is>
      </c>
      <c r="AE1474" s="53">
        <f>G1474+L1474/1000+ROW()/1000000000</f>
        <v/>
      </c>
      <c r="AF1474" s="35">
        <f>IF(C1474&lt;&gt;"Grayson Coulter","",COUNTIFS($C$5:$C$2991,"Grayson Coulter",$Q$5:$Q$2991,Q1474,$AE$5:$AE$2991,"&lt;="&amp;AE1474,$R$5:$R$2991,"&lt;"&amp;R1474))</f>
        <v/>
      </c>
      <c r="AG1474" s="35">
        <f>IF(OR(C1474&lt;&gt;"Grayson Coulter",G1474&lt;'00_Control'!$B$7),"",--(AF1474&lt;5))</f>
        <v/>
      </c>
      <c r="AH1474" s="35">
        <f>IF(OR(C1474&lt;&gt;"Grayson Coulter",G1474&lt;'00_Control'!$B$7),"",--(AF1474&lt;10))</f>
        <v/>
      </c>
      <c r="AI1474" s="35">
        <f>IF(AND(C1474="Grayson Coulter",G1474&gt;='00_Control'!$B$7),"YES","NO")</f>
        <v/>
      </c>
      <c r="AJ1474" s="33" t="inlineStr">
        <is>
          <t>OK</t>
        </is>
      </c>
    </row>
    <row r="1475">
      <c r="A1475" s="33" t="inlineStr">
        <is>
          <t>SM001471</t>
        </is>
      </c>
      <c r="B1475" s="33" t="inlineStr">
        <is>
          <t>SW018</t>
        </is>
      </c>
      <c r="C1475" s="33" t="inlineStr">
        <is>
          <t>Kristof Milak</t>
        </is>
      </c>
      <c r="D1475" s="33" t="inlineStr">
        <is>
          <t>SwimCloud</t>
        </is>
      </c>
      <c r="E1475" s="33" t="inlineStr">
        <is>
          <t>508643</t>
        </is>
      </c>
      <c r="F1475" s="33" t="inlineStr">
        <is>
          <t>67637379</t>
        </is>
      </c>
      <c r="G1475" s="51" t="n">
        <v>44735</v>
      </c>
      <c r="H1475" s="33" t="inlineStr">
        <is>
          <t>19th FINA World Championships</t>
        </is>
      </c>
      <c r="I1475" s="33" t="inlineStr">
        <is>
          <t>222377</t>
        </is>
      </c>
      <c r="J1475" s="33" t="inlineStr"/>
      <c r="K1475" s="33" t="inlineStr">
        <is>
          <t>PRE</t>
        </is>
      </c>
      <c r="L1475" s="35">
        <f>IF(K1475="FIN",3,IF(OR(K1475="SEM",K1475="SEMI"),2,IF(OR(K1475="PRE",K1475="HEAT"),1,IF(V1475="YES",4,2))))</f>
        <v/>
      </c>
      <c r="M1475" s="33" t="inlineStr">
        <is>
          <t>LCM</t>
        </is>
      </c>
      <c r="N1475" s="33" t="n">
        <v>100</v>
      </c>
      <c r="O1475" s="33" t="inlineStr">
        <is>
          <t>Fly</t>
        </is>
      </c>
      <c r="P1475" s="33" t="inlineStr">
        <is>
          <t>100 Fly</t>
        </is>
      </c>
      <c r="Q1475" s="33" t="inlineStr">
        <is>
          <t>LCM_100_FLY</t>
        </is>
      </c>
      <c r="R1475" s="36" t="n">
        <v>50.68</v>
      </c>
      <c r="S1475" s="35">
        <f>IF(R1475="","",IF(R1475&gt;=60,INT(R1475/60)&amp;":"&amp;TEXT(MOD(R1475,60),"00.00"),TEXT(R1475,"0.00")))</f>
        <v/>
      </c>
      <c r="T1475" s="52">
        <f>IFERROR((G1475-INDEX('01_Swimmers'!$E$5:$E$22,MATCH(B1475,'01_Swimmers'!$A$5:$A$22,0)))/'00_Control'!$B$10,"")</f>
        <v/>
      </c>
      <c r="U1475" s="35">
        <f>IF(T1475="","",INT(T1475))</f>
        <v/>
      </c>
      <c r="V1475" s="33" t="inlineStr">
        <is>
          <t>NO</t>
        </is>
      </c>
      <c r="W1475" s="33" t="inlineStr">
        <is>
          <t>YES</t>
        </is>
      </c>
      <c r="X1475" s="33" t="inlineStr">
        <is>
          <t>NO</t>
        </is>
      </c>
      <c r="Y1475" s="33" t="n">
        <v>6</v>
      </c>
      <c r="Z1475" s="33" t="n">
        <v>4</v>
      </c>
      <c r="AA1475" s="33" t="inlineStr">
        <is>
          <t>1</t>
        </is>
      </c>
      <c r="AB1475" s="33" t="inlineStr">
        <is>
          <t>https://www.swimcloud.com/results/222377/event/29/?id=67637379#time67637379</t>
        </is>
      </c>
      <c r="AC1475" s="33" t="inlineStr">
        <is>
          <t>SwimCloud API v6 2026-10-08</t>
        </is>
      </c>
      <c r="AD1475" s="33" t="inlineStr">
        <is>
          <t>Kristof Milak|2022-06-23|LCM|100|Fly|50.68|19th FINA World Championships|PRE|False</t>
        </is>
      </c>
      <c r="AE1475" s="53">
        <f>G1475+L1475/1000+ROW()/1000000000</f>
        <v/>
      </c>
      <c r="AF1475" s="35">
        <f>IF(C1475&lt;&gt;"Grayson Coulter","",COUNTIFS($C$5:$C$2991,"Grayson Coulter",$Q$5:$Q$2991,Q1475,$AE$5:$AE$2991,"&lt;="&amp;AE1475,$R$5:$R$2991,"&lt;"&amp;R1475))</f>
        <v/>
      </c>
      <c r="AG1475" s="35">
        <f>IF(OR(C1475&lt;&gt;"Grayson Coulter",G1475&lt;'00_Control'!$B$7),"",--(AF1475&lt;5))</f>
        <v/>
      </c>
      <c r="AH1475" s="35">
        <f>IF(OR(C1475&lt;&gt;"Grayson Coulter",G1475&lt;'00_Control'!$B$7),"",--(AF1475&lt;10))</f>
        <v/>
      </c>
      <c r="AI1475" s="35">
        <f>IF(AND(C1475="Grayson Coulter",G1475&gt;='00_Control'!$B$7),"YES","NO")</f>
        <v/>
      </c>
      <c r="AJ1475" s="33" t="inlineStr">
        <is>
          <t>OK</t>
        </is>
      </c>
    </row>
    <row r="1476">
      <c r="A1476" s="33" t="inlineStr">
        <is>
          <t>SM001472</t>
        </is>
      </c>
      <c r="B1476" s="33" t="inlineStr">
        <is>
          <t>SW018</t>
        </is>
      </c>
      <c r="C1476" s="33" t="inlineStr">
        <is>
          <t>Kristof Milak</t>
        </is>
      </c>
      <c r="D1476" s="33" t="inlineStr">
        <is>
          <t>SwimCloud</t>
        </is>
      </c>
      <c r="E1476" s="33" t="inlineStr">
        <is>
          <t>508643</t>
        </is>
      </c>
      <c r="F1476" s="33" t="inlineStr">
        <is>
          <t>67637598</t>
        </is>
      </c>
      <c r="G1476" s="51" t="n">
        <v>44735</v>
      </c>
      <c r="H1476" s="33" t="inlineStr">
        <is>
          <t>19th FINA World Championships</t>
        </is>
      </c>
      <c r="I1476" s="33" t="inlineStr">
        <is>
          <t>222377</t>
        </is>
      </c>
      <c r="J1476" s="33" t="inlineStr"/>
      <c r="K1476" s="33" t="inlineStr">
        <is>
          <t>SEM</t>
        </is>
      </c>
      <c r="L1476" s="35">
        <f>IF(K1476="FIN",3,IF(OR(K1476="SEM",K1476="SEMI"),2,IF(OR(K1476="PRE",K1476="HEAT"),1,IF(V1476="YES",4,2))))</f>
        <v/>
      </c>
      <c r="M1476" s="33" t="inlineStr">
        <is>
          <t>LCM</t>
        </is>
      </c>
      <c r="N1476" s="33" t="n">
        <v>100</v>
      </c>
      <c r="O1476" s="33" t="inlineStr">
        <is>
          <t>Fly</t>
        </is>
      </c>
      <c r="P1476" s="33" t="inlineStr">
        <is>
          <t>100 Fly</t>
        </is>
      </c>
      <c r="Q1476" s="33" t="inlineStr">
        <is>
          <t>LCM_100_FLY</t>
        </is>
      </c>
      <c r="R1476" s="36" t="n">
        <v>50.14</v>
      </c>
      <c r="S1476" s="35">
        <f>IF(R1476="","",IF(R1476&gt;=60,INT(R1476/60)&amp;":"&amp;TEXT(MOD(R1476,60),"00.00"),TEXT(R1476,"0.00")))</f>
        <v/>
      </c>
      <c r="T1476" s="52">
        <f>IFERROR((G1476-INDEX('01_Swimmers'!$E$5:$E$22,MATCH(B1476,'01_Swimmers'!$A$5:$A$22,0)))/'00_Control'!$B$10,"")</f>
        <v/>
      </c>
      <c r="U1476" s="35">
        <f>IF(T1476="","",INT(T1476))</f>
        <v/>
      </c>
      <c r="V1476" s="33" t="inlineStr">
        <is>
          <t>NO</t>
        </is>
      </c>
      <c r="W1476" s="33" t="inlineStr">
        <is>
          <t>YES</t>
        </is>
      </c>
      <c r="X1476" s="33" t="inlineStr">
        <is>
          <t>NO</t>
        </is>
      </c>
      <c r="Y1476" s="33" t="n">
        <v>2</v>
      </c>
      <c r="Z1476" s="33" t="n">
        <v>4</v>
      </c>
      <c r="AA1476" s="33" t="inlineStr">
        <is>
          <t>1</t>
        </is>
      </c>
      <c r="AB1476" s="33" t="inlineStr">
        <is>
          <t>https://www.swimcloud.com/results/222377/event/29/?id=67637598#time67637598</t>
        </is>
      </c>
      <c r="AC1476" s="33" t="inlineStr">
        <is>
          <t>SwimCloud API v6 2026-10-08</t>
        </is>
      </c>
      <c r="AD1476" s="33" t="inlineStr">
        <is>
          <t>Kristof Milak|2022-06-23|LCM|100|Fly|50.14|19th FINA World Championships|SEM|False</t>
        </is>
      </c>
      <c r="AE1476" s="53">
        <f>G1476+L1476/1000+ROW()/1000000000</f>
        <v/>
      </c>
      <c r="AF1476" s="35">
        <f>IF(C1476&lt;&gt;"Grayson Coulter","",COUNTIFS($C$5:$C$2991,"Grayson Coulter",$Q$5:$Q$2991,Q1476,$AE$5:$AE$2991,"&lt;="&amp;AE1476,$R$5:$R$2991,"&lt;"&amp;R1476))</f>
        <v/>
      </c>
      <c r="AG1476" s="35">
        <f>IF(OR(C1476&lt;&gt;"Grayson Coulter",G1476&lt;'00_Control'!$B$7),"",--(AF1476&lt;5))</f>
        <v/>
      </c>
      <c r="AH1476" s="35">
        <f>IF(OR(C1476&lt;&gt;"Grayson Coulter",G1476&lt;'00_Control'!$B$7),"",--(AF1476&lt;10))</f>
        <v/>
      </c>
      <c r="AI1476" s="35">
        <f>IF(AND(C1476="Grayson Coulter",G1476&gt;='00_Control'!$B$7),"YES","NO")</f>
        <v/>
      </c>
      <c r="AJ1476" s="33" t="inlineStr">
        <is>
          <t>OK</t>
        </is>
      </c>
    </row>
    <row r="1477">
      <c r="A1477" s="33" t="inlineStr">
        <is>
          <t>SM001473</t>
        </is>
      </c>
      <c r="B1477" s="33" t="inlineStr">
        <is>
          <t>SW018</t>
        </is>
      </c>
      <c r="C1477" s="33" t="inlineStr">
        <is>
          <t>Kristof Milak</t>
        </is>
      </c>
      <c r="D1477" s="33" t="inlineStr">
        <is>
          <t>SwimCloud</t>
        </is>
      </c>
      <c r="E1477" s="33" t="inlineStr">
        <is>
          <t>508643</t>
        </is>
      </c>
      <c r="F1477" s="33" t="inlineStr">
        <is>
          <t>67637237</t>
        </is>
      </c>
      <c r="G1477" s="51" t="n">
        <v>44736</v>
      </c>
      <c r="H1477" s="33" t="inlineStr">
        <is>
          <t>19th FINA World Championships</t>
        </is>
      </c>
      <c r="I1477" s="33" t="inlineStr">
        <is>
          <t>222377</t>
        </is>
      </c>
      <c r="J1477" s="33" t="inlineStr"/>
      <c r="K1477" s="33" t="inlineStr">
        <is>
          <t>FIN</t>
        </is>
      </c>
      <c r="L1477" s="35">
        <f>IF(K1477="FIN",3,IF(OR(K1477="SEM",K1477="SEMI"),2,IF(OR(K1477="PRE",K1477="HEAT"),1,IF(V1477="YES",4,2))))</f>
        <v/>
      </c>
      <c r="M1477" s="33" t="inlineStr">
        <is>
          <t>LCM</t>
        </is>
      </c>
      <c r="N1477" s="33" t="n">
        <v>100</v>
      </c>
      <c r="O1477" s="33" t="inlineStr">
        <is>
          <t>Fly</t>
        </is>
      </c>
      <c r="P1477" s="33" t="inlineStr">
        <is>
          <t>100 Fly</t>
        </is>
      </c>
      <c r="Q1477" s="33" t="inlineStr">
        <is>
          <t>LCM_100_FLY</t>
        </is>
      </c>
      <c r="R1477" s="36" t="n">
        <v>50.14</v>
      </c>
      <c r="S1477" s="35">
        <f>IF(R1477="","",IF(R1477&gt;=60,INT(R1477/60)&amp;":"&amp;TEXT(MOD(R1477,60),"00.00"),TEXT(R1477,"0.00")))</f>
        <v/>
      </c>
      <c r="T1477" s="52">
        <f>IFERROR((G1477-INDEX('01_Swimmers'!$E$5:$E$22,MATCH(B1477,'01_Swimmers'!$A$5:$A$22,0)))/'00_Control'!$B$10,"")</f>
        <v/>
      </c>
      <c r="U1477" s="35">
        <f>IF(T1477="","",INT(T1477))</f>
        <v/>
      </c>
      <c r="V1477" s="33" t="inlineStr">
        <is>
          <t>NO</t>
        </is>
      </c>
      <c r="W1477" s="33" t="inlineStr">
        <is>
          <t>YES</t>
        </is>
      </c>
      <c r="X1477" s="33" t="inlineStr">
        <is>
          <t>NO</t>
        </is>
      </c>
      <c r="Y1477" s="33" t="n">
        <v>1</v>
      </c>
      <c r="Z1477" s="33" t="n">
        <v>4</v>
      </c>
      <c r="AA1477" s="33" t="inlineStr">
        <is>
          <t>1</t>
        </is>
      </c>
      <c r="AB1477" s="33" t="inlineStr">
        <is>
          <t>https://www.swimcloud.com/results/222377/event/29/?id=67637237#time67637237</t>
        </is>
      </c>
      <c r="AC1477" s="33" t="inlineStr">
        <is>
          <t>SwimCloud API v6 2026-10-08</t>
        </is>
      </c>
      <c r="AD1477" s="33" t="inlineStr">
        <is>
          <t>Kristof Milak|2022-06-24|LCM|100|Fly|50.14|19th FINA World Championships|FIN|False</t>
        </is>
      </c>
      <c r="AE1477" s="53">
        <f>G1477+L1477/1000+ROW()/1000000000</f>
        <v/>
      </c>
      <c r="AF1477" s="35">
        <f>IF(C1477&lt;&gt;"Grayson Coulter","",COUNTIFS($C$5:$C$2991,"Grayson Coulter",$Q$5:$Q$2991,Q1477,$AE$5:$AE$2991,"&lt;="&amp;AE1477,$R$5:$R$2991,"&lt;"&amp;R1477))</f>
        <v/>
      </c>
      <c r="AG1477" s="35">
        <f>IF(OR(C1477&lt;&gt;"Grayson Coulter",G1477&lt;'00_Control'!$B$7),"",--(AF1477&lt;5))</f>
        <v/>
      </c>
      <c r="AH1477" s="35">
        <f>IF(OR(C1477&lt;&gt;"Grayson Coulter",G1477&lt;'00_Control'!$B$7),"",--(AF1477&lt;10))</f>
        <v/>
      </c>
      <c r="AI1477" s="35">
        <f>IF(AND(C1477="Grayson Coulter",G1477&gt;='00_Control'!$B$7),"YES","NO")</f>
        <v/>
      </c>
      <c r="AJ1477" s="33" t="inlineStr">
        <is>
          <t>OK</t>
        </is>
      </c>
    </row>
    <row r="1478">
      <c r="A1478" s="33" t="inlineStr">
        <is>
          <t>SM001474</t>
        </is>
      </c>
      <c r="B1478" s="33" t="inlineStr">
        <is>
          <t>SW018</t>
        </is>
      </c>
      <c r="C1478" s="33" t="inlineStr">
        <is>
          <t>Kristof Milak</t>
        </is>
      </c>
      <c r="D1478" s="33" t="inlineStr">
        <is>
          <t>SwimCloud</t>
        </is>
      </c>
      <c r="E1478" s="33" t="inlineStr">
        <is>
          <t>508643</t>
        </is>
      </c>
      <c r="F1478" s="33" t="inlineStr">
        <is>
          <t>74482907</t>
        </is>
      </c>
      <c r="G1478" s="51" t="n">
        <v>44785</v>
      </c>
      <c r="H1478" s="33" t="inlineStr">
        <is>
          <t>LEN European Championships</t>
        </is>
      </c>
      <c r="I1478" s="33" t="inlineStr">
        <is>
          <t>204182</t>
        </is>
      </c>
      <c r="J1478" s="33" t="inlineStr"/>
      <c r="K1478" s="33" t="inlineStr">
        <is>
          <t>PRE</t>
        </is>
      </c>
      <c r="L1478" s="35">
        <f>IF(K1478="FIN",3,IF(OR(K1478="SEM",K1478="SEMI"),2,IF(OR(K1478="PRE",K1478="HEAT"),1,IF(V1478="YES",4,2))))</f>
        <v/>
      </c>
      <c r="M1478" s="33" t="inlineStr">
        <is>
          <t>LCM</t>
        </is>
      </c>
      <c r="N1478" s="33" t="n">
        <v>100</v>
      </c>
      <c r="O1478" s="33" t="inlineStr">
        <is>
          <t>Free</t>
        </is>
      </c>
      <c r="P1478" s="33" t="inlineStr">
        <is>
          <t>100 Free</t>
        </is>
      </c>
      <c r="Q1478" s="33" t="inlineStr">
        <is>
          <t>LCM_100_FREE</t>
        </is>
      </c>
      <c r="R1478" s="36" t="n">
        <v>48.88</v>
      </c>
      <c r="S1478" s="35">
        <f>IF(R1478="","",IF(R1478&gt;=60,INT(R1478/60)&amp;":"&amp;TEXT(MOD(R1478,60),"00.00"),TEXT(R1478,"0.00")))</f>
        <v/>
      </c>
      <c r="T1478" s="52">
        <f>IFERROR((G1478-INDEX('01_Swimmers'!$E$5:$E$22,MATCH(B1478,'01_Swimmers'!$A$5:$A$22,0)))/'00_Control'!$B$10,"")</f>
        <v/>
      </c>
      <c r="U1478" s="35">
        <f>IF(T1478="","",INT(T1478))</f>
        <v/>
      </c>
      <c r="V1478" s="33" t="inlineStr">
        <is>
          <t>NO</t>
        </is>
      </c>
      <c r="W1478" s="33" t="inlineStr">
        <is>
          <t>YES</t>
        </is>
      </c>
      <c r="X1478" s="33" t="inlineStr">
        <is>
          <t>NO</t>
        </is>
      </c>
      <c r="Y1478" s="33" t="n">
        <v>11</v>
      </c>
      <c r="Z1478" s="33" t="n">
        <v>6</v>
      </c>
      <c r="AA1478" s="33" t="inlineStr">
        <is>
          <t>12</t>
        </is>
      </c>
      <c r="AB1478" s="33" t="inlineStr">
        <is>
          <t>https://www.swimcloud.com/results/204182/event/10/?id=74482907#time74482907</t>
        </is>
      </c>
      <c r="AC1478" s="33" t="inlineStr">
        <is>
          <t>SwimCloud API v6 2026-10-08</t>
        </is>
      </c>
      <c r="AD1478" s="33" t="inlineStr">
        <is>
          <t>Kristof Milak|2022-08-12|LCM|100|Free|48.88|LEN European Championships|PRE|False</t>
        </is>
      </c>
      <c r="AE1478" s="53">
        <f>G1478+L1478/1000+ROW()/1000000000</f>
        <v/>
      </c>
      <c r="AF1478" s="35">
        <f>IF(C1478&lt;&gt;"Grayson Coulter","",COUNTIFS($C$5:$C$2991,"Grayson Coulter",$Q$5:$Q$2991,Q1478,$AE$5:$AE$2991,"&lt;="&amp;AE1478,$R$5:$R$2991,"&lt;"&amp;R1478))</f>
        <v/>
      </c>
      <c r="AG1478" s="35">
        <f>IF(OR(C1478&lt;&gt;"Grayson Coulter",G1478&lt;'00_Control'!$B$7),"",--(AF1478&lt;5))</f>
        <v/>
      </c>
      <c r="AH1478" s="35">
        <f>IF(OR(C1478&lt;&gt;"Grayson Coulter",G1478&lt;'00_Control'!$B$7),"",--(AF1478&lt;10))</f>
        <v/>
      </c>
      <c r="AI1478" s="35">
        <f>IF(AND(C1478="Grayson Coulter",G1478&gt;='00_Control'!$B$7),"YES","NO")</f>
        <v/>
      </c>
      <c r="AJ1478" s="33" t="inlineStr">
        <is>
          <t>OK</t>
        </is>
      </c>
    </row>
    <row r="1479">
      <c r="A1479" s="33" t="inlineStr">
        <is>
          <t>SM001475</t>
        </is>
      </c>
      <c r="B1479" s="33" t="inlineStr">
        <is>
          <t>SW018</t>
        </is>
      </c>
      <c r="C1479" s="33" t="inlineStr">
        <is>
          <t>Kristof Milak</t>
        </is>
      </c>
      <c r="D1479" s="33" t="inlineStr">
        <is>
          <t>SwimCloud</t>
        </is>
      </c>
      <c r="E1479" s="33" t="inlineStr">
        <is>
          <t>508643</t>
        </is>
      </c>
      <c r="F1479" s="33" t="inlineStr">
        <is>
          <t>74482908</t>
        </is>
      </c>
      <c r="G1479" s="51" t="n">
        <v>44785</v>
      </c>
      <c r="H1479" s="33" t="inlineStr">
        <is>
          <t>LEN European Championships</t>
        </is>
      </c>
      <c r="I1479" s="33" t="inlineStr">
        <is>
          <t>204182</t>
        </is>
      </c>
      <c r="J1479" s="33" t="inlineStr"/>
      <c r="K1479" s="33" t="inlineStr">
        <is>
          <t>SEM</t>
        </is>
      </c>
      <c r="L1479" s="35">
        <f>IF(K1479="FIN",3,IF(OR(K1479="SEM",K1479="SEMI"),2,IF(OR(K1479="PRE",K1479="HEAT"),1,IF(V1479="YES",4,2))))</f>
        <v/>
      </c>
      <c r="M1479" s="33" t="inlineStr">
        <is>
          <t>LCM</t>
        </is>
      </c>
      <c r="N1479" s="33" t="n">
        <v>100</v>
      </c>
      <c r="O1479" s="33" t="inlineStr">
        <is>
          <t>Free</t>
        </is>
      </c>
      <c r="P1479" s="33" t="inlineStr">
        <is>
          <t>100 Free</t>
        </is>
      </c>
      <c r="Q1479" s="33" t="inlineStr">
        <is>
          <t>LCM_100_FREE</t>
        </is>
      </c>
      <c r="R1479" s="36" t="n">
        <v>47.76</v>
      </c>
      <c r="S1479" s="35">
        <f>IF(R1479="","",IF(R1479&gt;=60,INT(R1479/60)&amp;":"&amp;TEXT(MOD(R1479,60),"00.00"),TEXT(R1479,"0.00")))</f>
        <v/>
      </c>
      <c r="T1479" s="52">
        <f>IFERROR((G1479-INDEX('01_Swimmers'!$E$5:$E$22,MATCH(B1479,'01_Swimmers'!$A$5:$A$22,0)))/'00_Control'!$B$10,"")</f>
        <v/>
      </c>
      <c r="U1479" s="35">
        <f>IF(T1479="","",INT(T1479))</f>
        <v/>
      </c>
      <c r="V1479" s="33" t="inlineStr">
        <is>
          <t>NO</t>
        </is>
      </c>
      <c r="W1479" s="33" t="inlineStr">
        <is>
          <t>YES</t>
        </is>
      </c>
      <c r="X1479" s="33" t="inlineStr">
        <is>
          <t>NO</t>
        </is>
      </c>
      <c r="Y1479" s="33" t="n">
        <v>7</v>
      </c>
      <c r="Z1479" s="33" t="n">
        <v>7</v>
      </c>
      <c r="AA1479" s="33" t="inlineStr">
        <is>
          <t>2</t>
        </is>
      </c>
      <c r="AB1479" s="33" t="inlineStr">
        <is>
          <t>https://www.swimcloud.com/results/204182/event/10/?id=74482908#time74482908</t>
        </is>
      </c>
      <c r="AC1479" s="33" t="inlineStr">
        <is>
          <t>SwimCloud API v6 2026-10-08</t>
        </is>
      </c>
      <c r="AD1479" s="33" t="inlineStr">
        <is>
          <t>Kristof Milak|2022-08-12|LCM|100|Free|47.76|LEN European Championships|SEM|False</t>
        </is>
      </c>
      <c r="AE1479" s="53">
        <f>G1479+L1479/1000+ROW()/1000000000</f>
        <v/>
      </c>
      <c r="AF1479" s="35">
        <f>IF(C1479&lt;&gt;"Grayson Coulter","",COUNTIFS($C$5:$C$2991,"Grayson Coulter",$Q$5:$Q$2991,Q1479,$AE$5:$AE$2991,"&lt;="&amp;AE1479,$R$5:$R$2991,"&lt;"&amp;R1479))</f>
        <v/>
      </c>
      <c r="AG1479" s="35">
        <f>IF(OR(C1479&lt;&gt;"Grayson Coulter",G1479&lt;'00_Control'!$B$7),"",--(AF1479&lt;5))</f>
        <v/>
      </c>
      <c r="AH1479" s="35">
        <f>IF(OR(C1479&lt;&gt;"Grayson Coulter",G1479&lt;'00_Control'!$B$7),"",--(AF1479&lt;10))</f>
        <v/>
      </c>
      <c r="AI1479" s="35">
        <f>IF(AND(C1479="Grayson Coulter",G1479&gt;='00_Control'!$B$7),"YES","NO")</f>
        <v/>
      </c>
      <c r="AJ1479" s="33" t="inlineStr">
        <is>
          <t>OK</t>
        </is>
      </c>
    </row>
    <row r="1480">
      <c r="A1480" s="33" t="inlineStr">
        <is>
          <t>SM001476</t>
        </is>
      </c>
      <c r="B1480" s="33" t="inlineStr">
        <is>
          <t>SW018</t>
        </is>
      </c>
      <c r="C1480" s="33" t="inlineStr">
        <is>
          <t>Kristof Milak</t>
        </is>
      </c>
      <c r="D1480" s="33" t="inlineStr">
        <is>
          <t>SwimCloud</t>
        </is>
      </c>
      <c r="E1480" s="33" t="inlineStr">
        <is>
          <t>508643</t>
        </is>
      </c>
      <c r="F1480" s="33" t="inlineStr">
        <is>
          <t>74482912</t>
        </is>
      </c>
      <c r="G1480" s="51" t="n">
        <v>44786</v>
      </c>
      <c r="H1480" s="33" t="inlineStr">
        <is>
          <t>LEN European Championships</t>
        </is>
      </c>
      <c r="I1480" s="33" t="inlineStr">
        <is>
          <t>204182</t>
        </is>
      </c>
      <c r="J1480" s="33" t="inlineStr"/>
      <c r="K1480" s="33" t="inlineStr">
        <is>
          <t>PRE</t>
        </is>
      </c>
      <c r="L1480" s="35">
        <f>IF(K1480="FIN",3,IF(OR(K1480="SEM",K1480="SEMI"),2,IF(OR(K1480="PRE",K1480="HEAT"),1,IF(V1480="YES",4,2))))</f>
        <v/>
      </c>
      <c r="M1480" s="33" t="inlineStr">
        <is>
          <t>LCM</t>
        </is>
      </c>
      <c r="N1480" s="33" t="n">
        <v>100</v>
      </c>
      <c r="O1480" s="33" t="inlineStr">
        <is>
          <t>Fly</t>
        </is>
      </c>
      <c r="P1480" s="33" t="inlineStr">
        <is>
          <t>100 Fly</t>
        </is>
      </c>
      <c r="Q1480" s="33" t="inlineStr">
        <is>
          <t>LCM_100_FLY</t>
        </is>
      </c>
      <c r="R1480" s="36" t="n">
        <v>51.82</v>
      </c>
      <c r="S1480" s="35">
        <f>IF(R1480="","",IF(R1480&gt;=60,INT(R1480/60)&amp;":"&amp;TEXT(MOD(R1480,60),"00.00"),TEXT(R1480,"0.00")))</f>
        <v/>
      </c>
      <c r="T1480" s="52">
        <f>IFERROR((G1480-INDEX('01_Swimmers'!$E$5:$E$22,MATCH(B1480,'01_Swimmers'!$A$5:$A$22,0)))/'00_Control'!$B$10,"")</f>
        <v/>
      </c>
      <c r="U1480" s="35">
        <f>IF(T1480="","",INT(T1480))</f>
        <v/>
      </c>
      <c r="V1480" s="33" t="inlineStr">
        <is>
          <t>NO</t>
        </is>
      </c>
      <c r="W1480" s="33" t="inlineStr">
        <is>
          <t>YES</t>
        </is>
      </c>
      <c r="X1480" s="33" t="inlineStr">
        <is>
          <t>NO</t>
        </is>
      </c>
      <c r="Y1480" s="33" t="n">
        <v>10</v>
      </c>
      <c r="Z1480" s="33" t="n">
        <v>4</v>
      </c>
      <c r="AA1480" s="33" t="inlineStr">
        <is>
          <t>3</t>
        </is>
      </c>
      <c r="AB1480" s="33" t="inlineStr">
        <is>
          <t>https://www.swimcloud.com/results/204182/event/16/?id=74482912#time74482912</t>
        </is>
      </c>
      <c r="AC1480" s="33" t="inlineStr">
        <is>
          <t>SwimCloud API v6 2026-10-08</t>
        </is>
      </c>
      <c r="AD1480" s="33" t="inlineStr">
        <is>
          <t>Kristof Milak|2022-08-13|LCM|100|Fly|51.82|LEN European Championships|PRE|False</t>
        </is>
      </c>
      <c r="AE1480" s="53">
        <f>G1480+L1480/1000+ROW()/1000000000</f>
        <v/>
      </c>
      <c r="AF1480" s="35">
        <f>IF(C1480&lt;&gt;"Grayson Coulter","",COUNTIFS($C$5:$C$2991,"Grayson Coulter",$Q$5:$Q$2991,Q1480,$AE$5:$AE$2991,"&lt;="&amp;AE1480,$R$5:$R$2991,"&lt;"&amp;R1480))</f>
        <v/>
      </c>
      <c r="AG1480" s="35">
        <f>IF(OR(C1480&lt;&gt;"Grayson Coulter",G1480&lt;'00_Control'!$B$7),"",--(AF1480&lt;5))</f>
        <v/>
      </c>
      <c r="AH1480" s="35">
        <f>IF(OR(C1480&lt;&gt;"Grayson Coulter",G1480&lt;'00_Control'!$B$7),"",--(AF1480&lt;10))</f>
        <v/>
      </c>
      <c r="AI1480" s="35">
        <f>IF(AND(C1480="Grayson Coulter",G1480&gt;='00_Control'!$B$7),"YES","NO")</f>
        <v/>
      </c>
      <c r="AJ1480" s="33" t="inlineStr">
        <is>
          <t>OK</t>
        </is>
      </c>
    </row>
    <row r="1481">
      <c r="A1481" s="33" t="inlineStr">
        <is>
          <t>SM001477</t>
        </is>
      </c>
      <c r="B1481" s="33" t="inlineStr">
        <is>
          <t>SW018</t>
        </is>
      </c>
      <c r="C1481" s="33" t="inlineStr">
        <is>
          <t>Kristof Milak</t>
        </is>
      </c>
      <c r="D1481" s="33" t="inlineStr">
        <is>
          <t>SwimCloud</t>
        </is>
      </c>
      <c r="E1481" s="33" t="inlineStr">
        <is>
          <t>508643</t>
        </is>
      </c>
      <c r="F1481" s="33" t="inlineStr">
        <is>
          <t>74482913</t>
        </is>
      </c>
      <c r="G1481" s="51" t="n">
        <v>44786</v>
      </c>
      <c r="H1481" s="33" t="inlineStr">
        <is>
          <t>LEN European Championships</t>
        </is>
      </c>
      <c r="I1481" s="33" t="inlineStr">
        <is>
          <t>204182</t>
        </is>
      </c>
      <c r="J1481" s="33" t="inlineStr"/>
      <c r="K1481" s="33" t="inlineStr">
        <is>
          <t>SEM</t>
        </is>
      </c>
      <c r="L1481" s="35">
        <f>IF(K1481="FIN",3,IF(OR(K1481="SEM",K1481="SEMI"),2,IF(OR(K1481="PRE",K1481="HEAT"),1,IF(V1481="YES",4,2))))</f>
        <v/>
      </c>
      <c r="M1481" s="33" t="inlineStr">
        <is>
          <t>LCM</t>
        </is>
      </c>
      <c r="N1481" s="33" t="n">
        <v>100</v>
      </c>
      <c r="O1481" s="33" t="inlineStr">
        <is>
          <t>Fly</t>
        </is>
      </c>
      <c r="P1481" s="33" t="inlineStr">
        <is>
          <t>100 Fly</t>
        </is>
      </c>
      <c r="Q1481" s="33" t="inlineStr">
        <is>
          <t>LCM_100_FLY</t>
        </is>
      </c>
      <c r="R1481" s="36" t="n">
        <v>51.01</v>
      </c>
      <c r="S1481" s="35">
        <f>IF(R1481="","",IF(R1481&gt;=60,INT(R1481/60)&amp;":"&amp;TEXT(MOD(R1481,60),"00.00"),TEXT(R1481,"0.00")))</f>
        <v/>
      </c>
      <c r="T1481" s="52">
        <f>IFERROR((G1481-INDEX('01_Swimmers'!$E$5:$E$22,MATCH(B1481,'01_Swimmers'!$A$5:$A$22,0)))/'00_Control'!$B$10,"")</f>
        <v/>
      </c>
      <c r="U1481" s="35">
        <f>IF(T1481="","",INT(T1481))</f>
        <v/>
      </c>
      <c r="V1481" s="33" t="inlineStr">
        <is>
          <t>NO</t>
        </is>
      </c>
      <c r="W1481" s="33" t="inlineStr">
        <is>
          <t>YES</t>
        </is>
      </c>
      <c r="X1481" s="33" t="inlineStr">
        <is>
          <t>NO</t>
        </is>
      </c>
      <c r="Y1481" s="33" t="n">
        <v>8</v>
      </c>
      <c r="Z1481" s="33" t="n">
        <v>5</v>
      </c>
      <c r="AA1481" s="33" t="inlineStr">
        <is>
          <t>1</t>
        </is>
      </c>
      <c r="AB1481" s="33" t="inlineStr">
        <is>
          <t>https://www.swimcloud.com/results/204182/event/16/?id=74482913#time74482913</t>
        </is>
      </c>
      <c r="AC1481" s="33" t="inlineStr">
        <is>
          <t>SwimCloud API v6 2026-10-08</t>
        </is>
      </c>
      <c r="AD1481" s="33" t="inlineStr">
        <is>
          <t>Kristof Milak|2022-08-13|LCM|100|Fly|51.01|LEN European Championships|SEM|False</t>
        </is>
      </c>
      <c r="AE1481" s="53">
        <f>G1481+L1481/1000+ROW()/1000000000</f>
        <v/>
      </c>
      <c r="AF1481" s="35">
        <f>IF(C1481&lt;&gt;"Grayson Coulter","",COUNTIFS($C$5:$C$2991,"Grayson Coulter",$Q$5:$Q$2991,Q1481,$AE$5:$AE$2991,"&lt;="&amp;AE1481,$R$5:$R$2991,"&lt;"&amp;R1481))</f>
        <v/>
      </c>
      <c r="AG1481" s="35">
        <f>IF(OR(C1481&lt;&gt;"Grayson Coulter",G1481&lt;'00_Control'!$B$7),"",--(AF1481&lt;5))</f>
        <v/>
      </c>
      <c r="AH1481" s="35">
        <f>IF(OR(C1481&lt;&gt;"Grayson Coulter",G1481&lt;'00_Control'!$B$7),"",--(AF1481&lt;10))</f>
        <v/>
      </c>
      <c r="AI1481" s="35">
        <f>IF(AND(C1481="Grayson Coulter",G1481&gt;='00_Control'!$B$7),"YES","NO")</f>
        <v/>
      </c>
      <c r="AJ1481" s="33" t="inlineStr">
        <is>
          <t>OK</t>
        </is>
      </c>
    </row>
    <row r="1482">
      <c r="A1482" s="33" t="inlineStr">
        <is>
          <t>SM001478</t>
        </is>
      </c>
      <c r="B1482" s="33" t="inlineStr">
        <is>
          <t>SW018</t>
        </is>
      </c>
      <c r="C1482" s="33" t="inlineStr">
        <is>
          <t>Kristof Milak</t>
        </is>
      </c>
      <c r="D1482" s="33" t="inlineStr">
        <is>
          <t>SwimCloud</t>
        </is>
      </c>
      <c r="E1482" s="33" t="inlineStr">
        <is>
          <t>508643</t>
        </is>
      </c>
      <c r="F1482" s="33" t="inlineStr">
        <is>
          <t>74482909</t>
        </is>
      </c>
      <c r="G1482" s="51" t="n">
        <v>44786</v>
      </c>
      <c r="H1482" s="33" t="inlineStr">
        <is>
          <t>LEN European Championships</t>
        </is>
      </c>
      <c r="I1482" s="33" t="inlineStr">
        <is>
          <t>204182</t>
        </is>
      </c>
      <c r="J1482" s="33" t="inlineStr"/>
      <c r="K1482" s="33" t="inlineStr">
        <is>
          <t>FIN</t>
        </is>
      </c>
      <c r="L1482" s="35">
        <f>IF(K1482="FIN",3,IF(OR(K1482="SEM",K1482="SEMI"),2,IF(OR(K1482="PRE",K1482="HEAT"),1,IF(V1482="YES",4,2))))</f>
        <v/>
      </c>
      <c r="M1482" s="33" t="inlineStr">
        <is>
          <t>LCM</t>
        </is>
      </c>
      <c r="N1482" s="33" t="n">
        <v>100</v>
      </c>
      <c r="O1482" s="33" t="inlineStr">
        <is>
          <t>Free</t>
        </is>
      </c>
      <c r="P1482" s="33" t="inlineStr">
        <is>
          <t>100 Free</t>
        </is>
      </c>
      <c r="Q1482" s="33" t="inlineStr">
        <is>
          <t>LCM_100_FREE</t>
        </is>
      </c>
      <c r="R1482" s="36" t="n">
        <v>47.47</v>
      </c>
      <c r="S1482" s="35">
        <f>IF(R1482="","",IF(R1482&gt;=60,INT(R1482/60)&amp;":"&amp;TEXT(MOD(R1482,60),"00.00"),TEXT(R1482,"0.00")))</f>
        <v/>
      </c>
      <c r="T1482" s="52">
        <f>IFERROR((G1482-INDEX('01_Swimmers'!$E$5:$E$22,MATCH(B1482,'01_Swimmers'!$A$5:$A$22,0)))/'00_Control'!$B$10,"")</f>
        <v/>
      </c>
      <c r="U1482" s="35">
        <f>IF(T1482="","",INT(T1482))</f>
        <v/>
      </c>
      <c r="V1482" s="33" t="inlineStr">
        <is>
          <t>NO</t>
        </is>
      </c>
      <c r="W1482" s="33" t="inlineStr">
        <is>
          <t>YES</t>
        </is>
      </c>
      <c r="X1482" s="33" t="inlineStr">
        <is>
          <t>NO</t>
        </is>
      </c>
      <c r="Y1482" s="33" t="n">
        <v>5</v>
      </c>
      <c r="Z1482" s="33" t="n">
        <v>5</v>
      </c>
      <c r="AA1482" s="33" t="inlineStr">
        <is>
          <t>2</t>
        </is>
      </c>
      <c r="AB1482" s="33" t="inlineStr">
        <is>
          <t>https://www.swimcloud.com/results/204182/event/10/?id=74482909#time74482909</t>
        </is>
      </c>
      <c r="AC1482" s="33" t="inlineStr">
        <is>
          <t>SwimCloud API v6 2026-10-08</t>
        </is>
      </c>
      <c r="AD1482" s="33" t="inlineStr">
        <is>
          <t>Kristof Milak|2022-08-13|LCM|100|Free|47.47|LEN European Championships|FIN|False</t>
        </is>
      </c>
      <c r="AE1482" s="53">
        <f>G1482+L1482/1000+ROW()/1000000000</f>
        <v/>
      </c>
      <c r="AF1482" s="35">
        <f>IF(C1482&lt;&gt;"Grayson Coulter","",COUNTIFS($C$5:$C$2991,"Grayson Coulter",$Q$5:$Q$2991,Q1482,$AE$5:$AE$2991,"&lt;="&amp;AE1482,$R$5:$R$2991,"&lt;"&amp;R1482))</f>
        <v/>
      </c>
      <c r="AG1482" s="35">
        <f>IF(OR(C1482&lt;&gt;"Grayson Coulter",G1482&lt;'00_Control'!$B$7),"",--(AF1482&lt;5))</f>
        <v/>
      </c>
      <c r="AH1482" s="35">
        <f>IF(OR(C1482&lt;&gt;"Grayson Coulter",G1482&lt;'00_Control'!$B$7),"",--(AF1482&lt;10))</f>
        <v/>
      </c>
      <c r="AI1482" s="35">
        <f>IF(AND(C1482="Grayson Coulter",G1482&gt;='00_Control'!$B$7),"YES","NO")</f>
        <v/>
      </c>
      <c r="AJ1482" s="33" t="inlineStr">
        <is>
          <t>OK</t>
        </is>
      </c>
    </row>
    <row r="1483">
      <c r="A1483" s="33" t="inlineStr">
        <is>
          <t>SM001479</t>
        </is>
      </c>
      <c r="B1483" s="33" t="inlineStr">
        <is>
          <t>SW018</t>
        </is>
      </c>
      <c r="C1483" s="33" t="inlineStr">
        <is>
          <t>Kristof Milak</t>
        </is>
      </c>
      <c r="D1483" s="33" t="inlineStr">
        <is>
          <t>SwimCloud</t>
        </is>
      </c>
      <c r="E1483" s="33" t="inlineStr">
        <is>
          <t>508643</t>
        </is>
      </c>
      <c r="F1483" s="33" t="inlineStr">
        <is>
          <t>74482914</t>
        </is>
      </c>
      <c r="G1483" s="51" t="n">
        <v>44787</v>
      </c>
      <c r="H1483" s="33" t="inlineStr">
        <is>
          <t>LEN European Championships</t>
        </is>
      </c>
      <c r="I1483" s="33" t="inlineStr">
        <is>
          <t>204182</t>
        </is>
      </c>
      <c r="J1483" s="33" t="inlineStr"/>
      <c r="K1483" s="33" t="inlineStr">
        <is>
          <t>FIN</t>
        </is>
      </c>
      <c r="L1483" s="35">
        <f>IF(K1483="FIN",3,IF(OR(K1483="SEM",K1483="SEMI"),2,IF(OR(K1483="PRE",K1483="HEAT"),1,IF(V1483="YES",4,2))))</f>
        <v/>
      </c>
      <c r="M1483" s="33" t="inlineStr">
        <is>
          <t>LCM</t>
        </is>
      </c>
      <c r="N1483" s="33" t="n">
        <v>100</v>
      </c>
      <c r="O1483" s="33" t="inlineStr">
        <is>
          <t>Fly</t>
        </is>
      </c>
      <c r="P1483" s="33" t="inlineStr">
        <is>
          <t>100 Fly</t>
        </is>
      </c>
      <c r="Q1483" s="33" t="inlineStr">
        <is>
          <t>LCM_100_FLY</t>
        </is>
      </c>
      <c r="R1483" s="36" t="n">
        <v>50.33</v>
      </c>
      <c r="S1483" s="35">
        <f>IF(R1483="","",IF(R1483&gt;=60,INT(R1483/60)&amp;":"&amp;TEXT(MOD(R1483,60),"00.00"),TEXT(R1483,"0.00")))</f>
        <v/>
      </c>
      <c r="T1483" s="52">
        <f>IFERROR((G1483-INDEX('01_Swimmers'!$E$5:$E$22,MATCH(B1483,'01_Swimmers'!$A$5:$A$22,0)))/'00_Control'!$B$10,"")</f>
        <v/>
      </c>
      <c r="U1483" s="35">
        <f>IF(T1483="","",INT(T1483))</f>
        <v/>
      </c>
      <c r="V1483" s="33" t="inlineStr">
        <is>
          <t>NO</t>
        </is>
      </c>
      <c r="W1483" s="33" t="inlineStr">
        <is>
          <t>YES</t>
        </is>
      </c>
      <c r="X1483" s="33" t="inlineStr">
        <is>
          <t>NO</t>
        </is>
      </c>
      <c r="Y1483" s="33" t="n">
        <v>1</v>
      </c>
      <c r="Z1483" s="33" t="n">
        <v>4</v>
      </c>
      <c r="AA1483" s="33" t="inlineStr">
        <is>
          <t>1</t>
        </is>
      </c>
      <c r="AB1483" s="33" t="inlineStr">
        <is>
          <t>https://www.swimcloud.com/results/204182/event/16/?id=74482914#time74482914</t>
        </is>
      </c>
      <c r="AC1483" s="33" t="inlineStr">
        <is>
          <t>SwimCloud API v6 2026-10-08</t>
        </is>
      </c>
      <c r="AD1483" s="33" t="inlineStr">
        <is>
          <t>Kristof Milak|2022-08-14|LCM|100|Fly|50.33|LEN European Championships|FIN|False</t>
        </is>
      </c>
      <c r="AE1483" s="53">
        <f>G1483+L1483/1000+ROW()/1000000000</f>
        <v/>
      </c>
      <c r="AF1483" s="35">
        <f>IF(C1483&lt;&gt;"Grayson Coulter","",COUNTIFS($C$5:$C$2991,"Grayson Coulter",$Q$5:$Q$2991,Q1483,$AE$5:$AE$2991,"&lt;="&amp;AE1483,$R$5:$R$2991,"&lt;"&amp;R1483))</f>
        <v/>
      </c>
      <c r="AG1483" s="35">
        <f>IF(OR(C1483&lt;&gt;"Grayson Coulter",G1483&lt;'00_Control'!$B$7),"",--(AF1483&lt;5))</f>
        <v/>
      </c>
      <c r="AH1483" s="35">
        <f>IF(OR(C1483&lt;&gt;"Grayson Coulter",G1483&lt;'00_Control'!$B$7),"",--(AF1483&lt;10))</f>
        <v/>
      </c>
      <c r="AI1483" s="35">
        <f>IF(AND(C1483="Grayson Coulter",G1483&gt;='00_Control'!$B$7),"YES","NO")</f>
        <v/>
      </c>
      <c r="AJ1483" s="33" t="inlineStr">
        <is>
          <t>OK</t>
        </is>
      </c>
    </row>
    <row r="1484">
      <c r="A1484" s="33" t="inlineStr">
        <is>
          <t>SM001480</t>
        </is>
      </c>
      <c r="B1484" s="33" t="inlineStr">
        <is>
          <t>SW018</t>
        </is>
      </c>
      <c r="C1484" s="33" t="inlineStr">
        <is>
          <t>Kristof Milak</t>
        </is>
      </c>
      <c r="D1484" s="33" t="inlineStr">
        <is>
          <t>SwimCloud</t>
        </is>
      </c>
      <c r="E1484" s="33" t="inlineStr">
        <is>
          <t>508643</t>
        </is>
      </c>
      <c r="F1484" s="33" t="inlineStr">
        <is>
          <t>74482910</t>
        </is>
      </c>
      <c r="G1484" s="51" t="n">
        <v>44787</v>
      </c>
      <c r="H1484" s="33" t="inlineStr">
        <is>
          <t>LEN European Championships</t>
        </is>
      </c>
      <c r="I1484" s="33" t="inlineStr">
        <is>
          <t>204182</t>
        </is>
      </c>
      <c r="J1484" s="33" t="inlineStr"/>
      <c r="K1484" s="33" t="inlineStr">
        <is>
          <t>PRE</t>
        </is>
      </c>
      <c r="L1484" s="35">
        <f>IF(K1484="FIN",3,IF(OR(K1484="SEM",K1484="SEMI"),2,IF(OR(K1484="PRE",K1484="HEAT"),1,IF(V1484="YES",4,2))))</f>
        <v/>
      </c>
      <c r="M1484" s="33" t="inlineStr">
        <is>
          <t>LCM</t>
        </is>
      </c>
      <c r="N1484" s="33" t="n">
        <v>200</v>
      </c>
      <c r="O1484" s="33" t="inlineStr">
        <is>
          <t>Free</t>
        </is>
      </c>
      <c r="P1484" s="33" t="inlineStr">
        <is>
          <t>200 Free</t>
        </is>
      </c>
      <c r="Q1484" s="33" t="inlineStr">
        <is>
          <t>LCM_200_FREE</t>
        </is>
      </c>
      <c r="R1484" s="36" t="n">
        <v>106.26</v>
      </c>
      <c r="S1484" s="35">
        <f>IF(R1484="","",IF(R1484&gt;=60,INT(R1484/60)&amp;":"&amp;TEXT(MOD(R1484,60),"00.00"),TEXT(R1484,"0.00")))</f>
        <v/>
      </c>
      <c r="T1484" s="52">
        <f>IFERROR((G1484-INDEX('01_Swimmers'!$E$5:$E$22,MATCH(B1484,'01_Swimmers'!$A$5:$A$22,0)))/'00_Control'!$B$10,"")</f>
        <v/>
      </c>
      <c r="U1484" s="35">
        <f>IF(T1484="","",INT(T1484))</f>
        <v/>
      </c>
      <c r="V1484" s="33" t="inlineStr">
        <is>
          <t>NO</t>
        </is>
      </c>
      <c r="W1484" s="33" t="inlineStr">
        <is>
          <t>YES</t>
        </is>
      </c>
      <c r="X1484" s="33" t="inlineStr">
        <is>
          <t>NO</t>
        </is>
      </c>
      <c r="Y1484" s="33" t="n">
        <v>4</v>
      </c>
      <c r="Z1484" s="33" t="n">
        <v>5</v>
      </c>
      <c r="AA1484" s="33" t="inlineStr">
        <is>
          <t>1</t>
        </is>
      </c>
      <c r="AB1484" s="33" t="inlineStr">
        <is>
          <t>https://www.swimcloud.com/results/204182/event/21/?id=74482910#time74482910</t>
        </is>
      </c>
      <c r="AC1484" s="33" t="inlineStr">
        <is>
          <t>SwimCloud API v6 2026-10-08</t>
        </is>
      </c>
      <c r="AD1484" s="33" t="inlineStr">
        <is>
          <t>Kristof Milak|2022-08-14|LCM|200|Free|106.26|LEN European Championships|PRE|False</t>
        </is>
      </c>
      <c r="AE1484" s="53">
        <f>G1484+L1484/1000+ROW()/1000000000</f>
        <v/>
      </c>
      <c r="AF1484" s="35">
        <f>IF(C1484&lt;&gt;"Grayson Coulter","",COUNTIFS($C$5:$C$2991,"Grayson Coulter",$Q$5:$Q$2991,Q1484,$AE$5:$AE$2991,"&lt;="&amp;AE1484,$R$5:$R$2991,"&lt;"&amp;R1484))</f>
        <v/>
      </c>
      <c r="AG1484" s="35">
        <f>IF(OR(C1484&lt;&gt;"Grayson Coulter",G1484&lt;'00_Control'!$B$7),"",--(AF1484&lt;5))</f>
        <v/>
      </c>
      <c r="AH1484" s="35">
        <f>IF(OR(C1484&lt;&gt;"Grayson Coulter",G1484&lt;'00_Control'!$B$7),"",--(AF1484&lt;10))</f>
        <v/>
      </c>
      <c r="AI1484" s="35">
        <f>IF(AND(C1484="Grayson Coulter",G1484&gt;='00_Control'!$B$7),"YES","NO")</f>
        <v/>
      </c>
      <c r="AJ1484" s="33" t="inlineStr">
        <is>
          <t>OK</t>
        </is>
      </c>
    </row>
    <row r="1485">
      <c r="A1485" s="33" t="inlineStr">
        <is>
          <t>SM001481</t>
        </is>
      </c>
      <c r="B1485" s="33" t="inlineStr">
        <is>
          <t>SW018</t>
        </is>
      </c>
      <c r="C1485" s="33" t="inlineStr">
        <is>
          <t>Kristof Milak</t>
        </is>
      </c>
      <c r="D1485" s="33" t="inlineStr">
        <is>
          <t>SwimCloud</t>
        </is>
      </c>
      <c r="E1485" s="33" t="inlineStr">
        <is>
          <t>508643</t>
        </is>
      </c>
      <c r="F1485" s="33" t="inlineStr">
        <is>
          <t>74482911</t>
        </is>
      </c>
      <c r="G1485" s="51" t="n">
        <v>44787</v>
      </c>
      <c r="H1485" s="33" t="inlineStr">
        <is>
          <t>LEN European Championships</t>
        </is>
      </c>
      <c r="I1485" s="33" t="inlineStr">
        <is>
          <t>204182</t>
        </is>
      </c>
      <c r="J1485" s="33" t="inlineStr"/>
      <c r="K1485" s="33" t="inlineStr">
        <is>
          <t>SEM</t>
        </is>
      </c>
      <c r="L1485" s="35">
        <f>IF(K1485="FIN",3,IF(OR(K1485="SEM",K1485="SEMI"),2,IF(OR(K1485="PRE",K1485="HEAT"),1,IF(V1485="YES",4,2))))</f>
        <v/>
      </c>
      <c r="M1485" s="33" t="inlineStr">
        <is>
          <t>LCM</t>
        </is>
      </c>
      <c r="N1485" s="33" t="n">
        <v>200</v>
      </c>
      <c r="O1485" s="33" t="inlineStr">
        <is>
          <t>Free</t>
        </is>
      </c>
      <c r="P1485" s="33" t="inlineStr">
        <is>
          <t>200 Free</t>
        </is>
      </c>
      <c r="Q1485" s="33" t="inlineStr">
        <is>
          <t>LCM_200_FREE</t>
        </is>
      </c>
      <c r="R1485" s="36" t="n">
        <v>107.37</v>
      </c>
      <c r="S1485" s="35">
        <f>IF(R1485="","",IF(R1485&gt;=60,INT(R1485/60)&amp;":"&amp;TEXT(MOD(R1485,60),"00.00"),TEXT(R1485,"0.00")))</f>
        <v/>
      </c>
      <c r="T1485" s="52">
        <f>IFERROR((G1485-INDEX('01_Swimmers'!$E$5:$E$22,MATCH(B1485,'01_Swimmers'!$A$5:$A$22,0)))/'00_Control'!$B$10,"")</f>
        <v/>
      </c>
      <c r="U1485" s="35">
        <f>IF(T1485="","",INT(T1485))</f>
        <v/>
      </c>
      <c r="V1485" s="33" t="inlineStr">
        <is>
          <t>NO</t>
        </is>
      </c>
      <c r="W1485" s="33" t="inlineStr">
        <is>
          <t>YES</t>
        </is>
      </c>
      <c r="X1485" s="33" t="inlineStr">
        <is>
          <t>NO</t>
        </is>
      </c>
      <c r="Y1485" s="33" t="n">
        <v>4</v>
      </c>
      <c r="Z1485" s="33" t="n">
        <v>4</v>
      </c>
      <c r="AA1485" s="33" t="inlineStr">
        <is>
          <t>10</t>
        </is>
      </c>
      <c r="AB1485" s="33" t="inlineStr">
        <is>
          <t>https://www.swimcloud.com/results/204182/event/21/?id=74482911#time74482911</t>
        </is>
      </c>
      <c r="AC1485" s="33" t="inlineStr">
        <is>
          <t>SwimCloud API v6 2026-10-08</t>
        </is>
      </c>
      <c r="AD1485" s="33" t="inlineStr">
        <is>
          <t>Kristof Milak|2022-08-14|LCM|200|Free|107.37|LEN European Championships|SEM|False</t>
        </is>
      </c>
      <c r="AE1485" s="53">
        <f>G1485+L1485/1000+ROW()/1000000000</f>
        <v/>
      </c>
      <c r="AF1485" s="35">
        <f>IF(C1485&lt;&gt;"Grayson Coulter","",COUNTIFS($C$5:$C$2991,"Grayson Coulter",$Q$5:$Q$2991,Q1485,$AE$5:$AE$2991,"&lt;="&amp;AE1485,$R$5:$R$2991,"&lt;"&amp;R1485))</f>
        <v/>
      </c>
      <c r="AG1485" s="35">
        <f>IF(OR(C1485&lt;&gt;"Grayson Coulter",G1485&lt;'00_Control'!$B$7),"",--(AF1485&lt;5))</f>
        <v/>
      </c>
      <c r="AH1485" s="35">
        <f>IF(OR(C1485&lt;&gt;"Grayson Coulter",G1485&lt;'00_Control'!$B$7),"",--(AF1485&lt;10))</f>
        <v/>
      </c>
      <c r="AI1485" s="35">
        <f>IF(AND(C1485="Grayson Coulter",G1485&gt;='00_Control'!$B$7),"YES","NO")</f>
        <v/>
      </c>
      <c r="AJ1485" s="33" t="inlineStr">
        <is>
          <t>OK</t>
        </is>
      </c>
    </row>
    <row r="1486">
      <c r="A1486" s="33" t="inlineStr">
        <is>
          <t>SM001482</t>
        </is>
      </c>
      <c r="B1486" s="33" t="inlineStr">
        <is>
          <t>SW018</t>
        </is>
      </c>
      <c r="C1486" s="33" t="inlineStr">
        <is>
          <t>Kristof Milak</t>
        </is>
      </c>
      <c r="D1486" s="33" t="inlineStr">
        <is>
          <t>SwimCloud</t>
        </is>
      </c>
      <c r="E1486" s="33" t="inlineStr">
        <is>
          <t>508643</t>
        </is>
      </c>
      <c r="F1486" s="33" t="inlineStr">
        <is>
          <t>125403594</t>
        </is>
      </c>
      <c r="G1486" s="51" t="n">
        <v>45391</v>
      </c>
      <c r="H1486" s="33" t="inlineStr">
        <is>
          <t>CXXVI Országos Bajnokság</t>
        </is>
      </c>
      <c r="I1486" s="33" t="inlineStr">
        <is>
          <t>301900</t>
        </is>
      </c>
      <c r="J1486" s="33" t="inlineStr"/>
      <c r="K1486" s="33" t="inlineStr">
        <is>
          <t>PRE</t>
        </is>
      </c>
      <c r="L1486" s="35">
        <f>IF(K1486="FIN",3,IF(OR(K1486="SEM",K1486="SEMI"),2,IF(OR(K1486="PRE",K1486="HEAT"),1,IF(V1486="YES",4,2))))</f>
        <v/>
      </c>
      <c r="M1486" s="33" t="inlineStr">
        <is>
          <t>LCM</t>
        </is>
      </c>
      <c r="N1486" s="33" t="n">
        <v>100</v>
      </c>
      <c r="O1486" s="33" t="inlineStr">
        <is>
          <t>Free</t>
        </is>
      </c>
      <c r="P1486" s="33" t="inlineStr">
        <is>
          <t>100 Free</t>
        </is>
      </c>
      <c r="Q1486" s="33" t="inlineStr">
        <is>
          <t>LCM_100_FREE</t>
        </is>
      </c>
      <c r="R1486" s="36" t="n">
        <v>49.02</v>
      </c>
      <c r="S1486" s="35">
        <f>IF(R1486="","",IF(R1486&gt;=60,INT(R1486/60)&amp;":"&amp;TEXT(MOD(R1486,60),"00.00"),TEXT(R1486,"0.00")))</f>
        <v/>
      </c>
      <c r="T1486" s="52">
        <f>IFERROR((G1486-INDEX('01_Swimmers'!$E$5:$E$22,MATCH(B1486,'01_Swimmers'!$A$5:$A$22,0)))/'00_Control'!$B$10,"")</f>
        <v/>
      </c>
      <c r="U1486" s="35">
        <f>IF(T1486="","",INT(T1486))</f>
        <v/>
      </c>
      <c r="V1486" s="33" t="inlineStr">
        <is>
          <t>NO</t>
        </is>
      </c>
      <c r="W1486" s="33" t="inlineStr">
        <is>
          <t>YES</t>
        </is>
      </c>
      <c r="X1486" s="33" t="inlineStr">
        <is>
          <t>NO</t>
        </is>
      </c>
      <c r="Y1486" s="33" t="n">
        <v>9</v>
      </c>
      <c r="Z1486" s="33" t="n">
        <v>5</v>
      </c>
      <c r="AA1486" s="33" t="inlineStr"/>
      <c r="AB1486" s="33" t="inlineStr">
        <is>
          <t>https://www.swimcloud.com/results/301900/event/3/?id=125403594#time125403594</t>
        </is>
      </c>
      <c r="AC1486" s="33" t="inlineStr">
        <is>
          <t>SwimCloud API v6 2026-10-08</t>
        </is>
      </c>
      <c r="AD1486" s="33" t="inlineStr">
        <is>
          <t>Kristof Milak|2024-04-09|LCM|100|Free|49.02|CXXVI Országos Bajnokság|PRE|False</t>
        </is>
      </c>
      <c r="AE1486" s="53">
        <f>G1486+L1486/1000+ROW()/1000000000</f>
        <v/>
      </c>
      <c r="AF1486" s="35">
        <f>IF(C1486&lt;&gt;"Grayson Coulter","",COUNTIFS($C$5:$C$2991,"Grayson Coulter",$Q$5:$Q$2991,Q1486,$AE$5:$AE$2991,"&lt;="&amp;AE1486,$R$5:$R$2991,"&lt;"&amp;R1486))</f>
        <v/>
      </c>
      <c r="AG1486" s="35">
        <f>IF(OR(C1486&lt;&gt;"Grayson Coulter",G1486&lt;'00_Control'!$B$7),"",--(AF1486&lt;5))</f>
        <v/>
      </c>
      <c r="AH1486" s="35">
        <f>IF(OR(C1486&lt;&gt;"Grayson Coulter",G1486&lt;'00_Control'!$B$7),"",--(AF1486&lt;10))</f>
        <v/>
      </c>
      <c r="AI1486" s="35">
        <f>IF(AND(C1486="Grayson Coulter",G1486&gt;='00_Control'!$B$7),"YES","NO")</f>
        <v/>
      </c>
      <c r="AJ1486" s="33" t="inlineStr">
        <is>
          <t>OK</t>
        </is>
      </c>
    </row>
    <row r="1487">
      <c r="A1487" s="33" t="inlineStr">
        <is>
          <t>SM001483</t>
        </is>
      </c>
      <c r="B1487" s="33" t="inlineStr">
        <is>
          <t>SW018</t>
        </is>
      </c>
      <c r="C1487" s="33" t="inlineStr">
        <is>
          <t>Kristof Milak</t>
        </is>
      </c>
      <c r="D1487" s="33" t="inlineStr">
        <is>
          <t>SwimCloud</t>
        </is>
      </c>
      <c r="E1487" s="33" t="inlineStr">
        <is>
          <t>508643</t>
        </is>
      </c>
      <c r="F1487" s="33" t="inlineStr">
        <is>
          <t>125403600</t>
        </is>
      </c>
      <c r="G1487" s="51" t="n">
        <v>45391</v>
      </c>
      <c r="H1487" s="33" t="inlineStr">
        <is>
          <t>CXXVI Országos Bajnokság</t>
        </is>
      </c>
      <c r="I1487" s="33" t="inlineStr">
        <is>
          <t>301900</t>
        </is>
      </c>
      <c r="J1487" s="33" t="inlineStr"/>
      <c r="K1487" s="33" t="inlineStr">
        <is>
          <t>FIN</t>
        </is>
      </c>
      <c r="L1487" s="35">
        <f>IF(K1487="FIN",3,IF(OR(K1487="SEM",K1487="SEMI"),2,IF(OR(K1487="PRE",K1487="HEAT"),1,IF(V1487="YES",4,2))))</f>
        <v/>
      </c>
      <c r="M1487" s="33" t="inlineStr">
        <is>
          <t>LCM</t>
        </is>
      </c>
      <c r="N1487" s="33" t="n">
        <v>100</v>
      </c>
      <c r="O1487" s="33" t="inlineStr">
        <is>
          <t>Free</t>
        </is>
      </c>
      <c r="P1487" s="33" t="inlineStr">
        <is>
          <t>100 Free</t>
        </is>
      </c>
      <c r="Q1487" s="33" t="inlineStr">
        <is>
          <t>LCM_100_FREE</t>
        </is>
      </c>
      <c r="R1487" s="36" t="n">
        <v>48.38</v>
      </c>
      <c r="S1487" s="35">
        <f>IF(R1487="","",IF(R1487&gt;=60,INT(R1487/60)&amp;":"&amp;TEXT(MOD(R1487,60),"00.00"),TEXT(R1487,"0.00")))</f>
        <v/>
      </c>
      <c r="T1487" s="52">
        <f>IFERROR((G1487-INDEX('01_Swimmers'!$E$5:$E$22,MATCH(B1487,'01_Swimmers'!$A$5:$A$22,0)))/'00_Control'!$B$10,"")</f>
        <v/>
      </c>
      <c r="U1487" s="35">
        <f>IF(T1487="","",INT(T1487))</f>
        <v/>
      </c>
      <c r="V1487" s="33" t="inlineStr">
        <is>
          <t>NO</t>
        </is>
      </c>
      <c r="W1487" s="33" t="inlineStr">
        <is>
          <t>YES</t>
        </is>
      </c>
      <c r="X1487" s="33" t="inlineStr">
        <is>
          <t>NO</t>
        </is>
      </c>
      <c r="Y1487" s="33" t="n">
        <v>2</v>
      </c>
      <c r="Z1487" s="33" t="n">
        <v>4</v>
      </c>
      <c r="AA1487" s="33" t="inlineStr">
        <is>
          <t>1</t>
        </is>
      </c>
      <c r="AB1487" s="33" t="inlineStr">
        <is>
          <t>https://www.swimcloud.com/results/301900/event/3/?id=125403600#time125403600</t>
        </is>
      </c>
      <c r="AC1487" s="33" t="inlineStr">
        <is>
          <t>SwimCloud API v6 2026-10-08</t>
        </is>
      </c>
      <c r="AD1487" s="33" t="inlineStr">
        <is>
          <t>Kristof Milak|2024-04-09|LCM|100|Free|48.38|CXXVI Országos Bajnokság|FIN|False</t>
        </is>
      </c>
      <c r="AE1487" s="53">
        <f>G1487+L1487/1000+ROW()/1000000000</f>
        <v/>
      </c>
      <c r="AF1487" s="35">
        <f>IF(C1487&lt;&gt;"Grayson Coulter","",COUNTIFS($C$5:$C$2991,"Grayson Coulter",$Q$5:$Q$2991,Q1487,$AE$5:$AE$2991,"&lt;="&amp;AE1487,$R$5:$R$2991,"&lt;"&amp;R1487))</f>
        <v/>
      </c>
      <c r="AG1487" s="35">
        <f>IF(OR(C1487&lt;&gt;"Grayson Coulter",G1487&lt;'00_Control'!$B$7),"",--(AF1487&lt;5))</f>
        <v/>
      </c>
      <c r="AH1487" s="35">
        <f>IF(OR(C1487&lt;&gt;"Grayson Coulter",G1487&lt;'00_Control'!$B$7),"",--(AF1487&lt;10))</f>
        <v/>
      </c>
      <c r="AI1487" s="35">
        <f>IF(AND(C1487="Grayson Coulter",G1487&gt;='00_Control'!$B$7),"YES","NO")</f>
        <v/>
      </c>
      <c r="AJ1487" s="33" t="inlineStr">
        <is>
          <t>OK</t>
        </is>
      </c>
    </row>
    <row r="1488">
      <c r="A1488" s="33" t="inlineStr">
        <is>
          <t>SM001484</t>
        </is>
      </c>
      <c r="B1488" s="33" t="inlineStr">
        <is>
          <t>SW018</t>
        </is>
      </c>
      <c r="C1488" s="33" t="inlineStr">
        <is>
          <t>Kristof Milak</t>
        </is>
      </c>
      <c r="D1488" s="33" t="inlineStr">
        <is>
          <t>SwimCloud</t>
        </is>
      </c>
      <c r="E1488" s="33" t="inlineStr">
        <is>
          <t>508643</t>
        </is>
      </c>
      <c r="F1488" s="33" t="inlineStr">
        <is>
          <t>125403597</t>
        </is>
      </c>
      <c r="G1488" s="51" t="n">
        <v>45393</v>
      </c>
      <c r="H1488" s="33" t="inlineStr">
        <is>
          <t>CXXVI Országos Bajnokság</t>
        </is>
      </c>
      <c r="I1488" s="33" t="inlineStr">
        <is>
          <t>301900</t>
        </is>
      </c>
      <c r="J1488" s="33" t="inlineStr"/>
      <c r="K1488" s="33" t="inlineStr">
        <is>
          <t>PRE</t>
        </is>
      </c>
      <c r="L1488" s="35">
        <f>IF(K1488="FIN",3,IF(OR(K1488="SEM",K1488="SEMI"),2,IF(OR(K1488="PRE",K1488="HEAT"),1,IF(V1488="YES",4,2))))</f>
        <v/>
      </c>
      <c r="M1488" s="33" t="inlineStr">
        <is>
          <t>LCM</t>
        </is>
      </c>
      <c r="N1488" s="33" t="n">
        <v>200</v>
      </c>
      <c r="O1488" s="33" t="inlineStr">
        <is>
          <t>Free</t>
        </is>
      </c>
      <c r="P1488" s="33" t="inlineStr">
        <is>
          <t>200 Free</t>
        </is>
      </c>
      <c r="Q1488" s="33" t="inlineStr">
        <is>
          <t>LCM_200_FREE</t>
        </is>
      </c>
      <c r="R1488" s="36" t="n">
        <v>109.21</v>
      </c>
      <c r="S1488" s="35">
        <f>IF(R1488="","",IF(R1488&gt;=60,INT(R1488/60)&amp;":"&amp;TEXT(MOD(R1488,60),"00.00"),TEXT(R1488,"0.00")))</f>
        <v/>
      </c>
      <c r="T1488" s="52">
        <f>IFERROR((G1488-INDEX('01_Swimmers'!$E$5:$E$22,MATCH(B1488,'01_Swimmers'!$A$5:$A$22,0)))/'00_Control'!$B$10,"")</f>
        <v/>
      </c>
      <c r="U1488" s="35">
        <f>IF(T1488="","",INT(T1488))</f>
        <v/>
      </c>
      <c r="V1488" s="33" t="inlineStr">
        <is>
          <t>NO</t>
        </is>
      </c>
      <c r="W1488" s="33" t="inlineStr">
        <is>
          <t>YES</t>
        </is>
      </c>
      <c r="X1488" s="33" t="inlineStr">
        <is>
          <t>NO</t>
        </is>
      </c>
      <c r="Y1488" s="33" t="n">
        <v>8</v>
      </c>
      <c r="Z1488" s="33" t="n">
        <v>4</v>
      </c>
      <c r="AA1488" s="33" t="inlineStr"/>
      <c r="AB1488" s="33" t="inlineStr">
        <is>
          <t>https://www.swimcloud.com/results/301900/event/23/?id=125403597#time125403597</t>
        </is>
      </c>
      <c r="AC1488" s="33" t="inlineStr">
        <is>
          <t>SwimCloud API v6 2026-10-08</t>
        </is>
      </c>
      <c r="AD1488" s="33" t="inlineStr">
        <is>
          <t>Kristof Milak|2024-04-11|LCM|200|Free|109.21|CXXVI Országos Bajnokság|PRE|False</t>
        </is>
      </c>
      <c r="AE1488" s="53">
        <f>G1488+L1488/1000+ROW()/1000000000</f>
        <v/>
      </c>
      <c r="AF1488" s="35">
        <f>IF(C1488&lt;&gt;"Grayson Coulter","",COUNTIFS($C$5:$C$2991,"Grayson Coulter",$Q$5:$Q$2991,Q1488,$AE$5:$AE$2991,"&lt;="&amp;AE1488,$R$5:$R$2991,"&lt;"&amp;R1488))</f>
        <v/>
      </c>
      <c r="AG1488" s="35">
        <f>IF(OR(C1488&lt;&gt;"Grayson Coulter",G1488&lt;'00_Control'!$B$7),"",--(AF1488&lt;5))</f>
        <v/>
      </c>
      <c r="AH1488" s="35">
        <f>IF(OR(C1488&lt;&gt;"Grayson Coulter",G1488&lt;'00_Control'!$B$7),"",--(AF1488&lt;10))</f>
        <v/>
      </c>
      <c r="AI1488" s="35">
        <f>IF(AND(C1488="Grayson Coulter",G1488&gt;='00_Control'!$B$7),"YES","NO")</f>
        <v/>
      </c>
      <c r="AJ1488" s="33" t="inlineStr">
        <is>
          <t>OK</t>
        </is>
      </c>
    </row>
    <row r="1489">
      <c r="A1489" s="33" t="inlineStr">
        <is>
          <t>SM001485</t>
        </is>
      </c>
      <c r="B1489" s="33" t="inlineStr">
        <is>
          <t>SW018</t>
        </is>
      </c>
      <c r="C1489" s="33" t="inlineStr">
        <is>
          <t>Kristof Milak</t>
        </is>
      </c>
      <c r="D1489" s="33" t="inlineStr">
        <is>
          <t>SwimCloud</t>
        </is>
      </c>
      <c r="E1489" s="33" t="inlineStr">
        <is>
          <t>508643</t>
        </is>
      </c>
      <c r="F1489" s="33" t="inlineStr">
        <is>
          <t>125403603</t>
        </is>
      </c>
      <c r="G1489" s="51" t="n">
        <v>45393</v>
      </c>
      <c r="H1489" s="33" t="inlineStr">
        <is>
          <t>CXXVI Országos Bajnokság</t>
        </is>
      </c>
      <c r="I1489" s="33" t="inlineStr">
        <is>
          <t>301900</t>
        </is>
      </c>
      <c r="J1489" s="33" t="inlineStr"/>
      <c r="K1489" s="33" t="inlineStr">
        <is>
          <t>FIN</t>
        </is>
      </c>
      <c r="L1489" s="35">
        <f>IF(K1489="FIN",3,IF(OR(K1489="SEM",K1489="SEMI"),2,IF(OR(K1489="PRE",K1489="HEAT"),1,IF(V1489="YES",4,2))))</f>
        <v/>
      </c>
      <c r="M1489" s="33" t="inlineStr">
        <is>
          <t>LCM</t>
        </is>
      </c>
      <c r="N1489" s="33" t="n">
        <v>200</v>
      </c>
      <c r="O1489" s="33" t="inlineStr">
        <is>
          <t>Free</t>
        </is>
      </c>
      <c r="P1489" s="33" t="inlineStr">
        <is>
          <t>200 Free</t>
        </is>
      </c>
      <c r="Q1489" s="33" t="inlineStr">
        <is>
          <t>LCM_200_FREE</t>
        </is>
      </c>
      <c r="R1489" s="36" t="n">
        <v>108.15</v>
      </c>
      <c r="S1489" s="35">
        <f>IF(R1489="","",IF(R1489&gt;=60,INT(R1489/60)&amp;":"&amp;TEXT(MOD(R1489,60),"00.00"),TEXT(R1489,"0.00")))</f>
        <v/>
      </c>
      <c r="T1489" s="52">
        <f>IFERROR((G1489-INDEX('01_Swimmers'!$E$5:$E$22,MATCH(B1489,'01_Swimmers'!$A$5:$A$22,0)))/'00_Control'!$B$10,"")</f>
        <v/>
      </c>
      <c r="U1489" s="35">
        <f>IF(T1489="","",INT(T1489))</f>
        <v/>
      </c>
      <c r="V1489" s="33" t="inlineStr">
        <is>
          <t>NO</t>
        </is>
      </c>
      <c r="W1489" s="33" t="inlineStr">
        <is>
          <t>YES</t>
        </is>
      </c>
      <c r="X1489" s="33" t="inlineStr">
        <is>
          <t>NO</t>
        </is>
      </c>
      <c r="Y1489" s="33" t="n">
        <v>2</v>
      </c>
      <c r="Z1489" s="33" t="n">
        <v>5</v>
      </c>
      <c r="AA1489" s="33" t="inlineStr">
        <is>
          <t>1</t>
        </is>
      </c>
      <c r="AB1489" s="33" t="inlineStr">
        <is>
          <t>https://www.swimcloud.com/results/301900/event/23/?id=125403603#time125403603</t>
        </is>
      </c>
      <c r="AC1489" s="33" t="inlineStr">
        <is>
          <t>SwimCloud API v6 2026-10-08</t>
        </is>
      </c>
      <c r="AD1489" s="33" t="inlineStr">
        <is>
          <t>Kristof Milak|2024-04-11|LCM|200|Free|108.15|CXXVI Országos Bajnokság|FIN|False</t>
        </is>
      </c>
      <c r="AE1489" s="53">
        <f>G1489+L1489/1000+ROW()/1000000000</f>
        <v/>
      </c>
      <c r="AF1489" s="35">
        <f>IF(C1489&lt;&gt;"Grayson Coulter","",COUNTIFS($C$5:$C$2991,"Grayson Coulter",$Q$5:$Q$2991,Q1489,$AE$5:$AE$2991,"&lt;="&amp;AE1489,$R$5:$R$2991,"&lt;"&amp;R1489))</f>
        <v/>
      </c>
      <c r="AG1489" s="35">
        <f>IF(OR(C1489&lt;&gt;"Grayson Coulter",G1489&lt;'00_Control'!$B$7),"",--(AF1489&lt;5))</f>
        <v/>
      </c>
      <c r="AH1489" s="35">
        <f>IF(OR(C1489&lt;&gt;"Grayson Coulter",G1489&lt;'00_Control'!$B$7),"",--(AF1489&lt;10))</f>
        <v/>
      </c>
      <c r="AI1489" s="35">
        <f>IF(AND(C1489="Grayson Coulter",G1489&gt;='00_Control'!$B$7),"YES","NO")</f>
        <v/>
      </c>
      <c r="AJ1489" s="33" t="inlineStr">
        <is>
          <t>OK</t>
        </is>
      </c>
    </row>
    <row r="1490">
      <c r="A1490" s="33" t="inlineStr">
        <is>
          <t>SM001486</t>
        </is>
      </c>
      <c r="B1490" s="33" t="inlineStr">
        <is>
          <t>SW018</t>
        </is>
      </c>
      <c r="C1490" s="33" t="inlineStr">
        <is>
          <t>Kristof Milak</t>
        </is>
      </c>
      <c r="D1490" s="33" t="inlineStr">
        <is>
          <t>SwimCloud</t>
        </is>
      </c>
      <c r="E1490" s="33" t="inlineStr">
        <is>
          <t>508643</t>
        </is>
      </c>
      <c r="F1490" s="33" t="inlineStr">
        <is>
          <t>125403599</t>
        </is>
      </c>
      <c r="G1490" s="51" t="n">
        <v>45394</v>
      </c>
      <c r="H1490" s="33" t="inlineStr">
        <is>
          <t>CXXVI Országos Bajnokság</t>
        </is>
      </c>
      <c r="I1490" s="33" t="inlineStr">
        <is>
          <t>301900</t>
        </is>
      </c>
      <c r="J1490" s="33" t="inlineStr"/>
      <c r="K1490" s="33" t="inlineStr">
        <is>
          <t>PRE</t>
        </is>
      </c>
      <c r="L1490" s="35">
        <f>IF(K1490="FIN",3,IF(OR(K1490="SEM",K1490="SEMI"),2,IF(OR(K1490="PRE",K1490="HEAT"),1,IF(V1490="YES",4,2))))</f>
        <v/>
      </c>
      <c r="M1490" s="33" t="inlineStr">
        <is>
          <t>LCM</t>
        </is>
      </c>
      <c r="N1490" s="33" t="n">
        <v>100</v>
      </c>
      <c r="O1490" s="33" t="inlineStr">
        <is>
          <t>Fly</t>
        </is>
      </c>
      <c r="P1490" s="33" t="inlineStr">
        <is>
          <t>100 Fly</t>
        </is>
      </c>
      <c r="Q1490" s="33" t="inlineStr">
        <is>
          <t>LCM_100_FLY</t>
        </is>
      </c>
      <c r="R1490" s="36" t="n">
        <v>52.17</v>
      </c>
      <c r="S1490" s="35">
        <f>IF(R1490="","",IF(R1490&gt;=60,INT(R1490/60)&amp;":"&amp;TEXT(MOD(R1490,60),"00.00"),TEXT(R1490,"0.00")))</f>
        <v/>
      </c>
      <c r="T1490" s="52">
        <f>IFERROR((G1490-INDEX('01_Swimmers'!$E$5:$E$22,MATCH(B1490,'01_Swimmers'!$A$5:$A$22,0)))/'00_Control'!$B$10,"")</f>
        <v/>
      </c>
      <c r="U1490" s="35">
        <f>IF(T1490="","",INT(T1490))</f>
        <v/>
      </c>
      <c r="V1490" s="33" t="inlineStr">
        <is>
          <t>NO</t>
        </is>
      </c>
      <c r="W1490" s="33" t="inlineStr">
        <is>
          <t>YES</t>
        </is>
      </c>
      <c r="X1490" s="33" t="inlineStr">
        <is>
          <t>NO</t>
        </is>
      </c>
      <c r="Y1490" s="33" t="n">
        <v>9</v>
      </c>
      <c r="Z1490" s="33" t="n">
        <v>4</v>
      </c>
      <c r="AA1490" s="33" t="inlineStr"/>
      <c r="AB1490" s="33" t="inlineStr">
        <is>
          <t>https://www.swimcloud.com/results/301900/event/39/?id=125403599#time125403599</t>
        </is>
      </c>
      <c r="AC1490" s="33" t="inlineStr">
        <is>
          <t>SwimCloud API v6 2026-10-08</t>
        </is>
      </c>
      <c r="AD1490" s="33" t="inlineStr">
        <is>
          <t>Kristof Milak|2024-04-12|LCM|100|Fly|52.17|CXXVI Országos Bajnokság|PRE|False</t>
        </is>
      </c>
      <c r="AE1490" s="53">
        <f>G1490+L1490/1000+ROW()/1000000000</f>
        <v/>
      </c>
      <c r="AF1490" s="35">
        <f>IF(C1490&lt;&gt;"Grayson Coulter","",COUNTIFS($C$5:$C$2991,"Grayson Coulter",$Q$5:$Q$2991,Q1490,$AE$5:$AE$2991,"&lt;="&amp;AE1490,$R$5:$R$2991,"&lt;"&amp;R1490))</f>
        <v/>
      </c>
      <c r="AG1490" s="35">
        <f>IF(OR(C1490&lt;&gt;"Grayson Coulter",G1490&lt;'00_Control'!$B$7),"",--(AF1490&lt;5))</f>
        <v/>
      </c>
      <c r="AH1490" s="35">
        <f>IF(OR(C1490&lt;&gt;"Grayson Coulter",G1490&lt;'00_Control'!$B$7),"",--(AF1490&lt;10))</f>
        <v/>
      </c>
      <c r="AI1490" s="35">
        <f>IF(AND(C1490="Grayson Coulter",G1490&gt;='00_Control'!$B$7),"YES","NO")</f>
        <v/>
      </c>
      <c r="AJ1490" s="33" t="inlineStr">
        <is>
          <t>OK</t>
        </is>
      </c>
    </row>
    <row r="1491">
      <c r="A1491" s="33" t="inlineStr">
        <is>
          <t>SM001487</t>
        </is>
      </c>
      <c r="B1491" s="33" t="inlineStr">
        <is>
          <t>SW018</t>
        </is>
      </c>
      <c r="C1491" s="33" t="inlineStr">
        <is>
          <t>Kristof Milak</t>
        </is>
      </c>
      <c r="D1491" s="33" t="inlineStr">
        <is>
          <t>SwimCloud</t>
        </is>
      </c>
      <c r="E1491" s="33" t="inlineStr">
        <is>
          <t>508643</t>
        </is>
      </c>
      <c r="F1491" s="33" t="inlineStr">
        <is>
          <t>125403605</t>
        </is>
      </c>
      <c r="G1491" s="51" t="n">
        <v>45394</v>
      </c>
      <c r="H1491" s="33" t="inlineStr">
        <is>
          <t>CXXVI Országos Bajnokság</t>
        </is>
      </c>
      <c r="I1491" s="33" t="inlineStr">
        <is>
          <t>301900</t>
        </is>
      </c>
      <c r="J1491" s="33" t="inlineStr"/>
      <c r="K1491" s="33" t="inlineStr">
        <is>
          <t>FIN</t>
        </is>
      </c>
      <c r="L1491" s="35">
        <f>IF(K1491="FIN",3,IF(OR(K1491="SEM",K1491="SEMI"),2,IF(OR(K1491="PRE",K1491="HEAT"),1,IF(V1491="YES",4,2))))</f>
        <v/>
      </c>
      <c r="M1491" s="33" t="inlineStr">
        <is>
          <t>LCM</t>
        </is>
      </c>
      <c r="N1491" s="33" t="n">
        <v>100</v>
      </c>
      <c r="O1491" s="33" t="inlineStr">
        <is>
          <t>Fly</t>
        </is>
      </c>
      <c r="P1491" s="33" t="inlineStr">
        <is>
          <t>100 Fly</t>
        </is>
      </c>
      <c r="Q1491" s="33" t="inlineStr">
        <is>
          <t>LCM_100_FLY</t>
        </is>
      </c>
      <c r="R1491" s="36" t="n">
        <v>50.99</v>
      </c>
      <c r="S1491" s="35">
        <f>IF(R1491="","",IF(R1491&gt;=60,INT(R1491/60)&amp;":"&amp;TEXT(MOD(R1491,60),"00.00"),TEXT(R1491,"0.00")))</f>
        <v/>
      </c>
      <c r="T1491" s="52">
        <f>IFERROR((G1491-INDEX('01_Swimmers'!$E$5:$E$22,MATCH(B1491,'01_Swimmers'!$A$5:$A$22,0)))/'00_Control'!$B$10,"")</f>
        <v/>
      </c>
      <c r="U1491" s="35">
        <f>IF(T1491="","",INT(T1491))</f>
        <v/>
      </c>
      <c r="V1491" s="33" t="inlineStr">
        <is>
          <t>NO</t>
        </is>
      </c>
      <c r="W1491" s="33" t="inlineStr">
        <is>
          <t>YES</t>
        </is>
      </c>
      <c r="X1491" s="33" t="inlineStr">
        <is>
          <t>NO</t>
        </is>
      </c>
      <c r="Y1491" s="33" t="n">
        <v>2</v>
      </c>
      <c r="Z1491" s="33" t="n">
        <v>4</v>
      </c>
      <c r="AA1491" s="33" t="inlineStr">
        <is>
          <t>1</t>
        </is>
      </c>
      <c r="AB1491" s="33" t="inlineStr">
        <is>
          <t>https://www.swimcloud.com/results/301900/event/39/?id=125403605#time125403605</t>
        </is>
      </c>
      <c r="AC1491" s="33" t="inlineStr">
        <is>
          <t>SwimCloud API v6 2026-10-08</t>
        </is>
      </c>
      <c r="AD1491" s="33" t="inlineStr">
        <is>
          <t>Kristof Milak|2024-04-12|LCM|100|Fly|50.99|CXXVI Országos Bajnokság|FIN|False</t>
        </is>
      </c>
      <c r="AE1491" s="53">
        <f>G1491+L1491/1000+ROW()/1000000000</f>
        <v/>
      </c>
      <c r="AF1491" s="35">
        <f>IF(C1491&lt;&gt;"Grayson Coulter","",COUNTIFS($C$5:$C$2991,"Grayson Coulter",$Q$5:$Q$2991,Q1491,$AE$5:$AE$2991,"&lt;="&amp;AE1491,$R$5:$R$2991,"&lt;"&amp;R1491))</f>
        <v/>
      </c>
      <c r="AG1491" s="35">
        <f>IF(OR(C1491&lt;&gt;"Grayson Coulter",G1491&lt;'00_Control'!$B$7),"",--(AF1491&lt;5))</f>
        <v/>
      </c>
      <c r="AH1491" s="35">
        <f>IF(OR(C1491&lt;&gt;"Grayson Coulter",G1491&lt;'00_Control'!$B$7),"",--(AF1491&lt;10))</f>
        <v/>
      </c>
      <c r="AI1491" s="35">
        <f>IF(AND(C1491="Grayson Coulter",G1491&gt;='00_Control'!$B$7),"YES","NO")</f>
        <v/>
      </c>
      <c r="AJ1491" s="33" t="inlineStr">
        <is>
          <t>OK</t>
        </is>
      </c>
    </row>
    <row r="1492">
      <c r="A1492" s="33" t="inlineStr">
        <is>
          <t>SM001488</t>
        </is>
      </c>
      <c r="B1492" s="33" t="inlineStr">
        <is>
          <t>SW018</t>
        </is>
      </c>
      <c r="C1492" s="33" t="inlineStr">
        <is>
          <t>Kristof Milak</t>
        </is>
      </c>
      <c r="D1492" s="33" t="inlineStr">
        <is>
          <t>SwimCloud</t>
        </is>
      </c>
      <c r="E1492" s="33" t="inlineStr">
        <is>
          <t>508643</t>
        </is>
      </c>
      <c r="F1492" s="33" t="inlineStr">
        <is>
          <t>127065040</t>
        </is>
      </c>
      <c r="G1492" s="51" t="n">
        <v>45441</v>
      </c>
      <c r="H1492" s="33" t="inlineStr">
        <is>
          <t>Trofeu Internacional Ciutat de Barcelona</t>
        </is>
      </c>
      <c r="I1492" s="33" t="inlineStr">
        <is>
          <t>304977</t>
        </is>
      </c>
      <c r="J1492" s="33" t="inlineStr"/>
      <c r="K1492" s="33" t="inlineStr">
        <is>
          <t>PRE</t>
        </is>
      </c>
      <c r="L1492" s="35">
        <f>IF(K1492="FIN",3,IF(OR(K1492="SEM",K1492="SEMI"),2,IF(OR(K1492="PRE",K1492="HEAT"),1,IF(V1492="YES",4,2))))</f>
        <v/>
      </c>
      <c r="M1492" s="33" t="inlineStr">
        <is>
          <t>LCM</t>
        </is>
      </c>
      <c r="N1492" s="33" t="n">
        <v>100</v>
      </c>
      <c r="O1492" s="33" t="inlineStr">
        <is>
          <t>Fly</t>
        </is>
      </c>
      <c r="P1492" s="33" t="inlineStr">
        <is>
          <t>100 Fly</t>
        </is>
      </c>
      <c r="Q1492" s="33" t="inlineStr">
        <is>
          <t>LCM_100_FLY</t>
        </is>
      </c>
      <c r="R1492" s="36" t="n">
        <v>51.9</v>
      </c>
      <c r="S1492" s="35">
        <f>IF(R1492="","",IF(R1492&gt;=60,INT(R1492/60)&amp;":"&amp;TEXT(MOD(R1492,60),"00.00"),TEXT(R1492,"0.00")))</f>
        <v/>
      </c>
      <c r="T1492" s="52">
        <f>IFERROR((G1492-INDEX('01_Swimmers'!$E$5:$E$22,MATCH(B1492,'01_Swimmers'!$A$5:$A$22,0)))/'00_Control'!$B$10,"")</f>
        <v/>
      </c>
      <c r="U1492" s="35">
        <f>IF(T1492="","",INT(T1492))</f>
        <v/>
      </c>
      <c r="V1492" s="33" t="inlineStr">
        <is>
          <t>NO</t>
        </is>
      </c>
      <c r="W1492" s="33" t="inlineStr">
        <is>
          <t>YES</t>
        </is>
      </c>
      <c r="X1492" s="33" t="inlineStr">
        <is>
          <t>NO</t>
        </is>
      </c>
      <c r="Y1492" s="33" t="n"/>
      <c r="Z1492" s="33" t="n"/>
      <c r="AA1492" s="33" t="inlineStr">
        <is>
          <t>2</t>
        </is>
      </c>
      <c r="AB1492" s="33" t="inlineStr">
        <is>
          <t>https://www.swimcloud.com/results/304977/event/13/?id=127065040#time127065040</t>
        </is>
      </c>
      <c r="AC1492" s="33" t="inlineStr">
        <is>
          <t>SwimCloud API v6 2026-10-08</t>
        </is>
      </c>
      <c r="AD1492" s="33" t="inlineStr">
        <is>
          <t>Kristof Milak|2024-05-29|LCM|100|Fly|51.9|Trofeu Internacional Ciutat de Barcelona|PRE|False</t>
        </is>
      </c>
      <c r="AE1492" s="53">
        <f>G1492+L1492/1000+ROW()/1000000000</f>
        <v/>
      </c>
      <c r="AF1492" s="35">
        <f>IF(C1492&lt;&gt;"Grayson Coulter","",COUNTIFS($C$5:$C$2991,"Grayson Coulter",$Q$5:$Q$2991,Q1492,$AE$5:$AE$2991,"&lt;="&amp;AE1492,$R$5:$R$2991,"&lt;"&amp;R1492))</f>
        <v/>
      </c>
      <c r="AG1492" s="35">
        <f>IF(OR(C1492&lt;&gt;"Grayson Coulter",G1492&lt;'00_Control'!$B$7),"",--(AF1492&lt;5))</f>
        <v/>
      </c>
      <c r="AH1492" s="35">
        <f>IF(OR(C1492&lt;&gt;"Grayson Coulter",G1492&lt;'00_Control'!$B$7),"",--(AF1492&lt;10))</f>
        <v/>
      </c>
      <c r="AI1492" s="35">
        <f>IF(AND(C1492="Grayson Coulter",G1492&gt;='00_Control'!$B$7),"YES","NO")</f>
        <v/>
      </c>
      <c r="AJ1492" s="33" t="inlineStr">
        <is>
          <t>OK</t>
        </is>
      </c>
    </row>
    <row r="1493">
      <c r="A1493" s="33" t="inlineStr">
        <is>
          <t>SM001489</t>
        </is>
      </c>
      <c r="B1493" s="33" t="inlineStr">
        <is>
          <t>SW018</t>
        </is>
      </c>
      <c r="C1493" s="33" t="inlineStr">
        <is>
          <t>Kristof Milak</t>
        </is>
      </c>
      <c r="D1493" s="33" t="inlineStr">
        <is>
          <t>SwimCloud</t>
        </is>
      </c>
      <c r="E1493" s="33" t="inlineStr">
        <is>
          <t>508643</t>
        </is>
      </c>
      <c r="F1493" s="33" t="inlineStr">
        <is>
          <t>127065045</t>
        </is>
      </c>
      <c r="G1493" s="51" t="n">
        <v>45441</v>
      </c>
      <c r="H1493" s="33" t="inlineStr">
        <is>
          <t>Trofeu Internacional Ciutat de Barcelona</t>
        </is>
      </c>
      <c r="I1493" s="33" t="inlineStr">
        <is>
          <t>304977</t>
        </is>
      </c>
      <c r="J1493" s="33" t="inlineStr"/>
      <c r="K1493" s="33" t="inlineStr">
        <is>
          <t>FIN</t>
        </is>
      </c>
      <c r="L1493" s="35">
        <f>IF(K1493="FIN",3,IF(OR(K1493="SEM",K1493="SEMI"),2,IF(OR(K1493="PRE",K1493="HEAT"),1,IF(V1493="YES",4,2))))</f>
        <v/>
      </c>
      <c r="M1493" s="33" t="inlineStr">
        <is>
          <t>LCM</t>
        </is>
      </c>
      <c r="N1493" s="33" t="n">
        <v>100</v>
      </c>
      <c r="O1493" s="33" t="inlineStr">
        <is>
          <t>Fly</t>
        </is>
      </c>
      <c r="P1493" s="33" t="inlineStr">
        <is>
          <t>100 Fly</t>
        </is>
      </c>
      <c r="Q1493" s="33" t="inlineStr">
        <is>
          <t>LCM_100_FLY</t>
        </is>
      </c>
      <c r="R1493" s="36" t="n">
        <v>50.95</v>
      </c>
      <c r="S1493" s="35">
        <f>IF(R1493="","",IF(R1493&gt;=60,INT(R1493/60)&amp;":"&amp;TEXT(MOD(R1493,60),"00.00"),TEXT(R1493,"0.00")))</f>
        <v/>
      </c>
      <c r="T1493" s="52">
        <f>IFERROR((G1493-INDEX('01_Swimmers'!$E$5:$E$22,MATCH(B1493,'01_Swimmers'!$A$5:$A$22,0)))/'00_Control'!$B$10,"")</f>
        <v/>
      </c>
      <c r="U1493" s="35">
        <f>IF(T1493="","",INT(T1493))</f>
        <v/>
      </c>
      <c r="V1493" s="33" t="inlineStr">
        <is>
          <t>NO</t>
        </is>
      </c>
      <c r="W1493" s="33" t="inlineStr">
        <is>
          <t>YES</t>
        </is>
      </c>
      <c r="X1493" s="33" t="inlineStr">
        <is>
          <t>NO</t>
        </is>
      </c>
      <c r="Y1493" s="33" t="n"/>
      <c r="Z1493" s="33" t="n"/>
      <c r="AA1493" s="33" t="inlineStr">
        <is>
          <t>1</t>
        </is>
      </c>
      <c r="AB1493" s="33" t="inlineStr">
        <is>
          <t>https://www.swimcloud.com/results/304977/event/13/?id=127065045#time127065045</t>
        </is>
      </c>
      <c r="AC1493" s="33" t="inlineStr">
        <is>
          <t>SwimCloud API v6 2026-10-08</t>
        </is>
      </c>
      <c r="AD1493" s="33" t="inlineStr">
        <is>
          <t>Kristof Milak|2024-05-29|LCM|100|Fly|50.95|Trofeu Internacional Ciutat de Barcelona|FIN|False</t>
        </is>
      </c>
      <c r="AE1493" s="53">
        <f>G1493+L1493/1000+ROW()/1000000000</f>
        <v/>
      </c>
      <c r="AF1493" s="35">
        <f>IF(C1493&lt;&gt;"Grayson Coulter","",COUNTIFS($C$5:$C$2991,"Grayson Coulter",$Q$5:$Q$2991,Q1493,$AE$5:$AE$2991,"&lt;="&amp;AE1493,$R$5:$R$2991,"&lt;"&amp;R1493))</f>
        <v/>
      </c>
      <c r="AG1493" s="35">
        <f>IF(OR(C1493&lt;&gt;"Grayson Coulter",G1493&lt;'00_Control'!$B$7),"",--(AF1493&lt;5))</f>
        <v/>
      </c>
      <c r="AH1493" s="35">
        <f>IF(OR(C1493&lt;&gt;"Grayson Coulter",G1493&lt;'00_Control'!$B$7),"",--(AF1493&lt;10))</f>
        <v/>
      </c>
      <c r="AI1493" s="35">
        <f>IF(AND(C1493="Grayson Coulter",G1493&gt;='00_Control'!$B$7),"YES","NO")</f>
        <v/>
      </c>
      <c r="AJ1493" s="33" t="inlineStr">
        <is>
          <t>OK</t>
        </is>
      </c>
    </row>
    <row r="1494">
      <c r="A1494" s="33" t="inlineStr">
        <is>
          <t>SM001490</t>
        </is>
      </c>
      <c r="B1494" s="33" t="inlineStr">
        <is>
          <t>SW018</t>
        </is>
      </c>
      <c r="C1494" s="33" t="inlineStr">
        <is>
          <t>Kristof Milak</t>
        </is>
      </c>
      <c r="D1494" s="33" t="inlineStr">
        <is>
          <t>SwimCloud</t>
        </is>
      </c>
      <c r="E1494" s="33" t="inlineStr">
        <is>
          <t>508643</t>
        </is>
      </c>
      <c r="F1494" s="33" t="inlineStr">
        <is>
          <t>127065041</t>
        </is>
      </c>
      <c r="G1494" s="51" t="n">
        <v>45442</v>
      </c>
      <c r="H1494" s="33" t="inlineStr">
        <is>
          <t>Trofeu Internacional Ciutat de Barcelona</t>
        </is>
      </c>
      <c r="I1494" s="33" t="inlineStr">
        <is>
          <t>304977</t>
        </is>
      </c>
      <c r="J1494" s="33" t="inlineStr"/>
      <c r="K1494" s="33" t="inlineStr">
        <is>
          <t>PRE</t>
        </is>
      </c>
      <c r="L1494" s="35">
        <f>IF(K1494="FIN",3,IF(OR(K1494="SEM",K1494="SEMI"),2,IF(OR(K1494="PRE",K1494="HEAT"),1,IF(V1494="YES",4,2))))</f>
        <v/>
      </c>
      <c r="M1494" s="33" t="inlineStr">
        <is>
          <t>LCM</t>
        </is>
      </c>
      <c r="N1494" s="33" t="n">
        <v>100</v>
      </c>
      <c r="O1494" s="33" t="inlineStr">
        <is>
          <t>Free</t>
        </is>
      </c>
      <c r="P1494" s="33" t="inlineStr">
        <is>
          <t>100 Free</t>
        </is>
      </c>
      <c r="Q1494" s="33" t="inlineStr">
        <is>
          <t>LCM_100_FREE</t>
        </is>
      </c>
      <c r="R1494" s="36" t="n">
        <v>49.52</v>
      </c>
      <c r="S1494" s="35">
        <f>IF(R1494="","",IF(R1494&gt;=60,INT(R1494/60)&amp;":"&amp;TEXT(MOD(R1494,60),"00.00"),TEXT(R1494,"0.00")))</f>
        <v/>
      </c>
      <c r="T1494" s="52">
        <f>IFERROR((G1494-INDEX('01_Swimmers'!$E$5:$E$22,MATCH(B1494,'01_Swimmers'!$A$5:$A$22,0)))/'00_Control'!$B$10,"")</f>
        <v/>
      </c>
      <c r="U1494" s="35">
        <f>IF(T1494="","",INT(T1494))</f>
        <v/>
      </c>
      <c r="V1494" s="33" t="inlineStr">
        <is>
          <t>NO</t>
        </is>
      </c>
      <c r="W1494" s="33" t="inlineStr">
        <is>
          <t>YES</t>
        </is>
      </c>
      <c r="X1494" s="33" t="inlineStr">
        <is>
          <t>NO</t>
        </is>
      </c>
      <c r="Y1494" s="33" t="n"/>
      <c r="Z1494" s="33" t="n"/>
      <c r="AA1494" s="33" t="inlineStr">
        <is>
          <t>9</t>
        </is>
      </c>
      <c r="AB1494" s="33" t="inlineStr">
        <is>
          <t>https://www.swimcloud.com/results/304977/event/22/?id=127065041#time127065041</t>
        </is>
      </c>
      <c r="AC1494" s="33" t="inlineStr">
        <is>
          <t>SwimCloud API v6 2026-10-08</t>
        </is>
      </c>
      <c r="AD1494" s="33" t="inlineStr">
        <is>
          <t>Kristof Milak|2024-05-30|LCM|100|Free|49.52|Trofeu Internacional Ciutat de Barcelona|PRE|False</t>
        </is>
      </c>
      <c r="AE1494" s="53">
        <f>G1494+L1494/1000+ROW()/1000000000</f>
        <v/>
      </c>
      <c r="AF1494" s="35">
        <f>IF(C1494&lt;&gt;"Grayson Coulter","",COUNTIFS($C$5:$C$2991,"Grayson Coulter",$Q$5:$Q$2991,Q1494,$AE$5:$AE$2991,"&lt;="&amp;AE1494,$R$5:$R$2991,"&lt;"&amp;R1494))</f>
        <v/>
      </c>
      <c r="AG1494" s="35">
        <f>IF(OR(C1494&lt;&gt;"Grayson Coulter",G1494&lt;'00_Control'!$B$7),"",--(AF1494&lt;5))</f>
        <v/>
      </c>
      <c r="AH1494" s="35">
        <f>IF(OR(C1494&lt;&gt;"Grayson Coulter",G1494&lt;'00_Control'!$B$7),"",--(AF1494&lt;10))</f>
        <v/>
      </c>
      <c r="AI1494" s="35">
        <f>IF(AND(C1494="Grayson Coulter",G1494&gt;='00_Control'!$B$7),"YES","NO")</f>
        <v/>
      </c>
      <c r="AJ1494" s="33" t="inlineStr">
        <is>
          <t>OK</t>
        </is>
      </c>
    </row>
    <row r="1495">
      <c r="A1495" s="33" t="inlineStr">
        <is>
          <t>SM001491</t>
        </is>
      </c>
      <c r="B1495" s="33" t="inlineStr">
        <is>
          <t>SW018</t>
        </is>
      </c>
      <c r="C1495" s="33" t="inlineStr">
        <is>
          <t>Kristof Milak</t>
        </is>
      </c>
      <c r="D1495" s="33" t="inlineStr">
        <is>
          <t>SwimCloud</t>
        </is>
      </c>
      <c r="E1495" s="33" t="inlineStr">
        <is>
          <t>508643</t>
        </is>
      </c>
      <c r="F1495" s="33" t="inlineStr">
        <is>
          <t>127849576</t>
        </is>
      </c>
      <c r="G1495" s="51" t="n">
        <v>45461</v>
      </c>
      <c r="H1495" s="33" t="inlineStr">
        <is>
          <t>European Aquatics Championships</t>
        </is>
      </c>
      <c r="I1495" s="33" t="inlineStr">
        <is>
          <t>305727</t>
        </is>
      </c>
      <c r="J1495" s="33" t="inlineStr"/>
      <c r="K1495" s="33" t="inlineStr">
        <is>
          <t>PRE</t>
        </is>
      </c>
      <c r="L1495" s="35">
        <f>IF(K1495="FIN",3,IF(OR(K1495="SEM",K1495="SEMI"),2,IF(OR(K1495="PRE",K1495="HEAT"),1,IF(V1495="YES",4,2))))</f>
        <v/>
      </c>
      <c r="M1495" s="33" t="inlineStr">
        <is>
          <t>LCM</t>
        </is>
      </c>
      <c r="N1495" s="33" t="n">
        <v>100</v>
      </c>
      <c r="O1495" s="33" t="inlineStr">
        <is>
          <t>Free</t>
        </is>
      </c>
      <c r="P1495" s="33" t="inlineStr">
        <is>
          <t>100 Free</t>
        </is>
      </c>
      <c r="Q1495" s="33" t="inlineStr">
        <is>
          <t>LCM_100_FREE</t>
        </is>
      </c>
      <c r="R1495" s="36" t="n">
        <v>48.41</v>
      </c>
      <c r="S1495" s="35">
        <f>IF(R1495="","",IF(R1495&gt;=60,INT(R1495/60)&amp;":"&amp;TEXT(MOD(R1495,60),"00.00"),TEXT(R1495,"0.00")))</f>
        <v/>
      </c>
      <c r="T1495" s="52">
        <f>IFERROR((G1495-INDEX('01_Swimmers'!$E$5:$E$22,MATCH(B1495,'01_Swimmers'!$A$5:$A$22,0)))/'00_Control'!$B$10,"")</f>
        <v/>
      </c>
      <c r="U1495" s="35">
        <f>IF(T1495="","",INT(T1495))</f>
        <v/>
      </c>
      <c r="V1495" s="33" t="inlineStr">
        <is>
          <t>NO</t>
        </is>
      </c>
      <c r="W1495" s="33" t="inlineStr">
        <is>
          <t>YES</t>
        </is>
      </c>
      <c r="X1495" s="33" t="inlineStr">
        <is>
          <t>NO</t>
        </is>
      </c>
      <c r="Y1495" s="33" t="n">
        <v>7</v>
      </c>
      <c r="Z1495" s="33" t="n">
        <v>5</v>
      </c>
      <c r="AA1495" s="33" t="inlineStr">
        <is>
          <t>4</t>
        </is>
      </c>
      <c r="AB1495" s="33" t="inlineStr">
        <is>
          <t>https://www.swimcloud.com/results/305727/event/10/?id=127849576#time127849576</t>
        </is>
      </c>
      <c r="AC1495" s="33" t="inlineStr">
        <is>
          <t>SwimCloud API v6 2026-10-08</t>
        </is>
      </c>
      <c r="AD1495" s="33" t="inlineStr">
        <is>
          <t>Kristof Milak|2024-06-18|LCM|100|Free|48.41|European Aquatics Championships|PRE|False</t>
        </is>
      </c>
      <c r="AE1495" s="53">
        <f>G1495+L1495/1000+ROW()/1000000000</f>
        <v/>
      </c>
      <c r="AF1495" s="35">
        <f>IF(C1495&lt;&gt;"Grayson Coulter","",COUNTIFS($C$5:$C$2991,"Grayson Coulter",$Q$5:$Q$2991,Q1495,$AE$5:$AE$2991,"&lt;="&amp;AE1495,$R$5:$R$2991,"&lt;"&amp;R1495))</f>
        <v/>
      </c>
      <c r="AG1495" s="35">
        <f>IF(OR(C1495&lt;&gt;"Grayson Coulter",G1495&lt;'00_Control'!$B$7),"",--(AF1495&lt;5))</f>
        <v/>
      </c>
      <c r="AH1495" s="35">
        <f>IF(OR(C1495&lt;&gt;"Grayson Coulter",G1495&lt;'00_Control'!$B$7),"",--(AF1495&lt;10))</f>
        <v/>
      </c>
      <c r="AI1495" s="35">
        <f>IF(AND(C1495="Grayson Coulter",G1495&gt;='00_Control'!$B$7),"YES","NO")</f>
        <v/>
      </c>
      <c r="AJ1495" s="33" t="inlineStr">
        <is>
          <t>OK</t>
        </is>
      </c>
    </row>
    <row r="1496">
      <c r="A1496" s="33" t="inlineStr">
        <is>
          <t>SM001492</t>
        </is>
      </c>
      <c r="B1496" s="33" t="inlineStr">
        <is>
          <t>SW018</t>
        </is>
      </c>
      <c r="C1496" s="33" t="inlineStr">
        <is>
          <t>Kristof Milak</t>
        </is>
      </c>
      <c r="D1496" s="33" t="inlineStr">
        <is>
          <t>SwimCloud</t>
        </is>
      </c>
      <c r="E1496" s="33" t="inlineStr">
        <is>
          <t>508643</t>
        </is>
      </c>
      <c r="F1496" s="33" t="inlineStr">
        <is>
          <t>127849577</t>
        </is>
      </c>
      <c r="G1496" s="51" t="n">
        <v>45461</v>
      </c>
      <c r="H1496" s="33" t="inlineStr">
        <is>
          <t>European Aquatics Championships</t>
        </is>
      </c>
      <c r="I1496" s="33" t="inlineStr">
        <is>
          <t>305727</t>
        </is>
      </c>
      <c r="J1496" s="33" t="inlineStr"/>
      <c r="K1496" s="33" t="inlineStr">
        <is>
          <t>SEM</t>
        </is>
      </c>
      <c r="L1496" s="35">
        <f>IF(K1496="FIN",3,IF(OR(K1496="SEM",K1496="SEMI"),2,IF(OR(K1496="PRE",K1496="HEAT"),1,IF(V1496="YES",4,2))))</f>
        <v/>
      </c>
      <c r="M1496" s="33" t="inlineStr">
        <is>
          <t>LCM</t>
        </is>
      </c>
      <c r="N1496" s="33" t="n">
        <v>100</v>
      </c>
      <c r="O1496" s="33" t="inlineStr">
        <is>
          <t>Free</t>
        </is>
      </c>
      <c r="P1496" s="33" t="inlineStr">
        <is>
          <t>100 Free</t>
        </is>
      </c>
      <c r="Q1496" s="33" t="inlineStr">
        <is>
          <t>LCM_100_FREE</t>
        </is>
      </c>
      <c r="R1496" s="36" t="n">
        <v>48.26</v>
      </c>
      <c r="S1496" s="35">
        <f>IF(R1496="","",IF(R1496&gt;=60,INT(R1496/60)&amp;":"&amp;TEXT(MOD(R1496,60),"00.00"),TEXT(R1496,"0.00")))</f>
        <v/>
      </c>
      <c r="T1496" s="52">
        <f>IFERROR((G1496-INDEX('01_Swimmers'!$E$5:$E$22,MATCH(B1496,'01_Swimmers'!$A$5:$A$22,0)))/'00_Control'!$B$10,"")</f>
        <v/>
      </c>
      <c r="U1496" s="35">
        <f>IF(T1496="","",INT(T1496))</f>
        <v/>
      </c>
      <c r="V1496" s="33" t="inlineStr">
        <is>
          <t>NO</t>
        </is>
      </c>
      <c r="W1496" s="33" t="inlineStr">
        <is>
          <t>YES</t>
        </is>
      </c>
      <c r="X1496" s="33" t="inlineStr">
        <is>
          <t>NO</t>
        </is>
      </c>
      <c r="Y1496" s="33" t="n">
        <v>1</v>
      </c>
      <c r="Z1496" s="33" t="n">
        <v>5</v>
      </c>
      <c r="AA1496" s="33" t="inlineStr">
        <is>
          <t>4</t>
        </is>
      </c>
      <c r="AB1496" s="33" t="inlineStr">
        <is>
          <t>https://www.swimcloud.com/results/305727/event/10/?id=127849577#time127849577</t>
        </is>
      </c>
      <c r="AC1496" s="33" t="inlineStr">
        <is>
          <t>SwimCloud API v6 2026-10-08</t>
        </is>
      </c>
      <c r="AD1496" s="33" t="inlineStr">
        <is>
          <t>Kristof Milak|2024-06-18|LCM|100|Free|48.26|European Aquatics Championships|SEM|False</t>
        </is>
      </c>
      <c r="AE1496" s="53">
        <f>G1496+L1496/1000+ROW()/1000000000</f>
        <v/>
      </c>
      <c r="AF1496" s="35">
        <f>IF(C1496&lt;&gt;"Grayson Coulter","",COUNTIFS($C$5:$C$2991,"Grayson Coulter",$Q$5:$Q$2991,Q1496,$AE$5:$AE$2991,"&lt;="&amp;AE1496,$R$5:$R$2991,"&lt;"&amp;R1496))</f>
        <v/>
      </c>
      <c r="AG1496" s="35">
        <f>IF(OR(C1496&lt;&gt;"Grayson Coulter",G1496&lt;'00_Control'!$B$7),"",--(AF1496&lt;5))</f>
        <v/>
      </c>
      <c r="AH1496" s="35">
        <f>IF(OR(C1496&lt;&gt;"Grayson Coulter",G1496&lt;'00_Control'!$B$7),"",--(AF1496&lt;10))</f>
        <v/>
      </c>
      <c r="AI1496" s="35">
        <f>IF(AND(C1496="Grayson Coulter",G1496&gt;='00_Control'!$B$7),"YES","NO")</f>
        <v/>
      </c>
      <c r="AJ1496" s="33" t="inlineStr">
        <is>
          <t>OK</t>
        </is>
      </c>
    </row>
    <row r="1497">
      <c r="A1497" s="33" t="inlineStr">
        <is>
          <t>SM001493</t>
        </is>
      </c>
      <c r="B1497" s="33" t="inlineStr">
        <is>
          <t>SW018</t>
        </is>
      </c>
      <c r="C1497" s="33" t="inlineStr">
        <is>
          <t>Kristof Milak</t>
        </is>
      </c>
      <c r="D1497" s="33" t="inlineStr">
        <is>
          <t>SwimCloud</t>
        </is>
      </c>
      <c r="E1497" s="33" t="inlineStr">
        <is>
          <t>508643</t>
        </is>
      </c>
      <c r="F1497" s="33" t="inlineStr">
        <is>
          <t>127849573</t>
        </is>
      </c>
      <c r="G1497" s="51" t="n">
        <v>45462</v>
      </c>
      <c r="H1497" s="33" t="inlineStr">
        <is>
          <t>European Aquatics Championships</t>
        </is>
      </c>
      <c r="I1497" s="33" t="inlineStr">
        <is>
          <t>305727</t>
        </is>
      </c>
      <c r="J1497" s="33" t="inlineStr"/>
      <c r="K1497" s="33" t="inlineStr">
        <is>
          <t>PRE</t>
        </is>
      </c>
      <c r="L1497" s="35">
        <f>IF(K1497="FIN",3,IF(OR(K1497="SEM",K1497="SEMI"),2,IF(OR(K1497="PRE",K1497="HEAT"),1,IF(V1497="YES",4,2))))</f>
        <v/>
      </c>
      <c r="M1497" s="33" t="inlineStr">
        <is>
          <t>LCM</t>
        </is>
      </c>
      <c r="N1497" s="33" t="n">
        <v>100</v>
      </c>
      <c r="O1497" s="33" t="inlineStr">
        <is>
          <t>Fly</t>
        </is>
      </c>
      <c r="P1497" s="33" t="inlineStr">
        <is>
          <t>100 Fly</t>
        </is>
      </c>
      <c r="Q1497" s="33" t="inlineStr">
        <is>
          <t>LCM_100_FLY</t>
        </is>
      </c>
      <c r="R1497" s="36" t="n">
        <v>51.23</v>
      </c>
      <c r="S1497" s="35">
        <f>IF(R1497="","",IF(R1497&gt;=60,INT(R1497/60)&amp;":"&amp;TEXT(MOD(R1497,60),"00.00"),TEXT(R1497,"0.00")))</f>
        <v/>
      </c>
      <c r="T1497" s="52">
        <f>IFERROR((G1497-INDEX('01_Swimmers'!$E$5:$E$22,MATCH(B1497,'01_Swimmers'!$A$5:$A$22,0)))/'00_Control'!$B$10,"")</f>
        <v/>
      </c>
      <c r="U1497" s="35">
        <f>IF(T1497="","",INT(T1497))</f>
        <v/>
      </c>
      <c r="V1497" s="33" t="inlineStr">
        <is>
          <t>NO</t>
        </is>
      </c>
      <c r="W1497" s="33" t="inlineStr">
        <is>
          <t>YES</t>
        </is>
      </c>
      <c r="X1497" s="33" t="inlineStr">
        <is>
          <t>NO</t>
        </is>
      </c>
      <c r="Y1497" s="33" t="n">
        <v>5</v>
      </c>
      <c r="Z1497" s="33" t="n">
        <v>4</v>
      </c>
      <c r="AA1497" s="33" t="inlineStr">
        <is>
          <t>2</t>
        </is>
      </c>
      <c r="AB1497" s="33" t="inlineStr">
        <is>
          <t>https://www.swimcloud.com/results/305727/event/16/?id=127849573#time127849573</t>
        </is>
      </c>
      <c r="AC1497" s="33" t="inlineStr">
        <is>
          <t>SwimCloud API v6 2026-10-08</t>
        </is>
      </c>
      <c r="AD1497" s="33" t="inlineStr">
        <is>
          <t>Kristof Milak|2024-06-19|LCM|100|Fly|51.23|European Aquatics Championships|PRE|False</t>
        </is>
      </c>
      <c r="AE1497" s="53">
        <f>G1497+L1497/1000+ROW()/1000000000</f>
        <v/>
      </c>
      <c r="AF1497" s="35">
        <f>IF(C1497&lt;&gt;"Grayson Coulter","",COUNTIFS($C$5:$C$2991,"Grayson Coulter",$Q$5:$Q$2991,Q1497,$AE$5:$AE$2991,"&lt;="&amp;AE1497,$R$5:$R$2991,"&lt;"&amp;R1497))</f>
        <v/>
      </c>
      <c r="AG1497" s="35">
        <f>IF(OR(C1497&lt;&gt;"Grayson Coulter",G1497&lt;'00_Control'!$B$7),"",--(AF1497&lt;5))</f>
        <v/>
      </c>
      <c r="AH1497" s="35">
        <f>IF(OR(C1497&lt;&gt;"Grayson Coulter",G1497&lt;'00_Control'!$B$7),"",--(AF1497&lt;10))</f>
        <v/>
      </c>
      <c r="AI1497" s="35">
        <f>IF(AND(C1497="Grayson Coulter",G1497&gt;='00_Control'!$B$7),"YES","NO")</f>
        <v/>
      </c>
      <c r="AJ1497" s="33" t="inlineStr">
        <is>
          <t>OK</t>
        </is>
      </c>
    </row>
    <row r="1498">
      <c r="A1498" s="33" t="inlineStr">
        <is>
          <t>SM001494</t>
        </is>
      </c>
      <c r="B1498" s="33" t="inlineStr">
        <is>
          <t>SW018</t>
        </is>
      </c>
      <c r="C1498" s="33" t="inlineStr">
        <is>
          <t>Kristof Milak</t>
        </is>
      </c>
      <c r="D1498" s="33" t="inlineStr">
        <is>
          <t>SwimCloud</t>
        </is>
      </c>
      <c r="E1498" s="33" t="inlineStr">
        <is>
          <t>508643</t>
        </is>
      </c>
      <c r="F1498" s="33" t="inlineStr">
        <is>
          <t>127849574</t>
        </is>
      </c>
      <c r="G1498" s="51" t="n">
        <v>45462</v>
      </c>
      <c r="H1498" s="33" t="inlineStr">
        <is>
          <t>European Aquatics Championships</t>
        </is>
      </c>
      <c r="I1498" s="33" t="inlineStr">
        <is>
          <t>305727</t>
        </is>
      </c>
      <c r="J1498" s="33" t="inlineStr"/>
      <c r="K1498" s="33" t="inlineStr">
        <is>
          <t>SEM</t>
        </is>
      </c>
      <c r="L1498" s="35">
        <f>IF(K1498="FIN",3,IF(OR(K1498="SEM",K1498="SEMI"),2,IF(OR(K1498="PRE",K1498="HEAT"),1,IF(V1498="YES",4,2))))</f>
        <v/>
      </c>
      <c r="M1498" s="33" t="inlineStr">
        <is>
          <t>LCM</t>
        </is>
      </c>
      <c r="N1498" s="33" t="n">
        <v>100</v>
      </c>
      <c r="O1498" s="33" t="inlineStr">
        <is>
          <t>Fly</t>
        </is>
      </c>
      <c r="P1498" s="33" t="inlineStr">
        <is>
          <t>100 Fly</t>
        </is>
      </c>
      <c r="Q1498" s="33" t="inlineStr">
        <is>
          <t>LCM_100_FLY</t>
        </is>
      </c>
      <c r="R1498" s="36" t="n">
        <v>51.57</v>
      </c>
      <c r="S1498" s="35">
        <f>IF(R1498="","",IF(R1498&gt;=60,INT(R1498/60)&amp;":"&amp;TEXT(MOD(R1498,60),"00.00"),TEXT(R1498,"0.00")))</f>
        <v/>
      </c>
      <c r="T1498" s="52">
        <f>IFERROR((G1498-INDEX('01_Swimmers'!$E$5:$E$22,MATCH(B1498,'01_Swimmers'!$A$5:$A$22,0)))/'00_Control'!$B$10,"")</f>
        <v/>
      </c>
      <c r="U1498" s="35">
        <f>IF(T1498="","",INT(T1498))</f>
        <v/>
      </c>
      <c r="V1498" s="33" t="inlineStr">
        <is>
          <t>NO</t>
        </is>
      </c>
      <c r="W1498" s="33" t="inlineStr">
        <is>
          <t>YES</t>
        </is>
      </c>
      <c r="X1498" s="33" t="inlineStr">
        <is>
          <t>NO</t>
        </is>
      </c>
      <c r="Y1498" s="33" t="n">
        <v>2</v>
      </c>
      <c r="Z1498" s="33" t="n">
        <v>4</v>
      </c>
      <c r="AA1498" s="33" t="inlineStr">
        <is>
          <t>3</t>
        </is>
      </c>
      <c r="AB1498" s="33" t="inlineStr">
        <is>
          <t>https://www.swimcloud.com/results/305727/event/16/?id=127849574#time127849574</t>
        </is>
      </c>
      <c r="AC1498" s="33" t="inlineStr">
        <is>
          <t>SwimCloud API v6 2026-10-08</t>
        </is>
      </c>
      <c r="AD1498" s="33" t="inlineStr">
        <is>
          <t>Kristof Milak|2024-06-19|LCM|100|Fly|51.57|European Aquatics Championships|SEM|False</t>
        </is>
      </c>
      <c r="AE1498" s="53">
        <f>G1498+L1498/1000+ROW()/1000000000</f>
        <v/>
      </c>
      <c r="AF1498" s="35">
        <f>IF(C1498&lt;&gt;"Grayson Coulter","",COUNTIFS($C$5:$C$2991,"Grayson Coulter",$Q$5:$Q$2991,Q1498,$AE$5:$AE$2991,"&lt;="&amp;AE1498,$R$5:$R$2991,"&lt;"&amp;R1498))</f>
        <v/>
      </c>
      <c r="AG1498" s="35">
        <f>IF(OR(C1498&lt;&gt;"Grayson Coulter",G1498&lt;'00_Control'!$B$7),"",--(AF1498&lt;5))</f>
        <v/>
      </c>
      <c r="AH1498" s="35">
        <f>IF(OR(C1498&lt;&gt;"Grayson Coulter",G1498&lt;'00_Control'!$B$7),"",--(AF1498&lt;10))</f>
        <v/>
      </c>
      <c r="AI1498" s="35">
        <f>IF(AND(C1498="Grayson Coulter",G1498&gt;='00_Control'!$B$7),"YES","NO")</f>
        <v/>
      </c>
      <c r="AJ1498" s="33" t="inlineStr">
        <is>
          <t>OK</t>
        </is>
      </c>
    </row>
    <row r="1499">
      <c r="A1499" s="33" t="inlineStr">
        <is>
          <t>SM001495</t>
        </is>
      </c>
      <c r="B1499" s="33" t="inlineStr">
        <is>
          <t>SW018</t>
        </is>
      </c>
      <c r="C1499" s="33" t="inlineStr">
        <is>
          <t>Kristof Milak</t>
        </is>
      </c>
      <c r="D1499" s="33" t="inlineStr">
        <is>
          <t>SwimCloud</t>
        </is>
      </c>
      <c r="E1499" s="33" t="inlineStr">
        <is>
          <t>508643</t>
        </is>
      </c>
      <c r="F1499" s="33" t="inlineStr">
        <is>
          <t>127849575</t>
        </is>
      </c>
      <c r="G1499" s="51" t="n">
        <v>45462</v>
      </c>
      <c r="H1499" s="33" t="inlineStr">
        <is>
          <t>European Aquatics Championships</t>
        </is>
      </c>
      <c r="I1499" s="33" t="inlineStr">
        <is>
          <t>305727</t>
        </is>
      </c>
      <c r="J1499" s="33" t="inlineStr"/>
      <c r="K1499" s="33" t="inlineStr">
        <is>
          <t>FIN</t>
        </is>
      </c>
      <c r="L1499" s="35">
        <f>IF(K1499="FIN",3,IF(OR(K1499="SEM",K1499="SEMI"),2,IF(OR(K1499="PRE",K1499="HEAT"),1,IF(V1499="YES",4,2))))</f>
        <v/>
      </c>
      <c r="M1499" s="33" t="inlineStr">
        <is>
          <t>LCM</t>
        </is>
      </c>
      <c r="N1499" s="33" t="n">
        <v>100</v>
      </c>
      <c r="O1499" s="33" t="inlineStr">
        <is>
          <t>Free</t>
        </is>
      </c>
      <c r="P1499" s="33" t="inlineStr">
        <is>
          <t>100 Free</t>
        </is>
      </c>
      <c r="Q1499" s="33" t="inlineStr">
        <is>
          <t>LCM_100_FREE</t>
        </is>
      </c>
      <c r="R1499" s="36" t="n">
        <v>48.41</v>
      </c>
      <c r="S1499" s="35">
        <f>IF(R1499="","",IF(R1499&gt;=60,INT(R1499/60)&amp;":"&amp;TEXT(MOD(R1499,60),"00.00"),TEXT(R1499,"0.00")))</f>
        <v/>
      </c>
      <c r="T1499" s="52">
        <f>IFERROR((G1499-INDEX('01_Swimmers'!$E$5:$E$22,MATCH(B1499,'01_Swimmers'!$A$5:$A$22,0)))/'00_Control'!$B$10,"")</f>
        <v/>
      </c>
      <c r="U1499" s="35">
        <f>IF(T1499="","",INT(T1499))</f>
        <v/>
      </c>
      <c r="V1499" s="33" t="inlineStr">
        <is>
          <t>NO</t>
        </is>
      </c>
      <c r="W1499" s="33" t="inlineStr">
        <is>
          <t>YES</t>
        </is>
      </c>
      <c r="X1499" s="33" t="inlineStr">
        <is>
          <t>NO</t>
        </is>
      </c>
      <c r="Y1499" s="33" t="n">
        <v>1</v>
      </c>
      <c r="Z1499" s="33" t="n">
        <v>6</v>
      </c>
      <c r="AA1499" s="33" t="inlineStr">
        <is>
          <t>6</t>
        </is>
      </c>
      <c r="AB1499" s="33" t="inlineStr">
        <is>
          <t>https://www.swimcloud.com/results/305727/event/10/?id=127849575#time127849575</t>
        </is>
      </c>
      <c r="AC1499" s="33" t="inlineStr">
        <is>
          <t>SwimCloud API v6 2026-10-08</t>
        </is>
      </c>
      <c r="AD1499" s="33" t="inlineStr">
        <is>
          <t>Kristof Milak|2024-06-19|LCM|100|Free|48.41|European Aquatics Championships|FIN|False</t>
        </is>
      </c>
      <c r="AE1499" s="53">
        <f>G1499+L1499/1000+ROW()/1000000000</f>
        <v/>
      </c>
      <c r="AF1499" s="35">
        <f>IF(C1499&lt;&gt;"Grayson Coulter","",COUNTIFS($C$5:$C$2991,"Grayson Coulter",$Q$5:$Q$2991,Q1499,$AE$5:$AE$2991,"&lt;="&amp;AE1499,$R$5:$R$2991,"&lt;"&amp;R1499))</f>
        <v/>
      </c>
      <c r="AG1499" s="35">
        <f>IF(OR(C1499&lt;&gt;"Grayson Coulter",G1499&lt;'00_Control'!$B$7),"",--(AF1499&lt;5))</f>
        <v/>
      </c>
      <c r="AH1499" s="35">
        <f>IF(OR(C1499&lt;&gt;"Grayson Coulter",G1499&lt;'00_Control'!$B$7),"",--(AF1499&lt;10))</f>
        <v/>
      </c>
      <c r="AI1499" s="35">
        <f>IF(AND(C1499="Grayson Coulter",G1499&gt;='00_Control'!$B$7),"YES","NO")</f>
        <v/>
      </c>
      <c r="AJ1499" s="33" t="inlineStr">
        <is>
          <t>OK</t>
        </is>
      </c>
    </row>
    <row r="1500">
      <c r="A1500" s="33" t="inlineStr">
        <is>
          <t>SM001496</t>
        </is>
      </c>
      <c r="B1500" s="33" t="inlineStr">
        <is>
          <t>SW018</t>
        </is>
      </c>
      <c r="C1500" s="33" t="inlineStr">
        <is>
          <t>Kristof Milak</t>
        </is>
      </c>
      <c r="D1500" s="33" t="inlineStr">
        <is>
          <t>SwimCloud</t>
        </is>
      </c>
      <c r="E1500" s="33" t="inlineStr">
        <is>
          <t>508643</t>
        </is>
      </c>
      <c r="F1500" s="33" t="inlineStr">
        <is>
          <t>127849572</t>
        </is>
      </c>
      <c r="G1500" s="51" t="n">
        <v>45463</v>
      </c>
      <c r="H1500" s="33" t="inlineStr">
        <is>
          <t>European Aquatics Championships</t>
        </is>
      </c>
      <c r="I1500" s="33" t="inlineStr">
        <is>
          <t>305727</t>
        </is>
      </c>
      <c r="J1500" s="33" t="inlineStr"/>
      <c r="K1500" s="33" t="inlineStr">
        <is>
          <t>FIN</t>
        </is>
      </c>
      <c r="L1500" s="35">
        <f>IF(K1500="FIN",3,IF(OR(K1500="SEM",K1500="SEMI"),2,IF(OR(K1500="PRE",K1500="HEAT"),1,IF(V1500="YES",4,2))))</f>
        <v/>
      </c>
      <c r="M1500" s="33" t="inlineStr">
        <is>
          <t>LCM</t>
        </is>
      </c>
      <c r="N1500" s="33" t="n">
        <v>100</v>
      </c>
      <c r="O1500" s="33" t="inlineStr">
        <is>
          <t>Fly</t>
        </is>
      </c>
      <c r="P1500" s="33" t="inlineStr">
        <is>
          <t>100 Fly</t>
        </is>
      </c>
      <c r="Q1500" s="33" t="inlineStr">
        <is>
          <t>LCM_100_FLY</t>
        </is>
      </c>
      <c r="R1500" s="36" t="n">
        <v>50.82</v>
      </c>
      <c r="S1500" s="35">
        <f>IF(R1500="","",IF(R1500&gt;=60,INT(R1500/60)&amp;":"&amp;TEXT(MOD(R1500,60),"00.00"),TEXT(R1500,"0.00")))</f>
        <v/>
      </c>
      <c r="T1500" s="52">
        <f>IFERROR((G1500-INDEX('01_Swimmers'!$E$5:$E$22,MATCH(B1500,'01_Swimmers'!$A$5:$A$22,0)))/'00_Control'!$B$10,"")</f>
        <v/>
      </c>
      <c r="U1500" s="35">
        <f>IF(T1500="","",INT(T1500))</f>
        <v/>
      </c>
      <c r="V1500" s="33" t="inlineStr">
        <is>
          <t>NO</t>
        </is>
      </c>
      <c r="W1500" s="33" t="inlineStr">
        <is>
          <t>YES</t>
        </is>
      </c>
      <c r="X1500" s="33" t="inlineStr">
        <is>
          <t>NO</t>
        </is>
      </c>
      <c r="Y1500" s="33" t="n">
        <v>1</v>
      </c>
      <c r="Z1500" s="33" t="n">
        <v>3</v>
      </c>
      <c r="AA1500" s="33" t="inlineStr">
        <is>
          <t>1</t>
        </is>
      </c>
      <c r="AB1500" s="33" t="inlineStr">
        <is>
          <t>https://www.swimcloud.com/results/305727/event/16/?id=127849572#time127849572</t>
        </is>
      </c>
      <c r="AC1500" s="33" t="inlineStr">
        <is>
          <t>SwimCloud API v6 2026-10-08</t>
        </is>
      </c>
      <c r="AD1500" s="33" t="inlineStr">
        <is>
          <t>Kristof Milak|2024-06-20|LCM|100|Fly|50.82|European Aquatics Championships|FIN|False</t>
        </is>
      </c>
      <c r="AE1500" s="53">
        <f>G1500+L1500/1000+ROW()/1000000000</f>
        <v/>
      </c>
      <c r="AF1500" s="35">
        <f>IF(C1500&lt;&gt;"Grayson Coulter","",COUNTIFS($C$5:$C$2991,"Grayson Coulter",$Q$5:$Q$2991,Q1500,$AE$5:$AE$2991,"&lt;="&amp;AE1500,$R$5:$R$2991,"&lt;"&amp;R1500))</f>
        <v/>
      </c>
      <c r="AG1500" s="35">
        <f>IF(OR(C1500&lt;&gt;"Grayson Coulter",G1500&lt;'00_Control'!$B$7),"",--(AF1500&lt;5))</f>
        <v/>
      </c>
      <c r="AH1500" s="35">
        <f>IF(OR(C1500&lt;&gt;"Grayson Coulter",G1500&lt;'00_Control'!$B$7),"",--(AF1500&lt;10))</f>
        <v/>
      </c>
      <c r="AI1500" s="35">
        <f>IF(AND(C1500="Grayson Coulter",G1500&gt;='00_Control'!$B$7),"YES","NO")</f>
        <v/>
      </c>
      <c r="AJ1500" s="33" t="inlineStr">
        <is>
          <t>OK</t>
        </is>
      </c>
    </row>
    <row r="1501">
      <c r="A1501" s="33" t="inlineStr">
        <is>
          <t>SM001497</t>
        </is>
      </c>
      <c r="B1501" s="33" t="inlineStr">
        <is>
          <t>SW018</t>
        </is>
      </c>
      <c r="C1501" s="33" t="inlineStr">
        <is>
          <t>Kristof Milak</t>
        </is>
      </c>
      <c r="D1501" s="33" t="inlineStr">
        <is>
          <t>SwimCloud</t>
        </is>
      </c>
      <c r="E1501" s="33" t="inlineStr">
        <is>
          <t>508643</t>
        </is>
      </c>
      <c r="F1501" s="33" t="inlineStr">
        <is>
          <t>127849581</t>
        </is>
      </c>
      <c r="G1501" s="51" t="n">
        <v>45463</v>
      </c>
      <c r="H1501" s="33" t="inlineStr">
        <is>
          <t>European Aquatics Championships</t>
        </is>
      </c>
      <c r="I1501" s="33" t="inlineStr">
        <is>
          <t>305727</t>
        </is>
      </c>
      <c r="J1501" s="33" t="inlineStr"/>
      <c r="K1501" s="33" t="inlineStr">
        <is>
          <t>PRE</t>
        </is>
      </c>
      <c r="L1501" s="35">
        <f>IF(K1501="FIN",3,IF(OR(K1501="SEM",K1501="SEMI"),2,IF(OR(K1501="PRE",K1501="HEAT"),1,IF(V1501="YES",4,2))))</f>
        <v/>
      </c>
      <c r="M1501" s="33" t="inlineStr">
        <is>
          <t>LCM</t>
        </is>
      </c>
      <c r="N1501" s="33" t="n">
        <v>200</v>
      </c>
      <c r="O1501" s="33" t="inlineStr">
        <is>
          <t>Free</t>
        </is>
      </c>
      <c r="P1501" s="33" t="inlineStr">
        <is>
          <t>200 Free</t>
        </is>
      </c>
      <c r="Q1501" s="33" t="inlineStr">
        <is>
          <t>LCM_200_FREE</t>
        </is>
      </c>
      <c r="R1501" s="36" t="n">
        <v>109.06</v>
      </c>
      <c r="S1501" s="35">
        <f>IF(R1501="","",IF(R1501&gt;=60,INT(R1501/60)&amp;":"&amp;TEXT(MOD(R1501,60),"00.00"),TEXT(R1501,"0.00")))</f>
        <v/>
      </c>
      <c r="T1501" s="52">
        <f>IFERROR((G1501-INDEX('01_Swimmers'!$E$5:$E$22,MATCH(B1501,'01_Swimmers'!$A$5:$A$22,0)))/'00_Control'!$B$10,"")</f>
        <v/>
      </c>
      <c r="U1501" s="35">
        <f>IF(T1501="","",INT(T1501))</f>
        <v/>
      </c>
      <c r="V1501" s="33" t="inlineStr">
        <is>
          <t>NO</t>
        </is>
      </c>
      <c r="W1501" s="33" t="inlineStr">
        <is>
          <t>YES</t>
        </is>
      </c>
      <c r="X1501" s="33" t="inlineStr">
        <is>
          <t>NO</t>
        </is>
      </c>
      <c r="Y1501" s="33" t="n">
        <v>6</v>
      </c>
      <c r="Z1501" s="33" t="n">
        <v>5</v>
      </c>
      <c r="AA1501" s="33" t="inlineStr">
        <is>
          <t>20</t>
        </is>
      </c>
      <c r="AB1501" s="33" t="inlineStr">
        <is>
          <t>https://www.swimcloud.com/results/305727/event/21/?id=127849581#time127849581</t>
        </is>
      </c>
      <c r="AC1501" s="33" t="inlineStr">
        <is>
          <t>SwimCloud API v6 2026-10-08</t>
        </is>
      </c>
      <c r="AD1501" s="33" t="inlineStr">
        <is>
          <t>Kristof Milak|2024-06-20|LCM|200|Free|109.06|European Aquatics Championships|PRE|False</t>
        </is>
      </c>
      <c r="AE1501" s="53">
        <f>G1501+L1501/1000+ROW()/1000000000</f>
        <v/>
      </c>
      <c r="AF1501" s="35">
        <f>IF(C1501&lt;&gt;"Grayson Coulter","",COUNTIFS($C$5:$C$2991,"Grayson Coulter",$Q$5:$Q$2991,Q1501,$AE$5:$AE$2991,"&lt;="&amp;AE1501,$R$5:$R$2991,"&lt;"&amp;R1501))</f>
        <v/>
      </c>
      <c r="AG1501" s="35">
        <f>IF(OR(C1501&lt;&gt;"Grayson Coulter",G1501&lt;'00_Control'!$B$7),"",--(AF1501&lt;5))</f>
        <v/>
      </c>
      <c r="AH1501" s="35">
        <f>IF(OR(C1501&lt;&gt;"Grayson Coulter",G1501&lt;'00_Control'!$B$7),"",--(AF1501&lt;10))</f>
        <v/>
      </c>
      <c r="AI1501" s="35">
        <f>IF(AND(C1501="Grayson Coulter",G1501&gt;='00_Control'!$B$7),"YES","NO")</f>
        <v/>
      </c>
      <c r="AJ1501" s="33" t="inlineStr">
        <is>
          <t>OK</t>
        </is>
      </c>
    </row>
    <row r="1502">
      <c r="A1502" s="33" t="inlineStr">
        <is>
          <t>SM001498</t>
        </is>
      </c>
      <c r="B1502" s="33" t="inlineStr">
        <is>
          <t>SW018</t>
        </is>
      </c>
      <c r="C1502" s="33" t="inlineStr">
        <is>
          <t>Kristof Milak</t>
        </is>
      </c>
      <c r="D1502" s="33" t="inlineStr">
        <is>
          <t>SwimCloud</t>
        </is>
      </c>
      <c r="E1502" s="33" t="inlineStr">
        <is>
          <t>508643</t>
        </is>
      </c>
      <c r="F1502" s="33" t="inlineStr">
        <is>
          <t>130573465</t>
        </is>
      </c>
      <c r="G1502" s="51" t="n">
        <v>45500</v>
      </c>
      <c r="H1502" s="33" t="inlineStr">
        <is>
          <t>Olympic Games</t>
        </is>
      </c>
      <c r="I1502" s="33" t="inlineStr">
        <is>
          <t>2424</t>
        </is>
      </c>
      <c r="J1502" s="33" t="inlineStr"/>
      <c r="K1502" s="33" t="inlineStr">
        <is>
          <t>PRE</t>
        </is>
      </c>
      <c r="L1502" s="35">
        <f>IF(K1502="FIN",3,IF(OR(K1502="SEM",K1502="SEMI"),2,IF(OR(K1502="PRE",K1502="HEAT"),1,IF(V1502="YES",4,2))))</f>
        <v/>
      </c>
      <c r="M1502" s="33" t="inlineStr">
        <is>
          <t>LCM</t>
        </is>
      </c>
      <c r="N1502" s="33" t="n">
        <v>100</v>
      </c>
      <c r="O1502" s="33" t="inlineStr">
        <is>
          <t>Fly</t>
        </is>
      </c>
      <c r="P1502" s="33" t="inlineStr">
        <is>
          <t>100 Fly</t>
        </is>
      </c>
      <c r="Q1502" s="33" t="inlineStr">
        <is>
          <t>LCM_100_FLY</t>
        </is>
      </c>
      <c r="R1502" s="36" t="n">
        <v>50.19</v>
      </c>
      <c r="S1502" s="35">
        <f>IF(R1502="","",IF(R1502&gt;=60,INT(R1502/60)&amp;":"&amp;TEXT(MOD(R1502,60),"00.00"),TEXT(R1502,"0.00")))</f>
        <v/>
      </c>
      <c r="T1502" s="52">
        <f>IFERROR((G1502-INDEX('01_Swimmers'!$E$5:$E$22,MATCH(B1502,'01_Swimmers'!$A$5:$A$22,0)))/'00_Control'!$B$10,"")</f>
        <v/>
      </c>
      <c r="U1502" s="35">
        <f>IF(T1502="","",INT(T1502))</f>
        <v/>
      </c>
      <c r="V1502" s="33" t="inlineStr">
        <is>
          <t>NO</t>
        </is>
      </c>
      <c r="W1502" s="33" t="inlineStr">
        <is>
          <t>YES</t>
        </is>
      </c>
      <c r="X1502" s="33" t="inlineStr">
        <is>
          <t>NO</t>
        </is>
      </c>
      <c r="Y1502" s="33" t="n">
        <v>5</v>
      </c>
      <c r="Z1502" s="33" t="n">
        <v>8</v>
      </c>
      <c r="AA1502" s="33" t="inlineStr">
        <is>
          <t>1</t>
        </is>
      </c>
      <c r="AB1502" s="33" t="inlineStr">
        <is>
          <t>https://www.swimcloud.com/results/2424/event/402/?id=130573465#time130573465</t>
        </is>
      </c>
      <c r="AC1502" s="33" t="inlineStr">
        <is>
          <t>SwimCloud API v6 2026-10-08</t>
        </is>
      </c>
      <c r="AD1502" s="33" t="inlineStr">
        <is>
          <t>Kristof Milak|2024-07-27|LCM|100|Fly|50.19|Olympic Games|PRE|False</t>
        </is>
      </c>
      <c r="AE1502" s="53">
        <f>G1502+L1502/1000+ROW()/1000000000</f>
        <v/>
      </c>
      <c r="AF1502" s="35">
        <f>IF(C1502&lt;&gt;"Grayson Coulter","",COUNTIFS($C$5:$C$2991,"Grayson Coulter",$Q$5:$Q$2991,Q1502,$AE$5:$AE$2991,"&lt;="&amp;AE1502,$R$5:$R$2991,"&lt;"&amp;R1502))</f>
        <v/>
      </c>
      <c r="AG1502" s="35">
        <f>IF(OR(C1502&lt;&gt;"Grayson Coulter",G1502&lt;'00_Control'!$B$7),"",--(AF1502&lt;5))</f>
        <v/>
      </c>
      <c r="AH1502" s="35">
        <f>IF(OR(C1502&lt;&gt;"Grayson Coulter",G1502&lt;'00_Control'!$B$7),"",--(AF1502&lt;10))</f>
        <v/>
      </c>
      <c r="AI1502" s="35">
        <f>IF(AND(C1502="Grayson Coulter",G1502&gt;='00_Control'!$B$7),"YES","NO")</f>
        <v/>
      </c>
      <c r="AJ1502" s="33" t="inlineStr">
        <is>
          <t>OK</t>
        </is>
      </c>
    </row>
    <row r="1503">
      <c r="A1503" s="33" t="inlineStr">
        <is>
          <t>SM001499</t>
        </is>
      </c>
      <c r="B1503" s="33" t="inlineStr">
        <is>
          <t>SW018</t>
        </is>
      </c>
      <c r="C1503" s="33" t="inlineStr">
        <is>
          <t>Kristof Milak</t>
        </is>
      </c>
      <c r="D1503" s="33" t="inlineStr">
        <is>
          <t>SwimCloud</t>
        </is>
      </c>
      <c r="E1503" s="33" t="inlineStr">
        <is>
          <t>508643</t>
        </is>
      </c>
      <c r="F1503" s="33" t="inlineStr">
        <is>
          <t>130623056</t>
        </is>
      </c>
      <c r="G1503" s="51" t="n">
        <v>45500</v>
      </c>
      <c r="H1503" s="33" t="inlineStr">
        <is>
          <t>Olympic Games</t>
        </is>
      </c>
      <c r="I1503" s="33" t="inlineStr">
        <is>
          <t>2424</t>
        </is>
      </c>
      <c r="J1503" s="33" t="inlineStr"/>
      <c r="K1503" s="33" t="inlineStr">
        <is>
          <t>SEM</t>
        </is>
      </c>
      <c r="L1503" s="35">
        <f>IF(K1503="FIN",3,IF(OR(K1503="SEM",K1503="SEMI"),2,IF(OR(K1503="PRE",K1503="HEAT"),1,IF(V1503="YES",4,2))))</f>
        <v/>
      </c>
      <c r="M1503" s="33" t="inlineStr">
        <is>
          <t>LCM</t>
        </is>
      </c>
      <c r="N1503" s="33" t="n">
        <v>100</v>
      </c>
      <c r="O1503" s="33" t="inlineStr">
        <is>
          <t>Fly</t>
        </is>
      </c>
      <c r="P1503" s="33" t="inlineStr">
        <is>
          <t>100 Fly</t>
        </is>
      </c>
      <c r="Q1503" s="33" t="inlineStr">
        <is>
          <t>LCM_100_FLY</t>
        </is>
      </c>
      <c r="R1503" s="36" t="n">
        <v>50.38</v>
      </c>
      <c r="S1503" s="35">
        <f>IF(R1503="","",IF(R1503&gt;=60,INT(R1503/60)&amp;":"&amp;TEXT(MOD(R1503,60),"00.00"),TEXT(R1503,"0.00")))</f>
        <v/>
      </c>
      <c r="T1503" s="52">
        <f>IFERROR((G1503-INDEX('01_Swimmers'!$E$5:$E$22,MATCH(B1503,'01_Swimmers'!$A$5:$A$22,0)))/'00_Control'!$B$10,"")</f>
        <v/>
      </c>
      <c r="U1503" s="35">
        <f>IF(T1503="","",INT(T1503))</f>
        <v/>
      </c>
      <c r="V1503" s="33" t="inlineStr">
        <is>
          <t>NO</t>
        </is>
      </c>
      <c r="W1503" s="33" t="inlineStr">
        <is>
          <t>YES</t>
        </is>
      </c>
      <c r="X1503" s="33" t="inlineStr">
        <is>
          <t>NO</t>
        </is>
      </c>
      <c r="Y1503" s="33" t="n">
        <v>2</v>
      </c>
      <c r="Z1503" s="33" t="n">
        <v>4</v>
      </c>
      <c r="AA1503" s="33" t="inlineStr">
        <is>
          <t>1</t>
        </is>
      </c>
      <c r="AB1503" s="33" t="inlineStr">
        <is>
          <t>https://www.swimcloud.com/results/2424/event/402/?id=130623056#time130623056</t>
        </is>
      </c>
      <c r="AC1503" s="33" t="inlineStr">
        <is>
          <t>SwimCloud API v6 2026-10-08</t>
        </is>
      </c>
      <c r="AD1503" s="33" t="inlineStr">
        <is>
          <t>Kristof Milak|2024-07-27|LCM|100|Fly|50.38|Olympic Games|SEM|False</t>
        </is>
      </c>
      <c r="AE1503" s="53">
        <f>G1503+L1503/1000+ROW()/1000000000</f>
        <v/>
      </c>
      <c r="AF1503" s="35">
        <f>IF(C1503&lt;&gt;"Grayson Coulter","",COUNTIFS($C$5:$C$2991,"Grayson Coulter",$Q$5:$Q$2991,Q1503,$AE$5:$AE$2991,"&lt;="&amp;AE1503,$R$5:$R$2991,"&lt;"&amp;R1503))</f>
        <v/>
      </c>
      <c r="AG1503" s="35">
        <f>IF(OR(C1503&lt;&gt;"Grayson Coulter",G1503&lt;'00_Control'!$B$7),"",--(AF1503&lt;5))</f>
        <v/>
      </c>
      <c r="AH1503" s="35">
        <f>IF(OR(C1503&lt;&gt;"Grayson Coulter",G1503&lt;'00_Control'!$B$7),"",--(AF1503&lt;10))</f>
        <v/>
      </c>
      <c r="AI1503" s="35">
        <f>IF(AND(C1503="Grayson Coulter",G1503&gt;='00_Control'!$B$7),"YES","NO")</f>
        <v/>
      </c>
      <c r="AJ1503" s="33" t="inlineStr">
        <is>
          <t>OK</t>
        </is>
      </c>
    </row>
    <row r="1504">
      <c r="A1504" s="33" t="inlineStr">
        <is>
          <t>SM001500</t>
        </is>
      </c>
      <c r="B1504" s="33" t="inlineStr">
        <is>
          <t>SW018</t>
        </is>
      </c>
      <c r="C1504" s="33" t="inlineStr">
        <is>
          <t>Kristof Milak</t>
        </is>
      </c>
      <c r="D1504" s="33" t="inlineStr">
        <is>
          <t>SwimCloud</t>
        </is>
      </c>
      <c r="E1504" s="33" t="inlineStr">
        <is>
          <t>508643</t>
        </is>
      </c>
      <c r="F1504" s="33" t="inlineStr">
        <is>
          <t>130624493</t>
        </is>
      </c>
      <c r="G1504" s="51" t="n">
        <v>45500</v>
      </c>
      <c r="H1504" s="33" t="inlineStr">
        <is>
          <t>Olympic Games</t>
        </is>
      </c>
      <c r="I1504" s="33" t="inlineStr">
        <is>
          <t>2424</t>
        </is>
      </c>
      <c r="J1504" s="33" t="inlineStr"/>
      <c r="K1504" s="33" t="inlineStr">
        <is>
          <t>FIN</t>
        </is>
      </c>
      <c r="L1504" s="35">
        <f>IF(K1504="FIN",3,IF(OR(K1504="SEM",K1504="SEMI"),2,IF(OR(K1504="PRE",K1504="HEAT"),1,IF(V1504="YES",4,2))))</f>
        <v/>
      </c>
      <c r="M1504" s="33" t="inlineStr">
        <is>
          <t>LCM</t>
        </is>
      </c>
      <c r="N1504" s="33" t="n">
        <v>100</v>
      </c>
      <c r="O1504" s="33" t="inlineStr">
        <is>
          <t>Fly</t>
        </is>
      </c>
      <c r="P1504" s="33" t="inlineStr">
        <is>
          <t>100 Fly</t>
        </is>
      </c>
      <c r="Q1504" s="33" t="inlineStr">
        <is>
          <t>LCM_100_FLY</t>
        </is>
      </c>
      <c r="R1504" s="36" t="n">
        <v>49.9</v>
      </c>
      <c r="S1504" s="35">
        <f>IF(R1504="","",IF(R1504&gt;=60,INT(R1504/60)&amp;":"&amp;TEXT(MOD(R1504,60),"00.00"),TEXT(R1504,"0.00")))</f>
        <v/>
      </c>
      <c r="T1504" s="52">
        <f>IFERROR((G1504-INDEX('01_Swimmers'!$E$5:$E$22,MATCH(B1504,'01_Swimmers'!$A$5:$A$22,0)))/'00_Control'!$B$10,"")</f>
        <v/>
      </c>
      <c r="U1504" s="35">
        <f>IF(T1504="","",INT(T1504))</f>
        <v/>
      </c>
      <c r="V1504" s="33" t="inlineStr">
        <is>
          <t>NO</t>
        </is>
      </c>
      <c r="W1504" s="33" t="inlineStr">
        <is>
          <t>YES</t>
        </is>
      </c>
      <c r="X1504" s="33" t="inlineStr">
        <is>
          <t>NO</t>
        </is>
      </c>
      <c r="Y1504" s="33" t="n">
        <v>1</v>
      </c>
      <c r="Z1504" s="33" t="n">
        <v>4</v>
      </c>
      <c r="AA1504" s="33" t="inlineStr">
        <is>
          <t>1</t>
        </is>
      </c>
      <c r="AB1504" s="33" t="inlineStr">
        <is>
          <t>https://www.swimcloud.com/results/2424/event/402/?id=130624493#time130624493</t>
        </is>
      </c>
      <c r="AC1504" s="33" t="inlineStr">
        <is>
          <t>SwimCloud API v6 2026-10-08</t>
        </is>
      </c>
      <c r="AD1504" s="33" t="inlineStr">
        <is>
          <t>Kristof Milak|2024-07-27|LCM|100|Fly|49.9|Olympic Games|FIN|False</t>
        </is>
      </c>
      <c r="AE1504" s="53">
        <f>G1504+L1504/1000+ROW()/1000000000</f>
        <v/>
      </c>
      <c r="AF1504" s="35">
        <f>IF(C1504&lt;&gt;"Grayson Coulter","",COUNTIFS($C$5:$C$2991,"Grayson Coulter",$Q$5:$Q$2991,Q1504,$AE$5:$AE$2991,"&lt;="&amp;AE1504,$R$5:$R$2991,"&lt;"&amp;R1504))</f>
        <v/>
      </c>
      <c r="AG1504" s="35">
        <f>IF(OR(C1504&lt;&gt;"Grayson Coulter",G1504&lt;'00_Control'!$B$7),"",--(AF1504&lt;5))</f>
        <v/>
      </c>
      <c r="AH1504" s="35">
        <f>IF(OR(C1504&lt;&gt;"Grayson Coulter",G1504&lt;'00_Control'!$B$7),"",--(AF1504&lt;10))</f>
        <v/>
      </c>
      <c r="AI1504" s="35">
        <f>IF(AND(C1504="Grayson Coulter",G1504&gt;='00_Control'!$B$7),"YES","NO")</f>
        <v/>
      </c>
      <c r="AJ1504" s="33" t="inlineStr">
        <is>
          <t>OK</t>
        </is>
      </c>
    </row>
    <row r="1505">
      <c r="A1505" s="33" t="inlineStr">
        <is>
          <t>SM001501</t>
        </is>
      </c>
      <c r="B1505" s="33" t="inlineStr">
        <is>
          <t>SW018</t>
        </is>
      </c>
      <c r="C1505" s="33" t="inlineStr">
        <is>
          <t>Kristof Milak</t>
        </is>
      </c>
      <c r="D1505" s="33" t="inlineStr">
        <is>
          <t>SwimCloud</t>
        </is>
      </c>
      <c r="E1505" s="33" t="inlineStr">
        <is>
          <t>508643</t>
        </is>
      </c>
      <c r="F1505" s="33" t="inlineStr">
        <is>
          <t>150530679</t>
        </is>
      </c>
      <c r="G1505" s="51" t="n">
        <v>45756</v>
      </c>
      <c r="H1505" s="33" t="inlineStr">
        <is>
          <t>CXXVII Hungarian Championship</t>
        </is>
      </c>
      <c r="I1505" s="33" t="inlineStr">
        <is>
          <t>341790</t>
        </is>
      </c>
      <c r="J1505" s="33" t="inlineStr"/>
      <c r="K1505" s="33" t="inlineStr">
        <is>
          <t>PRE</t>
        </is>
      </c>
      <c r="L1505" s="35">
        <f>IF(K1505="FIN",3,IF(OR(K1505="SEM",K1505="SEMI"),2,IF(OR(K1505="PRE",K1505="HEAT"),1,IF(V1505="YES",4,2))))</f>
        <v/>
      </c>
      <c r="M1505" s="33" t="inlineStr">
        <is>
          <t>LCM</t>
        </is>
      </c>
      <c r="N1505" s="33" t="n">
        <v>100</v>
      </c>
      <c r="O1505" s="33" t="inlineStr">
        <is>
          <t>Free</t>
        </is>
      </c>
      <c r="P1505" s="33" t="inlineStr">
        <is>
          <t>100 Free</t>
        </is>
      </c>
      <c r="Q1505" s="33" t="inlineStr">
        <is>
          <t>LCM_100_FREE</t>
        </is>
      </c>
      <c r="R1505" s="36" t="n">
        <v>49.74</v>
      </c>
      <c r="S1505" s="35">
        <f>IF(R1505="","",IF(R1505&gt;=60,INT(R1505/60)&amp;":"&amp;TEXT(MOD(R1505,60),"00.00"),TEXT(R1505,"0.00")))</f>
        <v/>
      </c>
      <c r="T1505" s="52">
        <f>IFERROR((G1505-INDEX('01_Swimmers'!$E$5:$E$22,MATCH(B1505,'01_Swimmers'!$A$5:$A$22,0)))/'00_Control'!$B$10,"")</f>
        <v/>
      </c>
      <c r="U1505" s="35">
        <f>IF(T1505="","",INT(T1505))</f>
        <v/>
      </c>
      <c r="V1505" s="33" t="inlineStr">
        <is>
          <t>NO</t>
        </is>
      </c>
      <c r="W1505" s="33" t="inlineStr">
        <is>
          <t>YES</t>
        </is>
      </c>
      <c r="X1505" s="33" t="inlineStr">
        <is>
          <t>NO</t>
        </is>
      </c>
      <c r="Y1505" s="33" t="n">
        <v>9</v>
      </c>
      <c r="Z1505" s="33" t="n">
        <v>4</v>
      </c>
      <c r="AA1505" s="33" t="inlineStr"/>
      <c r="AB1505" s="33" t="inlineStr">
        <is>
          <t>https://www.swimcloud.com/results/341790/event/3/?id=150530679#time150530679</t>
        </is>
      </c>
      <c r="AC1505" s="33" t="inlineStr">
        <is>
          <t>SwimCloud API v6 2026-10-08</t>
        </is>
      </c>
      <c r="AD1505" s="33" t="inlineStr">
        <is>
          <t>Kristof Milak|2025-04-09|LCM|100|Free|49.74|CXXVII Hungarian Championship|PRE|False</t>
        </is>
      </c>
      <c r="AE1505" s="53">
        <f>G1505+L1505/1000+ROW()/1000000000</f>
        <v/>
      </c>
      <c r="AF1505" s="35">
        <f>IF(C1505&lt;&gt;"Grayson Coulter","",COUNTIFS($C$5:$C$2991,"Grayson Coulter",$Q$5:$Q$2991,Q1505,$AE$5:$AE$2991,"&lt;="&amp;AE1505,$R$5:$R$2991,"&lt;"&amp;R1505))</f>
        <v/>
      </c>
      <c r="AG1505" s="35">
        <f>IF(OR(C1505&lt;&gt;"Grayson Coulter",G1505&lt;'00_Control'!$B$7),"",--(AF1505&lt;5))</f>
        <v/>
      </c>
      <c r="AH1505" s="35">
        <f>IF(OR(C1505&lt;&gt;"Grayson Coulter",G1505&lt;'00_Control'!$B$7),"",--(AF1505&lt;10))</f>
        <v/>
      </c>
      <c r="AI1505" s="35">
        <f>IF(AND(C1505="Grayson Coulter",G1505&gt;='00_Control'!$B$7),"YES","NO")</f>
        <v/>
      </c>
      <c r="AJ1505" s="33" t="inlineStr">
        <is>
          <t>OK</t>
        </is>
      </c>
    </row>
    <row r="1506">
      <c r="A1506" s="33" t="inlineStr">
        <is>
          <t>SM001502</t>
        </is>
      </c>
      <c r="B1506" s="33" t="inlineStr">
        <is>
          <t>SW018</t>
        </is>
      </c>
      <c r="C1506" s="33" t="inlineStr">
        <is>
          <t>Kristof Milak</t>
        </is>
      </c>
      <c r="D1506" s="33" t="inlineStr">
        <is>
          <t>SwimCloud</t>
        </is>
      </c>
      <c r="E1506" s="33" t="inlineStr">
        <is>
          <t>508643</t>
        </is>
      </c>
      <c r="F1506" s="33" t="inlineStr">
        <is>
          <t>150530683</t>
        </is>
      </c>
      <c r="G1506" s="51" t="n">
        <v>45756</v>
      </c>
      <c r="H1506" s="33" t="inlineStr">
        <is>
          <t>CXXVII Hungarian Championship</t>
        </is>
      </c>
      <c r="I1506" s="33" t="inlineStr">
        <is>
          <t>341790</t>
        </is>
      </c>
      <c r="J1506" s="33" t="inlineStr"/>
      <c r="K1506" s="33" t="inlineStr">
        <is>
          <t>FIN</t>
        </is>
      </c>
      <c r="L1506" s="35">
        <f>IF(K1506="FIN",3,IF(OR(K1506="SEM",K1506="SEMI"),2,IF(OR(K1506="PRE",K1506="HEAT"),1,IF(V1506="YES",4,2))))</f>
        <v/>
      </c>
      <c r="M1506" s="33" t="inlineStr">
        <is>
          <t>LCM</t>
        </is>
      </c>
      <c r="N1506" s="33" t="n">
        <v>100</v>
      </c>
      <c r="O1506" s="33" t="inlineStr">
        <is>
          <t>Free</t>
        </is>
      </c>
      <c r="P1506" s="33" t="inlineStr">
        <is>
          <t>100 Free</t>
        </is>
      </c>
      <c r="Q1506" s="33" t="inlineStr">
        <is>
          <t>LCM_100_FREE</t>
        </is>
      </c>
      <c r="R1506" s="36" t="n">
        <v>48.76</v>
      </c>
      <c r="S1506" s="35">
        <f>IF(R1506="","",IF(R1506&gt;=60,INT(R1506/60)&amp;":"&amp;TEXT(MOD(R1506,60),"00.00"),TEXT(R1506,"0.00")))</f>
        <v/>
      </c>
      <c r="T1506" s="52">
        <f>IFERROR((G1506-INDEX('01_Swimmers'!$E$5:$E$22,MATCH(B1506,'01_Swimmers'!$A$5:$A$22,0)))/'00_Control'!$B$10,"")</f>
        <v/>
      </c>
      <c r="U1506" s="35">
        <f>IF(T1506="","",INT(T1506))</f>
        <v/>
      </c>
      <c r="V1506" s="33" t="inlineStr">
        <is>
          <t>NO</t>
        </is>
      </c>
      <c r="W1506" s="33" t="inlineStr">
        <is>
          <t>YES</t>
        </is>
      </c>
      <c r="X1506" s="33" t="inlineStr">
        <is>
          <t>NO</t>
        </is>
      </c>
      <c r="Y1506" s="33" t="n">
        <v>2</v>
      </c>
      <c r="Z1506" s="33" t="n">
        <v>4</v>
      </c>
      <c r="AA1506" s="33" t="inlineStr">
        <is>
          <t>1</t>
        </is>
      </c>
      <c r="AB1506" s="33" t="inlineStr">
        <is>
          <t>https://www.swimcloud.com/results/341790/event/3/?id=150530683#time150530683</t>
        </is>
      </c>
      <c r="AC1506" s="33" t="inlineStr">
        <is>
          <t>SwimCloud API v6 2026-10-08</t>
        </is>
      </c>
      <c r="AD1506" s="33" t="inlineStr">
        <is>
          <t>Kristof Milak|2025-04-09|LCM|100|Free|48.76|CXXVII Hungarian Championship|FIN|False</t>
        </is>
      </c>
      <c r="AE1506" s="53">
        <f>G1506+L1506/1000+ROW()/1000000000</f>
        <v/>
      </c>
      <c r="AF1506" s="35">
        <f>IF(C1506&lt;&gt;"Grayson Coulter","",COUNTIFS($C$5:$C$2991,"Grayson Coulter",$Q$5:$Q$2991,Q1506,$AE$5:$AE$2991,"&lt;="&amp;AE1506,$R$5:$R$2991,"&lt;"&amp;R1506))</f>
        <v/>
      </c>
      <c r="AG1506" s="35">
        <f>IF(OR(C1506&lt;&gt;"Grayson Coulter",G1506&lt;'00_Control'!$B$7),"",--(AF1506&lt;5))</f>
        <v/>
      </c>
      <c r="AH1506" s="35">
        <f>IF(OR(C1506&lt;&gt;"Grayson Coulter",G1506&lt;'00_Control'!$B$7),"",--(AF1506&lt;10))</f>
        <v/>
      </c>
      <c r="AI1506" s="35">
        <f>IF(AND(C1506="Grayson Coulter",G1506&gt;='00_Control'!$B$7),"YES","NO")</f>
        <v/>
      </c>
      <c r="AJ1506" s="33" t="inlineStr">
        <is>
          <t>OK</t>
        </is>
      </c>
    </row>
    <row r="1507">
      <c r="A1507" s="33" t="inlineStr">
        <is>
          <t>SM001503</t>
        </is>
      </c>
      <c r="B1507" s="33" t="inlineStr">
        <is>
          <t>SW018</t>
        </is>
      </c>
      <c r="C1507" s="33" t="inlineStr">
        <is>
          <t>Kristof Milak</t>
        </is>
      </c>
      <c r="D1507" s="33" t="inlineStr">
        <is>
          <t>SwimCloud</t>
        </is>
      </c>
      <c r="E1507" s="33" t="inlineStr">
        <is>
          <t>508643</t>
        </is>
      </c>
      <c r="F1507" s="33" t="inlineStr">
        <is>
          <t>150530682</t>
        </is>
      </c>
      <c r="G1507" s="51" t="n">
        <v>45759</v>
      </c>
      <c r="H1507" s="33" t="inlineStr">
        <is>
          <t>CXXVII Hungarian Championship</t>
        </is>
      </c>
      <c r="I1507" s="33" t="inlineStr">
        <is>
          <t>341790</t>
        </is>
      </c>
      <c r="J1507" s="33" t="inlineStr"/>
      <c r="K1507" s="33" t="inlineStr">
        <is>
          <t>PRE</t>
        </is>
      </c>
      <c r="L1507" s="35">
        <f>IF(K1507="FIN",3,IF(OR(K1507="SEM",K1507="SEMI"),2,IF(OR(K1507="PRE",K1507="HEAT"),1,IF(V1507="YES",4,2))))</f>
        <v/>
      </c>
      <c r="M1507" s="33" t="inlineStr">
        <is>
          <t>LCM</t>
        </is>
      </c>
      <c r="N1507" s="33" t="n">
        <v>100</v>
      </c>
      <c r="O1507" s="33" t="inlineStr">
        <is>
          <t>Fly</t>
        </is>
      </c>
      <c r="P1507" s="33" t="inlineStr">
        <is>
          <t>100 Fly</t>
        </is>
      </c>
      <c r="Q1507" s="33" t="inlineStr">
        <is>
          <t>LCM_100_FLY</t>
        </is>
      </c>
      <c r="R1507" s="36" t="n">
        <v>52.97</v>
      </c>
      <c r="S1507" s="35">
        <f>IF(R1507="","",IF(R1507&gt;=60,INT(R1507/60)&amp;":"&amp;TEXT(MOD(R1507,60),"00.00"),TEXT(R1507,"0.00")))</f>
        <v/>
      </c>
      <c r="T1507" s="52">
        <f>IFERROR((G1507-INDEX('01_Swimmers'!$E$5:$E$22,MATCH(B1507,'01_Swimmers'!$A$5:$A$22,0)))/'00_Control'!$B$10,"")</f>
        <v/>
      </c>
      <c r="U1507" s="35">
        <f>IF(T1507="","",INT(T1507))</f>
        <v/>
      </c>
      <c r="V1507" s="33" t="inlineStr">
        <is>
          <t>NO</t>
        </is>
      </c>
      <c r="W1507" s="33" t="inlineStr">
        <is>
          <t>YES</t>
        </is>
      </c>
      <c r="X1507" s="33" t="inlineStr">
        <is>
          <t>NO</t>
        </is>
      </c>
      <c r="Y1507" s="33" t="n">
        <v>8</v>
      </c>
      <c r="Z1507" s="33" t="n">
        <v>4</v>
      </c>
      <c r="AA1507" s="33" t="inlineStr"/>
      <c r="AB1507" s="33" t="inlineStr">
        <is>
          <t>https://www.swimcloud.com/results/341790/event/39/?id=150530682#time150530682</t>
        </is>
      </c>
      <c r="AC1507" s="33" t="inlineStr">
        <is>
          <t>SwimCloud API v6 2026-10-08</t>
        </is>
      </c>
      <c r="AD1507" s="33" t="inlineStr">
        <is>
          <t>Kristof Milak|2025-04-12|LCM|100|Fly|52.97|CXXVII Hungarian Championship|PRE|False</t>
        </is>
      </c>
      <c r="AE1507" s="53">
        <f>G1507+L1507/1000+ROW()/1000000000</f>
        <v/>
      </c>
      <c r="AF1507" s="35">
        <f>IF(C1507&lt;&gt;"Grayson Coulter","",COUNTIFS($C$5:$C$2991,"Grayson Coulter",$Q$5:$Q$2991,Q1507,$AE$5:$AE$2991,"&lt;="&amp;AE1507,$R$5:$R$2991,"&lt;"&amp;R1507))</f>
        <v/>
      </c>
      <c r="AG1507" s="35">
        <f>IF(OR(C1507&lt;&gt;"Grayson Coulter",G1507&lt;'00_Control'!$B$7),"",--(AF1507&lt;5))</f>
        <v/>
      </c>
      <c r="AH1507" s="35">
        <f>IF(OR(C1507&lt;&gt;"Grayson Coulter",G1507&lt;'00_Control'!$B$7),"",--(AF1507&lt;10))</f>
        <v/>
      </c>
      <c r="AI1507" s="35">
        <f>IF(AND(C1507="Grayson Coulter",G1507&gt;='00_Control'!$B$7),"YES","NO")</f>
        <v/>
      </c>
      <c r="AJ1507" s="33" t="inlineStr">
        <is>
          <t>OK</t>
        </is>
      </c>
    </row>
    <row r="1508">
      <c r="A1508" s="33" t="inlineStr">
        <is>
          <t>SM001504</t>
        </is>
      </c>
      <c r="B1508" s="33" t="inlineStr">
        <is>
          <t>SW018</t>
        </is>
      </c>
      <c r="C1508" s="33" t="inlineStr">
        <is>
          <t>Kristof Milak</t>
        </is>
      </c>
      <c r="D1508" s="33" t="inlineStr">
        <is>
          <t>SwimCloud</t>
        </is>
      </c>
      <c r="E1508" s="33" t="inlineStr">
        <is>
          <t>508643</t>
        </is>
      </c>
      <c r="F1508" s="33" t="inlineStr">
        <is>
          <t>150530686</t>
        </is>
      </c>
      <c r="G1508" s="51" t="n">
        <v>45759</v>
      </c>
      <c r="H1508" s="33" t="inlineStr">
        <is>
          <t>CXXVII Hungarian Championship</t>
        </is>
      </c>
      <c r="I1508" s="33" t="inlineStr">
        <is>
          <t>341790</t>
        </is>
      </c>
      <c r="J1508" s="33" t="inlineStr"/>
      <c r="K1508" s="33" t="inlineStr">
        <is>
          <t>FIN</t>
        </is>
      </c>
      <c r="L1508" s="35">
        <f>IF(K1508="FIN",3,IF(OR(K1508="SEM",K1508="SEMI"),2,IF(OR(K1508="PRE",K1508="HEAT"),1,IF(V1508="YES",4,2))))</f>
        <v/>
      </c>
      <c r="M1508" s="33" t="inlineStr">
        <is>
          <t>LCM</t>
        </is>
      </c>
      <c r="N1508" s="33" t="n">
        <v>100</v>
      </c>
      <c r="O1508" s="33" t="inlineStr">
        <is>
          <t>Fly</t>
        </is>
      </c>
      <c r="P1508" s="33" t="inlineStr">
        <is>
          <t>100 Fly</t>
        </is>
      </c>
      <c r="Q1508" s="33" t="inlineStr">
        <is>
          <t>LCM_100_FLY</t>
        </is>
      </c>
      <c r="R1508" s="36" t="n">
        <v>50.67</v>
      </c>
      <c r="S1508" s="35">
        <f>IF(R1508="","",IF(R1508&gt;=60,INT(R1508/60)&amp;":"&amp;TEXT(MOD(R1508,60),"00.00"),TEXT(R1508,"0.00")))</f>
        <v/>
      </c>
      <c r="T1508" s="52">
        <f>IFERROR((G1508-INDEX('01_Swimmers'!$E$5:$E$22,MATCH(B1508,'01_Swimmers'!$A$5:$A$22,0)))/'00_Control'!$B$10,"")</f>
        <v/>
      </c>
      <c r="U1508" s="35">
        <f>IF(T1508="","",INT(T1508))</f>
        <v/>
      </c>
      <c r="V1508" s="33" t="inlineStr">
        <is>
          <t>NO</t>
        </is>
      </c>
      <c r="W1508" s="33" t="inlineStr">
        <is>
          <t>YES</t>
        </is>
      </c>
      <c r="X1508" s="33" t="inlineStr">
        <is>
          <t>NO</t>
        </is>
      </c>
      <c r="Y1508" s="33" t="n">
        <v>2</v>
      </c>
      <c r="Z1508" s="33" t="n">
        <v>5</v>
      </c>
      <c r="AA1508" s="33" t="inlineStr">
        <is>
          <t>2</t>
        </is>
      </c>
      <c r="AB1508" s="33" t="inlineStr">
        <is>
          <t>https://www.swimcloud.com/results/341790/event/39/?id=150530686#time150530686</t>
        </is>
      </c>
      <c r="AC1508" s="33" t="inlineStr">
        <is>
          <t>SwimCloud API v6 2026-10-08</t>
        </is>
      </c>
      <c r="AD1508" s="33" t="inlineStr">
        <is>
          <t>Kristof Milak|2025-04-12|LCM|100|Fly|50.67|CXXVII Hungarian Championship|FIN|False</t>
        </is>
      </c>
      <c r="AE1508" s="53">
        <f>G1508+L1508/1000+ROW()/1000000000</f>
        <v/>
      </c>
      <c r="AF1508" s="35">
        <f>IF(C1508&lt;&gt;"Grayson Coulter","",COUNTIFS($C$5:$C$2991,"Grayson Coulter",$Q$5:$Q$2991,Q1508,$AE$5:$AE$2991,"&lt;="&amp;AE1508,$R$5:$R$2991,"&lt;"&amp;R1508))</f>
        <v/>
      </c>
      <c r="AG1508" s="35">
        <f>IF(OR(C1508&lt;&gt;"Grayson Coulter",G1508&lt;'00_Control'!$B$7),"",--(AF1508&lt;5))</f>
        <v/>
      </c>
      <c r="AH1508" s="35">
        <f>IF(OR(C1508&lt;&gt;"Grayson Coulter",G1508&lt;'00_Control'!$B$7),"",--(AF1508&lt;10))</f>
        <v/>
      </c>
      <c r="AI1508" s="35">
        <f>IF(AND(C1508="Grayson Coulter",G1508&gt;='00_Control'!$B$7),"YES","NO")</f>
        <v/>
      </c>
      <c r="AJ1508" s="33" t="inlineStr">
        <is>
          <t>OK</t>
        </is>
      </c>
    </row>
    <row r="1509">
      <c r="A1509" s="33" t="inlineStr">
        <is>
          <t>SM001505</t>
        </is>
      </c>
      <c r="B1509" s="33" t="inlineStr">
        <is>
          <t>SW018</t>
        </is>
      </c>
      <c r="C1509" s="33" t="inlineStr">
        <is>
          <t>Kristof Milak</t>
        </is>
      </c>
      <c r="D1509" s="33" t="inlineStr">
        <is>
          <t>SwimCloud</t>
        </is>
      </c>
      <c r="E1509" s="33" t="inlineStr">
        <is>
          <t>508643</t>
        </is>
      </c>
      <c r="F1509" s="33" t="inlineStr">
        <is>
          <t>175736941</t>
        </is>
      </c>
      <c r="G1509" s="51" t="n">
        <v>46127</v>
      </c>
      <c r="H1509" s="33" t="inlineStr">
        <is>
          <t>CXXVIII. Országos Bajnokság</t>
        </is>
      </c>
      <c r="I1509" s="33" t="inlineStr">
        <is>
          <t>384644</t>
        </is>
      </c>
      <c r="J1509" s="33" t="inlineStr"/>
      <c r="K1509" s="33" t="inlineStr">
        <is>
          <t>PRE</t>
        </is>
      </c>
      <c r="L1509" s="35">
        <f>IF(K1509="FIN",3,IF(OR(K1509="SEM",K1509="SEMI"),2,IF(OR(K1509="PRE",K1509="HEAT"),1,IF(V1509="YES",4,2))))</f>
        <v/>
      </c>
      <c r="M1509" s="33" t="inlineStr">
        <is>
          <t>LCM</t>
        </is>
      </c>
      <c r="N1509" s="33" t="n">
        <v>100</v>
      </c>
      <c r="O1509" s="33" t="inlineStr">
        <is>
          <t>Free</t>
        </is>
      </c>
      <c r="P1509" s="33" t="inlineStr">
        <is>
          <t>100 Free</t>
        </is>
      </c>
      <c r="Q1509" s="33" t="inlineStr">
        <is>
          <t>LCM_100_FREE</t>
        </is>
      </c>
      <c r="R1509" s="36" t="n">
        <v>49.2</v>
      </c>
      <c r="S1509" s="35">
        <f>IF(R1509="","",IF(R1509&gt;=60,INT(R1509/60)&amp;":"&amp;TEXT(MOD(R1509,60),"00.00"),TEXT(R1509,"0.00")))</f>
        <v/>
      </c>
      <c r="T1509" s="52">
        <f>IFERROR((G1509-INDEX('01_Swimmers'!$E$5:$E$22,MATCH(B1509,'01_Swimmers'!$A$5:$A$22,0)))/'00_Control'!$B$10,"")</f>
        <v/>
      </c>
      <c r="U1509" s="35">
        <f>IF(T1509="","",INT(T1509))</f>
        <v/>
      </c>
      <c r="V1509" s="33" t="inlineStr">
        <is>
          <t>NO</t>
        </is>
      </c>
      <c r="W1509" s="33" t="inlineStr">
        <is>
          <t>YES</t>
        </is>
      </c>
      <c r="X1509" s="33" t="inlineStr">
        <is>
          <t>NO</t>
        </is>
      </c>
      <c r="Y1509" s="33" t="n">
        <v>10</v>
      </c>
      <c r="Z1509" s="33" t="n">
        <v>4</v>
      </c>
      <c r="AA1509" s="33" t="inlineStr"/>
      <c r="AB1509" s="33" t="inlineStr">
        <is>
          <t>https://www.swimcloud.com/results/384644/event/5/?id=175736941#time175736941</t>
        </is>
      </c>
      <c r="AC1509" s="33" t="inlineStr">
        <is>
          <t>SwimCloud API v6 2026-10-08</t>
        </is>
      </c>
      <c r="AD1509" s="33" t="inlineStr">
        <is>
          <t>Kristof Milak|2026-04-15|LCM|100|Free|49.2|CXXVIII. Országos Bajnokság|PRE|False</t>
        </is>
      </c>
      <c r="AE1509" s="53">
        <f>G1509+L1509/1000+ROW()/1000000000</f>
        <v/>
      </c>
      <c r="AF1509" s="35">
        <f>IF(C1509&lt;&gt;"Grayson Coulter","",COUNTIFS($C$5:$C$2991,"Grayson Coulter",$Q$5:$Q$2991,Q1509,$AE$5:$AE$2991,"&lt;="&amp;AE1509,$R$5:$R$2991,"&lt;"&amp;R1509))</f>
        <v/>
      </c>
      <c r="AG1509" s="35">
        <f>IF(OR(C1509&lt;&gt;"Grayson Coulter",G1509&lt;'00_Control'!$B$7),"",--(AF1509&lt;5))</f>
        <v/>
      </c>
      <c r="AH1509" s="35">
        <f>IF(OR(C1509&lt;&gt;"Grayson Coulter",G1509&lt;'00_Control'!$B$7),"",--(AF1509&lt;10))</f>
        <v/>
      </c>
      <c r="AI1509" s="35">
        <f>IF(AND(C1509="Grayson Coulter",G1509&gt;='00_Control'!$B$7),"YES","NO")</f>
        <v/>
      </c>
      <c r="AJ1509" s="33" t="inlineStr">
        <is>
          <t>OK</t>
        </is>
      </c>
    </row>
    <row r="1510">
      <c r="A1510" s="33" t="inlineStr">
        <is>
          <t>SM001506</t>
        </is>
      </c>
      <c r="B1510" s="33" t="inlineStr">
        <is>
          <t>SW018</t>
        </is>
      </c>
      <c r="C1510" s="33" t="inlineStr">
        <is>
          <t>Kristof Milak</t>
        </is>
      </c>
      <c r="D1510" s="33" t="inlineStr">
        <is>
          <t>SwimCloud</t>
        </is>
      </c>
      <c r="E1510" s="33" t="inlineStr">
        <is>
          <t>508643</t>
        </is>
      </c>
      <c r="F1510" s="33" t="inlineStr">
        <is>
          <t>175736947</t>
        </is>
      </c>
      <c r="G1510" s="51" t="n">
        <v>46127</v>
      </c>
      <c r="H1510" s="33" t="inlineStr">
        <is>
          <t>CXXVIII. Országos Bajnokság</t>
        </is>
      </c>
      <c r="I1510" s="33" t="inlineStr">
        <is>
          <t>384644</t>
        </is>
      </c>
      <c r="J1510" s="33" t="inlineStr"/>
      <c r="K1510" s="33" t="inlineStr">
        <is>
          <t>SEM</t>
        </is>
      </c>
      <c r="L1510" s="35">
        <f>IF(K1510="FIN",3,IF(OR(K1510="SEM",K1510="SEMI"),2,IF(OR(K1510="PRE",K1510="HEAT"),1,IF(V1510="YES",4,2))))</f>
        <v/>
      </c>
      <c r="M1510" s="33" t="inlineStr">
        <is>
          <t>LCM</t>
        </is>
      </c>
      <c r="N1510" s="33" t="n">
        <v>100</v>
      </c>
      <c r="O1510" s="33" t="inlineStr">
        <is>
          <t>Free</t>
        </is>
      </c>
      <c r="P1510" s="33" t="inlineStr">
        <is>
          <t>100 Free</t>
        </is>
      </c>
      <c r="Q1510" s="33" t="inlineStr">
        <is>
          <t>LCM_100_FREE</t>
        </is>
      </c>
      <c r="R1510" s="36" t="n">
        <v>49.34</v>
      </c>
      <c r="S1510" s="35">
        <f>IF(R1510="","",IF(R1510&gt;=60,INT(R1510/60)&amp;":"&amp;TEXT(MOD(R1510,60),"00.00"),TEXT(R1510,"0.00")))</f>
        <v/>
      </c>
      <c r="T1510" s="52">
        <f>IFERROR((G1510-INDEX('01_Swimmers'!$E$5:$E$22,MATCH(B1510,'01_Swimmers'!$A$5:$A$22,0)))/'00_Control'!$B$10,"")</f>
        <v/>
      </c>
      <c r="U1510" s="35">
        <f>IF(T1510="","",INT(T1510))</f>
        <v/>
      </c>
      <c r="V1510" s="33" t="inlineStr">
        <is>
          <t>NO</t>
        </is>
      </c>
      <c r="W1510" s="33" t="inlineStr">
        <is>
          <t>YES</t>
        </is>
      </c>
      <c r="X1510" s="33" t="inlineStr">
        <is>
          <t>NO</t>
        </is>
      </c>
      <c r="Y1510" s="33" t="n">
        <v>1</v>
      </c>
      <c r="Z1510" s="33" t="n">
        <v>4</v>
      </c>
      <c r="AA1510" s="33" t="inlineStr"/>
      <c r="AB1510" s="33" t="inlineStr">
        <is>
          <t>https://www.swimcloud.com/results/384644/event/5/?id=175736947#time175736947</t>
        </is>
      </c>
      <c r="AC1510" s="33" t="inlineStr">
        <is>
          <t>SwimCloud API v6 2026-10-08</t>
        </is>
      </c>
      <c r="AD1510" s="33" t="inlineStr">
        <is>
          <t>Kristof Milak|2026-04-15|LCM|100|Free|49.34|CXXVIII. Országos Bajnokság|SEM|False</t>
        </is>
      </c>
      <c r="AE1510" s="53">
        <f>G1510+L1510/1000+ROW()/1000000000</f>
        <v/>
      </c>
      <c r="AF1510" s="35">
        <f>IF(C1510&lt;&gt;"Grayson Coulter","",COUNTIFS($C$5:$C$2991,"Grayson Coulter",$Q$5:$Q$2991,Q1510,$AE$5:$AE$2991,"&lt;="&amp;AE1510,$R$5:$R$2991,"&lt;"&amp;R1510))</f>
        <v/>
      </c>
      <c r="AG1510" s="35">
        <f>IF(OR(C1510&lt;&gt;"Grayson Coulter",G1510&lt;'00_Control'!$B$7),"",--(AF1510&lt;5))</f>
        <v/>
      </c>
      <c r="AH1510" s="35">
        <f>IF(OR(C1510&lt;&gt;"Grayson Coulter",G1510&lt;'00_Control'!$B$7),"",--(AF1510&lt;10))</f>
        <v/>
      </c>
      <c r="AI1510" s="35">
        <f>IF(AND(C1510="Grayson Coulter",G1510&gt;='00_Control'!$B$7),"YES","NO")</f>
        <v/>
      </c>
      <c r="AJ1510" s="33" t="inlineStr">
        <is>
          <t>OK</t>
        </is>
      </c>
    </row>
    <row r="1511">
      <c r="A1511" s="33" t="inlineStr">
        <is>
          <t>SM001507</t>
        </is>
      </c>
      <c r="B1511" s="33" t="inlineStr">
        <is>
          <t>SW018</t>
        </is>
      </c>
      <c r="C1511" s="33" t="inlineStr">
        <is>
          <t>Kristof Milak</t>
        </is>
      </c>
      <c r="D1511" s="33" t="inlineStr">
        <is>
          <t>SwimCloud</t>
        </is>
      </c>
      <c r="E1511" s="33" t="inlineStr">
        <is>
          <t>508643</t>
        </is>
      </c>
      <c r="F1511" s="33" t="inlineStr">
        <is>
          <t>175736953</t>
        </is>
      </c>
      <c r="G1511" s="51" t="n">
        <v>46128</v>
      </c>
      <c r="H1511" s="33" t="inlineStr">
        <is>
          <t>CXXVIII. Országos Bajnokság</t>
        </is>
      </c>
      <c r="I1511" s="33" t="inlineStr">
        <is>
          <t>384644</t>
        </is>
      </c>
      <c r="J1511" s="33" t="inlineStr"/>
      <c r="K1511" s="33" t="inlineStr">
        <is>
          <t>FIN</t>
        </is>
      </c>
      <c r="L1511" s="35">
        <f>IF(K1511="FIN",3,IF(OR(K1511="SEM",K1511="SEMI"),2,IF(OR(K1511="PRE",K1511="HEAT"),1,IF(V1511="YES",4,2))))</f>
        <v/>
      </c>
      <c r="M1511" s="33" t="inlineStr">
        <is>
          <t>LCM</t>
        </is>
      </c>
      <c r="N1511" s="33" t="n">
        <v>100</v>
      </c>
      <c r="O1511" s="33" t="inlineStr">
        <is>
          <t>Free</t>
        </is>
      </c>
      <c r="P1511" s="33" t="inlineStr">
        <is>
          <t>100 Free</t>
        </is>
      </c>
      <c r="Q1511" s="33" t="inlineStr">
        <is>
          <t>LCM_100_FREE</t>
        </is>
      </c>
      <c r="R1511" s="36" t="n">
        <v>48.36</v>
      </c>
      <c r="S1511" s="35">
        <f>IF(R1511="","",IF(R1511&gt;=60,INT(R1511/60)&amp;":"&amp;TEXT(MOD(R1511,60),"00.00"),TEXT(R1511,"0.00")))</f>
        <v/>
      </c>
      <c r="T1511" s="52">
        <f>IFERROR((G1511-INDEX('01_Swimmers'!$E$5:$E$22,MATCH(B1511,'01_Swimmers'!$A$5:$A$22,0)))/'00_Control'!$B$10,"")</f>
        <v/>
      </c>
      <c r="U1511" s="35">
        <f>IF(T1511="","",INT(T1511))</f>
        <v/>
      </c>
      <c r="V1511" s="33" t="inlineStr">
        <is>
          <t>NO</t>
        </is>
      </c>
      <c r="W1511" s="33" t="inlineStr">
        <is>
          <t>YES</t>
        </is>
      </c>
      <c r="X1511" s="33" t="inlineStr">
        <is>
          <t>NO</t>
        </is>
      </c>
      <c r="Y1511" s="33" t="n">
        <v>1</v>
      </c>
      <c r="Z1511" s="33" t="n">
        <v>5</v>
      </c>
      <c r="AA1511" s="33" t="inlineStr">
        <is>
          <t>1</t>
        </is>
      </c>
      <c r="AB1511" s="33" t="inlineStr">
        <is>
          <t>https://www.swimcloud.com/results/384644/event/5/?id=175736953#time175736953</t>
        </is>
      </c>
      <c r="AC1511" s="33" t="inlineStr">
        <is>
          <t>SwimCloud API v6 2026-10-08</t>
        </is>
      </c>
      <c r="AD1511" s="33" t="inlineStr">
        <is>
          <t>Kristof Milak|2026-04-16|LCM|100|Free|48.36|CXXVIII. Országos Bajnokság|FIN|False</t>
        </is>
      </c>
      <c r="AE1511" s="53">
        <f>G1511+L1511/1000+ROW()/1000000000</f>
        <v/>
      </c>
      <c r="AF1511" s="35">
        <f>IF(C1511&lt;&gt;"Grayson Coulter","",COUNTIFS($C$5:$C$2991,"Grayson Coulter",$Q$5:$Q$2991,Q1511,$AE$5:$AE$2991,"&lt;="&amp;AE1511,$R$5:$R$2991,"&lt;"&amp;R1511))</f>
        <v/>
      </c>
      <c r="AG1511" s="35">
        <f>IF(OR(C1511&lt;&gt;"Grayson Coulter",G1511&lt;'00_Control'!$B$7),"",--(AF1511&lt;5))</f>
        <v/>
      </c>
      <c r="AH1511" s="35">
        <f>IF(OR(C1511&lt;&gt;"Grayson Coulter",G1511&lt;'00_Control'!$B$7),"",--(AF1511&lt;10))</f>
        <v/>
      </c>
      <c r="AI1511" s="35">
        <f>IF(AND(C1511="Grayson Coulter",G1511&gt;='00_Control'!$B$7),"YES","NO")</f>
        <v/>
      </c>
      <c r="AJ1511" s="33" t="inlineStr">
        <is>
          <t>OK</t>
        </is>
      </c>
    </row>
    <row r="1512">
      <c r="A1512" s="33" t="inlineStr">
        <is>
          <t>SM001508</t>
        </is>
      </c>
      <c r="B1512" s="33" t="inlineStr">
        <is>
          <t>SW018</t>
        </is>
      </c>
      <c r="C1512" s="33" t="inlineStr">
        <is>
          <t>Kristof Milak</t>
        </is>
      </c>
      <c r="D1512" s="33" t="inlineStr">
        <is>
          <t>SwimCloud</t>
        </is>
      </c>
      <c r="E1512" s="33" t="inlineStr">
        <is>
          <t>508643</t>
        </is>
      </c>
      <c r="F1512" s="33" t="inlineStr">
        <is>
          <t>175736944</t>
        </is>
      </c>
      <c r="G1512" s="51" t="n">
        <v>46129</v>
      </c>
      <c r="H1512" s="33" t="inlineStr">
        <is>
          <t>CXXVIII. Országos Bajnokság</t>
        </is>
      </c>
      <c r="I1512" s="33" t="inlineStr">
        <is>
          <t>384644</t>
        </is>
      </c>
      <c r="J1512" s="33" t="inlineStr"/>
      <c r="K1512" s="33" t="inlineStr">
        <is>
          <t>PRE</t>
        </is>
      </c>
      <c r="L1512" s="35">
        <f>IF(K1512="FIN",3,IF(OR(K1512="SEM",K1512="SEMI"),2,IF(OR(K1512="PRE",K1512="HEAT"),1,IF(V1512="YES",4,2))))</f>
        <v/>
      </c>
      <c r="M1512" s="33" t="inlineStr">
        <is>
          <t>LCM</t>
        </is>
      </c>
      <c r="N1512" s="33" t="n">
        <v>200</v>
      </c>
      <c r="O1512" s="33" t="inlineStr">
        <is>
          <t>Free</t>
        </is>
      </c>
      <c r="P1512" s="33" t="inlineStr">
        <is>
          <t>200 Free</t>
        </is>
      </c>
      <c r="Q1512" s="33" t="inlineStr">
        <is>
          <t>LCM_200_FREE</t>
        </is>
      </c>
      <c r="R1512" s="36" t="n">
        <v>110.18</v>
      </c>
      <c r="S1512" s="35">
        <f>IF(R1512="","",IF(R1512&gt;=60,INT(R1512/60)&amp;":"&amp;TEXT(MOD(R1512,60),"00.00"),TEXT(R1512,"0.00")))</f>
        <v/>
      </c>
      <c r="T1512" s="52">
        <f>IFERROR((G1512-INDEX('01_Swimmers'!$E$5:$E$22,MATCH(B1512,'01_Swimmers'!$A$5:$A$22,0)))/'00_Control'!$B$10,"")</f>
        <v/>
      </c>
      <c r="U1512" s="35">
        <f>IF(T1512="","",INT(T1512))</f>
        <v/>
      </c>
      <c r="V1512" s="33" t="inlineStr">
        <is>
          <t>NO</t>
        </is>
      </c>
      <c r="W1512" s="33" t="inlineStr">
        <is>
          <t>YES</t>
        </is>
      </c>
      <c r="X1512" s="33" t="inlineStr">
        <is>
          <t>NO</t>
        </is>
      </c>
      <c r="Y1512" s="33" t="n">
        <v>7</v>
      </c>
      <c r="Z1512" s="33" t="n">
        <v>4</v>
      </c>
      <c r="AA1512" s="33" t="inlineStr"/>
      <c r="AB1512" s="33" t="inlineStr">
        <is>
          <t>https://www.swimcloud.com/results/384644/event/20/?id=175736944#time175736944</t>
        </is>
      </c>
      <c r="AC1512" s="33" t="inlineStr">
        <is>
          <t>SwimCloud API v6 2026-10-08</t>
        </is>
      </c>
      <c r="AD1512" s="33" t="inlineStr">
        <is>
          <t>Kristof Milak|2026-04-17|LCM|200|Free|110.18|CXXVIII. Országos Bajnokság|PRE|False</t>
        </is>
      </c>
      <c r="AE1512" s="53">
        <f>G1512+L1512/1000+ROW()/1000000000</f>
        <v/>
      </c>
      <c r="AF1512" s="35">
        <f>IF(C1512&lt;&gt;"Grayson Coulter","",COUNTIFS($C$5:$C$2991,"Grayson Coulter",$Q$5:$Q$2991,Q1512,$AE$5:$AE$2991,"&lt;="&amp;AE1512,$R$5:$R$2991,"&lt;"&amp;R1512))</f>
        <v/>
      </c>
      <c r="AG1512" s="35">
        <f>IF(OR(C1512&lt;&gt;"Grayson Coulter",G1512&lt;'00_Control'!$B$7),"",--(AF1512&lt;5))</f>
        <v/>
      </c>
      <c r="AH1512" s="35">
        <f>IF(OR(C1512&lt;&gt;"Grayson Coulter",G1512&lt;'00_Control'!$B$7),"",--(AF1512&lt;10))</f>
        <v/>
      </c>
      <c r="AI1512" s="35">
        <f>IF(AND(C1512="Grayson Coulter",G1512&gt;='00_Control'!$B$7),"YES","NO")</f>
        <v/>
      </c>
      <c r="AJ1512" s="33" t="inlineStr">
        <is>
          <t>OK</t>
        </is>
      </c>
    </row>
    <row r="1513">
      <c r="A1513" s="33" t="inlineStr">
        <is>
          <t>SM001509</t>
        </is>
      </c>
      <c r="B1513" s="33" t="inlineStr">
        <is>
          <t>SW018</t>
        </is>
      </c>
      <c r="C1513" s="33" t="inlineStr">
        <is>
          <t>Kristof Milak</t>
        </is>
      </c>
      <c r="D1513" s="33" t="inlineStr">
        <is>
          <t>SwimCloud</t>
        </is>
      </c>
      <c r="E1513" s="33" t="inlineStr">
        <is>
          <t>508643</t>
        </is>
      </c>
      <c r="F1513" s="33" t="inlineStr">
        <is>
          <t>175736950</t>
        </is>
      </c>
      <c r="G1513" s="51" t="n">
        <v>46129</v>
      </c>
      <c r="H1513" s="33" t="inlineStr">
        <is>
          <t>CXXVIII. Országos Bajnokság</t>
        </is>
      </c>
      <c r="I1513" s="33" t="inlineStr">
        <is>
          <t>384644</t>
        </is>
      </c>
      <c r="J1513" s="33" t="inlineStr"/>
      <c r="K1513" s="33" t="inlineStr">
        <is>
          <t>SEM</t>
        </is>
      </c>
      <c r="L1513" s="35">
        <f>IF(K1513="FIN",3,IF(OR(K1513="SEM",K1513="SEMI"),2,IF(OR(K1513="PRE",K1513="HEAT"),1,IF(V1513="YES",4,2))))</f>
        <v/>
      </c>
      <c r="M1513" s="33" t="inlineStr">
        <is>
          <t>LCM</t>
        </is>
      </c>
      <c r="N1513" s="33" t="n">
        <v>200</v>
      </c>
      <c r="O1513" s="33" t="inlineStr">
        <is>
          <t>Free</t>
        </is>
      </c>
      <c r="P1513" s="33" t="inlineStr">
        <is>
          <t>200 Free</t>
        </is>
      </c>
      <c r="Q1513" s="33" t="inlineStr">
        <is>
          <t>LCM_200_FREE</t>
        </is>
      </c>
      <c r="R1513" s="36" t="n">
        <v>111.96</v>
      </c>
      <c r="S1513" s="35">
        <f>IF(R1513="","",IF(R1513&gt;=60,INT(R1513/60)&amp;":"&amp;TEXT(MOD(R1513,60),"00.00"),TEXT(R1513,"0.00")))</f>
        <v/>
      </c>
      <c r="T1513" s="52">
        <f>IFERROR((G1513-INDEX('01_Swimmers'!$E$5:$E$22,MATCH(B1513,'01_Swimmers'!$A$5:$A$22,0)))/'00_Control'!$B$10,"")</f>
        <v/>
      </c>
      <c r="U1513" s="35">
        <f>IF(T1513="","",INT(T1513))</f>
        <v/>
      </c>
      <c r="V1513" s="33" t="inlineStr">
        <is>
          <t>NO</t>
        </is>
      </c>
      <c r="W1513" s="33" t="inlineStr">
        <is>
          <t>YES</t>
        </is>
      </c>
      <c r="X1513" s="33" t="inlineStr">
        <is>
          <t>NO</t>
        </is>
      </c>
      <c r="Y1513" s="33" t="n">
        <v>2</v>
      </c>
      <c r="Z1513" s="33" t="n">
        <v>4</v>
      </c>
      <c r="AA1513" s="33" t="inlineStr"/>
      <c r="AB1513" s="33" t="inlineStr">
        <is>
          <t>https://www.swimcloud.com/results/384644/event/20/?id=175736950#time175736950</t>
        </is>
      </c>
      <c r="AC1513" s="33" t="inlineStr">
        <is>
          <t>SwimCloud API v6 2026-10-08</t>
        </is>
      </c>
      <c r="AD1513" s="33" t="inlineStr">
        <is>
          <t>Kristof Milak|2026-04-17|LCM|200|Free|111.96|CXXVIII. Országos Bajnokság|SEM|False</t>
        </is>
      </c>
      <c r="AE1513" s="53">
        <f>G1513+L1513/1000+ROW()/1000000000</f>
        <v/>
      </c>
      <c r="AF1513" s="35">
        <f>IF(C1513&lt;&gt;"Grayson Coulter","",COUNTIFS($C$5:$C$2991,"Grayson Coulter",$Q$5:$Q$2991,Q1513,$AE$5:$AE$2991,"&lt;="&amp;AE1513,$R$5:$R$2991,"&lt;"&amp;R1513))</f>
        <v/>
      </c>
      <c r="AG1513" s="35">
        <f>IF(OR(C1513&lt;&gt;"Grayson Coulter",G1513&lt;'00_Control'!$B$7),"",--(AF1513&lt;5))</f>
        <v/>
      </c>
      <c r="AH1513" s="35">
        <f>IF(OR(C1513&lt;&gt;"Grayson Coulter",G1513&lt;'00_Control'!$B$7),"",--(AF1513&lt;10))</f>
        <v/>
      </c>
      <c r="AI1513" s="35">
        <f>IF(AND(C1513="Grayson Coulter",G1513&gt;='00_Control'!$B$7),"YES","NO")</f>
        <v/>
      </c>
      <c r="AJ1513" s="33" t="inlineStr">
        <is>
          <t>OK</t>
        </is>
      </c>
    </row>
    <row r="1514">
      <c r="A1514" s="33" t="inlineStr">
        <is>
          <t>SM001510</t>
        </is>
      </c>
      <c r="B1514" s="33" t="inlineStr">
        <is>
          <t>SW018</t>
        </is>
      </c>
      <c r="C1514" s="33" t="inlineStr">
        <is>
          <t>Kristof Milak</t>
        </is>
      </c>
      <c r="D1514" s="33" t="inlineStr">
        <is>
          <t>SwimCloud</t>
        </is>
      </c>
      <c r="E1514" s="33" t="inlineStr">
        <is>
          <t>508643</t>
        </is>
      </c>
      <c r="F1514" s="33" t="inlineStr">
        <is>
          <t>175736945</t>
        </is>
      </c>
      <c r="G1514" s="51" t="n">
        <v>46130</v>
      </c>
      <c r="H1514" s="33" t="inlineStr">
        <is>
          <t>CXXVIII. Országos Bajnokság</t>
        </is>
      </c>
      <c r="I1514" s="33" t="inlineStr">
        <is>
          <t>384644</t>
        </is>
      </c>
      <c r="J1514" s="33" t="inlineStr"/>
      <c r="K1514" s="33" t="inlineStr">
        <is>
          <t>PRE</t>
        </is>
      </c>
      <c r="L1514" s="35">
        <f>IF(K1514="FIN",3,IF(OR(K1514="SEM",K1514="SEMI"),2,IF(OR(K1514="PRE",K1514="HEAT"),1,IF(V1514="YES",4,2))))</f>
        <v/>
      </c>
      <c r="M1514" s="33" t="inlineStr">
        <is>
          <t>LCM</t>
        </is>
      </c>
      <c r="N1514" s="33" t="n">
        <v>100</v>
      </c>
      <c r="O1514" s="33" t="inlineStr">
        <is>
          <t>Fly</t>
        </is>
      </c>
      <c r="P1514" s="33" t="inlineStr">
        <is>
          <t>100 Fly</t>
        </is>
      </c>
      <c r="Q1514" s="33" t="inlineStr">
        <is>
          <t>LCM_100_FLY</t>
        </is>
      </c>
      <c r="R1514" s="36" t="n">
        <v>52.11</v>
      </c>
      <c r="S1514" s="35">
        <f>IF(R1514="","",IF(R1514&gt;=60,INT(R1514/60)&amp;":"&amp;TEXT(MOD(R1514,60),"00.00"),TEXT(R1514,"0.00")))</f>
        <v/>
      </c>
      <c r="T1514" s="52">
        <f>IFERROR((G1514-INDEX('01_Swimmers'!$E$5:$E$22,MATCH(B1514,'01_Swimmers'!$A$5:$A$22,0)))/'00_Control'!$B$10,"")</f>
        <v/>
      </c>
      <c r="U1514" s="35">
        <f>IF(T1514="","",INT(T1514))</f>
        <v/>
      </c>
      <c r="V1514" s="33" t="inlineStr">
        <is>
          <t>NO</t>
        </is>
      </c>
      <c r="W1514" s="33" t="inlineStr">
        <is>
          <t>YES</t>
        </is>
      </c>
      <c r="X1514" s="33" t="inlineStr">
        <is>
          <t>NO</t>
        </is>
      </c>
      <c r="Y1514" s="33" t="n">
        <v>10</v>
      </c>
      <c r="Z1514" s="33" t="n">
        <v>4</v>
      </c>
      <c r="AA1514" s="33" t="inlineStr"/>
      <c r="AB1514" s="33" t="inlineStr">
        <is>
          <t>https://www.swimcloud.com/results/384644/event/30/?id=175736945#time175736945</t>
        </is>
      </c>
      <c r="AC1514" s="33" t="inlineStr">
        <is>
          <t>SwimCloud API v6 2026-10-08</t>
        </is>
      </c>
      <c r="AD1514" s="33" t="inlineStr">
        <is>
          <t>Kristof Milak|2026-04-18|LCM|100|Fly|52.11|CXXVIII. Országos Bajnokság|PRE|False</t>
        </is>
      </c>
      <c r="AE1514" s="53">
        <f>G1514+L1514/1000+ROW()/1000000000</f>
        <v/>
      </c>
      <c r="AF1514" s="35">
        <f>IF(C1514&lt;&gt;"Grayson Coulter","",COUNTIFS($C$5:$C$2991,"Grayson Coulter",$Q$5:$Q$2991,Q1514,$AE$5:$AE$2991,"&lt;="&amp;AE1514,$R$5:$R$2991,"&lt;"&amp;R1514))</f>
        <v/>
      </c>
      <c r="AG1514" s="35">
        <f>IF(OR(C1514&lt;&gt;"Grayson Coulter",G1514&lt;'00_Control'!$B$7),"",--(AF1514&lt;5))</f>
        <v/>
      </c>
      <c r="AH1514" s="35">
        <f>IF(OR(C1514&lt;&gt;"Grayson Coulter",G1514&lt;'00_Control'!$B$7),"",--(AF1514&lt;10))</f>
        <v/>
      </c>
      <c r="AI1514" s="35">
        <f>IF(AND(C1514="Grayson Coulter",G1514&gt;='00_Control'!$B$7),"YES","NO")</f>
        <v/>
      </c>
      <c r="AJ1514" s="33" t="inlineStr">
        <is>
          <t>OK</t>
        </is>
      </c>
    </row>
    <row r="1515">
      <c r="A1515" s="33" t="inlineStr">
        <is>
          <t>SM001511</t>
        </is>
      </c>
      <c r="B1515" s="33" t="inlineStr">
        <is>
          <t>SW018</t>
        </is>
      </c>
      <c r="C1515" s="33" t="inlineStr">
        <is>
          <t>Kristof Milak</t>
        </is>
      </c>
      <c r="D1515" s="33" t="inlineStr">
        <is>
          <t>SwimCloud</t>
        </is>
      </c>
      <c r="E1515" s="33" t="inlineStr">
        <is>
          <t>508643</t>
        </is>
      </c>
      <c r="F1515" s="33" t="inlineStr">
        <is>
          <t>175736951</t>
        </is>
      </c>
      <c r="G1515" s="51" t="n">
        <v>46130</v>
      </c>
      <c r="H1515" s="33" t="inlineStr">
        <is>
          <t>CXXVIII. Országos Bajnokság</t>
        </is>
      </c>
      <c r="I1515" s="33" t="inlineStr">
        <is>
          <t>384644</t>
        </is>
      </c>
      <c r="J1515" s="33" t="inlineStr"/>
      <c r="K1515" s="33" t="inlineStr">
        <is>
          <t>SEM</t>
        </is>
      </c>
      <c r="L1515" s="35">
        <f>IF(K1515="FIN",3,IF(OR(K1515="SEM",K1515="SEMI"),2,IF(OR(K1515="PRE",K1515="HEAT"),1,IF(V1515="YES",4,2))))</f>
        <v/>
      </c>
      <c r="M1515" s="33" t="inlineStr">
        <is>
          <t>LCM</t>
        </is>
      </c>
      <c r="N1515" s="33" t="n">
        <v>100</v>
      </c>
      <c r="O1515" s="33" t="inlineStr">
        <is>
          <t>Fly</t>
        </is>
      </c>
      <c r="P1515" s="33" t="inlineStr">
        <is>
          <t>100 Fly</t>
        </is>
      </c>
      <c r="Q1515" s="33" t="inlineStr">
        <is>
          <t>LCM_100_FLY</t>
        </is>
      </c>
      <c r="R1515" s="36" t="n">
        <v>50.93</v>
      </c>
      <c r="S1515" s="35">
        <f>IF(R1515="","",IF(R1515&gt;=60,INT(R1515/60)&amp;":"&amp;TEXT(MOD(R1515,60),"00.00"),TEXT(R1515,"0.00")))</f>
        <v/>
      </c>
      <c r="T1515" s="52">
        <f>IFERROR((G1515-INDEX('01_Swimmers'!$E$5:$E$22,MATCH(B1515,'01_Swimmers'!$A$5:$A$22,0)))/'00_Control'!$B$10,"")</f>
        <v/>
      </c>
      <c r="U1515" s="35">
        <f>IF(T1515="","",INT(T1515))</f>
        <v/>
      </c>
      <c r="V1515" s="33" t="inlineStr">
        <is>
          <t>NO</t>
        </is>
      </c>
      <c r="W1515" s="33" t="inlineStr">
        <is>
          <t>YES</t>
        </is>
      </c>
      <c r="X1515" s="33" t="inlineStr">
        <is>
          <t>NO</t>
        </is>
      </c>
      <c r="Y1515" s="33" t="n">
        <v>2</v>
      </c>
      <c r="Z1515" s="33" t="n">
        <v>4</v>
      </c>
      <c r="AA1515" s="33" t="inlineStr"/>
      <c r="AB1515" s="33" t="inlineStr">
        <is>
          <t>https://www.swimcloud.com/results/384644/event/30/?id=175736951#time175736951</t>
        </is>
      </c>
      <c r="AC1515" s="33" t="inlineStr">
        <is>
          <t>SwimCloud API v6 2026-10-08</t>
        </is>
      </c>
      <c r="AD1515" s="33" t="inlineStr">
        <is>
          <t>Kristof Milak|2026-04-18|LCM|100|Fly|50.93|CXXVIII. Országos Bajnokság|SEM|False</t>
        </is>
      </c>
      <c r="AE1515" s="53">
        <f>G1515+L1515/1000+ROW()/1000000000</f>
        <v/>
      </c>
      <c r="AF1515" s="35">
        <f>IF(C1515&lt;&gt;"Grayson Coulter","",COUNTIFS($C$5:$C$2991,"Grayson Coulter",$Q$5:$Q$2991,Q1515,$AE$5:$AE$2991,"&lt;="&amp;AE1515,$R$5:$R$2991,"&lt;"&amp;R1515))</f>
        <v/>
      </c>
      <c r="AG1515" s="35">
        <f>IF(OR(C1515&lt;&gt;"Grayson Coulter",G1515&lt;'00_Control'!$B$7),"",--(AF1515&lt;5))</f>
        <v/>
      </c>
      <c r="AH1515" s="35">
        <f>IF(OR(C1515&lt;&gt;"Grayson Coulter",G1515&lt;'00_Control'!$B$7),"",--(AF1515&lt;10))</f>
        <v/>
      </c>
      <c r="AI1515" s="35">
        <f>IF(AND(C1515="Grayson Coulter",G1515&gt;='00_Control'!$B$7),"YES","NO")</f>
        <v/>
      </c>
      <c r="AJ1515" s="33" t="inlineStr">
        <is>
          <t>OK</t>
        </is>
      </c>
    </row>
    <row r="1516">
      <c r="A1516" s="33" t="inlineStr">
        <is>
          <t>SM001512</t>
        </is>
      </c>
      <c r="B1516" s="33" t="inlineStr">
        <is>
          <t>SW018</t>
        </is>
      </c>
      <c r="C1516" s="33" t="inlineStr">
        <is>
          <t>Kristof Milak</t>
        </is>
      </c>
      <c r="D1516" s="33" t="inlineStr">
        <is>
          <t>SwimCloud</t>
        </is>
      </c>
      <c r="E1516" s="33" t="inlineStr">
        <is>
          <t>508643</t>
        </is>
      </c>
      <c r="F1516" s="33" t="inlineStr">
        <is>
          <t>175736955</t>
        </is>
      </c>
      <c r="G1516" s="51" t="n">
        <v>46131</v>
      </c>
      <c r="H1516" s="33" t="inlineStr">
        <is>
          <t>CXXVIII. Országos Bajnokság</t>
        </is>
      </c>
      <c r="I1516" s="33" t="inlineStr">
        <is>
          <t>384644</t>
        </is>
      </c>
      <c r="J1516" s="33" t="inlineStr"/>
      <c r="K1516" s="33" t="inlineStr">
        <is>
          <t>FIN</t>
        </is>
      </c>
      <c r="L1516" s="35">
        <f>IF(K1516="FIN",3,IF(OR(K1516="SEM",K1516="SEMI"),2,IF(OR(K1516="PRE",K1516="HEAT"),1,IF(V1516="YES",4,2))))</f>
        <v/>
      </c>
      <c r="M1516" s="33" t="inlineStr">
        <is>
          <t>LCM</t>
        </is>
      </c>
      <c r="N1516" s="33" t="n">
        <v>100</v>
      </c>
      <c r="O1516" s="33" t="inlineStr">
        <is>
          <t>Fly</t>
        </is>
      </c>
      <c r="P1516" s="33" t="inlineStr">
        <is>
          <t>100 Fly</t>
        </is>
      </c>
      <c r="Q1516" s="33" t="inlineStr">
        <is>
          <t>LCM_100_FLY</t>
        </is>
      </c>
      <c r="R1516" s="36" t="n">
        <v>50.22</v>
      </c>
      <c r="S1516" s="35">
        <f>IF(R1516="","",IF(R1516&gt;=60,INT(R1516/60)&amp;":"&amp;TEXT(MOD(R1516,60),"00.00"),TEXT(R1516,"0.00")))</f>
        <v/>
      </c>
      <c r="T1516" s="52">
        <f>IFERROR((G1516-INDEX('01_Swimmers'!$E$5:$E$22,MATCH(B1516,'01_Swimmers'!$A$5:$A$22,0)))/'00_Control'!$B$10,"")</f>
        <v/>
      </c>
      <c r="U1516" s="35">
        <f>IF(T1516="","",INT(T1516))</f>
        <v/>
      </c>
      <c r="V1516" s="33" t="inlineStr">
        <is>
          <t>NO</t>
        </is>
      </c>
      <c r="W1516" s="33" t="inlineStr">
        <is>
          <t>YES</t>
        </is>
      </c>
      <c r="X1516" s="33" t="inlineStr">
        <is>
          <t>NO</t>
        </is>
      </c>
      <c r="Y1516" s="33" t="n">
        <v>1</v>
      </c>
      <c r="Z1516" s="33" t="n">
        <v>4</v>
      </c>
      <c r="AA1516" s="33" t="inlineStr">
        <is>
          <t>1</t>
        </is>
      </c>
      <c r="AB1516" s="33" t="inlineStr">
        <is>
          <t>https://www.swimcloud.com/results/384644/event/30/?id=175736955#time175736955</t>
        </is>
      </c>
      <c r="AC1516" s="33" t="inlineStr">
        <is>
          <t>SwimCloud API v6 2026-10-08</t>
        </is>
      </c>
      <c r="AD1516" s="33" t="inlineStr">
        <is>
          <t>Kristof Milak|2026-04-19|LCM|100|Fly|50.22|CXXVIII. Országos Bajnokság|FIN|False</t>
        </is>
      </c>
      <c r="AE1516" s="53">
        <f>G1516+L1516/1000+ROW()/1000000000</f>
        <v/>
      </c>
      <c r="AF1516" s="35">
        <f>IF(C1516&lt;&gt;"Grayson Coulter","",COUNTIFS($C$5:$C$2991,"Grayson Coulter",$Q$5:$Q$2991,Q1516,$AE$5:$AE$2991,"&lt;="&amp;AE1516,$R$5:$R$2991,"&lt;"&amp;R1516))</f>
        <v/>
      </c>
      <c r="AG1516" s="35">
        <f>IF(OR(C1516&lt;&gt;"Grayson Coulter",G1516&lt;'00_Control'!$B$7),"",--(AF1516&lt;5))</f>
        <v/>
      </c>
      <c r="AH1516" s="35">
        <f>IF(OR(C1516&lt;&gt;"Grayson Coulter",G1516&lt;'00_Control'!$B$7),"",--(AF1516&lt;10))</f>
        <v/>
      </c>
      <c r="AI1516" s="35">
        <f>IF(AND(C1516="Grayson Coulter",G1516&gt;='00_Control'!$B$7),"YES","NO")</f>
        <v/>
      </c>
      <c r="AJ1516" s="33" t="inlineStr">
        <is>
          <t>OK</t>
        </is>
      </c>
    </row>
    <row r="1517">
      <c r="A1517" s="33" t="inlineStr">
        <is>
          <t>SM001513</t>
        </is>
      </c>
      <c r="B1517" s="33" t="inlineStr">
        <is>
          <t>SW018</t>
        </is>
      </c>
      <c r="C1517" s="33" t="inlineStr">
        <is>
          <t>Kristof Milak</t>
        </is>
      </c>
      <c r="D1517" s="33" t="inlineStr">
        <is>
          <t>SwimCloud</t>
        </is>
      </c>
      <c r="E1517" s="33" t="inlineStr">
        <is>
          <t>508643</t>
        </is>
      </c>
      <c r="F1517" s="33" t="inlineStr">
        <is>
          <t>178181996</t>
        </is>
      </c>
      <c r="G1517" s="51" t="n">
        <v>46165</v>
      </c>
      <c r="H1517" s="33" t="inlineStr">
        <is>
          <t>Mare Nostrum Monaco</t>
        </is>
      </c>
      <c r="I1517" s="33" t="inlineStr">
        <is>
          <t>387479</t>
        </is>
      </c>
      <c r="J1517" s="33" t="inlineStr"/>
      <c r="K1517" s="33" t="inlineStr">
        <is>
          <t>PRE</t>
        </is>
      </c>
      <c r="L1517" s="35">
        <f>IF(K1517="FIN",3,IF(OR(K1517="SEM",K1517="SEMI"),2,IF(OR(K1517="PRE",K1517="HEAT"),1,IF(V1517="YES",4,2))))</f>
        <v/>
      </c>
      <c r="M1517" s="33" t="inlineStr">
        <is>
          <t>LCM</t>
        </is>
      </c>
      <c r="N1517" s="33" t="n">
        <v>100</v>
      </c>
      <c r="O1517" s="33" t="inlineStr">
        <is>
          <t>Free</t>
        </is>
      </c>
      <c r="P1517" s="33" t="inlineStr">
        <is>
          <t>100 Free</t>
        </is>
      </c>
      <c r="Q1517" s="33" t="inlineStr">
        <is>
          <t>LCM_100_FREE</t>
        </is>
      </c>
      <c r="R1517" s="36" t="n">
        <v>49.04</v>
      </c>
      <c r="S1517" s="35">
        <f>IF(R1517="","",IF(R1517&gt;=60,INT(R1517/60)&amp;":"&amp;TEXT(MOD(R1517,60),"00.00"),TEXT(R1517,"0.00")))</f>
        <v/>
      </c>
      <c r="T1517" s="52">
        <f>IFERROR((G1517-INDEX('01_Swimmers'!$E$5:$E$22,MATCH(B1517,'01_Swimmers'!$A$5:$A$22,0)))/'00_Control'!$B$10,"")</f>
        <v/>
      </c>
      <c r="U1517" s="35">
        <f>IF(T1517="","",INT(T1517))</f>
        <v/>
      </c>
      <c r="V1517" s="33" t="inlineStr">
        <is>
          <t>NO</t>
        </is>
      </c>
      <c r="W1517" s="33" t="inlineStr">
        <is>
          <t>YES</t>
        </is>
      </c>
      <c r="X1517" s="33" t="inlineStr">
        <is>
          <t>NO</t>
        </is>
      </c>
      <c r="Y1517" s="33" t="n">
        <v>9</v>
      </c>
      <c r="Z1517" s="33" t="n">
        <v>3</v>
      </c>
      <c r="AA1517" s="33" t="inlineStr">
        <is>
          <t>3</t>
        </is>
      </c>
      <c r="AB1517" s="33" t="inlineStr">
        <is>
          <t>https://www.swimcloud.com/results/387479/event/103/?id=178181996#time178181996</t>
        </is>
      </c>
      <c r="AC1517" s="33" t="inlineStr">
        <is>
          <t>SwimCloud API v6 2026-10-08</t>
        </is>
      </c>
      <c r="AD1517" s="33" t="inlineStr">
        <is>
          <t>Kristof Milak|2026-05-23|LCM|100|Free|49.04|Mare Nostrum Monaco|PRE|False</t>
        </is>
      </c>
      <c r="AE1517" s="53">
        <f>G1517+L1517/1000+ROW()/1000000000</f>
        <v/>
      </c>
      <c r="AF1517" s="35">
        <f>IF(C1517&lt;&gt;"Grayson Coulter","",COUNTIFS($C$5:$C$2991,"Grayson Coulter",$Q$5:$Q$2991,Q1517,$AE$5:$AE$2991,"&lt;="&amp;AE1517,$R$5:$R$2991,"&lt;"&amp;R1517))</f>
        <v/>
      </c>
      <c r="AG1517" s="35">
        <f>IF(OR(C1517&lt;&gt;"Grayson Coulter",G1517&lt;'00_Control'!$B$7),"",--(AF1517&lt;5))</f>
        <v/>
      </c>
      <c r="AH1517" s="35">
        <f>IF(OR(C1517&lt;&gt;"Grayson Coulter",G1517&lt;'00_Control'!$B$7),"",--(AF1517&lt;10))</f>
        <v/>
      </c>
      <c r="AI1517" s="35">
        <f>IF(AND(C1517="Grayson Coulter",G1517&gt;='00_Control'!$B$7),"YES","NO")</f>
        <v/>
      </c>
      <c r="AJ1517" s="33" t="inlineStr">
        <is>
          <t>OK</t>
        </is>
      </c>
    </row>
    <row r="1518">
      <c r="A1518" s="33" t="inlineStr">
        <is>
          <t>SM001514</t>
        </is>
      </c>
      <c r="B1518" s="33" t="inlineStr">
        <is>
          <t>SW018</t>
        </is>
      </c>
      <c r="C1518" s="33" t="inlineStr">
        <is>
          <t>Kristof Milak</t>
        </is>
      </c>
      <c r="D1518" s="33" t="inlineStr">
        <is>
          <t>SwimCloud</t>
        </is>
      </c>
      <c r="E1518" s="33" t="inlineStr">
        <is>
          <t>508643</t>
        </is>
      </c>
      <c r="F1518" s="33" t="inlineStr">
        <is>
          <t>178181997</t>
        </is>
      </c>
      <c r="G1518" s="51" t="n">
        <v>46165</v>
      </c>
      <c r="H1518" s="33" t="inlineStr">
        <is>
          <t>Mare Nostrum Monaco</t>
        </is>
      </c>
      <c r="I1518" s="33" t="inlineStr">
        <is>
          <t>387479</t>
        </is>
      </c>
      <c r="J1518" s="33" t="inlineStr"/>
      <c r="K1518" s="33" t="inlineStr">
        <is>
          <t>FIN</t>
        </is>
      </c>
      <c r="L1518" s="35">
        <f>IF(K1518="FIN",3,IF(OR(K1518="SEM",K1518="SEMI"),2,IF(OR(K1518="PRE",K1518="HEAT"),1,IF(V1518="YES",4,2))))</f>
        <v/>
      </c>
      <c r="M1518" s="33" t="inlineStr">
        <is>
          <t>LCM</t>
        </is>
      </c>
      <c r="N1518" s="33" t="n">
        <v>100</v>
      </c>
      <c r="O1518" s="33" t="inlineStr">
        <is>
          <t>Free</t>
        </is>
      </c>
      <c r="P1518" s="33" t="inlineStr">
        <is>
          <t>100 Free</t>
        </is>
      </c>
      <c r="Q1518" s="33" t="inlineStr">
        <is>
          <t>LCM_100_FREE</t>
        </is>
      </c>
      <c r="R1518" s="36" t="n">
        <v>48.13</v>
      </c>
      <c r="S1518" s="35">
        <f>IF(R1518="","",IF(R1518&gt;=60,INT(R1518/60)&amp;":"&amp;TEXT(MOD(R1518,60),"00.00"),TEXT(R1518,"0.00")))</f>
        <v/>
      </c>
      <c r="T1518" s="52">
        <f>IFERROR((G1518-INDEX('01_Swimmers'!$E$5:$E$22,MATCH(B1518,'01_Swimmers'!$A$5:$A$22,0)))/'00_Control'!$B$10,"")</f>
        <v/>
      </c>
      <c r="U1518" s="35">
        <f>IF(T1518="","",INT(T1518))</f>
        <v/>
      </c>
      <c r="V1518" s="33" t="inlineStr">
        <is>
          <t>NO</t>
        </is>
      </c>
      <c r="W1518" s="33" t="inlineStr">
        <is>
          <t>YES</t>
        </is>
      </c>
      <c r="X1518" s="33" t="inlineStr">
        <is>
          <t>NO</t>
        </is>
      </c>
      <c r="Y1518" s="33" t="n">
        <v>2</v>
      </c>
      <c r="Z1518" s="33" t="n">
        <v>3</v>
      </c>
      <c r="AA1518" s="33" t="inlineStr">
        <is>
          <t>1</t>
        </is>
      </c>
      <c r="AB1518" s="33" t="inlineStr">
        <is>
          <t>https://www.swimcloud.com/results/387479/event/103/?id=178181997#time178181997</t>
        </is>
      </c>
      <c r="AC1518" s="33" t="inlineStr">
        <is>
          <t>SwimCloud API v6 2026-10-08</t>
        </is>
      </c>
      <c r="AD1518" s="33" t="inlineStr">
        <is>
          <t>Kristof Milak|2026-05-23|LCM|100|Free|48.13|Mare Nostrum Monaco|FIN|False</t>
        </is>
      </c>
      <c r="AE1518" s="53">
        <f>G1518+L1518/1000+ROW()/1000000000</f>
        <v/>
      </c>
      <c r="AF1518" s="35">
        <f>IF(C1518&lt;&gt;"Grayson Coulter","",COUNTIFS($C$5:$C$2991,"Grayson Coulter",$Q$5:$Q$2991,Q1518,$AE$5:$AE$2991,"&lt;="&amp;AE1518,$R$5:$R$2991,"&lt;"&amp;R1518))</f>
        <v/>
      </c>
      <c r="AG1518" s="35">
        <f>IF(OR(C1518&lt;&gt;"Grayson Coulter",G1518&lt;'00_Control'!$B$7),"",--(AF1518&lt;5))</f>
        <v/>
      </c>
      <c r="AH1518" s="35">
        <f>IF(OR(C1518&lt;&gt;"Grayson Coulter",G1518&lt;'00_Control'!$B$7),"",--(AF1518&lt;10))</f>
        <v/>
      </c>
      <c r="AI1518" s="35">
        <f>IF(AND(C1518="Grayson Coulter",G1518&gt;='00_Control'!$B$7),"YES","NO")</f>
        <v/>
      </c>
      <c r="AJ1518" s="33" t="inlineStr">
        <is>
          <t>OK</t>
        </is>
      </c>
    </row>
    <row r="1519">
      <c r="A1519" s="33" t="inlineStr">
        <is>
          <t>SM001515</t>
        </is>
      </c>
      <c r="B1519" s="33" t="inlineStr">
        <is>
          <t>SW018</t>
        </is>
      </c>
      <c r="C1519" s="33" t="inlineStr">
        <is>
          <t>Kristof Milak</t>
        </is>
      </c>
      <c r="D1519" s="33" t="inlineStr">
        <is>
          <t>SwimCloud</t>
        </is>
      </c>
      <c r="E1519" s="33" t="inlineStr">
        <is>
          <t>508643</t>
        </is>
      </c>
      <c r="F1519" s="33" t="inlineStr">
        <is>
          <t>178181998</t>
        </is>
      </c>
      <c r="G1519" s="51" t="n">
        <v>46166</v>
      </c>
      <c r="H1519" s="33" t="inlineStr">
        <is>
          <t>Mare Nostrum Monaco</t>
        </is>
      </c>
      <c r="I1519" s="33" t="inlineStr">
        <is>
          <t>387479</t>
        </is>
      </c>
      <c r="J1519" s="33" t="inlineStr"/>
      <c r="K1519" s="33" t="inlineStr">
        <is>
          <t>PRE</t>
        </is>
      </c>
      <c r="L1519" s="35">
        <f>IF(K1519="FIN",3,IF(OR(K1519="SEM",K1519="SEMI"),2,IF(OR(K1519="PRE",K1519="HEAT"),1,IF(V1519="YES",4,2))))</f>
        <v/>
      </c>
      <c r="M1519" s="33" t="inlineStr">
        <is>
          <t>LCM</t>
        </is>
      </c>
      <c r="N1519" s="33" t="n">
        <v>100</v>
      </c>
      <c r="O1519" s="33" t="inlineStr">
        <is>
          <t>Fly</t>
        </is>
      </c>
      <c r="P1519" s="33" t="inlineStr">
        <is>
          <t>100 Fly</t>
        </is>
      </c>
      <c r="Q1519" s="33" t="inlineStr">
        <is>
          <t>LCM_100_FLY</t>
        </is>
      </c>
      <c r="R1519" s="36" t="n">
        <v>51.67</v>
      </c>
      <c r="S1519" s="35">
        <f>IF(R1519="","",IF(R1519&gt;=60,INT(R1519/60)&amp;":"&amp;TEXT(MOD(R1519,60),"00.00"),TEXT(R1519,"0.00")))</f>
        <v/>
      </c>
      <c r="T1519" s="52">
        <f>IFERROR((G1519-INDEX('01_Swimmers'!$E$5:$E$22,MATCH(B1519,'01_Swimmers'!$A$5:$A$22,0)))/'00_Control'!$B$10,"")</f>
        <v/>
      </c>
      <c r="U1519" s="35">
        <f>IF(T1519="","",INT(T1519))</f>
        <v/>
      </c>
      <c r="V1519" s="33" t="inlineStr">
        <is>
          <t>NO</t>
        </is>
      </c>
      <c r="W1519" s="33" t="inlineStr">
        <is>
          <t>YES</t>
        </is>
      </c>
      <c r="X1519" s="33" t="inlineStr">
        <is>
          <t>NO</t>
        </is>
      </c>
      <c r="Y1519" s="33" t="n">
        <v>5</v>
      </c>
      <c r="Z1519" s="33" t="n">
        <v>4</v>
      </c>
      <c r="AA1519" s="33" t="inlineStr">
        <is>
          <t>1</t>
        </is>
      </c>
      <c r="AB1519" s="33" t="inlineStr">
        <is>
          <t>https://www.swimcloud.com/results/387479/event/203/?id=178181998#time178181998</t>
        </is>
      </c>
      <c r="AC1519" s="33" t="inlineStr">
        <is>
          <t>SwimCloud API v6 2026-10-08</t>
        </is>
      </c>
      <c r="AD1519" s="33" t="inlineStr">
        <is>
          <t>Kristof Milak|2026-05-24|LCM|100|Fly|51.67|Mare Nostrum Monaco|PRE|False</t>
        </is>
      </c>
      <c r="AE1519" s="53">
        <f>G1519+L1519/1000+ROW()/1000000000</f>
        <v/>
      </c>
      <c r="AF1519" s="35">
        <f>IF(C1519&lt;&gt;"Grayson Coulter","",COUNTIFS($C$5:$C$2991,"Grayson Coulter",$Q$5:$Q$2991,Q1519,$AE$5:$AE$2991,"&lt;="&amp;AE1519,$R$5:$R$2991,"&lt;"&amp;R1519))</f>
        <v/>
      </c>
      <c r="AG1519" s="35">
        <f>IF(OR(C1519&lt;&gt;"Grayson Coulter",G1519&lt;'00_Control'!$B$7),"",--(AF1519&lt;5))</f>
        <v/>
      </c>
      <c r="AH1519" s="35">
        <f>IF(OR(C1519&lt;&gt;"Grayson Coulter",G1519&lt;'00_Control'!$B$7),"",--(AF1519&lt;10))</f>
        <v/>
      </c>
      <c r="AI1519" s="35">
        <f>IF(AND(C1519="Grayson Coulter",G1519&gt;='00_Control'!$B$7),"YES","NO")</f>
        <v/>
      </c>
      <c r="AJ1519" s="33" t="inlineStr">
        <is>
          <t>OK</t>
        </is>
      </c>
    </row>
    <row r="1520">
      <c r="A1520" s="33" t="inlineStr">
        <is>
          <t>SM001516</t>
        </is>
      </c>
      <c r="B1520" s="33" t="inlineStr">
        <is>
          <t>SW018</t>
        </is>
      </c>
      <c r="C1520" s="33" t="inlineStr">
        <is>
          <t>Kristof Milak</t>
        </is>
      </c>
      <c r="D1520" s="33" t="inlineStr">
        <is>
          <t>SwimCloud</t>
        </is>
      </c>
      <c r="E1520" s="33" t="inlineStr">
        <is>
          <t>508643</t>
        </is>
      </c>
      <c r="F1520" s="33" t="inlineStr">
        <is>
          <t>178181999</t>
        </is>
      </c>
      <c r="G1520" s="51" t="n">
        <v>46166</v>
      </c>
      <c r="H1520" s="33" t="inlineStr">
        <is>
          <t>Mare Nostrum Monaco</t>
        </is>
      </c>
      <c r="I1520" s="33" t="inlineStr">
        <is>
          <t>387479</t>
        </is>
      </c>
      <c r="J1520" s="33" t="inlineStr"/>
      <c r="K1520" s="33" t="inlineStr">
        <is>
          <t>FIN</t>
        </is>
      </c>
      <c r="L1520" s="35">
        <f>IF(K1520="FIN",3,IF(OR(K1520="SEM",K1520="SEMI"),2,IF(OR(K1520="PRE",K1520="HEAT"),1,IF(V1520="YES",4,2))))</f>
        <v/>
      </c>
      <c r="M1520" s="33" t="inlineStr">
        <is>
          <t>LCM</t>
        </is>
      </c>
      <c r="N1520" s="33" t="n">
        <v>100</v>
      </c>
      <c r="O1520" s="33" t="inlineStr">
        <is>
          <t>Fly</t>
        </is>
      </c>
      <c r="P1520" s="33" t="inlineStr">
        <is>
          <t>100 Fly</t>
        </is>
      </c>
      <c r="Q1520" s="33" t="inlineStr">
        <is>
          <t>LCM_100_FLY</t>
        </is>
      </c>
      <c r="R1520" s="36" t="n">
        <v>50.66</v>
      </c>
      <c r="S1520" s="35">
        <f>IF(R1520="","",IF(R1520&gt;=60,INT(R1520/60)&amp;":"&amp;TEXT(MOD(R1520,60),"00.00"),TEXT(R1520,"0.00")))</f>
        <v/>
      </c>
      <c r="T1520" s="52">
        <f>IFERROR((G1520-INDEX('01_Swimmers'!$E$5:$E$22,MATCH(B1520,'01_Swimmers'!$A$5:$A$22,0)))/'00_Control'!$B$10,"")</f>
        <v/>
      </c>
      <c r="U1520" s="35">
        <f>IF(T1520="","",INT(T1520))</f>
        <v/>
      </c>
      <c r="V1520" s="33" t="inlineStr">
        <is>
          <t>NO</t>
        </is>
      </c>
      <c r="W1520" s="33" t="inlineStr">
        <is>
          <t>YES</t>
        </is>
      </c>
      <c r="X1520" s="33" t="inlineStr">
        <is>
          <t>NO</t>
        </is>
      </c>
      <c r="Y1520" s="33" t="n">
        <v>2</v>
      </c>
      <c r="Z1520" s="33" t="n">
        <v>4</v>
      </c>
      <c r="AA1520" s="33" t="inlineStr">
        <is>
          <t>1</t>
        </is>
      </c>
      <c r="AB1520" s="33" t="inlineStr">
        <is>
          <t>https://www.swimcloud.com/results/387479/event/203/?id=178181999#time178181999</t>
        </is>
      </c>
      <c r="AC1520" s="33" t="inlineStr">
        <is>
          <t>SwimCloud API v6 2026-10-08</t>
        </is>
      </c>
      <c r="AD1520" s="33" t="inlineStr">
        <is>
          <t>Kristof Milak|2026-05-24|LCM|100|Fly|50.66|Mare Nostrum Monaco|FIN|False</t>
        </is>
      </c>
      <c r="AE1520" s="53">
        <f>G1520+L1520/1000+ROW()/1000000000</f>
        <v/>
      </c>
      <c r="AF1520" s="35">
        <f>IF(C1520&lt;&gt;"Grayson Coulter","",COUNTIFS($C$5:$C$2991,"Grayson Coulter",$Q$5:$Q$2991,Q1520,$AE$5:$AE$2991,"&lt;="&amp;AE1520,$R$5:$R$2991,"&lt;"&amp;R1520))</f>
        <v/>
      </c>
      <c r="AG1520" s="35">
        <f>IF(OR(C1520&lt;&gt;"Grayson Coulter",G1520&lt;'00_Control'!$B$7),"",--(AF1520&lt;5))</f>
        <v/>
      </c>
      <c r="AH1520" s="35">
        <f>IF(OR(C1520&lt;&gt;"Grayson Coulter",G1520&lt;'00_Control'!$B$7),"",--(AF1520&lt;10))</f>
        <v/>
      </c>
      <c r="AI1520" s="35">
        <f>IF(AND(C1520="Grayson Coulter",G1520&gt;='00_Control'!$B$7),"YES","NO")</f>
        <v/>
      </c>
      <c r="AJ1520" s="33" t="inlineStr">
        <is>
          <t>OK</t>
        </is>
      </c>
    </row>
    <row r="1521">
      <c r="A1521" s="33" t="inlineStr">
        <is>
          <t>SM001517</t>
        </is>
      </c>
      <c r="B1521" s="33" t="inlineStr">
        <is>
          <t>SW018</t>
        </is>
      </c>
      <c r="C1521" s="33" t="inlineStr">
        <is>
          <t>Kristof Milak</t>
        </is>
      </c>
      <c r="D1521" s="33" t="inlineStr">
        <is>
          <t>SwimCloud</t>
        </is>
      </c>
      <c r="E1521" s="33" t="inlineStr">
        <is>
          <t>508643</t>
        </is>
      </c>
      <c r="F1521" s="33" t="inlineStr">
        <is>
          <t>178604958</t>
        </is>
      </c>
      <c r="G1521" s="51" t="n">
        <v>46169</v>
      </c>
      <c r="H1521" s="33" t="inlineStr">
        <is>
          <t>38e Meeting International de Canet-en-Roussillon</t>
        </is>
      </c>
      <c r="I1521" s="33" t="inlineStr">
        <is>
          <t>387553</t>
        </is>
      </c>
      <c r="J1521" s="33" t="inlineStr"/>
      <c r="K1521" s="33" t="inlineStr">
        <is>
          <t>PRE</t>
        </is>
      </c>
      <c r="L1521" s="35">
        <f>IF(K1521="FIN",3,IF(OR(K1521="SEM",K1521="SEMI"),2,IF(OR(K1521="PRE",K1521="HEAT"),1,IF(V1521="YES",4,2))))</f>
        <v/>
      </c>
      <c r="M1521" s="33" t="inlineStr">
        <is>
          <t>LCM</t>
        </is>
      </c>
      <c r="N1521" s="33" t="n">
        <v>100</v>
      </c>
      <c r="O1521" s="33" t="inlineStr">
        <is>
          <t>Free</t>
        </is>
      </c>
      <c r="P1521" s="33" t="inlineStr">
        <is>
          <t>100 Free</t>
        </is>
      </c>
      <c r="Q1521" s="33" t="inlineStr">
        <is>
          <t>LCM_100_FREE</t>
        </is>
      </c>
      <c r="R1521" s="36" t="n">
        <v>49.16</v>
      </c>
      <c r="S1521" s="35">
        <f>IF(R1521="","",IF(R1521&gt;=60,INT(R1521/60)&amp;":"&amp;TEXT(MOD(R1521,60),"00.00"),TEXT(R1521,"0.00")))</f>
        <v/>
      </c>
      <c r="T1521" s="52">
        <f>IFERROR((G1521-INDEX('01_Swimmers'!$E$5:$E$22,MATCH(B1521,'01_Swimmers'!$A$5:$A$22,0)))/'00_Control'!$B$10,"")</f>
        <v/>
      </c>
      <c r="U1521" s="35">
        <f>IF(T1521="","",INT(T1521))</f>
        <v/>
      </c>
      <c r="V1521" s="33" t="inlineStr">
        <is>
          <t>NO</t>
        </is>
      </c>
      <c r="W1521" s="33" t="inlineStr">
        <is>
          <t>YES</t>
        </is>
      </c>
      <c r="X1521" s="33" t="inlineStr">
        <is>
          <t>NO</t>
        </is>
      </c>
      <c r="Y1521" s="33" t="n">
        <v>12</v>
      </c>
      <c r="Z1521" s="33" t="n"/>
      <c r="AA1521" s="33" t="inlineStr">
        <is>
          <t>8</t>
        </is>
      </c>
      <c r="AB1521" s="33" t="inlineStr">
        <is>
          <t>https://www.swimcloud.com/results/387553/event/119/?id=178604958#time178604958</t>
        </is>
      </c>
      <c r="AC1521" s="33" t="inlineStr">
        <is>
          <t>SwimCloud API v6 2026-10-08</t>
        </is>
      </c>
      <c r="AD1521" s="33" t="inlineStr">
        <is>
          <t>Kristof Milak|2026-05-27|LCM|100|Free|49.16|38e Meeting International de Canet-en-Roussillon|PRE|False</t>
        </is>
      </c>
      <c r="AE1521" s="53">
        <f>G1521+L1521/1000+ROW()/1000000000</f>
        <v/>
      </c>
      <c r="AF1521" s="35">
        <f>IF(C1521&lt;&gt;"Grayson Coulter","",COUNTIFS($C$5:$C$2991,"Grayson Coulter",$Q$5:$Q$2991,Q1521,$AE$5:$AE$2991,"&lt;="&amp;AE1521,$R$5:$R$2991,"&lt;"&amp;R1521))</f>
        <v/>
      </c>
      <c r="AG1521" s="35">
        <f>IF(OR(C1521&lt;&gt;"Grayson Coulter",G1521&lt;'00_Control'!$B$7),"",--(AF1521&lt;5))</f>
        <v/>
      </c>
      <c r="AH1521" s="35">
        <f>IF(OR(C1521&lt;&gt;"Grayson Coulter",G1521&lt;'00_Control'!$B$7),"",--(AF1521&lt;10))</f>
        <v/>
      </c>
      <c r="AI1521" s="35">
        <f>IF(AND(C1521="Grayson Coulter",G1521&gt;='00_Control'!$B$7),"YES","NO")</f>
        <v/>
      </c>
      <c r="AJ1521" s="33" t="inlineStr">
        <is>
          <t>OK</t>
        </is>
      </c>
    </row>
    <row r="1522">
      <c r="A1522" s="33" t="inlineStr">
        <is>
          <t>SM001518</t>
        </is>
      </c>
      <c r="B1522" s="33" t="inlineStr">
        <is>
          <t>SW018</t>
        </is>
      </c>
      <c r="C1522" s="33" t="inlineStr">
        <is>
          <t>Kristof Milak</t>
        </is>
      </c>
      <c r="D1522" s="33" t="inlineStr">
        <is>
          <t>SwimCloud</t>
        </is>
      </c>
      <c r="E1522" s="33" t="inlineStr">
        <is>
          <t>508643</t>
        </is>
      </c>
      <c r="F1522" s="33" t="inlineStr">
        <is>
          <t>178604962</t>
        </is>
      </c>
      <c r="G1522" s="51" t="n">
        <v>46169</v>
      </c>
      <c r="H1522" s="33" t="inlineStr">
        <is>
          <t>38e Meeting International de Canet-en-Roussillon</t>
        </is>
      </c>
      <c r="I1522" s="33" t="inlineStr">
        <is>
          <t>387553</t>
        </is>
      </c>
      <c r="J1522" s="33" t="inlineStr"/>
      <c r="K1522" s="33" t="inlineStr">
        <is>
          <t>FIN</t>
        </is>
      </c>
      <c r="L1522" s="35">
        <f>IF(K1522="FIN",3,IF(OR(K1522="SEM",K1522="SEMI"),2,IF(OR(K1522="PRE",K1522="HEAT"),1,IF(V1522="YES",4,2))))</f>
        <v/>
      </c>
      <c r="M1522" s="33" t="inlineStr">
        <is>
          <t>LCM</t>
        </is>
      </c>
      <c r="N1522" s="33" t="n">
        <v>100</v>
      </c>
      <c r="O1522" s="33" t="inlineStr">
        <is>
          <t>Free</t>
        </is>
      </c>
      <c r="P1522" s="33" t="inlineStr">
        <is>
          <t>100 Free</t>
        </is>
      </c>
      <c r="Q1522" s="33" t="inlineStr">
        <is>
          <t>LCM_100_FREE</t>
        </is>
      </c>
      <c r="R1522" s="36" t="n">
        <v>48.76</v>
      </c>
      <c r="S1522" s="35">
        <f>IF(R1522="","",IF(R1522&gt;=60,INT(R1522/60)&amp;":"&amp;TEXT(MOD(R1522,60),"00.00"),TEXT(R1522,"0.00")))</f>
        <v/>
      </c>
      <c r="T1522" s="52">
        <f>IFERROR((G1522-INDEX('01_Swimmers'!$E$5:$E$22,MATCH(B1522,'01_Swimmers'!$A$5:$A$22,0)))/'00_Control'!$B$10,"")</f>
        <v/>
      </c>
      <c r="U1522" s="35">
        <f>IF(T1522="","",INT(T1522))</f>
        <v/>
      </c>
      <c r="V1522" s="33" t="inlineStr">
        <is>
          <t>NO</t>
        </is>
      </c>
      <c r="W1522" s="33" t="inlineStr">
        <is>
          <t>YES</t>
        </is>
      </c>
      <c r="X1522" s="33" t="inlineStr">
        <is>
          <t>NO</t>
        </is>
      </c>
      <c r="Y1522" s="33" t="n">
        <v>1</v>
      </c>
      <c r="Z1522" s="33" t="n"/>
      <c r="AA1522" s="33" t="inlineStr">
        <is>
          <t>3</t>
        </is>
      </c>
      <c r="AB1522" s="33" t="inlineStr">
        <is>
          <t>https://www.swimcloud.com/results/387553/event/119/?id=178604962#time178604962</t>
        </is>
      </c>
      <c r="AC1522" s="33" t="inlineStr">
        <is>
          <t>SwimCloud API v6 2026-10-08</t>
        </is>
      </c>
      <c r="AD1522" s="33" t="inlineStr">
        <is>
          <t>Kristof Milak|2026-05-27|LCM|100|Free|48.76|38e Meeting International de Canet-en-Roussillon|FIN|False</t>
        </is>
      </c>
      <c r="AE1522" s="53">
        <f>G1522+L1522/1000+ROW()/1000000000</f>
        <v/>
      </c>
      <c r="AF1522" s="35">
        <f>IF(C1522&lt;&gt;"Grayson Coulter","",COUNTIFS($C$5:$C$2991,"Grayson Coulter",$Q$5:$Q$2991,Q1522,$AE$5:$AE$2991,"&lt;="&amp;AE1522,$R$5:$R$2991,"&lt;"&amp;R1522))</f>
        <v/>
      </c>
      <c r="AG1522" s="35">
        <f>IF(OR(C1522&lt;&gt;"Grayson Coulter",G1522&lt;'00_Control'!$B$7),"",--(AF1522&lt;5))</f>
        <v/>
      </c>
      <c r="AH1522" s="35">
        <f>IF(OR(C1522&lt;&gt;"Grayson Coulter",G1522&lt;'00_Control'!$B$7),"",--(AF1522&lt;10))</f>
        <v/>
      </c>
      <c r="AI1522" s="35">
        <f>IF(AND(C1522="Grayson Coulter",G1522&gt;='00_Control'!$B$7),"YES","NO")</f>
        <v/>
      </c>
      <c r="AJ1522" s="33" t="inlineStr">
        <is>
          <t>OK</t>
        </is>
      </c>
    </row>
    <row r="1523">
      <c r="A1523" s="33" t="inlineStr">
        <is>
          <t>SM001519</t>
        </is>
      </c>
      <c r="B1523" s="33" t="inlineStr">
        <is>
          <t>SW018</t>
        </is>
      </c>
      <c r="C1523" s="33" t="inlineStr">
        <is>
          <t>Kristof Milak</t>
        </is>
      </c>
      <c r="D1523" s="33" t="inlineStr">
        <is>
          <t>SwimCloud</t>
        </is>
      </c>
      <c r="E1523" s="33" t="inlineStr">
        <is>
          <t>508643</t>
        </is>
      </c>
      <c r="F1523" s="33" t="inlineStr">
        <is>
          <t>178604960</t>
        </is>
      </c>
      <c r="G1523" s="51" t="n">
        <v>46170</v>
      </c>
      <c r="H1523" s="33" t="inlineStr">
        <is>
          <t>38e Meeting International de Canet-en-Roussillon</t>
        </is>
      </c>
      <c r="I1523" s="33" t="inlineStr">
        <is>
          <t>387553</t>
        </is>
      </c>
      <c r="J1523" s="33" t="inlineStr"/>
      <c r="K1523" s="33" t="inlineStr">
        <is>
          <t>PRE</t>
        </is>
      </c>
      <c r="L1523" s="35">
        <f>IF(K1523="FIN",3,IF(OR(K1523="SEM",K1523="SEMI"),2,IF(OR(K1523="PRE",K1523="HEAT"),1,IF(V1523="YES",4,2))))</f>
        <v/>
      </c>
      <c r="M1523" s="33" t="inlineStr">
        <is>
          <t>LCM</t>
        </is>
      </c>
      <c r="N1523" s="33" t="n">
        <v>100</v>
      </c>
      <c r="O1523" s="33" t="inlineStr">
        <is>
          <t>Fly</t>
        </is>
      </c>
      <c r="P1523" s="33" t="inlineStr">
        <is>
          <t>100 Fly</t>
        </is>
      </c>
      <c r="Q1523" s="33" t="inlineStr">
        <is>
          <t>LCM_100_FLY</t>
        </is>
      </c>
      <c r="R1523" s="36" t="n">
        <v>52.11</v>
      </c>
      <c r="S1523" s="35">
        <f>IF(R1523="","",IF(R1523&gt;=60,INT(R1523/60)&amp;":"&amp;TEXT(MOD(R1523,60),"00.00"),TEXT(R1523,"0.00")))</f>
        <v/>
      </c>
      <c r="T1523" s="52">
        <f>IFERROR((G1523-INDEX('01_Swimmers'!$E$5:$E$22,MATCH(B1523,'01_Swimmers'!$A$5:$A$22,0)))/'00_Control'!$B$10,"")</f>
        <v/>
      </c>
      <c r="U1523" s="35">
        <f>IF(T1523="","",INT(T1523))</f>
        <v/>
      </c>
      <c r="V1523" s="33" t="inlineStr">
        <is>
          <t>NO</t>
        </is>
      </c>
      <c r="W1523" s="33" t="inlineStr">
        <is>
          <t>YES</t>
        </is>
      </c>
      <c r="X1523" s="33" t="inlineStr">
        <is>
          <t>NO</t>
        </is>
      </c>
      <c r="Y1523" s="33" t="n">
        <v>7</v>
      </c>
      <c r="Z1523" s="33" t="n"/>
      <c r="AA1523" s="33" t="inlineStr">
        <is>
          <t>6</t>
        </is>
      </c>
      <c r="AB1523" s="33" t="inlineStr">
        <is>
          <t>https://www.swimcloud.com/results/387553/event/213/?id=178604960#time178604960</t>
        </is>
      </c>
      <c r="AC1523" s="33" t="inlineStr">
        <is>
          <t>SwimCloud API v6 2026-10-08</t>
        </is>
      </c>
      <c r="AD1523" s="33" t="inlineStr">
        <is>
          <t>Kristof Milak|2026-05-28|LCM|100|Fly|52.11|38e Meeting International de Canet-en-Roussillon|PRE|False</t>
        </is>
      </c>
      <c r="AE1523" s="53">
        <f>G1523+L1523/1000+ROW()/1000000000</f>
        <v/>
      </c>
      <c r="AF1523" s="35">
        <f>IF(C1523&lt;&gt;"Grayson Coulter","",COUNTIFS($C$5:$C$2991,"Grayson Coulter",$Q$5:$Q$2991,Q1523,$AE$5:$AE$2991,"&lt;="&amp;AE1523,$R$5:$R$2991,"&lt;"&amp;R1523))</f>
        <v/>
      </c>
      <c r="AG1523" s="35">
        <f>IF(OR(C1523&lt;&gt;"Grayson Coulter",G1523&lt;'00_Control'!$B$7),"",--(AF1523&lt;5))</f>
        <v/>
      </c>
      <c r="AH1523" s="35">
        <f>IF(OR(C1523&lt;&gt;"Grayson Coulter",G1523&lt;'00_Control'!$B$7),"",--(AF1523&lt;10))</f>
        <v/>
      </c>
      <c r="AI1523" s="35">
        <f>IF(AND(C1523="Grayson Coulter",G1523&gt;='00_Control'!$B$7),"YES","NO")</f>
        <v/>
      </c>
      <c r="AJ1523" s="33" t="inlineStr">
        <is>
          <t>OK</t>
        </is>
      </c>
    </row>
    <row r="1524">
      <c r="A1524" s="33" t="inlineStr">
        <is>
          <t>SM001520</t>
        </is>
      </c>
      <c r="B1524" s="33" t="inlineStr">
        <is>
          <t>SW018</t>
        </is>
      </c>
      <c r="C1524" s="33" t="inlineStr">
        <is>
          <t>Kristof Milak</t>
        </is>
      </c>
      <c r="D1524" s="33" t="inlineStr">
        <is>
          <t>SwimCloud</t>
        </is>
      </c>
      <c r="E1524" s="33" t="inlineStr">
        <is>
          <t>508643</t>
        </is>
      </c>
      <c r="F1524" s="33" t="inlineStr">
        <is>
          <t>178604963</t>
        </is>
      </c>
      <c r="G1524" s="51" t="n">
        <v>46170</v>
      </c>
      <c r="H1524" s="33" t="inlineStr">
        <is>
          <t>38e Meeting International de Canet-en-Roussillon</t>
        </is>
      </c>
      <c r="I1524" s="33" t="inlineStr">
        <is>
          <t>387553</t>
        </is>
      </c>
      <c r="J1524" s="33" t="inlineStr"/>
      <c r="K1524" s="33" t="inlineStr">
        <is>
          <t>FIN</t>
        </is>
      </c>
      <c r="L1524" s="35">
        <f>IF(K1524="FIN",3,IF(OR(K1524="SEM",K1524="SEMI"),2,IF(OR(K1524="PRE",K1524="HEAT"),1,IF(V1524="YES",4,2))))</f>
        <v/>
      </c>
      <c r="M1524" s="33" t="inlineStr">
        <is>
          <t>LCM</t>
        </is>
      </c>
      <c r="N1524" s="33" t="n">
        <v>100</v>
      </c>
      <c r="O1524" s="33" t="inlineStr">
        <is>
          <t>Fly</t>
        </is>
      </c>
      <c r="P1524" s="33" t="inlineStr">
        <is>
          <t>100 Fly</t>
        </is>
      </c>
      <c r="Q1524" s="33" t="inlineStr">
        <is>
          <t>LCM_100_FLY</t>
        </is>
      </c>
      <c r="R1524" s="36" t="n">
        <v>50.73</v>
      </c>
      <c r="S1524" s="35">
        <f>IF(R1524="","",IF(R1524&gt;=60,INT(R1524/60)&amp;":"&amp;TEXT(MOD(R1524,60),"00.00"),TEXT(R1524,"0.00")))</f>
        <v/>
      </c>
      <c r="T1524" s="52">
        <f>IFERROR((G1524-INDEX('01_Swimmers'!$E$5:$E$22,MATCH(B1524,'01_Swimmers'!$A$5:$A$22,0)))/'00_Control'!$B$10,"")</f>
        <v/>
      </c>
      <c r="U1524" s="35">
        <f>IF(T1524="","",INT(T1524))</f>
        <v/>
      </c>
      <c r="V1524" s="33" t="inlineStr">
        <is>
          <t>NO</t>
        </is>
      </c>
      <c r="W1524" s="33" t="inlineStr">
        <is>
          <t>YES</t>
        </is>
      </c>
      <c r="X1524" s="33" t="inlineStr">
        <is>
          <t>NO</t>
        </is>
      </c>
      <c r="Y1524" s="33" t="n">
        <v>1</v>
      </c>
      <c r="Z1524" s="33" t="n"/>
      <c r="AA1524" s="33" t="inlineStr">
        <is>
          <t>1</t>
        </is>
      </c>
      <c r="AB1524" s="33" t="inlineStr">
        <is>
          <t>https://www.swimcloud.com/results/387553/event/213/?id=178604963#time178604963</t>
        </is>
      </c>
      <c r="AC1524" s="33" t="inlineStr">
        <is>
          <t>SwimCloud API v6 2026-10-08</t>
        </is>
      </c>
      <c r="AD1524" s="33" t="inlineStr">
        <is>
          <t>Kristof Milak|2026-05-28|LCM|100|Fly|50.73|38e Meeting International de Canet-en-Roussillon|FIN|False</t>
        </is>
      </c>
      <c r="AE1524" s="53">
        <f>G1524+L1524/1000+ROW()/1000000000</f>
        <v/>
      </c>
      <c r="AF1524" s="35">
        <f>IF(C1524&lt;&gt;"Grayson Coulter","",COUNTIFS($C$5:$C$2991,"Grayson Coulter",$Q$5:$Q$2991,Q1524,$AE$5:$AE$2991,"&lt;="&amp;AE1524,$R$5:$R$2991,"&lt;"&amp;R1524))</f>
        <v/>
      </c>
      <c r="AG1524" s="35">
        <f>IF(OR(C1524&lt;&gt;"Grayson Coulter",G1524&lt;'00_Control'!$B$7),"",--(AF1524&lt;5))</f>
        <v/>
      </c>
      <c r="AH1524" s="35">
        <f>IF(OR(C1524&lt;&gt;"Grayson Coulter",G1524&lt;'00_Control'!$B$7),"",--(AF1524&lt;10))</f>
        <v/>
      </c>
      <c r="AI1524" s="35">
        <f>IF(AND(C1524="Grayson Coulter",G1524&gt;='00_Control'!$B$7),"YES","NO")</f>
        <v/>
      </c>
      <c r="AJ1524" s="33" t="inlineStr">
        <is>
          <t>OK</t>
        </is>
      </c>
    </row>
    <row r="1525">
      <c r="A1525" s="33" t="inlineStr">
        <is>
          <t>SM001521</t>
        </is>
      </c>
      <c r="B1525" s="33" t="inlineStr">
        <is>
          <t>SW018</t>
        </is>
      </c>
      <c r="C1525" s="33" t="inlineStr">
        <is>
          <t>Kristof Milak</t>
        </is>
      </c>
      <c r="D1525" s="33" t="inlineStr">
        <is>
          <t>SwimCloud</t>
        </is>
      </c>
      <c r="E1525" s="33" t="inlineStr">
        <is>
          <t>508643</t>
        </is>
      </c>
      <c r="F1525" s="33" t="inlineStr">
        <is>
          <t>180532478</t>
        </is>
      </c>
      <c r="G1525" s="51" t="n">
        <v>46199</v>
      </c>
      <c r="H1525" s="33" t="inlineStr">
        <is>
          <t>Trofeo internazionale Settecolli IP</t>
        </is>
      </c>
      <c r="I1525" s="33" t="inlineStr">
        <is>
          <t>389458</t>
        </is>
      </c>
      <c r="J1525" s="33" t="inlineStr"/>
      <c r="K1525" s="33" t="inlineStr">
        <is>
          <t>PRE</t>
        </is>
      </c>
      <c r="L1525" s="35">
        <f>IF(K1525="FIN",3,IF(OR(K1525="SEM",K1525="SEMI"),2,IF(OR(K1525="PRE",K1525="HEAT"),1,IF(V1525="YES",4,2))))</f>
        <v/>
      </c>
      <c r="M1525" s="33" t="inlineStr">
        <is>
          <t>LCM</t>
        </is>
      </c>
      <c r="N1525" s="33" t="n">
        <v>100</v>
      </c>
      <c r="O1525" s="33" t="inlineStr">
        <is>
          <t>Fly</t>
        </is>
      </c>
      <c r="P1525" s="33" t="inlineStr">
        <is>
          <t>100 Fly</t>
        </is>
      </c>
      <c r="Q1525" s="33" t="inlineStr">
        <is>
          <t>LCM_100_FLY</t>
        </is>
      </c>
      <c r="R1525" s="36" t="n">
        <v>50.98</v>
      </c>
      <c r="S1525" s="35">
        <f>IF(R1525="","",IF(R1525&gt;=60,INT(R1525/60)&amp;":"&amp;TEXT(MOD(R1525,60),"00.00"),TEXT(R1525,"0.00")))</f>
        <v/>
      </c>
      <c r="T1525" s="52">
        <f>IFERROR((G1525-INDEX('01_Swimmers'!$E$5:$E$22,MATCH(B1525,'01_Swimmers'!$A$5:$A$22,0)))/'00_Control'!$B$10,"")</f>
        <v/>
      </c>
      <c r="U1525" s="35">
        <f>IF(T1525="","",INT(T1525))</f>
        <v/>
      </c>
      <c r="V1525" s="33" t="inlineStr">
        <is>
          <t>NO</t>
        </is>
      </c>
      <c r="W1525" s="33" t="inlineStr">
        <is>
          <t>YES</t>
        </is>
      </c>
      <c r="X1525" s="33" t="inlineStr">
        <is>
          <t>NO</t>
        </is>
      </c>
      <c r="Y1525" s="33" t="n">
        <v>6</v>
      </c>
      <c r="Z1525" s="33" t="n">
        <v>4</v>
      </c>
      <c r="AA1525" s="33" t="inlineStr">
        <is>
          <t>2</t>
        </is>
      </c>
      <c r="AB1525" s="33" t="inlineStr">
        <is>
          <t>https://www.swimcloud.com/results/389458/event/20/?id=180532478#time180532478</t>
        </is>
      </c>
      <c r="AC1525" s="33" t="inlineStr">
        <is>
          <t>SwimCloud API v6 2026-10-08</t>
        </is>
      </c>
      <c r="AD1525" s="33" t="inlineStr">
        <is>
          <t>Kristof Milak|2026-06-26|LCM|100|Fly|50.98|Trofeo internazionale Settecolli IP|PRE|False</t>
        </is>
      </c>
      <c r="AE1525" s="53">
        <f>G1525+L1525/1000+ROW()/1000000000</f>
        <v/>
      </c>
      <c r="AF1525" s="35">
        <f>IF(C1525&lt;&gt;"Grayson Coulter","",COUNTIFS($C$5:$C$2991,"Grayson Coulter",$Q$5:$Q$2991,Q1525,$AE$5:$AE$2991,"&lt;="&amp;AE1525,$R$5:$R$2991,"&lt;"&amp;R1525))</f>
        <v/>
      </c>
      <c r="AG1525" s="35">
        <f>IF(OR(C1525&lt;&gt;"Grayson Coulter",G1525&lt;'00_Control'!$B$7),"",--(AF1525&lt;5))</f>
        <v/>
      </c>
      <c r="AH1525" s="35">
        <f>IF(OR(C1525&lt;&gt;"Grayson Coulter",G1525&lt;'00_Control'!$B$7),"",--(AF1525&lt;10))</f>
        <v/>
      </c>
      <c r="AI1525" s="35">
        <f>IF(AND(C1525="Grayson Coulter",G1525&gt;='00_Control'!$B$7),"YES","NO")</f>
        <v/>
      </c>
      <c r="AJ1525" s="33" t="inlineStr">
        <is>
          <t>OK</t>
        </is>
      </c>
    </row>
    <row r="1526">
      <c r="A1526" s="33" t="inlineStr">
        <is>
          <t>SM001522</t>
        </is>
      </c>
      <c r="B1526" s="33" t="inlineStr">
        <is>
          <t>SW018</t>
        </is>
      </c>
      <c r="C1526" s="33" t="inlineStr">
        <is>
          <t>Kristof Milak</t>
        </is>
      </c>
      <c r="D1526" s="33" t="inlineStr">
        <is>
          <t>SwimCloud</t>
        </is>
      </c>
      <c r="E1526" s="33" t="inlineStr">
        <is>
          <t>508643</t>
        </is>
      </c>
      <c r="F1526" s="33" t="inlineStr">
        <is>
          <t>180532479</t>
        </is>
      </c>
      <c r="G1526" s="51" t="n">
        <v>46199</v>
      </c>
      <c r="H1526" s="33" t="inlineStr">
        <is>
          <t>Trofeo internazionale Settecolli IP</t>
        </is>
      </c>
      <c r="I1526" s="33" t="inlineStr">
        <is>
          <t>389458</t>
        </is>
      </c>
      <c r="J1526" s="33" t="inlineStr"/>
      <c r="K1526" s="33" t="inlineStr">
        <is>
          <t>FIN</t>
        </is>
      </c>
      <c r="L1526" s="35">
        <f>IF(K1526="FIN",3,IF(OR(K1526="SEM",K1526="SEMI"),2,IF(OR(K1526="PRE",K1526="HEAT"),1,IF(V1526="YES",4,2))))</f>
        <v/>
      </c>
      <c r="M1526" s="33" t="inlineStr">
        <is>
          <t>LCM</t>
        </is>
      </c>
      <c r="N1526" s="33" t="n">
        <v>100</v>
      </c>
      <c r="O1526" s="33" t="inlineStr">
        <is>
          <t>Fly</t>
        </is>
      </c>
      <c r="P1526" s="33" t="inlineStr">
        <is>
          <t>100 Fly</t>
        </is>
      </c>
      <c r="Q1526" s="33" t="inlineStr">
        <is>
          <t>LCM_100_FLY</t>
        </is>
      </c>
      <c r="R1526" s="36" t="n">
        <v>50.47</v>
      </c>
      <c r="S1526" s="35">
        <f>IF(R1526="","",IF(R1526&gt;=60,INT(R1526/60)&amp;":"&amp;TEXT(MOD(R1526,60),"00.00"),TEXT(R1526,"0.00")))</f>
        <v/>
      </c>
      <c r="T1526" s="52">
        <f>IFERROR((G1526-INDEX('01_Swimmers'!$E$5:$E$22,MATCH(B1526,'01_Swimmers'!$A$5:$A$22,0)))/'00_Control'!$B$10,"")</f>
        <v/>
      </c>
      <c r="U1526" s="35">
        <f>IF(T1526="","",INT(T1526))</f>
        <v/>
      </c>
      <c r="V1526" s="33" t="inlineStr">
        <is>
          <t>NO</t>
        </is>
      </c>
      <c r="W1526" s="33" t="inlineStr">
        <is>
          <t>YES</t>
        </is>
      </c>
      <c r="X1526" s="33" t="inlineStr">
        <is>
          <t>NO</t>
        </is>
      </c>
      <c r="Y1526" s="33" t="n">
        <v>1</v>
      </c>
      <c r="Z1526" s="33" t="n">
        <v>5</v>
      </c>
      <c r="AA1526" s="33" t="inlineStr">
        <is>
          <t>1</t>
        </is>
      </c>
      <c r="AB1526" s="33" t="inlineStr">
        <is>
          <t>https://www.swimcloud.com/results/389458/event/20/?id=180532479#time180532479</t>
        </is>
      </c>
      <c r="AC1526" s="33" t="inlineStr">
        <is>
          <t>SwimCloud API v6 2026-10-08</t>
        </is>
      </c>
      <c r="AD1526" s="33" t="inlineStr">
        <is>
          <t>Kristof Milak|2026-06-26|LCM|100|Fly|50.47|Trofeo internazionale Settecolli IP|FIN|False</t>
        </is>
      </c>
      <c r="AE1526" s="53">
        <f>G1526+L1526/1000+ROW()/1000000000</f>
        <v/>
      </c>
      <c r="AF1526" s="35">
        <f>IF(C1526&lt;&gt;"Grayson Coulter","",COUNTIFS($C$5:$C$2991,"Grayson Coulter",$Q$5:$Q$2991,Q1526,$AE$5:$AE$2991,"&lt;="&amp;AE1526,$R$5:$R$2991,"&lt;"&amp;R1526))</f>
        <v/>
      </c>
      <c r="AG1526" s="35">
        <f>IF(OR(C1526&lt;&gt;"Grayson Coulter",G1526&lt;'00_Control'!$B$7),"",--(AF1526&lt;5))</f>
        <v/>
      </c>
      <c r="AH1526" s="35">
        <f>IF(OR(C1526&lt;&gt;"Grayson Coulter",G1526&lt;'00_Control'!$B$7),"",--(AF1526&lt;10))</f>
        <v/>
      </c>
      <c r="AI1526" s="35">
        <f>IF(AND(C1526="Grayson Coulter",G1526&gt;='00_Control'!$B$7),"YES","NO")</f>
        <v/>
      </c>
      <c r="AJ1526" s="33" t="inlineStr">
        <is>
          <t>OK</t>
        </is>
      </c>
    </row>
    <row r="1527">
      <c r="A1527" s="33" t="inlineStr">
        <is>
          <t>SM001523</t>
        </is>
      </c>
      <c r="B1527" s="33" t="inlineStr">
        <is>
          <t>SW018</t>
        </is>
      </c>
      <c r="C1527" s="33" t="inlineStr">
        <is>
          <t>Kristof Milak</t>
        </is>
      </c>
      <c r="D1527" s="33" t="inlineStr">
        <is>
          <t>SwimCloud</t>
        </is>
      </c>
      <c r="E1527" s="33" t="inlineStr">
        <is>
          <t>508643</t>
        </is>
      </c>
      <c r="F1527" s="33" t="inlineStr">
        <is>
          <t>180532200</t>
        </is>
      </c>
      <c r="G1527" s="51" t="n">
        <v>46200</v>
      </c>
      <c r="H1527" s="33" t="inlineStr">
        <is>
          <t>Trofeo internazionale Settecolli IP</t>
        </is>
      </c>
      <c r="I1527" s="33" t="inlineStr">
        <is>
          <t>389458</t>
        </is>
      </c>
      <c r="J1527" s="33" t="inlineStr"/>
      <c r="K1527" s="33" t="inlineStr">
        <is>
          <t>PRE</t>
        </is>
      </c>
      <c r="L1527" s="35">
        <f>IF(K1527="FIN",3,IF(OR(K1527="SEM",K1527="SEMI"),2,IF(OR(K1527="PRE",K1527="HEAT"),1,IF(V1527="YES",4,2))))</f>
        <v/>
      </c>
      <c r="M1527" s="33" t="inlineStr">
        <is>
          <t>LCM</t>
        </is>
      </c>
      <c r="N1527" s="33" t="n">
        <v>100</v>
      </c>
      <c r="O1527" s="33" t="inlineStr">
        <is>
          <t>Free</t>
        </is>
      </c>
      <c r="P1527" s="33" t="inlineStr">
        <is>
          <t>100 Free</t>
        </is>
      </c>
      <c r="Q1527" s="33" t="inlineStr">
        <is>
          <t>LCM_100_FREE</t>
        </is>
      </c>
      <c r="R1527" s="36" t="n">
        <v>48.45</v>
      </c>
      <c r="S1527" s="35">
        <f>IF(R1527="","",IF(R1527&gt;=60,INT(R1527/60)&amp;":"&amp;TEXT(MOD(R1527,60),"00.00"),TEXT(R1527,"0.00")))</f>
        <v/>
      </c>
      <c r="T1527" s="52">
        <f>IFERROR((G1527-INDEX('01_Swimmers'!$E$5:$E$22,MATCH(B1527,'01_Swimmers'!$A$5:$A$22,0)))/'00_Control'!$B$10,"")</f>
        <v/>
      </c>
      <c r="U1527" s="35">
        <f>IF(T1527="","",INT(T1527))</f>
        <v/>
      </c>
      <c r="V1527" s="33" t="inlineStr">
        <is>
          <t>NO</t>
        </is>
      </c>
      <c r="W1527" s="33" t="inlineStr">
        <is>
          <t>YES</t>
        </is>
      </c>
      <c r="X1527" s="33" t="inlineStr">
        <is>
          <t>NO</t>
        </is>
      </c>
      <c r="Y1527" s="33" t="n">
        <v>8</v>
      </c>
      <c r="Z1527" s="33" t="n">
        <v>3</v>
      </c>
      <c r="AA1527" s="33" t="inlineStr">
        <is>
          <t>4</t>
        </is>
      </c>
      <c r="AB1527" s="33" t="inlineStr">
        <is>
          <t>https://www.swimcloud.com/results/389458/event/69/?id=180532200#time180532200</t>
        </is>
      </c>
      <c r="AC1527" s="33" t="inlineStr">
        <is>
          <t>SwimCloud API v6 2026-10-08</t>
        </is>
      </c>
      <c r="AD1527" s="33" t="inlineStr">
        <is>
          <t>Kristof Milak|2026-06-27|LCM|100|Free|48.45|Trofeo internazionale Settecolli IP|PRE|False</t>
        </is>
      </c>
      <c r="AE1527" s="53">
        <f>G1527+L1527/1000+ROW()/1000000000</f>
        <v/>
      </c>
      <c r="AF1527" s="35">
        <f>IF(C1527&lt;&gt;"Grayson Coulter","",COUNTIFS($C$5:$C$2991,"Grayson Coulter",$Q$5:$Q$2991,Q1527,$AE$5:$AE$2991,"&lt;="&amp;AE1527,$R$5:$R$2991,"&lt;"&amp;R1527))</f>
        <v/>
      </c>
      <c r="AG1527" s="35">
        <f>IF(OR(C1527&lt;&gt;"Grayson Coulter",G1527&lt;'00_Control'!$B$7),"",--(AF1527&lt;5))</f>
        <v/>
      </c>
      <c r="AH1527" s="35">
        <f>IF(OR(C1527&lt;&gt;"Grayson Coulter",G1527&lt;'00_Control'!$B$7),"",--(AF1527&lt;10))</f>
        <v/>
      </c>
      <c r="AI1527" s="35">
        <f>IF(AND(C1527="Grayson Coulter",G1527&gt;='00_Control'!$B$7),"YES","NO")</f>
        <v/>
      </c>
      <c r="AJ1527" s="33" t="inlineStr">
        <is>
          <t>OK</t>
        </is>
      </c>
    </row>
    <row r="1528">
      <c r="A1528" s="33" t="inlineStr">
        <is>
          <t>SM001524</t>
        </is>
      </c>
      <c r="B1528" s="33" t="inlineStr">
        <is>
          <t>SW018</t>
        </is>
      </c>
      <c r="C1528" s="33" t="inlineStr">
        <is>
          <t>Kristof Milak</t>
        </is>
      </c>
      <c r="D1528" s="33" t="inlineStr">
        <is>
          <t>SwimCloud</t>
        </is>
      </c>
      <c r="E1528" s="33" t="inlineStr">
        <is>
          <t>508643</t>
        </is>
      </c>
      <c r="F1528" s="33" t="inlineStr">
        <is>
          <t>180532201</t>
        </is>
      </c>
      <c r="G1528" s="51" t="n">
        <v>46200</v>
      </c>
      <c r="H1528" s="33" t="inlineStr">
        <is>
          <t>Trofeo internazionale Settecolli IP</t>
        </is>
      </c>
      <c r="I1528" s="33" t="inlineStr">
        <is>
          <t>389458</t>
        </is>
      </c>
      <c r="J1528" s="33" t="inlineStr"/>
      <c r="K1528" s="33" t="inlineStr">
        <is>
          <t>FIN</t>
        </is>
      </c>
      <c r="L1528" s="35">
        <f>IF(K1528="FIN",3,IF(OR(K1528="SEM",K1528="SEMI"),2,IF(OR(K1528="PRE",K1528="HEAT"),1,IF(V1528="YES",4,2))))</f>
        <v/>
      </c>
      <c r="M1528" s="33" t="inlineStr">
        <is>
          <t>LCM</t>
        </is>
      </c>
      <c r="N1528" s="33" t="n">
        <v>100</v>
      </c>
      <c r="O1528" s="33" t="inlineStr">
        <is>
          <t>Free</t>
        </is>
      </c>
      <c r="P1528" s="33" t="inlineStr">
        <is>
          <t>100 Free</t>
        </is>
      </c>
      <c r="Q1528" s="33" t="inlineStr">
        <is>
          <t>LCM_100_FREE</t>
        </is>
      </c>
      <c r="R1528" s="36" t="n">
        <v>47.89</v>
      </c>
      <c r="S1528" s="35">
        <f>IF(R1528="","",IF(R1528&gt;=60,INT(R1528/60)&amp;":"&amp;TEXT(MOD(R1528,60),"00.00"),TEXT(R1528,"0.00")))</f>
        <v/>
      </c>
      <c r="T1528" s="52">
        <f>IFERROR((G1528-INDEX('01_Swimmers'!$E$5:$E$22,MATCH(B1528,'01_Swimmers'!$A$5:$A$22,0)))/'00_Control'!$B$10,"")</f>
        <v/>
      </c>
      <c r="U1528" s="35">
        <f>IF(T1528="","",INT(T1528))</f>
        <v/>
      </c>
      <c r="V1528" s="33" t="inlineStr">
        <is>
          <t>NO</t>
        </is>
      </c>
      <c r="W1528" s="33" t="inlineStr">
        <is>
          <t>YES</t>
        </is>
      </c>
      <c r="X1528" s="33" t="inlineStr">
        <is>
          <t>NO</t>
        </is>
      </c>
      <c r="Y1528" s="33" t="n">
        <v>1</v>
      </c>
      <c r="Z1528" s="33" t="n">
        <v>6</v>
      </c>
      <c r="AA1528" s="33" t="inlineStr">
        <is>
          <t>3</t>
        </is>
      </c>
      <c r="AB1528" s="33" t="inlineStr">
        <is>
          <t>https://www.swimcloud.com/results/389458/event/69/?id=180532201#time180532201</t>
        </is>
      </c>
      <c r="AC1528" s="33" t="inlineStr">
        <is>
          <t>SwimCloud API v6 2026-10-08</t>
        </is>
      </c>
      <c r="AD1528" s="33" t="inlineStr">
        <is>
          <t>Kristof Milak|2026-06-27|LCM|100|Free|47.89|Trofeo internazionale Settecolli IP|FIN|False</t>
        </is>
      </c>
      <c r="AE1528" s="53">
        <f>G1528+L1528/1000+ROW()/1000000000</f>
        <v/>
      </c>
      <c r="AF1528" s="35">
        <f>IF(C1528&lt;&gt;"Grayson Coulter","",COUNTIFS($C$5:$C$2991,"Grayson Coulter",$Q$5:$Q$2991,Q1528,$AE$5:$AE$2991,"&lt;="&amp;AE1528,$R$5:$R$2991,"&lt;"&amp;R1528))</f>
        <v/>
      </c>
      <c r="AG1528" s="35">
        <f>IF(OR(C1528&lt;&gt;"Grayson Coulter",G1528&lt;'00_Control'!$B$7),"",--(AF1528&lt;5))</f>
        <v/>
      </c>
      <c r="AH1528" s="35">
        <f>IF(OR(C1528&lt;&gt;"Grayson Coulter",G1528&lt;'00_Control'!$B$7),"",--(AF1528&lt;10))</f>
        <v/>
      </c>
      <c r="AI1528" s="35">
        <f>IF(AND(C1528="Grayson Coulter",G1528&gt;='00_Control'!$B$7),"YES","NO")</f>
        <v/>
      </c>
      <c r="AJ1528" s="33" t="inlineStr">
        <is>
          <t>OK</t>
        </is>
      </c>
    </row>
    <row r="1529">
      <c r="A1529" s="33" t="inlineStr">
        <is>
          <t>SM001525</t>
        </is>
      </c>
      <c r="B1529" s="33" t="inlineStr">
        <is>
          <t>SW018</t>
        </is>
      </c>
      <c r="C1529" s="33" t="inlineStr">
        <is>
          <t>Kristof Milak</t>
        </is>
      </c>
      <c r="D1529" s="33" t="inlineStr">
        <is>
          <t>SwimCloud</t>
        </is>
      </c>
      <c r="E1529" s="33" t="inlineStr">
        <is>
          <t>508643</t>
        </is>
      </c>
      <c r="F1529" s="33" t="inlineStr">
        <is>
          <t>184118337</t>
        </is>
      </c>
      <c r="G1529" s="51" t="n">
        <v>46245</v>
      </c>
      <c r="H1529" s="33" t="inlineStr">
        <is>
          <t>European Championships</t>
        </is>
      </c>
      <c r="I1529" s="33" t="inlineStr">
        <is>
          <t>390252</t>
        </is>
      </c>
      <c r="J1529" s="33" t="inlineStr"/>
      <c r="K1529" s="33" t="inlineStr">
        <is>
          <t>PRE</t>
        </is>
      </c>
      <c r="L1529" s="35">
        <f>IF(K1529="FIN",3,IF(OR(K1529="SEM",K1529="SEMI"),2,IF(OR(K1529="PRE",K1529="HEAT"),1,IF(V1529="YES",4,2))))</f>
        <v/>
      </c>
      <c r="M1529" s="33" t="inlineStr">
        <is>
          <t>LCM</t>
        </is>
      </c>
      <c r="N1529" s="33" t="n">
        <v>100</v>
      </c>
      <c r="O1529" s="33" t="inlineStr">
        <is>
          <t>Free</t>
        </is>
      </c>
      <c r="P1529" s="33" t="inlineStr">
        <is>
          <t>100 Free</t>
        </is>
      </c>
      <c r="Q1529" s="33" t="inlineStr">
        <is>
          <t>LCM_100_FREE</t>
        </is>
      </c>
      <c r="R1529" s="36" t="n">
        <v>47.92</v>
      </c>
      <c r="S1529" s="35">
        <f>IF(R1529="","",IF(R1529&gt;=60,INT(R1529/60)&amp;":"&amp;TEXT(MOD(R1529,60),"00.00"),TEXT(R1529,"0.00")))</f>
        <v/>
      </c>
      <c r="T1529" s="52">
        <f>IFERROR((G1529-INDEX('01_Swimmers'!$E$5:$E$22,MATCH(B1529,'01_Swimmers'!$A$5:$A$22,0)))/'00_Control'!$B$10,"")</f>
        <v/>
      </c>
      <c r="U1529" s="35">
        <f>IF(T1529="","",INT(T1529))</f>
        <v/>
      </c>
      <c r="V1529" s="33" t="inlineStr">
        <is>
          <t>NO</t>
        </is>
      </c>
      <c r="W1529" s="33" t="inlineStr">
        <is>
          <t>YES</t>
        </is>
      </c>
      <c r="X1529" s="33" t="inlineStr">
        <is>
          <t>NO</t>
        </is>
      </c>
      <c r="Y1529" s="33" t="n">
        <v>8</v>
      </c>
      <c r="Z1529" s="33" t="n">
        <v>6</v>
      </c>
      <c r="AA1529" s="33" t="inlineStr">
        <is>
          <t>4</t>
        </is>
      </c>
      <c r="AB1529" s="33" t="inlineStr">
        <is>
          <t>https://www.swimcloud.com/results/390252/event/10/?id=184118337#time184118337</t>
        </is>
      </c>
      <c r="AC1529" s="33" t="inlineStr">
        <is>
          <t>SwimCloud API v6 2026-10-08</t>
        </is>
      </c>
      <c r="AD1529" s="33" t="inlineStr">
        <is>
          <t>Kristof Milak|2026-08-11|LCM|100|Free|47.92|European Championships|PRE|False</t>
        </is>
      </c>
      <c r="AE1529" s="53">
        <f>G1529+L1529/1000+ROW()/1000000000</f>
        <v/>
      </c>
      <c r="AF1529" s="35">
        <f>IF(C1529&lt;&gt;"Grayson Coulter","",COUNTIFS($C$5:$C$2991,"Grayson Coulter",$Q$5:$Q$2991,Q1529,$AE$5:$AE$2991,"&lt;="&amp;AE1529,$R$5:$R$2991,"&lt;"&amp;R1529))</f>
        <v/>
      </c>
      <c r="AG1529" s="35">
        <f>IF(OR(C1529&lt;&gt;"Grayson Coulter",G1529&lt;'00_Control'!$B$7),"",--(AF1529&lt;5))</f>
        <v/>
      </c>
      <c r="AH1529" s="35">
        <f>IF(OR(C1529&lt;&gt;"Grayson Coulter",G1529&lt;'00_Control'!$B$7),"",--(AF1529&lt;10))</f>
        <v/>
      </c>
      <c r="AI1529" s="35">
        <f>IF(AND(C1529="Grayson Coulter",G1529&gt;='00_Control'!$B$7),"YES","NO")</f>
        <v/>
      </c>
      <c r="AJ1529" s="33" t="inlineStr">
        <is>
          <t>OK</t>
        </is>
      </c>
    </row>
    <row r="1530">
      <c r="A1530" s="33" t="inlineStr">
        <is>
          <t>SM001526</t>
        </is>
      </c>
      <c r="B1530" s="33" t="inlineStr">
        <is>
          <t>SW018</t>
        </is>
      </c>
      <c r="C1530" s="33" t="inlineStr">
        <is>
          <t>Kristof Milak</t>
        </is>
      </c>
      <c r="D1530" s="33" t="inlineStr">
        <is>
          <t>SwimCloud</t>
        </is>
      </c>
      <c r="E1530" s="33" t="inlineStr">
        <is>
          <t>508643</t>
        </is>
      </c>
      <c r="F1530" s="33" t="inlineStr">
        <is>
          <t>184118338</t>
        </is>
      </c>
      <c r="G1530" s="51" t="n">
        <v>46245</v>
      </c>
      <c r="H1530" s="33" t="inlineStr">
        <is>
          <t>European Championships</t>
        </is>
      </c>
      <c r="I1530" s="33" t="inlineStr">
        <is>
          <t>390252</t>
        </is>
      </c>
      <c r="J1530" s="33" t="inlineStr"/>
      <c r="K1530" s="33" t="inlineStr">
        <is>
          <t>SEM</t>
        </is>
      </c>
      <c r="L1530" s="35">
        <f>IF(K1530="FIN",3,IF(OR(K1530="SEM",K1530="SEMI"),2,IF(OR(K1530="PRE",K1530="HEAT"),1,IF(V1530="YES",4,2))))</f>
        <v/>
      </c>
      <c r="M1530" s="33" t="inlineStr">
        <is>
          <t>LCM</t>
        </is>
      </c>
      <c r="N1530" s="33" t="n">
        <v>100</v>
      </c>
      <c r="O1530" s="33" t="inlineStr">
        <is>
          <t>Free</t>
        </is>
      </c>
      <c r="P1530" s="33" t="inlineStr">
        <is>
          <t>100 Free</t>
        </is>
      </c>
      <c r="Q1530" s="33" t="inlineStr">
        <is>
          <t>LCM_100_FREE</t>
        </is>
      </c>
      <c r="R1530" s="36" t="n">
        <v>47.97</v>
      </c>
      <c r="S1530" s="35">
        <f>IF(R1530="","",IF(R1530&gt;=60,INT(R1530/60)&amp;":"&amp;TEXT(MOD(R1530,60),"00.00"),TEXT(R1530,"0.00")))</f>
        <v/>
      </c>
      <c r="T1530" s="52">
        <f>IFERROR((G1530-INDEX('01_Swimmers'!$E$5:$E$22,MATCH(B1530,'01_Swimmers'!$A$5:$A$22,0)))/'00_Control'!$B$10,"")</f>
        <v/>
      </c>
      <c r="U1530" s="35">
        <f>IF(T1530="","",INT(T1530))</f>
        <v/>
      </c>
      <c r="V1530" s="33" t="inlineStr">
        <is>
          <t>NO</t>
        </is>
      </c>
      <c r="W1530" s="33" t="inlineStr">
        <is>
          <t>YES</t>
        </is>
      </c>
      <c r="X1530" s="33" t="inlineStr">
        <is>
          <t>NO</t>
        </is>
      </c>
      <c r="Y1530" s="33" t="n">
        <v>1</v>
      </c>
      <c r="Z1530" s="33" t="n">
        <v>5</v>
      </c>
      <c r="AA1530" s="33" t="inlineStr">
        <is>
          <t>7</t>
        </is>
      </c>
      <c r="AB1530" s="33" t="inlineStr">
        <is>
          <t>https://www.swimcloud.com/results/390252/event/10/?id=184118338#time184118338</t>
        </is>
      </c>
      <c r="AC1530" s="33" t="inlineStr">
        <is>
          <t>SwimCloud API v6 2026-10-08</t>
        </is>
      </c>
      <c r="AD1530" s="33" t="inlineStr">
        <is>
          <t>Kristof Milak|2026-08-11|LCM|100|Free|47.97|European Championships|SEM|False</t>
        </is>
      </c>
      <c r="AE1530" s="53">
        <f>G1530+L1530/1000+ROW()/1000000000</f>
        <v/>
      </c>
      <c r="AF1530" s="35">
        <f>IF(C1530&lt;&gt;"Grayson Coulter","",COUNTIFS($C$5:$C$2991,"Grayson Coulter",$Q$5:$Q$2991,Q1530,$AE$5:$AE$2991,"&lt;="&amp;AE1530,$R$5:$R$2991,"&lt;"&amp;R1530))</f>
        <v/>
      </c>
      <c r="AG1530" s="35">
        <f>IF(OR(C1530&lt;&gt;"Grayson Coulter",G1530&lt;'00_Control'!$B$7),"",--(AF1530&lt;5))</f>
        <v/>
      </c>
      <c r="AH1530" s="35">
        <f>IF(OR(C1530&lt;&gt;"Grayson Coulter",G1530&lt;'00_Control'!$B$7),"",--(AF1530&lt;10))</f>
        <v/>
      </c>
      <c r="AI1530" s="35">
        <f>IF(AND(C1530="Grayson Coulter",G1530&gt;='00_Control'!$B$7),"YES","NO")</f>
        <v/>
      </c>
      <c r="AJ1530" s="33" t="inlineStr">
        <is>
          <t>OK</t>
        </is>
      </c>
    </row>
    <row r="1531">
      <c r="A1531" s="33" t="inlineStr">
        <is>
          <t>SM001527</t>
        </is>
      </c>
      <c r="B1531" s="33" t="inlineStr">
        <is>
          <t>SW018</t>
        </is>
      </c>
      <c r="C1531" s="33" t="inlineStr">
        <is>
          <t>Kristof Milak</t>
        </is>
      </c>
      <c r="D1531" s="33" t="inlineStr">
        <is>
          <t>SwimCloud</t>
        </is>
      </c>
      <c r="E1531" s="33" t="inlineStr">
        <is>
          <t>508643</t>
        </is>
      </c>
      <c r="F1531" s="33" t="inlineStr">
        <is>
          <t>184118334</t>
        </is>
      </c>
      <c r="G1531" s="51" t="n">
        <v>46246</v>
      </c>
      <c r="H1531" s="33" t="inlineStr">
        <is>
          <t>European Championships</t>
        </is>
      </c>
      <c r="I1531" s="33" t="inlineStr">
        <is>
          <t>390252</t>
        </is>
      </c>
      <c r="J1531" s="33" t="inlineStr"/>
      <c r="K1531" s="33" t="inlineStr">
        <is>
          <t>PRE</t>
        </is>
      </c>
      <c r="L1531" s="35">
        <f>IF(K1531="FIN",3,IF(OR(K1531="SEM",K1531="SEMI"),2,IF(OR(K1531="PRE",K1531="HEAT"),1,IF(V1531="YES",4,2))))</f>
        <v/>
      </c>
      <c r="M1531" s="33" t="inlineStr">
        <is>
          <t>LCM</t>
        </is>
      </c>
      <c r="N1531" s="33" t="n">
        <v>100</v>
      </c>
      <c r="O1531" s="33" t="inlineStr">
        <is>
          <t>Fly</t>
        </is>
      </c>
      <c r="P1531" s="33" t="inlineStr">
        <is>
          <t>100 Fly</t>
        </is>
      </c>
      <c r="Q1531" s="33" t="inlineStr">
        <is>
          <t>LCM_100_FLY</t>
        </is>
      </c>
      <c r="R1531" s="36" t="n">
        <v>50.81</v>
      </c>
      <c r="S1531" s="35">
        <f>IF(R1531="","",IF(R1531&gt;=60,INT(R1531/60)&amp;":"&amp;TEXT(MOD(R1531,60),"00.00"),TEXT(R1531,"0.00")))</f>
        <v/>
      </c>
      <c r="T1531" s="52">
        <f>IFERROR((G1531-INDEX('01_Swimmers'!$E$5:$E$22,MATCH(B1531,'01_Swimmers'!$A$5:$A$22,0)))/'00_Control'!$B$10,"")</f>
        <v/>
      </c>
      <c r="U1531" s="35">
        <f>IF(T1531="","",INT(T1531))</f>
        <v/>
      </c>
      <c r="V1531" s="33" t="inlineStr">
        <is>
          <t>NO</t>
        </is>
      </c>
      <c r="W1531" s="33" t="inlineStr">
        <is>
          <t>YES</t>
        </is>
      </c>
      <c r="X1531" s="33" t="inlineStr">
        <is>
          <t>NO</t>
        </is>
      </c>
      <c r="Y1531" s="33" t="n">
        <v>5</v>
      </c>
      <c r="Z1531" s="33" t="n">
        <v>4</v>
      </c>
      <c r="AA1531" s="33" t="inlineStr">
        <is>
          <t>2</t>
        </is>
      </c>
      <c r="AB1531" s="33" t="inlineStr">
        <is>
          <t>https://www.swimcloud.com/results/390252/event/16/?id=184118334#time184118334</t>
        </is>
      </c>
      <c r="AC1531" s="33" t="inlineStr">
        <is>
          <t>SwimCloud API v6 2026-10-08</t>
        </is>
      </c>
      <c r="AD1531" s="33" t="inlineStr">
        <is>
          <t>Kristof Milak|2026-08-12|LCM|100|Fly|50.81|European Championships|PRE|False</t>
        </is>
      </c>
      <c r="AE1531" s="53">
        <f>G1531+L1531/1000+ROW()/1000000000</f>
        <v/>
      </c>
      <c r="AF1531" s="35">
        <f>IF(C1531&lt;&gt;"Grayson Coulter","",COUNTIFS($C$5:$C$2991,"Grayson Coulter",$Q$5:$Q$2991,Q1531,$AE$5:$AE$2991,"&lt;="&amp;AE1531,$R$5:$R$2991,"&lt;"&amp;R1531))</f>
        <v/>
      </c>
      <c r="AG1531" s="35">
        <f>IF(OR(C1531&lt;&gt;"Grayson Coulter",G1531&lt;'00_Control'!$B$7),"",--(AF1531&lt;5))</f>
        <v/>
      </c>
      <c r="AH1531" s="35">
        <f>IF(OR(C1531&lt;&gt;"Grayson Coulter",G1531&lt;'00_Control'!$B$7),"",--(AF1531&lt;10))</f>
        <v/>
      </c>
      <c r="AI1531" s="35">
        <f>IF(AND(C1531="Grayson Coulter",G1531&gt;='00_Control'!$B$7),"YES","NO")</f>
        <v/>
      </c>
      <c r="AJ1531" s="33" t="inlineStr">
        <is>
          <t>OK</t>
        </is>
      </c>
    </row>
    <row r="1532">
      <c r="A1532" s="33" t="inlineStr">
        <is>
          <t>SM001528</t>
        </is>
      </c>
      <c r="B1532" s="33" t="inlineStr">
        <is>
          <t>SW018</t>
        </is>
      </c>
      <c r="C1532" s="33" t="inlineStr">
        <is>
          <t>Kristof Milak</t>
        </is>
      </c>
      <c r="D1532" s="33" t="inlineStr">
        <is>
          <t>SwimCloud</t>
        </is>
      </c>
      <c r="E1532" s="33" t="inlineStr">
        <is>
          <t>508643</t>
        </is>
      </c>
      <c r="F1532" s="33" t="inlineStr">
        <is>
          <t>184118335</t>
        </is>
      </c>
      <c r="G1532" s="51" t="n">
        <v>46246</v>
      </c>
      <c r="H1532" s="33" t="inlineStr">
        <is>
          <t>European Championships</t>
        </is>
      </c>
      <c r="I1532" s="33" t="inlineStr">
        <is>
          <t>390252</t>
        </is>
      </c>
      <c r="J1532" s="33" t="inlineStr"/>
      <c r="K1532" s="33" t="inlineStr">
        <is>
          <t>SEM</t>
        </is>
      </c>
      <c r="L1532" s="35">
        <f>IF(K1532="FIN",3,IF(OR(K1532="SEM",K1532="SEMI"),2,IF(OR(K1532="PRE",K1532="HEAT"),1,IF(V1532="YES",4,2))))</f>
        <v/>
      </c>
      <c r="M1532" s="33" t="inlineStr">
        <is>
          <t>LCM</t>
        </is>
      </c>
      <c r="N1532" s="33" t="n">
        <v>100</v>
      </c>
      <c r="O1532" s="33" t="inlineStr">
        <is>
          <t>Fly</t>
        </is>
      </c>
      <c r="P1532" s="33" t="inlineStr">
        <is>
          <t>100 Fly</t>
        </is>
      </c>
      <c r="Q1532" s="33" t="inlineStr">
        <is>
          <t>LCM_100_FLY</t>
        </is>
      </c>
      <c r="R1532" s="36" t="n">
        <v>50.5</v>
      </c>
      <c r="S1532" s="35">
        <f>IF(R1532="","",IF(R1532&gt;=60,INT(R1532/60)&amp;":"&amp;TEXT(MOD(R1532,60),"00.00"),TEXT(R1532,"0.00")))</f>
        <v/>
      </c>
      <c r="T1532" s="52">
        <f>IFERROR((G1532-INDEX('01_Swimmers'!$E$5:$E$22,MATCH(B1532,'01_Swimmers'!$A$5:$A$22,0)))/'00_Control'!$B$10,"")</f>
        <v/>
      </c>
      <c r="U1532" s="35">
        <f>IF(T1532="","",INT(T1532))</f>
        <v/>
      </c>
      <c r="V1532" s="33" t="inlineStr">
        <is>
          <t>NO</t>
        </is>
      </c>
      <c r="W1532" s="33" t="inlineStr">
        <is>
          <t>YES</t>
        </is>
      </c>
      <c r="X1532" s="33" t="inlineStr">
        <is>
          <t>NO</t>
        </is>
      </c>
      <c r="Y1532" s="33" t="n">
        <v>1</v>
      </c>
      <c r="Z1532" s="33" t="n">
        <v>4</v>
      </c>
      <c r="AA1532" s="33" t="inlineStr">
        <is>
          <t>2</t>
        </is>
      </c>
      <c r="AB1532" s="33" t="inlineStr">
        <is>
          <t>https://www.swimcloud.com/results/390252/event/16/?id=184118335#time184118335</t>
        </is>
      </c>
      <c r="AC1532" s="33" t="inlineStr">
        <is>
          <t>SwimCloud API v6 2026-10-08</t>
        </is>
      </c>
      <c r="AD1532" s="33" t="inlineStr">
        <is>
          <t>Kristof Milak|2026-08-12|LCM|100|Fly|50.5|European Championships|SEM|False</t>
        </is>
      </c>
      <c r="AE1532" s="53">
        <f>G1532+L1532/1000+ROW()/1000000000</f>
        <v/>
      </c>
      <c r="AF1532" s="35">
        <f>IF(C1532&lt;&gt;"Grayson Coulter","",COUNTIFS($C$5:$C$2991,"Grayson Coulter",$Q$5:$Q$2991,Q1532,$AE$5:$AE$2991,"&lt;="&amp;AE1532,$R$5:$R$2991,"&lt;"&amp;R1532))</f>
        <v/>
      </c>
      <c r="AG1532" s="35">
        <f>IF(OR(C1532&lt;&gt;"Grayson Coulter",G1532&lt;'00_Control'!$B$7),"",--(AF1532&lt;5))</f>
        <v/>
      </c>
      <c r="AH1532" s="35">
        <f>IF(OR(C1532&lt;&gt;"Grayson Coulter",G1532&lt;'00_Control'!$B$7),"",--(AF1532&lt;10))</f>
        <v/>
      </c>
      <c r="AI1532" s="35">
        <f>IF(AND(C1532="Grayson Coulter",G1532&gt;='00_Control'!$B$7),"YES","NO")</f>
        <v/>
      </c>
      <c r="AJ1532" s="33" t="inlineStr">
        <is>
          <t>OK</t>
        </is>
      </c>
    </row>
    <row r="1533">
      <c r="A1533" s="33" t="inlineStr">
        <is>
          <t>SM001529</t>
        </is>
      </c>
      <c r="B1533" s="33" t="inlineStr">
        <is>
          <t>SW018</t>
        </is>
      </c>
      <c r="C1533" s="33" t="inlineStr">
        <is>
          <t>Kristof Milak</t>
        </is>
      </c>
      <c r="D1533" s="33" t="inlineStr">
        <is>
          <t>SwimCloud</t>
        </is>
      </c>
      <c r="E1533" s="33" t="inlineStr">
        <is>
          <t>508643</t>
        </is>
      </c>
      <c r="F1533" s="33" t="inlineStr">
        <is>
          <t>184118336</t>
        </is>
      </c>
      <c r="G1533" s="51" t="n">
        <v>46246</v>
      </c>
      <c r="H1533" s="33" t="inlineStr">
        <is>
          <t>European Championships</t>
        </is>
      </c>
      <c r="I1533" s="33" t="inlineStr">
        <is>
          <t>390252</t>
        </is>
      </c>
      <c r="J1533" s="33" t="inlineStr"/>
      <c r="K1533" s="33" t="inlineStr">
        <is>
          <t>FIN</t>
        </is>
      </c>
      <c r="L1533" s="35">
        <f>IF(K1533="FIN",3,IF(OR(K1533="SEM",K1533="SEMI"),2,IF(OR(K1533="PRE",K1533="HEAT"),1,IF(V1533="YES",4,2))))</f>
        <v/>
      </c>
      <c r="M1533" s="33" t="inlineStr">
        <is>
          <t>LCM</t>
        </is>
      </c>
      <c r="N1533" s="33" t="n">
        <v>100</v>
      </c>
      <c r="O1533" s="33" t="inlineStr">
        <is>
          <t>Free</t>
        </is>
      </c>
      <c r="P1533" s="33" t="inlineStr">
        <is>
          <t>100 Free</t>
        </is>
      </c>
      <c r="Q1533" s="33" t="inlineStr">
        <is>
          <t>LCM_100_FREE</t>
        </is>
      </c>
      <c r="R1533" s="36" t="n">
        <v>46.87</v>
      </c>
      <c r="S1533" s="35">
        <f>IF(R1533="","",IF(R1533&gt;=60,INT(R1533/60)&amp;":"&amp;TEXT(MOD(R1533,60),"00.00"),TEXT(R1533,"0.00")))</f>
        <v/>
      </c>
      <c r="T1533" s="52">
        <f>IFERROR((G1533-INDEX('01_Swimmers'!$E$5:$E$22,MATCH(B1533,'01_Swimmers'!$A$5:$A$22,0)))/'00_Control'!$B$10,"")</f>
        <v/>
      </c>
      <c r="U1533" s="35">
        <f>IF(T1533="","",INT(T1533))</f>
        <v/>
      </c>
      <c r="V1533" s="33" t="inlineStr">
        <is>
          <t>NO</t>
        </is>
      </c>
      <c r="W1533" s="33" t="inlineStr">
        <is>
          <t>YES</t>
        </is>
      </c>
      <c r="X1533" s="33" t="inlineStr">
        <is>
          <t>NO</t>
        </is>
      </c>
      <c r="Y1533" s="33" t="n">
        <v>1</v>
      </c>
      <c r="Z1533" s="33" t="n">
        <v>1</v>
      </c>
      <c r="AA1533" s="33" t="inlineStr">
        <is>
          <t>3</t>
        </is>
      </c>
      <c r="AB1533" s="33" t="inlineStr">
        <is>
          <t>https://www.swimcloud.com/results/390252/event/10/?id=184118336#time184118336</t>
        </is>
      </c>
      <c r="AC1533" s="33" t="inlineStr">
        <is>
          <t>SwimCloud API v6 2026-10-08</t>
        </is>
      </c>
      <c r="AD1533" s="33" t="inlineStr">
        <is>
          <t>Kristof Milak|2026-08-12|LCM|100|Free|46.87|European Championships|FIN|False</t>
        </is>
      </c>
      <c r="AE1533" s="53">
        <f>G1533+L1533/1000+ROW()/1000000000</f>
        <v/>
      </c>
      <c r="AF1533" s="35">
        <f>IF(C1533&lt;&gt;"Grayson Coulter","",COUNTIFS($C$5:$C$2991,"Grayson Coulter",$Q$5:$Q$2991,Q1533,$AE$5:$AE$2991,"&lt;="&amp;AE1533,$R$5:$R$2991,"&lt;"&amp;R1533))</f>
        <v/>
      </c>
      <c r="AG1533" s="35">
        <f>IF(OR(C1533&lt;&gt;"Grayson Coulter",G1533&lt;'00_Control'!$B$7),"",--(AF1533&lt;5))</f>
        <v/>
      </c>
      <c r="AH1533" s="35">
        <f>IF(OR(C1533&lt;&gt;"Grayson Coulter",G1533&lt;'00_Control'!$B$7),"",--(AF1533&lt;10))</f>
        <v/>
      </c>
      <c r="AI1533" s="35">
        <f>IF(AND(C1533="Grayson Coulter",G1533&gt;='00_Control'!$B$7),"YES","NO")</f>
        <v/>
      </c>
      <c r="AJ1533" s="33" t="inlineStr">
        <is>
          <t>OK</t>
        </is>
      </c>
    </row>
    <row r="1534">
      <c r="A1534" s="33" t="inlineStr">
        <is>
          <t>SM001530</t>
        </is>
      </c>
      <c r="B1534" s="33" t="inlineStr">
        <is>
          <t>SW018</t>
        </is>
      </c>
      <c r="C1534" s="33" t="inlineStr">
        <is>
          <t>Kristof Milak</t>
        </is>
      </c>
      <c r="D1534" s="33" t="inlineStr">
        <is>
          <t>SwimCloud</t>
        </is>
      </c>
      <c r="E1534" s="33" t="inlineStr">
        <is>
          <t>508643</t>
        </is>
      </c>
      <c r="F1534" s="33" t="inlineStr">
        <is>
          <t>184118333</t>
        </is>
      </c>
      <c r="G1534" s="51" t="n">
        <v>46247</v>
      </c>
      <c r="H1534" s="33" t="inlineStr">
        <is>
          <t>European Championships</t>
        </is>
      </c>
      <c r="I1534" s="33" t="inlineStr">
        <is>
          <t>390252</t>
        </is>
      </c>
      <c r="J1534" s="33" t="inlineStr"/>
      <c r="K1534" s="33" t="inlineStr">
        <is>
          <t>FIN</t>
        </is>
      </c>
      <c r="L1534" s="35">
        <f>IF(K1534="FIN",3,IF(OR(K1534="SEM",K1534="SEMI"),2,IF(OR(K1534="PRE",K1534="HEAT"),1,IF(V1534="YES",4,2))))</f>
        <v/>
      </c>
      <c r="M1534" s="33" t="inlineStr">
        <is>
          <t>LCM</t>
        </is>
      </c>
      <c r="N1534" s="33" t="n">
        <v>100</v>
      </c>
      <c r="O1534" s="33" t="inlineStr">
        <is>
          <t>Fly</t>
        </is>
      </c>
      <c r="P1534" s="33" t="inlineStr">
        <is>
          <t>100 Fly</t>
        </is>
      </c>
      <c r="Q1534" s="33" t="inlineStr">
        <is>
          <t>LCM_100_FLY</t>
        </is>
      </c>
      <c r="R1534" s="36" t="n">
        <v>49.48</v>
      </c>
      <c r="S1534" s="35">
        <f>IF(R1534="","",IF(R1534&gt;=60,INT(R1534/60)&amp;":"&amp;TEXT(MOD(R1534,60),"00.00"),TEXT(R1534,"0.00")))</f>
        <v/>
      </c>
      <c r="T1534" s="52">
        <f>IFERROR((G1534-INDEX('01_Swimmers'!$E$5:$E$22,MATCH(B1534,'01_Swimmers'!$A$5:$A$22,0)))/'00_Control'!$B$10,"")</f>
        <v/>
      </c>
      <c r="U1534" s="35">
        <f>IF(T1534="","",INT(T1534))</f>
        <v/>
      </c>
      <c r="V1534" s="33" t="inlineStr">
        <is>
          <t>NO</t>
        </is>
      </c>
      <c r="W1534" s="33" t="inlineStr">
        <is>
          <t>YES</t>
        </is>
      </c>
      <c r="X1534" s="33" t="inlineStr">
        <is>
          <t>NO</t>
        </is>
      </c>
      <c r="Y1534" s="33" t="n">
        <v>1</v>
      </c>
      <c r="Z1534" s="33" t="n">
        <v>5</v>
      </c>
      <c r="AA1534" s="33" t="inlineStr">
        <is>
          <t>1</t>
        </is>
      </c>
      <c r="AB1534" s="33" t="inlineStr">
        <is>
          <t>https://www.swimcloud.com/results/390252/event/16/?id=184118333#time184118333</t>
        </is>
      </c>
      <c r="AC1534" s="33" t="inlineStr">
        <is>
          <t>SwimCloud API v6 2026-10-08</t>
        </is>
      </c>
      <c r="AD1534" s="33" t="inlineStr">
        <is>
          <t>Kristof Milak|2026-08-13|LCM|100|Fly|49.48|European Championships|FIN|False</t>
        </is>
      </c>
      <c r="AE1534" s="53">
        <f>G1534+L1534/1000+ROW()/1000000000</f>
        <v/>
      </c>
      <c r="AF1534" s="35">
        <f>IF(C1534&lt;&gt;"Grayson Coulter","",COUNTIFS($C$5:$C$2991,"Grayson Coulter",$Q$5:$Q$2991,Q1534,$AE$5:$AE$2991,"&lt;="&amp;AE1534,$R$5:$R$2991,"&lt;"&amp;R1534))</f>
        <v/>
      </c>
      <c r="AG1534" s="35">
        <f>IF(OR(C1534&lt;&gt;"Grayson Coulter",G1534&lt;'00_Control'!$B$7),"",--(AF1534&lt;5))</f>
        <v/>
      </c>
      <c r="AH1534" s="35">
        <f>IF(OR(C1534&lt;&gt;"Grayson Coulter",G1534&lt;'00_Control'!$B$7),"",--(AF1534&lt;10))</f>
        <v/>
      </c>
      <c r="AI1534" s="35">
        <f>IF(AND(C1534="Grayson Coulter",G1534&gt;='00_Control'!$B$7),"YES","NO")</f>
        <v/>
      </c>
      <c r="AJ1534" s="33" t="inlineStr">
        <is>
          <t>OK</t>
        </is>
      </c>
    </row>
    <row r="1535">
      <c r="A1535" s="33" t="inlineStr">
        <is>
          <t>SM001531</t>
        </is>
      </c>
      <c r="B1535" s="33" t="inlineStr">
        <is>
          <t>SW011</t>
        </is>
      </c>
      <c r="C1535" s="33" t="inlineStr">
        <is>
          <t>Kyle Chalmers</t>
        </is>
      </c>
      <c r="D1535" s="33" t="inlineStr">
        <is>
          <t>SwimCloud</t>
        </is>
      </c>
      <c r="E1535" s="33" t="inlineStr">
        <is>
          <t>419989</t>
        </is>
      </c>
      <c r="F1535" s="33" t="inlineStr">
        <is>
          <t>7867366</t>
        </is>
      </c>
      <c r="G1535" s="51" t="n">
        <v>42245</v>
      </c>
      <c r="H1535" s="33" t="inlineStr">
        <is>
          <t>5th FINA World Junior Championships</t>
        </is>
      </c>
      <c r="I1535" s="33" t="inlineStr">
        <is>
          <t>64836</t>
        </is>
      </c>
      <c r="J1535" s="33" t="inlineStr"/>
      <c r="K1535" s="33" t="inlineStr">
        <is>
          <t>TIM</t>
        </is>
      </c>
      <c r="L1535" s="35">
        <f>IF(K1535="FIN",3,IF(OR(K1535="SEM",K1535="SEMI"),2,IF(OR(K1535="PRE",K1535="HEAT"),1,IF(V1535="YES",4,2))))</f>
        <v/>
      </c>
      <c r="M1535" s="33" t="inlineStr">
        <is>
          <t>LCM</t>
        </is>
      </c>
      <c r="N1535" s="33" t="n">
        <v>100</v>
      </c>
      <c r="O1535" s="33" t="inlineStr">
        <is>
          <t>Free</t>
        </is>
      </c>
      <c r="P1535" s="33" t="inlineStr">
        <is>
          <t>100 Free</t>
        </is>
      </c>
      <c r="Q1535" s="33" t="inlineStr">
        <is>
          <t>LCM_100_FREE</t>
        </is>
      </c>
      <c r="R1535" s="36" t="n">
        <v>49.65</v>
      </c>
      <c r="S1535" s="35">
        <f>IF(R1535="","",IF(R1535&gt;=60,INT(R1535/60)&amp;":"&amp;TEXT(MOD(R1535,60),"00.00"),TEXT(R1535,"0.00")))</f>
        <v/>
      </c>
      <c r="T1535" s="52">
        <f>IFERROR((G1535-INDEX('01_Swimmers'!$E$5:$E$22,MATCH(B1535,'01_Swimmers'!$A$5:$A$22,0)))/'00_Control'!$B$10,"")</f>
        <v/>
      </c>
      <c r="U1535" s="35">
        <f>IF(T1535="","",INT(T1535))</f>
        <v/>
      </c>
      <c r="V1535" s="33" t="inlineStr">
        <is>
          <t>NO</t>
        </is>
      </c>
      <c r="W1535" s="33" t="inlineStr">
        <is>
          <t>YES</t>
        </is>
      </c>
      <c r="X1535" s="33" t="inlineStr">
        <is>
          <t>NO</t>
        </is>
      </c>
      <c r="Y1535" s="33" t="n">
        <v>0</v>
      </c>
      <c r="Z1535" s="33" t="n">
        <v>6</v>
      </c>
      <c r="AA1535" s="33" t="inlineStr"/>
      <c r="AB1535" s="33" t="inlineStr">
        <is>
          <t>https://www.swimcloud.com/results/64836/event/229/?id=7867366#time7867366</t>
        </is>
      </c>
      <c r="AC1535" s="33" t="inlineStr">
        <is>
          <t>SwimCloud API v6 2026-10-08</t>
        </is>
      </c>
      <c r="AD1535" s="33" t="inlineStr">
        <is>
          <t>Kyle Chalmers|2015-08-29|LCM|100|Free|49.65|5th FINA World Junior Championships|TIM|False</t>
        </is>
      </c>
      <c r="AE1535" s="53">
        <f>G1535+L1535/1000+ROW()/1000000000</f>
        <v/>
      </c>
      <c r="AF1535" s="35">
        <f>IF(C1535&lt;&gt;"Grayson Coulter","",COUNTIFS($C$5:$C$2991,"Grayson Coulter",$Q$5:$Q$2991,Q1535,$AE$5:$AE$2991,"&lt;="&amp;AE1535,$R$5:$R$2991,"&lt;"&amp;R1535))</f>
        <v/>
      </c>
      <c r="AG1535" s="35">
        <f>IF(OR(C1535&lt;&gt;"Grayson Coulter",G1535&lt;'00_Control'!$B$7),"",--(AF1535&lt;5))</f>
        <v/>
      </c>
      <c r="AH1535" s="35">
        <f>IF(OR(C1535&lt;&gt;"Grayson Coulter",G1535&lt;'00_Control'!$B$7),"",--(AF1535&lt;10))</f>
        <v/>
      </c>
      <c r="AI1535" s="35">
        <f>IF(AND(C1535="Grayson Coulter",G1535&gt;='00_Control'!$B$7),"YES","NO")</f>
        <v/>
      </c>
      <c r="AJ1535" s="33" t="inlineStr">
        <is>
          <t>OK</t>
        </is>
      </c>
    </row>
    <row r="1536">
      <c r="A1536" s="33" t="inlineStr">
        <is>
          <t>SM001532</t>
        </is>
      </c>
      <c r="B1536" s="33" t="inlineStr">
        <is>
          <t>SW011</t>
        </is>
      </c>
      <c r="C1536" s="33" t="inlineStr">
        <is>
          <t>Kyle Chalmers</t>
        </is>
      </c>
      <c r="D1536" s="33" t="inlineStr">
        <is>
          <t>SwimCloud</t>
        </is>
      </c>
      <c r="E1536" s="33" t="inlineStr">
        <is>
          <t>419989</t>
        </is>
      </c>
      <c r="F1536" s="33" t="inlineStr">
        <is>
          <t>7865253</t>
        </is>
      </c>
      <c r="G1536" s="51" t="n">
        <v>42245</v>
      </c>
      <c r="H1536" s="33" t="inlineStr">
        <is>
          <t>5th FINA World Junior Championships</t>
        </is>
      </c>
      <c r="I1536" s="33" t="inlineStr">
        <is>
          <t>64836</t>
        </is>
      </c>
      <c r="J1536" s="33" t="inlineStr"/>
      <c r="K1536" s="33" t="inlineStr">
        <is>
          <t>TIM</t>
        </is>
      </c>
      <c r="L1536" s="35">
        <f>IF(K1536="FIN",3,IF(OR(K1536="SEM",K1536="SEMI"),2,IF(OR(K1536="PRE",K1536="HEAT"),1,IF(V1536="YES",4,2))))</f>
        <v/>
      </c>
      <c r="M1536" s="33" t="inlineStr">
        <is>
          <t>LCM</t>
        </is>
      </c>
      <c r="N1536" s="33" t="n">
        <v>100</v>
      </c>
      <c r="O1536" s="33" t="inlineStr">
        <is>
          <t>Free</t>
        </is>
      </c>
      <c r="P1536" s="33" t="inlineStr">
        <is>
          <t>100 Free</t>
        </is>
      </c>
      <c r="Q1536" s="33" t="inlineStr">
        <is>
          <t>LCM_100_FREE</t>
        </is>
      </c>
      <c r="R1536" s="36" t="n">
        <v>50.2</v>
      </c>
      <c r="S1536" s="35">
        <f>IF(R1536="","",IF(R1536&gt;=60,INT(R1536/60)&amp;":"&amp;TEXT(MOD(R1536,60),"00.00"),TEXT(R1536,"0.00")))</f>
        <v/>
      </c>
      <c r="T1536" s="52">
        <f>IFERROR((G1536-INDEX('01_Swimmers'!$E$5:$E$22,MATCH(B1536,'01_Swimmers'!$A$5:$A$22,0)))/'00_Control'!$B$10,"")</f>
        <v/>
      </c>
      <c r="U1536" s="35">
        <f>IF(T1536="","",INT(T1536))</f>
        <v/>
      </c>
      <c r="V1536" s="33" t="inlineStr">
        <is>
          <t>NO</t>
        </is>
      </c>
      <c r="W1536" s="33" t="inlineStr">
        <is>
          <t>YES</t>
        </is>
      </c>
      <c r="X1536" s="33" t="inlineStr">
        <is>
          <t>NO</t>
        </is>
      </c>
      <c r="Y1536" s="33" t="n">
        <v>0</v>
      </c>
      <c r="Z1536" s="33" t="n">
        <v>5</v>
      </c>
      <c r="AA1536" s="33" t="inlineStr"/>
      <c r="AB1536" s="33" t="inlineStr">
        <is>
          <t>https://www.swimcloud.com/results/64836/event/29/?id=7865253#time7865253</t>
        </is>
      </c>
      <c r="AC1536" s="33" t="inlineStr">
        <is>
          <t>SwimCloud API v6 2026-10-08</t>
        </is>
      </c>
      <c r="AD1536" s="33" t="inlineStr">
        <is>
          <t>Kyle Chalmers|2015-08-29|LCM|100|Free|50.2|5th FINA World Junior Championships|TIM|False</t>
        </is>
      </c>
      <c r="AE1536" s="53">
        <f>G1536+L1536/1000+ROW()/1000000000</f>
        <v/>
      </c>
      <c r="AF1536" s="35">
        <f>IF(C1536&lt;&gt;"Grayson Coulter","",COUNTIFS($C$5:$C$2991,"Grayson Coulter",$Q$5:$Q$2991,Q1536,$AE$5:$AE$2991,"&lt;="&amp;AE1536,$R$5:$R$2991,"&lt;"&amp;R1536))</f>
        <v/>
      </c>
      <c r="AG1536" s="35">
        <f>IF(OR(C1536&lt;&gt;"Grayson Coulter",G1536&lt;'00_Control'!$B$7),"",--(AF1536&lt;5))</f>
        <v/>
      </c>
      <c r="AH1536" s="35">
        <f>IF(OR(C1536&lt;&gt;"Grayson Coulter",G1536&lt;'00_Control'!$B$7),"",--(AF1536&lt;10))</f>
        <v/>
      </c>
      <c r="AI1536" s="35">
        <f>IF(AND(C1536="Grayson Coulter",G1536&gt;='00_Control'!$B$7),"YES","NO")</f>
        <v/>
      </c>
      <c r="AJ1536" s="33" t="inlineStr">
        <is>
          <t>OK</t>
        </is>
      </c>
    </row>
    <row r="1537">
      <c r="A1537" s="33" t="inlineStr">
        <is>
          <t>SM001533</t>
        </is>
      </c>
      <c r="B1537" s="33" t="inlineStr">
        <is>
          <t>SW011</t>
        </is>
      </c>
      <c r="C1537" s="33" t="inlineStr">
        <is>
          <t>Kyle Chalmers</t>
        </is>
      </c>
      <c r="D1537" s="33" t="inlineStr">
        <is>
          <t>SwimCloud</t>
        </is>
      </c>
      <c r="E1537" s="33" t="inlineStr">
        <is>
          <t>419989</t>
        </is>
      </c>
      <c r="F1537" s="33" t="inlineStr">
        <is>
          <t>7867381</t>
        </is>
      </c>
      <c r="G1537" s="51" t="n">
        <v>42246</v>
      </c>
      <c r="H1537" s="33" t="inlineStr">
        <is>
          <t>5th FINA World Junior Championships</t>
        </is>
      </c>
      <c r="I1537" s="33" t="inlineStr">
        <is>
          <t>64836</t>
        </is>
      </c>
      <c r="J1537" s="33" t="inlineStr"/>
      <c r="K1537" s="33" t="inlineStr">
        <is>
          <t>TIM</t>
        </is>
      </c>
      <c r="L1537" s="35">
        <f>IF(K1537="FIN",3,IF(OR(K1537="SEM",K1537="SEMI"),2,IF(OR(K1537="PRE",K1537="HEAT"),1,IF(V1537="YES",4,2))))</f>
        <v/>
      </c>
      <c r="M1537" s="33" t="inlineStr">
        <is>
          <t>LCM</t>
        </is>
      </c>
      <c r="N1537" s="33" t="n">
        <v>100</v>
      </c>
      <c r="O1537" s="33" t="inlineStr">
        <is>
          <t>Free</t>
        </is>
      </c>
      <c r="P1537" s="33" t="inlineStr">
        <is>
          <t>100 Free</t>
        </is>
      </c>
      <c r="Q1537" s="33" t="inlineStr">
        <is>
          <t>LCM_100_FREE</t>
        </is>
      </c>
      <c r="R1537" s="36" t="n">
        <v>48.47</v>
      </c>
      <c r="S1537" s="35">
        <f>IF(R1537="","",IF(R1537&gt;=60,INT(R1537/60)&amp;":"&amp;TEXT(MOD(R1537,60),"00.00"),TEXT(R1537,"0.00")))</f>
        <v/>
      </c>
      <c r="T1537" s="52">
        <f>IFERROR((G1537-INDEX('01_Swimmers'!$E$5:$E$22,MATCH(B1537,'01_Swimmers'!$A$5:$A$22,0)))/'00_Control'!$B$10,"")</f>
        <v/>
      </c>
      <c r="U1537" s="35">
        <f>IF(T1537="","",INT(T1537))</f>
        <v/>
      </c>
      <c r="V1537" s="33" t="inlineStr">
        <is>
          <t>NO</t>
        </is>
      </c>
      <c r="W1537" s="33" t="inlineStr">
        <is>
          <t>YES</t>
        </is>
      </c>
      <c r="X1537" s="33" t="inlineStr">
        <is>
          <t>NO</t>
        </is>
      </c>
      <c r="Y1537" s="33" t="n">
        <v>0</v>
      </c>
      <c r="Z1537" s="33" t="n">
        <v>7</v>
      </c>
      <c r="AA1537" s="33" t="inlineStr"/>
      <c r="AB1537" s="33" t="inlineStr">
        <is>
          <t>https://www.swimcloud.com/results/64836/event/129/?id=7867381#time7867381</t>
        </is>
      </c>
      <c r="AC1537" s="33" t="inlineStr">
        <is>
          <t>SwimCloud API v6 2026-10-08</t>
        </is>
      </c>
      <c r="AD1537" s="33" t="inlineStr">
        <is>
          <t>Kyle Chalmers|2015-08-30|LCM|100|Free|48.47|5th FINA World Junior Championships|TIM|False</t>
        </is>
      </c>
      <c r="AE1537" s="53">
        <f>G1537+L1537/1000+ROW()/1000000000</f>
        <v/>
      </c>
      <c r="AF1537" s="35">
        <f>IF(C1537&lt;&gt;"Grayson Coulter","",COUNTIFS($C$5:$C$2991,"Grayson Coulter",$Q$5:$Q$2991,Q1537,$AE$5:$AE$2991,"&lt;="&amp;AE1537,$R$5:$R$2991,"&lt;"&amp;R1537))</f>
        <v/>
      </c>
      <c r="AG1537" s="35">
        <f>IF(OR(C1537&lt;&gt;"Grayson Coulter",G1537&lt;'00_Control'!$B$7),"",--(AF1537&lt;5))</f>
        <v/>
      </c>
      <c r="AH1537" s="35">
        <f>IF(OR(C1537&lt;&gt;"Grayson Coulter",G1537&lt;'00_Control'!$B$7),"",--(AF1537&lt;10))</f>
        <v/>
      </c>
      <c r="AI1537" s="35">
        <f>IF(AND(C1537="Grayson Coulter",G1537&gt;='00_Control'!$B$7),"YES","NO")</f>
        <v/>
      </c>
      <c r="AJ1537" s="33" t="inlineStr">
        <is>
          <t>OK</t>
        </is>
      </c>
    </row>
    <row r="1538">
      <c r="A1538" s="33" t="inlineStr">
        <is>
          <t>SM001534</t>
        </is>
      </c>
      <c r="B1538" s="33" t="inlineStr">
        <is>
          <t>SW011</t>
        </is>
      </c>
      <c r="C1538" s="33" t="inlineStr">
        <is>
          <t>Kyle Chalmers</t>
        </is>
      </c>
      <c r="D1538" s="33" t="inlineStr">
        <is>
          <t>SwimCloud</t>
        </is>
      </c>
      <c r="E1538" s="33" t="inlineStr">
        <is>
          <t>419989</t>
        </is>
      </c>
      <c r="F1538" s="33" t="inlineStr">
        <is>
          <t>66348959</t>
        </is>
      </c>
      <c r="G1538" s="51" t="n">
        <v>42280</v>
      </c>
      <c r="H1538" s="33" t="inlineStr">
        <is>
          <t>2015 FINA/AIRWEAVE SWIMMING WORLD CUP</t>
        </is>
      </c>
      <c r="I1538" s="33" t="inlineStr">
        <is>
          <t>230470</t>
        </is>
      </c>
      <c r="J1538" s="33" t="inlineStr"/>
      <c r="K1538" s="33" t="inlineStr">
        <is>
          <t>PRE</t>
        </is>
      </c>
      <c r="L1538" s="35">
        <f>IF(K1538="FIN",3,IF(OR(K1538="SEM",K1538="SEMI"),2,IF(OR(K1538="PRE",K1538="HEAT"),1,IF(V1538="YES",4,2))))</f>
        <v/>
      </c>
      <c r="M1538" s="33" t="inlineStr">
        <is>
          <t>LCM</t>
        </is>
      </c>
      <c r="N1538" s="33" t="n">
        <v>100</v>
      </c>
      <c r="O1538" s="33" t="inlineStr">
        <is>
          <t>Free</t>
        </is>
      </c>
      <c r="P1538" s="33" t="inlineStr">
        <is>
          <t>100 Free</t>
        </is>
      </c>
      <c r="Q1538" s="33" t="inlineStr">
        <is>
          <t>LCM_100_FREE</t>
        </is>
      </c>
      <c r="R1538" s="36" t="n">
        <v>50.86</v>
      </c>
      <c r="S1538" s="35">
        <f>IF(R1538="","",IF(R1538&gt;=60,INT(R1538/60)&amp;":"&amp;TEXT(MOD(R1538,60),"00.00"),TEXT(R1538,"0.00")))</f>
        <v/>
      </c>
      <c r="T1538" s="52">
        <f>IFERROR((G1538-INDEX('01_Swimmers'!$E$5:$E$22,MATCH(B1538,'01_Swimmers'!$A$5:$A$22,0)))/'00_Control'!$B$10,"")</f>
        <v/>
      </c>
      <c r="U1538" s="35">
        <f>IF(T1538="","",INT(T1538))</f>
        <v/>
      </c>
      <c r="V1538" s="33" t="inlineStr">
        <is>
          <t>NO</t>
        </is>
      </c>
      <c r="W1538" s="33" t="inlineStr">
        <is>
          <t>YES</t>
        </is>
      </c>
      <c r="X1538" s="33" t="inlineStr">
        <is>
          <t>NO</t>
        </is>
      </c>
      <c r="Y1538" s="33" t="n">
        <v>3</v>
      </c>
      <c r="Z1538" s="33" t="n">
        <v>5</v>
      </c>
      <c r="AA1538" s="33" t="inlineStr">
        <is>
          <t>4</t>
        </is>
      </c>
      <c r="AB1538" s="33" t="inlineStr">
        <is>
          <t>https://www.swimcloud.com/results/230470/event/1/?id=66348959#time66348959</t>
        </is>
      </c>
      <c r="AC1538" s="33" t="inlineStr">
        <is>
          <t>SwimCloud API v6 2026-10-08</t>
        </is>
      </c>
      <c r="AD1538" s="33" t="inlineStr">
        <is>
          <t>Kyle Chalmers|2015-10-03|LCM|100|Free|50.86|2015 FINA/AIRWEAVE SWIMMING WORLD CUP|PRE|False</t>
        </is>
      </c>
      <c r="AE1538" s="53">
        <f>G1538+L1538/1000+ROW()/1000000000</f>
        <v/>
      </c>
      <c r="AF1538" s="35">
        <f>IF(C1538&lt;&gt;"Grayson Coulter","",COUNTIFS($C$5:$C$2991,"Grayson Coulter",$Q$5:$Q$2991,Q1538,$AE$5:$AE$2991,"&lt;="&amp;AE1538,$R$5:$R$2991,"&lt;"&amp;R1538))</f>
        <v/>
      </c>
      <c r="AG1538" s="35">
        <f>IF(OR(C1538&lt;&gt;"Grayson Coulter",G1538&lt;'00_Control'!$B$7),"",--(AF1538&lt;5))</f>
        <v/>
      </c>
      <c r="AH1538" s="35">
        <f>IF(OR(C1538&lt;&gt;"Grayson Coulter",G1538&lt;'00_Control'!$B$7),"",--(AF1538&lt;10))</f>
        <v/>
      </c>
      <c r="AI1538" s="35">
        <f>IF(AND(C1538="Grayson Coulter",G1538&gt;='00_Control'!$B$7),"YES","NO")</f>
        <v/>
      </c>
      <c r="AJ1538" s="33" t="inlineStr">
        <is>
          <t>OK</t>
        </is>
      </c>
    </row>
    <row r="1539">
      <c r="A1539" s="33" t="inlineStr">
        <is>
          <t>SM001535</t>
        </is>
      </c>
      <c r="B1539" s="33" t="inlineStr">
        <is>
          <t>SW011</t>
        </is>
      </c>
      <c r="C1539" s="33" t="inlineStr">
        <is>
          <t>Kyle Chalmers</t>
        </is>
      </c>
      <c r="D1539" s="33" t="inlineStr">
        <is>
          <t>SwimCloud</t>
        </is>
      </c>
      <c r="E1539" s="33" t="inlineStr">
        <is>
          <t>419989</t>
        </is>
      </c>
      <c r="F1539" s="33" t="inlineStr">
        <is>
          <t>15004538</t>
        </is>
      </c>
      <c r="G1539" s="51" t="n">
        <v>42591</v>
      </c>
      <c r="H1539" s="33" t="inlineStr">
        <is>
          <t>2016 Olympic Games</t>
        </is>
      </c>
      <c r="I1539" s="33" t="inlineStr">
        <is>
          <t>106117</t>
        </is>
      </c>
      <c r="J1539" s="33" t="inlineStr"/>
      <c r="K1539" s="33" t="inlineStr">
        <is>
          <t>PRE</t>
        </is>
      </c>
      <c r="L1539" s="35">
        <f>IF(K1539="FIN",3,IF(OR(K1539="SEM",K1539="SEMI"),2,IF(OR(K1539="PRE",K1539="HEAT"),1,IF(V1539="YES",4,2))))</f>
        <v/>
      </c>
      <c r="M1539" s="33" t="inlineStr">
        <is>
          <t>LCM</t>
        </is>
      </c>
      <c r="N1539" s="33" t="n">
        <v>100</v>
      </c>
      <c r="O1539" s="33" t="inlineStr">
        <is>
          <t>Free</t>
        </is>
      </c>
      <c r="P1539" s="33" t="inlineStr">
        <is>
          <t>100 Free</t>
        </is>
      </c>
      <c r="Q1539" s="33" t="inlineStr">
        <is>
          <t>LCM_100_FREE</t>
        </is>
      </c>
      <c r="R1539" s="36" t="n">
        <v>47.88</v>
      </c>
      <c r="S1539" s="35">
        <f>IF(R1539="","",IF(R1539&gt;=60,INT(R1539/60)&amp;":"&amp;TEXT(MOD(R1539,60),"00.00"),TEXT(R1539,"0.00")))</f>
        <v/>
      </c>
      <c r="T1539" s="52">
        <f>IFERROR((G1539-INDEX('01_Swimmers'!$E$5:$E$22,MATCH(B1539,'01_Swimmers'!$A$5:$A$22,0)))/'00_Control'!$B$10,"")</f>
        <v/>
      </c>
      <c r="U1539" s="35">
        <f>IF(T1539="","",INT(T1539))</f>
        <v/>
      </c>
      <c r="V1539" s="33" t="inlineStr">
        <is>
          <t>NO</t>
        </is>
      </c>
      <c r="W1539" s="33" t="inlineStr">
        <is>
          <t>YES</t>
        </is>
      </c>
      <c r="X1539" s="33" t="inlineStr">
        <is>
          <t>NO</t>
        </is>
      </c>
      <c r="Y1539" s="33" t="n">
        <v>0</v>
      </c>
      <c r="Z1539" s="33" t="n"/>
      <c r="AA1539" s="33" t="inlineStr">
        <is>
          <t>2</t>
        </is>
      </c>
      <c r="AB1539" s="33" t="inlineStr">
        <is>
          <t>https://www.swimcloud.com/results/106117/event/4/?id=15004538#time15004538</t>
        </is>
      </c>
      <c r="AC1539" s="33" t="inlineStr">
        <is>
          <t>SwimCloud API v6 2026-10-08</t>
        </is>
      </c>
      <c r="AD1539" s="33" t="inlineStr">
        <is>
          <t>Kyle Chalmers|2016-08-09|LCM|100|Free|47.88|2016 Olympic Games|PRE|False</t>
        </is>
      </c>
      <c r="AE1539" s="53">
        <f>G1539+L1539/1000+ROW()/1000000000</f>
        <v/>
      </c>
      <c r="AF1539" s="35">
        <f>IF(C1539&lt;&gt;"Grayson Coulter","",COUNTIFS($C$5:$C$2991,"Grayson Coulter",$Q$5:$Q$2991,Q1539,$AE$5:$AE$2991,"&lt;="&amp;AE1539,$R$5:$R$2991,"&lt;"&amp;R1539))</f>
        <v/>
      </c>
      <c r="AG1539" s="35">
        <f>IF(OR(C1539&lt;&gt;"Grayson Coulter",G1539&lt;'00_Control'!$B$7),"",--(AF1539&lt;5))</f>
        <v/>
      </c>
      <c r="AH1539" s="35">
        <f>IF(OR(C1539&lt;&gt;"Grayson Coulter",G1539&lt;'00_Control'!$B$7),"",--(AF1539&lt;10))</f>
        <v/>
      </c>
      <c r="AI1539" s="35">
        <f>IF(AND(C1539="Grayson Coulter",G1539&gt;='00_Control'!$B$7),"YES","NO")</f>
        <v/>
      </c>
      <c r="AJ1539" s="33" t="inlineStr">
        <is>
          <t>OK</t>
        </is>
      </c>
    </row>
    <row r="1540">
      <c r="A1540" s="33" t="inlineStr">
        <is>
          <t>SM001536</t>
        </is>
      </c>
      <c r="B1540" s="33" t="inlineStr">
        <is>
          <t>SW011</t>
        </is>
      </c>
      <c r="C1540" s="33" t="inlineStr">
        <is>
          <t>Kyle Chalmers</t>
        </is>
      </c>
      <c r="D1540" s="33" t="inlineStr">
        <is>
          <t>SwimCloud</t>
        </is>
      </c>
      <c r="E1540" s="33" t="inlineStr">
        <is>
          <t>419989</t>
        </is>
      </c>
      <c r="F1540" s="33" t="inlineStr">
        <is>
          <t>15004546</t>
        </is>
      </c>
      <c r="G1540" s="51" t="n">
        <v>42591</v>
      </c>
      <c r="H1540" s="33" t="inlineStr">
        <is>
          <t>2016 Olympic Games</t>
        </is>
      </c>
      <c r="I1540" s="33" t="inlineStr">
        <is>
          <t>106117</t>
        </is>
      </c>
      <c r="J1540" s="33" t="inlineStr"/>
      <c r="K1540" s="33" t="inlineStr">
        <is>
          <t>PRE</t>
        </is>
      </c>
      <c r="L1540" s="35">
        <f>IF(K1540="FIN",3,IF(OR(K1540="SEM",K1540="SEMI"),2,IF(OR(K1540="PRE",K1540="HEAT"),1,IF(V1540="YES",4,2))))</f>
        <v/>
      </c>
      <c r="M1540" s="33" t="inlineStr">
        <is>
          <t>LCM</t>
        </is>
      </c>
      <c r="N1540" s="33" t="n">
        <v>100</v>
      </c>
      <c r="O1540" s="33" t="inlineStr">
        <is>
          <t>Free</t>
        </is>
      </c>
      <c r="P1540" s="33" t="inlineStr">
        <is>
          <t>100 Free</t>
        </is>
      </c>
      <c r="Q1540" s="33" t="inlineStr">
        <is>
          <t>LCM_100_FREE</t>
        </is>
      </c>
      <c r="R1540" s="36" t="n">
        <v>47.9</v>
      </c>
      <c r="S1540" s="35">
        <f>IF(R1540="","",IF(R1540&gt;=60,INT(R1540/60)&amp;":"&amp;TEXT(MOD(R1540,60),"00.00"),TEXT(R1540,"0.00")))</f>
        <v/>
      </c>
      <c r="T1540" s="52">
        <f>IFERROR((G1540-INDEX('01_Swimmers'!$E$5:$E$22,MATCH(B1540,'01_Swimmers'!$A$5:$A$22,0)))/'00_Control'!$B$10,"")</f>
        <v/>
      </c>
      <c r="U1540" s="35">
        <f>IF(T1540="","",INT(T1540))</f>
        <v/>
      </c>
      <c r="V1540" s="33" t="inlineStr">
        <is>
          <t>NO</t>
        </is>
      </c>
      <c r="W1540" s="33" t="inlineStr">
        <is>
          <t>YES</t>
        </is>
      </c>
      <c r="X1540" s="33" t="inlineStr">
        <is>
          <t>NO</t>
        </is>
      </c>
      <c r="Y1540" s="33" t="n">
        <v>0</v>
      </c>
      <c r="Z1540" s="33" t="n"/>
      <c r="AA1540" s="33" t="inlineStr">
        <is>
          <t>17</t>
        </is>
      </c>
      <c r="AB1540" s="33" t="inlineStr">
        <is>
          <t>https://www.swimcloud.com/results/106117/event/4/?id=15004546#time15004546</t>
        </is>
      </c>
      <c r="AC1540" s="33" t="inlineStr">
        <is>
          <t>SwimCloud API v6 2026-10-08</t>
        </is>
      </c>
      <c r="AD1540" s="33" t="inlineStr">
        <is>
          <t>Kyle Chalmers|2016-08-09|LCM|100|Free|47.9|2016 Olympic Games|PRE|False</t>
        </is>
      </c>
      <c r="AE1540" s="53">
        <f>G1540+L1540/1000+ROW()/1000000000</f>
        <v/>
      </c>
      <c r="AF1540" s="35">
        <f>IF(C1540&lt;&gt;"Grayson Coulter","",COUNTIFS($C$5:$C$2991,"Grayson Coulter",$Q$5:$Q$2991,Q1540,$AE$5:$AE$2991,"&lt;="&amp;AE1540,$R$5:$R$2991,"&lt;"&amp;R1540))</f>
        <v/>
      </c>
      <c r="AG1540" s="35">
        <f>IF(OR(C1540&lt;&gt;"Grayson Coulter",G1540&lt;'00_Control'!$B$7),"",--(AF1540&lt;5))</f>
        <v/>
      </c>
      <c r="AH1540" s="35">
        <f>IF(OR(C1540&lt;&gt;"Grayson Coulter",G1540&lt;'00_Control'!$B$7),"",--(AF1540&lt;10))</f>
        <v/>
      </c>
      <c r="AI1540" s="35">
        <f>IF(AND(C1540="Grayson Coulter",G1540&gt;='00_Control'!$B$7),"YES","NO")</f>
        <v/>
      </c>
      <c r="AJ1540" s="33" t="inlineStr">
        <is>
          <t>OK</t>
        </is>
      </c>
    </row>
    <row r="1541">
      <c r="A1541" s="33" t="inlineStr">
        <is>
          <t>SM001537</t>
        </is>
      </c>
      <c r="B1541" s="33" t="inlineStr">
        <is>
          <t>SW011</t>
        </is>
      </c>
      <c r="C1541" s="33" t="inlineStr">
        <is>
          <t>Kyle Chalmers</t>
        </is>
      </c>
      <c r="D1541" s="33" t="inlineStr">
        <is>
          <t>SwimCloud</t>
        </is>
      </c>
      <c r="E1541" s="33" t="inlineStr">
        <is>
          <t>419989</t>
        </is>
      </c>
      <c r="F1541" s="33" t="inlineStr">
        <is>
          <t>15004613</t>
        </is>
      </c>
      <c r="G1541" s="51" t="n">
        <v>42591</v>
      </c>
      <c r="H1541" s="33" t="inlineStr">
        <is>
          <t>2016 Olympic Games</t>
        </is>
      </c>
      <c r="I1541" s="33" t="inlineStr">
        <is>
          <t>106117</t>
        </is>
      </c>
      <c r="J1541" s="33" t="inlineStr"/>
      <c r="K1541" s="33" t="inlineStr">
        <is>
          <t>FIN</t>
        </is>
      </c>
      <c r="L1541" s="35">
        <f>IF(K1541="FIN",3,IF(OR(K1541="SEM",K1541="SEMI"),2,IF(OR(K1541="PRE",K1541="HEAT"),1,IF(V1541="YES",4,2))))</f>
        <v/>
      </c>
      <c r="M1541" s="33" t="inlineStr">
        <is>
          <t>LCM</t>
        </is>
      </c>
      <c r="N1541" s="33" t="n">
        <v>100</v>
      </c>
      <c r="O1541" s="33" t="inlineStr">
        <is>
          <t>Free</t>
        </is>
      </c>
      <c r="P1541" s="33" t="inlineStr">
        <is>
          <t>100 Free</t>
        </is>
      </c>
      <c r="Q1541" s="33" t="inlineStr">
        <is>
          <t>LCM_100_FREE</t>
        </is>
      </c>
      <c r="R1541" s="36" t="n">
        <v>47.58</v>
      </c>
      <c r="S1541" s="35">
        <f>IF(R1541="","",IF(R1541&gt;=60,INT(R1541/60)&amp;":"&amp;TEXT(MOD(R1541,60),"00.00"),TEXT(R1541,"0.00")))</f>
        <v/>
      </c>
      <c r="T1541" s="52">
        <f>IFERROR((G1541-INDEX('01_Swimmers'!$E$5:$E$22,MATCH(B1541,'01_Swimmers'!$A$5:$A$22,0)))/'00_Control'!$B$10,"")</f>
        <v/>
      </c>
      <c r="U1541" s="35">
        <f>IF(T1541="","",INT(T1541))</f>
        <v/>
      </c>
      <c r="V1541" s="33" t="inlineStr">
        <is>
          <t>NO</t>
        </is>
      </c>
      <c r="W1541" s="33" t="inlineStr">
        <is>
          <t>YES</t>
        </is>
      </c>
      <c r="X1541" s="33" t="inlineStr">
        <is>
          <t>NO</t>
        </is>
      </c>
      <c r="Y1541" s="33" t="n">
        <v>0</v>
      </c>
      <c r="Z1541" s="33" t="n"/>
      <c r="AA1541" s="33" t="inlineStr">
        <is>
          <t>1</t>
        </is>
      </c>
      <c r="AB1541" s="33" t="inlineStr">
        <is>
          <t>https://www.swimcloud.com/results/106117/event/4/?id=15004613#time15004613</t>
        </is>
      </c>
      <c r="AC1541" s="33" t="inlineStr">
        <is>
          <t>SwimCloud API v6 2026-10-08</t>
        </is>
      </c>
      <c r="AD1541" s="33" t="inlineStr">
        <is>
          <t>Kyle Chalmers|2016-08-09|LCM|100|Free|47.58|2016 Olympic Games|FIN|False</t>
        </is>
      </c>
      <c r="AE1541" s="53">
        <f>G1541+L1541/1000+ROW()/1000000000</f>
        <v/>
      </c>
      <c r="AF1541" s="35">
        <f>IF(C1541&lt;&gt;"Grayson Coulter","",COUNTIFS($C$5:$C$2991,"Grayson Coulter",$Q$5:$Q$2991,Q1541,$AE$5:$AE$2991,"&lt;="&amp;AE1541,$R$5:$R$2991,"&lt;"&amp;R1541))</f>
        <v/>
      </c>
      <c r="AG1541" s="35">
        <f>IF(OR(C1541&lt;&gt;"Grayson Coulter",G1541&lt;'00_Control'!$B$7),"",--(AF1541&lt;5))</f>
        <v/>
      </c>
      <c r="AH1541" s="35">
        <f>IF(OR(C1541&lt;&gt;"Grayson Coulter",G1541&lt;'00_Control'!$B$7),"",--(AF1541&lt;10))</f>
        <v/>
      </c>
      <c r="AI1541" s="35">
        <f>IF(AND(C1541="Grayson Coulter",G1541&gt;='00_Control'!$B$7),"YES","NO")</f>
        <v/>
      </c>
      <c r="AJ1541" s="33" t="inlineStr">
        <is>
          <t>OK</t>
        </is>
      </c>
    </row>
    <row r="1542">
      <c r="A1542" s="33" t="inlineStr">
        <is>
          <t>SM001538</t>
        </is>
      </c>
      <c r="B1542" s="33" t="inlineStr">
        <is>
          <t>SW011</t>
        </is>
      </c>
      <c r="C1542" s="33" t="inlineStr">
        <is>
          <t>Kyle Chalmers</t>
        </is>
      </c>
      <c r="D1542" s="33" t="inlineStr">
        <is>
          <t>SwimCloud</t>
        </is>
      </c>
      <c r="E1542" s="33" t="inlineStr">
        <is>
          <t>419989</t>
        </is>
      </c>
      <c r="F1542" s="33" t="inlineStr">
        <is>
          <t>66339129</t>
        </is>
      </c>
      <c r="G1542" s="51" t="n">
        <v>42664</v>
      </c>
      <c r="H1542" s="33" t="inlineStr">
        <is>
          <t>2016 FINA/AIRWEAVE SWIMMING WORLD CUP</t>
        </is>
      </c>
      <c r="I1542" s="33" t="inlineStr">
        <is>
          <t>230479</t>
        </is>
      </c>
      <c r="J1542" s="33" t="inlineStr"/>
      <c r="K1542" s="33" t="inlineStr">
        <is>
          <t>PRE</t>
        </is>
      </c>
      <c r="L1542" s="35">
        <f>IF(K1542="FIN",3,IF(OR(K1542="SEM",K1542="SEMI"),2,IF(OR(K1542="PRE",K1542="HEAT"),1,IF(V1542="YES",4,2))))</f>
        <v/>
      </c>
      <c r="M1542" s="33" t="inlineStr">
        <is>
          <t>SCM</t>
        </is>
      </c>
      <c r="N1542" s="33" t="n">
        <v>100</v>
      </c>
      <c r="O1542" s="33" t="inlineStr">
        <is>
          <t>Free</t>
        </is>
      </c>
      <c r="P1542" s="33" t="inlineStr">
        <is>
          <t>100 Free</t>
        </is>
      </c>
      <c r="Q1542" s="33" t="inlineStr">
        <is>
          <t>SCM_100_FREE</t>
        </is>
      </c>
      <c r="R1542" s="36" t="n">
        <v>47.4</v>
      </c>
      <c r="S1542" s="35">
        <f>IF(R1542="","",IF(R1542&gt;=60,INT(R1542/60)&amp;":"&amp;TEXT(MOD(R1542,60),"00.00"),TEXT(R1542,"0.00")))</f>
        <v/>
      </c>
      <c r="T1542" s="52">
        <f>IFERROR((G1542-INDEX('01_Swimmers'!$E$5:$E$22,MATCH(B1542,'01_Swimmers'!$A$5:$A$22,0)))/'00_Control'!$B$10,"")</f>
        <v/>
      </c>
      <c r="U1542" s="35">
        <f>IF(T1542="","",INT(T1542))</f>
        <v/>
      </c>
      <c r="V1542" s="33" t="inlineStr">
        <is>
          <t>NO</t>
        </is>
      </c>
      <c r="W1542" s="33" t="inlineStr">
        <is>
          <t>YES</t>
        </is>
      </c>
      <c r="X1542" s="33" t="inlineStr">
        <is>
          <t>NO</t>
        </is>
      </c>
      <c r="Y1542" s="33" t="n">
        <v>4</v>
      </c>
      <c r="Z1542" s="33" t="n">
        <v>4</v>
      </c>
      <c r="AA1542" s="33" t="inlineStr">
        <is>
          <t>1</t>
        </is>
      </c>
      <c r="AB1542" s="33" t="inlineStr">
        <is>
          <t>https://www.swimcloud.com/results/230479/event/1/?id=66339129#time66339129</t>
        </is>
      </c>
      <c r="AC1542" s="33" t="inlineStr">
        <is>
          <t>SwimCloud API v6 2026-10-08</t>
        </is>
      </c>
      <c r="AD1542" s="33" t="inlineStr">
        <is>
          <t>Kyle Chalmers|2016-10-21|SCM|100|Free|47.4|2016 FINA/AIRWEAVE SWIMMING WORLD CUP|PRE|False</t>
        </is>
      </c>
      <c r="AE1542" s="53">
        <f>G1542+L1542/1000+ROW()/1000000000</f>
        <v/>
      </c>
      <c r="AF1542" s="35">
        <f>IF(C1542&lt;&gt;"Grayson Coulter","",COUNTIFS($C$5:$C$2991,"Grayson Coulter",$Q$5:$Q$2991,Q1542,$AE$5:$AE$2991,"&lt;="&amp;AE1542,$R$5:$R$2991,"&lt;"&amp;R1542))</f>
        <v/>
      </c>
      <c r="AG1542" s="35">
        <f>IF(OR(C1542&lt;&gt;"Grayson Coulter",G1542&lt;'00_Control'!$B$7),"",--(AF1542&lt;5))</f>
        <v/>
      </c>
      <c r="AH1542" s="35">
        <f>IF(OR(C1542&lt;&gt;"Grayson Coulter",G1542&lt;'00_Control'!$B$7),"",--(AF1542&lt;10))</f>
        <v/>
      </c>
      <c r="AI1542" s="35">
        <f>IF(AND(C1542="Grayson Coulter",G1542&gt;='00_Control'!$B$7),"YES","NO")</f>
        <v/>
      </c>
      <c r="AJ1542" s="33" t="inlineStr">
        <is>
          <t>OK</t>
        </is>
      </c>
    </row>
    <row r="1543">
      <c r="A1543" s="33" t="inlineStr">
        <is>
          <t>SM001539</t>
        </is>
      </c>
      <c r="B1543" s="33" t="inlineStr">
        <is>
          <t>SW011</t>
        </is>
      </c>
      <c r="C1543" s="33" t="inlineStr">
        <is>
          <t>Kyle Chalmers</t>
        </is>
      </c>
      <c r="D1543" s="33" t="inlineStr">
        <is>
          <t>SwimCloud</t>
        </is>
      </c>
      <c r="E1543" s="33" t="inlineStr">
        <is>
          <t>419989</t>
        </is>
      </c>
      <c r="F1543" s="33" t="inlineStr">
        <is>
          <t>66339130</t>
        </is>
      </c>
      <c r="G1543" s="51" t="n">
        <v>42664</v>
      </c>
      <c r="H1543" s="33" t="inlineStr">
        <is>
          <t>2016 FINA/AIRWEAVE SWIMMING WORLD CUP</t>
        </is>
      </c>
      <c r="I1543" s="33" t="inlineStr">
        <is>
          <t>230479</t>
        </is>
      </c>
      <c r="J1543" s="33" t="inlineStr"/>
      <c r="K1543" s="33" t="inlineStr">
        <is>
          <t>FIN</t>
        </is>
      </c>
      <c r="L1543" s="35">
        <f>IF(K1543="FIN",3,IF(OR(K1543="SEM",K1543="SEMI"),2,IF(OR(K1543="PRE",K1543="HEAT"),1,IF(V1543="YES",4,2))))</f>
        <v/>
      </c>
      <c r="M1543" s="33" t="inlineStr">
        <is>
          <t>SCM</t>
        </is>
      </c>
      <c r="N1543" s="33" t="n">
        <v>100</v>
      </c>
      <c r="O1543" s="33" t="inlineStr">
        <is>
          <t>Free</t>
        </is>
      </c>
      <c r="P1543" s="33" t="inlineStr">
        <is>
          <t>100 Free</t>
        </is>
      </c>
      <c r="Q1543" s="33" t="inlineStr">
        <is>
          <t>SCM_100_FREE</t>
        </is>
      </c>
      <c r="R1543" s="36" t="n">
        <v>46.61</v>
      </c>
      <c r="S1543" s="35">
        <f>IF(R1543="","",IF(R1543&gt;=60,INT(R1543/60)&amp;":"&amp;TEXT(MOD(R1543,60),"00.00"),TEXT(R1543,"0.00")))</f>
        <v/>
      </c>
      <c r="T1543" s="52">
        <f>IFERROR((G1543-INDEX('01_Swimmers'!$E$5:$E$22,MATCH(B1543,'01_Swimmers'!$A$5:$A$22,0)))/'00_Control'!$B$10,"")</f>
        <v/>
      </c>
      <c r="U1543" s="35">
        <f>IF(T1543="","",INT(T1543))</f>
        <v/>
      </c>
      <c r="V1543" s="33" t="inlineStr">
        <is>
          <t>NO</t>
        </is>
      </c>
      <c r="W1543" s="33" t="inlineStr">
        <is>
          <t>YES</t>
        </is>
      </c>
      <c r="X1543" s="33" t="inlineStr">
        <is>
          <t>NO</t>
        </is>
      </c>
      <c r="Y1543" s="33" t="n">
        <v>1</v>
      </c>
      <c r="Z1543" s="33" t="n">
        <v>4</v>
      </c>
      <c r="AA1543" s="33" t="inlineStr">
        <is>
          <t>2</t>
        </is>
      </c>
      <c r="AB1543" s="33" t="inlineStr">
        <is>
          <t>https://www.swimcloud.com/results/230479/event/1/?id=66339130#time66339130</t>
        </is>
      </c>
      <c r="AC1543" s="33" t="inlineStr">
        <is>
          <t>SwimCloud API v6 2026-10-08</t>
        </is>
      </c>
      <c r="AD1543" s="33" t="inlineStr">
        <is>
          <t>Kyle Chalmers|2016-10-21|SCM|100|Free|46.61|2016 FINA/AIRWEAVE SWIMMING WORLD CUP|FIN|False</t>
        </is>
      </c>
      <c r="AE1543" s="53">
        <f>G1543+L1543/1000+ROW()/1000000000</f>
        <v/>
      </c>
      <c r="AF1543" s="35">
        <f>IF(C1543&lt;&gt;"Grayson Coulter","",COUNTIFS($C$5:$C$2991,"Grayson Coulter",$Q$5:$Q$2991,Q1543,$AE$5:$AE$2991,"&lt;="&amp;AE1543,$R$5:$R$2991,"&lt;"&amp;R1543))</f>
        <v/>
      </c>
      <c r="AG1543" s="35">
        <f>IF(OR(C1543&lt;&gt;"Grayson Coulter",G1543&lt;'00_Control'!$B$7),"",--(AF1543&lt;5))</f>
        <v/>
      </c>
      <c r="AH1543" s="35">
        <f>IF(OR(C1543&lt;&gt;"Grayson Coulter",G1543&lt;'00_Control'!$B$7),"",--(AF1543&lt;10))</f>
        <v/>
      </c>
      <c r="AI1543" s="35">
        <f>IF(AND(C1543="Grayson Coulter",G1543&gt;='00_Control'!$B$7),"YES","NO")</f>
        <v/>
      </c>
      <c r="AJ1543" s="33" t="inlineStr">
        <is>
          <t>OK</t>
        </is>
      </c>
    </row>
    <row r="1544">
      <c r="A1544" s="33" t="inlineStr">
        <is>
          <t>SM001540</t>
        </is>
      </c>
      <c r="B1544" s="33" t="inlineStr">
        <is>
          <t>SW011</t>
        </is>
      </c>
      <c r="C1544" s="33" t="inlineStr">
        <is>
          <t>Kyle Chalmers</t>
        </is>
      </c>
      <c r="D1544" s="33" t="inlineStr">
        <is>
          <t>SwimCloud</t>
        </is>
      </c>
      <c r="E1544" s="33" t="inlineStr">
        <is>
          <t>419989</t>
        </is>
      </c>
      <c r="F1544" s="33" t="inlineStr">
        <is>
          <t>66339134</t>
        </is>
      </c>
      <c r="G1544" s="51" t="n">
        <v>42665</v>
      </c>
      <c r="H1544" s="33" t="inlineStr">
        <is>
          <t>2016 FINA/AIRWEAVE SWIMMING WORLD CUP</t>
        </is>
      </c>
      <c r="I1544" s="33" t="inlineStr">
        <is>
          <t>230479</t>
        </is>
      </c>
      <c r="J1544" s="33" t="inlineStr"/>
      <c r="K1544" s="33" t="inlineStr">
        <is>
          <t>PRE</t>
        </is>
      </c>
      <c r="L1544" s="35">
        <f>IF(K1544="FIN",3,IF(OR(K1544="SEM",K1544="SEMI"),2,IF(OR(K1544="PRE",K1544="HEAT"),1,IF(V1544="YES",4,2))))</f>
        <v/>
      </c>
      <c r="M1544" s="33" t="inlineStr">
        <is>
          <t>SCM</t>
        </is>
      </c>
      <c r="N1544" s="33" t="n">
        <v>100</v>
      </c>
      <c r="O1544" s="33" t="inlineStr">
        <is>
          <t>Fly</t>
        </is>
      </c>
      <c r="P1544" s="33" t="inlineStr">
        <is>
          <t>100 Fly</t>
        </is>
      </c>
      <c r="Q1544" s="33" t="inlineStr">
        <is>
          <t>SCM_100_FLY</t>
        </is>
      </c>
      <c r="R1544" s="36" t="n">
        <v>52.49</v>
      </c>
      <c r="S1544" s="35">
        <f>IF(R1544="","",IF(R1544&gt;=60,INT(R1544/60)&amp;":"&amp;TEXT(MOD(R1544,60),"00.00"),TEXT(R1544,"0.00")))</f>
        <v/>
      </c>
      <c r="T1544" s="52">
        <f>IFERROR((G1544-INDEX('01_Swimmers'!$E$5:$E$22,MATCH(B1544,'01_Swimmers'!$A$5:$A$22,0)))/'00_Control'!$B$10,"")</f>
        <v/>
      </c>
      <c r="U1544" s="35">
        <f>IF(T1544="","",INT(T1544))</f>
        <v/>
      </c>
      <c r="V1544" s="33" t="inlineStr">
        <is>
          <t>NO</t>
        </is>
      </c>
      <c r="W1544" s="33" t="inlineStr">
        <is>
          <t>YES</t>
        </is>
      </c>
      <c r="X1544" s="33" t="inlineStr">
        <is>
          <t>NO</t>
        </is>
      </c>
      <c r="Y1544" s="33" t="n">
        <v>1</v>
      </c>
      <c r="Z1544" s="33" t="n">
        <v>7</v>
      </c>
      <c r="AA1544" s="33" t="inlineStr">
        <is>
          <t>7</t>
        </is>
      </c>
      <c r="AB1544" s="33" t="inlineStr">
        <is>
          <t>https://www.swimcloud.com/results/230479/event/23/?id=66339134#time66339134</t>
        </is>
      </c>
      <c r="AC1544" s="33" t="inlineStr">
        <is>
          <t>SwimCloud API v6 2026-10-08</t>
        </is>
      </c>
      <c r="AD1544" s="33" t="inlineStr">
        <is>
          <t>Kyle Chalmers|2016-10-22|SCM|100|Fly|52.49|2016 FINA/AIRWEAVE SWIMMING WORLD CUP|PRE|False</t>
        </is>
      </c>
      <c r="AE1544" s="53">
        <f>G1544+L1544/1000+ROW()/1000000000</f>
        <v/>
      </c>
      <c r="AF1544" s="35">
        <f>IF(C1544&lt;&gt;"Grayson Coulter","",COUNTIFS($C$5:$C$2991,"Grayson Coulter",$Q$5:$Q$2991,Q1544,$AE$5:$AE$2991,"&lt;="&amp;AE1544,$R$5:$R$2991,"&lt;"&amp;R1544))</f>
        <v/>
      </c>
      <c r="AG1544" s="35">
        <f>IF(OR(C1544&lt;&gt;"Grayson Coulter",G1544&lt;'00_Control'!$B$7),"",--(AF1544&lt;5))</f>
        <v/>
      </c>
      <c r="AH1544" s="35">
        <f>IF(OR(C1544&lt;&gt;"Grayson Coulter",G1544&lt;'00_Control'!$B$7),"",--(AF1544&lt;10))</f>
        <v/>
      </c>
      <c r="AI1544" s="35">
        <f>IF(AND(C1544="Grayson Coulter",G1544&gt;='00_Control'!$B$7),"YES","NO")</f>
        <v/>
      </c>
      <c r="AJ1544" s="33" t="inlineStr">
        <is>
          <t>OK</t>
        </is>
      </c>
    </row>
    <row r="1545">
      <c r="A1545" s="33" t="inlineStr">
        <is>
          <t>SM001541</t>
        </is>
      </c>
      <c r="B1545" s="33" t="inlineStr">
        <is>
          <t>SW011</t>
        </is>
      </c>
      <c r="C1545" s="33" t="inlineStr">
        <is>
          <t>Kyle Chalmers</t>
        </is>
      </c>
      <c r="D1545" s="33" t="inlineStr">
        <is>
          <t>SwimCloud</t>
        </is>
      </c>
      <c r="E1545" s="33" t="inlineStr">
        <is>
          <t>419989</t>
        </is>
      </c>
      <c r="F1545" s="33" t="inlineStr">
        <is>
          <t>66339135</t>
        </is>
      </c>
      <c r="G1545" s="51" t="n">
        <v>42665</v>
      </c>
      <c r="H1545" s="33" t="inlineStr">
        <is>
          <t>2016 FINA/AIRWEAVE SWIMMING WORLD CUP</t>
        </is>
      </c>
      <c r="I1545" s="33" t="inlineStr">
        <is>
          <t>230479</t>
        </is>
      </c>
      <c r="J1545" s="33" t="inlineStr"/>
      <c r="K1545" s="33" t="inlineStr">
        <is>
          <t>FIN</t>
        </is>
      </c>
      <c r="L1545" s="35">
        <f>IF(K1545="FIN",3,IF(OR(K1545="SEM",K1545="SEMI"),2,IF(OR(K1545="PRE",K1545="HEAT"),1,IF(V1545="YES",4,2))))</f>
        <v/>
      </c>
      <c r="M1545" s="33" t="inlineStr">
        <is>
          <t>SCM</t>
        </is>
      </c>
      <c r="N1545" s="33" t="n">
        <v>100</v>
      </c>
      <c r="O1545" s="33" t="inlineStr">
        <is>
          <t>Fly</t>
        </is>
      </c>
      <c r="P1545" s="33" t="inlineStr">
        <is>
          <t>100 Fly</t>
        </is>
      </c>
      <c r="Q1545" s="33" t="inlineStr">
        <is>
          <t>SCM_100_FLY</t>
        </is>
      </c>
      <c r="R1545" s="36" t="n">
        <v>53.55</v>
      </c>
      <c r="S1545" s="35">
        <f>IF(R1545="","",IF(R1545&gt;=60,INT(R1545/60)&amp;":"&amp;TEXT(MOD(R1545,60),"00.00"),TEXT(R1545,"0.00")))</f>
        <v/>
      </c>
      <c r="T1545" s="52">
        <f>IFERROR((G1545-INDEX('01_Swimmers'!$E$5:$E$22,MATCH(B1545,'01_Swimmers'!$A$5:$A$22,0)))/'00_Control'!$B$10,"")</f>
        <v/>
      </c>
      <c r="U1545" s="35">
        <f>IF(T1545="","",INT(T1545))</f>
        <v/>
      </c>
      <c r="V1545" s="33" t="inlineStr">
        <is>
          <t>NO</t>
        </is>
      </c>
      <c r="W1545" s="33" t="inlineStr">
        <is>
          <t>YES</t>
        </is>
      </c>
      <c r="X1545" s="33" t="inlineStr">
        <is>
          <t>NO</t>
        </is>
      </c>
      <c r="Y1545" s="33" t="n">
        <v>1</v>
      </c>
      <c r="Z1545" s="33" t="n">
        <v>1</v>
      </c>
      <c r="AA1545" s="33" t="inlineStr">
        <is>
          <t>6</t>
        </is>
      </c>
      <c r="AB1545" s="33" t="inlineStr">
        <is>
          <t>https://www.swimcloud.com/results/230479/event/23/?id=66339135#time66339135</t>
        </is>
      </c>
      <c r="AC1545" s="33" t="inlineStr">
        <is>
          <t>SwimCloud API v6 2026-10-08</t>
        </is>
      </c>
      <c r="AD1545" s="33" t="inlineStr">
        <is>
          <t>Kyle Chalmers|2016-10-22|SCM|100|Fly|53.55|2016 FINA/AIRWEAVE SWIMMING WORLD CUP|FIN|False</t>
        </is>
      </c>
      <c r="AE1545" s="53">
        <f>G1545+L1545/1000+ROW()/1000000000</f>
        <v/>
      </c>
      <c r="AF1545" s="35">
        <f>IF(C1545&lt;&gt;"Grayson Coulter","",COUNTIFS($C$5:$C$2991,"Grayson Coulter",$Q$5:$Q$2991,Q1545,$AE$5:$AE$2991,"&lt;="&amp;AE1545,$R$5:$R$2991,"&lt;"&amp;R1545))</f>
        <v/>
      </c>
      <c r="AG1545" s="35">
        <f>IF(OR(C1545&lt;&gt;"Grayson Coulter",G1545&lt;'00_Control'!$B$7),"",--(AF1545&lt;5))</f>
        <v/>
      </c>
      <c r="AH1545" s="35">
        <f>IF(OR(C1545&lt;&gt;"Grayson Coulter",G1545&lt;'00_Control'!$B$7),"",--(AF1545&lt;10))</f>
        <v/>
      </c>
      <c r="AI1545" s="35">
        <f>IF(AND(C1545="Grayson Coulter",G1545&gt;='00_Control'!$B$7),"YES","NO")</f>
        <v/>
      </c>
      <c r="AJ1545" s="33" t="inlineStr">
        <is>
          <t>OK</t>
        </is>
      </c>
    </row>
    <row r="1546">
      <c r="A1546" s="33" t="inlineStr">
        <is>
          <t>SM001542</t>
        </is>
      </c>
      <c r="B1546" s="33" t="inlineStr">
        <is>
          <t>SW011</t>
        </is>
      </c>
      <c r="C1546" s="33" t="inlineStr">
        <is>
          <t>Kyle Chalmers</t>
        </is>
      </c>
      <c r="D1546" s="33" t="inlineStr">
        <is>
          <t>SwimCloud</t>
        </is>
      </c>
      <c r="E1546" s="33" t="inlineStr">
        <is>
          <t>419989</t>
        </is>
      </c>
      <c r="F1546" s="33" t="inlineStr">
        <is>
          <t>66339132</t>
        </is>
      </c>
      <c r="G1546" s="51" t="n">
        <v>42665</v>
      </c>
      <c r="H1546" s="33" t="inlineStr">
        <is>
          <t>2016 FINA/AIRWEAVE SWIMMING WORLD CUP</t>
        </is>
      </c>
      <c r="I1546" s="33" t="inlineStr">
        <is>
          <t>230479</t>
        </is>
      </c>
      <c r="J1546" s="33" t="inlineStr"/>
      <c r="K1546" s="33" t="inlineStr">
        <is>
          <t>PRE</t>
        </is>
      </c>
      <c r="L1546" s="35">
        <f>IF(K1546="FIN",3,IF(OR(K1546="SEM",K1546="SEMI"),2,IF(OR(K1546="PRE",K1546="HEAT"),1,IF(V1546="YES",4,2))))</f>
        <v/>
      </c>
      <c r="M1546" s="33" t="inlineStr">
        <is>
          <t>SCM</t>
        </is>
      </c>
      <c r="N1546" s="33" t="n">
        <v>200</v>
      </c>
      <c r="O1546" s="33" t="inlineStr">
        <is>
          <t>Free</t>
        </is>
      </c>
      <c r="P1546" s="33" t="inlineStr">
        <is>
          <t>200 Free</t>
        </is>
      </c>
      <c r="Q1546" s="33" t="inlineStr">
        <is>
          <t>SCM_200_FREE</t>
        </is>
      </c>
      <c r="R1546" s="36" t="n">
        <v>106.46</v>
      </c>
      <c r="S1546" s="35">
        <f>IF(R1546="","",IF(R1546&gt;=60,INT(R1546/60)&amp;":"&amp;TEXT(MOD(R1546,60),"00.00"),TEXT(R1546,"0.00")))</f>
        <v/>
      </c>
      <c r="T1546" s="52">
        <f>IFERROR((G1546-INDEX('01_Swimmers'!$E$5:$E$22,MATCH(B1546,'01_Swimmers'!$A$5:$A$22,0)))/'00_Control'!$B$10,"")</f>
        <v/>
      </c>
      <c r="U1546" s="35">
        <f>IF(T1546="","",INT(T1546))</f>
        <v/>
      </c>
      <c r="V1546" s="33" t="inlineStr">
        <is>
          <t>NO</t>
        </is>
      </c>
      <c r="W1546" s="33" t="inlineStr">
        <is>
          <t>YES</t>
        </is>
      </c>
      <c r="X1546" s="33" t="inlineStr">
        <is>
          <t>NO</t>
        </is>
      </c>
      <c r="Y1546" s="33" t="n">
        <v>3</v>
      </c>
      <c r="Z1546" s="33" t="n">
        <v>6</v>
      </c>
      <c r="AA1546" s="33" t="inlineStr">
        <is>
          <t>2</t>
        </is>
      </c>
      <c r="AB1546" s="33" t="inlineStr">
        <is>
          <t>https://www.swimcloud.com/results/230479/event/20/?id=66339132#time66339132</t>
        </is>
      </c>
      <c r="AC1546" s="33" t="inlineStr">
        <is>
          <t>SwimCloud API v6 2026-10-08</t>
        </is>
      </c>
      <c r="AD1546" s="33" t="inlineStr">
        <is>
          <t>Kyle Chalmers|2016-10-22|SCM|200|Free|106.46|2016 FINA/AIRWEAVE SWIMMING WORLD CUP|PRE|False</t>
        </is>
      </c>
      <c r="AE1546" s="53">
        <f>G1546+L1546/1000+ROW()/1000000000</f>
        <v/>
      </c>
      <c r="AF1546" s="35">
        <f>IF(C1546&lt;&gt;"Grayson Coulter","",COUNTIFS($C$5:$C$2991,"Grayson Coulter",$Q$5:$Q$2991,Q1546,$AE$5:$AE$2991,"&lt;="&amp;AE1546,$R$5:$R$2991,"&lt;"&amp;R1546))</f>
        <v/>
      </c>
      <c r="AG1546" s="35">
        <f>IF(OR(C1546&lt;&gt;"Grayson Coulter",G1546&lt;'00_Control'!$B$7),"",--(AF1546&lt;5))</f>
        <v/>
      </c>
      <c r="AH1546" s="35">
        <f>IF(OR(C1546&lt;&gt;"Grayson Coulter",G1546&lt;'00_Control'!$B$7),"",--(AF1546&lt;10))</f>
        <v/>
      </c>
      <c r="AI1546" s="35">
        <f>IF(AND(C1546="Grayson Coulter",G1546&gt;='00_Control'!$B$7),"YES","NO")</f>
        <v/>
      </c>
      <c r="AJ1546" s="33" t="inlineStr">
        <is>
          <t>OK</t>
        </is>
      </c>
    </row>
    <row r="1547">
      <c r="A1547" s="33" t="inlineStr">
        <is>
          <t>SM001543</t>
        </is>
      </c>
      <c r="B1547" s="33" t="inlineStr">
        <is>
          <t>SW011</t>
        </is>
      </c>
      <c r="C1547" s="33" t="inlineStr">
        <is>
          <t>Kyle Chalmers</t>
        </is>
      </c>
      <c r="D1547" s="33" t="inlineStr">
        <is>
          <t>SwimCloud</t>
        </is>
      </c>
      <c r="E1547" s="33" t="inlineStr">
        <is>
          <t>419989</t>
        </is>
      </c>
      <c r="F1547" s="33" t="inlineStr">
        <is>
          <t>66339133</t>
        </is>
      </c>
      <c r="G1547" s="51" t="n">
        <v>42665</v>
      </c>
      <c r="H1547" s="33" t="inlineStr">
        <is>
          <t>2016 FINA/AIRWEAVE SWIMMING WORLD CUP</t>
        </is>
      </c>
      <c r="I1547" s="33" t="inlineStr">
        <is>
          <t>230479</t>
        </is>
      </c>
      <c r="J1547" s="33" t="inlineStr"/>
      <c r="K1547" s="33" t="inlineStr">
        <is>
          <t>FIN</t>
        </is>
      </c>
      <c r="L1547" s="35">
        <f>IF(K1547="FIN",3,IF(OR(K1547="SEM",K1547="SEMI"),2,IF(OR(K1547="PRE",K1547="HEAT"),1,IF(V1547="YES",4,2))))</f>
        <v/>
      </c>
      <c r="M1547" s="33" t="inlineStr">
        <is>
          <t>SCM</t>
        </is>
      </c>
      <c r="N1547" s="33" t="n">
        <v>200</v>
      </c>
      <c r="O1547" s="33" t="inlineStr">
        <is>
          <t>Free</t>
        </is>
      </c>
      <c r="P1547" s="33" t="inlineStr">
        <is>
          <t>200 Free</t>
        </is>
      </c>
      <c r="Q1547" s="33" t="inlineStr">
        <is>
          <t>SCM_200_FREE</t>
        </is>
      </c>
      <c r="R1547" s="36" t="n">
        <v>102.67</v>
      </c>
      <c r="S1547" s="35">
        <f>IF(R1547="","",IF(R1547&gt;=60,INT(R1547/60)&amp;":"&amp;TEXT(MOD(R1547,60),"00.00"),TEXT(R1547,"0.00")))</f>
        <v/>
      </c>
      <c r="T1547" s="52">
        <f>IFERROR((G1547-INDEX('01_Swimmers'!$E$5:$E$22,MATCH(B1547,'01_Swimmers'!$A$5:$A$22,0)))/'00_Control'!$B$10,"")</f>
        <v/>
      </c>
      <c r="U1547" s="35">
        <f>IF(T1547="","",INT(T1547))</f>
        <v/>
      </c>
      <c r="V1547" s="33" t="inlineStr">
        <is>
          <t>NO</t>
        </is>
      </c>
      <c r="W1547" s="33" t="inlineStr">
        <is>
          <t>YES</t>
        </is>
      </c>
      <c r="X1547" s="33" t="inlineStr">
        <is>
          <t>NO</t>
        </is>
      </c>
      <c r="Y1547" s="33" t="n">
        <v>1</v>
      </c>
      <c r="Z1547" s="33" t="n">
        <v>5</v>
      </c>
      <c r="AA1547" s="33" t="inlineStr">
        <is>
          <t>1</t>
        </is>
      </c>
      <c r="AB1547" s="33" t="inlineStr">
        <is>
          <t>https://www.swimcloud.com/results/230479/event/20/?id=66339133#time66339133</t>
        </is>
      </c>
      <c r="AC1547" s="33" t="inlineStr">
        <is>
          <t>SwimCloud API v6 2026-10-08</t>
        </is>
      </c>
      <c r="AD1547" s="33" t="inlineStr">
        <is>
          <t>Kyle Chalmers|2016-10-22|SCM|200|Free|102.67|2016 FINA/AIRWEAVE SWIMMING WORLD CUP|FIN|False</t>
        </is>
      </c>
      <c r="AE1547" s="53">
        <f>G1547+L1547/1000+ROW()/1000000000</f>
        <v/>
      </c>
      <c r="AF1547" s="35">
        <f>IF(C1547&lt;&gt;"Grayson Coulter","",COUNTIFS($C$5:$C$2991,"Grayson Coulter",$Q$5:$Q$2991,Q1547,$AE$5:$AE$2991,"&lt;="&amp;AE1547,$R$5:$R$2991,"&lt;"&amp;R1547))</f>
        <v/>
      </c>
      <c r="AG1547" s="35">
        <f>IF(OR(C1547&lt;&gt;"Grayson Coulter",G1547&lt;'00_Control'!$B$7),"",--(AF1547&lt;5))</f>
        <v/>
      </c>
      <c r="AH1547" s="35">
        <f>IF(OR(C1547&lt;&gt;"Grayson Coulter",G1547&lt;'00_Control'!$B$7),"",--(AF1547&lt;10))</f>
        <v/>
      </c>
      <c r="AI1547" s="35">
        <f>IF(AND(C1547="Grayson Coulter",G1547&gt;='00_Control'!$B$7),"YES","NO")</f>
        <v/>
      </c>
      <c r="AJ1547" s="33" t="inlineStr">
        <is>
          <t>OK</t>
        </is>
      </c>
    </row>
    <row r="1548">
      <c r="A1548" s="33" t="inlineStr">
        <is>
          <t>SM001544</t>
        </is>
      </c>
      <c r="B1548" s="33" t="inlineStr">
        <is>
          <t>SW011</t>
        </is>
      </c>
      <c r="C1548" s="33" t="inlineStr">
        <is>
          <t>Kyle Chalmers</t>
        </is>
      </c>
      <c r="D1548" s="33" t="inlineStr">
        <is>
          <t>SwimCloud</t>
        </is>
      </c>
      <c r="E1548" s="33" t="inlineStr">
        <is>
          <t>419989</t>
        </is>
      </c>
      <c r="F1548" s="33" t="inlineStr">
        <is>
          <t>66340831</t>
        </is>
      </c>
      <c r="G1548" s="51" t="n">
        <v>42668</v>
      </c>
      <c r="H1548" s="33" t="inlineStr">
        <is>
          <t>2016 FINA/AIRWEAVE SWIMMING WORLD CUP</t>
        </is>
      </c>
      <c r="I1548" s="33" t="inlineStr">
        <is>
          <t>230478</t>
        </is>
      </c>
      <c r="J1548" s="33" t="inlineStr"/>
      <c r="K1548" s="33" t="inlineStr">
        <is>
          <t>PRE</t>
        </is>
      </c>
      <c r="L1548" s="35">
        <f>IF(K1548="FIN",3,IF(OR(K1548="SEM",K1548="SEMI"),2,IF(OR(K1548="PRE",K1548="HEAT"),1,IF(V1548="YES",4,2))))</f>
        <v/>
      </c>
      <c r="M1548" s="33" t="inlineStr">
        <is>
          <t>SCM</t>
        </is>
      </c>
      <c r="N1548" s="33" t="n">
        <v>100</v>
      </c>
      <c r="O1548" s="33" t="inlineStr">
        <is>
          <t>Free</t>
        </is>
      </c>
      <c r="P1548" s="33" t="inlineStr">
        <is>
          <t>100 Free</t>
        </is>
      </c>
      <c r="Q1548" s="33" t="inlineStr">
        <is>
          <t>SCM_100_FREE</t>
        </is>
      </c>
      <c r="R1548" s="36" t="n">
        <v>48.22</v>
      </c>
      <c r="S1548" s="35">
        <f>IF(R1548="","",IF(R1548&gt;=60,INT(R1548/60)&amp;":"&amp;TEXT(MOD(R1548,60),"00.00"),TEXT(R1548,"0.00")))</f>
        <v/>
      </c>
      <c r="T1548" s="52">
        <f>IFERROR((G1548-INDEX('01_Swimmers'!$E$5:$E$22,MATCH(B1548,'01_Swimmers'!$A$5:$A$22,0)))/'00_Control'!$B$10,"")</f>
        <v/>
      </c>
      <c r="U1548" s="35">
        <f>IF(T1548="","",INT(T1548))</f>
        <v/>
      </c>
      <c r="V1548" s="33" t="inlineStr">
        <is>
          <t>NO</t>
        </is>
      </c>
      <c r="W1548" s="33" t="inlineStr">
        <is>
          <t>YES</t>
        </is>
      </c>
      <c r="X1548" s="33" t="inlineStr">
        <is>
          <t>NO</t>
        </is>
      </c>
      <c r="Y1548" s="33" t="n">
        <v>5</v>
      </c>
      <c r="Z1548" s="33" t="n">
        <v>2</v>
      </c>
      <c r="AA1548" s="33" t="inlineStr">
        <is>
          <t>8</t>
        </is>
      </c>
      <c r="AB1548" s="33" t="inlineStr">
        <is>
          <t>https://www.swimcloud.com/results/230478/event/1/?id=66340831#time66340831</t>
        </is>
      </c>
      <c r="AC1548" s="33" t="inlineStr">
        <is>
          <t>SwimCloud API v6 2026-10-08</t>
        </is>
      </c>
      <c r="AD1548" s="33" t="inlineStr">
        <is>
          <t>Kyle Chalmers|2016-10-25|SCM|100|Free|48.22|2016 FINA/AIRWEAVE SWIMMING WORLD CUP|PRE|False</t>
        </is>
      </c>
      <c r="AE1548" s="53">
        <f>G1548+L1548/1000+ROW()/1000000000</f>
        <v/>
      </c>
      <c r="AF1548" s="35">
        <f>IF(C1548&lt;&gt;"Grayson Coulter","",COUNTIFS($C$5:$C$2991,"Grayson Coulter",$Q$5:$Q$2991,Q1548,$AE$5:$AE$2991,"&lt;="&amp;AE1548,$R$5:$R$2991,"&lt;"&amp;R1548))</f>
        <v/>
      </c>
      <c r="AG1548" s="35">
        <f>IF(OR(C1548&lt;&gt;"Grayson Coulter",G1548&lt;'00_Control'!$B$7),"",--(AF1548&lt;5))</f>
        <v/>
      </c>
      <c r="AH1548" s="35">
        <f>IF(OR(C1548&lt;&gt;"Grayson Coulter",G1548&lt;'00_Control'!$B$7),"",--(AF1548&lt;10))</f>
        <v/>
      </c>
      <c r="AI1548" s="35">
        <f>IF(AND(C1548="Grayson Coulter",G1548&gt;='00_Control'!$B$7),"YES","NO")</f>
        <v/>
      </c>
      <c r="AJ1548" s="33" t="inlineStr">
        <is>
          <t>OK</t>
        </is>
      </c>
    </row>
    <row r="1549">
      <c r="A1549" s="33" t="inlineStr">
        <is>
          <t>SM001545</t>
        </is>
      </c>
      <c r="B1549" s="33" t="inlineStr">
        <is>
          <t>SW011</t>
        </is>
      </c>
      <c r="C1549" s="33" t="inlineStr">
        <is>
          <t>Kyle Chalmers</t>
        </is>
      </c>
      <c r="D1549" s="33" t="inlineStr">
        <is>
          <t>SwimCloud</t>
        </is>
      </c>
      <c r="E1549" s="33" t="inlineStr">
        <is>
          <t>419989</t>
        </is>
      </c>
      <c r="F1549" s="33" t="inlineStr">
        <is>
          <t>66340832</t>
        </is>
      </c>
      <c r="G1549" s="51" t="n">
        <v>42668</v>
      </c>
      <c r="H1549" s="33" t="inlineStr">
        <is>
          <t>2016 FINA/AIRWEAVE SWIMMING WORLD CUP</t>
        </is>
      </c>
      <c r="I1549" s="33" t="inlineStr">
        <is>
          <t>230478</t>
        </is>
      </c>
      <c r="J1549" s="33" t="inlineStr"/>
      <c r="K1549" s="33" t="inlineStr">
        <is>
          <t>FIN</t>
        </is>
      </c>
      <c r="L1549" s="35">
        <f>IF(K1549="FIN",3,IF(OR(K1549="SEM",K1549="SEMI"),2,IF(OR(K1549="PRE",K1549="HEAT"),1,IF(V1549="YES",4,2))))</f>
        <v/>
      </c>
      <c r="M1549" s="33" t="inlineStr">
        <is>
          <t>SCM</t>
        </is>
      </c>
      <c r="N1549" s="33" t="n">
        <v>100</v>
      </c>
      <c r="O1549" s="33" t="inlineStr">
        <is>
          <t>Free</t>
        </is>
      </c>
      <c r="P1549" s="33" t="inlineStr">
        <is>
          <t>100 Free</t>
        </is>
      </c>
      <c r="Q1549" s="33" t="inlineStr">
        <is>
          <t>SCM_100_FREE</t>
        </is>
      </c>
      <c r="R1549" s="36" t="n">
        <v>46.12</v>
      </c>
      <c r="S1549" s="35">
        <f>IF(R1549="","",IF(R1549&gt;=60,INT(R1549/60)&amp;":"&amp;TEXT(MOD(R1549,60),"00.00"),TEXT(R1549,"0.00")))</f>
        <v/>
      </c>
      <c r="T1549" s="52">
        <f>IFERROR((G1549-INDEX('01_Swimmers'!$E$5:$E$22,MATCH(B1549,'01_Swimmers'!$A$5:$A$22,0)))/'00_Control'!$B$10,"")</f>
        <v/>
      </c>
      <c r="U1549" s="35">
        <f>IF(T1549="","",INT(T1549))</f>
        <v/>
      </c>
      <c r="V1549" s="33" t="inlineStr">
        <is>
          <t>NO</t>
        </is>
      </c>
      <c r="W1549" s="33" t="inlineStr">
        <is>
          <t>YES</t>
        </is>
      </c>
      <c r="X1549" s="33" t="inlineStr">
        <is>
          <t>NO</t>
        </is>
      </c>
      <c r="Y1549" s="33" t="n">
        <v>1</v>
      </c>
      <c r="Z1549" s="33" t="n">
        <v>8</v>
      </c>
      <c r="AA1549" s="33" t="inlineStr">
        <is>
          <t>1</t>
        </is>
      </c>
      <c r="AB1549" s="33" t="inlineStr">
        <is>
          <t>https://www.swimcloud.com/results/230478/event/1/?id=66340832#time66340832</t>
        </is>
      </c>
      <c r="AC1549" s="33" t="inlineStr">
        <is>
          <t>SwimCloud API v6 2026-10-08</t>
        </is>
      </c>
      <c r="AD1549" s="33" t="inlineStr">
        <is>
          <t>Kyle Chalmers|2016-10-25|SCM|100|Free|46.12|2016 FINA/AIRWEAVE SWIMMING WORLD CUP|FIN|False</t>
        </is>
      </c>
      <c r="AE1549" s="53">
        <f>G1549+L1549/1000+ROW()/1000000000</f>
        <v/>
      </c>
      <c r="AF1549" s="35">
        <f>IF(C1549&lt;&gt;"Grayson Coulter","",COUNTIFS($C$5:$C$2991,"Grayson Coulter",$Q$5:$Q$2991,Q1549,$AE$5:$AE$2991,"&lt;="&amp;AE1549,$R$5:$R$2991,"&lt;"&amp;R1549))</f>
        <v/>
      </c>
      <c r="AG1549" s="35">
        <f>IF(OR(C1549&lt;&gt;"Grayson Coulter",G1549&lt;'00_Control'!$B$7),"",--(AF1549&lt;5))</f>
        <v/>
      </c>
      <c r="AH1549" s="35">
        <f>IF(OR(C1549&lt;&gt;"Grayson Coulter",G1549&lt;'00_Control'!$B$7),"",--(AF1549&lt;10))</f>
        <v/>
      </c>
      <c r="AI1549" s="35">
        <f>IF(AND(C1549="Grayson Coulter",G1549&gt;='00_Control'!$B$7),"YES","NO")</f>
        <v/>
      </c>
      <c r="AJ1549" s="33" t="inlineStr">
        <is>
          <t>OK</t>
        </is>
      </c>
    </row>
    <row r="1550">
      <c r="A1550" s="33" t="inlineStr">
        <is>
          <t>SM001546</t>
        </is>
      </c>
      <c r="B1550" s="33" t="inlineStr">
        <is>
          <t>SW011</t>
        </is>
      </c>
      <c r="C1550" s="33" t="inlineStr">
        <is>
          <t>Kyle Chalmers</t>
        </is>
      </c>
      <c r="D1550" s="33" t="inlineStr">
        <is>
          <t>SwimCloud</t>
        </is>
      </c>
      <c r="E1550" s="33" t="inlineStr">
        <is>
          <t>419989</t>
        </is>
      </c>
      <c r="F1550" s="33" t="inlineStr">
        <is>
          <t>66340833</t>
        </is>
      </c>
      <c r="G1550" s="51" t="n">
        <v>42669</v>
      </c>
      <c r="H1550" s="33" t="inlineStr">
        <is>
          <t>2016 FINA/AIRWEAVE SWIMMING WORLD CUP</t>
        </is>
      </c>
      <c r="I1550" s="33" t="inlineStr">
        <is>
          <t>230478</t>
        </is>
      </c>
      <c r="J1550" s="33" t="inlineStr"/>
      <c r="K1550" s="33" t="inlineStr">
        <is>
          <t>PRE</t>
        </is>
      </c>
      <c r="L1550" s="35">
        <f>IF(K1550="FIN",3,IF(OR(K1550="SEM",K1550="SEMI"),2,IF(OR(K1550="PRE",K1550="HEAT"),1,IF(V1550="YES",4,2))))</f>
        <v/>
      </c>
      <c r="M1550" s="33" t="inlineStr">
        <is>
          <t>SCM</t>
        </is>
      </c>
      <c r="N1550" s="33" t="n">
        <v>200</v>
      </c>
      <c r="O1550" s="33" t="inlineStr">
        <is>
          <t>Free</t>
        </is>
      </c>
      <c r="P1550" s="33" t="inlineStr">
        <is>
          <t>200 Free</t>
        </is>
      </c>
      <c r="Q1550" s="33" t="inlineStr">
        <is>
          <t>SCM_200_FREE</t>
        </is>
      </c>
      <c r="R1550" s="36" t="n">
        <v>105.82</v>
      </c>
      <c r="S1550" s="35">
        <f>IF(R1550="","",IF(R1550&gt;=60,INT(R1550/60)&amp;":"&amp;TEXT(MOD(R1550,60),"00.00"),TEXT(R1550,"0.00")))</f>
        <v/>
      </c>
      <c r="T1550" s="52">
        <f>IFERROR((G1550-INDEX('01_Swimmers'!$E$5:$E$22,MATCH(B1550,'01_Swimmers'!$A$5:$A$22,0)))/'00_Control'!$B$10,"")</f>
        <v/>
      </c>
      <c r="U1550" s="35">
        <f>IF(T1550="","",INT(T1550))</f>
        <v/>
      </c>
      <c r="V1550" s="33" t="inlineStr">
        <is>
          <t>NO</t>
        </is>
      </c>
      <c r="W1550" s="33" t="inlineStr">
        <is>
          <t>YES</t>
        </is>
      </c>
      <c r="X1550" s="33" t="inlineStr">
        <is>
          <t>NO</t>
        </is>
      </c>
      <c r="Y1550" s="33" t="n">
        <v>5</v>
      </c>
      <c r="Z1550" s="33" t="n">
        <v>4</v>
      </c>
      <c r="AA1550" s="33" t="inlineStr">
        <is>
          <t>5</t>
        </is>
      </c>
      <c r="AB1550" s="33" t="inlineStr">
        <is>
          <t>https://www.swimcloud.com/results/230478/event/20/?id=66340833#time66340833</t>
        </is>
      </c>
      <c r="AC1550" s="33" t="inlineStr">
        <is>
          <t>SwimCloud API v6 2026-10-08</t>
        </is>
      </c>
      <c r="AD1550" s="33" t="inlineStr">
        <is>
          <t>Kyle Chalmers|2016-10-26|SCM|200|Free|105.82|2016 FINA/AIRWEAVE SWIMMING WORLD CUP|PRE|False</t>
        </is>
      </c>
      <c r="AE1550" s="53">
        <f>G1550+L1550/1000+ROW()/1000000000</f>
        <v/>
      </c>
      <c r="AF1550" s="35">
        <f>IF(C1550&lt;&gt;"Grayson Coulter","",COUNTIFS($C$5:$C$2991,"Grayson Coulter",$Q$5:$Q$2991,Q1550,$AE$5:$AE$2991,"&lt;="&amp;AE1550,$R$5:$R$2991,"&lt;"&amp;R1550))</f>
        <v/>
      </c>
      <c r="AG1550" s="35">
        <f>IF(OR(C1550&lt;&gt;"Grayson Coulter",G1550&lt;'00_Control'!$B$7),"",--(AF1550&lt;5))</f>
        <v/>
      </c>
      <c r="AH1550" s="35">
        <f>IF(OR(C1550&lt;&gt;"Grayson Coulter",G1550&lt;'00_Control'!$B$7),"",--(AF1550&lt;10))</f>
        <v/>
      </c>
      <c r="AI1550" s="35">
        <f>IF(AND(C1550="Grayson Coulter",G1550&gt;='00_Control'!$B$7),"YES","NO")</f>
        <v/>
      </c>
      <c r="AJ1550" s="33" t="inlineStr">
        <is>
          <t>OK</t>
        </is>
      </c>
    </row>
    <row r="1551">
      <c r="A1551" s="33" t="inlineStr">
        <is>
          <t>SM001547</t>
        </is>
      </c>
      <c r="B1551" s="33" t="inlineStr">
        <is>
          <t>SW011</t>
        </is>
      </c>
      <c r="C1551" s="33" t="inlineStr">
        <is>
          <t>Kyle Chalmers</t>
        </is>
      </c>
      <c r="D1551" s="33" t="inlineStr">
        <is>
          <t>SwimCloud</t>
        </is>
      </c>
      <c r="E1551" s="33" t="inlineStr">
        <is>
          <t>419989</t>
        </is>
      </c>
      <c r="F1551" s="33" t="inlineStr">
        <is>
          <t>66340834</t>
        </is>
      </c>
      <c r="G1551" s="51" t="n">
        <v>42669</v>
      </c>
      <c r="H1551" s="33" t="inlineStr">
        <is>
          <t>2016 FINA/AIRWEAVE SWIMMING WORLD CUP</t>
        </is>
      </c>
      <c r="I1551" s="33" t="inlineStr">
        <is>
          <t>230478</t>
        </is>
      </c>
      <c r="J1551" s="33" t="inlineStr"/>
      <c r="K1551" s="33" t="inlineStr">
        <is>
          <t>FIN</t>
        </is>
      </c>
      <c r="L1551" s="35">
        <f>IF(K1551="FIN",3,IF(OR(K1551="SEM",K1551="SEMI"),2,IF(OR(K1551="PRE",K1551="HEAT"),1,IF(V1551="YES",4,2))))</f>
        <v/>
      </c>
      <c r="M1551" s="33" t="inlineStr">
        <is>
          <t>SCM</t>
        </is>
      </c>
      <c r="N1551" s="33" t="n">
        <v>200</v>
      </c>
      <c r="O1551" s="33" t="inlineStr">
        <is>
          <t>Free</t>
        </is>
      </c>
      <c r="P1551" s="33" t="inlineStr">
        <is>
          <t>200 Free</t>
        </is>
      </c>
      <c r="Q1551" s="33" t="inlineStr">
        <is>
          <t>SCM_200_FREE</t>
        </is>
      </c>
      <c r="R1551" s="36" t="n">
        <v>102.42</v>
      </c>
      <c r="S1551" s="35">
        <f>IF(R1551="","",IF(R1551&gt;=60,INT(R1551/60)&amp;":"&amp;TEXT(MOD(R1551,60),"00.00"),TEXT(R1551,"0.00")))</f>
        <v/>
      </c>
      <c r="T1551" s="52">
        <f>IFERROR((G1551-INDEX('01_Swimmers'!$E$5:$E$22,MATCH(B1551,'01_Swimmers'!$A$5:$A$22,0)))/'00_Control'!$B$10,"")</f>
        <v/>
      </c>
      <c r="U1551" s="35">
        <f>IF(T1551="","",INT(T1551))</f>
        <v/>
      </c>
      <c r="V1551" s="33" t="inlineStr">
        <is>
          <t>NO</t>
        </is>
      </c>
      <c r="W1551" s="33" t="inlineStr">
        <is>
          <t>YES</t>
        </is>
      </c>
      <c r="X1551" s="33" t="inlineStr">
        <is>
          <t>NO</t>
        </is>
      </c>
      <c r="Y1551" s="33" t="n">
        <v>1</v>
      </c>
      <c r="Z1551" s="33" t="n">
        <v>2</v>
      </c>
      <c r="AA1551" s="33" t="inlineStr">
        <is>
          <t>1</t>
        </is>
      </c>
      <c r="AB1551" s="33" t="inlineStr">
        <is>
          <t>https://www.swimcloud.com/results/230478/event/20/?id=66340834#time66340834</t>
        </is>
      </c>
      <c r="AC1551" s="33" t="inlineStr">
        <is>
          <t>SwimCloud API v6 2026-10-08</t>
        </is>
      </c>
      <c r="AD1551" s="33" t="inlineStr">
        <is>
          <t>Kyle Chalmers|2016-10-26|SCM|200|Free|102.42|2016 FINA/AIRWEAVE SWIMMING WORLD CUP|FIN|False</t>
        </is>
      </c>
      <c r="AE1551" s="53">
        <f>G1551+L1551/1000+ROW()/1000000000</f>
        <v/>
      </c>
      <c r="AF1551" s="35">
        <f>IF(C1551&lt;&gt;"Grayson Coulter","",COUNTIFS($C$5:$C$2991,"Grayson Coulter",$Q$5:$Q$2991,Q1551,$AE$5:$AE$2991,"&lt;="&amp;AE1551,$R$5:$R$2991,"&lt;"&amp;R1551))</f>
        <v/>
      </c>
      <c r="AG1551" s="35">
        <f>IF(OR(C1551&lt;&gt;"Grayson Coulter",G1551&lt;'00_Control'!$B$7),"",--(AF1551&lt;5))</f>
        <v/>
      </c>
      <c r="AH1551" s="35">
        <f>IF(OR(C1551&lt;&gt;"Grayson Coulter",G1551&lt;'00_Control'!$B$7),"",--(AF1551&lt;10))</f>
        <v/>
      </c>
      <c r="AI1551" s="35">
        <f>IF(AND(C1551="Grayson Coulter",G1551&gt;='00_Control'!$B$7),"YES","NO")</f>
        <v/>
      </c>
      <c r="AJ1551" s="33" t="inlineStr">
        <is>
          <t>OK</t>
        </is>
      </c>
    </row>
    <row r="1552">
      <c r="A1552" s="33" t="inlineStr">
        <is>
          <t>SM001548</t>
        </is>
      </c>
      <c r="B1552" s="33" t="inlineStr">
        <is>
          <t>SW011</t>
        </is>
      </c>
      <c r="C1552" s="33" t="inlineStr">
        <is>
          <t>Kyle Chalmers</t>
        </is>
      </c>
      <c r="D1552" s="33" t="inlineStr">
        <is>
          <t>SwimCloud</t>
        </is>
      </c>
      <c r="E1552" s="33" t="inlineStr">
        <is>
          <t>419989</t>
        </is>
      </c>
      <c r="F1552" s="33" t="inlineStr">
        <is>
          <t>19609256</t>
        </is>
      </c>
      <c r="G1552" s="51" t="n">
        <v>42677</v>
      </c>
      <c r="H1552" s="33" t="inlineStr">
        <is>
          <t>Hancock Prospecting Short Course Championships</t>
        </is>
      </c>
      <c r="I1552" s="33" t="inlineStr">
        <is>
          <t>120045</t>
        </is>
      </c>
      <c r="J1552" s="33" t="inlineStr"/>
      <c r="K1552" s="33" t="inlineStr">
        <is>
          <t>PRE</t>
        </is>
      </c>
      <c r="L1552" s="35">
        <f>IF(K1552="FIN",3,IF(OR(K1552="SEM",K1552="SEMI"),2,IF(OR(K1552="PRE",K1552="HEAT"),1,IF(V1552="YES",4,2))))</f>
        <v/>
      </c>
      <c r="M1552" s="33" t="inlineStr">
        <is>
          <t>SCM</t>
        </is>
      </c>
      <c r="N1552" s="33" t="n">
        <v>100</v>
      </c>
      <c r="O1552" s="33" t="inlineStr">
        <is>
          <t>Free</t>
        </is>
      </c>
      <c r="P1552" s="33" t="inlineStr">
        <is>
          <t>100 Free</t>
        </is>
      </c>
      <c r="Q1552" s="33" t="inlineStr">
        <is>
          <t>SCM_100_FREE</t>
        </is>
      </c>
      <c r="R1552" s="36" t="n">
        <v>47.91</v>
      </c>
      <c r="S1552" s="35">
        <f>IF(R1552="","",IF(R1552&gt;=60,INT(R1552/60)&amp;":"&amp;TEXT(MOD(R1552,60),"00.00"),TEXT(R1552,"0.00")))</f>
        <v/>
      </c>
      <c r="T1552" s="52">
        <f>IFERROR((G1552-INDEX('01_Swimmers'!$E$5:$E$22,MATCH(B1552,'01_Swimmers'!$A$5:$A$22,0)))/'00_Control'!$B$10,"")</f>
        <v/>
      </c>
      <c r="U1552" s="35">
        <f>IF(T1552="","",INT(T1552))</f>
        <v/>
      </c>
      <c r="V1552" s="33" t="inlineStr">
        <is>
          <t>NO</t>
        </is>
      </c>
      <c r="W1552" s="33" t="inlineStr">
        <is>
          <t>YES</t>
        </is>
      </c>
      <c r="X1552" s="33" t="inlineStr">
        <is>
          <t>NO</t>
        </is>
      </c>
      <c r="Y1552" s="33" t="n">
        <v>1</v>
      </c>
      <c r="Z1552" s="33" t="n">
        <v>4</v>
      </c>
      <c r="AA1552" s="33" t="inlineStr">
        <is>
          <t>5</t>
        </is>
      </c>
      <c r="AB1552" s="33" t="inlineStr">
        <is>
          <t>https://www.swimcloud.com/results/120045/event/8/?id=19609256#time19609256</t>
        </is>
      </c>
      <c r="AC1552" s="33" t="inlineStr">
        <is>
          <t>SwimCloud API v6 2026-10-08</t>
        </is>
      </c>
      <c r="AD1552" s="33" t="inlineStr">
        <is>
          <t>Kyle Chalmers|2016-11-03|SCM|100|Free|47.91|Hancock Prospecting Short Course Championships|PRE|False</t>
        </is>
      </c>
      <c r="AE1552" s="53">
        <f>G1552+L1552/1000+ROW()/1000000000</f>
        <v/>
      </c>
      <c r="AF1552" s="35">
        <f>IF(C1552&lt;&gt;"Grayson Coulter","",COUNTIFS($C$5:$C$2991,"Grayson Coulter",$Q$5:$Q$2991,Q1552,$AE$5:$AE$2991,"&lt;="&amp;AE1552,$R$5:$R$2991,"&lt;"&amp;R1552))</f>
        <v/>
      </c>
      <c r="AG1552" s="35">
        <f>IF(OR(C1552&lt;&gt;"Grayson Coulter",G1552&lt;'00_Control'!$B$7),"",--(AF1552&lt;5))</f>
        <v/>
      </c>
      <c r="AH1552" s="35">
        <f>IF(OR(C1552&lt;&gt;"Grayson Coulter",G1552&lt;'00_Control'!$B$7),"",--(AF1552&lt;10))</f>
        <v/>
      </c>
      <c r="AI1552" s="35">
        <f>IF(AND(C1552="Grayson Coulter",G1552&gt;='00_Control'!$B$7),"YES","NO")</f>
        <v/>
      </c>
      <c r="AJ1552" s="33" t="inlineStr">
        <is>
          <t>OK</t>
        </is>
      </c>
    </row>
    <row r="1553">
      <c r="A1553" s="33" t="inlineStr">
        <is>
          <t>SM001549</t>
        </is>
      </c>
      <c r="B1553" s="33" t="inlineStr">
        <is>
          <t>SW011</t>
        </is>
      </c>
      <c r="C1553" s="33" t="inlineStr">
        <is>
          <t>Kyle Chalmers</t>
        </is>
      </c>
      <c r="D1553" s="33" t="inlineStr">
        <is>
          <t>SwimCloud</t>
        </is>
      </c>
      <c r="E1553" s="33" t="inlineStr">
        <is>
          <t>419989</t>
        </is>
      </c>
      <c r="F1553" s="33" t="inlineStr">
        <is>
          <t>19609290</t>
        </is>
      </c>
      <c r="G1553" s="51" t="n">
        <v>42678</v>
      </c>
      <c r="H1553" s="33" t="inlineStr">
        <is>
          <t>Hancock Prospecting Short Course Championships</t>
        </is>
      </c>
      <c r="I1553" s="33" t="inlineStr">
        <is>
          <t>120045</t>
        </is>
      </c>
      <c r="J1553" s="33" t="inlineStr"/>
      <c r="K1553" s="33" t="inlineStr">
        <is>
          <t>PRE</t>
        </is>
      </c>
      <c r="L1553" s="35">
        <f>IF(K1553="FIN",3,IF(OR(K1553="SEM",K1553="SEMI"),2,IF(OR(K1553="PRE",K1553="HEAT"),1,IF(V1553="YES",4,2))))</f>
        <v/>
      </c>
      <c r="M1553" s="33" t="inlineStr">
        <is>
          <t>SCM</t>
        </is>
      </c>
      <c r="N1553" s="33" t="n">
        <v>200</v>
      </c>
      <c r="O1553" s="33" t="inlineStr">
        <is>
          <t>Free</t>
        </is>
      </c>
      <c r="P1553" s="33" t="inlineStr">
        <is>
          <t>200 Free</t>
        </is>
      </c>
      <c r="Q1553" s="33" t="inlineStr">
        <is>
          <t>SCM_200_FREE</t>
        </is>
      </c>
      <c r="R1553" s="36" t="n">
        <v>106.16</v>
      </c>
      <c r="S1553" s="35">
        <f>IF(R1553="","",IF(R1553&gt;=60,INT(R1553/60)&amp;":"&amp;TEXT(MOD(R1553,60),"00.00"),TEXT(R1553,"0.00")))</f>
        <v/>
      </c>
      <c r="T1553" s="52">
        <f>IFERROR((G1553-INDEX('01_Swimmers'!$E$5:$E$22,MATCH(B1553,'01_Swimmers'!$A$5:$A$22,0)))/'00_Control'!$B$10,"")</f>
        <v/>
      </c>
      <c r="U1553" s="35">
        <f>IF(T1553="","",INT(T1553))</f>
        <v/>
      </c>
      <c r="V1553" s="33" t="inlineStr">
        <is>
          <t>NO</t>
        </is>
      </c>
      <c r="W1553" s="33" t="inlineStr">
        <is>
          <t>YES</t>
        </is>
      </c>
      <c r="X1553" s="33" t="inlineStr">
        <is>
          <t>NO</t>
        </is>
      </c>
      <c r="Y1553" s="33" t="n">
        <v>3</v>
      </c>
      <c r="Z1553" s="33" t="n">
        <v>6</v>
      </c>
      <c r="AA1553" s="33" t="inlineStr">
        <is>
          <t>8</t>
        </is>
      </c>
      <c r="AB1553" s="33" t="inlineStr">
        <is>
          <t>https://www.swimcloud.com/results/120045/event/28/?id=19609290#time19609290</t>
        </is>
      </c>
      <c r="AC1553" s="33" t="inlineStr">
        <is>
          <t>SwimCloud API v6 2026-10-08</t>
        </is>
      </c>
      <c r="AD1553" s="33" t="inlineStr">
        <is>
          <t>Kyle Chalmers|2016-11-04|SCM|200|Free|106.16|Hancock Prospecting Short Course Championships|PRE|False</t>
        </is>
      </c>
      <c r="AE1553" s="53">
        <f>G1553+L1553/1000+ROW()/1000000000</f>
        <v/>
      </c>
      <c r="AF1553" s="35">
        <f>IF(C1553&lt;&gt;"Grayson Coulter","",COUNTIFS($C$5:$C$2991,"Grayson Coulter",$Q$5:$Q$2991,Q1553,$AE$5:$AE$2991,"&lt;="&amp;AE1553,$R$5:$R$2991,"&lt;"&amp;R1553))</f>
        <v/>
      </c>
      <c r="AG1553" s="35">
        <f>IF(OR(C1553&lt;&gt;"Grayson Coulter",G1553&lt;'00_Control'!$B$7),"",--(AF1553&lt;5))</f>
        <v/>
      </c>
      <c r="AH1553" s="35">
        <f>IF(OR(C1553&lt;&gt;"Grayson Coulter",G1553&lt;'00_Control'!$B$7),"",--(AF1553&lt;10))</f>
        <v/>
      </c>
      <c r="AI1553" s="35">
        <f>IF(AND(C1553="Grayson Coulter",G1553&gt;='00_Control'!$B$7),"YES","NO")</f>
        <v/>
      </c>
      <c r="AJ1553" s="33" t="inlineStr">
        <is>
          <t>OK</t>
        </is>
      </c>
    </row>
    <row r="1554">
      <c r="A1554" s="33" t="inlineStr">
        <is>
          <t>SM001550</t>
        </is>
      </c>
      <c r="B1554" s="33" t="inlineStr">
        <is>
          <t>SW011</t>
        </is>
      </c>
      <c r="C1554" s="33" t="inlineStr">
        <is>
          <t>Kyle Chalmers</t>
        </is>
      </c>
      <c r="D1554" s="33" t="inlineStr">
        <is>
          <t>SwimCloud</t>
        </is>
      </c>
      <c r="E1554" s="33" t="inlineStr">
        <is>
          <t>419989</t>
        </is>
      </c>
      <c r="F1554" s="33" t="inlineStr">
        <is>
          <t>19609291</t>
        </is>
      </c>
      <c r="G1554" s="51" t="n">
        <v>42678</v>
      </c>
      <c r="H1554" s="33" t="inlineStr">
        <is>
          <t>Hancock Prospecting Short Course Championships</t>
        </is>
      </c>
      <c r="I1554" s="33" t="inlineStr">
        <is>
          <t>120045</t>
        </is>
      </c>
      <c r="J1554" s="33" t="inlineStr"/>
      <c r="K1554" s="33" t="inlineStr">
        <is>
          <t>FIN</t>
        </is>
      </c>
      <c r="L1554" s="35">
        <f>IF(K1554="FIN",3,IF(OR(K1554="SEM",K1554="SEMI"),2,IF(OR(K1554="PRE",K1554="HEAT"),1,IF(V1554="YES",4,2))))</f>
        <v/>
      </c>
      <c r="M1554" s="33" t="inlineStr">
        <is>
          <t>SCM</t>
        </is>
      </c>
      <c r="N1554" s="33" t="n">
        <v>200</v>
      </c>
      <c r="O1554" s="33" t="inlineStr">
        <is>
          <t>Free</t>
        </is>
      </c>
      <c r="P1554" s="33" t="inlineStr">
        <is>
          <t>200 Free</t>
        </is>
      </c>
      <c r="Q1554" s="33" t="inlineStr">
        <is>
          <t>SCM_200_FREE</t>
        </is>
      </c>
      <c r="R1554" s="36" t="n">
        <v>103.44</v>
      </c>
      <c r="S1554" s="35">
        <f>IF(R1554="","",IF(R1554&gt;=60,INT(R1554/60)&amp;":"&amp;TEXT(MOD(R1554,60),"00.00"),TEXT(R1554,"0.00")))</f>
        <v/>
      </c>
      <c r="T1554" s="52">
        <f>IFERROR((G1554-INDEX('01_Swimmers'!$E$5:$E$22,MATCH(B1554,'01_Swimmers'!$A$5:$A$22,0)))/'00_Control'!$B$10,"")</f>
        <v/>
      </c>
      <c r="U1554" s="35">
        <f>IF(T1554="","",INT(T1554))</f>
        <v/>
      </c>
      <c r="V1554" s="33" t="inlineStr">
        <is>
          <t>NO</t>
        </is>
      </c>
      <c r="W1554" s="33" t="inlineStr">
        <is>
          <t>YES</t>
        </is>
      </c>
      <c r="X1554" s="33" t="inlineStr">
        <is>
          <t>NO</t>
        </is>
      </c>
      <c r="Y1554" s="33" t="n">
        <v>1</v>
      </c>
      <c r="Z1554" s="33" t="n">
        <v>7</v>
      </c>
      <c r="AA1554" s="33" t="inlineStr">
        <is>
          <t>3</t>
        </is>
      </c>
      <c r="AB1554" s="33" t="inlineStr">
        <is>
          <t>https://www.swimcloud.com/results/120045/event/28/?id=19609291#time19609291</t>
        </is>
      </c>
      <c r="AC1554" s="33" t="inlineStr">
        <is>
          <t>SwimCloud API v6 2026-10-08</t>
        </is>
      </c>
      <c r="AD1554" s="33" t="inlineStr">
        <is>
          <t>Kyle Chalmers|2016-11-04|SCM|200|Free|103.44|Hancock Prospecting Short Course Championships|FIN|False</t>
        </is>
      </c>
      <c r="AE1554" s="53">
        <f>G1554+L1554/1000+ROW()/1000000000</f>
        <v/>
      </c>
      <c r="AF1554" s="35">
        <f>IF(C1554&lt;&gt;"Grayson Coulter","",COUNTIFS($C$5:$C$2991,"Grayson Coulter",$Q$5:$Q$2991,Q1554,$AE$5:$AE$2991,"&lt;="&amp;AE1554,$R$5:$R$2991,"&lt;"&amp;R1554))</f>
        <v/>
      </c>
      <c r="AG1554" s="35">
        <f>IF(OR(C1554&lt;&gt;"Grayson Coulter",G1554&lt;'00_Control'!$B$7),"",--(AF1554&lt;5))</f>
        <v/>
      </c>
      <c r="AH1554" s="35">
        <f>IF(OR(C1554&lt;&gt;"Grayson Coulter",G1554&lt;'00_Control'!$B$7),"",--(AF1554&lt;10))</f>
        <v/>
      </c>
      <c r="AI1554" s="35">
        <f>IF(AND(C1554="Grayson Coulter",G1554&gt;='00_Control'!$B$7),"YES","NO")</f>
        <v/>
      </c>
      <c r="AJ1554" s="33" t="inlineStr">
        <is>
          <t>OK</t>
        </is>
      </c>
    </row>
    <row r="1555">
      <c r="A1555" s="33" t="inlineStr">
        <is>
          <t>SM001551</t>
        </is>
      </c>
      <c r="B1555" s="33" t="inlineStr">
        <is>
          <t>SW011</t>
        </is>
      </c>
      <c r="C1555" s="33" t="inlineStr">
        <is>
          <t>Kyle Chalmers</t>
        </is>
      </c>
      <c r="D1555" s="33" t="inlineStr">
        <is>
          <t>SwimCloud</t>
        </is>
      </c>
      <c r="E1555" s="33" t="inlineStr">
        <is>
          <t>419989</t>
        </is>
      </c>
      <c r="F1555" s="33" t="inlineStr">
        <is>
          <t>11630192</t>
        </is>
      </c>
      <c r="G1555" s="51" t="n">
        <v>42835</v>
      </c>
      <c r="H1555" s="33" t="inlineStr">
        <is>
          <t>2017 Hancock Prospecting Australian Championships</t>
        </is>
      </c>
      <c r="I1555" s="33" t="inlineStr">
        <is>
          <t>93986</t>
        </is>
      </c>
      <c r="J1555" s="33" t="inlineStr"/>
      <c r="K1555" s="33" t="inlineStr">
        <is>
          <t>PRE</t>
        </is>
      </c>
      <c r="L1555" s="35">
        <f>IF(K1555="FIN",3,IF(OR(K1555="SEM",K1555="SEMI"),2,IF(OR(K1555="PRE",K1555="HEAT"),1,IF(V1555="YES",4,2))))</f>
        <v/>
      </c>
      <c r="M1555" s="33" t="inlineStr">
        <is>
          <t>LCM</t>
        </is>
      </c>
      <c r="N1555" s="33" t="n">
        <v>200</v>
      </c>
      <c r="O1555" s="33" t="inlineStr">
        <is>
          <t>Free</t>
        </is>
      </c>
      <c r="P1555" s="33" t="inlineStr">
        <is>
          <t>200 Free</t>
        </is>
      </c>
      <c r="Q1555" s="33" t="inlineStr">
        <is>
          <t>LCM_200_FREE</t>
        </is>
      </c>
      <c r="R1555" s="36" t="n">
        <v>108.03</v>
      </c>
      <c r="S1555" s="35">
        <f>IF(R1555="","",IF(R1555&gt;=60,INT(R1555/60)&amp;":"&amp;TEXT(MOD(R1555,60),"00.00"),TEXT(R1555,"0.00")))</f>
        <v/>
      </c>
      <c r="T1555" s="52">
        <f>IFERROR((G1555-INDEX('01_Swimmers'!$E$5:$E$22,MATCH(B1555,'01_Swimmers'!$A$5:$A$22,0)))/'00_Control'!$B$10,"")</f>
        <v/>
      </c>
      <c r="U1555" s="35">
        <f>IF(T1555="","",INT(T1555))</f>
        <v/>
      </c>
      <c r="V1555" s="33" t="inlineStr">
        <is>
          <t>NO</t>
        </is>
      </c>
      <c r="W1555" s="33" t="inlineStr">
        <is>
          <t>YES</t>
        </is>
      </c>
      <c r="X1555" s="33" t="inlineStr">
        <is>
          <t>NO</t>
        </is>
      </c>
      <c r="Y1555" s="33" t="n">
        <v>6</v>
      </c>
      <c r="Z1555" s="33" t="n">
        <v>5</v>
      </c>
      <c r="AA1555" s="33" t="inlineStr">
        <is>
          <t>6</t>
        </is>
      </c>
      <c r="AB1555" s="33" t="inlineStr">
        <is>
          <t>https://www.swimcloud.com/results/93986/event/17/?id=11630192#time11630192</t>
        </is>
      </c>
      <c r="AC1555" s="33" t="inlineStr">
        <is>
          <t>SwimCloud API v6 2026-10-08</t>
        </is>
      </c>
      <c r="AD1555" s="33" t="inlineStr">
        <is>
          <t>Kyle Chalmers|2017-04-10|LCM|200|Free|108.03|2017 Hancock Prospecting Australian Championships|PRE|False</t>
        </is>
      </c>
      <c r="AE1555" s="53">
        <f>G1555+L1555/1000+ROW()/1000000000</f>
        <v/>
      </c>
      <c r="AF1555" s="35">
        <f>IF(C1555&lt;&gt;"Grayson Coulter","",COUNTIFS($C$5:$C$2991,"Grayson Coulter",$Q$5:$Q$2991,Q1555,$AE$5:$AE$2991,"&lt;="&amp;AE1555,$R$5:$R$2991,"&lt;"&amp;R1555))</f>
        <v/>
      </c>
      <c r="AG1555" s="35">
        <f>IF(OR(C1555&lt;&gt;"Grayson Coulter",G1555&lt;'00_Control'!$B$7),"",--(AF1555&lt;5))</f>
        <v/>
      </c>
      <c r="AH1555" s="35">
        <f>IF(OR(C1555&lt;&gt;"Grayson Coulter",G1555&lt;'00_Control'!$B$7),"",--(AF1555&lt;10))</f>
        <v/>
      </c>
      <c r="AI1555" s="35">
        <f>IF(AND(C1555="Grayson Coulter",G1555&gt;='00_Control'!$B$7),"YES","NO")</f>
        <v/>
      </c>
      <c r="AJ1555" s="33" t="inlineStr">
        <is>
          <t>OK</t>
        </is>
      </c>
    </row>
    <row r="1556">
      <c r="A1556" s="33" t="inlineStr">
        <is>
          <t>SM001552</t>
        </is>
      </c>
      <c r="B1556" s="33" t="inlineStr">
        <is>
          <t>SW011</t>
        </is>
      </c>
      <c r="C1556" s="33" t="inlineStr">
        <is>
          <t>Kyle Chalmers</t>
        </is>
      </c>
      <c r="D1556" s="33" t="inlineStr">
        <is>
          <t>SwimCloud</t>
        </is>
      </c>
      <c r="E1556" s="33" t="inlineStr">
        <is>
          <t>419989</t>
        </is>
      </c>
      <c r="F1556" s="33" t="inlineStr">
        <is>
          <t>11630216</t>
        </is>
      </c>
      <c r="G1556" s="51" t="n">
        <v>42835</v>
      </c>
      <c r="H1556" s="33" t="inlineStr">
        <is>
          <t>2017 Hancock Prospecting Australian Championships</t>
        </is>
      </c>
      <c r="I1556" s="33" t="inlineStr">
        <is>
          <t>93986</t>
        </is>
      </c>
      <c r="J1556" s="33" t="inlineStr"/>
      <c r="K1556" s="33" t="inlineStr">
        <is>
          <t>FIN</t>
        </is>
      </c>
      <c r="L1556" s="35">
        <f>IF(K1556="FIN",3,IF(OR(K1556="SEM",K1556="SEMI"),2,IF(OR(K1556="PRE",K1556="HEAT"),1,IF(V1556="YES",4,2))))</f>
        <v/>
      </c>
      <c r="M1556" s="33" t="inlineStr">
        <is>
          <t>LCM</t>
        </is>
      </c>
      <c r="N1556" s="33" t="n">
        <v>200</v>
      </c>
      <c r="O1556" s="33" t="inlineStr">
        <is>
          <t>Free</t>
        </is>
      </c>
      <c r="P1556" s="33" t="inlineStr">
        <is>
          <t>200 Free</t>
        </is>
      </c>
      <c r="Q1556" s="33" t="inlineStr">
        <is>
          <t>LCM_200_FREE</t>
        </is>
      </c>
      <c r="R1556" s="36" t="n">
        <v>106.87</v>
      </c>
      <c r="S1556" s="35">
        <f>IF(R1556="","",IF(R1556&gt;=60,INT(R1556/60)&amp;":"&amp;TEXT(MOD(R1556,60),"00.00"),TEXT(R1556,"0.00")))</f>
        <v/>
      </c>
      <c r="T1556" s="52">
        <f>IFERROR((G1556-INDEX('01_Swimmers'!$E$5:$E$22,MATCH(B1556,'01_Swimmers'!$A$5:$A$22,0)))/'00_Control'!$B$10,"")</f>
        <v/>
      </c>
      <c r="U1556" s="35">
        <f>IF(T1556="","",INT(T1556))</f>
        <v/>
      </c>
      <c r="V1556" s="33" t="inlineStr">
        <is>
          <t>NO</t>
        </is>
      </c>
      <c r="W1556" s="33" t="inlineStr">
        <is>
          <t>YES</t>
        </is>
      </c>
      <c r="X1556" s="33" t="inlineStr">
        <is>
          <t>NO</t>
        </is>
      </c>
      <c r="Y1556" s="33" t="n">
        <v>2</v>
      </c>
      <c r="Z1556" s="33" t="n">
        <v>7</v>
      </c>
      <c r="AA1556" s="33" t="inlineStr">
        <is>
          <t>2</t>
        </is>
      </c>
      <c r="AB1556" s="33" t="inlineStr">
        <is>
          <t>https://www.swimcloud.com/results/93986/event/17/?id=11630216#time11630216</t>
        </is>
      </c>
      <c r="AC1556" s="33" t="inlineStr">
        <is>
          <t>SwimCloud API v6 2026-10-08</t>
        </is>
      </c>
      <c r="AD1556" s="33" t="inlineStr">
        <is>
          <t>Kyle Chalmers|2017-04-10|LCM|200|Free|106.87|2017 Hancock Prospecting Australian Championships|FIN|False</t>
        </is>
      </c>
      <c r="AE1556" s="53">
        <f>G1556+L1556/1000+ROW()/1000000000</f>
        <v/>
      </c>
      <c r="AF1556" s="35">
        <f>IF(C1556&lt;&gt;"Grayson Coulter","",COUNTIFS($C$5:$C$2991,"Grayson Coulter",$Q$5:$Q$2991,Q1556,$AE$5:$AE$2991,"&lt;="&amp;AE1556,$R$5:$R$2991,"&lt;"&amp;R1556))</f>
        <v/>
      </c>
      <c r="AG1556" s="35">
        <f>IF(OR(C1556&lt;&gt;"Grayson Coulter",G1556&lt;'00_Control'!$B$7),"",--(AF1556&lt;5))</f>
        <v/>
      </c>
      <c r="AH1556" s="35">
        <f>IF(OR(C1556&lt;&gt;"Grayson Coulter",G1556&lt;'00_Control'!$B$7),"",--(AF1556&lt;10))</f>
        <v/>
      </c>
      <c r="AI1556" s="35">
        <f>IF(AND(C1556="Grayson Coulter",G1556&gt;='00_Control'!$B$7),"YES","NO")</f>
        <v/>
      </c>
      <c r="AJ1556" s="33" t="inlineStr">
        <is>
          <t>OK</t>
        </is>
      </c>
    </row>
    <row r="1557">
      <c r="A1557" s="33" t="inlineStr">
        <is>
          <t>SM001553</t>
        </is>
      </c>
      <c r="B1557" s="33" t="inlineStr">
        <is>
          <t>SW011</t>
        </is>
      </c>
      <c r="C1557" s="33" t="inlineStr">
        <is>
          <t>Kyle Chalmers</t>
        </is>
      </c>
      <c r="D1557" s="33" t="inlineStr">
        <is>
          <t>SwimCloud</t>
        </is>
      </c>
      <c r="E1557" s="33" t="inlineStr">
        <is>
          <t>419989</t>
        </is>
      </c>
      <c r="F1557" s="33" t="inlineStr">
        <is>
          <t>11629839</t>
        </is>
      </c>
      <c r="G1557" s="51" t="n">
        <v>42837</v>
      </c>
      <c r="H1557" s="33" t="inlineStr">
        <is>
          <t>2017 Hancock Prospecting Australian Championships</t>
        </is>
      </c>
      <c r="I1557" s="33" t="inlineStr">
        <is>
          <t>93986</t>
        </is>
      </c>
      <c r="J1557" s="33" t="inlineStr"/>
      <c r="K1557" s="33" t="inlineStr">
        <is>
          <t>PRE</t>
        </is>
      </c>
      <c r="L1557" s="35">
        <f>IF(K1557="FIN",3,IF(OR(K1557="SEM",K1557="SEMI"),2,IF(OR(K1557="PRE",K1557="HEAT"),1,IF(V1557="YES",4,2))))</f>
        <v/>
      </c>
      <c r="M1557" s="33" t="inlineStr">
        <is>
          <t>LCM</t>
        </is>
      </c>
      <c r="N1557" s="33" t="n">
        <v>100</v>
      </c>
      <c r="O1557" s="33" t="inlineStr">
        <is>
          <t>Free</t>
        </is>
      </c>
      <c r="P1557" s="33" t="inlineStr">
        <is>
          <t>100 Free</t>
        </is>
      </c>
      <c r="Q1557" s="33" t="inlineStr">
        <is>
          <t>LCM_100_FREE</t>
        </is>
      </c>
      <c r="R1557" s="36" t="n">
        <v>49.14</v>
      </c>
      <c r="S1557" s="35">
        <f>IF(R1557="","",IF(R1557&gt;=60,INT(R1557/60)&amp;":"&amp;TEXT(MOD(R1557,60),"00.00"),TEXT(R1557,"0.00")))</f>
        <v/>
      </c>
      <c r="T1557" s="52">
        <f>IFERROR((G1557-INDEX('01_Swimmers'!$E$5:$E$22,MATCH(B1557,'01_Swimmers'!$A$5:$A$22,0)))/'00_Control'!$B$10,"")</f>
        <v/>
      </c>
      <c r="U1557" s="35">
        <f>IF(T1557="","",INT(T1557))</f>
        <v/>
      </c>
      <c r="V1557" s="33" t="inlineStr">
        <is>
          <t>NO</t>
        </is>
      </c>
      <c r="W1557" s="33" t="inlineStr">
        <is>
          <t>YES</t>
        </is>
      </c>
      <c r="X1557" s="33" t="inlineStr">
        <is>
          <t>NO</t>
        </is>
      </c>
      <c r="Y1557" s="33" t="n">
        <v>5</v>
      </c>
      <c r="Z1557" s="33" t="n">
        <v>4</v>
      </c>
      <c r="AA1557" s="33" t="inlineStr">
        <is>
          <t>3</t>
        </is>
      </c>
      <c r="AB1557" s="33" t="inlineStr">
        <is>
          <t>https://www.swimcloud.com/results/93986/event/47/?id=11629839#time11629839</t>
        </is>
      </c>
      <c r="AC1557" s="33" t="inlineStr">
        <is>
          <t>SwimCloud API v6 2026-10-08</t>
        </is>
      </c>
      <c r="AD1557" s="33" t="inlineStr">
        <is>
          <t>Kyle Chalmers|2017-04-12|LCM|100|Free|49.14|2017 Hancock Prospecting Australian Championships|PRE|False</t>
        </is>
      </c>
      <c r="AE1557" s="53">
        <f>G1557+L1557/1000+ROW()/1000000000</f>
        <v/>
      </c>
      <c r="AF1557" s="35">
        <f>IF(C1557&lt;&gt;"Grayson Coulter","",COUNTIFS($C$5:$C$2991,"Grayson Coulter",$Q$5:$Q$2991,Q1557,$AE$5:$AE$2991,"&lt;="&amp;AE1557,$R$5:$R$2991,"&lt;"&amp;R1557))</f>
        <v/>
      </c>
      <c r="AG1557" s="35">
        <f>IF(OR(C1557&lt;&gt;"Grayson Coulter",G1557&lt;'00_Control'!$B$7),"",--(AF1557&lt;5))</f>
        <v/>
      </c>
      <c r="AH1557" s="35">
        <f>IF(OR(C1557&lt;&gt;"Grayson Coulter",G1557&lt;'00_Control'!$B$7),"",--(AF1557&lt;10))</f>
        <v/>
      </c>
      <c r="AI1557" s="35">
        <f>IF(AND(C1557="Grayson Coulter",G1557&gt;='00_Control'!$B$7),"YES","NO")</f>
        <v/>
      </c>
      <c r="AJ1557" s="33" t="inlineStr">
        <is>
          <t>OK</t>
        </is>
      </c>
    </row>
    <row r="1558">
      <c r="A1558" s="33" t="inlineStr">
        <is>
          <t>SM001554</t>
        </is>
      </c>
      <c r="B1558" s="33" t="inlineStr">
        <is>
          <t>SW011</t>
        </is>
      </c>
      <c r="C1558" s="33" t="inlineStr">
        <is>
          <t>Kyle Chalmers</t>
        </is>
      </c>
      <c r="D1558" s="33" t="inlineStr">
        <is>
          <t>SwimCloud</t>
        </is>
      </c>
      <c r="E1558" s="33" t="inlineStr">
        <is>
          <t>419989</t>
        </is>
      </c>
      <c r="F1558" s="33" t="inlineStr">
        <is>
          <t>11629882</t>
        </is>
      </c>
      <c r="G1558" s="51" t="n">
        <v>42837</v>
      </c>
      <c r="H1558" s="33" t="inlineStr">
        <is>
          <t>2017 Hancock Prospecting Australian Championships</t>
        </is>
      </c>
      <c r="I1558" s="33" t="inlineStr">
        <is>
          <t>93986</t>
        </is>
      </c>
      <c r="J1558" s="33" t="inlineStr"/>
      <c r="K1558" s="33" t="inlineStr">
        <is>
          <t>FIN</t>
        </is>
      </c>
      <c r="L1558" s="35">
        <f>IF(K1558="FIN",3,IF(OR(K1558="SEM",K1558="SEMI"),2,IF(OR(K1558="PRE",K1558="HEAT"),1,IF(V1558="YES",4,2))))</f>
        <v/>
      </c>
      <c r="M1558" s="33" t="inlineStr">
        <is>
          <t>LCM</t>
        </is>
      </c>
      <c r="N1558" s="33" t="n">
        <v>100</v>
      </c>
      <c r="O1558" s="33" t="inlineStr">
        <is>
          <t>Free</t>
        </is>
      </c>
      <c r="P1558" s="33" t="inlineStr">
        <is>
          <t>100 Free</t>
        </is>
      </c>
      <c r="Q1558" s="33" t="inlineStr">
        <is>
          <t>LCM_100_FREE</t>
        </is>
      </c>
      <c r="R1558" s="36" t="n">
        <v>48.2</v>
      </c>
      <c r="S1558" s="35">
        <f>IF(R1558="","",IF(R1558&gt;=60,INT(R1558/60)&amp;":"&amp;TEXT(MOD(R1558,60),"00.00"),TEXT(R1558,"0.00")))</f>
        <v/>
      </c>
      <c r="T1558" s="52">
        <f>IFERROR((G1558-INDEX('01_Swimmers'!$E$5:$E$22,MATCH(B1558,'01_Swimmers'!$A$5:$A$22,0)))/'00_Control'!$B$10,"")</f>
        <v/>
      </c>
      <c r="U1558" s="35">
        <f>IF(T1558="","",INT(T1558))</f>
        <v/>
      </c>
      <c r="V1558" s="33" t="inlineStr">
        <is>
          <t>NO</t>
        </is>
      </c>
      <c r="W1558" s="33" t="inlineStr">
        <is>
          <t>YES</t>
        </is>
      </c>
      <c r="X1558" s="33" t="inlineStr">
        <is>
          <t>NO</t>
        </is>
      </c>
      <c r="Y1558" s="33" t="n">
        <v>2</v>
      </c>
      <c r="Z1558" s="33" t="n">
        <v>3</v>
      </c>
      <c r="AA1558" s="33" t="inlineStr">
        <is>
          <t>2</t>
        </is>
      </c>
      <c r="AB1558" s="33" t="inlineStr">
        <is>
          <t>https://www.swimcloud.com/results/93986/event/47/?id=11629882#time11629882</t>
        </is>
      </c>
      <c r="AC1558" s="33" t="inlineStr">
        <is>
          <t>SwimCloud API v6 2026-10-08</t>
        </is>
      </c>
      <c r="AD1558" s="33" t="inlineStr">
        <is>
          <t>Kyle Chalmers|2017-04-12|LCM|100|Free|48.2|2017 Hancock Prospecting Australian Championships|FIN|False</t>
        </is>
      </c>
      <c r="AE1558" s="53">
        <f>G1558+L1558/1000+ROW()/1000000000</f>
        <v/>
      </c>
      <c r="AF1558" s="35">
        <f>IF(C1558&lt;&gt;"Grayson Coulter","",COUNTIFS($C$5:$C$2991,"Grayson Coulter",$Q$5:$Q$2991,Q1558,$AE$5:$AE$2991,"&lt;="&amp;AE1558,$R$5:$R$2991,"&lt;"&amp;R1558))</f>
        <v/>
      </c>
      <c r="AG1558" s="35">
        <f>IF(OR(C1558&lt;&gt;"Grayson Coulter",G1558&lt;'00_Control'!$B$7),"",--(AF1558&lt;5))</f>
        <v/>
      </c>
      <c r="AH1558" s="35">
        <f>IF(OR(C1558&lt;&gt;"Grayson Coulter",G1558&lt;'00_Control'!$B$7),"",--(AF1558&lt;10))</f>
        <v/>
      </c>
      <c r="AI1558" s="35">
        <f>IF(AND(C1558="Grayson Coulter",G1558&gt;='00_Control'!$B$7),"YES","NO")</f>
        <v/>
      </c>
      <c r="AJ1558" s="33" t="inlineStr">
        <is>
          <t>OK</t>
        </is>
      </c>
    </row>
    <row r="1559">
      <c r="A1559" s="33" t="inlineStr">
        <is>
          <t>SM001555</t>
        </is>
      </c>
      <c r="B1559" s="33" t="inlineStr">
        <is>
          <t>SW011</t>
        </is>
      </c>
      <c r="C1559" s="33" t="inlineStr">
        <is>
          <t>Kyle Chalmers</t>
        </is>
      </c>
      <c r="D1559" s="33" t="inlineStr">
        <is>
          <t>SwimCloud</t>
        </is>
      </c>
      <c r="E1559" s="33" t="inlineStr">
        <is>
          <t>419989</t>
        </is>
      </c>
      <c r="F1559" s="33" t="inlineStr">
        <is>
          <t>11777758</t>
        </is>
      </c>
      <c r="G1559" s="51" t="n">
        <v>42959</v>
      </c>
      <c r="H1559" s="33" t="inlineStr">
        <is>
          <t>FINA/airweave Swimming World Cup #3</t>
        </is>
      </c>
      <c r="I1559" s="33" t="inlineStr">
        <is>
          <t>94811</t>
        </is>
      </c>
      <c r="J1559" s="33" t="inlineStr"/>
      <c r="K1559" s="33" t="inlineStr">
        <is>
          <t>PRE</t>
        </is>
      </c>
      <c r="L1559" s="35">
        <f>IF(K1559="FIN",3,IF(OR(K1559="SEM",K1559="SEMI"),2,IF(OR(K1559="PRE",K1559="HEAT"),1,IF(V1559="YES",4,2))))</f>
        <v/>
      </c>
      <c r="M1559" s="33" t="inlineStr">
        <is>
          <t>SCM</t>
        </is>
      </c>
      <c r="N1559" s="33" t="n">
        <v>100</v>
      </c>
      <c r="O1559" s="33" t="inlineStr">
        <is>
          <t>Free</t>
        </is>
      </c>
      <c r="P1559" s="33" t="inlineStr">
        <is>
          <t>100 Free</t>
        </is>
      </c>
      <c r="Q1559" s="33" t="inlineStr">
        <is>
          <t>SCM_100_FREE</t>
        </is>
      </c>
      <c r="R1559" s="36" t="n">
        <v>48.18</v>
      </c>
      <c r="S1559" s="35">
        <f>IF(R1559="","",IF(R1559&gt;=60,INT(R1559/60)&amp;":"&amp;TEXT(MOD(R1559,60),"00.00"),TEXT(R1559,"0.00")))</f>
        <v/>
      </c>
      <c r="T1559" s="52">
        <f>IFERROR((G1559-INDEX('01_Swimmers'!$E$5:$E$22,MATCH(B1559,'01_Swimmers'!$A$5:$A$22,0)))/'00_Control'!$B$10,"")</f>
        <v/>
      </c>
      <c r="U1559" s="35">
        <f>IF(T1559="","",INT(T1559))</f>
        <v/>
      </c>
      <c r="V1559" s="33" t="inlineStr">
        <is>
          <t>NO</t>
        </is>
      </c>
      <c r="W1559" s="33" t="inlineStr">
        <is>
          <t>YES</t>
        </is>
      </c>
      <c r="X1559" s="33" t="inlineStr">
        <is>
          <t>NO</t>
        </is>
      </c>
      <c r="Y1559" s="33" t="n">
        <v>5</v>
      </c>
      <c r="Z1559" s="33" t="n">
        <v>3</v>
      </c>
      <c r="AA1559" s="33" t="inlineStr">
        <is>
          <t>16</t>
        </is>
      </c>
      <c r="AB1559" s="33" t="inlineStr">
        <is>
          <t>https://www.swimcloud.com/results/94811/event/14/?id=11777758#time11777758</t>
        </is>
      </c>
      <c r="AC1559" s="33" t="inlineStr">
        <is>
          <t>SwimCloud API v6 2026-10-08</t>
        </is>
      </c>
      <c r="AD1559" s="33" t="inlineStr">
        <is>
          <t>Kyle Chalmers|2017-08-12|SCM|100|Free|48.18|FINA/airweave Swimming World Cup #3|PRE|False</t>
        </is>
      </c>
      <c r="AE1559" s="53">
        <f>G1559+L1559/1000+ROW()/1000000000</f>
        <v/>
      </c>
      <c r="AF1559" s="35">
        <f>IF(C1559&lt;&gt;"Grayson Coulter","",COUNTIFS($C$5:$C$2991,"Grayson Coulter",$Q$5:$Q$2991,Q1559,$AE$5:$AE$2991,"&lt;="&amp;AE1559,$R$5:$R$2991,"&lt;"&amp;R1559))</f>
        <v/>
      </c>
      <c r="AG1559" s="35">
        <f>IF(OR(C1559&lt;&gt;"Grayson Coulter",G1559&lt;'00_Control'!$B$7),"",--(AF1559&lt;5))</f>
        <v/>
      </c>
      <c r="AH1559" s="35">
        <f>IF(OR(C1559&lt;&gt;"Grayson Coulter",G1559&lt;'00_Control'!$B$7),"",--(AF1559&lt;10))</f>
        <v/>
      </c>
      <c r="AI1559" s="35">
        <f>IF(AND(C1559="Grayson Coulter",G1559&gt;='00_Control'!$B$7),"YES","NO")</f>
        <v/>
      </c>
      <c r="AJ1559" s="33" t="inlineStr">
        <is>
          <t>OK</t>
        </is>
      </c>
    </row>
    <row r="1560">
      <c r="A1560" s="33" t="inlineStr">
        <is>
          <t>SM001556</t>
        </is>
      </c>
      <c r="B1560" s="33" t="inlineStr">
        <is>
          <t>SW011</t>
        </is>
      </c>
      <c r="C1560" s="33" t="inlineStr">
        <is>
          <t>Kyle Chalmers</t>
        </is>
      </c>
      <c r="D1560" s="33" t="inlineStr">
        <is>
          <t>SwimCloud</t>
        </is>
      </c>
      <c r="E1560" s="33" t="inlineStr">
        <is>
          <t>419989</t>
        </is>
      </c>
      <c r="F1560" s="33" t="inlineStr">
        <is>
          <t>11777766</t>
        </is>
      </c>
      <c r="G1560" s="51" t="n">
        <v>42959</v>
      </c>
      <c r="H1560" s="33" t="inlineStr">
        <is>
          <t>FINA/airweave Swimming World Cup #3</t>
        </is>
      </c>
      <c r="I1560" s="33" t="inlineStr">
        <is>
          <t>94811</t>
        </is>
      </c>
      <c r="J1560" s="33" t="inlineStr"/>
      <c r="K1560" s="33" t="inlineStr">
        <is>
          <t>FIN</t>
        </is>
      </c>
      <c r="L1560" s="35">
        <f>IF(K1560="FIN",3,IF(OR(K1560="SEM",K1560="SEMI"),2,IF(OR(K1560="PRE",K1560="HEAT"),1,IF(V1560="YES",4,2))))</f>
        <v/>
      </c>
      <c r="M1560" s="33" t="inlineStr">
        <is>
          <t>SCM</t>
        </is>
      </c>
      <c r="N1560" s="33" t="n">
        <v>100</v>
      </c>
      <c r="O1560" s="33" t="inlineStr">
        <is>
          <t>Free</t>
        </is>
      </c>
      <c r="P1560" s="33" t="inlineStr">
        <is>
          <t>100 Free</t>
        </is>
      </c>
      <c r="Q1560" s="33" t="inlineStr">
        <is>
          <t>SCM_100_FREE</t>
        </is>
      </c>
      <c r="R1560" s="36" t="n">
        <v>47.24</v>
      </c>
      <c r="S1560" s="35">
        <f>IF(R1560="","",IF(R1560&gt;=60,INT(R1560/60)&amp;":"&amp;TEXT(MOD(R1560,60),"00.00"),TEXT(R1560,"0.00")))</f>
        <v/>
      </c>
      <c r="T1560" s="52">
        <f>IFERROR((G1560-INDEX('01_Swimmers'!$E$5:$E$22,MATCH(B1560,'01_Swimmers'!$A$5:$A$22,0)))/'00_Control'!$B$10,"")</f>
        <v/>
      </c>
      <c r="U1560" s="35">
        <f>IF(T1560="","",INT(T1560))</f>
        <v/>
      </c>
      <c r="V1560" s="33" t="inlineStr">
        <is>
          <t>NO</t>
        </is>
      </c>
      <c r="W1560" s="33" t="inlineStr">
        <is>
          <t>YES</t>
        </is>
      </c>
      <c r="X1560" s="33" t="inlineStr">
        <is>
          <t>NO</t>
        </is>
      </c>
      <c r="Y1560" s="33" t="n">
        <v>31</v>
      </c>
      <c r="Z1560" s="33" t="n">
        <v>7</v>
      </c>
      <c r="AA1560" s="33" t="inlineStr">
        <is>
          <t>5</t>
        </is>
      </c>
      <c r="AB1560" s="33" t="inlineStr">
        <is>
          <t>https://www.swimcloud.com/results/94811/event/14/?id=11777766#time11777766</t>
        </is>
      </c>
      <c r="AC1560" s="33" t="inlineStr">
        <is>
          <t>SwimCloud API v6 2026-10-08</t>
        </is>
      </c>
      <c r="AD1560" s="33" t="inlineStr">
        <is>
          <t>Kyle Chalmers|2017-08-12|SCM|100|Free|47.24|FINA/airweave Swimming World Cup #3|FIN|False</t>
        </is>
      </c>
      <c r="AE1560" s="53">
        <f>G1560+L1560/1000+ROW()/1000000000</f>
        <v/>
      </c>
      <c r="AF1560" s="35">
        <f>IF(C1560&lt;&gt;"Grayson Coulter","",COUNTIFS($C$5:$C$2991,"Grayson Coulter",$Q$5:$Q$2991,Q1560,$AE$5:$AE$2991,"&lt;="&amp;AE1560,$R$5:$R$2991,"&lt;"&amp;R1560))</f>
        <v/>
      </c>
      <c r="AG1560" s="35">
        <f>IF(OR(C1560&lt;&gt;"Grayson Coulter",G1560&lt;'00_Control'!$B$7),"",--(AF1560&lt;5))</f>
        <v/>
      </c>
      <c r="AH1560" s="35">
        <f>IF(OR(C1560&lt;&gt;"Grayson Coulter",G1560&lt;'00_Control'!$B$7),"",--(AF1560&lt;10))</f>
        <v/>
      </c>
      <c r="AI1560" s="35">
        <f>IF(AND(C1560="Grayson Coulter",G1560&gt;='00_Control'!$B$7),"YES","NO")</f>
        <v/>
      </c>
      <c r="AJ1560" s="33" t="inlineStr">
        <is>
          <t>OK</t>
        </is>
      </c>
    </row>
    <row r="1561">
      <c r="A1561" s="33" t="inlineStr">
        <is>
          <t>SM001557</t>
        </is>
      </c>
      <c r="B1561" s="33" t="inlineStr">
        <is>
          <t>SW011</t>
        </is>
      </c>
      <c r="C1561" s="33" t="inlineStr">
        <is>
          <t>Kyle Chalmers</t>
        </is>
      </c>
      <c r="D1561" s="33" t="inlineStr">
        <is>
          <t>SwimCloud</t>
        </is>
      </c>
      <c r="E1561" s="33" t="inlineStr">
        <is>
          <t>419989</t>
        </is>
      </c>
      <c r="F1561" s="33" t="inlineStr">
        <is>
          <t>19591313</t>
        </is>
      </c>
      <c r="G1561" s="51" t="n">
        <v>43112</v>
      </c>
      <c r="H1561" s="33" t="inlineStr">
        <is>
          <t>Victorian Open Championships</t>
        </is>
      </c>
      <c r="I1561" s="33" t="inlineStr">
        <is>
          <t>120039</t>
        </is>
      </c>
      <c r="J1561" s="33" t="inlineStr"/>
      <c r="K1561" s="33" t="inlineStr">
        <is>
          <t>PRE</t>
        </is>
      </c>
      <c r="L1561" s="35">
        <f>IF(K1561="FIN",3,IF(OR(K1561="SEM",K1561="SEMI"),2,IF(OR(K1561="PRE",K1561="HEAT"),1,IF(V1561="YES",4,2))))</f>
        <v/>
      </c>
      <c r="M1561" s="33" t="inlineStr">
        <is>
          <t>LCM</t>
        </is>
      </c>
      <c r="N1561" s="33" t="n">
        <v>100</v>
      </c>
      <c r="O1561" s="33" t="inlineStr">
        <is>
          <t>Free</t>
        </is>
      </c>
      <c r="P1561" s="33" t="inlineStr">
        <is>
          <t>100 Free</t>
        </is>
      </c>
      <c r="Q1561" s="33" t="inlineStr">
        <is>
          <t>LCM_100_FREE</t>
        </is>
      </c>
      <c r="R1561" s="36" t="n">
        <v>50.27</v>
      </c>
      <c r="S1561" s="35">
        <f>IF(R1561="","",IF(R1561&gt;=60,INT(R1561/60)&amp;":"&amp;TEXT(MOD(R1561,60),"00.00"),TEXT(R1561,"0.00")))</f>
        <v/>
      </c>
      <c r="T1561" s="52">
        <f>IFERROR((G1561-INDEX('01_Swimmers'!$E$5:$E$22,MATCH(B1561,'01_Swimmers'!$A$5:$A$22,0)))/'00_Control'!$B$10,"")</f>
        <v/>
      </c>
      <c r="U1561" s="35">
        <f>IF(T1561="","",INT(T1561))</f>
        <v/>
      </c>
      <c r="V1561" s="33" t="inlineStr">
        <is>
          <t>NO</t>
        </is>
      </c>
      <c r="W1561" s="33" t="inlineStr">
        <is>
          <t>YES</t>
        </is>
      </c>
      <c r="X1561" s="33" t="inlineStr">
        <is>
          <t>NO</t>
        </is>
      </c>
      <c r="Y1561" s="33" t="n">
        <v>11</v>
      </c>
      <c r="Z1561" s="33" t="n">
        <v>4</v>
      </c>
      <c r="AA1561" s="33" t="inlineStr">
        <is>
          <t>2</t>
        </is>
      </c>
      <c r="AB1561" s="33" t="inlineStr">
        <is>
          <t>https://www.swimcloud.com/results/120039/event/15/?id=19591313#time19591313</t>
        </is>
      </c>
      <c r="AC1561" s="33" t="inlineStr">
        <is>
          <t>SwimCloud API v6 2026-10-08</t>
        </is>
      </c>
      <c r="AD1561" s="33" t="inlineStr">
        <is>
          <t>Kyle Chalmers|2018-01-12|LCM|100|Free|50.27|Victorian Open Championships|PRE|False</t>
        </is>
      </c>
      <c r="AE1561" s="53">
        <f>G1561+L1561/1000+ROW()/1000000000</f>
        <v/>
      </c>
      <c r="AF1561" s="35">
        <f>IF(C1561&lt;&gt;"Grayson Coulter","",COUNTIFS($C$5:$C$2991,"Grayson Coulter",$Q$5:$Q$2991,Q1561,$AE$5:$AE$2991,"&lt;="&amp;AE1561,$R$5:$R$2991,"&lt;"&amp;R1561))</f>
        <v/>
      </c>
      <c r="AG1561" s="35">
        <f>IF(OR(C1561&lt;&gt;"Grayson Coulter",G1561&lt;'00_Control'!$B$7),"",--(AF1561&lt;5))</f>
        <v/>
      </c>
      <c r="AH1561" s="35">
        <f>IF(OR(C1561&lt;&gt;"Grayson Coulter",G1561&lt;'00_Control'!$B$7),"",--(AF1561&lt;10))</f>
        <v/>
      </c>
      <c r="AI1561" s="35">
        <f>IF(AND(C1561="Grayson Coulter",G1561&gt;='00_Control'!$B$7),"YES","NO")</f>
        <v/>
      </c>
      <c r="AJ1561" s="33" t="inlineStr">
        <is>
          <t>OK</t>
        </is>
      </c>
    </row>
    <row r="1562">
      <c r="A1562" s="33" t="inlineStr">
        <is>
          <t>SM001558</t>
        </is>
      </c>
      <c r="B1562" s="33" t="inlineStr">
        <is>
          <t>SW011</t>
        </is>
      </c>
      <c r="C1562" s="33" t="inlineStr">
        <is>
          <t>Kyle Chalmers</t>
        </is>
      </c>
      <c r="D1562" s="33" t="inlineStr">
        <is>
          <t>SwimCloud</t>
        </is>
      </c>
      <c r="E1562" s="33" t="inlineStr">
        <is>
          <t>419989</t>
        </is>
      </c>
      <c r="F1562" s="33" t="inlineStr">
        <is>
          <t>19591314</t>
        </is>
      </c>
      <c r="G1562" s="51" t="n">
        <v>43112</v>
      </c>
      <c r="H1562" s="33" t="inlineStr">
        <is>
          <t>Victorian Open Championships</t>
        </is>
      </c>
      <c r="I1562" s="33" t="inlineStr">
        <is>
          <t>120039</t>
        </is>
      </c>
      <c r="J1562" s="33" t="inlineStr"/>
      <c r="K1562" s="33" t="inlineStr">
        <is>
          <t>FIN</t>
        </is>
      </c>
      <c r="L1562" s="35">
        <f>IF(K1562="FIN",3,IF(OR(K1562="SEM",K1562="SEMI"),2,IF(OR(K1562="PRE",K1562="HEAT"),1,IF(V1562="YES",4,2))))</f>
        <v/>
      </c>
      <c r="M1562" s="33" t="inlineStr">
        <is>
          <t>LCM</t>
        </is>
      </c>
      <c r="N1562" s="33" t="n">
        <v>100</v>
      </c>
      <c r="O1562" s="33" t="inlineStr">
        <is>
          <t>Free</t>
        </is>
      </c>
      <c r="P1562" s="33" t="inlineStr">
        <is>
          <t>100 Free</t>
        </is>
      </c>
      <c r="Q1562" s="33" t="inlineStr">
        <is>
          <t>LCM_100_FREE</t>
        </is>
      </c>
      <c r="R1562" s="36" t="n">
        <v>49.48</v>
      </c>
      <c r="S1562" s="35">
        <f>IF(R1562="","",IF(R1562&gt;=60,INT(R1562/60)&amp;":"&amp;TEXT(MOD(R1562,60),"00.00"),TEXT(R1562,"0.00")))</f>
        <v/>
      </c>
      <c r="T1562" s="52">
        <f>IFERROR((G1562-INDEX('01_Swimmers'!$E$5:$E$22,MATCH(B1562,'01_Swimmers'!$A$5:$A$22,0)))/'00_Control'!$B$10,"")</f>
        <v/>
      </c>
      <c r="U1562" s="35">
        <f>IF(T1562="","",INT(T1562))</f>
        <v/>
      </c>
      <c r="V1562" s="33" t="inlineStr">
        <is>
          <t>NO</t>
        </is>
      </c>
      <c r="W1562" s="33" t="inlineStr">
        <is>
          <t>YES</t>
        </is>
      </c>
      <c r="X1562" s="33" t="inlineStr">
        <is>
          <t>NO</t>
        </is>
      </c>
      <c r="Y1562" s="33" t="n">
        <v>1</v>
      </c>
      <c r="Z1562" s="33" t="n">
        <v>5</v>
      </c>
      <c r="AA1562" s="33" t="inlineStr">
        <is>
          <t>1</t>
        </is>
      </c>
      <c r="AB1562" s="33" t="inlineStr">
        <is>
          <t>https://www.swimcloud.com/results/120039/event/15/?id=19591314#time19591314</t>
        </is>
      </c>
      <c r="AC1562" s="33" t="inlineStr">
        <is>
          <t>SwimCloud API v6 2026-10-08</t>
        </is>
      </c>
      <c r="AD1562" s="33" t="inlineStr">
        <is>
          <t>Kyle Chalmers|2018-01-12|LCM|100|Free|49.48|Victorian Open Championships|FIN|False</t>
        </is>
      </c>
      <c r="AE1562" s="53">
        <f>G1562+L1562/1000+ROW()/1000000000</f>
        <v/>
      </c>
      <c r="AF1562" s="35">
        <f>IF(C1562&lt;&gt;"Grayson Coulter","",COUNTIFS($C$5:$C$2991,"Grayson Coulter",$Q$5:$Q$2991,Q1562,$AE$5:$AE$2991,"&lt;="&amp;AE1562,$R$5:$R$2991,"&lt;"&amp;R1562))</f>
        <v/>
      </c>
      <c r="AG1562" s="35">
        <f>IF(OR(C1562&lt;&gt;"Grayson Coulter",G1562&lt;'00_Control'!$B$7),"",--(AF1562&lt;5))</f>
        <v/>
      </c>
      <c r="AH1562" s="35">
        <f>IF(OR(C1562&lt;&gt;"Grayson Coulter",G1562&lt;'00_Control'!$B$7),"",--(AF1562&lt;10))</f>
        <v/>
      </c>
      <c r="AI1562" s="35">
        <f>IF(AND(C1562="Grayson Coulter",G1562&gt;='00_Control'!$B$7),"YES","NO")</f>
        <v/>
      </c>
      <c r="AJ1562" s="33" t="inlineStr">
        <is>
          <t>OK</t>
        </is>
      </c>
    </row>
    <row r="1563">
      <c r="A1563" s="33" t="inlineStr">
        <is>
          <t>SM001559</t>
        </is>
      </c>
      <c r="B1563" s="33" t="inlineStr">
        <is>
          <t>SW011</t>
        </is>
      </c>
      <c r="C1563" s="33" t="inlineStr">
        <is>
          <t>Kyle Chalmers</t>
        </is>
      </c>
      <c r="D1563" s="33" t="inlineStr">
        <is>
          <t>SwimCloud</t>
        </is>
      </c>
      <c r="E1563" s="33" t="inlineStr">
        <is>
          <t>419989</t>
        </is>
      </c>
      <c r="F1563" s="33" t="inlineStr">
        <is>
          <t>19591723</t>
        </is>
      </c>
      <c r="G1563" s="51" t="n">
        <v>43113</v>
      </c>
      <c r="H1563" s="33" t="inlineStr">
        <is>
          <t>Victorian Open Championships</t>
        </is>
      </c>
      <c r="I1563" s="33" t="inlineStr">
        <is>
          <t>120039</t>
        </is>
      </c>
      <c r="J1563" s="33" t="inlineStr"/>
      <c r="K1563" s="33" t="inlineStr">
        <is>
          <t>PRE</t>
        </is>
      </c>
      <c r="L1563" s="35">
        <f>IF(K1563="FIN",3,IF(OR(K1563="SEM",K1563="SEMI"),2,IF(OR(K1563="PRE",K1563="HEAT"),1,IF(V1563="YES",4,2))))</f>
        <v/>
      </c>
      <c r="M1563" s="33" t="inlineStr">
        <is>
          <t>LCM</t>
        </is>
      </c>
      <c r="N1563" s="33" t="n">
        <v>200</v>
      </c>
      <c r="O1563" s="33" t="inlineStr">
        <is>
          <t>Free</t>
        </is>
      </c>
      <c r="P1563" s="33" t="inlineStr">
        <is>
          <t>200 Free</t>
        </is>
      </c>
      <c r="Q1563" s="33" t="inlineStr">
        <is>
          <t>LCM_200_FREE</t>
        </is>
      </c>
      <c r="R1563" s="36" t="n">
        <v>110.84</v>
      </c>
      <c r="S1563" s="35">
        <f>IF(R1563="","",IF(R1563&gt;=60,INT(R1563/60)&amp;":"&amp;TEXT(MOD(R1563,60),"00.00"),TEXT(R1563,"0.00")))</f>
        <v/>
      </c>
      <c r="T1563" s="52">
        <f>IFERROR((G1563-INDEX('01_Swimmers'!$E$5:$E$22,MATCH(B1563,'01_Swimmers'!$A$5:$A$22,0)))/'00_Control'!$B$10,"")</f>
        <v/>
      </c>
      <c r="U1563" s="35">
        <f>IF(T1563="","",INT(T1563))</f>
        <v/>
      </c>
      <c r="V1563" s="33" t="inlineStr">
        <is>
          <t>NO</t>
        </is>
      </c>
      <c r="W1563" s="33" t="inlineStr">
        <is>
          <t>YES</t>
        </is>
      </c>
      <c r="X1563" s="33" t="inlineStr">
        <is>
          <t>NO</t>
        </is>
      </c>
      <c r="Y1563" s="33" t="n">
        <v>8</v>
      </c>
      <c r="Z1563" s="33" t="n">
        <v>4</v>
      </c>
      <c r="AA1563" s="33" t="inlineStr">
        <is>
          <t>2</t>
        </is>
      </c>
      <c r="AB1563" s="33" t="inlineStr">
        <is>
          <t>https://www.swimcloud.com/results/120039/event/38/?id=19591723#time19591723</t>
        </is>
      </c>
      <c r="AC1563" s="33" t="inlineStr">
        <is>
          <t>SwimCloud API v6 2026-10-08</t>
        </is>
      </c>
      <c r="AD1563" s="33" t="inlineStr">
        <is>
          <t>Kyle Chalmers|2018-01-13|LCM|200|Free|110.84|Victorian Open Championships|PRE|False</t>
        </is>
      </c>
      <c r="AE1563" s="53">
        <f>G1563+L1563/1000+ROW()/1000000000</f>
        <v/>
      </c>
      <c r="AF1563" s="35">
        <f>IF(C1563&lt;&gt;"Grayson Coulter","",COUNTIFS($C$5:$C$2991,"Grayson Coulter",$Q$5:$Q$2991,Q1563,$AE$5:$AE$2991,"&lt;="&amp;AE1563,$R$5:$R$2991,"&lt;"&amp;R1563))</f>
        <v/>
      </c>
      <c r="AG1563" s="35">
        <f>IF(OR(C1563&lt;&gt;"Grayson Coulter",G1563&lt;'00_Control'!$B$7),"",--(AF1563&lt;5))</f>
        <v/>
      </c>
      <c r="AH1563" s="35">
        <f>IF(OR(C1563&lt;&gt;"Grayson Coulter",G1563&lt;'00_Control'!$B$7),"",--(AF1563&lt;10))</f>
        <v/>
      </c>
      <c r="AI1563" s="35">
        <f>IF(AND(C1563="Grayson Coulter",G1563&gt;='00_Control'!$B$7),"YES","NO")</f>
        <v/>
      </c>
      <c r="AJ1563" s="33" t="inlineStr">
        <is>
          <t>OK</t>
        </is>
      </c>
    </row>
    <row r="1564">
      <c r="A1564" s="33" t="inlineStr">
        <is>
          <t>SM001560</t>
        </is>
      </c>
      <c r="B1564" s="33" t="inlineStr">
        <is>
          <t>SW011</t>
        </is>
      </c>
      <c r="C1564" s="33" t="inlineStr">
        <is>
          <t>Kyle Chalmers</t>
        </is>
      </c>
      <c r="D1564" s="33" t="inlineStr">
        <is>
          <t>SwimCloud</t>
        </is>
      </c>
      <c r="E1564" s="33" t="inlineStr">
        <is>
          <t>419989</t>
        </is>
      </c>
      <c r="F1564" s="33" t="inlineStr">
        <is>
          <t>19591724</t>
        </is>
      </c>
      <c r="G1564" s="51" t="n">
        <v>43113</v>
      </c>
      <c r="H1564" s="33" t="inlineStr">
        <is>
          <t>Victorian Open Championships</t>
        </is>
      </c>
      <c r="I1564" s="33" t="inlineStr">
        <is>
          <t>120039</t>
        </is>
      </c>
      <c r="J1564" s="33" t="inlineStr"/>
      <c r="K1564" s="33" t="inlineStr">
        <is>
          <t>FIN</t>
        </is>
      </c>
      <c r="L1564" s="35">
        <f>IF(K1564="FIN",3,IF(OR(K1564="SEM",K1564="SEMI"),2,IF(OR(K1564="PRE",K1564="HEAT"),1,IF(V1564="YES",4,2))))</f>
        <v/>
      </c>
      <c r="M1564" s="33" t="inlineStr">
        <is>
          <t>LCM</t>
        </is>
      </c>
      <c r="N1564" s="33" t="n">
        <v>200</v>
      </c>
      <c r="O1564" s="33" t="inlineStr">
        <is>
          <t>Free</t>
        </is>
      </c>
      <c r="P1564" s="33" t="inlineStr">
        <is>
          <t>200 Free</t>
        </is>
      </c>
      <c r="Q1564" s="33" t="inlineStr">
        <is>
          <t>LCM_200_FREE</t>
        </is>
      </c>
      <c r="R1564" s="36" t="n">
        <v>108.29</v>
      </c>
      <c r="S1564" s="35">
        <f>IF(R1564="","",IF(R1564&gt;=60,INT(R1564/60)&amp;":"&amp;TEXT(MOD(R1564,60),"00.00"),TEXT(R1564,"0.00")))</f>
        <v/>
      </c>
      <c r="T1564" s="52">
        <f>IFERROR((G1564-INDEX('01_Swimmers'!$E$5:$E$22,MATCH(B1564,'01_Swimmers'!$A$5:$A$22,0)))/'00_Control'!$B$10,"")</f>
        <v/>
      </c>
      <c r="U1564" s="35">
        <f>IF(T1564="","",INT(T1564))</f>
        <v/>
      </c>
      <c r="V1564" s="33" t="inlineStr">
        <is>
          <t>NO</t>
        </is>
      </c>
      <c r="W1564" s="33" t="inlineStr">
        <is>
          <t>YES</t>
        </is>
      </c>
      <c r="X1564" s="33" t="inlineStr">
        <is>
          <t>NO</t>
        </is>
      </c>
      <c r="Y1564" s="33" t="n">
        <v>1</v>
      </c>
      <c r="Z1564" s="33" t="n">
        <v>5</v>
      </c>
      <c r="AA1564" s="33" t="inlineStr">
        <is>
          <t>1</t>
        </is>
      </c>
      <c r="AB1564" s="33" t="inlineStr">
        <is>
          <t>https://www.swimcloud.com/results/120039/event/38/?id=19591724#time19591724</t>
        </is>
      </c>
      <c r="AC1564" s="33" t="inlineStr">
        <is>
          <t>SwimCloud API v6 2026-10-08</t>
        </is>
      </c>
      <c r="AD1564" s="33" t="inlineStr">
        <is>
          <t>Kyle Chalmers|2018-01-13|LCM|200|Free|108.29|Victorian Open Championships|FIN|False</t>
        </is>
      </c>
      <c r="AE1564" s="53">
        <f>G1564+L1564/1000+ROW()/1000000000</f>
        <v/>
      </c>
      <c r="AF1564" s="35">
        <f>IF(C1564&lt;&gt;"Grayson Coulter","",COUNTIFS($C$5:$C$2991,"Grayson Coulter",$Q$5:$Q$2991,Q1564,$AE$5:$AE$2991,"&lt;="&amp;AE1564,$R$5:$R$2991,"&lt;"&amp;R1564))</f>
        <v/>
      </c>
      <c r="AG1564" s="35">
        <f>IF(OR(C1564&lt;&gt;"Grayson Coulter",G1564&lt;'00_Control'!$B$7),"",--(AF1564&lt;5))</f>
        <v/>
      </c>
      <c r="AH1564" s="35">
        <f>IF(OR(C1564&lt;&gt;"Grayson Coulter",G1564&lt;'00_Control'!$B$7),"",--(AF1564&lt;10))</f>
        <v/>
      </c>
      <c r="AI1564" s="35">
        <f>IF(AND(C1564="Grayson Coulter",G1564&gt;='00_Control'!$B$7),"YES","NO")</f>
        <v/>
      </c>
      <c r="AJ1564" s="33" t="inlineStr">
        <is>
          <t>OK</t>
        </is>
      </c>
    </row>
    <row r="1565">
      <c r="A1565" s="33" t="inlineStr">
        <is>
          <t>SM001561</t>
        </is>
      </c>
      <c r="B1565" s="33" t="inlineStr">
        <is>
          <t>SW011</t>
        </is>
      </c>
      <c r="C1565" s="33" t="inlineStr">
        <is>
          <t>Kyle Chalmers</t>
        </is>
      </c>
      <c r="D1565" s="33" t="inlineStr">
        <is>
          <t>SwimCloud</t>
        </is>
      </c>
      <c r="E1565" s="33" t="inlineStr">
        <is>
          <t>419989</t>
        </is>
      </c>
      <c r="F1565" s="33" t="inlineStr">
        <is>
          <t>20180272</t>
        </is>
      </c>
      <c r="G1565" s="51" t="n">
        <v>43322</v>
      </c>
      <c r="H1565" s="33" t="inlineStr">
        <is>
          <t>Pan Pacific Championships</t>
        </is>
      </c>
      <c r="I1565" s="33" t="inlineStr">
        <is>
          <t>122897</t>
        </is>
      </c>
      <c r="J1565" s="33" t="inlineStr"/>
      <c r="K1565" s="33" t="inlineStr">
        <is>
          <t>PRE</t>
        </is>
      </c>
      <c r="L1565" s="35">
        <f>IF(K1565="FIN",3,IF(OR(K1565="SEM",K1565="SEMI"),2,IF(OR(K1565="PRE",K1565="HEAT"),1,IF(V1565="YES",4,2))))</f>
        <v/>
      </c>
      <c r="M1565" s="33" t="inlineStr">
        <is>
          <t>LCM</t>
        </is>
      </c>
      <c r="N1565" s="33" t="n">
        <v>100</v>
      </c>
      <c r="O1565" s="33" t="inlineStr">
        <is>
          <t>Free</t>
        </is>
      </c>
      <c r="P1565" s="33" t="inlineStr">
        <is>
          <t>100 Free</t>
        </is>
      </c>
      <c r="Q1565" s="33" t="inlineStr">
        <is>
          <t>LCM_100_FREE</t>
        </is>
      </c>
      <c r="R1565" s="36" t="n">
        <v>48.23</v>
      </c>
      <c r="S1565" s="35">
        <f>IF(R1565="","",IF(R1565&gt;=60,INT(R1565/60)&amp;":"&amp;TEXT(MOD(R1565,60),"00.00"),TEXT(R1565,"0.00")))</f>
        <v/>
      </c>
      <c r="T1565" s="52">
        <f>IFERROR((G1565-INDEX('01_Swimmers'!$E$5:$E$22,MATCH(B1565,'01_Swimmers'!$A$5:$A$22,0)))/'00_Control'!$B$10,"")</f>
        <v/>
      </c>
      <c r="U1565" s="35">
        <f>IF(T1565="","",INT(T1565))</f>
        <v/>
      </c>
      <c r="V1565" s="33" t="inlineStr">
        <is>
          <t>NO</t>
        </is>
      </c>
      <c r="W1565" s="33" t="inlineStr">
        <is>
          <t>YES</t>
        </is>
      </c>
      <c r="X1565" s="33" t="inlineStr">
        <is>
          <t>NO</t>
        </is>
      </c>
      <c r="Y1565" s="33" t="n">
        <v>5</v>
      </c>
      <c r="Z1565" s="33" t="n">
        <v>6</v>
      </c>
      <c r="AA1565" s="33" t="inlineStr">
        <is>
          <t>4</t>
        </is>
      </c>
      <c r="AB1565" s="33" t="inlineStr">
        <is>
          <t>https://www.swimcloud.com/results/122897/event/16/?id=20180272#time20180272</t>
        </is>
      </c>
      <c r="AC1565" s="33" t="inlineStr">
        <is>
          <t>SwimCloud API v6 2026-10-08</t>
        </is>
      </c>
      <c r="AD1565" s="33" t="inlineStr">
        <is>
          <t>Kyle Chalmers|2018-08-10|LCM|100|Free|48.23|Pan Pacific Championships|PRE|False</t>
        </is>
      </c>
      <c r="AE1565" s="53">
        <f>G1565+L1565/1000+ROW()/1000000000</f>
        <v/>
      </c>
      <c r="AF1565" s="35">
        <f>IF(C1565&lt;&gt;"Grayson Coulter","",COUNTIFS($C$5:$C$2991,"Grayson Coulter",$Q$5:$Q$2991,Q1565,$AE$5:$AE$2991,"&lt;="&amp;AE1565,$R$5:$R$2991,"&lt;"&amp;R1565))</f>
        <v/>
      </c>
      <c r="AG1565" s="35">
        <f>IF(OR(C1565&lt;&gt;"Grayson Coulter",G1565&lt;'00_Control'!$B$7),"",--(AF1565&lt;5))</f>
        <v/>
      </c>
      <c r="AH1565" s="35">
        <f>IF(OR(C1565&lt;&gt;"Grayson Coulter",G1565&lt;'00_Control'!$B$7),"",--(AF1565&lt;10))</f>
        <v/>
      </c>
      <c r="AI1565" s="35">
        <f>IF(AND(C1565="Grayson Coulter",G1565&gt;='00_Control'!$B$7),"YES","NO")</f>
        <v/>
      </c>
      <c r="AJ1565" s="33" t="inlineStr">
        <is>
          <t>OK</t>
        </is>
      </c>
    </row>
    <row r="1566">
      <c r="A1566" s="33" t="inlineStr">
        <is>
          <t>SM001562</t>
        </is>
      </c>
      <c r="B1566" s="33" t="inlineStr">
        <is>
          <t>SW011</t>
        </is>
      </c>
      <c r="C1566" s="33" t="inlineStr">
        <is>
          <t>Kyle Chalmers</t>
        </is>
      </c>
      <c r="D1566" s="33" t="inlineStr">
        <is>
          <t>SwimCloud</t>
        </is>
      </c>
      <c r="E1566" s="33" t="inlineStr">
        <is>
          <t>419989</t>
        </is>
      </c>
      <c r="F1566" s="33" t="inlineStr">
        <is>
          <t>20180381</t>
        </is>
      </c>
      <c r="G1566" s="51" t="n">
        <v>43322</v>
      </c>
      <c r="H1566" s="33" t="inlineStr">
        <is>
          <t>Pan Pacific Championships</t>
        </is>
      </c>
      <c r="I1566" s="33" t="inlineStr">
        <is>
          <t>122897</t>
        </is>
      </c>
      <c r="J1566" s="33" t="inlineStr"/>
      <c r="K1566" s="33" t="inlineStr">
        <is>
          <t>FIN</t>
        </is>
      </c>
      <c r="L1566" s="35">
        <f>IF(K1566="FIN",3,IF(OR(K1566="SEM",K1566="SEMI"),2,IF(OR(K1566="PRE",K1566="HEAT"),1,IF(V1566="YES",4,2))))</f>
        <v/>
      </c>
      <c r="M1566" s="33" t="inlineStr">
        <is>
          <t>LCM</t>
        </is>
      </c>
      <c r="N1566" s="33" t="n">
        <v>100</v>
      </c>
      <c r="O1566" s="33" t="inlineStr">
        <is>
          <t>Free</t>
        </is>
      </c>
      <c r="P1566" s="33" t="inlineStr">
        <is>
          <t>100 Free</t>
        </is>
      </c>
      <c r="Q1566" s="33" t="inlineStr">
        <is>
          <t>LCM_100_FREE</t>
        </is>
      </c>
      <c r="R1566" s="36" t="n">
        <v>48</v>
      </c>
      <c r="S1566" s="35">
        <f>IF(R1566="","",IF(R1566&gt;=60,INT(R1566/60)&amp;":"&amp;TEXT(MOD(R1566,60),"00.00"),TEXT(R1566,"0.00")))</f>
        <v/>
      </c>
      <c r="T1566" s="52">
        <f>IFERROR((G1566-INDEX('01_Swimmers'!$E$5:$E$22,MATCH(B1566,'01_Swimmers'!$A$5:$A$22,0)))/'00_Control'!$B$10,"")</f>
        <v/>
      </c>
      <c r="U1566" s="35">
        <f>IF(T1566="","",INT(T1566))</f>
        <v/>
      </c>
      <c r="V1566" s="33" t="inlineStr">
        <is>
          <t>NO</t>
        </is>
      </c>
      <c r="W1566" s="33" t="inlineStr">
        <is>
          <t>YES</t>
        </is>
      </c>
      <c r="X1566" s="33" t="inlineStr">
        <is>
          <t>NO</t>
        </is>
      </c>
      <c r="Y1566" s="33" t="n">
        <v>1</v>
      </c>
      <c r="Z1566" s="33" t="n">
        <v>3</v>
      </c>
      <c r="AA1566" s="33" t="inlineStr">
        <is>
          <t>1</t>
        </is>
      </c>
      <c r="AB1566" s="33" t="inlineStr">
        <is>
          <t>https://www.swimcloud.com/results/122897/event/16/?id=20180381#time20180381</t>
        </is>
      </c>
      <c r="AC1566" s="33" t="inlineStr">
        <is>
          <t>SwimCloud API v6 2026-10-08</t>
        </is>
      </c>
      <c r="AD1566" s="33" t="inlineStr">
        <is>
          <t>Kyle Chalmers|2018-08-10|LCM|100|Free|48.0|Pan Pacific Championships|FIN|False</t>
        </is>
      </c>
      <c r="AE1566" s="53">
        <f>G1566+L1566/1000+ROW()/1000000000</f>
        <v/>
      </c>
      <c r="AF1566" s="35">
        <f>IF(C1566&lt;&gt;"Grayson Coulter","",COUNTIFS($C$5:$C$2991,"Grayson Coulter",$Q$5:$Q$2991,Q1566,$AE$5:$AE$2991,"&lt;="&amp;AE1566,$R$5:$R$2991,"&lt;"&amp;R1566))</f>
        <v/>
      </c>
      <c r="AG1566" s="35">
        <f>IF(OR(C1566&lt;&gt;"Grayson Coulter",G1566&lt;'00_Control'!$B$7),"",--(AF1566&lt;5))</f>
        <v/>
      </c>
      <c r="AH1566" s="35">
        <f>IF(OR(C1566&lt;&gt;"Grayson Coulter",G1566&lt;'00_Control'!$B$7),"",--(AF1566&lt;10))</f>
        <v/>
      </c>
      <c r="AI1566" s="35">
        <f>IF(AND(C1566="Grayson Coulter",G1566&gt;='00_Control'!$B$7),"YES","NO")</f>
        <v/>
      </c>
      <c r="AJ1566" s="33" t="inlineStr">
        <is>
          <t>OK</t>
        </is>
      </c>
    </row>
    <row r="1567">
      <c r="A1567" s="33" t="inlineStr">
        <is>
          <t>SM001563</t>
        </is>
      </c>
      <c r="B1567" s="33" t="inlineStr">
        <is>
          <t>SW011</t>
        </is>
      </c>
      <c r="C1567" s="33" t="inlineStr">
        <is>
          <t>Kyle Chalmers</t>
        </is>
      </c>
      <c r="D1567" s="33" t="inlineStr">
        <is>
          <t>SwimCloud</t>
        </is>
      </c>
      <c r="E1567" s="33" t="inlineStr">
        <is>
          <t>419989</t>
        </is>
      </c>
      <c r="F1567" s="33" t="inlineStr">
        <is>
          <t>20180027</t>
        </is>
      </c>
      <c r="G1567" s="51" t="n">
        <v>43322</v>
      </c>
      <c r="H1567" s="33" t="inlineStr">
        <is>
          <t>Pan Pacific Championships</t>
        </is>
      </c>
      <c r="I1567" s="33" t="inlineStr">
        <is>
          <t>122897</t>
        </is>
      </c>
      <c r="J1567" s="33" t="inlineStr"/>
      <c r="K1567" s="33" t="inlineStr">
        <is>
          <t>PRE</t>
        </is>
      </c>
      <c r="L1567" s="35">
        <f>IF(K1567="FIN",3,IF(OR(K1567="SEM",K1567="SEMI"),2,IF(OR(K1567="PRE",K1567="HEAT"),1,IF(V1567="YES",4,2))))</f>
        <v/>
      </c>
      <c r="M1567" s="33" t="inlineStr">
        <is>
          <t>LCM</t>
        </is>
      </c>
      <c r="N1567" s="33" t="n">
        <v>200</v>
      </c>
      <c r="O1567" s="33" t="inlineStr">
        <is>
          <t>Free</t>
        </is>
      </c>
      <c r="P1567" s="33" t="inlineStr">
        <is>
          <t>200 Free</t>
        </is>
      </c>
      <c r="Q1567" s="33" t="inlineStr">
        <is>
          <t>LCM_200_FREE</t>
        </is>
      </c>
      <c r="R1567" s="36" t="n">
        <v>106.62</v>
      </c>
      <c r="S1567" s="35">
        <f>IF(R1567="","",IF(R1567&gt;=60,INT(R1567/60)&amp;":"&amp;TEXT(MOD(R1567,60),"00.00"),TEXT(R1567,"0.00")))</f>
        <v/>
      </c>
      <c r="T1567" s="52">
        <f>IFERROR((G1567-INDEX('01_Swimmers'!$E$5:$E$22,MATCH(B1567,'01_Swimmers'!$A$5:$A$22,0)))/'00_Control'!$B$10,"")</f>
        <v/>
      </c>
      <c r="U1567" s="35">
        <f>IF(T1567="","",INT(T1567))</f>
        <v/>
      </c>
      <c r="V1567" s="33" t="inlineStr">
        <is>
          <t>NO</t>
        </is>
      </c>
      <c r="W1567" s="33" t="inlineStr">
        <is>
          <t>YES</t>
        </is>
      </c>
      <c r="X1567" s="33" t="inlineStr">
        <is>
          <t>NO</t>
        </is>
      </c>
      <c r="Y1567" s="33" t="n">
        <v>4</v>
      </c>
      <c r="Z1567" s="33" t="n">
        <v>4</v>
      </c>
      <c r="AA1567" s="33" t="inlineStr">
        <is>
          <t>9</t>
        </is>
      </c>
      <c r="AB1567" s="33" t="inlineStr">
        <is>
          <t>https://www.swimcloud.com/results/122897/event/17/?id=20180027#time20180027</t>
        </is>
      </c>
      <c r="AC1567" s="33" t="inlineStr">
        <is>
          <t>SwimCloud API v6 2026-10-08</t>
        </is>
      </c>
      <c r="AD1567" s="33" t="inlineStr">
        <is>
          <t>Kyle Chalmers|2018-08-10|LCM|200|Free|106.62|Pan Pacific Championships|PRE|False</t>
        </is>
      </c>
      <c r="AE1567" s="53">
        <f>G1567+L1567/1000+ROW()/1000000000</f>
        <v/>
      </c>
      <c r="AF1567" s="35">
        <f>IF(C1567&lt;&gt;"Grayson Coulter","",COUNTIFS($C$5:$C$2991,"Grayson Coulter",$Q$5:$Q$2991,Q1567,$AE$5:$AE$2991,"&lt;="&amp;AE1567,$R$5:$R$2991,"&lt;"&amp;R1567))</f>
        <v/>
      </c>
      <c r="AG1567" s="35">
        <f>IF(OR(C1567&lt;&gt;"Grayson Coulter",G1567&lt;'00_Control'!$B$7),"",--(AF1567&lt;5))</f>
        <v/>
      </c>
      <c r="AH1567" s="35">
        <f>IF(OR(C1567&lt;&gt;"Grayson Coulter",G1567&lt;'00_Control'!$B$7),"",--(AF1567&lt;10))</f>
        <v/>
      </c>
      <c r="AI1567" s="35">
        <f>IF(AND(C1567="Grayson Coulter",G1567&gt;='00_Control'!$B$7),"YES","NO")</f>
        <v/>
      </c>
      <c r="AJ1567" s="33" t="inlineStr">
        <is>
          <t>OK</t>
        </is>
      </c>
    </row>
    <row r="1568">
      <c r="A1568" s="33" t="inlineStr">
        <is>
          <t>SM001564</t>
        </is>
      </c>
      <c r="B1568" s="33" t="inlineStr">
        <is>
          <t>SW011</t>
        </is>
      </c>
      <c r="C1568" s="33" t="inlineStr">
        <is>
          <t>Kyle Chalmers</t>
        </is>
      </c>
      <c r="D1568" s="33" t="inlineStr">
        <is>
          <t>SwimCloud</t>
        </is>
      </c>
      <c r="E1568" s="33" t="inlineStr">
        <is>
          <t>419989</t>
        </is>
      </c>
      <c r="F1568" s="33" t="inlineStr">
        <is>
          <t>21319039</t>
        </is>
      </c>
      <c r="G1568" s="51" t="n">
        <v>43414</v>
      </c>
      <c r="H1568" s="33" t="inlineStr">
        <is>
          <t>FINA World Cup - Tokyo</t>
        </is>
      </c>
      <c r="I1568" s="33" t="inlineStr">
        <is>
          <t>135869</t>
        </is>
      </c>
      <c r="J1568" s="33" t="inlineStr"/>
      <c r="K1568" s="33" t="inlineStr">
        <is>
          <t>PRE</t>
        </is>
      </c>
      <c r="L1568" s="35">
        <f>IF(K1568="FIN",3,IF(OR(K1568="SEM",K1568="SEMI"),2,IF(OR(K1568="PRE",K1568="HEAT"),1,IF(V1568="YES",4,2))))</f>
        <v/>
      </c>
      <c r="M1568" s="33" t="inlineStr">
        <is>
          <t>SCM</t>
        </is>
      </c>
      <c r="N1568" s="33" t="n">
        <v>100</v>
      </c>
      <c r="O1568" s="33" t="inlineStr">
        <is>
          <t>Free</t>
        </is>
      </c>
      <c r="P1568" s="33" t="inlineStr">
        <is>
          <t>100 Free</t>
        </is>
      </c>
      <c r="Q1568" s="33" t="inlineStr">
        <is>
          <t>SCM_100_FREE</t>
        </is>
      </c>
      <c r="R1568" s="36" t="n">
        <v>47.07</v>
      </c>
      <c r="S1568" s="35">
        <f>IF(R1568="","",IF(R1568&gt;=60,INT(R1568/60)&amp;":"&amp;TEXT(MOD(R1568,60),"00.00"),TEXT(R1568,"0.00")))</f>
        <v/>
      </c>
      <c r="T1568" s="52">
        <f>IFERROR((G1568-INDEX('01_Swimmers'!$E$5:$E$22,MATCH(B1568,'01_Swimmers'!$A$5:$A$22,0)))/'00_Control'!$B$10,"")</f>
        <v/>
      </c>
      <c r="U1568" s="35">
        <f>IF(T1568="","",INT(T1568))</f>
        <v/>
      </c>
      <c r="V1568" s="33" t="inlineStr">
        <is>
          <t>NO</t>
        </is>
      </c>
      <c r="W1568" s="33" t="inlineStr">
        <is>
          <t>YES</t>
        </is>
      </c>
      <c r="X1568" s="33" t="inlineStr">
        <is>
          <t>NO</t>
        </is>
      </c>
      <c r="Y1568" s="33" t="n">
        <v>5</v>
      </c>
      <c r="Z1568" s="33" t="n">
        <v>4</v>
      </c>
      <c r="AA1568" s="33" t="inlineStr">
        <is>
          <t>1</t>
        </is>
      </c>
      <c r="AB1568" s="33" t="inlineStr">
        <is>
          <t>https://www.swimcloud.com/results/135869/event/21/?id=21319039#time21319039</t>
        </is>
      </c>
      <c r="AC1568" s="33" t="inlineStr">
        <is>
          <t>SwimCloud API v6 2026-10-08</t>
        </is>
      </c>
      <c r="AD1568" s="33" t="inlineStr">
        <is>
          <t>Kyle Chalmers|2018-11-10|SCM|100|Free|47.07|FINA World Cup - Tokyo|PRE|False</t>
        </is>
      </c>
      <c r="AE1568" s="53">
        <f>G1568+L1568/1000+ROW()/1000000000</f>
        <v/>
      </c>
      <c r="AF1568" s="35">
        <f>IF(C1568&lt;&gt;"Grayson Coulter","",COUNTIFS($C$5:$C$2991,"Grayson Coulter",$Q$5:$Q$2991,Q1568,$AE$5:$AE$2991,"&lt;="&amp;AE1568,$R$5:$R$2991,"&lt;"&amp;R1568))</f>
        <v/>
      </c>
      <c r="AG1568" s="35">
        <f>IF(OR(C1568&lt;&gt;"Grayson Coulter",G1568&lt;'00_Control'!$B$7),"",--(AF1568&lt;5))</f>
        <v/>
      </c>
      <c r="AH1568" s="35">
        <f>IF(OR(C1568&lt;&gt;"Grayson Coulter",G1568&lt;'00_Control'!$B$7),"",--(AF1568&lt;10))</f>
        <v/>
      </c>
      <c r="AI1568" s="35">
        <f>IF(AND(C1568="Grayson Coulter",G1568&gt;='00_Control'!$B$7),"YES","NO")</f>
        <v/>
      </c>
      <c r="AJ1568" s="33" t="inlineStr">
        <is>
          <t>OK</t>
        </is>
      </c>
    </row>
    <row r="1569">
      <c r="A1569" s="33" t="inlineStr">
        <is>
          <t>SM001565</t>
        </is>
      </c>
      <c r="B1569" s="33" t="inlineStr">
        <is>
          <t>SW011</t>
        </is>
      </c>
      <c r="C1569" s="33" t="inlineStr">
        <is>
          <t>Kyle Chalmers</t>
        </is>
      </c>
      <c r="D1569" s="33" t="inlineStr">
        <is>
          <t>SwimCloud</t>
        </is>
      </c>
      <c r="E1569" s="33" t="inlineStr">
        <is>
          <t>419989</t>
        </is>
      </c>
      <c r="F1569" s="33" t="inlineStr">
        <is>
          <t>21319038</t>
        </is>
      </c>
      <c r="G1569" s="51" t="n">
        <v>43414</v>
      </c>
      <c r="H1569" s="33" t="inlineStr">
        <is>
          <t>FINA World Cup - Tokyo</t>
        </is>
      </c>
      <c r="I1569" s="33" t="inlineStr">
        <is>
          <t>135869</t>
        </is>
      </c>
      <c r="J1569" s="33" t="inlineStr"/>
      <c r="K1569" s="33" t="inlineStr">
        <is>
          <t>FIN</t>
        </is>
      </c>
      <c r="L1569" s="35">
        <f>IF(K1569="FIN",3,IF(OR(K1569="SEM",K1569="SEMI"),2,IF(OR(K1569="PRE",K1569="HEAT"),1,IF(V1569="YES",4,2))))</f>
        <v/>
      </c>
      <c r="M1569" s="33" t="inlineStr">
        <is>
          <t>SCM</t>
        </is>
      </c>
      <c r="N1569" s="33" t="n">
        <v>100</v>
      </c>
      <c r="O1569" s="33" t="inlineStr">
        <is>
          <t>Free</t>
        </is>
      </c>
      <c r="P1569" s="33" t="inlineStr">
        <is>
          <t>100 Free</t>
        </is>
      </c>
      <c r="Q1569" s="33" t="inlineStr">
        <is>
          <t>SCM_100_FREE</t>
        </is>
      </c>
      <c r="R1569" s="36" t="n">
        <v>45.78</v>
      </c>
      <c r="S1569" s="35">
        <f>IF(R1569="","",IF(R1569&gt;=60,INT(R1569/60)&amp;":"&amp;TEXT(MOD(R1569,60),"00.00"),TEXT(R1569,"0.00")))</f>
        <v/>
      </c>
      <c r="T1569" s="52">
        <f>IFERROR((G1569-INDEX('01_Swimmers'!$E$5:$E$22,MATCH(B1569,'01_Swimmers'!$A$5:$A$22,0)))/'00_Control'!$B$10,"")</f>
        <v/>
      </c>
      <c r="U1569" s="35">
        <f>IF(T1569="","",INT(T1569))</f>
        <v/>
      </c>
      <c r="V1569" s="33" t="inlineStr">
        <is>
          <t>NO</t>
        </is>
      </c>
      <c r="W1569" s="33" t="inlineStr">
        <is>
          <t>YES</t>
        </is>
      </c>
      <c r="X1569" s="33" t="inlineStr">
        <is>
          <t>NO</t>
        </is>
      </c>
      <c r="Y1569" s="33" t="n">
        <v>1</v>
      </c>
      <c r="Z1569" s="33" t="n">
        <v>4</v>
      </c>
      <c r="AA1569" s="33" t="inlineStr">
        <is>
          <t>2</t>
        </is>
      </c>
      <c r="AB1569" s="33" t="inlineStr">
        <is>
          <t>https://www.swimcloud.com/results/135869/event/21/?id=21319038#time21319038</t>
        </is>
      </c>
      <c r="AC1569" s="33" t="inlineStr">
        <is>
          <t>SwimCloud API v6 2026-10-08</t>
        </is>
      </c>
      <c r="AD1569" s="33" t="inlineStr">
        <is>
          <t>Kyle Chalmers|2018-11-10|SCM|100|Free|45.78|FINA World Cup - Tokyo|FIN|False</t>
        </is>
      </c>
      <c r="AE1569" s="53">
        <f>G1569+L1569/1000+ROW()/1000000000</f>
        <v/>
      </c>
      <c r="AF1569" s="35">
        <f>IF(C1569&lt;&gt;"Grayson Coulter","",COUNTIFS($C$5:$C$2991,"Grayson Coulter",$Q$5:$Q$2991,Q1569,$AE$5:$AE$2991,"&lt;="&amp;AE1569,$R$5:$R$2991,"&lt;"&amp;R1569))</f>
        <v/>
      </c>
      <c r="AG1569" s="35">
        <f>IF(OR(C1569&lt;&gt;"Grayson Coulter",G1569&lt;'00_Control'!$B$7),"",--(AF1569&lt;5))</f>
        <v/>
      </c>
      <c r="AH1569" s="35">
        <f>IF(OR(C1569&lt;&gt;"Grayson Coulter",G1569&lt;'00_Control'!$B$7),"",--(AF1569&lt;10))</f>
        <v/>
      </c>
      <c r="AI1569" s="35">
        <f>IF(AND(C1569="Grayson Coulter",G1569&gt;='00_Control'!$B$7),"YES","NO")</f>
        <v/>
      </c>
      <c r="AJ1569" s="33" t="inlineStr">
        <is>
          <t>OK</t>
        </is>
      </c>
    </row>
    <row r="1570">
      <c r="A1570" s="33" t="inlineStr">
        <is>
          <t>SM001566</t>
        </is>
      </c>
      <c r="B1570" s="33" t="inlineStr">
        <is>
          <t>SW011</t>
        </is>
      </c>
      <c r="C1570" s="33" t="inlineStr">
        <is>
          <t>Kyle Chalmers</t>
        </is>
      </c>
      <c r="D1570" s="33" t="inlineStr">
        <is>
          <t>SwimCloud</t>
        </is>
      </c>
      <c r="E1570" s="33" t="inlineStr">
        <is>
          <t>419989</t>
        </is>
      </c>
      <c r="F1570" s="33" t="inlineStr">
        <is>
          <t>21319041</t>
        </is>
      </c>
      <c r="G1570" s="51" t="n">
        <v>43415</v>
      </c>
      <c r="H1570" s="33" t="inlineStr">
        <is>
          <t>FINA World Cup - Tokyo</t>
        </is>
      </c>
      <c r="I1570" s="33" t="inlineStr">
        <is>
          <t>135869</t>
        </is>
      </c>
      <c r="J1570" s="33" t="inlineStr"/>
      <c r="K1570" s="33" t="inlineStr">
        <is>
          <t>PRE</t>
        </is>
      </c>
      <c r="L1570" s="35">
        <f>IF(K1570="FIN",3,IF(OR(K1570="SEM",K1570="SEMI"),2,IF(OR(K1570="PRE",K1570="HEAT"),1,IF(V1570="YES",4,2))))</f>
        <v/>
      </c>
      <c r="M1570" s="33" t="inlineStr">
        <is>
          <t>SCM</t>
        </is>
      </c>
      <c r="N1570" s="33" t="n">
        <v>200</v>
      </c>
      <c r="O1570" s="33" t="inlineStr">
        <is>
          <t>Free</t>
        </is>
      </c>
      <c r="P1570" s="33" t="inlineStr">
        <is>
          <t>200 Free</t>
        </is>
      </c>
      <c r="Q1570" s="33" t="inlineStr">
        <is>
          <t>SCM_200_FREE</t>
        </is>
      </c>
      <c r="R1570" s="36" t="n">
        <v>103.89</v>
      </c>
      <c r="S1570" s="35">
        <f>IF(R1570="","",IF(R1570&gt;=60,INT(R1570/60)&amp;":"&amp;TEXT(MOD(R1570,60),"00.00"),TEXT(R1570,"0.00")))</f>
        <v/>
      </c>
      <c r="T1570" s="52">
        <f>IFERROR((G1570-INDEX('01_Swimmers'!$E$5:$E$22,MATCH(B1570,'01_Swimmers'!$A$5:$A$22,0)))/'00_Control'!$B$10,"")</f>
        <v/>
      </c>
      <c r="U1570" s="35">
        <f>IF(T1570="","",INT(T1570))</f>
        <v/>
      </c>
      <c r="V1570" s="33" t="inlineStr">
        <is>
          <t>NO</t>
        </is>
      </c>
      <c r="W1570" s="33" t="inlineStr">
        <is>
          <t>YES</t>
        </is>
      </c>
      <c r="X1570" s="33" t="inlineStr">
        <is>
          <t>NO</t>
        </is>
      </c>
      <c r="Y1570" s="33" t="n">
        <v>5</v>
      </c>
      <c r="Z1570" s="33" t="n">
        <v>5</v>
      </c>
      <c r="AA1570" s="33" t="inlineStr">
        <is>
          <t>1</t>
        </is>
      </c>
      <c r="AB1570" s="33" t="inlineStr">
        <is>
          <t>https://www.swimcloud.com/results/135869/event/34/?id=21319041#time21319041</t>
        </is>
      </c>
      <c r="AC1570" s="33" t="inlineStr">
        <is>
          <t>SwimCloud API v6 2026-10-08</t>
        </is>
      </c>
      <c r="AD1570" s="33" t="inlineStr">
        <is>
          <t>Kyle Chalmers|2018-11-11|SCM|200|Free|103.89|FINA World Cup - Tokyo|PRE|False</t>
        </is>
      </c>
      <c r="AE1570" s="53">
        <f>G1570+L1570/1000+ROW()/1000000000</f>
        <v/>
      </c>
      <c r="AF1570" s="35">
        <f>IF(C1570&lt;&gt;"Grayson Coulter","",COUNTIFS($C$5:$C$2991,"Grayson Coulter",$Q$5:$Q$2991,Q1570,$AE$5:$AE$2991,"&lt;="&amp;AE1570,$R$5:$R$2991,"&lt;"&amp;R1570))</f>
        <v/>
      </c>
      <c r="AG1570" s="35">
        <f>IF(OR(C1570&lt;&gt;"Grayson Coulter",G1570&lt;'00_Control'!$B$7),"",--(AF1570&lt;5))</f>
        <v/>
      </c>
      <c r="AH1570" s="35">
        <f>IF(OR(C1570&lt;&gt;"Grayson Coulter",G1570&lt;'00_Control'!$B$7),"",--(AF1570&lt;10))</f>
        <v/>
      </c>
      <c r="AI1570" s="35">
        <f>IF(AND(C1570="Grayson Coulter",G1570&gt;='00_Control'!$B$7),"YES","NO")</f>
        <v/>
      </c>
      <c r="AJ1570" s="33" t="inlineStr">
        <is>
          <t>OK</t>
        </is>
      </c>
    </row>
    <row r="1571">
      <c r="A1571" s="33" t="inlineStr">
        <is>
          <t>SM001567</t>
        </is>
      </c>
      <c r="B1571" s="33" t="inlineStr">
        <is>
          <t>SW011</t>
        </is>
      </c>
      <c r="C1571" s="33" t="inlineStr">
        <is>
          <t>Kyle Chalmers</t>
        </is>
      </c>
      <c r="D1571" s="33" t="inlineStr">
        <is>
          <t>SwimCloud</t>
        </is>
      </c>
      <c r="E1571" s="33" t="inlineStr">
        <is>
          <t>419989</t>
        </is>
      </c>
      <c r="F1571" s="33" t="inlineStr">
        <is>
          <t>21319040</t>
        </is>
      </c>
      <c r="G1571" s="51" t="n">
        <v>43415</v>
      </c>
      <c r="H1571" s="33" t="inlineStr">
        <is>
          <t>FINA World Cup - Tokyo</t>
        </is>
      </c>
      <c r="I1571" s="33" t="inlineStr">
        <is>
          <t>135869</t>
        </is>
      </c>
      <c r="J1571" s="33" t="inlineStr"/>
      <c r="K1571" s="33" t="inlineStr">
        <is>
          <t>FIN</t>
        </is>
      </c>
      <c r="L1571" s="35">
        <f>IF(K1571="FIN",3,IF(OR(K1571="SEM",K1571="SEMI"),2,IF(OR(K1571="PRE",K1571="HEAT"),1,IF(V1571="YES",4,2))))</f>
        <v/>
      </c>
      <c r="M1571" s="33" t="inlineStr">
        <is>
          <t>SCM</t>
        </is>
      </c>
      <c r="N1571" s="33" t="n">
        <v>200</v>
      </c>
      <c r="O1571" s="33" t="inlineStr">
        <is>
          <t>Free</t>
        </is>
      </c>
      <c r="P1571" s="33" t="inlineStr">
        <is>
          <t>200 Free</t>
        </is>
      </c>
      <c r="Q1571" s="33" t="inlineStr">
        <is>
          <t>SCM_200_FREE</t>
        </is>
      </c>
      <c r="R1571" s="36" t="n">
        <v>101.83</v>
      </c>
      <c r="S1571" s="35">
        <f>IF(R1571="","",IF(R1571&gt;=60,INT(R1571/60)&amp;":"&amp;TEXT(MOD(R1571,60),"00.00"),TEXT(R1571,"0.00")))</f>
        <v/>
      </c>
      <c r="T1571" s="52">
        <f>IFERROR((G1571-INDEX('01_Swimmers'!$E$5:$E$22,MATCH(B1571,'01_Swimmers'!$A$5:$A$22,0)))/'00_Control'!$B$10,"")</f>
        <v/>
      </c>
      <c r="U1571" s="35">
        <f>IF(T1571="","",INT(T1571))</f>
        <v/>
      </c>
      <c r="V1571" s="33" t="inlineStr">
        <is>
          <t>NO</t>
        </is>
      </c>
      <c r="W1571" s="33" t="inlineStr">
        <is>
          <t>YES</t>
        </is>
      </c>
      <c r="X1571" s="33" t="inlineStr">
        <is>
          <t>NO</t>
        </is>
      </c>
      <c r="Y1571" s="33" t="n">
        <v>1</v>
      </c>
      <c r="Z1571" s="33" t="n">
        <v>4</v>
      </c>
      <c r="AA1571" s="33" t="inlineStr">
        <is>
          <t>1</t>
        </is>
      </c>
      <c r="AB1571" s="33" t="inlineStr">
        <is>
          <t>https://www.swimcloud.com/results/135869/event/34/?id=21319040#time21319040</t>
        </is>
      </c>
      <c r="AC1571" s="33" t="inlineStr">
        <is>
          <t>SwimCloud API v6 2026-10-08</t>
        </is>
      </c>
      <c r="AD1571" s="33" t="inlineStr">
        <is>
          <t>Kyle Chalmers|2018-11-11|SCM|200|Free|101.83|FINA World Cup - Tokyo|FIN|False</t>
        </is>
      </c>
      <c r="AE1571" s="53">
        <f>G1571+L1571/1000+ROW()/1000000000</f>
        <v/>
      </c>
      <c r="AF1571" s="35">
        <f>IF(C1571&lt;&gt;"Grayson Coulter","",COUNTIFS($C$5:$C$2991,"Grayson Coulter",$Q$5:$Q$2991,Q1571,$AE$5:$AE$2991,"&lt;="&amp;AE1571,$R$5:$R$2991,"&lt;"&amp;R1571))</f>
        <v/>
      </c>
      <c r="AG1571" s="35">
        <f>IF(OR(C1571&lt;&gt;"Grayson Coulter",G1571&lt;'00_Control'!$B$7),"",--(AF1571&lt;5))</f>
        <v/>
      </c>
      <c r="AH1571" s="35">
        <f>IF(OR(C1571&lt;&gt;"Grayson Coulter",G1571&lt;'00_Control'!$B$7),"",--(AF1571&lt;10))</f>
        <v/>
      </c>
      <c r="AI1571" s="35">
        <f>IF(AND(C1571="Grayson Coulter",G1571&gt;='00_Control'!$B$7),"YES","NO")</f>
        <v/>
      </c>
      <c r="AJ1571" s="33" t="inlineStr">
        <is>
          <t>OK</t>
        </is>
      </c>
    </row>
    <row r="1572">
      <c r="A1572" s="33" t="inlineStr">
        <is>
          <t>SM001568</t>
        </is>
      </c>
      <c r="B1572" s="33" t="inlineStr">
        <is>
          <t>SW011</t>
        </is>
      </c>
      <c r="C1572" s="33" t="inlineStr">
        <is>
          <t>Kyle Chalmers</t>
        </is>
      </c>
      <c r="D1572" s="33" t="inlineStr">
        <is>
          <t>SwimCloud</t>
        </is>
      </c>
      <c r="E1572" s="33" t="inlineStr">
        <is>
          <t>419989</t>
        </is>
      </c>
      <c r="F1572" s="33" t="inlineStr">
        <is>
          <t>28187700</t>
        </is>
      </c>
      <c r="G1572" s="51" t="n">
        <v>43668</v>
      </c>
      <c r="H1572" s="33" t="inlineStr">
        <is>
          <t>18th FINA World Championships</t>
        </is>
      </c>
      <c r="I1572" s="33" t="inlineStr">
        <is>
          <t>149555</t>
        </is>
      </c>
      <c r="J1572" s="33" t="inlineStr"/>
      <c r="K1572" s="33" t="inlineStr">
        <is>
          <t>PRE</t>
        </is>
      </c>
      <c r="L1572" s="35">
        <f>IF(K1572="FIN",3,IF(OR(K1572="SEM",K1572="SEMI"),2,IF(OR(K1572="PRE",K1572="HEAT"),1,IF(V1572="YES",4,2))))</f>
        <v/>
      </c>
      <c r="M1572" s="33" t="inlineStr">
        <is>
          <t>LCM</t>
        </is>
      </c>
      <c r="N1572" s="33" t="n">
        <v>200</v>
      </c>
      <c r="O1572" s="33" t="inlineStr">
        <is>
          <t>Free</t>
        </is>
      </c>
      <c r="P1572" s="33" t="inlineStr">
        <is>
          <t>200 Free</t>
        </is>
      </c>
      <c r="Q1572" s="33" t="inlineStr">
        <is>
          <t>LCM_200_FREE</t>
        </is>
      </c>
      <c r="R1572" s="36" t="n">
        <v>106.36</v>
      </c>
      <c r="S1572" s="35">
        <f>IF(R1572="","",IF(R1572&gt;=60,INT(R1572/60)&amp;":"&amp;TEXT(MOD(R1572,60),"00.00"),TEXT(R1572,"0.00")))</f>
        <v/>
      </c>
      <c r="T1572" s="52">
        <f>IFERROR((G1572-INDEX('01_Swimmers'!$E$5:$E$22,MATCH(B1572,'01_Swimmers'!$A$5:$A$22,0)))/'00_Control'!$B$10,"")</f>
        <v/>
      </c>
      <c r="U1572" s="35">
        <f>IF(T1572="","",INT(T1572))</f>
        <v/>
      </c>
      <c r="V1572" s="33" t="inlineStr">
        <is>
          <t>NO</t>
        </is>
      </c>
      <c r="W1572" s="33" t="inlineStr">
        <is>
          <t>YES</t>
        </is>
      </c>
      <c r="X1572" s="33" t="inlineStr">
        <is>
          <t>NO</t>
        </is>
      </c>
      <c r="Y1572" s="33" t="n">
        <v>5</v>
      </c>
      <c r="Z1572" s="33" t="n">
        <v>5</v>
      </c>
      <c r="AA1572" s="33" t="inlineStr">
        <is>
          <t>4</t>
        </is>
      </c>
      <c r="AB1572" s="33" t="inlineStr">
        <is>
          <t>https://www.swimcloud.com/results/149555/event/12/?id=28187700#time28187700</t>
        </is>
      </c>
      <c r="AC1572" s="33" t="inlineStr">
        <is>
          <t>SwimCloud API v6 2026-10-08</t>
        </is>
      </c>
      <c r="AD1572" s="33" t="inlineStr">
        <is>
          <t>Kyle Chalmers|2019-07-22|LCM|200|Free|106.36|18th FINA World Championships|PRE|False</t>
        </is>
      </c>
      <c r="AE1572" s="53">
        <f>G1572+L1572/1000+ROW()/1000000000</f>
        <v/>
      </c>
      <c r="AF1572" s="35">
        <f>IF(C1572&lt;&gt;"Grayson Coulter","",COUNTIFS($C$5:$C$2991,"Grayson Coulter",$Q$5:$Q$2991,Q1572,$AE$5:$AE$2991,"&lt;="&amp;AE1572,$R$5:$R$2991,"&lt;"&amp;R1572))</f>
        <v/>
      </c>
      <c r="AG1572" s="35">
        <f>IF(OR(C1572&lt;&gt;"Grayson Coulter",G1572&lt;'00_Control'!$B$7),"",--(AF1572&lt;5))</f>
        <v/>
      </c>
      <c r="AH1572" s="35">
        <f>IF(OR(C1572&lt;&gt;"Grayson Coulter",G1572&lt;'00_Control'!$B$7),"",--(AF1572&lt;10))</f>
        <v/>
      </c>
      <c r="AI1572" s="35">
        <f>IF(AND(C1572="Grayson Coulter",G1572&gt;='00_Control'!$B$7),"YES","NO")</f>
        <v/>
      </c>
      <c r="AJ1572" s="33" t="inlineStr">
        <is>
          <t>OK</t>
        </is>
      </c>
    </row>
    <row r="1573">
      <c r="A1573" s="33" t="inlineStr">
        <is>
          <t>SM001569</t>
        </is>
      </c>
      <c r="B1573" s="33" t="inlineStr">
        <is>
          <t>SW011</t>
        </is>
      </c>
      <c r="C1573" s="33" t="inlineStr">
        <is>
          <t>Kyle Chalmers</t>
        </is>
      </c>
      <c r="D1573" s="33" t="inlineStr">
        <is>
          <t>SwimCloud</t>
        </is>
      </c>
      <c r="E1573" s="33" t="inlineStr">
        <is>
          <t>419989</t>
        </is>
      </c>
      <c r="F1573" s="33" t="inlineStr">
        <is>
          <t>28187701</t>
        </is>
      </c>
      <c r="G1573" s="51" t="n">
        <v>43668</v>
      </c>
      <c r="H1573" s="33" t="inlineStr">
        <is>
          <t>18th FINA World Championships</t>
        </is>
      </c>
      <c r="I1573" s="33" t="inlineStr">
        <is>
          <t>149555</t>
        </is>
      </c>
      <c r="J1573" s="33" t="inlineStr"/>
      <c r="K1573" s="33" t="inlineStr">
        <is>
          <t>SEM</t>
        </is>
      </c>
      <c r="L1573" s="35">
        <f>IF(K1573="FIN",3,IF(OR(K1573="SEM",K1573="SEMI"),2,IF(OR(K1573="PRE",K1573="HEAT"),1,IF(V1573="YES",4,2))))</f>
        <v/>
      </c>
      <c r="M1573" s="33" t="inlineStr">
        <is>
          <t>LCM</t>
        </is>
      </c>
      <c r="N1573" s="33" t="n">
        <v>200</v>
      </c>
      <c r="O1573" s="33" t="inlineStr">
        <is>
          <t>Free</t>
        </is>
      </c>
      <c r="P1573" s="33" t="inlineStr">
        <is>
          <t>200 Free</t>
        </is>
      </c>
      <c r="Q1573" s="33" t="inlineStr">
        <is>
          <t>LCM_200_FREE</t>
        </is>
      </c>
      <c r="R1573" s="36" t="n">
        <v>106.21</v>
      </c>
      <c r="S1573" s="35">
        <f>IF(R1573="","",IF(R1573&gt;=60,INT(R1573/60)&amp;":"&amp;TEXT(MOD(R1573,60),"00.00"),TEXT(R1573,"0.00")))</f>
        <v/>
      </c>
      <c r="T1573" s="52">
        <f>IFERROR((G1573-INDEX('01_Swimmers'!$E$5:$E$22,MATCH(B1573,'01_Swimmers'!$A$5:$A$22,0)))/'00_Control'!$B$10,"")</f>
        <v/>
      </c>
      <c r="U1573" s="35">
        <f>IF(T1573="","",INT(T1573))</f>
        <v/>
      </c>
      <c r="V1573" s="33" t="inlineStr">
        <is>
          <t>NO</t>
        </is>
      </c>
      <c r="W1573" s="33" t="inlineStr">
        <is>
          <t>YES</t>
        </is>
      </c>
      <c r="X1573" s="33" t="inlineStr">
        <is>
          <t>NO</t>
        </is>
      </c>
      <c r="Y1573" s="33" t="n">
        <v>1</v>
      </c>
      <c r="Z1573" s="33" t="n">
        <v>5</v>
      </c>
      <c r="AA1573" s="33" t="inlineStr">
        <is>
          <t>13</t>
        </is>
      </c>
      <c r="AB1573" s="33" t="inlineStr">
        <is>
          <t>https://www.swimcloud.com/results/149555/event/12/?id=28187701#time28187701</t>
        </is>
      </c>
      <c r="AC1573" s="33" t="inlineStr">
        <is>
          <t>SwimCloud API v6 2026-10-08</t>
        </is>
      </c>
      <c r="AD1573" s="33" t="inlineStr">
        <is>
          <t>Kyle Chalmers|2019-07-22|LCM|200|Free|106.21|18th FINA World Championships|SEM|False</t>
        </is>
      </c>
      <c r="AE1573" s="53">
        <f>G1573+L1573/1000+ROW()/1000000000</f>
        <v/>
      </c>
      <c r="AF1573" s="35">
        <f>IF(C1573&lt;&gt;"Grayson Coulter","",COUNTIFS($C$5:$C$2991,"Grayson Coulter",$Q$5:$Q$2991,Q1573,$AE$5:$AE$2991,"&lt;="&amp;AE1573,$R$5:$R$2991,"&lt;"&amp;R1573))</f>
        <v/>
      </c>
      <c r="AG1573" s="35">
        <f>IF(OR(C1573&lt;&gt;"Grayson Coulter",G1573&lt;'00_Control'!$B$7),"",--(AF1573&lt;5))</f>
        <v/>
      </c>
      <c r="AH1573" s="35">
        <f>IF(OR(C1573&lt;&gt;"Grayson Coulter",G1573&lt;'00_Control'!$B$7),"",--(AF1573&lt;10))</f>
        <v/>
      </c>
      <c r="AI1573" s="35">
        <f>IF(AND(C1573="Grayson Coulter",G1573&gt;='00_Control'!$B$7),"YES","NO")</f>
        <v/>
      </c>
      <c r="AJ1573" s="33" t="inlineStr">
        <is>
          <t>OK</t>
        </is>
      </c>
    </row>
    <row r="1574">
      <c r="A1574" s="33" t="inlineStr">
        <is>
          <t>SM001570</t>
        </is>
      </c>
      <c r="B1574" s="33" t="inlineStr">
        <is>
          <t>SW011</t>
        </is>
      </c>
      <c r="C1574" s="33" t="inlineStr">
        <is>
          <t>Kyle Chalmers</t>
        </is>
      </c>
      <c r="D1574" s="33" t="inlineStr">
        <is>
          <t>SwimCloud</t>
        </is>
      </c>
      <c r="E1574" s="33" t="inlineStr">
        <is>
          <t>419989</t>
        </is>
      </c>
      <c r="F1574" s="33" t="inlineStr">
        <is>
          <t>28187698</t>
        </is>
      </c>
      <c r="G1574" s="51" t="n">
        <v>43670</v>
      </c>
      <c r="H1574" s="33" t="inlineStr">
        <is>
          <t>18th FINA World Championships</t>
        </is>
      </c>
      <c r="I1574" s="33" t="inlineStr">
        <is>
          <t>149555</t>
        </is>
      </c>
      <c r="J1574" s="33" t="inlineStr"/>
      <c r="K1574" s="33" t="inlineStr">
        <is>
          <t>PRE</t>
        </is>
      </c>
      <c r="L1574" s="35">
        <f>IF(K1574="FIN",3,IF(OR(K1574="SEM",K1574="SEMI"),2,IF(OR(K1574="PRE",K1574="HEAT"),1,IF(V1574="YES",4,2))))</f>
        <v/>
      </c>
      <c r="M1574" s="33" t="inlineStr">
        <is>
          <t>LCM</t>
        </is>
      </c>
      <c r="N1574" s="33" t="n">
        <v>100</v>
      </c>
      <c r="O1574" s="33" t="inlineStr">
        <is>
          <t>Free</t>
        </is>
      </c>
      <c r="P1574" s="33" t="inlineStr">
        <is>
          <t>100 Free</t>
        </is>
      </c>
      <c r="Q1574" s="33" t="inlineStr">
        <is>
          <t>LCM_100_FREE</t>
        </is>
      </c>
      <c r="R1574" s="36" t="n">
        <v>48.66</v>
      </c>
      <c r="S1574" s="35">
        <f>IF(R1574="","",IF(R1574&gt;=60,INT(R1574/60)&amp;":"&amp;TEXT(MOD(R1574,60),"00.00"),TEXT(R1574,"0.00")))</f>
        <v/>
      </c>
      <c r="T1574" s="52">
        <f>IFERROR((G1574-INDEX('01_Swimmers'!$E$5:$E$22,MATCH(B1574,'01_Swimmers'!$A$5:$A$22,0)))/'00_Control'!$B$10,"")</f>
        <v/>
      </c>
      <c r="U1574" s="35">
        <f>IF(T1574="","",INT(T1574))</f>
        <v/>
      </c>
      <c r="V1574" s="33" t="inlineStr">
        <is>
          <t>NO</t>
        </is>
      </c>
      <c r="W1574" s="33" t="inlineStr">
        <is>
          <t>YES</t>
        </is>
      </c>
      <c r="X1574" s="33" t="inlineStr">
        <is>
          <t>NO</t>
        </is>
      </c>
      <c r="Y1574" s="33" t="n">
        <v>13</v>
      </c>
      <c r="Z1574" s="33" t="n">
        <v>4</v>
      </c>
      <c r="AA1574" s="33" t="inlineStr">
        <is>
          <t>10</t>
        </is>
      </c>
      <c r="AB1574" s="33" t="inlineStr">
        <is>
          <t>https://www.swimcloud.com/results/149555/event/19/?id=28187698#time28187698</t>
        </is>
      </c>
      <c r="AC1574" s="33" t="inlineStr">
        <is>
          <t>SwimCloud API v6 2026-10-08</t>
        </is>
      </c>
      <c r="AD1574" s="33" t="inlineStr">
        <is>
          <t>Kyle Chalmers|2019-07-24|LCM|100|Free|48.66|18th FINA World Championships|PRE|False</t>
        </is>
      </c>
      <c r="AE1574" s="53">
        <f>G1574+L1574/1000+ROW()/1000000000</f>
        <v/>
      </c>
      <c r="AF1574" s="35">
        <f>IF(C1574&lt;&gt;"Grayson Coulter","",COUNTIFS($C$5:$C$2991,"Grayson Coulter",$Q$5:$Q$2991,Q1574,$AE$5:$AE$2991,"&lt;="&amp;AE1574,$R$5:$R$2991,"&lt;"&amp;R1574))</f>
        <v/>
      </c>
      <c r="AG1574" s="35">
        <f>IF(OR(C1574&lt;&gt;"Grayson Coulter",G1574&lt;'00_Control'!$B$7),"",--(AF1574&lt;5))</f>
        <v/>
      </c>
      <c r="AH1574" s="35">
        <f>IF(OR(C1574&lt;&gt;"Grayson Coulter",G1574&lt;'00_Control'!$B$7),"",--(AF1574&lt;10))</f>
        <v/>
      </c>
      <c r="AI1574" s="35">
        <f>IF(AND(C1574="Grayson Coulter",G1574&gt;='00_Control'!$B$7),"YES","NO")</f>
        <v/>
      </c>
      <c r="AJ1574" s="33" t="inlineStr">
        <is>
          <t>OK</t>
        </is>
      </c>
    </row>
    <row r="1575">
      <c r="A1575" s="33" t="inlineStr">
        <is>
          <t>SM001571</t>
        </is>
      </c>
      <c r="B1575" s="33" t="inlineStr">
        <is>
          <t>SW011</t>
        </is>
      </c>
      <c r="C1575" s="33" t="inlineStr">
        <is>
          <t>Kyle Chalmers</t>
        </is>
      </c>
      <c r="D1575" s="33" t="inlineStr">
        <is>
          <t>SwimCloud</t>
        </is>
      </c>
      <c r="E1575" s="33" t="inlineStr">
        <is>
          <t>419989</t>
        </is>
      </c>
      <c r="F1575" s="33" t="inlineStr">
        <is>
          <t>28187699</t>
        </is>
      </c>
      <c r="G1575" s="51" t="n">
        <v>43670</v>
      </c>
      <c r="H1575" s="33" t="inlineStr">
        <is>
          <t>18th FINA World Championships</t>
        </is>
      </c>
      <c r="I1575" s="33" t="inlineStr">
        <is>
          <t>149555</t>
        </is>
      </c>
      <c r="J1575" s="33" t="inlineStr"/>
      <c r="K1575" s="33" t="inlineStr">
        <is>
          <t>SEM</t>
        </is>
      </c>
      <c r="L1575" s="35">
        <f>IF(K1575="FIN",3,IF(OR(K1575="SEM",K1575="SEMI"),2,IF(OR(K1575="PRE",K1575="HEAT"),1,IF(V1575="YES",4,2))))</f>
        <v/>
      </c>
      <c r="M1575" s="33" t="inlineStr">
        <is>
          <t>LCM</t>
        </is>
      </c>
      <c r="N1575" s="33" t="n">
        <v>100</v>
      </c>
      <c r="O1575" s="33" t="inlineStr">
        <is>
          <t>Free</t>
        </is>
      </c>
      <c r="P1575" s="33" t="inlineStr">
        <is>
          <t>100 Free</t>
        </is>
      </c>
      <c r="Q1575" s="33" t="inlineStr">
        <is>
          <t>LCM_100_FREE</t>
        </is>
      </c>
      <c r="R1575" s="36" t="n">
        <v>47.58</v>
      </c>
      <c r="S1575" s="35">
        <f>IF(R1575="","",IF(R1575&gt;=60,INT(R1575/60)&amp;":"&amp;TEXT(MOD(R1575,60),"00.00"),TEXT(R1575,"0.00")))</f>
        <v/>
      </c>
      <c r="T1575" s="52">
        <f>IFERROR((G1575-INDEX('01_Swimmers'!$E$5:$E$22,MATCH(B1575,'01_Swimmers'!$A$5:$A$22,0)))/'00_Control'!$B$10,"")</f>
        <v/>
      </c>
      <c r="U1575" s="35">
        <f>IF(T1575="","",INT(T1575))</f>
        <v/>
      </c>
      <c r="V1575" s="33" t="inlineStr">
        <is>
          <t>NO</t>
        </is>
      </c>
      <c r="W1575" s="33" t="inlineStr">
        <is>
          <t>YES</t>
        </is>
      </c>
      <c r="X1575" s="33" t="inlineStr">
        <is>
          <t>NO</t>
        </is>
      </c>
      <c r="Y1575" s="33" t="n">
        <v>1</v>
      </c>
      <c r="Z1575" s="33" t="n">
        <v>2</v>
      </c>
      <c r="AA1575" s="33" t="inlineStr">
        <is>
          <t>2</t>
        </is>
      </c>
      <c r="AB1575" s="33" t="inlineStr">
        <is>
          <t>https://www.swimcloud.com/results/149555/event/19/?id=28187699#time28187699</t>
        </is>
      </c>
      <c r="AC1575" s="33" t="inlineStr">
        <is>
          <t>SwimCloud API v6 2026-10-08</t>
        </is>
      </c>
      <c r="AD1575" s="33" t="inlineStr">
        <is>
          <t>Kyle Chalmers|2019-07-24|LCM|100|Free|47.58|18th FINA World Championships|SEM|False</t>
        </is>
      </c>
      <c r="AE1575" s="53">
        <f>G1575+L1575/1000+ROW()/1000000000</f>
        <v/>
      </c>
      <c r="AF1575" s="35">
        <f>IF(C1575&lt;&gt;"Grayson Coulter","",COUNTIFS($C$5:$C$2991,"Grayson Coulter",$Q$5:$Q$2991,Q1575,$AE$5:$AE$2991,"&lt;="&amp;AE1575,$R$5:$R$2991,"&lt;"&amp;R1575))</f>
        <v/>
      </c>
      <c r="AG1575" s="35">
        <f>IF(OR(C1575&lt;&gt;"Grayson Coulter",G1575&lt;'00_Control'!$B$7),"",--(AF1575&lt;5))</f>
        <v/>
      </c>
      <c r="AH1575" s="35">
        <f>IF(OR(C1575&lt;&gt;"Grayson Coulter",G1575&lt;'00_Control'!$B$7),"",--(AF1575&lt;10))</f>
        <v/>
      </c>
      <c r="AI1575" s="35">
        <f>IF(AND(C1575="Grayson Coulter",G1575&gt;='00_Control'!$B$7),"YES","NO")</f>
        <v/>
      </c>
      <c r="AJ1575" s="33" t="inlineStr">
        <is>
          <t>OK</t>
        </is>
      </c>
    </row>
    <row r="1576">
      <c r="A1576" s="33" t="inlineStr">
        <is>
          <t>SM001572</t>
        </is>
      </c>
      <c r="B1576" s="33" t="inlineStr">
        <is>
          <t>SW011</t>
        </is>
      </c>
      <c r="C1576" s="33" t="inlineStr">
        <is>
          <t>Kyle Chalmers</t>
        </is>
      </c>
      <c r="D1576" s="33" t="inlineStr">
        <is>
          <t>SwimCloud</t>
        </is>
      </c>
      <c r="E1576" s="33" t="inlineStr">
        <is>
          <t>419989</t>
        </is>
      </c>
      <c r="F1576" s="33" t="inlineStr">
        <is>
          <t>28187697</t>
        </is>
      </c>
      <c r="G1576" s="51" t="n">
        <v>43671</v>
      </c>
      <c r="H1576" s="33" t="inlineStr">
        <is>
          <t>18th FINA World Championships</t>
        </is>
      </c>
      <c r="I1576" s="33" t="inlineStr">
        <is>
          <t>149555</t>
        </is>
      </c>
      <c r="J1576" s="33" t="inlineStr"/>
      <c r="K1576" s="33" t="inlineStr">
        <is>
          <t>FIN</t>
        </is>
      </c>
      <c r="L1576" s="35">
        <f>IF(K1576="FIN",3,IF(OR(K1576="SEM",K1576="SEMI"),2,IF(OR(K1576="PRE",K1576="HEAT"),1,IF(V1576="YES",4,2))))</f>
        <v/>
      </c>
      <c r="M1576" s="33" t="inlineStr">
        <is>
          <t>LCM</t>
        </is>
      </c>
      <c r="N1576" s="33" t="n">
        <v>100</v>
      </c>
      <c r="O1576" s="33" t="inlineStr">
        <is>
          <t>Free</t>
        </is>
      </c>
      <c r="P1576" s="33" t="inlineStr">
        <is>
          <t>100 Free</t>
        </is>
      </c>
      <c r="Q1576" s="33" t="inlineStr">
        <is>
          <t>LCM_100_FREE</t>
        </is>
      </c>
      <c r="R1576" s="36" t="n">
        <v>47.08</v>
      </c>
      <c r="S1576" s="35">
        <f>IF(R1576="","",IF(R1576&gt;=60,INT(R1576/60)&amp;":"&amp;TEXT(MOD(R1576,60),"00.00"),TEXT(R1576,"0.00")))</f>
        <v/>
      </c>
      <c r="T1576" s="52">
        <f>IFERROR((G1576-INDEX('01_Swimmers'!$E$5:$E$22,MATCH(B1576,'01_Swimmers'!$A$5:$A$22,0)))/'00_Control'!$B$10,"")</f>
        <v/>
      </c>
      <c r="U1576" s="35">
        <f>IF(T1576="","",INT(T1576))</f>
        <v/>
      </c>
      <c r="V1576" s="33" t="inlineStr">
        <is>
          <t>NO</t>
        </is>
      </c>
      <c r="W1576" s="33" t="inlineStr">
        <is>
          <t>YES</t>
        </is>
      </c>
      <c r="X1576" s="33" t="inlineStr">
        <is>
          <t>NO</t>
        </is>
      </c>
      <c r="Y1576" s="33" t="n">
        <v>1</v>
      </c>
      <c r="Z1576" s="33" t="n">
        <v>5</v>
      </c>
      <c r="AA1576" s="33" t="inlineStr">
        <is>
          <t>2</t>
        </is>
      </c>
      <c r="AB1576" s="33" t="inlineStr">
        <is>
          <t>https://www.swimcloud.com/results/149555/event/19/?id=28187697#time28187697</t>
        </is>
      </c>
      <c r="AC1576" s="33" t="inlineStr">
        <is>
          <t>SwimCloud API v6 2026-10-08</t>
        </is>
      </c>
      <c r="AD1576" s="33" t="inlineStr">
        <is>
          <t>Kyle Chalmers|2019-07-25|LCM|100|Free|47.08|18th FINA World Championships|FIN|False</t>
        </is>
      </c>
      <c r="AE1576" s="53">
        <f>G1576+L1576/1000+ROW()/1000000000</f>
        <v/>
      </c>
      <c r="AF1576" s="35">
        <f>IF(C1576&lt;&gt;"Grayson Coulter","",COUNTIFS($C$5:$C$2991,"Grayson Coulter",$Q$5:$Q$2991,Q1576,$AE$5:$AE$2991,"&lt;="&amp;AE1576,$R$5:$R$2991,"&lt;"&amp;R1576))</f>
        <v/>
      </c>
      <c r="AG1576" s="35">
        <f>IF(OR(C1576&lt;&gt;"Grayson Coulter",G1576&lt;'00_Control'!$B$7),"",--(AF1576&lt;5))</f>
        <v/>
      </c>
      <c r="AH1576" s="35">
        <f>IF(OR(C1576&lt;&gt;"Grayson Coulter",G1576&lt;'00_Control'!$B$7),"",--(AF1576&lt;10))</f>
        <v/>
      </c>
      <c r="AI1576" s="35">
        <f>IF(AND(C1576="Grayson Coulter",G1576&gt;='00_Control'!$B$7),"YES","NO")</f>
        <v/>
      </c>
      <c r="AJ1576" s="33" t="inlineStr">
        <is>
          <t>OK</t>
        </is>
      </c>
    </row>
    <row r="1577">
      <c r="A1577" s="33" t="inlineStr">
        <is>
          <t>SM001573</t>
        </is>
      </c>
      <c r="B1577" s="33" t="inlineStr">
        <is>
          <t>SW011</t>
        </is>
      </c>
      <c r="C1577" s="33" t="inlineStr">
        <is>
          <t>Kyle Chalmers</t>
        </is>
      </c>
      <c r="D1577" s="33" t="inlineStr">
        <is>
          <t>SwimCloud</t>
        </is>
      </c>
      <c r="E1577" s="33" t="inlineStr">
        <is>
          <t>419989</t>
        </is>
      </c>
      <c r="F1577" s="33" t="inlineStr">
        <is>
          <t>28190691</t>
        </is>
      </c>
      <c r="G1577" s="51" t="n">
        <v>43673</v>
      </c>
      <c r="H1577" s="33" t="inlineStr">
        <is>
          <t>18th FINA World Championships</t>
        </is>
      </c>
      <c r="I1577" s="33" t="inlineStr">
        <is>
          <t>149555</t>
        </is>
      </c>
      <c r="J1577" s="33" t="inlineStr"/>
      <c r="K1577" s="33" t="inlineStr">
        <is>
          <t>FIN</t>
        </is>
      </c>
      <c r="L1577" s="35">
        <f>IF(K1577="FIN",3,IF(OR(K1577="SEM",K1577="SEMI"),2,IF(OR(K1577="PRE",K1577="HEAT"),1,IF(V1577="YES",4,2))))</f>
        <v/>
      </c>
      <c r="M1577" s="33" t="inlineStr">
        <is>
          <t>LCM</t>
        </is>
      </c>
      <c r="N1577" s="33" t="n">
        <v>100</v>
      </c>
      <c r="O1577" s="33" t="inlineStr">
        <is>
          <t>Free</t>
        </is>
      </c>
      <c r="P1577" s="33" t="inlineStr">
        <is>
          <t>100 Free</t>
        </is>
      </c>
      <c r="Q1577" s="33" t="inlineStr">
        <is>
          <t>LCM_100_FREE</t>
        </is>
      </c>
      <c r="R1577" s="36" t="n">
        <v>47.37</v>
      </c>
      <c r="S1577" s="35">
        <f>IF(R1577="","",IF(R1577&gt;=60,INT(R1577/60)&amp;":"&amp;TEXT(MOD(R1577,60),"00.00"),TEXT(R1577,"0.00")))</f>
        <v/>
      </c>
      <c r="T1577" s="52">
        <f>IFERROR((G1577-INDEX('01_Swimmers'!$E$5:$E$22,MATCH(B1577,'01_Swimmers'!$A$5:$A$22,0)))/'00_Control'!$B$10,"")</f>
        <v/>
      </c>
      <c r="U1577" s="35">
        <f>IF(T1577="","",INT(T1577))</f>
        <v/>
      </c>
      <c r="V1577" s="33" t="inlineStr">
        <is>
          <t>YES</t>
        </is>
      </c>
      <c r="W1577" s="33" t="inlineStr">
        <is>
          <t>YES</t>
        </is>
      </c>
      <c r="X1577" s="33" t="inlineStr">
        <is>
          <t>NO</t>
        </is>
      </c>
      <c r="Y1577" s="33" t="n">
        <v>1</v>
      </c>
      <c r="Z1577" s="33" t="n">
        <v>5</v>
      </c>
      <c r="AA1577" s="33" t="inlineStr"/>
      <c r="AB1577" s="33" t="inlineStr">
        <is>
          <t>https://www.swimcloud.com/results/149555/event/37/?id=28187791#time28187791</t>
        </is>
      </c>
      <c r="AC1577" s="33" t="inlineStr">
        <is>
          <t>SwimCloud API v6 2026-10-08</t>
        </is>
      </c>
      <c r="AD1577" s="33" t="inlineStr">
        <is>
          <t>Kyle Chalmers|2019-07-27|LCM|100|Free|47.37|18th FINA World Championships|FIN|True</t>
        </is>
      </c>
      <c r="AE1577" s="53">
        <f>G1577+L1577/1000+ROW()/1000000000</f>
        <v/>
      </c>
      <c r="AF1577" s="35">
        <f>IF(C1577&lt;&gt;"Grayson Coulter","",COUNTIFS($C$5:$C$2991,"Grayson Coulter",$Q$5:$Q$2991,Q1577,$AE$5:$AE$2991,"&lt;="&amp;AE1577,$R$5:$R$2991,"&lt;"&amp;R1577))</f>
        <v/>
      </c>
      <c r="AG1577" s="35">
        <f>IF(OR(C1577&lt;&gt;"Grayson Coulter",G1577&lt;'00_Control'!$B$7),"",--(AF1577&lt;5))</f>
        <v/>
      </c>
      <c r="AH1577" s="35">
        <f>IF(OR(C1577&lt;&gt;"Grayson Coulter",G1577&lt;'00_Control'!$B$7),"",--(AF1577&lt;10))</f>
        <v/>
      </c>
      <c r="AI1577" s="35">
        <f>IF(AND(C1577="Grayson Coulter",G1577&gt;='00_Control'!$B$7),"YES","NO")</f>
        <v/>
      </c>
      <c r="AJ1577" s="33" t="inlineStr">
        <is>
          <t>OK</t>
        </is>
      </c>
    </row>
    <row r="1578">
      <c r="A1578" s="33" t="inlineStr">
        <is>
          <t>SM001574</t>
        </is>
      </c>
      <c r="B1578" s="33" t="inlineStr">
        <is>
          <t>SW011</t>
        </is>
      </c>
      <c r="C1578" s="33" t="inlineStr">
        <is>
          <t>Kyle Chalmers</t>
        </is>
      </c>
      <c r="D1578" s="33" t="inlineStr">
        <is>
          <t>SwimCloud</t>
        </is>
      </c>
      <c r="E1578" s="33" t="inlineStr">
        <is>
          <t>419989</t>
        </is>
      </c>
      <c r="F1578" s="33" t="inlineStr">
        <is>
          <t>36040278</t>
        </is>
      </c>
      <c r="G1578" s="51" t="n">
        <v>43903</v>
      </c>
      <c r="H1578" s="33" t="inlineStr">
        <is>
          <t>NSW State Open Championships</t>
        </is>
      </c>
      <c r="I1578" s="33" t="inlineStr">
        <is>
          <t>179724</t>
        </is>
      </c>
      <c r="J1578" s="33" t="inlineStr"/>
      <c r="K1578" s="33" t="inlineStr">
        <is>
          <t>PRE</t>
        </is>
      </c>
      <c r="L1578" s="35">
        <f>IF(K1578="FIN",3,IF(OR(K1578="SEM",K1578="SEMI"),2,IF(OR(K1578="PRE",K1578="HEAT"),1,IF(V1578="YES",4,2))))</f>
        <v/>
      </c>
      <c r="M1578" s="33" t="inlineStr">
        <is>
          <t>LCM</t>
        </is>
      </c>
      <c r="N1578" s="33" t="n">
        <v>100</v>
      </c>
      <c r="O1578" s="33" t="inlineStr">
        <is>
          <t>Free</t>
        </is>
      </c>
      <c r="P1578" s="33" t="inlineStr">
        <is>
          <t>100 Free</t>
        </is>
      </c>
      <c r="Q1578" s="33" t="inlineStr">
        <is>
          <t>LCM_100_FREE</t>
        </is>
      </c>
      <c r="R1578" s="36" t="n">
        <v>48.27</v>
      </c>
      <c r="S1578" s="35">
        <f>IF(R1578="","",IF(R1578&gt;=60,INT(R1578/60)&amp;":"&amp;TEXT(MOD(R1578,60),"00.00"),TEXT(R1578,"0.00")))</f>
        <v/>
      </c>
      <c r="T1578" s="52">
        <f>IFERROR((G1578-INDEX('01_Swimmers'!$E$5:$E$22,MATCH(B1578,'01_Swimmers'!$A$5:$A$22,0)))/'00_Control'!$B$10,"")</f>
        <v/>
      </c>
      <c r="U1578" s="35">
        <f>IF(T1578="","",INT(T1578))</f>
        <v/>
      </c>
      <c r="V1578" s="33" t="inlineStr">
        <is>
          <t>NO</t>
        </is>
      </c>
      <c r="W1578" s="33" t="inlineStr">
        <is>
          <t>YES</t>
        </is>
      </c>
      <c r="X1578" s="33" t="inlineStr">
        <is>
          <t>NO</t>
        </is>
      </c>
      <c r="Y1578" s="33" t="n">
        <v>11</v>
      </c>
      <c r="Z1578" s="33" t="n">
        <v>4</v>
      </c>
      <c r="AA1578" s="33" t="inlineStr">
        <is>
          <t>1</t>
        </is>
      </c>
      <c r="AB1578" s="33" t="inlineStr">
        <is>
          <t>https://www.swimcloud.com/results/179724/event/7/?id=36040278#time36040278</t>
        </is>
      </c>
      <c r="AC1578" s="33" t="inlineStr">
        <is>
          <t>SwimCloud API v6 2026-10-08</t>
        </is>
      </c>
      <c r="AD1578" s="33" t="inlineStr">
        <is>
          <t>Kyle Chalmers|2020-03-13|LCM|100|Free|48.27|NSW State Open Championships|PRE|False</t>
        </is>
      </c>
      <c r="AE1578" s="53">
        <f>G1578+L1578/1000+ROW()/1000000000</f>
        <v/>
      </c>
      <c r="AF1578" s="35">
        <f>IF(C1578&lt;&gt;"Grayson Coulter","",COUNTIFS($C$5:$C$2991,"Grayson Coulter",$Q$5:$Q$2991,Q1578,$AE$5:$AE$2991,"&lt;="&amp;AE1578,$R$5:$R$2991,"&lt;"&amp;R1578))</f>
        <v/>
      </c>
      <c r="AG1578" s="35">
        <f>IF(OR(C1578&lt;&gt;"Grayson Coulter",G1578&lt;'00_Control'!$B$7),"",--(AF1578&lt;5))</f>
        <v/>
      </c>
      <c r="AH1578" s="35">
        <f>IF(OR(C1578&lt;&gt;"Grayson Coulter",G1578&lt;'00_Control'!$B$7),"",--(AF1578&lt;10))</f>
        <v/>
      </c>
      <c r="AI1578" s="35">
        <f>IF(AND(C1578="Grayson Coulter",G1578&gt;='00_Control'!$B$7),"YES","NO")</f>
        <v/>
      </c>
      <c r="AJ1578" s="33" t="inlineStr">
        <is>
          <t>OK</t>
        </is>
      </c>
    </row>
    <row r="1579">
      <c r="A1579" s="33" t="inlineStr">
        <is>
          <t>SM001575</t>
        </is>
      </c>
      <c r="B1579" s="33" t="inlineStr">
        <is>
          <t>SW011</t>
        </is>
      </c>
      <c r="C1579" s="33" t="inlineStr">
        <is>
          <t>Kyle Chalmers</t>
        </is>
      </c>
      <c r="D1579" s="33" t="inlineStr">
        <is>
          <t>SwimCloud</t>
        </is>
      </c>
      <c r="E1579" s="33" t="inlineStr">
        <is>
          <t>419989</t>
        </is>
      </c>
      <c r="F1579" s="33" t="inlineStr">
        <is>
          <t>41088035</t>
        </is>
      </c>
      <c r="G1579" s="51" t="n">
        <v>43903</v>
      </c>
      <c r="H1579" s="33" t="inlineStr">
        <is>
          <t>NSW State Open Championships</t>
        </is>
      </c>
      <c r="I1579" s="33" t="inlineStr">
        <is>
          <t>196934</t>
        </is>
      </c>
      <c r="J1579" s="33" t="inlineStr"/>
      <c r="K1579" s="33" t="inlineStr">
        <is>
          <t>PRE</t>
        </is>
      </c>
      <c r="L1579" s="35">
        <f>IF(K1579="FIN",3,IF(OR(K1579="SEM",K1579="SEMI"),2,IF(OR(K1579="PRE",K1579="HEAT"),1,IF(V1579="YES",4,2))))</f>
        <v/>
      </c>
      <c r="M1579" s="33" t="inlineStr">
        <is>
          <t>LCM</t>
        </is>
      </c>
      <c r="N1579" s="33" t="n">
        <v>100</v>
      </c>
      <c r="O1579" s="33" t="inlineStr">
        <is>
          <t>Free</t>
        </is>
      </c>
      <c r="P1579" s="33" t="inlineStr">
        <is>
          <t>100 Free</t>
        </is>
      </c>
      <c r="Q1579" s="33" t="inlineStr">
        <is>
          <t>LCM_100_FREE</t>
        </is>
      </c>
      <c r="R1579" s="36" t="n">
        <v>48.27</v>
      </c>
      <c r="S1579" s="35">
        <f>IF(R1579="","",IF(R1579&gt;=60,INT(R1579/60)&amp;":"&amp;TEXT(MOD(R1579,60),"00.00"),TEXT(R1579,"0.00")))</f>
        <v/>
      </c>
      <c r="T1579" s="52">
        <f>IFERROR((G1579-INDEX('01_Swimmers'!$E$5:$E$22,MATCH(B1579,'01_Swimmers'!$A$5:$A$22,0)))/'00_Control'!$B$10,"")</f>
        <v/>
      </c>
      <c r="U1579" s="35">
        <f>IF(T1579="","",INT(T1579))</f>
        <v/>
      </c>
      <c r="V1579" s="33" t="inlineStr">
        <is>
          <t>NO</t>
        </is>
      </c>
      <c r="W1579" s="33" t="inlineStr">
        <is>
          <t>YES</t>
        </is>
      </c>
      <c r="X1579" s="33" t="inlineStr">
        <is>
          <t>NO</t>
        </is>
      </c>
      <c r="Y1579" s="33" t="n">
        <v>11</v>
      </c>
      <c r="Z1579" s="33" t="n">
        <v>4</v>
      </c>
      <c r="AA1579" s="33" t="inlineStr">
        <is>
          <t>1</t>
        </is>
      </c>
      <c r="AB1579" s="33" t="inlineStr">
        <is>
          <t>https://www.swimcloud.com/results/196934/event/7/?id=41088035#time41088035</t>
        </is>
      </c>
      <c r="AC1579" s="33" t="inlineStr">
        <is>
          <t>SwimCloud API v6 2026-10-08</t>
        </is>
      </c>
      <c r="AD1579" s="33" t="inlineStr">
        <is>
          <t>Kyle Chalmers|2020-03-13|LCM|100|Free|48.27|NSW State Open Championships|PRE|False</t>
        </is>
      </c>
      <c r="AE1579" s="53">
        <f>G1579+L1579/1000+ROW()/1000000000</f>
        <v/>
      </c>
      <c r="AF1579" s="35">
        <f>IF(C1579&lt;&gt;"Grayson Coulter","",COUNTIFS($C$5:$C$2991,"Grayson Coulter",$Q$5:$Q$2991,Q1579,$AE$5:$AE$2991,"&lt;="&amp;AE1579,$R$5:$R$2991,"&lt;"&amp;R1579))</f>
        <v/>
      </c>
      <c r="AG1579" s="35">
        <f>IF(OR(C1579&lt;&gt;"Grayson Coulter",G1579&lt;'00_Control'!$B$7),"",--(AF1579&lt;5))</f>
        <v/>
      </c>
      <c r="AH1579" s="35">
        <f>IF(OR(C1579&lt;&gt;"Grayson Coulter",G1579&lt;'00_Control'!$B$7),"",--(AF1579&lt;10))</f>
        <v/>
      </c>
      <c r="AI1579" s="35">
        <f>IF(AND(C1579="Grayson Coulter",G1579&gt;='00_Control'!$B$7),"YES","NO")</f>
        <v/>
      </c>
      <c r="AJ1579" s="33" t="inlineStr">
        <is>
          <t>OK</t>
        </is>
      </c>
    </row>
    <row r="1580">
      <c r="A1580" s="33" t="inlineStr">
        <is>
          <t>SM001576</t>
        </is>
      </c>
      <c r="B1580" s="33" t="inlineStr">
        <is>
          <t>SW011</t>
        </is>
      </c>
      <c r="C1580" s="33" t="inlineStr">
        <is>
          <t>Kyle Chalmers</t>
        </is>
      </c>
      <c r="D1580" s="33" t="inlineStr">
        <is>
          <t>SwimCloud</t>
        </is>
      </c>
      <c r="E1580" s="33" t="inlineStr">
        <is>
          <t>419989</t>
        </is>
      </c>
      <c r="F1580" s="33" t="inlineStr">
        <is>
          <t>36040279</t>
        </is>
      </c>
      <c r="G1580" s="51" t="n">
        <v>43903</v>
      </c>
      <c r="H1580" s="33" t="inlineStr">
        <is>
          <t>NSW State Open Championships</t>
        </is>
      </c>
      <c r="I1580" s="33" t="inlineStr">
        <is>
          <t>179724</t>
        </is>
      </c>
      <c r="J1580" s="33" t="inlineStr"/>
      <c r="K1580" s="33" t="inlineStr">
        <is>
          <t>FIN</t>
        </is>
      </c>
      <c r="L1580" s="35">
        <f>IF(K1580="FIN",3,IF(OR(K1580="SEM",K1580="SEMI"),2,IF(OR(K1580="PRE",K1580="HEAT"),1,IF(V1580="YES",4,2))))</f>
        <v/>
      </c>
      <c r="M1580" s="33" t="inlineStr">
        <is>
          <t>LCM</t>
        </is>
      </c>
      <c r="N1580" s="33" t="n">
        <v>100</v>
      </c>
      <c r="O1580" s="33" t="inlineStr">
        <is>
          <t>Free</t>
        </is>
      </c>
      <c r="P1580" s="33" t="inlineStr">
        <is>
          <t>100 Free</t>
        </is>
      </c>
      <c r="Q1580" s="33" t="inlineStr">
        <is>
          <t>LCM_100_FREE</t>
        </is>
      </c>
      <c r="R1580" s="36" t="n">
        <v>48.28</v>
      </c>
      <c r="S1580" s="35">
        <f>IF(R1580="","",IF(R1580&gt;=60,INT(R1580/60)&amp;":"&amp;TEXT(MOD(R1580,60),"00.00"),TEXT(R1580,"0.00")))</f>
        <v/>
      </c>
      <c r="T1580" s="52">
        <f>IFERROR((G1580-INDEX('01_Swimmers'!$E$5:$E$22,MATCH(B1580,'01_Swimmers'!$A$5:$A$22,0)))/'00_Control'!$B$10,"")</f>
        <v/>
      </c>
      <c r="U1580" s="35">
        <f>IF(T1580="","",INT(T1580))</f>
        <v/>
      </c>
      <c r="V1580" s="33" t="inlineStr">
        <is>
          <t>NO</t>
        </is>
      </c>
      <c r="W1580" s="33" t="inlineStr">
        <is>
          <t>YES</t>
        </is>
      </c>
      <c r="X1580" s="33" t="inlineStr">
        <is>
          <t>NO</t>
        </is>
      </c>
      <c r="Y1580" s="33" t="n">
        <v>1</v>
      </c>
      <c r="Z1580" s="33" t="n">
        <v>4</v>
      </c>
      <c r="AA1580" s="33" t="inlineStr">
        <is>
          <t>1</t>
        </is>
      </c>
      <c r="AB1580" s="33" t="inlineStr">
        <is>
          <t>https://www.swimcloud.com/results/179724/event/7/?id=36040279#time36040279</t>
        </is>
      </c>
      <c r="AC1580" s="33" t="inlineStr">
        <is>
          <t>SwimCloud API v6 2026-10-08</t>
        </is>
      </c>
      <c r="AD1580" s="33" t="inlineStr">
        <is>
          <t>Kyle Chalmers|2020-03-13|LCM|100|Free|48.28|NSW State Open Championships|FIN|False</t>
        </is>
      </c>
      <c r="AE1580" s="53">
        <f>G1580+L1580/1000+ROW()/1000000000</f>
        <v/>
      </c>
      <c r="AF1580" s="35">
        <f>IF(C1580&lt;&gt;"Grayson Coulter","",COUNTIFS($C$5:$C$2991,"Grayson Coulter",$Q$5:$Q$2991,Q1580,$AE$5:$AE$2991,"&lt;="&amp;AE1580,$R$5:$R$2991,"&lt;"&amp;R1580))</f>
        <v/>
      </c>
      <c r="AG1580" s="35">
        <f>IF(OR(C1580&lt;&gt;"Grayson Coulter",G1580&lt;'00_Control'!$B$7),"",--(AF1580&lt;5))</f>
        <v/>
      </c>
      <c r="AH1580" s="35">
        <f>IF(OR(C1580&lt;&gt;"Grayson Coulter",G1580&lt;'00_Control'!$B$7),"",--(AF1580&lt;10))</f>
        <v/>
      </c>
      <c r="AI1580" s="35">
        <f>IF(AND(C1580="Grayson Coulter",G1580&gt;='00_Control'!$B$7),"YES","NO")</f>
        <v/>
      </c>
      <c r="AJ1580" s="33" t="inlineStr">
        <is>
          <t>OK</t>
        </is>
      </c>
    </row>
    <row r="1581">
      <c r="A1581" s="33" t="inlineStr">
        <is>
          <t>SM001577</t>
        </is>
      </c>
      <c r="B1581" s="33" t="inlineStr">
        <is>
          <t>SW011</t>
        </is>
      </c>
      <c r="C1581" s="33" t="inlineStr">
        <is>
          <t>Kyle Chalmers</t>
        </is>
      </c>
      <c r="D1581" s="33" t="inlineStr">
        <is>
          <t>SwimCloud</t>
        </is>
      </c>
      <c r="E1581" s="33" t="inlineStr">
        <is>
          <t>419989</t>
        </is>
      </c>
      <c r="F1581" s="33" t="inlineStr">
        <is>
          <t>41088036</t>
        </is>
      </c>
      <c r="G1581" s="51" t="n">
        <v>43903</v>
      </c>
      <c r="H1581" s="33" t="inlineStr">
        <is>
          <t>NSW State Open Championships</t>
        </is>
      </c>
      <c r="I1581" s="33" t="inlineStr">
        <is>
          <t>196934</t>
        </is>
      </c>
      <c r="J1581" s="33" t="inlineStr"/>
      <c r="K1581" s="33" t="inlineStr">
        <is>
          <t>FIN</t>
        </is>
      </c>
      <c r="L1581" s="35">
        <f>IF(K1581="FIN",3,IF(OR(K1581="SEM",K1581="SEMI"),2,IF(OR(K1581="PRE",K1581="HEAT"),1,IF(V1581="YES",4,2))))</f>
        <v/>
      </c>
      <c r="M1581" s="33" t="inlineStr">
        <is>
          <t>LCM</t>
        </is>
      </c>
      <c r="N1581" s="33" t="n">
        <v>100</v>
      </c>
      <c r="O1581" s="33" t="inlineStr">
        <is>
          <t>Free</t>
        </is>
      </c>
      <c r="P1581" s="33" t="inlineStr">
        <is>
          <t>100 Free</t>
        </is>
      </c>
      <c r="Q1581" s="33" t="inlineStr">
        <is>
          <t>LCM_100_FREE</t>
        </is>
      </c>
      <c r="R1581" s="36" t="n">
        <v>48.28</v>
      </c>
      <c r="S1581" s="35">
        <f>IF(R1581="","",IF(R1581&gt;=60,INT(R1581/60)&amp;":"&amp;TEXT(MOD(R1581,60),"00.00"),TEXT(R1581,"0.00")))</f>
        <v/>
      </c>
      <c r="T1581" s="52">
        <f>IFERROR((G1581-INDEX('01_Swimmers'!$E$5:$E$22,MATCH(B1581,'01_Swimmers'!$A$5:$A$22,0)))/'00_Control'!$B$10,"")</f>
        <v/>
      </c>
      <c r="U1581" s="35">
        <f>IF(T1581="","",INT(T1581))</f>
        <v/>
      </c>
      <c r="V1581" s="33" t="inlineStr">
        <is>
          <t>NO</t>
        </is>
      </c>
      <c r="W1581" s="33" t="inlineStr">
        <is>
          <t>YES</t>
        </is>
      </c>
      <c r="X1581" s="33" t="inlineStr">
        <is>
          <t>NO</t>
        </is>
      </c>
      <c r="Y1581" s="33" t="n">
        <v>1</v>
      </c>
      <c r="Z1581" s="33" t="n">
        <v>4</v>
      </c>
      <c r="AA1581" s="33" t="inlineStr">
        <is>
          <t>1</t>
        </is>
      </c>
      <c r="AB1581" s="33" t="inlineStr">
        <is>
          <t>https://www.swimcloud.com/results/196934/event/7/?id=41088036#time41088036</t>
        </is>
      </c>
      <c r="AC1581" s="33" t="inlineStr">
        <is>
          <t>SwimCloud API v6 2026-10-08</t>
        </is>
      </c>
      <c r="AD1581" s="33" t="inlineStr">
        <is>
          <t>Kyle Chalmers|2020-03-13|LCM|100|Free|48.28|NSW State Open Championships|FIN|False</t>
        </is>
      </c>
      <c r="AE1581" s="53">
        <f>G1581+L1581/1000+ROW()/1000000000</f>
        <v/>
      </c>
      <c r="AF1581" s="35">
        <f>IF(C1581&lt;&gt;"Grayson Coulter","",COUNTIFS($C$5:$C$2991,"Grayson Coulter",$Q$5:$Q$2991,Q1581,$AE$5:$AE$2991,"&lt;="&amp;AE1581,$R$5:$R$2991,"&lt;"&amp;R1581))</f>
        <v/>
      </c>
      <c r="AG1581" s="35">
        <f>IF(OR(C1581&lt;&gt;"Grayson Coulter",G1581&lt;'00_Control'!$B$7),"",--(AF1581&lt;5))</f>
        <v/>
      </c>
      <c r="AH1581" s="35">
        <f>IF(OR(C1581&lt;&gt;"Grayson Coulter",G1581&lt;'00_Control'!$B$7),"",--(AF1581&lt;10))</f>
        <v/>
      </c>
      <c r="AI1581" s="35">
        <f>IF(AND(C1581="Grayson Coulter",G1581&gt;='00_Control'!$B$7),"YES","NO")</f>
        <v/>
      </c>
      <c r="AJ1581" s="33" t="inlineStr">
        <is>
          <t>OK</t>
        </is>
      </c>
    </row>
    <row r="1582">
      <c r="A1582" s="33" t="inlineStr">
        <is>
          <t>SM001578</t>
        </is>
      </c>
      <c r="B1582" s="33" t="inlineStr">
        <is>
          <t>SW011</t>
        </is>
      </c>
      <c r="C1582" s="33" t="inlineStr">
        <is>
          <t>Kyle Chalmers</t>
        </is>
      </c>
      <c r="D1582" s="33" t="inlineStr">
        <is>
          <t>SwimCloud</t>
        </is>
      </c>
      <c r="E1582" s="33" t="inlineStr">
        <is>
          <t>419989</t>
        </is>
      </c>
      <c r="F1582" s="33" t="inlineStr">
        <is>
          <t>36041897</t>
        </is>
      </c>
      <c r="G1582" s="51" t="n">
        <v>43904</v>
      </c>
      <c r="H1582" s="33" t="inlineStr">
        <is>
          <t>NSW State Open Championships</t>
        </is>
      </c>
      <c r="I1582" s="33" t="inlineStr">
        <is>
          <t>179724</t>
        </is>
      </c>
      <c r="J1582" s="33" t="inlineStr"/>
      <c r="K1582" s="33" t="inlineStr">
        <is>
          <t>PRE</t>
        </is>
      </c>
      <c r="L1582" s="35">
        <f>IF(K1582="FIN",3,IF(OR(K1582="SEM",K1582="SEMI"),2,IF(OR(K1582="PRE",K1582="HEAT"),1,IF(V1582="YES",4,2))))</f>
        <v/>
      </c>
      <c r="M1582" s="33" t="inlineStr">
        <is>
          <t>LCM</t>
        </is>
      </c>
      <c r="N1582" s="33" t="n">
        <v>200</v>
      </c>
      <c r="O1582" s="33" t="inlineStr">
        <is>
          <t>Free</t>
        </is>
      </c>
      <c r="P1582" s="33" t="inlineStr">
        <is>
          <t>200 Free</t>
        </is>
      </c>
      <c r="Q1582" s="33" t="inlineStr">
        <is>
          <t>LCM_200_FREE</t>
        </is>
      </c>
      <c r="R1582" s="36" t="n">
        <v>109.64</v>
      </c>
      <c r="S1582" s="35">
        <f>IF(R1582="","",IF(R1582&gt;=60,INT(R1582/60)&amp;":"&amp;TEXT(MOD(R1582,60),"00.00"),TEXT(R1582,"0.00")))</f>
        <v/>
      </c>
      <c r="T1582" s="52">
        <f>IFERROR((G1582-INDEX('01_Swimmers'!$E$5:$E$22,MATCH(B1582,'01_Swimmers'!$A$5:$A$22,0)))/'00_Control'!$B$10,"")</f>
        <v/>
      </c>
      <c r="U1582" s="35">
        <f>IF(T1582="","",INT(T1582))</f>
        <v/>
      </c>
      <c r="V1582" s="33" t="inlineStr">
        <is>
          <t>NO</t>
        </is>
      </c>
      <c r="W1582" s="33" t="inlineStr">
        <is>
          <t>YES</t>
        </is>
      </c>
      <c r="X1582" s="33" t="inlineStr">
        <is>
          <t>NO</t>
        </is>
      </c>
      <c r="Y1582" s="33" t="n">
        <v>8</v>
      </c>
      <c r="Z1582" s="33" t="n">
        <v>4</v>
      </c>
      <c r="AA1582" s="33" t="inlineStr">
        <is>
          <t>3</t>
        </is>
      </c>
      <c r="AB1582" s="33" t="inlineStr">
        <is>
          <t>https://www.swimcloud.com/results/179724/event/17/?id=36041897#time36041897</t>
        </is>
      </c>
      <c r="AC1582" s="33" t="inlineStr">
        <is>
          <t>SwimCloud API v6 2026-10-08</t>
        </is>
      </c>
      <c r="AD1582" s="33" t="inlineStr">
        <is>
          <t>Kyle Chalmers|2020-03-14|LCM|200|Free|109.64|NSW State Open Championships|PRE|False</t>
        </is>
      </c>
      <c r="AE1582" s="53">
        <f>G1582+L1582/1000+ROW()/1000000000</f>
        <v/>
      </c>
      <c r="AF1582" s="35">
        <f>IF(C1582&lt;&gt;"Grayson Coulter","",COUNTIFS($C$5:$C$2991,"Grayson Coulter",$Q$5:$Q$2991,Q1582,$AE$5:$AE$2991,"&lt;="&amp;AE1582,$R$5:$R$2991,"&lt;"&amp;R1582))</f>
        <v/>
      </c>
      <c r="AG1582" s="35">
        <f>IF(OR(C1582&lt;&gt;"Grayson Coulter",G1582&lt;'00_Control'!$B$7),"",--(AF1582&lt;5))</f>
        <v/>
      </c>
      <c r="AH1582" s="35">
        <f>IF(OR(C1582&lt;&gt;"Grayson Coulter",G1582&lt;'00_Control'!$B$7),"",--(AF1582&lt;10))</f>
        <v/>
      </c>
      <c r="AI1582" s="35">
        <f>IF(AND(C1582="Grayson Coulter",G1582&gt;='00_Control'!$B$7),"YES","NO")</f>
        <v/>
      </c>
      <c r="AJ1582" s="33" t="inlineStr">
        <is>
          <t>OK</t>
        </is>
      </c>
    </row>
    <row r="1583">
      <c r="A1583" s="33" t="inlineStr">
        <is>
          <t>SM001579</t>
        </is>
      </c>
      <c r="B1583" s="33" t="inlineStr">
        <is>
          <t>SW011</t>
        </is>
      </c>
      <c r="C1583" s="33" t="inlineStr">
        <is>
          <t>Kyle Chalmers</t>
        </is>
      </c>
      <c r="D1583" s="33" t="inlineStr">
        <is>
          <t>SwimCloud</t>
        </is>
      </c>
      <c r="E1583" s="33" t="inlineStr">
        <is>
          <t>419989</t>
        </is>
      </c>
      <c r="F1583" s="33" t="inlineStr">
        <is>
          <t>41089654</t>
        </is>
      </c>
      <c r="G1583" s="51" t="n">
        <v>43904</v>
      </c>
      <c r="H1583" s="33" t="inlineStr">
        <is>
          <t>NSW State Open Championships</t>
        </is>
      </c>
      <c r="I1583" s="33" t="inlineStr">
        <is>
          <t>196934</t>
        </is>
      </c>
      <c r="J1583" s="33" t="inlineStr"/>
      <c r="K1583" s="33" t="inlineStr">
        <is>
          <t>PRE</t>
        </is>
      </c>
      <c r="L1583" s="35">
        <f>IF(K1583="FIN",3,IF(OR(K1583="SEM",K1583="SEMI"),2,IF(OR(K1583="PRE",K1583="HEAT"),1,IF(V1583="YES",4,2))))</f>
        <v/>
      </c>
      <c r="M1583" s="33" t="inlineStr">
        <is>
          <t>LCM</t>
        </is>
      </c>
      <c r="N1583" s="33" t="n">
        <v>200</v>
      </c>
      <c r="O1583" s="33" t="inlineStr">
        <is>
          <t>Free</t>
        </is>
      </c>
      <c r="P1583" s="33" t="inlineStr">
        <is>
          <t>200 Free</t>
        </is>
      </c>
      <c r="Q1583" s="33" t="inlineStr">
        <is>
          <t>LCM_200_FREE</t>
        </is>
      </c>
      <c r="R1583" s="36" t="n">
        <v>109.64</v>
      </c>
      <c r="S1583" s="35">
        <f>IF(R1583="","",IF(R1583&gt;=60,INT(R1583/60)&amp;":"&amp;TEXT(MOD(R1583,60),"00.00"),TEXT(R1583,"0.00")))</f>
        <v/>
      </c>
      <c r="T1583" s="52">
        <f>IFERROR((G1583-INDEX('01_Swimmers'!$E$5:$E$22,MATCH(B1583,'01_Swimmers'!$A$5:$A$22,0)))/'00_Control'!$B$10,"")</f>
        <v/>
      </c>
      <c r="U1583" s="35">
        <f>IF(T1583="","",INT(T1583))</f>
        <v/>
      </c>
      <c r="V1583" s="33" t="inlineStr">
        <is>
          <t>NO</t>
        </is>
      </c>
      <c r="W1583" s="33" t="inlineStr">
        <is>
          <t>YES</t>
        </is>
      </c>
      <c r="X1583" s="33" t="inlineStr">
        <is>
          <t>NO</t>
        </is>
      </c>
      <c r="Y1583" s="33" t="n">
        <v>8</v>
      </c>
      <c r="Z1583" s="33" t="n">
        <v>4</v>
      </c>
      <c r="AA1583" s="33" t="inlineStr">
        <is>
          <t>3</t>
        </is>
      </c>
      <c r="AB1583" s="33" t="inlineStr">
        <is>
          <t>https://www.swimcloud.com/results/196934/event/17/?id=41089654#time41089654</t>
        </is>
      </c>
      <c r="AC1583" s="33" t="inlineStr">
        <is>
          <t>SwimCloud API v6 2026-10-08</t>
        </is>
      </c>
      <c r="AD1583" s="33" t="inlineStr">
        <is>
          <t>Kyle Chalmers|2020-03-14|LCM|200|Free|109.64|NSW State Open Championships|PRE|False</t>
        </is>
      </c>
      <c r="AE1583" s="53">
        <f>G1583+L1583/1000+ROW()/1000000000</f>
        <v/>
      </c>
      <c r="AF1583" s="35">
        <f>IF(C1583&lt;&gt;"Grayson Coulter","",COUNTIFS($C$5:$C$2991,"Grayson Coulter",$Q$5:$Q$2991,Q1583,$AE$5:$AE$2991,"&lt;="&amp;AE1583,$R$5:$R$2991,"&lt;"&amp;R1583))</f>
        <v/>
      </c>
      <c r="AG1583" s="35">
        <f>IF(OR(C1583&lt;&gt;"Grayson Coulter",G1583&lt;'00_Control'!$B$7),"",--(AF1583&lt;5))</f>
        <v/>
      </c>
      <c r="AH1583" s="35">
        <f>IF(OR(C1583&lt;&gt;"Grayson Coulter",G1583&lt;'00_Control'!$B$7),"",--(AF1583&lt;10))</f>
        <v/>
      </c>
      <c r="AI1583" s="35">
        <f>IF(AND(C1583="Grayson Coulter",G1583&gt;='00_Control'!$B$7),"YES","NO")</f>
        <v/>
      </c>
      <c r="AJ1583" s="33" t="inlineStr">
        <is>
          <t>OK</t>
        </is>
      </c>
    </row>
    <row r="1584">
      <c r="A1584" s="33" t="inlineStr">
        <is>
          <t>SM001580</t>
        </is>
      </c>
      <c r="B1584" s="33" t="inlineStr">
        <is>
          <t>SW011</t>
        </is>
      </c>
      <c r="C1584" s="33" t="inlineStr">
        <is>
          <t>Kyle Chalmers</t>
        </is>
      </c>
      <c r="D1584" s="33" t="inlineStr">
        <is>
          <t>SwimCloud</t>
        </is>
      </c>
      <c r="E1584" s="33" t="inlineStr">
        <is>
          <t>419989</t>
        </is>
      </c>
      <c r="F1584" s="33" t="inlineStr">
        <is>
          <t>36041898</t>
        </is>
      </c>
      <c r="G1584" s="51" t="n">
        <v>43904</v>
      </c>
      <c r="H1584" s="33" t="inlineStr">
        <is>
          <t>NSW State Open Championships</t>
        </is>
      </c>
      <c r="I1584" s="33" t="inlineStr">
        <is>
          <t>179724</t>
        </is>
      </c>
      <c r="J1584" s="33" t="inlineStr"/>
      <c r="K1584" s="33" t="inlineStr">
        <is>
          <t>FIN</t>
        </is>
      </c>
      <c r="L1584" s="35">
        <f>IF(K1584="FIN",3,IF(OR(K1584="SEM",K1584="SEMI"),2,IF(OR(K1584="PRE",K1584="HEAT"),1,IF(V1584="YES",4,2))))</f>
        <v/>
      </c>
      <c r="M1584" s="33" t="inlineStr">
        <is>
          <t>LCM</t>
        </is>
      </c>
      <c r="N1584" s="33" t="n">
        <v>200</v>
      </c>
      <c r="O1584" s="33" t="inlineStr">
        <is>
          <t>Free</t>
        </is>
      </c>
      <c r="P1584" s="33" t="inlineStr">
        <is>
          <t>200 Free</t>
        </is>
      </c>
      <c r="Q1584" s="33" t="inlineStr">
        <is>
          <t>LCM_200_FREE</t>
        </is>
      </c>
      <c r="R1584" s="36" t="n">
        <v>106.12</v>
      </c>
      <c r="S1584" s="35">
        <f>IF(R1584="","",IF(R1584&gt;=60,INT(R1584/60)&amp;":"&amp;TEXT(MOD(R1584,60),"00.00"),TEXT(R1584,"0.00")))</f>
        <v/>
      </c>
      <c r="T1584" s="52">
        <f>IFERROR((G1584-INDEX('01_Swimmers'!$E$5:$E$22,MATCH(B1584,'01_Swimmers'!$A$5:$A$22,0)))/'00_Control'!$B$10,"")</f>
        <v/>
      </c>
      <c r="U1584" s="35">
        <f>IF(T1584="","",INT(T1584))</f>
        <v/>
      </c>
      <c r="V1584" s="33" t="inlineStr">
        <is>
          <t>NO</t>
        </is>
      </c>
      <c r="W1584" s="33" t="inlineStr">
        <is>
          <t>YES</t>
        </is>
      </c>
      <c r="X1584" s="33" t="inlineStr">
        <is>
          <t>NO</t>
        </is>
      </c>
      <c r="Y1584" s="33" t="n">
        <v>1</v>
      </c>
      <c r="Z1584" s="33" t="n">
        <v>3</v>
      </c>
      <c r="AA1584" s="33" t="inlineStr">
        <is>
          <t>1</t>
        </is>
      </c>
      <c r="AB1584" s="33" t="inlineStr">
        <is>
          <t>https://www.swimcloud.com/results/179724/event/17/?id=36041898#time36041898</t>
        </is>
      </c>
      <c r="AC1584" s="33" t="inlineStr">
        <is>
          <t>SwimCloud API v6 2026-10-08</t>
        </is>
      </c>
      <c r="AD1584" s="33" t="inlineStr">
        <is>
          <t>Kyle Chalmers|2020-03-14|LCM|200|Free|106.12|NSW State Open Championships|FIN|False</t>
        </is>
      </c>
      <c r="AE1584" s="53">
        <f>G1584+L1584/1000+ROW()/1000000000</f>
        <v/>
      </c>
      <c r="AF1584" s="35">
        <f>IF(C1584&lt;&gt;"Grayson Coulter","",COUNTIFS($C$5:$C$2991,"Grayson Coulter",$Q$5:$Q$2991,Q1584,$AE$5:$AE$2991,"&lt;="&amp;AE1584,$R$5:$R$2991,"&lt;"&amp;R1584))</f>
        <v/>
      </c>
      <c r="AG1584" s="35">
        <f>IF(OR(C1584&lt;&gt;"Grayson Coulter",G1584&lt;'00_Control'!$B$7),"",--(AF1584&lt;5))</f>
        <v/>
      </c>
      <c r="AH1584" s="35">
        <f>IF(OR(C1584&lt;&gt;"Grayson Coulter",G1584&lt;'00_Control'!$B$7),"",--(AF1584&lt;10))</f>
        <v/>
      </c>
      <c r="AI1584" s="35">
        <f>IF(AND(C1584="Grayson Coulter",G1584&gt;='00_Control'!$B$7),"YES","NO")</f>
        <v/>
      </c>
      <c r="AJ1584" s="33" t="inlineStr">
        <is>
          <t>OK</t>
        </is>
      </c>
    </row>
    <row r="1585">
      <c r="A1585" s="33" t="inlineStr">
        <is>
          <t>SM001581</t>
        </is>
      </c>
      <c r="B1585" s="33" t="inlineStr">
        <is>
          <t>SW011</t>
        </is>
      </c>
      <c r="C1585" s="33" t="inlineStr">
        <is>
          <t>Kyle Chalmers</t>
        </is>
      </c>
      <c r="D1585" s="33" t="inlineStr">
        <is>
          <t>SwimCloud</t>
        </is>
      </c>
      <c r="E1585" s="33" t="inlineStr">
        <is>
          <t>419989</t>
        </is>
      </c>
      <c r="F1585" s="33" t="inlineStr">
        <is>
          <t>41089655</t>
        </is>
      </c>
      <c r="G1585" s="51" t="n">
        <v>43904</v>
      </c>
      <c r="H1585" s="33" t="inlineStr">
        <is>
          <t>NSW State Open Championships</t>
        </is>
      </c>
      <c r="I1585" s="33" t="inlineStr">
        <is>
          <t>196934</t>
        </is>
      </c>
      <c r="J1585" s="33" t="inlineStr"/>
      <c r="K1585" s="33" t="inlineStr">
        <is>
          <t>FIN</t>
        </is>
      </c>
      <c r="L1585" s="35">
        <f>IF(K1585="FIN",3,IF(OR(K1585="SEM",K1585="SEMI"),2,IF(OR(K1585="PRE",K1585="HEAT"),1,IF(V1585="YES",4,2))))</f>
        <v/>
      </c>
      <c r="M1585" s="33" t="inlineStr">
        <is>
          <t>LCM</t>
        </is>
      </c>
      <c r="N1585" s="33" t="n">
        <v>200</v>
      </c>
      <c r="O1585" s="33" t="inlineStr">
        <is>
          <t>Free</t>
        </is>
      </c>
      <c r="P1585" s="33" t="inlineStr">
        <is>
          <t>200 Free</t>
        </is>
      </c>
      <c r="Q1585" s="33" t="inlineStr">
        <is>
          <t>LCM_200_FREE</t>
        </is>
      </c>
      <c r="R1585" s="36" t="n">
        <v>106.12</v>
      </c>
      <c r="S1585" s="35">
        <f>IF(R1585="","",IF(R1585&gt;=60,INT(R1585/60)&amp;":"&amp;TEXT(MOD(R1585,60),"00.00"),TEXT(R1585,"0.00")))</f>
        <v/>
      </c>
      <c r="T1585" s="52">
        <f>IFERROR((G1585-INDEX('01_Swimmers'!$E$5:$E$22,MATCH(B1585,'01_Swimmers'!$A$5:$A$22,0)))/'00_Control'!$B$10,"")</f>
        <v/>
      </c>
      <c r="U1585" s="35">
        <f>IF(T1585="","",INT(T1585))</f>
        <v/>
      </c>
      <c r="V1585" s="33" t="inlineStr">
        <is>
          <t>NO</t>
        </is>
      </c>
      <c r="W1585" s="33" t="inlineStr">
        <is>
          <t>YES</t>
        </is>
      </c>
      <c r="X1585" s="33" t="inlineStr">
        <is>
          <t>NO</t>
        </is>
      </c>
      <c r="Y1585" s="33" t="n">
        <v>1</v>
      </c>
      <c r="Z1585" s="33" t="n">
        <v>3</v>
      </c>
      <c r="AA1585" s="33" t="inlineStr">
        <is>
          <t>1</t>
        </is>
      </c>
      <c r="AB1585" s="33" t="inlineStr">
        <is>
          <t>https://www.swimcloud.com/results/196934/event/17/?id=41089655#time41089655</t>
        </is>
      </c>
      <c r="AC1585" s="33" t="inlineStr">
        <is>
          <t>SwimCloud API v6 2026-10-08</t>
        </is>
      </c>
      <c r="AD1585" s="33" t="inlineStr">
        <is>
          <t>Kyle Chalmers|2020-03-14|LCM|200|Free|106.12|NSW State Open Championships|FIN|False</t>
        </is>
      </c>
      <c r="AE1585" s="53">
        <f>G1585+L1585/1000+ROW()/1000000000</f>
        <v/>
      </c>
      <c r="AF1585" s="35">
        <f>IF(C1585&lt;&gt;"Grayson Coulter","",COUNTIFS($C$5:$C$2991,"Grayson Coulter",$Q$5:$Q$2991,Q1585,$AE$5:$AE$2991,"&lt;="&amp;AE1585,$R$5:$R$2991,"&lt;"&amp;R1585))</f>
        <v/>
      </c>
      <c r="AG1585" s="35">
        <f>IF(OR(C1585&lt;&gt;"Grayson Coulter",G1585&lt;'00_Control'!$B$7),"",--(AF1585&lt;5))</f>
        <v/>
      </c>
      <c r="AH1585" s="35">
        <f>IF(OR(C1585&lt;&gt;"Grayson Coulter",G1585&lt;'00_Control'!$B$7),"",--(AF1585&lt;10))</f>
        <v/>
      </c>
      <c r="AI1585" s="35">
        <f>IF(AND(C1585="Grayson Coulter",G1585&gt;='00_Control'!$B$7),"YES","NO")</f>
        <v/>
      </c>
      <c r="AJ1585" s="33" t="inlineStr">
        <is>
          <t>OK</t>
        </is>
      </c>
    </row>
    <row r="1586">
      <c r="A1586" s="33" t="inlineStr">
        <is>
          <t>SM001582</t>
        </is>
      </c>
      <c r="B1586" s="33" t="inlineStr">
        <is>
          <t>SW011</t>
        </is>
      </c>
      <c r="C1586" s="33" t="inlineStr">
        <is>
          <t>Kyle Chalmers</t>
        </is>
      </c>
      <c r="D1586" s="33" t="inlineStr">
        <is>
          <t>SwimCloud</t>
        </is>
      </c>
      <c r="E1586" s="33" t="inlineStr">
        <is>
          <t>419989</t>
        </is>
      </c>
      <c r="F1586" s="33" t="inlineStr">
        <is>
          <t>36041994</t>
        </is>
      </c>
      <c r="G1586" s="51" t="n">
        <v>43905</v>
      </c>
      <c r="H1586" s="33" t="inlineStr">
        <is>
          <t>NSW State Open Championships</t>
        </is>
      </c>
      <c r="I1586" s="33" t="inlineStr">
        <is>
          <t>179724</t>
        </is>
      </c>
      <c r="J1586" s="33" t="inlineStr"/>
      <c r="K1586" s="33" t="inlineStr">
        <is>
          <t>PRE</t>
        </is>
      </c>
      <c r="L1586" s="35">
        <f>IF(K1586="FIN",3,IF(OR(K1586="SEM",K1586="SEMI"),2,IF(OR(K1586="PRE",K1586="HEAT"),1,IF(V1586="YES",4,2))))</f>
        <v/>
      </c>
      <c r="M1586" s="33" t="inlineStr">
        <is>
          <t>LCM</t>
        </is>
      </c>
      <c r="N1586" s="33" t="n">
        <v>100</v>
      </c>
      <c r="O1586" s="33" t="inlineStr">
        <is>
          <t>Fly</t>
        </is>
      </c>
      <c r="P1586" s="33" t="inlineStr">
        <is>
          <t>100 Fly</t>
        </is>
      </c>
      <c r="Q1586" s="33" t="inlineStr">
        <is>
          <t>LCM_100_FLY</t>
        </is>
      </c>
      <c r="R1586" s="36" t="n">
        <v>53.58</v>
      </c>
      <c r="S1586" s="35">
        <f>IF(R1586="","",IF(R1586&gt;=60,INT(R1586/60)&amp;":"&amp;TEXT(MOD(R1586,60),"00.00"),TEXT(R1586,"0.00")))</f>
        <v/>
      </c>
      <c r="T1586" s="52">
        <f>IFERROR((G1586-INDEX('01_Swimmers'!$E$5:$E$22,MATCH(B1586,'01_Swimmers'!$A$5:$A$22,0)))/'00_Control'!$B$10,"")</f>
        <v/>
      </c>
      <c r="U1586" s="35">
        <f>IF(T1586="","",INT(T1586))</f>
        <v/>
      </c>
      <c r="V1586" s="33" t="inlineStr">
        <is>
          <t>NO</t>
        </is>
      </c>
      <c r="W1586" s="33" t="inlineStr">
        <is>
          <t>YES</t>
        </is>
      </c>
      <c r="X1586" s="33" t="inlineStr">
        <is>
          <t>NO</t>
        </is>
      </c>
      <c r="Y1586" s="33" t="n">
        <v>6</v>
      </c>
      <c r="Z1586" s="33" t="n">
        <v>4</v>
      </c>
      <c r="AA1586" s="33" t="inlineStr">
        <is>
          <t>1</t>
        </is>
      </c>
      <c r="AB1586" s="33" t="inlineStr">
        <is>
          <t>https://www.swimcloud.com/results/179724/event/28/?id=36041994#time36041994</t>
        </is>
      </c>
      <c r="AC1586" s="33" t="inlineStr">
        <is>
          <t>SwimCloud API v6 2026-10-08</t>
        </is>
      </c>
      <c r="AD1586" s="33" t="inlineStr">
        <is>
          <t>Kyle Chalmers|2020-03-15|LCM|100|Fly|53.58|NSW State Open Championships|PRE|False</t>
        </is>
      </c>
      <c r="AE1586" s="53">
        <f>G1586+L1586/1000+ROW()/1000000000</f>
        <v/>
      </c>
      <c r="AF1586" s="35">
        <f>IF(C1586&lt;&gt;"Grayson Coulter","",COUNTIFS($C$5:$C$2991,"Grayson Coulter",$Q$5:$Q$2991,Q1586,$AE$5:$AE$2991,"&lt;="&amp;AE1586,$R$5:$R$2991,"&lt;"&amp;R1586))</f>
        <v/>
      </c>
      <c r="AG1586" s="35">
        <f>IF(OR(C1586&lt;&gt;"Grayson Coulter",G1586&lt;'00_Control'!$B$7),"",--(AF1586&lt;5))</f>
        <v/>
      </c>
      <c r="AH1586" s="35">
        <f>IF(OR(C1586&lt;&gt;"Grayson Coulter",G1586&lt;'00_Control'!$B$7),"",--(AF1586&lt;10))</f>
        <v/>
      </c>
      <c r="AI1586" s="35">
        <f>IF(AND(C1586="Grayson Coulter",G1586&gt;='00_Control'!$B$7),"YES","NO")</f>
        <v/>
      </c>
      <c r="AJ1586" s="33" t="inlineStr">
        <is>
          <t>OK</t>
        </is>
      </c>
    </row>
    <row r="1587">
      <c r="A1587" s="33" t="inlineStr">
        <is>
          <t>SM001583</t>
        </is>
      </c>
      <c r="B1587" s="33" t="inlineStr">
        <is>
          <t>SW011</t>
        </is>
      </c>
      <c r="C1587" s="33" t="inlineStr">
        <is>
          <t>Kyle Chalmers</t>
        </is>
      </c>
      <c r="D1587" s="33" t="inlineStr">
        <is>
          <t>SwimCloud</t>
        </is>
      </c>
      <c r="E1587" s="33" t="inlineStr">
        <is>
          <t>419989</t>
        </is>
      </c>
      <c r="F1587" s="33" t="inlineStr">
        <is>
          <t>41089751</t>
        </is>
      </c>
      <c r="G1587" s="51" t="n">
        <v>43905</v>
      </c>
      <c r="H1587" s="33" t="inlineStr">
        <is>
          <t>NSW State Open Championships</t>
        </is>
      </c>
      <c r="I1587" s="33" t="inlineStr">
        <is>
          <t>196934</t>
        </is>
      </c>
      <c r="J1587" s="33" t="inlineStr"/>
      <c r="K1587" s="33" t="inlineStr">
        <is>
          <t>PRE</t>
        </is>
      </c>
      <c r="L1587" s="35">
        <f>IF(K1587="FIN",3,IF(OR(K1587="SEM",K1587="SEMI"),2,IF(OR(K1587="PRE",K1587="HEAT"),1,IF(V1587="YES",4,2))))</f>
        <v/>
      </c>
      <c r="M1587" s="33" t="inlineStr">
        <is>
          <t>LCM</t>
        </is>
      </c>
      <c r="N1587" s="33" t="n">
        <v>100</v>
      </c>
      <c r="O1587" s="33" t="inlineStr">
        <is>
          <t>Fly</t>
        </is>
      </c>
      <c r="P1587" s="33" t="inlineStr">
        <is>
          <t>100 Fly</t>
        </is>
      </c>
      <c r="Q1587" s="33" t="inlineStr">
        <is>
          <t>LCM_100_FLY</t>
        </is>
      </c>
      <c r="R1587" s="36" t="n">
        <v>53.58</v>
      </c>
      <c r="S1587" s="35">
        <f>IF(R1587="","",IF(R1587&gt;=60,INT(R1587/60)&amp;":"&amp;TEXT(MOD(R1587,60),"00.00"),TEXT(R1587,"0.00")))</f>
        <v/>
      </c>
      <c r="T1587" s="52">
        <f>IFERROR((G1587-INDEX('01_Swimmers'!$E$5:$E$22,MATCH(B1587,'01_Swimmers'!$A$5:$A$22,0)))/'00_Control'!$B$10,"")</f>
        <v/>
      </c>
      <c r="U1587" s="35">
        <f>IF(T1587="","",INT(T1587))</f>
        <v/>
      </c>
      <c r="V1587" s="33" t="inlineStr">
        <is>
          <t>NO</t>
        </is>
      </c>
      <c r="W1587" s="33" t="inlineStr">
        <is>
          <t>YES</t>
        </is>
      </c>
      <c r="X1587" s="33" t="inlineStr">
        <is>
          <t>NO</t>
        </is>
      </c>
      <c r="Y1587" s="33" t="n">
        <v>6</v>
      </c>
      <c r="Z1587" s="33" t="n">
        <v>4</v>
      </c>
      <c r="AA1587" s="33" t="inlineStr">
        <is>
          <t>1</t>
        </is>
      </c>
      <c r="AB1587" s="33" t="inlineStr">
        <is>
          <t>https://www.swimcloud.com/results/196934/event/28/?id=41089751#time41089751</t>
        </is>
      </c>
      <c r="AC1587" s="33" t="inlineStr">
        <is>
          <t>SwimCloud API v6 2026-10-08</t>
        </is>
      </c>
      <c r="AD1587" s="33" t="inlineStr">
        <is>
          <t>Kyle Chalmers|2020-03-15|LCM|100|Fly|53.58|NSW State Open Championships|PRE|False</t>
        </is>
      </c>
      <c r="AE1587" s="53">
        <f>G1587+L1587/1000+ROW()/1000000000</f>
        <v/>
      </c>
      <c r="AF1587" s="35">
        <f>IF(C1587&lt;&gt;"Grayson Coulter","",COUNTIFS($C$5:$C$2991,"Grayson Coulter",$Q$5:$Q$2991,Q1587,$AE$5:$AE$2991,"&lt;="&amp;AE1587,$R$5:$R$2991,"&lt;"&amp;R1587))</f>
        <v/>
      </c>
      <c r="AG1587" s="35">
        <f>IF(OR(C1587&lt;&gt;"Grayson Coulter",G1587&lt;'00_Control'!$B$7),"",--(AF1587&lt;5))</f>
        <v/>
      </c>
      <c r="AH1587" s="35">
        <f>IF(OR(C1587&lt;&gt;"Grayson Coulter",G1587&lt;'00_Control'!$B$7),"",--(AF1587&lt;10))</f>
        <v/>
      </c>
      <c r="AI1587" s="35">
        <f>IF(AND(C1587="Grayson Coulter",G1587&gt;='00_Control'!$B$7),"YES","NO")</f>
        <v/>
      </c>
      <c r="AJ1587" s="33" t="inlineStr">
        <is>
          <t>OK</t>
        </is>
      </c>
    </row>
    <row r="1588">
      <c r="A1588" s="33" t="inlineStr">
        <is>
          <t>SM001584</t>
        </is>
      </c>
      <c r="B1588" s="33" t="inlineStr">
        <is>
          <t>SW011</t>
        </is>
      </c>
      <c r="C1588" s="33" t="inlineStr">
        <is>
          <t>Kyle Chalmers</t>
        </is>
      </c>
      <c r="D1588" s="33" t="inlineStr">
        <is>
          <t>SwimCloud</t>
        </is>
      </c>
      <c r="E1588" s="33" t="inlineStr">
        <is>
          <t>419989</t>
        </is>
      </c>
      <c r="F1588" s="33" t="inlineStr">
        <is>
          <t>36041995</t>
        </is>
      </c>
      <c r="G1588" s="51" t="n">
        <v>43905</v>
      </c>
      <c r="H1588" s="33" t="inlineStr">
        <is>
          <t>NSW State Open Championships</t>
        </is>
      </c>
      <c r="I1588" s="33" t="inlineStr">
        <is>
          <t>179724</t>
        </is>
      </c>
      <c r="J1588" s="33" t="inlineStr"/>
      <c r="K1588" s="33" t="inlineStr">
        <is>
          <t>FIN</t>
        </is>
      </c>
      <c r="L1588" s="35">
        <f>IF(K1588="FIN",3,IF(OR(K1588="SEM",K1588="SEMI"),2,IF(OR(K1588="PRE",K1588="HEAT"),1,IF(V1588="YES",4,2))))</f>
        <v/>
      </c>
      <c r="M1588" s="33" t="inlineStr">
        <is>
          <t>LCM</t>
        </is>
      </c>
      <c r="N1588" s="33" t="n">
        <v>100</v>
      </c>
      <c r="O1588" s="33" t="inlineStr">
        <is>
          <t>Fly</t>
        </is>
      </c>
      <c r="P1588" s="33" t="inlineStr">
        <is>
          <t>100 Fly</t>
        </is>
      </c>
      <c r="Q1588" s="33" t="inlineStr">
        <is>
          <t>LCM_100_FLY</t>
        </is>
      </c>
      <c r="R1588" s="36" t="n">
        <v>51.37</v>
      </c>
      <c r="S1588" s="35">
        <f>IF(R1588="","",IF(R1588&gt;=60,INT(R1588/60)&amp;":"&amp;TEXT(MOD(R1588,60),"00.00"),TEXT(R1588,"0.00")))</f>
        <v/>
      </c>
      <c r="T1588" s="52">
        <f>IFERROR((G1588-INDEX('01_Swimmers'!$E$5:$E$22,MATCH(B1588,'01_Swimmers'!$A$5:$A$22,0)))/'00_Control'!$B$10,"")</f>
        <v/>
      </c>
      <c r="U1588" s="35">
        <f>IF(T1588="","",INT(T1588))</f>
        <v/>
      </c>
      <c r="V1588" s="33" t="inlineStr">
        <is>
          <t>NO</t>
        </is>
      </c>
      <c r="W1588" s="33" t="inlineStr">
        <is>
          <t>YES</t>
        </is>
      </c>
      <c r="X1588" s="33" t="inlineStr">
        <is>
          <t>NO</t>
        </is>
      </c>
      <c r="Y1588" s="33" t="n">
        <v>1</v>
      </c>
      <c r="Z1588" s="33" t="n">
        <v>4</v>
      </c>
      <c r="AA1588" s="33" t="inlineStr">
        <is>
          <t>1</t>
        </is>
      </c>
      <c r="AB1588" s="33" t="inlineStr">
        <is>
          <t>https://www.swimcloud.com/results/179724/event/28/?id=36041995#time36041995</t>
        </is>
      </c>
      <c r="AC1588" s="33" t="inlineStr">
        <is>
          <t>SwimCloud API v6 2026-10-08</t>
        </is>
      </c>
      <c r="AD1588" s="33" t="inlineStr">
        <is>
          <t>Kyle Chalmers|2020-03-15|LCM|100|Fly|51.37|NSW State Open Championships|FIN|False</t>
        </is>
      </c>
      <c r="AE1588" s="53">
        <f>G1588+L1588/1000+ROW()/1000000000</f>
        <v/>
      </c>
      <c r="AF1588" s="35">
        <f>IF(C1588&lt;&gt;"Grayson Coulter","",COUNTIFS($C$5:$C$2991,"Grayson Coulter",$Q$5:$Q$2991,Q1588,$AE$5:$AE$2991,"&lt;="&amp;AE1588,$R$5:$R$2991,"&lt;"&amp;R1588))</f>
        <v/>
      </c>
      <c r="AG1588" s="35">
        <f>IF(OR(C1588&lt;&gt;"Grayson Coulter",G1588&lt;'00_Control'!$B$7),"",--(AF1588&lt;5))</f>
        <v/>
      </c>
      <c r="AH1588" s="35">
        <f>IF(OR(C1588&lt;&gt;"Grayson Coulter",G1588&lt;'00_Control'!$B$7),"",--(AF1588&lt;10))</f>
        <v/>
      </c>
      <c r="AI1588" s="35">
        <f>IF(AND(C1588="Grayson Coulter",G1588&gt;='00_Control'!$B$7),"YES","NO")</f>
        <v/>
      </c>
      <c r="AJ1588" s="33" t="inlineStr">
        <is>
          <t>OK</t>
        </is>
      </c>
    </row>
    <row r="1589">
      <c r="A1589" s="33" t="inlineStr">
        <is>
          <t>SM001585</t>
        </is>
      </c>
      <c r="B1589" s="33" t="inlineStr">
        <is>
          <t>SW011</t>
        </is>
      </c>
      <c r="C1589" s="33" t="inlineStr">
        <is>
          <t>Kyle Chalmers</t>
        </is>
      </c>
      <c r="D1589" s="33" t="inlineStr">
        <is>
          <t>SwimCloud</t>
        </is>
      </c>
      <c r="E1589" s="33" t="inlineStr">
        <is>
          <t>419989</t>
        </is>
      </c>
      <c r="F1589" s="33" t="inlineStr">
        <is>
          <t>41089752</t>
        </is>
      </c>
      <c r="G1589" s="51" t="n">
        <v>43905</v>
      </c>
      <c r="H1589" s="33" t="inlineStr">
        <is>
          <t>NSW State Open Championships</t>
        </is>
      </c>
      <c r="I1589" s="33" t="inlineStr">
        <is>
          <t>196934</t>
        </is>
      </c>
      <c r="J1589" s="33" t="inlineStr"/>
      <c r="K1589" s="33" t="inlineStr">
        <is>
          <t>FIN</t>
        </is>
      </c>
      <c r="L1589" s="35">
        <f>IF(K1589="FIN",3,IF(OR(K1589="SEM",K1589="SEMI"),2,IF(OR(K1589="PRE",K1589="HEAT"),1,IF(V1589="YES",4,2))))</f>
        <v/>
      </c>
      <c r="M1589" s="33" t="inlineStr">
        <is>
          <t>LCM</t>
        </is>
      </c>
      <c r="N1589" s="33" t="n">
        <v>100</v>
      </c>
      <c r="O1589" s="33" t="inlineStr">
        <is>
          <t>Fly</t>
        </is>
      </c>
      <c r="P1589" s="33" t="inlineStr">
        <is>
          <t>100 Fly</t>
        </is>
      </c>
      <c r="Q1589" s="33" t="inlineStr">
        <is>
          <t>LCM_100_FLY</t>
        </is>
      </c>
      <c r="R1589" s="36" t="n">
        <v>51.37</v>
      </c>
      <c r="S1589" s="35">
        <f>IF(R1589="","",IF(R1589&gt;=60,INT(R1589/60)&amp;":"&amp;TEXT(MOD(R1589,60),"00.00"),TEXT(R1589,"0.00")))</f>
        <v/>
      </c>
      <c r="T1589" s="52">
        <f>IFERROR((G1589-INDEX('01_Swimmers'!$E$5:$E$22,MATCH(B1589,'01_Swimmers'!$A$5:$A$22,0)))/'00_Control'!$B$10,"")</f>
        <v/>
      </c>
      <c r="U1589" s="35">
        <f>IF(T1589="","",INT(T1589))</f>
        <v/>
      </c>
      <c r="V1589" s="33" t="inlineStr">
        <is>
          <t>NO</t>
        </is>
      </c>
      <c r="W1589" s="33" t="inlineStr">
        <is>
          <t>YES</t>
        </is>
      </c>
      <c r="X1589" s="33" t="inlineStr">
        <is>
          <t>NO</t>
        </is>
      </c>
      <c r="Y1589" s="33" t="n">
        <v>1</v>
      </c>
      <c r="Z1589" s="33" t="n">
        <v>4</v>
      </c>
      <c r="AA1589" s="33" t="inlineStr">
        <is>
          <t>1</t>
        </is>
      </c>
      <c r="AB1589" s="33" t="inlineStr">
        <is>
          <t>https://www.swimcloud.com/results/196934/event/28/?id=41089752#time41089752</t>
        </is>
      </c>
      <c r="AC1589" s="33" t="inlineStr">
        <is>
          <t>SwimCloud API v6 2026-10-08</t>
        </is>
      </c>
      <c r="AD1589" s="33" t="inlineStr">
        <is>
          <t>Kyle Chalmers|2020-03-15|LCM|100|Fly|51.37|NSW State Open Championships|FIN|False</t>
        </is>
      </c>
      <c r="AE1589" s="53">
        <f>G1589+L1589/1000+ROW()/1000000000</f>
        <v/>
      </c>
      <c r="AF1589" s="35">
        <f>IF(C1589&lt;&gt;"Grayson Coulter","",COUNTIFS($C$5:$C$2991,"Grayson Coulter",$Q$5:$Q$2991,Q1589,$AE$5:$AE$2991,"&lt;="&amp;AE1589,$R$5:$R$2991,"&lt;"&amp;R1589))</f>
        <v/>
      </c>
      <c r="AG1589" s="35">
        <f>IF(OR(C1589&lt;&gt;"Grayson Coulter",G1589&lt;'00_Control'!$B$7),"",--(AF1589&lt;5))</f>
        <v/>
      </c>
      <c r="AH1589" s="35">
        <f>IF(OR(C1589&lt;&gt;"Grayson Coulter",G1589&lt;'00_Control'!$B$7),"",--(AF1589&lt;10))</f>
        <v/>
      </c>
      <c r="AI1589" s="35">
        <f>IF(AND(C1589="Grayson Coulter",G1589&gt;='00_Control'!$B$7),"YES","NO")</f>
        <v/>
      </c>
      <c r="AJ1589" s="33" t="inlineStr">
        <is>
          <t>OK</t>
        </is>
      </c>
    </row>
    <row r="1590">
      <c r="A1590" s="33" t="inlineStr">
        <is>
          <t>SM001586</t>
        </is>
      </c>
      <c r="B1590" s="33" t="inlineStr">
        <is>
          <t>SW011</t>
        </is>
      </c>
      <c r="C1590" s="33" t="inlineStr">
        <is>
          <t>Kyle Chalmers</t>
        </is>
      </c>
      <c r="D1590" s="33" t="inlineStr">
        <is>
          <t>SwimCloud</t>
        </is>
      </c>
      <c r="E1590" s="33" t="inlineStr">
        <is>
          <t>419989</t>
        </is>
      </c>
      <c r="F1590" s="33" t="inlineStr">
        <is>
          <t>43395922</t>
        </is>
      </c>
      <c r="G1590" s="51" t="n">
        <v>44401</v>
      </c>
      <c r="H1590" s="33" t="inlineStr">
        <is>
          <t>Olympic Games</t>
        </is>
      </c>
      <c r="I1590" s="33" t="inlineStr">
        <is>
          <t>130521</t>
        </is>
      </c>
      <c r="J1590" s="33" t="inlineStr"/>
      <c r="K1590" s="33" t="inlineStr">
        <is>
          <t>PRE</t>
        </is>
      </c>
      <c r="L1590" s="35">
        <f>IF(K1590="FIN",3,IF(OR(K1590="SEM",K1590="SEMI"),2,IF(OR(K1590="PRE",K1590="HEAT"),1,IF(V1590="YES",4,2))))</f>
        <v/>
      </c>
      <c r="M1590" s="33" t="inlineStr">
        <is>
          <t>LCM</t>
        </is>
      </c>
      <c r="N1590" s="33" t="n">
        <v>100</v>
      </c>
      <c r="O1590" s="33" t="inlineStr">
        <is>
          <t>Free</t>
        </is>
      </c>
      <c r="P1590" s="33" t="inlineStr">
        <is>
          <t>100 Free</t>
        </is>
      </c>
      <c r="Q1590" s="33" t="inlineStr">
        <is>
          <t>LCM_100_FREE</t>
        </is>
      </c>
      <c r="R1590" s="36" t="n">
        <v>47.77</v>
      </c>
      <c r="S1590" s="35">
        <f>IF(R1590="","",IF(R1590&gt;=60,INT(R1590/60)&amp;":"&amp;TEXT(MOD(R1590,60),"00.00"),TEXT(R1590,"0.00")))</f>
        <v/>
      </c>
      <c r="T1590" s="52">
        <f>IFERROR((G1590-INDEX('01_Swimmers'!$E$5:$E$22,MATCH(B1590,'01_Swimmers'!$A$5:$A$22,0)))/'00_Control'!$B$10,"")</f>
        <v/>
      </c>
      <c r="U1590" s="35">
        <f>IF(T1590="","",INT(T1590))</f>
        <v/>
      </c>
      <c r="V1590" s="33" t="inlineStr">
        <is>
          <t>NO</t>
        </is>
      </c>
      <c r="W1590" s="33" t="inlineStr">
        <is>
          <t>YES</t>
        </is>
      </c>
      <c r="X1590" s="33" t="inlineStr">
        <is>
          <t>NO</t>
        </is>
      </c>
      <c r="Y1590" s="33" t="n">
        <v>8</v>
      </c>
      <c r="Z1590" s="33" t="n">
        <v>4</v>
      </c>
      <c r="AA1590" s="33" t="inlineStr">
        <is>
          <t>3</t>
        </is>
      </c>
      <c r="AB1590" s="33" t="inlineStr">
        <is>
          <t>https://www.swimcloud.com/results/130521/event/71/?id=43395922#time43395922</t>
        </is>
      </c>
      <c r="AC1590" s="33" t="inlineStr">
        <is>
          <t>SwimCloud API v6 2026-10-08</t>
        </is>
      </c>
      <c r="AD1590" s="33" t="inlineStr">
        <is>
          <t>Kyle Chalmers|2021-07-24|LCM|100|Free|47.77|Olympic Games|PRE|False</t>
        </is>
      </c>
      <c r="AE1590" s="53">
        <f>G1590+L1590/1000+ROW()/1000000000</f>
        <v/>
      </c>
      <c r="AF1590" s="35">
        <f>IF(C1590&lt;&gt;"Grayson Coulter","",COUNTIFS($C$5:$C$2991,"Grayson Coulter",$Q$5:$Q$2991,Q1590,$AE$5:$AE$2991,"&lt;="&amp;AE1590,$R$5:$R$2991,"&lt;"&amp;R1590))</f>
        <v/>
      </c>
      <c r="AG1590" s="35">
        <f>IF(OR(C1590&lt;&gt;"Grayson Coulter",G1590&lt;'00_Control'!$B$7),"",--(AF1590&lt;5))</f>
        <v/>
      </c>
      <c r="AH1590" s="35">
        <f>IF(OR(C1590&lt;&gt;"Grayson Coulter",G1590&lt;'00_Control'!$B$7),"",--(AF1590&lt;10))</f>
        <v/>
      </c>
      <c r="AI1590" s="35">
        <f>IF(AND(C1590="Grayson Coulter",G1590&gt;='00_Control'!$B$7),"YES","NO")</f>
        <v/>
      </c>
      <c r="AJ1590" s="33" t="inlineStr">
        <is>
          <t>OK</t>
        </is>
      </c>
    </row>
    <row r="1591">
      <c r="A1591" s="33" t="inlineStr">
        <is>
          <t>SM001587</t>
        </is>
      </c>
      <c r="B1591" s="33" t="inlineStr">
        <is>
          <t>SW011</t>
        </is>
      </c>
      <c r="C1591" s="33" t="inlineStr">
        <is>
          <t>Kyle Chalmers</t>
        </is>
      </c>
      <c r="D1591" s="33" t="inlineStr">
        <is>
          <t>SwimCloud</t>
        </is>
      </c>
      <c r="E1591" s="33" t="inlineStr">
        <is>
          <t>419989</t>
        </is>
      </c>
      <c r="F1591" s="33" t="inlineStr">
        <is>
          <t>43395944</t>
        </is>
      </c>
      <c r="G1591" s="51" t="n">
        <v>44401</v>
      </c>
      <c r="H1591" s="33" t="inlineStr">
        <is>
          <t>Olympic Games</t>
        </is>
      </c>
      <c r="I1591" s="33" t="inlineStr">
        <is>
          <t>130521</t>
        </is>
      </c>
      <c r="J1591" s="33" t="inlineStr"/>
      <c r="K1591" s="33" t="inlineStr">
        <is>
          <t>SEM</t>
        </is>
      </c>
      <c r="L1591" s="35">
        <f>IF(K1591="FIN",3,IF(OR(K1591="SEM",K1591="SEMI"),2,IF(OR(K1591="PRE",K1591="HEAT"),1,IF(V1591="YES",4,2))))</f>
        <v/>
      </c>
      <c r="M1591" s="33" t="inlineStr">
        <is>
          <t>LCM</t>
        </is>
      </c>
      <c r="N1591" s="33" t="n">
        <v>100</v>
      </c>
      <c r="O1591" s="33" t="inlineStr">
        <is>
          <t>Free</t>
        </is>
      </c>
      <c r="P1591" s="33" t="inlineStr">
        <is>
          <t>100 Free</t>
        </is>
      </c>
      <c r="Q1591" s="33" t="inlineStr">
        <is>
          <t>LCM_100_FREE</t>
        </is>
      </c>
      <c r="R1591" s="36" t="n">
        <v>47.8</v>
      </c>
      <c r="S1591" s="35">
        <f>IF(R1591="","",IF(R1591&gt;=60,INT(R1591/60)&amp;":"&amp;TEXT(MOD(R1591,60),"00.00"),TEXT(R1591,"0.00")))</f>
        <v/>
      </c>
      <c r="T1591" s="52">
        <f>IFERROR((G1591-INDEX('01_Swimmers'!$E$5:$E$22,MATCH(B1591,'01_Swimmers'!$A$5:$A$22,0)))/'00_Control'!$B$10,"")</f>
        <v/>
      </c>
      <c r="U1591" s="35">
        <f>IF(T1591="","",INT(T1591))</f>
        <v/>
      </c>
      <c r="V1591" s="33" t="inlineStr">
        <is>
          <t>NO</t>
        </is>
      </c>
      <c r="W1591" s="33" t="inlineStr">
        <is>
          <t>YES</t>
        </is>
      </c>
      <c r="X1591" s="33" t="inlineStr">
        <is>
          <t>NO</t>
        </is>
      </c>
      <c r="Y1591" s="33" t="n">
        <v>2</v>
      </c>
      <c r="Z1591" s="33" t="n">
        <v>3</v>
      </c>
      <c r="AA1591" s="33" t="inlineStr">
        <is>
          <t>6</t>
        </is>
      </c>
      <c r="AB1591" s="33" t="inlineStr">
        <is>
          <t>https://www.swimcloud.com/results/130521/event/71/?id=43395944#time43395944</t>
        </is>
      </c>
      <c r="AC1591" s="33" t="inlineStr">
        <is>
          <t>SwimCloud API v6 2026-10-08</t>
        </is>
      </c>
      <c r="AD1591" s="33" t="inlineStr">
        <is>
          <t>Kyle Chalmers|2021-07-24|LCM|100|Free|47.8|Olympic Games|SEM|False</t>
        </is>
      </c>
      <c r="AE1591" s="53">
        <f>G1591+L1591/1000+ROW()/1000000000</f>
        <v/>
      </c>
      <c r="AF1591" s="35">
        <f>IF(C1591&lt;&gt;"Grayson Coulter","",COUNTIFS($C$5:$C$2991,"Grayson Coulter",$Q$5:$Q$2991,Q1591,$AE$5:$AE$2991,"&lt;="&amp;AE1591,$R$5:$R$2991,"&lt;"&amp;R1591))</f>
        <v/>
      </c>
      <c r="AG1591" s="35">
        <f>IF(OR(C1591&lt;&gt;"Grayson Coulter",G1591&lt;'00_Control'!$B$7),"",--(AF1591&lt;5))</f>
        <v/>
      </c>
      <c r="AH1591" s="35">
        <f>IF(OR(C1591&lt;&gt;"Grayson Coulter",G1591&lt;'00_Control'!$B$7),"",--(AF1591&lt;10))</f>
        <v/>
      </c>
      <c r="AI1591" s="35">
        <f>IF(AND(C1591="Grayson Coulter",G1591&gt;='00_Control'!$B$7),"YES","NO")</f>
        <v/>
      </c>
      <c r="AJ1591" s="33" t="inlineStr">
        <is>
          <t>OK</t>
        </is>
      </c>
    </row>
    <row r="1592">
      <c r="A1592" s="33" t="inlineStr">
        <is>
          <t>SM001588</t>
        </is>
      </c>
      <c r="B1592" s="33" t="inlineStr">
        <is>
          <t>SW011</t>
        </is>
      </c>
      <c r="C1592" s="33" t="inlineStr">
        <is>
          <t>Kyle Chalmers</t>
        </is>
      </c>
      <c r="D1592" s="33" t="inlineStr">
        <is>
          <t>SwimCloud</t>
        </is>
      </c>
      <c r="E1592" s="33" t="inlineStr">
        <is>
          <t>419989</t>
        </is>
      </c>
      <c r="F1592" s="33" t="inlineStr">
        <is>
          <t>43395960</t>
        </is>
      </c>
      <c r="G1592" s="51" t="n">
        <v>44401</v>
      </c>
      <c r="H1592" s="33" t="inlineStr">
        <is>
          <t>Olympic Games</t>
        </is>
      </c>
      <c r="I1592" s="33" t="inlineStr">
        <is>
          <t>130521</t>
        </is>
      </c>
      <c r="J1592" s="33" t="inlineStr"/>
      <c r="K1592" s="33" t="inlineStr">
        <is>
          <t>FIN</t>
        </is>
      </c>
      <c r="L1592" s="35">
        <f>IF(K1592="FIN",3,IF(OR(K1592="SEM",K1592="SEMI"),2,IF(OR(K1592="PRE",K1592="HEAT"),1,IF(V1592="YES",4,2))))</f>
        <v/>
      </c>
      <c r="M1592" s="33" t="inlineStr">
        <is>
          <t>LCM</t>
        </is>
      </c>
      <c r="N1592" s="33" t="n">
        <v>100</v>
      </c>
      <c r="O1592" s="33" t="inlineStr">
        <is>
          <t>Free</t>
        </is>
      </c>
      <c r="P1592" s="33" t="inlineStr">
        <is>
          <t>100 Free</t>
        </is>
      </c>
      <c r="Q1592" s="33" t="inlineStr">
        <is>
          <t>LCM_100_FREE</t>
        </is>
      </c>
      <c r="R1592" s="36" t="n">
        <v>47.08</v>
      </c>
      <c r="S1592" s="35">
        <f>IF(R1592="","",IF(R1592&gt;=60,INT(R1592/60)&amp;":"&amp;TEXT(MOD(R1592,60),"00.00"),TEXT(R1592,"0.00")))</f>
        <v/>
      </c>
      <c r="T1592" s="52">
        <f>IFERROR((G1592-INDEX('01_Swimmers'!$E$5:$E$22,MATCH(B1592,'01_Swimmers'!$A$5:$A$22,0)))/'00_Control'!$B$10,"")</f>
        <v/>
      </c>
      <c r="U1592" s="35">
        <f>IF(T1592="","",INT(T1592))</f>
        <v/>
      </c>
      <c r="V1592" s="33" t="inlineStr">
        <is>
          <t>NO</t>
        </is>
      </c>
      <c r="W1592" s="33" t="inlineStr">
        <is>
          <t>YES</t>
        </is>
      </c>
      <c r="X1592" s="33" t="inlineStr">
        <is>
          <t>NO</t>
        </is>
      </c>
      <c r="Y1592" s="33" t="n">
        <v>2</v>
      </c>
      <c r="Z1592" s="33" t="n">
        <v>7</v>
      </c>
      <c r="AA1592" s="33" t="inlineStr">
        <is>
          <t>2</t>
        </is>
      </c>
      <c r="AB1592" s="33" t="inlineStr">
        <is>
          <t>https://www.swimcloud.com/results/130521/event/71/?id=43395960#time43395960</t>
        </is>
      </c>
      <c r="AC1592" s="33" t="inlineStr">
        <is>
          <t>SwimCloud API v6 2026-10-08</t>
        </is>
      </c>
      <c r="AD1592" s="33" t="inlineStr">
        <is>
          <t>Kyle Chalmers|2021-07-24|LCM|100|Free|47.08|Olympic Games|FIN|False</t>
        </is>
      </c>
      <c r="AE1592" s="53">
        <f>G1592+L1592/1000+ROW()/1000000000</f>
        <v/>
      </c>
      <c r="AF1592" s="35">
        <f>IF(C1592&lt;&gt;"Grayson Coulter","",COUNTIFS($C$5:$C$2991,"Grayson Coulter",$Q$5:$Q$2991,Q1592,$AE$5:$AE$2991,"&lt;="&amp;AE1592,$R$5:$R$2991,"&lt;"&amp;R1592))</f>
        <v/>
      </c>
      <c r="AG1592" s="35">
        <f>IF(OR(C1592&lt;&gt;"Grayson Coulter",G1592&lt;'00_Control'!$B$7),"",--(AF1592&lt;5))</f>
        <v/>
      </c>
      <c r="AH1592" s="35">
        <f>IF(OR(C1592&lt;&gt;"Grayson Coulter",G1592&lt;'00_Control'!$B$7),"",--(AF1592&lt;10))</f>
        <v/>
      </c>
      <c r="AI1592" s="35">
        <f>IF(AND(C1592="Grayson Coulter",G1592&gt;='00_Control'!$B$7),"YES","NO")</f>
        <v/>
      </c>
      <c r="AJ1592" s="33" t="inlineStr">
        <is>
          <t>OK</t>
        </is>
      </c>
    </row>
    <row r="1593">
      <c r="A1593" s="33" t="inlineStr">
        <is>
          <t>SM001589</t>
        </is>
      </c>
      <c r="B1593" s="33" t="inlineStr">
        <is>
          <t>SW011</t>
        </is>
      </c>
      <c r="C1593" s="33" t="inlineStr">
        <is>
          <t>Kyle Chalmers</t>
        </is>
      </c>
      <c r="D1593" s="33" t="inlineStr">
        <is>
          <t>SwimCloud</t>
        </is>
      </c>
      <c r="E1593" s="33" t="inlineStr">
        <is>
          <t>419989</t>
        </is>
      </c>
      <c r="F1593" s="33" t="inlineStr">
        <is>
          <t>43976627</t>
        </is>
      </c>
      <c r="G1593" s="51" t="n">
        <v>44450</v>
      </c>
      <c r="H1593" s="33" t="inlineStr">
        <is>
          <t>ISL - Season 3, Match 6</t>
        </is>
      </c>
      <c r="I1593" s="33" t="inlineStr">
        <is>
          <t>203628</t>
        </is>
      </c>
      <c r="J1593" s="33" t="inlineStr"/>
      <c r="K1593" s="33" t="inlineStr">
        <is>
          <t>FIN</t>
        </is>
      </c>
      <c r="L1593" s="35">
        <f>IF(K1593="FIN",3,IF(OR(K1593="SEM",K1593="SEMI"),2,IF(OR(K1593="PRE",K1593="HEAT"),1,IF(V1593="YES",4,2))))</f>
        <v/>
      </c>
      <c r="M1593" s="33" t="inlineStr">
        <is>
          <t>SCM</t>
        </is>
      </c>
      <c r="N1593" s="33" t="n">
        <v>100</v>
      </c>
      <c r="O1593" s="33" t="inlineStr">
        <is>
          <t>Free</t>
        </is>
      </c>
      <c r="P1593" s="33" t="inlineStr">
        <is>
          <t>100 Free</t>
        </is>
      </c>
      <c r="Q1593" s="33" t="inlineStr">
        <is>
          <t>SCM_100_FREE</t>
        </is>
      </c>
      <c r="R1593" s="36" t="n">
        <v>45.69</v>
      </c>
      <c r="S1593" s="35">
        <f>IF(R1593="","",IF(R1593&gt;=60,INT(R1593/60)&amp;":"&amp;TEXT(MOD(R1593,60),"00.00"),TEXT(R1593,"0.00")))</f>
        <v/>
      </c>
      <c r="T1593" s="52">
        <f>IFERROR((G1593-INDEX('01_Swimmers'!$E$5:$E$22,MATCH(B1593,'01_Swimmers'!$A$5:$A$22,0)))/'00_Control'!$B$10,"")</f>
        <v/>
      </c>
      <c r="U1593" s="35">
        <f>IF(T1593="","",INT(T1593))</f>
        <v/>
      </c>
      <c r="V1593" s="33" t="inlineStr">
        <is>
          <t>YES</t>
        </is>
      </c>
      <c r="W1593" s="33" t="inlineStr">
        <is>
          <t>YES</t>
        </is>
      </c>
      <c r="X1593" s="33" t="inlineStr">
        <is>
          <t>NO</t>
        </is>
      </c>
      <c r="Y1593" s="33" t="n">
        <v>1</v>
      </c>
      <c r="Z1593" s="33" t="n">
        <v>5</v>
      </c>
      <c r="AA1593" s="33" t="inlineStr"/>
      <c r="AB1593" s="33" t="inlineStr">
        <is>
          <t>https://www.swimcloud.com/results/203628/event/14/?id=43976458#time43976458</t>
        </is>
      </c>
      <c r="AC1593" s="33" t="inlineStr">
        <is>
          <t>SwimCloud API v6 2026-10-08</t>
        </is>
      </c>
      <c r="AD1593" s="33" t="inlineStr">
        <is>
          <t>Kyle Chalmers|2021-09-11|SCM|100|Free|45.69|ISL - Season 3, Match 6|FIN|True</t>
        </is>
      </c>
      <c r="AE1593" s="53">
        <f>G1593+L1593/1000+ROW()/1000000000</f>
        <v/>
      </c>
      <c r="AF1593" s="35">
        <f>IF(C1593&lt;&gt;"Grayson Coulter","",COUNTIFS($C$5:$C$2991,"Grayson Coulter",$Q$5:$Q$2991,Q1593,$AE$5:$AE$2991,"&lt;="&amp;AE1593,$R$5:$R$2991,"&lt;"&amp;R1593))</f>
        <v/>
      </c>
      <c r="AG1593" s="35">
        <f>IF(OR(C1593&lt;&gt;"Grayson Coulter",G1593&lt;'00_Control'!$B$7),"",--(AF1593&lt;5))</f>
        <v/>
      </c>
      <c r="AH1593" s="35">
        <f>IF(OR(C1593&lt;&gt;"Grayson Coulter",G1593&lt;'00_Control'!$B$7),"",--(AF1593&lt;10))</f>
        <v/>
      </c>
      <c r="AI1593" s="35">
        <f>IF(AND(C1593="Grayson Coulter",G1593&gt;='00_Control'!$B$7),"YES","NO")</f>
        <v/>
      </c>
      <c r="AJ1593" s="33" t="inlineStr">
        <is>
          <t>OK</t>
        </is>
      </c>
    </row>
    <row r="1594">
      <c r="A1594" s="33" t="inlineStr">
        <is>
          <t>SM001590</t>
        </is>
      </c>
      <c r="B1594" s="33" t="inlineStr">
        <is>
          <t>SW011</t>
        </is>
      </c>
      <c r="C1594" s="33" t="inlineStr">
        <is>
          <t>Kyle Chalmers</t>
        </is>
      </c>
      <c r="D1594" s="33" t="inlineStr">
        <is>
          <t>SwimCloud</t>
        </is>
      </c>
      <c r="E1594" s="33" t="inlineStr">
        <is>
          <t>419989</t>
        </is>
      </c>
      <c r="F1594" s="33" t="inlineStr">
        <is>
          <t>44131122</t>
        </is>
      </c>
      <c r="G1594" s="51" t="n">
        <v>44457</v>
      </c>
      <c r="H1594" s="33" t="inlineStr">
        <is>
          <t>ISL - Season 3, Match 8</t>
        </is>
      </c>
      <c r="I1594" s="33" t="inlineStr">
        <is>
          <t>204292</t>
        </is>
      </c>
      <c r="J1594" s="33" t="inlineStr"/>
      <c r="K1594" s="33" t="inlineStr">
        <is>
          <t>FIN</t>
        </is>
      </c>
      <c r="L1594" s="35">
        <f>IF(K1594="FIN",3,IF(OR(K1594="SEM",K1594="SEMI"),2,IF(OR(K1594="PRE",K1594="HEAT"),1,IF(V1594="YES",4,2))))</f>
        <v/>
      </c>
      <c r="M1594" s="33" t="inlineStr">
        <is>
          <t>SCM</t>
        </is>
      </c>
      <c r="N1594" s="33" t="n">
        <v>100</v>
      </c>
      <c r="O1594" s="33" t="inlineStr">
        <is>
          <t>Free</t>
        </is>
      </c>
      <c r="P1594" s="33" t="inlineStr">
        <is>
          <t>100 Free</t>
        </is>
      </c>
      <c r="Q1594" s="33" t="inlineStr">
        <is>
          <t>SCM_100_FREE</t>
        </is>
      </c>
      <c r="R1594" s="36" t="n">
        <v>46.13</v>
      </c>
      <c r="S1594" s="35">
        <f>IF(R1594="","",IF(R1594&gt;=60,INT(R1594/60)&amp;":"&amp;TEXT(MOD(R1594,60),"00.00"),TEXT(R1594,"0.00")))</f>
        <v/>
      </c>
      <c r="T1594" s="52">
        <f>IFERROR((G1594-INDEX('01_Swimmers'!$E$5:$E$22,MATCH(B1594,'01_Swimmers'!$A$5:$A$22,0)))/'00_Control'!$B$10,"")</f>
        <v/>
      </c>
      <c r="U1594" s="35">
        <f>IF(T1594="","",INT(T1594))</f>
        <v/>
      </c>
      <c r="V1594" s="33" t="inlineStr">
        <is>
          <t>YES</t>
        </is>
      </c>
      <c r="W1594" s="33" t="inlineStr">
        <is>
          <t>YES</t>
        </is>
      </c>
      <c r="X1594" s="33" t="inlineStr">
        <is>
          <t>NO</t>
        </is>
      </c>
      <c r="Y1594" s="33" t="n">
        <v>1</v>
      </c>
      <c r="Z1594" s="33" t="n">
        <v>6</v>
      </c>
      <c r="AA1594" s="33" t="inlineStr"/>
      <c r="AB1594" s="33" t="inlineStr">
        <is>
          <t>https://www.swimcloud.com/results/204292/event/14/?id=44130948#time44130948</t>
        </is>
      </c>
      <c r="AC1594" s="33" t="inlineStr">
        <is>
          <t>SwimCloud API v6 2026-10-08</t>
        </is>
      </c>
      <c r="AD1594" s="33" t="inlineStr">
        <is>
          <t>Kyle Chalmers|2021-09-18|SCM|100|Free|46.13|ISL - Season 3, Match 8|FIN|True</t>
        </is>
      </c>
      <c r="AE1594" s="53">
        <f>G1594+L1594/1000+ROW()/1000000000</f>
        <v/>
      </c>
      <c r="AF1594" s="35">
        <f>IF(C1594&lt;&gt;"Grayson Coulter","",COUNTIFS($C$5:$C$2991,"Grayson Coulter",$Q$5:$Q$2991,Q1594,$AE$5:$AE$2991,"&lt;="&amp;AE1594,$R$5:$R$2991,"&lt;"&amp;R1594))</f>
        <v/>
      </c>
      <c r="AG1594" s="35">
        <f>IF(OR(C1594&lt;&gt;"Grayson Coulter",G1594&lt;'00_Control'!$B$7),"",--(AF1594&lt;5))</f>
        <v/>
      </c>
      <c r="AH1594" s="35">
        <f>IF(OR(C1594&lt;&gt;"Grayson Coulter",G1594&lt;'00_Control'!$B$7),"",--(AF1594&lt;10))</f>
        <v/>
      </c>
      <c r="AI1594" s="35">
        <f>IF(AND(C1594="Grayson Coulter",G1594&gt;='00_Control'!$B$7),"YES","NO")</f>
        <v/>
      </c>
      <c r="AJ1594" s="33" t="inlineStr">
        <is>
          <t>OK</t>
        </is>
      </c>
    </row>
    <row r="1595">
      <c r="A1595" s="33" t="inlineStr">
        <is>
          <t>SM001591</t>
        </is>
      </c>
      <c r="B1595" s="33" t="inlineStr">
        <is>
          <t>SW011</t>
        </is>
      </c>
      <c r="C1595" s="33" t="inlineStr">
        <is>
          <t>Kyle Chalmers</t>
        </is>
      </c>
      <c r="D1595" s="33" t="inlineStr">
        <is>
          <t>SwimCloud</t>
        </is>
      </c>
      <c r="E1595" s="33" t="inlineStr">
        <is>
          <t>419989</t>
        </is>
      </c>
      <c r="F1595" s="33" t="inlineStr">
        <is>
          <t>44130896</t>
        </is>
      </c>
      <c r="G1595" s="51" t="n">
        <v>44458</v>
      </c>
      <c r="H1595" s="33" t="inlineStr">
        <is>
          <t>ISL - Season 3, Match 8</t>
        </is>
      </c>
      <c r="I1595" s="33" t="inlineStr">
        <is>
          <t>204292</t>
        </is>
      </c>
      <c r="J1595" s="33" t="inlineStr"/>
      <c r="K1595" s="33" t="inlineStr">
        <is>
          <t>FIN</t>
        </is>
      </c>
      <c r="L1595" s="35">
        <f>IF(K1595="FIN",3,IF(OR(K1595="SEM",K1595="SEMI"),2,IF(OR(K1595="PRE",K1595="HEAT"),1,IF(V1595="YES",4,2))))</f>
        <v/>
      </c>
      <c r="M1595" s="33" t="inlineStr">
        <is>
          <t>SCM</t>
        </is>
      </c>
      <c r="N1595" s="33" t="n">
        <v>100</v>
      </c>
      <c r="O1595" s="33" t="inlineStr">
        <is>
          <t>Free</t>
        </is>
      </c>
      <c r="P1595" s="33" t="inlineStr">
        <is>
          <t>100 Free</t>
        </is>
      </c>
      <c r="Q1595" s="33" t="inlineStr">
        <is>
          <t>SCM_100_FREE</t>
        </is>
      </c>
      <c r="R1595" s="36" t="n">
        <v>45.65</v>
      </c>
      <c r="S1595" s="35">
        <f>IF(R1595="","",IF(R1595&gt;=60,INT(R1595/60)&amp;":"&amp;TEXT(MOD(R1595,60),"00.00"),TEXT(R1595,"0.00")))</f>
        <v/>
      </c>
      <c r="T1595" s="52">
        <f>IFERROR((G1595-INDEX('01_Swimmers'!$E$5:$E$22,MATCH(B1595,'01_Swimmers'!$A$5:$A$22,0)))/'00_Control'!$B$10,"")</f>
        <v/>
      </c>
      <c r="U1595" s="35">
        <f>IF(T1595="","",INT(T1595))</f>
        <v/>
      </c>
      <c r="V1595" s="33" t="inlineStr">
        <is>
          <t>NO</t>
        </is>
      </c>
      <c r="W1595" s="33" t="inlineStr">
        <is>
          <t>YES</t>
        </is>
      </c>
      <c r="X1595" s="33" t="inlineStr">
        <is>
          <t>NO</t>
        </is>
      </c>
      <c r="Y1595" s="33" t="n">
        <v>1</v>
      </c>
      <c r="Z1595" s="33" t="n">
        <v>6</v>
      </c>
      <c r="AA1595" s="33" t="inlineStr">
        <is>
          <t>1</t>
        </is>
      </c>
      <c r="AB1595" s="33" t="inlineStr">
        <is>
          <t>https://www.swimcloud.com/results/204292/event/22/?id=44130896#time44130896</t>
        </is>
      </c>
      <c r="AC1595" s="33" t="inlineStr">
        <is>
          <t>SwimCloud API v6 2026-10-08</t>
        </is>
      </c>
      <c r="AD1595" s="33" t="inlineStr">
        <is>
          <t>Kyle Chalmers|2021-09-19|SCM|100|Free|45.65|ISL - Season 3, Match 8|FIN|False</t>
        </is>
      </c>
      <c r="AE1595" s="53">
        <f>G1595+L1595/1000+ROW()/1000000000</f>
        <v/>
      </c>
      <c r="AF1595" s="35">
        <f>IF(C1595&lt;&gt;"Grayson Coulter","",COUNTIFS($C$5:$C$2991,"Grayson Coulter",$Q$5:$Q$2991,Q1595,$AE$5:$AE$2991,"&lt;="&amp;AE1595,$R$5:$R$2991,"&lt;"&amp;R1595))</f>
        <v/>
      </c>
      <c r="AG1595" s="35">
        <f>IF(OR(C1595&lt;&gt;"Grayson Coulter",G1595&lt;'00_Control'!$B$7),"",--(AF1595&lt;5))</f>
        <v/>
      </c>
      <c r="AH1595" s="35">
        <f>IF(OR(C1595&lt;&gt;"Grayson Coulter",G1595&lt;'00_Control'!$B$7),"",--(AF1595&lt;10))</f>
        <v/>
      </c>
      <c r="AI1595" s="35">
        <f>IF(AND(C1595="Grayson Coulter",G1595&gt;='00_Control'!$B$7),"YES","NO")</f>
        <v/>
      </c>
      <c r="AJ1595" s="33" t="inlineStr">
        <is>
          <t>OK</t>
        </is>
      </c>
    </row>
    <row r="1596">
      <c r="A1596" s="33" t="inlineStr">
        <is>
          <t>SM001592</t>
        </is>
      </c>
      <c r="B1596" s="33" t="inlineStr">
        <is>
          <t>SW011</t>
        </is>
      </c>
      <c r="C1596" s="33" t="inlineStr">
        <is>
          <t>Kyle Chalmers</t>
        </is>
      </c>
      <c r="D1596" s="33" t="inlineStr">
        <is>
          <t>SwimCloud</t>
        </is>
      </c>
      <c r="E1596" s="33" t="inlineStr">
        <is>
          <t>419989</t>
        </is>
      </c>
      <c r="F1596" s="33" t="inlineStr">
        <is>
          <t>44427966</t>
        </is>
      </c>
      <c r="G1596" s="51" t="n">
        <v>44471</v>
      </c>
      <c r="H1596" s="33" t="inlineStr">
        <is>
          <t>FINA Swimming World Cup - Berlin</t>
        </is>
      </c>
      <c r="I1596" s="33" t="inlineStr">
        <is>
          <t>205610</t>
        </is>
      </c>
      <c r="J1596" s="33" t="inlineStr"/>
      <c r="K1596" s="33" t="inlineStr">
        <is>
          <t>PRE</t>
        </is>
      </c>
      <c r="L1596" s="35">
        <f>IF(K1596="FIN",3,IF(OR(K1596="SEM",K1596="SEMI"),2,IF(OR(K1596="PRE",K1596="HEAT"),1,IF(V1596="YES",4,2))))</f>
        <v/>
      </c>
      <c r="M1596" s="33" t="inlineStr">
        <is>
          <t>SCM</t>
        </is>
      </c>
      <c r="N1596" s="33" t="n">
        <v>100</v>
      </c>
      <c r="O1596" s="33" t="inlineStr">
        <is>
          <t>Free</t>
        </is>
      </c>
      <c r="P1596" s="33" t="inlineStr">
        <is>
          <t>100 Free</t>
        </is>
      </c>
      <c r="Q1596" s="33" t="inlineStr">
        <is>
          <t>SCM_100_FREE</t>
        </is>
      </c>
      <c r="R1596" s="36" t="n">
        <v>47.12</v>
      </c>
      <c r="S1596" s="35">
        <f>IF(R1596="","",IF(R1596&gt;=60,INT(R1596/60)&amp;":"&amp;TEXT(MOD(R1596,60),"00.00"),TEXT(R1596,"0.00")))</f>
        <v/>
      </c>
      <c r="T1596" s="52">
        <f>IFERROR((G1596-INDEX('01_Swimmers'!$E$5:$E$22,MATCH(B1596,'01_Swimmers'!$A$5:$A$22,0)))/'00_Control'!$B$10,"")</f>
        <v/>
      </c>
      <c r="U1596" s="35">
        <f>IF(T1596="","",INT(T1596))</f>
        <v/>
      </c>
      <c r="V1596" s="33" t="inlineStr">
        <is>
          <t>NO</t>
        </is>
      </c>
      <c r="W1596" s="33" t="inlineStr">
        <is>
          <t>YES</t>
        </is>
      </c>
      <c r="X1596" s="33" t="inlineStr">
        <is>
          <t>NO</t>
        </is>
      </c>
      <c r="Y1596" s="33" t="n">
        <v>7</v>
      </c>
      <c r="Z1596" s="33" t="n">
        <v>4</v>
      </c>
      <c r="AA1596" s="33" t="inlineStr">
        <is>
          <t>1</t>
        </is>
      </c>
      <c r="AB1596" s="33" t="inlineStr">
        <is>
          <t>https://www.swimcloud.com/results/205610/event/21/?id=44427966#time44427966</t>
        </is>
      </c>
      <c r="AC1596" s="33" t="inlineStr">
        <is>
          <t>SwimCloud API v6 2026-10-08</t>
        </is>
      </c>
      <c r="AD1596" s="33" t="inlineStr">
        <is>
          <t>Kyle Chalmers|2021-10-02|SCM|100|Free|47.12|FINA Swimming World Cup - Berlin|PRE|False</t>
        </is>
      </c>
      <c r="AE1596" s="53">
        <f>G1596+L1596/1000+ROW()/1000000000</f>
        <v/>
      </c>
      <c r="AF1596" s="35">
        <f>IF(C1596&lt;&gt;"Grayson Coulter","",COUNTIFS($C$5:$C$2991,"Grayson Coulter",$Q$5:$Q$2991,Q1596,$AE$5:$AE$2991,"&lt;="&amp;AE1596,$R$5:$R$2991,"&lt;"&amp;R1596))</f>
        <v/>
      </c>
      <c r="AG1596" s="35">
        <f>IF(OR(C1596&lt;&gt;"Grayson Coulter",G1596&lt;'00_Control'!$B$7),"",--(AF1596&lt;5))</f>
        <v/>
      </c>
      <c r="AH1596" s="35">
        <f>IF(OR(C1596&lt;&gt;"Grayson Coulter",G1596&lt;'00_Control'!$B$7),"",--(AF1596&lt;10))</f>
        <v/>
      </c>
      <c r="AI1596" s="35">
        <f>IF(AND(C1596="Grayson Coulter",G1596&gt;='00_Control'!$B$7),"YES","NO")</f>
        <v/>
      </c>
      <c r="AJ1596" s="33" t="inlineStr">
        <is>
          <t>OK</t>
        </is>
      </c>
    </row>
    <row r="1597">
      <c r="A1597" s="33" t="inlineStr">
        <is>
          <t>SM001593</t>
        </is>
      </c>
      <c r="B1597" s="33" t="inlineStr">
        <is>
          <t>SW011</t>
        </is>
      </c>
      <c r="C1597" s="33" t="inlineStr">
        <is>
          <t>Kyle Chalmers</t>
        </is>
      </c>
      <c r="D1597" s="33" t="inlineStr">
        <is>
          <t>SwimCloud</t>
        </is>
      </c>
      <c r="E1597" s="33" t="inlineStr">
        <is>
          <t>419989</t>
        </is>
      </c>
      <c r="F1597" s="33" t="inlineStr">
        <is>
          <t>44427965</t>
        </is>
      </c>
      <c r="G1597" s="51" t="n">
        <v>44471</v>
      </c>
      <c r="H1597" s="33" t="inlineStr">
        <is>
          <t>FINA Swimming World Cup - Berlin</t>
        </is>
      </c>
      <c r="I1597" s="33" t="inlineStr">
        <is>
          <t>205610</t>
        </is>
      </c>
      <c r="J1597" s="33" t="inlineStr"/>
      <c r="K1597" s="33" t="inlineStr">
        <is>
          <t>FIN</t>
        </is>
      </c>
      <c r="L1597" s="35">
        <f>IF(K1597="FIN",3,IF(OR(K1597="SEM",K1597="SEMI"),2,IF(OR(K1597="PRE",K1597="HEAT"),1,IF(V1597="YES",4,2))))</f>
        <v/>
      </c>
      <c r="M1597" s="33" t="inlineStr">
        <is>
          <t>SCM</t>
        </is>
      </c>
      <c r="N1597" s="33" t="n">
        <v>100</v>
      </c>
      <c r="O1597" s="33" t="inlineStr">
        <is>
          <t>Free</t>
        </is>
      </c>
      <c r="P1597" s="33" t="inlineStr">
        <is>
          <t>100 Free</t>
        </is>
      </c>
      <c r="Q1597" s="33" t="inlineStr">
        <is>
          <t>SCM_100_FREE</t>
        </is>
      </c>
      <c r="R1597" s="36" t="n">
        <v>45.73</v>
      </c>
      <c r="S1597" s="35">
        <f>IF(R1597="","",IF(R1597&gt;=60,INT(R1597/60)&amp;":"&amp;TEXT(MOD(R1597,60),"00.00"),TEXT(R1597,"0.00")))</f>
        <v/>
      </c>
      <c r="T1597" s="52">
        <f>IFERROR((G1597-INDEX('01_Swimmers'!$E$5:$E$22,MATCH(B1597,'01_Swimmers'!$A$5:$A$22,0)))/'00_Control'!$B$10,"")</f>
        <v/>
      </c>
      <c r="U1597" s="35">
        <f>IF(T1597="","",INT(T1597))</f>
        <v/>
      </c>
      <c r="V1597" s="33" t="inlineStr">
        <is>
          <t>NO</t>
        </is>
      </c>
      <c r="W1597" s="33" t="inlineStr">
        <is>
          <t>YES</t>
        </is>
      </c>
      <c r="X1597" s="33" t="inlineStr">
        <is>
          <t>NO</t>
        </is>
      </c>
      <c r="Y1597" s="33" t="n">
        <v>1</v>
      </c>
      <c r="Z1597" s="33" t="n">
        <v>4</v>
      </c>
      <c r="AA1597" s="33" t="inlineStr">
        <is>
          <t>1</t>
        </is>
      </c>
      <c r="AB1597" s="33" t="inlineStr">
        <is>
          <t>https://www.swimcloud.com/results/205610/event/21/?id=44427965#time44427965</t>
        </is>
      </c>
      <c r="AC1597" s="33" t="inlineStr">
        <is>
          <t>SwimCloud API v6 2026-10-08</t>
        </is>
      </c>
      <c r="AD1597" s="33" t="inlineStr">
        <is>
          <t>Kyle Chalmers|2021-10-02|SCM|100|Free|45.73|FINA Swimming World Cup - Berlin|FIN|False</t>
        </is>
      </c>
      <c r="AE1597" s="53">
        <f>G1597+L1597/1000+ROW()/1000000000</f>
        <v/>
      </c>
      <c r="AF1597" s="35">
        <f>IF(C1597&lt;&gt;"Grayson Coulter","",COUNTIFS($C$5:$C$2991,"Grayson Coulter",$Q$5:$Q$2991,Q1597,$AE$5:$AE$2991,"&lt;="&amp;AE1597,$R$5:$R$2991,"&lt;"&amp;R1597))</f>
        <v/>
      </c>
      <c r="AG1597" s="35">
        <f>IF(OR(C1597&lt;&gt;"Grayson Coulter",G1597&lt;'00_Control'!$B$7),"",--(AF1597&lt;5))</f>
        <v/>
      </c>
      <c r="AH1597" s="35">
        <f>IF(OR(C1597&lt;&gt;"Grayson Coulter",G1597&lt;'00_Control'!$B$7),"",--(AF1597&lt;10))</f>
        <v/>
      </c>
      <c r="AI1597" s="35">
        <f>IF(AND(C1597="Grayson Coulter",G1597&gt;='00_Control'!$B$7),"YES","NO")</f>
        <v/>
      </c>
      <c r="AJ1597" s="33" t="inlineStr">
        <is>
          <t>OK</t>
        </is>
      </c>
    </row>
    <row r="1598">
      <c r="A1598" s="33" t="inlineStr">
        <is>
          <t>SM001594</t>
        </is>
      </c>
      <c r="B1598" s="33" t="inlineStr">
        <is>
          <t>SW011</t>
        </is>
      </c>
      <c r="C1598" s="33" t="inlineStr">
        <is>
          <t>Kyle Chalmers</t>
        </is>
      </c>
      <c r="D1598" s="33" t="inlineStr">
        <is>
          <t>SwimCloud</t>
        </is>
      </c>
      <c r="E1598" s="33" t="inlineStr">
        <is>
          <t>419989</t>
        </is>
      </c>
      <c r="F1598" s="33" t="inlineStr">
        <is>
          <t>44427968</t>
        </is>
      </c>
      <c r="G1598" s="51" t="n">
        <v>44472</v>
      </c>
      <c r="H1598" s="33" t="inlineStr">
        <is>
          <t>FINA Swimming World Cup - Berlin</t>
        </is>
      </c>
      <c r="I1598" s="33" t="inlineStr">
        <is>
          <t>205610</t>
        </is>
      </c>
      <c r="J1598" s="33" t="inlineStr"/>
      <c r="K1598" s="33" t="inlineStr">
        <is>
          <t>PRE</t>
        </is>
      </c>
      <c r="L1598" s="35">
        <f>IF(K1598="FIN",3,IF(OR(K1598="SEM",K1598="SEMI"),2,IF(OR(K1598="PRE",K1598="HEAT"),1,IF(V1598="YES",4,2))))</f>
        <v/>
      </c>
      <c r="M1598" s="33" t="inlineStr">
        <is>
          <t>SCM</t>
        </is>
      </c>
      <c r="N1598" s="33" t="n">
        <v>200</v>
      </c>
      <c r="O1598" s="33" t="inlineStr">
        <is>
          <t>Free</t>
        </is>
      </c>
      <c r="P1598" s="33" t="inlineStr">
        <is>
          <t>200 Free</t>
        </is>
      </c>
      <c r="Q1598" s="33" t="inlineStr">
        <is>
          <t>SCM_200_FREE</t>
        </is>
      </c>
      <c r="R1598" s="36" t="n">
        <v>104.21</v>
      </c>
      <c r="S1598" s="35">
        <f>IF(R1598="","",IF(R1598&gt;=60,INT(R1598/60)&amp;":"&amp;TEXT(MOD(R1598,60),"00.00"),TEXT(R1598,"0.00")))</f>
        <v/>
      </c>
      <c r="T1598" s="52">
        <f>IFERROR((G1598-INDEX('01_Swimmers'!$E$5:$E$22,MATCH(B1598,'01_Swimmers'!$A$5:$A$22,0)))/'00_Control'!$B$10,"")</f>
        <v/>
      </c>
      <c r="U1598" s="35">
        <f>IF(T1598="","",INT(T1598))</f>
        <v/>
      </c>
      <c r="V1598" s="33" t="inlineStr">
        <is>
          <t>NO</t>
        </is>
      </c>
      <c r="W1598" s="33" t="inlineStr">
        <is>
          <t>YES</t>
        </is>
      </c>
      <c r="X1598" s="33" t="inlineStr">
        <is>
          <t>NO</t>
        </is>
      </c>
      <c r="Y1598" s="33" t="n">
        <v>6</v>
      </c>
      <c r="Z1598" s="33" t="n">
        <v>6</v>
      </c>
      <c r="AA1598" s="33" t="inlineStr">
        <is>
          <t>2</t>
        </is>
      </c>
      <c r="AB1598" s="33" t="inlineStr">
        <is>
          <t>https://www.swimcloud.com/results/205610/event/34/?id=44427968#time44427968</t>
        </is>
      </c>
      <c r="AC1598" s="33" t="inlineStr">
        <is>
          <t>SwimCloud API v6 2026-10-08</t>
        </is>
      </c>
      <c r="AD1598" s="33" t="inlineStr">
        <is>
          <t>Kyle Chalmers|2021-10-03|SCM|200|Free|104.21|FINA Swimming World Cup - Berlin|PRE|False</t>
        </is>
      </c>
      <c r="AE1598" s="53">
        <f>G1598+L1598/1000+ROW()/1000000000</f>
        <v/>
      </c>
      <c r="AF1598" s="35">
        <f>IF(C1598&lt;&gt;"Grayson Coulter","",COUNTIFS($C$5:$C$2991,"Grayson Coulter",$Q$5:$Q$2991,Q1598,$AE$5:$AE$2991,"&lt;="&amp;AE1598,$R$5:$R$2991,"&lt;"&amp;R1598))</f>
        <v/>
      </c>
      <c r="AG1598" s="35">
        <f>IF(OR(C1598&lt;&gt;"Grayson Coulter",G1598&lt;'00_Control'!$B$7),"",--(AF1598&lt;5))</f>
        <v/>
      </c>
      <c r="AH1598" s="35">
        <f>IF(OR(C1598&lt;&gt;"Grayson Coulter",G1598&lt;'00_Control'!$B$7),"",--(AF1598&lt;10))</f>
        <v/>
      </c>
      <c r="AI1598" s="35">
        <f>IF(AND(C1598="Grayson Coulter",G1598&gt;='00_Control'!$B$7),"YES","NO")</f>
        <v/>
      </c>
      <c r="AJ1598" s="33" t="inlineStr">
        <is>
          <t>OK</t>
        </is>
      </c>
    </row>
    <row r="1599">
      <c r="A1599" s="33" t="inlineStr">
        <is>
          <t>SM001595</t>
        </is>
      </c>
      <c r="B1599" s="33" t="inlineStr">
        <is>
          <t>SW011</t>
        </is>
      </c>
      <c r="C1599" s="33" t="inlineStr">
        <is>
          <t>Kyle Chalmers</t>
        </is>
      </c>
      <c r="D1599" s="33" t="inlineStr">
        <is>
          <t>SwimCloud</t>
        </is>
      </c>
      <c r="E1599" s="33" t="inlineStr">
        <is>
          <t>419989</t>
        </is>
      </c>
      <c r="F1599" s="33" t="inlineStr">
        <is>
          <t>44427967</t>
        </is>
      </c>
      <c r="G1599" s="51" t="n">
        <v>44472</v>
      </c>
      <c r="H1599" s="33" t="inlineStr">
        <is>
          <t>FINA Swimming World Cup - Berlin</t>
        </is>
      </c>
      <c r="I1599" s="33" t="inlineStr">
        <is>
          <t>205610</t>
        </is>
      </c>
      <c r="J1599" s="33" t="inlineStr"/>
      <c r="K1599" s="33" t="inlineStr">
        <is>
          <t>FIN</t>
        </is>
      </c>
      <c r="L1599" s="35">
        <f>IF(K1599="FIN",3,IF(OR(K1599="SEM",K1599="SEMI"),2,IF(OR(K1599="PRE",K1599="HEAT"),1,IF(V1599="YES",4,2))))</f>
        <v/>
      </c>
      <c r="M1599" s="33" t="inlineStr">
        <is>
          <t>SCM</t>
        </is>
      </c>
      <c r="N1599" s="33" t="n">
        <v>200</v>
      </c>
      <c r="O1599" s="33" t="inlineStr">
        <is>
          <t>Free</t>
        </is>
      </c>
      <c r="P1599" s="33" t="inlineStr">
        <is>
          <t>200 Free</t>
        </is>
      </c>
      <c r="Q1599" s="33" t="inlineStr">
        <is>
          <t>SCM_200_FREE</t>
        </is>
      </c>
      <c r="R1599" s="36" t="n">
        <v>100.82</v>
      </c>
      <c r="S1599" s="35">
        <f>IF(R1599="","",IF(R1599&gt;=60,INT(R1599/60)&amp;":"&amp;TEXT(MOD(R1599,60),"00.00"),TEXT(R1599,"0.00")))</f>
        <v/>
      </c>
      <c r="T1599" s="52">
        <f>IFERROR((G1599-INDEX('01_Swimmers'!$E$5:$E$22,MATCH(B1599,'01_Swimmers'!$A$5:$A$22,0)))/'00_Control'!$B$10,"")</f>
        <v/>
      </c>
      <c r="U1599" s="35">
        <f>IF(T1599="","",INT(T1599))</f>
        <v/>
      </c>
      <c r="V1599" s="33" t="inlineStr">
        <is>
          <t>NO</t>
        </is>
      </c>
      <c r="W1599" s="33" t="inlineStr">
        <is>
          <t>YES</t>
        </is>
      </c>
      <c r="X1599" s="33" t="inlineStr">
        <is>
          <t>NO</t>
        </is>
      </c>
      <c r="Y1599" s="33" t="n">
        <v>1</v>
      </c>
      <c r="Z1599" s="33" t="n">
        <v>5</v>
      </c>
      <c r="AA1599" s="33" t="inlineStr">
        <is>
          <t>2</t>
        </is>
      </c>
      <c r="AB1599" s="33" t="inlineStr">
        <is>
          <t>https://www.swimcloud.com/results/205610/event/34/?id=44427967#time44427967</t>
        </is>
      </c>
      <c r="AC1599" s="33" t="inlineStr">
        <is>
          <t>SwimCloud API v6 2026-10-08</t>
        </is>
      </c>
      <c r="AD1599" s="33" t="inlineStr">
        <is>
          <t>Kyle Chalmers|2021-10-03|SCM|200|Free|100.82|FINA Swimming World Cup - Berlin|FIN|False</t>
        </is>
      </c>
      <c r="AE1599" s="53">
        <f>G1599+L1599/1000+ROW()/1000000000</f>
        <v/>
      </c>
      <c r="AF1599" s="35">
        <f>IF(C1599&lt;&gt;"Grayson Coulter","",COUNTIFS($C$5:$C$2991,"Grayson Coulter",$Q$5:$Q$2991,Q1599,$AE$5:$AE$2991,"&lt;="&amp;AE1599,$R$5:$R$2991,"&lt;"&amp;R1599))</f>
        <v/>
      </c>
      <c r="AG1599" s="35">
        <f>IF(OR(C1599&lt;&gt;"Grayson Coulter",G1599&lt;'00_Control'!$B$7),"",--(AF1599&lt;5))</f>
        <v/>
      </c>
      <c r="AH1599" s="35">
        <f>IF(OR(C1599&lt;&gt;"Grayson Coulter",G1599&lt;'00_Control'!$B$7),"",--(AF1599&lt;10))</f>
        <v/>
      </c>
      <c r="AI1599" s="35">
        <f>IF(AND(C1599="Grayson Coulter",G1599&gt;='00_Control'!$B$7),"YES","NO")</f>
        <v/>
      </c>
      <c r="AJ1599" s="33" t="inlineStr">
        <is>
          <t>OK</t>
        </is>
      </c>
    </row>
    <row r="1600">
      <c r="A1600" s="33" t="inlineStr">
        <is>
          <t>SM001596</t>
        </is>
      </c>
      <c r="B1600" s="33" t="inlineStr">
        <is>
          <t>SW011</t>
        </is>
      </c>
      <c r="C1600" s="33" t="inlineStr">
        <is>
          <t>Kyle Chalmers</t>
        </is>
      </c>
      <c r="D1600" s="33" t="inlineStr">
        <is>
          <t>SwimCloud</t>
        </is>
      </c>
      <c r="E1600" s="33" t="inlineStr">
        <is>
          <t>419989</t>
        </is>
      </c>
      <c r="F1600" s="33" t="inlineStr">
        <is>
          <t>44585736</t>
        </is>
      </c>
      <c r="G1600" s="51" t="n">
        <v>44477</v>
      </c>
      <c r="H1600" s="33" t="inlineStr">
        <is>
          <t>FINA Swimming World Cup - Budapest</t>
        </is>
      </c>
      <c r="I1600" s="33" t="inlineStr">
        <is>
          <t>205611</t>
        </is>
      </c>
      <c r="J1600" s="33" t="inlineStr"/>
      <c r="K1600" s="33" t="inlineStr">
        <is>
          <t>PRE</t>
        </is>
      </c>
      <c r="L1600" s="35">
        <f>IF(K1600="FIN",3,IF(OR(K1600="SEM",K1600="SEMI"),2,IF(OR(K1600="PRE",K1600="HEAT"),1,IF(V1600="YES",4,2))))</f>
        <v/>
      </c>
      <c r="M1600" s="33" t="inlineStr">
        <is>
          <t>SCM</t>
        </is>
      </c>
      <c r="N1600" s="33" t="n">
        <v>100</v>
      </c>
      <c r="O1600" s="33" t="inlineStr">
        <is>
          <t>Free</t>
        </is>
      </c>
      <c r="P1600" s="33" t="inlineStr">
        <is>
          <t>100 Free</t>
        </is>
      </c>
      <c r="Q1600" s="33" t="inlineStr">
        <is>
          <t>SCM_100_FREE</t>
        </is>
      </c>
      <c r="R1600" s="36" t="n">
        <v>46.8</v>
      </c>
      <c r="S1600" s="35">
        <f>IF(R1600="","",IF(R1600&gt;=60,INT(R1600/60)&amp;":"&amp;TEXT(MOD(R1600,60),"00.00"),TEXT(R1600,"0.00")))</f>
        <v/>
      </c>
      <c r="T1600" s="52">
        <f>IFERROR((G1600-INDEX('01_Swimmers'!$E$5:$E$22,MATCH(B1600,'01_Swimmers'!$A$5:$A$22,0)))/'00_Control'!$B$10,"")</f>
        <v/>
      </c>
      <c r="U1600" s="35">
        <f>IF(T1600="","",INT(T1600))</f>
        <v/>
      </c>
      <c r="V1600" s="33" t="inlineStr">
        <is>
          <t>NO</t>
        </is>
      </c>
      <c r="W1600" s="33" t="inlineStr">
        <is>
          <t>YES</t>
        </is>
      </c>
      <c r="X1600" s="33" t="inlineStr">
        <is>
          <t>NO</t>
        </is>
      </c>
      <c r="Y1600" s="33" t="n">
        <v>6</v>
      </c>
      <c r="Z1600" s="33" t="n">
        <v>4</v>
      </c>
      <c r="AA1600" s="33" t="inlineStr">
        <is>
          <t>1</t>
        </is>
      </c>
      <c r="AB1600" s="33" t="inlineStr">
        <is>
          <t>https://www.swimcloud.com/results/205611/event/21/?id=44585736#time44585736</t>
        </is>
      </c>
      <c r="AC1600" s="33" t="inlineStr">
        <is>
          <t>SwimCloud API v6 2026-10-08</t>
        </is>
      </c>
      <c r="AD1600" s="33" t="inlineStr">
        <is>
          <t>Kyle Chalmers|2021-10-08|SCM|100|Free|46.8|FINA Swimming World Cup - Budapest|PRE|False</t>
        </is>
      </c>
      <c r="AE1600" s="53">
        <f>G1600+L1600/1000+ROW()/1000000000</f>
        <v/>
      </c>
      <c r="AF1600" s="35">
        <f>IF(C1600&lt;&gt;"Grayson Coulter","",COUNTIFS($C$5:$C$2991,"Grayson Coulter",$Q$5:$Q$2991,Q1600,$AE$5:$AE$2991,"&lt;="&amp;AE1600,$R$5:$R$2991,"&lt;"&amp;R1600))</f>
        <v/>
      </c>
      <c r="AG1600" s="35">
        <f>IF(OR(C1600&lt;&gt;"Grayson Coulter",G1600&lt;'00_Control'!$B$7),"",--(AF1600&lt;5))</f>
        <v/>
      </c>
      <c r="AH1600" s="35">
        <f>IF(OR(C1600&lt;&gt;"Grayson Coulter",G1600&lt;'00_Control'!$B$7),"",--(AF1600&lt;10))</f>
        <v/>
      </c>
      <c r="AI1600" s="35">
        <f>IF(AND(C1600="Grayson Coulter",G1600&gt;='00_Control'!$B$7),"YES","NO")</f>
        <v/>
      </c>
      <c r="AJ1600" s="33" t="inlineStr">
        <is>
          <t>OK</t>
        </is>
      </c>
    </row>
    <row r="1601">
      <c r="A1601" s="33" t="inlineStr">
        <is>
          <t>SM001597</t>
        </is>
      </c>
      <c r="B1601" s="33" t="inlineStr">
        <is>
          <t>SW011</t>
        </is>
      </c>
      <c r="C1601" s="33" t="inlineStr">
        <is>
          <t>Kyle Chalmers</t>
        </is>
      </c>
      <c r="D1601" s="33" t="inlineStr">
        <is>
          <t>SwimCloud</t>
        </is>
      </c>
      <c r="E1601" s="33" t="inlineStr">
        <is>
          <t>419989</t>
        </is>
      </c>
      <c r="F1601" s="33" t="inlineStr">
        <is>
          <t>44585735</t>
        </is>
      </c>
      <c r="G1601" s="51" t="n">
        <v>44477</v>
      </c>
      <c r="H1601" s="33" t="inlineStr">
        <is>
          <t>FINA Swimming World Cup - Budapest</t>
        </is>
      </c>
      <c r="I1601" s="33" t="inlineStr">
        <is>
          <t>205611</t>
        </is>
      </c>
      <c r="J1601" s="33" t="inlineStr"/>
      <c r="K1601" s="33" t="inlineStr">
        <is>
          <t>FIN</t>
        </is>
      </c>
      <c r="L1601" s="35">
        <f>IF(K1601="FIN",3,IF(OR(K1601="SEM",K1601="SEMI"),2,IF(OR(K1601="PRE",K1601="HEAT"),1,IF(V1601="YES",4,2))))</f>
        <v/>
      </c>
      <c r="M1601" s="33" t="inlineStr">
        <is>
          <t>SCM</t>
        </is>
      </c>
      <c r="N1601" s="33" t="n">
        <v>100</v>
      </c>
      <c r="O1601" s="33" t="inlineStr">
        <is>
          <t>Free</t>
        </is>
      </c>
      <c r="P1601" s="33" t="inlineStr">
        <is>
          <t>100 Free</t>
        </is>
      </c>
      <c r="Q1601" s="33" t="inlineStr">
        <is>
          <t>SCM_100_FREE</t>
        </is>
      </c>
      <c r="R1601" s="36" t="n">
        <v>45.5</v>
      </c>
      <c r="S1601" s="35">
        <f>IF(R1601="","",IF(R1601&gt;=60,INT(R1601/60)&amp;":"&amp;TEXT(MOD(R1601,60),"00.00"),TEXT(R1601,"0.00")))</f>
        <v/>
      </c>
      <c r="T1601" s="52">
        <f>IFERROR((G1601-INDEX('01_Swimmers'!$E$5:$E$22,MATCH(B1601,'01_Swimmers'!$A$5:$A$22,0)))/'00_Control'!$B$10,"")</f>
        <v/>
      </c>
      <c r="U1601" s="35">
        <f>IF(T1601="","",INT(T1601))</f>
        <v/>
      </c>
      <c r="V1601" s="33" t="inlineStr">
        <is>
          <t>NO</t>
        </is>
      </c>
      <c r="W1601" s="33" t="inlineStr">
        <is>
          <t>YES</t>
        </is>
      </c>
      <c r="X1601" s="33" t="inlineStr">
        <is>
          <t>NO</t>
        </is>
      </c>
      <c r="Y1601" s="33" t="n">
        <v>1</v>
      </c>
      <c r="Z1601" s="33" t="n">
        <v>4</v>
      </c>
      <c r="AA1601" s="33" t="inlineStr">
        <is>
          <t>1</t>
        </is>
      </c>
      <c r="AB1601" s="33" t="inlineStr">
        <is>
          <t>https://www.swimcloud.com/results/205611/event/21/?id=44585735#time44585735</t>
        </is>
      </c>
      <c r="AC1601" s="33" t="inlineStr">
        <is>
          <t>SwimCloud API v6 2026-10-08</t>
        </is>
      </c>
      <c r="AD1601" s="33" t="inlineStr">
        <is>
          <t>Kyle Chalmers|2021-10-08|SCM|100|Free|45.5|FINA Swimming World Cup - Budapest|FIN|False</t>
        </is>
      </c>
      <c r="AE1601" s="53">
        <f>G1601+L1601/1000+ROW()/1000000000</f>
        <v/>
      </c>
      <c r="AF1601" s="35">
        <f>IF(C1601&lt;&gt;"Grayson Coulter","",COUNTIFS($C$5:$C$2991,"Grayson Coulter",$Q$5:$Q$2991,Q1601,$AE$5:$AE$2991,"&lt;="&amp;AE1601,$R$5:$R$2991,"&lt;"&amp;R1601))</f>
        <v/>
      </c>
      <c r="AG1601" s="35">
        <f>IF(OR(C1601&lt;&gt;"Grayson Coulter",G1601&lt;'00_Control'!$B$7),"",--(AF1601&lt;5))</f>
        <v/>
      </c>
      <c r="AH1601" s="35">
        <f>IF(OR(C1601&lt;&gt;"Grayson Coulter",G1601&lt;'00_Control'!$B$7),"",--(AF1601&lt;10))</f>
        <v/>
      </c>
      <c r="AI1601" s="35">
        <f>IF(AND(C1601="Grayson Coulter",G1601&gt;='00_Control'!$B$7),"YES","NO")</f>
        <v/>
      </c>
      <c r="AJ1601" s="33" t="inlineStr">
        <is>
          <t>OK</t>
        </is>
      </c>
    </row>
    <row r="1602">
      <c r="A1602" s="33" t="inlineStr">
        <is>
          <t>SM001598</t>
        </is>
      </c>
      <c r="B1602" s="33" t="inlineStr">
        <is>
          <t>SW011</t>
        </is>
      </c>
      <c r="C1602" s="33" t="inlineStr">
        <is>
          <t>Kyle Chalmers</t>
        </is>
      </c>
      <c r="D1602" s="33" t="inlineStr">
        <is>
          <t>SwimCloud</t>
        </is>
      </c>
      <c r="E1602" s="33" t="inlineStr">
        <is>
          <t>419989</t>
        </is>
      </c>
      <c r="F1602" s="33" t="inlineStr">
        <is>
          <t>44585738</t>
        </is>
      </c>
      <c r="G1602" s="51" t="n">
        <v>44478</v>
      </c>
      <c r="H1602" s="33" t="inlineStr">
        <is>
          <t>FINA Swimming World Cup - Budapest</t>
        </is>
      </c>
      <c r="I1602" s="33" t="inlineStr">
        <is>
          <t>205611</t>
        </is>
      </c>
      <c r="J1602" s="33" t="inlineStr"/>
      <c r="K1602" s="33" t="inlineStr">
        <is>
          <t>PRE</t>
        </is>
      </c>
      <c r="L1602" s="35">
        <f>IF(K1602="FIN",3,IF(OR(K1602="SEM",K1602="SEMI"),2,IF(OR(K1602="PRE",K1602="HEAT"),1,IF(V1602="YES",4,2))))</f>
        <v/>
      </c>
      <c r="M1602" s="33" t="inlineStr">
        <is>
          <t>SCM</t>
        </is>
      </c>
      <c r="N1602" s="33" t="n">
        <v>200</v>
      </c>
      <c r="O1602" s="33" t="inlineStr">
        <is>
          <t>Free</t>
        </is>
      </c>
      <c r="P1602" s="33" t="inlineStr">
        <is>
          <t>200 Free</t>
        </is>
      </c>
      <c r="Q1602" s="33" t="inlineStr">
        <is>
          <t>SCM_200_FREE</t>
        </is>
      </c>
      <c r="R1602" s="36" t="n">
        <v>103.62</v>
      </c>
      <c r="S1602" s="35">
        <f>IF(R1602="","",IF(R1602&gt;=60,INT(R1602/60)&amp;":"&amp;TEXT(MOD(R1602,60),"00.00"),TEXT(R1602,"0.00")))</f>
        <v/>
      </c>
      <c r="T1602" s="52">
        <f>IFERROR((G1602-INDEX('01_Swimmers'!$E$5:$E$22,MATCH(B1602,'01_Swimmers'!$A$5:$A$22,0)))/'00_Control'!$B$10,"")</f>
        <v/>
      </c>
      <c r="U1602" s="35">
        <f>IF(T1602="","",INT(T1602))</f>
        <v/>
      </c>
      <c r="V1602" s="33" t="inlineStr">
        <is>
          <t>NO</t>
        </is>
      </c>
      <c r="W1602" s="33" t="inlineStr">
        <is>
          <t>YES</t>
        </is>
      </c>
      <c r="X1602" s="33" t="inlineStr">
        <is>
          <t>NO</t>
        </is>
      </c>
      <c r="Y1602" s="33" t="n">
        <v>2</v>
      </c>
      <c r="Z1602" s="33" t="n">
        <v>9</v>
      </c>
      <c r="AA1602" s="33" t="inlineStr">
        <is>
          <t>1</t>
        </is>
      </c>
      <c r="AB1602" s="33" t="inlineStr">
        <is>
          <t>https://www.swimcloud.com/results/205611/event/34/?id=44585738#time44585738</t>
        </is>
      </c>
      <c r="AC1602" s="33" t="inlineStr">
        <is>
          <t>SwimCloud API v6 2026-10-08</t>
        </is>
      </c>
      <c r="AD1602" s="33" t="inlineStr">
        <is>
          <t>Kyle Chalmers|2021-10-09|SCM|200|Free|103.62|FINA Swimming World Cup - Budapest|PRE|False</t>
        </is>
      </c>
      <c r="AE1602" s="53">
        <f>G1602+L1602/1000+ROW()/1000000000</f>
        <v/>
      </c>
      <c r="AF1602" s="35">
        <f>IF(C1602&lt;&gt;"Grayson Coulter","",COUNTIFS($C$5:$C$2991,"Grayson Coulter",$Q$5:$Q$2991,Q1602,$AE$5:$AE$2991,"&lt;="&amp;AE1602,$R$5:$R$2991,"&lt;"&amp;R1602))</f>
        <v/>
      </c>
      <c r="AG1602" s="35">
        <f>IF(OR(C1602&lt;&gt;"Grayson Coulter",G1602&lt;'00_Control'!$B$7),"",--(AF1602&lt;5))</f>
        <v/>
      </c>
      <c r="AH1602" s="35">
        <f>IF(OR(C1602&lt;&gt;"Grayson Coulter",G1602&lt;'00_Control'!$B$7),"",--(AF1602&lt;10))</f>
        <v/>
      </c>
      <c r="AI1602" s="35">
        <f>IF(AND(C1602="Grayson Coulter",G1602&gt;='00_Control'!$B$7),"YES","NO")</f>
        <v/>
      </c>
      <c r="AJ1602" s="33" t="inlineStr">
        <is>
          <t>OK</t>
        </is>
      </c>
    </row>
    <row r="1603">
      <c r="A1603" s="33" t="inlineStr">
        <is>
          <t>SM001599</t>
        </is>
      </c>
      <c r="B1603" s="33" t="inlineStr">
        <is>
          <t>SW011</t>
        </is>
      </c>
      <c r="C1603" s="33" t="inlineStr">
        <is>
          <t>Kyle Chalmers</t>
        </is>
      </c>
      <c r="D1603" s="33" t="inlineStr">
        <is>
          <t>SwimCloud</t>
        </is>
      </c>
      <c r="E1603" s="33" t="inlineStr">
        <is>
          <t>419989</t>
        </is>
      </c>
      <c r="F1603" s="33" t="inlineStr">
        <is>
          <t>44585737</t>
        </is>
      </c>
      <c r="G1603" s="51" t="n">
        <v>44478</v>
      </c>
      <c r="H1603" s="33" t="inlineStr">
        <is>
          <t>FINA Swimming World Cup - Budapest</t>
        </is>
      </c>
      <c r="I1603" s="33" t="inlineStr">
        <is>
          <t>205611</t>
        </is>
      </c>
      <c r="J1603" s="33" t="inlineStr"/>
      <c r="K1603" s="33" t="inlineStr">
        <is>
          <t>FIN</t>
        </is>
      </c>
      <c r="L1603" s="35">
        <f>IF(K1603="FIN",3,IF(OR(K1603="SEM",K1603="SEMI"),2,IF(OR(K1603="PRE",K1603="HEAT"),1,IF(V1603="YES",4,2))))</f>
        <v/>
      </c>
      <c r="M1603" s="33" t="inlineStr">
        <is>
          <t>SCM</t>
        </is>
      </c>
      <c r="N1603" s="33" t="n">
        <v>200</v>
      </c>
      <c r="O1603" s="33" t="inlineStr">
        <is>
          <t>Free</t>
        </is>
      </c>
      <c r="P1603" s="33" t="inlineStr">
        <is>
          <t>200 Free</t>
        </is>
      </c>
      <c r="Q1603" s="33" t="inlineStr">
        <is>
          <t>SCM_200_FREE</t>
        </is>
      </c>
      <c r="R1603" s="36" t="n">
        <v>101.6</v>
      </c>
      <c r="S1603" s="35">
        <f>IF(R1603="","",IF(R1603&gt;=60,INT(R1603/60)&amp;":"&amp;TEXT(MOD(R1603,60),"00.00"),TEXT(R1603,"0.00")))</f>
        <v/>
      </c>
      <c r="T1603" s="52">
        <f>IFERROR((G1603-INDEX('01_Swimmers'!$E$5:$E$22,MATCH(B1603,'01_Swimmers'!$A$5:$A$22,0)))/'00_Control'!$B$10,"")</f>
        <v/>
      </c>
      <c r="U1603" s="35">
        <f>IF(T1603="","",INT(T1603))</f>
        <v/>
      </c>
      <c r="V1603" s="33" t="inlineStr">
        <is>
          <t>NO</t>
        </is>
      </c>
      <c r="W1603" s="33" t="inlineStr">
        <is>
          <t>YES</t>
        </is>
      </c>
      <c r="X1603" s="33" t="inlineStr">
        <is>
          <t>NO</t>
        </is>
      </c>
      <c r="Y1603" s="33" t="n">
        <v>1</v>
      </c>
      <c r="Z1603" s="33" t="n">
        <v>4</v>
      </c>
      <c r="AA1603" s="33" t="inlineStr">
        <is>
          <t>2</t>
        </is>
      </c>
      <c r="AB1603" s="33" t="inlineStr">
        <is>
          <t>https://www.swimcloud.com/results/205611/event/34/?id=44585737#time44585737</t>
        </is>
      </c>
      <c r="AC1603" s="33" t="inlineStr">
        <is>
          <t>SwimCloud API v6 2026-10-08</t>
        </is>
      </c>
      <c r="AD1603" s="33" t="inlineStr">
        <is>
          <t>Kyle Chalmers|2021-10-09|SCM|200|Free|101.6|FINA Swimming World Cup - Budapest|FIN|False</t>
        </is>
      </c>
      <c r="AE1603" s="53">
        <f>G1603+L1603/1000+ROW()/1000000000</f>
        <v/>
      </c>
      <c r="AF1603" s="35">
        <f>IF(C1603&lt;&gt;"Grayson Coulter","",COUNTIFS($C$5:$C$2991,"Grayson Coulter",$Q$5:$Q$2991,Q1603,$AE$5:$AE$2991,"&lt;="&amp;AE1603,$R$5:$R$2991,"&lt;"&amp;R1603))</f>
        <v/>
      </c>
      <c r="AG1603" s="35">
        <f>IF(OR(C1603&lt;&gt;"Grayson Coulter",G1603&lt;'00_Control'!$B$7),"",--(AF1603&lt;5))</f>
        <v/>
      </c>
      <c r="AH1603" s="35">
        <f>IF(OR(C1603&lt;&gt;"Grayson Coulter",G1603&lt;'00_Control'!$B$7),"",--(AF1603&lt;10))</f>
        <v/>
      </c>
      <c r="AI1603" s="35">
        <f>IF(AND(C1603="Grayson Coulter",G1603&gt;='00_Control'!$B$7),"YES","NO")</f>
        <v/>
      </c>
      <c r="AJ1603" s="33" t="inlineStr">
        <is>
          <t>OK</t>
        </is>
      </c>
    </row>
    <row r="1604">
      <c r="A1604" s="33" t="inlineStr">
        <is>
          <t>SM001600</t>
        </is>
      </c>
      <c r="B1604" s="33" t="inlineStr">
        <is>
          <t>SW011</t>
        </is>
      </c>
      <c r="C1604" s="33" t="inlineStr">
        <is>
          <t>Kyle Chalmers</t>
        </is>
      </c>
      <c r="D1604" s="33" t="inlineStr">
        <is>
          <t>SwimCloud</t>
        </is>
      </c>
      <c r="E1604" s="33" t="inlineStr">
        <is>
          <t>419989</t>
        </is>
      </c>
      <c r="F1604" s="33" t="inlineStr">
        <is>
          <t>45477574</t>
        </is>
      </c>
      <c r="G1604" s="51" t="n">
        <v>44491</v>
      </c>
      <c r="H1604" s="33" t="inlineStr">
        <is>
          <t>FINA Swimming World Cup - Doha</t>
        </is>
      </c>
      <c r="I1604" s="33" t="inlineStr">
        <is>
          <t>208183</t>
        </is>
      </c>
      <c r="J1604" s="33" t="inlineStr"/>
      <c r="K1604" s="33" t="inlineStr">
        <is>
          <t>PRE</t>
        </is>
      </c>
      <c r="L1604" s="35">
        <f>IF(K1604="FIN",3,IF(OR(K1604="SEM",K1604="SEMI"),2,IF(OR(K1604="PRE",K1604="HEAT"),1,IF(V1604="YES",4,2))))</f>
        <v/>
      </c>
      <c r="M1604" s="33" t="inlineStr">
        <is>
          <t>SCM</t>
        </is>
      </c>
      <c r="N1604" s="33" t="n">
        <v>100</v>
      </c>
      <c r="O1604" s="33" t="inlineStr">
        <is>
          <t>Free</t>
        </is>
      </c>
      <c r="P1604" s="33" t="inlineStr">
        <is>
          <t>100 Free</t>
        </is>
      </c>
      <c r="Q1604" s="33" t="inlineStr">
        <is>
          <t>SCM_100_FREE</t>
        </is>
      </c>
      <c r="R1604" s="36" t="n">
        <v>47.55</v>
      </c>
      <c r="S1604" s="35">
        <f>IF(R1604="","",IF(R1604&gt;=60,INT(R1604/60)&amp;":"&amp;TEXT(MOD(R1604,60),"00.00"),TEXT(R1604,"0.00")))</f>
        <v/>
      </c>
      <c r="T1604" s="52">
        <f>IFERROR((G1604-INDEX('01_Swimmers'!$E$5:$E$22,MATCH(B1604,'01_Swimmers'!$A$5:$A$22,0)))/'00_Control'!$B$10,"")</f>
        <v/>
      </c>
      <c r="U1604" s="35">
        <f>IF(T1604="","",INT(T1604))</f>
        <v/>
      </c>
      <c r="V1604" s="33" t="inlineStr">
        <is>
          <t>NO</t>
        </is>
      </c>
      <c r="W1604" s="33" t="inlineStr">
        <is>
          <t>YES</t>
        </is>
      </c>
      <c r="X1604" s="33" t="inlineStr">
        <is>
          <t>NO</t>
        </is>
      </c>
      <c r="Y1604" s="33" t="n">
        <v>2</v>
      </c>
      <c r="Z1604" s="33" t="n">
        <v>4</v>
      </c>
      <c r="AA1604" s="33" t="inlineStr">
        <is>
          <t>3</t>
        </is>
      </c>
      <c r="AB1604" s="33" t="inlineStr">
        <is>
          <t>https://www.swimcloud.com/results/208183/event/21/?id=45477574#time45477574</t>
        </is>
      </c>
      <c r="AC1604" s="33" t="inlineStr">
        <is>
          <t>SwimCloud API v6 2026-10-08</t>
        </is>
      </c>
      <c r="AD1604" s="33" t="inlineStr">
        <is>
          <t>Kyle Chalmers|2021-10-22|SCM|100|Free|47.55|FINA Swimming World Cup - Doha|PRE|False</t>
        </is>
      </c>
      <c r="AE1604" s="53">
        <f>G1604+L1604/1000+ROW()/1000000000</f>
        <v/>
      </c>
      <c r="AF1604" s="35">
        <f>IF(C1604&lt;&gt;"Grayson Coulter","",COUNTIFS($C$5:$C$2991,"Grayson Coulter",$Q$5:$Q$2991,Q1604,$AE$5:$AE$2991,"&lt;="&amp;AE1604,$R$5:$R$2991,"&lt;"&amp;R1604))</f>
        <v/>
      </c>
      <c r="AG1604" s="35">
        <f>IF(OR(C1604&lt;&gt;"Grayson Coulter",G1604&lt;'00_Control'!$B$7),"",--(AF1604&lt;5))</f>
        <v/>
      </c>
      <c r="AH1604" s="35">
        <f>IF(OR(C1604&lt;&gt;"Grayson Coulter",G1604&lt;'00_Control'!$B$7),"",--(AF1604&lt;10))</f>
        <v/>
      </c>
      <c r="AI1604" s="35">
        <f>IF(AND(C1604="Grayson Coulter",G1604&gt;='00_Control'!$B$7),"YES","NO")</f>
        <v/>
      </c>
      <c r="AJ1604" s="33" t="inlineStr">
        <is>
          <t>OK</t>
        </is>
      </c>
    </row>
    <row r="1605">
      <c r="A1605" s="33" t="inlineStr">
        <is>
          <t>SM001601</t>
        </is>
      </c>
      <c r="B1605" s="33" t="inlineStr">
        <is>
          <t>SW011</t>
        </is>
      </c>
      <c r="C1605" s="33" t="inlineStr">
        <is>
          <t>Kyle Chalmers</t>
        </is>
      </c>
      <c r="D1605" s="33" t="inlineStr">
        <is>
          <t>SwimCloud</t>
        </is>
      </c>
      <c r="E1605" s="33" t="inlineStr">
        <is>
          <t>419989</t>
        </is>
      </c>
      <c r="F1605" s="33" t="inlineStr">
        <is>
          <t>45477573</t>
        </is>
      </c>
      <c r="G1605" s="51" t="n">
        <v>44491</v>
      </c>
      <c r="H1605" s="33" t="inlineStr">
        <is>
          <t>FINA Swimming World Cup - Doha</t>
        </is>
      </c>
      <c r="I1605" s="33" t="inlineStr">
        <is>
          <t>208183</t>
        </is>
      </c>
      <c r="J1605" s="33" t="inlineStr"/>
      <c r="K1605" s="33" t="inlineStr">
        <is>
          <t>FIN</t>
        </is>
      </c>
      <c r="L1605" s="35">
        <f>IF(K1605="FIN",3,IF(OR(K1605="SEM",K1605="SEMI"),2,IF(OR(K1605="PRE",K1605="HEAT"),1,IF(V1605="YES",4,2))))</f>
        <v/>
      </c>
      <c r="M1605" s="33" t="inlineStr">
        <is>
          <t>SCM</t>
        </is>
      </c>
      <c r="N1605" s="33" t="n">
        <v>100</v>
      </c>
      <c r="O1605" s="33" t="inlineStr">
        <is>
          <t>Free</t>
        </is>
      </c>
      <c r="P1605" s="33" t="inlineStr">
        <is>
          <t>100 Free</t>
        </is>
      </c>
      <c r="Q1605" s="33" t="inlineStr">
        <is>
          <t>SCM_100_FREE</t>
        </is>
      </c>
      <c r="R1605" s="36" t="n">
        <v>45.03</v>
      </c>
      <c r="S1605" s="35">
        <f>IF(R1605="","",IF(R1605&gt;=60,INT(R1605/60)&amp;":"&amp;TEXT(MOD(R1605,60),"00.00"),TEXT(R1605,"0.00")))</f>
        <v/>
      </c>
      <c r="T1605" s="52">
        <f>IFERROR((G1605-INDEX('01_Swimmers'!$E$5:$E$22,MATCH(B1605,'01_Swimmers'!$A$5:$A$22,0)))/'00_Control'!$B$10,"")</f>
        <v/>
      </c>
      <c r="U1605" s="35">
        <f>IF(T1605="","",INT(T1605))</f>
        <v/>
      </c>
      <c r="V1605" s="33" t="inlineStr">
        <is>
          <t>NO</t>
        </is>
      </c>
      <c r="W1605" s="33" t="inlineStr">
        <is>
          <t>YES</t>
        </is>
      </c>
      <c r="X1605" s="33" t="inlineStr">
        <is>
          <t>NO</t>
        </is>
      </c>
      <c r="Y1605" s="33" t="n">
        <v>1</v>
      </c>
      <c r="Z1605" s="33" t="n">
        <v>3</v>
      </c>
      <c r="AA1605" s="33" t="inlineStr">
        <is>
          <t>1</t>
        </is>
      </c>
      <c r="AB1605" s="33" t="inlineStr">
        <is>
          <t>https://www.swimcloud.com/results/208183/event/21/?id=45477573#time45477573</t>
        </is>
      </c>
      <c r="AC1605" s="33" t="inlineStr">
        <is>
          <t>SwimCloud API v6 2026-10-08</t>
        </is>
      </c>
      <c r="AD1605" s="33" t="inlineStr">
        <is>
          <t>Kyle Chalmers|2021-10-22|SCM|100|Free|45.03|FINA Swimming World Cup - Doha|FIN|False</t>
        </is>
      </c>
      <c r="AE1605" s="53">
        <f>G1605+L1605/1000+ROW()/1000000000</f>
        <v/>
      </c>
      <c r="AF1605" s="35">
        <f>IF(C1605&lt;&gt;"Grayson Coulter","",COUNTIFS($C$5:$C$2991,"Grayson Coulter",$Q$5:$Q$2991,Q1605,$AE$5:$AE$2991,"&lt;="&amp;AE1605,$R$5:$R$2991,"&lt;"&amp;R1605))</f>
        <v/>
      </c>
      <c r="AG1605" s="35">
        <f>IF(OR(C1605&lt;&gt;"Grayson Coulter",G1605&lt;'00_Control'!$B$7),"",--(AF1605&lt;5))</f>
        <v/>
      </c>
      <c r="AH1605" s="35">
        <f>IF(OR(C1605&lt;&gt;"Grayson Coulter",G1605&lt;'00_Control'!$B$7),"",--(AF1605&lt;10))</f>
        <v/>
      </c>
      <c r="AI1605" s="35">
        <f>IF(AND(C1605="Grayson Coulter",G1605&gt;='00_Control'!$B$7),"YES","NO")</f>
        <v/>
      </c>
      <c r="AJ1605" s="33" t="inlineStr">
        <is>
          <t>OK</t>
        </is>
      </c>
    </row>
    <row r="1606">
      <c r="A1606" s="33" t="inlineStr">
        <is>
          <t>SM001602</t>
        </is>
      </c>
      <c r="B1606" s="33" t="inlineStr">
        <is>
          <t>SW011</t>
        </is>
      </c>
      <c r="C1606" s="33" t="inlineStr">
        <is>
          <t>Kyle Chalmers</t>
        </is>
      </c>
      <c r="D1606" s="33" t="inlineStr">
        <is>
          <t>SwimCloud</t>
        </is>
      </c>
      <c r="E1606" s="33" t="inlineStr">
        <is>
          <t>419989</t>
        </is>
      </c>
      <c r="F1606" s="33" t="inlineStr">
        <is>
          <t>45708036</t>
        </is>
      </c>
      <c r="G1606" s="51" t="n">
        <v>44498</v>
      </c>
      <c r="H1606" s="33" t="inlineStr">
        <is>
          <t>FINA Swimming World Cup - Kazan</t>
        </is>
      </c>
      <c r="I1606" s="33" t="inlineStr">
        <is>
          <t>208768</t>
        </is>
      </c>
      <c r="J1606" s="33" t="inlineStr"/>
      <c r="K1606" s="33" t="inlineStr">
        <is>
          <t>PRE</t>
        </is>
      </c>
      <c r="L1606" s="35">
        <f>IF(K1606="FIN",3,IF(OR(K1606="SEM",K1606="SEMI"),2,IF(OR(K1606="PRE",K1606="HEAT"),1,IF(V1606="YES",4,2))))</f>
        <v/>
      </c>
      <c r="M1606" s="33" t="inlineStr">
        <is>
          <t>SCM</t>
        </is>
      </c>
      <c r="N1606" s="33" t="n">
        <v>100</v>
      </c>
      <c r="O1606" s="33" t="inlineStr">
        <is>
          <t>Free</t>
        </is>
      </c>
      <c r="P1606" s="33" t="inlineStr">
        <is>
          <t>100 Free</t>
        </is>
      </c>
      <c r="Q1606" s="33" t="inlineStr">
        <is>
          <t>SCM_100_FREE</t>
        </is>
      </c>
      <c r="R1606" s="36" t="n">
        <v>46.74</v>
      </c>
      <c r="S1606" s="35">
        <f>IF(R1606="","",IF(R1606&gt;=60,INT(R1606/60)&amp;":"&amp;TEXT(MOD(R1606,60),"00.00"),TEXT(R1606,"0.00")))</f>
        <v/>
      </c>
      <c r="T1606" s="52">
        <f>IFERROR((G1606-INDEX('01_Swimmers'!$E$5:$E$22,MATCH(B1606,'01_Swimmers'!$A$5:$A$22,0)))/'00_Control'!$B$10,"")</f>
        <v/>
      </c>
      <c r="U1606" s="35">
        <f>IF(T1606="","",INT(T1606))</f>
        <v/>
      </c>
      <c r="V1606" s="33" t="inlineStr">
        <is>
          <t>NO</t>
        </is>
      </c>
      <c r="W1606" s="33" t="inlineStr">
        <is>
          <t>YES</t>
        </is>
      </c>
      <c r="X1606" s="33" t="inlineStr">
        <is>
          <t>NO</t>
        </is>
      </c>
      <c r="Y1606" s="33" t="n">
        <v>4</v>
      </c>
      <c r="Z1606" s="33" t="n">
        <v>4</v>
      </c>
      <c r="AA1606" s="33" t="inlineStr">
        <is>
          <t>1</t>
        </is>
      </c>
      <c r="AB1606" s="33" t="inlineStr">
        <is>
          <t>https://www.swimcloud.com/results/208768/event/21/?id=45708036#time45708036</t>
        </is>
      </c>
      <c r="AC1606" s="33" t="inlineStr">
        <is>
          <t>SwimCloud API v6 2026-10-08</t>
        </is>
      </c>
      <c r="AD1606" s="33" t="inlineStr">
        <is>
          <t>Kyle Chalmers|2021-10-29|SCM|100|Free|46.74|FINA Swimming World Cup - Kazan|PRE|False</t>
        </is>
      </c>
      <c r="AE1606" s="53">
        <f>G1606+L1606/1000+ROW()/1000000000</f>
        <v/>
      </c>
      <c r="AF1606" s="35">
        <f>IF(C1606&lt;&gt;"Grayson Coulter","",COUNTIFS($C$5:$C$2991,"Grayson Coulter",$Q$5:$Q$2991,Q1606,$AE$5:$AE$2991,"&lt;="&amp;AE1606,$R$5:$R$2991,"&lt;"&amp;R1606))</f>
        <v/>
      </c>
      <c r="AG1606" s="35">
        <f>IF(OR(C1606&lt;&gt;"Grayson Coulter",G1606&lt;'00_Control'!$B$7),"",--(AF1606&lt;5))</f>
        <v/>
      </c>
      <c r="AH1606" s="35">
        <f>IF(OR(C1606&lt;&gt;"Grayson Coulter",G1606&lt;'00_Control'!$B$7),"",--(AF1606&lt;10))</f>
        <v/>
      </c>
      <c r="AI1606" s="35">
        <f>IF(AND(C1606="Grayson Coulter",G1606&gt;='00_Control'!$B$7),"YES","NO")</f>
        <v/>
      </c>
      <c r="AJ1606" s="33" t="inlineStr">
        <is>
          <t>OK</t>
        </is>
      </c>
    </row>
    <row r="1607">
      <c r="A1607" s="33" t="inlineStr">
        <is>
          <t>SM001603</t>
        </is>
      </c>
      <c r="B1607" s="33" t="inlineStr">
        <is>
          <t>SW011</t>
        </is>
      </c>
      <c r="C1607" s="33" t="inlineStr">
        <is>
          <t>Kyle Chalmers</t>
        </is>
      </c>
      <c r="D1607" s="33" t="inlineStr">
        <is>
          <t>SwimCloud</t>
        </is>
      </c>
      <c r="E1607" s="33" t="inlineStr">
        <is>
          <t>419989</t>
        </is>
      </c>
      <c r="F1607" s="33" t="inlineStr">
        <is>
          <t>45708035</t>
        </is>
      </c>
      <c r="G1607" s="51" t="n">
        <v>44498</v>
      </c>
      <c r="H1607" s="33" t="inlineStr">
        <is>
          <t>FINA Swimming World Cup - Kazan</t>
        </is>
      </c>
      <c r="I1607" s="33" t="inlineStr">
        <is>
          <t>208768</t>
        </is>
      </c>
      <c r="J1607" s="33" t="inlineStr"/>
      <c r="K1607" s="33" t="inlineStr">
        <is>
          <t>FIN</t>
        </is>
      </c>
      <c r="L1607" s="35">
        <f>IF(K1607="FIN",3,IF(OR(K1607="SEM",K1607="SEMI"),2,IF(OR(K1607="PRE",K1607="HEAT"),1,IF(V1607="YES",4,2))))</f>
        <v/>
      </c>
      <c r="M1607" s="33" t="inlineStr">
        <is>
          <t>SCM</t>
        </is>
      </c>
      <c r="N1607" s="33" t="n">
        <v>100</v>
      </c>
      <c r="O1607" s="33" t="inlineStr">
        <is>
          <t>Free</t>
        </is>
      </c>
      <c r="P1607" s="33" t="inlineStr">
        <is>
          <t>100 Free</t>
        </is>
      </c>
      <c r="Q1607" s="33" t="inlineStr">
        <is>
          <t>SCM_100_FREE</t>
        </is>
      </c>
      <c r="R1607" s="36" t="n">
        <v>44.84</v>
      </c>
      <c r="S1607" s="35">
        <f>IF(R1607="","",IF(R1607&gt;=60,INT(R1607/60)&amp;":"&amp;TEXT(MOD(R1607,60),"00.00"),TEXT(R1607,"0.00")))</f>
        <v/>
      </c>
      <c r="T1607" s="52">
        <f>IFERROR((G1607-INDEX('01_Swimmers'!$E$5:$E$22,MATCH(B1607,'01_Swimmers'!$A$5:$A$22,0)))/'00_Control'!$B$10,"")</f>
        <v/>
      </c>
      <c r="U1607" s="35">
        <f>IF(T1607="","",INT(T1607))</f>
        <v/>
      </c>
      <c r="V1607" s="33" t="inlineStr">
        <is>
          <t>NO</t>
        </is>
      </c>
      <c r="W1607" s="33" t="inlineStr">
        <is>
          <t>YES</t>
        </is>
      </c>
      <c r="X1607" s="33" t="inlineStr">
        <is>
          <t>NO</t>
        </is>
      </c>
      <c r="Y1607" s="33" t="n">
        <v>1</v>
      </c>
      <c r="Z1607" s="33" t="n">
        <v>4</v>
      </c>
      <c r="AA1607" s="33" t="inlineStr">
        <is>
          <t>1</t>
        </is>
      </c>
      <c r="AB1607" s="33" t="inlineStr">
        <is>
          <t>https://www.swimcloud.com/results/208768/event/21/?id=45708035#time45708035</t>
        </is>
      </c>
      <c r="AC1607" s="33" t="inlineStr">
        <is>
          <t>SwimCloud API v6 2026-10-08</t>
        </is>
      </c>
      <c r="AD1607" s="33" t="inlineStr">
        <is>
          <t>Kyle Chalmers|2021-10-29|SCM|100|Free|44.84|FINA Swimming World Cup - Kazan|FIN|False</t>
        </is>
      </c>
      <c r="AE1607" s="53">
        <f>G1607+L1607/1000+ROW()/1000000000</f>
        <v/>
      </c>
      <c r="AF1607" s="35">
        <f>IF(C1607&lt;&gt;"Grayson Coulter","",COUNTIFS($C$5:$C$2991,"Grayson Coulter",$Q$5:$Q$2991,Q1607,$AE$5:$AE$2991,"&lt;="&amp;AE1607,$R$5:$R$2991,"&lt;"&amp;R1607))</f>
        <v/>
      </c>
      <c r="AG1607" s="35">
        <f>IF(OR(C1607&lt;&gt;"Grayson Coulter",G1607&lt;'00_Control'!$B$7),"",--(AF1607&lt;5))</f>
        <v/>
      </c>
      <c r="AH1607" s="35">
        <f>IF(OR(C1607&lt;&gt;"Grayson Coulter",G1607&lt;'00_Control'!$B$7),"",--(AF1607&lt;10))</f>
        <v/>
      </c>
      <c r="AI1607" s="35">
        <f>IF(AND(C1607="Grayson Coulter",G1607&gt;='00_Control'!$B$7),"YES","NO")</f>
        <v/>
      </c>
      <c r="AJ1607" s="33" t="inlineStr">
        <is>
          <t>OK</t>
        </is>
      </c>
    </row>
    <row r="1608">
      <c r="A1608" s="33" t="inlineStr">
        <is>
          <t>SM001604</t>
        </is>
      </c>
      <c r="B1608" s="33" t="inlineStr">
        <is>
          <t>SW011</t>
        </is>
      </c>
      <c r="C1608" s="33" t="inlineStr">
        <is>
          <t>Kyle Chalmers</t>
        </is>
      </c>
      <c r="D1608" s="33" t="inlineStr">
        <is>
          <t>SwimCloud</t>
        </is>
      </c>
      <c r="E1608" s="33" t="inlineStr">
        <is>
          <t>419989</t>
        </is>
      </c>
      <c r="F1608" s="33" t="inlineStr">
        <is>
          <t>46609000</t>
        </is>
      </c>
      <c r="G1608" s="51" t="n">
        <v>44513</v>
      </c>
      <c r="H1608" s="33" t="inlineStr">
        <is>
          <t>ISL - Season 3, Playoff Match 13</t>
        </is>
      </c>
      <c r="I1608" s="33" t="inlineStr">
        <is>
          <t>204571</t>
        </is>
      </c>
      <c r="J1608" s="33" t="inlineStr"/>
      <c r="K1608" s="33" t="inlineStr">
        <is>
          <t>FIN</t>
        </is>
      </c>
      <c r="L1608" s="35">
        <f>IF(K1608="FIN",3,IF(OR(K1608="SEM",K1608="SEMI"),2,IF(OR(K1608="PRE",K1608="HEAT"),1,IF(V1608="YES",4,2))))</f>
        <v/>
      </c>
      <c r="M1608" s="33" t="inlineStr">
        <is>
          <t>SCM</t>
        </is>
      </c>
      <c r="N1608" s="33" t="n">
        <v>100</v>
      </c>
      <c r="O1608" s="33" t="inlineStr">
        <is>
          <t>Free</t>
        </is>
      </c>
      <c r="P1608" s="33" t="inlineStr">
        <is>
          <t>100 Free</t>
        </is>
      </c>
      <c r="Q1608" s="33" t="inlineStr">
        <is>
          <t>SCM_100_FREE</t>
        </is>
      </c>
      <c r="R1608" s="36" t="n">
        <v>46.04</v>
      </c>
      <c r="S1608" s="35">
        <f>IF(R1608="","",IF(R1608&gt;=60,INT(R1608/60)&amp;":"&amp;TEXT(MOD(R1608,60),"00.00"),TEXT(R1608,"0.00")))</f>
        <v/>
      </c>
      <c r="T1608" s="52">
        <f>IFERROR((G1608-INDEX('01_Swimmers'!$E$5:$E$22,MATCH(B1608,'01_Swimmers'!$A$5:$A$22,0)))/'00_Control'!$B$10,"")</f>
        <v/>
      </c>
      <c r="U1608" s="35">
        <f>IF(T1608="","",INT(T1608))</f>
        <v/>
      </c>
      <c r="V1608" s="33" t="inlineStr">
        <is>
          <t>YES</t>
        </is>
      </c>
      <c r="W1608" s="33" t="inlineStr">
        <is>
          <t>YES</t>
        </is>
      </c>
      <c r="X1608" s="33" t="inlineStr">
        <is>
          <t>NO</t>
        </is>
      </c>
      <c r="Y1608" s="33" t="n">
        <v>1</v>
      </c>
      <c r="Z1608" s="33" t="n">
        <v>4</v>
      </c>
      <c r="AA1608" s="33" t="inlineStr"/>
      <c r="AB1608" s="33" t="inlineStr">
        <is>
          <t>https://www.swimcloud.com/results/204571/event/14/?id=46608761#time46608761</t>
        </is>
      </c>
      <c r="AC1608" s="33" t="inlineStr">
        <is>
          <t>SwimCloud API v6 2026-10-08</t>
        </is>
      </c>
      <c r="AD1608" s="33" t="inlineStr">
        <is>
          <t>Kyle Chalmers|2021-11-13|SCM|100|Free|46.04|ISL - Season 3, Playoff Match 13|FIN|True</t>
        </is>
      </c>
      <c r="AE1608" s="53">
        <f>G1608+L1608/1000+ROW()/1000000000</f>
        <v/>
      </c>
      <c r="AF1608" s="35">
        <f>IF(C1608&lt;&gt;"Grayson Coulter","",COUNTIFS($C$5:$C$2991,"Grayson Coulter",$Q$5:$Q$2991,Q1608,$AE$5:$AE$2991,"&lt;="&amp;AE1608,$R$5:$R$2991,"&lt;"&amp;R1608))</f>
        <v/>
      </c>
      <c r="AG1608" s="35">
        <f>IF(OR(C1608&lt;&gt;"Grayson Coulter",G1608&lt;'00_Control'!$B$7),"",--(AF1608&lt;5))</f>
        <v/>
      </c>
      <c r="AH1608" s="35">
        <f>IF(OR(C1608&lt;&gt;"Grayson Coulter",G1608&lt;'00_Control'!$B$7),"",--(AF1608&lt;10))</f>
        <v/>
      </c>
      <c r="AI1608" s="35">
        <f>IF(AND(C1608="Grayson Coulter",G1608&gt;='00_Control'!$B$7),"YES","NO")</f>
        <v/>
      </c>
      <c r="AJ1608" s="33" t="inlineStr">
        <is>
          <t>OK</t>
        </is>
      </c>
    </row>
    <row r="1609">
      <c r="A1609" s="33" t="inlineStr">
        <is>
          <t>SM001605</t>
        </is>
      </c>
      <c r="B1609" s="33" t="inlineStr">
        <is>
          <t>SW011</t>
        </is>
      </c>
      <c r="C1609" s="33" t="inlineStr">
        <is>
          <t>Kyle Chalmers</t>
        </is>
      </c>
      <c r="D1609" s="33" t="inlineStr">
        <is>
          <t>SwimCloud</t>
        </is>
      </c>
      <c r="E1609" s="33" t="inlineStr">
        <is>
          <t>419989</t>
        </is>
      </c>
      <c r="F1609" s="33" t="inlineStr">
        <is>
          <t>46608654</t>
        </is>
      </c>
      <c r="G1609" s="51" t="n">
        <v>44514</v>
      </c>
      <c r="H1609" s="33" t="inlineStr">
        <is>
          <t>ISL - Season 3, Playoff Match 13</t>
        </is>
      </c>
      <c r="I1609" s="33" t="inlineStr">
        <is>
          <t>204571</t>
        </is>
      </c>
      <c r="J1609" s="33" t="inlineStr"/>
      <c r="K1609" s="33" t="inlineStr">
        <is>
          <t>FIN</t>
        </is>
      </c>
      <c r="L1609" s="35">
        <f>IF(K1609="FIN",3,IF(OR(K1609="SEM",K1609="SEMI"),2,IF(OR(K1609="PRE",K1609="HEAT"),1,IF(V1609="YES",4,2))))</f>
        <v/>
      </c>
      <c r="M1609" s="33" t="inlineStr">
        <is>
          <t>SCM</t>
        </is>
      </c>
      <c r="N1609" s="33" t="n">
        <v>100</v>
      </c>
      <c r="O1609" s="33" t="inlineStr">
        <is>
          <t>Free</t>
        </is>
      </c>
      <c r="P1609" s="33" t="inlineStr">
        <is>
          <t>100 Free</t>
        </is>
      </c>
      <c r="Q1609" s="33" t="inlineStr">
        <is>
          <t>SCM_100_FREE</t>
        </is>
      </c>
      <c r="R1609" s="36" t="n">
        <v>46.3</v>
      </c>
      <c r="S1609" s="35">
        <f>IF(R1609="","",IF(R1609&gt;=60,INT(R1609/60)&amp;":"&amp;TEXT(MOD(R1609,60),"00.00"),TEXT(R1609,"0.00")))</f>
        <v/>
      </c>
      <c r="T1609" s="52">
        <f>IFERROR((G1609-INDEX('01_Swimmers'!$E$5:$E$22,MATCH(B1609,'01_Swimmers'!$A$5:$A$22,0)))/'00_Control'!$B$10,"")</f>
        <v/>
      </c>
      <c r="U1609" s="35">
        <f>IF(T1609="","",INT(T1609))</f>
        <v/>
      </c>
      <c r="V1609" s="33" t="inlineStr">
        <is>
          <t>NO</t>
        </is>
      </c>
      <c r="W1609" s="33" t="inlineStr">
        <is>
          <t>YES</t>
        </is>
      </c>
      <c r="X1609" s="33" t="inlineStr">
        <is>
          <t>NO</t>
        </is>
      </c>
      <c r="Y1609" s="33" t="n">
        <v>1</v>
      </c>
      <c r="Z1609" s="33" t="n">
        <v>4</v>
      </c>
      <c r="AA1609" s="33" t="inlineStr">
        <is>
          <t>1</t>
        </is>
      </c>
      <c r="AB1609" s="33" t="inlineStr">
        <is>
          <t>https://www.swimcloud.com/results/204571/event/22/?id=46608654#time46608654</t>
        </is>
      </c>
      <c r="AC1609" s="33" t="inlineStr">
        <is>
          <t>SwimCloud API v6 2026-10-08</t>
        </is>
      </c>
      <c r="AD1609" s="33" t="inlineStr">
        <is>
          <t>Kyle Chalmers|2021-11-14|SCM|100|Free|46.3|ISL - Season 3, Playoff Match 13|FIN|False</t>
        </is>
      </c>
      <c r="AE1609" s="53">
        <f>G1609+L1609/1000+ROW()/1000000000</f>
        <v/>
      </c>
      <c r="AF1609" s="35">
        <f>IF(C1609&lt;&gt;"Grayson Coulter","",COUNTIFS($C$5:$C$2991,"Grayson Coulter",$Q$5:$Q$2991,Q1609,$AE$5:$AE$2991,"&lt;="&amp;AE1609,$R$5:$R$2991,"&lt;"&amp;R1609))</f>
        <v/>
      </c>
      <c r="AG1609" s="35">
        <f>IF(OR(C1609&lt;&gt;"Grayson Coulter",G1609&lt;'00_Control'!$B$7),"",--(AF1609&lt;5))</f>
        <v/>
      </c>
      <c r="AH1609" s="35">
        <f>IF(OR(C1609&lt;&gt;"Grayson Coulter",G1609&lt;'00_Control'!$B$7),"",--(AF1609&lt;10))</f>
        <v/>
      </c>
      <c r="AI1609" s="35">
        <f>IF(AND(C1609="Grayson Coulter",G1609&gt;='00_Control'!$B$7),"YES","NO")</f>
        <v/>
      </c>
      <c r="AJ1609" s="33" t="inlineStr">
        <is>
          <t>OK</t>
        </is>
      </c>
    </row>
    <row r="1610">
      <c r="A1610" s="33" t="inlineStr">
        <is>
          <t>SM001606</t>
        </is>
      </c>
      <c r="B1610" s="33" t="inlineStr">
        <is>
          <t>SW011</t>
        </is>
      </c>
      <c r="C1610" s="33" t="inlineStr">
        <is>
          <t>Kyle Chalmers</t>
        </is>
      </c>
      <c r="D1610" s="33" t="inlineStr">
        <is>
          <t>SwimCloud</t>
        </is>
      </c>
      <c r="E1610" s="33" t="inlineStr">
        <is>
          <t>419989</t>
        </is>
      </c>
      <c r="F1610" s="33" t="inlineStr">
        <is>
          <t>48558070</t>
        </is>
      </c>
      <c r="G1610" s="51" t="n">
        <v>44526</v>
      </c>
      <c r="H1610" s="33" t="inlineStr">
        <is>
          <t>ISL - Season 3, Playoff Match 16</t>
        </is>
      </c>
      <c r="I1610" s="33" t="inlineStr">
        <is>
          <t>204574</t>
        </is>
      </c>
      <c r="J1610" s="33" t="inlineStr"/>
      <c r="K1610" s="33" t="inlineStr">
        <is>
          <t>FIN</t>
        </is>
      </c>
      <c r="L1610" s="35">
        <f>IF(K1610="FIN",3,IF(OR(K1610="SEM",K1610="SEMI"),2,IF(OR(K1610="PRE",K1610="HEAT"),1,IF(V1610="YES",4,2))))</f>
        <v/>
      </c>
      <c r="M1610" s="33" t="inlineStr">
        <is>
          <t>SCM</t>
        </is>
      </c>
      <c r="N1610" s="33" t="n">
        <v>100</v>
      </c>
      <c r="O1610" s="33" t="inlineStr">
        <is>
          <t>Free</t>
        </is>
      </c>
      <c r="P1610" s="33" t="inlineStr">
        <is>
          <t>100 Free</t>
        </is>
      </c>
      <c r="Q1610" s="33" t="inlineStr">
        <is>
          <t>SCM_100_FREE</t>
        </is>
      </c>
      <c r="R1610" s="36" t="n">
        <v>46.23</v>
      </c>
      <c r="S1610" s="35">
        <f>IF(R1610="","",IF(R1610&gt;=60,INT(R1610/60)&amp;":"&amp;TEXT(MOD(R1610,60),"00.00"),TEXT(R1610,"0.00")))</f>
        <v/>
      </c>
      <c r="T1610" s="52">
        <f>IFERROR((G1610-INDEX('01_Swimmers'!$E$5:$E$22,MATCH(B1610,'01_Swimmers'!$A$5:$A$22,0)))/'00_Control'!$B$10,"")</f>
        <v/>
      </c>
      <c r="U1610" s="35">
        <f>IF(T1610="","",INT(T1610))</f>
        <v/>
      </c>
      <c r="V1610" s="33" t="inlineStr">
        <is>
          <t>NO</t>
        </is>
      </c>
      <c r="W1610" s="33" t="inlineStr">
        <is>
          <t>YES</t>
        </is>
      </c>
      <c r="X1610" s="33" t="inlineStr">
        <is>
          <t>NO</t>
        </is>
      </c>
      <c r="Y1610" s="33" t="n">
        <v>1</v>
      </c>
      <c r="Z1610" s="33" t="n">
        <v>4</v>
      </c>
      <c r="AA1610" s="33" t="inlineStr">
        <is>
          <t>1</t>
        </is>
      </c>
      <c r="AB1610" s="33" t="inlineStr">
        <is>
          <t>https://www.swimcloud.com/results/204574/event/22/?id=48558070#time48558070</t>
        </is>
      </c>
      <c r="AC1610" s="33" t="inlineStr">
        <is>
          <t>SwimCloud API v6 2026-10-08</t>
        </is>
      </c>
      <c r="AD1610" s="33" t="inlineStr">
        <is>
          <t>Kyle Chalmers|2021-11-26|SCM|100|Free|46.23|ISL - Season 3, Playoff Match 16|FIN|False</t>
        </is>
      </c>
      <c r="AE1610" s="53">
        <f>G1610+L1610/1000+ROW()/1000000000</f>
        <v/>
      </c>
      <c r="AF1610" s="35">
        <f>IF(C1610&lt;&gt;"Grayson Coulter","",COUNTIFS($C$5:$C$2991,"Grayson Coulter",$Q$5:$Q$2991,Q1610,$AE$5:$AE$2991,"&lt;="&amp;AE1610,$R$5:$R$2991,"&lt;"&amp;R1610))</f>
        <v/>
      </c>
      <c r="AG1610" s="35">
        <f>IF(OR(C1610&lt;&gt;"Grayson Coulter",G1610&lt;'00_Control'!$B$7),"",--(AF1610&lt;5))</f>
        <v/>
      </c>
      <c r="AH1610" s="35">
        <f>IF(OR(C1610&lt;&gt;"Grayson Coulter",G1610&lt;'00_Control'!$B$7),"",--(AF1610&lt;10))</f>
        <v/>
      </c>
      <c r="AI1610" s="35">
        <f>IF(AND(C1610="Grayson Coulter",G1610&gt;='00_Control'!$B$7),"YES","NO")</f>
        <v/>
      </c>
      <c r="AJ1610" s="33" t="inlineStr">
        <is>
          <t>OK</t>
        </is>
      </c>
    </row>
    <row r="1611">
      <c r="A1611" s="33" t="inlineStr">
        <is>
          <t>SM001607</t>
        </is>
      </c>
      <c r="B1611" s="33" t="inlineStr">
        <is>
          <t>SW011</t>
        </is>
      </c>
      <c r="C1611" s="33" t="inlineStr">
        <is>
          <t>Kyle Chalmers</t>
        </is>
      </c>
      <c r="D1611" s="33" t="inlineStr">
        <is>
          <t>SwimCloud</t>
        </is>
      </c>
      <c r="E1611" s="33" t="inlineStr">
        <is>
          <t>419989</t>
        </is>
      </c>
      <c r="F1611" s="33" t="inlineStr">
        <is>
          <t>48558071</t>
        </is>
      </c>
      <c r="G1611" s="51" t="n">
        <v>44526</v>
      </c>
      <c r="H1611" s="33" t="inlineStr">
        <is>
          <t>ISL - Season 3, Playoff Match 16</t>
        </is>
      </c>
      <c r="I1611" s="33" t="inlineStr">
        <is>
          <t>204574</t>
        </is>
      </c>
      <c r="J1611" s="33" t="inlineStr"/>
      <c r="K1611" s="33" t="inlineStr">
        <is>
          <t>FIN</t>
        </is>
      </c>
      <c r="L1611" s="35">
        <f>IF(K1611="FIN",3,IF(OR(K1611="SEM",K1611="SEMI"),2,IF(OR(K1611="PRE",K1611="HEAT"),1,IF(V1611="YES",4,2))))</f>
        <v/>
      </c>
      <c r="M1611" s="33" t="inlineStr">
        <is>
          <t>SCM</t>
        </is>
      </c>
      <c r="N1611" s="33" t="n">
        <v>200</v>
      </c>
      <c r="O1611" s="33" t="inlineStr">
        <is>
          <t>Free</t>
        </is>
      </c>
      <c r="P1611" s="33" t="inlineStr">
        <is>
          <t>200 Free</t>
        </is>
      </c>
      <c r="Q1611" s="33" t="inlineStr">
        <is>
          <t>SCM_200_FREE</t>
        </is>
      </c>
      <c r="R1611" s="36" t="n">
        <v>102.17</v>
      </c>
      <c r="S1611" s="35">
        <f>IF(R1611="","",IF(R1611&gt;=60,INT(R1611/60)&amp;":"&amp;TEXT(MOD(R1611,60),"00.00"),TEXT(R1611,"0.00")))</f>
        <v/>
      </c>
      <c r="T1611" s="52">
        <f>IFERROR((G1611-INDEX('01_Swimmers'!$E$5:$E$22,MATCH(B1611,'01_Swimmers'!$A$5:$A$22,0)))/'00_Control'!$B$10,"")</f>
        <v/>
      </c>
      <c r="U1611" s="35">
        <f>IF(T1611="","",INT(T1611))</f>
        <v/>
      </c>
      <c r="V1611" s="33" t="inlineStr">
        <is>
          <t>NO</t>
        </is>
      </c>
      <c r="W1611" s="33" t="inlineStr">
        <is>
          <t>YES</t>
        </is>
      </c>
      <c r="X1611" s="33" t="inlineStr">
        <is>
          <t>NO</t>
        </is>
      </c>
      <c r="Y1611" s="33" t="n">
        <v>1</v>
      </c>
      <c r="Z1611" s="33" t="n">
        <v>4</v>
      </c>
      <c r="AA1611" s="33" t="inlineStr">
        <is>
          <t>2</t>
        </is>
      </c>
      <c r="AB1611" s="33" t="inlineStr">
        <is>
          <t>https://www.swimcloud.com/results/204574/event/34/?id=48558071#time48558071</t>
        </is>
      </c>
      <c r="AC1611" s="33" t="inlineStr">
        <is>
          <t>SwimCloud API v6 2026-10-08</t>
        </is>
      </c>
      <c r="AD1611" s="33" t="inlineStr">
        <is>
          <t>Kyle Chalmers|2021-11-26|SCM|200|Free|102.17|ISL - Season 3, Playoff Match 16|FIN|False</t>
        </is>
      </c>
      <c r="AE1611" s="53">
        <f>G1611+L1611/1000+ROW()/1000000000</f>
        <v/>
      </c>
      <c r="AF1611" s="35">
        <f>IF(C1611&lt;&gt;"Grayson Coulter","",COUNTIFS($C$5:$C$2991,"Grayson Coulter",$Q$5:$Q$2991,Q1611,$AE$5:$AE$2991,"&lt;="&amp;AE1611,$R$5:$R$2991,"&lt;"&amp;R1611))</f>
        <v/>
      </c>
      <c r="AG1611" s="35">
        <f>IF(OR(C1611&lt;&gt;"Grayson Coulter",G1611&lt;'00_Control'!$B$7),"",--(AF1611&lt;5))</f>
        <v/>
      </c>
      <c r="AH1611" s="35">
        <f>IF(OR(C1611&lt;&gt;"Grayson Coulter",G1611&lt;'00_Control'!$B$7),"",--(AF1611&lt;10))</f>
        <v/>
      </c>
      <c r="AI1611" s="35">
        <f>IF(AND(C1611="Grayson Coulter",G1611&gt;='00_Control'!$B$7),"YES","NO")</f>
        <v/>
      </c>
      <c r="AJ1611" s="33" t="inlineStr">
        <is>
          <t>OK</t>
        </is>
      </c>
    </row>
    <row r="1612">
      <c r="A1612" s="33" t="inlineStr">
        <is>
          <t>SM001608</t>
        </is>
      </c>
      <c r="B1612" s="33" t="inlineStr">
        <is>
          <t>SW011</t>
        </is>
      </c>
      <c r="C1612" s="33" t="inlineStr">
        <is>
          <t>Kyle Chalmers</t>
        </is>
      </c>
      <c r="D1612" s="33" t="inlineStr">
        <is>
          <t>SwimCloud</t>
        </is>
      </c>
      <c r="E1612" s="33" t="inlineStr">
        <is>
          <t>419989</t>
        </is>
      </c>
      <c r="F1612" s="33" t="inlineStr">
        <is>
          <t>49034040</t>
        </is>
      </c>
      <c r="G1612" s="51" t="n">
        <v>44533</v>
      </c>
      <c r="H1612" s="33" t="inlineStr">
        <is>
          <t>ISL Season 3 Championship</t>
        </is>
      </c>
      <c r="I1612" s="33" t="inlineStr">
        <is>
          <t>212422</t>
        </is>
      </c>
      <c r="J1612" s="33" t="inlineStr"/>
      <c r="K1612" s="33" t="inlineStr">
        <is>
          <t>FIN</t>
        </is>
      </c>
      <c r="L1612" s="35">
        <f>IF(K1612="FIN",3,IF(OR(K1612="SEM",K1612="SEMI"),2,IF(OR(K1612="PRE",K1612="HEAT"),1,IF(V1612="YES",4,2))))</f>
        <v/>
      </c>
      <c r="M1612" s="33" t="inlineStr">
        <is>
          <t>SCM</t>
        </is>
      </c>
      <c r="N1612" s="33" t="n">
        <v>100</v>
      </c>
      <c r="O1612" s="33" t="inlineStr">
        <is>
          <t>Free</t>
        </is>
      </c>
      <c r="P1612" s="33" t="inlineStr">
        <is>
          <t>100 Free</t>
        </is>
      </c>
      <c r="Q1612" s="33" t="inlineStr">
        <is>
          <t>SCM_100_FREE</t>
        </is>
      </c>
      <c r="R1612" s="36" t="n">
        <v>45.8</v>
      </c>
      <c r="S1612" s="35">
        <f>IF(R1612="","",IF(R1612&gt;=60,INT(R1612/60)&amp;":"&amp;TEXT(MOD(R1612,60),"00.00"),TEXT(R1612,"0.00")))</f>
        <v/>
      </c>
      <c r="T1612" s="52">
        <f>IFERROR((G1612-INDEX('01_Swimmers'!$E$5:$E$22,MATCH(B1612,'01_Swimmers'!$A$5:$A$22,0)))/'00_Control'!$B$10,"")</f>
        <v/>
      </c>
      <c r="U1612" s="35">
        <f>IF(T1612="","",INT(T1612))</f>
        <v/>
      </c>
      <c r="V1612" s="33" t="inlineStr">
        <is>
          <t>YES</t>
        </is>
      </c>
      <c r="W1612" s="33" t="inlineStr">
        <is>
          <t>YES</t>
        </is>
      </c>
      <c r="X1612" s="33" t="inlineStr">
        <is>
          <t>NO</t>
        </is>
      </c>
      <c r="Y1612" s="33" t="n">
        <v>1</v>
      </c>
      <c r="Z1612" s="33" t="n">
        <v>2</v>
      </c>
      <c r="AA1612" s="33" t="inlineStr"/>
      <c r="AB1612" s="33" t="inlineStr">
        <is>
          <t>https://www.swimcloud.com/results/212422/event/14/?id=49033907#time49033907</t>
        </is>
      </c>
      <c r="AC1612" s="33" t="inlineStr">
        <is>
          <t>SwimCloud API v6 2026-10-08</t>
        </is>
      </c>
      <c r="AD1612" s="33" t="inlineStr">
        <is>
          <t>Kyle Chalmers|2021-12-03|SCM|100|Free|45.8|ISL Season 3 Championship|FIN|True</t>
        </is>
      </c>
      <c r="AE1612" s="53">
        <f>G1612+L1612/1000+ROW()/1000000000</f>
        <v/>
      </c>
      <c r="AF1612" s="35">
        <f>IF(C1612&lt;&gt;"Grayson Coulter","",COUNTIFS($C$5:$C$2991,"Grayson Coulter",$Q$5:$Q$2991,Q1612,$AE$5:$AE$2991,"&lt;="&amp;AE1612,$R$5:$R$2991,"&lt;"&amp;R1612))</f>
        <v/>
      </c>
      <c r="AG1612" s="35">
        <f>IF(OR(C1612&lt;&gt;"Grayson Coulter",G1612&lt;'00_Control'!$B$7),"",--(AF1612&lt;5))</f>
        <v/>
      </c>
      <c r="AH1612" s="35">
        <f>IF(OR(C1612&lt;&gt;"Grayson Coulter",G1612&lt;'00_Control'!$B$7),"",--(AF1612&lt;10))</f>
        <v/>
      </c>
      <c r="AI1612" s="35">
        <f>IF(AND(C1612="Grayson Coulter",G1612&gt;='00_Control'!$B$7),"YES","NO")</f>
        <v/>
      </c>
      <c r="AJ1612" s="33" t="inlineStr">
        <is>
          <t>OK</t>
        </is>
      </c>
    </row>
    <row r="1613">
      <c r="A1613" s="33" t="inlineStr">
        <is>
          <t>SM001609</t>
        </is>
      </c>
      <c r="B1613" s="33" t="inlineStr">
        <is>
          <t>SW011</t>
        </is>
      </c>
      <c r="C1613" s="33" t="inlineStr">
        <is>
          <t>Kyle Chalmers</t>
        </is>
      </c>
      <c r="D1613" s="33" t="inlineStr">
        <is>
          <t>SwimCloud</t>
        </is>
      </c>
      <c r="E1613" s="33" t="inlineStr">
        <is>
          <t>419989</t>
        </is>
      </c>
      <c r="F1613" s="33" t="inlineStr">
        <is>
          <t>49033809</t>
        </is>
      </c>
      <c r="G1613" s="51" t="n">
        <v>44534</v>
      </c>
      <c r="H1613" s="33" t="inlineStr">
        <is>
          <t>ISL Season 3 Championship</t>
        </is>
      </c>
      <c r="I1613" s="33" t="inlineStr">
        <is>
          <t>212422</t>
        </is>
      </c>
      <c r="J1613" s="33" t="inlineStr"/>
      <c r="K1613" s="33" t="inlineStr">
        <is>
          <t>FIN</t>
        </is>
      </c>
      <c r="L1613" s="35">
        <f>IF(K1613="FIN",3,IF(OR(K1613="SEM",K1613="SEMI"),2,IF(OR(K1613="PRE",K1613="HEAT"),1,IF(V1613="YES",4,2))))</f>
        <v/>
      </c>
      <c r="M1613" s="33" t="inlineStr">
        <is>
          <t>SCM</t>
        </is>
      </c>
      <c r="N1613" s="33" t="n">
        <v>100</v>
      </c>
      <c r="O1613" s="33" t="inlineStr">
        <is>
          <t>Free</t>
        </is>
      </c>
      <c r="P1613" s="33" t="inlineStr">
        <is>
          <t>100 Free</t>
        </is>
      </c>
      <c r="Q1613" s="33" t="inlineStr">
        <is>
          <t>SCM_100_FREE</t>
        </is>
      </c>
      <c r="R1613" s="36" t="n">
        <v>45.73</v>
      </c>
      <c r="S1613" s="35">
        <f>IF(R1613="","",IF(R1613&gt;=60,INT(R1613/60)&amp;":"&amp;TEXT(MOD(R1613,60),"00.00"),TEXT(R1613,"0.00")))</f>
        <v/>
      </c>
      <c r="T1613" s="52">
        <f>IFERROR((G1613-INDEX('01_Swimmers'!$E$5:$E$22,MATCH(B1613,'01_Swimmers'!$A$5:$A$22,0)))/'00_Control'!$B$10,"")</f>
        <v/>
      </c>
      <c r="U1613" s="35">
        <f>IF(T1613="","",INT(T1613))</f>
        <v/>
      </c>
      <c r="V1613" s="33" t="inlineStr">
        <is>
          <t>NO</t>
        </is>
      </c>
      <c r="W1613" s="33" t="inlineStr">
        <is>
          <t>YES</t>
        </is>
      </c>
      <c r="X1613" s="33" t="inlineStr">
        <is>
          <t>NO</t>
        </is>
      </c>
      <c r="Y1613" s="33" t="n">
        <v>1</v>
      </c>
      <c r="Z1613" s="33" t="n">
        <v>2</v>
      </c>
      <c r="AA1613" s="33" t="inlineStr">
        <is>
          <t>1</t>
        </is>
      </c>
      <c r="AB1613" s="33" t="inlineStr">
        <is>
          <t>https://www.swimcloud.com/results/212422/event/22/?id=49033809#time49033809</t>
        </is>
      </c>
      <c r="AC1613" s="33" t="inlineStr">
        <is>
          <t>SwimCloud API v6 2026-10-08</t>
        </is>
      </c>
      <c r="AD1613" s="33" t="inlineStr">
        <is>
          <t>Kyle Chalmers|2021-12-04|SCM|100|Free|45.73|ISL Season 3 Championship|FIN|False</t>
        </is>
      </c>
      <c r="AE1613" s="53">
        <f>G1613+L1613/1000+ROW()/1000000000</f>
        <v/>
      </c>
      <c r="AF1613" s="35">
        <f>IF(C1613&lt;&gt;"Grayson Coulter","",COUNTIFS($C$5:$C$2991,"Grayson Coulter",$Q$5:$Q$2991,Q1613,$AE$5:$AE$2991,"&lt;="&amp;AE1613,$R$5:$R$2991,"&lt;"&amp;R1613))</f>
        <v/>
      </c>
      <c r="AG1613" s="35">
        <f>IF(OR(C1613&lt;&gt;"Grayson Coulter",G1613&lt;'00_Control'!$B$7),"",--(AF1613&lt;5))</f>
        <v/>
      </c>
      <c r="AH1613" s="35">
        <f>IF(OR(C1613&lt;&gt;"Grayson Coulter",G1613&lt;'00_Control'!$B$7),"",--(AF1613&lt;10))</f>
        <v/>
      </c>
      <c r="AI1613" s="35">
        <f>IF(AND(C1613="Grayson Coulter",G1613&gt;='00_Control'!$B$7),"YES","NO")</f>
        <v/>
      </c>
      <c r="AJ1613" s="33" t="inlineStr">
        <is>
          <t>OK</t>
        </is>
      </c>
    </row>
    <row r="1614">
      <c r="A1614" s="33" t="inlineStr">
        <is>
          <t>SM001610</t>
        </is>
      </c>
      <c r="B1614" s="33" t="inlineStr">
        <is>
          <t>SW011</t>
        </is>
      </c>
      <c r="C1614" s="33" t="inlineStr">
        <is>
          <t>Kyle Chalmers</t>
        </is>
      </c>
      <c r="D1614" s="33" t="inlineStr">
        <is>
          <t>SwimCloud</t>
        </is>
      </c>
      <c r="E1614" s="33" t="inlineStr">
        <is>
          <t>419989</t>
        </is>
      </c>
      <c r="F1614" s="33" t="inlineStr">
        <is>
          <t>49033810</t>
        </is>
      </c>
      <c r="G1614" s="51" t="n">
        <v>44534</v>
      </c>
      <c r="H1614" s="33" t="inlineStr">
        <is>
          <t>ISL Season 3 Championship</t>
        </is>
      </c>
      <c r="I1614" s="33" t="inlineStr">
        <is>
          <t>212422</t>
        </is>
      </c>
      <c r="J1614" s="33" t="inlineStr"/>
      <c r="K1614" s="33" t="inlineStr">
        <is>
          <t>FIN</t>
        </is>
      </c>
      <c r="L1614" s="35">
        <f>IF(K1614="FIN",3,IF(OR(K1614="SEM",K1614="SEMI"),2,IF(OR(K1614="PRE",K1614="HEAT"),1,IF(V1614="YES",4,2))))</f>
        <v/>
      </c>
      <c r="M1614" s="33" t="inlineStr">
        <is>
          <t>SCM</t>
        </is>
      </c>
      <c r="N1614" s="33" t="n">
        <v>200</v>
      </c>
      <c r="O1614" s="33" t="inlineStr">
        <is>
          <t>Free</t>
        </is>
      </c>
      <c r="P1614" s="33" t="inlineStr">
        <is>
          <t>200 Free</t>
        </is>
      </c>
      <c r="Q1614" s="33" t="inlineStr">
        <is>
          <t>SCM_200_FREE</t>
        </is>
      </c>
      <c r="R1614" s="36" t="n">
        <v>102.86</v>
      </c>
      <c r="S1614" s="35">
        <f>IF(R1614="","",IF(R1614&gt;=60,INT(R1614/60)&amp;":"&amp;TEXT(MOD(R1614,60),"00.00"),TEXT(R1614,"0.00")))</f>
        <v/>
      </c>
      <c r="T1614" s="52">
        <f>IFERROR((G1614-INDEX('01_Swimmers'!$E$5:$E$22,MATCH(B1614,'01_Swimmers'!$A$5:$A$22,0)))/'00_Control'!$B$10,"")</f>
        <v/>
      </c>
      <c r="U1614" s="35">
        <f>IF(T1614="","",INT(T1614))</f>
        <v/>
      </c>
      <c r="V1614" s="33" t="inlineStr">
        <is>
          <t>NO</t>
        </is>
      </c>
      <c r="W1614" s="33" t="inlineStr">
        <is>
          <t>YES</t>
        </is>
      </c>
      <c r="X1614" s="33" t="inlineStr">
        <is>
          <t>NO</t>
        </is>
      </c>
      <c r="Y1614" s="33" t="n">
        <v>1</v>
      </c>
      <c r="Z1614" s="33" t="n">
        <v>2</v>
      </c>
      <c r="AA1614" s="33" t="inlineStr">
        <is>
          <t>3</t>
        </is>
      </c>
      <c r="AB1614" s="33" t="inlineStr">
        <is>
          <t>https://www.swimcloud.com/results/212422/event/34/?id=49033810#time49033810</t>
        </is>
      </c>
      <c r="AC1614" s="33" t="inlineStr">
        <is>
          <t>SwimCloud API v6 2026-10-08</t>
        </is>
      </c>
      <c r="AD1614" s="33" t="inlineStr">
        <is>
          <t>Kyle Chalmers|2021-12-04|SCM|200|Free|102.86|ISL Season 3 Championship|FIN|False</t>
        </is>
      </c>
      <c r="AE1614" s="53">
        <f>G1614+L1614/1000+ROW()/1000000000</f>
        <v/>
      </c>
      <c r="AF1614" s="35">
        <f>IF(C1614&lt;&gt;"Grayson Coulter","",COUNTIFS($C$5:$C$2991,"Grayson Coulter",$Q$5:$Q$2991,Q1614,$AE$5:$AE$2991,"&lt;="&amp;AE1614,$R$5:$R$2991,"&lt;"&amp;R1614))</f>
        <v/>
      </c>
      <c r="AG1614" s="35">
        <f>IF(OR(C1614&lt;&gt;"Grayson Coulter",G1614&lt;'00_Control'!$B$7),"",--(AF1614&lt;5))</f>
        <v/>
      </c>
      <c r="AH1614" s="35">
        <f>IF(OR(C1614&lt;&gt;"Grayson Coulter",G1614&lt;'00_Control'!$B$7),"",--(AF1614&lt;10))</f>
        <v/>
      </c>
      <c r="AI1614" s="35">
        <f>IF(AND(C1614="Grayson Coulter",G1614&gt;='00_Control'!$B$7),"YES","NO")</f>
        <v/>
      </c>
      <c r="AJ1614" s="33" t="inlineStr">
        <is>
          <t>OK</t>
        </is>
      </c>
    </row>
    <row r="1615">
      <c r="A1615" s="33" t="inlineStr">
        <is>
          <t>SM001611</t>
        </is>
      </c>
      <c r="B1615" s="33" t="inlineStr">
        <is>
          <t>SW011</t>
        </is>
      </c>
      <c r="C1615" s="33" t="inlineStr">
        <is>
          <t>Kyle Chalmers</t>
        </is>
      </c>
      <c r="D1615" s="33" t="inlineStr">
        <is>
          <t>SwimCloud</t>
        </is>
      </c>
      <c r="E1615" s="33" t="inlineStr">
        <is>
          <t>419989</t>
        </is>
      </c>
      <c r="F1615" s="33" t="inlineStr">
        <is>
          <t>67638474</t>
        </is>
      </c>
      <c r="G1615" s="51" t="n">
        <v>44735</v>
      </c>
      <c r="H1615" s="33" t="inlineStr">
        <is>
          <t>19th FINA World Championships</t>
        </is>
      </c>
      <c r="I1615" s="33" t="inlineStr">
        <is>
          <t>222377</t>
        </is>
      </c>
      <c r="J1615" s="33" t="inlineStr"/>
      <c r="K1615" s="33" t="inlineStr">
        <is>
          <t>PRE</t>
        </is>
      </c>
      <c r="L1615" s="35">
        <f>IF(K1615="FIN",3,IF(OR(K1615="SEM",K1615="SEMI"),2,IF(OR(K1615="PRE",K1615="HEAT"),1,IF(V1615="YES",4,2))))</f>
        <v/>
      </c>
      <c r="M1615" s="33" t="inlineStr">
        <is>
          <t>LCM</t>
        </is>
      </c>
      <c r="N1615" s="33" t="n">
        <v>100</v>
      </c>
      <c r="O1615" s="33" t="inlineStr">
        <is>
          <t>Fly</t>
        </is>
      </c>
      <c r="P1615" s="33" t="inlineStr">
        <is>
          <t>100 Fly</t>
        </is>
      </c>
      <c r="Q1615" s="33" t="inlineStr">
        <is>
          <t>LCM_100_FLY</t>
        </is>
      </c>
      <c r="R1615" s="36" t="n">
        <v>52.7</v>
      </c>
      <c r="S1615" s="35">
        <f>IF(R1615="","",IF(R1615&gt;=60,INT(R1615/60)&amp;":"&amp;TEXT(MOD(R1615,60),"00.00"),TEXT(R1615,"0.00")))</f>
        <v/>
      </c>
      <c r="T1615" s="52">
        <f>IFERROR((G1615-INDEX('01_Swimmers'!$E$5:$E$22,MATCH(B1615,'01_Swimmers'!$A$5:$A$22,0)))/'00_Control'!$B$10,"")</f>
        <v/>
      </c>
      <c r="U1615" s="35">
        <f>IF(T1615="","",INT(T1615))</f>
        <v/>
      </c>
      <c r="V1615" s="33" t="inlineStr">
        <is>
          <t>NO</t>
        </is>
      </c>
      <c r="W1615" s="33" t="inlineStr">
        <is>
          <t>YES</t>
        </is>
      </c>
      <c r="X1615" s="33" t="inlineStr">
        <is>
          <t>NO</t>
        </is>
      </c>
      <c r="Y1615" s="33" t="n">
        <v>5</v>
      </c>
      <c r="Z1615" s="33" t="n">
        <v>7</v>
      </c>
      <c r="AA1615" s="33" t="inlineStr">
        <is>
          <t>22</t>
        </is>
      </c>
      <c r="AB1615" s="33" t="inlineStr">
        <is>
          <t>https://www.swimcloud.com/results/222377/event/29/?id=67638474#time67638474</t>
        </is>
      </c>
      <c r="AC1615" s="33" t="inlineStr">
        <is>
          <t>SwimCloud API v6 2026-10-08</t>
        </is>
      </c>
      <c r="AD1615" s="33" t="inlineStr">
        <is>
          <t>Kyle Chalmers|2022-06-23|LCM|100|Fly|52.7|19th FINA World Championships|PRE|False</t>
        </is>
      </c>
      <c r="AE1615" s="53">
        <f>G1615+L1615/1000+ROW()/1000000000</f>
        <v/>
      </c>
      <c r="AF1615" s="35">
        <f>IF(C1615&lt;&gt;"Grayson Coulter","",COUNTIFS($C$5:$C$2991,"Grayson Coulter",$Q$5:$Q$2991,Q1615,$AE$5:$AE$2991,"&lt;="&amp;AE1615,$R$5:$R$2991,"&lt;"&amp;R1615))</f>
        <v/>
      </c>
      <c r="AG1615" s="35">
        <f>IF(OR(C1615&lt;&gt;"Grayson Coulter",G1615&lt;'00_Control'!$B$7),"",--(AF1615&lt;5))</f>
        <v/>
      </c>
      <c r="AH1615" s="35">
        <f>IF(OR(C1615&lt;&gt;"Grayson Coulter",G1615&lt;'00_Control'!$B$7),"",--(AF1615&lt;10))</f>
        <v/>
      </c>
      <c r="AI1615" s="35">
        <f>IF(AND(C1615="Grayson Coulter",G1615&gt;='00_Control'!$B$7),"YES","NO")</f>
        <v/>
      </c>
      <c r="AJ1615" s="33" t="inlineStr">
        <is>
          <t>OK</t>
        </is>
      </c>
    </row>
    <row r="1616">
      <c r="A1616" s="33" t="inlineStr">
        <is>
          <t>SM001612</t>
        </is>
      </c>
      <c r="B1616" s="33" t="inlineStr">
        <is>
          <t>SW011</t>
        </is>
      </c>
      <c r="C1616" s="33" t="inlineStr">
        <is>
          <t>Kyle Chalmers</t>
        </is>
      </c>
      <c r="D1616" s="33" t="inlineStr">
        <is>
          <t>SwimCloud</t>
        </is>
      </c>
      <c r="E1616" s="33" t="inlineStr">
        <is>
          <t>419989</t>
        </is>
      </c>
      <c r="F1616" s="33" t="inlineStr">
        <is>
          <t>74394607</t>
        </is>
      </c>
      <c r="G1616" s="51" t="n">
        <v>44776</v>
      </c>
      <c r="H1616" s="33" t="inlineStr">
        <is>
          <t>XXII Commonwealth Games</t>
        </is>
      </c>
      <c r="I1616" s="33" t="inlineStr">
        <is>
          <t>234864</t>
        </is>
      </c>
      <c r="J1616" s="33" t="inlineStr"/>
      <c r="K1616" s="33" t="inlineStr">
        <is>
          <t>FIN</t>
        </is>
      </c>
      <c r="L1616" s="35">
        <f>IF(K1616="FIN",3,IF(OR(K1616="SEM",K1616="SEMI"),2,IF(OR(K1616="PRE",K1616="HEAT"),1,IF(V1616="YES",4,2))))</f>
        <v/>
      </c>
      <c r="M1616" s="33" t="inlineStr">
        <is>
          <t>LCM</t>
        </is>
      </c>
      <c r="N1616" s="33" t="n">
        <v>100</v>
      </c>
      <c r="O1616" s="33" t="inlineStr">
        <is>
          <t>Free</t>
        </is>
      </c>
      <c r="P1616" s="33" t="inlineStr">
        <is>
          <t>100 Free</t>
        </is>
      </c>
      <c r="Q1616" s="33" t="inlineStr">
        <is>
          <t>LCM_100_FREE</t>
        </is>
      </c>
      <c r="R1616" s="36" t="n">
        <v>47.51</v>
      </c>
      <c r="S1616" s="35">
        <f>IF(R1616="","",IF(R1616&gt;=60,INT(R1616/60)&amp;":"&amp;TEXT(MOD(R1616,60),"00.00"),TEXT(R1616,"0.00")))</f>
        <v/>
      </c>
      <c r="T1616" s="52">
        <f>IFERROR((G1616-INDEX('01_Swimmers'!$E$5:$E$22,MATCH(B1616,'01_Swimmers'!$A$5:$A$22,0)))/'00_Control'!$B$10,"")</f>
        <v/>
      </c>
      <c r="U1616" s="35">
        <f>IF(T1616="","",INT(T1616))</f>
        <v/>
      </c>
      <c r="V1616" s="33" t="inlineStr">
        <is>
          <t>NO</t>
        </is>
      </c>
      <c r="W1616" s="33" t="inlineStr">
        <is>
          <t>YES</t>
        </is>
      </c>
      <c r="X1616" s="33" t="inlineStr">
        <is>
          <t>NO</t>
        </is>
      </c>
      <c r="Y1616" s="33" t="n"/>
      <c r="Z1616" s="33" t="n"/>
      <c r="AA1616" s="33" t="inlineStr">
        <is>
          <t>1</t>
        </is>
      </c>
      <c r="AB1616" s="33" t="inlineStr">
        <is>
          <t>https://www.swimcloud.com/results/234864/event/55/?id=74394607#time74394607</t>
        </is>
      </c>
      <c r="AC1616" s="33" t="inlineStr">
        <is>
          <t>SwimCloud API v6 2026-10-08</t>
        </is>
      </c>
      <c r="AD1616" s="33" t="inlineStr">
        <is>
          <t>Kyle Chalmers|2022-08-03|LCM|100|Free|47.51|XXII Commonwealth Games|FIN|False</t>
        </is>
      </c>
      <c r="AE1616" s="53">
        <f>G1616+L1616/1000+ROW()/1000000000</f>
        <v/>
      </c>
      <c r="AF1616" s="35">
        <f>IF(C1616&lt;&gt;"Grayson Coulter","",COUNTIFS($C$5:$C$2991,"Grayson Coulter",$Q$5:$Q$2991,Q1616,$AE$5:$AE$2991,"&lt;="&amp;AE1616,$R$5:$R$2991,"&lt;"&amp;R1616))</f>
        <v/>
      </c>
      <c r="AG1616" s="35">
        <f>IF(OR(C1616&lt;&gt;"Grayson Coulter",G1616&lt;'00_Control'!$B$7),"",--(AF1616&lt;5))</f>
        <v/>
      </c>
      <c r="AH1616" s="35">
        <f>IF(OR(C1616&lt;&gt;"Grayson Coulter",G1616&lt;'00_Control'!$B$7),"",--(AF1616&lt;10))</f>
        <v/>
      </c>
      <c r="AI1616" s="35">
        <f>IF(AND(C1616="Grayson Coulter",G1616&gt;='00_Control'!$B$7),"YES","NO")</f>
        <v/>
      </c>
      <c r="AJ1616" s="33" t="inlineStr">
        <is>
          <t>OK</t>
        </is>
      </c>
    </row>
    <row r="1617">
      <c r="A1617" s="33" t="inlineStr">
        <is>
          <t>SM001613</t>
        </is>
      </c>
      <c r="B1617" s="33" t="inlineStr">
        <is>
          <t>SW011</t>
        </is>
      </c>
      <c r="C1617" s="33" t="inlineStr">
        <is>
          <t>Kyle Chalmers</t>
        </is>
      </c>
      <c r="D1617" s="33" t="inlineStr">
        <is>
          <t>SwimCloud</t>
        </is>
      </c>
      <c r="E1617" s="33" t="inlineStr">
        <is>
          <t>419989</t>
        </is>
      </c>
      <c r="F1617" s="33" t="inlineStr">
        <is>
          <t>86074990</t>
        </is>
      </c>
      <c r="G1617" s="51" t="n">
        <v>44856</v>
      </c>
      <c r="H1617" s="33" t="inlineStr">
        <is>
          <t>FINA World Cup - Berlin</t>
        </is>
      </c>
      <c r="I1617" s="33" t="inlineStr">
        <is>
          <t>234874</t>
        </is>
      </c>
      <c r="J1617" s="33" t="inlineStr"/>
      <c r="K1617" s="33" t="inlineStr">
        <is>
          <t>PRE</t>
        </is>
      </c>
      <c r="L1617" s="35">
        <f>IF(K1617="FIN",3,IF(OR(K1617="SEM",K1617="SEMI"),2,IF(OR(K1617="PRE",K1617="HEAT"),1,IF(V1617="YES",4,2))))</f>
        <v/>
      </c>
      <c r="M1617" s="33" t="inlineStr">
        <is>
          <t>SCM</t>
        </is>
      </c>
      <c r="N1617" s="33" t="n">
        <v>100</v>
      </c>
      <c r="O1617" s="33" t="inlineStr">
        <is>
          <t>Free</t>
        </is>
      </c>
      <c r="P1617" s="33" t="inlineStr">
        <is>
          <t>100 Free</t>
        </is>
      </c>
      <c r="Q1617" s="33" t="inlineStr">
        <is>
          <t>SCM_100_FREE</t>
        </is>
      </c>
      <c r="R1617" s="36" t="n">
        <v>46.96</v>
      </c>
      <c r="S1617" s="35">
        <f>IF(R1617="","",IF(R1617&gt;=60,INT(R1617/60)&amp;":"&amp;TEXT(MOD(R1617,60),"00.00"),TEXT(R1617,"0.00")))</f>
        <v/>
      </c>
      <c r="T1617" s="52">
        <f>IFERROR((G1617-INDEX('01_Swimmers'!$E$5:$E$22,MATCH(B1617,'01_Swimmers'!$A$5:$A$22,0)))/'00_Control'!$B$10,"")</f>
        <v/>
      </c>
      <c r="U1617" s="35">
        <f>IF(T1617="","",INT(T1617))</f>
        <v/>
      </c>
      <c r="V1617" s="33" t="inlineStr">
        <is>
          <t>NO</t>
        </is>
      </c>
      <c r="W1617" s="33" t="inlineStr">
        <is>
          <t>YES</t>
        </is>
      </c>
      <c r="X1617" s="33" t="inlineStr">
        <is>
          <t>NO</t>
        </is>
      </c>
      <c r="Y1617" s="33" t="n">
        <v>13</v>
      </c>
      <c r="Z1617" s="33" t="n">
        <v>4</v>
      </c>
      <c r="AA1617" s="33" t="inlineStr">
        <is>
          <t>2</t>
        </is>
      </c>
      <c r="AB1617" s="33" t="inlineStr">
        <is>
          <t>https://www.swimcloud.com/results/234874/event/21/?id=86074990#time86074990</t>
        </is>
      </c>
      <c r="AC1617" s="33" t="inlineStr">
        <is>
          <t>SwimCloud API v6 2026-10-08</t>
        </is>
      </c>
      <c r="AD1617" s="33" t="inlineStr">
        <is>
          <t>Kyle Chalmers|2022-10-22|SCM|100|Free|46.96|FINA World Cup - Berlin|PRE|False</t>
        </is>
      </c>
      <c r="AE1617" s="53">
        <f>G1617+L1617/1000+ROW()/1000000000</f>
        <v/>
      </c>
      <c r="AF1617" s="35">
        <f>IF(C1617&lt;&gt;"Grayson Coulter","",COUNTIFS($C$5:$C$2991,"Grayson Coulter",$Q$5:$Q$2991,Q1617,$AE$5:$AE$2991,"&lt;="&amp;AE1617,$R$5:$R$2991,"&lt;"&amp;R1617))</f>
        <v/>
      </c>
      <c r="AG1617" s="35">
        <f>IF(OR(C1617&lt;&gt;"Grayson Coulter",G1617&lt;'00_Control'!$B$7),"",--(AF1617&lt;5))</f>
        <v/>
      </c>
      <c r="AH1617" s="35">
        <f>IF(OR(C1617&lt;&gt;"Grayson Coulter",G1617&lt;'00_Control'!$B$7),"",--(AF1617&lt;10))</f>
        <v/>
      </c>
      <c r="AI1617" s="35">
        <f>IF(AND(C1617="Grayson Coulter",G1617&gt;='00_Control'!$B$7),"YES","NO")</f>
        <v/>
      </c>
      <c r="AJ1617" s="33" t="inlineStr">
        <is>
          <t>OK</t>
        </is>
      </c>
    </row>
    <row r="1618">
      <c r="A1618" s="33" t="inlineStr">
        <is>
          <t>SM001614</t>
        </is>
      </c>
      <c r="B1618" s="33" t="inlineStr">
        <is>
          <t>SW011</t>
        </is>
      </c>
      <c r="C1618" s="33" t="inlineStr">
        <is>
          <t>Kyle Chalmers</t>
        </is>
      </c>
      <c r="D1618" s="33" t="inlineStr">
        <is>
          <t>SwimCloud</t>
        </is>
      </c>
      <c r="E1618" s="33" t="inlineStr">
        <is>
          <t>419989</t>
        </is>
      </c>
      <c r="F1618" s="33" t="inlineStr">
        <is>
          <t>86074989</t>
        </is>
      </c>
      <c r="G1618" s="51" t="n">
        <v>44856</v>
      </c>
      <c r="H1618" s="33" t="inlineStr">
        <is>
          <t>FINA World Cup - Berlin</t>
        </is>
      </c>
      <c r="I1618" s="33" t="inlineStr">
        <is>
          <t>234874</t>
        </is>
      </c>
      <c r="J1618" s="33" t="inlineStr"/>
      <c r="K1618" s="33" t="inlineStr">
        <is>
          <t>FIN</t>
        </is>
      </c>
      <c r="L1618" s="35">
        <f>IF(K1618="FIN",3,IF(OR(K1618="SEM",K1618="SEMI"),2,IF(OR(K1618="PRE",K1618="HEAT"),1,IF(V1618="YES",4,2))))</f>
        <v/>
      </c>
      <c r="M1618" s="33" t="inlineStr">
        <is>
          <t>SCM</t>
        </is>
      </c>
      <c r="N1618" s="33" t="n">
        <v>100</v>
      </c>
      <c r="O1618" s="33" t="inlineStr">
        <is>
          <t>Free</t>
        </is>
      </c>
      <c r="P1618" s="33" t="inlineStr">
        <is>
          <t>100 Free</t>
        </is>
      </c>
      <c r="Q1618" s="33" t="inlineStr">
        <is>
          <t>SCM_100_FREE</t>
        </is>
      </c>
      <c r="R1618" s="36" t="n">
        <v>45.88</v>
      </c>
      <c r="S1618" s="35">
        <f>IF(R1618="","",IF(R1618&gt;=60,INT(R1618/60)&amp;":"&amp;TEXT(MOD(R1618,60),"00.00"),TEXT(R1618,"0.00")))</f>
        <v/>
      </c>
      <c r="T1618" s="52">
        <f>IFERROR((G1618-INDEX('01_Swimmers'!$E$5:$E$22,MATCH(B1618,'01_Swimmers'!$A$5:$A$22,0)))/'00_Control'!$B$10,"")</f>
        <v/>
      </c>
      <c r="U1618" s="35">
        <f>IF(T1618="","",INT(T1618))</f>
        <v/>
      </c>
      <c r="V1618" s="33" t="inlineStr">
        <is>
          <t>NO</t>
        </is>
      </c>
      <c r="W1618" s="33" t="inlineStr">
        <is>
          <t>YES</t>
        </is>
      </c>
      <c r="X1618" s="33" t="inlineStr">
        <is>
          <t>NO</t>
        </is>
      </c>
      <c r="Y1618" s="33" t="n">
        <v>1</v>
      </c>
      <c r="Z1618" s="33" t="n">
        <v>5</v>
      </c>
      <c r="AA1618" s="33" t="inlineStr">
        <is>
          <t>1</t>
        </is>
      </c>
      <c r="AB1618" s="33" t="inlineStr">
        <is>
          <t>https://www.swimcloud.com/results/234874/event/21/?id=86074989#time86074989</t>
        </is>
      </c>
      <c r="AC1618" s="33" t="inlineStr">
        <is>
          <t>SwimCloud API v6 2026-10-08</t>
        </is>
      </c>
      <c r="AD1618" s="33" t="inlineStr">
        <is>
          <t>Kyle Chalmers|2022-10-22|SCM|100|Free|45.88|FINA World Cup - Berlin|FIN|False</t>
        </is>
      </c>
      <c r="AE1618" s="53">
        <f>G1618+L1618/1000+ROW()/1000000000</f>
        <v/>
      </c>
      <c r="AF1618" s="35">
        <f>IF(C1618&lt;&gt;"Grayson Coulter","",COUNTIFS($C$5:$C$2991,"Grayson Coulter",$Q$5:$Q$2991,Q1618,$AE$5:$AE$2991,"&lt;="&amp;AE1618,$R$5:$R$2991,"&lt;"&amp;R1618))</f>
        <v/>
      </c>
      <c r="AG1618" s="35">
        <f>IF(OR(C1618&lt;&gt;"Grayson Coulter",G1618&lt;'00_Control'!$B$7),"",--(AF1618&lt;5))</f>
        <v/>
      </c>
      <c r="AH1618" s="35">
        <f>IF(OR(C1618&lt;&gt;"Grayson Coulter",G1618&lt;'00_Control'!$B$7),"",--(AF1618&lt;10))</f>
        <v/>
      </c>
      <c r="AI1618" s="35">
        <f>IF(AND(C1618="Grayson Coulter",G1618&gt;='00_Control'!$B$7),"YES","NO")</f>
        <v/>
      </c>
      <c r="AJ1618" s="33" t="inlineStr">
        <is>
          <t>OK</t>
        </is>
      </c>
    </row>
    <row r="1619">
      <c r="A1619" s="33" t="inlineStr">
        <is>
          <t>SM001615</t>
        </is>
      </c>
      <c r="B1619" s="33" t="inlineStr">
        <is>
          <t>SW011</t>
        </is>
      </c>
      <c r="C1619" s="33" t="inlineStr">
        <is>
          <t>Kyle Chalmers</t>
        </is>
      </c>
      <c r="D1619" s="33" t="inlineStr">
        <is>
          <t>SwimCloud</t>
        </is>
      </c>
      <c r="E1619" s="33" t="inlineStr">
        <is>
          <t>419989</t>
        </is>
      </c>
      <c r="F1619" s="33" t="inlineStr">
        <is>
          <t>86075101</t>
        </is>
      </c>
      <c r="G1619" s="51" t="n">
        <v>44857</v>
      </c>
      <c r="H1619" s="33" t="inlineStr">
        <is>
          <t>FINA World Cup - Berlin</t>
        </is>
      </c>
      <c r="I1619" s="33" t="inlineStr">
        <is>
          <t>234874</t>
        </is>
      </c>
      <c r="J1619" s="33" t="inlineStr"/>
      <c r="K1619" s="33" t="inlineStr">
        <is>
          <t>PRE</t>
        </is>
      </c>
      <c r="L1619" s="35">
        <f>IF(K1619="FIN",3,IF(OR(K1619="SEM",K1619="SEMI"),2,IF(OR(K1619="PRE",K1619="HEAT"),1,IF(V1619="YES",4,2))))</f>
        <v/>
      </c>
      <c r="M1619" s="33" t="inlineStr">
        <is>
          <t>SCM</t>
        </is>
      </c>
      <c r="N1619" s="33" t="n">
        <v>200</v>
      </c>
      <c r="O1619" s="33" t="inlineStr">
        <is>
          <t>Free</t>
        </is>
      </c>
      <c r="P1619" s="33" t="inlineStr">
        <is>
          <t>200 Free</t>
        </is>
      </c>
      <c r="Q1619" s="33" t="inlineStr">
        <is>
          <t>SCM_200_FREE</t>
        </is>
      </c>
      <c r="R1619" s="36" t="n">
        <v>104.28</v>
      </c>
      <c r="S1619" s="35">
        <f>IF(R1619="","",IF(R1619&gt;=60,INT(R1619/60)&amp;":"&amp;TEXT(MOD(R1619,60),"00.00"),TEXT(R1619,"0.00")))</f>
        <v/>
      </c>
      <c r="T1619" s="52">
        <f>IFERROR((G1619-INDEX('01_Swimmers'!$E$5:$E$22,MATCH(B1619,'01_Swimmers'!$A$5:$A$22,0)))/'00_Control'!$B$10,"")</f>
        <v/>
      </c>
      <c r="U1619" s="35">
        <f>IF(T1619="","",INT(T1619))</f>
        <v/>
      </c>
      <c r="V1619" s="33" t="inlineStr">
        <is>
          <t>NO</t>
        </is>
      </c>
      <c r="W1619" s="33" t="inlineStr">
        <is>
          <t>YES</t>
        </is>
      </c>
      <c r="X1619" s="33" t="inlineStr">
        <is>
          <t>NO</t>
        </is>
      </c>
      <c r="Y1619" s="33" t="n">
        <v>8</v>
      </c>
      <c r="Z1619" s="33" t="n">
        <v>4</v>
      </c>
      <c r="AA1619" s="33" t="inlineStr">
        <is>
          <t>3</t>
        </is>
      </c>
      <c r="AB1619" s="33" t="inlineStr">
        <is>
          <t>https://www.swimcloud.com/results/234874/event/33/?id=86075101#time86075101</t>
        </is>
      </c>
      <c r="AC1619" s="33" t="inlineStr">
        <is>
          <t>SwimCloud API v6 2026-10-08</t>
        </is>
      </c>
      <c r="AD1619" s="33" t="inlineStr">
        <is>
          <t>Kyle Chalmers|2022-10-23|SCM|200|Free|104.28|FINA World Cup - Berlin|PRE|False</t>
        </is>
      </c>
      <c r="AE1619" s="53">
        <f>G1619+L1619/1000+ROW()/1000000000</f>
        <v/>
      </c>
      <c r="AF1619" s="35">
        <f>IF(C1619&lt;&gt;"Grayson Coulter","",COUNTIFS($C$5:$C$2991,"Grayson Coulter",$Q$5:$Q$2991,Q1619,$AE$5:$AE$2991,"&lt;="&amp;AE1619,$R$5:$R$2991,"&lt;"&amp;R1619))</f>
        <v/>
      </c>
      <c r="AG1619" s="35">
        <f>IF(OR(C1619&lt;&gt;"Grayson Coulter",G1619&lt;'00_Control'!$B$7),"",--(AF1619&lt;5))</f>
        <v/>
      </c>
      <c r="AH1619" s="35">
        <f>IF(OR(C1619&lt;&gt;"Grayson Coulter",G1619&lt;'00_Control'!$B$7),"",--(AF1619&lt;10))</f>
        <v/>
      </c>
      <c r="AI1619" s="35">
        <f>IF(AND(C1619="Grayson Coulter",G1619&gt;='00_Control'!$B$7),"YES","NO")</f>
        <v/>
      </c>
      <c r="AJ1619" s="33" t="inlineStr">
        <is>
          <t>OK</t>
        </is>
      </c>
    </row>
    <row r="1620">
      <c r="A1620" s="33" t="inlineStr">
        <is>
          <t>SM001616</t>
        </is>
      </c>
      <c r="B1620" s="33" t="inlineStr">
        <is>
          <t>SW011</t>
        </is>
      </c>
      <c r="C1620" s="33" t="inlineStr">
        <is>
          <t>Kyle Chalmers</t>
        </is>
      </c>
      <c r="D1620" s="33" t="inlineStr">
        <is>
          <t>SwimCloud</t>
        </is>
      </c>
      <c r="E1620" s="33" t="inlineStr">
        <is>
          <t>419989</t>
        </is>
      </c>
      <c r="F1620" s="33" t="inlineStr">
        <is>
          <t>86075100</t>
        </is>
      </c>
      <c r="G1620" s="51" t="n">
        <v>44857</v>
      </c>
      <c r="H1620" s="33" t="inlineStr">
        <is>
          <t>FINA World Cup - Berlin</t>
        </is>
      </c>
      <c r="I1620" s="33" t="inlineStr">
        <is>
          <t>234874</t>
        </is>
      </c>
      <c r="J1620" s="33" t="inlineStr"/>
      <c r="K1620" s="33" t="inlineStr">
        <is>
          <t>FIN</t>
        </is>
      </c>
      <c r="L1620" s="35">
        <f>IF(K1620="FIN",3,IF(OR(K1620="SEM",K1620="SEMI"),2,IF(OR(K1620="PRE",K1620="HEAT"),1,IF(V1620="YES",4,2))))</f>
        <v/>
      </c>
      <c r="M1620" s="33" t="inlineStr">
        <is>
          <t>SCM</t>
        </is>
      </c>
      <c r="N1620" s="33" t="n">
        <v>200</v>
      </c>
      <c r="O1620" s="33" t="inlineStr">
        <is>
          <t>Free</t>
        </is>
      </c>
      <c r="P1620" s="33" t="inlineStr">
        <is>
          <t>200 Free</t>
        </is>
      </c>
      <c r="Q1620" s="33" t="inlineStr">
        <is>
          <t>SCM_200_FREE</t>
        </is>
      </c>
      <c r="R1620" s="36" t="n">
        <v>101.09</v>
      </c>
      <c r="S1620" s="35">
        <f>IF(R1620="","",IF(R1620&gt;=60,INT(R1620/60)&amp;":"&amp;TEXT(MOD(R1620,60),"00.00"),TEXT(R1620,"0.00")))</f>
        <v/>
      </c>
      <c r="T1620" s="52">
        <f>IFERROR((G1620-INDEX('01_Swimmers'!$E$5:$E$22,MATCH(B1620,'01_Swimmers'!$A$5:$A$22,0)))/'00_Control'!$B$10,"")</f>
        <v/>
      </c>
      <c r="U1620" s="35">
        <f>IF(T1620="","",INT(T1620))</f>
        <v/>
      </c>
      <c r="V1620" s="33" t="inlineStr">
        <is>
          <t>NO</t>
        </is>
      </c>
      <c r="W1620" s="33" t="inlineStr">
        <is>
          <t>YES</t>
        </is>
      </c>
      <c r="X1620" s="33" t="inlineStr">
        <is>
          <t>NO</t>
        </is>
      </c>
      <c r="Y1620" s="33" t="n">
        <v>1</v>
      </c>
      <c r="Z1620" s="33" t="n">
        <v>3</v>
      </c>
      <c r="AA1620" s="33" t="inlineStr">
        <is>
          <t>2</t>
        </is>
      </c>
      <c r="AB1620" s="33" t="inlineStr">
        <is>
          <t>https://www.swimcloud.com/results/234874/event/33/?id=86075100#time86075100</t>
        </is>
      </c>
      <c r="AC1620" s="33" t="inlineStr">
        <is>
          <t>SwimCloud API v6 2026-10-08</t>
        </is>
      </c>
      <c r="AD1620" s="33" t="inlineStr">
        <is>
          <t>Kyle Chalmers|2022-10-23|SCM|200|Free|101.09|FINA World Cup - Berlin|FIN|False</t>
        </is>
      </c>
      <c r="AE1620" s="53">
        <f>G1620+L1620/1000+ROW()/1000000000</f>
        <v/>
      </c>
      <c r="AF1620" s="35">
        <f>IF(C1620&lt;&gt;"Grayson Coulter","",COUNTIFS($C$5:$C$2991,"Grayson Coulter",$Q$5:$Q$2991,Q1620,$AE$5:$AE$2991,"&lt;="&amp;AE1620,$R$5:$R$2991,"&lt;"&amp;R1620))</f>
        <v/>
      </c>
      <c r="AG1620" s="35">
        <f>IF(OR(C1620&lt;&gt;"Grayson Coulter",G1620&lt;'00_Control'!$B$7),"",--(AF1620&lt;5))</f>
        <v/>
      </c>
      <c r="AH1620" s="35">
        <f>IF(OR(C1620&lt;&gt;"Grayson Coulter",G1620&lt;'00_Control'!$B$7),"",--(AF1620&lt;10))</f>
        <v/>
      </c>
      <c r="AI1620" s="35">
        <f>IF(AND(C1620="Grayson Coulter",G1620&gt;='00_Control'!$B$7),"YES","NO")</f>
        <v/>
      </c>
      <c r="AJ1620" s="33" t="inlineStr">
        <is>
          <t>OK</t>
        </is>
      </c>
    </row>
    <row r="1621">
      <c r="A1621" s="33" t="inlineStr">
        <is>
          <t>SM001617</t>
        </is>
      </c>
      <c r="B1621" s="33" t="inlineStr">
        <is>
          <t>SW011</t>
        </is>
      </c>
      <c r="C1621" s="33" t="inlineStr">
        <is>
          <t>Kyle Chalmers</t>
        </is>
      </c>
      <c r="D1621" s="33" t="inlineStr">
        <is>
          <t>SwimCloud</t>
        </is>
      </c>
      <c r="E1621" s="33" t="inlineStr">
        <is>
          <t>419989</t>
        </is>
      </c>
      <c r="F1621" s="33" t="inlineStr">
        <is>
          <t>86730494</t>
        </is>
      </c>
      <c r="G1621" s="51" t="n">
        <v>44869</v>
      </c>
      <c r="H1621" s="33" t="inlineStr">
        <is>
          <t>FINA World Cup - Indianapolis</t>
        </is>
      </c>
      <c r="I1621" s="33" t="inlineStr">
        <is>
          <t>234876</t>
        </is>
      </c>
      <c r="J1621" s="33" t="inlineStr"/>
      <c r="K1621" s="33" t="inlineStr">
        <is>
          <t>PRE</t>
        </is>
      </c>
      <c r="L1621" s="35">
        <f>IF(K1621="FIN",3,IF(OR(K1621="SEM",K1621="SEMI"),2,IF(OR(K1621="PRE",K1621="HEAT"),1,IF(V1621="YES",4,2))))</f>
        <v/>
      </c>
      <c r="M1621" s="33" t="inlineStr">
        <is>
          <t>SCM</t>
        </is>
      </c>
      <c r="N1621" s="33" t="n">
        <v>100</v>
      </c>
      <c r="O1621" s="33" t="inlineStr">
        <is>
          <t>Free</t>
        </is>
      </c>
      <c r="P1621" s="33" t="inlineStr">
        <is>
          <t>100 Free</t>
        </is>
      </c>
      <c r="Q1621" s="33" t="inlineStr">
        <is>
          <t>SCM_100_FREE</t>
        </is>
      </c>
      <c r="R1621" s="36" t="n">
        <v>46.61</v>
      </c>
      <c r="S1621" s="35">
        <f>IF(R1621="","",IF(R1621&gt;=60,INT(R1621/60)&amp;":"&amp;TEXT(MOD(R1621,60),"00.00"),TEXT(R1621,"0.00")))</f>
        <v/>
      </c>
      <c r="T1621" s="52">
        <f>IFERROR((G1621-INDEX('01_Swimmers'!$E$5:$E$22,MATCH(B1621,'01_Swimmers'!$A$5:$A$22,0)))/'00_Control'!$B$10,"")</f>
        <v/>
      </c>
      <c r="U1621" s="35">
        <f>IF(T1621="","",INT(T1621))</f>
        <v/>
      </c>
      <c r="V1621" s="33" t="inlineStr">
        <is>
          <t>NO</t>
        </is>
      </c>
      <c r="W1621" s="33" t="inlineStr">
        <is>
          <t>YES</t>
        </is>
      </c>
      <c r="X1621" s="33" t="inlineStr">
        <is>
          <t>NO</t>
        </is>
      </c>
      <c r="Y1621" s="33" t="n">
        <v>10</v>
      </c>
      <c r="Z1621" s="33" t="n">
        <v>4</v>
      </c>
      <c r="AA1621" s="33" t="inlineStr">
        <is>
          <t>1</t>
        </is>
      </c>
      <c r="AB1621" s="33" t="inlineStr">
        <is>
          <t>https://www.swimcloud.com/results/234876/event/20/?id=86730494#time86730494</t>
        </is>
      </c>
      <c r="AC1621" s="33" t="inlineStr">
        <is>
          <t>SwimCloud API v6 2026-10-08</t>
        </is>
      </c>
      <c r="AD1621" s="33" t="inlineStr">
        <is>
          <t>Kyle Chalmers|2022-11-04|SCM|100|Free|46.61|FINA World Cup - Indianapolis|PRE|False</t>
        </is>
      </c>
      <c r="AE1621" s="53">
        <f>G1621+L1621/1000+ROW()/1000000000</f>
        <v/>
      </c>
      <c r="AF1621" s="35">
        <f>IF(C1621&lt;&gt;"Grayson Coulter","",COUNTIFS($C$5:$C$2991,"Grayson Coulter",$Q$5:$Q$2991,Q1621,$AE$5:$AE$2991,"&lt;="&amp;AE1621,$R$5:$R$2991,"&lt;"&amp;R1621))</f>
        <v/>
      </c>
      <c r="AG1621" s="35">
        <f>IF(OR(C1621&lt;&gt;"Grayson Coulter",G1621&lt;'00_Control'!$B$7),"",--(AF1621&lt;5))</f>
        <v/>
      </c>
      <c r="AH1621" s="35">
        <f>IF(OR(C1621&lt;&gt;"Grayson Coulter",G1621&lt;'00_Control'!$B$7),"",--(AF1621&lt;10))</f>
        <v/>
      </c>
      <c r="AI1621" s="35">
        <f>IF(AND(C1621="Grayson Coulter",G1621&gt;='00_Control'!$B$7),"YES","NO")</f>
        <v/>
      </c>
      <c r="AJ1621" s="33" t="inlineStr">
        <is>
          <t>OK</t>
        </is>
      </c>
    </row>
    <row r="1622">
      <c r="A1622" s="33" t="inlineStr">
        <is>
          <t>SM001618</t>
        </is>
      </c>
      <c r="B1622" s="33" t="inlineStr">
        <is>
          <t>SW011</t>
        </is>
      </c>
      <c r="C1622" s="33" t="inlineStr">
        <is>
          <t>Kyle Chalmers</t>
        </is>
      </c>
      <c r="D1622" s="33" t="inlineStr">
        <is>
          <t>SwimCloud</t>
        </is>
      </c>
      <c r="E1622" s="33" t="inlineStr">
        <is>
          <t>419989</t>
        </is>
      </c>
      <c r="F1622" s="33" t="inlineStr">
        <is>
          <t>86730493</t>
        </is>
      </c>
      <c r="G1622" s="51" t="n">
        <v>44869</v>
      </c>
      <c r="H1622" s="33" t="inlineStr">
        <is>
          <t>FINA World Cup - Indianapolis</t>
        </is>
      </c>
      <c r="I1622" s="33" t="inlineStr">
        <is>
          <t>234876</t>
        </is>
      </c>
      <c r="J1622" s="33" t="inlineStr"/>
      <c r="K1622" s="33" t="inlineStr">
        <is>
          <t>FIN</t>
        </is>
      </c>
      <c r="L1622" s="35">
        <f>IF(K1622="FIN",3,IF(OR(K1622="SEM",K1622="SEMI"),2,IF(OR(K1622="PRE",K1622="HEAT"),1,IF(V1622="YES",4,2))))</f>
        <v/>
      </c>
      <c r="M1622" s="33" t="inlineStr">
        <is>
          <t>SCM</t>
        </is>
      </c>
      <c r="N1622" s="33" t="n">
        <v>100</v>
      </c>
      <c r="O1622" s="33" t="inlineStr">
        <is>
          <t>Free</t>
        </is>
      </c>
      <c r="P1622" s="33" t="inlineStr">
        <is>
          <t>100 Free</t>
        </is>
      </c>
      <c r="Q1622" s="33" t="inlineStr">
        <is>
          <t>SCM_100_FREE</t>
        </is>
      </c>
      <c r="R1622" s="36" t="n">
        <v>45.55</v>
      </c>
      <c r="S1622" s="35">
        <f>IF(R1622="","",IF(R1622&gt;=60,INT(R1622/60)&amp;":"&amp;TEXT(MOD(R1622,60),"00.00"),TEXT(R1622,"0.00")))</f>
        <v/>
      </c>
      <c r="T1622" s="52">
        <f>IFERROR((G1622-INDEX('01_Swimmers'!$E$5:$E$22,MATCH(B1622,'01_Swimmers'!$A$5:$A$22,0)))/'00_Control'!$B$10,"")</f>
        <v/>
      </c>
      <c r="U1622" s="35">
        <f>IF(T1622="","",INT(T1622))</f>
        <v/>
      </c>
      <c r="V1622" s="33" t="inlineStr">
        <is>
          <t>NO</t>
        </is>
      </c>
      <c r="W1622" s="33" t="inlineStr">
        <is>
          <t>YES</t>
        </is>
      </c>
      <c r="X1622" s="33" t="inlineStr">
        <is>
          <t>NO</t>
        </is>
      </c>
      <c r="Y1622" s="33" t="n">
        <v>1</v>
      </c>
      <c r="Z1622" s="33" t="n">
        <v>4</v>
      </c>
      <c r="AA1622" s="33" t="inlineStr">
        <is>
          <t>1</t>
        </is>
      </c>
      <c r="AB1622" s="33" t="inlineStr">
        <is>
          <t>https://www.swimcloud.com/results/234876/event/20/?id=86730493#time86730493</t>
        </is>
      </c>
      <c r="AC1622" s="33" t="inlineStr">
        <is>
          <t>SwimCloud API v6 2026-10-08</t>
        </is>
      </c>
      <c r="AD1622" s="33" t="inlineStr">
        <is>
          <t>Kyle Chalmers|2022-11-04|SCM|100|Free|45.55|FINA World Cup - Indianapolis|FIN|False</t>
        </is>
      </c>
      <c r="AE1622" s="53">
        <f>G1622+L1622/1000+ROW()/1000000000</f>
        <v/>
      </c>
      <c r="AF1622" s="35">
        <f>IF(C1622&lt;&gt;"Grayson Coulter","",COUNTIFS($C$5:$C$2991,"Grayson Coulter",$Q$5:$Q$2991,Q1622,$AE$5:$AE$2991,"&lt;="&amp;AE1622,$R$5:$R$2991,"&lt;"&amp;R1622))</f>
        <v/>
      </c>
      <c r="AG1622" s="35">
        <f>IF(OR(C1622&lt;&gt;"Grayson Coulter",G1622&lt;'00_Control'!$B$7),"",--(AF1622&lt;5))</f>
        <v/>
      </c>
      <c r="AH1622" s="35">
        <f>IF(OR(C1622&lt;&gt;"Grayson Coulter",G1622&lt;'00_Control'!$B$7),"",--(AF1622&lt;10))</f>
        <v/>
      </c>
      <c r="AI1622" s="35">
        <f>IF(AND(C1622="Grayson Coulter",G1622&gt;='00_Control'!$B$7),"YES","NO")</f>
        <v/>
      </c>
      <c r="AJ1622" s="33" t="inlineStr">
        <is>
          <t>OK</t>
        </is>
      </c>
    </row>
    <row r="1623">
      <c r="A1623" s="33" t="inlineStr">
        <is>
          <t>SM001619</t>
        </is>
      </c>
      <c r="B1623" s="33" t="inlineStr">
        <is>
          <t>SW011</t>
        </is>
      </c>
      <c r="C1623" s="33" t="inlineStr">
        <is>
          <t>Kyle Chalmers</t>
        </is>
      </c>
      <c r="D1623" s="33" t="inlineStr">
        <is>
          <t>SwimCloud</t>
        </is>
      </c>
      <c r="E1623" s="33" t="inlineStr">
        <is>
          <t>419989</t>
        </is>
      </c>
      <c r="F1623" s="33" t="inlineStr">
        <is>
          <t>86730642</t>
        </is>
      </c>
      <c r="G1623" s="51" t="n">
        <v>44870</v>
      </c>
      <c r="H1623" s="33" t="inlineStr">
        <is>
          <t>FINA World Cup - Indianapolis</t>
        </is>
      </c>
      <c r="I1623" s="33" t="inlineStr">
        <is>
          <t>234876</t>
        </is>
      </c>
      <c r="J1623" s="33" t="inlineStr"/>
      <c r="K1623" s="33" t="inlineStr">
        <is>
          <t>PRE</t>
        </is>
      </c>
      <c r="L1623" s="35">
        <f>IF(K1623="FIN",3,IF(OR(K1623="SEM",K1623="SEMI"),2,IF(OR(K1623="PRE",K1623="HEAT"),1,IF(V1623="YES",4,2))))</f>
        <v/>
      </c>
      <c r="M1623" s="33" t="inlineStr">
        <is>
          <t>SCM</t>
        </is>
      </c>
      <c r="N1623" s="33" t="n">
        <v>200</v>
      </c>
      <c r="O1623" s="33" t="inlineStr">
        <is>
          <t>Free</t>
        </is>
      </c>
      <c r="P1623" s="33" t="inlineStr">
        <is>
          <t>200 Free</t>
        </is>
      </c>
      <c r="Q1623" s="33" t="inlineStr">
        <is>
          <t>SCM_200_FREE</t>
        </is>
      </c>
      <c r="R1623" s="36" t="n">
        <v>103.82</v>
      </c>
      <c r="S1623" s="35">
        <f>IF(R1623="","",IF(R1623&gt;=60,INT(R1623/60)&amp;":"&amp;TEXT(MOD(R1623,60),"00.00"),TEXT(R1623,"0.00")))</f>
        <v/>
      </c>
      <c r="T1623" s="52">
        <f>IFERROR((G1623-INDEX('01_Swimmers'!$E$5:$E$22,MATCH(B1623,'01_Swimmers'!$A$5:$A$22,0)))/'00_Control'!$B$10,"")</f>
        <v/>
      </c>
      <c r="U1623" s="35">
        <f>IF(T1623="","",INT(T1623))</f>
        <v/>
      </c>
      <c r="V1623" s="33" t="inlineStr">
        <is>
          <t>NO</t>
        </is>
      </c>
      <c r="W1623" s="33" t="inlineStr">
        <is>
          <t>YES</t>
        </is>
      </c>
      <c r="X1623" s="33" t="inlineStr">
        <is>
          <t>NO</t>
        </is>
      </c>
      <c r="Y1623" s="33" t="n">
        <v>7</v>
      </c>
      <c r="Z1623" s="33" t="n">
        <v>4</v>
      </c>
      <c r="AA1623" s="33" t="inlineStr">
        <is>
          <t>5</t>
        </is>
      </c>
      <c r="AB1623" s="33" t="inlineStr">
        <is>
          <t>https://www.swimcloud.com/results/234876/event/32/?id=86730642#time86730642</t>
        </is>
      </c>
      <c r="AC1623" s="33" t="inlineStr">
        <is>
          <t>SwimCloud API v6 2026-10-08</t>
        </is>
      </c>
      <c r="AD1623" s="33" t="inlineStr">
        <is>
          <t>Kyle Chalmers|2022-11-05|SCM|200|Free|103.82|FINA World Cup - Indianapolis|PRE|False</t>
        </is>
      </c>
      <c r="AE1623" s="53">
        <f>G1623+L1623/1000+ROW()/1000000000</f>
        <v/>
      </c>
      <c r="AF1623" s="35">
        <f>IF(C1623&lt;&gt;"Grayson Coulter","",COUNTIFS($C$5:$C$2991,"Grayson Coulter",$Q$5:$Q$2991,Q1623,$AE$5:$AE$2991,"&lt;="&amp;AE1623,$R$5:$R$2991,"&lt;"&amp;R1623))</f>
        <v/>
      </c>
      <c r="AG1623" s="35">
        <f>IF(OR(C1623&lt;&gt;"Grayson Coulter",G1623&lt;'00_Control'!$B$7),"",--(AF1623&lt;5))</f>
        <v/>
      </c>
      <c r="AH1623" s="35">
        <f>IF(OR(C1623&lt;&gt;"Grayson Coulter",G1623&lt;'00_Control'!$B$7),"",--(AF1623&lt;10))</f>
        <v/>
      </c>
      <c r="AI1623" s="35">
        <f>IF(AND(C1623="Grayson Coulter",G1623&gt;='00_Control'!$B$7),"YES","NO")</f>
        <v/>
      </c>
      <c r="AJ1623" s="33" t="inlineStr">
        <is>
          <t>OK</t>
        </is>
      </c>
    </row>
    <row r="1624">
      <c r="A1624" s="33" t="inlineStr">
        <is>
          <t>SM001620</t>
        </is>
      </c>
      <c r="B1624" s="33" t="inlineStr">
        <is>
          <t>SW011</t>
        </is>
      </c>
      <c r="C1624" s="33" t="inlineStr">
        <is>
          <t>Kyle Chalmers</t>
        </is>
      </c>
      <c r="D1624" s="33" t="inlineStr">
        <is>
          <t>SwimCloud</t>
        </is>
      </c>
      <c r="E1624" s="33" t="inlineStr">
        <is>
          <t>419989</t>
        </is>
      </c>
      <c r="F1624" s="33" t="inlineStr">
        <is>
          <t>86730641</t>
        </is>
      </c>
      <c r="G1624" s="51" t="n">
        <v>44870</v>
      </c>
      <c r="H1624" s="33" t="inlineStr">
        <is>
          <t>FINA World Cup - Indianapolis</t>
        </is>
      </c>
      <c r="I1624" s="33" t="inlineStr">
        <is>
          <t>234876</t>
        </is>
      </c>
      <c r="J1624" s="33" t="inlineStr"/>
      <c r="K1624" s="33" t="inlineStr">
        <is>
          <t>FIN</t>
        </is>
      </c>
      <c r="L1624" s="35">
        <f>IF(K1624="FIN",3,IF(OR(K1624="SEM",K1624="SEMI"),2,IF(OR(K1624="PRE",K1624="HEAT"),1,IF(V1624="YES",4,2))))</f>
        <v/>
      </c>
      <c r="M1624" s="33" t="inlineStr">
        <is>
          <t>SCM</t>
        </is>
      </c>
      <c r="N1624" s="33" t="n">
        <v>200</v>
      </c>
      <c r="O1624" s="33" t="inlineStr">
        <is>
          <t>Free</t>
        </is>
      </c>
      <c r="P1624" s="33" t="inlineStr">
        <is>
          <t>200 Free</t>
        </is>
      </c>
      <c r="Q1624" s="33" t="inlineStr">
        <is>
          <t>SCM_200_FREE</t>
        </is>
      </c>
      <c r="R1624" s="36" t="n">
        <v>101.97</v>
      </c>
      <c r="S1624" s="35">
        <f>IF(R1624="","",IF(R1624&gt;=60,INT(R1624/60)&amp;":"&amp;TEXT(MOD(R1624,60),"00.00"),TEXT(R1624,"0.00")))</f>
        <v/>
      </c>
      <c r="T1624" s="52">
        <f>IFERROR((G1624-INDEX('01_Swimmers'!$E$5:$E$22,MATCH(B1624,'01_Swimmers'!$A$5:$A$22,0)))/'00_Control'!$B$10,"")</f>
        <v/>
      </c>
      <c r="U1624" s="35">
        <f>IF(T1624="","",INT(T1624))</f>
        <v/>
      </c>
      <c r="V1624" s="33" t="inlineStr">
        <is>
          <t>NO</t>
        </is>
      </c>
      <c r="W1624" s="33" t="inlineStr">
        <is>
          <t>YES</t>
        </is>
      </c>
      <c r="X1624" s="33" t="inlineStr">
        <is>
          <t>NO</t>
        </is>
      </c>
      <c r="Y1624" s="33" t="n">
        <v>1</v>
      </c>
      <c r="Z1624" s="33" t="n">
        <v>2</v>
      </c>
      <c r="AA1624" s="33" t="inlineStr">
        <is>
          <t>4</t>
        </is>
      </c>
      <c r="AB1624" s="33" t="inlineStr">
        <is>
          <t>https://www.swimcloud.com/results/234876/event/32/?id=86730641#time86730641</t>
        </is>
      </c>
      <c r="AC1624" s="33" t="inlineStr">
        <is>
          <t>SwimCloud API v6 2026-10-08</t>
        </is>
      </c>
      <c r="AD1624" s="33" t="inlineStr">
        <is>
          <t>Kyle Chalmers|2022-11-05|SCM|200|Free|101.97|FINA World Cup - Indianapolis|FIN|False</t>
        </is>
      </c>
      <c r="AE1624" s="53">
        <f>G1624+L1624/1000+ROW()/1000000000</f>
        <v/>
      </c>
      <c r="AF1624" s="35">
        <f>IF(C1624&lt;&gt;"Grayson Coulter","",COUNTIFS($C$5:$C$2991,"Grayson Coulter",$Q$5:$Q$2991,Q1624,$AE$5:$AE$2991,"&lt;="&amp;AE1624,$R$5:$R$2991,"&lt;"&amp;R1624))</f>
        <v/>
      </c>
      <c r="AG1624" s="35">
        <f>IF(OR(C1624&lt;&gt;"Grayson Coulter",G1624&lt;'00_Control'!$B$7),"",--(AF1624&lt;5))</f>
        <v/>
      </c>
      <c r="AH1624" s="35">
        <f>IF(OR(C1624&lt;&gt;"Grayson Coulter",G1624&lt;'00_Control'!$B$7),"",--(AF1624&lt;10))</f>
        <v/>
      </c>
      <c r="AI1624" s="35">
        <f>IF(AND(C1624="Grayson Coulter",G1624&gt;='00_Control'!$B$7),"YES","NO")</f>
        <v/>
      </c>
      <c r="AJ1624" s="33" t="inlineStr">
        <is>
          <t>OK</t>
        </is>
      </c>
    </row>
    <row r="1625">
      <c r="A1625" s="33" t="inlineStr">
        <is>
          <t>SM001621</t>
        </is>
      </c>
      <c r="B1625" s="33" t="inlineStr">
        <is>
          <t>SW011</t>
        </is>
      </c>
      <c r="C1625" s="33" t="inlineStr">
        <is>
          <t>Kyle Chalmers</t>
        </is>
      </c>
      <c r="D1625" s="33" t="inlineStr">
        <is>
          <t>SwimCloud</t>
        </is>
      </c>
      <c r="E1625" s="33" t="inlineStr">
        <is>
          <t>419989</t>
        </is>
      </c>
      <c r="F1625" s="33" t="inlineStr">
        <is>
          <t>91592292</t>
        </is>
      </c>
      <c r="G1625" s="51" t="n">
        <v>44909</v>
      </c>
      <c r="H1625" s="33" t="inlineStr">
        <is>
          <t>16th FINA World Short Course Championships</t>
        </is>
      </c>
      <c r="I1625" s="33" t="inlineStr">
        <is>
          <t>234877</t>
        </is>
      </c>
      <c r="J1625" s="33" t="inlineStr"/>
      <c r="K1625" s="33" t="inlineStr">
        <is>
          <t>PRE</t>
        </is>
      </c>
      <c r="L1625" s="35">
        <f>IF(K1625="FIN",3,IF(OR(K1625="SEM",K1625="SEMI"),2,IF(OR(K1625="PRE",K1625="HEAT"),1,IF(V1625="YES",4,2))))</f>
        <v/>
      </c>
      <c r="M1625" s="33" t="inlineStr">
        <is>
          <t>SCM</t>
        </is>
      </c>
      <c r="N1625" s="33" t="n">
        <v>100</v>
      </c>
      <c r="O1625" s="33" t="inlineStr">
        <is>
          <t>Free</t>
        </is>
      </c>
      <c r="P1625" s="33" t="inlineStr">
        <is>
          <t>100 Free</t>
        </is>
      </c>
      <c r="Q1625" s="33" t="inlineStr">
        <is>
          <t>SCM_100_FREE</t>
        </is>
      </c>
      <c r="R1625" s="36" t="n">
        <v>45.84</v>
      </c>
      <c r="S1625" s="35">
        <f>IF(R1625="","",IF(R1625&gt;=60,INT(R1625/60)&amp;":"&amp;TEXT(MOD(R1625,60),"00.00"),TEXT(R1625,"0.00")))</f>
        <v/>
      </c>
      <c r="T1625" s="52">
        <f>IFERROR((G1625-INDEX('01_Swimmers'!$E$5:$E$22,MATCH(B1625,'01_Swimmers'!$A$5:$A$22,0)))/'00_Control'!$B$10,"")</f>
        <v/>
      </c>
      <c r="U1625" s="35">
        <f>IF(T1625="","",INT(T1625))</f>
        <v/>
      </c>
      <c r="V1625" s="33" t="inlineStr">
        <is>
          <t>NO</t>
        </is>
      </c>
      <c r="W1625" s="33" t="inlineStr">
        <is>
          <t>YES</t>
        </is>
      </c>
      <c r="X1625" s="33" t="inlineStr">
        <is>
          <t>NO</t>
        </is>
      </c>
      <c r="Y1625" s="33" t="n">
        <v>11</v>
      </c>
      <c r="Z1625" s="33" t="n">
        <v>4</v>
      </c>
      <c r="AA1625" s="33" t="inlineStr">
        <is>
          <t>3</t>
        </is>
      </c>
      <c r="AB1625" s="33" t="inlineStr">
        <is>
          <t>https://www.swimcloud.com/results/234877/event/14/?id=91592292#time91592292</t>
        </is>
      </c>
      <c r="AC1625" s="33" t="inlineStr">
        <is>
          <t>SwimCloud API v6 2026-10-08</t>
        </is>
      </c>
      <c r="AD1625" s="33" t="inlineStr">
        <is>
          <t>Kyle Chalmers|2022-12-14|SCM|100|Free|45.84|16th FINA World Short Course Championships|PRE|False</t>
        </is>
      </c>
      <c r="AE1625" s="53">
        <f>G1625+L1625/1000+ROW()/1000000000</f>
        <v/>
      </c>
      <c r="AF1625" s="35">
        <f>IF(C1625&lt;&gt;"Grayson Coulter","",COUNTIFS($C$5:$C$2991,"Grayson Coulter",$Q$5:$Q$2991,Q1625,$AE$5:$AE$2991,"&lt;="&amp;AE1625,$R$5:$R$2991,"&lt;"&amp;R1625))</f>
        <v/>
      </c>
      <c r="AG1625" s="35">
        <f>IF(OR(C1625&lt;&gt;"Grayson Coulter",G1625&lt;'00_Control'!$B$7),"",--(AF1625&lt;5))</f>
        <v/>
      </c>
      <c r="AH1625" s="35">
        <f>IF(OR(C1625&lt;&gt;"Grayson Coulter",G1625&lt;'00_Control'!$B$7),"",--(AF1625&lt;10))</f>
        <v/>
      </c>
      <c r="AI1625" s="35">
        <f>IF(AND(C1625="Grayson Coulter",G1625&gt;='00_Control'!$B$7),"YES","NO")</f>
        <v/>
      </c>
      <c r="AJ1625" s="33" t="inlineStr">
        <is>
          <t>OK</t>
        </is>
      </c>
    </row>
    <row r="1626">
      <c r="A1626" s="33" t="inlineStr">
        <is>
          <t>SM001622</t>
        </is>
      </c>
      <c r="B1626" s="33" t="inlineStr">
        <is>
          <t>SW011</t>
        </is>
      </c>
      <c r="C1626" s="33" t="inlineStr">
        <is>
          <t>Kyle Chalmers</t>
        </is>
      </c>
      <c r="D1626" s="33" t="inlineStr">
        <is>
          <t>SwimCloud</t>
        </is>
      </c>
      <c r="E1626" s="33" t="inlineStr">
        <is>
          <t>419989</t>
        </is>
      </c>
      <c r="F1626" s="33" t="inlineStr">
        <is>
          <t>91592293</t>
        </is>
      </c>
      <c r="G1626" s="51" t="n">
        <v>44909</v>
      </c>
      <c r="H1626" s="33" t="inlineStr">
        <is>
          <t>16th FINA World Short Course Championships</t>
        </is>
      </c>
      <c r="I1626" s="33" t="inlineStr">
        <is>
          <t>234877</t>
        </is>
      </c>
      <c r="J1626" s="33" t="inlineStr"/>
      <c r="K1626" s="33" t="inlineStr">
        <is>
          <t>SEM</t>
        </is>
      </c>
      <c r="L1626" s="35">
        <f>IF(K1626="FIN",3,IF(OR(K1626="SEM",K1626="SEMI"),2,IF(OR(K1626="PRE",K1626="HEAT"),1,IF(V1626="YES",4,2))))</f>
        <v/>
      </c>
      <c r="M1626" s="33" t="inlineStr">
        <is>
          <t>SCM</t>
        </is>
      </c>
      <c r="N1626" s="33" t="n">
        <v>100</v>
      </c>
      <c r="O1626" s="33" t="inlineStr">
        <is>
          <t>Free</t>
        </is>
      </c>
      <c r="P1626" s="33" t="inlineStr">
        <is>
          <t>100 Free</t>
        </is>
      </c>
      <c r="Q1626" s="33" t="inlineStr">
        <is>
          <t>SCM_100_FREE</t>
        </is>
      </c>
      <c r="R1626" s="36" t="n">
        <v>45.66</v>
      </c>
      <c r="S1626" s="35">
        <f>IF(R1626="","",IF(R1626&gt;=60,INT(R1626/60)&amp;":"&amp;TEXT(MOD(R1626,60),"00.00"),TEXT(R1626,"0.00")))</f>
        <v/>
      </c>
      <c r="T1626" s="52">
        <f>IFERROR((G1626-INDEX('01_Swimmers'!$E$5:$E$22,MATCH(B1626,'01_Swimmers'!$A$5:$A$22,0)))/'00_Control'!$B$10,"")</f>
        <v/>
      </c>
      <c r="U1626" s="35">
        <f>IF(T1626="","",INT(T1626))</f>
        <v/>
      </c>
      <c r="V1626" s="33" t="inlineStr">
        <is>
          <t>NO</t>
        </is>
      </c>
      <c r="W1626" s="33" t="inlineStr">
        <is>
          <t>YES</t>
        </is>
      </c>
      <c r="X1626" s="33" t="inlineStr">
        <is>
          <t>NO</t>
        </is>
      </c>
      <c r="Y1626" s="33" t="n">
        <v>2</v>
      </c>
      <c r="Z1626" s="33" t="n">
        <v>5</v>
      </c>
      <c r="AA1626" s="33" t="inlineStr">
        <is>
          <t>3</t>
        </is>
      </c>
      <c r="AB1626" s="33" t="inlineStr">
        <is>
          <t>https://www.swimcloud.com/results/234877/event/14/?id=91592293#time91592293</t>
        </is>
      </c>
      <c r="AC1626" s="33" t="inlineStr">
        <is>
          <t>SwimCloud API v6 2026-10-08</t>
        </is>
      </c>
      <c r="AD1626" s="33" t="inlineStr">
        <is>
          <t>Kyle Chalmers|2022-12-14|SCM|100|Free|45.66|16th FINA World Short Course Championships|SEM|False</t>
        </is>
      </c>
      <c r="AE1626" s="53">
        <f>G1626+L1626/1000+ROW()/1000000000</f>
        <v/>
      </c>
      <c r="AF1626" s="35">
        <f>IF(C1626&lt;&gt;"Grayson Coulter","",COUNTIFS($C$5:$C$2991,"Grayson Coulter",$Q$5:$Q$2991,Q1626,$AE$5:$AE$2991,"&lt;="&amp;AE1626,$R$5:$R$2991,"&lt;"&amp;R1626))</f>
        <v/>
      </c>
      <c r="AG1626" s="35">
        <f>IF(OR(C1626&lt;&gt;"Grayson Coulter",G1626&lt;'00_Control'!$B$7),"",--(AF1626&lt;5))</f>
        <v/>
      </c>
      <c r="AH1626" s="35">
        <f>IF(OR(C1626&lt;&gt;"Grayson Coulter",G1626&lt;'00_Control'!$B$7),"",--(AF1626&lt;10))</f>
        <v/>
      </c>
      <c r="AI1626" s="35">
        <f>IF(AND(C1626="Grayson Coulter",G1626&gt;='00_Control'!$B$7),"YES","NO")</f>
        <v/>
      </c>
      <c r="AJ1626" s="33" t="inlineStr">
        <is>
          <t>OK</t>
        </is>
      </c>
    </row>
    <row r="1627">
      <c r="A1627" s="33" t="inlineStr">
        <is>
          <t>SM001623</t>
        </is>
      </c>
      <c r="B1627" s="33" t="inlineStr">
        <is>
          <t>SW011</t>
        </is>
      </c>
      <c r="C1627" s="33" t="inlineStr">
        <is>
          <t>Kyle Chalmers</t>
        </is>
      </c>
      <c r="D1627" s="33" t="inlineStr">
        <is>
          <t>SwimCloud</t>
        </is>
      </c>
      <c r="E1627" s="33" t="inlineStr">
        <is>
          <t>419989</t>
        </is>
      </c>
      <c r="F1627" s="33" t="inlineStr">
        <is>
          <t>91592291</t>
        </is>
      </c>
      <c r="G1627" s="51" t="n">
        <v>44910</v>
      </c>
      <c r="H1627" s="33" t="inlineStr">
        <is>
          <t>16th FINA World Short Course Championships</t>
        </is>
      </c>
      <c r="I1627" s="33" t="inlineStr">
        <is>
          <t>234877</t>
        </is>
      </c>
      <c r="J1627" s="33" t="inlineStr"/>
      <c r="K1627" s="33" t="inlineStr">
        <is>
          <t>FIN</t>
        </is>
      </c>
      <c r="L1627" s="35">
        <f>IF(K1627="FIN",3,IF(OR(K1627="SEM",K1627="SEMI"),2,IF(OR(K1627="PRE",K1627="HEAT"),1,IF(V1627="YES",4,2))))</f>
        <v/>
      </c>
      <c r="M1627" s="33" t="inlineStr">
        <is>
          <t>SCM</t>
        </is>
      </c>
      <c r="N1627" s="33" t="n">
        <v>100</v>
      </c>
      <c r="O1627" s="33" t="inlineStr">
        <is>
          <t>Free</t>
        </is>
      </c>
      <c r="P1627" s="33" t="inlineStr">
        <is>
          <t>100 Free</t>
        </is>
      </c>
      <c r="Q1627" s="33" t="inlineStr">
        <is>
          <t>SCM_100_FREE</t>
        </is>
      </c>
      <c r="R1627" s="36" t="n">
        <v>45.16</v>
      </c>
      <c r="S1627" s="35">
        <f>IF(R1627="","",IF(R1627&gt;=60,INT(R1627/60)&amp;":"&amp;TEXT(MOD(R1627,60),"00.00"),TEXT(R1627,"0.00")))</f>
        <v/>
      </c>
      <c r="T1627" s="52">
        <f>IFERROR((G1627-INDEX('01_Swimmers'!$E$5:$E$22,MATCH(B1627,'01_Swimmers'!$A$5:$A$22,0)))/'00_Control'!$B$10,"")</f>
        <v/>
      </c>
      <c r="U1627" s="35">
        <f>IF(T1627="","",INT(T1627))</f>
        <v/>
      </c>
      <c r="V1627" s="33" t="inlineStr">
        <is>
          <t>NO</t>
        </is>
      </c>
      <c r="W1627" s="33" t="inlineStr">
        <is>
          <t>YES</t>
        </is>
      </c>
      <c r="X1627" s="33" t="inlineStr">
        <is>
          <t>NO</t>
        </is>
      </c>
      <c r="Y1627" s="33" t="n">
        <v>1</v>
      </c>
      <c r="Z1627" s="33" t="n">
        <v>3</v>
      </c>
      <c r="AA1627" s="33" t="inlineStr">
        <is>
          <t>1</t>
        </is>
      </c>
      <c r="AB1627" s="33" t="inlineStr">
        <is>
          <t>https://www.swimcloud.com/results/234877/event/14/?id=91592291#time91592291</t>
        </is>
      </c>
      <c r="AC1627" s="33" t="inlineStr">
        <is>
          <t>SwimCloud API v6 2026-10-08</t>
        </is>
      </c>
      <c r="AD1627" s="33" t="inlineStr">
        <is>
          <t>Kyle Chalmers|2022-12-15|SCM|100|Free|45.16|16th FINA World Short Course Championships|FIN|False</t>
        </is>
      </c>
      <c r="AE1627" s="53">
        <f>G1627+L1627/1000+ROW()/1000000000</f>
        <v/>
      </c>
      <c r="AF1627" s="35">
        <f>IF(C1627&lt;&gt;"Grayson Coulter","",COUNTIFS($C$5:$C$2991,"Grayson Coulter",$Q$5:$Q$2991,Q1627,$AE$5:$AE$2991,"&lt;="&amp;AE1627,$R$5:$R$2991,"&lt;"&amp;R1627))</f>
        <v/>
      </c>
      <c r="AG1627" s="35">
        <f>IF(OR(C1627&lt;&gt;"Grayson Coulter",G1627&lt;'00_Control'!$B$7),"",--(AF1627&lt;5))</f>
        <v/>
      </c>
      <c r="AH1627" s="35">
        <f>IF(OR(C1627&lt;&gt;"Grayson Coulter",G1627&lt;'00_Control'!$B$7),"",--(AF1627&lt;10))</f>
        <v/>
      </c>
      <c r="AI1627" s="35">
        <f>IF(AND(C1627="Grayson Coulter",G1627&gt;='00_Control'!$B$7),"YES","NO")</f>
        <v/>
      </c>
      <c r="AJ1627" s="33" t="inlineStr">
        <is>
          <t>OK</t>
        </is>
      </c>
    </row>
    <row r="1628">
      <c r="A1628" s="33" t="inlineStr">
        <is>
          <t>SM001624</t>
        </is>
      </c>
      <c r="B1628" s="33" t="inlineStr">
        <is>
          <t>SW011</t>
        </is>
      </c>
      <c r="C1628" s="33" t="inlineStr">
        <is>
          <t>Kyle Chalmers</t>
        </is>
      </c>
      <c r="D1628" s="33" t="inlineStr">
        <is>
          <t>SwimCloud</t>
        </is>
      </c>
      <c r="E1628" s="33" t="inlineStr">
        <is>
          <t>419989</t>
        </is>
      </c>
      <c r="F1628" s="33" t="inlineStr">
        <is>
          <t>100035304</t>
        </is>
      </c>
      <c r="G1628" s="51" t="n">
        <v>44995</v>
      </c>
      <c r="H1628" s="33" t="inlineStr">
        <is>
          <t>NSW State Open Championships</t>
        </is>
      </c>
      <c r="I1628" s="33" t="inlineStr">
        <is>
          <t>255526</t>
        </is>
      </c>
      <c r="J1628" s="33" t="inlineStr"/>
      <c r="K1628" s="33" t="inlineStr">
        <is>
          <t>PRE</t>
        </is>
      </c>
      <c r="L1628" s="35">
        <f>IF(K1628="FIN",3,IF(OR(K1628="SEM",K1628="SEMI"),2,IF(OR(K1628="PRE",K1628="HEAT"),1,IF(V1628="YES",4,2))))</f>
        <v/>
      </c>
      <c r="M1628" s="33" t="inlineStr">
        <is>
          <t>LCM</t>
        </is>
      </c>
      <c r="N1628" s="33" t="n">
        <v>100</v>
      </c>
      <c r="O1628" s="33" t="inlineStr">
        <is>
          <t>Free</t>
        </is>
      </c>
      <c r="P1628" s="33" t="inlineStr">
        <is>
          <t>100 Free</t>
        </is>
      </c>
      <c r="Q1628" s="33" t="inlineStr">
        <is>
          <t>LCM_100_FREE</t>
        </is>
      </c>
      <c r="R1628" s="36" t="n">
        <v>48.09</v>
      </c>
      <c r="S1628" s="35">
        <f>IF(R1628="","",IF(R1628&gt;=60,INT(R1628/60)&amp;":"&amp;TEXT(MOD(R1628,60),"00.00"),TEXT(R1628,"0.00")))</f>
        <v/>
      </c>
      <c r="T1628" s="52">
        <f>IFERROR((G1628-INDEX('01_Swimmers'!$E$5:$E$22,MATCH(B1628,'01_Swimmers'!$A$5:$A$22,0)))/'00_Control'!$B$10,"")</f>
        <v/>
      </c>
      <c r="U1628" s="35">
        <f>IF(T1628="","",INT(T1628))</f>
        <v/>
      </c>
      <c r="V1628" s="33" t="inlineStr">
        <is>
          <t>NO</t>
        </is>
      </c>
      <c r="W1628" s="33" t="inlineStr">
        <is>
          <t>YES</t>
        </is>
      </c>
      <c r="X1628" s="33" t="inlineStr">
        <is>
          <t>NO</t>
        </is>
      </c>
      <c r="Y1628" s="33" t="n">
        <v>1</v>
      </c>
      <c r="Z1628" s="33" t="n">
        <v>1</v>
      </c>
      <c r="AA1628" s="33" t="inlineStr">
        <is>
          <t>1</t>
        </is>
      </c>
      <c r="AB1628" s="33" t="inlineStr">
        <is>
          <t>https://www.swimcloud.com/results/255526/event/4/?id=100035304#time100035304</t>
        </is>
      </c>
      <c r="AC1628" s="33" t="inlineStr">
        <is>
          <t>SwimCloud API v6 2026-10-08</t>
        </is>
      </c>
      <c r="AD1628" s="33" t="inlineStr">
        <is>
          <t>Kyle Chalmers|2023-03-10|LCM|100|Free|48.09|NSW State Open Championships|PRE|False</t>
        </is>
      </c>
      <c r="AE1628" s="53">
        <f>G1628+L1628/1000+ROW()/1000000000</f>
        <v/>
      </c>
      <c r="AF1628" s="35">
        <f>IF(C1628&lt;&gt;"Grayson Coulter","",COUNTIFS($C$5:$C$2991,"Grayson Coulter",$Q$5:$Q$2991,Q1628,$AE$5:$AE$2991,"&lt;="&amp;AE1628,$R$5:$R$2991,"&lt;"&amp;R1628))</f>
        <v/>
      </c>
      <c r="AG1628" s="35">
        <f>IF(OR(C1628&lt;&gt;"Grayson Coulter",G1628&lt;'00_Control'!$B$7),"",--(AF1628&lt;5))</f>
        <v/>
      </c>
      <c r="AH1628" s="35">
        <f>IF(OR(C1628&lt;&gt;"Grayson Coulter",G1628&lt;'00_Control'!$B$7),"",--(AF1628&lt;10))</f>
        <v/>
      </c>
      <c r="AI1628" s="35">
        <f>IF(AND(C1628="Grayson Coulter",G1628&gt;='00_Control'!$B$7),"YES","NO")</f>
        <v/>
      </c>
      <c r="AJ1628" s="33" t="inlineStr">
        <is>
          <t>OK</t>
        </is>
      </c>
    </row>
    <row r="1629">
      <c r="A1629" s="33" t="inlineStr">
        <is>
          <t>SM001625</t>
        </is>
      </c>
      <c r="B1629" s="33" t="inlineStr">
        <is>
          <t>SW011</t>
        </is>
      </c>
      <c r="C1629" s="33" t="inlineStr">
        <is>
          <t>Kyle Chalmers</t>
        </is>
      </c>
      <c r="D1629" s="33" t="inlineStr">
        <is>
          <t>SwimCloud</t>
        </is>
      </c>
      <c r="E1629" s="33" t="inlineStr">
        <is>
          <t>419989</t>
        </is>
      </c>
      <c r="F1629" s="33" t="inlineStr">
        <is>
          <t>118948335</t>
        </is>
      </c>
      <c r="G1629" s="51" t="n">
        <v>45034</v>
      </c>
      <c r="H1629" s="33" t="inlineStr">
        <is>
          <t>Australian Championships</t>
        </is>
      </c>
      <c r="I1629" s="33" t="inlineStr">
        <is>
          <t>255523</t>
        </is>
      </c>
      <c r="J1629" s="33" t="inlineStr"/>
      <c r="K1629" s="33" t="inlineStr">
        <is>
          <t>PRE</t>
        </is>
      </c>
      <c r="L1629" s="35">
        <f>IF(K1629="FIN",3,IF(OR(K1629="SEM",K1629="SEMI"),2,IF(OR(K1629="PRE",K1629="HEAT"),1,IF(V1629="YES",4,2))))</f>
        <v/>
      </c>
      <c r="M1629" s="33" t="inlineStr">
        <is>
          <t>LCM</t>
        </is>
      </c>
      <c r="N1629" s="33" t="n">
        <v>200</v>
      </c>
      <c r="O1629" s="33" t="inlineStr">
        <is>
          <t>Free</t>
        </is>
      </c>
      <c r="P1629" s="33" t="inlineStr">
        <is>
          <t>200 Free</t>
        </is>
      </c>
      <c r="Q1629" s="33" t="inlineStr">
        <is>
          <t>LCM_200_FREE</t>
        </is>
      </c>
      <c r="R1629" s="36" t="n">
        <v>107.39</v>
      </c>
      <c r="S1629" s="35">
        <f>IF(R1629="","",IF(R1629&gt;=60,INT(R1629/60)&amp;":"&amp;TEXT(MOD(R1629,60),"00.00"),TEXT(R1629,"0.00")))</f>
        <v/>
      </c>
      <c r="T1629" s="52">
        <f>IFERROR((G1629-INDEX('01_Swimmers'!$E$5:$E$22,MATCH(B1629,'01_Swimmers'!$A$5:$A$22,0)))/'00_Control'!$B$10,"")</f>
        <v/>
      </c>
      <c r="U1629" s="35">
        <f>IF(T1629="","",INT(T1629))</f>
        <v/>
      </c>
      <c r="V1629" s="33" t="inlineStr">
        <is>
          <t>NO</t>
        </is>
      </c>
      <c r="W1629" s="33" t="inlineStr">
        <is>
          <t>YES</t>
        </is>
      </c>
      <c r="X1629" s="33" t="inlineStr">
        <is>
          <t>NO</t>
        </is>
      </c>
      <c r="Y1629" s="33" t="n">
        <v>1</v>
      </c>
      <c r="Z1629" s="33" t="n">
        <v>4</v>
      </c>
      <c r="AA1629" s="33" t="inlineStr">
        <is>
          <t>2</t>
        </is>
      </c>
      <c r="AB1629" s="33" t="inlineStr">
        <is>
          <t>https://www.swimcloud.com/results/255523/event/19/?id=118948335#time118948335</t>
        </is>
      </c>
      <c r="AC1629" s="33" t="inlineStr">
        <is>
          <t>SwimCloud API v6 2026-10-08</t>
        </is>
      </c>
      <c r="AD1629" s="33" t="inlineStr">
        <is>
          <t>Kyle Chalmers|2023-04-18|LCM|200|Free|107.39|Australian Championships|PRE|False</t>
        </is>
      </c>
      <c r="AE1629" s="53">
        <f>G1629+L1629/1000+ROW()/1000000000</f>
        <v/>
      </c>
      <c r="AF1629" s="35">
        <f>IF(C1629&lt;&gt;"Grayson Coulter","",COUNTIFS($C$5:$C$2991,"Grayson Coulter",$Q$5:$Q$2991,Q1629,$AE$5:$AE$2991,"&lt;="&amp;AE1629,$R$5:$R$2991,"&lt;"&amp;R1629))</f>
        <v/>
      </c>
      <c r="AG1629" s="35">
        <f>IF(OR(C1629&lt;&gt;"Grayson Coulter",G1629&lt;'00_Control'!$B$7),"",--(AF1629&lt;5))</f>
        <v/>
      </c>
      <c r="AH1629" s="35">
        <f>IF(OR(C1629&lt;&gt;"Grayson Coulter",G1629&lt;'00_Control'!$B$7),"",--(AF1629&lt;10))</f>
        <v/>
      </c>
      <c r="AI1629" s="35">
        <f>IF(AND(C1629="Grayson Coulter",G1629&gt;='00_Control'!$B$7),"YES","NO")</f>
        <v/>
      </c>
      <c r="AJ1629" s="33" t="inlineStr">
        <is>
          <t>OK</t>
        </is>
      </c>
    </row>
    <row r="1630">
      <c r="A1630" s="33" t="inlineStr">
        <is>
          <t>SM001626</t>
        </is>
      </c>
      <c r="B1630" s="33" t="inlineStr">
        <is>
          <t>SW011</t>
        </is>
      </c>
      <c r="C1630" s="33" t="inlineStr">
        <is>
          <t>Kyle Chalmers</t>
        </is>
      </c>
      <c r="D1630" s="33" t="inlineStr">
        <is>
          <t>SwimCloud</t>
        </is>
      </c>
      <c r="E1630" s="33" t="inlineStr">
        <is>
          <t>419989</t>
        </is>
      </c>
      <c r="F1630" s="33" t="inlineStr">
        <is>
          <t>118948439</t>
        </is>
      </c>
      <c r="G1630" s="51" t="n">
        <v>45035</v>
      </c>
      <c r="H1630" s="33" t="inlineStr">
        <is>
          <t>Australian Championships</t>
        </is>
      </c>
      <c r="I1630" s="33" t="inlineStr">
        <is>
          <t>255523</t>
        </is>
      </c>
      <c r="J1630" s="33" t="inlineStr"/>
      <c r="K1630" s="33" t="inlineStr">
        <is>
          <t>PRE</t>
        </is>
      </c>
      <c r="L1630" s="35">
        <f>IF(K1630="FIN",3,IF(OR(K1630="SEM",K1630="SEMI"),2,IF(OR(K1630="PRE",K1630="HEAT"),1,IF(V1630="YES",4,2))))</f>
        <v/>
      </c>
      <c r="M1630" s="33" t="inlineStr">
        <is>
          <t>LCM</t>
        </is>
      </c>
      <c r="N1630" s="33" t="n">
        <v>100</v>
      </c>
      <c r="O1630" s="33" t="inlineStr">
        <is>
          <t>Fly</t>
        </is>
      </c>
      <c r="P1630" s="33" t="inlineStr">
        <is>
          <t>100 Fly</t>
        </is>
      </c>
      <c r="Q1630" s="33" t="inlineStr">
        <is>
          <t>LCM_100_FLY</t>
        </is>
      </c>
      <c r="R1630" s="36" t="n">
        <v>52.69</v>
      </c>
      <c r="S1630" s="35">
        <f>IF(R1630="","",IF(R1630&gt;=60,INT(R1630/60)&amp;":"&amp;TEXT(MOD(R1630,60),"00.00"),TEXT(R1630,"0.00")))</f>
        <v/>
      </c>
      <c r="T1630" s="52">
        <f>IFERROR((G1630-INDEX('01_Swimmers'!$E$5:$E$22,MATCH(B1630,'01_Swimmers'!$A$5:$A$22,0)))/'00_Control'!$B$10,"")</f>
        <v/>
      </c>
      <c r="U1630" s="35">
        <f>IF(T1630="","",INT(T1630))</f>
        <v/>
      </c>
      <c r="V1630" s="33" t="inlineStr">
        <is>
          <t>NO</t>
        </is>
      </c>
      <c r="W1630" s="33" t="inlineStr">
        <is>
          <t>YES</t>
        </is>
      </c>
      <c r="X1630" s="33" t="inlineStr">
        <is>
          <t>NO</t>
        </is>
      </c>
      <c r="Y1630" s="33" t="n">
        <v>1</v>
      </c>
      <c r="Z1630" s="33" t="n">
        <v>5</v>
      </c>
      <c r="AA1630" s="33" t="inlineStr">
        <is>
          <t>4</t>
        </is>
      </c>
      <c r="AB1630" s="33" t="inlineStr">
        <is>
          <t>https://www.swimcloud.com/results/255523/event/39/?id=118948439#time118948439</t>
        </is>
      </c>
      <c r="AC1630" s="33" t="inlineStr">
        <is>
          <t>SwimCloud API v6 2026-10-08</t>
        </is>
      </c>
      <c r="AD1630" s="33" t="inlineStr">
        <is>
          <t>Kyle Chalmers|2023-04-19|LCM|100|Fly|52.69|Australian Championships|PRE|False</t>
        </is>
      </c>
      <c r="AE1630" s="53">
        <f>G1630+L1630/1000+ROW()/1000000000</f>
        <v/>
      </c>
      <c r="AF1630" s="35">
        <f>IF(C1630&lt;&gt;"Grayson Coulter","",COUNTIFS($C$5:$C$2991,"Grayson Coulter",$Q$5:$Q$2991,Q1630,$AE$5:$AE$2991,"&lt;="&amp;AE1630,$R$5:$R$2991,"&lt;"&amp;R1630))</f>
        <v/>
      </c>
      <c r="AG1630" s="35">
        <f>IF(OR(C1630&lt;&gt;"Grayson Coulter",G1630&lt;'00_Control'!$B$7),"",--(AF1630&lt;5))</f>
        <v/>
      </c>
      <c r="AH1630" s="35">
        <f>IF(OR(C1630&lt;&gt;"Grayson Coulter",G1630&lt;'00_Control'!$B$7),"",--(AF1630&lt;10))</f>
        <v/>
      </c>
      <c r="AI1630" s="35">
        <f>IF(AND(C1630="Grayson Coulter",G1630&gt;='00_Control'!$B$7),"YES","NO")</f>
        <v/>
      </c>
      <c r="AJ1630" s="33" t="inlineStr">
        <is>
          <t>OK</t>
        </is>
      </c>
    </row>
    <row r="1631">
      <c r="A1631" s="33" t="inlineStr">
        <is>
          <t>SM001627</t>
        </is>
      </c>
      <c r="B1631" s="33" t="inlineStr">
        <is>
          <t>SW011</t>
        </is>
      </c>
      <c r="C1631" s="33" t="inlineStr">
        <is>
          <t>Kyle Chalmers</t>
        </is>
      </c>
      <c r="D1631" s="33" t="inlineStr">
        <is>
          <t>SwimCloud</t>
        </is>
      </c>
      <c r="E1631" s="33" t="inlineStr">
        <is>
          <t>419989</t>
        </is>
      </c>
      <c r="F1631" s="33" t="inlineStr">
        <is>
          <t>118948440</t>
        </is>
      </c>
      <c r="G1631" s="51" t="n">
        <v>45035</v>
      </c>
      <c r="H1631" s="33" t="inlineStr">
        <is>
          <t>Australian Championships</t>
        </is>
      </c>
      <c r="I1631" s="33" t="inlineStr">
        <is>
          <t>255523</t>
        </is>
      </c>
      <c r="J1631" s="33" t="inlineStr"/>
      <c r="K1631" s="33" t="inlineStr">
        <is>
          <t>FIN</t>
        </is>
      </c>
      <c r="L1631" s="35">
        <f>IF(K1631="FIN",3,IF(OR(K1631="SEM",K1631="SEMI"),2,IF(OR(K1631="PRE",K1631="HEAT"),1,IF(V1631="YES",4,2))))</f>
        <v/>
      </c>
      <c r="M1631" s="33" t="inlineStr">
        <is>
          <t>LCM</t>
        </is>
      </c>
      <c r="N1631" s="33" t="n">
        <v>100</v>
      </c>
      <c r="O1631" s="33" t="inlineStr">
        <is>
          <t>Fly</t>
        </is>
      </c>
      <c r="P1631" s="33" t="inlineStr">
        <is>
          <t>100 Fly</t>
        </is>
      </c>
      <c r="Q1631" s="33" t="inlineStr">
        <is>
          <t>LCM_100_FLY</t>
        </is>
      </c>
      <c r="R1631" s="36" t="n">
        <v>52.09</v>
      </c>
      <c r="S1631" s="35">
        <f>IF(R1631="","",IF(R1631&gt;=60,INT(R1631/60)&amp;":"&amp;TEXT(MOD(R1631,60),"00.00"),TEXT(R1631,"0.00")))</f>
        <v/>
      </c>
      <c r="T1631" s="52">
        <f>IFERROR((G1631-INDEX('01_Swimmers'!$E$5:$E$22,MATCH(B1631,'01_Swimmers'!$A$5:$A$22,0)))/'00_Control'!$B$10,"")</f>
        <v/>
      </c>
      <c r="U1631" s="35">
        <f>IF(T1631="","",INT(T1631))</f>
        <v/>
      </c>
      <c r="V1631" s="33" t="inlineStr">
        <is>
          <t>NO</t>
        </is>
      </c>
      <c r="W1631" s="33" t="inlineStr">
        <is>
          <t>YES</t>
        </is>
      </c>
      <c r="X1631" s="33" t="inlineStr">
        <is>
          <t>NO</t>
        </is>
      </c>
      <c r="Y1631" s="33" t="n">
        <v>1</v>
      </c>
      <c r="Z1631" s="33" t="n">
        <v>6</v>
      </c>
      <c r="AA1631" s="33" t="inlineStr">
        <is>
          <t>4</t>
        </is>
      </c>
      <c r="AB1631" s="33" t="inlineStr">
        <is>
          <t>https://www.swimcloud.com/results/255523/event/39/?id=118948440#time118948440</t>
        </is>
      </c>
      <c r="AC1631" s="33" t="inlineStr">
        <is>
          <t>SwimCloud API v6 2026-10-08</t>
        </is>
      </c>
      <c r="AD1631" s="33" t="inlineStr">
        <is>
          <t>Kyle Chalmers|2023-04-19|LCM|100|Fly|52.09|Australian Championships|FIN|False</t>
        </is>
      </c>
      <c r="AE1631" s="53">
        <f>G1631+L1631/1000+ROW()/1000000000</f>
        <v/>
      </c>
      <c r="AF1631" s="35">
        <f>IF(C1631&lt;&gt;"Grayson Coulter","",COUNTIFS($C$5:$C$2991,"Grayson Coulter",$Q$5:$Q$2991,Q1631,$AE$5:$AE$2991,"&lt;="&amp;AE1631,$R$5:$R$2991,"&lt;"&amp;R1631))</f>
        <v/>
      </c>
      <c r="AG1631" s="35">
        <f>IF(OR(C1631&lt;&gt;"Grayson Coulter",G1631&lt;'00_Control'!$B$7),"",--(AF1631&lt;5))</f>
        <v/>
      </c>
      <c r="AH1631" s="35">
        <f>IF(OR(C1631&lt;&gt;"Grayson Coulter",G1631&lt;'00_Control'!$B$7),"",--(AF1631&lt;10))</f>
        <v/>
      </c>
      <c r="AI1631" s="35">
        <f>IF(AND(C1631="Grayson Coulter",G1631&gt;='00_Control'!$B$7),"YES","NO")</f>
        <v/>
      </c>
      <c r="AJ1631" s="33" t="inlineStr">
        <is>
          <t>OK</t>
        </is>
      </c>
    </row>
    <row r="1632">
      <c r="A1632" s="33" t="inlineStr">
        <is>
          <t>SM001628</t>
        </is>
      </c>
      <c r="B1632" s="33" t="inlineStr">
        <is>
          <t>SW011</t>
        </is>
      </c>
      <c r="C1632" s="33" t="inlineStr">
        <is>
          <t>Kyle Chalmers</t>
        </is>
      </c>
      <c r="D1632" s="33" t="inlineStr">
        <is>
          <t>SwimCloud</t>
        </is>
      </c>
      <c r="E1632" s="33" t="inlineStr">
        <is>
          <t>419989</t>
        </is>
      </c>
      <c r="F1632" s="33" t="inlineStr">
        <is>
          <t>118948528</t>
        </is>
      </c>
      <c r="G1632" s="51" t="n">
        <v>45036</v>
      </c>
      <c r="H1632" s="33" t="inlineStr">
        <is>
          <t>Australian Championships</t>
        </is>
      </c>
      <c r="I1632" s="33" t="inlineStr">
        <is>
          <t>255523</t>
        </is>
      </c>
      <c r="J1632" s="33" t="inlineStr"/>
      <c r="K1632" s="33" t="inlineStr">
        <is>
          <t>PRE</t>
        </is>
      </c>
      <c r="L1632" s="35">
        <f>IF(K1632="FIN",3,IF(OR(K1632="SEM",K1632="SEMI"),2,IF(OR(K1632="PRE",K1632="HEAT"),1,IF(V1632="YES",4,2))))</f>
        <v/>
      </c>
      <c r="M1632" s="33" t="inlineStr">
        <is>
          <t>LCM</t>
        </is>
      </c>
      <c r="N1632" s="33" t="n">
        <v>100</v>
      </c>
      <c r="O1632" s="33" t="inlineStr">
        <is>
          <t>Free</t>
        </is>
      </c>
      <c r="P1632" s="33" t="inlineStr">
        <is>
          <t>100 Free</t>
        </is>
      </c>
      <c r="Q1632" s="33" t="inlineStr">
        <is>
          <t>LCM_100_FREE</t>
        </is>
      </c>
      <c r="R1632" s="36" t="n">
        <v>49.15</v>
      </c>
      <c r="S1632" s="35">
        <f>IF(R1632="","",IF(R1632&gt;=60,INT(R1632/60)&amp;":"&amp;TEXT(MOD(R1632,60),"00.00"),TEXT(R1632,"0.00")))</f>
        <v/>
      </c>
      <c r="T1632" s="52">
        <f>IFERROR((G1632-INDEX('01_Swimmers'!$E$5:$E$22,MATCH(B1632,'01_Swimmers'!$A$5:$A$22,0)))/'00_Control'!$B$10,"")</f>
        <v/>
      </c>
      <c r="U1632" s="35">
        <f>IF(T1632="","",INT(T1632))</f>
        <v/>
      </c>
      <c r="V1632" s="33" t="inlineStr">
        <is>
          <t>NO</t>
        </is>
      </c>
      <c r="W1632" s="33" t="inlineStr">
        <is>
          <t>YES</t>
        </is>
      </c>
      <c r="X1632" s="33" t="inlineStr">
        <is>
          <t>NO</t>
        </is>
      </c>
      <c r="Y1632" s="33" t="n">
        <v>1</v>
      </c>
      <c r="Z1632" s="33" t="n">
        <v>4</v>
      </c>
      <c r="AA1632" s="33" t="inlineStr">
        <is>
          <t>5</t>
        </is>
      </c>
      <c r="AB1632" s="33" t="inlineStr">
        <is>
          <t>https://www.swimcloud.com/results/255523/event/51/?id=118948528#time118948528</t>
        </is>
      </c>
      <c r="AC1632" s="33" t="inlineStr">
        <is>
          <t>SwimCloud API v6 2026-10-08</t>
        </is>
      </c>
      <c r="AD1632" s="33" t="inlineStr">
        <is>
          <t>Kyle Chalmers|2023-04-20|LCM|100|Free|49.15|Australian Championships|PRE|False</t>
        </is>
      </c>
      <c r="AE1632" s="53">
        <f>G1632+L1632/1000+ROW()/1000000000</f>
        <v/>
      </c>
      <c r="AF1632" s="35">
        <f>IF(C1632&lt;&gt;"Grayson Coulter","",COUNTIFS($C$5:$C$2991,"Grayson Coulter",$Q$5:$Q$2991,Q1632,$AE$5:$AE$2991,"&lt;="&amp;AE1632,$R$5:$R$2991,"&lt;"&amp;R1632))</f>
        <v/>
      </c>
      <c r="AG1632" s="35">
        <f>IF(OR(C1632&lt;&gt;"Grayson Coulter",G1632&lt;'00_Control'!$B$7),"",--(AF1632&lt;5))</f>
        <v/>
      </c>
      <c r="AH1632" s="35">
        <f>IF(OR(C1632&lt;&gt;"Grayson Coulter",G1632&lt;'00_Control'!$B$7),"",--(AF1632&lt;10))</f>
        <v/>
      </c>
      <c r="AI1632" s="35">
        <f>IF(AND(C1632="Grayson Coulter",G1632&gt;='00_Control'!$B$7),"YES","NO")</f>
        <v/>
      </c>
      <c r="AJ1632" s="33" t="inlineStr">
        <is>
          <t>OK</t>
        </is>
      </c>
    </row>
    <row r="1633">
      <c r="A1633" s="33" t="inlineStr">
        <is>
          <t>SM001629</t>
        </is>
      </c>
      <c r="B1633" s="33" t="inlineStr">
        <is>
          <t>SW011</t>
        </is>
      </c>
      <c r="C1633" s="33" t="inlineStr">
        <is>
          <t>Kyle Chalmers</t>
        </is>
      </c>
      <c r="D1633" s="33" t="inlineStr">
        <is>
          <t>SwimCloud</t>
        </is>
      </c>
      <c r="E1633" s="33" t="inlineStr">
        <is>
          <t>419989</t>
        </is>
      </c>
      <c r="F1633" s="33" t="inlineStr">
        <is>
          <t>118948529</t>
        </is>
      </c>
      <c r="G1633" s="51" t="n">
        <v>45036</v>
      </c>
      <c r="H1633" s="33" t="inlineStr">
        <is>
          <t>Australian Championships</t>
        </is>
      </c>
      <c r="I1633" s="33" t="inlineStr">
        <is>
          <t>255523</t>
        </is>
      </c>
      <c r="J1633" s="33" t="inlineStr"/>
      <c r="K1633" s="33" t="inlineStr">
        <is>
          <t>FIN</t>
        </is>
      </c>
      <c r="L1633" s="35">
        <f>IF(K1633="FIN",3,IF(OR(K1633="SEM",K1633="SEMI"),2,IF(OR(K1633="PRE",K1633="HEAT"),1,IF(V1633="YES",4,2))))</f>
        <v/>
      </c>
      <c r="M1633" s="33" t="inlineStr">
        <is>
          <t>LCM</t>
        </is>
      </c>
      <c r="N1633" s="33" t="n">
        <v>100</v>
      </c>
      <c r="O1633" s="33" t="inlineStr">
        <is>
          <t>Free</t>
        </is>
      </c>
      <c r="P1633" s="33" t="inlineStr">
        <is>
          <t>100 Free</t>
        </is>
      </c>
      <c r="Q1633" s="33" t="inlineStr">
        <is>
          <t>LCM_100_FREE</t>
        </is>
      </c>
      <c r="R1633" s="36" t="n">
        <v>48</v>
      </c>
      <c r="S1633" s="35">
        <f>IF(R1633="","",IF(R1633&gt;=60,INT(R1633/60)&amp;":"&amp;TEXT(MOD(R1633,60),"00.00"),TEXT(R1633,"0.00")))</f>
        <v/>
      </c>
      <c r="T1633" s="52">
        <f>IFERROR((G1633-INDEX('01_Swimmers'!$E$5:$E$22,MATCH(B1633,'01_Swimmers'!$A$5:$A$22,0)))/'00_Control'!$B$10,"")</f>
        <v/>
      </c>
      <c r="U1633" s="35">
        <f>IF(T1633="","",INT(T1633))</f>
        <v/>
      </c>
      <c r="V1633" s="33" t="inlineStr">
        <is>
          <t>NO</t>
        </is>
      </c>
      <c r="W1633" s="33" t="inlineStr">
        <is>
          <t>YES</t>
        </is>
      </c>
      <c r="X1633" s="33" t="inlineStr">
        <is>
          <t>NO</t>
        </is>
      </c>
      <c r="Y1633" s="33" t="n">
        <v>1</v>
      </c>
      <c r="Z1633" s="33" t="n">
        <v>2</v>
      </c>
      <c r="AA1633" s="33" t="inlineStr">
        <is>
          <t>1</t>
        </is>
      </c>
      <c r="AB1633" s="33" t="inlineStr">
        <is>
          <t>https://www.swimcloud.com/results/255523/event/51/?id=118948529#time118948529</t>
        </is>
      </c>
      <c r="AC1633" s="33" t="inlineStr">
        <is>
          <t>SwimCloud API v6 2026-10-08</t>
        </is>
      </c>
      <c r="AD1633" s="33" t="inlineStr">
        <is>
          <t>Kyle Chalmers|2023-04-20|LCM|100|Free|48.0|Australian Championships|FIN|False</t>
        </is>
      </c>
      <c r="AE1633" s="53">
        <f>G1633+L1633/1000+ROW()/1000000000</f>
        <v/>
      </c>
      <c r="AF1633" s="35">
        <f>IF(C1633&lt;&gt;"Grayson Coulter","",COUNTIFS($C$5:$C$2991,"Grayson Coulter",$Q$5:$Q$2991,Q1633,$AE$5:$AE$2991,"&lt;="&amp;AE1633,$R$5:$R$2991,"&lt;"&amp;R1633))</f>
        <v/>
      </c>
      <c r="AG1633" s="35">
        <f>IF(OR(C1633&lt;&gt;"Grayson Coulter",G1633&lt;'00_Control'!$B$7),"",--(AF1633&lt;5))</f>
        <v/>
      </c>
      <c r="AH1633" s="35">
        <f>IF(OR(C1633&lt;&gt;"Grayson Coulter",G1633&lt;'00_Control'!$B$7),"",--(AF1633&lt;10))</f>
        <v/>
      </c>
      <c r="AI1633" s="35">
        <f>IF(AND(C1633="Grayson Coulter",G1633&gt;='00_Control'!$B$7),"YES","NO")</f>
        <v/>
      </c>
      <c r="AJ1633" s="33" t="inlineStr">
        <is>
          <t>OK</t>
        </is>
      </c>
    </row>
    <row r="1634">
      <c r="A1634" s="33" t="inlineStr">
        <is>
          <t>SM001630</t>
        </is>
      </c>
      <c r="B1634" s="33" t="inlineStr">
        <is>
          <t>SW011</t>
        </is>
      </c>
      <c r="C1634" s="33" t="inlineStr">
        <is>
          <t>Kyle Chalmers</t>
        </is>
      </c>
      <c r="D1634" s="33" t="inlineStr">
        <is>
          <t>SwimCloud</t>
        </is>
      </c>
      <c r="E1634" s="33" t="inlineStr">
        <is>
          <t>419989</t>
        </is>
      </c>
      <c r="F1634" s="33" t="inlineStr">
        <is>
          <t>119090804</t>
        </is>
      </c>
      <c r="G1634" s="51" t="n">
        <v>45091</v>
      </c>
      <c r="H1634" s="33" t="inlineStr">
        <is>
          <t>2023 Australian Swimming Trial</t>
        </is>
      </c>
      <c r="I1634" s="33" t="inlineStr">
        <is>
          <t>296581</t>
        </is>
      </c>
      <c r="J1634" s="33" t="inlineStr"/>
      <c r="K1634" s="33" t="inlineStr">
        <is>
          <t>PRE</t>
        </is>
      </c>
      <c r="L1634" s="35">
        <f>IF(K1634="FIN",3,IF(OR(K1634="SEM",K1634="SEMI"),2,IF(OR(K1634="PRE",K1634="HEAT"),1,IF(V1634="YES",4,2))))</f>
        <v/>
      </c>
      <c r="M1634" s="33" t="inlineStr">
        <is>
          <t>LCM</t>
        </is>
      </c>
      <c r="N1634" s="33" t="n">
        <v>200</v>
      </c>
      <c r="O1634" s="33" t="inlineStr">
        <is>
          <t>Free</t>
        </is>
      </c>
      <c r="P1634" s="33" t="inlineStr">
        <is>
          <t>200 Free</t>
        </is>
      </c>
      <c r="Q1634" s="33" t="inlineStr">
        <is>
          <t>LCM_200_FREE</t>
        </is>
      </c>
      <c r="R1634" s="36" t="n">
        <v>106.97</v>
      </c>
      <c r="S1634" s="35">
        <f>IF(R1634="","",IF(R1634&gt;=60,INT(R1634/60)&amp;":"&amp;TEXT(MOD(R1634,60),"00.00"),TEXT(R1634,"0.00")))</f>
        <v/>
      </c>
      <c r="T1634" s="52">
        <f>IFERROR((G1634-INDEX('01_Swimmers'!$E$5:$E$22,MATCH(B1634,'01_Swimmers'!$A$5:$A$22,0)))/'00_Control'!$B$10,"")</f>
        <v/>
      </c>
      <c r="U1634" s="35">
        <f>IF(T1634="","",INT(T1634))</f>
        <v/>
      </c>
      <c r="V1634" s="33" t="inlineStr">
        <is>
          <t>NO</t>
        </is>
      </c>
      <c r="W1634" s="33" t="inlineStr">
        <is>
          <t>YES</t>
        </is>
      </c>
      <c r="X1634" s="33" t="inlineStr">
        <is>
          <t>NO</t>
        </is>
      </c>
      <c r="Y1634" s="33" t="n">
        <v>2</v>
      </c>
      <c r="Z1634" s="33" t="n">
        <v>4</v>
      </c>
      <c r="AA1634" s="33" t="inlineStr">
        <is>
          <t>1</t>
        </is>
      </c>
      <c r="AB1634" s="33" t="inlineStr">
        <is>
          <t>https://www.swimcloud.com/results/296581/event/8/?id=119090804#time119090804</t>
        </is>
      </c>
      <c r="AC1634" s="33" t="inlineStr">
        <is>
          <t>SwimCloud API v6 2026-10-08</t>
        </is>
      </c>
      <c r="AD1634" s="33" t="inlineStr">
        <is>
          <t>Kyle Chalmers|2023-06-14|LCM|200|Free|106.97|2023 Australian Swimming Trial|PRE|False</t>
        </is>
      </c>
      <c r="AE1634" s="53">
        <f>G1634+L1634/1000+ROW()/1000000000</f>
        <v/>
      </c>
      <c r="AF1634" s="35">
        <f>IF(C1634&lt;&gt;"Grayson Coulter","",COUNTIFS($C$5:$C$2991,"Grayson Coulter",$Q$5:$Q$2991,Q1634,$AE$5:$AE$2991,"&lt;="&amp;AE1634,$R$5:$R$2991,"&lt;"&amp;R1634))</f>
        <v/>
      </c>
      <c r="AG1634" s="35">
        <f>IF(OR(C1634&lt;&gt;"Grayson Coulter",G1634&lt;'00_Control'!$B$7),"",--(AF1634&lt;5))</f>
        <v/>
      </c>
      <c r="AH1634" s="35">
        <f>IF(OR(C1634&lt;&gt;"Grayson Coulter",G1634&lt;'00_Control'!$B$7),"",--(AF1634&lt;10))</f>
        <v/>
      </c>
      <c r="AI1634" s="35">
        <f>IF(AND(C1634="Grayson Coulter",G1634&gt;='00_Control'!$B$7),"YES","NO")</f>
        <v/>
      </c>
      <c r="AJ1634" s="33" t="inlineStr">
        <is>
          <t>OK</t>
        </is>
      </c>
    </row>
    <row r="1635">
      <c r="A1635" s="33" t="inlineStr">
        <is>
          <t>SM001631</t>
        </is>
      </c>
      <c r="B1635" s="33" t="inlineStr">
        <is>
          <t>SW011</t>
        </is>
      </c>
      <c r="C1635" s="33" t="inlineStr">
        <is>
          <t>Kyle Chalmers</t>
        </is>
      </c>
      <c r="D1635" s="33" t="inlineStr">
        <is>
          <t>SwimCloud</t>
        </is>
      </c>
      <c r="E1635" s="33" t="inlineStr">
        <is>
          <t>419989</t>
        </is>
      </c>
      <c r="F1635" s="33" t="inlineStr">
        <is>
          <t>119089200</t>
        </is>
      </c>
      <c r="G1635" s="51" t="n">
        <v>45093</v>
      </c>
      <c r="H1635" s="33" t="inlineStr">
        <is>
          <t>2023 Australian Swimming Trial</t>
        </is>
      </c>
      <c r="I1635" s="33" t="inlineStr">
        <is>
          <t>296581</t>
        </is>
      </c>
      <c r="J1635" s="33" t="inlineStr"/>
      <c r="K1635" s="33" t="inlineStr">
        <is>
          <t>PRE</t>
        </is>
      </c>
      <c r="L1635" s="35">
        <f>IF(K1635="FIN",3,IF(OR(K1635="SEM",K1635="SEMI"),2,IF(OR(K1635="PRE",K1635="HEAT"),1,IF(V1635="YES",4,2))))</f>
        <v/>
      </c>
      <c r="M1635" s="33" t="inlineStr">
        <is>
          <t>LCM</t>
        </is>
      </c>
      <c r="N1635" s="33" t="n">
        <v>100</v>
      </c>
      <c r="O1635" s="33" t="inlineStr">
        <is>
          <t>Free</t>
        </is>
      </c>
      <c r="P1635" s="33" t="inlineStr">
        <is>
          <t>100 Free</t>
        </is>
      </c>
      <c r="Q1635" s="33" t="inlineStr">
        <is>
          <t>LCM_100_FREE</t>
        </is>
      </c>
      <c r="R1635" s="36" t="n">
        <v>48.09</v>
      </c>
      <c r="S1635" s="35">
        <f>IF(R1635="","",IF(R1635&gt;=60,INT(R1635/60)&amp;":"&amp;TEXT(MOD(R1635,60),"00.00"),TEXT(R1635,"0.00")))</f>
        <v/>
      </c>
      <c r="T1635" s="52">
        <f>IFERROR((G1635-INDEX('01_Swimmers'!$E$5:$E$22,MATCH(B1635,'01_Swimmers'!$A$5:$A$22,0)))/'00_Control'!$B$10,"")</f>
        <v/>
      </c>
      <c r="U1635" s="35">
        <f>IF(T1635="","",INT(T1635))</f>
        <v/>
      </c>
      <c r="V1635" s="33" t="inlineStr">
        <is>
          <t>NO</t>
        </is>
      </c>
      <c r="W1635" s="33" t="inlineStr">
        <is>
          <t>YES</t>
        </is>
      </c>
      <c r="X1635" s="33" t="inlineStr">
        <is>
          <t>NO</t>
        </is>
      </c>
      <c r="Y1635" s="33" t="n">
        <v>1</v>
      </c>
      <c r="Z1635" s="33" t="n">
        <v>4</v>
      </c>
      <c r="AA1635" s="33" t="inlineStr">
        <is>
          <t>1</t>
        </is>
      </c>
      <c r="AB1635" s="33" t="inlineStr">
        <is>
          <t>https://www.swimcloud.com/results/296581/event/19/?id=119089200#time119089200</t>
        </is>
      </c>
      <c r="AC1635" s="33" t="inlineStr">
        <is>
          <t>SwimCloud API v6 2026-10-08</t>
        </is>
      </c>
      <c r="AD1635" s="33" t="inlineStr">
        <is>
          <t>Kyle Chalmers|2023-06-16|LCM|100|Free|48.09|2023 Australian Swimming Trial|PRE|False</t>
        </is>
      </c>
      <c r="AE1635" s="53">
        <f>G1635+L1635/1000+ROW()/1000000000</f>
        <v/>
      </c>
      <c r="AF1635" s="35">
        <f>IF(C1635&lt;&gt;"Grayson Coulter","",COUNTIFS($C$5:$C$2991,"Grayson Coulter",$Q$5:$Q$2991,Q1635,$AE$5:$AE$2991,"&lt;="&amp;AE1635,$R$5:$R$2991,"&lt;"&amp;R1635))</f>
        <v/>
      </c>
      <c r="AG1635" s="35">
        <f>IF(OR(C1635&lt;&gt;"Grayson Coulter",G1635&lt;'00_Control'!$B$7),"",--(AF1635&lt;5))</f>
        <v/>
      </c>
      <c r="AH1635" s="35">
        <f>IF(OR(C1635&lt;&gt;"Grayson Coulter",G1635&lt;'00_Control'!$B$7),"",--(AF1635&lt;10))</f>
        <v/>
      </c>
      <c r="AI1635" s="35">
        <f>IF(AND(C1635="Grayson Coulter",G1635&gt;='00_Control'!$B$7),"YES","NO")</f>
        <v/>
      </c>
      <c r="AJ1635" s="33" t="inlineStr">
        <is>
          <t>OK</t>
        </is>
      </c>
    </row>
    <row r="1636">
      <c r="A1636" s="33" t="inlineStr">
        <is>
          <t>SM001632</t>
        </is>
      </c>
      <c r="B1636" s="33" t="inlineStr">
        <is>
          <t>SW011</t>
        </is>
      </c>
      <c r="C1636" s="33" t="inlineStr">
        <is>
          <t>Kyle Chalmers</t>
        </is>
      </c>
      <c r="D1636" s="33" t="inlineStr">
        <is>
          <t>SwimCloud</t>
        </is>
      </c>
      <c r="E1636" s="33" t="inlineStr">
        <is>
          <t>419989</t>
        </is>
      </c>
      <c r="F1636" s="33" t="inlineStr">
        <is>
          <t>119089201</t>
        </is>
      </c>
      <c r="G1636" s="51" t="n">
        <v>45093</v>
      </c>
      <c r="H1636" s="33" t="inlineStr">
        <is>
          <t>2023 Australian Swimming Trial</t>
        </is>
      </c>
      <c r="I1636" s="33" t="inlineStr">
        <is>
          <t>296581</t>
        </is>
      </c>
      <c r="J1636" s="33" t="inlineStr"/>
      <c r="K1636" s="33" t="inlineStr">
        <is>
          <t>FIN</t>
        </is>
      </c>
      <c r="L1636" s="35">
        <f>IF(K1636="FIN",3,IF(OR(K1636="SEM",K1636="SEMI"),2,IF(OR(K1636="PRE",K1636="HEAT"),1,IF(V1636="YES",4,2))))</f>
        <v/>
      </c>
      <c r="M1636" s="33" t="inlineStr">
        <is>
          <t>LCM</t>
        </is>
      </c>
      <c r="N1636" s="33" t="n">
        <v>100</v>
      </c>
      <c r="O1636" s="33" t="inlineStr">
        <is>
          <t>Free</t>
        </is>
      </c>
      <c r="P1636" s="33" t="inlineStr">
        <is>
          <t>100 Free</t>
        </is>
      </c>
      <c r="Q1636" s="33" t="inlineStr">
        <is>
          <t>LCM_100_FREE</t>
        </is>
      </c>
      <c r="R1636" s="36" t="n">
        <v>47.44</v>
      </c>
      <c r="S1636" s="35">
        <f>IF(R1636="","",IF(R1636&gt;=60,INT(R1636/60)&amp;":"&amp;TEXT(MOD(R1636,60),"00.00"),TEXT(R1636,"0.00")))</f>
        <v/>
      </c>
      <c r="T1636" s="52">
        <f>IFERROR((G1636-INDEX('01_Swimmers'!$E$5:$E$22,MATCH(B1636,'01_Swimmers'!$A$5:$A$22,0)))/'00_Control'!$B$10,"")</f>
        <v/>
      </c>
      <c r="U1636" s="35">
        <f>IF(T1636="","",INT(T1636))</f>
        <v/>
      </c>
      <c r="V1636" s="33" t="inlineStr">
        <is>
          <t>NO</t>
        </is>
      </c>
      <c r="W1636" s="33" t="inlineStr">
        <is>
          <t>YES</t>
        </is>
      </c>
      <c r="X1636" s="33" t="inlineStr">
        <is>
          <t>NO</t>
        </is>
      </c>
      <c r="Y1636" s="33" t="n">
        <v>1</v>
      </c>
      <c r="Z1636" s="33" t="n">
        <v>4</v>
      </c>
      <c r="AA1636" s="33" t="inlineStr">
        <is>
          <t>1</t>
        </is>
      </c>
      <c r="AB1636" s="33" t="inlineStr">
        <is>
          <t>https://www.swimcloud.com/results/296581/event/19/?id=119089201#time119089201</t>
        </is>
      </c>
      <c r="AC1636" s="33" t="inlineStr">
        <is>
          <t>SwimCloud API v6 2026-10-08</t>
        </is>
      </c>
      <c r="AD1636" s="33" t="inlineStr">
        <is>
          <t>Kyle Chalmers|2023-06-16|LCM|100|Free|47.44|2023 Australian Swimming Trial|FIN|False</t>
        </is>
      </c>
      <c r="AE1636" s="53">
        <f>G1636+L1636/1000+ROW()/1000000000</f>
        <v/>
      </c>
      <c r="AF1636" s="35">
        <f>IF(C1636&lt;&gt;"Grayson Coulter","",COUNTIFS($C$5:$C$2991,"Grayson Coulter",$Q$5:$Q$2991,Q1636,$AE$5:$AE$2991,"&lt;="&amp;AE1636,$R$5:$R$2991,"&lt;"&amp;R1636))</f>
        <v/>
      </c>
      <c r="AG1636" s="35">
        <f>IF(OR(C1636&lt;&gt;"Grayson Coulter",G1636&lt;'00_Control'!$B$7),"",--(AF1636&lt;5))</f>
        <v/>
      </c>
      <c r="AH1636" s="35">
        <f>IF(OR(C1636&lt;&gt;"Grayson Coulter",G1636&lt;'00_Control'!$B$7),"",--(AF1636&lt;10))</f>
        <v/>
      </c>
      <c r="AI1636" s="35">
        <f>IF(AND(C1636="Grayson Coulter",G1636&gt;='00_Control'!$B$7),"YES","NO")</f>
        <v/>
      </c>
      <c r="AJ1636" s="33" t="inlineStr">
        <is>
          <t>OK</t>
        </is>
      </c>
    </row>
    <row r="1637">
      <c r="A1637" s="33" t="inlineStr">
        <is>
          <t>SM001633</t>
        </is>
      </c>
      <c r="B1637" s="33" t="inlineStr">
        <is>
          <t>SW011</t>
        </is>
      </c>
      <c r="C1637" s="33" t="inlineStr">
        <is>
          <t>Kyle Chalmers</t>
        </is>
      </c>
      <c r="D1637" s="33" t="inlineStr">
        <is>
          <t>SwimCloud</t>
        </is>
      </c>
      <c r="E1637" s="33" t="inlineStr">
        <is>
          <t>419989</t>
        </is>
      </c>
      <c r="F1637" s="33" t="inlineStr">
        <is>
          <t>119089284</t>
        </is>
      </c>
      <c r="G1637" s="51" t="n">
        <v>45095</v>
      </c>
      <c r="H1637" s="33" t="inlineStr">
        <is>
          <t>2023 Australian Swimming Trial</t>
        </is>
      </c>
      <c r="I1637" s="33" t="inlineStr">
        <is>
          <t>296581</t>
        </is>
      </c>
      <c r="J1637" s="33" t="inlineStr"/>
      <c r="K1637" s="33" t="inlineStr">
        <is>
          <t>PRE</t>
        </is>
      </c>
      <c r="L1637" s="35">
        <f>IF(K1637="FIN",3,IF(OR(K1637="SEM",K1637="SEMI"),2,IF(OR(K1637="PRE",K1637="HEAT"),1,IF(V1637="YES",4,2))))</f>
        <v/>
      </c>
      <c r="M1637" s="33" t="inlineStr">
        <is>
          <t>LCM</t>
        </is>
      </c>
      <c r="N1637" s="33" t="n">
        <v>100</v>
      </c>
      <c r="O1637" s="33" t="inlineStr">
        <is>
          <t>Fly</t>
        </is>
      </c>
      <c r="P1637" s="33" t="inlineStr">
        <is>
          <t>100 Fly</t>
        </is>
      </c>
      <c r="Q1637" s="33" t="inlineStr">
        <is>
          <t>LCM_100_FLY</t>
        </is>
      </c>
      <c r="R1637" s="36" t="n">
        <v>52.39</v>
      </c>
      <c r="S1637" s="35">
        <f>IF(R1637="","",IF(R1637&gt;=60,INT(R1637/60)&amp;":"&amp;TEXT(MOD(R1637,60),"00.00"),TEXT(R1637,"0.00")))</f>
        <v/>
      </c>
      <c r="T1637" s="52">
        <f>IFERROR((G1637-INDEX('01_Swimmers'!$E$5:$E$22,MATCH(B1637,'01_Swimmers'!$A$5:$A$22,0)))/'00_Control'!$B$10,"")</f>
        <v/>
      </c>
      <c r="U1637" s="35">
        <f>IF(T1637="","",INT(T1637))</f>
        <v/>
      </c>
      <c r="V1637" s="33" t="inlineStr">
        <is>
          <t>NO</t>
        </is>
      </c>
      <c r="W1637" s="33" t="inlineStr">
        <is>
          <t>YES</t>
        </is>
      </c>
      <c r="X1637" s="33" t="inlineStr">
        <is>
          <t>NO</t>
        </is>
      </c>
      <c r="Y1637" s="33" t="n">
        <v>1</v>
      </c>
      <c r="Z1637" s="33" t="n">
        <v>5</v>
      </c>
      <c r="AA1637" s="33" t="inlineStr">
        <is>
          <t>6</t>
        </is>
      </c>
      <c r="AB1637" s="33" t="inlineStr">
        <is>
          <t>https://www.swimcloud.com/results/296581/event/33/?id=119089284#time119089284</t>
        </is>
      </c>
      <c r="AC1637" s="33" t="inlineStr">
        <is>
          <t>SwimCloud API v6 2026-10-08</t>
        </is>
      </c>
      <c r="AD1637" s="33" t="inlineStr">
        <is>
          <t>Kyle Chalmers|2023-06-18|LCM|100|Fly|52.39|2023 Australian Swimming Trial|PRE|False</t>
        </is>
      </c>
      <c r="AE1637" s="53">
        <f>G1637+L1637/1000+ROW()/1000000000</f>
        <v/>
      </c>
      <c r="AF1637" s="35">
        <f>IF(C1637&lt;&gt;"Grayson Coulter","",COUNTIFS($C$5:$C$2991,"Grayson Coulter",$Q$5:$Q$2991,Q1637,$AE$5:$AE$2991,"&lt;="&amp;AE1637,$R$5:$R$2991,"&lt;"&amp;R1637))</f>
        <v/>
      </c>
      <c r="AG1637" s="35">
        <f>IF(OR(C1637&lt;&gt;"Grayson Coulter",G1637&lt;'00_Control'!$B$7),"",--(AF1637&lt;5))</f>
        <v/>
      </c>
      <c r="AH1637" s="35">
        <f>IF(OR(C1637&lt;&gt;"Grayson Coulter",G1637&lt;'00_Control'!$B$7),"",--(AF1637&lt;10))</f>
        <v/>
      </c>
      <c r="AI1637" s="35">
        <f>IF(AND(C1637="Grayson Coulter",G1637&gt;='00_Control'!$B$7),"YES","NO")</f>
        <v/>
      </c>
      <c r="AJ1637" s="33" t="inlineStr">
        <is>
          <t>OK</t>
        </is>
      </c>
    </row>
    <row r="1638">
      <c r="A1638" s="33" t="inlineStr">
        <is>
          <t>SM001634</t>
        </is>
      </c>
      <c r="B1638" s="33" t="inlineStr">
        <is>
          <t>SW011</t>
        </is>
      </c>
      <c r="C1638" s="33" t="inlineStr">
        <is>
          <t>Kyle Chalmers</t>
        </is>
      </c>
      <c r="D1638" s="33" t="inlineStr">
        <is>
          <t>SwimCloud</t>
        </is>
      </c>
      <c r="E1638" s="33" t="inlineStr">
        <is>
          <t>419989</t>
        </is>
      </c>
      <c r="F1638" s="33" t="inlineStr">
        <is>
          <t>119089285</t>
        </is>
      </c>
      <c r="G1638" s="51" t="n">
        <v>45095</v>
      </c>
      <c r="H1638" s="33" t="inlineStr">
        <is>
          <t>2023 Australian Swimming Trial</t>
        </is>
      </c>
      <c r="I1638" s="33" t="inlineStr">
        <is>
          <t>296581</t>
        </is>
      </c>
      <c r="J1638" s="33" t="inlineStr"/>
      <c r="K1638" s="33" t="inlineStr">
        <is>
          <t>FIN</t>
        </is>
      </c>
      <c r="L1638" s="35">
        <f>IF(K1638="FIN",3,IF(OR(K1638="SEM",K1638="SEMI"),2,IF(OR(K1638="PRE",K1638="HEAT"),1,IF(V1638="YES",4,2))))</f>
        <v/>
      </c>
      <c r="M1638" s="33" t="inlineStr">
        <is>
          <t>LCM</t>
        </is>
      </c>
      <c r="N1638" s="33" t="n">
        <v>100</v>
      </c>
      <c r="O1638" s="33" t="inlineStr">
        <is>
          <t>Fly</t>
        </is>
      </c>
      <c r="P1638" s="33" t="inlineStr">
        <is>
          <t>100 Fly</t>
        </is>
      </c>
      <c r="Q1638" s="33" t="inlineStr">
        <is>
          <t>LCM_100_FLY</t>
        </is>
      </c>
      <c r="R1638" s="36" t="n">
        <v>51.61</v>
      </c>
      <c r="S1638" s="35">
        <f>IF(R1638="","",IF(R1638&gt;=60,INT(R1638/60)&amp;":"&amp;TEXT(MOD(R1638,60),"00.00"),TEXT(R1638,"0.00")))</f>
        <v/>
      </c>
      <c r="T1638" s="52">
        <f>IFERROR((G1638-INDEX('01_Swimmers'!$E$5:$E$22,MATCH(B1638,'01_Swimmers'!$A$5:$A$22,0)))/'00_Control'!$B$10,"")</f>
        <v/>
      </c>
      <c r="U1638" s="35">
        <f>IF(T1638="","",INT(T1638))</f>
        <v/>
      </c>
      <c r="V1638" s="33" t="inlineStr">
        <is>
          <t>NO</t>
        </is>
      </c>
      <c r="W1638" s="33" t="inlineStr">
        <is>
          <t>YES</t>
        </is>
      </c>
      <c r="X1638" s="33" t="inlineStr">
        <is>
          <t>NO</t>
        </is>
      </c>
      <c r="Y1638" s="33" t="n">
        <v>1</v>
      </c>
      <c r="Z1638" s="33" t="n">
        <v>7</v>
      </c>
      <c r="AA1638" s="33" t="inlineStr">
        <is>
          <t>2</t>
        </is>
      </c>
      <c r="AB1638" s="33" t="inlineStr">
        <is>
          <t>https://www.swimcloud.com/results/296581/event/33/?id=119089285#time119089285</t>
        </is>
      </c>
      <c r="AC1638" s="33" t="inlineStr">
        <is>
          <t>SwimCloud API v6 2026-10-08</t>
        </is>
      </c>
      <c r="AD1638" s="33" t="inlineStr">
        <is>
          <t>Kyle Chalmers|2023-06-18|LCM|100|Fly|51.61|2023 Australian Swimming Trial|FIN|False</t>
        </is>
      </c>
      <c r="AE1638" s="53">
        <f>G1638+L1638/1000+ROW()/1000000000</f>
        <v/>
      </c>
      <c r="AF1638" s="35">
        <f>IF(C1638&lt;&gt;"Grayson Coulter","",COUNTIFS($C$5:$C$2991,"Grayson Coulter",$Q$5:$Q$2991,Q1638,$AE$5:$AE$2991,"&lt;="&amp;AE1638,$R$5:$R$2991,"&lt;"&amp;R1638))</f>
        <v/>
      </c>
      <c r="AG1638" s="35">
        <f>IF(OR(C1638&lt;&gt;"Grayson Coulter",G1638&lt;'00_Control'!$B$7),"",--(AF1638&lt;5))</f>
        <v/>
      </c>
      <c r="AH1638" s="35">
        <f>IF(OR(C1638&lt;&gt;"Grayson Coulter",G1638&lt;'00_Control'!$B$7),"",--(AF1638&lt;10))</f>
        <v/>
      </c>
      <c r="AI1638" s="35">
        <f>IF(AND(C1638="Grayson Coulter",G1638&gt;='00_Control'!$B$7),"YES","NO")</f>
        <v/>
      </c>
      <c r="AJ1638" s="33" t="inlineStr">
        <is>
          <t>OK</t>
        </is>
      </c>
    </row>
    <row r="1639">
      <c r="A1639" s="33" t="inlineStr">
        <is>
          <t>SM001635</t>
        </is>
      </c>
      <c r="B1639" s="33" t="inlineStr">
        <is>
          <t>SW011</t>
        </is>
      </c>
      <c r="C1639" s="33" t="inlineStr">
        <is>
          <t>Kyle Chalmers</t>
        </is>
      </c>
      <c r="D1639" s="33" t="inlineStr">
        <is>
          <t>SwimCloud</t>
        </is>
      </c>
      <c r="E1639" s="33" t="inlineStr">
        <is>
          <t>419989</t>
        </is>
      </c>
      <c r="F1639" s="33" t="inlineStr">
        <is>
          <t>104770413</t>
        </is>
      </c>
      <c r="G1639" s="51" t="n">
        <v>45133</v>
      </c>
      <c r="H1639" s="33" t="inlineStr">
        <is>
          <t>20th World Aquatics Championships</t>
        </is>
      </c>
      <c r="I1639" s="33" t="inlineStr">
        <is>
          <t>273652</t>
        </is>
      </c>
      <c r="J1639" s="33" t="inlineStr"/>
      <c r="K1639" s="33" t="inlineStr">
        <is>
          <t>PRE</t>
        </is>
      </c>
      <c r="L1639" s="35">
        <f>IF(K1639="FIN",3,IF(OR(K1639="SEM",K1639="SEMI"),2,IF(OR(K1639="PRE",K1639="HEAT"),1,IF(V1639="YES",4,2))))</f>
        <v/>
      </c>
      <c r="M1639" s="33" t="inlineStr">
        <is>
          <t>LCM</t>
        </is>
      </c>
      <c r="N1639" s="33" t="n">
        <v>100</v>
      </c>
      <c r="O1639" s="33" t="inlineStr">
        <is>
          <t>Free</t>
        </is>
      </c>
      <c r="P1639" s="33" t="inlineStr">
        <is>
          <t>100 Free</t>
        </is>
      </c>
      <c r="Q1639" s="33" t="inlineStr">
        <is>
          <t>LCM_100_FREE</t>
        </is>
      </c>
      <c r="R1639" s="36" t="n">
        <v>47.71</v>
      </c>
      <c r="S1639" s="35">
        <f>IF(R1639="","",IF(R1639&gt;=60,INT(R1639/60)&amp;":"&amp;TEXT(MOD(R1639,60),"00.00"),TEXT(R1639,"0.00")))</f>
        <v/>
      </c>
      <c r="T1639" s="52">
        <f>IFERROR((G1639-INDEX('01_Swimmers'!$E$5:$E$22,MATCH(B1639,'01_Swimmers'!$A$5:$A$22,0)))/'00_Control'!$B$10,"")</f>
        <v/>
      </c>
      <c r="U1639" s="35">
        <f>IF(T1639="","",INT(T1639))</f>
        <v/>
      </c>
      <c r="V1639" s="33" t="inlineStr">
        <is>
          <t>NO</t>
        </is>
      </c>
      <c r="W1639" s="33" t="inlineStr">
        <is>
          <t>YES</t>
        </is>
      </c>
      <c r="X1639" s="33" t="inlineStr">
        <is>
          <t>NO</t>
        </is>
      </c>
      <c r="Y1639" s="33" t="n">
        <v>10</v>
      </c>
      <c r="Z1639" s="33" t="n">
        <v>4</v>
      </c>
      <c r="AA1639" s="33" t="inlineStr">
        <is>
          <t>3</t>
        </is>
      </c>
      <c r="AB1639" s="33" t="inlineStr">
        <is>
          <t>https://www.swimcloud.com/results/273652/event/20/?id=104770413#time104770413</t>
        </is>
      </c>
      <c r="AC1639" s="33" t="inlineStr">
        <is>
          <t>SwimCloud API v6 2026-10-08</t>
        </is>
      </c>
      <c r="AD1639" s="33" t="inlineStr">
        <is>
          <t>Kyle Chalmers|2023-07-26|LCM|100|Free|47.71|20th World Aquatics Championships|PRE|False</t>
        </is>
      </c>
      <c r="AE1639" s="53">
        <f>G1639+L1639/1000+ROW()/1000000000</f>
        <v/>
      </c>
      <c r="AF1639" s="35">
        <f>IF(C1639&lt;&gt;"Grayson Coulter","",COUNTIFS($C$5:$C$2991,"Grayson Coulter",$Q$5:$Q$2991,Q1639,$AE$5:$AE$2991,"&lt;="&amp;AE1639,$R$5:$R$2991,"&lt;"&amp;R1639))</f>
        <v/>
      </c>
      <c r="AG1639" s="35">
        <f>IF(OR(C1639&lt;&gt;"Grayson Coulter",G1639&lt;'00_Control'!$B$7),"",--(AF1639&lt;5))</f>
        <v/>
      </c>
      <c r="AH1639" s="35">
        <f>IF(OR(C1639&lt;&gt;"Grayson Coulter",G1639&lt;'00_Control'!$B$7),"",--(AF1639&lt;10))</f>
        <v/>
      </c>
      <c r="AI1639" s="35">
        <f>IF(AND(C1639="Grayson Coulter",G1639&gt;='00_Control'!$B$7),"YES","NO")</f>
        <v/>
      </c>
      <c r="AJ1639" s="33" t="inlineStr">
        <is>
          <t>OK</t>
        </is>
      </c>
    </row>
    <row r="1640">
      <c r="A1640" s="33" t="inlineStr">
        <is>
          <t>SM001636</t>
        </is>
      </c>
      <c r="B1640" s="33" t="inlineStr">
        <is>
          <t>SW011</t>
        </is>
      </c>
      <c r="C1640" s="33" t="inlineStr">
        <is>
          <t>Kyle Chalmers</t>
        </is>
      </c>
      <c r="D1640" s="33" t="inlineStr">
        <is>
          <t>SwimCloud</t>
        </is>
      </c>
      <c r="E1640" s="33" t="inlineStr">
        <is>
          <t>419989</t>
        </is>
      </c>
      <c r="F1640" s="33" t="inlineStr">
        <is>
          <t>104770414</t>
        </is>
      </c>
      <c r="G1640" s="51" t="n">
        <v>45133</v>
      </c>
      <c r="H1640" s="33" t="inlineStr">
        <is>
          <t>20th World Aquatics Championships</t>
        </is>
      </c>
      <c r="I1640" s="33" t="inlineStr">
        <is>
          <t>273652</t>
        </is>
      </c>
      <c r="J1640" s="33" t="inlineStr"/>
      <c r="K1640" s="33" t="inlineStr">
        <is>
          <t>SEM</t>
        </is>
      </c>
      <c r="L1640" s="35">
        <f>IF(K1640="FIN",3,IF(OR(K1640="SEM",K1640="SEMI"),2,IF(OR(K1640="PRE",K1640="HEAT"),1,IF(V1640="YES",4,2))))</f>
        <v/>
      </c>
      <c r="M1640" s="33" t="inlineStr">
        <is>
          <t>LCM</t>
        </is>
      </c>
      <c r="N1640" s="33" t="n">
        <v>100</v>
      </c>
      <c r="O1640" s="33" t="inlineStr">
        <is>
          <t>Free</t>
        </is>
      </c>
      <c r="P1640" s="33" t="inlineStr">
        <is>
          <t>100 Free</t>
        </is>
      </c>
      <c r="Q1640" s="33" t="inlineStr">
        <is>
          <t>LCM_100_FREE</t>
        </is>
      </c>
      <c r="R1640" s="36" t="n">
        <v>47.52</v>
      </c>
      <c r="S1640" s="35">
        <f>IF(R1640="","",IF(R1640&gt;=60,INT(R1640/60)&amp;":"&amp;TEXT(MOD(R1640,60),"00.00"),TEXT(R1640,"0.00")))</f>
        <v/>
      </c>
      <c r="T1640" s="52">
        <f>IFERROR((G1640-INDEX('01_Swimmers'!$E$5:$E$22,MATCH(B1640,'01_Swimmers'!$A$5:$A$22,0)))/'00_Control'!$B$10,"")</f>
        <v/>
      </c>
      <c r="U1640" s="35">
        <f>IF(T1640="","",INT(T1640))</f>
        <v/>
      </c>
      <c r="V1640" s="33" t="inlineStr">
        <is>
          <t>NO</t>
        </is>
      </c>
      <c r="W1640" s="33" t="inlineStr">
        <is>
          <t>YES</t>
        </is>
      </c>
      <c r="X1640" s="33" t="inlineStr">
        <is>
          <t>NO</t>
        </is>
      </c>
      <c r="Y1640" s="33" t="n">
        <v>2</v>
      </c>
      <c r="Z1640" s="33" t="n">
        <v>5</v>
      </c>
      <c r="AA1640" s="33" t="inlineStr">
        <is>
          <t>2</t>
        </is>
      </c>
      <c r="AB1640" s="33" t="inlineStr">
        <is>
          <t>https://www.swimcloud.com/results/273652/event/20/?id=104770414#time104770414</t>
        </is>
      </c>
      <c r="AC1640" s="33" t="inlineStr">
        <is>
          <t>SwimCloud API v6 2026-10-08</t>
        </is>
      </c>
      <c r="AD1640" s="33" t="inlineStr">
        <is>
          <t>Kyle Chalmers|2023-07-26|LCM|100|Free|47.52|20th World Aquatics Championships|SEM|False</t>
        </is>
      </c>
      <c r="AE1640" s="53">
        <f>G1640+L1640/1000+ROW()/1000000000</f>
        <v/>
      </c>
      <c r="AF1640" s="35">
        <f>IF(C1640&lt;&gt;"Grayson Coulter","",COUNTIFS($C$5:$C$2991,"Grayson Coulter",$Q$5:$Q$2991,Q1640,$AE$5:$AE$2991,"&lt;="&amp;AE1640,$R$5:$R$2991,"&lt;"&amp;R1640))</f>
        <v/>
      </c>
      <c r="AG1640" s="35">
        <f>IF(OR(C1640&lt;&gt;"Grayson Coulter",G1640&lt;'00_Control'!$B$7),"",--(AF1640&lt;5))</f>
        <v/>
      </c>
      <c r="AH1640" s="35">
        <f>IF(OR(C1640&lt;&gt;"Grayson Coulter",G1640&lt;'00_Control'!$B$7),"",--(AF1640&lt;10))</f>
        <v/>
      </c>
      <c r="AI1640" s="35">
        <f>IF(AND(C1640="Grayson Coulter",G1640&gt;='00_Control'!$B$7),"YES","NO")</f>
        <v/>
      </c>
      <c r="AJ1640" s="33" t="inlineStr">
        <is>
          <t>OK</t>
        </is>
      </c>
    </row>
    <row r="1641">
      <c r="A1641" s="33" t="inlineStr">
        <is>
          <t>SM001637</t>
        </is>
      </c>
      <c r="B1641" s="33" t="inlineStr">
        <is>
          <t>SW011</t>
        </is>
      </c>
      <c r="C1641" s="33" t="inlineStr">
        <is>
          <t>Kyle Chalmers</t>
        </is>
      </c>
      <c r="D1641" s="33" t="inlineStr">
        <is>
          <t>SwimCloud</t>
        </is>
      </c>
      <c r="E1641" s="33" t="inlineStr">
        <is>
          <t>419989</t>
        </is>
      </c>
      <c r="F1641" s="33" t="inlineStr">
        <is>
          <t>104770412</t>
        </is>
      </c>
      <c r="G1641" s="51" t="n">
        <v>45134</v>
      </c>
      <c r="H1641" s="33" t="inlineStr">
        <is>
          <t>20th World Aquatics Championships</t>
        </is>
      </c>
      <c r="I1641" s="33" t="inlineStr">
        <is>
          <t>273652</t>
        </is>
      </c>
      <c r="J1641" s="33" t="inlineStr"/>
      <c r="K1641" s="33" t="inlineStr">
        <is>
          <t>FIN</t>
        </is>
      </c>
      <c r="L1641" s="35">
        <f>IF(K1641="FIN",3,IF(OR(K1641="SEM",K1641="SEMI"),2,IF(OR(K1641="PRE",K1641="HEAT"),1,IF(V1641="YES",4,2))))</f>
        <v/>
      </c>
      <c r="M1641" s="33" t="inlineStr">
        <is>
          <t>LCM</t>
        </is>
      </c>
      <c r="N1641" s="33" t="n">
        <v>100</v>
      </c>
      <c r="O1641" s="33" t="inlineStr">
        <is>
          <t>Free</t>
        </is>
      </c>
      <c r="P1641" s="33" t="inlineStr">
        <is>
          <t>100 Free</t>
        </is>
      </c>
      <c r="Q1641" s="33" t="inlineStr">
        <is>
          <t>LCM_100_FREE</t>
        </is>
      </c>
      <c r="R1641" s="36" t="n">
        <v>47.15</v>
      </c>
      <c r="S1641" s="35">
        <f>IF(R1641="","",IF(R1641&gt;=60,INT(R1641/60)&amp;":"&amp;TEXT(MOD(R1641,60),"00.00"),TEXT(R1641,"0.00")))</f>
        <v/>
      </c>
      <c r="T1641" s="52">
        <f>IFERROR((G1641-INDEX('01_Swimmers'!$E$5:$E$22,MATCH(B1641,'01_Swimmers'!$A$5:$A$22,0)))/'00_Control'!$B$10,"")</f>
        <v/>
      </c>
      <c r="U1641" s="35">
        <f>IF(T1641="","",INT(T1641))</f>
        <v/>
      </c>
      <c r="V1641" s="33" t="inlineStr">
        <is>
          <t>NO</t>
        </is>
      </c>
      <c r="W1641" s="33" t="inlineStr">
        <is>
          <t>YES</t>
        </is>
      </c>
      <c r="X1641" s="33" t="inlineStr">
        <is>
          <t>NO</t>
        </is>
      </c>
      <c r="Y1641" s="33" t="n">
        <v>1</v>
      </c>
      <c r="Z1641" s="33" t="n">
        <v>5</v>
      </c>
      <c r="AA1641" s="33" t="inlineStr">
        <is>
          <t>1</t>
        </is>
      </c>
      <c r="AB1641" s="33" t="inlineStr">
        <is>
          <t>https://www.swimcloud.com/results/273652/event/20/?id=104770412#time104770412</t>
        </is>
      </c>
      <c r="AC1641" s="33" t="inlineStr">
        <is>
          <t>SwimCloud API v6 2026-10-08</t>
        </is>
      </c>
      <c r="AD1641" s="33" t="inlineStr">
        <is>
          <t>Kyle Chalmers|2023-07-27|LCM|100|Free|47.15|20th World Aquatics Championships|FIN|False</t>
        </is>
      </c>
      <c r="AE1641" s="53">
        <f>G1641+L1641/1000+ROW()/1000000000</f>
        <v/>
      </c>
      <c r="AF1641" s="35">
        <f>IF(C1641&lt;&gt;"Grayson Coulter","",COUNTIFS($C$5:$C$2991,"Grayson Coulter",$Q$5:$Q$2991,Q1641,$AE$5:$AE$2991,"&lt;="&amp;AE1641,$R$5:$R$2991,"&lt;"&amp;R1641))</f>
        <v/>
      </c>
      <c r="AG1641" s="35">
        <f>IF(OR(C1641&lt;&gt;"Grayson Coulter",G1641&lt;'00_Control'!$B$7),"",--(AF1641&lt;5))</f>
        <v/>
      </c>
      <c r="AH1641" s="35">
        <f>IF(OR(C1641&lt;&gt;"Grayson Coulter",G1641&lt;'00_Control'!$B$7),"",--(AF1641&lt;10))</f>
        <v/>
      </c>
      <c r="AI1641" s="35">
        <f>IF(AND(C1641="Grayson Coulter",G1641&gt;='00_Control'!$B$7),"YES","NO")</f>
        <v/>
      </c>
      <c r="AJ1641" s="33" t="inlineStr">
        <is>
          <t>OK</t>
        </is>
      </c>
    </row>
    <row r="1642">
      <c r="A1642" s="33" t="inlineStr">
        <is>
          <t>SM001638</t>
        </is>
      </c>
      <c r="B1642" s="33" t="inlineStr">
        <is>
          <t>SW011</t>
        </is>
      </c>
      <c r="C1642" s="33" t="inlineStr">
        <is>
          <t>Kyle Chalmers</t>
        </is>
      </c>
      <c r="D1642" s="33" t="inlineStr">
        <is>
          <t>SwimCloud</t>
        </is>
      </c>
      <c r="E1642" s="33" t="inlineStr">
        <is>
          <t>419989</t>
        </is>
      </c>
      <c r="F1642" s="33" t="inlineStr">
        <is>
          <t>125009149</t>
        </is>
      </c>
      <c r="G1642" s="51" t="n">
        <v>45366</v>
      </c>
      <c r="H1642" s="33" t="inlineStr">
        <is>
          <t>2024 NSW State Open Championships</t>
        </is>
      </c>
      <c r="I1642" s="33" t="inlineStr">
        <is>
          <t>302572</t>
        </is>
      </c>
      <c r="J1642" s="33" t="inlineStr"/>
      <c r="K1642" s="33" t="inlineStr">
        <is>
          <t>PRE</t>
        </is>
      </c>
      <c r="L1642" s="35">
        <f>IF(K1642="FIN",3,IF(OR(K1642="SEM",K1642="SEMI"),2,IF(OR(K1642="PRE",K1642="HEAT"),1,IF(V1642="YES",4,2))))</f>
        <v/>
      </c>
      <c r="M1642" s="33" t="inlineStr">
        <is>
          <t>LCM</t>
        </is>
      </c>
      <c r="N1642" s="33" t="n">
        <v>100</v>
      </c>
      <c r="O1642" s="33" t="inlineStr">
        <is>
          <t>Free</t>
        </is>
      </c>
      <c r="P1642" s="33" t="inlineStr">
        <is>
          <t>100 Free</t>
        </is>
      </c>
      <c r="Q1642" s="33" t="inlineStr">
        <is>
          <t>LCM_100_FREE</t>
        </is>
      </c>
      <c r="R1642" s="36" t="n">
        <v>48.36</v>
      </c>
      <c r="S1642" s="35">
        <f>IF(R1642="","",IF(R1642&gt;=60,INT(R1642/60)&amp;":"&amp;TEXT(MOD(R1642,60),"00.00"),TEXT(R1642,"0.00")))</f>
        <v/>
      </c>
      <c r="T1642" s="52">
        <f>IFERROR((G1642-INDEX('01_Swimmers'!$E$5:$E$22,MATCH(B1642,'01_Swimmers'!$A$5:$A$22,0)))/'00_Control'!$B$10,"")</f>
        <v/>
      </c>
      <c r="U1642" s="35">
        <f>IF(T1642="","",INT(T1642))</f>
        <v/>
      </c>
      <c r="V1642" s="33" t="inlineStr">
        <is>
          <t>NO</t>
        </is>
      </c>
      <c r="W1642" s="33" t="inlineStr">
        <is>
          <t>YES</t>
        </is>
      </c>
      <c r="X1642" s="33" t="inlineStr">
        <is>
          <t>NO</t>
        </is>
      </c>
      <c r="Y1642" s="33" t="n">
        <v>1</v>
      </c>
      <c r="Z1642" s="33" t="n">
        <v>4</v>
      </c>
      <c r="AA1642" s="33" t="inlineStr">
        <is>
          <t>1</t>
        </is>
      </c>
      <c r="AB1642" s="33" t="inlineStr">
        <is>
          <t>https://www.swimcloud.com/results/302572/event/9/?id=125009149#time125009149</t>
        </is>
      </c>
      <c r="AC1642" s="33" t="inlineStr">
        <is>
          <t>SwimCloud API v6 2026-10-08</t>
        </is>
      </c>
      <c r="AD1642" s="33" t="inlineStr">
        <is>
          <t>Kyle Chalmers|2024-03-15|LCM|100|Free|48.36|2024 NSW State Open Championships|PRE|False</t>
        </is>
      </c>
      <c r="AE1642" s="53">
        <f>G1642+L1642/1000+ROW()/1000000000</f>
        <v/>
      </c>
      <c r="AF1642" s="35">
        <f>IF(C1642&lt;&gt;"Grayson Coulter","",COUNTIFS($C$5:$C$2991,"Grayson Coulter",$Q$5:$Q$2991,Q1642,$AE$5:$AE$2991,"&lt;="&amp;AE1642,$R$5:$R$2991,"&lt;"&amp;R1642))</f>
        <v/>
      </c>
      <c r="AG1642" s="35">
        <f>IF(OR(C1642&lt;&gt;"Grayson Coulter",G1642&lt;'00_Control'!$B$7),"",--(AF1642&lt;5))</f>
        <v/>
      </c>
      <c r="AH1642" s="35">
        <f>IF(OR(C1642&lt;&gt;"Grayson Coulter",G1642&lt;'00_Control'!$B$7),"",--(AF1642&lt;10))</f>
        <v/>
      </c>
      <c r="AI1642" s="35">
        <f>IF(AND(C1642="Grayson Coulter",G1642&gt;='00_Control'!$B$7),"YES","NO")</f>
        <v/>
      </c>
      <c r="AJ1642" s="33" t="inlineStr">
        <is>
          <t>OK</t>
        </is>
      </c>
    </row>
    <row r="1643">
      <c r="A1643" s="33" t="inlineStr">
        <is>
          <t>SM001639</t>
        </is>
      </c>
      <c r="B1643" s="33" t="inlineStr">
        <is>
          <t>SW011</t>
        </is>
      </c>
      <c r="C1643" s="33" t="inlineStr">
        <is>
          <t>Kyle Chalmers</t>
        </is>
      </c>
      <c r="D1643" s="33" t="inlineStr">
        <is>
          <t>SwimCloud</t>
        </is>
      </c>
      <c r="E1643" s="33" t="inlineStr">
        <is>
          <t>419989</t>
        </is>
      </c>
      <c r="F1643" s="33" t="inlineStr">
        <is>
          <t>125009150</t>
        </is>
      </c>
      <c r="G1643" s="51" t="n">
        <v>45366</v>
      </c>
      <c r="H1643" s="33" t="inlineStr">
        <is>
          <t>2024 NSW State Open Championships</t>
        </is>
      </c>
      <c r="I1643" s="33" t="inlineStr">
        <is>
          <t>302572</t>
        </is>
      </c>
      <c r="J1643" s="33" t="inlineStr"/>
      <c r="K1643" s="33" t="inlineStr">
        <is>
          <t>FIN</t>
        </is>
      </c>
      <c r="L1643" s="35">
        <f>IF(K1643="FIN",3,IF(OR(K1643="SEM",K1643="SEMI"),2,IF(OR(K1643="PRE",K1643="HEAT"),1,IF(V1643="YES",4,2))))</f>
        <v/>
      </c>
      <c r="M1643" s="33" t="inlineStr">
        <is>
          <t>LCM</t>
        </is>
      </c>
      <c r="N1643" s="33" t="n">
        <v>100</v>
      </c>
      <c r="O1643" s="33" t="inlineStr">
        <is>
          <t>Free</t>
        </is>
      </c>
      <c r="P1643" s="33" t="inlineStr">
        <is>
          <t>100 Free</t>
        </is>
      </c>
      <c r="Q1643" s="33" t="inlineStr">
        <is>
          <t>LCM_100_FREE</t>
        </is>
      </c>
      <c r="R1643" s="36" t="n">
        <v>48.53</v>
      </c>
      <c r="S1643" s="35">
        <f>IF(R1643="","",IF(R1643&gt;=60,INT(R1643/60)&amp;":"&amp;TEXT(MOD(R1643,60),"00.00"),TEXT(R1643,"0.00")))</f>
        <v/>
      </c>
      <c r="T1643" s="52">
        <f>IFERROR((G1643-INDEX('01_Swimmers'!$E$5:$E$22,MATCH(B1643,'01_Swimmers'!$A$5:$A$22,0)))/'00_Control'!$B$10,"")</f>
        <v/>
      </c>
      <c r="U1643" s="35">
        <f>IF(T1643="","",INT(T1643))</f>
        <v/>
      </c>
      <c r="V1643" s="33" t="inlineStr">
        <is>
          <t>NO</t>
        </is>
      </c>
      <c r="W1643" s="33" t="inlineStr">
        <is>
          <t>YES</t>
        </is>
      </c>
      <c r="X1643" s="33" t="inlineStr">
        <is>
          <t>NO</t>
        </is>
      </c>
      <c r="Y1643" s="33" t="n">
        <v>1</v>
      </c>
      <c r="Z1643" s="33" t="n">
        <v>4</v>
      </c>
      <c r="AA1643" s="33" t="inlineStr">
        <is>
          <t>2</t>
        </is>
      </c>
      <c r="AB1643" s="33" t="inlineStr">
        <is>
          <t>https://www.swimcloud.com/results/302572/event/9/?id=125009150#time125009150</t>
        </is>
      </c>
      <c r="AC1643" s="33" t="inlineStr">
        <is>
          <t>SwimCloud API v6 2026-10-08</t>
        </is>
      </c>
      <c r="AD1643" s="33" t="inlineStr">
        <is>
          <t>Kyle Chalmers|2024-03-15|LCM|100|Free|48.53|2024 NSW State Open Championships|FIN|False</t>
        </is>
      </c>
      <c r="AE1643" s="53">
        <f>G1643+L1643/1000+ROW()/1000000000</f>
        <v/>
      </c>
      <c r="AF1643" s="35">
        <f>IF(C1643&lt;&gt;"Grayson Coulter","",COUNTIFS($C$5:$C$2991,"Grayson Coulter",$Q$5:$Q$2991,Q1643,$AE$5:$AE$2991,"&lt;="&amp;AE1643,$R$5:$R$2991,"&lt;"&amp;R1643))</f>
        <v/>
      </c>
      <c r="AG1643" s="35">
        <f>IF(OR(C1643&lt;&gt;"Grayson Coulter",G1643&lt;'00_Control'!$B$7),"",--(AF1643&lt;5))</f>
        <v/>
      </c>
      <c r="AH1643" s="35">
        <f>IF(OR(C1643&lt;&gt;"Grayson Coulter",G1643&lt;'00_Control'!$B$7),"",--(AF1643&lt;10))</f>
        <v/>
      </c>
      <c r="AI1643" s="35">
        <f>IF(AND(C1643="Grayson Coulter",G1643&gt;='00_Control'!$B$7),"YES","NO")</f>
        <v/>
      </c>
      <c r="AJ1643" s="33" t="inlineStr">
        <is>
          <t>OK</t>
        </is>
      </c>
    </row>
    <row r="1644">
      <c r="A1644" s="33" t="inlineStr">
        <is>
          <t>SM001640</t>
        </is>
      </c>
      <c r="B1644" s="33" t="inlineStr">
        <is>
          <t>SW011</t>
        </is>
      </c>
      <c r="C1644" s="33" t="inlineStr">
        <is>
          <t>Kyle Chalmers</t>
        </is>
      </c>
      <c r="D1644" s="33" t="inlineStr">
        <is>
          <t>SwimCloud</t>
        </is>
      </c>
      <c r="E1644" s="33" t="inlineStr">
        <is>
          <t>419989</t>
        </is>
      </c>
      <c r="F1644" s="33" t="inlineStr">
        <is>
          <t>124862512</t>
        </is>
      </c>
      <c r="G1644" s="51" t="n">
        <v>45402</v>
      </c>
      <c r="H1644" s="33" t="inlineStr">
        <is>
          <t>Australian Open Championships</t>
        </is>
      </c>
      <c r="I1644" s="33" t="inlineStr">
        <is>
          <t>302425</t>
        </is>
      </c>
      <c r="J1644" s="33" t="inlineStr"/>
      <c r="K1644" s="33" t="inlineStr">
        <is>
          <t>PRE</t>
        </is>
      </c>
      <c r="L1644" s="35">
        <f>IF(K1644="FIN",3,IF(OR(K1644="SEM",K1644="SEMI"),2,IF(OR(K1644="PRE",K1644="HEAT"),1,IF(V1644="YES",4,2))))</f>
        <v/>
      </c>
      <c r="M1644" s="33" t="inlineStr">
        <is>
          <t>LCM</t>
        </is>
      </c>
      <c r="N1644" s="33" t="n">
        <v>100</v>
      </c>
      <c r="O1644" s="33" t="inlineStr">
        <is>
          <t>Free</t>
        </is>
      </c>
      <c r="P1644" s="33" t="inlineStr">
        <is>
          <t>100 Free</t>
        </is>
      </c>
      <c r="Q1644" s="33" t="inlineStr">
        <is>
          <t>LCM_100_FREE</t>
        </is>
      </c>
      <c r="R1644" s="36" t="n">
        <v>48.08</v>
      </c>
      <c r="S1644" s="35">
        <f>IF(R1644="","",IF(R1644&gt;=60,INT(R1644/60)&amp;":"&amp;TEXT(MOD(R1644,60),"00.00"),TEXT(R1644,"0.00")))</f>
        <v/>
      </c>
      <c r="T1644" s="52">
        <f>IFERROR((G1644-INDEX('01_Swimmers'!$E$5:$E$22,MATCH(B1644,'01_Swimmers'!$A$5:$A$22,0)))/'00_Control'!$B$10,"")</f>
        <v/>
      </c>
      <c r="U1644" s="35">
        <f>IF(T1644="","",INT(T1644))</f>
        <v/>
      </c>
      <c r="V1644" s="33" t="inlineStr">
        <is>
          <t>NO</t>
        </is>
      </c>
      <c r="W1644" s="33" t="inlineStr">
        <is>
          <t>YES</t>
        </is>
      </c>
      <c r="X1644" s="33" t="inlineStr">
        <is>
          <t>NO</t>
        </is>
      </c>
      <c r="Y1644" s="33" t="n">
        <v>1</v>
      </c>
      <c r="Z1644" s="33" t="n">
        <v>4</v>
      </c>
      <c r="AA1644" s="33" t="inlineStr">
        <is>
          <t>1</t>
        </is>
      </c>
      <c r="AB1644" s="33" t="inlineStr">
        <is>
          <t>https://www.swimcloud.com/results/302425/event/52/?id=124862512#time124862512</t>
        </is>
      </c>
      <c r="AC1644" s="33" t="inlineStr">
        <is>
          <t>SwimCloud API v6 2026-10-08</t>
        </is>
      </c>
      <c r="AD1644" s="33" t="inlineStr">
        <is>
          <t>Kyle Chalmers|2024-04-20|LCM|100|Free|48.08|Australian Open Championships|PRE|False</t>
        </is>
      </c>
      <c r="AE1644" s="53">
        <f>G1644+L1644/1000+ROW()/1000000000</f>
        <v/>
      </c>
      <c r="AF1644" s="35">
        <f>IF(C1644&lt;&gt;"Grayson Coulter","",COUNTIFS($C$5:$C$2991,"Grayson Coulter",$Q$5:$Q$2991,Q1644,$AE$5:$AE$2991,"&lt;="&amp;AE1644,$R$5:$R$2991,"&lt;"&amp;R1644))</f>
        <v/>
      </c>
      <c r="AG1644" s="35">
        <f>IF(OR(C1644&lt;&gt;"Grayson Coulter",G1644&lt;'00_Control'!$B$7),"",--(AF1644&lt;5))</f>
        <v/>
      </c>
      <c r="AH1644" s="35">
        <f>IF(OR(C1644&lt;&gt;"Grayson Coulter",G1644&lt;'00_Control'!$B$7),"",--(AF1644&lt;10))</f>
        <v/>
      </c>
      <c r="AI1644" s="35">
        <f>IF(AND(C1644="Grayson Coulter",G1644&gt;='00_Control'!$B$7),"YES","NO")</f>
        <v/>
      </c>
      <c r="AJ1644" s="33" t="inlineStr">
        <is>
          <t>OK</t>
        </is>
      </c>
    </row>
    <row r="1645">
      <c r="A1645" s="33" t="inlineStr">
        <is>
          <t>SM001641</t>
        </is>
      </c>
      <c r="B1645" s="33" t="inlineStr">
        <is>
          <t>SW011</t>
        </is>
      </c>
      <c r="C1645" s="33" t="inlineStr">
        <is>
          <t>Kyle Chalmers</t>
        </is>
      </c>
      <c r="D1645" s="33" t="inlineStr">
        <is>
          <t>SwimCloud</t>
        </is>
      </c>
      <c r="E1645" s="33" t="inlineStr">
        <is>
          <t>419989</t>
        </is>
      </c>
      <c r="F1645" s="33" t="inlineStr">
        <is>
          <t>124862513</t>
        </is>
      </c>
      <c r="G1645" s="51" t="n">
        <v>45402</v>
      </c>
      <c r="H1645" s="33" t="inlineStr">
        <is>
          <t>Australian Open Championships</t>
        </is>
      </c>
      <c r="I1645" s="33" t="inlineStr">
        <is>
          <t>302425</t>
        </is>
      </c>
      <c r="J1645" s="33" t="inlineStr"/>
      <c r="K1645" s="33" t="inlineStr">
        <is>
          <t>FIN</t>
        </is>
      </c>
      <c r="L1645" s="35">
        <f>IF(K1645="FIN",3,IF(OR(K1645="SEM",K1645="SEMI"),2,IF(OR(K1645="PRE",K1645="HEAT"),1,IF(V1645="YES",4,2))))</f>
        <v/>
      </c>
      <c r="M1645" s="33" t="inlineStr">
        <is>
          <t>LCM</t>
        </is>
      </c>
      <c r="N1645" s="33" t="n">
        <v>100</v>
      </c>
      <c r="O1645" s="33" t="inlineStr">
        <is>
          <t>Free</t>
        </is>
      </c>
      <c r="P1645" s="33" t="inlineStr">
        <is>
          <t>100 Free</t>
        </is>
      </c>
      <c r="Q1645" s="33" t="inlineStr">
        <is>
          <t>LCM_100_FREE</t>
        </is>
      </c>
      <c r="R1645" s="36" t="n">
        <v>47.63</v>
      </c>
      <c r="S1645" s="35">
        <f>IF(R1645="","",IF(R1645&gt;=60,INT(R1645/60)&amp;":"&amp;TEXT(MOD(R1645,60),"00.00"),TEXT(R1645,"0.00")))</f>
        <v/>
      </c>
      <c r="T1645" s="52">
        <f>IFERROR((G1645-INDEX('01_Swimmers'!$E$5:$E$22,MATCH(B1645,'01_Swimmers'!$A$5:$A$22,0)))/'00_Control'!$B$10,"")</f>
        <v/>
      </c>
      <c r="U1645" s="35">
        <f>IF(T1645="","",INT(T1645))</f>
        <v/>
      </c>
      <c r="V1645" s="33" t="inlineStr">
        <is>
          <t>NO</t>
        </is>
      </c>
      <c r="W1645" s="33" t="inlineStr">
        <is>
          <t>YES</t>
        </is>
      </c>
      <c r="X1645" s="33" t="inlineStr">
        <is>
          <t>NO</t>
        </is>
      </c>
      <c r="Y1645" s="33" t="n">
        <v>1</v>
      </c>
      <c r="Z1645" s="33" t="n">
        <v>4</v>
      </c>
      <c r="AA1645" s="33" t="inlineStr">
        <is>
          <t>1</t>
        </is>
      </c>
      <c r="AB1645" s="33" t="inlineStr">
        <is>
          <t>https://www.swimcloud.com/results/302425/event/52/?id=124862513#time124862513</t>
        </is>
      </c>
      <c r="AC1645" s="33" t="inlineStr">
        <is>
          <t>SwimCloud API v6 2026-10-08</t>
        </is>
      </c>
      <c r="AD1645" s="33" t="inlineStr">
        <is>
          <t>Kyle Chalmers|2024-04-20|LCM|100|Free|47.63|Australian Open Championships|FIN|False</t>
        </is>
      </c>
      <c r="AE1645" s="53">
        <f>G1645+L1645/1000+ROW()/1000000000</f>
        <v/>
      </c>
      <c r="AF1645" s="35">
        <f>IF(C1645&lt;&gt;"Grayson Coulter","",COUNTIFS($C$5:$C$2991,"Grayson Coulter",$Q$5:$Q$2991,Q1645,$AE$5:$AE$2991,"&lt;="&amp;AE1645,$R$5:$R$2991,"&lt;"&amp;R1645))</f>
        <v/>
      </c>
      <c r="AG1645" s="35">
        <f>IF(OR(C1645&lt;&gt;"Grayson Coulter",G1645&lt;'00_Control'!$B$7),"",--(AF1645&lt;5))</f>
        <v/>
      </c>
      <c r="AH1645" s="35">
        <f>IF(OR(C1645&lt;&gt;"Grayson Coulter",G1645&lt;'00_Control'!$B$7),"",--(AF1645&lt;10))</f>
        <v/>
      </c>
      <c r="AI1645" s="35">
        <f>IF(AND(C1645="Grayson Coulter",G1645&gt;='00_Control'!$B$7),"YES","NO")</f>
        <v/>
      </c>
      <c r="AJ1645" s="33" t="inlineStr">
        <is>
          <t>OK</t>
        </is>
      </c>
    </row>
    <row r="1646">
      <c r="A1646" s="33" t="inlineStr">
        <is>
          <t>SM001642</t>
        </is>
      </c>
      <c r="B1646" s="33" t="inlineStr">
        <is>
          <t>SW011</t>
        </is>
      </c>
      <c r="C1646" s="33" t="inlineStr">
        <is>
          <t>Kyle Chalmers</t>
        </is>
      </c>
      <c r="D1646" s="33" t="inlineStr">
        <is>
          <t>SwimCloud</t>
        </is>
      </c>
      <c r="E1646" s="33" t="inlineStr">
        <is>
          <t>419989</t>
        </is>
      </c>
      <c r="F1646" s="33" t="inlineStr">
        <is>
          <t>127539473</t>
        </is>
      </c>
      <c r="G1646" s="51" t="n">
        <v>45456</v>
      </c>
      <c r="H1646" s="33" t="inlineStr">
        <is>
          <t>Australian Swimming Trials</t>
        </is>
      </c>
      <c r="I1646" s="33" t="inlineStr">
        <is>
          <t>305560</t>
        </is>
      </c>
      <c r="J1646" s="33" t="inlineStr"/>
      <c r="K1646" s="33" t="inlineStr">
        <is>
          <t>PRE</t>
        </is>
      </c>
      <c r="L1646" s="35">
        <f>IF(K1646="FIN",3,IF(OR(K1646="SEM",K1646="SEMI"),2,IF(OR(K1646="PRE",K1646="HEAT"),1,IF(V1646="YES",4,2))))</f>
        <v/>
      </c>
      <c r="M1646" s="33" t="inlineStr">
        <is>
          <t>LCM</t>
        </is>
      </c>
      <c r="N1646" s="33" t="n">
        <v>100</v>
      </c>
      <c r="O1646" s="33" t="inlineStr">
        <is>
          <t>Free</t>
        </is>
      </c>
      <c r="P1646" s="33" t="inlineStr">
        <is>
          <t>100 Free</t>
        </is>
      </c>
      <c r="Q1646" s="33" t="inlineStr">
        <is>
          <t>LCM_100_FREE</t>
        </is>
      </c>
      <c r="R1646" s="36" t="n">
        <v>48.39</v>
      </c>
      <c r="S1646" s="35">
        <f>IF(R1646="","",IF(R1646&gt;=60,INT(R1646/60)&amp;":"&amp;TEXT(MOD(R1646,60),"00.00"),TEXT(R1646,"0.00")))</f>
        <v/>
      </c>
      <c r="T1646" s="52">
        <f>IFERROR((G1646-INDEX('01_Swimmers'!$E$5:$E$22,MATCH(B1646,'01_Swimmers'!$A$5:$A$22,0)))/'00_Control'!$B$10,"")</f>
        <v/>
      </c>
      <c r="U1646" s="35">
        <f>IF(T1646="","",INT(T1646))</f>
        <v/>
      </c>
      <c r="V1646" s="33" t="inlineStr">
        <is>
          <t>NO</t>
        </is>
      </c>
      <c r="W1646" s="33" t="inlineStr">
        <is>
          <t>YES</t>
        </is>
      </c>
      <c r="X1646" s="33" t="inlineStr">
        <is>
          <t>NO</t>
        </is>
      </c>
      <c r="Y1646" s="33" t="n">
        <v>1</v>
      </c>
      <c r="Z1646" s="33" t="n">
        <v>4</v>
      </c>
      <c r="AA1646" s="33" t="inlineStr">
        <is>
          <t>1</t>
        </is>
      </c>
      <c r="AB1646" s="33" t="inlineStr">
        <is>
          <t>https://www.swimcloud.com/results/305560/event/16/?id=127539473#time127539473</t>
        </is>
      </c>
      <c r="AC1646" s="33" t="inlineStr">
        <is>
          <t>SwimCloud API v6 2026-10-08</t>
        </is>
      </c>
      <c r="AD1646" s="33" t="inlineStr">
        <is>
          <t>Kyle Chalmers|2024-06-13|LCM|100|Free|48.39|Australian Swimming Trials|PRE|False</t>
        </is>
      </c>
      <c r="AE1646" s="53">
        <f>G1646+L1646/1000+ROW()/1000000000</f>
        <v/>
      </c>
      <c r="AF1646" s="35">
        <f>IF(C1646&lt;&gt;"Grayson Coulter","",COUNTIFS($C$5:$C$2991,"Grayson Coulter",$Q$5:$Q$2991,Q1646,$AE$5:$AE$2991,"&lt;="&amp;AE1646,$R$5:$R$2991,"&lt;"&amp;R1646))</f>
        <v/>
      </c>
      <c r="AG1646" s="35">
        <f>IF(OR(C1646&lt;&gt;"Grayson Coulter",G1646&lt;'00_Control'!$B$7),"",--(AF1646&lt;5))</f>
        <v/>
      </c>
      <c r="AH1646" s="35">
        <f>IF(OR(C1646&lt;&gt;"Grayson Coulter",G1646&lt;'00_Control'!$B$7),"",--(AF1646&lt;10))</f>
        <v/>
      </c>
      <c r="AI1646" s="35">
        <f>IF(AND(C1646="Grayson Coulter",G1646&gt;='00_Control'!$B$7),"YES","NO")</f>
        <v/>
      </c>
      <c r="AJ1646" s="33" t="inlineStr">
        <is>
          <t>OK</t>
        </is>
      </c>
    </row>
    <row r="1647">
      <c r="A1647" s="33" t="inlineStr">
        <is>
          <t>SM001643</t>
        </is>
      </c>
      <c r="B1647" s="33" t="inlineStr">
        <is>
          <t>SW011</t>
        </is>
      </c>
      <c r="C1647" s="33" t="inlineStr">
        <is>
          <t>Kyle Chalmers</t>
        </is>
      </c>
      <c r="D1647" s="33" t="inlineStr">
        <is>
          <t>SwimCloud</t>
        </is>
      </c>
      <c r="E1647" s="33" t="inlineStr">
        <is>
          <t>419989</t>
        </is>
      </c>
      <c r="F1647" s="33" t="inlineStr">
        <is>
          <t>127539474</t>
        </is>
      </c>
      <c r="G1647" s="51" t="n">
        <v>45456</v>
      </c>
      <c r="H1647" s="33" t="inlineStr">
        <is>
          <t>Australian Swimming Trials</t>
        </is>
      </c>
      <c r="I1647" s="33" t="inlineStr">
        <is>
          <t>305560</t>
        </is>
      </c>
      <c r="J1647" s="33" t="inlineStr"/>
      <c r="K1647" s="33" t="inlineStr">
        <is>
          <t>FIN</t>
        </is>
      </c>
      <c r="L1647" s="35">
        <f>IF(K1647="FIN",3,IF(OR(K1647="SEM",K1647="SEMI"),2,IF(OR(K1647="PRE",K1647="HEAT"),1,IF(V1647="YES",4,2))))</f>
        <v/>
      </c>
      <c r="M1647" s="33" t="inlineStr">
        <is>
          <t>LCM</t>
        </is>
      </c>
      <c r="N1647" s="33" t="n">
        <v>100</v>
      </c>
      <c r="O1647" s="33" t="inlineStr">
        <is>
          <t>Free</t>
        </is>
      </c>
      <c r="P1647" s="33" t="inlineStr">
        <is>
          <t>100 Free</t>
        </is>
      </c>
      <c r="Q1647" s="33" t="inlineStr">
        <is>
          <t>LCM_100_FREE</t>
        </is>
      </c>
      <c r="R1647" s="36" t="n">
        <v>47.75</v>
      </c>
      <c r="S1647" s="35">
        <f>IF(R1647="","",IF(R1647&gt;=60,INT(R1647/60)&amp;":"&amp;TEXT(MOD(R1647,60),"00.00"),TEXT(R1647,"0.00")))</f>
        <v/>
      </c>
      <c r="T1647" s="52">
        <f>IFERROR((G1647-INDEX('01_Swimmers'!$E$5:$E$22,MATCH(B1647,'01_Swimmers'!$A$5:$A$22,0)))/'00_Control'!$B$10,"")</f>
        <v/>
      </c>
      <c r="U1647" s="35">
        <f>IF(T1647="","",INT(T1647))</f>
        <v/>
      </c>
      <c r="V1647" s="33" t="inlineStr">
        <is>
          <t>NO</t>
        </is>
      </c>
      <c r="W1647" s="33" t="inlineStr">
        <is>
          <t>YES</t>
        </is>
      </c>
      <c r="X1647" s="33" t="inlineStr">
        <is>
          <t>NO</t>
        </is>
      </c>
      <c r="Y1647" s="33" t="n">
        <v>1</v>
      </c>
      <c r="Z1647" s="33" t="n">
        <v>4</v>
      </c>
      <c r="AA1647" s="33" t="inlineStr">
        <is>
          <t>1</t>
        </is>
      </c>
      <c r="AB1647" s="33" t="inlineStr">
        <is>
          <t>https://www.swimcloud.com/results/305560/event/16/?id=127539474#time127539474</t>
        </is>
      </c>
      <c r="AC1647" s="33" t="inlineStr">
        <is>
          <t>SwimCloud API v6 2026-10-08</t>
        </is>
      </c>
      <c r="AD1647" s="33" t="inlineStr">
        <is>
          <t>Kyle Chalmers|2024-06-13|LCM|100|Free|47.75|Australian Swimming Trials|FIN|False</t>
        </is>
      </c>
      <c r="AE1647" s="53">
        <f>G1647+L1647/1000+ROW()/1000000000</f>
        <v/>
      </c>
      <c r="AF1647" s="35">
        <f>IF(C1647&lt;&gt;"Grayson Coulter","",COUNTIFS($C$5:$C$2991,"Grayson Coulter",$Q$5:$Q$2991,Q1647,$AE$5:$AE$2991,"&lt;="&amp;AE1647,$R$5:$R$2991,"&lt;"&amp;R1647))</f>
        <v/>
      </c>
      <c r="AG1647" s="35">
        <f>IF(OR(C1647&lt;&gt;"Grayson Coulter",G1647&lt;'00_Control'!$B$7),"",--(AF1647&lt;5))</f>
        <v/>
      </c>
      <c r="AH1647" s="35">
        <f>IF(OR(C1647&lt;&gt;"Grayson Coulter",G1647&lt;'00_Control'!$B$7),"",--(AF1647&lt;10))</f>
        <v/>
      </c>
      <c r="AI1647" s="35">
        <f>IF(AND(C1647="Grayson Coulter",G1647&gt;='00_Control'!$B$7),"YES","NO")</f>
        <v/>
      </c>
      <c r="AJ1647" s="33" t="inlineStr">
        <is>
          <t>OK</t>
        </is>
      </c>
    </row>
    <row r="1648">
      <c r="A1648" s="33" t="inlineStr">
        <is>
          <t>SM001644</t>
        </is>
      </c>
      <c r="B1648" s="33" t="inlineStr">
        <is>
          <t>SW011</t>
        </is>
      </c>
      <c r="C1648" s="33" t="inlineStr">
        <is>
          <t>Kyle Chalmers</t>
        </is>
      </c>
      <c r="D1648" s="33" t="inlineStr">
        <is>
          <t>SwimCloud</t>
        </is>
      </c>
      <c r="E1648" s="33" t="inlineStr">
        <is>
          <t>419989</t>
        </is>
      </c>
      <c r="F1648" s="33" t="inlineStr">
        <is>
          <t>130572933</t>
        </is>
      </c>
      <c r="G1648" s="51" t="n">
        <v>45500</v>
      </c>
      <c r="H1648" s="33" t="inlineStr">
        <is>
          <t>Olympic Games</t>
        </is>
      </c>
      <c r="I1648" s="33" t="inlineStr">
        <is>
          <t>2424</t>
        </is>
      </c>
      <c r="J1648" s="33" t="inlineStr"/>
      <c r="K1648" s="33" t="inlineStr">
        <is>
          <t>PRE</t>
        </is>
      </c>
      <c r="L1648" s="35">
        <f>IF(K1648="FIN",3,IF(OR(K1648="SEM",K1648="SEMI"),2,IF(OR(K1648="PRE",K1648="HEAT"),1,IF(V1648="YES",4,2))))</f>
        <v/>
      </c>
      <c r="M1648" s="33" t="inlineStr">
        <is>
          <t>LCM</t>
        </is>
      </c>
      <c r="N1648" s="33" t="n">
        <v>100</v>
      </c>
      <c r="O1648" s="33" t="inlineStr">
        <is>
          <t>Free</t>
        </is>
      </c>
      <c r="P1648" s="33" t="inlineStr">
        <is>
          <t>100 Free</t>
        </is>
      </c>
      <c r="Q1648" s="33" t="inlineStr">
        <is>
          <t>LCM_100_FREE</t>
        </is>
      </c>
      <c r="R1648" s="36" t="n">
        <v>48.07</v>
      </c>
      <c r="S1648" s="35">
        <f>IF(R1648="","",IF(R1648&gt;=60,INT(R1648/60)&amp;":"&amp;TEXT(MOD(R1648,60),"00.00"),TEXT(R1648,"0.00")))</f>
        <v/>
      </c>
      <c r="T1648" s="52">
        <f>IFERROR((G1648-INDEX('01_Swimmers'!$E$5:$E$22,MATCH(B1648,'01_Swimmers'!$A$5:$A$22,0)))/'00_Control'!$B$10,"")</f>
        <v/>
      </c>
      <c r="U1648" s="35">
        <f>IF(T1648="","",INT(T1648))</f>
        <v/>
      </c>
      <c r="V1648" s="33" t="inlineStr">
        <is>
          <t>NO</t>
        </is>
      </c>
      <c r="W1648" s="33" t="inlineStr">
        <is>
          <t>YES</t>
        </is>
      </c>
      <c r="X1648" s="33" t="inlineStr">
        <is>
          <t>NO</t>
        </is>
      </c>
      <c r="Y1648" s="33" t="n">
        <v>10</v>
      </c>
      <c r="Z1648" s="33" t="n">
        <v>2</v>
      </c>
      <c r="AA1648" s="33" t="inlineStr">
        <is>
          <t>6</t>
        </is>
      </c>
      <c r="AB1648" s="33" t="inlineStr">
        <is>
          <t>https://www.swimcloud.com/results/2424/event/104/?id=130572933#time130572933</t>
        </is>
      </c>
      <c r="AC1648" s="33" t="inlineStr">
        <is>
          <t>SwimCloud API v6 2026-10-08</t>
        </is>
      </c>
      <c r="AD1648" s="33" t="inlineStr">
        <is>
          <t>Kyle Chalmers|2024-07-27|LCM|100|Free|48.07|Olympic Games|PRE|False</t>
        </is>
      </c>
      <c r="AE1648" s="53">
        <f>G1648+L1648/1000+ROW()/1000000000</f>
        <v/>
      </c>
      <c r="AF1648" s="35">
        <f>IF(C1648&lt;&gt;"Grayson Coulter","",COUNTIFS($C$5:$C$2991,"Grayson Coulter",$Q$5:$Q$2991,Q1648,$AE$5:$AE$2991,"&lt;="&amp;AE1648,$R$5:$R$2991,"&lt;"&amp;R1648))</f>
        <v/>
      </c>
      <c r="AG1648" s="35">
        <f>IF(OR(C1648&lt;&gt;"Grayson Coulter",G1648&lt;'00_Control'!$B$7),"",--(AF1648&lt;5))</f>
        <v/>
      </c>
      <c r="AH1648" s="35">
        <f>IF(OR(C1648&lt;&gt;"Grayson Coulter",G1648&lt;'00_Control'!$B$7),"",--(AF1648&lt;10))</f>
        <v/>
      </c>
      <c r="AI1648" s="35">
        <f>IF(AND(C1648="Grayson Coulter",G1648&gt;='00_Control'!$B$7),"YES","NO")</f>
        <v/>
      </c>
      <c r="AJ1648" s="33" t="inlineStr">
        <is>
          <t>OK</t>
        </is>
      </c>
    </row>
    <row r="1649">
      <c r="A1649" s="33" t="inlineStr">
        <is>
          <t>SM001645</t>
        </is>
      </c>
      <c r="B1649" s="33" t="inlineStr">
        <is>
          <t>SW011</t>
        </is>
      </c>
      <c r="C1649" s="33" t="inlineStr">
        <is>
          <t>Kyle Chalmers</t>
        </is>
      </c>
      <c r="D1649" s="33" t="inlineStr">
        <is>
          <t>SwimCloud</t>
        </is>
      </c>
      <c r="E1649" s="33" t="inlineStr">
        <is>
          <t>419989</t>
        </is>
      </c>
      <c r="F1649" s="33" t="inlineStr">
        <is>
          <t>130612911</t>
        </is>
      </c>
      <c r="G1649" s="51" t="n">
        <v>45500</v>
      </c>
      <c r="H1649" s="33" t="inlineStr">
        <is>
          <t>Olympic Games</t>
        </is>
      </c>
      <c r="I1649" s="33" t="inlineStr">
        <is>
          <t>2424</t>
        </is>
      </c>
      <c r="J1649" s="33" t="inlineStr"/>
      <c r="K1649" s="33" t="inlineStr">
        <is>
          <t>SEM</t>
        </is>
      </c>
      <c r="L1649" s="35">
        <f>IF(K1649="FIN",3,IF(OR(K1649="SEM",K1649="SEMI"),2,IF(OR(K1649="PRE",K1649="HEAT"),1,IF(V1649="YES",4,2))))</f>
        <v/>
      </c>
      <c r="M1649" s="33" t="inlineStr">
        <is>
          <t>LCM</t>
        </is>
      </c>
      <c r="N1649" s="33" t="n">
        <v>100</v>
      </c>
      <c r="O1649" s="33" t="inlineStr">
        <is>
          <t>Free</t>
        </is>
      </c>
      <c r="P1649" s="33" t="inlineStr">
        <is>
          <t>100 Free</t>
        </is>
      </c>
      <c r="Q1649" s="33" t="inlineStr">
        <is>
          <t>LCM_100_FREE</t>
        </is>
      </c>
      <c r="R1649" s="36" t="n">
        <v>47.58</v>
      </c>
      <c r="S1649" s="35">
        <f>IF(R1649="","",IF(R1649&gt;=60,INT(R1649/60)&amp;":"&amp;TEXT(MOD(R1649,60),"00.00"),TEXT(R1649,"0.00")))</f>
        <v/>
      </c>
      <c r="T1649" s="52">
        <f>IFERROR((G1649-INDEX('01_Swimmers'!$E$5:$E$22,MATCH(B1649,'01_Swimmers'!$A$5:$A$22,0)))/'00_Control'!$B$10,"")</f>
        <v/>
      </c>
      <c r="U1649" s="35">
        <f>IF(T1649="","",INT(T1649))</f>
        <v/>
      </c>
      <c r="V1649" s="33" t="inlineStr">
        <is>
          <t>NO</t>
        </is>
      </c>
      <c r="W1649" s="33" t="inlineStr">
        <is>
          <t>YES</t>
        </is>
      </c>
      <c r="X1649" s="33" t="inlineStr">
        <is>
          <t>NO</t>
        </is>
      </c>
      <c r="Y1649" s="33" t="n">
        <v>2</v>
      </c>
      <c r="Z1649" s="33" t="n">
        <v>2</v>
      </c>
      <c r="AA1649" s="33" t="inlineStr">
        <is>
          <t>2</t>
        </is>
      </c>
      <c r="AB1649" s="33" t="inlineStr">
        <is>
          <t>https://www.swimcloud.com/results/2424/event/104/?id=130612911#time130612911</t>
        </is>
      </c>
      <c r="AC1649" s="33" t="inlineStr">
        <is>
          <t>SwimCloud API v6 2026-10-08</t>
        </is>
      </c>
      <c r="AD1649" s="33" t="inlineStr">
        <is>
          <t>Kyle Chalmers|2024-07-27|LCM|100|Free|47.58|Olympic Games|SEM|False</t>
        </is>
      </c>
      <c r="AE1649" s="53">
        <f>G1649+L1649/1000+ROW()/1000000000</f>
        <v/>
      </c>
      <c r="AF1649" s="35">
        <f>IF(C1649&lt;&gt;"Grayson Coulter","",COUNTIFS($C$5:$C$2991,"Grayson Coulter",$Q$5:$Q$2991,Q1649,$AE$5:$AE$2991,"&lt;="&amp;AE1649,$R$5:$R$2991,"&lt;"&amp;R1649))</f>
        <v/>
      </c>
      <c r="AG1649" s="35">
        <f>IF(OR(C1649&lt;&gt;"Grayson Coulter",G1649&lt;'00_Control'!$B$7),"",--(AF1649&lt;5))</f>
        <v/>
      </c>
      <c r="AH1649" s="35">
        <f>IF(OR(C1649&lt;&gt;"Grayson Coulter",G1649&lt;'00_Control'!$B$7),"",--(AF1649&lt;10))</f>
        <v/>
      </c>
      <c r="AI1649" s="35">
        <f>IF(AND(C1649="Grayson Coulter",G1649&gt;='00_Control'!$B$7),"YES","NO")</f>
        <v/>
      </c>
      <c r="AJ1649" s="33" t="inlineStr">
        <is>
          <t>OK</t>
        </is>
      </c>
    </row>
    <row r="1650">
      <c r="A1650" s="33" t="inlineStr">
        <is>
          <t>SM001646</t>
        </is>
      </c>
      <c r="B1650" s="33" t="inlineStr">
        <is>
          <t>SW011</t>
        </is>
      </c>
      <c r="C1650" s="33" t="inlineStr">
        <is>
          <t>Kyle Chalmers</t>
        </is>
      </c>
      <c r="D1650" s="33" t="inlineStr">
        <is>
          <t>SwimCloud</t>
        </is>
      </c>
      <c r="E1650" s="33" t="inlineStr">
        <is>
          <t>419989</t>
        </is>
      </c>
      <c r="F1650" s="33" t="inlineStr">
        <is>
          <t>130612927</t>
        </is>
      </c>
      <c r="G1650" s="51" t="n">
        <v>45500</v>
      </c>
      <c r="H1650" s="33" t="inlineStr">
        <is>
          <t>Olympic Games</t>
        </is>
      </c>
      <c r="I1650" s="33" t="inlineStr">
        <is>
          <t>2424</t>
        </is>
      </c>
      <c r="J1650" s="33" t="inlineStr"/>
      <c r="K1650" s="33" t="inlineStr">
        <is>
          <t>FIN</t>
        </is>
      </c>
      <c r="L1650" s="35">
        <f>IF(K1650="FIN",3,IF(OR(K1650="SEM",K1650="SEMI"),2,IF(OR(K1650="PRE",K1650="HEAT"),1,IF(V1650="YES",4,2))))</f>
        <v/>
      </c>
      <c r="M1650" s="33" t="inlineStr">
        <is>
          <t>LCM</t>
        </is>
      </c>
      <c r="N1650" s="33" t="n">
        <v>100</v>
      </c>
      <c r="O1650" s="33" t="inlineStr">
        <is>
          <t>Free</t>
        </is>
      </c>
      <c r="P1650" s="33" t="inlineStr">
        <is>
          <t>100 Free</t>
        </is>
      </c>
      <c r="Q1650" s="33" t="inlineStr">
        <is>
          <t>LCM_100_FREE</t>
        </is>
      </c>
      <c r="R1650" s="36" t="n">
        <v>47.48</v>
      </c>
      <c r="S1650" s="35">
        <f>IF(R1650="","",IF(R1650&gt;=60,INT(R1650/60)&amp;":"&amp;TEXT(MOD(R1650,60),"00.00"),TEXT(R1650,"0.00")))</f>
        <v/>
      </c>
      <c r="T1650" s="52">
        <f>IFERROR((G1650-INDEX('01_Swimmers'!$E$5:$E$22,MATCH(B1650,'01_Swimmers'!$A$5:$A$22,0)))/'00_Control'!$B$10,"")</f>
        <v/>
      </c>
      <c r="U1650" s="35">
        <f>IF(T1650="","",INT(T1650))</f>
        <v/>
      </c>
      <c r="V1650" s="33" t="inlineStr">
        <is>
          <t>NO</t>
        </is>
      </c>
      <c r="W1650" s="33" t="inlineStr">
        <is>
          <t>YES</t>
        </is>
      </c>
      <c r="X1650" s="33" t="inlineStr">
        <is>
          <t>NO</t>
        </is>
      </c>
      <c r="Y1650" s="33" t="n">
        <v>1</v>
      </c>
      <c r="Z1650" s="33" t="n">
        <v>5</v>
      </c>
      <c r="AA1650" s="33" t="inlineStr">
        <is>
          <t>2</t>
        </is>
      </c>
      <c r="AB1650" s="33" t="inlineStr">
        <is>
          <t>https://www.swimcloud.com/results/2424/event/104/?id=130612927#time130612927</t>
        </is>
      </c>
      <c r="AC1650" s="33" t="inlineStr">
        <is>
          <t>SwimCloud API v6 2026-10-08</t>
        </is>
      </c>
      <c r="AD1650" s="33" t="inlineStr">
        <is>
          <t>Kyle Chalmers|2024-07-27|LCM|100|Free|47.48|Olympic Games|FIN|False</t>
        </is>
      </c>
      <c r="AE1650" s="53">
        <f>G1650+L1650/1000+ROW()/1000000000</f>
        <v/>
      </c>
      <c r="AF1650" s="35">
        <f>IF(C1650&lt;&gt;"Grayson Coulter","",COUNTIFS($C$5:$C$2991,"Grayson Coulter",$Q$5:$Q$2991,Q1650,$AE$5:$AE$2991,"&lt;="&amp;AE1650,$R$5:$R$2991,"&lt;"&amp;R1650))</f>
        <v/>
      </c>
      <c r="AG1650" s="35">
        <f>IF(OR(C1650&lt;&gt;"Grayson Coulter",G1650&lt;'00_Control'!$B$7),"",--(AF1650&lt;5))</f>
        <v/>
      </c>
      <c r="AH1650" s="35">
        <f>IF(OR(C1650&lt;&gt;"Grayson Coulter",G1650&lt;'00_Control'!$B$7),"",--(AF1650&lt;10))</f>
        <v/>
      </c>
      <c r="AI1650" s="35">
        <f>IF(AND(C1650="Grayson Coulter",G1650&gt;='00_Control'!$B$7),"YES","NO")</f>
        <v/>
      </c>
      <c r="AJ1650" s="33" t="inlineStr">
        <is>
          <t>OK</t>
        </is>
      </c>
    </row>
    <row r="1651">
      <c r="A1651" s="33" t="inlineStr">
        <is>
          <t>SM001647</t>
        </is>
      </c>
      <c r="B1651" s="33" t="inlineStr">
        <is>
          <t>SW011</t>
        </is>
      </c>
      <c r="C1651" s="33" t="inlineStr">
        <is>
          <t>Kyle Chalmers</t>
        </is>
      </c>
      <c r="D1651" s="33" t="inlineStr">
        <is>
          <t>SwimCloud</t>
        </is>
      </c>
      <c r="E1651" s="33" t="inlineStr">
        <is>
          <t>419989</t>
        </is>
      </c>
      <c r="F1651" s="33" t="inlineStr">
        <is>
          <t>150615063</t>
        </is>
      </c>
      <c r="G1651" s="51" t="n">
        <v>45751</v>
      </c>
      <c r="H1651" s="33" t="inlineStr">
        <is>
          <t>Bergen Swim Festival</t>
        </is>
      </c>
      <c r="I1651" s="33" t="inlineStr">
        <is>
          <t>341678</t>
        </is>
      </c>
      <c r="J1651" s="33" t="inlineStr"/>
      <c r="K1651" s="33" t="inlineStr">
        <is>
          <t>PRE</t>
        </is>
      </c>
      <c r="L1651" s="35">
        <f>IF(K1651="FIN",3,IF(OR(K1651="SEM",K1651="SEMI"),2,IF(OR(K1651="PRE",K1651="HEAT"),1,IF(V1651="YES",4,2))))</f>
        <v/>
      </c>
      <c r="M1651" s="33" t="inlineStr">
        <is>
          <t>LCM</t>
        </is>
      </c>
      <c r="N1651" s="33" t="n">
        <v>100</v>
      </c>
      <c r="O1651" s="33" t="inlineStr">
        <is>
          <t>Free</t>
        </is>
      </c>
      <c r="P1651" s="33" t="inlineStr">
        <is>
          <t>100 Free</t>
        </is>
      </c>
      <c r="Q1651" s="33" t="inlineStr">
        <is>
          <t>LCM_100_FREE</t>
        </is>
      </c>
      <c r="R1651" s="36" t="n">
        <v>48.04</v>
      </c>
      <c r="S1651" s="35">
        <f>IF(R1651="","",IF(R1651&gt;=60,INT(R1651/60)&amp;":"&amp;TEXT(MOD(R1651,60),"00.00"),TEXT(R1651,"0.00")))</f>
        <v/>
      </c>
      <c r="T1651" s="52">
        <f>IFERROR((G1651-INDEX('01_Swimmers'!$E$5:$E$22,MATCH(B1651,'01_Swimmers'!$A$5:$A$22,0)))/'00_Control'!$B$10,"")</f>
        <v/>
      </c>
      <c r="U1651" s="35">
        <f>IF(T1651="","",INT(T1651))</f>
        <v/>
      </c>
      <c r="V1651" s="33" t="inlineStr">
        <is>
          <t>NO</t>
        </is>
      </c>
      <c r="W1651" s="33" t="inlineStr">
        <is>
          <t>YES</t>
        </is>
      </c>
      <c r="X1651" s="33" t="inlineStr">
        <is>
          <t>NO</t>
        </is>
      </c>
      <c r="Y1651" s="33" t="n"/>
      <c r="Z1651" s="33" t="n"/>
      <c r="AA1651" s="33" t="inlineStr">
        <is>
          <t>1</t>
        </is>
      </c>
      <c r="AB1651" s="33" t="inlineStr">
        <is>
          <t>https://www.swimcloud.com/results/341678/event/8/?id=150615063#time150615063</t>
        </is>
      </c>
      <c r="AC1651" s="33" t="inlineStr">
        <is>
          <t>SwimCloud API v6 2026-10-08</t>
        </is>
      </c>
      <c r="AD1651" s="33" t="inlineStr">
        <is>
          <t>Kyle Chalmers|2025-04-04|LCM|100|Free|48.04|Bergen Swim Festival|PRE|False</t>
        </is>
      </c>
      <c r="AE1651" s="53">
        <f>G1651+L1651/1000+ROW()/1000000000</f>
        <v/>
      </c>
      <c r="AF1651" s="35">
        <f>IF(C1651&lt;&gt;"Grayson Coulter","",COUNTIFS($C$5:$C$2991,"Grayson Coulter",$Q$5:$Q$2991,Q1651,$AE$5:$AE$2991,"&lt;="&amp;AE1651,$R$5:$R$2991,"&lt;"&amp;R1651))</f>
        <v/>
      </c>
      <c r="AG1651" s="35">
        <f>IF(OR(C1651&lt;&gt;"Grayson Coulter",G1651&lt;'00_Control'!$B$7),"",--(AF1651&lt;5))</f>
        <v/>
      </c>
      <c r="AH1651" s="35">
        <f>IF(OR(C1651&lt;&gt;"Grayson Coulter",G1651&lt;'00_Control'!$B$7),"",--(AF1651&lt;10))</f>
        <v/>
      </c>
      <c r="AI1651" s="35">
        <f>IF(AND(C1651="Grayson Coulter",G1651&gt;='00_Control'!$B$7),"YES","NO")</f>
        <v/>
      </c>
      <c r="AJ1651" s="33" t="inlineStr">
        <is>
          <t>OK</t>
        </is>
      </c>
    </row>
    <row r="1652">
      <c r="A1652" s="33" t="inlineStr">
        <is>
          <t>SM001648</t>
        </is>
      </c>
      <c r="B1652" s="33" t="inlineStr">
        <is>
          <t>SW011</t>
        </is>
      </c>
      <c r="C1652" s="33" t="inlineStr">
        <is>
          <t>Kyle Chalmers</t>
        </is>
      </c>
      <c r="D1652" s="33" t="inlineStr">
        <is>
          <t>SwimCloud</t>
        </is>
      </c>
      <c r="E1652" s="33" t="inlineStr">
        <is>
          <t>419989</t>
        </is>
      </c>
      <c r="F1652" s="33" t="inlineStr">
        <is>
          <t>150615065</t>
        </is>
      </c>
      <c r="G1652" s="51" t="n">
        <v>45751</v>
      </c>
      <c r="H1652" s="33" t="inlineStr">
        <is>
          <t>Bergen Swim Festival</t>
        </is>
      </c>
      <c r="I1652" s="33" t="inlineStr">
        <is>
          <t>341678</t>
        </is>
      </c>
      <c r="J1652" s="33" t="inlineStr"/>
      <c r="K1652" s="33" t="inlineStr">
        <is>
          <t>FIN</t>
        </is>
      </c>
      <c r="L1652" s="35">
        <f>IF(K1652="FIN",3,IF(OR(K1652="SEM",K1652="SEMI"),2,IF(OR(K1652="PRE",K1652="HEAT"),1,IF(V1652="YES",4,2))))</f>
        <v/>
      </c>
      <c r="M1652" s="33" t="inlineStr">
        <is>
          <t>LCM</t>
        </is>
      </c>
      <c r="N1652" s="33" t="n">
        <v>100</v>
      </c>
      <c r="O1652" s="33" t="inlineStr">
        <is>
          <t>Free</t>
        </is>
      </c>
      <c r="P1652" s="33" t="inlineStr">
        <is>
          <t>100 Free</t>
        </is>
      </c>
      <c r="Q1652" s="33" t="inlineStr">
        <is>
          <t>LCM_100_FREE</t>
        </is>
      </c>
      <c r="R1652" s="36" t="n">
        <v>47.27</v>
      </c>
      <c r="S1652" s="35">
        <f>IF(R1652="","",IF(R1652&gt;=60,INT(R1652/60)&amp;":"&amp;TEXT(MOD(R1652,60),"00.00"),TEXT(R1652,"0.00")))</f>
        <v/>
      </c>
      <c r="T1652" s="52">
        <f>IFERROR((G1652-INDEX('01_Swimmers'!$E$5:$E$22,MATCH(B1652,'01_Swimmers'!$A$5:$A$22,0)))/'00_Control'!$B$10,"")</f>
        <v/>
      </c>
      <c r="U1652" s="35">
        <f>IF(T1652="","",INT(T1652))</f>
        <v/>
      </c>
      <c r="V1652" s="33" t="inlineStr">
        <is>
          <t>NO</t>
        </is>
      </c>
      <c r="W1652" s="33" t="inlineStr">
        <is>
          <t>YES</t>
        </is>
      </c>
      <c r="X1652" s="33" t="inlineStr">
        <is>
          <t>NO</t>
        </is>
      </c>
      <c r="Y1652" s="33" t="n"/>
      <c r="Z1652" s="33" t="n"/>
      <c r="AA1652" s="33" t="inlineStr">
        <is>
          <t>1</t>
        </is>
      </c>
      <c r="AB1652" s="33" t="inlineStr">
        <is>
          <t>https://www.swimcloud.com/results/341678/event/8/?id=150615065#time150615065</t>
        </is>
      </c>
      <c r="AC1652" s="33" t="inlineStr">
        <is>
          <t>SwimCloud API v6 2026-10-08</t>
        </is>
      </c>
      <c r="AD1652" s="33" t="inlineStr">
        <is>
          <t>Kyle Chalmers|2025-04-04|LCM|100|Free|47.27|Bergen Swim Festival|FIN|False</t>
        </is>
      </c>
      <c r="AE1652" s="53">
        <f>G1652+L1652/1000+ROW()/1000000000</f>
        <v/>
      </c>
      <c r="AF1652" s="35">
        <f>IF(C1652&lt;&gt;"Grayson Coulter","",COUNTIFS($C$5:$C$2991,"Grayson Coulter",$Q$5:$Q$2991,Q1652,$AE$5:$AE$2991,"&lt;="&amp;AE1652,$R$5:$R$2991,"&lt;"&amp;R1652))</f>
        <v/>
      </c>
      <c r="AG1652" s="35">
        <f>IF(OR(C1652&lt;&gt;"Grayson Coulter",G1652&lt;'00_Control'!$B$7),"",--(AF1652&lt;5))</f>
        <v/>
      </c>
      <c r="AH1652" s="35">
        <f>IF(OR(C1652&lt;&gt;"Grayson Coulter",G1652&lt;'00_Control'!$B$7),"",--(AF1652&lt;10))</f>
        <v/>
      </c>
      <c r="AI1652" s="35">
        <f>IF(AND(C1652="Grayson Coulter",G1652&gt;='00_Control'!$B$7),"YES","NO")</f>
        <v/>
      </c>
      <c r="AJ1652" s="33" t="inlineStr">
        <is>
          <t>OK</t>
        </is>
      </c>
    </row>
    <row r="1653">
      <c r="A1653" s="33" t="inlineStr">
        <is>
          <t>SM001649</t>
        </is>
      </c>
      <c r="B1653" s="33" t="inlineStr">
        <is>
          <t>SW011</t>
        </is>
      </c>
      <c r="C1653" s="33" t="inlineStr">
        <is>
          <t>Kyle Chalmers</t>
        </is>
      </c>
      <c r="D1653" s="33" t="inlineStr">
        <is>
          <t>SwimCloud</t>
        </is>
      </c>
      <c r="E1653" s="33" t="inlineStr">
        <is>
          <t>419989</t>
        </is>
      </c>
      <c r="F1653" s="33" t="inlineStr">
        <is>
          <t>150538445</t>
        </is>
      </c>
      <c r="G1653" s="51" t="n">
        <v>45761</v>
      </c>
      <c r="H1653" s="33" t="inlineStr">
        <is>
          <t>Malmsten Swim Open Stockholm</t>
        </is>
      </c>
      <c r="I1653" s="33" t="inlineStr">
        <is>
          <t>341870</t>
        </is>
      </c>
      <c r="J1653" s="33" t="inlineStr"/>
      <c r="K1653" s="33" t="inlineStr">
        <is>
          <t>PRE</t>
        </is>
      </c>
      <c r="L1653" s="35">
        <f>IF(K1653="FIN",3,IF(OR(K1653="SEM",K1653="SEMI"),2,IF(OR(K1653="PRE",K1653="HEAT"),1,IF(V1653="YES",4,2))))</f>
        <v/>
      </c>
      <c r="M1653" s="33" t="inlineStr">
        <is>
          <t>LCM</t>
        </is>
      </c>
      <c r="N1653" s="33" t="n">
        <v>100</v>
      </c>
      <c r="O1653" s="33" t="inlineStr">
        <is>
          <t>Free</t>
        </is>
      </c>
      <c r="P1653" s="33" t="inlineStr">
        <is>
          <t>100 Free</t>
        </is>
      </c>
      <c r="Q1653" s="33" t="inlineStr">
        <is>
          <t>LCM_100_FREE</t>
        </is>
      </c>
      <c r="R1653" s="36" t="n">
        <v>48.37</v>
      </c>
      <c r="S1653" s="35">
        <f>IF(R1653="","",IF(R1653&gt;=60,INT(R1653/60)&amp;":"&amp;TEXT(MOD(R1653,60),"00.00"),TEXT(R1653,"0.00")))</f>
        <v/>
      </c>
      <c r="T1653" s="52">
        <f>IFERROR((G1653-INDEX('01_Swimmers'!$E$5:$E$22,MATCH(B1653,'01_Swimmers'!$A$5:$A$22,0)))/'00_Control'!$B$10,"")</f>
        <v/>
      </c>
      <c r="U1653" s="35">
        <f>IF(T1653="","",INT(T1653))</f>
        <v/>
      </c>
      <c r="V1653" s="33" t="inlineStr">
        <is>
          <t>NO</t>
        </is>
      </c>
      <c r="W1653" s="33" t="inlineStr">
        <is>
          <t>YES</t>
        </is>
      </c>
      <c r="X1653" s="33" t="inlineStr">
        <is>
          <t>NO</t>
        </is>
      </c>
      <c r="Y1653" s="33" t="n">
        <v>6</v>
      </c>
      <c r="Z1653" s="33" t="n">
        <v>4</v>
      </c>
      <c r="AA1653" s="33" t="inlineStr">
        <is>
          <t>1</t>
        </is>
      </c>
      <c r="AB1653" s="33" t="inlineStr">
        <is>
          <t>https://www.swimcloud.com/results/341870/event/19/?id=150538445#time150538445</t>
        </is>
      </c>
      <c r="AC1653" s="33" t="inlineStr">
        <is>
          <t>SwimCloud API v6 2026-10-08</t>
        </is>
      </c>
      <c r="AD1653" s="33" t="inlineStr">
        <is>
          <t>Kyle Chalmers|2025-04-14|LCM|100|Free|48.37|Malmsten Swim Open Stockholm|PRE|False</t>
        </is>
      </c>
      <c r="AE1653" s="53">
        <f>G1653+L1653/1000+ROW()/1000000000</f>
        <v/>
      </c>
      <c r="AF1653" s="35">
        <f>IF(C1653&lt;&gt;"Grayson Coulter","",COUNTIFS($C$5:$C$2991,"Grayson Coulter",$Q$5:$Q$2991,Q1653,$AE$5:$AE$2991,"&lt;="&amp;AE1653,$R$5:$R$2991,"&lt;"&amp;R1653))</f>
        <v/>
      </c>
      <c r="AG1653" s="35">
        <f>IF(OR(C1653&lt;&gt;"Grayson Coulter",G1653&lt;'00_Control'!$B$7),"",--(AF1653&lt;5))</f>
        <v/>
      </c>
      <c r="AH1653" s="35">
        <f>IF(OR(C1653&lt;&gt;"Grayson Coulter",G1653&lt;'00_Control'!$B$7),"",--(AF1653&lt;10))</f>
        <v/>
      </c>
      <c r="AI1653" s="35">
        <f>IF(AND(C1653="Grayson Coulter",G1653&gt;='00_Control'!$B$7),"YES","NO")</f>
        <v/>
      </c>
      <c r="AJ1653" s="33" t="inlineStr">
        <is>
          <t>OK</t>
        </is>
      </c>
    </row>
    <row r="1654">
      <c r="A1654" s="33" t="inlineStr">
        <is>
          <t>SM001650</t>
        </is>
      </c>
      <c r="B1654" s="33" t="inlineStr">
        <is>
          <t>SW011</t>
        </is>
      </c>
      <c r="C1654" s="33" t="inlineStr">
        <is>
          <t>Kyle Chalmers</t>
        </is>
      </c>
      <c r="D1654" s="33" t="inlineStr">
        <is>
          <t>SwimCloud</t>
        </is>
      </c>
      <c r="E1654" s="33" t="inlineStr">
        <is>
          <t>419989</t>
        </is>
      </c>
      <c r="F1654" s="33" t="inlineStr">
        <is>
          <t>150538446</t>
        </is>
      </c>
      <c r="G1654" s="51" t="n">
        <v>45761</v>
      </c>
      <c r="H1654" s="33" t="inlineStr">
        <is>
          <t>Malmsten Swim Open Stockholm</t>
        </is>
      </c>
      <c r="I1654" s="33" t="inlineStr">
        <is>
          <t>341870</t>
        </is>
      </c>
      <c r="J1654" s="33" t="inlineStr"/>
      <c r="K1654" s="33" t="inlineStr">
        <is>
          <t>FIN</t>
        </is>
      </c>
      <c r="L1654" s="35">
        <f>IF(K1654="FIN",3,IF(OR(K1654="SEM",K1654="SEMI"),2,IF(OR(K1654="PRE",K1654="HEAT"),1,IF(V1654="YES",4,2))))</f>
        <v/>
      </c>
      <c r="M1654" s="33" t="inlineStr">
        <is>
          <t>LCM</t>
        </is>
      </c>
      <c r="N1654" s="33" t="n">
        <v>100</v>
      </c>
      <c r="O1654" s="33" t="inlineStr">
        <is>
          <t>Free</t>
        </is>
      </c>
      <c r="P1654" s="33" t="inlineStr">
        <is>
          <t>100 Free</t>
        </is>
      </c>
      <c r="Q1654" s="33" t="inlineStr">
        <is>
          <t>LCM_100_FREE</t>
        </is>
      </c>
      <c r="R1654" s="36" t="n">
        <v>48.03</v>
      </c>
      <c r="S1654" s="35">
        <f>IF(R1654="","",IF(R1654&gt;=60,INT(R1654/60)&amp;":"&amp;TEXT(MOD(R1654,60),"00.00"),TEXT(R1654,"0.00")))</f>
        <v/>
      </c>
      <c r="T1654" s="52">
        <f>IFERROR((G1654-INDEX('01_Swimmers'!$E$5:$E$22,MATCH(B1654,'01_Swimmers'!$A$5:$A$22,0)))/'00_Control'!$B$10,"")</f>
        <v/>
      </c>
      <c r="U1654" s="35">
        <f>IF(T1654="","",INT(T1654))</f>
        <v/>
      </c>
      <c r="V1654" s="33" t="inlineStr">
        <is>
          <t>NO</t>
        </is>
      </c>
      <c r="W1654" s="33" t="inlineStr">
        <is>
          <t>YES</t>
        </is>
      </c>
      <c r="X1654" s="33" t="inlineStr">
        <is>
          <t>NO</t>
        </is>
      </c>
      <c r="Y1654" s="33" t="n">
        <v>3</v>
      </c>
      <c r="Z1654" s="33" t="n">
        <v>4</v>
      </c>
      <c r="AA1654" s="33" t="inlineStr">
        <is>
          <t>1</t>
        </is>
      </c>
      <c r="AB1654" s="33" t="inlineStr">
        <is>
          <t>https://www.swimcloud.com/results/341870/event/19/?id=150538446#time150538446</t>
        </is>
      </c>
      <c r="AC1654" s="33" t="inlineStr">
        <is>
          <t>SwimCloud API v6 2026-10-08</t>
        </is>
      </c>
      <c r="AD1654" s="33" t="inlineStr">
        <is>
          <t>Kyle Chalmers|2025-04-14|LCM|100|Free|48.03|Malmsten Swim Open Stockholm|FIN|False</t>
        </is>
      </c>
      <c r="AE1654" s="53">
        <f>G1654+L1654/1000+ROW()/1000000000</f>
        <v/>
      </c>
      <c r="AF1654" s="35">
        <f>IF(C1654&lt;&gt;"Grayson Coulter","",COUNTIFS($C$5:$C$2991,"Grayson Coulter",$Q$5:$Q$2991,Q1654,$AE$5:$AE$2991,"&lt;="&amp;AE1654,$R$5:$R$2991,"&lt;"&amp;R1654))</f>
        <v/>
      </c>
      <c r="AG1654" s="35">
        <f>IF(OR(C1654&lt;&gt;"Grayson Coulter",G1654&lt;'00_Control'!$B$7),"",--(AF1654&lt;5))</f>
        <v/>
      </c>
      <c r="AH1654" s="35">
        <f>IF(OR(C1654&lt;&gt;"Grayson Coulter",G1654&lt;'00_Control'!$B$7),"",--(AF1654&lt;10))</f>
        <v/>
      </c>
      <c r="AI1654" s="35">
        <f>IF(AND(C1654="Grayson Coulter",G1654&gt;='00_Control'!$B$7),"YES","NO")</f>
        <v/>
      </c>
      <c r="AJ1654" s="33" t="inlineStr">
        <is>
          <t>OK</t>
        </is>
      </c>
    </row>
    <row r="1655">
      <c r="A1655" s="33" t="inlineStr">
        <is>
          <t>SM001651</t>
        </is>
      </c>
      <c r="B1655" s="33" t="inlineStr">
        <is>
          <t>SW011</t>
        </is>
      </c>
      <c r="C1655" s="33" t="inlineStr">
        <is>
          <t>Kyle Chalmers</t>
        </is>
      </c>
      <c r="D1655" s="33" t="inlineStr">
        <is>
          <t>SwimCloud</t>
        </is>
      </c>
      <c r="E1655" s="33" t="inlineStr">
        <is>
          <t>419989</t>
        </is>
      </c>
      <c r="F1655" s="33" t="inlineStr">
        <is>
          <t>153447257</t>
        </is>
      </c>
      <c r="G1655" s="51" t="n">
        <v>45820</v>
      </c>
      <c r="H1655" s="33" t="inlineStr">
        <is>
          <t>Australian Swimming Trials</t>
        </is>
      </c>
      <c r="I1655" s="33" t="inlineStr">
        <is>
          <t>345789</t>
        </is>
      </c>
      <c r="J1655" s="33" t="inlineStr"/>
      <c r="K1655" s="33" t="inlineStr">
        <is>
          <t>PRE</t>
        </is>
      </c>
      <c r="L1655" s="35">
        <f>IF(K1655="FIN",3,IF(OR(K1655="SEM",K1655="SEMI"),2,IF(OR(K1655="PRE",K1655="HEAT"),1,IF(V1655="YES",4,2))))</f>
        <v/>
      </c>
      <c r="M1655" s="33" t="inlineStr">
        <is>
          <t>LCM</t>
        </is>
      </c>
      <c r="N1655" s="33" t="n">
        <v>100</v>
      </c>
      <c r="O1655" s="33" t="inlineStr">
        <is>
          <t>Free</t>
        </is>
      </c>
      <c r="P1655" s="33" t="inlineStr">
        <is>
          <t>100 Free</t>
        </is>
      </c>
      <c r="Q1655" s="33" t="inlineStr">
        <is>
          <t>LCM_100_FREE</t>
        </is>
      </c>
      <c r="R1655" s="36" t="n">
        <v>48.26</v>
      </c>
      <c r="S1655" s="35">
        <f>IF(R1655="","",IF(R1655&gt;=60,INT(R1655/60)&amp;":"&amp;TEXT(MOD(R1655,60),"00.00"),TEXT(R1655,"0.00")))</f>
        <v/>
      </c>
      <c r="T1655" s="52">
        <f>IFERROR((G1655-INDEX('01_Swimmers'!$E$5:$E$22,MATCH(B1655,'01_Swimmers'!$A$5:$A$22,0)))/'00_Control'!$B$10,"")</f>
        <v/>
      </c>
      <c r="U1655" s="35">
        <f>IF(T1655="","",INT(T1655))</f>
        <v/>
      </c>
      <c r="V1655" s="33" t="inlineStr">
        <is>
          <t>NO</t>
        </is>
      </c>
      <c r="W1655" s="33" t="inlineStr">
        <is>
          <t>YES</t>
        </is>
      </c>
      <c r="X1655" s="33" t="inlineStr">
        <is>
          <t>NO</t>
        </is>
      </c>
      <c r="Y1655" s="33" t="n">
        <v>1</v>
      </c>
      <c r="Z1655" s="33" t="n">
        <v>4</v>
      </c>
      <c r="AA1655" s="33" t="inlineStr">
        <is>
          <t>1</t>
        </is>
      </c>
      <c r="AB1655" s="33" t="inlineStr">
        <is>
          <t>https://www.swimcloud.com/results/345789/event/43/?id=153447257#time153447257</t>
        </is>
      </c>
      <c r="AC1655" s="33" t="inlineStr">
        <is>
          <t>SwimCloud API v6 2026-10-08</t>
        </is>
      </c>
      <c r="AD1655" s="33" t="inlineStr">
        <is>
          <t>Kyle Chalmers|2025-06-12|LCM|100|Free|48.26|Australian Swimming Trials|PRE|False</t>
        </is>
      </c>
      <c r="AE1655" s="53">
        <f>G1655+L1655/1000+ROW()/1000000000</f>
        <v/>
      </c>
      <c r="AF1655" s="35">
        <f>IF(C1655&lt;&gt;"Grayson Coulter","",COUNTIFS($C$5:$C$2991,"Grayson Coulter",$Q$5:$Q$2991,Q1655,$AE$5:$AE$2991,"&lt;="&amp;AE1655,$R$5:$R$2991,"&lt;"&amp;R1655))</f>
        <v/>
      </c>
      <c r="AG1655" s="35">
        <f>IF(OR(C1655&lt;&gt;"Grayson Coulter",G1655&lt;'00_Control'!$B$7),"",--(AF1655&lt;5))</f>
        <v/>
      </c>
      <c r="AH1655" s="35">
        <f>IF(OR(C1655&lt;&gt;"Grayson Coulter",G1655&lt;'00_Control'!$B$7),"",--(AF1655&lt;10))</f>
        <v/>
      </c>
      <c r="AI1655" s="35">
        <f>IF(AND(C1655="Grayson Coulter",G1655&gt;='00_Control'!$B$7),"YES","NO")</f>
        <v/>
      </c>
      <c r="AJ1655" s="33" t="inlineStr">
        <is>
          <t>OK</t>
        </is>
      </c>
    </row>
    <row r="1656">
      <c r="A1656" s="33" t="inlineStr">
        <is>
          <t>SM001652</t>
        </is>
      </c>
      <c r="B1656" s="33" t="inlineStr">
        <is>
          <t>SW011</t>
        </is>
      </c>
      <c r="C1656" s="33" t="inlineStr">
        <is>
          <t>Kyle Chalmers</t>
        </is>
      </c>
      <c r="D1656" s="33" t="inlineStr">
        <is>
          <t>SwimCloud</t>
        </is>
      </c>
      <c r="E1656" s="33" t="inlineStr">
        <is>
          <t>419989</t>
        </is>
      </c>
      <c r="F1656" s="33" t="inlineStr">
        <is>
          <t>153447258</t>
        </is>
      </c>
      <c r="G1656" s="51" t="n">
        <v>45820</v>
      </c>
      <c r="H1656" s="33" t="inlineStr">
        <is>
          <t>Australian Swimming Trials</t>
        </is>
      </c>
      <c r="I1656" s="33" t="inlineStr">
        <is>
          <t>345789</t>
        </is>
      </c>
      <c r="J1656" s="33" t="inlineStr"/>
      <c r="K1656" s="33" t="inlineStr">
        <is>
          <t>FIN</t>
        </is>
      </c>
      <c r="L1656" s="35">
        <f>IF(K1656="FIN",3,IF(OR(K1656="SEM",K1656="SEMI"),2,IF(OR(K1656="PRE",K1656="HEAT"),1,IF(V1656="YES",4,2))))</f>
        <v/>
      </c>
      <c r="M1656" s="33" t="inlineStr">
        <is>
          <t>LCM</t>
        </is>
      </c>
      <c r="N1656" s="33" t="n">
        <v>100</v>
      </c>
      <c r="O1656" s="33" t="inlineStr">
        <is>
          <t>Free</t>
        </is>
      </c>
      <c r="P1656" s="33" t="inlineStr">
        <is>
          <t>100 Free</t>
        </is>
      </c>
      <c r="Q1656" s="33" t="inlineStr">
        <is>
          <t>LCM_100_FREE</t>
        </is>
      </c>
      <c r="R1656" s="36" t="n">
        <v>47.29</v>
      </c>
      <c r="S1656" s="35">
        <f>IF(R1656="","",IF(R1656&gt;=60,INT(R1656/60)&amp;":"&amp;TEXT(MOD(R1656,60),"00.00"),TEXT(R1656,"0.00")))</f>
        <v/>
      </c>
      <c r="T1656" s="52">
        <f>IFERROR((G1656-INDEX('01_Swimmers'!$E$5:$E$22,MATCH(B1656,'01_Swimmers'!$A$5:$A$22,0)))/'00_Control'!$B$10,"")</f>
        <v/>
      </c>
      <c r="U1656" s="35">
        <f>IF(T1656="","",INT(T1656))</f>
        <v/>
      </c>
      <c r="V1656" s="33" t="inlineStr">
        <is>
          <t>NO</t>
        </is>
      </c>
      <c r="W1656" s="33" t="inlineStr">
        <is>
          <t>YES</t>
        </is>
      </c>
      <c r="X1656" s="33" t="inlineStr">
        <is>
          <t>NO</t>
        </is>
      </c>
      <c r="Y1656" s="33" t="n">
        <v>1</v>
      </c>
      <c r="Z1656" s="33" t="n">
        <v>4</v>
      </c>
      <c r="AA1656" s="33" t="inlineStr">
        <is>
          <t>1</t>
        </is>
      </c>
      <c r="AB1656" s="33" t="inlineStr">
        <is>
          <t>https://www.swimcloud.com/results/345789/event/43/?id=153447258#time153447258</t>
        </is>
      </c>
      <c r="AC1656" s="33" t="inlineStr">
        <is>
          <t>SwimCloud API v6 2026-10-08</t>
        </is>
      </c>
      <c r="AD1656" s="33" t="inlineStr">
        <is>
          <t>Kyle Chalmers|2025-06-12|LCM|100|Free|47.29|Australian Swimming Trials|FIN|False</t>
        </is>
      </c>
      <c r="AE1656" s="53">
        <f>G1656+L1656/1000+ROW()/1000000000</f>
        <v/>
      </c>
      <c r="AF1656" s="35">
        <f>IF(C1656&lt;&gt;"Grayson Coulter","",COUNTIFS($C$5:$C$2991,"Grayson Coulter",$Q$5:$Q$2991,Q1656,$AE$5:$AE$2991,"&lt;="&amp;AE1656,$R$5:$R$2991,"&lt;"&amp;R1656))</f>
        <v/>
      </c>
      <c r="AG1656" s="35">
        <f>IF(OR(C1656&lt;&gt;"Grayson Coulter",G1656&lt;'00_Control'!$B$7),"",--(AF1656&lt;5))</f>
        <v/>
      </c>
      <c r="AH1656" s="35">
        <f>IF(OR(C1656&lt;&gt;"Grayson Coulter",G1656&lt;'00_Control'!$B$7),"",--(AF1656&lt;10))</f>
        <v/>
      </c>
      <c r="AI1656" s="35">
        <f>IF(AND(C1656="Grayson Coulter",G1656&gt;='00_Control'!$B$7),"YES","NO")</f>
        <v/>
      </c>
      <c r="AJ1656" s="33" t="inlineStr">
        <is>
          <t>OK</t>
        </is>
      </c>
    </row>
    <row r="1657">
      <c r="A1657" s="33" t="inlineStr">
        <is>
          <t>SM001653</t>
        </is>
      </c>
      <c r="B1657" s="33" t="inlineStr">
        <is>
          <t>SW011</t>
        </is>
      </c>
      <c r="C1657" s="33" t="inlineStr">
        <is>
          <t>Kyle Chalmers</t>
        </is>
      </c>
      <c r="D1657" s="33" t="inlineStr">
        <is>
          <t>SwimCloud</t>
        </is>
      </c>
      <c r="E1657" s="33" t="inlineStr">
        <is>
          <t>419989</t>
        </is>
      </c>
      <c r="F1657" s="33" t="inlineStr">
        <is>
          <t>156825599</t>
        </is>
      </c>
      <c r="G1657" s="51" t="n">
        <v>45868</v>
      </c>
      <c r="H1657" s="33" t="inlineStr">
        <is>
          <t>22nd World Aquatics Championships</t>
        </is>
      </c>
      <c r="I1657" s="33" t="inlineStr">
        <is>
          <t>348385</t>
        </is>
      </c>
      <c r="J1657" s="33" t="inlineStr"/>
      <c r="K1657" s="33" t="inlineStr">
        <is>
          <t>PRE</t>
        </is>
      </c>
      <c r="L1657" s="35">
        <f>IF(K1657="FIN",3,IF(OR(K1657="SEM",K1657="SEMI"),2,IF(OR(K1657="PRE",K1657="HEAT"),1,IF(V1657="YES",4,2))))</f>
        <v/>
      </c>
      <c r="M1657" s="33" t="inlineStr">
        <is>
          <t>LCM</t>
        </is>
      </c>
      <c r="N1657" s="33" t="n">
        <v>100</v>
      </c>
      <c r="O1657" s="33" t="inlineStr">
        <is>
          <t>Free</t>
        </is>
      </c>
      <c r="P1657" s="33" t="inlineStr">
        <is>
          <t>100 Free</t>
        </is>
      </c>
      <c r="Q1657" s="33" t="inlineStr">
        <is>
          <t>LCM_100_FREE</t>
        </is>
      </c>
      <c r="R1657" s="36" t="n">
        <v>47.48</v>
      </c>
      <c r="S1657" s="35">
        <f>IF(R1657="","",IF(R1657&gt;=60,INT(R1657/60)&amp;":"&amp;TEXT(MOD(R1657,60),"00.00"),TEXT(R1657,"0.00")))</f>
        <v/>
      </c>
      <c r="T1657" s="52">
        <f>IFERROR((G1657-INDEX('01_Swimmers'!$E$5:$E$22,MATCH(B1657,'01_Swimmers'!$A$5:$A$22,0)))/'00_Control'!$B$10,"")</f>
        <v/>
      </c>
      <c r="U1657" s="35">
        <f>IF(T1657="","",INT(T1657))</f>
        <v/>
      </c>
      <c r="V1657" s="33" t="inlineStr">
        <is>
          <t>NO</t>
        </is>
      </c>
      <c r="W1657" s="33" t="inlineStr">
        <is>
          <t>YES</t>
        </is>
      </c>
      <c r="X1657" s="33" t="inlineStr">
        <is>
          <t>NO</t>
        </is>
      </c>
      <c r="Y1657" s="33" t="n">
        <v>12</v>
      </c>
      <c r="Z1657" s="33" t="n">
        <v>5</v>
      </c>
      <c r="AA1657" s="33" t="inlineStr">
        <is>
          <t>2</t>
        </is>
      </c>
      <c r="AB1657" s="33" t="inlineStr">
        <is>
          <t>https://www.swimcloud.com/results/348385/event/19/?id=156825599#time156825599</t>
        </is>
      </c>
      <c r="AC1657" s="33" t="inlineStr">
        <is>
          <t>SwimCloud API v6 2026-10-08</t>
        </is>
      </c>
      <c r="AD1657" s="33" t="inlineStr">
        <is>
          <t>Kyle Chalmers|2025-07-30|LCM|100|Free|47.48|22nd World Aquatics Championships|PRE|False</t>
        </is>
      </c>
      <c r="AE1657" s="53">
        <f>G1657+L1657/1000+ROW()/1000000000</f>
        <v/>
      </c>
      <c r="AF1657" s="35">
        <f>IF(C1657&lt;&gt;"Grayson Coulter","",COUNTIFS($C$5:$C$2991,"Grayson Coulter",$Q$5:$Q$2991,Q1657,$AE$5:$AE$2991,"&lt;="&amp;AE1657,$R$5:$R$2991,"&lt;"&amp;R1657))</f>
        <v/>
      </c>
      <c r="AG1657" s="35">
        <f>IF(OR(C1657&lt;&gt;"Grayson Coulter",G1657&lt;'00_Control'!$B$7),"",--(AF1657&lt;5))</f>
        <v/>
      </c>
      <c r="AH1657" s="35">
        <f>IF(OR(C1657&lt;&gt;"Grayson Coulter",G1657&lt;'00_Control'!$B$7),"",--(AF1657&lt;10))</f>
        <v/>
      </c>
      <c r="AI1657" s="35">
        <f>IF(AND(C1657="Grayson Coulter",G1657&gt;='00_Control'!$B$7),"YES","NO")</f>
        <v/>
      </c>
      <c r="AJ1657" s="33" t="inlineStr">
        <is>
          <t>OK</t>
        </is>
      </c>
    </row>
    <row r="1658">
      <c r="A1658" s="33" t="inlineStr">
        <is>
          <t>SM001654</t>
        </is>
      </c>
      <c r="B1658" s="33" t="inlineStr">
        <is>
          <t>SW011</t>
        </is>
      </c>
      <c r="C1658" s="33" t="inlineStr">
        <is>
          <t>Kyle Chalmers</t>
        </is>
      </c>
      <c r="D1658" s="33" t="inlineStr">
        <is>
          <t>SwimCloud</t>
        </is>
      </c>
      <c r="E1658" s="33" t="inlineStr">
        <is>
          <t>419989</t>
        </is>
      </c>
      <c r="F1658" s="33" t="inlineStr">
        <is>
          <t>156825600</t>
        </is>
      </c>
      <c r="G1658" s="51" t="n">
        <v>45868</v>
      </c>
      <c r="H1658" s="33" t="inlineStr">
        <is>
          <t>22nd World Aquatics Championships</t>
        </is>
      </c>
      <c r="I1658" s="33" t="inlineStr">
        <is>
          <t>348385</t>
        </is>
      </c>
      <c r="J1658" s="33" t="inlineStr"/>
      <c r="K1658" s="33" t="inlineStr">
        <is>
          <t>SEM</t>
        </is>
      </c>
      <c r="L1658" s="35">
        <f>IF(K1658="FIN",3,IF(OR(K1658="SEM",K1658="SEMI"),2,IF(OR(K1658="PRE",K1658="HEAT"),1,IF(V1658="YES",4,2))))</f>
        <v/>
      </c>
      <c r="M1658" s="33" t="inlineStr">
        <is>
          <t>LCM</t>
        </is>
      </c>
      <c r="N1658" s="33" t="n">
        <v>100</v>
      </c>
      <c r="O1658" s="33" t="inlineStr">
        <is>
          <t>Free</t>
        </is>
      </c>
      <c r="P1658" s="33" t="inlineStr">
        <is>
          <t>100 Free</t>
        </is>
      </c>
      <c r="Q1658" s="33" t="inlineStr">
        <is>
          <t>LCM_100_FREE</t>
        </is>
      </c>
      <c r="R1658" s="36" t="n">
        <v>47.36</v>
      </c>
      <c r="S1658" s="35">
        <f>IF(R1658="","",IF(R1658&gt;=60,INT(R1658/60)&amp;":"&amp;TEXT(MOD(R1658,60),"00.00"),TEXT(R1658,"0.00")))</f>
        <v/>
      </c>
      <c r="T1658" s="52">
        <f>IFERROR((G1658-INDEX('01_Swimmers'!$E$5:$E$22,MATCH(B1658,'01_Swimmers'!$A$5:$A$22,0)))/'00_Control'!$B$10,"")</f>
        <v/>
      </c>
      <c r="U1658" s="35">
        <f>IF(T1658="","",INT(T1658))</f>
        <v/>
      </c>
      <c r="V1658" s="33" t="inlineStr">
        <is>
          <t>NO</t>
        </is>
      </c>
      <c r="W1658" s="33" t="inlineStr">
        <is>
          <t>YES</t>
        </is>
      </c>
      <c r="X1658" s="33" t="inlineStr">
        <is>
          <t>NO</t>
        </is>
      </c>
      <c r="Y1658" s="33" t="n">
        <v>1</v>
      </c>
      <c r="Z1658" s="33" t="n">
        <v>4</v>
      </c>
      <c r="AA1658" s="33" t="inlineStr">
        <is>
          <t>4</t>
        </is>
      </c>
      <c r="AB1658" s="33" t="inlineStr">
        <is>
          <t>https://www.swimcloud.com/results/348385/event/19/?id=156825600#time156825600</t>
        </is>
      </c>
      <c r="AC1658" s="33" t="inlineStr">
        <is>
          <t>SwimCloud API v6 2026-10-08</t>
        </is>
      </c>
      <c r="AD1658" s="33" t="inlineStr">
        <is>
          <t>Kyle Chalmers|2025-07-30|LCM|100|Free|47.36|22nd World Aquatics Championships|SEM|False</t>
        </is>
      </c>
      <c r="AE1658" s="53">
        <f>G1658+L1658/1000+ROW()/1000000000</f>
        <v/>
      </c>
      <c r="AF1658" s="35">
        <f>IF(C1658&lt;&gt;"Grayson Coulter","",COUNTIFS($C$5:$C$2991,"Grayson Coulter",$Q$5:$Q$2991,Q1658,$AE$5:$AE$2991,"&lt;="&amp;AE1658,$R$5:$R$2991,"&lt;"&amp;R1658))</f>
        <v/>
      </c>
      <c r="AG1658" s="35">
        <f>IF(OR(C1658&lt;&gt;"Grayson Coulter",G1658&lt;'00_Control'!$B$7),"",--(AF1658&lt;5))</f>
        <v/>
      </c>
      <c r="AH1658" s="35">
        <f>IF(OR(C1658&lt;&gt;"Grayson Coulter",G1658&lt;'00_Control'!$B$7),"",--(AF1658&lt;10))</f>
        <v/>
      </c>
      <c r="AI1658" s="35">
        <f>IF(AND(C1658="Grayson Coulter",G1658&gt;='00_Control'!$B$7),"YES","NO")</f>
        <v/>
      </c>
      <c r="AJ1658" s="33" t="inlineStr">
        <is>
          <t>OK</t>
        </is>
      </c>
    </row>
    <row r="1659">
      <c r="A1659" s="33" t="inlineStr">
        <is>
          <t>SM001655</t>
        </is>
      </c>
      <c r="B1659" s="33" t="inlineStr">
        <is>
          <t>SW011</t>
        </is>
      </c>
      <c r="C1659" s="33" t="inlineStr">
        <is>
          <t>Kyle Chalmers</t>
        </is>
      </c>
      <c r="D1659" s="33" t="inlineStr">
        <is>
          <t>SwimCloud</t>
        </is>
      </c>
      <c r="E1659" s="33" t="inlineStr">
        <is>
          <t>419989</t>
        </is>
      </c>
      <c r="F1659" s="33" t="inlineStr">
        <is>
          <t>156825598</t>
        </is>
      </c>
      <c r="G1659" s="51" t="n">
        <v>45869</v>
      </c>
      <c r="H1659" s="33" t="inlineStr">
        <is>
          <t>22nd World Aquatics Championships</t>
        </is>
      </c>
      <c r="I1659" s="33" t="inlineStr">
        <is>
          <t>348385</t>
        </is>
      </c>
      <c r="J1659" s="33" t="inlineStr"/>
      <c r="K1659" s="33" t="inlineStr">
        <is>
          <t>FIN</t>
        </is>
      </c>
      <c r="L1659" s="35">
        <f>IF(K1659="FIN",3,IF(OR(K1659="SEM",K1659="SEMI"),2,IF(OR(K1659="PRE",K1659="HEAT"),1,IF(V1659="YES",4,2))))</f>
        <v/>
      </c>
      <c r="M1659" s="33" t="inlineStr">
        <is>
          <t>LCM</t>
        </is>
      </c>
      <c r="N1659" s="33" t="n">
        <v>100</v>
      </c>
      <c r="O1659" s="33" t="inlineStr">
        <is>
          <t>Free</t>
        </is>
      </c>
      <c r="P1659" s="33" t="inlineStr">
        <is>
          <t>100 Free</t>
        </is>
      </c>
      <c r="Q1659" s="33" t="inlineStr">
        <is>
          <t>LCM_100_FREE</t>
        </is>
      </c>
      <c r="R1659" s="36" t="n">
        <v>47.17</v>
      </c>
      <c r="S1659" s="35">
        <f>IF(R1659="","",IF(R1659&gt;=60,INT(R1659/60)&amp;":"&amp;TEXT(MOD(R1659,60),"00.00"),TEXT(R1659,"0.00")))</f>
        <v/>
      </c>
      <c r="T1659" s="52">
        <f>IFERROR((G1659-INDEX('01_Swimmers'!$E$5:$E$22,MATCH(B1659,'01_Swimmers'!$A$5:$A$22,0)))/'00_Control'!$B$10,"")</f>
        <v/>
      </c>
      <c r="U1659" s="35">
        <f>IF(T1659="","",INT(T1659))</f>
        <v/>
      </c>
      <c r="V1659" s="33" t="inlineStr">
        <is>
          <t>NO</t>
        </is>
      </c>
      <c r="W1659" s="33" t="inlineStr">
        <is>
          <t>YES</t>
        </is>
      </c>
      <c r="X1659" s="33" t="inlineStr">
        <is>
          <t>NO</t>
        </is>
      </c>
      <c r="Y1659" s="33" t="n">
        <v>1</v>
      </c>
      <c r="Z1659" s="33" t="n">
        <v>6</v>
      </c>
      <c r="AA1659" s="33" t="inlineStr">
        <is>
          <t>3</t>
        </is>
      </c>
      <c r="AB1659" s="33" t="inlineStr">
        <is>
          <t>https://www.swimcloud.com/results/348385/event/19/?id=156825598#time156825598</t>
        </is>
      </c>
      <c r="AC1659" s="33" t="inlineStr">
        <is>
          <t>SwimCloud API v6 2026-10-08</t>
        </is>
      </c>
      <c r="AD1659" s="33" t="inlineStr">
        <is>
          <t>Kyle Chalmers|2025-07-31|LCM|100|Free|47.17|22nd World Aquatics Championships|FIN|False</t>
        </is>
      </c>
      <c r="AE1659" s="53">
        <f>G1659+L1659/1000+ROW()/1000000000</f>
        <v/>
      </c>
      <c r="AF1659" s="35">
        <f>IF(C1659&lt;&gt;"Grayson Coulter","",COUNTIFS($C$5:$C$2991,"Grayson Coulter",$Q$5:$Q$2991,Q1659,$AE$5:$AE$2991,"&lt;="&amp;AE1659,$R$5:$R$2991,"&lt;"&amp;R1659))</f>
        <v/>
      </c>
      <c r="AG1659" s="35">
        <f>IF(OR(C1659&lt;&gt;"Grayson Coulter",G1659&lt;'00_Control'!$B$7),"",--(AF1659&lt;5))</f>
        <v/>
      </c>
      <c r="AH1659" s="35">
        <f>IF(OR(C1659&lt;&gt;"Grayson Coulter",G1659&lt;'00_Control'!$B$7),"",--(AF1659&lt;10))</f>
        <v/>
      </c>
      <c r="AI1659" s="35">
        <f>IF(AND(C1659="Grayson Coulter",G1659&gt;='00_Control'!$B$7),"YES","NO")</f>
        <v/>
      </c>
      <c r="AJ1659" s="33" t="inlineStr">
        <is>
          <t>OK</t>
        </is>
      </c>
    </row>
    <row r="1660">
      <c r="A1660" s="33" t="inlineStr">
        <is>
          <t>SM001656</t>
        </is>
      </c>
      <c r="B1660" s="33" t="inlineStr">
        <is>
          <t>SW011</t>
        </is>
      </c>
      <c r="C1660" s="33" t="inlineStr">
        <is>
          <t>Kyle Chalmers</t>
        </is>
      </c>
      <c r="D1660" s="33" t="inlineStr">
        <is>
          <t>SwimCloud</t>
        </is>
      </c>
      <c r="E1660" s="33" t="inlineStr">
        <is>
          <t>419989</t>
        </is>
      </c>
      <c r="F1660" s="33" t="inlineStr">
        <is>
          <t>171227306</t>
        </is>
      </c>
      <c r="G1660" s="51" t="n">
        <v>46061</v>
      </c>
      <c r="H1660" s="33" t="inlineStr">
        <is>
          <t>Dubai Open Championships</t>
        </is>
      </c>
      <c r="I1660" s="33" t="inlineStr">
        <is>
          <t>366303</t>
        </is>
      </c>
      <c r="J1660" s="33" t="inlineStr"/>
      <c r="K1660" s="33" t="inlineStr">
        <is>
          <t>PRE</t>
        </is>
      </c>
      <c r="L1660" s="35">
        <f>IF(K1660="FIN",3,IF(OR(K1660="SEM",K1660="SEMI"),2,IF(OR(K1660="PRE",K1660="HEAT"),1,IF(V1660="YES",4,2))))</f>
        <v/>
      </c>
      <c r="M1660" s="33" t="inlineStr">
        <is>
          <t>LCM</t>
        </is>
      </c>
      <c r="N1660" s="33" t="n">
        <v>100</v>
      </c>
      <c r="O1660" s="33" t="inlineStr">
        <is>
          <t>Free</t>
        </is>
      </c>
      <c r="P1660" s="33" t="inlineStr">
        <is>
          <t>100 Free</t>
        </is>
      </c>
      <c r="Q1660" s="33" t="inlineStr">
        <is>
          <t>LCM_100_FREE</t>
        </is>
      </c>
      <c r="R1660" s="36" t="n">
        <v>49.67</v>
      </c>
      <c r="S1660" s="35">
        <f>IF(R1660="","",IF(R1660&gt;=60,INT(R1660/60)&amp;":"&amp;TEXT(MOD(R1660,60),"00.00"),TEXT(R1660,"0.00")))</f>
        <v/>
      </c>
      <c r="T1660" s="52">
        <f>IFERROR((G1660-INDEX('01_Swimmers'!$E$5:$E$22,MATCH(B1660,'01_Swimmers'!$A$5:$A$22,0)))/'00_Control'!$B$10,"")</f>
        <v/>
      </c>
      <c r="U1660" s="35">
        <f>IF(T1660="","",INT(T1660))</f>
        <v/>
      </c>
      <c r="V1660" s="33" t="inlineStr">
        <is>
          <t>NO</t>
        </is>
      </c>
      <c r="W1660" s="33" t="inlineStr">
        <is>
          <t>YES</t>
        </is>
      </c>
      <c r="X1660" s="33" t="inlineStr">
        <is>
          <t>NO</t>
        </is>
      </c>
      <c r="Y1660" s="33" t="n">
        <v>24</v>
      </c>
      <c r="Z1660" s="33" t="n">
        <v>4</v>
      </c>
      <c r="AA1660" s="33" t="inlineStr">
        <is>
          <t>1</t>
        </is>
      </c>
      <c r="AB1660" s="33" t="inlineStr">
        <is>
          <t>https://www.swimcloud.com/results/366303/event/312/?id=171227306#time171227306</t>
        </is>
      </c>
      <c r="AC1660" s="33" t="inlineStr">
        <is>
          <t>SwimCloud API v6 2026-10-08</t>
        </is>
      </c>
      <c r="AD1660" s="33" t="inlineStr">
        <is>
          <t>Kyle Chalmers|2026-02-08|LCM|100|Free|49.67|Dubai Open Championships|PRE|False</t>
        </is>
      </c>
      <c r="AE1660" s="53">
        <f>G1660+L1660/1000+ROW()/1000000000</f>
        <v/>
      </c>
      <c r="AF1660" s="35">
        <f>IF(C1660&lt;&gt;"Grayson Coulter","",COUNTIFS($C$5:$C$2991,"Grayson Coulter",$Q$5:$Q$2991,Q1660,$AE$5:$AE$2991,"&lt;="&amp;AE1660,$R$5:$R$2991,"&lt;"&amp;R1660))</f>
        <v/>
      </c>
      <c r="AG1660" s="35">
        <f>IF(OR(C1660&lt;&gt;"Grayson Coulter",G1660&lt;'00_Control'!$B$7),"",--(AF1660&lt;5))</f>
        <v/>
      </c>
      <c r="AH1660" s="35">
        <f>IF(OR(C1660&lt;&gt;"Grayson Coulter",G1660&lt;'00_Control'!$B$7),"",--(AF1660&lt;10))</f>
        <v/>
      </c>
      <c r="AI1660" s="35">
        <f>IF(AND(C1660="Grayson Coulter",G1660&gt;='00_Control'!$B$7),"YES","NO")</f>
        <v/>
      </c>
      <c r="AJ1660" s="33" t="inlineStr">
        <is>
          <t>OK</t>
        </is>
      </c>
    </row>
    <row r="1661">
      <c r="A1661" s="33" t="inlineStr">
        <is>
          <t>SM001657</t>
        </is>
      </c>
      <c r="B1661" s="33" t="inlineStr">
        <is>
          <t>SW011</t>
        </is>
      </c>
      <c r="C1661" s="33" t="inlineStr">
        <is>
          <t>Kyle Chalmers</t>
        </is>
      </c>
      <c r="D1661" s="33" t="inlineStr">
        <is>
          <t>SwimCloud</t>
        </is>
      </c>
      <c r="E1661" s="33" t="inlineStr">
        <is>
          <t>419989</t>
        </is>
      </c>
      <c r="F1661" s="33" t="inlineStr">
        <is>
          <t>171227307</t>
        </is>
      </c>
      <c r="G1661" s="51" t="n">
        <v>46061</v>
      </c>
      <c r="H1661" s="33" t="inlineStr">
        <is>
          <t>Dubai Open Championships</t>
        </is>
      </c>
      <c r="I1661" s="33" t="inlineStr">
        <is>
          <t>366303</t>
        </is>
      </c>
      <c r="J1661" s="33" t="inlineStr"/>
      <c r="K1661" s="33" t="inlineStr">
        <is>
          <t>FIN</t>
        </is>
      </c>
      <c r="L1661" s="35">
        <f>IF(K1661="FIN",3,IF(OR(K1661="SEM",K1661="SEMI"),2,IF(OR(K1661="PRE",K1661="HEAT"),1,IF(V1661="YES",4,2))))</f>
        <v/>
      </c>
      <c r="M1661" s="33" t="inlineStr">
        <is>
          <t>LCM</t>
        </is>
      </c>
      <c r="N1661" s="33" t="n">
        <v>100</v>
      </c>
      <c r="O1661" s="33" t="inlineStr">
        <is>
          <t>Free</t>
        </is>
      </c>
      <c r="P1661" s="33" t="inlineStr">
        <is>
          <t>100 Free</t>
        </is>
      </c>
      <c r="Q1661" s="33" t="inlineStr">
        <is>
          <t>LCM_100_FREE</t>
        </is>
      </c>
      <c r="R1661" s="36" t="n">
        <v>48.47</v>
      </c>
      <c r="S1661" s="35">
        <f>IF(R1661="","",IF(R1661&gt;=60,INT(R1661/60)&amp;":"&amp;TEXT(MOD(R1661,60),"00.00"),TEXT(R1661,"0.00")))</f>
        <v/>
      </c>
      <c r="T1661" s="52">
        <f>IFERROR((G1661-INDEX('01_Swimmers'!$E$5:$E$22,MATCH(B1661,'01_Swimmers'!$A$5:$A$22,0)))/'00_Control'!$B$10,"")</f>
        <v/>
      </c>
      <c r="U1661" s="35">
        <f>IF(T1661="","",INT(T1661))</f>
        <v/>
      </c>
      <c r="V1661" s="33" t="inlineStr">
        <is>
          <t>NO</t>
        </is>
      </c>
      <c r="W1661" s="33" t="inlineStr">
        <is>
          <t>YES</t>
        </is>
      </c>
      <c r="X1661" s="33" t="inlineStr">
        <is>
          <t>NO</t>
        </is>
      </c>
      <c r="Y1661" s="33" t="n">
        <v>3</v>
      </c>
      <c r="Z1661" s="33" t="n">
        <v>4</v>
      </c>
      <c r="AA1661" s="33" t="inlineStr">
        <is>
          <t>2</t>
        </is>
      </c>
      <c r="AB1661" s="33" t="inlineStr">
        <is>
          <t>https://www.swimcloud.com/results/366303/event/312/?id=171227307#time171227307</t>
        </is>
      </c>
      <c r="AC1661" s="33" t="inlineStr">
        <is>
          <t>SwimCloud API v6 2026-10-08</t>
        </is>
      </c>
      <c r="AD1661" s="33" t="inlineStr">
        <is>
          <t>Kyle Chalmers|2026-02-08|LCM|100|Free|48.47|Dubai Open Championships|FIN|False</t>
        </is>
      </c>
      <c r="AE1661" s="53">
        <f>G1661+L1661/1000+ROW()/1000000000</f>
        <v/>
      </c>
      <c r="AF1661" s="35">
        <f>IF(C1661&lt;&gt;"Grayson Coulter","",COUNTIFS($C$5:$C$2991,"Grayson Coulter",$Q$5:$Q$2991,Q1661,$AE$5:$AE$2991,"&lt;="&amp;AE1661,$R$5:$R$2991,"&lt;"&amp;R1661))</f>
        <v/>
      </c>
      <c r="AG1661" s="35">
        <f>IF(OR(C1661&lt;&gt;"Grayson Coulter",G1661&lt;'00_Control'!$B$7),"",--(AF1661&lt;5))</f>
        <v/>
      </c>
      <c r="AH1661" s="35">
        <f>IF(OR(C1661&lt;&gt;"Grayson Coulter",G1661&lt;'00_Control'!$B$7),"",--(AF1661&lt;10))</f>
        <v/>
      </c>
      <c r="AI1661" s="35">
        <f>IF(AND(C1661="Grayson Coulter",G1661&gt;='00_Control'!$B$7),"YES","NO")</f>
        <v/>
      </c>
      <c r="AJ1661" s="33" t="inlineStr">
        <is>
          <t>OK</t>
        </is>
      </c>
    </row>
    <row r="1662">
      <c r="A1662" s="33" t="inlineStr">
        <is>
          <t>SM001658</t>
        </is>
      </c>
      <c r="B1662" s="33" t="inlineStr">
        <is>
          <t>SW011</t>
        </is>
      </c>
      <c r="C1662" s="33" t="inlineStr">
        <is>
          <t>Kyle Chalmers</t>
        </is>
      </c>
      <c r="D1662" s="33" t="inlineStr">
        <is>
          <t>SwimCloud</t>
        </is>
      </c>
      <c r="E1662" s="33" t="inlineStr">
        <is>
          <t>419989</t>
        </is>
      </c>
      <c r="F1662" s="33" t="inlineStr">
        <is>
          <t>178827393</t>
        </is>
      </c>
      <c r="G1662" s="51" t="n">
        <v>46100</v>
      </c>
      <c r="H1662" s="33" t="inlineStr">
        <is>
          <t>China Open</t>
        </is>
      </c>
      <c r="I1662" s="33" t="inlineStr">
        <is>
          <t>383745</t>
        </is>
      </c>
      <c r="J1662" s="33" t="inlineStr"/>
      <c r="K1662" s="33" t="inlineStr">
        <is>
          <t>TIM</t>
        </is>
      </c>
      <c r="L1662" s="35">
        <f>IF(K1662="FIN",3,IF(OR(K1662="SEM",K1662="SEMI"),2,IF(OR(K1662="PRE",K1662="HEAT"),1,IF(V1662="YES",4,2))))</f>
        <v/>
      </c>
      <c r="M1662" s="33" t="inlineStr">
        <is>
          <t>LCM</t>
        </is>
      </c>
      <c r="N1662" s="33" t="n">
        <v>100</v>
      </c>
      <c r="O1662" s="33" t="inlineStr">
        <is>
          <t>Free</t>
        </is>
      </c>
      <c r="P1662" s="33" t="inlineStr">
        <is>
          <t>100 Free</t>
        </is>
      </c>
      <c r="Q1662" s="33" t="inlineStr">
        <is>
          <t>LCM_100_FREE</t>
        </is>
      </c>
      <c r="R1662" s="36" t="n">
        <v>47.7</v>
      </c>
      <c r="S1662" s="35">
        <f>IF(R1662="","",IF(R1662&gt;=60,INT(R1662/60)&amp;":"&amp;TEXT(MOD(R1662,60),"00.00"),TEXT(R1662,"0.00")))</f>
        <v/>
      </c>
      <c r="T1662" s="52">
        <f>IFERROR((G1662-INDEX('01_Swimmers'!$E$5:$E$22,MATCH(B1662,'01_Swimmers'!$A$5:$A$22,0)))/'00_Control'!$B$10,"")</f>
        <v/>
      </c>
      <c r="U1662" s="35">
        <f>IF(T1662="","",INT(T1662))</f>
        <v/>
      </c>
      <c r="V1662" s="33" t="inlineStr">
        <is>
          <t>NO</t>
        </is>
      </c>
      <c r="W1662" s="33" t="inlineStr">
        <is>
          <t>YES</t>
        </is>
      </c>
      <c r="X1662" s="33" t="inlineStr">
        <is>
          <t>NO</t>
        </is>
      </c>
      <c r="Y1662" s="33" t="n">
        <v>1</v>
      </c>
      <c r="Z1662" s="33" t="n">
        <v>3</v>
      </c>
      <c r="AA1662" s="33" t="inlineStr">
        <is>
          <t>1</t>
        </is>
      </c>
      <c r="AB1662" s="33" t="inlineStr">
        <is>
          <t>https://www.swimcloud.com/results/383745/event/23/?id=178827393#time178827393</t>
        </is>
      </c>
      <c r="AC1662" s="33" t="inlineStr">
        <is>
          <t>SwimCloud API v6 2026-10-08</t>
        </is>
      </c>
      <c r="AD1662" s="33" t="inlineStr">
        <is>
          <t>Kyle Chalmers|2026-03-19|LCM|100|Free|47.7|China Open|TIM|False</t>
        </is>
      </c>
      <c r="AE1662" s="53">
        <f>G1662+L1662/1000+ROW()/1000000000</f>
        <v/>
      </c>
      <c r="AF1662" s="35">
        <f>IF(C1662&lt;&gt;"Grayson Coulter","",COUNTIFS($C$5:$C$2991,"Grayson Coulter",$Q$5:$Q$2991,Q1662,$AE$5:$AE$2991,"&lt;="&amp;AE1662,$R$5:$R$2991,"&lt;"&amp;R1662))</f>
        <v/>
      </c>
      <c r="AG1662" s="35">
        <f>IF(OR(C1662&lt;&gt;"Grayson Coulter",G1662&lt;'00_Control'!$B$7),"",--(AF1662&lt;5))</f>
        <v/>
      </c>
      <c r="AH1662" s="35">
        <f>IF(OR(C1662&lt;&gt;"Grayson Coulter",G1662&lt;'00_Control'!$B$7),"",--(AF1662&lt;10))</f>
        <v/>
      </c>
      <c r="AI1662" s="35">
        <f>IF(AND(C1662="Grayson Coulter",G1662&gt;='00_Control'!$B$7),"YES","NO")</f>
        <v/>
      </c>
      <c r="AJ1662" s="33" t="inlineStr">
        <is>
          <t>OK</t>
        </is>
      </c>
    </row>
    <row r="1663">
      <c r="A1663" s="33" t="inlineStr">
        <is>
          <t>SM001659</t>
        </is>
      </c>
      <c r="B1663" s="33" t="inlineStr">
        <is>
          <t>SW011</t>
        </is>
      </c>
      <c r="C1663" s="33" t="inlineStr">
        <is>
          <t>Kyle Chalmers</t>
        </is>
      </c>
      <c r="D1663" s="33" t="inlineStr">
        <is>
          <t>SwimCloud</t>
        </is>
      </c>
      <c r="E1663" s="33" t="inlineStr">
        <is>
          <t>419989</t>
        </is>
      </c>
      <c r="F1663" s="33" t="inlineStr">
        <is>
          <t>175907370</t>
        </is>
      </c>
      <c r="G1663" s="51" t="n">
        <v>46118</v>
      </c>
      <c r="H1663" s="33" t="inlineStr">
        <is>
          <t>Australian Open</t>
        </is>
      </c>
      <c r="I1663" s="33" t="inlineStr">
        <is>
          <t>383755</t>
        </is>
      </c>
      <c r="J1663" s="33" t="inlineStr"/>
      <c r="K1663" s="33" t="inlineStr">
        <is>
          <t>PRE</t>
        </is>
      </c>
      <c r="L1663" s="35">
        <f>IF(K1663="FIN",3,IF(OR(K1663="SEM",K1663="SEMI"),2,IF(OR(K1663="PRE",K1663="HEAT"),1,IF(V1663="YES",4,2))))</f>
        <v/>
      </c>
      <c r="M1663" s="33" t="inlineStr">
        <is>
          <t>LCM</t>
        </is>
      </c>
      <c r="N1663" s="33" t="n">
        <v>100</v>
      </c>
      <c r="O1663" s="33" t="inlineStr">
        <is>
          <t>Free</t>
        </is>
      </c>
      <c r="P1663" s="33" t="inlineStr">
        <is>
          <t>100 Free</t>
        </is>
      </c>
      <c r="Q1663" s="33" t="inlineStr">
        <is>
          <t>LCM_100_FREE</t>
        </is>
      </c>
      <c r="R1663" s="36" t="n">
        <v>48.58</v>
      </c>
      <c r="S1663" s="35">
        <f>IF(R1663="","",IF(R1663&gt;=60,INT(R1663/60)&amp;":"&amp;TEXT(MOD(R1663,60),"00.00"),TEXT(R1663,"0.00")))</f>
        <v/>
      </c>
      <c r="T1663" s="52">
        <f>IFERROR((G1663-INDEX('01_Swimmers'!$E$5:$E$22,MATCH(B1663,'01_Swimmers'!$A$5:$A$22,0)))/'00_Control'!$B$10,"")</f>
        <v/>
      </c>
      <c r="U1663" s="35">
        <f>IF(T1663="","",INT(T1663))</f>
        <v/>
      </c>
      <c r="V1663" s="33" t="inlineStr">
        <is>
          <t>NO</t>
        </is>
      </c>
      <c r="W1663" s="33" t="inlineStr">
        <is>
          <t>YES</t>
        </is>
      </c>
      <c r="X1663" s="33" t="inlineStr">
        <is>
          <t>NO</t>
        </is>
      </c>
      <c r="Y1663" s="33" t="n">
        <v>1</v>
      </c>
      <c r="Z1663" s="33" t="n">
        <v>4</v>
      </c>
      <c r="AA1663" s="33" t="inlineStr">
        <is>
          <t>1</t>
        </is>
      </c>
      <c r="AB1663" s="33" t="inlineStr">
        <is>
          <t>https://www.swimcloud.com/results/383755/event/13/?id=175907370#time175907370</t>
        </is>
      </c>
      <c r="AC1663" s="33" t="inlineStr">
        <is>
          <t>SwimCloud API v6 2026-10-08</t>
        </is>
      </c>
      <c r="AD1663" s="33" t="inlineStr">
        <is>
          <t>Kyle Chalmers|2026-04-06|LCM|100|Free|48.58|Australian Open|PRE|False</t>
        </is>
      </c>
      <c r="AE1663" s="53">
        <f>G1663+L1663/1000+ROW()/1000000000</f>
        <v/>
      </c>
      <c r="AF1663" s="35">
        <f>IF(C1663&lt;&gt;"Grayson Coulter","",COUNTIFS($C$5:$C$2991,"Grayson Coulter",$Q$5:$Q$2991,Q1663,$AE$5:$AE$2991,"&lt;="&amp;AE1663,$R$5:$R$2991,"&lt;"&amp;R1663))</f>
        <v/>
      </c>
      <c r="AG1663" s="35">
        <f>IF(OR(C1663&lt;&gt;"Grayson Coulter",G1663&lt;'00_Control'!$B$7),"",--(AF1663&lt;5))</f>
        <v/>
      </c>
      <c r="AH1663" s="35">
        <f>IF(OR(C1663&lt;&gt;"Grayson Coulter",G1663&lt;'00_Control'!$B$7),"",--(AF1663&lt;10))</f>
        <v/>
      </c>
      <c r="AI1663" s="35">
        <f>IF(AND(C1663="Grayson Coulter",G1663&gt;='00_Control'!$B$7),"YES","NO")</f>
        <v/>
      </c>
      <c r="AJ1663" s="33" t="inlineStr">
        <is>
          <t>OK</t>
        </is>
      </c>
    </row>
    <row r="1664">
      <c r="A1664" s="33" t="inlineStr">
        <is>
          <t>SM001660</t>
        </is>
      </c>
      <c r="B1664" s="33" t="inlineStr">
        <is>
          <t>SW011</t>
        </is>
      </c>
      <c r="C1664" s="33" t="inlineStr">
        <is>
          <t>Kyle Chalmers</t>
        </is>
      </c>
      <c r="D1664" s="33" t="inlineStr">
        <is>
          <t>SwimCloud</t>
        </is>
      </c>
      <c r="E1664" s="33" t="inlineStr">
        <is>
          <t>419989</t>
        </is>
      </c>
      <c r="F1664" s="33" t="inlineStr">
        <is>
          <t>175907371</t>
        </is>
      </c>
      <c r="G1664" s="51" t="n">
        <v>46118</v>
      </c>
      <c r="H1664" s="33" t="inlineStr">
        <is>
          <t>Australian Open</t>
        </is>
      </c>
      <c r="I1664" s="33" t="inlineStr">
        <is>
          <t>383755</t>
        </is>
      </c>
      <c r="J1664" s="33" t="inlineStr"/>
      <c r="K1664" s="33" t="inlineStr">
        <is>
          <t>FIN</t>
        </is>
      </c>
      <c r="L1664" s="35">
        <f>IF(K1664="FIN",3,IF(OR(K1664="SEM",K1664="SEMI"),2,IF(OR(K1664="PRE",K1664="HEAT"),1,IF(V1664="YES",4,2))))</f>
        <v/>
      </c>
      <c r="M1664" s="33" t="inlineStr">
        <is>
          <t>LCM</t>
        </is>
      </c>
      <c r="N1664" s="33" t="n">
        <v>100</v>
      </c>
      <c r="O1664" s="33" t="inlineStr">
        <is>
          <t>Free</t>
        </is>
      </c>
      <c r="P1664" s="33" t="inlineStr">
        <is>
          <t>100 Free</t>
        </is>
      </c>
      <c r="Q1664" s="33" t="inlineStr">
        <is>
          <t>LCM_100_FREE</t>
        </is>
      </c>
      <c r="R1664" s="36" t="n">
        <v>48.39</v>
      </c>
      <c r="S1664" s="35">
        <f>IF(R1664="","",IF(R1664&gt;=60,INT(R1664/60)&amp;":"&amp;TEXT(MOD(R1664,60),"00.00"),TEXT(R1664,"0.00")))</f>
        <v/>
      </c>
      <c r="T1664" s="52">
        <f>IFERROR((G1664-INDEX('01_Swimmers'!$E$5:$E$22,MATCH(B1664,'01_Swimmers'!$A$5:$A$22,0)))/'00_Control'!$B$10,"")</f>
        <v/>
      </c>
      <c r="U1664" s="35">
        <f>IF(T1664="","",INT(T1664))</f>
        <v/>
      </c>
      <c r="V1664" s="33" t="inlineStr">
        <is>
          <t>NO</t>
        </is>
      </c>
      <c r="W1664" s="33" t="inlineStr">
        <is>
          <t>YES</t>
        </is>
      </c>
      <c r="X1664" s="33" t="inlineStr">
        <is>
          <t>NO</t>
        </is>
      </c>
      <c r="Y1664" s="33" t="n">
        <v>1</v>
      </c>
      <c r="Z1664" s="33" t="n">
        <v>4</v>
      </c>
      <c r="AA1664" s="33" t="inlineStr">
        <is>
          <t>1</t>
        </is>
      </c>
      <c r="AB1664" s="33" t="inlineStr">
        <is>
          <t>https://www.swimcloud.com/results/383755/event/13/?id=175907371#time175907371</t>
        </is>
      </c>
      <c r="AC1664" s="33" t="inlineStr">
        <is>
          <t>SwimCloud API v6 2026-10-08</t>
        </is>
      </c>
      <c r="AD1664" s="33" t="inlineStr">
        <is>
          <t>Kyle Chalmers|2026-04-06|LCM|100|Free|48.39|Australian Open|FIN|False</t>
        </is>
      </c>
      <c r="AE1664" s="53">
        <f>G1664+L1664/1000+ROW()/1000000000</f>
        <v/>
      </c>
      <c r="AF1664" s="35">
        <f>IF(C1664&lt;&gt;"Grayson Coulter","",COUNTIFS($C$5:$C$2991,"Grayson Coulter",$Q$5:$Q$2991,Q1664,$AE$5:$AE$2991,"&lt;="&amp;AE1664,$R$5:$R$2991,"&lt;"&amp;R1664))</f>
        <v/>
      </c>
      <c r="AG1664" s="35">
        <f>IF(OR(C1664&lt;&gt;"Grayson Coulter",G1664&lt;'00_Control'!$B$7),"",--(AF1664&lt;5))</f>
        <v/>
      </c>
      <c r="AH1664" s="35">
        <f>IF(OR(C1664&lt;&gt;"Grayson Coulter",G1664&lt;'00_Control'!$B$7),"",--(AF1664&lt;10))</f>
        <v/>
      </c>
      <c r="AI1664" s="35">
        <f>IF(AND(C1664="Grayson Coulter",G1664&gt;='00_Control'!$B$7),"YES","NO")</f>
        <v/>
      </c>
      <c r="AJ1664" s="33" t="inlineStr">
        <is>
          <t>OK</t>
        </is>
      </c>
    </row>
    <row r="1665">
      <c r="A1665" s="33" t="inlineStr">
        <is>
          <t>SM001661</t>
        </is>
      </c>
      <c r="B1665" s="33" t="inlineStr">
        <is>
          <t>SW011</t>
        </is>
      </c>
      <c r="C1665" s="33" t="inlineStr">
        <is>
          <t>Kyle Chalmers</t>
        </is>
      </c>
      <c r="D1665" s="33" t="inlineStr">
        <is>
          <t>SwimCloud</t>
        </is>
      </c>
      <c r="E1665" s="33" t="inlineStr">
        <is>
          <t>419989</t>
        </is>
      </c>
      <c r="F1665" s="33" t="inlineStr">
        <is>
          <t>178833003</t>
        </is>
      </c>
      <c r="G1665" s="51" t="n">
        <v>46182</v>
      </c>
      <c r="H1665" s="33" t="inlineStr">
        <is>
          <t>Australian Swimming Trials</t>
        </is>
      </c>
      <c r="I1665" s="33" t="inlineStr">
        <is>
          <t>388115</t>
        </is>
      </c>
      <c r="J1665" s="33" t="inlineStr"/>
      <c r="K1665" s="33" t="inlineStr">
        <is>
          <t>PRE</t>
        </is>
      </c>
      <c r="L1665" s="35">
        <f>IF(K1665="FIN",3,IF(OR(K1665="SEM",K1665="SEMI"),2,IF(OR(K1665="PRE",K1665="HEAT"),1,IF(V1665="YES",4,2))))</f>
        <v/>
      </c>
      <c r="M1665" s="33" t="inlineStr">
        <is>
          <t>LCM</t>
        </is>
      </c>
      <c r="N1665" s="33" t="n">
        <v>100</v>
      </c>
      <c r="O1665" s="33" t="inlineStr">
        <is>
          <t>Fly</t>
        </is>
      </c>
      <c r="P1665" s="33" t="inlineStr">
        <is>
          <t>100 Fly</t>
        </is>
      </c>
      <c r="Q1665" s="33" t="inlineStr">
        <is>
          <t>LCM_100_FLY</t>
        </is>
      </c>
      <c r="R1665" s="36" t="n">
        <v>51.04</v>
      </c>
      <c r="S1665" s="35">
        <f>IF(R1665="","",IF(R1665&gt;=60,INT(R1665/60)&amp;":"&amp;TEXT(MOD(R1665,60),"00.00"),TEXT(R1665,"0.00")))</f>
        <v/>
      </c>
      <c r="T1665" s="52">
        <f>IFERROR((G1665-INDEX('01_Swimmers'!$E$5:$E$22,MATCH(B1665,'01_Swimmers'!$A$5:$A$22,0)))/'00_Control'!$B$10,"")</f>
        <v/>
      </c>
      <c r="U1665" s="35">
        <f>IF(T1665="","",INT(T1665))</f>
        <v/>
      </c>
      <c r="V1665" s="33" t="inlineStr">
        <is>
          <t>NO</t>
        </is>
      </c>
      <c r="W1665" s="33" t="inlineStr">
        <is>
          <t>YES</t>
        </is>
      </c>
      <c r="X1665" s="33" t="inlineStr">
        <is>
          <t>NO</t>
        </is>
      </c>
      <c r="Y1665" s="33" t="n">
        <v>3</v>
      </c>
      <c r="Z1665" s="33" t="n">
        <v>4</v>
      </c>
      <c r="AA1665" s="33" t="inlineStr">
        <is>
          <t>2</t>
        </is>
      </c>
      <c r="AB1665" s="33" t="inlineStr">
        <is>
          <t>https://www.swimcloud.com/results/388115/event/21/?id=178833003#time178833003</t>
        </is>
      </c>
      <c r="AC1665" s="33" t="inlineStr">
        <is>
          <t>SwimCloud API v6 2026-10-08</t>
        </is>
      </c>
      <c r="AD1665" s="33" t="inlineStr">
        <is>
          <t>Kyle Chalmers|2026-06-09|LCM|100|Fly|51.04|Australian Swimming Trials|PRE|False</t>
        </is>
      </c>
      <c r="AE1665" s="53">
        <f>G1665+L1665/1000+ROW()/1000000000</f>
        <v/>
      </c>
      <c r="AF1665" s="35">
        <f>IF(C1665&lt;&gt;"Grayson Coulter","",COUNTIFS($C$5:$C$2991,"Grayson Coulter",$Q$5:$Q$2991,Q1665,$AE$5:$AE$2991,"&lt;="&amp;AE1665,$R$5:$R$2991,"&lt;"&amp;R1665))</f>
        <v/>
      </c>
      <c r="AG1665" s="35">
        <f>IF(OR(C1665&lt;&gt;"Grayson Coulter",G1665&lt;'00_Control'!$B$7),"",--(AF1665&lt;5))</f>
        <v/>
      </c>
      <c r="AH1665" s="35">
        <f>IF(OR(C1665&lt;&gt;"Grayson Coulter",G1665&lt;'00_Control'!$B$7),"",--(AF1665&lt;10))</f>
        <v/>
      </c>
      <c r="AI1665" s="35">
        <f>IF(AND(C1665="Grayson Coulter",G1665&gt;='00_Control'!$B$7),"YES","NO")</f>
        <v/>
      </c>
      <c r="AJ1665" s="33" t="inlineStr">
        <is>
          <t>OK</t>
        </is>
      </c>
    </row>
    <row r="1666">
      <c r="A1666" s="33" t="inlineStr">
        <is>
          <t>SM001662</t>
        </is>
      </c>
      <c r="B1666" s="33" t="inlineStr">
        <is>
          <t>SW011</t>
        </is>
      </c>
      <c r="C1666" s="33" t="inlineStr">
        <is>
          <t>Kyle Chalmers</t>
        </is>
      </c>
      <c r="D1666" s="33" t="inlineStr">
        <is>
          <t>SwimCloud</t>
        </is>
      </c>
      <c r="E1666" s="33" t="inlineStr">
        <is>
          <t>419989</t>
        </is>
      </c>
      <c r="F1666" s="33" t="inlineStr">
        <is>
          <t>178832151</t>
        </is>
      </c>
      <c r="G1666" s="51" t="n">
        <v>46184</v>
      </c>
      <c r="H1666" s="33" t="inlineStr">
        <is>
          <t>Australian Swimming Trials</t>
        </is>
      </c>
      <c r="I1666" s="33" t="inlineStr">
        <is>
          <t>388115</t>
        </is>
      </c>
      <c r="J1666" s="33" t="inlineStr"/>
      <c r="K1666" s="33" t="inlineStr">
        <is>
          <t>PRE</t>
        </is>
      </c>
      <c r="L1666" s="35">
        <f>IF(K1666="FIN",3,IF(OR(K1666="SEM",K1666="SEMI"),2,IF(OR(K1666="PRE",K1666="HEAT"),1,IF(V1666="YES",4,2))))</f>
        <v/>
      </c>
      <c r="M1666" s="33" t="inlineStr">
        <is>
          <t>LCM</t>
        </is>
      </c>
      <c r="N1666" s="33" t="n">
        <v>100</v>
      </c>
      <c r="O1666" s="33" t="inlineStr">
        <is>
          <t>Free</t>
        </is>
      </c>
      <c r="P1666" s="33" t="inlineStr">
        <is>
          <t>100 Free</t>
        </is>
      </c>
      <c r="Q1666" s="33" t="inlineStr">
        <is>
          <t>LCM_100_FREE</t>
        </is>
      </c>
      <c r="R1666" s="36" t="n">
        <v>48.65</v>
      </c>
      <c r="S1666" s="35">
        <f>IF(R1666="","",IF(R1666&gt;=60,INT(R1666/60)&amp;":"&amp;TEXT(MOD(R1666,60),"00.00"),TEXT(R1666,"0.00")))</f>
        <v/>
      </c>
      <c r="T1666" s="52">
        <f>IFERROR((G1666-INDEX('01_Swimmers'!$E$5:$E$22,MATCH(B1666,'01_Swimmers'!$A$5:$A$22,0)))/'00_Control'!$B$10,"")</f>
        <v/>
      </c>
      <c r="U1666" s="35">
        <f>IF(T1666="","",INT(T1666))</f>
        <v/>
      </c>
      <c r="V1666" s="33" t="inlineStr">
        <is>
          <t>NO</t>
        </is>
      </c>
      <c r="W1666" s="33" t="inlineStr">
        <is>
          <t>YES</t>
        </is>
      </c>
      <c r="X1666" s="33" t="inlineStr">
        <is>
          <t>NO</t>
        </is>
      </c>
      <c r="Y1666" s="33" t="n">
        <v>1</v>
      </c>
      <c r="Z1666" s="33" t="n">
        <v>4</v>
      </c>
      <c r="AA1666" s="33" t="inlineStr">
        <is>
          <t>5</t>
        </is>
      </c>
      <c r="AB1666" s="33" t="inlineStr">
        <is>
          <t>https://www.swimcloud.com/results/388115/event/39/?id=178832151#time178832151</t>
        </is>
      </c>
      <c r="AC1666" s="33" t="inlineStr">
        <is>
          <t>SwimCloud API v6 2026-10-08</t>
        </is>
      </c>
      <c r="AD1666" s="33" t="inlineStr">
        <is>
          <t>Kyle Chalmers|2026-06-11|LCM|100|Free|48.65|Australian Swimming Trials|PRE|False</t>
        </is>
      </c>
      <c r="AE1666" s="53">
        <f>G1666+L1666/1000+ROW()/1000000000</f>
        <v/>
      </c>
      <c r="AF1666" s="35">
        <f>IF(C1666&lt;&gt;"Grayson Coulter","",COUNTIFS($C$5:$C$2991,"Grayson Coulter",$Q$5:$Q$2991,Q1666,$AE$5:$AE$2991,"&lt;="&amp;AE1666,$R$5:$R$2991,"&lt;"&amp;R1666))</f>
        <v/>
      </c>
      <c r="AG1666" s="35">
        <f>IF(OR(C1666&lt;&gt;"Grayson Coulter",G1666&lt;'00_Control'!$B$7),"",--(AF1666&lt;5))</f>
        <v/>
      </c>
      <c r="AH1666" s="35">
        <f>IF(OR(C1666&lt;&gt;"Grayson Coulter",G1666&lt;'00_Control'!$B$7),"",--(AF1666&lt;10))</f>
        <v/>
      </c>
      <c r="AI1666" s="35">
        <f>IF(AND(C1666="Grayson Coulter",G1666&gt;='00_Control'!$B$7),"YES","NO")</f>
        <v/>
      </c>
      <c r="AJ1666" s="33" t="inlineStr">
        <is>
          <t>OK</t>
        </is>
      </c>
    </row>
    <row r="1667">
      <c r="A1667" s="33" t="inlineStr">
        <is>
          <t>SM001663</t>
        </is>
      </c>
      <c r="B1667" s="33" t="inlineStr">
        <is>
          <t>SW011</t>
        </is>
      </c>
      <c r="C1667" s="33" t="inlineStr">
        <is>
          <t>Kyle Chalmers</t>
        </is>
      </c>
      <c r="D1667" s="33" t="inlineStr">
        <is>
          <t>SwimCloud</t>
        </is>
      </c>
      <c r="E1667" s="33" t="inlineStr">
        <is>
          <t>419989</t>
        </is>
      </c>
      <c r="F1667" s="33" t="inlineStr">
        <is>
          <t>178832152</t>
        </is>
      </c>
      <c r="G1667" s="51" t="n">
        <v>46184</v>
      </c>
      <c r="H1667" s="33" t="inlineStr">
        <is>
          <t>Australian Swimming Trials</t>
        </is>
      </c>
      <c r="I1667" s="33" t="inlineStr">
        <is>
          <t>388115</t>
        </is>
      </c>
      <c r="J1667" s="33" t="inlineStr"/>
      <c r="K1667" s="33" t="inlineStr">
        <is>
          <t>FIN</t>
        </is>
      </c>
      <c r="L1667" s="35">
        <f>IF(K1667="FIN",3,IF(OR(K1667="SEM",K1667="SEMI"),2,IF(OR(K1667="PRE",K1667="HEAT"),1,IF(V1667="YES",4,2))))</f>
        <v/>
      </c>
      <c r="M1667" s="33" t="inlineStr">
        <is>
          <t>LCM</t>
        </is>
      </c>
      <c r="N1667" s="33" t="n">
        <v>100</v>
      </c>
      <c r="O1667" s="33" t="inlineStr">
        <is>
          <t>Free</t>
        </is>
      </c>
      <c r="P1667" s="33" t="inlineStr">
        <is>
          <t>100 Free</t>
        </is>
      </c>
      <c r="Q1667" s="33" t="inlineStr">
        <is>
          <t>LCM_100_FREE</t>
        </is>
      </c>
      <c r="R1667" s="36" t="n">
        <v>47.59</v>
      </c>
      <c r="S1667" s="35">
        <f>IF(R1667="","",IF(R1667&gt;=60,INT(R1667/60)&amp;":"&amp;TEXT(MOD(R1667,60),"00.00"),TEXT(R1667,"0.00")))</f>
        <v/>
      </c>
      <c r="T1667" s="52">
        <f>IFERROR((G1667-INDEX('01_Swimmers'!$E$5:$E$22,MATCH(B1667,'01_Swimmers'!$A$5:$A$22,0)))/'00_Control'!$B$10,"")</f>
        <v/>
      </c>
      <c r="U1667" s="35">
        <f>IF(T1667="","",INT(T1667))</f>
        <v/>
      </c>
      <c r="V1667" s="33" t="inlineStr">
        <is>
          <t>NO</t>
        </is>
      </c>
      <c r="W1667" s="33" t="inlineStr">
        <is>
          <t>YES</t>
        </is>
      </c>
      <c r="X1667" s="33" t="inlineStr">
        <is>
          <t>NO</t>
        </is>
      </c>
      <c r="Y1667" s="33" t="n">
        <v>1</v>
      </c>
      <c r="Z1667" s="33" t="n">
        <v>6</v>
      </c>
      <c r="AA1667" s="33" t="inlineStr">
        <is>
          <t>1</t>
        </is>
      </c>
      <c r="AB1667" s="33" t="inlineStr">
        <is>
          <t>https://www.swimcloud.com/results/388115/event/39/?id=178832152#time178832152</t>
        </is>
      </c>
      <c r="AC1667" s="33" t="inlineStr">
        <is>
          <t>SwimCloud API v6 2026-10-08</t>
        </is>
      </c>
      <c r="AD1667" s="33" t="inlineStr">
        <is>
          <t>Kyle Chalmers|2026-06-11|LCM|100|Free|47.59|Australian Swimming Trials|FIN|False</t>
        </is>
      </c>
      <c r="AE1667" s="53">
        <f>G1667+L1667/1000+ROW()/1000000000</f>
        <v/>
      </c>
      <c r="AF1667" s="35">
        <f>IF(C1667&lt;&gt;"Grayson Coulter","",COUNTIFS($C$5:$C$2991,"Grayson Coulter",$Q$5:$Q$2991,Q1667,$AE$5:$AE$2991,"&lt;="&amp;AE1667,$R$5:$R$2991,"&lt;"&amp;R1667))</f>
        <v/>
      </c>
      <c r="AG1667" s="35">
        <f>IF(OR(C1667&lt;&gt;"Grayson Coulter",G1667&lt;'00_Control'!$B$7),"",--(AF1667&lt;5))</f>
        <v/>
      </c>
      <c r="AH1667" s="35">
        <f>IF(OR(C1667&lt;&gt;"Grayson Coulter",G1667&lt;'00_Control'!$B$7),"",--(AF1667&lt;10))</f>
        <v/>
      </c>
      <c r="AI1667" s="35">
        <f>IF(AND(C1667="Grayson Coulter",G1667&gt;='00_Control'!$B$7),"YES","NO")</f>
        <v/>
      </c>
      <c r="AJ1667" s="33" t="inlineStr">
        <is>
          <t>OK</t>
        </is>
      </c>
    </row>
    <row r="1668">
      <c r="A1668" s="33" t="inlineStr">
        <is>
          <t>SM001664</t>
        </is>
      </c>
      <c r="B1668" s="33" t="inlineStr">
        <is>
          <t>SW011</t>
        </is>
      </c>
      <c r="C1668" s="33" t="inlineStr">
        <is>
          <t>Kyle Chalmers</t>
        </is>
      </c>
      <c r="D1668" s="33" t="inlineStr">
        <is>
          <t>SwimCloud</t>
        </is>
      </c>
      <c r="E1668" s="33" t="inlineStr">
        <is>
          <t>419989</t>
        </is>
      </c>
      <c r="F1668" s="33" t="inlineStr">
        <is>
          <t>182774580</t>
        </is>
      </c>
      <c r="G1668" s="51" t="n">
        <v>46230</v>
      </c>
      <c r="H1668" s="33" t="inlineStr">
        <is>
          <t>XXIII Commonwealth Games</t>
        </is>
      </c>
      <c r="I1668" s="33" t="inlineStr">
        <is>
          <t>389322</t>
        </is>
      </c>
      <c r="J1668" s="33" t="inlineStr"/>
      <c r="K1668" s="33" t="inlineStr">
        <is>
          <t>PRE</t>
        </is>
      </c>
      <c r="L1668" s="35">
        <f>IF(K1668="FIN",3,IF(OR(K1668="SEM",K1668="SEMI"),2,IF(OR(K1668="PRE",K1668="HEAT"),1,IF(V1668="YES",4,2))))</f>
        <v/>
      </c>
      <c r="M1668" s="33" t="inlineStr">
        <is>
          <t>LCM</t>
        </is>
      </c>
      <c r="N1668" s="33" t="n">
        <v>100</v>
      </c>
      <c r="O1668" s="33" t="inlineStr">
        <is>
          <t>Free</t>
        </is>
      </c>
      <c r="P1668" s="33" t="inlineStr">
        <is>
          <t>100 Free</t>
        </is>
      </c>
      <c r="Q1668" s="33" t="inlineStr">
        <is>
          <t>LCM_100_FREE</t>
        </is>
      </c>
      <c r="R1668" s="36" t="n">
        <v>49.06</v>
      </c>
      <c r="S1668" s="35">
        <f>IF(R1668="","",IF(R1668&gt;=60,INT(R1668/60)&amp;":"&amp;TEXT(MOD(R1668,60),"00.00"),TEXT(R1668,"0.00")))</f>
        <v/>
      </c>
      <c r="T1668" s="52">
        <f>IFERROR((G1668-INDEX('01_Swimmers'!$E$5:$E$22,MATCH(B1668,'01_Swimmers'!$A$5:$A$22,0)))/'00_Control'!$B$10,"")</f>
        <v/>
      </c>
      <c r="U1668" s="35">
        <f>IF(T1668="","",INT(T1668))</f>
        <v/>
      </c>
      <c r="V1668" s="33" t="inlineStr">
        <is>
          <t>NO</t>
        </is>
      </c>
      <c r="W1668" s="33" t="inlineStr">
        <is>
          <t>YES</t>
        </is>
      </c>
      <c r="X1668" s="33" t="inlineStr">
        <is>
          <t>NO</t>
        </is>
      </c>
      <c r="Y1668" s="33" t="n"/>
      <c r="Z1668" s="33" t="n"/>
      <c r="AA1668" s="33" t="inlineStr">
        <is>
          <t>5</t>
        </is>
      </c>
      <c r="AB1668" s="33" t="inlineStr">
        <is>
          <t>https://www.swimcloud.com/results/389322/event/25/?id=182774580#time182774580</t>
        </is>
      </c>
      <c r="AC1668" s="33" t="inlineStr">
        <is>
          <t>SwimCloud API v6 2026-10-08</t>
        </is>
      </c>
      <c r="AD1668" s="33" t="inlineStr">
        <is>
          <t>Kyle Chalmers|2026-07-27|LCM|100|Free|49.06|XXIII Commonwealth Games|PRE|False</t>
        </is>
      </c>
      <c r="AE1668" s="53">
        <f>G1668+L1668/1000+ROW()/1000000000</f>
        <v/>
      </c>
      <c r="AF1668" s="35">
        <f>IF(C1668&lt;&gt;"Grayson Coulter","",COUNTIFS($C$5:$C$2991,"Grayson Coulter",$Q$5:$Q$2991,Q1668,$AE$5:$AE$2991,"&lt;="&amp;AE1668,$R$5:$R$2991,"&lt;"&amp;R1668))</f>
        <v/>
      </c>
      <c r="AG1668" s="35">
        <f>IF(OR(C1668&lt;&gt;"Grayson Coulter",G1668&lt;'00_Control'!$B$7),"",--(AF1668&lt;5))</f>
        <v/>
      </c>
      <c r="AH1668" s="35">
        <f>IF(OR(C1668&lt;&gt;"Grayson Coulter",G1668&lt;'00_Control'!$B$7),"",--(AF1668&lt;10))</f>
        <v/>
      </c>
      <c r="AI1668" s="35">
        <f>IF(AND(C1668="Grayson Coulter",G1668&gt;='00_Control'!$B$7),"YES","NO")</f>
        <v/>
      </c>
      <c r="AJ1668" s="33" t="inlineStr">
        <is>
          <t>OK</t>
        </is>
      </c>
    </row>
    <row r="1669">
      <c r="A1669" s="33" t="inlineStr">
        <is>
          <t>SM001665</t>
        </is>
      </c>
      <c r="B1669" s="33" t="inlineStr">
        <is>
          <t>SW011</t>
        </is>
      </c>
      <c r="C1669" s="33" t="inlineStr">
        <is>
          <t>Kyle Chalmers</t>
        </is>
      </c>
      <c r="D1669" s="33" t="inlineStr">
        <is>
          <t>SwimCloud</t>
        </is>
      </c>
      <c r="E1669" s="33" t="inlineStr">
        <is>
          <t>419989</t>
        </is>
      </c>
      <c r="F1669" s="33" t="inlineStr">
        <is>
          <t>182775604</t>
        </is>
      </c>
      <c r="G1669" s="51" t="n">
        <v>46234</v>
      </c>
      <c r="H1669" s="33" t="inlineStr">
        <is>
          <t>XXIII Commonwealth Games</t>
        </is>
      </c>
      <c r="I1669" s="33" t="inlineStr">
        <is>
          <t>389322</t>
        </is>
      </c>
      <c r="J1669" s="33" t="inlineStr"/>
      <c r="K1669" s="33" t="inlineStr">
        <is>
          <t>SEM</t>
        </is>
      </c>
      <c r="L1669" s="35">
        <f>IF(K1669="FIN",3,IF(OR(K1669="SEM",K1669="SEMI"),2,IF(OR(K1669="PRE",K1669="HEAT"),1,IF(V1669="YES",4,2))))</f>
        <v/>
      </c>
      <c r="M1669" s="33" t="inlineStr">
        <is>
          <t>LCM</t>
        </is>
      </c>
      <c r="N1669" s="33" t="n">
        <v>100</v>
      </c>
      <c r="O1669" s="33" t="inlineStr">
        <is>
          <t>Free</t>
        </is>
      </c>
      <c r="P1669" s="33" t="inlineStr">
        <is>
          <t>100 Free</t>
        </is>
      </c>
      <c r="Q1669" s="33" t="inlineStr">
        <is>
          <t>LCM_100_FREE</t>
        </is>
      </c>
      <c r="R1669" s="36" t="n">
        <v>47.87</v>
      </c>
      <c r="S1669" s="35">
        <f>IF(R1669="","",IF(R1669&gt;=60,INT(R1669/60)&amp;":"&amp;TEXT(MOD(R1669,60),"00.00"),TEXT(R1669,"0.00")))</f>
        <v/>
      </c>
      <c r="T1669" s="52">
        <f>IFERROR((G1669-INDEX('01_Swimmers'!$E$5:$E$22,MATCH(B1669,'01_Swimmers'!$A$5:$A$22,0)))/'00_Control'!$B$10,"")</f>
        <v/>
      </c>
      <c r="U1669" s="35">
        <f>IF(T1669="","",INT(T1669))</f>
        <v/>
      </c>
      <c r="V1669" s="33" t="inlineStr">
        <is>
          <t>NO</t>
        </is>
      </c>
      <c r="W1669" s="33" t="inlineStr">
        <is>
          <t>YES</t>
        </is>
      </c>
      <c r="X1669" s="33" t="inlineStr">
        <is>
          <t>NO</t>
        </is>
      </c>
      <c r="Y1669" s="33" t="n">
        <v>2</v>
      </c>
      <c r="Z1669" s="33" t="n">
        <v>3</v>
      </c>
      <c r="AA1669" s="33" t="inlineStr">
        <is>
          <t>1</t>
        </is>
      </c>
      <c r="AB1669" s="33" t="inlineStr">
        <is>
          <t>https://www.swimcloud.com/results/389322/event/25/?id=182775604#time182775604</t>
        </is>
      </c>
      <c r="AC1669" s="33" t="inlineStr">
        <is>
          <t>SwimCloud API v6 2026-10-08</t>
        </is>
      </c>
      <c r="AD1669" s="33" t="inlineStr">
        <is>
          <t>Kyle Chalmers|2026-07-31|LCM|100|Free|47.87|XXIII Commonwealth Games|SEM|False</t>
        </is>
      </c>
      <c r="AE1669" s="53">
        <f>G1669+L1669/1000+ROW()/1000000000</f>
        <v/>
      </c>
      <c r="AF1669" s="35">
        <f>IF(C1669&lt;&gt;"Grayson Coulter","",COUNTIFS($C$5:$C$2991,"Grayson Coulter",$Q$5:$Q$2991,Q1669,$AE$5:$AE$2991,"&lt;="&amp;AE1669,$R$5:$R$2991,"&lt;"&amp;R1669))</f>
        <v/>
      </c>
      <c r="AG1669" s="35">
        <f>IF(OR(C1669&lt;&gt;"Grayson Coulter",G1669&lt;'00_Control'!$B$7),"",--(AF1669&lt;5))</f>
        <v/>
      </c>
      <c r="AH1669" s="35">
        <f>IF(OR(C1669&lt;&gt;"Grayson Coulter",G1669&lt;'00_Control'!$B$7),"",--(AF1669&lt;10))</f>
        <v/>
      </c>
      <c r="AI1669" s="35">
        <f>IF(AND(C1669="Grayson Coulter",G1669&gt;='00_Control'!$B$7),"YES","NO")</f>
        <v/>
      </c>
      <c r="AJ1669" s="33" t="inlineStr">
        <is>
          <t>OK</t>
        </is>
      </c>
    </row>
    <row r="1670">
      <c r="A1670" s="33" t="inlineStr">
        <is>
          <t>SM001666</t>
        </is>
      </c>
      <c r="B1670" s="33" t="inlineStr">
        <is>
          <t>SW011</t>
        </is>
      </c>
      <c r="C1670" s="33" t="inlineStr">
        <is>
          <t>Kyle Chalmers</t>
        </is>
      </c>
      <c r="D1670" s="33" t="inlineStr">
        <is>
          <t>SwimCloud</t>
        </is>
      </c>
      <c r="E1670" s="33" t="inlineStr">
        <is>
          <t>419989</t>
        </is>
      </c>
      <c r="F1670" s="33" t="inlineStr">
        <is>
          <t>182782975</t>
        </is>
      </c>
      <c r="G1670" s="51" t="n">
        <v>46237</v>
      </c>
      <c r="H1670" s="33" t="inlineStr">
        <is>
          <t>XXIII Commonwealth Games</t>
        </is>
      </c>
      <c r="I1670" s="33" t="inlineStr">
        <is>
          <t>389322</t>
        </is>
      </c>
      <c r="J1670" s="33" t="inlineStr"/>
      <c r="K1670" s="33" t="inlineStr">
        <is>
          <t>FIN</t>
        </is>
      </c>
      <c r="L1670" s="35">
        <f>IF(K1670="FIN",3,IF(OR(K1670="SEM",K1670="SEMI"),2,IF(OR(K1670="PRE",K1670="HEAT"),1,IF(V1670="YES",4,2))))</f>
        <v/>
      </c>
      <c r="M1670" s="33" t="inlineStr">
        <is>
          <t>LCM</t>
        </is>
      </c>
      <c r="N1670" s="33" t="n">
        <v>100</v>
      </c>
      <c r="O1670" s="33" t="inlineStr">
        <is>
          <t>Free</t>
        </is>
      </c>
      <c r="P1670" s="33" t="inlineStr">
        <is>
          <t>100 Free</t>
        </is>
      </c>
      <c r="Q1670" s="33" t="inlineStr">
        <is>
          <t>LCM_100_FREE</t>
        </is>
      </c>
      <c r="R1670" s="36" t="n">
        <v>47.74</v>
      </c>
      <c r="S1670" s="35">
        <f>IF(R1670="","",IF(R1670&gt;=60,INT(R1670/60)&amp;":"&amp;TEXT(MOD(R1670,60),"00.00"),TEXT(R1670,"0.00")))</f>
        <v/>
      </c>
      <c r="T1670" s="52">
        <f>IFERROR((G1670-INDEX('01_Swimmers'!$E$5:$E$22,MATCH(B1670,'01_Swimmers'!$A$5:$A$22,0)))/'00_Control'!$B$10,"")</f>
        <v/>
      </c>
      <c r="U1670" s="35">
        <f>IF(T1670="","",INT(T1670))</f>
        <v/>
      </c>
      <c r="V1670" s="33" t="inlineStr">
        <is>
          <t>NO</t>
        </is>
      </c>
      <c r="W1670" s="33" t="inlineStr">
        <is>
          <t>YES</t>
        </is>
      </c>
      <c r="X1670" s="33" t="inlineStr">
        <is>
          <t>NO</t>
        </is>
      </c>
      <c r="Y1670" s="33" t="n">
        <v>1</v>
      </c>
      <c r="Z1670" s="33" t="n">
        <v>4</v>
      </c>
      <c r="AA1670" s="33" t="inlineStr">
        <is>
          <t>3</t>
        </is>
      </c>
      <c r="AB1670" s="33" t="inlineStr">
        <is>
          <t>https://www.swimcloud.com/results/389322/event/25/?id=182782975#time182782975</t>
        </is>
      </c>
      <c r="AC1670" s="33" t="inlineStr">
        <is>
          <t>SwimCloud API v6 2026-10-08</t>
        </is>
      </c>
      <c r="AD1670" s="33" t="inlineStr">
        <is>
          <t>Kyle Chalmers|2026-08-03|LCM|100|Free|47.74|XXIII Commonwealth Games|FIN|False</t>
        </is>
      </c>
      <c r="AE1670" s="53">
        <f>G1670+L1670/1000+ROW()/1000000000</f>
        <v/>
      </c>
      <c r="AF1670" s="35">
        <f>IF(C1670&lt;&gt;"Grayson Coulter","",COUNTIFS($C$5:$C$2991,"Grayson Coulter",$Q$5:$Q$2991,Q1670,$AE$5:$AE$2991,"&lt;="&amp;AE1670,$R$5:$R$2991,"&lt;"&amp;R1670))</f>
        <v/>
      </c>
      <c r="AG1670" s="35">
        <f>IF(OR(C1670&lt;&gt;"Grayson Coulter",G1670&lt;'00_Control'!$B$7),"",--(AF1670&lt;5))</f>
        <v/>
      </c>
      <c r="AH1670" s="35">
        <f>IF(OR(C1670&lt;&gt;"Grayson Coulter",G1670&lt;'00_Control'!$B$7),"",--(AF1670&lt;10))</f>
        <v/>
      </c>
      <c r="AI1670" s="35">
        <f>IF(AND(C1670="Grayson Coulter",G1670&gt;='00_Control'!$B$7),"YES","NO")</f>
        <v/>
      </c>
      <c r="AJ1670" s="33" t="inlineStr">
        <is>
          <t>OK</t>
        </is>
      </c>
    </row>
    <row r="1671">
      <c r="A1671" s="33" t="inlineStr">
        <is>
          <t>SM001667</t>
        </is>
      </c>
      <c r="B1671" s="33" t="inlineStr">
        <is>
          <t>SW007</t>
        </is>
      </c>
      <c r="C1671" s="33" t="inlineStr">
        <is>
          <t>Laon Kim</t>
        </is>
      </c>
      <c r="D1671" s="33" t="inlineStr">
        <is>
          <t>SwimCloud</t>
        </is>
      </c>
      <c r="E1671" s="33" t="inlineStr">
        <is>
          <t>2829279</t>
        </is>
      </c>
      <c r="F1671" s="33" t="inlineStr">
        <is>
          <t>129244861</t>
        </is>
      </c>
      <c r="G1671" s="51" t="n">
        <v>45139</v>
      </c>
      <c r="H1671" s="33" t="inlineStr">
        <is>
          <t>Canadian championship</t>
        </is>
      </c>
      <c r="I1671" s="33" t="inlineStr">
        <is>
          <t>275256</t>
        </is>
      </c>
      <c r="J1671" s="33" t="inlineStr"/>
      <c r="K1671" s="33" t="inlineStr">
        <is>
          <t>FIN</t>
        </is>
      </c>
      <c r="L1671" s="35">
        <f>IF(K1671="FIN",3,IF(OR(K1671="SEM",K1671="SEMI"),2,IF(OR(K1671="PRE",K1671="HEAT"),1,IF(V1671="YES",4,2))))</f>
        <v/>
      </c>
      <c r="M1671" s="33" t="inlineStr">
        <is>
          <t>LCM</t>
        </is>
      </c>
      <c r="N1671" s="33" t="n">
        <v>200</v>
      </c>
      <c r="O1671" s="33" t="inlineStr">
        <is>
          <t>Free</t>
        </is>
      </c>
      <c r="P1671" s="33" t="inlineStr">
        <is>
          <t>200 Free</t>
        </is>
      </c>
      <c r="Q1671" s="33" t="inlineStr">
        <is>
          <t>LCM_200_FREE</t>
        </is>
      </c>
      <c r="R1671" s="36" t="n">
        <v>109.62</v>
      </c>
      <c r="S1671" s="35">
        <f>IF(R1671="","",IF(R1671&gt;=60,INT(R1671/60)&amp;":"&amp;TEXT(MOD(R1671,60),"00.00"),TEXT(R1671,"0.00")))</f>
        <v/>
      </c>
      <c r="T1671" s="52">
        <f>IFERROR((G1671-INDEX('01_Swimmers'!$E$5:$E$22,MATCH(B1671,'01_Swimmers'!$A$5:$A$22,0)))/'00_Control'!$B$10,"")</f>
        <v/>
      </c>
      <c r="U1671" s="35">
        <f>IF(T1671="","",INT(T1671))</f>
        <v/>
      </c>
      <c r="V1671" s="33" t="inlineStr">
        <is>
          <t>NO</t>
        </is>
      </c>
      <c r="W1671" s="33" t="inlineStr">
        <is>
          <t>YES</t>
        </is>
      </c>
      <c r="X1671" s="33" t="inlineStr">
        <is>
          <t>NO</t>
        </is>
      </c>
      <c r="Y1671" s="33" t="n"/>
      <c r="Z1671" s="33" t="n"/>
      <c r="AA1671" s="33" t="inlineStr"/>
      <c r="AB1671" s="33" t="inlineStr">
        <is>
          <t>https://www.swimcloud.com/results/275256/event/1200M/#time129244861</t>
        </is>
      </c>
      <c r="AC1671" s="33" t="inlineStr">
        <is>
          <t>SwimCloud API v6 2026-10-08</t>
        </is>
      </c>
      <c r="AD1671" s="33" t="inlineStr">
        <is>
          <t>Laon Kim|2023-08-01|LCM|200|Free|109.62|Canadian championship|FIN|False</t>
        </is>
      </c>
      <c r="AE1671" s="53">
        <f>G1671+L1671/1000+ROW()/1000000000</f>
        <v/>
      </c>
      <c r="AF1671" s="35">
        <f>IF(C1671&lt;&gt;"Grayson Coulter","",COUNTIFS($C$5:$C$2991,"Grayson Coulter",$Q$5:$Q$2991,Q1671,$AE$5:$AE$2991,"&lt;="&amp;AE1671,$R$5:$R$2991,"&lt;"&amp;R1671))</f>
        <v/>
      </c>
      <c r="AG1671" s="35">
        <f>IF(OR(C1671&lt;&gt;"Grayson Coulter",G1671&lt;'00_Control'!$B$7),"",--(AF1671&lt;5))</f>
        <v/>
      </c>
      <c r="AH1671" s="35">
        <f>IF(OR(C1671&lt;&gt;"Grayson Coulter",G1671&lt;'00_Control'!$B$7),"",--(AF1671&lt;10))</f>
        <v/>
      </c>
      <c r="AI1671" s="35">
        <f>IF(AND(C1671="Grayson Coulter",G1671&gt;='00_Control'!$B$7),"YES","NO")</f>
        <v/>
      </c>
      <c r="AJ1671" s="33" t="inlineStr">
        <is>
          <t>OK</t>
        </is>
      </c>
    </row>
    <row r="1672">
      <c r="A1672" s="33" t="inlineStr">
        <is>
          <t>SM001668</t>
        </is>
      </c>
      <c r="B1672" s="33" t="inlineStr">
        <is>
          <t>SW007</t>
        </is>
      </c>
      <c r="C1672" s="33" t="inlineStr">
        <is>
          <t>Laon Kim</t>
        </is>
      </c>
      <c r="D1672" s="33" t="inlineStr">
        <is>
          <t>SwimCloud</t>
        </is>
      </c>
      <c r="E1672" s="33" t="inlineStr">
        <is>
          <t>2829279</t>
        </is>
      </c>
      <c r="F1672" s="33" t="inlineStr">
        <is>
          <t>129244869</t>
        </is>
      </c>
      <c r="G1672" s="51" t="n">
        <v>45139</v>
      </c>
      <c r="H1672" s="33" t="inlineStr">
        <is>
          <t>Canadian championship</t>
        </is>
      </c>
      <c r="I1672" s="33" t="inlineStr">
        <is>
          <t>275256</t>
        </is>
      </c>
      <c r="J1672" s="33" t="inlineStr"/>
      <c r="K1672" s="33" t="inlineStr">
        <is>
          <t>FIN</t>
        </is>
      </c>
      <c r="L1672" s="35">
        <f>IF(K1672="FIN",3,IF(OR(K1672="SEM",K1672="SEMI"),2,IF(OR(K1672="PRE",K1672="HEAT"),1,IF(V1672="YES",4,2))))</f>
        <v/>
      </c>
      <c r="M1672" s="33" t="inlineStr">
        <is>
          <t>LCM</t>
        </is>
      </c>
      <c r="N1672" s="33" t="n">
        <v>400</v>
      </c>
      <c r="O1672" s="33" t="inlineStr">
        <is>
          <t>Free</t>
        </is>
      </c>
      <c r="P1672" s="33" t="inlineStr">
        <is>
          <t>400 Free</t>
        </is>
      </c>
      <c r="Q1672" s="33" t="inlineStr">
        <is>
          <t>LCM_400_FREE</t>
        </is>
      </c>
      <c r="R1672" s="36" t="n">
        <v>236.79</v>
      </c>
      <c r="S1672" s="35">
        <f>IF(R1672="","",IF(R1672&gt;=60,INT(R1672/60)&amp;":"&amp;TEXT(MOD(R1672,60),"00.00"),TEXT(R1672,"0.00")))</f>
        <v/>
      </c>
      <c r="T1672" s="52">
        <f>IFERROR((G1672-INDEX('01_Swimmers'!$E$5:$E$22,MATCH(B1672,'01_Swimmers'!$A$5:$A$22,0)))/'00_Control'!$B$10,"")</f>
        <v/>
      </c>
      <c r="U1672" s="35">
        <f>IF(T1672="","",INT(T1672))</f>
        <v/>
      </c>
      <c r="V1672" s="33" t="inlineStr">
        <is>
          <t>NO</t>
        </is>
      </c>
      <c r="W1672" s="33" t="inlineStr">
        <is>
          <t>YES</t>
        </is>
      </c>
      <c r="X1672" s="33" t="inlineStr">
        <is>
          <t>NO</t>
        </is>
      </c>
      <c r="Y1672" s="33" t="n"/>
      <c r="Z1672" s="33" t="n"/>
      <c r="AA1672" s="33" t="inlineStr"/>
      <c r="AB1672" s="33" t="inlineStr">
        <is>
          <t>https://www.swimcloud.com/results/275256/event/1400M/#time129244869</t>
        </is>
      </c>
      <c r="AC1672" s="33" t="inlineStr">
        <is>
          <t>SwimCloud API v6 2026-10-08</t>
        </is>
      </c>
      <c r="AD1672" s="33" t="inlineStr">
        <is>
          <t>Laon Kim|2023-08-01|LCM|400|Free|236.79|Canadian championship|FIN|False</t>
        </is>
      </c>
      <c r="AE1672" s="53">
        <f>G1672+L1672/1000+ROW()/1000000000</f>
        <v/>
      </c>
      <c r="AF1672" s="35">
        <f>IF(C1672&lt;&gt;"Grayson Coulter","",COUNTIFS($C$5:$C$2991,"Grayson Coulter",$Q$5:$Q$2991,Q1672,$AE$5:$AE$2991,"&lt;="&amp;AE1672,$R$5:$R$2991,"&lt;"&amp;R1672))</f>
        <v/>
      </c>
      <c r="AG1672" s="35">
        <f>IF(OR(C1672&lt;&gt;"Grayson Coulter",G1672&lt;'00_Control'!$B$7),"",--(AF1672&lt;5))</f>
        <v/>
      </c>
      <c r="AH1672" s="35">
        <f>IF(OR(C1672&lt;&gt;"Grayson Coulter",G1672&lt;'00_Control'!$B$7),"",--(AF1672&lt;10))</f>
        <v/>
      </c>
      <c r="AI1672" s="35">
        <f>IF(AND(C1672="Grayson Coulter",G1672&gt;='00_Control'!$B$7),"YES","NO")</f>
        <v/>
      </c>
      <c r="AJ1672" s="33" t="inlineStr">
        <is>
          <t>OK</t>
        </is>
      </c>
    </row>
    <row r="1673">
      <c r="A1673" s="33" t="inlineStr">
        <is>
          <t>SM001669</t>
        </is>
      </c>
      <c r="B1673" s="33" t="inlineStr">
        <is>
          <t>SW007</t>
        </is>
      </c>
      <c r="C1673" s="33" t="inlineStr">
        <is>
          <t>Laon Kim</t>
        </is>
      </c>
      <c r="D1673" s="33" t="inlineStr">
        <is>
          <t>SwimCloud</t>
        </is>
      </c>
      <c r="E1673" s="33" t="inlineStr">
        <is>
          <t>2829279</t>
        </is>
      </c>
      <c r="F1673" s="33" t="inlineStr">
        <is>
          <t>129892999</t>
        </is>
      </c>
      <c r="G1673" s="51" t="n">
        <v>45273</v>
      </c>
      <c r="H1673" s="33" t="inlineStr">
        <is>
          <t>Junior international</t>
        </is>
      </c>
      <c r="I1673" s="33" t="inlineStr">
        <is>
          <t>288728</t>
        </is>
      </c>
      <c r="J1673" s="33" t="inlineStr"/>
      <c r="K1673" s="33" t="inlineStr">
        <is>
          <t>PRE</t>
        </is>
      </c>
      <c r="L1673" s="35">
        <f>IF(K1673="FIN",3,IF(OR(K1673="SEM",K1673="SEMI"),2,IF(OR(K1673="PRE",K1673="HEAT"),1,IF(V1673="YES",4,2))))</f>
        <v/>
      </c>
      <c r="M1673" s="33" t="inlineStr">
        <is>
          <t>SCM</t>
        </is>
      </c>
      <c r="N1673" s="33" t="n">
        <v>100</v>
      </c>
      <c r="O1673" s="33" t="inlineStr">
        <is>
          <t>Free</t>
        </is>
      </c>
      <c r="P1673" s="33" t="inlineStr">
        <is>
          <t>100 Free</t>
        </is>
      </c>
      <c r="Q1673" s="33" t="inlineStr">
        <is>
          <t>SCM_100_FREE</t>
        </is>
      </c>
      <c r="R1673" s="36" t="n">
        <v>48.65</v>
      </c>
      <c r="S1673" s="35">
        <f>IF(R1673="","",IF(R1673&gt;=60,INT(R1673/60)&amp;":"&amp;TEXT(MOD(R1673,60),"00.00"),TEXT(R1673,"0.00")))</f>
        <v/>
      </c>
      <c r="T1673" s="52">
        <f>IFERROR((G1673-INDEX('01_Swimmers'!$E$5:$E$22,MATCH(B1673,'01_Swimmers'!$A$5:$A$22,0)))/'00_Control'!$B$10,"")</f>
        <v/>
      </c>
      <c r="U1673" s="35">
        <f>IF(T1673="","",INT(T1673))</f>
        <v/>
      </c>
      <c r="V1673" s="33" t="inlineStr">
        <is>
          <t>NO</t>
        </is>
      </c>
      <c r="W1673" s="33" t="inlineStr">
        <is>
          <t>YES</t>
        </is>
      </c>
      <c r="X1673" s="33" t="inlineStr">
        <is>
          <t>NO</t>
        </is>
      </c>
      <c r="Y1673" s="33" t="n"/>
      <c r="Z1673" s="33" t="n"/>
      <c r="AA1673" s="33" t="inlineStr"/>
      <c r="AB1673" s="33" t="inlineStr">
        <is>
          <t>https://www.swimcloud.com/results/288728/event/1100M/#time129892999</t>
        </is>
      </c>
      <c r="AC1673" s="33" t="inlineStr">
        <is>
          <t>SwimCloud API v6 2026-10-08</t>
        </is>
      </c>
      <c r="AD1673" s="33" t="inlineStr">
        <is>
          <t>Laon Kim|2023-12-13|SCM|100|Free|48.65|Junior international|PRE|False</t>
        </is>
      </c>
      <c r="AE1673" s="53">
        <f>G1673+L1673/1000+ROW()/1000000000</f>
        <v/>
      </c>
      <c r="AF1673" s="35">
        <f>IF(C1673&lt;&gt;"Grayson Coulter","",COUNTIFS($C$5:$C$2991,"Grayson Coulter",$Q$5:$Q$2991,Q1673,$AE$5:$AE$2991,"&lt;="&amp;AE1673,$R$5:$R$2991,"&lt;"&amp;R1673))</f>
        <v/>
      </c>
      <c r="AG1673" s="35">
        <f>IF(OR(C1673&lt;&gt;"Grayson Coulter",G1673&lt;'00_Control'!$B$7),"",--(AF1673&lt;5))</f>
        <v/>
      </c>
      <c r="AH1673" s="35">
        <f>IF(OR(C1673&lt;&gt;"Grayson Coulter",G1673&lt;'00_Control'!$B$7),"",--(AF1673&lt;10))</f>
        <v/>
      </c>
      <c r="AI1673" s="35">
        <f>IF(AND(C1673="Grayson Coulter",G1673&gt;='00_Control'!$B$7),"YES","NO")</f>
        <v/>
      </c>
      <c r="AJ1673" s="33" t="inlineStr">
        <is>
          <t>OK</t>
        </is>
      </c>
    </row>
    <row r="1674">
      <c r="A1674" s="33" t="inlineStr">
        <is>
          <t>SM001670</t>
        </is>
      </c>
      <c r="B1674" s="33" t="inlineStr">
        <is>
          <t>SW007</t>
        </is>
      </c>
      <c r="C1674" s="33" t="inlineStr">
        <is>
          <t>Laon Kim</t>
        </is>
      </c>
      <c r="D1674" s="33" t="inlineStr">
        <is>
          <t>SwimCloud</t>
        </is>
      </c>
      <c r="E1674" s="33" t="inlineStr">
        <is>
          <t>2829279</t>
        </is>
      </c>
      <c r="F1674" s="33" t="inlineStr">
        <is>
          <t>129899905</t>
        </is>
      </c>
      <c r="G1674" s="51" t="n">
        <v>45273</v>
      </c>
      <c r="H1674" s="33" t="inlineStr">
        <is>
          <t>Junior international</t>
        </is>
      </c>
      <c r="I1674" s="33" t="inlineStr">
        <is>
          <t>288728</t>
        </is>
      </c>
      <c r="J1674" s="33" t="inlineStr"/>
      <c r="K1674" s="33" t="inlineStr">
        <is>
          <t>FIN</t>
        </is>
      </c>
      <c r="L1674" s="35">
        <f>IF(K1674="FIN",3,IF(OR(K1674="SEM",K1674="SEMI"),2,IF(OR(K1674="PRE",K1674="HEAT"),1,IF(V1674="YES",4,2))))</f>
        <v/>
      </c>
      <c r="M1674" s="33" t="inlineStr">
        <is>
          <t>SCM</t>
        </is>
      </c>
      <c r="N1674" s="33" t="n">
        <v>200</v>
      </c>
      <c r="O1674" s="33" t="inlineStr">
        <is>
          <t>Free</t>
        </is>
      </c>
      <c r="P1674" s="33" t="inlineStr">
        <is>
          <t>200 Free</t>
        </is>
      </c>
      <c r="Q1674" s="33" t="inlineStr">
        <is>
          <t>SCM_200_FREE</t>
        </is>
      </c>
      <c r="R1674" s="36" t="n">
        <v>106.14</v>
      </c>
      <c r="S1674" s="35">
        <f>IF(R1674="","",IF(R1674&gt;=60,INT(R1674/60)&amp;":"&amp;TEXT(MOD(R1674,60),"00.00"),TEXT(R1674,"0.00")))</f>
        <v/>
      </c>
      <c r="T1674" s="52">
        <f>IFERROR((G1674-INDEX('01_Swimmers'!$E$5:$E$22,MATCH(B1674,'01_Swimmers'!$A$5:$A$22,0)))/'00_Control'!$B$10,"")</f>
        <v/>
      </c>
      <c r="U1674" s="35">
        <f>IF(T1674="","",INT(T1674))</f>
        <v/>
      </c>
      <c r="V1674" s="33" t="inlineStr">
        <is>
          <t>NO</t>
        </is>
      </c>
      <c r="W1674" s="33" t="inlineStr">
        <is>
          <t>YES</t>
        </is>
      </c>
      <c r="X1674" s="33" t="inlineStr">
        <is>
          <t>NO</t>
        </is>
      </c>
      <c r="Y1674" s="33" t="n"/>
      <c r="Z1674" s="33" t="n"/>
      <c r="AA1674" s="33" t="inlineStr"/>
      <c r="AB1674" s="33" t="inlineStr">
        <is>
          <t>https://www.swimcloud.com/results/288728/event/1200M/#time129899905</t>
        </is>
      </c>
      <c r="AC1674" s="33" t="inlineStr">
        <is>
          <t>SwimCloud API v6 2026-10-08</t>
        </is>
      </c>
      <c r="AD1674" s="33" t="inlineStr">
        <is>
          <t>Laon Kim|2023-12-13|SCM|200|Free|106.14|Junior international|FIN|False</t>
        </is>
      </c>
      <c r="AE1674" s="53">
        <f>G1674+L1674/1000+ROW()/1000000000</f>
        <v/>
      </c>
      <c r="AF1674" s="35">
        <f>IF(C1674&lt;&gt;"Grayson Coulter","",COUNTIFS($C$5:$C$2991,"Grayson Coulter",$Q$5:$Q$2991,Q1674,$AE$5:$AE$2991,"&lt;="&amp;AE1674,$R$5:$R$2991,"&lt;"&amp;R1674))</f>
        <v/>
      </c>
      <c r="AG1674" s="35">
        <f>IF(OR(C1674&lt;&gt;"Grayson Coulter",G1674&lt;'00_Control'!$B$7),"",--(AF1674&lt;5))</f>
        <v/>
      </c>
      <c r="AH1674" s="35">
        <f>IF(OR(C1674&lt;&gt;"Grayson Coulter",G1674&lt;'00_Control'!$B$7),"",--(AF1674&lt;10))</f>
        <v/>
      </c>
      <c r="AI1674" s="35">
        <f>IF(AND(C1674="Grayson Coulter",G1674&gt;='00_Control'!$B$7),"YES","NO")</f>
        <v/>
      </c>
      <c r="AJ1674" s="33" t="inlineStr">
        <is>
          <t>OK</t>
        </is>
      </c>
    </row>
    <row r="1675">
      <c r="A1675" s="33" t="inlineStr">
        <is>
          <t>SM001671</t>
        </is>
      </c>
      <c r="B1675" s="33" t="inlineStr">
        <is>
          <t>SW007</t>
        </is>
      </c>
      <c r="C1675" s="33" t="inlineStr">
        <is>
          <t>Laon Kim</t>
        </is>
      </c>
      <c r="D1675" s="33" t="inlineStr">
        <is>
          <t>SwimCloud</t>
        </is>
      </c>
      <c r="E1675" s="33" t="inlineStr">
        <is>
          <t>2829279</t>
        </is>
      </c>
      <c r="F1675" s="33" t="inlineStr">
        <is>
          <t>129899909</t>
        </is>
      </c>
      <c r="G1675" s="51" t="n">
        <v>45273</v>
      </c>
      <c r="H1675" s="33" t="inlineStr">
        <is>
          <t>Junior international</t>
        </is>
      </c>
      <c r="I1675" s="33" t="inlineStr">
        <is>
          <t>288728</t>
        </is>
      </c>
      <c r="J1675" s="33" t="inlineStr"/>
      <c r="K1675" s="33" t="inlineStr">
        <is>
          <t>PRE</t>
        </is>
      </c>
      <c r="L1675" s="35">
        <f>IF(K1675="FIN",3,IF(OR(K1675="SEM",K1675="SEMI"),2,IF(OR(K1675="PRE",K1675="HEAT"),1,IF(V1675="YES",4,2))))</f>
        <v/>
      </c>
      <c r="M1675" s="33" t="inlineStr">
        <is>
          <t>SCM</t>
        </is>
      </c>
      <c r="N1675" s="33" t="n">
        <v>400</v>
      </c>
      <c r="O1675" s="33" t="inlineStr">
        <is>
          <t>Free</t>
        </is>
      </c>
      <c r="P1675" s="33" t="inlineStr">
        <is>
          <t>400 Free</t>
        </is>
      </c>
      <c r="Q1675" s="33" t="inlineStr">
        <is>
          <t>SCM_400_FREE</t>
        </is>
      </c>
      <c r="R1675" s="36" t="n">
        <v>232.8</v>
      </c>
      <c r="S1675" s="35">
        <f>IF(R1675="","",IF(R1675&gt;=60,INT(R1675/60)&amp;":"&amp;TEXT(MOD(R1675,60),"00.00"),TEXT(R1675,"0.00")))</f>
        <v/>
      </c>
      <c r="T1675" s="52">
        <f>IFERROR((G1675-INDEX('01_Swimmers'!$E$5:$E$22,MATCH(B1675,'01_Swimmers'!$A$5:$A$22,0)))/'00_Control'!$B$10,"")</f>
        <v/>
      </c>
      <c r="U1675" s="35">
        <f>IF(T1675="","",INT(T1675))</f>
        <v/>
      </c>
      <c r="V1675" s="33" t="inlineStr">
        <is>
          <t>NO</t>
        </is>
      </c>
      <c r="W1675" s="33" t="inlineStr">
        <is>
          <t>YES</t>
        </is>
      </c>
      <c r="X1675" s="33" t="inlineStr">
        <is>
          <t>NO</t>
        </is>
      </c>
      <c r="Y1675" s="33" t="n"/>
      <c r="Z1675" s="33" t="n"/>
      <c r="AA1675" s="33" t="inlineStr"/>
      <c r="AB1675" s="33" t="inlineStr">
        <is>
          <t>https://www.swimcloud.com/results/288728/event/1400M/#time129899909</t>
        </is>
      </c>
      <c r="AC1675" s="33" t="inlineStr">
        <is>
          <t>SwimCloud API v6 2026-10-08</t>
        </is>
      </c>
      <c r="AD1675" s="33" t="inlineStr">
        <is>
          <t>Laon Kim|2023-12-13|SCM|400|Free|232.8|Junior international|PRE|False</t>
        </is>
      </c>
      <c r="AE1675" s="53">
        <f>G1675+L1675/1000+ROW()/1000000000</f>
        <v/>
      </c>
      <c r="AF1675" s="35">
        <f>IF(C1675&lt;&gt;"Grayson Coulter","",COUNTIFS($C$5:$C$2991,"Grayson Coulter",$Q$5:$Q$2991,Q1675,$AE$5:$AE$2991,"&lt;="&amp;AE1675,$R$5:$R$2991,"&lt;"&amp;R1675))</f>
        <v/>
      </c>
      <c r="AG1675" s="35">
        <f>IF(OR(C1675&lt;&gt;"Grayson Coulter",G1675&lt;'00_Control'!$B$7),"",--(AF1675&lt;5))</f>
        <v/>
      </c>
      <c r="AH1675" s="35">
        <f>IF(OR(C1675&lt;&gt;"Grayson Coulter",G1675&lt;'00_Control'!$B$7),"",--(AF1675&lt;10))</f>
        <v/>
      </c>
      <c r="AI1675" s="35">
        <f>IF(AND(C1675="Grayson Coulter",G1675&gt;='00_Control'!$B$7),"YES","NO")</f>
        <v/>
      </c>
      <c r="AJ1675" s="33" t="inlineStr">
        <is>
          <t>OK</t>
        </is>
      </c>
    </row>
    <row r="1676">
      <c r="A1676" s="33" t="inlineStr">
        <is>
          <t>SM001672</t>
        </is>
      </c>
      <c r="B1676" s="33" t="inlineStr">
        <is>
          <t>SW007</t>
        </is>
      </c>
      <c r="C1676" s="33" t="inlineStr">
        <is>
          <t>Laon Kim</t>
        </is>
      </c>
      <c r="D1676" s="33" t="inlineStr">
        <is>
          <t>SwimCloud</t>
        </is>
      </c>
      <c r="E1676" s="33" t="inlineStr">
        <is>
          <t>2829279</t>
        </is>
      </c>
      <c r="F1676" s="33" t="inlineStr">
        <is>
          <t>129899915</t>
        </is>
      </c>
      <c r="G1676" s="51" t="n">
        <v>45428</v>
      </c>
      <c r="H1676" s="33" t="inlineStr">
        <is>
          <t>Candian Olympic &amp; Paralympic Trials</t>
        </is>
      </c>
      <c r="I1676" s="33" t="inlineStr">
        <is>
          <t>307687</t>
        </is>
      </c>
      <c r="J1676" s="33" t="inlineStr"/>
      <c r="K1676" s="33" t="inlineStr">
        <is>
          <t>FIN</t>
        </is>
      </c>
      <c r="L1676" s="35">
        <f>IF(K1676="FIN",3,IF(OR(K1676="SEM",K1676="SEMI"),2,IF(OR(K1676="PRE",K1676="HEAT"),1,IF(V1676="YES",4,2))))</f>
        <v/>
      </c>
      <c r="M1676" s="33" t="inlineStr">
        <is>
          <t>LCM</t>
        </is>
      </c>
      <c r="N1676" s="33" t="n">
        <v>100</v>
      </c>
      <c r="O1676" s="33" t="inlineStr">
        <is>
          <t>Fly</t>
        </is>
      </c>
      <c r="P1676" s="33" t="inlineStr">
        <is>
          <t>100 Fly</t>
        </is>
      </c>
      <c r="Q1676" s="33" t="inlineStr">
        <is>
          <t>LCM_100_FLY</t>
        </is>
      </c>
      <c r="R1676" s="36" t="n">
        <v>55.12</v>
      </c>
      <c r="S1676" s="35">
        <f>IF(R1676="","",IF(R1676&gt;=60,INT(R1676/60)&amp;":"&amp;TEXT(MOD(R1676,60),"00.00"),TEXT(R1676,"0.00")))</f>
        <v/>
      </c>
      <c r="T1676" s="52">
        <f>IFERROR((G1676-INDEX('01_Swimmers'!$E$5:$E$22,MATCH(B1676,'01_Swimmers'!$A$5:$A$22,0)))/'00_Control'!$B$10,"")</f>
        <v/>
      </c>
      <c r="U1676" s="35">
        <f>IF(T1676="","",INT(T1676))</f>
        <v/>
      </c>
      <c r="V1676" s="33" t="inlineStr">
        <is>
          <t>NO</t>
        </is>
      </c>
      <c r="W1676" s="33" t="inlineStr">
        <is>
          <t>YES</t>
        </is>
      </c>
      <c r="X1676" s="33" t="inlineStr">
        <is>
          <t>NO</t>
        </is>
      </c>
      <c r="Y1676" s="33" t="n"/>
      <c r="Z1676" s="33" t="n"/>
      <c r="AA1676" s="33" t="inlineStr"/>
      <c r="AB1676" s="33" t="inlineStr">
        <is>
          <t>https://www.swimcloud.com/results/307687/event/4100M/#time129899915</t>
        </is>
      </c>
      <c r="AC1676" s="33" t="inlineStr">
        <is>
          <t>SwimCloud API v6 2026-10-08</t>
        </is>
      </c>
      <c r="AD1676" s="33" t="inlineStr">
        <is>
          <t>Laon Kim|2024-05-16|LCM|100|Fly|55.12|Candian Olympic &amp; Paralympic Trials|FIN|False</t>
        </is>
      </c>
      <c r="AE1676" s="53">
        <f>G1676+L1676/1000+ROW()/1000000000</f>
        <v/>
      </c>
      <c r="AF1676" s="35">
        <f>IF(C1676&lt;&gt;"Grayson Coulter","",COUNTIFS($C$5:$C$2991,"Grayson Coulter",$Q$5:$Q$2991,Q1676,$AE$5:$AE$2991,"&lt;="&amp;AE1676,$R$5:$R$2991,"&lt;"&amp;R1676))</f>
        <v/>
      </c>
      <c r="AG1676" s="35">
        <f>IF(OR(C1676&lt;&gt;"Grayson Coulter",G1676&lt;'00_Control'!$B$7),"",--(AF1676&lt;5))</f>
        <v/>
      </c>
      <c r="AH1676" s="35">
        <f>IF(OR(C1676&lt;&gt;"Grayson Coulter",G1676&lt;'00_Control'!$B$7),"",--(AF1676&lt;10))</f>
        <v/>
      </c>
      <c r="AI1676" s="35">
        <f>IF(AND(C1676="Grayson Coulter",G1676&gt;='00_Control'!$B$7),"YES","NO")</f>
        <v/>
      </c>
      <c r="AJ1676" s="33" t="inlineStr">
        <is>
          <t>OK</t>
        </is>
      </c>
    </row>
    <row r="1677">
      <c r="A1677" s="33" t="inlineStr">
        <is>
          <t>SM001673</t>
        </is>
      </c>
      <c r="B1677" s="33" t="inlineStr">
        <is>
          <t>SW007</t>
        </is>
      </c>
      <c r="C1677" s="33" t="inlineStr">
        <is>
          <t>Laon Kim</t>
        </is>
      </c>
      <c r="D1677" s="33" t="inlineStr">
        <is>
          <t>SwimCloud</t>
        </is>
      </c>
      <c r="E1677" s="33" t="inlineStr">
        <is>
          <t>2829279</t>
        </is>
      </c>
      <c r="F1677" s="33" t="inlineStr">
        <is>
          <t>129251284</t>
        </is>
      </c>
      <c r="G1677" s="51" t="n">
        <v>45428</v>
      </c>
      <c r="H1677" s="33" t="inlineStr">
        <is>
          <t>Candian Olympic &amp; Paralympic Trials</t>
        </is>
      </c>
      <c r="I1677" s="33" t="inlineStr">
        <is>
          <t>307687</t>
        </is>
      </c>
      <c r="J1677" s="33" t="inlineStr"/>
      <c r="K1677" s="33" t="inlineStr">
        <is>
          <t>PRE</t>
        </is>
      </c>
      <c r="L1677" s="35">
        <f>IF(K1677="FIN",3,IF(OR(K1677="SEM",K1677="SEMI"),2,IF(OR(K1677="PRE",K1677="HEAT"),1,IF(V1677="YES",4,2))))</f>
        <v/>
      </c>
      <c r="M1677" s="33" t="inlineStr">
        <is>
          <t>LCM</t>
        </is>
      </c>
      <c r="N1677" s="33" t="n">
        <v>100</v>
      </c>
      <c r="O1677" s="33" t="inlineStr">
        <is>
          <t>Free</t>
        </is>
      </c>
      <c r="P1677" s="33" t="inlineStr">
        <is>
          <t>100 Free</t>
        </is>
      </c>
      <c r="Q1677" s="33" t="inlineStr">
        <is>
          <t>LCM_100_FREE</t>
        </is>
      </c>
      <c r="R1677" s="36" t="n">
        <v>50.22</v>
      </c>
      <c r="S1677" s="35">
        <f>IF(R1677="","",IF(R1677&gt;=60,INT(R1677/60)&amp;":"&amp;TEXT(MOD(R1677,60),"00.00"),TEXT(R1677,"0.00")))</f>
        <v/>
      </c>
      <c r="T1677" s="52">
        <f>IFERROR((G1677-INDEX('01_Swimmers'!$E$5:$E$22,MATCH(B1677,'01_Swimmers'!$A$5:$A$22,0)))/'00_Control'!$B$10,"")</f>
        <v/>
      </c>
      <c r="U1677" s="35">
        <f>IF(T1677="","",INT(T1677))</f>
        <v/>
      </c>
      <c r="V1677" s="33" t="inlineStr">
        <is>
          <t>NO</t>
        </is>
      </c>
      <c r="W1677" s="33" t="inlineStr">
        <is>
          <t>YES</t>
        </is>
      </c>
      <c r="X1677" s="33" t="inlineStr">
        <is>
          <t>NO</t>
        </is>
      </c>
      <c r="Y1677" s="33" t="n"/>
      <c r="Z1677" s="33" t="n"/>
      <c r="AA1677" s="33" t="inlineStr"/>
      <c r="AB1677" s="33" t="inlineStr">
        <is>
          <t>https://www.swimcloud.com/results/307687/event/1100M/#time129251284</t>
        </is>
      </c>
      <c r="AC1677" s="33" t="inlineStr">
        <is>
          <t>SwimCloud API v6 2026-10-08</t>
        </is>
      </c>
      <c r="AD1677" s="33" t="inlineStr">
        <is>
          <t>Laon Kim|2024-05-16|LCM|100|Free|50.22|Candian Olympic &amp; Paralympic Trials|PRE|False</t>
        </is>
      </c>
      <c r="AE1677" s="53">
        <f>G1677+L1677/1000+ROW()/1000000000</f>
        <v/>
      </c>
      <c r="AF1677" s="35">
        <f>IF(C1677&lt;&gt;"Grayson Coulter","",COUNTIFS($C$5:$C$2991,"Grayson Coulter",$Q$5:$Q$2991,Q1677,$AE$5:$AE$2991,"&lt;="&amp;AE1677,$R$5:$R$2991,"&lt;"&amp;R1677))</f>
        <v/>
      </c>
      <c r="AG1677" s="35">
        <f>IF(OR(C1677&lt;&gt;"Grayson Coulter",G1677&lt;'00_Control'!$B$7),"",--(AF1677&lt;5))</f>
        <v/>
      </c>
      <c r="AH1677" s="35">
        <f>IF(OR(C1677&lt;&gt;"Grayson Coulter",G1677&lt;'00_Control'!$B$7),"",--(AF1677&lt;10))</f>
        <v/>
      </c>
      <c r="AI1677" s="35">
        <f>IF(AND(C1677="Grayson Coulter",G1677&gt;='00_Control'!$B$7),"YES","NO")</f>
        <v/>
      </c>
      <c r="AJ1677" s="33" t="inlineStr">
        <is>
          <t>OK</t>
        </is>
      </c>
    </row>
    <row r="1678">
      <c r="A1678" s="33" t="inlineStr">
        <is>
          <t>SM001674</t>
        </is>
      </c>
      <c r="B1678" s="33" t="inlineStr">
        <is>
          <t>SW007</t>
        </is>
      </c>
      <c r="C1678" s="33" t="inlineStr">
        <is>
          <t>Laon Kim</t>
        </is>
      </c>
      <c r="D1678" s="33" t="inlineStr">
        <is>
          <t>SwimCloud</t>
        </is>
      </c>
      <c r="E1678" s="33" t="inlineStr">
        <is>
          <t>2829279</t>
        </is>
      </c>
      <c r="F1678" s="33" t="inlineStr">
        <is>
          <t>129251290</t>
        </is>
      </c>
      <c r="G1678" s="51" t="n">
        <v>45428</v>
      </c>
      <c r="H1678" s="33" t="inlineStr">
        <is>
          <t>Candian Olympic &amp; Paralympic Trials</t>
        </is>
      </c>
      <c r="I1678" s="33" t="inlineStr">
        <is>
          <t>307687</t>
        </is>
      </c>
      <c r="J1678" s="33" t="inlineStr"/>
      <c r="K1678" s="33" t="inlineStr">
        <is>
          <t>FIN</t>
        </is>
      </c>
      <c r="L1678" s="35">
        <f>IF(K1678="FIN",3,IF(OR(K1678="SEM",K1678="SEMI"),2,IF(OR(K1678="PRE",K1678="HEAT"),1,IF(V1678="YES",4,2))))</f>
        <v/>
      </c>
      <c r="M1678" s="33" t="inlineStr">
        <is>
          <t>LCM</t>
        </is>
      </c>
      <c r="N1678" s="33" t="n">
        <v>400</v>
      </c>
      <c r="O1678" s="33" t="inlineStr">
        <is>
          <t>Free</t>
        </is>
      </c>
      <c r="P1678" s="33" t="inlineStr">
        <is>
          <t>400 Free</t>
        </is>
      </c>
      <c r="Q1678" s="33" t="inlineStr">
        <is>
          <t>LCM_400_FREE</t>
        </is>
      </c>
      <c r="R1678" s="36" t="n">
        <v>236.37</v>
      </c>
      <c r="S1678" s="35">
        <f>IF(R1678="","",IF(R1678&gt;=60,INT(R1678/60)&amp;":"&amp;TEXT(MOD(R1678,60),"00.00"),TEXT(R1678,"0.00")))</f>
        <v/>
      </c>
      <c r="T1678" s="52">
        <f>IFERROR((G1678-INDEX('01_Swimmers'!$E$5:$E$22,MATCH(B1678,'01_Swimmers'!$A$5:$A$22,0)))/'00_Control'!$B$10,"")</f>
        <v/>
      </c>
      <c r="U1678" s="35">
        <f>IF(T1678="","",INT(T1678))</f>
        <v/>
      </c>
      <c r="V1678" s="33" t="inlineStr">
        <is>
          <t>NO</t>
        </is>
      </c>
      <c r="W1678" s="33" t="inlineStr">
        <is>
          <t>YES</t>
        </is>
      </c>
      <c r="X1678" s="33" t="inlineStr">
        <is>
          <t>NO</t>
        </is>
      </c>
      <c r="Y1678" s="33" t="n"/>
      <c r="Z1678" s="33" t="n"/>
      <c r="AA1678" s="33" t="inlineStr"/>
      <c r="AB1678" s="33" t="inlineStr">
        <is>
          <t>https://www.swimcloud.com/results/307687/event/1400M/#time129251290</t>
        </is>
      </c>
      <c r="AC1678" s="33" t="inlineStr">
        <is>
          <t>SwimCloud API v6 2026-10-08</t>
        </is>
      </c>
      <c r="AD1678" s="33" t="inlineStr">
        <is>
          <t>Laon Kim|2024-05-16|LCM|400|Free|236.37|Candian Olympic &amp; Paralympic Trials|FIN|False</t>
        </is>
      </c>
      <c r="AE1678" s="53">
        <f>G1678+L1678/1000+ROW()/1000000000</f>
        <v/>
      </c>
      <c r="AF1678" s="35">
        <f>IF(C1678&lt;&gt;"Grayson Coulter","",COUNTIFS($C$5:$C$2991,"Grayson Coulter",$Q$5:$Q$2991,Q1678,$AE$5:$AE$2991,"&lt;="&amp;AE1678,$R$5:$R$2991,"&lt;"&amp;R1678))</f>
        <v/>
      </c>
      <c r="AG1678" s="35">
        <f>IF(OR(C1678&lt;&gt;"Grayson Coulter",G1678&lt;'00_Control'!$B$7),"",--(AF1678&lt;5))</f>
        <v/>
      </c>
      <c r="AH1678" s="35">
        <f>IF(OR(C1678&lt;&gt;"Grayson Coulter",G1678&lt;'00_Control'!$B$7),"",--(AF1678&lt;10))</f>
        <v/>
      </c>
      <c r="AI1678" s="35">
        <f>IF(AND(C1678="Grayson Coulter",G1678&gt;='00_Control'!$B$7),"YES","NO")</f>
        <v/>
      </c>
      <c r="AJ1678" s="33" t="inlineStr">
        <is>
          <t>OK</t>
        </is>
      </c>
    </row>
    <row r="1679">
      <c r="A1679" s="33" t="inlineStr">
        <is>
          <t>SM001675</t>
        </is>
      </c>
      <c r="B1679" s="33" t="inlineStr">
        <is>
          <t>SW007</t>
        </is>
      </c>
      <c r="C1679" s="33" t="inlineStr">
        <is>
          <t>Laon Kim</t>
        </is>
      </c>
      <c r="D1679" s="33" t="inlineStr">
        <is>
          <t>SwimCloud</t>
        </is>
      </c>
      <c r="E1679" s="33" t="inlineStr">
        <is>
          <t>2829279</t>
        </is>
      </c>
      <c r="F1679" s="33" t="inlineStr">
        <is>
          <t>128201094</t>
        </is>
      </c>
      <c r="G1679" s="51" t="n">
        <v>45464</v>
      </c>
      <c r="H1679" s="33" t="inlineStr">
        <is>
          <t>Mel Zajac Jr. International Swim Meet</t>
        </is>
      </c>
      <c r="I1679" s="33" t="inlineStr">
        <is>
          <t>306095</t>
        </is>
      </c>
      <c r="J1679" s="33" t="inlineStr"/>
      <c r="K1679" s="33" t="inlineStr">
        <is>
          <t>PRE</t>
        </is>
      </c>
      <c r="L1679" s="35">
        <f>IF(K1679="FIN",3,IF(OR(K1679="SEM",K1679="SEMI"),2,IF(OR(K1679="PRE",K1679="HEAT"),1,IF(V1679="YES",4,2))))</f>
        <v/>
      </c>
      <c r="M1679" s="33" t="inlineStr">
        <is>
          <t>LCM</t>
        </is>
      </c>
      <c r="N1679" s="33" t="n">
        <v>200</v>
      </c>
      <c r="O1679" s="33" t="inlineStr">
        <is>
          <t>Free</t>
        </is>
      </c>
      <c r="P1679" s="33" t="inlineStr">
        <is>
          <t>200 Free</t>
        </is>
      </c>
      <c r="Q1679" s="33" t="inlineStr">
        <is>
          <t>LCM_200_FREE</t>
        </is>
      </c>
      <c r="R1679" s="36" t="n">
        <v>112.63</v>
      </c>
      <c r="S1679" s="35">
        <f>IF(R1679="","",IF(R1679&gt;=60,INT(R1679/60)&amp;":"&amp;TEXT(MOD(R1679,60),"00.00"),TEXT(R1679,"0.00")))</f>
        <v/>
      </c>
      <c r="T1679" s="52">
        <f>IFERROR((G1679-INDEX('01_Swimmers'!$E$5:$E$22,MATCH(B1679,'01_Swimmers'!$A$5:$A$22,0)))/'00_Control'!$B$10,"")</f>
        <v/>
      </c>
      <c r="U1679" s="35">
        <f>IF(T1679="","",INT(T1679))</f>
        <v/>
      </c>
      <c r="V1679" s="33" t="inlineStr">
        <is>
          <t>NO</t>
        </is>
      </c>
      <c r="W1679" s="33" t="inlineStr">
        <is>
          <t>YES</t>
        </is>
      </c>
      <c r="X1679" s="33" t="inlineStr">
        <is>
          <t>NO</t>
        </is>
      </c>
      <c r="Y1679" s="33" t="n">
        <v>7</v>
      </c>
      <c r="Z1679" s="33" t="n">
        <v>5</v>
      </c>
      <c r="AA1679" s="33" t="inlineStr">
        <is>
          <t>6</t>
        </is>
      </c>
      <c r="AB1679" s="33" t="inlineStr">
        <is>
          <t>https://www.swimcloud.com/results/306095/event/7/?id=128201094#time128201094</t>
        </is>
      </c>
      <c r="AC1679" s="33" t="inlineStr">
        <is>
          <t>SwimCloud API v6 2026-10-08</t>
        </is>
      </c>
      <c r="AD1679" s="33" t="inlineStr">
        <is>
          <t>Laon Kim|2024-06-21|LCM|200|Free|112.63|Mel Zajac Jr. International Swim Meet|PRE|False</t>
        </is>
      </c>
      <c r="AE1679" s="53">
        <f>G1679+L1679/1000+ROW()/1000000000</f>
        <v/>
      </c>
      <c r="AF1679" s="35">
        <f>IF(C1679&lt;&gt;"Grayson Coulter","",COUNTIFS($C$5:$C$2991,"Grayson Coulter",$Q$5:$Q$2991,Q1679,$AE$5:$AE$2991,"&lt;="&amp;AE1679,$R$5:$R$2991,"&lt;"&amp;R1679))</f>
        <v/>
      </c>
      <c r="AG1679" s="35">
        <f>IF(OR(C1679&lt;&gt;"Grayson Coulter",G1679&lt;'00_Control'!$B$7),"",--(AF1679&lt;5))</f>
        <v/>
      </c>
      <c r="AH1679" s="35">
        <f>IF(OR(C1679&lt;&gt;"Grayson Coulter",G1679&lt;'00_Control'!$B$7),"",--(AF1679&lt;10))</f>
        <v/>
      </c>
      <c r="AI1679" s="35">
        <f>IF(AND(C1679="Grayson Coulter",G1679&gt;='00_Control'!$B$7),"YES","NO")</f>
        <v/>
      </c>
      <c r="AJ1679" s="33" t="inlineStr">
        <is>
          <t>OK</t>
        </is>
      </c>
    </row>
    <row r="1680">
      <c r="A1680" s="33" t="inlineStr">
        <is>
          <t>SM001676</t>
        </is>
      </c>
      <c r="B1680" s="33" t="inlineStr">
        <is>
          <t>SW007</t>
        </is>
      </c>
      <c r="C1680" s="33" t="inlineStr">
        <is>
          <t>Laon Kim</t>
        </is>
      </c>
      <c r="D1680" s="33" t="inlineStr">
        <is>
          <t>SwimCloud</t>
        </is>
      </c>
      <c r="E1680" s="33" t="inlineStr">
        <is>
          <t>2829279</t>
        </is>
      </c>
      <c r="F1680" s="33" t="inlineStr">
        <is>
          <t>128201095</t>
        </is>
      </c>
      <c r="G1680" s="51" t="n">
        <v>45464</v>
      </c>
      <c r="H1680" s="33" t="inlineStr">
        <is>
          <t>Mel Zajac Jr. International Swim Meet</t>
        </is>
      </c>
      <c r="I1680" s="33" t="inlineStr">
        <is>
          <t>306095</t>
        </is>
      </c>
      <c r="J1680" s="33" t="inlineStr"/>
      <c r="K1680" s="33" t="inlineStr">
        <is>
          <t>FIN</t>
        </is>
      </c>
      <c r="L1680" s="35">
        <f>IF(K1680="FIN",3,IF(OR(K1680="SEM",K1680="SEMI"),2,IF(OR(K1680="PRE",K1680="HEAT"),1,IF(V1680="YES",4,2))))</f>
        <v/>
      </c>
      <c r="M1680" s="33" t="inlineStr">
        <is>
          <t>LCM</t>
        </is>
      </c>
      <c r="N1680" s="33" t="n">
        <v>200</v>
      </c>
      <c r="O1680" s="33" t="inlineStr">
        <is>
          <t>Free</t>
        </is>
      </c>
      <c r="P1680" s="33" t="inlineStr">
        <is>
          <t>200 Free</t>
        </is>
      </c>
      <c r="Q1680" s="33" t="inlineStr">
        <is>
          <t>LCM_200_FREE</t>
        </is>
      </c>
      <c r="R1680" s="36" t="n">
        <v>114.15</v>
      </c>
      <c r="S1680" s="35">
        <f>IF(R1680="","",IF(R1680&gt;=60,INT(R1680/60)&amp;":"&amp;TEXT(MOD(R1680,60),"00.00"),TEXT(R1680,"0.00")))</f>
        <v/>
      </c>
      <c r="T1680" s="52">
        <f>IFERROR((G1680-INDEX('01_Swimmers'!$E$5:$E$22,MATCH(B1680,'01_Swimmers'!$A$5:$A$22,0)))/'00_Control'!$B$10,"")</f>
        <v/>
      </c>
      <c r="U1680" s="35">
        <f>IF(T1680="","",INT(T1680))</f>
        <v/>
      </c>
      <c r="V1680" s="33" t="inlineStr">
        <is>
          <t>NO</t>
        </is>
      </c>
      <c r="W1680" s="33" t="inlineStr">
        <is>
          <t>YES</t>
        </is>
      </c>
      <c r="X1680" s="33" t="inlineStr">
        <is>
          <t>NO</t>
        </is>
      </c>
      <c r="Y1680" s="33" t="n">
        <v>1</v>
      </c>
      <c r="Z1680" s="33" t="n">
        <v>7</v>
      </c>
      <c r="AA1680" s="33" t="inlineStr">
        <is>
          <t>6</t>
        </is>
      </c>
      <c r="AB1680" s="33" t="inlineStr">
        <is>
          <t>https://www.swimcloud.com/results/306095/event/7/?id=128201095#time128201095</t>
        </is>
      </c>
      <c r="AC1680" s="33" t="inlineStr">
        <is>
          <t>SwimCloud API v6 2026-10-08</t>
        </is>
      </c>
      <c r="AD1680" s="33" t="inlineStr">
        <is>
          <t>Laon Kim|2024-06-21|LCM|200|Free|114.15|Mel Zajac Jr. International Swim Meet|FIN|False</t>
        </is>
      </c>
      <c r="AE1680" s="53">
        <f>G1680+L1680/1000+ROW()/1000000000</f>
        <v/>
      </c>
      <c r="AF1680" s="35">
        <f>IF(C1680&lt;&gt;"Grayson Coulter","",COUNTIFS($C$5:$C$2991,"Grayson Coulter",$Q$5:$Q$2991,Q1680,$AE$5:$AE$2991,"&lt;="&amp;AE1680,$R$5:$R$2991,"&lt;"&amp;R1680))</f>
        <v/>
      </c>
      <c r="AG1680" s="35">
        <f>IF(OR(C1680&lt;&gt;"Grayson Coulter",G1680&lt;'00_Control'!$B$7),"",--(AF1680&lt;5))</f>
        <v/>
      </c>
      <c r="AH1680" s="35">
        <f>IF(OR(C1680&lt;&gt;"Grayson Coulter",G1680&lt;'00_Control'!$B$7),"",--(AF1680&lt;10))</f>
        <v/>
      </c>
      <c r="AI1680" s="35">
        <f>IF(AND(C1680="Grayson Coulter",G1680&gt;='00_Control'!$B$7),"YES","NO")</f>
        <v/>
      </c>
      <c r="AJ1680" s="33" t="inlineStr">
        <is>
          <t>OK</t>
        </is>
      </c>
    </row>
    <row r="1681">
      <c r="A1681" s="33" t="inlineStr">
        <is>
          <t>SM001677</t>
        </is>
      </c>
      <c r="B1681" s="33" t="inlineStr">
        <is>
          <t>SW007</t>
        </is>
      </c>
      <c r="C1681" s="33" t="inlineStr">
        <is>
          <t>Laon Kim</t>
        </is>
      </c>
      <c r="D1681" s="33" t="inlineStr">
        <is>
          <t>SwimCloud</t>
        </is>
      </c>
      <c r="E1681" s="33" t="inlineStr">
        <is>
          <t>2829279</t>
        </is>
      </c>
      <c r="F1681" s="33" t="inlineStr">
        <is>
          <t>128198874</t>
        </is>
      </c>
      <c r="G1681" s="51" t="n">
        <v>45466</v>
      </c>
      <c r="H1681" s="33" t="inlineStr">
        <is>
          <t>Mel Zajac Jr. International Swim Meet</t>
        </is>
      </c>
      <c r="I1681" s="33" t="inlineStr">
        <is>
          <t>306095</t>
        </is>
      </c>
      <c r="J1681" s="33" t="inlineStr"/>
      <c r="K1681" s="33" t="inlineStr">
        <is>
          <t>PRE</t>
        </is>
      </c>
      <c r="L1681" s="35">
        <f>IF(K1681="FIN",3,IF(OR(K1681="SEM",K1681="SEMI"),2,IF(OR(K1681="PRE",K1681="HEAT"),1,IF(V1681="YES",4,2))))</f>
        <v/>
      </c>
      <c r="M1681" s="33" t="inlineStr">
        <is>
          <t>LCM</t>
        </is>
      </c>
      <c r="N1681" s="33" t="n">
        <v>100</v>
      </c>
      <c r="O1681" s="33" t="inlineStr">
        <is>
          <t>Free</t>
        </is>
      </c>
      <c r="P1681" s="33" t="inlineStr">
        <is>
          <t>100 Free</t>
        </is>
      </c>
      <c r="Q1681" s="33" t="inlineStr">
        <is>
          <t>LCM_100_FREE</t>
        </is>
      </c>
      <c r="R1681" s="36" t="n">
        <v>51.14</v>
      </c>
      <c r="S1681" s="35">
        <f>IF(R1681="","",IF(R1681&gt;=60,INT(R1681/60)&amp;":"&amp;TEXT(MOD(R1681,60),"00.00"),TEXT(R1681,"0.00")))</f>
        <v/>
      </c>
      <c r="T1681" s="52">
        <f>IFERROR((G1681-INDEX('01_Swimmers'!$E$5:$E$22,MATCH(B1681,'01_Swimmers'!$A$5:$A$22,0)))/'00_Control'!$B$10,"")</f>
        <v/>
      </c>
      <c r="U1681" s="35">
        <f>IF(T1681="","",INT(T1681))</f>
        <v/>
      </c>
      <c r="V1681" s="33" t="inlineStr">
        <is>
          <t>NO</t>
        </is>
      </c>
      <c r="W1681" s="33" t="inlineStr">
        <is>
          <t>YES</t>
        </is>
      </c>
      <c r="X1681" s="33" t="inlineStr">
        <is>
          <t>NO</t>
        </is>
      </c>
      <c r="Y1681" s="33" t="n">
        <v>10</v>
      </c>
      <c r="Z1681" s="33" t="n">
        <v>5</v>
      </c>
      <c r="AA1681" s="33" t="inlineStr">
        <is>
          <t>8</t>
        </is>
      </c>
      <c r="AB1681" s="33" t="inlineStr">
        <is>
          <t>https://www.swimcloud.com/results/306095/event/37/?id=128198874#time128198874</t>
        </is>
      </c>
      <c r="AC1681" s="33" t="inlineStr">
        <is>
          <t>SwimCloud API v6 2026-10-08</t>
        </is>
      </c>
      <c r="AD1681" s="33" t="inlineStr">
        <is>
          <t>Laon Kim|2024-06-23|LCM|100|Free|51.14|Mel Zajac Jr. International Swim Meet|PRE|False</t>
        </is>
      </c>
      <c r="AE1681" s="53">
        <f>G1681+L1681/1000+ROW()/1000000000</f>
        <v/>
      </c>
      <c r="AF1681" s="35">
        <f>IF(C1681&lt;&gt;"Grayson Coulter","",COUNTIFS($C$5:$C$2991,"Grayson Coulter",$Q$5:$Q$2991,Q1681,$AE$5:$AE$2991,"&lt;="&amp;AE1681,$R$5:$R$2991,"&lt;"&amp;R1681))</f>
        <v/>
      </c>
      <c r="AG1681" s="35">
        <f>IF(OR(C1681&lt;&gt;"Grayson Coulter",G1681&lt;'00_Control'!$B$7),"",--(AF1681&lt;5))</f>
        <v/>
      </c>
      <c r="AH1681" s="35">
        <f>IF(OR(C1681&lt;&gt;"Grayson Coulter",G1681&lt;'00_Control'!$B$7),"",--(AF1681&lt;10))</f>
        <v/>
      </c>
      <c r="AI1681" s="35">
        <f>IF(AND(C1681="Grayson Coulter",G1681&gt;='00_Control'!$B$7),"YES","NO")</f>
        <v/>
      </c>
      <c r="AJ1681" s="33" t="inlineStr">
        <is>
          <t>OK</t>
        </is>
      </c>
    </row>
    <row r="1682">
      <c r="A1682" s="33" t="inlineStr">
        <is>
          <t>SM001678</t>
        </is>
      </c>
      <c r="B1682" s="33" t="inlineStr">
        <is>
          <t>SW007</t>
        </is>
      </c>
      <c r="C1682" s="33" t="inlineStr">
        <is>
          <t>Laon Kim</t>
        </is>
      </c>
      <c r="D1682" s="33" t="inlineStr">
        <is>
          <t>SwimCloud</t>
        </is>
      </c>
      <c r="E1682" s="33" t="inlineStr">
        <is>
          <t>2829279</t>
        </is>
      </c>
      <c r="F1682" s="33" t="inlineStr">
        <is>
          <t>128198875</t>
        </is>
      </c>
      <c r="G1682" s="51" t="n">
        <v>45466</v>
      </c>
      <c r="H1682" s="33" t="inlineStr">
        <is>
          <t>Mel Zajac Jr. International Swim Meet</t>
        </is>
      </c>
      <c r="I1682" s="33" t="inlineStr">
        <is>
          <t>306095</t>
        </is>
      </c>
      <c r="J1682" s="33" t="inlineStr"/>
      <c r="K1682" s="33" t="inlineStr">
        <is>
          <t>FIN</t>
        </is>
      </c>
      <c r="L1682" s="35">
        <f>IF(K1682="FIN",3,IF(OR(K1682="SEM",K1682="SEMI"),2,IF(OR(K1682="PRE",K1682="HEAT"),1,IF(V1682="YES",4,2))))</f>
        <v/>
      </c>
      <c r="M1682" s="33" t="inlineStr">
        <is>
          <t>LCM</t>
        </is>
      </c>
      <c r="N1682" s="33" t="n">
        <v>100</v>
      </c>
      <c r="O1682" s="33" t="inlineStr">
        <is>
          <t>Free</t>
        </is>
      </c>
      <c r="P1682" s="33" t="inlineStr">
        <is>
          <t>100 Free</t>
        </is>
      </c>
      <c r="Q1682" s="33" t="inlineStr">
        <is>
          <t>LCM_100_FREE</t>
        </is>
      </c>
      <c r="R1682" s="36" t="n">
        <v>51.19</v>
      </c>
      <c r="S1682" s="35">
        <f>IF(R1682="","",IF(R1682&gt;=60,INT(R1682/60)&amp;":"&amp;TEXT(MOD(R1682,60),"00.00"),TEXT(R1682,"0.00")))</f>
        <v/>
      </c>
      <c r="T1682" s="52">
        <f>IFERROR((G1682-INDEX('01_Swimmers'!$E$5:$E$22,MATCH(B1682,'01_Swimmers'!$A$5:$A$22,0)))/'00_Control'!$B$10,"")</f>
        <v/>
      </c>
      <c r="U1682" s="35">
        <f>IF(T1682="","",INT(T1682))</f>
        <v/>
      </c>
      <c r="V1682" s="33" t="inlineStr">
        <is>
          <t>NO</t>
        </is>
      </c>
      <c r="W1682" s="33" t="inlineStr">
        <is>
          <t>YES</t>
        </is>
      </c>
      <c r="X1682" s="33" t="inlineStr">
        <is>
          <t>NO</t>
        </is>
      </c>
      <c r="Y1682" s="33" t="n">
        <v>1</v>
      </c>
      <c r="Z1682" s="33" t="n">
        <v>1</v>
      </c>
      <c r="AA1682" s="33" t="inlineStr">
        <is>
          <t>6</t>
        </is>
      </c>
      <c r="AB1682" s="33" t="inlineStr">
        <is>
          <t>https://www.swimcloud.com/results/306095/event/37/?id=128198875#time128198875</t>
        </is>
      </c>
      <c r="AC1682" s="33" t="inlineStr">
        <is>
          <t>SwimCloud API v6 2026-10-08</t>
        </is>
      </c>
      <c r="AD1682" s="33" t="inlineStr">
        <is>
          <t>Laon Kim|2024-06-23|LCM|100|Free|51.19|Mel Zajac Jr. International Swim Meet|FIN|False</t>
        </is>
      </c>
      <c r="AE1682" s="53">
        <f>G1682+L1682/1000+ROW()/1000000000</f>
        <v/>
      </c>
      <c r="AF1682" s="35">
        <f>IF(C1682&lt;&gt;"Grayson Coulter","",COUNTIFS($C$5:$C$2991,"Grayson Coulter",$Q$5:$Q$2991,Q1682,$AE$5:$AE$2991,"&lt;="&amp;AE1682,$R$5:$R$2991,"&lt;"&amp;R1682))</f>
        <v/>
      </c>
      <c r="AG1682" s="35">
        <f>IF(OR(C1682&lt;&gt;"Grayson Coulter",G1682&lt;'00_Control'!$B$7),"",--(AF1682&lt;5))</f>
        <v/>
      </c>
      <c r="AH1682" s="35">
        <f>IF(OR(C1682&lt;&gt;"Grayson Coulter",G1682&lt;'00_Control'!$B$7),"",--(AF1682&lt;10))</f>
        <v/>
      </c>
      <c r="AI1682" s="35">
        <f>IF(AND(C1682="Grayson Coulter",G1682&gt;='00_Control'!$B$7),"YES","NO")</f>
        <v/>
      </c>
      <c r="AJ1682" s="33" t="inlineStr">
        <is>
          <t>OK</t>
        </is>
      </c>
    </row>
    <row r="1683">
      <c r="A1683" s="33" t="inlineStr">
        <is>
          <t>SM001679</t>
        </is>
      </c>
      <c r="B1683" s="33" t="inlineStr">
        <is>
          <t>SW007</t>
        </is>
      </c>
      <c r="C1683" s="33" t="inlineStr">
        <is>
          <t>Laon Kim</t>
        </is>
      </c>
      <c r="D1683" s="33" t="inlineStr">
        <is>
          <t>SwimCloud</t>
        </is>
      </c>
      <c r="E1683" s="33" t="inlineStr">
        <is>
          <t>2829279</t>
        </is>
      </c>
      <c r="F1683" s="33" t="inlineStr">
        <is>
          <t>129092996</t>
        </is>
      </c>
      <c r="G1683" s="51" t="n">
        <v>45477</v>
      </c>
      <c r="H1683" s="33" t="inlineStr">
        <is>
          <t>Edmonton Keyano International</t>
        </is>
      </c>
      <c r="I1683" s="33" t="inlineStr">
        <is>
          <t>307118</t>
        </is>
      </c>
      <c r="J1683" s="33" t="inlineStr"/>
      <c r="K1683" s="33" t="inlineStr">
        <is>
          <t>PRE</t>
        </is>
      </c>
      <c r="L1683" s="35">
        <f>IF(K1683="FIN",3,IF(OR(K1683="SEM",K1683="SEMI"),2,IF(OR(K1683="PRE",K1683="HEAT"),1,IF(V1683="YES",4,2))))</f>
        <v/>
      </c>
      <c r="M1683" s="33" t="inlineStr">
        <is>
          <t>LCM</t>
        </is>
      </c>
      <c r="N1683" s="33" t="n">
        <v>200</v>
      </c>
      <c r="O1683" s="33" t="inlineStr">
        <is>
          <t>Free</t>
        </is>
      </c>
      <c r="P1683" s="33" t="inlineStr">
        <is>
          <t>200 Free</t>
        </is>
      </c>
      <c r="Q1683" s="33" t="inlineStr">
        <is>
          <t>LCM_200_FREE</t>
        </is>
      </c>
      <c r="R1683" s="36" t="n">
        <v>113.27</v>
      </c>
      <c r="S1683" s="35">
        <f>IF(R1683="","",IF(R1683&gt;=60,INT(R1683/60)&amp;":"&amp;TEXT(MOD(R1683,60),"00.00"),TEXT(R1683,"0.00")))</f>
        <v/>
      </c>
      <c r="T1683" s="52">
        <f>IFERROR((G1683-INDEX('01_Swimmers'!$E$5:$E$22,MATCH(B1683,'01_Swimmers'!$A$5:$A$22,0)))/'00_Control'!$B$10,"")</f>
        <v/>
      </c>
      <c r="U1683" s="35">
        <f>IF(T1683="","",INT(T1683))</f>
        <v/>
      </c>
      <c r="V1683" s="33" t="inlineStr">
        <is>
          <t>NO</t>
        </is>
      </c>
      <c r="W1683" s="33" t="inlineStr">
        <is>
          <t>YES</t>
        </is>
      </c>
      <c r="X1683" s="33" t="inlineStr">
        <is>
          <t>NO</t>
        </is>
      </c>
      <c r="Y1683" s="33" t="n">
        <v>15</v>
      </c>
      <c r="Z1683" s="33" t="n">
        <v>4</v>
      </c>
      <c r="AA1683" s="33" t="inlineStr">
        <is>
          <t>1</t>
        </is>
      </c>
      <c r="AB1683" s="33" t="inlineStr">
        <is>
          <t>https://www.swimcloud.com/results/307118/event/104/?id=129092996#time129092996</t>
        </is>
      </c>
      <c r="AC1683" s="33" t="inlineStr">
        <is>
          <t>SwimCloud API v6 2026-10-08</t>
        </is>
      </c>
      <c r="AD1683" s="33" t="inlineStr">
        <is>
          <t>Laon Kim|2024-07-04|LCM|200|Free|113.27|Edmonton Keyano International|PRE|False</t>
        </is>
      </c>
      <c r="AE1683" s="53">
        <f>G1683+L1683/1000+ROW()/1000000000</f>
        <v/>
      </c>
      <c r="AF1683" s="35">
        <f>IF(C1683&lt;&gt;"Grayson Coulter","",COUNTIFS($C$5:$C$2991,"Grayson Coulter",$Q$5:$Q$2991,Q1683,$AE$5:$AE$2991,"&lt;="&amp;AE1683,$R$5:$R$2991,"&lt;"&amp;R1683))</f>
        <v/>
      </c>
      <c r="AG1683" s="35">
        <f>IF(OR(C1683&lt;&gt;"Grayson Coulter",G1683&lt;'00_Control'!$B$7),"",--(AF1683&lt;5))</f>
        <v/>
      </c>
      <c r="AH1683" s="35">
        <f>IF(OR(C1683&lt;&gt;"Grayson Coulter",G1683&lt;'00_Control'!$B$7),"",--(AF1683&lt;10))</f>
        <v/>
      </c>
      <c r="AI1683" s="35">
        <f>IF(AND(C1683="Grayson Coulter",G1683&gt;='00_Control'!$B$7),"YES","NO")</f>
        <v/>
      </c>
      <c r="AJ1683" s="33" t="inlineStr">
        <is>
          <t>OK</t>
        </is>
      </c>
    </row>
    <row r="1684">
      <c r="A1684" s="33" t="inlineStr">
        <is>
          <t>SM001680</t>
        </is>
      </c>
      <c r="B1684" s="33" t="inlineStr">
        <is>
          <t>SW007</t>
        </is>
      </c>
      <c r="C1684" s="33" t="inlineStr">
        <is>
          <t>Laon Kim</t>
        </is>
      </c>
      <c r="D1684" s="33" t="inlineStr">
        <is>
          <t>SwimCloud</t>
        </is>
      </c>
      <c r="E1684" s="33" t="inlineStr">
        <is>
          <t>2829279</t>
        </is>
      </c>
      <c r="F1684" s="33" t="inlineStr">
        <is>
          <t>129092997</t>
        </is>
      </c>
      <c r="G1684" s="51" t="n">
        <v>45477</v>
      </c>
      <c r="H1684" s="33" t="inlineStr">
        <is>
          <t>Edmonton Keyano International</t>
        </is>
      </c>
      <c r="I1684" s="33" t="inlineStr">
        <is>
          <t>307118</t>
        </is>
      </c>
      <c r="J1684" s="33" t="inlineStr"/>
      <c r="K1684" s="33" t="inlineStr">
        <is>
          <t>FIN</t>
        </is>
      </c>
      <c r="L1684" s="35">
        <f>IF(K1684="FIN",3,IF(OR(K1684="SEM",K1684="SEMI"),2,IF(OR(K1684="PRE",K1684="HEAT"),1,IF(V1684="YES",4,2))))</f>
        <v/>
      </c>
      <c r="M1684" s="33" t="inlineStr">
        <is>
          <t>LCM</t>
        </is>
      </c>
      <c r="N1684" s="33" t="n">
        <v>200</v>
      </c>
      <c r="O1684" s="33" t="inlineStr">
        <is>
          <t>Free</t>
        </is>
      </c>
      <c r="P1684" s="33" t="inlineStr">
        <is>
          <t>200 Free</t>
        </is>
      </c>
      <c r="Q1684" s="33" t="inlineStr">
        <is>
          <t>LCM_200_FREE</t>
        </is>
      </c>
      <c r="R1684" s="36" t="n">
        <v>112.62</v>
      </c>
      <c r="S1684" s="35">
        <f>IF(R1684="","",IF(R1684&gt;=60,INT(R1684/60)&amp;":"&amp;TEXT(MOD(R1684,60),"00.00"),TEXT(R1684,"0.00")))</f>
        <v/>
      </c>
      <c r="T1684" s="52">
        <f>IFERROR((G1684-INDEX('01_Swimmers'!$E$5:$E$22,MATCH(B1684,'01_Swimmers'!$A$5:$A$22,0)))/'00_Control'!$B$10,"")</f>
        <v/>
      </c>
      <c r="U1684" s="35">
        <f>IF(T1684="","",INT(T1684))</f>
        <v/>
      </c>
      <c r="V1684" s="33" t="inlineStr">
        <is>
          <t>NO</t>
        </is>
      </c>
      <c r="W1684" s="33" t="inlineStr">
        <is>
          <t>YES</t>
        </is>
      </c>
      <c r="X1684" s="33" t="inlineStr">
        <is>
          <t>NO</t>
        </is>
      </c>
      <c r="Y1684" s="33" t="n">
        <v>5</v>
      </c>
      <c r="Z1684" s="33" t="n">
        <v>4</v>
      </c>
      <c r="AA1684" s="33" t="inlineStr">
        <is>
          <t>2</t>
        </is>
      </c>
      <c r="AB1684" s="33" t="inlineStr">
        <is>
          <t>https://www.swimcloud.com/results/307118/event/104/?id=129092997#time129092997</t>
        </is>
      </c>
      <c r="AC1684" s="33" t="inlineStr">
        <is>
          <t>SwimCloud API v6 2026-10-08</t>
        </is>
      </c>
      <c r="AD1684" s="33" t="inlineStr">
        <is>
          <t>Laon Kim|2024-07-04|LCM|200|Free|112.62|Edmonton Keyano International|FIN|False</t>
        </is>
      </c>
      <c r="AE1684" s="53">
        <f>G1684+L1684/1000+ROW()/1000000000</f>
        <v/>
      </c>
      <c r="AF1684" s="35">
        <f>IF(C1684&lt;&gt;"Grayson Coulter","",COUNTIFS($C$5:$C$2991,"Grayson Coulter",$Q$5:$Q$2991,Q1684,$AE$5:$AE$2991,"&lt;="&amp;AE1684,$R$5:$R$2991,"&lt;"&amp;R1684))</f>
        <v/>
      </c>
      <c r="AG1684" s="35">
        <f>IF(OR(C1684&lt;&gt;"Grayson Coulter",G1684&lt;'00_Control'!$B$7),"",--(AF1684&lt;5))</f>
        <v/>
      </c>
      <c r="AH1684" s="35">
        <f>IF(OR(C1684&lt;&gt;"Grayson Coulter",G1684&lt;'00_Control'!$B$7),"",--(AF1684&lt;10))</f>
        <v/>
      </c>
      <c r="AI1684" s="35">
        <f>IF(AND(C1684="Grayson Coulter",G1684&gt;='00_Control'!$B$7),"YES","NO")</f>
        <v/>
      </c>
      <c r="AJ1684" s="33" t="inlineStr">
        <is>
          <t>OK</t>
        </is>
      </c>
    </row>
    <row r="1685">
      <c r="A1685" s="33" t="inlineStr">
        <is>
          <t>SM001681</t>
        </is>
      </c>
      <c r="B1685" s="33" t="inlineStr">
        <is>
          <t>SW007</t>
        </is>
      </c>
      <c r="C1685" s="33" t="inlineStr">
        <is>
          <t>Laon Kim</t>
        </is>
      </c>
      <c r="D1685" s="33" t="inlineStr">
        <is>
          <t>SwimCloud</t>
        </is>
      </c>
      <c r="E1685" s="33" t="inlineStr">
        <is>
          <t>2829279</t>
        </is>
      </c>
      <c r="F1685" s="33" t="inlineStr">
        <is>
          <t>129093382</t>
        </is>
      </c>
      <c r="G1685" s="51" t="n">
        <v>45478</v>
      </c>
      <c r="H1685" s="33" t="inlineStr">
        <is>
          <t>Edmonton Keyano International</t>
        </is>
      </c>
      <c r="I1685" s="33" t="inlineStr">
        <is>
          <t>307118</t>
        </is>
      </c>
      <c r="J1685" s="33" t="inlineStr"/>
      <c r="K1685" s="33" t="inlineStr">
        <is>
          <t>PRE</t>
        </is>
      </c>
      <c r="L1685" s="35">
        <f>IF(K1685="FIN",3,IF(OR(K1685="SEM",K1685="SEMI"),2,IF(OR(K1685="PRE",K1685="HEAT"),1,IF(V1685="YES",4,2))))</f>
        <v/>
      </c>
      <c r="M1685" s="33" t="inlineStr">
        <is>
          <t>LCM</t>
        </is>
      </c>
      <c r="N1685" s="33" t="n">
        <v>100</v>
      </c>
      <c r="O1685" s="33" t="inlineStr">
        <is>
          <t>Fly</t>
        </is>
      </c>
      <c r="P1685" s="33" t="inlineStr">
        <is>
          <t>100 Fly</t>
        </is>
      </c>
      <c r="Q1685" s="33" t="inlineStr">
        <is>
          <t>LCM_100_FLY</t>
        </is>
      </c>
      <c r="R1685" s="36" t="n">
        <v>56.09</v>
      </c>
      <c r="S1685" s="35">
        <f>IF(R1685="","",IF(R1685&gt;=60,INT(R1685/60)&amp;":"&amp;TEXT(MOD(R1685,60),"00.00"),TEXT(R1685,"0.00")))</f>
        <v/>
      </c>
      <c r="T1685" s="52">
        <f>IFERROR((G1685-INDEX('01_Swimmers'!$E$5:$E$22,MATCH(B1685,'01_Swimmers'!$A$5:$A$22,0)))/'00_Control'!$B$10,"")</f>
        <v/>
      </c>
      <c r="U1685" s="35">
        <f>IF(T1685="","",INT(T1685))</f>
        <v/>
      </c>
      <c r="V1685" s="33" t="inlineStr">
        <is>
          <t>NO</t>
        </is>
      </c>
      <c r="W1685" s="33" t="inlineStr">
        <is>
          <t>YES</t>
        </is>
      </c>
      <c r="X1685" s="33" t="inlineStr">
        <is>
          <t>NO</t>
        </is>
      </c>
      <c r="Y1685" s="33" t="n">
        <v>14</v>
      </c>
      <c r="Z1685" s="33" t="n">
        <v>5</v>
      </c>
      <c r="AA1685" s="33" t="inlineStr">
        <is>
          <t>1</t>
        </is>
      </c>
      <c r="AB1685" s="33" t="inlineStr">
        <is>
          <t>https://www.swimcloud.com/results/307118/event/208/?id=129093382#time129093382</t>
        </is>
      </c>
      <c r="AC1685" s="33" t="inlineStr">
        <is>
          <t>SwimCloud API v6 2026-10-08</t>
        </is>
      </c>
      <c r="AD1685" s="33" t="inlineStr">
        <is>
          <t>Laon Kim|2024-07-05|LCM|100|Fly|56.09|Edmonton Keyano International|PRE|False</t>
        </is>
      </c>
      <c r="AE1685" s="53">
        <f>G1685+L1685/1000+ROW()/1000000000</f>
        <v/>
      </c>
      <c r="AF1685" s="35">
        <f>IF(C1685&lt;&gt;"Grayson Coulter","",COUNTIFS($C$5:$C$2991,"Grayson Coulter",$Q$5:$Q$2991,Q1685,$AE$5:$AE$2991,"&lt;="&amp;AE1685,$R$5:$R$2991,"&lt;"&amp;R1685))</f>
        <v/>
      </c>
      <c r="AG1685" s="35">
        <f>IF(OR(C1685&lt;&gt;"Grayson Coulter",G1685&lt;'00_Control'!$B$7),"",--(AF1685&lt;5))</f>
        <v/>
      </c>
      <c r="AH1685" s="35">
        <f>IF(OR(C1685&lt;&gt;"Grayson Coulter",G1685&lt;'00_Control'!$B$7),"",--(AF1685&lt;10))</f>
        <v/>
      </c>
      <c r="AI1685" s="35">
        <f>IF(AND(C1685="Grayson Coulter",G1685&gt;='00_Control'!$B$7),"YES","NO")</f>
        <v/>
      </c>
      <c r="AJ1685" s="33" t="inlineStr">
        <is>
          <t>OK</t>
        </is>
      </c>
    </row>
    <row r="1686">
      <c r="A1686" s="33" t="inlineStr">
        <is>
          <t>SM001682</t>
        </is>
      </c>
      <c r="B1686" s="33" t="inlineStr">
        <is>
          <t>SW007</t>
        </is>
      </c>
      <c r="C1686" s="33" t="inlineStr">
        <is>
          <t>Laon Kim</t>
        </is>
      </c>
      <c r="D1686" s="33" t="inlineStr">
        <is>
          <t>SwimCloud</t>
        </is>
      </c>
      <c r="E1686" s="33" t="inlineStr">
        <is>
          <t>2829279</t>
        </is>
      </c>
      <c r="F1686" s="33" t="inlineStr">
        <is>
          <t>129096623</t>
        </is>
      </c>
      <c r="G1686" s="51" t="n">
        <v>45478</v>
      </c>
      <c r="H1686" s="33" t="inlineStr">
        <is>
          <t>Edmonton Keyano International</t>
        </is>
      </c>
      <c r="I1686" s="33" t="inlineStr">
        <is>
          <t>307118</t>
        </is>
      </c>
      <c r="J1686" s="33" t="inlineStr"/>
      <c r="K1686" s="33" t="inlineStr">
        <is>
          <t>PRE</t>
        </is>
      </c>
      <c r="L1686" s="35">
        <f>IF(K1686="FIN",3,IF(OR(K1686="SEM",K1686="SEMI"),2,IF(OR(K1686="PRE",K1686="HEAT"),1,IF(V1686="YES",4,2))))</f>
        <v/>
      </c>
      <c r="M1686" s="33" t="inlineStr">
        <is>
          <t>LCM</t>
        </is>
      </c>
      <c r="N1686" s="33" t="n">
        <v>100</v>
      </c>
      <c r="O1686" s="33" t="inlineStr">
        <is>
          <t>Fly</t>
        </is>
      </c>
      <c r="P1686" s="33" t="inlineStr">
        <is>
          <t>100 Fly</t>
        </is>
      </c>
      <c r="Q1686" s="33" t="inlineStr">
        <is>
          <t>LCM_100_FLY</t>
        </is>
      </c>
      <c r="R1686" s="36" t="n">
        <v>61.48</v>
      </c>
      <c r="S1686" s="35">
        <f>IF(R1686="","",IF(R1686&gt;=60,INT(R1686/60)&amp;":"&amp;TEXT(MOD(R1686,60),"00.00"),TEXT(R1686,"0.00")))</f>
        <v/>
      </c>
      <c r="T1686" s="52">
        <f>IFERROR((G1686-INDEX('01_Swimmers'!$E$5:$E$22,MATCH(B1686,'01_Swimmers'!$A$5:$A$22,0)))/'00_Control'!$B$10,"")</f>
        <v/>
      </c>
      <c r="U1686" s="35">
        <f>IF(T1686="","",INT(T1686))</f>
        <v/>
      </c>
      <c r="V1686" s="33" t="inlineStr">
        <is>
          <t>NO</t>
        </is>
      </c>
      <c r="W1686" s="33" t="inlineStr">
        <is>
          <t>YES</t>
        </is>
      </c>
      <c r="X1686" s="33" t="inlineStr">
        <is>
          <t>NO</t>
        </is>
      </c>
      <c r="Y1686" s="33" t="n">
        <v>4</v>
      </c>
      <c r="Z1686" s="33" t="n">
        <v>4</v>
      </c>
      <c r="AA1686" s="33" t="inlineStr"/>
      <c r="AB1686" s="33" t="inlineStr">
        <is>
          <t>https://www.swimcloud.com/results/307118/event/206/?id=129093587#time129093587</t>
        </is>
      </c>
      <c r="AC1686" s="33" t="inlineStr">
        <is>
          <t>SwimCloud API v6 2026-10-08</t>
        </is>
      </c>
      <c r="AD1686" s="33" t="inlineStr">
        <is>
          <t>Laon Kim|2024-07-05|LCM|100|Fly|61.48|Edmonton Keyano International|PRE|False</t>
        </is>
      </c>
      <c r="AE1686" s="53">
        <f>G1686+L1686/1000+ROW()/1000000000</f>
        <v/>
      </c>
      <c r="AF1686" s="35">
        <f>IF(C1686&lt;&gt;"Grayson Coulter","",COUNTIFS($C$5:$C$2991,"Grayson Coulter",$Q$5:$Q$2991,Q1686,$AE$5:$AE$2991,"&lt;="&amp;AE1686,$R$5:$R$2991,"&lt;"&amp;R1686))</f>
        <v/>
      </c>
      <c r="AG1686" s="35">
        <f>IF(OR(C1686&lt;&gt;"Grayson Coulter",G1686&lt;'00_Control'!$B$7),"",--(AF1686&lt;5))</f>
        <v/>
      </c>
      <c r="AH1686" s="35">
        <f>IF(OR(C1686&lt;&gt;"Grayson Coulter",G1686&lt;'00_Control'!$B$7),"",--(AF1686&lt;10))</f>
        <v/>
      </c>
      <c r="AI1686" s="35">
        <f>IF(AND(C1686="Grayson Coulter",G1686&gt;='00_Control'!$B$7),"YES","NO")</f>
        <v/>
      </c>
      <c r="AJ1686" s="33" t="inlineStr">
        <is>
          <t>OK</t>
        </is>
      </c>
    </row>
    <row r="1687">
      <c r="A1687" s="33" t="inlineStr">
        <is>
          <t>SM001683</t>
        </is>
      </c>
      <c r="B1687" s="33" t="inlineStr">
        <is>
          <t>SW007</t>
        </is>
      </c>
      <c r="C1687" s="33" t="inlineStr">
        <is>
          <t>Laon Kim</t>
        </is>
      </c>
      <c r="D1687" s="33" t="inlineStr">
        <is>
          <t>SwimCloud</t>
        </is>
      </c>
      <c r="E1687" s="33" t="inlineStr">
        <is>
          <t>2829279</t>
        </is>
      </c>
      <c r="F1687" s="33" t="inlineStr">
        <is>
          <t>129093383</t>
        </is>
      </c>
      <c r="G1687" s="51" t="n">
        <v>45478</v>
      </c>
      <c r="H1687" s="33" t="inlineStr">
        <is>
          <t>Edmonton Keyano International</t>
        </is>
      </c>
      <c r="I1687" s="33" t="inlineStr">
        <is>
          <t>307118</t>
        </is>
      </c>
      <c r="J1687" s="33" t="inlineStr"/>
      <c r="K1687" s="33" t="inlineStr">
        <is>
          <t>FIN</t>
        </is>
      </c>
      <c r="L1687" s="35">
        <f>IF(K1687="FIN",3,IF(OR(K1687="SEM",K1687="SEMI"),2,IF(OR(K1687="PRE",K1687="HEAT"),1,IF(V1687="YES",4,2))))</f>
        <v/>
      </c>
      <c r="M1687" s="33" t="inlineStr">
        <is>
          <t>LCM</t>
        </is>
      </c>
      <c r="N1687" s="33" t="n">
        <v>100</v>
      </c>
      <c r="O1687" s="33" t="inlineStr">
        <is>
          <t>Fly</t>
        </is>
      </c>
      <c r="P1687" s="33" t="inlineStr">
        <is>
          <t>100 Fly</t>
        </is>
      </c>
      <c r="Q1687" s="33" t="inlineStr">
        <is>
          <t>LCM_100_FLY</t>
        </is>
      </c>
      <c r="R1687" s="36" t="n">
        <v>55.84</v>
      </c>
      <c r="S1687" s="35">
        <f>IF(R1687="","",IF(R1687&gt;=60,INT(R1687/60)&amp;":"&amp;TEXT(MOD(R1687,60),"00.00"),TEXT(R1687,"0.00")))</f>
        <v/>
      </c>
      <c r="T1687" s="52">
        <f>IFERROR((G1687-INDEX('01_Swimmers'!$E$5:$E$22,MATCH(B1687,'01_Swimmers'!$A$5:$A$22,0)))/'00_Control'!$B$10,"")</f>
        <v/>
      </c>
      <c r="U1687" s="35">
        <f>IF(T1687="","",INT(T1687))</f>
        <v/>
      </c>
      <c r="V1687" s="33" t="inlineStr">
        <is>
          <t>NO</t>
        </is>
      </c>
      <c r="W1687" s="33" t="inlineStr">
        <is>
          <t>YES</t>
        </is>
      </c>
      <c r="X1687" s="33" t="inlineStr">
        <is>
          <t>NO</t>
        </is>
      </c>
      <c r="Y1687" s="33" t="n">
        <v>5</v>
      </c>
      <c r="Z1687" s="33" t="n">
        <v>4</v>
      </c>
      <c r="AA1687" s="33" t="inlineStr">
        <is>
          <t>3</t>
        </is>
      </c>
      <c r="AB1687" s="33" t="inlineStr">
        <is>
          <t>https://www.swimcloud.com/results/307118/event/208/?id=129093383#time129093383</t>
        </is>
      </c>
      <c r="AC1687" s="33" t="inlineStr">
        <is>
          <t>SwimCloud API v6 2026-10-08</t>
        </is>
      </c>
      <c r="AD1687" s="33" t="inlineStr">
        <is>
          <t>Laon Kim|2024-07-05|LCM|100|Fly|55.84|Edmonton Keyano International|FIN|False</t>
        </is>
      </c>
      <c r="AE1687" s="53">
        <f>G1687+L1687/1000+ROW()/1000000000</f>
        <v/>
      </c>
      <c r="AF1687" s="35">
        <f>IF(C1687&lt;&gt;"Grayson Coulter","",COUNTIFS($C$5:$C$2991,"Grayson Coulter",$Q$5:$Q$2991,Q1687,$AE$5:$AE$2991,"&lt;="&amp;AE1687,$R$5:$R$2991,"&lt;"&amp;R1687))</f>
        <v/>
      </c>
      <c r="AG1687" s="35">
        <f>IF(OR(C1687&lt;&gt;"Grayson Coulter",G1687&lt;'00_Control'!$B$7),"",--(AF1687&lt;5))</f>
        <v/>
      </c>
      <c r="AH1687" s="35">
        <f>IF(OR(C1687&lt;&gt;"Grayson Coulter",G1687&lt;'00_Control'!$B$7),"",--(AF1687&lt;10))</f>
        <v/>
      </c>
      <c r="AI1687" s="35">
        <f>IF(AND(C1687="Grayson Coulter",G1687&gt;='00_Control'!$B$7),"YES","NO")</f>
        <v/>
      </c>
      <c r="AJ1687" s="33" t="inlineStr">
        <is>
          <t>OK</t>
        </is>
      </c>
    </row>
    <row r="1688">
      <c r="A1688" s="33" t="inlineStr">
        <is>
          <t>SM001684</t>
        </is>
      </c>
      <c r="B1688" s="33" t="inlineStr">
        <is>
          <t>SW007</t>
        </is>
      </c>
      <c r="C1688" s="33" t="inlineStr">
        <is>
          <t>Laon Kim</t>
        </is>
      </c>
      <c r="D1688" s="33" t="inlineStr">
        <is>
          <t>SwimCloud</t>
        </is>
      </c>
      <c r="E1688" s="33" t="inlineStr">
        <is>
          <t>2829279</t>
        </is>
      </c>
      <c r="F1688" s="33" t="inlineStr">
        <is>
          <t>129096622</t>
        </is>
      </c>
      <c r="G1688" s="51" t="n">
        <v>45478</v>
      </c>
      <c r="H1688" s="33" t="inlineStr">
        <is>
          <t>Edmonton Keyano International</t>
        </is>
      </c>
      <c r="I1688" s="33" t="inlineStr">
        <is>
          <t>307118</t>
        </is>
      </c>
      <c r="J1688" s="33" t="inlineStr"/>
      <c r="K1688" s="33" t="inlineStr">
        <is>
          <t>FIN</t>
        </is>
      </c>
      <c r="L1688" s="35">
        <f>IF(K1688="FIN",3,IF(OR(K1688="SEM",K1688="SEMI"),2,IF(OR(K1688="PRE",K1688="HEAT"),1,IF(V1688="YES",4,2))))</f>
        <v/>
      </c>
      <c r="M1688" s="33" t="inlineStr">
        <is>
          <t>LCM</t>
        </is>
      </c>
      <c r="N1688" s="33" t="n">
        <v>100</v>
      </c>
      <c r="O1688" s="33" t="inlineStr">
        <is>
          <t>Fly</t>
        </is>
      </c>
      <c r="P1688" s="33" t="inlineStr">
        <is>
          <t>100 Fly</t>
        </is>
      </c>
      <c r="Q1688" s="33" t="inlineStr">
        <is>
          <t>LCM_100_FLY</t>
        </is>
      </c>
      <c r="R1688" s="36" t="n">
        <v>61.22</v>
      </c>
      <c r="S1688" s="35">
        <f>IF(R1688="","",IF(R1688&gt;=60,INT(R1688/60)&amp;":"&amp;TEXT(MOD(R1688,60),"00.00"),TEXT(R1688,"0.00")))</f>
        <v/>
      </c>
      <c r="T1688" s="52">
        <f>IFERROR((G1688-INDEX('01_Swimmers'!$E$5:$E$22,MATCH(B1688,'01_Swimmers'!$A$5:$A$22,0)))/'00_Control'!$B$10,"")</f>
        <v/>
      </c>
      <c r="U1688" s="35">
        <f>IF(T1688="","",INT(T1688))</f>
        <v/>
      </c>
      <c r="V1688" s="33" t="inlineStr">
        <is>
          <t>NO</t>
        </is>
      </c>
      <c r="W1688" s="33" t="inlineStr">
        <is>
          <t>YES</t>
        </is>
      </c>
      <c r="X1688" s="33" t="inlineStr">
        <is>
          <t>NO</t>
        </is>
      </c>
      <c r="Y1688" s="33" t="n">
        <v>3</v>
      </c>
      <c r="Z1688" s="33" t="n">
        <v>4</v>
      </c>
      <c r="AA1688" s="33" t="inlineStr"/>
      <c r="AB1688" s="33" t="inlineStr">
        <is>
          <t>https://www.swimcloud.com/results/307118/event/206/?id=129093588#time129093588</t>
        </is>
      </c>
      <c r="AC1688" s="33" t="inlineStr">
        <is>
          <t>SwimCloud API v6 2026-10-08</t>
        </is>
      </c>
      <c r="AD1688" s="33" t="inlineStr">
        <is>
          <t>Laon Kim|2024-07-05|LCM|100|Fly|61.22|Edmonton Keyano International|FIN|False</t>
        </is>
      </c>
      <c r="AE1688" s="53">
        <f>G1688+L1688/1000+ROW()/1000000000</f>
        <v/>
      </c>
      <c r="AF1688" s="35">
        <f>IF(C1688&lt;&gt;"Grayson Coulter","",COUNTIFS($C$5:$C$2991,"Grayson Coulter",$Q$5:$Q$2991,Q1688,$AE$5:$AE$2991,"&lt;="&amp;AE1688,$R$5:$R$2991,"&lt;"&amp;R1688))</f>
        <v/>
      </c>
      <c r="AG1688" s="35">
        <f>IF(OR(C1688&lt;&gt;"Grayson Coulter",G1688&lt;'00_Control'!$B$7),"",--(AF1688&lt;5))</f>
        <v/>
      </c>
      <c r="AH1688" s="35">
        <f>IF(OR(C1688&lt;&gt;"Grayson Coulter",G1688&lt;'00_Control'!$B$7),"",--(AF1688&lt;10))</f>
        <v/>
      </c>
      <c r="AI1688" s="35">
        <f>IF(AND(C1688="Grayson Coulter",G1688&gt;='00_Control'!$B$7),"YES","NO")</f>
        <v/>
      </c>
      <c r="AJ1688" s="33" t="inlineStr">
        <is>
          <t>OK</t>
        </is>
      </c>
    </row>
    <row r="1689">
      <c r="A1689" s="33" t="inlineStr">
        <is>
          <t>SM001685</t>
        </is>
      </c>
      <c r="B1689" s="33" t="inlineStr">
        <is>
          <t>SW007</t>
        </is>
      </c>
      <c r="C1689" s="33" t="inlineStr">
        <is>
          <t>Laon Kim</t>
        </is>
      </c>
      <c r="D1689" s="33" t="inlineStr">
        <is>
          <t>SwimCloud</t>
        </is>
      </c>
      <c r="E1689" s="33" t="inlineStr">
        <is>
          <t>2829279</t>
        </is>
      </c>
      <c r="F1689" s="33" t="inlineStr">
        <is>
          <t>129093179</t>
        </is>
      </c>
      <c r="G1689" s="51" t="n">
        <v>45479</v>
      </c>
      <c r="H1689" s="33" t="inlineStr">
        <is>
          <t>Edmonton Keyano International</t>
        </is>
      </c>
      <c r="I1689" s="33" t="inlineStr">
        <is>
          <t>307118</t>
        </is>
      </c>
      <c r="J1689" s="33" t="inlineStr"/>
      <c r="K1689" s="33" t="inlineStr">
        <is>
          <t>PRE</t>
        </is>
      </c>
      <c r="L1689" s="35">
        <f>IF(K1689="FIN",3,IF(OR(K1689="SEM",K1689="SEMI"),2,IF(OR(K1689="PRE",K1689="HEAT"),1,IF(V1689="YES",4,2))))</f>
        <v/>
      </c>
      <c r="M1689" s="33" t="inlineStr">
        <is>
          <t>LCM</t>
        </is>
      </c>
      <c r="N1689" s="33" t="n">
        <v>400</v>
      </c>
      <c r="O1689" s="33" t="inlineStr">
        <is>
          <t>Free</t>
        </is>
      </c>
      <c r="P1689" s="33" t="inlineStr">
        <is>
          <t>400 Free</t>
        </is>
      </c>
      <c r="Q1689" s="33" t="inlineStr">
        <is>
          <t>LCM_400_FREE</t>
        </is>
      </c>
      <c r="R1689" s="36" t="n">
        <v>247.95</v>
      </c>
      <c r="S1689" s="35">
        <f>IF(R1689="","",IF(R1689&gt;=60,INT(R1689/60)&amp;":"&amp;TEXT(MOD(R1689,60),"00.00"),TEXT(R1689,"0.00")))</f>
        <v/>
      </c>
      <c r="T1689" s="52">
        <f>IFERROR((G1689-INDEX('01_Swimmers'!$E$5:$E$22,MATCH(B1689,'01_Swimmers'!$A$5:$A$22,0)))/'00_Control'!$B$10,"")</f>
        <v/>
      </c>
      <c r="U1689" s="35">
        <f>IF(T1689="","",INT(T1689))</f>
        <v/>
      </c>
      <c r="V1689" s="33" t="inlineStr">
        <is>
          <t>NO</t>
        </is>
      </c>
      <c r="W1689" s="33" t="inlineStr">
        <is>
          <t>YES</t>
        </is>
      </c>
      <c r="X1689" s="33" t="inlineStr">
        <is>
          <t>NO</t>
        </is>
      </c>
      <c r="Y1689" s="33" t="n">
        <v>1</v>
      </c>
      <c r="Z1689" s="33" t="n">
        <v>4</v>
      </c>
      <c r="AA1689" s="33" t="inlineStr">
        <is>
          <t>1</t>
        </is>
      </c>
      <c r="AB1689" s="33" t="inlineStr">
        <is>
          <t>https://www.swimcloud.com/results/307118/event/308/?id=129093179#time129093179</t>
        </is>
      </c>
      <c r="AC1689" s="33" t="inlineStr">
        <is>
          <t>SwimCloud API v6 2026-10-08</t>
        </is>
      </c>
      <c r="AD1689" s="33" t="inlineStr">
        <is>
          <t>Laon Kim|2024-07-06|LCM|400|Free|247.95|Edmonton Keyano International|PRE|False</t>
        </is>
      </c>
      <c r="AE1689" s="53">
        <f>G1689+L1689/1000+ROW()/1000000000</f>
        <v/>
      </c>
      <c r="AF1689" s="35">
        <f>IF(C1689&lt;&gt;"Grayson Coulter","",COUNTIFS($C$5:$C$2991,"Grayson Coulter",$Q$5:$Q$2991,Q1689,$AE$5:$AE$2991,"&lt;="&amp;AE1689,$R$5:$R$2991,"&lt;"&amp;R1689))</f>
        <v/>
      </c>
      <c r="AG1689" s="35">
        <f>IF(OR(C1689&lt;&gt;"Grayson Coulter",G1689&lt;'00_Control'!$B$7),"",--(AF1689&lt;5))</f>
        <v/>
      </c>
      <c r="AH1689" s="35">
        <f>IF(OR(C1689&lt;&gt;"Grayson Coulter",G1689&lt;'00_Control'!$B$7),"",--(AF1689&lt;10))</f>
        <v/>
      </c>
      <c r="AI1689" s="35">
        <f>IF(AND(C1689="Grayson Coulter",G1689&gt;='00_Control'!$B$7),"YES","NO")</f>
        <v/>
      </c>
      <c r="AJ1689" s="33" t="inlineStr">
        <is>
          <t>OK</t>
        </is>
      </c>
    </row>
    <row r="1690">
      <c r="A1690" s="33" t="inlineStr">
        <is>
          <t>SM001686</t>
        </is>
      </c>
      <c r="B1690" s="33" t="inlineStr">
        <is>
          <t>SW007</t>
        </is>
      </c>
      <c r="C1690" s="33" t="inlineStr">
        <is>
          <t>Laon Kim</t>
        </is>
      </c>
      <c r="D1690" s="33" t="inlineStr">
        <is>
          <t>SwimCloud</t>
        </is>
      </c>
      <c r="E1690" s="33" t="inlineStr">
        <is>
          <t>2829279</t>
        </is>
      </c>
      <c r="F1690" s="33" t="inlineStr">
        <is>
          <t>129093180</t>
        </is>
      </c>
      <c r="G1690" s="51" t="n">
        <v>45479</v>
      </c>
      <c r="H1690" s="33" t="inlineStr">
        <is>
          <t>Edmonton Keyano International</t>
        </is>
      </c>
      <c r="I1690" s="33" t="inlineStr">
        <is>
          <t>307118</t>
        </is>
      </c>
      <c r="J1690" s="33" t="inlineStr"/>
      <c r="K1690" s="33" t="inlineStr">
        <is>
          <t>FIN</t>
        </is>
      </c>
      <c r="L1690" s="35">
        <f>IF(K1690="FIN",3,IF(OR(K1690="SEM",K1690="SEMI"),2,IF(OR(K1690="PRE",K1690="HEAT"),1,IF(V1690="YES",4,2))))</f>
        <v/>
      </c>
      <c r="M1690" s="33" t="inlineStr">
        <is>
          <t>LCM</t>
        </is>
      </c>
      <c r="N1690" s="33" t="n">
        <v>400</v>
      </c>
      <c r="O1690" s="33" t="inlineStr">
        <is>
          <t>Free</t>
        </is>
      </c>
      <c r="P1690" s="33" t="inlineStr">
        <is>
          <t>400 Free</t>
        </is>
      </c>
      <c r="Q1690" s="33" t="inlineStr">
        <is>
          <t>LCM_400_FREE</t>
        </is>
      </c>
      <c r="R1690" s="36" t="n">
        <v>242.66</v>
      </c>
      <c r="S1690" s="35">
        <f>IF(R1690="","",IF(R1690&gt;=60,INT(R1690/60)&amp;":"&amp;TEXT(MOD(R1690,60),"00.00"),TEXT(R1690,"0.00")))</f>
        <v/>
      </c>
      <c r="T1690" s="52">
        <f>IFERROR((G1690-INDEX('01_Swimmers'!$E$5:$E$22,MATCH(B1690,'01_Swimmers'!$A$5:$A$22,0)))/'00_Control'!$B$10,"")</f>
        <v/>
      </c>
      <c r="U1690" s="35">
        <f>IF(T1690="","",INT(T1690))</f>
        <v/>
      </c>
      <c r="V1690" s="33" t="inlineStr">
        <is>
          <t>NO</t>
        </is>
      </c>
      <c r="W1690" s="33" t="inlineStr">
        <is>
          <t>YES</t>
        </is>
      </c>
      <c r="X1690" s="33" t="inlineStr">
        <is>
          <t>NO</t>
        </is>
      </c>
      <c r="Y1690" s="33" t="n">
        <v>3</v>
      </c>
      <c r="Z1690" s="33" t="n">
        <v>4</v>
      </c>
      <c r="AA1690" s="33" t="inlineStr">
        <is>
          <t>1</t>
        </is>
      </c>
      <c r="AB1690" s="33" t="inlineStr">
        <is>
          <t>https://www.swimcloud.com/results/307118/event/308/?id=129093180#time129093180</t>
        </is>
      </c>
      <c r="AC1690" s="33" t="inlineStr">
        <is>
          <t>SwimCloud API v6 2026-10-08</t>
        </is>
      </c>
      <c r="AD1690" s="33" t="inlineStr">
        <is>
          <t>Laon Kim|2024-07-06|LCM|400|Free|242.66|Edmonton Keyano International|FIN|False</t>
        </is>
      </c>
      <c r="AE1690" s="53">
        <f>G1690+L1690/1000+ROW()/1000000000</f>
        <v/>
      </c>
      <c r="AF1690" s="35">
        <f>IF(C1690&lt;&gt;"Grayson Coulter","",COUNTIFS($C$5:$C$2991,"Grayson Coulter",$Q$5:$Q$2991,Q1690,$AE$5:$AE$2991,"&lt;="&amp;AE1690,$R$5:$R$2991,"&lt;"&amp;R1690))</f>
        <v/>
      </c>
      <c r="AG1690" s="35">
        <f>IF(OR(C1690&lt;&gt;"Grayson Coulter",G1690&lt;'00_Control'!$B$7),"",--(AF1690&lt;5))</f>
        <v/>
      </c>
      <c r="AH1690" s="35">
        <f>IF(OR(C1690&lt;&gt;"Grayson Coulter",G1690&lt;'00_Control'!$B$7),"",--(AF1690&lt;10))</f>
        <v/>
      </c>
      <c r="AI1690" s="35">
        <f>IF(AND(C1690="Grayson Coulter",G1690&gt;='00_Control'!$B$7),"YES","NO")</f>
        <v/>
      </c>
      <c r="AJ1690" s="33" t="inlineStr">
        <is>
          <t>OK</t>
        </is>
      </c>
    </row>
    <row r="1691">
      <c r="A1691" s="33" t="inlineStr">
        <is>
          <t>SM001687</t>
        </is>
      </c>
      <c r="B1691" s="33" t="inlineStr">
        <is>
          <t>SW007</t>
        </is>
      </c>
      <c r="C1691" s="33" t="inlineStr">
        <is>
          <t>Laon Kim</t>
        </is>
      </c>
      <c r="D1691" s="33" t="inlineStr">
        <is>
          <t>SwimCloud</t>
        </is>
      </c>
      <c r="E1691" s="33" t="inlineStr">
        <is>
          <t>2829279</t>
        </is>
      </c>
      <c r="F1691" s="33" t="inlineStr">
        <is>
          <t>130503983</t>
        </is>
      </c>
      <c r="G1691" s="51" t="n">
        <v>45497</v>
      </c>
      <c r="H1691" s="33" t="inlineStr">
        <is>
          <t>Speedo Canadian Championships</t>
        </is>
      </c>
      <c r="I1691" s="33" t="inlineStr">
        <is>
          <t>309388</t>
        </is>
      </c>
      <c r="J1691" s="33" t="inlineStr"/>
      <c r="K1691" s="33" t="inlineStr">
        <is>
          <t>PRE</t>
        </is>
      </c>
      <c r="L1691" s="35">
        <f>IF(K1691="FIN",3,IF(OR(K1691="SEM",K1691="SEMI"),2,IF(OR(K1691="PRE",K1691="HEAT"),1,IF(V1691="YES",4,2))))</f>
        <v/>
      </c>
      <c r="M1691" s="33" t="inlineStr">
        <is>
          <t>LCM</t>
        </is>
      </c>
      <c r="N1691" s="33" t="n">
        <v>400</v>
      </c>
      <c r="O1691" s="33" t="inlineStr">
        <is>
          <t>Free</t>
        </is>
      </c>
      <c r="P1691" s="33" t="inlineStr">
        <is>
          <t>400 Free</t>
        </is>
      </c>
      <c r="Q1691" s="33" t="inlineStr">
        <is>
          <t>LCM_400_FREE</t>
        </is>
      </c>
      <c r="R1691" s="36" t="n">
        <v>235.14</v>
      </c>
      <c r="S1691" s="35">
        <f>IF(R1691="","",IF(R1691&gt;=60,INT(R1691/60)&amp;":"&amp;TEXT(MOD(R1691,60),"00.00"),TEXT(R1691,"0.00")))</f>
        <v/>
      </c>
      <c r="T1691" s="52">
        <f>IFERROR((G1691-INDEX('01_Swimmers'!$E$5:$E$22,MATCH(B1691,'01_Swimmers'!$A$5:$A$22,0)))/'00_Control'!$B$10,"")</f>
        <v/>
      </c>
      <c r="U1691" s="35">
        <f>IF(T1691="","",INT(T1691))</f>
        <v/>
      </c>
      <c r="V1691" s="33" t="inlineStr">
        <is>
          <t>NO</t>
        </is>
      </c>
      <c r="W1691" s="33" t="inlineStr">
        <is>
          <t>YES</t>
        </is>
      </c>
      <c r="X1691" s="33" t="inlineStr">
        <is>
          <t>NO</t>
        </is>
      </c>
      <c r="Y1691" s="33" t="n">
        <v>11</v>
      </c>
      <c r="Z1691" s="33" t="n">
        <v>5</v>
      </c>
      <c r="AA1691" s="33" t="inlineStr">
        <is>
          <t>1</t>
        </is>
      </c>
      <c r="AB1691" s="33" t="inlineStr">
        <is>
          <t>https://www.swimcloud.com/results/309388/event/4/?id=130503983#time130503983</t>
        </is>
      </c>
      <c r="AC1691" s="33" t="inlineStr">
        <is>
          <t>SwimCloud API v6 2026-10-08</t>
        </is>
      </c>
      <c r="AD1691" s="33" t="inlineStr">
        <is>
          <t>Laon Kim|2024-07-24|LCM|400|Free|235.14|Speedo Canadian Championships|PRE|False</t>
        </is>
      </c>
      <c r="AE1691" s="53">
        <f>G1691+L1691/1000+ROW()/1000000000</f>
        <v/>
      </c>
      <c r="AF1691" s="35">
        <f>IF(C1691&lt;&gt;"Grayson Coulter","",COUNTIFS($C$5:$C$2991,"Grayson Coulter",$Q$5:$Q$2991,Q1691,$AE$5:$AE$2991,"&lt;="&amp;AE1691,$R$5:$R$2991,"&lt;"&amp;R1691))</f>
        <v/>
      </c>
      <c r="AG1691" s="35">
        <f>IF(OR(C1691&lt;&gt;"Grayson Coulter",G1691&lt;'00_Control'!$B$7),"",--(AF1691&lt;5))</f>
        <v/>
      </c>
      <c r="AH1691" s="35">
        <f>IF(OR(C1691&lt;&gt;"Grayson Coulter",G1691&lt;'00_Control'!$B$7),"",--(AF1691&lt;10))</f>
        <v/>
      </c>
      <c r="AI1691" s="35">
        <f>IF(AND(C1691="Grayson Coulter",G1691&gt;='00_Control'!$B$7),"YES","NO")</f>
        <v/>
      </c>
      <c r="AJ1691" s="33" t="inlineStr">
        <is>
          <t>OK</t>
        </is>
      </c>
    </row>
    <row r="1692">
      <c r="A1692" s="33" t="inlineStr">
        <is>
          <t>SM001688</t>
        </is>
      </c>
      <c r="B1692" s="33" t="inlineStr">
        <is>
          <t>SW007</t>
        </is>
      </c>
      <c r="C1692" s="33" t="inlineStr">
        <is>
          <t>Laon Kim</t>
        </is>
      </c>
      <c r="D1692" s="33" t="inlineStr">
        <is>
          <t>SwimCloud</t>
        </is>
      </c>
      <c r="E1692" s="33" t="inlineStr">
        <is>
          <t>2829279</t>
        </is>
      </c>
      <c r="F1692" s="33" t="inlineStr">
        <is>
          <t>130503999</t>
        </is>
      </c>
      <c r="G1692" s="51" t="n">
        <v>45497</v>
      </c>
      <c r="H1692" s="33" t="inlineStr">
        <is>
          <t>Speedo Canadian Championships</t>
        </is>
      </c>
      <c r="I1692" s="33" t="inlineStr">
        <is>
          <t>309388</t>
        </is>
      </c>
      <c r="J1692" s="33" t="inlineStr"/>
      <c r="K1692" s="33" t="inlineStr">
        <is>
          <t>FIN</t>
        </is>
      </c>
      <c r="L1692" s="35">
        <f>IF(K1692="FIN",3,IF(OR(K1692="SEM",K1692="SEMI"),2,IF(OR(K1692="PRE",K1692="HEAT"),1,IF(V1692="YES",4,2))))</f>
        <v/>
      </c>
      <c r="M1692" s="33" t="inlineStr">
        <is>
          <t>LCM</t>
        </is>
      </c>
      <c r="N1692" s="33" t="n">
        <v>400</v>
      </c>
      <c r="O1692" s="33" t="inlineStr">
        <is>
          <t>Free</t>
        </is>
      </c>
      <c r="P1692" s="33" t="inlineStr">
        <is>
          <t>400 Free</t>
        </is>
      </c>
      <c r="Q1692" s="33" t="inlineStr">
        <is>
          <t>LCM_400_FREE</t>
        </is>
      </c>
      <c r="R1692" s="36" t="n">
        <v>235.98</v>
      </c>
      <c r="S1692" s="35">
        <f>IF(R1692="","",IF(R1692&gt;=60,INT(R1692/60)&amp;":"&amp;TEXT(MOD(R1692,60),"00.00"),TEXT(R1692,"0.00")))</f>
        <v/>
      </c>
      <c r="T1692" s="52">
        <f>IFERROR((G1692-INDEX('01_Swimmers'!$E$5:$E$22,MATCH(B1692,'01_Swimmers'!$A$5:$A$22,0)))/'00_Control'!$B$10,"")</f>
        <v/>
      </c>
      <c r="U1692" s="35">
        <f>IF(T1692="","",INT(T1692))</f>
        <v/>
      </c>
      <c r="V1692" s="33" t="inlineStr">
        <is>
          <t>NO</t>
        </is>
      </c>
      <c r="W1692" s="33" t="inlineStr">
        <is>
          <t>YES</t>
        </is>
      </c>
      <c r="X1692" s="33" t="inlineStr">
        <is>
          <t>NO</t>
        </is>
      </c>
      <c r="Y1692" s="33" t="n">
        <v>4</v>
      </c>
      <c r="Z1692" s="33" t="n">
        <v>4</v>
      </c>
      <c r="AA1692" s="33" t="inlineStr">
        <is>
          <t>3</t>
        </is>
      </c>
      <c r="AB1692" s="33" t="inlineStr">
        <is>
          <t>https://www.swimcloud.com/results/309388/event/4/?id=130503999#time130503999</t>
        </is>
      </c>
      <c r="AC1692" s="33" t="inlineStr">
        <is>
          <t>SwimCloud API v6 2026-10-08</t>
        </is>
      </c>
      <c r="AD1692" s="33" t="inlineStr">
        <is>
          <t>Laon Kim|2024-07-24|LCM|400|Free|235.98|Speedo Canadian Championships|FIN|False</t>
        </is>
      </c>
      <c r="AE1692" s="53">
        <f>G1692+L1692/1000+ROW()/1000000000</f>
        <v/>
      </c>
      <c r="AF1692" s="35">
        <f>IF(C1692&lt;&gt;"Grayson Coulter","",COUNTIFS($C$5:$C$2991,"Grayson Coulter",$Q$5:$Q$2991,Q1692,$AE$5:$AE$2991,"&lt;="&amp;AE1692,$R$5:$R$2991,"&lt;"&amp;R1692))</f>
        <v/>
      </c>
      <c r="AG1692" s="35">
        <f>IF(OR(C1692&lt;&gt;"Grayson Coulter",G1692&lt;'00_Control'!$B$7),"",--(AF1692&lt;5))</f>
        <v/>
      </c>
      <c r="AH1692" s="35">
        <f>IF(OR(C1692&lt;&gt;"Grayson Coulter",G1692&lt;'00_Control'!$B$7),"",--(AF1692&lt;10))</f>
        <v/>
      </c>
      <c r="AI1692" s="35">
        <f>IF(AND(C1692="Grayson Coulter",G1692&gt;='00_Control'!$B$7),"YES","NO")</f>
        <v/>
      </c>
      <c r="AJ1692" s="33" t="inlineStr">
        <is>
          <t>OK</t>
        </is>
      </c>
    </row>
    <row r="1693">
      <c r="A1693" s="33" t="inlineStr">
        <is>
          <t>SM001689</t>
        </is>
      </c>
      <c r="B1693" s="33" t="inlineStr">
        <is>
          <t>SW007</t>
        </is>
      </c>
      <c r="C1693" s="33" t="inlineStr">
        <is>
          <t>Laon Kim</t>
        </is>
      </c>
      <c r="D1693" s="33" t="inlineStr">
        <is>
          <t>SwimCloud</t>
        </is>
      </c>
      <c r="E1693" s="33" t="inlineStr">
        <is>
          <t>2829279</t>
        </is>
      </c>
      <c r="F1693" s="33" t="inlineStr">
        <is>
          <t>130503988</t>
        </is>
      </c>
      <c r="G1693" s="51" t="n">
        <v>45499</v>
      </c>
      <c r="H1693" s="33" t="inlineStr">
        <is>
          <t>Speedo Canadian Championships</t>
        </is>
      </c>
      <c r="I1693" s="33" t="inlineStr">
        <is>
          <t>309388</t>
        </is>
      </c>
      <c r="J1693" s="33" t="inlineStr"/>
      <c r="K1693" s="33" t="inlineStr">
        <is>
          <t>PRE</t>
        </is>
      </c>
      <c r="L1693" s="35">
        <f>IF(K1693="FIN",3,IF(OR(K1693="SEM",K1693="SEMI"),2,IF(OR(K1693="PRE",K1693="HEAT"),1,IF(V1693="YES",4,2))))</f>
        <v/>
      </c>
      <c r="M1693" s="33" t="inlineStr">
        <is>
          <t>LCM</t>
        </is>
      </c>
      <c r="N1693" s="33" t="n">
        <v>100</v>
      </c>
      <c r="O1693" s="33" t="inlineStr">
        <is>
          <t>Free</t>
        </is>
      </c>
      <c r="P1693" s="33" t="inlineStr">
        <is>
          <t>100 Free</t>
        </is>
      </c>
      <c r="Q1693" s="33" t="inlineStr">
        <is>
          <t>LCM_100_FREE</t>
        </is>
      </c>
      <c r="R1693" s="36" t="n">
        <v>49.65</v>
      </c>
      <c r="S1693" s="35">
        <f>IF(R1693="","",IF(R1693&gt;=60,INT(R1693/60)&amp;":"&amp;TEXT(MOD(R1693,60),"00.00"),TEXT(R1693,"0.00")))</f>
        <v/>
      </c>
      <c r="T1693" s="52">
        <f>IFERROR((G1693-INDEX('01_Swimmers'!$E$5:$E$22,MATCH(B1693,'01_Swimmers'!$A$5:$A$22,0)))/'00_Control'!$B$10,"")</f>
        <v/>
      </c>
      <c r="U1693" s="35">
        <f>IF(T1693="","",INT(T1693))</f>
        <v/>
      </c>
      <c r="V1693" s="33" t="inlineStr">
        <is>
          <t>NO</t>
        </is>
      </c>
      <c r="W1693" s="33" t="inlineStr">
        <is>
          <t>YES</t>
        </is>
      </c>
      <c r="X1693" s="33" t="inlineStr">
        <is>
          <t>NO</t>
        </is>
      </c>
      <c r="Y1693" s="33" t="n">
        <v>15</v>
      </c>
      <c r="Z1693" s="33" t="n">
        <v>5</v>
      </c>
      <c r="AA1693" s="33" t="inlineStr">
        <is>
          <t>1</t>
        </is>
      </c>
      <c r="AB1693" s="33" t="inlineStr">
        <is>
          <t>https://www.swimcloud.com/results/309388/event/16/?id=130503988#time130503988</t>
        </is>
      </c>
      <c r="AC1693" s="33" t="inlineStr">
        <is>
          <t>SwimCloud API v6 2026-10-08</t>
        </is>
      </c>
      <c r="AD1693" s="33" t="inlineStr">
        <is>
          <t>Laon Kim|2024-07-26|LCM|100|Free|49.65|Speedo Canadian Championships|PRE|False</t>
        </is>
      </c>
      <c r="AE1693" s="53">
        <f>G1693+L1693/1000+ROW()/1000000000</f>
        <v/>
      </c>
      <c r="AF1693" s="35">
        <f>IF(C1693&lt;&gt;"Grayson Coulter","",COUNTIFS($C$5:$C$2991,"Grayson Coulter",$Q$5:$Q$2991,Q1693,$AE$5:$AE$2991,"&lt;="&amp;AE1693,$R$5:$R$2991,"&lt;"&amp;R1693))</f>
        <v/>
      </c>
      <c r="AG1693" s="35">
        <f>IF(OR(C1693&lt;&gt;"Grayson Coulter",G1693&lt;'00_Control'!$B$7),"",--(AF1693&lt;5))</f>
        <v/>
      </c>
      <c r="AH1693" s="35">
        <f>IF(OR(C1693&lt;&gt;"Grayson Coulter",G1693&lt;'00_Control'!$B$7),"",--(AF1693&lt;10))</f>
        <v/>
      </c>
      <c r="AI1693" s="35">
        <f>IF(AND(C1693="Grayson Coulter",G1693&gt;='00_Control'!$B$7),"YES","NO")</f>
        <v/>
      </c>
      <c r="AJ1693" s="33" t="inlineStr">
        <is>
          <t>OK</t>
        </is>
      </c>
    </row>
    <row r="1694">
      <c r="A1694" s="33" t="inlineStr">
        <is>
          <t>SM001690</t>
        </is>
      </c>
      <c r="B1694" s="33" t="inlineStr">
        <is>
          <t>SW007</t>
        </is>
      </c>
      <c r="C1694" s="33" t="inlineStr">
        <is>
          <t>Laon Kim</t>
        </is>
      </c>
      <c r="D1694" s="33" t="inlineStr">
        <is>
          <t>SwimCloud</t>
        </is>
      </c>
      <c r="E1694" s="33" t="inlineStr">
        <is>
          <t>2829279</t>
        </is>
      </c>
      <c r="F1694" s="33" t="inlineStr">
        <is>
          <t>130504001</t>
        </is>
      </c>
      <c r="G1694" s="51" t="n">
        <v>45499</v>
      </c>
      <c r="H1694" s="33" t="inlineStr">
        <is>
          <t>Speedo Canadian Championships</t>
        </is>
      </c>
      <c r="I1694" s="33" t="inlineStr">
        <is>
          <t>309388</t>
        </is>
      </c>
      <c r="J1694" s="33" t="inlineStr"/>
      <c r="K1694" s="33" t="inlineStr">
        <is>
          <t>FIN</t>
        </is>
      </c>
      <c r="L1694" s="35">
        <f>IF(K1694="FIN",3,IF(OR(K1694="SEM",K1694="SEMI"),2,IF(OR(K1694="PRE",K1694="HEAT"),1,IF(V1694="YES",4,2))))</f>
        <v/>
      </c>
      <c r="M1694" s="33" t="inlineStr">
        <is>
          <t>LCM</t>
        </is>
      </c>
      <c r="N1694" s="33" t="n">
        <v>100</v>
      </c>
      <c r="O1694" s="33" t="inlineStr">
        <is>
          <t>Free</t>
        </is>
      </c>
      <c r="P1694" s="33" t="inlineStr">
        <is>
          <t>100 Free</t>
        </is>
      </c>
      <c r="Q1694" s="33" t="inlineStr">
        <is>
          <t>LCM_100_FREE</t>
        </is>
      </c>
      <c r="R1694" s="36" t="n">
        <v>49.83</v>
      </c>
      <c r="S1694" s="35">
        <f>IF(R1694="","",IF(R1694&gt;=60,INT(R1694/60)&amp;":"&amp;TEXT(MOD(R1694,60),"00.00"),TEXT(R1694,"0.00")))</f>
        <v/>
      </c>
      <c r="T1694" s="52">
        <f>IFERROR((G1694-INDEX('01_Swimmers'!$E$5:$E$22,MATCH(B1694,'01_Swimmers'!$A$5:$A$22,0)))/'00_Control'!$B$10,"")</f>
        <v/>
      </c>
      <c r="U1694" s="35">
        <f>IF(T1694="","",INT(T1694))</f>
        <v/>
      </c>
      <c r="V1694" s="33" t="inlineStr">
        <is>
          <t>NO</t>
        </is>
      </c>
      <c r="W1694" s="33" t="inlineStr">
        <is>
          <t>YES</t>
        </is>
      </c>
      <c r="X1694" s="33" t="inlineStr">
        <is>
          <t>NO</t>
        </is>
      </c>
      <c r="Y1694" s="33" t="n">
        <v>3</v>
      </c>
      <c r="Z1694" s="33" t="n">
        <v>4</v>
      </c>
      <c r="AA1694" s="33" t="inlineStr">
        <is>
          <t>3</t>
        </is>
      </c>
      <c r="AB1694" s="33" t="inlineStr">
        <is>
          <t>https://www.swimcloud.com/results/309388/event/16/?id=130504001#time130504001</t>
        </is>
      </c>
      <c r="AC1694" s="33" t="inlineStr">
        <is>
          <t>SwimCloud API v6 2026-10-08</t>
        </is>
      </c>
      <c r="AD1694" s="33" t="inlineStr">
        <is>
          <t>Laon Kim|2024-07-26|LCM|100|Free|49.83|Speedo Canadian Championships|FIN|False</t>
        </is>
      </c>
      <c r="AE1694" s="53">
        <f>G1694+L1694/1000+ROW()/1000000000</f>
        <v/>
      </c>
      <c r="AF1694" s="35">
        <f>IF(C1694&lt;&gt;"Grayson Coulter","",COUNTIFS($C$5:$C$2991,"Grayson Coulter",$Q$5:$Q$2991,Q1694,$AE$5:$AE$2991,"&lt;="&amp;AE1694,$R$5:$R$2991,"&lt;"&amp;R1694))</f>
        <v/>
      </c>
      <c r="AG1694" s="35">
        <f>IF(OR(C1694&lt;&gt;"Grayson Coulter",G1694&lt;'00_Control'!$B$7),"",--(AF1694&lt;5))</f>
        <v/>
      </c>
      <c r="AH1694" s="35">
        <f>IF(OR(C1694&lt;&gt;"Grayson Coulter",G1694&lt;'00_Control'!$B$7),"",--(AF1694&lt;10))</f>
        <v/>
      </c>
      <c r="AI1694" s="35">
        <f>IF(AND(C1694="Grayson Coulter",G1694&gt;='00_Control'!$B$7),"YES","NO")</f>
        <v/>
      </c>
      <c r="AJ1694" s="33" t="inlineStr">
        <is>
          <t>OK</t>
        </is>
      </c>
    </row>
    <row r="1695">
      <c r="A1695" s="33" t="inlineStr">
        <is>
          <t>SM001691</t>
        </is>
      </c>
      <c r="B1695" s="33" t="inlineStr">
        <is>
          <t>SW007</t>
        </is>
      </c>
      <c r="C1695" s="33" t="inlineStr">
        <is>
          <t>Laon Kim</t>
        </is>
      </c>
      <c r="D1695" s="33" t="inlineStr">
        <is>
          <t>SwimCloud</t>
        </is>
      </c>
      <c r="E1695" s="33" t="inlineStr">
        <is>
          <t>2829279</t>
        </is>
      </c>
      <c r="F1695" s="33" t="inlineStr">
        <is>
          <t>130503998</t>
        </is>
      </c>
      <c r="G1695" s="51" t="n">
        <v>45502</v>
      </c>
      <c r="H1695" s="33" t="inlineStr">
        <is>
          <t>Speedo Canadian Championships</t>
        </is>
      </c>
      <c r="I1695" s="33" t="inlineStr">
        <is>
          <t>309388</t>
        </is>
      </c>
      <c r="J1695" s="33" t="inlineStr"/>
      <c r="K1695" s="33" t="inlineStr">
        <is>
          <t>PRE</t>
        </is>
      </c>
      <c r="L1695" s="35">
        <f>IF(K1695="FIN",3,IF(OR(K1695="SEM",K1695="SEMI"),2,IF(OR(K1695="PRE",K1695="HEAT"),1,IF(V1695="YES",4,2))))</f>
        <v/>
      </c>
      <c r="M1695" s="33" t="inlineStr">
        <is>
          <t>LCM</t>
        </is>
      </c>
      <c r="N1695" s="33" t="n">
        <v>200</v>
      </c>
      <c r="O1695" s="33" t="inlineStr">
        <is>
          <t>Free</t>
        </is>
      </c>
      <c r="P1695" s="33" t="inlineStr">
        <is>
          <t>200 Free</t>
        </is>
      </c>
      <c r="Q1695" s="33" t="inlineStr">
        <is>
          <t>LCM_200_FREE</t>
        </is>
      </c>
      <c r="R1695" s="36" t="n">
        <v>111.14</v>
      </c>
      <c r="S1695" s="35">
        <f>IF(R1695="","",IF(R1695&gt;=60,INT(R1695/60)&amp;":"&amp;TEXT(MOD(R1695,60),"00.00"),TEXT(R1695,"0.00")))</f>
        <v/>
      </c>
      <c r="T1695" s="52">
        <f>IFERROR((G1695-INDEX('01_Swimmers'!$E$5:$E$22,MATCH(B1695,'01_Swimmers'!$A$5:$A$22,0)))/'00_Control'!$B$10,"")</f>
        <v/>
      </c>
      <c r="U1695" s="35">
        <f>IF(T1695="","",INT(T1695))</f>
        <v/>
      </c>
      <c r="V1695" s="33" t="inlineStr">
        <is>
          <t>NO</t>
        </is>
      </c>
      <c r="W1695" s="33" t="inlineStr">
        <is>
          <t>YES</t>
        </is>
      </c>
      <c r="X1695" s="33" t="inlineStr">
        <is>
          <t>NO</t>
        </is>
      </c>
      <c r="Y1695" s="33" t="n">
        <v>14</v>
      </c>
      <c r="Z1695" s="33" t="n">
        <v>4</v>
      </c>
      <c r="AA1695" s="33" t="inlineStr">
        <is>
          <t>1</t>
        </is>
      </c>
      <c r="AB1695" s="33" t="inlineStr">
        <is>
          <t>https://www.swimcloud.com/results/309388/event/36/?id=130503998#time130503998</t>
        </is>
      </c>
      <c r="AC1695" s="33" t="inlineStr">
        <is>
          <t>SwimCloud API v6 2026-10-08</t>
        </is>
      </c>
      <c r="AD1695" s="33" t="inlineStr">
        <is>
          <t>Laon Kim|2024-07-29|LCM|200|Free|111.14|Speedo Canadian Championships|PRE|False</t>
        </is>
      </c>
      <c r="AE1695" s="53">
        <f>G1695+L1695/1000+ROW()/1000000000</f>
        <v/>
      </c>
      <c r="AF1695" s="35">
        <f>IF(C1695&lt;&gt;"Grayson Coulter","",COUNTIFS($C$5:$C$2991,"Grayson Coulter",$Q$5:$Q$2991,Q1695,$AE$5:$AE$2991,"&lt;="&amp;AE1695,$R$5:$R$2991,"&lt;"&amp;R1695))</f>
        <v/>
      </c>
      <c r="AG1695" s="35">
        <f>IF(OR(C1695&lt;&gt;"Grayson Coulter",G1695&lt;'00_Control'!$B$7),"",--(AF1695&lt;5))</f>
        <v/>
      </c>
      <c r="AH1695" s="35">
        <f>IF(OR(C1695&lt;&gt;"Grayson Coulter",G1695&lt;'00_Control'!$B$7),"",--(AF1695&lt;10))</f>
        <v/>
      </c>
      <c r="AI1695" s="35">
        <f>IF(AND(C1695="Grayson Coulter",G1695&gt;='00_Control'!$B$7),"YES","NO")</f>
        <v/>
      </c>
      <c r="AJ1695" s="33" t="inlineStr">
        <is>
          <t>OK</t>
        </is>
      </c>
    </row>
    <row r="1696">
      <c r="A1696" s="33" t="inlineStr">
        <is>
          <t>SM001692</t>
        </is>
      </c>
      <c r="B1696" s="33" t="inlineStr">
        <is>
          <t>SW007</t>
        </is>
      </c>
      <c r="C1696" s="33" t="inlineStr">
        <is>
          <t>Laon Kim</t>
        </is>
      </c>
      <c r="D1696" s="33" t="inlineStr">
        <is>
          <t>SwimCloud</t>
        </is>
      </c>
      <c r="E1696" s="33" t="inlineStr">
        <is>
          <t>2829279</t>
        </is>
      </c>
      <c r="F1696" s="33" t="inlineStr">
        <is>
          <t>130504004</t>
        </is>
      </c>
      <c r="G1696" s="51" t="n">
        <v>45502</v>
      </c>
      <c r="H1696" s="33" t="inlineStr">
        <is>
          <t>Speedo Canadian Championships</t>
        </is>
      </c>
      <c r="I1696" s="33" t="inlineStr">
        <is>
          <t>309388</t>
        </is>
      </c>
      <c r="J1696" s="33" t="inlineStr"/>
      <c r="K1696" s="33" t="inlineStr">
        <is>
          <t>FIN</t>
        </is>
      </c>
      <c r="L1696" s="35">
        <f>IF(K1696="FIN",3,IF(OR(K1696="SEM",K1696="SEMI"),2,IF(OR(K1696="PRE",K1696="HEAT"),1,IF(V1696="YES",4,2))))</f>
        <v/>
      </c>
      <c r="M1696" s="33" t="inlineStr">
        <is>
          <t>LCM</t>
        </is>
      </c>
      <c r="N1696" s="33" t="n">
        <v>200</v>
      </c>
      <c r="O1696" s="33" t="inlineStr">
        <is>
          <t>Free</t>
        </is>
      </c>
      <c r="P1696" s="33" t="inlineStr">
        <is>
          <t>200 Free</t>
        </is>
      </c>
      <c r="Q1696" s="33" t="inlineStr">
        <is>
          <t>LCM_200_FREE</t>
        </is>
      </c>
      <c r="R1696" s="36" t="n">
        <v>110.41</v>
      </c>
      <c r="S1696" s="35">
        <f>IF(R1696="","",IF(R1696&gt;=60,INT(R1696/60)&amp;":"&amp;TEXT(MOD(R1696,60),"00.00"),TEXT(R1696,"0.00")))</f>
        <v/>
      </c>
      <c r="T1696" s="52">
        <f>IFERROR((G1696-INDEX('01_Swimmers'!$E$5:$E$22,MATCH(B1696,'01_Swimmers'!$A$5:$A$22,0)))/'00_Control'!$B$10,"")</f>
        <v/>
      </c>
      <c r="U1696" s="35">
        <f>IF(T1696="","",INT(T1696))</f>
        <v/>
      </c>
      <c r="V1696" s="33" t="inlineStr">
        <is>
          <t>NO</t>
        </is>
      </c>
      <c r="W1696" s="33" t="inlineStr">
        <is>
          <t>YES</t>
        </is>
      </c>
      <c r="X1696" s="33" t="inlineStr">
        <is>
          <t>NO</t>
        </is>
      </c>
      <c r="Y1696" s="33" t="n">
        <v>3</v>
      </c>
      <c r="Z1696" s="33" t="n">
        <v>4</v>
      </c>
      <c r="AA1696" s="33" t="inlineStr">
        <is>
          <t>3</t>
        </is>
      </c>
      <c r="AB1696" s="33" t="inlineStr">
        <is>
          <t>https://www.swimcloud.com/results/309388/event/36/?id=130504004#time130504004</t>
        </is>
      </c>
      <c r="AC1696" s="33" t="inlineStr">
        <is>
          <t>SwimCloud API v6 2026-10-08</t>
        </is>
      </c>
      <c r="AD1696" s="33" t="inlineStr">
        <is>
          <t>Laon Kim|2024-07-29|LCM|200|Free|110.41|Speedo Canadian Championships|FIN|False</t>
        </is>
      </c>
      <c r="AE1696" s="53">
        <f>G1696+L1696/1000+ROW()/1000000000</f>
        <v/>
      </c>
      <c r="AF1696" s="35">
        <f>IF(C1696&lt;&gt;"Grayson Coulter","",COUNTIFS($C$5:$C$2991,"Grayson Coulter",$Q$5:$Q$2991,Q1696,$AE$5:$AE$2991,"&lt;="&amp;AE1696,$R$5:$R$2991,"&lt;"&amp;R1696))</f>
        <v/>
      </c>
      <c r="AG1696" s="35">
        <f>IF(OR(C1696&lt;&gt;"Grayson Coulter",G1696&lt;'00_Control'!$B$7),"",--(AF1696&lt;5))</f>
        <v/>
      </c>
      <c r="AH1696" s="35">
        <f>IF(OR(C1696&lt;&gt;"Grayson Coulter",G1696&lt;'00_Control'!$B$7),"",--(AF1696&lt;10))</f>
        <v/>
      </c>
      <c r="AI1696" s="35">
        <f>IF(AND(C1696="Grayson Coulter",G1696&gt;='00_Control'!$B$7),"YES","NO")</f>
        <v/>
      </c>
      <c r="AJ1696" s="33" t="inlineStr">
        <is>
          <t>OK</t>
        </is>
      </c>
    </row>
    <row r="1697">
      <c r="A1697" s="33" t="inlineStr">
        <is>
          <t>SM001693</t>
        </is>
      </c>
      <c r="B1697" s="33" t="inlineStr">
        <is>
          <t>SW007</t>
        </is>
      </c>
      <c r="C1697" s="33" t="inlineStr">
        <is>
          <t>Laon Kim</t>
        </is>
      </c>
      <c r="D1697" s="33" t="inlineStr">
        <is>
          <t>SwimCloud</t>
        </is>
      </c>
      <c r="E1697" s="33" t="inlineStr">
        <is>
          <t>2829279</t>
        </is>
      </c>
      <c r="F1697" s="33" t="inlineStr">
        <is>
          <t>131462856</t>
        </is>
      </c>
      <c r="G1697" s="51" t="n">
        <v>45525</v>
      </c>
      <c r="H1697" s="33" t="inlineStr">
        <is>
          <t>Junior Pan Pacific Championships</t>
        </is>
      </c>
      <c r="I1697" s="33" t="inlineStr">
        <is>
          <t>268700</t>
        </is>
      </c>
      <c r="J1697" s="33" t="inlineStr"/>
      <c r="K1697" s="33" t="inlineStr">
        <is>
          <t>PRE</t>
        </is>
      </c>
      <c r="L1697" s="35">
        <f>IF(K1697="FIN",3,IF(OR(K1697="SEM",K1697="SEMI"),2,IF(OR(K1697="PRE",K1697="HEAT"),1,IF(V1697="YES",4,2))))</f>
        <v/>
      </c>
      <c r="M1697" s="33" t="inlineStr">
        <is>
          <t>LCM</t>
        </is>
      </c>
      <c r="N1697" s="33" t="n">
        <v>200</v>
      </c>
      <c r="O1697" s="33" t="inlineStr">
        <is>
          <t>Free</t>
        </is>
      </c>
      <c r="P1697" s="33" t="inlineStr">
        <is>
          <t>200 Free</t>
        </is>
      </c>
      <c r="Q1697" s="33" t="inlineStr">
        <is>
          <t>LCM_200_FREE</t>
        </is>
      </c>
      <c r="R1697" s="36" t="n">
        <v>109.82</v>
      </c>
      <c r="S1697" s="35">
        <f>IF(R1697="","",IF(R1697&gt;=60,INT(R1697/60)&amp;":"&amp;TEXT(MOD(R1697,60),"00.00"),TEXT(R1697,"0.00")))</f>
        <v/>
      </c>
      <c r="T1697" s="52">
        <f>IFERROR((G1697-INDEX('01_Swimmers'!$E$5:$E$22,MATCH(B1697,'01_Swimmers'!$A$5:$A$22,0)))/'00_Control'!$B$10,"")</f>
        <v/>
      </c>
      <c r="U1697" s="35">
        <f>IF(T1697="","",INT(T1697))</f>
        <v/>
      </c>
      <c r="V1697" s="33" t="inlineStr">
        <is>
          <t>NO</t>
        </is>
      </c>
      <c r="W1697" s="33" t="inlineStr">
        <is>
          <t>YES</t>
        </is>
      </c>
      <c r="X1697" s="33" t="inlineStr">
        <is>
          <t>NO</t>
        </is>
      </c>
      <c r="Y1697" s="33" t="n">
        <v>4</v>
      </c>
      <c r="Z1697" s="33" t="n">
        <v>6</v>
      </c>
      <c r="AA1697" s="33" t="inlineStr">
        <is>
          <t>8</t>
        </is>
      </c>
      <c r="AB1697" s="33" t="inlineStr">
        <is>
          <t>https://www.swimcloud.com/results/268700/event/2/?id=131462856#time131462856</t>
        </is>
      </c>
      <c r="AC1697" s="33" t="inlineStr">
        <is>
          <t>SwimCloud API v6 2026-10-08</t>
        </is>
      </c>
      <c r="AD1697" s="33" t="inlineStr">
        <is>
          <t>Laon Kim|2024-08-21|LCM|200|Free|109.82|Junior Pan Pacific Championships|PRE|False</t>
        </is>
      </c>
      <c r="AE1697" s="53">
        <f>G1697+L1697/1000+ROW()/1000000000</f>
        <v/>
      </c>
      <c r="AF1697" s="35">
        <f>IF(C1697&lt;&gt;"Grayson Coulter","",COUNTIFS($C$5:$C$2991,"Grayson Coulter",$Q$5:$Q$2991,Q1697,$AE$5:$AE$2991,"&lt;="&amp;AE1697,$R$5:$R$2991,"&lt;"&amp;R1697))</f>
        <v/>
      </c>
      <c r="AG1697" s="35">
        <f>IF(OR(C1697&lt;&gt;"Grayson Coulter",G1697&lt;'00_Control'!$B$7),"",--(AF1697&lt;5))</f>
        <v/>
      </c>
      <c r="AH1697" s="35">
        <f>IF(OR(C1697&lt;&gt;"Grayson Coulter",G1697&lt;'00_Control'!$B$7),"",--(AF1697&lt;10))</f>
        <v/>
      </c>
      <c r="AI1697" s="35">
        <f>IF(AND(C1697="Grayson Coulter",G1697&gt;='00_Control'!$B$7),"YES","NO")</f>
        <v/>
      </c>
      <c r="AJ1697" s="33" t="inlineStr">
        <is>
          <t>OK</t>
        </is>
      </c>
    </row>
    <row r="1698">
      <c r="A1698" s="33" t="inlineStr">
        <is>
          <t>SM001694</t>
        </is>
      </c>
      <c r="B1698" s="33" t="inlineStr">
        <is>
          <t>SW007</t>
        </is>
      </c>
      <c r="C1698" s="33" t="inlineStr">
        <is>
          <t>Laon Kim</t>
        </is>
      </c>
      <c r="D1698" s="33" t="inlineStr">
        <is>
          <t>SwimCloud</t>
        </is>
      </c>
      <c r="E1698" s="33" t="inlineStr">
        <is>
          <t>2829279</t>
        </is>
      </c>
      <c r="F1698" s="33" t="inlineStr">
        <is>
          <t>131462857</t>
        </is>
      </c>
      <c r="G1698" s="51" t="n">
        <v>45525</v>
      </c>
      <c r="H1698" s="33" t="inlineStr">
        <is>
          <t>Junior Pan Pacific Championships</t>
        </is>
      </c>
      <c r="I1698" s="33" t="inlineStr">
        <is>
          <t>268700</t>
        </is>
      </c>
      <c r="J1698" s="33" t="inlineStr"/>
      <c r="K1698" s="33" t="inlineStr">
        <is>
          <t>FIN</t>
        </is>
      </c>
      <c r="L1698" s="35">
        <f>IF(K1698="FIN",3,IF(OR(K1698="SEM",K1698="SEMI"),2,IF(OR(K1698="PRE",K1698="HEAT"),1,IF(V1698="YES",4,2))))</f>
        <v/>
      </c>
      <c r="M1698" s="33" t="inlineStr">
        <is>
          <t>LCM</t>
        </is>
      </c>
      <c r="N1698" s="33" t="n">
        <v>200</v>
      </c>
      <c r="O1698" s="33" t="inlineStr">
        <is>
          <t>Free</t>
        </is>
      </c>
      <c r="P1698" s="33" t="inlineStr">
        <is>
          <t>200 Free</t>
        </is>
      </c>
      <c r="Q1698" s="33" t="inlineStr">
        <is>
          <t>LCM_200_FREE</t>
        </is>
      </c>
      <c r="R1698" s="36" t="n">
        <v>110.18</v>
      </c>
      <c r="S1698" s="35">
        <f>IF(R1698="","",IF(R1698&gt;=60,INT(R1698/60)&amp;":"&amp;TEXT(MOD(R1698,60),"00.00"),TEXT(R1698,"0.00")))</f>
        <v/>
      </c>
      <c r="T1698" s="52">
        <f>IFERROR((G1698-INDEX('01_Swimmers'!$E$5:$E$22,MATCH(B1698,'01_Swimmers'!$A$5:$A$22,0)))/'00_Control'!$B$10,"")</f>
        <v/>
      </c>
      <c r="U1698" s="35">
        <f>IF(T1698="","",INT(T1698))</f>
        <v/>
      </c>
      <c r="V1698" s="33" t="inlineStr">
        <is>
          <t>NO</t>
        </is>
      </c>
      <c r="W1698" s="33" t="inlineStr">
        <is>
          <t>YES</t>
        </is>
      </c>
      <c r="X1698" s="33" t="inlineStr">
        <is>
          <t>NO</t>
        </is>
      </c>
      <c r="Y1698" s="33" t="n">
        <v>1</v>
      </c>
      <c r="Z1698" s="33" t="n">
        <v>7</v>
      </c>
      <c r="AA1698" s="33" t="inlineStr">
        <is>
          <t>6</t>
        </is>
      </c>
      <c r="AB1698" s="33" t="inlineStr">
        <is>
          <t>https://www.swimcloud.com/results/268700/event/2/?id=131462857#time131462857</t>
        </is>
      </c>
      <c r="AC1698" s="33" t="inlineStr">
        <is>
          <t>SwimCloud API v6 2026-10-08</t>
        </is>
      </c>
      <c r="AD1698" s="33" t="inlineStr">
        <is>
          <t>Laon Kim|2024-08-21|LCM|200|Free|110.18|Junior Pan Pacific Championships|FIN|False</t>
        </is>
      </c>
      <c r="AE1698" s="53">
        <f>G1698+L1698/1000+ROW()/1000000000</f>
        <v/>
      </c>
      <c r="AF1698" s="35">
        <f>IF(C1698&lt;&gt;"Grayson Coulter","",COUNTIFS($C$5:$C$2991,"Grayson Coulter",$Q$5:$Q$2991,Q1698,$AE$5:$AE$2991,"&lt;="&amp;AE1698,$R$5:$R$2991,"&lt;"&amp;R1698))</f>
        <v/>
      </c>
      <c r="AG1698" s="35">
        <f>IF(OR(C1698&lt;&gt;"Grayson Coulter",G1698&lt;'00_Control'!$B$7),"",--(AF1698&lt;5))</f>
        <v/>
      </c>
      <c r="AH1698" s="35">
        <f>IF(OR(C1698&lt;&gt;"Grayson Coulter",G1698&lt;'00_Control'!$B$7),"",--(AF1698&lt;10))</f>
        <v/>
      </c>
      <c r="AI1698" s="35">
        <f>IF(AND(C1698="Grayson Coulter",G1698&gt;='00_Control'!$B$7),"YES","NO")</f>
        <v/>
      </c>
      <c r="AJ1698" s="33" t="inlineStr">
        <is>
          <t>OK</t>
        </is>
      </c>
    </row>
    <row r="1699">
      <c r="A1699" s="33" t="inlineStr">
        <is>
          <t>SM001695</t>
        </is>
      </c>
      <c r="B1699" s="33" t="inlineStr">
        <is>
          <t>SW007</t>
        </is>
      </c>
      <c r="C1699" s="33" t="inlineStr">
        <is>
          <t>Laon Kim</t>
        </is>
      </c>
      <c r="D1699" s="33" t="inlineStr">
        <is>
          <t>SwimCloud</t>
        </is>
      </c>
      <c r="E1699" s="33" t="inlineStr">
        <is>
          <t>2829279</t>
        </is>
      </c>
      <c r="F1699" s="33" t="inlineStr">
        <is>
          <t>131462800</t>
        </is>
      </c>
      <c r="G1699" s="51" t="n">
        <v>45526</v>
      </c>
      <c r="H1699" s="33" t="inlineStr">
        <is>
          <t>Junior Pan Pacific Championships</t>
        </is>
      </c>
      <c r="I1699" s="33" t="inlineStr">
        <is>
          <t>268700</t>
        </is>
      </c>
      <c r="J1699" s="33" t="inlineStr"/>
      <c r="K1699" s="33" t="inlineStr">
        <is>
          <t>PRE</t>
        </is>
      </c>
      <c r="L1699" s="35">
        <f>IF(K1699="FIN",3,IF(OR(K1699="SEM",K1699="SEMI"),2,IF(OR(K1699="PRE",K1699="HEAT"),1,IF(V1699="YES",4,2))))</f>
        <v/>
      </c>
      <c r="M1699" s="33" t="inlineStr">
        <is>
          <t>LCM</t>
        </is>
      </c>
      <c r="N1699" s="33" t="n">
        <v>100</v>
      </c>
      <c r="O1699" s="33" t="inlineStr">
        <is>
          <t>Free</t>
        </is>
      </c>
      <c r="P1699" s="33" t="inlineStr">
        <is>
          <t>100 Free</t>
        </is>
      </c>
      <c r="Q1699" s="33" t="inlineStr">
        <is>
          <t>LCM_100_FREE</t>
        </is>
      </c>
      <c r="R1699" s="36" t="n">
        <v>49.71</v>
      </c>
      <c r="S1699" s="35">
        <f>IF(R1699="","",IF(R1699&gt;=60,INT(R1699/60)&amp;":"&amp;TEXT(MOD(R1699,60),"00.00"),TEXT(R1699,"0.00")))</f>
        <v/>
      </c>
      <c r="T1699" s="52">
        <f>IFERROR((G1699-INDEX('01_Swimmers'!$E$5:$E$22,MATCH(B1699,'01_Swimmers'!$A$5:$A$22,0)))/'00_Control'!$B$10,"")</f>
        <v/>
      </c>
      <c r="U1699" s="35">
        <f>IF(T1699="","",INT(T1699))</f>
        <v/>
      </c>
      <c r="V1699" s="33" t="inlineStr">
        <is>
          <t>NO</t>
        </is>
      </c>
      <c r="W1699" s="33" t="inlineStr">
        <is>
          <t>YES</t>
        </is>
      </c>
      <c r="X1699" s="33" t="inlineStr">
        <is>
          <t>NO</t>
        </is>
      </c>
      <c r="Y1699" s="33" t="n">
        <v>5</v>
      </c>
      <c r="Z1699" s="33" t="n">
        <v>5</v>
      </c>
      <c r="AA1699" s="33" t="inlineStr">
        <is>
          <t>2</t>
        </is>
      </c>
      <c r="AB1699" s="33" t="inlineStr">
        <is>
          <t>https://www.swimcloud.com/results/268700/event/11/?id=131462800#time131462800</t>
        </is>
      </c>
      <c r="AC1699" s="33" t="inlineStr">
        <is>
          <t>SwimCloud API v6 2026-10-08</t>
        </is>
      </c>
      <c r="AD1699" s="33" t="inlineStr">
        <is>
          <t>Laon Kim|2024-08-22|LCM|100|Free|49.71|Junior Pan Pacific Championships|PRE|False</t>
        </is>
      </c>
      <c r="AE1699" s="53">
        <f>G1699+L1699/1000+ROW()/1000000000</f>
        <v/>
      </c>
      <c r="AF1699" s="35">
        <f>IF(C1699&lt;&gt;"Grayson Coulter","",COUNTIFS($C$5:$C$2991,"Grayson Coulter",$Q$5:$Q$2991,Q1699,$AE$5:$AE$2991,"&lt;="&amp;AE1699,$R$5:$R$2991,"&lt;"&amp;R1699))</f>
        <v/>
      </c>
      <c r="AG1699" s="35">
        <f>IF(OR(C1699&lt;&gt;"Grayson Coulter",G1699&lt;'00_Control'!$B$7),"",--(AF1699&lt;5))</f>
        <v/>
      </c>
      <c r="AH1699" s="35">
        <f>IF(OR(C1699&lt;&gt;"Grayson Coulter",G1699&lt;'00_Control'!$B$7),"",--(AF1699&lt;10))</f>
        <v/>
      </c>
      <c r="AI1699" s="35">
        <f>IF(AND(C1699="Grayson Coulter",G1699&gt;='00_Control'!$B$7),"YES","NO")</f>
        <v/>
      </c>
      <c r="AJ1699" s="33" t="inlineStr">
        <is>
          <t>OK</t>
        </is>
      </c>
    </row>
    <row r="1700">
      <c r="A1700" s="33" t="inlineStr">
        <is>
          <t>SM001696</t>
        </is>
      </c>
      <c r="B1700" s="33" t="inlineStr">
        <is>
          <t>SW007</t>
        </is>
      </c>
      <c r="C1700" s="33" t="inlineStr">
        <is>
          <t>Laon Kim</t>
        </is>
      </c>
      <c r="D1700" s="33" t="inlineStr">
        <is>
          <t>SwimCloud</t>
        </is>
      </c>
      <c r="E1700" s="33" t="inlineStr">
        <is>
          <t>2829279</t>
        </is>
      </c>
      <c r="F1700" s="33" t="inlineStr">
        <is>
          <t>131462801</t>
        </is>
      </c>
      <c r="G1700" s="51" t="n">
        <v>45526</v>
      </c>
      <c r="H1700" s="33" t="inlineStr">
        <is>
          <t>Junior Pan Pacific Championships</t>
        </is>
      </c>
      <c r="I1700" s="33" t="inlineStr">
        <is>
          <t>268700</t>
        </is>
      </c>
      <c r="J1700" s="33" t="inlineStr"/>
      <c r="K1700" s="33" t="inlineStr">
        <is>
          <t>FIN</t>
        </is>
      </c>
      <c r="L1700" s="35">
        <f>IF(K1700="FIN",3,IF(OR(K1700="SEM",K1700="SEMI"),2,IF(OR(K1700="PRE",K1700="HEAT"),1,IF(V1700="YES",4,2))))</f>
        <v/>
      </c>
      <c r="M1700" s="33" t="inlineStr">
        <is>
          <t>LCM</t>
        </is>
      </c>
      <c r="N1700" s="33" t="n">
        <v>100</v>
      </c>
      <c r="O1700" s="33" t="inlineStr">
        <is>
          <t>Free</t>
        </is>
      </c>
      <c r="P1700" s="33" t="inlineStr">
        <is>
          <t>100 Free</t>
        </is>
      </c>
      <c r="Q1700" s="33" t="inlineStr">
        <is>
          <t>LCM_100_FREE</t>
        </is>
      </c>
      <c r="R1700" s="36" t="n">
        <v>49.37</v>
      </c>
      <c r="S1700" s="35">
        <f>IF(R1700="","",IF(R1700&gt;=60,INT(R1700/60)&amp;":"&amp;TEXT(MOD(R1700,60),"00.00"),TEXT(R1700,"0.00")))</f>
        <v/>
      </c>
      <c r="T1700" s="52">
        <f>IFERROR((G1700-INDEX('01_Swimmers'!$E$5:$E$22,MATCH(B1700,'01_Swimmers'!$A$5:$A$22,0)))/'00_Control'!$B$10,"")</f>
        <v/>
      </c>
      <c r="U1700" s="35">
        <f>IF(T1700="","",INT(T1700))</f>
        <v/>
      </c>
      <c r="V1700" s="33" t="inlineStr">
        <is>
          <t>NO</t>
        </is>
      </c>
      <c r="W1700" s="33" t="inlineStr">
        <is>
          <t>YES</t>
        </is>
      </c>
      <c r="X1700" s="33" t="inlineStr">
        <is>
          <t>NO</t>
        </is>
      </c>
      <c r="Y1700" s="33" t="n">
        <v>1</v>
      </c>
      <c r="Z1700" s="33" t="n">
        <v>5</v>
      </c>
      <c r="AA1700" s="33" t="inlineStr">
        <is>
          <t>2</t>
        </is>
      </c>
      <c r="AB1700" s="33" t="inlineStr">
        <is>
          <t>https://www.swimcloud.com/results/268700/event/11/?id=131462801#time131462801</t>
        </is>
      </c>
      <c r="AC1700" s="33" t="inlineStr">
        <is>
          <t>SwimCloud API v6 2026-10-08</t>
        </is>
      </c>
      <c r="AD1700" s="33" t="inlineStr">
        <is>
          <t>Laon Kim|2024-08-22|LCM|100|Free|49.37|Junior Pan Pacific Championships|FIN|False</t>
        </is>
      </c>
      <c r="AE1700" s="53">
        <f>G1700+L1700/1000+ROW()/1000000000</f>
        <v/>
      </c>
      <c r="AF1700" s="35">
        <f>IF(C1700&lt;&gt;"Grayson Coulter","",COUNTIFS($C$5:$C$2991,"Grayson Coulter",$Q$5:$Q$2991,Q1700,$AE$5:$AE$2991,"&lt;="&amp;AE1700,$R$5:$R$2991,"&lt;"&amp;R1700))</f>
        <v/>
      </c>
      <c r="AG1700" s="35">
        <f>IF(OR(C1700&lt;&gt;"Grayson Coulter",G1700&lt;'00_Control'!$B$7),"",--(AF1700&lt;5))</f>
        <v/>
      </c>
      <c r="AH1700" s="35">
        <f>IF(OR(C1700&lt;&gt;"Grayson Coulter",G1700&lt;'00_Control'!$B$7),"",--(AF1700&lt;10))</f>
        <v/>
      </c>
      <c r="AI1700" s="35">
        <f>IF(AND(C1700="Grayson Coulter",G1700&gt;='00_Control'!$B$7),"YES","NO")</f>
        <v/>
      </c>
      <c r="AJ1700" s="33" t="inlineStr">
        <is>
          <t>OK</t>
        </is>
      </c>
    </row>
    <row r="1701">
      <c r="A1701" s="33" t="inlineStr">
        <is>
          <t>SM001697</t>
        </is>
      </c>
      <c r="B1701" s="33" t="inlineStr">
        <is>
          <t>SW007</t>
        </is>
      </c>
      <c r="C1701" s="33" t="inlineStr">
        <is>
          <t>Laon Kim</t>
        </is>
      </c>
      <c r="D1701" s="33" t="inlineStr">
        <is>
          <t>SwimCloud</t>
        </is>
      </c>
      <c r="E1701" s="33" t="inlineStr">
        <is>
          <t>2829279</t>
        </is>
      </c>
      <c r="F1701" s="33" t="inlineStr">
        <is>
          <t>131463894</t>
        </is>
      </c>
      <c r="G1701" s="51" t="n">
        <v>45527</v>
      </c>
      <c r="H1701" s="33" t="inlineStr">
        <is>
          <t>Junior Pan Pacific Championships</t>
        </is>
      </c>
      <c r="I1701" s="33" t="inlineStr">
        <is>
          <t>268700</t>
        </is>
      </c>
      <c r="J1701" s="33" t="inlineStr"/>
      <c r="K1701" s="33" t="inlineStr">
        <is>
          <t>TIM</t>
        </is>
      </c>
      <c r="L1701" s="35">
        <f>IF(K1701="FIN",3,IF(OR(K1701="SEM",K1701="SEMI"),2,IF(OR(K1701="PRE",K1701="HEAT"),1,IF(V1701="YES",4,2))))</f>
        <v/>
      </c>
      <c r="M1701" s="33" t="inlineStr">
        <is>
          <t>LCM</t>
        </is>
      </c>
      <c r="N1701" s="33" t="n">
        <v>100</v>
      </c>
      <c r="O1701" s="33" t="inlineStr">
        <is>
          <t>Free</t>
        </is>
      </c>
      <c r="P1701" s="33" t="inlineStr">
        <is>
          <t>100 Free</t>
        </is>
      </c>
      <c r="Q1701" s="33" t="inlineStr">
        <is>
          <t>LCM_100_FREE</t>
        </is>
      </c>
      <c r="R1701" s="36" t="n">
        <v>49.45</v>
      </c>
      <c r="S1701" s="35">
        <f>IF(R1701="","",IF(R1701&gt;=60,INT(R1701/60)&amp;":"&amp;TEXT(MOD(R1701,60),"00.00"),TEXT(R1701,"0.00")))</f>
        <v/>
      </c>
      <c r="T1701" s="52">
        <f>IFERROR((G1701-INDEX('01_Swimmers'!$E$5:$E$22,MATCH(B1701,'01_Swimmers'!$A$5:$A$22,0)))/'00_Control'!$B$10,"")</f>
        <v/>
      </c>
      <c r="U1701" s="35">
        <f>IF(T1701="","",INT(T1701))</f>
        <v/>
      </c>
      <c r="V1701" s="33" t="inlineStr">
        <is>
          <t>YES</t>
        </is>
      </c>
      <c r="W1701" s="33" t="inlineStr">
        <is>
          <t>YES</t>
        </is>
      </c>
      <c r="X1701" s="33" t="inlineStr">
        <is>
          <t>NO</t>
        </is>
      </c>
      <c r="Y1701" s="33" t="n">
        <v>2</v>
      </c>
      <c r="Z1701" s="33" t="n">
        <v>3</v>
      </c>
      <c r="AA1701" s="33" t="inlineStr"/>
      <c r="AB1701" s="33" t="inlineStr">
        <is>
          <t>https://www.swimcloud.com/results/268700/event/25/?id=131463454#time131463454</t>
        </is>
      </c>
      <c r="AC1701" s="33" t="inlineStr">
        <is>
          <t>SwimCloud API v6 2026-10-08</t>
        </is>
      </c>
      <c r="AD1701" s="33" t="inlineStr">
        <is>
          <t>Laon Kim|2024-08-23|LCM|100|Free|49.45|Junior Pan Pacific Championships|TIM|True</t>
        </is>
      </c>
      <c r="AE1701" s="53">
        <f>G1701+L1701/1000+ROW()/1000000000</f>
        <v/>
      </c>
      <c r="AF1701" s="35">
        <f>IF(C1701&lt;&gt;"Grayson Coulter","",COUNTIFS($C$5:$C$2991,"Grayson Coulter",$Q$5:$Q$2991,Q1701,$AE$5:$AE$2991,"&lt;="&amp;AE1701,$R$5:$R$2991,"&lt;"&amp;R1701))</f>
        <v/>
      </c>
      <c r="AG1701" s="35">
        <f>IF(OR(C1701&lt;&gt;"Grayson Coulter",G1701&lt;'00_Control'!$B$7),"",--(AF1701&lt;5))</f>
        <v/>
      </c>
      <c r="AH1701" s="35">
        <f>IF(OR(C1701&lt;&gt;"Grayson Coulter",G1701&lt;'00_Control'!$B$7),"",--(AF1701&lt;10))</f>
        <v/>
      </c>
      <c r="AI1701" s="35">
        <f>IF(AND(C1701="Grayson Coulter",G1701&gt;='00_Control'!$B$7),"YES","NO")</f>
        <v/>
      </c>
      <c r="AJ1701" s="33" t="inlineStr">
        <is>
          <t>OK</t>
        </is>
      </c>
    </row>
    <row r="1702">
      <c r="A1702" s="33" t="inlineStr">
        <is>
          <t>SM001698</t>
        </is>
      </c>
      <c r="B1702" s="33" t="inlineStr">
        <is>
          <t>SW007</t>
        </is>
      </c>
      <c r="C1702" s="33" t="inlineStr">
        <is>
          <t>Laon Kim</t>
        </is>
      </c>
      <c r="D1702" s="33" t="inlineStr">
        <is>
          <t>SwimCloud</t>
        </is>
      </c>
      <c r="E1702" s="33" t="inlineStr">
        <is>
          <t>2829279</t>
        </is>
      </c>
      <c r="F1702" s="33" t="inlineStr">
        <is>
          <t>131462901</t>
        </is>
      </c>
      <c r="G1702" s="51" t="n">
        <v>45527</v>
      </c>
      <c r="H1702" s="33" t="inlineStr">
        <is>
          <t>Junior Pan Pacific Championships</t>
        </is>
      </c>
      <c r="I1702" s="33" t="inlineStr">
        <is>
          <t>268700</t>
        </is>
      </c>
      <c r="J1702" s="33" t="inlineStr"/>
      <c r="K1702" s="33" t="inlineStr">
        <is>
          <t>PRE</t>
        </is>
      </c>
      <c r="L1702" s="35">
        <f>IF(K1702="FIN",3,IF(OR(K1702="SEM",K1702="SEMI"),2,IF(OR(K1702="PRE",K1702="HEAT"),1,IF(V1702="YES",4,2))))</f>
        <v/>
      </c>
      <c r="M1702" s="33" t="inlineStr">
        <is>
          <t>LCM</t>
        </is>
      </c>
      <c r="N1702" s="33" t="n">
        <v>400</v>
      </c>
      <c r="O1702" s="33" t="inlineStr">
        <is>
          <t>Free</t>
        </is>
      </c>
      <c r="P1702" s="33" t="inlineStr">
        <is>
          <t>400 Free</t>
        </is>
      </c>
      <c r="Q1702" s="33" t="inlineStr">
        <is>
          <t>LCM_400_FREE</t>
        </is>
      </c>
      <c r="R1702" s="36" t="n">
        <v>241.63</v>
      </c>
      <c r="S1702" s="35">
        <f>IF(R1702="","",IF(R1702&gt;=60,INT(R1702/60)&amp;":"&amp;TEXT(MOD(R1702,60),"00.00"),TEXT(R1702,"0.00")))</f>
        <v/>
      </c>
      <c r="T1702" s="52">
        <f>IFERROR((G1702-INDEX('01_Swimmers'!$E$5:$E$22,MATCH(B1702,'01_Swimmers'!$A$5:$A$22,0)))/'00_Control'!$B$10,"")</f>
        <v/>
      </c>
      <c r="U1702" s="35">
        <f>IF(T1702="","",INT(T1702))</f>
        <v/>
      </c>
      <c r="V1702" s="33" t="inlineStr">
        <is>
          <t>NO</t>
        </is>
      </c>
      <c r="W1702" s="33" t="inlineStr">
        <is>
          <t>YES</t>
        </is>
      </c>
      <c r="X1702" s="33" t="inlineStr">
        <is>
          <t>NO</t>
        </is>
      </c>
      <c r="Y1702" s="33" t="n">
        <v>4</v>
      </c>
      <c r="Z1702" s="33" t="n">
        <v>1</v>
      </c>
      <c r="AA1702" s="33" t="inlineStr">
        <is>
          <t>18</t>
        </is>
      </c>
      <c r="AB1702" s="33" t="inlineStr">
        <is>
          <t>https://www.swimcloud.com/results/268700/event/19/?id=131462901#time131462901</t>
        </is>
      </c>
      <c r="AC1702" s="33" t="inlineStr">
        <is>
          <t>SwimCloud API v6 2026-10-08</t>
        </is>
      </c>
      <c r="AD1702" s="33" t="inlineStr">
        <is>
          <t>Laon Kim|2024-08-23|LCM|400|Free|241.63|Junior Pan Pacific Championships|PRE|False</t>
        </is>
      </c>
      <c r="AE1702" s="53">
        <f>G1702+L1702/1000+ROW()/1000000000</f>
        <v/>
      </c>
      <c r="AF1702" s="35">
        <f>IF(C1702&lt;&gt;"Grayson Coulter","",COUNTIFS($C$5:$C$2991,"Grayson Coulter",$Q$5:$Q$2991,Q1702,$AE$5:$AE$2991,"&lt;="&amp;AE1702,$R$5:$R$2991,"&lt;"&amp;R1702))</f>
        <v/>
      </c>
      <c r="AG1702" s="35">
        <f>IF(OR(C1702&lt;&gt;"Grayson Coulter",G1702&lt;'00_Control'!$B$7),"",--(AF1702&lt;5))</f>
        <v/>
      </c>
      <c r="AH1702" s="35">
        <f>IF(OR(C1702&lt;&gt;"Grayson Coulter",G1702&lt;'00_Control'!$B$7),"",--(AF1702&lt;10))</f>
        <v/>
      </c>
      <c r="AI1702" s="35">
        <f>IF(AND(C1702="Grayson Coulter",G1702&gt;='00_Control'!$B$7),"YES","NO")</f>
        <v/>
      </c>
      <c r="AJ1702" s="33" t="inlineStr">
        <is>
          <t>OK</t>
        </is>
      </c>
    </row>
    <row r="1703">
      <c r="A1703" s="33" t="inlineStr">
        <is>
          <t>SM001699</t>
        </is>
      </c>
      <c r="B1703" s="33" t="inlineStr">
        <is>
          <t>SW007</t>
        </is>
      </c>
      <c r="C1703" s="33" t="inlineStr">
        <is>
          <t>Laon Kim</t>
        </is>
      </c>
      <c r="D1703" s="33" t="inlineStr">
        <is>
          <t>SwimCloud</t>
        </is>
      </c>
      <c r="E1703" s="33" t="inlineStr">
        <is>
          <t>2829279</t>
        </is>
      </c>
      <c r="F1703" s="33" t="inlineStr">
        <is>
          <t>136780315</t>
        </is>
      </c>
      <c r="G1703" s="51" t="n">
        <v>45584</v>
      </c>
      <c r="H1703" s="33" t="inlineStr">
        <is>
          <t>UCSC Fall Start Up 2024</t>
        </is>
      </c>
      <c r="I1703" s="33" t="inlineStr">
        <is>
          <t>317731</t>
        </is>
      </c>
      <c r="J1703" s="33" t="inlineStr"/>
      <c r="K1703" s="33" t="inlineStr">
        <is>
          <t>TIM</t>
        </is>
      </c>
      <c r="L1703" s="35">
        <f>IF(K1703="FIN",3,IF(OR(K1703="SEM",K1703="SEMI"),2,IF(OR(K1703="PRE",K1703="HEAT"),1,IF(V1703="YES",4,2))))</f>
        <v/>
      </c>
      <c r="M1703" s="33" t="inlineStr">
        <is>
          <t>SCM</t>
        </is>
      </c>
      <c r="N1703" s="33" t="n">
        <v>100</v>
      </c>
      <c r="O1703" s="33" t="inlineStr">
        <is>
          <t>Fly</t>
        </is>
      </c>
      <c r="P1703" s="33" t="inlineStr">
        <is>
          <t>100 Fly</t>
        </is>
      </c>
      <c r="Q1703" s="33" t="inlineStr">
        <is>
          <t>SCM_100_FLY</t>
        </is>
      </c>
      <c r="R1703" s="36" t="n">
        <v>53.7</v>
      </c>
      <c r="S1703" s="35">
        <f>IF(R1703="","",IF(R1703&gt;=60,INT(R1703/60)&amp;":"&amp;TEXT(MOD(R1703,60),"00.00"),TEXT(R1703,"0.00")))</f>
        <v/>
      </c>
      <c r="T1703" s="52">
        <f>IFERROR((G1703-INDEX('01_Swimmers'!$E$5:$E$22,MATCH(B1703,'01_Swimmers'!$A$5:$A$22,0)))/'00_Control'!$B$10,"")</f>
        <v/>
      </c>
      <c r="U1703" s="35">
        <f>IF(T1703="","",INT(T1703))</f>
        <v/>
      </c>
      <c r="V1703" s="33" t="inlineStr">
        <is>
          <t>NO</t>
        </is>
      </c>
      <c r="W1703" s="33" t="inlineStr">
        <is>
          <t>YES</t>
        </is>
      </c>
      <c r="X1703" s="33" t="inlineStr">
        <is>
          <t>NO</t>
        </is>
      </c>
      <c r="Y1703" s="33" t="n"/>
      <c r="Z1703" s="33" t="n"/>
      <c r="AA1703" s="33" t="inlineStr"/>
      <c r="AB1703" s="33" t="inlineStr">
        <is>
          <t>https://www.swimcloud.com/results/317731/event/4100M/#time136780315</t>
        </is>
      </c>
      <c r="AC1703" s="33" t="inlineStr">
        <is>
          <t>SwimCloud API v6 2026-10-08</t>
        </is>
      </c>
      <c r="AD1703" s="33" t="inlineStr">
        <is>
          <t>Laon Kim|2024-10-19|SCM|100|Fly|53.7|UCSC Fall Start Up 2024|TIM|False</t>
        </is>
      </c>
      <c r="AE1703" s="53">
        <f>G1703+L1703/1000+ROW()/1000000000</f>
        <v/>
      </c>
      <c r="AF1703" s="35">
        <f>IF(C1703&lt;&gt;"Grayson Coulter","",COUNTIFS($C$5:$C$2991,"Grayson Coulter",$Q$5:$Q$2991,Q1703,$AE$5:$AE$2991,"&lt;="&amp;AE1703,$R$5:$R$2991,"&lt;"&amp;R1703))</f>
        <v/>
      </c>
      <c r="AG1703" s="35">
        <f>IF(OR(C1703&lt;&gt;"Grayson Coulter",G1703&lt;'00_Control'!$B$7),"",--(AF1703&lt;5))</f>
        <v/>
      </c>
      <c r="AH1703" s="35">
        <f>IF(OR(C1703&lt;&gt;"Grayson Coulter",G1703&lt;'00_Control'!$B$7),"",--(AF1703&lt;10))</f>
        <v/>
      </c>
      <c r="AI1703" s="35">
        <f>IF(AND(C1703="Grayson Coulter",G1703&gt;='00_Control'!$B$7),"YES","NO")</f>
        <v/>
      </c>
      <c r="AJ1703" s="33" t="inlineStr">
        <is>
          <t>OK</t>
        </is>
      </c>
    </row>
    <row r="1704">
      <c r="A1704" s="33" t="inlineStr">
        <is>
          <t>SM001700</t>
        </is>
      </c>
      <c r="B1704" s="33" t="inlineStr">
        <is>
          <t>SW007</t>
        </is>
      </c>
      <c r="C1704" s="33" t="inlineStr">
        <is>
          <t>Laon Kim</t>
        </is>
      </c>
      <c r="D1704" s="33" t="inlineStr">
        <is>
          <t>SwimCloud</t>
        </is>
      </c>
      <c r="E1704" s="33" t="inlineStr">
        <is>
          <t>2829279</t>
        </is>
      </c>
      <c r="F1704" s="33" t="inlineStr">
        <is>
          <t>142000849</t>
        </is>
      </c>
      <c r="G1704" s="51" t="n">
        <v>45639</v>
      </c>
      <c r="H1704" s="33" t="inlineStr">
        <is>
          <t>VPSC Winter Invitational</t>
        </is>
      </c>
      <c r="I1704" s="33" t="inlineStr">
        <is>
          <t>328846</t>
        </is>
      </c>
      <c r="J1704" s="33" t="inlineStr"/>
      <c r="K1704" s="33" t="inlineStr">
        <is>
          <t>PRE</t>
        </is>
      </c>
      <c r="L1704" s="35">
        <f>IF(K1704="FIN",3,IF(OR(K1704="SEM",K1704="SEMI"),2,IF(OR(K1704="PRE",K1704="HEAT"),1,IF(V1704="YES",4,2))))</f>
        <v/>
      </c>
      <c r="M1704" s="33" t="inlineStr">
        <is>
          <t>SCM</t>
        </is>
      </c>
      <c r="N1704" s="33" t="n">
        <v>100</v>
      </c>
      <c r="O1704" s="33" t="inlineStr">
        <is>
          <t>Fly</t>
        </is>
      </c>
      <c r="P1704" s="33" t="inlineStr">
        <is>
          <t>100 Fly</t>
        </is>
      </c>
      <c r="Q1704" s="33" t="inlineStr">
        <is>
          <t>SCM_100_FLY</t>
        </is>
      </c>
      <c r="R1704" s="36" t="n">
        <v>53.35</v>
      </c>
      <c r="S1704" s="35">
        <f>IF(R1704="","",IF(R1704&gt;=60,INT(R1704/60)&amp;":"&amp;TEXT(MOD(R1704,60),"00.00"),TEXT(R1704,"0.00")))</f>
        <v/>
      </c>
      <c r="T1704" s="52">
        <f>IFERROR((G1704-INDEX('01_Swimmers'!$E$5:$E$22,MATCH(B1704,'01_Swimmers'!$A$5:$A$22,0)))/'00_Control'!$B$10,"")</f>
        <v/>
      </c>
      <c r="U1704" s="35">
        <f>IF(T1704="","",INT(T1704))</f>
        <v/>
      </c>
      <c r="V1704" s="33" t="inlineStr">
        <is>
          <t>NO</t>
        </is>
      </c>
      <c r="W1704" s="33" t="inlineStr">
        <is>
          <t>YES</t>
        </is>
      </c>
      <c r="X1704" s="33" t="inlineStr">
        <is>
          <t>NO</t>
        </is>
      </c>
      <c r="Y1704" s="33" t="n">
        <v>6</v>
      </c>
      <c r="Z1704" s="33" t="n">
        <v>4</v>
      </c>
      <c r="AA1704" s="33" t="inlineStr">
        <is>
          <t>1</t>
        </is>
      </c>
      <c r="AB1704" s="33" t="inlineStr">
        <is>
          <t>https://www.swimcloud.com/results/328846/event/8/?id=142000849#time142000849</t>
        </is>
      </c>
      <c r="AC1704" s="33" t="inlineStr">
        <is>
          <t>SwimCloud API v6 2026-10-08</t>
        </is>
      </c>
      <c r="AD1704" s="33" t="inlineStr">
        <is>
          <t>Laon Kim|2024-12-13|SCM|100|Fly|53.35|VPSC Winter Invitational|PRE|False</t>
        </is>
      </c>
      <c r="AE1704" s="53">
        <f>G1704+L1704/1000+ROW()/1000000000</f>
        <v/>
      </c>
      <c r="AF1704" s="35">
        <f>IF(C1704&lt;&gt;"Grayson Coulter","",COUNTIFS($C$5:$C$2991,"Grayson Coulter",$Q$5:$Q$2991,Q1704,$AE$5:$AE$2991,"&lt;="&amp;AE1704,$R$5:$R$2991,"&lt;"&amp;R1704))</f>
        <v/>
      </c>
      <c r="AG1704" s="35">
        <f>IF(OR(C1704&lt;&gt;"Grayson Coulter",G1704&lt;'00_Control'!$B$7),"",--(AF1704&lt;5))</f>
        <v/>
      </c>
      <c r="AH1704" s="35">
        <f>IF(OR(C1704&lt;&gt;"Grayson Coulter",G1704&lt;'00_Control'!$B$7),"",--(AF1704&lt;10))</f>
        <v/>
      </c>
      <c r="AI1704" s="35">
        <f>IF(AND(C1704="Grayson Coulter",G1704&gt;='00_Control'!$B$7),"YES","NO")</f>
        <v/>
      </c>
      <c r="AJ1704" s="33" t="inlineStr">
        <is>
          <t>OK</t>
        </is>
      </c>
    </row>
    <row r="1705">
      <c r="A1705" s="33" t="inlineStr">
        <is>
          <t>SM001701</t>
        </is>
      </c>
      <c r="B1705" s="33" t="inlineStr">
        <is>
          <t>SW007</t>
        </is>
      </c>
      <c r="C1705" s="33" t="inlineStr">
        <is>
          <t>Laon Kim</t>
        </is>
      </c>
      <c r="D1705" s="33" t="inlineStr">
        <is>
          <t>SwimCloud</t>
        </is>
      </c>
      <c r="E1705" s="33" t="inlineStr">
        <is>
          <t>2829279</t>
        </is>
      </c>
      <c r="F1705" s="33" t="inlineStr">
        <is>
          <t>142000850</t>
        </is>
      </c>
      <c r="G1705" s="51" t="n">
        <v>45639</v>
      </c>
      <c r="H1705" s="33" t="inlineStr">
        <is>
          <t>VPSC Winter Invitational</t>
        </is>
      </c>
      <c r="I1705" s="33" t="inlineStr">
        <is>
          <t>328846</t>
        </is>
      </c>
      <c r="J1705" s="33" t="inlineStr"/>
      <c r="K1705" s="33" t="inlineStr">
        <is>
          <t>FIN</t>
        </is>
      </c>
      <c r="L1705" s="35">
        <f>IF(K1705="FIN",3,IF(OR(K1705="SEM",K1705="SEMI"),2,IF(OR(K1705="PRE",K1705="HEAT"),1,IF(V1705="YES",4,2))))</f>
        <v/>
      </c>
      <c r="M1705" s="33" t="inlineStr">
        <is>
          <t>SCM</t>
        </is>
      </c>
      <c r="N1705" s="33" t="n">
        <v>100</v>
      </c>
      <c r="O1705" s="33" t="inlineStr">
        <is>
          <t>Fly</t>
        </is>
      </c>
      <c r="P1705" s="33" t="inlineStr">
        <is>
          <t>100 Fly</t>
        </is>
      </c>
      <c r="Q1705" s="33" t="inlineStr">
        <is>
          <t>SCM_100_FLY</t>
        </is>
      </c>
      <c r="R1705" s="36" t="n">
        <v>53.02</v>
      </c>
      <c r="S1705" s="35">
        <f>IF(R1705="","",IF(R1705&gt;=60,INT(R1705/60)&amp;":"&amp;TEXT(MOD(R1705,60),"00.00"),TEXT(R1705,"0.00")))</f>
        <v/>
      </c>
      <c r="T1705" s="52">
        <f>IFERROR((G1705-INDEX('01_Swimmers'!$E$5:$E$22,MATCH(B1705,'01_Swimmers'!$A$5:$A$22,0)))/'00_Control'!$B$10,"")</f>
        <v/>
      </c>
      <c r="U1705" s="35">
        <f>IF(T1705="","",INT(T1705))</f>
        <v/>
      </c>
      <c r="V1705" s="33" t="inlineStr">
        <is>
          <t>NO</t>
        </is>
      </c>
      <c r="W1705" s="33" t="inlineStr">
        <is>
          <t>YES</t>
        </is>
      </c>
      <c r="X1705" s="33" t="inlineStr">
        <is>
          <t>NO</t>
        </is>
      </c>
      <c r="Y1705" s="33" t="n">
        <v>1</v>
      </c>
      <c r="Z1705" s="33" t="n">
        <v>4</v>
      </c>
      <c r="AA1705" s="33" t="inlineStr">
        <is>
          <t>1</t>
        </is>
      </c>
      <c r="AB1705" s="33" t="inlineStr">
        <is>
          <t>https://www.swimcloud.com/results/328846/event/8/?id=142000850#time142000850</t>
        </is>
      </c>
      <c r="AC1705" s="33" t="inlineStr">
        <is>
          <t>SwimCloud API v6 2026-10-08</t>
        </is>
      </c>
      <c r="AD1705" s="33" t="inlineStr">
        <is>
          <t>Laon Kim|2024-12-13|SCM|100|Fly|53.02|VPSC Winter Invitational|FIN|False</t>
        </is>
      </c>
      <c r="AE1705" s="53">
        <f>G1705+L1705/1000+ROW()/1000000000</f>
        <v/>
      </c>
      <c r="AF1705" s="35">
        <f>IF(C1705&lt;&gt;"Grayson Coulter","",COUNTIFS($C$5:$C$2991,"Grayson Coulter",$Q$5:$Q$2991,Q1705,$AE$5:$AE$2991,"&lt;="&amp;AE1705,$R$5:$R$2991,"&lt;"&amp;R1705))</f>
        <v/>
      </c>
      <c r="AG1705" s="35">
        <f>IF(OR(C1705&lt;&gt;"Grayson Coulter",G1705&lt;'00_Control'!$B$7),"",--(AF1705&lt;5))</f>
        <v/>
      </c>
      <c r="AH1705" s="35">
        <f>IF(OR(C1705&lt;&gt;"Grayson Coulter",G1705&lt;'00_Control'!$B$7),"",--(AF1705&lt;10))</f>
        <v/>
      </c>
      <c r="AI1705" s="35">
        <f>IF(AND(C1705="Grayson Coulter",G1705&gt;='00_Control'!$B$7),"YES","NO")</f>
        <v/>
      </c>
      <c r="AJ1705" s="33" t="inlineStr">
        <is>
          <t>OK</t>
        </is>
      </c>
    </row>
    <row r="1706">
      <c r="A1706" s="33" t="inlineStr">
        <is>
          <t>SM001702</t>
        </is>
      </c>
      <c r="B1706" s="33" t="inlineStr">
        <is>
          <t>SW007</t>
        </is>
      </c>
      <c r="C1706" s="33" t="inlineStr">
        <is>
          <t>Laon Kim</t>
        </is>
      </c>
      <c r="D1706" s="33" t="inlineStr">
        <is>
          <t>SwimCloud</t>
        </is>
      </c>
      <c r="E1706" s="33" t="inlineStr">
        <is>
          <t>2829279</t>
        </is>
      </c>
      <c r="F1706" s="33" t="inlineStr">
        <is>
          <t>142000762</t>
        </is>
      </c>
      <c r="G1706" s="51" t="n">
        <v>45639</v>
      </c>
      <c r="H1706" s="33" t="inlineStr">
        <is>
          <t>VPSC Winter Invitational</t>
        </is>
      </c>
      <c r="I1706" s="33" t="inlineStr">
        <is>
          <t>328846</t>
        </is>
      </c>
      <c r="J1706" s="33" t="inlineStr"/>
      <c r="K1706" s="33" t="inlineStr">
        <is>
          <t>PRE</t>
        </is>
      </c>
      <c r="L1706" s="35">
        <f>IF(K1706="FIN",3,IF(OR(K1706="SEM",K1706="SEMI"),2,IF(OR(K1706="PRE",K1706="HEAT"),1,IF(V1706="YES",4,2))))</f>
        <v/>
      </c>
      <c r="M1706" s="33" t="inlineStr">
        <is>
          <t>SCM</t>
        </is>
      </c>
      <c r="N1706" s="33" t="n">
        <v>100</v>
      </c>
      <c r="O1706" s="33" t="inlineStr">
        <is>
          <t>Free</t>
        </is>
      </c>
      <c r="P1706" s="33" t="inlineStr">
        <is>
          <t>100 Free</t>
        </is>
      </c>
      <c r="Q1706" s="33" t="inlineStr">
        <is>
          <t>SCM_100_FREE</t>
        </is>
      </c>
      <c r="R1706" s="36" t="n">
        <v>48.22</v>
      </c>
      <c r="S1706" s="35">
        <f>IF(R1706="","",IF(R1706&gt;=60,INT(R1706/60)&amp;":"&amp;TEXT(MOD(R1706,60),"00.00"),TEXT(R1706,"0.00")))</f>
        <v/>
      </c>
      <c r="T1706" s="52">
        <f>IFERROR((G1706-INDEX('01_Swimmers'!$E$5:$E$22,MATCH(B1706,'01_Swimmers'!$A$5:$A$22,0)))/'00_Control'!$B$10,"")</f>
        <v/>
      </c>
      <c r="U1706" s="35">
        <f>IF(T1706="","",INT(T1706))</f>
        <v/>
      </c>
      <c r="V1706" s="33" t="inlineStr">
        <is>
          <t>NO</t>
        </is>
      </c>
      <c r="W1706" s="33" t="inlineStr">
        <is>
          <t>YES</t>
        </is>
      </c>
      <c r="X1706" s="33" t="inlineStr">
        <is>
          <t>NO</t>
        </is>
      </c>
      <c r="Y1706" s="33" t="n">
        <v>7</v>
      </c>
      <c r="Z1706" s="33" t="n">
        <v>4</v>
      </c>
      <c r="AA1706" s="33" t="inlineStr">
        <is>
          <t>1</t>
        </is>
      </c>
      <c r="AB1706" s="33" t="inlineStr">
        <is>
          <t>https://www.swimcloud.com/results/328846/event/32/?id=142000762#time142000762</t>
        </is>
      </c>
      <c r="AC1706" s="33" t="inlineStr">
        <is>
          <t>SwimCloud API v6 2026-10-08</t>
        </is>
      </c>
      <c r="AD1706" s="33" t="inlineStr">
        <is>
          <t>Laon Kim|2024-12-13|SCM|100|Free|48.22|VPSC Winter Invitational|PRE|False</t>
        </is>
      </c>
      <c r="AE1706" s="53">
        <f>G1706+L1706/1000+ROW()/1000000000</f>
        <v/>
      </c>
      <c r="AF1706" s="35">
        <f>IF(C1706&lt;&gt;"Grayson Coulter","",COUNTIFS($C$5:$C$2991,"Grayson Coulter",$Q$5:$Q$2991,Q1706,$AE$5:$AE$2991,"&lt;="&amp;AE1706,$R$5:$R$2991,"&lt;"&amp;R1706))</f>
        <v/>
      </c>
      <c r="AG1706" s="35">
        <f>IF(OR(C1706&lt;&gt;"Grayson Coulter",G1706&lt;'00_Control'!$B$7),"",--(AF1706&lt;5))</f>
        <v/>
      </c>
      <c r="AH1706" s="35">
        <f>IF(OR(C1706&lt;&gt;"Grayson Coulter",G1706&lt;'00_Control'!$B$7),"",--(AF1706&lt;10))</f>
        <v/>
      </c>
      <c r="AI1706" s="35">
        <f>IF(AND(C1706="Grayson Coulter",G1706&gt;='00_Control'!$B$7),"YES","NO")</f>
        <v/>
      </c>
      <c r="AJ1706" s="33" t="inlineStr">
        <is>
          <t>OK</t>
        </is>
      </c>
    </row>
    <row r="1707">
      <c r="A1707" s="33" t="inlineStr">
        <is>
          <t>SM001703</t>
        </is>
      </c>
      <c r="B1707" s="33" t="inlineStr">
        <is>
          <t>SW007</t>
        </is>
      </c>
      <c r="C1707" s="33" t="inlineStr">
        <is>
          <t>Laon Kim</t>
        </is>
      </c>
      <c r="D1707" s="33" t="inlineStr">
        <is>
          <t>SwimCloud</t>
        </is>
      </c>
      <c r="E1707" s="33" t="inlineStr">
        <is>
          <t>2829279</t>
        </is>
      </c>
      <c r="F1707" s="33" t="inlineStr">
        <is>
          <t>142000763</t>
        </is>
      </c>
      <c r="G1707" s="51" t="n">
        <v>45639</v>
      </c>
      <c r="H1707" s="33" t="inlineStr">
        <is>
          <t>VPSC Winter Invitational</t>
        </is>
      </c>
      <c r="I1707" s="33" t="inlineStr">
        <is>
          <t>328846</t>
        </is>
      </c>
      <c r="J1707" s="33" t="inlineStr"/>
      <c r="K1707" s="33" t="inlineStr">
        <is>
          <t>FIN</t>
        </is>
      </c>
      <c r="L1707" s="35">
        <f>IF(K1707="FIN",3,IF(OR(K1707="SEM",K1707="SEMI"),2,IF(OR(K1707="PRE",K1707="HEAT"),1,IF(V1707="YES",4,2))))</f>
        <v/>
      </c>
      <c r="M1707" s="33" t="inlineStr">
        <is>
          <t>SCM</t>
        </is>
      </c>
      <c r="N1707" s="33" t="n">
        <v>100</v>
      </c>
      <c r="O1707" s="33" t="inlineStr">
        <is>
          <t>Free</t>
        </is>
      </c>
      <c r="P1707" s="33" t="inlineStr">
        <is>
          <t>100 Free</t>
        </is>
      </c>
      <c r="Q1707" s="33" t="inlineStr">
        <is>
          <t>SCM_100_FREE</t>
        </is>
      </c>
      <c r="R1707" s="36" t="n">
        <v>47.9</v>
      </c>
      <c r="S1707" s="35">
        <f>IF(R1707="","",IF(R1707&gt;=60,INT(R1707/60)&amp;":"&amp;TEXT(MOD(R1707,60),"00.00"),TEXT(R1707,"0.00")))</f>
        <v/>
      </c>
      <c r="T1707" s="52">
        <f>IFERROR((G1707-INDEX('01_Swimmers'!$E$5:$E$22,MATCH(B1707,'01_Swimmers'!$A$5:$A$22,0)))/'00_Control'!$B$10,"")</f>
        <v/>
      </c>
      <c r="U1707" s="35">
        <f>IF(T1707="","",INT(T1707))</f>
        <v/>
      </c>
      <c r="V1707" s="33" t="inlineStr">
        <is>
          <t>NO</t>
        </is>
      </c>
      <c r="W1707" s="33" t="inlineStr">
        <is>
          <t>YES</t>
        </is>
      </c>
      <c r="X1707" s="33" t="inlineStr">
        <is>
          <t>NO</t>
        </is>
      </c>
      <c r="Y1707" s="33" t="n">
        <v>1</v>
      </c>
      <c r="Z1707" s="33" t="n">
        <v>4</v>
      </c>
      <c r="AA1707" s="33" t="inlineStr">
        <is>
          <t>1</t>
        </is>
      </c>
      <c r="AB1707" s="33" t="inlineStr">
        <is>
          <t>https://www.swimcloud.com/results/328846/event/32/?id=142000763#time142000763</t>
        </is>
      </c>
      <c r="AC1707" s="33" t="inlineStr">
        <is>
          <t>SwimCloud API v6 2026-10-08</t>
        </is>
      </c>
      <c r="AD1707" s="33" t="inlineStr">
        <is>
          <t>Laon Kim|2024-12-13|SCM|100|Free|47.9|VPSC Winter Invitational|FIN|False</t>
        </is>
      </c>
      <c r="AE1707" s="53">
        <f>G1707+L1707/1000+ROW()/1000000000</f>
        <v/>
      </c>
      <c r="AF1707" s="35">
        <f>IF(C1707&lt;&gt;"Grayson Coulter","",COUNTIFS($C$5:$C$2991,"Grayson Coulter",$Q$5:$Q$2991,Q1707,$AE$5:$AE$2991,"&lt;="&amp;AE1707,$R$5:$R$2991,"&lt;"&amp;R1707))</f>
        <v/>
      </c>
      <c r="AG1707" s="35">
        <f>IF(OR(C1707&lt;&gt;"Grayson Coulter",G1707&lt;'00_Control'!$B$7),"",--(AF1707&lt;5))</f>
        <v/>
      </c>
      <c r="AH1707" s="35">
        <f>IF(OR(C1707&lt;&gt;"Grayson Coulter",G1707&lt;'00_Control'!$B$7),"",--(AF1707&lt;10))</f>
        <v/>
      </c>
      <c r="AI1707" s="35">
        <f>IF(AND(C1707="Grayson Coulter",G1707&gt;='00_Control'!$B$7),"YES","NO")</f>
        <v/>
      </c>
      <c r="AJ1707" s="33" t="inlineStr">
        <is>
          <t>OK</t>
        </is>
      </c>
    </row>
    <row r="1708">
      <c r="A1708" s="33" t="inlineStr">
        <is>
          <t>SM001704</t>
        </is>
      </c>
      <c r="B1708" s="33" t="inlineStr">
        <is>
          <t>SW007</t>
        </is>
      </c>
      <c r="C1708" s="33" t="inlineStr">
        <is>
          <t>Laon Kim</t>
        </is>
      </c>
      <c r="D1708" s="33" t="inlineStr">
        <is>
          <t>SwimCloud</t>
        </is>
      </c>
      <c r="E1708" s="33" t="inlineStr">
        <is>
          <t>2829279</t>
        </is>
      </c>
      <c r="F1708" s="33" t="inlineStr">
        <is>
          <t>142001986</t>
        </is>
      </c>
      <c r="G1708" s="51" t="n">
        <v>45639</v>
      </c>
      <c r="H1708" s="33" t="inlineStr">
        <is>
          <t>VPSC Winter Invitational</t>
        </is>
      </c>
      <c r="I1708" s="33" t="inlineStr">
        <is>
          <t>328846</t>
        </is>
      </c>
      <c r="J1708" s="33" t="inlineStr"/>
      <c r="K1708" s="33" t="inlineStr">
        <is>
          <t>PRE</t>
        </is>
      </c>
      <c r="L1708" s="35">
        <f>IF(K1708="FIN",3,IF(OR(K1708="SEM",K1708="SEMI"),2,IF(OR(K1708="PRE",K1708="HEAT"),1,IF(V1708="YES",4,2))))</f>
        <v/>
      </c>
      <c r="M1708" s="33" t="inlineStr">
        <is>
          <t>SCM</t>
        </is>
      </c>
      <c r="N1708" s="33" t="n">
        <v>200</v>
      </c>
      <c r="O1708" s="33" t="inlineStr">
        <is>
          <t>Free</t>
        </is>
      </c>
      <c r="P1708" s="33" t="inlineStr">
        <is>
          <t>200 Free</t>
        </is>
      </c>
      <c r="Q1708" s="33" t="inlineStr">
        <is>
          <t>SCM_200_FREE</t>
        </is>
      </c>
      <c r="R1708" s="36" t="n">
        <v>105.57</v>
      </c>
      <c r="S1708" s="35">
        <f>IF(R1708="","",IF(R1708&gt;=60,INT(R1708/60)&amp;":"&amp;TEXT(MOD(R1708,60),"00.00"),TEXT(R1708,"0.00")))</f>
        <v/>
      </c>
      <c r="T1708" s="52">
        <f>IFERROR((G1708-INDEX('01_Swimmers'!$E$5:$E$22,MATCH(B1708,'01_Swimmers'!$A$5:$A$22,0)))/'00_Control'!$B$10,"")</f>
        <v/>
      </c>
      <c r="U1708" s="35">
        <f>IF(T1708="","",INT(T1708))</f>
        <v/>
      </c>
      <c r="V1708" s="33" t="inlineStr">
        <is>
          <t>NO</t>
        </is>
      </c>
      <c r="W1708" s="33" t="inlineStr">
        <is>
          <t>YES</t>
        </is>
      </c>
      <c r="X1708" s="33" t="inlineStr">
        <is>
          <t>NO</t>
        </is>
      </c>
      <c r="Y1708" s="33" t="n">
        <v>6</v>
      </c>
      <c r="Z1708" s="33" t="n">
        <v>4</v>
      </c>
      <c r="AA1708" s="33" t="inlineStr">
        <is>
          <t>1</t>
        </is>
      </c>
      <c r="AB1708" s="33" t="inlineStr">
        <is>
          <t>https://www.swimcloud.com/results/328846/event/2/?id=142001986#time142001986</t>
        </is>
      </c>
      <c r="AC1708" s="33" t="inlineStr">
        <is>
          <t>SwimCloud API v6 2026-10-08</t>
        </is>
      </c>
      <c r="AD1708" s="33" t="inlineStr">
        <is>
          <t>Laon Kim|2024-12-13|SCM|200|Free|105.57|VPSC Winter Invitational|PRE|False</t>
        </is>
      </c>
      <c r="AE1708" s="53">
        <f>G1708+L1708/1000+ROW()/1000000000</f>
        <v/>
      </c>
      <c r="AF1708" s="35">
        <f>IF(C1708&lt;&gt;"Grayson Coulter","",COUNTIFS($C$5:$C$2991,"Grayson Coulter",$Q$5:$Q$2991,Q1708,$AE$5:$AE$2991,"&lt;="&amp;AE1708,$R$5:$R$2991,"&lt;"&amp;R1708))</f>
        <v/>
      </c>
      <c r="AG1708" s="35">
        <f>IF(OR(C1708&lt;&gt;"Grayson Coulter",G1708&lt;'00_Control'!$B$7),"",--(AF1708&lt;5))</f>
        <v/>
      </c>
      <c r="AH1708" s="35">
        <f>IF(OR(C1708&lt;&gt;"Grayson Coulter",G1708&lt;'00_Control'!$B$7),"",--(AF1708&lt;10))</f>
        <v/>
      </c>
      <c r="AI1708" s="35">
        <f>IF(AND(C1708="Grayson Coulter",G1708&gt;='00_Control'!$B$7),"YES","NO")</f>
        <v/>
      </c>
      <c r="AJ1708" s="33" t="inlineStr">
        <is>
          <t>OK</t>
        </is>
      </c>
    </row>
    <row r="1709">
      <c r="A1709" s="33" t="inlineStr">
        <is>
          <t>SM001705</t>
        </is>
      </c>
      <c r="B1709" s="33" t="inlineStr">
        <is>
          <t>SW007</t>
        </is>
      </c>
      <c r="C1709" s="33" t="inlineStr">
        <is>
          <t>Laon Kim</t>
        </is>
      </c>
      <c r="D1709" s="33" t="inlineStr">
        <is>
          <t>SwimCloud</t>
        </is>
      </c>
      <c r="E1709" s="33" t="inlineStr">
        <is>
          <t>2829279</t>
        </is>
      </c>
      <c r="F1709" s="33" t="inlineStr">
        <is>
          <t>142001987</t>
        </is>
      </c>
      <c r="G1709" s="51" t="n">
        <v>45639</v>
      </c>
      <c r="H1709" s="33" t="inlineStr">
        <is>
          <t>VPSC Winter Invitational</t>
        </is>
      </c>
      <c r="I1709" s="33" t="inlineStr">
        <is>
          <t>328846</t>
        </is>
      </c>
      <c r="J1709" s="33" t="inlineStr"/>
      <c r="K1709" s="33" t="inlineStr">
        <is>
          <t>FIN</t>
        </is>
      </c>
      <c r="L1709" s="35">
        <f>IF(K1709="FIN",3,IF(OR(K1709="SEM",K1709="SEMI"),2,IF(OR(K1709="PRE",K1709="HEAT"),1,IF(V1709="YES",4,2))))</f>
        <v/>
      </c>
      <c r="M1709" s="33" t="inlineStr">
        <is>
          <t>SCM</t>
        </is>
      </c>
      <c r="N1709" s="33" t="n">
        <v>200</v>
      </c>
      <c r="O1709" s="33" t="inlineStr">
        <is>
          <t>Free</t>
        </is>
      </c>
      <c r="P1709" s="33" t="inlineStr">
        <is>
          <t>200 Free</t>
        </is>
      </c>
      <c r="Q1709" s="33" t="inlineStr">
        <is>
          <t>SCM_200_FREE</t>
        </is>
      </c>
      <c r="R1709" s="36" t="n">
        <v>104.4</v>
      </c>
      <c r="S1709" s="35">
        <f>IF(R1709="","",IF(R1709&gt;=60,INT(R1709/60)&amp;":"&amp;TEXT(MOD(R1709,60),"00.00"),TEXT(R1709,"0.00")))</f>
        <v/>
      </c>
      <c r="T1709" s="52">
        <f>IFERROR((G1709-INDEX('01_Swimmers'!$E$5:$E$22,MATCH(B1709,'01_Swimmers'!$A$5:$A$22,0)))/'00_Control'!$B$10,"")</f>
        <v/>
      </c>
      <c r="U1709" s="35">
        <f>IF(T1709="","",INT(T1709))</f>
        <v/>
      </c>
      <c r="V1709" s="33" t="inlineStr">
        <is>
          <t>NO</t>
        </is>
      </c>
      <c r="W1709" s="33" t="inlineStr">
        <is>
          <t>YES</t>
        </is>
      </c>
      <c r="X1709" s="33" t="inlineStr">
        <is>
          <t>NO</t>
        </is>
      </c>
      <c r="Y1709" s="33" t="n">
        <v>1</v>
      </c>
      <c r="Z1709" s="33" t="n">
        <v>4</v>
      </c>
      <c r="AA1709" s="33" t="inlineStr">
        <is>
          <t>1</t>
        </is>
      </c>
      <c r="AB1709" s="33" t="inlineStr">
        <is>
          <t>https://www.swimcloud.com/results/328846/event/2/?id=142001987#time142001987</t>
        </is>
      </c>
      <c r="AC1709" s="33" t="inlineStr">
        <is>
          <t>SwimCloud API v6 2026-10-08</t>
        </is>
      </c>
      <c r="AD1709" s="33" t="inlineStr">
        <is>
          <t>Laon Kim|2024-12-13|SCM|200|Free|104.4|VPSC Winter Invitational|FIN|False</t>
        </is>
      </c>
      <c r="AE1709" s="53">
        <f>G1709+L1709/1000+ROW()/1000000000</f>
        <v/>
      </c>
      <c r="AF1709" s="35">
        <f>IF(C1709&lt;&gt;"Grayson Coulter","",COUNTIFS($C$5:$C$2991,"Grayson Coulter",$Q$5:$Q$2991,Q1709,$AE$5:$AE$2991,"&lt;="&amp;AE1709,$R$5:$R$2991,"&lt;"&amp;R1709))</f>
        <v/>
      </c>
      <c r="AG1709" s="35">
        <f>IF(OR(C1709&lt;&gt;"Grayson Coulter",G1709&lt;'00_Control'!$B$7),"",--(AF1709&lt;5))</f>
        <v/>
      </c>
      <c r="AH1709" s="35">
        <f>IF(OR(C1709&lt;&gt;"Grayson Coulter",G1709&lt;'00_Control'!$B$7),"",--(AF1709&lt;10))</f>
        <v/>
      </c>
      <c r="AI1709" s="35">
        <f>IF(AND(C1709="Grayson Coulter",G1709&gt;='00_Control'!$B$7),"YES","NO")</f>
        <v/>
      </c>
      <c r="AJ1709" s="33" t="inlineStr">
        <is>
          <t>OK</t>
        </is>
      </c>
    </row>
    <row r="1710">
      <c r="A1710" s="33" t="inlineStr">
        <is>
          <t>SM001706</t>
        </is>
      </c>
      <c r="B1710" s="33" t="inlineStr">
        <is>
          <t>SW007</t>
        </is>
      </c>
      <c r="C1710" s="33" t="inlineStr">
        <is>
          <t>Laon Kim</t>
        </is>
      </c>
      <c r="D1710" s="33" t="inlineStr">
        <is>
          <t>SwimCloud</t>
        </is>
      </c>
      <c r="E1710" s="33" t="inlineStr">
        <is>
          <t>2829279</t>
        </is>
      </c>
      <c r="F1710" s="33" t="inlineStr">
        <is>
          <t>142002769</t>
        </is>
      </c>
      <c r="G1710" s="51" t="n">
        <v>45639</v>
      </c>
      <c r="H1710" s="33" t="inlineStr">
        <is>
          <t>VPSC Winter Invitational</t>
        </is>
      </c>
      <c r="I1710" s="33" t="inlineStr">
        <is>
          <t>328846</t>
        </is>
      </c>
      <c r="J1710" s="33" t="inlineStr"/>
      <c r="K1710" s="33" t="inlineStr">
        <is>
          <t>TIM</t>
        </is>
      </c>
      <c r="L1710" s="35">
        <f>IF(K1710="FIN",3,IF(OR(K1710="SEM",K1710="SEMI"),2,IF(OR(K1710="PRE",K1710="HEAT"),1,IF(V1710="YES",4,2))))</f>
        <v/>
      </c>
      <c r="M1710" s="33" t="inlineStr">
        <is>
          <t>SCM</t>
        </is>
      </c>
      <c r="N1710" s="33" t="n">
        <v>200</v>
      </c>
      <c r="O1710" s="33" t="inlineStr">
        <is>
          <t>Free</t>
        </is>
      </c>
      <c r="P1710" s="33" t="inlineStr">
        <is>
          <t>200 Free</t>
        </is>
      </c>
      <c r="Q1710" s="33" t="inlineStr">
        <is>
          <t>SCM_200_FREE</t>
        </is>
      </c>
      <c r="R1710" s="36" t="n">
        <v>105.92</v>
      </c>
      <c r="S1710" s="35">
        <f>IF(R1710="","",IF(R1710&gt;=60,INT(R1710/60)&amp;":"&amp;TEXT(MOD(R1710,60),"00.00"),TEXT(R1710,"0.00")))</f>
        <v/>
      </c>
      <c r="T1710" s="52">
        <f>IFERROR((G1710-INDEX('01_Swimmers'!$E$5:$E$22,MATCH(B1710,'01_Swimmers'!$A$5:$A$22,0)))/'00_Control'!$B$10,"")</f>
        <v/>
      </c>
      <c r="U1710" s="35">
        <f>IF(T1710="","",INT(T1710))</f>
        <v/>
      </c>
      <c r="V1710" s="33" t="inlineStr">
        <is>
          <t>YES</t>
        </is>
      </c>
      <c r="W1710" s="33" t="inlineStr">
        <is>
          <t>YES</t>
        </is>
      </c>
      <c r="X1710" s="33" t="inlineStr">
        <is>
          <t>NO</t>
        </is>
      </c>
      <c r="Y1710" s="33" t="n">
        <v>2</v>
      </c>
      <c r="Z1710" s="33" t="n">
        <v>4</v>
      </c>
      <c r="AA1710" s="33" t="inlineStr"/>
      <c r="AB1710" s="33" t="inlineStr">
        <is>
          <t>https://www.swimcloud.com/results/328846/event/14/?id=142002632#time142002632</t>
        </is>
      </c>
      <c r="AC1710" s="33" t="inlineStr">
        <is>
          <t>SwimCloud API v6 2026-10-08</t>
        </is>
      </c>
      <c r="AD1710" s="33" t="inlineStr">
        <is>
          <t>Laon Kim|2024-12-13|SCM|200|Free|105.92|VPSC Winter Invitational|TIM|True</t>
        </is>
      </c>
      <c r="AE1710" s="53">
        <f>G1710+L1710/1000+ROW()/1000000000</f>
        <v/>
      </c>
      <c r="AF1710" s="35">
        <f>IF(C1710&lt;&gt;"Grayson Coulter","",COUNTIFS($C$5:$C$2991,"Grayson Coulter",$Q$5:$Q$2991,Q1710,$AE$5:$AE$2991,"&lt;="&amp;AE1710,$R$5:$R$2991,"&lt;"&amp;R1710))</f>
        <v/>
      </c>
      <c r="AG1710" s="35">
        <f>IF(OR(C1710&lt;&gt;"Grayson Coulter",G1710&lt;'00_Control'!$B$7),"",--(AF1710&lt;5))</f>
        <v/>
      </c>
      <c r="AH1710" s="35">
        <f>IF(OR(C1710&lt;&gt;"Grayson Coulter",G1710&lt;'00_Control'!$B$7),"",--(AF1710&lt;10))</f>
        <v/>
      </c>
      <c r="AI1710" s="35">
        <f>IF(AND(C1710="Grayson Coulter",G1710&gt;='00_Control'!$B$7),"YES","NO")</f>
        <v/>
      </c>
      <c r="AJ1710" s="33" t="inlineStr">
        <is>
          <t>OK</t>
        </is>
      </c>
    </row>
    <row r="1711">
      <c r="A1711" s="33" t="inlineStr">
        <is>
          <t>SM001707</t>
        </is>
      </c>
      <c r="B1711" s="33" t="inlineStr">
        <is>
          <t>SW007</t>
        </is>
      </c>
      <c r="C1711" s="33" t="inlineStr">
        <is>
          <t>Laon Kim</t>
        </is>
      </c>
      <c r="D1711" s="33" t="inlineStr">
        <is>
          <t>SwimCloud</t>
        </is>
      </c>
      <c r="E1711" s="33" t="inlineStr">
        <is>
          <t>2829279</t>
        </is>
      </c>
      <c r="F1711" s="33" t="inlineStr">
        <is>
          <t>142001903</t>
        </is>
      </c>
      <c r="G1711" s="51" t="n">
        <v>45639</v>
      </c>
      <c r="H1711" s="33" t="inlineStr">
        <is>
          <t>VPSC Winter Invitational</t>
        </is>
      </c>
      <c r="I1711" s="33" t="inlineStr">
        <is>
          <t>328846</t>
        </is>
      </c>
      <c r="J1711" s="33" t="inlineStr"/>
      <c r="K1711" s="33" t="inlineStr">
        <is>
          <t>PRE</t>
        </is>
      </c>
      <c r="L1711" s="35">
        <f>IF(K1711="FIN",3,IF(OR(K1711="SEM",K1711="SEMI"),2,IF(OR(K1711="PRE",K1711="HEAT"),1,IF(V1711="YES",4,2))))</f>
        <v/>
      </c>
      <c r="M1711" s="33" t="inlineStr">
        <is>
          <t>SCM</t>
        </is>
      </c>
      <c r="N1711" s="33" t="n">
        <v>400</v>
      </c>
      <c r="O1711" s="33" t="inlineStr">
        <is>
          <t>Free</t>
        </is>
      </c>
      <c r="P1711" s="33" t="inlineStr">
        <is>
          <t>400 Free</t>
        </is>
      </c>
      <c r="Q1711" s="33" t="inlineStr">
        <is>
          <t>SCM_400_FREE</t>
        </is>
      </c>
      <c r="R1711" s="36" t="n">
        <v>231.61</v>
      </c>
      <c r="S1711" s="35">
        <f>IF(R1711="","",IF(R1711&gt;=60,INT(R1711/60)&amp;":"&amp;TEXT(MOD(R1711,60),"00.00"),TEXT(R1711,"0.00")))</f>
        <v/>
      </c>
      <c r="T1711" s="52">
        <f>IFERROR((G1711-INDEX('01_Swimmers'!$E$5:$E$22,MATCH(B1711,'01_Swimmers'!$A$5:$A$22,0)))/'00_Control'!$B$10,"")</f>
        <v/>
      </c>
      <c r="U1711" s="35">
        <f>IF(T1711="","",INT(T1711))</f>
        <v/>
      </c>
      <c r="V1711" s="33" t="inlineStr">
        <is>
          <t>NO</t>
        </is>
      </c>
      <c r="W1711" s="33" t="inlineStr">
        <is>
          <t>YES</t>
        </is>
      </c>
      <c r="X1711" s="33" t="inlineStr">
        <is>
          <t>NO</t>
        </is>
      </c>
      <c r="Y1711" s="33" t="n">
        <v>3</v>
      </c>
      <c r="Z1711" s="33" t="n">
        <v>4</v>
      </c>
      <c r="AA1711" s="33" t="inlineStr">
        <is>
          <t>1</t>
        </is>
      </c>
      <c r="AB1711" s="33" t="inlineStr">
        <is>
          <t>https://www.swimcloud.com/results/328846/event/16/?id=142001903#time142001903</t>
        </is>
      </c>
      <c r="AC1711" s="33" t="inlineStr">
        <is>
          <t>SwimCloud API v6 2026-10-08</t>
        </is>
      </c>
      <c r="AD1711" s="33" t="inlineStr">
        <is>
          <t>Laon Kim|2024-12-13|SCM|400|Free|231.61|VPSC Winter Invitational|PRE|False</t>
        </is>
      </c>
      <c r="AE1711" s="53">
        <f>G1711+L1711/1000+ROW()/1000000000</f>
        <v/>
      </c>
      <c r="AF1711" s="35">
        <f>IF(C1711&lt;&gt;"Grayson Coulter","",COUNTIFS($C$5:$C$2991,"Grayson Coulter",$Q$5:$Q$2991,Q1711,$AE$5:$AE$2991,"&lt;="&amp;AE1711,$R$5:$R$2991,"&lt;"&amp;R1711))</f>
        <v/>
      </c>
      <c r="AG1711" s="35">
        <f>IF(OR(C1711&lt;&gt;"Grayson Coulter",G1711&lt;'00_Control'!$B$7),"",--(AF1711&lt;5))</f>
        <v/>
      </c>
      <c r="AH1711" s="35">
        <f>IF(OR(C1711&lt;&gt;"Grayson Coulter",G1711&lt;'00_Control'!$B$7),"",--(AF1711&lt;10))</f>
        <v/>
      </c>
      <c r="AI1711" s="35">
        <f>IF(AND(C1711="Grayson Coulter",G1711&gt;='00_Control'!$B$7),"YES","NO")</f>
        <v/>
      </c>
      <c r="AJ1711" s="33" t="inlineStr">
        <is>
          <t>OK</t>
        </is>
      </c>
    </row>
    <row r="1712">
      <c r="A1712" s="33" t="inlineStr">
        <is>
          <t>SM001708</t>
        </is>
      </c>
      <c r="B1712" s="33" t="inlineStr">
        <is>
          <t>SW007</t>
        </is>
      </c>
      <c r="C1712" s="33" t="inlineStr">
        <is>
          <t>Laon Kim</t>
        </is>
      </c>
      <c r="D1712" s="33" t="inlineStr">
        <is>
          <t>SwimCloud</t>
        </is>
      </c>
      <c r="E1712" s="33" t="inlineStr">
        <is>
          <t>2829279</t>
        </is>
      </c>
      <c r="F1712" s="33" t="inlineStr">
        <is>
          <t>142001904</t>
        </is>
      </c>
      <c r="G1712" s="51" t="n">
        <v>45639</v>
      </c>
      <c r="H1712" s="33" t="inlineStr">
        <is>
          <t>VPSC Winter Invitational</t>
        </is>
      </c>
      <c r="I1712" s="33" t="inlineStr">
        <is>
          <t>328846</t>
        </is>
      </c>
      <c r="J1712" s="33" t="inlineStr"/>
      <c r="K1712" s="33" t="inlineStr">
        <is>
          <t>FIN</t>
        </is>
      </c>
      <c r="L1712" s="35">
        <f>IF(K1712="FIN",3,IF(OR(K1712="SEM",K1712="SEMI"),2,IF(OR(K1712="PRE",K1712="HEAT"),1,IF(V1712="YES",4,2))))</f>
        <v/>
      </c>
      <c r="M1712" s="33" t="inlineStr">
        <is>
          <t>SCM</t>
        </is>
      </c>
      <c r="N1712" s="33" t="n">
        <v>400</v>
      </c>
      <c r="O1712" s="33" t="inlineStr">
        <is>
          <t>Free</t>
        </is>
      </c>
      <c r="P1712" s="33" t="inlineStr">
        <is>
          <t>400 Free</t>
        </is>
      </c>
      <c r="Q1712" s="33" t="inlineStr">
        <is>
          <t>SCM_400_FREE</t>
        </is>
      </c>
      <c r="R1712" s="36" t="n">
        <v>228.88</v>
      </c>
      <c r="S1712" s="35">
        <f>IF(R1712="","",IF(R1712&gt;=60,INT(R1712/60)&amp;":"&amp;TEXT(MOD(R1712,60),"00.00"),TEXT(R1712,"0.00")))</f>
        <v/>
      </c>
      <c r="T1712" s="52">
        <f>IFERROR((G1712-INDEX('01_Swimmers'!$E$5:$E$22,MATCH(B1712,'01_Swimmers'!$A$5:$A$22,0)))/'00_Control'!$B$10,"")</f>
        <v/>
      </c>
      <c r="U1712" s="35">
        <f>IF(T1712="","",INT(T1712))</f>
        <v/>
      </c>
      <c r="V1712" s="33" t="inlineStr">
        <is>
          <t>NO</t>
        </is>
      </c>
      <c r="W1712" s="33" t="inlineStr">
        <is>
          <t>YES</t>
        </is>
      </c>
      <c r="X1712" s="33" t="inlineStr">
        <is>
          <t>NO</t>
        </is>
      </c>
      <c r="Y1712" s="33" t="n">
        <v>1</v>
      </c>
      <c r="Z1712" s="33" t="n">
        <v>4</v>
      </c>
      <c r="AA1712" s="33" t="inlineStr">
        <is>
          <t>1</t>
        </is>
      </c>
      <c r="AB1712" s="33" t="inlineStr">
        <is>
          <t>https://www.swimcloud.com/results/328846/event/16/?id=142001904#time142001904</t>
        </is>
      </c>
      <c r="AC1712" s="33" t="inlineStr">
        <is>
          <t>SwimCloud API v6 2026-10-08</t>
        </is>
      </c>
      <c r="AD1712" s="33" t="inlineStr">
        <is>
          <t>Laon Kim|2024-12-13|SCM|400|Free|228.88|VPSC Winter Invitational|FIN|False</t>
        </is>
      </c>
      <c r="AE1712" s="53">
        <f>G1712+L1712/1000+ROW()/1000000000</f>
        <v/>
      </c>
      <c r="AF1712" s="35">
        <f>IF(C1712&lt;&gt;"Grayson Coulter","",COUNTIFS($C$5:$C$2991,"Grayson Coulter",$Q$5:$Q$2991,Q1712,$AE$5:$AE$2991,"&lt;="&amp;AE1712,$R$5:$R$2991,"&lt;"&amp;R1712))</f>
        <v/>
      </c>
      <c r="AG1712" s="35">
        <f>IF(OR(C1712&lt;&gt;"Grayson Coulter",G1712&lt;'00_Control'!$B$7),"",--(AF1712&lt;5))</f>
        <v/>
      </c>
      <c r="AH1712" s="35">
        <f>IF(OR(C1712&lt;&gt;"Grayson Coulter",G1712&lt;'00_Control'!$B$7),"",--(AF1712&lt;10))</f>
        <v/>
      </c>
      <c r="AI1712" s="35">
        <f>IF(AND(C1712="Grayson Coulter",G1712&gt;='00_Control'!$B$7),"YES","NO")</f>
        <v/>
      </c>
      <c r="AJ1712" s="33" t="inlineStr">
        <is>
          <t>OK</t>
        </is>
      </c>
    </row>
    <row r="1713">
      <c r="A1713" s="33" t="inlineStr">
        <is>
          <t>SM001709</t>
        </is>
      </c>
      <c r="B1713" s="33" t="inlineStr">
        <is>
          <t>SW007</t>
        </is>
      </c>
      <c r="C1713" s="33" t="inlineStr">
        <is>
          <t>Laon Kim</t>
        </is>
      </c>
      <c r="D1713" s="33" t="inlineStr">
        <is>
          <t>SwimCloud</t>
        </is>
      </c>
      <c r="E1713" s="33" t="inlineStr">
        <is>
          <t>2829279</t>
        </is>
      </c>
      <c r="F1713" s="33" t="inlineStr">
        <is>
          <t>147561241</t>
        </is>
      </c>
      <c r="G1713" s="51" t="n">
        <v>45709</v>
      </c>
      <c r="H1713" s="33" t="inlineStr">
        <is>
          <t>WTF III</t>
        </is>
      </c>
      <c r="I1713" s="33" t="inlineStr">
        <is>
          <t>338558</t>
        </is>
      </c>
      <c r="J1713" s="33" t="inlineStr"/>
      <c r="K1713" s="33" t="inlineStr">
        <is>
          <t>PRE</t>
        </is>
      </c>
      <c r="L1713" s="35">
        <f>IF(K1713="FIN",3,IF(OR(K1713="SEM",K1713="SEMI"),2,IF(OR(K1713="PRE",K1713="HEAT"),1,IF(V1713="YES",4,2))))</f>
        <v/>
      </c>
      <c r="M1713" s="33" t="inlineStr">
        <is>
          <t>LCM</t>
        </is>
      </c>
      <c r="N1713" s="33" t="n">
        <v>200</v>
      </c>
      <c r="O1713" s="33" t="inlineStr">
        <is>
          <t>Free</t>
        </is>
      </c>
      <c r="P1713" s="33" t="inlineStr">
        <is>
          <t>200 Free</t>
        </is>
      </c>
      <c r="Q1713" s="33" t="inlineStr">
        <is>
          <t>LCM_200_FREE</t>
        </is>
      </c>
      <c r="R1713" s="36" t="n">
        <v>111.82</v>
      </c>
      <c r="S1713" s="35">
        <f>IF(R1713="","",IF(R1713&gt;=60,INT(R1713/60)&amp;":"&amp;TEXT(MOD(R1713,60),"00.00"),TEXT(R1713,"0.00")))</f>
        <v/>
      </c>
      <c r="T1713" s="52">
        <f>IFERROR((G1713-INDEX('01_Swimmers'!$E$5:$E$22,MATCH(B1713,'01_Swimmers'!$A$5:$A$22,0)))/'00_Control'!$B$10,"")</f>
        <v/>
      </c>
      <c r="U1713" s="35">
        <f>IF(T1713="","",INT(T1713))</f>
        <v/>
      </c>
      <c r="V1713" s="33" t="inlineStr">
        <is>
          <t>NO</t>
        </is>
      </c>
      <c r="W1713" s="33" t="inlineStr">
        <is>
          <t>YES</t>
        </is>
      </c>
      <c r="X1713" s="33" t="inlineStr">
        <is>
          <t>NO</t>
        </is>
      </c>
      <c r="Y1713" s="33" t="n">
        <v>1</v>
      </c>
      <c r="Z1713" s="33" t="n">
        <v>4</v>
      </c>
      <c r="AA1713" s="33" t="inlineStr">
        <is>
          <t>1</t>
        </is>
      </c>
      <c r="AB1713" s="33" t="inlineStr">
        <is>
          <t>https://www.swimcloud.com/results/338558/event/116/?id=147556658#time147556658</t>
        </is>
      </c>
      <c r="AC1713" s="33" t="inlineStr">
        <is>
          <t>SwimCloud API v6 2026-10-08</t>
        </is>
      </c>
      <c r="AD1713" s="33" t="inlineStr">
        <is>
          <t>Laon Kim|2025-02-21|LCM|200|Free|111.82|WTF III|PRE|False</t>
        </is>
      </c>
      <c r="AE1713" s="53">
        <f>G1713+L1713/1000+ROW()/1000000000</f>
        <v/>
      </c>
      <c r="AF1713" s="35">
        <f>IF(C1713&lt;&gt;"Grayson Coulter","",COUNTIFS($C$5:$C$2991,"Grayson Coulter",$Q$5:$Q$2991,Q1713,$AE$5:$AE$2991,"&lt;="&amp;AE1713,$R$5:$R$2991,"&lt;"&amp;R1713))</f>
        <v/>
      </c>
      <c r="AG1713" s="35">
        <f>IF(OR(C1713&lt;&gt;"Grayson Coulter",G1713&lt;'00_Control'!$B$7),"",--(AF1713&lt;5))</f>
        <v/>
      </c>
      <c r="AH1713" s="35">
        <f>IF(OR(C1713&lt;&gt;"Grayson Coulter",G1713&lt;'00_Control'!$B$7),"",--(AF1713&lt;10))</f>
        <v/>
      </c>
      <c r="AI1713" s="35">
        <f>IF(AND(C1713="Grayson Coulter",G1713&gt;='00_Control'!$B$7),"YES","NO")</f>
        <v/>
      </c>
      <c r="AJ1713" s="33" t="inlineStr">
        <is>
          <t>OK</t>
        </is>
      </c>
    </row>
    <row r="1714">
      <c r="A1714" s="33" t="inlineStr">
        <is>
          <t>SM001710</t>
        </is>
      </c>
      <c r="B1714" s="33" t="inlineStr">
        <is>
          <t>SW007</t>
        </is>
      </c>
      <c r="C1714" s="33" t="inlineStr">
        <is>
          <t>Laon Kim</t>
        </is>
      </c>
      <c r="D1714" s="33" t="inlineStr">
        <is>
          <t>SwimCloud</t>
        </is>
      </c>
      <c r="E1714" s="33" t="inlineStr">
        <is>
          <t>2829279</t>
        </is>
      </c>
      <c r="F1714" s="33" t="inlineStr">
        <is>
          <t>147556658</t>
        </is>
      </c>
      <c r="G1714" s="51" t="n">
        <v>45709</v>
      </c>
      <c r="H1714" s="33" t="inlineStr">
        <is>
          <t>WTF III</t>
        </is>
      </c>
      <c r="I1714" s="33" t="inlineStr">
        <is>
          <t>338558</t>
        </is>
      </c>
      <c r="J1714" s="33" t="inlineStr"/>
      <c r="K1714" s="33" t="inlineStr">
        <is>
          <t>PRE</t>
        </is>
      </c>
      <c r="L1714" s="35">
        <f>IF(K1714="FIN",3,IF(OR(K1714="SEM",K1714="SEMI"),2,IF(OR(K1714="PRE",K1714="HEAT"),1,IF(V1714="YES",4,2))))</f>
        <v/>
      </c>
      <c r="M1714" s="33" t="inlineStr">
        <is>
          <t>LCM</t>
        </is>
      </c>
      <c r="N1714" s="33" t="n">
        <v>200</v>
      </c>
      <c r="O1714" s="33" t="inlineStr">
        <is>
          <t>Free</t>
        </is>
      </c>
      <c r="P1714" s="33" t="inlineStr">
        <is>
          <t>200 Free</t>
        </is>
      </c>
      <c r="Q1714" s="33" t="inlineStr">
        <is>
          <t>LCM_200_FREE</t>
        </is>
      </c>
      <c r="R1714" s="36" t="n">
        <v>112.32</v>
      </c>
      <c r="S1714" s="35">
        <f>IF(R1714="","",IF(R1714&gt;=60,INT(R1714/60)&amp;":"&amp;TEXT(MOD(R1714,60),"00.00"),TEXT(R1714,"0.00")))</f>
        <v/>
      </c>
      <c r="T1714" s="52">
        <f>IFERROR((G1714-INDEX('01_Swimmers'!$E$5:$E$22,MATCH(B1714,'01_Swimmers'!$A$5:$A$22,0)))/'00_Control'!$B$10,"")</f>
        <v/>
      </c>
      <c r="U1714" s="35">
        <f>IF(T1714="","",INT(T1714))</f>
        <v/>
      </c>
      <c r="V1714" s="33" t="inlineStr">
        <is>
          <t>NO</t>
        </is>
      </c>
      <c r="W1714" s="33" t="inlineStr">
        <is>
          <t>YES</t>
        </is>
      </c>
      <c r="X1714" s="33" t="inlineStr">
        <is>
          <t>NO</t>
        </is>
      </c>
      <c r="Y1714" s="33" t="n">
        <v>1</v>
      </c>
      <c r="Z1714" s="33" t="n">
        <v>4</v>
      </c>
      <c r="AA1714" s="33" t="inlineStr">
        <is>
          <t>1</t>
        </is>
      </c>
      <c r="AB1714" s="33" t="inlineStr">
        <is>
          <t>https://www.swimcloud.com/results/338558/event/116/?id=147556658#time147556658</t>
        </is>
      </c>
      <c r="AC1714" s="33" t="inlineStr">
        <is>
          <t>SwimCloud API v6 2026-10-08</t>
        </is>
      </c>
      <c r="AD1714" s="33" t="inlineStr">
        <is>
          <t>Laon Kim|2025-02-21|LCM|200|Free|112.32|WTF III|PRE|False</t>
        </is>
      </c>
      <c r="AE1714" s="53">
        <f>G1714+L1714/1000+ROW()/1000000000</f>
        <v/>
      </c>
      <c r="AF1714" s="35">
        <f>IF(C1714&lt;&gt;"Grayson Coulter","",COUNTIFS($C$5:$C$2991,"Grayson Coulter",$Q$5:$Q$2991,Q1714,$AE$5:$AE$2991,"&lt;="&amp;AE1714,$R$5:$R$2991,"&lt;"&amp;R1714))</f>
        <v/>
      </c>
      <c r="AG1714" s="35">
        <f>IF(OR(C1714&lt;&gt;"Grayson Coulter",G1714&lt;'00_Control'!$B$7),"",--(AF1714&lt;5))</f>
        <v/>
      </c>
      <c r="AH1714" s="35">
        <f>IF(OR(C1714&lt;&gt;"Grayson Coulter",G1714&lt;'00_Control'!$B$7),"",--(AF1714&lt;10))</f>
        <v/>
      </c>
      <c r="AI1714" s="35">
        <f>IF(AND(C1714="Grayson Coulter",G1714&gt;='00_Control'!$B$7),"YES","NO")</f>
        <v/>
      </c>
      <c r="AJ1714" s="33" t="inlineStr">
        <is>
          <t>OK</t>
        </is>
      </c>
    </row>
    <row r="1715">
      <c r="A1715" s="33" t="inlineStr">
        <is>
          <t>SM001711</t>
        </is>
      </c>
      <c r="B1715" s="33" t="inlineStr">
        <is>
          <t>SW007</t>
        </is>
      </c>
      <c r="C1715" s="33" t="inlineStr">
        <is>
          <t>Laon Kim</t>
        </is>
      </c>
      <c r="D1715" s="33" t="inlineStr">
        <is>
          <t>SwimCloud</t>
        </is>
      </c>
      <c r="E1715" s="33" t="inlineStr">
        <is>
          <t>2829279</t>
        </is>
      </c>
      <c r="F1715" s="33" t="inlineStr">
        <is>
          <t>147561242</t>
        </is>
      </c>
      <c r="G1715" s="51" t="n">
        <v>45709</v>
      </c>
      <c r="H1715" s="33" t="inlineStr">
        <is>
          <t>WTF III</t>
        </is>
      </c>
      <c r="I1715" s="33" t="inlineStr">
        <is>
          <t>338558</t>
        </is>
      </c>
      <c r="J1715" s="33" t="inlineStr"/>
      <c r="K1715" s="33" t="inlineStr">
        <is>
          <t>FIN</t>
        </is>
      </c>
      <c r="L1715" s="35">
        <f>IF(K1715="FIN",3,IF(OR(K1715="SEM",K1715="SEMI"),2,IF(OR(K1715="PRE",K1715="HEAT"),1,IF(V1715="YES",4,2))))</f>
        <v/>
      </c>
      <c r="M1715" s="33" t="inlineStr">
        <is>
          <t>LCM</t>
        </is>
      </c>
      <c r="N1715" s="33" t="n">
        <v>200</v>
      </c>
      <c r="O1715" s="33" t="inlineStr">
        <is>
          <t>Free</t>
        </is>
      </c>
      <c r="P1715" s="33" t="inlineStr">
        <is>
          <t>200 Free</t>
        </is>
      </c>
      <c r="Q1715" s="33" t="inlineStr">
        <is>
          <t>LCM_200_FREE</t>
        </is>
      </c>
      <c r="R1715" s="36" t="n">
        <v>111.99</v>
      </c>
      <c r="S1715" s="35">
        <f>IF(R1715="","",IF(R1715&gt;=60,INT(R1715/60)&amp;":"&amp;TEXT(MOD(R1715,60),"00.00"),TEXT(R1715,"0.00")))</f>
        <v/>
      </c>
      <c r="T1715" s="52">
        <f>IFERROR((G1715-INDEX('01_Swimmers'!$E$5:$E$22,MATCH(B1715,'01_Swimmers'!$A$5:$A$22,0)))/'00_Control'!$B$10,"")</f>
        <v/>
      </c>
      <c r="U1715" s="35">
        <f>IF(T1715="","",INT(T1715))</f>
        <v/>
      </c>
      <c r="V1715" s="33" t="inlineStr">
        <is>
          <t>NO</t>
        </is>
      </c>
      <c r="W1715" s="33" t="inlineStr">
        <is>
          <t>YES</t>
        </is>
      </c>
      <c r="X1715" s="33" t="inlineStr">
        <is>
          <t>NO</t>
        </is>
      </c>
      <c r="Y1715" s="33" t="n">
        <v>1</v>
      </c>
      <c r="Z1715" s="33" t="n">
        <v>4</v>
      </c>
      <c r="AA1715" s="33" t="inlineStr">
        <is>
          <t>1</t>
        </is>
      </c>
      <c r="AB1715" s="33" t="inlineStr">
        <is>
          <t>https://www.swimcloud.com/results/338558/event/116/?id=147556659#time147556659</t>
        </is>
      </c>
      <c r="AC1715" s="33" t="inlineStr">
        <is>
          <t>SwimCloud API v6 2026-10-08</t>
        </is>
      </c>
      <c r="AD1715" s="33" t="inlineStr">
        <is>
          <t>Laon Kim|2025-02-21|LCM|200|Free|111.99|WTF III|FIN|False</t>
        </is>
      </c>
      <c r="AE1715" s="53">
        <f>G1715+L1715/1000+ROW()/1000000000</f>
        <v/>
      </c>
      <c r="AF1715" s="35">
        <f>IF(C1715&lt;&gt;"Grayson Coulter","",COUNTIFS($C$5:$C$2991,"Grayson Coulter",$Q$5:$Q$2991,Q1715,$AE$5:$AE$2991,"&lt;="&amp;AE1715,$R$5:$R$2991,"&lt;"&amp;R1715))</f>
        <v/>
      </c>
      <c r="AG1715" s="35">
        <f>IF(OR(C1715&lt;&gt;"Grayson Coulter",G1715&lt;'00_Control'!$B$7),"",--(AF1715&lt;5))</f>
        <v/>
      </c>
      <c r="AH1715" s="35">
        <f>IF(OR(C1715&lt;&gt;"Grayson Coulter",G1715&lt;'00_Control'!$B$7),"",--(AF1715&lt;10))</f>
        <v/>
      </c>
      <c r="AI1715" s="35">
        <f>IF(AND(C1715="Grayson Coulter",G1715&gt;='00_Control'!$B$7),"YES","NO")</f>
        <v/>
      </c>
      <c r="AJ1715" s="33" t="inlineStr">
        <is>
          <t>OK</t>
        </is>
      </c>
    </row>
    <row r="1716">
      <c r="A1716" s="33" t="inlineStr">
        <is>
          <t>SM001712</t>
        </is>
      </c>
      <c r="B1716" s="33" t="inlineStr">
        <is>
          <t>SW007</t>
        </is>
      </c>
      <c r="C1716" s="33" t="inlineStr">
        <is>
          <t>Laon Kim</t>
        </is>
      </c>
      <c r="D1716" s="33" t="inlineStr">
        <is>
          <t>SwimCloud</t>
        </is>
      </c>
      <c r="E1716" s="33" t="inlineStr">
        <is>
          <t>2829279</t>
        </is>
      </c>
      <c r="F1716" s="33" t="inlineStr">
        <is>
          <t>147556659</t>
        </is>
      </c>
      <c r="G1716" s="51" t="n">
        <v>45709</v>
      </c>
      <c r="H1716" s="33" t="inlineStr">
        <is>
          <t>WTF III</t>
        </is>
      </c>
      <c r="I1716" s="33" t="inlineStr">
        <is>
          <t>338558</t>
        </is>
      </c>
      <c r="J1716" s="33" t="inlineStr"/>
      <c r="K1716" s="33" t="inlineStr">
        <is>
          <t>FIN</t>
        </is>
      </c>
      <c r="L1716" s="35">
        <f>IF(K1716="FIN",3,IF(OR(K1716="SEM",K1716="SEMI"),2,IF(OR(K1716="PRE",K1716="HEAT"),1,IF(V1716="YES",4,2))))</f>
        <v/>
      </c>
      <c r="M1716" s="33" t="inlineStr">
        <is>
          <t>LCM</t>
        </is>
      </c>
      <c r="N1716" s="33" t="n">
        <v>200</v>
      </c>
      <c r="O1716" s="33" t="inlineStr">
        <is>
          <t>Free</t>
        </is>
      </c>
      <c r="P1716" s="33" t="inlineStr">
        <is>
          <t>200 Free</t>
        </is>
      </c>
      <c r="Q1716" s="33" t="inlineStr">
        <is>
          <t>LCM_200_FREE</t>
        </is>
      </c>
      <c r="R1716" s="36" t="n">
        <v>112.49</v>
      </c>
      <c r="S1716" s="35">
        <f>IF(R1716="","",IF(R1716&gt;=60,INT(R1716/60)&amp;":"&amp;TEXT(MOD(R1716,60),"00.00"),TEXT(R1716,"0.00")))</f>
        <v/>
      </c>
      <c r="T1716" s="52">
        <f>IFERROR((G1716-INDEX('01_Swimmers'!$E$5:$E$22,MATCH(B1716,'01_Swimmers'!$A$5:$A$22,0)))/'00_Control'!$B$10,"")</f>
        <v/>
      </c>
      <c r="U1716" s="35">
        <f>IF(T1716="","",INT(T1716))</f>
        <v/>
      </c>
      <c r="V1716" s="33" t="inlineStr">
        <is>
          <t>NO</t>
        </is>
      </c>
      <c r="W1716" s="33" t="inlineStr">
        <is>
          <t>YES</t>
        </is>
      </c>
      <c r="X1716" s="33" t="inlineStr">
        <is>
          <t>NO</t>
        </is>
      </c>
      <c r="Y1716" s="33" t="n">
        <v>1</v>
      </c>
      <c r="Z1716" s="33" t="n">
        <v>4</v>
      </c>
      <c r="AA1716" s="33" t="inlineStr">
        <is>
          <t>1</t>
        </is>
      </c>
      <c r="AB1716" s="33" t="inlineStr">
        <is>
          <t>https://www.swimcloud.com/results/338558/event/116/?id=147556659#time147556659</t>
        </is>
      </c>
      <c r="AC1716" s="33" t="inlineStr">
        <is>
          <t>SwimCloud API v6 2026-10-08</t>
        </is>
      </c>
      <c r="AD1716" s="33" t="inlineStr">
        <is>
          <t>Laon Kim|2025-02-21|LCM|200|Free|112.49|WTF III|FIN|False</t>
        </is>
      </c>
      <c r="AE1716" s="53">
        <f>G1716+L1716/1000+ROW()/1000000000</f>
        <v/>
      </c>
      <c r="AF1716" s="35">
        <f>IF(C1716&lt;&gt;"Grayson Coulter","",COUNTIFS($C$5:$C$2991,"Grayson Coulter",$Q$5:$Q$2991,Q1716,$AE$5:$AE$2991,"&lt;="&amp;AE1716,$R$5:$R$2991,"&lt;"&amp;R1716))</f>
        <v/>
      </c>
      <c r="AG1716" s="35">
        <f>IF(OR(C1716&lt;&gt;"Grayson Coulter",G1716&lt;'00_Control'!$B$7),"",--(AF1716&lt;5))</f>
        <v/>
      </c>
      <c r="AH1716" s="35">
        <f>IF(OR(C1716&lt;&gt;"Grayson Coulter",G1716&lt;'00_Control'!$B$7),"",--(AF1716&lt;10))</f>
        <v/>
      </c>
      <c r="AI1716" s="35">
        <f>IF(AND(C1716="Grayson Coulter",G1716&gt;='00_Control'!$B$7),"YES","NO")</f>
        <v/>
      </c>
      <c r="AJ1716" s="33" t="inlineStr">
        <is>
          <t>OK</t>
        </is>
      </c>
    </row>
    <row r="1717">
      <c r="A1717" s="33" t="inlineStr">
        <is>
          <t>SM001713</t>
        </is>
      </c>
      <c r="B1717" s="33" t="inlineStr">
        <is>
          <t>SW007</t>
        </is>
      </c>
      <c r="C1717" s="33" t="inlineStr">
        <is>
          <t>Laon Kim</t>
        </is>
      </c>
      <c r="D1717" s="33" t="inlineStr">
        <is>
          <t>SwimCloud</t>
        </is>
      </c>
      <c r="E1717" s="33" t="inlineStr">
        <is>
          <t>2829279</t>
        </is>
      </c>
      <c r="F1717" s="33" t="inlineStr">
        <is>
          <t>147561528</t>
        </is>
      </c>
      <c r="G1717" s="51" t="n">
        <v>45710</v>
      </c>
      <c r="H1717" s="33" t="inlineStr">
        <is>
          <t>WTF III</t>
        </is>
      </c>
      <c r="I1717" s="33" t="inlineStr">
        <is>
          <t>338558</t>
        </is>
      </c>
      <c r="J1717" s="33" t="inlineStr"/>
      <c r="K1717" s="33" t="inlineStr">
        <is>
          <t>TIM</t>
        </is>
      </c>
      <c r="L1717" s="35">
        <f>IF(K1717="FIN",3,IF(OR(K1717="SEM",K1717="SEMI"),2,IF(OR(K1717="PRE",K1717="HEAT"),1,IF(V1717="YES",4,2))))</f>
        <v/>
      </c>
      <c r="M1717" s="33" t="inlineStr">
        <is>
          <t>LCM</t>
        </is>
      </c>
      <c r="N1717" s="33" t="n">
        <v>400</v>
      </c>
      <c r="O1717" s="33" t="inlineStr">
        <is>
          <t>Free</t>
        </is>
      </c>
      <c r="P1717" s="33" t="inlineStr">
        <is>
          <t>400 Free</t>
        </is>
      </c>
      <c r="Q1717" s="33" t="inlineStr">
        <is>
          <t>LCM_400_FREE</t>
        </is>
      </c>
      <c r="R1717" s="36" t="n">
        <v>242.74</v>
      </c>
      <c r="S1717" s="35">
        <f>IF(R1717="","",IF(R1717&gt;=60,INT(R1717/60)&amp;":"&amp;TEXT(MOD(R1717,60),"00.00"),TEXT(R1717,"0.00")))</f>
        <v/>
      </c>
      <c r="T1717" s="52">
        <f>IFERROR((G1717-INDEX('01_Swimmers'!$E$5:$E$22,MATCH(B1717,'01_Swimmers'!$A$5:$A$22,0)))/'00_Control'!$B$10,"")</f>
        <v/>
      </c>
      <c r="U1717" s="35">
        <f>IF(T1717="","",INT(T1717))</f>
        <v/>
      </c>
      <c r="V1717" s="33" t="inlineStr">
        <is>
          <t>NO</t>
        </is>
      </c>
      <c r="W1717" s="33" t="inlineStr">
        <is>
          <t>YES</t>
        </is>
      </c>
      <c r="X1717" s="33" t="inlineStr">
        <is>
          <t>NO</t>
        </is>
      </c>
      <c r="Y1717" s="33" t="n">
        <v>1</v>
      </c>
      <c r="Z1717" s="33" t="n">
        <v>4</v>
      </c>
      <c r="AA1717" s="33" t="inlineStr">
        <is>
          <t>1</t>
        </is>
      </c>
      <c r="AB1717" s="33" t="inlineStr">
        <is>
          <t>https://www.swimcloud.com/results/338558/event/202/?id=147556721#time147556721</t>
        </is>
      </c>
      <c r="AC1717" s="33" t="inlineStr">
        <is>
          <t>SwimCloud API v6 2026-10-08</t>
        </is>
      </c>
      <c r="AD1717" s="33" t="inlineStr">
        <is>
          <t>Laon Kim|2025-02-22|LCM|400|Free|242.74|WTF III|TIM|False</t>
        </is>
      </c>
      <c r="AE1717" s="53">
        <f>G1717+L1717/1000+ROW()/1000000000</f>
        <v/>
      </c>
      <c r="AF1717" s="35">
        <f>IF(C1717&lt;&gt;"Grayson Coulter","",COUNTIFS($C$5:$C$2991,"Grayson Coulter",$Q$5:$Q$2991,Q1717,$AE$5:$AE$2991,"&lt;="&amp;AE1717,$R$5:$R$2991,"&lt;"&amp;R1717))</f>
        <v/>
      </c>
      <c r="AG1717" s="35">
        <f>IF(OR(C1717&lt;&gt;"Grayson Coulter",G1717&lt;'00_Control'!$B$7),"",--(AF1717&lt;5))</f>
        <v/>
      </c>
      <c r="AH1717" s="35">
        <f>IF(OR(C1717&lt;&gt;"Grayson Coulter",G1717&lt;'00_Control'!$B$7),"",--(AF1717&lt;10))</f>
        <v/>
      </c>
      <c r="AI1717" s="35">
        <f>IF(AND(C1717="Grayson Coulter",G1717&gt;='00_Control'!$B$7),"YES","NO")</f>
        <v/>
      </c>
      <c r="AJ1717" s="33" t="inlineStr">
        <is>
          <t>OK</t>
        </is>
      </c>
    </row>
    <row r="1718">
      <c r="A1718" s="33" t="inlineStr">
        <is>
          <t>SM001714</t>
        </is>
      </c>
      <c r="B1718" s="33" t="inlineStr">
        <is>
          <t>SW007</t>
        </is>
      </c>
      <c r="C1718" s="33" t="inlineStr">
        <is>
          <t>Laon Kim</t>
        </is>
      </c>
      <c r="D1718" s="33" t="inlineStr">
        <is>
          <t>SwimCloud</t>
        </is>
      </c>
      <c r="E1718" s="33" t="inlineStr">
        <is>
          <t>2829279</t>
        </is>
      </c>
      <c r="F1718" s="33" t="inlineStr">
        <is>
          <t>147556721</t>
        </is>
      </c>
      <c r="G1718" s="51" t="n">
        <v>45710</v>
      </c>
      <c r="H1718" s="33" t="inlineStr">
        <is>
          <t>WTF III</t>
        </is>
      </c>
      <c r="I1718" s="33" t="inlineStr">
        <is>
          <t>338558</t>
        </is>
      </c>
      <c r="J1718" s="33" t="inlineStr"/>
      <c r="K1718" s="33" t="inlineStr">
        <is>
          <t>TIM</t>
        </is>
      </c>
      <c r="L1718" s="35">
        <f>IF(K1718="FIN",3,IF(OR(K1718="SEM",K1718="SEMI"),2,IF(OR(K1718="PRE",K1718="HEAT"),1,IF(V1718="YES",4,2))))</f>
        <v/>
      </c>
      <c r="M1718" s="33" t="inlineStr">
        <is>
          <t>LCM</t>
        </is>
      </c>
      <c r="N1718" s="33" t="n">
        <v>400</v>
      </c>
      <c r="O1718" s="33" t="inlineStr">
        <is>
          <t>Free</t>
        </is>
      </c>
      <c r="P1718" s="33" t="inlineStr">
        <is>
          <t>400 Free</t>
        </is>
      </c>
      <c r="Q1718" s="33" t="inlineStr">
        <is>
          <t>LCM_400_FREE</t>
        </is>
      </c>
      <c r="R1718" s="36" t="n">
        <v>245.24</v>
      </c>
      <c r="S1718" s="35">
        <f>IF(R1718="","",IF(R1718&gt;=60,INT(R1718/60)&amp;":"&amp;TEXT(MOD(R1718,60),"00.00"),TEXT(R1718,"0.00")))</f>
        <v/>
      </c>
      <c r="T1718" s="52">
        <f>IFERROR((G1718-INDEX('01_Swimmers'!$E$5:$E$22,MATCH(B1718,'01_Swimmers'!$A$5:$A$22,0)))/'00_Control'!$B$10,"")</f>
        <v/>
      </c>
      <c r="U1718" s="35">
        <f>IF(T1718="","",INT(T1718))</f>
        <v/>
      </c>
      <c r="V1718" s="33" t="inlineStr">
        <is>
          <t>NO</t>
        </is>
      </c>
      <c r="W1718" s="33" t="inlineStr">
        <is>
          <t>YES</t>
        </is>
      </c>
      <c r="X1718" s="33" t="inlineStr">
        <is>
          <t>NO</t>
        </is>
      </c>
      <c r="Y1718" s="33" t="n">
        <v>1</v>
      </c>
      <c r="Z1718" s="33" t="n">
        <v>4</v>
      </c>
      <c r="AA1718" s="33" t="inlineStr">
        <is>
          <t>1</t>
        </is>
      </c>
      <c r="AB1718" s="33" t="inlineStr">
        <is>
          <t>https://www.swimcloud.com/results/338558/event/202/?id=147556721#time147556721</t>
        </is>
      </c>
      <c r="AC1718" s="33" t="inlineStr">
        <is>
          <t>SwimCloud API v6 2026-10-08</t>
        </is>
      </c>
      <c r="AD1718" s="33" t="inlineStr">
        <is>
          <t>Laon Kim|2025-02-22|LCM|400|Free|245.24|WTF III|TIM|False</t>
        </is>
      </c>
      <c r="AE1718" s="53">
        <f>G1718+L1718/1000+ROW()/1000000000</f>
        <v/>
      </c>
      <c r="AF1718" s="35">
        <f>IF(C1718&lt;&gt;"Grayson Coulter","",COUNTIFS($C$5:$C$2991,"Grayson Coulter",$Q$5:$Q$2991,Q1718,$AE$5:$AE$2991,"&lt;="&amp;AE1718,$R$5:$R$2991,"&lt;"&amp;R1718))</f>
        <v/>
      </c>
      <c r="AG1718" s="35">
        <f>IF(OR(C1718&lt;&gt;"Grayson Coulter",G1718&lt;'00_Control'!$B$7),"",--(AF1718&lt;5))</f>
        <v/>
      </c>
      <c r="AH1718" s="35">
        <f>IF(OR(C1718&lt;&gt;"Grayson Coulter",G1718&lt;'00_Control'!$B$7),"",--(AF1718&lt;10))</f>
        <v/>
      </c>
      <c r="AI1718" s="35">
        <f>IF(AND(C1718="Grayson Coulter",G1718&gt;='00_Control'!$B$7),"YES","NO")</f>
        <v/>
      </c>
      <c r="AJ1718" s="33" t="inlineStr">
        <is>
          <t>OK</t>
        </is>
      </c>
    </row>
    <row r="1719">
      <c r="A1719" s="33" t="inlineStr">
        <is>
          <t>SM001715</t>
        </is>
      </c>
      <c r="B1719" s="33" t="inlineStr">
        <is>
          <t>SW007</t>
        </is>
      </c>
      <c r="C1719" s="33" t="inlineStr">
        <is>
          <t>Laon Kim</t>
        </is>
      </c>
      <c r="D1719" s="33" t="inlineStr">
        <is>
          <t>SwimCloud</t>
        </is>
      </c>
      <c r="E1719" s="33" t="inlineStr">
        <is>
          <t>2829279</t>
        </is>
      </c>
      <c r="F1719" s="33" t="inlineStr">
        <is>
          <t>148178374</t>
        </is>
      </c>
      <c r="G1719" s="51" t="n">
        <v>45722</v>
      </c>
      <c r="H1719" s="33" t="inlineStr">
        <is>
          <t>TYR Pro Swim Series - Westmont</t>
        </is>
      </c>
      <c r="I1719" s="33" t="inlineStr">
        <is>
          <t>308412</t>
        </is>
      </c>
      <c r="J1719" s="33" t="inlineStr"/>
      <c r="K1719" s="33" t="inlineStr">
        <is>
          <t>PRE</t>
        </is>
      </c>
      <c r="L1719" s="35">
        <f>IF(K1719="FIN",3,IF(OR(K1719="SEM",K1719="SEMI"),2,IF(OR(K1719="PRE",K1719="HEAT"),1,IF(V1719="YES",4,2))))</f>
        <v/>
      </c>
      <c r="M1719" s="33" t="inlineStr">
        <is>
          <t>LCM</t>
        </is>
      </c>
      <c r="N1719" s="33" t="n">
        <v>100</v>
      </c>
      <c r="O1719" s="33" t="inlineStr">
        <is>
          <t>Free</t>
        </is>
      </c>
      <c r="P1719" s="33" t="inlineStr">
        <is>
          <t>100 Free</t>
        </is>
      </c>
      <c r="Q1719" s="33" t="inlineStr">
        <is>
          <t>LCM_100_FREE</t>
        </is>
      </c>
      <c r="R1719" s="36" t="n">
        <v>49.9</v>
      </c>
      <c r="S1719" s="35">
        <f>IF(R1719="","",IF(R1719&gt;=60,INT(R1719/60)&amp;":"&amp;TEXT(MOD(R1719,60),"00.00"),TEXT(R1719,"0.00")))</f>
        <v/>
      </c>
      <c r="T1719" s="52">
        <f>IFERROR((G1719-INDEX('01_Swimmers'!$E$5:$E$22,MATCH(B1719,'01_Swimmers'!$A$5:$A$22,0)))/'00_Control'!$B$10,"")</f>
        <v/>
      </c>
      <c r="U1719" s="35">
        <f>IF(T1719="","",INT(T1719))</f>
        <v/>
      </c>
      <c r="V1719" s="33" t="inlineStr">
        <is>
          <t>NO</t>
        </is>
      </c>
      <c r="W1719" s="33" t="inlineStr">
        <is>
          <t>YES</t>
        </is>
      </c>
      <c r="X1719" s="33" t="inlineStr">
        <is>
          <t>NO</t>
        </is>
      </c>
      <c r="Y1719" s="33" t="n">
        <v>5</v>
      </c>
      <c r="Z1719" s="33" t="n">
        <v>6</v>
      </c>
      <c r="AA1719" s="33" t="inlineStr">
        <is>
          <t>7</t>
        </is>
      </c>
      <c r="AB1719" s="33" t="inlineStr">
        <is>
          <t>https://www.swimcloud.com/results/308412/event/4/?id=148178374#time148178374</t>
        </is>
      </c>
      <c r="AC1719" s="33" t="inlineStr">
        <is>
          <t>SwimCloud API v6 2026-10-08</t>
        </is>
      </c>
      <c r="AD1719" s="33" t="inlineStr">
        <is>
          <t>Laon Kim|2025-03-06|LCM|100|Free|49.9|TYR Pro Swim Series - Westmont|PRE|False</t>
        </is>
      </c>
      <c r="AE1719" s="53">
        <f>G1719+L1719/1000+ROW()/1000000000</f>
        <v/>
      </c>
      <c r="AF1719" s="35">
        <f>IF(C1719&lt;&gt;"Grayson Coulter","",COUNTIFS($C$5:$C$2991,"Grayson Coulter",$Q$5:$Q$2991,Q1719,$AE$5:$AE$2991,"&lt;="&amp;AE1719,$R$5:$R$2991,"&lt;"&amp;R1719))</f>
        <v/>
      </c>
      <c r="AG1719" s="35">
        <f>IF(OR(C1719&lt;&gt;"Grayson Coulter",G1719&lt;'00_Control'!$B$7),"",--(AF1719&lt;5))</f>
        <v/>
      </c>
      <c r="AH1719" s="35">
        <f>IF(OR(C1719&lt;&gt;"Grayson Coulter",G1719&lt;'00_Control'!$B$7),"",--(AF1719&lt;10))</f>
        <v/>
      </c>
      <c r="AI1719" s="35">
        <f>IF(AND(C1719="Grayson Coulter",G1719&gt;='00_Control'!$B$7),"YES","NO")</f>
        <v/>
      </c>
      <c r="AJ1719" s="33" t="inlineStr">
        <is>
          <t>OK</t>
        </is>
      </c>
    </row>
    <row r="1720">
      <c r="A1720" s="33" t="inlineStr">
        <is>
          <t>SM001716</t>
        </is>
      </c>
      <c r="B1720" s="33" t="inlineStr">
        <is>
          <t>SW007</t>
        </is>
      </c>
      <c r="C1720" s="33" t="inlineStr">
        <is>
          <t>Laon Kim</t>
        </is>
      </c>
      <c r="D1720" s="33" t="inlineStr">
        <is>
          <t>SwimCloud</t>
        </is>
      </c>
      <c r="E1720" s="33" t="inlineStr">
        <is>
          <t>2829279</t>
        </is>
      </c>
      <c r="F1720" s="33" t="inlineStr">
        <is>
          <t>148178373</t>
        </is>
      </c>
      <c r="G1720" s="51" t="n">
        <v>45722</v>
      </c>
      <c r="H1720" s="33" t="inlineStr">
        <is>
          <t>TYR Pro Swim Series - Westmont</t>
        </is>
      </c>
      <c r="I1720" s="33" t="inlineStr">
        <is>
          <t>308412</t>
        </is>
      </c>
      <c r="J1720" s="33" t="inlineStr"/>
      <c r="K1720" s="33" t="inlineStr">
        <is>
          <t>FIN</t>
        </is>
      </c>
      <c r="L1720" s="35">
        <f>IF(K1720="FIN",3,IF(OR(K1720="SEM",K1720="SEMI"),2,IF(OR(K1720="PRE",K1720="HEAT"),1,IF(V1720="YES",4,2))))</f>
        <v/>
      </c>
      <c r="M1720" s="33" t="inlineStr">
        <is>
          <t>LCM</t>
        </is>
      </c>
      <c r="N1720" s="33" t="n">
        <v>100</v>
      </c>
      <c r="O1720" s="33" t="inlineStr">
        <is>
          <t>Free</t>
        </is>
      </c>
      <c r="P1720" s="33" t="inlineStr">
        <is>
          <t>100 Free</t>
        </is>
      </c>
      <c r="Q1720" s="33" t="inlineStr">
        <is>
          <t>LCM_100_FREE</t>
        </is>
      </c>
      <c r="R1720" s="36" t="n">
        <v>49.82</v>
      </c>
      <c r="S1720" s="35">
        <f>IF(R1720="","",IF(R1720&gt;=60,INT(R1720/60)&amp;":"&amp;TEXT(MOD(R1720,60),"00.00"),TEXT(R1720,"0.00")))</f>
        <v/>
      </c>
      <c r="T1720" s="52">
        <f>IFERROR((G1720-INDEX('01_Swimmers'!$E$5:$E$22,MATCH(B1720,'01_Swimmers'!$A$5:$A$22,0)))/'00_Control'!$B$10,"")</f>
        <v/>
      </c>
      <c r="U1720" s="35">
        <f>IF(T1720="","",INT(T1720))</f>
        <v/>
      </c>
      <c r="V1720" s="33" t="inlineStr">
        <is>
          <t>NO</t>
        </is>
      </c>
      <c r="W1720" s="33" t="inlineStr">
        <is>
          <t>YES</t>
        </is>
      </c>
      <c r="X1720" s="33" t="inlineStr">
        <is>
          <t>NO</t>
        </is>
      </c>
      <c r="Y1720" s="33" t="n">
        <v>1</v>
      </c>
      <c r="Z1720" s="33" t="n">
        <v>1</v>
      </c>
      <c r="AA1720" s="33" t="inlineStr">
        <is>
          <t>8</t>
        </is>
      </c>
      <c r="AB1720" s="33" t="inlineStr">
        <is>
          <t>https://www.swimcloud.com/results/308412/event/4/?id=148178373#time148178373</t>
        </is>
      </c>
      <c r="AC1720" s="33" t="inlineStr">
        <is>
          <t>SwimCloud API v6 2026-10-08</t>
        </is>
      </c>
      <c r="AD1720" s="33" t="inlineStr">
        <is>
          <t>Laon Kim|2025-03-06|LCM|100|Free|49.82|TYR Pro Swim Series - Westmont|FIN|False</t>
        </is>
      </c>
      <c r="AE1720" s="53">
        <f>G1720+L1720/1000+ROW()/1000000000</f>
        <v/>
      </c>
      <c r="AF1720" s="35">
        <f>IF(C1720&lt;&gt;"Grayson Coulter","",COUNTIFS($C$5:$C$2991,"Grayson Coulter",$Q$5:$Q$2991,Q1720,$AE$5:$AE$2991,"&lt;="&amp;AE1720,$R$5:$R$2991,"&lt;"&amp;R1720))</f>
        <v/>
      </c>
      <c r="AG1720" s="35">
        <f>IF(OR(C1720&lt;&gt;"Grayson Coulter",G1720&lt;'00_Control'!$B$7),"",--(AF1720&lt;5))</f>
        <v/>
      </c>
      <c r="AH1720" s="35">
        <f>IF(OR(C1720&lt;&gt;"Grayson Coulter",G1720&lt;'00_Control'!$B$7),"",--(AF1720&lt;10))</f>
        <v/>
      </c>
      <c r="AI1720" s="35">
        <f>IF(AND(C1720="Grayson Coulter",G1720&gt;='00_Control'!$B$7),"YES","NO")</f>
        <v/>
      </c>
      <c r="AJ1720" s="33" t="inlineStr">
        <is>
          <t>OK</t>
        </is>
      </c>
    </row>
    <row r="1721">
      <c r="A1721" s="33" t="inlineStr">
        <is>
          <t>SM001717</t>
        </is>
      </c>
      <c r="B1721" s="33" t="inlineStr">
        <is>
          <t>SW007</t>
        </is>
      </c>
      <c r="C1721" s="33" t="inlineStr">
        <is>
          <t>Laon Kim</t>
        </is>
      </c>
      <c r="D1721" s="33" t="inlineStr">
        <is>
          <t>SwimCloud</t>
        </is>
      </c>
      <c r="E1721" s="33" t="inlineStr">
        <is>
          <t>2829279</t>
        </is>
      </c>
      <c r="F1721" s="33" t="inlineStr">
        <is>
          <t>148178378</t>
        </is>
      </c>
      <c r="G1721" s="51" t="n">
        <v>45723</v>
      </c>
      <c r="H1721" s="33" t="inlineStr">
        <is>
          <t>TYR Pro Swim Series - Westmont</t>
        </is>
      </c>
      <c r="I1721" s="33" t="inlineStr">
        <is>
          <t>308412</t>
        </is>
      </c>
      <c r="J1721" s="33" t="inlineStr"/>
      <c r="K1721" s="33" t="inlineStr">
        <is>
          <t>PRE</t>
        </is>
      </c>
      <c r="L1721" s="35">
        <f>IF(K1721="FIN",3,IF(OR(K1721="SEM",K1721="SEMI"),2,IF(OR(K1721="PRE",K1721="HEAT"),1,IF(V1721="YES",4,2))))</f>
        <v/>
      </c>
      <c r="M1721" s="33" t="inlineStr">
        <is>
          <t>LCM</t>
        </is>
      </c>
      <c r="N1721" s="33" t="n">
        <v>200</v>
      </c>
      <c r="O1721" s="33" t="inlineStr">
        <is>
          <t>Free</t>
        </is>
      </c>
      <c r="P1721" s="33" t="inlineStr">
        <is>
          <t>200 Free</t>
        </is>
      </c>
      <c r="Q1721" s="33" t="inlineStr">
        <is>
          <t>LCM_200_FREE</t>
        </is>
      </c>
      <c r="R1721" s="36" t="n">
        <v>109.55</v>
      </c>
      <c r="S1721" s="35">
        <f>IF(R1721="","",IF(R1721&gt;=60,INT(R1721/60)&amp;":"&amp;TEXT(MOD(R1721,60),"00.00"),TEXT(R1721,"0.00")))</f>
        <v/>
      </c>
      <c r="T1721" s="52">
        <f>IFERROR((G1721-INDEX('01_Swimmers'!$E$5:$E$22,MATCH(B1721,'01_Swimmers'!$A$5:$A$22,0)))/'00_Control'!$B$10,"")</f>
        <v/>
      </c>
      <c r="U1721" s="35">
        <f>IF(T1721="","",INT(T1721))</f>
        <v/>
      </c>
      <c r="V1721" s="33" t="inlineStr">
        <is>
          <t>NO</t>
        </is>
      </c>
      <c r="W1721" s="33" t="inlineStr">
        <is>
          <t>YES</t>
        </is>
      </c>
      <c r="X1721" s="33" t="inlineStr">
        <is>
          <t>NO</t>
        </is>
      </c>
      <c r="Y1721" s="33" t="n">
        <v>6</v>
      </c>
      <c r="Z1721" s="33" t="n">
        <v>7</v>
      </c>
      <c r="AA1721" s="33" t="inlineStr">
        <is>
          <t>8</t>
        </is>
      </c>
      <c r="AB1721" s="33" t="inlineStr">
        <is>
          <t>https://www.swimcloud.com/results/308412/event/14/?id=148178378#time148178378</t>
        </is>
      </c>
      <c r="AC1721" s="33" t="inlineStr">
        <is>
          <t>SwimCloud API v6 2026-10-08</t>
        </is>
      </c>
      <c r="AD1721" s="33" t="inlineStr">
        <is>
          <t>Laon Kim|2025-03-07|LCM|200|Free|109.55|TYR Pro Swim Series - Westmont|PRE|False</t>
        </is>
      </c>
      <c r="AE1721" s="53">
        <f>G1721+L1721/1000+ROW()/1000000000</f>
        <v/>
      </c>
      <c r="AF1721" s="35">
        <f>IF(C1721&lt;&gt;"Grayson Coulter","",COUNTIFS($C$5:$C$2991,"Grayson Coulter",$Q$5:$Q$2991,Q1721,$AE$5:$AE$2991,"&lt;="&amp;AE1721,$R$5:$R$2991,"&lt;"&amp;R1721))</f>
        <v/>
      </c>
      <c r="AG1721" s="35">
        <f>IF(OR(C1721&lt;&gt;"Grayson Coulter",G1721&lt;'00_Control'!$B$7),"",--(AF1721&lt;5))</f>
        <v/>
      </c>
      <c r="AH1721" s="35">
        <f>IF(OR(C1721&lt;&gt;"Grayson Coulter",G1721&lt;'00_Control'!$B$7),"",--(AF1721&lt;10))</f>
        <v/>
      </c>
      <c r="AI1721" s="35">
        <f>IF(AND(C1721="Grayson Coulter",G1721&gt;='00_Control'!$B$7),"YES","NO")</f>
        <v/>
      </c>
      <c r="AJ1721" s="33" t="inlineStr">
        <is>
          <t>OK</t>
        </is>
      </c>
    </row>
    <row r="1722">
      <c r="A1722" s="33" t="inlineStr">
        <is>
          <t>SM001718</t>
        </is>
      </c>
      <c r="B1722" s="33" t="inlineStr">
        <is>
          <t>SW007</t>
        </is>
      </c>
      <c r="C1722" s="33" t="inlineStr">
        <is>
          <t>Laon Kim</t>
        </is>
      </c>
      <c r="D1722" s="33" t="inlineStr">
        <is>
          <t>SwimCloud</t>
        </is>
      </c>
      <c r="E1722" s="33" t="inlineStr">
        <is>
          <t>2829279</t>
        </is>
      </c>
      <c r="F1722" s="33" t="inlineStr">
        <is>
          <t>148178377</t>
        </is>
      </c>
      <c r="G1722" s="51" t="n">
        <v>45723</v>
      </c>
      <c r="H1722" s="33" t="inlineStr">
        <is>
          <t>TYR Pro Swim Series - Westmont</t>
        </is>
      </c>
      <c r="I1722" s="33" t="inlineStr">
        <is>
          <t>308412</t>
        </is>
      </c>
      <c r="J1722" s="33" t="inlineStr"/>
      <c r="K1722" s="33" t="inlineStr">
        <is>
          <t>FIN</t>
        </is>
      </c>
      <c r="L1722" s="35">
        <f>IF(K1722="FIN",3,IF(OR(K1722="SEM",K1722="SEMI"),2,IF(OR(K1722="PRE",K1722="HEAT"),1,IF(V1722="YES",4,2))))</f>
        <v/>
      </c>
      <c r="M1722" s="33" t="inlineStr">
        <is>
          <t>LCM</t>
        </is>
      </c>
      <c r="N1722" s="33" t="n">
        <v>200</v>
      </c>
      <c r="O1722" s="33" t="inlineStr">
        <is>
          <t>Free</t>
        </is>
      </c>
      <c r="P1722" s="33" t="inlineStr">
        <is>
          <t>200 Free</t>
        </is>
      </c>
      <c r="Q1722" s="33" t="inlineStr">
        <is>
          <t>LCM_200_FREE</t>
        </is>
      </c>
      <c r="R1722" s="36" t="n">
        <v>109.88</v>
      </c>
      <c r="S1722" s="35">
        <f>IF(R1722="","",IF(R1722&gt;=60,INT(R1722/60)&amp;":"&amp;TEXT(MOD(R1722,60),"00.00"),TEXT(R1722,"0.00")))</f>
        <v/>
      </c>
      <c r="T1722" s="52">
        <f>IFERROR((G1722-INDEX('01_Swimmers'!$E$5:$E$22,MATCH(B1722,'01_Swimmers'!$A$5:$A$22,0)))/'00_Control'!$B$10,"")</f>
        <v/>
      </c>
      <c r="U1722" s="35">
        <f>IF(T1722="","",INT(T1722))</f>
        <v/>
      </c>
      <c r="V1722" s="33" t="inlineStr">
        <is>
          <t>NO</t>
        </is>
      </c>
      <c r="W1722" s="33" t="inlineStr">
        <is>
          <t>YES</t>
        </is>
      </c>
      <c r="X1722" s="33" t="inlineStr">
        <is>
          <t>NO</t>
        </is>
      </c>
      <c r="Y1722" s="33" t="n">
        <v>1</v>
      </c>
      <c r="Z1722" s="33" t="n">
        <v>8</v>
      </c>
      <c r="AA1722" s="33" t="inlineStr">
        <is>
          <t>8</t>
        </is>
      </c>
      <c r="AB1722" s="33" t="inlineStr">
        <is>
          <t>https://www.swimcloud.com/results/308412/event/14/?id=148178377#time148178377</t>
        </is>
      </c>
      <c r="AC1722" s="33" t="inlineStr">
        <is>
          <t>SwimCloud API v6 2026-10-08</t>
        </is>
      </c>
      <c r="AD1722" s="33" t="inlineStr">
        <is>
          <t>Laon Kim|2025-03-07|LCM|200|Free|109.88|TYR Pro Swim Series - Westmont|FIN|False</t>
        </is>
      </c>
      <c r="AE1722" s="53">
        <f>G1722+L1722/1000+ROW()/1000000000</f>
        <v/>
      </c>
      <c r="AF1722" s="35">
        <f>IF(C1722&lt;&gt;"Grayson Coulter","",COUNTIFS($C$5:$C$2991,"Grayson Coulter",$Q$5:$Q$2991,Q1722,$AE$5:$AE$2991,"&lt;="&amp;AE1722,$R$5:$R$2991,"&lt;"&amp;R1722))</f>
        <v/>
      </c>
      <c r="AG1722" s="35">
        <f>IF(OR(C1722&lt;&gt;"Grayson Coulter",G1722&lt;'00_Control'!$B$7),"",--(AF1722&lt;5))</f>
        <v/>
      </c>
      <c r="AH1722" s="35">
        <f>IF(OR(C1722&lt;&gt;"Grayson Coulter",G1722&lt;'00_Control'!$B$7),"",--(AF1722&lt;10))</f>
        <v/>
      </c>
      <c r="AI1722" s="35">
        <f>IF(AND(C1722="Grayson Coulter",G1722&gt;='00_Control'!$B$7),"YES","NO")</f>
        <v/>
      </c>
      <c r="AJ1722" s="33" t="inlineStr">
        <is>
          <t>OK</t>
        </is>
      </c>
    </row>
    <row r="1723">
      <c r="A1723" s="33" t="inlineStr">
        <is>
          <t>SM001719</t>
        </is>
      </c>
      <c r="B1723" s="33" t="inlineStr">
        <is>
          <t>SW007</t>
        </is>
      </c>
      <c r="C1723" s="33" t="inlineStr">
        <is>
          <t>Laon Kim</t>
        </is>
      </c>
      <c r="D1723" s="33" t="inlineStr">
        <is>
          <t>SwimCloud</t>
        </is>
      </c>
      <c r="E1723" s="33" t="inlineStr">
        <is>
          <t>2829279</t>
        </is>
      </c>
      <c r="F1723" s="33" t="inlineStr">
        <is>
          <t>150455420</t>
        </is>
      </c>
      <c r="G1723" s="51" t="n">
        <v>45757</v>
      </c>
      <c r="H1723" s="33" t="inlineStr">
        <is>
          <t>Speedo Canadian Swimming Open</t>
        </is>
      </c>
      <c r="I1723" s="33" t="inlineStr">
        <is>
          <t>341950</t>
        </is>
      </c>
      <c r="J1723" s="33" t="inlineStr"/>
      <c r="K1723" s="33" t="inlineStr">
        <is>
          <t>PRE</t>
        </is>
      </c>
      <c r="L1723" s="35">
        <f>IF(K1723="FIN",3,IF(OR(K1723="SEM",K1723="SEMI"),2,IF(OR(K1723="PRE",K1723="HEAT"),1,IF(V1723="YES",4,2))))</f>
        <v/>
      </c>
      <c r="M1723" s="33" t="inlineStr">
        <is>
          <t>LCM</t>
        </is>
      </c>
      <c r="N1723" s="33" t="n">
        <v>200</v>
      </c>
      <c r="O1723" s="33" t="inlineStr">
        <is>
          <t>Free</t>
        </is>
      </c>
      <c r="P1723" s="33" t="inlineStr">
        <is>
          <t>200 Free</t>
        </is>
      </c>
      <c r="Q1723" s="33" t="inlineStr">
        <is>
          <t>LCM_200_FREE</t>
        </is>
      </c>
      <c r="R1723" s="36" t="n">
        <v>109.78</v>
      </c>
      <c r="S1723" s="35">
        <f>IF(R1723="","",IF(R1723&gt;=60,INT(R1723/60)&amp;":"&amp;TEXT(MOD(R1723,60),"00.00"),TEXT(R1723,"0.00")))</f>
        <v/>
      </c>
      <c r="T1723" s="52">
        <f>IFERROR((G1723-INDEX('01_Swimmers'!$E$5:$E$22,MATCH(B1723,'01_Swimmers'!$A$5:$A$22,0)))/'00_Control'!$B$10,"")</f>
        <v/>
      </c>
      <c r="U1723" s="35">
        <f>IF(T1723="","",INT(T1723))</f>
        <v/>
      </c>
      <c r="V1723" s="33" t="inlineStr">
        <is>
          <t>NO</t>
        </is>
      </c>
      <c r="W1723" s="33" t="inlineStr">
        <is>
          <t>YES</t>
        </is>
      </c>
      <c r="X1723" s="33" t="inlineStr">
        <is>
          <t>NO</t>
        </is>
      </c>
      <c r="Y1723" s="33" t="n">
        <v>2</v>
      </c>
      <c r="Z1723" s="33" t="n">
        <v>4</v>
      </c>
      <c r="AA1723" s="33" t="inlineStr">
        <is>
          <t>1</t>
        </is>
      </c>
      <c r="AB1723" s="33" t="inlineStr">
        <is>
          <t>https://www.swimcloud.com/results/341950/event/8/?id=150455420#time150455420</t>
        </is>
      </c>
      <c r="AC1723" s="33" t="inlineStr">
        <is>
          <t>SwimCloud API v6 2026-10-08</t>
        </is>
      </c>
      <c r="AD1723" s="33" t="inlineStr">
        <is>
          <t>Laon Kim|2025-04-10|LCM|200|Free|109.78|Speedo Canadian Swimming Open|PRE|False</t>
        </is>
      </c>
      <c r="AE1723" s="53">
        <f>G1723+L1723/1000+ROW()/1000000000</f>
        <v/>
      </c>
      <c r="AF1723" s="35">
        <f>IF(C1723&lt;&gt;"Grayson Coulter","",COUNTIFS($C$5:$C$2991,"Grayson Coulter",$Q$5:$Q$2991,Q1723,$AE$5:$AE$2991,"&lt;="&amp;AE1723,$R$5:$R$2991,"&lt;"&amp;R1723))</f>
        <v/>
      </c>
      <c r="AG1723" s="35">
        <f>IF(OR(C1723&lt;&gt;"Grayson Coulter",G1723&lt;'00_Control'!$B$7),"",--(AF1723&lt;5))</f>
        <v/>
      </c>
      <c r="AH1723" s="35">
        <f>IF(OR(C1723&lt;&gt;"Grayson Coulter",G1723&lt;'00_Control'!$B$7),"",--(AF1723&lt;10))</f>
        <v/>
      </c>
      <c r="AI1723" s="35">
        <f>IF(AND(C1723="Grayson Coulter",G1723&gt;='00_Control'!$B$7),"YES","NO")</f>
        <v/>
      </c>
      <c r="AJ1723" s="33" t="inlineStr">
        <is>
          <t>OK</t>
        </is>
      </c>
    </row>
    <row r="1724">
      <c r="A1724" s="33" t="inlineStr">
        <is>
          <t>SM001720</t>
        </is>
      </c>
      <c r="B1724" s="33" t="inlineStr">
        <is>
          <t>SW007</t>
        </is>
      </c>
      <c r="C1724" s="33" t="inlineStr">
        <is>
          <t>Laon Kim</t>
        </is>
      </c>
      <c r="D1724" s="33" t="inlineStr">
        <is>
          <t>SwimCloud</t>
        </is>
      </c>
      <c r="E1724" s="33" t="inlineStr">
        <is>
          <t>2829279</t>
        </is>
      </c>
      <c r="F1724" s="33" t="inlineStr">
        <is>
          <t>150455421</t>
        </is>
      </c>
      <c r="G1724" s="51" t="n">
        <v>45757</v>
      </c>
      <c r="H1724" s="33" t="inlineStr">
        <is>
          <t>Speedo Canadian Swimming Open</t>
        </is>
      </c>
      <c r="I1724" s="33" t="inlineStr">
        <is>
          <t>341950</t>
        </is>
      </c>
      <c r="J1724" s="33" t="inlineStr"/>
      <c r="K1724" s="33" t="inlineStr">
        <is>
          <t>FIN</t>
        </is>
      </c>
      <c r="L1724" s="35">
        <f>IF(K1724="FIN",3,IF(OR(K1724="SEM",K1724="SEMI"),2,IF(OR(K1724="PRE",K1724="HEAT"),1,IF(V1724="YES",4,2))))</f>
        <v/>
      </c>
      <c r="M1724" s="33" t="inlineStr">
        <is>
          <t>LCM</t>
        </is>
      </c>
      <c r="N1724" s="33" t="n">
        <v>200</v>
      </c>
      <c r="O1724" s="33" t="inlineStr">
        <is>
          <t>Free</t>
        </is>
      </c>
      <c r="P1724" s="33" t="inlineStr">
        <is>
          <t>200 Free</t>
        </is>
      </c>
      <c r="Q1724" s="33" t="inlineStr">
        <is>
          <t>LCM_200_FREE</t>
        </is>
      </c>
      <c r="R1724" s="36" t="n">
        <v>110.09</v>
      </c>
      <c r="S1724" s="35">
        <f>IF(R1724="","",IF(R1724&gt;=60,INT(R1724/60)&amp;":"&amp;TEXT(MOD(R1724,60),"00.00"),TEXT(R1724,"0.00")))</f>
        <v/>
      </c>
      <c r="T1724" s="52">
        <f>IFERROR((G1724-INDEX('01_Swimmers'!$E$5:$E$22,MATCH(B1724,'01_Swimmers'!$A$5:$A$22,0)))/'00_Control'!$B$10,"")</f>
        <v/>
      </c>
      <c r="U1724" s="35">
        <f>IF(T1724="","",INT(T1724))</f>
        <v/>
      </c>
      <c r="V1724" s="33" t="inlineStr">
        <is>
          <t>NO</t>
        </is>
      </c>
      <c r="W1724" s="33" t="inlineStr">
        <is>
          <t>YES</t>
        </is>
      </c>
      <c r="X1724" s="33" t="inlineStr">
        <is>
          <t>NO</t>
        </is>
      </c>
      <c r="Y1724" s="33" t="n">
        <v>0</v>
      </c>
      <c r="Z1724" s="33" t="n">
        <v>4</v>
      </c>
      <c r="AA1724" s="33" t="inlineStr">
        <is>
          <t>3</t>
        </is>
      </c>
      <c r="AB1724" s="33" t="inlineStr">
        <is>
          <t>https://www.swimcloud.com/results/341950/event/8/?id=150455421#time150455421</t>
        </is>
      </c>
      <c r="AC1724" s="33" t="inlineStr">
        <is>
          <t>SwimCloud API v6 2026-10-08</t>
        </is>
      </c>
      <c r="AD1724" s="33" t="inlineStr">
        <is>
          <t>Laon Kim|2025-04-10|LCM|200|Free|110.09|Speedo Canadian Swimming Open|FIN|False</t>
        </is>
      </c>
      <c r="AE1724" s="53">
        <f>G1724+L1724/1000+ROW()/1000000000</f>
        <v/>
      </c>
      <c r="AF1724" s="35">
        <f>IF(C1724&lt;&gt;"Grayson Coulter","",COUNTIFS($C$5:$C$2991,"Grayson Coulter",$Q$5:$Q$2991,Q1724,$AE$5:$AE$2991,"&lt;="&amp;AE1724,$R$5:$R$2991,"&lt;"&amp;R1724))</f>
        <v/>
      </c>
      <c r="AG1724" s="35">
        <f>IF(OR(C1724&lt;&gt;"Grayson Coulter",G1724&lt;'00_Control'!$B$7),"",--(AF1724&lt;5))</f>
        <v/>
      </c>
      <c r="AH1724" s="35">
        <f>IF(OR(C1724&lt;&gt;"Grayson Coulter",G1724&lt;'00_Control'!$B$7),"",--(AF1724&lt;10))</f>
        <v/>
      </c>
      <c r="AI1724" s="35">
        <f>IF(AND(C1724="Grayson Coulter",G1724&gt;='00_Control'!$B$7),"YES","NO")</f>
        <v/>
      </c>
      <c r="AJ1724" s="33" t="inlineStr">
        <is>
          <t>OK</t>
        </is>
      </c>
    </row>
    <row r="1725">
      <c r="A1725" s="33" t="inlineStr">
        <is>
          <t>SM001721</t>
        </is>
      </c>
      <c r="B1725" s="33" t="inlineStr">
        <is>
          <t>SW007</t>
        </is>
      </c>
      <c r="C1725" s="33" t="inlineStr">
        <is>
          <t>Laon Kim</t>
        </is>
      </c>
      <c r="D1725" s="33" t="inlineStr">
        <is>
          <t>SwimCloud</t>
        </is>
      </c>
      <c r="E1725" s="33" t="inlineStr">
        <is>
          <t>2829279</t>
        </is>
      </c>
      <c r="F1725" s="33" t="inlineStr">
        <is>
          <t>150455350</t>
        </is>
      </c>
      <c r="G1725" s="51" t="n">
        <v>45758</v>
      </c>
      <c r="H1725" s="33" t="inlineStr">
        <is>
          <t>Speedo Canadian Swimming Open</t>
        </is>
      </c>
      <c r="I1725" s="33" t="inlineStr">
        <is>
          <t>341950</t>
        </is>
      </c>
      <c r="J1725" s="33" t="inlineStr"/>
      <c r="K1725" s="33" t="inlineStr">
        <is>
          <t>PRE</t>
        </is>
      </c>
      <c r="L1725" s="35">
        <f>IF(K1725="FIN",3,IF(OR(K1725="SEM",K1725="SEMI"),2,IF(OR(K1725="PRE",K1725="HEAT"),1,IF(V1725="YES",4,2))))</f>
        <v/>
      </c>
      <c r="M1725" s="33" t="inlineStr">
        <is>
          <t>LCM</t>
        </is>
      </c>
      <c r="N1725" s="33" t="n">
        <v>100</v>
      </c>
      <c r="O1725" s="33" t="inlineStr">
        <is>
          <t>Free</t>
        </is>
      </c>
      <c r="P1725" s="33" t="inlineStr">
        <is>
          <t>100 Free</t>
        </is>
      </c>
      <c r="Q1725" s="33" t="inlineStr">
        <is>
          <t>LCM_100_FREE</t>
        </is>
      </c>
      <c r="R1725" s="36" t="n">
        <v>49.8</v>
      </c>
      <c r="S1725" s="35">
        <f>IF(R1725="","",IF(R1725&gt;=60,INT(R1725/60)&amp;":"&amp;TEXT(MOD(R1725,60),"00.00"),TEXT(R1725,"0.00")))</f>
        <v/>
      </c>
      <c r="T1725" s="52">
        <f>IFERROR((G1725-INDEX('01_Swimmers'!$E$5:$E$22,MATCH(B1725,'01_Swimmers'!$A$5:$A$22,0)))/'00_Control'!$B$10,"")</f>
        <v/>
      </c>
      <c r="U1725" s="35">
        <f>IF(T1725="","",INT(T1725))</f>
        <v/>
      </c>
      <c r="V1725" s="33" t="inlineStr">
        <is>
          <t>NO</t>
        </is>
      </c>
      <c r="W1725" s="33" t="inlineStr">
        <is>
          <t>YES</t>
        </is>
      </c>
      <c r="X1725" s="33" t="inlineStr">
        <is>
          <t>NO</t>
        </is>
      </c>
      <c r="Y1725" s="33" t="n">
        <v>6</v>
      </c>
      <c r="Z1725" s="33" t="n">
        <v>5</v>
      </c>
      <c r="AA1725" s="33" t="inlineStr">
        <is>
          <t>2</t>
        </is>
      </c>
      <c r="AB1725" s="33" t="inlineStr">
        <is>
          <t>https://www.swimcloud.com/results/341950/event/16/?id=150455350#time150455350</t>
        </is>
      </c>
      <c r="AC1725" s="33" t="inlineStr">
        <is>
          <t>SwimCloud API v6 2026-10-08</t>
        </is>
      </c>
      <c r="AD1725" s="33" t="inlineStr">
        <is>
          <t>Laon Kim|2025-04-11|LCM|100|Free|49.8|Speedo Canadian Swimming Open|PRE|False</t>
        </is>
      </c>
      <c r="AE1725" s="53">
        <f>G1725+L1725/1000+ROW()/1000000000</f>
        <v/>
      </c>
      <c r="AF1725" s="35">
        <f>IF(C1725&lt;&gt;"Grayson Coulter","",COUNTIFS($C$5:$C$2991,"Grayson Coulter",$Q$5:$Q$2991,Q1725,$AE$5:$AE$2991,"&lt;="&amp;AE1725,$R$5:$R$2991,"&lt;"&amp;R1725))</f>
        <v/>
      </c>
      <c r="AG1725" s="35">
        <f>IF(OR(C1725&lt;&gt;"Grayson Coulter",G1725&lt;'00_Control'!$B$7),"",--(AF1725&lt;5))</f>
        <v/>
      </c>
      <c r="AH1725" s="35">
        <f>IF(OR(C1725&lt;&gt;"Grayson Coulter",G1725&lt;'00_Control'!$B$7),"",--(AF1725&lt;10))</f>
        <v/>
      </c>
      <c r="AI1725" s="35">
        <f>IF(AND(C1725="Grayson Coulter",G1725&gt;='00_Control'!$B$7),"YES","NO")</f>
        <v/>
      </c>
      <c r="AJ1725" s="33" t="inlineStr">
        <is>
          <t>OK</t>
        </is>
      </c>
    </row>
    <row r="1726">
      <c r="A1726" s="33" t="inlineStr">
        <is>
          <t>SM001722</t>
        </is>
      </c>
      <c r="B1726" s="33" t="inlineStr">
        <is>
          <t>SW007</t>
        </is>
      </c>
      <c r="C1726" s="33" t="inlineStr">
        <is>
          <t>Laon Kim</t>
        </is>
      </c>
      <c r="D1726" s="33" t="inlineStr">
        <is>
          <t>SwimCloud</t>
        </is>
      </c>
      <c r="E1726" s="33" t="inlineStr">
        <is>
          <t>2829279</t>
        </is>
      </c>
      <c r="F1726" s="33" t="inlineStr">
        <is>
          <t>150455351</t>
        </is>
      </c>
      <c r="G1726" s="51" t="n">
        <v>45758</v>
      </c>
      <c r="H1726" s="33" t="inlineStr">
        <is>
          <t>Speedo Canadian Swimming Open</t>
        </is>
      </c>
      <c r="I1726" s="33" t="inlineStr">
        <is>
          <t>341950</t>
        </is>
      </c>
      <c r="J1726" s="33" t="inlineStr"/>
      <c r="K1726" s="33" t="inlineStr">
        <is>
          <t>FIN</t>
        </is>
      </c>
      <c r="L1726" s="35">
        <f>IF(K1726="FIN",3,IF(OR(K1726="SEM",K1726="SEMI"),2,IF(OR(K1726="PRE",K1726="HEAT"),1,IF(V1726="YES",4,2))))</f>
        <v/>
      </c>
      <c r="M1726" s="33" t="inlineStr">
        <is>
          <t>LCM</t>
        </is>
      </c>
      <c r="N1726" s="33" t="n">
        <v>100</v>
      </c>
      <c r="O1726" s="33" t="inlineStr">
        <is>
          <t>Free</t>
        </is>
      </c>
      <c r="P1726" s="33" t="inlineStr">
        <is>
          <t>100 Free</t>
        </is>
      </c>
      <c r="Q1726" s="33" t="inlineStr">
        <is>
          <t>LCM_100_FREE</t>
        </is>
      </c>
      <c r="R1726" s="36" t="n">
        <v>49.98</v>
      </c>
      <c r="S1726" s="35">
        <f>IF(R1726="","",IF(R1726&gt;=60,INT(R1726/60)&amp;":"&amp;TEXT(MOD(R1726,60),"00.00"),TEXT(R1726,"0.00")))</f>
        <v/>
      </c>
      <c r="T1726" s="52">
        <f>IFERROR((G1726-INDEX('01_Swimmers'!$E$5:$E$22,MATCH(B1726,'01_Swimmers'!$A$5:$A$22,0)))/'00_Control'!$B$10,"")</f>
        <v/>
      </c>
      <c r="U1726" s="35">
        <f>IF(T1726="","",INT(T1726))</f>
        <v/>
      </c>
      <c r="V1726" s="33" t="inlineStr">
        <is>
          <t>NO</t>
        </is>
      </c>
      <c r="W1726" s="33" t="inlineStr">
        <is>
          <t>YES</t>
        </is>
      </c>
      <c r="X1726" s="33" t="inlineStr">
        <is>
          <t>NO</t>
        </is>
      </c>
      <c r="Y1726" s="33" t="n">
        <v>0</v>
      </c>
      <c r="Z1726" s="33" t="n">
        <v>5</v>
      </c>
      <c r="AA1726" s="33" t="inlineStr">
        <is>
          <t>2</t>
        </is>
      </c>
      <c r="AB1726" s="33" t="inlineStr">
        <is>
          <t>https://www.swimcloud.com/results/341950/event/16/?id=150455351#time150455351</t>
        </is>
      </c>
      <c r="AC1726" s="33" t="inlineStr">
        <is>
          <t>SwimCloud API v6 2026-10-08</t>
        </is>
      </c>
      <c r="AD1726" s="33" t="inlineStr">
        <is>
          <t>Laon Kim|2025-04-11|LCM|100|Free|49.98|Speedo Canadian Swimming Open|FIN|False</t>
        </is>
      </c>
      <c r="AE1726" s="53">
        <f>G1726+L1726/1000+ROW()/1000000000</f>
        <v/>
      </c>
      <c r="AF1726" s="35">
        <f>IF(C1726&lt;&gt;"Grayson Coulter","",COUNTIFS($C$5:$C$2991,"Grayson Coulter",$Q$5:$Q$2991,Q1726,$AE$5:$AE$2991,"&lt;="&amp;AE1726,$R$5:$R$2991,"&lt;"&amp;R1726))</f>
        <v/>
      </c>
      <c r="AG1726" s="35">
        <f>IF(OR(C1726&lt;&gt;"Grayson Coulter",G1726&lt;'00_Control'!$B$7),"",--(AF1726&lt;5))</f>
        <v/>
      </c>
      <c r="AH1726" s="35">
        <f>IF(OR(C1726&lt;&gt;"Grayson Coulter",G1726&lt;'00_Control'!$B$7),"",--(AF1726&lt;10))</f>
        <v/>
      </c>
      <c r="AI1726" s="35">
        <f>IF(AND(C1726="Grayson Coulter",G1726&gt;='00_Control'!$B$7),"YES","NO")</f>
        <v/>
      </c>
      <c r="AJ1726" s="33" t="inlineStr">
        <is>
          <t>OK</t>
        </is>
      </c>
    </row>
    <row r="1727">
      <c r="A1727" s="33" t="inlineStr">
        <is>
          <t>SM001723</t>
        </is>
      </c>
      <c r="B1727" s="33" t="inlineStr">
        <is>
          <t>SW007</t>
        </is>
      </c>
      <c r="C1727" s="33" t="inlineStr">
        <is>
          <t>Laon Kim</t>
        </is>
      </c>
      <c r="D1727" s="33" t="inlineStr">
        <is>
          <t>SwimCloud</t>
        </is>
      </c>
      <c r="E1727" s="33" t="inlineStr">
        <is>
          <t>2829279</t>
        </is>
      </c>
      <c r="F1727" s="33" t="inlineStr">
        <is>
          <t>150455513</t>
        </is>
      </c>
      <c r="G1727" s="51" t="n">
        <v>45759</v>
      </c>
      <c r="H1727" s="33" t="inlineStr">
        <is>
          <t>Speedo Canadian Swimming Open</t>
        </is>
      </c>
      <c r="I1727" s="33" t="inlineStr">
        <is>
          <t>341950</t>
        </is>
      </c>
      <c r="J1727" s="33" t="inlineStr"/>
      <c r="K1727" s="33" t="inlineStr">
        <is>
          <t>PRE</t>
        </is>
      </c>
      <c r="L1727" s="35">
        <f>IF(K1727="FIN",3,IF(OR(K1727="SEM",K1727="SEMI"),2,IF(OR(K1727="PRE",K1727="HEAT"),1,IF(V1727="YES",4,2))))</f>
        <v/>
      </c>
      <c r="M1727" s="33" t="inlineStr">
        <is>
          <t>LCM</t>
        </is>
      </c>
      <c r="N1727" s="33" t="n">
        <v>100</v>
      </c>
      <c r="O1727" s="33" t="inlineStr">
        <is>
          <t>Fly</t>
        </is>
      </c>
      <c r="P1727" s="33" t="inlineStr">
        <is>
          <t>100 Fly</t>
        </is>
      </c>
      <c r="Q1727" s="33" t="inlineStr">
        <is>
          <t>LCM_100_FLY</t>
        </is>
      </c>
      <c r="R1727" s="36" t="n">
        <v>55.08</v>
      </c>
      <c r="S1727" s="35">
        <f>IF(R1727="","",IF(R1727&gt;=60,INT(R1727/60)&amp;":"&amp;TEXT(MOD(R1727,60),"00.00"),TEXT(R1727,"0.00")))</f>
        <v/>
      </c>
      <c r="T1727" s="52">
        <f>IFERROR((G1727-INDEX('01_Swimmers'!$E$5:$E$22,MATCH(B1727,'01_Swimmers'!$A$5:$A$22,0)))/'00_Control'!$B$10,"")</f>
        <v/>
      </c>
      <c r="U1727" s="35">
        <f>IF(T1727="","",INT(T1727))</f>
        <v/>
      </c>
      <c r="V1727" s="33" t="inlineStr">
        <is>
          <t>NO</t>
        </is>
      </c>
      <c r="W1727" s="33" t="inlineStr">
        <is>
          <t>YES</t>
        </is>
      </c>
      <c r="X1727" s="33" t="inlineStr">
        <is>
          <t>NO</t>
        </is>
      </c>
      <c r="Y1727" s="33" t="n">
        <v>2</v>
      </c>
      <c r="Z1727" s="33" t="n">
        <v>3</v>
      </c>
      <c r="AA1727" s="33" t="inlineStr">
        <is>
          <t>5</t>
        </is>
      </c>
      <c r="AB1727" s="33" t="inlineStr">
        <is>
          <t>https://www.swimcloud.com/results/341950/event/24/?id=150455513#time150455513</t>
        </is>
      </c>
      <c r="AC1727" s="33" t="inlineStr">
        <is>
          <t>SwimCloud API v6 2026-10-08</t>
        </is>
      </c>
      <c r="AD1727" s="33" t="inlineStr">
        <is>
          <t>Laon Kim|2025-04-12|LCM|100|Fly|55.08|Speedo Canadian Swimming Open|PRE|False</t>
        </is>
      </c>
      <c r="AE1727" s="53">
        <f>G1727+L1727/1000+ROW()/1000000000</f>
        <v/>
      </c>
      <c r="AF1727" s="35">
        <f>IF(C1727&lt;&gt;"Grayson Coulter","",COUNTIFS($C$5:$C$2991,"Grayson Coulter",$Q$5:$Q$2991,Q1727,$AE$5:$AE$2991,"&lt;="&amp;AE1727,$R$5:$R$2991,"&lt;"&amp;R1727))</f>
        <v/>
      </c>
      <c r="AG1727" s="35">
        <f>IF(OR(C1727&lt;&gt;"Grayson Coulter",G1727&lt;'00_Control'!$B$7),"",--(AF1727&lt;5))</f>
        <v/>
      </c>
      <c r="AH1727" s="35">
        <f>IF(OR(C1727&lt;&gt;"Grayson Coulter",G1727&lt;'00_Control'!$B$7),"",--(AF1727&lt;10))</f>
        <v/>
      </c>
      <c r="AI1727" s="35">
        <f>IF(AND(C1727="Grayson Coulter",G1727&gt;='00_Control'!$B$7),"YES","NO")</f>
        <v/>
      </c>
      <c r="AJ1727" s="33" t="inlineStr">
        <is>
          <t>OK</t>
        </is>
      </c>
    </row>
    <row r="1728">
      <c r="A1728" s="33" t="inlineStr">
        <is>
          <t>SM001724</t>
        </is>
      </c>
      <c r="B1728" s="33" t="inlineStr">
        <is>
          <t>SW007</t>
        </is>
      </c>
      <c r="C1728" s="33" t="inlineStr">
        <is>
          <t>Laon Kim</t>
        </is>
      </c>
      <c r="D1728" s="33" t="inlineStr">
        <is>
          <t>SwimCloud</t>
        </is>
      </c>
      <c r="E1728" s="33" t="inlineStr">
        <is>
          <t>2829279</t>
        </is>
      </c>
      <c r="F1728" s="33" t="inlineStr">
        <is>
          <t>150455514</t>
        </is>
      </c>
      <c r="G1728" s="51" t="n">
        <v>45759</v>
      </c>
      <c r="H1728" s="33" t="inlineStr">
        <is>
          <t>Speedo Canadian Swimming Open</t>
        </is>
      </c>
      <c r="I1728" s="33" t="inlineStr">
        <is>
          <t>341950</t>
        </is>
      </c>
      <c r="J1728" s="33" t="inlineStr"/>
      <c r="K1728" s="33" t="inlineStr">
        <is>
          <t>FIN</t>
        </is>
      </c>
      <c r="L1728" s="35">
        <f>IF(K1728="FIN",3,IF(OR(K1728="SEM",K1728="SEMI"),2,IF(OR(K1728="PRE",K1728="HEAT"),1,IF(V1728="YES",4,2))))</f>
        <v/>
      </c>
      <c r="M1728" s="33" t="inlineStr">
        <is>
          <t>LCM</t>
        </is>
      </c>
      <c r="N1728" s="33" t="n">
        <v>100</v>
      </c>
      <c r="O1728" s="33" t="inlineStr">
        <is>
          <t>Fly</t>
        </is>
      </c>
      <c r="P1728" s="33" t="inlineStr">
        <is>
          <t>100 Fly</t>
        </is>
      </c>
      <c r="Q1728" s="33" t="inlineStr">
        <is>
          <t>LCM_100_FLY</t>
        </is>
      </c>
      <c r="R1728" s="36" t="n">
        <v>55.04</v>
      </c>
      <c r="S1728" s="35">
        <f>IF(R1728="","",IF(R1728&gt;=60,INT(R1728/60)&amp;":"&amp;TEXT(MOD(R1728,60),"00.00"),TEXT(R1728,"0.00")))</f>
        <v/>
      </c>
      <c r="T1728" s="52">
        <f>IFERROR((G1728-INDEX('01_Swimmers'!$E$5:$E$22,MATCH(B1728,'01_Swimmers'!$A$5:$A$22,0)))/'00_Control'!$B$10,"")</f>
        <v/>
      </c>
      <c r="U1728" s="35">
        <f>IF(T1728="","",INT(T1728))</f>
        <v/>
      </c>
      <c r="V1728" s="33" t="inlineStr">
        <is>
          <t>NO</t>
        </is>
      </c>
      <c r="W1728" s="33" t="inlineStr">
        <is>
          <t>YES</t>
        </is>
      </c>
      <c r="X1728" s="33" t="inlineStr">
        <is>
          <t>NO</t>
        </is>
      </c>
      <c r="Y1728" s="33" t="n">
        <v>0</v>
      </c>
      <c r="Z1728" s="33" t="n">
        <v>2</v>
      </c>
      <c r="AA1728" s="33" t="inlineStr">
        <is>
          <t>4</t>
        </is>
      </c>
      <c r="AB1728" s="33" t="inlineStr">
        <is>
          <t>https://www.swimcloud.com/results/341950/event/24/?id=150455514#time150455514</t>
        </is>
      </c>
      <c r="AC1728" s="33" t="inlineStr">
        <is>
          <t>SwimCloud API v6 2026-10-08</t>
        </is>
      </c>
      <c r="AD1728" s="33" t="inlineStr">
        <is>
          <t>Laon Kim|2025-04-12|LCM|100|Fly|55.04|Speedo Canadian Swimming Open|FIN|False</t>
        </is>
      </c>
      <c r="AE1728" s="53">
        <f>G1728+L1728/1000+ROW()/1000000000</f>
        <v/>
      </c>
      <c r="AF1728" s="35">
        <f>IF(C1728&lt;&gt;"Grayson Coulter","",COUNTIFS($C$5:$C$2991,"Grayson Coulter",$Q$5:$Q$2991,Q1728,$AE$5:$AE$2991,"&lt;="&amp;AE1728,$R$5:$R$2991,"&lt;"&amp;R1728))</f>
        <v/>
      </c>
      <c r="AG1728" s="35">
        <f>IF(OR(C1728&lt;&gt;"Grayson Coulter",G1728&lt;'00_Control'!$B$7),"",--(AF1728&lt;5))</f>
        <v/>
      </c>
      <c r="AH1728" s="35">
        <f>IF(OR(C1728&lt;&gt;"Grayson Coulter",G1728&lt;'00_Control'!$B$7),"",--(AF1728&lt;10))</f>
        <v/>
      </c>
      <c r="AI1728" s="35">
        <f>IF(AND(C1728="Grayson Coulter",G1728&gt;='00_Control'!$B$7),"YES","NO")</f>
        <v/>
      </c>
      <c r="AJ1728" s="33" t="inlineStr">
        <is>
          <t>OK</t>
        </is>
      </c>
    </row>
    <row r="1729">
      <c r="A1729" s="33" t="inlineStr">
        <is>
          <t>SM001725</t>
        </is>
      </c>
      <c r="B1729" s="33" t="inlineStr">
        <is>
          <t>SW007</t>
        </is>
      </c>
      <c r="C1729" s="33" t="inlineStr">
        <is>
          <t>Laon Kim</t>
        </is>
      </c>
      <c r="D1729" s="33" t="inlineStr">
        <is>
          <t>SwimCloud</t>
        </is>
      </c>
      <c r="E1729" s="33" t="inlineStr">
        <is>
          <t>2829279</t>
        </is>
      </c>
      <c r="F1729" s="33" t="inlineStr">
        <is>
          <t>150455971</t>
        </is>
      </c>
      <c r="G1729" s="51" t="n">
        <v>45759</v>
      </c>
      <c r="H1729" s="33" t="inlineStr">
        <is>
          <t>Speedo Canadian Swimming Open</t>
        </is>
      </c>
      <c r="I1729" s="33" t="inlineStr">
        <is>
          <t>341950</t>
        </is>
      </c>
      <c r="J1729" s="33" t="inlineStr"/>
      <c r="K1729" s="33" t="inlineStr">
        <is>
          <t>PRE</t>
        </is>
      </c>
      <c r="L1729" s="35">
        <f>IF(K1729="FIN",3,IF(OR(K1729="SEM",K1729="SEMI"),2,IF(OR(K1729="PRE",K1729="HEAT"),1,IF(V1729="YES",4,2))))</f>
        <v/>
      </c>
      <c r="M1729" s="33" t="inlineStr">
        <is>
          <t>LCM</t>
        </is>
      </c>
      <c r="N1729" s="33" t="n">
        <v>400</v>
      </c>
      <c r="O1729" s="33" t="inlineStr">
        <is>
          <t>Free</t>
        </is>
      </c>
      <c r="P1729" s="33" t="inlineStr">
        <is>
          <t>400 Free</t>
        </is>
      </c>
      <c r="Q1729" s="33" t="inlineStr">
        <is>
          <t>LCM_400_FREE</t>
        </is>
      </c>
      <c r="R1729" s="36" t="n">
        <v>242.16</v>
      </c>
      <c r="S1729" s="35">
        <f>IF(R1729="","",IF(R1729&gt;=60,INT(R1729/60)&amp;":"&amp;TEXT(MOD(R1729,60),"00.00"),TEXT(R1729,"0.00")))</f>
        <v/>
      </c>
      <c r="T1729" s="52">
        <f>IFERROR((G1729-INDEX('01_Swimmers'!$E$5:$E$22,MATCH(B1729,'01_Swimmers'!$A$5:$A$22,0)))/'00_Control'!$B$10,"")</f>
        <v/>
      </c>
      <c r="U1729" s="35">
        <f>IF(T1729="","",INT(T1729))</f>
        <v/>
      </c>
      <c r="V1729" s="33" t="inlineStr">
        <is>
          <t>NO</t>
        </is>
      </c>
      <c r="W1729" s="33" t="inlineStr">
        <is>
          <t>YES</t>
        </is>
      </c>
      <c r="X1729" s="33" t="inlineStr">
        <is>
          <t>NO</t>
        </is>
      </c>
      <c r="Y1729" s="33" t="n">
        <v>3</v>
      </c>
      <c r="Z1729" s="33" t="n">
        <v>4</v>
      </c>
      <c r="AA1729" s="33" t="inlineStr">
        <is>
          <t>6</t>
        </is>
      </c>
      <c r="AB1729" s="33" t="inlineStr">
        <is>
          <t>https://www.swimcloud.com/results/341950/event/32/?id=150455971#time150455971</t>
        </is>
      </c>
      <c r="AC1729" s="33" t="inlineStr">
        <is>
          <t>SwimCloud API v6 2026-10-08</t>
        </is>
      </c>
      <c r="AD1729" s="33" t="inlineStr">
        <is>
          <t>Laon Kim|2025-04-12|LCM|400|Free|242.16|Speedo Canadian Swimming Open|PRE|False</t>
        </is>
      </c>
      <c r="AE1729" s="53">
        <f>G1729+L1729/1000+ROW()/1000000000</f>
        <v/>
      </c>
      <c r="AF1729" s="35">
        <f>IF(C1729&lt;&gt;"Grayson Coulter","",COUNTIFS($C$5:$C$2991,"Grayson Coulter",$Q$5:$Q$2991,Q1729,$AE$5:$AE$2991,"&lt;="&amp;AE1729,$R$5:$R$2991,"&lt;"&amp;R1729))</f>
        <v/>
      </c>
      <c r="AG1729" s="35">
        <f>IF(OR(C1729&lt;&gt;"Grayson Coulter",G1729&lt;'00_Control'!$B$7),"",--(AF1729&lt;5))</f>
        <v/>
      </c>
      <c r="AH1729" s="35">
        <f>IF(OR(C1729&lt;&gt;"Grayson Coulter",G1729&lt;'00_Control'!$B$7),"",--(AF1729&lt;10))</f>
        <v/>
      </c>
      <c r="AI1729" s="35">
        <f>IF(AND(C1729="Grayson Coulter",G1729&gt;='00_Control'!$B$7),"YES","NO")</f>
        <v/>
      </c>
      <c r="AJ1729" s="33" t="inlineStr">
        <is>
          <t>OK</t>
        </is>
      </c>
    </row>
    <row r="1730">
      <c r="A1730" s="33" t="inlineStr">
        <is>
          <t>SM001726</t>
        </is>
      </c>
      <c r="B1730" s="33" t="inlineStr">
        <is>
          <t>SW007</t>
        </is>
      </c>
      <c r="C1730" s="33" t="inlineStr">
        <is>
          <t>Laon Kim</t>
        </is>
      </c>
      <c r="D1730" s="33" t="inlineStr">
        <is>
          <t>SwimCloud</t>
        </is>
      </c>
      <c r="E1730" s="33" t="inlineStr">
        <is>
          <t>2829279</t>
        </is>
      </c>
      <c r="F1730" s="33" t="inlineStr">
        <is>
          <t>150455972</t>
        </is>
      </c>
      <c r="G1730" s="51" t="n">
        <v>45759</v>
      </c>
      <c r="H1730" s="33" t="inlineStr">
        <is>
          <t>Speedo Canadian Swimming Open</t>
        </is>
      </c>
      <c r="I1730" s="33" t="inlineStr">
        <is>
          <t>341950</t>
        </is>
      </c>
      <c r="J1730" s="33" t="inlineStr"/>
      <c r="K1730" s="33" t="inlineStr">
        <is>
          <t>FIN</t>
        </is>
      </c>
      <c r="L1730" s="35">
        <f>IF(K1730="FIN",3,IF(OR(K1730="SEM",K1730="SEMI"),2,IF(OR(K1730="PRE",K1730="HEAT"),1,IF(V1730="YES",4,2))))</f>
        <v/>
      </c>
      <c r="M1730" s="33" t="inlineStr">
        <is>
          <t>LCM</t>
        </is>
      </c>
      <c r="N1730" s="33" t="n">
        <v>400</v>
      </c>
      <c r="O1730" s="33" t="inlineStr">
        <is>
          <t>Free</t>
        </is>
      </c>
      <c r="P1730" s="33" t="inlineStr">
        <is>
          <t>400 Free</t>
        </is>
      </c>
      <c r="Q1730" s="33" t="inlineStr">
        <is>
          <t>LCM_400_FREE</t>
        </is>
      </c>
      <c r="R1730" s="36" t="n">
        <v>242.06</v>
      </c>
      <c r="S1730" s="35">
        <f>IF(R1730="","",IF(R1730&gt;=60,INT(R1730/60)&amp;":"&amp;TEXT(MOD(R1730,60),"00.00"),TEXT(R1730,"0.00")))</f>
        <v/>
      </c>
      <c r="T1730" s="52">
        <f>IFERROR((G1730-INDEX('01_Swimmers'!$E$5:$E$22,MATCH(B1730,'01_Swimmers'!$A$5:$A$22,0)))/'00_Control'!$B$10,"")</f>
        <v/>
      </c>
      <c r="U1730" s="35">
        <f>IF(T1730="","",INT(T1730))</f>
        <v/>
      </c>
      <c r="V1730" s="33" t="inlineStr">
        <is>
          <t>NO</t>
        </is>
      </c>
      <c r="W1730" s="33" t="inlineStr">
        <is>
          <t>YES</t>
        </is>
      </c>
      <c r="X1730" s="33" t="inlineStr">
        <is>
          <t>NO</t>
        </is>
      </c>
      <c r="Y1730" s="33" t="n">
        <v>0</v>
      </c>
      <c r="Z1730" s="33" t="n">
        <v>7</v>
      </c>
      <c r="AA1730" s="33" t="inlineStr">
        <is>
          <t>5</t>
        </is>
      </c>
      <c r="AB1730" s="33" t="inlineStr">
        <is>
          <t>https://www.swimcloud.com/results/341950/event/32/?id=150455972#time150455972</t>
        </is>
      </c>
      <c r="AC1730" s="33" t="inlineStr">
        <is>
          <t>SwimCloud API v6 2026-10-08</t>
        </is>
      </c>
      <c r="AD1730" s="33" t="inlineStr">
        <is>
          <t>Laon Kim|2025-04-12|LCM|400|Free|242.06|Speedo Canadian Swimming Open|FIN|False</t>
        </is>
      </c>
      <c r="AE1730" s="53">
        <f>G1730+L1730/1000+ROW()/1000000000</f>
        <v/>
      </c>
      <c r="AF1730" s="35">
        <f>IF(C1730&lt;&gt;"Grayson Coulter","",COUNTIFS($C$5:$C$2991,"Grayson Coulter",$Q$5:$Q$2991,Q1730,$AE$5:$AE$2991,"&lt;="&amp;AE1730,$R$5:$R$2991,"&lt;"&amp;R1730))</f>
        <v/>
      </c>
      <c r="AG1730" s="35">
        <f>IF(OR(C1730&lt;&gt;"Grayson Coulter",G1730&lt;'00_Control'!$B$7),"",--(AF1730&lt;5))</f>
        <v/>
      </c>
      <c r="AH1730" s="35">
        <f>IF(OR(C1730&lt;&gt;"Grayson Coulter",G1730&lt;'00_Control'!$B$7),"",--(AF1730&lt;10))</f>
        <v/>
      </c>
      <c r="AI1730" s="35">
        <f>IF(AND(C1730="Grayson Coulter",G1730&gt;='00_Control'!$B$7),"YES","NO")</f>
        <v/>
      </c>
      <c r="AJ1730" s="33" t="inlineStr">
        <is>
          <t>OK</t>
        </is>
      </c>
    </row>
    <row r="1731">
      <c r="A1731" s="33" t="inlineStr">
        <is>
          <t>SM001727</t>
        </is>
      </c>
      <c r="B1731" s="33" t="inlineStr">
        <is>
          <t>SW007</t>
        </is>
      </c>
      <c r="C1731" s="33" t="inlineStr">
        <is>
          <t>Laon Kim</t>
        </is>
      </c>
      <c r="D1731" s="33" t="inlineStr">
        <is>
          <t>SwimCloud</t>
        </is>
      </c>
      <c r="E1731" s="33" t="inlineStr">
        <is>
          <t>2829279</t>
        </is>
      </c>
      <c r="F1731" s="33" t="inlineStr">
        <is>
          <t>152254444</t>
        </is>
      </c>
      <c r="G1731" s="51" t="n">
        <v>45793</v>
      </c>
      <c r="H1731" s="33" t="inlineStr">
        <is>
          <t>Mel Zajac Jr. International</t>
        </is>
      </c>
      <c r="I1731" s="33" t="inlineStr">
        <is>
          <t>344249</t>
        </is>
      </c>
      <c r="J1731" s="33" t="inlineStr"/>
      <c r="K1731" s="33" t="inlineStr">
        <is>
          <t>PRE</t>
        </is>
      </c>
      <c r="L1731" s="35">
        <f>IF(K1731="FIN",3,IF(OR(K1731="SEM",K1731="SEMI"),2,IF(OR(K1731="PRE",K1731="HEAT"),1,IF(V1731="YES",4,2))))</f>
        <v/>
      </c>
      <c r="M1731" s="33" t="inlineStr">
        <is>
          <t>LCM</t>
        </is>
      </c>
      <c r="N1731" s="33" t="n">
        <v>200</v>
      </c>
      <c r="O1731" s="33" t="inlineStr">
        <is>
          <t>Free</t>
        </is>
      </c>
      <c r="P1731" s="33" t="inlineStr">
        <is>
          <t>200 Free</t>
        </is>
      </c>
      <c r="Q1731" s="33" t="inlineStr">
        <is>
          <t>LCM_200_FREE</t>
        </is>
      </c>
      <c r="R1731" s="36" t="n">
        <v>110.73</v>
      </c>
      <c r="S1731" s="35">
        <f>IF(R1731="","",IF(R1731&gt;=60,INT(R1731/60)&amp;":"&amp;TEXT(MOD(R1731,60),"00.00"),TEXT(R1731,"0.00")))</f>
        <v/>
      </c>
      <c r="T1731" s="52">
        <f>IFERROR((G1731-INDEX('01_Swimmers'!$E$5:$E$22,MATCH(B1731,'01_Swimmers'!$A$5:$A$22,0)))/'00_Control'!$B$10,"")</f>
        <v/>
      </c>
      <c r="U1731" s="35">
        <f>IF(T1731="","",INT(T1731))</f>
        <v/>
      </c>
      <c r="V1731" s="33" t="inlineStr">
        <is>
          <t>NO</t>
        </is>
      </c>
      <c r="W1731" s="33" t="inlineStr">
        <is>
          <t>YES</t>
        </is>
      </c>
      <c r="X1731" s="33" t="inlineStr">
        <is>
          <t>NO</t>
        </is>
      </c>
      <c r="Y1731" s="33" t="n">
        <v>10</v>
      </c>
      <c r="Z1731" s="33" t="n">
        <v>4</v>
      </c>
      <c r="AA1731" s="33" t="inlineStr">
        <is>
          <t>1</t>
        </is>
      </c>
      <c r="AB1731" s="33" t="inlineStr">
        <is>
          <t>https://www.swimcloud.com/results/344249/event/7/?id=152254444#time152254444</t>
        </is>
      </c>
      <c r="AC1731" s="33" t="inlineStr">
        <is>
          <t>SwimCloud API v6 2026-10-08</t>
        </is>
      </c>
      <c r="AD1731" s="33" t="inlineStr">
        <is>
          <t>Laon Kim|2025-05-16|LCM|200|Free|110.73|Mel Zajac Jr. International|PRE|False</t>
        </is>
      </c>
      <c r="AE1731" s="53">
        <f>G1731+L1731/1000+ROW()/1000000000</f>
        <v/>
      </c>
      <c r="AF1731" s="35">
        <f>IF(C1731&lt;&gt;"Grayson Coulter","",COUNTIFS($C$5:$C$2991,"Grayson Coulter",$Q$5:$Q$2991,Q1731,$AE$5:$AE$2991,"&lt;="&amp;AE1731,$R$5:$R$2991,"&lt;"&amp;R1731))</f>
        <v/>
      </c>
      <c r="AG1731" s="35">
        <f>IF(OR(C1731&lt;&gt;"Grayson Coulter",G1731&lt;'00_Control'!$B$7),"",--(AF1731&lt;5))</f>
        <v/>
      </c>
      <c r="AH1731" s="35">
        <f>IF(OR(C1731&lt;&gt;"Grayson Coulter",G1731&lt;'00_Control'!$B$7),"",--(AF1731&lt;10))</f>
        <v/>
      </c>
      <c r="AI1731" s="35">
        <f>IF(AND(C1731="Grayson Coulter",G1731&gt;='00_Control'!$B$7),"YES","NO")</f>
        <v/>
      </c>
      <c r="AJ1731" s="33" t="inlineStr">
        <is>
          <t>OK</t>
        </is>
      </c>
    </row>
    <row r="1732">
      <c r="A1732" s="33" t="inlineStr">
        <is>
          <t>SM001728</t>
        </is>
      </c>
      <c r="B1732" s="33" t="inlineStr">
        <is>
          <t>SW007</t>
        </is>
      </c>
      <c r="C1732" s="33" t="inlineStr">
        <is>
          <t>Laon Kim</t>
        </is>
      </c>
      <c r="D1732" s="33" t="inlineStr">
        <is>
          <t>SwimCloud</t>
        </is>
      </c>
      <c r="E1732" s="33" t="inlineStr">
        <is>
          <t>2829279</t>
        </is>
      </c>
      <c r="F1732" s="33" t="inlineStr">
        <is>
          <t>152254445</t>
        </is>
      </c>
      <c r="G1732" s="51" t="n">
        <v>45793</v>
      </c>
      <c r="H1732" s="33" t="inlineStr">
        <is>
          <t>Mel Zajac Jr. International</t>
        </is>
      </c>
      <c r="I1732" s="33" t="inlineStr">
        <is>
          <t>344249</t>
        </is>
      </c>
      <c r="J1732" s="33" t="inlineStr"/>
      <c r="K1732" s="33" t="inlineStr">
        <is>
          <t>FIN</t>
        </is>
      </c>
      <c r="L1732" s="35">
        <f>IF(K1732="FIN",3,IF(OR(K1732="SEM",K1732="SEMI"),2,IF(OR(K1732="PRE",K1732="HEAT"),1,IF(V1732="YES",4,2))))</f>
        <v/>
      </c>
      <c r="M1732" s="33" t="inlineStr">
        <is>
          <t>LCM</t>
        </is>
      </c>
      <c r="N1732" s="33" t="n">
        <v>200</v>
      </c>
      <c r="O1732" s="33" t="inlineStr">
        <is>
          <t>Free</t>
        </is>
      </c>
      <c r="P1732" s="33" t="inlineStr">
        <is>
          <t>200 Free</t>
        </is>
      </c>
      <c r="Q1732" s="33" t="inlineStr">
        <is>
          <t>LCM_200_FREE</t>
        </is>
      </c>
      <c r="R1732" s="36" t="n">
        <v>109.59</v>
      </c>
      <c r="S1732" s="35">
        <f>IF(R1732="","",IF(R1732&gt;=60,INT(R1732/60)&amp;":"&amp;TEXT(MOD(R1732,60),"00.00"),TEXT(R1732,"0.00")))</f>
        <v/>
      </c>
      <c r="T1732" s="52">
        <f>IFERROR((G1732-INDEX('01_Swimmers'!$E$5:$E$22,MATCH(B1732,'01_Swimmers'!$A$5:$A$22,0)))/'00_Control'!$B$10,"")</f>
        <v/>
      </c>
      <c r="U1732" s="35">
        <f>IF(T1732="","",INT(T1732))</f>
        <v/>
      </c>
      <c r="V1732" s="33" t="inlineStr">
        <is>
          <t>NO</t>
        </is>
      </c>
      <c r="W1732" s="33" t="inlineStr">
        <is>
          <t>YES</t>
        </is>
      </c>
      <c r="X1732" s="33" t="inlineStr">
        <is>
          <t>NO</t>
        </is>
      </c>
      <c r="Y1732" s="33" t="n">
        <v>1</v>
      </c>
      <c r="Z1732" s="33" t="n">
        <v>4</v>
      </c>
      <c r="AA1732" s="33" t="inlineStr">
        <is>
          <t>1</t>
        </is>
      </c>
      <c r="AB1732" s="33" t="inlineStr">
        <is>
          <t>https://www.swimcloud.com/results/344249/event/7/?id=152254445#time152254445</t>
        </is>
      </c>
      <c r="AC1732" s="33" t="inlineStr">
        <is>
          <t>SwimCloud API v6 2026-10-08</t>
        </is>
      </c>
      <c r="AD1732" s="33" t="inlineStr">
        <is>
          <t>Laon Kim|2025-05-16|LCM|200|Free|109.59|Mel Zajac Jr. International|FIN|False</t>
        </is>
      </c>
      <c r="AE1732" s="53">
        <f>G1732+L1732/1000+ROW()/1000000000</f>
        <v/>
      </c>
      <c r="AF1732" s="35">
        <f>IF(C1732&lt;&gt;"Grayson Coulter","",COUNTIFS($C$5:$C$2991,"Grayson Coulter",$Q$5:$Q$2991,Q1732,$AE$5:$AE$2991,"&lt;="&amp;AE1732,$R$5:$R$2991,"&lt;"&amp;R1732))</f>
        <v/>
      </c>
      <c r="AG1732" s="35">
        <f>IF(OR(C1732&lt;&gt;"Grayson Coulter",G1732&lt;'00_Control'!$B$7),"",--(AF1732&lt;5))</f>
        <v/>
      </c>
      <c r="AH1732" s="35">
        <f>IF(OR(C1732&lt;&gt;"Grayson Coulter",G1732&lt;'00_Control'!$B$7),"",--(AF1732&lt;10))</f>
        <v/>
      </c>
      <c r="AI1732" s="35">
        <f>IF(AND(C1732="Grayson Coulter",G1732&gt;='00_Control'!$B$7),"YES","NO")</f>
        <v/>
      </c>
      <c r="AJ1732" s="33" t="inlineStr">
        <is>
          <t>OK</t>
        </is>
      </c>
    </row>
    <row r="1733">
      <c r="A1733" s="33" t="inlineStr">
        <is>
          <t>SM001729</t>
        </is>
      </c>
      <c r="B1733" s="33" t="inlineStr">
        <is>
          <t>SW007</t>
        </is>
      </c>
      <c r="C1733" s="33" t="inlineStr">
        <is>
          <t>Laon Kim</t>
        </is>
      </c>
      <c r="D1733" s="33" t="inlineStr">
        <is>
          <t>SwimCloud</t>
        </is>
      </c>
      <c r="E1733" s="33" t="inlineStr">
        <is>
          <t>2829279</t>
        </is>
      </c>
      <c r="F1733" s="33" t="inlineStr">
        <is>
          <t>152253285</t>
        </is>
      </c>
      <c r="G1733" s="51" t="n">
        <v>45795</v>
      </c>
      <c r="H1733" s="33" t="inlineStr">
        <is>
          <t>Mel Zajac Jr. International</t>
        </is>
      </c>
      <c r="I1733" s="33" t="inlineStr">
        <is>
          <t>344249</t>
        </is>
      </c>
      <c r="J1733" s="33" t="inlineStr"/>
      <c r="K1733" s="33" t="inlineStr">
        <is>
          <t>PRE</t>
        </is>
      </c>
      <c r="L1733" s="35">
        <f>IF(K1733="FIN",3,IF(OR(K1733="SEM",K1733="SEMI"),2,IF(OR(K1733="PRE",K1733="HEAT"),1,IF(V1733="YES",4,2))))</f>
        <v/>
      </c>
      <c r="M1733" s="33" t="inlineStr">
        <is>
          <t>LCM</t>
        </is>
      </c>
      <c r="N1733" s="33" t="n">
        <v>100</v>
      </c>
      <c r="O1733" s="33" t="inlineStr">
        <is>
          <t>Free</t>
        </is>
      </c>
      <c r="P1733" s="33" t="inlineStr">
        <is>
          <t>100 Free</t>
        </is>
      </c>
      <c r="Q1733" s="33" t="inlineStr">
        <is>
          <t>LCM_100_FREE</t>
        </is>
      </c>
      <c r="R1733" s="36" t="n">
        <v>50.7</v>
      </c>
      <c r="S1733" s="35">
        <f>IF(R1733="","",IF(R1733&gt;=60,INT(R1733/60)&amp;":"&amp;TEXT(MOD(R1733,60),"00.00"),TEXT(R1733,"0.00")))</f>
        <v/>
      </c>
      <c r="T1733" s="52">
        <f>IFERROR((G1733-INDEX('01_Swimmers'!$E$5:$E$22,MATCH(B1733,'01_Swimmers'!$A$5:$A$22,0)))/'00_Control'!$B$10,"")</f>
        <v/>
      </c>
      <c r="U1733" s="35">
        <f>IF(T1733="","",INT(T1733))</f>
        <v/>
      </c>
      <c r="V1733" s="33" t="inlineStr">
        <is>
          <t>NO</t>
        </is>
      </c>
      <c r="W1733" s="33" t="inlineStr">
        <is>
          <t>YES</t>
        </is>
      </c>
      <c r="X1733" s="33" t="inlineStr">
        <is>
          <t>NO</t>
        </is>
      </c>
      <c r="Y1733" s="33" t="n">
        <v>15</v>
      </c>
      <c r="Z1733" s="33" t="n">
        <v>4</v>
      </c>
      <c r="AA1733" s="33" t="inlineStr">
        <is>
          <t>3</t>
        </is>
      </c>
      <c r="AB1733" s="33" t="inlineStr">
        <is>
          <t>https://www.swimcloud.com/results/344249/event/37/?id=152253285#time152253285</t>
        </is>
      </c>
      <c r="AC1733" s="33" t="inlineStr">
        <is>
          <t>SwimCloud API v6 2026-10-08</t>
        </is>
      </c>
      <c r="AD1733" s="33" t="inlineStr">
        <is>
          <t>Laon Kim|2025-05-18|LCM|100|Free|50.7|Mel Zajac Jr. International|PRE|False</t>
        </is>
      </c>
      <c r="AE1733" s="53">
        <f>G1733+L1733/1000+ROW()/1000000000</f>
        <v/>
      </c>
      <c r="AF1733" s="35">
        <f>IF(C1733&lt;&gt;"Grayson Coulter","",COUNTIFS($C$5:$C$2991,"Grayson Coulter",$Q$5:$Q$2991,Q1733,$AE$5:$AE$2991,"&lt;="&amp;AE1733,$R$5:$R$2991,"&lt;"&amp;R1733))</f>
        <v/>
      </c>
      <c r="AG1733" s="35">
        <f>IF(OR(C1733&lt;&gt;"Grayson Coulter",G1733&lt;'00_Control'!$B$7),"",--(AF1733&lt;5))</f>
        <v/>
      </c>
      <c r="AH1733" s="35">
        <f>IF(OR(C1733&lt;&gt;"Grayson Coulter",G1733&lt;'00_Control'!$B$7),"",--(AF1733&lt;10))</f>
        <v/>
      </c>
      <c r="AI1733" s="35">
        <f>IF(AND(C1733="Grayson Coulter",G1733&gt;='00_Control'!$B$7),"YES","NO")</f>
        <v/>
      </c>
      <c r="AJ1733" s="33" t="inlineStr">
        <is>
          <t>OK</t>
        </is>
      </c>
    </row>
    <row r="1734">
      <c r="A1734" s="33" t="inlineStr">
        <is>
          <t>SM001730</t>
        </is>
      </c>
      <c r="B1734" s="33" t="inlineStr">
        <is>
          <t>SW007</t>
        </is>
      </c>
      <c r="C1734" s="33" t="inlineStr">
        <is>
          <t>Laon Kim</t>
        </is>
      </c>
      <c r="D1734" s="33" t="inlineStr">
        <is>
          <t>SwimCloud</t>
        </is>
      </c>
      <c r="E1734" s="33" t="inlineStr">
        <is>
          <t>2829279</t>
        </is>
      </c>
      <c r="F1734" s="33" t="inlineStr">
        <is>
          <t>152253286</t>
        </is>
      </c>
      <c r="G1734" s="51" t="n">
        <v>45795</v>
      </c>
      <c r="H1734" s="33" t="inlineStr">
        <is>
          <t>Mel Zajac Jr. International</t>
        </is>
      </c>
      <c r="I1734" s="33" t="inlineStr">
        <is>
          <t>344249</t>
        </is>
      </c>
      <c r="J1734" s="33" t="inlineStr"/>
      <c r="K1734" s="33" t="inlineStr">
        <is>
          <t>FIN</t>
        </is>
      </c>
      <c r="L1734" s="35">
        <f>IF(K1734="FIN",3,IF(OR(K1734="SEM",K1734="SEMI"),2,IF(OR(K1734="PRE",K1734="HEAT"),1,IF(V1734="YES",4,2))))</f>
        <v/>
      </c>
      <c r="M1734" s="33" t="inlineStr">
        <is>
          <t>LCM</t>
        </is>
      </c>
      <c r="N1734" s="33" t="n">
        <v>100</v>
      </c>
      <c r="O1734" s="33" t="inlineStr">
        <is>
          <t>Free</t>
        </is>
      </c>
      <c r="P1734" s="33" t="inlineStr">
        <is>
          <t>100 Free</t>
        </is>
      </c>
      <c r="Q1734" s="33" t="inlineStr">
        <is>
          <t>LCM_100_FREE</t>
        </is>
      </c>
      <c r="R1734" s="36" t="n">
        <v>49.77</v>
      </c>
      <c r="S1734" s="35">
        <f>IF(R1734="","",IF(R1734&gt;=60,INT(R1734/60)&amp;":"&amp;TEXT(MOD(R1734,60),"00.00"),TEXT(R1734,"0.00")))</f>
        <v/>
      </c>
      <c r="T1734" s="52">
        <f>IFERROR((G1734-INDEX('01_Swimmers'!$E$5:$E$22,MATCH(B1734,'01_Swimmers'!$A$5:$A$22,0)))/'00_Control'!$B$10,"")</f>
        <v/>
      </c>
      <c r="U1734" s="35">
        <f>IF(T1734="","",INT(T1734))</f>
        <v/>
      </c>
      <c r="V1734" s="33" t="inlineStr">
        <is>
          <t>NO</t>
        </is>
      </c>
      <c r="W1734" s="33" t="inlineStr">
        <is>
          <t>YES</t>
        </is>
      </c>
      <c r="X1734" s="33" t="inlineStr">
        <is>
          <t>NO</t>
        </is>
      </c>
      <c r="Y1734" s="33" t="n">
        <v>1</v>
      </c>
      <c r="Z1734" s="33" t="n">
        <v>3</v>
      </c>
      <c r="AA1734" s="33" t="inlineStr">
        <is>
          <t>1</t>
        </is>
      </c>
      <c r="AB1734" s="33" t="inlineStr">
        <is>
          <t>https://www.swimcloud.com/results/344249/event/37/?id=152253286#time152253286</t>
        </is>
      </c>
      <c r="AC1734" s="33" t="inlineStr">
        <is>
          <t>SwimCloud API v6 2026-10-08</t>
        </is>
      </c>
      <c r="AD1734" s="33" t="inlineStr">
        <is>
          <t>Laon Kim|2025-05-18|LCM|100|Free|49.77|Mel Zajac Jr. International|FIN|False</t>
        </is>
      </c>
      <c r="AE1734" s="53">
        <f>G1734+L1734/1000+ROW()/1000000000</f>
        <v/>
      </c>
      <c r="AF1734" s="35">
        <f>IF(C1734&lt;&gt;"Grayson Coulter","",COUNTIFS($C$5:$C$2991,"Grayson Coulter",$Q$5:$Q$2991,Q1734,$AE$5:$AE$2991,"&lt;="&amp;AE1734,$R$5:$R$2991,"&lt;"&amp;R1734))</f>
        <v/>
      </c>
      <c r="AG1734" s="35">
        <f>IF(OR(C1734&lt;&gt;"Grayson Coulter",G1734&lt;'00_Control'!$B$7),"",--(AF1734&lt;5))</f>
        <v/>
      </c>
      <c r="AH1734" s="35">
        <f>IF(OR(C1734&lt;&gt;"Grayson Coulter",G1734&lt;'00_Control'!$B$7),"",--(AF1734&lt;10))</f>
        <v/>
      </c>
      <c r="AI1734" s="35">
        <f>IF(AND(C1734="Grayson Coulter",G1734&gt;='00_Control'!$B$7),"YES","NO")</f>
        <v/>
      </c>
      <c r="AJ1734" s="33" t="inlineStr">
        <is>
          <t>OK</t>
        </is>
      </c>
    </row>
    <row r="1735">
      <c r="A1735" s="33" t="inlineStr">
        <is>
          <t>SM001731</t>
        </is>
      </c>
      <c r="B1735" s="33" t="inlineStr">
        <is>
          <t>SW007</t>
        </is>
      </c>
      <c r="C1735" s="33" t="inlineStr">
        <is>
          <t>Laon Kim</t>
        </is>
      </c>
      <c r="D1735" s="33" t="inlineStr">
        <is>
          <t>SwimCloud</t>
        </is>
      </c>
      <c r="E1735" s="33" t="inlineStr">
        <is>
          <t>2829279</t>
        </is>
      </c>
      <c r="F1735" s="33" t="inlineStr">
        <is>
          <t>153408987</t>
        </is>
      </c>
      <c r="G1735" s="51" t="n">
        <v>45816</v>
      </c>
      <c r="H1735" s="33" t="inlineStr">
        <is>
          <t>Canadian Swimming Trials</t>
        </is>
      </c>
      <c r="I1735" s="33" t="inlineStr">
        <is>
          <t>341199</t>
        </is>
      </c>
      <c r="J1735" s="33" t="inlineStr"/>
      <c r="K1735" s="33" t="inlineStr">
        <is>
          <t>PRE</t>
        </is>
      </c>
      <c r="L1735" s="35">
        <f>IF(K1735="FIN",3,IF(OR(K1735="SEM",K1735="SEMI"),2,IF(OR(K1735="PRE",K1735="HEAT"),1,IF(V1735="YES",4,2))))</f>
        <v/>
      </c>
      <c r="M1735" s="33" t="inlineStr">
        <is>
          <t>LCM</t>
        </is>
      </c>
      <c r="N1735" s="33" t="n">
        <v>100</v>
      </c>
      <c r="O1735" s="33" t="inlineStr">
        <is>
          <t>Fly</t>
        </is>
      </c>
      <c r="P1735" s="33" t="inlineStr">
        <is>
          <t>100 Fly</t>
        </is>
      </c>
      <c r="Q1735" s="33" t="inlineStr">
        <is>
          <t>LCM_100_FLY</t>
        </is>
      </c>
      <c r="R1735" s="36" t="n">
        <v>54.66</v>
      </c>
      <c r="S1735" s="35">
        <f>IF(R1735="","",IF(R1735&gt;=60,INT(R1735/60)&amp;":"&amp;TEXT(MOD(R1735,60),"00.00"),TEXT(R1735,"0.00")))</f>
        <v/>
      </c>
      <c r="T1735" s="52">
        <f>IFERROR((G1735-INDEX('01_Swimmers'!$E$5:$E$22,MATCH(B1735,'01_Swimmers'!$A$5:$A$22,0)))/'00_Control'!$B$10,"")</f>
        <v/>
      </c>
      <c r="U1735" s="35">
        <f>IF(T1735="","",INT(T1735))</f>
        <v/>
      </c>
      <c r="V1735" s="33" t="inlineStr">
        <is>
          <t>NO</t>
        </is>
      </c>
      <c r="W1735" s="33" t="inlineStr">
        <is>
          <t>YES</t>
        </is>
      </c>
      <c r="X1735" s="33" t="inlineStr">
        <is>
          <t>NO</t>
        </is>
      </c>
      <c r="Y1735" s="33" t="n">
        <v>5</v>
      </c>
      <c r="Z1735" s="33" t="n">
        <v>8</v>
      </c>
      <c r="AA1735" s="33" t="inlineStr">
        <is>
          <t>2</t>
        </is>
      </c>
      <c r="AB1735" s="33" t="inlineStr">
        <is>
          <t>https://www.swimcloud.com/results/341199/event/10/?id=153408987#time153408987</t>
        </is>
      </c>
      <c r="AC1735" s="33" t="inlineStr">
        <is>
          <t>SwimCloud API v6 2026-10-08</t>
        </is>
      </c>
      <c r="AD1735" s="33" t="inlineStr">
        <is>
          <t>Laon Kim|2025-06-08|LCM|100|Fly|54.66|Canadian Swimming Trials|PRE|False</t>
        </is>
      </c>
      <c r="AE1735" s="53">
        <f>G1735+L1735/1000+ROW()/1000000000</f>
        <v/>
      </c>
      <c r="AF1735" s="35">
        <f>IF(C1735&lt;&gt;"Grayson Coulter","",COUNTIFS($C$5:$C$2991,"Grayson Coulter",$Q$5:$Q$2991,Q1735,$AE$5:$AE$2991,"&lt;="&amp;AE1735,$R$5:$R$2991,"&lt;"&amp;R1735))</f>
        <v/>
      </c>
      <c r="AG1735" s="35">
        <f>IF(OR(C1735&lt;&gt;"Grayson Coulter",G1735&lt;'00_Control'!$B$7),"",--(AF1735&lt;5))</f>
        <v/>
      </c>
      <c r="AH1735" s="35">
        <f>IF(OR(C1735&lt;&gt;"Grayson Coulter",G1735&lt;'00_Control'!$B$7),"",--(AF1735&lt;10))</f>
        <v/>
      </c>
      <c r="AI1735" s="35">
        <f>IF(AND(C1735="Grayson Coulter",G1735&gt;='00_Control'!$B$7),"YES","NO")</f>
        <v/>
      </c>
      <c r="AJ1735" s="33" t="inlineStr">
        <is>
          <t>OK</t>
        </is>
      </c>
    </row>
    <row r="1736">
      <c r="A1736" s="33" t="inlineStr">
        <is>
          <t>SM001732</t>
        </is>
      </c>
      <c r="B1736" s="33" t="inlineStr">
        <is>
          <t>SW007</t>
        </is>
      </c>
      <c r="C1736" s="33" t="inlineStr">
        <is>
          <t>Laon Kim</t>
        </is>
      </c>
      <c r="D1736" s="33" t="inlineStr">
        <is>
          <t>SwimCloud</t>
        </is>
      </c>
      <c r="E1736" s="33" t="inlineStr">
        <is>
          <t>2829279</t>
        </is>
      </c>
      <c r="F1736" s="33" t="inlineStr">
        <is>
          <t>153408988</t>
        </is>
      </c>
      <c r="G1736" s="51" t="n">
        <v>45816</v>
      </c>
      <c r="H1736" s="33" t="inlineStr">
        <is>
          <t>Canadian Swimming Trials</t>
        </is>
      </c>
      <c r="I1736" s="33" t="inlineStr">
        <is>
          <t>341199</t>
        </is>
      </c>
      <c r="J1736" s="33" t="inlineStr"/>
      <c r="K1736" s="33" t="inlineStr">
        <is>
          <t>FIN</t>
        </is>
      </c>
      <c r="L1736" s="35">
        <f>IF(K1736="FIN",3,IF(OR(K1736="SEM",K1736="SEMI"),2,IF(OR(K1736="PRE",K1736="HEAT"),1,IF(V1736="YES",4,2))))</f>
        <v/>
      </c>
      <c r="M1736" s="33" t="inlineStr">
        <is>
          <t>LCM</t>
        </is>
      </c>
      <c r="N1736" s="33" t="n">
        <v>100</v>
      </c>
      <c r="O1736" s="33" t="inlineStr">
        <is>
          <t>Fly</t>
        </is>
      </c>
      <c r="P1736" s="33" t="inlineStr">
        <is>
          <t>100 Fly</t>
        </is>
      </c>
      <c r="Q1736" s="33" t="inlineStr">
        <is>
          <t>LCM_100_FLY</t>
        </is>
      </c>
      <c r="R1736" s="36" t="n">
        <v>54.28</v>
      </c>
      <c r="S1736" s="35">
        <f>IF(R1736="","",IF(R1736&gt;=60,INT(R1736/60)&amp;":"&amp;TEXT(MOD(R1736,60),"00.00"),TEXT(R1736,"0.00")))</f>
        <v/>
      </c>
      <c r="T1736" s="52">
        <f>IFERROR((G1736-INDEX('01_Swimmers'!$E$5:$E$22,MATCH(B1736,'01_Swimmers'!$A$5:$A$22,0)))/'00_Control'!$B$10,"")</f>
        <v/>
      </c>
      <c r="U1736" s="35">
        <f>IF(T1736="","",INT(T1736))</f>
        <v/>
      </c>
      <c r="V1736" s="33" t="inlineStr">
        <is>
          <t>NO</t>
        </is>
      </c>
      <c r="W1736" s="33" t="inlineStr">
        <is>
          <t>YES</t>
        </is>
      </c>
      <c r="X1736" s="33" t="inlineStr">
        <is>
          <t>NO</t>
        </is>
      </c>
      <c r="Y1736" s="33" t="n">
        <v>2</v>
      </c>
      <c r="Z1736" s="33" t="n">
        <v>5</v>
      </c>
      <c r="AA1736" s="33" t="inlineStr">
        <is>
          <t>1</t>
        </is>
      </c>
      <c r="AB1736" s="33" t="inlineStr">
        <is>
          <t>https://www.swimcloud.com/results/341199/event/10/?id=153408988#time153408988</t>
        </is>
      </c>
      <c r="AC1736" s="33" t="inlineStr">
        <is>
          <t>SwimCloud API v6 2026-10-08</t>
        </is>
      </c>
      <c r="AD1736" s="33" t="inlineStr">
        <is>
          <t>Laon Kim|2025-06-08|LCM|100|Fly|54.28|Canadian Swimming Trials|FIN|False</t>
        </is>
      </c>
      <c r="AE1736" s="53">
        <f>G1736+L1736/1000+ROW()/1000000000</f>
        <v/>
      </c>
      <c r="AF1736" s="35">
        <f>IF(C1736&lt;&gt;"Grayson Coulter","",COUNTIFS($C$5:$C$2991,"Grayson Coulter",$Q$5:$Q$2991,Q1736,$AE$5:$AE$2991,"&lt;="&amp;AE1736,$R$5:$R$2991,"&lt;"&amp;R1736))</f>
        <v/>
      </c>
      <c r="AG1736" s="35">
        <f>IF(OR(C1736&lt;&gt;"Grayson Coulter",G1736&lt;'00_Control'!$B$7),"",--(AF1736&lt;5))</f>
        <v/>
      </c>
      <c r="AH1736" s="35">
        <f>IF(OR(C1736&lt;&gt;"Grayson Coulter",G1736&lt;'00_Control'!$B$7),"",--(AF1736&lt;10))</f>
        <v/>
      </c>
      <c r="AI1736" s="35">
        <f>IF(AND(C1736="Grayson Coulter",G1736&gt;='00_Control'!$B$7),"YES","NO")</f>
        <v/>
      </c>
      <c r="AJ1736" s="33" t="inlineStr">
        <is>
          <t>OK</t>
        </is>
      </c>
    </row>
    <row r="1737">
      <c r="A1737" s="33" t="inlineStr">
        <is>
          <t>SM001733</t>
        </is>
      </c>
      <c r="B1737" s="33" t="inlineStr">
        <is>
          <t>SW007</t>
        </is>
      </c>
      <c r="C1737" s="33" t="inlineStr">
        <is>
          <t>Laon Kim</t>
        </is>
      </c>
      <c r="D1737" s="33" t="inlineStr">
        <is>
          <t>SwimCloud</t>
        </is>
      </c>
      <c r="E1737" s="33" t="inlineStr">
        <is>
          <t>2829279</t>
        </is>
      </c>
      <c r="F1737" s="33" t="inlineStr">
        <is>
          <t>153407299</t>
        </is>
      </c>
      <c r="G1737" s="51" t="n">
        <v>45818</v>
      </c>
      <c r="H1737" s="33" t="inlineStr">
        <is>
          <t>Canadian Swimming Trials</t>
        </is>
      </c>
      <c r="I1737" s="33" t="inlineStr">
        <is>
          <t>341199</t>
        </is>
      </c>
      <c r="J1737" s="33" t="inlineStr"/>
      <c r="K1737" s="33" t="inlineStr">
        <is>
          <t>PRE</t>
        </is>
      </c>
      <c r="L1737" s="35">
        <f>IF(K1737="FIN",3,IF(OR(K1737="SEM",K1737="SEMI"),2,IF(OR(K1737="PRE",K1737="HEAT"),1,IF(V1737="YES",4,2))))</f>
        <v/>
      </c>
      <c r="M1737" s="33" t="inlineStr">
        <is>
          <t>LCM</t>
        </is>
      </c>
      <c r="N1737" s="33" t="n">
        <v>100</v>
      </c>
      <c r="O1737" s="33" t="inlineStr">
        <is>
          <t>Free</t>
        </is>
      </c>
      <c r="P1737" s="33" t="inlineStr">
        <is>
          <t>100 Free</t>
        </is>
      </c>
      <c r="Q1737" s="33" t="inlineStr">
        <is>
          <t>LCM_100_FREE</t>
        </is>
      </c>
      <c r="R1737" s="36" t="n">
        <v>49.9</v>
      </c>
      <c r="S1737" s="35">
        <f>IF(R1737="","",IF(R1737&gt;=60,INT(R1737/60)&amp;":"&amp;TEXT(MOD(R1737,60),"00.00"),TEXT(R1737,"0.00")))</f>
        <v/>
      </c>
      <c r="T1737" s="52">
        <f>IFERROR((G1737-INDEX('01_Swimmers'!$E$5:$E$22,MATCH(B1737,'01_Swimmers'!$A$5:$A$22,0)))/'00_Control'!$B$10,"")</f>
        <v/>
      </c>
      <c r="U1737" s="35">
        <f>IF(T1737="","",INT(T1737))</f>
        <v/>
      </c>
      <c r="V1737" s="33" t="inlineStr">
        <is>
          <t>NO</t>
        </is>
      </c>
      <c r="W1737" s="33" t="inlineStr">
        <is>
          <t>YES</t>
        </is>
      </c>
      <c r="X1737" s="33" t="inlineStr">
        <is>
          <t>NO</t>
        </is>
      </c>
      <c r="Y1737" s="33" t="n">
        <v>6</v>
      </c>
      <c r="Z1737" s="33" t="n">
        <v>3</v>
      </c>
      <c r="AA1737" s="33" t="inlineStr">
        <is>
          <t>1</t>
        </is>
      </c>
      <c r="AB1737" s="33" t="inlineStr">
        <is>
          <t>https://www.swimcloud.com/results/341199/event/22/?id=153407299#time153407299</t>
        </is>
      </c>
      <c r="AC1737" s="33" t="inlineStr">
        <is>
          <t>SwimCloud API v6 2026-10-08</t>
        </is>
      </c>
      <c r="AD1737" s="33" t="inlineStr">
        <is>
          <t>Laon Kim|2025-06-10|LCM|100|Free|49.9|Canadian Swimming Trials|PRE|False</t>
        </is>
      </c>
      <c r="AE1737" s="53">
        <f>G1737+L1737/1000+ROW()/1000000000</f>
        <v/>
      </c>
      <c r="AF1737" s="35">
        <f>IF(C1737&lt;&gt;"Grayson Coulter","",COUNTIFS($C$5:$C$2991,"Grayson Coulter",$Q$5:$Q$2991,Q1737,$AE$5:$AE$2991,"&lt;="&amp;AE1737,$R$5:$R$2991,"&lt;"&amp;R1737))</f>
        <v/>
      </c>
      <c r="AG1737" s="35">
        <f>IF(OR(C1737&lt;&gt;"Grayson Coulter",G1737&lt;'00_Control'!$B$7),"",--(AF1737&lt;5))</f>
        <v/>
      </c>
      <c r="AH1737" s="35">
        <f>IF(OR(C1737&lt;&gt;"Grayson Coulter",G1737&lt;'00_Control'!$B$7),"",--(AF1737&lt;10))</f>
        <v/>
      </c>
      <c r="AI1737" s="35">
        <f>IF(AND(C1737="Grayson Coulter",G1737&gt;='00_Control'!$B$7),"YES","NO")</f>
        <v/>
      </c>
      <c r="AJ1737" s="33" t="inlineStr">
        <is>
          <t>OK</t>
        </is>
      </c>
    </row>
    <row r="1738">
      <c r="A1738" s="33" t="inlineStr">
        <is>
          <t>SM001734</t>
        </is>
      </c>
      <c r="B1738" s="33" t="inlineStr">
        <is>
          <t>SW007</t>
        </is>
      </c>
      <c r="C1738" s="33" t="inlineStr">
        <is>
          <t>Laon Kim</t>
        </is>
      </c>
      <c r="D1738" s="33" t="inlineStr">
        <is>
          <t>SwimCloud</t>
        </is>
      </c>
      <c r="E1738" s="33" t="inlineStr">
        <is>
          <t>2829279</t>
        </is>
      </c>
      <c r="F1738" s="33" t="inlineStr">
        <is>
          <t>153407300</t>
        </is>
      </c>
      <c r="G1738" s="51" t="n">
        <v>45818</v>
      </c>
      <c r="H1738" s="33" t="inlineStr">
        <is>
          <t>Canadian Swimming Trials</t>
        </is>
      </c>
      <c r="I1738" s="33" t="inlineStr">
        <is>
          <t>341199</t>
        </is>
      </c>
      <c r="J1738" s="33" t="inlineStr"/>
      <c r="K1738" s="33" t="inlineStr">
        <is>
          <t>FIN</t>
        </is>
      </c>
      <c r="L1738" s="35">
        <f>IF(K1738="FIN",3,IF(OR(K1738="SEM",K1738="SEMI"),2,IF(OR(K1738="PRE",K1738="HEAT"),1,IF(V1738="YES",4,2))))</f>
        <v/>
      </c>
      <c r="M1738" s="33" t="inlineStr">
        <is>
          <t>LCM</t>
        </is>
      </c>
      <c r="N1738" s="33" t="n">
        <v>100</v>
      </c>
      <c r="O1738" s="33" t="inlineStr">
        <is>
          <t>Free</t>
        </is>
      </c>
      <c r="P1738" s="33" t="inlineStr">
        <is>
          <t>100 Free</t>
        </is>
      </c>
      <c r="Q1738" s="33" t="inlineStr">
        <is>
          <t>LCM_100_FREE</t>
        </is>
      </c>
      <c r="R1738" s="36" t="n">
        <v>49.63</v>
      </c>
      <c r="S1738" s="35">
        <f>IF(R1738="","",IF(R1738&gt;=60,INT(R1738/60)&amp;":"&amp;TEXT(MOD(R1738,60),"00.00"),TEXT(R1738,"0.00")))</f>
        <v/>
      </c>
      <c r="T1738" s="52">
        <f>IFERROR((G1738-INDEX('01_Swimmers'!$E$5:$E$22,MATCH(B1738,'01_Swimmers'!$A$5:$A$22,0)))/'00_Control'!$B$10,"")</f>
        <v/>
      </c>
      <c r="U1738" s="35">
        <f>IF(T1738="","",INT(T1738))</f>
        <v/>
      </c>
      <c r="V1738" s="33" t="inlineStr">
        <is>
          <t>NO</t>
        </is>
      </c>
      <c r="W1738" s="33" t="inlineStr">
        <is>
          <t>YES</t>
        </is>
      </c>
      <c r="X1738" s="33" t="inlineStr">
        <is>
          <t>NO</t>
        </is>
      </c>
      <c r="Y1738" s="33" t="n">
        <v>0</v>
      </c>
      <c r="Z1738" s="33" t="n">
        <v>8</v>
      </c>
      <c r="AA1738" s="33" t="inlineStr">
        <is>
          <t>1</t>
        </is>
      </c>
      <c r="AB1738" s="33" t="inlineStr">
        <is>
          <t>https://www.swimcloud.com/results/341199/event/22/?id=153407300#time153407300</t>
        </is>
      </c>
      <c r="AC1738" s="33" t="inlineStr">
        <is>
          <t>SwimCloud API v6 2026-10-08</t>
        </is>
      </c>
      <c r="AD1738" s="33" t="inlineStr">
        <is>
          <t>Laon Kim|2025-06-10|LCM|100|Free|49.63|Canadian Swimming Trials|FIN|False</t>
        </is>
      </c>
      <c r="AE1738" s="53">
        <f>G1738+L1738/1000+ROW()/1000000000</f>
        <v/>
      </c>
      <c r="AF1738" s="35">
        <f>IF(C1738&lt;&gt;"Grayson Coulter","",COUNTIFS($C$5:$C$2991,"Grayson Coulter",$Q$5:$Q$2991,Q1738,$AE$5:$AE$2991,"&lt;="&amp;AE1738,$R$5:$R$2991,"&lt;"&amp;R1738))</f>
        <v/>
      </c>
      <c r="AG1738" s="35">
        <f>IF(OR(C1738&lt;&gt;"Grayson Coulter",G1738&lt;'00_Control'!$B$7),"",--(AF1738&lt;5))</f>
        <v/>
      </c>
      <c r="AH1738" s="35">
        <f>IF(OR(C1738&lt;&gt;"Grayson Coulter",G1738&lt;'00_Control'!$B$7),"",--(AF1738&lt;10))</f>
        <v/>
      </c>
      <c r="AI1738" s="35">
        <f>IF(AND(C1738="Grayson Coulter",G1738&gt;='00_Control'!$B$7),"YES","NO")</f>
        <v/>
      </c>
      <c r="AJ1738" s="33" t="inlineStr">
        <is>
          <t>OK</t>
        </is>
      </c>
    </row>
    <row r="1739">
      <c r="A1739" s="33" t="inlineStr">
        <is>
          <t>SM001735</t>
        </is>
      </c>
      <c r="B1739" s="33" t="inlineStr">
        <is>
          <t>SW007</t>
        </is>
      </c>
      <c r="C1739" s="33" t="inlineStr">
        <is>
          <t>Laon Kim</t>
        </is>
      </c>
      <c r="D1739" s="33" t="inlineStr">
        <is>
          <t>SwimCloud</t>
        </is>
      </c>
      <c r="E1739" s="33" t="inlineStr">
        <is>
          <t>2829279</t>
        </is>
      </c>
      <c r="F1739" s="33" t="inlineStr">
        <is>
          <t>153410285</t>
        </is>
      </c>
      <c r="G1739" s="51" t="n">
        <v>45818</v>
      </c>
      <c r="H1739" s="33" t="inlineStr">
        <is>
          <t>Canadian Swimming Trials</t>
        </is>
      </c>
      <c r="I1739" s="33" t="inlineStr">
        <is>
          <t>341199</t>
        </is>
      </c>
      <c r="J1739" s="33" t="inlineStr"/>
      <c r="K1739" s="33" t="inlineStr">
        <is>
          <t>TIM</t>
        </is>
      </c>
      <c r="L1739" s="35">
        <f>IF(K1739="FIN",3,IF(OR(K1739="SEM",K1739="SEMI"),2,IF(OR(K1739="PRE",K1739="HEAT"),1,IF(V1739="YES",4,2))))</f>
        <v/>
      </c>
      <c r="M1739" s="33" t="inlineStr">
        <is>
          <t>LCM</t>
        </is>
      </c>
      <c r="N1739" s="33" t="n">
        <v>100</v>
      </c>
      <c r="O1739" s="33" t="inlineStr">
        <is>
          <t>Free</t>
        </is>
      </c>
      <c r="P1739" s="33" t="inlineStr">
        <is>
          <t>100 Free</t>
        </is>
      </c>
      <c r="Q1739" s="33" t="inlineStr">
        <is>
          <t>LCM_100_FREE</t>
        </is>
      </c>
      <c r="R1739" s="36" t="n">
        <v>49.68</v>
      </c>
      <c r="S1739" s="35">
        <f>IF(R1739="","",IF(R1739&gt;=60,INT(R1739/60)&amp;":"&amp;TEXT(MOD(R1739,60),"00.00"),TEXT(R1739,"0.00")))</f>
        <v/>
      </c>
      <c r="T1739" s="52">
        <f>IFERROR((G1739-INDEX('01_Swimmers'!$E$5:$E$22,MATCH(B1739,'01_Swimmers'!$A$5:$A$22,0)))/'00_Control'!$B$10,"")</f>
        <v/>
      </c>
      <c r="U1739" s="35">
        <f>IF(T1739="","",INT(T1739))</f>
        <v/>
      </c>
      <c r="V1739" s="33" t="inlineStr">
        <is>
          <t>NO</t>
        </is>
      </c>
      <c r="W1739" s="33" t="inlineStr">
        <is>
          <t>YES</t>
        </is>
      </c>
      <c r="X1739" s="33" t="inlineStr">
        <is>
          <t>NO</t>
        </is>
      </c>
      <c r="Y1739" s="33" t="n">
        <v>1</v>
      </c>
      <c r="Z1739" s="33" t="n">
        <v>5</v>
      </c>
      <c r="AA1739" s="33" t="inlineStr">
        <is>
          <t>1</t>
        </is>
      </c>
      <c r="AB1739" s="33" t="inlineStr">
        <is>
          <t>https://www.swimcloud.com/results/341199/event/422/?id=153410285#time153410285</t>
        </is>
      </c>
      <c r="AC1739" s="33" t="inlineStr">
        <is>
          <t>SwimCloud API v6 2026-10-08</t>
        </is>
      </c>
      <c r="AD1739" s="33" t="inlineStr">
        <is>
          <t>Laon Kim|2025-06-10|LCM|100|Free|49.68|Canadian Swimming Trials|TIM|False</t>
        </is>
      </c>
      <c r="AE1739" s="53">
        <f>G1739+L1739/1000+ROW()/1000000000</f>
        <v/>
      </c>
      <c r="AF1739" s="35">
        <f>IF(C1739&lt;&gt;"Grayson Coulter","",COUNTIFS($C$5:$C$2991,"Grayson Coulter",$Q$5:$Q$2991,Q1739,$AE$5:$AE$2991,"&lt;="&amp;AE1739,$R$5:$R$2991,"&lt;"&amp;R1739))</f>
        <v/>
      </c>
      <c r="AG1739" s="35">
        <f>IF(OR(C1739&lt;&gt;"Grayson Coulter",G1739&lt;'00_Control'!$B$7),"",--(AF1739&lt;5))</f>
        <v/>
      </c>
      <c r="AH1739" s="35">
        <f>IF(OR(C1739&lt;&gt;"Grayson Coulter",G1739&lt;'00_Control'!$B$7),"",--(AF1739&lt;10))</f>
        <v/>
      </c>
      <c r="AI1739" s="35">
        <f>IF(AND(C1739="Grayson Coulter",G1739&gt;='00_Control'!$B$7),"YES","NO")</f>
        <v/>
      </c>
      <c r="AJ1739" s="33" t="inlineStr">
        <is>
          <t>OK</t>
        </is>
      </c>
    </row>
    <row r="1740">
      <c r="A1740" s="33" t="inlineStr">
        <is>
          <t>SM001736</t>
        </is>
      </c>
      <c r="B1740" s="33" t="inlineStr">
        <is>
          <t>SW007</t>
        </is>
      </c>
      <c r="C1740" s="33" t="inlineStr">
        <is>
          <t>Laon Kim</t>
        </is>
      </c>
      <c r="D1740" s="33" t="inlineStr">
        <is>
          <t>SwimCloud</t>
        </is>
      </c>
      <c r="E1740" s="33" t="inlineStr">
        <is>
          <t>2829279</t>
        </is>
      </c>
      <c r="F1740" s="33" t="inlineStr">
        <is>
          <t>153408493</t>
        </is>
      </c>
      <c r="G1740" s="51" t="n">
        <v>45820</v>
      </c>
      <c r="H1740" s="33" t="inlineStr">
        <is>
          <t>Canadian Swimming Trials</t>
        </is>
      </c>
      <c r="I1740" s="33" t="inlineStr">
        <is>
          <t>341199</t>
        </is>
      </c>
      <c r="J1740" s="33" t="inlineStr"/>
      <c r="K1740" s="33" t="inlineStr">
        <is>
          <t>PRE</t>
        </is>
      </c>
      <c r="L1740" s="35">
        <f>IF(K1740="FIN",3,IF(OR(K1740="SEM",K1740="SEMI"),2,IF(OR(K1740="PRE",K1740="HEAT"),1,IF(V1740="YES",4,2))))</f>
        <v/>
      </c>
      <c r="M1740" s="33" t="inlineStr">
        <is>
          <t>LCM</t>
        </is>
      </c>
      <c r="N1740" s="33" t="n">
        <v>200</v>
      </c>
      <c r="O1740" s="33" t="inlineStr">
        <is>
          <t>Free</t>
        </is>
      </c>
      <c r="P1740" s="33" t="inlineStr">
        <is>
          <t>200 Free</t>
        </is>
      </c>
      <c r="Q1740" s="33" t="inlineStr">
        <is>
          <t>LCM_200_FREE</t>
        </is>
      </c>
      <c r="R1740" s="36" t="n">
        <v>109.6</v>
      </c>
      <c r="S1740" s="35">
        <f>IF(R1740="","",IF(R1740&gt;=60,INT(R1740/60)&amp;":"&amp;TEXT(MOD(R1740,60),"00.00"),TEXT(R1740,"0.00")))</f>
        <v/>
      </c>
      <c r="T1740" s="52">
        <f>IFERROR((G1740-INDEX('01_Swimmers'!$E$5:$E$22,MATCH(B1740,'01_Swimmers'!$A$5:$A$22,0)))/'00_Control'!$B$10,"")</f>
        <v/>
      </c>
      <c r="U1740" s="35">
        <f>IF(T1740="","",INT(T1740))</f>
        <v/>
      </c>
      <c r="V1740" s="33" t="inlineStr">
        <is>
          <t>NO</t>
        </is>
      </c>
      <c r="W1740" s="33" t="inlineStr">
        <is>
          <t>YES</t>
        </is>
      </c>
      <c r="X1740" s="33" t="inlineStr">
        <is>
          <t>NO</t>
        </is>
      </c>
      <c r="Y1740" s="33" t="n">
        <v>5</v>
      </c>
      <c r="Z1740" s="33" t="n">
        <v>3</v>
      </c>
      <c r="AA1740" s="33" t="inlineStr">
        <is>
          <t>1</t>
        </is>
      </c>
      <c r="AB1740" s="33" t="inlineStr">
        <is>
          <t>https://www.swimcloud.com/results/341199/event/30/?id=153408493#time153408493</t>
        </is>
      </c>
      <c r="AC1740" s="33" t="inlineStr">
        <is>
          <t>SwimCloud API v6 2026-10-08</t>
        </is>
      </c>
      <c r="AD1740" s="33" t="inlineStr">
        <is>
          <t>Laon Kim|2025-06-12|LCM|200|Free|109.6|Canadian Swimming Trials|PRE|False</t>
        </is>
      </c>
      <c r="AE1740" s="53">
        <f>G1740+L1740/1000+ROW()/1000000000</f>
        <v/>
      </c>
      <c r="AF1740" s="35">
        <f>IF(C1740&lt;&gt;"Grayson Coulter","",COUNTIFS($C$5:$C$2991,"Grayson Coulter",$Q$5:$Q$2991,Q1740,$AE$5:$AE$2991,"&lt;="&amp;AE1740,$R$5:$R$2991,"&lt;"&amp;R1740))</f>
        <v/>
      </c>
      <c r="AG1740" s="35">
        <f>IF(OR(C1740&lt;&gt;"Grayson Coulter",G1740&lt;'00_Control'!$B$7),"",--(AF1740&lt;5))</f>
        <v/>
      </c>
      <c r="AH1740" s="35">
        <f>IF(OR(C1740&lt;&gt;"Grayson Coulter",G1740&lt;'00_Control'!$B$7),"",--(AF1740&lt;10))</f>
        <v/>
      </c>
      <c r="AI1740" s="35">
        <f>IF(AND(C1740="Grayson Coulter",G1740&gt;='00_Control'!$B$7),"YES","NO")</f>
        <v/>
      </c>
      <c r="AJ1740" s="33" t="inlineStr">
        <is>
          <t>OK</t>
        </is>
      </c>
    </row>
    <row r="1741">
      <c r="A1741" s="33" t="inlineStr">
        <is>
          <t>SM001737</t>
        </is>
      </c>
      <c r="B1741" s="33" t="inlineStr">
        <is>
          <t>SW007</t>
        </is>
      </c>
      <c r="C1741" s="33" t="inlineStr">
        <is>
          <t>Laon Kim</t>
        </is>
      </c>
      <c r="D1741" s="33" t="inlineStr">
        <is>
          <t>SwimCloud</t>
        </is>
      </c>
      <c r="E1741" s="33" t="inlineStr">
        <is>
          <t>2829279</t>
        </is>
      </c>
      <c r="F1741" s="33" t="inlineStr">
        <is>
          <t>153408494</t>
        </is>
      </c>
      <c r="G1741" s="51" t="n">
        <v>45820</v>
      </c>
      <c r="H1741" s="33" t="inlineStr">
        <is>
          <t>Canadian Swimming Trials</t>
        </is>
      </c>
      <c r="I1741" s="33" t="inlineStr">
        <is>
          <t>341199</t>
        </is>
      </c>
      <c r="J1741" s="33" t="inlineStr"/>
      <c r="K1741" s="33" t="inlineStr">
        <is>
          <t>FIN</t>
        </is>
      </c>
      <c r="L1741" s="35">
        <f>IF(K1741="FIN",3,IF(OR(K1741="SEM",K1741="SEMI"),2,IF(OR(K1741="PRE",K1741="HEAT"),1,IF(V1741="YES",4,2))))</f>
        <v/>
      </c>
      <c r="M1741" s="33" t="inlineStr">
        <is>
          <t>LCM</t>
        </is>
      </c>
      <c r="N1741" s="33" t="n">
        <v>200</v>
      </c>
      <c r="O1741" s="33" t="inlineStr">
        <is>
          <t>Free</t>
        </is>
      </c>
      <c r="P1741" s="33" t="inlineStr">
        <is>
          <t>200 Free</t>
        </is>
      </c>
      <c r="Q1741" s="33" t="inlineStr">
        <is>
          <t>LCM_200_FREE</t>
        </is>
      </c>
      <c r="R1741" s="36" t="n">
        <v>109.17</v>
      </c>
      <c r="S1741" s="35">
        <f>IF(R1741="","",IF(R1741&gt;=60,INT(R1741/60)&amp;":"&amp;TEXT(MOD(R1741,60),"00.00"),TEXT(R1741,"0.00")))</f>
        <v/>
      </c>
      <c r="T1741" s="52">
        <f>IFERROR((G1741-INDEX('01_Swimmers'!$E$5:$E$22,MATCH(B1741,'01_Swimmers'!$A$5:$A$22,0)))/'00_Control'!$B$10,"")</f>
        <v/>
      </c>
      <c r="U1741" s="35">
        <f>IF(T1741="","",INT(T1741))</f>
        <v/>
      </c>
      <c r="V1741" s="33" t="inlineStr">
        <is>
          <t>NO</t>
        </is>
      </c>
      <c r="W1741" s="33" t="inlineStr">
        <is>
          <t>YES</t>
        </is>
      </c>
      <c r="X1741" s="33" t="inlineStr">
        <is>
          <t>NO</t>
        </is>
      </c>
      <c r="Y1741" s="33" t="n">
        <v>0</v>
      </c>
      <c r="Z1741" s="33" t="n">
        <v>4</v>
      </c>
      <c r="AA1741" s="33" t="inlineStr">
        <is>
          <t>1</t>
        </is>
      </c>
      <c r="AB1741" s="33" t="inlineStr">
        <is>
          <t>https://www.swimcloud.com/results/341199/event/30/?id=153408494#time153408494</t>
        </is>
      </c>
      <c r="AC1741" s="33" t="inlineStr">
        <is>
          <t>SwimCloud API v6 2026-10-08</t>
        </is>
      </c>
      <c r="AD1741" s="33" t="inlineStr">
        <is>
          <t>Laon Kim|2025-06-12|LCM|200|Free|109.17|Canadian Swimming Trials|FIN|False</t>
        </is>
      </c>
      <c r="AE1741" s="53">
        <f>G1741+L1741/1000+ROW()/1000000000</f>
        <v/>
      </c>
      <c r="AF1741" s="35">
        <f>IF(C1741&lt;&gt;"Grayson Coulter","",COUNTIFS($C$5:$C$2991,"Grayson Coulter",$Q$5:$Q$2991,Q1741,$AE$5:$AE$2991,"&lt;="&amp;AE1741,$R$5:$R$2991,"&lt;"&amp;R1741))</f>
        <v/>
      </c>
      <c r="AG1741" s="35">
        <f>IF(OR(C1741&lt;&gt;"Grayson Coulter",G1741&lt;'00_Control'!$B$7),"",--(AF1741&lt;5))</f>
        <v/>
      </c>
      <c r="AH1741" s="35">
        <f>IF(OR(C1741&lt;&gt;"Grayson Coulter",G1741&lt;'00_Control'!$B$7),"",--(AF1741&lt;10))</f>
        <v/>
      </c>
      <c r="AI1741" s="35">
        <f>IF(AND(C1741="Grayson Coulter",G1741&gt;='00_Control'!$B$7),"YES","NO")</f>
        <v/>
      </c>
      <c r="AJ1741" s="33" t="inlineStr">
        <is>
          <t>OK</t>
        </is>
      </c>
    </row>
    <row r="1742">
      <c r="A1742" s="33" t="inlineStr">
        <is>
          <t>SM001738</t>
        </is>
      </c>
      <c r="B1742" s="33" t="inlineStr">
        <is>
          <t>SW007</t>
        </is>
      </c>
      <c r="C1742" s="33" t="inlineStr">
        <is>
          <t>Laon Kim</t>
        </is>
      </c>
      <c r="D1742" s="33" t="inlineStr">
        <is>
          <t>SwimCloud</t>
        </is>
      </c>
      <c r="E1742" s="33" t="inlineStr">
        <is>
          <t>2829279</t>
        </is>
      </c>
      <c r="F1742" s="33" t="inlineStr">
        <is>
          <t>156652460</t>
        </is>
      </c>
      <c r="G1742" s="51" t="n">
        <v>45862</v>
      </c>
      <c r="H1742" s="33" t="inlineStr">
        <is>
          <t>Grand prix du Québec</t>
        </is>
      </c>
      <c r="I1742" s="33" t="inlineStr">
        <is>
          <t>349062</t>
        </is>
      </c>
      <c r="J1742" s="33" t="inlineStr"/>
      <c r="K1742" s="33" t="inlineStr">
        <is>
          <t>PRE</t>
        </is>
      </c>
      <c r="L1742" s="35">
        <f>IF(K1742="FIN",3,IF(OR(K1742="SEM",K1742="SEMI"),2,IF(OR(K1742="PRE",K1742="HEAT"),1,IF(V1742="YES",4,2))))</f>
        <v/>
      </c>
      <c r="M1742" s="33" t="inlineStr">
        <is>
          <t>LCM</t>
        </is>
      </c>
      <c r="N1742" s="33" t="n">
        <v>200</v>
      </c>
      <c r="O1742" s="33" t="inlineStr">
        <is>
          <t>Free</t>
        </is>
      </c>
      <c r="P1742" s="33" t="inlineStr">
        <is>
          <t>200 Free</t>
        </is>
      </c>
      <c r="Q1742" s="33" t="inlineStr">
        <is>
          <t>LCM_200_FREE</t>
        </is>
      </c>
      <c r="R1742" s="36" t="n">
        <v>110.22</v>
      </c>
      <c r="S1742" s="35">
        <f>IF(R1742="","",IF(R1742&gt;=60,INT(R1742/60)&amp;":"&amp;TEXT(MOD(R1742,60),"00.00"),TEXT(R1742,"0.00")))</f>
        <v/>
      </c>
      <c r="T1742" s="52">
        <f>IFERROR((G1742-INDEX('01_Swimmers'!$E$5:$E$22,MATCH(B1742,'01_Swimmers'!$A$5:$A$22,0)))/'00_Control'!$B$10,"")</f>
        <v/>
      </c>
      <c r="U1742" s="35">
        <f>IF(T1742="","",INT(T1742))</f>
        <v/>
      </c>
      <c r="V1742" s="33" t="inlineStr">
        <is>
          <t>NO</t>
        </is>
      </c>
      <c r="W1742" s="33" t="inlineStr">
        <is>
          <t>YES</t>
        </is>
      </c>
      <c r="X1742" s="33" t="inlineStr">
        <is>
          <t>NO</t>
        </is>
      </c>
      <c r="Y1742" s="33" t="n">
        <v>13</v>
      </c>
      <c r="Z1742" s="33" t="n">
        <v>4</v>
      </c>
      <c r="AA1742" s="33" t="inlineStr">
        <is>
          <t>1</t>
        </is>
      </c>
      <c r="AB1742" s="33" t="inlineStr">
        <is>
          <t>https://www.swimcloud.com/results/349062/event/2/?id=156652460#time156652460</t>
        </is>
      </c>
      <c r="AC1742" s="33" t="inlineStr">
        <is>
          <t>SwimCloud API v6 2026-10-08</t>
        </is>
      </c>
      <c r="AD1742" s="33" t="inlineStr">
        <is>
          <t>Laon Kim|2025-07-24|LCM|200|Free|110.22|Grand prix du Québec|PRE|False</t>
        </is>
      </c>
      <c r="AE1742" s="53">
        <f>G1742+L1742/1000+ROW()/1000000000</f>
        <v/>
      </c>
      <c r="AF1742" s="35">
        <f>IF(C1742&lt;&gt;"Grayson Coulter","",COUNTIFS($C$5:$C$2991,"Grayson Coulter",$Q$5:$Q$2991,Q1742,$AE$5:$AE$2991,"&lt;="&amp;AE1742,$R$5:$R$2991,"&lt;"&amp;R1742))</f>
        <v/>
      </c>
      <c r="AG1742" s="35">
        <f>IF(OR(C1742&lt;&gt;"Grayson Coulter",G1742&lt;'00_Control'!$B$7),"",--(AF1742&lt;5))</f>
        <v/>
      </c>
      <c r="AH1742" s="35">
        <f>IF(OR(C1742&lt;&gt;"Grayson Coulter",G1742&lt;'00_Control'!$B$7),"",--(AF1742&lt;10))</f>
        <v/>
      </c>
      <c r="AI1742" s="35">
        <f>IF(AND(C1742="Grayson Coulter",G1742&gt;='00_Control'!$B$7),"YES","NO")</f>
        <v/>
      </c>
      <c r="AJ1742" s="33" t="inlineStr">
        <is>
          <t>OK</t>
        </is>
      </c>
    </row>
    <row r="1743">
      <c r="A1743" s="33" t="inlineStr">
        <is>
          <t>SM001739</t>
        </is>
      </c>
      <c r="B1743" s="33" t="inlineStr">
        <is>
          <t>SW007</t>
        </is>
      </c>
      <c r="C1743" s="33" t="inlineStr">
        <is>
          <t>Laon Kim</t>
        </is>
      </c>
      <c r="D1743" s="33" t="inlineStr">
        <is>
          <t>SwimCloud</t>
        </is>
      </c>
      <c r="E1743" s="33" t="inlineStr">
        <is>
          <t>2829279</t>
        </is>
      </c>
      <c r="F1743" s="33" t="inlineStr">
        <is>
          <t>156652463</t>
        </is>
      </c>
      <c r="G1743" s="51" t="n">
        <v>45862</v>
      </c>
      <c r="H1743" s="33" t="inlineStr">
        <is>
          <t>Grand prix du Québec</t>
        </is>
      </c>
      <c r="I1743" s="33" t="inlineStr">
        <is>
          <t>349062</t>
        </is>
      </c>
      <c r="J1743" s="33" t="inlineStr"/>
      <c r="K1743" s="33" t="inlineStr">
        <is>
          <t>FIN</t>
        </is>
      </c>
      <c r="L1743" s="35">
        <f>IF(K1743="FIN",3,IF(OR(K1743="SEM",K1743="SEMI"),2,IF(OR(K1743="PRE",K1743="HEAT"),1,IF(V1743="YES",4,2))))</f>
        <v/>
      </c>
      <c r="M1743" s="33" t="inlineStr">
        <is>
          <t>LCM</t>
        </is>
      </c>
      <c r="N1743" s="33" t="n">
        <v>200</v>
      </c>
      <c r="O1743" s="33" t="inlineStr">
        <is>
          <t>Free</t>
        </is>
      </c>
      <c r="P1743" s="33" t="inlineStr">
        <is>
          <t>200 Free</t>
        </is>
      </c>
      <c r="Q1743" s="33" t="inlineStr">
        <is>
          <t>LCM_200_FREE</t>
        </is>
      </c>
      <c r="R1743" s="36" t="n">
        <v>110.24</v>
      </c>
      <c r="S1743" s="35">
        <f>IF(R1743="","",IF(R1743&gt;=60,INT(R1743/60)&amp;":"&amp;TEXT(MOD(R1743,60),"00.00"),TEXT(R1743,"0.00")))</f>
        <v/>
      </c>
      <c r="T1743" s="52">
        <f>IFERROR((G1743-INDEX('01_Swimmers'!$E$5:$E$22,MATCH(B1743,'01_Swimmers'!$A$5:$A$22,0)))/'00_Control'!$B$10,"")</f>
        <v/>
      </c>
      <c r="U1743" s="35">
        <f>IF(T1743="","",INT(T1743))</f>
        <v/>
      </c>
      <c r="V1743" s="33" t="inlineStr">
        <is>
          <t>NO</t>
        </is>
      </c>
      <c r="W1743" s="33" t="inlineStr">
        <is>
          <t>YES</t>
        </is>
      </c>
      <c r="X1743" s="33" t="inlineStr">
        <is>
          <t>NO</t>
        </is>
      </c>
      <c r="Y1743" s="33" t="n">
        <v>3</v>
      </c>
      <c r="Z1743" s="33" t="n">
        <v>4</v>
      </c>
      <c r="AA1743" s="33" t="inlineStr">
        <is>
          <t>1</t>
        </is>
      </c>
      <c r="AB1743" s="33" t="inlineStr">
        <is>
          <t>https://www.swimcloud.com/results/349062/event/2/?id=156652463#time156652463</t>
        </is>
      </c>
      <c r="AC1743" s="33" t="inlineStr">
        <is>
          <t>SwimCloud API v6 2026-10-08</t>
        </is>
      </c>
      <c r="AD1743" s="33" t="inlineStr">
        <is>
          <t>Laon Kim|2025-07-24|LCM|200|Free|110.24|Grand prix du Québec|FIN|False</t>
        </is>
      </c>
      <c r="AE1743" s="53">
        <f>G1743+L1743/1000+ROW()/1000000000</f>
        <v/>
      </c>
      <c r="AF1743" s="35">
        <f>IF(C1743&lt;&gt;"Grayson Coulter","",COUNTIFS($C$5:$C$2991,"Grayson Coulter",$Q$5:$Q$2991,Q1743,$AE$5:$AE$2991,"&lt;="&amp;AE1743,$R$5:$R$2991,"&lt;"&amp;R1743))</f>
        <v/>
      </c>
      <c r="AG1743" s="35">
        <f>IF(OR(C1743&lt;&gt;"Grayson Coulter",G1743&lt;'00_Control'!$B$7),"",--(AF1743&lt;5))</f>
        <v/>
      </c>
      <c r="AH1743" s="35">
        <f>IF(OR(C1743&lt;&gt;"Grayson Coulter",G1743&lt;'00_Control'!$B$7),"",--(AF1743&lt;10))</f>
        <v/>
      </c>
      <c r="AI1743" s="35">
        <f>IF(AND(C1743="Grayson Coulter",G1743&gt;='00_Control'!$B$7),"YES","NO")</f>
        <v/>
      </c>
      <c r="AJ1743" s="33" t="inlineStr">
        <is>
          <t>OK</t>
        </is>
      </c>
    </row>
    <row r="1744">
      <c r="A1744" s="33" t="inlineStr">
        <is>
          <t>SM001740</t>
        </is>
      </c>
      <c r="B1744" s="33" t="inlineStr">
        <is>
          <t>SW007</t>
        </is>
      </c>
      <c r="C1744" s="33" t="inlineStr">
        <is>
          <t>Laon Kim</t>
        </is>
      </c>
      <c r="D1744" s="33" t="inlineStr">
        <is>
          <t>SwimCloud</t>
        </is>
      </c>
      <c r="E1744" s="33" t="inlineStr">
        <is>
          <t>2829279</t>
        </is>
      </c>
      <c r="F1744" s="33" t="inlineStr">
        <is>
          <t>156652455</t>
        </is>
      </c>
      <c r="G1744" s="51" t="n">
        <v>45865</v>
      </c>
      <c r="H1744" s="33" t="inlineStr">
        <is>
          <t>Grand prix du Québec</t>
        </is>
      </c>
      <c r="I1744" s="33" t="inlineStr">
        <is>
          <t>349062</t>
        </is>
      </c>
      <c r="J1744" s="33" t="inlineStr"/>
      <c r="K1744" s="33" t="inlineStr">
        <is>
          <t>PRE</t>
        </is>
      </c>
      <c r="L1744" s="35">
        <f>IF(K1744="FIN",3,IF(OR(K1744="SEM",K1744="SEMI"),2,IF(OR(K1744="PRE",K1744="HEAT"),1,IF(V1744="YES",4,2))))</f>
        <v/>
      </c>
      <c r="M1744" s="33" t="inlineStr">
        <is>
          <t>LCM</t>
        </is>
      </c>
      <c r="N1744" s="33" t="n">
        <v>400</v>
      </c>
      <c r="O1744" s="33" t="inlineStr">
        <is>
          <t>Free</t>
        </is>
      </c>
      <c r="P1744" s="33" t="inlineStr">
        <is>
          <t>400 Free</t>
        </is>
      </c>
      <c r="Q1744" s="33" t="inlineStr">
        <is>
          <t>LCM_400_FREE</t>
        </is>
      </c>
      <c r="R1744" s="36" t="n">
        <v>243.59</v>
      </c>
      <c r="S1744" s="35">
        <f>IF(R1744="","",IF(R1744&gt;=60,INT(R1744/60)&amp;":"&amp;TEXT(MOD(R1744,60),"00.00"),TEXT(R1744,"0.00")))</f>
        <v/>
      </c>
      <c r="T1744" s="52">
        <f>IFERROR((G1744-INDEX('01_Swimmers'!$E$5:$E$22,MATCH(B1744,'01_Swimmers'!$A$5:$A$22,0)))/'00_Control'!$B$10,"")</f>
        <v/>
      </c>
      <c r="U1744" s="35">
        <f>IF(T1744="","",INT(T1744))</f>
        <v/>
      </c>
      <c r="V1744" s="33" t="inlineStr">
        <is>
          <t>NO</t>
        </is>
      </c>
      <c r="W1744" s="33" t="inlineStr">
        <is>
          <t>YES</t>
        </is>
      </c>
      <c r="X1744" s="33" t="inlineStr">
        <is>
          <t>NO</t>
        </is>
      </c>
      <c r="Y1744" s="33" t="n">
        <v>9</v>
      </c>
      <c r="Z1744" s="33" t="n">
        <v>5</v>
      </c>
      <c r="AA1744" s="33" t="inlineStr">
        <is>
          <t>2</t>
        </is>
      </c>
      <c r="AB1744" s="33" t="inlineStr">
        <is>
          <t>https://www.swimcloud.com/results/349062/event/25/?id=156652455#time156652455</t>
        </is>
      </c>
      <c r="AC1744" s="33" t="inlineStr">
        <is>
          <t>SwimCloud API v6 2026-10-08</t>
        </is>
      </c>
      <c r="AD1744" s="33" t="inlineStr">
        <is>
          <t>Laon Kim|2025-07-27|LCM|400|Free|243.59|Grand prix du Québec|PRE|False</t>
        </is>
      </c>
      <c r="AE1744" s="53">
        <f>G1744+L1744/1000+ROW()/1000000000</f>
        <v/>
      </c>
      <c r="AF1744" s="35">
        <f>IF(C1744&lt;&gt;"Grayson Coulter","",COUNTIFS($C$5:$C$2991,"Grayson Coulter",$Q$5:$Q$2991,Q1744,$AE$5:$AE$2991,"&lt;="&amp;AE1744,$R$5:$R$2991,"&lt;"&amp;R1744))</f>
        <v/>
      </c>
      <c r="AG1744" s="35">
        <f>IF(OR(C1744&lt;&gt;"Grayson Coulter",G1744&lt;'00_Control'!$B$7),"",--(AF1744&lt;5))</f>
        <v/>
      </c>
      <c r="AH1744" s="35">
        <f>IF(OR(C1744&lt;&gt;"Grayson Coulter",G1744&lt;'00_Control'!$B$7),"",--(AF1744&lt;10))</f>
        <v/>
      </c>
      <c r="AI1744" s="35">
        <f>IF(AND(C1744="Grayson Coulter",G1744&gt;='00_Control'!$B$7),"YES","NO")</f>
        <v/>
      </c>
      <c r="AJ1744" s="33" t="inlineStr">
        <is>
          <t>OK</t>
        </is>
      </c>
    </row>
    <row r="1745">
      <c r="A1745" s="33" t="inlineStr">
        <is>
          <t>SM001741</t>
        </is>
      </c>
      <c r="B1745" s="33" t="inlineStr">
        <is>
          <t>SW007</t>
        </is>
      </c>
      <c r="C1745" s="33" t="inlineStr">
        <is>
          <t>Laon Kim</t>
        </is>
      </c>
      <c r="D1745" s="33" t="inlineStr">
        <is>
          <t>SwimCloud</t>
        </is>
      </c>
      <c r="E1745" s="33" t="inlineStr">
        <is>
          <t>2829279</t>
        </is>
      </c>
      <c r="F1745" s="33" t="inlineStr">
        <is>
          <t>156652468</t>
        </is>
      </c>
      <c r="G1745" s="51" t="n">
        <v>45865</v>
      </c>
      <c r="H1745" s="33" t="inlineStr">
        <is>
          <t>Grand prix du Québec</t>
        </is>
      </c>
      <c r="I1745" s="33" t="inlineStr">
        <is>
          <t>349062</t>
        </is>
      </c>
      <c r="J1745" s="33" t="inlineStr"/>
      <c r="K1745" s="33" t="inlineStr">
        <is>
          <t>FIN</t>
        </is>
      </c>
      <c r="L1745" s="35">
        <f>IF(K1745="FIN",3,IF(OR(K1745="SEM",K1745="SEMI"),2,IF(OR(K1745="PRE",K1745="HEAT"),1,IF(V1745="YES",4,2))))</f>
        <v/>
      </c>
      <c r="M1745" s="33" t="inlineStr">
        <is>
          <t>LCM</t>
        </is>
      </c>
      <c r="N1745" s="33" t="n">
        <v>400</v>
      </c>
      <c r="O1745" s="33" t="inlineStr">
        <is>
          <t>Free</t>
        </is>
      </c>
      <c r="P1745" s="33" t="inlineStr">
        <is>
          <t>400 Free</t>
        </is>
      </c>
      <c r="Q1745" s="33" t="inlineStr">
        <is>
          <t>LCM_400_FREE</t>
        </is>
      </c>
      <c r="R1745" s="36" t="n">
        <v>242.95</v>
      </c>
      <c r="S1745" s="35">
        <f>IF(R1745="","",IF(R1745&gt;=60,INT(R1745/60)&amp;":"&amp;TEXT(MOD(R1745,60),"00.00"),TEXT(R1745,"0.00")))</f>
        <v/>
      </c>
      <c r="T1745" s="52">
        <f>IFERROR((G1745-INDEX('01_Swimmers'!$E$5:$E$22,MATCH(B1745,'01_Swimmers'!$A$5:$A$22,0)))/'00_Control'!$B$10,"")</f>
        <v/>
      </c>
      <c r="U1745" s="35">
        <f>IF(T1745="","",INT(T1745))</f>
        <v/>
      </c>
      <c r="V1745" s="33" t="inlineStr">
        <is>
          <t>NO</t>
        </is>
      </c>
      <c r="W1745" s="33" t="inlineStr">
        <is>
          <t>YES</t>
        </is>
      </c>
      <c r="X1745" s="33" t="inlineStr">
        <is>
          <t>NO</t>
        </is>
      </c>
      <c r="Y1745" s="33" t="n">
        <v>3</v>
      </c>
      <c r="Z1745" s="33" t="n">
        <v>5</v>
      </c>
      <c r="AA1745" s="33" t="inlineStr">
        <is>
          <t>2</t>
        </is>
      </c>
      <c r="AB1745" s="33" t="inlineStr">
        <is>
          <t>https://www.swimcloud.com/results/349062/event/25/?id=156652468#time156652468</t>
        </is>
      </c>
      <c r="AC1745" s="33" t="inlineStr">
        <is>
          <t>SwimCloud API v6 2026-10-08</t>
        </is>
      </c>
      <c r="AD1745" s="33" t="inlineStr">
        <is>
          <t>Laon Kim|2025-07-27|LCM|400|Free|242.95|Grand prix du Québec|FIN|False</t>
        </is>
      </c>
      <c r="AE1745" s="53">
        <f>G1745+L1745/1000+ROW()/1000000000</f>
        <v/>
      </c>
      <c r="AF1745" s="35">
        <f>IF(C1745&lt;&gt;"Grayson Coulter","",COUNTIFS($C$5:$C$2991,"Grayson Coulter",$Q$5:$Q$2991,Q1745,$AE$5:$AE$2991,"&lt;="&amp;AE1745,$R$5:$R$2991,"&lt;"&amp;R1745))</f>
        <v/>
      </c>
      <c r="AG1745" s="35">
        <f>IF(OR(C1745&lt;&gt;"Grayson Coulter",G1745&lt;'00_Control'!$B$7),"",--(AF1745&lt;5))</f>
        <v/>
      </c>
      <c r="AH1745" s="35">
        <f>IF(OR(C1745&lt;&gt;"Grayson Coulter",G1745&lt;'00_Control'!$B$7),"",--(AF1745&lt;10))</f>
        <v/>
      </c>
      <c r="AI1745" s="35">
        <f>IF(AND(C1745="Grayson Coulter",G1745&gt;='00_Control'!$B$7),"YES","NO")</f>
        <v/>
      </c>
      <c r="AJ1745" s="33" t="inlineStr">
        <is>
          <t>OK</t>
        </is>
      </c>
    </row>
    <row r="1746">
      <c r="A1746" s="33" t="inlineStr">
        <is>
          <t>SM001742</t>
        </is>
      </c>
      <c r="B1746" s="33" t="inlineStr">
        <is>
          <t>SW007</t>
        </is>
      </c>
      <c r="C1746" s="33" t="inlineStr">
        <is>
          <t>Laon Kim</t>
        </is>
      </c>
      <c r="D1746" s="33" t="inlineStr">
        <is>
          <t>SwimCloud</t>
        </is>
      </c>
      <c r="E1746" s="33" t="inlineStr">
        <is>
          <t>2829279</t>
        </is>
      </c>
      <c r="F1746" s="33" t="inlineStr">
        <is>
          <t>157346870</t>
        </is>
      </c>
      <c r="G1746" s="51" t="n">
        <v>45888</v>
      </c>
      <c r="H1746" s="33" t="inlineStr">
        <is>
          <t>10th World Aquatics Junior Championships</t>
        </is>
      </c>
      <c r="I1746" s="33" t="inlineStr">
        <is>
          <t>348386</t>
        </is>
      </c>
      <c r="J1746" s="33" t="inlineStr"/>
      <c r="K1746" s="33" t="inlineStr">
        <is>
          <t>PRE</t>
        </is>
      </c>
      <c r="L1746" s="35">
        <f>IF(K1746="FIN",3,IF(OR(K1746="SEM",K1746="SEMI"),2,IF(OR(K1746="PRE",K1746="HEAT"),1,IF(V1746="YES",4,2))))</f>
        <v/>
      </c>
      <c r="M1746" s="33" t="inlineStr">
        <is>
          <t>LCM</t>
        </is>
      </c>
      <c r="N1746" s="33" t="n">
        <v>100</v>
      </c>
      <c r="O1746" s="33" t="inlineStr">
        <is>
          <t>Free</t>
        </is>
      </c>
      <c r="P1746" s="33" t="inlineStr">
        <is>
          <t>100 Free</t>
        </is>
      </c>
      <c r="Q1746" s="33" t="inlineStr">
        <is>
          <t>LCM_100_FREE</t>
        </is>
      </c>
      <c r="R1746" s="36" t="n">
        <v>49.44</v>
      </c>
      <c r="S1746" s="35">
        <f>IF(R1746="","",IF(R1746&gt;=60,INT(R1746/60)&amp;":"&amp;TEXT(MOD(R1746,60),"00.00"),TEXT(R1746,"0.00")))</f>
        <v/>
      </c>
      <c r="T1746" s="52">
        <f>IFERROR((G1746-INDEX('01_Swimmers'!$E$5:$E$22,MATCH(B1746,'01_Swimmers'!$A$5:$A$22,0)))/'00_Control'!$B$10,"")</f>
        <v/>
      </c>
      <c r="U1746" s="35">
        <f>IF(T1746="","",INT(T1746))</f>
        <v/>
      </c>
      <c r="V1746" s="33" t="inlineStr">
        <is>
          <t>YES</t>
        </is>
      </c>
      <c r="W1746" s="33" t="inlineStr">
        <is>
          <t>YES</t>
        </is>
      </c>
      <c r="X1746" s="33" t="inlineStr">
        <is>
          <t>NO</t>
        </is>
      </c>
      <c r="Y1746" s="33" t="n">
        <v>4</v>
      </c>
      <c r="Z1746" s="33" t="n">
        <v>3</v>
      </c>
      <c r="AA1746" s="33" t="inlineStr"/>
      <c r="AB1746" s="33" t="inlineStr">
        <is>
          <t>https://www.swimcloud.com/results/348386/event/7/?id=157342896#time157342896</t>
        </is>
      </c>
      <c r="AC1746" s="33" t="inlineStr">
        <is>
          <t>SwimCloud API v6 2026-10-08</t>
        </is>
      </c>
      <c r="AD1746" s="33" t="inlineStr">
        <is>
          <t>Laon Kim|2025-08-19|LCM|100|Free|49.44|10th World Aquatics Junior Championships|PRE|True</t>
        </is>
      </c>
      <c r="AE1746" s="53">
        <f>G1746+L1746/1000+ROW()/1000000000</f>
        <v/>
      </c>
      <c r="AF1746" s="35">
        <f>IF(C1746&lt;&gt;"Grayson Coulter","",COUNTIFS($C$5:$C$2991,"Grayson Coulter",$Q$5:$Q$2991,Q1746,$AE$5:$AE$2991,"&lt;="&amp;AE1746,$R$5:$R$2991,"&lt;"&amp;R1746))</f>
        <v/>
      </c>
      <c r="AG1746" s="35">
        <f>IF(OR(C1746&lt;&gt;"Grayson Coulter",G1746&lt;'00_Control'!$B$7),"",--(AF1746&lt;5))</f>
        <v/>
      </c>
      <c r="AH1746" s="35">
        <f>IF(OR(C1746&lt;&gt;"Grayson Coulter",G1746&lt;'00_Control'!$B$7),"",--(AF1746&lt;10))</f>
        <v/>
      </c>
      <c r="AI1746" s="35">
        <f>IF(AND(C1746="Grayson Coulter",G1746&gt;='00_Control'!$B$7),"YES","NO")</f>
        <v/>
      </c>
      <c r="AJ1746" s="33" t="inlineStr">
        <is>
          <t>OK</t>
        </is>
      </c>
    </row>
    <row r="1747">
      <c r="A1747" s="33" t="inlineStr">
        <is>
          <t>SM001743</t>
        </is>
      </c>
      <c r="B1747" s="33" t="inlineStr">
        <is>
          <t>SW007</t>
        </is>
      </c>
      <c r="C1747" s="33" t="inlineStr">
        <is>
          <t>Laon Kim</t>
        </is>
      </c>
      <c r="D1747" s="33" t="inlineStr">
        <is>
          <t>SwimCloud</t>
        </is>
      </c>
      <c r="E1747" s="33" t="inlineStr">
        <is>
          <t>2829279</t>
        </is>
      </c>
      <c r="F1747" s="33" t="inlineStr">
        <is>
          <t>157346866</t>
        </is>
      </c>
      <c r="G1747" s="51" t="n">
        <v>45888</v>
      </c>
      <c r="H1747" s="33" t="inlineStr">
        <is>
          <t>10th World Aquatics Junior Championships</t>
        </is>
      </c>
      <c r="I1747" s="33" t="inlineStr">
        <is>
          <t>348386</t>
        </is>
      </c>
      <c r="J1747" s="33" t="inlineStr"/>
      <c r="K1747" s="33" t="inlineStr">
        <is>
          <t>FIN</t>
        </is>
      </c>
      <c r="L1747" s="35">
        <f>IF(K1747="FIN",3,IF(OR(K1747="SEM",K1747="SEMI"),2,IF(OR(K1747="PRE",K1747="HEAT"),1,IF(V1747="YES",4,2))))</f>
        <v/>
      </c>
      <c r="M1747" s="33" t="inlineStr">
        <is>
          <t>LCM</t>
        </is>
      </c>
      <c r="N1747" s="33" t="n">
        <v>100</v>
      </c>
      <c r="O1747" s="33" t="inlineStr">
        <is>
          <t>Free</t>
        </is>
      </c>
      <c r="P1747" s="33" t="inlineStr">
        <is>
          <t>100 Free</t>
        </is>
      </c>
      <c r="Q1747" s="33" t="inlineStr">
        <is>
          <t>LCM_100_FREE</t>
        </is>
      </c>
      <c r="R1747" s="36" t="n">
        <v>49.33</v>
      </c>
      <c r="S1747" s="35">
        <f>IF(R1747="","",IF(R1747&gt;=60,INT(R1747/60)&amp;":"&amp;TEXT(MOD(R1747,60),"00.00"),TEXT(R1747,"0.00")))</f>
        <v/>
      </c>
      <c r="T1747" s="52">
        <f>IFERROR((G1747-INDEX('01_Swimmers'!$E$5:$E$22,MATCH(B1747,'01_Swimmers'!$A$5:$A$22,0)))/'00_Control'!$B$10,"")</f>
        <v/>
      </c>
      <c r="U1747" s="35">
        <f>IF(T1747="","",INT(T1747))</f>
        <v/>
      </c>
      <c r="V1747" s="33" t="inlineStr">
        <is>
          <t>YES</t>
        </is>
      </c>
      <c r="W1747" s="33" t="inlineStr">
        <is>
          <t>YES</t>
        </is>
      </c>
      <c r="X1747" s="33" t="inlineStr">
        <is>
          <t>NO</t>
        </is>
      </c>
      <c r="Y1747" s="33" t="n">
        <v>1</v>
      </c>
      <c r="Z1747" s="33" t="n">
        <v>1</v>
      </c>
      <c r="AA1747" s="33" t="inlineStr"/>
      <c r="AB1747" s="33" t="inlineStr">
        <is>
          <t>https://www.swimcloud.com/results/348386/event/7/?id=157342895#time157342895</t>
        </is>
      </c>
      <c r="AC1747" s="33" t="inlineStr">
        <is>
          <t>SwimCloud API v6 2026-10-08</t>
        </is>
      </c>
      <c r="AD1747" s="33" t="inlineStr">
        <is>
          <t>Laon Kim|2025-08-19|LCM|100|Free|49.33|10th World Aquatics Junior Championships|FIN|True</t>
        </is>
      </c>
      <c r="AE1747" s="53">
        <f>G1747+L1747/1000+ROW()/1000000000</f>
        <v/>
      </c>
      <c r="AF1747" s="35">
        <f>IF(C1747&lt;&gt;"Grayson Coulter","",COUNTIFS($C$5:$C$2991,"Grayson Coulter",$Q$5:$Q$2991,Q1747,$AE$5:$AE$2991,"&lt;="&amp;AE1747,$R$5:$R$2991,"&lt;"&amp;R1747))</f>
        <v/>
      </c>
      <c r="AG1747" s="35">
        <f>IF(OR(C1747&lt;&gt;"Grayson Coulter",G1747&lt;'00_Control'!$B$7),"",--(AF1747&lt;5))</f>
        <v/>
      </c>
      <c r="AH1747" s="35">
        <f>IF(OR(C1747&lt;&gt;"Grayson Coulter",G1747&lt;'00_Control'!$B$7),"",--(AF1747&lt;10))</f>
        <v/>
      </c>
      <c r="AI1747" s="35">
        <f>IF(AND(C1747="Grayson Coulter",G1747&gt;='00_Control'!$B$7),"YES","NO")</f>
        <v/>
      </c>
      <c r="AJ1747" s="33" t="inlineStr">
        <is>
          <t>OK</t>
        </is>
      </c>
    </row>
    <row r="1748">
      <c r="A1748" s="33" t="inlineStr">
        <is>
          <t>SM001744</t>
        </is>
      </c>
      <c r="B1748" s="33" t="inlineStr">
        <is>
          <t>SW007</t>
        </is>
      </c>
      <c r="C1748" s="33" t="inlineStr">
        <is>
          <t>Laon Kim</t>
        </is>
      </c>
      <c r="D1748" s="33" t="inlineStr">
        <is>
          <t>SwimCloud</t>
        </is>
      </c>
      <c r="E1748" s="33" t="inlineStr">
        <is>
          <t>2829279</t>
        </is>
      </c>
      <c r="F1748" s="33" t="inlineStr">
        <is>
          <t>157342810</t>
        </is>
      </c>
      <c r="G1748" s="51" t="n">
        <v>45889</v>
      </c>
      <c r="H1748" s="33" t="inlineStr">
        <is>
          <t>10th World Aquatics Junior Championships</t>
        </is>
      </c>
      <c r="I1748" s="33" t="inlineStr">
        <is>
          <t>348386</t>
        </is>
      </c>
      <c r="J1748" s="33" t="inlineStr"/>
      <c r="K1748" s="33" t="inlineStr">
        <is>
          <t>PRE</t>
        </is>
      </c>
      <c r="L1748" s="35">
        <f>IF(K1748="FIN",3,IF(OR(K1748="SEM",K1748="SEMI"),2,IF(OR(K1748="PRE",K1748="HEAT"),1,IF(V1748="YES",4,2))))</f>
        <v/>
      </c>
      <c r="M1748" s="33" t="inlineStr">
        <is>
          <t>LCM</t>
        </is>
      </c>
      <c r="N1748" s="33" t="n">
        <v>200</v>
      </c>
      <c r="O1748" s="33" t="inlineStr">
        <is>
          <t>Free</t>
        </is>
      </c>
      <c r="P1748" s="33" t="inlineStr">
        <is>
          <t>200 Free</t>
        </is>
      </c>
      <c r="Q1748" s="33" t="inlineStr">
        <is>
          <t>LCM_200_FREE</t>
        </is>
      </c>
      <c r="R1748" s="36" t="n">
        <v>108.86</v>
      </c>
      <c r="S1748" s="35">
        <f>IF(R1748="","",IF(R1748&gt;=60,INT(R1748/60)&amp;":"&amp;TEXT(MOD(R1748,60),"00.00"),TEXT(R1748,"0.00")))</f>
        <v/>
      </c>
      <c r="T1748" s="52">
        <f>IFERROR((G1748-INDEX('01_Swimmers'!$E$5:$E$22,MATCH(B1748,'01_Swimmers'!$A$5:$A$22,0)))/'00_Control'!$B$10,"")</f>
        <v/>
      </c>
      <c r="U1748" s="35">
        <f>IF(T1748="","",INT(T1748))</f>
        <v/>
      </c>
      <c r="V1748" s="33" t="inlineStr">
        <is>
          <t>NO</t>
        </is>
      </c>
      <c r="W1748" s="33" t="inlineStr">
        <is>
          <t>YES</t>
        </is>
      </c>
      <c r="X1748" s="33" t="inlineStr">
        <is>
          <t>NO</t>
        </is>
      </c>
      <c r="Y1748" s="33" t="n">
        <v>11</v>
      </c>
      <c r="Z1748" s="33" t="n">
        <v>2</v>
      </c>
      <c r="AA1748" s="33" t="inlineStr">
        <is>
          <t>9</t>
        </is>
      </c>
      <c r="AB1748" s="33" t="inlineStr">
        <is>
          <t>https://www.swimcloud.com/results/348386/event/13/?id=157342810#time157342810</t>
        </is>
      </c>
      <c r="AC1748" s="33" t="inlineStr">
        <is>
          <t>SwimCloud API v6 2026-10-08</t>
        </is>
      </c>
      <c r="AD1748" s="33" t="inlineStr">
        <is>
          <t>Laon Kim|2025-08-20|LCM|200|Free|108.86|10th World Aquatics Junior Championships|PRE|False</t>
        </is>
      </c>
      <c r="AE1748" s="53">
        <f>G1748+L1748/1000+ROW()/1000000000</f>
        <v/>
      </c>
      <c r="AF1748" s="35">
        <f>IF(C1748&lt;&gt;"Grayson Coulter","",COUNTIFS($C$5:$C$2991,"Grayson Coulter",$Q$5:$Q$2991,Q1748,$AE$5:$AE$2991,"&lt;="&amp;AE1748,$R$5:$R$2991,"&lt;"&amp;R1748))</f>
        <v/>
      </c>
      <c r="AG1748" s="35">
        <f>IF(OR(C1748&lt;&gt;"Grayson Coulter",G1748&lt;'00_Control'!$B$7),"",--(AF1748&lt;5))</f>
        <v/>
      </c>
      <c r="AH1748" s="35">
        <f>IF(OR(C1748&lt;&gt;"Grayson Coulter",G1748&lt;'00_Control'!$B$7),"",--(AF1748&lt;10))</f>
        <v/>
      </c>
      <c r="AI1748" s="35">
        <f>IF(AND(C1748="Grayson Coulter",G1748&gt;='00_Control'!$B$7),"YES","NO")</f>
        <v/>
      </c>
      <c r="AJ1748" s="33" t="inlineStr">
        <is>
          <t>OK</t>
        </is>
      </c>
    </row>
    <row r="1749">
      <c r="A1749" s="33" t="inlineStr">
        <is>
          <t>SM001745</t>
        </is>
      </c>
      <c r="B1749" s="33" t="inlineStr">
        <is>
          <t>SW007</t>
        </is>
      </c>
      <c r="C1749" s="33" t="inlineStr">
        <is>
          <t>Laon Kim</t>
        </is>
      </c>
      <c r="D1749" s="33" t="inlineStr">
        <is>
          <t>SwimCloud</t>
        </is>
      </c>
      <c r="E1749" s="33" t="inlineStr">
        <is>
          <t>2829279</t>
        </is>
      </c>
      <c r="F1749" s="33" t="inlineStr">
        <is>
          <t>157346918</t>
        </is>
      </c>
      <c r="G1749" s="51" t="n">
        <v>45890</v>
      </c>
      <c r="H1749" s="33" t="inlineStr">
        <is>
          <t>10th World Aquatics Junior Championships</t>
        </is>
      </c>
      <c r="I1749" s="33" t="inlineStr">
        <is>
          <t>348386</t>
        </is>
      </c>
      <c r="J1749" s="33" t="inlineStr"/>
      <c r="K1749" s="33" t="inlineStr">
        <is>
          <t>PRE</t>
        </is>
      </c>
      <c r="L1749" s="35">
        <f>IF(K1749="FIN",3,IF(OR(K1749="SEM",K1749="SEMI"),2,IF(OR(K1749="PRE",K1749="HEAT"),1,IF(V1749="YES",4,2))))</f>
        <v/>
      </c>
      <c r="M1749" s="33" t="inlineStr">
        <is>
          <t>LCM</t>
        </is>
      </c>
      <c r="N1749" s="33" t="n">
        <v>100</v>
      </c>
      <c r="O1749" s="33" t="inlineStr">
        <is>
          <t>Free</t>
        </is>
      </c>
      <c r="P1749" s="33" t="inlineStr">
        <is>
          <t>100 Free</t>
        </is>
      </c>
      <c r="Q1749" s="33" t="inlineStr">
        <is>
          <t>LCM_100_FREE</t>
        </is>
      </c>
      <c r="R1749" s="36" t="n">
        <v>49.75</v>
      </c>
      <c r="S1749" s="35">
        <f>IF(R1749="","",IF(R1749&gt;=60,INT(R1749/60)&amp;":"&amp;TEXT(MOD(R1749,60),"00.00"),TEXT(R1749,"0.00")))</f>
        <v/>
      </c>
      <c r="T1749" s="52">
        <f>IFERROR((G1749-INDEX('01_Swimmers'!$E$5:$E$22,MATCH(B1749,'01_Swimmers'!$A$5:$A$22,0)))/'00_Control'!$B$10,"")</f>
        <v/>
      </c>
      <c r="U1749" s="35">
        <f>IF(T1749="","",INT(T1749))</f>
        <v/>
      </c>
      <c r="V1749" s="33" t="inlineStr">
        <is>
          <t>YES</t>
        </is>
      </c>
      <c r="W1749" s="33" t="inlineStr">
        <is>
          <t>YES</t>
        </is>
      </c>
      <c r="X1749" s="33" t="inlineStr">
        <is>
          <t>NO</t>
        </is>
      </c>
      <c r="Y1749" s="33" t="n">
        <v>4</v>
      </c>
      <c r="Z1749" s="33" t="n">
        <v>5</v>
      </c>
      <c r="AA1749" s="33" t="inlineStr"/>
      <c r="AB1749" s="33" t="inlineStr">
        <is>
          <t>https://www.swimcloud.com/results/348386/event/21/?id=157342908#time157342908</t>
        </is>
      </c>
      <c r="AC1749" s="33" t="inlineStr">
        <is>
          <t>SwimCloud API v6 2026-10-08</t>
        </is>
      </c>
      <c r="AD1749" s="33" t="inlineStr">
        <is>
          <t>Laon Kim|2025-08-21|LCM|100|Free|49.75|10th World Aquatics Junior Championships|PRE|True</t>
        </is>
      </c>
      <c r="AE1749" s="53">
        <f>G1749+L1749/1000+ROW()/1000000000</f>
        <v/>
      </c>
      <c r="AF1749" s="35">
        <f>IF(C1749&lt;&gt;"Grayson Coulter","",COUNTIFS($C$5:$C$2991,"Grayson Coulter",$Q$5:$Q$2991,Q1749,$AE$5:$AE$2991,"&lt;="&amp;AE1749,$R$5:$R$2991,"&lt;"&amp;R1749))</f>
        <v/>
      </c>
      <c r="AG1749" s="35">
        <f>IF(OR(C1749&lt;&gt;"Grayson Coulter",G1749&lt;'00_Control'!$B$7),"",--(AF1749&lt;5))</f>
        <v/>
      </c>
      <c r="AH1749" s="35">
        <f>IF(OR(C1749&lt;&gt;"Grayson Coulter",G1749&lt;'00_Control'!$B$7),"",--(AF1749&lt;10))</f>
        <v/>
      </c>
      <c r="AI1749" s="35">
        <f>IF(AND(C1749="Grayson Coulter",G1749&gt;='00_Control'!$B$7),"YES","NO")</f>
        <v/>
      </c>
      <c r="AJ1749" s="33" t="inlineStr">
        <is>
          <t>OK</t>
        </is>
      </c>
    </row>
    <row r="1750">
      <c r="A1750" s="33" t="inlineStr">
        <is>
          <t>SM001746</t>
        </is>
      </c>
      <c r="B1750" s="33" t="inlineStr">
        <is>
          <t>SW007</t>
        </is>
      </c>
      <c r="C1750" s="33" t="inlineStr">
        <is>
          <t>Laon Kim</t>
        </is>
      </c>
      <c r="D1750" s="33" t="inlineStr">
        <is>
          <t>SwimCloud</t>
        </is>
      </c>
      <c r="E1750" s="33" t="inlineStr">
        <is>
          <t>2829279</t>
        </is>
      </c>
      <c r="F1750" s="33" t="inlineStr">
        <is>
          <t>157346914</t>
        </is>
      </c>
      <c r="G1750" s="51" t="n">
        <v>45890</v>
      </c>
      <c r="H1750" s="33" t="inlineStr">
        <is>
          <t>10th World Aquatics Junior Championships</t>
        </is>
      </c>
      <c r="I1750" s="33" t="inlineStr">
        <is>
          <t>348386</t>
        </is>
      </c>
      <c r="J1750" s="33" t="inlineStr"/>
      <c r="K1750" s="33" t="inlineStr">
        <is>
          <t>FIN</t>
        </is>
      </c>
      <c r="L1750" s="35">
        <f>IF(K1750="FIN",3,IF(OR(K1750="SEM",K1750="SEMI"),2,IF(OR(K1750="PRE",K1750="HEAT"),1,IF(V1750="YES",4,2))))</f>
        <v/>
      </c>
      <c r="M1750" s="33" t="inlineStr">
        <is>
          <t>LCM</t>
        </is>
      </c>
      <c r="N1750" s="33" t="n">
        <v>100</v>
      </c>
      <c r="O1750" s="33" t="inlineStr">
        <is>
          <t>Free</t>
        </is>
      </c>
      <c r="P1750" s="33" t="inlineStr">
        <is>
          <t>100 Free</t>
        </is>
      </c>
      <c r="Q1750" s="33" t="inlineStr">
        <is>
          <t>LCM_100_FREE</t>
        </is>
      </c>
      <c r="R1750" s="36" t="n">
        <v>49.28</v>
      </c>
      <c r="S1750" s="35">
        <f>IF(R1750="","",IF(R1750&gt;=60,INT(R1750/60)&amp;":"&amp;TEXT(MOD(R1750,60),"00.00"),TEXT(R1750,"0.00")))</f>
        <v/>
      </c>
      <c r="T1750" s="52">
        <f>IFERROR((G1750-INDEX('01_Swimmers'!$E$5:$E$22,MATCH(B1750,'01_Swimmers'!$A$5:$A$22,0)))/'00_Control'!$B$10,"")</f>
        <v/>
      </c>
      <c r="U1750" s="35">
        <f>IF(T1750="","",INT(T1750))</f>
        <v/>
      </c>
      <c r="V1750" s="33" t="inlineStr">
        <is>
          <t>YES</t>
        </is>
      </c>
      <c r="W1750" s="33" t="inlineStr">
        <is>
          <t>YES</t>
        </is>
      </c>
      <c r="X1750" s="33" t="inlineStr">
        <is>
          <t>NO</t>
        </is>
      </c>
      <c r="Y1750" s="33" t="n">
        <v>1</v>
      </c>
      <c r="Z1750" s="33" t="n">
        <v>7</v>
      </c>
      <c r="AA1750" s="33" t="inlineStr"/>
      <c r="AB1750" s="33" t="inlineStr">
        <is>
          <t>https://www.swimcloud.com/results/348386/event/21/?id=157342907#time157342907</t>
        </is>
      </c>
      <c r="AC1750" s="33" t="inlineStr">
        <is>
          <t>SwimCloud API v6 2026-10-08</t>
        </is>
      </c>
      <c r="AD1750" s="33" t="inlineStr">
        <is>
          <t>Laon Kim|2025-08-21|LCM|100|Free|49.28|10th World Aquatics Junior Championships|FIN|True</t>
        </is>
      </c>
      <c r="AE1750" s="53">
        <f>G1750+L1750/1000+ROW()/1000000000</f>
        <v/>
      </c>
      <c r="AF1750" s="35">
        <f>IF(C1750&lt;&gt;"Grayson Coulter","",COUNTIFS($C$5:$C$2991,"Grayson Coulter",$Q$5:$Q$2991,Q1750,$AE$5:$AE$2991,"&lt;="&amp;AE1750,$R$5:$R$2991,"&lt;"&amp;R1750))</f>
        <v/>
      </c>
      <c r="AG1750" s="35">
        <f>IF(OR(C1750&lt;&gt;"Grayson Coulter",G1750&lt;'00_Control'!$B$7),"",--(AF1750&lt;5))</f>
        <v/>
      </c>
      <c r="AH1750" s="35">
        <f>IF(OR(C1750&lt;&gt;"Grayson Coulter",G1750&lt;'00_Control'!$B$7),"",--(AF1750&lt;10))</f>
        <v/>
      </c>
      <c r="AI1750" s="35">
        <f>IF(AND(C1750="Grayson Coulter",G1750&gt;='00_Control'!$B$7),"YES","NO")</f>
        <v/>
      </c>
      <c r="AJ1750" s="33" t="inlineStr">
        <is>
          <t>OK</t>
        </is>
      </c>
    </row>
    <row r="1751">
      <c r="A1751" s="33" t="inlineStr">
        <is>
          <t>SM001747</t>
        </is>
      </c>
      <c r="B1751" s="33" t="inlineStr">
        <is>
          <t>SW007</t>
        </is>
      </c>
      <c r="C1751" s="33" t="inlineStr">
        <is>
          <t>Laon Kim</t>
        </is>
      </c>
      <c r="D1751" s="33" t="inlineStr">
        <is>
          <t>SwimCloud</t>
        </is>
      </c>
      <c r="E1751" s="33" t="inlineStr">
        <is>
          <t>2829279</t>
        </is>
      </c>
      <c r="F1751" s="33" t="inlineStr">
        <is>
          <t>157346882</t>
        </is>
      </c>
      <c r="G1751" s="51" t="n">
        <v>45891</v>
      </c>
      <c r="H1751" s="33" t="inlineStr">
        <is>
          <t>10th World Aquatics Junior Championships</t>
        </is>
      </c>
      <c r="I1751" s="33" t="inlineStr">
        <is>
          <t>348386</t>
        </is>
      </c>
      <c r="J1751" s="33" t="inlineStr"/>
      <c r="K1751" s="33" t="inlineStr">
        <is>
          <t>PRE</t>
        </is>
      </c>
      <c r="L1751" s="35">
        <f>IF(K1751="FIN",3,IF(OR(K1751="SEM",K1751="SEMI"),2,IF(OR(K1751="PRE",K1751="HEAT"),1,IF(V1751="YES",4,2))))</f>
        <v/>
      </c>
      <c r="M1751" s="33" t="inlineStr">
        <is>
          <t>LCM</t>
        </is>
      </c>
      <c r="N1751" s="33" t="n">
        <v>200</v>
      </c>
      <c r="O1751" s="33" t="inlineStr">
        <is>
          <t>Free</t>
        </is>
      </c>
      <c r="P1751" s="33" t="inlineStr">
        <is>
          <t>200 Free</t>
        </is>
      </c>
      <c r="Q1751" s="33" t="inlineStr">
        <is>
          <t>LCM_200_FREE</t>
        </is>
      </c>
      <c r="R1751" s="36" t="n">
        <v>109.21</v>
      </c>
      <c r="S1751" s="35">
        <f>IF(R1751="","",IF(R1751&gt;=60,INT(R1751/60)&amp;":"&amp;TEXT(MOD(R1751,60),"00.00"),TEXT(R1751,"0.00")))</f>
        <v/>
      </c>
      <c r="T1751" s="52">
        <f>IFERROR((G1751-INDEX('01_Swimmers'!$E$5:$E$22,MATCH(B1751,'01_Swimmers'!$A$5:$A$22,0)))/'00_Control'!$B$10,"")</f>
        <v/>
      </c>
      <c r="U1751" s="35">
        <f>IF(T1751="","",INT(T1751))</f>
        <v/>
      </c>
      <c r="V1751" s="33" t="inlineStr">
        <is>
          <t>YES</t>
        </is>
      </c>
      <c r="W1751" s="33" t="inlineStr">
        <is>
          <t>YES</t>
        </is>
      </c>
      <c r="X1751" s="33" t="inlineStr">
        <is>
          <t>NO</t>
        </is>
      </c>
      <c r="Y1751" s="33" t="n">
        <v>2</v>
      </c>
      <c r="Z1751" s="33" t="n">
        <v>6</v>
      </c>
      <c r="AA1751" s="33" t="inlineStr"/>
      <c r="AB1751" s="33" t="inlineStr">
        <is>
          <t>https://www.swimcloud.com/results/348386/event/28/?id=157342899#time157342899</t>
        </is>
      </c>
      <c r="AC1751" s="33" t="inlineStr">
        <is>
          <t>SwimCloud API v6 2026-10-08</t>
        </is>
      </c>
      <c r="AD1751" s="33" t="inlineStr">
        <is>
          <t>Laon Kim|2025-08-22|LCM|200|Free|109.21|10th World Aquatics Junior Championships|PRE|True</t>
        </is>
      </c>
      <c r="AE1751" s="53">
        <f>G1751+L1751/1000+ROW()/1000000000</f>
        <v/>
      </c>
      <c r="AF1751" s="35">
        <f>IF(C1751&lt;&gt;"Grayson Coulter","",COUNTIFS($C$5:$C$2991,"Grayson Coulter",$Q$5:$Q$2991,Q1751,$AE$5:$AE$2991,"&lt;="&amp;AE1751,$R$5:$R$2991,"&lt;"&amp;R1751))</f>
        <v/>
      </c>
      <c r="AG1751" s="35">
        <f>IF(OR(C1751&lt;&gt;"Grayson Coulter",G1751&lt;'00_Control'!$B$7),"",--(AF1751&lt;5))</f>
        <v/>
      </c>
      <c r="AH1751" s="35">
        <f>IF(OR(C1751&lt;&gt;"Grayson Coulter",G1751&lt;'00_Control'!$B$7),"",--(AF1751&lt;10))</f>
        <v/>
      </c>
      <c r="AI1751" s="35">
        <f>IF(AND(C1751="Grayson Coulter",G1751&gt;='00_Control'!$B$7),"YES","NO")</f>
        <v/>
      </c>
      <c r="AJ1751" s="33" t="inlineStr">
        <is>
          <t>OK</t>
        </is>
      </c>
    </row>
    <row r="1752">
      <c r="A1752" s="33" t="inlineStr">
        <is>
          <t>SM001748</t>
        </is>
      </c>
      <c r="B1752" s="33" t="inlineStr">
        <is>
          <t>SW007</t>
        </is>
      </c>
      <c r="C1752" s="33" t="inlineStr">
        <is>
          <t>Laon Kim</t>
        </is>
      </c>
      <c r="D1752" s="33" t="inlineStr">
        <is>
          <t>SwimCloud</t>
        </is>
      </c>
      <c r="E1752" s="33" t="inlineStr">
        <is>
          <t>2829279</t>
        </is>
      </c>
      <c r="F1752" s="33" t="inlineStr">
        <is>
          <t>157346878</t>
        </is>
      </c>
      <c r="G1752" s="51" t="n">
        <v>45891</v>
      </c>
      <c r="H1752" s="33" t="inlineStr">
        <is>
          <t>10th World Aquatics Junior Championships</t>
        </is>
      </c>
      <c r="I1752" s="33" t="inlineStr">
        <is>
          <t>348386</t>
        </is>
      </c>
      <c r="J1752" s="33" t="inlineStr"/>
      <c r="K1752" s="33" t="inlineStr">
        <is>
          <t>FIN</t>
        </is>
      </c>
      <c r="L1752" s="35">
        <f>IF(K1752="FIN",3,IF(OR(K1752="SEM",K1752="SEMI"),2,IF(OR(K1752="PRE",K1752="HEAT"),1,IF(V1752="YES",4,2))))</f>
        <v/>
      </c>
      <c r="M1752" s="33" t="inlineStr">
        <is>
          <t>LCM</t>
        </is>
      </c>
      <c r="N1752" s="33" t="n">
        <v>200</v>
      </c>
      <c r="O1752" s="33" t="inlineStr">
        <is>
          <t>Free</t>
        </is>
      </c>
      <c r="P1752" s="33" t="inlineStr">
        <is>
          <t>200 Free</t>
        </is>
      </c>
      <c r="Q1752" s="33" t="inlineStr">
        <is>
          <t>LCM_200_FREE</t>
        </is>
      </c>
      <c r="R1752" s="36" t="n">
        <v>108.51</v>
      </c>
      <c r="S1752" s="35">
        <f>IF(R1752="","",IF(R1752&gt;=60,INT(R1752/60)&amp;":"&amp;TEXT(MOD(R1752,60),"00.00"),TEXT(R1752,"0.00")))</f>
        <v/>
      </c>
      <c r="T1752" s="52">
        <f>IFERROR((G1752-INDEX('01_Swimmers'!$E$5:$E$22,MATCH(B1752,'01_Swimmers'!$A$5:$A$22,0)))/'00_Control'!$B$10,"")</f>
        <v/>
      </c>
      <c r="U1752" s="35">
        <f>IF(T1752="","",INT(T1752))</f>
        <v/>
      </c>
      <c r="V1752" s="33" t="inlineStr">
        <is>
          <t>YES</t>
        </is>
      </c>
      <c r="W1752" s="33" t="inlineStr">
        <is>
          <t>YES</t>
        </is>
      </c>
      <c r="X1752" s="33" t="inlineStr">
        <is>
          <t>NO</t>
        </is>
      </c>
      <c r="Y1752" s="33" t="n">
        <v>1</v>
      </c>
      <c r="Z1752" s="33" t="n">
        <v>6</v>
      </c>
      <c r="AA1752" s="33" t="inlineStr"/>
      <c r="AB1752" s="33" t="inlineStr">
        <is>
          <t>https://www.swimcloud.com/results/348386/event/28/?id=157342898#time157342898</t>
        </is>
      </c>
      <c r="AC1752" s="33" t="inlineStr">
        <is>
          <t>SwimCloud API v6 2026-10-08</t>
        </is>
      </c>
      <c r="AD1752" s="33" t="inlineStr">
        <is>
          <t>Laon Kim|2025-08-22|LCM|200|Free|108.51|10th World Aquatics Junior Championships|FIN|True</t>
        </is>
      </c>
      <c r="AE1752" s="53">
        <f>G1752+L1752/1000+ROW()/1000000000</f>
        <v/>
      </c>
      <c r="AF1752" s="35">
        <f>IF(C1752&lt;&gt;"Grayson Coulter","",COUNTIFS($C$5:$C$2991,"Grayson Coulter",$Q$5:$Q$2991,Q1752,$AE$5:$AE$2991,"&lt;="&amp;AE1752,$R$5:$R$2991,"&lt;"&amp;R1752))</f>
        <v/>
      </c>
      <c r="AG1752" s="35">
        <f>IF(OR(C1752&lt;&gt;"Grayson Coulter",G1752&lt;'00_Control'!$B$7),"",--(AF1752&lt;5))</f>
        <v/>
      </c>
      <c r="AH1752" s="35">
        <f>IF(OR(C1752&lt;&gt;"Grayson Coulter",G1752&lt;'00_Control'!$B$7),"",--(AF1752&lt;10))</f>
        <v/>
      </c>
      <c r="AI1752" s="35">
        <f>IF(AND(C1752="Grayson Coulter",G1752&gt;='00_Control'!$B$7),"YES","NO")</f>
        <v/>
      </c>
      <c r="AJ1752" s="33" t="inlineStr">
        <is>
          <t>OK</t>
        </is>
      </c>
    </row>
    <row r="1753">
      <c r="A1753" s="33" t="inlineStr">
        <is>
          <t>SM001749</t>
        </is>
      </c>
      <c r="B1753" s="33" t="inlineStr">
        <is>
          <t>SW007</t>
        </is>
      </c>
      <c r="C1753" s="33" t="inlineStr">
        <is>
          <t>Laon Kim</t>
        </is>
      </c>
      <c r="D1753" s="33" t="inlineStr">
        <is>
          <t>SwimCloud</t>
        </is>
      </c>
      <c r="E1753" s="33" t="inlineStr">
        <is>
          <t>2829279</t>
        </is>
      </c>
      <c r="F1753" s="33" t="inlineStr">
        <is>
          <t>157342808</t>
        </is>
      </c>
      <c r="G1753" s="51" t="n">
        <v>45892</v>
      </c>
      <c r="H1753" s="33" t="inlineStr">
        <is>
          <t>10th World Aquatics Junior Championships</t>
        </is>
      </c>
      <c r="I1753" s="33" t="inlineStr">
        <is>
          <t>348386</t>
        </is>
      </c>
      <c r="J1753" s="33" t="inlineStr"/>
      <c r="K1753" s="33" t="inlineStr">
        <is>
          <t>PRE</t>
        </is>
      </c>
      <c r="L1753" s="35">
        <f>IF(K1753="FIN",3,IF(OR(K1753="SEM",K1753="SEMI"),2,IF(OR(K1753="PRE",K1753="HEAT"),1,IF(V1753="YES",4,2))))</f>
        <v/>
      </c>
      <c r="M1753" s="33" t="inlineStr">
        <is>
          <t>LCM</t>
        </is>
      </c>
      <c r="N1753" s="33" t="n">
        <v>100</v>
      </c>
      <c r="O1753" s="33" t="inlineStr">
        <is>
          <t>Free</t>
        </is>
      </c>
      <c r="P1753" s="33" t="inlineStr">
        <is>
          <t>100 Free</t>
        </is>
      </c>
      <c r="Q1753" s="33" t="inlineStr">
        <is>
          <t>LCM_100_FREE</t>
        </is>
      </c>
      <c r="R1753" s="36" t="n">
        <v>49.91</v>
      </c>
      <c r="S1753" s="35">
        <f>IF(R1753="","",IF(R1753&gt;=60,INT(R1753/60)&amp;":"&amp;TEXT(MOD(R1753,60),"00.00"),TEXT(R1753,"0.00")))</f>
        <v/>
      </c>
      <c r="T1753" s="52">
        <f>IFERROR((G1753-INDEX('01_Swimmers'!$E$5:$E$22,MATCH(B1753,'01_Swimmers'!$A$5:$A$22,0)))/'00_Control'!$B$10,"")</f>
        <v/>
      </c>
      <c r="U1753" s="35">
        <f>IF(T1753="","",INT(T1753))</f>
        <v/>
      </c>
      <c r="V1753" s="33" t="inlineStr">
        <is>
          <t>NO</t>
        </is>
      </c>
      <c r="W1753" s="33" t="inlineStr">
        <is>
          <t>YES</t>
        </is>
      </c>
      <c r="X1753" s="33" t="inlineStr">
        <is>
          <t>NO</t>
        </is>
      </c>
      <c r="Y1753" s="33" t="n">
        <v>14</v>
      </c>
      <c r="Z1753" s="33" t="n">
        <v>3</v>
      </c>
      <c r="AA1753" s="33" t="inlineStr">
        <is>
          <t>12</t>
        </is>
      </c>
      <c r="AB1753" s="33" t="inlineStr">
        <is>
          <t>https://www.swimcloud.com/results/348386/event/29/?id=157342808#time157342808</t>
        </is>
      </c>
      <c r="AC1753" s="33" t="inlineStr">
        <is>
          <t>SwimCloud API v6 2026-10-08</t>
        </is>
      </c>
      <c r="AD1753" s="33" t="inlineStr">
        <is>
          <t>Laon Kim|2025-08-23|LCM|100|Free|49.91|10th World Aquatics Junior Championships|PRE|False</t>
        </is>
      </c>
      <c r="AE1753" s="53">
        <f>G1753+L1753/1000+ROW()/1000000000</f>
        <v/>
      </c>
      <c r="AF1753" s="35">
        <f>IF(C1753&lt;&gt;"Grayson Coulter","",COUNTIFS($C$5:$C$2991,"Grayson Coulter",$Q$5:$Q$2991,Q1753,$AE$5:$AE$2991,"&lt;="&amp;AE1753,$R$5:$R$2991,"&lt;"&amp;R1753))</f>
        <v/>
      </c>
      <c r="AG1753" s="35">
        <f>IF(OR(C1753&lt;&gt;"Grayson Coulter",G1753&lt;'00_Control'!$B$7),"",--(AF1753&lt;5))</f>
        <v/>
      </c>
      <c r="AH1753" s="35">
        <f>IF(OR(C1753&lt;&gt;"Grayson Coulter",G1753&lt;'00_Control'!$B$7),"",--(AF1753&lt;10))</f>
        <v/>
      </c>
      <c r="AI1753" s="35">
        <f>IF(AND(C1753="Grayson Coulter",G1753&gt;='00_Control'!$B$7),"YES","NO")</f>
        <v/>
      </c>
      <c r="AJ1753" s="33" t="inlineStr">
        <is>
          <t>OK</t>
        </is>
      </c>
    </row>
    <row r="1754">
      <c r="A1754" s="33" t="inlineStr">
        <is>
          <t>SM001750</t>
        </is>
      </c>
      <c r="B1754" s="33" t="inlineStr">
        <is>
          <t>SW007</t>
        </is>
      </c>
      <c r="C1754" s="33" t="inlineStr">
        <is>
          <t>Laon Kim</t>
        </is>
      </c>
      <c r="D1754" s="33" t="inlineStr">
        <is>
          <t>SwimCloud</t>
        </is>
      </c>
      <c r="E1754" s="33" t="inlineStr">
        <is>
          <t>2829279</t>
        </is>
      </c>
      <c r="F1754" s="33" t="inlineStr">
        <is>
          <t>157342809</t>
        </is>
      </c>
      <c r="G1754" s="51" t="n">
        <v>45892</v>
      </c>
      <c r="H1754" s="33" t="inlineStr">
        <is>
          <t>10th World Aquatics Junior Championships</t>
        </is>
      </c>
      <c r="I1754" s="33" t="inlineStr">
        <is>
          <t>348386</t>
        </is>
      </c>
      <c r="J1754" s="33" t="inlineStr"/>
      <c r="K1754" s="33" t="inlineStr">
        <is>
          <t>SEM</t>
        </is>
      </c>
      <c r="L1754" s="35">
        <f>IF(K1754="FIN",3,IF(OR(K1754="SEM",K1754="SEMI"),2,IF(OR(K1754="PRE",K1754="HEAT"),1,IF(V1754="YES",4,2))))</f>
        <v/>
      </c>
      <c r="M1754" s="33" t="inlineStr">
        <is>
          <t>LCM</t>
        </is>
      </c>
      <c r="N1754" s="33" t="n">
        <v>100</v>
      </c>
      <c r="O1754" s="33" t="inlineStr">
        <is>
          <t>Free</t>
        </is>
      </c>
      <c r="P1754" s="33" t="inlineStr">
        <is>
          <t>100 Free</t>
        </is>
      </c>
      <c r="Q1754" s="33" t="inlineStr">
        <is>
          <t>LCM_100_FREE</t>
        </is>
      </c>
      <c r="R1754" s="36" t="n">
        <v>49.69</v>
      </c>
      <c r="S1754" s="35">
        <f>IF(R1754="","",IF(R1754&gt;=60,INT(R1754/60)&amp;":"&amp;TEXT(MOD(R1754,60),"00.00"),TEXT(R1754,"0.00")))</f>
        <v/>
      </c>
      <c r="T1754" s="52">
        <f>IFERROR((G1754-INDEX('01_Swimmers'!$E$5:$E$22,MATCH(B1754,'01_Swimmers'!$A$5:$A$22,0)))/'00_Control'!$B$10,"")</f>
        <v/>
      </c>
      <c r="U1754" s="35">
        <f>IF(T1754="","",INT(T1754))</f>
        <v/>
      </c>
      <c r="V1754" s="33" t="inlineStr">
        <is>
          <t>NO</t>
        </is>
      </c>
      <c r="W1754" s="33" t="inlineStr">
        <is>
          <t>YES</t>
        </is>
      </c>
      <c r="X1754" s="33" t="inlineStr">
        <is>
          <t>NO</t>
        </is>
      </c>
      <c r="Y1754" s="33" t="n">
        <v>1</v>
      </c>
      <c r="Z1754" s="33" t="n">
        <v>7</v>
      </c>
      <c r="AA1754" s="33" t="inlineStr">
        <is>
          <t>10</t>
        </is>
      </c>
      <c r="AB1754" s="33" t="inlineStr">
        <is>
          <t>https://www.swimcloud.com/results/348386/event/29/?id=157342809#time157342809</t>
        </is>
      </c>
      <c r="AC1754" s="33" t="inlineStr">
        <is>
          <t>SwimCloud API v6 2026-10-08</t>
        </is>
      </c>
      <c r="AD1754" s="33" t="inlineStr">
        <is>
          <t>Laon Kim|2025-08-23|LCM|100|Free|49.69|10th World Aquatics Junior Championships|SEM|False</t>
        </is>
      </c>
      <c r="AE1754" s="53">
        <f>G1754+L1754/1000+ROW()/1000000000</f>
        <v/>
      </c>
      <c r="AF1754" s="35">
        <f>IF(C1754&lt;&gt;"Grayson Coulter","",COUNTIFS($C$5:$C$2991,"Grayson Coulter",$Q$5:$Q$2991,Q1754,$AE$5:$AE$2991,"&lt;="&amp;AE1754,$R$5:$R$2991,"&lt;"&amp;R1754))</f>
        <v/>
      </c>
      <c r="AG1754" s="35">
        <f>IF(OR(C1754&lt;&gt;"Grayson Coulter",G1754&lt;'00_Control'!$B$7),"",--(AF1754&lt;5))</f>
        <v/>
      </c>
      <c r="AH1754" s="35">
        <f>IF(OR(C1754&lt;&gt;"Grayson Coulter",G1754&lt;'00_Control'!$B$7),"",--(AF1754&lt;10))</f>
        <v/>
      </c>
      <c r="AI1754" s="35">
        <f>IF(AND(C1754="Grayson Coulter",G1754&gt;='00_Control'!$B$7),"YES","NO")</f>
        <v/>
      </c>
      <c r="AJ1754" s="33" t="inlineStr">
        <is>
          <t>OK</t>
        </is>
      </c>
    </row>
    <row r="1755">
      <c r="A1755" s="33" t="inlineStr">
        <is>
          <t>SM001751</t>
        </is>
      </c>
      <c r="B1755" s="33" t="inlineStr">
        <is>
          <t>SW007</t>
        </is>
      </c>
      <c r="C1755" s="33" t="inlineStr">
        <is>
          <t>Laon Kim</t>
        </is>
      </c>
      <c r="D1755" s="33" t="inlineStr">
        <is>
          <t>SwimCloud</t>
        </is>
      </c>
      <c r="E1755" s="33" t="inlineStr">
        <is>
          <t>2829279</t>
        </is>
      </c>
      <c r="F1755" s="33" t="inlineStr">
        <is>
          <t>175475001</t>
        </is>
      </c>
      <c r="G1755" s="51" t="n">
        <v>45948</v>
      </c>
      <c r="H1755" s="33" t="inlineStr">
        <is>
          <t>UCSC Fall Start Up</t>
        </is>
      </c>
      <c r="I1755" s="33" t="inlineStr">
        <is>
          <t>358060</t>
        </is>
      </c>
      <c r="J1755" s="33" t="inlineStr"/>
      <c r="K1755" s="33" t="inlineStr">
        <is>
          <t>TIM</t>
        </is>
      </c>
      <c r="L1755" s="35">
        <f>IF(K1755="FIN",3,IF(OR(K1755="SEM",K1755="SEMI"),2,IF(OR(K1755="PRE",K1755="HEAT"),1,IF(V1755="YES",4,2))))</f>
        <v/>
      </c>
      <c r="M1755" s="33" t="inlineStr">
        <is>
          <t>SCM</t>
        </is>
      </c>
      <c r="N1755" s="33" t="n">
        <v>100</v>
      </c>
      <c r="O1755" s="33" t="inlineStr">
        <is>
          <t>Fly</t>
        </is>
      </c>
      <c r="P1755" s="33" t="inlineStr">
        <is>
          <t>100 Fly</t>
        </is>
      </c>
      <c r="Q1755" s="33" t="inlineStr">
        <is>
          <t>SCM_100_FLY</t>
        </is>
      </c>
      <c r="R1755" s="36" t="n">
        <v>53.53</v>
      </c>
      <c r="S1755" s="35">
        <f>IF(R1755="","",IF(R1755&gt;=60,INT(R1755/60)&amp;":"&amp;TEXT(MOD(R1755,60),"00.00"),TEXT(R1755,"0.00")))</f>
        <v/>
      </c>
      <c r="T1755" s="52">
        <f>IFERROR((G1755-INDEX('01_Swimmers'!$E$5:$E$22,MATCH(B1755,'01_Swimmers'!$A$5:$A$22,0)))/'00_Control'!$B$10,"")</f>
        <v/>
      </c>
      <c r="U1755" s="35">
        <f>IF(T1755="","",INT(T1755))</f>
        <v/>
      </c>
      <c r="V1755" s="33" t="inlineStr">
        <is>
          <t>NO</t>
        </is>
      </c>
      <c r="W1755" s="33" t="inlineStr">
        <is>
          <t>YES</t>
        </is>
      </c>
      <c r="X1755" s="33" t="inlineStr">
        <is>
          <t>NO</t>
        </is>
      </c>
      <c r="Y1755" s="33" t="n">
        <v>12</v>
      </c>
      <c r="Z1755" s="33" t="n">
        <v>3</v>
      </c>
      <c r="AA1755" s="33" t="inlineStr">
        <is>
          <t>2</t>
        </is>
      </c>
      <c r="AB1755" s="33" t="inlineStr">
        <is>
          <t>https://www.swimcloud.com/results/358060/event/2/?id=175475001#time175475001</t>
        </is>
      </c>
      <c r="AC1755" s="33" t="inlineStr">
        <is>
          <t>SwimCloud API v6 2026-10-08</t>
        </is>
      </c>
      <c r="AD1755" s="33" t="inlineStr">
        <is>
          <t>Laon Kim|2025-10-18|SCM|100|Fly|53.53|UCSC Fall Start Up|TIM|False</t>
        </is>
      </c>
      <c r="AE1755" s="53">
        <f>G1755+L1755/1000+ROW()/1000000000</f>
        <v/>
      </c>
      <c r="AF1755" s="35">
        <f>IF(C1755&lt;&gt;"Grayson Coulter","",COUNTIFS($C$5:$C$2991,"Grayson Coulter",$Q$5:$Q$2991,Q1755,$AE$5:$AE$2991,"&lt;="&amp;AE1755,$R$5:$R$2991,"&lt;"&amp;R1755))</f>
        <v/>
      </c>
      <c r="AG1755" s="35">
        <f>IF(OR(C1755&lt;&gt;"Grayson Coulter",G1755&lt;'00_Control'!$B$7),"",--(AF1755&lt;5))</f>
        <v/>
      </c>
      <c r="AH1755" s="35">
        <f>IF(OR(C1755&lt;&gt;"Grayson Coulter",G1755&lt;'00_Control'!$B$7),"",--(AF1755&lt;10))</f>
        <v/>
      </c>
      <c r="AI1755" s="35">
        <f>IF(AND(C1755="Grayson Coulter",G1755&gt;='00_Control'!$B$7),"YES","NO")</f>
        <v/>
      </c>
      <c r="AJ1755" s="33" t="inlineStr">
        <is>
          <t>OK</t>
        </is>
      </c>
    </row>
    <row r="1756">
      <c r="A1756" s="33" t="inlineStr">
        <is>
          <t>SM001752</t>
        </is>
      </c>
      <c r="B1756" s="33" t="inlineStr">
        <is>
          <t>SW007</t>
        </is>
      </c>
      <c r="C1756" s="33" t="inlineStr">
        <is>
          <t>Laon Kim</t>
        </is>
      </c>
      <c r="D1756" s="33" t="inlineStr">
        <is>
          <t>SwimCloud</t>
        </is>
      </c>
      <c r="E1756" s="33" t="inlineStr">
        <is>
          <t>2829279</t>
        </is>
      </c>
      <c r="F1756" s="33" t="inlineStr">
        <is>
          <t>175474888</t>
        </is>
      </c>
      <c r="G1756" s="51" t="n">
        <v>45948</v>
      </c>
      <c r="H1756" s="33" t="inlineStr">
        <is>
          <t>UCSC Fall Start Up</t>
        </is>
      </c>
      <c r="I1756" s="33" t="inlineStr">
        <is>
          <t>358060</t>
        </is>
      </c>
      <c r="J1756" s="33" t="inlineStr"/>
      <c r="K1756" s="33" t="inlineStr">
        <is>
          <t>TIM</t>
        </is>
      </c>
      <c r="L1756" s="35">
        <f>IF(K1756="FIN",3,IF(OR(K1756="SEM",K1756="SEMI"),2,IF(OR(K1756="PRE",K1756="HEAT"),1,IF(V1756="YES",4,2))))</f>
        <v/>
      </c>
      <c r="M1756" s="33" t="inlineStr">
        <is>
          <t>SCM</t>
        </is>
      </c>
      <c r="N1756" s="33" t="n">
        <v>100</v>
      </c>
      <c r="O1756" s="33" t="inlineStr">
        <is>
          <t>Free</t>
        </is>
      </c>
      <c r="P1756" s="33" t="inlineStr">
        <is>
          <t>100 Free</t>
        </is>
      </c>
      <c r="Q1756" s="33" t="inlineStr">
        <is>
          <t>SCM_100_FREE</t>
        </is>
      </c>
      <c r="R1756" s="36" t="n">
        <v>48.57</v>
      </c>
      <c r="S1756" s="35">
        <f>IF(R1756="","",IF(R1756&gt;=60,INT(R1756/60)&amp;":"&amp;TEXT(MOD(R1756,60),"00.00"),TEXT(R1756,"0.00")))</f>
        <v/>
      </c>
      <c r="T1756" s="52">
        <f>IFERROR((G1756-INDEX('01_Swimmers'!$E$5:$E$22,MATCH(B1756,'01_Swimmers'!$A$5:$A$22,0)))/'00_Control'!$B$10,"")</f>
        <v/>
      </c>
      <c r="U1756" s="35">
        <f>IF(T1756="","",INT(T1756))</f>
        <v/>
      </c>
      <c r="V1756" s="33" t="inlineStr">
        <is>
          <t>NO</t>
        </is>
      </c>
      <c r="W1756" s="33" t="inlineStr">
        <is>
          <t>YES</t>
        </is>
      </c>
      <c r="X1756" s="33" t="inlineStr">
        <is>
          <t>NO</t>
        </is>
      </c>
      <c r="Y1756" s="33" t="n">
        <v>15</v>
      </c>
      <c r="Z1756" s="33" t="n">
        <v>4</v>
      </c>
      <c r="AA1756" s="33" t="inlineStr">
        <is>
          <t>1</t>
        </is>
      </c>
      <c r="AB1756" s="33" t="inlineStr">
        <is>
          <t>https://www.swimcloud.com/results/358060/event/8/?id=175474888#time175474888</t>
        </is>
      </c>
      <c r="AC1756" s="33" t="inlineStr">
        <is>
          <t>SwimCloud API v6 2026-10-08</t>
        </is>
      </c>
      <c r="AD1756" s="33" t="inlineStr">
        <is>
          <t>Laon Kim|2025-10-18|SCM|100|Free|48.57|UCSC Fall Start Up|TIM|False</t>
        </is>
      </c>
      <c r="AE1756" s="53">
        <f>G1756+L1756/1000+ROW()/1000000000</f>
        <v/>
      </c>
      <c r="AF1756" s="35">
        <f>IF(C1756&lt;&gt;"Grayson Coulter","",COUNTIFS($C$5:$C$2991,"Grayson Coulter",$Q$5:$Q$2991,Q1756,$AE$5:$AE$2991,"&lt;="&amp;AE1756,$R$5:$R$2991,"&lt;"&amp;R1756))</f>
        <v/>
      </c>
      <c r="AG1756" s="35">
        <f>IF(OR(C1756&lt;&gt;"Grayson Coulter",G1756&lt;'00_Control'!$B$7),"",--(AF1756&lt;5))</f>
        <v/>
      </c>
      <c r="AH1756" s="35">
        <f>IF(OR(C1756&lt;&gt;"Grayson Coulter",G1756&lt;'00_Control'!$B$7),"",--(AF1756&lt;10))</f>
        <v/>
      </c>
      <c r="AI1756" s="35">
        <f>IF(AND(C1756="Grayson Coulter",G1756&gt;='00_Control'!$B$7),"YES","NO")</f>
        <v/>
      </c>
      <c r="AJ1756" s="33" t="inlineStr">
        <is>
          <t>OK</t>
        </is>
      </c>
    </row>
    <row r="1757">
      <c r="A1757" s="33" t="inlineStr">
        <is>
          <t>SM001753</t>
        </is>
      </c>
      <c r="B1757" s="33" t="inlineStr">
        <is>
          <t>SW007</t>
        </is>
      </c>
      <c r="C1757" s="33" t="inlineStr">
        <is>
          <t>Laon Kim</t>
        </is>
      </c>
      <c r="D1757" s="33" t="inlineStr">
        <is>
          <t>SwimCloud</t>
        </is>
      </c>
      <c r="E1757" s="33" t="inlineStr">
        <is>
          <t>2829279</t>
        </is>
      </c>
      <c r="F1757" s="33" t="inlineStr">
        <is>
          <t>160540652</t>
        </is>
      </c>
      <c r="G1757" s="51" t="n">
        <v>45953</v>
      </c>
      <c r="H1757" s="33" t="inlineStr">
        <is>
          <t>World Aquatics World Cup - Toronto</t>
        </is>
      </c>
      <c r="I1757" s="33" t="inlineStr">
        <is>
          <t>357248</t>
        </is>
      </c>
      <c r="J1757" s="33" t="inlineStr"/>
      <c r="K1757" s="33" t="inlineStr">
        <is>
          <t>TIM</t>
        </is>
      </c>
      <c r="L1757" s="35">
        <f>IF(K1757="FIN",3,IF(OR(K1757="SEM",K1757="SEMI"),2,IF(OR(K1757="PRE",K1757="HEAT"),1,IF(V1757="YES",4,2))))</f>
        <v/>
      </c>
      <c r="M1757" s="33" t="inlineStr">
        <is>
          <t>SCM</t>
        </is>
      </c>
      <c r="N1757" s="33" t="n">
        <v>400</v>
      </c>
      <c r="O1757" s="33" t="inlineStr">
        <is>
          <t>Free</t>
        </is>
      </c>
      <c r="P1757" s="33" t="inlineStr">
        <is>
          <t>400 Free</t>
        </is>
      </c>
      <c r="Q1757" s="33" t="inlineStr">
        <is>
          <t>SCM_400_FREE</t>
        </is>
      </c>
      <c r="R1757" s="36" t="n">
        <v>230.62</v>
      </c>
      <c r="S1757" s="35">
        <f>IF(R1757="","",IF(R1757&gt;=60,INT(R1757/60)&amp;":"&amp;TEXT(MOD(R1757,60),"00.00"),TEXT(R1757,"0.00")))</f>
        <v/>
      </c>
      <c r="T1757" s="52">
        <f>IFERROR((G1757-INDEX('01_Swimmers'!$E$5:$E$22,MATCH(B1757,'01_Swimmers'!$A$5:$A$22,0)))/'00_Control'!$B$10,"")</f>
        <v/>
      </c>
      <c r="U1757" s="35">
        <f>IF(T1757="","",INT(T1757))</f>
        <v/>
      </c>
      <c r="V1757" s="33" t="inlineStr">
        <is>
          <t>NO</t>
        </is>
      </c>
      <c r="W1757" s="33" t="inlineStr">
        <is>
          <t>YES</t>
        </is>
      </c>
      <c r="X1757" s="33" t="inlineStr">
        <is>
          <t>NO</t>
        </is>
      </c>
      <c r="Y1757" s="33" t="n">
        <v>2</v>
      </c>
      <c r="Z1757" s="33" t="n">
        <v>4</v>
      </c>
      <c r="AA1757" s="33" t="inlineStr">
        <is>
          <t>12</t>
        </is>
      </c>
      <c r="AB1757" s="33" t="inlineStr">
        <is>
          <t>https://www.swimcloud.com/results/357248/event/2/?id=160540652#time160540652</t>
        </is>
      </c>
      <c r="AC1757" s="33" t="inlineStr">
        <is>
          <t>SwimCloud API v6 2026-10-08</t>
        </is>
      </c>
      <c r="AD1757" s="33" t="inlineStr">
        <is>
          <t>Laon Kim|2025-10-23|SCM|400|Free|230.62|World Aquatics World Cup - Toronto|TIM|False</t>
        </is>
      </c>
      <c r="AE1757" s="53">
        <f>G1757+L1757/1000+ROW()/1000000000</f>
        <v/>
      </c>
      <c r="AF1757" s="35">
        <f>IF(C1757&lt;&gt;"Grayson Coulter","",COUNTIFS($C$5:$C$2991,"Grayson Coulter",$Q$5:$Q$2991,Q1757,$AE$5:$AE$2991,"&lt;="&amp;AE1757,$R$5:$R$2991,"&lt;"&amp;R1757))</f>
        <v/>
      </c>
      <c r="AG1757" s="35">
        <f>IF(OR(C1757&lt;&gt;"Grayson Coulter",G1757&lt;'00_Control'!$B$7),"",--(AF1757&lt;5))</f>
        <v/>
      </c>
      <c r="AH1757" s="35">
        <f>IF(OR(C1757&lt;&gt;"Grayson Coulter",G1757&lt;'00_Control'!$B$7),"",--(AF1757&lt;10))</f>
        <v/>
      </c>
      <c r="AI1757" s="35">
        <f>IF(AND(C1757="Grayson Coulter",G1757&gt;='00_Control'!$B$7),"YES","NO")</f>
        <v/>
      </c>
      <c r="AJ1757" s="33" t="inlineStr">
        <is>
          <t>OK</t>
        </is>
      </c>
    </row>
    <row r="1758">
      <c r="A1758" s="33" t="inlineStr">
        <is>
          <t>SM001754</t>
        </is>
      </c>
      <c r="B1758" s="33" t="inlineStr">
        <is>
          <t>SW007</t>
        </is>
      </c>
      <c r="C1758" s="33" t="inlineStr">
        <is>
          <t>Laon Kim</t>
        </is>
      </c>
      <c r="D1758" s="33" t="inlineStr">
        <is>
          <t>SwimCloud</t>
        </is>
      </c>
      <c r="E1758" s="33" t="inlineStr">
        <is>
          <t>2829279</t>
        </is>
      </c>
      <c r="F1758" s="33" t="inlineStr">
        <is>
          <t>160540649</t>
        </is>
      </c>
      <c r="G1758" s="51" t="n">
        <v>45954</v>
      </c>
      <c r="H1758" s="33" t="inlineStr">
        <is>
          <t>World Aquatics World Cup - Toronto</t>
        </is>
      </c>
      <c r="I1758" s="33" t="inlineStr">
        <is>
          <t>357248</t>
        </is>
      </c>
      <c r="J1758" s="33" t="inlineStr"/>
      <c r="K1758" s="33" t="inlineStr">
        <is>
          <t>PRE</t>
        </is>
      </c>
      <c r="L1758" s="35">
        <f>IF(K1758="FIN",3,IF(OR(K1758="SEM",K1758="SEMI"),2,IF(OR(K1758="PRE",K1758="HEAT"),1,IF(V1758="YES",4,2))))</f>
        <v/>
      </c>
      <c r="M1758" s="33" t="inlineStr">
        <is>
          <t>SCM</t>
        </is>
      </c>
      <c r="N1758" s="33" t="n">
        <v>100</v>
      </c>
      <c r="O1758" s="33" t="inlineStr">
        <is>
          <t>Free</t>
        </is>
      </c>
      <c r="P1758" s="33" t="inlineStr">
        <is>
          <t>100 Free</t>
        </is>
      </c>
      <c r="Q1758" s="33" t="inlineStr">
        <is>
          <t>SCM_100_FREE</t>
        </is>
      </c>
      <c r="R1758" s="36" t="n">
        <v>47.83</v>
      </c>
      <c r="S1758" s="35">
        <f>IF(R1758="","",IF(R1758&gt;=60,INT(R1758/60)&amp;":"&amp;TEXT(MOD(R1758,60),"00.00"),TEXT(R1758,"0.00")))</f>
        <v/>
      </c>
      <c r="T1758" s="52">
        <f>IFERROR((G1758-INDEX('01_Swimmers'!$E$5:$E$22,MATCH(B1758,'01_Swimmers'!$A$5:$A$22,0)))/'00_Control'!$B$10,"")</f>
        <v/>
      </c>
      <c r="U1758" s="35">
        <f>IF(T1758="","",INT(T1758))</f>
        <v/>
      </c>
      <c r="V1758" s="33" t="inlineStr">
        <is>
          <t>NO</t>
        </is>
      </c>
      <c r="W1758" s="33" t="inlineStr">
        <is>
          <t>YES</t>
        </is>
      </c>
      <c r="X1758" s="33" t="inlineStr">
        <is>
          <t>NO</t>
        </is>
      </c>
      <c r="Y1758" s="33" t="n">
        <v>4</v>
      </c>
      <c r="Z1758" s="33" t="n">
        <v>3</v>
      </c>
      <c r="AA1758" s="33" t="inlineStr">
        <is>
          <t>20</t>
        </is>
      </c>
      <c r="AB1758" s="33" t="inlineStr">
        <is>
          <t>https://www.swimcloud.com/results/357248/event/20/?id=160540649#time160540649</t>
        </is>
      </c>
      <c r="AC1758" s="33" t="inlineStr">
        <is>
          <t>SwimCloud API v6 2026-10-08</t>
        </is>
      </c>
      <c r="AD1758" s="33" t="inlineStr">
        <is>
          <t>Laon Kim|2025-10-24|SCM|100|Free|47.83|World Aquatics World Cup - Toronto|PRE|False</t>
        </is>
      </c>
      <c r="AE1758" s="53">
        <f>G1758+L1758/1000+ROW()/1000000000</f>
        <v/>
      </c>
      <c r="AF1758" s="35">
        <f>IF(C1758&lt;&gt;"Grayson Coulter","",COUNTIFS($C$5:$C$2991,"Grayson Coulter",$Q$5:$Q$2991,Q1758,$AE$5:$AE$2991,"&lt;="&amp;AE1758,$R$5:$R$2991,"&lt;"&amp;R1758))</f>
        <v/>
      </c>
      <c r="AG1758" s="35">
        <f>IF(OR(C1758&lt;&gt;"Grayson Coulter",G1758&lt;'00_Control'!$B$7),"",--(AF1758&lt;5))</f>
        <v/>
      </c>
      <c r="AH1758" s="35">
        <f>IF(OR(C1758&lt;&gt;"Grayson Coulter",G1758&lt;'00_Control'!$B$7),"",--(AF1758&lt;10))</f>
        <v/>
      </c>
      <c r="AI1758" s="35">
        <f>IF(AND(C1758="Grayson Coulter",G1758&gt;='00_Control'!$B$7),"YES","NO")</f>
        <v/>
      </c>
      <c r="AJ1758" s="33" t="inlineStr">
        <is>
          <t>OK</t>
        </is>
      </c>
    </row>
    <row r="1759">
      <c r="A1759" s="33" t="inlineStr">
        <is>
          <t>SM001755</t>
        </is>
      </c>
      <c r="B1759" s="33" t="inlineStr">
        <is>
          <t>SW007</t>
        </is>
      </c>
      <c r="C1759" s="33" t="inlineStr">
        <is>
          <t>Laon Kim</t>
        </is>
      </c>
      <c r="D1759" s="33" t="inlineStr">
        <is>
          <t>SwimCloud</t>
        </is>
      </c>
      <c r="E1759" s="33" t="inlineStr">
        <is>
          <t>2829279</t>
        </is>
      </c>
      <c r="F1759" s="33" t="inlineStr">
        <is>
          <t>160540651</t>
        </is>
      </c>
      <c r="G1759" s="51" t="n">
        <v>45955</v>
      </c>
      <c r="H1759" s="33" t="inlineStr">
        <is>
          <t>World Aquatics World Cup - Toronto</t>
        </is>
      </c>
      <c r="I1759" s="33" t="inlineStr">
        <is>
          <t>357248</t>
        </is>
      </c>
      <c r="J1759" s="33" t="inlineStr"/>
      <c r="K1759" s="33" t="inlineStr">
        <is>
          <t>PRE</t>
        </is>
      </c>
      <c r="L1759" s="35">
        <f>IF(K1759="FIN",3,IF(OR(K1759="SEM",K1759="SEMI"),2,IF(OR(K1759="PRE",K1759="HEAT"),1,IF(V1759="YES",4,2))))</f>
        <v/>
      </c>
      <c r="M1759" s="33" t="inlineStr">
        <is>
          <t>SCM</t>
        </is>
      </c>
      <c r="N1759" s="33" t="n">
        <v>200</v>
      </c>
      <c r="O1759" s="33" t="inlineStr">
        <is>
          <t>Free</t>
        </is>
      </c>
      <c r="P1759" s="33" t="inlineStr">
        <is>
          <t>200 Free</t>
        </is>
      </c>
      <c r="Q1759" s="33" t="inlineStr">
        <is>
          <t>SCM_200_FREE</t>
        </is>
      </c>
      <c r="R1759" s="36" t="n">
        <v>104.09</v>
      </c>
      <c r="S1759" s="35">
        <f>IF(R1759="","",IF(R1759&gt;=60,INT(R1759/60)&amp;":"&amp;TEXT(MOD(R1759,60),"00.00"),TEXT(R1759,"0.00")))</f>
        <v/>
      </c>
      <c r="T1759" s="52">
        <f>IFERROR((G1759-INDEX('01_Swimmers'!$E$5:$E$22,MATCH(B1759,'01_Swimmers'!$A$5:$A$22,0)))/'00_Control'!$B$10,"")</f>
        <v/>
      </c>
      <c r="U1759" s="35">
        <f>IF(T1759="","",INT(T1759))</f>
        <v/>
      </c>
      <c r="V1759" s="33" t="inlineStr">
        <is>
          <t>NO</t>
        </is>
      </c>
      <c r="W1759" s="33" t="inlineStr">
        <is>
          <t>YES</t>
        </is>
      </c>
      <c r="X1759" s="33" t="inlineStr">
        <is>
          <t>NO</t>
        </is>
      </c>
      <c r="Y1759" s="33" t="n">
        <v>4</v>
      </c>
      <c r="Z1759" s="33" t="n">
        <v>8</v>
      </c>
      <c r="AA1759" s="33" t="inlineStr">
        <is>
          <t>13</t>
        </is>
      </c>
      <c r="AB1759" s="33" t="inlineStr">
        <is>
          <t>https://www.swimcloud.com/results/357248/event/32/?id=160540651#time160540651</t>
        </is>
      </c>
      <c r="AC1759" s="33" t="inlineStr">
        <is>
          <t>SwimCloud API v6 2026-10-08</t>
        </is>
      </c>
      <c r="AD1759" s="33" t="inlineStr">
        <is>
          <t>Laon Kim|2025-10-25|SCM|200|Free|104.09|World Aquatics World Cup - Toronto|PRE|False</t>
        </is>
      </c>
      <c r="AE1759" s="53">
        <f>G1759+L1759/1000+ROW()/1000000000</f>
        <v/>
      </c>
      <c r="AF1759" s="35">
        <f>IF(C1759&lt;&gt;"Grayson Coulter","",COUNTIFS($C$5:$C$2991,"Grayson Coulter",$Q$5:$Q$2991,Q1759,$AE$5:$AE$2991,"&lt;="&amp;AE1759,$R$5:$R$2991,"&lt;"&amp;R1759))</f>
        <v/>
      </c>
      <c r="AG1759" s="35">
        <f>IF(OR(C1759&lt;&gt;"Grayson Coulter",G1759&lt;'00_Control'!$B$7),"",--(AF1759&lt;5))</f>
        <v/>
      </c>
      <c r="AH1759" s="35">
        <f>IF(OR(C1759&lt;&gt;"Grayson Coulter",G1759&lt;'00_Control'!$B$7),"",--(AF1759&lt;10))</f>
        <v/>
      </c>
      <c r="AI1759" s="35">
        <f>IF(AND(C1759="Grayson Coulter",G1759&gt;='00_Control'!$B$7),"YES","NO")</f>
        <v/>
      </c>
      <c r="AJ1759" s="33" t="inlineStr">
        <is>
          <t>OK</t>
        </is>
      </c>
    </row>
    <row r="1760">
      <c r="A1760" s="33" t="inlineStr">
        <is>
          <t>SM001756</t>
        </is>
      </c>
      <c r="B1760" s="33" t="inlineStr">
        <is>
          <t>SW007</t>
        </is>
      </c>
      <c r="C1760" s="33" t="inlineStr">
        <is>
          <t>Laon Kim</t>
        </is>
      </c>
      <c r="D1760" s="33" t="inlineStr">
        <is>
          <t>SwimCloud</t>
        </is>
      </c>
      <c r="E1760" s="33" t="inlineStr">
        <is>
          <t>2829279</t>
        </is>
      </c>
      <c r="F1760" s="33" t="inlineStr">
        <is>
          <t>164435903</t>
        </is>
      </c>
      <c r="G1760" s="51" t="n">
        <v>45996</v>
      </c>
      <c r="H1760" s="33" t="inlineStr">
        <is>
          <t>VPSC Winter Invitational</t>
        </is>
      </c>
      <c r="I1760" s="33" t="inlineStr">
        <is>
          <t>364279</t>
        </is>
      </c>
      <c r="J1760" s="33" t="inlineStr"/>
      <c r="K1760" s="33" t="inlineStr">
        <is>
          <t>PRE</t>
        </is>
      </c>
      <c r="L1760" s="35">
        <f>IF(K1760="FIN",3,IF(OR(K1760="SEM",K1760="SEMI"),2,IF(OR(K1760="PRE",K1760="HEAT"),1,IF(V1760="YES",4,2))))</f>
        <v/>
      </c>
      <c r="M1760" s="33" t="inlineStr">
        <is>
          <t>SCM</t>
        </is>
      </c>
      <c r="N1760" s="33" t="n">
        <v>100</v>
      </c>
      <c r="O1760" s="33" t="inlineStr">
        <is>
          <t>Fly</t>
        </is>
      </c>
      <c r="P1760" s="33" t="inlineStr">
        <is>
          <t>100 Fly</t>
        </is>
      </c>
      <c r="Q1760" s="33" t="inlineStr">
        <is>
          <t>SCM_100_FLY</t>
        </is>
      </c>
      <c r="R1760" s="36" t="n">
        <v>52.75</v>
      </c>
      <c r="S1760" s="35">
        <f>IF(R1760="","",IF(R1760&gt;=60,INT(R1760/60)&amp;":"&amp;TEXT(MOD(R1760,60),"00.00"),TEXT(R1760,"0.00")))</f>
        <v/>
      </c>
      <c r="T1760" s="52">
        <f>IFERROR((G1760-INDEX('01_Swimmers'!$E$5:$E$22,MATCH(B1760,'01_Swimmers'!$A$5:$A$22,0)))/'00_Control'!$B$10,"")</f>
        <v/>
      </c>
      <c r="U1760" s="35">
        <f>IF(T1760="","",INT(T1760))</f>
        <v/>
      </c>
      <c r="V1760" s="33" t="inlineStr">
        <is>
          <t>NO</t>
        </is>
      </c>
      <c r="W1760" s="33" t="inlineStr">
        <is>
          <t>YES</t>
        </is>
      </c>
      <c r="X1760" s="33" t="inlineStr">
        <is>
          <t>NO</t>
        </is>
      </c>
      <c r="Y1760" s="33" t="n">
        <v>7</v>
      </c>
      <c r="Z1760" s="33" t="n">
        <v>5</v>
      </c>
      <c r="AA1760" s="33" t="inlineStr">
        <is>
          <t>1</t>
        </is>
      </c>
      <c r="AB1760" s="33" t="inlineStr">
        <is>
          <t>https://www.swimcloud.com/results/364279/event/8/?id=164435903#time164435903</t>
        </is>
      </c>
      <c r="AC1760" s="33" t="inlineStr">
        <is>
          <t>SwimCloud API v6 2026-10-08</t>
        </is>
      </c>
      <c r="AD1760" s="33" t="inlineStr">
        <is>
          <t>Laon Kim|2025-12-05|SCM|100|Fly|52.75|VPSC Winter Invitational|PRE|False</t>
        </is>
      </c>
      <c r="AE1760" s="53">
        <f>G1760+L1760/1000+ROW()/1000000000</f>
        <v/>
      </c>
      <c r="AF1760" s="35">
        <f>IF(C1760&lt;&gt;"Grayson Coulter","",COUNTIFS($C$5:$C$2991,"Grayson Coulter",$Q$5:$Q$2991,Q1760,$AE$5:$AE$2991,"&lt;="&amp;AE1760,$R$5:$R$2991,"&lt;"&amp;R1760))</f>
        <v/>
      </c>
      <c r="AG1760" s="35">
        <f>IF(OR(C1760&lt;&gt;"Grayson Coulter",G1760&lt;'00_Control'!$B$7),"",--(AF1760&lt;5))</f>
        <v/>
      </c>
      <c r="AH1760" s="35">
        <f>IF(OR(C1760&lt;&gt;"Grayson Coulter",G1760&lt;'00_Control'!$B$7),"",--(AF1760&lt;10))</f>
        <v/>
      </c>
      <c r="AI1760" s="35">
        <f>IF(AND(C1760="Grayson Coulter",G1760&gt;='00_Control'!$B$7),"YES","NO")</f>
        <v/>
      </c>
      <c r="AJ1760" s="33" t="inlineStr">
        <is>
          <t>OK</t>
        </is>
      </c>
    </row>
    <row r="1761">
      <c r="A1761" s="33" t="inlineStr">
        <is>
          <t>SM001757</t>
        </is>
      </c>
      <c r="B1761" s="33" t="inlineStr">
        <is>
          <t>SW007</t>
        </is>
      </c>
      <c r="C1761" s="33" t="inlineStr">
        <is>
          <t>Laon Kim</t>
        </is>
      </c>
      <c r="D1761" s="33" t="inlineStr">
        <is>
          <t>SwimCloud</t>
        </is>
      </c>
      <c r="E1761" s="33" t="inlineStr">
        <is>
          <t>2829279</t>
        </is>
      </c>
      <c r="F1761" s="33" t="inlineStr">
        <is>
          <t>164435904</t>
        </is>
      </c>
      <c r="G1761" s="51" t="n">
        <v>45996</v>
      </c>
      <c r="H1761" s="33" t="inlineStr">
        <is>
          <t>VPSC Winter Invitational</t>
        </is>
      </c>
      <c r="I1761" s="33" t="inlineStr">
        <is>
          <t>364279</t>
        </is>
      </c>
      <c r="J1761" s="33" t="inlineStr"/>
      <c r="K1761" s="33" t="inlineStr">
        <is>
          <t>FIN</t>
        </is>
      </c>
      <c r="L1761" s="35">
        <f>IF(K1761="FIN",3,IF(OR(K1761="SEM",K1761="SEMI"),2,IF(OR(K1761="PRE",K1761="HEAT"),1,IF(V1761="YES",4,2))))</f>
        <v/>
      </c>
      <c r="M1761" s="33" t="inlineStr">
        <is>
          <t>SCM</t>
        </is>
      </c>
      <c r="N1761" s="33" t="n">
        <v>100</v>
      </c>
      <c r="O1761" s="33" t="inlineStr">
        <is>
          <t>Fly</t>
        </is>
      </c>
      <c r="P1761" s="33" t="inlineStr">
        <is>
          <t>100 Fly</t>
        </is>
      </c>
      <c r="Q1761" s="33" t="inlineStr">
        <is>
          <t>SCM_100_FLY</t>
        </is>
      </c>
      <c r="R1761" s="36" t="n">
        <v>52.18</v>
      </c>
      <c r="S1761" s="35">
        <f>IF(R1761="","",IF(R1761&gt;=60,INT(R1761/60)&amp;":"&amp;TEXT(MOD(R1761,60),"00.00"),TEXT(R1761,"0.00")))</f>
        <v/>
      </c>
      <c r="T1761" s="52">
        <f>IFERROR((G1761-INDEX('01_Swimmers'!$E$5:$E$22,MATCH(B1761,'01_Swimmers'!$A$5:$A$22,0)))/'00_Control'!$B$10,"")</f>
        <v/>
      </c>
      <c r="U1761" s="35">
        <f>IF(T1761="","",INT(T1761))</f>
        <v/>
      </c>
      <c r="V1761" s="33" t="inlineStr">
        <is>
          <t>NO</t>
        </is>
      </c>
      <c r="W1761" s="33" t="inlineStr">
        <is>
          <t>YES</t>
        </is>
      </c>
      <c r="X1761" s="33" t="inlineStr">
        <is>
          <t>NO</t>
        </is>
      </c>
      <c r="Y1761" s="33" t="n">
        <v>1</v>
      </c>
      <c r="Z1761" s="33" t="n">
        <v>4</v>
      </c>
      <c r="AA1761" s="33" t="inlineStr">
        <is>
          <t>1</t>
        </is>
      </c>
      <c r="AB1761" s="33" t="inlineStr">
        <is>
          <t>https://www.swimcloud.com/results/364279/event/8/?id=164435904#time164435904</t>
        </is>
      </c>
      <c r="AC1761" s="33" t="inlineStr">
        <is>
          <t>SwimCloud API v6 2026-10-08</t>
        </is>
      </c>
      <c r="AD1761" s="33" t="inlineStr">
        <is>
          <t>Laon Kim|2025-12-05|SCM|100|Fly|52.18|VPSC Winter Invitational|FIN|False</t>
        </is>
      </c>
      <c r="AE1761" s="53">
        <f>G1761+L1761/1000+ROW()/1000000000</f>
        <v/>
      </c>
      <c r="AF1761" s="35">
        <f>IF(C1761&lt;&gt;"Grayson Coulter","",COUNTIFS($C$5:$C$2991,"Grayson Coulter",$Q$5:$Q$2991,Q1761,$AE$5:$AE$2991,"&lt;="&amp;AE1761,$R$5:$R$2991,"&lt;"&amp;R1761))</f>
        <v/>
      </c>
      <c r="AG1761" s="35">
        <f>IF(OR(C1761&lt;&gt;"Grayson Coulter",G1761&lt;'00_Control'!$B$7),"",--(AF1761&lt;5))</f>
        <v/>
      </c>
      <c r="AH1761" s="35">
        <f>IF(OR(C1761&lt;&gt;"Grayson Coulter",G1761&lt;'00_Control'!$B$7),"",--(AF1761&lt;10))</f>
        <v/>
      </c>
      <c r="AI1761" s="35">
        <f>IF(AND(C1761="Grayson Coulter",G1761&gt;='00_Control'!$B$7),"YES","NO")</f>
        <v/>
      </c>
      <c r="AJ1761" s="33" t="inlineStr">
        <is>
          <t>OK</t>
        </is>
      </c>
    </row>
    <row r="1762">
      <c r="A1762" s="33" t="inlineStr">
        <is>
          <t>SM001758</t>
        </is>
      </c>
      <c r="B1762" s="33" t="inlineStr">
        <is>
          <t>SW007</t>
        </is>
      </c>
      <c r="C1762" s="33" t="inlineStr">
        <is>
          <t>Laon Kim</t>
        </is>
      </c>
      <c r="D1762" s="33" t="inlineStr">
        <is>
          <t>SwimCloud</t>
        </is>
      </c>
      <c r="E1762" s="33" t="inlineStr">
        <is>
          <t>2829279</t>
        </is>
      </c>
      <c r="F1762" s="33" t="inlineStr">
        <is>
          <t>164436167</t>
        </is>
      </c>
      <c r="G1762" s="51" t="n">
        <v>45996</v>
      </c>
      <c r="H1762" s="33" t="inlineStr">
        <is>
          <t>VPSC Winter Invitational</t>
        </is>
      </c>
      <c r="I1762" s="33" t="inlineStr">
        <is>
          <t>364279</t>
        </is>
      </c>
      <c r="J1762" s="33" t="inlineStr"/>
      <c r="K1762" s="33" t="inlineStr">
        <is>
          <t>PRE</t>
        </is>
      </c>
      <c r="L1762" s="35">
        <f>IF(K1762="FIN",3,IF(OR(K1762="SEM",K1762="SEMI"),2,IF(OR(K1762="PRE",K1762="HEAT"),1,IF(V1762="YES",4,2))))</f>
        <v/>
      </c>
      <c r="M1762" s="33" t="inlineStr">
        <is>
          <t>SCM</t>
        </is>
      </c>
      <c r="N1762" s="33" t="n">
        <v>200</v>
      </c>
      <c r="O1762" s="33" t="inlineStr">
        <is>
          <t>Free</t>
        </is>
      </c>
      <c r="P1762" s="33" t="inlineStr">
        <is>
          <t>200 Free</t>
        </is>
      </c>
      <c r="Q1762" s="33" t="inlineStr">
        <is>
          <t>SCM_200_FREE</t>
        </is>
      </c>
      <c r="R1762" s="36" t="n">
        <v>104.77</v>
      </c>
      <c r="S1762" s="35">
        <f>IF(R1762="","",IF(R1762&gt;=60,INT(R1762/60)&amp;":"&amp;TEXT(MOD(R1762,60),"00.00"),TEXT(R1762,"0.00")))</f>
        <v/>
      </c>
      <c r="T1762" s="52">
        <f>IFERROR((G1762-INDEX('01_Swimmers'!$E$5:$E$22,MATCH(B1762,'01_Swimmers'!$A$5:$A$22,0)))/'00_Control'!$B$10,"")</f>
        <v/>
      </c>
      <c r="U1762" s="35">
        <f>IF(T1762="","",INT(T1762))</f>
        <v/>
      </c>
      <c r="V1762" s="33" t="inlineStr">
        <is>
          <t>NO</t>
        </is>
      </c>
      <c r="W1762" s="33" t="inlineStr">
        <is>
          <t>YES</t>
        </is>
      </c>
      <c r="X1762" s="33" t="inlineStr">
        <is>
          <t>NO</t>
        </is>
      </c>
      <c r="Y1762" s="33" t="n">
        <v>7</v>
      </c>
      <c r="Z1762" s="33" t="n">
        <v>4</v>
      </c>
      <c r="AA1762" s="33" t="inlineStr">
        <is>
          <t>1</t>
        </is>
      </c>
      <c r="AB1762" s="33" t="inlineStr">
        <is>
          <t>https://www.swimcloud.com/results/364279/event/2/?id=164436167#time164436167</t>
        </is>
      </c>
      <c r="AC1762" s="33" t="inlineStr">
        <is>
          <t>SwimCloud API v6 2026-10-08</t>
        </is>
      </c>
      <c r="AD1762" s="33" t="inlineStr">
        <is>
          <t>Laon Kim|2025-12-05|SCM|200|Free|104.77|VPSC Winter Invitational|PRE|False</t>
        </is>
      </c>
      <c r="AE1762" s="53">
        <f>G1762+L1762/1000+ROW()/1000000000</f>
        <v/>
      </c>
      <c r="AF1762" s="35">
        <f>IF(C1762&lt;&gt;"Grayson Coulter","",COUNTIFS($C$5:$C$2991,"Grayson Coulter",$Q$5:$Q$2991,Q1762,$AE$5:$AE$2991,"&lt;="&amp;AE1762,$R$5:$R$2991,"&lt;"&amp;R1762))</f>
        <v/>
      </c>
      <c r="AG1762" s="35">
        <f>IF(OR(C1762&lt;&gt;"Grayson Coulter",G1762&lt;'00_Control'!$B$7),"",--(AF1762&lt;5))</f>
        <v/>
      </c>
      <c r="AH1762" s="35">
        <f>IF(OR(C1762&lt;&gt;"Grayson Coulter",G1762&lt;'00_Control'!$B$7),"",--(AF1762&lt;10))</f>
        <v/>
      </c>
      <c r="AI1762" s="35">
        <f>IF(AND(C1762="Grayson Coulter",G1762&gt;='00_Control'!$B$7),"YES","NO")</f>
        <v/>
      </c>
      <c r="AJ1762" s="33" t="inlineStr">
        <is>
          <t>OK</t>
        </is>
      </c>
    </row>
    <row r="1763">
      <c r="A1763" s="33" t="inlineStr">
        <is>
          <t>SM001759</t>
        </is>
      </c>
      <c r="B1763" s="33" t="inlineStr">
        <is>
          <t>SW007</t>
        </is>
      </c>
      <c r="C1763" s="33" t="inlineStr">
        <is>
          <t>Laon Kim</t>
        </is>
      </c>
      <c r="D1763" s="33" t="inlineStr">
        <is>
          <t>SwimCloud</t>
        </is>
      </c>
      <c r="E1763" s="33" t="inlineStr">
        <is>
          <t>2829279</t>
        </is>
      </c>
      <c r="F1763" s="33" t="inlineStr">
        <is>
          <t>164436168</t>
        </is>
      </c>
      <c r="G1763" s="51" t="n">
        <v>45996</v>
      </c>
      <c r="H1763" s="33" t="inlineStr">
        <is>
          <t>VPSC Winter Invitational</t>
        </is>
      </c>
      <c r="I1763" s="33" t="inlineStr">
        <is>
          <t>364279</t>
        </is>
      </c>
      <c r="J1763" s="33" t="inlineStr"/>
      <c r="K1763" s="33" t="inlineStr">
        <is>
          <t>FIN</t>
        </is>
      </c>
      <c r="L1763" s="35">
        <f>IF(K1763="FIN",3,IF(OR(K1763="SEM",K1763="SEMI"),2,IF(OR(K1763="PRE",K1763="HEAT"),1,IF(V1763="YES",4,2))))</f>
        <v/>
      </c>
      <c r="M1763" s="33" t="inlineStr">
        <is>
          <t>SCM</t>
        </is>
      </c>
      <c r="N1763" s="33" t="n">
        <v>200</v>
      </c>
      <c r="O1763" s="33" t="inlineStr">
        <is>
          <t>Free</t>
        </is>
      </c>
      <c r="P1763" s="33" t="inlineStr">
        <is>
          <t>200 Free</t>
        </is>
      </c>
      <c r="Q1763" s="33" t="inlineStr">
        <is>
          <t>SCM_200_FREE</t>
        </is>
      </c>
      <c r="R1763" s="36" t="n">
        <v>103</v>
      </c>
      <c r="S1763" s="35">
        <f>IF(R1763="","",IF(R1763&gt;=60,INT(R1763/60)&amp;":"&amp;TEXT(MOD(R1763,60),"00.00"),TEXT(R1763,"0.00")))</f>
        <v/>
      </c>
      <c r="T1763" s="52">
        <f>IFERROR((G1763-INDEX('01_Swimmers'!$E$5:$E$22,MATCH(B1763,'01_Swimmers'!$A$5:$A$22,0)))/'00_Control'!$B$10,"")</f>
        <v/>
      </c>
      <c r="U1763" s="35">
        <f>IF(T1763="","",INT(T1763))</f>
        <v/>
      </c>
      <c r="V1763" s="33" t="inlineStr">
        <is>
          <t>NO</t>
        </is>
      </c>
      <c r="W1763" s="33" t="inlineStr">
        <is>
          <t>YES</t>
        </is>
      </c>
      <c r="X1763" s="33" t="inlineStr">
        <is>
          <t>NO</t>
        </is>
      </c>
      <c r="Y1763" s="33" t="n">
        <v>1</v>
      </c>
      <c r="Z1763" s="33" t="n">
        <v>4</v>
      </c>
      <c r="AA1763" s="33" t="inlineStr">
        <is>
          <t>1</t>
        </is>
      </c>
      <c r="AB1763" s="33" t="inlineStr">
        <is>
          <t>https://www.swimcloud.com/results/364279/event/2/?id=164436168#time164436168</t>
        </is>
      </c>
      <c r="AC1763" s="33" t="inlineStr">
        <is>
          <t>SwimCloud API v6 2026-10-08</t>
        </is>
      </c>
      <c r="AD1763" s="33" t="inlineStr">
        <is>
          <t>Laon Kim|2025-12-05|SCM|200|Free|103.0|VPSC Winter Invitational|FIN|False</t>
        </is>
      </c>
      <c r="AE1763" s="53">
        <f>G1763+L1763/1000+ROW()/1000000000</f>
        <v/>
      </c>
      <c r="AF1763" s="35">
        <f>IF(C1763&lt;&gt;"Grayson Coulter","",COUNTIFS($C$5:$C$2991,"Grayson Coulter",$Q$5:$Q$2991,Q1763,$AE$5:$AE$2991,"&lt;="&amp;AE1763,$R$5:$R$2991,"&lt;"&amp;R1763))</f>
        <v/>
      </c>
      <c r="AG1763" s="35">
        <f>IF(OR(C1763&lt;&gt;"Grayson Coulter",G1763&lt;'00_Control'!$B$7),"",--(AF1763&lt;5))</f>
        <v/>
      </c>
      <c r="AH1763" s="35">
        <f>IF(OR(C1763&lt;&gt;"Grayson Coulter",G1763&lt;'00_Control'!$B$7),"",--(AF1763&lt;10))</f>
        <v/>
      </c>
      <c r="AI1763" s="35">
        <f>IF(AND(C1763="Grayson Coulter",G1763&gt;='00_Control'!$B$7),"YES","NO")</f>
        <v/>
      </c>
      <c r="AJ1763" s="33" t="inlineStr">
        <is>
          <t>OK</t>
        </is>
      </c>
    </row>
    <row r="1764">
      <c r="A1764" s="33" t="inlineStr">
        <is>
          <t>SM001760</t>
        </is>
      </c>
      <c r="B1764" s="33" t="inlineStr">
        <is>
          <t>SW007</t>
        </is>
      </c>
      <c r="C1764" s="33" t="inlineStr">
        <is>
          <t>Laon Kim</t>
        </is>
      </c>
      <c r="D1764" s="33" t="inlineStr">
        <is>
          <t>SwimCloud</t>
        </is>
      </c>
      <c r="E1764" s="33" t="inlineStr">
        <is>
          <t>2829279</t>
        </is>
      </c>
      <c r="F1764" s="33" t="inlineStr">
        <is>
          <t>164437430</t>
        </is>
      </c>
      <c r="G1764" s="51" t="n">
        <v>45996</v>
      </c>
      <c r="H1764" s="33" t="inlineStr">
        <is>
          <t>VPSC Winter Invitational</t>
        </is>
      </c>
      <c r="I1764" s="33" t="inlineStr">
        <is>
          <t>364279</t>
        </is>
      </c>
      <c r="J1764" s="33" t="inlineStr"/>
      <c r="K1764" s="33" t="inlineStr">
        <is>
          <t>TIM</t>
        </is>
      </c>
      <c r="L1764" s="35">
        <f>IF(K1764="FIN",3,IF(OR(K1764="SEM",K1764="SEMI"),2,IF(OR(K1764="PRE",K1764="HEAT"),1,IF(V1764="YES",4,2))))</f>
        <v/>
      </c>
      <c r="M1764" s="33" t="inlineStr">
        <is>
          <t>SCM</t>
        </is>
      </c>
      <c r="N1764" s="33" t="n">
        <v>200</v>
      </c>
      <c r="O1764" s="33" t="inlineStr">
        <is>
          <t>Free</t>
        </is>
      </c>
      <c r="P1764" s="33" t="inlineStr">
        <is>
          <t>200 Free</t>
        </is>
      </c>
      <c r="Q1764" s="33" t="inlineStr">
        <is>
          <t>SCM_200_FREE</t>
        </is>
      </c>
      <c r="R1764" s="36" t="n">
        <v>106.09</v>
      </c>
      <c r="S1764" s="35">
        <f>IF(R1764="","",IF(R1764&gt;=60,INT(R1764/60)&amp;":"&amp;TEXT(MOD(R1764,60),"00.00"),TEXT(R1764,"0.00")))</f>
        <v/>
      </c>
      <c r="T1764" s="52">
        <f>IFERROR((G1764-INDEX('01_Swimmers'!$E$5:$E$22,MATCH(B1764,'01_Swimmers'!$A$5:$A$22,0)))/'00_Control'!$B$10,"")</f>
        <v/>
      </c>
      <c r="U1764" s="35">
        <f>IF(T1764="","",INT(T1764))</f>
        <v/>
      </c>
      <c r="V1764" s="33" t="inlineStr">
        <is>
          <t>YES</t>
        </is>
      </c>
      <c r="W1764" s="33" t="inlineStr">
        <is>
          <t>YES</t>
        </is>
      </c>
      <c r="X1764" s="33" t="inlineStr">
        <is>
          <t>NO</t>
        </is>
      </c>
      <c r="Y1764" s="33" t="n">
        <v>2</v>
      </c>
      <c r="Z1764" s="33" t="n">
        <v>4</v>
      </c>
      <c r="AA1764" s="33" t="inlineStr"/>
      <c r="AB1764" s="33" t="inlineStr">
        <is>
          <t>https://www.swimcloud.com/results/364279/event/14/?id=164437303#time164437303</t>
        </is>
      </c>
      <c r="AC1764" s="33" t="inlineStr">
        <is>
          <t>SwimCloud API v6 2026-10-08</t>
        </is>
      </c>
      <c r="AD1764" s="33" t="inlineStr">
        <is>
          <t>Laon Kim|2025-12-05|SCM|200|Free|106.09|VPSC Winter Invitational|TIM|True</t>
        </is>
      </c>
      <c r="AE1764" s="53">
        <f>G1764+L1764/1000+ROW()/1000000000</f>
        <v/>
      </c>
      <c r="AF1764" s="35">
        <f>IF(C1764&lt;&gt;"Grayson Coulter","",COUNTIFS($C$5:$C$2991,"Grayson Coulter",$Q$5:$Q$2991,Q1764,$AE$5:$AE$2991,"&lt;="&amp;AE1764,$R$5:$R$2991,"&lt;"&amp;R1764))</f>
        <v/>
      </c>
      <c r="AG1764" s="35">
        <f>IF(OR(C1764&lt;&gt;"Grayson Coulter",G1764&lt;'00_Control'!$B$7),"",--(AF1764&lt;5))</f>
        <v/>
      </c>
      <c r="AH1764" s="35">
        <f>IF(OR(C1764&lt;&gt;"Grayson Coulter",G1764&lt;'00_Control'!$B$7),"",--(AF1764&lt;10))</f>
        <v/>
      </c>
      <c r="AI1764" s="35">
        <f>IF(AND(C1764="Grayson Coulter",G1764&gt;='00_Control'!$B$7),"YES","NO")</f>
        <v/>
      </c>
      <c r="AJ1764" s="33" t="inlineStr">
        <is>
          <t>OK</t>
        </is>
      </c>
    </row>
    <row r="1765">
      <c r="A1765" s="33" t="inlineStr">
        <is>
          <t>SM001761</t>
        </is>
      </c>
      <c r="B1765" s="33" t="inlineStr">
        <is>
          <t>SW007</t>
        </is>
      </c>
      <c r="C1765" s="33" t="inlineStr">
        <is>
          <t>Laon Kim</t>
        </is>
      </c>
      <c r="D1765" s="33" t="inlineStr">
        <is>
          <t>SwimCloud</t>
        </is>
      </c>
      <c r="E1765" s="33" t="inlineStr">
        <is>
          <t>2829279</t>
        </is>
      </c>
      <c r="F1765" s="33" t="inlineStr">
        <is>
          <t>164437538</t>
        </is>
      </c>
      <c r="G1765" s="51" t="n">
        <v>45997</v>
      </c>
      <c r="H1765" s="33" t="inlineStr">
        <is>
          <t>VPSC Winter Invitational</t>
        </is>
      </c>
      <c r="I1765" s="33" t="inlineStr">
        <is>
          <t>364279</t>
        </is>
      </c>
      <c r="J1765" s="33" t="inlineStr"/>
      <c r="K1765" s="33" t="inlineStr">
        <is>
          <t>TIM</t>
        </is>
      </c>
      <c r="L1765" s="35">
        <f>IF(K1765="FIN",3,IF(OR(K1765="SEM",K1765="SEMI"),2,IF(OR(K1765="PRE",K1765="HEAT"),1,IF(V1765="YES",4,2))))</f>
        <v/>
      </c>
      <c r="M1765" s="33" t="inlineStr">
        <is>
          <t>SCM</t>
        </is>
      </c>
      <c r="N1765" s="33" t="n">
        <v>100</v>
      </c>
      <c r="O1765" s="33" t="inlineStr">
        <is>
          <t>Free</t>
        </is>
      </c>
      <c r="P1765" s="33" t="inlineStr">
        <is>
          <t>100 Free</t>
        </is>
      </c>
      <c r="Q1765" s="33" t="inlineStr">
        <is>
          <t>SCM_100_FREE</t>
        </is>
      </c>
      <c r="R1765" s="36" t="n">
        <v>48</v>
      </c>
      <c r="S1765" s="35">
        <f>IF(R1765="","",IF(R1765&gt;=60,INT(R1765/60)&amp;":"&amp;TEXT(MOD(R1765,60),"00.00"),TEXT(R1765,"0.00")))</f>
        <v/>
      </c>
      <c r="T1765" s="52">
        <f>IFERROR((G1765-INDEX('01_Swimmers'!$E$5:$E$22,MATCH(B1765,'01_Swimmers'!$A$5:$A$22,0)))/'00_Control'!$B$10,"")</f>
        <v/>
      </c>
      <c r="U1765" s="35">
        <f>IF(T1765="","",INT(T1765))</f>
        <v/>
      </c>
      <c r="V1765" s="33" t="inlineStr">
        <is>
          <t>YES</t>
        </is>
      </c>
      <c r="W1765" s="33" t="inlineStr">
        <is>
          <t>YES</t>
        </is>
      </c>
      <c r="X1765" s="33" t="inlineStr">
        <is>
          <t>NO</t>
        </is>
      </c>
      <c r="Y1765" s="33" t="n">
        <v>2</v>
      </c>
      <c r="Z1765" s="33" t="n">
        <v>4</v>
      </c>
      <c r="AA1765" s="33" t="inlineStr"/>
      <c r="AB1765" s="33" t="inlineStr">
        <is>
          <t>https://www.swimcloud.com/results/364279/event/28/?id=164437330#time164437330</t>
        </is>
      </c>
      <c r="AC1765" s="33" t="inlineStr">
        <is>
          <t>SwimCloud API v6 2026-10-08</t>
        </is>
      </c>
      <c r="AD1765" s="33" t="inlineStr">
        <is>
          <t>Laon Kim|2025-12-06|SCM|100|Free|48.0|VPSC Winter Invitational|TIM|True</t>
        </is>
      </c>
      <c r="AE1765" s="53">
        <f>G1765+L1765/1000+ROW()/1000000000</f>
        <v/>
      </c>
      <c r="AF1765" s="35">
        <f>IF(C1765&lt;&gt;"Grayson Coulter","",COUNTIFS($C$5:$C$2991,"Grayson Coulter",$Q$5:$Q$2991,Q1765,$AE$5:$AE$2991,"&lt;="&amp;AE1765,$R$5:$R$2991,"&lt;"&amp;R1765))</f>
        <v/>
      </c>
      <c r="AG1765" s="35">
        <f>IF(OR(C1765&lt;&gt;"Grayson Coulter",G1765&lt;'00_Control'!$B$7),"",--(AF1765&lt;5))</f>
        <v/>
      </c>
      <c r="AH1765" s="35">
        <f>IF(OR(C1765&lt;&gt;"Grayson Coulter",G1765&lt;'00_Control'!$B$7),"",--(AF1765&lt;10))</f>
        <v/>
      </c>
      <c r="AI1765" s="35">
        <f>IF(AND(C1765="Grayson Coulter",G1765&gt;='00_Control'!$B$7),"YES","NO")</f>
        <v/>
      </c>
      <c r="AJ1765" s="33" t="inlineStr">
        <is>
          <t>OK</t>
        </is>
      </c>
    </row>
    <row r="1766">
      <c r="A1766" s="33" t="inlineStr">
        <is>
          <t>SM001762</t>
        </is>
      </c>
      <c r="B1766" s="33" t="inlineStr">
        <is>
          <t>SW007</t>
        </is>
      </c>
      <c r="C1766" s="33" t="inlineStr">
        <is>
          <t>Laon Kim</t>
        </is>
      </c>
      <c r="D1766" s="33" t="inlineStr">
        <is>
          <t>SwimCloud</t>
        </is>
      </c>
      <c r="E1766" s="33" t="inlineStr">
        <is>
          <t>2829279</t>
        </is>
      </c>
      <c r="F1766" s="33" t="inlineStr">
        <is>
          <t>164435993</t>
        </is>
      </c>
      <c r="G1766" s="51" t="n">
        <v>45997</v>
      </c>
      <c r="H1766" s="33" t="inlineStr">
        <is>
          <t>VPSC Winter Invitational</t>
        </is>
      </c>
      <c r="I1766" s="33" t="inlineStr">
        <is>
          <t>364279</t>
        </is>
      </c>
      <c r="J1766" s="33" t="inlineStr"/>
      <c r="K1766" s="33" t="inlineStr">
        <is>
          <t>PRE</t>
        </is>
      </c>
      <c r="L1766" s="35">
        <f>IF(K1766="FIN",3,IF(OR(K1766="SEM",K1766="SEMI"),2,IF(OR(K1766="PRE",K1766="HEAT"),1,IF(V1766="YES",4,2))))</f>
        <v/>
      </c>
      <c r="M1766" s="33" t="inlineStr">
        <is>
          <t>SCM</t>
        </is>
      </c>
      <c r="N1766" s="33" t="n">
        <v>400</v>
      </c>
      <c r="O1766" s="33" t="inlineStr">
        <is>
          <t>Free</t>
        </is>
      </c>
      <c r="P1766" s="33" t="inlineStr">
        <is>
          <t>400 Free</t>
        </is>
      </c>
      <c r="Q1766" s="33" t="inlineStr">
        <is>
          <t>SCM_400_FREE</t>
        </is>
      </c>
      <c r="R1766" s="36" t="n">
        <v>234.08</v>
      </c>
      <c r="S1766" s="35">
        <f>IF(R1766="","",IF(R1766&gt;=60,INT(R1766/60)&amp;":"&amp;TEXT(MOD(R1766,60),"00.00"),TEXT(R1766,"0.00")))</f>
        <v/>
      </c>
      <c r="T1766" s="52">
        <f>IFERROR((G1766-INDEX('01_Swimmers'!$E$5:$E$22,MATCH(B1766,'01_Swimmers'!$A$5:$A$22,0)))/'00_Control'!$B$10,"")</f>
        <v/>
      </c>
      <c r="U1766" s="35">
        <f>IF(T1766="","",INT(T1766))</f>
        <v/>
      </c>
      <c r="V1766" s="33" t="inlineStr">
        <is>
          <t>NO</t>
        </is>
      </c>
      <c r="W1766" s="33" t="inlineStr">
        <is>
          <t>YES</t>
        </is>
      </c>
      <c r="X1766" s="33" t="inlineStr">
        <is>
          <t>NO</t>
        </is>
      </c>
      <c r="Y1766" s="33" t="n">
        <v>3</v>
      </c>
      <c r="Z1766" s="33" t="n">
        <v>4</v>
      </c>
      <c r="AA1766" s="33" t="inlineStr">
        <is>
          <t>1</t>
        </is>
      </c>
      <c r="AB1766" s="33" t="inlineStr">
        <is>
          <t>https://www.swimcloud.com/results/364279/event/16/?id=164435993#time164435993</t>
        </is>
      </c>
      <c r="AC1766" s="33" t="inlineStr">
        <is>
          <t>SwimCloud API v6 2026-10-08</t>
        </is>
      </c>
      <c r="AD1766" s="33" t="inlineStr">
        <is>
          <t>Laon Kim|2025-12-06|SCM|400|Free|234.08|VPSC Winter Invitational|PRE|False</t>
        </is>
      </c>
      <c r="AE1766" s="53">
        <f>G1766+L1766/1000+ROW()/1000000000</f>
        <v/>
      </c>
      <c r="AF1766" s="35">
        <f>IF(C1766&lt;&gt;"Grayson Coulter","",COUNTIFS($C$5:$C$2991,"Grayson Coulter",$Q$5:$Q$2991,Q1766,$AE$5:$AE$2991,"&lt;="&amp;AE1766,$R$5:$R$2991,"&lt;"&amp;R1766))</f>
        <v/>
      </c>
      <c r="AG1766" s="35">
        <f>IF(OR(C1766&lt;&gt;"Grayson Coulter",G1766&lt;'00_Control'!$B$7),"",--(AF1766&lt;5))</f>
        <v/>
      </c>
      <c r="AH1766" s="35">
        <f>IF(OR(C1766&lt;&gt;"Grayson Coulter",G1766&lt;'00_Control'!$B$7),"",--(AF1766&lt;10))</f>
        <v/>
      </c>
      <c r="AI1766" s="35">
        <f>IF(AND(C1766="Grayson Coulter",G1766&gt;='00_Control'!$B$7),"YES","NO")</f>
        <v/>
      </c>
      <c r="AJ1766" s="33" t="inlineStr">
        <is>
          <t>OK</t>
        </is>
      </c>
    </row>
    <row r="1767">
      <c r="A1767" s="33" t="inlineStr">
        <is>
          <t>SM001763</t>
        </is>
      </c>
      <c r="B1767" s="33" t="inlineStr">
        <is>
          <t>SW007</t>
        </is>
      </c>
      <c r="C1767" s="33" t="inlineStr">
        <is>
          <t>Laon Kim</t>
        </is>
      </c>
      <c r="D1767" s="33" t="inlineStr">
        <is>
          <t>SwimCloud</t>
        </is>
      </c>
      <c r="E1767" s="33" t="inlineStr">
        <is>
          <t>2829279</t>
        </is>
      </c>
      <c r="F1767" s="33" t="inlineStr">
        <is>
          <t>164435994</t>
        </is>
      </c>
      <c r="G1767" s="51" t="n">
        <v>45997</v>
      </c>
      <c r="H1767" s="33" t="inlineStr">
        <is>
          <t>VPSC Winter Invitational</t>
        </is>
      </c>
      <c r="I1767" s="33" t="inlineStr">
        <is>
          <t>364279</t>
        </is>
      </c>
      <c r="J1767" s="33" t="inlineStr"/>
      <c r="K1767" s="33" t="inlineStr">
        <is>
          <t>FIN</t>
        </is>
      </c>
      <c r="L1767" s="35">
        <f>IF(K1767="FIN",3,IF(OR(K1767="SEM",K1767="SEMI"),2,IF(OR(K1767="PRE",K1767="HEAT"),1,IF(V1767="YES",4,2))))</f>
        <v/>
      </c>
      <c r="M1767" s="33" t="inlineStr">
        <is>
          <t>SCM</t>
        </is>
      </c>
      <c r="N1767" s="33" t="n">
        <v>400</v>
      </c>
      <c r="O1767" s="33" t="inlineStr">
        <is>
          <t>Free</t>
        </is>
      </c>
      <c r="P1767" s="33" t="inlineStr">
        <is>
          <t>400 Free</t>
        </is>
      </c>
      <c r="Q1767" s="33" t="inlineStr">
        <is>
          <t>SCM_400_FREE</t>
        </is>
      </c>
      <c r="R1767" s="36" t="n">
        <v>227.73</v>
      </c>
      <c r="S1767" s="35">
        <f>IF(R1767="","",IF(R1767&gt;=60,INT(R1767/60)&amp;":"&amp;TEXT(MOD(R1767,60),"00.00"),TEXT(R1767,"0.00")))</f>
        <v/>
      </c>
      <c r="T1767" s="52">
        <f>IFERROR((G1767-INDEX('01_Swimmers'!$E$5:$E$22,MATCH(B1767,'01_Swimmers'!$A$5:$A$22,0)))/'00_Control'!$B$10,"")</f>
        <v/>
      </c>
      <c r="U1767" s="35">
        <f>IF(T1767="","",INT(T1767))</f>
        <v/>
      </c>
      <c r="V1767" s="33" t="inlineStr">
        <is>
          <t>NO</t>
        </is>
      </c>
      <c r="W1767" s="33" t="inlineStr">
        <is>
          <t>YES</t>
        </is>
      </c>
      <c r="X1767" s="33" t="inlineStr">
        <is>
          <t>NO</t>
        </is>
      </c>
      <c r="Y1767" s="33" t="n">
        <v>1</v>
      </c>
      <c r="Z1767" s="33" t="n">
        <v>4</v>
      </c>
      <c r="AA1767" s="33" t="inlineStr">
        <is>
          <t>2</t>
        </is>
      </c>
      <c r="AB1767" s="33" t="inlineStr">
        <is>
          <t>https://www.swimcloud.com/results/364279/event/16/?id=164435994#time164435994</t>
        </is>
      </c>
      <c r="AC1767" s="33" t="inlineStr">
        <is>
          <t>SwimCloud API v6 2026-10-08</t>
        </is>
      </c>
      <c r="AD1767" s="33" t="inlineStr">
        <is>
          <t>Laon Kim|2025-12-06|SCM|400|Free|227.73|VPSC Winter Invitational|FIN|False</t>
        </is>
      </c>
      <c r="AE1767" s="53">
        <f>G1767+L1767/1000+ROW()/1000000000</f>
        <v/>
      </c>
      <c r="AF1767" s="35">
        <f>IF(C1767&lt;&gt;"Grayson Coulter","",COUNTIFS($C$5:$C$2991,"Grayson Coulter",$Q$5:$Q$2991,Q1767,$AE$5:$AE$2991,"&lt;="&amp;AE1767,$R$5:$R$2991,"&lt;"&amp;R1767))</f>
        <v/>
      </c>
      <c r="AG1767" s="35">
        <f>IF(OR(C1767&lt;&gt;"Grayson Coulter",G1767&lt;'00_Control'!$B$7),"",--(AF1767&lt;5))</f>
        <v/>
      </c>
      <c r="AH1767" s="35">
        <f>IF(OR(C1767&lt;&gt;"Grayson Coulter",G1767&lt;'00_Control'!$B$7),"",--(AF1767&lt;10))</f>
        <v/>
      </c>
      <c r="AI1767" s="35">
        <f>IF(AND(C1767="Grayson Coulter",G1767&gt;='00_Control'!$B$7),"YES","NO")</f>
        <v/>
      </c>
      <c r="AJ1767" s="33" t="inlineStr">
        <is>
          <t>OK</t>
        </is>
      </c>
    </row>
    <row r="1768">
      <c r="A1768" s="33" t="inlineStr">
        <is>
          <t>SM001764</t>
        </is>
      </c>
      <c r="B1768" s="33" t="inlineStr">
        <is>
          <t>SW007</t>
        </is>
      </c>
      <c r="C1768" s="33" t="inlineStr">
        <is>
          <t>Laon Kim</t>
        </is>
      </c>
      <c r="D1768" s="33" t="inlineStr">
        <is>
          <t>SwimCloud</t>
        </is>
      </c>
      <c r="E1768" s="33" t="inlineStr">
        <is>
          <t>2829279</t>
        </is>
      </c>
      <c r="F1768" s="33" t="inlineStr">
        <is>
          <t>164436056</t>
        </is>
      </c>
      <c r="G1768" s="51" t="n">
        <v>45998</v>
      </c>
      <c r="H1768" s="33" t="inlineStr">
        <is>
          <t>VPSC Winter Invitational</t>
        </is>
      </c>
      <c r="I1768" s="33" t="inlineStr">
        <is>
          <t>364279</t>
        </is>
      </c>
      <c r="J1768" s="33" t="inlineStr"/>
      <c r="K1768" s="33" t="inlineStr">
        <is>
          <t>PRE</t>
        </is>
      </c>
      <c r="L1768" s="35">
        <f>IF(K1768="FIN",3,IF(OR(K1768="SEM",K1768="SEMI"),2,IF(OR(K1768="PRE",K1768="HEAT"),1,IF(V1768="YES",4,2))))</f>
        <v/>
      </c>
      <c r="M1768" s="33" t="inlineStr">
        <is>
          <t>SCM</t>
        </is>
      </c>
      <c r="N1768" s="33" t="n">
        <v>100</v>
      </c>
      <c r="O1768" s="33" t="inlineStr">
        <is>
          <t>Free</t>
        </is>
      </c>
      <c r="P1768" s="33" t="inlineStr">
        <is>
          <t>100 Free</t>
        </is>
      </c>
      <c r="Q1768" s="33" t="inlineStr">
        <is>
          <t>SCM_100_FREE</t>
        </is>
      </c>
      <c r="R1768" s="36" t="n">
        <v>47.89</v>
      </c>
      <c r="S1768" s="35">
        <f>IF(R1768="","",IF(R1768&gt;=60,INT(R1768/60)&amp;":"&amp;TEXT(MOD(R1768,60),"00.00"),TEXT(R1768,"0.00")))</f>
        <v/>
      </c>
      <c r="T1768" s="52">
        <f>IFERROR((G1768-INDEX('01_Swimmers'!$E$5:$E$22,MATCH(B1768,'01_Swimmers'!$A$5:$A$22,0)))/'00_Control'!$B$10,"")</f>
        <v/>
      </c>
      <c r="U1768" s="35">
        <f>IF(T1768="","",INT(T1768))</f>
        <v/>
      </c>
      <c r="V1768" s="33" t="inlineStr">
        <is>
          <t>NO</t>
        </is>
      </c>
      <c r="W1768" s="33" t="inlineStr">
        <is>
          <t>YES</t>
        </is>
      </c>
      <c r="X1768" s="33" t="inlineStr">
        <is>
          <t>NO</t>
        </is>
      </c>
      <c r="Y1768" s="33" t="n">
        <v>8</v>
      </c>
      <c r="Z1768" s="33" t="n">
        <v>4</v>
      </c>
      <c r="AA1768" s="33" t="inlineStr">
        <is>
          <t>1</t>
        </is>
      </c>
      <c r="AB1768" s="33" t="inlineStr">
        <is>
          <t>https://www.swimcloud.com/results/364279/event/32/?id=164436056#time164436056</t>
        </is>
      </c>
      <c r="AC1768" s="33" t="inlineStr">
        <is>
          <t>SwimCloud API v6 2026-10-08</t>
        </is>
      </c>
      <c r="AD1768" s="33" t="inlineStr">
        <is>
          <t>Laon Kim|2025-12-07|SCM|100|Free|47.89|VPSC Winter Invitational|PRE|False</t>
        </is>
      </c>
      <c r="AE1768" s="53">
        <f>G1768+L1768/1000+ROW()/1000000000</f>
        <v/>
      </c>
      <c r="AF1768" s="35">
        <f>IF(C1768&lt;&gt;"Grayson Coulter","",COUNTIFS($C$5:$C$2991,"Grayson Coulter",$Q$5:$Q$2991,Q1768,$AE$5:$AE$2991,"&lt;="&amp;AE1768,$R$5:$R$2991,"&lt;"&amp;R1768))</f>
        <v/>
      </c>
      <c r="AG1768" s="35">
        <f>IF(OR(C1768&lt;&gt;"Grayson Coulter",G1768&lt;'00_Control'!$B$7),"",--(AF1768&lt;5))</f>
        <v/>
      </c>
      <c r="AH1768" s="35">
        <f>IF(OR(C1768&lt;&gt;"Grayson Coulter",G1768&lt;'00_Control'!$B$7),"",--(AF1768&lt;10))</f>
        <v/>
      </c>
      <c r="AI1768" s="35">
        <f>IF(AND(C1768="Grayson Coulter",G1768&gt;='00_Control'!$B$7),"YES","NO")</f>
        <v/>
      </c>
      <c r="AJ1768" s="33" t="inlineStr">
        <is>
          <t>OK</t>
        </is>
      </c>
    </row>
    <row r="1769">
      <c r="A1769" s="33" t="inlineStr">
        <is>
          <t>SM001765</t>
        </is>
      </c>
      <c r="B1769" s="33" t="inlineStr">
        <is>
          <t>SW007</t>
        </is>
      </c>
      <c r="C1769" s="33" t="inlineStr">
        <is>
          <t>Laon Kim</t>
        </is>
      </c>
      <c r="D1769" s="33" t="inlineStr">
        <is>
          <t>SwimCloud</t>
        </is>
      </c>
      <c r="E1769" s="33" t="inlineStr">
        <is>
          <t>2829279</t>
        </is>
      </c>
      <c r="F1769" s="33" t="inlineStr">
        <is>
          <t>164436057</t>
        </is>
      </c>
      <c r="G1769" s="51" t="n">
        <v>45998</v>
      </c>
      <c r="H1769" s="33" t="inlineStr">
        <is>
          <t>VPSC Winter Invitational</t>
        </is>
      </c>
      <c r="I1769" s="33" t="inlineStr">
        <is>
          <t>364279</t>
        </is>
      </c>
      <c r="J1769" s="33" t="inlineStr"/>
      <c r="K1769" s="33" t="inlineStr">
        <is>
          <t>FIN</t>
        </is>
      </c>
      <c r="L1769" s="35">
        <f>IF(K1769="FIN",3,IF(OR(K1769="SEM",K1769="SEMI"),2,IF(OR(K1769="PRE",K1769="HEAT"),1,IF(V1769="YES",4,2))))</f>
        <v/>
      </c>
      <c r="M1769" s="33" t="inlineStr">
        <is>
          <t>SCM</t>
        </is>
      </c>
      <c r="N1769" s="33" t="n">
        <v>100</v>
      </c>
      <c r="O1769" s="33" t="inlineStr">
        <is>
          <t>Free</t>
        </is>
      </c>
      <c r="P1769" s="33" t="inlineStr">
        <is>
          <t>100 Free</t>
        </is>
      </c>
      <c r="Q1769" s="33" t="inlineStr">
        <is>
          <t>SCM_100_FREE</t>
        </is>
      </c>
      <c r="R1769" s="36" t="n">
        <v>47.32</v>
      </c>
      <c r="S1769" s="35">
        <f>IF(R1769="","",IF(R1769&gt;=60,INT(R1769/60)&amp;":"&amp;TEXT(MOD(R1769,60),"00.00"),TEXT(R1769,"0.00")))</f>
        <v/>
      </c>
      <c r="T1769" s="52">
        <f>IFERROR((G1769-INDEX('01_Swimmers'!$E$5:$E$22,MATCH(B1769,'01_Swimmers'!$A$5:$A$22,0)))/'00_Control'!$B$10,"")</f>
        <v/>
      </c>
      <c r="U1769" s="35">
        <f>IF(T1769="","",INT(T1769))</f>
        <v/>
      </c>
      <c r="V1769" s="33" t="inlineStr">
        <is>
          <t>NO</t>
        </is>
      </c>
      <c r="W1769" s="33" t="inlineStr">
        <is>
          <t>YES</t>
        </is>
      </c>
      <c r="X1769" s="33" t="inlineStr">
        <is>
          <t>NO</t>
        </is>
      </c>
      <c r="Y1769" s="33" t="n">
        <v>1</v>
      </c>
      <c r="Z1769" s="33" t="n">
        <v>4</v>
      </c>
      <c r="AA1769" s="33" t="inlineStr">
        <is>
          <t>1</t>
        </is>
      </c>
      <c r="AB1769" s="33" t="inlineStr">
        <is>
          <t>https://www.swimcloud.com/results/364279/event/32/?id=164436057#time164436057</t>
        </is>
      </c>
      <c r="AC1769" s="33" t="inlineStr">
        <is>
          <t>SwimCloud API v6 2026-10-08</t>
        </is>
      </c>
      <c r="AD1769" s="33" t="inlineStr">
        <is>
          <t>Laon Kim|2025-12-07|SCM|100|Free|47.32|VPSC Winter Invitational|FIN|False</t>
        </is>
      </c>
      <c r="AE1769" s="53">
        <f>G1769+L1769/1000+ROW()/1000000000</f>
        <v/>
      </c>
      <c r="AF1769" s="35">
        <f>IF(C1769&lt;&gt;"Grayson Coulter","",COUNTIFS($C$5:$C$2991,"Grayson Coulter",$Q$5:$Q$2991,Q1769,$AE$5:$AE$2991,"&lt;="&amp;AE1769,$R$5:$R$2991,"&lt;"&amp;R1769))</f>
        <v/>
      </c>
      <c r="AG1769" s="35">
        <f>IF(OR(C1769&lt;&gt;"Grayson Coulter",G1769&lt;'00_Control'!$B$7),"",--(AF1769&lt;5))</f>
        <v/>
      </c>
      <c r="AH1769" s="35">
        <f>IF(OR(C1769&lt;&gt;"Grayson Coulter",G1769&lt;'00_Control'!$B$7),"",--(AF1769&lt;10))</f>
        <v/>
      </c>
      <c r="AI1769" s="35">
        <f>IF(AND(C1769="Grayson Coulter",G1769&gt;='00_Control'!$B$7),"YES","NO")</f>
        <v/>
      </c>
      <c r="AJ1769" s="33" t="inlineStr">
        <is>
          <t>OK</t>
        </is>
      </c>
    </row>
    <row r="1770">
      <c r="A1770" s="33" t="inlineStr">
        <is>
          <t>SM001766</t>
        </is>
      </c>
      <c r="B1770" s="33" t="inlineStr">
        <is>
          <t>SW007</t>
        </is>
      </c>
      <c r="C1770" s="33" t="inlineStr">
        <is>
          <t>Laon Kim</t>
        </is>
      </c>
      <c r="D1770" s="33" t="inlineStr">
        <is>
          <t>SwimCloud</t>
        </is>
      </c>
      <c r="E1770" s="33" t="inlineStr">
        <is>
          <t>2829279</t>
        </is>
      </c>
      <c r="F1770" s="33" t="inlineStr">
        <is>
          <t>171607269</t>
        </is>
      </c>
      <c r="G1770" s="51" t="n">
        <v>46053</v>
      </c>
      <c r="H1770" s="33" t="inlineStr">
        <is>
          <t>UCSC Grand Prix</t>
        </is>
      </c>
      <c r="I1770" s="33" t="inlineStr">
        <is>
          <t>376354</t>
        </is>
      </c>
      <c r="J1770" s="33" t="inlineStr"/>
      <c r="K1770" s="33" t="inlineStr">
        <is>
          <t>TIM</t>
        </is>
      </c>
      <c r="L1770" s="35">
        <f>IF(K1770="FIN",3,IF(OR(K1770="SEM",K1770="SEMI"),2,IF(OR(K1770="PRE",K1770="HEAT"),1,IF(V1770="YES",4,2))))</f>
        <v/>
      </c>
      <c r="M1770" s="33" t="inlineStr">
        <is>
          <t>LCM</t>
        </is>
      </c>
      <c r="N1770" s="33" t="n">
        <v>100</v>
      </c>
      <c r="O1770" s="33" t="inlineStr">
        <is>
          <t>Free</t>
        </is>
      </c>
      <c r="P1770" s="33" t="inlineStr">
        <is>
          <t>100 Free</t>
        </is>
      </c>
      <c r="Q1770" s="33" t="inlineStr">
        <is>
          <t>LCM_100_FREE</t>
        </is>
      </c>
      <c r="R1770" s="36" t="n">
        <v>51.65</v>
      </c>
      <c r="S1770" s="35">
        <f>IF(R1770="","",IF(R1770&gt;=60,INT(R1770/60)&amp;":"&amp;TEXT(MOD(R1770,60),"00.00"),TEXT(R1770,"0.00")))</f>
        <v/>
      </c>
      <c r="T1770" s="52">
        <f>IFERROR((G1770-INDEX('01_Swimmers'!$E$5:$E$22,MATCH(B1770,'01_Swimmers'!$A$5:$A$22,0)))/'00_Control'!$B$10,"")</f>
        <v/>
      </c>
      <c r="U1770" s="35">
        <f>IF(T1770="","",INT(T1770))</f>
        <v/>
      </c>
      <c r="V1770" s="33" t="inlineStr">
        <is>
          <t>YES</t>
        </is>
      </c>
      <c r="W1770" s="33" t="inlineStr">
        <is>
          <t>YES</t>
        </is>
      </c>
      <c r="X1770" s="33" t="inlineStr">
        <is>
          <t>NO</t>
        </is>
      </c>
      <c r="Y1770" s="33" t="n">
        <v>1</v>
      </c>
      <c r="Z1770" s="33" t="n">
        <v>4</v>
      </c>
      <c r="AA1770" s="33" t="inlineStr"/>
      <c r="AB1770" s="33" t="inlineStr">
        <is>
          <t>https://www.swimcloud.com/results/376354/event/28/?id=171607225#time171607225</t>
        </is>
      </c>
      <c r="AC1770" s="33" t="inlineStr">
        <is>
          <t>SwimCloud API v6 2026-10-08</t>
        </is>
      </c>
      <c r="AD1770" s="33" t="inlineStr">
        <is>
          <t>Laon Kim|2026-01-31|LCM|100|Free|51.65|UCSC Grand Prix|TIM|True</t>
        </is>
      </c>
      <c r="AE1770" s="53">
        <f>G1770+L1770/1000+ROW()/1000000000</f>
        <v/>
      </c>
      <c r="AF1770" s="35">
        <f>IF(C1770&lt;&gt;"Grayson Coulter","",COUNTIFS($C$5:$C$2991,"Grayson Coulter",$Q$5:$Q$2991,Q1770,$AE$5:$AE$2991,"&lt;="&amp;AE1770,$R$5:$R$2991,"&lt;"&amp;R1770))</f>
        <v/>
      </c>
      <c r="AG1770" s="35">
        <f>IF(OR(C1770&lt;&gt;"Grayson Coulter",G1770&lt;'00_Control'!$B$7),"",--(AF1770&lt;5))</f>
        <v/>
      </c>
      <c r="AH1770" s="35">
        <f>IF(OR(C1770&lt;&gt;"Grayson Coulter",G1770&lt;'00_Control'!$B$7),"",--(AF1770&lt;10))</f>
        <v/>
      </c>
      <c r="AI1770" s="35">
        <f>IF(AND(C1770="Grayson Coulter",G1770&gt;='00_Control'!$B$7),"YES","NO")</f>
        <v/>
      </c>
      <c r="AJ1770" s="33" t="inlineStr">
        <is>
          <t>OK</t>
        </is>
      </c>
    </row>
    <row r="1771">
      <c r="A1771" s="33" t="inlineStr">
        <is>
          <t>SM001767</t>
        </is>
      </c>
      <c r="B1771" s="33" t="inlineStr">
        <is>
          <t>SW007</t>
        </is>
      </c>
      <c r="C1771" s="33" t="inlineStr">
        <is>
          <t>Laon Kim</t>
        </is>
      </c>
      <c r="D1771" s="33" t="inlineStr">
        <is>
          <t>SwimCloud</t>
        </is>
      </c>
      <c r="E1771" s="33" t="inlineStr">
        <is>
          <t>2829279</t>
        </is>
      </c>
      <c r="F1771" s="33" t="inlineStr">
        <is>
          <t>173895445</t>
        </is>
      </c>
      <c r="G1771" s="51" t="n">
        <v>46094</v>
      </c>
      <c r="H1771" s="33" t="inlineStr">
        <is>
          <t>Edinburgh International</t>
        </is>
      </c>
      <c r="I1771" s="33" t="inlineStr">
        <is>
          <t>382301</t>
        </is>
      </c>
      <c r="J1771" s="33" t="inlineStr"/>
      <c r="K1771" s="33" t="inlineStr">
        <is>
          <t>PRE</t>
        </is>
      </c>
      <c r="L1771" s="35">
        <f>IF(K1771="FIN",3,IF(OR(K1771="SEM",K1771="SEMI"),2,IF(OR(K1771="PRE",K1771="HEAT"),1,IF(V1771="YES",4,2))))</f>
        <v/>
      </c>
      <c r="M1771" s="33" t="inlineStr">
        <is>
          <t>LCM</t>
        </is>
      </c>
      <c r="N1771" s="33" t="n">
        <v>200</v>
      </c>
      <c r="O1771" s="33" t="inlineStr">
        <is>
          <t>Free</t>
        </is>
      </c>
      <c r="P1771" s="33" t="inlineStr">
        <is>
          <t>200 Free</t>
        </is>
      </c>
      <c r="Q1771" s="33" t="inlineStr">
        <is>
          <t>LCM_200_FREE</t>
        </is>
      </c>
      <c r="R1771" s="36" t="n">
        <v>110.87</v>
      </c>
      <c r="S1771" s="35">
        <f>IF(R1771="","",IF(R1771&gt;=60,INT(R1771/60)&amp;":"&amp;TEXT(MOD(R1771,60),"00.00"),TEXT(R1771,"0.00")))</f>
        <v/>
      </c>
      <c r="T1771" s="52">
        <f>IFERROR((G1771-INDEX('01_Swimmers'!$E$5:$E$22,MATCH(B1771,'01_Swimmers'!$A$5:$A$22,0)))/'00_Control'!$B$10,"")</f>
        <v/>
      </c>
      <c r="U1771" s="35">
        <f>IF(T1771="","",INT(T1771))</f>
        <v/>
      </c>
      <c r="V1771" s="33" t="inlineStr">
        <is>
          <t>NO</t>
        </is>
      </c>
      <c r="W1771" s="33" t="inlineStr">
        <is>
          <t>YES</t>
        </is>
      </c>
      <c r="X1771" s="33" t="inlineStr">
        <is>
          <t>NO</t>
        </is>
      </c>
      <c r="Y1771" s="33" t="n">
        <v>5</v>
      </c>
      <c r="Z1771" s="33" t="n">
        <v>7</v>
      </c>
      <c r="AA1771" s="33" t="inlineStr">
        <is>
          <t>13</t>
        </is>
      </c>
      <c r="AB1771" s="33" t="inlineStr">
        <is>
          <t>https://www.swimcloud.com/results/382301/event/105/?id=173895445#time173895445</t>
        </is>
      </c>
      <c r="AC1771" s="33" t="inlineStr">
        <is>
          <t>SwimCloud API v6 2026-10-08</t>
        </is>
      </c>
      <c r="AD1771" s="33" t="inlineStr">
        <is>
          <t>Laon Kim|2026-03-13|LCM|200|Free|110.87|Edinburgh International|PRE|False</t>
        </is>
      </c>
      <c r="AE1771" s="53">
        <f>G1771+L1771/1000+ROW()/1000000000</f>
        <v/>
      </c>
      <c r="AF1771" s="35">
        <f>IF(C1771&lt;&gt;"Grayson Coulter","",COUNTIFS($C$5:$C$2991,"Grayson Coulter",$Q$5:$Q$2991,Q1771,$AE$5:$AE$2991,"&lt;="&amp;AE1771,$R$5:$R$2991,"&lt;"&amp;R1771))</f>
        <v/>
      </c>
      <c r="AG1771" s="35">
        <f>IF(OR(C1771&lt;&gt;"Grayson Coulter",G1771&lt;'00_Control'!$B$7),"",--(AF1771&lt;5))</f>
        <v/>
      </c>
      <c r="AH1771" s="35">
        <f>IF(OR(C1771&lt;&gt;"Grayson Coulter",G1771&lt;'00_Control'!$B$7),"",--(AF1771&lt;10))</f>
        <v/>
      </c>
      <c r="AI1771" s="35">
        <f>IF(AND(C1771="Grayson Coulter",G1771&gt;='00_Control'!$B$7),"YES","NO")</f>
        <v/>
      </c>
      <c r="AJ1771" s="33" t="inlineStr">
        <is>
          <t>OK</t>
        </is>
      </c>
    </row>
    <row r="1772">
      <c r="A1772" s="33" t="inlineStr">
        <is>
          <t>SM001768</t>
        </is>
      </c>
      <c r="B1772" s="33" t="inlineStr">
        <is>
          <t>SW007</t>
        </is>
      </c>
      <c r="C1772" s="33" t="inlineStr">
        <is>
          <t>Laon Kim</t>
        </is>
      </c>
      <c r="D1772" s="33" t="inlineStr">
        <is>
          <t>SwimCloud</t>
        </is>
      </c>
      <c r="E1772" s="33" t="inlineStr">
        <is>
          <t>2829279</t>
        </is>
      </c>
      <c r="F1772" s="33" t="inlineStr">
        <is>
          <t>173895446</t>
        </is>
      </c>
      <c r="G1772" s="51" t="n">
        <v>46094</v>
      </c>
      <c r="H1772" s="33" t="inlineStr">
        <is>
          <t>Edinburgh International</t>
        </is>
      </c>
      <c r="I1772" s="33" t="inlineStr">
        <is>
          <t>382301</t>
        </is>
      </c>
      <c r="J1772" s="33" t="inlineStr"/>
      <c r="K1772" s="33" t="inlineStr">
        <is>
          <t>FIN</t>
        </is>
      </c>
      <c r="L1772" s="35">
        <f>IF(K1772="FIN",3,IF(OR(K1772="SEM",K1772="SEMI"),2,IF(OR(K1772="PRE",K1772="HEAT"),1,IF(V1772="YES",4,2))))</f>
        <v/>
      </c>
      <c r="M1772" s="33" t="inlineStr">
        <is>
          <t>LCM</t>
        </is>
      </c>
      <c r="N1772" s="33" t="n">
        <v>200</v>
      </c>
      <c r="O1772" s="33" t="inlineStr">
        <is>
          <t>Free</t>
        </is>
      </c>
      <c r="P1772" s="33" t="inlineStr">
        <is>
          <t>200 Free</t>
        </is>
      </c>
      <c r="Q1772" s="33" t="inlineStr">
        <is>
          <t>LCM_200_FREE</t>
        </is>
      </c>
      <c r="R1772" s="36" t="n">
        <v>109.67</v>
      </c>
      <c r="S1772" s="35">
        <f>IF(R1772="","",IF(R1772&gt;=60,INT(R1772/60)&amp;":"&amp;TEXT(MOD(R1772,60),"00.00"),TEXT(R1772,"0.00")))</f>
        <v/>
      </c>
      <c r="T1772" s="52">
        <f>IFERROR((G1772-INDEX('01_Swimmers'!$E$5:$E$22,MATCH(B1772,'01_Swimmers'!$A$5:$A$22,0)))/'00_Control'!$B$10,"")</f>
        <v/>
      </c>
      <c r="U1772" s="35">
        <f>IF(T1772="","",INT(T1772))</f>
        <v/>
      </c>
      <c r="V1772" s="33" t="inlineStr">
        <is>
          <t>NO</t>
        </is>
      </c>
      <c r="W1772" s="33" t="inlineStr">
        <is>
          <t>YES</t>
        </is>
      </c>
      <c r="X1772" s="33" t="inlineStr">
        <is>
          <t>NO</t>
        </is>
      </c>
      <c r="Y1772" s="33" t="n">
        <v>2</v>
      </c>
      <c r="Z1772" s="33" t="n">
        <v>2</v>
      </c>
      <c r="AA1772" s="33" t="inlineStr">
        <is>
          <t>10</t>
        </is>
      </c>
      <c r="AB1772" s="33" t="inlineStr">
        <is>
          <t>https://www.swimcloud.com/results/382301/event/105/?id=173895446#time173895446</t>
        </is>
      </c>
      <c r="AC1772" s="33" t="inlineStr">
        <is>
          <t>SwimCloud API v6 2026-10-08</t>
        </is>
      </c>
      <c r="AD1772" s="33" t="inlineStr">
        <is>
          <t>Laon Kim|2026-03-13|LCM|200|Free|109.67|Edinburgh International|FIN|False</t>
        </is>
      </c>
      <c r="AE1772" s="53">
        <f>G1772+L1772/1000+ROW()/1000000000</f>
        <v/>
      </c>
      <c r="AF1772" s="35">
        <f>IF(C1772&lt;&gt;"Grayson Coulter","",COUNTIFS($C$5:$C$2991,"Grayson Coulter",$Q$5:$Q$2991,Q1772,$AE$5:$AE$2991,"&lt;="&amp;AE1772,$R$5:$R$2991,"&lt;"&amp;R1772))</f>
        <v/>
      </c>
      <c r="AG1772" s="35">
        <f>IF(OR(C1772&lt;&gt;"Grayson Coulter",G1772&lt;'00_Control'!$B$7),"",--(AF1772&lt;5))</f>
        <v/>
      </c>
      <c r="AH1772" s="35">
        <f>IF(OR(C1772&lt;&gt;"Grayson Coulter",G1772&lt;'00_Control'!$B$7),"",--(AF1772&lt;10))</f>
        <v/>
      </c>
      <c r="AI1772" s="35">
        <f>IF(AND(C1772="Grayson Coulter",G1772&gt;='00_Control'!$B$7),"YES","NO")</f>
        <v/>
      </c>
      <c r="AJ1772" s="33" t="inlineStr">
        <is>
          <t>OK</t>
        </is>
      </c>
    </row>
    <row r="1773">
      <c r="A1773" s="33" t="inlineStr">
        <is>
          <t>SM001769</t>
        </is>
      </c>
      <c r="B1773" s="33" t="inlineStr">
        <is>
          <t>SW007</t>
        </is>
      </c>
      <c r="C1773" s="33" t="inlineStr">
        <is>
          <t>Laon Kim</t>
        </is>
      </c>
      <c r="D1773" s="33" t="inlineStr">
        <is>
          <t>SwimCloud</t>
        </is>
      </c>
      <c r="E1773" s="33" t="inlineStr">
        <is>
          <t>2829279</t>
        </is>
      </c>
      <c r="F1773" s="33" t="inlineStr">
        <is>
          <t>173894758</t>
        </is>
      </c>
      <c r="G1773" s="51" t="n">
        <v>46096</v>
      </c>
      <c r="H1773" s="33" t="inlineStr">
        <is>
          <t>Edinburgh International</t>
        </is>
      </c>
      <c r="I1773" s="33" t="inlineStr">
        <is>
          <t>382301</t>
        </is>
      </c>
      <c r="J1773" s="33" t="inlineStr"/>
      <c r="K1773" s="33" t="inlineStr">
        <is>
          <t>PRE</t>
        </is>
      </c>
      <c r="L1773" s="35">
        <f>IF(K1773="FIN",3,IF(OR(K1773="SEM",K1773="SEMI"),2,IF(OR(K1773="PRE",K1773="HEAT"),1,IF(V1773="YES",4,2))))</f>
        <v/>
      </c>
      <c r="M1773" s="33" t="inlineStr">
        <is>
          <t>LCM</t>
        </is>
      </c>
      <c r="N1773" s="33" t="n">
        <v>100</v>
      </c>
      <c r="O1773" s="33" t="inlineStr">
        <is>
          <t>Fly</t>
        </is>
      </c>
      <c r="P1773" s="33" t="inlineStr">
        <is>
          <t>100 Fly</t>
        </is>
      </c>
      <c r="Q1773" s="33" t="inlineStr">
        <is>
          <t>LCM_100_FLY</t>
        </is>
      </c>
      <c r="R1773" s="36" t="n">
        <v>55.35</v>
      </c>
      <c r="S1773" s="35">
        <f>IF(R1773="","",IF(R1773&gt;=60,INT(R1773/60)&amp;":"&amp;TEXT(MOD(R1773,60),"00.00"),TEXT(R1773,"0.00")))</f>
        <v/>
      </c>
      <c r="T1773" s="52">
        <f>IFERROR((G1773-INDEX('01_Swimmers'!$E$5:$E$22,MATCH(B1773,'01_Swimmers'!$A$5:$A$22,0)))/'00_Control'!$B$10,"")</f>
        <v/>
      </c>
      <c r="U1773" s="35">
        <f>IF(T1773="","",INT(T1773))</f>
        <v/>
      </c>
      <c r="V1773" s="33" t="inlineStr">
        <is>
          <t>NO</t>
        </is>
      </c>
      <c r="W1773" s="33" t="inlineStr">
        <is>
          <t>YES</t>
        </is>
      </c>
      <c r="X1773" s="33" t="inlineStr">
        <is>
          <t>NO</t>
        </is>
      </c>
      <c r="Y1773" s="33" t="n">
        <v>5</v>
      </c>
      <c r="Z1773" s="33" t="n">
        <v>1</v>
      </c>
      <c r="AA1773" s="33" t="inlineStr">
        <is>
          <t>19</t>
        </is>
      </c>
      <c r="AB1773" s="33" t="inlineStr">
        <is>
          <t>https://www.swimcloud.com/results/382301/event/308/?id=173894758#time173894758</t>
        </is>
      </c>
      <c r="AC1773" s="33" t="inlineStr">
        <is>
          <t>SwimCloud API v6 2026-10-08</t>
        </is>
      </c>
      <c r="AD1773" s="33" t="inlineStr">
        <is>
          <t>Laon Kim|2026-03-15|LCM|100|Fly|55.35|Edinburgh International|PRE|False</t>
        </is>
      </c>
      <c r="AE1773" s="53">
        <f>G1773+L1773/1000+ROW()/1000000000</f>
        <v/>
      </c>
      <c r="AF1773" s="35">
        <f>IF(C1773&lt;&gt;"Grayson Coulter","",COUNTIFS($C$5:$C$2991,"Grayson Coulter",$Q$5:$Q$2991,Q1773,$AE$5:$AE$2991,"&lt;="&amp;AE1773,$R$5:$R$2991,"&lt;"&amp;R1773))</f>
        <v/>
      </c>
      <c r="AG1773" s="35">
        <f>IF(OR(C1773&lt;&gt;"Grayson Coulter",G1773&lt;'00_Control'!$B$7),"",--(AF1773&lt;5))</f>
        <v/>
      </c>
      <c r="AH1773" s="35">
        <f>IF(OR(C1773&lt;&gt;"Grayson Coulter",G1773&lt;'00_Control'!$B$7),"",--(AF1773&lt;10))</f>
        <v/>
      </c>
      <c r="AI1773" s="35">
        <f>IF(AND(C1773="Grayson Coulter",G1773&gt;='00_Control'!$B$7),"YES","NO")</f>
        <v/>
      </c>
      <c r="AJ1773" s="33" t="inlineStr">
        <is>
          <t>OK</t>
        </is>
      </c>
    </row>
    <row r="1774">
      <c r="A1774" s="33" t="inlineStr">
        <is>
          <t>SM001770</t>
        </is>
      </c>
      <c r="B1774" s="33" t="inlineStr">
        <is>
          <t>SW007</t>
        </is>
      </c>
      <c r="C1774" s="33" t="inlineStr">
        <is>
          <t>Laon Kim</t>
        </is>
      </c>
      <c r="D1774" s="33" t="inlineStr">
        <is>
          <t>SwimCloud</t>
        </is>
      </c>
      <c r="E1774" s="33" t="inlineStr">
        <is>
          <t>2829279</t>
        </is>
      </c>
      <c r="F1774" s="33" t="inlineStr">
        <is>
          <t>173894759</t>
        </is>
      </c>
      <c r="G1774" s="51" t="n">
        <v>46096</v>
      </c>
      <c r="H1774" s="33" t="inlineStr">
        <is>
          <t>Edinburgh International</t>
        </is>
      </c>
      <c r="I1774" s="33" t="inlineStr">
        <is>
          <t>382301</t>
        </is>
      </c>
      <c r="J1774" s="33" t="inlineStr"/>
      <c r="K1774" s="33" t="inlineStr">
        <is>
          <t>FIN</t>
        </is>
      </c>
      <c r="L1774" s="35">
        <f>IF(K1774="FIN",3,IF(OR(K1774="SEM",K1774="SEMI"),2,IF(OR(K1774="PRE",K1774="HEAT"),1,IF(V1774="YES",4,2))))</f>
        <v/>
      </c>
      <c r="M1774" s="33" t="inlineStr">
        <is>
          <t>LCM</t>
        </is>
      </c>
      <c r="N1774" s="33" t="n">
        <v>100</v>
      </c>
      <c r="O1774" s="33" t="inlineStr">
        <is>
          <t>Fly</t>
        </is>
      </c>
      <c r="P1774" s="33" t="inlineStr">
        <is>
          <t>100 Fly</t>
        </is>
      </c>
      <c r="Q1774" s="33" t="inlineStr">
        <is>
          <t>LCM_100_FLY</t>
        </is>
      </c>
      <c r="R1774" s="36" t="n">
        <v>55.27</v>
      </c>
      <c r="S1774" s="35">
        <f>IF(R1774="","",IF(R1774&gt;=60,INT(R1774/60)&amp;":"&amp;TEXT(MOD(R1774,60),"00.00"),TEXT(R1774,"0.00")))</f>
        <v/>
      </c>
      <c r="T1774" s="52">
        <f>IFERROR((G1774-INDEX('01_Swimmers'!$E$5:$E$22,MATCH(B1774,'01_Swimmers'!$A$5:$A$22,0)))/'00_Control'!$B$10,"")</f>
        <v/>
      </c>
      <c r="U1774" s="35">
        <f>IF(T1774="","",INT(T1774))</f>
        <v/>
      </c>
      <c r="V1774" s="33" t="inlineStr">
        <is>
          <t>NO</t>
        </is>
      </c>
      <c r="W1774" s="33" t="inlineStr">
        <is>
          <t>YES</t>
        </is>
      </c>
      <c r="X1774" s="33" t="inlineStr">
        <is>
          <t>NO</t>
        </is>
      </c>
      <c r="Y1774" s="33" t="n">
        <v>1</v>
      </c>
      <c r="Z1774" s="33" t="n">
        <v>4</v>
      </c>
      <c r="AA1774" s="33" t="inlineStr">
        <is>
          <t>20</t>
        </is>
      </c>
      <c r="AB1774" s="33" t="inlineStr">
        <is>
          <t>https://www.swimcloud.com/results/382301/event/308/?id=173894759#time173894759</t>
        </is>
      </c>
      <c r="AC1774" s="33" t="inlineStr">
        <is>
          <t>SwimCloud API v6 2026-10-08</t>
        </is>
      </c>
      <c r="AD1774" s="33" t="inlineStr">
        <is>
          <t>Laon Kim|2026-03-15|LCM|100|Fly|55.27|Edinburgh International|FIN|False</t>
        </is>
      </c>
      <c r="AE1774" s="53">
        <f>G1774+L1774/1000+ROW()/1000000000</f>
        <v/>
      </c>
      <c r="AF1774" s="35">
        <f>IF(C1774&lt;&gt;"Grayson Coulter","",COUNTIFS($C$5:$C$2991,"Grayson Coulter",$Q$5:$Q$2991,Q1774,$AE$5:$AE$2991,"&lt;="&amp;AE1774,$R$5:$R$2991,"&lt;"&amp;R1774))</f>
        <v/>
      </c>
      <c r="AG1774" s="35">
        <f>IF(OR(C1774&lt;&gt;"Grayson Coulter",G1774&lt;'00_Control'!$B$7),"",--(AF1774&lt;5))</f>
        <v/>
      </c>
      <c r="AH1774" s="35">
        <f>IF(OR(C1774&lt;&gt;"Grayson Coulter",G1774&lt;'00_Control'!$B$7),"",--(AF1774&lt;10))</f>
        <v/>
      </c>
      <c r="AI1774" s="35">
        <f>IF(AND(C1774="Grayson Coulter",G1774&gt;='00_Control'!$B$7),"YES","NO")</f>
        <v/>
      </c>
      <c r="AJ1774" s="33" t="inlineStr">
        <is>
          <t>OK</t>
        </is>
      </c>
    </row>
    <row r="1775">
      <c r="A1775" s="33" t="inlineStr">
        <is>
          <t>SM001771</t>
        </is>
      </c>
      <c r="B1775" s="33" t="inlineStr">
        <is>
          <t>SW007</t>
        </is>
      </c>
      <c r="C1775" s="33" t="inlineStr">
        <is>
          <t>Laon Kim</t>
        </is>
      </c>
      <c r="D1775" s="33" t="inlineStr">
        <is>
          <t>SwimCloud</t>
        </is>
      </c>
      <c r="E1775" s="33" t="inlineStr">
        <is>
          <t>2829279</t>
        </is>
      </c>
      <c r="F1775" s="33" t="inlineStr">
        <is>
          <t>173894570</t>
        </is>
      </c>
      <c r="G1775" s="51" t="n">
        <v>46096</v>
      </c>
      <c r="H1775" s="33" t="inlineStr">
        <is>
          <t>Edinburgh International</t>
        </is>
      </c>
      <c r="I1775" s="33" t="inlineStr">
        <is>
          <t>382301</t>
        </is>
      </c>
      <c r="J1775" s="33" t="inlineStr"/>
      <c r="K1775" s="33" t="inlineStr">
        <is>
          <t>PRE</t>
        </is>
      </c>
      <c r="L1775" s="35">
        <f>IF(K1775="FIN",3,IF(OR(K1775="SEM",K1775="SEMI"),2,IF(OR(K1775="PRE",K1775="HEAT"),1,IF(V1775="YES",4,2))))</f>
        <v/>
      </c>
      <c r="M1775" s="33" t="inlineStr">
        <is>
          <t>LCM</t>
        </is>
      </c>
      <c r="N1775" s="33" t="n">
        <v>100</v>
      </c>
      <c r="O1775" s="33" t="inlineStr">
        <is>
          <t>Free</t>
        </is>
      </c>
      <c r="P1775" s="33" t="inlineStr">
        <is>
          <t>100 Free</t>
        </is>
      </c>
      <c r="Q1775" s="33" t="inlineStr">
        <is>
          <t>LCM_100_FREE</t>
        </is>
      </c>
      <c r="R1775" s="36" t="n">
        <v>50.11</v>
      </c>
      <c r="S1775" s="35">
        <f>IF(R1775="","",IF(R1775&gt;=60,INT(R1775/60)&amp;":"&amp;TEXT(MOD(R1775,60),"00.00"),TEXT(R1775,"0.00")))</f>
        <v/>
      </c>
      <c r="T1775" s="52">
        <f>IFERROR((G1775-INDEX('01_Swimmers'!$E$5:$E$22,MATCH(B1775,'01_Swimmers'!$A$5:$A$22,0)))/'00_Control'!$B$10,"")</f>
        <v/>
      </c>
      <c r="U1775" s="35">
        <f>IF(T1775="","",INT(T1775))</f>
        <v/>
      </c>
      <c r="V1775" s="33" t="inlineStr">
        <is>
          <t>NO</t>
        </is>
      </c>
      <c r="W1775" s="33" t="inlineStr">
        <is>
          <t>YES</t>
        </is>
      </c>
      <c r="X1775" s="33" t="inlineStr">
        <is>
          <t>NO</t>
        </is>
      </c>
      <c r="Y1775" s="33" t="n">
        <v>4</v>
      </c>
      <c r="Z1775" s="33" t="n">
        <v>3</v>
      </c>
      <c r="AA1775" s="33" t="inlineStr">
        <is>
          <t>9</t>
        </is>
      </c>
      <c r="AB1775" s="33" t="inlineStr">
        <is>
          <t>https://www.swimcloud.com/results/382301/event/304/?id=173894570#time173894570</t>
        </is>
      </c>
      <c r="AC1775" s="33" t="inlineStr">
        <is>
          <t>SwimCloud API v6 2026-10-08</t>
        </is>
      </c>
      <c r="AD1775" s="33" t="inlineStr">
        <is>
          <t>Laon Kim|2026-03-15|LCM|100|Free|50.11|Edinburgh International|PRE|False</t>
        </is>
      </c>
      <c r="AE1775" s="53">
        <f>G1775+L1775/1000+ROW()/1000000000</f>
        <v/>
      </c>
      <c r="AF1775" s="35">
        <f>IF(C1775&lt;&gt;"Grayson Coulter","",COUNTIFS($C$5:$C$2991,"Grayson Coulter",$Q$5:$Q$2991,Q1775,$AE$5:$AE$2991,"&lt;="&amp;AE1775,$R$5:$R$2991,"&lt;"&amp;R1775))</f>
        <v/>
      </c>
      <c r="AG1775" s="35">
        <f>IF(OR(C1775&lt;&gt;"Grayson Coulter",G1775&lt;'00_Control'!$B$7),"",--(AF1775&lt;5))</f>
        <v/>
      </c>
      <c r="AH1775" s="35">
        <f>IF(OR(C1775&lt;&gt;"Grayson Coulter",G1775&lt;'00_Control'!$B$7),"",--(AF1775&lt;10))</f>
        <v/>
      </c>
      <c r="AI1775" s="35">
        <f>IF(AND(C1775="Grayson Coulter",G1775&gt;='00_Control'!$B$7),"YES","NO")</f>
        <v/>
      </c>
      <c r="AJ1775" s="33" t="inlineStr">
        <is>
          <t>OK</t>
        </is>
      </c>
    </row>
    <row r="1776">
      <c r="A1776" s="33" t="inlineStr">
        <is>
          <t>SM001772</t>
        </is>
      </c>
      <c r="B1776" s="33" t="inlineStr">
        <is>
          <t>SW007</t>
        </is>
      </c>
      <c r="C1776" s="33" t="inlineStr">
        <is>
          <t>Laon Kim</t>
        </is>
      </c>
      <c r="D1776" s="33" t="inlineStr">
        <is>
          <t>SwimCloud</t>
        </is>
      </c>
      <c r="E1776" s="33" t="inlineStr">
        <is>
          <t>2829279</t>
        </is>
      </c>
      <c r="F1776" s="33" t="inlineStr">
        <is>
          <t>173894571</t>
        </is>
      </c>
      <c r="G1776" s="51" t="n">
        <v>46096</v>
      </c>
      <c r="H1776" s="33" t="inlineStr">
        <is>
          <t>Edinburgh International</t>
        </is>
      </c>
      <c r="I1776" s="33" t="inlineStr">
        <is>
          <t>382301</t>
        </is>
      </c>
      <c r="J1776" s="33" t="inlineStr"/>
      <c r="K1776" s="33" t="inlineStr">
        <is>
          <t>FIN</t>
        </is>
      </c>
      <c r="L1776" s="35">
        <f>IF(K1776="FIN",3,IF(OR(K1776="SEM",K1776="SEMI"),2,IF(OR(K1776="PRE",K1776="HEAT"),1,IF(V1776="YES",4,2))))</f>
        <v/>
      </c>
      <c r="M1776" s="33" t="inlineStr">
        <is>
          <t>LCM</t>
        </is>
      </c>
      <c r="N1776" s="33" t="n">
        <v>100</v>
      </c>
      <c r="O1776" s="33" t="inlineStr">
        <is>
          <t>Free</t>
        </is>
      </c>
      <c r="P1776" s="33" t="inlineStr">
        <is>
          <t>100 Free</t>
        </is>
      </c>
      <c r="Q1776" s="33" t="inlineStr">
        <is>
          <t>LCM_100_FREE</t>
        </is>
      </c>
      <c r="R1776" s="36" t="n">
        <v>50.03</v>
      </c>
      <c r="S1776" s="35">
        <f>IF(R1776="","",IF(R1776&gt;=60,INT(R1776/60)&amp;":"&amp;TEXT(MOD(R1776,60),"00.00"),TEXT(R1776,"0.00")))</f>
        <v/>
      </c>
      <c r="T1776" s="52">
        <f>IFERROR((G1776-INDEX('01_Swimmers'!$E$5:$E$22,MATCH(B1776,'01_Swimmers'!$A$5:$A$22,0)))/'00_Control'!$B$10,"")</f>
        <v/>
      </c>
      <c r="U1776" s="35">
        <f>IF(T1776="","",INT(T1776))</f>
        <v/>
      </c>
      <c r="V1776" s="33" t="inlineStr">
        <is>
          <t>NO</t>
        </is>
      </c>
      <c r="W1776" s="33" t="inlineStr">
        <is>
          <t>YES</t>
        </is>
      </c>
      <c r="X1776" s="33" t="inlineStr">
        <is>
          <t>NO</t>
        </is>
      </c>
      <c r="Y1776" s="33" t="n">
        <v>2</v>
      </c>
      <c r="Z1776" s="33" t="n">
        <v>4</v>
      </c>
      <c r="AA1776" s="33" t="inlineStr">
        <is>
          <t>11</t>
        </is>
      </c>
      <c r="AB1776" s="33" t="inlineStr">
        <is>
          <t>https://www.swimcloud.com/results/382301/event/304/?id=173894571#time173894571</t>
        </is>
      </c>
      <c r="AC1776" s="33" t="inlineStr">
        <is>
          <t>SwimCloud API v6 2026-10-08</t>
        </is>
      </c>
      <c r="AD1776" s="33" t="inlineStr">
        <is>
          <t>Laon Kim|2026-03-15|LCM|100|Free|50.03|Edinburgh International|FIN|False</t>
        </is>
      </c>
      <c r="AE1776" s="53">
        <f>G1776+L1776/1000+ROW()/1000000000</f>
        <v/>
      </c>
      <c r="AF1776" s="35">
        <f>IF(C1776&lt;&gt;"Grayson Coulter","",COUNTIFS($C$5:$C$2991,"Grayson Coulter",$Q$5:$Q$2991,Q1776,$AE$5:$AE$2991,"&lt;="&amp;AE1776,$R$5:$R$2991,"&lt;"&amp;R1776))</f>
        <v/>
      </c>
      <c r="AG1776" s="35">
        <f>IF(OR(C1776&lt;&gt;"Grayson Coulter",G1776&lt;'00_Control'!$B$7),"",--(AF1776&lt;5))</f>
        <v/>
      </c>
      <c r="AH1776" s="35">
        <f>IF(OR(C1776&lt;&gt;"Grayson Coulter",G1776&lt;'00_Control'!$B$7),"",--(AF1776&lt;10))</f>
        <v/>
      </c>
      <c r="AI1776" s="35">
        <f>IF(AND(C1776="Grayson Coulter",G1776&gt;='00_Control'!$B$7),"YES","NO")</f>
        <v/>
      </c>
      <c r="AJ1776" s="33" t="inlineStr">
        <is>
          <t>OK</t>
        </is>
      </c>
    </row>
    <row r="1777">
      <c r="A1777" s="33" t="inlineStr">
        <is>
          <t>SM001773</t>
        </is>
      </c>
      <c r="B1777" s="33" t="inlineStr">
        <is>
          <t>SW007</t>
        </is>
      </c>
      <c r="C1777" s="33" t="inlineStr">
        <is>
          <t>Laon Kim</t>
        </is>
      </c>
      <c r="D1777" s="33" t="inlineStr">
        <is>
          <t>SwimCloud</t>
        </is>
      </c>
      <c r="E1777" s="33" t="inlineStr">
        <is>
          <t>2829279</t>
        </is>
      </c>
      <c r="F1777" s="33" t="inlineStr">
        <is>
          <t>173896398</t>
        </is>
      </c>
      <c r="G1777" s="51" t="n">
        <v>46096</v>
      </c>
      <c r="H1777" s="33" t="inlineStr">
        <is>
          <t>Edinburgh International</t>
        </is>
      </c>
      <c r="I1777" s="33" t="inlineStr">
        <is>
          <t>382301</t>
        </is>
      </c>
      <c r="J1777" s="33" t="inlineStr"/>
      <c r="K1777" s="33" t="inlineStr">
        <is>
          <t>TIM</t>
        </is>
      </c>
      <c r="L1777" s="35">
        <f>IF(K1777="FIN",3,IF(OR(K1777="SEM",K1777="SEMI"),2,IF(OR(K1777="PRE",K1777="HEAT"),1,IF(V1777="YES",4,2))))</f>
        <v/>
      </c>
      <c r="M1777" s="33" t="inlineStr">
        <is>
          <t>LCM</t>
        </is>
      </c>
      <c r="N1777" s="33" t="n">
        <v>100</v>
      </c>
      <c r="O1777" s="33" t="inlineStr">
        <is>
          <t>Free</t>
        </is>
      </c>
      <c r="P1777" s="33" t="inlineStr">
        <is>
          <t>100 Free</t>
        </is>
      </c>
      <c r="Q1777" s="33" t="inlineStr">
        <is>
          <t>LCM_100_FREE</t>
        </is>
      </c>
      <c r="R1777" s="36" t="n">
        <v>50.5</v>
      </c>
      <c r="S1777" s="35">
        <f>IF(R1777="","",IF(R1777&gt;=60,INT(R1777/60)&amp;":"&amp;TEXT(MOD(R1777,60),"00.00"),TEXT(R1777,"0.00")))</f>
        <v/>
      </c>
      <c r="T1777" s="52">
        <f>IFERROR((G1777-INDEX('01_Swimmers'!$E$5:$E$22,MATCH(B1777,'01_Swimmers'!$A$5:$A$22,0)))/'00_Control'!$B$10,"")</f>
        <v/>
      </c>
      <c r="U1777" s="35">
        <f>IF(T1777="","",INT(T1777))</f>
        <v/>
      </c>
      <c r="V1777" s="33" t="inlineStr">
        <is>
          <t>YES</t>
        </is>
      </c>
      <c r="W1777" s="33" t="inlineStr">
        <is>
          <t>YES</t>
        </is>
      </c>
      <c r="X1777" s="33" t="inlineStr">
        <is>
          <t>NO</t>
        </is>
      </c>
      <c r="Y1777" s="33" t="n">
        <v>1</v>
      </c>
      <c r="Z1777" s="33" t="n">
        <v>1</v>
      </c>
      <c r="AA1777" s="33" t="inlineStr"/>
      <c r="AB1777" s="33" t="inlineStr">
        <is>
          <t>https://www.swimcloud.com/results/382301/event/315/?id=173895812#time173895812</t>
        </is>
      </c>
      <c r="AC1777" s="33" t="inlineStr">
        <is>
          <t>SwimCloud API v6 2026-10-08</t>
        </is>
      </c>
      <c r="AD1777" s="33" t="inlineStr">
        <is>
          <t>Laon Kim|2026-03-15|LCM|100|Free|50.5|Edinburgh International|TIM|True</t>
        </is>
      </c>
      <c r="AE1777" s="53">
        <f>G1777+L1777/1000+ROW()/1000000000</f>
        <v/>
      </c>
      <c r="AF1777" s="35">
        <f>IF(C1777&lt;&gt;"Grayson Coulter","",COUNTIFS($C$5:$C$2991,"Grayson Coulter",$Q$5:$Q$2991,Q1777,$AE$5:$AE$2991,"&lt;="&amp;AE1777,$R$5:$R$2991,"&lt;"&amp;R1777))</f>
        <v/>
      </c>
      <c r="AG1777" s="35">
        <f>IF(OR(C1777&lt;&gt;"Grayson Coulter",G1777&lt;'00_Control'!$B$7),"",--(AF1777&lt;5))</f>
        <v/>
      </c>
      <c r="AH1777" s="35">
        <f>IF(OR(C1777&lt;&gt;"Grayson Coulter",G1777&lt;'00_Control'!$B$7),"",--(AF1777&lt;10))</f>
        <v/>
      </c>
      <c r="AI1777" s="35">
        <f>IF(AND(C1777="Grayson Coulter",G1777&gt;='00_Control'!$B$7),"YES","NO")</f>
        <v/>
      </c>
      <c r="AJ1777" s="33" t="inlineStr">
        <is>
          <t>OK</t>
        </is>
      </c>
    </row>
    <row r="1778">
      <c r="A1778" s="33" t="inlineStr">
        <is>
          <t>SM001774</t>
        </is>
      </c>
      <c r="B1778" s="33" t="inlineStr">
        <is>
          <t>SW007</t>
        </is>
      </c>
      <c r="C1778" s="33" t="inlineStr">
        <is>
          <t>Laon Kim</t>
        </is>
      </c>
      <c r="D1778" s="33" t="inlineStr">
        <is>
          <t>SwimCloud</t>
        </is>
      </c>
      <c r="E1778" s="33" t="inlineStr">
        <is>
          <t>2829279</t>
        </is>
      </c>
      <c r="F1778" s="33" t="inlineStr">
        <is>
          <t>175421593</t>
        </is>
      </c>
      <c r="G1778" s="51" t="n">
        <v>46121</v>
      </c>
      <c r="H1778" s="33" t="inlineStr">
        <is>
          <t>Canadian Open</t>
        </is>
      </c>
      <c r="I1778" s="33" t="inlineStr">
        <is>
          <t>375897</t>
        </is>
      </c>
      <c r="J1778" s="33" t="inlineStr"/>
      <c r="K1778" s="33" t="inlineStr">
        <is>
          <t>PRE</t>
        </is>
      </c>
      <c r="L1778" s="35">
        <f>IF(K1778="FIN",3,IF(OR(K1778="SEM",K1778="SEMI"),2,IF(OR(K1778="PRE",K1778="HEAT"),1,IF(V1778="YES",4,2))))</f>
        <v/>
      </c>
      <c r="M1778" s="33" t="inlineStr">
        <is>
          <t>LCM</t>
        </is>
      </c>
      <c r="N1778" s="33" t="n">
        <v>200</v>
      </c>
      <c r="O1778" s="33" t="inlineStr">
        <is>
          <t>Free</t>
        </is>
      </c>
      <c r="P1778" s="33" t="inlineStr">
        <is>
          <t>200 Free</t>
        </is>
      </c>
      <c r="Q1778" s="33" t="inlineStr">
        <is>
          <t>LCM_200_FREE</t>
        </is>
      </c>
      <c r="R1778" s="36" t="n">
        <v>113.49</v>
      </c>
      <c r="S1778" s="35">
        <f>IF(R1778="","",IF(R1778&gt;=60,INT(R1778/60)&amp;":"&amp;TEXT(MOD(R1778,60),"00.00"),TEXT(R1778,"0.00")))</f>
        <v/>
      </c>
      <c r="T1778" s="52">
        <f>IFERROR((G1778-INDEX('01_Swimmers'!$E$5:$E$22,MATCH(B1778,'01_Swimmers'!$A$5:$A$22,0)))/'00_Control'!$B$10,"")</f>
        <v/>
      </c>
      <c r="U1778" s="35">
        <f>IF(T1778="","",INT(T1778))</f>
        <v/>
      </c>
      <c r="V1778" s="33" t="inlineStr">
        <is>
          <t>NO</t>
        </is>
      </c>
      <c r="W1778" s="33" t="inlineStr">
        <is>
          <t>YES</t>
        </is>
      </c>
      <c r="X1778" s="33" t="inlineStr">
        <is>
          <t>NO</t>
        </is>
      </c>
      <c r="Y1778" s="33" t="n">
        <v>1</v>
      </c>
      <c r="Z1778" s="33" t="n">
        <v>4</v>
      </c>
      <c r="AA1778" s="33" t="inlineStr">
        <is>
          <t>10</t>
        </is>
      </c>
      <c r="AB1778" s="33" t="inlineStr">
        <is>
          <t>https://www.swimcloud.com/results/375897/event/8/?id=175421593#time175421593</t>
        </is>
      </c>
      <c r="AC1778" s="33" t="inlineStr">
        <is>
          <t>SwimCloud API v6 2026-10-08</t>
        </is>
      </c>
      <c r="AD1778" s="33" t="inlineStr">
        <is>
          <t>Laon Kim|2026-04-09|LCM|200|Free|113.49|Canadian Open|PRE|False</t>
        </is>
      </c>
      <c r="AE1778" s="53">
        <f>G1778+L1778/1000+ROW()/1000000000</f>
        <v/>
      </c>
      <c r="AF1778" s="35">
        <f>IF(C1778&lt;&gt;"Grayson Coulter","",COUNTIFS($C$5:$C$2991,"Grayson Coulter",$Q$5:$Q$2991,Q1778,$AE$5:$AE$2991,"&lt;="&amp;AE1778,$R$5:$R$2991,"&lt;"&amp;R1778))</f>
        <v/>
      </c>
      <c r="AG1778" s="35">
        <f>IF(OR(C1778&lt;&gt;"Grayson Coulter",G1778&lt;'00_Control'!$B$7),"",--(AF1778&lt;5))</f>
        <v/>
      </c>
      <c r="AH1778" s="35">
        <f>IF(OR(C1778&lt;&gt;"Grayson Coulter",G1778&lt;'00_Control'!$B$7),"",--(AF1778&lt;10))</f>
        <v/>
      </c>
      <c r="AI1778" s="35">
        <f>IF(AND(C1778="Grayson Coulter",G1778&gt;='00_Control'!$B$7),"YES","NO")</f>
        <v/>
      </c>
      <c r="AJ1778" s="33" t="inlineStr">
        <is>
          <t>OK</t>
        </is>
      </c>
    </row>
    <row r="1779">
      <c r="A1779" s="33" t="inlineStr">
        <is>
          <t>SM001775</t>
        </is>
      </c>
      <c r="B1779" s="33" t="inlineStr">
        <is>
          <t>SW007</t>
        </is>
      </c>
      <c r="C1779" s="33" t="inlineStr">
        <is>
          <t>Laon Kim</t>
        </is>
      </c>
      <c r="D1779" s="33" t="inlineStr">
        <is>
          <t>SwimCloud</t>
        </is>
      </c>
      <c r="E1779" s="33" t="inlineStr">
        <is>
          <t>2829279</t>
        </is>
      </c>
      <c r="F1779" s="33" t="inlineStr">
        <is>
          <t>175421401</t>
        </is>
      </c>
      <c r="G1779" s="51" t="n">
        <v>46122</v>
      </c>
      <c r="H1779" s="33" t="inlineStr">
        <is>
          <t>Canadian Open</t>
        </is>
      </c>
      <c r="I1779" s="33" t="inlineStr">
        <is>
          <t>375897</t>
        </is>
      </c>
      <c r="J1779" s="33" t="inlineStr"/>
      <c r="K1779" s="33" t="inlineStr">
        <is>
          <t>PRE</t>
        </is>
      </c>
      <c r="L1779" s="35">
        <f>IF(K1779="FIN",3,IF(OR(K1779="SEM",K1779="SEMI"),2,IF(OR(K1779="PRE",K1779="HEAT"),1,IF(V1779="YES",4,2))))</f>
        <v/>
      </c>
      <c r="M1779" s="33" t="inlineStr">
        <is>
          <t>LCM</t>
        </is>
      </c>
      <c r="N1779" s="33" t="n">
        <v>100</v>
      </c>
      <c r="O1779" s="33" t="inlineStr">
        <is>
          <t>Free</t>
        </is>
      </c>
      <c r="P1779" s="33" t="inlineStr">
        <is>
          <t>100 Free</t>
        </is>
      </c>
      <c r="Q1779" s="33" t="inlineStr">
        <is>
          <t>LCM_100_FREE</t>
        </is>
      </c>
      <c r="R1779" s="36" t="n">
        <v>49.84</v>
      </c>
      <c r="S1779" s="35">
        <f>IF(R1779="","",IF(R1779&gt;=60,INT(R1779/60)&amp;":"&amp;TEXT(MOD(R1779,60),"00.00"),TEXT(R1779,"0.00")))</f>
        <v/>
      </c>
      <c r="T1779" s="52">
        <f>IFERROR((G1779-INDEX('01_Swimmers'!$E$5:$E$22,MATCH(B1779,'01_Swimmers'!$A$5:$A$22,0)))/'00_Control'!$B$10,"")</f>
        <v/>
      </c>
      <c r="U1779" s="35">
        <f>IF(T1779="","",INT(T1779))</f>
        <v/>
      </c>
      <c r="V1779" s="33" t="inlineStr">
        <is>
          <t>NO</t>
        </is>
      </c>
      <c r="W1779" s="33" t="inlineStr">
        <is>
          <t>YES</t>
        </is>
      </c>
      <c r="X1779" s="33" t="inlineStr">
        <is>
          <t>NO</t>
        </is>
      </c>
      <c r="Y1779" s="33" t="n">
        <v>4</v>
      </c>
      <c r="Z1779" s="33" t="n">
        <v>5</v>
      </c>
      <c r="AA1779" s="33" t="inlineStr">
        <is>
          <t>4</t>
        </is>
      </c>
      <c r="AB1779" s="33" t="inlineStr">
        <is>
          <t>https://www.swimcloud.com/results/375897/event/16/?id=175421401#time175421401</t>
        </is>
      </c>
      <c r="AC1779" s="33" t="inlineStr">
        <is>
          <t>SwimCloud API v6 2026-10-08</t>
        </is>
      </c>
      <c r="AD1779" s="33" t="inlineStr">
        <is>
          <t>Laon Kim|2026-04-10|LCM|100|Free|49.84|Canadian Open|PRE|False</t>
        </is>
      </c>
      <c r="AE1779" s="53">
        <f>G1779+L1779/1000+ROW()/1000000000</f>
        <v/>
      </c>
      <c r="AF1779" s="35">
        <f>IF(C1779&lt;&gt;"Grayson Coulter","",COUNTIFS($C$5:$C$2991,"Grayson Coulter",$Q$5:$Q$2991,Q1779,$AE$5:$AE$2991,"&lt;="&amp;AE1779,$R$5:$R$2991,"&lt;"&amp;R1779))</f>
        <v/>
      </c>
      <c r="AG1779" s="35">
        <f>IF(OR(C1779&lt;&gt;"Grayson Coulter",G1779&lt;'00_Control'!$B$7),"",--(AF1779&lt;5))</f>
        <v/>
      </c>
      <c r="AH1779" s="35">
        <f>IF(OR(C1779&lt;&gt;"Grayson Coulter",G1779&lt;'00_Control'!$B$7),"",--(AF1779&lt;10))</f>
        <v/>
      </c>
      <c r="AI1779" s="35">
        <f>IF(AND(C1779="Grayson Coulter",G1779&gt;='00_Control'!$B$7),"YES","NO")</f>
        <v/>
      </c>
      <c r="AJ1779" s="33" t="inlineStr">
        <is>
          <t>OK</t>
        </is>
      </c>
    </row>
    <row r="1780">
      <c r="A1780" s="33" t="inlineStr">
        <is>
          <t>SM001776</t>
        </is>
      </c>
      <c r="B1780" s="33" t="inlineStr">
        <is>
          <t>SW007</t>
        </is>
      </c>
      <c r="C1780" s="33" t="inlineStr">
        <is>
          <t>Laon Kim</t>
        </is>
      </c>
      <c r="D1780" s="33" t="inlineStr">
        <is>
          <t>SwimCloud</t>
        </is>
      </c>
      <c r="E1780" s="33" t="inlineStr">
        <is>
          <t>2829279</t>
        </is>
      </c>
      <c r="F1780" s="33" t="inlineStr">
        <is>
          <t>175421402</t>
        </is>
      </c>
      <c r="G1780" s="51" t="n">
        <v>46122</v>
      </c>
      <c r="H1780" s="33" t="inlineStr">
        <is>
          <t>Canadian Open</t>
        </is>
      </c>
      <c r="I1780" s="33" t="inlineStr">
        <is>
          <t>375897</t>
        </is>
      </c>
      <c r="J1780" s="33" t="inlineStr"/>
      <c r="K1780" s="33" t="inlineStr">
        <is>
          <t>FIN</t>
        </is>
      </c>
      <c r="L1780" s="35">
        <f>IF(K1780="FIN",3,IF(OR(K1780="SEM",K1780="SEMI"),2,IF(OR(K1780="PRE",K1780="HEAT"),1,IF(V1780="YES",4,2))))</f>
        <v/>
      </c>
      <c r="M1780" s="33" t="inlineStr">
        <is>
          <t>LCM</t>
        </is>
      </c>
      <c r="N1780" s="33" t="n">
        <v>100</v>
      </c>
      <c r="O1780" s="33" t="inlineStr">
        <is>
          <t>Free</t>
        </is>
      </c>
      <c r="P1780" s="33" t="inlineStr">
        <is>
          <t>100 Free</t>
        </is>
      </c>
      <c r="Q1780" s="33" t="inlineStr">
        <is>
          <t>LCM_100_FREE</t>
        </is>
      </c>
      <c r="R1780" s="36" t="n">
        <v>49.94</v>
      </c>
      <c r="S1780" s="35">
        <f>IF(R1780="","",IF(R1780&gt;=60,INT(R1780/60)&amp;":"&amp;TEXT(MOD(R1780,60),"00.00"),TEXT(R1780,"0.00")))</f>
        <v/>
      </c>
      <c r="T1780" s="52">
        <f>IFERROR((G1780-INDEX('01_Swimmers'!$E$5:$E$22,MATCH(B1780,'01_Swimmers'!$A$5:$A$22,0)))/'00_Control'!$B$10,"")</f>
        <v/>
      </c>
      <c r="U1780" s="35">
        <f>IF(T1780="","",INT(T1780))</f>
        <v/>
      </c>
      <c r="V1780" s="33" t="inlineStr">
        <is>
          <t>NO</t>
        </is>
      </c>
      <c r="W1780" s="33" t="inlineStr">
        <is>
          <t>YES</t>
        </is>
      </c>
      <c r="X1780" s="33" t="inlineStr">
        <is>
          <t>NO</t>
        </is>
      </c>
      <c r="Y1780" s="33" t="n">
        <v>0</v>
      </c>
      <c r="Z1780" s="33" t="n">
        <v>6</v>
      </c>
      <c r="AA1780" s="33" t="inlineStr">
        <is>
          <t>4</t>
        </is>
      </c>
      <c r="AB1780" s="33" t="inlineStr">
        <is>
          <t>https://www.swimcloud.com/results/375897/event/16/?id=175421402#time175421402</t>
        </is>
      </c>
      <c r="AC1780" s="33" t="inlineStr">
        <is>
          <t>SwimCloud API v6 2026-10-08</t>
        </is>
      </c>
      <c r="AD1780" s="33" t="inlineStr">
        <is>
          <t>Laon Kim|2026-04-10|LCM|100|Free|49.94|Canadian Open|FIN|False</t>
        </is>
      </c>
      <c r="AE1780" s="53">
        <f>G1780+L1780/1000+ROW()/1000000000</f>
        <v/>
      </c>
      <c r="AF1780" s="35">
        <f>IF(C1780&lt;&gt;"Grayson Coulter","",COUNTIFS($C$5:$C$2991,"Grayson Coulter",$Q$5:$Q$2991,Q1780,$AE$5:$AE$2991,"&lt;="&amp;AE1780,$R$5:$R$2991,"&lt;"&amp;R1780))</f>
        <v/>
      </c>
      <c r="AG1780" s="35">
        <f>IF(OR(C1780&lt;&gt;"Grayson Coulter",G1780&lt;'00_Control'!$B$7),"",--(AF1780&lt;5))</f>
        <v/>
      </c>
      <c r="AH1780" s="35">
        <f>IF(OR(C1780&lt;&gt;"Grayson Coulter",G1780&lt;'00_Control'!$B$7),"",--(AF1780&lt;10))</f>
        <v/>
      </c>
      <c r="AI1780" s="35">
        <f>IF(AND(C1780="Grayson Coulter",G1780&gt;='00_Control'!$B$7),"YES","NO")</f>
        <v/>
      </c>
      <c r="AJ1780" s="33" t="inlineStr">
        <is>
          <t>OK</t>
        </is>
      </c>
    </row>
    <row r="1781">
      <c r="A1781" s="33" t="inlineStr">
        <is>
          <t>SM001777</t>
        </is>
      </c>
      <c r="B1781" s="33" t="inlineStr">
        <is>
          <t>SW007</t>
        </is>
      </c>
      <c r="C1781" s="33" t="inlineStr">
        <is>
          <t>Laon Kim</t>
        </is>
      </c>
      <c r="D1781" s="33" t="inlineStr">
        <is>
          <t>SwimCloud</t>
        </is>
      </c>
      <c r="E1781" s="33" t="inlineStr">
        <is>
          <t>2829279</t>
        </is>
      </c>
      <c r="F1781" s="33" t="inlineStr">
        <is>
          <t>178602286</t>
        </is>
      </c>
      <c r="G1781" s="51" t="n">
        <v>46172</v>
      </c>
      <c r="H1781" s="33" t="inlineStr">
        <is>
          <t>Trofeu Internacional Ciutat de Barcelona</t>
        </is>
      </c>
      <c r="I1781" s="33" t="inlineStr">
        <is>
          <t>387917</t>
        </is>
      </c>
      <c r="J1781" s="33" t="inlineStr"/>
      <c r="K1781" s="33" t="inlineStr">
        <is>
          <t>PRE</t>
        </is>
      </c>
      <c r="L1781" s="35">
        <f>IF(K1781="FIN",3,IF(OR(K1781="SEM",K1781="SEMI"),2,IF(OR(K1781="PRE",K1781="HEAT"),1,IF(V1781="YES",4,2))))</f>
        <v/>
      </c>
      <c r="M1781" s="33" t="inlineStr">
        <is>
          <t>LCM</t>
        </is>
      </c>
      <c r="N1781" s="33" t="n">
        <v>200</v>
      </c>
      <c r="O1781" s="33" t="inlineStr">
        <is>
          <t>Free</t>
        </is>
      </c>
      <c r="P1781" s="33" t="inlineStr">
        <is>
          <t>200 Free</t>
        </is>
      </c>
      <c r="Q1781" s="33" t="inlineStr">
        <is>
          <t>LCM_200_FREE</t>
        </is>
      </c>
      <c r="R1781" s="36" t="n">
        <v>110.69</v>
      </c>
      <c r="S1781" s="35">
        <f>IF(R1781="","",IF(R1781&gt;=60,INT(R1781/60)&amp;":"&amp;TEXT(MOD(R1781,60),"00.00"),TEXT(R1781,"0.00")))</f>
        <v/>
      </c>
      <c r="T1781" s="52">
        <f>IFERROR((G1781-INDEX('01_Swimmers'!$E$5:$E$22,MATCH(B1781,'01_Swimmers'!$A$5:$A$22,0)))/'00_Control'!$B$10,"")</f>
        <v/>
      </c>
      <c r="U1781" s="35">
        <f>IF(T1781="","",INT(T1781))</f>
        <v/>
      </c>
      <c r="V1781" s="33" t="inlineStr">
        <is>
          <t>NO</t>
        </is>
      </c>
      <c r="W1781" s="33" t="inlineStr">
        <is>
          <t>YES</t>
        </is>
      </c>
      <c r="X1781" s="33" t="inlineStr">
        <is>
          <t>NO</t>
        </is>
      </c>
      <c r="Y1781" s="33" t="n">
        <v>11</v>
      </c>
      <c r="Z1781" s="33" t="n">
        <v>1</v>
      </c>
      <c r="AA1781" s="33" t="inlineStr">
        <is>
          <t>15</t>
        </is>
      </c>
      <c r="AB1781" s="33" t="inlineStr">
        <is>
          <t>https://www.swimcloud.com/results/387917/event/15/?id=178602286#time178602286</t>
        </is>
      </c>
      <c r="AC1781" s="33" t="inlineStr">
        <is>
          <t>SwimCloud API v6 2026-10-08</t>
        </is>
      </c>
      <c r="AD1781" s="33" t="inlineStr">
        <is>
          <t>Laon Kim|2026-05-30|LCM|200|Free|110.69|Trofeu Internacional Ciutat de Barcelona|PRE|False</t>
        </is>
      </c>
      <c r="AE1781" s="53">
        <f>G1781+L1781/1000+ROW()/1000000000</f>
        <v/>
      </c>
      <c r="AF1781" s="35">
        <f>IF(C1781&lt;&gt;"Grayson Coulter","",COUNTIFS($C$5:$C$2991,"Grayson Coulter",$Q$5:$Q$2991,Q1781,$AE$5:$AE$2991,"&lt;="&amp;AE1781,$R$5:$R$2991,"&lt;"&amp;R1781))</f>
        <v/>
      </c>
      <c r="AG1781" s="35">
        <f>IF(OR(C1781&lt;&gt;"Grayson Coulter",G1781&lt;'00_Control'!$B$7),"",--(AF1781&lt;5))</f>
        <v/>
      </c>
      <c r="AH1781" s="35">
        <f>IF(OR(C1781&lt;&gt;"Grayson Coulter",G1781&lt;'00_Control'!$B$7),"",--(AF1781&lt;10))</f>
        <v/>
      </c>
      <c r="AI1781" s="35">
        <f>IF(AND(C1781="Grayson Coulter",G1781&gt;='00_Control'!$B$7),"YES","NO")</f>
        <v/>
      </c>
      <c r="AJ1781" s="33" t="inlineStr">
        <is>
          <t>OK</t>
        </is>
      </c>
    </row>
    <row r="1782">
      <c r="A1782" s="33" t="inlineStr">
        <is>
          <t>SM001778</t>
        </is>
      </c>
      <c r="B1782" s="33" t="inlineStr">
        <is>
          <t>SW007</t>
        </is>
      </c>
      <c r="C1782" s="33" t="inlineStr">
        <is>
          <t>Laon Kim</t>
        </is>
      </c>
      <c r="D1782" s="33" t="inlineStr">
        <is>
          <t>SwimCloud</t>
        </is>
      </c>
      <c r="E1782" s="33" t="inlineStr">
        <is>
          <t>2829279</t>
        </is>
      </c>
      <c r="F1782" s="33" t="inlineStr">
        <is>
          <t>178602289</t>
        </is>
      </c>
      <c r="G1782" s="51" t="n">
        <v>46172</v>
      </c>
      <c r="H1782" s="33" t="inlineStr">
        <is>
          <t>Trofeu Internacional Ciutat de Barcelona</t>
        </is>
      </c>
      <c r="I1782" s="33" t="inlineStr">
        <is>
          <t>387917</t>
        </is>
      </c>
      <c r="J1782" s="33" t="inlineStr"/>
      <c r="K1782" s="33" t="inlineStr">
        <is>
          <t>FIN</t>
        </is>
      </c>
      <c r="L1782" s="35">
        <f>IF(K1782="FIN",3,IF(OR(K1782="SEM",K1782="SEMI"),2,IF(OR(K1782="PRE",K1782="HEAT"),1,IF(V1782="YES",4,2))))</f>
        <v/>
      </c>
      <c r="M1782" s="33" t="inlineStr">
        <is>
          <t>LCM</t>
        </is>
      </c>
      <c r="N1782" s="33" t="n">
        <v>200</v>
      </c>
      <c r="O1782" s="33" t="inlineStr">
        <is>
          <t>Free</t>
        </is>
      </c>
      <c r="P1782" s="33" t="inlineStr">
        <is>
          <t>200 Free</t>
        </is>
      </c>
      <c r="Q1782" s="33" t="inlineStr">
        <is>
          <t>LCM_200_FREE</t>
        </is>
      </c>
      <c r="R1782" s="36" t="n">
        <v>111.06</v>
      </c>
      <c r="S1782" s="35">
        <f>IF(R1782="","",IF(R1782&gt;=60,INT(R1782/60)&amp;":"&amp;TEXT(MOD(R1782,60),"00.00"),TEXT(R1782,"0.00")))</f>
        <v/>
      </c>
      <c r="T1782" s="52">
        <f>IFERROR((G1782-INDEX('01_Swimmers'!$E$5:$E$22,MATCH(B1782,'01_Swimmers'!$A$5:$A$22,0)))/'00_Control'!$B$10,"")</f>
        <v/>
      </c>
      <c r="U1782" s="35">
        <f>IF(T1782="","",INT(T1782))</f>
        <v/>
      </c>
      <c r="V1782" s="33" t="inlineStr">
        <is>
          <t>NO</t>
        </is>
      </c>
      <c r="W1782" s="33" t="inlineStr">
        <is>
          <t>YES</t>
        </is>
      </c>
      <c r="X1782" s="33" t="inlineStr">
        <is>
          <t>NO</t>
        </is>
      </c>
      <c r="Y1782" s="33" t="n">
        <v>2</v>
      </c>
      <c r="Z1782" s="33" t="n">
        <v>7</v>
      </c>
      <c r="AA1782" s="33" t="inlineStr">
        <is>
          <t>13</t>
        </is>
      </c>
      <c r="AB1782" s="33" t="inlineStr">
        <is>
          <t>https://www.swimcloud.com/results/387917/event/15/?id=178602289#time178602289</t>
        </is>
      </c>
      <c r="AC1782" s="33" t="inlineStr">
        <is>
          <t>SwimCloud API v6 2026-10-08</t>
        </is>
      </c>
      <c r="AD1782" s="33" t="inlineStr">
        <is>
          <t>Laon Kim|2026-05-30|LCM|200|Free|111.06|Trofeu Internacional Ciutat de Barcelona|FIN|False</t>
        </is>
      </c>
      <c r="AE1782" s="53">
        <f>G1782+L1782/1000+ROW()/1000000000</f>
        <v/>
      </c>
      <c r="AF1782" s="35">
        <f>IF(C1782&lt;&gt;"Grayson Coulter","",COUNTIFS($C$5:$C$2991,"Grayson Coulter",$Q$5:$Q$2991,Q1782,$AE$5:$AE$2991,"&lt;="&amp;AE1782,$R$5:$R$2991,"&lt;"&amp;R1782))</f>
        <v/>
      </c>
      <c r="AG1782" s="35">
        <f>IF(OR(C1782&lt;&gt;"Grayson Coulter",G1782&lt;'00_Control'!$B$7),"",--(AF1782&lt;5))</f>
        <v/>
      </c>
      <c r="AH1782" s="35">
        <f>IF(OR(C1782&lt;&gt;"Grayson Coulter",G1782&lt;'00_Control'!$B$7),"",--(AF1782&lt;10))</f>
        <v/>
      </c>
      <c r="AI1782" s="35">
        <f>IF(AND(C1782="Grayson Coulter",G1782&gt;='00_Control'!$B$7),"YES","NO")</f>
        <v/>
      </c>
      <c r="AJ1782" s="33" t="inlineStr">
        <is>
          <t>OK</t>
        </is>
      </c>
    </row>
    <row r="1783">
      <c r="A1783" s="33" t="inlineStr">
        <is>
          <t>SM001779</t>
        </is>
      </c>
      <c r="B1783" s="33" t="inlineStr">
        <is>
          <t>SW007</t>
        </is>
      </c>
      <c r="C1783" s="33" t="inlineStr">
        <is>
          <t>Laon Kim</t>
        </is>
      </c>
      <c r="D1783" s="33" t="inlineStr">
        <is>
          <t>SwimCloud</t>
        </is>
      </c>
      <c r="E1783" s="33" t="inlineStr">
        <is>
          <t>2829279</t>
        </is>
      </c>
      <c r="F1783" s="33" t="inlineStr">
        <is>
          <t>178602287</t>
        </is>
      </c>
      <c r="G1783" s="51" t="n">
        <v>46173</v>
      </c>
      <c r="H1783" s="33" t="inlineStr">
        <is>
          <t>Trofeu Internacional Ciutat de Barcelona</t>
        </is>
      </c>
      <c r="I1783" s="33" t="inlineStr">
        <is>
          <t>387917</t>
        </is>
      </c>
      <c r="J1783" s="33" t="inlineStr"/>
      <c r="K1783" s="33" t="inlineStr">
        <is>
          <t>PRE</t>
        </is>
      </c>
      <c r="L1783" s="35">
        <f>IF(K1783="FIN",3,IF(OR(K1783="SEM",K1783="SEMI"),2,IF(OR(K1783="PRE",K1783="HEAT"),1,IF(V1783="YES",4,2))))</f>
        <v/>
      </c>
      <c r="M1783" s="33" t="inlineStr">
        <is>
          <t>LCM</t>
        </is>
      </c>
      <c r="N1783" s="33" t="n">
        <v>100</v>
      </c>
      <c r="O1783" s="33" t="inlineStr">
        <is>
          <t>Free</t>
        </is>
      </c>
      <c r="P1783" s="33" t="inlineStr">
        <is>
          <t>100 Free</t>
        </is>
      </c>
      <c r="Q1783" s="33" t="inlineStr">
        <is>
          <t>LCM_100_FREE</t>
        </is>
      </c>
      <c r="R1783" s="36" t="n">
        <v>49.79</v>
      </c>
      <c r="S1783" s="35">
        <f>IF(R1783="","",IF(R1783&gt;=60,INT(R1783/60)&amp;":"&amp;TEXT(MOD(R1783,60),"00.00"),TEXT(R1783,"0.00")))</f>
        <v/>
      </c>
      <c r="T1783" s="52">
        <f>IFERROR((G1783-INDEX('01_Swimmers'!$E$5:$E$22,MATCH(B1783,'01_Swimmers'!$A$5:$A$22,0)))/'00_Control'!$B$10,"")</f>
        <v/>
      </c>
      <c r="U1783" s="35">
        <f>IF(T1783="","",INT(T1783))</f>
        <v/>
      </c>
      <c r="V1783" s="33" t="inlineStr">
        <is>
          <t>NO</t>
        </is>
      </c>
      <c r="W1783" s="33" t="inlineStr">
        <is>
          <t>YES</t>
        </is>
      </c>
      <c r="X1783" s="33" t="inlineStr">
        <is>
          <t>NO</t>
        </is>
      </c>
      <c r="Y1783" s="33" t="n">
        <v>12</v>
      </c>
      <c r="Z1783" s="33" t="n">
        <v>4</v>
      </c>
      <c r="AA1783" s="33" t="inlineStr">
        <is>
          <t>9</t>
        </is>
      </c>
      <c r="AB1783" s="33" t="inlineStr">
        <is>
          <t>https://www.swimcloud.com/results/387917/event/22/?id=178602287#time178602287</t>
        </is>
      </c>
      <c r="AC1783" s="33" t="inlineStr">
        <is>
          <t>SwimCloud API v6 2026-10-08</t>
        </is>
      </c>
      <c r="AD1783" s="33" t="inlineStr">
        <is>
          <t>Laon Kim|2026-05-31|LCM|100|Free|49.79|Trofeu Internacional Ciutat de Barcelona|PRE|False</t>
        </is>
      </c>
      <c r="AE1783" s="53">
        <f>G1783+L1783/1000+ROW()/1000000000</f>
        <v/>
      </c>
      <c r="AF1783" s="35">
        <f>IF(C1783&lt;&gt;"Grayson Coulter","",COUNTIFS($C$5:$C$2991,"Grayson Coulter",$Q$5:$Q$2991,Q1783,$AE$5:$AE$2991,"&lt;="&amp;AE1783,$R$5:$R$2991,"&lt;"&amp;R1783))</f>
        <v/>
      </c>
      <c r="AG1783" s="35">
        <f>IF(OR(C1783&lt;&gt;"Grayson Coulter",G1783&lt;'00_Control'!$B$7),"",--(AF1783&lt;5))</f>
        <v/>
      </c>
      <c r="AH1783" s="35">
        <f>IF(OR(C1783&lt;&gt;"Grayson Coulter",G1783&lt;'00_Control'!$B$7),"",--(AF1783&lt;10))</f>
        <v/>
      </c>
      <c r="AI1783" s="35">
        <f>IF(AND(C1783="Grayson Coulter",G1783&gt;='00_Control'!$B$7),"YES","NO")</f>
        <v/>
      </c>
      <c r="AJ1783" s="33" t="inlineStr">
        <is>
          <t>OK</t>
        </is>
      </c>
    </row>
    <row r="1784">
      <c r="A1784" s="33" t="inlineStr">
        <is>
          <t>SM001780</t>
        </is>
      </c>
      <c r="B1784" s="33" t="inlineStr">
        <is>
          <t>SW007</t>
        </is>
      </c>
      <c r="C1784" s="33" t="inlineStr">
        <is>
          <t>Laon Kim</t>
        </is>
      </c>
      <c r="D1784" s="33" t="inlineStr">
        <is>
          <t>SwimCloud</t>
        </is>
      </c>
      <c r="E1784" s="33" t="inlineStr">
        <is>
          <t>2829279</t>
        </is>
      </c>
      <c r="F1784" s="33" t="inlineStr">
        <is>
          <t>178602290</t>
        </is>
      </c>
      <c r="G1784" s="51" t="n">
        <v>46173</v>
      </c>
      <c r="H1784" s="33" t="inlineStr">
        <is>
          <t>Trofeu Internacional Ciutat de Barcelona</t>
        </is>
      </c>
      <c r="I1784" s="33" t="inlineStr">
        <is>
          <t>387917</t>
        </is>
      </c>
      <c r="J1784" s="33" t="inlineStr"/>
      <c r="K1784" s="33" t="inlineStr">
        <is>
          <t>FIN</t>
        </is>
      </c>
      <c r="L1784" s="35">
        <f>IF(K1784="FIN",3,IF(OR(K1784="SEM",K1784="SEMI"),2,IF(OR(K1784="PRE",K1784="HEAT"),1,IF(V1784="YES",4,2))))</f>
        <v/>
      </c>
      <c r="M1784" s="33" t="inlineStr">
        <is>
          <t>LCM</t>
        </is>
      </c>
      <c r="N1784" s="33" t="n">
        <v>100</v>
      </c>
      <c r="O1784" s="33" t="inlineStr">
        <is>
          <t>Free</t>
        </is>
      </c>
      <c r="P1784" s="33" t="inlineStr">
        <is>
          <t>100 Free</t>
        </is>
      </c>
      <c r="Q1784" s="33" t="inlineStr">
        <is>
          <t>LCM_100_FREE</t>
        </is>
      </c>
      <c r="R1784" s="36" t="n">
        <v>49.79</v>
      </c>
      <c r="S1784" s="35">
        <f>IF(R1784="","",IF(R1784&gt;=60,INT(R1784/60)&amp;":"&amp;TEXT(MOD(R1784,60),"00.00"),TEXT(R1784,"0.00")))</f>
        <v/>
      </c>
      <c r="T1784" s="52">
        <f>IFERROR((G1784-INDEX('01_Swimmers'!$E$5:$E$22,MATCH(B1784,'01_Swimmers'!$A$5:$A$22,0)))/'00_Control'!$B$10,"")</f>
        <v/>
      </c>
      <c r="U1784" s="35">
        <f>IF(T1784="","",INT(T1784))</f>
        <v/>
      </c>
      <c r="V1784" s="33" t="inlineStr">
        <is>
          <t>NO</t>
        </is>
      </c>
      <c r="W1784" s="33" t="inlineStr">
        <is>
          <t>YES</t>
        </is>
      </c>
      <c r="X1784" s="33" t="inlineStr">
        <is>
          <t>NO</t>
        </is>
      </c>
      <c r="Y1784" s="33" t="n">
        <v>2</v>
      </c>
      <c r="Z1784" s="33" t="n">
        <v>4</v>
      </c>
      <c r="AA1784" s="33" t="inlineStr">
        <is>
          <t>10</t>
        </is>
      </c>
      <c r="AB1784" s="33" t="inlineStr">
        <is>
          <t>https://www.swimcloud.com/results/387917/event/22/?id=178602290#time178602290</t>
        </is>
      </c>
      <c r="AC1784" s="33" t="inlineStr">
        <is>
          <t>SwimCloud API v6 2026-10-08</t>
        </is>
      </c>
      <c r="AD1784" s="33" t="inlineStr">
        <is>
          <t>Laon Kim|2026-05-31|LCM|100|Free|49.79|Trofeu Internacional Ciutat de Barcelona|FIN|False</t>
        </is>
      </c>
      <c r="AE1784" s="53">
        <f>G1784+L1784/1000+ROW()/1000000000</f>
        <v/>
      </c>
      <c r="AF1784" s="35">
        <f>IF(C1784&lt;&gt;"Grayson Coulter","",COUNTIFS($C$5:$C$2991,"Grayson Coulter",$Q$5:$Q$2991,Q1784,$AE$5:$AE$2991,"&lt;="&amp;AE1784,$R$5:$R$2991,"&lt;"&amp;R1784))</f>
        <v/>
      </c>
      <c r="AG1784" s="35">
        <f>IF(OR(C1784&lt;&gt;"Grayson Coulter",G1784&lt;'00_Control'!$B$7),"",--(AF1784&lt;5))</f>
        <v/>
      </c>
      <c r="AH1784" s="35">
        <f>IF(OR(C1784&lt;&gt;"Grayson Coulter",G1784&lt;'00_Control'!$B$7),"",--(AF1784&lt;10))</f>
        <v/>
      </c>
      <c r="AI1784" s="35">
        <f>IF(AND(C1784="Grayson Coulter",G1784&gt;='00_Control'!$B$7),"YES","NO")</f>
        <v/>
      </c>
      <c r="AJ1784" s="33" t="inlineStr">
        <is>
          <t>OK</t>
        </is>
      </c>
    </row>
    <row r="1785">
      <c r="A1785" s="33" t="inlineStr">
        <is>
          <t>SM001781</t>
        </is>
      </c>
      <c r="B1785" s="33" t="inlineStr">
        <is>
          <t>SW007</t>
        </is>
      </c>
      <c r="C1785" s="33" t="inlineStr">
        <is>
          <t>Laon Kim</t>
        </is>
      </c>
      <c r="D1785" s="33" t="inlineStr">
        <is>
          <t>SwimCloud</t>
        </is>
      </c>
      <c r="E1785" s="33" t="inlineStr">
        <is>
          <t>2829279</t>
        </is>
      </c>
      <c r="F1785" s="33" t="inlineStr">
        <is>
          <t>181018404</t>
        </is>
      </c>
      <c r="G1785" s="51" t="n">
        <v>46208</v>
      </c>
      <c r="H1785" s="33" t="inlineStr">
        <is>
          <t>Bell Canadian Swimming Trials</t>
        </is>
      </c>
      <c r="I1785" s="33" t="inlineStr">
        <is>
          <t>385018</t>
        </is>
      </c>
      <c r="J1785" s="33" t="inlineStr"/>
      <c r="K1785" s="33" t="inlineStr">
        <is>
          <t>PRE</t>
        </is>
      </c>
      <c r="L1785" s="35">
        <f>IF(K1785="FIN",3,IF(OR(K1785="SEM",K1785="SEMI"),2,IF(OR(K1785="PRE",K1785="HEAT"),1,IF(V1785="YES",4,2))))</f>
        <v/>
      </c>
      <c r="M1785" s="33" t="inlineStr">
        <is>
          <t>LCM</t>
        </is>
      </c>
      <c r="N1785" s="33" t="n">
        <v>200</v>
      </c>
      <c r="O1785" s="33" t="inlineStr">
        <is>
          <t>Free</t>
        </is>
      </c>
      <c r="P1785" s="33" t="inlineStr">
        <is>
          <t>200 Free</t>
        </is>
      </c>
      <c r="Q1785" s="33" t="inlineStr">
        <is>
          <t>LCM_200_FREE</t>
        </is>
      </c>
      <c r="R1785" s="36" t="n">
        <v>108.75</v>
      </c>
      <c r="S1785" s="35">
        <f>IF(R1785="","",IF(R1785&gt;=60,INT(R1785/60)&amp;":"&amp;TEXT(MOD(R1785,60),"00.00"),TEXT(R1785,"0.00")))</f>
        <v/>
      </c>
      <c r="T1785" s="52">
        <f>IFERROR((G1785-INDEX('01_Swimmers'!$E$5:$E$22,MATCH(B1785,'01_Swimmers'!$A$5:$A$22,0)))/'00_Control'!$B$10,"")</f>
        <v/>
      </c>
      <c r="U1785" s="35">
        <f>IF(T1785="","",INT(T1785))</f>
        <v/>
      </c>
      <c r="V1785" s="33" t="inlineStr">
        <is>
          <t>NO</t>
        </is>
      </c>
      <c r="W1785" s="33" t="inlineStr">
        <is>
          <t>YES</t>
        </is>
      </c>
      <c r="X1785" s="33" t="inlineStr">
        <is>
          <t>NO</t>
        </is>
      </c>
      <c r="Y1785" s="33" t="n">
        <v>4</v>
      </c>
      <c r="Z1785" s="33" t="n">
        <v>4</v>
      </c>
      <c r="AA1785" s="33" t="inlineStr">
        <is>
          <t>1</t>
        </is>
      </c>
      <c r="AB1785" s="33" t="inlineStr">
        <is>
          <t>https://www.swimcloud.com/results/385018/event/2/?id=181018404#time181018404</t>
        </is>
      </c>
      <c r="AC1785" s="33" t="inlineStr">
        <is>
          <t>SwimCloud API v6 2026-10-08</t>
        </is>
      </c>
      <c r="AD1785" s="33" t="inlineStr">
        <is>
          <t>Laon Kim|2026-07-05|LCM|200|Free|108.75|Bell Canadian Swimming Trials|PRE|False</t>
        </is>
      </c>
      <c r="AE1785" s="53">
        <f>G1785+L1785/1000+ROW()/1000000000</f>
        <v/>
      </c>
      <c r="AF1785" s="35">
        <f>IF(C1785&lt;&gt;"Grayson Coulter","",COUNTIFS($C$5:$C$2991,"Grayson Coulter",$Q$5:$Q$2991,Q1785,$AE$5:$AE$2991,"&lt;="&amp;AE1785,$R$5:$R$2991,"&lt;"&amp;R1785))</f>
        <v/>
      </c>
      <c r="AG1785" s="35">
        <f>IF(OR(C1785&lt;&gt;"Grayson Coulter",G1785&lt;'00_Control'!$B$7),"",--(AF1785&lt;5))</f>
        <v/>
      </c>
      <c r="AH1785" s="35">
        <f>IF(OR(C1785&lt;&gt;"Grayson Coulter",G1785&lt;'00_Control'!$B$7),"",--(AF1785&lt;10))</f>
        <v/>
      </c>
      <c r="AI1785" s="35">
        <f>IF(AND(C1785="Grayson Coulter",G1785&gt;='00_Control'!$B$7),"YES","NO")</f>
        <v/>
      </c>
      <c r="AJ1785" s="33" t="inlineStr">
        <is>
          <t>OK</t>
        </is>
      </c>
    </row>
    <row r="1786">
      <c r="A1786" s="33" t="inlineStr">
        <is>
          <t>SM001782</t>
        </is>
      </c>
      <c r="B1786" s="33" t="inlineStr">
        <is>
          <t>SW007</t>
        </is>
      </c>
      <c r="C1786" s="33" t="inlineStr">
        <is>
          <t>Laon Kim</t>
        </is>
      </c>
      <c r="D1786" s="33" t="inlineStr">
        <is>
          <t>SwimCloud</t>
        </is>
      </c>
      <c r="E1786" s="33" t="inlineStr">
        <is>
          <t>2829279</t>
        </is>
      </c>
      <c r="F1786" s="33" t="inlineStr">
        <is>
          <t>181018405</t>
        </is>
      </c>
      <c r="G1786" s="51" t="n">
        <v>46208</v>
      </c>
      <c r="H1786" s="33" t="inlineStr">
        <is>
          <t>Bell Canadian Swimming Trials</t>
        </is>
      </c>
      <c r="I1786" s="33" t="inlineStr">
        <is>
          <t>385018</t>
        </is>
      </c>
      <c r="J1786" s="33" t="inlineStr"/>
      <c r="K1786" s="33" t="inlineStr">
        <is>
          <t>FIN</t>
        </is>
      </c>
      <c r="L1786" s="35">
        <f>IF(K1786="FIN",3,IF(OR(K1786="SEM",K1786="SEMI"),2,IF(OR(K1786="PRE",K1786="HEAT"),1,IF(V1786="YES",4,2))))</f>
        <v/>
      </c>
      <c r="M1786" s="33" t="inlineStr">
        <is>
          <t>LCM</t>
        </is>
      </c>
      <c r="N1786" s="33" t="n">
        <v>200</v>
      </c>
      <c r="O1786" s="33" t="inlineStr">
        <is>
          <t>Free</t>
        </is>
      </c>
      <c r="P1786" s="33" t="inlineStr">
        <is>
          <t>200 Free</t>
        </is>
      </c>
      <c r="Q1786" s="33" t="inlineStr">
        <is>
          <t>LCM_200_FREE</t>
        </is>
      </c>
      <c r="R1786" s="36" t="n">
        <v>107.56</v>
      </c>
      <c r="S1786" s="35">
        <f>IF(R1786="","",IF(R1786&gt;=60,INT(R1786/60)&amp;":"&amp;TEXT(MOD(R1786,60),"00.00"),TEXT(R1786,"0.00")))</f>
        <v/>
      </c>
      <c r="T1786" s="52">
        <f>IFERROR((G1786-INDEX('01_Swimmers'!$E$5:$E$22,MATCH(B1786,'01_Swimmers'!$A$5:$A$22,0)))/'00_Control'!$B$10,"")</f>
        <v/>
      </c>
      <c r="U1786" s="35">
        <f>IF(T1786="","",INT(T1786))</f>
        <v/>
      </c>
      <c r="V1786" s="33" t="inlineStr">
        <is>
          <t>NO</t>
        </is>
      </c>
      <c r="W1786" s="33" t="inlineStr">
        <is>
          <t>YES</t>
        </is>
      </c>
      <c r="X1786" s="33" t="inlineStr">
        <is>
          <t>NO</t>
        </is>
      </c>
      <c r="Y1786" s="33" t="n">
        <v>1</v>
      </c>
      <c r="Z1786" s="33" t="n">
        <v>3</v>
      </c>
      <c r="AA1786" s="33" t="inlineStr">
        <is>
          <t>1</t>
        </is>
      </c>
      <c r="AB1786" s="33" t="inlineStr">
        <is>
          <t>https://www.swimcloud.com/results/385018/event/2/?id=181018405#time181018405</t>
        </is>
      </c>
      <c r="AC1786" s="33" t="inlineStr">
        <is>
          <t>SwimCloud API v6 2026-10-08</t>
        </is>
      </c>
      <c r="AD1786" s="33" t="inlineStr">
        <is>
          <t>Laon Kim|2026-07-05|LCM|200|Free|107.56|Bell Canadian Swimming Trials|FIN|False</t>
        </is>
      </c>
      <c r="AE1786" s="53">
        <f>G1786+L1786/1000+ROW()/1000000000</f>
        <v/>
      </c>
      <c r="AF1786" s="35">
        <f>IF(C1786&lt;&gt;"Grayson Coulter","",COUNTIFS($C$5:$C$2991,"Grayson Coulter",$Q$5:$Q$2991,Q1786,$AE$5:$AE$2991,"&lt;="&amp;AE1786,$R$5:$R$2991,"&lt;"&amp;R1786))</f>
        <v/>
      </c>
      <c r="AG1786" s="35">
        <f>IF(OR(C1786&lt;&gt;"Grayson Coulter",G1786&lt;'00_Control'!$B$7),"",--(AF1786&lt;5))</f>
        <v/>
      </c>
      <c r="AH1786" s="35">
        <f>IF(OR(C1786&lt;&gt;"Grayson Coulter",G1786&lt;'00_Control'!$B$7),"",--(AF1786&lt;10))</f>
        <v/>
      </c>
      <c r="AI1786" s="35">
        <f>IF(AND(C1786="Grayson Coulter",G1786&gt;='00_Control'!$B$7),"YES","NO")</f>
        <v/>
      </c>
      <c r="AJ1786" s="33" t="inlineStr">
        <is>
          <t>OK</t>
        </is>
      </c>
    </row>
    <row r="1787">
      <c r="A1787" s="33" t="inlineStr">
        <is>
          <t>SM001783</t>
        </is>
      </c>
      <c r="B1787" s="33" t="inlineStr">
        <is>
          <t>SW007</t>
        </is>
      </c>
      <c r="C1787" s="33" t="inlineStr">
        <is>
          <t>Laon Kim</t>
        </is>
      </c>
      <c r="D1787" s="33" t="inlineStr">
        <is>
          <t>SwimCloud</t>
        </is>
      </c>
      <c r="E1787" s="33" t="inlineStr">
        <is>
          <t>2829279</t>
        </is>
      </c>
      <c r="F1787" s="33" t="inlineStr">
        <is>
          <t>181018355</t>
        </is>
      </c>
      <c r="G1787" s="51" t="n">
        <v>46209</v>
      </c>
      <c r="H1787" s="33" t="inlineStr">
        <is>
          <t>Bell Canadian Swimming Trials</t>
        </is>
      </c>
      <c r="I1787" s="33" t="inlineStr">
        <is>
          <t>385018</t>
        </is>
      </c>
      <c r="J1787" s="33" t="inlineStr"/>
      <c r="K1787" s="33" t="inlineStr">
        <is>
          <t>PRE</t>
        </is>
      </c>
      <c r="L1787" s="35">
        <f>IF(K1787="FIN",3,IF(OR(K1787="SEM",K1787="SEMI"),2,IF(OR(K1787="PRE",K1787="HEAT"),1,IF(V1787="YES",4,2))))</f>
        <v/>
      </c>
      <c r="M1787" s="33" t="inlineStr">
        <is>
          <t>LCM</t>
        </is>
      </c>
      <c r="N1787" s="33" t="n">
        <v>100</v>
      </c>
      <c r="O1787" s="33" t="inlineStr">
        <is>
          <t>Free</t>
        </is>
      </c>
      <c r="P1787" s="33" t="inlineStr">
        <is>
          <t>100 Free</t>
        </is>
      </c>
      <c r="Q1787" s="33" t="inlineStr">
        <is>
          <t>LCM_100_FREE</t>
        </is>
      </c>
      <c r="R1787" s="36" t="n">
        <v>49.52</v>
      </c>
      <c r="S1787" s="35">
        <f>IF(R1787="","",IF(R1787&gt;=60,INT(R1787/60)&amp;":"&amp;TEXT(MOD(R1787,60),"00.00"),TEXT(R1787,"0.00")))</f>
        <v/>
      </c>
      <c r="T1787" s="52">
        <f>IFERROR((G1787-INDEX('01_Swimmers'!$E$5:$E$22,MATCH(B1787,'01_Swimmers'!$A$5:$A$22,0)))/'00_Control'!$B$10,"")</f>
        <v/>
      </c>
      <c r="U1787" s="35">
        <f>IF(T1787="","",INT(T1787))</f>
        <v/>
      </c>
      <c r="V1787" s="33" t="inlineStr">
        <is>
          <t>NO</t>
        </is>
      </c>
      <c r="W1787" s="33" t="inlineStr">
        <is>
          <t>YES</t>
        </is>
      </c>
      <c r="X1787" s="33" t="inlineStr">
        <is>
          <t>NO</t>
        </is>
      </c>
      <c r="Y1787" s="33" t="n">
        <v>6</v>
      </c>
      <c r="Z1787" s="33" t="n">
        <v>5</v>
      </c>
      <c r="AA1787" s="33" t="inlineStr">
        <is>
          <t>1</t>
        </is>
      </c>
      <c r="AB1787" s="33" t="inlineStr">
        <is>
          <t>https://www.swimcloud.com/results/385018/event/12/?id=181018355#time181018355</t>
        </is>
      </c>
      <c r="AC1787" s="33" t="inlineStr">
        <is>
          <t>SwimCloud API v6 2026-10-08</t>
        </is>
      </c>
      <c r="AD1787" s="33" t="inlineStr">
        <is>
          <t>Laon Kim|2026-07-06|LCM|100|Free|49.52|Bell Canadian Swimming Trials|PRE|False</t>
        </is>
      </c>
      <c r="AE1787" s="53">
        <f>G1787+L1787/1000+ROW()/1000000000</f>
        <v/>
      </c>
      <c r="AF1787" s="35">
        <f>IF(C1787&lt;&gt;"Grayson Coulter","",COUNTIFS($C$5:$C$2991,"Grayson Coulter",$Q$5:$Q$2991,Q1787,$AE$5:$AE$2991,"&lt;="&amp;AE1787,$R$5:$R$2991,"&lt;"&amp;R1787))</f>
        <v/>
      </c>
      <c r="AG1787" s="35">
        <f>IF(OR(C1787&lt;&gt;"Grayson Coulter",G1787&lt;'00_Control'!$B$7),"",--(AF1787&lt;5))</f>
        <v/>
      </c>
      <c r="AH1787" s="35">
        <f>IF(OR(C1787&lt;&gt;"Grayson Coulter",G1787&lt;'00_Control'!$B$7),"",--(AF1787&lt;10))</f>
        <v/>
      </c>
      <c r="AI1787" s="35">
        <f>IF(AND(C1787="Grayson Coulter",G1787&gt;='00_Control'!$B$7),"YES","NO")</f>
        <v/>
      </c>
      <c r="AJ1787" s="33" t="inlineStr">
        <is>
          <t>OK</t>
        </is>
      </c>
    </row>
    <row r="1788">
      <c r="A1788" s="33" t="inlineStr">
        <is>
          <t>SM001784</t>
        </is>
      </c>
      <c r="B1788" s="33" t="inlineStr">
        <is>
          <t>SW007</t>
        </is>
      </c>
      <c r="C1788" s="33" t="inlineStr">
        <is>
          <t>Laon Kim</t>
        </is>
      </c>
      <c r="D1788" s="33" t="inlineStr">
        <is>
          <t>SwimCloud</t>
        </is>
      </c>
      <c r="E1788" s="33" t="inlineStr">
        <is>
          <t>2829279</t>
        </is>
      </c>
      <c r="F1788" s="33" t="inlineStr">
        <is>
          <t>181018356</t>
        </is>
      </c>
      <c r="G1788" s="51" t="n">
        <v>46209</v>
      </c>
      <c r="H1788" s="33" t="inlineStr">
        <is>
          <t>Bell Canadian Swimming Trials</t>
        </is>
      </c>
      <c r="I1788" s="33" t="inlineStr">
        <is>
          <t>385018</t>
        </is>
      </c>
      <c r="J1788" s="33" t="inlineStr"/>
      <c r="K1788" s="33" t="inlineStr">
        <is>
          <t>FIN</t>
        </is>
      </c>
      <c r="L1788" s="35">
        <f>IF(K1788="FIN",3,IF(OR(K1788="SEM",K1788="SEMI"),2,IF(OR(K1788="PRE",K1788="HEAT"),1,IF(V1788="YES",4,2))))</f>
        <v/>
      </c>
      <c r="M1788" s="33" t="inlineStr">
        <is>
          <t>LCM</t>
        </is>
      </c>
      <c r="N1788" s="33" t="n">
        <v>100</v>
      </c>
      <c r="O1788" s="33" t="inlineStr">
        <is>
          <t>Free</t>
        </is>
      </c>
      <c r="P1788" s="33" t="inlineStr">
        <is>
          <t>100 Free</t>
        </is>
      </c>
      <c r="Q1788" s="33" t="inlineStr">
        <is>
          <t>LCM_100_FREE</t>
        </is>
      </c>
      <c r="R1788" s="36" t="n">
        <v>49.39</v>
      </c>
      <c r="S1788" s="35">
        <f>IF(R1788="","",IF(R1788&gt;=60,INT(R1788/60)&amp;":"&amp;TEXT(MOD(R1788,60),"00.00"),TEXT(R1788,"0.00")))</f>
        <v/>
      </c>
      <c r="T1788" s="52">
        <f>IFERROR((G1788-INDEX('01_Swimmers'!$E$5:$E$22,MATCH(B1788,'01_Swimmers'!$A$5:$A$22,0)))/'00_Control'!$B$10,"")</f>
        <v/>
      </c>
      <c r="U1788" s="35">
        <f>IF(T1788="","",INT(T1788))</f>
        <v/>
      </c>
      <c r="V1788" s="33" t="inlineStr">
        <is>
          <t>NO</t>
        </is>
      </c>
      <c r="W1788" s="33" t="inlineStr">
        <is>
          <t>YES</t>
        </is>
      </c>
      <c r="X1788" s="33" t="inlineStr">
        <is>
          <t>NO</t>
        </is>
      </c>
      <c r="Y1788" s="33" t="n">
        <v>1</v>
      </c>
      <c r="Z1788" s="33" t="n">
        <v>3</v>
      </c>
      <c r="AA1788" s="33" t="inlineStr">
        <is>
          <t>1</t>
        </is>
      </c>
      <c r="AB1788" s="33" t="inlineStr">
        <is>
          <t>https://www.swimcloud.com/results/385018/event/12/?id=181018356#time181018356</t>
        </is>
      </c>
      <c r="AC1788" s="33" t="inlineStr">
        <is>
          <t>SwimCloud API v6 2026-10-08</t>
        </is>
      </c>
      <c r="AD1788" s="33" t="inlineStr">
        <is>
          <t>Laon Kim|2026-07-06|LCM|100|Free|49.39|Bell Canadian Swimming Trials|FIN|False</t>
        </is>
      </c>
      <c r="AE1788" s="53">
        <f>G1788+L1788/1000+ROW()/1000000000</f>
        <v/>
      </c>
      <c r="AF1788" s="35">
        <f>IF(C1788&lt;&gt;"Grayson Coulter","",COUNTIFS($C$5:$C$2991,"Grayson Coulter",$Q$5:$Q$2991,Q1788,$AE$5:$AE$2991,"&lt;="&amp;AE1788,$R$5:$R$2991,"&lt;"&amp;R1788))</f>
        <v/>
      </c>
      <c r="AG1788" s="35">
        <f>IF(OR(C1788&lt;&gt;"Grayson Coulter",G1788&lt;'00_Control'!$B$7),"",--(AF1788&lt;5))</f>
        <v/>
      </c>
      <c r="AH1788" s="35">
        <f>IF(OR(C1788&lt;&gt;"Grayson Coulter",G1788&lt;'00_Control'!$B$7),"",--(AF1788&lt;10))</f>
        <v/>
      </c>
      <c r="AI1788" s="35">
        <f>IF(AND(C1788="Grayson Coulter",G1788&gt;='00_Control'!$B$7),"YES","NO")</f>
        <v/>
      </c>
      <c r="AJ1788" s="33" t="inlineStr">
        <is>
          <t>OK</t>
        </is>
      </c>
    </row>
    <row r="1789">
      <c r="A1789" s="33" t="inlineStr">
        <is>
          <t>SM001785</t>
        </is>
      </c>
      <c r="B1789" s="33" t="inlineStr">
        <is>
          <t>SW007</t>
        </is>
      </c>
      <c r="C1789" s="33" t="inlineStr">
        <is>
          <t>Laon Kim</t>
        </is>
      </c>
      <c r="D1789" s="33" t="inlineStr">
        <is>
          <t>SwimCloud</t>
        </is>
      </c>
      <c r="E1789" s="33" t="inlineStr">
        <is>
          <t>2829279</t>
        </is>
      </c>
      <c r="F1789" s="33" t="inlineStr">
        <is>
          <t>181018115</t>
        </is>
      </c>
      <c r="G1789" s="51" t="n">
        <v>46210</v>
      </c>
      <c r="H1789" s="33" t="inlineStr">
        <is>
          <t>Bell Canadian Swimming Trials</t>
        </is>
      </c>
      <c r="I1789" s="33" t="inlineStr">
        <is>
          <t>385018</t>
        </is>
      </c>
      <c r="J1789" s="33" t="inlineStr"/>
      <c r="K1789" s="33" t="inlineStr">
        <is>
          <t>PRE</t>
        </is>
      </c>
      <c r="L1789" s="35">
        <f>IF(K1789="FIN",3,IF(OR(K1789="SEM",K1789="SEMI"),2,IF(OR(K1789="PRE",K1789="HEAT"),1,IF(V1789="YES",4,2))))</f>
        <v/>
      </c>
      <c r="M1789" s="33" t="inlineStr">
        <is>
          <t>LCM</t>
        </is>
      </c>
      <c r="N1789" s="33" t="n">
        <v>100</v>
      </c>
      <c r="O1789" s="33" t="inlineStr">
        <is>
          <t>Fly</t>
        </is>
      </c>
      <c r="P1789" s="33" t="inlineStr">
        <is>
          <t>100 Fly</t>
        </is>
      </c>
      <c r="Q1789" s="33" t="inlineStr">
        <is>
          <t>LCM_100_FLY</t>
        </is>
      </c>
      <c r="R1789" s="36" t="n">
        <v>53.75</v>
      </c>
      <c r="S1789" s="35">
        <f>IF(R1789="","",IF(R1789&gt;=60,INT(R1789/60)&amp;":"&amp;TEXT(MOD(R1789,60),"00.00"),TEXT(R1789,"0.00")))</f>
        <v/>
      </c>
      <c r="T1789" s="52">
        <f>IFERROR((G1789-INDEX('01_Swimmers'!$E$5:$E$22,MATCH(B1789,'01_Swimmers'!$A$5:$A$22,0)))/'00_Control'!$B$10,"")</f>
        <v/>
      </c>
      <c r="U1789" s="35">
        <f>IF(T1789="","",INT(T1789))</f>
        <v/>
      </c>
      <c r="V1789" s="33" t="inlineStr">
        <is>
          <t>NO</t>
        </is>
      </c>
      <c r="W1789" s="33" t="inlineStr">
        <is>
          <t>YES</t>
        </is>
      </c>
      <c r="X1789" s="33" t="inlineStr">
        <is>
          <t>NO</t>
        </is>
      </c>
      <c r="Y1789" s="33" t="n">
        <v>4</v>
      </c>
      <c r="Z1789" s="33" t="n">
        <v>6</v>
      </c>
      <c r="AA1789" s="33" t="inlineStr">
        <is>
          <t>1</t>
        </is>
      </c>
      <c r="AB1789" s="33" t="inlineStr">
        <is>
          <t>https://www.swimcloud.com/results/385018/event/20/?id=181018115#time181018115</t>
        </is>
      </c>
      <c r="AC1789" s="33" t="inlineStr">
        <is>
          <t>SwimCloud API v6 2026-10-08</t>
        </is>
      </c>
      <c r="AD1789" s="33" t="inlineStr">
        <is>
          <t>Laon Kim|2026-07-07|LCM|100|Fly|53.75|Bell Canadian Swimming Trials|PRE|False</t>
        </is>
      </c>
      <c r="AE1789" s="53">
        <f>G1789+L1789/1000+ROW()/1000000000</f>
        <v/>
      </c>
      <c r="AF1789" s="35">
        <f>IF(C1789&lt;&gt;"Grayson Coulter","",COUNTIFS($C$5:$C$2991,"Grayson Coulter",$Q$5:$Q$2991,Q1789,$AE$5:$AE$2991,"&lt;="&amp;AE1789,$R$5:$R$2991,"&lt;"&amp;R1789))</f>
        <v/>
      </c>
      <c r="AG1789" s="35">
        <f>IF(OR(C1789&lt;&gt;"Grayson Coulter",G1789&lt;'00_Control'!$B$7),"",--(AF1789&lt;5))</f>
        <v/>
      </c>
      <c r="AH1789" s="35">
        <f>IF(OR(C1789&lt;&gt;"Grayson Coulter",G1789&lt;'00_Control'!$B$7),"",--(AF1789&lt;10))</f>
        <v/>
      </c>
      <c r="AI1789" s="35">
        <f>IF(AND(C1789="Grayson Coulter",G1789&gt;='00_Control'!$B$7),"YES","NO")</f>
        <v/>
      </c>
      <c r="AJ1789" s="33" t="inlineStr">
        <is>
          <t>OK</t>
        </is>
      </c>
    </row>
    <row r="1790">
      <c r="A1790" s="33" t="inlineStr">
        <is>
          <t>SM001786</t>
        </is>
      </c>
      <c r="B1790" s="33" t="inlineStr">
        <is>
          <t>SW007</t>
        </is>
      </c>
      <c r="C1790" s="33" t="inlineStr">
        <is>
          <t>Laon Kim</t>
        </is>
      </c>
      <c r="D1790" s="33" t="inlineStr">
        <is>
          <t>SwimCloud</t>
        </is>
      </c>
      <c r="E1790" s="33" t="inlineStr">
        <is>
          <t>2829279</t>
        </is>
      </c>
      <c r="F1790" s="33" t="inlineStr">
        <is>
          <t>181018116</t>
        </is>
      </c>
      <c r="G1790" s="51" t="n">
        <v>46210</v>
      </c>
      <c r="H1790" s="33" t="inlineStr">
        <is>
          <t>Bell Canadian Swimming Trials</t>
        </is>
      </c>
      <c r="I1790" s="33" t="inlineStr">
        <is>
          <t>385018</t>
        </is>
      </c>
      <c r="J1790" s="33" t="inlineStr"/>
      <c r="K1790" s="33" t="inlineStr">
        <is>
          <t>FIN</t>
        </is>
      </c>
      <c r="L1790" s="35">
        <f>IF(K1790="FIN",3,IF(OR(K1790="SEM",K1790="SEMI"),2,IF(OR(K1790="PRE",K1790="HEAT"),1,IF(V1790="YES",4,2))))</f>
        <v/>
      </c>
      <c r="M1790" s="33" t="inlineStr">
        <is>
          <t>LCM</t>
        </is>
      </c>
      <c r="N1790" s="33" t="n">
        <v>100</v>
      </c>
      <c r="O1790" s="33" t="inlineStr">
        <is>
          <t>Fly</t>
        </is>
      </c>
      <c r="P1790" s="33" t="inlineStr">
        <is>
          <t>100 Fly</t>
        </is>
      </c>
      <c r="Q1790" s="33" t="inlineStr">
        <is>
          <t>LCM_100_FLY</t>
        </is>
      </c>
      <c r="R1790" s="36" t="n">
        <v>53.77</v>
      </c>
      <c r="S1790" s="35">
        <f>IF(R1790="","",IF(R1790&gt;=60,INT(R1790/60)&amp;":"&amp;TEXT(MOD(R1790,60),"00.00"),TEXT(R1790,"0.00")))</f>
        <v/>
      </c>
      <c r="T1790" s="52">
        <f>IFERROR((G1790-INDEX('01_Swimmers'!$E$5:$E$22,MATCH(B1790,'01_Swimmers'!$A$5:$A$22,0)))/'00_Control'!$B$10,"")</f>
        <v/>
      </c>
      <c r="U1790" s="35">
        <f>IF(T1790="","",INT(T1790))</f>
        <v/>
      </c>
      <c r="V1790" s="33" t="inlineStr">
        <is>
          <t>NO</t>
        </is>
      </c>
      <c r="W1790" s="33" t="inlineStr">
        <is>
          <t>YES</t>
        </is>
      </c>
      <c r="X1790" s="33" t="inlineStr">
        <is>
          <t>NO</t>
        </is>
      </c>
      <c r="Y1790" s="33" t="n">
        <v>1</v>
      </c>
      <c r="Z1790" s="33" t="n">
        <v>8</v>
      </c>
      <c r="AA1790" s="33" t="inlineStr">
        <is>
          <t>1</t>
        </is>
      </c>
      <c r="AB1790" s="33" t="inlineStr">
        <is>
          <t>https://www.swimcloud.com/results/385018/event/20/?id=181018116#time181018116</t>
        </is>
      </c>
      <c r="AC1790" s="33" t="inlineStr">
        <is>
          <t>SwimCloud API v6 2026-10-08</t>
        </is>
      </c>
      <c r="AD1790" s="33" t="inlineStr">
        <is>
          <t>Laon Kim|2026-07-07|LCM|100|Fly|53.77|Bell Canadian Swimming Trials|FIN|False</t>
        </is>
      </c>
      <c r="AE1790" s="53">
        <f>G1790+L1790/1000+ROW()/1000000000</f>
        <v/>
      </c>
      <c r="AF1790" s="35">
        <f>IF(C1790&lt;&gt;"Grayson Coulter","",COUNTIFS($C$5:$C$2991,"Grayson Coulter",$Q$5:$Q$2991,Q1790,$AE$5:$AE$2991,"&lt;="&amp;AE1790,$R$5:$R$2991,"&lt;"&amp;R1790))</f>
        <v/>
      </c>
      <c r="AG1790" s="35">
        <f>IF(OR(C1790&lt;&gt;"Grayson Coulter",G1790&lt;'00_Control'!$B$7),"",--(AF1790&lt;5))</f>
        <v/>
      </c>
      <c r="AH1790" s="35">
        <f>IF(OR(C1790&lt;&gt;"Grayson Coulter",G1790&lt;'00_Control'!$B$7),"",--(AF1790&lt;10))</f>
        <v/>
      </c>
      <c r="AI1790" s="35">
        <f>IF(AND(C1790="Grayson Coulter",G1790&gt;='00_Control'!$B$7),"YES","NO")</f>
        <v/>
      </c>
      <c r="AJ1790" s="33" t="inlineStr">
        <is>
          <t>OK</t>
        </is>
      </c>
    </row>
    <row r="1791">
      <c r="A1791" s="33" t="inlineStr">
        <is>
          <t>SM001787</t>
        </is>
      </c>
      <c r="B1791" s="33" t="inlineStr">
        <is>
          <t>SW007</t>
        </is>
      </c>
      <c r="C1791" s="33" t="inlineStr">
        <is>
          <t>Laon Kim</t>
        </is>
      </c>
      <c r="D1791" s="33" t="inlineStr">
        <is>
          <t>SwimCloud</t>
        </is>
      </c>
      <c r="E1791" s="33" t="inlineStr">
        <is>
          <t>2829279</t>
        </is>
      </c>
      <c r="F1791" s="33" t="inlineStr">
        <is>
          <t>183559582</t>
        </is>
      </c>
      <c r="G1791" s="51" t="n">
        <v>46227</v>
      </c>
      <c r="H1791" s="33" t="inlineStr">
        <is>
          <t>2026 Summer Provincial Championships</t>
        </is>
      </c>
      <c r="I1791" s="33" t="inlineStr">
        <is>
          <t>392172</t>
        </is>
      </c>
      <c r="J1791" s="33" t="inlineStr"/>
      <c r="K1791" s="33" t="inlineStr">
        <is>
          <t>PRE</t>
        </is>
      </c>
      <c r="L1791" s="35">
        <f>IF(K1791="FIN",3,IF(OR(K1791="SEM",K1791="SEMI"),2,IF(OR(K1791="PRE",K1791="HEAT"),1,IF(V1791="YES",4,2))))</f>
        <v/>
      </c>
      <c r="M1791" s="33" t="inlineStr">
        <is>
          <t>LCM</t>
        </is>
      </c>
      <c r="N1791" s="33" t="n">
        <v>400</v>
      </c>
      <c r="O1791" s="33" t="inlineStr">
        <is>
          <t>Free</t>
        </is>
      </c>
      <c r="P1791" s="33" t="inlineStr">
        <is>
          <t>400 Free</t>
        </is>
      </c>
      <c r="Q1791" s="33" t="inlineStr">
        <is>
          <t>LCM_400_FREE</t>
        </is>
      </c>
      <c r="R1791" s="36" t="n">
        <v>246.76</v>
      </c>
      <c r="S1791" s="35">
        <f>IF(R1791="","",IF(R1791&gt;=60,INT(R1791/60)&amp;":"&amp;TEXT(MOD(R1791,60),"00.00"),TEXT(R1791,"0.00")))</f>
        <v/>
      </c>
      <c r="T1791" s="52">
        <f>IFERROR((G1791-INDEX('01_Swimmers'!$E$5:$E$22,MATCH(B1791,'01_Swimmers'!$A$5:$A$22,0)))/'00_Control'!$B$10,"")</f>
        <v/>
      </c>
      <c r="U1791" s="35">
        <f>IF(T1791="","",INT(T1791))</f>
        <v/>
      </c>
      <c r="V1791" s="33" t="inlineStr">
        <is>
          <t>NO</t>
        </is>
      </c>
      <c r="W1791" s="33" t="inlineStr">
        <is>
          <t>YES</t>
        </is>
      </c>
      <c r="X1791" s="33" t="inlineStr">
        <is>
          <t>NO</t>
        </is>
      </c>
      <c r="Y1791" s="33" t="n">
        <v>1</v>
      </c>
      <c r="Z1791" s="33" t="n">
        <v>4</v>
      </c>
      <c r="AA1791" s="33" t="inlineStr">
        <is>
          <t>1</t>
        </is>
      </c>
      <c r="AB1791" s="33" t="inlineStr">
        <is>
          <t>https://www.swimcloud.com/results/392172/event/20/?id=183559582#time183559582</t>
        </is>
      </c>
      <c r="AC1791" s="33" t="inlineStr">
        <is>
          <t>SwimCloud API v6 2026-10-08</t>
        </is>
      </c>
      <c r="AD1791" s="33" t="inlineStr">
        <is>
          <t>Laon Kim|2026-07-24|LCM|400|Free|246.76|2026 Summer Provincial Championships|PRE|False</t>
        </is>
      </c>
      <c r="AE1791" s="53">
        <f>G1791+L1791/1000+ROW()/1000000000</f>
        <v/>
      </c>
      <c r="AF1791" s="35">
        <f>IF(C1791&lt;&gt;"Grayson Coulter","",COUNTIFS($C$5:$C$2991,"Grayson Coulter",$Q$5:$Q$2991,Q1791,$AE$5:$AE$2991,"&lt;="&amp;AE1791,$R$5:$R$2991,"&lt;"&amp;R1791))</f>
        <v/>
      </c>
      <c r="AG1791" s="35">
        <f>IF(OR(C1791&lt;&gt;"Grayson Coulter",G1791&lt;'00_Control'!$B$7),"",--(AF1791&lt;5))</f>
        <v/>
      </c>
      <c r="AH1791" s="35">
        <f>IF(OR(C1791&lt;&gt;"Grayson Coulter",G1791&lt;'00_Control'!$B$7),"",--(AF1791&lt;10))</f>
        <v/>
      </c>
      <c r="AI1791" s="35">
        <f>IF(AND(C1791="Grayson Coulter",G1791&gt;='00_Control'!$B$7),"YES","NO")</f>
        <v/>
      </c>
      <c r="AJ1791" s="33" t="inlineStr">
        <is>
          <t>OK</t>
        </is>
      </c>
    </row>
    <row r="1792">
      <c r="A1792" s="33" t="inlineStr">
        <is>
          <t>SM001788</t>
        </is>
      </c>
      <c r="B1792" s="33" t="inlineStr">
        <is>
          <t>SW007</t>
        </is>
      </c>
      <c r="C1792" s="33" t="inlineStr">
        <is>
          <t>Laon Kim</t>
        </is>
      </c>
      <c r="D1792" s="33" t="inlineStr">
        <is>
          <t>SwimCloud</t>
        </is>
      </c>
      <c r="E1792" s="33" t="inlineStr">
        <is>
          <t>2829279</t>
        </is>
      </c>
      <c r="F1792" s="33" t="inlineStr">
        <is>
          <t>184088832</t>
        </is>
      </c>
      <c r="G1792" s="51" t="n">
        <v>46246</v>
      </c>
      <c r="H1792" s="33" t="inlineStr">
        <is>
          <t>Pan Pacific Championships</t>
        </is>
      </c>
      <c r="I1792" s="33" t="inlineStr">
        <is>
          <t>377355</t>
        </is>
      </c>
      <c r="J1792" s="33" t="inlineStr"/>
      <c r="K1792" s="33" t="inlineStr">
        <is>
          <t>PRE</t>
        </is>
      </c>
      <c r="L1792" s="35">
        <f>IF(K1792="FIN",3,IF(OR(K1792="SEM",K1792="SEMI"),2,IF(OR(K1792="PRE",K1792="HEAT"),1,IF(V1792="YES",4,2))))</f>
        <v/>
      </c>
      <c r="M1792" s="33" t="inlineStr">
        <is>
          <t>LCM</t>
        </is>
      </c>
      <c r="N1792" s="33" t="n">
        <v>200</v>
      </c>
      <c r="O1792" s="33" t="inlineStr">
        <is>
          <t>Free</t>
        </is>
      </c>
      <c r="P1792" s="33" t="inlineStr">
        <is>
          <t>200 Free</t>
        </is>
      </c>
      <c r="Q1792" s="33" t="inlineStr">
        <is>
          <t>LCM_200_FREE</t>
        </is>
      </c>
      <c r="R1792" s="36" t="n">
        <v>108.81</v>
      </c>
      <c r="S1792" s="35">
        <f>IF(R1792="","",IF(R1792&gt;=60,INT(R1792/60)&amp;":"&amp;TEXT(MOD(R1792,60),"00.00"),TEXT(R1792,"0.00")))</f>
        <v/>
      </c>
      <c r="T1792" s="52">
        <f>IFERROR((G1792-INDEX('01_Swimmers'!$E$5:$E$22,MATCH(B1792,'01_Swimmers'!$A$5:$A$22,0)))/'00_Control'!$B$10,"")</f>
        <v/>
      </c>
      <c r="U1792" s="35">
        <f>IF(T1792="","",INT(T1792))</f>
        <v/>
      </c>
      <c r="V1792" s="33" t="inlineStr">
        <is>
          <t>NO</t>
        </is>
      </c>
      <c r="W1792" s="33" t="inlineStr">
        <is>
          <t>YES</t>
        </is>
      </c>
      <c r="X1792" s="33" t="inlineStr">
        <is>
          <t>NO</t>
        </is>
      </c>
      <c r="Y1792" s="33" t="n">
        <v>2</v>
      </c>
      <c r="Z1792" s="33" t="n">
        <v>5</v>
      </c>
      <c r="AA1792" s="33" t="inlineStr">
        <is>
          <t>28</t>
        </is>
      </c>
      <c r="AB1792" s="33" t="inlineStr">
        <is>
          <t>https://www.swimcloud.com/results/377355/event/4/?id=184088832#time184088832</t>
        </is>
      </c>
      <c r="AC1792" s="33" t="inlineStr">
        <is>
          <t>SwimCloud API v6 2026-10-08</t>
        </is>
      </c>
      <c r="AD1792" s="33" t="inlineStr">
        <is>
          <t>Laon Kim|2026-08-12|LCM|200|Free|108.81|Pan Pacific Championships|PRE|False</t>
        </is>
      </c>
      <c r="AE1792" s="53">
        <f>G1792+L1792/1000+ROW()/1000000000</f>
        <v/>
      </c>
      <c r="AF1792" s="35">
        <f>IF(C1792&lt;&gt;"Grayson Coulter","",COUNTIFS($C$5:$C$2991,"Grayson Coulter",$Q$5:$Q$2991,Q1792,$AE$5:$AE$2991,"&lt;="&amp;AE1792,$R$5:$R$2991,"&lt;"&amp;R1792))</f>
        <v/>
      </c>
      <c r="AG1792" s="35">
        <f>IF(OR(C1792&lt;&gt;"Grayson Coulter",G1792&lt;'00_Control'!$B$7),"",--(AF1792&lt;5))</f>
        <v/>
      </c>
      <c r="AH1792" s="35">
        <f>IF(OR(C1792&lt;&gt;"Grayson Coulter",G1792&lt;'00_Control'!$B$7),"",--(AF1792&lt;10))</f>
        <v/>
      </c>
      <c r="AI1792" s="35">
        <f>IF(AND(C1792="Grayson Coulter",G1792&gt;='00_Control'!$B$7),"YES","NO")</f>
        <v/>
      </c>
      <c r="AJ1792" s="33" t="inlineStr">
        <is>
          <t>OK</t>
        </is>
      </c>
    </row>
    <row r="1793">
      <c r="A1793" s="33" t="inlineStr">
        <is>
          <t>SM001789</t>
        </is>
      </c>
      <c r="B1793" s="33" t="inlineStr">
        <is>
          <t>SW007</t>
        </is>
      </c>
      <c r="C1793" s="33" t="inlineStr">
        <is>
          <t>Laon Kim</t>
        </is>
      </c>
      <c r="D1793" s="33" t="inlineStr">
        <is>
          <t>SwimCloud</t>
        </is>
      </c>
      <c r="E1793" s="33" t="inlineStr">
        <is>
          <t>2829279</t>
        </is>
      </c>
      <c r="F1793" s="33" t="inlineStr">
        <is>
          <t>184088831</t>
        </is>
      </c>
      <c r="G1793" s="51" t="n">
        <v>46247</v>
      </c>
      <c r="H1793" s="33" t="inlineStr">
        <is>
          <t>Pan Pacific Championships</t>
        </is>
      </c>
      <c r="I1793" s="33" t="inlineStr">
        <is>
          <t>377355</t>
        </is>
      </c>
      <c r="J1793" s="33" t="inlineStr"/>
      <c r="K1793" s="33" t="inlineStr">
        <is>
          <t>PRE</t>
        </is>
      </c>
      <c r="L1793" s="35">
        <f>IF(K1793="FIN",3,IF(OR(K1793="SEM",K1793="SEMI"),2,IF(OR(K1793="PRE",K1793="HEAT"),1,IF(V1793="YES",4,2))))</f>
        <v/>
      </c>
      <c r="M1793" s="33" t="inlineStr">
        <is>
          <t>LCM</t>
        </is>
      </c>
      <c r="N1793" s="33" t="n">
        <v>100</v>
      </c>
      <c r="O1793" s="33" t="inlineStr">
        <is>
          <t>Free</t>
        </is>
      </c>
      <c r="P1793" s="33" t="inlineStr">
        <is>
          <t>100 Free</t>
        </is>
      </c>
      <c r="Q1793" s="33" t="inlineStr">
        <is>
          <t>LCM_100_FREE</t>
        </is>
      </c>
      <c r="R1793" s="36" t="n">
        <v>49.45</v>
      </c>
      <c r="S1793" s="35">
        <f>IF(R1793="","",IF(R1793&gt;=60,INT(R1793/60)&amp;":"&amp;TEXT(MOD(R1793,60),"00.00"),TEXT(R1793,"0.00")))</f>
        <v/>
      </c>
      <c r="T1793" s="52">
        <f>IFERROR((G1793-INDEX('01_Swimmers'!$E$5:$E$22,MATCH(B1793,'01_Swimmers'!$A$5:$A$22,0)))/'00_Control'!$B$10,"")</f>
        <v/>
      </c>
      <c r="U1793" s="35">
        <f>IF(T1793="","",INT(T1793))</f>
        <v/>
      </c>
      <c r="V1793" s="33" t="inlineStr">
        <is>
          <t>NO</t>
        </is>
      </c>
      <c r="W1793" s="33" t="inlineStr">
        <is>
          <t>YES</t>
        </is>
      </c>
      <c r="X1793" s="33" t="inlineStr">
        <is>
          <t>NO</t>
        </is>
      </c>
      <c r="Y1793" s="33" t="n">
        <v>3</v>
      </c>
      <c r="Z1793" s="33" t="n">
        <v>2</v>
      </c>
      <c r="AA1793" s="33" t="inlineStr">
        <is>
          <t>25</t>
        </is>
      </c>
      <c r="AB1793" s="33" t="inlineStr">
        <is>
          <t>https://www.swimcloud.com/results/377355/event/15/?id=184088831#time184088831</t>
        </is>
      </c>
      <c r="AC1793" s="33" t="inlineStr">
        <is>
          <t>SwimCloud API v6 2026-10-08</t>
        </is>
      </c>
      <c r="AD1793" s="33" t="inlineStr">
        <is>
          <t>Laon Kim|2026-08-13|LCM|100|Free|49.45|Pan Pacific Championships|PRE|False</t>
        </is>
      </c>
      <c r="AE1793" s="53">
        <f>G1793+L1793/1000+ROW()/1000000000</f>
        <v/>
      </c>
      <c r="AF1793" s="35">
        <f>IF(C1793&lt;&gt;"Grayson Coulter","",COUNTIFS($C$5:$C$2991,"Grayson Coulter",$Q$5:$Q$2991,Q1793,$AE$5:$AE$2991,"&lt;="&amp;AE1793,$R$5:$R$2991,"&lt;"&amp;R1793))</f>
        <v/>
      </c>
      <c r="AG1793" s="35">
        <f>IF(OR(C1793&lt;&gt;"Grayson Coulter",G1793&lt;'00_Control'!$B$7),"",--(AF1793&lt;5))</f>
        <v/>
      </c>
      <c r="AH1793" s="35">
        <f>IF(OR(C1793&lt;&gt;"Grayson Coulter",G1793&lt;'00_Control'!$B$7),"",--(AF1793&lt;10))</f>
        <v/>
      </c>
      <c r="AI1793" s="35">
        <f>IF(AND(C1793="Grayson Coulter",G1793&gt;='00_Control'!$B$7),"YES","NO")</f>
        <v/>
      </c>
      <c r="AJ1793" s="33" t="inlineStr">
        <is>
          <t>OK</t>
        </is>
      </c>
    </row>
    <row r="1794">
      <c r="A1794" s="33" t="inlineStr">
        <is>
          <t>SM001790</t>
        </is>
      </c>
      <c r="B1794" s="33" t="inlineStr">
        <is>
          <t>SW007</t>
        </is>
      </c>
      <c r="C1794" s="33" t="inlineStr">
        <is>
          <t>Laon Kim</t>
        </is>
      </c>
      <c r="D1794" s="33" t="inlineStr">
        <is>
          <t>SwimCloud</t>
        </is>
      </c>
      <c r="E1794" s="33" t="inlineStr">
        <is>
          <t>2829279</t>
        </is>
      </c>
      <c r="F1794" s="33" t="inlineStr">
        <is>
          <t>184090146</t>
        </is>
      </c>
      <c r="G1794" s="51" t="n">
        <v>46247</v>
      </c>
      <c r="H1794" s="33" t="inlineStr">
        <is>
          <t>Pan Pacific Championships</t>
        </is>
      </c>
      <c r="I1794" s="33" t="inlineStr">
        <is>
          <t>377355</t>
        </is>
      </c>
      <c r="J1794" s="33" t="inlineStr"/>
      <c r="K1794" s="33" t="inlineStr">
        <is>
          <t>TIM</t>
        </is>
      </c>
      <c r="L1794" s="35">
        <f>IF(K1794="FIN",3,IF(OR(K1794="SEM",K1794="SEMI"),2,IF(OR(K1794="PRE",K1794="HEAT"),1,IF(V1794="YES",4,2))))</f>
        <v/>
      </c>
      <c r="M1794" s="33" t="inlineStr">
        <is>
          <t>LCM</t>
        </is>
      </c>
      <c r="N1794" s="33" t="n">
        <v>200</v>
      </c>
      <c r="O1794" s="33" t="inlineStr">
        <is>
          <t>Free</t>
        </is>
      </c>
      <c r="P1794" s="33" t="inlineStr">
        <is>
          <t>200 Free</t>
        </is>
      </c>
      <c r="Q1794" s="33" t="inlineStr">
        <is>
          <t>LCM_200_FREE</t>
        </is>
      </c>
      <c r="R1794" s="36" t="n">
        <v>108.26</v>
      </c>
      <c r="S1794" s="35">
        <f>IF(R1794="","",IF(R1794&gt;=60,INT(R1794/60)&amp;":"&amp;TEXT(MOD(R1794,60),"00.00"),TEXT(R1794,"0.00")))</f>
        <v/>
      </c>
      <c r="T1794" s="52">
        <f>IFERROR((G1794-INDEX('01_Swimmers'!$E$5:$E$22,MATCH(B1794,'01_Swimmers'!$A$5:$A$22,0)))/'00_Control'!$B$10,"")</f>
        <v/>
      </c>
      <c r="U1794" s="35">
        <f>IF(T1794="","",INT(T1794))</f>
        <v/>
      </c>
      <c r="V1794" s="33" t="inlineStr">
        <is>
          <t>YES</t>
        </is>
      </c>
      <c r="W1794" s="33" t="inlineStr">
        <is>
          <t>YES</t>
        </is>
      </c>
      <c r="X1794" s="33" t="inlineStr">
        <is>
          <t>NO</t>
        </is>
      </c>
      <c r="Y1794" s="33" t="n">
        <v>1</v>
      </c>
      <c r="Z1794" s="33" t="n">
        <v>8</v>
      </c>
      <c r="AA1794" s="33" t="inlineStr"/>
      <c r="AB1794" s="33" t="inlineStr">
        <is>
          <t>https://www.swimcloud.com/results/377355/event/21/?id=184089064#time184089064</t>
        </is>
      </c>
      <c r="AC1794" s="33" t="inlineStr">
        <is>
          <t>SwimCloud API v6 2026-10-08</t>
        </is>
      </c>
      <c r="AD1794" s="33" t="inlineStr">
        <is>
          <t>Laon Kim|2026-08-13|LCM|200|Free|108.26|Pan Pacific Championships|TIM|True</t>
        </is>
      </c>
      <c r="AE1794" s="53">
        <f>G1794+L1794/1000+ROW()/1000000000</f>
        <v/>
      </c>
      <c r="AF1794" s="35">
        <f>IF(C1794&lt;&gt;"Grayson Coulter","",COUNTIFS($C$5:$C$2991,"Grayson Coulter",$Q$5:$Q$2991,Q1794,$AE$5:$AE$2991,"&lt;="&amp;AE1794,$R$5:$R$2991,"&lt;"&amp;R1794))</f>
        <v/>
      </c>
      <c r="AG1794" s="35">
        <f>IF(OR(C1794&lt;&gt;"Grayson Coulter",G1794&lt;'00_Control'!$B$7),"",--(AF1794&lt;5))</f>
        <v/>
      </c>
      <c r="AH1794" s="35">
        <f>IF(OR(C1794&lt;&gt;"Grayson Coulter",G1794&lt;'00_Control'!$B$7),"",--(AF1794&lt;10))</f>
        <v/>
      </c>
      <c r="AI1794" s="35">
        <f>IF(AND(C1794="Grayson Coulter",G1794&gt;='00_Control'!$B$7),"YES","NO")</f>
        <v/>
      </c>
      <c r="AJ1794" s="33" t="inlineStr">
        <is>
          <t>OK</t>
        </is>
      </c>
    </row>
    <row r="1795">
      <c r="A1795" s="33" t="inlineStr">
        <is>
          <t>SM001791</t>
        </is>
      </c>
      <c r="B1795" s="33" t="inlineStr">
        <is>
          <t>SW007</t>
        </is>
      </c>
      <c r="C1795" s="33" t="inlineStr">
        <is>
          <t>Laon Kim</t>
        </is>
      </c>
      <c r="D1795" s="33" t="inlineStr">
        <is>
          <t>SwimCloud</t>
        </is>
      </c>
      <c r="E1795" s="33" t="inlineStr">
        <is>
          <t>2829279</t>
        </is>
      </c>
      <c r="F1795" s="33" t="inlineStr">
        <is>
          <t>184088830</t>
        </is>
      </c>
      <c r="G1795" s="51" t="n">
        <v>46248</v>
      </c>
      <c r="H1795" s="33" t="inlineStr">
        <is>
          <t>Pan Pacific Championships</t>
        </is>
      </c>
      <c r="I1795" s="33" t="inlineStr">
        <is>
          <t>377355</t>
        </is>
      </c>
      <c r="J1795" s="33" t="inlineStr"/>
      <c r="K1795" s="33" t="inlineStr">
        <is>
          <t>PRE</t>
        </is>
      </c>
      <c r="L1795" s="35">
        <f>IF(K1795="FIN",3,IF(OR(K1795="SEM",K1795="SEMI"),2,IF(OR(K1795="PRE",K1795="HEAT"),1,IF(V1795="YES",4,2))))</f>
        <v/>
      </c>
      <c r="M1795" s="33" t="inlineStr">
        <is>
          <t>LCM</t>
        </is>
      </c>
      <c r="N1795" s="33" t="n">
        <v>100</v>
      </c>
      <c r="O1795" s="33" t="inlineStr">
        <is>
          <t>Fly</t>
        </is>
      </c>
      <c r="P1795" s="33" t="inlineStr">
        <is>
          <t>100 Fly</t>
        </is>
      </c>
      <c r="Q1795" s="33" t="inlineStr">
        <is>
          <t>LCM_100_FLY</t>
        </is>
      </c>
      <c r="R1795" s="36" t="n">
        <v>54.29</v>
      </c>
      <c r="S1795" s="35">
        <f>IF(R1795="","",IF(R1795&gt;=60,INT(R1795/60)&amp;":"&amp;TEXT(MOD(R1795,60),"00.00"),TEXT(R1795,"0.00")))</f>
        <v/>
      </c>
      <c r="T1795" s="52">
        <f>IFERROR((G1795-INDEX('01_Swimmers'!$E$5:$E$22,MATCH(B1795,'01_Swimmers'!$A$5:$A$22,0)))/'00_Control'!$B$10,"")</f>
        <v/>
      </c>
      <c r="U1795" s="35">
        <f>IF(T1795="","",INT(T1795))</f>
        <v/>
      </c>
      <c r="V1795" s="33" t="inlineStr">
        <is>
          <t>NO</t>
        </is>
      </c>
      <c r="W1795" s="33" t="inlineStr">
        <is>
          <t>YES</t>
        </is>
      </c>
      <c r="X1795" s="33" t="inlineStr">
        <is>
          <t>NO</t>
        </is>
      </c>
      <c r="Y1795" s="33" t="n">
        <v>2</v>
      </c>
      <c r="Z1795" s="33" t="n">
        <v>7</v>
      </c>
      <c r="AA1795" s="33" t="inlineStr">
        <is>
          <t>18</t>
        </is>
      </c>
      <c r="AB1795" s="33" t="inlineStr">
        <is>
          <t>https://www.swimcloud.com/results/377355/event/25/?id=184088830#time184088830</t>
        </is>
      </c>
      <c r="AC1795" s="33" t="inlineStr">
        <is>
          <t>SwimCloud API v6 2026-10-08</t>
        </is>
      </c>
      <c r="AD1795" s="33" t="inlineStr">
        <is>
          <t>Laon Kim|2026-08-14|LCM|100|Fly|54.29|Pan Pacific Championships|PRE|False</t>
        </is>
      </c>
      <c r="AE1795" s="53">
        <f>G1795+L1795/1000+ROW()/1000000000</f>
        <v/>
      </c>
      <c r="AF1795" s="35">
        <f>IF(C1795&lt;&gt;"Grayson Coulter","",COUNTIFS($C$5:$C$2991,"Grayson Coulter",$Q$5:$Q$2991,Q1795,$AE$5:$AE$2991,"&lt;="&amp;AE1795,$R$5:$R$2991,"&lt;"&amp;R1795))</f>
        <v/>
      </c>
      <c r="AG1795" s="35">
        <f>IF(OR(C1795&lt;&gt;"Grayson Coulter",G1795&lt;'00_Control'!$B$7),"",--(AF1795&lt;5))</f>
        <v/>
      </c>
      <c r="AH1795" s="35">
        <f>IF(OR(C1795&lt;&gt;"Grayson Coulter",G1795&lt;'00_Control'!$B$7),"",--(AF1795&lt;10))</f>
        <v/>
      </c>
      <c r="AI1795" s="35">
        <f>IF(AND(C1795="Grayson Coulter",G1795&gt;='00_Control'!$B$7),"YES","NO")</f>
        <v/>
      </c>
      <c r="AJ1795" s="33" t="inlineStr">
        <is>
          <t>OK</t>
        </is>
      </c>
    </row>
    <row r="1796">
      <c r="A1796" s="33" t="inlineStr">
        <is>
          <t>SM001792</t>
        </is>
      </c>
      <c r="B1796" s="33" t="inlineStr">
        <is>
          <t>SW013</t>
        </is>
      </c>
      <c r="C1796" s="33" t="inlineStr">
        <is>
          <t>Lewis Clareburt</t>
        </is>
      </c>
      <c r="D1796" s="33" t="inlineStr">
        <is>
          <t>SwimCloud</t>
        </is>
      </c>
      <c r="E1796" s="33" t="inlineStr">
        <is>
          <t>3464011</t>
        </is>
      </c>
      <c r="F1796" s="33" t="inlineStr">
        <is>
          <t>13998284</t>
        </is>
      </c>
      <c r="G1796" s="51" t="n">
        <v>42777</v>
      </c>
      <c r="H1796" s="33" t="inlineStr">
        <is>
          <t>2017 Zonal Championships</t>
        </is>
      </c>
      <c r="I1796" s="33" t="inlineStr">
        <is>
          <t>102634</t>
        </is>
      </c>
      <c r="J1796" s="33" t="inlineStr"/>
      <c r="K1796" s="33" t="inlineStr">
        <is>
          <t>TIM</t>
        </is>
      </c>
      <c r="L1796" s="35">
        <f>IF(K1796="FIN",3,IF(OR(K1796="SEM",K1796="SEMI"),2,IF(OR(K1796="PRE",K1796="HEAT"),1,IF(V1796="YES",4,2))))</f>
        <v/>
      </c>
      <c r="M1796" s="33" t="inlineStr">
        <is>
          <t>LCM</t>
        </is>
      </c>
      <c r="N1796" s="33" t="n">
        <v>400</v>
      </c>
      <c r="O1796" s="33" t="inlineStr">
        <is>
          <t>Free</t>
        </is>
      </c>
      <c r="P1796" s="33" t="inlineStr">
        <is>
          <t>400 Free</t>
        </is>
      </c>
      <c r="Q1796" s="33" t="inlineStr">
        <is>
          <t>LCM_400_FREE</t>
        </is>
      </c>
      <c r="R1796" s="36" t="n">
        <v>239.22</v>
      </c>
      <c r="S1796" s="35">
        <f>IF(R1796="","",IF(R1796&gt;=60,INT(R1796/60)&amp;":"&amp;TEXT(MOD(R1796,60),"00.00"),TEXT(R1796,"0.00")))</f>
        <v/>
      </c>
      <c r="T1796" s="52">
        <f>IFERROR((G1796-INDEX('01_Swimmers'!$E$5:$E$22,MATCH(B1796,'01_Swimmers'!$A$5:$A$22,0)))/'00_Control'!$B$10,"")</f>
        <v/>
      </c>
      <c r="U1796" s="35">
        <f>IF(T1796="","",INT(T1796))</f>
        <v/>
      </c>
      <c r="V1796" s="33" t="inlineStr">
        <is>
          <t>NO</t>
        </is>
      </c>
      <c r="W1796" s="33" t="inlineStr">
        <is>
          <t>YES</t>
        </is>
      </c>
      <c r="X1796" s="33" t="inlineStr">
        <is>
          <t>NO</t>
        </is>
      </c>
      <c r="Y1796" s="33" t="n">
        <v>1</v>
      </c>
      <c r="Z1796" s="33" t="n">
        <v>4</v>
      </c>
      <c r="AA1796" s="33" t="inlineStr">
        <is>
          <t>1</t>
        </is>
      </c>
      <c r="AB1796" s="33" t="inlineStr">
        <is>
          <t>https://www.swimcloud.com/results/102634/event/26/?id=13998284#time13998284</t>
        </is>
      </c>
      <c r="AC1796" s="33" t="inlineStr">
        <is>
          <t>SwimCloud API v6 2026-10-08</t>
        </is>
      </c>
      <c r="AD1796" s="33" t="inlineStr">
        <is>
          <t>Lewis Clareburt|2017-02-11|LCM|400|Free|239.22|2017 Zonal Championships|TIM|False</t>
        </is>
      </c>
      <c r="AE1796" s="53">
        <f>G1796+L1796/1000+ROW()/1000000000</f>
        <v/>
      </c>
      <c r="AF1796" s="35">
        <f>IF(C1796&lt;&gt;"Grayson Coulter","",COUNTIFS($C$5:$C$2991,"Grayson Coulter",$Q$5:$Q$2991,Q1796,$AE$5:$AE$2991,"&lt;="&amp;AE1796,$R$5:$R$2991,"&lt;"&amp;R1796))</f>
        <v/>
      </c>
      <c r="AG1796" s="35">
        <f>IF(OR(C1796&lt;&gt;"Grayson Coulter",G1796&lt;'00_Control'!$B$7),"",--(AF1796&lt;5))</f>
        <v/>
      </c>
      <c r="AH1796" s="35">
        <f>IF(OR(C1796&lt;&gt;"Grayson Coulter",G1796&lt;'00_Control'!$B$7),"",--(AF1796&lt;10))</f>
        <v/>
      </c>
      <c r="AI1796" s="35">
        <f>IF(AND(C1796="Grayson Coulter",G1796&gt;='00_Control'!$B$7),"YES","NO")</f>
        <v/>
      </c>
      <c r="AJ1796" s="33" t="inlineStr">
        <is>
          <t>OK</t>
        </is>
      </c>
    </row>
    <row r="1797">
      <c r="A1797" s="33" t="inlineStr">
        <is>
          <t>SM001793</t>
        </is>
      </c>
      <c r="B1797" s="33" t="inlineStr">
        <is>
          <t>SW013</t>
        </is>
      </c>
      <c r="C1797" s="33" t="inlineStr">
        <is>
          <t>Lewis Clareburt</t>
        </is>
      </c>
      <c r="D1797" s="33" t="inlineStr">
        <is>
          <t>SwimCloud</t>
        </is>
      </c>
      <c r="E1797" s="33" t="inlineStr">
        <is>
          <t>3464011</t>
        </is>
      </c>
      <c r="F1797" s="33" t="inlineStr">
        <is>
          <t>14010212</t>
        </is>
      </c>
      <c r="G1797" s="51" t="n">
        <v>42815</v>
      </c>
      <c r="H1797" s="33" t="inlineStr">
        <is>
          <t>2017 NZ Age Group Championship</t>
        </is>
      </c>
      <c r="I1797" s="33" t="inlineStr">
        <is>
          <t>102638</t>
        </is>
      </c>
      <c r="J1797" s="33" t="inlineStr"/>
      <c r="K1797" s="33" t="inlineStr">
        <is>
          <t>PRE</t>
        </is>
      </c>
      <c r="L1797" s="35">
        <f>IF(K1797="FIN",3,IF(OR(K1797="SEM",K1797="SEMI"),2,IF(OR(K1797="PRE",K1797="HEAT"),1,IF(V1797="YES",4,2))))</f>
        <v/>
      </c>
      <c r="M1797" s="33" t="inlineStr">
        <is>
          <t>LCM</t>
        </is>
      </c>
      <c r="N1797" s="33" t="n">
        <v>400</v>
      </c>
      <c r="O1797" s="33" t="inlineStr">
        <is>
          <t>Free</t>
        </is>
      </c>
      <c r="P1797" s="33" t="inlineStr">
        <is>
          <t>400 Free</t>
        </is>
      </c>
      <c r="Q1797" s="33" t="inlineStr">
        <is>
          <t>LCM_400_FREE</t>
        </is>
      </c>
      <c r="R1797" s="36" t="n">
        <v>240.5</v>
      </c>
      <c r="S1797" s="35">
        <f>IF(R1797="","",IF(R1797&gt;=60,INT(R1797/60)&amp;":"&amp;TEXT(MOD(R1797,60),"00.00"),TEXT(R1797,"0.00")))</f>
        <v/>
      </c>
      <c r="T1797" s="52">
        <f>IFERROR((G1797-INDEX('01_Swimmers'!$E$5:$E$22,MATCH(B1797,'01_Swimmers'!$A$5:$A$22,0)))/'00_Control'!$B$10,"")</f>
        <v/>
      </c>
      <c r="U1797" s="35">
        <f>IF(T1797="","",INT(T1797))</f>
        <v/>
      </c>
      <c r="V1797" s="33" t="inlineStr">
        <is>
          <t>NO</t>
        </is>
      </c>
      <c r="W1797" s="33" t="inlineStr">
        <is>
          <t>YES</t>
        </is>
      </c>
      <c r="X1797" s="33" t="inlineStr">
        <is>
          <t>NO</t>
        </is>
      </c>
      <c r="Y1797" s="33" t="n">
        <v>11</v>
      </c>
      <c r="Z1797" s="33" t="n">
        <v>4</v>
      </c>
      <c r="AA1797" s="33" t="inlineStr">
        <is>
          <t>2</t>
        </is>
      </c>
      <c r="AB1797" s="33" t="inlineStr">
        <is>
          <t>https://www.swimcloud.com/results/102638/event/2/?id=14010212#time14010212</t>
        </is>
      </c>
      <c r="AC1797" s="33" t="inlineStr">
        <is>
          <t>SwimCloud API v6 2026-10-08</t>
        </is>
      </c>
      <c r="AD1797" s="33" t="inlineStr">
        <is>
          <t>Lewis Clareburt|2017-03-21|LCM|400|Free|240.5|2017 NZ Age Group Championship|PRE|False</t>
        </is>
      </c>
      <c r="AE1797" s="53">
        <f>G1797+L1797/1000+ROW()/1000000000</f>
        <v/>
      </c>
      <c r="AF1797" s="35">
        <f>IF(C1797&lt;&gt;"Grayson Coulter","",COUNTIFS($C$5:$C$2991,"Grayson Coulter",$Q$5:$Q$2991,Q1797,$AE$5:$AE$2991,"&lt;="&amp;AE1797,$R$5:$R$2991,"&lt;"&amp;R1797))</f>
        <v/>
      </c>
      <c r="AG1797" s="35">
        <f>IF(OR(C1797&lt;&gt;"Grayson Coulter",G1797&lt;'00_Control'!$B$7),"",--(AF1797&lt;5))</f>
        <v/>
      </c>
      <c r="AH1797" s="35">
        <f>IF(OR(C1797&lt;&gt;"Grayson Coulter",G1797&lt;'00_Control'!$B$7),"",--(AF1797&lt;10))</f>
        <v/>
      </c>
      <c r="AI1797" s="35">
        <f>IF(AND(C1797="Grayson Coulter",G1797&gt;='00_Control'!$B$7),"YES","NO")</f>
        <v/>
      </c>
      <c r="AJ1797" s="33" t="inlineStr">
        <is>
          <t>OK</t>
        </is>
      </c>
    </row>
    <row r="1798">
      <c r="A1798" s="33" t="inlineStr">
        <is>
          <t>SM001794</t>
        </is>
      </c>
      <c r="B1798" s="33" t="inlineStr">
        <is>
          <t>SW013</t>
        </is>
      </c>
      <c r="C1798" s="33" t="inlineStr">
        <is>
          <t>Lewis Clareburt</t>
        </is>
      </c>
      <c r="D1798" s="33" t="inlineStr">
        <is>
          <t>SwimCloud</t>
        </is>
      </c>
      <c r="E1798" s="33" t="inlineStr">
        <is>
          <t>3464011</t>
        </is>
      </c>
      <c r="F1798" s="33" t="inlineStr">
        <is>
          <t>14010251</t>
        </is>
      </c>
      <c r="G1798" s="51" t="n">
        <v>42815</v>
      </c>
      <c r="H1798" s="33" t="inlineStr">
        <is>
          <t>2017 NZ Age Group Championship</t>
        </is>
      </c>
      <c r="I1798" s="33" t="inlineStr">
        <is>
          <t>102638</t>
        </is>
      </c>
      <c r="J1798" s="33" t="inlineStr"/>
      <c r="K1798" s="33" t="inlineStr">
        <is>
          <t>FIN</t>
        </is>
      </c>
      <c r="L1798" s="35">
        <f>IF(K1798="FIN",3,IF(OR(K1798="SEM",K1798="SEMI"),2,IF(OR(K1798="PRE",K1798="HEAT"),1,IF(V1798="YES",4,2))))</f>
        <v/>
      </c>
      <c r="M1798" s="33" t="inlineStr">
        <is>
          <t>LCM</t>
        </is>
      </c>
      <c r="N1798" s="33" t="n">
        <v>400</v>
      </c>
      <c r="O1798" s="33" t="inlineStr">
        <is>
          <t>Free</t>
        </is>
      </c>
      <c r="P1798" s="33" t="inlineStr">
        <is>
          <t>400 Free</t>
        </is>
      </c>
      <c r="Q1798" s="33" t="inlineStr">
        <is>
          <t>LCM_400_FREE</t>
        </is>
      </c>
      <c r="R1798" s="36" t="n">
        <v>236.59</v>
      </c>
      <c r="S1798" s="35">
        <f>IF(R1798="","",IF(R1798&gt;=60,INT(R1798/60)&amp;":"&amp;TEXT(MOD(R1798,60),"00.00"),TEXT(R1798,"0.00")))</f>
        <v/>
      </c>
      <c r="T1798" s="52">
        <f>IFERROR((G1798-INDEX('01_Swimmers'!$E$5:$E$22,MATCH(B1798,'01_Swimmers'!$A$5:$A$22,0)))/'00_Control'!$B$10,"")</f>
        <v/>
      </c>
      <c r="U1798" s="35">
        <f>IF(T1798="","",INT(T1798))</f>
        <v/>
      </c>
      <c r="V1798" s="33" t="inlineStr">
        <is>
          <t>NO</t>
        </is>
      </c>
      <c r="W1798" s="33" t="inlineStr">
        <is>
          <t>YES</t>
        </is>
      </c>
      <c r="X1798" s="33" t="inlineStr">
        <is>
          <t>NO</t>
        </is>
      </c>
      <c r="Y1798" s="33" t="n">
        <v>4</v>
      </c>
      <c r="Z1798" s="33" t="n">
        <v>5</v>
      </c>
      <c r="AA1798" s="33" t="inlineStr">
        <is>
          <t>1</t>
        </is>
      </c>
      <c r="AB1798" s="33" t="inlineStr">
        <is>
          <t>https://www.swimcloud.com/results/102638/event/2/?id=14010251#time14010251</t>
        </is>
      </c>
      <c r="AC1798" s="33" t="inlineStr">
        <is>
          <t>SwimCloud API v6 2026-10-08</t>
        </is>
      </c>
      <c r="AD1798" s="33" t="inlineStr">
        <is>
          <t>Lewis Clareburt|2017-03-21|LCM|400|Free|236.59|2017 NZ Age Group Championship|FIN|False</t>
        </is>
      </c>
      <c r="AE1798" s="53">
        <f>G1798+L1798/1000+ROW()/1000000000</f>
        <v/>
      </c>
      <c r="AF1798" s="35">
        <f>IF(C1798&lt;&gt;"Grayson Coulter","",COUNTIFS($C$5:$C$2991,"Grayson Coulter",$Q$5:$Q$2991,Q1798,$AE$5:$AE$2991,"&lt;="&amp;AE1798,$R$5:$R$2991,"&lt;"&amp;R1798))</f>
        <v/>
      </c>
      <c r="AG1798" s="35">
        <f>IF(OR(C1798&lt;&gt;"Grayson Coulter",G1798&lt;'00_Control'!$B$7),"",--(AF1798&lt;5))</f>
        <v/>
      </c>
      <c r="AH1798" s="35">
        <f>IF(OR(C1798&lt;&gt;"Grayson Coulter",G1798&lt;'00_Control'!$B$7),"",--(AF1798&lt;10))</f>
        <v/>
      </c>
      <c r="AI1798" s="35">
        <f>IF(AND(C1798="Grayson Coulter",G1798&gt;='00_Control'!$B$7),"YES","NO")</f>
        <v/>
      </c>
      <c r="AJ1798" s="33" t="inlineStr">
        <is>
          <t>OK</t>
        </is>
      </c>
    </row>
    <row r="1799">
      <c r="A1799" s="33" t="inlineStr">
        <is>
          <t>SM001795</t>
        </is>
      </c>
      <c r="B1799" s="33" t="inlineStr">
        <is>
          <t>SW013</t>
        </is>
      </c>
      <c r="C1799" s="33" t="inlineStr">
        <is>
          <t>Lewis Clareburt</t>
        </is>
      </c>
      <c r="D1799" s="33" t="inlineStr">
        <is>
          <t>SwimCloud</t>
        </is>
      </c>
      <c r="E1799" s="33" t="inlineStr">
        <is>
          <t>3464011</t>
        </is>
      </c>
      <c r="F1799" s="33" t="inlineStr">
        <is>
          <t>14007386</t>
        </is>
      </c>
      <c r="G1799" s="51" t="n">
        <v>42817</v>
      </c>
      <c r="H1799" s="33" t="inlineStr">
        <is>
          <t>2017 NZ Age Group Championship</t>
        </is>
      </c>
      <c r="I1799" s="33" t="inlineStr">
        <is>
          <t>102638</t>
        </is>
      </c>
      <c r="J1799" s="33" t="inlineStr"/>
      <c r="K1799" s="33" t="inlineStr">
        <is>
          <t>PRE</t>
        </is>
      </c>
      <c r="L1799" s="35">
        <f>IF(K1799="FIN",3,IF(OR(K1799="SEM",K1799="SEMI"),2,IF(OR(K1799="PRE",K1799="HEAT"),1,IF(V1799="YES",4,2))))</f>
        <v/>
      </c>
      <c r="M1799" s="33" t="inlineStr">
        <is>
          <t>LCM</t>
        </is>
      </c>
      <c r="N1799" s="33" t="n">
        <v>200</v>
      </c>
      <c r="O1799" s="33" t="inlineStr">
        <is>
          <t>Free</t>
        </is>
      </c>
      <c r="P1799" s="33" t="inlineStr">
        <is>
          <t>200 Free</t>
        </is>
      </c>
      <c r="Q1799" s="33" t="inlineStr">
        <is>
          <t>LCM_200_FREE</t>
        </is>
      </c>
      <c r="R1799" s="36" t="n">
        <v>115.24</v>
      </c>
      <c r="S1799" s="35">
        <f>IF(R1799="","",IF(R1799&gt;=60,INT(R1799/60)&amp;":"&amp;TEXT(MOD(R1799,60),"00.00"),TEXT(R1799,"0.00")))</f>
        <v/>
      </c>
      <c r="T1799" s="52">
        <f>IFERROR((G1799-INDEX('01_Swimmers'!$E$5:$E$22,MATCH(B1799,'01_Swimmers'!$A$5:$A$22,0)))/'00_Control'!$B$10,"")</f>
        <v/>
      </c>
      <c r="U1799" s="35">
        <f>IF(T1799="","",INT(T1799))</f>
        <v/>
      </c>
      <c r="V1799" s="33" t="inlineStr">
        <is>
          <t>NO</t>
        </is>
      </c>
      <c r="W1799" s="33" t="inlineStr">
        <is>
          <t>YES</t>
        </is>
      </c>
      <c r="X1799" s="33" t="inlineStr">
        <is>
          <t>NO</t>
        </is>
      </c>
      <c r="Y1799" s="33" t="n">
        <v>12</v>
      </c>
      <c r="Z1799" s="33" t="n">
        <v>4</v>
      </c>
      <c r="AA1799" s="33" t="inlineStr">
        <is>
          <t>2</t>
        </is>
      </c>
      <c r="AB1799" s="33" t="inlineStr">
        <is>
          <t>https://www.swimcloud.com/results/102638/event/24/?id=14007386#time14007386</t>
        </is>
      </c>
      <c r="AC1799" s="33" t="inlineStr">
        <is>
          <t>SwimCloud API v6 2026-10-08</t>
        </is>
      </c>
      <c r="AD1799" s="33" t="inlineStr">
        <is>
          <t>Lewis Clareburt|2017-03-23|LCM|200|Free|115.24|2017 NZ Age Group Championship|PRE|False</t>
        </is>
      </c>
      <c r="AE1799" s="53">
        <f>G1799+L1799/1000+ROW()/1000000000</f>
        <v/>
      </c>
      <c r="AF1799" s="35">
        <f>IF(C1799&lt;&gt;"Grayson Coulter","",COUNTIFS($C$5:$C$2991,"Grayson Coulter",$Q$5:$Q$2991,Q1799,$AE$5:$AE$2991,"&lt;="&amp;AE1799,$R$5:$R$2991,"&lt;"&amp;R1799))</f>
        <v/>
      </c>
      <c r="AG1799" s="35">
        <f>IF(OR(C1799&lt;&gt;"Grayson Coulter",G1799&lt;'00_Control'!$B$7),"",--(AF1799&lt;5))</f>
        <v/>
      </c>
      <c r="AH1799" s="35">
        <f>IF(OR(C1799&lt;&gt;"Grayson Coulter",G1799&lt;'00_Control'!$B$7),"",--(AF1799&lt;10))</f>
        <v/>
      </c>
      <c r="AI1799" s="35">
        <f>IF(AND(C1799="Grayson Coulter",G1799&gt;='00_Control'!$B$7),"YES","NO")</f>
        <v/>
      </c>
      <c r="AJ1799" s="33" t="inlineStr">
        <is>
          <t>OK</t>
        </is>
      </c>
    </row>
    <row r="1800">
      <c r="A1800" s="33" t="inlineStr">
        <is>
          <t>SM001796</t>
        </is>
      </c>
      <c r="B1800" s="33" t="inlineStr">
        <is>
          <t>SW013</t>
        </is>
      </c>
      <c r="C1800" s="33" t="inlineStr">
        <is>
          <t>Lewis Clareburt</t>
        </is>
      </c>
      <c r="D1800" s="33" t="inlineStr">
        <is>
          <t>SwimCloud</t>
        </is>
      </c>
      <c r="E1800" s="33" t="inlineStr">
        <is>
          <t>3464011</t>
        </is>
      </c>
      <c r="F1800" s="33" t="inlineStr">
        <is>
          <t>14007432</t>
        </is>
      </c>
      <c r="G1800" s="51" t="n">
        <v>42817</v>
      </c>
      <c r="H1800" s="33" t="inlineStr">
        <is>
          <t>2017 NZ Age Group Championship</t>
        </is>
      </c>
      <c r="I1800" s="33" t="inlineStr">
        <is>
          <t>102638</t>
        </is>
      </c>
      <c r="J1800" s="33" t="inlineStr"/>
      <c r="K1800" s="33" t="inlineStr">
        <is>
          <t>FIN</t>
        </is>
      </c>
      <c r="L1800" s="35">
        <f>IF(K1800="FIN",3,IF(OR(K1800="SEM",K1800="SEMI"),2,IF(OR(K1800="PRE",K1800="HEAT"),1,IF(V1800="YES",4,2))))</f>
        <v/>
      </c>
      <c r="M1800" s="33" t="inlineStr">
        <is>
          <t>LCM</t>
        </is>
      </c>
      <c r="N1800" s="33" t="n">
        <v>200</v>
      </c>
      <c r="O1800" s="33" t="inlineStr">
        <is>
          <t>Free</t>
        </is>
      </c>
      <c r="P1800" s="33" t="inlineStr">
        <is>
          <t>200 Free</t>
        </is>
      </c>
      <c r="Q1800" s="33" t="inlineStr">
        <is>
          <t>LCM_200_FREE</t>
        </is>
      </c>
      <c r="R1800" s="36" t="n">
        <v>111.7</v>
      </c>
      <c r="S1800" s="35">
        <f>IF(R1800="","",IF(R1800&gt;=60,INT(R1800/60)&amp;":"&amp;TEXT(MOD(R1800,60),"00.00"),TEXT(R1800,"0.00")))</f>
        <v/>
      </c>
      <c r="T1800" s="52">
        <f>IFERROR((G1800-INDEX('01_Swimmers'!$E$5:$E$22,MATCH(B1800,'01_Swimmers'!$A$5:$A$22,0)))/'00_Control'!$B$10,"")</f>
        <v/>
      </c>
      <c r="U1800" s="35">
        <f>IF(T1800="","",INT(T1800))</f>
        <v/>
      </c>
      <c r="V1800" s="33" t="inlineStr">
        <is>
          <t>NO</t>
        </is>
      </c>
      <c r="W1800" s="33" t="inlineStr">
        <is>
          <t>YES</t>
        </is>
      </c>
      <c r="X1800" s="33" t="inlineStr">
        <is>
          <t>NO</t>
        </is>
      </c>
      <c r="Y1800" s="33" t="n">
        <v>4</v>
      </c>
      <c r="Z1800" s="33" t="n">
        <v>5</v>
      </c>
      <c r="AA1800" s="33" t="inlineStr">
        <is>
          <t>1</t>
        </is>
      </c>
      <c r="AB1800" s="33" t="inlineStr">
        <is>
          <t>https://www.swimcloud.com/results/102638/event/24/?id=14007432#time14007432</t>
        </is>
      </c>
      <c r="AC1800" s="33" t="inlineStr">
        <is>
          <t>SwimCloud API v6 2026-10-08</t>
        </is>
      </c>
      <c r="AD1800" s="33" t="inlineStr">
        <is>
          <t>Lewis Clareburt|2017-03-23|LCM|200|Free|111.7|2017 NZ Age Group Championship|FIN|False</t>
        </is>
      </c>
      <c r="AE1800" s="53">
        <f>G1800+L1800/1000+ROW()/1000000000</f>
        <v/>
      </c>
      <c r="AF1800" s="35">
        <f>IF(C1800&lt;&gt;"Grayson Coulter","",COUNTIFS($C$5:$C$2991,"Grayson Coulter",$Q$5:$Q$2991,Q1800,$AE$5:$AE$2991,"&lt;="&amp;AE1800,$R$5:$R$2991,"&lt;"&amp;R1800))</f>
        <v/>
      </c>
      <c r="AG1800" s="35">
        <f>IF(OR(C1800&lt;&gt;"Grayson Coulter",G1800&lt;'00_Control'!$B$7),"",--(AF1800&lt;5))</f>
        <v/>
      </c>
      <c r="AH1800" s="35">
        <f>IF(OR(C1800&lt;&gt;"Grayson Coulter",G1800&lt;'00_Control'!$B$7),"",--(AF1800&lt;10))</f>
        <v/>
      </c>
      <c r="AI1800" s="35">
        <f>IF(AND(C1800="Grayson Coulter",G1800&gt;='00_Control'!$B$7),"YES","NO")</f>
        <v/>
      </c>
      <c r="AJ1800" s="33" t="inlineStr">
        <is>
          <t>OK</t>
        </is>
      </c>
    </row>
    <row r="1801">
      <c r="A1801" s="33" t="inlineStr">
        <is>
          <t>SM001797</t>
        </is>
      </c>
      <c r="B1801" s="33" t="inlineStr">
        <is>
          <t>SW013</t>
        </is>
      </c>
      <c r="C1801" s="33" t="inlineStr">
        <is>
          <t>Lewis Clareburt</t>
        </is>
      </c>
      <c r="D1801" s="33" t="inlineStr">
        <is>
          <t>SwimCloud</t>
        </is>
      </c>
      <c r="E1801" s="33" t="inlineStr">
        <is>
          <t>3464011</t>
        </is>
      </c>
      <c r="F1801" s="33" t="inlineStr">
        <is>
          <t>14011069</t>
        </is>
      </c>
      <c r="G1801" s="51" t="n">
        <v>42818</v>
      </c>
      <c r="H1801" s="33" t="inlineStr">
        <is>
          <t>2017 NZ Age Group Championship</t>
        </is>
      </c>
      <c r="I1801" s="33" t="inlineStr">
        <is>
          <t>102638</t>
        </is>
      </c>
      <c r="J1801" s="33" t="inlineStr"/>
      <c r="K1801" s="33" t="inlineStr">
        <is>
          <t>PRE</t>
        </is>
      </c>
      <c r="L1801" s="35">
        <f>IF(K1801="FIN",3,IF(OR(K1801="SEM",K1801="SEMI"),2,IF(OR(K1801="PRE",K1801="HEAT"),1,IF(V1801="YES",4,2))))</f>
        <v/>
      </c>
      <c r="M1801" s="33" t="inlineStr">
        <is>
          <t>LCM</t>
        </is>
      </c>
      <c r="N1801" s="33" t="n">
        <v>100</v>
      </c>
      <c r="O1801" s="33" t="inlineStr">
        <is>
          <t>Fly</t>
        </is>
      </c>
      <c r="P1801" s="33" t="inlineStr">
        <is>
          <t>100 Fly</t>
        </is>
      </c>
      <c r="Q1801" s="33" t="inlineStr">
        <is>
          <t>LCM_100_FLY</t>
        </is>
      </c>
      <c r="R1801" s="36" t="n">
        <v>56.86</v>
      </c>
      <c r="S1801" s="35">
        <f>IF(R1801="","",IF(R1801&gt;=60,INT(R1801/60)&amp;":"&amp;TEXT(MOD(R1801,60),"00.00"),TEXT(R1801,"0.00")))</f>
        <v/>
      </c>
      <c r="T1801" s="52">
        <f>IFERROR((G1801-INDEX('01_Swimmers'!$E$5:$E$22,MATCH(B1801,'01_Swimmers'!$A$5:$A$22,0)))/'00_Control'!$B$10,"")</f>
        <v/>
      </c>
      <c r="U1801" s="35">
        <f>IF(T1801="","",INT(T1801))</f>
        <v/>
      </c>
      <c r="V1801" s="33" t="inlineStr">
        <is>
          <t>NO</t>
        </is>
      </c>
      <c r="W1801" s="33" t="inlineStr">
        <is>
          <t>YES</t>
        </is>
      </c>
      <c r="X1801" s="33" t="inlineStr">
        <is>
          <t>NO</t>
        </is>
      </c>
      <c r="Y1801" s="33" t="n">
        <v>11</v>
      </c>
      <c r="Z1801" s="33" t="n">
        <v>5</v>
      </c>
      <c r="AA1801" s="33" t="inlineStr">
        <is>
          <t>2</t>
        </is>
      </c>
      <c r="AB1801" s="33" t="inlineStr">
        <is>
          <t>https://www.swimcloud.com/results/102638/event/32/?id=14011069#time14011069</t>
        </is>
      </c>
      <c r="AC1801" s="33" t="inlineStr">
        <is>
          <t>SwimCloud API v6 2026-10-08</t>
        </is>
      </c>
      <c r="AD1801" s="33" t="inlineStr">
        <is>
          <t>Lewis Clareburt|2017-03-24|LCM|100|Fly|56.86|2017 NZ Age Group Championship|PRE|False</t>
        </is>
      </c>
      <c r="AE1801" s="53">
        <f>G1801+L1801/1000+ROW()/1000000000</f>
        <v/>
      </c>
      <c r="AF1801" s="35">
        <f>IF(C1801&lt;&gt;"Grayson Coulter","",COUNTIFS($C$5:$C$2991,"Grayson Coulter",$Q$5:$Q$2991,Q1801,$AE$5:$AE$2991,"&lt;="&amp;AE1801,$R$5:$R$2991,"&lt;"&amp;R1801))</f>
        <v/>
      </c>
      <c r="AG1801" s="35">
        <f>IF(OR(C1801&lt;&gt;"Grayson Coulter",G1801&lt;'00_Control'!$B$7),"",--(AF1801&lt;5))</f>
        <v/>
      </c>
      <c r="AH1801" s="35">
        <f>IF(OR(C1801&lt;&gt;"Grayson Coulter",G1801&lt;'00_Control'!$B$7),"",--(AF1801&lt;10))</f>
        <v/>
      </c>
      <c r="AI1801" s="35">
        <f>IF(AND(C1801="Grayson Coulter",G1801&gt;='00_Control'!$B$7),"YES","NO")</f>
        <v/>
      </c>
      <c r="AJ1801" s="33" t="inlineStr">
        <is>
          <t>OK</t>
        </is>
      </c>
    </row>
    <row r="1802">
      <c r="A1802" s="33" t="inlineStr">
        <is>
          <t>SM001798</t>
        </is>
      </c>
      <c r="B1802" s="33" t="inlineStr">
        <is>
          <t>SW013</t>
        </is>
      </c>
      <c r="C1802" s="33" t="inlineStr">
        <is>
          <t>Lewis Clareburt</t>
        </is>
      </c>
      <c r="D1802" s="33" t="inlineStr">
        <is>
          <t>SwimCloud</t>
        </is>
      </c>
      <c r="E1802" s="33" t="inlineStr">
        <is>
          <t>3464011</t>
        </is>
      </c>
      <c r="F1802" s="33" t="inlineStr">
        <is>
          <t>14011129</t>
        </is>
      </c>
      <c r="G1802" s="51" t="n">
        <v>42818</v>
      </c>
      <c r="H1802" s="33" t="inlineStr">
        <is>
          <t>2017 NZ Age Group Championship</t>
        </is>
      </c>
      <c r="I1802" s="33" t="inlineStr">
        <is>
          <t>102638</t>
        </is>
      </c>
      <c r="J1802" s="33" t="inlineStr"/>
      <c r="K1802" s="33" t="inlineStr">
        <is>
          <t>FIN</t>
        </is>
      </c>
      <c r="L1802" s="35">
        <f>IF(K1802="FIN",3,IF(OR(K1802="SEM",K1802="SEMI"),2,IF(OR(K1802="PRE",K1802="HEAT"),1,IF(V1802="YES",4,2))))</f>
        <v/>
      </c>
      <c r="M1802" s="33" t="inlineStr">
        <is>
          <t>LCM</t>
        </is>
      </c>
      <c r="N1802" s="33" t="n">
        <v>100</v>
      </c>
      <c r="O1802" s="33" t="inlineStr">
        <is>
          <t>Fly</t>
        </is>
      </c>
      <c r="P1802" s="33" t="inlineStr">
        <is>
          <t>100 Fly</t>
        </is>
      </c>
      <c r="Q1802" s="33" t="inlineStr">
        <is>
          <t>LCM_100_FLY</t>
        </is>
      </c>
      <c r="R1802" s="36" t="n">
        <v>55.48</v>
      </c>
      <c r="S1802" s="35">
        <f>IF(R1802="","",IF(R1802&gt;=60,INT(R1802/60)&amp;":"&amp;TEXT(MOD(R1802,60),"00.00"),TEXT(R1802,"0.00")))</f>
        <v/>
      </c>
      <c r="T1802" s="52">
        <f>IFERROR((G1802-INDEX('01_Swimmers'!$E$5:$E$22,MATCH(B1802,'01_Swimmers'!$A$5:$A$22,0)))/'00_Control'!$B$10,"")</f>
        <v/>
      </c>
      <c r="U1802" s="35">
        <f>IF(T1802="","",INT(T1802))</f>
        <v/>
      </c>
      <c r="V1802" s="33" t="inlineStr">
        <is>
          <t>NO</t>
        </is>
      </c>
      <c r="W1802" s="33" t="inlineStr">
        <is>
          <t>YES</t>
        </is>
      </c>
      <c r="X1802" s="33" t="inlineStr">
        <is>
          <t>NO</t>
        </is>
      </c>
      <c r="Y1802" s="33" t="n">
        <v>4</v>
      </c>
      <c r="Z1802" s="33" t="n">
        <v>5</v>
      </c>
      <c r="AA1802" s="33" t="inlineStr">
        <is>
          <t>1</t>
        </is>
      </c>
      <c r="AB1802" s="33" t="inlineStr">
        <is>
          <t>https://www.swimcloud.com/results/102638/event/32/?id=14011129#time14011129</t>
        </is>
      </c>
      <c r="AC1802" s="33" t="inlineStr">
        <is>
          <t>SwimCloud API v6 2026-10-08</t>
        </is>
      </c>
      <c r="AD1802" s="33" t="inlineStr">
        <is>
          <t>Lewis Clareburt|2017-03-24|LCM|100|Fly|55.48|2017 NZ Age Group Championship|FIN|False</t>
        </is>
      </c>
      <c r="AE1802" s="53">
        <f>G1802+L1802/1000+ROW()/1000000000</f>
        <v/>
      </c>
      <c r="AF1802" s="35">
        <f>IF(C1802&lt;&gt;"Grayson Coulter","",COUNTIFS($C$5:$C$2991,"Grayson Coulter",$Q$5:$Q$2991,Q1802,$AE$5:$AE$2991,"&lt;="&amp;AE1802,$R$5:$R$2991,"&lt;"&amp;R1802))</f>
        <v/>
      </c>
      <c r="AG1802" s="35">
        <f>IF(OR(C1802&lt;&gt;"Grayson Coulter",G1802&lt;'00_Control'!$B$7),"",--(AF1802&lt;5))</f>
        <v/>
      </c>
      <c r="AH1802" s="35">
        <f>IF(OR(C1802&lt;&gt;"Grayson Coulter",G1802&lt;'00_Control'!$B$7),"",--(AF1802&lt;10))</f>
        <v/>
      </c>
      <c r="AI1802" s="35">
        <f>IF(AND(C1802="Grayson Coulter",G1802&gt;='00_Control'!$B$7),"YES","NO")</f>
        <v/>
      </c>
      <c r="AJ1802" s="33" t="inlineStr">
        <is>
          <t>OK</t>
        </is>
      </c>
    </row>
    <row r="1803">
      <c r="A1803" s="33" t="inlineStr">
        <is>
          <t>SM001799</t>
        </is>
      </c>
      <c r="B1803" s="33" t="inlineStr">
        <is>
          <t>SW013</t>
        </is>
      </c>
      <c r="C1803" s="33" t="inlineStr">
        <is>
          <t>Lewis Clareburt</t>
        </is>
      </c>
      <c r="D1803" s="33" t="inlineStr">
        <is>
          <t>SwimCloud</t>
        </is>
      </c>
      <c r="E1803" s="33" t="inlineStr">
        <is>
          <t>3464011</t>
        </is>
      </c>
      <c r="F1803" s="33" t="inlineStr">
        <is>
          <t>14010554</t>
        </is>
      </c>
      <c r="G1803" s="51" t="n">
        <v>42819</v>
      </c>
      <c r="H1803" s="33" t="inlineStr">
        <is>
          <t>2017 NZ Age Group Championship</t>
        </is>
      </c>
      <c r="I1803" s="33" t="inlineStr">
        <is>
          <t>102638</t>
        </is>
      </c>
      <c r="J1803" s="33" t="inlineStr"/>
      <c r="K1803" s="33" t="inlineStr">
        <is>
          <t>PRE</t>
        </is>
      </c>
      <c r="L1803" s="35">
        <f>IF(K1803="FIN",3,IF(OR(K1803="SEM",K1803="SEMI"),2,IF(OR(K1803="PRE",K1803="HEAT"),1,IF(V1803="YES",4,2))))</f>
        <v/>
      </c>
      <c r="M1803" s="33" t="inlineStr">
        <is>
          <t>LCM</t>
        </is>
      </c>
      <c r="N1803" s="33" t="n">
        <v>100</v>
      </c>
      <c r="O1803" s="33" t="inlineStr">
        <is>
          <t>Free</t>
        </is>
      </c>
      <c r="P1803" s="33" t="inlineStr">
        <is>
          <t>100 Free</t>
        </is>
      </c>
      <c r="Q1803" s="33" t="inlineStr">
        <is>
          <t>LCM_100_FREE</t>
        </is>
      </c>
      <c r="R1803" s="36" t="n">
        <v>53.66</v>
      </c>
      <c r="S1803" s="35">
        <f>IF(R1803="","",IF(R1803&gt;=60,INT(R1803/60)&amp;":"&amp;TEXT(MOD(R1803,60),"00.00"),TEXT(R1803,"0.00")))</f>
        <v/>
      </c>
      <c r="T1803" s="52">
        <f>IFERROR((G1803-INDEX('01_Swimmers'!$E$5:$E$22,MATCH(B1803,'01_Swimmers'!$A$5:$A$22,0)))/'00_Control'!$B$10,"")</f>
        <v/>
      </c>
      <c r="U1803" s="35">
        <f>IF(T1803="","",INT(T1803))</f>
        <v/>
      </c>
      <c r="V1803" s="33" t="inlineStr">
        <is>
          <t>NO</t>
        </is>
      </c>
      <c r="W1803" s="33" t="inlineStr">
        <is>
          <t>YES</t>
        </is>
      </c>
      <c r="X1803" s="33" t="inlineStr">
        <is>
          <t>NO</t>
        </is>
      </c>
      <c r="Y1803" s="33" t="n">
        <v>13</v>
      </c>
      <c r="Z1803" s="33" t="n">
        <v>4</v>
      </c>
      <c r="AA1803" s="33" t="inlineStr">
        <is>
          <t>4</t>
        </is>
      </c>
      <c r="AB1803" s="33" t="inlineStr">
        <is>
          <t>https://www.swimcloud.com/results/102638/event/40/?id=14010554#time14010554</t>
        </is>
      </c>
      <c r="AC1803" s="33" t="inlineStr">
        <is>
          <t>SwimCloud API v6 2026-10-08</t>
        </is>
      </c>
      <c r="AD1803" s="33" t="inlineStr">
        <is>
          <t>Lewis Clareburt|2017-03-25|LCM|100|Free|53.66|2017 NZ Age Group Championship|PRE|False</t>
        </is>
      </c>
      <c r="AE1803" s="53">
        <f>G1803+L1803/1000+ROW()/1000000000</f>
        <v/>
      </c>
      <c r="AF1803" s="35">
        <f>IF(C1803&lt;&gt;"Grayson Coulter","",COUNTIFS($C$5:$C$2991,"Grayson Coulter",$Q$5:$Q$2991,Q1803,$AE$5:$AE$2991,"&lt;="&amp;AE1803,$R$5:$R$2991,"&lt;"&amp;R1803))</f>
        <v/>
      </c>
      <c r="AG1803" s="35">
        <f>IF(OR(C1803&lt;&gt;"Grayson Coulter",G1803&lt;'00_Control'!$B$7),"",--(AF1803&lt;5))</f>
        <v/>
      </c>
      <c r="AH1803" s="35">
        <f>IF(OR(C1803&lt;&gt;"Grayson Coulter",G1803&lt;'00_Control'!$B$7),"",--(AF1803&lt;10))</f>
        <v/>
      </c>
      <c r="AI1803" s="35">
        <f>IF(AND(C1803="Grayson Coulter",G1803&gt;='00_Control'!$B$7),"YES","NO")</f>
        <v/>
      </c>
      <c r="AJ1803" s="33" t="inlineStr">
        <is>
          <t>OK</t>
        </is>
      </c>
    </row>
    <row r="1804">
      <c r="A1804" s="33" t="inlineStr">
        <is>
          <t>SM001800</t>
        </is>
      </c>
      <c r="B1804" s="33" t="inlineStr">
        <is>
          <t>SW013</t>
        </is>
      </c>
      <c r="C1804" s="33" t="inlineStr">
        <is>
          <t>Lewis Clareburt</t>
        </is>
      </c>
      <c r="D1804" s="33" t="inlineStr">
        <is>
          <t>SwimCloud</t>
        </is>
      </c>
      <c r="E1804" s="33" t="inlineStr">
        <is>
          <t>3464011</t>
        </is>
      </c>
      <c r="F1804" s="33" t="inlineStr">
        <is>
          <t>14010623</t>
        </is>
      </c>
      <c r="G1804" s="51" t="n">
        <v>42819</v>
      </c>
      <c r="H1804" s="33" t="inlineStr">
        <is>
          <t>2017 NZ Age Group Championship</t>
        </is>
      </c>
      <c r="I1804" s="33" t="inlineStr">
        <is>
          <t>102638</t>
        </is>
      </c>
      <c r="J1804" s="33" t="inlineStr"/>
      <c r="K1804" s="33" t="inlineStr">
        <is>
          <t>FIN</t>
        </is>
      </c>
      <c r="L1804" s="35">
        <f>IF(K1804="FIN",3,IF(OR(K1804="SEM",K1804="SEMI"),2,IF(OR(K1804="PRE",K1804="HEAT"),1,IF(V1804="YES",4,2))))</f>
        <v/>
      </c>
      <c r="M1804" s="33" t="inlineStr">
        <is>
          <t>LCM</t>
        </is>
      </c>
      <c r="N1804" s="33" t="n">
        <v>100</v>
      </c>
      <c r="O1804" s="33" t="inlineStr">
        <is>
          <t>Free</t>
        </is>
      </c>
      <c r="P1804" s="33" t="inlineStr">
        <is>
          <t>100 Free</t>
        </is>
      </c>
      <c r="Q1804" s="33" t="inlineStr">
        <is>
          <t>LCM_100_FREE</t>
        </is>
      </c>
      <c r="R1804" s="36" t="n">
        <v>51.92</v>
      </c>
      <c r="S1804" s="35">
        <f>IF(R1804="","",IF(R1804&gt;=60,INT(R1804/60)&amp;":"&amp;TEXT(MOD(R1804,60),"00.00"),TEXT(R1804,"0.00")))</f>
        <v/>
      </c>
      <c r="T1804" s="52">
        <f>IFERROR((G1804-INDEX('01_Swimmers'!$E$5:$E$22,MATCH(B1804,'01_Swimmers'!$A$5:$A$22,0)))/'00_Control'!$B$10,"")</f>
        <v/>
      </c>
      <c r="U1804" s="35">
        <f>IF(T1804="","",INT(T1804))</f>
        <v/>
      </c>
      <c r="V1804" s="33" t="inlineStr">
        <is>
          <t>NO</t>
        </is>
      </c>
      <c r="W1804" s="33" t="inlineStr">
        <is>
          <t>YES</t>
        </is>
      </c>
      <c r="X1804" s="33" t="inlineStr">
        <is>
          <t>NO</t>
        </is>
      </c>
      <c r="Y1804" s="33" t="n">
        <v>4</v>
      </c>
      <c r="Z1804" s="33" t="n">
        <v>6</v>
      </c>
      <c r="AA1804" s="33" t="inlineStr">
        <is>
          <t>1</t>
        </is>
      </c>
      <c r="AB1804" s="33" t="inlineStr">
        <is>
          <t>https://www.swimcloud.com/results/102638/event/40/?id=14010623#time14010623</t>
        </is>
      </c>
      <c r="AC1804" s="33" t="inlineStr">
        <is>
          <t>SwimCloud API v6 2026-10-08</t>
        </is>
      </c>
      <c r="AD1804" s="33" t="inlineStr">
        <is>
          <t>Lewis Clareburt|2017-03-25|LCM|100|Free|51.92|2017 NZ Age Group Championship|FIN|False</t>
        </is>
      </c>
      <c r="AE1804" s="53">
        <f>G1804+L1804/1000+ROW()/1000000000</f>
        <v/>
      </c>
      <c r="AF1804" s="35">
        <f>IF(C1804&lt;&gt;"Grayson Coulter","",COUNTIFS($C$5:$C$2991,"Grayson Coulter",$Q$5:$Q$2991,Q1804,$AE$5:$AE$2991,"&lt;="&amp;AE1804,$R$5:$R$2991,"&lt;"&amp;R1804))</f>
        <v/>
      </c>
      <c r="AG1804" s="35">
        <f>IF(OR(C1804&lt;&gt;"Grayson Coulter",G1804&lt;'00_Control'!$B$7),"",--(AF1804&lt;5))</f>
        <v/>
      </c>
      <c r="AH1804" s="35">
        <f>IF(OR(C1804&lt;&gt;"Grayson Coulter",G1804&lt;'00_Control'!$B$7),"",--(AF1804&lt;10))</f>
        <v/>
      </c>
      <c r="AI1804" s="35">
        <f>IF(AND(C1804="Grayson Coulter",G1804&gt;='00_Control'!$B$7),"YES","NO")</f>
        <v/>
      </c>
      <c r="AJ1804" s="33" t="inlineStr">
        <is>
          <t>OK</t>
        </is>
      </c>
    </row>
    <row r="1805">
      <c r="A1805" s="33" t="inlineStr">
        <is>
          <t>SM001801</t>
        </is>
      </c>
      <c r="B1805" s="33" t="inlineStr">
        <is>
          <t>SW013</t>
        </is>
      </c>
      <c r="C1805" s="33" t="inlineStr">
        <is>
          <t>Lewis Clareburt</t>
        </is>
      </c>
      <c r="D1805" s="33" t="inlineStr">
        <is>
          <t>SwimCloud</t>
        </is>
      </c>
      <c r="E1805" s="33" t="inlineStr">
        <is>
          <t>3464011</t>
        </is>
      </c>
      <c r="F1805" s="33" t="inlineStr">
        <is>
          <t>19575726</t>
        </is>
      </c>
      <c r="G1805" s="51" t="n">
        <v>42935</v>
      </c>
      <c r="H1805" s="33" t="inlineStr">
        <is>
          <t>VI Commonwealth Youth Games</t>
        </is>
      </c>
      <c r="I1805" s="33" t="inlineStr">
        <is>
          <t>95496</t>
        </is>
      </c>
      <c r="J1805" s="33" t="inlineStr"/>
      <c r="K1805" s="33" t="inlineStr">
        <is>
          <t>PRE</t>
        </is>
      </c>
      <c r="L1805" s="35">
        <f>IF(K1805="FIN",3,IF(OR(K1805="SEM",K1805="SEMI"),2,IF(OR(K1805="PRE",K1805="HEAT"),1,IF(V1805="YES",4,2))))</f>
        <v/>
      </c>
      <c r="M1805" s="33" t="inlineStr">
        <is>
          <t>LCM</t>
        </is>
      </c>
      <c r="N1805" s="33" t="n">
        <v>200</v>
      </c>
      <c r="O1805" s="33" t="inlineStr">
        <is>
          <t>Free</t>
        </is>
      </c>
      <c r="P1805" s="33" t="inlineStr">
        <is>
          <t>200 Free</t>
        </is>
      </c>
      <c r="Q1805" s="33" t="inlineStr">
        <is>
          <t>LCM_200_FREE</t>
        </is>
      </c>
      <c r="R1805" s="36" t="n">
        <v>112.35</v>
      </c>
      <c r="S1805" s="35">
        <f>IF(R1805="","",IF(R1805&gt;=60,INT(R1805/60)&amp;":"&amp;TEXT(MOD(R1805,60),"00.00"),TEXT(R1805,"0.00")))</f>
        <v/>
      </c>
      <c r="T1805" s="52">
        <f>IFERROR((G1805-INDEX('01_Swimmers'!$E$5:$E$22,MATCH(B1805,'01_Swimmers'!$A$5:$A$22,0)))/'00_Control'!$B$10,"")</f>
        <v/>
      </c>
      <c r="U1805" s="35">
        <f>IF(T1805="","",INT(T1805))</f>
        <v/>
      </c>
      <c r="V1805" s="33" t="inlineStr">
        <is>
          <t>NO</t>
        </is>
      </c>
      <c r="W1805" s="33" t="inlineStr">
        <is>
          <t>YES</t>
        </is>
      </c>
      <c r="X1805" s="33" t="inlineStr">
        <is>
          <t>NO</t>
        </is>
      </c>
      <c r="Y1805" s="33" t="n">
        <v>4</v>
      </c>
      <c r="Z1805" s="33" t="n">
        <v>5</v>
      </c>
      <c r="AA1805" s="33" t="inlineStr">
        <is>
          <t>3</t>
        </is>
      </c>
      <c r="AB1805" s="33" t="inlineStr">
        <is>
          <t>https://www.swimcloud.com/results/95496/event/4/?id=19575726#time19575726</t>
        </is>
      </c>
      <c r="AC1805" s="33" t="inlineStr">
        <is>
          <t>SwimCloud API v6 2026-10-08</t>
        </is>
      </c>
      <c r="AD1805" s="33" t="inlineStr">
        <is>
          <t>Lewis Clareburt|2017-07-19|LCM|200|Free|112.35|VI Commonwealth Youth Games|PRE|False</t>
        </is>
      </c>
      <c r="AE1805" s="53">
        <f>G1805+L1805/1000+ROW()/1000000000</f>
        <v/>
      </c>
      <c r="AF1805" s="35">
        <f>IF(C1805&lt;&gt;"Grayson Coulter","",COUNTIFS($C$5:$C$2991,"Grayson Coulter",$Q$5:$Q$2991,Q1805,$AE$5:$AE$2991,"&lt;="&amp;AE1805,$R$5:$R$2991,"&lt;"&amp;R1805))</f>
        <v/>
      </c>
      <c r="AG1805" s="35">
        <f>IF(OR(C1805&lt;&gt;"Grayson Coulter",G1805&lt;'00_Control'!$B$7),"",--(AF1805&lt;5))</f>
        <v/>
      </c>
      <c r="AH1805" s="35">
        <f>IF(OR(C1805&lt;&gt;"Grayson Coulter",G1805&lt;'00_Control'!$B$7),"",--(AF1805&lt;10))</f>
        <v/>
      </c>
      <c r="AI1805" s="35">
        <f>IF(AND(C1805="Grayson Coulter",G1805&gt;='00_Control'!$B$7),"YES","NO")</f>
        <v/>
      </c>
      <c r="AJ1805" s="33" t="inlineStr">
        <is>
          <t>OK</t>
        </is>
      </c>
    </row>
    <row r="1806">
      <c r="A1806" s="33" t="inlineStr">
        <is>
          <t>SM001802</t>
        </is>
      </c>
      <c r="B1806" s="33" t="inlineStr">
        <is>
          <t>SW013</t>
        </is>
      </c>
      <c r="C1806" s="33" t="inlineStr">
        <is>
          <t>Lewis Clareburt</t>
        </is>
      </c>
      <c r="D1806" s="33" t="inlineStr">
        <is>
          <t>SwimCloud</t>
        </is>
      </c>
      <c r="E1806" s="33" t="inlineStr">
        <is>
          <t>3464011</t>
        </is>
      </c>
      <c r="F1806" s="33" t="inlineStr">
        <is>
          <t>19575727</t>
        </is>
      </c>
      <c r="G1806" s="51" t="n">
        <v>42935</v>
      </c>
      <c r="H1806" s="33" t="inlineStr">
        <is>
          <t>VI Commonwealth Youth Games</t>
        </is>
      </c>
      <c r="I1806" s="33" t="inlineStr">
        <is>
          <t>95496</t>
        </is>
      </c>
      <c r="J1806" s="33" t="inlineStr"/>
      <c r="K1806" s="33" t="inlineStr">
        <is>
          <t>FIN</t>
        </is>
      </c>
      <c r="L1806" s="35">
        <f>IF(K1806="FIN",3,IF(OR(K1806="SEM",K1806="SEMI"),2,IF(OR(K1806="PRE",K1806="HEAT"),1,IF(V1806="YES",4,2))))</f>
        <v/>
      </c>
      <c r="M1806" s="33" t="inlineStr">
        <is>
          <t>LCM</t>
        </is>
      </c>
      <c r="N1806" s="33" t="n">
        <v>200</v>
      </c>
      <c r="O1806" s="33" t="inlineStr">
        <is>
          <t>Free</t>
        </is>
      </c>
      <c r="P1806" s="33" t="inlineStr">
        <is>
          <t>200 Free</t>
        </is>
      </c>
      <c r="Q1806" s="33" t="inlineStr">
        <is>
          <t>LCM_200_FREE</t>
        </is>
      </c>
      <c r="R1806" s="36" t="n">
        <v>109.89</v>
      </c>
      <c r="S1806" s="35">
        <f>IF(R1806="","",IF(R1806&gt;=60,INT(R1806/60)&amp;":"&amp;TEXT(MOD(R1806,60),"00.00"),TEXT(R1806,"0.00")))</f>
        <v/>
      </c>
      <c r="T1806" s="52">
        <f>IFERROR((G1806-INDEX('01_Swimmers'!$E$5:$E$22,MATCH(B1806,'01_Swimmers'!$A$5:$A$22,0)))/'00_Control'!$B$10,"")</f>
        <v/>
      </c>
      <c r="U1806" s="35">
        <f>IF(T1806="","",INT(T1806))</f>
        <v/>
      </c>
      <c r="V1806" s="33" t="inlineStr">
        <is>
          <t>NO</t>
        </is>
      </c>
      <c r="W1806" s="33" t="inlineStr">
        <is>
          <t>YES</t>
        </is>
      </c>
      <c r="X1806" s="33" t="inlineStr">
        <is>
          <t>NO</t>
        </is>
      </c>
      <c r="Y1806" s="33" t="n">
        <v>1</v>
      </c>
      <c r="Z1806" s="33" t="n">
        <v>3</v>
      </c>
      <c r="AA1806" s="33" t="inlineStr">
        <is>
          <t>1</t>
        </is>
      </c>
      <c r="AB1806" s="33" t="inlineStr">
        <is>
          <t>https://www.swimcloud.com/results/95496/event/4/?id=19575727#time19575727</t>
        </is>
      </c>
      <c r="AC1806" s="33" t="inlineStr">
        <is>
          <t>SwimCloud API v6 2026-10-08</t>
        </is>
      </c>
      <c r="AD1806" s="33" t="inlineStr">
        <is>
          <t>Lewis Clareburt|2017-07-19|LCM|200|Free|109.89|VI Commonwealth Youth Games|FIN|False</t>
        </is>
      </c>
      <c r="AE1806" s="53">
        <f>G1806+L1806/1000+ROW()/1000000000</f>
        <v/>
      </c>
      <c r="AF1806" s="35">
        <f>IF(C1806&lt;&gt;"Grayson Coulter","",COUNTIFS($C$5:$C$2991,"Grayson Coulter",$Q$5:$Q$2991,Q1806,$AE$5:$AE$2991,"&lt;="&amp;AE1806,$R$5:$R$2991,"&lt;"&amp;R1806))</f>
        <v/>
      </c>
      <c r="AG1806" s="35">
        <f>IF(OR(C1806&lt;&gt;"Grayson Coulter",G1806&lt;'00_Control'!$B$7),"",--(AF1806&lt;5))</f>
        <v/>
      </c>
      <c r="AH1806" s="35">
        <f>IF(OR(C1806&lt;&gt;"Grayson Coulter",G1806&lt;'00_Control'!$B$7),"",--(AF1806&lt;10))</f>
        <v/>
      </c>
      <c r="AI1806" s="35">
        <f>IF(AND(C1806="Grayson Coulter",G1806&gt;='00_Control'!$B$7),"YES","NO")</f>
        <v/>
      </c>
      <c r="AJ1806" s="33" t="inlineStr">
        <is>
          <t>OK</t>
        </is>
      </c>
    </row>
    <row r="1807">
      <c r="A1807" s="33" t="inlineStr">
        <is>
          <t>SM001803</t>
        </is>
      </c>
      <c r="B1807" s="33" t="inlineStr">
        <is>
          <t>SW013</t>
        </is>
      </c>
      <c r="C1807" s="33" t="inlineStr">
        <is>
          <t>Lewis Clareburt</t>
        </is>
      </c>
      <c r="D1807" s="33" t="inlineStr">
        <is>
          <t>SwimCloud</t>
        </is>
      </c>
      <c r="E1807" s="33" t="inlineStr">
        <is>
          <t>3464011</t>
        </is>
      </c>
      <c r="F1807" s="33" t="inlineStr">
        <is>
          <t>19576031</t>
        </is>
      </c>
      <c r="G1807" s="51" t="n">
        <v>42936</v>
      </c>
      <c r="H1807" s="33" t="inlineStr">
        <is>
          <t>VI Commonwealth Youth Games</t>
        </is>
      </c>
      <c r="I1807" s="33" t="inlineStr">
        <is>
          <t>95496</t>
        </is>
      </c>
      <c r="J1807" s="33" t="inlineStr"/>
      <c r="K1807" s="33" t="inlineStr">
        <is>
          <t>TIM</t>
        </is>
      </c>
      <c r="L1807" s="35">
        <f>IF(K1807="FIN",3,IF(OR(K1807="SEM",K1807="SEMI"),2,IF(OR(K1807="PRE",K1807="HEAT"),1,IF(V1807="YES",4,2))))</f>
        <v/>
      </c>
      <c r="M1807" s="33" t="inlineStr">
        <is>
          <t>LCM</t>
        </is>
      </c>
      <c r="N1807" s="33" t="n">
        <v>200</v>
      </c>
      <c r="O1807" s="33" t="inlineStr">
        <is>
          <t>Free</t>
        </is>
      </c>
      <c r="P1807" s="33" t="inlineStr">
        <is>
          <t>200 Free</t>
        </is>
      </c>
      <c r="Q1807" s="33" t="inlineStr">
        <is>
          <t>LCM_200_FREE</t>
        </is>
      </c>
      <c r="R1807" s="36" t="n">
        <v>110.97</v>
      </c>
      <c r="S1807" s="35">
        <f>IF(R1807="","",IF(R1807&gt;=60,INT(R1807/60)&amp;":"&amp;TEXT(MOD(R1807,60),"00.00"),TEXT(R1807,"0.00")))</f>
        <v/>
      </c>
      <c r="T1807" s="52">
        <f>IFERROR((G1807-INDEX('01_Swimmers'!$E$5:$E$22,MATCH(B1807,'01_Swimmers'!$A$5:$A$22,0)))/'00_Control'!$B$10,"")</f>
        <v/>
      </c>
      <c r="U1807" s="35">
        <f>IF(T1807="","",INT(T1807))</f>
        <v/>
      </c>
      <c r="V1807" s="33" t="inlineStr">
        <is>
          <t>YES</t>
        </is>
      </c>
      <c r="W1807" s="33" t="inlineStr">
        <is>
          <t>YES</t>
        </is>
      </c>
      <c r="X1807" s="33" t="inlineStr">
        <is>
          <t>NO</t>
        </is>
      </c>
      <c r="Y1807" s="33" t="n">
        <v>1</v>
      </c>
      <c r="Z1807" s="33" t="n">
        <v>5</v>
      </c>
      <c r="AA1807" s="33" t="inlineStr"/>
      <c r="AB1807" s="33" t="inlineStr">
        <is>
          <t>https://www.swimcloud.com/results/95496/event/42/?id=19575921#time19575921</t>
        </is>
      </c>
      <c r="AC1807" s="33" t="inlineStr">
        <is>
          <t>SwimCloud API v6 2026-10-08</t>
        </is>
      </c>
      <c r="AD1807" s="33" t="inlineStr">
        <is>
          <t>Lewis Clareburt|2017-07-20|LCM|200|Free|110.97|VI Commonwealth Youth Games|TIM|True</t>
        </is>
      </c>
      <c r="AE1807" s="53">
        <f>G1807+L1807/1000+ROW()/1000000000</f>
        <v/>
      </c>
      <c r="AF1807" s="35">
        <f>IF(C1807&lt;&gt;"Grayson Coulter","",COUNTIFS($C$5:$C$2991,"Grayson Coulter",$Q$5:$Q$2991,Q1807,$AE$5:$AE$2991,"&lt;="&amp;AE1807,$R$5:$R$2991,"&lt;"&amp;R1807))</f>
        <v/>
      </c>
      <c r="AG1807" s="35">
        <f>IF(OR(C1807&lt;&gt;"Grayson Coulter",G1807&lt;'00_Control'!$B$7),"",--(AF1807&lt;5))</f>
        <v/>
      </c>
      <c r="AH1807" s="35">
        <f>IF(OR(C1807&lt;&gt;"Grayson Coulter",G1807&lt;'00_Control'!$B$7),"",--(AF1807&lt;10))</f>
        <v/>
      </c>
      <c r="AI1807" s="35">
        <f>IF(AND(C1807="Grayson Coulter",G1807&gt;='00_Control'!$B$7),"YES","NO")</f>
        <v/>
      </c>
      <c r="AJ1807" s="33" t="inlineStr">
        <is>
          <t>OK</t>
        </is>
      </c>
    </row>
    <row r="1808">
      <c r="A1808" s="33" t="inlineStr">
        <is>
          <t>SM001804</t>
        </is>
      </c>
      <c r="B1808" s="33" t="inlineStr">
        <is>
          <t>SW013</t>
        </is>
      </c>
      <c r="C1808" s="33" t="inlineStr">
        <is>
          <t>Lewis Clareburt</t>
        </is>
      </c>
      <c r="D1808" s="33" t="inlineStr">
        <is>
          <t>SwimCloud</t>
        </is>
      </c>
      <c r="E1808" s="33" t="inlineStr">
        <is>
          <t>3464011</t>
        </is>
      </c>
      <c r="F1808" s="33" t="inlineStr">
        <is>
          <t>19576071</t>
        </is>
      </c>
      <c r="G1808" s="51" t="n">
        <v>42937</v>
      </c>
      <c r="H1808" s="33" t="inlineStr">
        <is>
          <t>VI Commonwealth Youth Games</t>
        </is>
      </c>
      <c r="I1808" s="33" t="inlineStr">
        <is>
          <t>95496</t>
        </is>
      </c>
      <c r="J1808" s="33" t="inlineStr"/>
      <c r="K1808" s="33" t="inlineStr">
        <is>
          <t>TIM</t>
        </is>
      </c>
      <c r="L1808" s="35">
        <f>IF(K1808="FIN",3,IF(OR(K1808="SEM",K1808="SEMI"),2,IF(OR(K1808="PRE",K1808="HEAT"),1,IF(V1808="YES",4,2))))</f>
        <v/>
      </c>
      <c r="M1808" s="33" t="inlineStr">
        <is>
          <t>LCM</t>
        </is>
      </c>
      <c r="N1808" s="33" t="n">
        <v>100</v>
      </c>
      <c r="O1808" s="33" t="inlineStr">
        <is>
          <t>Free</t>
        </is>
      </c>
      <c r="P1808" s="33" t="inlineStr">
        <is>
          <t>100 Free</t>
        </is>
      </c>
      <c r="Q1808" s="33" t="inlineStr">
        <is>
          <t>LCM_100_FREE</t>
        </is>
      </c>
      <c r="R1808" s="36" t="n">
        <v>51.24</v>
      </c>
      <c r="S1808" s="35">
        <f>IF(R1808="","",IF(R1808&gt;=60,INT(R1808/60)&amp;":"&amp;TEXT(MOD(R1808,60),"00.00"),TEXT(R1808,"0.00")))</f>
        <v/>
      </c>
      <c r="T1808" s="52">
        <f>IFERROR((G1808-INDEX('01_Swimmers'!$E$5:$E$22,MATCH(B1808,'01_Swimmers'!$A$5:$A$22,0)))/'00_Control'!$B$10,"")</f>
        <v/>
      </c>
      <c r="U1808" s="35">
        <f>IF(T1808="","",INT(T1808))</f>
        <v/>
      </c>
      <c r="V1808" s="33" t="inlineStr">
        <is>
          <t>YES</t>
        </is>
      </c>
      <c r="W1808" s="33" t="inlineStr">
        <is>
          <t>YES</t>
        </is>
      </c>
      <c r="X1808" s="33" t="inlineStr">
        <is>
          <t>NO</t>
        </is>
      </c>
      <c r="Y1808" s="33" t="n">
        <v>2</v>
      </c>
      <c r="Z1808" s="33" t="n">
        <v>4</v>
      </c>
      <c r="AA1808" s="33" t="inlineStr"/>
      <c r="AB1808" s="33" t="inlineStr">
        <is>
          <t>https://www.swimcloud.com/results/95496/event/43/?id=19575931#time19575931</t>
        </is>
      </c>
      <c r="AC1808" s="33" t="inlineStr">
        <is>
          <t>SwimCloud API v6 2026-10-08</t>
        </is>
      </c>
      <c r="AD1808" s="33" t="inlineStr">
        <is>
          <t>Lewis Clareburt|2017-07-21|LCM|100|Free|51.24|VI Commonwealth Youth Games|TIM|True</t>
        </is>
      </c>
      <c r="AE1808" s="53">
        <f>G1808+L1808/1000+ROW()/1000000000</f>
        <v/>
      </c>
      <c r="AF1808" s="35">
        <f>IF(C1808&lt;&gt;"Grayson Coulter","",COUNTIFS($C$5:$C$2991,"Grayson Coulter",$Q$5:$Q$2991,Q1808,$AE$5:$AE$2991,"&lt;="&amp;AE1808,$R$5:$R$2991,"&lt;"&amp;R1808))</f>
        <v/>
      </c>
      <c r="AG1808" s="35">
        <f>IF(OR(C1808&lt;&gt;"Grayson Coulter",G1808&lt;'00_Control'!$B$7),"",--(AF1808&lt;5))</f>
        <v/>
      </c>
      <c r="AH1808" s="35">
        <f>IF(OR(C1808&lt;&gt;"Grayson Coulter",G1808&lt;'00_Control'!$B$7),"",--(AF1808&lt;10))</f>
        <v/>
      </c>
      <c r="AI1808" s="35">
        <f>IF(AND(C1808="Grayson Coulter",G1808&gt;='00_Control'!$B$7),"YES","NO")</f>
        <v/>
      </c>
      <c r="AJ1808" s="33" t="inlineStr">
        <is>
          <t>OK</t>
        </is>
      </c>
    </row>
    <row r="1809">
      <c r="A1809" s="33" t="inlineStr">
        <is>
          <t>SM001805</t>
        </is>
      </c>
      <c r="B1809" s="33" t="inlineStr">
        <is>
          <t>SW013</t>
        </is>
      </c>
      <c r="C1809" s="33" t="inlineStr">
        <is>
          <t>Lewis Clareburt</t>
        </is>
      </c>
      <c r="D1809" s="33" t="inlineStr">
        <is>
          <t>SwimCloud</t>
        </is>
      </c>
      <c r="E1809" s="33" t="inlineStr">
        <is>
          <t>3464011</t>
        </is>
      </c>
      <c r="F1809" s="33" t="inlineStr">
        <is>
          <t>19575759</t>
        </is>
      </c>
      <c r="G1809" s="51" t="n">
        <v>42937</v>
      </c>
      <c r="H1809" s="33" t="inlineStr">
        <is>
          <t>VI Commonwealth Youth Games</t>
        </is>
      </c>
      <c r="I1809" s="33" t="inlineStr">
        <is>
          <t>95496</t>
        </is>
      </c>
      <c r="J1809" s="33" t="inlineStr"/>
      <c r="K1809" s="33" t="inlineStr">
        <is>
          <t>PRE</t>
        </is>
      </c>
      <c r="L1809" s="35">
        <f>IF(K1809="FIN",3,IF(OR(K1809="SEM",K1809="SEMI"),2,IF(OR(K1809="PRE",K1809="HEAT"),1,IF(V1809="YES",4,2))))</f>
        <v/>
      </c>
      <c r="M1809" s="33" t="inlineStr">
        <is>
          <t>LCM</t>
        </is>
      </c>
      <c r="N1809" s="33" t="n">
        <v>400</v>
      </c>
      <c r="O1809" s="33" t="inlineStr">
        <is>
          <t>Free</t>
        </is>
      </c>
      <c r="P1809" s="33" t="inlineStr">
        <is>
          <t>400 Free</t>
        </is>
      </c>
      <c r="Q1809" s="33" t="inlineStr">
        <is>
          <t>LCM_400_FREE</t>
        </is>
      </c>
      <c r="R1809" s="36" t="n">
        <v>238.85</v>
      </c>
      <c r="S1809" s="35">
        <f>IF(R1809="","",IF(R1809&gt;=60,INT(R1809/60)&amp;":"&amp;TEXT(MOD(R1809,60),"00.00"),TEXT(R1809,"0.00")))</f>
        <v/>
      </c>
      <c r="T1809" s="52">
        <f>IFERROR((G1809-INDEX('01_Swimmers'!$E$5:$E$22,MATCH(B1809,'01_Swimmers'!$A$5:$A$22,0)))/'00_Control'!$B$10,"")</f>
        <v/>
      </c>
      <c r="U1809" s="35">
        <f>IF(T1809="","",INT(T1809))</f>
        <v/>
      </c>
      <c r="V1809" s="33" t="inlineStr">
        <is>
          <t>NO</t>
        </is>
      </c>
      <c r="W1809" s="33" t="inlineStr">
        <is>
          <t>YES</t>
        </is>
      </c>
      <c r="X1809" s="33" t="inlineStr">
        <is>
          <t>NO</t>
        </is>
      </c>
      <c r="Y1809" s="33" t="n">
        <v>2</v>
      </c>
      <c r="Z1809" s="33" t="n">
        <v>4</v>
      </c>
      <c r="AA1809" s="33" t="inlineStr">
        <is>
          <t>2</t>
        </is>
      </c>
      <c r="AB1809" s="33" t="inlineStr">
        <is>
          <t>https://www.swimcloud.com/results/95496/event/24/?id=19575759#time19575759</t>
        </is>
      </c>
      <c r="AC1809" s="33" t="inlineStr">
        <is>
          <t>SwimCloud API v6 2026-10-08</t>
        </is>
      </c>
      <c r="AD1809" s="33" t="inlineStr">
        <is>
          <t>Lewis Clareburt|2017-07-21|LCM|400|Free|238.85|VI Commonwealth Youth Games|PRE|False</t>
        </is>
      </c>
      <c r="AE1809" s="53">
        <f>G1809+L1809/1000+ROW()/1000000000</f>
        <v/>
      </c>
      <c r="AF1809" s="35">
        <f>IF(C1809&lt;&gt;"Grayson Coulter","",COUNTIFS($C$5:$C$2991,"Grayson Coulter",$Q$5:$Q$2991,Q1809,$AE$5:$AE$2991,"&lt;="&amp;AE1809,$R$5:$R$2991,"&lt;"&amp;R1809))</f>
        <v/>
      </c>
      <c r="AG1809" s="35">
        <f>IF(OR(C1809&lt;&gt;"Grayson Coulter",G1809&lt;'00_Control'!$B$7),"",--(AF1809&lt;5))</f>
        <v/>
      </c>
      <c r="AH1809" s="35">
        <f>IF(OR(C1809&lt;&gt;"Grayson Coulter",G1809&lt;'00_Control'!$B$7),"",--(AF1809&lt;10))</f>
        <v/>
      </c>
      <c r="AI1809" s="35">
        <f>IF(AND(C1809="Grayson Coulter",G1809&gt;='00_Control'!$B$7),"YES","NO")</f>
        <v/>
      </c>
      <c r="AJ1809" s="33" t="inlineStr">
        <is>
          <t>OK</t>
        </is>
      </c>
    </row>
    <row r="1810">
      <c r="A1810" s="33" t="inlineStr">
        <is>
          <t>SM001806</t>
        </is>
      </c>
      <c r="B1810" s="33" t="inlineStr">
        <is>
          <t>SW013</t>
        </is>
      </c>
      <c r="C1810" s="33" t="inlineStr">
        <is>
          <t>Lewis Clareburt</t>
        </is>
      </c>
      <c r="D1810" s="33" t="inlineStr">
        <is>
          <t>SwimCloud</t>
        </is>
      </c>
      <c r="E1810" s="33" t="inlineStr">
        <is>
          <t>3464011</t>
        </is>
      </c>
      <c r="F1810" s="33" t="inlineStr">
        <is>
          <t>19575760</t>
        </is>
      </c>
      <c r="G1810" s="51" t="n">
        <v>42937</v>
      </c>
      <c r="H1810" s="33" t="inlineStr">
        <is>
          <t>VI Commonwealth Youth Games</t>
        </is>
      </c>
      <c r="I1810" s="33" t="inlineStr">
        <is>
          <t>95496</t>
        </is>
      </c>
      <c r="J1810" s="33" t="inlineStr"/>
      <c r="K1810" s="33" t="inlineStr">
        <is>
          <t>FIN</t>
        </is>
      </c>
      <c r="L1810" s="35">
        <f>IF(K1810="FIN",3,IF(OR(K1810="SEM",K1810="SEMI"),2,IF(OR(K1810="PRE",K1810="HEAT"),1,IF(V1810="YES",4,2))))</f>
        <v/>
      </c>
      <c r="M1810" s="33" t="inlineStr">
        <is>
          <t>LCM</t>
        </is>
      </c>
      <c r="N1810" s="33" t="n">
        <v>400</v>
      </c>
      <c r="O1810" s="33" t="inlineStr">
        <is>
          <t>Free</t>
        </is>
      </c>
      <c r="P1810" s="33" t="inlineStr">
        <is>
          <t>400 Free</t>
        </is>
      </c>
      <c r="Q1810" s="33" t="inlineStr">
        <is>
          <t>LCM_400_FREE</t>
        </is>
      </c>
      <c r="R1810" s="36" t="n">
        <v>234.15</v>
      </c>
      <c r="S1810" s="35">
        <f>IF(R1810="","",IF(R1810&gt;=60,INT(R1810/60)&amp;":"&amp;TEXT(MOD(R1810,60),"00.00"),TEXT(R1810,"0.00")))</f>
        <v/>
      </c>
      <c r="T1810" s="52">
        <f>IFERROR((G1810-INDEX('01_Swimmers'!$E$5:$E$22,MATCH(B1810,'01_Swimmers'!$A$5:$A$22,0)))/'00_Control'!$B$10,"")</f>
        <v/>
      </c>
      <c r="U1810" s="35">
        <f>IF(T1810="","",INT(T1810))</f>
        <v/>
      </c>
      <c r="V1810" s="33" t="inlineStr">
        <is>
          <t>NO</t>
        </is>
      </c>
      <c r="W1810" s="33" t="inlineStr">
        <is>
          <t>YES</t>
        </is>
      </c>
      <c r="X1810" s="33" t="inlineStr">
        <is>
          <t>NO</t>
        </is>
      </c>
      <c r="Y1810" s="33" t="n">
        <v>1</v>
      </c>
      <c r="Z1810" s="33" t="n">
        <v>5</v>
      </c>
      <c r="AA1810" s="33" t="inlineStr">
        <is>
          <t>2</t>
        </is>
      </c>
      <c r="AB1810" s="33" t="inlineStr">
        <is>
          <t>https://www.swimcloud.com/results/95496/event/24/?id=19575760#time19575760</t>
        </is>
      </c>
      <c r="AC1810" s="33" t="inlineStr">
        <is>
          <t>SwimCloud API v6 2026-10-08</t>
        </is>
      </c>
      <c r="AD1810" s="33" t="inlineStr">
        <is>
          <t>Lewis Clareburt|2017-07-21|LCM|400|Free|234.15|VI Commonwealth Youth Games|FIN|False</t>
        </is>
      </c>
      <c r="AE1810" s="53">
        <f>G1810+L1810/1000+ROW()/1000000000</f>
        <v/>
      </c>
      <c r="AF1810" s="35">
        <f>IF(C1810&lt;&gt;"Grayson Coulter","",COUNTIFS($C$5:$C$2991,"Grayson Coulter",$Q$5:$Q$2991,Q1810,$AE$5:$AE$2991,"&lt;="&amp;AE1810,$R$5:$R$2991,"&lt;"&amp;R1810))</f>
        <v/>
      </c>
      <c r="AG1810" s="35">
        <f>IF(OR(C1810&lt;&gt;"Grayson Coulter",G1810&lt;'00_Control'!$B$7),"",--(AF1810&lt;5))</f>
        <v/>
      </c>
      <c r="AH1810" s="35">
        <f>IF(OR(C1810&lt;&gt;"Grayson Coulter",G1810&lt;'00_Control'!$B$7),"",--(AF1810&lt;10))</f>
        <v/>
      </c>
      <c r="AI1810" s="35">
        <f>IF(AND(C1810="Grayson Coulter",G1810&gt;='00_Control'!$B$7),"YES","NO")</f>
        <v/>
      </c>
      <c r="AJ1810" s="33" t="inlineStr">
        <is>
          <t>OK</t>
        </is>
      </c>
    </row>
    <row r="1811">
      <c r="A1811" s="33" t="inlineStr">
        <is>
          <t>SM001807</t>
        </is>
      </c>
      <c r="B1811" s="33" t="inlineStr">
        <is>
          <t>SW013</t>
        </is>
      </c>
      <c r="C1811" s="33" t="inlineStr">
        <is>
          <t>Lewis Clareburt</t>
        </is>
      </c>
      <c r="D1811" s="33" t="inlineStr">
        <is>
          <t>SwimCloud</t>
        </is>
      </c>
      <c r="E1811" s="33" t="inlineStr">
        <is>
          <t>3464011</t>
        </is>
      </c>
      <c r="F1811" s="33" t="inlineStr">
        <is>
          <t>13584521</t>
        </is>
      </c>
      <c r="G1811" s="51" t="n">
        <v>43011</v>
      </c>
      <c r="H1811" s="33" t="inlineStr">
        <is>
          <t>New Zealand Short Course Championships</t>
        </is>
      </c>
      <c r="I1811" s="33" t="inlineStr">
        <is>
          <t>100928</t>
        </is>
      </c>
      <c r="J1811" s="33" t="inlineStr"/>
      <c r="K1811" s="33" t="inlineStr">
        <is>
          <t>TIM</t>
        </is>
      </c>
      <c r="L1811" s="35">
        <f>IF(K1811="FIN",3,IF(OR(K1811="SEM",K1811="SEMI"),2,IF(OR(K1811="PRE",K1811="HEAT"),1,IF(V1811="YES",4,2))))</f>
        <v/>
      </c>
      <c r="M1811" s="33" t="inlineStr">
        <is>
          <t>SCM</t>
        </is>
      </c>
      <c r="N1811" s="33" t="n">
        <v>100</v>
      </c>
      <c r="O1811" s="33" t="inlineStr">
        <is>
          <t>Free</t>
        </is>
      </c>
      <c r="P1811" s="33" t="inlineStr">
        <is>
          <t>100 Free</t>
        </is>
      </c>
      <c r="Q1811" s="33" t="inlineStr">
        <is>
          <t>SCM_100_FREE</t>
        </is>
      </c>
      <c r="R1811" s="36" t="n">
        <v>51.01</v>
      </c>
      <c r="S1811" s="35">
        <f>IF(R1811="","",IF(R1811&gt;=60,INT(R1811/60)&amp;":"&amp;TEXT(MOD(R1811,60),"00.00"),TEXT(R1811,"0.00")))</f>
        <v/>
      </c>
      <c r="T1811" s="52">
        <f>IFERROR((G1811-INDEX('01_Swimmers'!$E$5:$E$22,MATCH(B1811,'01_Swimmers'!$A$5:$A$22,0)))/'00_Control'!$B$10,"")</f>
        <v/>
      </c>
      <c r="U1811" s="35">
        <f>IF(T1811="","",INT(T1811))</f>
        <v/>
      </c>
      <c r="V1811" s="33" t="inlineStr">
        <is>
          <t>YES</t>
        </is>
      </c>
      <c r="W1811" s="33" t="inlineStr">
        <is>
          <t>YES</t>
        </is>
      </c>
      <c r="X1811" s="33" t="inlineStr">
        <is>
          <t>NO</t>
        </is>
      </c>
      <c r="Y1811" s="33" t="n">
        <v>3</v>
      </c>
      <c r="Z1811" s="33" t="n">
        <v>9</v>
      </c>
      <c r="AA1811" s="33" t="inlineStr"/>
      <c r="AB1811" s="33" t="inlineStr">
        <is>
          <t>https://www.swimcloud.com/results/100928/event/9/?id=13584230#time13584230</t>
        </is>
      </c>
      <c r="AC1811" s="33" t="inlineStr">
        <is>
          <t>SwimCloud API v6 2026-10-08</t>
        </is>
      </c>
      <c r="AD1811" s="33" t="inlineStr">
        <is>
          <t>Lewis Clareburt|2017-10-03|SCM|100|Free|51.01|New Zealand Short Course Championships|TIM|True</t>
        </is>
      </c>
      <c r="AE1811" s="53">
        <f>G1811+L1811/1000+ROW()/1000000000</f>
        <v/>
      </c>
      <c r="AF1811" s="35">
        <f>IF(C1811&lt;&gt;"Grayson Coulter","",COUNTIFS($C$5:$C$2991,"Grayson Coulter",$Q$5:$Q$2991,Q1811,$AE$5:$AE$2991,"&lt;="&amp;AE1811,$R$5:$R$2991,"&lt;"&amp;R1811))</f>
        <v/>
      </c>
      <c r="AG1811" s="35">
        <f>IF(OR(C1811&lt;&gt;"Grayson Coulter",G1811&lt;'00_Control'!$B$7),"",--(AF1811&lt;5))</f>
        <v/>
      </c>
      <c r="AH1811" s="35">
        <f>IF(OR(C1811&lt;&gt;"Grayson Coulter",G1811&lt;'00_Control'!$B$7),"",--(AF1811&lt;10))</f>
        <v/>
      </c>
      <c r="AI1811" s="35">
        <f>IF(AND(C1811="Grayson Coulter",G1811&gt;='00_Control'!$B$7),"YES","NO")</f>
        <v/>
      </c>
      <c r="AJ1811" s="33" t="inlineStr">
        <is>
          <t>OK</t>
        </is>
      </c>
    </row>
    <row r="1812">
      <c r="A1812" s="33" t="inlineStr">
        <is>
          <t>SM001808</t>
        </is>
      </c>
      <c r="B1812" s="33" t="inlineStr">
        <is>
          <t>SW013</t>
        </is>
      </c>
      <c r="C1812" s="33" t="inlineStr">
        <is>
          <t>Lewis Clareburt</t>
        </is>
      </c>
      <c r="D1812" s="33" t="inlineStr">
        <is>
          <t>SwimCloud</t>
        </is>
      </c>
      <c r="E1812" s="33" t="inlineStr">
        <is>
          <t>3464011</t>
        </is>
      </c>
      <c r="F1812" s="33" t="inlineStr">
        <is>
          <t>13581201</t>
        </is>
      </c>
      <c r="G1812" s="51" t="n">
        <v>43011</v>
      </c>
      <c r="H1812" s="33" t="inlineStr">
        <is>
          <t>New Zealand Short Course Championships</t>
        </is>
      </c>
      <c r="I1812" s="33" t="inlineStr">
        <is>
          <t>100928</t>
        </is>
      </c>
      <c r="J1812" s="33" t="inlineStr"/>
      <c r="K1812" s="33" t="inlineStr">
        <is>
          <t>TIM</t>
        </is>
      </c>
      <c r="L1812" s="35">
        <f>IF(K1812="FIN",3,IF(OR(K1812="SEM",K1812="SEMI"),2,IF(OR(K1812="PRE",K1812="HEAT"),1,IF(V1812="YES",4,2))))</f>
        <v/>
      </c>
      <c r="M1812" s="33" t="inlineStr">
        <is>
          <t>SCM</t>
        </is>
      </c>
      <c r="N1812" s="33" t="n">
        <v>200</v>
      </c>
      <c r="O1812" s="33" t="inlineStr">
        <is>
          <t>Free</t>
        </is>
      </c>
      <c r="P1812" s="33" t="inlineStr">
        <is>
          <t>200 Free</t>
        </is>
      </c>
      <c r="Q1812" s="33" t="inlineStr">
        <is>
          <t>SCM_200_FREE</t>
        </is>
      </c>
      <c r="R1812" s="36" t="n">
        <v>109.98</v>
      </c>
      <c r="S1812" s="35">
        <f>IF(R1812="","",IF(R1812&gt;=60,INT(R1812/60)&amp;":"&amp;TEXT(MOD(R1812,60),"00.00"),TEXT(R1812,"0.00")))</f>
        <v/>
      </c>
      <c r="T1812" s="52">
        <f>IFERROR((G1812-INDEX('01_Swimmers'!$E$5:$E$22,MATCH(B1812,'01_Swimmers'!$A$5:$A$22,0)))/'00_Control'!$B$10,"")</f>
        <v/>
      </c>
      <c r="U1812" s="35">
        <f>IF(T1812="","",INT(T1812))</f>
        <v/>
      </c>
      <c r="V1812" s="33" t="inlineStr">
        <is>
          <t>NO</t>
        </is>
      </c>
      <c r="W1812" s="33" t="inlineStr">
        <is>
          <t>YES</t>
        </is>
      </c>
      <c r="X1812" s="33" t="inlineStr">
        <is>
          <t>NO</t>
        </is>
      </c>
      <c r="Y1812" s="33" t="n">
        <v>2</v>
      </c>
      <c r="Z1812" s="33" t="n">
        <v>4</v>
      </c>
      <c r="AA1812" s="33" t="inlineStr">
        <is>
          <t>12</t>
        </is>
      </c>
      <c r="AB1812" s="33" t="inlineStr">
        <is>
          <t>https://www.swimcloud.com/results/100928/event/101/?id=13581201#time13581201</t>
        </is>
      </c>
      <c r="AC1812" s="33" t="inlineStr">
        <is>
          <t>SwimCloud API v6 2026-10-08</t>
        </is>
      </c>
      <c r="AD1812" s="33" t="inlineStr">
        <is>
          <t>Lewis Clareburt|2017-10-03|SCM|200|Free|109.98|New Zealand Short Course Championships|TIM|False</t>
        </is>
      </c>
      <c r="AE1812" s="53">
        <f>G1812+L1812/1000+ROW()/1000000000</f>
        <v/>
      </c>
      <c r="AF1812" s="35">
        <f>IF(C1812&lt;&gt;"Grayson Coulter","",COUNTIFS($C$5:$C$2991,"Grayson Coulter",$Q$5:$Q$2991,Q1812,$AE$5:$AE$2991,"&lt;="&amp;AE1812,$R$5:$R$2991,"&lt;"&amp;R1812))</f>
        <v/>
      </c>
      <c r="AG1812" s="35">
        <f>IF(OR(C1812&lt;&gt;"Grayson Coulter",G1812&lt;'00_Control'!$B$7),"",--(AF1812&lt;5))</f>
        <v/>
      </c>
      <c r="AH1812" s="35">
        <f>IF(OR(C1812&lt;&gt;"Grayson Coulter",G1812&lt;'00_Control'!$B$7),"",--(AF1812&lt;10))</f>
        <v/>
      </c>
      <c r="AI1812" s="35">
        <f>IF(AND(C1812="Grayson Coulter",G1812&gt;='00_Control'!$B$7),"YES","NO")</f>
        <v/>
      </c>
      <c r="AJ1812" s="33" t="inlineStr">
        <is>
          <t>OK</t>
        </is>
      </c>
    </row>
    <row r="1813">
      <c r="A1813" s="33" t="inlineStr">
        <is>
          <t>SM001809</t>
        </is>
      </c>
      <c r="B1813" s="33" t="inlineStr">
        <is>
          <t>SW013</t>
        </is>
      </c>
      <c r="C1813" s="33" t="inlineStr">
        <is>
          <t>Lewis Clareburt</t>
        </is>
      </c>
      <c r="D1813" s="33" t="inlineStr">
        <is>
          <t>SwimCloud</t>
        </is>
      </c>
      <c r="E1813" s="33" t="inlineStr">
        <is>
          <t>3464011</t>
        </is>
      </c>
      <c r="F1813" s="33" t="inlineStr">
        <is>
          <t>13580989</t>
        </is>
      </c>
      <c r="G1813" s="51" t="n">
        <v>43011</v>
      </c>
      <c r="H1813" s="33" t="inlineStr">
        <is>
          <t>New Zealand Short Course Championships</t>
        </is>
      </c>
      <c r="I1813" s="33" t="inlineStr">
        <is>
          <t>100928</t>
        </is>
      </c>
      <c r="J1813" s="33" t="inlineStr"/>
      <c r="K1813" s="33" t="inlineStr">
        <is>
          <t>TIM</t>
        </is>
      </c>
      <c r="L1813" s="35">
        <f>IF(K1813="FIN",3,IF(OR(K1813="SEM",K1813="SEMI"),2,IF(OR(K1813="PRE",K1813="HEAT"),1,IF(V1813="YES",4,2))))</f>
        <v/>
      </c>
      <c r="M1813" s="33" t="inlineStr">
        <is>
          <t>SCM</t>
        </is>
      </c>
      <c r="N1813" s="33" t="n">
        <v>200</v>
      </c>
      <c r="O1813" s="33" t="inlineStr">
        <is>
          <t>Free</t>
        </is>
      </c>
      <c r="P1813" s="33" t="inlineStr">
        <is>
          <t>200 Free</t>
        </is>
      </c>
      <c r="Q1813" s="33" t="inlineStr">
        <is>
          <t>SCM_200_FREE</t>
        </is>
      </c>
      <c r="R1813" s="36" t="n">
        <v>111.06</v>
      </c>
      <c r="S1813" s="35">
        <f>IF(R1813="","",IF(R1813&gt;=60,INT(R1813/60)&amp;":"&amp;TEXT(MOD(R1813,60),"00.00"),TEXT(R1813,"0.00")))</f>
        <v/>
      </c>
      <c r="T1813" s="52">
        <f>IFERROR((G1813-INDEX('01_Swimmers'!$E$5:$E$22,MATCH(B1813,'01_Swimmers'!$A$5:$A$22,0)))/'00_Control'!$B$10,"")</f>
        <v/>
      </c>
      <c r="U1813" s="35">
        <f>IF(T1813="","",INT(T1813))</f>
        <v/>
      </c>
      <c r="V1813" s="33" t="inlineStr">
        <is>
          <t>NO</t>
        </is>
      </c>
      <c r="W1813" s="33" t="inlineStr">
        <is>
          <t>YES</t>
        </is>
      </c>
      <c r="X1813" s="33" t="inlineStr">
        <is>
          <t>NO</t>
        </is>
      </c>
      <c r="Y1813" s="33" t="n">
        <v>14</v>
      </c>
      <c r="Z1813" s="33" t="n">
        <v>4</v>
      </c>
      <c r="AA1813" s="33" t="inlineStr">
        <is>
          <t>3</t>
        </is>
      </c>
      <c r="AB1813" s="33" t="inlineStr">
        <is>
          <t>https://www.swimcloud.com/results/100928/event/1/?id=13580989#time13580989</t>
        </is>
      </c>
      <c r="AC1813" s="33" t="inlineStr">
        <is>
          <t>SwimCloud API v6 2026-10-08</t>
        </is>
      </c>
      <c r="AD1813" s="33" t="inlineStr">
        <is>
          <t>Lewis Clareburt|2017-10-03|SCM|200|Free|111.06|New Zealand Short Course Championships|TIM|False</t>
        </is>
      </c>
      <c r="AE1813" s="53">
        <f>G1813+L1813/1000+ROW()/1000000000</f>
        <v/>
      </c>
      <c r="AF1813" s="35">
        <f>IF(C1813&lt;&gt;"Grayson Coulter","",COUNTIFS($C$5:$C$2991,"Grayson Coulter",$Q$5:$Q$2991,Q1813,$AE$5:$AE$2991,"&lt;="&amp;AE1813,$R$5:$R$2991,"&lt;"&amp;R1813))</f>
        <v/>
      </c>
      <c r="AG1813" s="35">
        <f>IF(OR(C1813&lt;&gt;"Grayson Coulter",G1813&lt;'00_Control'!$B$7),"",--(AF1813&lt;5))</f>
        <v/>
      </c>
      <c r="AH1813" s="35">
        <f>IF(OR(C1813&lt;&gt;"Grayson Coulter",G1813&lt;'00_Control'!$B$7),"",--(AF1813&lt;10))</f>
        <v/>
      </c>
      <c r="AI1813" s="35">
        <f>IF(AND(C1813="Grayson Coulter",G1813&gt;='00_Control'!$B$7),"YES","NO")</f>
        <v/>
      </c>
      <c r="AJ1813" s="33" t="inlineStr">
        <is>
          <t>OK</t>
        </is>
      </c>
    </row>
    <row r="1814">
      <c r="A1814" s="33" t="inlineStr">
        <is>
          <t>SM001810</t>
        </is>
      </c>
      <c r="B1814" s="33" t="inlineStr">
        <is>
          <t>SW013</t>
        </is>
      </c>
      <c r="C1814" s="33" t="inlineStr">
        <is>
          <t>Lewis Clareburt</t>
        </is>
      </c>
      <c r="D1814" s="33" t="inlineStr">
        <is>
          <t>SwimCloud</t>
        </is>
      </c>
      <c r="E1814" s="33" t="inlineStr">
        <is>
          <t>3464011</t>
        </is>
      </c>
      <c r="F1814" s="33" t="inlineStr">
        <is>
          <t>13581222</t>
        </is>
      </c>
      <c r="G1814" s="51" t="n">
        <v>43013</v>
      </c>
      <c r="H1814" s="33" t="inlineStr">
        <is>
          <t>New Zealand Short Course Championships</t>
        </is>
      </c>
      <c r="I1814" s="33" t="inlineStr">
        <is>
          <t>100928</t>
        </is>
      </c>
      <c r="J1814" s="33" t="inlineStr"/>
      <c r="K1814" s="33" t="inlineStr">
        <is>
          <t>TIM</t>
        </is>
      </c>
      <c r="L1814" s="35">
        <f>IF(K1814="FIN",3,IF(OR(K1814="SEM",K1814="SEMI"),2,IF(OR(K1814="PRE",K1814="HEAT"),1,IF(V1814="YES",4,2))))</f>
        <v/>
      </c>
      <c r="M1814" s="33" t="inlineStr">
        <is>
          <t>SCM</t>
        </is>
      </c>
      <c r="N1814" s="33" t="n">
        <v>400</v>
      </c>
      <c r="O1814" s="33" t="inlineStr">
        <is>
          <t>Free</t>
        </is>
      </c>
      <c r="P1814" s="33" t="inlineStr">
        <is>
          <t>400 Free</t>
        </is>
      </c>
      <c r="Q1814" s="33" t="inlineStr">
        <is>
          <t>SCM_400_FREE</t>
        </is>
      </c>
      <c r="R1814" s="36" t="n">
        <v>234.96</v>
      </c>
      <c r="S1814" s="35">
        <f>IF(R1814="","",IF(R1814&gt;=60,INT(R1814/60)&amp;":"&amp;TEXT(MOD(R1814,60),"00.00"),TEXT(R1814,"0.00")))</f>
        <v/>
      </c>
      <c r="T1814" s="52">
        <f>IFERROR((G1814-INDEX('01_Swimmers'!$E$5:$E$22,MATCH(B1814,'01_Swimmers'!$A$5:$A$22,0)))/'00_Control'!$B$10,"")</f>
        <v/>
      </c>
      <c r="U1814" s="35">
        <f>IF(T1814="","",INT(T1814))</f>
        <v/>
      </c>
      <c r="V1814" s="33" t="inlineStr">
        <is>
          <t>NO</t>
        </is>
      </c>
      <c r="W1814" s="33" t="inlineStr">
        <is>
          <t>YES</t>
        </is>
      </c>
      <c r="X1814" s="33" t="inlineStr">
        <is>
          <t>NO</t>
        </is>
      </c>
      <c r="Y1814" s="33" t="n">
        <v>1</v>
      </c>
      <c r="Z1814" s="33" t="n">
        <v>1</v>
      </c>
      <c r="AA1814" s="33" t="inlineStr">
        <is>
          <t>7</t>
        </is>
      </c>
      <c r="AB1814" s="33" t="inlineStr">
        <is>
          <t>https://www.swimcloud.com/results/100928/event/123/?id=13581222#time13581222</t>
        </is>
      </c>
      <c r="AC1814" s="33" t="inlineStr">
        <is>
          <t>SwimCloud API v6 2026-10-08</t>
        </is>
      </c>
      <c r="AD1814" s="33" t="inlineStr">
        <is>
          <t>Lewis Clareburt|2017-10-05|SCM|400|Free|234.96|New Zealand Short Course Championships|TIM|False</t>
        </is>
      </c>
      <c r="AE1814" s="53">
        <f>G1814+L1814/1000+ROW()/1000000000</f>
        <v/>
      </c>
      <c r="AF1814" s="35">
        <f>IF(C1814&lt;&gt;"Grayson Coulter","",COUNTIFS($C$5:$C$2991,"Grayson Coulter",$Q$5:$Q$2991,Q1814,$AE$5:$AE$2991,"&lt;="&amp;AE1814,$R$5:$R$2991,"&lt;"&amp;R1814))</f>
        <v/>
      </c>
      <c r="AG1814" s="35">
        <f>IF(OR(C1814&lt;&gt;"Grayson Coulter",G1814&lt;'00_Control'!$B$7),"",--(AF1814&lt;5))</f>
        <v/>
      </c>
      <c r="AH1814" s="35">
        <f>IF(OR(C1814&lt;&gt;"Grayson Coulter",G1814&lt;'00_Control'!$B$7),"",--(AF1814&lt;10))</f>
        <v/>
      </c>
      <c r="AI1814" s="35">
        <f>IF(AND(C1814="Grayson Coulter",G1814&gt;='00_Control'!$B$7),"YES","NO")</f>
        <v/>
      </c>
      <c r="AJ1814" s="33" t="inlineStr">
        <is>
          <t>OK</t>
        </is>
      </c>
    </row>
    <row r="1815">
      <c r="A1815" s="33" t="inlineStr">
        <is>
          <t>SM001811</t>
        </is>
      </c>
      <c r="B1815" s="33" t="inlineStr">
        <is>
          <t>SW013</t>
        </is>
      </c>
      <c r="C1815" s="33" t="inlineStr">
        <is>
          <t>Lewis Clareburt</t>
        </is>
      </c>
      <c r="D1815" s="33" t="inlineStr">
        <is>
          <t>SwimCloud</t>
        </is>
      </c>
      <c r="E1815" s="33" t="inlineStr">
        <is>
          <t>3464011</t>
        </is>
      </c>
      <c r="F1815" s="33" t="inlineStr">
        <is>
          <t>13580838</t>
        </is>
      </c>
      <c r="G1815" s="51" t="n">
        <v>43013</v>
      </c>
      <c r="H1815" s="33" t="inlineStr">
        <is>
          <t>New Zealand Short Course Championships</t>
        </is>
      </c>
      <c r="I1815" s="33" t="inlineStr">
        <is>
          <t>100928</t>
        </is>
      </c>
      <c r="J1815" s="33" t="inlineStr"/>
      <c r="K1815" s="33" t="inlineStr">
        <is>
          <t>TIM</t>
        </is>
      </c>
      <c r="L1815" s="35">
        <f>IF(K1815="FIN",3,IF(OR(K1815="SEM",K1815="SEMI"),2,IF(OR(K1815="PRE",K1815="HEAT"),1,IF(V1815="YES",4,2))))</f>
        <v/>
      </c>
      <c r="M1815" s="33" t="inlineStr">
        <is>
          <t>SCM</t>
        </is>
      </c>
      <c r="N1815" s="33" t="n">
        <v>400</v>
      </c>
      <c r="O1815" s="33" t="inlineStr">
        <is>
          <t>Free</t>
        </is>
      </c>
      <c r="P1815" s="33" t="inlineStr">
        <is>
          <t>400 Free</t>
        </is>
      </c>
      <c r="Q1815" s="33" t="inlineStr">
        <is>
          <t>SCM_400_FREE</t>
        </is>
      </c>
      <c r="R1815" s="36" t="n">
        <v>235.42</v>
      </c>
      <c r="S1815" s="35">
        <f>IF(R1815="","",IF(R1815&gt;=60,INT(R1815/60)&amp;":"&amp;TEXT(MOD(R1815,60),"00.00"),TEXT(R1815,"0.00")))</f>
        <v/>
      </c>
      <c r="T1815" s="52">
        <f>IFERROR((G1815-INDEX('01_Swimmers'!$E$5:$E$22,MATCH(B1815,'01_Swimmers'!$A$5:$A$22,0)))/'00_Control'!$B$10,"")</f>
        <v/>
      </c>
      <c r="U1815" s="35">
        <f>IF(T1815="","",INT(T1815))</f>
        <v/>
      </c>
      <c r="V1815" s="33" t="inlineStr">
        <is>
          <t>NO</t>
        </is>
      </c>
      <c r="W1815" s="33" t="inlineStr">
        <is>
          <t>YES</t>
        </is>
      </c>
      <c r="X1815" s="33" t="inlineStr">
        <is>
          <t>NO</t>
        </is>
      </c>
      <c r="Y1815" s="33" t="n">
        <v>13</v>
      </c>
      <c r="Z1815" s="33" t="n">
        <v>4</v>
      </c>
      <c r="AA1815" s="33" t="inlineStr">
        <is>
          <t>3</t>
        </is>
      </c>
      <c r="AB1815" s="33" t="inlineStr">
        <is>
          <t>https://www.swimcloud.com/results/100928/event/23/?id=13580838#time13580838</t>
        </is>
      </c>
      <c r="AC1815" s="33" t="inlineStr">
        <is>
          <t>SwimCloud API v6 2026-10-08</t>
        </is>
      </c>
      <c r="AD1815" s="33" t="inlineStr">
        <is>
          <t>Lewis Clareburt|2017-10-05|SCM|400|Free|235.42|New Zealand Short Course Championships|TIM|False</t>
        </is>
      </c>
      <c r="AE1815" s="53">
        <f>G1815+L1815/1000+ROW()/1000000000</f>
        <v/>
      </c>
      <c r="AF1815" s="35">
        <f>IF(C1815&lt;&gt;"Grayson Coulter","",COUNTIFS($C$5:$C$2991,"Grayson Coulter",$Q$5:$Q$2991,Q1815,$AE$5:$AE$2991,"&lt;="&amp;AE1815,$R$5:$R$2991,"&lt;"&amp;R1815))</f>
        <v/>
      </c>
      <c r="AG1815" s="35">
        <f>IF(OR(C1815&lt;&gt;"Grayson Coulter",G1815&lt;'00_Control'!$B$7),"",--(AF1815&lt;5))</f>
        <v/>
      </c>
      <c r="AH1815" s="35">
        <f>IF(OR(C1815&lt;&gt;"Grayson Coulter",G1815&lt;'00_Control'!$B$7),"",--(AF1815&lt;10))</f>
        <v/>
      </c>
      <c r="AI1815" s="35">
        <f>IF(AND(C1815="Grayson Coulter",G1815&gt;='00_Control'!$B$7),"YES","NO")</f>
        <v/>
      </c>
      <c r="AJ1815" s="33" t="inlineStr">
        <is>
          <t>OK</t>
        </is>
      </c>
    </row>
    <row r="1816">
      <c r="A1816" s="33" t="inlineStr">
        <is>
          <t>SM001812</t>
        </is>
      </c>
      <c r="B1816" s="33" t="inlineStr">
        <is>
          <t>SW013</t>
        </is>
      </c>
      <c r="C1816" s="33" t="inlineStr">
        <is>
          <t>Lewis Clareburt</t>
        </is>
      </c>
      <c r="D1816" s="33" t="inlineStr">
        <is>
          <t>SwimCloud</t>
        </is>
      </c>
      <c r="E1816" s="33" t="inlineStr">
        <is>
          <t>3464011</t>
        </is>
      </c>
      <c r="F1816" s="33" t="inlineStr">
        <is>
          <t>13583631</t>
        </is>
      </c>
      <c r="G1816" s="51" t="n">
        <v>43014</v>
      </c>
      <c r="H1816" s="33" t="inlineStr">
        <is>
          <t>New Zealand Short Course Championships</t>
        </is>
      </c>
      <c r="I1816" s="33" t="inlineStr">
        <is>
          <t>100928</t>
        </is>
      </c>
      <c r="J1816" s="33" t="inlineStr"/>
      <c r="K1816" s="33" t="inlineStr">
        <is>
          <t>TIM</t>
        </is>
      </c>
      <c r="L1816" s="35">
        <f>IF(K1816="FIN",3,IF(OR(K1816="SEM",K1816="SEMI"),2,IF(OR(K1816="PRE",K1816="HEAT"),1,IF(V1816="YES",4,2))))</f>
        <v/>
      </c>
      <c r="M1816" s="33" t="inlineStr">
        <is>
          <t>SCM</t>
        </is>
      </c>
      <c r="N1816" s="33" t="n">
        <v>100</v>
      </c>
      <c r="O1816" s="33" t="inlineStr">
        <is>
          <t>Fly</t>
        </is>
      </c>
      <c r="P1816" s="33" t="inlineStr">
        <is>
          <t>100 Fly</t>
        </is>
      </c>
      <c r="Q1816" s="33" t="inlineStr">
        <is>
          <t>SCM_100_FLY</t>
        </is>
      </c>
      <c r="R1816" s="36" t="n">
        <v>54.96</v>
      </c>
      <c r="S1816" s="35">
        <f>IF(R1816="","",IF(R1816&gt;=60,INT(R1816/60)&amp;":"&amp;TEXT(MOD(R1816,60),"00.00"),TEXT(R1816,"0.00")))</f>
        <v/>
      </c>
      <c r="T1816" s="52">
        <f>IFERROR((G1816-INDEX('01_Swimmers'!$E$5:$E$22,MATCH(B1816,'01_Swimmers'!$A$5:$A$22,0)))/'00_Control'!$B$10,"")</f>
        <v/>
      </c>
      <c r="U1816" s="35">
        <f>IF(T1816="","",INT(T1816))</f>
        <v/>
      </c>
      <c r="V1816" s="33" t="inlineStr">
        <is>
          <t>NO</t>
        </is>
      </c>
      <c r="W1816" s="33" t="inlineStr">
        <is>
          <t>YES</t>
        </is>
      </c>
      <c r="X1816" s="33" t="inlineStr">
        <is>
          <t>NO</t>
        </is>
      </c>
      <c r="Y1816" s="33" t="n">
        <v>1</v>
      </c>
      <c r="Z1816" s="33" t="n">
        <v>8</v>
      </c>
      <c r="AA1816" s="33" t="inlineStr">
        <is>
          <t>4</t>
        </is>
      </c>
      <c r="AB1816" s="33" t="inlineStr">
        <is>
          <t>https://www.swimcloud.com/results/100928/event/129/?id=13583631#time13583631</t>
        </is>
      </c>
      <c r="AC1816" s="33" t="inlineStr">
        <is>
          <t>SwimCloud API v6 2026-10-08</t>
        </is>
      </c>
      <c r="AD1816" s="33" t="inlineStr">
        <is>
          <t>Lewis Clareburt|2017-10-06|SCM|100|Fly|54.96|New Zealand Short Course Championships|TIM|False</t>
        </is>
      </c>
      <c r="AE1816" s="53">
        <f>G1816+L1816/1000+ROW()/1000000000</f>
        <v/>
      </c>
      <c r="AF1816" s="35">
        <f>IF(C1816&lt;&gt;"Grayson Coulter","",COUNTIFS($C$5:$C$2991,"Grayson Coulter",$Q$5:$Q$2991,Q1816,$AE$5:$AE$2991,"&lt;="&amp;AE1816,$R$5:$R$2991,"&lt;"&amp;R1816))</f>
        <v/>
      </c>
      <c r="AG1816" s="35">
        <f>IF(OR(C1816&lt;&gt;"Grayson Coulter",G1816&lt;'00_Control'!$B$7),"",--(AF1816&lt;5))</f>
        <v/>
      </c>
      <c r="AH1816" s="35">
        <f>IF(OR(C1816&lt;&gt;"Grayson Coulter",G1816&lt;'00_Control'!$B$7),"",--(AF1816&lt;10))</f>
        <v/>
      </c>
      <c r="AI1816" s="35">
        <f>IF(AND(C1816="Grayson Coulter",G1816&gt;='00_Control'!$B$7),"YES","NO")</f>
        <v/>
      </c>
      <c r="AJ1816" s="33" t="inlineStr">
        <is>
          <t>OK</t>
        </is>
      </c>
    </row>
    <row r="1817">
      <c r="A1817" s="33" t="inlineStr">
        <is>
          <t>SM001813</t>
        </is>
      </c>
      <c r="B1817" s="33" t="inlineStr">
        <is>
          <t>SW013</t>
        </is>
      </c>
      <c r="C1817" s="33" t="inlineStr">
        <is>
          <t>Lewis Clareburt</t>
        </is>
      </c>
      <c r="D1817" s="33" t="inlineStr">
        <is>
          <t>SwimCloud</t>
        </is>
      </c>
      <c r="E1817" s="33" t="inlineStr">
        <is>
          <t>3464011</t>
        </is>
      </c>
      <c r="F1817" s="33" t="inlineStr">
        <is>
          <t>13582821</t>
        </is>
      </c>
      <c r="G1817" s="51" t="n">
        <v>43014</v>
      </c>
      <c r="H1817" s="33" t="inlineStr">
        <is>
          <t>New Zealand Short Course Championships</t>
        </is>
      </c>
      <c r="I1817" s="33" t="inlineStr">
        <is>
          <t>100928</t>
        </is>
      </c>
      <c r="J1817" s="33" t="inlineStr"/>
      <c r="K1817" s="33" t="inlineStr">
        <is>
          <t>TIM</t>
        </is>
      </c>
      <c r="L1817" s="35">
        <f>IF(K1817="FIN",3,IF(OR(K1817="SEM",K1817="SEMI"),2,IF(OR(K1817="PRE",K1817="HEAT"),1,IF(V1817="YES",4,2))))</f>
        <v/>
      </c>
      <c r="M1817" s="33" t="inlineStr">
        <is>
          <t>SCM</t>
        </is>
      </c>
      <c r="N1817" s="33" t="n">
        <v>100</v>
      </c>
      <c r="O1817" s="33" t="inlineStr">
        <is>
          <t>Fly</t>
        </is>
      </c>
      <c r="P1817" s="33" t="inlineStr">
        <is>
          <t>100 Fly</t>
        </is>
      </c>
      <c r="Q1817" s="33" t="inlineStr">
        <is>
          <t>SCM_100_FLY</t>
        </is>
      </c>
      <c r="R1817" s="36" t="n">
        <v>55.68</v>
      </c>
      <c r="S1817" s="35">
        <f>IF(R1817="","",IF(R1817&gt;=60,INT(R1817/60)&amp;":"&amp;TEXT(MOD(R1817,60),"00.00"),TEXT(R1817,"0.00")))</f>
        <v/>
      </c>
      <c r="T1817" s="52">
        <f>IFERROR((G1817-INDEX('01_Swimmers'!$E$5:$E$22,MATCH(B1817,'01_Swimmers'!$A$5:$A$22,0)))/'00_Control'!$B$10,"")</f>
        <v/>
      </c>
      <c r="U1817" s="35">
        <f>IF(T1817="","",INT(T1817))</f>
        <v/>
      </c>
      <c r="V1817" s="33" t="inlineStr">
        <is>
          <t>NO</t>
        </is>
      </c>
      <c r="W1817" s="33" t="inlineStr">
        <is>
          <t>YES</t>
        </is>
      </c>
      <c r="X1817" s="33" t="inlineStr">
        <is>
          <t>NO</t>
        </is>
      </c>
      <c r="Y1817" s="33" t="n">
        <v>14</v>
      </c>
      <c r="Z1817" s="33" t="n">
        <v>5</v>
      </c>
      <c r="AA1817" s="33" t="inlineStr">
        <is>
          <t>4</t>
        </is>
      </c>
      <c r="AB1817" s="33" t="inlineStr">
        <is>
          <t>https://www.swimcloud.com/results/100928/event/29/?id=13582821#time13582821</t>
        </is>
      </c>
      <c r="AC1817" s="33" t="inlineStr">
        <is>
          <t>SwimCloud API v6 2026-10-08</t>
        </is>
      </c>
      <c r="AD1817" s="33" t="inlineStr">
        <is>
          <t>Lewis Clareburt|2017-10-06|SCM|100|Fly|55.68|New Zealand Short Course Championships|TIM|False</t>
        </is>
      </c>
      <c r="AE1817" s="53">
        <f>G1817+L1817/1000+ROW()/1000000000</f>
        <v/>
      </c>
      <c r="AF1817" s="35">
        <f>IF(C1817&lt;&gt;"Grayson Coulter","",COUNTIFS($C$5:$C$2991,"Grayson Coulter",$Q$5:$Q$2991,Q1817,$AE$5:$AE$2991,"&lt;="&amp;AE1817,$R$5:$R$2991,"&lt;"&amp;R1817))</f>
        <v/>
      </c>
      <c r="AG1817" s="35">
        <f>IF(OR(C1817&lt;&gt;"Grayson Coulter",G1817&lt;'00_Control'!$B$7),"",--(AF1817&lt;5))</f>
        <v/>
      </c>
      <c r="AH1817" s="35">
        <f>IF(OR(C1817&lt;&gt;"Grayson Coulter",G1817&lt;'00_Control'!$B$7),"",--(AF1817&lt;10))</f>
        <v/>
      </c>
      <c r="AI1817" s="35">
        <f>IF(AND(C1817="Grayson Coulter",G1817&gt;='00_Control'!$B$7),"YES","NO")</f>
        <v/>
      </c>
      <c r="AJ1817" s="33" t="inlineStr">
        <is>
          <t>OK</t>
        </is>
      </c>
    </row>
    <row r="1818">
      <c r="A1818" s="33" t="inlineStr">
        <is>
          <t>SM001814</t>
        </is>
      </c>
      <c r="B1818" s="33" t="inlineStr">
        <is>
          <t>SW013</t>
        </is>
      </c>
      <c r="C1818" s="33" t="inlineStr">
        <is>
          <t>Lewis Clareburt</t>
        </is>
      </c>
      <c r="D1818" s="33" t="inlineStr">
        <is>
          <t>SwimCloud</t>
        </is>
      </c>
      <c r="E1818" s="33" t="inlineStr">
        <is>
          <t>3464011</t>
        </is>
      </c>
      <c r="F1818" s="33" t="inlineStr">
        <is>
          <t>45415479</t>
        </is>
      </c>
      <c r="G1818" s="51" t="n">
        <v>43120</v>
      </c>
      <c r="H1818" s="33" t="inlineStr">
        <is>
          <t>Swim Wellington Summer Champs</t>
        </is>
      </c>
      <c r="I1818" s="33" t="inlineStr">
        <is>
          <t>100931</t>
        </is>
      </c>
      <c r="J1818" s="33" t="inlineStr"/>
      <c r="K1818" s="33" t="inlineStr">
        <is>
          <t>PRE</t>
        </is>
      </c>
      <c r="L1818" s="35">
        <f>IF(K1818="FIN",3,IF(OR(K1818="SEM",K1818="SEMI"),2,IF(OR(K1818="PRE",K1818="HEAT"),1,IF(V1818="YES",4,2))))</f>
        <v/>
      </c>
      <c r="M1818" s="33" t="inlineStr">
        <is>
          <t>LCM</t>
        </is>
      </c>
      <c r="N1818" s="33" t="n">
        <v>200</v>
      </c>
      <c r="O1818" s="33" t="inlineStr">
        <is>
          <t>Free</t>
        </is>
      </c>
      <c r="P1818" s="33" t="inlineStr">
        <is>
          <t>200 Free</t>
        </is>
      </c>
      <c r="Q1818" s="33" t="inlineStr">
        <is>
          <t>LCM_200_FREE</t>
        </is>
      </c>
      <c r="R1818" s="36" t="n">
        <v>117.49</v>
      </c>
      <c r="S1818" s="35">
        <f>IF(R1818="","",IF(R1818&gt;=60,INT(R1818/60)&amp;":"&amp;TEXT(MOD(R1818,60),"00.00"),TEXT(R1818,"0.00")))</f>
        <v/>
      </c>
      <c r="T1818" s="52">
        <f>IFERROR((G1818-INDEX('01_Swimmers'!$E$5:$E$22,MATCH(B1818,'01_Swimmers'!$A$5:$A$22,0)))/'00_Control'!$B$10,"")</f>
        <v/>
      </c>
      <c r="U1818" s="35">
        <f>IF(T1818="","",INT(T1818))</f>
        <v/>
      </c>
      <c r="V1818" s="33" t="inlineStr">
        <is>
          <t>NO</t>
        </is>
      </c>
      <c r="W1818" s="33" t="inlineStr">
        <is>
          <t>YES</t>
        </is>
      </c>
      <c r="X1818" s="33" t="inlineStr">
        <is>
          <t>NO</t>
        </is>
      </c>
      <c r="Y1818" s="33" t="n">
        <v>9</v>
      </c>
      <c r="Z1818" s="33" t="n">
        <v>4</v>
      </c>
      <c r="AA1818" s="33" t="inlineStr">
        <is>
          <t>1</t>
        </is>
      </c>
      <c r="AB1818" s="33" t="inlineStr">
        <is>
          <t>https://www.swimcloud.com/results/100931/event/8/?id=45415479#time45415479</t>
        </is>
      </c>
      <c r="AC1818" s="33" t="inlineStr">
        <is>
          <t>SwimCloud API v6 2026-10-08</t>
        </is>
      </c>
      <c r="AD1818" s="33" t="inlineStr">
        <is>
          <t>Lewis Clareburt|2018-01-20|LCM|200|Free|117.49|Swim Wellington Summer Champs|PRE|False</t>
        </is>
      </c>
      <c r="AE1818" s="53">
        <f>G1818+L1818/1000+ROW()/1000000000</f>
        <v/>
      </c>
      <c r="AF1818" s="35">
        <f>IF(C1818&lt;&gt;"Grayson Coulter","",COUNTIFS($C$5:$C$2991,"Grayson Coulter",$Q$5:$Q$2991,Q1818,$AE$5:$AE$2991,"&lt;="&amp;AE1818,$R$5:$R$2991,"&lt;"&amp;R1818))</f>
        <v/>
      </c>
      <c r="AG1818" s="35">
        <f>IF(OR(C1818&lt;&gt;"Grayson Coulter",G1818&lt;'00_Control'!$B$7),"",--(AF1818&lt;5))</f>
        <v/>
      </c>
      <c r="AH1818" s="35">
        <f>IF(OR(C1818&lt;&gt;"Grayson Coulter",G1818&lt;'00_Control'!$B$7),"",--(AF1818&lt;10))</f>
        <v/>
      </c>
      <c r="AI1818" s="35">
        <f>IF(AND(C1818="Grayson Coulter",G1818&gt;='00_Control'!$B$7),"YES","NO")</f>
        <v/>
      </c>
      <c r="AJ1818" s="33" t="inlineStr">
        <is>
          <t>OK</t>
        </is>
      </c>
    </row>
    <row r="1819">
      <c r="A1819" s="33" t="inlineStr">
        <is>
          <t>SM001815</t>
        </is>
      </c>
      <c r="B1819" s="33" t="inlineStr">
        <is>
          <t>SW013</t>
        </is>
      </c>
      <c r="C1819" s="33" t="inlineStr">
        <is>
          <t>Lewis Clareburt</t>
        </is>
      </c>
      <c r="D1819" s="33" t="inlineStr">
        <is>
          <t>SwimCloud</t>
        </is>
      </c>
      <c r="E1819" s="33" t="inlineStr">
        <is>
          <t>3464011</t>
        </is>
      </c>
      <c r="F1819" s="33" t="inlineStr">
        <is>
          <t>45415480</t>
        </is>
      </c>
      <c r="G1819" s="51" t="n">
        <v>43120</v>
      </c>
      <c r="H1819" s="33" t="inlineStr">
        <is>
          <t>Swim Wellington Summer Champs</t>
        </is>
      </c>
      <c r="I1819" s="33" t="inlineStr">
        <is>
          <t>100931</t>
        </is>
      </c>
      <c r="J1819" s="33" t="inlineStr"/>
      <c r="K1819" s="33" t="inlineStr">
        <is>
          <t>FIN</t>
        </is>
      </c>
      <c r="L1819" s="35">
        <f>IF(K1819="FIN",3,IF(OR(K1819="SEM",K1819="SEMI"),2,IF(OR(K1819="PRE",K1819="HEAT"),1,IF(V1819="YES",4,2))))</f>
        <v/>
      </c>
      <c r="M1819" s="33" t="inlineStr">
        <is>
          <t>LCM</t>
        </is>
      </c>
      <c r="N1819" s="33" t="n">
        <v>200</v>
      </c>
      <c r="O1819" s="33" t="inlineStr">
        <is>
          <t>Free</t>
        </is>
      </c>
      <c r="P1819" s="33" t="inlineStr">
        <is>
          <t>200 Free</t>
        </is>
      </c>
      <c r="Q1819" s="33" t="inlineStr">
        <is>
          <t>LCM_200_FREE</t>
        </is>
      </c>
      <c r="R1819" s="36" t="n">
        <v>112.63</v>
      </c>
      <c r="S1819" s="35">
        <f>IF(R1819="","",IF(R1819&gt;=60,INT(R1819/60)&amp;":"&amp;TEXT(MOD(R1819,60),"00.00"),TEXT(R1819,"0.00")))</f>
        <v/>
      </c>
      <c r="T1819" s="52">
        <f>IFERROR((G1819-INDEX('01_Swimmers'!$E$5:$E$22,MATCH(B1819,'01_Swimmers'!$A$5:$A$22,0)))/'00_Control'!$B$10,"")</f>
        <v/>
      </c>
      <c r="U1819" s="35">
        <f>IF(T1819="","",INT(T1819))</f>
        <v/>
      </c>
      <c r="V1819" s="33" t="inlineStr">
        <is>
          <t>NO</t>
        </is>
      </c>
      <c r="W1819" s="33" t="inlineStr">
        <is>
          <t>YES</t>
        </is>
      </c>
      <c r="X1819" s="33" t="inlineStr">
        <is>
          <t>NO</t>
        </is>
      </c>
      <c r="Y1819" s="33" t="n">
        <v>5</v>
      </c>
      <c r="Z1819" s="33" t="n">
        <v>4</v>
      </c>
      <c r="AA1819" s="33" t="inlineStr">
        <is>
          <t>1</t>
        </is>
      </c>
      <c r="AB1819" s="33" t="inlineStr">
        <is>
          <t>https://www.swimcloud.com/results/100931/event/8/?id=45415480#time45415480</t>
        </is>
      </c>
      <c r="AC1819" s="33" t="inlineStr">
        <is>
          <t>SwimCloud API v6 2026-10-08</t>
        </is>
      </c>
      <c r="AD1819" s="33" t="inlineStr">
        <is>
          <t>Lewis Clareburt|2018-01-20|LCM|200|Free|112.63|Swim Wellington Summer Champs|FIN|False</t>
        </is>
      </c>
      <c r="AE1819" s="53">
        <f>G1819+L1819/1000+ROW()/1000000000</f>
        <v/>
      </c>
      <c r="AF1819" s="35">
        <f>IF(C1819&lt;&gt;"Grayson Coulter","",COUNTIFS($C$5:$C$2991,"Grayson Coulter",$Q$5:$Q$2991,Q1819,$AE$5:$AE$2991,"&lt;="&amp;AE1819,$R$5:$R$2991,"&lt;"&amp;R1819))</f>
        <v/>
      </c>
      <c r="AG1819" s="35">
        <f>IF(OR(C1819&lt;&gt;"Grayson Coulter",G1819&lt;'00_Control'!$B$7),"",--(AF1819&lt;5))</f>
        <v/>
      </c>
      <c r="AH1819" s="35">
        <f>IF(OR(C1819&lt;&gt;"Grayson Coulter",G1819&lt;'00_Control'!$B$7),"",--(AF1819&lt;10))</f>
        <v/>
      </c>
      <c r="AI1819" s="35">
        <f>IF(AND(C1819="Grayson Coulter",G1819&gt;='00_Control'!$B$7),"YES","NO")</f>
        <v/>
      </c>
      <c r="AJ1819" s="33" t="inlineStr">
        <is>
          <t>OK</t>
        </is>
      </c>
    </row>
    <row r="1820">
      <c r="A1820" s="33" t="inlineStr">
        <is>
          <t>SM001816</t>
        </is>
      </c>
      <c r="B1820" s="33" t="inlineStr">
        <is>
          <t>SW013</t>
        </is>
      </c>
      <c r="C1820" s="33" t="inlineStr">
        <is>
          <t>Lewis Clareburt</t>
        </is>
      </c>
      <c r="D1820" s="33" t="inlineStr">
        <is>
          <t>SwimCloud</t>
        </is>
      </c>
      <c r="E1820" s="33" t="inlineStr">
        <is>
          <t>3464011</t>
        </is>
      </c>
      <c r="F1820" s="33" t="inlineStr">
        <is>
          <t>45415511</t>
        </is>
      </c>
      <c r="G1820" s="51" t="n">
        <v>43120</v>
      </c>
      <c r="H1820" s="33" t="inlineStr">
        <is>
          <t>Swim Wellington Summer Champs</t>
        </is>
      </c>
      <c r="I1820" s="33" t="inlineStr">
        <is>
          <t>100931</t>
        </is>
      </c>
      <c r="J1820" s="33" t="inlineStr"/>
      <c r="K1820" s="33" t="inlineStr">
        <is>
          <t>TIM</t>
        </is>
      </c>
      <c r="L1820" s="35">
        <f>IF(K1820="FIN",3,IF(OR(K1820="SEM",K1820="SEMI"),2,IF(OR(K1820="PRE",K1820="HEAT"),1,IF(V1820="YES",4,2))))</f>
        <v/>
      </c>
      <c r="M1820" s="33" t="inlineStr">
        <is>
          <t>LCM</t>
        </is>
      </c>
      <c r="N1820" s="33" t="n">
        <v>400</v>
      </c>
      <c r="O1820" s="33" t="inlineStr">
        <is>
          <t>Free</t>
        </is>
      </c>
      <c r="P1820" s="33" t="inlineStr">
        <is>
          <t>400 Free</t>
        </is>
      </c>
      <c r="Q1820" s="33" t="inlineStr">
        <is>
          <t>LCM_400_FREE</t>
        </is>
      </c>
      <c r="R1820" s="36" t="n">
        <v>241.44</v>
      </c>
      <c r="S1820" s="35">
        <f>IF(R1820="","",IF(R1820&gt;=60,INT(R1820/60)&amp;":"&amp;TEXT(MOD(R1820,60),"00.00"),TEXT(R1820,"0.00")))</f>
        <v/>
      </c>
      <c r="T1820" s="52">
        <f>IFERROR((G1820-INDEX('01_Swimmers'!$E$5:$E$22,MATCH(B1820,'01_Swimmers'!$A$5:$A$22,0)))/'00_Control'!$B$10,"")</f>
        <v/>
      </c>
      <c r="U1820" s="35">
        <f>IF(T1820="","",INT(T1820))</f>
        <v/>
      </c>
      <c r="V1820" s="33" t="inlineStr">
        <is>
          <t>NO</t>
        </is>
      </c>
      <c r="W1820" s="33" t="inlineStr">
        <is>
          <t>YES</t>
        </is>
      </c>
      <c r="X1820" s="33" t="inlineStr">
        <is>
          <t>NO</t>
        </is>
      </c>
      <c r="Y1820" s="33" t="n">
        <v>6</v>
      </c>
      <c r="Z1820" s="33" t="n">
        <v>4</v>
      </c>
      <c r="AA1820" s="33" t="inlineStr">
        <is>
          <t>1</t>
        </is>
      </c>
      <c r="AB1820" s="33" t="inlineStr">
        <is>
          <t>https://www.swimcloud.com/results/100931/event/10/?id=45415511#time45415511</t>
        </is>
      </c>
      <c r="AC1820" s="33" t="inlineStr">
        <is>
          <t>SwimCloud API v6 2026-10-08</t>
        </is>
      </c>
      <c r="AD1820" s="33" t="inlineStr">
        <is>
          <t>Lewis Clareburt|2018-01-20|LCM|400|Free|241.44|Swim Wellington Summer Champs|TIM|False</t>
        </is>
      </c>
      <c r="AE1820" s="53">
        <f>G1820+L1820/1000+ROW()/1000000000</f>
        <v/>
      </c>
      <c r="AF1820" s="35">
        <f>IF(C1820&lt;&gt;"Grayson Coulter","",COUNTIFS($C$5:$C$2991,"Grayson Coulter",$Q$5:$Q$2991,Q1820,$AE$5:$AE$2991,"&lt;="&amp;AE1820,$R$5:$R$2991,"&lt;"&amp;R1820))</f>
        <v/>
      </c>
      <c r="AG1820" s="35">
        <f>IF(OR(C1820&lt;&gt;"Grayson Coulter",G1820&lt;'00_Control'!$B$7),"",--(AF1820&lt;5))</f>
        <v/>
      </c>
      <c r="AH1820" s="35">
        <f>IF(OR(C1820&lt;&gt;"Grayson Coulter",G1820&lt;'00_Control'!$B$7),"",--(AF1820&lt;10))</f>
        <v/>
      </c>
      <c r="AI1820" s="35">
        <f>IF(AND(C1820="Grayson Coulter",G1820&gt;='00_Control'!$B$7),"YES","NO")</f>
        <v/>
      </c>
      <c r="AJ1820" s="33" t="inlineStr">
        <is>
          <t>OK</t>
        </is>
      </c>
    </row>
    <row r="1821">
      <c r="A1821" s="33" t="inlineStr">
        <is>
          <t>SM001817</t>
        </is>
      </c>
      <c r="B1821" s="33" t="inlineStr">
        <is>
          <t>SW013</t>
        </is>
      </c>
      <c r="C1821" s="33" t="inlineStr">
        <is>
          <t>Lewis Clareburt</t>
        </is>
      </c>
      <c r="D1821" s="33" t="inlineStr">
        <is>
          <t>SwimCloud</t>
        </is>
      </c>
      <c r="E1821" s="33" t="inlineStr">
        <is>
          <t>3464011</t>
        </is>
      </c>
      <c r="F1821" s="33" t="inlineStr">
        <is>
          <t>18010242</t>
        </is>
      </c>
      <c r="G1821" s="51" t="n">
        <v>43207</v>
      </c>
      <c r="H1821" s="33" t="inlineStr">
        <is>
          <t>New Zealand Age Group Championships</t>
        </is>
      </c>
      <c r="I1821" s="33" t="inlineStr">
        <is>
          <t>115931</t>
        </is>
      </c>
      <c r="J1821" s="33" t="inlineStr"/>
      <c r="K1821" s="33" t="inlineStr">
        <is>
          <t>PRE</t>
        </is>
      </c>
      <c r="L1821" s="35">
        <f>IF(K1821="FIN",3,IF(OR(K1821="SEM",K1821="SEMI"),2,IF(OR(K1821="PRE",K1821="HEAT"),1,IF(V1821="YES",4,2))))</f>
        <v/>
      </c>
      <c r="M1821" s="33" t="inlineStr">
        <is>
          <t>LCM</t>
        </is>
      </c>
      <c r="N1821" s="33" t="n">
        <v>400</v>
      </c>
      <c r="O1821" s="33" t="inlineStr">
        <is>
          <t>Free</t>
        </is>
      </c>
      <c r="P1821" s="33" t="inlineStr">
        <is>
          <t>400 Free</t>
        </is>
      </c>
      <c r="Q1821" s="33" t="inlineStr">
        <is>
          <t>LCM_400_FREE</t>
        </is>
      </c>
      <c r="R1821" s="36" t="n">
        <v>241.29</v>
      </c>
      <c r="S1821" s="35">
        <f>IF(R1821="","",IF(R1821&gt;=60,INT(R1821/60)&amp;":"&amp;TEXT(MOD(R1821,60),"00.00"),TEXT(R1821,"0.00")))</f>
        <v/>
      </c>
      <c r="T1821" s="52">
        <f>IFERROR((G1821-INDEX('01_Swimmers'!$E$5:$E$22,MATCH(B1821,'01_Swimmers'!$A$5:$A$22,0)))/'00_Control'!$B$10,"")</f>
        <v/>
      </c>
      <c r="U1821" s="35">
        <f>IF(T1821="","",INT(T1821))</f>
        <v/>
      </c>
      <c r="V1821" s="33" t="inlineStr">
        <is>
          <t>NO</t>
        </is>
      </c>
      <c r="W1821" s="33" t="inlineStr">
        <is>
          <t>YES</t>
        </is>
      </c>
      <c r="X1821" s="33" t="inlineStr">
        <is>
          <t>NO</t>
        </is>
      </c>
      <c r="Y1821" s="33" t="n">
        <v>13</v>
      </c>
      <c r="Z1821" s="33" t="n">
        <v>5</v>
      </c>
      <c r="AA1821" s="33" t="inlineStr">
        <is>
          <t>1</t>
        </is>
      </c>
      <c r="AB1821" s="33" t="inlineStr">
        <is>
          <t>https://www.swimcloud.com/results/115931/event/2/?id=18010242#time18010242</t>
        </is>
      </c>
      <c r="AC1821" s="33" t="inlineStr">
        <is>
          <t>SwimCloud API v6 2026-10-08</t>
        </is>
      </c>
      <c r="AD1821" s="33" t="inlineStr">
        <is>
          <t>Lewis Clareburt|2018-04-17|LCM|400|Free|241.29|New Zealand Age Group Championships|PRE|False</t>
        </is>
      </c>
      <c r="AE1821" s="53">
        <f>G1821+L1821/1000+ROW()/1000000000</f>
        <v/>
      </c>
      <c r="AF1821" s="35">
        <f>IF(C1821&lt;&gt;"Grayson Coulter","",COUNTIFS($C$5:$C$2991,"Grayson Coulter",$Q$5:$Q$2991,Q1821,$AE$5:$AE$2991,"&lt;="&amp;AE1821,$R$5:$R$2991,"&lt;"&amp;R1821))</f>
        <v/>
      </c>
      <c r="AG1821" s="35">
        <f>IF(OR(C1821&lt;&gt;"Grayson Coulter",G1821&lt;'00_Control'!$B$7),"",--(AF1821&lt;5))</f>
        <v/>
      </c>
      <c r="AH1821" s="35">
        <f>IF(OR(C1821&lt;&gt;"Grayson Coulter",G1821&lt;'00_Control'!$B$7),"",--(AF1821&lt;10))</f>
        <v/>
      </c>
      <c r="AI1821" s="35">
        <f>IF(AND(C1821="Grayson Coulter",G1821&gt;='00_Control'!$B$7),"YES","NO")</f>
        <v/>
      </c>
      <c r="AJ1821" s="33" t="inlineStr">
        <is>
          <t>OK</t>
        </is>
      </c>
    </row>
    <row r="1822">
      <c r="A1822" s="33" t="inlineStr">
        <is>
          <t>SM001818</t>
        </is>
      </c>
      <c r="B1822" s="33" t="inlineStr">
        <is>
          <t>SW013</t>
        </is>
      </c>
      <c r="C1822" s="33" t="inlineStr">
        <is>
          <t>Lewis Clareburt</t>
        </is>
      </c>
      <c r="D1822" s="33" t="inlineStr">
        <is>
          <t>SwimCloud</t>
        </is>
      </c>
      <c r="E1822" s="33" t="inlineStr">
        <is>
          <t>3464011</t>
        </is>
      </c>
      <c r="F1822" s="33" t="inlineStr">
        <is>
          <t>18010287</t>
        </is>
      </c>
      <c r="G1822" s="51" t="n">
        <v>43207</v>
      </c>
      <c r="H1822" s="33" t="inlineStr">
        <is>
          <t>New Zealand Age Group Championships</t>
        </is>
      </c>
      <c r="I1822" s="33" t="inlineStr">
        <is>
          <t>115931</t>
        </is>
      </c>
      <c r="J1822" s="33" t="inlineStr"/>
      <c r="K1822" s="33" t="inlineStr">
        <is>
          <t>FIN</t>
        </is>
      </c>
      <c r="L1822" s="35">
        <f>IF(K1822="FIN",3,IF(OR(K1822="SEM",K1822="SEMI"),2,IF(OR(K1822="PRE",K1822="HEAT"),1,IF(V1822="YES",4,2))))</f>
        <v/>
      </c>
      <c r="M1822" s="33" t="inlineStr">
        <is>
          <t>LCM</t>
        </is>
      </c>
      <c r="N1822" s="33" t="n">
        <v>400</v>
      </c>
      <c r="O1822" s="33" t="inlineStr">
        <is>
          <t>Free</t>
        </is>
      </c>
      <c r="P1822" s="33" t="inlineStr">
        <is>
          <t>400 Free</t>
        </is>
      </c>
      <c r="Q1822" s="33" t="inlineStr">
        <is>
          <t>LCM_400_FREE</t>
        </is>
      </c>
      <c r="R1822" s="36" t="n">
        <v>232</v>
      </c>
      <c r="S1822" s="35">
        <f>IF(R1822="","",IF(R1822&gt;=60,INT(R1822/60)&amp;":"&amp;TEXT(MOD(R1822,60),"00.00"),TEXT(R1822,"0.00")))</f>
        <v/>
      </c>
      <c r="T1822" s="52">
        <f>IFERROR((G1822-INDEX('01_Swimmers'!$E$5:$E$22,MATCH(B1822,'01_Swimmers'!$A$5:$A$22,0)))/'00_Control'!$B$10,"")</f>
        <v/>
      </c>
      <c r="U1822" s="35">
        <f>IF(T1822="","",INT(T1822))</f>
        <v/>
      </c>
      <c r="V1822" s="33" t="inlineStr">
        <is>
          <t>NO</t>
        </is>
      </c>
      <c r="W1822" s="33" t="inlineStr">
        <is>
          <t>YES</t>
        </is>
      </c>
      <c r="X1822" s="33" t="inlineStr">
        <is>
          <t>NO</t>
        </is>
      </c>
      <c r="Y1822" s="33" t="n">
        <v>4</v>
      </c>
      <c r="Z1822" s="33" t="n">
        <v>4</v>
      </c>
      <c r="AA1822" s="33" t="inlineStr">
        <is>
          <t>1</t>
        </is>
      </c>
      <c r="AB1822" s="33" t="inlineStr">
        <is>
          <t>https://www.swimcloud.com/results/115931/event/2/?id=18010287#time18010287</t>
        </is>
      </c>
      <c r="AC1822" s="33" t="inlineStr">
        <is>
          <t>SwimCloud API v6 2026-10-08</t>
        </is>
      </c>
      <c r="AD1822" s="33" t="inlineStr">
        <is>
          <t>Lewis Clareburt|2018-04-17|LCM|400|Free|232.0|New Zealand Age Group Championships|FIN|False</t>
        </is>
      </c>
      <c r="AE1822" s="53">
        <f>G1822+L1822/1000+ROW()/1000000000</f>
        <v/>
      </c>
      <c r="AF1822" s="35">
        <f>IF(C1822&lt;&gt;"Grayson Coulter","",COUNTIFS($C$5:$C$2991,"Grayson Coulter",$Q$5:$Q$2991,Q1822,$AE$5:$AE$2991,"&lt;="&amp;AE1822,$R$5:$R$2991,"&lt;"&amp;R1822))</f>
        <v/>
      </c>
      <c r="AG1822" s="35">
        <f>IF(OR(C1822&lt;&gt;"Grayson Coulter",G1822&lt;'00_Control'!$B$7),"",--(AF1822&lt;5))</f>
        <v/>
      </c>
      <c r="AH1822" s="35">
        <f>IF(OR(C1822&lt;&gt;"Grayson Coulter",G1822&lt;'00_Control'!$B$7),"",--(AF1822&lt;10))</f>
        <v/>
      </c>
      <c r="AI1822" s="35">
        <f>IF(AND(C1822="Grayson Coulter",G1822&gt;='00_Control'!$B$7),"YES","NO")</f>
        <v/>
      </c>
      <c r="AJ1822" s="33" t="inlineStr">
        <is>
          <t>OK</t>
        </is>
      </c>
    </row>
    <row r="1823">
      <c r="A1823" s="33" t="inlineStr">
        <is>
          <t>SM001819</t>
        </is>
      </c>
      <c r="B1823" s="33" t="inlineStr">
        <is>
          <t>SW013</t>
        </is>
      </c>
      <c r="C1823" s="33" t="inlineStr">
        <is>
          <t>Lewis Clareburt</t>
        </is>
      </c>
      <c r="D1823" s="33" t="inlineStr">
        <is>
          <t>SwimCloud</t>
        </is>
      </c>
      <c r="E1823" s="33" t="inlineStr">
        <is>
          <t>3464011</t>
        </is>
      </c>
      <c r="F1823" s="33" t="inlineStr">
        <is>
          <t>18010963</t>
        </is>
      </c>
      <c r="G1823" s="51" t="n">
        <v>43209</v>
      </c>
      <c r="H1823" s="33" t="inlineStr">
        <is>
          <t>New Zealand Age Group Championships</t>
        </is>
      </c>
      <c r="I1823" s="33" t="inlineStr">
        <is>
          <t>115931</t>
        </is>
      </c>
      <c r="J1823" s="33" t="inlineStr"/>
      <c r="K1823" s="33" t="inlineStr">
        <is>
          <t>TIM</t>
        </is>
      </c>
      <c r="L1823" s="35">
        <f>IF(K1823="FIN",3,IF(OR(K1823="SEM",K1823="SEMI"),2,IF(OR(K1823="PRE",K1823="HEAT"),1,IF(V1823="YES",4,2))))</f>
        <v/>
      </c>
      <c r="M1823" s="33" t="inlineStr">
        <is>
          <t>LCM</t>
        </is>
      </c>
      <c r="N1823" s="33" t="n">
        <v>100</v>
      </c>
      <c r="O1823" s="33" t="inlineStr">
        <is>
          <t>Free</t>
        </is>
      </c>
      <c r="P1823" s="33" t="inlineStr">
        <is>
          <t>100 Free</t>
        </is>
      </c>
      <c r="Q1823" s="33" t="inlineStr">
        <is>
          <t>LCM_100_FREE</t>
        </is>
      </c>
      <c r="R1823" s="36" t="n">
        <v>50.38</v>
      </c>
      <c r="S1823" s="35">
        <f>IF(R1823="","",IF(R1823&gt;=60,INT(R1823/60)&amp;":"&amp;TEXT(MOD(R1823,60),"00.00"),TEXT(R1823,"0.00")))</f>
        <v/>
      </c>
      <c r="T1823" s="52">
        <f>IFERROR((G1823-INDEX('01_Swimmers'!$E$5:$E$22,MATCH(B1823,'01_Swimmers'!$A$5:$A$22,0)))/'00_Control'!$B$10,"")</f>
        <v/>
      </c>
      <c r="U1823" s="35">
        <f>IF(T1823="","",INT(T1823))</f>
        <v/>
      </c>
      <c r="V1823" s="33" t="inlineStr">
        <is>
          <t>YES</t>
        </is>
      </c>
      <c r="W1823" s="33" t="inlineStr">
        <is>
          <t>YES</t>
        </is>
      </c>
      <c r="X1823" s="33" t="inlineStr">
        <is>
          <t>NO</t>
        </is>
      </c>
      <c r="Y1823" s="33" t="n">
        <v>3</v>
      </c>
      <c r="Z1823" s="33" t="n">
        <v>4</v>
      </c>
      <c r="AA1823" s="33" t="inlineStr"/>
      <c r="AB1823" s="33" t="inlineStr">
        <is>
          <t>https://www.swimcloud.com/results/115931/event/28/?id=18010624#time18010624</t>
        </is>
      </c>
      <c r="AC1823" s="33" t="inlineStr">
        <is>
          <t>SwimCloud API v6 2026-10-08</t>
        </is>
      </c>
      <c r="AD1823" s="33" t="inlineStr">
        <is>
          <t>Lewis Clareburt|2018-04-19|LCM|100|Free|50.38|New Zealand Age Group Championships|TIM|True</t>
        </is>
      </c>
      <c r="AE1823" s="53">
        <f>G1823+L1823/1000+ROW()/1000000000</f>
        <v/>
      </c>
      <c r="AF1823" s="35">
        <f>IF(C1823&lt;&gt;"Grayson Coulter","",COUNTIFS($C$5:$C$2991,"Grayson Coulter",$Q$5:$Q$2991,Q1823,$AE$5:$AE$2991,"&lt;="&amp;AE1823,$R$5:$R$2991,"&lt;"&amp;R1823))</f>
        <v/>
      </c>
      <c r="AG1823" s="35">
        <f>IF(OR(C1823&lt;&gt;"Grayson Coulter",G1823&lt;'00_Control'!$B$7),"",--(AF1823&lt;5))</f>
        <v/>
      </c>
      <c r="AH1823" s="35">
        <f>IF(OR(C1823&lt;&gt;"Grayson Coulter",G1823&lt;'00_Control'!$B$7),"",--(AF1823&lt;10))</f>
        <v/>
      </c>
      <c r="AI1823" s="35">
        <f>IF(AND(C1823="Grayson Coulter",G1823&gt;='00_Control'!$B$7),"YES","NO")</f>
        <v/>
      </c>
      <c r="AJ1823" s="33" t="inlineStr">
        <is>
          <t>OK</t>
        </is>
      </c>
    </row>
    <row r="1824">
      <c r="A1824" s="33" t="inlineStr">
        <is>
          <t>SM001820</t>
        </is>
      </c>
      <c r="B1824" s="33" t="inlineStr">
        <is>
          <t>SW013</t>
        </is>
      </c>
      <c r="C1824" s="33" t="inlineStr">
        <is>
          <t>Lewis Clareburt</t>
        </is>
      </c>
      <c r="D1824" s="33" t="inlineStr">
        <is>
          <t>SwimCloud</t>
        </is>
      </c>
      <c r="E1824" s="33" t="inlineStr">
        <is>
          <t>3464011</t>
        </is>
      </c>
      <c r="F1824" s="33" t="inlineStr">
        <is>
          <t>18009747</t>
        </is>
      </c>
      <c r="G1824" s="51" t="n">
        <v>43209</v>
      </c>
      <c r="H1824" s="33" t="inlineStr">
        <is>
          <t>New Zealand Age Group Championships</t>
        </is>
      </c>
      <c r="I1824" s="33" t="inlineStr">
        <is>
          <t>115931</t>
        </is>
      </c>
      <c r="J1824" s="33" t="inlineStr"/>
      <c r="K1824" s="33" t="inlineStr">
        <is>
          <t>PRE</t>
        </is>
      </c>
      <c r="L1824" s="35">
        <f>IF(K1824="FIN",3,IF(OR(K1824="SEM",K1824="SEMI"),2,IF(OR(K1824="PRE",K1824="HEAT"),1,IF(V1824="YES",4,2))))</f>
        <v/>
      </c>
      <c r="M1824" s="33" t="inlineStr">
        <is>
          <t>LCM</t>
        </is>
      </c>
      <c r="N1824" s="33" t="n">
        <v>200</v>
      </c>
      <c r="O1824" s="33" t="inlineStr">
        <is>
          <t>Free</t>
        </is>
      </c>
      <c r="P1824" s="33" t="inlineStr">
        <is>
          <t>200 Free</t>
        </is>
      </c>
      <c r="Q1824" s="33" t="inlineStr">
        <is>
          <t>LCM_200_FREE</t>
        </is>
      </c>
      <c r="R1824" s="36" t="n">
        <v>114.86</v>
      </c>
      <c r="S1824" s="35">
        <f>IF(R1824="","",IF(R1824&gt;=60,INT(R1824/60)&amp;":"&amp;TEXT(MOD(R1824,60),"00.00"),TEXT(R1824,"0.00")))</f>
        <v/>
      </c>
      <c r="T1824" s="52">
        <f>IFERROR((G1824-INDEX('01_Swimmers'!$E$5:$E$22,MATCH(B1824,'01_Swimmers'!$A$5:$A$22,0)))/'00_Control'!$B$10,"")</f>
        <v/>
      </c>
      <c r="U1824" s="35">
        <f>IF(T1824="","",INT(T1824))</f>
        <v/>
      </c>
      <c r="V1824" s="33" t="inlineStr">
        <is>
          <t>NO</t>
        </is>
      </c>
      <c r="W1824" s="33" t="inlineStr">
        <is>
          <t>YES</t>
        </is>
      </c>
      <c r="X1824" s="33" t="inlineStr">
        <is>
          <t>NO</t>
        </is>
      </c>
      <c r="Y1824" s="33" t="n">
        <v>14</v>
      </c>
      <c r="Z1824" s="33" t="n">
        <v>4</v>
      </c>
      <c r="AA1824" s="33" t="inlineStr">
        <is>
          <t>2</t>
        </is>
      </c>
      <c r="AB1824" s="33" t="inlineStr">
        <is>
          <t>https://www.swimcloud.com/results/115931/event/24/?id=18009747#time18009747</t>
        </is>
      </c>
      <c r="AC1824" s="33" t="inlineStr">
        <is>
          <t>SwimCloud API v6 2026-10-08</t>
        </is>
      </c>
      <c r="AD1824" s="33" t="inlineStr">
        <is>
          <t>Lewis Clareburt|2018-04-19|LCM|200|Free|114.86|New Zealand Age Group Championships|PRE|False</t>
        </is>
      </c>
      <c r="AE1824" s="53">
        <f>G1824+L1824/1000+ROW()/1000000000</f>
        <v/>
      </c>
      <c r="AF1824" s="35">
        <f>IF(C1824&lt;&gt;"Grayson Coulter","",COUNTIFS($C$5:$C$2991,"Grayson Coulter",$Q$5:$Q$2991,Q1824,$AE$5:$AE$2991,"&lt;="&amp;AE1824,$R$5:$R$2991,"&lt;"&amp;R1824))</f>
        <v/>
      </c>
      <c r="AG1824" s="35">
        <f>IF(OR(C1824&lt;&gt;"Grayson Coulter",G1824&lt;'00_Control'!$B$7),"",--(AF1824&lt;5))</f>
        <v/>
      </c>
      <c r="AH1824" s="35">
        <f>IF(OR(C1824&lt;&gt;"Grayson Coulter",G1824&lt;'00_Control'!$B$7),"",--(AF1824&lt;10))</f>
        <v/>
      </c>
      <c r="AI1824" s="35">
        <f>IF(AND(C1824="Grayson Coulter",G1824&gt;='00_Control'!$B$7),"YES","NO")</f>
        <v/>
      </c>
      <c r="AJ1824" s="33" t="inlineStr">
        <is>
          <t>OK</t>
        </is>
      </c>
    </row>
    <row r="1825">
      <c r="A1825" s="33" t="inlineStr">
        <is>
          <t>SM001821</t>
        </is>
      </c>
      <c r="B1825" s="33" t="inlineStr">
        <is>
          <t>SW013</t>
        </is>
      </c>
      <c r="C1825" s="33" t="inlineStr">
        <is>
          <t>Lewis Clareburt</t>
        </is>
      </c>
      <c r="D1825" s="33" t="inlineStr">
        <is>
          <t>SwimCloud</t>
        </is>
      </c>
      <c r="E1825" s="33" t="inlineStr">
        <is>
          <t>3464011</t>
        </is>
      </c>
      <c r="F1825" s="33" t="inlineStr">
        <is>
          <t>18009794</t>
        </is>
      </c>
      <c r="G1825" s="51" t="n">
        <v>43209</v>
      </c>
      <c r="H1825" s="33" t="inlineStr">
        <is>
          <t>New Zealand Age Group Championships</t>
        </is>
      </c>
      <c r="I1825" s="33" t="inlineStr">
        <is>
          <t>115931</t>
        </is>
      </c>
      <c r="J1825" s="33" t="inlineStr"/>
      <c r="K1825" s="33" t="inlineStr">
        <is>
          <t>FIN</t>
        </is>
      </c>
      <c r="L1825" s="35">
        <f>IF(K1825="FIN",3,IF(OR(K1825="SEM",K1825="SEMI"),2,IF(OR(K1825="PRE",K1825="HEAT"),1,IF(V1825="YES",4,2))))</f>
        <v/>
      </c>
      <c r="M1825" s="33" t="inlineStr">
        <is>
          <t>LCM</t>
        </is>
      </c>
      <c r="N1825" s="33" t="n">
        <v>200</v>
      </c>
      <c r="O1825" s="33" t="inlineStr">
        <is>
          <t>Free</t>
        </is>
      </c>
      <c r="P1825" s="33" t="inlineStr">
        <is>
          <t>200 Free</t>
        </is>
      </c>
      <c r="Q1825" s="33" t="inlineStr">
        <is>
          <t>LCM_200_FREE</t>
        </is>
      </c>
      <c r="R1825" s="36" t="n">
        <v>108.32</v>
      </c>
      <c r="S1825" s="35">
        <f>IF(R1825="","",IF(R1825&gt;=60,INT(R1825/60)&amp;":"&amp;TEXT(MOD(R1825,60),"00.00"),TEXT(R1825,"0.00")))</f>
        <v/>
      </c>
      <c r="T1825" s="52">
        <f>IFERROR((G1825-INDEX('01_Swimmers'!$E$5:$E$22,MATCH(B1825,'01_Swimmers'!$A$5:$A$22,0)))/'00_Control'!$B$10,"")</f>
        <v/>
      </c>
      <c r="U1825" s="35">
        <f>IF(T1825="","",INT(T1825))</f>
        <v/>
      </c>
      <c r="V1825" s="33" t="inlineStr">
        <is>
          <t>NO</t>
        </is>
      </c>
      <c r="W1825" s="33" t="inlineStr">
        <is>
          <t>YES</t>
        </is>
      </c>
      <c r="X1825" s="33" t="inlineStr">
        <is>
          <t>NO</t>
        </is>
      </c>
      <c r="Y1825" s="33" t="n">
        <v>4</v>
      </c>
      <c r="Z1825" s="33" t="n">
        <v>5</v>
      </c>
      <c r="AA1825" s="33" t="inlineStr">
        <is>
          <t>1</t>
        </is>
      </c>
      <c r="AB1825" s="33" t="inlineStr">
        <is>
          <t>https://www.swimcloud.com/results/115931/event/24/?id=18009794#time18009794</t>
        </is>
      </c>
      <c r="AC1825" s="33" t="inlineStr">
        <is>
          <t>SwimCloud API v6 2026-10-08</t>
        </is>
      </c>
      <c r="AD1825" s="33" t="inlineStr">
        <is>
          <t>Lewis Clareburt|2018-04-19|LCM|200|Free|108.32|New Zealand Age Group Championships|FIN|False</t>
        </is>
      </c>
      <c r="AE1825" s="53">
        <f>G1825+L1825/1000+ROW()/1000000000</f>
        <v/>
      </c>
      <c r="AF1825" s="35">
        <f>IF(C1825&lt;&gt;"Grayson Coulter","",COUNTIFS($C$5:$C$2991,"Grayson Coulter",$Q$5:$Q$2991,Q1825,$AE$5:$AE$2991,"&lt;="&amp;AE1825,$R$5:$R$2991,"&lt;"&amp;R1825))</f>
        <v/>
      </c>
      <c r="AG1825" s="35">
        <f>IF(OR(C1825&lt;&gt;"Grayson Coulter",G1825&lt;'00_Control'!$B$7),"",--(AF1825&lt;5))</f>
        <v/>
      </c>
      <c r="AH1825" s="35">
        <f>IF(OR(C1825&lt;&gt;"Grayson Coulter",G1825&lt;'00_Control'!$B$7),"",--(AF1825&lt;10))</f>
        <v/>
      </c>
      <c r="AI1825" s="35">
        <f>IF(AND(C1825="Grayson Coulter",G1825&gt;='00_Control'!$B$7),"YES","NO")</f>
        <v/>
      </c>
      <c r="AJ1825" s="33" t="inlineStr">
        <is>
          <t>OK</t>
        </is>
      </c>
    </row>
    <row r="1826">
      <c r="A1826" s="33" t="inlineStr">
        <is>
          <t>SM001822</t>
        </is>
      </c>
      <c r="B1826" s="33" t="inlineStr">
        <is>
          <t>SW013</t>
        </is>
      </c>
      <c r="C1826" s="33" t="inlineStr">
        <is>
          <t>Lewis Clareburt</t>
        </is>
      </c>
      <c r="D1826" s="33" t="inlineStr">
        <is>
          <t>SwimCloud</t>
        </is>
      </c>
      <c r="E1826" s="33" t="inlineStr">
        <is>
          <t>3464011</t>
        </is>
      </c>
      <c r="F1826" s="33" t="inlineStr">
        <is>
          <t>18006509</t>
        </is>
      </c>
      <c r="G1826" s="51" t="n">
        <v>43210</v>
      </c>
      <c r="H1826" s="33" t="inlineStr">
        <is>
          <t>New Zealand Age Group Championships</t>
        </is>
      </c>
      <c r="I1826" s="33" t="inlineStr">
        <is>
          <t>115931</t>
        </is>
      </c>
      <c r="J1826" s="33" t="inlineStr"/>
      <c r="K1826" s="33" t="inlineStr">
        <is>
          <t>PRE</t>
        </is>
      </c>
      <c r="L1826" s="35">
        <f>IF(K1826="FIN",3,IF(OR(K1826="SEM",K1826="SEMI"),2,IF(OR(K1826="PRE",K1826="HEAT"),1,IF(V1826="YES",4,2))))</f>
        <v/>
      </c>
      <c r="M1826" s="33" t="inlineStr">
        <is>
          <t>LCM</t>
        </is>
      </c>
      <c r="N1826" s="33" t="n">
        <v>100</v>
      </c>
      <c r="O1826" s="33" t="inlineStr">
        <is>
          <t>Fly</t>
        </is>
      </c>
      <c r="P1826" s="33" t="inlineStr">
        <is>
          <t>100 Fly</t>
        </is>
      </c>
      <c r="Q1826" s="33" t="inlineStr">
        <is>
          <t>LCM_100_FLY</t>
        </is>
      </c>
      <c r="R1826" s="36" t="n">
        <v>57.03</v>
      </c>
      <c r="S1826" s="35">
        <f>IF(R1826="","",IF(R1826&gt;=60,INT(R1826/60)&amp;":"&amp;TEXT(MOD(R1826,60),"00.00"),TEXT(R1826,"0.00")))</f>
        <v/>
      </c>
      <c r="T1826" s="52">
        <f>IFERROR((G1826-INDEX('01_Swimmers'!$E$5:$E$22,MATCH(B1826,'01_Swimmers'!$A$5:$A$22,0)))/'00_Control'!$B$10,"")</f>
        <v/>
      </c>
      <c r="U1826" s="35">
        <f>IF(T1826="","",INT(T1826))</f>
        <v/>
      </c>
      <c r="V1826" s="33" t="inlineStr">
        <is>
          <t>NO</t>
        </is>
      </c>
      <c r="W1826" s="33" t="inlineStr">
        <is>
          <t>YES</t>
        </is>
      </c>
      <c r="X1826" s="33" t="inlineStr">
        <is>
          <t>NO</t>
        </is>
      </c>
      <c r="Y1826" s="33" t="n">
        <v>13</v>
      </c>
      <c r="Z1826" s="33" t="n">
        <v>4</v>
      </c>
      <c r="AA1826" s="33" t="inlineStr">
        <is>
          <t>2</t>
        </is>
      </c>
      <c r="AB1826" s="33" t="inlineStr">
        <is>
          <t>https://www.swimcloud.com/results/115931/event/32/?id=18006509#time18006509</t>
        </is>
      </c>
      <c r="AC1826" s="33" t="inlineStr">
        <is>
          <t>SwimCloud API v6 2026-10-08</t>
        </is>
      </c>
      <c r="AD1826" s="33" t="inlineStr">
        <is>
          <t>Lewis Clareburt|2018-04-20|LCM|100|Fly|57.03|New Zealand Age Group Championships|PRE|False</t>
        </is>
      </c>
      <c r="AE1826" s="53">
        <f>G1826+L1826/1000+ROW()/1000000000</f>
        <v/>
      </c>
      <c r="AF1826" s="35">
        <f>IF(C1826&lt;&gt;"Grayson Coulter","",COUNTIFS($C$5:$C$2991,"Grayson Coulter",$Q$5:$Q$2991,Q1826,$AE$5:$AE$2991,"&lt;="&amp;AE1826,$R$5:$R$2991,"&lt;"&amp;R1826))</f>
        <v/>
      </c>
      <c r="AG1826" s="35">
        <f>IF(OR(C1826&lt;&gt;"Grayson Coulter",G1826&lt;'00_Control'!$B$7),"",--(AF1826&lt;5))</f>
        <v/>
      </c>
      <c r="AH1826" s="35">
        <f>IF(OR(C1826&lt;&gt;"Grayson Coulter",G1826&lt;'00_Control'!$B$7),"",--(AF1826&lt;10))</f>
        <v/>
      </c>
      <c r="AI1826" s="35">
        <f>IF(AND(C1826="Grayson Coulter",G1826&gt;='00_Control'!$B$7),"YES","NO")</f>
        <v/>
      </c>
      <c r="AJ1826" s="33" t="inlineStr">
        <is>
          <t>OK</t>
        </is>
      </c>
    </row>
    <row r="1827">
      <c r="A1827" s="33" t="inlineStr">
        <is>
          <t>SM001823</t>
        </is>
      </c>
      <c r="B1827" s="33" t="inlineStr">
        <is>
          <t>SW013</t>
        </is>
      </c>
      <c r="C1827" s="33" t="inlineStr">
        <is>
          <t>Lewis Clareburt</t>
        </is>
      </c>
      <c r="D1827" s="33" t="inlineStr">
        <is>
          <t>SwimCloud</t>
        </is>
      </c>
      <c r="E1827" s="33" t="inlineStr">
        <is>
          <t>3464011</t>
        </is>
      </c>
      <c r="F1827" s="33" t="inlineStr">
        <is>
          <t>18006549</t>
        </is>
      </c>
      <c r="G1827" s="51" t="n">
        <v>43210</v>
      </c>
      <c r="H1827" s="33" t="inlineStr">
        <is>
          <t>New Zealand Age Group Championships</t>
        </is>
      </c>
      <c r="I1827" s="33" t="inlineStr">
        <is>
          <t>115931</t>
        </is>
      </c>
      <c r="J1827" s="33" t="inlineStr"/>
      <c r="K1827" s="33" t="inlineStr">
        <is>
          <t>FIN</t>
        </is>
      </c>
      <c r="L1827" s="35">
        <f>IF(K1827="FIN",3,IF(OR(K1827="SEM",K1827="SEMI"),2,IF(OR(K1827="PRE",K1827="HEAT"),1,IF(V1827="YES",4,2))))</f>
        <v/>
      </c>
      <c r="M1827" s="33" t="inlineStr">
        <is>
          <t>LCM</t>
        </is>
      </c>
      <c r="N1827" s="33" t="n">
        <v>100</v>
      </c>
      <c r="O1827" s="33" t="inlineStr">
        <is>
          <t>Fly</t>
        </is>
      </c>
      <c r="P1827" s="33" t="inlineStr">
        <is>
          <t>100 Fly</t>
        </is>
      </c>
      <c r="Q1827" s="33" t="inlineStr">
        <is>
          <t>LCM_100_FLY</t>
        </is>
      </c>
      <c r="R1827" s="36" t="n">
        <v>54.45</v>
      </c>
      <c r="S1827" s="35">
        <f>IF(R1827="","",IF(R1827&gt;=60,INT(R1827/60)&amp;":"&amp;TEXT(MOD(R1827,60),"00.00"),TEXT(R1827,"0.00")))</f>
        <v/>
      </c>
      <c r="T1827" s="52">
        <f>IFERROR((G1827-INDEX('01_Swimmers'!$E$5:$E$22,MATCH(B1827,'01_Swimmers'!$A$5:$A$22,0)))/'00_Control'!$B$10,"")</f>
        <v/>
      </c>
      <c r="U1827" s="35">
        <f>IF(T1827="","",INT(T1827))</f>
        <v/>
      </c>
      <c r="V1827" s="33" t="inlineStr">
        <is>
          <t>NO</t>
        </is>
      </c>
      <c r="W1827" s="33" t="inlineStr">
        <is>
          <t>YES</t>
        </is>
      </c>
      <c r="X1827" s="33" t="inlineStr">
        <is>
          <t>NO</t>
        </is>
      </c>
      <c r="Y1827" s="33" t="n">
        <v>4</v>
      </c>
      <c r="Z1827" s="33" t="n">
        <v>5</v>
      </c>
      <c r="AA1827" s="33" t="inlineStr">
        <is>
          <t>1</t>
        </is>
      </c>
      <c r="AB1827" s="33" t="inlineStr">
        <is>
          <t>https://www.swimcloud.com/results/115931/event/32/?id=18006549#time18006549</t>
        </is>
      </c>
      <c r="AC1827" s="33" t="inlineStr">
        <is>
          <t>SwimCloud API v6 2026-10-08</t>
        </is>
      </c>
      <c r="AD1827" s="33" t="inlineStr">
        <is>
          <t>Lewis Clareburt|2018-04-20|LCM|100|Fly|54.45|New Zealand Age Group Championships|FIN|False</t>
        </is>
      </c>
      <c r="AE1827" s="53">
        <f>G1827+L1827/1000+ROW()/1000000000</f>
        <v/>
      </c>
      <c r="AF1827" s="35">
        <f>IF(C1827&lt;&gt;"Grayson Coulter","",COUNTIFS($C$5:$C$2991,"Grayson Coulter",$Q$5:$Q$2991,Q1827,$AE$5:$AE$2991,"&lt;="&amp;AE1827,$R$5:$R$2991,"&lt;"&amp;R1827))</f>
        <v/>
      </c>
      <c r="AG1827" s="35">
        <f>IF(OR(C1827&lt;&gt;"Grayson Coulter",G1827&lt;'00_Control'!$B$7),"",--(AF1827&lt;5))</f>
        <v/>
      </c>
      <c r="AH1827" s="35">
        <f>IF(OR(C1827&lt;&gt;"Grayson Coulter",G1827&lt;'00_Control'!$B$7),"",--(AF1827&lt;10))</f>
        <v/>
      </c>
      <c r="AI1827" s="35">
        <f>IF(AND(C1827="Grayson Coulter",G1827&gt;='00_Control'!$B$7),"YES","NO")</f>
        <v/>
      </c>
      <c r="AJ1827" s="33" t="inlineStr">
        <is>
          <t>OK</t>
        </is>
      </c>
    </row>
    <row r="1828">
      <c r="A1828" s="33" t="inlineStr">
        <is>
          <t>SM001824</t>
        </is>
      </c>
      <c r="B1828" s="33" t="inlineStr">
        <is>
          <t>SW013</t>
        </is>
      </c>
      <c r="C1828" s="33" t="inlineStr">
        <is>
          <t>Lewis Clareburt</t>
        </is>
      </c>
      <c r="D1828" s="33" t="inlineStr">
        <is>
          <t>SwimCloud</t>
        </is>
      </c>
      <c r="E1828" s="33" t="inlineStr">
        <is>
          <t>3464011</t>
        </is>
      </c>
      <c r="F1828" s="33" t="inlineStr">
        <is>
          <t>18007450</t>
        </is>
      </c>
      <c r="G1828" s="51" t="n">
        <v>43211</v>
      </c>
      <c r="H1828" s="33" t="inlineStr">
        <is>
          <t>New Zealand Age Group Championships</t>
        </is>
      </c>
      <c r="I1828" s="33" t="inlineStr">
        <is>
          <t>115931</t>
        </is>
      </c>
      <c r="J1828" s="33" t="inlineStr"/>
      <c r="K1828" s="33" t="inlineStr">
        <is>
          <t>PRE</t>
        </is>
      </c>
      <c r="L1828" s="35">
        <f>IF(K1828="FIN",3,IF(OR(K1828="SEM",K1828="SEMI"),2,IF(OR(K1828="PRE",K1828="HEAT"),1,IF(V1828="YES",4,2))))</f>
        <v/>
      </c>
      <c r="M1828" s="33" t="inlineStr">
        <is>
          <t>LCM</t>
        </is>
      </c>
      <c r="N1828" s="33" t="n">
        <v>100</v>
      </c>
      <c r="O1828" s="33" t="inlineStr">
        <is>
          <t>Free</t>
        </is>
      </c>
      <c r="P1828" s="33" t="inlineStr">
        <is>
          <t>100 Free</t>
        </is>
      </c>
      <c r="Q1828" s="33" t="inlineStr">
        <is>
          <t>LCM_100_FREE</t>
        </is>
      </c>
      <c r="R1828" s="36" t="n">
        <v>52.11</v>
      </c>
      <c r="S1828" s="35">
        <f>IF(R1828="","",IF(R1828&gt;=60,INT(R1828/60)&amp;":"&amp;TEXT(MOD(R1828,60),"00.00"),TEXT(R1828,"0.00")))</f>
        <v/>
      </c>
      <c r="T1828" s="52">
        <f>IFERROR((G1828-INDEX('01_Swimmers'!$E$5:$E$22,MATCH(B1828,'01_Swimmers'!$A$5:$A$22,0)))/'00_Control'!$B$10,"")</f>
        <v/>
      </c>
      <c r="U1828" s="35">
        <f>IF(T1828="","",INT(T1828))</f>
        <v/>
      </c>
      <c r="V1828" s="33" t="inlineStr">
        <is>
          <t>NO</t>
        </is>
      </c>
      <c r="W1828" s="33" t="inlineStr">
        <is>
          <t>YES</t>
        </is>
      </c>
      <c r="X1828" s="33" t="inlineStr">
        <is>
          <t>NO</t>
        </is>
      </c>
      <c r="Y1828" s="33" t="n">
        <v>15</v>
      </c>
      <c r="Z1828" s="33" t="n">
        <v>4</v>
      </c>
      <c r="AA1828" s="33" t="inlineStr">
        <is>
          <t>2</t>
        </is>
      </c>
      <c r="AB1828" s="33" t="inlineStr">
        <is>
          <t>https://www.swimcloud.com/results/115931/event/40/?id=18007450#time18007450</t>
        </is>
      </c>
      <c r="AC1828" s="33" t="inlineStr">
        <is>
          <t>SwimCloud API v6 2026-10-08</t>
        </is>
      </c>
      <c r="AD1828" s="33" t="inlineStr">
        <is>
          <t>Lewis Clareburt|2018-04-21|LCM|100|Free|52.11|New Zealand Age Group Championships|PRE|False</t>
        </is>
      </c>
      <c r="AE1828" s="53">
        <f>G1828+L1828/1000+ROW()/1000000000</f>
        <v/>
      </c>
      <c r="AF1828" s="35">
        <f>IF(C1828&lt;&gt;"Grayson Coulter","",COUNTIFS($C$5:$C$2991,"Grayson Coulter",$Q$5:$Q$2991,Q1828,$AE$5:$AE$2991,"&lt;="&amp;AE1828,$R$5:$R$2991,"&lt;"&amp;R1828))</f>
        <v/>
      </c>
      <c r="AG1828" s="35">
        <f>IF(OR(C1828&lt;&gt;"Grayson Coulter",G1828&lt;'00_Control'!$B$7),"",--(AF1828&lt;5))</f>
        <v/>
      </c>
      <c r="AH1828" s="35">
        <f>IF(OR(C1828&lt;&gt;"Grayson Coulter",G1828&lt;'00_Control'!$B$7),"",--(AF1828&lt;10))</f>
        <v/>
      </c>
      <c r="AI1828" s="35">
        <f>IF(AND(C1828="Grayson Coulter",G1828&gt;='00_Control'!$B$7),"YES","NO")</f>
        <v/>
      </c>
      <c r="AJ1828" s="33" t="inlineStr">
        <is>
          <t>OK</t>
        </is>
      </c>
    </row>
    <row r="1829">
      <c r="A1829" s="33" t="inlineStr">
        <is>
          <t>SM001825</t>
        </is>
      </c>
      <c r="B1829" s="33" t="inlineStr">
        <is>
          <t>SW013</t>
        </is>
      </c>
      <c r="C1829" s="33" t="inlineStr">
        <is>
          <t>Lewis Clareburt</t>
        </is>
      </c>
      <c r="D1829" s="33" t="inlineStr">
        <is>
          <t>SwimCloud</t>
        </is>
      </c>
      <c r="E1829" s="33" t="inlineStr">
        <is>
          <t>3464011</t>
        </is>
      </c>
      <c r="F1829" s="33" t="inlineStr">
        <is>
          <t>18007490</t>
        </is>
      </c>
      <c r="G1829" s="51" t="n">
        <v>43211</v>
      </c>
      <c r="H1829" s="33" t="inlineStr">
        <is>
          <t>New Zealand Age Group Championships</t>
        </is>
      </c>
      <c r="I1829" s="33" t="inlineStr">
        <is>
          <t>115931</t>
        </is>
      </c>
      <c r="J1829" s="33" t="inlineStr"/>
      <c r="K1829" s="33" t="inlineStr">
        <is>
          <t>FIN</t>
        </is>
      </c>
      <c r="L1829" s="35">
        <f>IF(K1829="FIN",3,IF(OR(K1829="SEM",K1829="SEMI"),2,IF(OR(K1829="PRE",K1829="HEAT"),1,IF(V1829="YES",4,2))))</f>
        <v/>
      </c>
      <c r="M1829" s="33" t="inlineStr">
        <is>
          <t>LCM</t>
        </is>
      </c>
      <c r="N1829" s="33" t="n">
        <v>100</v>
      </c>
      <c r="O1829" s="33" t="inlineStr">
        <is>
          <t>Free</t>
        </is>
      </c>
      <c r="P1829" s="33" t="inlineStr">
        <is>
          <t>100 Free</t>
        </is>
      </c>
      <c r="Q1829" s="33" t="inlineStr">
        <is>
          <t>LCM_100_FREE</t>
        </is>
      </c>
      <c r="R1829" s="36" t="n">
        <v>50.32</v>
      </c>
      <c r="S1829" s="35">
        <f>IF(R1829="","",IF(R1829&gt;=60,INT(R1829/60)&amp;":"&amp;TEXT(MOD(R1829,60),"00.00"),TEXT(R1829,"0.00")))</f>
        <v/>
      </c>
      <c r="T1829" s="52">
        <f>IFERROR((G1829-INDEX('01_Swimmers'!$E$5:$E$22,MATCH(B1829,'01_Swimmers'!$A$5:$A$22,0)))/'00_Control'!$B$10,"")</f>
        <v/>
      </c>
      <c r="U1829" s="35">
        <f>IF(T1829="","",INT(T1829))</f>
        <v/>
      </c>
      <c r="V1829" s="33" t="inlineStr">
        <is>
          <t>NO</t>
        </is>
      </c>
      <c r="W1829" s="33" t="inlineStr">
        <is>
          <t>YES</t>
        </is>
      </c>
      <c r="X1829" s="33" t="inlineStr">
        <is>
          <t>NO</t>
        </is>
      </c>
      <c r="Y1829" s="33" t="n">
        <v>4</v>
      </c>
      <c r="Z1829" s="33" t="n">
        <v>5</v>
      </c>
      <c r="AA1829" s="33" t="inlineStr">
        <is>
          <t>1</t>
        </is>
      </c>
      <c r="AB1829" s="33" t="inlineStr">
        <is>
          <t>https://www.swimcloud.com/results/115931/event/40/?id=18007490#time18007490</t>
        </is>
      </c>
      <c r="AC1829" s="33" t="inlineStr">
        <is>
          <t>SwimCloud API v6 2026-10-08</t>
        </is>
      </c>
      <c r="AD1829" s="33" t="inlineStr">
        <is>
          <t>Lewis Clareburt|2018-04-21|LCM|100|Free|50.32|New Zealand Age Group Championships|FIN|False</t>
        </is>
      </c>
      <c r="AE1829" s="53">
        <f>G1829+L1829/1000+ROW()/1000000000</f>
        <v/>
      </c>
      <c r="AF1829" s="35">
        <f>IF(C1829&lt;&gt;"Grayson Coulter","",COUNTIFS($C$5:$C$2991,"Grayson Coulter",$Q$5:$Q$2991,Q1829,$AE$5:$AE$2991,"&lt;="&amp;AE1829,$R$5:$R$2991,"&lt;"&amp;R1829))</f>
        <v/>
      </c>
      <c r="AG1829" s="35">
        <f>IF(OR(C1829&lt;&gt;"Grayson Coulter",G1829&lt;'00_Control'!$B$7),"",--(AF1829&lt;5))</f>
        <v/>
      </c>
      <c r="AH1829" s="35">
        <f>IF(OR(C1829&lt;&gt;"Grayson Coulter",G1829&lt;'00_Control'!$B$7),"",--(AF1829&lt;10))</f>
        <v/>
      </c>
      <c r="AI1829" s="35">
        <f>IF(AND(C1829="Grayson Coulter",G1829&gt;='00_Control'!$B$7),"YES","NO")</f>
        <v/>
      </c>
      <c r="AJ1829" s="33" t="inlineStr">
        <is>
          <t>OK</t>
        </is>
      </c>
    </row>
    <row r="1830">
      <c r="A1830" s="33" t="inlineStr">
        <is>
          <t>SM001826</t>
        </is>
      </c>
      <c r="B1830" s="33" t="inlineStr">
        <is>
          <t>SW013</t>
        </is>
      </c>
      <c r="C1830" s="33" t="inlineStr">
        <is>
          <t>Lewis Clareburt</t>
        </is>
      </c>
      <c r="D1830" s="33" t="inlineStr">
        <is>
          <t>SwimCloud</t>
        </is>
      </c>
      <c r="E1830" s="33" t="inlineStr">
        <is>
          <t>3464011</t>
        </is>
      </c>
      <c r="F1830" s="33" t="inlineStr">
        <is>
          <t>19494830</t>
        </is>
      </c>
      <c r="G1830" s="51" t="n">
        <v>43283</v>
      </c>
      <c r="H1830" s="33" t="inlineStr">
        <is>
          <t>AON New Zealand Open Championships</t>
        </is>
      </c>
      <c r="I1830" s="33" t="inlineStr">
        <is>
          <t>119009</t>
        </is>
      </c>
      <c r="J1830" s="33" t="inlineStr"/>
      <c r="K1830" s="33" t="inlineStr">
        <is>
          <t>TIM</t>
        </is>
      </c>
      <c r="L1830" s="35">
        <f>IF(K1830="FIN",3,IF(OR(K1830="SEM",K1830="SEMI"),2,IF(OR(K1830="PRE",K1830="HEAT"),1,IF(V1830="YES",4,2))))</f>
        <v/>
      </c>
      <c r="M1830" s="33" t="inlineStr">
        <is>
          <t>LCM</t>
        </is>
      </c>
      <c r="N1830" s="33" t="n">
        <v>100</v>
      </c>
      <c r="O1830" s="33" t="inlineStr">
        <is>
          <t>Free</t>
        </is>
      </c>
      <c r="P1830" s="33" t="inlineStr">
        <is>
          <t>100 Free</t>
        </is>
      </c>
      <c r="Q1830" s="33" t="inlineStr">
        <is>
          <t>LCM_100_FREE</t>
        </is>
      </c>
      <c r="R1830" s="36" t="n">
        <v>51.05</v>
      </c>
      <c r="S1830" s="35">
        <f>IF(R1830="","",IF(R1830&gt;=60,INT(R1830/60)&amp;":"&amp;TEXT(MOD(R1830,60),"00.00"),TEXT(R1830,"0.00")))</f>
        <v/>
      </c>
      <c r="T1830" s="52">
        <f>IFERROR((G1830-INDEX('01_Swimmers'!$E$5:$E$22,MATCH(B1830,'01_Swimmers'!$A$5:$A$22,0)))/'00_Control'!$B$10,"")</f>
        <v/>
      </c>
      <c r="U1830" s="35">
        <f>IF(T1830="","",INT(T1830))</f>
        <v/>
      </c>
      <c r="V1830" s="33" t="inlineStr">
        <is>
          <t>YES</t>
        </is>
      </c>
      <c r="W1830" s="33" t="inlineStr">
        <is>
          <t>YES</t>
        </is>
      </c>
      <c r="X1830" s="33" t="inlineStr">
        <is>
          <t>NO</t>
        </is>
      </c>
      <c r="Y1830" s="33" t="n">
        <v>2</v>
      </c>
      <c r="Z1830" s="33" t="n">
        <v>6</v>
      </c>
      <c r="AA1830" s="33" t="inlineStr"/>
      <c r="AB1830" s="33" t="inlineStr">
        <is>
          <t>https://www.swimcloud.com/results/119009/event/7/?id=19494152#time19494152</t>
        </is>
      </c>
      <c r="AC1830" s="33" t="inlineStr">
        <is>
          <t>SwimCloud API v6 2026-10-08</t>
        </is>
      </c>
      <c r="AD1830" s="33" t="inlineStr">
        <is>
          <t>Lewis Clareburt|2018-07-02|LCM|100|Free|51.05|AON New Zealand Open Championships|TIM|True</t>
        </is>
      </c>
      <c r="AE1830" s="53">
        <f>G1830+L1830/1000+ROW()/1000000000</f>
        <v/>
      </c>
      <c r="AF1830" s="35">
        <f>IF(C1830&lt;&gt;"Grayson Coulter","",COUNTIFS($C$5:$C$2991,"Grayson Coulter",$Q$5:$Q$2991,Q1830,$AE$5:$AE$2991,"&lt;="&amp;AE1830,$R$5:$R$2991,"&lt;"&amp;R1830))</f>
        <v/>
      </c>
      <c r="AG1830" s="35">
        <f>IF(OR(C1830&lt;&gt;"Grayson Coulter",G1830&lt;'00_Control'!$B$7),"",--(AF1830&lt;5))</f>
        <v/>
      </c>
      <c r="AH1830" s="35">
        <f>IF(OR(C1830&lt;&gt;"Grayson Coulter",G1830&lt;'00_Control'!$B$7),"",--(AF1830&lt;10))</f>
        <v/>
      </c>
      <c r="AI1830" s="35">
        <f>IF(AND(C1830="Grayson Coulter",G1830&gt;='00_Control'!$B$7),"YES","NO")</f>
        <v/>
      </c>
      <c r="AJ1830" s="33" t="inlineStr">
        <is>
          <t>OK</t>
        </is>
      </c>
    </row>
    <row r="1831">
      <c r="A1831" s="33" t="inlineStr">
        <is>
          <t>SM001827</t>
        </is>
      </c>
      <c r="B1831" s="33" t="inlineStr">
        <is>
          <t>SW013</t>
        </is>
      </c>
      <c r="C1831" s="33" t="inlineStr">
        <is>
          <t>Lewis Clareburt</t>
        </is>
      </c>
      <c r="D1831" s="33" t="inlineStr">
        <is>
          <t>SwimCloud</t>
        </is>
      </c>
      <c r="E1831" s="33" t="inlineStr">
        <is>
          <t>3464011</t>
        </is>
      </c>
      <c r="F1831" s="33" t="inlineStr">
        <is>
          <t>19493339</t>
        </is>
      </c>
      <c r="G1831" s="51" t="n">
        <v>43283</v>
      </c>
      <c r="H1831" s="33" t="inlineStr">
        <is>
          <t>AON New Zealand Open Championships</t>
        </is>
      </c>
      <c r="I1831" s="33" t="inlineStr">
        <is>
          <t>119009</t>
        </is>
      </c>
      <c r="J1831" s="33" t="inlineStr"/>
      <c r="K1831" s="33" t="inlineStr">
        <is>
          <t>PRE</t>
        </is>
      </c>
      <c r="L1831" s="35">
        <f>IF(K1831="FIN",3,IF(OR(K1831="SEM",K1831="SEMI"),2,IF(OR(K1831="PRE",K1831="HEAT"),1,IF(V1831="YES",4,2))))</f>
        <v/>
      </c>
      <c r="M1831" s="33" t="inlineStr">
        <is>
          <t>LCM</t>
        </is>
      </c>
      <c r="N1831" s="33" t="n">
        <v>400</v>
      </c>
      <c r="O1831" s="33" t="inlineStr">
        <is>
          <t>Free</t>
        </is>
      </c>
      <c r="P1831" s="33" t="inlineStr">
        <is>
          <t>400 Free</t>
        </is>
      </c>
      <c r="Q1831" s="33" t="inlineStr">
        <is>
          <t>LCM_400_FREE</t>
        </is>
      </c>
      <c r="R1831" s="36" t="n">
        <v>244.34</v>
      </c>
      <c r="S1831" s="35">
        <f>IF(R1831="","",IF(R1831&gt;=60,INT(R1831/60)&amp;":"&amp;TEXT(MOD(R1831,60),"00.00"),TEXT(R1831,"0.00")))</f>
        <v/>
      </c>
      <c r="T1831" s="52">
        <f>IFERROR((G1831-INDEX('01_Swimmers'!$E$5:$E$22,MATCH(B1831,'01_Swimmers'!$A$5:$A$22,0)))/'00_Control'!$B$10,"")</f>
        <v/>
      </c>
      <c r="U1831" s="35">
        <f>IF(T1831="","",INT(T1831))</f>
        <v/>
      </c>
      <c r="V1831" s="33" t="inlineStr">
        <is>
          <t>NO</t>
        </is>
      </c>
      <c r="W1831" s="33" t="inlineStr">
        <is>
          <t>YES</t>
        </is>
      </c>
      <c r="X1831" s="33" t="inlineStr">
        <is>
          <t>NO</t>
        </is>
      </c>
      <c r="Y1831" s="33" t="n">
        <v>3</v>
      </c>
      <c r="Z1831" s="33" t="n">
        <v>4</v>
      </c>
      <c r="AA1831" s="33" t="inlineStr">
        <is>
          <t>2</t>
        </is>
      </c>
      <c r="AB1831" s="33" t="inlineStr">
        <is>
          <t>https://www.swimcloud.com/results/119009/event/1/?id=19493339#time19493339</t>
        </is>
      </c>
      <c r="AC1831" s="33" t="inlineStr">
        <is>
          <t>SwimCloud API v6 2026-10-08</t>
        </is>
      </c>
      <c r="AD1831" s="33" t="inlineStr">
        <is>
          <t>Lewis Clareburt|2018-07-02|LCM|400|Free|244.34|AON New Zealand Open Championships|PRE|False</t>
        </is>
      </c>
      <c r="AE1831" s="53">
        <f>G1831+L1831/1000+ROW()/1000000000</f>
        <v/>
      </c>
      <c r="AF1831" s="35">
        <f>IF(C1831&lt;&gt;"Grayson Coulter","",COUNTIFS($C$5:$C$2991,"Grayson Coulter",$Q$5:$Q$2991,Q1831,$AE$5:$AE$2991,"&lt;="&amp;AE1831,$R$5:$R$2991,"&lt;"&amp;R1831))</f>
        <v/>
      </c>
      <c r="AG1831" s="35">
        <f>IF(OR(C1831&lt;&gt;"Grayson Coulter",G1831&lt;'00_Control'!$B$7),"",--(AF1831&lt;5))</f>
        <v/>
      </c>
      <c r="AH1831" s="35">
        <f>IF(OR(C1831&lt;&gt;"Grayson Coulter",G1831&lt;'00_Control'!$B$7),"",--(AF1831&lt;10))</f>
        <v/>
      </c>
      <c r="AI1831" s="35">
        <f>IF(AND(C1831="Grayson Coulter",G1831&gt;='00_Control'!$B$7),"YES","NO")</f>
        <v/>
      </c>
      <c r="AJ1831" s="33" t="inlineStr">
        <is>
          <t>OK</t>
        </is>
      </c>
    </row>
    <row r="1832">
      <c r="A1832" s="33" t="inlineStr">
        <is>
          <t>SM001828</t>
        </is>
      </c>
      <c r="B1832" s="33" t="inlineStr">
        <is>
          <t>SW013</t>
        </is>
      </c>
      <c r="C1832" s="33" t="inlineStr">
        <is>
          <t>Lewis Clareburt</t>
        </is>
      </c>
      <c r="D1832" s="33" t="inlineStr">
        <is>
          <t>SwimCloud</t>
        </is>
      </c>
      <c r="E1832" s="33" t="inlineStr">
        <is>
          <t>3464011</t>
        </is>
      </c>
      <c r="F1832" s="33" t="inlineStr">
        <is>
          <t>19493340</t>
        </is>
      </c>
      <c r="G1832" s="51" t="n">
        <v>43283</v>
      </c>
      <c r="H1832" s="33" t="inlineStr">
        <is>
          <t>AON New Zealand Open Championships</t>
        </is>
      </c>
      <c r="I1832" s="33" t="inlineStr">
        <is>
          <t>119009</t>
        </is>
      </c>
      <c r="J1832" s="33" t="inlineStr"/>
      <c r="K1832" s="33" t="inlineStr">
        <is>
          <t>FIN</t>
        </is>
      </c>
      <c r="L1832" s="35">
        <f>IF(K1832="FIN",3,IF(OR(K1832="SEM",K1832="SEMI"),2,IF(OR(K1832="PRE",K1832="HEAT"),1,IF(V1832="YES",4,2))))</f>
        <v/>
      </c>
      <c r="M1832" s="33" t="inlineStr">
        <is>
          <t>LCM</t>
        </is>
      </c>
      <c r="N1832" s="33" t="n">
        <v>400</v>
      </c>
      <c r="O1832" s="33" t="inlineStr">
        <is>
          <t>Free</t>
        </is>
      </c>
      <c r="P1832" s="33" t="inlineStr">
        <is>
          <t>400 Free</t>
        </is>
      </c>
      <c r="Q1832" s="33" t="inlineStr">
        <is>
          <t>LCM_400_FREE</t>
        </is>
      </c>
      <c r="R1832" s="36" t="n">
        <v>237.44</v>
      </c>
      <c r="S1832" s="35">
        <f>IF(R1832="","",IF(R1832&gt;=60,INT(R1832/60)&amp;":"&amp;TEXT(MOD(R1832,60),"00.00"),TEXT(R1832,"0.00")))</f>
        <v/>
      </c>
      <c r="T1832" s="52">
        <f>IFERROR((G1832-INDEX('01_Swimmers'!$E$5:$E$22,MATCH(B1832,'01_Swimmers'!$A$5:$A$22,0)))/'00_Control'!$B$10,"")</f>
        <v/>
      </c>
      <c r="U1832" s="35">
        <f>IF(T1832="","",INT(T1832))</f>
        <v/>
      </c>
      <c r="V1832" s="33" t="inlineStr">
        <is>
          <t>NO</t>
        </is>
      </c>
      <c r="W1832" s="33" t="inlineStr">
        <is>
          <t>YES</t>
        </is>
      </c>
      <c r="X1832" s="33" t="inlineStr">
        <is>
          <t>NO</t>
        </is>
      </c>
      <c r="Y1832" s="33" t="n">
        <v>1</v>
      </c>
      <c r="Z1832" s="33" t="n">
        <v>5</v>
      </c>
      <c r="AA1832" s="33" t="inlineStr">
        <is>
          <t>2</t>
        </is>
      </c>
      <c r="AB1832" s="33" t="inlineStr">
        <is>
          <t>https://www.swimcloud.com/results/119009/event/1/?id=19493340#time19493340</t>
        </is>
      </c>
      <c r="AC1832" s="33" t="inlineStr">
        <is>
          <t>SwimCloud API v6 2026-10-08</t>
        </is>
      </c>
      <c r="AD1832" s="33" t="inlineStr">
        <is>
          <t>Lewis Clareburt|2018-07-02|LCM|400|Free|237.44|AON New Zealand Open Championships|FIN|False</t>
        </is>
      </c>
      <c r="AE1832" s="53">
        <f>G1832+L1832/1000+ROW()/1000000000</f>
        <v/>
      </c>
      <c r="AF1832" s="35">
        <f>IF(C1832&lt;&gt;"Grayson Coulter","",COUNTIFS($C$5:$C$2991,"Grayson Coulter",$Q$5:$Q$2991,Q1832,$AE$5:$AE$2991,"&lt;="&amp;AE1832,$R$5:$R$2991,"&lt;"&amp;R1832))</f>
        <v/>
      </c>
      <c r="AG1832" s="35">
        <f>IF(OR(C1832&lt;&gt;"Grayson Coulter",G1832&lt;'00_Control'!$B$7),"",--(AF1832&lt;5))</f>
        <v/>
      </c>
      <c r="AH1832" s="35">
        <f>IF(OR(C1832&lt;&gt;"Grayson Coulter",G1832&lt;'00_Control'!$B$7),"",--(AF1832&lt;10))</f>
        <v/>
      </c>
      <c r="AI1832" s="35">
        <f>IF(AND(C1832="Grayson Coulter",G1832&gt;='00_Control'!$B$7),"YES","NO")</f>
        <v/>
      </c>
      <c r="AJ1832" s="33" t="inlineStr">
        <is>
          <t>OK</t>
        </is>
      </c>
    </row>
    <row r="1833">
      <c r="A1833" s="33" t="inlineStr">
        <is>
          <t>SM001829</t>
        </is>
      </c>
      <c r="B1833" s="33" t="inlineStr">
        <is>
          <t>SW013</t>
        </is>
      </c>
      <c r="C1833" s="33" t="inlineStr">
        <is>
          <t>Lewis Clareburt</t>
        </is>
      </c>
      <c r="D1833" s="33" t="inlineStr">
        <is>
          <t>SwimCloud</t>
        </is>
      </c>
      <c r="E1833" s="33" t="inlineStr">
        <is>
          <t>3464011</t>
        </is>
      </c>
      <c r="F1833" s="33" t="inlineStr">
        <is>
          <t>19494926</t>
        </is>
      </c>
      <c r="G1833" s="51" t="n">
        <v>43286</v>
      </c>
      <c r="H1833" s="33" t="inlineStr">
        <is>
          <t>AON New Zealand Open Championships</t>
        </is>
      </c>
      <c r="I1833" s="33" t="inlineStr">
        <is>
          <t>119009</t>
        </is>
      </c>
      <c r="J1833" s="33" t="inlineStr"/>
      <c r="K1833" s="33" t="inlineStr">
        <is>
          <t>TIM</t>
        </is>
      </c>
      <c r="L1833" s="35">
        <f>IF(K1833="FIN",3,IF(OR(K1833="SEM",K1833="SEMI"),2,IF(OR(K1833="PRE",K1833="HEAT"),1,IF(V1833="YES",4,2))))</f>
        <v/>
      </c>
      <c r="M1833" s="33" t="inlineStr">
        <is>
          <t>LCM</t>
        </is>
      </c>
      <c r="N1833" s="33" t="n">
        <v>200</v>
      </c>
      <c r="O1833" s="33" t="inlineStr">
        <is>
          <t>Free</t>
        </is>
      </c>
      <c r="P1833" s="33" t="inlineStr">
        <is>
          <t>200 Free</t>
        </is>
      </c>
      <c r="Q1833" s="33" t="inlineStr">
        <is>
          <t>LCM_200_FREE</t>
        </is>
      </c>
      <c r="R1833" s="36" t="n">
        <v>111.23</v>
      </c>
      <c r="S1833" s="35">
        <f>IF(R1833="","",IF(R1833&gt;=60,INT(R1833/60)&amp;":"&amp;TEXT(MOD(R1833,60),"00.00"),TEXT(R1833,"0.00")))</f>
        <v/>
      </c>
      <c r="T1833" s="52">
        <f>IFERROR((G1833-INDEX('01_Swimmers'!$E$5:$E$22,MATCH(B1833,'01_Swimmers'!$A$5:$A$22,0)))/'00_Control'!$B$10,"")</f>
        <v/>
      </c>
      <c r="U1833" s="35">
        <f>IF(T1833="","",INT(T1833))</f>
        <v/>
      </c>
      <c r="V1833" s="33" t="inlineStr">
        <is>
          <t>YES</t>
        </is>
      </c>
      <c r="W1833" s="33" t="inlineStr">
        <is>
          <t>YES</t>
        </is>
      </c>
      <c r="X1833" s="33" t="inlineStr">
        <is>
          <t>NO</t>
        </is>
      </c>
      <c r="Y1833" s="33" t="n">
        <v>1</v>
      </c>
      <c r="Z1833" s="33" t="n">
        <v>3</v>
      </c>
      <c r="AA1833" s="33" t="inlineStr"/>
      <c r="AB1833" s="33" t="inlineStr">
        <is>
          <t>https://www.swimcloud.com/results/119009/event/31/?id=19494604#time19494604</t>
        </is>
      </c>
      <c r="AC1833" s="33" t="inlineStr">
        <is>
          <t>SwimCloud API v6 2026-10-08</t>
        </is>
      </c>
      <c r="AD1833" s="33" t="inlineStr">
        <is>
          <t>Lewis Clareburt|2018-07-05|LCM|200|Free|111.23|AON New Zealand Open Championships|TIM|True</t>
        </is>
      </c>
      <c r="AE1833" s="53">
        <f>G1833+L1833/1000+ROW()/1000000000</f>
        <v/>
      </c>
      <c r="AF1833" s="35">
        <f>IF(C1833&lt;&gt;"Grayson Coulter","",COUNTIFS($C$5:$C$2991,"Grayson Coulter",$Q$5:$Q$2991,Q1833,$AE$5:$AE$2991,"&lt;="&amp;AE1833,$R$5:$R$2991,"&lt;"&amp;R1833))</f>
        <v/>
      </c>
      <c r="AG1833" s="35">
        <f>IF(OR(C1833&lt;&gt;"Grayson Coulter",G1833&lt;'00_Control'!$B$7),"",--(AF1833&lt;5))</f>
        <v/>
      </c>
      <c r="AH1833" s="35">
        <f>IF(OR(C1833&lt;&gt;"Grayson Coulter",G1833&lt;'00_Control'!$B$7),"",--(AF1833&lt;10))</f>
        <v/>
      </c>
      <c r="AI1833" s="35">
        <f>IF(AND(C1833="Grayson Coulter",G1833&gt;='00_Control'!$B$7),"YES","NO")</f>
        <v/>
      </c>
      <c r="AJ1833" s="33" t="inlineStr">
        <is>
          <t>OK</t>
        </is>
      </c>
    </row>
    <row r="1834">
      <c r="A1834" s="33" t="inlineStr">
        <is>
          <t>SM001830</t>
        </is>
      </c>
      <c r="B1834" s="33" t="inlineStr">
        <is>
          <t>SW013</t>
        </is>
      </c>
      <c r="C1834" s="33" t="inlineStr">
        <is>
          <t>Lewis Clareburt</t>
        </is>
      </c>
      <c r="D1834" s="33" t="inlineStr">
        <is>
          <t>SwimCloud</t>
        </is>
      </c>
      <c r="E1834" s="33" t="inlineStr">
        <is>
          <t>3464011</t>
        </is>
      </c>
      <c r="F1834" s="33" t="inlineStr">
        <is>
          <t>19493522</t>
        </is>
      </c>
      <c r="G1834" s="51" t="n">
        <v>43287</v>
      </c>
      <c r="H1834" s="33" t="inlineStr">
        <is>
          <t>AON New Zealand Open Championships</t>
        </is>
      </c>
      <c r="I1834" s="33" t="inlineStr">
        <is>
          <t>119009</t>
        </is>
      </c>
      <c r="J1834" s="33" t="inlineStr"/>
      <c r="K1834" s="33" t="inlineStr">
        <is>
          <t>PRE</t>
        </is>
      </c>
      <c r="L1834" s="35">
        <f>IF(K1834="FIN",3,IF(OR(K1834="SEM",K1834="SEMI"),2,IF(OR(K1834="PRE",K1834="HEAT"),1,IF(V1834="YES",4,2))))</f>
        <v/>
      </c>
      <c r="M1834" s="33" t="inlineStr">
        <is>
          <t>LCM</t>
        </is>
      </c>
      <c r="N1834" s="33" t="n">
        <v>100</v>
      </c>
      <c r="O1834" s="33" t="inlineStr">
        <is>
          <t>Free</t>
        </is>
      </c>
      <c r="P1834" s="33" t="inlineStr">
        <is>
          <t>100 Free</t>
        </is>
      </c>
      <c r="Q1834" s="33" t="inlineStr">
        <is>
          <t>LCM_100_FREE</t>
        </is>
      </c>
      <c r="R1834" s="36" t="n">
        <v>51.07</v>
      </c>
      <c r="S1834" s="35">
        <f>IF(R1834="","",IF(R1834&gt;=60,INT(R1834/60)&amp;":"&amp;TEXT(MOD(R1834,60),"00.00"),TEXT(R1834,"0.00")))</f>
        <v/>
      </c>
      <c r="T1834" s="52">
        <f>IFERROR((G1834-INDEX('01_Swimmers'!$E$5:$E$22,MATCH(B1834,'01_Swimmers'!$A$5:$A$22,0)))/'00_Control'!$B$10,"")</f>
        <v/>
      </c>
      <c r="U1834" s="35">
        <f>IF(T1834="","",INT(T1834))</f>
        <v/>
      </c>
      <c r="V1834" s="33" t="inlineStr">
        <is>
          <t>NO</t>
        </is>
      </c>
      <c r="W1834" s="33" t="inlineStr">
        <is>
          <t>YES</t>
        </is>
      </c>
      <c r="X1834" s="33" t="inlineStr">
        <is>
          <t>NO</t>
        </is>
      </c>
      <c r="Y1834" s="33" t="n">
        <v>6</v>
      </c>
      <c r="Z1834" s="33" t="n">
        <v>4</v>
      </c>
      <c r="AA1834" s="33" t="inlineStr">
        <is>
          <t>4</t>
        </is>
      </c>
      <c r="AB1834" s="33" t="inlineStr">
        <is>
          <t>https://www.swimcloud.com/results/119009/event/35/?id=19493522#time19493522</t>
        </is>
      </c>
      <c r="AC1834" s="33" t="inlineStr">
        <is>
          <t>SwimCloud API v6 2026-10-08</t>
        </is>
      </c>
      <c r="AD1834" s="33" t="inlineStr">
        <is>
          <t>Lewis Clareburt|2018-07-06|LCM|100|Free|51.07|AON New Zealand Open Championships|PRE|False</t>
        </is>
      </c>
      <c r="AE1834" s="53">
        <f>G1834+L1834/1000+ROW()/1000000000</f>
        <v/>
      </c>
      <c r="AF1834" s="35">
        <f>IF(C1834&lt;&gt;"Grayson Coulter","",COUNTIFS($C$5:$C$2991,"Grayson Coulter",$Q$5:$Q$2991,Q1834,$AE$5:$AE$2991,"&lt;="&amp;AE1834,$R$5:$R$2991,"&lt;"&amp;R1834))</f>
        <v/>
      </c>
      <c r="AG1834" s="35">
        <f>IF(OR(C1834&lt;&gt;"Grayson Coulter",G1834&lt;'00_Control'!$B$7),"",--(AF1834&lt;5))</f>
        <v/>
      </c>
      <c r="AH1834" s="35">
        <f>IF(OR(C1834&lt;&gt;"Grayson Coulter",G1834&lt;'00_Control'!$B$7),"",--(AF1834&lt;10))</f>
        <v/>
      </c>
      <c r="AI1834" s="35">
        <f>IF(AND(C1834="Grayson Coulter",G1834&gt;='00_Control'!$B$7),"YES","NO")</f>
        <v/>
      </c>
      <c r="AJ1834" s="33" t="inlineStr">
        <is>
          <t>OK</t>
        </is>
      </c>
    </row>
    <row r="1835">
      <c r="A1835" s="33" t="inlineStr">
        <is>
          <t>SM001831</t>
        </is>
      </c>
      <c r="B1835" s="33" t="inlineStr">
        <is>
          <t>SW013</t>
        </is>
      </c>
      <c r="C1835" s="33" t="inlineStr">
        <is>
          <t>Lewis Clareburt</t>
        </is>
      </c>
      <c r="D1835" s="33" t="inlineStr">
        <is>
          <t>SwimCloud</t>
        </is>
      </c>
      <c r="E1835" s="33" t="inlineStr">
        <is>
          <t>3464011</t>
        </is>
      </c>
      <c r="F1835" s="33" t="inlineStr">
        <is>
          <t>19493523</t>
        </is>
      </c>
      <c r="G1835" s="51" t="n">
        <v>43287</v>
      </c>
      <c r="H1835" s="33" t="inlineStr">
        <is>
          <t>AON New Zealand Open Championships</t>
        </is>
      </c>
      <c r="I1835" s="33" t="inlineStr">
        <is>
          <t>119009</t>
        </is>
      </c>
      <c r="J1835" s="33" t="inlineStr"/>
      <c r="K1835" s="33" t="inlineStr">
        <is>
          <t>FIN</t>
        </is>
      </c>
      <c r="L1835" s="35">
        <f>IF(K1835="FIN",3,IF(OR(K1835="SEM",K1835="SEMI"),2,IF(OR(K1835="PRE",K1835="HEAT"),1,IF(V1835="YES",4,2))))</f>
        <v/>
      </c>
      <c r="M1835" s="33" t="inlineStr">
        <is>
          <t>LCM</t>
        </is>
      </c>
      <c r="N1835" s="33" t="n">
        <v>100</v>
      </c>
      <c r="O1835" s="33" t="inlineStr">
        <is>
          <t>Free</t>
        </is>
      </c>
      <c r="P1835" s="33" t="inlineStr">
        <is>
          <t>100 Free</t>
        </is>
      </c>
      <c r="Q1835" s="33" t="inlineStr">
        <is>
          <t>LCM_100_FREE</t>
        </is>
      </c>
      <c r="R1835" s="36" t="n">
        <v>51.06</v>
      </c>
      <c r="S1835" s="35">
        <f>IF(R1835="","",IF(R1835&gt;=60,INT(R1835/60)&amp;":"&amp;TEXT(MOD(R1835,60),"00.00"),TEXT(R1835,"0.00")))</f>
        <v/>
      </c>
      <c r="T1835" s="52">
        <f>IFERROR((G1835-INDEX('01_Swimmers'!$E$5:$E$22,MATCH(B1835,'01_Swimmers'!$A$5:$A$22,0)))/'00_Control'!$B$10,"")</f>
        <v/>
      </c>
      <c r="U1835" s="35">
        <f>IF(T1835="","",INT(T1835))</f>
        <v/>
      </c>
      <c r="V1835" s="33" t="inlineStr">
        <is>
          <t>NO</t>
        </is>
      </c>
      <c r="W1835" s="33" t="inlineStr">
        <is>
          <t>YES</t>
        </is>
      </c>
      <c r="X1835" s="33" t="inlineStr">
        <is>
          <t>NO</t>
        </is>
      </c>
      <c r="Y1835" s="33" t="n">
        <v>1</v>
      </c>
      <c r="Z1835" s="33" t="n">
        <v>6</v>
      </c>
      <c r="AA1835" s="33" t="inlineStr">
        <is>
          <t>6</t>
        </is>
      </c>
      <c r="AB1835" s="33" t="inlineStr">
        <is>
          <t>https://www.swimcloud.com/results/119009/event/35/?id=19493523#time19493523</t>
        </is>
      </c>
      <c r="AC1835" s="33" t="inlineStr">
        <is>
          <t>SwimCloud API v6 2026-10-08</t>
        </is>
      </c>
      <c r="AD1835" s="33" t="inlineStr">
        <is>
          <t>Lewis Clareburt|2018-07-06|LCM|100|Free|51.06|AON New Zealand Open Championships|FIN|False</t>
        </is>
      </c>
      <c r="AE1835" s="53">
        <f>G1835+L1835/1000+ROW()/1000000000</f>
        <v/>
      </c>
      <c r="AF1835" s="35">
        <f>IF(C1835&lt;&gt;"Grayson Coulter","",COUNTIFS($C$5:$C$2991,"Grayson Coulter",$Q$5:$Q$2991,Q1835,$AE$5:$AE$2991,"&lt;="&amp;AE1835,$R$5:$R$2991,"&lt;"&amp;R1835))</f>
        <v/>
      </c>
      <c r="AG1835" s="35">
        <f>IF(OR(C1835&lt;&gt;"Grayson Coulter",G1835&lt;'00_Control'!$B$7),"",--(AF1835&lt;5))</f>
        <v/>
      </c>
      <c r="AH1835" s="35">
        <f>IF(OR(C1835&lt;&gt;"Grayson Coulter",G1835&lt;'00_Control'!$B$7),"",--(AF1835&lt;10))</f>
        <v/>
      </c>
      <c r="AI1835" s="35">
        <f>IF(AND(C1835="Grayson Coulter",G1835&gt;='00_Control'!$B$7),"YES","NO")</f>
        <v/>
      </c>
      <c r="AJ1835" s="33" t="inlineStr">
        <is>
          <t>OK</t>
        </is>
      </c>
    </row>
    <row r="1836">
      <c r="A1836" s="33" t="inlineStr">
        <is>
          <t>SM001832</t>
        </is>
      </c>
      <c r="B1836" s="33" t="inlineStr">
        <is>
          <t>SW013</t>
        </is>
      </c>
      <c r="C1836" s="33" t="inlineStr">
        <is>
          <t>Lewis Clareburt</t>
        </is>
      </c>
      <c r="D1836" s="33" t="inlineStr">
        <is>
          <t>SwimCloud</t>
        </is>
      </c>
      <c r="E1836" s="33" t="inlineStr">
        <is>
          <t>3464011</t>
        </is>
      </c>
      <c r="F1836" s="33" t="inlineStr">
        <is>
          <t>44977005</t>
        </is>
      </c>
      <c r="G1836" s="51" t="n">
        <v>43484</v>
      </c>
      <c r="H1836" s="33" t="inlineStr">
        <is>
          <t>SwimWn LC Championship</t>
        </is>
      </c>
      <c r="I1836" s="33" t="inlineStr">
        <is>
          <t>207009</t>
        </is>
      </c>
      <c r="J1836" s="33" t="inlineStr"/>
      <c r="K1836" s="33" t="inlineStr">
        <is>
          <t>PRE</t>
        </is>
      </c>
      <c r="L1836" s="35">
        <f>IF(K1836="FIN",3,IF(OR(K1836="SEM",K1836="SEMI"),2,IF(OR(K1836="PRE",K1836="HEAT"),1,IF(V1836="YES",4,2))))</f>
        <v/>
      </c>
      <c r="M1836" s="33" t="inlineStr">
        <is>
          <t>LCM</t>
        </is>
      </c>
      <c r="N1836" s="33" t="n">
        <v>200</v>
      </c>
      <c r="O1836" s="33" t="inlineStr">
        <is>
          <t>Free</t>
        </is>
      </c>
      <c r="P1836" s="33" t="inlineStr">
        <is>
          <t>200 Free</t>
        </is>
      </c>
      <c r="Q1836" s="33" t="inlineStr">
        <is>
          <t>LCM_200_FREE</t>
        </is>
      </c>
      <c r="R1836" s="36" t="n">
        <v>115.27</v>
      </c>
      <c r="S1836" s="35">
        <f>IF(R1836="","",IF(R1836&gt;=60,INT(R1836/60)&amp;":"&amp;TEXT(MOD(R1836,60),"00.00"),TEXT(R1836,"0.00")))</f>
        <v/>
      </c>
      <c r="T1836" s="52">
        <f>IFERROR((G1836-INDEX('01_Swimmers'!$E$5:$E$22,MATCH(B1836,'01_Swimmers'!$A$5:$A$22,0)))/'00_Control'!$B$10,"")</f>
        <v/>
      </c>
      <c r="U1836" s="35">
        <f>IF(T1836="","",INT(T1836))</f>
        <v/>
      </c>
      <c r="V1836" s="33" t="inlineStr">
        <is>
          <t>NO</t>
        </is>
      </c>
      <c r="W1836" s="33" t="inlineStr">
        <is>
          <t>YES</t>
        </is>
      </c>
      <c r="X1836" s="33" t="inlineStr">
        <is>
          <t>NO</t>
        </is>
      </c>
      <c r="Y1836" s="33" t="n">
        <v>8</v>
      </c>
      <c r="Z1836" s="33" t="n">
        <v>4</v>
      </c>
      <c r="AA1836" s="33" t="inlineStr">
        <is>
          <t>1</t>
        </is>
      </c>
      <c r="AB1836" s="33" t="inlineStr">
        <is>
          <t>https://www.swimcloud.com/results/207009/event/8/?id=44977005#time44977005</t>
        </is>
      </c>
      <c r="AC1836" s="33" t="inlineStr">
        <is>
          <t>SwimCloud API v6 2026-10-08</t>
        </is>
      </c>
      <c r="AD1836" s="33" t="inlineStr">
        <is>
          <t>Lewis Clareburt|2019-01-19|LCM|200|Free|115.27|SwimWn LC Championship|PRE|False</t>
        </is>
      </c>
      <c r="AE1836" s="53">
        <f>G1836+L1836/1000+ROW()/1000000000</f>
        <v/>
      </c>
      <c r="AF1836" s="35">
        <f>IF(C1836&lt;&gt;"Grayson Coulter","",COUNTIFS($C$5:$C$2991,"Grayson Coulter",$Q$5:$Q$2991,Q1836,$AE$5:$AE$2991,"&lt;="&amp;AE1836,$R$5:$R$2991,"&lt;"&amp;R1836))</f>
        <v/>
      </c>
      <c r="AG1836" s="35">
        <f>IF(OR(C1836&lt;&gt;"Grayson Coulter",G1836&lt;'00_Control'!$B$7),"",--(AF1836&lt;5))</f>
        <v/>
      </c>
      <c r="AH1836" s="35">
        <f>IF(OR(C1836&lt;&gt;"Grayson Coulter",G1836&lt;'00_Control'!$B$7),"",--(AF1836&lt;10))</f>
        <v/>
      </c>
      <c r="AI1836" s="35">
        <f>IF(AND(C1836="Grayson Coulter",G1836&gt;='00_Control'!$B$7),"YES","NO")</f>
        <v/>
      </c>
      <c r="AJ1836" s="33" t="inlineStr">
        <is>
          <t>OK</t>
        </is>
      </c>
    </row>
    <row r="1837">
      <c r="A1837" s="33" t="inlineStr">
        <is>
          <t>SM001833</t>
        </is>
      </c>
      <c r="B1837" s="33" t="inlineStr">
        <is>
          <t>SW013</t>
        </is>
      </c>
      <c r="C1837" s="33" t="inlineStr">
        <is>
          <t>Lewis Clareburt</t>
        </is>
      </c>
      <c r="D1837" s="33" t="inlineStr">
        <is>
          <t>SwimCloud</t>
        </is>
      </c>
      <c r="E1837" s="33" t="inlineStr">
        <is>
          <t>3464011</t>
        </is>
      </c>
      <c r="F1837" s="33" t="inlineStr">
        <is>
          <t>44977006</t>
        </is>
      </c>
      <c r="G1837" s="51" t="n">
        <v>43484</v>
      </c>
      <c r="H1837" s="33" t="inlineStr">
        <is>
          <t>SwimWn LC Championship</t>
        </is>
      </c>
      <c r="I1837" s="33" t="inlineStr">
        <is>
          <t>207009</t>
        </is>
      </c>
      <c r="J1837" s="33" t="inlineStr"/>
      <c r="K1837" s="33" t="inlineStr">
        <is>
          <t>FIN</t>
        </is>
      </c>
      <c r="L1837" s="35">
        <f>IF(K1837="FIN",3,IF(OR(K1837="SEM",K1837="SEMI"),2,IF(OR(K1837="PRE",K1837="HEAT"),1,IF(V1837="YES",4,2))))</f>
        <v/>
      </c>
      <c r="M1837" s="33" t="inlineStr">
        <is>
          <t>LCM</t>
        </is>
      </c>
      <c r="N1837" s="33" t="n">
        <v>200</v>
      </c>
      <c r="O1837" s="33" t="inlineStr">
        <is>
          <t>Free</t>
        </is>
      </c>
      <c r="P1837" s="33" t="inlineStr">
        <is>
          <t>200 Free</t>
        </is>
      </c>
      <c r="Q1837" s="33" t="inlineStr">
        <is>
          <t>LCM_200_FREE</t>
        </is>
      </c>
      <c r="R1837" s="36" t="n">
        <v>113.7</v>
      </c>
      <c r="S1837" s="35">
        <f>IF(R1837="","",IF(R1837&gt;=60,INT(R1837/60)&amp;":"&amp;TEXT(MOD(R1837,60),"00.00"),TEXT(R1837,"0.00")))</f>
        <v/>
      </c>
      <c r="T1837" s="52">
        <f>IFERROR((G1837-INDEX('01_Swimmers'!$E$5:$E$22,MATCH(B1837,'01_Swimmers'!$A$5:$A$22,0)))/'00_Control'!$B$10,"")</f>
        <v/>
      </c>
      <c r="U1837" s="35">
        <f>IF(T1837="","",INT(T1837))</f>
        <v/>
      </c>
      <c r="V1837" s="33" t="inlineStr">
        <is>
          <t>NO</t>
        </is>
      </c>
      <c r="W1837" s="33" t="inlineStr">
        <is>
          <t>YES</t>
        </is>
      </c>
      <c r="X1837" s="33" t="inlineStr">
        <is>
          <t>NO</t>
        </is>
      </c>
      <c r="Y1837" s="33" t="n">
        <v>5</v>
      </c>
      <c r="Z1837" s="33" t="n">
        <v>4</v>
      </c>
      <c r="AA1837" s="33" t="inlineStr">
        <is>
          <t>1</t>
        </is>
      </c>
      <c r="AB1837" s="33" t="inlineStr">
        <is>
          <t>https://www.swimcloud.com/results/207009/event/8/?id=44977006#time44977006</t>
        </is>
      </c>
      <c r="AC1837" s="33" t="inlineStr">
        <is>
          <t>SwimCloud API v6 2026-10-08</t>
        </is>
      </c>
      <c r="AD1837" s="33" t="inlineStr">
        <is>
          <t>Lewis Clareburt|2019-01-19|LCM|200|Free|113.7|SwimWn LC Championship|FIN|False</t>
        </is>
      </c>
      <c r="AE1837" s="53">
        <f>G1837+L1837/1000+ROW()/1000000000</f>
        <v/>
      </c>
      <c r="AF1837" s="35">
        <f>IF(C1837&lt;&gt;"Grayson Coulter","",COUNTIFS($C$5:$C$2991,"Grayson Coulter",$Q$5:$Q$2991,Q1837,$AE$5:$AE$2991,"&lt;="&amp;AE1837,$R$5:$R$2991,"&lt;"&amp;R1837))</f>
        <v/>
      </c>
      <c r="AG1837" s="35">
        <f>IF(OR(C1837&lt;&gt;"Grayson Coulter",G1837&lt;'00_Control'!$B$7),"",--(AF1837&lt;5))</f>
        <v/>
      </c>
      <c r="AH1837" s="35">
        <f>IF(OR(C1837&lt;&gt;"Grayson Coulter",G1837&lt;'00_Control'!$B$7),"",--(AF1837&lt;10))</f>
        <v/>
      </c>
      <c r="AI1837" s="35">
        <f>IF(AND(C1837="Grayson Coulter",G1837&gt;='00_Control'!$B$7),"YES","NO")</f>
        <v/>
      </c>
      <c r="AJ1837" s="33" t="inlineStr">
        <is>
          <t>OK</t>
        </is>
      </c>
    </row>
    <row r="1838">
      <c r="A1838" s="33" t="inlineStr">
        <is>
          <t>SM001834</t>
        </is>
      </c>
      <c r="B1838" s="33" t="inlineStr">
        <is>
          <t>SW013</t>
        </is>
      </c>
      <c r="C1838" s="33" t="inlineStr">
        <is>
          <t>Lewis Clareburt</t>
        </is>
      </c>
      <c r="D1838" s="33" t="inlineStr">
        <is>
          <t>SwimCloud</t>
        </is>
      </c>
      <c r="E1838" s="33" t="inlineStr">
        <is>
          <t>3464011</t>
        </is>
      </c>
      <c r="F1838" s="33" t="inlineStr">
        <is>
          <t>28649546</t>
        </is>
      </c>
      <c r="G1838" s="51" t="n">
        <v>43541</v>
      </c>
      <c r="H1838" s="33" t="inlineStr">
        <is>
          <t>NSW State Open Championships</t>
        </is>
      </c>
      <c r="I1838" s="33" t="inlineStr">
        <is>
          <t>144075</t>
        </is>
      </c>
      <c r="J1838" s="33" t="inlineStr"/>
      <c r="K1838" s="33" t="inlineStr">
        <is>
          <t>PRE</t>
        </is>
      </c>
      <c r="L1838" s="35">
        <f>IF(K1838="FIN",3,IF(OR(K1838="SEM",K1838="SEMI"),2,IF(OR(K1838="PRE",K1838="HEAT"),1,IF(V1838="YES",4,2))))</f>
        <v/>
      </c>
      <c r="M1838" s="33" t="inlineStr">
        <is>
          <t>LCM</t>
        </is>
      </c>
      <c r="N1838" s="33" t="n">
        <v>100</v>
      </c>
      <c r="O1838" s="33" t="inlineStr">
        <is>
          <t>Fly</t>
        </is>
      </c>
      <c r="P1838" s="33" t="inlineStr">
        <is>
          <t>100 Fly</t>
        </is>
      </c>
      <c r="Q1838" s="33" t="inlineStr">
        <is>
          <t>LCM_100_FLY</t>
        </is>
      </c>
      <c r="R1838" s="36" t="n">
        <v>54.39</v>
      </c>
      <c r="S1838" s="35">
        <f>IF(R1838="","",IF(R1838&gt;=60,INT(R1838/60)&amp;":"&amp;TEXT(MOD(R1838,60),"00.00"),TEXT(R1838,"0.00")))</f>
        <v/>
      </c>
      <c r="T1838" s="52">
        <f>IFERROR((G1838-INDEX('01_Swimmers'!$E$5:$E$22,MATCH(B1838,'01_Swimmers'!$A$5:$A$22,0)))/'00_Control'!$B$10,"")</f>
        <v/>
      </c>
      <c r="U1838" s="35">
        <f>IF(T1838="","",INT(T1838))</f>
        <v/>
      </c>
      <c r="V1838" s="33" t="inlineStr">
        <is>
          <t>NO</t>
        </is>
      </c>
      <c r="W1838" s="33" t="inlineStr">
        <is>
          <t>YES</t>
        </is>
      </c>
      <c r="X1838" s="33" t="inlineStr">
        <is>
          <t>NO</t>
        </is>
      </c>
      <c r="Y1838" s="33" t="n">
        <v>7</v>
      </c>
      <c r="Z1838" s="33" t="n">
        <v>3</v>
      </c>
      <c r="AA1838" s="33" t="inlineStr">
        <is>
          <t>4</t>
        </is>
      </c>
      <c r="AB1838" s="33" t="inlineStr">
        <is>
          <t>https://www.swimcloud.com/results/144075/event/28/?id=28649546#time28649546</t>
        </is>
      </c>
      <c r="AC1838" s="33" t="inlineStr">
        <is>
          <t>SwimCloud API v6 2026-10-08</t>
        </is>
      </c>
      <c r="AD1838" s="33" t="inlineStr">
        <is>
          <t>Lewis Clareburt|2019-03-17|LCM|100|Fly|54.39|NSW State Open Championships|PRE|False</t>
        </is>
      </c>
      <c r="AE1838" s="53">
        <f>G1838+L1838/1000+ROW()/1000000000</f>
        <v/>
      </c>
      <c r="AF1838" s="35">
        <f>IF(C1838&lt;&gt;"Grayson Coulter","",COUNTIFS($C$5:$C$2991,"Grayson Coulter",$Q$5:$Q$2991,Q1838,$AE$5:$AE$2991,"&lt;="&amp;AE1838,$R$5:$R$2991,"&lt;"&amp;R1838))</f>
        <v/>
      </c>
      <c r="AG1838" s="35">
        <f>IF(OR(C1838&lt;&gt;"Grayson Coulter",G1838&lt;'00_Control'!$B$7),"",--(AF1838&lt;5))</f>
        <v/>
      </c>
      <c r="AH1838" s="35">
        <f>IF(OR(C1838&lt;&gt;"Grayson Coulter",G1838&lt;'00_Control'!$B$7),"",--(AF1838&lt;10))</f>
        <v/>
      </c>
      <c r="AI1838" s="35">
        <f>IF(AND(C1838="Grayson Coulter",G1838&gt;='00_Control'!$B$7),"YES","NO")</f>
        <v/>
      </c>
      <c r="AJ1838" s="33" t="inlineStr">
        <is>
          <t>OK</t>
        </is>
      </c>
    </row>
    <row r="1839">
      <c r="A1839" s="33" t="inlineStr">
        <is>
          <t>SM001835</t>
        </is>
      </c>
      <c r="B1839" s="33" t="inlineStr">
        <is>
          <t>SW013</t>
        </is>
      </c>
      <c r="C1839" s="33" t="inlineStr">
        <is>
          <t>Lewis Clareburt</t>
        </is>
      </c>
      <c r="D1839" s="33" t="inlineStr">
        <is>
          <t>SwimCloud</t>
        </is>
      </c>
      <c r="E1839" s="33" t="inlineStr">
        <is>
          <t>3464011</t>
        </is>
      </c>
      <c r="F1839" s="33" t="inlineStr">
        <is>
          <t>28649547</t>
        </is>
      </c>
      <c r="G1839" s="51" t="n">
        <v>43541</v>
      </c>
      <c r="H1839" s="33" t="inlineStr">
        <is>
          <t>NSW State Open Championships</t>
        </is>
      </c>
      <c r="I1839" s="33" t="inlineStr">
        <is>
          <t>144075</t>
        </is>
      </c>
      <c r="J1839" s="33" t="inlineStr"/>
      <c r="K1839" s="33" t="inlineStr">
        <is>
          <t>FIN</t>
        </is>
      </c>
      <c r="L1839" s="35">
        <f>IF(K1839="FIN",3,IF(OR(K1839="SEM",K1839="SEMI"),2,IF(OR(K1839="PRE",K1839="HEAT"),1,IF(V1839="YES",4,2))))</f>
        <v/>
      </c>
      <c r="M1839" s="33" t="inlineStr">
        <is>
          <t>LCM</t>
        </is>
      </c>
      <c r="N1839" s="33" t="n">
        <v>100</v>
      </c>
      <c r="O1839" s="33" t="inlineStr">
        <is>
          <t>Fly</t>
        </is>
      </c>
      <c r="P1839" s="33" t="inlineStr">
        <is>
          <t>100 Fly</t>
        </is>
      </c>
      <c r="Q1839" s="33" t="inlineStr">
        <is>
          <t>LCM_100_FLY</t>
        </is>
      </c>
      <c r="R1839" s="36" t="n">
        <v>53.74</v>
      </c>
      <c r="S1839" s="35">
        <f>IF(R1839="","",IF(R1839&gt;=60,INT(R1839/60)&amp;":"&amp;TEXT(MOD(R1839,60),"00.00"),TEXT(R1839,"0.00")))</f>
        <v/>
      </c>
      <c r="T1839" s="52">
        <f>IFERROR((G1839-INDEX('01_Swimmers'!$E$5:$E$22,MATCH(B1839,'01_Swimmers'!$A$5:$A$22,0)))/'00_Control'!$B$10,"")</f>
        <v/>
      </c>
      <c r="U1839" s="35">
        <f>IF(T1839="","",INT(T1839))</f>
        <v/>
      </c>
      <c r="V1839" s="33" t="inlineStr">
        <is>
          <t>NO</t>
        </is>
      </c>
      <c r="W1839" s="33" t="inlineStr">
        <is>
          <t>YES</t>
        </is>
      </c>
      <c r="X1839" s="33" t="inlineStr">
        <is>
          <t>NO</t>
        </is>
      </c>
      <c r="Y1839" s="33" t="n">
        <v>1</v>
      </c>
      <c r="Z1839" s="33" t="n">
        <v>6</v>
      </c>
      <c r="AA1839" s="33" t="inlineStr">
        <is>
          <t>6</t>
        </is>
      </c>
      <c r="AB1839" s="33" t="inlineStr">
        <is>
          <t>https://www.swimcloud.com/results/144075/event/28/?id=28649547#time28649547</t>
        </is>
      </c>
      <c r="AC1839" s="33" t="inlineStr">
        <is>
          <t>SwimCloud API v6 2026-10-08</t>
        </is>
      </c>
      <c r="AD1839" s="33" t="inlineStr">
        <is>
          <t>Lewis Clareburt|2019-03-17|LCM|100|Fly|53.74|NSW State Open Championships|FIN|False</t>
        </is>
      </c>
      <c r="AE1839" s="53">
        <f>G1839+L1839/1000+ROW()/1000000000</f>
        <v/>
      </c>
      <c r="AF1839" s="35">
        <f>IF(C1839&lt;&gt;"Grayson Coulter","",COUNTIFS($C$5:$C$2991,"Grayson Coulter",$Q$5:$Q$2991,Q1839,$AE$5:$AE$2991,"&lt;="&amp;AE1839,$R$5:$R$2991,"&lt;"&amp;R1839))</f>
        <v/>
      </c>
      <c r="AG1839" s="35">
        <f>IF(OR(C1839&lt;&gt;"Grayson Coulter",G1839&lt;'00_Control'!$B$7),"",--(AF1839&lt;5))</f>
        <v/>
      </c>
      <c r="AH1839" s="35">
        <f>IF(OR(C1839&lt;&gt;"Grayson Coulter",G1839&lt;'00_Control'!$B$7),"",--(AF1839&lt;10))</f>
        <v/>
      </c>
      <c r="AI1839" s="35">
        <f>IF(AND(C1839="Grayson Coulter",G1839&gt;='00_Control'!$B$7),"YES","NO")</f>
        <v/>
      </c>
      <c r="AJ1839" s="33" t="inlineStr">
        <is>
          <t>OK</t>
        </is>
      </c>
    </row>
    <row r="1840">
      <c r="A1840" s="33" t="inlineStr">
        <is>
          <t>SM001836</t>
        </is>
      </c>
      <c r="B1840" s="33" t="inlineStr">
        <is>
          <t>SW013</t>
        </is>
      </c>
      <c r="C1840" s="33" t="inlineStr">
        <is>
          <t>Lewis Clareburt</t>
        </is>
      </c>
      <c r="D1840" s="33" t="inlineStr">
        <is>
          <t>SwimCloud</t>
        </is>
      </c>
      <c r="E1840" s="33" t="inlineStr">
        <is>
          <t>3464011</t>
        </is>
      </c>
      <c r="F1840" s="33" t="inlineStr">
        <is>
          <t>44974959</t>
        </is>
      </c>
      <c r="G1840" s="51" t="n">
        <v>43554</v>
      </c>
      <c r="H1840" s="33" t="inlineStr">
        <is>
          <t>Tier one - meet 1</t>
        </is>
      </c>
      <c r="I1840" s="33" t="inlineStr">
        <is>
          <t>207011</t>
        </is>
      </c>
      <c r="J1840" s="33" t="inlineStr"/>
      <c r="K1840" s="33" t="inlineStr">
        <is>
          <t>TIM</t>
        </is>
      </c>
      <c r="L1840" s="35">
        <f>IF(K1840="FIN",3,IF(OR(K1840="SEM",K1840="SEMI"),2,IF(OR(K1840="PRE",K1840="HEAT"),1,IF(V1840="YES",4,2))))</f>
        <v/>
      </c>
      <c r="M1840" s="33" t="inlineStr">
        <is>
          <t>LCM</t>
        </is>
      </c>
      <c r="N1840" s="33" t="n">
        <v>200</v>
      </c>
      <c r="O1840" s="33" t="inlineStr">
        <is>
          <t>Free</t>
        </is>
      </c>
      <c r="P1840" s="33" t="inlineStr">
        <is>
          <t>200 Free</t>
        </is>
      </c>
      <c r="Q1840" s="33" t="inlineStr">
        <is>
          <t>LCM_200_FREE</t>
        </is>
      </c>
      <c r="R1840" s="36" t="n">
        <v>116.27</v>
      </c>
      <c r="S1840" s="35">
        <f>IF(R1840="","",IF(R1840&gt;=60,INT(R1840/60)&amp;":"&amp;TEXT(MOD(R1840,60),"00.00"),TEXT(R1840,"0.00")))</f>
        <v/>
      </c>
      <c r="T1840" s="52">
        <f>IFERROR((G1840-INDEX('01_Swimmers'!$E$5:$E$22,MATCH(B1840,'01_Swimmers'!$A$5:$A$22,0)))/'00_Control'!$B$10,"")</f>
        <v/>
      </c>
      <c r="U1840" s="35">
        <f>IF(T1840="","",INT(T1840))</f>
        <v/>
      </c>
      <c r="V1840" s="33" t="inlineStr">
        <is>
          <t>NO</t>
        </is>
      </c>
      <c r="W1840" s="33" t="inlineStr">
        <is>
          <t>YES</t>
        </is>
      </c>
      <c r="X1840" s="33" t="inlineStr">
        <is>
          <t>NO</t>
        </is>
      </c>
      <c r="Y1840" s="33" t="n">
        <v>3</v>
      </c>
      <c r="Z1840" s="33" t="n">
        <v>4</v>
      </c>
      <c r="AA1840" s="33" t="inlineStr">
        <is>
          <t>1</t>
        </is>
      </c>
      <c r="AB1840" s="33" t="inlineStr">
        <is>
          <t>https://www.swimcloud.com/results/207011/event/27/?id=44974959#time44974959</t>
        </is>
      </c>
      <c r="AC1840" s="33" t="inlineStr">
        <is>
          <t>SwimCloud API v6 2026-10-08</t>
        </is>
      </c>
      <c r="AD1840" s="33" t="inlineStr">
        <is>
          <t>Lewis Clareburt|2019-03-30|LCM|200|Free|116.27|Tier one - meet 1|TIM|False</t>
        </is>
      </c>
      <c r="AE1840" s="53">
        <f>G1840+L1840/1000+ROW()/1000000000</f>
        <v/>
      </c>
      <c r="AF1840" s="35">
        <f>IF(C1840&lt;&gt;"Grayson Coulter","",COUNTIFS($C$5:$C$2991,"Grayson Coulter",$Q$5:$Q$2991,Q1840,$AE$5:$AE$2991,"&lt;="&amp;AE1840,$R$5:$R$2991,"&lt;"&amp;R1840))</f>
        <v/>
      </c>
      <c r="AG1840" s="35">
        <f>IF(OR(C1840&lt;&gt;"Grayson Coulter",G1840&lt;'00_Control'!$B$7),"",--(AF1840&lt;5))</f>
        <v/>
      </c>
      <c r="AH1840" s="35">
        <f>IF(OR(C1840&lt;&gt;"Grayson Coulter",G1840&lt;'00_Control'!$B$7),"",--(AF1840&lt;10))</f>
        <v/>
      </c>
      <c r="AI1840" s="35">
        <f>IF(AND(C1840="Grayson Coulter",G1840&gt;='00_Control'!$B$7),"YES","NO")</f>
        <v/>
      </c>
      <c r="AJ1840" s="33" t="inlineStr">
        <is>
          <t>OK</t>
        </is>
      </c>
    </row>
    <row r="1841">
      <c r="A1841" s="33" t="inlineStr">
        <is>
          <t>SM001837</t>
        </is>
      </c>
      <c r="B1841" s="33" t="inlineStr">
        <is>
          <t>SW013</t>
        </is>
      </c>
      <c r="C1841" s="33" t="inlineStr">
        <is>
          <t>Lewis Clareburt</t>
        </is>
      </c>
      <c r="D1841" s="33" t="inlineStr">
        <is>
          <t>SwimCloud</t>
        </is>
      </c>
      <c r="E1841" s="33" t="inlineStr">
        <is>
          <t>3464011</t>
        </is>
      </c>
      <c r="F1841" s="33" t="inlineStr">
        <is>
          <t>28733822</t>
        </is>
      </c>
      <c r="G1841" s="51" t="n">
        <v>43634</v>
      </c>
      <c r="H1841" s="33" t="inlineStr">
        <is>
          <t>Aon New Zealand Age Group National Championships</t>
        </is>
      </c>
      <c r="I1841" s="33" t="inlineStr">
        <is>
          <t>150739</t>
        </is>
      </c>
      <c r="J1841" s="33" t="inlineStr"/>
      <c r="K1841" s="33" t="inlineStr">
        <is>
          <t>PRE</t>
        </is>
      </c>
      <c r="L1841" s="35">
        <f>IF(K1841="FIN",3,IF(OR(K1841="SEM",K1841="SEMI"),2,IF(OR(K1841="PRE",K1841="HEAT"),1,IF(V1841="YES",4,2))))</f>
        <v/>
      </c>
      <c r="M1841" s="33" t="inlineStr">
        <is>
          <t>LCM</t>
        </is>
      </c>
      <c r="N1841" s="33" t="n">
        <v>200</v>
      </c>
      <c r="O1841" s="33" t="inlineStr">
        <is>
          <t>Free</t>
        </is>
      </c>
      <c r="P1841" s="33" t="inlineStr">
        <is>
          <t>200 Free</t>
        </is>
      </c>
      <c r="Q1841" s="33" t="inlineStr">
        <is>
          <t>LCM_200_FREE</t>
        </is>
      </c>
      <c r="R1841" s="36" t="n">
        <v>109.49</v>
      </c>
      <c r="S1841" s="35">
        <f>IF(R1841="","",IF(R1841&gt;=60,INT(R1841/60)&amp;":"&amp;TEXT(MOD(R1841,60),"00.00"),TEXT(R1841,"0.00")))</f>
        <v/>
      </c>
      <c r="T1841" s="52">
        <f>IFERROR((G1841-INDEX('01_Swimmers'!$E$5:$E$22,MATCH(B1841,'01_Swimmers'!$A$5:$A$22,0)))/'00_Control'!$B$10,"")</f>
        <v/>
      </c>
      <c r="U1841" s="35">
        <f>IF(T1841="","",INT(T1841))</f>
        <v/>
      </c>
      <c r="V1841" s="33" t="inlineStr">
        <is>
          <t>NO</t>
        </is>
      </c>
      <c r="W1841" s="33" t="inlineStr">
        <is>
          <t>YES</t>
        </is>
      </c>
      <c r="X1841" s="33" t="inlineStr">
        <is>
          <t>NO</t>
        </is>
      </c>
      <c r="Y1841" s="33" t="n">
        <v>5</v>
      </c>
      <c r="Z1841" s="33" t="n">
        <v>4</v>
      </c>
      <c r="AA1841" s="33" t="inlineStr">
        <is>
          <t>1</t>
        </is>
      </c>
      <c r="AB1841" s="33" t="inlineStr">
        <is>
          <t>https://www.swimcloud.com/results/150739/event/12/?id=28733822#time28733822</t>
        </is>
      </c>
      <c r="AC1841" s="33" t="inlineStr">
        <is>
          <t>SwimCloud API v6 2026-10-08</t>
        </is>
      </c>
      <c r="AD1841" s="33" t="inlineStr">
        <is>
          <t>Lewis Clareburt|2019-06-18|LCM|200|Free|109.49|Aon New Zealand Age Group National Championships|PRE|False</t>
        </is>
      </c>
      <c r="AE1841" s="53">
        <f>G1841+L1841/1000+ROW()/1000000000</f>
        <v/>
      </c>
      <c r="AF1841" s="35">
        <f>IF(C1841&lt;&gt;"Grayson Coulter","",COUNTIFS($C$5:$C$2991,"Grayson Coulter",$Q$5:$Q$2991,Q1841,$AE$5:$AE$2991,"&lt;="&amp;AE1841,$R$5:$R$2991,"&lt;"&amp;R1841))</f>
        <v/>
      </c>
      <c r="AG1841" s="35">
        <f>IF(OR(C1841&lt;&gt;"Grayson Coulter",G1841&lt;'00_Control'!$B$7),"",--(AF1841&lt;5))</f>
        <v/>
      </c>
      <c r="AH1841" s="35">
        <f>IF(OR(C1841&lt;&gt;"Grayson Coulter",G1841&lt;'00_Control'!$B$7),"",--(AF1841&lt;10))</f>
        <v/>
      </c>
      <c r="AI1841" s="35">
        <f>IF(AND(C1841="Grayson Coulter",G1841&gt;='00_Control'!$B$7),"YES","NO")</f>
        <v/>
      </c>
      <c r="AJ1841" s="33" t="inlineStr">
        <is>
          <t>OK</t>
        </is>
      </c>
    </row>
    <row r="1842">
      <c r="A1842" s="33" t="inlineStr">
        <is>
          <t>SM001838</t>
        </is>
      </c>
      <c r="B1842" s="33" t="inlineStr">
        <is>
          <t>SW013</t>
        </is>
      </c>
      <c r="C1842" s="33" t="inlineStr">
        <is>
          <t>Lewis Clareburt</t>
        </is>
      </c>
      <c r="D1842" s="33" t="inlineStr">
        <is>
          <t>SwimCloud</t>
        </is>
      </c>
      <c r="E1842" s="33" t="inlineStr">
        <is>
          <t>3464011</t>
        </is>
      </c>
      <c r="F1842" s="33" t="inlineStr">
        <is>
          <t>28733823</t>
        </is>
      </c>
      <c r="G1842" s="51" t="n">
        <v>43634</v>
      </c>
      <c r="H1842" s="33" t="inlineStr">
        <is>
          <t>Aon New Zealand Age Group National Championships</t>
        </is>
      </c>
      <c r="I1842" s="33" t="inlineStr">
        <is>
          <t>150739</t>
        </is>
      </c>
      <c r="J1842" s="33" t="inlineStr"/>
      <c r="K1842" s="33" t="inlineStr">
        <is>
          <t>FIN</t>
        </is>
      </c>
      <c r="L1842" s="35">
        <f>IF(K1842="FIN",3,IF(OR(K1842="SEM",K1842="SEMI"),2,IF(OR(K1842="PRE",K1842="HEAT"),1,IF(V1842="YES",4,2))))</f>
        <v/>
      </c>
      <c r="M1842" s="33" t="inlineStr">
        <is>
          <t>LCM</t>
        </is>
      </c>
      <c r="N1842" s="33" t="n">
        <v>200</v>
      </c>
      <c r="O1842" s="33" t="inlineStr">
        <is>
          <t>Free</t>
        </is>
      </c>
      <c r="P1842" s="33" t="inlineStr">
        <is>
          <t>200 Free</t>
        </is>
      </c>
      <c r="Q1842" s="33" t="inlineStr">
        <is>
          <t>LCM_200_FREE</t>
        </is>
      </c>
      <c r="R1842" s="36" t="n">
        <v>108.11</v>
      </c>
      <c r="S1842" s="35">
        <f>IF(R1842="","",IF(R1842&gt;=60,INT(R1842/60)&amp;":"&amp;TEXT(MOD(R1842,60),"00.00"),TEXT(R1842,"0.00")))</f>
        <v/>
      </c>
      <c r="T1842" s="52">
        <f>IFERROR((G1842-INDEX('01_Swimmers'!$E$5:$E$22,MATCH(B1842,'01_Swimmers'!$A$5:$A$22,0)))/'00_Control'!$B$10,"")</f>
        <v/>
      </c>
      <c r="U1842" s="35">
        <f>IF(T1842="","",INT(T1842))</f>
        <v/>
      </c>
      <c r="V1842" s="33" t="inlineStr">
        <is>
          <t>NO</t>
        </is>
      </c>
      <c r="W1842" s="33" t="inlineStr">
        <is>
          <t>YES</t>
        </is>
      </c>
      <c r="X1842" s="33" t="inlineStr">
        <is>
          <t>NO</t>
        </is>
      </c>
      <c r="Y1842" s="33" t="n">
        <v>2</v>
      </c>
      <c r="Z1842" s="33" t="n">
        <v>4</v>
      </c>
      <c r="AA1842" s="33" t="inlineStr">
        <is>
          <t>1</t>
        </is>
      </c>
      <c r="AB1842" s="33" t="inlineStr">
        <is>
          <t>https://www.swimcloud.com/results/150739/event/12/?id=28733823#time28733823</t>
        </is>
      </c>
      <c r="AC1842" s="33" t="inlineStr">
        <is>
          <t>SwimCloud API v6 2026-10-08</t>
        </is>
      </c>
      <c r="AD1842" s="33" t="inlineStr">
        <is>
          <t>Lewis Clareburt|2019-06-18|LCM|200|Free|108.11|Aon New Zealand Age Group National Championships|FIN|False</t>
        </is>
      </c>
      <c r="AE1842" s="53">
        <f>G1842+L1842/1000+ROW()/1000000000</f>
        <v/>
      </c>
      <c r="AF1842" s="35">
        <f>IF(C1842&lt;&gt;"Grayson Coulter","",COUNTIFS($C$5:$C$2991,"Grayson Coulter",$Q$5:$Q$2991,Q1842,$AE$5:$AE$2991,"&lt;="&amp;AE1842,$R$5:$R$2991,"&lt;"&amp;R1842))</f>
        <v/>
      </c>
      <c r="AG1842" s="35">
        <f>IF(OR(C1842&lt;&gt;"Grayson Coulter",G1842&lt;'00_Control'!$B$7),"",--(AF1842&lt;5))</f>
        <v/>
      </c>
      <c r="AH1842" s="35">
        <f>IF(OR(C1842&lt;&gt;"Grayson Coulter",G1842&lt;'00_Control'!$B$7),"",--(AF1842&lt;10))</f>
        <v/>
      </c>
      <c r="AI1842" s="35">
        <f>IF(AND(C1842="Grayson Coulter",G1842&gt;='00_Control'!$B$7),"YES","NO")</f>
        <v/>
      </c>
      <c r="AJ1842" s="33" t="inlineStr">
        <is>
          <t>OK</t>
        </is>
      </c>
    </row>
    <row r="1843">
      <c r="A1843" s="33" t="inlineStr">
        <is>
          <t>SM001839</t>
        </is>
      </c>
      <c r="B1843" s="33" t="inlineStr">
        <is>
          <t>SW013</t>
        </is>
      </c>
      <c r="C1843" s="33" t="inlineStr">
        <is>
          <t>Lewis Clareburt</t>
        </is>
      </c>
      <c r="D1843" s="33" t="inlineStr">
        <is>
          <t>SwimCloud</t>
        </is>
      </c>
      <c r="E1843" s="33" t="inlineStr">
        <is>
          <t>3464011</t>
        </is>
      </c>
      <c r="F1843" s="33" t="inlineStr">
        <is>
          <t>28191379</t>
        </is>
      </c>
      <c r="G1843" s="51" t="n">
        <v>43672</v>
      </c>
      <c r="H1843" s="33" t="inlineStr">
        <is>
          <t>18th FINA World Championships</t>
        </is>
      </c>
      <c r="I1843" s="33" t="inlineStr">
        <is>
          <t>149555</t>
        </is>
      </c>
      <c r="J1843" s="33" t="inlineStr"/>
      <c r="K1843" s="33" t="inlineStr">
        <is>
          <t>PRE</t>
        </is>
      </c>
      <c r="L1843" s="35">
        <f>IF(K1843="FIN",3,IF(OR(K1843="SEM",K1843="SEMI"),2,IF(OR(K1843="PRE",K1843="HEAT"),1,IF(V1843="YES",4,2))))</f>
        <v/>
      </c>
      <c r="M1843" s="33" t="inlineStr">
        <is>
          <t>LCM</t>
        </is>
      </c>
      <c r="N1843" s="33" t="n">
        <v>200</v>
      </c>
      <c r="O1843" s="33" t="inlineStr">
        <is>
          <t>Free</t>
        </is>
      </c>
      <c r="P1843" s="33" t="inlineStr">
        <is>
          <t>200 Free</t>
        </is>
      </c>
      <c r="Q1843" s="33" t="inlineStr">
        <is>
          <t>LCM_200_FREE</t>
        </is>
      </c>
      <c r="R1843" s="36" t="n">
        <v>107.97</v>
      </c>
      <c r="S1843" s="35">
        <f>IF(R1843="","",IF(R1843&gt;=60,INT(R1843/60)&amp;":"&amp;TEXT(MOD(R1843,60),"00.00"),TEXT(R1843,"0.00")))</f>
        <v/>
      </c>
      <c r="T1843" s="52">
        <f>IFERROR((G1843-INDEX('01_Swimmers'!$E$5:$E$22,MATCH(B1843,'01_Swimmers'!$A$5:$A$22,0)))/'00_Control'!$B$10,"")</f>
        <v/>
      </c>
      <c r="U1843" s="35">
        <f>IF(T1843="","",INT(T1843))</f>
        <v/>
      </c>
      <c r="V1843" s="33" t="inlineStr">
        <is>
          <t>YES</t>
        </is>
      </c>
      <c r="W1843" s="33" t="inlineStr">
        <is>
          <t>YES</t>
        </is>
      </c>
      <c r="X1843" s="33" t="inlineStr">
        <is>
          <t>NO</t>
        </is>
      </c>
      <c r="Y1843" s="33" t="n">
        <v>1</v>
      </c>
      <c r="Z1843" s="33" t="n">
        <v>5</v>
      </c>
      <c r="AA1843" s="33" t="inlineStr"/>
      <c r="AB1843" s="33" t="inlineStr">
        <is>
          <t>https://www.swimcloud.com/results/149555/event/32/?id=28189719#time28189719</t>
        </is>
      </c>
      <c r="AC1843" s="33" t="inlineStr">
        <is>
          <t>SwimCloud API v6 2026-10-08</t>
        </is>
      </c>
      <c r="AD1843" s="33" t="inlineStr">
        <is>
          <t>Lewis Clareburt|2019-07-26|LCM|200|Free|107.97|18th FINA World Championships|PRE|True</t>
        </is>
      </c>
      <c r="AE1843" s="53">
        <f>G1843+L1843/1000+ROW()/1000000000</f>
        <v/>
      </c>
      <c r="AF1843" s="35">
        <f>IF(C1843&lt;&gt;"Grayson Coulter","",COUNTIFS($C$5:$C$2991,"Grayson Coulter",$Q$5:$Q$2991,Q1843,$AE$5:$AE$2991,"&lt;="&amp;AE1843,$R$5:$R$2991,"&lt;"&amp;R1843))</f>
        <v/>
      </c>
      <c r="AG1843" s="35">
        <f>IF(OR(C1843&lt;&gt;"Grayson Coulter",G1843&lt;'00_Control'!$B$7),"",--(AF1843&lt;5))</f>
        <v/>
      </c>
      <c r="AH1843" s="35">
        <f>IF(OR(C1843&lt;&gt;"Grayson Coulter",G1843&lt;'00_Control'!$B$7),"",--(AF1843&lt;10))</f>
        <v/>
      </c>
      <c r="AI1843" s="35">
        <f>IF(AND(C1843="Grayson Coulter",G1843&gt;='00_Control'!$B$7),"YES","NO")</f>
        <v/>
      </c>
      <c r="AJ1843" s="33" t="inlineStr">
        <is>
          <t>OK</t>
        </is>
      </c>
    </row>
    <row r="1844">
      <c r="A1844" s="33" t="inlineStr">
        <is>
          <t>SM001840</t>
        </is>
      </c>
      <c r="B1844" s="33" t="inlineStr">
        <is>
          <t>SW013</t>
        </is>
      </c>
      <c r="C1844" s="33" t="inlineStr">
        <is>
          <t>Lewis Clareburt</t>
        </is>
      </c>
      <c r="D1844" s="33" t="inlineStr">
        <is>
          <t>SwimCloud</t>
        </is>
      </c>
      <c r="E1844" s="33" t="inlineStr">
        <is>
          <t>3464011</t>
        </is>
      </c>
      <c r="F1844" s="33" t="inlineStr">
        <is>
          <t>44973912</t>
        </is>
      </c>
      <c r="G1844" s="51" t="n">
        <v>43785</v>
      </c>
      <c r="H1844" s="33" t="inlineStr">
        <is>
          <t>Capital Classic</t>
        </is>
      </c>
      <c r="I1844" s="33" t="inlineStr">
        <is>
          <t>207019</t>
        </is>
      </c>
      <c r="J1844" s="33" t="inlineStr"/>
      <c r="K1844" s="33" t="inlineStr">
        <is>
          <t>TIM</t>
        </is>
      </c>
      <c r="L1844" s="35">
        <f>IF(K1844="FIN",3,IF(OR(K1844="SEM",K1844="SEMI"),2,IF(OR(K1844="PRE",K1844="HEAT"),1,IF(V1844="YES",4,2))))</f>
        <v/>
      </c>
      <c r="M1844" s="33" t="inlineStr">
        <is>
          <t>LCM</t>
        </is>
      </c>
      <c r="N1844" s="33" t="n">
        <v>100</v>
      </c>
      <c r="O1844" s="33" t="inlineStr">
        <is>
          <t>Fly</t>
        </is>
      </c>
      <c r="P1844" s="33" t="inlineStr">
        <is>
          <t>100 Fly</t>
        </is>
      </c>
      <c r="Q1844" s="33" t="inlineStr">
        <is>
          <t>LCM_100_FLY</t>
        </is>
      </c>
      <c r="R1844" s="36" t="n">
        <v>55.59</v>
      </c>
      <c r="S1844" s="35">
        <f>IF(R1844="","",IF(R1844&gt;=60,INT(R1844/60)&amp;":"&amp;TEXT(MOD(R1844,60),"00.00"),TEXT(R1844,"0.00")))</f>
        <v/>
      </c>
      <c r="T1844" s="52">
        <f>IFERROR((G1844-INDEX('01_Swimmers'!$E$5:$E$22,MATCH(B1844,'01_Swimmers'!$A$5:$A$22,0)))/'00_Control'!$B$10,"")</f>
        <v/>
      </c>
      <c r="U1844" s="35">
        <f>IF(T1844="","",INT(T1844))</f>
        <v/>
      </c>
      <c r="V1844" s="33" t="inlineStr">
        <is>
          <t>NO</t>
        </is>
      </c>
      <c r="W1844" s="33" t="inlineStr">
        <is>
          <t>YES</t>
        </is>
      </c>
      <c r="X1844" s="33" t="inlineStr">
        <is>
          <t>NO</t>
        </is>
      </c>
      <c r="Y1844" s="33" t="n">
        <v>1</v>
      </c>
      <c r="Z1844" s="33" t="n">
        <v>4</v>
      </c>
      <c r="AA1844" s="33" t="inlineStr">
        <is>
          <t>1</t>
        </is>
      </c>
      <c r="AB1844" s="33" t="inlineStr">
        <is>
          <t>https://www.swimcloud.com/results/207019/event/28/?id=44973912#time44973912</t>
        </is>
      </c>
      <c r="AC1844" s="33" t="inlineStr">
        <is>
          <t>SwimCloud API v6 2026-10-08</t>
        </is>
      </c>
      <c r="AD1844" s="33" t="inlineStr">
        <is>
          <t>Lewis Clareburt|2019-11-16|LCM|100|Fly|55.59|Capital Classic|TIM|False</t>
        </is>
      </c>
      <c r="AE1844" s="53">
        <f>G1844+L1844/1000+ROW()/1000000000</f>
        <v/>
      </c>
      <c r="AF1844" s="35">
        <f>IF(C1844&lt;&gt;"Grayson Coulter","",COUNTIFS($C$5:$C$2991,"Grayson Coulter",$Q$5:$Q$2991,Q1844,$AE$5:$AE$2991,"&lt;="&amp;AE1844,$R$5:$R$2991,"&lt;"&amp;R1844))</f>
        <v/>
      </c>
      <c r="AG1844" s="35">
        <f>IF(OR(C1844&lt;&gt;"Grayson Coulter",G1844&lt;'00_Control'!$B$7),"",--(AF1844&lt;5))</f>
        <v/>
      </c>
      <c r="AH1844" s="35">
        <f>IF(OR(C1844&lt;&gt;"Grayson Coulter",G1844&lt;'00_Control'!$B$7),"",--(AF1844&lt;10))</f>
        <v/>
      </c>
      <c r="AI1844" s="35">
        <f>IF(AND(C1844="Grayson Coulter",G1844&gt;='00_Control'!$B$7),"YES","NO")</f>
        <v/>
      </c>
      <c r="AJ1844" s="33" t="inlineStr">
        <is>
          <t>OK</t>
        </is>
      </c>
    </row>
    <row r="1845">
      <c r="A1845" s="33" t="inlineStr">
        <is>
          <t>SM001841</t>
        </is>
      </c>
      <c r="B1845" s="33" t="inlineStr">
        <is>
          <t>SW013</t>
        </is>
      </c>
      <c r="C1845" s="33" t="inlineStr">
        <is>
          <t>Lewis Clareburt</t>
        </is>
      </c>
      <c r="D1845" s="33" t="inlineStr">
        <is>
          <t>SwimCloud</t>
        </is>
      </c>
      <c r="E1845" s="33" t="inlineStr">
        <is>
          <t>3464011</t>
        </is>
      </c>
      <c r="F1845" s="33" t="inlineStr">
        <is>
          <t>44974057</t>
        </is>
      </c>
      <c r="G1845" s="51" t="n">
        <v>43785</v>
      </c>
      <c r="H1845" s="33" t="inlineStr">
        <is>
          <t>Capital Classic</t>
        </is>
      </c>
      <c r="I1845" s="33" t="inlineStr">
        <is>
          <t>207019</t>
        </is>
      </c>
      <c r="J1845" s="33" t="inlineStr"/>
      <c r="K1845" s="33" t="inlineStr">
        <is>
          <t>TIM</t>
        </is>
      </c>
      <c r="L1845" s="35">
        <f>IF(K1845="FIN",3,IF(OR(K1845="SEM",K1845="SEMI"),2,IF(OR(K1845="PRE",K1845="HEAT"),1,IF(V1845="YES",4,2))))</f>
        <v/>
      </c>
      <c r="M1845" s="33" t="inlineStr">
        <is>
          <t>LCM</t>
        </is>
      </c>
      <c r="N1845" s="33" t="n">
        <v>100</v>
      </c>
      <c r="O1845" s="33" t="inlineStr">
        <is>
          <t>Free</t>
        </is>
      </c>
      <c r="P1845" s="33" t="inlineStr">
        <is>
          <t>100 Free</t>
        </is>
      </c>
      <c r="Q1845" s="33" t="inlineStr">
        <is>
          <t>LCM_100_FREE</t>
        </is>
      </c>
      <c r="R1845" s="36" t="n">
        <v>51.44</v>
      </c>
      <c r="S1845" s="35">
        <f>IF(R1845="","",IF(R1845&gt;=60,INT(R1845/60)&amp;":"&amp;TEXT(MOD(R1845,60),"00.00"),TEXT(R1845,"0.00")))</f>
        <v/>
      </c>
      <c r="T1845" s="52">
        <f>IFERROR((G1845-INDEX('01_Swimmers'!$E$5:$E$22,MATCH(B1845,'01_Swimmers'!$A$5:$A$22,0)))/'00_Control'!$B$10,"")</f>
        <v/>
      </c>
      <c r="U1845" s="35">
        <f>IF(T1845="","",INT(T1845))</f>
        <v/>
      </c>
      <c r="V1845" s="33" t="inlineStr">
        <is>
          <t>NO</t>
        </is>
      </c>
      <c r="W1845" s="33" t="inlineStr">
        <is>
          <t>YES</t>
        </is>
      </c>
      <c r="X1845" s="33" t="inlineStr">
        <is>
          <t>NO</t>
        </is>
      </c>
      <c r="Y1845" s="33" t="n">
        <v>1</v>
      </c>
      <c r="Z1845" s="33" t="n">
        <v>4</v>
      </c>
      <c r="AA1845" s="33" t="inlineStr">
        <is>
          <t>1</t>
        </is>
      </c>
      <c r="AB1845" s="33" t="inlineStr">
        <is>
          <t>https://www.swimcloud.com/results/207019/event/48/?id=44974057#time44974057</t>
        </is>
      </c>
      <c r="AC1845" s="33" t="inlineStr">
        <is>
          <t>SwimCloud API v6 2026-10-08</t>
        </is>
      </c>
      <c r="AD1845" s="33" t="inlineStr">
        <is>
          <t>Lewis Clareburt|2019-11-16|LCM|100|Free|51.44|Capital Classic|TIM|False</t>
        </is>
      </c>
      <c r="AE1845" s="53">
        <f>G1845+L1845/1000+ROW()/1000000000</f>
        <v/>
      </c>
      <c r="AF1845" s="35">
        <f>IF(C1845&lt;&gt;"Grayson Coulter","",COUNTIFS($C$5:$C$2991,"Grayson Coulter",$Q$5:$Q$2991,Q1845,$AE$5:$AE$2991,"&lt;="&amp;AE1845,$R$5:$R$2991,"&lt;"&amp;R1845))</f>
        <v/>
      </c>
      <c r="AG1845" s="35">
        <f>IF(OR(C1845&lt;&gt;"Grayson Coulter",G1845&lt;'00_Control'!$B$7),"",--(AF1845&lt;5))</f>
        <v/>
      </c>
      <c r="AH1845" s="35">
        <f>IF(OR(C1845&lt;&gt;"Grayson Coulter",G1845&lt;'00_Control'!$B$7),"",--(AF1845&lt;10))</f>
        <v/>
      </c>
      <c r="AI1845" s="35">
        <f>IF(AND(C1845="Grayson Coulter",G1845&gt;='00_Control'!$B$7),"YES","NO")</f>
        <v/>
      </c>
      <c r="AJ1845" s="33" t="inlineStr">
        <is>
          <t>OK</t>
        </is>
      </c>
    </row>
    <row r="1846">
      <c r="A1846" s="33" t="inlineStr">
        <is>
          <t>SM001842</t>
        </is>
      </c>
      <c r="B1846" s="33" t="inlineStr">
        <is>
          <t>SW013</t>
        </is>
      </c>
      <c r="C1846" s="33" t="inlineStr">
        <is>
          <t>Lewis Clareburt</t>
        </is>
      </c>
      <c r="D1846" s="33" t="inlineStr">
        <is>
          <t>SwimCloud</t>
        </is>
      </c>
      <c r="E1846" s="33" t="inlineStr">
        <is>
          <t>3464011</t>
        </is>
      </c>
      <c r="F1846" s="33" t="inlineStr">
        <is>
          <t>39842202</t>
        </is>
      </c>
      <c r="G1846" s="51" t="n">
        <v>43848</v>
      </c>
      <c r="H1846" s="33" t="inlineStr">
        <is>
          <t>Wellington 13 &amp; O LC Championships</t>
        </is>
      </c>
      <c r="I1846" s="33" t="inlineStr">
        <is>
          <t>193451</t>
        </is>
      </c>
      <c r="J1846" s="33" t="inlineStr"/>
      <c r="K1846" s="33" t="inlineStr">
        <is>
          <t>PRE</t>
        </is>
      </c>
      <c r="L1846" s="35">
        <f>IF(K1846="FIN",3,IF(OR(K1846="SEM",K1846="SEMI"),2,IF(OR(K1846="PRE",K1846="HEAT"),1,IF(V1846="YES",4,2))))</f>
        <v/>
      </c>
      <c r="M1846" s="33" t="inlineStr">
        <is>
          <t>LCM</t>
        </is>
      </c>
      <c r="N1846" s="33" t="n">
        <v>200</v>
      </c>
      <c r="O1846" s="33" t="inlineStr">
        <is>
          <t>Free</t>
        </is>
      </c>
      <c r="P1846" s="33" t="inlineStr">
        <is>
          <t>200 Free</t>
        </is>
      </c>
      <c r="Q1846" s="33" t="inlineStr">
        <is>
          <t>LCM_200_FREE</t>
        </is>
      </c>
      <c r="R1846" s="36" t="n">
        <v>114.97</v>
      </c>
      <c r="S1846" s="35">
        <f>IF(R1846="","",IF(R1846&gt;=60,INT(R1846/60)&amp;":"&amp;TEXT(MOD(R1846,60),"00.00"),TEXT(R1846,"0.00")))</f>
        <v/>
      </c>
      <c r="T1846" s="52">
        <f>IFERROR((G1846-INDEX('01_Swimmers'!$E$5:$E$22,MATCH(B1846,'01_Swimmers'!$A$5:$A$22,0)))/'00_Control'!$B$10,"")</f>
        <v/>
      </c>
      <c r="U1846" s="35">
        <f>IF(T1846="","",INT(T1846))</f>
        <v/>
      </c>
      <c r="V1846" s="33" t="inlineStr">
        <is>
          <t>NO</t>
        </is>
      </c>
      <c r="W1846" s="33" t="inlineStr">
        <is>
          <t>YES</t>
        </is>
      </c>
      <c r="X1846" s="33" t="inlineStr">
        <is>
          <t>NO</t>
        </is>
      </c>
      <c r="Y1846" s="33" t="n">
        <v>9</v>
      </c>
      <c r="Z1846" s="33" t="n">
        <v>4</v>
      </c>
      <c r="AA1846" s="33" t="inlineStr">
        <is>
          <t>1</t>
        </is>
      </c>
      <c r="AB1846" s="33" t="inlineStr">
        <is>
          <t>https://www.swimcloud.com/results/193451/event/8/?id=39842202#time39842202</t>
        </is>
      </c>
      <c r="AC1846" s="33" t="inlineStr">
        <is>
          <t>SwimCloud API v6 2026-10-08</t>
        </is>
      </c>
      <c r="AD1846" s="33" t="inlineStr">
        <is>
          <t>Lewis Clareburt|2020-01-18|LCM|200|Free|114.97|Wellington 13 &amp; O LC Championships|PRE|False</t>
        </is>
      </c>
      <c r="AE1846" s="53">
        <f>G1846+L1846/1000+ROW()/1000000000</f>
        <v/>
      </c>
      <c r="AF1846" s="35">
        <f>IF(C1846&lt;&gt;"Grayson Coulter","",COUNTIFS($C$5:$C$2991,"Grayson Coulter",$Q$5:$Q$2991,Q1846,$AE$5:$AE$2991,"&lt;="&amp;AE1846,$R$5:$R$2991,"&lt;"&amp;R1846))</f>
        <v/>
      </c>
      <c r="AG1846" s="35">
        <f>IF(OR(C1846&lt;&gt;"Grayson Coulter",G1846&lt;'00_Control'!$B$7),"",--(AF1846&lt;5))</f>
        <v/>
      </c>
      <c r="AH1846" s="35">
        <f>IF(OR(C1846&lt;&gt;"Grayson Coulter",G1846&lt;'00_Control'!$B$7),"",--(AF1846&lt;10))</f>
        <v/>
      </c>
      <c r="AI1846" s="35">
        <f>IF(AND(C1846="Grayson Coulter",G1846&gt;='00_Control'!$B$7),"YES","NO")</f>
        <v/>
      </c>
      <c r="AJ1846" s="33" t="inlineStr">
        <is>
          <t>OK</t>
        </is>
      </c>
    </row>
    <row r="1847">
      <c r="A1847" s="33" t="inlineStr">
        <is>
          <t>SM001843</t>
        </is>
      </c>
      <c r="B1847" s="33" t="inlineStr">
        <is>
          <t>SW013</t>
        </is>
      </c>
      <c r="C1847" s="33" t="inlineStr">
        <is>
          <t>Lewis Clareburt</t>
        </is>
      </c>
      <c r="D1847" s="33" t="inlineStr">
        <is>
          <t>SwimCloud</t>
        </is>
      </c>
      <c r="E1847" s="33" t="inlineStr">
        <is>
          <t>3464011</t>
        </is>
      </c>
      <c r="F1847" s="33" t="inlineStr">
        <is>
          <t>39842203</t>
        </is>
      </c>
      <c r="G1847" s="51" t="n">
        <v>43848</v>
      </c>
      <c r="H1847" s="33" t="inlineStr">
        <is>
          <t>Wellington 13 &amp; O LC Championships</t>
        </is>
      </c>
      <c r="I1847" s="33" t="inlineStr">
        <is>
          <t>193451</t>
        </is>
      </c>
      <c r="J1847" s="33" t="inlineStr"/>
      <c r="K1847" s="33" t="inlineStr">
        <is>
          <t>FIN</t>
        </is>
      </c>
      <c r="L1847" s="35">
        <f>IF(K1847="FIN",3,IF(OR(K1847="SEM",K1847="SEMI"),2,IF(OR(K1847="PRE",K1847="HEAT"),1,IF(V1847="YES",4,2))))</f>
        <v/>
      </c>
      <c r="M1847" s="33" t="inlineStr">
        <is>
          <t>LCM</t>
        </is>
      </c>
      <c r="N1847" s="33" t="n">
        <v>200</v>
      </c>
      <c r="O1847" s="33" t="inlineStr">
        <is>
          <t>Free</t>
        </is>
      </c>
      <c r="P1847" s="33" t="inlineStr">
        <is>
          <t>200 Free</t>
        </is>
      </c>
      <c r="Q1847" s="33" t="inlineStr">
        <is>
          <t>LCM_200_FREE</t>
        </is>
      </c>
      <c r="R1847" s="36" t="n">
        <v>114.14</v>
      </c>
      <c r="S1847" s="35">
        <f>IF(R1847="","",IF(R1847&gt;=60,INT(R1847/60)&amp;":"&amp;TEXT(MOD(R1847,60),"00.00"),TEXT(R1847,"0.00")))</f>
        <v/>
      </c>
      <c r="T1847" s="52">
        <f>IFERROR((G1847-INDEX('01_Swimmers'!$E$5:$E$22,MATCH(B1847,'01_Swimmers'!$A$5:$A$22,0)))/'00_Control'!$B$10,"")</f>
        <v/>
      </c>
      <c r="U1847" s="35">
        <f>IF(T1847="","",INT(T1847))</f>
        <v/>
      </c>
      <c r="V1847" s="33" t="inlineStr">
        <is>
          <t>NO</t>
        </is>
      </c>
      <c r="W1847" s="33" t="inlineStr">
        <is>
          <t>YES</t>
        </is>
      </c>
      <c r="X1847" s="33" t="inlineStr">
        <is>
          <t>NO</t>
        </is>
      </c>
      <c r="Y1847" s="33" t="n">
        <v>5</v>
      </c>
      <c r="Z1847" s="33" t="n">
        <v>4</v>
      </c>
      <c r="AA1847" s="33" t="inlineStr">
        <is>
          <t>1</t>
        </is>
      </c>
      <c r="AB1847" s="33" t="inlineStr">
        <is>
          <t>https://www.swimcloud.com/results/193451/event/8/?id=39842203#time39842203</t>
        </is>
      </c>
      <c r="AC1847" s="33" t="inlineStr">
        <is>
          <t>SwimCloud API v6 2026-10-08</t>
        </is>
      </c>
      <c r="AD1847" s="33" t="inlineStr">
        <is>
          <t>Lewis Clareburt|2020-01-18|LCM|200|Free|114.14|Wellington 13 &amp; O LC Championships|FIN|False</t>
        </is>
      </c>
      <c r="AE1847" s="53">
        <f>G1847+L1847/1000+ROW()/1000000000</f>
        <v/>
      </c>
      <c r="AF1847" s="35">
        <f>IF(C1847&lt;&gt;"Grayson Coulter","",COUNTIFS($C$5:$C$2991,"Grayson Coulter",$Q$5:$Q$2991,Q1847,$AE$5:$AE$2991,"&lt;="&amp;AE1847,$R$5:$R$2991,"&lt;"&amp;R1847))</f>
        <v/>
      </c>
      <c r="AG1847" s="35">
        <f>IF(OR(C1847&lt;&gt;"Grayson Coulter",G1847&lt;'00_Control'!$B$7),"",--(AF1847&lt;5))</f>
        <v/>
      </c>
      <c r="AH1847" s="35">
        <f>IF(OR(C1847&lt;&gt;"Grayson Coulter",G1847&lt;'00_Control'!$B$7),"",--(AF1847&lt;10))</f>
        <v/>
      </c>
      <c r="AI1847" s="35">
        <f>IF(AND(C1847="Grayson Coulter",G1847&gt;='00_Control'!$B$7),"YES","NO")</f>
        <v/>
      </c>
      <c r="AJ1847" s="33" t="inlineStr">
        <is>
          <t>OK</t>
        </is>
      </c>
    </row>
    <row r="1848">
      <c r="A1848" s="33" t="inlineStr">
        <is>
          <t>SM001844</t>
        </is>
      </c>
      <c r="B1848" s="33" t="inlineStr">
        <is>
          <t>SW013</t>
        </is>
      </c>
      <c r="C1848" s="33" t="inlineStr">
        <is>
          <t>Lewis Clareburt</t>
        </is>
      </c>
      <c r="D1848" s="33" t="inlineStr">
        <is>
          <t>SwimCloud</t>
        </is>
      </c>
      <c r="E1848" s="33" t="inlineStr">
        <is>
          <t>3464011</t>
        </is>
      </c>
      <c r="F1848" s="33" t="inlineStr">
        <is>
          <t>44989961</t>
        </is>
      </c>
      <c r="G1848" s="51" t="n">
        <v>44112</v>
      </c>
      <c r="H1848" s="33" t="inlineStr">
        <is>
          <t>AON NZ SC Championships</t>
        </is>
      </c>
      <c r="I1848" s="33" t="inlineStr">
        <is>
          <t>207284</t>
        </is>
      </c>
      <c r="J1848" s="33" t="inlineStr"/>
      <c r="K1848" s="33" t="inlineStr">
        <is>
          <t>PRE</t>
        </is>
      </c>
      <c r="L1848" s="35">
        <f>IF(K1848="FIN",3,IF(OR(K1848="SEM",K1848="SEMI"),2,IF(OR(K1848="PRE",K1848="HEAT"),1,IF(V1848="YES",4,2))))</f>
        <v/>
      </c>
      <c r="M1848" s="33" t="inlineStr">
        <is>
          <t>SCM</t>
        </is>
      </c>
      <c r="N1848" s="33" t="n">
        <v>400</v>
      </c>
      <c r="O1848" s="33" t="inlineStr">
        <is>
          <t>Free</t>
        </is>
      </c>
      <c r="P1848" s="33" t="inlineStr">
        <is>
          <t>400 Free</t>
        </is>
      </c>
      <c r="Q1848" s="33" t="inlineStr">
        <is>
          <t>SCM_400_FREE</t>
        </is>
      </c>
      <c r="R1848" s="36" t="n">
        <v>233.16</v>
      </c>
      <c r="S1848" s="35">
        <f>IF(R1848="","",IF(R1848&gt;=60,INT(R1848/60)&amp;":"&amp;TEXT(MOD(R1848,60),"00.00"),TEXT(R1848,"0.00")))</f>
        <v/>
      </c>
      <c r="T1848" s="52">
        <f>IFERROR((G1848-INDEX('01_Swimmers'!$E$5:$E$22,MATCH(B1848,'01_Swimmers'!$A$5:$A$22,0)))/'00_Control'!$B$10,"")</f>
        <v/>
      </c>
      <c r="U1848" s="35">
        <f>IF(T1848="","",INT(T1848))</f>
        <v/>
      </c>
      <c r="V1848" s="33" t="inlineStr">
        <is>
          <t>NO</t>
        </is>
      </c>
      <c r="W1848" s="33" t="inlineStr">
        <is>
          <t>YES</t>
        </is>
      </c>
      <c r="X1848" s="33" t="inlineStr">
        <is>
          <t>NO</t>
        </is>
      </c>
      <c r="Y1848" s="33" t="n">
        <v>4</v>
      </c>
      <c r="Z1848" s="33" t="n">
        <v>2</v>
      </c>
      <c r="AA1848" s="33" t="inlineStr">
        <is>
          <t>1</t>
        </is>
      </c>
      <c r="AB1848" s="33" t="inlineStr">
        <is>
          <t>https://www.swimcloud.com/results/207284/event/19/?id=44989961#time44989961</t>
        </is>
      </c>
      <c r="AC1848" s="33" t="inlineStr">
        <is>
          <t>SwimCloud API v6 2026-10-08</t>
        </is>
      </c>
      <c r="AD1848" s="33" t="inlineStr">
        <is>
          <t>Lewis Clareburt|2020-10-08|SCM|400|Free|233.16|AON NZ SC Championships|PRE|False</t>
        </is>
      </c>
      <c r="AE1848" s="53">
        <f>G1848+L1848/1000+ROW()/1000000000</f>
        <v/>
      </c>
      <c r="AF1848" s="35">
        <f>IF(C1848&lt;&gt;"Grayson Coulter","",COUNTIFS($C$5:$C$2991,"Grayson Coulter",$Q$5:$Q$2991,Q1848,$AE$5:$AE$2991,"&lt;="&amp;AE1848,$R$5:$R$2991,"&lt;"&amp;R1848))</f>
        <v/>
      </c>
      <c r="AG1848" s="35">
        <f>IF(OR(C1848&lt;&gt;"Grayson Coulter",G1848&lt;'00_Control'!$B$7),"",--(AF1848&lt;5))</f>
        <v/>
      </c>
      <c r="AH1848" s="35">
        <f>IF(OR(C1848&lt;&gt;"Grayson Coulter",G1848&lt;'00_Control'!$B$7),"",--(AF1848&lt;10))</f>
        <v/>
      </c>
      <c r="AI1848" s="35">
        <f>IF(AND(C1848="Grayson Coulter",G1848&gt;='00_Control'!$B$7),"YES","NO")</f>
        <v/>
      </c>
      <c r="AJ1848" s="33" t="inlineStr">
        <is>
          <t>OK</t>
        </is>
      </c>
    </row>
    <row r="1849">
      <c r="A1849" s="33" t="inlineStr">
        <is>
          <t>SM001845</t>
        </is>
      </c>
      <c r="B1849" s="33" t="inlineStr">
        <is>
          <t>SW013</t>
        </is>
      </c>
      <c r="C1849" s="33" t="inlineStr">
        <is>
          <t>Lewis Clareburt</t>
        </is>
      </c>
      <c r="D1849" s="33" t="inlineStr">
        <is>
          <t>SwimCloud</t>
        </is>
      </c>
      <c r="E1849" s="33" t="inlineStr">
        <is>
          <t>3464011</t>
        </is>
      </c>
      <c r="F1849" s="33" t="inlineStr">
        <is>
          <t>44989962</t>
        </is>
      </c>
      <c r="G1849" s="51" t="n">
        <v>44112</v>
      </c>
      <c r="H1849" s="33" t="inlineStr">
        <is>
          <t>AON NZ SC Championships</t>
        </is>
      </c>
      <c r="I1849" s="33" t="inlineStr">
        <is>
          <t>207284</t>
        </is>
      </c>
      <c r="J1849" s="33" t="inlineStr"/>
      <c r="K1849" s="33" t="inlineStr">
        <is>
          <t>FIN</t>
        </is>
      </c>
      <c r="L1849" s="35">
        <f>IF(K1849="FIN",3,IF(OR(K1849="SEM",K1849="SEMI"),2,IF(OR(K1849="PRE",K1849="HEAT"),1,IF(V1849="YES",4,2))))</f>
        <v/>
      </c>
      <c r="M1849" s="33" t="inlineStr">
        <is>
          <t>SCM</t>
        </is>
      </c>
      <c r="N1849" s="33" t="n">
        <v>400</v>
      </c>
      <c r="O1849" s="33" t="inlineStr">
        <is>
          <t>Free</t>
        </is>
      </c>
      <c r="P1849" s="33" t="inlineStr">
        <is>
          <t>400 Free</t>
        </is>
      </c>
      <c r="Q1849" s="33" t="inlineStr">
        <is>
          <t>SCM_400_FREE</t>
        </is>
      </c>
      <c r="R1849" s="36" t="n">
        <v>225.09</v>
      </c>
      <c r="S1849" s="35">
        <f>IF(R1849="","",IF(R1849&gt;=60,INT(R1849/60)&amp;":"&amp;TEXT(MOD(R1849,60),"00.00"),TEXT(R1849,"0.00")))</f>
        <v/>
      </c>
      <c r="T1849" s="52">
        <f>IFERROR((G1849-INDEX('01_Swimmers'!$E$5:$E$22,MATCH(B1849,'01_Swimmers'!$A$5:$A$22,0)))/'00_Control'!$B$10,"")</f>
        <v/>
      </c>
      <c r="U1849" s="35">
        <f>IF(T1849="","",INT(T1849))</f>
        <v/>
      </c>
      <c r="V1849" s="33" t="inlineStr">
        <is>
          <t>NO</t>
        </is>
      </c>
      <c r="W1849" s="33" t="inlineStr">
        <is>
          <t>YES</t>
        </is>
      </c>
      <c r="X1849" s="33" t="inlineStr">
        <is>
          <t>NO</t>
        </is>
      </c>
      <c r="Y1849" s="33" t="n">
        <v>3</v>
      </c>
      <c r="Z1849" s="33" t="n">
        <v>4</v>
      </c>
      <c r="AA1849" s="33" t="inlineStr">
        <is>
          <t>2</t>
        </is>
      </c>
      <c r="AB1849" s="33" t="inlineStr">
        <is>
          <t>https://www.swimcloud.com/results/207284/event/19/?id=44989962#time44989962</t>
        </is>
      </c>
      <c r="AC1849" s="33" t="inlineStr">
        <is>
          <t>SwimCloud API v6 2026-10-08</t>
        </is>
      </c>
      <c r="AD1849" s="33" t="inlineStr">
        <is>
          <t>Lewis Clareburt|2020-10-08|SCM|400|Free|225.09|AON NZ SC Championships|FIN|False</t>
        </is>
      </c>
      <c r="AE1849" s="53">
        <f>G1849+L1849/1000+ROW()/1000000000</f>
        <v/>
      </c>
      <c r="AF1849" s="35">
        <f>IF(C1849&lt;&gt;"Grayson Coulter","",COUNTIFS($C$5:$C$2991,"Grayson Coulter",$Q$5:$Q$2991,Q1849,$AE$5:$AE$2991,"&lt;="&amp;AE1849,$R$5:$R$2991,"&lt;"&amp;R1849))</f>
        <v/>
      </c>
      <c r="AG1849" s="35">
        <f>IF(OR(C1849&lt;&gt;"Grayson Coulter",G1849&lt;'00_Control'!$B$7),"",--(AF1849&lt;5))</f>
        <v/>
      </c>
      <c r="AH1849" s="35">
        <f>IF(OR(C1849&lt;&gt;"Grayson Coulter",G1849&lt;'00_Control'!$B$7),"",--(AF1849&lt;10))</f>
        <v/>
      </c>
      <c r="AI1849" s="35">
        <f>IF(AND(C1849="Grayson Coulter",G1849&gt;='00_Control'!$B$7),"YES","NO")</f>
        <v/>
      </c>
      <c r="AJ1849" s="33" t="inlineStr">
        <is>
          <t>OK</t>
        </is>
      </c>
    </row>
    <row r="1850">
      <c r="A1850" s="33" t="inlineStr">
        <is>
          <t>SM001846</t>
        </is>
      </c>
      <c r="B1850" s="33" t="inlineStr">
        <is>
          <t>SW013</t>
        </is>
      </c>
      <c r="C1850" s="33" t="inlineStr">
        <is>
          <t>Lewis Clareburt</t>
        </is>
      </c>
      <c r="D1850" s="33" t="inlineStr">
        <is>
          <t>SwimCloud</t>
        </is>
      </c>
      <c r="E1850" s="33" t="inlineStr">
        <is>
          <t>3464011</t>
        </is>
      </c>
      <c r="F1850" s="33" t="inlineStr">
        <is>
          <t>44989963</t>
        </is>
      </c>
      <c r="G1850" s="51" t="n">
        <v>44113</v>
      </c>
      <c r="H1850" s="33" t="inlineStr">
        <is>
          <t>AON NZ SC Championships</t>
        </is>
      </c>
      <c r="I1850" s="33" t="inlineStr">
        <is>
          <t>207284</t>
        </is>
      </c>
      <c r="J1850" s="33" t="inlineStr"/>
      <c r="K1850" s="33" t="inlineStr">
        <is>
          <t>PRE</t>
        </is>
      </c>
      <c r="L1850" s="35">
        <f>IF(K1850="FIN",3,IF(OR(K1850="SEM",K1850="SEMI"),2,IF(OR(K1850="PRE",K1850="HEAT"),1,IF(V1850="YES",4,2))))</f>
        <v/>
      </c>
      <c r="M1850" s="33" t="inlineStr">
        <is>
          <t>SCM</t>
        </is>
      </c>
      <c r="N1850" s="33" t="n">
        <v>200</v>
      </c>
      <c r="O1850" s="33" t="inlineStr">
        <is>
          <t>Free</t>
        </is>
      </c>
      <c r="P1850" s="33" t="inlineStr">
        <is>
          <t>200 Free</t>
        </is>
      </c>
      <c r="Q1850" s="33" t="inlineStr">
        <is>
          <t>SCM_200_FREE</t>
        </is>
      </c>
      <c r="R1850" s="36" t="n">
        <v>109.66</v>
      </c>
      <c r="S1850" s="35">
        <f>IF(R1850="","",IF(R1850&gt;=60,INT(R1850/60)&amp;":"&amp;TEXT(MOD(R1850,60),"00.00"),TEXT(R1850,"0.00")))</f>
        <v/>
      </c>
      <c r="T1850" s="52">
        <f>IFERROR((G1850-INDEX('01_Swimmers'!$E$5:$E$22,MATCH(B1850,'01_Swimmers'!$A$5:$A$22,0)))/'00_Control'!$B$10,"")</f>
        <v/>
      </c>
      <c r="U1850" s="35">
        <f>IF(T1850="","",INT(T1850))</f>
        <v/>
      </c>
      <c r="V1850" s="33" t="inlineStr">
        <is>
          <t>NO</t>
        </is>
      </c>
      <c r="W1850" s="33" t="inlineStr">
        <is>
          <t>YES</t>
        </is>
      </c>
      <c r="X1850" s="33" t="inlineStr">
        <is>
          <t>NO</t>
        </is>
      </c>
      <c r="Y1850" s="33" t="n">
        <v>4</v>
      </c>
      <c r="Z1850" s="33" t="n">
        <v>4</v>
      </c>
      <c r="AA1850" s="33" t="inlineStr">
        <is>
          <t>4</t>
        </is>
      </c>
      <c r="AB1850" s="33" t="inlineStr">
        <is>
          <t>https://www.swimcloud.com/results/207284/event/29/?id=44989963#time44989963</t>
        </is>
      </c>
      <c r="AC1850" s="33" t="inlineStr">
        <is>
          <t>SwimCloud API v6 2026-10-08</t>
        </is>
      </c>
      <c r="AD1850" s="33" t="inlineStr">
        <is>
          <t>Lewis Clareburt|2020-10-09|SCM|200|Free|109.66|AON NZ SC Championships|PRE|False</t>
        </is>
      </c>
      <c r="AE1850" s="53">
        <f>G1850+L1850/1000+ROW()/1000000000</f>
        <v/>
      </c>
      <c r="AF1850" s="35">
        <f>IF(C1850&lt;&gt;"Grayson Coulter","",COUNTIFS($C$5:$C$2991,"Grayson Coulter",$Q$5:$Q$2991,Q1850,$AE$5:$AE$2991,"&lt;="&amp;AE1850,$R$5:$R$2991,"&lt;"&amp;R1850))</f>
        <v/>
      </c>
      <c r="AG1850" s="35">
        <f>IF(OR(C1850&lt;&gt;"Grayson Coulter",G1850&lt;'00_Control'!$B$7),"",--(AF1850&lt;5))</f>
        <v/>
      </c>
      <c r="AH1850" s="35">
        <f>IF(OR(C1850&lt;&gt;"Grayson Coulter",G1850&lt;'00_Control'!$B$7),"",--(AF1850&lt;10))</f>
        <v/>
      </c>
      <c r="AI1850" s="35">
        <f>IF(AND(C1850="Grayson Coulter",G1850&gt;='00_Control'!$B$7),"YES","NO")</f>
        <v/>
      </c>
      <c r="AJ1850" s="33" t="inlineStr">
        <is>
          <t>OK</t>
        </is>
      </c>
    </row>
    <row r="1851">
      <c r="A1851" s="33" t="inlineStr">
        <is>
          <t>SM001847</t>
        </is>
      </c>
      <c r="B1851" s="33" t="inlineStr">
        <is>
          <t>SW013</t>
        </is>
      </c>
      <c r="C1851" s="33" t="inlineStr">
        <is>
          <t>Lewis Clareburt</t>
        </is>
      </c>
      <c r="D1851" s="33" t="inlineStr">
        <is>
          <t>SwimCloud</t>
        </is>
      </c>
      <c r="E1851" s="33" t="inlineStr">
        <is>
          <t>3464011</t>
        </is>
      </c>
      <c r="F1851" s="33" t="inlineStr">
        <is>
          <t>44989964</t>
        </is>
      </c>
      <c r="G1851" s="51" t="n">
        <v>44113</v>
      </c>
      <c r="H1851" s="33" t="inlineStr">
        <is>
          <t>AON NZ SC Championships</t>
        </is>
      </c>
      <c r="I1851" s="33" t="inlineStr">
        <is>
          <t>207284</t>
        </is>
      </c>
      <c r="J1851" s="33" t="inlineStr"/>
      <c r="K1851" s="33" t="inlineStr">
        <is>
          <t>FIN</t>
        </is>
      </c>
      <c r="L1851" s="35">
        <f>IF(K1851="FIN",3,IF(OR(K1851="SEM",K1851="SEMI"),2,IF(OR(K1851="PRE",K1851="HEAT"),1,IF(V1851="YES",4,2))))</f>
        <v/>
      </c>
      <c r="M1851" s="33" t="inlineStr">
        <is>
          <t>SCM</t>
        </is>
      </c>
      <c r="N1851" s="33" t="n">
        <v>200</v>
      </c>
      <c r="O1851" s="33" t="inlineStr">
        <is>
          <t>Free</t>
        </is>
      </c>
      <c r="P1851" s="33" t="inlineStr">
        <is>
          <t>200 Free</t>
        </is>
      </c>
      <c r="Q1851" s="33" t="inlineStr">
        <is>
          <t>SCM_200_FREE</t>
        </is>
      </c>
      <c r="R1851" s="36" t="n">
        <v>104.26</v>
      </c>
      <c r="S1851" s="35">
        <f>IF(R1851="","",IF(R1851&gt;=60,INT(R1851/60)&amp;":"&amp;TEXT(MOD(R1851,60),"00.00"),TEXT(R1851,"0.00")))</f>
        <v/>
      </c>
      <c r="T1851" s="52">
        <f>IFERROR((G1851-INDEX('01_Swimmers'!$E$5:$E$22,MATCH(B1851,'01_Swimmers'!$A$5:$A$22,0)))/'00_Control'!$B$10,"")</f>
        <v/>
      </c>
      <c r="U1851" s="35">
        <f>IF(T1851="","",INT(T1851))</f>
        <v/>
      </c>
      <c r="V1851" s="33" t="inlineStr">
        <is>
          <t>NO</t>
        </is>
      </c>
      <c r="W1851" s="33" t="inlineStr">
        <is>
          <t>YES</t>
        </is>
      </c>
      <c r="X1851" s="33" t="inlineStr">
        <is>
          <t>NO</t>
        </is>
      </c>
      <c r="Y1851" s="33" t="n">
        <v>3</v>
      </c>
      <c r="Z1851" s="33" t="n">
        <v>6</v>
      </c>
      <c r="AA1851" s="33" t="inlineStr">
        <is>
          <t>1</t>
        </is>
      </c>
      <c r="AB1851" s="33" t="inlineStr">
        <is>
          <t>https://www.swimcloud.com/results/207284/event/29/?id=44989964#time44989964</t>
        </is>
      </c>
      <c r="AC1851" s="33" t="inlineStr">
        <is>
          <t>SwimCloud API v6 2026-10-08</t>
        </is>
      </c>
      <c r="AD1851" s="33" t="inlineStr">
        <is>
          <t>Lewis Clareburt|2020-10-09|SCM|200|Free|104.26|AON NZ SC Championships|FIN|False</t>
        </is>
      </c>
      <c r="AE1851" s="53">
        <f>G1851+L1851/1000+ROW()/1000000000</f>
        <v/>
      </c>
      <c r="AF1851" s="35">
        <f>IF(C1851&lt;&gt;"Grayson Coulter","",COUNTIFS($C$5:$C$2991,"Grayson Coulter",$Q$5:$Q$2991,Q1851,$AE$5:$AE$2991,"&lt;="&amp;AE1851,$R$5:$R$2991,"&lt;"&amp;R1851))</f>
        <v/>
      </c>
      <c r="AG1851" s="35">
        <f>IF(OR(C1851&lt;&gt;"Grayson Coulter",G1851&lt;'00_Control'!$B$7),"",--(AF1851&lt;5))</f>
        <v/>
      </c>
      <c r="AH1851" s="35">
        <f>IF(OR(C1851&lt;&gt;"Grayson Coulter",G1851&lt;'00_Control'!$B$7),"",--(AF1851&lt;10))</f>
        <v/>
      </c>
      <c r="AI1851" s="35">
        <f>IF(AND(C1851="Grayson Coulter",G1851&gt;='00_Control'!$B$7),"YES","NO")</f>
        <v/>
      </c>
      <c r="AJ1851" s="33" t="inlineStr">
        <is>
          <t>OK</t>
        </is>
      </c>
    </row>
    <row r="1852">
      <c r="A1852" s="33" t="inlineStr">
        <is>
          <t>SM001848</t>
        </is>
      </c>
      <c r="B1852" s="33" t="inlineStr">
        <is>
          <t>SW013</t>
        </is>
      </c>
      <c r="C1852" s="33" t="inlineStr">
        <is>
          <t>Lewis Clareburt</t>
        </is>
      </c>
      <c r="D1852" s="33" t="inlineStr">
        <is>
          <t>SwimCloud</t>
        </is>
      </c>
      <c r="E1852" s="33" t="inlineStr">
        <is>
          <t>3464011</t>
        </is>
      </c>
      <c r="F1852" s="33" t="inlineStr">
        <is>
          <t>39728460</t>
        </is>
      </c>
      <c r="G1852" s="51" t="n">
        <v>44219</v>
      </c>
      <c r="H1852" s="33" t="inlineStr">
        <is>
          <t>Wellington 13 &amp; O LC Championships</t>
        </is>
      </c>
      <c r="I1852" s="33" t="inlineStr">
        <is>
          <t>193446</t>
        </is>
      </c>
      <c r="J1852" s="33" t="inlineStr"/>
      <c r="K1852" s="33" t="inlineStr">
        <is>
          <t>PRE</t>
        </is>
      </c>
      <c r="L1852" s="35">
        <f>IF(K1852="FIN",3,IF(OR(K1852="SEM",K1852="SEMI"),2,IF(OR(K1852="PRE",K1852="HEAT"),1,IF(V1852="YES",4,2))))</f>
        <v/>
      </c>
      <c r="M1852" s="33" t="inlineStr">
        <is>
          <t>LCM</t>
        </is>
      </c>
      <c r="N1852" s="33" t="n">
        <v>200</v>
      </c>
      <c r="O1852" s="33" t="inlineStr">
        <is>
          <t>Free</t>
        </is>
      </c>
      <c r="P1852" s="33" t="inlineStr">
        <is>
          <t>200 Free</t>
        </is>
      </c>
      <c r="Q1852" s="33" t="inlineStr">
        <is>
          <t>LCM_200_FREE</t>
        </is>
      </c>
      <c r="R1852" s="36" t="n">
        <v>110.88</v>
      </c>
      <c r="S1852" s="35">
        <f>IF(R1852="","",IF(R1852&gt;=60,INT(R1852/60)&amp;":"&amp;TEXT(MOD(R1852,60),"00.00"),TEXT(R1852,"0.00")))</f>
        <v/>
      </c>
      <c r="T1852" s="52">
        <f>IFERROR((G1852-INDEX('01_Swimmers'!$E$5:$E$22,MATCH(B1852,'01_Swimmers'!$A$5:$A$22,0)))/'00_Control'!$B$10,"")</f>
        <v/>
      </c>
      <c r="U1852" s="35">
        <f>IF(T1852="","",INT(T1852))</f>
        <v/>
      </c>
      <c r="V1852" s="33" t="inlineStr">
        <is>
          <t>NO</t>
        </is>
      </c>
      <c r="W1852" s="33" t="inlineStr">
        <is>
          <t>YES</t>
        </is>
      </c>
      <c r="X1852" s="33" t="inlineStr">
        <is>
          <t>NO</t>
        </is>
      </c>
      <c r="Y1852" s="33" t="n">
        <v>7</v>
      </c>
      <c r="Z1852" s="33" t="n">
        <v>4</v>
      </c>
      <c r="AA1852" s="33" t="inlineStr">
        <is>
          <t>1</t>
        </is>
      </c>
      <c r="AB1852" s="33" t="inlineStr">
        <is>
          <t>https://www.swimcloud.com/results/193446/event/8/?id=39728460#time39728460</t>
        </is>
      </c>
      <c r="AC1852" s="33" t="inlineStr">
        <is>
          <t>SwimCloud API v6 2026-10-08</t>
        </is>
      </c>
      <c r="AD1852" s="33" t="inlineStr">
        <is>
          <t>Lewis Clareburt|2021-01-23|LCM|200|Free|110.88|Wellington 13 &amp; O LC Championships|PRE|False</t>
        </is>
      </c>
      <c r="AE1852" s="53">
        <f>G1852+L1852/1000+ROW()/1000000000</f>
        <v/>
      </c>
      <c r="AF1852" s="35">
        <f>IF(C1852&lt;&gt;"Grayson Coulter","",COUNTIFS($C$5:$C$2991,"Grayson Coulter",$Q$5:$Q$2991,Q1852,$AE$5:$AE$2991,"&lt;="&amp;AE1852,$R$5:$R$2991,"&lt;"&amp;R1852))</f>
        <v/>
      </c>
      <c r="AG1852" s="35">
        <f>IF(OR(C1852&lt;&gt;"Grayson Coulter",G1852&lt;'00_Control'!$B$7),"",--(AF1852&lt;5))</f>
        <v/>
      </c>
      <c r="AH1852" s="35">
        <f>IF(OR(C1852&lt;&gt;"Grayson Coulter",G1852&lt;'00_Control'!$B$7),"",--(AF1852&lt;10))</f>
        <v/>
      </c>
      <c r="AI1852" s="35">
        <f>IF(AND(C1852="Grayson Coulter",G1852&gt;='00_Control'!$B$7),"YES","NO")</f>
        <v/>
      </c>
      <c r="AJ1852" s="33" t="inlineStr">
        <is>
          <t>OK</t>
        </is>
      </c>
    </row>
    <row r="1853">
      <c r="A1853" s="33" t="inlineStr">
        <is>
          <t>SM001849</t>
        </is>
      </c>
      <c r="B1853" s="33" t="inlineStr">
        <is>
          <t>SW013</t>
        </is>
      </c>
      <c r="C1853" s="33" t="inlineStr">
        <is>
          <t>Lewis Clareburt</t>
        </is>
      </c>
      <c r="D1853" s="33" t="inlineStr">
        <is>
          <t>SwimCloud</t>
        </is>
      </c>
      <c r="E1853" s="33" t="inlineStr">
        <is>
          <t>3464011</t>
        </is>
      </c>
      <c r="F1853" s="33" t="inlineStr">
        <is>
          <t>39728461</t>
        </is>
      </c>
      <c r="G1853" s="51" t="n">
        <v>44219</v>
      </c>
      <c r="H1853" s="33" t="inlineStr">
        <is>
          <t>Wellington 13 &amp; O LC Championships</t>
        </is>
      </c>
      <c r="I1853" s="33" t="inlineStr">
        <is>
          <t>193446</t>
        </is>
      </c>
      <c r="J1853" s="33" t="inlineStr"/>
      <c r="K1853" s="33" t="inlineStr">
        <is>
          <t>FIN</t>
        </is>
      </c>
      <c r="L1853" s="35">
        <f>IF(K1853="FIN",3,IF(OR(K1853="SEM",K1853="SEMI"),2,IF(OR(K1853="PRE",K1853="HEAT"),1,IF(V1853="YES",4,2))))</f>
        <v/>
      </c>
      <c r="M1853" s="33" t="inlineStr">
        <is>
          <t>LCM</t>
        </is>
      </c>
      <c r="N1853" s="33" t="n">
        <v>200</v>
      </c>
      <c r="O1853" s="33" t="inlineStr">
        <is>
          <t>Free</t>
        </is>
      </c>
      <c r="P1853" s="33" t="inlineStr">
        <is>
          <t>200 Free</t>
        </is>
      </c>
      <c r="Q1853" s="33" t="inlineStr">
        <is>
          <t>LCM_200_FREE</t>
        </is>
      </c>
      <c r="R1853" s="36" t="n">
        <v>109.91</v>
      </c>
      <c r="S1853" s="35">
        <f>IF(R1853="","",IF(R1853&gt;=60,INT(R1853/60)&amp;":"&amp;TEXT(MOD(R1853,60),"00.00"),TEXT(R1853,"0.00")))</f>
        <v/>
      </c>
      <c r="T1853" s="52">
        <f>IFERROR((G1853-INDEX('01_Swimmers'!$E$5:$E$22,MATCH(B1853,'01_Swimmers'!$A$5:$A$22,0)))/'00_Control'!$B$10,"")</f>
        <v/>
      </c>
      <c r="U1853" s="35">
        <f>IF(T1853="","",INT(T1853))</f>
        <v/>
      </c>
      <c r="V1853" s="33" t="inlineStr">
        <is>
          <t>NO</t>
        </is>
      </c>
      <c r="W1853" s="33" t="inlineStr">
        <is>
          <t>YES</t>
        </is>
      </c>
      <c r="X1853" s="33" t="inlineStr">
        <is>
          <t>NO</t>
        </is>
      </c>
      <c r="Y1853" s="33" t="n">
        <v>4</v>
      </c>
      <c r="Z1853" s="33" t="n">
        <v>4</v>
      </c>
      <c r="AA1853" s="33" t="inlineStr">
        <is>
          <t>1</t>
        </is>
      </c>
      <c r="AB1853" s="33" t="inlineStr">
        <is>
          <t>https://www.swimcloud.com/results/193446/event/8/?id=39728461#time39728461</t>
        </is>
      </c>
      <c r="AC1853" s="33" t="inlineStr">
        <is>
          <t>SwimCloud API v6 2026-10-08</t>
        </is>
      </c>
      <c r="AD1853" s="33" t="inlineStr">
        <is>
          <t>Lewis Clareburt|2021-01-23|LCM|200|Free|109.91|Wellington 13 &amp; O LC Championships|FIN|False</t>
        </is>
      </c>
      <c r="AE1853" s="53">
        <f>G1853+L1853/1000+ROW()/1000000000</f>
        <v/>
      </c>
      <c r="AF1853" s="35">
        <f>IF(C1853&lt;&gt;"Grayson Coulter","",COUNTIFS($C$5:$C$2991,"Grayson Coulter",$Q$5:$Q$2991,Q1853,$AE$5:$AE$2991,"&lt;="&amp;AE1853,$R$5:$R$2991,"&lt;"&amp;R1853))</f>
        <v/>
      </c>
      <c r="AG1853" s="35">
        <f>IF(OR(C1853&lt;&gt;"Grayson Coulter",G1853&lt;'00_Control'!$B$7),"",--(AF1853&lt;5))</f>
        <v/>
      </c>
      <c r="AH1853" s="35">
        <f>IF(OR(C1853&lt;&gt;"Grayson Coulter",G1853&lt;'00_Control'!$B$7),"",--(AF1853&lt;10))</f>
        <v/>
      </c>
      <c r="AI1853" s="35">
        <f>IF(AND(C1853="Grayson Coulter",G1853&gt;='00_Control'!$B$7),"YES","NO")</f>
        <v/>
      </c>
      <c r="AJ1853" s="33" t="inlineStr">
        <is>
          <t>OK</t>
        </is>
      </c>
    </row>
    <row r="1854">
      <c r="A1854" s="33" t="inlineStr">
        <is>
          <t>SM001850</t>
        </is>
      </c>
      <c r="B1854" s="33" t="inlineStr">
        <is>
          <t>SW013</t>
        </is>
      </c>
      <c r="C1854" s="33" t="inlineStr">
        <is>
          <t>Lewis Clareburt</t>
        </is>
      </c>
      <c r="D1854" s="33" t="inlineStr">
        <is>
          <t>SwimCloud</t>
        </is>
      </c>
      <c r="E1854" s="33" t="inlineStr">
        <is>
          <t>3464011</t>
        </is>
      </c>
      <c r="F1854" s="33" t="inlineStr">
        <is>
          <t>39728496</t>
        </is>
      </c>
      <c r="G1854" s="51" t="n">
        <v>44219</v>
      </c>
      <c r="H1854" s="33" t="inlineStr">
        <is>
          <t>Wellington 13 &amp; O LC Championships</t>
        </is>
      </c>
      <c r="I1854" s="33" t="inlineStr">
        <is>
          <t>193446</t>
        </is>
      </c>
      <c r="J1854" s="33" t="inlineStr"/>
      <c r="K1854" s="33" t="inlineStr">
        <is>
          <t>TIM</t>
        </is>
      </c>
      <c r="L1854" s="35">
        <f>IF(K1854="FIN",3,IF(OR(K1854="SEM",K1854="SEMI"),2,IF(OR(K1854="PRE",K1854="HEAT"),1,IF(V1854="YES",4,2))))</f>
        <v/>
      </c>
      <c r="M1854" s="33" t="inlineStr">
        <is>
          <t>LCM</t>
        </is>
      </c>
      <c r="N1854" s="33" t="n">
        <v>400</v>
      </c>
      <c r="O1854" s="33" t="inlineStr">
        <is>
          <t>Free</t>
        </is>
      </c>
      <c r="P1854" s="33" t="inlineStr">
        <is>
          <t>400 Free</t>
        </is>
      </c>
      <c r="Q1854" s="33" t="inlineStr">
        <is>
          <t>LCM_400_FREE</t>
        </is>
      </c>
      <c r="R1854" s="36" t="n">
        <v>230.37</v>
      </c>
      <c r="S1854" s="35">
        <f>IF(R1854="","",IF(R1854&gt;=60,INT(R1854/60)&amp;":"&amp;TEXT(MOD(R1854,60),"00.00"),TEXT(R1854,"0.00")))</f>
        <v/>
      </c>
      <c r="T1854" s="52">
        <f>IFERROR((G1854-INDEX('01_Swimmers'!$E$5:$E$22,MATCH(B1854,'01_Swimmers'!$A$5:$A$22,0)))/'00_Control'!$B$10,"")</f>
        <v/>
      </c>
      <c r="U1854" s="35">
        <f>IF(T1854="","",INT(T1854))</f>
        <v/>
      </c>
      <c r="V1854" s="33" t="inlineStr">
        <is>
          <t>NO</t>
        </is>
      </c>
      <c r="W1854" s="33" t="inlineStr">
        <is>
          <t>YES</t>
        </is>
      </c>
      <c r="X1854" s="33" t="inlineStr">
        <is>
          <t>NO</t>
        </is>
      </c>
      <c r="Y1854" s="33" t="n">
        <v>3</v>
      </c>
      <c r="Z1854" s="33" t="n">
        <v>5</v>
      </c>
      <c r="AA1854" s="33" t="inlineStr">
        <is>
          <t>1</t>
        </is>
      </c>
      <c r="AB1854" s="33" t="inlineStr">
        <is>
          <t>https://www.swimcloud.com/results/193446/event/10/?id=39728496#time39728496</t>
        </is>
      </c>
      <c r="AC1854" s="33" t="inlineStr">
        <is>
          <t>SwimCloud API v6 2026-10-08</t>
        </is>
      </c>
      <c r="AD1854" s="33" t="inlineStr">
        <is>
          <t>Lewis Clareburt|2021-01-23|LCM|400|Free|230.37|Wellington 13 &amp; O LC Championships|TIM|False</t>
        </is>
      </c>
      <c r="AE1854" s="53">
        <f>G1854+L1854/1000+ROW()/1000000000</f>
        <v/>
      </c>
      <c r="AF1854" s="35">
        <f>IF(C1854&lt;&gt;"Grayson Coulter","",COUNTIFS($C$5:$C$2991,"Grayson Coulter",$Q$5:$Q$2991,Q1854,$AE$5:$AE$2991,"&lt;="&amp;AE1854,$R$5:$R$2991,"&lt;"&amp;R1854))</f>
        <v/>
      </c>
      <c r="AG1854" s="35">
        <f>IF(OR(C1854&lt;&gt;"Grayson Coulter",G1854&lt;'00_Control'!$B$7),"",--(AF1854&lt;5))</f>
        <v/>
      </c>
      <c r="AH1854" s="35">
        <f>IF(OR(C1854&lt;&gt;"Grayson Coulter",G1854&lt;'00_Control'!$B$7),"",--(AF1854&lt;10))</f>
        <v/>
      </c>
      <c r="AI1854" s="35">
        <f>IF(AND(C1854="Grayson Coulter",G1854&gt;='00_Control'!$B$7),"YES","NO")</f>
        <v/>
      </c>
      <c r="AJ1854" s="33" t="inlineStr">
        <is>
          <t>OK</t>
        </is>
      </c>
    </row>
    <row r="1855">
      <c r="A1855" s="33" t="inlineStr">
        <is>
          <t>SM001851</t>
        </is>
      </c>
      <c r="B1855" s="33" t="inlineStr">
        <is>
          <t>SW013</t>
        </is>
      </c>
      <c r="C1855" s="33" t="inlineStr">
        <is>
          <t>Lewis Clareburt</t>
        </is>
      </c>
      <c r="D1855" s="33" t="inlineStr">
        <is>
          <t>SwimCloud</t>
        </is>
      </c>
      <c r="E1855" s="33" t="inlineStr">
        <is>
          <t>3464011</t>
        </is>
      </c>
      <c r="F1855" s="33" t="inlineStr">
        <is>
          <t>39729020</t>
        </is>
      </c>
      <c r="G1855" s="51" t="n">
        <v>44220</v>
      </c>
      <c r="H1855" s="33" t="inlineStr">
        <is>
          <t>Wellington 13 &amp; O LC Championships</t>
        </is>
      </c>
      <c r="I1855" s="33" t="inlineStr">
        <is>
          <t>193446</t>
        </is>
      </c>
      <c r="J1855" s="33" t="inlineStr"/>
      <c r="K1855" s="33" t="inlineStr">
        <is>
          <t>PRE</t>
        </is>
      </c>
      <c r="L1855" s="35">
        <f>IF(K1855="FIN",3,IF(OR(K1855="SEM",K1855="SEMI"),2,IF(OR(K1855="PRE",K1855="HEAT"),1,IF(V1855="YES",4,2))))</f>
        <v/>
      </c>
      <c r="M1855" s="33" t="inlineStr">
        <is>
          <t>LCM</t>
        </is>
      </c>
      <c r="N1855" s="33" t="n">
        <v>100</v>
      </c>
      <c r="O1855" s="33" t="inlineStr">
        <is>
          <t>Fly</t>
        </is>
      </c>
      <c r="P1855" s="33" t="inlineStr">
        <is>
          <t>100 Fly</t>
        </is>
      </c>
      <c r="Q1855" s="33" t="inlineStr">
        <is>
          <t>LCM_100_FLY</t>
        </is>
      </c>
      <c r="R1855" s="36" t="n">
        <v>54.43</v>
      </c>
      <c r="S1855" s="35">
        <f>IF(R1855="","",IF(R1855&gt;=60,INT(R1855/60)&amp;":"&amp;TEXT(MOD(R1855,60),"00.00"),TEXT(R1855,"0.00")))</f>
        <v/>
      </c>
      <c r="T1855" s="52">
        <f>IFERROR((G1855-INDEX('01_Swimmers'!$E$5:$E$22,MATCH(B1855,'01_Swimmers'!$A$5:$A$22,0)))/'00_Control'!$B$10,"")</f>
        <v/>
      </c>
      <c r="U1855" s="35">
        <f>IF(T1855="","",INT(T1855))</f>
        <v/>
      </c>
      <c r="V1855" s="33" t="inlineStr">
        <is>
          <t>NO</t>
        </is>
      </c>
      <c r="W1855" s="33" t="inlineStr">
        <is>
          <t>YES</t>
        </is>
      </c>
      <c r="X1855" s="33" t="inlineStr">
        <is>
          <t>NO</t>
        </is>
      </c>
      <c r="Y1855" s="33" t="n">
        <v>7</v>
      </c>
      <c r="Z1855" s="33" t="n">
        <v>4</v>
      </c>
      <c r="AA1855" s="33" t="inlineStr">
        <is>
          <t>1</t>
        </is>
      </c>
      <c r="AB1855" s="33" t="inlineStr">
        <is>
          <t>https://www.swimcloud.com/results/193446/event/21/?id=39729020#time39729020</t>
        </is>
      </c>
      <c r="AC1855" s="33" t="inlineStr">
        <is>
          <t>SwimCloud API v6 2026-10-08</t>
        </is>
      </c>
      <c r="AD1855" s="33" t="inlineStr">
        <is>
          <t>Lewis Clareburt|2021-01-24|LCM|100|Fly|54.43|Wellington 13 &amp; O LC Championships|PRE|False</t>
        </is>
      </c>
      <c r="AE1855" s="53">
        <f>G1855+L1855/1000+ROW()/1000000000</f>
        <v/>
      </c>
      <c r="AF1855" s="35">
        <f>IF(C1855&lt;&gt;"Grayson Coulter","",COUNTIFS($C$5:$C$2991,"Grayson Coulter",$Q$5:$Q$2991,Q1855,$AE$5:$AE$2991,"&lt;="&amp;AE1855,$R$5:$R$2991,"&lt;"&amp;R1855))</f>
        <v/>
      </c>
      <c r="AG1855" s="35">
        <f>IF(OR(C1855&lt;&gt;"Grayson Coulter",G1855&lt;'00_Control'!$B$7),"",--(AF1855&lt;5))</f>
        <v/>
      </c>
      <c r="AH1855" s="35">
        <f>IF(OR(C1855&lt;&gt;"Grayson Coulter",G1855&lt;'00_Control'!$B$7),"",--(AF1855&lt;10))</f>
        <v/>
      </c>
      <c r="AI1855" s="35">
        <f>IF(AND(C1855="Grayson Coulter",G1855&gt;='00_Control'!$B$7),"YES","NO")</f>
        <v/>
      </c>
      <c r="AJ1855" s="33" t="inlineStr">
        <is>
          <t>OK</t>
        </is>
      </c>
    </row>
    <row r="1856">
      <c r="A1856" s="33" t="inlineStr">
        <is>
          <t>SM001852</t>
        </is>
      </c>
      <c r="B1856" s="33" t="inlineStr">
        <is>
          <t>SW013</t>
        </is>
      </c>
      <c r="C1856" s="33" t="inlineStr">
        <is>
          <t>Lewis Clareburt</t>
        </is>
      </c>
      <c r="D1856" s="33" t="inlineStr">
        <is>
          <t>SwimCloud</t>
        </is>
      </c>
      <c r="E1856" s="33" t="inlineStr">
        <is>
          <t>3464011</t>
        </is>
      </c>
      <c r="F1856" s="33" t="inlineStr">
        <is>
          <t>39729021</t>
        </is>
      </c>
      <c r="G1856" s="51" t="n">
        <v>44220</v>
      </c>
      <c r="H1856" s="33" t="inlineStr">
        <is>
          <t>Wellington 13 &amp; O LC Championships</t>
        </is>
      </c>
      <c r="I1856" s="33" t="inlineStr">
        <is>
          <t>193446</t>
        </is>
      </c>
      <c r="J1856" s="33" t="inlineStr"/>
      <c r="K1856" s="33" t="inlineStr">
        <is>
          <t>FIN</t>
        </is>
      </c>
      <c r="L1856" s="35">
        <f>IF(K1856="FIN",3,IF(OR(K1856="SEM",K1856="SEMI"),2,IF(OR(K1856="PRE",K1856="HEAT"),1,IF(V1856="YES",4,2))))</f>
        <v/>
      </c>
      <c r="M1856" s="33" t="inlineStr">
        <is>
          <t>LCM</t>
        </is>
      </c>
      <c r="N1856" s="33" t="n">
        <v>100</v>
      </c>
      <c r="O1856" s="33" t="inlineStr">
        <is>
          <t>Fly</t>
        </is>
      </c>
      <c r="P1856" s="33" t="inlineStr">
        <is>
          <t>100 Fly</t>
        </is>
      </c>
      <c r="Q1856" s="33" t="inlineStr">
        <is>
          <t>LCM_100_FLY</t>
        </is>
      </c>
      <c r="R1856" s="36" t="n">
        <v>53.32</v>
      </c>
      <c r="S1856" s="35">
        <f>IF(R1856="","",IF(R1856&gt;=60,INT(R1856/60)&amp;":"&amp;TEXT(MOD(R1856,60),"00.00"),TEXT(R1856,"0.00")))</f>
        <v/>
      </c>
      <c r="T1856" s="52">
        <f>IFERROR((G1856-INDEX('01_Swimmers'!$E$5:$E$22,MATCH(B1856,'01_Swimmers'!$A$5:$A$22,0)))/'00_Control'!$B$10,"")</f>
        <v/>
      </c>
      <c r="U1856" s="35">
        <f>IF(T1856="","",INT(T1856))</f>
        <v/>
      </c>
      <c r="V1856" s="33" t="inlineStr">
        <is>
          <t>NO</t>
        </is>
      </c>
      <c r="W1856" s="33" t="inlineStr">
        <is>
          <t>YES</t>
        </is>
      </c>
      <c r="X1856" s="33" t="inlineStr">
        <is>
          <t>NO</t>
        </is>
      </c>
      <c r="Y1856" s="33" t="n">
        <v>4</v>
      </c>
      <c r="Z1856" s="33" t="n">
        <v>4</v>
      </c>
      <c r="AA1856" s="33" t="inlineStr">
        <is>
          <t>1</t>
        </is>
      </c>
      <c r="AB1856" s="33" t="inlineStr">
        <is>
          <t>https://www.swimcloud.com/results/193446/event/21/?id=39729021#time39729021</t>
        </is>
      </c>
      <c r="AC1856" s="33" t="inlineStr">
        <is>
          <t>SwimCloud API v6 2026-10-08</t>
        </is>
      </c>
      <c r="AD1856" s="33" t="inlineStr">
        <is>
          <t>Lewis Clareburt|2021-01-24|LCM|100|Fly|53.32|Wellington 13 &amp; O LC Championships|FIN|False</t>
        </is>
      </c>
      <c r="AE1856" s="53">
        <f>G1856+L1856/1000+ROW()/1000000000</f>
        <v/>
      </c>
      <c r="AF1856" s="35">
        <f>IF(C1856&lt;&gt;"Grayson Coulter","",COUNTIFS($C$5:$C$2991,"Grayson Coulter",$Q$5:$Q$2991,Q1856,$AE$5:$AE$2991,"&lt;="&amp;AE1856,$R$5:$R$2991,"&lt;"&amp;R1856))</f>
        <v/>
      </c>
      <c r="AG1856" s="35">
        <f>IF(OR(C1856&lt;&gt;"Grayson Coulter",G1856&lt;'00_Control'!$B$7),"",--(AF1856&lt;5))</f>
        <v/>
      </c>
      <c r="AH1856" s="35">
        <f>IF(OR(C1856&lt;&gt;"Grayson Coulter",G1856&lt;'00_Control'!$B$7),"",--(AF1856&lt;10))</f>
        <v/>
      </c>
      <c r="AI1856" s="35">
        <f>IF(AND(C1856="Grayson Coulter",G1856&gt;='00_Control'!$B$7),"YES","NO")</f>
        <v/>
      </c>
      <c r="AJ1856" s="33" t="inlineStr">
        <is>
          <t>OK</t>
        </is>
      </c>
    </row>
    <row r="1857">
      <c r="A1857" s="33" t="inlineStr">
        <is>
          <t>SM001853</t>
        </is>
      </c>
      <c r="B1857" s="33" t="inlineStr">
        <is>
          <t>SW013</t>
        </is>
      </c>
      <c r="C1857" s="33" t="inlineStr">
        <is>
          <t>Lewis Clareburt</t>
        </is>
      </c>
      <c r="D1857" s="33" t="inlineStr">
        <is>
          <t>SwimCloud</t>
        </is>
      </c>
      <c r="E1857" s="33" t="inlineStr">
        <is>
          <t>3464011</t>
        </is>
      </c>
      <c r="F1857" s="33" t="inlineStr">
        <is>
          <t>41083446</t>
        </is>
      </c>
      <c r="G1857" s="51" t="n">
        <v>44293</v>
      </c>
      <c r="H1857" s="33" t="inlineStr">
        <is>
          <t>Aon New Zealand National Swimming Championships</t>
        </is>
      </c>
      <c r="I1857" s="33" t="inlineStr">
        <is>
          <t>195573</t>
        </is>
      </c>
      <c r="J1857" s="33" t="inlineStr"/>
      <c r="K1857" s="33" t="inlineStr">
        <is>
          <t>PRE</t>
        </is>
      </c>
      <c r="L1857" s="35">
        <f>IF(K1857="FIN",3,IF(OR(K1857="SEM",K1857="SEMI"),2,IF(OR(K1857="PRE",K1857="HEAT"),1,IF(V1857="YES",4,2))))</f>
        <v/>
      </c>
      <c r="M1857" s="33" t="inlineStr">
        <is>
          <t>LCM</t>
        </is>
      </c>
      <c r="N1857" s="33" t="n">
        <v>200</v>
      </c>
      <c r="O1857" s="33" t="inlineStr">
        <is>
          <t>Free</t>
        </is>
      </c>
      <c r="P1857" s="33" t="inlineStr">
        <is>
          <t>200 Free</t>
        </is>
      </c>
      <c r="Q1857" s="33" t="inlineStr">
        <is>
          <t>LCM_200_FREE</t>
        </is>
      </c>
      <c r="R1857" s="36" t="n">
        <v>109.32</v>
      </c>
      <c r="S1857" s="35">
        <f>IF(R1857="","",IF(R1857&gt;=60,INT(R1857/60)&amp;":"&amp;TEXT(MOD(R1857,60),"00.00"),TEXT(R1857,"0.00")))</f>
        <v/>
      </c>
      <c r="T1857" s="52">
        <f>IFERROR((G1857-INDEX('01_Swimmers'!$E$5:$E$22,MATCH(B1857,'01_Swimmers'!$A$5:$A$22,0)))/'00_Control'!$B$10,"")</f>
        <v/>
      </c>
      <c r="U1857" s="35">
        <f>IF(T1857="","",INT(T1857))</f>
        <v/>
      </c>
      <c r="V1857" s="33" t="inlineStr">
        <is>
          <t>NO</t>
        </is>
      </c>
      <c r="W1857" s="33" t="inlineStr">
        <is>
          <t>YES</t>
        </is>
      </c>
      <c r="X1857" s="33" t="inlineStr">
        <is>
          <t>NO</t>
        </is>
      </c>
      <c r="Y1857" s="33" t="n">
        <v>5</v>
      </c>
      <c r="Z1857" s="33" t="n">
        <v>4</v>
      </c>
      <c r="AA1857" s="33" t="inlineStr">
        <is>
          <t>1</t>
        </is>
      </c>
      <c r="AB1857" s="33" t="inlineStr">
        <is>
          <t>https://www.swimcloud.com/results/195573/event/10/?id=41083446#time41083446</t>
        </is>
      </c>
      <c r="AC1857" s="33" t="inlineStr">
        <is>
          <t>SwimCloud API v6 2026-10-08</t>
        </is>
      </c>
      <c r="AD1857" s="33" t="inlineStr">
        <is>
          <t>Lewis Clareburt|2021-04-07|LCM|200|Free|109.32|Aon New Zealand National Swimming Championships|PRE|False</t>
        </is>
      </c>
      <c r="AE1857" s="53">
        <f>G1857+L1857/1000+ROW()/1000000000</f>
        <v/>
      </c>
      <c r="AF1857" s="35">
        <f>IF(C1857&lt;&gt;"Grayson Coulter","",COUNTIFS($C$5:$C$2991,"Grayson Coulter",$Q$5:$Q$2991,Q1857,$AE$5:$AE$2991,"&lt;="&amp;AE1857,$R$5:$R$2991,"&lt;"&amp;R1857))</f>
        <v/>
      </c>
      <c r="AG1857" s="35">
        <f>IF(OR(C1857&lt;&gt;"Grayson Coulter",G1857&lt;'00_Control'!$B$7),"",--(AF1857&lt;5))</f>
        <v/>
      </c>
      <c r="AH1857" s="35">
        <f>IF(OR(C1857&lt;&gt;"Grayson Coulter",G1857&lt;'00_Control'!$B$7),"",--(AF1857&lt;10))</f>
        <v/>
      </c>
      <c r="AI1857" s="35">
        <f>IF(AND(C1857="Grayson Coulter",G1857&gt;='00_Control'!$B$7),"YES","NO")</f>
        <v/>
      </c>
      <c r="AJ1857" s="33" t="inlineStr">
        <is>
          <t>OK</t>
        </is>
      </c>
    </row>
    <row r="1858">
      <c r="A1858" s="33" t="inlineStr">
        <is>
          <t>SM001854</t>
        </is>
      </c>
      <c r="B1858" s="33" t="inlineStr">
        <is>
          <t>SW013</t>
        </is>
      </c>
      <c r="C1858" s="33" t="inlineStr">
        <is>
          <t>Lewis Clareburt</t>
        </is>
      </c>
      <c r="D1858" s="33" t="inlineStr">
        <is>
          <t>SwimCloud</t>
        </is>
      </c>
      <c r="E1858" s="33" t="inlineStr">
        <is>
          <t>3464011</t>
        </is>
      </c>
      <c r="F1858" s="33" t="inlineStr">
        <is>
          <t>41083447</t>
        </is>
      </c>
      <c r="G1858" s="51" t="n">
        <v>44293</v>
      </c>
      <c r="H1858" s="33" t="inlineStr">
        <is>
          <t>Aon New Zealand National Swimming Championships</t>
        </is>
      </c>
      <c r="I1858" s="33" t="inlineStr">
        <is>
          <t>195573</t>
        </is>
      </c>
      <c r="J1858" s="33" t="inlineStr"/>
      <c r="K1858" s="33" t="inlineStr">
        <is>
          <t>FIN</t>
        </is>
      </c>
      <c r="L1858" s="35">
        <f>IF(K1858="FIN",3,IF(OR(K1858="SEM",K1858="SEMI"),2,IF(OR(K1858="PRE",K1858="HEAT"),1,IF(V1858="YES",4,2))))</f>
        <v/>
      </c>
      <c r="M1858" s="33" t="inlineStr">
        <is>
          <t>LCM</t>
        </is>
      </c>
      <c r="N1858" s="33" t="n">
        <v>200</v>
      </c>
      <c r="O1858" s="33" t="inlineStr">
        <is>
          <t>Free</t>
        </is>
      </c>
      <c r="P1858" s="33" t="inlineStr">
        <is>
          <t>200 Free</t>
        </is>
      </c>
      <c r="Q1858" s="33" t="inlineStr">
        <is>
          <t>LCM_200_FREE</t>
        </is>
      </c>
      <c r="R1858" s="36" t="n">
        <v>108.13</v>
      </c>
      <c r="S1858" s="35">
        <f>IF(R1858="","",IF(R1858&gt;=60,INT(R1858/60)&amp;":"&amp;TEXT(MOD(R1858,60),"00.00"),TEXT(R1858,"0.00")))</f>
        <v/>
      </c>
      <c r="T1858" s="52">
        <f>IFERROR((G1858-INDEX('01_Swimmers'!$E$5:$E$22,MATCH(B1858,'01_Swimmers'!$A$5:$A$22,0)))/'00_Control'!$B$10,"")</f>
        <v/>
      </c>
      <c r="U1858" s="35">
        <f>IF(T1858="","",INT(T1858))</f>
        <v/>
      </c>
      <c r="V1858" s="33" t="inlineStr">
        <is>
          <t>NO</t>
        </is>
      </c>
      <c r="W1858" s="33" t="inlineStr">
        <is>
          <t>YES</t>
        </is>
      </c>
      <c r="X1858" s="33" t="inlineStr">
        <is>
          <t>NO</t>
        </is>
      </c>
      <c r="Y1858" s="33" t="n">
        <v>3</v>
      </c>
      <c r="Z1858" s="33" t="n">
        <v>4</v>
      </c>
      <c r="AA1858" s="33" t="inlineStr">
        <is>
          <t>1</t>
        </is>
      </c>
      <c r="AB1858" s="33" t="inlineStr">
        <is>
          <t>https://www.swimcloud.com/results/195573/event/10/?id=41083447#time41083447</t>
        </is>
      </c>
      <c r="AC1858" s="33" t="inlineStr">
        <is>
          <t>SwimCloud API v6 2026-10-08</t>
        </is>
      </c>
      <c r="AD1858" s="33" t="inlineStr">
        <is>
          <t>Lewis Clareburt|2021-04-07|LCM|200|Free|108.13|Aon New Zealand National Swimming Championships|FIN|False</t>
        </is>
      </c>
      <c r="AE1858" s="53">
        <f>G1858+L1858/1000+ROW()/1000000000</f>
        <v/>
      </c>
      <c r="AF1858" s="35">
        <f>IF(C1858&lt;&gt;"Grayson Coulter","",COUNTIFS($C$5:$C$2991,"Grayson Coulter",$Q$5:$Q$2991,Q1858,$AE$5:$AE$2991,"&lt;="&amp;AE1858,$R$5:$R$2991,"&lt;"&amp;R1858))</f>
        <v/>
      </c>
      <c r="AG1858" s="35">
        <f>IF(OR(C1858&lt;&gt;"Grayson Coulter",G1858&lt;'00_Control'!$B$7),"",--(AF1858&lt;5))</f>
        <v/>
      </c>
      <c r="AH1858" s="35">
        <f>IF(OR(C1858&lt;&gt;"Grayson Coulter",G1858&lt;'00_Control'!$B$7),"",--(AF1858&lt;10))</f>
        <v/>
      </c>
      <c r="AI1858" s="35">
        <f>IF(AND(C1858="Grayson Coulter",G1858&gt;='00_Control'!$B$7),"YES","NO")</f>
        <v/>
      </c>
      <c r="AJ1858" s="33" t="inlineStr">
        <is>
          <t>OK</t>
        </is>
      </c>
    </row>
    <row r="1859">
      <c r="A1859" s="33" t="inlineStr">
        <is>
          <t>SM001855</t>
        </is>
      </c>
      <c r="B1859" s="33" t="inlineStr">
        <is>
          <t>SW013</t>
        </is>
      </c>
      <c r="C1859" s="33" t="inlineStr">
        <is>
          <t>Lewis Clareburt</t>
        </is>
      </c>
      <c r="D1859" s="33" t="inlineStr">
        <is>
          <t>SwimCloud</t>
        </is>
      </c>
      <c r="E1859" s="33" t="inlineStr">
        <is>
          <t>3464011</t>
        </is>
      </c>
      <c r="F1859" s="33" t="inlineStr">
        <is>
          <t>41083448</t>
        </is>
      </c>
      <c r="G1859" s="51" t="n">
        <v>44294</v>
      </c>
      <c r="H1859" s="33" t="inlineStr">
        <is>
          <t>Aon New Zealand National Swimming Championships</t>
        </is>
      </c>
      <c r="I1859" s="33" t="inlineStr">
        <is>
          <t>195573</t>
        </is>
      </c>
      <c r="J1859" s="33" t="inlineStr"/>
      <c r="K1859" s="33" t="inlineStr">
        <is>
          <t>PRE</t>
        </is>
      </c>
      <c r="L1859" s="35">
        <f>IF(K1859="FIN",3,IF(OR(K1859="SEM",K1859="SEMI"),2,IF(OR(K1859="PRE",K1859="HEAT"),1,IF(V1859="YES",4,2))))</f>
        <v/>
      </c>
      <c r="M1859" s="33" t="inlineStr">
        <is>
          <t>LCM</t>
        </is>
      </c>
      <c r="N1859" s="33" t="n">
        <v>400</v>
      </c>
      <c r="O1859" s="33" t="inlineStr">
        <is>
          <t>Free</t>
        </is>
      </c>
      <c r="P1859" s="33" t="inlineStr">
        <is>
          <t>400 Free</t>
        </is>
      </c>
      <c r="Q1859" s="33" t="inlineStr">
        <is>
          <t>LCM_400_FREE</t>
        </is>
      </c>
      <c r="R1859" s="36" t="n">
        <v>233.69</v>
      </c>
      <c r="S1859" s="35">
        <f>IF(R1859="","",IF(R1859&gt;=60,INT(R1859/60)&amp;":"&amp;TEXT(MOD(R1859,60),"00.00"),TEXT(R1859,"0.00")))</f>
        <v/>
      </c>
      <c r="T1859" s="52">
        <f>IFERROR((G1859-INDEX('01_Swimmers'!$E$5:$E$22,MATCH(B1859,'01_Swimmers'!$A$5:$A$22,0)))/'00_Control'!$B$10,"")</f>
        <v/>
      </c>
      <c r="U1859" s="35">
        <f>IF(T1859="","",INT(T1859))</f>
        <v/>
      </c>
      <c r="V1859" s="33" t="inlineStr">
        <is>
          <t>NO</t>
        </is>
      </c>
      <c r="W1859" s="33" t="inlineStr">
        <is>
          <t>YES</t>
        </is>
      </c>
      <c r="X1859" s="33" t="inlineStr">
        <is>
          <t>NO</t>
        </is>
      </c>
      <c r="Y1859" s="33" t="n">
        <v>2</v>
      </c>
      <c r="Z1859" s="33" t="n">
        <v>4</v>
      </c>
      <c r="AA1859" s="33" t="inlineStr">
        <is>
          <t>1</t>
        </is>
      </c>
      <c r="AB1859" s="33" t="inlineStr">
        <is>
          <t>https://www.swimcloud.com/results/195573/event/18/?id=41083448#time41083448</t>
        </is>
      </c>
      <c r="AC1859" s="33" t="inlineStr">
        <is>
          <t>SwimCloud API v6 2026-10-08</t>
        </is>
      </c>
      <c r="AD1859" s="33" t="inlineStr">
        <is>
          <t>Lewis Clareburt|2021-04-08|LCM|400|Free|233.69|Aon New Zealand National Swimming Championships|PRE|False</t>
        </is>
      </c>
      <c r="AE1859" s="53">
        <f>G1859+L1859/1000+ROW()/1000000000</f>
        <v/>
      </c>
      <c r="AF1859" s="35">
        <f>IF(C1859&lt;&gt;"Grayson Coulter","",COUNTIFS($C$5:$C$2991,"Grayson Coulter",$Q$5:$Q$2991,Q1859,$AE$5:$AE$2991,"&lt;="&amp;AE1859,$R$5:$R$2991,"&lt;"&amp;R1859))</f>
        <v/>
      </c>
      <c r="AG1859" s="35">
        <f>IF(OR(C1859&lt;&gt;"Grayson Coulter",G1859&lt;'00_Control'!$B$7),"",--(AF1859&lt;5))</f>
        <v/>
      </c>
      <c r="AH1859" s="35">
        <f>IF(OR(C1859&lt;&gt;"Grayson Coulter",G1859&lt;'00_Control'!$B$7),"",--(AF1859&lt;10))</f>
        <v/>
      </c>
      <c r="AI1859" s="35">
        <f>IF(AND(C1859="Grayson Coulter",G1859&gt;='00_Control'!$B$7),"YES","NO")</f>
        <v/>
      </c>
      <c r="AJ1859" s="33" t="inlineStr">
        <is>
          <t>OK</t>
        </is>
      </c>
    </row>
    <row r="1860">
      <c r="A1860" s="33" t="inlineStr">
        <is>
          <t>SM001856</t>
        </is>
      </c>
      <c r="B1860" s="33" t="inlineStr">
        <is>
          <t>SW013</t>
        </is>
      </c>
      <c r="C1860" s="33" t="inlineStr">
        <is>
          <t>Lewis Clareburt</t>
        </is>
      </c>
      <c r="D1860" s="33" t="inlineStr">
        <is>
          <t>SwimCloud</t>
        </is>
      </c>
      <c r="E1860" s="33" t="inlineStr">
        <is>
          <t>3464011</t>
        </is>
      </c>
      <c r="F1860" s="33" t="inlineStr">
        <is>
          <t>41083449</t>
        </is>
      </c>
      <c r="G1860" s="51" t="n">
        <v>44294</v>
      </c>
      <c r="H1860" s="33" t="inlineStr">
        <is>
          <t>Aon New Zealand National Swimming Championships</t>
        </is>
      </c>
      <c r="I1860" s="33" t="inlineStr">
        <is>
          <t>195573</t>
        </is>
      </c>
      <c r="J1860" s="33" t="inlineStr"/>
      <c r="K1860" s="33" t="inlineStr">
        <is>
          <t>FIN</t>
        </is>
      </c>
      <c r="L1860" s="35">
        <f>IF(K1860="FIN",3,IF(OR(K1860="SEM",K1860="SEMI"),2,IF(OR(K1860="PRE",K1860="HEAT"),1,IF(V1860="YES",4,2))))</f>
        <v/>
      </c>
      <c r="M1860" s="33" t="inlineStr">
        <is>
          <t>LCM</t>
        </is>
      </c>
      <c r="N1860" s="33" t="n">
        <v>400</v>
      </c>
      <c r="O1860" s="33" t="inlineStr">
        <is>
          <t>Free</t>
        </is>
      </c>
      <c r="P1860" s="33" t="inlineStr">
        <is>
          <t>400 Free</t>
        </is>
      </c>
      <c r="Q1860" s="33" t="inlineStr">
        <is>
          <t>LCM_400_FREE</t>
        </is>
      </c>
      <c r="R1860" s="36" t="n">
        <v>228.62</v>
      </c>
      <c r="S1860" s="35">
        <f>IF(R1860="","",IF(R1860&gt;=60,INT(R1860/60)&amp;":"&amp;TEXT(MOD(R1860,60),"00.00"),TEXT(R1860,"0.00")))</f>
        <v/>
      </c>
      <c r="T1860" s="52">
        <f>IFERROR((G1860-INDEX('01_Swimmers'!$E$5:$E$22,MATCH(B1860,'01_Swimmers'!$A$5:$A$22,0)))/'00_Control'!$B$10,"")</f>
        <v/>
      </c>
      <c r="U1860" s="35">
        <f>IF(T1860="","",INT(T1860))</f>
        <v/>
      </c>
      <c r="V1860" s="33" t="inlineStr">
        <is>
          <t>NO</t>
        </is>
      </c>
      <c r="W1860" s="33" t="inlineStr">
        <is>
          <t>YES</t>
        </is>
      </c>
      <c r="X1860" s="33" t="inlineStr">
        <is>
          <t>NO</t>
        </is>
      </c>
      <c r="Y1860" s="33" t="n">
        <v>2</v>
      </c>
      <c r="Z1860" s="33" t="n">
        <v>4</v>
      </c>
      <c r="AA1860" s="33" t="inlineStr">
        <is>
          <t>2</t>
        </is>
      </c>
      <c r="AB1860" s="33" t="inlineStr">
        <is>
          <t>https://www.swimcloud.com/results/195573/event/18/?id=41083449#time41083449</t>
        </is>
      </c>
      <c r="AC1860" s="33" t="inlineStr">
        <is>
          <t>SwimCloud API v6 2026-10-08</t>
        </is>
      </c>
      <c r="AD1860" s="33" t="inlineStr">
        <is>
          <t>Lewis Clareburt|2021-04-08|LCM|400|Free|228.62|Aon New Zealand National Swimming Championships|FIN|False</t>
        </is>
      </c>
      <c r="AE1860" s="53">
        <f>G1860+L1860/1000+ROW()/1000000000</f>
        <v/>
      </c>
      <c r="AF1860" s="35">
        <f>IF(C1860&lt;&gt;"Grayson Coulter","",COUNTIFS($C$5:$C$2991,"Grayson Coulter",$Q$5:$Q$2991,Q1860,$AE$5:$AE$2991,"&lt;="&amp;AE1860,$R$5:$R$2991,"&lt;"&amp;R1860))</f>
        <v/>
      </c>
      <c r="AG1860" s="35">
        <f>IF(OR(C1860&lt;&gt;"Grayson Coulter",G1860&lt;'00_Control'!$B$7),"",--(AF1860&lt;5))</f>
        <v/>
      </c>
      <c r="AH1860" s="35">
        <f>IF(OR(C1860&lt;&gt;"Grayson Coulter",G1860&lt;'00_Control'!$B$7),"",--(AF1860&lt;10))</f>
        <v/>
      </c>
      <c r="AI1860" s="35">
        <f>IF(AND(C1860="Grayson Coulter",G1860&gt;='00_Control'!$B$7),"YES","NO")</f>
        <v/>
      </c>
      <c r="AJ1860" s="33" t="inlineStr">
        <is>
          <t>OK</t>
        </is>
      </c>
    </row>
    <row r="1861">
      <c r="A1861" s="33" t="inlineStr">
        <is>
          <t>SM001857</t>
        </is>
      </c>
      <c r="B1861" s="33" t="inlineStr">
        <is>
          <t>SW013</t>
        </is>
      </c>
      <c r="C1861" s="33" t="inlineStr">
        <is>
          <t>Lewis Clareburt</t>
        </is>
      </c>
      <c r="D1861" s="33" t="inlineStr">
        <is>
          <t>SwimCloud</t>
        </is>
      </c>
      <c r="E1861" s="33" t="inlineStr">
        <is>
          <t>3464011</t>
        </is>
      </c>
      <c r="F1861" s="33" t="inlineStr">
        <is>
          <t>41083454</t>
        </is>
      </c>
      <c r="G1861" s="51" t="n">
        <v>44296</v>
      </c>
      <c r="H1861" s="33" t="inlineStr">
        <is>
          <t>Aon New Zealand National Swimming Championships</t>
        </is>
      </c>
      <c r="I1861" s="33" t="inlineStr">
        <is>
          <t>195573</t>
        </is>
      </c>
      <c r="J1861" s="33" t="inlineStr"/>
      <c r="K1861" s="33" t="inlineStr">
        <is>
          <t>PRE</t>
        </is>
      </c>
      <c r="L1861" s="35">
        <f>IF(K1861="FIN",3,IF(OR(K1861="SEM",K1861="SEMI"),2,IF(OR(K1861="PRE",K1861="HEAT"),1,IF(V1861="YES",4,2))))</f>
        <v/>
      </c>
      <c r="M1861" s="33" t="inlineStr">
        <is>
          <t>LCM</t>
        </is>
      </c>
      <c r="N1861" s="33" t="n">
        <v>100</v>
      </c>
      <c r="O1861" s="33" t="inlineStr">
        <is>
          <t>Free</t>
        </is>
      </c>
      <c r="P1861" s="33" t="inlineStr">
        <is>
          <t>100 Free</t>
        </is>
      </c>
      <c r="Q1861" s="33" t="inlineStr">
        <is>
          <t>LCM_100_FREE</t>
        </is>
      </c>
      <c r="R1861" s="36" t="n">
        <v>50.81</v>
      </c>
      <c r="S1861" s="35">
        <f>IF(R1861="","",IF(R1861&gt;=60,INT(R1861/60)&amp;":"&amp;TEXT(MOD(R1861,60),"00.00"),TEXT(R1861,"0.00")))</f>
        <v/>
      </c>
      <c r="T1861" s="52">
        <f>IFERROR((G1861-INDEX('01_Swimmers'!$E$5:$E$22,MATCH(B1861,'01_Swimmers'!$A$5:$A$22,0)))/'00_Control'!$B$10,"")</f>
        <v/>
      </c>
      <c r="U1861" s="35">
        <f>IF(T1861="","",INT(T1861))</f>
        <v/>
      </c>
      <c r="V1861" s="33" t="inlineStr">
        <is>
          <t>NO</t>
        </is>
      </c>
      <c r="W1861" s="33" t="inlineStr">
        <is>
          <t>YES</t>
        </is>
      </c>
      <c r="X1861" s="33" t="inlineStr">
        <is>
          <t>NO</t>
        </is>
      </c>
      <c r="Y1861" s="33" t="n">
        <v>5</v>
      </c>
      <c r="Z1861" s="33" t="n">
        <v>5</v>
      </c>
      <c r="AA1861" s="33" t="inlineStr">
        <is>
          <t>2</t>
        </is>
      </c>
      <c r="AB1861" s="33" t="inlineStr">
        <is>
          <t>https://www.swimcloud.com/results/195573/event/39/?id=41083454#time41083454</t>
        </is>
      </c>
      <c r="AC1861" s="33" t="inlineStr">
        <is>
          <t>SwimCloud API v6 2026-10-08</t>
        </is>
      </c>
      <c r="AD1861" s="33" t="inlineStr">
        <is>
          <t>Lewis Clareburt|2021-04-10|LCM|100|Free|50.81|Aon New Zealand National Swimming Championships|PRE|False</t>
        </is>
      </c>
      <c r="AE1861" s="53">
        <f>G1861+L1861/1000+ROW()/1000000000</f>
        <v/>
      </c>
      <c r="AF1861" s="35">
        <f>IF(C1861&lt;&gt;"Grayson Coulter","",COUNTIFS($C$5:$C$2991,"Grayson Coulter",$Q$5:$Q$2991,Q1861,$AE$5:$AE$2991,"&lt;="&amp;AE1861,$R$5:$R$2991,"&lt;"&amp;R1861))</f>
        <v/>
      </c>
      <c r="AG1861" s="35">
        <f>IF(OR(C1861&lt;&gt;"Grayson Coulter",G1861&lt;'00_Control'!$B$7),"",--(AF1861&lt;5))</f>
        <v/>
      </c>
      <c r="AH1861" s="35">
        <f>IF(OR(C1861&lt;&gt;"Grayson Coulter",G1861&lt;'00_Control'!$B$7),"",--(AF1861&lt;10))</f>
        <v/>
      </c>
      <c r="AI1861" s="35">
        <f>IF(AND(C1861="Grayson Coulter",G1861&gt;='00_Control'!$B$7),"YES","NO")</f>
        <v/>
      </c>
      <c r="AJ1861" s="33" t="inlineStr">
        <is>
          <t>OK</t>
        </is>
      </c>
    </row>
    <row r="1862">
      <c r="A1862" s="33" t="inlineStr">
        <is>
          <t>SM001858</t>
        </is>
      </c>
      <c r="B1862" s="33" t="inlineStr">
        <is>
          <t>SW013</t>
        </is>
      </c>
      <c r="C1862" s="33" t="inlineStr">
        <is>
          <t>Lewis Clareburt</t>
        </is>
      </c>
      <c r="D1862" s="33" t="inlineStr">
        <is>
          <t>SwimCloud</t>
        </is>
      </c>
      <c r="E1862" s="33" t="inlineStr">
        <is>
          <t>3464011</t>
        </is>
      </c>
      <c r="F1862" s="33" t="inlineStr">
        <is>
          <t>41083455</t>
        </is>
      </c>
      <c r="G1862" s="51" t="n">
        <v>44296</v>
      </c>
      <c r="H1862" s="33" t="inlineStr">
        <is>
          <t>Aon New Zealand National Swimming Championships</t>
        </is>
      </c>
      <c r="I1862" s="33" t="inlineStr">
        <is>
          <t>195573</t>
        </is>
      </c>
      <c r="J1862" s="33" t="inlineStr"/>
      <c r="K1862" s="33" t="inlineStr">
        <is>
          <t>FIN</t>
        </is>
      </c>
      <c r="L1862" s="35">
        <f>IF(K1862="FIN",3,IF(OR(K1862="SEM",K1862="SEMI"),2,IF(OR(K1862="PRE",K1862="HEAT"),1,IF(V1862="YES",4,2))))</f>
        <v/>
      </c>
      <c r="M1862" s="33" t="inlineStr">
        <is>
          <t>LCM</t>
        </is>
      </c>
      <c r="N1862" s="33" t="n">
        <v>100</v>
      </c>
      <c r="O1862" s="33" t="inlineStr">
        <is>
          <t>Free</t>
        </is>
      </c>
      <c r="P1862" s="33" t="inlineStr">
        <is>
          <t>100 Free</t>
        </is>
      </c>
      <c r="Q1862" s="33" t="inlineStr">
        <is>
          <t>LCM_100_FREE</t>
        </is>
      </c>
      <c r="R1862" s="36" t="n">
        <v>49.04</v>
      </c>
      <c r="S1862" s="35">
        <f>IF(R1862="","",IF(R1862&gt;=60,INT(R1862/60)&amp;":"&amp;TEXT(MOD(R1862,60),"00.00"),TEXT(R1862,"0.00")))</f>
        <v/>
      </c>
      <c r="T1862" s="52">
        <f>IFERROR((G1862-INDEX('01_Swimmers'!$E$5:$E$22,MATCH(B1862,'01_Swimmers'!$A$5:$A$22,0)))/'00_Control'!$B$10,"")</f>
        <v/>
      </c>
      <c r="U1862" s="35">
        <f>IF(T1862="","",INT(T1862))</f>
        <v/>
      </c>
      <c r="V1862" s="33" t="inlineStr">
        <is>
          <t>NO</t>
        </is>
      </c>
      <c r="W1862" s="33" t="inlineStr">
        <is>
          <t>YES</t>
        </is>
      </c>
      <c r="X1862" s="33" t="inlineStr">
        <is>
          <t>NO</t>
        </is>
      </c>
      <c r="Y1862" s="33" t="n">
        <v>3</v>
      </c>
      <c r="Z1862" s="33" t="n">
        <v>5</v>
      </c>
      <c r="AA1862" s="33" t="inlineStr">
        <is>
          <t>1</t>
        </is>
      </c>
      <c r="AB1862" s="33" t="inlineStr">
        <is>
          <t>https://www.swimcloud.com/results/195573/event/39/?id=41083455#time41083455</t>
        </is>
      </c>
      <c r="AC1862" s="33" t="inlineStr">
        <is>
          <t>SwimCloud API v6 2026-10-08</t>
        </is>
      </c>
      <c r="AD1862" s="33" t="inlineStr">
        <is>
          <t>Lewis Clareburt|2021-04-10|LCM|100|Free|49.04|Aon New Zealand National Swimming Championships|FIN|False</t>
        </is>
      </c>
      <c r="AE1862" s="53">
        <f>G1862+L1862/1000+ROW()/1000000000</f>
        <v/>
      </c>
      <c r="AF1862" s="35">
        <f>IF(C1862&lt;&gt;"Grayson Coulter","",COUNTIFS($C$5:$C$2991,"Grayson Coulter",$Q$5:$Q$2991,Q1862,$AE$5:$AE$2991,"&lt;="&amp;AE1862,$R$5:$R$2991,"&lt;"&amp;R1862))</f>
        <v/>
      </c>
      <c r="AG1862" s="35">
        <f>IF(OR(C1862&lt;&gt;"Grayson Coulter",G1862&lt;'00_Control'!$B$7),"",--(AF1862&lt;5))</f>
        <v/>
      </c>
      <c r="AH1862" s="35">
        <f>IF(OR(C1862&lt;&gt;"Grayson Coulter",G1862&lt;'00_Control'!$B$7),"",--(AF1862&lt;10))</f>
        <v/>
      </c>
      <c r="AI1862" s="35">
        <f>IF(AND(C1862="Grayson Coulter",G1862&gt;='00_Control'!$B$7),"YES","NO")</f>
        <v/>
      </c>
      <c r="AJ1862" s="33" t="inlineStr">
        <is>
          <t>OK</t>
        </is>
      </c>
    </row>
    <row r="1863">
      <c r="A1863" s="33" t="inlineStr">
        <is>
          <t>SM001859</t>
        </is>
      </c>
      <c r="B1863" s="33" t="inlineStr">
        <is>
          <t>SW013</t>
        </is>
      </c>
      <c r="C1863" s="33" t="inlineStr">
        <is>
          <t>Lewis Clareburt</t>
        </is>
      </c>
      <c r="D1863" s="33" t="inlineStr">
        <is>
          <t>SwimCloud</t>
        </is>
      </c>
      <c r="E1863" s="33" t="inlineStr">
        <is>
          <t>3464011</t>
        </is>
      </c>
      <c r="F1863" s="33" t="inlineStr">
        <is>
          <t>103905702</t>
        </is>
      </c>
      <c r="G1863" s="51" t="n">
        <v>44583</v>
      </c>
      <c r="H1863" s="33" t="inlineStr">
        <is>
          <t>2022 Wellington 13 &amp; O LC Champs</t>
        </is>
      </c>
      <c r="I1863" s="33" t="inlineStr">
        <is>
          <t>273006</t>
        </is>
      </c>
      <c r="J1863" s="33" t="inlineStr"/>
      <c r="K1863" s="33" t="inlineStr">
        <is>
          <t>PRE</t>
        </is>
      </c>
      <c r="L1863" s="35">
        <f>IF(K1863="FIN",3,IF(OR(K1863="SEM",K1863="SEMI"),2,IF(OR(K1863="PRE",K1863="HEAT"),1,IF(V1863="YES",4,2))))</f>
        <v/>
      </c>
      <c r="M1863" s="33" t="inlineStr">
        <is>
          <t>LCM</t>
        </is>
      </c>
      <c r="N1863" s="33" t="n">
        <v>200</v>
      </c>
      <c r="O1863" s="33" t="inlineStr">
        <is>
          <t>Free</t>
        </is>
      </c>
      <c r="P1863" s="33" t="inlineStr">
        <is>
          <t>200 Free</t>
        </is>
      </c>
      <c r="Q1863" s="33" t="inlineStr">
        <is>
          <t>LCM_200_FREE</t>
        </is>
      </c>
      <c r="R1863" s="36" t="n">
        <v>113.78</v>
      </c>
      <c r="S1863" s="35">
        <f>IF(R1863="","",IF(R1863&gt;=60,INT(R1863/60)&amp;":"&amp;TEXT(MOD(R1863,60),"00.00"),TEXT(R1863,"0.00")))</f>
        <v/>
      </c>
      <c r="T1863" s="52">
        <f>IFERROR((G1863-INDEX('01_Swimmers'!$E$5:$E$22,MATCH(B1863,'01_Swimmers'!$A$5:$A$22,0)))/'00_Control'!$B$10,"")</f>
        <v/>
      </c>
      <c r="U1863" s="35">
        <f>IF(T1863="","",INT(T1863))</f>
        <v/>
      </c>
      <c r="V1863" s="33" t="inlineStr">
        <is>
          <t>NO</t>
        </is>
      </c>
      <c r="W1863" s="33" t="inlineStr">
        <is>
          <t>YES</t>
        </is>
      </c>
      <c r="X1863" s="33" t="inlineStr">
        <is>
          <t>NO</t>
        </is>
      </c>
      <c r="Y1863" s="33" t="n">
        <v>8</v>
      </c>
      <c r="Z1863" s="33" t="n">
        <v>4</v>
      </c>
      <c r="AA1863" s="33" t="inlineStr">
        <is>
          <t>1</t>
        </is>
      </c>
      <c r="AB1863" s="33" t="inlineStr">
        <is>
          <t>https://www.swimcloud.com/results/273006/event/8/?id=103905702#time103905702</t>
        </is>
      </c>
      <c r="AC1863" s="33" t="inlineStr">
        <is>
          <t>SwimCloud API v6 2026-10-08</t>
        </is>
      </c>
      <c r="AD1863" s="33" t="inlineStr">
        <is>
          <t>Lewis Clareburt|2022-01-22|LCM|200|Free|113.78|2022 Wellington 13 &amp; O LC Champs|PRE|False</t>
        </is>
      </c>
      <c r="AE1863" s="53">
        <f>G1863+L1863/1000+ROW()/1000000000</f>
        <v/>
      </c>
      <c r="AF1863" s="35">
        <f>IF(C1863&lt;&gt;"Grayson Coulter","",COUNTIFS($C$5:$C$2991,"Grayson Coulter",$Q$5:$Q$2991,Q1863,$AE$5:$AE$2991,"&lt;="&amp;AE1863,$R$5:$R$2991,"&lt;"&amp;R1863))</f>
        <v/>
      </c>
      <c r="AG1863" s="35">
        <f>IF(OR(C1863&lt;&gt;"Grayson Coulter",G1863&lt;'00_Control'!$B$7),"",--(AF1863&lt;5))</f>
        <v/>
      </c>
      <c r="AH1863" s="35">
        <f>IF(OR(C1863&lt;&gt;"Grayson Coulter",G1863&lt;'00_Control'!$B$7),"",--(AF1863&lt;10))</f>
        <v/>
      </c>
      <c r="AI1863" s="35">
        <f>IF(AND(C1863="Grayson Coulter",G1863&gt;='00_Control'!$B$7),"YES","NO")</f>
        <v/>
      </c>
      <c r="AJ1863" s="33" t="inlineStr">
        <is>
          <t>OK</t>
        </is>
      </c>
    </row>
    <row r="1864">
      <c r="A1864" s="33" t="inlineStr">
        <is>
          <t>SM001860</t>
        </is>
      </c>
      <c r="B1864" s="33" t="inlineStr">
        <is>
          <t>SW013</t>
        </is>
      </c>
      <c r="C1864" s="33" t="inlineStr">
        <is>
          <t>Lewis Clareburt</t>
        </is>
      </c>
      <c r="D1864" s="33" t="inlineStr">
        <is>
          <t>SwimCloud</t>
        </is>
      </c>
      <c r="E1864" s="33" t="inlineStr">
        <is>
          <t>3464011</t>
        </is>
      </c>
      <c r="F1864" s="33" t="inlineStr">
        <is>
          <t>103905703</t>
        </is>
      </c>
      <c r="G1864" s="51" t="n">
        <v>44583</v>
      </c>
      <c r="H1864" s="33" t="inlineStr">
        <is>
          <t>2022 Wellington 13 &amp; O LC Champs</t>
        </is>
      </c>
      <c r="I1864" s="33" t="inlineStr">
        <is>
          <t>273006</t>
        </is>
      </c>
      <c r="J1864" s="33" t="inlineStr"/>
      <c r="K1864" s="33" t="inlineStr">
        <is>
          <t>FIN</t>
        </is>
      </c>
      <c r="L1864" s="35">
        <f>IF(K1864="FIN",3,IF(OR(K1864="SEM",K1864="SEMI"),2,IF(OR(K1864="PRE",K1864="HEAT"),1,IF(V1864="YES",4,2))))</f>
        <v/>
      </c>
      <c r="M1864" s="33" t="inlineStr">
        <is>
          <t>LCM</t>
        </is>
      </c>
      <c r="N1864" s="33" t="n">
        <v>200</v>
      </c>
      <c r="O1864" s="33" t="inlineStr">
        <is>
          <t>Free</t>
        </is>
      </c>
      <c r="P1864" s="33" t="inlineStr">
        <is>
          <t>200 Free</t>
        </is>
      </c>
      <c r="Q1864" s="33" t="inlineStr">
        <is>
          <t>LCM_200_FREE</t>
        </is>
      </c>
      <c r="R1864" s="36" t="n">
        <v>110.15</v>
      </c>
      <c r="S1864" s="35">
        <f>IF(R1864="","",IF(R1864&gt;=60,INT(R1864/60)&amp;":"&amp;TEXT(MOD(R1864,60),"00.00"),TEXT(R1864,"0.00")))</f>
        <v/>
      </c>
      <c r="T1864" s="52">
        <f>IFERROR((G1864-INDEX('01_Swimmers'!$E$5:$E$22,MATCH(B1864,'01_Swimmers'!$A$5:$A$22,0)))/'00_Control'!$B$10,"")</f>
        <v/>
      </c>
      <c r="U1864" s="35">
        <f>IF(T1864="","",INT(T1864))</f>
        <v/>
      </c>
      <c r="V1864" s="33" t="inlineStr">
        <is>
          <t>NO</t>
        </is>
      </c>
      <c r="W1864" s="33" t="inlineStr">
        <is>
          <t>YES</t>
        </is>
      </c>
      <c r="X1864" s="33" t="inlineStr">
        <is>
          <t>NO</t>
        </is>
      </c>
      <c r="Y1864" s="33" t="n">
        <v>5</v>
      </c>
      <c r="Z1864" s="33" t="n">
        <v>4</v>
      </c>
      <c r="AA1864" s="33" t="inlineStr">
        <is>
          <t>1</t>
        </is>
      </c>
      <c r="AB1864" s="33" t="inlineStr">
        <is>
          <t>https://www.swimcloud.com/results/273006/event/8/?id=103905703#time103905703</t>
        </is>
      </c>
      <c r="AC1864" s="33" t="inlineStr">
        <is>
          <t>SwimCloud API v6 2026-10-08</t>
        </is>
      </c>
      <c r="AD1864" s="33" t="inlineStr">
        <is>
          <t>Lewis Clareburt|2022-01-22|LCM|200|Free|110.15|2022 Wellington 13 &amp; O LC Champs|FIN|False</t>
        </is>
      </c>
      <c r="AE1864" s="53">
        <f>G1864+L1864/1000+ROW()/1000000000</f>
        <v/>
      </c>
      <c r="AF1864" s="35">
        <f>IF(C1864&lt;&gt;"Grayson Coulter","",COUNTIFS($C$5:$C$2991,"Grayson Coulter",$Q$5:$Q$2991,Q1864,$AE$5:$AE$2991,"&lt;="&amp;AE1864,$R$5:$R$2991,"&lt;"&amp;R1864))</f>
        <v/>
      </c>
      <c r="AG1864" s="35">
        <f>IF(OR(C1864&lt;&gt;"Grayson Coulter",G1864&lt;'00_Control'!$B$7),"",--(AF1864&lt;5))</f>
        <v/>
      </c>
      <c r="AH1864" s="35">
        <f>IF(OR(C1864&lt;&gt;"Grayson Coulter",G1864&lt;'00_Control'!$B$7),"",--(AF1864&lt;10))</f>
        <v/>
      </c>
      <c r="AI1864" s="35">
        <f>IF(AND(C1864="Grayson Coulter",G1864&gt;='00_Control'!$B$7),"YES","NO")</f>
        <v/>
      </c>
      <c r="AJ1864" s="33" t="inlineStr">
        <is>
          <t>OK</t>
        </is>
      </c>
    </row>
    <row r="1865">
      <c r="A1865" s="33" t="inlineStr">
        <is>
          <t>SM001861</t>
        </is>
      </c>
      <c r="B1865" s="33" t="inlineStr">
        <is>
          <t>SW013</t>
        </is>
      </c>
      <c r="C1865" s="33" t="inlineStr">
        <is>
          <t>Lewis Clareburt</t>
        </is>
      </c>
      <c r="D1865" s="33" t="inlineStr">
        <is>
          <t>SwimCloud</t>
        </is>
      </c>
      <c r="E1865" s="33" t="inlineStr">
        <is>
          <t>3464011</t>
        </is>
      </c>
      <c r="F1865" s="33" t="inlineStr">
        <is>
          <t>103905720</t>
        </is>
      </c>
      <c r="G1865" s="51" t="n">
        <v>44583</v>
      </c>
      <c r="H1865" s="33" t="inlineStr">
        <is>
          <t>2022 Wellington 13 &amp; O LC Champs</t>
        </is>
      </c>
      <c r="I1865" s="33" t="inlineStr">
        <is>
          <t>273006</t>
        </is>
      </c>
      <c r="J1865" s="33" t="inlineStr"/>
      <c r="K1865" s="33" t="inlineStr">
        <is>
          <t>TIM</t>
        </is>
      </c>
      <c r="L1865" s="35">
        <f>IF(K1865="FIN",3,IF(OR(K1865="SEM",K1865="SEMI"),2,IF(OR(K1865="PRE",K1865="HEAT"),1,IF(V1865="YES",4,2))))</f>
        <v/>
      </c>
      <c r="M1865" s="33" t="inlineStr">
        <is>
          <t>LCM</t>
        </is>
      </c>
      <c r="N1865" s="33" t="n">
        <v>400</v>
      </c>
      <c r="O1865" s="33" t="inlineStr">
        <is>
          <t>Free</t>
        </is>
      </c>
      <c r="P1865" s="33" t="inlineStr">
        <is>
          <t>400 Free</t>
        </is>
      </c>
      <c r="Q1865" s="33" t="inlineStr">
        <is>
          <t>LCM_400_FREE</t>
        </is>
      </c>
      <c r="R1865" s="36" t="n">
        <v>237.01</v>
      </c>
      <c r="S1865" s="35">
        <f>IF(R1865="","",IF(R1865&gt;=60,INT(R1865/60)&amp;":"&amp;TEXT(MOD(R1865,60),"00.00"),TEXT(R1865,"0.00")))</f>
        <v/>
      </c>
      <c r="T1865" s="52">
        <f>IFERROR((G1865-INDEX('01_Swimmers'!$E$5:$E$22,MATCH(B1865,'01_Swimmers'!$A$5:$A$22,0)))/'00_Control'!$B$10,"")</f>
        <v/>
      </c>
      <c r="U1865" s="35">
        <f>IF(T1865="","",INT(T1865))</f>
        <v/>
      </c>
      <c r="V1865" s="33" t="inlineStr">
        <is>
          <t>NO</t>
        </is>
      </c>
      <c r="W1865" s="33" t="inlineStr">
        <is>
          <t>YES</t>
        </is>
      </c>
      <c r="X1865" s="33" t="inlineStr">
        <is>
          <t>NO</t>
        </is>
      </c>
      <c r="Y1865" s="33" t="n">
        <v>1</v>
      </c>
      <c r="Z1865" s="33" t="n">
        <v>4</v>
      </c>
      <c r="AA1865" s="33" t="inlineStr">
        <is>
          <t>1</t>
        </is>
      </c>
      <c r="AB1865" s="33" t="inlineStr">
        <is>
          <t>https://www.swimcloud.com/results/273006/event/10/?id=103905720#time103905720</t>
        </is>
      </c>
      <c r="AC1865" s="33" t="inlineStr">
        <is>
          <t>SwimCloud API v6 2026-10-08</t>
        </is>
      </c>
      <c r="AD1865" s="33" t="inlineStr">
        <is>
          <t>Lewis Clareburt|2022-01-22|LCM|400|Free|237.01|2022 Wellington 13 &amp; O LC Champs|TIM|False</t>
        </is>
      </c>
      <c r="AE1865" s="53">
        <f>G1865+L1865/1000+ROW()/1000000000</f>
        <v/>
      </c>
      <c r="AF1865" s="35">
        <f>IF(C1865&lt;&gt;"Grayson Coulter","",COUNTIFS($C$5:$C$2991,"Grayson Coulter",$Q$5:$Q$2991,Q1865,$AE$5:$AE$2991,"&lt;="&amp;AE1865,$R$5:$R$2991,"&lt;"&amp;R1865))</f>
        <v/>
      </c>
      <c r="AG1865" s="35">
        <f>IF(OR(C1865&lt;&gt;"Grayson Coulter",G1865&lt;'00_Control'!$B$7),"",--(AF1865&lt;5))</f>
        <v/>
      </c>
      <c r="AH1865" s="35">
        <f>IF(OR(C1865&lt;&gt;"Grayson Coulter",G1865&lt;'00_Control'!$B$7),"",--(AF1865&lt;10))</f>
        <v/>
      </c>
      <c r="AI1865" s="35">
        <f>IF(AND(C1865="Grayson Coulter",G1865&gt;='00_Control'!$B$7),"YES","NO")</f>
        <v/>
      </c>
      <c r="AJ1865" s="33" t="inlineStr">
        <is>
          <t>OK</t>
        </is>
      </c>
    </row>
    <row r="1866">
      <c r="A1866" s="33" t="inlineStr">
        <is>
          <t>SM001862</t>
        </is>
      </c>
      <c r="B1866" s="33" t="inlineStr">
        <is>
          <t>SW013</t>
        </is>
      </c>
      <c r="C1866" s="33" t="inlineStr">
        <is>
          <t>Lewis Clareburt</t>
        </is>
      </c>
      <c r="D1866" s="33" t="inlineStr">
        <is>
          <t>SwimCloud</t>
        </is>
      </c>
      <c r="E1866" s="33" t="inlineStr">
        <is>
          <t>3464011</t>
        </is>
      </c>
      <c r="F1866" s="33" t="inlineStr">
        <is>
          <t>103905662</t>
        </is>
      </c>
      <c r="G1866" s="51" t="n">
        <v>44584</v>
      </c>
      <c r="H1866" s="33" t="inlineStr">
        <is>
          <t>2022 Wellington 13 &amp; O LC Champs</t>
        </is>
      </c>
      <c r="I1866" s="33" t="inlineStr">
        <is>
          <t>273006</t>
        </is>
      </c>
      <c r="J1866" s="33" t="inlineStr"/>
      <c r="K1866" s="33" t="inlineStr">
        <is>
          <t>PRE</t>
        </is>
      </c>
      <c r="L1866" s="35">
        <f>IF(K1866="FIN",3,IF(OR(K1866="SEM",K1866="SEMI"),2,IF(OR(K1866="PRE",K1866="HEAT"),1,IF(V1866="YES",4,2))))</f>
        <v/>
      </c>
      <c r="M1866" s="33" t="inlineStr">
        <is>
          <t>LCM</t>
        </is>
      </c>
      <c r="N1866" s="33" t="n">
        <v>100</v>
      </c>
      <c r="O1866" s="33" t="inlineStr">
        <is>
          <t>Fly</t>
        </is>
      </c>
      <c r="P1866" s="33" t="inlineStr">
        <is>
          <t>100 Fly</t>
        </is>
      </c>
      <c r="Q1866" s="33" t="inlineStr">
        <is>
          <t>LCM_100_FLY</t>
        </is>
      </c>
      <c r="R1866" s="36" t="n">
        <v>54.65</v>
      </c>
      <c r="S1866" s="35">
        <f>IF(R1866="","",IF(R1866&gt;=60,INT(R1866/60)&amp;":"&amp;TEXT(MOD(R1866,60),"00.00"),TEXT(R1866,"0.00")))</f>
        <v/>
      </c>
      <c r="T1866" s="52">
        <f>IFERROR((G1866-INDEX('01_Swimmers'!$E$5:$E$22,MATCH(B1866,'01_Swimmers'!$A$5:$A$22,0)))/'00_Control'!$B$10,"")</f>
        <v/>
      </c>
      <c r="U1866" s="35">
        <f>IF(T1866="","",INT(T1866))</f>
        <v/>
      </c>
      <c r="V1866" s="33" t="inlineStr">
        <is>
          <t>NO</t>
        </is>
      </c>
      <c r="W1866" s="33" t="inlineStr">
        <is>
          <t>YES</t>
        </is>
      </c>
      <c r="X1866" s="33" t="inlineStr">
        <is>
          <t>NO</t>
        </is>
      </c>
      <c r="Y1866" s="33" t="n">
        <v>6</v>
      </c>
      <c r="Z1866" s="33" t="n">
        <v>4</v>
      </c>
      <c r="AA1866" s="33" t="inlineStr">
        <is>
          <t>2</t>
        </is>
      </c>
      <c r="AB1866" s="33" t="inlineStr">
        <is>
          <t>https://www.swimcloud.com/results/273006/event/21/?id=103905662#time103905662</t>
        </is>
      </c>
      <c r="AC1866" s="33" t="inlineStr">
        <is>
          <t>SwimCloud API v6 2026-10-08</t>
        </is>
      </c>
      <c r="AD1866" s="33" t="inlineStr">
        <is>
          <t>Lewis Clareburt|2022-01-23|LCM|100|Fly|54.65|2022 Wellington 13 &amp; O LC Champs|PRE|False</t>
        </is>
      </c>
      <c r="AE1866" s="53">
        <f>G1866+L1866/1000+ROW()/1000000000</f>
        <v/>
      </c>
      <c r="AF1866" s="35">
        <f>IF(C1866&lt;&gt;"Grayson Coulter","",COUNTIFS($C$5:$C$2991,"Grayson Coulter",$Q$5:$Q$2991,Q1866,$AE$5:$AE$2991,"&lt;="&amp;AE1866,$R$5:$R$2991,"&lt;"&amp;R1866))</f>
        <v/>
      </c>
      <c r="AG1866" s="35">
        <f>IF(OR(C1866&lt;&gt;"Grayson Coulter",G1866&lt;'00_Control'!$B$7),"",--(AF1866&lt;5))</f>
        <v/>
      </c>
      <c r="AH1866" s="35">
        <f>IF(OR(C1866&lt;&gt;"Grayson Coulter",G1866&lt;'00_Control'!$B$7),"",--(AF1866&lt;10))</f>
        <v/>
      </c>
      <c r="AI1866" s="35">
        <f>IF(AND(C1866="Grayson Coulter",G1866&gt;='00_Control'!$B$7),"YES","NO")</f>
        <v/>
      </c>
      <c r="AJ1866" s="33" t="inlineStr">
        <is>
          <t>OK</t>
        </is>
      </c>
    </row>
    <row r="1867">
      <c r="A1867" s="33" t="inlineStr">
        <is>
          <t>SM001863</t>
        </is>
      </c>
      <c r="B1867" s="33" t="inlineStr">
        <is>
          <t>SW013</t>
        </is>
      </c>
      <c r="C1867" s="33" t="inlineStr">
        <is>
          <t>Lewis Clareburt</t>
        </is>
      </c>
      <c r="D1867" s="33" t="inlineStr">
        <is>
          <t>SwimCloud</t>
        </is>
      </c>
      <c r="E1867" s="33" t="inlineStr">
        <is>
          <t>3464011</t>
        </is>
      </c>
      <c r="F1867" s="33" t="inlineStr">
        <is>
          <t>103905663</t>
        </is>
      </c>
      <c r="G1867" s="51" t="n">
        <v>44584</v>
      </c>
      <c r="H1867" s="33" t="inlineStr">
        <is>
          <t>2022 Wellington 13 &amp; O LC Champs</t>
        </is>
      </c>
      <c r="I1867" s="33" t="inlineStr">
        <is>
          <t>273006</t>
        </is>
      </c>
      <c r="J1867" s="33" t="inlineStr"/>
      <c r="K1867" s="33" t="inlineStr">
        <is>
          <t>FIN</t>
        </is>
      </c>
      <c r="L1867" s="35">
        <f>IF(K1867="FIN",3,IF(OR(K1867="SEM",K1867="SEMI"),2,IF(OR(K1867="PRE",K1867="HEAT"),1,IF(V1867="YES",4,2))))</f>
        <v/>
      </c>
      <c r="M1867" s="33" t="inlineStr">
        <is>
          <t>LCM</t>
        </is>
      </c>
      <c r="N1867" s="33" t="n">
        <v>100</v>
      </c>
      <c r="O1867" s="33" t="inlineStr">
        <is>
          <t>Fly</t>
        </is>
      </c>
      <c r="P1867" s="33" t="inlineStr">
        <is>
          <t>100 Fly</t>
        </is>
      </c>
      <c r="Q1867" s="33" t="inlineStr">
        <is>
          <t>LCM_100_FLY</t>
        </is>
      </c>
      <c r="R1867" s="36" t="n">
        <v>53.16</v>
      </c>
      <c r="S1867" s="35">
        <f>IF(R1867="","",IF(R1867&gt;=60,INT(R1867/60)&amp;":"&amp;TEXT(MOD(R1867,60),"00.00"),TEXT(R1867,"0.00")))</f>
        <v/>
      </c>
      <c r="T1867" s="52">
        <f>IFERROR((G1867-INDEX('01_Swimmers'!$E$5:$E$22,MATCH(B1867,'01_Swimmers'!$A$5:$A$22,0)))/'00_Control'!$B$10,"")</f>
        <v/>
      </c>
      <c r="U1867" s="35">
        <f>IF(T1867="","",INT(T1867))</f>
        <v/>
      </c>
      <c r="V1867" s="33" t="inlineStr">
        <is>
          <t>NO</t>
        </is>
      </c>
      <c r="W1867" s="33" t="inlineStr">
        <is>
          <t>YES</t>
        </is>
      </c>
      <c r="X1867" s="33" t="inlineStr">
        <is>
          <t>NO</t>
        </is>
      </c>
      <c r="Y1867" s="33" t="n">
        <v>5</v>
      </c>
      <c r="Z1867" s="33" t="n">
        <v>5</v>
      </c>
      <c r="AA1867" s="33" t="inlineStr">
        <is>
          <t>1</t>
        </is>
      </c>
      <c r="AB1867" s="33" t="inlineStr">
        <is>
          <t>https://www.swimcloud.com/results/273006/event/21/?id=103905663#time103905663</t>
        </is>
      </c>
      <c r="AC1867" s="33" t="inlineStr">
        <is>
          <t>SwimCloud API v6 2026-10-08</t>
        </is>
      </c>
      <c r="AD1867" s="33" t="inlineStr">
        <is>
          <t>Lewis Clareburt|2022-01-23|LCM|100|Fly|53.16|2022 Wellington 13 &amp; O LC Champs|FIN|False</t>
        </is>
      </c>
      <c r="AE1867" s="53">
        <f>G1867+L1867/1000+ROW()/1000000000</f>
        <v/>
      </c>
      <c r="AF1867" s="35">
        <f>IF(C1867&lt;&gt;"Grayson Coulter","",COUNTIFS($C$5:$C$2991,"Grayson Coulter",$Q$5:$Q$2991,Q1867,$AE$5:$AE$2991,"&lt;="&amp;AE1867,$R$5:$R$2991,"&lt;"&amp;R1867))</f>
        <v/>
      </c>
      <c r="AG1867" s="35">
        <f>IF(OR(C1867&lt;&gt;"Grayson Coulter",G1867&lt;'00_Control'!$B$7),"",--(AF1867&lt;5))</f>
        <v/>
      </c>
      <c r="AH1867" s="35">
        <f>IF(OR(C1867&lt;&gt;"Grayson Coulter",G1867&lt;'00_Control'!$B$7),"",--(AF1867&lt;10))</f>
        <v/>
      </c>
      <c r="AI1867" s="35">
        <f>IF(AND(C1867="Grayson Coulter",G1867&gt;='00_Control'!$B$7),"YES","NO")</f>
        <v/>
      </c>
      <c r="AJ1867" s="33" t="inlineStr">
        <is>
          <t>OK</t>
        </is>
      </c>
    </row>
    <row r="1868">
      <c r="A1868" s="33" t="inlineStr">
        <is>
          <t>SM001864</t>
        </is>
      </c>
      <c r="B1868" s="33" t="inlineStr">
        <is>
          <t>SW013</t>
        </is>
      </c>
      <c r="C1868" s="33" t="inlineStr">
        <is>
          <t>Lewis Clareburt</t>
        </is>
      </c>
      <c r="D1868" s="33" t="inlineStr">
        <is>
          <t>SwimCloud</t>
        </is>
      </c>
      <c r="E1868" s="33" t="inlineStr">
        <is>
          <t>3464011</t>
        </is>
      </c>
      <c r="F1868" s="33" t="inlineStr">
        <is>
          <t>67639446</t>
        </is>
      </c>
      <c r="G1868" s="51" t="n">
        <v>44736</v>
      </c>
      <c r="H1868" s="33" t="inlineStr">
        <is>
          <t>19th FINA World Championships</t>
        </is>
      </c>
      <c r="I1868" s="33" t="inlineStr">
        <is>
          <t>222377</t>
        </is>
      </c>
      <c r="J1868" s="33" t="inlineStr"/>
      <c r="K1868" s="33" t="inlineStr">
        <is>
          <t>PRE</t>
        </is>
      </c>
      <c r="L1868" s="35">
        <f>IF(K1868="FIN",3,IF(OR(K1868="SEM",K1868="SEMI"),2,IF(OR(K1868="PRE",K1868="HEAT"),1,IF(V1868="YES",4,2))))</f>
        <v/>
      </c>
      <c r="M1868" s="33" t="inlineStr">
        <is>
          <t>LCM</t>
        </is>
      </c>
      <c r="N1868" s="33" t="n">
        <v>100</v>
      </c>
      <c r="O1868" s="33" t="inlineStr">
        <is>
          <t>Free</t>
        </is>
      </c>
      <c r="P1868" s="33" t="inlineStr">
        <is>
          <t>100 Free</t>
        </is>
      </c>
      <c r="Q1868" s="33" t="inlineStr">
        <is>
          <t>LCM_100_FREE</t>
        </is>
      </c>
      <c r="R1868" s="36" t="n">
        <v>49.55</v>
      </c>
      <c r="S1868" s="35">
        <f>IF(R1868="","",IF(R1868&gt;=60,INT(R1868/60)&amp;":"&amp;TEXT(MOD(R1868,60),"00.00"),TEXT(R1868,"0.00")))</f>
        <v/>
      </c>
      <c r="T1868" s="52">
        <f>IFERROR((G1868-INDEX('01_Swimmers'!$E$5:$E$22,MATCH(B1868,'01_Swimmers'!$A$5:$A$22,0)))/'00_Control'!$B$10,"")</f>
        <v/>
      </c>
      <c r="U1868" s="35">
        <f>IF(T1868="","",INT(T1868))</f>
        <v/>
      </c>
      <c r="V1868" s="33" t="inlineStr">
        <is>
          <t>YES</t>
        </is>
      </c>
      <c r="W1868" s="33" t="inlineStr">
        <is>
          <t>YES</t>
        </is>
      </c>
      <c r="X1868" s="33" t="inlineStr">
        <is>
          <t>NO</t>
        </is>
      </c>
      <c r="Y1868" s="33" t="n">
        <v>1</v>
      </c>
      <c r="Z1868" s="33" t="n">
        <v>1</v>
      </c>
      <c r="AA1868" s="33" t="inlineStr"/>
      <c r="AB1868" s="33" t="inlineStr">
        <is>
          <t>https://www.swimcloud.com/results/222377/event/38/?id=67637652#time67637652</t>
        </is>
      </c>
      <c r="AC1868" s="33" t="inlineStr">
        <is>
          <t>SwimCloud API v6 2026-10-08</t>
        </is>
      </c>
      <c r="AD1868" s="33" t="inlineStr">
        <is>
          <t>Lewis Clareburt|2022-06-24|LCM|100|Free|49.55|19th FINA World Championships|PRE|True</t>
        </is>
      </c>
      <c r="AE1868" s="53">
        <f>G1868+L1868/1000+ROW()/1000000000</f>
        <v/>
      </c>
      <c r="AF1868" s="35">
        <f>IF(C1868&lt;&gt;"Grayson Coulter","",COUNTIFS($C$5:$C$2991,"Grayson Coulter",$Q$5:$Q$2991,Q1868,$AE$5:$AE$2991,"&lt;="&amp;AE1868,$R$5:$R$2991,"&lt;"&amp;R1868))</f>
        <v/>
      </c>
      <c r="AG1868" s="35">
        <f>IF(OR(C1868&lt;&gt;"Grayson Coulter",G1868&lt;'00_Control'!$B$7),"",--(AF1868&lt;5))</f>
        <v/>
      </c>
      <c r="AH1868" s="35">
        <f>IF(OR(C1868&lt;&gt;"Grayson Coulter",G1868&lt;'00_Control'!$B$7),"",--(AF1868&lt;10))</f>
        <v/>
      </c>
      <c r="AI1868" s="35">
        <f>IF(AND(C1868="Grayson Coulter",G1868&gt;='00_Control'!$B$7),"YES","NO")</f>
        <v/>
      </c>
      <c r="AJ1868" s="33" t="inlineStr">
        <is>
          <t>OK</t>
        </is>
      </c>
    </row>
    <row r="1869">
      <c r="A1869" s="33" t="inlineStr">
        <is>
          <t>SM001865</t>
        </is>
      </c>
      <c r="B1869" s="33" t="inlineStr">
        <is>
          <t>SW013</t>
        </is>
      </c>
      <c r="C1869" s="33" t="inlineStr">
        <is>
          <t>Lewis Clareburt</t>
        </is>
      </c>
      <c r="D1869" s="33" t="inlineStr">
        <is>
          <t>SwimCloud</t>
        </is>
      </c>
      <c r="E1869" s="33" t="inlineStr">
        <is>
          <t>3464011</t>
        </is>
      </c>
      <c r="F1869" s="33" t="inlineStr">
        <is>
          <t>104775082</t>
        </is>
      </c>
      <c r="G1869" s="51" t="n">
        <v>45130</v>
      </c>
      <c r="H1869" s="33" t="inlineStr">
        <is>
          <t>20th World Aquatics Championships</t>
        </is>
      </c>
      <c r="I1869" s="33" t="inlineStr">
        <is>
          <t>273652</t>
        </is>
      </c>
      <c r="J1869" s="33" t="inlineStr"/>
      <c r="K1869" s="33" t="inlineStr">
        <is>
          <t>PRE</t>
        </is>
      </c>
      <c r="L1869" s="35">
        <f>IF(K1869="FIN",3,IF(OR(K1869="SEM",K1869="SEMI"),2,IF(OR(K1869="PRE",K1869="HEAT"),1,IF(V1869="YES",4,2))))</f>
        <v/>
      </c>
      <c r="M1869" s="33" t="inlineStr">
        <is>
          <t>LCM</t>
        </is>
      </c>
      <c r="N1869" s="33" t="n">
        <v>100</v>
      </c>
      <c r="O1869" s="33" t="inlineStr">
        <is>
          <t>Fly</t>
        </is>
      </c>
      <c r="P1869" s="33" t="inlineStr">
        <is>
          <t>100 Fly</t>
        </is>
      </c>
      <c r="Q1869" s="33" t="inlineStr">
        <is>
          <t>LCM_100_FLY</t>
        </is>
      </c>
      <c r="R1869" s="36" t="n">
        <v>55.88</v>
      </c>
      <c r="S1869" s="35">
        <f>IF(R1869="","",IF(R1869&gt;=60,INT(R1869/60)&amp;":"&amp;TEXT(MOD(R1869,60),"00.00"),TEXT(R1869,"0.00")))</f>
        <v/>
      </c>
      <c r="T1869" s="52">
        <f>IFERROR((G1869-INDEX('01_Swimmers'!$E$5:$E$22,MATCH(B1869,'01_Swimmers'!$A$5:$A$22,0)))/'00_Control'!$B$10,"")</f>
        <v/>
      </c>
      <c r="U1869" s="35">
        <f>IF(T1869="","",INT(T1869))</f>
        <v/>
      </c>
      <c r="V1869" s="33" t="inlineStr">
        <is>
          <t>NO</t>
        </is>
      </c>
      <c r="W1869" s="33" t="inlineStr">
        <is>
          <t>YES</t>
        </is>
      </c>
      <c r="X1869" s="33" t="inlineStr">
        <is>
          <t>NO</t>
        </is>
      </c>
      <c r="Y1869" s="33" t="n">
        <v>3</v>
      </c>
      <c r="Z1869" s="33" t="n">
        <v>3</v>
      </c>
      <c r="AA1869" s="33" t="inlineStr"/>
      <c r="AB1869" s="33" t="inlineStr">
        <is>
          <t>https://www.swimcloud.com/results/273652/event/7/?id=104772384#time104772384</t>
        </is>
      </c>
      <c r="AC1869" s="33" t="inlineStr">
        <is>
          <t>SwimCloud API v6 2026-10-08</t>
        </is>
      </c>
      <c r="AD1869" s="33" t="inlineStr">
        <is>
          <t>Lewis Clareburt|2023-07-23|LCM|100|Fly|55.88|20th World Aquatics Championships|PRE|False</t>
        </is>
      </c>
      <c r="AE1869" s="53">
        <f>G1869+L1869/1000+ROW()/1000000000</f>
        <v/>
      </c>
      <c r="AF1869" s="35">
        <f>IF(C1869&lt;&gt;"Grayson Coulter","",COUNTIFS($C$5:$C$2991,"Grayson Coulter",$Q$5:$Q$2991,Q1869,$AE$5:$AE$2991,"&lt;="&amp;AE1869,$R$5:$R$2991,"&lt;"&amp;R1869))</f>
        <v/>
      </c>
      <c r="AG1869" s="35">
        <f>IF(OR(C1869&lt;&gt;"Grayson Coulter",G1869&lt;'00_Control'!$B$7),"",--(AF1869&lt;5))</f>
        <v/>
      </c>
      <c r="AH1869" s="35">
        <f>IF(OR(C1869&lt;&gt;"Grayson Coulter",G1869&lt;'00_Control'!$B$7),"",--(AF1869&lt;10))</f>
        <v/>
      </c>
      <c r="AI1869" s="35">
        <f>IF(AND(C1869="Grayson Coulter",G1869&gt;='00_Control'!$B$7),"YES","NO")</f>
        <v/>
      </c>
      <c r="AJ1869" s="33" t="inlineStr">
        <is>
          <t>OK</t>
        </is>
      </c>
    </row>
    <row r="1870">
      <c r="A1870" s="33" t="inlineStr">
        <is>
          <t>SM001866</t>
        </is>
      </c>
      <c r="B1870" s="33" t="inlineStr">
        <is>
          <t>SW013</t>
        </is>
      </c>
      <c r="C1870" s="33" t="inlineStr">
        <is>
          <t>Lewis Clareburt</t>
        </is>
      </c>
      <c r="D1870" s="33" t="inlineStr">
        <is>
          <t>SwimCloud</t>
        </is>
      </c>
      <c r="E1870" s="33" t="inlineStr">
        <is>
          <t>3464011</t>
        </is>
      </c>
      <c r="F1870" s="33" t="inlineStr">
        <is>
          <t>104775084</t>
        </is>
      </c>
      <c r="G1870" s="51" t="n">
        <v>45130</v>
      </c>
      <c r="H1870" s="33" t="inlineStr">
        <is>
          <t>20th World Aquatics Championships</t>
        </is>
      </c>
      <c r="I1870" s="33" t="inlineStr">
        <is>
          <t>273652</t>
        </is>
      </c>
      <c r="J1870" s="33" t="inlineStr"/>
      <c r="K1870" s="33" t="inlineStr">
        <is>
          <t>FIN</t>
        </is>
      </c>
      <c r="L1870" s="35">
        <f>IF(K1870="FIN",3,IF(OR(K1870="SEM",K1870="SEMI"),2,IF(OR(K1870="PRE",K1870="HEAT"),1,IF(V1870="YES",4,2))))</f>
        <v/>
      </c>
      <c r="M1870" s="33" t="inlineStr">
        <is>
          <t>LCM</t>
        </is>
      </c>
      <c r="N1870" s="33" t="n">
        <v>100</v>
      </c>
      <c r="O1870" s="33" t="inlineStr">
        <is>
          <t>Fly</t>
        </is>
      </c>
      <c r="P1870" s="33" t="inlineStr">
        <is>
          <t>100 Fly</t>
        </is>
      </c>
      <c r="Q1870" s="33" t="inlineStr">
        <is>
          <t>LCM_100_FLY</t>
        </is>
      </c>
      <c r="R1870" s="36" t="n">
        <v>56.01</v>
      </c>
      <c r="S1870" s="35">
        <f>IF(R1870="","",IF(R1870&gt;=60,INT(R1870/60)&amp;":"&amp;TEXT(MOD(R1870,60),"00.00"),TEXT(R1870,"0.00")))</f>
        <v/>
      </c>
      <c r="T1870" s="52">
        <f>IFERROR((G1870-INDEX('01_Swimmers'!$E$5:$E$22,MATCH(B1870,'01_Swimmers'!$A$5:$A$22,0)))/'00_Control'!$B$10,"")</f>
        <v/>
      </c>
      <c r="U1870" s="35">
        <f>IF(T1870="","",INT(T1870))</f>
        <v/>
      </c>
      <c r="V1870" s="33" t="inlineStr">
        <is>
          <t>NO</t>
        </is>
      </c>
      <c r="W1870" s="33" t="inlineStr">
        <is>
          <t>YES</t>
        </is>
      </c>
      <c r="X1870" s="33" t="inlineStr">
        <is>
          <t>NO</t>
        </is>
      </c>
      <c r="Y1870" s="33" t="n">
        <v>1</v>
      </c>
      <c r="Z1870" s="33" t="n">
        <v>8</v>
      </c>
      <c r="AA1870" s="33" t="inlineStr"/>
      <c r="AB1870" s="33" t="inlineStr">
        <is>
          <t>https://www.swimcloud.com/results/273652/event/7/?id=104772383#time104772383</t>
        </is>
      </c>
      <c r="AC1870" s="33" t="inlineStr">
        <is>
          <t>SwimCloud API v6 2026-10-08</t>
        </is>
      </c>
      <c r="AD1870" s="33" t="inlineStr">
        <is>
          <t>Lewis Clareburt|2023-07-23|LCM|100|Fly|56.01|20th World Aquatics Championships|FIN|False</t>
        </is>
      </c>
      <c r="AE1870" s="53">
        <f>G1870+L1870/1000+ROW()/1000000000</f>
        <v/>
      </c>
      <c r="AF1870" s="35">
        <f>IF(C1870&lt;&gt;"Grayson Coulter","",COUNTIFS($C$5:$C$2991,"Grayson Coulter",$Q$5:$Q$2991,Q1870,$AE$5:$AE$2991,"&lt;="&amp;AE1870,$R$5:$R$2991,"&lt;"&amp;R1870))</f>
        <v/>
      </c>
      <c r="AG1870" s="35">
        <f>IF(OR(C1870&lt;&gt;"Grayson Coulter",G1870&lt;'00_Control'!$B$7),"",--(AF1870&lt;5))</f>
        <v/>
      </c>
      <c r="AH1870" s="35">
        <f>IF(OR(C1870&lt;&gt;"Grayson Coulter",G1870&lt;'00_Control'!$B$7),"",--(AF1870&lt;10))</f>
        <v/>
      </c>
      <c r="AI1870" s="35">
        <f>IF(AND(C1870="Grayson Coulter",G1870&gt;='00_Control'!$B$7),"YES","NO")</f>
        <v/>
      </c>
      <c r="AJ1870" s="33" t="inlineStr">
        <is>
          <t>OK</t>
        </is>
      </c>
    </row>
    <row r="1871">
      <c r="A1871" s="33" t="inlineStr">
        <is>
          <t>SM001867</t>
        </is>
      </c>
      <c r="B1871" s="33" t="inlineStr">
        <is>
          <t>SW013</t>
        </is>
      </c>
      <c r="C1871" s="33" t="inlineStr">
        <is>
          <t>Lewis Clareburt</t>
        </is>
      </c>
      <c r="D1871" s="33" t="inlineStr">
        <is>
          <t>SwimCloud</t>
        </is>
      </c>
      <c r="E1871" s="33" t="inlineStr">
        <is>
          <t>3464011</t>
        </is>
      </c>
      <c r="F1871" s="33" t="inlineStr">
        <is>
          <t>104772378</t>
        </is>
      </c>
      <c r="G1871" s="51" t="n">
        <v>45135</v>
      </c>
      <c r="H1871" s="33" t="inlineStr">
        <is>
          <t>20th World Aquatics Championships</t>
        </is>
      </c>
      <c r="I1871" s="33" t="inlineStr">
        <is>
          <t>273652</t>
        </is>
      </c>
      <c r="J1871" s="33" t="inlineStr"/>
      <c r="K1871" s="33" t="inlineStr">
        <is>
          <t>PRE</t>
        </is>
      </c>
      <c r="L1871" s="35">
        <f>IF(K1871="FIN",3,IF(OR(K1871="SEM",K1871="SEMI"),2,IF(OR(K1871="PRE",K1871="HEAT"),1,IF(V1871="YES",4,2))))</f>
        <v/>
      </c>
      <c r="M1871" s="33" t="inlineStr">
        <is>
          <t>LCM</t>
        </is>
      </c>
      <c r="N1871" s="33" t="n">
        <v>100</v>
      </c>
      <c r="O1871" s="33" t="inlineStr">
        <is>
          <t>Fly</t>
        </is>
      </c>
      <c r="P1871" s="33" t="inlineStr">
        <is>
          <t>100 Fly</t>
        </is>
      </c>
      <c r="Q1871" s="33" t="inlineStr">
        <is>
          <t>LCM_100_FLY</t>
        </is>
      </c>
      <c r="R1871" s="36" t="n">
        <v>52.89</v>
      </c>
      <c r="S1871" s="35">
        <f>IF(R1871="","",IF(R1871&gt;=60,INT(R1871/60)&amp;":"&amp;TEXT(MOD(R1871,60),"00.00"),TEXT(R1871,"0.00")))</f>
        <v/>
      </c>
      <c r="T1871" s="52">
        <f>IFERROR((G1871-INDEX('01_Swimmers'!$E$5:$E$22,MATCH(B1871,'01_Swimmers'!$A$5:$A$22,0)))/'00_Control'!$B$10,"")</f>
        <v/>
      </c>
      <c r="U1871" s="35">
        <f>IF(T1871="","",INT(T1871))</f>
        <v/>
      </c>
      <c r="V1871" s="33" t="inlineStr">
        <is>
          <t>NO</t>
        </is>
      </c>
      <c r="W1871" s="33" t="inlineStr">
        <is>
          <t>YES</t>
        </is>
      </c>
      <c r="X1871" s="33" t="inlineStr">
        <is>
          <t>NO</t>
        </is>
      </c>
      <c r="Y1871" s="33" t="n">
        <v>5</v>
      </c>
      <c r="Z1871" s="33" t="n">
        <v>2</v>
      </c>
      <c r="AA1871" s="33" t="inlineStr">
        <is>
          <t>33</t>
        </is>
      </c>
      <c r="AB1871" s="33" t="inlineStr">
        <is>
          <t>https://www.swimcloud.com/results/273652/event/29/?id=104772378#time104772378</t>
        </is>
      </c>
      <c r="AC1871" s="33" t="inlineStr">
        <is>
          <t>SwimCloud API v6 2026-10-08</t>
        </is>
      </c>
      <c r="AD1871" s="33" t="inlineStr">
        <is>
          <t>Lewis Clareburt|2023-07-28|LCM|100|Fly|52.89|20th World Aquatics Championships|PRE|False</t>
        </is>
      </c>
      <c r="AE1871" s="53">
        <f>G1871+L1871/1000+ROW()/1000000000</f>
        <v/>
      </c>
      <c r="AF1871" s="35">
        <f>IF(C1871&lt;&gt;"Grayson Coulter","",COUNTIFS($C$5:$C$2991,"Grayson Coulter",$Q$5:$Q$2991,Q1871,$AE$5:$AE$2991,"&lt;="&amp;AE1871,$R$5:$R$2991,"&lt;"&amp;R1871))</f>
        <v/>
      </c>
      <c r="AG1871" s="35">
        <f>IF(OR(C1871&lt;&gt;"Grayson Coulter",G1871&lt;'00_Control'!$B$7),"",--(AF1871&lt;5))</f>
        <v/>
      </c>
      <c r="AH1871" s="35">
        <f>IF(OR(C1871&lt;&gt;"Grayson Coulter",G1871&lt;'00_Control'!$B$7),"",--(AF1871&lt;10))</f>
        <v/>
      </c>
      <c r="AI1871" s="35">
        <f>IF(AND(C1871="Grayson Coulter",G1871&gt;='00_Control'!$B$7),"YES","NO")</f>
        <v/>
      </c>
      <c r="AJ1871" s="33" t="inlineStr">
        <is>
          <t>OK</t>
        </is>
      </c>
    </row>
    <row r="1872">
      <c r="A1872" s="33" t="inlineStr">
        <is>
          <t>SM001868</t>
        </is>
      </c>
      <c r="B1872" s="33" t="inlineStr">
        <is>
          <t>SW013</t>
        </is>
      </c>
      <c r="C1872" s="33" t="inlineStr">
        <is>
          <t>Lewis Clareburt</t>
        </is>
      </c>
      <c r="D1872" s="33" t="inlineStr">
        <is>
          <t>SwimCloud</t>
        </is>
      </c>
      <c r="E1872" s="33" t="inlineStr">
        <is>
          <t>3464011</t>
        </is>
      </c>
      <c r="F1872" s="33" t="inlineStr">
        <is>
          <t>125070808</t>
        </is>
      </c>
      <c r="G1872" s="51" t="n">
        <v>45311</v>
      </c>
      <c r="H1872" s="33" t="inlineStr">
        <is>
          <t>2024 Anthony Mosse Classic</t>
        </is>
      </c>
      <c r="I1872" s="33" t="inlineStr">
        <is>
          <t>302673</t>
        </is>
      </c>
      <c r="J1872" s="33" t="inlineStr"/>
      <c r="K1872" s="33" t="inlineStr">
        <is>
          <t>TIM</t>
        </is>
      </c>
      <c r="L1872" s="35">
        <f>IF(K1872="FIN",3,IF(OR(K1872="SEM",K1872="SEMI"),2,IF(OR(K1872="PRE",K1872="HEAT"),1,IF(V1872="YES",4,2))))</f>
        <v/>
      </c>
      <c r="M1872" s="33" t="inlineStr">
        <is>
          <t>LCM</t>
        </is>
      </c>
      <c r="N1872" s="33" t="n">
        <v>100</v>
      </c>
      <c r="O1872" s="33" t="inlineStr">
        <is>
          <t>Fly</t>
        </is>
      </c>
      <c r="P1872" s="33" t="inlineStr">
        <is>
          <t>100 Fly</t>
        </is>
      </c>
      <c r="Q1872" s="33" t="inlineStr">
        <is>
          <t>LCM_100_FLY</t>
        </is>
      </c>
      <c r="R1872" s="36" t="n">
        <v>57.12</v>
      </c>
      <c r="S1872" s="35">
        <f>IF(R1872="","",IF(R1872&gt;=60,INT(R1872/60)&amp;":"&amp;TEXT(MOD(R1872,60),"00.00"),TEXT(R1872,"0.00")))</f>
        <v/>
      </c>
      <c r="T1872" s="52">
        <f>IFERROR((G1872-INDEX('01_Swimmers'!$E$5:$E$22,MATCH(B1872,'01_Swimmers'!$A$5:$A$22,0)))/'00_Control'!$B$10,"")</f>
        <v/>
      </c>
      <c r="U1872" s="35">
        <f>IF(T1872="","",INT(T1872))</f>
        <v/>
      </c>
      <c r="V1872" s="33" t="inlineStr">
        <is>
          <t>NO</t>
        </is>
      </c>
      <c r="W1872" s="33" t="inlineStr">
        <is>
          <t>YES</t>
        </is>
      </c>
      <c r="X1872" s="33" t="inlineStr">
        <is>
          <t>NO</t>
        </is>
      </c>
      <c r="Y1872" s="33" t="n">
        <v>3</v>
      </c>
      <c r="Z1872" s="33" t="n">
        <v>4</v>
      </c>
      <c r="AA1872" s="33" t="inlineStr"/>
      <c r="AB1872" s="33" t="inlineStr">
        <is>
          <t>https://www.swimcloud.com/results/302673/event/15/?id=125068048#time125068048</t>
        </is>
      </c>
      <c r="AC1872" s="33" t="inlineStr">
        <is>
          <t>SwimCloud API v6 2026-10-08</t>
        </is>
      </c>
      <c r="AD1872" s="33" t="inlineStr">
        <is>
          <t>Lewis Clareburt|2024-01-20|LCM|100|Fly|57.12|2024 Anthony Mosse Classic|TIM|False</t>
        </is>
      </c>
      <c r="AE1872" s="53">
        <f>G1872+L1872/1000+ROW()/1000000000</f>
        <v/>
      </c>
      <c r="AF1872" s="35">
        <f>IF(C1872&lt;&gt;"Grayson Coulter","",COUNTIFS($C$5:$C$2991,"Grayson Coulter",$Q$5:$Q$2991,Q1872,$AE$5:$AE$2991,"&lt;="&amp;AE1872,$R$5:$R$2991,"&lt;"&amp;R1872))</f>
        <v/>
      </c>
      <c r="AG1872" s="35">
        <f>IF(OR(C1872&lt;&gt;"Grayson Coulter",G1872&lt;'00_Control'!$B$7),"",--(AF1872&lt;5))</f>
        <v/>
      </c>
      <c r="AH1872" s="35">
        <f>IF(OR(C1872&lt;&gt;"Grayson Coulter",G1872&lt;'00_Control'!$B$7),"",--(AF1872&lt;10))</f>
        <v/>
      </c>
      <c r="AI1872" s="35">
        <f>IF(AND(C1872="Grayson Coulter",G1872&gt;='00_Control'!$B$7),"YES","NO")</f>
        <v/>
      </c>
      <c r="AJ1872" s="33" t="inlineStr">
        <is>
          <t>OK</t>
        </is>
      </c>
    </row>
    <row r="1873">
      <c r="A1873" s="33" t="inlineStr">
        <is>
          <t>SM001869</t>
        </is>
      </c>
      <c r="B1873" s="33" t="inlineStr">
        <is>
          <t>SW013</t>
        </is>
      </c>
      <c r="C1873" s="33" t="inlineStr">
        <is>
          <t>Lewis Clareburt</t>
        </is>
      </c>
      <c r="D1873" s="33" t="inlineStr">
        <is>
          <t>SwimCloud</t>
        </is>
      </c>
      <c r="E1873" s="33" t="inlineStr">
        <is>
          <t>3464011</t>
        </is>
      </c>
      <c r="F1873" s="33" t="inlineStr">
        <is>
          <t>120043182</t>
        </is>
      </c>
      <c r="G1873" s="51" t="n">
        <v>45340</v>
      </c>
      <c r="H1873" s="33" t="inlineStr">
        <is>
          <t>21st World Aquatics Championships</t>
        </is>
      </c>
      <c r="I1873" s="33" t="inlineStr">
        <is>
          <t>297318</t>
        </is>
      </c>
      <c r="J1873" s="33" t="inlineStr"/>
      <c r="K1873" s="33" t="inlineStr">
        <is>
          <t>PRE</t>
        </is>
      </c>
      <c r="L1873" s="35">
        <f>IF(K1873="FIN",3,IF(OR(K1873="SEM",K1873="SEMI"),2,IF(OR(K1873="PRE",K1873="HEAT"),1,IF(V1873="YES",4,2))))</f>
        <v/>
      </c>
      <c r="M1873" s="33" t="inlineStr">
        <is>
          <t>LCM</t>
        </is>
      </c>
      <c r="N1873" s="33" t="n">
        <v>100</v>
      </c>
      <c r="O1873" s="33" t="inlineStr">
        <is>
          <t>Fly</t>
        </is>
      </c>
      <c r="P1873" s="33" t="inlineStr">
        <is>
          <t>100 Fly</t>
        </is>
      </c>
      <c r="Q1873" s="33" t="inlineStr">
        <is>
          <t>LCM_100_FLY</t>
        </is>
      </c>
      <c r="R1873" s="36" t="n">
        <v>56.91</v>
      </c>
      <c r="S1873" s="35">
        <f>IF(R1873="","",IF(R1873&gt;=60,INT(R1873/60)&amp;":"&amp;TEXT(MOD(R1873,60),"00.00"),TEXT(R1873,"0.00")))</f>
        <v/>
      </c>
      <c r="T1873" s="52">
        <f>IFERROR((G1873-INDEX('01_Swimmers'!$E$5:$E$22,MATCH(B1873,'01_Swimmers'!$A$5:$A$22,0)))/'00_Control'!$B$10,"")</f>
        <v/>
      </c>
      <c r="U1873" s="35">
        <f>IF(T1873="","",INT(T1873))</f>
        <v/>
      </c>
      <c r="V1873" s="33" t="inlineStr">
        <is>
          <t>NO</t>
        </is>
      </c>
      <c r="W1873" s="33" t="inlineStr">
        <is>
          <t>YES</t>
        </is>
      </c>
      <c r="X1873" s="33" t="inlineStr">
        <is>
          <t>NO</t>
        </is>
      </c>
      <c r="Y1873" s="33" t="n">
        <v>3</v>
      </c>
      <c r="Z1873" s="33" t="n">
        <v>3</v>
      </c>
      <c r="AA1873" s="33" t="inlineStr"/>
      <c r="AB1873" s="33" t="inlineStr">
        <is>
          <t>https://www.swimcloud.com/results/297318/event/39/?id=120040588#time120040588</t>
        </is>
      </c>
      <c r="AC1873" s="33" t="inlineStr">
        <is>
          <t>SwimCloud API v6 2026-10-08</t>
        </is>
      </c>
      <c r="AD1873" s="33" t="inlineStr">
        <is>
          <t>Lewis Clareburt|2024-02-18|LCM|100|Fly|56.91|21st World Aquatics Championships|PRE|False</t>
        </is>
      </c>
      <c r="AE1873" s="53">
        <f>G1873+L1873/1000+ROW()/1000000000</f>
        <v/>
      </c>
      <c r="AF1873" s="35">
        <f>IF(C1873&lt;&gt;"Grayson Coulter","",COUNTIFS($C$5:$C$2991,"Grayson Coulter",$Q$5:$Q$2991,Q1873,$AE$5:$AE$2991,"&lt;="&amp;AE1873,$R$5:$R$2991,"&lt;"&amp;R1873))</f>
        <v/>
      </c>
      <c r="AG1873" s="35">
        <f>IF(OR(C1873&lt;&gt;"Grayson Coulter",G1873&lt;'00_Control'!$B$7),"",--(AF1873&lt;5))</f>
        <v/>
      </c>
      <c r="AH1873" s="35">
        <f>IF(OR(C1873&lt;&gt;"Grayson Coulter",G1873&lt;'00_Control'!$B$7),"",--(AF1873&lt;10))</f>
        <v/>
      </c>
      <c r="AI1873" s="35">
        <f>IF(AND(C1873="Grayson Coulter",G1873&gt;='00_Control'!$B$7),"YES","NO")</f>
        <v/>
      </c>
      <c r="AJ1873" s="33" t="inlineStr">
        <is>
          <t>OK</t>
        </is>
      </c>
    </row>
    <row r="1874">
      <c r="A1874" s="33" t="inlineStr">
        <is>
          <t>SM001870</t>
        </is>
      </c>
      <c r="B1874" s="33" t="inlineStr">
        <is>
          <t>SW013</t>
        </is>
      </c>
      <c r="C1874" s="33" t="inlineStr">
        <is>
          <t>Lewis Clareburt</t>
        </is>
      </c>
      <c r="D1874" s="33" t="inlineStr">
        <is>
          <t>SwimCloud</t>
        </is>
      </c>
      <c r="E1874" s="33" t="inlineStr">
        <is>
          <t>3464011</t>
        </is>
      </c>
      <c r="F1874" s="33" t="inlineStr">
        <is>
          <t>120043179</t>
        </is>
      </c>
      <c r="G1874" s="51" t="n">
        <v>45340</v>
      </c>
      <c r="H1874" s="33" t="inlineStr">
        <is>
          <t>21st World Aquatics Championships</t>
        </is>
      </c>
      <c r="I1874" s="33" t="inlineStr">
        <is>
          <t>297318</t>
        </is>
      </c>
      <c r="J1874" s="33" t="inlineStr"/>
      <c r="K1874" s="33" t="inlineStr">
        <is>
          <t>FIN</t>
        </is>
      </c>
      <c r="L1874" s="35">
        <f>IF(K1874="FIN",3,IF(OR(K1874="SEM",K1874="SEMI"),2,IF(OR(K1874="PRE",K1874="HEAT"),1,IF(V1874="YES",4,2))))</f>
        <v/>
      </c>
      <c r="M1874" s="33" t="inlineStr">
        <is>
          <t>LCM</t>
        </is>
      </c>
      <c r="N1874" s="33" t="n">
        <v>100</v>
      </c>
      <c r="O1874" s="33" t="inlineStr">
        <is>
          <t>Fly</t>
        </is>
      </c>
      <c r="P1874" s="33" t="inlineStr">
        <is>
          <t>100 Fly</t>
        </is>
      </c>
      <c r="Q1874" s="33" t="inlineStr">
        <is>
          <t>LCM_100_FLY</t>
        </is>
      </c>
      <c r="R1874" s="36" t="n">
        <v>56.48</v>
      </c>
      <c r="S1874" s="35">
        <f>IF(R1874="","",IF(R1874&gt;=60,INT(R1874/60)&amp;":"&amp;TEXT(MOD(R1874,60),"00.00"),TEXT(R1874,"0.00")))</f>
        <v/>
      </c>
      <c r="T1874" s="52">
        <f>IFERROR((G1874-INDEX('01_Swimmers'!$E$5:$E$22,MATCH(B1874,'01_Swimmers'!$A$5:$A$22,0)))/'00_Control'!$B$10,"")</f>
        <v/>
      </c>
      <c r="U1874" s="35">
        <f>IF(T1874="","",INT(T1874))</f>
        <v/>
      </c>
      <c r="V1874" s="33" t="inlineStr">
        <is>
          <t>NO</t>
        </is>
      </c>
      <c r="W1874" s="33" t="inlineStr">
        <is>
          <t>YES</t>
        </is>
      </c>
      <c r="X1874" s="33" t="inlineStr">
        <is>
          <t>NO</t>
        </is>
      </c>
      <c r="Y1874" s="33" t="n">
        <v>1</v>
      </c>
      <c r="Z1874" s="33" t="n">
        <v>2</v>
      </c>
      <c r="AA1874" s="33" t="inlineStr"/>
      <c r="AB1874" s="33" t="inlineStr">
        <is>
          <t>https://www.swimcloud.com/results/297318/event/39/?id=120040587#time120040587</t>
        </is>
      </c>
      <c r="AC1874" s="33" t="inlineStr">
        <is>
          <t>SwimCloud API v6 2026-10-08</t>
        </is>
      </c>
      <c r="AD1874" s="33" t="inlineStr">
        <is>
          <t>Lewis Clareburt|2024-02-18|LCM|100|Fly|56.48|21st World Aquatics Championships|FIN|False</t>
        </is>
      </c>
      <c r="AE1874" s="53">
        <f>G1874+L1874/1000+ROW()/1000000000</f>
        <v/>
      </c>
      <c r="AF1874" s="35">
        <f>IF(C1874&lt;&gt;"Grayson Coulter","",COUNTIFS($C$5:$C$2991,"Grayson Coulter",$Q$5:$Q$2991,Q1874,$AE$5:$AE$2991,"&lt;="&amp;AE1874,$R$5:$R$2991,"&lt;"&amp;R1874))</f>
        <v/>
      </c>
      <c r="AG1874" s="35">
        <f>IF(OR(C1874&lt;&gt;"Grayson Coulter",G1874&lt;'00_Control'!$B$7),"",--(AF1874&lt;5))</f>
        <v/>
      </c>
      <c r="AH1874" s="35">
        <f>IF(OR(C1874&lt;&gt;"Grayson Coulter",G1874&lt;'00_Control'!$B$7),"",--(AF1874&lt;10))</f>
        <v/>
      </c>
      <c r="AI1874" s="35">
        <f>IF(AND(C1874="Grayson Coulter",G1874&gt;='00_Control'!$B$7),"YES","NO")</f>
        <v/>
      </c>
      <c r="AJ1874" s="33" t="inlineStr">
        <is>
          <t>OK</t>
        </is>
      </c>
    </row>
    <row r="1875">
      <c r="A1875" s="33" t="inlineStr">
        <is>
          <t>SM001871</t>
        </is>
      </c>
      <c r="B1875" s="33" t="inlineStr">
        <is>
          <t>SW013</t>
        </is>
      </c>
      <c r="C1875" s="33" t="inlineStr">
        <is>
          <t>Lewis Clareburt</t>
        </is>
      </c>
      <c r="D1875" s="33" t="inlineStr">
        <is>
          <t>SwimCloud</t>
        </is>
      </c>
      <c r="E1875" s="33" t="inlineStr">
        <is>
          <t>3464011</t>
        </is>
      </c>
      <c r="F1875" s="33" t="inlineStr">
        <is>
          <t>124829744</t>
        </is>
      </c>
      <c r="G1875" s="51" t="n">
        <v>45392</v>
      </c>
      <c r="H1875" s="33" t="inlineStr">
        <is>
          <t>Apollo Projects New Zealand Championships</t>
        </is>
      </c>
      <c r="I1875" s="33" t="inlineStr">
        <is>
          <t>302030</t>
        </is>
      </c>
      <c r="J1875" s="33" t="inlineStr"/>
      <c r="K1875" s="33" t="inlineStr">
        <is>
          <t>PRE</t>
        </is>
      </c>
      <c r="L1875" s="35">
        <f>IF(K1875="FIN",3,IF(OR(K1875="SEM",K1875="SEMI"),2,IF(OR(K1875="PRE",K1875="HEAT"),1,IF(V1875="YES",4,2))))</f>
        <v/>
      </c>
      <c r="M1875" s="33" t="inlineStr">
        <is>
          <t>LCM</t>
        </is>
      </c>
      <c r="N1875" s="33" t="n">
        <v>200</v>
      </c>
      <c r="O1875" s="33" t="inlineStr">
        <is>
          <t>Free</t>
        </is>
      </c>
      <c r="P1875" s="33" t="inlineStr">
        <is>
          <t>200 Free</t>
        </is>
      </c>
      <c r="Q1875" s="33" t="inlineStr">
        <is>
          <t>LCM_200_FREE</t>
        </is>
      </c>
      <c r="R1875" s="36" t="n">
        <v>108.15</v>
      </c>
      <c r="S1875" s="35">
        <f>IF(R1875="","",IF(R1875&gt;=60,INT(R1875/60)&amp;":"&amp;TEXT(MOD(R1875,60),"00.00"),TEXT(R1875,"0.00")))</f>
        <v/>
      </c>
      <c r="T1875" s="52">
        <f>IFERROR((G1875-INDEX('01_Swimmers'!$E$5:$E$22,MATCH(B1875,'01_Swimmers'!$A$5:$A$22,0)))/'00_Control'!$B$10,"")</f>
        <v/>
      </c>
      <c r="U1875" s="35">
        <f>IF(T1875="","",INT(T1875))</f>
        <v/>
      </c>
      <c r="V1875" s="33" t="inlineStr">
        <is>
          <t>NO</t>
        </is>
      </c>
      <c r="W1875" s="33" t="inlineStr">
        <is>
          <t>YES</t>
        </is>
      </c>
      <c r="X1875" s="33" t="inlineStr">
        <is>
          <t>NO</t>
        </is>
      </c>
      <c r="Y1875" s="33" t="n"/>
      <c r="Z1875" s="33" t="n"/>
      <c r="AA1875" s="33" t="inlineStr">
        <is>
          <t>1</t>
        </is>
      </c>
      <c r="AB1875" s="33" t="inlineStr">
        <is>
          <t>https://www.swimcloud.com/results/302030/event/11/?id=124829744#time124829744</t>
        </is>
      </c>
      <c r="AC1875" s="33" t="inlineStr">
        <is>
          <t>SwimCloud API v6 2026-10-08</t>
        </is>
      </c>
      <c r="AD1875" s="33" t="inlineStr">
        <is>
          <t>Lewis Clareburt|2024-04-10|LCM|200|Free|108.15|Apollo Projects New Zealand Championships|PRE|False</t>
        </is>
      </c>
      <c r="AE1875" s="53">
        <f>G1875+L1875/1000+ROW()/1000000000</f>
        <v/>
      </c>
      <c r="AF1875" s="35">
        <f>IF(C1875&lt;&gt;"Grayson Coulter","",COUNTIFS($C$5:$C$2991,"Grayson Coulter",$Q$5:$Q$2991,Q1875,$AE$5:$AE$2991,"&lt;="&amp;AE1875,$R$5:$R$2991,"&lt;"&amp;R1875))</f>
        <v/>
      </c>
      <c r="AG1875" s="35">
        <f>IF(OR(C1875&lt;&gt;"Grayson Coulter",G1875&lt;'00_Control'!$B$7),"",--(AF1875&lt;5))</f>
        <v/>
      </c>
      <c r="AH1875" s="35">
        <f>IF(OR(C1875&lt;&gt;"Grayson Coulter",G1875&lt;'00_Control'!$B$7),"",--(AF1875&lt;10))</f>
        <v/>
      </c>
      <c r="AI1875" s="35">
        <f>IF(AND(C1875="Grayson Coulter",G1875&gt;='00_Control'!$B$7),"YES","NO")</f>
        <v/>
      </c>
      <c r="AJ1875" s="33" t="inlineStr">
        <is>
          <t>OK</t>
        </is>
      </c>
    </row>
    <row r="1876">
      <c r="A1876" s="33" t="inlineStr">
        <is>
          <t>SM001872</t>
        </is>
      </c>
      <c r="B1876" s="33" t="inlineStr">
        <is>
          <t>SW013</t>
        </is>
      </c>
      <c r="C1876" s="33" t="inlineStr">
        <is>
          <t>Lewis Clareburt</t>
        </is>
      </c>
      <c r="D1876" s="33" t="inlineStr">
        <is>
          <t>SwimCloud</t>
        </is>
      </c>
      <c r="E1876" s="33" t="inlineStr">
        <is>
          <t>3464011</t>
        </is>
      </c>
      <c r="F1876" s="33" t="inlineStr">
        <is>
          <t>124829750</t>
        </is>
      </c>
      <c r="G1876" s="51" t="n">
        <v>45392</v>
      </c>
      <c r="H1876" s="33" t="inlineStr">
        <is>
          <t>Apollo Projects New Zealand Championships</t>
        </is>
      </c>
      <c r="I1876" s="33" t="inlineStr">
        <is>
          <t>302030</t>
        </is>
      </c>
      <c r="J1876" s="33" t="inlineStr"/>
      <c r="K1876" s="33" t="inlineStr">
        <is>
          <t>FIN</t>
        </is>
      </c>
      <c r="L1876" s="35">
        <f>IF(K1876="FIN",3,IF(OR(K1876="SEM",K1876="SEMI"),2,IF(OR(K1876="PRE",K1876="HEAT"),1,IF(V1876="YES",4,2))))</f>
        <v/>
      </c>
      <c r="M1876" s="33" t="inlineStr">
        <is>
          <t>LCM</t>
        </is>
      </c>
      <c r="N1876" s="33" t="n">
        <v>200</v>
      </c>
      <c r="O1876" s="33" t="inlineStr">
        <is>
          <t>Free</t>
        </is>
      </c>
      <c r="P1876" s="33" t="inlineStr">
        <is>
          <t>200 Free</t>
        </is>
      </c>
      <c r="Q1876" s="33" t="inlineStr">
        <is>
          <t>LCM_200_FREE</t>
        </is>
      </c>
      <c r="R1876" s="36" t="n">
        <v>107.18</v>
      </c>
      <c r="S1876" s="35">
        <f>IF(R1876="","",IF(R1876&gt;=60,INT(R1876/60)&amp;":"&amp;TEXT(MOD(R1876,60),"00.00"),TEXT(R1876,"0.00")))</f>
        <v/>
      </c>
      <c r="T1876" s="52">
        <f>IFERROR((G1876-INDEX('01_Swimmers'!$E$5:$E$22,MATCH(B1876,'01_Swimmers'!$A$5:$A$22,0)))/'00_Control'!$B$10,"")</f>
        <v/>
      </c>
      <c r="U1876" s="35">
        <f>IF(T1876="","",INT(T1876))</f>
        <v/>
      </c>
      <c r="V1876" s="33" t="inlineStr">
        <is>
          <t>NO</t>
        </is>
      </c>
      <c r="W1876" s="33" t="inlineStr">
        <is>
          <t>YES</t>
        </is>
      </c>
      <c r="X1876" s="33" t="inlineStr">
        <is>
          <t>NO</t>
        </is>
      </c>
      <c r="Y1876" s="33" t="n"/>
      <c r="Z1876" s="33" t="n"/>
      <c r="AA1876" s="33" t="inlineStr">
        <is>
          <t>1</t>
        </is>
      </c>
      <c r="AB1876" s="33" t="inlineStr">
        <is>
          <t>https://www.swimcloud.com/results/302030/event/11/?id=124829750#time124829750</t>
        </is>
      </c>
      <c r="AC1876" s="33" t="inlineStr">
        <is>
          <t>SwimCloud API v6 2026-10-08</t>
        </is>
      </c>
      <c r="AD1876" s="33" t="inlineStr">
        <is>
          <t>Lewis Clareburt|2024-04-10|LCM|200|Free|107.18|Apollo Projects New Zealand Championships|FIN|False</t>
        </is>
      </c>
      <c r="AE1876" s="53">
        <f>G1876+L1876/1000+ROW()/1000000000</f>
        <v/>
      </c>
      <c r="AF1876" s="35">
        <f>IF(C1876&lt;&gt;"Grayson Coulter","",COUNTIFS($C$5:$C$2991,"Grayson Coulter",$Q$5:$Q$2991,Q1876,$AE$5:$AE$2991,"&lt;="&amp;AE1876,$R$5:$R$2991,"&lt;"&amp;R1876))</f>
        <v/>
      </c>
      <c r="AG1876" s="35">
        <f>IF(OR(C1876&lt;&gt;"Grayson Coulter",G1876&lt;'00_Control'!$B$7),"",--(AF1876&lt;5))</f>
        <v/>
      </c>
      <c r="AH1876" s="35">
        <f>IF(OR(C1876&lt;&gt;"Grayson Coulter",G1876&lt;'00_Control'!$B$7),"",--(AF1876&lt;10))</f>
        <v/>
      </c>
      <c r="AI1876" s="35">
        <f>IF(AND(C1876="Grayson Coulter",G1876&gt;='00_Control'!$B$7),"YES","NO")</f>
        <v/>
      </c>
      <c r="AJ1876" s="33" t="inlineStr">
        <is>
          <t>OK</t>
        </is>
      </c>
    </row>
    <row r="1877">
      <c r="A1877" s="33" t="inlineStr">
        <is>
          <t>SM001873</t>
        </is>
      </c>
      <c r="B1877" s="33" t="inlineStr">
        <is>
          <t>SW013</t>
        </is>
      </c>
      <c r="C1877" s="33" t="inlineStr">
        <is>
          <t>Lewis Clareburt</t>
        </is>
      </c>
      <c r="D1877" s="33" t="inlineStr">
        <is>
          <t>SwimCloud</t>
        </is>
      </c>
      <c r="E1877" s="33" t="inlineStr">
        <is>
          <t>3464011</t>
        </is>
      </c>
      <c r="F1877" s="33" t="inlineStr">
        <is>
          <t>124829751</t>
        </is>
      </c>
      <c r="G1877" s="51" t="n">
        <v>45393</v>
      </c>
      <c r="H1877" s="33" t="inlineStr">
        <is>
          <t>Apollo Projects New Zealand Championships</t>
        </is>
      </c>
      <c r="I1877" s="33" t="inlineStr">
        <is>
          <t>302030</t>
        </is>
      </c>
      <c r="J1877" s="33" t="inlineStr"/>
      <c r="K1877" s="33" t="inlineStr">
        <is>
          <t>PRE</t>
        </is>
      </c>
      <c r="L1877" s="35">
        <f>IF(K1877="FIN",3,IF(OR(K1877="SEM",K1877="SEMI"),2,IF(OR(K1877="PRE",K1877="HEAT"),1,IF(V1877="YES",4,2))))</f>
        <v/>
      </c>
      <c r="M1877" s="33" t="inlineStr">
        <is>
          <t>LCM</t>
        </is>
      </c>
      <c r="N1877" s="33" t="n">
        <v>400</v>
      </c>
      <c r="O1877" s="33" t="inlineStr">
        <is>
          <t>Free</t>
        </is>
      </c>
      <c r="P1877" s="33" t="inlineStr">
        <is>
          <t>400 Free</t>
        </is>
      </c>
      <c r="Q1877" s="33" t="inlineStr">
        <is>
          <t>LCM_400_FREE</t>
        </is>
      </c>
      <c r="R1877" s="36" t="n">
        <v>233.83</v>
      </c>
      <c r="S1877" s="35">
        <f>IF(R1877="","",IF(R1877&gt;=60,INT(R1877/60)&amp;":"&amp;TEXT(MOD(R1877,60),"00.00"),TEXT(R1877,"0.00")))</f>
        <v/>
      </c>
      <c r="T1877" s="52">
        <f>IFERROR((G1877-INDEX('01_Swimmers'!$E$5:$E$22,MATCH(B1877,'01_Swimmers'!$A$5:$A$22,0)))/'00_Control'!$B$10,"")</f>
        <v/>
      </c>
      <c r="U1877" s="35">
        <f>IF(T1877="","",INT(T1877))</f>
        <v/>
      </c>
      <c r="V1877" s="33" t="inlineStr">
        <is>
          <t>NO</t>
        </is>
      </c>
      <c r="W1877" s="33" t="inlineStr">
        <is>
          <t>YES</t>
        </is>
      </c>
      <c r="X1877" s="33" t="inlineStr">
        <is>
          <t>NO</t>
        </is>
      </c>
      <c r="Y1877" s="33" t="n"/>
      <c r="Z1877" s="33" t="n"/>
      <c r="AA1877" s="33" t="inlineStr">
        <is>
          <t>1</t>
        </is>
      </c>
      <c r="AB1877" s="33" t="inlineStr">
        <is>
          <t>https://www.swimcloud.com/results/302030/event/16/?id=124829751#time124829751</t>
        </is>
      </c>
      <c r="AC1877" s="33" t="inlineStr">
        <is>
          <t>SwimCloud API v6 2026-10-08</t>
        </is>
      </c>
      <c r="AD1877" s="33" t="inlineStr">
        <is>
          <t>Lewis Clareburt|2024-04-11|LCM|400|Free|233.83|Apollo Projects New Zealand Championships|PRE|False</t>
        </is>
      </c>
      <c r="AE1877" s="53">
        <f>G1877+L1877/1000+ROW()/1000000000</f>
        <v/>
      </c>
      <c r="AF1877" s="35">
        <f>IF(C1877&lt;&gt;"Grayson Coulter","",COUNTIFS($C$5:$C$2991,"Grayson Coulter",$Q$5:$Q$2991,Q1877,$AE$5:$AE$2991,"&lt;="&amp;AE1877,$R$5:$R$2991,"&lt;"&amp;R1877))</f>
        <v/>
      </c>
      <c r="AG1877" s="35">
        <f>IF(OR(C1877&lt;&gt;"Grayson Coulter",G1877&lt;'00_Control'!$B$7),"",--(AF1877&lt;5))</f>
        <v/>
      </c>
      <c r="AH1877" s="35">
        <f>IF(OR(C1877&lt;&gt;"Grayson Coulter",G1877&lt;'00_Control'!$B$7),"",--(AF1877&lt;10))</f>
        <v/>
      </c>
      <c r="AI1877" s="35">
        <f>IF(AND(C1877="Grayson Coulter",G1877&gt;='00_Control'!$B$7),"YES","NO")</f>
        <v/>
      </c>
      <c r="AJ1877" s="33" t="inlineStr">
        <is>
          <t>OK</t>
        </is>
      </c>
    </row>
    <row r="1878">
      <c r="A1878" s="33" t="inlineStr">
        <is>
          <t>SM001874</t>
        </is>
      </c>
      <c r="B1878" s="33" t="inlineStr">
        <is>
          <t>SW013</t>
        </is>
      </c>
      <c r="C1878" s="33" t="inlineStr">
        <is>
          <t>Lewis Clareburt</t>
        </is>
      </c>
      <c r="D1878" s="33" t="inlineStr">
        <is>
          <t>SwimCloud</t>
        </is>
      </c>
      <c r="E1878" s="33" t="inlineStr">
        <is>
          <t>3464011</t>
        </is>
      </c>
      <c r="F1878" s="33" t="inlineStr">
        <is>
          <t>124829746</t>
        </is>
      </c>
      <c r="G1878" s="51" t="n">
        <v>45393</v>
      </c>
      <c r="H1878" s="33" t="inlineStr">
        <is>
          <t>Apollo Projects New Zealand Championships</t>
        </is>
      </c>
      <c r="I1878" s="33" t="inlineStr">
        <is>
          <t>302030</t>
        </is>
      </c>
      <c r="J1878" s="33" t="inlineStr"/>
      <c r="K1878" s="33" t="inlineStr">
        <is>
          <t>FIN</t>
        </is>
      </c>
      <c r="L1878" s="35">
        <f>IF(K1878="FIN",3,IF(OR(K1878="SEM",K1878="SEMI"),2,IF(OR(K1878="PRE",K1878="HEAT"),1,IF(V1878="YES",4,2))))</f>
        <v/>
      </c>
      <c r="M1878" s="33" t="inlineStr">
        <is>
          <t>LCM</t>
        </is>
      </c>
      <c r="N1878" s="33" t="n">
        <v>400</v>
      </c>
      <c r="O1878" s="33" t="inlineStr">
        <is>
          <t>Free</t>
        </is>
      </c>
      <c r="P1878" s="33" t="inlineStr">
        <is>
          <t>400 Free</t>
        </is>
      </c>
      <c r="Q1878" s="33" t="inlineStr">
        <is>
          <t>LCM_400_FREE</t>
        </is>
      </c>
      <c r="R1878" s="36" t="n">
        <v>226.85</v>
      </c>
      <c r="S1878" s="35">
        <f>IF(R1878="","",IF(R1878&gt;=60,INT(R1878/60)&amp;":"&amp;TEXT(MOD(R1878,60),"00.00"),TEXT(R1878,"0.00")))</f>
        <v/>
      </c>
      <c r="T1878" s="52">
        <f>IFERROR((G1878-INDEX('01_Swimmers'!$E$5:$E$22,MATCH(B1878,'01_Swimmers'!$A$5:$A$22,0)))/'00_Control'!$B$10,"")</f>
        <v/>
      </c>
      <c r="U1878" s="35">
        <f>IF(T1878="","",INT(T1878))</f>
        <v/>
      </c>
      <c r="V1878" s="33" t="inlineStr">
        <is>
          <t>NO</t>
        </is>
      </c>
      <c r="W1878" s="33" t="inlineStr">
        <is>
          <t>YES</t>
        </is>
      </c>
      <c r="X1878" s="33" t="inlineStr">
        <is>
          <t>NO</t>
        </is>
      </c>
      <c r="Y1878" s="33" t="n"/>
      <c r="Z1878" s="33" t="n"/>
      <c r="AA1878" s="33" t="inlineStr">
        <is>
          <t>1</t>
        </is>
      </c>
      <c r="AB1878" s="33" t="inlineStr">
        <is>
          <t>https://www.swimcloud.com/results/302030/event/16/?id=124829746#time124829746</t>
        </is>
      </c>
      <c r="AC1878" s="33" t="inlineStr">
        <is>
          <t>SwimCloud API v6 2026-10-08</t>
        </is>
      </c>
      <c r="AD1878" s="33" t="inlineStr">
        <is>
          <t>Lewis Clareburt|2024-04-11|LCM|400|Free|226.85|Apollo Projects New Zealand Championships|FIN|False</t>
        </is>
      </c>
      <c r="AE1878" s="53">
        <f>G1878+L1878/1000+ROW()/1000000000</f>
        <v/>
      </c>
      <c r="AF1878" s="35">
        <f>IF(C1878&lt;&gt;"Grayson Coulter","",COUNTIFS($C$5:$C$2991,"Grayson Coulter",$Q$5:$Q$2991,Q1878,$AE$5:$AE$2991,"&lt;="&amp;AE1878,$R$5:$R$2991,"&lt;"&amp;R1878))</f>
        <v/>
      </c>
      <c r="AG1878" s="35">
        <f>IF(OR(C1878&lt;&gt;"Grayson Coulter",G1878&lt;'00_Control'!$B$7),"",--(AF1878&lt;5))</f>
        <v/>
      </c>
      <c r="AH1878" s="35">
        <f>IF(OR(C1878&lt;&gt;"Grayson Coulter",G1878&lt;'00_Control'!$B$7),"",--(AF1878&lt;10))</f>
        <v/>
      </c>
      <c r="AI1878" s="35">
        <f>IF(AND(C1878="Grayson Coulter",G1878&gt;='00_Control'!$B$7),"YES","NO")</f>
        <v/>
      </c>
      <c r="AJ1878" s="33" t="inlineStr">
        <is>
          <t>OK</t>
        </is>
      </c>
    </row>
    <row r="1879">
      <c r="A1879" s="33" t="inlineStr">
        <is>
          <t>SM001875</t>
        </is>
      </c>
      <c r="B1879" s="33" t="inlineStr">
        <is>
          <t>SW013</t>
        </is>
      </c>
      <c r="C1879" s="33" t="inlineStr">
        <is>
          <t>Lewis Clareburt</t>
        </is>
      </c>
      <c r="D1879" s="33" t="inlineStr">
        <is>
          <t>SwimCloud</t>
        </is>
      </c>
      <c r="E1879" s="33" t="inlineStr">
        <is>
          <t>3464011</t>
        </is>
      </c>
      <c r="F1879" s="33" t="inlineStr">
        <is>
          <t>124867290</t>
        </is>
      </c>
      <c r="G1879" s="51" t="n">
        <v>45402</v>
      </c>
      <c r="H1879" s="33" t="inlineStr">
        <is>
          <t>Australian Open Championships</t>
        </is>
      </c>
      <c r="I1879" s="33" t="inlineStr">
        <is>
          <t>302425</t>
        </is>
      </c>
      <c r="J1879" s="33" t="inlineStr"/>
      <c r="K1879" s="33" t="inlineStr">
        <is>
          <t>FIN</t>
        </is>
      </c>
      <c r="L1879" s="35">
        <f>IF(K1879="FIN",3,IF(OR(K1879="SEM",K1879="SEMI"),2,IF(OR(K1879="PRE",K1879="HEAT"),1,IF(V1879="YES",4,2))))</f>
        <v/>
      </c>
      <c r="M1879" s="33" t="inlineStr">
        <is>
          <t>LCM</t>
        </is>
      </c>
      <c r="N1879" s="33" t="n">
        <v>100</v>
      </c>
      <c r="O1879" s="33" t="inlineStr">
        <is>
          <t>Fly</t>
        </is>
      </c>
      <c r="P1879" s="33" t="inlineStr">
        <is>
          <t>100 Fly</t>
        </is>
      </c>
      <c r="Q1879" s="33" t="inlineStr">
        <is>
          <t>LCM_100_FLY</t>
        </is>
      </c>
      <c r="R1879" s="36" t="n">
        <v>56.35</v>
      </c>
      <c r="S1879" s="35">
        <f>IF(R1879="","",IF(R1879&gt;=60,INT(R1879/60)&amp;":"&amp;TEXT(MOD(R1879,60),"00.00"),TEXT(R1879,"0.00")))</f>
        <v/>
      </c>
      <c r="T1879" s="52">
        <f>IFERROR((G1879-INDEX('01_Swimmers'!$E$5:$E$22,MATCH(B1879,'01_Swimmers'!$A$5:$A$22,0)))/'00_Control'!$B$10,"")</f>
        <v/>
      </c>
      <c r="U1879" s="35">
        <f>IF(T1879="","",INT(T1879))</f>
        <v/>
      </c>
      <c r="V1879" s="33" t="inlineStr">
        <is>
          <t>NO</t>
        </is>
      </c>
      <c r="W1879" s="33" t="inlineStr">
        <is>
          <t>YES</t>
        </is>
      </c>
      <c r="X1879" s="33" t="inlineStr">
        <is>
          <t>NO</t>
        </is>
      </c>
      <c r="Y1879" s="33" t="n">
        <v>1</v>
      </c>
      <c r="Z1879" s="33" t="n">
        <v>5</v>
      </c>
      <c r="AA1879" s="33" t="inlineStr"/>
      <c r="AB1879" s="33" t="inlineStr">
        <is>
          <t>https://www.swimcloud.com/results/302425/event/54/?id=124865820#time124865820</t>
        </is>
      </c>
      <c r="AC1879" s="33" t="inlineStr">
        <is>
          <t>SwimCloud API v6 2026-10-08</t>
        </is>
      </c>
      <c r="AD1879" s="33" t="inlineStr">
        <is>
          <t>Lewis Clareburt|2024-04-20|LCM|100|Fly|56.35|Australian Open Championships|FIN|False</t>
        </is>
      </c>
      <c r="AE1879" s="53">
        <f>G1879+L1879/1000+ROW()/1000000000</f>
        <v/>
      </c>
      <c r="AF1879" s="35">
        <f>IF(C1879&lt;&gt;"Grayson Coulter","",COUNTIFS($C$5:$C$2991,"Grayson Coulter",$Q$5:$Q$2991,Q1879,$AE$5:$AE$2991,"&lt;="&amp;AE1879,$R$5:$R$2991,"&lt;"&amp;R1879))</f>
        <v/>
      </c>
      <c r="AG1879" s="35">
        <f>IF(OR(C1879&lt;&gt;"Grayson Coulter",G1879&lt;'00_Control'!$B$7),"",--(AF1879&lt;5))</f>
        <v/>
      </c>
      <c r="AH1879" s="35">
        <f>IF(OR(C1879&lt;&gt;"Grayson Coulter",G1879&lt;'00_Control'!$B$7),"",--(AF1879&lt;10))</f>
        <v/>
      </c>
      <c r="AI1879" s="35">
        <f>IF(AND(C1879="Grayson Coulter",G1879&gt;='00_Control'!$B$7),"YES","NO")</f>
        <v/>
      </c>
      <c r="AJ1879" s="33" t="inlineStr">
        <is>
          <t>OK</t>
        </is>
      </c>
    </row>
    <row r="1880">
      <c r="A1880" s="33" t="inlineStr">
        <is>
          <t>SM001876</t>
        </is>
      </c>
      <c r="B1880" s="33" t="inlineStr">
        <is>
          <t>SW013</t>
        </is>
      </c>
      <c r="C1880" s="33" t="inlineStr">
        <is>
          <t>Lewis Clareburt</t>
        </is>
      </c>
      <c r="D1880" s="33" t="inlineStr">
        <is>
          <t>SwimCloud</t>
        </is>
      </c>
      <c r="E1880" s="33" t="inlineStr">
        <is>
          <t>3464011</t>
        </is>
      </c>
      <c r="F1880" s="33" t="inlineStr">
        <is>
          <t>127578520</t>
        </is>
      </c>
      <c r="G1880" s="51" t="n">
        <v>45438</v>
      </c>
      <c r="H1880" s="33" t="inlineStr">
        <is>
          <t>2024 Golden Homes Swimfest</t>
        </is>
      </c>
      <c r="I1880" s="33" t="inlineStr">
        <is>
          <t>305604</t>
        </is>
      </c>
      <c r="J1880" s="33" t="inlineStr"/>
      <c r="K1880" s="33" t="inlineStr">
        <is>
          <t>TIM</t>
        </is>
      </c>
      <c r="L1880" s="35">
        <f>IF(K1880="FIN",3,IF(OR(K1880="SEM",K1880="SEMI"),2,IF(OR(K1880="PRE",K1880="HEAT"),1,IF(V1880="YES",4,2))))</f>
        <v/>
      </c>
      <c r="M1880" s="33" t="inlineStr">
        <is>
          <t>LCM</t>
        </is>
      </c>
      <c r="N1880" s="33" t="n">
        <v>100</v>
      </c>
      <c r="O1880" s="33" t="inlineStr">
        <is>
          <t>Free</t>
        </is>
      </c>
      <c r="P1880" s="33" t="inlineStr">
        <is>
          <t>100 Free</t>
        </is>
      </c>
      <c r="Q1880" s="33" t="inlineStr">
        <is>
          <t>LCM_100_FREE</t>
        </is>
      </c>
      <c r="R1880" s="36" t="n">
        <v>50.53</v>
      </c>
      <c r="S1880" s="35">
        <f>IF(R1880="","",IF(R1880&gt;=60,INT(R1880/60)&amp;":"&amp;TEXT(MOD(R1880,60),"00.00"),TEXT(R1880,"0.00")))</f>
        <v/>
      </c>
      <c r="T1880" s="52">
        <f>IFERROR((G1880-INDEX('01_Swimmers'!$E$5:$E$22,MATCH(B1880,'01_Swimmers'!$A$5:$A$22,0)))/'00_Control'!$B$10,"")</f>
        <v/>
      </c>
      <c r="U1880" s="35">
        <f>IF(T1880="","",INT(T1880))</f>
        <v/>
      </c>
      <c r="V1880" s="33" t="inlineStr">
        <is>
          <t>NO</t>
        </is>
      </c>
      <c r="W1880" s="33" t="inlineStr">
        <is>
          <t>YES</t>
        </is>
      </c>
      <c r="X1880" s="33" t="inlineStr">
        <is>
          <t>NO</t>
        </is>
      </c>
      <c r="Y1880" s="33" t="n">
        <v>19</v>
      </c>
      <c r="Z1880" s="33" t="n">
        <v>4</v>
      </c>
      <c r="AA1880" s="33" t="inlineStr">
        <is>
          <t>1</t>
        </is>
      </c>
      <c r="AB1880" s="33" t="inlineStr">
        <is>
          <t>https://www.swimcloud.com/results/305604/event/38/?id=127578520#time127578520</t>
        </is>
      </c>
      <c r="AC1880" s="33" t="inlineStr">
        <is>
          <t>SwimCloud API v6 2026-10-08</t>
        </is>
      </c>
      <c r="AD1880" s="33" t="inlineStr">
        <is>
          <t>Lewis Clareburt|2024-05-26|LCM|100|Free|50.53|2024 Golden Homes Swimfest|TIM|False</t>
        </is>
      </c>
      <c r="AE1880" s="53">
        <f>G1880+L1880/1000+ROW()/1000000000</f>
        <v/>
      </c>
      <c r="AF1880" s="35">
        <f>IF(C1880&lt;&gt;"Grayson Coulter","",COUNTIFS($C$5:$C$2991,"Grayson Coulter",$Q$5:$Q$2991,Q1880,$AE$5:$AE$2991,"&lt;="&amp;AE1880,$R$5:$R$2991,"&lt;"&amp;R1880))</f>
        <v/>
      </c>
      <c r="AG1880" s="35">
        <f>IF(OR(C1880&lt;&gt;"Grayson Coulter",G1880&lt;'00_Control'!$B$7),"",--(AF1880&lt;5))</f>
        <v/>
      </c>
      <c r="AH1880" s="35">
        <f>IF(OR(C1880&lt;&gt;"Grayson Coulter",G1880&lt;'00_Control'!$B$7),"",--(AF1880&lt;10))</f>
        <v/>
      </c>
      <c r="AI1880" s="35">
        <f>IF(AND(C1880="Grayson Coulter",G1880&gt;='00_Control'!$B$7),"YES","NO")</f>
        <v/>
      </c>
      <c r="AJ1880" s="33" t="inlineStr">
        <is>
          <t>OK</t>
        </is>
      </c>
    </row>
    <row r="1881">
      <c r="A1881" s="33" t="inlineStr">
        <is>
          <t>SM001877</t>
        </is>
      </c>
      <c r="B1881" s="33" t="inlineStr">
        <is>
          <t>SW013</t>
        </is>
      </c>
      <c r="C1881" s="33" t="inlineStr">
        <is>
          <t>Lewis Clareburt</t>
        </is>
      </c>
      <c r="D1881" s="33" t="inlineStr">
        <is>
          <t>SwimCloud</t>
        </is>
      </c>
      <c r="E1881" s="33" t="inlineStr">
        <is>
          <t>3464011</t>
        </is>
      </c>
      <c r="F1881" s="33" t="inlineStr">
        <is>
          <t>130625082</t>
        </is>
      </c>
      <c r="G1881" s="51" t="n">
        <v>45500</v>
      </c>
      <c r="H1881" s="33" t="inlineStr">
        <is>
          <t>Olympic Games</t>
        </is>
      </c>
      <c r="I1881" s="33" t="inlineStr">
        <is>
          <t>2424</t>
        </is>
      </c>
      <c r="J1881" s="33" t="inlineStr"/>
      <c r="K1881" s="33" t="inlineStr">
        <is>
          <t>FIN</t>
        </is>
      </c>
      <c r="L1881" s="35">
        <f>IF(K1881="FIN",3,IF(OR(K1881="SEM",K1881="SEMI"),2,IF(OR(K1881="PRE",K1881="HEAT"),1,IF(V1881="YES",4,2))))</f>
        <v/>
      </c>
      <c r="M1881" s="33" t="inlineStr">
        <is>
          <t>LCM</t>
        </is>
      </c>
      <c r="N1881" s="33" t="n">
        <v>100</v>
      </c>
      <c r="O1881" s="33" t="inlineStr">
        <is>
          <t>Fly</t>
        </is>
      </c>
      <c r="P1881" s="33" t="inlineStr">
        <is>
          <t>100 Fly</t>
        </is>
      </c>
      <c r="Q1881" s="33" t="inlineStr">
        <is>
          <t>LCM_100_FLY</t>
        </is>
      </c>
      <c r="R1881" s="36" t="n">
        <v>56.03</v>
      </c>
      <c r="S1881" s="35">
        <f>IF(R1881="","",IF(R1881&gt;=60,INT(R1881/60)&amp;":"&amp;TEXT(MOD(R1881,60),"00.00"),TEXT(R1881,"0.00")))</f>
        <v/>
      </c>
      <c r="T1881" s="52">
        <f>IFERROR((G1881-INDEX('01_Swimmers'!$E$5:$E$22,MATCH(B1881,'01_Swimmers'!$A$5:$A$22,0)))/'00_Control'!$B$10,"")</f>
        <v/>
      </c>
      <c r="U1881" s="35">
        <f>IF(T1881="","",INT(T1881))</f>
        <v/>
      </c>
      <c r="V1881" s="33" t="inlineStr">
        <is>
          <t>NO</t>
        </is>
      </c>
      <c r="W1881" s="33" t="inlineStr">
        <is>
          <t>YES</t>
        </is>
      </c>
      <c r="X1881" s="33" t="inlineStr">
        <is>
          <t>NO</t>
        </is>
      </c>
      <c r="Y1881" s="33" t="n">
        <v>1</v>
      </c>
      <c r="Z1881" s="33" t="n">
        <v>8</v>
      </c>
      <c r="AA1881" s="33" t="inlineStr"/>
      <c r="AB1881" s="33" t="inlineStr">
        <is>
          <t>https://www.swimcloud.com/results/2424/event/504/?id=130573649#time130573649</t>
        </is>
      </c>
      <c r="AC1881" s="33" t="inlineStr">
        <is>
          <t>SwimCloud API v6 2026-10-08</t>
        </is>
      </c>
      <c r="AD1881" s="33" t="inlineStr">
        <is>
          <t>Lewis Clareburt|2024-07-27|LCM|100|Fly|56.03|Olympic Games|FIN|False</t>
        </is>
      </c>
      <c r="AE1881" s="53">
        <f>G1881+L1881/1000+ROW()/1000000000</f>
        <v/>
      </c>
      <c r="AF1881" s="35">
        <f>IF(C1881&lt;&gt;"Grayson Coulter","",COUNTIFS($C$5:$C$2991,"Grayson Coulter",$Q$5:$Q$2991,Q1881,$AE$5:$AE$2991,"&lt;="&amp;AE1881,$R$5:$R$2991,"&lt;"&amp;R1881))</f>
        <v/>
      </c>
      <c r="AG1881" s="35">
        <f>IF(OR(C1881&lt;&gt;"Grayson Coulter",G1881&lt;'00_Control'!$B$7),"",--(AF1881&lt;5))</f>
        <v/>
      </c>
      <c r="AH1881" s="35">
        <f>IF(OR(C1881&lt;&gt;"Grayson Coulter",G1881&lt;'00_Control'!$B$7),"",--(AF1881&lt;10))</f>
        <v/>
      </c>
      <c r="AI1881" s="35">
        <f>IF(AND(C1881="Grayson Coulter",G1881&gt;='00_Control'!$B$7),"YES","NO")</f>
        <v/>
      </c>
      <c r="AJ1881" s="33" t="inlineStr">
        <is>
          <t>OK</t>
        </is>
      </c>
    </row>
    <row r="1882">
      <c r="A1882" s="33" t="inlineStr">
        <is>
          <t>SM001878</t>
        </is>
      </c>
      <c r="B1882" s="33" t="inlineStr">
        <is>
          <t>SW013</t>
        </is>
      </c>
      <c r="C1882" s="33" t="inlineStr">
        <is>
          <t>Lewis Clareburt</t>
        </is>
      </c>
      <c r="D1882" s="33" t="inlineStr">
        <is>
          <t>SwimCloud</t>
        </is>
      </c>
      <c r="E1882" s="33" t="inlineStr">
        <is>
          <t>3464011</t>
        </is>
      </c>
      <c r="F1882" s="33" t="inlineStr">
        <is>
          <t>131503418</t>
        </is>
      </c>
      <c r="G1882" s="51" t="n">
        <v>45527</v>
      </c>
      <c r="H1882" s="33" t="inlineStr">
        <is>
          <t>New Zealand SC Championships</t>
        </is>
      </c>
      <c r="I1882" s="33" t="inlineStr">
        <is>
          <t>311168</t>
        </is>
      </c>
      <c r="J1882" s="33" t="inlineStr"/>
      <c r="K1882" s="33" t="inlineStr">
        <is>
          <t>PRE</t>
        </is>
      </c>
      <c r="L1882" s="35">
        <f>IF(K1882="FIN",3,IF(OR(K1882="SEM",K1882="SEMI"),2,IF(OR(K1882="PRE",K1882="HEAT"),1,IF(V1882="YES",4,2))))</f>
        <v/>
      </c>
      <c r="M1882" s="33" t="inlineStr">
        <is>
          <t>SCM</t>
        </is>
      </c>
      <c r="N1882" s="33" t="n">
        <v>100</v>
      </c>
      <c r="O1882" s="33" t="inlineStr">
        <is>
          <t>Free</t>
        </is>
      </c>
      <c r="P1882" s="33" t="inlineStr">
        <is>
          <t>100 Free</t>
        </is>
      </c>
      <c r="Q1882" s="33" t="inlineStr">
        <is>
          <t>SCM_100_FREE</t>
        </is>
      </c>
      <c r="R1882" s="36" t="n">
        <v>50.45</v>
      </c>
      <c r="S1882" s="35">
        <f>IF(R1882="","",IF(R1882&gt;=60,INT(R1882/60)&amp;":"&amp;TEXT(MOD(R1882,60),"00.00"),TEXT(R1882,"0.00")))</f>
        <v/>
      </c>
      <c r="T1882" s="52">
        <f>IFERROR((G1882-INDEX('01_Swimmers'!$E$5:$E$22,MATCH(B1882,'01_Swimmers'!$A$5:$A$22,0)))/'00_Control'!$B$10,"")</f>
        <v/>
      </c>
      <c r="U1882" s="35">
        <f>IF(T1882="","",INT(T1882))</f>
        <v/>
      </c>
      <c r="V1882" s="33" t="inlineStr">
        <is>
          <t>NO</t>
        </is>
      </c>
      <c r="W1882" s="33" t="inlineStr">
        <is>
          <t>YES</t>
        </is>
      </c>
      <c r="X1882" s="33" t="inlineStr">
        <is>
          <t>NO</t>
        </is>
      </c>
      <c r="Y1882" s="33" t="n">
        <v>9</v>
      </c>
      <c r="Z1882" s="33" t="n">
        <v>3</v>
      </c>
      <c r="AA1882" s="33" t="inlineStr"/>
      <c r="AB1882" s="33" t="inlineStr">
        <is>
          <t>https://www.swimcloud.com/results/311168/event/35/?id=131503418#time131503418</t>
        </is>
      </c>
      <c r="AC1882" s="33" t="inlineStr">
        <is>
          <t>SwimCloud API v6 2026-10-08</t>
        </is>
      </c>
      <c r="AD1882" s="33" t="inlineStr">
        <is>
          <t>Lewis Clareburt|2024-08-23|SCM|100|Free|50.45|New Zealand SC Championships|PRE|False</t>
        </is>
      </c>
      <c r="AE1882" s="53">
        <f>G1882+L1882/1000+ROW()/1000000000</f>
        <v/>
      </c>
      <c r="AF1882" s="35">
        <f>IF(C1882&lt;&gt;"Grayson Coulter","",COUNTIFS($C$5:$C$2991,"Grayson Coulter",$Q$5:$Q$2991,Q1882,$AE$5:$AE$2991,"&lt;="&amp;AE1882,$R$5:$R$2991,"&lt;"&amp;R1882))</f>
        <v/>
      </c>
      <c r="AG1882" s="35">
        <f>IF(OR(C1882&lt;&gt;"Grayson Coulter",G1882&lt;'00_Control'!$B$7),"",--(AF1882&lt;5))</f>
        <v/>
      </c>
      <c r="AH1882" s="35">
        <f>IF(OR(C1882&lt;&gt;"Grayson Coulter",G1882&lt;'00_Control'!$B$7),"",--(AF1882&lt;10))</f>
        <v/>
      </c>
      <c r="AI1882" s="35">
        <f>IF(AND(C1882="Grayson Coulter",G1882&gt;='00_Control'!$B$7),"YES","NO")</f>
        <v/>
      </c>
      <c r="AJ1882" s="33" t="inlineStr">
        <is>
          <t>OK</t>
        </is>
      </c>
    </row>
    <row r="1883">
      <c r="A1883" s="33" t="inlineStr">
        <is>
          <t>SM001879</t>
        </is>
      </c>
      <c r="B1883" s="33" t="inlineStr">
        <is>
          <t>SW013</t>
        </is>
      </c>
      <c r="C1883" s="33" t="inlineStr">
        <is>
          <t>Lewis Clareburt</t>
        </is>
      </c>
      <c r="D1883" s="33" t="inlineStr">
        <is>
          <t>SwimCloud</t>
        </is>
      </c>
      <c r="E1883" s="33" t="inlineStr">
        <is>
          <t>3464011</t>
        </is>
      </c>
      <c r="F1883" s="33" t="inlineStr">
        <is>
          <t>133947092</t>
        </is>
      </c>
      <c r="G1883" s="51" t="n">
        <v>45585</v>
      </c>
      <c r="H1883" s="33" t="inlineStr">
        <is>
          <t>World Aquatics World Cup - Shanghai</t>
        </is>
      </c>
      <c r="I1883" s="33" t="inlineStr">
        <is>
          <t>285199</t>
        </is>
      </c>
      <c r="J1883" s="33" t="inlineStr"/>
      <c r="K1883" s="33" t="inlineStr">
        <is>
          <t>PRE</t>
        </is>
      </c>
      <c r="L1883" s="35">
        <f>IF(K1883="FIN",3,IF(OR(K1883="SEM",K1883="SEMI"),2,IF(OR(K1883="PRE",K1883="HEAT"),1,IF(V1883="YES",4,2))))</f>
        <v/>
      </c>
      <c r="M1883" s="33" t="inlineStr">
        <is>
          <t>SCM</t>
        </is>
      </c>
      <c r="N1883" s="33" t="n">
        <v>200</v>
      </c>
      <c r="O1883" s="33" t="inlineStr">
        <is>
          <t>Free</t>
        </is>
      </c>
      <c r="P1883" s="33" t="inlineStr">
        <is>
          <t>200 Free</t>
        </is>
      </c>
      <c r="Q1883" s="33" t="inlineStr">
        <is>
          <t>SCM_200_FREE</t>
        </is>
      </c>
      <c r="R1883" s="36" t="n">
        <v>104.01</v>
      </c>
      <c r="S1883" s="35">
        <f>IF(R1883="","",IF(R1883&gt;=60,INT(R1883/60)&amp;":"&amp;TEXT(MOD(R1883,60),"00.00"),TEXT(R1883,"0.00")))</f>
        <v/>
      </c>
      <c r="T1883" s="52">
        <f>IFERROR((G1883-INDEX('01_Swimmers'!$E$5:$E$22,MATCH(B1883,'01_Swimmers'!$A$5:$A$22,0)))/'00_Control'!$B$10,"")</f>
        <v/>
      </c>
      <c r="U1883" s="35">
        <f>IF(T1883="","",INT(T1883))</f>
        <v/>
      </c>
      <c r="V1883" s="33" t="inlineStr">
        <is>
          <t>NO</t>
        </is>
      </c>
      <c r="W1883" s="33" t="inlineStr">
        <is>
          <t>YES</t>
        </is>
      </c>
      <c r="X1883" s="33" t="inlineStr">
        <is>
          <t>NO</t>
        </is>
      </c>
      <c r="Y1883" s="33" t="n">
        <v>2</v>
      </c>
      <c r="Z1883" s="33" t="n">
        <v>3</v>
      </c>
      <c r="AA1883" s="33" t="inlineStr">
        <is>
          <t>7</t>
        </is>
      </c>
      <c r="AB1883" s="33" t="inlineStr">
        <is>
          <t>https://www.swimcloud.com/results/285199/event/32/?id=133947092#time133947092</t>
        </is>
      </c>
      <c r="AC1883" s="33" t="inlineStr">
        <is>
          <t>SwimCloud API v6 2026-10-08</t>
        </is>
      </c>
      <c r="AD1883" s="33" t="inlineStr">
        <is>
          <t>Lewis Clareburt|2024-10-20|SCM|200|Free|104.01|World Aquatics World Cup - Shanghai|PRE|False</t>
        </is>
      </c>
      <c r="AE1883" s="53">
        <f>G1883+L1883/1000+ROW()/1000000000</f>
        <v/>
      </c>
      <c r="AF1883" s="35">
        <f>IF(C1883&lt;&gt;"Grayson Coulter","",COUNTIFS($C$5:$C$2991,"Grayson Coulter",$Q$5:$Q$2991,Q1883,$AE$5:$AE$2991,"&lt;="&amp;AE1883,$R$5:$R$2991,"&lt;"&amp;R1883))</f>
        <v/>
      </c>
      <c r="AG1883" s="35">
        <f>IF(OR(C1883&lt;&gt;"Grayson Coulter",G1883&lt;'00_Control'!$B$7),"",--(AF1883&lt;5))</f>
        <v/>
      </c>
      <c r="AH1883" s="35">
        <f>IF(OR(C1883&lt;&gt;"Grayson Coulter",G1883&lt;'00_Control'!$B$7),"",--(AF1883&lt;10))</f>
        <v/>
      </c>
      <c r="AI1883" s="35">
        <f>IF(AND(C1883="Grayson Coulter",G1883&gt;='00_Control'!$B$7),"YES","NO")</f>
        <v/>
      </c>
      <c r="AJ1883" s="33" t="inlineStr">
        <is>
          <t>OK</t>
        </is>
      </c>
    </row>
    <row r="1884">
      <c r="A1884" s="33" t="inlineStr">
        <is>
          <t>SM001880</t>
        </is>
      </c>
      <c r="B1884" s="33" t="inlineStr">
        <is>
          <t>SW013</t>
        </is>
      </c>
      <c r="C1884" s="33" t="inlineStr">
        <is>
          <t>Lewis Clareburt</t>
        </is>
      </c>
      <c r="D1884" s="33" t="inlineStr">
        <is>
          <t>SwimCloud</t>
        </is>
      </c>
      <c r="E1884" s="33" t="inlineStr">
        <is>
          <t>3464011</t>
        </is>
      </c>
      <c r="F1884" s="33" t="inlineStr">
        <is>
          <t>133947091</t>
        </is>
      </c>
      <c r="G1884" s="51" t="n">
        <v>45585</v>
      </c>
      <c r="H1884" s="33" t="inlineStr">
        <is>
          <t>World Aquatics World Cup - Shanghai</t>
        </is>
      </c>
      <c r="I1884" s="33" t="inlineStr">
        <is>
          <t>285199</t>
        </is>
      </c>
      <c r="J1884" s="33" t="inlineStr"/>
      <c r="K1884" s="33" t="inlineStr">
        <is>
          <t>FIN</t>
        </is>
      </c>
      <c r="L1884" s="35">
        <f>IF(K1884="FIN",3,IF(OR(K1884="SEM",K1884="SEMI"),2,IF(OR(K1884="PRE",K1884="HEAT"),1,IF(V1884="YES",4,2))))</f>
        <v/>
      </c>
      <c r="M1884" s="33" t="inlineStr">
        <is>
          <t>SCM</t>
        </is>
      </c>
      <c r="N1884" s="33" t="n">
        <v>200</v>
      </c>
      <c r="O1884" s="33" t="inlineStr">
        <is>
          <t>Free</t>
        </is>
      </c>
      <c r="P1884" s="33" t="inlineStr">
        <is>
          <t>200 Free</t>
        </is>
      </c>
      <c r="Q1884" s="33" t="inlineStr">
        <is>
          <t>SCM_200_FREE</t>
        </is>
      </c>
      <c r="R1884" s="36" t="n">
        <v>103.21</v>
      </c>
      <c r="S1884" s="35">
        <f>IF(R1884="","",IF(R1884&gt;=60,INT(R1884/60)&amp;":"&amp;TEXT(MOD(R1884,60),"00.00"),TEXT(R1884,"0.00")))</f>
        <v/>
      </c>
      <c r="T1884" s="52">
        <f>IFERROR((G1884-INDEX('01_Swimmers'!$E$5:$E$22,MATCH(B1884,'01_Swimmers'!$A$5:$A$22,0)))/'00_Control'!$B$10,"")</f>
        <v/>
      </c>
      <c r="U1884" s="35">
        <f>IF(T1884="","",INT(T1884))</f>
        <v/>
      </c>
      <c r="V1884" s="33" t="inlineStr">
        <is>
          <t>NO</t>
        </is>
      </c>
      <c r="W1884" s="33" t="inlineStr">
        <is>
          <t>YES</t>
        </is>
      </c>
      <c r="X1884" s="33" t="inlineStr">
        <is>
          <t>NO</t>
        </is>
      </c>
      <c r="Y1884" s="33" t="n">
        <v>1</v>
      </c>
      <c r="Z1884" s="33" t="n">
        <v>1</v>
      </c>
      <c r="AA1884" s="33" t="inlineStr">
        <is>
          <t>6</t>
        </is>
      </c>
      <c r="AB1884" s="33" t="inlineStr">
        <is>
          <t>https://www.swimcloud.com/results/285199/event/32/?id=133947091#time133947091</t>
        </is>
      </c>
      <c r="AC1884" s="33" t="inlineStr">
        <is>
          <t>SwimCloud API v6 2026-10-08</t>
        </is>
      </c>
      <c r="AD1884" s="33" t="inlineStr">
        <is>
          <t>Lewis Clareburt|2024-10-20|SCM|200|Free|103.21|World Aquatics World Cup - Shanghai|FIN|False</t>
        </is>
      </c>
      <c r="AE1884" s="53">
        <f>G1884+L1884/1000+ROW()/1000000000</f>
        <v/>
      </c>
      <c r="AF1884" s="35">
        <f>IF(C1884&lt;&gt;"Grayson Coulter","",COUNTIFS($C$5:$C$2991,"Grayson Coulter",$Q$5:$Q$2991,Q1884,$AE$5:$AE$2991,"&lt;="&amp;AE1884,$R$5:$R$2991,"&lt;"&amp;R1884))</f>
        <v/>
      </c>
      <c r="AG1884" s="35">
        <f>IF(OR(C1884&lt;&gt;"Grayson Coulter",G1884&lt;'00_Control'!$B$7),"",--(AF1884&lt;5))</f>
        <v/>
      </c>
      <c r="AH1884" s="35">
        <f>IF(OR(C1884&lt;&gt;"Grayson Coulter",G1884&lt;'00_Control'!$B$7),"",--(AF1884&lt;10))</f>
        <v/>
      </c>
      <c r="AI1884" s="35">
        <f>IF(AND(C1884="Grayson Coulter",G1884&gt;='00_Control'!$B$7),"YES","NO")</f>
        <v/>
      </c>
      <c r="AJ1884" s="33" t="inlineStr">
        <is>
          <t>OK</t>
        </is>
      </c>
    </row>
    <row r="1885">
      <c r="A1885" s="33" t="inlineStr">
        <is>
          <t>SM001881</t>
        </is>
      </c>
      <c r="B1885" s="33" t="inlineStr">
        <is>
          <t>SW013</t>
        </is>
      </c>
      <c r="C1885" s="33" t="inlineStr">
        <is>
          <t>Lewis Clareburt</t>
        </is>
      </c>
      <c r="D1885" s="33" t="inlineStr">
        <is>
          <t>SwimCloud</t>
        </is>
      </c>
      <c r="E1885" s="33" t="inlineStr">
        <is>
          <t>3464011</t>
        </is>
      </c>
      <c r="F1885" s="33" t="inlineStr">
        <is>
          <t>134571034</t>
        </is>
      </c>
      <c r="G1885" s="51" t="n">
        <v>45589</v>
      </c>
      <c r="H1885" s="33" t="inlineStr">
        <is>
          <t>World Aquatics World Cup - Incheon</t>
        </is>
      </c>
      <c r="I1885" s="33" t="inlineStr">
        <is>
          <t>285200</t>
        </is>
      </c>
      <c r="J1885" s="33" t="inlineStr"/>
      <c r="K1885" s="33" t="inlineStr">
        <is>
          <t>PRE</t>
        </is>
      </c>
      <c r="L1885" s="35">
        <f>IF(K1885="FIN",3,IF(OR(K1885="SEM",K1885="SEMI"),2,IF(OR(K1885="PRE",K1885="HEAT"),1,IF(V1885="YES",4,2))))</f>
        <v/>
      </c>
      <c r="M1885" s="33" t="inlineStr">
        <is>
          <t>SCM</t>
        </is>
      </c>
      <c r="N1885" s="33" t="n">
        <v>400</v>
      </c>
      <c r="O1885" s="33" t="inlineStr">
        <is>
          <t>Free</t>
        </is>
      </c>
      <c r="P1885" s="33" t="inlineStr">
        <is>
          <t>400 Free</t>
        </is>
      </c>
      <c r="Q1885" s="33" t="inlineStr">
        <is>
          <t>SCM_400_FREE</t>
        </is>
      </c>
      <c r="R1885" s="36" t="n">
        <v>226.04</v>
      </c>
      <c r="S1885" s="35">
        <f>IF(R1885="","",IF(R1885&gt;=60,INT(R1885/60)&amp;":"&amp;TEXT(MOD(R1885,60),"00.00"),TEXT(R1885,"0.00")))</f>
        <v/>
      </c>
      <c r="T1885" s="52">
        <f>IFERROR((G1885-INDEX('01_Swimmers'!$E$5:$E$22,MATCH(B1885,'01_Swimmers'!$A$5:$A$22,0)))/'00_Control'!$B$10,"")</f>
        <v/>
      </c>
      <c r="U1885" s="35">
        <f>IF(T1885="","",INT(T1885))</f>
        <v/>
      </c>
      <c r="V1885" s="33" t="inlineStr">
        <is>
          <t>NO</t>
        </is>
      </c>
      <c r="W1885" s="33" t="inlineStr">
        <is>
          <t>YES</t>
        </is>
      </c>
      <c r="X1885" s="33" t="inlineStr">
        <is>
          <t>NO</t>
        </is>
      </c>
      <c r="Y1885" s="33" t="n">
        <v>3</v>
      </c>
      <c r="Z1885" s="33" t="n">
        <v>6</v>
      </c>
      <c r="AA1885" s="33" t="inlineStr">
        <is>
          <t>9</t>
        </is>
      </c>
      <c r="AB1885" s="33" t="inlineStr">
        <is>
          <t>https://www.swimcloud.com/results/285200/event/2/?id=134571034#time134571034</t>
        </is>
      </c>
      <c r="AC1885" s="33" t="inlineStr">
        <is>
          <t>SwimCloud API v6 2026-10-08</t>
        </is>
      </c>
      <c r="AD1885" s="33" t="inlineStr">
        <is>
          <t>Lewis Clareburt|2024-10-24|SCM|400|Free|226.04|World Aquatics World Cup - Incheon|PRE|False</t>
        </is>
      </c>
      <c r="AE1885" s="53">
        <f>G1885+L1885/1000+ROW()/1000000000</f>
        <v/>
      </c>
      <c r="AF1885" s="35">
        <f>IF(C1885&lt;&gt;"Grayson Coulter","",COUNTIFS($C$5:$C$2991,"Grayson Coulter",$Q$5:$Q$2991,Q1885,$AE$5:$AE$2991,"&lt;="&amp;AE1885,$R$5:$R$2991,"&lt;"&amp;R1885))</f>
        <v/>
      </c>
      <c r="AG1885" s="35">
        <f>IF(OR(C1885&lt;&gt;"Grayson Coulter",G1885&lt;'00_Control'!$B$7),"",--(AF1885&lt;5))</f>
        <v/>
      </c>
      <c r="AH1885" s="35">
        <f>IF(OR(C1885&lt;&gt;"Grayson Coulter",G1885&lt;'00_Control'!$B$7),"",--(AF1885&lt;10))</f>
        <v/>
      </c>
      <c r="AI1885" s="35">
        <f>IF(AND(C1885="Grayson Coulter",G1885&gt;='00_Control'!$B$7),"YES","NO")</f>
        <v/>
      </c>
      <c r="AJ1885" s="33" t="inlineStr">
        <is>
          <t>OK</t>
        </is>
      </c>
    </row>
    <row r="1886">
      <c r="A1886" s="33" t="inlineStr">
        <is>
          <t>SM001882</t>
        </is>
      </c>
      <c r="B1886" s="33" t="inlineStr">
        <is>
          <t>SW013</t>
        </is>
      </c>
      <c r="C1886" s="33" t="inlineStr">
        <is>
          <t>Lewis Clareburt</t>
        </is>
      </c>
      <c r="D1886" s="33" t="inlineStr">
        <is>
          <t>SwimCloud</t>
        </is>
      </c>
      <c r="E1886" s="33" t="inlineStr">
        <is>
          <t>3464011</t>
        </is>
      </c>
      <c r="F1886" s="33" t="inlineStr">
        <is>
          <t>134571031</t>
        </is>
      </c>
      <c r="G1886" s="51" t="n">
        <v>45591</v>
      </c>
      <c r="H1886" s="33" t="inlineStr">
        <is>
          <t>World Aquatics World Cup - Incheon</t>
        </is>
      </c>
      <c r="I1886" s="33" t="inlineStr">
        <is>
          <t>285200</t>
        </is>
      </c>
      <c r="J1886" s="33" t="inlineStr"/>
      <c r="K1886" s="33" t="inlineStr">
        <is>
          <t>PRE</t>
        </is>
      </c>
      <c r="L1886" s="35">
        <f>IF(K1886="FIN",3,IF(OR(K1886="SEM",K1886="SEMI"),2,IF(OR(K1886="PRE",K1886="HEAT"),1,IF(V1886="YES",4,2))))</f>
        <v/>
      </c>
      <c r="M1886" s="33" t="inlineStr">
        <is>
          <t>SCM</t>
        </is>
      </c>
      <c r="N1886" s="33" t="n">
        <v>200</v>
      </c>
      <c r="O1886" s="33" t="inlineStr">
        <is>
          <t>Free</t>
        </is>
      </c>
      <c r="P1886" s="33" t="inlineStr">
        <is>
          <t>200 Free</t>
        </is>
      </c>
      <c r="Q1886" s="33" t="inlineStr">
        <is>
          <t>SCM_200_FREE</t>
        </is>
      </c>
      <c r="R1886" s="36" t="n">
        <v>104.14</v>
      </c>
      <c r="S1886" s="35">
        <f>IF(R1886="","",IF(R1886&gt;=60,INT(R1886/60)&amp;":"&amp;TEXT(MOD(R1886,60),"00.00"),TEXT(R1886,"0.00")))</f>
        <v/>
      </c>
      <c r="T1886" s="52">
        <f>IFERROR((G1886-INDEX('01_Swimmers'!$E$5:$E$22,MATCH(B1886,'01_Swimmers'!$A$5:$A$22,0)))/'00_Control'!$B$10,"")</f>
        <v/>
      </c>
      <c r="U1886" s="35">
        <f>IF(T1886="","",INT(T1886))</f>
        <v/>
      </c>
      <c r="V1886" s="33" t="inlineStr">
        <is>
          <t>NO</t>
        </is>
      </c>
      <c r="W1886" s="33" t="inlineStr">
        <is>
          <t>YES</t>
        </is>
      </c>
      <c r="X1886" s="33" t="inlineStr">
        <is>
          <t>NO</t>
        </is>
      </c>
      <c r="Y1886" s="33" t="n">
        <v>5</v>
      </c>
      <c r="Z1886" s="33" t="n">
        <v>6</v>
      </c>
      <c r="AA1886" s="33" t="inlineStr">
        <is>
          <t>8</t>
        </is>
      </c>
      <c r="AB1886" s="33" t="inlineStr">
        <is>
          <t>https://www.swimcloud.com/results/285200/event/33/?id=134571031#time134571031</t>
        </is>
      </c>
      <c r="AC1886" s="33" t="inlineStr">
        <is>
          <t>SwimCloud API v6 2026-10-08</t>
        </is>
      </c>
      <c r="AD1886" s="33" t="inlineStr">
        <is>
          <t>Lewis Clareburt|2024-10-26|SCM|200|Free|104.14|World Aquatics World Cup - Incheon|PRE|False</t>
        </is>
      </c>
      <c r="AE1886" s="53">
        <f>G1886+L1886/1000+ROW()/1000000000</f>
        <v/>
      </c>
      <c r="AF1886" s="35">
        <f>IF(C1886&lt;&gt;"Grayson Coulter","",COUNTIFS($C$5:$C$2991,"Grayson Coulter",$Q$5:$Q$2991,Q1886,$AE$5:$AE$2991,"&lt;="&amp;AE1886,$R$5:$R$2991,"&lt;"&amp;R1886))</f>
        <v/>
      </c>
      <c r="AG1886" s="35">
        <f>IF(OR(C1886&lt;&gt;"Grayson Coulter",G1886&lt;'00_Control'!$B$7),"",--(AF1886&lt;5))</f>
        <v/>
      </c>
      <c r="AH1886" s="35">
        <f>IF(OR(C1886&lt;&gt;"Grayson Coulter",G1886&lt;'00_Control'!$B$7),"",--(AF1886&lt;10))</f>
        <v/>
      </c>
      <c r="AI1886" s="35">
        <f>IF(AND(C1886="Grayson Coulter",G1886&gt;='00_Control'!$B$7),"YES","NO")</f>
        <v/>
      </c>
      <c r="AJ1886" s="33" t="inlineStr">
        <is>
          <t>OK</t>
        </is>
      </c>
    </row>
    <row r="1887">
      <c r="A1887" s="33" t="inlineStr">
        <is>
          <t>SM001883</t>
        </is>
      </c>
      <c r="B1887" s="33" t="inlineStr">
        <is>
          <t>SW013</t>
        </is>
      </c>
      <c r="C1887" s="33" t="inlineStr">
        <is>
          <t>Lewis Clareburt</t>
        </is>
      </c>
      <c r="D1887" s="33" t="inlineStr">
        <is>
          <t>SwimCloud</t>
        </is>
      </c>
      <c r="E1887" s="33" t="inlineStr">
        <is>
          <t>3464011</t>
        </is>
      </c>
      <c r="F1887" s="33" t="inlineStr">
        <is>
          <t>134571030</t>
        </is>
      </c>
      <c r="G1887" s="51" t="n">
        <v>45591</v>
      </c>
      <c r="H1887" s="33" t="inlineStr">
        <is>
          <t>World Aquatics World Cup - Incheon</t>
        </is>
      </c>
      <c r="I1887" s="33" t="inlineStr">
        <is>
          <t>285200</t>
        </is>
      </c>
      <c r="J1887" s="33" t="inlineStr"/>
      <c r="K1887" s="33" t="inlineStr">
        <is>
          <t>FIN</t>
        </is>
      </c>
      <c r="L1887" s="35">
        <f>IF(K1887="FIN",3,IF(OR(K1887="SEM",K1887="SEMI"),2,IF(OR(K1887="PRE",K1887="HEAT"),1,IF(V1887="YES",4,2))))</f>
        <v/>
      </c>
      <c r="M1887" s="33" t="inlineStr">
        <is>
          <t>SCM</t>
        </is>
      </c>
      <c r="N1887" s="33" t="n">
        <v>200</v>
      </c>
      <c r="O1887" s="33" t="inlineStr">
        <is>
          <t>Free</t>
        </is>
      </c>
      <c r="P1887" s="33" t="inlineStr">
        <is>
          <t>200 Free</t>
        </is>
      </c>
      <c r="Q1887" s="33" t="inlineStr">
        <is>
          <t>SCM_200_FREE</t>
        </is>
      </c>
      <c r="R1887" s="36" t="n">
        <v>106.89</v>
      </c>
      <c r="S1887" s="35">
        <f>IF(R1887="","",IF(R1887&gt;=60,INT(R1887/60)&amp;":"&amp;TEXT(MOD(R1887,60),"00.00"),TEXT(R1887,"0.00")))</f>
        <v/>
      </c>
      <c r="T1887" s="52">
        <f>IFERROR((G1887-INDEX('01_Swimmers'!$E$5:$E$22,MATCH(B1887,'01_Swimmers'!$A$5:$A$22,0)))/'00_Control'!$B$10,"")</f>
        <v/>
      </c>
      <c r="U1887" s="35">
        <f>IF(T1887="","",INT(T1887))</f>
        <v/>
      </c>
      <c r="V1887" s="33" t="inlineStr">
        <is>
          <t>NO</t>
        </is>
      </c>
      <c r="W1887" s="33" t="inlineStr">
        <is>
          <t>YES</t>
        </is>
      </c>
      <c r="X1887" s="33" t="inlineStr">
        <is>
          <t>NO</t>
        </is>
      </c>
      <c r="Y1887" s="33" t="n">
        <v>1</v>
      </c>
      <c r="Z1887" s="33" t="n">
        <v>8</v>
      </c>
      <c r="AA1887" s="33" t="inlineStr">
        <is>
          <t>8</t>
        </is>
      </c>
      <c r="AB1887" s="33" t="inlineStr">
        <is>
          <t>https://www.swimcloud.com/results/285200/event/33/?id=134571030#time134571030</t>
        </is>
      </c>
      <c r="AC1887" s="33" t="inlineStr">
        <is>
          <t>SwimCloud API v6 2026-10-08</t>
        </is>
      </c>
      <c r="AD1887" s="33" t="inlineStr">
        <is>
          <t>Lewis Clareburt|2024-10-26|SCM|200|Free|106.89|World Aquatics World Cup - Incheon|FIN|False</t>
        </is>
      </c>
      <c r="AE1887" s="53">
        <f>G1887+L1887/1000+ROW()/1000000000</f>
        <v/>
      </c>
      <c r="AF1887" s="35">
        <f>IF(C1887&lt;&gt;"Grayson Coulter","",COUNTIFS($C$5:$C$2991,"Grayson Coulter",$Q$5:$Q$2991,Q1887,$AE$5:$AE$2991,"&lt;="&amp;AE1887,$R$5:$R$2991,"&lt;"&amp;R1887))</f>
        <v/>
      </c>
      <c r="AG1887" s="35">
        <f>IF(OR(C1887&lt;&gt;"Grayson Coulter",G1887&lt;'00_Control'!$B$7),"",--(AF1887&lt;5))</f>
        <v/>
      </c>
      <c r="AH1887" s="35">
        <f>IF(OR(C1887&lt;&gt;"Grayson Coulter",G1887&lt;'00_Control'!$B$7),"",--(AF1887&lt;10))</f>
        <v/>
      </c>
      <c r="AI1887" s="35">
        <f>IF(AND(C1887="Grayson Coulter",G1887&gt;='00_Control'!$B$7),"YES","NO")</f>
        <v/>
      </c>
      <c r="AJ1887" s="33" t="inlineStr">
        <is>
          <t>OK</t>
        </is>
      </c>
    </row>
    <row r="1888">
      <c r="A1888" s="33" t="inlineStr">
        <is>
          <t>SM001884</t>
        </is>
      </c>
      <c r="B1888" s="33" t="inlineStr">
        <is>
          <t>SW013</t>
        </is>
      </c>
      <c r="C1888" s="33" t="inlineStr">
        <is>
          <t>Lewis Clareburt</t>
        </is>
      </c>
      <c r="D1888" s="33" t="inlineStr">
        <is>
          <t>SwimCloud</t>
        </is>
      </c>
      <c r="E1888" s="33" t="inlineStr">
        <is>
          <t>3464011</t>
        </is>
      </c>
      <c r="F1888" s="33" t="inlineStr">
        <is>
          <t>135264712</t>
        </is>
      </c>
      <c r="G1888" s="51" t="n">
        <v>45598</v>
      </c>
      <c r="H1888" s="33" t="inlineStr">
        <is>
          <t>World Aquatics World Cup - Singapore</t>
        </is>
      </c>
      <c r="I1888" s="33" t="inlineStr">
        <is>
          <t>319536</t>
        </is>
      </c>
      <c r="J1888" s="33" t="inlineStr"/>
      <c r="K1888" s="33" t="inlineStr">
        <is>
          <t>PRE</t>
        </is>
      </c>
      <c r="L1888" s="35">
        <f>IF(K1888="FIN",3,IF(OR(K1888="SEM",K1888="SEMI"),2,IF(OR(K1888="PRE",K1888="HEAT"),1,IF(V1888="YES",4,2))))</f>
        <v/>
      </c>
      <c r="M1888" s="33" t="inlineStr">
        <is>
          <t>SCM</t>
        </is>
      </c>
      <c r="N1888" s="33" t="n">
        <v>200</v>
      </c>
      <c r="O1888" s="33" t="inlineStr">
        <is>
          <t>Free</t>
        </is>
      </c>
      <c r="P1888" s="33" t="inlineStr">
        <is>
          <t>200 Free</t>
        </is>
      </c>
      <c r="Q1888" s="33" t="inlineStr">
        <is>
          <t>SCM_200_FREE</t>
        </is>
      </c>
      <c r="R1888" s="36" t="n">
        <v>104.33</v>
      </c>
      <c r="S1888" s="35">
        <f>IF(R1888="","",IF(R1888&gt;=60,INT(R1888/60)&amp;":"&amp;TEXT(MOD(R1888,60),"00.00"),TEXT(R1888,"0.00")))</f>
        <v/>
      </c>
      <c r="T1888" s="52">
        <f>IFERROR((G1888-INDEX('01_Swimmers'!$E$5:$E$22,MATCH(B1888,'01_Swimmers'!$A$5:$A$22,0)))/'00_Control'!$B$10,"")</f>
        <v/>
      </c>
      <c r="U1888" s="35">
        <f>IF(T1888="","",INT(T1888))</f>
        <v/>
      </c>
      <c r="V1888" s="33" t="inlineStr">
        <is>
          <t>NO</t>
        </is>
      </c>
      <c r="W1888" s="33" t="inlineStr">
        <is>
          <t>YES</t>
        </is>
      </c>
      <c r="X1888" s="33" t="inlineStr">
        <is>
          <t>NO</t>
        </is>
      </c>
      <c r="Y1888" s="33" t="n">
        <v>6</v>
      </c>
      <c r="Z1888" s="33" t="n">
        <v>6</v>
      </c>
      <c r="AA1888" s="33" t="inlineStr">
        <is>
          <t>11</t>
        </is>
      </c>
      <c r="AB1888" s="33" t="inlineStr">
        <is>
          <t>https://www.swimcloud.com/results/319536/event/33/?id=135264712#time135264712</t>
        </is>
      </c>
      <c r="AC1888" s="33" t="inlineStr">
        <is>
          <t>SwimCloud API v6 2026-10-08</t>
        </is>
      </c>
      <c r="AD1888" s="33" t="inlineStr">
        <is>
          <t>Lewis Clareburt|2024-11-02|SCM|200|Free|104.33|World Aquatics World Cup - Singapore|PRE|False</t>
        </is>
      </c>
      <c r="AE1888" s="53">
        <f>G1888+L1888/1000+ROW()/1000000000</f>
        <v/>
      </c>
      <c r="AF1888" s="35">
        <f>IF(C1888&lt;&gt;"Grayson Coulter","",COUNTIFS($C$5:$C$2991,"Grayson Coulter",$Q$5:$Q$2991,Q1888,$AE$5:$AE$2991,"&lt;="&amp;AE1888,$R$5:$R$2991,"&lt;"&amp;R1888))</f>
        <v/>
      </c>
      <c r="AG1888" s="35">
        <f>IF(OR(C1888&lt;&gt;"Grayson Coulter",G1888&lt;'00_Control'!$B$7),"",--(AF1888&lt;5))</f>
        <v/>
      </c>
      <c r="AH1888" s="35">
        <f>IF(OR(C1888&lt;&gt;"Grayson Coulter",G1888&lt;'00_Control'!$B$7),"",--(AF1888&lt;10))</f>
        <v/>
      </c>
      <c r="AI1888" s="35">
        <f>IF(AND(C1888="Grayson Coulter",G1888&gt;='00_Control'!$B$7),"YES","NO")</f>
        <v/>
      </c>
      <c r="AJ1888" s="33" t="inlineStr">
        <is>
          <t>OK</t>
        </is>
      </c>
    </row>
    <row r="1889">
      <c r="A1889" s="33" t="inlineStr">
        <is>
          <t>SM001885</t>
        </is>
      </c>
      <c r="B1889" s="33" t="inlineStr">
        <is>
          <t>SW013</t>
        </is>
      </c>
      <c r="C1889" s="33" t="inlineStr">
        <is>
          <t>Lewis Clareburt</t>
        </is>
      </c>
      <c r="D1889" s="33" t="inlineStr">
        <is>
          <t>SwimCloud</t>
        </is>
      </c>
      <c r="E1889" s="33" t="inlineStr">
        <is>
          <t>3464011</t>
        </is>
      </c>
      <c r="F1889" s="33" t="inlineStr">
        <is>
          <t>163941741</t>
        </is>
      </c>
      <c r="G1889" s="51" t="n">
        <v>45745</v>
      </c>
      <c r="H1889" s="33" t="inlineStr">
        <is>
          <t>SW NQ</t>
        </is>
      </c>
      <c r="I1889" s="33" t="inlineStr">
        <is>
          <t>364773</t>
        </is>
      </c>
      <c r="J1889" s="33" t="inlineStr"/>
      <c r="K1889" s="33" t="inlineStr">
        <is>
          <t>TIM</t>
        </is>
      </c>
      <c r="L1889" s="35">
        <f>IF(K1889="FIN",3,IF(OR(K1889="SEM",K1889="SEMI"),2,IF(OR(K1889="PRE",K1889="HEAT"),1,IF(V1889="YES",4,2))))</f>
        <v/>
      </c>
      <c r="M1889" s="33" t="inlineStr">
        <is>
          <t>LCM</t>
        </is>
      </c>
      <c r="N1889" s="33" t="n">
        <v>100</v>
      </c>
      <c r="O1889" s="33" t="inlineStr">
        <is>
          <t>Fly</t>
        </is>
      </c>
      <c r="P1889" s="33" t="inlineStr">
        <is>
          <t>100 Fly</t>
        </is>
      </c>
      <c r="Q1889" s="33" t="inlineStr">
        <is>
          <t>LCM_100_FLY</t>
        </is>
      </c>
      <c r="R1889" s="36" t="n">
        <v>57.09</v>
      </c>
      <c r="S1889" s="35">
        <f>IF(R1889="","",IF(R1889&gt;=60,INT(R1889/60)&amp;":"&amp;TEXT(MOD(R1889,60),"00.00"),TEXT(R1889,"0.00")))</f>
        <v/>
      </c>
      <c r="T1889" s="52">
        <f>IFERROR((G1889-INDEX('01_Swimmers'!$E$5:$E$22,MATCH(B1889,'01_Swimmers'!$A$5:$A$22,0)))/'00_Control'!$B$10,"")</f>
        <v/>
      </c>
      <c r="U1889" s="35">
        <f>IF(T1889="","",INT(T1889))</f>
        <v/>
      </c>
      <c r="V1889" s="33" t="inlineStr">
        <is>
          <t>NO</t>
        </is>
      </c>
      <c r="W1889" s="33" t="inlineStr">
        <is>
          <t>YES</t>
        </is>
      </c>
      <c r="X1889" s="33" t="inlineStr">
        <is>
          <t>NO</t>
        </is>
      </c>
      <c r="Y1889" s="33" t="n">
        <v>1</v>
      </c>
      <c r="Z1889" s="33" t="n">
        <v>4</v>
      </c>
      <c r="AA1889" s="33" t="inlineStr"/>
      <c r="AB1889" s="33" t="inlineStr">
        <is>
          <t>https://www.swimcloud.com/results/364773/event/11/?id=163941578#time163941578</t>
        </is>
      </c>
      <c r="AC1889" s="33" t="inlineStr">
        <is>
          <t>SwimCloud API v6 2026-10-08</t>
        </is>
      </c>
      <c r="AD1889" s="33" t="inlineStr">
        <is>
          <t>Lewis Clareburt|2025-03-29|LCM|100|Fly|57.09|SW NQ|TIM|False</t>
        </is>
      </c>
      <c r="AE1889" s="53">
        <f>G1889+L1889/1000+ROW()/1000000000</f>
        <v/>
      </c>
      <c r="AF1889" s="35">
        <f>IF(C1889&lt;&gt;"Grayson Coulter","",COUNTIFS($C$5:$C$2991,"Grayson Coulter",$Q$5:$Q$2991,Q1889,$AE$5:$AE$2991,"&lt;="&amp;AE1889,$R$5:$R$2991,"&lt;"&amp;R1889))</f>
        <v/>
      </c>
      <c r="AG1889" s="35">
        <f>IF(OR(C1889&lt;&gt;"Grayson Coulter",G1889&lt;'00_Control'!$B$7),"",--(AF1889&lt;5))</f>
        <v/>
      </c>
      <c r="AH1889" s="35">
        <f>IF(OR(C1889&lt;&gt;"Grayson Coulter",G1889&lt;'00_Control'!$B$7),"",--(AF1889&lt;10))</f>
        <v/>
      </c>
      <c r="AI1889" s="35">
        <f>IF(AND(C1889="Grayson Coulter",G1889&gt;='00_Control'!$B$7),"YES","NO")</f>
        <v/>
      </c>
      <c r="AJ1889" s="33" t="inlineStr">
        <is>
          <t>OK</t>
        </is>
      </c>
    </row>
    <row r="1890">
      <c r="A1890" s="33" t="inlineStr">
        <is>
          <t>SM001886</t>
        </is>
      </c>
      <c r="B1890" s="33" t="inlineStr">
        <is>
          <t>SW013</t>
        </is>
      </c>
      <c r="C1890" s="33" t="inlineStr">
        <is>
          <t>Lewis Clareburt</t>
        </is>
      </c>
      <c r="D1890" s="33" t="inlineStr">
        <is>
          <t>SwimCloud</t>
        </is>
      </c>
      <c r="E1890" s="33" t="inlineStr">
        <is>
          <t>3464011</t>
        </is>
      </c>
      <c r="F1890" s="33" t="inlineStr">
        <is>
          <t>151434607</t>
        </is>
      </c>
      <c r="G1890" s="51" t="n">
        <v>45769</v>
      </c>
      <c r="H1890" s="33" t="inlineStr">
        <is>
          <t>Australian Open Championships</t>
        </is>
      </c>
      <c r="I1890" s="33" t="inlineStr">
        <is>
          <t>342467</t>
        </is>
      </c>
      <c r="J1890" s="33" t="inlineStr"/>
      <c r="K1890" s="33" t="inlineStr">
        <is>
          <t>PRE</t>
        </is>
      </c>
      <c r="L1890" s="35">
        <f>IF(K1890="FIN",3,IF(OR(K1890="SEM",K1890="SEMI"),2,IF(OR(K1890="PRE",K1890="HEAT"),1,IF(V1890="YES",4,2))))</f>
        <v/>
      </c>
      <c r="M1890" s="33" t="inlineStr">
        <is>
          <t>LCM</t>
        </is>
      </c>
      <c r="N1890" s="33" t="n">
        <v>200</v>
      </c>
      <c r="O1890" s="33" t="inlineStr">
        <is>
          <t>Free</t>
        </is>
      </c>
      <c r="P1890" s="33" t="inlineStr">
        <is>
          <t>200 Free</t>
        </is>
      </c>
      <c r="Q1890" s="33" t="inlineStr">
        <is>
          <t>LCM_200_FREE</t>
        </is>
      </c>
      <c r="R1890" s="36" t="n">
        <v>108.25</v>
      </c>
      <c r="S1890" s="35">
        <f>IF(R1890="","",IF(R1890&gt;=60,INT(R1890/60)&amp;":"&amp;TEXT(MOD(R1890,60),"00.00"),TEXT(R1890,"0.00")))</f>
        <v/>
      </c>
      <c r="T1890" s="52">
        <f>IFERROR((G1890-INDEX('01_Swimmers'!$E$5:$E$22,MATCH(B1890,'01_Swimmers'!$A$5:$A$22,0)))/'00_Control'!$B$10,"")</f>
        <v/>
      </c>
      <c r="U1890" s="35">
        <f>IF(T1890="","",INT(T1890))</f>
        <v/>
      </c>
      <c r="V1890" s="33" t="inlineStr">
        <is>
          <t>NO</t>
        </is>
      </c>
      <c r="W1890" s="33" t="inlineStr">
        <is>
          <t>YES</t>
        </is>
      </c>
      <c r="X1890" s="33" t="inlineStr">
        <is>
          <t>NO</t>
        </is>
      </c>
      <c r="Y1890" s="33" t="n">
        <v>3</v>
      </c>
      <c r="Z1890" s="33" t="n">
        <v>5</v>
      </c>
      <c r="AA1890" s="33" t="inlineStr">
        <is>
          <t>2</t>
        </is>
      </c>
      <c r="AB1890" s="33" t="inlineStr">
        <is>
          <t>https://www.swimcloud.com/results/342467/event/19/?id=151434607#time151434607</t>
        </is>
      </c>
      <c r="AC1890" s="33" t="inlineStr">
        <is>
          <t>SwimCloud API v6 2026-10-08</t>
        </is>
      </c>
      <c r="AD1890" s="33" t="inlineStr">
        <is>
          <t>Lewis Clareburt|2025-04-22|LCM|200|Free|108.25|Australian Open Championships|PRE|False</t>
        </is>
      </c>
      <c r="AE1890" s="53">
        <f>G1890+L1890/1000+ROW()/1000000000</f>
        <v/>
      </c>
      <c r="AF1890" s="35">
        <f>IF(C1890&lt;&gt;"Grayson Coulter","",COUNTIFS($C$5:$C$2991,"Grayson Coulter",$Q$5:$Q$2991,Q1890,$AE$5:$AE$2991,"&lt;="&amp;AE1890,$R$5:$R$2991,"&lt;"&amp;R1890))</f>
        <v/>
      </c>
      <c r="AG1890" s="35">
        <f>IF(OR(C1890&lt;&gt;"Grayson Coulter",G1890&lt;'00_Control'!$B$7),"",--(AF1890&lt;5))</f>
        <v/>
      </c>
      <c r="AH1890" s="35">
        <f>IF(OR(C1890&lt;&gt;"Grayson Coulter",G1890&lt;'00_Control'!$B$7),"",--(AF1890&lt;10))</f>
        <v/>
      </c>
      <c r="AI1890" s="35">
        <f>IF(AND(C1890="Grayson Coulter",G1890&gt;='00_Control'!$B$7),"YES","NO")</f>
        <v/>
      </c>
      <c r="AJ1890" s="33" t="inlineStr">
        <is>
          <t>OK</t>
        </is>
      </c>
    </row>
    <row r="1891">
      <c r="A1891" s="33" t="inlineStr">
        <is>
          <t>SM001887</t>
        </is>
      </c>
      <c r="B1891" s="33" t="inlineStr">
        <is>
          <t>SW013</t>
        </is>
      </c>
      <c r="C1891" s="33" t="inlineStr">
        <is>
          <t>Lewis Clareburt</t>
        </is>
      </c>
      <c r="D1891" s="33" t="inlineStr">
        <is>
          <t>SwimCloud</t>
        </is>
      </c>
      <c r="E1891" s="33" t="inlineStr">
        <is>
          <t>3464011</t>
        </is>
      </c>
      <c r="F1891" s="33" t="inlineStr">
        <is>
          <t>151434608</t>
        </is>
      </c>
      <c r="G1891" s="51" t="n">
        <v>45769</v>
      </c>
      <c r="H1891" s="33" t="inlineStr">
        <is>
          <t>Australian Open Championships</t>
        </is>
      </c>
      <c r="I1891" s="33" t="inlineStr">
        <is>
          <t>342467</t>
        </is>
      </c>
      <c r="J1891" s="33" t="inlineStr"/>
      <c r="K1891" s="33" t="inlineStr">
        <is>
          <t>FIN</t>
        </is>
      </c>
      <c r="L1891" s="35">
        <f>IF(K1891="FIN",3,IF(OR(K1891="SEM",K1891="SEMI"),2,IF(OR(K1891="PRE",K1891="HEAT"),1,IF(V1891="YES",4,2))))</f>
        <v/>
      </c>
      <c r="M1891" s="33" t="inlineStr">
        <is>
          <t>LCM</t>
        </is>
      </c>
      <c r="N1891" s="33" t="n">
        <v>200</v>
      </c>
      <c r="O1891" s="33" t="inlineStr">
        <is>
          <t>Free</t>
        </is>
      </c>
      <c r="P1891" s="33" t="inlineStr">
        <is>
          <t>200 Free</t>
        </is>
      </c>
      <c r="Q1891" s="33" t="inlineStr">
        <is>
          <t>LCM_200_FREE</t>
        </is>
      </c>
      <c r="R1891" s="36" t="n">
        <v>107.95</v>
      </c>
      <c r="S1891" s="35">
        <f>IF(R1891="","",IF(R1891&gt;=60,INT(R1891/60)&amp;":"&amp;TEXT(MOD(R1891,60),"00.00"),TEXT(R1891,"0.00")))</f>
        <v/>
      </c>
      <c r="T1891" s="52">
        <f>IFERROR((G1891-INDEX('01_Swimmers'!$E$5:$E$22,MATCH(B1891,'01_Swimmers'!$A$5:$A$22,0)))/'00_Control'!$B$10,"")</f>
        <v/>
      </c>
      <c r="U1891" s="35">
        <f>IF(T1891="","",INT(T1891))</f>
        <v/>
      </c>
      <c r="V1891" s="33" t="inlineStr">
        <is>
          <t>NO</t>
        </is>
      </c>
      <c r="W1891" s="33" t="inlineStr">
        <is>
          <t>YES</t>
        </is>
      </c>
      <c r="X1891" s="33" t="inlineStr">
        <is>
          <t>NO</t>
        </is>
      </c>
      <c r="Y1891" s="33" t="n">
        <v>1</v>
      </c>
      <c r="Z1891" s="33" t="n">
        <v>5</v>
      </c>
      <c r="AA1891" s="33" t="inlineStr">
        <is>
          <t>3</t>
        </is>
      </c>
      <c r="AB1891" s="33" t="inlineStr">
        <is>
          <t>https://www.swimcloud.com/results/342467/event/19/?id=151434608#time151434608</t>
        </is>
      </c>
      <c r="AC1891" s="33" t="inlineStr">
        <is>
          <t>SwimCloud API v6 2026-10-08</t>
        </is>
      </c>
      <c r="AD1891" s="33" t="inlineStr">
        <is>
          <t>Lewis Clareburt|2025-04-22|LCM|200|Free|107.95|Australian Open Championships|FIN|False</t>
        </is>
      </c>
      <c r="AE1891" s="53">
        <f>G1891+L1891/1000+ROW()/1000000000</f>
        <v/>
      </c>
      <c r="AF1891" s="35">
        <f>IF(C1891&lt;&gt;"Grayson Coulter","",COUNTIFS($C$5:$C$2991,"Grayson Coulter",$Q$5:$Q$2991,Q1891,$AE$5:$AE$2991,"&lt;="&amp;AE1891,$R$5:$R$2991,"&lt;"&amp;R1891))</f>
        <v/>
      </c>
      <c r="AG1891" s="35">
        <f>IF(OR(C1891&lt;&gt;"Grayson Coulter",G1891&lt;'00_Control'!$B$7),"",--(AF1891&lt;5))</f>
        <v/>
      </c>
      <c r="AH1891" s="35">
        <f>IF(OR(C1891&lt;&gt;"Grayson Coulter",G1891&lt;'00_Control'!$B$7),"",--(AF1891&lt;10))</f>
        <v/>
      </c>
      <c r="AI1891" s="35">
        <f>IF(AND(C1891="Grayson Coulter",G1891&gt;='00_Control'!$B$7),"YES","NO")</f>
        <v/>
      </c>
      <c r="AJ1891" s="33" t="inlineStr">
        <is>
          <t>OK</t>
        </is>
      </c>
    </row>
    <row r="1892">
      <c r="A1892" s="33" t="inlineStr">
        <is>
          <t>SM001888</t>
        </is>
      </c>
      <c r="B1892" s="33" t="inlineStr">
        <is>
          <t>SW013</t>
        </is>
      </c>
      <c r="C1892" s="33" t="inlineStr">
        <is>
          <t>Lewis Clareburt</t>
        </is>
      </c>
      <c r="D1892" s="33" t="inlineStr">
        <is>
          <t>SwimCloud</t>
        </is>
      </c>
      <c r="E1892" s="33" t="inlineStr">
        <is>
          <t>3464011</t>
        </is>
      </c>
      <c r="F1892" s="33" t="inlineStr">
        <is>
          <t>151436366</t>
        </is>
      </c>
      <c r="G1892" s="51" t="n">
        <v>45771</v>
      </c>
      <c r="H1892" s="33" t="inlineStr">
        <is>
          <t>Australian Open Championships</t>
        </is>
      </c>
      <c r="I1892" s="33" t="inlineStr">
        <is>
          <t>342467</t>
        </is>
      </c>
      <c r="J1892" s="33" t="inlineStr"/>
      <c r="K1892" s="33" t="inlineStr">
        <is>
          <t>PRE</t>
        </is>
      </c>
      <c r="L1892" s="35">
        <f>IF(K1892="FIN",3,IF(OR(K1892="SEM",K1892="SEMI"),2,IF(OR(K1892="PRE",K1892="HEAT"),1,IF(V1892="YES",4,2))))</f>
        <v/>
      </c>
      <c r="M1892" s="33" t="inlineStr">
        <is>
          <t>LCM</t>
        </is>
      </c>
      <c r="N1892" s="33" t="n">
        <v>100</v>
      </c>
      <c r="O1892" s="33" t="inlineStr">
        <is>
          <t>Fly</t>
        </is>
      </c>
      <c r="P1892" s="33" t="inlineStr">
        <is>
          <t>100 Fly</t>
        </is>
      </c>
      <c r="Q1892" s="33" t="inlineStr">
        <is>
          <t>LCM_100_FLY</t>
        </is>
      </c>
      <c r="R1892" s="36" t="n">
        <v>56.39</v>
      </c>
      <c r="S1892" s="35">
        <f>IF(R1892="","",IF(R1892&gt;=60,INT(R1892/60)&amp;":"&amp;TEXT(MOD(R1892,60),"00.00"),TEXT(R1892,"0.00")))</f>
        <v/>
      </c>
      <c r="T1892" s="52">
        <f>IFERROR((G1892-INDEX('01_Swimmers'!$E$5:$E$22,MATCH(B1892,'01_Swimmers'!$A$5:$A$22,0)))/'00_Control'!$B$10,"")</f>
        <v/>
      </c>
      <c r="U1892" s="35">
        <f>IF(T1892="","",INT(T1892))</f>
        <v/>
      </c>
      <c r="V1892" s="33" t="inlineStr">
        <is>
          <t>NO</t>
        </is>
      </c>
      <c r="W1892" s="33" t="inlineStr">
        <is>
          <t>YES</t>
        </is>
      </c>
      <c r="X1892" s="33" t="inlineStr">
        <is>
          <t>NO</t>
        </is>
      </c>
      <c r="Y1892" s="33" t="n">
        <v>1</v>
      </c>
      <c r="Z1892" s="33" t="n">
        <v>4</v>
      </c>
      <c r="AA1892" s="33" t="inlineStr"/>
      <c r="AB1892" s="33" t="inlineStr">
        <is>
          <t>https://www.swimcloud.com/results/342467/event/54/?id=151432520#time151432520</t>
        </is>
      </c>
      <c r="AC1892" s="33" t="inlineStr">
        <is>
          <t>SwimCloud API v6 2026-10-08</t>
        </is>
      </c>
      <c r="AD1892" s="33" t="inlineStr">
        <is>
          <t>Lewis Clareburt|2025-04-24|LCM|100|Fly|56.39|Australian Open Championships|PRE|False</t>
        </is>
      </c>
      <c r="AE1892" s="53">
        <f>G1892+L1892/1000+ROW()/1000000000</f>
        <v/>
      </c>
      <c r="AF1892" s="35">
        <f>IF(C1892&lt;&gt;"Grayson Coulter","",COUNTIFS($C$5:$C$2991,"Grayson Coulter",$Q$5:$Q$2991,Q1892,$AE$5:$AE$2991,"&lt;="&amp;AE1892,$R$5:$R$2991,"&lt;"&amp;R1892))</f>
        <v/>
      </c>
      <c r="AG1892" s="35">
        <f>IF(OR(C1892&lt;&gt;"Grayson Coulter",G1892&lt;'00_Control'!$B$7),"",--(AF1892&lt;5))</f>
        <v/>
      </c>
      <c r="AH1892" s="35">
        <f>IF(OR(C1892&lt;&gt;"Grayson Coulter",G1892&lt;'00_Control'!$B$7),"",--(AF1892&lt;10))</f>
        <v/>
      </c>
      <c r="AI1892" s="35">
        <f>IF(AND(C1892="Grayson Coulter",G1892&gt;='00_Control'!$B$7),"YES","NO")</f>
        <v/>
      </c>
      <c r="AJ1892" s="33" t="inlineStr">
        <is>
          <t>OK</t>
        </is>
      </c>
    </row>
    <row r="1893">
      <c r="A1893" s="33" t="inlineStr">
        <is>
          <t>SM001889</t>
        </is>
      </c>
      <c r="B1893" s="33" t="inlineStr">
        <is>
          <t>SW013</t>
        </is>
      </c>
      <c r="C1893" s="33" t="inlineStr">
        <is>
          <t>Lewis Clareburt</t>
        </is>
      </c>
      <c r="D1893" s="33" t="inlineStr">
        <is>
          <t>SwimCloud</t>
        </is>
      </c>
      <c r="E1893" s="33" t="inlineStr">
        <is>
          <t>3464011</t>
        </is>
      </c>
      <c r="F1893" s="33" t="inlineStr">
        <is>
          <t>151436365</t>
        </is>
      </c>
      <c r="G1893" s="51" t="n">
        <v>45771</v>
      </c>
      <c r="H1893" s="33" t="inlineStr">
        <is>
          <t>Australian Open Championships</t>
        </is>
      </c>
      <c r="I1893" s="33" t="inlineStr">
        <is>
          <t>342467</t>
        </is>
      </c>
      <c r="J1893" s="33" t="inlineStr"/>
      <c r="K1893" s="33" t="inlineStr">
        <is>
          <t>FIN</t>
        </is>
      </c>
      <c r="L1893" s="35">
        <f>IF(K1893="FIN",3,IF(OR(K1893="SEM",K1893="SEMI"),2,IF(OR(K1893="PRE",K1893="HEAT"),1,IF(V1893="YES",4,2))))</f>
        <v/>
      </c>
      <c r="M1893" s="33" t="inlineStr">
        <is>
          <t>LCM</t>
        </is>
      </c>
      <c r="N1893" s="33" t="n">
        <v>100</v>
      </c>
      <c r="O1893" s="33" t="inlineStr">
        <is>
          <t>Fly</t>
        </is>
      </c>
      <c r="P1893" s="33" t="inlineStr">
        <is>
          <t>100 Fly</t>
        </is>
      </c>
      <c r="Q1893" s="33" t="inlineStr">
        <is>
          <t>LCM_100_FLY</t>
        </is>
      </c>
      <c r="R1893" s="36" t="n">
        <v>55.73</v>
      </c>
      <c r="S1893" s="35">
        <f>IF(R1893="","",IF(R1893&gt;=60,INT(R1893/60)&amp;":"&amp;TEXT(MOD(R1893,60),"00.00"),TEXT(R1893,"0.00")))</f>
        <v/>
      </c>
      <c r="T1893" s="52">
        <f>IFERROR((G1893-INDEX('01_Swimmers'!$E$5:$E$22,MATCH(B1893,'01_Swimmers'!$A$5:$A$22,0)))/'00_Control'!$B$10,"")</f>
        <v/>
      </c>
      <c r="U1893" s="35">
        <f>IF(T1893="","",INT(T1893))</f>
        <v/>
      </c>
      <c r="V1893" s="33" t="inlineStr">
        <is>
          <t>NO</t>
        </is>
      </c>
      <c r="W1893" s="33" t="inlineStr">
        <is>
          <t>YES</t>
        </is>
      </c>
      <c r="X1893" s="33" t="inlineStr">
        <is>
          <t>NO</t>
        </is>
      </c>
      <c r="Y1893" s="33" t="n">
        <v>1</v>
      </c>
      <c r="Z1893" s="33" t="n">
        <v>4</v>
      </c>
      <c r="AA1893" s="33" t="inlineStr"/>
      <c r="AB1893" s="33" t="inlineStr">
        <is>
          <t>https://www.swimcloud.com/results/342467/event/54/?id=151432521#time151432521</t>
        </is>
      </c>
      <c r="AC1893" s="33" t="inlineStr">
        <is>
          <t>SwimCloud API v6 2026-10-08</t>
        </is>
      </c>
      <c r="AD1893" s="33" t="inlineStr">
        <is>
          <t>Lewis Clareburt|2025-04-24|LCM|100|Fly|55.73|Australian Open Championships|FIN|False</t>
        </is>
      </c>
      <c r="AE1893" s="53">
        <f>G1893+L1893/1000+ROW()/1000000000</f>
        <v/>
      </c>
      <c r="AF1893" s="35">
        <f>IF(C1893&lt;&gt;"Grayson Coulter","",COUNTIFS($C$5:$C$2991,"Grayson Coulter",$Q$5:$Q$2991,Q1893,$AE$5:$AE$2991,"&lt;="&amp;AE1893,$R$5:$R$2991,"&lt;"&amp;R1893))</f>
        <v/>
      </c>
      <c r="AG1893" s="35">
        <f>IF(OR(C1893&lt;&gt;"Grayson Coulter",G1893&lt;'00_Control'!$B$7),"",--(AF1893&lt;5))</f>
        <v/>
      </c>
      <c r="AH1893" s="35">
        <f>IF(OR(C1893&lt;&gt;"Grayson Coulter",G1893&lt;'00_Control'!$B$7),"",--(AF1893&lt;10))</f>
        <v/>
      </c>
      <c r="AI1893" s="35">
        <f>IF(AND(C1893="Grayson Coulter",G1893&gt;='00_Control'!$B$7),"YES","NO")</f>
        <v/>
      </c>
      <c r="AJ1893" s="33" t="inlineStr">
        <is>
          <t>OK</t>
        </is>
      </c>
    </row>
    <row r="1894">
      <c r="A1894" s="33" t="inlineStr">
        <is>
          <t>SM001890</t>
        </is>
      </c>
      <c r="B1894" s="33" t="inlineStr">
        <is>
          <t>SW013</t>
        </is>
      </c>
      <c r="C1894" s="33" t="inlineStr">
        <is>
          <t>Lewis Clareburt</t>
        </is>
      </c>
      <c r="D1894" s="33" t="inlineStr">
        <is>
          <t>SwimCloud</t>
        </is>
      </c>
      <c r="E1894" s="33" t="inlineStr">
        <is>
          <t>3464011</t>
        </is>
      </c>
      <c r="F1894" s="33" t="inlineStr">
        <is>
          <t>151435125</t>
        </is>
      </c>
      <c r="G1894" s="51" t="n">
        <v>45771</v>
      </c>
      <c r="H1894" s="33" t="inlineStr">
        <is>
          <t>Australian Open Championships</t>
        </is>
      </c>
      <c r="I1894" s="33" t="inlineStr">
        <is>
          <t>342467</t>
        </is>
      </c>
      <c r="J1894" s="33" t="inlineStr"/>
      <c r="K1894" s="33" t="inlineStr">
        <is>
          <t>TIM</t>
        </is>
      </c>
      <c r="L1894" s="35">
        <f>IF(K1894="FIN",3,IF(OR(K1894="SEM",K1894="SEMI"),2,IF(OR(K1894="PRE",K1894="HEAT"),1,IF(V1894="YES",4,2))))</f>
        <v/>
      </c>
      <c r="M1894" s="33" t="inlineStr">
        <is>
          <t>LCM</t>
        </is>
      </c>
      <c r="N1894" s="33" t="n">
        <v>100</v>
      </c>
      <c r="O1894" s="33" t="inlineStr">
        <is>
          <t>Free</t>
        </is>
      </c>
      <c r="P1894" s="33" t="inlineStr">
        <is>
          <t>100 Free</t>
        </is>
      </c>
      <c r="Q1894" s="33" t="inlineStr">
        <is>
          <t>LCM_100_FREE</t>
        </is>
      </c>
      <c r="R1894" s="36" t="n">
        <v>50.23</v>
      </c>
      <c r="S1894" s="35">
        <f>IF(R1894="","",IF(R1894&gt;=60,INT(R1894/60)&amp;":"&amp;TEXT(MOD(R1894,60),"00.00"),TEXT(R1894,"0.00")))</f>
        <v/>
      </c>
      <c r="T1894" s="52">
        <f>IFERROR((G1894-INDEX('01_Swimmers'!$E$5:$E$22,MATCH(B1894,'01_Swimmers'!$A$5:$A$22,0)))/'00_Control'!$B$10,"")</f>
        <v/>
      </c>
      <c r="U1894" s="35">
        <f>IF(T1894="","",INT(T1894))</f>
        <v/>
      </c>
      <c r="V1894" s="33" t="inlineStr">
        <is>
          <t>YES</t>
        </is>
      </c>
      <c r="W1894" s="33" t="inlineStr">
        <is>
          <t>YES</t>
        </is>
      </c>
      <c r="X1894" s="33" t="inlineStr">
        <is>
          <t>NO</t>
        </is>
      </c>
      <c r="Y1894" s="33" t="n">
        <v>2</v>
      </c>
      <c r="Z1894" s="33" t="n">
        <v>4</v>
      </c>
      <c r="AA1894" s="33" t="inlineStr"/>
      <c r="AB1894" s="33" t="inlineStr">
        <is>
          <t>https://www.swimcloud.com/results/342467/event/64/?id=151434937#time151434937</t>
        </is>
      </c>
      <c r="AC1894" s="33" t="inlineStr">
        <is>
          <t>SwimCloud API v6 2026-10-08</t>
        </is>
      </c>
      <c r="AD1894" s="33" t="inlineStr">
        <is>
          <t>Lewis Clareburt|2025-04-24|LCM|100|Free|50.23|Australian Open Championships|TIM|True</t>
        </is>
      </c>
      <c r="AE1894" s="53">
        <f>G1894+L1894/1000+ROW()/1000000000</f>
        <v/>
      </c>
      <c r="AF1894" s="35">
        <f>IF(C1894&lt;&gt;"Grayson Coulter","",COUNTIFS($C$5:$C$2991,"Grayson Coulter",$Q$5:$Q$2991,Q1894,$AE$5:$AE$2991,"&lt;="&amp;AE1894,$R$5:$R$2991,"&lt;"&amp;R1894))</f>
        <v/>
      </c>
      <c r="AG1894" s="35">
        <f>IF(OR(C1894&lt;&gt;"Grayson Coulter",G1894&lt;'00_Control'!$B$7),"",--(AF1894&lt;5))</f>
        <v/>
      </c>
      <c r="AH1894" s="35">
        <f>IF(OR(C1894&lt;&gt;"Grayson Coulter",G1894&lt;'00_Control'!$B$7),"",--(AF1894&lt;10))</f>
        <v/>
      </c>
      <c r="AI1894" s="35">
        <f>IF(AND(C1894="Grayson Coulter",G1894&gt;='00_Control'!$B$7),"YES","NO")</f>
        <v/>
      </c>
      <c r="AJ1894" s="33" t="inlineStr">
        <is>
          <t>OK</t>
        </is>
      </c>
    </row>
    <row r="1895">
      <c r="A1895" s="33" t="inlineStr">
        <is>
          <t>SM001891</t>
        </is>
      </c>
      <c r="B1895" s="33" t="inlineStr">
        <is>
          <t>SW013</t>
        </is>
      </c>
      <c r="C1895" s="33" t="inlineStr">
        <is>
          <t>Lewis Clareburt</t>
        </is>
      </c>
      <c r="D1895" s="33" t="inlineStr">
        <is>
          <t>SwimCloud</t>
        </is>
      </c>
      <c r="E1895" s="33" t="inlineStr">
        <is>
          <t>3464011</t>
        </is>
      </c>
      <c r="F1895" s="33" t="inlineStr">
        <is>
          <t>152575725</t>
        </is>
      </c>
      <c r="G1895" s="51" t="n">
        <v>45795</v>
      </c>
      <c r="H1895" s="33" t="inlineStr">
        <is>
          <t>Mare Nostrum Monaco</t>
        </is>
      </c>
      <c r="I1895" s="33" t="inlineStr">
        <is>
          <t>344362</t>
        </is>
      </c>
      <c r="J1895" s="33" t="inlineStr"/>
      <c r="K1895" s="33" t="inlineStr">
        <is>
          <t>PRE</t>
        </is>
      </c>
      <c r="L1895" s="35">
        <f>IF(K1895="FIN",3,IF(OR(K1895="SEM",K1895="SEMI"),2,IF(OR(K1895="PRE",K1895="HEAT"),1,IF(V1895="YES",4,2))))</f>
        <v/>
      </c>
      <c r="M1895" s="33" t="inlineStr">
        <is>
          <t>LCM</t>
        </is>
      </c>
      <c r="N1895" s="33" t="n">
        <v>100</v>
      </c>
      <c r="O1895" s="33" t="inlineStr">
        <is>
          <t>Fly</t>
        </is>
      </c>
      <c r="P1895" s="33" t="inlineStr">
        <is>
          <t>100 Fly</t>
        </is>
      </c>
      <c r="Q1895" s="33" t="inlineStr">
        <is>
          <t>LCM_100_FLY</t>
        </is>
      </c>
      <c r="R1895" s="36" t="n">
        <v>57.37</v>
      </c>
      <c r="S1895" s="35">
        <f>IF(R1895="","",IF(R1895&gt;=60,INT(R1895/60)&amp;":"&amp;TEXT(MOD(R1895,60),"00.00"),TEXT(R1895,"0.00")))</f>
        <v/>
      </c>
      <c r="T1895" s="52">
        <f>IFERROR((G1895-INDEX('01_Swimmers'!$E$5:$E$22,MATCH(B1895,'01_Swimmers'!$A$5:$A$22,0)))/'00_Control'!$B$10,"")</f>
        <v/>
      </c>
      <c r="U1895" s="35">
        <f>IF(T1895="","",INT(T1895))</f>
        <v/>
      </c>
      <c r="V1895" s="33" t="inlineStr">
        <is>
          <t>NO</t>
        </is>
      </c>
      <c r="W1895" s="33" t="inlineStr">
        <is>
          <t>YES</t>
        </is>
      </c>
      <c r="X1895" s="33" t="inlineStr">
        <is>
          <t>NO</t>
        </is>
      </c>
      <c r="Y1895" s="33" t="n">
        <v>3</v>
      </c>
      <c r="Z1895" s="33" t="n"/>
      <c r="AA1895" s="33" t="inlineStr"/>
      <c r="AB1895" s="33" t="inlineStr">
        <is>
          <t>https://www.swimcloud.com/results/344362/event/201/?id=152574992#time152574992</t>
        </is>
      </c>
      <c r="AC1895" s="33" t="inlineStr">
        <is>
          <t>SwimCloud API v6 2026-10-08</t>
        </is>
      </c>
      <c r="AD1895" s="33" t="inlineStr">
        <is>
          <t>Lewis Clareburt|2025-05-18|LCM|100|Fly|57.37|Mare Nostrum Monaco|PRE|False</t>
        </is>
      </c>
      <c r="AE1895" s="53">
        <f>G1895+L1895/1000+ROW()/1000000000</f>
        <v/>
      </c>
      <c r="AF1895" s="35">
        <f>IF(C1895&lt;&gt;"Grayson Coulter","",COUNTIFS($C$5:$C$2991,"Grayson Coulter",$Q$5:$Q$2991,Q1895,$AE$5:$AE$2991,"&lt;="&amp;AE1895,$R$5:$R$2991,"&lt;"&amp;R1895))</f>
        <v/>
      </c>
      <c r="AG1895" s="35">
        <f>IF(OR(C1895&lt;&gt;"Grayson Coulter",G1895&lt;'00_Control'!$B$7),"",--(AF1895&lt;5))</f>
        <v/>
      </c>
      <c r="AH1895" s="35">
        <f>IF(OR(C1895&lt;&gt;"Grayson Coulter",G1895&lt;'00_Control'!$B$7),"",--(AF1895&lt;10))</f>
        <v/>
      </c>
      <c r="AI1895" s="35">
        <f>IF(AND(C1895="Grayson Coulter",G1895&gt;='00_Control'!$B$7),"YES","NO")</f>
        <v/>
      </c>
      <c r="AJ1895" s="33" t="inlineStr">
        <is>
          <t>OK</t>
        </is>
      </c>
    </row>
    <row r="1896">
      <c r="A1896" s="33" t="inlineStr">
        <is>
          <t>SM001892</t>
        </is>
      </c>
      <c r="B1896" s="33" t="inlineStr">
        <is>
          <t>SW013</t>
        </is>
      </c>
      <c r="C1896" s="33" t="inlineStr">
        <is>
          <t>Lewis Clareburt</t>
        </is>
      </c>
      <c r="D1896" s="33" t="inlineStr">
        <is>
          <t>SwimCloud</t>
        </is>
      </c>
      <c r="E1896" s="33" t="inlineStr">
        <is>
          <t>3464011</t>
        </is>
      </c>
      <c r="F1896" s="33" t="inlineStr">
        <is>
          <t>152575726</t>
        </is>
      </c>
      <c r="G1896" s="51" t="n">
        <v>45795</v>
      </c>
      <c r="H1896" s="33" t="inlineStr">
        <is>
          <t>Mare Nostrum Monaco</t>
        </is>
      </c>
      <c r="I1896" s="33" t="inlineStr">
        <is>
          <t>344362</t>
        </is>
      </c>
      <c r="J1896" s="33" t="inlineStr"/>
      <c r="K1896" s="33" t="inlineStr">
        <is>
          <t>FIN</t>
        </is>
      </c>
      <c r="L1896" s="35">
        <f>IF(K1896="FIN",3,IF(OR(K1896="SEM",K1896="SEMI"),2,IF(OR(K1896="PRE",K1896="HEAT"),1,IF(V1896="YES",4,2))))</f>
        <v/>
      </c>
      <c r="M1896" s="33" t="inlineStr">
        <is>
          <t>LCM</t>
        </is>
      </c>
      <c r="N1896" s="33" t="n">
        <v>100</v>
      </c>
      <c r="O1896" s="33" t="inlineStr">
        <is>
          <t>Fly</t>
        </is>
      </c>
      <c r="P1896" s="33" t="inlineStr">
        <is>
          <t>100 Fly</t>
        </is>
      </c>
      <c r="Q1896" s="33" t="inlineStr">
        <is>
          <t>LCM_100_FLY</t>
        </is>
      </c>
      <c r="R1896" s="36" t="n">
        <v>57.5</v>
      </c>
      <c r="S1896" s="35">
        <f>IF(R1896="","",IF(R1896&gt;=60,INT(R1896/60)&amp;":"&amp;TEXT(MOD(R1896,60),"00.00"),TEXT(R1896,"0.00")))</f>
        <v/>
      </c>
      <c r="T1896" s="52">
        <f>IFERROR((G1896-INDEX('01_Swimmers'!$E$5:$E$22,MATCH(B1896,'01_Swimmers'!$A$5:$A$22,0)))/'00_Control'!$B$10,"")</f>
        <v/>
      </c>
      <c r="U1896" s="35">
        <f>IF(T1896="","",INT(T1896))</f>
        <v/>
      </c>
      <c r="V1896" s="33" t="inlineStr">
        <is>
          <t>NO</t>
        </is>
      </c>
      <c r="W1896" s="33" t="inlineStr">
        <is>
          <t>YES</t>
        </is>
      </c>
      <c r="X1896" s="33" t="inlineStr">
        <is>
          <t>NO</t>
        </is>
      </c>
      <c r="Y1896" s="33" t="n">
        <v>1</v>
      </c>
      <c r="Z1896" s="33" t="n"/>
      <c r="AA1896" s="33" t="inlineStr"/>
      <c r="AB1896" s="33" t="inlineStr">
        <is>
          <t>https://www.swimcloud.com/results/344362/event/201/?id=152574996#time152574996</t>
        </is>
      </c>
      <c r="AC1896" s="33" t="inlineStr">
        <is>
          <t>SwimCloud API v6 2026-10-08</t>
        </is>
      </c>
      <c r="AD1896" s="33" t="inlineStr">
        <is>
          <t>Lewis Clareburt|2025-05-18|LCM|100|Fly|57.5|Mare Nostrum Monaco|FIN|False</t>
        </is>
      </c>
      <c r="AE1896" s="53">
        <f>G1896+L1896/1000+ROW()/1000000000</f>
        <v/>
      </c>
      <c r="AF1896" s="35">
        <f>IF(C1896&lt;&gt;"Grayson Coulter","",COUNTIFS($C$5:$C$2991,"Grayson Coulter",$Q$5:$Q$2991,Q1896,$AE$5:$AE$2991,"&lt;="&amp;AE1896,$R$5:$R$2991,"&lt;"&amp;R1896))</f>
        <v/>
      </c>
      <c r="AG1896" s="35">
        <f>IF(OR(C1896&lt;&gt;"Grayson Coulter",G1896&lt;'00_Control'!$B$7),"",--(AF1896&lt;5))</f>
        <v/>
      </c>
      <c r="AH1896" s="35">
        <f>IF(OR(C1896&lt;&gt;"Grayson Coulter",G1896&lt;'00_Control'!$B$7),"",--(AF1896&lt;10))</f>
        <v/>
      </c>
      <c r="AI1896" s="35">
        <f>IF(AND(C1896="Grayson Coulter",G1896&gt;='00_Control'!$B$7),"YES","NO")</f>
        <v/>
      </c>
      <c r="AJ1896" s="33" t="inlineStr">
        <is>
          <t>OK</t>
        </is>
      </c>
    </row>
    <row r="1897">
      <c r="A1897" s="33" t="inlineStr">
        <is>
          <t>SM001893</t>
        </is>
      </c>
      <c r="B1897" s="33" t="inlineStr">
        <is>
          <t>SW013</t>
        </is>
      </c>
      <c r="C1897" s="33" t="inlineStr">
        <is>
          <t>Lewis Clareburt</t>
        </is>
      </c>
      <c r="D1897" s="33" t="inlineStr">
        <is>
          <t>SwimCloud</t>
        </is>
      </c>
      <c r="E1897" s="33" t="inlineStr">
        <is>
          <t>3464011</t>
        </is>
      </c>
      <c r="F1897" s="33" t="inlineStr">
        <is>
          <t>152574989</t>
        </is>
      </c>
      <c r="G1897" s="51" t="n">
        <v>45795</v>
      </c>
      <c r="H1897" s="33" t="inlineStr">
        <is>
          <t>Mare Nostrum Monaco</t>
        </is>
      </c>
      <c r="I1897" s="33" t="inlineStr">
        <is>
          <t>344362</t>
        </is>
      </c>
      <c r="J1897" s="33" t="inlineStr"/>
      <c r="K1897" s="33" t="inlineStr">
        <is>
          <t>PRE</t>
        </is>
      </c>
      <c r="L1897" s="35">
        <f>IF(K1897="FIN",3,IF(OR(K1897="SEM",K1897="SEMI"),2,IF(OR(K1897="PRE",K1897="HEAT"),1,IF(V1897="YES",4,2))))</f>
        <v/>
      </c>
      <c r="M1897" s="33" t="inlineStr">
        <is>
          <t>LCM</t>
        </is>
      </c>
      <c r="N1897" s="33" t="n">
        <v>200</v>
      </c>
      <c r="O1897" s="33" t="inlineStr">
        <is>
          <t>Free</t>
        </is>
      </c>
      <c r="P1897" s="33" t="inlineStr">
        <is>
          <t>200 Free</t>
        </is>
      </c>
      <c r="Q1897" s="33" t="inlineStr">
        <is>
          <t>LCM_200_FREE</t>
        </is>
      </c>
      <c r="R1897" s="36" t="n">
        <v>110.25</v>
      </c>
      <c r="S1897" s="35">
        <f>IF(R1897="","",IF(R1897&gt;=60,INT(R1897/60)&amp;":"&amp;TEXT(MOD(R1897,60),"00.00"),TEXT(R1897,"0.00")))</f>
        <v/>
      </c>
      <c r="T1897" s="52">
        <f>IFERROR((G1897-INDEX('01_Swimmers'!$E$5:$E$22,MATCH(B1897,'01_Swimmers'!$A$5:$A$22,0)))/'00_Control'!$B$10,"")</f>
        <v/>
      </c>
      <c r="U1897" s="35">
        <f>IF(T1897="","",INT(T1897))</f>
        <v/>
      </c>
      <c r="V1897" s="33" t="inlineStr">
        <is>
          <t>NO</t>
        </is>
      </c>
      <c r="W1897" s="33" t="inlineStr">
        <is>
          <t>YES</t>
        </is>
      </c>
      <c r="X1897" s="33" t="inlineStr">
        <is>
          <t>NO</t>
        </is>
      </c>
      <c r="Y1897" s="33" t="n">
        <v>4</v>
      </c>
      <c r="Z1897" s="33" t="n"/>
      <c r="AA1897" s="33" t="inlineStr">
        <is>
          <t>4</t>
        </is>
      </c>
      <c r="AB1897" s="33" t="inlineStr">
        <is>
          <t>https://www.swimcloud.com/results/344362/event/210/?id=152574989#time152574989</t>
        </is>
      </c>
      <c r="AC1897" s="33" t="inlineStr">
        <is>
          <t>SwimCloud API v6 2026-10-08</t>
        </is>
      </c>
      <c r="AD1897" s="33" t="inlineStr">
        <is>
          <t>Lewis Clareburt|2025-05-18|LCM|200|Free|110.25|Mare Nostrum Monaco|PRE|False</t>
        </is>
      </c>
      <c r="AE1897" s="53">
        <f>G1897+L1897/1000+ROW()/1000000000</f>
        <v/>
      </c>
      <c r="AF1897" s="35">
        <f>IF(C1897&lt;&gt;"Grayson Coulter","",COUNTIFS($C$5:$C$2991,"Grayson Coulter",$Q$5:$Q$2991,Q1897,$AE$5:$AE$2991,"&lt;="&amp;AE1897,$R$5:$R$2991,"&lt;"&amp;R1897))</f>
        <v/>
      </c>
      <c r="AG1897" s="35">
        <f>IF(OR(C1897&lt;&gt;"Grayson Coulter",G1897&lt;'00_Control'!$B$7),"",--(AF1897&lt;5))</f>
        <v/>
      </c>
      <c r="AH1897" s="35">
        <f>IF(OR(C1897&lt;&gt;"Grayson Coulter",G1897&lt;'00_Control'!$B$7),"",--(AF1897&lt;10))</f>
        <v/>
      </c>
      <c r="AI1897" s="35">
        <f>IF(AND(C1897="Grayson Coulter",G1897&gt;='00_Control'!$B$7),"YES","NO")</f>
        <v/>
      </c>
      <c r="AJ1897" s="33" t="inlineStr">
        <is>
          <t>OK</t>
        </is>
      </c>
    </row>
    <row r="1898">
      <c r="A1898" s="33" t="inlineStr">
        <is>
          <t>SM001894</t>
        </is>
      </c>
      <c r="B1898" s="33" t="inlineStr">
        <is>
          <t>SW013</t>
        </is>
      </c>
      <c r="C1898" s="33" t="inlineStr">
        <is>
          <t>Lewis Clareburt</t>
        </is>
      </c>
      <c r="D1898" s="33" t="inlineStr">
        <is>
          <t>SwimCloud</t>
        </is>
      </c>
      <c r="E1898" s="33" t="inlineStr">
        <is>
          <t>3464011</t>
        </is>
      </c>
      <c r="F1898" s="33" t="inlineStr">
        <is>
          <t>152574995</t>
        </is>
      </c>
      <c r="G1898" s="51" t="n">
        <v>45795</v>
      </c>
      <c r="H1898" s="33" t="inlineStr">
        <is>
          <t>Mare Nostrum Monaco</t>
        </is>
      </c>
      <c r="I1898" s="33" t="inlineStr">
        <is>
          <t>344362</t>
        </is>
      </c>
      <c r="J1898" s="33" t="inlineStr"/>
      <c r="K1898" s="33" t="inlineStr">
        <is>
          <t>FIN</t>
        </is>
      </c>
      <c r="L1898" s="35">
        <f>IF(K1898="FIN",3,IF(OR(K1898="SEM",K1898="SEMI"),2,IF(OR(K1898="PRE",K1898="HEAT"),1,IF(V1898="YES",4,2))))</f>
        <v/>
      </c>
      <c r="M1898" s="33" t="inlineStr">
        <is>
          <t>LCM</t>
        </is>
      </c>
      <c r="N1898" s="33" t="n">
        <v>200</v>
      </c>
      <c r="O1898" s="33" t="inlineStr">
        <is>
          <t>Free</t>
        </is>
      </c>
      <c r="P1898" s="33" t="inlineStr">
        <is>
          <t>200 Free</t>
        </is>
      </c>
      <c r="Q1898" s="33" t="inlineStr">
        <is>
          <t>LCM_200_FREE</t>
        </is>
      </c>
      <c r="R1898" s="36" t="n">
        <v>109.14</v>
      </c>
      <c r="S1898" s="35">
        <f>IF(R1898="","",IF(R1898&gt;=60,INT(R1898/60)&amp;":"&amp;TEXT(MOD(R1898,60),"00.00"),TEXT(R1898,"0.00")))</f>
        <v/>
      </c>
      <c r="T1898" s="52">
        <f>IFERROR((G1898-INDEX('01_Swimmers'!$E$5:$E$22,MATCH(B1898,'01_Swimmers'!$A$5:$A$22,0)))/'00_Control'!$B$10,"")</f>
        <v/>
      </c>
      <c r="U1898" s="35">
        <f>IF(T1898="","",INT(T1898))</f>
        <v/>
      </c>
      <c r="V1898" s="33" t="inlineStr">
        <is>
          <t>NO</t>
        </is>
      </c>
      <c r="W1898" s="33" t="inlineStr">
        <is>
          <t>YES</t>
        </is>
      </c>
      <c r="X1898" s="33" t="inlineStr">
        <is>
          <t>NO</t>
        </is>
      </c>
      <c r="Y1898" s="33" t="n">
        <v>1</v>
      </c>
      <c r="Z1898" s="33" t="n"/>
      <c r="AA1898" s="33" t="inlineStr">
        <is>
          <t>3</t>
        </is>
      </c>
      <c r="AB1898" s="33" t="inlineStr">
        <is>
          <t>https://www.swimcloud.com/results/344362/event/210/?id=152574995#time152574995</t>
        </is>
      </c>
      <c r="AC1898" s="33" t="inlineStr">
        <is>
          <t>SwimCloud API v6 2026-10-08</t>
        </is>
      </c>
      <c r="AD1898" s="33" t="inlineStr">
        <is>
          <t>Lewis Clareburt|2025-05-18|LCM|200|Free|109.14|Mare Nostrum Monaco|FIN|False</t>
        </is>
      </c>
      <c r="AE1898" s="53">
        <f>G1898+L1898/1000+ROW()/1000000000</f>
        <v/>
      </c>
      <c r="AF1898" s="35">
        <f>IF(C1898&lt;&gt;"Grayson Coulter","",COUNTIFS($C$5:$C$2991,"Grayson Coulter",$Q$5:$Q$2991,Q1898,$AE$5:$AE$2991,"&lt;="&amp;AE1898,$R$5:$R$2991,"&lt;"&amp;R1898))</f>
        <v/>
      </c>
      <c r="AG1898" s="35">
        <f>IF(OR(C1898&lt;&gt;"Grayson Coulter",G1898&lt;'00_Control'!$B$7),"",--(AF1898&lt;5))</f>
        <v/>
      </c>
      <c r="AH1898" s="35">
        <f>IF(OR(C1898&lt;&gt;"Grayson Coulter",G1898&lt;'00_Control'!$B$7),"",--(AF1898&lt;10))</f>
        <v/>
      </c>
      <c r="AI1898" s="35">
        <f>IF(AND(C1898="Grayson Coulter",G1898&gt;='00_Control'!$B$7),"YES","NO")</f>
        <v/>
      </c>
      <c r="AJ1898" s="33" t="inlineStr">
        <is>
          <t>OK</t>
        </is>
      </c>
    </row>
    <row r="1899">
      <c r="A1899" s="33" t="inlineStr">
        <is>
          <t>SM001895</t>
        </is>
      </c>
      <c r="B1899" s="33" t="inlineStr">
        <is>
          <t>SW013</t>
        </is>
      </c>
      <c r="C1899" s="33" t="inlineStr">
        <is>
          <t>Lewis Clareburt</t>
        </is>
      </c>
      <c r="D1899" s="33" t="inlineStr">
        <is>
          <t>SwimCloud</t>
        </is>
      </c>
      <c r="E1899" s="33" t="inlineStr">
        <is>
          <t>3464011</t>
        </is>
      </c>
      <c r="F1899" s="33" t="inlineStr">
        <is>
          <t>152469932</t>
        </is>
      </c>
      <c r="G1899" s="51" t="n">
        <v>45799</v>
      </c>
      <c r="H1899" s="33" t="inlineStr">
        <is>
          <t>Mare Nostrum - Trofeu Internacional Ciutat de Barcelona</t>
        </is>
      </c>
      <c r="I1899" s="33" t="inlineStr">
        <is>
          <t>344367</t>
        </is>
      </c>
      <c r="J1899" s="33" t="inlineStr"/>
      <c r="K1899" s="33" t="inlineStr">
        <is>
          <t>PRE</t>
        </is>
      </c>
      <c r="L1899" s="35">
        <f>IF(K1899="FIN",3,IF(OR(K1899="SEM",K1899="SEMI"),2,IF(OR(K1899="PRE",K1899="HEAT"),1,IF(V1899="YES",4,2))))</f>
        <v/>
      </c>
      <c r="M1899" s="33" t="inlineStr">
        <is>
          <t>LCM</t>
        </is>
      </c>
      <c r="N1899" s="33" t="n">
        <v>400</v>
      </c>
      <c r="O1899" s="33" t="inlineStr">
        <is>
          <t>Free</t>
        </is>
      </c>
      <c r="P1899" s="33" t="inlineStr">
        <is>
          <t>400 Free</t>
        </is>
      </c>
      <c r="Q1899" s="33" t="inlineStr">
        <is>
          <t>LCM_400_FREE</t>
        </is>
      </c>
      <c r="R1899" s="36" t="n">
        <v>234.34</v>
      </c>
      <c r="S1899" s="35">
        <f>IF(R1899="","",IF(R1899&gt;=60,INT(R1899/60)&amp;":"&amp;TEXT(MOD(R1899,60),"00.00"),TEXT(R1899,"0.00")))</f>
        <v/>
      </c>
      <c r="T1899" s="52">
        <f>IFERROR((G1899-INDEX('01_Swimmers'!$E$5:$E$22,MATCH(B1899,'01_Swimmers'!$A$5:$A$22,0)))/'00_Control'!$B$10,"")</f>
        <v/>
      </c>
      <c r="U1899" s="35">
        <f>IF(T1899="","",INT(T1899))</f>
        <v/>
      </c>
      <c r="V1899" s="33" t="inlineStr">
        <is>
          <t>NO</t>
        </is>
      </c>
      <c r="W1899" s="33" t="inlineStr">
        <is>
          <t>YES</t>
        </is>
      </c>
      <c r="X1899" s="33" t="inlineStr">
        <is>
          <t>NO</t>
        </is>
      </c>
      <c r="Y1899" s="33" t="n">
        <v>3</v>
      </c>
      <c r="Z1899" s="33" t="n">
        <v>3</v>
      </c>
      <c r="AA1899" s="33" t="inlineStr">
        <is>
          <t>7</t>
        </is>
      </c>
      <c r="AB1899" s="33" t="inlineStr">
        <is>
          <t>https://www.swimcloud.com/results/344367/event/32/?id=152469932#time152469932</t>
        </is>
      </c>
      <c r="AC1899" s="33" t="inlineStr">
        <is>
          <t>SwimCloud API v6 2026-10-08</t>
        </is>
      </c>
      <c r="AD1899" s="33" t="inlineStr">
        <is>
          <t>Lewis Clareburt|2025-05-22|LCM|400|Free|234.34|Mare Nostrum - Trofeu Internacional Ciutat de Barcelona|PRE|False</t>
        </is>
      </c>
      <c r="AE1899" s="53">
        <f>G1899+L1899/1000+ROW()/1000000000</f>
        <v/>
      </c>
      <c r="AF1899" s="35">
        <f>IF(C1899&lt;&gt;"Grayson Coulter","",COUNTIFS($C$5:$C$2991,"Grayson Coulter",$Q$5:$Q$2991,Q1899,$AE$5:$AE$2991,"&lt;="&amp;AE1899,$R$5:$R$2991,"&lt;"&amp;R1899))</f>
        <v/>
      </c>
      <c r="AG1899" s="35">
        <f>IF(OR(C1899&lt;&gt;"Grayson Coulter",G1899&lt;'00_Control'!$B$7),"",--(AF1899&lt;5))</f>
        <v/>
      </c>
      <c r="AH1899" s="35">
        <f>IF(OR(C1899&lt;&gt;"Grayson Coulter",G1899&lt;'00_Control'!$B$7),"",--(AF1899&lt;10))</f>
        <v/>
      </c>
      <c r="AI1899" s="35">
        <f>IF(AND(C1899="Grayson Coulter",G1899&gt;='00_Control'!$B$7),"YES","NO")</f>
        <v/>
      </c>
      <c r="AJ1899" s="33" t="inlineStr">
        <is>
          <t>OK</t>
        </is>
      </c>
    </row>
    <row r="1900">
      <c r="A1900" s="33" t="inlineStr">
        <is>
          <t>SM001896</t>
        </is>
      </c>
      <c r="B1900" s="33" t="inlineStr">
        <is>
          <t>SW013</t>
        </is>
      </c>
      <c r="C1900" s="33" t="inlineStr">
        <is>
          <t>Lewis Clareburt</t>
        </is>
      </c>
      <c r="D1900" s="33" t="inlineStr">
        <is>
          <t>SwimCloud</t>
        </is>
      </c>
      <c r="E1900" s="33" t="inlineStr">
        <is>
          <t>3464011</t>
        </is>
      </c>
      <c r="F1900" s="33" t="inlineStr">
        <is>
          <t>152469934</t>
        </is>
      </c>
      <c r="G1900" s="51" t="n">
        <v>45799</v>
      </c>
      <c r="H1900" s="33" t="inlineStr">
        <is>
          <t>Mare Nostrum - Trofeu Internacional Ciutat de Barcelona</t>
        </is>
      </c>
      <c r="I1900" s="33" t="inlineStr">
        <is>
          <t>344367</t>
        </is>
      </c>
      <c r="J1900" s="33" t="inlineStr"/>
      <c r="K1900" s="33" t="inlineStr">
        <is>
          <t>FIN</t>
        </is>
      </c>
      <c r="L1900" s="35">
        <f>IF(K1900="FIN",3,IF(OR(K1900="SEM",K1900="SEMI"),2,IF(OR(K1900="PRE",K1900="HEAT"),1,IF(V1900="YES",4,2))))</f>
        <v/>
      </c>
      <c r="M1900" s="33" t="inlineStr">
        <is>
          <t>LCM</t>
        </is>
      </c>
      <c r="N1900" s="33" t="n">
        <v>400</v>
      </c>
      <c r="O1900" s="33" t="inlineStr">
        <is>
          <t>Free</t>
        </is>
      </c>
      <c r="P1900" s="33" t="inlineStr">
        <is>
          <t>400 Free</t>
        </is>
      </c>
      <c r="Q1900" s="33" t="inlineStr">
        <is>
          <t>LCM_400_FREE</t>
        </is>
      </c>
      <c r="R1900" s="36" t="n">
        <v>232.54</v>
      </c>
      <c r="S1900" s="35">
        <f>IF(R1900="","",IF(R1900&gt;=60,INT(R1900/60)&amp;":"&amp;TEXT(MOD(R1900,60),"00.00"),TEXT(R1900,"0.00")))</f>
        <v/>
      </c>
      <c r="T1900" s="52">
        <f>IFERROR((G1900-INDEX('01_Swimmers'!$E$5:$E$22,MATCH(B1900,'01_Swimmers'!$A$5:$A$22,0)))/'00_Control'!$B$10,"")</f>
        <v/>
      </c>
      <c r="U1900" s="35">
        <f>IF(T1900="","",INT(T1900))</f>
        <v/>
      </c>
      <c r="V1900" s="33" t="inlineStr">
        <is>
          <t>NO</t>
        </is>
      </c>
      <c r="W1900" s="33" t="inlineStr">
        <is>
          <t>YES</t>
        </is>
      </c>
      <c r="X1900" s="33" t="inlineStr">
        <is>
          <t>NO</t>
        </is>
      </c>
      <c r="Y1900" s="33" t="n">
        <v>1</v>
      </c>
      <c r="Z1900" s="33" t="n">
        <v>1</v>
      </c>
      <c r="AA1900" s="33" t="inlineStr">
        <is>
          <t>5</t>
        </is>
      </c>
      <c r="AB1900" s="33" t="inlineStr">
        <is>
          <t>https://www.swimcloud.com/results/344367/event/32/?id=152469934#time152469934</t>
        </is>
      </c>
      <c r="AC1900" s="33" t="inlineStr">
        <is>
          <t>SwimCloud API v6 2026-10-08</t>
        </is>
      </c>
      <c r="AD1900" s="33" t="inlineStr">
        <is>
          <t>Lewis Clareburt|2025-05-22|LCM|400|Free|232.54|Mare Nostrum - Trofeu Internacional Ciutat de Barcelona|FIN|False</t>
        </is>
      </c>
      <c r="AE1900" s="53">
        <f>G1900+L1900/1000+ROW()/1000000000</f>
        <v/>
      </c>
      <c r="AF1900" s="35">
        <f>IF(C1900&lt;&gt;"Grayson Coulter","",COUNTIFS($C$5:$C$2991,"Grayson Coulter",$Q$5:$Q$2991,Q1900,$AE$5:$AE$2991,"&lt;="&amp;AE1900,$R$5:$R$2991,"&lt;"&amp;R1900))</f>
        <v/>
      </c>
      <c r="AG1900" s="35">
        <f>IF(OR(C1900&lt;&gt;"Grayson Coulter",G1900&lt;'00_Control'!$B$7),"",--(AF1900&lt;5))</f>
        <v/>
      </c>
      <c r="AH1900" s="35">
        <f>IF(OR(C1900&lt;&gt;"Grayson Coulter",G1900&lt;'00_Control'!$B$7),"",--(AF1900&lt;10))</f>
        <v/>
      </c>
      <c r="AI1900" s="35">
        <f>IF(AND(C1900="Grayson Coulter",G1900&gt;='00_Control'!$B$7),"YES","NO")</f>
        <v/>
      </c>
      <c r="AJ1900" s="33" t="inlineStr">
        <is>
          <t>OK</t>
        </is>
      </c>
    </row>
    <row r="1901">
      <c r="A1901" s="33" t="inlineStr">
        <is>
          <t>SM001897</t>
        </is>
      </c>
      <c r="B1901" s="33" t="inlineStr">
        <is>
          <t>SW013</t>
        </is>
      </c>
      <c r="C1901" s="33" t="inlineStr">
        <is>
          <t>Lewis Clareburt</t>
        </is>
      </c>
      <c r="D1901" s="33" t="inlineStr">
        <is>
          <t>SwimCloud</t>
        </is>
      </c>
      <c r="E1901" s="33" t="inlineStr">
        <is>
          <t>3464011</t>
        </is>
      </c>
      <c r="F1901" s="33" t="inlineStr">
        <is>
          <t>153605124</t>
        </is>
      </c>
      <c r="G1901" s="51" t="n">
        <v>45801</v>
      </c>
      <c r="H1901" s="33" t="inlineStr">
        <is>
          <t>37e Meeting International de Canet-en-Roussillon</t>
        </is>
      </c>
      <c r="I1901" s="33" t="inlineStr">
        <is>
          <t>344366</t>
        </is>
      </c>
      <c r="J1901" s="33" t="inlineStr"/>
      <c r="K1901" s="33" t="inlineStr">
        <is>
          <t>PRE</t>
        </is>
      </c>
      <c r="L1901" s="35">
        <f>IF(K1901="FIN",3,IF(OR(K1901="SEM",K1901="SEMI"),2,IF(OR(K1901="PRE",K1901="HEAT"),1,IF(V1901="YES",4,2))))</f>
        <v/>
      </c>
      <c r="M1901" s="33" t="inlineStr">
        <is>
          <t>LCM</t>
        </is>
      </c>
      <c r="N1901" s="33" t="n">
        <v>100</v>
      </c>
      <c r="O1901" s="33" t="inlineStr">
        <is>
          <t>Fly</t>
        </is>
      </c>
      <c r="P1901" s="33" t="inlineStr">
        <is>
          <t>100 Fly</t>
        </is>
      </c>
      <c r="Q1901" s="33" t="inlineStr">
        <is>
          <t>LCM_100_FLY</t>
        </is>
      </c>
      <c r="R1901" s="36" t="n">
        <v>57.23</v>
      </c>
      <c r="S1901" s="35">
        <f>IF(R1901="","",IF(R1901&gt;=60,INT(R1901/60)&amp;":"&amp;TEXT(MOD(R1901,60),"00.00"),TEXT(R1901,"0.00")))</f>
        <v/>
      </c>
      <c r="T1901" s="52">
        <f>IFERROR((G1901-INDEX('01_Swimmers'!$E$5:$E$22,MATCH(B1901,'01_Swimmers'!$A$5:$A$22,0)))/'00_Control'!$B$10,"")</f>
        <v/>
      </c>
      <c r="U1901" s="35">
        <f>IF(T1901="","",INT(T1901))</f>
        <v/>
      </c>
      <c r="V1901" s="33" t="inlineStr">
        <is>
          <t>NO</t>
        </is>
      </c>
      <c r="W1901" s="33" t="inlineStr">
        <is>
          <t>YES</t>
        </is>
      </c>
      <c r="X1901" s="33" t="inlineStr">
        <is>
          <t>NO</t>
        </is>
      </c>
      <c r="Y1901" s="33" t="n">
        <v>3</v>
      </c>
      <c r="Z1901" s="33" t="n"/>
      <c r="AA1901" s="33" t="inlineStr"/>
      <c r="AB1901" s="33" t="inlineStr">
        <is>
          <t>https://www.swimcloud.com/results/344366/event/111/?id=153604629#time153604629</t>
        </is>
      </c>
      <c r="AC1901" s="33" t="inlineStr">
        <is>
          <t>SwimCloud API v6 2026-10-08</t>
        </is>
      </c>
      <c r="AD1901" s="33" t="inlineStr">
        <is>
          <t>Lewis Clareburt|2025-05-24|LCM|100|Fly|57.23|37e Meeting International de Canet-en-Roussillon|PRE|False</t>
        </is>
      </c>
      <c r="AE1901" s="53">
        <f>G1901+L1901/1000+ROW()/1000000000</f>
        <v/>
      </c>
      <c r="AF1901" s="35">
        <f>IF(C1901&lt;&gt;"Grayson Coulter","",COUNTIFS($C$5:$C$2991,"Grayson Coulter",$Q$5:$Q$2991,Q1901,$AE$5:$AE$2991,"&lt;="&amp;AE1901,$R$5:$R$2991,"&lt;"&amp;R1901))</f>
        <v/>
      </c>
      <c r="AG1901" s="35">
        <f>IF(OR(C1901&lt;&gt;"Grayson Coulter",G1901&lt;'00_Control'!$B$7),"",--(AF1901&lt;5))</f>
        <v/>
      </c>
      <c r="AH1901" s="35">
        <f>IF(OR(C1901&lt;&gt;"Grayson Coulter",G1901&lt;'00_Control'!$B$7),"",--(AF1901&lt;10))</f>
        <v/>
      </c>
      <c r="AI1901" s="35">
        <f>IF(AND(C1901="Grayson Coulter",G1901&gt;='00_Control'!$B$7),"YES","NO")</f>
        <v/>
      </c>
      <c r="AJ1901" s="33" t="inlineStr">
        <is>
          <t>OK</t>
        </is>
      </c>
    </row>
    <row r="1902">
      <c r="A1902" s="33" t="inlineStr">
        <is>
          <t>SM001898</t>
        </is>
      </c>
      <c r="B1902" s="33" t="inlineStr">
        <is>
          <t>SW013</t>
        </is>
      </c>
      <c r="C1902" s="33" t="inlineStr">
        <is>
          <t>Lewis Clareburt</t>
        </is>
      </c>
      <c r="D1902" s="33" t="inlineStr">
        <is>
          <t>SwimCloud</t>
        </is>
      </c>
      <c r="E1902" s="33" t="inlineStr">
        <is>
          <t>3464011</t>
        </is>
      </c>
      <c r="F1902" s="33" t="inlineStr">
        <is>
          <t>153605123</t>
        </is>
      </c>
      <c r="G1902" s="51" t="n">
        <v>45801</v>
      </c>
      <c r="H1902" s="33" t="inlineStr">
        <is>
          <t>37e Meeting International de Canet-en-Roussillon</t>
        </is>
      </c>
      <c r="I1902" s="33" t="inlineStr">
        <is>
          <t>344366</t>
        </is>
      </c>
      <c r="J1902" s="33" t="inlineStr"/>
      <c r="K1902" s="33" t="inlineStr">
        <is>
          <t>FIN</t>
        </is>
      </c>
      <c r="L1902" s="35">
        <f>IF(K1902="FIN",3,IF(OR(K1902="SEM",K1902="SEMI"),2,IF(OR(K1902="PRE",K1902="HEAT"),1,IF(V1902="YES",4,2))))</f>
        <v/>
      </c>
      <c r="M1902" s="33" t="inlineStr">
        <is>
          <t>LCM</t>
        </is>
      </c>
      <c r="N1902" s="33" t="n">
        <v>100</v>
      </c>
      <c r="O1902" s="33" t="inlineStr">
        <is>
          <t>Fly</t>
        </is>
      </c>
      <c r="P1902" s="33" t="inlineStr">
        <is>
          <t>100 Fly</t>
        </is>
      </c>
      <c r="Q1902" s="33" t="inlineStr">
        <is>
          <t>LCM_100_FLY</t>
        </is>
      </c>
      <c r="R1902" s="36" t="n">
        <v>56.81</v>
      </c>
      <c r="S1902" s="35">
        <f>IF(R1902="","",IF(R1902&gt;=60,INT(R1902/60)&amp;":"&amp;TEXT(MOD(R1902,60),"00.00"),TEXT(R1902,"0.00")))</f>
        <v/>
      </c>
      <c r="T1902" s="52">
        <f>IFERROR((G1902-INDEX('01_Swimmers'!$E$5:$E$22,MATCH(B1902,'01_Swimmers'!$A$5:$A$22,0)))/'00_Control'!$B$10,"")</f>
        <v/>
      </c>
      <c r="U1902" s="35">
        <f>IF(T1902="","",INT(T1902))</f>
        <v/>
      </c>
      <c r="V1902" s="33" t="inlineStr">
        <is>
          <t>NO</t>
        </is>
      </c>
      <c r="W1902" s="33" t="inlineStr">
        <is>
          <t>YES</t>
        </is>
      </c>
      <c r="X1902" s="33" t="inlineStr">
        <is>
          <t>NO</t>
        </is>
      </c>
      <c r="Y1902" s="33" t="n">
        <v>1</v>
      </c>
      <c r="Z1902" s="33" t="n"/>
      <c r="AA1902" s="33" t="inlineStr"/>
      <c r="AB1902" s="33" t="inlineStr">
        <is>
          <t>https://www.swimcloud.com/results/344366/event/111/?id=153604630#time153604630</t>
        </is>
      </c>
      <c r="AC1902" s="33" t="inlineStr">
        <is>
          <t>SwimCloud API v6 2026-10-08</t>
        </is>
      </c>
      <c r="AD1902" s="33" t="inlineStr">
        <is>
          <t>Lewis Clareburt|2025-05-24|LCM|100|Fly|56.81|37e Meeting International de Canet-en-Roussillon|FIN|False</t>
        </is>
      </c>
      <c r="AE1902" s="53">
        <f>G1902+L1902/1000+ROW()/1000000000</f>
        <v/>
      </c>
      <c r="AF1902" s="35">
        <f>IF(C1902&lt;&gt;"Grayson Coulter","",COUNTIFS($C$5:$C$2991,"Grayson Coulter",$Q$5:$Q$2991,Q1902,$AE$5:$AE$2991,"&lt;="&amp;AE1902,$R$5:$R$2991,"&lt;"&amp;R1902))</f>
        <v/>
      </c>
      <c r="AG1902" s="35">
        <f>IF(OR(C1902&lt;&gt;"Grayson Coulter",G1902&lt;'00_Control'!$B$7),"",--(AF1902&lt;5))</f>
        <v/>
      </c>
      <c r="AH1902" s="35">
        <f>IF(OR(C1902&lt;&gt;"Grayson Coulter",G1902&lt;'00_Control'!$B$7),"",--(AF1902&lt;10))</f>
        <v/>
      </c>
      <c r="AI1902" s="35">
        <f>IF(AND(C1902="Grayson Coulter",G1902&gt;='00_Control'!$B$7),"YES","NO")</f>
        <v/>
      </c>
      <c r="AJ1902" s="33" t="inlineStr">
        <is>
          <t>OK</t>
        </is>
      </c>
    </row>
    <row r="1903">
      <c r="A1903" s="33" t="inlineStr">
        <is>
          <t>SM001899</t>
        </is>
      </c>
      <c r="B1903" s="33" t="inlineStr">
        <is>
          <t>SW013</t>
        </is>
      </c>
      <c r="C1903" s="33" t="inlineStr">
        <is>
          <t>Lewis Clareburt</t>
        </is>
      </c>
      <c r="D1903" s="33" t="inlineStr">
        <is>
          <t>SwimCloud</t>
        </is>
      </c>
      <c r="E1903" s="33" t="inlineStr">
        <is>
          <t>3464011</t>
        </is>
      </c>
      <c r="F1903" s="33" t="inlineStr">
        <is>
          <t>163946519</t>
        </is>
      </c>
      <c r="G1903" s="51" t="n">
        <v>45843</v>
      </c>
      <c r="H1903" s="33" t="inlineStr">
        <is>
          <t>Golden Homes Swimfest</t>
        </is>
      </c>
      <c r="I1903" s="33" t="inlineStr">
        <is>
          <t>347595</t>
        </is>
      </c>
      <c r="J1903" s="33" t="inlineStr"/>
      <c r="K1903" s="33" t="inlineStr">
        <is>
          <t>TIM</t>
        </is>
      </c>
      <c r="L1903" s="35">
        <f>IF(K1903="FIN",3,IF(OR(K1903="SEM",K1903="SEMI"),2,IF(OR(K1903="PRE",K1903="HEAT"),1,IF(V1903="YES",4,2))))</f>
        <v/>
      </c>
      <c r="M1903" s="33" t="inlineStr">
        <is>
          <t>LCM</t>
        </is>
      </c>
      <c r="N1903" s="33" t="n">
        <v>400</v>
      </c>
      <c r="O1903" s="33" t="inlineStr">
        <is>
          <t>Free</t>
        </is>
      </c>
      <c r="P1903" s="33" t="inlineStr">
        <is>
          <t>400 Free</t>
        </is>
      </c>
      <c r="Q1903" s="33" t="inlineStr">
        <is>
          <t>LCM_400_FREE</t>
        </is>
      </c>
      <c r="R1903" s="36" t="n">
        <v>255.01</v>
      </c>
      <c r="S1903" s="35">
        <f>IF(R1903="","",IF(R1903&gt;=60,INT(R1903/60)&amp;":"&amp;TEXT(MOD(R1903,60),"00.00"),TEXT(R1903,"0.00")))</f>
        <v/>
      </c>
      <c r="T1903" s="52">
        <f>IFERROR((G1903-INDEX('01_Swimmers'!$E$5:$E$22,MATCH(B1903,'01_Swimmers'!$A$5:$A$22,0)))/'00_Control'!$B$10,"")</f>
        <v/>
      </c>
      <c r="U1903" s="35">
        <f>IF(T1903="","",INT(T1903))</f>
        <v/>
      </c>
      <c r="V1903" s="33" t="inlineStr">
        <is>
          <t>NO</t>
        </is>
      </c>
      <c r="W1903" s="33" t="inlineStr">
        <is>
          <t>YES</t>
        </is>
      </c>
      <c r="X1903" s="33" t="inlineStr">
        <is>
          <t>NO</t>
        </is>
      </c>
      <c r="Y1903" s="33" t="n">
        <v>4</v>
      </c>
      <c r="Z1903" s="33" t="n">
        <v>4</v>
      </c>
      <c r="AA1903" s="33" t="inlineStr">
        <is>
          <t>2</t>
        </is>
      </c>
      <c r="AB1903" s="33" t="inlineStr">
        <is>
          <t>https://www.swimcloud.com/results/347595/event/18/?id=163946519#time163946519</t>
        </is>
      </c>
      <c r="AC1903" s="33" t="inlineStr">
        <is>
          <t>SwimCloud API v6 2026-10-08</t>
        </is>
      </c>
      <c r="AD1903" s="33" t="inlineStr">
        <is>
          <t>Lewis Clareburt|2025-07-05|LCM|400|Free|255.01|Golden Homes Swimfest|TIM|False</t>
        </is>
      </c>
      <c r="AE1903" s="53">
        <f>G1903+L1903/1000+ROW()/1000000000</f>
        <v/>
      </c>
      <c r="AF1903" s="35">
        <f>IF(C1903&lt;&gt;"Grayson Coulter","",COUNTIFS($C$5:$C$2991,"Grayson Coulter",$Q$5:$Q$2991,Q1903,$AE$5:$AE$2991,"&lt;="&amp;AE1903,$R$5:$R$2991,"&lt;"&amp;R1903))</f>
        <v/>
      </c>
      <c r="AG1903" s="35">
        <f>IF(OR(C1903&lt;&gt;"Grayson Coulter",G1903&lt;'00_Control'!$B$7),"",--(AF1903&lt;5))</f>
        <v/>
      </c>
      <c r="AH1903" s="35">
        <f>IF(OR(C1903&lt;&gt;"Grayson Coulter",G1903&lt;'00_Control'!$B$7),"",--(AF1903&lt;10))</f>
        <v/>
      </c>
      <c r="AI1903" s="35">
        <f>IF(AND(C1903="Grayson Coulter",G1903&gt;='00_Control'!$B$7),"YES","NO")</f>
        <v/>
      </c>
      <c r="AJ1903" s="33" t="inlineStr">
        <is>
          <t>OK</t>
        </is>
      </c>
    </row>
    <row r="1904">
      <c r="A1904" s="33" t="inlineStr">
        <is>
          <t>SM001900</t>
        </is>
      </c>
      <c r="B1904" s="33" t="inlineStr">
        <is>
          <t>SW013</t>
        </is>
      </c>
      <c r="C1904" s="33" t="inlineStr">
        <is>
          <t>Lewis Clareburt</t>
        </is>
      </c>
      <c r="D1904" s="33" t="inlineStr">
        <is>
          <t>SwimCloud</t>
        </is>
      </c>
      <c r="E1904" s="33" t="inlineStr">
        <is>
          <t>3464011</t>
        </is>
      </c>
      <c r="F1904" s="33" t="inlineStr">
        <is>
          <t>163945744</t>
        </is>
      </c>
      <c r="G1904" s="51" t="n">
        <v>45844</v>
      </c>
      <c r="H1904" s="33" t="inlineStr">
        <is>
          <t>Golden Homes Swimfest</t>
        </is>
      </c>
      <c r="I1904" s="33" t="inlineStr">
        <is>
          <t>347595</t>
        </is>
      </c>
      <c r="J1904" s="33" t="inlineStr"/>
      <c r="K1904" s="33" t="inlineStr">
        <is>
          <t>TIM</t>
        </is>
      </c>
      <c r="L1904" s="35">
        <f>IF(K1904="FIN",3,IF(OR(K1904="SEM",K1904="SEMI"),2,IF(OR(K1904="PRE",K1904="HEAT"),1,IF(V1904="YES",4,2))))</f>
        <v/>
      </c>
      <c r="M1904" s="33" t="inlineStr">
        <is>
          <t>LCM</t>
        </is>
      </c>
      <c r="N1904" s="33" t="n">
        <v>100</v>
      </c>
      <c r="O1904" s="33" t="inlineStr">
        <is>
          <t>Free</t>
        </is>
      </c>
      <c r="P1904" s="33" t="inlineStr">
        <is>
          <t>100 Free</t>
        </is>
      </c>
      <c r="Q1904" s="33" t="inlineStr">
        <is>
          <t>LCM_100_FREE</t>
        </is>
      </c>
      <c r="R1904" s="36" t="n">
        <v>50.87</v>
      </c>
      <c r="S1904" s="35">
        <f>IF(R1904="","",IF(R1904&gt;=60,INT(R1904/60)&amp;":"&amp;TEXT(MOD(R1904,60),"00.00"),TEXT(R1904,"0.00")))</f>
        <v/>
      </c>
      <c r="T1904" s="52">
        <f>IFERROR((G1904-INDEX('01_Swimmers'!$E$5:$E$22,MATCH(B1904,'01_Swimmers'!$A$5:$A$22,0)))/'00_Control'!$B$10,"")</f>
        <v/>
      </c>
      <c r="U1904" s="35">
        <f>IF(T1904="","",INT(T1904))</f>
        <v/>
      </c>
      <c r="V1904" s="33" t="inlineStr">
        <is>
          <t>NO</t>
        </is>
      </c>
      <c r="W1904" s="33" t="inlineStr">
        <is>
          <t>YES</t>
        </is>
      </c>
      <c r="X1904" s="33" t="inlineStr">
        <is>
          <t>NO</t>
        </is>
      </c>
      <c r="Y1904" s="33" t="n">
        <v>18</v>
      </c>
      <c r="Z1904" s="33" t="n">
        <v>5</v>
      </c>
      <c r="AA1904" s="33" t="inlineStr">
        <is>
          <t>1</t>
        </is>
      </c>
      <c r="AB1904" s="33" t="inlineStr">
        <is>
          <t>https://www.swimcloud.com/results/347595/event/38/?id=163945744#time163945744</t>
        </is>
      </c>
      <c r="AC1904" s="33" t="inlineStr">
        <is>
          <t>SwimCloud API v6 2026-10-08</t>
        </is>
      </c>
      <c r="AD1904" s="33" t="inlineStr">
        <is>
          <t>Lewis Clareburt|2025-07-06|LCM|100|Free|50.87|Golden Homes Swimfest|TIM|False</t>
        </is>
      </c>
      <c r="AE1904" s="53">
        <f>G1904+L1904/1000+ROW()/1000000000</f>
        <v/>
      </c>
      <c r="AF1904" s="35">
        <f>IF(C1904&lt;&gt;"Grayson Coulter","",COUNTIFS($C$5:$C$2991,"Grayson Coulter",$Q$5:$Q$2991,Q1904,$AE$5:$AE$2991,"&lt;="&amp;AE1904,$R$5:$R$2991,"&lt;"&amp;R1904))</f>
        <v/>
      </c>
      <c r="AG1904" s="35">
        <f>IF(OR(C1904&lt;&gt;"Grayson Coulter",G1904&lt;'00_Control'!$B$7),"",--(AF1904&lt;5))</f>
        <v/>
      </c>
      <c r="AH1904" s="35">
        <f>IF(OR(C1904&lt;&gt;"Grayson Coulter",G1904&lt;'00_Control'!$B$7),"",--(AF1904&lt;10))</f>
        <v/>
      </c>
      <c r="AI1904" s="35">
        <f>IF(AND(C1904="Grayson Coulter",G1904&gt;='00_Control'!$B$7),"YES","NO")</f>
        <v/>
      </c>
      <c r="AJ1904" s="33" t="inlineStr">
        <is>
          <t>OK</t>
        </is>
      </c>
    </row>
    <row r="1905">
      <c r="A1905" s="33" t="inlineStr">
        <is>
          <t>SM001901</t>
        </is>
      </c>
      <c r="B1905" s="33" t="inlineStr">
        <is>
          <t>SW013</t>
        </is>
      </c>
      <c r="C1905" s="33" t="inlineStr">
        <is>
          <t>Lewis Clareburt</t>
        </is>
      </c>
      <c r="D1905" s="33" t="inlineStr">
        <is>
          <t>SwimCloud</t>
        </is>
      </c>
      <c r="E1905" s="33" t="inlineStr">
        <is>
          <t>3464011</t>
        </is>
      </c>
      <c r="F1905" s="33" t="inlineStr">
        <is>
          <t>156830766</t>
        </is>
      </c>
      <c r="G1905" s="51" t="n">
        <v>45872</v>
      </c>
      <c r="H1905" s="33" t="inlineStr">
        <is>
          <t>22nd World Aquatics Championships</t>
        </is>
      </c>
      <c r="I1905" s="33" t="inlineStr">
        <is>
          <t>348385</t>
        </is>
      </c>
      <c r="J1905" s="33" t="inlineStr"/>
      <c r="K1905" s="33" t="inlineStr">
        <is>
          <t>PRE</t>
        </is>
      </c>
      <c r="L1905" s="35">
        <f>IF(K1905="FIN",3,IF(OR(K1905="SEM",K1905="SEMI"),2,IF(OR(K1905="PRE",K1905="HEAT"),1,IF(V1905="YES",4,2))))</f>
        <v/>
      </c>
      <c r="M1905" s="33" t="inlineStr">
        <is>
          <t>LCM</t>
        </is>
      </c>
      <c r="N1905" s="33" t="n">
        <v>100</v>
      </c>
      <c r="O1905" s="33" t="inlineStr">
        <is>
          <t>Fly</t>
        </is>
      </c>
      <c r="P1905" s="33" t="inlineStr">
        <is>
          <t>100 Fly</t>
        </is>
      </c>
      <c r="Q1905" s="33" t="inlineStr">
        <is>
          <t>LCM_100_FLY</t>
        </is>
      </c>
      <c r="R1905" s="36" t="n">
        <v>55.51</v>
      </c>
      <c r="S1905" s="35">
        <f>IF(R1905="","",IF(R1905&gt;=60,INT(R1905/60)&amp;":"&amp;TEXT(MOD(R1905,60),"00.00"),TEXT(R1905,"0.00")))</f>
        <v/>
      </c>
      <c r="T1905" s="52">
        <f>IFERROR((G1905-INDEX('01_Swimmers'!$E$5:$E$22,MATCH(B1905,'01_Swimmers'!$A$5:$A$22,0)))/'00_Control'!$B$10,"")</f>
        <v/>
      </c>
      <c r="U1905" s="35">
        <f>IF(T1905="","",INT(T1905))</f>
        <v/>
      </c>
      <c r="V1905" s="33" t="inlineStr">
        <is>
          <t>NO</t>
        </is>
      </c>
      <c r="W1905" s="33" t="inlineStr">
        <is>
          <t>YES</t>
        </is>
      </c>
      <c r="X1905" s="33" t="inlineStr">
        <is>
          <t>NO</t>
        </is>
      </c>
      <c r="Y1905" s="33" t="n">
        <v>4</v>
      </c>
      <c r="Z1905" s="33" t="n">
        <v>2</v>
      </c>
      <c r="AA1905" s="33" t="inlineStr"/>
      <c r="AB1905" s="33" t="inlineStr">
        <is>
          <t>https://www.swimcloud.com/results/348385/event/39/?id=156828193#time156828193</t>
        </is>
      </c>
      <c r="AC1905" s="33" t="inlineStr">
        <is>
          <t>SwimCloud API v6 2026-10-08</t>
        </is>
      </c>
      <c r="AD1905" s="33" t="inlineStr">
        <is>
          <t>Lewis Clareburt|2025-08-03|LCM|100|Fly|55.51|22nd World Aquatics Championships|PRE|False</t>
        </is>
      </c>
      <c r="AE1905" s="53">
        <f>G1905+L1905/1000+ROW()/1000000000</f>
        <v/>
      </c>
      <c r="AF1905" s="35">
        <f>IF(C1905&lt;&gt;"Grayson Coulter","",COUNTIFS($C$5:$C$2991,"Grayson Coulter",$Q$5:$Q$2991,Q1905,$AE$5:$AE$2991,"&lt;="&amp;AE1905,$R$5:$R$2991,"&lt;"&amp;R1905))</f>
        <v/>
      </c>
      <c r="AG1905" s="35">
        <f>IF(OR(C1905&lt;&gt;"Grayson Coulter",G1905&lt;'00_Control'!$B$7),"",--(AF1905&lt;5))</f>
        <v/>
      </c>
      <c r="AH1905" s="35">
        <f>IF(OR(C1905&lt;&gt;"Grayson Coulter",G1905&lt;'00_Control'!$B$7),"",--(AF1905&lt;10))</f>
        <v/>
      </c>
      <c r="AI1905" s="35">
        <f>IF(AND(C1905="Grayson Coulter",G1905&gt;='00_Control'!$B$7),"YES","NO")</f>
        <v/>
      </c>
      <c r="AJ1905" s="33" t="inlineStr">
        <is>
          <t>OK</t>
        </is>
      </c>
    </row>
    <row r="1906">
      <c r="A1906" s="33" t="inlineStr">
        <is>
          <t>SM001902</t>
        </is>
      </c>
      <c r="B1906" s="33" t="inlineStr">
        <is>
          <t>SW013</t>
        </is>
      </c>
      <c r="C1906" s="33" t="inlineStr">
        <is>
          <t>Lewis Clareburt</t>
        </is>
      </c>
      <c r="D1906" s="33" t="inlineStr">
        <is>
          <t>SwimCloud</t>
        </is>
      </c>
      <c r="E1906" s="33" t="inlineStr">
        <is>
          <t>3464011</t>
        </is>
      </c>
      <c r="F1906" s="33" t="inlineStr">
        <is>
          <t>159520544</t>
        </is>
      </c>
      <c r="G1906" s="51" t="n">
        <v>45921</v>
      </c>
      <c r="H1906" s="33" t="inlineStr">
        <is>
          <t>New Zealand Short Course Championships</t>
        </is>
      </c>
      <c r="I1906" s="33" t="inlineStr">
        <is>
          <t>355663</t>
        </is>
      </c>
      <c r="J1906" s="33" t="inlineStr"/>
      <c r="K1906" s="33" t="inlineStr">
        <is>
          <t>TIM</t>
        </is>
      </c>
      <c r="L1906" s="35">
        <f>IF(K1906="FIN",3,IF(OR(K1906="SEM",K1906="SEMI"),2,IF(OR(K1906="PRE",K1906="HEAT"),1,IF(V1906="YES",4,2))))</f>
        <v/>
      </c>
      <c r="M1906" s="33" t="inlineStr">
        <is>
          <t>SCM</t>
        </is>
      </c>
      <c r="N1906" s="33" t="n">
        <v>100</v>
      </c>
      <c r="O1906" s="33" t="inlineStr">
        <is>
          <t>Free</t>
        </is>
      </c>
      <c r="P1906" s="33" t="inlineStr">
        <is>
          <t>100 Free</t>
        </is>
      </c>
      <c r="Q1906" s="33" t="inlineStr">
        <is>
          <t>SCM_100_FREE</t>
        </is>
      </c>
      <c r="R1906" s="36" t="n">
        <v>48.49</v>
      </c>
      <c r="S1906" s="35">
        <f>IF(R1906="","",IF(R1906&gt;=60,INT(R1906/60)&amp;":"&amp;TEXT(MOD(R1906,60),"00.00"),TEXT(R1906,"0.00")))</f>
        <v/>
      </c>
      <c r="T1906" s="52">
        <f>IFERROR((G1906-INDEX('01_Swimmers'!$E$5:$E$22,MATCH(B1906,'01_Swimmers'!$A$5:$A$22,0)))/'00_Control'!$B$10,"")</f>
        <v/>
      </c>
      <c r="U1906" s="35">
        <f>IF(T1906="","",INT(T1906))</f>
        <v/>
      </c>
      <c r="V1906" s="33" t="inlineStr">
        <is>
          <t>YES</t>
        </is>
      </c>
      <c r="W1906" s="33" t="inlineStr">
        <is>
          <t>YES</t>
        </is>
      </c>
      <c r="X1906" s="33" t="inlineStr">
        <is>
          <t>NO</t>
        </is>
      </c>
      <c r="Y1906" s="33" t="n">
        <v>2</v>
      </c>
      <c r="Z1906" s="33" t="n">
        <v>4</v>
      </c>
      <c r="AA1906" s="33" t="inlineStr"/>
      <c r="AB1906" s="33" t="inlineStr">
        <is>
          <t>https://www.swimcloud.com/results/355663/event/10/?id=159516083#time159516083</t>
        </is>
      </c>
      <c r="AC1906" s="33" t="inlineStr">
        <is>
          <t>SwimCloud API v6 2026-10-08</t>
        </is>
      </c>
      <c r="AD1906" s="33" t="inlineStr">
        <is>
          <t>Lewis Clareburt|2025-09-21|SCM|100|Free|48.49|New Zealand Short Course Championships|TIM|True</t>
        </is>
      </c>
      <c r="AE1906" s="53">
        <f>G1906+L1906/1000+ROW()/1000000000</f>
        <v/>
      </c>
      <c r="AF1906" s="35">
        <f>IF(C1906&lt;&gt;"Grayson Coulter","",COUNTIFS($C$5:$C$2991,"Grayson Coulter",$Q$5:$Q$2991,Q1906,$AE$5:$AE$2991,"&lt;="&amp;AE1906,$R$5:$R$2991,"&lt;"&amp;R1906))</f>
        <v/>
      </c>
      <c r="AG1906" s="35">
        <f>IF(OR(C1906&lt;&gt;"Grayson Coulter",G1906&lt;'00_Control'!$B$7),"",--(AF1906&lt;5))</f>
        <v/>
      </c>
      <c r="AH1906" s="35">
        <f>IF(OR(C1906&lt;&gt;"Grayson Coulter",G1906&lt;'00_Control'!$B$7),"",--(AF1906&lt;10))</f>
        <v/>
      </c>
      <c r="AI1906" s="35">
        <f>IF(AND(C1906="Grayson Coulter",G1906&gt;='00_Control'!$B$7),"YES","NO")</f>
        <v/>
      </c>
      <c r="AJ1906" s="33" t="inlineStr">
        <is>
          <t>OK</t>
        </is>
      </c>
    </row>
    <row r="1907">
      <c r="A1907" s="33" t="inlineStr">
        <is>
          <t>SM001903</t>
        </is>
      </c>
      <c r="B1907" s="33" t="inlineStr">
        <is>
          <t>SW013</t>
        </is>
      </c>
      <c r="C1907" s="33" t="inlineStr">
        <is>
          <t>Lewis Clareburt</t>
        </is>
      </c>
      <c r="D1907" s="33" t="inlineStr">
        <is>
          <t>SwimCloud</t>
        </is>
      </c>
      <c r="E1907" s="33" t="inlineStr">
        <is>
          <t>3464011</t>
        </is>
      </c>
      <c r="F1907" s="33" t="inlineStr">
        <is>
          <t>159522736</t>
        </is>
      </c>
      <c r="G1907" s="51" t="n">
        <v>45922</v>
      </c>
      <c r="H1907" s="33" t="inlineStr">
        <is>
          <t>New Zealand Short Course Championships</t>
        </is>
      </c>
      <c r="I1907" s="33" t="inlineStr">
        <is>
          <t>355663</t>
        </is>
      </c>
      <c r="J1907" s="33" t="inlineStr"/>
      <c r="K1907" s="33" t="inlineStr">
        <is>
          <t>PRE</t>
        </is>
      </c>
      <c r="L1907" s="35">
        <f>IF(K1907="FIN",3,IF(OR(K1907="SEM",K1907="SEMI"),2,IF(OR(K1907="PRE",K1907="HEAT"),1,IF(V1907="YES",4,2))))</f>
        <v/>
      </c>
      <c r="M1907" s="33" t="inlineStr">
        <is>
          <t>SCM</t>
        </is>
      </c>
      <c r="N1907" s="33" t="n">
        <v>100</v>
      </c>
      <c r="O1907" s="33" t="inlineStr">
        <is>
          <t>Fly</t>
        </is>
      </c>
      <c r="P1907" s="33" t="inlineStr">
        <is>
          <t>100 Fly</t>
        </is>
      </c>
      <c r="Q1907" s="33" t="inlineStr">
        <is>
          <t>SCM_100_FLY</t>
        </is>
      </c>
      <c r="R1907" s="36" t="n">
        <v>56.22</v>
      </c>
      <c r="S1907" s="35">
        <f>IF(R1907="","",IF(R1907&gt;=60,INT(R1907/60)&amp;":"&amp;TEXT(MOD(R1907,60),"00.00"),TEXT(R1907,"0.00")))</f>
        <v/>
      </c>
      <c r="T1907" s="52">
        <f>IFERROR((G1907-INDEX('01_Swimmers'!$E$5:$E$22,MATCH(B1907,'01_Swimmers'!$A$5:$A$22,0)))/'00_Control'!$B$10,"")</f>
        <v/>
      </c>
      <c r="U1907" s="35">
        <f>IF(T1907="","",INT(T1907))</f>
        <v/>
      </c>
      <c r="V1907" s="33" t="inlineStr">
        <is>
          <t>NO</t>
        </is>
      </c>
      <c r="W1907" s="33" t="inlineStr">
        <is>
          <t>YES</t>
        </is>
      </c>
      <c r="X1907" s="33" t="inlineStr">
        <is>
          <t>NO</t>
        </is>
      </c>
      <c r="Y1907" s="33" t="n">
        <v>3</v>
      </c>
      <c r="Z1907" s="33" t="n">
        <v>4</v>
      </c>
      <c r="AA1907" s="33" t="inlineStr"/>
      <c r="AB1907" s="33" t="inlineStr">
        <is>
          <t>https://www.swimcloud.com/results/355663/event/14/?id=159515920#time159515920</t>
        </is>
      </c>
      <c r="AC1907" s="33" t="inlineStr">
        <is>
          <t>SwimCloud API v6 2026-10-08</t>
        </is>
      </c>
      <c r="AD1907" s="33" t="inlineStr">
        <is>
          <t>Lewis Clareburt|2025-09-22|SCM|100|Fly|56.22|New Zealand Short Course Championships|PRE|False</t>
        </is>
      </c>
      <c r="AE1907" s="53">
        <f>G1907+L1907/1000+ROW()/1000000000</f>
        <v/>
      </c>
      <c r="AF1907" s="35">
        <f>IF(C1907&lt;&gt;"Grayson Coulter","",COUNTIFS($C$5:$C$2991,"Grayson Coulter",$Q$5:$Q$2991,Q1907,$AE$5:$AE$2991,"&lt;="&amp;AE1907,$R$5:$R$2991,"&lt;"&amp;R1907))</f>
        <v/>
      </c>
      <c r="AG1907" s="35">
        <f>IF(OR(C1907&lt;&gt;"Grayson Coulter",G1907&lt;'00_Control'!$B$7),"",--(AF1907&lt;5))</f>
        <v/>
      </c>
      <c r="AH1907" s="35">
        <f>IF(OR(C1907&lt;&gt;"Grayson Coulter",G1907&lt;'00_Control'!$B$7),"",--(AF1907&lt;10))</f>
        <v/>
      </c>
      <c r="AI1907" s="35">
        <f>IF(AND(C1907="Grayson Coulter",G1907&gt;='00_Control'!$B$7),"YES","NO")</f>
        <v/>
      </c>
      <c r="AJ1907" s="33" t="inlineStr">
        <is>
          <t>OK</t>
        </is>
      </c>
    </row>
    <row r="1908">
      <c r="A1908" s="33" t="inlineStr">
        <is>
          <t>SM001904</t>
        </is>
      </c>
      <c r="B1908" s="33" t="inlineStr">
        <is>
          <t>SW013</t>
        </is>
      </c>
      <c r="C1908" s="33" t="inlineStr">
        <is>
          <t>Lewis Clareburt</t>
        </is>
      </c>
      <c r="D1908" s="33" t="inlineStr">
        <is>
          <t>SwimCloud</t>
        </is>
      </c>
      <c r="E1908" s="33" t="inlineStr">
        <is>
          <t>3464011</t>
        </is>
      </c>
      <c r="F1908" s="33" t="inlineStr">
        <is>
          <t>159522735</t>
        </is>
      </c>
      <c r="G1908" s="51" t="n">
        <v>45922</v>
      </c>
      <c r="H1908" s="33" t="inlineStr">
        <is>
          <t>New Zealand Short Course Championships</t>
        </is>
      </c>
      <c r="I1908" s="33" t="inlineStr">
        <is>
          <t>355663</t>
        </is>
      </c>
      <c r="J1908" s="33" t="inlineStr"/>
      <c r="K1908" s="33" t="inlineStr">
        <is>
          <t>FIN</t>
        </is>
      </c>
      <c r="L1908" s="35">
        <f>IF(K1908="FIN",3,IF(OR(K1908="SEM",K1908="SEMI"),2,IF(OR(K1908="PRE",K1908="HEAT"),1,IF(V1908="YES",4,2))))</f>
        <v/>
      </c>
      <c r="M1908" s="33" t="inlineStr">
        <is>
          <t>SCM</t>
        </is>
      </c>
      <c r="N1908" s="33" t="n">
        <v>100</v>
      </c>
      <c r="O1908" s="33" t="inlineStr">
        <is>
          <t>Fly</t>
        </is>
      </c>
      <c r="P1908" s="33" t="inlineStr">
        <is>
          <t>100 Fly</t>
        </is>
      </c>
      <c r="Q1908" s="33" t="inlineStr">
        <is>
          <t>SCM_100_FLY</t>
        </is>
      </c>
      <c r="R1908" s="36" t="n">
        <v>56.02</v>
      </c>
      <c r="S1908" s="35">
        <f>IF(R1908="","",IF(R1908&gt;=60,INT(R1908/60)&amp;":"&amp;TEXT(MOD(R1908,60),"00.00"),TEXT(R1908,"0.00")))</f>
        <v/>
      </c>
      <c r="T1908" s="52">
        <f>IFERROR((G1908-INDEX('01_Swimmers'!$E$5:$E$22,MATCH(B1908,'01_Swimmers'!$A$5:$A$22,0)))/'00_Control'!$B$10,"")</f>
        <v/>
      </c>
      <c r="U1908" s="35">
        <f>IF(T1908="","",INT(T1908))</f>
        <v/>
      </c>
      <c r="V1908" s="33" t="inlineStr">
        <is>
          <t>NO</t>
        </is>
      </c>
      <c r="W1908" s="33" t="inlineStr">
        <is>
          <t>YES</t>
        </is>
      </c>
      <c r="X1908" s="33" t="inlineStr">
        <is>
          <t>NO</t>
        </is>
      </c>
      <c r="Y1908" s="33" t="n">
        <v>3</v>
      </c>
      <c r="Z1908" s="33" t="n">
        <v>4</v>
      </c>
      <c r="AA1908" s="33" t="inlineStr"/>
      <c r="AB1908" s="33" t="inlineStr">
        <is>
          <t>https://www.swimcloud.com/results/355663/event/14/?id=159515921#time159515921</t>
        </is>
      </c>
      <c r="AC1908" s="33" t="inlineStr">
        <is>
          <t>SwimCloud API v6 2026-10-08</t>
        </is>
      </c>
      <c r="AD1908" s="33" t="inlineStr">
        <is>
          <t>Lewis Clareburt|2025-09-22|SCM|100|Fly|56.02|New Zealand Short Course Championships|FIN|False</t>
        </is>
      </c>
      <c r="AE1908" s="53">
        <f>G1908+L1908/1000+ROW()/1000000000</f>
        <v/>
      </c>
      <c r="AF1908" s="35">
        <f>IF(C1908&lt;&gt;"Grayson Coulter","",COUNTIFS($C$5:$C$2991,"Grayson Coulter",$Q$5:$Q$2991,Q1908,$AE$5:$AE$2991,"&lt;="&amp;AE1908,$R$5:$R$2991,"&lt;"&amp;R1908))</f>
        <v/>
      </c>
      <c r="AG1908" s="35">
        <f>IF(OR(C1908&lt;&gt;"Grayson Coulter",G1908&lt;'00_Control'!$B$7),"",--(AF1908&lt;5))</f>
        <v/>
      </c>
      <c r="AH1908" s="35">
        <f>IF(OR(C1908&lt;&gt;"Grayson Coulter",G1908&lt;'00_Control'!$B$7),"",--(AF1908&lt;10))</f>
        <v/>
      </c>
      <c r="AI1908" s="35">
        <f>IF(AND(C1908="Grayson Coulter",G1908&gt;='00_Control'!$B$7),"YES","NO")</f>
        <v/>
      </c>
      <c r="AJ1908" s="33" t="inlineStr">
        <is>
          <t>OK</t>
        </is>
      </c>
    </row>
    <row r="1909">
      <c r="A1909" s="33" t="inlineStr">
        <is>
          <t>SM001905</t>
        </is>
      </c>
      <c r="B1909" s="33" t="inlineStr">
        <is>
          <t>SW013</t>
        </is>
      </c>
      <c r="C1909" s="33" t="inlineStr">
        <is>
          <t>Lewis Clareburt</t>
        </is>
      </c>
      <c r="D1909" s="33" t="inlineStr">
        <is>
          <t>SwimCloud</t>
        </is>
      </c>
      <c r="E1909" s="33" t="inlineStr">
        <is>
          <t>3464011</t>
        </is>
      </c>
      <c r="F1909" s="33" t="inlineStr">
        <is>
          <t>159515922</t>
        </is>
      </c>
      <c r="G1909" s="51" t="n">
        <v>45923</v>
      </c>
      <c r="H1909" s="33" t="inlineStr">
        <is>
          <t>New Zealand Short Course Championships</t>
        </is>
      </c>
      <c r="I1909" s="33" t="inlineStr">
        <is>
          <t>355663</t>
        </is>
      </c>
      <c r="J1909" s="33" t="inlineStr"/>
      <c r="K1909" s="33" t="inlineStr">
        <is>
          <t>PRE</t>
        </is>
      </c>
      <c r="L1909" s="35">
        <f>IF(K1909="FIN",3,IF(OR(K1909="SEM",K1909="SEMI"),2,IF(OR(K1909="PRE",K1909="HEAT"),1,IF(V1909="YES",4,2))))</f>
        <v/>
      </c>
      <c r="M1909" s="33" t="inlineStr">
        <is>
          <t>SCM</t>
        </is>
      </c>
      <c r="N1909" s="33" t="n">
        <v>100</v>
      </c>
      <c r="O1909" s="33" t="inlineStr">
        <is>
          <t>Fly</t>
        </is>
      </c>
      <c r="P1909" s="33" t="inlineStr">
        <is>
          <t>100 Fly</t>
        </is>
      </c>
      <c r="Q1909" s="33" t="inlineStr">
        <is>
          <t>SCM_100_FLY</t>
        </is>
      </c>
      <c r="R1909" s="36" t="n">
        <v>52.45</v>
      </c>
      <c r="S1909" s="35">
        <f>IF(R1909="","",IF(R1909&gt;=60,INT(R1909/60)&amp;":"&amp;TEXT(MOD(R1909,60),"00.00"),TEXT(R1909,"0.00")))</f>
        <v/>
      </c>
      <c r="T1909" s="52">
        <f>IFERROR((G1909-INDEX('01_Swimmers'!$E$5:$E$22,MATCH(B1909,'01_Swimmers'!$A$5:$A$22,0)))/'00_Control'!$B$10,"")</f>
        <v/>
      </c>
      <c r="U1909" s="35">
        <f>IF(T1909="","",INT(T1909))</f>
        <v/>
      </c>
      <c r="V1909" s="33" t="inlineStr">
        <is>
          <t>NO</t>
        </is>
      </c>
      <c r="W1909" s="33" t="inlineStr">
        <is>
          <t>YES</t>
        </is>
      </c>
      <c r="X1909" s="33" t="inlineStr">
        <is>
          <t>NO</t>
        </is>
      </c>
      <c r="Y1909" s="33" t="n">
        <v>4</v>
      </c>
      <c r="Z1909" s="33" t="n">
        <v>7</v>
      </c>
      <c r="AA1909" s="33" t="inlineStr"/>
      <c r="AB1909" s="33" t="inlineStr">
        <is>
          <t>https://www.swimcloud.com/results/355663/event/22/?id=159515922#time159515922</t>
        </is>
      </c>
      <c r="AC1909" s="33" t="inlineStr">
        <is>
          <t>SwimCloud API v6 2026-10-08</t>
        </is>
      </c>
      <c r="AD1909" s="33" t="inlineStr">
        <is>
          <t>Lewis Clareburt|2025-09-23|SCM|100|Fly|52.45|New Zealand Short Course Championships|PRE|False</t>
        </is>
      </c>
      <c r="AE1909" s="53">
        <f>G1909+L1909/1000+ROW()/1000000000</f>
        <v/>
      </c>
      <c r="AF1909" s="35">
        <f>IF(C1909&lt;&gt;"Grayson Coulter","",COUNTIFS($C$5:$C$2991,"Grayson Coulter",$Q$5:$Q$2991,Q1909,$AE$5:$AE$2991,"&lt;="&amp;AE1909,$R$5:$R$2991,"&lt;"&amp;R1909))</f>
        <v/>
      </c>
      <c r="AG1909" s="35">
        <f>IF(OR(C1909&lt;&gt;"Grayson Coulter",G1909&lt;'00_Control'!$B$7),"",--(AF1909&lt;5))</f>
        <v/>
      </c>
      <c r="AH1909" s="35">
        <f>IF(OR(C1909&lt;&gt;"Grayson Coulter",G1909&lt;'00_Control'!$B$7),"",--(AF1909&lt;10))</f>
        <v/>
      </c>
      <c r="AI1909" s="35">
        <f>IF(AND(C1909="Grayson Coulter",G1909&gt;='00_Control'!$B$7),"YES","NO")</f>
        <v/>
      </c>
      <c r="AJ1909" s="33" t="inlineStr">
        <is>
          <t>OK</t>
        </is>
      </c>
    </row>
    <row r="1910">
      <c r="A1910" s="33" t="inlineStr">
        <is>
          <t>SM001906</t>
        </is>
      </c>
      <c r="B1910" s="33" t="inlineStr">
        <is>
          <t>SW013</t>
        </is>
      </c>
      <c r="C1910" s="33" t="inlineStr">
        <is>
          <t>Lewis Clareburt</t>
        </is>
      </c>
      <c r="D1910" s="33" t="inlineStr">
        <is>
          <t>SwimCloud</t>
        </is>
      </c>
      <c r="E1910" s="33" t="inlineStr">
        <is>
          <t>3464011</t>
        </is>
      </c>
      <c r="F1910" s="33" t="inlineStr">
        <is>
          <t>159515923</t>
        </is>
      </c>
      <c r="G1910" s="51" t="n">
        <v>45923</v>
      </c>
      <c r="H1910" s="33" t="inlineStr">
        <is>
          <t>New Zealand Short Course Championships</t>
        </is>
      </c>
      <c r="I1910" s="33" t="inlineStr">
        <is>
          <t>355663</t>
        </is>
      </c>
      <c r="J1910" s="33" t="inlineStr"/>
      <c r="K1910" s="33" t="inlineStr">
        <is>
          <t>FIN</t>
        </is>
      </c>
      <c r="L1910" s="35">
        <f>IF(K1910="FIN",3,IF(OR(K1910="SEM",K1910="SEMI"),2,IF(OR(K1910="PRE",K1910="HEAT"),1,IF(V1910="YES",4,2))))</f>
        <v/>
      </c>
      <c r="M1910" s="33" t="inlineStr">
        <is>
          <t>SCM</t>
        </is>
      </c>
      <c r="N1910" s="33" t="n">
        <v>100</v>
      </c>
      <c r="O1910" s="33" t="inlineStr">
        <is>
          <t>Fly</t>
        </is>
      </c>
      <c r="P1910" s="33" t="inlineStr">
        <is>
          <t>100 Fly</t>
        </is>
      </c>
      <c r="Q1910" s="33" t="inlineStr">
        <is>
          <t>SCM_100_FLY</t>
        </is>
      </c>
      <c r="R1910" s="36" t="n">
        <v>51.63</v>
      </c>
      <c r="S1910" s="35">
        <f>IF(R1910="","",IF(R1910&gt;=60,INT(R1910/60)&amp;":"&amp;TEXT(MOD(R1910,60),"00.00"),TEXT(R1910,"0.00")))</f>
        <v/>
      </c>
      <c r="T1910" s="52">
        <f>IFERROR((G1910-INDEX('01_Swimmers'!$E$5:$E$22,MATCH(B1910,'01_Swimmers'!$A$5:$A$22,0)))/'00_Control'!$B$10,"")</f>
        <v/>
      </c>
      <c r="U1910" s="35">
        <f>IF(T1910="","",INT(T1910))</f>
        <v/>
      </c>
      <c r="V1910" s="33" t="inlineStr">
        <is>
          <t>NO</t>
        </is>
      </c>
      <c r="W1910" s="33" t="inlineStr">
        <is>
          <t>YES</t>
        </is>
      </c>
      <c r="X1910" s="33" t="inlineStr">
        <is>
          <t>NO</t>
        </is>
      </c>
      <c r="Y1910" s="33" t="n">
        <v>3</v>
      </c>
      <c r="Z1910" s="33" t="n">
        <v>5</v>
      </c>
      <c r="AA1910" s="33" t="inlineStr"/>
      <c r="AB1910" s="33" t="inlineStr">
        <is>
          <t>https://www.swimcloud.com/results/355663/event/22/?id=159515923#time159515923</t>
        </is>
      </c>
      <c r="AC1910" s="33" t="inlineStr">
        <is>
          <t>SwimCloud API v6 2026-10-08</t>
        </is>
      </c>
      <c r="AD1910" s="33" t="inlineStr">
        <is>
          <t>Lewis Clareburt|2025-09-23|SCM|100|Fly|51.63|New Zealand Short Course Championships|FIN|False</t>
        </is>
      </c>
      <c r="AE1910" s="53">
        <f>G1910+L1910/1000+ROW()/1000000000</f>
        <v/>
      </c>
      <c r="AF1910" s="35">
        <f>IF(C1910&lt;&gt;"Grayson Coulter","",COUNTIFS($C$5:$C$2991,"Grayson Coulter",$Q$5:$Q$2991,Q1910,$AE$5:$AE$2991,"&lt;="&amp;AE1910,$R$5:$R$2991,"&lt;"&amp;R1910))</f>
        <v/>
      </c>
      <c r="AG1910" s="35">
        <f>IF(OR(C1910&lt;&gt;"Grayson Coulter",G1910&lt;'00_Control'!$B$7),"",--(AF1910&lt;5))</f>
        <v/>
      </c>
      <c r="AH1910" s="35">
        <f>IF(OR(C1910&lt;&gt;"Grayson Coulter",G1910&lt;'00_Control'!$B$7),"",--(AF1910&lt;10))</f>
        <v/>
      </c>
      <c r="AI1910" s="35">
        <f>IF(AND(C1910="Grayson Coulter",G1910&gt;='00_Control'!$B$7),"YES","NO")</f>
        <v/>
      </c>
      <c r="AJ1910" s="33" t="inlineStr">
        <is>
          <t>OK</t>
        </is>
      </c>
    </row>
    <row r="1911">
      <c r="A1911" s="33" t="inlineStr">
        <is>
          <t>SM001907</t>
        </is>
      </c>
      <c r="B1911" s="33" t="inlineStr">
        <is>
          <t>SW013</t>
        </is>
      </c>
      <c r="C1911" s="33" t="inlineStr">
        <is>
          <t>Lewis Clareburt</t>
        </is>
      </c>
      <c r="D1911" s="33" t="inlineStr">
        <is>
          <t>SwimCloud</t>
        </is>
      </c>
      <c r="E1911" s="33" t="inlineStr">
        <is>
          <t>3464011</t>
        </is>
      </c>
      <c r="F1911" s="33" t="inlineStr">
        <is>
          <t>159515924</t>
        </is>
      </c>
      <c r="G1911" s="51" t="n">
        <v>45924</v>
      </c>
      <c r="H1911" s="33" t="inlineStr">
        <is>
          <t>New Zealand Short Course Championships</t>
        </is>
      </c>
      <c r="I1911" s="33" t="inlineStr">
        <is>
          <t>355663</t>
        </is>
      </c>
      <c r="J1911" s="33" t="inlineStr"/>
      <c r="K1911" s="33" t="inlineStr">
        <is>
          <t>PRE</t>
        </is>
      </c>
      <c r="L1911" s="35">
        <f>IF(K1911="FIN",3,IF(OR(K1911="SEM",K1911="SEMI"),2,IF(OR(K1911="PRE",K1911="HEAT"),1,IF(V1911="YES",4,2))))</f>
        <v/>
      </c>
      <c r="M1911" s="33" t="inlineStr">
        <is>
          <t>SCM</t>
        </is>
      </c>
      <c r="N1911" s="33" t="n">
        <v>200</v>
      </c>
      <c r="O1911" s="33" t="inlineStr">
        <is>
          <t>Free</t>
        </is>
      </c>
      <c r="P1911" s="33" t="inlineStr">
        <is>
          <t>200 Free</t>
        </is>
      </c>
      <c r="Q1911" s="33" t="inlineStr">
        <is>
          <t>SCM_200_FREE</t>
        </is>
      </c>
      <c r="R1911" s="36" t="n">
        <v>107.02</v>
      </c>
      <c r="S1911" s="35">
        <f>IF(R1911="","",IF(R1911&gt;=60,INT(R1911/60)&amp;":"&amp;TEXT(MOD(R1911,60),"00.00"),TEXT(R1911,"0.00")))</f>
        <v/>
      </c>
      <c r="T1911" s="52">
        <f>IFERROR((G1911-INDEX('01_Swimmers'!$E$5:$E$22,MATCH(B1911,'01_Swimmers'!$A$5:$A$22,0)))/'00_Control'!$B$10,"")</f>
        <v/>
      </c>
      <c r="U1911" s="35">
        <f>IF(T1911="","",INT(T1911))</f>
        <v/>
      </c>
      <c r="V1911" s="33" t="inlineStr">
        <is>
          <t>NO</t>
        </is>
      </c>
      <c r="W1911" s="33" t="inlineStr">
        <is>
          <t>YES</t>
        </is>
      </c>
      <c r="X1911" s="33" t="inlineStr">
        <is>
          <t>NO</t>
        </is>
      </c>
      <c r="Y1911" s="33" t="n">
        <v>7</v>
      </c>
      <c r="Z1911" s="33" t="n">
        <v>4</v>
      </c>
      <c r="AA1911" s="33" t="inlineStr"/>
      <c r="AB1911" s="33" t="inlineStr">
        <is>
          <t>https://www.swimcloud.com/results/355663/event/36/?id=159515924#time159515924</t>
        </is>
      </c>
      <c r="AC1911" s="33" t="inlineStr">
        <is>
          <t>SwimCloud API v6 2026-10-08</t>
        </is>
      </c>
      <c r="AD1911" s="33" t="inlineStr">
        <is>
          <t>Lewis Clareburt|2025-09-24|SCM|200|Free|107.02|New Zealand Short Course Championships|PRE|False</t>
        </is>
      </c>
      <c r="AE1911" s="53">
        <f>G1911+L1911/1000+ROW()/1000000000</f>
        <v/>
      </c>
      <c r="AF1911" s="35">
        <f>IF(C1911&lt;&gt;"Grayson Coulter","",COUNTIFS($C$5:$C$2991,"Grayson Coulter",$Q$5:$Q$2991,Q1911,$AE$5:$AE$2991,"&lt;="&amp;AE1911,$R$5:$R$2991,"&lt;"&amp;R1911))</f>
        <v/>
      </c>
      <c r="AG1911" s="35">
        <f>IF(OR(C1911&lt;&gt;"Grayson Coulter",G1911&lt;'00_Control'!$B$7),"",--(AF1911&lt;5))</f>
        <v/>
      </c>
      <c r="AH1911" s="35">
        <f>IF(OR(C1911&lt;&gt;"Grayson Coulter",G1911&lt;'00_Control'!$B$7),"",--(AF1911&lt;10))</f>
        <v/>
      </c>
      <c r="AI1911" s="35">
        <f>IF(AND(C1911="Grayson Coulter",G1911&gt;='00_Control'!$B$7),"YES","NO")</f>
        <v/>
      </c>
      <c r="AJ1911" s="33" t="inlineStr">
        <is>
          <t>OK</t>
        </is>
      </c>
    </row>
    <row r="1912">
      <c r="A1912" s="33" t="inlineStr">
        <is>
          <t>SM001908</t>
        </is>
      </c>
      <c r="B1912" s="33" t="inlineStr">
        <is>
          <t>SW013</t>
        </is>
      </c>
      <c r="C1912" s="33" t="inlineStr">
        <is>
          <t>Lewis Clareburt</t>
        </is>
      </c>
      <c r="D1912" s="33" t="inlineStr">
        <is>
          <t>SwimCloud</t>
        </is>
      </c>
      <c r="E1912" s="33" t="inlineStr">
        <is>
          <t>3464011</t>
        </is>
      </c>
      <c r="F1912" s="33" t="inlineStr">
        <is>
          <t>159515925</t>
        </is>
      </c>
      <c r="G1912" s="51" t="n">
        <v>45924</v>
      </c>
      <c r="H1912" s="33" t="inlineStr">
        <is>
          <t>New Zealand Short Course Championships</t>
        </is>
      </c>
      <c r="I1912" s="33" t="inlineStr">
        <is>
          <t>355663</t>
        </is>
      </c>
      <c r="J1912" s="33" t="inlineStr"/>
      <c r="K1912" s="33" t="inlineStr">
        <is>
          <t>FIN</t>
        </is>
      </c>
      <c r="L1912" s="35">
        <f>IF(K1912="FIN",3,IF(OR(K1912="SEM",K1912="SEMI"),2,IF(OR(K1912="PRE",K1912="HEAT"),1,IF(V1912="YES",4,2))))</f>
        <v/>
      </c>
      <c r="M1912" s="33" t="inlineStr">
        <is>
          <t>SCM</t>
        </is>
      </c>
      <c r="N1912" s="33" t="n">
        <v>200</v>
      </c>
      <c r="O1912" s="33" t="inlineStr">
        <is>
          <t>Free</t>
        </is>
      </c>
      <c r="P1912" s="33" t="inlineStr">
        <is>
          <t>200 Free</t>
        </is>
      </c>
      <c r="Q1912" s="33" t="inlineStr">
        <is>
          <t>SCM_200_FREE</t>
        </is>
      </c>
      <c r="R1912" s="36" t="n">
        <v>103.39</v>
      </c>
      <c r="S1912" s="35">
        <f>IF(R1912="","",IF(R1912&gt;=60,INT(R1912/60)&amp;":"&amp;TEXT(MOD(R1912,60),"00.00"),TEXT(R1912,"0.00")))</f>
        <v/>
      </c>
      <c r="T1912" s="52">
        <f>IFERROR((G1912-INDEX('01_Swimmers'!$E$5:$E$22,MATCH(B1912,'01_Swimmers'!$A$5:$A$22,0)))/'00_Control'!$B$10,"")</f>
        <v/>
      </c>
      <c r="U1912" s="35">
        <f>IF(T1912="","",INT(T1912))</f>
        <v/>
      </c>
      <c r="V1912" s="33" t="inlineStr">
        <is>
          <t>NO</t>
        </is>
      </c>
      <c r="W1912" s="33" t="inlineStr">
        <is>
          <t>YES</t>
        </is>
      </c>
      <c r="X1912" s="33" t="inlineStr">
        <is>
          <t>NO</t>
        </is>
      </c>
      <c r="Y1912" s="33" t="n">
        <v>3</v>
      </c>
      <c r="Z1912" s="33" t="n">
        <v>5</v>
      </c>
      <c r="AA1912" s="33" t="inlineStr"/>
      <c r="AB1912" s="33" t="inlineStr">
        <is>
          <t>https://www.swimcloud.com/results/355663/event/36/?id=159515925#time159515925</t>
        </is>
      </c>
      <c r="AC1912" s="33" t="inlineStr">
        <is>
          <t>SwimCloud API v6 2026-10-08</t>
        </is>
      </c>
      <c r="AD1912" s="33" t="inlineStr">
        <is>
          <t>Lewis Clareburt|2025-09-24|SCM|200|Free|103.39|New Zealand Short Course Championships|FIN|False</t>
        </is>
      </c>
      <c r="AE1912" s="53">
        <f>G1912+L1912/1000+ROW()/1000000000</f>
        <v/>
      </c>
      <c r="AF1912" s="35">
        <f>IF(C1912&lt;&gt;"Grayson Coulter","",COUNTIFS($C$5:$C$2991,"Grayson Coulter",$Q$5:$Q$2991,Q1912,$AE$5:$AE$2991,"&lt;="&amp;AE1912,$R$5:$R$2991,"&lt;"&amp;R1912))</f>
        <v/>
      </c>
      <c r="AG1912" s="35">
        <f>IF(OR(C1912&lt;&gt;"Grayson Coulter",G1912&lt;'00_Control'!$B$7),"",--(AF1912&lt;5))</f>
        <v/>
      </c>
      <c r="AH1912" s="35">
        <f>IF(OR(C1912&lt;&gt;"Grayson Coulter",G1912&lt;'00_Control'!$B$7),"",--(AF1912&lt;10))</f>
        <v/>
      </c>
      <c r="AI1912" s="35">
        <f>IF(AND(C1912="Grayson Coulter",G1912&gt;='00_Control'!$B$7),"YES","NO")</f>
        <v/>
      </c>
      <c r="AJ1912" s="33" t="inlineStr">
        <is>
          <t>OK</t>
        </is>
      </c>
    </row>
    <row r="1913">
      <c r="A1913" s="33" t="inlineStr">
        <is>
          <t>SM001909</t>
        </is>
      </c>
      <c r="B1913" s="33" t="inlineStr">
        <is>
          <t>SW013</t>
        </is>
      </c>
      <c r="C1913" s="33" t="inlineStr">
        <is>
          <t>Lewis Clareburt</t>
        </is>
      </c>
      <c r="D1913" s="33" t="inlineStr">
        <is>
          <t>SwimCloud</t>
        </is>
      </c>
      <c r="E1913" s="33" t="inlineStr">
        <is>
          <t>3464011</t>
        </is>
      </c>
      <c r="F1913" s="33" t="inlineStr">
        <is>
          <t>159283249</t>
        </is>
      </c>
      <c r="G1913" s="51" t="n">
        <v>45940</v>
      </c>
      <c r="H1913" s="33" t="inlineStr">
        <is>
          <t>World Aquatics World Cup - Carmel</t>
        </is>
      </c>
      <c r="I1913" s="33" t="inlineStr">
        <is>
          <t>356985</t>
        </is>
      </c>
      <c r="J1913" s="33" t="inlineStr"/>
      <c r="K1913" s="33" t="inlineStr">
        <is>
          <t>TIM</t>
        </is>
      </c>
      <c r="L1913" s="35">
        <f>IF(K1913="FIN",3,IF(OR(K1913="SEM",K1913="SEMI"),2,IF(OR(K1913="PRE",K1913="HEAT"),1,IF(V1913="YES",4,2))))</f>
        <v/>
      </c>
      <c r="M1913" s="33" t="inlineStr">
        <is>
          <t>SCM</t>
        </is>
      </c>
      <c r="N1913" s="33" t="n">
        <v>400</v>
      </c>
      <c r="O1913" s="33" t="inlineStr">
        <is>
          <t>Free</t>
        </is>
      </c>
      <c r="P1913" s="33" t="inlineStr">
        <is>
          <t>400 Free</t>
        </is>
      </c>
      <c r="Q1913" s="33" t="inlineStr">
        <is>
          <t>SCM_400_FREE</t>
        </is>
      </c>
      <c r="R1913" s="36" t="n">
        <v>221.65</v>
      </c>
      <c r="S1913" s="35">
        <f>IF(R1913="","",IF(R1913&gt;=60,INT(R1913/60)&amp;":"&amp;TEXT(MOD(R1913,60),"00.00"),TEXT(R1913,"0.00")))</f>
        <v/>
      </c>
      <c r="T1913" s="52">
        <f>IFERROR((G1913-INDEX('01_Swimmers'!$E$5:$E$22,MATCH(B1913,'01_Swimmers'!$A$5:$A$22,0)))/'00_Control'!$B$10,"")</f>
        <v/>
      </c>
      <c r="U1913" s="35">
        <f>IF(T1913="","",INT(T1913))</f>
        <v/>
      </c>
      <c r="V1913" s="33" t="inlineStr">
        <is>
          <t>NO</t>
        </is>
      </c>
      <c r="W1913" s="33" t="inlineStr">
        <is>
          <t>YES</t>
        </is>
      </c>
      <c r="X1913" s="33" t="inlineStr">
        <is>
          <t>NO</t>
        </is>
      </c>
      <c r="Y1913" s="33" t="n">
        <v>6</v>
      </c>
      <c r="Z1913" s="33" t="n">
        <v>7</v>
      </c>
      <c r="AA1913" s="33" t="inlineStr">
        <is>
          <t>5</t>
        </is>
      </c>
      <c r="AB1913" s="33" t="inlineStr">
        <is>
          <t>https://www.swimcloud.com/results/356985/event/2/?id=159283249#time159283249</t>
        </is>
      </c>
      <c r="AC1913" s="33" t="inlineStr">
        <is>
          <t>SwimCloud API v6 2026-10-08</t>
        </is>
      </c>
      <c r="AD1913" s="33" t="inlineStr">
        <is>
          <t>Lewis Clareburt|2025-10-10|SCM|400|Free|221.65|World Aquatics World Cup - Carmel|TIM|False</t>
        </is>
      </c>
      <c r="AE1913" s="53">
        <f>G1913+L1913/1000+ROW()/1000000000</f>
        <v/>
      </c>
      <c r="AF1913" s="35">
        <f>IF(C1913&lt;&gt;"Grayson Coulter","",COUNTIFS($C$5:$C$2991,"Grayson Coulter",$Q$5:$Q$2991,Q1913,$AE$5:$AE$2991,"&lt;="&amp;AE1913,$R$5:$R$2991,"&lt;"&amp;R1913))</f>
        <v/>
      </c>
      <c r="AG1913" s="35">
        <f>IF(OR(C1913&lt;&gt;"Grayson Coulter",G1913&lt;'00_Control'!$B$7),"",--(AF1913&lt;5))</f>
        <v/>
      </c>
      <c r="AH1913" s="35">
        <f>IF(OR(C1913&lt;&gt;"Grayson Coulter",G1913&lt;'00_Control'!$B$7),"",--(AF1913&lt;10))</f>
        <v/>
      </c>
      <c r="AI1913" s="35">
        <f>IF(AND(C1913="Grayson Coulter",G1913&gt;='00_Control'!$B$7),"YES","NO")</f>
        <v/>
      </c>
      <c r="AJ1913" s="33" t="inlineStr">
        <is>
          <t>OK</t>
        </is>
      </c>
    </row>
    <row r="1914">
      <c r="A1914" s="33" t="inlineStr">
        <is>
          <t>SM001910</t>
        </is>
      </c>
      <c r="B1914" s="33" t="inlineStr">
        <is>
          <t>SW013</t>
        </is>
      </c>
      <c r="C1914" s="33" t="inlineStr">
        <is>
          <t>Lewis Clareburt</t>
        </is>
      </c>
      <c r="D1914" s="33" t="inlineStr">
        <is>
          <t>SwimCloud</t>
        </is>
      </c>
      <c r="E1914" s="33" t="inlineStr">
        <is>
          <t>3464011</t>
        </is>
      </c>
      <c r="F1914" s="33" t="inlineStr">
        <is>
          <t>159283809</t>
        </is>
      </c>
      <c r="G1914" s="51" t="n">
        <v>45942</v>
      </c>
      <c r="H1914" s="33" t="inlineStr">
        <is>
          <t>World Aquatics World Cup - Carmel</t>
        </is>
      </c>
      <c r="I1914" s="33" t="inlineStr">
        <is>
          <t>356985</t>
        </is>
      </c>
      <c r="J1914" s="33" t="inlineStr"/>
      <c r="K1914" s="33" t="inlineStr">
        <is>
          <t>TIM</t>
        </is>
      </c>
      <c r="L1914" s="35">
        <f>IF(K1914="FIN",3,IF(OR(K1914="SEM",K1914="SEMI"),2,IF(OR(K1914="PRE",K1914="HEAT"),1,IF(V1914="YES",4,2))))</f>
        <v/>
      </c>
      <c r="M1914" s="33" t="inlineStr">
        <is>
          <t>SCM</t>
        </is>
      </c>
      <c r="N1914" s="33" t="n">
        <v>100</v>
      </c>
      <c r="O1914" s="33" t="inlineStr">
        <is>
          <t>Fly</t>
        </is>
      </c>
      <c r="P1914" s="33" t="inlineStr">
        <is>
          <t>100 Fly</t>
        </is>
      </c>
      <c r="Q1914" s="33" t="inlineStr">
        <is>
          <t>SCM_100_FLY</t>
        </is>
      </c>
      <c r="R1914" s="36" t="n">
        <v>56.07</v>
      </c>
      <c r="S1914" s="35">
        <f>IF(R1914="","",IF(R1914&gt;=60,INT(R1914/60)&amp;":"&amp;TEXT(MOD(R1914,60),"00.00"),TEXT(R1914,"0.00")))</f>
        <v/>
      </c>
      <c r="T1914" s="52">
        <f>IFERROR((G1914-INDEX('01_Swimmers'!$E$5:$E$22,MATCH(B1914,'01_Swimmers'!$A$5:$A$22,0)))/'00_Control'!$B$10,"")</f>
        <v/>
      </c>
      <c r="U1914" s="35">
        <f>IF(T1914="","",INT(T1914))</f>
        <v/>
      </c>
      <c r="V1914" s="33" t="inlineStr">
        <is>
          <t>NO</t>
        </is>
      </c>
      <c r="W1914" s="33" t="inlineStr">
        <is>
          <t>YES</t>
        </is>
      </c>
      <c r="X1914" s="33" t="inlineStr">
        <is>
          <t>NO</t>
        </is>
      </c>
      <c r="Y1914" s="33" t="n">
        <v>3</v>
      </c>
      <c r="Z1914" s="33" t="n">
        <v>4</v>
      </c>
      <c r="AA1914" s="33" t="inlineStr"/>
      <c r="AB1914" s="33" t="inlineStr">
        <is>
          <t>https://www.swimcloud.com/results/356985/event/24/?id=159283250#time159283250</t>
        </is>
      </c>
      <c r="AC1914" s="33" t="inlineStr">
        <is>
          <t>SwimCloud API v6 2026-10-08</t>
        </is>
      </c>
      <c r="AD1914" s="33" t="inlineStr">
        <is>
          <t>Lewis Clareburt|2025-10-12|SCM|100|Fly|56.07|World Aquatics World Cup - Carmel|TIM|False</t>
        </is>
      </c>
      <c r="AE1914" s="53">
        <f>G1914+L1914/1000+ROW()/1000000000</f>
        <v/>
      </c>
      <c r="AF1914" s="35">
        <f>IF(C1914&lt;&gt;"Grayson Coulter","",COUNTIFS($C$5:$C$2991,"Grayson Coulter",$Q$5:$Q$2991,Q1914,$AE$5:$AE$2991,"&lt;="&amp;AE1914,$R$5:$R$2991,"&lt;"&amp;R1914))</f>
        <v/>
      </c>
      <c r="AG1914" s="35">
        <f>IF(OR(C1914&lt;&gt;"Grayson Coulter",G1914&lt;'00_Control'!$B$7),"",--(AF1914&lt;5))</f>
        <v/>
      </c>
      <c r="AH1914" s="35">
        <f>IF(OR(C1914&lt;&gt;"Grayson Coulter",G1914&lt;'00_Control'!$B$7),"",--(AF1914&lt;10))</f>
        <v/>
      </c>
      <c r="AI1914" s="35">
        <f>IF(AND(C1914="Grayson Coulter",G1914&gt;='00_Control'!$B$7),"YES","NO")</f>
        <v/>
      </c>
      <c r="AJ1914" s="33" t="inlineStr">
        <is>
          <t>OK</t>
        </is>
      </c>
    </row>
    <row r="1915">
      <c r="A1915" s="33" t="inlineStr">
        <is>
          <t>SM001911</t>
        </is>
      </c>
      <c r="B1915" s="33" t="inlineStr">
        <is>
          <t>SW013</t>
        </is>
      </c>
      <c r="C1915" s="33" t="inlineStr">
        <is>
          <t>Lewis Clareburt</t>
        </is>
      </c>
      <c r="D1915" s="33" t="inlineStr">
        <is>
          <t>SwimCloud</t>
        </is>
      </c>
      <c r="E1915" s="33" t="inlineStr">
        <is>
          <t>3464011</t>
        </is>
      </c>
      <c r="F1915" s="33" t="inlineStr">
        <is>
          <t>166761717</t>
        </is>
      </c>
      <c r="G1915" s="51" t="n">
        <v>46005</v>
      </c>
      <c r="H1915" s="33" t="inlineStr">
        <is>
          <t>Queensland Championships</t>
        </is>
      </c>
      <c r="I1915" s="33" t="inlineStr">
        <is>
          <t>367863</t>
        </is>
      </c>
      <c r="J1915" s="33" t="inlineStr"/>
      <c r="K1915" s="33" t="inlineStr">
        <is>
          <t>PRE</t>
        </is>
      </c>
      <c r="L1915" s="35">
        <f>IF(K1915="FIN",3,IF(OR(K1915="SEM",K1915="SEMI"),2,IF(OR(K1915="PRE",K1915="HEAT"),1,IF(V1915="YES",4,2))))</f>
        <v/>
      </c>
      <c r="M1915" s="33" t="inlineStr">
        <is>
          <t>LCM</t>
        </is>
      </c>
      <c r="N1915" s="33" t="n">
        <v>200</v>
      </c>
      <c r="O1915" s="33" t="inlineStr">
        <is>
          <t>Free</t>
        </is>
      </c>
      <c r="P1915" s="33" t="inlineStr">
        <is>
          <t>200 Free</t>
        </is>
      </c>
      <c r="Q1915" s="33" t="inlineStr">
        <is>
          <t>LCM_200_FREE</t>
        </is>
      </c>
      <c r="R1915" s="36" t="n">
        <v>107.56</v>
      </c>
      <c r="S1915" s="35">
        <f>IF(R1915="","",IF(R1915&gt;=60,INT(R1915/60)&amp;":"&amp;TEXT(MOD(R1915,60),"00.00"),TEXT(R1915,"0.00")))</f>
        <v/>
      </c>
      <c r="T1915" s="52">
        <f>IFERROR((G1915-INDEX('01_Swimmers'!$E$5:$E$22,MATCH(B1915,'01_Swimmers'!$A$5:$A$22,0)))/'00_Control'!$B$10,"")</f>
        <v/>
      </c>
      <c r="U1915" s="35">
        <f>IF(T1915="","",INT(T1915))</f>
        <v/>
      </c>
      <c r="V1915" s="33" t="inlineStr">
        <is>
          <t>NO</t>
        </is>
      </c>
      <c r="W1915" s="33" t="inlineStr">
        <is>
          <t>YES</t>
        </is>
      </c>
      <c r="X1915" s="33" t="inlineStr">
        <is>
          <t>NO</t>
        </is>
      </c>
      <c r="Y1915" s="33" t="n">
        <v>2</v>
      </c>
      <c r="Z1915" s="33" t="n">
        <v>6</v>
      </c>
      <c r="AA1915" s="33" t="inlineStr">
        <is>
          <t>4</t>
        </is>
      </c>
      <c r="AB1915" s="33" t="inlineStr">
        <is>
          <t>https://www.swimcloud.com/results/367863/event/39/?id=166761717#time166761717</t>
        </is>
      </c>
      <c r="AC1915" s="33" t="inlineStr">
        <is>
          <t>SwimCloud API v6 2026-10-08</t>
        </is>
      </c>
      <c r="AD1915" s="33" t="inlineStr">
        <is>
          <t>Lewis Clareburt|2025-12-14|LCM|200|Free|107.56|Queensland Championships|PRE|False</t>
        </is>
      </c>
      <c r="AE1915" s="53">
        <f>G1915+L1915/1000+ROW()/1000000000</f>
        <v/>
      </c>
      <c r="AF1915" s="35">
        <f>IF(C1915&lt;&gt;"Grayson Coulter","",COUNTIFS($C$5:$C$2991,"Grayson Coulter",$Q$5:$Q$2991,Q1915,$AE$5:$AE$2991,"&lt;="&amp;AE1915,$R$5:$R$2991,"&lt;"&amp;R1915))</f>
        <v/>
      </c>
      <c r="AG1915" s="35">
        <f>IF(OR(C1915&lt;&gt;"Grayson Coulter",G1915&lt;'00_Control'!$B$7),"",--(AF1915&lt;5))</f>
        <v/>
      </c>
      <c r="AH1915" s="35">
        <f>IF(OR(C1915&lt;&gt;"Grayson Coulter",G1915&lt;'00_Control'!$B$7),"",--(AF1915&lt;10))</f>
        <v/>
      </c>
      <c r="AI1915" s="35">
        <f>IF(AND(C1915="Grayson Coulter",G1915&gt;='00_Control'!$B$7),"YES","NO")</f>
        <v/>
      </c>
      <c r="AJ1915" s="33" t="inlineStr">
        <is>
          <t>OK</t>
        </is>
      </c>
    </row>
    <row r="1916">
      <c r="A1916" s="33" t="inlineStr">
        <is>
          <t>SM001912</t>
        </is>
      </c>
      <c r="B1916" s="33" t="inlineStr">
        <is>
          <t>SW013</t>
        </is>
      </c>
      <c r="C1916" s="33" t="inlineStr">
        <is>
          <t>Lewis Clareburt</t>
        </is>
      </c>
      <c r="D1916" s="33" t="inlineStr">
        <is>
          <t>SwimCloud</t>
        </is>
      </c>
      <c r="E1916" s="33" t="inlineStr">
        <is>
          <t>3464011</t>
        </is>
      </c>
      <c r="F1916" s="33" t="inlineStr">
        <is>
          <t>166761718</t>
        </is>
      </c>
      <c r="G1916" s="51" t="n">
        <v>46005</v>
      </c>
      <c r="H1916" s="33" t="inlineStr">
        <is>
          <t>Queensland Championships</t>
        </is>
      </c>
      <c r="I1916" s="33" t="inlineStr">
        <is>
          <t>367863</t>
        </is>
      </c>
      <c r="J1916" s="33" t="inlineStr"/>
      <c r="K1916" s="33" t="inlineStr">
        <is>
          <t>FIN</t>
        </is>
      </c>
      <c r="L1916" s="35">
        <f>IF(K1916="FIN",3,IF(OR(K1916="SEM",K1916="SEMI"),2,IF(OR(K1916="PRE",K1916="HEAT"),1,IF(V1916="YES",4,2))))</f>
        <v/>
      </c>
      <c r="M1916" s="33" t="inlineStr">
        <is>
          <t>LCM</t>
        </is>
      </c>
      <c r="N1916" s="33" t="n">
        <v>200</v>
      </c>
      <c r="O1916" s="33" t="inlineStr">
        <is>
          <t>Free</t>
        </is>
      </c>
      <c r="P1916" s="33" t="inlineStr">
        <is>
          <t>200 Free</t>
        </is>
      </c>
      <c r="Q1916" s="33" t="inlineStr">
        <is>
          <t>LCM_200_FREE</t>
        </is>
      </c>
      <c r="R1916" s="36" t="n">
        <v>107.03</v>
      </c>
      <c r="S1916" s="35">
        <f>IF(R1916="","",IF(R1916&gt;=60,INT(R1916/60)&amp;":"&amp;TEXT(MOD(R1916,60),"00.00"),TEXT(R1916,"0.00")))</f>
        <v/>
      </c>
      <c r="T1916" s="52">
        <f>IFERROR((G1916-INDEX('01_Swimmers'!$E$5:$E$22,MATCH(B1916,'01_Swimmers'!$A$5:$A$22,0)))/'00_Control'!$B$10,"")</f>
        <v/>
      </c>
      <c r="U1916" s="35">
        <f>IF(T1916="","",INT(T1916))</f>
        <v/>
      </c>
      <c r="V1916" s="33" t="inlineStr">
        <is>
          <t>NO</t>
        </is>
      </c>
      <c r="W1916" s="33" t="inlineStr">
        <is>
          <t>YES</t>
        </is>
      </c>
      <c r="X1916" s="33" t="inlineStr">
        <is>
          <t>NO</t>
        </is>
      </c>
      <c r="Y1916" s="33" t="n">
        <v>1</v>
      </c>
      <c r="Z1916" s="33" t="n">
        <v>6</v>
      </c>
      <c r="AA1916" s="33" t="inlineStr">
        <is>
          <t>4</t>
        </is>
      </c>
      <c r="AB1916" s="33" t="inlineStr">
        <is>
          <t>https://www.swimcloud.com/results/367863/event/39/?id=166761718#time166761718</t>
        </is>
      </c>
      <c r="AC1916" s="33" t="inlineStr">
        <is>
          <t>SwimCloud API v6 2026-10-08</t>
        </is>
      </c>
      <c r="AD1916" s="33" t="inlineStr">
        <is>
          <t>Lewis Clareburt|2025-12-14|LCM|200|Free|107.03|Queensland Championships|FIN|False</t>
        </is>
      </c>
      <c r="AE1916" s="53">
        <f>G1916+L1916/1000+ROW()/1000000000</f>
        <v/>
      </c>
      <c r="AF1916" s="35">
        <f>IF(C1916&lt;&gt;"Grayson Coulter","",COUNTIFS($C$5:$C$2991,"Grayson Coulter",$Q$5:$Q$2991,Q1916,$AE$5:$AE$2991,"&lt;="&amp;AE1916,$R$5:$R$2991,"&lt;"&amp;R1916))</f>
        <v/>
      </c>
      <c r="AG1916" s="35">
        <f>IF(OR(C1916&lt;&gt;"Grayson Coulter",G1916&lt;'00_Control'!$B$7),"",--(AF1916&lt;5))</f>
        <v/>
      </c>
      <c r="AH1916" s="35">
        <f>IF(OR(C1916&lt;&gt;"Grayson Coulter",G1916&lt;'00_Control'!$B$7),"",--(AF1916&lt;10))</f>
        <v/>
      </c>
      <c r="AI1916" s="35">
        <f>IF(AND(C1916="Grayson Coulter",G1916&gt;='00_Control'!$B$7),"YES","NO")</f>
        <v/>
      </c>
      <c r="AJ1916" s="33" t="inlineStr">
        <is>
          <t>OK</t>
        </is>
      </c>
    </row>
    <row r="1917">
      <c r="A1917" s="33" t="inlineStr">
        <is>
          <t>SM001913</t>
        </is>
      </c>
      <c r="B1917" s="33" t="inlineStr">
        <is>
          <t>SW013</t>
        </is>
      </c>
      <c r="C1917" s="33" t="inlineStr">
        <is>
          <t>Lewis Clareburt</t>
        </is>
      </c>
      <c r="D1917" s="33" t="inlineStr">
        <is>
          <t>SwimCloud</t>
        </is>
      </c>
      <c r="E1917" s="33" t="inlineStr">
        <is>
          <t>3464011</t>
        </is>
      </c>
      <c r="F1917" s="33" t="inlineStr">
        <is>
          <t>166775553</t>
        </is>
      </c>
      <c r="G1917" s="51" t="n">
        <v>46006</v>
      </c>
      <c r="H1917" s="33" t="inlineStr">
        <is>
          <t>Queensland Championships</t>
        </is>
      </c>
      <c r="I1917" s="33" t="inlineStr">
        <is>
          <t>367863</t>
        </is>
      </c>
      <c r="J1917" s="33" t="inlineStr"/>
      <c r="K1917" s="33" t="inlineStr">
        <is>
          <t>PRE</t>
        </is>
      </c>
      <c r="L1917" s="35">
        <f>IF(K1917="FIN",3,IF(OR(K1917="SEM",K1917="SEMI"),2,IF(OR(K1917="PRE",K1917="HEAT"),1,IF(V1917="YES",4,2))))</f>
        <v/>
      </c>
      <c r="M1917" s="33" t="inlineStr">
        <is>
          <t>LCM</t>
        </is>
      </c>
      <c r="N1917" s="33" t="n">
        <v>100</v>
      </c>
      <c r="O1917" s="33" t="inlineStr">
        <is>
          <t>Fly</t>
        </is>
      </c>
      <c r="P1917" s="33" t="inlineStr">
        <is>
          <t>100 Fly</t>
        </is>
      </c>
      <c r="Q1917" s="33" t="inlineStr">
        <is>
          <t>LCM_100_FLY</t>
        </is>
      </c>
      <c r="R1917" s="36" t="n">
        <v>55.36</v>
      </c>
      <c r="S1917" s="35">
        <f>IF(R1917="","",IF(R1917&gt;=60,INT(R1917/60)&amp;":"&amp;TEXT(MOD(R1917,60),"00.00"),TEXT(R1917,"0.00")))</f>
        <v/>
      </c>
      <c r="T1917" s="52">
        <f>IFERROR((G1917-INDEX('01_Swimmers'!$E$5:$E$22,MATCH(B1917,'01_Swimmers'!$A$5:$A$22,0)))/'00_Control'!$B$10,"")</f>
        <v/>
      </c>
      <c r="U1917" s="35">
        <f>IF(T1917="","",INT(T1917))</f>
        <v/>
      </c>
      <c r="V1917" s="33" t="inlineStr">
        <is>
          <t>NO</t>
        </is>
      </c>
      <c r="W1917" s="33" t="inlineStr">
        <is>
          <t>YES</t>
        </is>
      </c>
      <c r="X1917" s="33" t="inlineStr">
        <is>
          <t>NO</t>
        </is>
      </c>
      <c r="Y1917" s="33" t="n">
        <v>1</v>
      </c>
      <c r="Z1917" s="33" t="n">
        <v>4</v>
      </c>
      <c r="AA1917" s="33" t="inlineStr"/>
      <c r="AB1917" s="33" t="inlineStr">
        <is>
          <t>https://www.swimcloud.com/results/367863/event/101/?id=166765763#time166765763</t>
        </is>
      </c>
      <c r="AC1917" s="33" t="inlineStr">
        <is>
          <t>SwimCloud API v6 2026-10-08</t>
        </is>
      </c>
      <c r="AD1917" s="33" t="inlineStr">
        <is>
          <t>Lewis Clareburt|2025-12-15|LCM|100|Fly|55.36|Queensland Championships|PRE|False</t>
        </is>
      </c>
      <c r="AE1917" s="53">
        <f>G1917+L1917/1000+ROW()/1000000000</f>
        <v/>
      </c>
      <c r="AF1917" s="35">
        <f>IF(C1917&lt;&gt;"Grayson Coulter","",COUNTIFS($C$5:$C$2991,"Grayson Coulter",$Q$5:$Q$2991,Q1917,$AE$5:$AE$2991,"&lt;="&amp;AE1917,$R$5:$R$2991,"&lt;"&amp;R1917))</f>
        <v/>
      </c>
      <c r="AG1917" s="35">
        <f>IF(OR(C1917&lt;&gt;"Grayson Coulter",G1917&lt;'00_Control'!$B$7),"",--(AF1917&lt;5))</f>
        <v/>
      </c>
      <c r="AH1917" s="35">
        <f>IF(OR(C1917&lt;&gt;"Grayson Coulter",G1917&lt;'00_Control'!$B$7),"",--(AF1917&lt;10))</f>
        <v/>
      </c>
      <c r="AI1917" s="35">
        <f>IF(AND(C1917="Grayson Coulter",G1917&gt;='00_Control'!$B$7),"YES","NO")</f>
        <v/>
      </c>
      <c r="AJ1917" s="33" t="inlineStr">
        <is>
          <t>OK</t>
        </is>
      </c>
    </row>
    <row r="1918">
      <c r="A1918" s="33" t="inlineStr">
        <is>
          <t>SM001914</t>
        </is>
      </c>
      <c r="B1918" s="33" t="inlineStr">
        <is>
          <t>SW013</t>
        </is>
      </c>
      <c r="C1918" s="33" t="inlineStr">
        <is>
          <t>Lewis Clareburt</t>
        </is>
      </c>
      <c r="D1918" s="33" t="inlineStr">
        <is>
          <t>SwimCloud</t>
        </is>
      </c>
      <c r="E1918" s="33" t="inlineStr">
        <is>
          <t>3464011</t>
        </is>
      </c>
      <c r="F1918" s="33" t="inlineStr">
        <is>
          <t>166775554</t>
        </is>
      </c>
      <c r="G1918" s="51" t="n">
        <v>46006</v>
      </c>
      <c r="H1918" s="33" t="inlineStr">
        <is>
          <t>Queensland Championships</t>
        </is>
      </c>
      <c r="I1918" s="33" t="inlineStr">
        <is>
          <t>367863</t>
        </is>
      </c>
      <c r="J1918" s="33" t="inlineStr"/>
      <c r="K1918" s="33" t="inlineStr">
        <is>
          <t>FIN</t>
        </is>
      </c>
      <c r="L1918" s="35">
        <f>IF(K1918="FIN",3,IF(OR(K1918="SEM",K1918="SEMI"),2,IF(OR(K1918="PRE",K1918="HEAT"),1,IF(V1918="YES",4,2))))</f>
        <v/>
      </c>
      <c r="M1918" s="33" t="inlineStr">
        <is>
          <t>LCM</t>
        </is>
      </c>
      <c r="N1918" s="33" t="n">
        <v>100</v>
      </c>
      <c r="O1918" s="33" t="inlineStr">
        <is>
          <t>Fly</t>
        </is>
      </c>
      <c r="P1918" s="33" t="inlineStr">
        <is>
          <t>100 Fly</t>
        </is>
      </c>
      <c r="Q1918" s="33" t="inlineStr">
        <is>
          <t>LCM_100_FLY</t>
        </is>
      </c>
      <c r="R1918" s="36" t="n">
        <v>55.69</v>
      </c>
      <c r="S1918" s="35">
        <f>IF(R1918="","",IF(R1918&gt;=60,INT(R1918/60)&amp;":"&amp;TEXT(MOD(R1918,60),"00.00"),TEXT(R1918,"0.00")))</f>
        <v/>
      </c>
      <c r="T1918" s="52">
        <f>IFERROR((G1918-INDEX('01_Swimmers'!$E$5:$E$22,MATCH(B1918,'01_Swimmers'!$A$5:$A$22,0)))/'00_Control'!$B$10,"")</f>
        <v/>
      </c>
      <c r="U1918" s="35">
        <f>IF(T1918="","",INT(T1918))</f>
        <v/>
      </c>
      <c r="V1918" s="33" t="inlineStr">
        <is>
          <t>NO</t>
        </is>
      </c>
      <c r="W1918" s="33" t="inlineStr">
        <is>
          <t>YES</t>
        </is>
      </c>
      <c r="X1918" s="33" t="inlineStr">
        <is>
          <t>NO</t>
        </is>
      </c>
      <c r="Y1918" s="33" t="n">
        <v>1</v>
      </c>
      <c r="Z1918" s="33" t="n">
        <v>4</v>
      </c>
      <c r="AA1918" s="33" t="inlineStr"/>
      <c r="AB1918" s="33" t="inlineStr">
        <is>
          <t>https://www.swimcloud.com/results/367863/event/101/?id=166765764#time166765764</t>
        </is>
      </c>
      <c r="AC1918" s="33" t="inlineStr">
        <is>
          <t>SwimCloud API v6 2026-10-08</t>
        </is>
      </c>
      <c r="AD1918" s="33" t="inlineStr">
        <is>
          <t>Lewis Clareburt|2025-12-15|LCM|100|Fly|55.69|Queensland Championships|FIN|False</t>
        </is>
      </c>
      <c r="AE1918" s="53">
        <f>G1918+L1918/1000+ROW()/1000000000</f>
        <v/>
      </c>
      <c r="AF1918" s="35">
        <f>IF(C1918&lt;&gt;"Grayson Coulter","",COUNTIFS($C$5:$C$2991,"Grayson Coulter",$Q$5:$Q$2991,Q1918,$AE$5:$AE$2991,"&lt;="&amp;AE1918,$R$5:$R$2991,"&lt;"&amp;R1918))</f>
        <v/>
      </c>
      <c r="AG1918" s="35">
        <f>IF(OR(C1918&lt;&gt;"Grayson Coulter",G1918&lt;'00_Control'!$B$7),"",--(AF1918&lt;5))</f>
        <v/>
      </c>
      <c r="AH1918" s="35">
        <f>IF(OR(C1918&lt;&gt;"Grayson Coulter",G1918&lt;'00_Control'!$B$7),"",--(AF1918&lt;10))</f>
        <v/>
      </c>
      <c r="AI1918" s="35">
        <f>IF(AND(C1918="Grayson Coulter",G1918&gt;='00_Control'!$B$7),"YES","NO")</f>
        <v/>
      </c>
      <c r="AJ1918" s="33" t="inlineStr">
        <is>
          <t>OK</t>
        </is>
      </c>
    </row>
    <row r="1919">
      <c r="A1919" s="33" t="inlineStr">
        <is>
          <t>SM001915</t>
        </is>
      </c>
      <c r="B1919" s="33" t="inlineStr">
        <is>
          <t>SW013</t>
        </is>
      </c>
      <c r="C1919" s="33" t="inlineStr">
        <is>
          <t>Lewis Clareburt</t>
        </is>
      </c>
      <c r="D1919" s="33" t="inlineStr">
        <is>
          <t>SwimCloud</t>
        </is>
      </c>
      <c r="E1919" s="33" t="inlineStr">
        <is>
          <t>3464011</t>
        </is>
      </c>
      <c r="F1919" s="33" t="inlineStr">
        <is>
          <t>175906685</t>
        </is>
      </c>
      <c r="G1919" s="51" t="n">
        <v>46118</v>
      </c>
      <c r="H1919" s="33" t="inlineStr">
        <is>
          <t>Australian Open</t>
        </is>
      </c>
      <c r="I1919" s="33" t="inlineStr">
        <is>
          <t>383755</t>
        </is>
      </c>
      <c r="J1919" s="33" t="inlineStr"/>
      <c r="K1919" s="33" t="inlineStr">
        <is>
          <t>PRE</t>
        </is>
      </c>
      <c r="L1919" s="35">
        <f>IF(K1919="FIN",3,IF(OR(K1919="SEM",K1919="SEMI"),2,IF(OR(K1919="PRE",K1919="HEAT"),1,IF(V1919="YES",4,2))))</f>
        <v/>
      </c>
      <c r="M1919" s="33" t="inlineStr">
        <is>
          <t>LCM</t>
        </is>
      </c>
      <c r="N1919" s="33" t="n">
        <v>400</v>
      </c>
      <c r="O1919" s="33" t="inlineStr">
        <is>
          <t>Free</t>
        </is>
      </c>
      <c r="P1919" s="33" t="inlineStr">
        <is>
          <t>400 Free</t>
        </is>
      </c>
      <c r="Q1919" s="33" t="inlineStr">
        <is>
          <t>LCM_400_FREE</t>
        </is>
      </c>
      <c r="R1919" s="36" t="n">
        <v>228.34</v>
      </c>
      <c r="S1919" s="35">
        <f>IF(R1919="","",IF(R1919&gt;=60,INT(R1919/60)&amp;":"&amp;TEXT(MOD(R1919,60),"00.00"),TEXT(R1919,"0.00")))</f>
        <v/>
      </c>
      <c r="T1919" s="52">
        <f>IFERROR((G1919-INDEX('01_Swimmers'!$E$5:$E$22,MATCH(B1919,'01_Swimmers'!$A$5:$A$22,0)))/'00_Control'!$B$10,"")</f>
        <v/>
      </c>
      <c r="U1919" s="35">
        <f>IF(T1919="","",INT(T1919))</f>
        <v/>
      </c>
      <c r="V1919" s="33" t="inlineStr">
        <is>
          <t>NO</t>
        </is>
      </c>
      <c r="W1919" s="33" t="inlineStr">
        <is>
          <t>YES</t>
        </is>
      </c>
      <c r="X1919" s="33" t="inlineStr">
        <is>
          <t>NO</t>
        </is>
      </c>
      <c r="Y1919" s="33" t="n">
        <v>2</v>
      </c>
      <c r="Z1919" s="33" t="n">
        <v>6</v>
      </c>
      <c r="AA1919" s="33" t="inlineStr">
        <is>
          <t>1</t>
        </is>
      </c>
      <c r="AB1919" s="33" t="inlineStr">
        <is>
          <t>https://www.swimcloud.com/results/383755/event/3/?id=175906685#time175906685</t>
        </is>
      </c>
      <c r="AC1919" s="33" t="inlineStr">
        <is>
          <t>SwimCloud API v6 2026-10-08</t>
        </is>
      </c>
      <c r="AD1919" s="33" t="inlineStr">
        <is>
          <t>Lewis Clareburt|2026-04-06|LCM|400|Free|228.34|Australian Open|PRE|False</t>
        </is>
      </c>
      <c r="AE1919" s="53">
        <f>G1919+L1919/1000+ROW()/1000000000</f>
        <v/>
      </c>
      <c r="AF1919" s="35">
        <f>IF(C1919&lt;&gt;"Grayson Coulter","",COUNTIFS($C$5:$C$2991,"Grayson Coulter",$Q$5:$Q$2991,Q1919,$AE$5:$AE$2991,"&lt;="&amp;AE1919,$R$5:$R$2991,"&lt;"&amp;R1919))</f>
        <v/>
      </c>
      <c r="AG1919" s="35">
        <f>IF(OR(C1919&lt;&gt;"Grayson Coulter",G1919&lt;'00_Control'!$B$7),"",--(AF1919&lt;5))</f>
        <v/>
      </c>
      <c r="AH1919" s="35">
        <f>IF(OR(C1919&lt;&gt;"Grayson Coulter",G1919&lt;'00_Control'!$B$7),"",--(AF1919&lt;10))</f>
        <v/>
      </c>
      <c r="AI1919" s="35">
        <f>IF(AND(C1919="Grayson Coulter",G1919&gt;='00_Control'!$B$7),"YES","NO")</f>
        <v/>
      </c>
      <c r="AJ1919" s="33" t="inlineStr">
        <is>
          <t>OK</t>
        </is>
      </c>
    </row>
    <row r="1920">
      <c r="A1920" s="33" t="inlineStr">
        <is>
          <t>SM001916</t>
        </is>
      </c>
      <c r="B1920" s="33" t="inlineStr">
        <is>
          <t>SW013</t>
        </is>
      </c>
      <c r="C1920" s="33" t="inlineStr">
        <is>
          <t>Lewis Clareburt</t>
        </is>
      </c>
      <c r="D1920" s="33" t="inlineStr">
        <is>
          <t>SwimCloud</t>
        </is>
      </c>
      <c r="E1920" s="33" t="inlineStr">
        <is>
          <t>3464011</t>
        </is>
      </c>
      <c r="F1920" s="33" t="inlineStr">
        <is>
          <t>175906686</t>
        </is>
      </c>
      <c r="G1920" s="51" t="n">
        <v>46118</v>
      </c>
      <c r="H1920" s="33" t="inlineStr">
        <is>
          <t>Australian Open</t>
        </is>
      </c>
      <c r="I1920" s="33" t="inlineStr">
        <is>
          <t>383755</t>
        </is>
      </c>
      <c r="J1920" s="33" t="inlineStr"/>
      <c r="K1920" s="33" t="inlineStr">
        <is>
          <t>FIN</t>
        </is>
      </c>
      <c r="L1920" s="35">
        <f>IF(K1920="FIN",3,IF(OR(K1920="SEM",K1920="SEMI"),2,IF(OR(K1920="PRE",K1920="HEAT"),1,IF(V1920="YES",4,2))))</f>
        <v/>
      </c>
      <c r="M1920" s="33" t="inlineStr">
        <is>
          <t>LCM</t>
        </is>
      </c>
      <c r="N1920" s="33" t="n">
        <v>400</v>
      </c>
      <c r="O1920" s="33" t="inlineStr">
        <is>
          <t>Free</t>
        </is>
      </c>
      <c r="P1920" s="33" t="inlineStr">
        <is>
          <t>400 Free</t>
        </is>
      </c>
      <c r="Q1920" s="33" t="inlineStr">
        <is>
          <t>LCM_400_FREE</t>
        </is>
      </c>
      <c r="R1920" s="36" t="n">
        <v>226.86</v>
      </c>
      <c r="S1920" s="35">
        <f>IF(R1920="","",IF(R1920&gt;=60,INT(R1920/60)&amp;":"&amp;TEXT(MOD(R1920,60),"00.00"),TEXT(R1920,"0.00")))</f>
        <v/>
      </c>
      <c r="T1920" s="52">
        <f>IFERROR((G1920-INDEX('01_Swimmers'!$E$5:$E$22,MATCH(B1920,'01_Swimmers'!$A$5:$A$22,0)))/'00_Control'!$B$10,"")</f>
        <v/>
      </c>
      <c r="U1920" s="35">
        <f>IF(T1920="","",INT(T1920))</f>
        <v/>
      </c>
      <c r="V1920" s="33" t="inlineStr">
        <is>
          <t>NO</t>
        </is>
      </c>
      <c r="W1920" s="33" t="inlineStr">
        <is>
          <t>YES</t>
        </is>
      </c>
      <c r="X1920" s="33" t="inlineStr">
        <is>
          <t>NO</t>
        </is>
      </c>
      <c r="Y1920" s="33" t="n">
        <v>1</v>
      </c>
      <c r="Z1920" s="33" t="n">
        <v>4</v>
      </c>
      <c r="AA1920" s="33" t="inlineStr">
        <is>
          <t>3</t>
        </is>
      </c>
      <c r="AB1920" s="33" t="inlineStr">
        <is>
          <t>https://www.swimcloud.com/results/383755/event/3/?id=175906686#time175906686</t>
        </is>
      </c>
      <c r="AC1920" s="33" t="inlineStr">
        <is>
          <t>SwimCloud API v6 2026-10-08</t>
        </is>
      </c>
      <c r="AD1920" s="33" t="inlineStr">
        <is>
          <t>Lewis Clareburt|2026-04-06|LCM|400|Free|226.86|Australian Open|FIN|False</t>
        </is>
      </c>
      <c r="AE1920" s="53">
        <f>G1920+L1920/1000+ROW()/1000000000</f>
        <v/>
      </c>
      <c r="AF1920" s="35">
        <f>IF(C1920&lt;&gt;"Grayson Coulter","",COUNTIFS($C$5:$C$2991,"Grayson Coulter",$Q$5:$Q$2991,Q1920,$AE$5:$AE$2991,"&lt;="&amp;AE1920,$R$5:$R$2991,"&lt;"&amp;R1920))</f>
        <v/>
      </c>
      <c r="AG1920" s="35">
        <f>IF(OR(C1920&lt;&gt;"Grayson Coulter",G1920&lt;'00_Control'!$B$7),"",--(AF1920&lt;5))</f>
        <v/>
      </c>
      <c r="AH1920" s="35">
        <f>IF(OR(C1920&lt;&gt;"Grayson Coulter",G1920&lt;'00_Control'!$B$7),"",--(AF1920&lt;10))</f>
        <v/>
      </c>
      <c r="AI1920" s="35">
        <f>IF(AND(C1920="Grayson Coulter",G1920&gt;='00_Control'!$B$7),"YES","NO")</f>
        <v/>
      </c>
      <c r="AJ1920" s="33" t="inlineStr">
        <is>
          <t>OK</t>
        </is>
      </c>
    </row>
    <row r="1921">
      <c r="A1921" s="33" t="inlineStr">
        <is>
          <t>SM001917</t>
        </is>
      </c>
      <c r="B1921" s="33" t="inlineStr">
        <is>
          <t>SW013</t>
        </is>
      </c>
      <c r="C1921" s="33" t="inlineStr">
        <is>
          <t>Lewis Clareburt</t>
        </is>
      </c>
      <c r="D1921" s="33" t="inlineStr">
        <is>
          <t>SwimCloud</t>
        </is>
      </c>
      <c r="E1921" s="33" t="inlineStr">
        <is>
          <t>3464011</t>
        </is>
      </c>
      <c r="F1921" s="33" t="inlineStr">
        <is>
          <t>175907491</t>
        </is>
      </c>
      <c r="G1921" s="51" t="n">
        <v>46119</v>
      </c>
      <c r="H1921" s="33" t="inlineStr">
        <is>
          <t>Australian Open</t>
        </is>
      </c>
      <c r="I1921" s="33" t="inlineStr">
        <is>
          <t>383755</t>
        </is>
      </c>
      <c r="J1921" s="33" t="inlineStr"/>
      <c r="K1921" s="33" t="inlineStr">
        <is>
          <t>PRE</t>
        </is>
      </c>
      <c r="L1921" s="35">
        <f>IF(K1921="FIN",3,IF(OR(K1921="SEM",K1921="SEMI"),2,IF(OR(K1921="PRE",K1921="HEAT"),1,IF(V1921="YES",4,2))))</f>
        <v/>
      </c>
      <c r="M1921" s="33" t="inlineStr">
        <is>
          <t>LCM</t>
        </is>
      </c>
      <c r="N1921" s="33" t="n">
        <v>200</v>
      </c>
      <c r="O1921" s="33" t="inlineStr">
        <is>
          <t>Free</t>
        </is>
      </c>
      <c r="P1921" s="33" t="inlineStr">
        <is>
          <t>200 Free</t>
        </is>
      </c>
      <c r="Q1921" s="33" t="inlineStr">
        <is>
          <t>LCM_200_FREE</t>
        </is>
      </c>
      <c r="R1921" s="36" t="n">
        <v>107.53</v>
      </c>
      <c r="S1921" s="35">
        <f>IF(R1921="","",IF(R1921&gt;=60,INT(R1921/60)&amp;":"&amp;TEXT(MOD(R1921,60),"00.00"),TEXT(R1921,"0.00")))</f>
        <v/>
      </c>
      <c r="T1921" s="52">
        <f>IFERROR((G1921-INDEX('01_Swimmers'!$E$5:$E$22,MATCH(B1921,'01_Swimmers'!$A$5:$A$22,0)))/'00_Control'!$B$10,"")</f>
        <v/>
      </c>
      <c r="U1921" s="35">
        <f>IF(T1921="","",INT(T1921))</f>
        <v/>
      </c>
      <c r="V1921" s="33" t="inlineStr">
        <is>
          <t>NO</t>
        </is>
      </c>
      <c r="W1921" s="33" t="inlineStr">
        <is>
          <t>YES</t>
        </is>
      </c>
      <c r="X1921" s="33" t="inlineStr">
        <is>
          <t>NO</t>
        </is>
      </c>
      <c r="Y1921" s="33" t="n">
        <v>2</v>
      </c>
      <c r="Z1921" s="33" t="n">
        <v>3</v>
      </c>
      <c r="AA1921" s="33" t="inlineStr">
        <is>
          <t>2</t>
        </is>
      </c>
      <c r="AB1921" s="33" t="inlineStr">
        <is>
          <t>https://www.swimcloud.com/results/383755/event/24/?id=175907491#time175907491</t>
        </is>
      </c>
      <c r="AC1921" s="33" t="inlineStr">
        <is>
          <t>SwimCloud API v6 2026-10-08</t>
        </is>
      </c>
      <c r="AD1921" s="33" t="inlineStr">
        <is>
          <t>Lewis Clareburt|2026-04-07|LCM|200|Free|107.53|Australian Open|PRE|False</t>
        </is>
      </c>
      <c r="AE1921" s="53">
        <f>G1921+L1921/1000+ROW()/1000000000</f>
        <v/>
      </c>
      <c r="AF1921" s="35">
        <f>IF(C1921&lt;&gt;"Grayson Coulter","",COUNTIFS($C$5:$C$2991,"Grayson Coulter",$Q$5:$Q$2991,Q1921,$AE$5:$AE$2991,"&lt;="&amp;AE1921,$R$5:$R$2991,"&lt;"&amp;R1921))</f>
        <v/>
      </c>
      <c r="AG1921" s="35">
        <f>IF(OR(C1921&lt;&gt;"Grayson Coulter",G1921&lt;'00_Control'!$B$7),"",--(AF1921&lt;5))</f>
        <v/>
      </c>
      <c r="AH1921" s="35">
        <f>IF(OR(C1921&lt;&gt;"Grayson Coulter",G1921&lt;'00_Control'!$B$7),"",--(AF1921&lt;10))</f>
        <v/>
      </c>
      <c r="AI1921" s="35">
        <f>IF(AND(C1921="Grayson Coulter",G1921&gt;='00_Control'!$B$7),"YES","NO")</f>
        <v/>
      </c>
      <c r="AJ1921" s="33" t="inlineStr">
        <is>
          <t>OK</t>
        </is>
      </c>
    </row>
    <row r="1922">
      <c r="A1922" s="33" t="inlineStr">
        <is>
          <t>SM001918</t>
        </is>
      </c>
      <c r="B1922" s="33" t="inlineStr">
        <is>
          <t>SW013</t>
        </is>
      </c>
      <c r="C1922" s="33" t="inlineStr">
        <is>
          <t>Lewis Clareburt</t>
        </is>
      </c>
      <c r="D1922" s="33" t="inlineStr">
        <is>
          <t>SwimCloud</t>
        </is>
      </c>
      <c r="E1922" s="33" t="inlineStr">
        <is>
          <t>3464011</t>
        </is>
      </c>
      <c r="F1922" s="33" t="inlineStr">
        <is>
          <t>175907492</t>
        </is>
      </c>
      <c r="G1922" s="51" t="n">
        <v>46119</v>
      </c>
      <c r="H1922" s="33" t="inlineStr">
        <is>
          <t>Australian Open</t>
        </is>
      </c>
      <c r="I1922" s="33" t="inlineStr">
        <is>
          <t>383755</t>
        </is>
      </c>
      <c r="J1922" s="33" t="inlineStr"/>
      <c r="K1922" s="33" t="inlineStr">
        <is>
          <t>FIN</t>
        </is>
      </c>
      <c r="L1922" s="35">
        <f>IF(K1922="FIN",3,IF(OR(K1922="SEM",K1922="SEMI"),2,IF(OR(K1922="PRE",K1922="HEAT"),1,IF(V1922="YES",4,2))))</f>
        <v/>
      </c>
      <c r="M1922" s="33" t="inlineStr">
        <is>
          <t>LCM</t>
        </is>
      </c>
      <c r="N1922" s="33" t="n">
        <v>200</v>
      </c>
      <c r="O1922" s="33" t="inlineStr">
        <is>
          <t>Free</t>
        </is>
      </c>
      <c r="P1922" s="33" t="inlineStr">
        <is>
          <t>200 Free</t>
        </is>
      </c>
      <c r="Q1922" s="33" t="inlineStr">
        <is>
          <t>LCM_200_FREE</t>
        </is>
      </c>
      <c r="R1922" s="36" t="n">
        <v>105.57</v>
      </c>
      <c r="S1922" s="35">
        <f>IF(R1922="","",IF(R1922&gt;=60,INT(R1922/60)&amp;":"&amp;TEXT(MOD(R1922,60),"00.00"),TEXT(R1922,"0.00")))</f>
        <v/>
      </c>
      <c r="T1922" s="52">
        <f>IFERROR((G1922-INDEX('01_Swimmers'!$E$5:$E$22,MATCH(B1922,'01_Swimmers'!$A$5:$A$22,0)))/'00_Control'!$B$10,"")</f>
        <v/>
      </c>
      <c r="U1922" s="35">
        <f>IF(T1922="","",INT(T1922))</f>
        <v/>
      </c>
      <c r="V1922" s="33" t="inlineStr">
        <is>
          <t>NO</t>
        </is>
      </c>
      <c r="W1922" s="33" t="inlineStr">
        <is>
          <t>YES</t>
        </is>
      </c>
      <c r="X1922" s="33" t="inlineStr">
        <is>
          <t>NO</t>
        </is>
      </c>
      <c r="Y1922" s="33" t="n">
        <v>1</v>
      </c>
      <c r="Z1922" s="33" t="n">
        <v>5</v>
      </c>
      <c r="AA1922" s="33" t="inlineStr">
        <is>
          <t>1</t>
        </is>
      </c>
      <c r="AB1922" s="33" t="inlineStr">
        <is>
          <t>https://www.swimcloud.com/results/383755/event/24/?id=175907492#time175907492</t>
        </is>
      </c>
      <c r="AC1922" s="33" t="inlineStr">
        <is>
          <t>SwimCloud API v6 2026-10-08</t>
        </is>
      </c>
      <c r="AD1922" s="33" t="inlineStr">
        <is>
          <t>Lewis Clareburt|2026-04-07|LCM|200|Free|105.57|Australian Open|FIN|False</t>
        </is>
      </c>
      <c r="AE1922" s="53">
        <f>G1922+L1922/1000+ROW()/1000000000</f>
        <v/>
      </c>
      <c r="AF1922" s="35">
        <f>IF(C1922&lt;&gt;"Grayson Coulter","",COUNTIFS($C$5:$C$2991,"Grayson Coulter",$Q$5:$Q$2991,Q1922,$AE$5:$AE$2991,"&lt;="&amp;AE1922,$R$5:$R$2991,"&lt;"&amp;R1922))</f>
        <v/>
      </c>
      <c r="AG1922" s="35">
        <f>IF(OR(C1922&lt;&gt;"Grayson Coulter",G1922&lt;'00_Control'!$B$7),"",--(AF1922&lt;5))</f>
        <v/>
      </c>
      <c r="AH1922" s="35">
        <f>IF(OR(C1922&lt;&gt;"Grayson Coulter",G1922&lt;'00_Control'!$B$7),"",--(AF1922&lt;10))</f>
        <v/>
      </c>
      <c r="AI1922" s="35">
        <f>IF(AND(C1922="Grayson Coulter",G1922&gt;='00_Control'!$B$7),"YES","NO")</f>
        <v/>
      </c>
      <c r="AJ1922" s="33" t="inlineStr">
        <is>
          <t>OK</t>
        </is>
      </c>
    </row>
    <row r="1923">
      <c r="A1923" s="33" t="inlineStr">
        <is>
          <t>SM001919</t>
        </is>
      </c>
      <c r="B1923" s="33" t="inlineStr">
        <is>
          <t>SW013</t>
        </is>
      </c>
      <c r="C1923" s="33" t="inlineStr">
        <is>
          <t>Lewis Clareburt</t>
        </is>
      </c>
      <c r="D1923" s="33" t="inlineStr">
        <is>
          <t>SwimCloud</t>
        </is>
      </c>
      <c r="E1923" s="33" t="inlineStr">
        <is>
          <t>3464011</t>
        </is>
      </c>
      <c r="F1923" s="33" t="inlineStr">
        <is>
          <t>175910686</t>
        </is>
      </c>
      <c r="G1923" s="51" t="n">
        <v>46120</v>
      </c>
      <c r="H1923" s="33" t="inlineStr">
        <is>
          <t>Australian Open</t>
        </is>
      </c>
      <c r="I1923" s="33" t="inlineStr">
        <is>
          <t>383755</t>
        </is>
      </c>
      <c r="J1923" s="33" t="inlineStr"/>
      <c r="K1923" s="33" t="inlineStr">
        <is>
          <t>PRE</t>
        </is>
      </c>
      <c r="L1923" s="35">
        <f>IF(K1923="FIN",3,IF(OR(K1923="SEM",K1923="SEMI"),2,IF(OR(K1923="PRE",K1923="HEAT"),1,IF(V1923="YES",4,2))))</f>
        <v/>
      </c>
      <c r="M1923" s="33" t="inlineStr">
        <is>
          <t>LCM</t>
        </is>
      </c>
      <c r="N1923" s="33" t="n">
        <v>100</v>
      </c>
      <c r="O1923" s="33" t="inlineStr">
        <is>
          <t>Fly</t>
        </is>
      </c>
      <c r="P1923" s="33" t="inlineStr">
        <is>
          <t>100 Fly</t>
        </is>
      </c>
      <c r="Q1923" s="33" t="inlineStr">
        <is>
          <t>LCM_100_FLY</t>
        </is>
      </c>
      <c r="R1923" s="36" t="n">
        <v>59.25</v>
      </c>
      <c r="S1923" s="35">
        <f>IF(R1923="","",IF(R1923&gt;=60,INT(R1923/60)&amp;":"&amp;TEXT(MOD(R1923,60),"00.00"),TEXT(R1923,"0.00")))</f>
        <v/>
      </c>
      <c r="T1923" s="52">
        <f>IFERROR((G1923-INDEX('01_Swimmers'!$E$5:$E$22,MATCH(B1923,'01_Swimmers'!$A$5:$A$22,0)))/'00_Control'!$B$10,"")</f>
        <v/>
      </c>
      <c r="U1923" s="35">
        <f>IF(T1923="","",INT(T1923))</f>
        <v/>
      </c>
      <c r="V1923" s="33" t="inlineStr">
        <is>
          <t>NO</t>
        </is>
      </c>
      <c r="W1923" s="33" t="inlineStr">
        <is>
          <t>YES</t>
        </is>
      </c>
      <c r="X1923" s="33" t="inlineStr">
        <is>
          <t>NO</t>
        </is>
      </c>
      <c r="Y1923" s="33" t="n">
        <v>2</v>
      </c>
      <c r="Z1923" s="33" t="n">
        <v>4</v>
      </c>
      <c r="AA1923" s="33" t="inlineStr"/>
      <c r="AB1923" s="33" t="inlineStr">
        <is>
          <t>https://www.swimcloud.com/results/383755/event/52/?id=175909210#time175909210</t>
        </is>
      </c>
      <c r="AC1923" s="33" t="inlineStr">
        <is>
          <t>SwimCloud API v6 2026-10-08</t>
        </is>
      </c>
      <c r="AD1923" s="33" t="inlineStr">
        <is>
          <t>Lewis Clareburt|2026-04-08|LCM|100|Fly|59.25|Australian Open|PRE|False</t>
        </is>
      </c>
      <c r="AE1923" s="53">
        <f>G1923+L1923/1000+ROW()/1000000000</f>
        <v/>
      </c>
      <c r="AF1923" s="35">
        <f>IF(C1923&lt;&gt;"Grayson Coulter","",COUNTIFS($C$5:$C$2991,"Grayson Coulter",$Q$5:$Q$2991,Q1923,$AE$5:$AE$2991,"&lt;="&amp;AE1923,$R$5:$R$2991,"&lt;"&amp;R1923))</f>
        <v/>
      </c>
      <c r="AG1923" s="35">
        <f>IF(OR(C1923&lt;&gt;"Grayson Coulter",G1923&lt;'00_Control'!$B$7),"",--(AF1923&lt;5))</f>
        <v/>
      </c>
      <c r="AH1923" s="35">
        <f>IF(OR(C1923&lt;&gt;"Grayson Coulter",G1923&lt;'00_Control'!$B$7),"",--(AF1923&lt;10))</f>
        <v/>
      </c>
      <c r="AI1923" s="35">
        <f>IF(AND(C1923="Grayson Coulter",G1923&gt;='00_Control'!$B$7),"YES","NO")</f>
        <v/>
      </c>
      <c r="AJ1923" s="33" t="inlineStr">
        <is>
          <t>OK</t>
        </is>
      </c>
    </row>
    <row r="1924">
      <c r="A1924" s="33" t="inlineStr">
        <is>
          <t>SM001920</t>
        </is>
      </c>
      <c r="B1924" s="33" t="inlineStr">
        <is>
          <t>SW013</t>
        </is>
      </c>
      <c r="C1924" s="33" t="inlineStr">
        <is>
          <t>Lewis Clareburt</t>
        </is>
      </c>
      <c r="D1924" s="33" t="inlineStr">
        <is>
          <t>SwimCloud</t>
        </is>
      </c>
      <c r="E1924" s="33" t="inlineStr">
        <is>
          <t>3464011</t>
        </is>
      </c>
      <c r="F1924" s="33" t="inlineStr">
        <is>
          <t>175910678</t>
        </is>
      </c>
      <c r="G1924" s="51" t="n">
        <v>46120</v>
      </c>
      <c r="H1924" s="33" t="inlineStr">
        <is>
          <t>Australian Open</t>
        </is>
      </c>
      <c r="I1924" s="33" t="inlineStr">
        <is>
          <t>383755</t>
        </is>
      </c>
      <c r="J1924" s="33" t="inlineStr"/>
      <c r="K1924" s="33" t="inlineStr">
        <is>
          <t>FIN</t>
        </is>
      </c>
      <c r="L1924" s="35">
        <f>IF(K1924="FIN",3,IF(OR(K1924="SEM",K1924="SEMI"),2,IF(OR(K1924="PRE",K1924="HEAT"),1,IF(V1924="YES",4,2))))</f>
        <v/>
      </c>
      <c r="M1924" s="33" t="inlineStr">
        <is>
          <t>LCM</t>
        </is>
      </c>
      <c r="N1924" s="33" t="n">
        <v>100</v>
      </c>
      <c r="O1924" s="33" t="inlineStr">
        <is>
          <t>Fly</t>
        </is>
      </c>
      <c r="P1924" s="33" t="inlineStr">
        <is>
          <t>100 Fly</t>
        </is>
      </c>
      <c r="Q1924" s="33" t="inlineStr">
        <is>
          <t>LCM_100_FLY</t>
        </is>
      </c>
      <c r="R1924" s="36" t="n">
        <v>55.67</v>
      </c>
      <c r="S1924" s="35">
        <f>IF(R1924="","",IF(R1924&gt;=60,INT(R1924/60)&amp;":"&amp;TEXT(MOD(R1924,60),"00.00"),TEXT(R1924,"0.00")))</f>
        <v/>
      </c>
      <c r="T1924" s="52">
        <f>IFERROR((G1924-INDEX('01_Swimmers'!$E$5:$E$22,MATCH(B1924,'01_Swimmers'!$A$5:$A$22,0)))/'00_Control'!$B$10,"")</f>
        <v/>
      </c>
      <c r="U1924" s="35">
        <f>IF(T1924="","",INT(T1924))</f>
        <v/>
      </c>
      <c r="V1924" s="33" t="inlineStr">
        <is>
          <t>NO</t>
        </is>
      </c>
      <c r="W1924" s="33" t="inlineStr">
        <is>
          <t>YES</t>
        </is>
      </c>
      <c r="X1924" s="33" t="inlineStr">
        <is>
          <t>NO</t>
        </is>
      </c>
      <c r="Y1924" s="33" t="n">
        <v>1</v>
      </c>
      <c r="Z1924" s="33" t="n">
        <v>5</v>
      </c>
      <c r="AA1924" s="33" t="inlineStr"/>
      <c r="AB1924" s="33" t="inlineStr">
        <is>
          <t>https://www.swimcloud.com/results/383755/event/52/?id=175909211#time175909211</t>
        </is>
      </c>
      <c r="AC1924" s="33" t="inlineStr">
        <is>
          <t>SwimCloud API v6 2026-10-08</t>
        </is>
      </c>
      <c r="AD1924" s="33" t="inlineStr">
        <is>
          <t>Lewis Clareburt|2026-04-08|LCM|100|Fly|55.67|Australian Open|FIN|False</t>
        </is>
      </c>
      <c r="AE1924" s="53">
        <f>G1924+L1924/1000+ROW()/1000000000</f>
        <v/>
      </c>
      <c r="AF1924" s="35">
        <f>IF(C1924&lt;&gt;"Grayson Coulter","",COUNTIFS($C$5:$C$2991,"Grayson Coulter",$Q$5:$Q$2991,Q1924,$AE$5:$AE$2991,"&lt;="&amp;AE1924,$R$5:$R$2991,"&lt;"&amp;R1924))</f>
        <v/>
      </c>
      <c r="AG1924" s="35">
        <f>IF(OR(C1924&lt;&gt;"Grayson Coulter",G1924&lt;'00_Control'!$B$7),"",--(AF1924&lt;5))</f>
        <v/>
      </c>
      <c r="AH1924" s="35">
        <f>IF(OR(C1924&lt;&gt;"Grayson Coulter",G1924&lt;'00_Control'!$B$7),"",--(AF1924&lt;10))</f>
        <v/>
      </c>
      <c r="AI1924" s="35">
        <f>IF(AND(C1924="Grayson Coulter",G1924&gt;='00_Control'!$B$7),"YES","NO")</f>
        <v/>
      </c>
      <c r="AJ1924" s="33" t="inlineStr">
        <is>
          <t>OK</t>
        </is>
      </c>
    </row>
    <row r="1925">
      <c r="A1925" s="33" t="inlineStr">
        <is>
          <t>SM001921</t>
        </is>
      </c>
      <c r="B1925" s="33" t="inlineStr">
        <is>
          <t>SW013</t>
        </is>
      </c>
      <c r="C1925" s="33" t="inlineStr">
        <is>
          <t>Lewis Clareburt</t>
        </is>
      </c>
      <c r="D1925" s="33" t="inlineStr">
        <is>
          <t>SwimCloud</t>
        </is>
      </c>
      <c r="E1925" s="33" t="inlineStr">
        <is>
          <t>3464011</t>
        </is>
      </c>
      <c r="F1925" s="33" t="inlineStr">
        <is>
          <t>178833300</t>
        </is>
      </c>
      <c r="G1925" s="51" t="n">
        <v>46182</v>
      </c>
      <c r="H1925" s="33" t="inlineStr">
        <is>
          <t>Australian Swimming Trials</t>
        </is>
      </c>
      <c r="I1925" s="33" t="inlineStr">
        <is>
          <t>388115</t>
        </is>
      </c>
      <c r="J1925" s="33" t="inlineStr"/>
      <c r="K1925" s="33" t="inlineStr">
        <is>
          <t>PRE</t>
        </is>
      </c>
      <c r="L1925" s="35">
        <f>IF(K1925="FIN",3,IF(OR(K1925="SEM",K1925="SEMI"),2,IF(OR(K1925="PRE",K1925="HEAT"),1,IF(V1925="YES",4,2))))</f>
        <v/>
      </c>
      <c r="M1925" s="33" t="inlineStr">
        <is>
          <t>LCM</t>
        </is>
      </c>
      <c r="N1925" s="33" t="n">
        <v>200</v>
      </c>
      <c r="O1925" s="33" t="inlineStr">
        <is>
          <t>Free</t>
        </is>
      </c>
      <c r="P1925" s="33" t="inlineStr">
        <is>
          <t>200 Free</t>
        </is>
      </c>
      <c r="Q1925" s="33" t="inlineStr">
        <is>
          <t>LCM_200_FREE</t>
        </is>
      </c>
      <c r="R1925" s="36" t="n">
        <v>108.54</v>
      </c>
      <c r="S1925" s="35">
        <f>IF(R1925="","",IF(R1925&gt;=60,INT(R1925/60)&amp;":"&amp;TEXT(MOD(R1925,60),"00.00"),TEXT(R1925,"0.00")))</f>
        <v/>
      </c>
      <c r="T1925" s="52">
        <f>IFERROR((G1925-INDEX('01_Swimmers'!$E$5:$E$22,MATCH(B1925,'01_Swimmers'!$A$5:$A$22,0)))/'00_Control'!$B$10,"")</f>
        <v/>
      </c>
      <c r="U1925" s="35">
        <f>IF(T1925="","",INT(T1925))</f>
        <v/>
      </c>
      <c r="V1925" s="33" t="inlineStr">
        <is>
          <t>NO</t>
        </is>
      </c>
      <c r="W1925" s="33" t="inlineStr">
        <is>
          <t>YES</t>
        </is>
      </c>
      <c r="X1925" s="33" t="inlineStr">
        <is>
          <t>NO</t>
        </is>
      </c>
      <c r="Y1925" s="33" t="n">
        <v>3</v>
      </c>
      <c r="Z1925" s="33" t="n">
        <v>4</v>
      </c>
      <c r="AA1925" s="33" t="inlineStr">
        <is>
          <t>17</t>
        </is>
      </c>
      <c r="AB1925" s="33" t="inlineStr">
        <is>
          <t>https://www.swimcloud.com/results/388115/event/17/?id=178833300#time178833300</t>
        </is>
      </c>
      <c r="AC1925" s="33" t="inlineStr">
        <is>
          <t>SwimCloud API v6 2026-10-08</t>
        </is>
      </c>
      <c r="AD1925" s="33" t="inlineStr">
        <is>
          <t>Lewis Clareburt|2026-06-09|LCM|200|Free|108.54|Australian Swimming Trials|PRE|False</t>
        </is>
      </c>
      <c r="AE1925" s="53">
        <f>G1925+L1925/1000+ROW()/1000000000</f>
        <v/>
      </c>
      <c r="AF1925" s="35">
        <f>IF(C1925&lt;&gt;"Grayson Coulter","",COUNTIFS($C$5:$C$2991,"Grayson Coulter",$Q$5:$Q$2991,Q1925,$AE$5:$AE$2991,"&lt;="&amp;AE1925,$R$5:$R$2991,"&lt;"&amp;R1925))</f>
        <v/>
      </c>
      <c r="AG1925" s="35">
        <f>IF(OR(C1925&lt;&gt;"Grayson Coulter",G1925&lt;'00_Control'!$B$7),"",--(AF1925&lt;5))</f>
        <v/>
      </c>
      <c r="AH1925" s="35">
        <f>IF(OR(C1925&lt;&gt;"Grayson Coulter",G1925&lt;'00_Control'!$B$7),"",--(AF1925&lt;10))</f>
        <v/>
      </c>
      <c r="AI1925" s="35">
        <f>IF(AND(C1925="Grayson Coulter",G1925&gt;='00_Control'!$B$7),"YES","NO")</f>
        <v/>
      </c>
      <c r="AJ1925" s="33" t="inlineStr">
        <is>
          <t>OK</t>
        </is>
      </c>
    </row>
    <row r="1926">
      <c r="A1926" s="33" t="inlineStr">
        <is>
          <t>SM001922</t>
        </is>
      </c>
      <c r="B1926" s="33" t="inlineStr">
        <is>
          <t>SW013</t>
        </is>
      </c>
      <c r="C1926" s="33" t="inlineStr">
        <is>
          <t>Lewis Clareburt</t>
        </is>
      </c>
      <c r="D1926" s="33" t="inlineStr">
        <is>
          <t>SwimCloud</t>
        </is>
      </c>
      <c r="E1926" s="33" t="inlineStr">
        <is>
          <t>3464011</t>
        </is>
      </c>
      <c r="F1926" s="33" t="inlineStr">
        <is>
          <t>178832160</t>
        </is>
      </c>
      <c r="G1926" s="51" t="n">
        <v>46184</v>
      </c>
      <c r="H1926" s="33" t="inlineStr">
        <is>
          <t>Australian Swimming Trials</t>
        </is>
      </c>
      <c r="I1926" s="33" t="inlineStr">
        <is>
          <t>388115</t>
        </is>
      </c>
      <c r="J1926" s="33" t="inlineStr"/>
      <c r="K1926" s="33" t="inlineStr">
        <is>
          <t>PRE</t>
        </is>
      </c>
      <c r="L1926" s="35">
        <f>IF(K1926="FIN",3,IF(OR(K1926="SEM",K1926="SEMI"),2,IF(OR(K1926="PRE",K1926="HEAT"),1,IF(V1926="YES",4,2))))</f>
        <v/>
      </c>
      <c r="M1926" s="33" t="inlineStr">
        <is>
          <t>LCM</t>
        </is>
      </c>
      <c r="N1926" s="33" t="n">
        <v>100</v>
      </c>
      <c r="O1926" s="33" t="inlineStr">
        <is>
          <t>Free</t>
        </is>
      </c>
      <c r="P1926" s="33" t="inlineStr">
        <is>
          <t>100 Free</t>
        </is>
      </c>
      <c r="Q1926" s="33" t="inlineStr">
        <is>
          <t>LCM_100_FREE</t>
        </is>
      </c>
      <c r="R1926" s="36" t="n">
        <v>50.28</v>
      </c>
      <c r="S1926" s="35">
        <f>IF(R1926="","",IF(R1926&gt;=60,INT(R1926/60)&amp;":"&amp;TEXT(MOD(R1926,60),"00.00"),TEXT(R1926,"0.00")))</f>
        <v/>
      </c>
      <c r="T1926" s="52">
        <f>IFERROR((G1926-INDEX('01_Swimmers'!$E$5:$E$22,MATCH(B1926,'01_Swimmers'!$A$5:$A$22,0)))/'00_Control'!$B$10,"")</f>
        <v/>
      </c>
      <c r="U1926" s="35">
        <f>IF(T1926="","",INT(T1926))</f>
        <v/>
      </c>
      <c r="V1926" s="33" t="inlineStr">
        <is>
          <t>NO</t>
        </is>
      </c>
      <c r="W1926" s="33" t="inlineStr">
        <is>
          <t>YES</t>
        </is>
      </c>
      <c r="X1926" s="33" t="inlineStr">
        <is>
          <t>NO</t>
        </is>
      </c>
      <c r="Y1926" s="33" t="n">
        <v>3</v>
      </c>
      <c r="Z1926" s="33" t="n">
        <v>7</v>
      </c>
      <c r="AA1926" s="33" t="inlineStr">
        <is>
          <t>25</t>
        </is>
      </c>
      <c r="AB1926" s="33" t="inlineStr">
        <is>
          <t>https://www.swimcloud.com/results/388115/event/39/?id=178832160#time178832160</t>
        </is>
      </c>
      <c r="AC1926" s="33" t="inlineStr">
        <is>
          <t>SwimCloud API v6 2026-10-08</t>
        </is>
      </c>
      <c r="AD1926" s="33" t="inlineStr">
        <is>
          <t>Lewis Clareburt|2026-06-11|LCM|100|Free|50.28|Australian Swimming Trials|PRE|False</t>
        </is>
      </c>
      <c r="AE1926" s="53">
        <f>G1926+L1926/1000+ROW()/1000000000</f>
        <v/>
      </c>
      <c r="AF1926" s="35">
        <f>IF(C1926&lt;&gt;"Grayson Coulter","",COUNTIFS($C$5:$C$2991,"Grayson Coulter",$Q$5:$Q$2991,Q1926,$AE$5:$AE$2991,"&lt;="&amp;AE1926,$R$5:$R$2991,"&lt;"&amp;R1926))</f>
        <v/>
      </c>
      <c r="AG1926" s="35">
        <f>IF(OR(C1926&lt;&gt;"Grayson Coulter",G1926&lt;'00_Control'!$B$7),"",--(AF1926&lt;5))</f>
        <v/>
      </c>
      <c r="AH1926" s="35">
        <f>IF(OR(C1926&lt;&gt;"Grayson Coulter",G1926&lt;'00_Control'!$B$7),"",--(AF1926&lt;10))</f>
        <v/>
      </c>
      <c r="AI1926" s="35">
        <f>IF(AND(C1926="Grayson Coulter",G1926&gt;='00_Control'!$B$7),"YES","NO")</f>
        <v/>
      </c>
      <c r="AJ1926" s="33" t="inlineStr">
        <is>
          <t>OK</t>
        </is>
      </c>
    </row>
    <row r="1927">
      <c r="A1927" s="33" t="inlineStr">
        <is>
          <t>SM001923</t>
        </is>
      </c>
      <c r="B1927" s="33" t="inlineStr">
        <is>
          <t>SW013</t>
        </is>
      </c>
      <c r="C1927" s="33" t="inlineStr">
        <is>
          <t>Lewis Clareburt</t>
        </is>
      </c>
      <c r="D1927" s="33" t="inlineStr">
        <is>
          <t>SwimCloud</t>
        </is>
      </c>
      <c r="E1927" s="33" t="inlineStr">
        <is>
          <t>3464011</t>
        </is>
      </c>
      <c r="F1927" s="33" t="inlineStr">
        <is>
          <t>182774914</t>
        </is>
      </c>
      <c r="G1927" s="51" t="n">
        <v>46232</v>
      </c>
      <c r="H1927" s="33" t="inlineStr">
        <is>
          <t>XXIII Commonwealth Games</t>
        </is>
      </c>
      <c r="I1927" s="33" t="inlineStr">
        <is>
          <t>389322</t>
        </is>
      </c>
      <c r="J1927" s="33" t="inlineStr"/>
      <c r="K1927" s="33" t="inlineStr">
        <is>
          <t>PRE</t>
        </is>
      </c>
      <c r="L1927" s="35">
        <f>IF(K1927="FIN",3,IF(OR(K1927="SEM",K1927="SEMI"),2,IF(OR(K1927="PRE",K1927="HEAT"),1,IF(V1927="YES",4,2))))</f>
        <v/>
      </c>
      <c r="M1927" s="33" t="inlineStr">
        <is>
          <t>LCM</t>
        </is>
      </c>
      <c r="N1927" s="33" t="n">
        <v>200</v>
      </c>
      <c r="O1927" s="33" t="inlineStr">
        <is>
          <t>Free</t>
        </is>
      </c>
      <c r="P1927" s="33" t="inlineStr">
        <is>
          <t>200 Free</t>
        </is>
      </c>
      <c r="Q1927" s="33" t="inlineStr">
        <is>
          <t>LCM_200_FREE</t>
        </is>
      </c>
      <c r="R1927" s="36" t="n">
        <v>106.92</v>
      </c>
      <c r="S1927" s="35">
        <f>IF(R1927="","",IF(R1927&gt;=60,INT(R1927/60)&amp;":"&amp;TEXT(MOD(R1927,60),"00.00"),TEXT(R1927,"0.00")))</f>
        <v/>
      </c>
      <c r="T1927" s="52">
        <f>IFERROR((G1927-INDEX('01_Swimmers'!$E$5:$E$22,MATCH(B1927,'01_Swimmers'!$A$5:$A$22,0)))/'00_Control'!$B$10,"")</f>
        <v/>
      </c>
      <c r="U1927" s="35">
        <f>IF(T1927="","",INT(T1927))</f>
        <v/>
      </c>
      <c r="V1927" s="33" t="inlineStr">
        <is>
          <t>NO</t>
        </is>
      </c>
      <c r="W1927" s="33" t="inlineStr">
        <is>
          <t>YES</t>
        </is>
      </c>
      <c r="X1927" s="33" t="inlineStr">
        <is>
          <t>NO</t>
        </is>
      </c>
      <c r="Y1927" s="33" t="n"/>
      <c r="Z1927" s="33" t="n"/>
      <c r="AA1927" s="33" t="inlineStr">
        <is>
          <t>6</t>
        </is>
      </c>
      <c r="AB1927" s="33" t="inlineStr">
        <is>
          <t>https://www.swimcloud.com/results/389322/event/38/?id=182774914#time182774914</t>
        </is>
      </c>
      <c r="AC1927" s="33" t="inlineStr">
        <is>
          <t>SwimCloud API v6 2026-10-08</t>
        </is>
      </c>
      <c r="AD1927" s="33" t="inlineStr">
        <is>
          <t>Lewis Clareburt|2026-07-29|LCM|200|Free|106.92|XXIII Commonwealth Games|PRE|False</t>
        </is>
      </c>
      <c r="AE1927" s="53">
        <f>G1927+L1927/1000+ROW()/1000000000</f>
        <v/>
      </c>
      <c r="AF1927" s="35">
        <f>IF(C1927&lt;&gt;"Grayson Coulter","",COUNTIFS($C$5:$C$2991,"Grayson Coulter",$Q$5:$Q$2991,Q1927,$AE$5:$AE$2991,"&lt;="&amp;AE1927,$R$5:$R$2991,"&lt;"&amp;R1927))</f>
        <v/>
      </c>
      <c r="AG1927" s="35">
        <f>IF(OR(C1927&lt;&gt;"Grayson Coulter",G1927&lt;'00_Control'!$B$7),"",--(AF1927&lt;5))</f>
        <v/>
      </c>
      <c r="AH1927" s="35">
        <f>IF(OR(C1927&lt;&gt;"Grayson Coulter",G1927&lt;'00_Control'!$B$7),"",--(AF1927&lt;10))</f>
        <v/>
      </c>
      <c r="AI1927" s="35">
        <f>IF(AND(C1927="Grayson Coulter",G1927&gt;='00_Control'!$B$7),"YES","NO")</f>
        <v/>
      </c>
      <c r="AJ1927" s="33" t="inlineStr">
        <is>
          <t>OK</t>
        </is>
      </c>
    </row>
    <row r="1928">
      <c r="A1928" s="33" t="inlineStr">
        <is>
          <t>SM001924</t>
        </is>
      </c>
      <c r="B1928" s="33" t="inlineStr">
        <is>
          <t>SW013</t>
        </is>
      </c>
      <c r="C1928" s="33" t="inlineStr">
        <is>
          <t>Lewis Clareburt</t>
        </is>
      </c>
      <c r="D1928" s="33" t="inlineStr">
        <is>
          <t>SwimCloud</t>
        </is>
      </c>
      <c r="E1928" s="33" t="inlineStr">
        <is>
          <t>3464011</t>
        </is>
      </c>
      <c r="F1928" s="33" t="inlineStr">
        <is>
          <t>182775709</t>
        </is>
      </c>
      <c r="G1928" s="51" t="n">
        <v>46237</v>
      </c>
      <c r="H1928" s="33" t="inlineStr">
        <is>
          <t>XXIII Commonwealth Games</t>
        </is>
      </c>
      <c r="I1928" s="33" t="inlineStr">
        <is>
          <t>389322</t>
        </is>
      </c>
      <c r="J1928" s="33" t="inlineStr"/>
      <c r="K1928" s="33" t="inlineStr">
        <is>
          <t>FIN</t>
        </is>
      </c>
      <c r="L1928" s="35">
        <f>IF(K1928="FIN",3,IF(OR(K1928="SEM",K1928="SEMI"),2,IF(OR(K1928="PRE",K1928="HEAT"),1,IF(V1928="YES",4,2))))</f>
        <v/>
      </c>
      <c r="M1928" s="33" t="inlineStr">
        <is>
          <t>LCM</t>
        </is>
      </c>
      <c r="N1928" s="33" t="n">
        <v>200</v>
      </c>
      <c r="O1928" s="33" t="inlineStr">
        <is>
          <t>Free</t>
        </is>
      </c>
      <c r="P1928" s="33" t="inlineStr">
        <is>
          <t>200 Free</t>
        </is>
      </c>
      <c r="Q1928" s="33" t="inlineStr">
        <is>
          <t>LCM_200_FREE</t>
        </is>
      </c>
      <c r="R1928" s="36" t="n">
        <v>106.4</v>
      </c>
      <c r="S1928" s="35">
        <f>IF(R1928="","",IF(R1928&gt;=60,INT(R1928/60)&amp;":"&amp;TEXT(MOD(R1928,60),"00.00"),TEXT(R1928,"0.00")))</f>
        <v/>
      </c>
      <c r="T1928" s="52">
        <f>IFERROR((G1928-INDEX('01_Swimmers'!$E$5:$E$22,MATCH(B1928,'01_Swimmers'!$A$5:$A$22,0)))/'00_Control'!$B$10,"")</f>
        <v/>
      </c>
      <c r="U1928" s="35">
        <f>IF(T1928="","",INT(T1928))</f>
        <v/>
      </c>
      <c r="V1928" s="33" t="inlineStr">
        <is>
          <t>NO</t>
        </is>
      </c>
      <c r="W1928" s="33" t="inlineStr">
        <is>
          <t>YES</t>
        </is>
      </c>
      <c r="X1928" s="33" t="inlineStr">
        <is>
          <t>NO</t>
        </is>
      </c>
      <c r="Y1928" s="33" t="n">
        <v>1</v>
      </c>
      <c r="Z1928" s="33" t="n">
        <v>7</v>
      </c>
      <c r="AA1928" s="33" t="inlineStr">
        <is>
          <t>7</t>
        </is>
      </c>
      <c r="AB1928" s="33" t="inlineStr">
        <is>
          <t>https://www.swimcloud.com/results/389322/event/38/?id=182775709#time182775709</t>
        </is>
      </c>
      <c r="AC1928" s="33" t="inlineStr">
        <is>
          <t>SwimCloud API v6 2026-10-08</t>
        </is>
      </c>
      <c r="AD1928" s="33" t="inlineStr">
        <is>
          <t>Lewis Clareburt|2026-08-03|LCM|200|Free|106.4|XXIII Commonwealth Games|FIN|False</t>
        </is>
      </c>
      <c r="AE1928" s="53">
        <f>G1928+L1928/1000+ROW()/1000000000</f>
        <v/>
      </c>
      <c r="AF1928" s="35">
        <f>IF(C1928&lt;&gt;"Grayson Coulter","",COUNTIFS($C$5:$C$2991,"Grayson Coulter",$Q$5:$Q$2991,Q1928,$AE$5:$AE$2991,"&lt;="&amp;AE1928,$R$5:$R$2991,"&lt;"&amp;R1928))</f>
        <v/>
      </c>
      <c r="AG1928" s="35">
        <f>IF(OR(C1928&lt;&gt;"Grayson Coulter",G1928&lt;'00_Control'!$B$7),"",--(AF1928&lt;5))</f>
        <v/>
      </c>
      <c r="AH1928" s="35">
        <f>IF(OR(C1928&lt;&gt;"Grayson Coulter",G1928&lt;'00_Control'!$B$7),"",--(AF1928&lt;10))</f>
        <v/>
      </c>
      <c r="AI1928" s="35">
        <f>IF(AND(C1928="Grayson Coulter",G1928&gt;='00_Control'!$B$7),"YES","NO")</f>
        <v/>
      </c>
      <c r="AJ1928" s="33" t="inlineStr">
        <is>
          <t>OK</t>
        </is>
      </c>
    </row>
    <row r="1929">
      <c r="A1929" s="33" t="inlineStr">
        <is>
          <t>SM001925</t>
        </is>
      </c>
      <c r="B1929" s="33" t="inlineStr">
        <is>
          <t>SW013</t>
        </is>
      </c>
      <c r="C1929" s="33" t="inlineStr">
        <is>
          <t>Lewis Clareburt</t>
        </is>
      </c>
      <c r="D1929" s="33" t="inlineStr">
        <is>
          <t>SwimCloud</t>
        </is>
      </c>
      <c r="E1929" s="33" t="inlineStr">
        <is>
          <t>3464011</t>
        </is>
      </c>
      <c r="F1929" s="33" t="inlineStr">
        <is>
          <t>184089455</t>
        </is>
      </c>
      <c r="G1929" s="51" t="n">
        <v>46246</v>
      </c>
      <c r="H1929" s="33" t="inlineStr">
        <is>
          <t>Pan Pacific Championships</t>
        </is>
      </c>
      <c r="I1929" s="33" t="inlineStr">
        <is>
          <t>377355</t>
        </is>
      </c>
      <c r="J1929" s="33" t="inlineStr"/>
      <c r="K1929" s="33" t="inlineStr">
        <is>
          <t>PRE</t>
        </is>
      </c>
      <c r="L1929" s="35">
        <f>IF(K1929="FIN",3,IF(OR(K1929="SEM",K1929="SEMI"),2,IF(OR(K1929="PRE",K1929="HEAT"),1,IF(V1929="YES",4,2))))</f>
        <v/>
      </c>
      <c r="M1929" s="33" t="inlineStr">
        <is>
          <t>LCM</t>
        </is>
      </c>
      <c r="N1929" s="33" t="n">
        <v>200</v>
      </c>
      <c r="O1929" s="33" t="inlineStr">
        <is>
          <t>Free</t>
        </is>
      </c>
      <c r="P1929" s="33" t="inlineStr">
        <is>
          <t>200 Free</t>
        </is>
      </c>
      <c r="Q1929" s="33" t="inlineStr">
        <is>
          <t>LCM_200_FREE</t>
        </is>
      </c>
      <c r="R1929" s="36" t="n">
        <v>107.41</v>
      </c>
      <c r="S1929" s="35">
        <f>IF(R1929="","",IF(R1929&gt;=60,INT(R1929/60)&amp;":"&amp;TEXT(MOD(R1929,60),"00.00"),TEXT(R1929,"0.00")))</f>
        <v/>
      </c>
      <c r="T1929" s="52">
        <f>IFERROR((G1929-INDEX('01_Swimmers'!$E$5:$E$22,MATCH(B1929,'01_Swimmers'!$A$5:$A$22,0)))/'00_Control'!$B$10,"")</f>
        <v/>
      </c>
      <c r="U1929" s="35">
        <f>IF(T1929="","",INT(T1929))</f>
        <v/>
      </c>
      <c r="V1929" s="33" t="inlineStr">
        <is>
          <t>NO</t>
        </is>
      </c>
      <c r="W1929" s="33" t="inlineStr">
        <is>
          <t>YES</t>
        </is>
      </c>
      <c r="X1929" s="33" t="inlineStr">
        <is>
          <t>NO</t>
        </is>
      </c>
      <c r="Y1929" s="33" t="n">
        <v>4</v>
      </c>
      <c r="Z1929" s="33" t="n">
        <v>6</v>
      </c>
      <c r="AA1929" s="33" t="inlineStr">
        <is>
          <t>19</t>
        </is>
      </c>
      <c r="AB1929" s="33" t="inlineStr">
        <is>
          <t>https://www.swimcloud.com/results/377355/event/4/?id=184089455#time184089455</t>
        </is>
      </c>
      <c r="AC1929" s="33" t="inlineStr">
        <is>
          <t>SwimCloud API v6 2026-10-08</t>
        </is>
      </c>
      <c r="AD1929" s="33" t="inlineStr">
        <is>
          <t>Lewis Clareburt|2026-08-12|LCM|200|Free|107.41|Pan Pacific Championships|PRE|False</t>
        </is>
      </c>
      <c r="AE1929" s="53">
        <f>G1929+L1929/1000+ROW()/1000000000</f>
        <v/>
      </c>
      <c r="AF1929" s="35">
        <f>IF(C1929&lt;&gt;"Grayson Coulter","",COUNTIFS($C$5:$C$2991,"Grayson Coulter",$Q$5:$Q$2991,Q1929,$AE$5:$AE$2991,"&lt;="&amp;AE1929,$R$5:$R$2991,"&lt;"&amp;R1929))</f>
        <v/>
      </c>
      <c r="AG1929" s="35">
        <f>IF(OR(C1929&lt;&gt;"Grayson Coulter",G1929&lt;'00_Control'!$B$7),"",--(AF1929&lt;5))</f>
        <v/>
      </c>
      <c r="AH1929" s="35">
        <f>IF(OR(C1929&lt;&gt;"Grayson Coulter",G1929&lt;'00_Control'!$B$7),"",--(AF1929&lt;10))</f>
        <v/>
      </c>
      <c r="AI1929" s="35">
        <f>IF(AND(C1929="Grayson Coulter",G1929&gt;='00_Control'!$B$7),"YES","NO")</f>
        <v/>
      </c>
      <c r="AJ1929" s="33" t="inlineStr">
        <is>
          <t>OK</t>
        </is>
      </c>
    </row>
    <row r="1930">
      <c r="A1930" s="33" t="inlineStr">
        <is>
          <t>SM001926</t>
        </is>
      </c>
      <c r="B1930" s="33" t="inlineStr">
        <is>
          <t>SW013</t>
        </is>
      </c>
      <c r="C1930" s="33" t="inlineStr">
        <is>
          <t>Lewis Clareburt</t>
        </is>
      </c>
      <c r="D1930" s="33" t="inlineStr">
        <is>
          <t>SwimCloud</t>
        </is>
      </c>
      <c r="E1930" s="33" t="inlineStr">
        <is>
          <t>3464011</t>
        </is>
      </c>
      <c r="F1930" s="33" t="inlineStr">
        <is>
          <t>184089454</t>
        </is>
      </c>
      <c r="G1930" s="51" t="n">
        <v>46246</v>
      </c>
      <c r="H1930" s="33" t="inlineStr">
        <is>
          <t>Pan Pacific Championships</t>
        </is>
      </c>
      <c r="I1930" s="33" t="inlineStr">
        <is>
          <t>377355</t>
        </is>
      </c>
      <c r="J1930" s="33" t="inlineStr"/>
      <c r="K1930" s="33" t="inlineStr">
        <is>
          <t>FIN</t>
        </is>
      </c>
      <c r="L1930" s="35">
        <f>IF(K1930="FIN",3,IF(OR(K1930="SEM",K1930="SEMI"),2,IF(OR(K1930="PRE",K1930="HEAT"),1,IF(V1930="YES",4,2))))</f>
        <v/>
      </c>
      <c r="M1930" s="33" t="inlineStr">
        <is>
          <t>LCM</t>
        </is>
      </c>
      <c r="N1930" s="33" t="n">
        <v>200</v>
      </c>
      <c r="O1930" s="33" t="inlineStr">
        <is>
          <t>Free</t>
        </is>
      </c>
      <c r="P1930" s="33" t="inlineStr">
        <is>
          <t>200 Free</t>
        </is>
      </c>
      <c r="Q1930" s="33" t="inlineStr">
        <is>
          <t>LCM_200_FREE</t>
        </is>
      </c>
      <c r="R1930" s="36" t="n">
        <v>106.47</v>
      </c>
      <c r="S1930" s="35">
        <f>IF(R1930="","",IF(R1930&gt;=60,INT(R1930/60)&amp;":"&amp;TEXT(MOD(R1930,60),"00.00"),TEXT(R1930,"0.00")))</f>
        <v/>
      </c>
      <c r="T1930" s="52">
        <f>IFERROR((G1930-INDEX('01_Swimmers'!$E$5:$E$22,MATCH(B1930,'01_Swimmers'!$A$5:$A$22,0)))/'00_Control'!$B$10,"")</f>
        <v/>
      </c>
      <c r="U1930" s="35">
        <f>IF(T1930="","",INT(T1930))</f>
        <v/>
      </c>
      <c r="V1930" s="33" t="inlineStr">
        <is>
          <t>NO</t>
        </is>
      </c>
      <c r="W1930" s="33" t="inlineStr">
        <is>
          <t>YES</t>
        </is>
      </c>
      <c r="X1930" s="33" t="inlineStr">
        <is>
          <t>NO</t>
        </is>
      </c>
      <c r="Y1930" s="33" t="n">
        <v>2</v>
      </c>
      <c r="Z1930" s="33" t="n">
        <v>7</v>
      </c>
      <c r="AA1930" s="33" t="inlineStr">
        <is>
          <t>11</t>
        </is>
      </c>
      <c r="AB1930" s="33" t="inlineStr">
        <is>
          <t>https://www.swimcloud.com/results/377355/event/4/?id=184089454#time184089454</t>
        </is>
      </c>
      <c r="AC1930" s="33" t="inlineStr">
        <is>
          <t>SwimCloud API v6 2026-10-08</t>
        </is>
      </c>
      <c r="AD1930" s="33" t="inlineStr">
        <is>
          <t>Lewis Clareburt|2026-08-12|LCM|200|Free|106.47|Pan Pacific Championships|FIN|False</t>
        </is>
      </c>
      <c r="AE1930" s="53">
        <f>G1930+L1930/1000+ROW()/1000000000</f>
        <v/>
      </c>
      <c r="AF1930" s="35">
        <f>IF(C1930&lt;&gt;"Grayson Coulter","",COUNTIFS($C$5:$C$2991,"Grayson Coulter",$Q$5:$Q$2991,Q1930,$AE$5:$AE$2991,"&lt;="&amp;AE1930,$R$5:$R$2991,"&lt;"&amp;R1930))</f>
        <v/>
      </c>
      <c r="AG1930" s="35">
        <f>IF(OR(C1930&lt;&gt;"Grayson Coulter",G1930&lt;'00_Control'!$B$7),"",--(AF1930&lt;5))</f>
        <v/>
      </c>
      <c r="AH1930" s="35">
        <f>IF(OR(C1930&lt;&gt;"Grayson Coulter",G1930&lt;'00_Control'!$B$7),"",--(AF1930&lt;10))</f>
        <v/>
      </c>
      <c r="AI1930" s="35">
        <f>IF(AND(C1930="Grayson Coulter",G1930&gt;='00_Control'!$B$7),"YES","NO")</f>
        <v/>
      </c>
      <c r="AJ1930" s="33" t="inlineStr">
        <is>
          <t>OK</t>
        </is>
      </c>
    </row>
    <row r="1931">
      <c r="A1931" s="33" t="inlineStr">
        <is>
          <t>SM001927</t>
        </is>
      </c>
      <c r="B1931" s="33" t="inlineStr">
        <is>
          <t>SW013</t>
        </is>
      </c>
      <c r="C1931" s="33" t="inlineStr">
        <is>
          <t>Lewis Clareburt</t>
        </is>
      </c>
      <c r="D1931" s="33" t="inlineStr">
        <is>
          <t>SwimCloud</t>
        </is>
      </c>
      <c r="E1931" s="33" t="inlineStr">
        <is>
          <t>3464011</t>
        </is>
      </c>
      <c r="F1931" s="33" t="inlineStr">
        <is>
          <t>184090670</t>
        </is>
      </c>
      <c r="G1931" s="51" t="n">
        <v>46247</v>
      </c>
      <c r="H1931" s="33" t="inlineStr">
        <is>
          <t>Pan Pacific Championships</t>
        </is>
      </c>
      <c r="I1931" s="33" t="inlineStr">
        <is>
          <t>377355</t>
        </is>
      </c>
      <c r="J1931" s="33" t="inlineStr"/>
      <c r="K1931" s="33" t="inlineStr">
        <is>
          <t>FIN</t>
        </is>
      </c>
      <c r="L1931" s="35">
        <f>IF(K1931="FIN",3,IF(OR(K1931="SEM",K1931="SEMI"),2,IF(OR(K1931="PRE",K1931="HEAT"),1,IF(V1931="YES",4,2))))</f>
        <v/>
      </c>
      <c r="M1931" s="33" t="inlineStr">
        <is>
          <t>LCM</t>
        </is>
      </c>
      <c r="N1931" s="33" t="n">
        <v>100</v>
      </c>
      <c r="O1931" s="33" t="inlineStr">
        <is>
          <t>Fly</t>
        </is>
      </c>
      <c r="P1931" s="33" t="inlineStr">
        <is>
          <t>100 Fly</t>
        </is>
      </c>
      <c r="Q1931" s="33" t="inlineStr">
        <is>
          <t>LCM_100_FLY</t>
        </is>
      </c>
      <c r="R1931" s="36" t="n">
        <v>55.63</v>
      </c>
      <c r="S1931" s="35">
        <f>IF(R1931="","",IF(R1931&gt;=60,INT(R1931/60)&amp;":"&amp;TEXT(MOD(R1931,60),"00.00"),TEXT(R1931,"0.00")))</f>
        <v/>
      </c>
      <c r="T1931" s="52">
        <f>IFERROR((G1931-INDEX('01_Swimmers'!$E$5:$E$22,MATCH(B1931,'01_Swimmers'!$A$5:$A$22,0)))/'00_Control'!$B$10,"")</f>
        <v/>
      </c>
      <c r="U1931" s="35">
        <f>IF(T1931="","",INT(T1931))</f>
        <v/>
      </c>
      <c r="V1931" s="33" t="inlineStr">
        <is>
          <t>NO</t>
        </is>
      </c>
      <c r="W1931" s="33" t="inlineStr">
        <is>
          <t>YES</t>
        </is>
      </c>
      <c r="X1931" s="33" t="inlineStr">
        <is>
          <t>NO</t>
        </is>
      </c>
      <c r="Y1931" s="33" t="n">
        <v>1</v>
      </c>
      <c r="Z1931" s="33" t="n">
        <v>7</v>
      </c>
      <c r="AA1931" s="33" t="inlineStr"/>
      <c r="AB1931" s="33" t="inlineStr">
        <is>
          <t>https://www.swimcloud.com/results/377355/event/13/?id=184089459#time184089459</t>
        </is>
      </c>
      <c r="AC1931" s="33" t="inlineStr">
        <is>
          <t>SwimCloud API v6 2026-10-08</t>
        </is>
      </c>
      <c r="AD1931" s="33" t="inlineStr">
        <is>
          <t>Lewis Clareburt|2026-08-13|LCM|100|Fly|55.63|Pan Pacific Championships|FIN|False</t>
        </is>
      </c>
      <c r="AE1931" s="53">
        <f>G1931+L1931/1000+ROW()/1000000000</f>
        <v/>
      </c>
      <c r="AF1931" s="35">
        <f>IF(C1931&lt;&gt;"Grayson Coulter","",COUNTIFS($C$5:$C$2991,"Grayson Coulter",$Q$5:$Q$2991,Q1931,$AE$5:$AE$2991,"&lt;="&amp;AE1931,$R$5:$R$2991,"&lt;"&amp;R1931))</f>
        <v/>
      </c>
      <c r="AG1931" s="35">
        <f>IF(OR(C1931&lt;&gt;"Grayson Coulter",G1931&lt;'00_Control'!$B$7),"",--(AF1931&lt;5))</f>
        <v/>
      </c>
      <c r="AH1931" s="35">
        <f>IF(OR(C1931&lt;&gt;"Grayson Coulter",G1931&lt;'00_Control'!$B$7),"",--(AF1931&lt;10))</f>
        <v/>
      </c>
      <c r="AI1931" s="35">
        <f>IF(AND(C1931="Grayson Coulter",G1931&gt;='00_Control'!$B$7),"YES","NO")</f>
        <v/>
      </c>
      <c r="AJ1931" s="33" t="inlineStr">
        <is>
          <t>OK</t>
        </is>
      </c>
    </row>
    <row r="1932">
      <c r="A1932" s="33" t="inlineStr">
        <is>
          <t>SM001928</t>
        </is>
      </c>
      <c r="B1932" s="33" t="inlineStr">
        <is>
          <t>SW013</t>
        </is>
      </c>
      <c r="C1932" s="33" t="inlineStr">
        <is>
          <t>Lewis Clareburt</t>
        </is>
      </c>
      <c r="D1932" s="33" t="inlineStr">
        <is>
          <t>SwimCloud</t>
        </is>
      </c>
      <c r="E1932" s="33" t="inlineStr">
        <is>
          <t>3464011</t>
        </is>
      </c>
      <c r="F1932" s="33" t="inlineStr">
        <is>
          <t>184090202</t>
        </is>
      </c>
      <c r="G1932" s="51" t="n">
        <v>46247</v>
      </c>
      <c r="H1932" s="33" t="inlineStr">
        <is>
          <t>Pan Pacific Championships</t>
        </is>
      </c>
      <c r="I1932" s="33" t="inlineStr">
        <is>
          <t>377355</t>
        </is>
      </c>
      <c r="J1932" s="33" t="inlineStr"/>
      <c r="K1932" s="33" t="inlineStr">
        <is>
          <t>TIM</t>
        </is>
      </c>
      <c r="L1932" s="35">
        <f>IF(K1932="FIN",3,IF(OR(K1932="SEM",K1932="SEMI"),2,IF(OR(K1932="PRE",K1932="HEAT"),1,IF(V1932="YES",4,2))))</f>
        <v/>
      </c>
      <c r="M1932" s="33" t="inlineStr">
        <is>
          <t>LCM</t>
        </is>
      </c>
      <c r="N1932" s="33" t="n">
        <v>200</v>
      </c>
      <c r="O1932" s="33" t="inlineStr">
        <is>
          <t>Free</t>
        </is>
      </c>
      <c r="P1932" s="33" t="inlineStr">
        <is>
          <t>200 Free</t>
        </is>
      </c>
      <c r="Q1932" s="33" t="inlineStr">
        <is>
          <t>LCM_200_FREE</t>
        </is>
      </c>
      <c r="R1932" s="36" t="n">
        <v>106.95</v>
      </c>
      <c r="S1932" s="35">
        <f>IF(R1932="","",IF(R1932&gt;=60,INT(R1932/60)&amp;":"&amp;TEXT(MOD(R1932,60),"00.00"),TEXT(R1932,"0.00")))</f>
        <v/>
      </c>
      <c r="T1932" s="52">
        <f>IFERROR((G1932-INDEX('01_Swimmers'!$E$5:$E$22,MATCH(B1932,'01_Swimmers'!$A$5:$A$22,0)))/'00_Control'!$B$10,"")</f>
        <v/>
      </c>
      <c r="U1932" s="35">
        <f>IF(T1932="","",INT(T1932))</f>
        <v/>
      </c>
      <c r="V1932" s="33" t="inlineStr">
        <is>
          <t>YES</t>
        </is>
      </c>
      <c r="W1932" s="33" t="inlineStr">
        <is>
          <t>YES</t>
        </is>
      </c>
      <c r="X1932" s="33" t="inlineStr">
        <is>
          <t>NO</t>
        </is>
      </c>
      <c r="Y1932" s="33" t="n">
        <v>1</v>
      </c>
      <c r="Z1932" s="33" t="n">
        <v>7</v>
      </c>
      <c r="AA1932" s="33" t="inlineStr"/>
      <c r="AB1932" s="33" t="inlineStr">
        <is>
          <t>https://www.swimcloud.com/results/377355/event/21/?id=184089510#time184089510</t>
        </is>
      </c>
      <c r="AC1932" s="33" t="inlineStr">
        <is>
          <t>SwimCloud API v6 2026-10-08</t>
        </is>
      </c>
      <c r="AD1932" s="33" t="inlineStr">
        <is>
          <t>Lewis Clareburt|2026-08-13|LCM|200|Free|106.95|Pan Pacific Championships|TIM|True</t>
        </is>
      </c>
      <c r="AE1932" s="53">
        <f>G1932+L1932/1000+ROW()/1000000000</f>
        <v/>
      </c>
      <c r="AF1932" s="35">
        <f>IF(C1932&lt;&gt;"Grayson Coulter","",COUNTIFS($C$5:$C$2991,"Grayson Coulter",$Q$5:$Q$2991,Q1932,$AE$5:$AE$2991,"&lt;="&amp;AE1932,$R$5:$R$2991,"&lt;"&amp;R1932))</f>
        <v/>
      </c>
      <c r="AG1932" s="35">
        <f>IF(OR(C1932&lt;&gt;"Grayson Coulter",G1932&lt;'00_Control'!$B$7),"",--(AF1932&lt;5))</f>
        <v/>
      </c>
      <c r="AH1932" s="35">
        <f>IF(OR(C1932&lt;&gt;"Grayson Coulter",G1932&lt;'00_Control'!$B$7),"",--(AF1932&lt;10))</f>
        <v/>
      </c>
      <c r="AI1932" s="35">
        <f>IF(AND(C1932="Grayson Coulter",G1932&gt;='00_Control'!$B$7),"YES","NO")</f>
        <v/>
      </c>
      <c r="AJ1932" s="33" t="inlineStr">
        <is>
          <t>OK</t>
        </is>
      </c>
    </row>
    <row r="1933">
      <c r="A1933" s="33" t="inlineStr">
        <is>
          <t>SM001929</t>
        </is>
      </c>
      <c r="B1933" s="33" t="inlineStr">
        <is>
          <t>SW013</t>
        </is>
      </c>
      <c r="C1933" s="33" t="inlineStr">
        <is>
          <t>Lewis Clareburt</t>
        </is>
      </c>
      <c r="D1933" s="33" t="inlineStr">
        <is>
          <t>SwimCloud</t>
        </is>
      </c>
      <c r="E1933" s="33" t="inlineStr">
        <is>
          <t>3464011</t>
        </is>
      </c>
      <c r="F1933" s="33" t="inlineStr">
        <is>
          <t>184089458</t>
        </is>
      </c>
      <c r="G1933" s="51" t="n">
        <v>46248</v>
      </c>
      <c r="H1933" s="33" t="inlineStr">
        <is>
          <t>Pan Pacific Championships</t>
        </is>
      </c>
      <c r="I1933" s="33" t="inlineStr">
        <is>
          <t>377355</t>
        </is>
      </c>
      <c r="J1933" s="33" t="inlineStr"/>
      <c r="K1933" s="33" t="inlineStr">
        <is>
          <t>PRE</t>
        </is>
      </c>
      <c r="L1933" s="35">
        <f>IF(K1933="FIN",3,IF(OR(K1933="SEM",K1933="SEMI"),2,IF(OR(K1933="PRE",K1933="HEAT"),1,IF(V1933="YES",4,2))))</f>
        <v/>
      </c>
      <c r="M1933" s="33" t="inlineStr">
        <is>
          <t>LCM</t>
        </is>
      </c>
      <c r="N1933" s="33" t="n">
        <v>400</v>
      </c>
      <c r="O1933" s="33" t="inlineStr">
        <is>
          <t>Free</t>
        </is>
      </c>
      <c r="P1933" s="33" t="inlineStr">
        <is>
          <t>400 Free</t>
        </is>
      </c>
      <c r="Q1933" s="33" t="inlineStr">
        <is>
          <t>LCM_400_FREE</t>
        </is>
      </c>
      <c r="R1933" s="36" t="n">
        <v>233.74</v>
      </c>
      <c r="S1933" s="35">
        <f>IF(R1933="","",IF(R1933&gt;=60,INT(R1933/60)&amp;":"&amp;TEXT(MOD(R1933,60),"00.00"),TEXT(R1933,"0.00")))</f>
        <v/>
      </c>
      <c r="T1933" s="52">
        <f>IFERROR((G1933-INDEX('01_Swimmers'!$E$5:$E$22,MATCH(B1933,'01_Swimmers'!$A$5:$A$22,0)))/'00_Control'!$B$10,"")</f>
        <v/>
      </c>
      <c r="U1933" s="35">
        <f>IF(T1933="","",INT(T1933))</f>
        <v/>
      </c>
      <c r="V1933" s="33" t="inlineStr">
        <is>
          <t>NO</t>
        </is>
      </c>
      <c r="W1933" s="33" t="inlineStr">
        <is>
          <t>YES</t>
        </is>
      </c>
      <c r="X1933" s="33" t="inlineStr">
        <is>
          <t>NO</t>
        </is>
      </c>
      <c r="Y1933" s="33" t="n">
        <v>3</v>
      </c>
      <c r="Z1933" s="33" t="n">
        <v>1</v>
      </c>
      <c r="AA1933" s="33" t="inlineStr">
        <is>
          <t>16</t>
        </is>
      </c>
      <c r="AB1933" s="33" t="inlineStr">
        <is>
          <t>https://www.swimcloud.com/results/377355/event/23/?id=184089458#time184089458</t>
        </is>
      </c>
      <c r="AC1933" s="33" t="inlineStr">
        <is>
          <t>SwimCloud API v6 2026-10-08</t>
        </is>
      </c>
      <c r="AD1933" s="33" t="inlineStr">
        <is>
          <t>Lewis Clareburt|2026-08-14|LCM|400|Free|233.74|Pan Pacific Championships|PRE|False</t>
        </is>
      </c>
      <c r="AE1933" s="53">
        <f>G1933+L1933/1000+ROW()/1000000000</f>
        <v/>
      </c>
      <c r="AF1933" s="35">
        <f>IF(C1933&lt;&gt;"Grayson Coulter","",COUNTIFS($C$5:$C$2991,"Grayson Coulter",$Q$5:$Q$2991,Q1933,$AE$5:$AE$2991,"&lt;="&amp;AE1933,$R$5:$R$2991,"&lt;"&amp;R1933))</f>
        <v/>
      </c>
      <c r="AG1933" s="35">
        <f>IF(OR(C1933&lt;&gt;"Grayson Coulter",G1933&lt;'00_Control'!$B$7),"",--(AF1933&lt;5))</f>
        <v/>
      </c>
      <c r="AH1933" s="35">
        <f>IF(OR(C1933&lt;&gt;"Grayson Coulter",G1933&lt;'00_Control'!$B$7),"",--(AF1933&lt;10))</f>
        <v/>
      </c>
      <c r="AI1933" s="35">
        <f>IF(AND(C1933="Grayson Coulter",G1933&gt;='00_Control'!$B$7),"YES","NO")</f>
        <v/>
      </c>
      <c r="AJ1933" s="33" t="inlineStr">
        <is>
          <t>OK</t>
        </is>
      </c>
    </row>
    <row r="1934">
      <c r="A1934" s="33" t="inlineStr">
        <is>
          <t>SM001930</t>
        </is>
      </c>
      <c r="B1934" s="33" t="inlineStr">
        <is>
          <t>SW013</t>
        </is>
      </c>
      <c r="C1934" s="33" t="inlineStr">
        <is>
          <t>Lewis Clareburt</t>
        </is>
      </c>
      <c r="D1934" s="33" t="inlineStr">
        <is>
          <t>SwimCloud</t>
        </is>
      </c>
      <c r="E1934" s="33" t="inlineStr">
        <is>
          <t>3464011</t>
        </is>
      </c>
      <c r="F1934" s="33" t="inlineStr">
        <is>
          <t>188225437</t>
        </is>
      </c>
      <c r="G1934" s="51" t="n">
        <v>46296</v>
      </c>
      <c r="H1934" s="33" t="inlineStr">
        <is>
          <t>World Aquatics Baku World Cup</t>
        </is>
      </c>
      <c r="I1934" s="33" t="inlineStr">
        <is>
          <t>401228</t>
        </is>
      </c>
      <c r="J1934" s="33" t="inlineStr"/>
      <c r="K1934" s="33" t="inlineStr">
        <is>
          <t>TIM</t>
        </is>
      </c>
      <c r="L1934" s="35">
        <f>IF(K1934="FIN",3,IF(OR(K1934="SEM",K1934="SEMI"),2,IF(OR(K1934="PRE",K1934="HEAT"),1,IF(V1934="YES",4,2))))</f>
        <v/>
      </c>
      <c r="M1934" s="33" t="inlineStr">
        <is>
          <t>SCM</t>
        </is>
      </c>
      <c r="N1934" s="33" t="n">
        <v>400</v>
      </c>
      <c r="O1934" s="33" t="inlineStr">
        <is>
          <t>Free</t>
        </is>
      </c>
      <c r="P1934" s="33" t="inlineStr">
        <is>
          <t>400 Free</t>
        </is>
      </c>
      <c r="Q1934" s="33" t="inlineStr">
        <is>
          <t>SCM_400_FREE</t>
        </is>
      </c>
      <c r="R1934" s="36" t="n">
        <v>222.38</v>
      </c>
      <c r="S1934" s="35">
        <f>IF(R1934="","",IF(R1934&gt;=60,INT(R1934/60)&amp;":"&amp;TEXT(MOD(R1934,60),"00.00"),TEXT(R1934,"0.00")))</f>
        <v/>
      </c>
      <c r="T1934" s="52">
        <f>IFERROR((G1934-INDEX('01_Swimmers'!$E$5:$E$22,MATCH(B1934,'01_Swimmers'!$A$5:$A$22,0)))/'00_Control'!$B$10,"")</f>
        <v/>
      </c>
      <c r="U1934" s="35">
        <f>IF(T1934="","",INT(T1934))</f>
        <v/>
      </c>
      <c r="V1934" s="33" t="inlineStr">
        <is>
          <t>NO</t>
        </is>
      </c>
      <c r="W1934" s="33" t="inlineStr">
        <is>
          <t>YES</t>
        </is>
      </c>
      <c r="X1934" s="33" t="inlineStr">
        <is>
          <t>NO</t>
        </is>
      </c>
      <c r="Y1934" s="33" t="n">
        <v>2</v>
      </c>
      <c r="Z1934" s="33" t="n">
        <v>3</v>
      </c>
      <c r="AA1934" s="33" t="inlineStr">
        <is>
          <t>6</t>
        </is>
      </c>
      <c r="AB1934" s="33" t="inlineStr">
        <is>
          <t>https://www.swimcloud.com/results/401228/event/2/?id=188225437#time188225437</t>
        </is>
      </c>
      <c r="AC1934" s="33" t="inlineStr">
        <is>
          <t>SwimCloud API v6 2026-10-08</t>
        </is>
      </c>
      <c r="AD1934" s="33" t="inlineStr">
        <is>
          <t>Lewis Clareburt|2026-10-01|SCM|400|Free|222.38|World Aquatics Baku World Cup|TIM|False</t>
        </is>
      </c>
      <c r="AE1934" s="53">
        <f>G1934+L1934/1000+ROW()/1000000000</f>
        <v/>
      </c>
      <c r="AF1934" s="35">
        <f>IF(C1934&lt;&gt;"Grayson Coulter","",COUNTIFS($C$5:$C$2991,"Grayson Coulter",$Q$5:$Q$2991,Q1934,$AE$5:$AE$2991,"&lt;="&amp;AE1934,$R$5:$R$2991,"&lt;"&amp;R1934))</f>
        <v/>
      </c>
      <c r="AG1934" s="35">
        <f>IF(OR(C1934&lt;&gt;"Grayson Coulter",G1934&lt;'00_Control'!$B$7),"",--(AF1934&lt;5))</f>
        <v/>
      </c>
      <c r="AH1934" s="35">
        <f>IF(OR(C1934&lt;&gt;"Grayson Coulter",G1934&lt;'00_Control'!$B$7),"",--(AF1934&lt;10))</f>
        <v/>
      </c>
      <c r="AI1934" s="35">
        <f>IF(AND(C1934="Grayson Coulter",G1934&gt;='00_Control'!$B$7),"YES","NO")</f>
        <v/>
      </c>
      <c r="AJ1934" s="33" t="inlineStr">
        <is>
          <t>OK</t>
        </is>
      </c>
    </row>
    <row r="1935">
      <c r="A1935" s="33" t="inlineStr">
        <is>
          <t>SM001931</t>
        </is>
      </c>
      <c r="B1935" s="33" t="inlineStr">
        <is>
          <t>SW013</t>
        </is>
      </c>
      <c r="C1935" s="33" t="inlineStr">
        <is>
          <t>Lewis Clareburt</t>
        </is>
      </c>
      <c r="D1935" s="33" t="inlineStr">
        <is>
          <t>SwimCloud</t>
        </is>
      </c>
      <c r="E1935" s="33" t="inlineStr">
        <is>
          <t>3464011</t>
        </is>
      </c>
      <c r="F1935" s="33" t="inlineStr">
        <is>
          <t>188226059</t>
        </is>
      </c>
      <c r="G1935" s="51" t="n">
        <v>46298</v>
      </c>
      <c r="H1935" s="33" t="inlineStr">
        <is>
          <t>World Aquatics Baku World Cup</t>
        </is>
      </c>
      <c r="I1935" s="33" t="inlineStr">
        <is>
          <t>401228</t>
        </is>
      </c>
      <c r="J1935" s="33" t="inlineStr"/>
      <c r="K1935" s="33" t="inlineStr">
        <is>
          <t>TIM</t>
        </is>
      </c>
      <c r="L1935" s="35">
        <f>IF(K1935="FIN",3,IF(OR(K1935="SEM",K1935="SEMI"),2,IF(OR(K1935="PRE",K1935="HEAT"),1,IF(V1935="YES",4,2))))</f>
        <v/>
      </c>
      <c r="M1935" s="33" t="inlineStr">
        <is>
          <t>SCM</t>
        </is>
      </c>
      <c r="N1935" s="33" t="n">
        <v>100</v>
      </c>
      <c r="O1935" s="33" t="inlineStr">
        <is>
          <t>Fly</t>
        </is>
      </c>
      <c r="P1935" s="33" t="inlineStr">
        <is>
          <t>100 Fly</t>
        </is>
      </c>
      <c r="Q1935" s="33" t="inlineStr">
        <is>
          <t>SCM_100_FLY</t>
        </is>
      </c>
      <c r="R1935" s="36" t="n">
        <v>56</v>
      </c>
      <c r="S1935" s="35">
        <f>IF(R1935="","",IF(R1935&gt;=60,INT(R1935/60)&amp;":"&amp;TEXT(MOD(R1935,60),"00.00"),TEXT(R1935,"0.00")))</f>
        <v/>
      </c>
      <c r="T1935" s="52">
        <f>IFERROR((G1935-INDEX('01_Swimmers'!$E$5:$E$22,MATCH(B1935,'01_Swimmers'!$A$5:$A$22,0)))/'00_Control'!$B$10,"")</f>
        <v/>
      </c>
      <c r="U1935" s="35">
        <f>IF(T1935="","",INT(T1935))</f>
        <v/>
      </c>
      <c r="V1935" s="33" t="inlineStr">
        <is>
          <t>NO</t>
        </is>
      </c>
      <c r="W1935" s="33" t="inlineStr">
        <is>
          <t>YES</t>
        </is>
      </c>
      <c r="X1935" s="33" t="inlineStr">
        <is>
          <t>NO</t>
        </is>
      </c>
      <c r="Y1935" s="33" t="n">
        <v>2</v>
      </c>
      <c r="Z1935" s="33" t="n">
        <v>6</v>
      </c>
      <c r="AA1935" s="33" t="inlineStr"/>
      <c r="AB1935" s="33" t="inlineStr">
        <is>
          <t>https://www.swimcloud.com/results/401228/event/24/?id=188225438#time188225438</t>
        </is>
      </c>
      <c r="AC1935" s="33" t="inlineStr">
        <is>
          <t>SwimCloud API v6 2026-10-08</t>
        </is>
      </c>
      <c r="AD1935" s="33" t="inlineStr">
        <is>
          <t>Lewis Clareburt|2026-10-03|SCM|100|Fly|56.0|World Aquatics Baku World Cup|TIM|False</t>
        </is>
      </c>
      <c r="AE1935" s="53">
        <f>G1935+L1935/1000+ROW()/1000000000</f>
        <v/>
      </c>
      <c r="AF1935" s="35">
        <f>IF(C1935&lt;&gt;"Grayson Coulter","",COUNTIFS($C$5:$C$2991,"Grayson Coulter",$Q$5:$Q$2991,Q1935,$AE$5:$AE$2991,"&lt;="&amp;AE1935,$R$5:$R$2991,"&lt;"&amp;R1935))</f>
        <v/>
      </c>
      <c r="AG1935" s="35">
        <f>IF(OR(C1935&lt;&gt;"Grayson Coulter",G1935&lt;'00_Control'!$B$7),"",--(AF1935&lt;5))</f>
        <v/>
      </c>
      <c r="AH1935" s="35">
        <f>IF(OR(C1935&lt;&gt;"Grayson Coulter",G1935&lt;'00_Control'!$B$7),"",--(AF1935&lt;10))</f>
        <v/>
      </c>
      <c r="AI1935" s="35">
        <f>IF(AND(C1935="Grayson Coulter",G1935&gt;='00_Control'!$B$7),"YES","NO")</f>
        <v/>
      </c>
      <c r="AJ1935" s="33" t="inlineStr">
        <is>
          <t>OK</t>
        </is>
      </c>
    </row>
    <row r="1936">
      <c r="A1936" s="33" t="inlineStr">
        <is>
          <t>SM001932</t>
        </is>
      </c>
      <c r="B1936" s="33" t="inlineStr">
        <is>
          <t>SW013</t>
        </is>
      </c>
      <c r="C1936" s="33" t="inlineStr">
        <is>
          <t>Lewis Clareburt</t>
        </is>
      </c>
      <c r="D1936" s="33" t="inlineStr">
        <is>
          <t>SwimCloud</t>
        </is>
      </c>
      <c r="E1936" s="33" t="inlineStr">
        <is>
          <t>3464011</t>
        </is>
      </c>
      <c r="F1936" s="33" t="inlineStr">
        <is>
          <t>188225434</t>
        </is>
      </c>
      <c r="G1936" s="51" t="n">
        <v>46298</v>
      </c>
      <c r="H1936" s="33" t="inlineStr">
        <is>
          <t>World Aquatics Baku World Cup</t>
        </is>
      </c>
      <c r="I1936" s="33" t="inlineStr">
        <is>
          <t>401228</t>
        </is>
      </c>
      <c r="J1936" s="33" t="inlineStr"/>
      <c r="K1936" s="33" t="inlineStr">
        <is>
          <t>PRE</t>
        </is>
      </c>
      <c r="L1936" s="35">
        <f>IF(K1936="FIN",3,IF(OR(K1936="SEM",K1936="SEMI"),2,IF(OR(K1936="PRE",K1936="HEAT"),1,IF(V1936="YES",4,2))))</f>
        <v/>
      </c>
      <c r="M1936" s="33" t="inlineStr">
        <is>
          <t>SCM</t>
        </is>
      </c>
      <c r="N1936" s="33" t="n">
        <v>200</v>
      </c>
      <c r="O1936" s="33" t="inlineStr">
        <is>
          <t>Free</t>
        </is>
      </c>
      <c r="P1936" s="33" t="inlineStr">
        <is>
          <t>200 Free</t>
        </is>
      </c>
      <c r="Q1936" s="33" t="inlineStr">
        <is>
          <t>SCM_200_FREE</t>
        </is>
      </c>
      <c r="R1936" s="36" t="n">
        <v>104.64</v>
      </c>
      <c r="S1936" s="35">
        <f>IF(R1936="","",IF(R1936&gt;=60,INT(R1936/60)&amp;":"&amp;TEXT(MOD(R1936,60),"00.00"),TEXT(R1936,"0.00")))</f>
        <v/>
      </c>
      <c r="T1936" s="52">
        <f>IFERROR((G1936-INDEX('01_Swimmers'!$E$5:$E$22,MATCH(B1936,'01_Swimmers'!$A$5:$A$22,0)))/'00_Control'!$B$10,"")</f>
        <v/>
      </c>
      <c r="U1936" s="35">
        <f>IF(T1936="","",INT(T1936))</f>
        <v/>
      </c>
      <c r="V1936" s="33" t="inlineStr">
        <is>
          <t>NO</t>
        </is>
      </c>
      <c r="W1936" s="33" t="inlineStr">
        <is>
          <t>YES</t>
        </is>
      </c>
      <c r="X1936" s="33" t="inlineStr">
        <is>
          <t>NO</t>
        </is>
      </c>
      <c r="Y1936" s="33" t="n">
        <v>1</v>
      </c>
      <c r="Z1936" s="33" t="n">
        <v>4</v>
      </c>
      <c r="AA1936" s="33" t="inlineStr">
        <is>
          <t>7</t>
        </is>
      </c>
      <c r="AB1936" s="33" t="inlineStr">
        <is>
          <t>https://www.swimcloud.com/results/401228/event/32/?id=188225434#time188225434</t>
        </is>
      </c>
      <c r="AC1936" s="33" t="inlineStr">
        <is>
          <t>SwimCloud API v6 2026-10-08</t>
        </is>
      </c>
      <c r="AD1936" s="33" t="inlineStr">
        <is>
          <t>Lewis Clareburt|2026-10-03|SCM|200|Free|104.64|World Aquatics Baku World Cup|PRE|False</t>
        </is>
      </c>
      <c r="AE1936" s="53">
        <f>G1936+L1936/1000+ROW()/1000000000</f>
        <v/>
      </c>
      <c r="AF1936" s="35">
        <f>IF(C1936&lt;&gt;"Grayson Coulter","",COUNTIFS($C$5:$C$2991,"Grayson Coulter",$Q$5:$Q$2991,Q1936,$AE$5:$AE$2991,"&lt;="&amp;AE1936,$R$5:$R$2991,"&lt;"&amp;R1936))</f>
        <v/>
      </c>
      <c r="AG1936" s="35">
        <f>IF(OR(C1936&lt;&gt;"Grayson Coulter",G1936&lt;'00_Control'!$B$7),"",--(AF1936&lt;5))</f>
        <v/>
      </c>
      <c r="AH1936" s="35">
        <f>IF(OR(C1936&lt;&gt;"Grayson Coulter",G1936&lt;'00_Control'!$B$7),"",--(AF1936&lt;10))</f>
        <v/>
      </c>
      <c r="AI1936" s="35">
        <f>IF(AND(C1936="Grayson Coulter",G1936&gt;='00_Control'!$B$7),"YES","NO")</f>
        <v/>
      </c>
      <c r="AJ1936" s="33" t="inlineStr">
        <is>
          <t>OK</t>
        </is>
      </c>
    </row>
    <row r="1937">
      <c r="A1937" s="33" t="inlineStr">
        <is>
          <t>SM001933</t>
        </is>
      </c>
      <c r="B1937" s="33" t="inlineStr">
        <is>
          <t>SW013</t>
        </is>
      </c>
      <c r="C1937" s="33" t="inlineStr">
        <is>
          <t>Lewis Clareburt</t>
        </is>
      </c>
      <c r="D1937" s="33" t="inlineStr">
        <is>
          <t>SwimCloud</t>
        </is>
      </c>
      <c r="E1937" s="33" t="inlineStr">
        <is>
          <t>3464011</t>
        </is>
      </c>
      <c r="F1937" s="33" t="inlineStr">
        <is>
          <t>188225433</t>
        </is>
      </c>
      <c r="G1937" s="51" t="n">
        <v>46298</v>
      </c>
      <c r="H1937" s="33" t="inlineStr">
        <is>
          <t>World Aquatics Baku World Cup</t>
        </is>
      </c>
      <c r="I1937" s="33" t="inlineStr">
        <is>
          <t>401228</t>
        </is>
      </c>
      <c r="J1937" s="33" t="inlineStr"/>
      <c r="K1937" s="33" t="inlineStr">
        <is>
          <t>FIN</t>
        </is>
      </c>
      <c r="L1937" s="35">
        <f>IF(K1937="FIN",3,IF(OR(K1937="SEM",K1937="SEMI"),2,IF(OR(K1937="PRE",K1937="HEAT"),1,IF(V1937="YES",4,2))))</f>
        <v/>
      </c>
      <c r="M1937" s="33" t="inlineStr">
        <is>
          <t>SCM</t>
        </is>
      </c>
      <c r="N1937" s="33" t="n">
        <v>200</v>
      </c>
      <c r="O1937" s="33" t="inlineStr">
        <is>
          <t>Free</t>
        </is>
      </c>
      <c r="P1937" s="33" t="inlineStr">
        <is>
          <t>200 Free</t>
        </is>
      </c>
      <c r="Q1937" s="33" t="inlineStr">
        <is>
          <t>SCM_200_FREE</t>
        </is>
      </c>
      <c r="R1937" s="36" t="n">
        <v>104.45</v>
      </c>
      <c r="S1937" s="35">
        <f>IF(R1937="","",IF(R1937&gt;=60,INT(R1937/60)&amp;":"&amp;TEXT(MOD(R1937,60),"00.00"),TEXT(R1937,"0.00")))</f>
        <v/>
      </c>
      <c r="T1937" s="52">
        <f>IFERROR((G1937-INDEX('01_Swimmers'!$E$5:$E$22,MATCH(B1937,'01_Swimmers'!$A$5:$A$22,0)))/'00_Control'!$B$10,"")</f>
        <v/>
      </c>
      <c r="U1937" s="35">
        <f>IF(T1937="","",INT(T1937))</f>
        <v/>
      </c>
      <c r="V1937" s="33" t="inlineStr">
        <is>
          <t>NO</t>
        </is>
      </c>
      <c r="W1937" s="33" t="inlineStr">
        <is>
          <t>YES</t>
        </is>
      </c>
      <c r="X1937" s="33" t="inlineStr">
        <is>
          <t>NO</t>
        </is>
      </c>
      <c r="Y1937" s="33" t="n">
        <v>1</v>
      </c>
      <c r="Z1937" s="33" t="n">
        <v>1</v>
      </c>
      <c r="AA1937" s="33" t="inlineStr">
        <is>
          <t>7</t>
        </is>
      </c>
      <c r="AB1937" s="33" t="inlineStr">
        <is>
          <t>https://www.swimcloud.com/results/401228/event/32/?id=188225433#time188225433</t>
        </is>
      </c>
      <c r="AC1937" s="33" t="inlineStr">
        <is>
          <t>SwimCloud API v6 2026-10-08</t>
        </is>
      </c>
      <c r="AD1937" s="33" t="inlineStr">
        <is>
          <t>Lewis Clareburt|2026-10-03|SCM|200|Free|104.45|World Aquatics Baku World Cup|FIN|False</t>
        </is>
      </c>
      <c r="AE1937" s="53">
        <f>G1937+L1937/1000+ROW()/1000000000</f>
        <v/>
      </c>
      <c r="AF1937" s="35">
        <f>IF(C1937&lt;&gt;"Grayson Coulter","",COUNTIFS($C$5:$C$2991,"Grayson Coulter",$Q$5:$Q$2991,Q1937,$AE$5:$AE$2991,"&lt;="&amp;AE1937,$R$5:$R$2991,"&lt;"&amp;R1937))</f>
        <v/>
      </c>
      <c r="AG1937" s="35">
        <f>IF(OR(C1937&lt;&gt;"Grayson Coulter",G1937&lt;'00_Control'!$B$7),"",--(AF1937&lt;5))</f>
        <v/>
      </c>
      <c r="AH1937" s="35">
        <f>IF(OR(C1937&lt;&gt;"Grayson Coulter",G1937&lt;'00_Control'!$B$7),"",--(AF1937&lt;10))</f>
        <v/>
      </c>
      <c r="AI1937" s="35">
        <f>IF(AND(C1937="Grayson Coulter",G1937&gt;='00_Control'!$B$7),"YES","NO")</f>
        <v/>
      </c>
      <c r="AJ1937" s="33" t="inlineStr">
        <is>
          <t>OK</t>
        </is>
      </c>
    </row>
    <row r="1938">
      <c r="A1938" s="33" t="inlineStr">
        <is>
          <t>SM001934</t>
        </is>
      </c>
      <c r="B1938" s="33" t="inlineStr">
        <is>
          <t>SW004</t>
        </is>
      </c>
      <c r="C1938" s="33" t="inlineStr">
        <is>
          <t>Lubo Liu-Tchorbadjiyski</t>
        </is>
      </c>
      <c r="D1938" s="33" t="inlineStr">
        <is>
          <t>SwimCloud</t>
        </is>
      </c>
      <c r="E1938" s="33" t="inlineStr">
        <is>
          <t>3102544</t>
        </is>
      </c>
      <c r="F1938" s="33" t="inlineStr">
        <is>
          <t>42248458</t>
        </is>
      </c>
      <c r="G1938" s="51" t="n">
        <v>44359</v>
      </c>
      <c r="H1938" s="33" t="inlineStr">
        <is>
          <t>WI MAC Summer Challenge</t>
        </is>
      </c>
      <c r="I1938" s="33" t="inlineStr">
        <is>
          <t>199435</t>
        </is>
      </c>
      <c r="J1938" s="33" t="inlineStr"/>
      <c r="K1938" s="33" t="inlineStr">
        <is>
          <t>TIM</t>
        </is>
      </c>
      <c r="L1938" s="35">
        <f>IF(K1938="FIN",3,IF(OR(K1938="SEM",K1938="SEMI"),2,IF(OR(K1938="PRE",K1938="HEAT"),1,IF(V1938="YES",4,2))))</f>
        <v/>
      </c>
      <c r="M1938" s="33" t="inlineStr">
        <is>
          <t>LCM</t>
        </is>
      </c>
      <c r="N1938" s="33" t="n">
        <v>100</v>
      </c>
      <c r="O1938" s="33" t="inlineStr">
        <is>
          <t>Free</t>
        </is>
      </c>
      <c r="P1938" s="33" t="inlineStr">
        <is>
          <t>100 Free</t>
        </is>
      </c>
      <c r="Q1938" s="33" t="inlineStr">
        <is>
          <t>LCM_100_FREE</t>
        </is>
      </c>
      <c r="R1938" s="36" t="n">
        <v>80.51000000000001</v>
      </c>
      <c r="S1938" s="35">
        <f>IF(R1938="","",IF(R1938&gt;=60,INT(R1938/60)&amp;":"&amp;TEXT(MOD(R1938,60),"00.00"),TEXT(R1938,"0.00")))</f>
        <v/>
      </c>
      <c r="T1938" s="52">
        <f>IFERROR((G1938-INDEX('01_Swimmers'!$E$5:$E$22,MATCH(B1938,'01_Swimmers'!$A$5:$A$22,0)))/'00_Control'!$B$10,"")</f>
        <v/>
      </c>
      <c r="U1938" s="35">
        <f>IF(T1938="","",INT(T1938))</f>
        <v/>
      </c>
      <c r="V1938" s="33" t="inlineStr">
        <is>
          <t>NO</t>
        </is>
      </c>
      <c r="W1938" s="33" t="inlineStr">
        <is>
          <t>YES</t>
        </is>
      </c>
      <c r="X1938" s="33" t="inlineStr">
        <is>
          <t>NO</t>
        </is>
      </c>
      <c r="Y1938" s="33" t="n">
        <v>1</v>
      </c>
      <c r="Z1938" s="33" t="n">
        <v>6</v>
      </c>
      <c r="AA1938" s="33" t="inlineStr">
        <is>
          <t>2</t>
        </is>
      </c>
      <c r="AB1938" s="33" t="inlineStr">
        <is>
          <t>https://www.swimcloud.com/results/199435/event/34/?id=42248458#time42248458</t>
        </is>
      </c>
      <c r="AC1938" s="33" t="inlineStr">
        <is>
          <t>SwimCloud API v6 2026-10-08</t>
        </is>
      </c>
      <c r="AD1938" s="33" t="inlineStr">
        <is>
          <t>Lubo Liu-Tchorbadjiyski|2021-06-12|LCM|100|Free|80.51|WI MAC Summer Challenge|TIM|False</t>
        </is>
      </c>
      <c r="AE1938" s="53">
        <f>G1938+L1938/1000+ROW()/1000000000</f>
        <v/>
      </c>
      <c r="AF1938" s="35">
        <f>IF(C1938&lt;&gt;"Grayson Coulter","",COUNTIFS($C$5:$C$2991,"Grayson Coulter",$Q$5:$Q$2991,Q1938,$AE$5:$AE$2991,"&lt;="&amp;AE1938,$R$5:$R$2991,"&lt;"&amp;R1938))</f>
        <v/>
      </c>
      <c r="AG1938" s="35">
        <f>IF(OR(C1938&lt;&gt;"Grayson Coulter",G1938&lt;'00_Control'!$B$7),"",--(AF1938&lt;5))</f>
        <v/>
      </c>
      <c r="AH1938" s="35">
        <f>IF(OR(C1938&lt;&gt;"Grayson Coulter",G1938&lt;'00_Control'!$B$7),"",--(AF1938&lt;10))</f>
        <v/>
      </c>
      <c r="AI1938" s="35">
        <f>IF(AND(C1938="Grayson Coulter",G1938&gt;='00_Control'!$B$7),"YES","NO")</f>
        <v/>
      </c>
      <c r="AJ1938" s="33" t="inlineStr">
        <is>
          <t>OK</t>
        </is>
      </c>
    </row>
    <row r="1939">
      <c r="A1939" s="33" t="inlineStr">
        <is>
          <t>SM001935</t>
        </is>
      </c>
      <c r="B1939" s="33" t="inlineStr">
        <is>
          <t>SW004</t>
        </is>
      </c>
      <c r="C1939" s="33" t="inlineStr">
        <is>
          <t>Lubo Liu-Tchorbadjiyski</t>
        </is>
      </c>
      <c r="D1939" s="33" t="inlineStr">
        <is>
          <t>SwimCloud</t>
        </is>
      </c>
      <c r="E1939" s="33" t="inlineStr">
        <is>
          <t>3102544</t>
        </is>
      </c>
      <c r="F1939" s="33" t="inlineStr">
        <is>
          <t>42249966</t>
        </is>
      </c>
      <c r="G1939" s="51" t="n">
        <v>44360</v>
      </c>
      <c r="H1939" s="33" t="inlineStr">
        <is>
          <t>WI MAC Summer Challenge</t>
        </is>
      </c>
      <c r="I1939" s="33" t="inlineStr">
        <is>
          <t>199435</t>
        </is>
      </c>
      <c r="J1939" s="33" t="inlineStr"/>
      <c r="K1939" s="33" t="inlineStr">
        <is>
          <t>TIM</t>
        </is>
      </c>
      <c r="L1939" s="35">
        <f>IF(K1939="FIN",3,IF(OR(K1939="SEM",K1939="SEMI"),2,IF(OR(K1939="PRE",K1939="HEAT"),1,IF(V1939="YES",4,2))))</f>
        <v/>
      </c>
      <c r="M1939" s="33" t="inlineStr">
        <is>
          <t>LCM</t>
        </is>
      </c>
      <c r="N1939" s="33" t="n">
        <v>200</v>
      </c>
      <c r="O1939" s="33" t="inlineStr">
        <is>
          <t>Free</t>
        </is>
      </c>
      <c r="P1939" s="33" t="inlineStr">
        <is>
          <t>200 Free</t>
        </is>
      </c>
      <c r="Q1939" s="33" t="inlineStr">
        <is>
          <t>LCM_200_FREE</t>
        </is>
      </c>
      <c r="R1939" s="36" t="n">
        <v>194.74</v>
      </c>
      <c r="S1939" s="35">
        <f>IF(R1939="","",IF(R1939&gt;=60,INT(R1939/60)&amp;":"&amp;TEXT(MOD(R1939,60),"00.00"),TEXT(R1939,"0.00")))</f>
        <v/>
      </c>
      <c r="T1939" s="52">
        <f>IFERROR((G1939-INDEX('01_Swimmers'!$E$5:$E$22,MATCH(B1939,'01_Swimmers'!$A$5:$A$22,0)))/'00_Control'!$B$10,"")</f>
        <v/>
      </c>
      <c r="U1939" s="35">
        <f>IF(T1939="","",INT(T1939))</f>
        <v/>
      </c>
      <c r="V1939" s="33" t="inlineStr">
        <is>
          <t>NO</t>
        </is>
      </c>
      <c r="W1939" s="33" t="inlineStr">
        <is>
          <t>YES</t>
        </is>
      </c>
      <c r="X1939" s="33" t="inlineStr">
        <is>
          <t>NO</t>
        </is>
      </c>
      <c r="Y1939" s="33" t="n">
        <v>2</v>
      </c>
      <c r="Z1939" s="33" t="n">
        <v>8</v>
      </c>
      <c r="AA1939" s="33" t="inlineStr">
        <is>
          <t>9</t>
        </is>
      </c>
      <c r="AB1939" s="33" t="inlineStr">
        <is>
          <t>https://www.swimcloud.com/results/199435/event/86/?id=42249966#time42249966</t>
        </is>
      </c>
      <c r="AC1939" s="33" t="inlineStr">
        <is>
          <t>SwimCloud API v6 2026-10-08</t>
        </is>
      </c>
      <c r="AD1939" s="33" t="inlineStr">
        <is>
          <t>Lubo Liu-Tchorbadjiyski|2021-06-13|LCM|200|Free|194.74|WI MAC Summer Challenge|TIM|False</t>
        </is>
      </c>
      <c r="AE1939" s="53">
        <f>G1939+L1939/1000+ROW()/1000000000</f>
        <v/>
      </c>
      <c r="AF1939" s="35">
        <f>IF(C1939&lt;&gt;"Grayson Coulter","",COUNTIFS($C$5:$C$2991,"Grayson Coulter",$Q$5:$Q$2991,Q1939,$AE$5:$AE$2991,"&lt;="&amp;AE1939,$R$5:$R$2991,"&lt;"&amp;R1939))</f>
        <v/>
      </c>
      <c r="AG1939" s="35">
        <f>IF(OR(C1939&lt;&gt;"Grayson Coulter",G1939&lt;'00_Control'!$B$7),"",--(AF1939&lt;5))</f>
        <v/>
      </c>
      <c r="AH1939" s="35">
        <f>IF(OR(C1939&lt;&gt;"Grayson Coulter",G1939&lt;'00_Control'!$B$7),"",--(AF1939&lt;10))</f>
        <v/>
      </c>
      <c r="AI1939" s="35">
        <f>IF(AND(C1939="Grayson Coulter",G1939&gt;='00_Control'!$B$7),"YES","NO")</f>
        <v/>
      </c>
      <c r="AJ1939" s="33" t="inlineStr">
        <is>
          <t>OK</t>
        </is>
      </c>
    </row>
    <row r="1940">
      <c r="A1940" s="33" t="inlineStr">
        <is>
          <t>SM001936</t>
        </is>
      </c>
      <c r="B1940" s="33" t="inlineStr">
        <is>
          <t>SW004</t>
        </is>
      </c>
      <c r="C1940" s="33" t="inlineStr">
        <is>
          <t>Lubo Liu-Tchorbadjiyski</t>
        </is>
      </c>
      <c r="D1940" s="33" t="inlineStr">
        <is>
          <t>SwimCloud</t>
        </is>
      </c>
      <c r="E1940" s="33" t="inlineStr">
        <is>
          <t>3102544</t>
        </is>
      </c>
      <c r="F1940" s="33" t="inlineStr">
        <is>
          <t>43498676</t>
        </is>
      </c>
      <c r="G1940" s="51" t="n">
        <v>44399</v>
      </c>
      <c r="H1940" s="33" t="inlineStr">
        <is>
          <t>2021 IL Illinois Age Group Long Course Championships</t>
        </is>
      </c>
      <c r="I1940" s="33" t="inlineStr">
        <is>
          <t>201437</t>
        </is>
      </c>
      <c r="J1940" s="33" t="inlineStr"/>
      <c r="K1940" s="33" t="inlineStr">
        <is>
          <t>TIM</t>
        </is>
      </c>
      <c r="L1940" s="35">
        <f>IF(K1940="FIN",3,IF(OR(K1940="SEM",K1940="SEMI"),2,IF(OR(K1940="PRE",K1940="HEAT"),1,IF(V1940="YES",4,2))))</f>
        <v/>
      </c>
      <c r="M1940" s="33" t="inlineStr">
        <is>
          <t>LCM</t>
        </is>
      </c>
      <c r="N1940" s="33" t="n">
        <v>100</v>
      </c>
      <c r="O1940" s="33" t="inlineStr">
        <is>
          <t>Free</t>
        </is>
      </c>
      <c r="P1940" s="33" t="inlineStr">
        <is>
          <t>100 Free</t>
        </is>
      </c>
      <c r="Q1940" s="33" t="inlineStr">
        <is>
          <t>LCM_100_FREE</t>
        </is>
      </c>
      <c r="R1940" s="36" t="n">
        <v>82.31999999999999</v>
      </c>
      <c r="S1940" s="35">
        <f>IF(R1940="","",IF(R1940&gt;=60,INT(R1940/60)&amp;":"&amp;TEXT(MOD(R1940,60),"00.00"),TEXT(R1940,"0.00")))</f>
        <v/>
      </c>
      <c r="T1940" s="52">
        <f>IFERROR((G1940-INDEX('01_Swimmers'!$E$5:$E$22,MATCH(B1940,'01_Swimmers'!$A$5:$A$22,0)))/'00_Control'!$B$10,"")</f>
        <v/>
      </c>
      <c r="U1940" s="35">
        <f>IF(T1940="","",INT(T1940))</f>
        <v/>
      </c>
      <c r="V1940" s="33" t="inlineStr">
        <is>
          <t>NO</t>
        </is>
      </c>
      <c r="W1940" s="33" t="inlineStr">
        <is>
          <t>YES</t>
        </is>
      </c>
      <c r="X1940" s="33" t="inlineStr">
        <is>
          <t>NO</t>
        </is>
      </c>
      <c r="Y1940" s="33" t="n">
        <v>1</v>
      </c>
      <c r="Z1940" s="33" t="n">
        <v>6</v>
      </c>
      <c r="AA1940" s="33" t="inlineStr">
        <is>
          <t>22</t>
        </is>
      </c>
      <c r="AB1940" s="33" t="inlineStr">
        <is>
          <t>https://www.swimcloud.com/results/201437/event/4/?id=43498676#time43498676</t>
        </is>
      </c>
      <c r="AC1940" s="33" t="inlineStr">
        <is>
          <t>SwimCloud API v6 2026-10-08</t>
        </is>
      </c>
      <c r="AD1940" s="33" t="inlineStr">
        <is>
          <t>Lubo Liu-Tchorbadjiyski|2021-07-22|LCM|100|Free|82.32|2021 IL Illinois Age Group Long Course Championships|TIM|False</t>
        </is>
      </c>
      <c r="AE1940" s="53">
        <f>G1940+L1940/1000+ROW()/1000000000</f>
        <v/>
      </c>
      <c r="AF1940" s="35">
        <f>IF(C1940&lt;&gt;"Grayson Coulter","",COUNTIFS($C$5:$C$2991,"Grayson Coulter",$Q$5:$Q$2991,Q1940,$AE$5:$AE$2991,"&lt;="&amp;AE1940,$R$5:$R$2991,"&lt;"&amp;R1940))</f>
        <v/>
      </c>
      <c r="AG1940" s="35">
        <f>IF(OR(C1940&lt;&gt;"Grayson Coulter",G1940&lt;'00_Control'!$B$7),"",--(AF1940&lt;5))</f>
        <v/>
      </c>
      <c r="AH1940" s="35">
        <f>IF(OR(C1940&lt;&gt;"Grayson Coulter",G1940&lt;'00_Control'!$B$7),"",--(AF1940&lt;10))</f>
        <v/>
      </c>
      <c r="AI1940" s="35">
        <f>IF(AND(C1940="Grayson Coulter",G1940&gt;='00_Control'!$B$7),"YES","NO")</f>
        <v/>
      </c>
      <c r="AJ1940" s="33" t="inlineStr">
        <is>
          <t>OK</t>
        </is>
      </c>
    </row>
    <row r="1941">
      <c r="A1941" s="33" t="inlineStr">
        <is>
          <t>SM001937</t>
        </is>
      </c>
      <c r="B1941" s="33" t="inlineStr">
        <is>
          <t>SW004</t>
        </is>
      </c>
      <c r="C1941" s="33" t="inlineStr">
        <is>
          <t>Lubo Liu-Tchorbadjiyski</t>
        </is>
      </c>
      <c r="D1941" s="33" t="inlineStr">
        <is>
          <t>SwimCloud</t>
        </is>
      </c>
      <c r="E1941" s="33" t="inlineStr">
        <is>
          <t>3102544</t>
        </is>
      </c>
      <c r="F1941" s="33" t="inlineStr">
        <is>
          <t>64618711</t>
        </is>
      </c>
      <c r="G1941" s="51" t="n">
        <v>44681</v>
      </c>
      <c r="H1941" s="33" t="inlineStr">
        <is>
          <t>2022 WI LFSC Daniel Jaekel Friendship</t>
        </is>
      </c>
      <c r="I1941" s="33" t="inlineStr">
        <is>
          <t>230532</t>
        </is>
      </c>
      <c r="J1941" s="33" t="inlineStr"/>
      <c r="K1941" s="33" t="inlineStr">
        <is>
          <t>TIM</t>
        </is>
      </c>
      <c r="L1941" s="35">
        <f>IF(K1941="FIN",3,IF(OR(K1941="SEM",K1941="SEMI"),2,IF(OR(K1941="PRE",K1941="HEAT"),1,IF(V1941="YES",4,2))))</f>
        <v/>
      </c>
      <c r="M1941" s="33" t="inlineStr">
        <is>
          <t>LCM</t>
        </is>
      </c>
      <c r="N1941" s="33" t="n">
        <v>400</v>
      </c>
      <c r="O1941" s="33" t="inlineStr">
        <is>
          <t>Free</t>
        </is>
      </c>
      <c r="P1941" s="33" t="inlineStr">
        <is>
          <t>400 Free</t>
        </is>
      </c>
      <c r="Q1941" s="33" t="inlineStr">
        <is>
          <t>LCM_400_FREE</t>
        </is>
      </c>
      <c r="R1941" s="36" t="n">
        <v>354.32</v>
      </c>
      <c r="S1941" s="35">
        <f>IF(R1941="","",IF(R1941&gt;=60,INT(R1941/60)&amp;":"&amp;TEXT(MOD(R1941,60),"00.00"),TEXT(R1941,"0.00")))</f>
        <v/>
      </c>
      <c r="T1941" s="52">
        <f>IFERROR((G1941-INDEX('01_Swimmers'!$E$5:$E$22,MATCH(B1941,'01_Swimmers'!$A$5:$A$22,0)))/'00_Control'!$B$10,"")</f>
        <v/>
      </c>
      <c r="U1941" s="35">
        <f>IF(T1941="","",INT(T1941))</f>
        <v/>
      </c>
      <c r="V1941" s="33" t="inlineStr">
        <is>
          <t>NO</t>
        </is>
      </c>
      <c r="W1941" s="33" t="inlineStr">
        <is>
          <t>YES</t>
        </is>
      </c>
      <c r="X1941" s="33" t="inlineStr">
        <is>
          <t>NO</t>
        </is>
      </c>
      <c r="Y1941" s="33" t="n">
        <v>3</v>
      </c>
      <c r="Z1941" s="33" t="n">
        <v>7</v>
      </c>
      <c r="AA1941" s="33" t="inlineStr">
        <is>
          <t>14</t>
        </is>
      </c>
      <c r="AB1941" s="33" t="inlineStr">
        <is>
          <t>https://www.swimcloud.com/results/230532/event/32/?id=64618711#time64618711</t>
        </is>
      </c>
      <c r="AC1941" s="33" t="inlineStr">
        <is>
          <t>SwimCloud API v6 2026-10-08</t>
        </is>
      </c>
      <c r="AD1941" s="33" t="inlineStr">
        <is>
          <t>Lubo Liu-Tchorbadjiyski|2022-04-30|LCM|400|Free|354.32|2022 WI LFSC Daniel Jaekel Friendship|TIM|False</t>
        </is>
      </c>
      <c r="AE1941" s="53">
        <f>G1941+L1941/1000+ROW()/1000000000</f>
        <v/>
      </c>
      <c r="AF1941" s="35">
        <f>IF(C1941&lt;&gt;"Grayson Coulter","",COUNTIFS($C$5:$C$2991,"Grayson Coulter",$Q$5:$Q$2991,Q1941,$AE$5:$AE$2991,"&lt;="&amp;AE1941,$R$5:$R$2991,"&lt;"&amp;R1941))</f>
        <v/>
      </c>
      <c r="AG1941" s="35">
        <f>IF(OR(C1941&lt;&gt;"Grayson Coulter",G1941&lt;'00_Control'!$B$7),"",--(AF1941&lt;5))</f>
        <v/>
      </c>
      <c r="AH1941" s="35">
        <f>IF(OR(C1941&lt;&gt;"Grayson Coulter",G1941&lt;'00_Control'!$B$7),"",--(AF1941&lt;10))</f>
        <v/>
      </c>
      <c r="AI1941" s="35">
        <f>IF(AND(C1941="Grayson Coulter",G1941&gt;='00_Control'!$B$7),"YES","NO")</f>
        <v/>
      </c>
      <c r="AJ1941" s="33" t="inlineStr">
        <is>
          <t>OK</t>
        </is>
      </c>
    </row>
    <row r="1942">
      <c r="A1942" s="33" t="inlineStr">
        <is>
          <t>SM001938</t>
        </is>
      </c>
      <c r="B1942" s="33" t="inlineStr">
        <is>
          <t>SW004</t>
        </is>
      </c>
      <c r="C1942" s="33" t="inlineStr">
        <is>
          <t>Lubo Liu-Tchorbadjiyski</t>
        </is>
      </c>
      <c r="D1942" s="33" t="inlineStr">
        <is>
          <t>SwimCloud</t>
        </is>
      </c>
      <c r="E1942" s="33" t="inlineStr">
        <is>
          <t>3102544</t>
        </is>
      </c>
      <c r="F1942" s="33" t="inlineStr">
        <is>
          <t>64620826</t>
        </is>
      </c>
      <c r="G1942" s="51" t="n">
        <v>44682</v>
      </c>
      <c r="H1942" s="33" t="inlineStr">
        <is>
          <t>2022 WI LFSC Daniel Jaekel Friendship</t>
        </is>
      </c>
      <c r="I1942" s="33" t="inlineStr">
        <is>
          <t>230532</t>
        </is>
      </c>
      <c r="J1942" s="33" t="inlineStr"/>
      <c r="K1942" s="33" t="inlineStr">
        <is>
          <t>TIM</t>
        </is>
      </c>
      <c r="L1942" s="35">
        <f>IF(K1942="FIN",3,IF(OR(K1942="SEM",K1942="SEMI"),2,IF(OR(K1942="PRE",K1942="HEAT"),1,IF(V1942="YES",4,2))))</f>
        <v/>
      </c>
      <c r="M1942" s="33" t="inlineStr">
        <is>
          <t>LCM</t>
        </is>
      </c>
      <c r="N1942" s="33" t="n">
        <v>100</v>
      </c>
      <c r="O1942" s="33" t="inlineStr">
        <is>
          <t>Fly</t>
        </is>
      </c>
      <c r="P1942" s="33" t="inlineStr">
        <is>
          <t>100 Fly</t>
        </is>
      </c>
      <c r="Q1942" s="33" t="inlineStr">
        <is>
          <t>LCM_100_FLY</t>
        </is>
      </c>
      <c r="R1942" s="36" t="n">
        <v>87.25</v>
      </c>
      <c r="S1942" s="35">
        <f>IF(R1942="","",IF(R1942&gt;=60,INT(R1942/60)&amp;":"&amp;TEXT(MOD(R1942,60),"00.00"),TEXT(R1942,"0.00")))</f>
        <v/>
      </c>
      <c r="T1942" s="52">
        <f>IFERROR((G1942-INDEX('01_Swimmers'!$E$5:$E$22,MATCH(B1942,'01_Swimmers'!$A$5:$A$22,0)))/'00_Control'!$B$10,"")</f>
        <v/>
      </c>
      <c r="U1942" s="35">
        <f>IF(T1942="","",INT(T1942))</f>
        <v/>
      </c>
      <c r="V1942" s="33" t="inlineStr">
        <is>
          <t>NO</t>
        </is>
      </c>
      <c r="W1942" s="33" t="inlineStr">
        <is>
          <t>YES</t>
        </is>
      </c>
      <c r="X1942" s="33" t="inlineStr">
        <is>
          <t>NO</t>
        </is>
      </c>
      <c r="Y1942" s="33" t="n">
        <v>1</v>
      </c>
      <c r="Z1942" s="33" t="n">
        <v>2</v>
      </c>
      <c r="AA1942" s="33" t="inlineStr">
        <is>
          <t>1</t>
        </is>
      </c>
      <c r="AB1942" s="33" t="inlineStr">
        <is>
          <t>https://www.swimcloud.com/results/230532/event/56/?id=64620826#time64620826</t>
        </is>
      </c>
      <c r="AC1942" s="33" t="inlineStr">
        <is>
          <t>SwimCloud API v6 2026-10-08</t>
        </is>
      </c>
      <c r="AD1942" s="33" t="inlineStr">
        <is>
          <t>Lubo Liu-Tchorbadjiyski|2022-05-01|LCM|100|Fly|87.25|2022 WI LFSC Daniel Jaekel Friendship|TIM|False</t>
        </is>
      </c>
      <c r="AE1942" s="53">
        <f>G1942+L1942/1000+ROW()/1000000000</f>
        <v/>
      </c>
      <c r="AF1942" s="35">
        <f>IF(C1942&lt;&gt;"Grayson Coulter","",COUNTIFS($C$5:$C$2991,"Grayson Coulter",$Q$5:$Q$2991,Q1942,$AE$5:$AE$2991,"&lt;="&amp;AE1942,$R$5:$R$2991,"&lt;"&amp;R1942))</f>
        <v/>
      </c>
      <c r="AG1942" s="35">
        <f>IF(OR(C1942&lt;&gt;"Grayson Coulter",G1942&lt;'00_Control'!$B$7),"",--(AF1942&lt;5))</f>
        <v/>
      </c>
      <c r="AH1942" s="35">
        <f>IF(OR(C1942&lt;&gt;"Grayson Coulter",G1942&lt;'00_Control'!$B$7),"",--(AF1942&lt;10))</f>
        <v/>
      </c>
      <c r="AI1942" s="35">
        <f>IF(AND(C1942="Grayson Coulter",G1942&gt;='00_Control'!$B$7),"YES","NO")</f>
        <v/>
      </c>
      <c r="AJ1942" s="33" t="inlineStr">
        <is>
          <t>OK</t>
        </is>
      </c>
    </row>
    <row r="1943">
      <c r="A1943" s="33" t="inlineStr">
        <is>
          <t>SM001939</t>
        </is>
      </c>
      <c r="B1943" s="33" t="inlineStr">
        <is>
          <t>SW004</t>
        </is>
      </c>
      <c r="C1943" s="33" t="inlineStr">
        <is>
          <t>Lubo Liu-Tchorbadjiyski</t>
        </is>
      </c>
      <c r="D1943" s="33" t="inlineStr">
        <is>
          <t>SwimCloud</t>
        </is>
      </c>
      <c r="E1943" s="33" t="inlineStr">
        <is>
          <t>3102544</t>
        </is>
      </c>
      <c r="F1943" s="33" t="inlineStr">
        <is>
          <t>64620531</t>
        </is>
      </c>
      <c r="G1943" s="51" t="n">
        <v>44682</v>
      </c>
      <c r="H1943" s="33" t="inlineStr">
        <is>
          <t>2022 WI LFSC Daniel Jaekel Friendship</t>
        </is>
      </c>
      <c r="I1943" s="33" t="inlineStr">
        <is>
          <t>230532</t>
        </is>
      </c>
      <c r="J1943" s="33" t="inlineStr"/>
      <c r="K1943" s="33" t="inlineStr">
        <is>
          <t>TIM</t>
        </is>
      </c>
      <c r="L1943" s="35">
        <f>IF(K1943="FIN",3,IF(OR(K1943="SEM",K1943="SEMI"),2,IF(OR(K1943="PRE",K1943="HEAT"),1,IF(V1943="YES",4,2))))</f>
        <v/>
      </c>
      <c r="M1943" s="33" t="inlineStr">
        <is>
          <t>LCM</t>
        </is>
      </c>
      <c r="N1943" s="33" t="n">
        <v>100</v>
      </c>
      <c r="O1943" s="33" t="inlineStr">
        <is>
          <t>Free</t>
        </is>
      </c>
      <c r="P1943" s="33" t="inlineStr">
        <is>
          <t>100 Free</t>
        </is>
      </c>
      <c r="Q1943" s="33" t="inlineStr">
        <is>
          <t>LCM_100_FREE</t>
        </is>
      </c>
      <c r="R1943" s="36" t="n">
        <v>72.06999999999999</v>
      </c>
      <c r="S1943" s="35">
        <f>IF(R1943="","",IF(R1943&gt;=60,INT(R1943/60)&amp;":"&amp;TEXT(MOD(R1943,60),"00.00"),TEXT(R1943,"0.00")))</f>
        <v/>
      </c>
      <c r="T1943" s="52">
        <f>IFERROR((G1943-INDEX('01_Swimmers'!$E$5:$E$22,MATCH(B1943,'01_Swimmers'!$A$5:$A$22,0)))/'00_Control'!$B$10,"")</f>
        <v/>
      </c>
      <c r="U1943" s="35">
        <f>IF(T1943="","",INT(T1943))</f>
        <v/>
      </c>
      <c r="V1943" s="33" t="inlineStr">
        <is>
          <t>NO</t>
        </is>
      </c>
      <c r="W1943" s="33" t="inlineStr">
        <is>
          <t>YES</t>
        </is>
      </c>
      <c r="X1943" s="33" t="inlineStr">
        <is>
          <t>NO</t>
        </is>
      </c>
      <c r="Y1943" s="33" t="n">
        <v>5</v>
      </c>
      <c r="Z1943" s="33" t="n">
        <v>6</v>
      </c>
      <c r="AA1943" s="33" t="inlineStr">
        <is>
          <t>2</t>
        </is>
      </c>
      <c r="AB1943" s="33" t="inlineStr">
        <is>
          <t>https://www.swimcloud.com/results/230532/event/52/?id=64620531#time64620531</t>
        </is>
      </c>
      <c r="AC1943" s="33" t="inlineStr">
        <is>
          <t>SwimCloud API v6 2026-10-08</t>
        </is>
      </c>
      <c r="AD1943" s="33" t="inlineStr">
        <is>
          <t>Lubo Liu-Tchorbadjiyski|2022-05-01|LCM|100|Free|72.07|2022 WI LFSC Daniel Jaekel Friendship|TIM|False</t>
        </is>
      </c>
      <c r="AE1943" s="53">
        <f>G1943+L1943/1000+ROW()/1000000000</f>
        <v/>
      </c>
      <c r="AF1943" s="35">
        <f>IF(C1943&lt;&gt;"Grayson Coulter","",COUNTIFS($C$5:$C$2991,"Grayson Coulter",$Q$5:$Q$2991,Q1943,$AE$5:$AE$2991,"&lt;="&amp;AE1943,$R$5:$R$2991,"&lt;"&amp;R1943))</f>
        <v/>
      </c>
      <c r="AG1943" s="35">
        <f>IF(OR(C1943&lt;&gt;"Grayson Coulter",G1943&lt;'00_Control'!$B$7),"",--(AF1943&lt;5))</f>
        <v/>
      </c>
      <c r="AH1943" s="35">
        <f>IF(OR(C1943&lt;&gt;"Grayson Coulter",G1943&lt;'00_Control'!$B$7),"",--(AF1943&lt;10))</f>
        <v/>
      </c>
      <c r="AI1943" s="35">
        <f>IF(AND(C1943="Grayson Coulter",G1943&gt;='00_Control'!$B$7),"YES","NO")</f>
        <v/>
      </c>
      <c r="AJ1943" s="33" t="inlineStr">
        <is>
          <t>OK</t>
        </is>
      </c>
    </row>
    <row r="1944">
      <c r="A1944" s="33" t="inlineStr">
        <is>
          <t>SM001940</t>
        </is>
      </c>
      <c r="B1944" s="33" t="inlineStr">
        <is>
          <t>SW004</t>
        </is>
      </c>
      <c r="C1944" s="33" t="inlineStr">
        <is>
          <t>Lubo Liu-Tchorbadjiyski</t>
        </is>
      </c>
      <c r="D1944" s="33" t="inlineStr">
        <is>
          <t>SwimCloud</t>
        </is>
      </c>
      <c r="E1944" s="33" t="inlineStr">
        <is>
          <t>3102544</t>
        </is>
      </c>
      <c r="F1944" s="33" t="inlineStr">
        <is>
          <t>65213272</t>
        </is>
      </c>
      <c r="G1944" s="51" t="n">
        <v>44702</v>
      </c>
      <c r="H1944" s="33" t="inlineStr">
        <is>
          <t>2022 IL HSC CWAC May Madness</t>
        </is>
      </c>
      <c r="I1944" s="33" t="inlineStr">
        <is>
          <t>229961</t>
        </is>
      </c>
      <c r="J1944" s="33" t="inlineStr"/>
      <c r="K1944" s="33" t="inlineStr">
        <is>
          <t>TIM</t>
        </is>
      </c>
      <c r="L1944" s="35">
        <f>IF(K1944="FIN",3,IF(OR(K1944="SEM",K1944="SEMI"),2,IF(OR(K1944="PRE",K1944="HEAT"),1,IF(V1944="YES",4,2))))</f>
        <v/>
      </c>
      <c r="M1944" s="33" t="inlineStr">
        <is>
          <t>LCM</t>
        </is>
      </c>
      <c r="N1944" s="33" t="n">
        <v>100</v>
      </c>
      <c r="O1944" s="33" t="inlineStr">
        <is>
          <t>Free</t>
        </is>
      </c>
      <c r="P1944" s="33" t="inlineStr">
        <is>
          <t>100 Free</t>
        </is>
      </c>
      <c r="Q1944" s="33" t="inlineStr">
        <is>
          <t>LCM_100_FREE</t>
        </is>
      </c>
      <c r="R1944" s="36" t="n">
        <v>74.7</v>
      </c>
      <c r="S1944" s="35">
        <f>IF(R1944="","",IF(R1944&gt;=60,INT(R1944/60)&amp;":"&amp;TEXT(MOD(R1944,60),"00.00"),TEXT(R1944,"0.00")))</f>
        <v/>
      </c>
      <c r="T1944" s="52">
        <f>IFERROR((G1944-INDEX('01_Swimmers'!$E$5:$E$22,MATCH(B1944,'01_Swimmers'!$A$5:$A$22,0)))/'00_Control'!$B$10,"")</f>
        <v/>
      </c>
      <c r="U1944" s="35">
        <f>IF(T1944="","",INT(T1944))</f>
        <v/>
      </c>
      <c r="V1944" s="33" t="inlineStr">
        <is>
          <t>NO</t>
        </is>
      </c>
      <c r="W1944" s="33" t="inlineStr">
        <is>
          <t>YES</t>
        </is>
      </c>
      <c r="X1944" s="33" t="inlineStr">
        <is>
          <t>NO</t>
        </is>
      </c>
      <c r="Y1944" s="33" t="n">
        <v>8</v>
      </c>
      <c r="Z1944" s="33" t="n">
        <v>4</v>
      </c>
      <c r="AA1944" s="33" t="inlineStr">
        <is>
          <t>1</t>
        </is>
      </c>
      <c r="AB1944" s="33" t="inlineStr">
        <is>
          <t>https://www.swimcloud.com/results/229961/event/20/?id=65213272#time65213272</t>
        </is>
      </c>
      <c r="AC1944" s="33" t="inlineStr">
        <is>
          <t>SwimCloud API v6 2026-10-08</t>
        </is>
      </c>
      <c r="AD1944" s="33" t="inlineStr">
        <is>
          <t>Lubo Liu-Tchorbadjiyski|2022-05-21|LCM|100|Free|74.7|2022 IL HSC CWAC May Madness|TIM|False</t>
        </is>
      </c>
      <c r="AE1944" s="53">
        <f>G1944+L1944/1000+ROW()/1000000000</f>
        <v/>
      </c>
      <c r="AF1944" s="35">
        <f>IF(C1944&lt;&gt;"Grayson Coulter","",COUNTIFS($C$5:$C$2991,"Grayson Coulter",$Q$5:$Q$2991,Q1944,$AE$5:$AE$2991,"&lt;="&amp;AE1944,$R$5:$R$2991,"&lt;"&amp;R1944))</f>
        <v/>
      </c>
      <c r="AG1944" s="35">
        <f>IF(OR(C1944&lt;&gt;"Grayson Coulter",G1944&lt;'00_Control'!$B$7),"",--(AF1944&lt;5))</f>
        <v/>
      </c>
      <c r="AH1944" s="35">
        <f>IF(OR(C1944&lt;&gt;"Grayson Coulter",G1944&lt;'00_Control'!$B$7),"",--(AF1944&lt;10))</f>
        <v/>
      </c>
      <c r="AI1944" s="35">
        <f>IF(AND(C1944="Grayson Coulter",G1944&gt;='00_Control'!$B$7),"YES","NO")</f>
        <v/>
      </c>
      <c r="AJ1944" s="33" t="inlineStr">
        <is>
          <t>OK</t>
        </is>
      </c>
    </row>
    <row r="1945">
      <c r="A1945" s="33" t="inlineStr">
        <is>
          <t>SM001941</t>
        </is>
      </c>
      <c r="B1945" s="33" t="inlineStr">
        <is>
          <t>SW004</t>
        </is>
      </c>
      <c r="C1945" s="33" t="inlineStr">
        <is>
          <t>Lubo Liu-Tchorbadjiyski</t>
        </is>
      </c>
      <c r="D1945" s="33" t="inlineStr">
        <is>
          <t>SwimCloud</t>
        </is>
      </c>
      <c r="E1945" s="33" t="inlineStr">
        <is>
          <t>3102544</t>
        </is>
      </c>
      <c r="F1945" s="33" t="inlineStr">
        <is>
          <t>65858631</t>
        </is>
      </c>
      <c r="G1945" s="51" t="n">
        <v>44717</v>
      </c>
      <c r="H1945" s="33" t="inlineStr">
        <is>
          <t>WI LFSC SwimFest</t>
        </is>
      </c>
      <c r="I1945" s="33" t="inlineStr">
        <is>
          <t>232386</t>
        </is>
      </c>
      <c r="J1945" s="33" t="inlineStr"/>
      <c r="K1945" s="33" t="inlineStr">
        <is>
          <t>TIM</t>
        </is>
      </c>
      <c r="L1945" s="35">
        <f>IF(K1945="FIN",3,IF(OR(K1945="SEM",K1945="SEMI"),2,IF(OR(K1945="PRE",K1945="HEAT"),1,IF(V1945="YES",4,2))))</f>
        <v/>
      </c>
      <c r="M1945" s="33" t="inlineStr">
        <is>
          <t>LCM</t>
        </is>
      </c>
      <c r="N1945" s="33" t="n">
        <v>100</v>
      </c>
      <c r="O1945" s="33" t="inlineStr">
        <is>
          <t>Free</t>
        </is>
      </c>
      <c r="P1945" s="33" t="inlineStr">
        <is>
          <t>100 Free</t>
        </is>
      </c>
      <c r="Q1945" s="33" t="inlineStr">
        <is>
          <t>LCM_100_FREE</t>
        </is>
      </c>
      <c r="R1945" s="36" t="n">
        <v>70.83</v>
      </c>
      <c r="S1945" s="35">
        <f>IF(R1945="","",IF(R1945&gt;=60,INT(R1945/60)&amp;":"&amp;TEXT(MOD(R1945,60),"00.00"),TEXT(R1945,"0.00")))</f>
        <v/>
      </c>
      <c r="T1945" s="52">
        <f>IFERROR((G1945-INDEX('01_Swimmers'!$E$5:$E$22,MATCH(B1945,'01_Swimmers'!$A$5:$A$22,0)))/'00_Control'!$B$10,"")</f>
        <v/>
      </c>
      <c r="U1945" s="35">
        <f>IF(T1945="","",INT(T1945))</f>
        <v/>
      </c>
      <c r="V1945" s="33" t="inlineStr">
        <is>
          <t>NO</t>
        </is>
      </c>
      <c r="W1945" s="33" t="inlineStr">
        <is>
          <t>YES</t>
        </is>
      </c>
      <c r="X1945" s="33" t="inlineStr">
        <is>
          <t>NO</t>
        </is>
      </c>
      <c r="Y1945" s="33" t="n">
        <v>4</v>
      </c>
      <c r="Z1945" s="33" t="n">
        <v>6</v>
      </c>
      <c r="AA1945" s="33" t="inlineStr">
        <is>
          <t>3</t>
        </is>
      </c>
      <c r="AB1945" s="33" t="inlineStr">
        <is>
          <t>https://www.swimcloud.com/results/232386/event/52/?id=65858631#time65858631</t>
        </is>
      </c>
      <c r="AC1945" s="33" t="inlineStr">
        <is>
          <t>SwimCloud API v6 2026-10-08</t>
        </is>
      </c>
      <c r="AD1945" s="33" t="inlineStr">
        <is>
          <t>Lubo Liu-Tchorbadjiyski|2022-06-05|LCM|100|Free|70.83|WI LFSC SwimFest|TIM|False</t>
        </is>
      </c>
      <c r="AE1945" s="53">
        <f>G1945+L1945/1000+ROW()/1000000000</f>
        <v/>
      </c>
      <c r="AF1945" s="35">
        <f>IF(C1945&lt;&gt;"Grayson Coulter","",COUNTIFS($C$5:$C$2991,"Grayson Coulter",$Q$5:$Q$2991,Q1945,$AE$5:$AE$2991,"&lt;="&amp;AE1945,$R$5:$R$2991,"&lt;"&amp;R1945))</f>
        <v/>
      </c>
      <c r="AG1945" s="35">
        <f>IF(OR(C1945&lt;&gt;"Grayson Coulter",G1945&lt;'00_Control'!$B$7),"",--(AF1945&lt;5))</f>
        <v/>
      </c>
      <c r="AH1945" s="35">
        <f>IF(OR(C1945&lt;&gt;"Grayson Coulter",G1945&lt;'00_Control'!$B$7),"",--(AF1945&lt;10))</f>
        <v/>
      </c>
      <c r="AI1945" s="35">
        <f>IF(AND(C1945="Grayson Coulter",G1945&gt;='00_Control'!$B$7),"YES","NO")</f>
        <v/>
      </c>
      <c r="AJ1945" s="33" t="inlineStr">
        <is>
          <t>OK</t>
        </is>
      </c>
    </row>
    <row r="1946">
      <c r="A1946" s="33" t="inlineStr">
        <is>
          <t>SM001942</t>
        </is>
      </c>
      <c r="B1946" s="33" t="inlineStr">
        <is>
          <t>SW004</t>
        </is>
      </c>
      <c r="C1946" s="33" t="inlineStr">
        <is>
          <t>Lubo Liu-Tchorbadjiyski</t>
        </is>
      </c>
      <c r="D1946" s="33" t="inlineStr">
        <is>
          <t>SwimCloud</t>
        </is>
      </c>
      <c r="E1946" s="33" t="inlineStr">
        <is>
          <t>3102544</t>
        </is>
      </c>
      <c r="F1946" s="33" t="inlineStr">
        <is>
          <t>67373897</t>
        </is>
      </c>
      <c r="G1946" s="51" t="n">
        <v>44736</v>
      </c>
      <c r="H1946" s="33" t="inlineStr">
        <is>
          <t>2022 IL HSC Midsummer Classic</t>
        </is>
      </c>
      <c r="I1946" s="33" t="inlineStr">
        <is>
          <t>233620</t>
        </is>
      </c>
      <c r="J1946" s="33" t="inlineStr"/>
      <c r="K1946" s="33" t="inlineStr">
        <is>
          <t>TIM</t>
        </is>
      </c>
      <c r="L1946" s="35">
        <f>IF(K1946="FIN",3,IF(OR(K1946="SEM",K1946="SEMI"),2,IF(OR(K1946="PRE",K1946="HEAT"),1,IF(V1946="YES",4,2))))</f>
        <v/>
      </c>
      <c r="M1946" s="33" t="inlineStr">
        <is>
          <t>LCM</t>
        </is>
      </c>
      <c r="N1946" s="33" t="n">
        <v>100</v>
      </c>
      <c r="O1946" s="33" t="inlineStr">
        <is>
          <t>Free</t>
        </is>
      </c>
      <c r="P1946" s="33" t="inlineStr">
        <is>
          <t>100 Free</t>
        </is>
      </c>
      <c r="Q1946" s="33" t="inlineStr">
        <is>
          <t>LCM_100_FREE</t>
        </is>
      </c>
      <c r="R1946" s="36" t="n">
        <v>74.94</v>
      </c>
      <c r="S1946" s="35">
        <f>IF(R1946="","",IF(R1946&gt;=60,INT(R1946/60)&amp;":"&amp;TEXT(MOD(R1946,60),"00.00"),TEXT(R1946,"0.00")))</f>
        <v/>
      </c>
      <c r="T1946" s="52">
        <f>IFERROR((G1946-INDEX('01_Swimmers'!$E$5:$E$22,MATCH(B1946,'01_Swimmers'!$A$5:$A$22,0)))/'00_Control'!$B$10,"")</f>
        <v/>
      </c>
      <c r="U1946" s="35">
        <f>IF(T1946="","",INT(T1946))</f>
        <v/>
      </c>
      <c r="V1946" s="33" t="inlineStr">
        <is>
          <t>NO</t>
        </is>
      </c>
      <c r="W1946" s="33" t="inlineStr">
        <is>
          <t>YES</t>
        </is>
      </c>
      <c r="X1946" s="33" t="inlineStr">
        <is>
          <t>NO</t>
        </is>
      </c>
      <c r="Y1946" s="33" t="n">
        <v>6</v>
      </c>
      <c r="Z1946" s="33" t="n">
        <v>4</v>
      </c>
      <c r="AA1946" s="33" t="inlineStr">
        <is>
          <t>1</t>
        </is>
      </c>
      <c r="AB1946" s="33" t="inlineStr">
        <is>
          <t>https://www.swimcloud.com/results/233620/event/10/?id=67373897#time67373897</t>
        </is>
      </c>
      <c r="AC1946" s="33" t="inlineStr">
        <is>
          <t>SwimCloud API v6 2026-10-08</t>
        </is>
      </c>
      <c r="AD1946" s="33" t="inlineStr">
        <is>
          <t>Lubo Liu-Tchorbadjiyski|2022-06-24|LCM|100|Free|74.94|2022 IL HSC Midsummer Classic|TIM|False</t>
        </is>
      </c>
      <c r="AE1946" s="53">
        <f>G1946+L1946/1000+ROW()/1000000000</f>
        <v/>
      </c>
      <c r="AF1946" s="35">
        <f>IF(C1946&lt;&gt;"Grayson Coulter","",COUNTIFS($C$5:$C$2991,"Grayson Coulter",$Q$5:$Q$2991,Q1946,$AE$5:$AE$2991,"&lt;="&amp;AE1946,$R$5:$R$2991,"&lt;"&amp;R1946))</f>
        <v/>
      </c>
      <c r="AG1946" s="35">
        <f>IF(OR(C1946&lt;&gt;"Grayson Coulter",G1946&lt;'00_Control'!$B$7),"",--(AF1946&lt;5))</f>
        <v/>
      </c>
      <c r="AH1946" s="35">
        <f>IF(OR(C1946&lt;&gt;"Grayson Coulter",G1946&lt;'00_Control'!$B$7),"",--(AF1946&lt;10))</f>
        <v/>
      </c>
      <c r="AI1946" s="35">
        <f>IF(AND(C1946="Grayson Coulter",G1946&gt;='00_Control'!$B$7),"YES","NO")</f>
        <v/>
      </c>
      <c r="AJ1946" s="33" t="inlineStr">
        <is>
          <t>OK</t>
        </is>
      </c>
    </row>
    <row r="1947">
      <c r="A1947" s="33" t="inlineStr">
        <is>
          <t>SM001943</t>
        </is>
      </c>
      <c r="B1947" s="33" t="inlineStr">
        <is>
          <t>SW004</t>
        </is>
      </c>
      <c r="C1947" s="33" t="inlineStr">
        <is>
          <t>Lubo Liu-Tchorbadjiyski</t>
        </is>
      </c>
      <c r="D1947" s="33" t="inlineStr">
        <is>
          <t>SwimCloud</t>
        </is>
      </c>
      <c r="E1947" s="33" t="inlineStr">
        <is>
          <t>3102544</t>
        </is>
      </c>
      <c r="F1947" s="33" t="inlineStr">
        <is>
          <t>68394535</t>
        </is>
      </c>
      <c r="G1947" s="51" t="n">
        <v>44751</v>
      </c>
      <c r="H1947" s="33" t="inlineStr">
        <is>
          <t>2022 IL NORTH SUBURBAN SPLASH</t>
        </is>
      </c>
      <c r="I1947" s="33" t="inlineStr">
        <is>
          <t>234595</t>
        </is>
      </c>
      <c r="J1947" s="33" t="inlineStr"/>
      <c r="K1947" s="33" t="inlineStr">
        <is>
          <t>TIM</t>
        </is>
      </c>
      <c r="L1947" s="35">
        <f>IF(K1947="FIN",3,IF(OR(K1947="SEM",K1947="SEMI"),2,IF(OR(K1947="PRE",K1947="HEAT"),1,IF(V1947="YES",4,2))))</f>
        <v/>
      </c>
      <c r="M1947" s="33" t="inlineStr">
        <is>
          <t>LCM</t>
        </is>
      </c>
      <c r="N1947" s="33" t="n">
        <v>100</v>
      </c>
      <c r="O1947" s="33" t="inlineStr">
        <is>
          <t>Fly</t>
        </is>
      </c>
      <c r="P1947" s="33" t="inlineStr">
        <is>
          <t>100 Fly</t>
        </is>
      </c>
      <c r="Q1947" s="33" t="inlineStr">
        <is>
          <t>LCM_100_FLY</t>
        </is>
      </c>
      <c r="R1947" s="36" t="n">
        <v>88.73999999999999</v>
      </c>
      <c r="S1947" s="35">
        <f>IF(R1947="","",IF(R1947&gt;=60,INT(R1947/60)&amp;":"&amp;TEXT(MOD(R1947,60),"00.00"),TEXT(R1947,"0.00")))</f>
        <v/>
      </c>
      <c r="T1947" s="52">
        <f>IFERROR((G1947-INDEX('01_Swimmers'!$E$5:$E$22,MATCH(B1947,'01_Swimmers'!$A$5:$A$22,0)))/'00_Control'!$B$10,"")</f>
        <v/>
      </c>
      <c r="U1947" s="35">
        <f>IF(T1947="","",INT(T1947))</f>
        <v/>
      </c>
      <c r="V1947" s="33" t="inlineStr">
        <is>
          <t>NO</t>
        </is>
      </c>
      <c r="W1947" s="33" t="inlineStr">
        <is>
          <t>YES</t>
        </is>
      </c>
      <c r="X1947" s="33" t="inlineStr">
        <is>
          <t>NO</t>
        </is>
      </c>
      <c r="Y1947" s="33" t="n">
        <v>2</v>
      </c>
      <c r="Z1947" s="33" t="n">
        <v>6</v>
      </c>
      <c r="AA1947" s="33" t="inlineStr">
        <is>
          <t>7</t>
        </is>
      </c>
      <c r="AB1947" s="33" t="inlineStr">
        <is>
          <t>https://www.swimcloud.com/results/234595/event/22/?id=68394535#time68394535</t>
        </is>
      </c>
      <c r="AC1947" s="33" t="inlineStr">
        <is>
          <t>SwimCloud API v6 2026-10-08</t>
        </is>
      </c>
      <c r="AD1947" s="33" t="inlineStr">
        <is>
          <t>Lubo Liu-Tchorbadjiyski|2022-07-09|LCM|100|Fly|88.74|2022 IL NORTH SUBURBAN SPLASH|TIM|False</t>
        </is>
      </c>
      <c r="AE1947" s="53">
        <f>G1947+L1947/1000+ROW()/1000000000</f>
        <v/>
      </c>
      <c r="AF1947" s="35">
        <f>IF(C1947&lt;&gt;"Grayson Coulter","",COUNTIFS($C$5:$C$2991,"Grayson Coulter",$Q$5:$Q$2991,Q1947,$AE$5:$AE$2991,"&lt;="&amp;AE1947,$R$5:$R$2991,"&lt;"&amp;R1947))</f>
        <v/>
      </c>
      <c r="AG1947" s="35">
        <f>IF(OR(C1947&lt;&gt;"Grayson Coulter",G1947&lt;'00_Control'!$B$7),"",--(AF1947&lt;5))</f>
        <v/>
      </c>
      <c r="AH1947" s="35">
        <f>IF(OR(C1947&lt;&gt;"Grayson Coulter",G1947&lt;'00_Control'!$B$7),"",--(AF1947&lt;10))</f>
        <v/>
      </c>
      <c r="AI1947" s="35">
        <f>IF(AND(C1947="Grayson Coulter",G1947&gt;='00_Control'!$B$7),"YES","NO")</f>
        <v/>
      </c>
      <c r="AJ1947" s="33" t="inlineStr">
        <is>
          <t>OK</t>
        </is>
      </c>
    </row>
    <row r="1948">
      <c r="A1948" s="33" t="inlineStr">
        <is>
          <t>SM001944</t>
        </is>
      </c>
      <c r="B1948" s="33" t="inlineStr">
        <is>
          <t>SW004</t>
        </is>
      </c>
      <c r="C1948" s="33" t="inlineStr">
        <is>
          <t>Lubo Liu-Tchorbadjiyski</t>
        </is>
      </c>
      <c r="D1948" s="33" t="inlineStr">
        <is>
          <t>SwimCloud</t>
        </is>
      </c>
      <c r="E1948" s="33" t="inlineStr">
        <is>
          <t>3102544</t>
        </is>
      </c>
      <c r="F1948" s="33" t="inlineStr">
        <is>
          <t>68394736</t>
        </is>
      </c>
      <c r="G1948" s="51" t="n">
        <v>44752</v>
      </c>
      <c r="H1948" s="33" t="inlineStr">
        <is>
          <t>2022 IL NORTH SUBURBAN SPLASH</t>
        </is>
      </c>
      <c r="I1948" s="33" t="inlineStr">
        <is>
          <t>234595</t>
        </is>
      </c>
      <c r="J1948" s="33" t="inlineStr"/>
      <c r="K1948" s="33" t="inlineStr">
        <is>
          <t>TIM</t>
        </is>
      </c>
      <c r="L1948" s="35">
        <f>IF(K1948="FIN",3,IF(OR(K1948="SEM",K1948="SEMI"),2,IF(OR(K1948="PRE",K1948="HEAT"),1,IF(V1948="YES",4,2))))</f>
        <v/>
      </c>
      <c r="M1948" s="33" t="inlineStr">
        <is>
          <t>LCM</t>
        </is>
      </c>
      <c r="N1948" s="33" t="n">
        <v>100</v>
      </c>
      <c r="O1948" s="33" t="inlineStr">
        <is>
          <t>Free</t>
        </is>
      </c>
      <c r="P1948" s="33" t="inlineStr">
        <is>
          <t>100 Free</t>
        </is>
      </c>
      <c r="Q1948" s="33" t="inlineStr">
        <is>
          <t>LCM_100_FREE</t>
        </is>
      </c>
      <c r="R1948" s="36" t="n">
        <v>71.58</v>
      </c>
      <c r="S1948" s="35">
        <f>IF(R1948="","",IF(R1948&gt;=60,INT(R1948/60)&amp;":"&amp;TEXT(MOD(R1948,60),"00.00"),TEXT(R1948,"0.00")))</f>
        <v/>
      </c>
      <c r="T1948" s="52">
        <f>IFERROR((G1948-INDEX('01_Swimmers'!$E$5:$E$22,MATCH(B1948,'01_Swimmers'!$A$5:$A$22,0)))/'00_Control'!$B$10,"")</f>
        <v/>
      </c>
      <c r="U1948" s="35">
        <f>IF(T1948="","",INT(T1948))</f>
        <v/>
      </c>
      <c r="V1948" s="33" t="inlineStr">
        <is>
          <t>NO</t>
        </is>
      </c>
      <c r="W1948" s="33" t="inlineStr">
        <is>
          <t>YES</t>
        </is>
      </c>
      <c r="X1948" s="33" t="inlineStr">
        <is>
          <t>NO</t>
        </is>
      </c>
      <c r="Y1948" s="33" t="n">
        <v>7</v>
      </c>
      <c r="Z1948" s="33" t="n">
        <v>1</v>
      </c>
      <c r="AA1948" s="33" t="inlineStr">
        <is>
          <t>11</t>
        </is>
      </c>
      <c r="AB1948" s="33" t="inlineStr">
        <is>
          <t>https://www.swimcloud.com/results/234595/event/82/?id=68394736#time68394736</t>
        </is>
      </c>
      <c r="AC1948" s="33" t="inlineStr">
        <is>
          <t>SwimCloud API v6 2026-10-08</t>
        </is>
      </c>
      <c r="AD1948" s="33" t="inlineStr">
        <is>
          <t>Lubo Liu-Tchorbadjiyski|2022-07-10|LCM|100|Free|71.58|2022 IL NORTH SUBURBAN SPLASH|TIM|False</t>
        </is>
      </c>
      <c r="AE1948" s="53">
        <f>G1948+L1948/1000+ROW()/1000000000</f>
        <v/>
      </c>
      <c r="AF1948" s="35">
        <f>IF(C1948&lt;&gt;"Grayson Coulter","",COUNTIFS($C$5:$C$2991,"Grayson Coulter",$Q$5:$Q$2991,Q1948,$AE$5:$AE$2991,"&lt;="&amp;AE1948,$R$5:$R$2991,"&lt;"&amp;R1948))</f>
        <v/>
      </c>
      <c r="AG1948" s="35">
        <f>IF(OR(C1948&lt;&gt;"Grayson Coulter",G1948&lt;'00_Control'!$B$7),"",--(AF1948&lt;5))</f>
        <v/>
      </c>
      <c r="AH1948" s="35">
        <f>IF(OR(C1948&lt;&gt;"Grayson Coulter",G1948&lt;'00_Control'!$B$7),"",--(AF1948&lt;10))</f>
        <v/>
      </c>
      <c r="AI1948" s="35">
        <f>IF(AND(C1948="Grayson Coulter",G1948&gt;='00_Control'!$B$7),"YES","NO")</f>
        <v/>
      </c>
      <c r="AJ1948" s="33" t="inlineStr">
        <is>
          <t>OK</t>
        </is>
      </c>
    </row>
    <row r="1949">
      <c r="A1949" s="33" t="inlineStr">
        <is>
          <t>SM001945</t>
        </is>
      </c>
      <c r="B1949" s="33" t="inlineStr">
        <is>
          <t>SW004</t>
        </is>
      </c>
      <c r="C1949" s="33" t="inlineStr">
        <is>
          <t>Lubo Liu-Tchorbadjiyski</t>
        </is>
      </c>
      <c r="D1949" s="33" t="inlineStr">
        <is>
          <t>SwimCloud</t>
        </is>
      </c>
      <c r="E1949" s="33" t="inlineStr">
        <is>
          <t>3102544</t>
        </is>
      </c>
      <c r="F1949" s="33" t="inlineStr">
        <is>
          <t>69864977</t>
        </is>
      </c>
      <c r="G1949" s="51" t="n">
        <v>44763</v>
      </c>
      <c r="H1949" s="33" t="inlineStr">
        <is>
          <t>2022 IL Illinois Age Group Championship</t>
        </is>
      </c>
      <c r="I1949" s="33" t="inlineStr">
        <is>
          <t>235621</t>
        </is>
      </c>
      <c r="J1949" s="33" t="inlineStr"/>
      <c r="K1949" s="33" t="inlineStr">
        <is>
          <t>TIM</t>
        </is>
      </c>
      <c r="L1949" s="35">
        <f>IF(K1949="FIN",3,IF(OR(K1949="SEM",K1949="SEMI"),2,IF(OR(K1949="PRE",K1949="HEAT"),1,IF(V1949="YES",4,2))))</f>
        <v/>
      </c>
      <c r="M1949" s="33" t="inlineStr">
        <is>
          <t>LCM</t>
        </is>
      </c>
      <c r="N1949" s="33" t="n">
        <v>100</v>
      </c>
      <c r="O1949" s="33" t="inlineStr">
        <is>
          <t>Free</t>
        </is>
      </c>
      <c r="P1949" s="33" t="inlineStr">
        <is>
          <t>100 Free</t>
        </is>
      </c>
      <c r="Q1949" s="33" t="inlineStr">
        <is>
          <t>LCM_100_FREE</t>
        </is>
      </c>
      <c r="R1949" s="36" t="n">
        <v>67.89</v>
      </c>
      <c r="S1949" s="35">
        <f>IF(R1949="","",IF(R1949&gt;=60,INT(R1949/60)&amp;":"&amp;TEXT(MOD(R1949,60),"00.00"),TEXT(R1949,"0.00")))</f>
        <v/>
      </c>
      <c r="T1949" s="52">
        <f>IFERROR((G1949-INDEX('01_Swimmers'!$E$5:$E$22,MATCH(B1949,'01_Swimmers'!$A$5:$A$22,0)))/'00_Control'!$B$10,"")</f>
        <v/>
      </c>
      <c r="U1949" s="35">
        <f>IF(T1949="","",INT(T1949))</f>
        <v/>
      </c>
      <c r="V1949" s="33" t="inlineStr">
        <is>
          <t>NO</t>
        </is>
      </c>
      <c r="W1949" s="33" t="inlineStr">
        <is>
          <t>YES</t>
        </is>
      </c>
      <c r="X1949" s="33" t="inlineStr">
        <is>
          <t>NO</t>
        </is>
      </c>
      <c r="Y1949" s="33" t="n">
        <v>5</v>
      </c>
      <c r="Z1949" s="33" t="n">
        <v>4</v>
      </c>
      <c r="AA1949" s="33" t="inlineStr">
        <is>
          <t>1</t>
        </is>
      </c>
      <c r="AB1949" s="33" t="inlineStr">
        <is>
          <t>https://www.swimcloud.com/results/235621/event/6/?id=69864977#time69864977</t>
        </is>
      </c>
      <c r="AC1949" s="33" t="inlineStr">
        <is>
          <t>SwimCloud API v6 2026-10-08</t>
        </is>
      </c>
      <c r="AD1949" s="33" t="inlineStr">
        <is>
          <t>Lubo Liu-Tchorbadjiyski|2022-07-21|LCM|100|Free|67.89|2022 IL Illinois Age Group Championship|TIM|False</t>
        </is>
      </c>
      <c r="AE1949" s="53">
        <f>G1949+L1949/1000+ROW()/1000000000</f>
        <v/>
      </c>
      <c r="AF1949" s="35">
        <f>IF(C1949&lt;&gt;"Grayson Coulter","",COUNTIFS($C$5:$C$2991,"Grayson Coulter",$Q$5:$Q$2991,Q1949,$AE$5:$AE$2991,"&lt;="&amp;AE1949,$R$5:$R$2991,"&lt;"&amp;R1949))</f>
        <v/>
      </c>
      <c r="AG1949" s="35">
        <f>IF(OR(C1949&lt;&gt;"Grayson Coulter",G1949&lt;'00_Control'!$B$7),"",--(AF1949&lt;5))</f>
        <v/>
      </c>
      <c r="AH1949" s="35">
        <f>IF(OR(C1949&lt;&gt;"Grayson Coulter",G1949&lt;'00_Control'!$B$7),"",--(AF1949&lt;10))</f>
        <v/>
      </c>
      <c r="AI1949" s="35">
        <f>IF(AND(C1949="Grayson Coulter",G1949&gt;='00_Control'!$B$7),"YES","NO")</f>
        <v/>
      </c>
      <c r="AJ1949" s="33" t="inlineStr">
        <is>
          <t>OK</t>
        </is>
      </c>
    </row>
    <row r="1950">
      <c r="A1950" s="33" t="inlineStr">
        <is>
          <t>SM001946</t>
        </is>
      </c>
      <c r="B1950" s="33" t="inlineStr">
        <is>
          <t>SW004</t>
        </is>
      </c>
      <c r="C1950" s="33" t="inlineStr">
        <is>
          <t>Lubo Liu-Tchorbadjiyski</t>
        </is>
      </c>
      <c r="D1950" s="33" t="inlineStr">
        <is>
          <t>SwimCloud</t>
        </is>
      </c>
      <c r="E1950" s="33" t="inlineStr">
        <is>
          <t>3102544</t>
        </is>
      </c>
      <c r="F1950" s="33" t="inlineStr">
        <is>
          <t>69865011</t>
        </is>
      </c>
      <c r="G1950" s="51" t="n">
        <v>44764</v>
      </c>
      <c r="H1950" s="33" t="inlineStr">
        <is>
          <t>2022 IL Illinois Age Group Championship</t>
        </is>
      </c>
      <c r="I1950" s="33" t="inlineStr">
        <is>
          <t>235621</t>
        </is>
      </c>
      <c r="J1950" s="33" t="inlineStr"/>
      <c r="K1950" s="33" t="inlineStr">
        <is>
          <t>TIM</t>
        </is>
      </c>
      <c r="L1950" s="35">
        <f>IF(K1950="FIN",3,IF(OR(K1950="SEM",K1950="SEMI"),2,IF(OR(K1950="PRE",K1950="HEAT"),1,IF(V1950="YES",4,2))))</f>
        <v/>
      </c>
      <c r="M1950" s="33" t="inlineStr">
        <is>
          <t>LCM</t>
        </is>
      </c>
      <c r="N1950" s="33" t="n">
        <v>200</v>
      </c>
      <c r="O1950" s="33" t="inlineStr">
        <is>
          <t>Free</t>
        </is>
      </c>
      <c r="P1950" s="33" t="inlineStr">
        <is>
          <t>200 Free</t>
        </is>
      </c>
      <c r="Q1950" s="33" t="inlineStr">
        <is>
          <t>LCM_200_FREE</t>
        </is>
      </c>
      <c r="R1950" s="36" t="n">
        <v>158</v>
      </c>
      <c r="S1950" s="35">
        <f>IF(R1950="","",IF(R1950&gt;=60,INT(R1950/60)&amp;":"&amp;TEXT(MOD(R1950,60),"00.00"),TEXT(R1950,"0.00")))</f>
        <v/>
      </c>
      <c r="T1950" s="52">
        <f>IFERROR((G1950-INDEX('01_Swimmers'!$E$5:$E$22,MATCH(B1950,'01_Swimmers'!$A$5:$A$22,0)))/'00_Control'!$B$10,"")</f>
        <v/>
      </c>
      <c r="U1950" s="35">
        <f>IF(T1950="","",INT(T1950))</f>
        <v/>
      </c>
      <c r="V1950" s="33" t="inlineStr">
        <is>
          <t>NO</t>
        </is>
      </c>
      <c r="W1950" s="33" t="inlineStr">
        <is>
          <t>YES</t>
        </is>
      </c>
      <c r="X1950" s="33" t="inlineStr">
        <is>
          <t>NO</t>
        </is>
      </c>
      <c r="Y1950" s="33" t="n">
        <v>1</v>
      </c>
      <c r="Z1950" s="33" t="n">
        <v>2</v>
      </c>
      <c r="AA1950" s="33" t="inlineStr">
        <is>
          <t>5</t>
        </is>
      </c>
      <c r="AB1950" s="33" t="inlineStr">
        <is>
          <t>https://www.swimcloud.com/results/235621/event/32/?id=69865011#time69865011</t>
        </is>
      </c>
      <c r="AC1950" s="33" t="inlineStr">
        <is>
          <t>SwimCloud API v6 2026-10-08</t>
        </is>
      </c>
      <c r="AD1950" s="33" t="inlineStr">
        <is>
          <t>Lubo Liu-Tchorbadjiyski|2022-07-22|LCM|200|Free|158.0|2022 IL Illinois Age Group Championship|TIM|False</t>
        </is>
      </c>
      <c r="AE1950" s="53">
        <f>G1950+L1950/1000+ROW()/1000000000</f>
        <v/>
      </c>
      <c r="AF1950" s="35">
        <f>IF(C1950&lt;&gt;"Grayson Coulter","",COUNTIFS($C$5:$C$2991,"Grayson Coulter",$Q$5:$Q$2991,Q1950,$AE$5:$AE$2991,"&lt;="&amp;AE1950,$R$5:$R$2991,"&lt;"&amp;R1950))</f>
        <v/>
      </c>
      <c r="AG1950" s="35">
        <f>IF(OR(C1950&lt;&gt;"Grayson Coulter",G1950&lt;'00_Control'!$B$7),"",--(AF1950&lt;5))</f>
        <v/>
      </c>
      <c r="AH1950" s="35">
        <f>IF(OR(C1950&lt;&gt;"Grayson Coulter",G1950&lt;'00_Control'!$B$7),"",--(AF1950&lt;10))</f>
        <v/>
      </c>
      <c r="AI1950" s="35">
        <f>IF(AND(C1950="Grayson Coulter",G1950&gt;='00_Control'!$B$7),"YES","NO")</f>
        <v/>
      </c>
      <c r="AJ1950" s="33" t="inlineStr">
        <is>
          <t>OK</t>
        </is>
      </c>
    </row>
    <row r="1951">
      <c r="A1951" s="33" t="inlineStr">
        <is>
          <t>SM001947</t>
        </is>
      </c>
      <c r="B1951" s="33" t="inlineStr">
        <is>
          <t>SW004</t>
        </is>
      </c>
      <c r="C1951" s="33" t="inlineStr">
        <is>
          <t>Lubo Liu-Tchorbadjiyski</t>
        </is>
      </c>
      <c r="D1951" s="33" t="inlineStr">
        <is>
          <t>SwimCloud</t>
        </is>
      </c>
      <c r="E1951" s="33" t="inlineStr">
        <is>
          <t>3102544</t>
        </is>
      </c>
      <c r="F1951" s="33" t="inlineStr">
        <is>
          <t>69866152</t>
        </is>
      </c>
      <c r="G1951" s="51" t="n">
        <v>44765</v>
      </c>
      <c r="H1951" s="33" t="inlineStr">
        <is>
          <t>2022 IL Illinois Age Group Championship</t>
        </is>
      </c>
      <c r="I1951" s="33" t="inlineStr">
        <is>
          <t>235621</t>
        </is>
      </c>
      <c r="J1951" s="33" t="inlineStr"/>
      <c r="K1951" s="33" t="inlineStr">
        <is>
          <t>TIM</t>
        </is>
      </c>
      <c r="L1951" s="35">
        <f>IF(K1951="FIN",3,IF(OR(K1951="SEM",K1951="SEMI"),2,IF(OR(K1951="PRE",K1951="HEAT"),1,IF(V1951="YES",4,2))))</f>
        <v/>
      </c>
      <c r="M1951" s="33" t="inlineStr">
        <is>
          <t>LCM</t>
        </is>
      </c>
      <c r="N1951" s="33" t="n">
        <v>100</v>
      </c>
      <c r="O1951" s="33" t="inlineStr">
        <is>
          <t>Fly</t>
        </is>
      </c>
      <c r="P1951" s="33" t="inlineStr">
        <is>
          <t>100 Fly</t>
        </is>
      </c>
      <c r="Q1951" s="33" t="inlineStr">
        <is>
          <t>LCM_100_FLY</t>
        </is>
      </c>
      <c r="R1951" s="36" t="n">
        <v>80.42</v>
      </c>
      <c r="S1951" s="35">
        <f>IF(R1951="","",IF(R1951&gt;=60,INT(R1951/60)&amp;":"&amp;TEXT(MOD(R1951,60),"00.00"),TEXT(R1951,"0.00")))</f>
        <v/>
      </c>
      <c r="T1951" s="52">
        <f>IFERROR((G1951-INDEX('01_Swimmers'!$E$5:$E$22,MATCH(B1951,'01_Swimmers'!$A$5:$A$22,0)))/'00_Control'!$B$10,"")</f>
        <v/>
      </c>
      <c r="U1951" s="35">
        <f>IF(T1951="","",INT(T1951))</f>
        <v/>
      </c>
      <c r="V1951" s="33" t="inlineStr">
        <is>
          <t>NO</t>
        </is>
      </c>
      <c r="W1951" s="33" t="inlineStr">
        <is>
          <t>YES</t>
        </is>
      </c>
      <c r="X1951" s="33" t="inlineStr">
        <is>
          <t>NO</t>
        </is>
      </c>
      <c r="Y1951" s="33" t="n">
        <v>3</v>
      </c>
      <c r="Z1951" s="33" t="n">
        <v>8</v>
      </c>
      <c r="AA1951" s="33" t="inlineStr">
        <is>
          <t>2</t>
        </is>
      </c>
      <c r="AB1951" s="33" t="inlineStr">
        <is>
          <t>https://www.swimcloud.com/results/235621/event/56/?id=69866152#time69866152</t>
        </is>
      </c>
      <c r="AC1951" s="33" t="inlineStr">
        <is>
          <t>SwimCloud API v6 2026-10-08</t>
        </is>
      </c>
      <c r="AD1951" s="33" t="inlineStr">
        <is>
          <t>Lubo Liu-Tchorbadjiyski|2022-07-23|LCM|100|Fly|80.42|2022 IL Illinois Age Group Championship|TIM|False</t>
        </is>
      </c>
      <c r="AE1951" s="53">
        <f>G1951+L1951/1000+ROW()/1000000000</f>
        <v/>
      </c>
      <c r="AF1951" s="35">
        <f>IF(C1951&lt;&gt;"Grayson Coulter","",COUNTIFS($C$5:$C$2991,"Grayson Coulter",$Q$5:$Q$2991,Q1951,$AE$5:$AE$2991,"&lt;="&amp;AE1951,$R$5:$R$2991,"&lt;"&amp;R1951))</f>
        <v/>
      </c>
      <c r="AG1951" s="35">
        <f>IF(OR(C1951&lt;&gt;"Grayson Coulter",G1951&lt;'00_Control'!$B$7),"",--(AF1951&lt;5))</f>
        <v/>
      </c>
      <c r="AH1951" s="35">
        <f>IF(OR(C1951&lt;&gt;"Grayson Coulter",G1951&lt;'00_Control'!$B$7),"",--(AF1951&lt;10))</f>
        <v/>
      </c>
      <c r="AI1951" s="35">
        <f>IF(AND(C1951="Grayson Coulter",G1951&gt;='00_Control'!$B$7),"YES","NO")</f>
        <v/>
      </c>
      <c r="AJ1951" s="33" t="inlineStr">
        <is>
          <t>OK</t>
        </is>
      </c>
    </row>
    <row r="1952">
      <c r="A1952" s="33" t="inlineStr">
        <is>
          <t>SM001948</t>
        </is>
      </c>
      <c r="B1952" s="33" t="inlineStr">
        <is>
          <t>SW004</t>
        </is>
      </c>
      <c r="C1952" s="33" t="inlineStr">
        <is>
          <t>Lubo Liu-Tchorbadjiyski</t>
        </is>
      </c>
      <c r="D1952" s="33" t="inlineStr">
        <is>
          <t>SwimCloud</t>
        </is>
      </c>
      <c r="E1952" s="33" t="inlineStr">
        <is>
          <t>3102544</t>
        </is>
      </c>
      <c r="F1952" s="33" t="inlineStr">
        <is>
          <t>72359141</t>
        </is>
      </c>
      <c r="G1952" s="51" t="n">
        <v>44777</v>
      </c>
      <c r="H1952" s="33" t="inlineStr">
        <is>
          <t>Central Zone 14 &amp; U Championship</t>
        </is>
      </c>
      <c r="I1952" s="33" t="inlineStr">
        <is>
          <t>236576</t>
        </is>
      </c>
      <c r="J1952" s="33" t="inlineStr"/>
      <c r="K1952" s="33" t="inlineStr">
        <is>
          <t>TIM</t>
        </is>
      </c>
      <c r="L1952" s="35">
        <f>IF(K1952="FIN",3,IF(OR(K1952="SEM",K1952="SEMI"),2,IF(OR(K1952="PRE",K1952="HEAT"),1,IF(V1952="YES",4,2))))</f>
        <v/>
      </c>
      <c r="M1952" s="33" t="inlineStr">
        <is>
          <t>LCM</t>
        </is>
      </c>
      <c r="N1952" s="33" t="n">
        <v>100</v>
      </c>
      <c r="O1952" s="33" t="inlineStr">
        <is>
          <t>Free</t>
        </is>
      </c>
      <c r="P1952" s="33" t="inlineStr">
        <is>
          <t>100 Free</t>
        </is>
      </c>
      <c r="Q1952" s="33" t="inlineStr">
        <is>
          <t>LCM_100_FREE</t>
        </is>
      </c>
      <c r="R1952" s="36" t="n">
        <v>66.22</v>
      </c>
      <c r="S1952" s="35">
        <f>IF(R1952="","",IF(R1952&gt;=60,INT(R1952/60)&amp;":"&amp;TEXT(MOD(R1952,60),"00.00"),TEXT(R1952,"0.00")))</f>
        <v/>
      </c>
      <c r="T1952" s="52">
        <f>IFERROR((G1952-INDEX('01_Swimmers'!$E$5:$E$22,MATCH(B1952,'01_Swimmers'!$A$5:$A$22,0)))/'00_Control'!$B$10,"")</f>
        <v/>
      </c>
      <c r="U1952" s="35">
        <f>IF(T1952="","",INT(T1952))</f>
        <v/>
      </c>
      <c r="V1952" s="33" t="inlineStr">
        <is>
          <t>NO</t>
        </is>
      </c>
      <c r="W1952" s="33" t="inlineStr">
        <is>
          <t>YES</t>
        </is>
      </c>
      <c r="X1952" s="33" t="inlineStr">
        <is>
          <t>NO</t>
        </is>
      </c>
      <c r="Y1952" s="33" t="n">
        <v>3</v>
      </c>
      <c r="Z1952" s="33" t="n">
        <v>4</v>
      </c>
      <c r="AA1952" s="33" t="inlineStr">
        <is>
          <t>2</t>
        </is>
      </c>
      <c r="AB1952" s="33" t="inlineStr">
        <is>
          <t>https://www.swimcloud.com/results/236576/event/104/?id=72359141#time72359141</t>
        </is>
      </c>
      <c r="AC1952" s="33" t="inlineStr">
        <is>
          <t>SwimCloud API v6 2026-10-08</t>
        </is>
      </c>
      <c r="AD1952" s="33" t="inlineStr">
        <is>
          <t>Lubo Liu-Tchorbadjiyski|2022-08-04|LCM|100|Free|66.22|Central Zone 14 &amp; U Championship|TIM|False</t>
        </is>
      </c>
      <c r="AE1952" s="53">
        <f>G1952+L1952/1000+ROW()/1000000000</f>
        <v/>
      </c>
      <c r="AF1952" s="35">
        <f>IF(C1952&lt;&gt;"Grayson Coulter","",COUNTIFS($C$5:$C$2991,"Grayson Coulter",$Q$5:$Q$2991,Q1952,$AE$5:$AE$2991,"&lt;="&amp;AE1952,$R$5:$R$2991,"&lt;"&amp;R1952))</f>
        <v/>
      </c>
      <c r="AG1952" s="35">
        <f>IF(OR(C1952&lt;&gt;"Grayson Coulter",G1952&lt;'00_Control'!$B$7),"",--(AF1952&lt;5))</f>
        <v/>
      </c>
      <c r="AH1952" s="35">
        <f>IF(OR(C1952&lt;&gt;"Grayson Coulter",G1952&lt;'00_Control'!$B$7),"",--(AF1952&lt;10))</f>
        <v/>
      </c>
      <c r="AI1952" s="35">
        <f>IF(AND(C1952="Grayson Coulter",G1952&gt;='00_Control'!$B$7),"YES","NO")</f>
        <v/>
      </c>
      <c r="AJ1952" s="33" t="inlineStr">
        <is>
          <t>OK</t>
        </is>
      </c>
    </row>
    <row r="1953">
      <c r="A1953" s="33" t="inlineStr">
        <is>
          <t>SM001949</t>
        </is>
      </c>
      <c r="B1953" s="33" t="inlineStr">
        <is>
          <t>SW004</t>
        </is>
      </c>
      <c r="C1953" s="33" t="inlineStr">
        <is>
          <t>Lubo Liu-Tchorbadjiyski</t>
        </is>
      </c>
      <c r="D1953" s="33" t="inlineStr">
        <is>
          <t>SwimCloud</t>
        </is>
      </c>
      <c r="E1953" s="33" t="inlineStr">
        <is>
          <t>3102544</t>
        </is>
      </c>
      <c r="F1953" s="33" t="inlineStr">
        <is>
          <t>72359179</t>
        </is>
      </c>
      <c r="G1953" s="51" t="n">
        <v>44778</v>
      </c>
      <c r="H1953" s="33" t="inlineStr">
        <is>
          <t>Central Zone 14 &amp; U Championship</t>
        </is>
      </c>
      <c r="I1953" s="33" t="inlineStr">
        <is>
          <t>236576</t>
        </is>
      </c>
      <c r="J1953" s="33" t="inlineStr"/>
      <c r="K1953" s="33" t="inlineStr">
        <is>
          <t>TIM</t>
        </is>
      </c>
      <c r="L1953" s="35">
        <f>IF(K1953="FIN",3,IF(OR(K1953="SEM",K1953="SEMI"),2,IF(OR(K1953="PRE",K1953="HEAT"),1,IF(V1953="YES",4,2))))</f>
        <v/>
      </c>
      <c r="M1953" s="33" t="inlineStr">
        <is>
          <t>LCM</t>
        </is>
      </c>
      <c r="N1953" s="33" t="n">
        <v>100</v>
      </c>
      <c r="O1953" s="33" t="inlineStr">
        <is>
          <t>Fly</t>
        </is>
      </c>
      <c r="P1953" s="33" t="inlineStr">
        <is>
          <t>100 Fly</t>
        </is>
      </c>
      <c r="Q1953" s="33" t="inlineStr">
        <is>
          <t>LCM_100_FLY</t>
        </is>
      </c>
      <c r="R1953" s="36" t="n">
        <v>81.15000000000001</v>
      </c>
      <c r="S1953" s="35">
        <f>IF(R1953="","",IF(R1953&gt;=60,INT(R1953/60)&amp;":"&amp;TEXT(MOD(R1953,60),"00.00"),TEXT(R1953,"0.00")))</f>
        <v/>
      </c>
      <c r="T1953" s="52">
        <f>IFERROR((G1953-INDEX('01_Swimmers'!$E$5:$E$22,MATCH(B1953,'01_Swimmers'!$A$5:$A$22,0)))/'00_Control'!$B$10,"")</f>
        <v/>
      </c>
      <c r="U1953" s="35">
        <f>IF(T1953="","",INT(T1953))</f>
        <v/>
      </c>
      <c r="V1953" s="33" t="inlineStr">
        <is>
          <t>NO</t>
        </is>
      </c>
      <c r="W1953" s="33" t="inlineStr">
        <is>
          <t>YES</t>
        </is>
      </c>
      <c r="X1953" s="33" t="inlineStr">
        <is>
          <t>NO</t>
        </is>
      </c>
      <c r="Y1953" s="33" t="n">
        <v>3</v>
      </c>
      <c r="Z1953" s="33" t="n">
        <v>2</v>
      </c>
      <c r="AA1953" s="33" t="inlineStr">
        <is>
          <t>4</t>
        </is>
      </c>
      <c r="AB1953" s="33" t="inlineStr">
        <is>
          <t>https://www.swimcloud.com/results/236576/event/116/?id=72359179#time72359179</t>
        </is>
      </c>
      <c r="AC1953" s="33" t="inlineStr">
        <is>
          <t>SwimCloud API v6 2026-10-08</t>
        </is>
      </c>
      <c r="AD1953" s="33" t="inlineStr">
        <is>
          <t>Lubo Liu-Tchorbadjiyski|2022-08-05|LCM|100|Fly|81.15|Central Zone 14 &amp; U Championship|TIM|False</t>
        </is>
      </c>
      <c r="AE1953" s="53">
        <f>G1953+L1953/1000+ROW()/1000000000</f>
        <v/>
      </c>
      <c r="AF1953" s="35">
        <f>IF(C1953&lt;&gt;"Grayson Coulter","",COUNTIFS($C$5:$C$2991,"Grayson Coulter",$Q$5:$Q$2991,Q1953,$AE$5:$AE$2991,"&lt;="&amp;AE1953,$R$5:$R$2991,"&lt;"&amp;R1953))</f>
        <v/>
      </c>
      <c r="AG1953" s="35">
        <f>IF(OR(C1953&lt;&gt;"Grayson Coulter",G1953&lt;'00_Control'!$B$7),"",--(AF1953&lt;5))</f>
        <v/>
      </c>
      <c r="AH1953" s="35">
        <f>IF(OR(C1953&lt;&gt;"Grayson Coulter",G1953&lt;'00_Control'!$B$7),"",--(AF1953&lt;10))</f>
        <v/>
      </c>
      <c r="AI1953" s="35">
        <f>IF(AND(C1953="Grayson Coulter",G1953&gt;='00_Control'!$B$7),"YES","NO")</f>
        <v/>
      </c>
      <c r="AJ1953" s="33" t="inlineStr">
        <is>
          <t>OK</t>
        </is>
      </c>
    </row>
    <row r="1954">
      <c r="A1954" s="33" t="inlineStr">
        <is>
          <t>SM001950</t>
        </is>
      </c>
      <c r="B1954" s="33" t="inlineStr">
        <is>
          <t>SW004</t>
        </is>
      </c>
      <c r="C1954" s="33" t="inlineStr">
        <is>
          <t>Lubo Liu-Tchorbadjiyski</t>
        </is>
      </c>
      <c r="D1954" s="33" t="inlineStr">
        <is>
          <t>SwimCloud</t>
        </is>
      </c>
      <c r="E1954" s="33" t="inlineStr">
        <is>
          <t>3102544</t>
        </is>
      </c>
      <c r="F1954" s="33" t="inlineStr">
        <is>
          <t>101092475</t>
        </is>
      </c>
      <c r="G1954" s="51" t="n">
        <v>45052</v>
      </c>
      <c r="H1954" s="33" t="inlineStr">
        <is>
          <t>Duel in the Pool</t>
        </is>
      </c>
      <c r="I1954" s="33" t="inlineStr">
        <is>
          <t>268115</t>
        </is>
      </c>
      <c r="J1954" s="33" t="inlineStr"/>
      <c r="K1954" s="33" t="inlineStr">
        <is>
          <t>TIM</t>
        </is>
      </c>
      <c r="L1954" s="35">
        <f>IF(K1954="FIN",3,IF(OR(K1954="SEM",K1954="SEMI"),2,IF(OR(K1954="PRE",K1954="HEAT"),1,IF(V1954="YES",4,2))))</f>
        <v/>
      </c>
      <c r="M1954" s="33" t="inlineStr">
        <is>
          <t>LCM</t>
        </is>
      </c>
      <c r="N1954" s="33" t="n">
        <v>100</v>
      </c>
      <c r="O1954" s="33" t="inlineStr">
        <is>
          <t>Fly</t>
        </is>
      </c>
      <c r="P1954" s="33" t="inlineStr">
        <is>
          <t>100 Fly</t>
        </is>
      </c>
      <c r="Q1954" s="33" t="inlineStr">
        <is>
          <t>LCM_100_FLY</t>
        </is>
      </c>
      <c r="R1954" s="36" t="n">
        <v>72.48999999999999</v>
      </c>
      <c r="S1954" s="35">
        <f>IF(R1954="","",IF(R1954&gt;=60,INT(R1954/60)&amp;":"&amp;TEXT(MOD(R1954,60),"00.00"),TEXT(R1954,"0.00")))</f>
        <v/>
      </c>
      <c r="T1954" s="52">
        <f>IFERROR((G1954-INDEX('01_Swimmers'!$E$5:$E$22,MATCH(B1954,'01_Swimmers'!$A$5:$A$22,0)))/'00_Control'!$B$10,"")</f>
        <v/>
      </c>
      <c r="U1954" s="35">
        <f>IF(T1954="","",INT(T1954))</f>
        <v/>
      </c>
      <c r="V1954" s="33" t="inlineStr">
        <is>
          <t>NO</t>
        </is>
      </c>
      <c r="W1954" s="33" t="inlineStr">
        <is>
          <t>YES</t>
        </is>
      </c>
      <c r="X1954" s="33" t="inlineStr">
        <is>
          <t>NO</t>
        </is>
      </c>
      <c r="Y1954" s="33" t="n">
        <v>1</v>
      </c>
      <c r="Z1954" s="33" t="n">
        <v>7</v>
      </c>
      <c r="AA1954" s="33" t="inlineStr">
        <is>
          <t>11</t>
        </is>
      </c>
      <c r="AB1954" s="33" t="inlineStr">
        <is>
          <t>https://www.swimcloud.com/results/268115/event/21/?id=101092475#time101092475</t>
        </is>
      </c>
      <c r="AC1954" s="33" t="inlineStr">
        <is>
          <t>SwimCloud API v6 2026-10-08</t>
        </is>
      </c>
      <c r="AD1954" s="33" t="inlineStr">
        <is>
          <t>Lubo Liu-Tchorbadjiyski|2023-05-06|LCM|100|Fly|72.49|Duel in the Pool|TIM|False</t>
        </is>
      </c>
      <c r="AE1954" s="53">
        <f>G1954+L1954/1000+ROW()/1000000000</f>
        <v/>
      </c>
      <c r="AF1954" s="35">
        <f>IF(C1954&lt;&gt;"Grayson Coulter","",COUNTIFS($C$5:$C$2991,"Grayson Coulter",$Q$5:$Q$2991,Q1954,$AE$5:$AE$2991,"&lt;="&amp;AE1954,$R$5:$R$2991,"&lt;"&amp;R1954))</f>
        <v/>
      </c>
      <c r="AG1954" s="35">
        <f>IF(OR(C1954&lt;&gt;"Grayson Coulter",G1954&lt;'00_Control'!$B$7),"",--(AF1954&lt;5))</f>
        <v/>
      </c>
      <c r="AH1954" s="35">
        <f>IF(OR(C1954&lt;&gt;"Grayson Coulter",G1954&lt;'00_Control'!$B$7),"",--(AF1954&lt;10))</f>
        <v/>
      </c>
      <c r="AI1954" s="35">
        <f>IF(AND(C1954="Grayson Coulter",G1954&gt;='00_Control'!$B$7),"YES","NO")</f>
        <v/>
      </c>
      <c r="AJ1954" s="33" t="inlineStr">
        <is>
          <t>OK</t>
        </is>
      </c>
    </row>
    <row r="1955">
      <c r="A1955" s="33" t="inlineStr">
        <is>
          <t>SM001951</t>
        </is>
      </c>
      <c r="B1955" s="33" t="inlineStr">
        <is>
          <t>SW004</t>
        </is>
      </c>
      <c r="C1955" s="33" t="inlineStr">
        <is>
          <t>Lubo Liu-Tchorbadjiyski</t>
        </is>
      </c>
      <c r="D1955" s="33" t="inlineStr">
        <is>
          <t>SwimCloud</t>
        </is>
      </c>
      <c r="E1955" s="33" t="inlineStr">
        <is>
          <t>3102544</t>
        </is>
      </c>
      <c r="F1955" s="33" t="inlineStr">
        <is>
          <t>101613333</t>
        </is>
      </c>
      <c r="G1955" s="51" t="n">
        <v>45066</v>
      </c>
      <c r="H1955" s="33" t="inlineStr">
        <is>
          <t>IL CWAC May Madness</t>
        </is>
      </c>
      <c r="I1955" s="33" t="inlineStr">
        <is>
          <t>266190</t>
        </is>
      </c>
      <c r="J1955" s="33" t="inlineStr"/>
      <c r="K1955" s="33" t="inlineStr">
        <is>
          <t>TIM</t>
        </is>
      </c>
      <c r="L1955" s="35">
        <f>IF(K1955="FIN",3,IF(OR(K1955="SEM",K1955="SEMI"),2,IF(OR(K1955="PRE",K1955="HEAT"),1,IF(V1955="YES",4,2))))</f>
        <v/>
      </c>
      <c r="M1955" s="33" t="inlineStr">
        <is>
          <t>LCM</t>
        </is>
      </c>
      <c r="N1955" s="33" t="n">
        <v>100</v>
      </c>
      <c r="O1955" s="33" t="inlineStr">
        <is>
          <t>Free</t>
        </is>
      </c>
      <c r="P1955" s="33" t="inlineStr">
        <is>
          <t>100 Free</t>
        </is>
      </c>
      <c r="Q1955" s="33" t="inlineStr">
        <is>
          <t>LCM_100_FREE</t>
        </is>
      </c>
      <c r="R1955" s="36" t="n">
        <v>68.09999999999999</v>
      </c>
      <c r="S1955" s="35">
        <f>IF(R1955="","",IF(R1955&gt;=60,INT(R1955/60)&amp;":"&amp;TEXT(MOD(R1955,60),"00.00"),TEXT(R1955,"0.00")))</f>
        <v/>
      </c>
      <c r="T1955" s="52">
        <f>IFERROR((G1955-INDEX('01_Swimmers'!$E$5:$E$22,MATCH(B1955,'01_Swimmers'!$A$5:$A$22,0)))/'00_Control'!$B$10,"")</f>
        <v/>
      </c>
      <c r="U1955" s="35">
        <f>IF(T1955="","",INT(T1955))</f>
        <v/>
      </c>
      <c r="V1955" s="33" t="inlineStr">
        <is>
          <t>NO</t>
        </is>
      </c>
      <c r="W1955" s="33" t="inlineStr">
        <is>
          <t>YES</t>
        </is>
      </c>
      <c r="X1955" s="33" t="inlineStr">
        <is>
          <t>NO</t>
        </is>
      </c>
      <c r="Y1955" s="33" t="n">
        <v>10</v>
      </c>
      <c r="Z1955" s="33" t="n">
        <v>7</v>
      </c>
      <c r="AA1955" s="33" t="inlineStr">
        <is>
          <t>4</t>
        </is>
      </c>
      <c r="AB1955" s="33" t="inlineStr">
        <is>
          <t>https://www.swimcloud.com/results/266190/event/18/?id=101613333#time101613333</t>
        </is>
      </c>
      <c r="AC1955" s="33" t="inlineStr">
        <is>
          <t>SwimCloud API v6 2026-10-08</t>
        </is>
      </c>
      <c r="AD1955" s="33" t="inlineStr">
        <is>
          <t>Lubo Liu-Tchorbadjiyski|2023-05-20|LCM|100|Free|68.1|IL CWAC May Madness|TIM|False</t>
        </is>
      </c>
      <c r="AE1955" s="53">
        <f>G1955+L1955/1000+ROW()/1000000000</f>
        <v/>
      </c>
      <c r="AF1955" s="35">
        <f>IF(C1955&lt;&gt;"Grayson Coulter","",COUNTIFS($C$5:$C$2991,"Grayson Coulter",$Q$5:$Q$2991,Q1955,$AE$5:$AE$2991,"&lt;="&amp;AE1955,$R$5:$R$2991,"&lt;"&amp;R1955))</f>
        <v/>
      </c>
      <c r="AG1955" s="35">
        <f>IF(OR(C1955&lt;&gt;"Grayson Coulter",G1955&lt;'00_Control'!$B$7),"",--(AF1955&lt;5))</f>
        <v/>
      </c>
      <c r="AH1955" s="35">
        <f>IF(OR(C1955&lt;&gt;"Grayson Coulter",G1955&lt;'00_Control'!$B$7),"",--(AF1955&lt;10))</f>
        <v/>
      </c>
      <c r="AI1955" s="35">
        <f>IF(AND(C1955="Grayson Coulter",G1955&gt;='00_Control'!$B$7),"YES","NO")</f>
        <v/>
      </c>
      <c r="AJ1955" s="33" t="inlineStr">
        <is>
          <t>OK</t>
        </is>
      </c>
    </row>
    <row r="1956">
      <c r="A1956" s="33" t="inlineStr">
        <is>
          <t>SM001952</t>
        </is>
      </c>
      <c r="B1956" s="33" t="inlineStr">
        <is>
          <t>SW004</t>
        </is>
      </c>
      <c r="C1956" s="33" t="inlineStr">
        <is>
          <t>Lubo Liu-Tchorbadjiyski</t>
        </is>
      </c>
      <c r="D1956" s="33" t="inlineStr">
        <is>
          <t>SwimCloud</t>
        </is>
      </c>
      <c r="E1956" s="33" t="inlineStr">
        <is>
          <t>3102544</t>
        </is>
      </c>
      <c r="F1956" s="33" t="inlineStr">
        <is>
          <t>101615916</t>
        </is>
      </c>
      <c r="G1956" s="51" t="n">
        <v>45067</v>
      </c>
      <c r="H1956" s="33" t="inlineStr">
        <is>
          <t>IL CWAC May Madness</t>
        </is>
      </c>
      <c r="I1956" s="33" t="inlineStr">
        <is>
          <t>266190</t>
        </is>
      </c>
      <c r="J1956" s="33" t="inlineStr"/>
      <c r="K1956" s="33" t="inlineStr">
        <is>
          <t>TIM</t>
        </is>
      </c>
      <c r="L1956" s="35">
        <f>IF(K1956="FIN",3,IF(OR(K1956="SEM",K1956="SEMI"),2,IF(OR(K1956="PRE",K1956="HEAT"),1,IF(V1956="YES",4,2))))</f>
        <v/>
      </c>
      <c r="M1956" s="33" t="inlineStr">
        <is>
          <t>LCM</t>
        </is>
      </c>
      <c r="N1956" s="33" t="n">
        <v>100</v>
      </c>
      <c r="O1956" s="33" t="inlineStr">
        <is>
          <t>Fly</t>
        </is>
      </c>
      <c r="P1956" s="33" t="inlineStr">
        <is>
          <t>100 Fly</t>
        </is>
      </c>
      <c r="Q1956" s="33" t="inlineStr">
        <is>
          <t>LCM_100_FLY</t>
        </is>
      </c>
      <c r="R1956" s="36" t="n">
        <v>77.38</v>
      </c>
      <c r="S1956" s="35">
        <f>IF(R1956="","",IF(R1956&gt;=60,INT(R1956/60)&amp;":"&amp;TEXT(MOD(R1956,60),"00.00"),TEXT(R1956,"0.00")))</f>
        <v/>
      </c>
      <c r="T1956" s="52">
        <f>IFERROR((G1956-INDEX('01_Swimmers'!$E$5:$E$22,MATCH(B1956,'01_Swimmers'!$A$5:$A$22,0)))/'00_Control'!$B$10,"")</f>
        <v/>
      </c>
      <c r="U1956" s="35">
        <f>IF(T1956="","",INT(T1956))</f>
        <v/>
      </c>
      <c r="V1956" s="33" t="inlineStr">
        <is>
          <t>NO</t>
        </is>
      </c>
      <c r="W1956" s="33" t="inlineStr">
        <is>
          <t>YES</t>
        </is>
      </c>
      <c r="X1956" s="33" t="inlineStr">
        <is>
          <t>NO</t>
        </is>
      </c>
      <c r="Y1956" s="33" t="n">
        <v>4</v>
      </c>
      <c r="Z1956" s="33" t="n">
        <v>7</v>
      </c>
      <c r="AA1956" s="33" t="inlineStr">
        <is>
          <t>4</t>
        </is>
      </c>
      <c r="AB1956" s="33" t="inlineStr">
        <is>
          <t>https://www.swimcloud.com/results/266190/event/50/?id=101615916#time101615916</t>
        </is>
      </c>
      <c r="AC1956" s="33" t="inlineStr">
        <is>
          <t>SwimCloud API v6 2026-10-08</t>
        </is>
      </c>
      <c r="AD1956" s="33" t="inlineStr">
        <is>
          <t>Lubo Liu-Tchorbadjiyski|2023-05-21|LCM|100|Fly|77.38|IL CWAC May Madness|TIM|False</t>
        </is>
      </c>
      <c r="AE1956" s="53">
        <f>G1956+L1956/1000+ROW()/1000000000</f>
        <v/>
      </c>
      <c r="AF1956" s="35">
        <f>IF(C1956&lt;&gt;"Grayson Coulter","",COUNTIFS($C$5:$C$2991,"Grayson Coulter",$Q$5:$Q$2991,Q1956,$AE$5:$AE$2991,"&lt;="&amp;AE1956,$R$5:$R$2991,"&lt;"&amp;R1956))</f>
        <v/>
      </c>
      <c r="AG1956" s="35">
        <f>IF(OR(C1956&lt;&gt;"Grayson Coulter",G1956&lt;'00_Control'!$B$7),"",--(AF1956&lt;5))</f>
        <v/>
      </c>
      <c r="AH1956" s="35">
        <f>IF(OR(C1956&lt;&gt;"Grayson Coulter",G1956&lt;'00_Control'!$B$7),"",--(AF1956&lt;10))</f>
        <v/>
      </c>
      <c r="AI1956" s="35">
        <f>IF(AND(C1956="Grayson Coulter",G1956&gt;='00_Control'!$B$7),"YES","NO")</f>
        <v/>
      </c>
      <c r="AJ1956" s="33" t="inlineStr">
        <is>
          <t>OK</t>
        </is>
      </c>
    </row>
    <row r="1957">
      <c r="A1957" s="33" t="inlineStr">
        <is>
          <t>SM001953</t>
        </is>
      </c>
      <c r="B1957" s="33" t="inlineStr">
        <is>
          <t>SW004</t>
        </is>
      </c>
      <c r="C1957" s="33" t="inlineStr">
        <is>
          <t>Lubo Liu-Tchorbadjiyski</t>
        </is>
      </c>
      <c r="D1957" s="33" t="inlineStr">
        <is>
          <t>SwimCloud</t>
        </is>
      </c>
      <c r="E1957" s="33" t="inlineStr">
        <is>
          <t>3102544</t>
        </is>
      </c>
      <c r="F1957" s="33" t="inlineStr">
        <is>
          <t>101615888</t>
        </is>
      </c>
      <c r="G1957" s="51" t="n">
        <v>45067</v>
      </c>
      <c r="H1957" s="33" t="inlineStr">
        <is>
          <t>IL CWAC May Madness</t>
        </is>
      </c>
      <c r="I1957" s="33" t="inlineStr">
        <is>
          <t>266190</t>
        </is>
      </c>
      <c r="J1957" s="33" t="inlineStr"/>
      <c r="K1957" s="33" t="inlineStr">
        <is>
          <t>TIM</t>
        </is>
      </c>
      <c r="L1957" s="35">
        <f>IF(K1957="FIN",3,IF(OR(K1957="SEM",K1957="SEMI"),2,IF(OR(K1957="PRE",K1957="HEAT"),1,IF(V1957="YES",4,2))))</f>
        <v/>
      </c>
      <c r="M1957" s="33" t="inlineStr">
        <is>
          <t>LCM</t>
        </is>
      </c>
      <c r="N1957" s="33" t="n">
        <v>200</v>
      </c>
      <c r="O1957" s="33" t="inlineStr">
        <is>
          <t>Free</t>
        </is>
      </c>
      <c r="P1957" s="33" t="inlineStr">
        <is>
          <t>200 Free</t>
        </is>
      </c>
      <c r="Q1957" s="33" t="inlineStr">
        <is>
          <t>LCM_200_FREE</t>
        </is>
      </c>
      <c r="R1957" s="36" t="n">
        <v>154.06</v>
      </c>
      <c r="S1957" s="35">
        <f>IF(R1957="","",IF(R1957&gt;=60,INT(R1957/60)&amp;":"&amp;TEXT(MOD(R1957,60),"00.00"),TEXT(R1957,"0.00")))</f>
        <v/>
      </c>
      <c r="T1957" s="52">
        <f>IFERROR((G1957-INDEX('01_Swimmers'!$E$5:$E$22,MATCH(B1957,'01_Swimmers'!$A$5:$A$22,0)))/'00_Control'!$B$10,"")</f>
        <v/>
      </c>
      <c r="U1957" s="35">
        <f>IF(T1957="","",INT(T1957))</f>
        <v/>
      </c>
      <c r="V1957" s="33" t="inlineStr">
        <is>
          <t>NO</t>
        </is>
      </c>
      <c r="W1957" s="33" t="inlineStr">
        <is>
          <t>YES</t>
        </is>
      </c>
      <c r="X1957" s="33" t="inlineStr">
        <is>
          <t>NO</t>
        </is>
      </c>
      <c r="Y1957" s="33" t="n">
        <v>4</v>
      </c>
      <c r="Z1957" s="33" t="n">
        <v>6</v>
      </c>
      <c r="AA1957" s="33" t="inlineStr">
        <is>
          <t>7</t>
        </is>
      </c>
      <c r="AB1957" s="33" t="inlineStr">
        <is>
          <t>https://www.swimcloud.com/results/266190/event/34/?id=101615888#time101615888</t>
        </is>
      </c>
      <c r="AC1957" s="33" t="inlineStr">
        <is>
          <t>SwimCloud API v6 2026-10-08</t>
        </is>
      </c>
      <c r="AD1957" s="33" t="inlineStr">
        <is>
          <t>Lubo Liu-Tchorbadjiyski|2023-05-21|LCM|200|Free|154.06|IL CWAC May Madness|TIM|False</t>
        </is>
      </c>
      <c r="AE1957" s="53">
        <f>G1957+L1957/1000+ROW()/1000000000</f>
        <v/>
      </c>
      <c r="AF1957" s="35">
        <f>IF(C1957&lt;&gt;"Grayson Coulter","",COUNTIFS($C$5:$C$2991,"Grayson Coulter",$Q$5:$Q$2991,Q1957,$AE$5:$AE$2991,"&lt;="&amp;AE1957,$R$5:$R$2991,"&lt;"&amp;R1957))</f>
        <v/>
      </c>
      <c r="AG1957" s="35">
        <f>IF(OR(C1957&lt;&gt;"Grayson Coulter",G1957&lt;'00_Control'!$B$7),"",--(AF1957&lt;5))</f>
        <v/>
      </c>
      <c r="AH1957" s="35">
        <f>IF(OR(C1957&lt;&gt;"Grayson Coulter",G1957&lt;'00_Control'!$B$7),"",--(AF1957&lt;10))</f>
        <v/>
      </c>
      <c r="AI1957" s="35">
        <f>IF(AND(C1957="Grayson Coulter",G1957&gt;='00_Control'!$B$7),"YES","NO")</f>
        <v/>
      </c>
      <c r="AJ1957" s="33" t="inlineStr">
        <is>
          <t>OK</t>
        </is>
      </c>
    </row>
    <row r="1958">
      <c r="A1958" s="33" t="inlineStr">
        <is>
          <t>SM001954</t>
        </is>
      </c>
      <c r="B1958" s="33" t="inlineStr">
        <is>
          <t>SW004</t>
        </is>
      </c>
      <c r="C1958" s="33" t="inlineStr">
        <is>
          <t>Lubo Liu-Tchorbadjiyski</t>
        </is>
      </c>
      <c r="D1958" s="33" t="inlineStr">
        <is>
          <t>SwimCloud</t>
        </is>
      </c>
      <c r="E1958" s="33" t="inlineStr">
        <is>
          <t>3102544</t>
        </is>
      </c>
      <c r="F1958" s="33" t="inlineStr">
        <is>
          <t>103656183</t>
        </is>
      </c>
      <c r="G1958" s="51" t="n">
        <v>45114</v>
      </c>
      <c r="H1958" s="33" t="inlineStr">
        <is>
          <t>IL PAC North Suburban Splash</t>
        </is>
      </c>
      <c r="I1958" s="33" t="inlineStr">
        <is>
          <t>272870</t>
        </is>
      </c>
      <c r="J1958" s="33" t="inlineStr"/>
      <c r="K1958" s="33" t="inlineStr">
        <is>
          <t>TIM</t>
        </is>
      </c>
      <c r="L1958" s="35">
        <f>IF(K1958="FIN",3,IF(OR(K1958="SEM",K1958="SEMI"),2,IF(OR(K1958="PRE",K1958="HEAT"),1,IF(V1958="YES",4,2))))</f>
        <v/>
      </c>
      <c r="M1958" s="33" t="inlineStr">
        <is>
          <t>LCM</t>
        </is>
      </c>
      <c r="N1958" s="33" t="n">
        <v>400</v>
      </c>
      <c r="O1958" s="33" t="inlineStr">
        <is>
          <t>Free</t>
        </is>
      </c>
      <c r="P1958" s="33" t="inlineStr">
        <is>
          <t>400 Free</t>
        </is>
      </c>
      <c r="Q1958" s="33" t="inlineStr">
        <is>
          <t>LCM_400_FREE</t>
        </is>
      </c>
      <c r="R1958" s="36" t="n">
        <v>309</v>
      </c>
      <c r="S1958" s="35">
        <f>IF(R1958="","",IF(R1958&gt;=60,INT(R1958/60)&amp;":"&amp;TEXT(MOD(R1958,60),"00.00"),TEXT(R1958,"0.00")))</f>
        <v/>
      </c>
      <c r="T1958" s="52">
        <f>IFERROR((G1958-INDEX('01_Swimmers'!$E$5:$E$22,MATCH(B1958,'01_Swimmers'!$A$5:$A$22,0)))/'00_Control'!$B$10,"")</f>
        <v/>
      </c>
      <c r="U1958" s="35">
        <f>IF(T1958="","",INT(T1958))</f>
        <v/>
      </c>
      <c r="V1958" s="33" t="inlineStr">
        <is>
          <t>NO</t>
        </is>
      </c>
      <c r="W1958" s="33" t="inlineStr">
        <is>
          <t>YES</t>
        </is>
      </c>
      <c r="X1958" s="33" t="inlineStr">
        <is>
          <t>NO</t>
        </is>
      </c>
      <c r="Y1958" s="33" t="n">
        <v>5</v>
      </c>
      <c r="Z1958" s="33" t="n">
        <v>8</v>
      </c>
      <c r="AA1958" s="33" t="inlineStr">
        <is>
          <t>27</t>
        </is>
      </c>
      <c r="AB1958" s="33" t="inlineStr">
        <is>
          <t>https://www.swimcloud.com/results/272870/event/4/?id=103656183#time103656183</t>
        </is>
      </c>
      <c r="AC1958" s="33" t="inlineStr">
        <is>
          <t>SwimCloud API v6 2026-10-08</t>
        </is>
      </c>
      <c r="AD1958" s="33" t="inlineStr">
        <is>
          <t>Lubo Liu-Tchorbadjiyski|2023-07-07|LCM|400|Free|309.0|IL PAC North Suburban Splash|TIM|False</t>
        </is>
      </c>
      <c r="AE1958" s="53">
        <f>G1958+L1958/1000+ROW()/1000000000</f>
        <v/>
      </c>
      <c r="AF1958" s="35">
        <f>IF(C1958&lt;&gt;"Grayson Coulter","",COUNTIFS($C$5:$C$2991,"Grayson Coulter",$Q$5:$Q$2991,Q1958,$AE$5:$AE$2991,"&lt;="&amp;AE1958,$R$5:$R$2991,"&lt;"&amp;R1958))</f>
        <v/>
      </c>
      <c r="AG1958" s="35">
        <f>IF(OR(C1958&lt;&gt;"Grayson Coulter",G1958&lt;'00_Control'!$B$7),"",--(AF1958&lt;5))</f>
        <v/>
      </c>
      <c r="AH1958" s="35">
        <f>IF(OR(C1958&lt;&gt;"Grayson Coulter",G1958&lt;'00_Control'!$B$7),"",--(AF1958&lt;10))</f>
        <v/>
      </c>
      <c r="AI1958" s="35">
        <f>IF(AND(C1958="Grayson Coulter",G1958&gt;='00_Control'!$B$7),"YES","NO")</f>
        <v/>
      </c>
      <c r="AJ1958" s="33" t="inlineStr">
        <is>
          <t>OK</t>
        </is>
      </c>
    </row>
    <row r="1959">
      <c r="A1959" s="33" t="inlineStr">
        <is>
          <t>SM001955</t>
        </is>
      </c>
      <c r="B1959" s="33" t="inlineStr">
        <is>
          <t>SW004</t>
        </is>
      </c>
      <c r="C1959" s="33" t="inlineStr">
        <is>
          <t>Lubo Liu-Tchorbadjiyski</t>
        </is>
      </c>
      <c r="D1959" s="33" t="inlineStr">
        <is>
          <t>SwimCloud</t>
        </is>
      </c>
      <c r="E1959" s="33" t="inlineStr">
        <is>
          <t>3102544</t>
        </is>
      </c>
      <c r="F1959" s="33" t="inlineStr">
        <is>
          <t>104451604</t>
        </is>
      </c>
      <c r="G1959" s="51" t="n">
        <v>45127</v>
      </c>
      <c r="H1959" s="33" t="inlineStr">
        <is>
          <t>Illinois Age Group Championship</t>
        </is>
      </c>
      <c r="I1959" s="33" t="inlineStr">
        <is>
          <t>243210</t>
        </is>
      </c>
      <c r="J1959" s="33" t="inlineStr"/>
      <c r="K1959" s="33" t="inlineStr">
        <is>
          <t>PRE</t>
        </is>
      </c>
      <c r="L1959" s="35">
        <f>IF(K1959="FIN",3,IF(OR(K1959="SEM",K1959="SEMI"),2,IF(OR(K1959="PRE",K1959="HEAT"),1,IF(V1959="YES",4,2))))</f>
        <v/>
      </c>
      <c r="M1959" s="33" t="inlineStr">
        <is>
          <t>LCM</t>
        </is>
      </c>
      <c r="N1959" s="33" t="n">
        <v>100</v>
      </c>
      <c r="O1959" s="33" t="inlineStr">
        <is>
          <t>Free</t>
        </is>
      </c>
      <c r="P1959" s="33" t="inlineStr">
        <is>
          <t>100 Free</t>
        </is>
      </c>
      <c r="Q1959" s="33" t="inlineStr">
        <is>
          <t>LCM_100_FREE</t>
        </is>
      </c>
      <c r="R1959" s="36" t="n">
        <v>63.55</v>
      </c>
      <c r="S1959" s="35">
        <f>IF(R1959="","",IF(R1959&gt;=60,INT(R1959/60)&amp;":"&amp;TEXT(MOD(R1959,60),"00.00"),TEXT(R1959,"0.00")))</f>
        <v/>
      </c>
      <c r="T1959" s="52">
        <f>IFERROR((G1959-INDEX('01_Swimmers'!$E$5:$E$22,MATCH(B1959,'01_Swimmers'!$A$5:$A$22,0)))/'00_Control'!$B$10,"")</f>
        <v/>
      </c>
      <c r="U1959" s="35">
        <f>IF(T1959="","",INT(T1959))</f>
        <v/>
      </c>
      <c r="V1959" s="33" t="inlineStr">
        <is>
          <t>NO</t>
        </is>
      </c>
      <c r="W1959" s="33" t="inlineStr">
        <is>
          <t>YES</t>
        </is>
      </c>
      <c r="X1959" s="33" t="inlineStr">
        <is>
          <t>NO</t>
        </is>
      </c>
      <c r="Y1959" s="33" t="n">
        <v>3</v>
      </c>
      <c r="Z1959" s="33" t="n">
        <v>7</v>
      </c>
      <c r="AA1959" s="33" t="inlineStr">
        <is>
          <t>8</t>
        </is>
      </c>
      <c r="AB1959" s="33" t="inlineStr">
        <is>
          <t>https://www.swimcloud.com/results/243210/event/12/?id=104451604#time104451604</t>
        </is>
      </c>
      <c r="AC1959" s="33" t="inlineStr">
        <is>
          <t>SwimCloud API v6 2026-10-08</t>
        </is>
      </c>
      <c r="AD1959" s="33" t="inlineStr">
        <is>
          <t>Lubo Liu-Tchorbadjiyski|2023-07-20|LCM|100|Free|63.55|Illinois Age Group Championship|PRE|False</t>
        </is>
      </c>
      <c r="AE1959" s="53">
        <f>G1959+L1959/1000+ROW()/1000000000</f>
        <v/>
      </c>
      <c r="AF1959" s="35">
        <f>IF(C1959&lt;&gt;"Grayson Coulter","",COUNTIFS($C$5:$C$2991,"Grayson Coulter",$Q$5:$Q$2991,Q1959,$AE$5:$AE$2991,"&lt;="&amp;AE1959,$R$5:$R$2991,"&lt;"&amp;R1959))</f>
        <v/>
      </c>
      <c r="AG1959" s="35">
        <f>IF(OR(C1959&lt;&gt;"Grayson Coulter",G1959&lt;'00_Control'!$B$7),"",--(AF1959&lt;5))</f>
        <v/>
      </c>
      <c r="AH1959" s="35">
        <f>IF(OR(C1959&lt;&gt;"Grayson Coulter",G1959&lt;'00_Control'!$B$7),"",--(AF1959&lt;10))</f>
        <v/>
      </c>
      <c r="AI1959" s="35">
        <f>IF(AND(C1959="Grayson Coulter",G1959&gt;='00_Control'!$B$7),"YES","NO")</f>
        <v/>
      </c>
      <c r="AJ1959" s="33" t="inlineStr">
        <is>
          <t>OK</t>
        </is>
      </c>
    </row>
    <row r="1960">
      <c r="A1960" s="33" t="inlineStr">
        <is>
          <t>SM001956</t>
        </is>
      </c>
      <c r="B1960" s="33" t="inlineStr">
        <is>
          <t>SW004</t>
        </is>
      </c>
      <c r="C1960" s="33" t="inlineStr">
        <is>
          <t>Lubo Liu-Tchorbadjiyski</t>
        </is>
      </c>
      <c r="D1960" s="33" t="inlineStr">
        <is>
          <t>SwimCloud</t>
        </is>
      </c>
      <c r="E1960" s="33" t="inlineStr">
        <is>
          <t>3102544</t>
        </is>
      </c>
      <c r="F1960" s="33" t="inlineStr">
        <is>
          <t>104451605</t>
        </is>
      </c>
      <c r="G1960" s="51" t="n">
        <v>45127</v>
      </c>
      <c r="H1960" s="33" t="inlineStr">
        <is>
          <t>Illinois Age Group Championship</t>
        </is>
      </c>
      <c r="I1960" s="33" t="inlineStr">
        <is>
          <t>243210</t>
        </is>
      </c>
      <c r="J1960" s="33" t="inlineStr"/>
      <c r="K1960" s="33" t="inlineStr">
        <is>
          <t>FIN</t>
        </is>
      </c>
      <c r="L1960" s="35">
        <f>IF(K1960="FIN",3,IF(OR(K1960="SEM",K1960="SEMI"),2,IF(OR(K1960="PRE",K1960="HEAT"),1,IF(V1960="YES",4,2))))</f>
        <v/>
      </c>
      <c r="M1960" s="33" t="inlineStr">
        <is>
          <t>LCM</t>
        </is>
      </c>
      <c r="N1960" s="33" t="n">
        <v>100</v>
      </c>
      <c r="O1960" s="33" t="inlineStr">
        <is>
          <t>Free</t>
        </is>
      </c>
      <c r="P1960" s="33" t="inlineStr">
        <is>
          <t>100 Free</t>
        </is>
      </c>
      <c r="Q1960" s="33" t="inlineStr">
        <is>
          <t>LCM_100_FREE</t>
        </is>
      </c>
      <c r="R1960" s="36" t="n">
        <v>63.66</v>
      </c>
      <c r="S1960" s="35">
        <f>IF(R1960="","",IF(R1960&gt;=60,INT(R1960/60)&amp;":"&amp;TEXT(MOD(R1960,60),"00.00"),TEXT(R1960,"0.00")))</f>
        <v/>
      </c>
      <c r="T1960" s="52">
        <f>IFERROR((G1960-INDEX('01_Swimmers'!$E$5:$E$22,MATCH(B1960,'01_Swimmers'!$A$5:$A$22,0)))/'00_Control'!$B$10,"")</f>
        <v/>
      </c>
      <c r="U1960" s="35">
        <f>IF(T1960="","",INT(T1960))</f>
        <v/>
      </c>
      <c r="V1960" s="33" t="inlineStr">
        <is>
          <t>NO</t>
        </is>
      </c>
      <c r="W1960" s="33" t="inlineStr">
        <is>
          <t>YES</t>
        </is>
      </c>
      <c r="X1960" s="33" t="inlineStr">
        <is>
          <t>NO</t>
        </is>
      </c>
      <c r="Y1960" s="33" t="n">
        <v>2</v>
      </c>
      <c r="Z1960" s="33" t="n">
        <v>9</v>
      </c>
      <c r="AA1960" s="33" t="inlineStr">
        <is>
          <t>8</t>
        </is>
      </c>
      <c r="AB1960" s="33" t="inlineStr">
        <is>
          <t>https://www.swimcloud.com/results/243210/event/12/?id=104451605#time104451605</t>
        </is>
      </c>
      <c r="AC1960" s="33" t="inlineStr">
        <is>
          <t>SwimCloud API v6 2026-10-08</t>
        </is>
      </c>
      <c r="AD1960" s="33" t="inlineStr">
        <is>
          <t>Lubo Liu-Tchorbadjiyski|2023-07-20|LCM|100|Free|63.66|Illinois Age Group Championship|FIN|False</t>
        </is>
      </c>
      <c r="AE1960" s="53">
        <f>G1960+L1960/1000+ROW()/1000000000</f>
        <v/>
      </c>
      <c r="AF1960" s="35">
        <f>IF(C1960&lt;&gt;"Grayson Coulter","",COUNTIFS($C$5:$C$2991,"Grayson Coulter",$Q$5:$Q$2991,Q1960,$AE$5:$AE$2991,"&lt;="&amp;AE1960,$R$5:$R$2991,"&lt;"&amp;R1960))</f>
        <v/>
      </c>
      <c r="AG1960" s="35">
        <f>IF(OR(C1960&lt;&gt;"Grayson Coulter",G1960&lt;'00_Control'!$B$7),"",--(AF1960&lt;5))</f>
        <v/>
      </c>
      <c r="AH1960" s="35">
        <f>IF(OR(C1960&lt;&gt;"Grayson Coulter",G1960&lt;'00_Control'!$B$7),"",--(AF1960&lt;10))</f>
        <v/>
      </c>
      <c r="AI1960" s="35">
        <f>IF(AND(C1960="Grayson Coulter",G1960&gt;='00_Control'!$B$7),"YES","NO")</f>
        <v/>
      </c>
      <c r="AJ1960" s="33" t="inlineStr">
        <is>
          <t>OK</t>
        </is>
      </c>
    </row>
    <row r="1961">
      <c r="A1961" s="33" t="inlineStr">
        <is>
          <t>SM001957</t>
        </is>
      </c>
      <c r="B1961" s="33" t="inlineStr">
        <is>
          <t>SW004</t>
        </is>
      </c>
      <c r="C1961" s="33" t="inlineStr">
        <is>
          <t>Lubo Liu-Tchorbadjiyski</t>
        </is>
      </c>
      <c r="D1961" s="33" t="inlineStr">
        <is>
          <t>SwimCloud</t>
        </is>
      </c>
      <c r="E1961" s="33" t="inlineStr">
        <is>
          <t>3102544</t>
        </is>
      </c>
      <c r="F1961" s="33" t="inlineStr">
        <is>
          <t>104453793</t>
        </is>
      </c>
      <c r="G1961" s="51" t="n">
        <v>45128</v>
      </c>
      <c r="H1961" s="33" t="inlineStr">
        <is>
          <t>Illinois Age Group Championship</t>
        </is>
      </c>
      <c r="I1961" s="33" t="inlineStr">
        <is>
          <t>243210</t>
        </is>
      </c>
      <c r="J1961" s="33" t="inlineStr"/>
      <c r="K1961" s="33" t="inlineStr">
        <is>
          <t>PRE</t>
        </is>
      </c>
      <c r="L1961" s="35">
        <f>IF(K1961="FIN",3,IF(OR(K1961="SEM",K1961="SEMI"),2,IF(OR(K1961="PRE",K1961="HEAT"),1,IF(V1961="YES",4,2))))</f>
        <v/>
      </c>
      <c r="M1961" s="33" t="inlineStr">
        <is>
          <t>LCM</t>
        </is>
      </c>
      <c r="N1961" s="33" t="n">
        <v>200</v>
      </c>
      <c r="O1961" s="33" t="inlineStr">
        <is>
          <t>Free</t>
        </is>
      </c>
      <c r="P1961" s="33" t="inlineStr">
        <is>
          <t>200 Free</t>
        </is>
      </c>
      <c r="Q1961" s="33" t="inlineStr">
        <is>
          <t>LCM_200_FREE</t>
        </is>
      </c>
      <c r="R1961" s="36" t="n">
        <v>142.79</v>
      </c>
      <c r="S1961" s="35">
        <f>IF(R1961="","",IF(R1961&gt;=60,INT(R1961/60)&amp;":"&amp;TEXT(MOD(R1961,60),"00.00"),TEXT(R1961,"0.00")))</f>
        <v/>
      </c>
      <c r="T1961" s="52">
        <f>IFERROR((G1961-INDEX('01_Swimmers'!$E$5:$E$22,MATCH(B1961,'01_Swimmers'!$A$5:$A$22,0)))/'00_Control'!$B$10,"")</f>
        <v/>
      </c>
      <c r="U1961" s="35">
        <f>IF(T1961="","",INT(T1961))</f>
        <v/>
      </c>
      <c r="V1961" s="33" t="inlineStr">
        <is>
          <t>NO</t>
        </is>
      </c>
      <c r="W1961" s="33" t="inlineStr">
        <is>
          <t>YES</t>
        </is>
      </c>
      <c r="X1961" s="33" t="inlineStr">
        <is>
          <t>NO</t>
        </is>
      </c>
      <c r="Y1961" s="33" t="n">
        <v>2</v>
      </c>
      <c r="Z1961" s="33" t="n">
        <v>2</v>
      </c>
      <c r="AA1961" s="33" t="inlineStr">
        <is>
          <t>13</t>
        </is>
      </c>
      <c r="AB1961" s="33" t="inlineStr">
        <is>
          <t>https://www.swimcloud.com/results/243210/event/44/?id=104453793#time104453793</t>
        </is>
      </c>
      <c r="AC1961" s="33" t="inlineStr">
        <is>
          <t>SwimCloud API v6 2026-10-08</t>
        </is>
      </c>
      <c r="AD1961" s="33" t="inlineStr">
        <is>
          <t>Lubo Liu-Tchorbadjiyski|2023-07-21|LCM|200|Free|142.79|Illinois Age Group Championship|PRE|False</t>
        </is>
      </c>
      <c r="AE1961" s="53">
        <f>G1961+L1961/1000+ROW()/1000000000</f>
        <v/>
      </c>
      <c r="AF1961" s="35">
        <f>IF(C1961&lt;&gt;"Grayson Coulter","",COUNTIFS($C$5:$C$2991,"Grayson Coulter",$Q$5:$Q$2991,Q1961,$AE$5:$AE$2991,"&lt;="&amp;AE1961,$R$5:$R$2991,"&lt;"&amp;R1961))</f>
        <v/>
      </c>
      <c r="AG1961" s="35">
        <f>IF(OR(C1961&lt;&gt;"Grayson Coulter",G1961&lt;'00_Control'!$B$7),"",--(AF1961&lt;5))</f>
        <v/>
      </c>
      <c r="AH1961" s="35">
        <f>IF(OR(C1961&lt;&gt;"Grayson Coulter",G1961&lt;'00_Control'!$B$7),"",--(AF1961&lt;10))</f>
        <v/>
      </c>
      <c r="AI1961" s="35">
        <f>IF(AND(C1961="Grayson Coulter",G1961&gt;='00_Control'!$B$7),"YES","NO")</f>
        <v/>
      </c>
      <c r="AJ1961" s="33" t="inlineStr">
        <is>
          <t>OK</t>
        </is>
      </c>
    </row>
    <row r="1962">
      <c r="A1962" s="33" t="inlineStr">
        <is>
          <t>SM001958</t>
        </is>
      </c>
      <c r="B1962" s="33" t="inlineStr">
        <is>
          <t>SW004</t>
        </is>
      </c>
      <c r="C1962" s="33" t="inlineStr">
        <is>
          <t>Lubo Liu-Tchorbadjiyski</t>
        </is>
      </c>
      <c r="D1962" s="33" t="inlineStr">
        <is>
          <t>SwimCloud</t>
        </is>
      </c>
      <c r="E1962" s="33" t="inlineStr">
        <is>
          <t>3102544</t>
        </is>
      </c>
      <c r="F1962" s="33" t="inlineStr">
        <is>
          <t>104453794</t>
        </is>
      </c>
      <c r="G1962" s="51" t="n">
        <v>45128</v>
      </c>
      <c r="H1962" s="33" t="inlineStr">
        <is>
          <t>Illinois Age Group Championship</t>
        </is>
      </c>
      <c r="I1962" s="33" t="inlineStr">
        <is>
          <t>243210</t>
        </is>
      </c>
      <c r="J1962" s="33" t="inlineStr"/>
      <c r="K1962" s="33" t="inlineStr">
        <is>
          <t>FIN</t>
        </is>
      </c>
      <c r="L1962" s="35">
        <f>IF(K1962="FIN",3,IF(OR(K1962="SEM",K1962="SEMI"),2,IF(OR(K1962="PRE",K1962="HEAT"),1,IF(V1962="YES",4,2))))</f>
        <v/>
      </c>
      <c r="M1962" s="33" t="inlineStr">
        <is>
          <t>LCM</t>
        </is>
      </c>
      <c r="N1962" s="33" t="n">
        <v>200</v>
      </c>
      <c r="O1962" s="33" t="inlineStr">
        <is>
          <t>Free</t>
        </is>
      </c>
      <c r="P1962" s="33" t="inlineStr">
        <is>
          <t>200 Free</t>
        </is>
      </c>
      <c r="Q1962" s="33" t="inlineStr">
        <is>
          <t>LCM_200_FREE</t>
        </is>
      </c>
      <c r="R1962" s="36" t="n">
        <v>141.92</v>
      </c>
      <c r="S1962" s="35">
        <f>IF(R1962="","",IF(R1962&gt;=60,INT(R1962/60)&amp;":"&amp;TEXT(MOD(R1962,60),"00.00"),TEXT(R1962,"0.00")))</f>
        <v/>
      </c>
      <c r="T1962" s="52">
        <f>IFERROR((G1962-INDEX('01_Swimmers'!$E$5:$E$22,MATCH(B1962,'01_Swimmers'!$A$5:$A$22,0)))/'00_Control'!$B$10,"")</f>
        <v/>
      </c>
      <c r="U1962" s="35">
        <f>IF(T1962="","",INT(T1962))</f>
        <v/>
      </c>
      <c r="V1962" s="33" t="inlineStr">
        <is>
          <t>NO</t>
        </is>
      </c>
      <c r="W1962" s="33" t="inlineStr">
        <is>
          <t>YES</t>
        </is>
      </c>
      <c r="X1962" s="33" t="inlineStr">
        <is>
          <t>NO</t>
        </is>
      </c>
      <c r="Y1962" s="33" t="n">
        <v>1</v>
      </c>
      <c r="Z1962" s="33" t="n">
        <v>7</v>
      </c>
      <c r="AA1962" s="33" t="inlineStr">
        <is>
          <t>15</t>
        </is>
      </c>
      <c r="AB1962" s="33" t="inlineStr">
        <is>
          <t>https://www.swimcloud.com/results/243210/event/44/?id=104453794#time104453794</t>
        </is>
      </c>
      <c r="AC1962" s="33" t="inlineStr">
        <is>
          <t>SwimCloud API v6 2026-10-08</t>
        </is>
      </c>
      <c r="AD1962" s="33" t="inlineStr">
        <is>
          <t>Lubo Liu-Tchorbadjiyski|2023-07-21|LCM|200|Free|141.92|Illinois Age Group Championship|FIN|False</t>
        </is>
      </c>
      <c r="AE1962" s="53">
        <f>G1962+L1962/1000+ROW()/1000000000</f>
        <v/>
      </c>
      <c r="AF1962" s="35">
        <f>IF(C1962&lt;&gt;"Grayson Coulter","",COUNTIFS($C$5:$C$2991,"Grayson Coulter",$Q$5:$Q$2991,Q1962,$AE$5:$AE$2991,"&lt;="&amp;AE1962,$R$5:$R$2991,"&lt;"&amp;R1962))</f>
        <v/>
      </c>
      <c r="AG1962" s="35">
        <f>IF(OR(C1962&lt;&gt;"Grayson Coulter",G1962&lt;'00_Control'!$B$7),"",--(AF1962&lt;5))</f>
        <v/>
      </c>
      <c r="AH1962" s="35">
        <f>IF(OR(C1962&lt;&gt;"Grayson Coulter",G1962&lt;'00_Control'!$B$7),"",--(AF1962&lt;10))</f>
        <v/>
      </c>
      <c r="AI1962" s="35">
        <f>IF(AND(C1962="Grayson Coulter",G1962&gt;='00_Control'!$B$7),"YES","NO")</f>
        <v/>
      </c>
      <c r="AJ1962" s="33" t="inlineStr">
        <is>
          <t>OK</t>
        </is>
      </c>
    </row>
    <row r="1963">
      <c r="A1963" s="33" t="inlineStr">
        <is>
          <t>SM001959</t>
        </is>
      </c>
      <c r="B1963" s="33" t="inlineStr">
        <is>
          <t>SW004</t>
        </is>
      </c>
      <c r="C1963" s="33" t="inlineStr">
        <is>
          <t>Lubo Liu-Tchorbadjiyski</t>
        </is>
      </c>
      <c r="D1963" s="33" t="inlineStr">
        <is>
          <t>SwimCloud</t>
        </is>
      </c>
      <c r="E1963" s="33" t="inlineStr">
        <is>
          <t>3102544</t>
        </is>
      </c>
      <c r="F1963" s="33" t="inlineStr">
        <is>
          <t>104456030</t>
        </is>
      </c>
      <c r="G1963" s="51" t="n">
        <v>45129</v>
      </c>
      <c r="H1963" s="33" t="inlineStr">
        <is>
          <t>Illinois Age Group Championship</t>
        </is>
      </c>
      <c r="I1963" s="33" t="inlineStr">
        <is>
          <t>243210</t>
        </is>
      </c>
      <c r="J1963" s="33" t="inlineStr"/>
      <c r="K1963" s="33" t="inlineStr">
        <is>
          <t>TIM</t>
        </is>
      </c>
      <c r="L1963" s="35">
        <f>IF(K1963="FIN",3,IF(OR(K1963="SEM",K1963="SEMI"),2,IF(OR(K1963="PRE",K1963="HEAT"),1,IF(V1963="YES",4,2))))</f>
        <v/>
      </c>
      <c r="M1963" s="33" t="inlineStr">
        <is>
          <t>LCM</t>
        </is>
      </c>
      <c r="N1963" s="33" t="n">
        <v>100</v>
      </c>
      <c r="O1963" s="33" t="inlineStr">
        <is>
          <t>Free</t>
        </is>
      </c>
      <c r="P1963" s="33" t="inlineStr">
        <is>
          <t>100 Free</t>
        </is>
      </c>
      <c r="Q1963" s="33" t="inlineStr">
        <is>
          <t>LCM_100_FREE</t>
        </is>
      </c>
      <c r="R1963" s="36" t="n">
        <v>63.92</v>
      </c>
      <c r="S1963" s="35">
        <f>IF(R1963="","",IF(R1963&gt;=60,INT(R1963/60)&amp;":"&amp;TEXT(MOD(R1963,60),"00.00"),TEXT(R1963,"0.00")))</f>
        <v/>
      </c>
      <c r="T1963" s="52">
        <f>IFERROR((G1963-INDEX('01_Swimmers'!$E$5:$E$22,MATCH(B1963,'01_Swimmers'!$A$5:$A$22,0)))/'00_Control'!$B$10,"")</f>
        <v/>
      </c>
      <c r="U1963" s="35">
        <f>IF(T1963="","",INT(T1963))</f>
        <v/>
      </c>
      <c r="V1963" s="33" t="inlineStr">
        <is>
          <t>YES</t>
        </is>
      </c>
      <c r="W1963" s="33" t="inlineStr">
        <is>
          <t>YES</t>
        </is>
      </c>
      <c r="X1963" s="33" t="inlineStr">
        <is>
          <t>NO</t>
        </is>
      </c>
      <c r="Y1963" s="33" t="n">
        <v>3</v>
      </c>
      <c r="Z1963" s="33" t="n">
        <v>9</v>
      </c>
      <c r="AA1963" s="33" t="inlineStr"/>
      <c r="AB1963" s="33" t="inlineStr">
        <is>
          <t>https://www.swimcloud.com/results/243210/event/80/?id=104454763#time104454763</t>
        </is>
      </c>
      <c r="AC1963" s="33" t="inlineStr">
        <is>
          <t>SwimCloud API v6 2026-10-08</t>
        </is>
      </c>
      <c r="AD1963" s="33" t="inlineStr">
        <is>
          <t>Lubo Liu-Tchorbadjiyski|2023-07-22|LCM|100|Free|63.92|Illinois Age Group Championship|TIM|True</t>
        </is>
      </c>
      <c r="AE1963" s="53">
        <f>G1963+L1963/1000+ROW()/1000000000</f>
        <v/>
      </c>
      <c r="AF1963" s="35">
        <f>IF(C1963&lt;&gt;"Grayson Coulter","",COUNTIFS($C$5:$C$2991,"Grayson Coulter",$Q$5:$Q$2991,Q1963,$AE$5:$AE$2991,"&lt;="&amp;AE1963,$R$5:$R$2991,"&lt;"&amp;R1963))</f>
        <v/>
      </c>
      <c r="AG1963" s="35">
        <f>IF(OR(C1963&lt;&gt;"Grayson Coulter",G1963&lt;'00_Control'!$B$7),"",--(AF1963&lt;5))</f>
        <v/>
      </c>
      <c r="AH1963" s="35">
        <f>IF(OR(C1963&lt;&gt;"Grayson Coulter",G1963&lt;'00_Control'!$B$7),"",--(AF1963&lt;10))</f>
        <v/>
      </c>
      <c r="AI1963" s="35">
        <f>IF(AND(C1963="Grayson Coulter",G1963&gt;='00_Control'!$B$7),"YES","NO")</f>
        <v/>
      </c>
      <c r="AJ1963" s="33" t="inlineStr">
        <is>
          <t>OK</t>
        </is>
      </c>
    </row>
    <row r="1964">
      <c r="A1964" s="33" t="inlineStr">
        <is>
          <t>SM001960</t>
        </is>
      </c>
      <c r="B1964" s="33" t="inlineStr">
        <is>
          <t>SW004</t>
        </is>
      </c>
      <c r="C1964" s="33" t="inlineStr">
        <is>
          <t>Lubo Liu-Tchorbadjiyski</t>
        </is>
      </c>
      <c r="D1964" s="33" t="inlineStr">
        <is>
          <t>SwimCloud</t>
        </is>
      </c>
      <c r="E1964" s="33" t="inlineStr">
        <is>
          <t>3102544</t>
        </is>
      </c>
      <c r="F1964" s="33" t="inlineStr">
        <is>
          <t>104454985</t>
        </is>
      </c>
      <c r="G1964" s="51" t="n">
        <v>45130</v>
      </c>
      <c r="H1964" s="33" t="inlineStr">
        <is>
          <t>Illinois Age Group Championship</t>
        </is>
      </c>
      <c r="I1964" s="33" t="inlineStr">
        <is>
          <t>243210</t>
        </is>
      </c>
      <c r="J1964" s="33" t="inlineStr"/>
      <c r="K1964" s="33" t="inlineStr">
        <is>
          <t>PRE</t>
        </is>
      </c>
      <c r="L1964" s="35">
        <f>IF(K1964="FIN",3,IF(OR(K1964="SEM",K1964="SEMI"),2,IF(OR(K1964="PRE",K1964="HEAT"),1,IF(V1964="YES",4,2))))</f>
        <v/>
      </c>
      <c r="M1964" s="33" t="inlineStr">
        <is>
          <t>LCM</t>
        </is>
      </c>
      <c r="N1964" s="33" t="n">
        <v>100</v>
      </c>
      <c r="O1964" s="33" t="inlineStr">
        <is>
          <t>Fly</t>
        </is>
      </c>
      <c r="P1964" s="33" t="inlineStr">
        <is>
          <t>100 Fly</t>
        </is>
      </c>
      <c r="Q1964" s="33" t="inlineStr">
        <is>
          <t>LCM_100_FLY</t>
        </is>
      </c>
      <c r="R1964" s="36" t="n">
        <v>69.34</v>
      </c>
      <c r="S1964" s="35">
        <f>IF(R1964="","",IF(R1964&gt;=60,INT(R1964/60)&amp;":"&amp;TEXT(MOD(R1964,60),"00.00"),TEXT(R1964,"0.00")))</f>
        <v/>
      </c>
      <c r="T1964" s="52">
        <f>IFERROR((G1964-INDEX('01_Swimmers'!$E$5:$E$22,MATCH(B1964,'01_Swimmers'!$A$5:$A$22,0)))/'00_Control'!$B$10,"")</f>
        <v/>
      </c>
      <c r="U1964" s="35">
        <f>IF(T1964="","",INT(T1964))</f>
        <v/>
      </c>
      <c r="V1964" s="33" t="inlineStr">
        <is>
          <t>NO</t>
        </is>
      </c>
      <c r="W1964" s="33" t="inlineStr">
        <is>
          <t>YES</t>
        </is>
      </c>
      <c r="X1964" s="33" t="inlineStr">
        <is>
          <t>NO</t>
        </is>
      </c>
      <c r="Y1964" s="33" t="n">
        <v>2</v>
      </c>
      <c r="Z1964" s="33" t="n">
        <v>6</v>
      </c>
      <c r="AA1964" s="33" t="inlineStr">
        <is>
          <t>5</t>
        </is>
      </c>
      <c r="AB1964" s="33" t="inlineStr">
        <is>
          <t>https://www.swimcloud.com/results/243210/event/84/?id=104454985#time104454985</t>
        </is>
      </c>
      <c r="AC1964" s="33" t="inlineStr">
        <is>
          <t>SwimCloud API v6 2026-10-08</t>
        </is>
      </c>
      <c r="AD1964" s="33" t="inlineStr">
        <is>
          <t>Lubo Liu-Tchorbadjiyski|2023-07-23|LCM|100|Fly|69.34|Illinois Age Group Championship|PRE|False</t>
        </is>
      </c>
      <c r="AE1964" s="53">
        <f>G1964+L1964/1000+ROW()/1000000000</f>
        <v/>
      </c>
      <c r="AF1964" s="35">
        <f>IF(C1964&lt;&gt;"Grayson Coulter","",COUNTIFS($C$5:$C$2991,"Grayson Coulter",$Q$5:$Q$2991,Q1964,$AE$5:$AE$2991,"&lt;="&amp;AE1964,$R$5:$R$2991,"&lt;"&amp;R1964))</f>
        <v/>
      </c>
      <c r="AG1964" s="35">
        <f>IF(OR(C1964&lt;&gt;"Grayson Coulter",G1964&lt;'00_Control'!$B$7),"",--(AF1964&lt;5))</f>
        <v/>
      </c>
      <c r="AH1964" s="35">
        <f>IF(OR(C1964&lt;&gt;"Grayson Coulter",G1964&lt;'00_Control'!$B$7),"",--(AF1964&lt;10))</f>
        <v/>
      </c>
      <c r="AI1964" s="35">
        <f>IF(AND(C1964="Grayson Coulter",G1964&gt;='00_Control'!$B$7),"YES","NO")</f>
        <v/>
      </c>
      <c r="AJ1964" s="33" t="inlineStr">
        <is>
          <t>OK</t>
        </is>
      </c>
    </row>
    <row r="1965">
      <c r="A1965" s="33" t="inlineStr">
        <is>
          <t>SM001961</t>
        </is>
      </c>
      <c r="B1965" s="33" t="inlineStr">
        <is>
          <t>SW004</t>
        </is>
      </c>
      <c r="C1965" s="33" t="inlineStr">
        <is>
          <t>Lubo Liu-Tchorbadjiyski</t>
        </is>
      </c>
      <c r="D1965" s="33" t="inlineStr">
        <is>
          <t>SwimCloud</t>
        </is>
      </c>
      <c r="E1965" s="33" t="inlineStr">
        <is>
          <t>3102544</t>
        </is>
      </c>
      <c r="F1965" s="33" t="inlineStr">
        <is>
          <t>104454986</t>
        </is>
      </c>
      <c r="G1965" s="51" t="n">
        <v>45130</v>
      </c>
      <c r="H1965" s="33" t="inlineStr">
        <is>
          <t>Illinois Age Group Championship</t>
        </is>
      </c>
      <c r="I1965" s="33" t="inlineStr">
        <is>
          <t>243210</t>
        </is>
      </c>
      <c r="J1965" s="33" t="inlineStr"/>
      <c r="K1965" s="33" t="inlineStr">
        <is>
          <t>FIN</t>
        </is>
      </c>
      <c r="L1965" s="35">
        <f>IF(K1965="FIN",3,IF(OR(K1965="SEM",K1965="SEMI"),2,IF(OR(K1965="PRE",K1965="HEAT"),1,IF(V1965="YES",4,2))))</f>
        <v/>
      </c>
      <c r="M1965" s="33" t="inlineStr">
        <is>
          <t>LCM</t>
        </is>
      </c>
      <c r="N1965" s="33" t="n">
        <v>100</v>
      </c>
      <c r="O1965" s="33" t="inlineStr">
        <is>
          <t>Fly</t>
        </is>
      </c>
      <c r="P1965" s="33" t="inlineStr">
        <is>
          <t>100 Fly</t>
        </is>
      </c>
      <c r="Q1965" s="33" t="inlineStr">
        <is>
          <t>LCM_100_FLY</t>
        </is>
      </c>
      <c r="R1965" s="36" t="n">
        <v>67.77</v>
      </c>
      <c r="S1965" s="35">
        <f>IF(R1965="","",IF(R1965&gt;=60,INT(R1965/60)&amp;":"&amp;TEXT(MOD(R1965,60),"00.00"),TEXT(R1965,"0.00")))</f>
        <v/>
      </c>
      <c r="T1965" s="52">
        <f>IFERROR((G1965-INDEX('01_Swimmers'!$E$5:$E$22,MATCH(B1965,'01_Swimmers'!$A$5:$A$22,0)))/'00_Control'!$B$10,"")</f>
        <v/>
      </c>
      <c r="U1965" s="35">
        <f>IF(T1965="","",INT(T1965))</f>
        <v/>
      </c>
      <c r="V1965" s="33" t="inlineStr">
        <is>
          <t>NO</t>
        </is>
      </c>
      <c r="W1965" s="33" t="inlineStr">
        <is>
          <t>YES</t>
        </is>
      </c>
      <c r="X1965" s="33" t="inlineStr">
        <is>
          <t>NO</t>
        </is>
      </c>
      <c r="Y1965" s="33" t="n">
        <v>2</v>
      </c>
      <c r="Z1965" s="33" t="n">
        <v>3</v>
      </c>
      <c r="AA1965" s="33" t="inlineStr">
        <is>
          <t>4</t>
        </is>
      </c>
      <c r="AB1965" s="33" t="inlineStr">
        <is>
          <t>https://www.swimcloud.com/results/243210/event/84/?id=104454986#time104454986</t>
        </is>
      </c>
      <c r="AC1965" s="33" t="inlineStr">
        <is>
          <t>SwimCloud API v6 2026-10-08</t>
        </is>
      </c>
      <c r="AD1965" s="33" t="inlineStr">
        <is>
          <t>Lubo Liu-Tchorbadjiyski|2023-07-23|LCM|100|Fly|67.77|Illinois Age Group Championship|FIN|False</t>
        </is>
      </c>
      <c r="AE1965" s="53">
        <f>G1965+L1965/1000+ROW()/1000000000</f>
        <v/>
      </c>
      <c r="AF1965" s="35">
        <f>IF(C1965&lt;&gt;"Grayson Coulter","",COUNTIFS($C$5:$C$2991,"Grayson Coulter",$Q$5:$Q$2991,Q1965,$AE$5:$AE$2991,"&lt;="&amp;AE1965,$R$5:$R$2991,"&lt;"&amp;R1965))</f>
        <v/>
      </c>
      <c r="AG1965" s="35">
        <f>IF(OR(C1965&lt;&gt;"Grayson Coulter",G1965&lt;'00_Control'!$B$7),"",--(AF1965&lt;5))</f>
        <v/>
      </c>
      <c r="AH1965" s="35">
        <f>IF(OR(C1965&lt;&gt;"Grayson Coulter",G1965&lt;'00_Control'!$B$7),"",--(AF1965&lt;10))</f>
        <v/>
      </c>
      <c r="AI1965" s="35">
        <f>IF(AND(C1965="Grayson Coulter",G1965&gt;='00_Control'!$B$7),"YES","NO")</f>
        <v/>
      </c>
      <c r="AJ1965" s="33" t="inlineStr">
        <is>
          <t>OK</t>
        </is>
      </c>
    </row>
    <row r="1966">
      <c r="A1966" s="33" t="inlineStr">
        <is>
          <t>SM001962</t>
        </is>
      </c>
      <c r="B1966" s="33" t="inlineStr">
        <is>
          <t>SW004</t>
        </is>
      </c>
      <c r="C1966" s="33" t="inlineStr">
        <is>
          <t>Lubo Liu-Tchorbadjiyski</t>
        </is>
      </c>
      <c r="D1966" s="33" t="inlineStr">
        <is>
          <t>SwimCloud</t>
        </is>
      </c>
      <c r="E1966" s="33" t="inlineStr">
        <is>
          <t>3102544</t>
        </is>
      </c>
      <c r="F1966" s="33" t="inlineStr">
        <is>
          <t>105397288</t>
        </is>
      </c>
      <c r="G1966" s="51" t="n">
        <v>45142</v>
      </c>
      <c r="H1966" s="33" t="inlineStr">
        <is>
          <t>Central Zone 14 &amp; U Championship</t>
        </is>
      </c>
      <c r="I1966" s="33" t="inlineStr">
        <is>
          <t>238882</t>
        </is>
      </c>
      <c r="J1966" s="33" t="inlineStr"/>
      <c r="K1966" s="33" t="inlineStr">
        <is>
          <t>PRE</t>
        </is>
      </c>
      <c r="L1966" s="35">
        <f>IF(K1966="FIN",3,IF(OR(K1966="SEM",K1966="SEMI"),2,IF(OR(K1966="PRE",K1966="HEAT"),1,IF(V1966="YES",4,2))))</f>
        <v/>
      </c>
      <c r="M1966" s="33" t="inlineStr">
        <is>
          <t>LCM</t>
        </is>
      </c>
      <c r="N1966" s="33" t="n">
        <v>100</v>
      </c>
      <c r="O1966" s="33" t="inlineStr">
        <is>
          <t>Free</t>
        </is>
      </c>
      <c r="P1966" s="33" t="inlineStr">
        <is>
          <t>100 Free</t>
        </is>
      </c>
      <c r="Q1966" s="33" t="inlineStr">
        <is>
          <t>LCM_100_FREE</t>
        </is>
      </c>
      <c r="R1966" s="36" t="n">
        <v>63.8</v>
      </c>
      <c r="S1966" s="35">
        <f>IF(R1966="","",IF(R1966&gt;=60,INT(R1966/60)&amp;":"&amp;TEXT(MOD(R1966,60),"00.00"),TEXT(R1966,"0.00")))</f>
        <v/>
      </c>
      <c r="T1966" s="52">
        <f>IFERROR((G1966-INDEX('01_Swimmers'!$E$5:$E$22,MATCH(B1966,'01_Swimmers'!$A$5:$A$22,0)))/'00_Control'!$B$10,"")</f>
        <v/>
      </c>
      <c r="U1966" s="35">
        <f>IF(T1966="","",INT(T1966))</f>
        <v/>
      </c>
      <c r="V1966" s="33" t="inlineStr">
        <is>
          <t>NO</t>
        </is>
      </c>
      <c r="W1966" s="33" t="inlineStr">
        <is>
          <t>YES</t>
        </is>
      </c>
      <c r="X1966" s="33" t="inlineStr">
        <is>
          <t>NO</t>
        </is>
      </c>
      <c r="Y1966" s="33" t="n">
        <v>4</v>
      </c>
      <c r="Z1966" s="33" t="n">
        <v>7</v>
      </c>
      <c r="AA1966" s="33" t="inlineStr">
        <is>
          <t>16</t>
        </is>
      </c>
      <c r="AB1966" s="33" t="inlineStr">
        <is>
          <t>https://www.swimcloud.com/results/238882/event/218/?id=105397288#time105397288</t>
        </is>
      </c>
      <c r="AC1966" s="33" t="inlineStr">
        <is>
          <t>SwimCloud API v6 2026-10-08</t>
        </is>
      </c>
      <c r="AD1966" s="33" t="inlineStr">
        <is>
          <t>Lubo Liu-Tchorbadjiyski|2023-08-04|LCM|100|Free|63.8|Central Zone 14 &amp; U Championship|PRE|False</t>
        </is>
      </c>
      <c r="AE1966" s="53">
        <f>G1966+L1966/1000+ROW()/1000000000</f>
        <v/>
      </c>
      <c r="AF1966" s="35">
        <f>IF(C1966&lt;&gt;"Grayson Coulter","",COUNTIFS($C$5:$C$2991,"Grayson Coulter",$Q$5:$Q$2991,Q1966,$AE$5:$AE$2991,"&lt;="&amp;AE1966,$R$5:$R$2991,"&lt;"&amp;R1966))</f>
        <v/>
      </c>
      <c r="AG1966" s="35">
        <f>IF(OR(C1966&lt;&gt;"Grayson Coulter",G1966&lt;'00_Control'!$B$7),"",--(AF1966&lt;5))</f>
        <v/>
      </c>
      <c r="AH1966" s="35">
        <f>IF(OR(C1966&lt;&gt;"Grayson Coulter",G1966&lt;'00_Control'!$B$7),"",--(AF1966&lt;10))</f>
        <v/>
      </c>
      <c r="AI1966" s="35">
        <f>IF(AND(C1966="Grayson Coulter",G1966&gt;='00_Control'!$B$7),"YES","NO")</f>
        <v/>
      </c>
      <c r="AJ1966" s="33" t="inlineStr">
        <is>
          <t>OK</t>
        </is>
      </c>
    </row>
    <row r="1967">
      <c r="A1967" s="33" t="inlineStr">
        <is>
          <t>SM001963</t>
        </is>
      </c>
      <c r="B1967" s="33" t="inlineStr">
        <is>
          <t>SW004</t>
        </is>
      </c>
      <c r="C1967" s="33" t="inlineStr">
        <is>
          <t>Lubo Liu-Tchorbadjiyski</t>
        </is>
      </c>
      <c r="D1967" s="33" t="inlineStr">
        <is>
          <t>SwimCloud</t>
        </is>
      </c>
      <c r="E1967" s="33" t="inlineStr">
        <is>
          <t>3102544</t>
        </is>
      </c>
      <c r="F1967" s="33" t="inlineStr">
        <is>
          <t>105397289</t>
        </is>
      </c>
      <c r="G1967" s="51" t="n">
        <v>45142</v>
      </c>
      <c r="H1967" s="33" t="inlineStr">
        <is>
          <t>Central Zone 14 &amp; U Championship</t>
        </is>
      </c>
      <c r="I1967" s="33" t="inlineStr">
        <is>
          <t>238882</t>
        </is>
      </c>
      <c r="J1967" s="33" t="inlineStr"/>
      <c r="K1967" s="33" t="inlineStr">
        <is>
          <t>FIN</t>
        </is>
      </c>
      <c r="L1967" s="35">
        <f>IF(K1967="FIN",3,IF(OR(K1967="SEM",K1967="SEMI"),2,IF(OR(K1967="PRE",K1967="HEAT"),1,IF(V1967="YES",4,2))))</f>
        <v/>
      </c>
      <c r="M1967" s="33" t="inlineStr">
        <is>
          <t>LCM</t>
        </is>
      </c>
      <c r="N1967" s="33" t="n">
        <v>100</v>
      </c>
      <c r="O1967" s="33" t="inlineStr">
        <is>
          <t>Free</t>
        </is>
      </c>
      <c r="P1967" s="33" t="inlineStr">
        <is>
          <t>100 Free</t>
        </is>
      </c>
      <c r="Q1967" s="33" t="inlineStr">
        <is>
          <t>LCM_100_FREE</t>
        </is>
      </c>
      <c r="R1967" s="36" t="n">
        <v>62.56</v>
      </c>
      <c r="S1967" s="35">
        <f>IF(R1967="","",IF(R1967&gt;=60,INT(R1967/60)&amp;":"&amp;TEXT(MOD(R1967,60),"00.00"),TEXT(R1967,"0.00")))</f>
        <v/>
      </c>
      <c r="T1967" s="52">
        <f>IFERROR((G1967-INDEX('01_Swimmers'!$E$5:$E$22,MATCH(B1967,'01_Swimmers'!$A$5:$A$22,0)))/'00_Control'!$B$10,"")</f>
        <v/>
      </c>
      <c r="U1967" s="35">
        <f>IF(T1967="","",INT(T1967))</f>
        <v/>
      </c>
      <c r="V1967" s="33" t="inlineStr">
        <is>
          <t>NO</t>
        </is>
      </c>
      <c r="W1967" s="33" t="inlineStr">
        <is>
          <t>YES</t>
        </is>
      </c>
      <c r="X1967" s="33" t="inlineStr">
        <is>
          <t>NO</t>
        </is>
      </c>
      <c r="Y1967" s="33" t="n">
        <v>1</v>
      </c>
      <c r="Z1967" s="33" t="n">
        <v>8</v>
      </c>
      <c r="AA1967" s="33" t="inlineStr">
        <is>
          <t>9</t>
        </is>
      </c>
      <c r="AB1967" s="33" t="inlineStr">
        <is>
          <t>https://www.swimcloud.com/results/238882/event/218/?id=105397289#time105397289</t>
        </is>
      </c>
      <c r="AC1967" s="33" t="inlineStr">
        <is>
          <t>SwimCloud API v6 2026-10-08</t>
        </is>
      </c>
      <c r="AD1967" s="33" t="inlineStr">
        <is>
          <t>Lubo Liu-Tchorbadjiyski|2023-08-04|LCM|100|Free|62.56|Central Zone 14 &amp; U Championship|FIN|False</t>
        </is>
      </c>
      <c r="AE1967" s="53">
        <f>G1967+L1967/1000+ROW()/1000000000</f>
        <v/>
      </c>
      <c r="AF1967" s="35">
        <f>IF(C1967&lt;&gt;"Grayson Coulter","",COUNTIFS($C$5:$C$2991,"Grayson Coulter",$Q$5:$Q$2991,Q1967,$AE$5:$AE$2991,"&lt;="&amp;AE1967,$R$5:$R$2991,"&lt;"&amp;R1967))</f>
        <v/>
      </c>
      <c r="AG1967" s="35">
        <f>IF(OR(C1967&lt;&gt;"Grayson Coulter",G1967&lt;'00_Control'!$B$7),"",--(AF1967&lt;5))</f>
        <v/>
      </c>
      <c r="AH1967" s="35">
        <f>IF(OR(C1967&lt;&gt;"Grayson Coulter",G1967&lt;'00_Control'!$B$7),"",--(AF1967&lt;10))</f>
        <v/>
      </c>
      <c r="AI1967" s="35">
        <f>IF(AND(C1967="Grayson Coulter",G1967&gt;='00_Control'!$B$7),"YES","NO")</f>
        <v/>
      </c>
      <c r="AJ1967" s="33" t="inlineStr">
        <is>
          <t>OK</t>
        </is>
      </c>
    </row>
    <row r="1968">
      <c r="A1968" s="33" t="inlineStr">
        <is>
          <t>SM001964</t>
        </is>
      </c>
      <c r="B1968" s="33" t="inlineStr">
        <is>
          <t>SW004</t>
        </is>
      </c>
      <c r="C1968" s="33" t="inlineStr">
        <is>
          <t>Lubo Liu-Tchorbadjiyski</t>
        </is>
      </c>
      <c r="D1968" s="33" t="inlineStr">
        <is>
          <t>SwimCloud</t>
        </is>
      </c>
      <c r="E1968" s="33" t="inlineStr">
        <is>
          <t>3102544</t>
        </is>
      </c>
      <c r="F1968" s="33" t="inlineStr">
        <is>
          <t>105397935</t>
        </is>
      </c>
      <c r="G1968" s="51" t="n">
        <v>45144</v>
      </c>
      <c r="H1968" s="33" t="inlineStr">
        <is>
          <t>Central Zone 14 &amp; U Championship</t>
        </is>
      </c>
      <c r="I1968" s="33" t="inlineStr">
        <is>
          <t>238882</t>
        </is>
      </c>
      <c r="J1968" s="33" t="inlineStr"/>
      <c r="K1968" s="33" t="inlineStr">
        <is>
          <t>TIM</t>
        </is>
      </c>
      <c r="L1968" s="35">
        <f>IF(K1968="FIN",3,IF(OR(K1968="SEM",K1968="SEMI"),2,IF(OR(K1968="PRE",K1968="HEAT"),1,IF(V1968="YES",4,2))))</f>
        <v/>
      </c>
      <c r="M1968" s="33" t="inlineStr">
        <is>
          <t>LCM</t>
        </is>
      </c>
      <c r="N1968" s="33" t="n">
        <v>100</v>
      </c>
      <c r="O1968" s="33" t="inlineStr">
        <is>
          <t>Fly</t>
        </is>
      </c>
      <c r="P1968" s="33" t="inlineStr">
        <is>
          <t>100 Fly</t>
        </is>
      </c>
      <c r="Q1968" s="33" t="inlineStr">
        <is>
          <t>LCM_100_FLY</t>
        </is>
      </c>
      <c r="R1968" s="36" t="n">
        <v>69.8</v>
      </c>
      <c r="S1968" s="35">
        <f>IF(R1968="","",IF(R1968&gt;=60,INT(R1968/60)&amp;":"&amp;TEXT(MOD(R1968,60),"00.00"),TEXT(R1968,"0.00")))</f>
        <v/>
      </c>
      <c r="T1968" s="52">
        <f>IFERROR((G1968-INDEX('01_Swimmers'!$E$5:$E$22,MATCH(B1968,'01_Swimmers'!$A$5:$A$22,0)))/'00_Control'!$B$10,"")</f>
        <v/>
      </c>
      <c r="U1968" s="35">
        <f>IF(T1968="","",INT(T1968))</f>
        <v/>
      </c>
      <c r="V1968" s="33" t="inlineStr">
        <is>
          <t>NO</t>
        </is>
      </c>
      <c r="W1968" s="33" t="inlineStr">
        <is>
          <t>YES</t>
        </is>
      </c>
      <c r="X1968" s="33" t="inlineStr">
        <is>
          <t>NO</t>
        </is>
      </c>
      <c r="Y1968" s="33" t="n">
        <v>4</v>
      </c>
      <c r="Z1968" s="33" t="n">
        <v>2</v>
      </c>
      <c r="AA1968" s="33" t="inlineStr">
        <is>
          <t>7</t>
        </is>
      </c>
      <c r="AB1968" s="33" t="inlineStr">
        <is>
          <t>https://www.swimcloud.com/results/238882/event/406/?id=105397935#time105397935</t>
        </is>
      </c>
      <c r="AC1968" s="33" t="inlineStr">
        <is>
          <t>SwimCloud API v6 2026-10-08</t>
        </is>
      </c>
      <c r="AD1968" s="33" t="inlineStr">
        <is>
          <t>Lubo Liu-Tchorbadjiyski|2023-08-06|LCM|100|Fly|69.8|Central Zone 14 &amp; U Championship|TIM|False</t>
        </is>
      </c>
      <c r="AE1968" s="53">
        <f>G1968+L1968/1000+ROW()/1000000000</f>
        <v/>
      </c>
      <c r="AF1968" s="35">
        <f>IF(C1968&lt;&gt;"Grayson Coulter","",COUNTIFS($C$5:$C$2991,"Grayson Coulter",$Q$5:$Q$2991,Q1968,$AE$5:$AE$2991,"&lt;="&amp;AE1968,$R$5:$R$2991,"&lt;"&amp;R1968))</f>
        <v/>
      </c>
      <c r="AG1968" s="35">
        <f>IF(OR(C1968&lt;&gt;"Grayson Coulter",G1968&lt;'00_Control'!$B$7),"",--(AF1968&lt;5))</f>
        <v/>
      </c>
      <c r="AH1968" s="35">
        <f>IF(OR(C1968&lt;&gt;"Grayson Coulter",G1968&lt;'00_Control'!$B$7),"",--(AF1968&lt;10))</f>
        <v/>
      </c>
      <c r="AI1968" s="35">
        <f>IF(AND(C1968="Grayson Coulter",G1968&gt;='00_Control'!$B$7),"YES","NO")</f>
        <v/>
      </c>
      <c r="AJ1968" s="33" t="inlineStr">
        <is>
          <t>OK</t>
        </is>
      </c>
    </row>
    <row r="1969">
      <c r="A1969" s="33" t="inlineStr">
        <is>
          <t>SM001965</t>
        </is>
      </c>
      <c r="B1969" s="33" t="inlineStr">
        <is>
          <t>SW004</t>
        </is>
      </c>
      <c r="C1969" s="33" t="inlineStr">
        <is>
          <t>Lubo Liu-Tchorbadjiyski</t>
        </is>
      </c>
      <c r="D1969" s="33" t="inlineStr">
        <is>
          <t>SwimCloud</t>
        </is>
      </c>
      <c r="E1969" s="33" t="inlineStr">
        <is>
          <t>3102544</t>
        </is>
      </c>
      <c r="F1969" s="33" t="inlineStr">
        <is>
          <t>125854371</t>
        </is>
      </c>
      <c r="G1969" s="51" t="n">
        <v>45423</v>
      </c>
      <c r="H1969" s="33" t="inlineStr">
        <is>
          <t>IL BDSC May Mania</t>
        </is>
      </c>
      <c r="I1969" s="33" t="inlineStr">
        <is>
          <t>303841</t>
        </is>
      </c>
      <c r="J1969" s="33" t="inlineStr"/>
      <c r="K1969" s="33" t="inlineStr">
        <is>
          <t>TIM</t>
        </is>
      </c>
      <c r="L1969" s="35">
        <f>IF(K1969="FIN",3,IF(OR(K1969="SEM",K1969="SEMI"),2,IF(OR(K1969="PRE",K1969="HEAT"),1,IF(V1969="YES",4,2))))</f>
        <v/>
      </c>
      <c r="M1969" s="33" t="inlineStr">
        <is>
          <t>LCM</t>
        </is>
      </c>
      <c r="N1969" s="33" t="n">
        <v>100</v>
      </c>
      <c r="O1969" s="33" t="inlineStr">
        <is>
          <t>Fly</t>
        </is>
      </c>
      <c r="P1969" s="33" t="inlineStr">
        <is>
          <t>100 Fly</t>
        </is>
      </c>
      <c r="Q1969" s="33" t="inlineStr">
        <is>
          <t>LCM_100_FLY</t>
        </is>
      </c>
      <c r="R1969" s="36" t="n">
        <v>70.27</v>
      </c>
      <c r="S1969" s="35">
        <f>IF(R1969="","",IF(R1969&gt;=60,INT(R1969/60)&amp;":"&amp;TEXT(MOD(R1969,60),"00.00"),TEXT(R1969,"0.00")))</f>
        <v/>
      </c>
      <c r="T1969" s="52">
        <f>IFERROR((G1969-INDEX('01_Swimmers'!$E$5:$E$22,MATCH(B1969,'01_Swimmers'!$A$5:$A$22,0)))/'00_Control'!$B$10,"")</f>
        <v/>
      </c>
      <c r="U1969" s="35">
        <f>IF(T1969="","",INT(T1969))</f>
        <v/>
      </c>
      <c r="V1969" s="33" t="inlineStr">
        <is>
          <t>NO</t>
        </is>
      </c>
      <c r="W1969" s="33" t="inlineStr">
        <is>
          <t>YES</t>
        </is>
      </c>
      <c r="X1969" s="33" t="inlineStr">
        <is>
          <t>NO</t>
        </is>
      </c>
      <c r="Y1969" s="33" t="n">
        <v>3</v>
      </c>
      <c r="Z1969" s="33" t="n">
        <v>5</v>
      </c>
      <c r="AA1969" s="33" t="inlineStr">
        <is>
          <t>2</t>
        </is>
      </c>
      <c r="AB1969" s="33" t="inlineStr">
        <is>
          <t>https://www.swimcloud.com/results/303841/event/44/?id=125854371#time125854371</t>
        </is>
      </c>
      <c r="AC1969" s="33" t="inlineStr">
        <is>
          <t>SwimCloud API v6 2026-10-08</t>
        </is>
      </c>
      <c r="AD1969" s="33" t="inlineStr">
        <is>
          <t>Lubo Liu-Tchorbadjiyski|2024-05-11|LCM|100|Fly|70.27|IL BDSC May Mania|TIM|False</t>
        </is>
      </c>
      <c r="AE1969" s="53">
        <f>G1969+L1969/1000+ROW()/1000000000</f>
        <v/>
      </c>
      <c r="AF1969" s="35">
        <f>IF(C1969&lt;&gt;"Grayson Coulter","",COUNTIFS($C$5:$C$2991,"Grayson Coulter",$Q$5:$Q$2991,Q1969,$AE$5:$AE$2991,"&lt;="&amp;AE1969,$R$5:$R$2991,"&lt;"&amp;R1969))</f>
        <v/>
      </c>
      <c r="AG1969" s="35">
        <f>IF(OR(C1969&lt;&gt;"Grayson Coulter",G1969&lt;'00_Control'!$B$7),"",--(AF1969&lt;5))</f>
        <v/>
      </c>
      <c r="AH1969" s="35">
        <f>IF(OR(C1969&lt;&gt;"Grayson Coulter",G1969&lt;'00_Control'!$B$7),"",--(AF1969&lt;10))</f>
        <v/>
      </c>
      <c r="AI1969" s="35">
        <f>IF(AND(C1969="Grayson Coulter",G1969&gt;='00_Control'!$B$7),"YES","NO")</f>
        <v/>
      </c>
      <c r="AJ1969" s="33" t="inlineStr">
        <is>
          <t>OK</t>
        </is>
      </c>
    </row>
    <row r="1970">
      <c r="A1970" s="33" t="inlineStr">
        <is>
          <t>SM001966</t>
        </is>
      </c>
      <c r="B1970" s="33" t="inlineStr">
        <is>
          <t>SW004</t>
        </is>
      </c>
      <c r="C1970" s="33" t="inlineStr">
        <is>
          <t>Lubo Liu-Tchorbadjiyski</t>
        </is>
      </c>
      <c r="D1970" s="33" t="inlineStr">
        <is>
          <t>SwimCloud</t>
        </is>
      </c>
      <c r="E1970" s="33" t="inlineStr">
        <is>
          <t>3102544</t>
        </is>
      </c>
      <c r="F1970" s="33" t="inlineStr">
        <is>
          <t>125854334</t>
        </is>
      </c>
      <c r="G1970" s="51" t="n">
        <v>45423</v>
      </c>
      <c r="H1970" s="33" t="inlineStr">
        <is>
          <t>IL BDSC May Mania</t>
        </is>
      </c>
      <c r="I1970" s="33" t="inlineStr">
        <is>
          <t>303841</t>
        </is>
      </c>
      <c r="J1970" s="33" t="inlineStr"/>
      <c r="K1970" s="33" t="inlineStr">
        <is>
          <t>TIM</t>
        </is>
      </c>
      <c r="L1970" s="35">
        <f>IF(K1970="FIN",3,IF(OR(K1970="SEM",K1970="SEMI"),2,IF(OR(K1970="PRE",K1970="HEAT"),1,IF(V1970="YES",4,2))))</f>
        <v/>
      </c>
      <c r="M1970" s="33" t="inlineStr">
        <is>
          <t>LCM</t>
        </is>
      </c>
      <c r="N1970" s="33" t="n">
        <v>100</v>
      </c>
      <c r="O1970" s="33" t="inlineStr">
        <is>
          <t>Free</t>
        </is>
      </c>
      <c r="P1970" s="33" t="inlineStr">
        <is>
          <t>100 Free</t>
        </is>
      </c>
      <c r="Q1970" s="33" t="inlineStr">
        <is>
          <t>LCM_100_FREE</t>
        </is>
      </c>
      <c r="R1970" s="36" t="n">
        <v>61.4</v>
      </c>
      <c r="S1970" s="35">
        <f>IF(R1970="","",IF(R1970&gt;=60,INT(R1970/60)&amp;":"&amp;TEXT(MOD(R1970,60),"00.00"),TEXT(R1970,"0.00")))</f>
        <v/>
      </c>
      <c r="T1970" s="52">
        <f>IFERROR((G1970-INDEX('01_Swimmers'!$E$5:$E$22,MATCH(B1970,'01_Swimmers'!$A$5:$A$22,0)))/'00_Control'!$B$10,"")</f>
        <v/>
      </c>
      <c r="U1970" s="35">
        <f>IF(T1970="","",INT(T1970))</f>
        <v/>
      </c>
      <c r="V1970" s="33" t="inlineStr">
        <is>
          <t>NO</t>
        </is>
      </c>
      <c r="W1970" s="33" t="inlineStr">
        <is>
          <t>YES</t>
        </is>
      </c>
      <c r="X1970" s="33" t="inlineStr">
        <is>
          <t>NO</t>
        </is>
      </c>
      <c r="Y1970" s="33" t="n">
        <v>7</v>
      </c>
      <c r="Z1970" s="33" t="n">
        <v>5</v>
      </c>
      <c r="AA1970" s="33" t="inlineStr">
        <is>
          <t>1</t>
        </is>
      </c>
      <c r="AB1970" s="33" t="inlineStr">
        <is>
          <t>https://www.swimcloud.com/results/303841/event/32/?id=125854334#time125854334</t>
        </is>
      </c>
      <c r="AC1970" s="33" t="inlineStr">
        <is>
          <t>SwimCloud API v6 2026-10-08</t>
        </is>
      </c>
      <c r="AD1970" s="33" t="inlineStr">
        <is>
          <t>Lubo Liu-Tchorbadjiyski|2024-05-11|LCM|100|Free|61.4|IL BDSC May Mania|TIM|False</t>
        </is>
      </c>
      <c r="AE1970" s="53">
        <f>G1970+L1970/1000+ROW()/1000000000</f>
        <v/>
      </c>
      <c r="AF1970" s="35">
        <f>IF(C1970&lt;&gt;"Grayson Coulter","",COUNTIFS($C$5:$C$2991,"Grayson Coulter",$Q$5:$Q$2991,Q1970,$AE$5:$AE$2991,"&lt;="&amp;AE1970,$R$5:$R$2991,"&lt;"&amp;R1970))</f>
        <v/>
      </c>
      <c r="AG1970" s="35">
        <f>IF(OR(C1970&lt;&gt;"Grayson Coulter",G1970&lt;'00_Control'!$B$7),"",--(AF1970&lt;5))</f>
        <v/>
      </c>
      <c r="AH1970" s="35">
        <f>IF(OR(C1970&lt;&gt;"Grayson Coulter",G1970&lt;'00_Control'!$B$7),"",--(AF1970&lt;10))</f>
        <v/>
      </c>
      <c r="AI1970" s="35">
        <f>IF(AND(C1970="Grayson Coulter",G1970&gt;='00_Control'!$B$7),"YES","NO")</f>
        <v/>
      </c>
      <c r="AJ1970" s="33" t="inlineStr">
        <is>
          <t>OK</t>
        </is>
      </c>
    </row>
    <row r="1971">
      <c r="A1971" s="33" t="inlineStr">
        <is>
          <t>SM001967</t>
        </is>
      </c>
      <c r="B1971" s="33" t="inlineStr">
        <is>
          <t>SW004</t>
        </is>
      </c>
      <c r="C1971" s="33" t="inlineStr">
        <is>
          <t>Lubo Liu-Tchorbadjiyski</t>
        </is>
      </c>
      <c r="D1971" s="33" t="inlineStr">
        <is>
          <t>SwimCloud</t>
        </is>
      </c>
      <c r="E1971" s="33" t="inlineStr">
        <is>
          <t>3102544</t>
        </is>
      </c>
      <c r="F1971" s="33" t="inlineStr">
        <is>
          <t>125854454</t>
        </is>
      </c>
      <c r="G1971" s="51" t="n">
        <v>45424</v>
      </c>
      <c r="H1971" s="33" t="inlineStr">
        <is>
          <t>IL BDSC May Mania</t>
        </is>
      </c>
      <c r="I1971" s="33" t="inlineStr">
        <is>
          <t>303841</t>
        </is>
      </c>
      <c r="J1971" s="33" t="inlineStr"/>
      <c r="K1971" s="33" t="inlineStr">
        <is>
          <t>TIM</t>
        </is>
      </c>
      <c r="L1971" s="35">
        <f>IF(K1971="FIN",3,IF(OR(K1971="SEM",K1971="SEMI"),2,IF(OR(K1971="PRE",K1971="HEAT"),1,IF(V1971="YES",4,2))))</f>
        <v/>
      </c>
      <c r="M1971" s="33" t="inlineStr">
        <is>
          <t>LCM</t>
        </is>
      </c>
      <c r="N1971" s="33" t="n">
        <v>200</v>
      </c>
      <c r="O1971" s="33" t="inlineStr">
        <is>
          <t>Free</t>
        </is>
      </c>
      <c r="P1971" s="33" t="inlineStr">
        <is>
          <t>200 Free</t>
        </is>
      </c>
      <c r="Q1971" s="33" t="inlineStr">
        <is>
          <t>LCM_200_FREE</t>
        </is>
      </c>
      <c r="R1971" s="36" t="n">
        <v>136.81</v>
      </c>
      <c r="S1971" s="35">
        <f>IF(R1971="","",IF(R1971&gt;=60,INT(R1971/60)&amp;":"&amp;TEXT(MOD(R1971,60),"00.00"),TEXT(R1971,"0.00")))</f>
        <v/>
      </c>
      <c r="T1971" s="52">
        <f>IFERROR((G1971-INDEX('01_Swimmers'!$E$5:$E$22,MATCH(B1971,'01_Swimmers'!$A$5:$A$22,0)))/'00_Control'!$B$10,"")</f>
        <v/>
      </c>
      <c r="U1971" s="35">
        <f>IF(T1971="","",INT(T1971))</f>
        <v/>
      </c>
      <c r="V1971" s="33" t="inlineStr">
        <is>
          <t>NO</t>
        </is>
      </c>
      <c r="W1971" s="33" t="inlineStr">
        <is>
          <t>YES</t>
        </is>
      </c>
      <c r="X1971" s="33" t="inlineStr">
        <is>
          <t>NO</t>
        </is>
      </c>
      <c r="Y1971" s="33" t="n">
        <v>5</v>
      </c>
      <c r="Z1971" s="33" t="n">
        <v>5</v>
      </c>
      <c r="AA1971" s="33" t="inlineStr">
        <is>
          <t>1</t>
        </is>
      </c>
      <c r="AB1971" s="33" t="inlineStr">
        <is>
          <t>https://www.swimcloud.com/results/303841/event/70/?id=125854454#time125854454</t>
        </is>
      </c>
      <c r="AC1971" s="33" t="inlineStr">
        <is>
          <t>SwimCloud API v6 2026-10-08</t>
        </is>
      </c>
      <c r="AD1971" s="33" t="inlineStr">
        <is>
          <t>Lubo Liu-Tchorbadjiyski|2024-05-12|LCM|200|Free|136.81|IL BDSC May Mania|TIM|False</t>
        </is>
      </c>
      <c r="AE1971" s="53">
        <f>G1971+L1971/1000+ROW()/1000000000</f>
        <v/>
      </c>
      <c r="AF1971" s="35">
        <f>IF(C1971&lt;&gt;"Grayson Coulter","",COUNTIFS($C$5:$C$2991,"Grayson Coulter",$Q$5:$Q$2991,Q1971,$AE$5:$AE$2991,"&lt;="&amp;AE1971,$R$5:$R$2991,"&lt;"&amp;R1971))</f>
        <v/>
      </c>
      <c r="AG1971" s="35">
        <f>IF(OR(C1971&lt;&gt;"Grayson Coulter",G1971&lt;'00_Control'!$B$7),"",--(AF1971&lt;5))</f>
        <v/>
      </c>
      <c r="AH1971" s="35">
        <f>IF(OR(C1971&lt;&gt;"Grayson Coulter",G1971&lt;'00_Control'!$B$7),"",--(AF1971&lt;10))</f>
        <v/>
      </c>
      <c r="AI1971" s="35">
        <f>IF(AND(C1971="Grayson Coulter",G1971&gt;='00_Control'!$B$7),"YES","NO")</f>
        <v/>
      </c>
      <c r="AJ1971" s="33" t="inlineStr">
        <is>
          <t>OK</t>
        </is>
      </c>
    </row>
    <row r="1972">
      <c r="A1972" s="33" t="inlineStr">
        <is>
          <t>SM001968</t>
        </is>
      </c>
      <c r="B1972" s="33" t="inlineStr">
        <is>
          <t>SW004</t>
        </is>
      </c>
      <c r="C1972" s="33" t="inlineStr">
        <is>
          <t>Lubo Liu-Tchorbadjiyski</t>
        </is>
      </c>
      <c r="D1972" s="33" t="inlineStr">
        <is>
          <t>SwimCloud</t>
        </is>
      </c>
      <c r="E1972" s="33" t="inlineStr">
        <is>
          <t>3102544</t>
        </is>
      </c>
      <c r="F1972" s="33" t="inlineStr">
        <is>
          <t>126201226</t>
        </is>
      </c>
      <c r="G1972" s="51" t="n">
        <v>45429</v>
      </c>
      <c r="H1972" s="33" t="inlineStr">
        <is>
          <t>IL CWAC MAY MADNESS</t>
        </is>
      </c>
      <c r="I1972" s="33" t="inlineStr">
        <is>
          <t>303927</t>
        </is>
      </c>
      <c r="J1972" s="33" t="inlineStr"/>
      <c r="K1972" s="33" t="inlineStr">
        <is>
          <t>TIM</t>
        </is>
      </c>
      <c r="L1972" s="35">
        <f>IF(K1972="FIN",3,IF(OR(K1972="SEM",K1972="SEMI"),2,IF(OR(K1972="PRE",K1972="HEAT"),1,IF(V1972="YES",4,2))))</f>
        <v/>
      </c>
      <c r="M1972" s="33" t="inlineStr">
        <is>
          <t>LCM</t>
        </is>
      </c>
      <c r="N1972" s="33" t="n">
        <v>400</v>
      </c>
      <c r="O1972" s="33" t="inlineStr">
        <is>
          <t>Free</t>
        </is>
      </c>
      <c r="P1972" s="33" t="inlineStr">
        <is>
          <t>400 Free</t>
        </is>
      </c>
      <c r="Q1972" s="33" t="inlineStr">
        <is>
          <t>LCM_400_FREE</t>
        </is>
      </c>
      <c r="R1972" s="36" t="n">
        <v>290.43</v>
      </c>
      <c r="S1972" s="35">
        <f>IF(R1972="","",IF(R1972&gt;=60,INT(R1972/60)&amp;":"&amp;TEXT(MOD(R1972,60),"00.00"),TEXT(R1972,"0.00")))</f>
        <v/>
      </c>
      <c r="T1972" s="52">
        <f>IFERROR((G1972-INDEX('01_Swimmers'!$E$5:$E$22,MATCH(B1972,'01_Swimmers'!$A$5:$A$22,0)))/'00_Control'!$B$10,"")</f>
        <v/>
      </c>
      <c r="U1972" s="35">
        <f>IF(T1972="","",INT(T1972))</f>
        <v/>
      </c>
      <c r="V1972" s="33" t="inlineStr">
        <is>
          <t>NO</t>
        </is>
      </c>
      <c r="W1972" s="33" t="inlineStr">
        <is>
          <t>YES</t>
        </is>
      </c>
      <c r="X1972" s="33" t="inlineStr">
        <is>
          <t>NO</t>
        </is>
      </c>
      <c r="Y1972" s="33" t="n">
        <v>5</v>
      </c>
      <c r="Z1972" s="33" t="n">
        <v>5</v>
      </c>
      <c r="AA1972" s="33" t="inlineStr">
        <is>
          <t>20</t>
        </is>
      </c>
      <c r="AB1972" s="33" t="inlineStr">
        <is>
          <t>https://www.swimcloud.com/results/303927/event/4/?id=126201226#time126201226</t>
        </is>
      </c>
      <c r="AC1972" s="33" t="inlineStr">
        <is>
          <t>SwimCloud API v6 2026-10-08</t>
        </is>
      </c>
      <c r="AD1972" s="33" t="inlineStr">
        <is>
          <t>Lubo Liu-Tchorbadjiyski|2024-05-17|LCM|400|Free|290.43|IL CWAC MAY MADNESS|TIM|False</t>
        </is>
      </c>
      <c r="AE1972" s="53">
        <f>G1972+L1972/1000+ROW()/1000000000</f>
        <v/>
      </c>
      <c r="AF1972" s="35">
        <f>IF(C1972&lt;&gt;"Grayson Coulter","",COUNTIFS($C$5:$C$2991,"Grayson Coulter",$Q$5:$Q$2991,Q1972,$AE$5:$AE$2991,"&lt;="&amp;AE1972,$R$5:$R$2991,"&lt;"&amp;R1972))</f>
        <v/>
      </c>
      <c r="AG1972" s="35">
        <f>IF(OR(C1972&lt;&gt;"Grayson Coulter",G1972&lt;'00_Control'!$B$7),"",--(AF1972&lt;5))</f>
        <v/>
      </c>
      <c r="AH1972" s="35">
        <f>IF(OR(C1972&lt;&gt;"Grayson Coulter",G1972&lt;'00_Control'!$B$7),"",--(AF1972&lt;10))</f>
        <v/>
      </c>
      <c r="AI1972" s="35">
        <f>IF(AND(C1972="Grayson Coulter",G1972&gt;='00_Control'!$B$7),"YES","NO")</f>
        <v/>
      </c>
      <c r="AJ1972" s="33" t="inlineStr">
        <is>
          <t>OK</t>
        </is>
      </c>
    </row>
    <row r="1973">
      <c r="A1973" s="33" t="inlineStr">
        <is>
          <t>SM001969</t>
        </is>
      </c>
      <c r="B1973" s="33" t="inlineStr">
        <is>
          <t>SW004</t>
        </is>
      </c>
      <c r="C1973" s="33" t="inlineStr">
        <is>
          <t>Lubo Liu-Tchorbadjiyski</t>
        </is>
      </c>
      <c r="D1973" s="33" t="inlineStr">
        <is>
          <t>SwimCloud</t>
        </is>
      </c>
      <c r="E1973" s="33" t="inlineStr">
        <is>
          <t>3102544</t>
        </is>
      </c>
      <c r="F1973" s="33" t="inlineStr">
        <is>
          <t>126198661</t>
        </is>
      </c>
      <c r="G1973" s="51" t="n">
        <v>45430</v>
      </c>
      <c r="H1973" s="33" t="inlineStr">
        <is>
          <t>IL CWAC MAY MADNESS</t>
        </is>
      </c>
      <c r="I1973" s="33" t="inlineStr">
        <is>
          <t>303927</t>
        </is>
      </c>
      <c r="J1973" s="33" t="inlineStr"/>
      <c r="K1973" s="33" t="inlineStr">
        <is>
          <t>TIM</t>
        </is>
      </c>
      <c r="L1973" s="35">
        <f>IF(K1973="FIN",3,IF(OR(K1973="SEM",K1973="SEMI"),2,IF(OR(K1973="PRE",K1973="HEAT"),1,IF(V1973="YES",4,2))))</f>
        <v/>
      </c>
      <c r="M1973" s="33" t="inlineStr">
        <is>
          <t>LCM</t>
        </is>
      </c>
      <c r="N1973" s="33" t="n">
        <v>100</v>
      </c>
      <c r="O1973" s="33" t="inlineStr">
        <is>
          <t>Free</t>
        </is>
      </c>
      <c r="P1973" s="33" t="inlineStr">
        <is>
          <t>100 Free</t>
        </is>
      </c>
      <c r="Q1973" s="33" t="inlineStr">
        <is>
          <t>LCM_100_FREE</t>
        </is>
      </c>
      <c r="R1973" s="36" t="n">
        <v>61.38</v>
      </c>
      <c r="S1973" s="35">
        <f>IF(R1973="","",IF(R1973&gt;=60,INT(R1973/60)&amp;":"&amp;TEXT(MOD(R1973,60),"00.00"),TEXT(R1973,"0.00")))</f>
        <v/>
      </c>
      <c r="T1973" s="52">
        <f>IFERROR((G1973-INDEX('01_Swimmers'!$E$5:$E$22,MATCH(B1973,'01_Swimmers'!$A$5:$A$22,0)))/'00_Control'!$B$10,"")</f>
        <v/>
      </c>
      <c r="U1973" s="35">
        <f>IF(T1973="","",INT(T1973))</f>
        <v/>
      </c>
      <c r="V1973" s="33" t="inlineStr">
        <is>
          <t>NO</t>
        </is>
      </c>
      <c r="W1973" s="33" t="inlineStr">
        <is>
          <t>YES</t>
        </is>
      </c>
      <c r="X1973" s="33" t="inlineStr">
        <is>
          <t>NO</t>
        </is>
      </c>
      <c r="Y1973" s="33" t="n">
        <v>13</v>
      </c>
      <c r="Z1973" s="33" t="n">
        <v>5</v>
      </c>
      <c r="AA1973" s="33" t="inlineStr">
        <is>
          <t>27</t>
        </is>
      </c>
      <c r="AB1973" s="33" t="inlineStr">
        <is>
          <t>https://www.swimcloud.com/results/303927/event/30/?id=126198661#time126198661</t>
        </is>
      </c>
      <c r="AC1973" s="33" t="inlineStr">
        <is>
          <t>SwimCloud API v6 2026-10-08</t>
        </is>
      </c>
      <c r="AD1973" s="33" t="inlineStr">
        <is>
          <t>Lubo Liu-Tchorbadjiyski|2024-05-18|LCM|100|Free|61.38|IL CWAC MAY MADNESS|TIM|False</t>
        </is>
      </c>
      <c r="AE1973" s="53">
        <f>G1973+L1973/1000+ROW()/1000000000</f>
        <v/>
      </c>
      <c r="AF1973" s="35">
        <f>IF(C1973&lt;&gt;"Grayson Coulter","",COUNTIFS($C$5:$C$2991,"Grayson Coulter",$Q$5:$Q$2991,Q1973,$AE$5:$AE$2991,"&lt;="&amp;AE1973,$R$5:$R$2991,"&lt;"&amp;R1973))</f>
        <v/>
      </c>
      <c r="AG1973" s="35">
        <f>IF(OR(C1973&lt;&gt;"Grayson Coulter",G1973&lt;'00_Control'!$B$7),"",--(AF1973&lt;5))</f>
        <v/>
      </c>
      <c r="AH1973" s="35">
        <f>IF(OR(C1973&lt;&gt;"Grayson Coulter",G1973&lt;'00_Control'!$B$7),"",--(AF1973&lt;10))</f>
        <v/>
      </c>
      <c r="AI1973" s="35">
        <f>IF(AND(C1973="Grayson Coulter",G1973&gt;='00_Control'!$B$7),"YES","NO")</f>
        <v/>
      </c>
      <c r="AJ1973" s="33" t="inlineStr">
        <is>
          <t>OK</t>
        </is>
      </c>
    </row>
    <row r="1974">
      <c r="A1974" s="33" t="inlineStr">
        <is>
          <t>SM001970</t>
        </is>
      </c>
      <c r="B1974" s="33" t="inlineStr">
        <is>
          <t>SW004</t>
        </is>
      </c>
      <c r="C1974" s="33" t="inlineStr">
        <is>
          <t>Lubo Liu-Tchorbadjiyski</t>
        </is>
      </c>
      <c r="D1974" s="33" t="inlineStr">
        <is>
          <t>SwimCloud</t>
        </is>
      </c>
      <c r="E1974" s="33" t="inlineStr">
        <is>
          <t>3102544</t>
        </is>
      </c>
      <c r="F1974" s="33" t="inlineStr">
        <is>
          <t>126200995</t>
        </is>
      </c>
      <c r="G1974" s="51" t="n">
        <v>45431</v>
      </c>
      <c r="H1974" s="33" t="inlineStr">
        <is>
          <t>IL CWAC MAY MADNESS</t>
        </is>
      </c>
      <c r="I1974" s="33" t="inlineStr">
        <is>
          <t>303927</t>
        </is>
      </c>
      <c r="J1974" s="33" t="inlineStr"/>
      <c r="K1974" s="33" t="inlineStr">
        <is>
          <t>TIM</t>
        </is>
      </c>
      <c r="L1974" s="35">
        <f>IF(K1974="FIN",3,IF(OR(K1974="SEM",K1974="SEMI"),2,IF(OR(K1974="PRE",K1974="HEAT"),1,IF(V1974="YES",4,2))))</f>
        <v/>
      </c>
      <c r="M1974" s="33" t="inlineStr">
        <is>
          <t>LCM</t>
        </is>
      </c>
      <c r="N1974" s="33" t="n">
        <v>200</v>
      </c>
      <c r="O1974" s="33" t="inlineStr">
        <is>
          <t>Free</t>
        </is>
      </c>
      <c r="P1974" s="33" t="inlineStr">
        <is>
          <t>200 Free</t>
        </is>
      </c>
      <c r="Q1974" s="33" t="inlineStr">
        <is>
          <t>LCM_200_FREE</t>
        </is>
      </c>
      <c r="R1974" s="36" t="n">
        <v>134.79</v>
      </c>
      <c r="S1974" s="35">
        <f>IF(R1974="","",IF(R1974&gt;=60,INT(R1974/60)&amp;":"&amp;TEXT(MOD(R1974,60),"00.00"),TEXT(R1974,"0.00")))</f>
        <v/>
      </c>
      <c r="T1974" s="52">
        <f>IFERROR((G1974-INDEX('01_Swimmers'!$E$5:$E$22,MATCH(B1974,'01_Swimmers'!$A$5:$A$22,0)))/'00_Control'!$B$10,"")</f>
        <v/>
      </c>
      <c r="U1974" s="35">
        <f>IF(T1974="","",INT(T1974))</f>
        <v/>
      </c>
      <c r="V1974" s="33" t="inlineStr">
        <is>
          <t>NO</t>
        </is>
      </c>
      <c r="W1974" s="33" t="inlineStr">
        <is>
          <t>YES</t>
        </is>
      </c>
      <c r="X1974" s="33" t="inlineStr">
        <is>
          <t>NO</t>
        </is>
      </c>
      <c r="Y1974" s="33" t="n">
        <v>10</v>
      </c>
      <c r="Z1974" s="33" t="n">
        <v>6</v>
      </c>
      <c r="AA1974" s="33" t="inlineStr">
        <is>
          <t>24</t>
        </is>
      </c>
      <c r="AB1974" s="33" t="inlineStr">
        <is>
          <t>https://www.swimcloud.com/results/303927/event/54/?id=126200995#time126200995</t>
        </is>
      </c>
      <c r="AC1974" s="33" t="inlineStr">
        <is>
          <t>SwimCloud API v6 2026-10-08</t>
        </is>
      </c>
      <c r="AD1974" s="33" t="inlineStr">
        <is>
          <t>Lubo Liu-Tchorbadjiyski|2024-05-19|LCM|200|Free|134.79|IL CWAC MAY MADNESS|TIM|False</t>
        </is>
      </c>
      <c r="AE1974" s="53">
        <f>G1974+L1974/1000+ROW()/1000000000</f>
        <v/>
      </c>
      <c r="AF1974" s="35">
        <f>IF(C1974&lt;&gt;"Grayson Coulter","",COUNTIFS($C$5:$C$2991,"Grayson Coulter",$Q$5:$Q$2991,Q1974,$AE$5:$AE$2991,"&lt;="&amp;AE1974,$R$5:$R$2991,"&lt;"&amp;R1974))</f>
        <v/>
      </c>
      <c r="AG1974" s="35">
        <f>IF(OR(C1974&lt;&gt;"Grayson Coulter",G1974&lt;'00_Control'!$B$7),"",--(AF1974&lt;5))</f>
        <v/>
      </c>
      <c r="AH1974" s="35">
        <f>IF(OR(C1974&lt;&gt;"Grayson Coulter",G1974&lt;'00_Control'!$B$7),"",--(AF1974&lt;10))</f>
        <v/>
      </c>
      <c r="AI1974" s="35">
        <f>IF(AND(C1974="Grayson Coulter",G1974&gt;='00_Control'!$B$7),"YES","NO")</f>
        <v/>
      </c>
      <c r="AJ1974" s="33" t="inlineStr">
        <is>
          <t>OK</t>
        </is>
      </c>
    </row>
    <row r="1975">
      <c r="A1975" s="33" t="inlineStr">
        <is>
          <t>SM001971</t>
        </is>
      </c>
      <c r="B1975" s="33" t="inlineStr">
        <is>
          <t>SW004</t>
        </is>
      </c>
      <c r="C1975" s="33" t="inlineStr">
        <is>
          <t>Lubo Liu-Tchorbadjiyski</t>
        </is>
      </c>
      <c r="D1975" s="33" t="inlineStr">
        <is>
          <t>SwimCloud</t>
        </is>
      </c>
      <c r="E1975" s="33" t="inlineStr">
        <is>
          <t>3102544</t>
        </is>
      </c>
      <c r="F1975" s="33" t="inlineStr">
        <is>
          <t>126963621</t>
        </is>
      </c>
      <c r="G1975" s="51" t="n">
        <v>45443</v>
      </c>
      <c r="H1975" s="33" t="inlineStr">
        <is>
          <t>Gulf-Indiana-Illinois Duel in the Pool</t>
        </is>
      </c>
      <c r="I1975" s="33" t="inlineStr">
        <is>
          <t>304888</t>
        </is>
      </c>
      <c r="J1975" s="33" t="inlineStr"/>
      <c r="K1975" s="33" t="inlineStr">
        <is>
          <t>TIM</t>
        </is>
      </c>
      <c r="L1975" s="35">
        <f>IF(K1975="FIN",3,IF(OR(K1975="SEM",K1975="SEMI"),2,IF(OR(K1975="PRE",K1975="HEAT"),1,IF(V1975="YES",4,2))))</f>
        <v/>
      </c>
      <c r="M1975" s="33" t="inlineStr">
        <is>
          <t>LCM</t>
        </is>
      </c>
      <c r="N1975" s="33" t="n">
        <v>100</v>
      </c>
      <c r="O1975" s="33" t="inlineStr">
        <is>
          <t>Fly</t>
        </is>
      </c>
      <c r="P1975" s="33" t="inlineStr">
        <is>
          <t>100 Fly</t>
        </is>
      </c>
      <c r="Q1975" s="33" t="inlineStr">
        <is>
          <t>LCM_100_FLY</t>
        </is>
      </c>
      <c r="R1975" s="36" t="n">
        <v>65.19</v>
      </c>
      <c r="S1975" s="35">
        <f>IF(R1975="","",IF(R1975&gt;=60,INT(R1975/60)&amp;":"&amp;TEXT(MOD(R1975,60),"00.00"),TEXT(R1975,"0.00")))</f>
        <v/>
      </c>
      <c r="T1975" s="52">
        <f>IFERROR((G1975-INDEX('01_Swimmers'!$E$5:$E$22,MATCH(B1975,'01_Swimmers'!$A$5:$A$22,0)))/'00_Control'!$B$10,"")</f>
        <v/>
      </c>
      <c r="U1975" s="35">
        <f>IF(T1975="","",INT(T1975))</f>
        <v/>
      </c>
      <c r="V1975" s="33" t="inlineStr">
        <is>
          <t>NO</t>
        </is>
      </c>
      <c r="W1975" s="33" t="inlineStr">
        <is>
          <t>YES</t>
        </is>
      </c>
      <c r="X1975" s="33" t="inlineStr">
        <is>
          <t>NO</t>
        </is>
      </c>
      <c r="Y1975" s="33" t="n">
        <v>1</v>
      </c>
      <c r="Z1975" s="33" t="n">
        <v>6</v>
      </c>
      <c r="AA1975" s="33" t="inlineStr">
        <is>
          <t>1</t>
        </is>
      </c>
      <c r="AB1975" s="33" t="inlineStr">
        <is>
          <t>https://www.swimcloud.com/results/304888/event/41/?id=126963621#time126963621</t>
        </is>
      </c>
      <c r="AC1975" s="33" t="inlineStr">
        <is>
          <t>SwimCloud API v6 2026-10-08</t>
        </is>
      </c>
      <c r="AD1975" s="33" t="inlineStr">
        <is>
          <t>Lubo Liu-Tchorbadjiyski|2024-05-31|LCM|100|Fly|65.19|Gulf-Indiana-Illinois Duel in the Pool|TIM|False</t>
        </is>
      </c>
      <c r="AE1975" s="53">
        <f>G1975+L1975/1000+ROW()/1000000000</f>
        <v/>
      </c>
      <c r="AF1975" s="35">
        <f>IF(C1975&lt;&gt;"Grayson Coulter","",COUNTIFS($C$5:$C$2991,"Grayson Coulter",$Q$5:$Q$2991,Q1975,$AE$5:$AE$2991,"&lt;="&amp;AE1975,$R$5:$R$2991,"&lt;"&amp;R1975))</f>
        <v/>
      </c>
      <c r="AG1975" s="35">
        <f>IF(OR(C1975&lt;&gt;"Grayson Coulter",G1975&lt;'00_Control'!$B$7),"",--(AF1975&lt;5))</f>
        <v/>
      </c>
      <c r="AH1975" s="35">
        <f>IF(OR(C1975&lt;&gt;"Grayson Coulter",G1975&lt;'00_Control'!$B$7),"",--(AF1975&lt;10))</f>
        <v/>
      </c>
      <c r="AI1975" s="35">
        <f>IF(AND(C1975="Grayson Coulter",G1975&gt;='00_Control'!$B$7),"YES","NO")</f>
        <v/>
      </c>
      <c r="AJ1975" s="33" t="inlineStr">
        <is>
          <t>OK</t>
        </is>
      </c>
    </row>
    <row r="1976">
      <c r="A1976" s="33" t="inlineStr">
        <is>
          <t>SM001972</t>
        </is>
      </c>
      <c r="B1976" s="33" t="inlineStr">
        <is>
          <t>SW004</t>
        </is>
      </c>
      <c r="C1976" s="33" t="inlineStr">
        <is>
          <t>Lubo Liu-Tchorbadjiyski</t>
        </is>
      </c>
      <c r="D1976" s="33" t="inlineStr">
        <is>
          <t>SwimCloud</t>
        </is>
      </c>
      <c r="E1976" s="33" t="inlineStr">
        <is>
          <t>3102544</t>
        </is>
      </c>
      <c r="F1976" s="33" t="inlineStr">
        <is>
          <t>126963582</t>
        </is>
      </c>
      <c r="G1976" s="51" t="n">
        <v>45443</v>
      </c>
      <c r="H1976" s="33" t="inlineStr">
        <is>
          <t>Gulf-Indiana-Illinois Duel in the Pool</t>
        </is>
      </c>
      <c r="I1976" s="33" t="inlineStr">
        <is>
          <t>304888</t>
        </is>
      </c>
      <c r="J1976" s="33" t="inlineStr"/>
      <c r="K1976" s="33" t="inlineStr">
        <is>
          <t>TIM</t>
        </is>
      </c>
      <c r="L1976" s="35">
        <f>IF(K1976="FIN",3,IF(OR(K1976="SEM",K1976="SEMI"),2,IF(OR(K1976="PRE",K1976="HEAT"),1,IF(V1976="YES",4,2))))</f>
        <v/>
      </c>
      <c r="M1976" s="33" t="inlineStr">
        <is>
          <t>LCM</t>
        </is>
      </c>
      <c r="N1976" s="33" t="n">
        <v>100</v>
      </c>
      <c r="O1976" s="33" t="inlineStr">
        <is>
          <t>Fly</t>
        </is>
      </c>
      <c r="P1976" s="33" t="inlineStr">
        <is>
          <t>100 Fly</t>
        </is>
      </c>
      <c r="Q1976" s="33" t="inlineStr">
        <is>
          <t>LCM_100_FLY</t>
        </is>
      </c>
      <c r="R1976" s="36" t="n">
        <v>67.38</v>
      </c>
      <c r="S1976" s="35">
        <f>IF(R1976="","",IF(R1976&gt;=60,INT(R1976/60)&amp;":"&amp;TEXT(MOD(R1976,60),"00.00"),TEXT(R1976,"0.00")))</f>
        <v/>
      </c>
      <c r="T1976" s="52">
        <f>IFERROR((G1976-INDEX('01_Swimmers'!$E$5:$E$22,MATCH(B1976,'01_Swimmers'!$A$5:$A$22,0)))/'00_Control'!$B$10,"")</f>
        <v/>
      </c>
      <c r="U1976" s="35">
        <f>IF(T1976="","",INT(T1976))</f>
        <v/>
      </c>
      <c r="V1976" s="33" t="inlineStr">
        <is>
          <t>NO</t>
        </is>
      </c>
      <c r="W1976" s="33" t="inlineStr">
        <is>
          <t>YES</t>
        </is>
      </c>
      <c r="X1976" s="33" t="inlineStr">
        <is>
          <t>NO</t>
        </is>
      </c>
      <c r="Y1976" s="33" t="n">
        <v>2</v>
      </c>
      <c r="Z1976" s="33" t="n">
        <v>4</v>
      </c>
      <c r="AA1976" s="33" t="inlineStr">
        <is>
          <t>1</t>
        </is>
      </c>
      <c r="AB1976" s="33" t="inlineStr">
        <is>
          <t>https://www.swimcloud.com/results/304888/event/16/?id=126963582#time126963582</t>
        </is>
      </c>
      <c r="AC1976" s="33" t="inlineStr">
        <is>
          <t>SwimCloud API v6 2026-10-08</t>
        </is>
      </c>
      <c r="AD1976" s="33" t="inlineStr">
        <is>
          <t>Lubo Liu-Tchorbadjiyski|2024-05-31|LCM|100|Fly|67.38|Gulf-Indiana-Illinois Duel in the Pool|TIM|False</t>
        </is>
      </c>
      <c r="AE1976" s="53">
        <f>G1976+L1976/1000+ROW()/1000000000</f>
        <v/>
      </c>
      <c r="AF1976" s="35">
        <f>IF(C1976&lt;&gt;"Grayson Coulter","",COUNTIFS($C$5:$C$2991,"Grayson Coulter",$Q$5:$Q$2991,Q1976,$AE$5:$AE$2991,"&lt;="&amp;AE1976,$R$5:$R$2991,"&lt;"&amp;R1976))</f>
        <v/>
      </c>
      <c r="AG1976" s="35">
        <f>IF(OR(C1976&lt;&gt;"Grayson Coulter",G1976&lt;'00_Control'!$B$7),"",--(AF1976&lt;5))</f>
        <v/>
      </c>
      <c r="AH1976" s="35">
        <f>IF(OR(C1976&lt;&gt;"Grayson Coulter",G1976&lt;'00_Control'!$B$7),"",--(AF1976&lt;10))</f>
        <v/>
      </c>
      <c r="AI1976" s="35">
        <f>IF(AND(C1976="Grayson Coulter",G1976&gt;='00_Control'!$B$7),"YES","NO")</f>
        <v/>
      </c>
      <c r="AJ1976" s="33" t="inlineStr">
        <is>
          <t>OK</t>
        </is>
      </c>
    </row>
    <row r="1977">
      <c r="A1977" s="33" t="inlineStr">
        <is>
          <t>SM001973</t>
        </is>
      </c>
      <c r="B1977" s="33" t="inlineStr">
        <is>
          <t>SW004</t>
        </is>
      </c>
      <c r="C1977" s="33" t="inlineStr">
        <is>
          <t>Lubo Liu-Tchorbadjiyski</t>
        </is>
      </c>
      <c r="D1977" s="33" t="inlineStr">
        <is>
          <t>SwimCloud</t>
        </is>
      </c>
      <c r="E1977" s="33" t="inlineStr">
        <is>
          <t>3102544</t>
        </is>
      </c>
      <c r="F1977" s="33" t="inlineStr">
        <is>
          <t>126964155</t>
        </is>
      </c>
      <c r="G1977" s="51" t="n">
        <v>45443</v>
      </c>
      <c r="H1977" s="33" t="inlineStr">
        <is>
          <t>Gulf-Indiana-Illinois Duel in the Pool</t>
        </is>
      </c>
      <c r="I1977" s="33" t="inlineStr">
        <is>
          <t>304888</t>
        </is>
      </c>
      <c r="J1977" s="33" t="inlineStr"/>
      <c r="K1977" s="33" t="inlineStr">
        <is>
          <t>TIM</t>
        </is>
      </c>
      <c r="L1977" s="35">
        <f>IF(K1977="FIN",3,IF(OR(K1977="SEM",K1977="SEMI"),2,IF(OR(K1977="PRE",K1977="HEAT"),1,IF(V1977="YES",4,2))))</f>
        <v/>
      </c>
      <c r="M1977" s="33" t="inlineStr">
        <is>
          <t>LCM</t>
        </is>
      </c>
      <c r="N1977" s="33" t="n">
        <v>200</v>
      </c>
      <c r="O1977" s="33" t="inlineStr">
        <is>
          <t>Free</t>
        </is>
      </c>
      <c r="P1977" s="33" t="inlineStr">
        <is>
          <t>200 Free</t>
        </is>
      </c>
      <c r="Q1977" s="33" t="inlineStr">
        <is>
          <t>LCM_200_FREE</t>
        </is>
      </c>
      <c r="R1977" s="36" t="n">
        <v>129.88</v>
      </c>
      <c r="S1977" s="35">
        <f>IF(R1977="","",IF(R1977&gt;=60,INT(R1977/60)&amp;":"&amp;TEXT(MOD(R1977,60),"00.00"),TEXT(R1977,"0.00")))</f>
        <v/>
      </c>
      <c r="T1977" s="52">
        <f>IFERROR((G1977-INDEX('01_Swimmers'!$E$5:$E$22,MATCH(B1977,'01_Swimmers'!$A$5:$A$22,0)))/'00_Control'!$B$10,"")</f>
        <v/>
      </c>
      <c r="U1977" s="35">
        <f>IF(T1977="","",INT(T1977))</f>
        <v/>
      </c>
      <c r="V1977" s="33" t="inlineStr">
        <is>
          <t>NO</t>
        </is>
      </c>
      <c r="W1977" s="33" t="inlineStr">
        <is>
          <t>YES</t>
        </is>
      </c>
      <c r="X1977" s="33" t="inlineStr">
        <is>
          <t>NO</t>
        </is>
      </c>
      <c r="Y1977" s="33" t="n">
        <v>1</v>
      </c>
      <c r="Z1977" s="33" t="n">
        <v>6</v>
      </c>
      <c r="AA1977" s="33" t="inlineStr">
        <is>
          <t>1</t>
        </is>
      </c>
      <c r="AB1977" s="33" t="inlineStr">
        <is>
          <t>https://www.swimcloud.com/results/304888/event/36/?id=126964155#time126964155</t>
        </is>
      </c>
      <c r="AC1977" s="33" t="inlineStr">
        <is>
          <t>SwimCloud API v6 2026-10-08</t>
        </is>
      </c>
      <c r="AD1977" s="33" t="inlineStr">
        <is>
          <t>Lubo Liu-Tchorbadjiyski|2024-05-31|LCM|200|Free|129.88|Gulf-Indiana-Illinois Duel in the Pool|TIM|False</t>
        </is>
      </c>
      <c r="AE1977" s="53">
        <f>G1977+L1977/1000+ROW()/1000000000</f>
        <v/>
      </c>
      <c r="AF1977" s="35">
        <f>IF(C1977&lt;&gt;"Grayson Coulter","",COUNTIFS($C$5:$C$2991,"Grayson Coulter",$Q$5:$Q$2991,Q1977,$AE$5:$AE$2991,"&lt;="&amp;AE1977,$R$5:$R$2991,"&lt;"&amp;R1977))</f>
        <v/>
      </c>
      <c r="AG1977" s="35">
        <f>IF(OR(C1977&lt;&gt;"Grayson Coulter",G1977&lt;'00_Control'!$B$7),"",--(AF1977&lt;5))</f>
        <v/>
      </c>
      <c r="AH1977" s="35">
        <f>IF(OR(C1977&lt;&gt;"Grayson Coulter",G1977&lt;'00_Control'!$B$7),"",--(AF1977&lt;10))</f>
        <v/>
      </c>
      <c r="AI1977" s="35">
        <f>IF(AND(C1977="Grayson Coulter",G1977&gt;='00_Control'!$B$7),"YES","NO")</f>
        <v/>
      </c>
      <c r="AJ1977" s="33" t="inlineStr">
        <is>
          <t>OK</t>
        </is>
      </c>
    </row>
    <row r="1978">
      <c r="A1978" s="33" t="inlineStr">
        <is>
          <t>SM001974</t>
        </is>
      </c>
      <c r="B1978" s="33" t="inlineStr">
        <is>
          <t>SW004</t>
        </is>
      </c>
      <c r="C1978" s="33" t="inlineStr">
        <is>
          <t>Lubo Liu-Tchorbadjiyski</t>
        </is>
      </c>
      <c r="D1978" s="33" t="inlineStr">
        <is>
          <t>SwimCloud</t>
        </is>
      </c>
      <c r="E1978" s="33" t="inlineStr">
        <is>
          <t>3102544</t>
        </is>
      </c>
      <c r="F1978" s="33" t="inlineStr">
        <is>
          <t>126964107</t>
        </is>
      </c>
      <c r="G1978" s="51" t="n">
        <v>45443</v>
      </c>
      <c r="H1978" s="33" t="inlineStr">
        <is>
          <t>Gulf-Indiana-Illinois Duel in the Pool</t>
        </is>
      </c>
      <c r="I1978" s="33" t="inlineStr">
        <is>
          <t>304888</t>
        </is>
      </c>
      <c r="J1978" s="33" t="inlineStr"/>
      <c r="K1978" s="33" t="inlineStr">
        <is>
          <t>TIM</t>
        </is>
      </c>
      <c r="L1978" s="35">
        <f>IF(K1978="FIN",3,IF(OR(K1978="SEM",K1978="SEMI"),2,IF(OR(K1978="PRE",K1978="HEAT"),1,IF(V1978="YES",4,2))))</f>
        <v/>
      </c>
      <c r="M1978" s="33" t="inlineStr">
        <is>
          <t>LCM</t>
        </is>
      </c>
      <c r="N1978" s="33" t="n">
        <v>200</v>
      </c>
      <c r="O1978" s="33" t="inlineStr">
        <is>
          <t>Free</t>
        </is>
      </c>
      <c r="P1978" s="33" t="inlineStr">
        <is>
          <t>200 Free</t>
        </is>
      </c>
      <c r="Q1978" s="33" t="inlineStr">
        <is>
          <t>LCM_200_FREE</t>
        </is>
      </c>
      <c r="R1978" s="36" t="n">
        <v>132.02</v>
      </c>
      <c r="S1978" s="35">
        <f>IF(R1978="","",IF(R1978&gt;=60,INT(R1978/60)&amp;":"&amp;TEXT(MOD(R1978,60),"00.00"),TEXT(R1978,"0.00")))</f>
        <v/>
      </c>
      <c r="T1978" s="52">
        <f>IFERROR((G1978-INDEX('01_Swimmers'!$E$5:$E$22,MATCH(B1978,'01_Swimmers'!$A$5:$A$22,0)))/'00_Control'!$B$10,"")</f>
        <v/>
      </c>
      <c r="U1978" s="35">
        <f>IF(T1978="","",INT(T1978))</f>
        <v/>
      </c>
      <c r="V1978" s="33" t="inlineStr">
        <is>
          <t>NO</t>
        </is>
      </c>
      <c r="W1978" s="33" t="inlineStr">
        <is>
          <t>YES</t>
        </is>
      </c>
      <c r="X1978" s="33" t="inlineStr">
        <is>
          <t>NO</t>
        </is>
      </c>
      <c r="Y1978" s="33" t="n">
        <v>1</v>
      </c>
      <c r="Z1978" s="33" t="n">
        <v>4</v>
      </c>
      <c r="AA1978" s="33" t="inlineStr">
        <is>
          <t>1</t>
        </is>
      </c>
      <c r="AB1978" s="33" t="inlineStr">
        <is>
          <t>https://www.swimcloud.com/results/304888/event/9/?id=126964107#time126964107</t>
        </is>
      </c>
      <c r="AC1978" s="33" t="inlineStr">
        <is>
          <t>SwimCloud API v6 2026-10-08</t>
        </is>
      </c>
      <c r="AD1978" s="33" t="inlineStr">
        <is>
          <t>Lubo Liu-Tchorbadjiyski|2024-05-31|LCM|200|Free|132.02|Gulf-Indiana-Illinois Duel in the Pool|TIM|False</t>
        </is>
      </c>
      <c r="AE1978" s="53">
        <f>G1978+L1978/1000+ROW()/1000000000</f>
        <v/>
      </c>
      <c r="AF1978" s="35">
        <f>IF(C1978&lt;&gt;"Grayson Coulter","",COUNTIFS($C$5:$C$2991,"Grayson Coulter",$Q$5:$Q$2991,Q1978,$AE$5:$AE$2991,"&lt;="&amp;AE1978,$R$5:$R$2991,"&lt;"&amp;R1978))</f>
        <v/>
      </c>
      <c r="AG1978" s="35">
        <f>IF(OR(C1978&lt;&gt;"Grayson Coulter",G1978&lt;'00_Control'!$B$7),"",--(AF1978&lt;5))</f>
        <v/>
      </c>
      <c r="AH1978" s="35">
        <f>IF(OR(C1978&lt;&gt;"Grayson Coulter",G1978&lt;'00_Control'!$B$7),"",--(AF1978&lt;10))</f>
        <v/>
      </c>
      <c r="AI1978" s="35">
        <f>IF(AND(C1978="Grayson Coulter",G1978&gt;='00_Control'!$B$7),"YES","NO")</f>
        <v/>
      </c>
      <c r="AJ1978" s="33" t="inlineStr">
        <is>
          <t>OK</t>
        </is>
      </c>
    </row>
    <row r="1979">
      <c r="A1979" s="33" t="inlineStr">
        <is>
          <t>SM001975</t>
        </is>
      </c>
      <c r="B1979" s="33" t="inlineStr">
        <is>
          <t>SW004</t>
        </is>
      </c>
      <c r="C1979" s="33" t="inlineStr">
        <is>
          <t>Lubo Liu-Tchorbadjiyski</t>
        </is>
      </c>
      <c r="D1979" s="33" t="inlineStr">
        <is>
          <t>SwimCloud</t>
        </is>
      </c>
      <c r="E1979" s="33" t="inlineStr">
        <is>
          <t>3102544</t>
        </is>
      </c>
      <c r="F1979" s="33" t="inlineStr">
        <is>
          <t>126964149</t>
        </is>
      </c>
      <c r="G1979" s="51" t="n">
        <v>45445</v>
      </c>
      <c r="H1979" s="33" t="inlineStr">
        <is>
          <t>Gulf-Indiana-Illinois Duel in the Pool</t>
        </is>
      </c>
      <c r="I1979" s="33" t="inlineStr">
        <is>
          <t>304888</t>
        </is>
      </c>
      <c r="J1979" s="33" t="inlineStr"/>
      <c r="K1979" s="33" t="inlineStr">
        <is>
          <t>TIM</t>
        </is>
      </c>
      <c r="L1979" s="35">
        <f>IF(K1979="FIN",3,IF(OR(K1979="SEM",K1979="SEMI"),2,IF(OR(K1979="PRE",K1979="HEAT"),1,IF(V1979="YES",4,2))))</f>
        <v/>
      </c>
      <c r="M1979" s="33" t="inlineStr">
        <is>
          <t>LCM</t>
        </is>
      </c>
      <c r="N1979" s="33" t="n">
        <v>400</v>
      </c>
      <c r="O1979" s="33" t="inlineStr">
        <is>
          <t>Free</t>
        </is>
      </c>
      <c r="P1979" s="33" t="inlineStr">
        <is>
          <t>400 Free</t>
        </is>
      </c>
      <c r="Q1979" s="33" t="inlineStr">
        <is>
          <t>LCM_400_FREE</t>
        </is>
      </c>
      <c r="R1979" s="36" t="n">
        <v>279.23</v>
      </c>
      <c r="S1979" s="35">
        <f>IF(R1979="","",IF(R1979&gt;=60,INT(R1979/60)&amp;":"&amp;TEXT(MOD(R1979,60),"00.00"),TEXT(R1979,"0.00")))</f>
        <v/>
      </c>
      <c r="T1979" s="52">
        <f>IFERROR((G1979-INDEX('01_Swimmers'!$E$5:$E$22,MATCH(B1979,'01_Swimmers'!$A$5:$A$22,0)))/'00_Control'!$B$10,"")</f>
        <v/>
      </c>
      <c r="U1979" s="35">
        <f>IF(T1979="","",INT(T1979))</f>
        <v/>
      </c>
      <c r="V1979" s="33" t="inlineStr">
        <is>
          <t>NO</t>
        </is>
      </c>
      <c r="W1979" s="33" t="inlineStr">
        <is>
          <t>YES</t>
        </is>
      </c>
      <c r="X1979" s="33" t="inlineStr">
        <is>
          <t>NO</t>
        </is>
      </c>
      <c r="Y1979" s="33" t="n">
        <v>1</v>
      </c>
      <c r="Z1979" s="33" t="n">
        <v>3</v>
      </c>
      <c r="AA1979" s="33" t="inlineStr">
        <is>
          <t>1</t>
        </is>
      </c>
      <c r="AB1979" s="33" t="inlineStr">
        <is>
          <t>https://www.swimcloud.com/results/304888/event/139/?id=126964149#time126964149</t>
        </is>
      </c>
      <c r="AC1979" s="33" t="inlineStr">
        <is>
          <t>SwimCloud API v6 2026-10-08</t>
        </is>
      </c>
      <c r="AD1979" s="33" t="inlineStr">
        <is>
          <t>Lubo Liu-Tchorbadjiyski|2024-06-02|LCM|400|Free|279.23|Gulf-Indiana-Illinois Duel in the Pool|TIM|False</t>
        </is>
      </c>
      <c r="AE1979" s="53">
        <f>G1979+L1979/1000+ROW()/1000000000</f>
        <v/>
      </c>
      <c r="AF1979" s="35">
        <f>IF(C1979&lt;&gt;"Grayson Coulter","",COUNTIFS($C$5:$C$2991,"Grayson Coulter",$Q$5:$Q$2991,Q1979,$AE$5:$AE$2991,"&lt;="&amp;AE1979,$R$5:$R$2991,"&lt;"&amp;R1979))</f>
        <v/>
      </c>
      <c r="AG1979" s="35">
        <f>IF(OR(C1979&lt;&gt;"Grayson Coulter",G1979&lt;'00_Control'!$B$7),"",--(AF1979&lt;5))</f>
        <v/>
      </c>
      <c r="AH1979" s="35">
        <f>IF(OR(C1979&lt;&gt;"Grayson Coulter",G1979&lt;'00_Control'!$B$7),"",--(AF1979&lt;10))</f>
        <v/>
      </c>
      <c r="AI1979" s="35">
        <f>IF(AND(C1979="Grayson Coulter",G1979&gt;='00_Control'!$B$7),"YES","NO")</f>
        <v/>
      </c>
      <c r="AJ1979" s="33" t="inlineStr">
        <is>
          <t>OK</t>
        </is>
      </c>
    </row>
    <row r="1980">
      <c r="A1980" s="33" t="inlineStr">
        <is>
          <t>SM001976</t>
        </is>
      </c>
      <c r="B1980" s="33" t="inlineStr">
        <is>
          <t>SW004</t>
        </is>
      </c>
      <c r="C1980" s="33" t="inlineStr">
        <is>
          <t>Lubo Liu-Tchorbadjiyski</t>
        </is>
      </c>
      <c r="D1980" s="33" t="inlineStr">
        <is>
          <t>SwimCloud</t>
        </is>
      </c>
      <c r="E1980" s="33" t="inlineStr">
        <is>
          <t>3102544</t>
        </is>
      </c>
      <c r="F1980" s="33" t="inlineStr">
        <is>
          <t>128091269</t>
        </is>
      </c>
      <c r="G1980" s="51" t="n">
        <v>45465</v>
      </c>
      <c r="H1980" s="33" t="inlineStr">
        <is>
          <t>2024 IL RISE Endless Summer</t>
        </is>
      </c>
      <c r="I1980" s="33" t="inlineStr">
        <is>
          <t>306162</t>
        </is>
      </c>
      <c r="J1980" s="33" t="inlineStr"/>
      <c r="K1980" s="33" t="inlineStr">
        <is>
          <t>TIM</t>
        </is>
      </c>
      <c r="L1980" s="35">
        <f>IF(K1980="FIN",3,IF(OR(K1980="SEM",K1980="SEMI"),2,IF(OR(K1980="PRE",K1980="HEAT"),1,IF(V1980="YES",4,2))))</f>
        <v/>
      </c>
      <c r="M1980" s="33" t="inlineStr">
        <is>
          <t>LCM</t>
        </is>
      </c>
      <c r="N1980" s="33" t="n">
        <v>100</v>
      </c>
      <c r="O1980" s="33" t="inlineStr">
        <is>
          <t>Fly</t>
        </is>
      </c>
      <c r="P1980" s="33" t="inlineStr">
        <is>
          <t>100 Fly</t>
        </is>
      </c>
      <c r="Q1980" s="33" t="inlineStr">
        <is>
          <t>LCM_100_FLY</t>
        </is>
      </c>
      <c r="R1980" s="36" t="n">
        <v>67.08</v>
      </c>
      <c r="S1980" s="35">
        <f>IF(R1980="","",IF(R1980&gt;=60,INT(R1980/60)&amp;":"&amp;TEXT(MOD(R1980,60),"00.00"),TEXT(R1980,"0.00")))</f>
        <v/>
      </c>
      <c r="T1980" s="52">
        <f>IFERROR((G1980-INDEX('01_Swimmers'!$E$5:$E$22,MATCH(B1980,'01_Swimmers'!$A$5:$A$22,0)))/'00_Control'!$B$10,"")</f>
        <v/>
      </c>
      <c r="U1980" s="35">
        <f>IF(T1980="","",INT(T1980))</f>
        <v/>
      </c>
      <c r="V1980" s="33" t="inlineStr">
        <is>
          <t>NO</t>
        </is>
      </c>
      <c r="W1980" s="33" t="inlineStr">
        <is>
          <t>YES</t>
        </is>
      </c>
      <c r="X1980" s="33" t="inlineStr">
        <is>
          <t>NO</t>
        </is>
      </c>
      <c r="Y1980" s="33" t="n">
        <v>5</v>
      </c>
      <c r="Z1980" s="33" t="n">
        <v>3</v>
      </c>
      <c r="AA1980" s="33" t="inlineStr">
        <is>
          <t>1</t>
        </is>
      </c>
      <c r="AB1980" s="33" t="inlineStr">
        <is>
          <t>https://www.swimcloud.com/results/306162/event/36/?id=128091269#time128091269</t>
        </is>
      </c>
      <c r="AC1980" s="33" t="inlineStr">
        <is>
          <t>SwimCloud API v6 2026-10-08</t>
        </is>
      </c>
      <c r="AD1980" s="33" t="inlineStr">
        <is>
          <t>Lubo Liu-Tchorbadjiyski|2024-06-22|LCM|100|Fly|67.08|2024 IL RISE Endless Summer|TIM|False</t>
        </is>
      </c>
      <c r="AE1980" s="53">
        <f>G1980+L1980/1000+ROW()/1000000000</f>
        <v/>
      </c>
      <c r="AF1980" s="35">
        <f>IF(C1980&lt;&gt;"Grayson Coulter","",COUNTIFS($C$5:$C$2991,"Grayson Coulter",$Q$5:$Q$2991,Q1980,$AE$5:$AE$2991,"&lt;="&amp;AE1980,$R$5:$R$2991,"&lt;"&amp;R1980))</f>
        <v/>
      </c>
      <c r="AG1980" s="35">
        <f>IF(OR(C1980&lt;&gt;"Grayson Coulter",G1980&lt;'00_Control'!$B$7),"",--(AF1980&lt;5))</f>
        <v/>
      </c>
      <c r="AH1980" s="35">
        <f>IF(OR(C1980&lt;&gt;"Grayson Coulter",G1980&lt;'00_Control'!$B$7),"",--(AF1980&lt;10))</f>
        <v/>
      </c>
      <c r="AI1980" s="35">
        <f>IF(AND(C1980="Grayson Coulter",G1980&gt;='00_Control'!$B$7),"YES","NO")</f>
        <v/>
      </c>
      <c r="AJ1980" s="33" t="inlineStr">
        <is>
          <t>OK</t>
        </is>
      </c>
    </row>
    <row r="1981">
      <c r="A1981" s="33" t="inlineStr">
        <is>
          <t>SM001977</t>
        </is>
      </c>
      <c r="B1981" s="33" t="inlineStr">
        <is>
          <t>SW004</t>
        </is>
      </c>
      <c r="C1981" s="33" t="inlineStr">
        <is>
          <t>Lubo Liu-Tchorbadjiyski</t>
        </is>
      </c>
      <c r="D1981" s="33" t="inlineStr">
        <is>
          <t>SwimCloud</t>
        </is>
      </c>
      <c r="E1981" s="33" t="inlineStr">
        <is>
          <t>3102544</t>
        </is>
      </c>
      <c r="F1981" s="33" t="inlineStr">
        <is>
          <t>128091258</t>
        </is>
      </c>
      <c r="G1981" s="51" t="n">
        <v>45465</v>
      </c>
      <c r="H1981" s="33" t="inlineStr">
        <is>
          <t>2024 IL RISE Endless Summer</t>
        </is>
      </c>
      <c r="I1981" s="33" t="inlineStr">
        <is>
          <t>306162</t>
        </is>
      </c>
      <c r="J1981" s="33" t="inlineStr"/>
      <c r="K1981" s="33" t="inlineStr">
        <is>
          <t>TIM</t>
        </is>
      </c>
      <c r="L1981" s="35">
        <f>IF(K1981="FIN",3,IF(OR(K1981="SEM",K1981="SEMI"),2,IF(OR(K1981="PRE",K1981="HEAT"),1,IF(V1981="YES",4,2))))</f>
        <v/>
      </c>
      <c r="M1981" s="33" t="inlineStr">
        <is>
          <t>LCM</t>
        </is>
      </c>
      <c r="N1981" s="33" t="n">
        <v>100</v>
      </c>
      <c r="O1981" s="33" t="inlineStr">
        <is>
          <t>Free</t>
        </is>
      </c>
      <c r="P1981" s="33" t="inlineStr">
        <is>
          <t>100 Free</t>
        </is>
      </c>
      <c r="Q1981" s="33" t="inlineStr">
        <is>
          <t>LCM_100_FREE</t>
        </is>
      </c>
      <c r="R1981" s="36" t="n">
        <v>61.02</v>
      </c>
      <c r="S1981" s="35">
        <f>IF(R1981="","",IF(R1981&gt;=60,INT(R1981/60)&amp;":"&amp;TEXT(MOD(R1981,60),"00.00"),TEXT(R1981,"0.00")))</f>
        <v/>
      </c>
      <c r="T1981" s="52">
        <f>IFERROR((G1981-INDEX('01_Swimmers'!$E$5:$E$22,MATCH(B1981,'01_Swimmers'!$A$5:$A$22,0)))/'00_Control'!$B$10,"")</f>
        <v/>
      </c>
      <c r="U1981" s="35">
        <f>IF(T1981="","",INT(T1981))</f>
        <v/>
      </c>
      <c r="V1981" s="33" t="inlineStr">
        <is>
          <t>NO</t>
        </is>
      </c>
      <c r="W1981" s="33" t="inlineStr">
        <is>
          <t>YES</t>
        </is>
      </c>
      <c r="X1981" s="33" t="inlineStr">
        <is>
          <t>NO</t>
        </is>
      </c>
      <c r="Y1981" s="33" t="n">
        <v>7</v>
      </c>
      <c r="Z1981" s="33" t="n">
        <v>5</v>
      </c>
      <c r="AA1981" s="33" t="inlineStr">
        <is>
          <t>1</t>
        </is>
      </c>
      <c r="AB1981" s="33" t="inlineStr">
        <is>
          <t>https://www.swimcloud.com/results/306162/event/30/?id=128091258#time128091258</t>
        </is>
      </c>
      <c r="AC1981" s="33" t="inlineStr">
        <is>
          <t>SwimCloud API v6 2026-10-08</t>
        </is>
      </c>
      <c r="AD1981" s="33" t="inlineStr">
        <is>
          <t>Lubo Liu-Tchorbadjiyski|2024-06-22|LCM|100|Free|61.02|2024 IL RISE Endless Summer|TIM|False</t>
        </is>
      </c>
      <c r="AE1981" s="53">
        <f>G1981+L1981/1000+ROW()/1000000000</f>
        <v/>
      </c>
      <c r="AF1981" s="35">
        <f>IF(C1981&lt;&gt;"Grayson Coulter","",COUNTIFS($C$5:$C$2991,"Grayson Coulter",$Q$5:$Q$2991,Q1981,$AE$5:$AE$2991,"&lt;="&amp;AE1981,$R$5:$R$2991,"&lt;"&amp;R1981))</f>
        <v/>
      </c>
      <c r="AG1981" s="35">
        <f>IF(OR(C1981&lt;&gt;"Grayson Coulter",G1981&lt;'00_Control'!$B$7),"",--(AF1981&lt;5))</f>
        <v/>
      </c>
      <c r="AH1981" s="35">
        <f>IF(OR(C1981&lt;&gt;"Grayson Coulter",G1981&lt;'00_Control'!$B$7),"",--(AF1981&lt;10))</f>
        <v/>
      </c>
      <c r="AI1981" s="35">
        <f>IF(AND(C1981="Grayson Coulter",G1981&gt;='00_Control'!$B$7),"YES","NO")</f>
        <v/>
      </c>
      <c r="AJ1981" s="33" t="inlineStr">
        <is>
          <t>OK</t>
        </is>
      </c>
    </row>
    <row r="1982">
      <c r="A1982" s="33" t="inlineStr">
        <is>
          <t>SM001978</t>
        </is>
      </c>
      <c r="B1982" s="33" t="inlineStr">
        <is>
          <t>SW004</t>
        </is>
      </c>
      <c r="C1982" s="33" t="inlineStr">
        <is>
          <t>Lubo Liu-Tchorbadjiyski</t>
        </is>
      </c>
      <c r="D1982" s="33" t="inlineStr">
        <is>
          <t>SwimCloud</t>
        </is>
      </c>
      <c r="E1982" s="33" t="inlineStr">
        <is>
          <t>3102544</t>
        </is>
      </c>
      <c r="F1982" s="33" t="inlineStr">
        <is>
          <t>129702435</t>
        </is>
      </c>
      <c r="G1982" s="51" t="n">
        <v>45491</v>
      </c>
      <c r="H1982" s="33" t="inlineStr">
        <is>
          <t>spring NW ISI divisional chanpionship</t>
        </is>
      </c>
      <c r="I1982" s="33" t="inlineStr">
        <is>
          <t>308779</t>
        </is>
      </c>
      <c r="J1982" s="33" t="inlineStr"/>
      <c r="K1982" s="33" t="inlineStr">
        <is>
          <t>TIM</t>
        </is>
      </c>
      <c r="L1982" s="35">
        <f>IF(K1982="FIN",3,IF(OR(K1982="SEM",K1982="SEMI"),2,IF(OR(K1982="PRE",K1982="HEAT"),1,IF(V1982="YES",4,2))))</f>
        <v/>
      </c>
      <c r="M1982" s="33" t="inlineStr">
        <is>
          <t>LCM</t>
        </is>
      </c>
      <c r="N1982" s="33" t="n">
        <v>400</v>
      </c>
      <c r="O1982" s="33" t="inlineStr">
        <is>
          <t>Free</t>
        </is>
      </c>
      <c r="P1982" s="33" t="inlineStr">
        <is>
          <t>400 Free</t>
        </is>
      </c>
      <c r="Q1982" s="33" t="inlineStr">
        <is>
          <t>LCM_400_FREE</t>
        </is>
      </c>
      <c r="R1982" s="36" t="n">
        <v>278.03</v>
      </c>
      <c r="S1982" s="35">
        <f>IF(R1982="","",IF(R1982&gt;=60,INT(R1982/60)&amp;":"&amp;TEXT(MOD(R1982,60),"00.00"),TEXT(R1982,"0.00")))</f>
        <v/>
      </c>
      <c r="T1982" s="52">
        <f>IFERROR((G1982-INDEX('01_Swimmers'!$E$5:$E$22,MATCH(B1982,'01_Swimmers'!$A$5:$A$22,0)))/'00_Control'!$B$10,"")</f>
        <v/>
      </c>
      <c r="U1982" s="35">
        <f>IF(T1982="","",INT(T1982))</f>
        <v/>
      </c>
      <c r="V1982" s="33" t="inlineStr">
        <is>
          <t>NO</t>
        </is>
      </c>
      <c r="W1982" s="33" t="inlineStr">
        <is>
          <t>YES</t>
        </is>
      </c>
      <c r="X1982" s="33" t="inlineStr">
        <is>
          <t>NO</t>
        </is>
      </c>
      <c r="Y1982" s="33" t="n">
        <v>3</v>
      </c>
      <c r="Z1982" s="33" t="n">
        <v>5</v>
      </c>
      <c r="AA1982" s="33" t="inlineStr">
        <is>
          <t>1</t>
        </is>
      </c>
      <c r="AB1982" s="33" t="inlineStr">
        <is>
          <t>https://www.swimcloud.com/results/308779/event/24/?id=129702435#time129702435</t>
        </is>
      </c>
      <c r="AC1982" s="33" t="inlineStr">
        <is>
          <t>SwimCloud API v6 2026-10-08</t>
        </is>
      </c>
      <c r="AD1982" s="33" t="inlineStr">
        <is>
          <t>Lubo Liu-Tchorbadjiyski|2024-07-18|LCM|400|Free|278.03|spring NW ISI divisional chanpionship|TIM|False</t>
        </is>
      </c>
      <c r="AE1982" s="53">
        <f>G1982+L1982/1000+ROW()/1000000000</f>
        <v/>
      </c>
      <c r="AF1982" s="35">
        <f>IF(C1982&lt;&gt;"Grayson Coulter","",COUNTIFS($C$5:$C$2991,"Grayson Coulter",$Q$5:$Q$2991,Q1982,$AE$5:$AE$2991,"&lt;="&amp;AE1982,$R$5:$R$2991,"&lt;"&amp;R1982))</f>
        <v/>
      </c>
      <c r="AG1982" s="35">
        <f>IF(OR(C1982&lt;&gt;"Grayson Coulter",G1982&lt;'00_Control'!$B$7),"",--(AF1982&lt;5))</f>
        <v/>
      </c>
      <c r="AH1982" s="35">
        <f>IF(OR(C1982&lt;&gt;"Grayson Coulter",G1982&lt;'00_Control'!$B$7),"",--(AF1982&lt;10))</f>
        <v/>
      </c>
      <c r="AI1982" s="35">
        <f>IF(AND(C1982="Grayson Coulter",G1982&gt;='00_Control'!$B$7),"YES","NO")</f>
        <v/>
      </c>
      <c r="AJ1982" s="33" t="inlineStr">
        <is>
          <t>OK</t>
        </is>
      </c>
    </row>
    <row r="1983">
      <c r="A1983" s="33" t="inlineStr">
        <is>
          <t>SM001979</t>
        </is>
      </c>
      <c r="B1983" s="33" t="inlineStr">
        <is>
          <t>SW004</t>
        </is>
      </c>
      <c r="C1983" s="33" t="inlineStr">
        <is>
          <t>Lubo Liu-Tchorbadjiyski</t>
        </is>
      </c>
      <c r="D1983" s="33" t="inlineStr">
        <is>
          <t>SwimCloud</t>
        </is>
      </c>
      <c r="E1983" s="33" t="inlineStr">
        <is>
          <t>3102544</t>
        </is>
      </c>
      <c r="F1983" s="33" t="inlineStr">
        <is>
          <t>129702565</t>
        </is>
      </c>
      <c r="G1983" s="51" t="n">
        <v>45492</v>
      </c>
      <c r="H1983" s="33" t="inlineStr">
        <is>
          <t>spring NW ISI divisional chanpionship</t>
        </is>
      </c>
      <c r="I1983" s="33" t="inlineStr">
        <is>
          <t>308779</t>
        </is>
      </c>
      <c r="J1983" s="33" t="inlineStr"/>
      <c r="K1983" s="33" t="inlineStr">
        <is>
          <t>PRE</t>
        </is>
      </c>
      <c r="L1983" s="35">
        <f>IF(K1983="FIN",3,IF(OR(K1983="SEM",K1983="SEMI"),2,IF(OR(K1983="PRE",K1983="HEAT"),1,IF(V1983="YES",4,2))))</f>
        <v/>
      </c>
      <c r="M1983" s="33" t="inlineStr">
        <is>
          <t>LCM</t>
        </is>
      </c>
      <c r="N1983" s="33" t="n">
        <v>200</v>
      </c>
      <c r="O1983" s="33" t="inlineStr">
        <is>
          <t>Free</t>
        </is>
      </c>
      <c r="P1983" s="33" t="inlineStr">
        <is>
          <t>200 Free</t>
        </is>
      </c>
      <c r="Q1983" s="33" t="inlineStr">
        <is>
          <t>LCM_200_FREE</t>
        </is>
      </c>
      <c r="R1983" s="36" t="n">
        <v>133.27</v>
      </c>
      <c r="S1983" s="35">
        <f>IF(R1983="","",IF(R1983&gt;=60,INT(R1983/60)&amp;":"&amp;TEXT(MOD(R1983,60),"00.00"),TEXT(R1983,"0.00")))</f>
        <v/>
      </c>
      <c r="T1983" s="52">
        <f>IFERROR((G1983-INDEX('01_Swimmers'!$E$5:$E$22,MATCH(B1983,'01_Swimmers'!$A$5:$A$22,0)))/'00_Control'!$B$10,"")</f>
        <v/>
      </c>
      <c r="U1983" s="35">
        <f>IF(T1983="","",INT(T1983))</f>
        <v/>
      </c>
      <c r="V1983" s="33" t="inlineStr">
        <is>
          <t>NO</t>
        </is>
      </c>
      <c r="W1983" s="33" t="inlineStr">
        <is>
          <t>YES</t>
        </is>
      </c>
      <c r="X1983" s="33" t="inlineStr">
        <is>
          <t>NO</t>
        </is>
      </c>
      <c r="Y1983" s="33" t="n">
        <v>3</v>
      </c>
      <c r="Z1983" s="33" t="n">
        <v>5</v>
      </c>
      <c r="AA1983" s="33" t="inlineStr">
        <is>
          <t>1</t>
        </is>
      </c>
      <c r="AB1983" s="33" t="inlineStr">
        <is>
          <t>https://www.swimcloud.com/results/308779/event/44/?id=129702565#time129702565</t>
        </is>
      </c>
      <c r="AC1983" s="33" t="inlineStr">
        <is>
          <t>SwimCloud API v6 2026-10-08</t>
        </is>
      </c>
      <c r="AD1983" s="33" t="inlineStr">
        <is>
          <t>Lubo Liu-Tchorbadjiyski|2024-07-19|LCM|200|Free|133.27|spring NW ISI divisional chanpionship|PRE|False</t>
        </is>
      </c>
      <c r="AE1983" s="53">
        <f>G1983+L1983/1000+ROW()/1000000000</f>
        <v/>
      </c>
      <c r="AF1983" s="35">
        <f>IF(C1983&lt;&gt;"Grayson Coulter","",COUNTIFS($C$5:$C$2991,"Grayson Coulter",$Q$5:$Q$2991,Q1983,$AE$5:$AE$2991,"&lt;="&amp;AE1983,$R$5:$R$2991,"&lt;"&amp;R1983))</f>
        <v/>
      </c>
      <c r="AG1983" s="35">
        <f>IF(OR(C1983&lt;&gt;"Grayson Coulter",G1983&lt;'00_Control'!$B$7),"",--(AF1983&lt;5))</f>
        <v/>
      </c>
      <c r="AH1983" s="35">
        <f>IF(OR(C1983&lt;&gt;"Grayson Coulter",G1983&lt;'00_Control'!$B$7),"",--(AF1983&lt;10))</f>
        <v/>
      </c>
      <c r="AI1983" s="35">
        <f>IF(AND(C1983="Grayson Coulter",G1983&gt;='00_Control'!$B$7),"YES","NO")</f>
        <v/>
      </c>
      <c r="AJ1983" s="33" t="inlineStr">
        <is>
          <t>OK</t>
        </is>
      </c>
    </row>
    <row r="1984">
      <c r="A1984" s="33" t="inlineStr">
        <is>
          <t>SM001980</t>
        </is>
      </c>
      <c r="B1984" s="33" t="inlineStr">
        <is>
          <t>SW004</t>
        </is>
      </c>
      <c r="C1984" s="33" t="inlineStr">
        <is>
          <t>Lubo Liu-Tchorbadjiyski</t>
        </is>
      </c>
      <c r="D1984" s="33" t="inlineStr">
        <is>
          <t>SwimCloud</t>
        </is>
      </c>
      <c r="E1984" s="33" t="inlineStr">
        <is>
          <t>3102544</t>
        </is>
      </c>
      <c r="F1984" s="33" t="inlineStr">
        <is>
          <t>129702566</t>
        </is>
      </c>
      <c r="G1984" s="51" t="n">
        <v>45492</v>
      </c>
      <c r="H1984" s="33" t="inlineStr">
        <is>
          <t>spring NW ISI divisional chanpionship</t>
        </is>
      </c>
      <c r="I1984" s="33" t="inlineStr">
        <is>
          <t>308779</t>
        </is>
      </c>
      <c r="J1984" s="33" t="inlineStr"/>
      <c r="K1984" s="33" t="inlineStr">
        <is>
          <t>FIN</t>
        </is>
      </c>
      <c r="L1984" s="35">
        <f>IF(K1984="FIN",3,IF(OR(K1984="SEM",K1984="SEMI"),2,IF(OR(K1984="PRE",K1984="HEAT"),1,IF(V1984="YES",4,2))))</f>
        <v/>
      </c>
      <c r="M1984" s="33" t="inlineStr">
        <is>
          <t>LCM</t>
        </is>
      </c>
      <c r="N1984" s="33" t="n">
        <v>200</v>
      </c>
      <c r="O1984" s="33" t="inlineStr">
        <is>
          <t>Free</t>
        </is>
      </c>
      <c r="P1984" s="33" t="inlineStr">
        <is>
          <t>200 Free</t>
        </is>
      </c>
      <c r="Q1984" s="33" t="inlineStr">
        <is>
          <t>LCM_200_FREE</t>
        </is>
      </c>
      <c r="R1984" s="36" t="n">
        <v>129.98</v>
      </c>
      <c r="S1984" s="35">
        <f>IF(R1984="","",IF(R1984&gt;=60,INT(R1984/60)&amp;":"&amp;TEXT(MOD(R1984,60),"00.00"),TEXT(R1984,"0.00")))</f>
        <v/>
      </c>
      <c r="T1984" s="52">
        <f>IFERROR((G1984-INDEX('01_Swimmers'!$E$5:$E$22,MATCH(B1984,'01_Swimmers'!$A$5:$A$22,0)))/'00_Control'!$B$10,"")</f>
        <v/>
      </c>
      <c r="U1984" s="35">
        <f>IF(T1984="","",INT(T1984))</f>
        <v/>
      </c>
      <c r="V1984" s="33" t="inlineStr">
        <is>
          <t>NO</t>
        </is>
      </c>
      <c r="W1984" s="33" t="inlineStr">
        <is>
          <t>YES</t>
        </is>
      </c>
      <c r="X1984" s="33" t="inlineStr">
        <is>
          <t>NO</t>
        </is>
      </c>
      <c r="Y1984" s="33" t="n">
        <v>2</v>
      </c>
      <c r="Z1984" s="33" t="n">
        <v>5</v>
      </c>
      <c r="AA1984" s="33" t="inlineStr">
        <is>
          <t>1</t>
        </is>
      </c>
      <c r="AB1984" s="33" t="inlineStr">
        <is>
          <t>https://www.swimcloud.com/results/308779/event/44/?id=129702566#time129702566</t>
        </is>
      </c>
      <c r="AC1984" s="33" t="inlineStr">
        <is>
          <t>SwimCloud API v6 2026-10-08</t>
        </is>
      </c>
      <c r="AD1984" s="33" t="inlineStr">
        <is>
          <t>Lubo Liu-Tchorbadjiyski|2024-07-19|LCM|200|Free|129.98|spring NW ISI divisional chanpionship|FIN|False</t>
        </is>
      </c>
      <c r="AE1984" s="53">
        <f>G1984+L1984/1000+ROW()/1000000000</f>
        <v/>
      </c>
      <c r="AF1984" s="35">
        <f>IF(C1984&lt;&gt;"Grayson Coulter","",COUNTIFS($C$5:$C$2991,"Grayson Coulter",$Q$5:$Q$2991,Q1984,$AE$5:$AE$2991,"&lt;="&amp;AE1984,$R$5:$R$2991,"&lt;"&amp;R1984))</f>
        <v/>
      </c>
      <c r="AG1984" s="35">
        <f>IF(OR(C1984&lt;&gt;"Grayson Coulter",G1984&lt;'00_Control'!$B$7),"",--(AF1984&lt;5))</f>
        <v/>
      </c>
      <c r="AH1984" s="35">
        <f>IF(OR(C1984&lt;&gt;"Grayson Coulter",G1984&lt;'00_Control'!$B$7),"",--(AF1984&lt;10))</f>
        <v/>
      </c>
      <c r="AI1984" s="35">
        <f>IF(AND(C1984="Grayson Coulter",G1984&gt;='00_Control'!$B$7),"YES","NO")</f>
        <v/>
      </c>
      <c r="AJ1984" s="33" t="inlineStr">
        <is>
          <t>OK</t>
        </is>
      </c>
    </row>
    <row r="1985">
      <c r="A1985" s="33" t="inlineStr">
        <is>
          <t>SM001981</t>
        </is>
      </c>
      <c r="B1985" s="33" t="inlineStr">
        <is>
          <t>SW004</t>
        </is>
      </c>
      <c r="C1985" s="33" t="inlineStr">
        <is>
          <t>Lubo Liu-Tchorbadjiyski</t>
        </is>
      </c>
      <c r="D1985" s="33" t="inlineStr">
        <is>
          <t>SwimCloud</t>
        </is>
      </c>
      <c r="E1985" s="33" t="inlineStr">
        <is>
          <t>3102544</t>
        </is>
      </c>
      <c r="F1985" s="33" t="inlineStr">
        <is>
          <t>129706738</t>
        </is>
      </c>
      <c r="G1985" s="51" t="n">
        <v>45493</v>
      </c>
      <c r="H1985" s="33" t="inlineStr">
        <is>
          <t>spring NW ISI divisional chanpionship</t>
        </is>
      </c>
      <c r="I1985" s="33" t="inlineStr">
        <is>
          <t>308779</t>
        </is>
      </c>
      <c r="J1985" s="33" t="inlineStr"/>
      <c r="K1985" s="33" t="inlineStr">
        <is>
          <t>TIM</t>
        </is>
      </c>
      <c r="L1985" s="35">
        <f>IF(K1985="FIN",3,IF(OR(K1985="SEM",K1985="SEMI"),2,IF(OR(K1985="PRE",K1985="HEAT"),1,IF(V1985="YES",4,2))))</f>
        <v/>
      </c>
      <c r="M1985" s="33" t="inlineStr">
        <is>
          <t>LCM</t>
        </is>
      </c>
      <c r="N1985" s="33" t="n">
        <v>100</v>
      </c>
      <c r="O1985" s="33" t="inlineStr">
        <is>
          <t>Free</t>
        </is>
      </c>
      <c r="P1985" s="33" t="inlineStr">
        <is>
          <t>100 Free</t>
        </is>
      </c>
      <c r="Q1985" s="33" t="inlineStr">
        <is>
          <t>LCM_100_FREE</t>
        </is>
      </c>
      <c r="R1985" s="36" t="n">
        <v>58.82</v>
      </c>
      <c r="S1985" s="35">
        <f>IF(R1985="","",IF(R1985&gt;=60,INT(R1985/60)&amp;":"&amp;TEXT(MOD(R1985,60),"00.00"),TEXT(R1985,"0.00")))</f>
        <v/>
      </c>
      <c r="T1985" s="52">
        <f>IFERROR((G1985-INDEX('01_Swimmers'!$E$5:$E$22,MATCH(B1985,'01_Swimmers'!$A$5:$A$22,0)))/'00_Control'!$B$10,"")</f>
        <v/>
      </c>
      <c r="U1985" s="35">
        <f>IF(T1985="","",INT(T1985))</f>
        <v/>
      </c>
      <c r="V1985" s="33" t="inlineStr">
        <is>
          <t>YES</t>
        </is>
      </c>
      <c r="W1985" s="33" t="inlineStr">
        <is>
          <t>YES</t>
        </is>
      </c>
      <c r="X1985" s="33" t="inlineStr">
        <is>
          <t>NO</t>
        </is>
      </c>
      <c r="Y1985" s="33" t="n">
        <v>2</v>
      </c>
      <c r="Z1985" s="33" t="n">
        <v>4</v>
      </c>
      <c r="AA1985" s="33" t="inlineStr"/>
      <c r="AB1985" s="33" t="inlineStr">
        <is>
          <t>https://www.swimcloud.com/results/308779/event/80/?id=129705413#time129705413</t>
        </is>
      </c>
      <c r="AC1985" s="33" t="inlineStr">
        <is>
          <t>SwimCloud API v6 2026-10-08</t>
        </is>
      </c>
      <c r="AD1985" s="33" t="inlineStr">
        <is>
          <t>Lubo Liu-Tchorbadjiyski|2024-07-20|LCM|100|Free|58.82|spring NW ISI divisional chanpionship|TIM|True</t>
        </is>
      </c>
      <c r="AE1985" s="53">
        <f>G1985+L1985/1000+ROW()/1000000000</f>
        <v/>
      </c>
      <c r="AF1985" s="35">
        <f>IF(C1985&lt;&gt;"Grayson Coulter","",COUNTIFS($C$5:$C$2991,"Grayson Coulter",$Q$5:$Q$2991,Q1985,$AE$5:$AE$2991,"&lt;="&amp;AE1985,$R$5:$R$2991,"&lt;"&amp;R1985))</f>
        <v/>
      </c>
      <c r="AG1985" s="35">
        <f>IF(OR(C1985&lt;&gt;"Grayson Coulter",G1985&lt;'00_Control'!$B$7),"",--(AF1985&lt;5))</f>
        <v/>
      </c>
      <c r="AH1985" s="35">
        <f>IF(OR(C1985&lt;&gt;"Grayson Coulter",G1985&lt;'00_Control'!$B$7),"",--(AF1985&lt;10))</f>
        <v/>
      </c>
      <c r="AI1985" s="35">
        <f>IF(AND(C1985="Grayson Coulter",G1985&gt;='00_Control'!$B$7),"YES","NO")</f>
        <v/>
      </c>
      <c r="AJ1985" s="33" t="inlineStr">
        <is>
          <t>OK</t>
        </is>
      </c>
    </row>
    <row r="1986">
      <c r="A1986" s="33" t="inlineStr">
        <is>
          <t>SM001982</t>
        </is>
      </c>
      <c r="B1986" s="33" t="inlineStr">
        <is>
          <t>SW004</t>
        </is>
      </c>
      <c r="C1986" s="33" t="inlineStr">
        <is>
          <t>Lubo Liu-Tchorbadjiyski</t>
        </is>
      </c>
      <c r="D1986" s="33" t="inlineStr">
        <is>
          <t>SwimCloud</t>
        </is>
      </c>
      <c r="E1986" s="33" t="inlineStr">
        <is>
          <t>3102544</t>
        </is>
      </c>
      <c r="F1986" s="33" t="inlineStr">
        <is>
          <t>129705149</t>
        </is>
      </c>
      <c r="G1986" s="51" t="n">
        <v>45494</v>
      </c>
      <c r="H1986" s="33" t="inlineStr">
        <is>
          <t>spring NW ISI divisional chanpionship</t>
        </is>
      </c>
      <c r="I1986" s="33" t="inlineStr">
        <is>
          <t>308779</t>
        </is>
      </c>
      <c r="J1986" s="33" t="inlineStr"/>
      <c r="K1986" s="33" t="inlineStr">
        <is>
          <t>PRE</t>
        </is>
      </c>
      <c r="L1986" s="35">
        <f>IF(K1986="FIN",3,IF(OR(K1986="SEM",K1986="SEMI"),2,IF(OR(K1986="PRE",K1986="HEAT"),1,IF(V1986="YES",4,2))))</f>
        <v/>
      </c>
      <c r="M1986" s="33" t="inlineStr">
        <is>
          <t>LCM</t>
        </is>
      </c>
      <c r="N1986" s="33" t="n">
        <v>100</v>
      </c>
      <c r="O1986" s="33" t="inlineStr">
        <is>
          <t>Fly</t>
        </is>
      </c>
      <c r="P1986" s="33" t="inlineStr">
        <is>
          <t>100 Fly</t>
        </is>
      </c>
      <c r="Q1986" s="33" t="inlineStr">
        <is>
          <t>LCM_100_FLY</t>
        </is>
      </c>
      <c r="R1986" s="36" t="n">
        <v>64.89</v>
      </c>
      <c r="S1986" s="35">
        <f>IF(R1986="","",IF(R1986&gt;=60,INT(R1986/60)&amp;":"&amp;TEXT(MOD(R1986,60),"00.00"),TEXT(R1986,"0.00")))</f>
        <v/>
      </c>
      <c r="T1986" s="52">
        <f>IFERROR((G1986-INDEX('01_Swimmers'!$E$5:$E$22,MATCH(B1986,'01_Swimmers'!$A$5:$A$22,0)))/'00_Control'!$B$10,"")</f>
        <v/>
      </c>
      <c r="U1986" s="35">
        <f>IF(T1986="","",INT(T1986))</f>
        <v/>
      </c>
      <c r="V1986" s="33" t="inlineStr">
        <is>
          <t>NO</t>
        </is>
      </c>
      <c r="W1986" s="33" t="inlineStr">
        <is>
          <t>YES</t>
        </is>
      </c>
      <c r="X1986" s="33" t="inlineStr">
        <is>
          <t>NO</t>
        </is>
      </c>
      <c r="Y1986" s="33" t="n">
        <v>3</v>
      </c>
      <c r="Z1986" s="33" t="n">
        <v>5</v>
      </c>
      <c r="AA1986" s="33" t="inlineStr">
        <is>
          <t>1</t>
        </is>
      </c>
      <c r="AB1986" s="33" t="inlineStr">
        <is>
          <t>https://www.swimcloud.com/results/308779/event/84/?id=129705149#time129705149</t>
        </is>
      </c>
      <c r="AC1986" s="33" t="inlineStr">
        <is>
          <t>SwimCloud API v6 2026-10-08</t>
        </is>
      </c>
      <c r="AD1986" s="33" t="inlineStr">
        <is>
          <t>Lubo Liu-Tchorbadjiyski|2024-07-21|LCM|100|Fly|64.89|spring NW ISI divisional chanpionship|PRE|False</t>
        </is>
      </c>
      <c r="AE1986" s="53">
        <f>G1986+L1986/1000+ROW()/1000000000</f>
        <v/>
      </c>
      <c r="AF1986" s="35">
        <f>IF(C1986&lt;&gt;"Grayson Coulter","",COUNTIFS($C$5:$C$2991,"Grayson Coulter",$Q$5:$Q$2991,Q1986,$AE$5:$AE$2991,"&lt;="&amp;AE1986,$R$5:$R$2991,"&lt;"&amp;R1986))</f>
        <v/>
      </c>
      <c r="AG1986" s="35">
        <f>IF(OR(C1986&lt;&gt;"Grayson Coulter",G1986&lt;'00_Control'!$B$7),"",--(AF1986&lt;5))</f>
        <v/>
      </c>
      <c r="AH1986" s="35">
        <f>IF(OR(C1986&lt;&gt;"Grayson Coulter",G1986&lt;'00_Control'!$B$7),"",--(AF1986&lt;10))</f>
        <v/>
      </c>
      <c r="AI1986" s="35">
        <f>IF(AND(C1986="Grayson Coulter",G1986&gt;='00_Control'!$B$7),"YES","NO")</f>
        <v/>
      </c>
      <c r="AJ1986" s="33" t="inlineStr">
        <is>
          <t>OK</t>
        </is>
      </c>
    </row>
    <row r="1987">
      <c r="A1987" s="33" t="inlineStr">
        <is>
          <t>SM001983</t>
        </is>
      </c>
      <c r="B1987" s="33" t="inlineStr">
        <is>
          <t>SW004</t>
        </is>
      </c>
      <c r="C1987" s="33" t="inlineStr">
        <is>
          <t>Lubo Liu-Tchorbadjiyski</t>
        </is>
      </c>
      <c r="D1987" s="33" t="inlineStr">
        <is>
          <t>SwimCloud</t>
        </is>
      </c>
      <c r="E1987" s="33" t="inlineStr">
        <is>
          <t>3102544</t>
        </is>
      </c>
      <c r="F1987" s="33" t="inlineStr">
        <is>
          <t>129705150</t>
        </is>
      </c>
      <c r="G1987" s="51" t="n">
        <v>45494</v>
      </c>
      <c r="H1987" s="33" t="inlineStr">
        <is>
          <t>spring NW ISI divisional chanpionship</t>
        </is>
      </c>
      <c r="I1987" s="33" t="inlineStr">
        <is>
          <t>308779</t>
        </is>
      </c>
      <c r="J1987" s="33" t="inlineStr"/>
      <c r="K1987" s="33" t="inlineStr">
        <is>
          <t>FIN</t>
        </is>
      </c>
      <c r="L1987" s="35">
        <f>IF(K1987="FIN",3,IF(OR(K1987="SEM",K1987="SEMI"),2,IF(OR(K1987="PRE",K1987="HEAT"),1,IF(V1987="YES",4,2))))</f>
        <v/>
      </c>
      <c r="M1987" s="33" t="inlineStr">
        <is>
          <t>LCM</t>
        </is>
      </c>
      <c r="N1987" s="33" t="n">
        <v>100</v>
      </c>
      <c r="O1987" s="33" t="inlineStr">
        <is>
          <t>Fly</t>
        </is>
      </c>
      <c r="P1987" s="33" t="inlineStr">
        <is>
          <t>100 Fly</t>
        </is>
      </c>
      <c r="Q1987" s="33" t="inlineStr">
        <is>
          <t>LCM_100_FLY</t>
        </is>
      </c>
      <c r="R1987" s="36" t="n">
        <v>63.73</v>
      </c>
      <c r="S1987" s="35">
        <f>IF(R1987="","",IF(R1987&gt;=60,INT(R1987/60)&amp;":"&amp;TEXT(MOD(R1987,60),"00.00"),TEXT(R1987,"0.00")))</f>
        <v/>
      </c>
      <c r="T1987" s="52">
        <f>IFERROR((G1987-INDEX('01_Swimmers'!$E$5:$E$22,MATCH(B1987,'01_Swimmers'!$A$5:$A$22,0)))/'00_Control'!$B$10,"")</f>
        <v/>
      </c>
      <c r="U1987" s="35">
        <f>IF(T1987="","",INT(T1987))</f>
        <v/>
      </c>
      <c r="V1987" s="33" t="inlineStr">
        <is>
          <t>NO</t>
        </is>
      </c>
      <c r="W1987" s="33" t="inlineStr">
        <is>
          <t>YES</t>
        </is>
      </c>
      <c r="X1987" s="33" t="inlineStr">
        <is>
          <t>NO</t>
        </is>
      </c>
      <c r="Y1987" s="33" t="n">
        <v>2</v>
      </c>
      <c r="Z1987" s="33" t="n">
        <v>5</v>
      </c>
      <c r="AA1987" s="33" t="inlineStr">
        <is>
          <t>1</t>
        </is>
      </c>
      <c r="AB1987" s="33" t="inlineStr">
        <is>
          <t>https://www.swimcloud.com/results/308779/event/84/?id=129705150#time129705150</t>
        </is>
      </c>
      <c r="AC1987" s="33" t="inlineStr">
        <is>
          <t>SwimCloud API v6 2026-10-08</t>
        </is>
      </c>
      <c r="AD1987" s="33" t="inlineStr">
        <is>
          <t>Lubo Liu-Tchorbadjiyski|2024-07-21|LCM|100|Fly|63.73|spring NW ISI divisional chanpionship|FIN|False</t>
        </is>
      </c>
      <c r="AE1987" s="53">
        <f>G1987+L1987/1000+ROW()/1000000000</f>
        <v/>
      </c>
      <c r="AF1987" s="35">
        <f>IF(C1987&lt;&gt;"Grayson Coulter","",COUNTIFS($C$5:$C$2991,"Grayson Coulter",$Q$5:$Q$2991,Q1987,$AE$5:$AE$2991,"&lt;="&amp;AE1987,$R$5:$R$2991,"&lt;"&amp;R1987))</f>
        <v/>
      </c>
      <c r="AG1987" s="35">
        <f>IF(OR(C1987&lt;&gt;"Grayson Coulter",G1987&lt;'00_Control'!$B$7),"",--(AF1987&lt;5))</f>
        <v/>
      </c>
      <c r="AH1987" s="35">
        <f>IF(OR(C1987&lt;&gt;"Grayson Coulter",G1987&lt;'00_Control'!$B$7),"",--(AF1987&lt;10))</f>
        <v/>
      </c>
      <c r="AI1987" s="35">
        <f>IF(AND(C1987="Grayson Coulter",G1987&gt;='00_Control'!$B$7),"YES","NO")</f>
        <v/>
      </c>
      <c r="AJ1987" s="33" t="inlineStr">
        <is>
          <t>OK</t>
        </is>
      </c>
    </row>
    <row r="1988">
      <c r="A1988" s="33" t="inlineStr">
        <is>
          <t>SM001984</t>
        </is>
      </c>
      <c r="B1988" s="33" t="inlineStr">
        <is>
          <t>SW004</t>
        </is>
      </c>
      <c r="C1988" s="33" t="inlineStr">
        <is>
          <t>Lubo Liu-Tchorbadjiyski</t>
        </is>
      </c>
      <c r="D1988" s="33" t="inlineStr">
        <is>
          <t>SwimCloud</t>
        </is>
      </c>
      <c r="E1988" s="33" t="inlineStr">
        <is>
          <t>3102544</t>
        </is>
      </c>
      <c r="F1988" s="33" t="inlineStr">
        <is>
          <t>130620097</t>
        </is>
      </c>
      <c r="G1988" s="51" t="n">
        <v>45506</v>
      </c>
      <c r="H1988" s="33" t="inlineStr">
        <is>
          <t>Central Zone 14 &amp; U Championship</t>
        </is>
      </c>
      <c r="I1988" s="33" t="inlineStr">
        <is>
          <t>309755</t>
        </is>
      </c>
      <c r="J1988" s="33" t="inlineStr"/>
      <c r="K1988" s="33" t="inlineStr">
        <is>
          <t>PRE</t>
        </is>
      </c>
      <c r="L1988" s="35">
        <f>IF(K1988="FIN",3,IF(OR(K1988="SEM",K1988="SEMI"),2,IF(OR(K1988="PRE",K1988="HEAT"),1,IF(V1988="YES",4,2))))</f>
        <v/>
      </c>
      <c r="M1988" s="33" t="inlineStr">
        <is>
          <t>LCM</t>
        </is>
      </c>
      <c r="N1988" s="33" t="n">
        <v>100</v>
      </c>
      <c r="O1988" s="33" t="inlineStr">
        <is>
          <t>Free</t>
        </is>
      </c>
      <c r="P1988" s="33" t="inlineStr">
        <is>
          <t>100 Free</t>
        </is>
      </c>
      <c r="Q1988" s="33" t="inlineStr">
        <is>
          <t>LCM_100_FREE</t>
        </is>
      </c>
      <c r="R1988" s="36" t="n">
        <v>58.99</v>
      </c>
      <c r="S1988" s="35">
        <f>IF(R1988="","",IF(R1988&gt;=60,INT(R1988/60)&amp;":"&amp;TEXT(MOD(R1988,60),"00.00"),TEXT(R1988,"0.00")))</f>
        <v/>
      </c>
      <c r="T1988" s="52">
        <f>IFERROR((G1988-INDEX('01_Swimmers'!$E$5:$E$22,MATCH(B1988,'01_Swimmers'!$A$5:$A$22,0)))/'00_Control'!$B$10,"")</f>
        <v/>
      </c>
      <c r="U1988" s="35">
        <f>IF(T1988="","",INT(T1988))</f>
        <v/>
      </c>
      <c r="V1988" s="33" t="inlineStr">
        <is>
          <t>NO</t>
        </is>
      </c>
      <c r="W1988" s="33" t="inlineStr">
        <is>
          <t>YES</t>
        </is>
      </c>
      <c r="X1988" s="33" t="inlineStr">
        <is>
          <t>NO</t>
        </is>
      </c>
      <c r="Y1988" s="33" t="n">
        <v>3</v>
      </c>
      <c r="Z1988" s="33" t="n">
        <v>4</v>
      </c>
      <c r="AA1988" s="33" t="inlineStr">
        <is>
          <t>2</t>
        </is>
      </c>
      <c r="AB1988" s="33" t="inlineStr">
        <is>
          <t>https://www.swimcloud.com/results/309755/event/30/?id=130620097#time130620097</t>
        </is>
      </c>
      <c r="AC1988" s="33" t="inlineStr">
        <is>
          <t>SwimCloud API v6 2026-10-08</t>
        </is>
      </c>
      <c r="AD1988" s="33" t="inlineStr">
        <is>
          <t>Lubo Liu-Tchorbadjiyski|2024-08-02|LCM|100|Free|58.99|Central Zone 14 &amp; U Championship|PRE|False</t>
        </is>
      </c>
      <c r="AE1988" s="53">
        <f>G1988+L1988/1000+ROW()/1000000000</f>
        <v/>
      </c>
      <c r="AF1988" s="35">
        <f>IF(C1988&lt;&gt;"Grayson Coulter","",COUNTIFS($C$5:$C$2991,"Grayson Coulter",$Q$5:$Q$2991,Q1988,$AE$5:$AE$2991,"&lt;="&amp;AE1988,$R$5:$R$2991,"&lt;"&amp;R1988))</f>
        <v/>
      </c>
      <c r="AG1988" s="35">
        <f>IF(OR(C1988&lt;&gt;"Grayson Coulter",G1988&lt;'00_Control'!$B$7),"",--(AF1988&lt;5))</f>
        <v/>
      </c>
      <c r="AH1988" s="35">
        <f>IF(OR(C1988&lt;&gt;"Grayson Coulter",G1988&lt;'00_Control'!$B$7),"",--(AF1988&lt;10))</f>
        <v/>
      </c>
      <c r="AI1988" s="35">
        <f>IF(AND(C1988="Grayson Coulter",G1988&gt;='00_Control'!$B$7),"YES","NO")</f>
        <v/>
      </c>
      <c r="AJ1988" s="33" t="inlineStr">
        <is>
          <t>OK</t>
        </is>
      </c>
    </row>
    <row r="1989">
      <c r="A1989" s="33" t="inlineStr">
        <is>
          <t>SM001985</t>
        </is>
      </c>
      <c r="B1989" s="33" t="inlineStr">
        <is>
          <t>SW004</t>
        </is>
      </c>
      <c r="C1989" s="33" t="inlineStr">
        <is>
          <t>Lubo Liu-Tchorbadjiyski</t>
        </is>
      </c>
      <c r="D1989" s="33" t="inlineStr">
        <is>
          <t>SwimCloud</t>
        </is>
      </c>
      <c r="E1989" s="33" t="inlineStr">
        <is>
          <t>3102544</t>
        </is>
      </c>
      <c r="F1989" s="33" t="inlineStr">
        <is>
          <t>130620098</t>
        </is>
      </c>
      <c r="G1989" s="51" t="n">
        <v>45506</v>
      </c>
      <c r="H1989" s="33" t="inlineStr">
        <is>
          <t>Central Zone 14 &amp; U Championship</t>
        </is>
      </c>
      <c r="I1989" s="33" t="inlineStr">
        <is>
          <t>309755</t>
        </is>
      </c>
      <c r="J1989" s="33" t="inlineStr"/>
      <c r="K1989" s="33" t="inlineStr">
        <is>
          <t>FIN</t>
        </is>
      </c>
      <c r="L1989" s="35">
        <f>IF(K1989="FIN",3,IF(OR(K1989="SEM",K1989="SEMI"),2,IF(OR(K1989="PRE",K1989="HEAT"),1,IF(V1989="YES",4,2))))</f>
        <v/>
      </c>
      <c r="M1989" s="33" t="inlineStr">
        <is>
          <t>LCM</t>
        </is>
      </c>
      <c r="N1989" s="33" t="n">
        <v>100</v>
      </c>
      <c r="O1989" s="33" t="inlineStr">
        <is>
          <t>Free</t>
        </is>
      </c>
      <c r="P1989" s="33" t="inlineStr">
        <is>
          <t>100 Free</t>
        </is>
      </c>
      <c r="Q1989" s="33" t="inlineStr">
        <is>
          <t>LCM_100_FREE</t>
        </is>
      </c>
      <c r="R1989" s="36" t="n">
        <v>58.01</v>
      </c>
      <c r="S1989" s="35">
        <f>IF(R1989="","",IF(R1989&gt;=60,INT(R1989/60)&amp;":"&amp;TEXT(MOD(R1989,60),"00.00"),TEXT(R1989,"0.00")))</f>
        <v/>
      </c>
      <c r="T1989" s="52">
        <f>IFERROR((G1989-INDEX('01_Swimmers'!$E$5:$E$22,MATCH(B1989,'01_Swimmers'!$A$5:$A$22,0)))/'00_Control'!$B$10,"")</f>
        <v/>
      </c>
      <c r="U1989" s="35">
        <f>IF(T1989="","",INT(T1989))</f>
        <v/>
      </c>
      <c r="V1989" s="33" t="inlineStr">
        <is>
          <t>NO</t>
        </is>
      </c>
      <c r="W1989" s="33" t="inlineStr">
        <is>
          <t>YES</t>
        </is>
      </c>
      <c r="X1989" s="33" t="inlineStr">
        <is>
          <t>NO</t>
        </is>
      </c>
      <c r="Y1989" s="33" t="n">
        <v>2</v>
      </c>
      <c r="Z1989" s="33" t="n">
        <v>5</v>
      </c>
      <c r="AA1989" s="33" t="inlineStr">
        <is>
          <t>1</t>
        </is>
      </c>
      <c r="AB1989" s="33" t="inlineStr">
        <is>
          <t>https://www.swimcloud.com/results/309755/event/30/?id=130620098#time130620098</t>
        </is>
      </c>
      <c r="AC1989" s="33" t="inlineStr">
        <is>
          <t>SwimCloud API v6 2026-10-08</t>
        </is>
      </c>
      <c r="AD1989" s="33" t="inlineStr">
        <is>
          <t>Lubo Liu-Tchorbadjiyski|2024-08-02|LCM|100|Free|58.01|Central Zone 14 &amp; U Championship|FIN|False</t>
        </is>
      </c>
      <c r="AE1989" s="53">
        <f>G1989+L1989/1000+ROW()/1000000000</f>
        <v/>
      </c>
      <c r="AF1989" s="35">
        <f>IF(C1989&lt;&gt;"Grayson Coulter","",COUNTIFS($C$5:$C$2991,"Grayson Coulter",$Q$5:$Q$2991,Q1989,$AE$5:$AE$2991,"&lt;="&amp;AE1989,$R$5:$R$2991,"&lt;"&amp;R1989))</f>
        <v/>
      </c>
      <c r="AG1989" s="35">
        <f>IF(OR(C1989&lt;&gt;"Grayson Coulter",G1989&lt;'00_Control'!$B$7),"",--(AF1989&lt;5))</f>
        <v/>
      </c>
      <c r="AH1989" s="35">
        <f>IF(OR(C1989&lt;&gt;"Grayson Coulter",G1989&lt;'00_Control'!$B$7),"",--(AF1989&lt;10))</f>
        <v/>
      </c>
      <c r="AI1989" s="35">
        <f>IF(AND(C1989="Grayson Coulter",G1989&gt;='00_Control'!$B$7),"YES","NO")</f>
        <v/>
      </c>
      <c r="AJ1989" s="33" t="inlineStr">
        <is>
          <t>OK</t>
        </is>
      </c>
    </row>
    <row r="1990">
      <c r="A1990" s="33" t="inlineStr">
        <is>
          <t>SM001986</t>
        </is>
      </c>
      <c r="B1990" s="33" t="inlineStr">
        <is>
          <t>SW004</t>
        </is>
      </c>
      <c r="C1990" s="33" t="inlineStr">
        <is>
          <t>Lubo Liu-Tchorbadjiyski</t>
        </is>
      </c>
      <c r="D1990" s="33" t="inlineStr">
        <is>
          <t>SwimCloud</t>
        </is>
      </c>
      <c r="E1990" s="33" t="inlineStr">
        <is>
          <t>3102544</t>
        </is>
      </c>
      <c r="F1990" s="33" t="inlineStr">
        <is>
          <t>130619877</t>
        </is>
      </c>
      <c r="G1990" s="51" t="n">
        <v>45508</v>
      </c>
      <c r="H1990" s="33" t="inlineStr">
        <is>
          <t>Central Zone 14 &amp; U Championship</t>
        </is>
      </c>
      <c r="I1990" s="33" t="inlineStr">
        <is>
          <t>309755</t>
        </is>
      </c>
      <c r="J1990" s="33" t="inlineStr"/>
      <c r="K1990" s="33" t="inlineStr">
        <is>
          <t>PRE</t>
        </is>
      </c>
      <c r="L1990" s="35">
        <f>IF(K1990="FIN",3,IF(OR(K1990="SEM",K1990="SEMI"),2,IF(OR(K1990="PRE",K1990="HEAT"),1,IF(V1990="YES",4,2))))</f>
        <v/>
      </c>
      <c r="M1990" s="33" t="inlineStr">
        <is>
          <t>LCM</t>
        </is>
      </c>
      <c r="N1990" s="33" t="n">
        <v>100</v>
      </c>
      <c r="O1990" s="33" t="inlineStr">
        <is>
          <t>Fly</t>
        </is>
      </c>
      <c r="P1990" s="33" t="inlineStr">
        <is>
          <t>100 Fly</t>
        </is>
      </c>
      <c r="Q1990" s="33" t="inlineStr">
        <is>
          <t>LCM_100_FLY</t>
        </is>
      </c>
      <c r="R1990" s="36" t="n">
        <v>65.43000000000001</v>
      </c>
      <c r="S1990" s="35">
        <f>IF(R1990="","",IF(R1990&gt;=60,INT(R1990/60)&amp;":"&amp;TEXT(MOD(R1990,60),"00.00"),TEXT(R1990,"0.00")))</f>
        <v/>
      </c>
      <c r="T1990" s="52">
        <f>IFERROR((G1990-INDEX('01_Swimmers'!$E$5:$E$22,MATCH(B1990,'01_Swimmers'!$A$5:$A$22,0)))/'00_Control'!$B$10,"")</f>
        <v/>
      </c>
      <c r="U1990" s="35">
        <f>IF(T1990="","",INT(T1990))</f>
        <v/>
      </c>
      <c r="V1990" s="33" t="inlineStr">
        <is>
          <t>NO</t>
        </is>
      </c>
      <c r="W1990" s="33" t="inlineStr">
        <is>
          <t>YES</t>
        </is>
      </c>
      <c r="X1990" s="33" t="inlineStr">
        <is>
          <t>NO</t>
        </is>
      </c>
      <c r="Y1990" s="33" t="n">
        <v>3</v>
      </c>
      <c r="Z1990" s="33" t="n">
        <v>4</v>
      </c>
      <c r="AA1990" s="33" t="inlineStr">
        <is>
          <t>1</t>
        </is>
      </c>
      <c r="AB1990" s="33" t="inlineStr">
        <is>
          <t>https://www.swimcloud.com/results/309755/event/96/?id=130619877#time130619877</t>
        </is>
      </c>
      <c r="AC1990" s="33" t="inlineStr">
        <is>
          <t>SwimCloud API v6 2026-10-08</t>
        </is>
      </c>
      <c r="AD1990" s="33" t="inlineStr">
        <is>
          <t>Lubo Liu-Tchorbadjiyski|2024-08-04|LCM|100|Fly|65.43|Central Zone 14 &amp; U Championship|PRE|False</t>
        </is>
      </c>
      <c r="AE1990" s="53">
        <f>G1990+L1990/1000+ROW()/1000000000</f>
        <v/>
      </c>
      <c r="AF1990" s="35">
        <f>IF(C1990&lt;&gt;"Grayson Coulter","",COUNTIFS($C$5:$C$2991,"Grayson Coulter",$Q$5:$Q$2991,Q1990,$AE$5:$AE$2991,"&lt;="&amp;AE1990,$R$5:$R$2991,"&lt;"&amp;R1990))</f>
        <v/>
      </c>
      <c r="AG1990" s="35">
        <f>IF(OR(C1990&lt;&gt;"Grayson Coulter",G1990&lt;'00_Control'!$B$7),"",--(AF1990&lt;5))</f>
        <v/>
      </c>
      <c r="AH1990" s="35">
        <f>IF(OR(C1990&lt;&gt;"Grayson Coulter",G1990&lt;'00_Control'!$B$7),"",--(AF1990&lt;10))</f>
        <v/>
      </c>
      <c r="AI1990" s="35">
        <f>IF(AND(C1990="Grayson Coulter",G1990&gt;='00_Control'!$B$7),"YES","NO")</f>
        <v/>
      </c>
      <c r="AJ1990" s="33" t="inlineStr">
        <is>
          <t>OK</t>
        </is>
      </c>
    </row>
    <row r="1991">
      <c r="A1991" s="33" t="inlineStr">
        <is>
          <t>SM001987</t>
        </is>
      </c>
      <c r="B1991" s="33" t="inlineStr">
        <is>
          <t>SW004</t>
        </is>
      </c>
      <c r="C1991" s="33" t="inlineStr">
        <is>
          <t>Lubo Liu-Tchorbadjiyski</t>
        </is>
      </c>
      <c r="D1991" s="33" t="inlineStr">
        <is>
          <t>SwimCloud</t>
        </is>
      </c>
      <c r="E1991" s="33" t="inlineStr">
        <is>
          <t>3102544</t>
        </is>
      </c>
      <c r="F1991" s="33" t="inlineStr">
        <is>
          <t>130619878</t>
        </is>
      </c>
      <c r="G1991" s="51" t="n">
        <v>45508</v>
      </c>
      <c r="H1991" s="33" t="inlineStr">
        <is>
          <t>Central Zone 14 &amp; U Championship</t>
        </is>
      </c>
      <c r="I1991" s="33" t="inlineStr">
        <is>
          <t>309755</t>
        </is>
      </c>
      <c r="J1991" s="33" t="inlineStr"/>
      <c r="K1991" s="33" t="inlineStr">
        <is>
          <t>FIN</t>
        </is>
      </c>
      <c r="L1991" s="35">
        <f>IF(K1991="FIN",3,IF(OR(K1991="SEM",K1991="SEMI"),2,IF(OR(K1991="PRE",K1991="HEAT"),1,IF(V1991="YES",4,2))))</f>
        <v/>
      </c>
      <c r="M1991" s="33" t="inlineStr">
        <is>
          <t>LCM</t>
        </is>
      </c>
      <c r="N1991" s="33" t="n">
        <v>100</v>
      </c>
      <c r="O1991" s="33" t="inlineStr">
        <is>
          <t>Fly</t>
        </is>
      </c>
      <c r="P1991" s="33" t="inlineStr">
        <is>
          <t>100 Fly</t>
        </is>
      </c>
      <c r="Q1991" s="33" t="inlineStr">
        <is>
          <t>LCM_100_FLY</t>
        </is>
      </c>
      <c r="R1991" s="36" t="n">
        <v>64.29000000000001</v>
      </c>
      <c r="S1991" s="35">
        <f>IF(R1991="","",IF(R1991&gt;=60,INT(R1991/60)&amp;":"&amp;TEXT(MOD(R1991,60),"00.00"),TEXT(R1991,"0.00")))</f>
        <v/>
      </c>
      <c r="T1991" s="52">
        <f>IFERROR((G1991-INDEX('01_Swimmers'!$E$5:$E$22,MATCH(B1991,'01_Swimmers'!$A$5:$A$22,0)))/'00_Control'!$B$10,"")</f>
        <v/>
      </c>
      <c r="U1991" s="35">
        <f>IF(T1991="","",INT(T1991))</f>
        <v/>
      </c>
      <c r="V1991" s="33" t="inlineStr">
        <is>
          <t>NO</t>
        </is>
      </c>
      <c r="W1991" s="33" t="inlineStr">
        <is>
          <t>YES</t>
        </is>
      </c>
      <c r="X1991" s="33" t="inlineStr">
        <is>
          <t>NO</t>
        </is>
      </c>
      <c r="Y1991" s="33" t="n">
        <v>2</v>
      </c>
      <c r="Z1991" s="33" t="n">
        <v>4</v>
      </c>
      <c r="AA1991" s="33" t="inlineStr">
        <is>
          <t>1</t>
        </is>
      </c>
      <c r="AB1991" s="33" t="inlineStr">
        <is>
          <t>https://www.swimcloud.com/results/309755/event/96/?id=130619878#time130619878</t>
        </is>
      </c>
      <c r="AC1991" s="33" t="inlineStr">
        <is>
          <t>SwimCloud API v6 2026-10-08</t>
        </is>
      </c>
      <c r="AD1991" s="33" t="inlineStr">
        <is>
          <t>Lubo Liu-Tchorbadjiyski|2024-08-04|LCM|100|Fly|64.29|Central Zone 14 &amp; U Championship|FIN|False</t>
        </is>
      </c>
      <c r="AE1991" s="53">
        <f>G1991+L1991/1000+ROW()/1000000000</f>
        <v/>
      </c>
      <c r="AF1991" s="35">
        <f>IF(C1991&lt;&gt;"Grayson Coulter","",COUNTIFS($C$5:$C$2991,"Grayson Coulter",$Q$5:$Q$2991,Q1991,$AE$5:$AE$2991,"&lt;="&amp;AE1991,$R$5:$R$2991,"&lt;"&amp;R1991))</f>
        <v/>
      </c>
      <c r="AG1991" s="35">
        <f>IF(OR(C1991&lt;&gt;"Grayson Coulter",G1991&lt;'00_Control'!$B$7),"",--(AF1991&lt;5))</f>
        <v/>
      </c>
      <c r="AH1991" s="35">
        <f>IF(OR(C1991&lt;&gt;"Grayson Coulter",G1991&lt;'00_Control'!$B$7),"",--(AF1991&lt;10))</f>
        <v/>
      </c>
      <c r="AI1991" s="35">
        <f>IF(AND(C1991="Grayson Coulter",G1991&gt;='00_Control'!$B$7),"YES","NO")</f>
        <v/>
      </c>
      <c r="AJ1991" s="33" t="inlineStr">
        <is>
          <t>OK</t>
        </is>
      </c>
    </row>
    <row r="1992">
      <c r="A1992" s="33" t="inlineStr">
        <is>
          <t>SM001988</t>
        </is>
      </c>
      <c r="B1992" s="33" t="inlineStr">
        <is>
          <t>SW004</t>
        </is>
      </c>
      <c r="C1992" s="33" t="inlineStr">
        <is>
          <t>Lubo Liu-Tchorbadjiyski</t>
        </is>
      </c>
      <c r="D1992" s="33" t="inlineStr">
        <is>
          <t>SwimCloud</t>
        </is>
      </c>
      <c r="E1992" s="33" t="inlineStr">
        <is>
          <t>3102544</t>
        </is>
      </c>
      <c r="F1992" s="33" t="inlineStr">
        <is>
          <t>130621233</t>
        </is>
      </c>
      <c r="G1992" s="51" t="n">
        <v>45508</v>
      </c>
      <c r="H1992" s="33" t="inlineStr">
        <is>
          <t>Central Zone 14 &amp; U Championship</t>
        </is>
      </c>
      <c r="I1992" s="33" t="inlineStr">
        <is>
          <t>309755</t>
        </is>
      </c>
      <c r="J1992" s="33" t="inlineStr"/>
      <c r="K1992" s="33" t="inlineStr">
        <is>
          <t>TIM</t>
        </is>
      </c>
      <c r="L1992" s="35">
        <f>IF(K1992="FIN",3,IF(OR(K1992="SEM",K1992="SEMI"),2,IF(OR(K1992="PRE",K1992="HEAT"),1,IF(V1992="YES",4,2))))</f>
        <v/>
      </c>
      <c r="M1992" s="33" t="inlineStr">
        <is>
          <t>LCM</t>
        </is>
      </c>
      <c r="N1992" s="33" t="n">
        <v>100</v>
      </c>
      <c r="O1992" s="33" t="inlineStr">
        <is>
          <t>Free</t>
        </is>
      </c>
      <c r="P1992" s="33" t="inlineStr">
        <is>
          <t>100 Free</t>
        </is>
      </c>
      <c r="Q1992" s="33" t="inlineStr">
        <is>
          <t>LCM_100_FREE</t>
        </is>
      </c>
      <c r="R1992" s="36" t="n">
        <v>58.49</v>
      </c>
      <c r="S1992" s="35">
        <f>IF(R1992="","",IF(R1992&gt;=60,INT(R1992/60)&amp;":"&amp;TEXT(MOD(R1992,60),"00.00"),TEXT(R1992,"0.00")))</f>
        <v/>
      </c>
      <c r="T1992" s="52">
        <f>IFERROR((G1992-INDEX('01_Swimmers'!$E$5:$E$22,MATCH(B1992,'01_Swimmers'!$A$5:$A$22,0)))/'00_Control'!$B$10,"")</f>
        <v/>
      </c>
      <c r="U1992" s="35">
        <f>IF(T1992="","",INT(T1992))</f>
        <v/>
      </c>
      <c r="V1992" s="33" t="inlineStr">
        <is>
          <t>YES</t>
        </is>
      </c>
      <c r="W1992" s="33" t="inlineStr">
        <is>
          <t>YES</t>
        </is>
      </c>
      <c r="X1992" s="33" t="inlineStr">
        <is>
          <t>NO</t>
        </is>
      </c>
      <c r="Y1992" s="33" t="n">
        <v>2</v>
      </c>
      <c r="Z1992" s="33" t="n">
        <v>2</v>
      </c>
      <c r="AA1992" s="33" t="inlineStr"/>
      <c r="AB1992" s="33" t="inlineStr">
        <is>
          <t>https://www.swimcloud.com/results/309755/event/92/?id=130620315#time130620315</t>
        </is>
      </c>
      <c r="AC1992" s="33" t="inlineStr">
        <is>
          <t>SwimCloud API v6 2026-10-08</t>
        </is>
      </c>
      <c r="AD1992" s="33" t="inlineStr">
        <is>
          <t>Lubo Liu-Tchorbadjiyski|2024-08-04|LCM|100|Free|58.49|Central Zone 14 &amp; U Championship|TIM|True</t>
        </is>
      </c>
      <c r="AE1992" s="53">
        <f>G1992+L1992/1000+ROW()/1000000000</f>
        <v/>
      </c>
      <c r="AF1992" s="35">
        <f>IF(C1992&lt;&gt;"Grayson Coulter","",COUNTIFS($C$5:$C$2991,"Grayson Coulter",$Q$5:$Q$2991,Q1992,$AE$5:$AE$2991,"&lt;="&amp;AE1992,$R$5:$R$2991,"&lt;"&amp;R1992))</f>
        <v/>
      </c>
      <c r="AG1992" s="35">
        <f>IF(OR(C1992&lt;&gt;"Grayson Coulter",G1992&lt;'00_Control'!$B$7),"",--(AF1992&lt;5))</f>
        <v/>
      </c>
      <c r="AH1992" s="35">
        <f>IF(OR(C1992&lt;&gt;"Grayson Coulter",G1992&lt;'00_Control'!$B$7),"",--(AF1992&lt;10))</f>
        <v/>
      </c>
      <c r="AI1992" s="35">
        <f>IF(AND(C1992="Grayson Coulter",G1992&gt;='00_Control'!$B$7),"YES","NO")</f>
        <v/>
      </c>
      <c r="AJ1992" s="33" t="inlineStr">
        <is>
          <t>OK</t>
        </is>
      </c>
    </row>
    <row r="1993">
      <c r="A1993" s="33" t="inlineStr">
        <is>
          <t>SM001989</t>
        </is>
      </c>
      <c r="B1993" s="33" t="inlineStr">
        <is>
          <t>SW004</t>
        </is>
      </c>
      <c r="C1993" s="33" t="inlineStr">
        <is>
          <t>Lubo Liu-Tchorbadjiyski</t>
        </is>
      </c>
      <c r="D1993" s="33" t="inlineStr">
        <is>
          <t>SwimCloud</t>
        </is>
      </c>
      <c r="E1993" s="33" t="inlineStr">
        <is>
          <t>3102544</t>
        </is>
      </c>
      <c r="F1993" s="33" t="inlineStr">
        <is>
          <t>151843131</t>
        </is>
      </c>
      <c r="G1993" s="51" t="n">
        <v>45787</v>
      </c>
      <c r="H1993" s="33" t="inlineStr">
        <is>
          <t>Blue Devil Swim Club May Mania</t>
        </is>
      </c>
      <c r="I1993" s="33" t="inlineStr">
        <is>
          <t>343823</t>
        </is>
      </c>
      <c r="J1993" s="33" t="inlineStr"/>
      <c r="K1993" s="33" t="inlineStr">
        <is>
          <t>TIM</t>
        </is>
      </c>
      <c r="L1993" s="35">
        <f>IF(K1993="FIN",3,IF(OR(K1993="SEM",K1993="SEMI"),2,IF(OR(K1993="PRE",K1993="HEAT"),1,IF(V1993="YES",4,2))))</f>
        <v/>
      </c>
      <c r="M1993" s="33" t="inlineStr">
        <is>
          <t>LCM</t>
        </is>
      </c>
      <c r="N1993" s="33" t="n">
        <v>200</v>
      </c>
      <c r="O1993" s="33" t="inlineStr">
        <is>
          <t>Free</t>
        </is>
      </c>
      <c r="P1993" s="33" t="inlineStr">
        <is>
          <t>200 Free</t>
        </is>
      </c>
      <c r="Q1993" s="33" t="inlineStr">
        <is>
          <t>LCM_200_FREE</t>
        </is>
      </c>
      <c r="R1993" s="36" t="n">
        <v>129.61</v>
      </c>
      <c r="S1993" s="35">
        <f>IF(R1993="","",IF(R1993&gt;=60,INT(R1993/60)&amp;":"&amp;TEXT(MOD(R1993,60),"00.00"),TEXT(R1993,"0.00")))</f>
        <v/>
      </c>
      <c r="T1993" s="52">
        <f>IFERROR((G1993-INDEX('01_Swimmers'!$E$5:$E$22,MATCH(B1993,'01_Swimmers'!$A$5:$A$22,0)))/'00_Control'!$B$10,"")</f>
        <v/>
      </c>
      <c r="U1993" s="35">
        <f>IF(T1993="","",INT(T1993))</f>
        <v/>
      </c>
      <c r="V1993" s="33" t="inlineStr">
        <is>
          <t>NO</t>
        </is>
      </c>
      <c r="W1993" s="33" t="inlineStr">
        <is>
          <t>YES</t>
        </is>
      </c>
      <c r="X1993" s="33" t="inlineStr">
        <is>
          <t>NO</t>
        </is>
      </c>
      <c r="Y1993" s="33" t="n">
        <v>12</v>
      </c>
      <c r="Z1993" s="33" t="n">
        <v>7</v>
      </c>
      <c r="AA1993" s="33" t="inlineStr">
        <is>
          <t>3</t>
        </is>
      </c>
      <c r="AB1993" s="33" t="inlineStr">
        <is>
          <t>https://www.swimcloud.com/results/343823/event/16/?id=151843131#time151843131</t>
        </is>
      </c>
      <c r="AC1993" s="33" t="inlineStr">
        <is>
          <t>SwimCloud API v6 2026-10-08</t>
        </is>
      </c>
      <c r="AD1993" s="33" t="inlineStr">
        <is>
          <t>Lubo Liu-Tchorbadjiyski|2025-05-10|LCM|200|Free|129.61|Blue Devil Swim Club May Mania|TIM|False</t>
        </is>
      </c>
      <c r="AE1993" s="53">
        <f>G1993+L1993/1000+ROW()/1000000000</f>
        <v/>
      </c>
      <c r="AF1993" s="35">
        <f>IF(C1993&lt;&gt;"Grayson Coulter","",COUNTIFS($C$5:$C$2991,"Grayson Coulter",$Q$5:$Q$2991,Q1993,$AE$5:$AE$2991,"&lt;="&amp;AE1993,$R$5:$R$2991,"&lt;"&amp;R1993))</f>
        <v/>
      </c>
      <c r="AG1993" s="35">
        <f>IF(OR(C1993&lt;&gt;"Grayson Coulter",G1993&lt;'00_Control'!$B$7),"",--(AF1993&lt;5))</f>
        <v/>
      </c>
      <c r="AH1993" s="35">
        <f>IF(OR(C1993&lt;&gt;"Grayson Coulter",G1993&lt;'00_Control'!$B$7),"",--(AF1993&lt;10))</f>
        <v/>
      </c>
      <c r="AI1993" s="35">
        <f>IF(AND(C1993="Grayson Coulter",G1993&gt;='00_Control'!$B$7),"YES","NO")</f>
        <v/>
      </c>
      <c r="AJ1993" s="33" t="inlineStr">
        <is>
          <t>OK</t>
        </is>
      </c>
    </row>
    <row r="1994">
      <c r="A1994" s="33" t="inlineStr">
        <is>
          <t>SM001990</t>
        </is>
      </c>
      <c r="B1994" s="33" t="inlineStr">
        <is>
          <t>SW004</t>
        </is>
      </c>
      <c r="C1994" s="33" t="inlineStr">
        <is>
          <t>Lubo Liu-Tchorbadjiyski</t>
        </is>
      </c>
      <c r="D1994" s="33" t="inlineStr">
        <is>
          <t>SwimCloud</t>
        </is>
      </c>
      <c r="E1994" s="33" t="inlineStr">
        <is>
          <t>3102544</t>
        </is>
      </c>
      <c r="F1994" s="33" t="inlineStr">
        <is>
          <t>151843232</t>
        </is>
      </c>
      <c r="G1994" s="51" t="n">
        <v>45788</v>
      </c>
      <c r="H1994" s="33" t="inlineStr">
        <is>
          <t>Blue Devil Swim Club May Mania</t>
        </is>
      </c>
      <c r="I1994" s="33" t="inlineStr">
        <is>
          <t>343823</t>
        </is>
      </c>
      <c r="J1994" s="33" t="inlineStr"/>
      <c r="K1994" s="33" t="inlineStr">
        <is>
          <t>TIM</t>
        </is>
      </c>
      <c r="L1994" s="35">
        <f>IF(K1994="FIN",3,IF(OR(K1994="SEM",K1994="SEMI"),2,IF(OR(K1994="PRE",K1994="HEAT"),1,IF(V1994="YES",4,2))))</f>
        <v/>
      </c>
      <c r="M1994" s="33" t="inlineStr">
        <is>
          <t>LCM</t>
        </is>
      </c>
      <c r="N1994" s="33" t="n">
        <v>100</v>
      </c>
      <c r="O1994" s="33" t="inlineStr">
        <is>
          <t>Free</t>
        </is>
      </c>
      <c r="P1994" s="33" t="inlineStr">
        <is>
          <t>100 Free</t>
        </is>
      </c>
      <c r="Q1994" s="33" t="inlineStr">
        <is>
          <t>LCM_100_FREE</t>
        </is>
      </c>
      <c r="R1994" s="36" t="n">
        <v>59.58</v>
      </c>
      <c r="S1994" s="35">
        <f>IF(R1994="","",IF(R1994&gt;=60,INT(R1994/60)&amp;":"&amp;TEXT(MOD(R1994,60),"00.00"),TEXT(R1994,"0.00")))</f>
        <v/>
      </c>
      <c r="T1994" s="52">
        <f>IFERROR((G1994-INDEX('01_Swimmers'!$E$5:$E$22,MATCH(B1994,'01_Swimmers'!$A$5:$A$22,0)))/'00_Control'!$B$10,"")</f>
        <v/>
      </c>
      <c r="U1994" s="35">
        <f>IF(T1994="","",INT(T1994))</f>
        <v/>
      </c>
      <c r="V1994" s="33" t="inlineStr">
        <is>
          <t>NO</t>
        </is>
      </c>
      <c r="W1994" s="33" t="inlineStr">
        <is>
          <t>YES</t>
        </is>
      </c>
      <c r="X1994" s="33" t="inlineStr">
        <is>
          <t>NO</t>
        </is>
      </c>
      <c r="Y1994" s="33" t="n">
        <v>13</v>
      </c>
      <c r="Z1994" s="33" t="n">
        <v>10</v>
      </c>
      <c r="AA1994" s="33" t="inlineStr">
        <is>
          <t>2</t>
        </is>
      </c>
      <c r="AB1994" s="33" t="inlineStr">
        <is>
          <t>https://www.swimcloud.com/results/343823/event/52/?id=151843232#time151843232</t>
        </is>
      </c>
      <c r="AC1994" s="33" t="inlineStr">
        <is>
          <t>SwimCloud API v6 2026-10-08</t>
        </is>
      </c>
      <c r="AD1994" s="33" t="inlineStr">
        <is>
          <t>Lubo Liu-Tchorbadjiyski|2025-05-11|LCM|100|Free|59.58|Blue Devil Swim Club May Mania|TIM|False</t>
        </is>
      </c>
      <c r="AE1994" s="53">
        <f>G1994+L1994/1000+ROW()/1000000000</f>
        <v/>
      </c>
      <c r="AF1994" s="35">
        <f>IF(C1994&lt;&gt;"Grayson Coulter","",COUNTIFS($C$5:$C$2991,"Grayson Coulter",$Q$5:$Q$2991,Q1994,$AE$5:$AE$2991,"&lt;="&amp;AE1994,$R$5:$R$2991,"&lt;"&amp;R1994))</f>
        <v/>
      </c>
      <c r="AG1994" s="35">
        <f>IF(OR(C1994&lt;&gt;"Grayson Coulter",G1994&lt;'00_Control'!$B$7),"",--(AF1994&lt;5))</f>
        <v/>
      </c>
      <c r="AH1994" s="35">
        <f>IF(OR(C1994&lt;&gt;"Grayson Coulter",G1994&lt;'00_Control'!$B$7),"",--(AF1994&lt;10))</f>
        <v/>
      </c>
      <c r="AI1994" s="35">
        <f>IF(AND(C1994="Grayson Coulter",G1994&gt;='00_Control'!$B$7),"YES","NO")</f>
        <v/>
      </c>
      <c r="AJ1994" s="33" t="inlineStr">
        <is>
          <t>OK</t>
        </is>
      </c>
    </row>
    <row r="1995">
      <c r="A1995" s="33" t="inlineStr">
        <is>
          <t>SM001991</t>
        </is>
      </c>
      <c r="B1995" s="33" t="inlineStr">
        <is>
          <t>SW004</t>
        </is>
      </c>
      <c r="C1995" s="33" t="inlineStr">
        <is>
          <t>Lubo Liu-Tchorbadjiyski</t>
        </is>
      </c>
      <c r="D1995" s="33" t="inlineStr">
        <is>
          <t>SwimCloud</t>
        </is>
      </c>
      <c r="E1995" s="33" t="inlineStr">
        <is>
          <t>3102544</t>
        </is>
      </c>
      <c r="F1995" s="33" t="inlineStr">
        <is>
          <t>152184088</t>
        </is>
      </c>
      <c r="G1995" s="51" t="n">
        <v>45794</v>
      </c>
      <c r="H1995" s="33" t="inlineStr">
        <is>
          <t>GU GULF Duel in the Pool</t>
        </is>
      </c>
      <c r="I1995" s="33" t="inlineStr">
        <is>
          <t>343903</t>
        </is>
      </c>
      <c r="J1995" s="33" t="inlineStr"/>
      <c r="K1995" s="33" t="inlineStr">
        <is>
          <t>TIM</t>
        </is>
      </c>
      <c r="L1995" s="35">
        <f>IF(K1995="FIN",3,IF(OR(K1995="SEM",K1995="SEMI"),2,IF(OR(K1995="PRE",K1995="HEAT"),1,IF(V1995="YES",4,2))))</f>
        <v/>
      </c>
      <c r="M1995" s="33" t="inlineStr">
        <is>
          <t>LCM</t>
        </is>
      </c>
      <c r="N1995" s="33" t="n">
        <v>100</v>
      </c>
      <c r="O1995" s="33" t="inlineStr">
        <is>
          <t>Fly</t>
        </is>
      </c>
      <c r="P1995" s="33" t="inlineStr">
        <is>
          <t>100 Fly</t>
        </is>
      </c>
      <c r="Q1995" s="33" t="inlineStr">
        <is>
          <t>LCM_100_FLY</t>
        </is>
      </c>
      <c r="R1995" s="36" t="n">
        <v>61.01</v>
      </c>
      <c r="S1995" s="35">
        <f>IF(R1995="","",IF(R1995&gt;=60,INT(R1995/60)&amp;":"&amp;TEXT(MOD(R1995,60),"00.00"),TEXT(R1995,"0.00")))</f>
        <v/>
      </c>
      <c r="T1995" s="52">
        <f>IFERROR((G1995-INDEX('01_Swimmers'!$E$5:$E$22,MATCH(B1995,'01_Swimmers'!$A$5:$A$22,0)))/'00_Control'!$B$10,"")</f>
        <v/>
      </c>
      <c r="U1995" s="35">
        <f>IF(T1995="","",INT(T1995))</f>
        <v/>
      </c>
      <c r="V1995" s="33" t="inlineStr">
        <is>
          <t>NO</t>
        </is>
      </c>
      <c r="W1995" s="33" t="inlineStr">
        <is>
          <t>YES</t>
        </is>
      </c>
      <c r="X1995" s="33" t="inlineStr">
        <is>
          <t>NO</t>
        </is>
      </c>
      <c r="Y1995" s="33" t="n">
        <v>2</v>
      </c>
      <c r="Z1995" s="33" t="n">
        <v>6</v>
      </c>
      <c r="AA1995" s="33" t="inlineStr">
        <is>
          <t>5</t>
        </is>
      </c>
      <c r="AB1995" s="33" t="inlineStr">
        <is>
          <t>https://www.swimcloud.com/results/343903/event/23/?id=152184088#time152184088</t>
        </is>
      </c>
      <c r="AC1995" s="33" t="inlineStr">
        <is>
          <t>SwimCloud API v6 2026-10-08</t>
        </is>
      </c>
      <c r="AD1995" s="33" t="inlineStr">
        <is>
          <t>Lubo Liu-Tchorbadjiyski|2025-05-17|LCM|100|Fly|61.01|GU GULF Duel in the Pool|TIM|False</t>
        </is>
      </c>
      <c r="AE1995" s="53">
        <f>G1995+L1995/1000+ROW()/1000000000</f>
        <v/>
      </c>
      <c r="AF1995" s="35">
        <f>IF(C1995&lt;&gt;"Grayson Coulter","",COUNTIFS($C$5:$C$2991,"Grayson Coulter",$Q$5:$Q$2991,Q1995,$AE$5:$AE$2991,"&lt;="&amp;AE1995,$R$5:$R$2991,"&lt;"&amp;R1995))</f>
        <v/>
      </c>
      <c r="AG1995" s="35">
        <f>IF(OR(C1995&lt;&gt;"Grayson Coulter",G1995&lt;'00_Control'!$B$7),"",--(AF1995&lt;5))</f>
        <v/>
      </c>
      <c r="AH1995" s="35">
        <f>IF(OR(C1995&lt;&gt;"Grayson Coulter",G1995&lt;'00_Control'!$B$7),"",--(AF1995&lt;10))</f>
        <v/>
      </c>
      <c r="AI1995" s="35">
        <f>IF(AND(C1995="Grayson Coulter",G1995&gt;='00_Control'!$B$7),"YES","NO")</f>
        <v/>
      </c>
      <c r="AJ1995" s="33" t="inlineStr">
        <is>
          <t>OK</t>
        </is>
      </c>
    </row>
    <row r="1996">
      <c r="A1996" s="33" t="inlineStr">
        <is>
          <t>SM001992</t>
        </is>
      </c>
      <c r="B1996" s="33" t="inlineStr">
        <is>
          <t>SW004</t>
        </is>
      </c>
      <c r="C1996" s="33" t="inlineStr">
        <is>
          <t>Lubo Liu-Tchorbadjiyski</t>
        </is>
      </c>
      <c r="D1996" s="33" t="inlineStr">
        <is>
          <t>SwimCloud</t>
        </is>
      </c>
      <c r="E1996" s="33" t="inlineStr">
        <is>
          <t>3102544</t>
        </is>
      </c>
      <c r="F1996" s="33" t="inlineStr">
        <is>
          <t>153993430</t>
        </is>
      </c>
      <c r="G1996" s="51" t="n">
        <v>45828</v>
      </c>
      <c r="H1996" s="33" t="inlineStr">
        <is>
          <t>IL PAC North Shore Open</t>
        </is>
      </c>
      <c r="I1996" s="33" t="inlineStr">
        <is>
          <t>346421</t>
        </is>
      </c>
      <c r="J1996" s="33" t="inlineStr"/>
      <c r="K1996" s="33" t="inlineStr">
        <is>
          <t>PRE</t>
        </is>
      </c>
      <c r="L1996" s="35">
        <f>IF(K1996="FIN",3,IF(OR(K1996="SEM",K1996="SEMI"),2,IF(OR(K1996="PRE",K1996="HEAT"),1,IF(V1996="YES",4,2))))</f>
        <v/>
      </c>
      <c r="M1996" s="33" t="inlineStr">
        <is>
          <t>LCM</t>
        </is>
      </c>
      <c r="N1996" s="33" t="n">
        <v>200</v>
      </c>
      <c r="O1996" s="33" t="inlineStr">
        <is>
          <t>Free</t>
        </is>
      </c>
      <c r="P1996" s="33" t="inlineStr">
        <is>
          <t>200 Free</t>
        </is>
      </c>
      <c r="Q1996" s="33" t="inlineStr">
        <is>
          <t>LCM_200_FREE</t>
        </is>
      </c>
      <c r="R1996" s="36" t="n">
        <v>124.35</v>
      </c>
      <c r="S1996" s="35">
        <f>IF(R1996="","",IF(R1996&gt;=60,INT(R1996/60)&amp;":"&amp;TEXT(MOD(R1996,60),"00.00"),TEXT(R1996,"0.00")))</f>
        <v/>
      </c>
      <c r="T1996" s="52">
        <f>IFERROR((G1996-INDEX('01_Swimmers'!$E$5:$E$22,MATCH(B1996,'01_Swimmers'!$A$5:$A$22,0)))/'00_Control'!$B$10,"")</f>
        <v/>
      </c>
      <c r="U1996" s="35">
        <f>IF(T1996="","",INT(T1996))</f>
        <v/>
      </c>
      <c r="V1996" s="33" t="inlineStr">
        <is>
          <t>NO</t>
        </is>
      </c>
      <c r="W1996" s="33" t="inlineStr">
        <is>
          <t>YES</t>
        </is>
      </c>
      <c r="X1996" s="33" t="inlineStr">
        <is>
          <t>NO</t>
        </is>
      </c>
      <c r="Y1996" s="33" t="n">
        <v>12</v>
      </c>
      <c r="Z1996" s="33" t="n">
        <v>4</v>
      </c>
      <c r="AA1996" s="33" t="inlineStr">
        <is>
          <t>16</t>
        </is>
      </c>
      <c r="AB1996" s="33" t="inlineStr">
        <is>
          <t>https://www.swimcloud.com/results/346421/event/4/?id=153993430#time153993430</t>
        </is>
      </c>
      <c r="AC1996" s="33" t="inlineStr">
        <is>
          <t>SwimCloud API v6 2026-10-08</t>
        </is>
      </c>
      <c r="AD1996" s="33" t="inlineStr">
        <is>
          <t>Lubo Liu-Tchorbadjiyski|2025-06-20|LCM|200|Free|124.35|IL PAC North Shore Open|PRE|False</t>
        </is>
      </c>
      <c r="AE1996" s="53">
        <f>G1996+L1996/1000+ROW()/1000000000</f>
        <v/>
      </c>
      <c r="AF1996" s="35">
        <f>IF(C1996&lt;&gt;"Grayson Coulter","",COUNTIFS($C$5:$C$2991,"Grayson Coulter",$Q$5:$Q$2991,Q1996,$AE$5:$AE$2991,"&lt;="&amp;AE1996,$R$5:$R$2991,"&lt;"&amp;R1996))</f>
        <v/>
      </c>
      <c r="AG1996" s="35">
        <f>IF(OR(C1996&lt;&gt;"Grayson Coulter",G1996&lt;'00_Control'!$B$7),"",--(AF1996&lt;5))</f>
        <v/>
      </c>
      <c r="AH1996" s="35">
        <f>IF(OR(C1996&lt;&gt;"Grayson Coulter",G1996&lt;'00_Control'!$B$7),"",--(AF1996&lt;10))</f>
        <v/>
      </c>
      <c r="AI1996" s="35">
        <f>IF(AND(C1996="Grayson Coulter",G1996&gt;='00_Control'!$B$7),"YES","NO")</f>
        <v/>
      </c>
      <c r="AJ1996" s="33" t="inlineStr">
        <is>
          <t>OK</t>
        </is>
      </c>
    </row>
    <row r="1997">
      <c r="A1997" s="33" t="inlineStr">
        <is>
          <t>SM001993</t>
        </is>
      </c>
      <c r="B1997" s="33" t="inlineStr">
        <is>
          <t>SW004</t>
        </is>
      </c>
      <c r="C1997" s="33" t="inlineStr">
        <is>
          <t>Lubo Liu-Tchorbadjiyski</t>
        </is>
      </c>
      <c r="D1997" s="33" t="inlineStr">
        <is>
          <t>SwimCloud</t>
        </is>
      </c>
      <c r="E1997" s="33" t="inlineStr">
        <is>
          <t>3102544</t>
        </is>
      </c>
      <c r="F1997" s="33" t="inlineStr">
        <is>
          <t>153993431</t>
        </is>
      </c>
      <c r="G1997" s="51" t="n">
        <v>45828</v>
      </c>
      <c r="H1997" s="33" t="inlineStr">
        <is>
          <t>IL PAC North Shore Open</t>
        </is>
      </c>
      <c r="I1997" s="33" t="inlineStr">
        <is>
          <t>346421</t>
        </is>
      </c>
      <c r="J1997" s="33" t="inlineStr"/>
      <c r="K1997" s="33" t="inlineStr">
        <is>
          <t>FIN</t>
        </is>
      </c>
      <c r="L1997" s="35">
        <f>IF(K1997="FIN",3,IF(OR(K1997="SEM",K1997="SEMI"),2,IF(OR(K1997="PRE",K1997="HEAT"),1,IF(V1997="YES",4,2))))</f>
        <v/>
      </c>
      <c r="M1997" s="33" t="inlineStr">
        <is>
          <t>LCM</t>
        </is>
      </c>
      <c r="N1997" s="33" t="n">
        <v>200</v>
      </c>
      <c r="O1997" s="33" t="inlineStr">
        <is>
          <t>Free</t>
        </is>
      </c>
      <c r="P1997" s="33" t="inlineStr">
        <is>
          <t>200 Free</t>
        </is>
      </c>
      <c r="Q1997" s="33" t="inlineStr">
        <is>
          <t>LCM_200_FREE</t>
        </is>
      </c>
      <c r="R1997" s="36" t="n">
        <v>124.38</v>
      </c>
      <c r="S1997" s="35">
        <f>IF(R1997="","",IF(R1997&gt;=60,INT(R1997/60)&amp;":"&amp;TEXT(MOD(R1997,60),"00.00"),TEXT(R1997,"0.00")))</f>
        <v/>
      </c>
      <c r="T1997" s="52">
        <f>IFERROR((G1997-INDEX('01_Swimmers'!$E$5:$E$22,MATCH(B1997,'01_Swimmers'!$A$5:$A$22,0)))/'00_Control'!$B$10,"")</f>
        <v/>
      </c>
      <c r="U1997" s="35">
        <f>IF(T1997="","",INT(T1997))</f>
        <v/>
      </c>
      <c r="V1997" s="33" t="inlineStr">
        <is>
          <t>NO</t>
        </is>
      </c>
      <c r="W1997" s="33" t="inlineStr">
        <is>
          <t>YES</t>
        </is>
      </c>
      <c r="X1997" s="33" t="inlineStr">
        <is>
          <t>NO</t>
        </is>
      </c>
      <c r="Y1997" s="33" t="n">
        <v>4</v>
      </c>
      <c r="Z1997" s="33" t="n">
        <v>6</v>
      </c>
      <c r="AA1997" s="33" t="inlineStr">
        <is>
          <t>12</t>
        </is>
      </c>
      <c r="AB1997" s="33" t="inlineStr">
        <is>
          <t>https://www.swimcloud.com/results/346421/event/4/?id=153993431#time153993431</t>
        </is>
      </c>
      <c r="AC1997" s="33" t="inlineStr">
        <is>
          <t>SwimCloud API v6 2026-10-08</t>
        </is>
      </c>
      <c r="AD1997" s="33" t="inlineStr">
        <is>
          <t>Lubo Liu-Tchorbadjiyski|2025-06-20|LCM|200|Free|124.38|IL PAC North Shore Open|FIN|False</t>
        </is>
      </c>
      <c r="AE1997" s="53">
        <f>G1997+L1997/1000+ROW()/1000000000</f>
        <v/>
      </c>
      <c r="AF1997" s="35">
        <f>IF(C1997&lt;&gt;"Grayson Coulter","",COUNTIFS($C$5:$C$2991,"Grayson Coulter",$Q$5:$Q$2991,Q1997,$AE$5:$AE$2991,"&lt;="&amp;AE1997,$R$5:$R$2991,"&lt;"&amp;R1997))</f>
        <v/>
      </c>
      <c r="AG1997" s="35">
        <f>IF(OR(C1997&lt;&gt;"Grayson Coulter",G1997&lt;'00_Control'!$B$7),"",--(AF1997&lt;5))</f>
        <v/>
      </c>
      <c r="AH1997" s="35">
        <f>IF(OR(C1997&lt;&gt;"Grayson Coulter",G1997&lt;'00_Control'!$B$7),"",--(AF1997&lt;10))</f>
        <v/>
      </c>
      <c r="AI1997" s="35">
        <f>IF(AND(C1997="Grayson Coulter",G1997&gt;='00_Control'!$B$7),"YES","NO")</f>
        <v/>
      </c>
      <c r="AJ1997" s="33" t="inlineStr">
        <is>
          <t>OK</t>
        </is>
      </c>
    </row>
    <row r="1998">
      <c r="A1998" s="33" t="inlineStr">
        <is>
          <t>SM001994</t>
        </is>
      </c>
      <c r="B1998" s="33" t="inlineStr">
        <is>
          <t>SW004</t>
        </is>
      </c>
      <c r="C1998" s="33" t="inlineStr">
        <is>
          <t>Lubo Liu-Tchorbadjiyski</t>
        </is>
      </c>
      <c r="D1998" s="33" t="inlineStr">
        <is>
          <t>SwimCloud</t>
        </is>
      </c>
      <c r="E1998" s="33" t="inlineStr">
        <is>
          <t>3102544</t>
        </is>
      </c>
      <c r="F1998" s="33" t="inlineStr">
        <is>
          <t>153993989</t>
        </is>
      </c>
      <c r="G1998" s="51" t="n">
        <v>45829</v>
      </c>
      <c r="H1998" s="33" t="inlineStr">
        <is>
          <t>IL PAC North Shore Open</t>
        </is>
      </c>
      <c r="I1998" s="33" t="inlineStr">
        <is>
          <t>346421</t>
        </is>
      </c>
      <c r="J1998" s="33" t="inlineStr"/>
      <c r="K1998" s="33" t="inlineStr">
        <is>
          <t>PRE</t>
        </is>
      </c>
      <c r="L1998" s="35">
        <f>IF(K1998="FIN",3,IF(OR(K1998="SEM",K1998="SEMI"),2,IF(OR(K1998="PRE",K1998="HEAT"),1,IF(V1998="YES",4,2))))</f>
        <v/>
      </c>
      <c r="M1998" s="33" t="inlineStr">
        <is>
          <t>LCM</t>
        </is>
      </c>
      <c r="N1998" s="33" t="n">
        <v>100</v>
      </c>
      <c r="O1998" s="33" t="inlineStr">
        <is>
          <t>Free</t>
        </is>
      </c>
      <c r="P1998" s="33" t="inlineStr">
        <is>
          <t>100 Free</t>
        </is>
      </c>
      <c r="Q1998" s="33" t="inlineStr">
        <is>
          <t>LCM_100_FREE</t>
        </is>
      </c>
      <c r="R1998" s="36" t="n">
        <v>56.28</v>
      </c>
      <c r="S1998" s="35">
        <f>IF(R1998="","",IF(R1998&gt;=60,INT(R1998/60)&amp;":"&amp;TEXT(MOD(R1998,60),"00.00"),TEXT(R1998,"0.00")))</f>
        <v/>
      </c>
      <c r="T1998" s="52">
        <f>IFERROR((G1998-INDEX('01_Swimmers'!$E$5:$E$22,MATCH(B1998,'01_Swimmers'!$A$5:$A$22,0)))/'00_Control'!$B$10,"")</f>
        <v/>
      </c>
      <c r="U1998" s="35">
        <f>IF(T1998="","",INT(T1998))</f>
        <v/>
      </c>
      <c r="V1998" s="33" t="inlineStr">
        <is>
          <t>NO</t>
        </is>
      </c>
      <c r="W1998" s="33" t="inlineStr">
        <is>
          <t>YES</t>
        </is>
      </c>
      <c r="X1998" s="33" t="inlineStr">
        <is>
          <t>NO</t>
        </is>
      </c>
      <c r="Y1998" s="33" t="n">
        <v>16</v>
      </c>
      <c r="Z1998" s="33" t="n">
        <v>1</v>
      </c>
      <c r="AA1998" s="33" t="inlineStr">
        <is>
          <t>16</t>
        </is>
      </c>
      <c r="AB1998" s="33" t="inlineStr">
        <is>
          <t>https://www.swimcloud.com/results/346421/event/36/?id=153993989#time153993989</t>
        </is>
      </c>
      <c r="AC1998" s="33" t="inlineStr">
        <is>
          <t>SwimCloud API v6 2026-10-08</t>
        </is>
      </c>
      <c r="AD1998" s="33" t="inlineStr">
        <is>
          <t>Lubo Liu-Tchorbadjiyski|2025-06-21|LCM|100|Free|56.28|IL PAC North Shore Open|PRE|False</t>
        </is>
      </c>
      <c r="AE1998" s="53">
        <f>G1998+L1998/1000+ROW()/1000000000</f>
        <v/>
      </c>
      <c r="AF1998" s="35">
        <f>IF(C1998&lt;&gt;"Grayson Coulter","",COUNTIFS($C$5:$C$2991,"Grayson Coulter",$Q$5:$Q$2991,Q1998,$AE$5:$AE$2991,"&lt;="&amp;AE1998,$R$5:$R$2991,"&lt;"&amp;R1998))</f>
        <v/>
      </c>
      <c r="AG1998" s="35">
        <f>IF(OR(C1998&lt;&gt;"Grayson Coulter",G1998&lt;'00_Control'!$B$7),"",--(AF1998&lt;5))</f>
        <v/>
      </c>
      <c r="AH1998" s="35">
        <f>IF(OR(C1998&lt;&gt;"Grayson Coulter",G1998&lt;'00_Control'!$B$7),"",--(AF1998&lt;10))</f>
        <v/>
      </c>
      <c r="AI1998" s="35">
        <f>IF(AND(C1998="Grayson Coulter",G1998&gt;='00_Control'!$B$7),"YES","NO")</f>
        <v/>
      </c>
      <c r="AJ1998" s="33" t="inlineStr">
        <is>
          <t>OK</t>
        </is>
      </c>
    </row>
    <row r="1999">
      <c r="A1999" s="33" t="inlineStr">
        <is>
          <t>SM001995</t>
        </is>
      </c>
      <c r="B1999" s="33" t="inlineStr">
        <is>
          <t>SW004</t>
        </is>
      </c>
      <c r="C1999" s="33" t="inlineStr">
        <is>
          <t>Lubo Liu-Tchorbadjiyski</t>
        </is>
      </c>
      <c r="D1999" s="33" t="inlineStr">
        <is>
          <t>SwimCloud</t>
        </is>
      </c>
      <c r="E1999" s="33" t="inlineStr">
        <is>
          <t>3102544</t>
        </is>
      </c>
      <c r="F1999" s="33" t="inlineStr">
        <is>
          <t>153993990</t>
        </is>
      </c>
      <c r="G1999" s="51" t="n">
        <v>45829</v>
      </c>
      <c r="H1999" s="33" t="inlineStr">
        <is>
          <t>IL PAC North Shore Open</t>
        </is>
      </c>
      <c r="I1999" s="33" t="inlineStr">
        <is>
          <t>346421</t>
        </is>
      </c>
      <c r="J1999" s="33" t="inlineStr"/>
      <c r="K1999" s="33" t="inlineStr">
        <is>
          <t>FIN</t>
        </is>
      </c>
      <c r="L1999" s="35">
        <f>IF(K1999="FIN",3,IF(OR(K1999="SEM",K1999="SEMI"),2,IF(OR(K1999="PRE",K1999="HEAT"),1,IF(V1999="YES",4,2))))</f>
        <v/>
      </c>
      <c r="M1999" s="33" t="inlineStr">
        <is>
          <t>LCM</t>
        </is>
      </c>
      <c r="N1999" s="33" t="n">
        <v>100</v>
      </c>
      <c r="O1999" s="33" t="inlineStr">
        <is>
          <t>Free</t>
        </is>
      </c>
      <c r="P1999" s="33" t="inlineStr">
        <is>
          <t>100 Free</t>
        </is>
      </c>
      <c r="Q1999" s="33" t="inlineStr">
        <is>
          <t>LCM_100_FREE</t>
        </is>
      </c>
      <c r="R1999" s="36" t="n">
        <v>55.48</v>
      </c>
      <c r="S1999" s="35">
        <f>IF(R1999="","",IF(R1999&gt;=60,INT(R1999/60)&amp;":"&amp;TEXT(MOD(R1999,60),"00.00"),TEXT(R1999,"0.00")))</f>
        <v/>
      </c>
      <c r="T1999" s="52">
        <f>IFERROR((G1999-INDEX('01_Swimmers'!$E$5:$E$22,MATCH(B1999,'01_Swimmers'!$A$5:$A$22,0)))/'00_Control'!$B$10,"")</f>
        <v/>
      </c>
      <c r="U1999" s="35">
        <f>IF(T1999="","",INT(T1999))</f>
        <v/>
      </c>
      <c r="V1999" s="33" t="inlineStr">
        <is>
          <t>NO</t>
        </is>
      </c>
      <c r="W1999" s="33" t="inlineStr">
        <is>
          <t>YES</t>
        </is>
      </c>
      <c r="X1999" s="33" t="inlineStr">
        <is>
          <t>NO</t>
        </is>
      </c>
      <c r="Y1999" s="33" t="n">
        <v>4</v>
      </c>
      <c r="Z1999" s="33" t="n">
        <v>7</v>
      </c>
      <c r="AA1999" s="33" t="inlineStr">
        <is>
          <t>13</t>
        </is>
      </c>
      <c r="AB1999" s="33" t="inlineStr">
        <is>
          <t>https://www.swimcloud.com/results/346421/event/36/?id=153993990#time153993990</t>
        </is>
      </c>
      <c r="AC1999" s="33" t="inlineStr">
        <is>
          <t>SwimCloud API v6 2026-10-08</t>
        </is>
      </c>
      <c r="AD1999" s="33" t="inlineStr">
        <is>
          <t>Lubo Liu-Tchorbadjiyski|2025-06-21|LCM|100|Free|55.48|IL PAC North Shore Open|FIN|False</t>
        </is>
      </c>
      <c r="AE1999" s="53">
        <f>G1999+L1999/1000+ROW()/1000000000</f>
        <v/>
      </c>
      <c r="AF1999" s="35">
        <f>IF(C1999&lt;&gt;"Grayson Coulter","",COUNTIFS($C$5:$C$2991,"Grayson Coulter",$Q$5:$Q$2991,Q1999,$AE$5:$AE$2991,"&lt;="&amp;AE1999,$R$5:$R$2991,"&lt;"&amp;R1999))</f>
        <v/>
      </c>
      <c r="AG1999" s="35">
        <f>IF(OR(C1999&lt;&gt;"Grayson Coulter",G1999&lt;'00_Control'!$B$7),"",--(AF1999&lt;5))</f>
        <v/>
      </c>
      <c r="AH1999" s="35">
        <f>IF(OR(C1999&lt;&gt;"Grayson Coulter",G1999&lt;'00_Control'!$B$7),"",--(AF1999&lt;10))</f>
        <v/>
      </c>
      <c r="AI1999" s="35">
        <f>IF(AND(C1999="Grayson Coulter",G1999&gt;='00_Control'!$B$7),"YES","NO")</f>
        <v/>
      </c>
      <c r="AJ1999" s="33" t="inlineStr">
        <is>
          <t>OK</t>
        </is>
      </c>
    </row>
    <row r="2000">
      <c r="A2000" s="33" t="inlineStr">
        <is>
          <t>SM001996</t>
        </is>
      </c>
      <c r="B2000" s="33" t="inlineStr">
        <is>
          <t>SW004</t>
        </is>
      </c>
      <c r="C2000" s="33" t="inlineStr">
        <is>
          <t>Lubo Liu-Tchorbadjiyski</t>
        </is>
      </c>
      <c r="D2000" s="33" t="inlineStr">
        <is>
          <t>SwimCloud</t>
        </is>
      </c>
      <c r="E2000" s="33" t="inlineStr">
        <is>
          <t>3102544</t>
        </is>
      </c>
      <c r="F2000" s="33" t="inlineStr">
        <is>
          <t>153997973</t>
        </is>
      </c>
      <c r="G2000" s="51" t="n">
        <v>45830</v>
      </c>
      <c r="H2000" s="33" t="inlineStr">
        <is>
          <t>IL PAC North Shore Open</t>
        </is>
      </c>
      <c r="I2000" s="33" t="inlineStr">
        <is>
          <t>346421</t>
        </is>
      </c>
      <c r="J2000" s="33" t="inlineStr"/>
      <c r="K2000" s="33" t="inlineStr">
        <is>
          <t>TIM</t>
        </is>
      </c>
      <c r="L2000" s="35">
        <f>IF(K2000="FIN",3,IF(OR(K2000="SEM",K2000="SEMI"),2,IF(OR(K2000="PRE",K2000="HEAT"),1,IF(V2000="YES",4,2))))</f>
        <v/>
      </c>
      <c r="M2000" s="33" t="inlineStr">
        <is>
          <t>LCM</t>
        </is>
      </c>
      <c r="N2000" s="33" t="n">
        <v>100</v>
      </c>
      <c r="O2000" s="33" t="inlineStr">
        <is>
          <t>Fly</t>
        </is>
      </c>
      <c r="P2000" s="33" t="inlineStr">
        <is>
          <t>100 Fly</t>
        </is>
      </c>
      <c r="Q2000" s="33" t="inlineStr">
        <is>
          <t>LCM_100_FLY</t>
        </is>
      </c>
      <c r="R2000" s="36" t="n">
        <v>67.58</v>
      </c>
      <c r="S2000" s="35">
        <f>IF(R2000="","",IF(R2000&gt;=60,INT(R2000/60)&amp;":"&amp;TEXT(MOD(R2000,60),"00.00"),TEXT(R2000,"0.00")))</f>
        <v/>
      </c>
      <c r="T2000" s="52">
        <f>IFERROR((G2000-INDEX('01_Swimmers'!$E$5:$E$22,MATCH(B2000,'01_Swimmers'!$A$5:$A$22,0)))/'00_Control'!$B$10,"")</f>
        <v/>
      </c>
      <c r="U2000" s="35">
        <f>IF(T2000="","",INT(T2000))</f>
        <v/>
      </c>
      <c r="V2000" s="33" t="inlineStr">
        <is>
          <t>NO</t>
        </is>
      </c>
      <c r="W2000" s="33" t="inlineStr">
        <is>
          <t>YES</t>
        </is>
      </c>
      <c r="X2000" s="33" t="inlineStr">
        <is>
          <t>NO</t>
        </is>
      </c>
      <c r="Y2000" s="33" t="n">
        <v>4</v>
      </c>
      <c r="Z2000" s="33" t="n">
        <v>4</v>
      </c>
      <c r="AA2000" s="33" t="inlineStr"/>
      <c r="AB2000" s="33" t="inlineStr">
        <is>
          <t>https://www.swimcloud.com/results/346421/event/52/?id=153996626#time153996626</t>
        </is>
      </c>
      <c r="AC2000" s="33" t="inlineStr">
        <is>
          <t>SwimCloud API v6 2026-10-08</t>
        </is>
      </c>
      <c r="AD2000" s="33" t="inlineStr">
        <is>
          <t>Lubo Liu-Tchorbadjiyski|2025-06-22|LCM|100|Fly|67.58|IL PAC North Shore Open|TIM|False</t>
        </is>
      </c>
      <c r="AE2000" s="53">
        <f>G2000+L2000/1000+ROW()/1000000000</f>
        <v/>
      </c>
      <c r="AF2000" s="35">
        <f>IF(C2000&lt;&gt;"Grayson Coulter","",COUNTIFS($C$5:$C$2991,"Grayson Coulter",$Q$5:$Q$2991,Q2000,$AE$5:$AE$2991,"&lt;="&amp;AE2000,$R$5:$R$2991,"&lt;"&amp;R2000))</f>
        <v/>
      </c>
      <c r="AG2000" s="35">
        <f>IF(OR(C2000&lt;&gt;"Grayson Coulter",G2000&lt;'00_Control'!$B$7),"",--(AF2000&lt;5))</f>
        <v/>
      </c>
      <c r="AH2000" s="35">
        <f>IF(OR(C2000&lt;&gt;"Grayson Coulter",G2000&lt;'00_Control'!$B$7),"",--(AF2000&lt;10))</f>
        <v/>
      </c>
      <c r="AI2000" s="35">
        <f>IF(AND(C2000="Grayson Coulter",G2000&gt;='00_Control'!$B$7),"YES","NO")</f>
        <v/>
      </c>
      <c r="AJ2000" s="33" t="inlineStr">
        <is>
          <t>OK</t>
        </is>
      </c>
    </row>
    <row r="2001">
      <c r="A2001" s="33" t="inlineStr">
        <is>
          <t>SM001997</t>
        </is>
      </c>
      <c r="B2001" s="33" t="inlineStr">
        <is>
          <t>SW004</t>
        </is>
      </c>
      <c r="C2001" s="33" t="inlineStr">
        <is>
          <t>Lubo Liu-Tchorbadjiyski</t>
        </is>
      </c>
      <c r="D2001" s="33" t="inlineStr">
        <is>
          <t>SwimCloud</t>
        </is>
      </c>
      <c r="E2001" s="33" t="inlineStr">
        <is>
          <t>3102544</t>
        </is>
      </c>
      <c r="F2001" s="33" t="inlineStr">
        <is>
          <t>153995308</t>
        </is>
      </c>
      <c r="G2001" s="51" t="n">
        <v>45830</v>
      </c>
      <c r="H2001" s="33" t="inlineStr">
        <is>
          <t>IL PAC North Shore Open</t>
        </is>
      </c>
      <c r="I2001" s="33" t="inlineStr">
        <is>
          <t>346421</t>
        </is>
      </c>
      <c r="J2001" s="33" t="inlineStr"/>
      <c r="K2001" s="33" t="inlineStr">
        <is>
          <t>TIM</t>
        </is>
      </c>
      <c r="L2001" s="35">
        <f>IF(K2001="FIN",3,IF(OR(K2001="SEM",K2001="SEMI"),2,IF(OR(K2001="PRE",K2001="HEAT"),1,IF(V2001="YES",4,2))))</f>
        <v/>
      </c>
      <c r="M2001" s="33" t="inlineStr">
        <is>
          <t>LCM</t>
        </is>
      </c>
      <c r="N2001" s="33" t="n">
        <v>400</v>
      </c>
      <c r="O2001" s="33" t="inlineStr">
        <is>
          <t>Free</t>
        </is>
      </c>
      <c r="P2001" s="33" t="inlineStr">
        <is>
          <t>400 Free</t>
        </is>
      </c>
      <c r="Q2001" s="33" t="inlineStr">
        <is>
          <t>LCM_400_FREE</t>
        </is>
      </c>
      <c r="R2001" s="36" t="n">
        <v>268.33</v>
      </c>
      <c r="S2001" s="35">
        <f>IF(R2001="","",IF(R2001&gt;=60,INT(R2001/60)&amp;":"&amp;TEXT(MOD(R2001,60),"00.00"),TEXT(R2001,"0.00")))</f>
        <v/>
      </c>
      <c r="T2001" s="52">
        <f>IFERROR((G2001-INDEX('01_Swimmers'!$E$5:$E$22,MATCH(B2001,'01_Swimmers'!$A$5:$A$22,0)))/'00_Control'!$B$10,"")</f>
        <v/>
      </c>
      <c r="U2001" s="35">
        <f>IF(T2001="","",INT(T2001))</f>
        <v/>
      </c>
      <c r="V2001" s="33" t="inlineStr">
        <is>
          <t>NO</t>
        </is>
      </c>
      <c r="W2001" s="33" t="inlineStr">
        <is>
          <t>YES</t>
        </is>
      </c>
      <c r="X2001" s="33" t="inlineStr">
        <is>
          <t>NO</t>
        </is>
      </c>
      <c r="Y2001" s="33" t="n">
        <v>7</v>
      </c>
      <c r="Z2001" s="33" t="n">
        <v>4</v>
      </c>
      <c r="AA2001" s="33" t="inlineStr">
        <is>
          <t>11</t>
        </is>
      </c>
      <c r="AB2001" s="33" t="inlineStr">
        <is>
          <t>https://www.swimcloud.com/results/346421/event/56/?id=153995308#time153995308</t>
        </is>
      </c>
      <c r="AC2001" s="33" t="inlineStr">
        <is>
          <t>SwimCloud API v6 2026-10-08</t>
        </is>
      </c>
      <c r="AD2001" s="33" t="inlineStr">
        <is>
          <t>Lubo Liu-Tchorbadjiyski|2025-06-22|LCM|400|Free|268.33|IL PAC North Shore Open|TIM|False</t>
        </is>
      </c>
      <c r="AE2001" s="53">
        <f>G2001+L2001/1000+ROW()/1000000000</f>
        <v/>
      </c>
      <c r="AF2001" s="35">
        <f>IF(C2001&lt;&gt;"Grayson Coulter","",COUNTIFS($C$5:$C$2991,"Grayson Coulter",$Q$5:$Q$2991,Q2001,$AE$5:$AE$2991,"&lt;="&amp;AE2001,$R$5:$R$2991,"&lt;"&amp;R2001))</f>
        <v/>
      </c>
      <c r="AG2001" s="35">
        <f>IF(OR(C2001&lt;&gt;"Grayson Coulter",G2001&lt;'00_Control'!$B$7),"",--(AF2001&lt;5))</f>
        <v/>
      </c>
      <c r="AH2001" s="35">
        <f>IF(OR(C2001&lt;&gt;"Grayson Coulter",G2001&lt;'00_Control'!$B$7),"",--(AF2001&lt;10))</f>
        <v/>
      </c>
      <c r="AI2001" s="35">
        <f>IF(AND(C2001="Grayson Coulter",G2001&gt;='00_Control'!$B$7),"YES","NO")</f>
        <v/>
      </c>
      <c r="AJ2001" s="33" t="inlineStr">
        <is>
          <t>OK</t>
        </is>
      </c>
    </row>
    <row r="2002">
      <c r="A2002" s="33" t="inlineStr">
        <is>
          <t>SM001998</t>
        </is>
      </c>
      <c r="B2002" s="33" t="inlineStr">
        <is>
          <t>SW004</t>
        </is>
      </c>
      <c r="C2002" s="33" t="inlineStr">
        <is>
          <t>Lubo Liu-Tchorbadjiyski</t>
        </is>
      </c>
      <c r="D2002" s="33" t="inlineStr">
        <is>
          <t>SwimCloud</t>
        </is>
      </c>
      <c r="E2002" s="33" t="inlineStr">
        <is>
          <t>3102544</t>
        </is>
      </c>
      <c r="F2002" s="33" t="inlineStr">
        <is>
          <t>155492169</t>
        </is>
      </c>
      <c r="G2002" s="51" t="n">
        <v>45848</v>
      </c>
      <c r="H2002" s="33" t="inlineStr">
        <is>
          <t>Minneapolis Sectional Time Trials</t>
        </is>
      </c>
      <c r="I2002" s="33" t="inlineStr">
        <is>
          <t>348227</t>
        </is>
      </c>
      <c r="J2002" s="33" t="inlineStr"/>
      <c r="K2002" s="33" t="inlineStr">
        <is>
          <t>TIM</t>
        </is>
      </c>
      <c r="L2002" s="35">
        <f>IF(K2002="FIN",3,IF(OR(K2002="SEM",K2002="SEMI"),2,IF(OR(K2002="PRE",K2002="HEAT"),1,IF(V2002="YES",4,2))))</f>
        <v/>
      </c>
      <c r="M2002" s="33" t="inlineStr">
        <is>
          <t>LCM</t>
        </is>
      </c>
      <c r="N2002" s="33" t="n">
        <v>200</v>
      </c>
      <c r="O2002" s="33" t="inlineStr">
        <is>
          <t>Free</t>
        </is>
      </c>
      <c r="P2002" s="33" t="inlineStr">
        <is>
          <t>200 Free</t>
        </is>
      </c>
      <c r="Q2002" s="33" t="inlineStr">
        <is>
          <t>LCM_200_FREE</t>
        </is>
      </c>
      <c r="R2002" s="36" t="n">
        <v>123.67</v>
      </c>
      <c r="S2002" s="35">
        <f>IF(R2002="","",IF(R2002&gt;=60,INT(R2002/60)&amp;":"&amp;TEXT(MOD(R2002,60),"00.00"),TEXT(R2002,"0.00")))</f>
        <v/>
      </c>
      <c r="T2002" s="52">
        <f>IFERROR((G2002-INDEX('01_Swimmers'!$E$5:$E$22,MATCH(B2002,'01_Swimmers'!$A$5:$A$22,0)))/'00_Control'!$B$10,"")</f>
        <v/>
      </c>
      <c r="U2002" s="35">
        <f>IF(T2002="","",INT(T2002))</f>
        <v/>
      </c>
      <c r="V2002" s="33" t="inlineStr">
        <is>
          <t>NO</t>
        </is>
      </c>
      <c r="W2002" s="33" t="inlineStr">
        <is>
          <t>YES</t>
        </is>
      </c>
      <c r="X2002" s="33" t="inlineStr">
        <is>
          <t>NO</t>
        </is>
      </c>
      <c r="Y2002" s="33" t="n">
        <v>1</v>
      </c>
      <c r="Z2002" s="33" t="n">
        <v>6</v>
      </c>
      <c r="AA2002" s="33" t="inlineStr">
        <is>
          <t>2</t>
        </is>
      </c>
      <c r="AB2002" s="33" t="inlineStr">
        <is>
          <t>https://www.swimcloud.com/results/348227/event/110/?id=155492169#time155492169</t>
        </is>
      </c>
      <c r="AC2002" s="33" t="inlineStr">
        <is>
          <t>SwimCloud API v6 2026-10-08</t>
        </is>
      </c>
      <c r="AD2002" s="33" t="inlineStr">
        <is>
          <t>Lubo Liu-Tchorbadjiyski|2025-07-10|LCM|200|Free|123.67|Minneapolis Sectional Time Trials|TIM|False</t>
        </is>
      </c>
      <c r="AE2002" s="53">
        <f>G2002+L2002/1000+ROW()/1000000000</f>
        <v/>
      </c>
      <c r="AF2002" s="35">
        <f>IF(C2002&lt;&gt;"Grayson Coulter","",COUNTIFS($C$5:$C$2991,"Grayson Coulter",$Q$5:$Q$2991,Q2002,$AE$5:$AE$2991,"&lt;="&amp;AE2002,$R$5:$R$2991,"&lt;"&amp;R2002))</f>
        <v/>
      </c>
      <c r="AG2002" s="35">
        <f>IF(OR(C2002&lt;&gt;"Grayson Coulter",G2002&lt;'00_Control'!$B$7),"",--(AF2002&lt;5))</f>
        <v/>
      </c>
      <c r="AH2002" s="35">
        <f>IF(OR(C2002&lt;&gt;"Grayson Coulter",G2002&lt;'00_Control'!$B$7),"",--(AF2002&lt;10))</f>
        <v/>
      </c>
      <c r="AI2002" s="35">
        <f>IF(AND(C2002="Grayson Coulter",G2002&gt;='00_Control'!$B$7),"YES","NO")</f>
        <v/>
      </c>
      <c r="AJ2002" s="33" t="inlineStr">
        <is>
          <t>OK</t>
        </is>
      </c>
    </row>
    <row r="2003">
      <c r="A2003" s="33" t="inlineStr">
        <is>
          <t>SM001999</t>
        </is>
      </c>
      <c r="B2003" s="33" t="inlineStr">
        <is>
          <t>SW004</t>
        </is>
      </c>
      <c r="C2003" s="33" t="inlineStr">
        <is>
          <t>Lubo Liu-Tchorbadjiyski</t>
        </is>
      </c>
      <c r="D2003" s="33" t="inlineStr">
        <is>
          <t>SwimCloud</t>
        </is>
      </c>
      <c r="E2003" s="33" t="inlineStr">
        <is>
          <t>3102544</t>
        </is>
      </c>
      <c r="F2003" s="33" t="inlineStr">
        <is>
          <t>156432622</t>
        </is>
      </c>
      <c r="G2003" s="51" t="n">
        <v>45862</v>
      </c>
      <c r="H2003" s="33" t="inlineStr">
        <is>
          <t>Illinois Age Group Championship (50m)</t>
        </is>
      </c>
      <c r="I2003" s="33" t="inlineStr">
        <is>
          <t>349231</t>
        </is>
      </c>
      <c r="J2003" s="33" t="inlineStr"/>
      <c r="K2003" s="33" t="inlineStr">
        <is>
          <t>PRE</t>
        </is>
      </c>
      <c r="L2003" s="35">
        <f>IF(K2003="FIN",3,IF(OR(K2003="SEM",K2003="SEMI"),2,IF(OR(K2003="PRE",K2003="HEAT"),1,IF(V2003="YES",4,2))))</f>
        <v/>
      </c>
      <c r="M2003" s="33" t="inlineStr">
        <is>
          <t>LCM</t>
        </is>
      </c>
      <c r="N2003" s="33" t="n">
        <v>100</v>
      </c>
      <c r="O2003" s="33" t="inlineStr">
        <is>
          <t>Free</t>
        </is>
      </c>
      <c r="P2003" s="33" t="inlineStr">
        <is>
          <t>100 Free</t>
        </is>
      </c>
      <c r="Q2003" s="33" t="inlineStr">
        <is>
          <t>LCM_100_FREE</t>
        </is>
      </c>
      <c r="R2003" s="36" t="n">
        <v>53.99</v>
      </c>
      <c r="S2003" s="35">
        <f>IF(R2003="","",IF(R2003&gt;=60,INT(R2003/60)&amp;":"&amp;TEXT(MOD(R2003,60),"00.00"),TEXT(R2003,"0.00")))</f>
        <v/>
      </c>
      <c r="T2003" s="52">
        <f>IFERROR((G2003-INDEX('01_Swimmers'!$E$5:$E$22,MATCH(B2003,'01_Swimmers'!$A$5:$A$22,0)))/'00_Control'!$B$10,"")</f>
        <v/>
      </c>
      <c r="U2003" s="35">
        <f>IF(T2003="","",INT(T2003))</f>
        <v/>
      </c>
      <c r="V2003" s="33" t="inlineStr">
        <is>
          <t>NO</t>
        </is>
      </c>
      <c r="W2003" s="33" t="inlineStr">
        <is>
          <t>YES</t>
        </is>
      </c>
      <c r="X2003" s="33" t="inlineStr">
        <is>
          <t>NO</t>
        </is>
      </c>
      <c r="Y2003" s="33" t="n">
        <v>5</v>
      </c>
      <c r="Z2003" s="33" t="n">
        <v>5</v>
      </c>
      <c r="AA2003" s="33" t="inlineStr">
        <is>
          <t>1</t>
        </is>
      </c>
      <c r="AB2003" s="33" t="inlineStr">
        <is>
          <t>https://www.swimcloud.com/results/349231/event/10/?id=156432622#time156432622</t>
        </is>
      </c>
      <c r="AC2003" s="33" t="inlineStr">
        <is>
          <t>SwimCloud API v6 2026-10-08</t>
        </is>
      </c>
      <c r="AD2003" s="33" t="inlineStr">
        <is>
          <t>Lubo Liu-Tchorbadjiyski|2025-07-24|LCM|100|Free|53.99|Illinois Age Group Championship (50m)|PRE|False</t>
        </is>
      </c>
      <c r="AE2003" s="53">
        <f>G2003+L2003/1000+ROW()/1000000000</f>
        <v/>
      </c>
      <c r="AF2003" s="35">
        <f>IF(C2003&lt;&gt;"Grayson Coulter","",COUNTIFS($C$5:$C$2991,"Grayson Coulter",$Q$5:$Q$2991,Q2003,$AE$5:$AE$2991,"&lt;="&amp;AE2003,$R$5:$R$2991,"&lt;"&amp;R2003))</f>
        <v/>
      </c>
      <c r="AG2003" s="35">
        <f>IF(OR(C2003&lt;&gt;"Grayson Coulter",G2003&lt;'00_Control'!$B$7),"",--(AF2003&lt;5))</f>
        <v/>
      </c>
      <c r="AH2003" s="35">
        <f>IF(OR(C2003&lt;&gt;"Grayson Coulter",G2003&lt;'00_Control'!$B$7),"",--(AF2003&lt;10))</f>
        <v/>
      </c>
      <c r="AI2003" s="35">
        <f>IF(AND(C2003="Grayson Coulter",G2003&gt;='00_Control'!$B$7),"YES","NO")</f>
        <v/>
      </c>
      <c r="AJ2003" s="33" t="inlineStr">
        <is>
          <t>OK</t>
        </is>
      </c>
    </row>
    <row r="2004">
      <c r="A2004" s="33" t="inlineStr">
        <is>
          <t>SM002000</t>
        </is>
      </c>
      <c r="B2004" s="33" t="inlineStr">
        <is>
          <t>SW004</t>
        </is>
      </c>
      <c r="C2004" s="33" t="inlineStr">
        <is>
          <t>Lubo Liu-Tchorbadjiyski</t>
        </is>
      </c>
      <c r="D2004" s="33" t="inlineStr">
        <is>
          <t>SwimCloud</t>
        </is>
      </c>
      <c r="E2004" s="33" t="inlineStr">
        <is>
          <t>3102544</t>
        </is>
      </c>
      <c r="F2004" s="33" t="inlineStr">
        <is>
          <t>156432623</t>
        </is>
      </c>
      <c r="G2004" s="51" t="n">
        <v>45862</v>
      </c>
      <c r="H2004" s="33" t="inlineStr">
        <is>
          <t>Illinois Age Group Championship (50m)</t>
        </is>
      </c>
      <c r="I2004" s="33" t="inlineStr">
        <is>
          <t>349231</t>
        </is>
      </c>
      <c r="J2004" s="33" t="inlineStr"/>
      <c r="K2004" s="33" t="inlineStr">
        <is>
          <t>FIN</t>
        </is>
      </c>
      <c r="L2004" s="35">
        <f>IF(K2004="FIN",3,IF(OR(K2004="SEM",K2004="SEMI"),2,IF(OR(K2004="PRE",K2004="HEAT"),1,IF(V2004="YES",4,2))))</f>
        <v/>
      </c>
      <c r="M2004" s="33" t="inlineStr">
        <is>
          <t>LCM</t>
        </is>
      </c>
      <c r="N2004" s="33" t="n">
        <v>100</v>
      </c>
      <c r="O2004" s="33" t="inlineStr">
        <is>
          <t>Free</t>
        </is>
      </c>
      <c r="P2004" s="33" t="inlineStr">
        <is>
          <t>100 Free</t>
        </is>
      </c>
      <c r="Q2004" s="33" t="inlineStr">
        <is>
          <t>LCM_100_FREE</t>
        </is>
      </c>
      <c r="R2004" s="36" t="n">
        <v>53.3</v>
      </c>
      <c r="S2004" s="35">
        <f>IF(R2004="","",IF(R2004&gt;=60,INT(R2004/60)&amp;":"&amp;TEXT(MOD(R2004,60),"00.00"),TEXT(R2004,"0.00")))</f>
        <v/>
      </c>
      <c r="T2004" s="52">
        <f>IFERROR((G2004-INDEX('01_Swimmers'!$E$5:$E$22,MATCH(B2004,'01_Swimmers'!$A$5:$A$22,0)))/'00_Control'!$B$10,"")</f>
        <v/>
      </c>
      <c r="U2004" s="35">
        <f>IF(T2004="","",INT(T2004))</f>
        <v/>
      </c>
      <c r="V2004" s="33" t="inlineStr">
        <is>
          <t>NO</t>
        </is>
      </c>
      <c r="W2004" s="33" t="inlineStr">
        <is>
          <t>YES</t>
        </is>
      </c>
      <c r="X2004" s="33" t="inlineStr">
        <is>
          <t>NO</t>
        </is>
      </c>
      <c r="Y2004" s="33" t="n">
        <v>2</v>
      </c>
      <c r="Z2004" s="33" t="n">
        <v>5</v>
      </c>
      <c r="AA2004" s="33" t="inlineStr">
        <is>
          <t>1</t>
        </is>
      </c>
      <c r="AB2004" s="33" t="inlineStr">
        <is>
          <t>https://www.swimcloud.com/results/349231/event/10/?id=156432623#time156432623</t>
        </is>
      </c>
      <c r="AC2004" s="33" t="inlineStr">
        <is>
          <t>SwimCloud API v6 2026-10-08</t>
        </is>
      </c>
      <c r="AD2004" s="33" t="inlineStr">
        <is>
          <t>Lubo Liu-Tchorbadjiyski|2025-07-24|LCM|100|Free|53.3|Illinois Age Group Championship (50m)|FIN|False</t>
        </is>
      </c>
      <c r="AE2004" s="53">
        <f>G2004+L2004/1000+ROW()/1000000000</f>
        <v/>
      </c>
      <c r="AF2004" s="35">
        <f>IF(C2004&lt;&gt;"Grayson Coulter","",COUNTIFS($C$5:$C$2991,"Grayson Coulter",$Q$5:$Q$2991,Q2004,$AE$5:$AE$2991,"&lt;="&amp;AE2004,$R$5:$R$2991,"&lt;"&amp;R2004))</f>
        <v/>
      </c>
      <c r="AG2004" s="35">
        <f>IF(OR(C2004&lt;&gt;"Grayson Coulter",G2004&lt;'00_Control'!$B$7),"",--(AF2004&lt;5))</f>
        <v/>
      </c>
      <c r="AH2004" s="35">
        <f>IF(OR(C2004&lt;&gt;"Grayson Coulter",G2004&lt;'00_Control'!$B$7),"",--(AF2004&lt;10))</f>
        <v/>
      </c>
      <c r="AI2004" s="35">
        <f>IF(AND(C2004="Grayson Coulter",G2004&gt;='00_Control'!$B$7),"YES","NO")</f>
        <v/>
      </c>
      <c r="AJ2004" s="33" t="inlineStr">
        <is>
          <t>OK</t>
        </is>
      </c>
    </row>
    <row r="2005">
      <c r="A2005" s="33" t="inlineStr">
        <is>
          <t>SM002001</t>
        </is>
      </c>
      <c r="B2005" s="33" t="inlineStr">
        <is>
          <t>SW004</t>
        </is>
      </c>
      <c r="C2005" s="33" t="inlineStr">
        <is>
          <t>Lubo Liu-Tchorbadjiyski</t>
        </is>
      </c>
      <c r="D2005" s="33" t="inlineStr">
        <is>
          <t>SwimCloud</t>
        </is>
      </c>
      <c r="E2005" s="33" t="inlineStr">
        <is>
          <t>3102544</t>
        </is>
      </c>
      <c r="F2005" s="33" t="inlineStr">
        <is>
          <t>156430160</t>
        </is>
      </c>
      <c r="G2005" s="51" t="n">
        <v>45864</v>
      </c>
      <c r="H2005" s="33" t="inlineStr">
        <is>
          <t>Illinois Age Group Championship (50m)</t>
        </is>
      </c>
      <c r="I2005" s="33" t="inlineStr">
        <is>
          <t>349231</t>
        </is>
      </c>
      <c r="J2005" s="33" t="inlineStr"/>
      <c r="K2005" s="33" t="inlineStr">
        <is>
          <t>PRE</t>
        </is>
      </c>
      <c r="L2005" s="35">
        <f>IF(K2005="FIN",3,IF(OR(K2005="SEM",K2005="SEMI"),2,IF(OR(K2005="PRE",K2005="HEAT"),1,IF(V2005="YES",4,2))))</f>
        <v/>
      </c>
      <c r="M2005" s="33" t="inlineStr">
        <is>
          <t>LCM</t>
        </is>
      </c>
      <c r="N2005" s="33" t="n">
        <v>100</v>
      </c>
      <c r="O2005" s="33" t="inlineStr">
        <is>
          <t>Fly</t>
        </is>
      </c>
      <c r="P2005" s="33" t="inlineStr">
        <is>
          <t>100 Fly</t>
        </is>
      </c>
      <c r="Q2005" s="33" t="inlineStr">
        <is>
          <t>LCM_100_FLY</t>
        </is>
      </c>
      <c r="R2005" s="36" t="n">
        <v>61.64</v>
      </c>
      <c r="S2005" s="35">
        <f>IF(R2005="","",IF(R2005&gt;=60,INT(R2005/60)&amp;":"&amp;TEXT(MOD(R2005,60),"00.00"),TEXT(R2005,"0.00")))</f>
        <v/>
      </c>
      <c r="T2005" s="52">
        <f>IFERROR((G2005-INDEX('01_Swimmers'!$E$5:$E$22,MATCH(B2005,'01_Swimmers'!$A$5:$A$22,0)))/'00_Control'!$B$10,"")</f>
        <v/>
      </c>
      <c r="U2005" s="35">
        <f>IF(T2005="","",INT(T2005))</f>
        <v/>
      </c>
      <c r="V2005" s="33" t="inlineStr">
        <is>
          <t>NO</t>
        </is>
      </c>
      <c r="W2005" s="33" t="inlineStr">
        <is>
          <t>YES</t>
        </is>
      </c>
      <c r="X2005" s="33" t="inlineStr">
        <is>
          <t>NO</t>
        </is>
      </c>
      <c r="Y2005" s="33" t="n">
        <v>4</v>
      </c>
      <c r="Z2005" s="33" t="n">
        <v>6</v>
      </c>
      <c r="AA2005" s="33" t="inlineStr">
        <is>
          <t>7</t>
        </is>
      </c>
      <c r="AB2005" s="33" t="inlineStr">
        <is>
          <t>https://www.swimcloud.com/results/349231/event/52/?id=156430160#time156430160</t>
        </is>
      </c>
      <c r="AC2005" s="33" t="inlineStr">
        <is>
          <t>SwimCloud API v6 2026-10-08</t>
        </is>
      </c>
      <c r="AD2005" s="33" t="inlineStr">
        <is>
          <t>Lubo Liu-Tchorbadjiyski|2025-07-26|LCM|100|Fly|61.64|Illinois Age Group Championship (50m)|PRE|False</t>
        </is>
      </c>
      <c r="AE2005" s="53">
        <f>G2005+L2005/1000+ROW()/1000000000</f>
        <v/>
      </c>
      <c r="AF2005" s="35">
        <f>IF(C2005&lt;&gt;"Grayson Coulter","",COUNTIFS($C$5:$C$2991,"Grayson Coulter",$Q$5:$Q$2991,Q2005,$AE$5:$AE$2991,"&lt;="&amp;AE2005,$R$5:$R$2991,"&lt;"&amp;R2005))</f>
        <v/>
      </c>
      <c r="AG2005" s="35">
        <f>IF(OR(C2005&lt;&gt;"Grayson Coulter",G2005&lt;'00_Control'!$B$7),"",--(AF2005&lt;5))</f>
        <v/>
      </c>
      <c r="AH2005" s="35">
        <f>IF(OR(C2005&lt;&gt;"Grayson Coulter",G2005&lt;'00_Control'!$B$7),"",--(AF2005&lt;10))</f>
        <v/>
      </c>
      <c r="AI2005" s="35">
        <f>IF(AND(C2005="Grayson Coulter",G2005&gt;='00_Control'!$B$7),"YES","NO")</f>
        <v/>
      </c>
      <c r="AJ2005" s="33" t="inlineStr">
        <is>
          <t>OK</t>
        </is>
      </c>
    </row>
    <row r="2006">
      <c r="A2006" s="33" t="inlineStr">
        <is>
          <t>SM002002</t>
        </is>
      </c>
      <c r="B2006" s="33" t="inlineStr">
        <is>
          <t>SW004</t>
        </is>
      </c>
      <c r="C2006" s="33" t="inlineStr">
        <is>
          <t>Lubo Liu-Tchorbadjiyski</t>
        </is>
      </c>
      <c r="D2006" s="33" t="inlineStr">
        <is>
          <t>SwimCloud</t>
        </is>
      </c>
      <c r="E2006" s="33" t="inlineStr">
        <is>
          <t>3102544</t>
        </is>
      </c>
      <c r="F2006" s="33" t="inlineStr">
        <is>
          <t>156430161</t>
        </is>
      </c>
      <c r="G2006" s="51" t="n">
        <v>45864</v>
      </c>
      <c r="H2006" s="33" t="inlineStr">
        <is>
          <t>Illinois Age Group Championship (50m)</t>
        </is>
      </c>
      <c r="I2006" s="33" t="inlineStr">
        <is>
          <t>349231</t>
        </is>
      </c>
      <c r="J2006" s="33" t="inlineStr"/>
      <c r="K2006" s="33" t="inlineStr">
        <is>
          <t>FIN</t>
        </is>
      </c>
      <c r="L2006" s="35">
        <f>IF(K2006="FIN",3,IF(OR(K2006="SEM",K2006="SEMI"),2,IF(OR(K2006="PRE",K2006="HEAT"),1,IF(V2006="YES",4,2))))</f>
        <v/>
      </c>
      <c r="M2006" s="33" t="inlineStr">
        <is>
          <t>LCM</t>
        </is>
      </c>
      <c r="N2006" s="33" t="n">
        <v>100</v>
      </c>
      <c r="O2006" s="33" t="inlineStr">
        <is>
          <t>Fly</t>
        </is>
      </c>
      <c r="P2006" s="33" t="inlineStr">
        <is>
          <t>100 Fly</t>
        </is>
      </c>
      <c r="Q2006" s="33" t="inlineStr">
        <is>
          <t>LCM_100_FLY</t>
        </is>
      </c>
      <c r="R2006" s="36" t="n">
        <v>58.99</v>
      </c>
      <c r="S2006" s="35">
        <f>IF(R2006="","",IF(R2006&gt;=60,INT(R2006/60)&amp;":"&amp;TEXT(MOD(R2006,60),"00.00"),TEXT(R2006,"0.00")))</f>
        <v/>
      </c>
      <c r="T2006" s="52">
        <f>IFERROR((G2006-INDEX('01_Swimmers'!$E$5:$E$22,MATCH(B2006,'01_Swimmers'!$A$5:$A$22,0)))/'00_Control'!$B$10,"")</f>
        <v/>
      </c>
      <c r="U2006" s="35">
        <f>IF(T2006="","",INT(T2006))</f>
        <v/>
      </c>
      <c r="V2006" s="33" t="inlineStr">
        <is>
          <t>NO</t>
        </is>
      </c>
      <c r="W2006" s="33" t="inlineStr">
        <is>
          <t>YES</t>
        </is>
      </c>
      <c r="X2006" s="33" t="inlineStr">
        <is>
          <t>NO</t>
        </is>
      </c>
      <c r="Y2006" s="33" t="n">
        <v>2</v>
      </c>
      <c r="Z2006" s="33" t="n">
        <v>2</v>
      </c>
      <c r="AA2006" s="33" t="inlineStr">
        <is>
          <t>2</t>
        </is>
      </c>
      <c r="AB2006" s="33" t="inlineStr">
        <is>
          <t>https://www.swimcloud.com/results/349231/event/52/?id=156430161#time156430161</t>
        </is>
      </c>
      <c r="AC2006" s="33" t="inlineStr">
        <is>
          <t>SwimCloud API v6 2026-10-08</t>
        </is>
      </c>
      <c r="AD2006" s="33" t="inlineStr">
        <is>
          <t>Lubo Liu-Tchorbadjiyski|2025-07-26|LCM|100|Fly|58.99|Illinois Age Group Championship (50m)|FIN|False</t>
        </is>
      </c>
      <c r="AE2006" s="53">
        <f>G2006+L2006/1000+ROW()/1000000000</f>
        <v/>
      </c>
      <c r="AF2006" s="35">
        <f>IF(C2006&lt;&gt;"Grayson Coulter","",COUNTIFS($C$5:$C$2991,"Grayson Coulter",$Q$5:$Q$2991,Q2006,$AE$5:$AE$2991,"&lt;="&amp;AE2006,$R$5:$R$2991,"&lt;"&amp;R2006))</f>
        <v/>
      </c>
      <c r="AG2006" s="35">
        <f>IF(OR(C2006&lt;&gt;"Grayson Coulter",G2006&lt;'00_Control'!$B$7),"",--(AF2006&lt;5))</f>
        <v/>
      </c>
      <c r="AH2006" s="35">
        <f>IF(OR(C2006&lt;&gt;"Grayson Coulter",G2006&lt;'00_Control'!$B$7),"",--(AF2006&lt;10))</f>
        <v/>
      </c>
      <c r="AI2006" s="35">
        <f>IF(AND(C2006="Grayson Coulter",G2006&gt;='00_Control'!$B$7),"YES","NO")</f>
        <v/>
      </c>
      <c r="AJ2006" s="33" t="inlineStr">
        <is>
          <t>OK</t>
        </is>
      </c>
    </row>
    <row r="2007">
      <c r="A2007" s="33" t="inlineStr">
        <is>
          <t>SM002003</t>
        </is>
      </c>
      <c r="B2007" s="33" t="inlineStr">
        <is>
          <t>SW004</t>
        </is>
      </c>
      <c r="C2007" s="33" t="inlineStr">
        <is>
          <t>Lubo Liu-Tchorbadjiyski</t>
        </is>
      </c>
      <c r="D2007" s="33" t="inlineStr">
        <is>
          <t>SwimCloud</t>
        </is>
      </c>
      <c r="E2007" s="33" t="inlineStr">
        <is>
          <t>3102544</t>
        </is>
      </c>
      <c r="F2007" s="33" t="inlineStr">
        <is>
          <t>156433980</t>
        </is>
      </c>
      <c r="G2007" s="51" t="n">
        <v>45864</v>
      </c>
      <c r="H2007" s="33" t="inlineStr">
        <is>
          <t>Illinois Age Group Championship (50m)</t>
        </is>
      </c>
      <c r="I2007" s="33" t="inlineStr">
        <is>
          <t>349231</t>
        </is>
      </c>
      <c r="J2007" s="33" t="inlineStr"/>
      <c r="K2007" s="33" t="inlineStr">
        <is>
          <t>TIM</t>
        </is>
      </c>
      <c r="L2007" s="35">
        <f>IF(K2007="FIN",3,IF(OR(K2007="SEM",K2007="SEMI"),2,IF(OR(K2007="PRE",K2007="HEAT"),1,IF(V2007="YES",4,2))))</f>
        <v/>
      </c>
      <c r="M2007" s="33" t="inlineStr">
        <is>
          <t>LCM</t>
        </is>
      </c>
      <c r="N2007" s="33" t="n">
        <v>100</v>
      </c>
      <c r="O2007" s="33" t="inlineStr">
        <is>
          <t>Free</t>
        </is>
      </c>
      <c r="P2007" s="33" t="inlineStr">
        <is>
          <t>100 Free</t>
        </is>
      </c>
      <c r="Q2007" s="33" t="inlineStr">
        <is>
          <t>LCM_100_FREE</t>
        </is>
      </c>
      <c r="R2007" s="36" t="n">
        <v>54.97</v>
      </c>
      <c r="S2007" s="35">
        <f>IF(R2007="","",IF(R2007&gt;=60,INT(R2007/60)&amp;":"&amp;TEXT(MOD(R2007,60),"00.00"),TEXT(R2007,"0.00")))</f>
        <v/>
      </c>
      <c r="T2007" s="52">
        <f>IFERROR((G2007-INDEX('01_Swimmers'!$E$5:$E$22,MATCH(B2007,'01_Swimmers'!$A$5:$A$22,0)))/'00_Control'!$B$10,"")</f>
        <v/>
      </c>
      <c r="U2007" s="35">
        <f>IF(T2007="","",INT(T2007))</f>
        <v/>
      </c>
      <c r="V2007" s="33" t="inlineStr">
        <is>
          <t>YES</t>
        </is>
      </c>
      <c r="W2007" s="33" t="inlineStr">
        <is>
          <t>YES</t>
        </is>
      </c>
      <c r="X2007" s="33" t="inlineStr">
        <is>
          <t>NO</t>
        </is>
      </c>
      <c r="Y2007" s="33" t="n">
        <v>3</v>
      </c>
      <c r="Z2007" s="33" t="n">
        <v>5</v>
      </c>
      <c r="AA2007" s="33" t="inlineStr"/>
      <c r="AB2007" s="33" t="inlineStr">
        <is>
          <t>https://www.swimcloud.com/results/349231/event/64/?id=156432144#time156432144</t>
        </is>
      </c>
      <c r="AC2007" s="33" t="inlineStr">
        <is>
          <t>SwimCloud API v6 2026-10-08</t>
        </is>
      </c>
      <c r="AD2007" s="33" t="inlineStr">
        <is>
          <t>Lubo Liu-Tchorbadjiyski|2025-07-26|LCM|100|Free|54.97|Illinois Age Group Championship (50m)|TIM|True</t>
        </is>
      </c>
      <c r="AE2007" s="53">
        <f>G2007+L2007/1000+ROW()/1000000000</f>
        <v/>
      </c>
      <c r="AF2007" s="35">
        <f>IF(C2007&lt;&gt;"Grayson Coulter","",COUNTIFS($C$5:$C$2991,"Grayson Coulter",$Q$5:$Q$2991,Q2007,$AE$5:$AE$2991,"&lt;="&amp;AE2007,$R$5:$R$2991,"&lt;"&amp;R2007))</f>
        <v/>
      </c>
      <c r="AG2007" s="35">
        <f>IF(OR(C2007&lt;&gt;"Grayson Coulter",G2007&lt;'00_Control'!$B$7),"",--(AF2007&lt;5))</f>
        <v/>
      </c>
      <c r="AH2007" s="35">
        <f>IF(OR(C2007&lt;&gt;"Grayson Coulter",G2007&lt;'00_Control'!$B$7),"",--(AF2007&lt;10))</f>
        <v/>
      </c>
      <c r="AI2007" s="35">
        <f>IF(AND(C2007="Grayson Coulter",G2007&gt;='00_Control'!$B$7),"YES","NO")</f>
        <v/>
      </c>
      <c r="AJ2007" s="33" t="inlineStr">
        <is>
          <t>OK</t>
        </is>
      </c>
    </row>
    <row r="2008">
      <c r="A2008" s="33" t="inlineStr">
        <is>
          <t>SM002004</t>
        </is>
      </c>
      <c r="B2008" s="33" t="inlineStr">
        <is>
          <t>SW004</t>
        </is>
      </c>
      <c r="C2008" s="33" t="inlineStr">
        <is>
          <t>Lubo Liu-Tchorbadjiyski</t>
        </is>
      </c>
      <c r="D2008" s="33" t="inlineStr">
        <is>
          <t>SwimCloud</t>
        </is>
      </c>
      <c r="E2008" s="33" t="inlineStr">
        <is>
          <t>3102544</t>
        </is>
      </c>
      <c r="F2008" s="33" t="inlineStr">
        <is>
          <t>156429174</t>
        </is>
      </c>
      <c r="G2008" s="51" t="n">
        <v>45864</v>
      </c>
      <c r="H2008" s="33" t="inlineStr">
        <is>
          <t>Illinois Age Group Championship (50m)</t>
        </is>
      </c>
      <c r="I2008" s="33" t="inlineStr">
        <is>
          <t>349231</t>
        </is>
      </c>
      <c r="J2008" s="33" t="inlineStr"/>
      <c r="K2008" s="33" t="inlineStr">
        <is>
          <t>PRE</t>
        </is>
      </c>
      <c r="L2008" s="35">
        <f>IF(K2008="FIN",3,IF(OR(K2008="SEM",K2008="SEMI"),2,IF(OR(K2008="PRE",K2008="HEAT"),1,IF(V2008="YES",4,2))))</f>
        <v/>
      </c>
      <c r="M2008" s="33" t="inlineStr">
        <is>
          <t>LCM</t>
        </is>
      </c>
      <c r="N2008" s="33" t="n">
        <v>200</v>
      </c>
      <c r="O2008" s="33" t="inlineStr">
        <is>
          <t>Free</t>
        </is>
      </c>
      <c r="P2008" s="33" t="inlineStr">
        <is>
          <t>200 Free</t>
        </is>
      </c>
      <c r="Q2008" s="33" t="inlineStr">
        <is>
          <t>LCM_200_FREE</t>
        </is>
      </c>
      <c r="R2008" s="36" t="n">
        <v>122.71</v>
      </c>
      <c r="S2008" s="35">
        <f>IF(R2008="","",IF(R2008&gt;=60,INT(R2008/60)&amp;":"&amp;TEXT(MOD(R2008,60),"00.00"),TEXT(R2008,"0.00")))</f>
        <v/>
      </c>
      <c r="T2008" s="52">
        <f>IFERROR((G2008-INDEX('01_Swimmers'!$E$5:$E$22,MATCH(B2008,'01_Swimmers'!$A$5:$A$22,0)))/'00_Control'!$B$10,"")</f>
        <v/>
      </c>
      <c r="U2008" s="35">
        <f>IF(T2008="","",INT(T2008))</f>
        <v/>
      </c>
      <c r="V2008" s="33" t="inlineStr">
        <is>
          <t>NO</t>
        </is>
      </c>
      <c r="W2008" s="33" t="inlineStr">
        <is>
          <t>YES</t>
        </is>
      </c>
      <c r="X2008" s="33" t="inlineStr">
        <is>
          <t>NO</t>
        </is>
      </c>
      <c r="Y2008" s="33" t="n">
        <v>4</v>
      </c>
      <c r="Z2008" s="33" t="n">
        <v>5</v>
      </c>
      <c r="AA2008" s="33" t="inlineStr">
        <is>
          <t>3</t>
        </is>
      </c>
      <c r="AB2008" s="33" t="inlineStr">
        <is>
          <t>https://www.swimcloud.com/results/349231/event/48/?id=156429174#time156429174</t>
        </is>
      </c>
      <c r="AC2008" s="33" t="inlineStr">
        <is>
          <t>SwimCloud API v6 2026-10-08</t>
        </is>
      </c>
      <c r="AD2008" s="33" t="inlineStr">
        <is>
          <t>Lubo Liu-Tchorbadjiyski|2025-07-26|LCM|200|Free|122.71|Illinois Age Group Championship (50m)|PRE|False</t>
        </is>
      </c>
      <c r="AE2008" s="53">
        <f>G2008+L2008/1000+ROW()/1000000000</f>
        <v/>
      </c>
      <c r="AF2008" s="35">
        <f>IF(C2008&lt;&gt;"Grayson Coulter","",COUNTIFS($C$5:$C$2991,"Grayson Coulter",$Q$5:$Q$2991,Q2008,$AE$5:$AE$2991,"&lt;="&amp;AE2008,$R$5:$R$2991,"&lt;"&amp;R2008))</f>
        <v/>
      </c>
      <c r="AG2008" s="35">
        <f>IF(OR(C2008&lt;&gt;"Grayson Coulter",G2008&lt;'00_Control'!$B$7),"",--(AF2008&lt;5))</f>
        <v/>
      </c>
      <c r="AH2008" s="35">
        <f>IF(OR(C2008&lt;&gt;"Grayson Coulter",G2008&lt;'00_Control'!$B$7),"",--(AF2008&lt;10))</f>
        <v/>
      </c>
      <c r="AI2008" s="35">
        <f>IF(AND(C2008="Grayson Coulter",G2008&gt;='00_Control'!$B$7),"YES","NO")</f>
        <v/>
      </c>
      <c r="AJ2008" s="33" t="inlineStr">
        <is>
          <t>OK</t>
        </is>
      </c>
    </row>
    <row r="2009">
      <c r="A2009" s="33" t="inlineStr">
        <is>
          <t>SM002005</t>
        </is>
      </c>
      <c r="B2009" s="33" t="inlineStr">
        <is>
          <t>SW004</t>
        </is>
      </c>
      <c r="C2009" s="33" t="inlineStr">
        <is>
          <t>Lubo Liu-Tchorbadjiyski</t>
        </is>
      </c>
      <c r="D2009" s="33" t="inlineStr">
        <is>
          <t>SwimCloud</t>
        </is>
      </c>
      <c r="E2009" s="33" t="inlineStr">
        <is>
          <t>3102544</t>
        </is>
      </c>
      <c r="F2009" s="33" t="inlineStr">
        <is>
          <t>156429175</t>
        </is>
      </c>
      <c r="G2009" s="51" t="n">
        <v>45864</v>
      </c>
      <c r="H2009" s="33" t="inlineStr">
        <is>
          <t>Illinois Age Group Championship (50m)</t>
        </is>
      </c>
      <c r="I2009" s="33" t="inlineStr">
        <is>
          <t>349231</t>
        </is>
      </c>
      <c r="J2009" s="33" t="inlineStr"/>
      <c r="K2009" s="33" t="inlineStr">
        <is>
          <t>FIN</t>
        </is>
      </c>
      <c r="L2009" s="35">
        <f>IF(K2009="FIN",3,IF(OR(K2009="SEM",K2009="SEMI"),2,IF(OR(K2009="PRE",K2009="HEAT"),1,IF(V2009="YES",4,2))))</f>
        <v/>
      </c>
      <c r="M2009" s="33" t="inlineStr">
        <is>
          <t>LCM</t>
        </is>
      </c>
      <c r="N2009" s="33" t="n">
        <v>200</v>
      </c>
      <c r="O2009" s="33" t="inlineStr">
        <is>
          <t>Free</t>
        </is>
      </c>
      <c r="P2009" s="33" t="inlineStr">
        <is>
          <t>200 Free</t>
        </is>
      </c>
      <c r="Q2009" s="33" t="inlineStr">
        <is>
          <t>LCM_200_FREE</t>
        </is>
      </c>
      <c r="R2009" s="36" t="n">
        <v>119.91</v>
      </c>
      <c r="S2009" s="35">
        <f>IF(R2009="","",IF(R2009&gt;=60,INT(R2009/60)&amp;":"&amp;TEXT(MOD(R2009,60),"00.00"),TEXT(R2009,"0.00")))</f>
        <v/>
      </c>
      <c r="T2009" s="52">
        <f>IFERROR((G2009-INDEX('01_Swimmers'!$E$5:$E$22,MATCH(B2009,'01_Swimmers'!$A$5:$A$22,0)))/'00_Control'!$B$10,"")</f>
        <v/>
      </c>
      <c r="U2009" s="35">
        <f>IF(T2009="","",INT(T2009))</f>
        <v/>
      </c>
      <c r="V2009" s="33" t="inlineStr">
        <is>
          <t>NO</t>
        </is>
      </c>
      <c r="W2009" s="33" t="inlineStr">
        <is>
          <t>YES</t>
        </is>
      </c>
      <c r="X2009" s="33" t="inlineStr">
        <is>
          <t>NO</t>
        </is>
      </c>
      <c r="Y2009" s="33" t="n">
        <v>2</v>
      </c>
      <c r="Z2009" s="33" t="n">
        <v>4</v>
      </c>
      <c r="AA2009" s="33" t="inlineStr">
        <is>
          <t>3</t>
        </is>
      </c>
      <c r="AB2009" s="33" t="inlineStr">
        <is>
          <t>https://www.swimcloud.com/results/349231/event/48/?id=156429175#time156429175</t>
        </is>
      </c>
      <c r="AC2009" s="33" t="inlineStr">
        <is>
          <t>SwimCloud API v6 2026-10-08</t>
        </is>
      </c>
      <c r="AD2009" s="33" t="inlineStr">
        <is>
          <t>Lubo Liu-Tchorbadjiyski|2025-07-26|LCM|200|Free|119.91|Illinois Age Group Championship (50m)|FIN|False</t>
        </is>
      </c>
      <c r="AE2009" s="53">
        <f>G2009+L2009/1000+ROW()/1000000000</f>
        <v/>
      </c>
      <c r="AF2009" s="35">
        <f>IF(C2009&lt;&gt;"Grayson Coulter","",COUNTIFS($C$5:$C$2991,"Grayson Coulter",$Q$5:$Q$2991,Q2009,$AE$5:$AE$2991,"&lt;="&amp;AE2009,$R$5:$R$2991,"&lt;"&amp;R2009))</f>
        <v/>
      </c>
      <c r="AG2009" s="35">
        <f>IF(OR(C2009&lt;&gt;"Grayson Coulter",G2009&lt;'00_Control'!$B$7),"",--(AF2009&lt;5))</f>
        <v/>
      </c>
      <c r="AH2009" s="35">
        <f>IF(OR(C2009&lt;&gt;"Grayson Coulter",G2009&lt;'00_Control'!$B$7),"",--(AF2009&lt;10))</f>
        <v/>
      </c>
      <c r="AI2009" s="35">
        <f>IF(AND(C2009="Grayson Coulter",G2009&gt;='00_Control'!$B$7),"YES","NO")</f>
        <v/>
      </c>
      <c r="AJ2009" s="33" t="inlineStr">
        <is>
          <t>OK</t>
        </is>
      </c>
    </row>
    <row r="2010">
      <c r="A2010" s="33" t="inlineStr">
        <is>
          <t>SM002006</t>
        </is>
      </c>
      <c r="B2010" s="33" t="inlineStr">
        <is>
          <t>SW004</t>
        </is>
      </c>
      <c r="C2010" s="33" t="inlineStr">
        <is>
          <t>Lubo Liu-Tchorbadjiyski</t>
        </is>
      </c>
      <c r="D2010" s="33" t="inlineStr">
        <is>
          <t>SwimCloud</t>
        </is>
      </c>
      <c r="E2010" s="33" t="inlineStr">
        <is>
          <t>3102544</t>
        </is>
      </c>
      <c r="F2010" s="33" t="inlineStr">
        <is>
          <t>176853691</t>
        </is>
      </c>
      <c r="G2010" s="51" t="n">
        <v>46151</v>
      </c>
      <c r="H2010" s="33" t="inlineStr">
        <is>
          <t>IL NASA SPRING BLAST-OFF</t>
        </is>
      </c>
      <c r="I2010" s="33" t="inlineStr">
        <is>
          <t>386002</t>
        </is>
      </c>
      <c r="J2010" s="33" t="inlineStr"/>
      <c r="K2010" s="33" t="inlineStr">
        <is>
          <t>TIM</t>
        </is>
      </c>
      <c r="L2010" s="35">
        <f>IF(K2010="FIN",3,IF(OR(K2010="SEM",K2010="SEMI"),2,IF(OR(K2010="PRE",K2010="HEAT"),1,IF(V2010="YES",4,2))))</f>
        <v/>
      </c>
      <c r="M2010" s="33" t="inlineStr">
        <is>
          <t>LCM</t>
        </is>
      </c>
      <c r="N2010" s="33" t="n">
        <v>400</v>
      </c>
      <c r="O2010" s="33" t="inlineStr">
        <is>
          <t>Free</t>
        </is>
      </c>
      <c r="P2010" s="33" t="inlineStr">
        <is>
          <t>400 Free</t>
        </is>
      </c>
      <c r="Q2010" s="33" t="inlineStr">
        <is>
          <t>LCM_400_FREE</t>
        </is>
      </c>
      <c r="R2010" s="36" t="n">
        <v>273.65</v>
      </c>
      <c r="S2010" s="35">
        <f>IF(R2010="","",IF(R2010&gt;=60,INT(R2010/60)&amp;":"&amp;TEXT(MOD(R2010,60),"00.00"),TEXT(R2010,"0.00")))</f>
        <v/>
      </c>
      <c r="T2010" s="52">
        <f>IFERROR((G2010-INDEX('01_Swimmers'!$E$5:$E$22,MATCH(B2010,'01_Swimmers'!$A$5:$A$22,0)))/'00_Control'!$B$10,"")</f>
        <v/>
      </c>
      <c r="U2010" s="35">
        <f>IF(T2010="","",INT(T2010))</f>
        <v/>
      </c>
      <c r="V2010" s="33" t="inlineStr">
        <is>
          <t>NO</t>
        </is>
      </c>
      <c r="W2010" s="33" t="inlineStr">
        <is>
          <t>YES</t>
        </is>
      </c>
      <c r="X2010" s="33" t="inlineStr">
        <is>
          <t>NO</t>
        </is>
      </c>
      <c r="Y2010" s="33" t="n">
        <v>1</v>
      </c>
      <c r="Z2010" s="33" t="n">
        <v>7</v>
      </c>
      <c r="AA2010" s="33" t="inlineStr">
        <is>
          <t>3</t>
        </is>
      </c>
      <c r="AB2010" s="33" t="inlineStr">
        <is>
          <t>https://www.swimcloud.com/results/386002/event/42/?id=176853691#time176853691</t>
        </is>
      </c>
      <c r="AC2010" s="33" t="inlineStr">
        <is>
          <t>SwimCloud API v6 2026-10-08</t>
        </is>
      </c>
      <c r="AD2010" s="33" t="inlineStr">
        <is>
          <t>Lubo Liu-Tchorbadjiyski|2026-05-09|LCM|400|Free|273.65|IL NASA SPRING BLAST-OFF|TIM|False</t>
        </is>
      </c>
      <c r="AE2010" s="53">
        <f>G2010+L2010/1000+ROW()/1000000000</f>
        <v/>
      </c>
      <c r="AF2010" s="35">
        <f>IF(C2010&lt;&gt;"Grayson Coulter","",COUNTIFS($C$5:$C$2991,"Grayson Coulter",$Q$5:$Q$2991,Q2010,$AE$5:$AE$2991,"&lt;="&amp;AE2010,$R$5:$R$2991,"&lt;"&amp;R2010))</f>
        <v/>
      </c>
      <c r="AG2010" s="35">
        <f>IF(OR(C2010&lt;&gt;"Grayson Coulter",G2010&lt;'00_Control'!$B$7),"",--(AF2010&lt;5))</f>
        <v/>
      </c>
      <c r="AH2010" s="35">
        <f>IF(OR(C2010&lt;&gt;"Grayson Coulter",G2010&lt;'00_Control'!$B$7),"",--(AF2010&lt;10))</f>
        <v/>
      </c>
      <c r="AI2010" s="35">
        <f>IF(AND(C2010="Grayson Coulter",G2010&gt;='00_Control'!$B$7),"YES","NO")</f>
        <v/>
      </c>
      <c r="AJ2010" s="33" t="inlineStr">
        <is>
          <t>OK</t>
        </is>
      </c>
    </row>
    <row r="2011">
      <c r="A2011" s="33" t="inlineStr">
        <is>
          <t>SM002007</t>
        </is>
      </c>
      <c r="B2011" s="33" t="inlineStr">
        <is>
          <t>SW004</t>
        </is>
      </c>
      <c r="C2011" s="33" t="inlineStr">
        <is>
          <t>Lubo Liu-Tchorbadjiyski</t>
        </is>
      </c>
      <c r="D2011" s="33" t="inlineStr">
        <is>
          <t>SwimCloud</t>
        </is>
      </c>
      <c r="E2011" s="33" t="inlineStr">
        <is>
          <t>3102544</t>
        </is>
      </c>
      <c r="F2011" s="33" t="inlineStr">
        <is>
          <t>176852911</t>
        </is>
      </c>
      <c r="G2011" s="51" t="n">
        <v>46152</v>
      </c>
      <c r="H2011" s="33" t="inlineStr">
        <is>
          <t>IL NASA SPRING BLAST-OFF</t>
        </is>
      </c>
      <c r="I2011" s="33" t="inlineStr">
        <is>
          <t>386002</t>
        </is>
      </c>
      <c r="J2011" s="33" t="inlineStr"/>
      <c r="K2011" s="33" t="inlineStr">
        <is>
          <t>TIM</t>
        </is>
      </c>
      <c r="L2011" s="35">
        <f>IF(K2011="FIN",3,IF(OR(K2011="SEM",K2011="SEMI"),2,IF(OR(K2011="PRE",K2011="HEAT"),1,IF(V2011="YES",4,2))))</f>
        <v/>
      </c>
      <c r="M2011" s="33" t="inlineStr">
        <is>
          <t>LCM</t>
        </is>
      </c>
      <c r="N2011" s="33" t="n">
        <v>100</v>
      </c>
      <c r="O2011" s="33" t="inlineStr">
        <is>
          <t>Free</t>
        </is>
      </c>
      <c r="P2011" s="33" t="inlineStr">
        <is>
          <t>100 Free</t>
        </is>
      </c>
      <c r="Q2011" s="33" t="inlineStr">
        <is>
          <t>LCM_100_FREE</t>
        </is>
      </c>
      <c r="R2011" s="36" t="n">
        <v>55.27</v>
      </c>
      <c r="S2011" s="35">
        <f>IF(R2011="","",IF(R2011&gt;=60,INT(R2011/60)&amp;":"&amp;TEXT(MOD(R2011,60),"00.00"),TEXT(R2011,"0.00")))</f>
        <v/>
      </c>
      <c r="T2011" s="52">
        <f>IFERROR((G2011-INDEX('01_Swimmers'!$E$5:$E$22,MATCH(B2011,'01_Swimmers'!$A$5:$A$22,0)))/'00_Control'!$B$10,"")</f>
        <v/>
      </c>
      <c r="U2011" s="35">
        <f>IF(T2011="","",INT(T2011))</f>
        <v/>
      </c>
      <c r="V2011" s="33" t="inlineStr">
        <is>
          <t>NO</t>
        </is>
      </c>
      <c r="W2011" s="33" t="inlineStr">
        <is>
          <t>YES</t>
        </is>
      </c>
      <c r="X2011" s="33" t="inlineStr">
        <is>
          <t>NO</t>
        </is>
      </c>
      <c r="Y2011" s="33" t="n">
        <v>20</v>
      </c>
      <c r="Z2011" s="33" t="n">
        <v>1</v>
      </c>
      <c r="AA2011" s="33" t="inlineStr">
        <is>
          <t>5</t>
        </is>
      </c>
      <c r="AB2011" s="33" t="inlineStr">
        <is>
          <t>https://www.swimcloud.com/results/386002/event/72/?id=176852911#time176852911</t>
        </is>
      </c>
      <c r="AC2011" s="33" t="inlineStr">
        <is>
          <t>SwimCloud API v6 2026-10-08</t>
        </is>
      </c>
      <c r="AD2011" s="33" t="inlineStr">
        <is>
          <t>Lubo Liu-Tchorbadjiyski|2026-05-10|LCM|100|Free|55.27|IL NASA SPRING BLAST-OFF|TIM|False</t>
        </is>
      </c>
      <c r="AE2011" s="53">
        <f>G2011+L2011/1000+ROW()/1000000000</f>
        <v/>
      </c>
      <c r="AF2011" s="35">
        <f>IF(C2011&lt;&gt;"Grayson Coulter","",COUNTIFS($C$5:$C$2991,"Grayson Coulter",$Q$5:$Q$2991,Q2011,$AE$5:$AE$2991,"&lt;="&amp;AE2011,$R$5:$R$2991,"&lt;"&amp;R2011))</f>
        <v/>
      </c>
      <c r="AG2011" s="35">
        <f>IF(OR(C2011&lt;&gt;"Grayson Coulter",G2011&lt;'00_Control'!$B$7),"",--(AF2011&lt;5))</f>
        <v/>
      </c>
      <c r="AH2011" s="35">
        <f>IF(OR(C2011&lt;&gt;"Grayson Coulter",G2011&lt;'00_Control'!$B$7),"",--(AF2011&lt;10))</f>
        <v/>
      </c>
      <c r="AI2011" s="35">
        <f>IF(AND(C2011="Grayson Coulter",G2011&gt;='00_Control'!$B$7),"YES","NO")</f>
        <v/>
      </c>
      <c r="AJ2011" s="33" t="inlineStr">
        <is>
          <t>OK</t>
        </is>
      </c>
    </row>
    <row r="2012">
      <c r="A2012" s="33" t="inlineStr">
        <is>
          <t>SM002008</t>
        </is>
      </c>
      <c r="B2012" s="33" t="inlineStr">
        <is>
          <t>SW004</t>
        </is>
      </c>
      <c r="C2012" s="33" t="inlineStr">
        <is>
          <t>Lubo Liu-Tchorbadjiyski</t>
        </is>
      </c>
      <c r="D2012" s="33" t="inlineStr">
        <is>
          <t>SwimCloud</t>
        </is>
      </c>
      <c r="E2012" s="33" t="inlineStr">
        <is>
          <t>3102544</t>
        </is>
      </c>
      <c r="F2012" s="33" t="inlineStr">
        <is>
          <t>177357418</t>
        </is>
      </c>
      <c r="G2012" s="51" t="n">
        <v>46159</v>
      </c>
      <c r="H2012" s="33" t="inlineStr">
        <is>
          <t>CWAC May Madness</t>
        </is>
      </c>
      <c r="I2012" s="33" t="inlineStr">
        <is>
          <t>385239</t>
        </is>
      </c>
      <c r="J2012" s="33" t="inlineStr"/>
      <c r="K2012" s="33" t="inlineStr">
        <is>
          <t>TIM</t>
        </is>
      </c>
      <c r="L2012" s="35">
        <f>IF(K2012="FIN",3,IF(OR(K2012="SEM",K2012="SEMI"),2,IF(OR(K2012="PRE",K2012="HEAT"),1,IF(V2012="YES",4,2))))</f>
        <v/>
      </c>
      <c r="M2012" s="33" t="inlineStr">
        <is>
          <t>LCM</t>
        </is>
      </c>
      <c r="N2012" s="33" t="n">
        <v>100</v>
      </c>
      <c r="O2012" s="33" t="inlineStr">
        <is>
          <t>Fly</t>
        </is>
      </c>
      <c r="P2012" s="33" t="inlineStr">
        <is>
          <t>100 Fly</t>
        </is>
      </c>
      <c r="Q2012" s="33" t="inlineStr">
        <is>
          <t>LCM_100_FLY</t>
        </is>
      </c>
      <c r="R2012" s="36" t="n">
        <v>61.82</v>
      </c>
      <c r="S2012" s="35">
        <f>IF(R2012="","",IF(R2012&gt;=60,INT(R2012/60)&amp;":"&amp;TEXT(MOD(R2012,60),"00.00"),TEXT(R2012,"0.00")))</f>
        <v/>
      </c>
      <c r="T2012" s="52">
        <f>IFERROR((G2012-INDEX('01_Swimmers'!$E$5:$E$22,MATCH(B2012,'01_Swimmers'!$A$5:$A$22,0)))/'00_Control'!$B$10,"")</f>
        <v/>
      </c>
      <c r="U2012" s="35">
        <f>IF(T2012="","",INT(T2012))</f>
        <v/>
      </c>
      <c r="V2012" s="33" t="inlineStr">
        <is>
          <t>NO</t>
        </is>
      </c>
      <c r="W2012" s="33" t="inlineStr">
        <is>
          <t>YES</t>
        </is>
      </c>
      <c r="X2012" s="33" t="inlineStr">
        <is>
          <t>NO</t>
        </is>
      </c>
      <c r="Y2012" s="33" t="n">
        <v>8</v>
      </c>
      <c r="Z2012" s="33" t="n">
        <v>2</v>
      </c>
      <c r="AA2012" s="33" t="inlineStr">
        <is>
          <t>7</t>
        </is>
      </c>
      <c r="AB2012" s="33" t="inlineStr">
        <is>
          <t>https://www.swimcloud.com/results/385239/event/58/?id=177357418#time177357418</t>
        </is>
      </c>
      <c r="AC2012" s="33" t="inlineStr">
        <is>
          <t>SwimCloud API v6 2026-10-08</t>
        </is>
      </c>
      <c r="AD2012" s="33" t="inlineStr">
        <is>
          <t>Lubo Liu-Tchorbadjiyski|2026-05-17|LCM|100|Fly|61.82|CWAC May Madness|TIM|False</t>
        </is>
      </c>
      <c r="AE2012" s="53">
        <f>G2012+L2012/1000+ROW()/1000000000</f>
        <v/>
      </c>
      <c r="AF2012" s="35">
        <f>IF(C2012&lt;&gt;"Grayson Coulter","",COUNTIFS($C$5:$C$2991,"Grayson Coulter",$Q$5:$Q$2991,Q2012,$AE$5:$AE$2991,"&lt;="&amp;AE2012,$R$5:$R$2991,"&lt;"&amp;R2012))</f>
        <v/>
      </c>
      <c r="AG2012" s="35">
        <f>IF(OR(C2012&lt;&gt;"Grayson Coulter",G2012&lt;'00_Control'!$B$7),"",--(AF2012&lt;5))</f>
        <v/>
      </c>
      <c r="AH2012" s="35">
        <f>IF(OR(C2012&lt;&gt;"Grayson Coulter",G2012&lt;'00_Control'!$B$7),"",--(AF2012&lt;10))</f>
        <v/>
      </c>
      <c r="AI2012" s="35">
        <f>IF(AND(C2012="Grayson Coulter",G2012&gt;='00_Control'!$B$7),"YES","NO")</f>
        <v/>
      </c>
      <c r="AJ2012" s="33" t="inlineStr">
        <is>
          <t>OK</t>
        </is>
      </c>
    </row>
    <row r="2013">
      <c r="A2013" s="33" t="inlineStr">
        <is>
          <t>SM002009</t>
        </is>
      </c>
      <c r="B2013" s="33" t="inlineStr">
        <is>
          <t>SW004</t>
        </is>
      </c>
      <c r="C2013" s="33" t="inlineStr">
        <is>
          <t>Lubo Liu-Tchorbadjiyski</t>
        </is>
      </c>
      <c r="D2013" s="33" t="inlineStr">
        <is>
          <t>SwimCloud</t>
        </is>
      </c>
      <c r="E2013" s="33" t="inlineStr">
        <is>
          <t>3102544</t>
        </is>
      </c>
      <c r="F2013" s="33" t="inlineStr">
        <is>
          <t>177356766</t>
        </is>
      </c>
      <c r="G2013" s="51" t="n">
        <v>46159</v>
      </c>
      <c r="H2013" s="33" t="inlineStr">
        <is>
          <t>CWAC May Madness</t>
        </is>
      </c>
      <c r="I2013" s="33" t="inlineStr">
        <is>
          <t>385239</t>
        </is>
      </c>
      <c r="J2013" s="33" t="inlineStr"/>
      <c r="K2013" s="33" t="inlineStr">
        <is>
          <t>TIM</t>
        </is>
      </c>
      <c r="L2013" s="35">
        <f>IF(K2013="FIN",3,IF(OR(K2013="SEM",K2013="SEMI"),2,IF(OR(K2013="PRE",K2013="HEAT"),1,IF(V2013="YES",4,2))))</f>
        <v/>
      </c>
      <c r="M2013" s="33" t="inlineStr">
        <is>
          <t>LCM</t>
        </is>
      </c>
      <c r="N2013" s="33" t="n">
        <v>200</v>
      </c>
      <c r="O2013" s="33" t="inlineStr">
        <is>
          <t>Free</t>
        </is>
      </c>
      <c r="P2013" s="33" t="inlineStr">
        <is>
          <t>200 Free</t>
        </is>
      </c>
      <c r="Q2013" s="33" t="inlineStr">
        <is>
          <t>LCM_200_FREE</t>
        </is>
      </c>
      <c r="R2013" s="36" t="n">
        <v>125.59</v>
      </c>
      <c r="S2013" s="35">
        <f>IF(R2013="","",IF(R2013&gt;=60,INT(R2013/60)&amp;":"&amp;TEXT(MOD(R2013,60),"00.00"),TEXT(R2013,"0.00")))</f>
        <v/>
      </c>
      <c r="T2013" s="52">
        <f>IFERROR((G2013-INDEX('01_Swimmers'!$E$5:$E$22,MATCH(B2013,'01_Swimmers'!$A$5:$A$22,0)))/'00_Control'!$B$10,"")</f>
        <v/>
      </c>
      <c r="U2013" s="35">
        <f>IF(T2013="","",INT(T2013))</f>
        <v/>
      </c>
      <c r="V2013" s="33" t="inlineStr">
        <is>
          <t>NO</t>
        </is>
      </c>
      <c r="W2013" s="33" t="inlineStr">
        <is>
          <t>YES</t>
        </is>
      </c>
      <c r="X2013" s="33" t="inlineStr">
        <is>
          <t>NO</t>
        </is>
      </c>
      <c r="Y2013" s="33" t="n">
        <v>14</v>
      </c>
      <c r="Z2013" s="33" t="n">
        <v>5</v>
      </c>
      <c r="AA2013" s="33" t="inlineStr">
        <is>
          <t>14</t>
        </is>
      </c>
      <c r="AB2013" s="33" t="inlineStr">
        <is>
          <t>https://www.swimcloud.com/results/385239/event/54/?id=177356766#time177356766</t>
        </is>
      </c>
      <c r="AC2013" s="33" t="inlineStr">
        <is>
          <t>SwimCloud API v6 2026-10-08</t>
        </is>
      </c>
      <c r="AD2013" s="33" t="inlineStr">
        <is>
          <t>Lubo Liu-Tchorbadjiyski|2026-05-17|LCM|200|Free|125.59|CWAC May Madness|TIM|False</t>
        </is>
      </c>
      <c r="AE2013" s="53">
        <f>G2013+L2013/1000+ROW()/1000000000</f>
        <v/>
      </c>
      <c r="AF2013" s="35">
        <f>IF(C2013&lt;&gt;"Grayson Coulter","",COUNTIFS($C$5:$C$2991,"Grayson Coulter",$Q$5:$Q$2991,Q2013,$AE$5:$AE$2991,"&lt;="&amp;AE2013,$R$5:$R$2991,"&lt;"&amp;R2013))</f>
        <v/>
      </c>
      <c r="AG2013" s="35">
        <f>IF(OR(C2013&lt;&gt;"Grayson Coulter",G2013&lt;'00_Control'!$B$7),"",--(AF2013&lt;5))</f>
        <v/>
      </c>
      <c r="AH2013" s="35">
        <f>IF(OR(C2013&lt;&gt;"Grayson Coulter",G2013&lt;'00_Control'!$B$7),"",--(AF2013&lt;10))</f>
        <v/>
      </c>
      <c r="AI2013" s="35">
        <f>IF(AND(C2013="Grayson Coulter",G2013&gt;='00_Control'!$B$7),"YES","NO")</f>
        <v/>
      </c>
      <c r="AJ2013" s="33" t="inlineStr">
        <is>
          <t>OK</t>
        </is>
      </c>
    </row>
    <row r="2014">
      <c r="A2014" s="33" t="inlineStr">
        <is>
          <t>SM002010</t>
        </is>
      </c>
      <c r="B2014" s="33" t="inlineStr">
        <is>
          <t>SW004</t>
        </is>
      </c>
      <c r="C2014" s="33" t="inlineStr">
        <is>
          <t>Lubo Liu-Tchorbadjiyski</t>
        </is>
      </c>
      <c r="D2014" s="33" t="inlineStr">
        <is>
          <t>SwimCloud</t>
        </is>
      </c>
      <c r="E2014" s="33" t="inlineStr">
        <is>
          <t>3102544</t>
        </is>
      </c>
      <c r="F2014" s="33" t="inlineStr">
        <is>
          <t>178373973</t>
        </is>
      </c>
      <c r="G2014" s="51" t="n">
        <v>46172</v>
      </c>
      <c r="H2014" s="33" t="inlineStr">
        <is>
          <t>Illinois-Indiana-Gulf Duel in the Pool</t>
        </is>
      </c>
      <c r="I2014" s="33" t="inlineStr">
        <is>
          <t>385072</t>
        </is>
      </c>
      <c r="J2014" s="33" t="inlineStr"/>
      <c r="K2014" s="33" t="inlineStr">
        <is>
          <t>TIM</t>
        </is>
      </c>
      <c r="L2014" s="35">
        <f>IF(K2014="FIN",3,IF(OR(K2014="SEM",K2014="SEMI"),2,IF(OR(K2014="PRE",K2014="HEAT"),1,IF(V2014="YES",4,2))))</f>
        <v/>
      </c>
      <c r="M2014" s="33" t="inlineStr">
        <is>
          <t>LCM</t>
        </is>
      </c>
      <c r="N2014" s="33" t="n">
        <v>100</v>
      </c>
      <c r="O2014" s="33" t="inlineStr">
        <is>
          <t>Fly</t>
        </is>
      </c>
      <c r="P2014" s="33" t="inlineStr">
        <is>
          <t>100 Fly</t>
        </is>
      </c>
      <c r="Q2014" s="33" t="inlineStr">
        <is>
          <t>LCM_100_FLY</t>
        </is>
      </c>
      <c r="R2014" s="36" t="n">
        <v>57.97</v>
      </c>
      <c r="S2014" s="35">
        <f>IF(R2014="","",IF(R2014&gt;=60,INT(R2014/60)&amp;":"&amp;TEXT(MOD(R2014,60),"00.00"),TEXT(R2014,"0.00")))</f>
        <v/>
      </c>
      <c r="T2014" s="52">
        <f>IFERROR((G2014-INDEX('01_Swimmers'!$E$5:$E$22,MATCH(B2014,'01_Swimmers'!$A$5:$A$22,0)))/'00_Control'!$B$10,"")</f>
        <v/>
      </c>
      <c r="U2014" s="35">
        <f>IF(T2014="","",INT(T2014))</f>
        <v/>
      </c>
      <c r="V2014" s="33" t="inlineStr">
        <is>
          <t>NO</t>
        </is>
      </c>
      <c r="W2014" s="33" t="inlineStr">
        <is>
          <t>YES</t>
        </is>
      </c>
      <c r="X2014" s="33" t="inlineStr">
        <is>
          <t>NO</t>
        </is>
      </c>
      <c r="Y2014" s="33" t="n">
        <v>2</v>
      </c>
      <c r="Z2014" s="33" t="n">
        <v>5</v>
      </c>
      <c r="AA2014" s="33" t="inlineStr">
        <is>
          <t>1</t>
        </is>
      </c>
      <c r="AB2014" s="33" t="inlineStr">
        <is>
          <t>https://www.swimcloud.com/results/385072/event/23/?id=178373973#time178373973</t>
        </is>
      </c>
      <c r="AC2014" s="33" t="inlineStr">
        <is>
          <t>SwimCloud API v6 2026-10-08</t>
        </is>
      </c>
      <c r="AD2014" s="33" t="inlineStr">
        <is>
          <t>Lubo Liu-Tchorbadjiyski|2026-05-30|LCM|100|Fly|57.97|Illinois-Indiana-Gulf Duel in the Pool|TIM|False</t>
        </is>
      </c>
      <c r="AE2014" s="53">
        <f>G2014+L2014/1000+ROW()/1000000000</f>
        <v/>
      </c>
      <c r="AF2014" s="35">
        <f>IF(C2014&lt;&gt;"Grayson Coulter","",COUNTIFS($C$5:$C$2991,"Grayson Coulter",$Q$5:$Q$2991,Q2014,$AE$5:$AE$2991,"&lt;="&amp;AE2014,$R$5:$R$2991,"&lt;"&amp;R2014))</f>
        <v/>
      </c>
      <c r="AG2014" s="35">
        <f>IF(OR(C2014&lt;&gt;"Grayson Coulter",G2014&lt;'00_Control'!$B$7),"",--(AF2014&lt;5))</f>
        <v/>
      </c>
      <c r="AH2014" s="35">
        <f>IF(OR(C2014&lt;&gt;"Grayson Coulter",G2014&lt;'00_Control'!$B$7),"",--(AF2014&lt;10))</f>
        <v/>
      </c>
      <c r="AI2014" s="35">
        <f>IF(AND(C2014="Grayson Coulter",G2014&gt;='00_Control'!$B$7),"YES","NO")</f>
        <v/>
      </c>
      <c r="AJ2014" s="33" t="inlineStr">
        <is>
          <t>OK</t>
        </is>
      </c>
    </row>
    <row r="2015">
      <c r="A2015" s="33" t="inlineStr">
        <is>
          <t>SM002011</t>
        </is>
      </c>
      <c r="B2015" s="33" t="inlineStr">
        <is>
          <t>SW004</t>
        </is>
      </c>
      <c r="C2015" s="33" t="inlineStr">
        <is>
          <t>Lubo Liu-Tchorbadjiyski</t>
        </is>
      </c>
      <c r="D2015" s="33" t="inlineStr">
        <is>
          <t>SwimCloud</t>
        </is>
      </c>
      <c r="E2015" s="33" t="inlineStr">
        <is>
          <t>3102544</t>
        </is>
      </c>
      <c r="F2015" s="33" t="inlineStr">
        <is>
          <t>178686876</t>
        </is>
      </c>
      <c r="G2015" s="51" t="n">
        <v>46180</v>
      </c>
      <c r="H2015" s="33" t="inlineStr">
        <is>
          <t>61st Mel Zajac Jr. International</t>
        </is>
      </c>
      <c r="I2015" s="33" t="inlineStr">
        <is>
          <t>388002</t>
        </is>
      </c>
      <c r="J2015" s="33" t="inlineStr"/>
      <c r="K2015" s="33" t="inlineStr">
        <is>
          <t>PRE</t>
        </is>
      </c>
      <c r="L2015" s="35">
        <f>IF(K2015="FIN",3,IF(OR(K2015="SEM",K2015="SEMI"),2,IF(OR(K2015="PRE",K2015="HEAT"),1,IF(V2015="YES",4,2))))</f>
        <v/>
      </c>
      <c r="M2015" s="33" t="inlineStr">
        <is>
          <t>LCM</t>
        </is>
      </c>
      <c r="N2015" s="33" t="n">
        <v>100</v>
      </c>
      <c r="O2015" s="33" t="inlineStr">
        <is>
          <t>Free</t>
        </is>
      </c>
      <c r="P2015" s="33" t="inlineStr">
        <is>
          <t>100 Free</t>
        </is>
      </c>
      <c r="Q2015" s="33" t="inlineStr">
        <is>
          <t>LCM_100_FREE</t>
        </is>
      </c>
      <c r="R2015" s="36" t="n">
        <v>53.98</v>
      </c>
      <c r="S2015" s="35">
        <f>IF(R2015="","",IF(R2015&gt;=60,INT(R2015/60)&amp;":"&amp;TEXT(MOD(R2015,60),"00.00"),TEXT(R2015,"0.00")))</f>
        <v/>
      </c>
      <c r="T2015" s="52">
        <f>IFERROR((G2015-INDEX('01_Swimmers'!$E$5:$E$22,MATCH(B2015,'01_Swimmers'!$A$5:$A$22,0)))/'00_Control'!$B$10,"")</f>
        <v/>
      </c>
      <c r="U2015" s="35">
        <f>IF(T2015="","",INT(T2015))</f>
        <v/>
      </c>
      <c r="V2015" s="33" t="inlineStr">
        <is>
          <t>NO</t>
        </is>
      </c>
      <c r="W2015" s="33" t="inlineStr">
        <is>
          <t>YES</t>
        </is>
      </c>
      <c r="X2015" s="33" t="inlineStr">
        <is>
          <t>NO</t>
        </is>
      </c>
      <c r="Y2015" s="33" t="n">
        <v>12</v>
      </c>
      <c r="Z2015" s="33" t="n">
        <v>6</v>
      </c>
      <c r="AA2015" s="33" t="inlineStr">
        <is>
          <t>36</t>
        </is>
      </c>
      <c r="AB2015" s="33" t="inlineStr">
        <is>
          <t>https://www.swimcloud.com/results/388002/event/37/?id=178686876#time178686876</t>
        </is>
      </c>
      <c r="AC2015" s="33" t="inlineStr">
        <is>
          <t>SwimCloud API v6 2026-10-08</t>
        </is>
      </c>
      <c r="AD2015" s="33" t="inlineStr">
        <is>
          <t>Lubo Liu-Tchorbadjiyski|2026-06-07|LCM|100|Free|53.98|61st Mel Zajac Jr. International|PRE|False</t>
        </is>
      </c>
      <c r="AE2015" s="53">
        <f>G2015+L2015/1000+ROW()/1000000000</f>
        <v/>
      </c>
      <c r="AF2015" s="35">
        <f>IF(C2015&lt;&gt;"Grayson Coulter","",COUNTIFS($C$5:$C$2991,"Grayson Coulter",$Q$5:$Q$2991,Q2015,$AE$5:$AE$2991,"&lt;="&amp;AE2015,$R$5:$R$2991,"&lt;"&amp;R2015))</f>
        <v/>
      </c>
      <c r="AG2015" s="35">
        <f>IF(OR(C2015&lt;&gt;"Grayson Coulter",G2015&lt;'00_Control'!$B$7),"",--(AF2015&lt;5))</f>
        <v/>
      </c>
      <c r="AH2015" s="35">
        <f>IF(OR(C2015&lt;&gt;"Grayson Coulter",G2015&lt;'00_Control'!$B$7),"",--(AF2015&lt;10))</f>
        <v/>
      </c>
      <c r="AI2015" s="35">
        <f>IF(AND(C2015="Grayson Coulter",G2015&gt;='00_Control'!$B$7),"YES","NO")</f>
        <v/>
      </c>
      <c r="AJ2015" s="33" t="inlineStr">
        <is>
          <t>OK</t>
        </is>
      </c>
    </row>
    <row r="2016">
      <c r="A2016" s="33" t="inlineStr">
        <is>
          <t>SM002012</t>
        </is>
      </c>
      <c r="B2016" s="33" t="inlineStr">
        <is>
          <t>SW004</t>
        </is>
      </c>
      <c r="C2016" s="33" t="inlineStr">
        <is>
          <t>Lubo Liu-Tchorbadjiyski</t>
        </is>
      </c>
      <c r="D2016" s="33" t="inlineStr">
        <is>
          <t>SwimCloud</t>
        </is>
      </c>
      <c r="E2016" s="33" t="inlineStr">
        <is>
          <t>3102544</t>
        </is>
      </c>
      <c r="F2016" s="33" t="inlineStr">
        <is>
          <t>180042848</t>
        </is>
      </c>
      <c r="G2016" s="51" t="n">
        <v>46200</v>
      </c>
      <c r="H2016" s="33" t="inlineStr">
        <is>
          <t>IL North Shore Open</t>
        </is>
      </c>
      <c r="I2016" s="33" t="inlineStr">
        <is>
          <t>389610</t>
        </is>
      </c>
      <c r="J2016" s="33" t="inlineStr"/>
      <c r="K2016" s="33" t="inlineStr">
        <is>
          <t>PRE</t>
        </is>
      </c>
      <c r="L2016" s="35">
        <f>IF(K2016="FIN",3,IF(OR(K2016="SEM",K2016="SEMI"),2,IF(OR(K2016="PRE",K2016="HEAT"),1,IF(V2016="YES",4,2))))</f>
        <v/>
      </c>
      <c r="M2016" s="33" t="inlineStr">
        <is>
          <t>LCM</t>
        </is>
      </c>
      <c r="N2016" s="33" t="n">
        <v>100</v>
      </c>
      <c r="O2016" s="33" t="inlineStr">
        <is>
          <t>Fly</t>
        </is>
      </c>
      <c r="P2016" s="33" t="inlineStr">
        <is>
          <t>100 Fly</t>
        </is>
      </c>
      <c r="Q2016" s="33" t="inlineStr">
        <is>
          <t>LCM_100_FLY</t>
        </is>
      </c>
      <c r="R2016" s="36" t="n">
        <v>59.13</v>
      </c>
      <c r="S2016" s="35">
        <f>IF(R2016="","",IF(R2016&gt;=60,INT(R2016/60)&amp;":"&amp;TEXT(MOD(R2016,60),"00.00"),TEXT(R2016,"0.00")))</f>
        <v/>
      </c>
      <c r="T2016" s="52">
        <f>IFERROR((G2016-INDEX('01_Swimmers'!$E$5:$E$22,MATCH(B2016,'01_Swimmers'!$A$5:$A$22,0)))/'00_Control'!$B$10,"")</f>
        <v/>
      </c>
      <c r="U2016" s="35">
        <f>IF(T2016="","",INT(T2016))</f>
        <v/>
      </c>
      <c r="V2016" s="33" t="inlineStr">
        <is>
          <t>NO</t>
        </is>
      </c>
      <c r="W2016" s="33" t="inlineStr">
        <is>
          <t>YES</t>
        </is>
      </c>
      <c r="X2016" s="33" t="inlineStr">
        <is>
          <t>NO</t>
        </is>
      </c>
      <c r="Y2016" s="33" t="n">
        <v>12</v>
      </c>
      <c r="Z2016" s="33" t="n">
        <v>5</v>
      </c>
      <c r="AA2016" s="33" t="inlineStr">
        <is>
          <t>4</t>
        </is>
      </c>
      <c r="AB2016" s="33" t="inlineStr">
        <is>
          <t>https://www.swimcloud.com/results/389610/event/22/?id=180042848#time180042848</t>
        </is>
      </c>
      <c r="AC2016" s="33" t="inlineStr">
        <is>
          <t>SwimCloud API v6 2026-10-08</t>
        </is>
      </c>
      <c r="AD2016" s="33" t="inlineStr">
        <is>
          <t>Lubo Liu-Tchorbadjiyski|2026-06-27|LCM|100|Fly|59.13|IL North Shore Open|PRE|False</t>
        </is>
      </c>
      <c r="AE2016" s="53">
        <f>G2016+L2016/1000+ROW()/1000000000</f>
        <v/>
      </c>
      <c r="AF2016" s="35">
        <f>IF(C2016&lt;&gt;"Grayson Coulter","",COUNTIFS($C$5:$C$2991,"Grayson Coulter",$Q$5:$Q$2991,Q2016,$AE$5:$AE$2991,"&lt;="&amp;AE2016,$R$5:$R$2991,"&lt;"&amp;R2016))</f>
        <v/>
      </c>
      <c r="AG2016" s="35">
        <f>IF(OR(C2016&lt;&gt;"Grayson Coulter",G2016&lt;'00_Control'!$B$7),"",--(AF2016&lt;5))</f>
        <v/>
      </c>
      <c r="AH2016" s="35">
        <f>IF(OR(C2016&lt;&gt;"Grayson Coulter",G2016&lt;'00_Control'!$B$7),"",--(AF2016&lt;10))</f>
        <v/>
      </c>
      <c r="AI2016" s="35">
        <f>IF(AND(C2016="Grayson Coulter",G2016&gt;='00_Control'!$B$7),"YES","NO")</f>
        <v/>
      </c>
      <c r="AJ2016" s="33" t="inlineStr">
        <is>
          <t>OK</t>
        </is>
      </c>
    </row>
    <row r="2017">
      <c r="A2017" s="33" t="inlineStr">
        <is>
          <t>SM002013</t>
        </is>
      </c>
      <c r="B2017" s="33" t="inlineStr">
        <is>
          <t>SW004</t>
        </is>
      </c>
      <c r="C2017" s="33" t="inlineStr">
        <is>
          <t>Lubo Liu-Tchorbadjiyski</t>
        </is>
      </c>
      <c r="D2017" s="33" t="inlineStr">
        <is>
          <t>SwimCloud</t>
        </is>
      </c>
      <c r="E2017" s="33" t="inlineStr">
        <is>
          <t>3102544</t>
        </is>
      </c>
      <c r="F2017" s="33" t="inlineStr">
        <is>
          <t>180042846</t>
        </is>
      </c>
      <c r="G2017" s="51" t="n">
        <v>46200</v>
      </c>
      <c r="H2017" s="33" t="inlineStr">
        <is>
          <t>IL North Shore Open</t>
        </is>
      </c>
      <c r="I2017" s="33" t="inlineStr">
        <is>
          <t>389610</t>
        </is>
      </c>
      <c r="J2017" s="33" t="inlineStr"/>
      <c r="K2017" s="33" t="inlineStr">
        <is>
          <t>PRE</t>
        </is>
      </c>
      <c r="L2017" s="35">
        <f>IF(K2017="FIN",3,IF(OR(K2017="SEM",K2017="SEMI"),2,IF(OR(K2017="PRE",K2017="HEAT"),1,IF(V2017="YES",4,2))))</f>
        <v/>
      </c>
      <c r="M2017" s="33" t="inlineStr">
        <is>
          <t>LCM</t>
        </is>
      </c>
      <c r="N2017" s="33" t="n">
        <v>200</v>
      </c>
      <c r="O2017" s="33" t="inlineStr">
        <is>
          <t>Free</t>
        </is>
      </c>
      <c r="P2017" s="33" t="inlineStr">
        <is>
          <t>200 Free</t>
        </is>
      </c>
      <c r="Q2017" s="33" t="inlineStr">
        <is>
          <t>LCM_200_FREE</t>
        </is>
      </c>
      <c r="R2017" s="36" t="n">
        <v>121.02</v>
      </c>
      <c r="S2017" s="35">
        <f>IF(R2017="","",IF(R2017&gt;=60,INT(R2017/60)&amp;":"&amp;TEXT(MOD(R2017,60),"00.00"),TEXT(R2017,"0.00")))</f>
        <v/>
      </c>
      <c r="T2017" s="52">
        <f>IFERROR((G2017-INDEX('01_Swimmers'!$E$5:$E$22,MATCH(B2017,'01_Swimmers'!$A$5:$A$22,0)))/'00_Control'!$B$10,"")</f>
        <v/>
      </c>
      <c r="U2017" s="35">
        <f>IF(T2017="","",INT(T2017))</f>
        <v/>
      </c>
      <c r="V2017" s="33" t="inlineStr">
        <is>
          <t>NO</t>
        </is>
      </c>
      <c r="W2017" s="33" t="inlineStr">
        <is>
          <t>YES</t>
        </is>
      </c>
      <c r="X2017" s="33" t="inlineStr">
        <is>
          <t>NO</t>
        </is>
      </c>
      <c r="Y2017" s="33" t="n">
        <v>12</v>
      </c>
      <c r="Z2017" s="33" t="n">
        <v>2</v>
      </c>
      <c r="AA2017" s="33" t="inlineStr">
        <is>
          <t>8</t>
        </is>
      </c>
      <c r="AB2017" s="33" t="inlineStr">
        <is>
          <t>https://www.swimcloud.com/results/389610/event/18/?id=180042846#time180042846</t>
        </is>
      </c>
      <c r="AC2017" s="33" t="inlineStr">
        <is>
          <t>SwimCloud API v6 2026-10-08</t>
        </is>
      </c>
      <c r="AD2017" s="33" t="inlineStr">
        <is>
          <t>Lubo Liu-Tchorbadjiyski|2026-06-27|LCM|200|Free|121.02|IL North Shore Open|PRE|False</t>
        </is>
      </c>
      <c r="AE2017" s="53">
        <f>G2017+L2017/1000+ROW()/1000000000</f>
        <v/>
      </c>
      <c r="AF2017" s="35">
        <f>IF(C2017&lt;&gt;"Grayson Coulter","",COUNTIFS($C$5:$C$2991,"Grayson Coulter",$Q$5:$Q$2991,Q2017,$AE$5:$AE$2991,"&lt;="&amp;AE2017,$R$5:$R$2991,"&lt;"&amp;R2017))</f>
        <v/>
      </c>
      <c r="AG2017" s="35">
        <f>IF(OR(C2017&lt;&gt;"Grayson Coulter",G2017&lt;'00_Control'!$B$7),"",--(AF2017&lt;5))</f>
        <v/>
      </c>
      <c r="AH2017" s="35">
        <f>IF(OR(C2017&lt;&gt;"Grayson Coulter",G2017&lt;'00_Control'!$B$7),"",--(AF2017&lt;10))</f>
        <v/>
      </c>
      <c r="AI2017" s="35">
        <f>IF(AND(C2017="Grayson Coulter",G2017&gt;='00_Control'!$B$7),"YES","NO")</f>
        <v/>
      </c>
      <c r="AJ2017" s="33" t="inlineStr">
        <is>
          <t>OK</t>
        </is>
      </c>
    </row>
    <row r="2018">
      <c r="A2018" s="33" t="inlineStr">
        <is>
          <t>SM002014</t>
        </is>
      </c>
      <c r="B2018" s="33" t="inlineStr">
        <is>
          <t>SW004</t>
        </is>
      </c>
      <c r="C2018" s="33" t="inlineStr">
        <is>
          <t>Lubo Liu-Tchorbadjiyski</t>
        </is>
      </c>
      <c r="D2018" s="33" t="inlineStr">
        <is>
          <t>SwimCloud</t>
        </is>
      </c>
      <c r="E2018" s="33" t="inlineStr">
        <is>
          <t>3102544</t>
        </is>
      </c>
      <c r="F2018" s="33" t="inlineStr">
        <is>
          <t>180042845</t>
        </is>
      </c>
      <c r="G2018" s="51" t="n">
        <v>46200</v>
      </c>
      <c r="H2018" s="33" t="inlineStr">
        <is>
          <t>IL North Shore Open</t>
        </is>
      </c>
      <c r="I2018" s="33" t="inlineStr">
        <is>
          <t>389610</t>
        </is>
      </c>
      <c r="J2018" s="33" t="inlineStr"/>
      <c r="K2018" s="33" t="inlineStr">
        <is>
          <t>FIN</t>
        </is>
      </c>
      <c r="L2018" s="35">
        <f>IF(K2018="FIN",3,IF(OR(K2018="SEM",K2018="SEMI"),2,IF(OR(K2018="PRE",K2018="HEAT"),1,IF(V2018="YES",4,2))))</f>
        <v/>
      </c>
      <c r="M2018" s="33" t="inlineStr">
        <is>
          <t>LCM</t>
        </is>
      </c>
      <c r="N2018" s="33" t="n">
        <v>200</v>
      </c>
      <c r="O2018" s="33" t="inlineStr">
        <is>
          <t>Free</t>
        </is>
      </c>
      <c r="P2018" s="33" t="inlineStr">
        <is>
          <t>200 Free</t>
        </is>
      </c>
      <c r="Q2018" s="33" t="inlineStr">
        <is>
          <t>LCM_200_FREE</t>
        </is>
      </c>
      <c r="R2018" s="36" t="n">
        <v>120.57</v>
      </c>
      <c r="S2018" s="35">
        <f>IF(R2018="","",IF(R2018&gt;=60,INT(R2018/60)&amp;":"&amp;TEXT(MOD(R2018,60),"00.00"),TEXT(R2018,"0.00")))</f>
        <v/>
      </c>
      <c r="T2018" s="52">
        <f>IFERROR((G2018-INDEX('01_Swimmers'!$E$5:$E$22,MATCH(B2018,'01_Swimmers'!$A$5:$A$22,0)))/'00_Control'!$B$10,"")</f>
        <v/>
      </c>
      <c r="U2018" s="35">
        <f>IF(T2018="","",INT(T2018))</f>
        <v/>
      </c>
      <c r="V2018" s="33" t="inlineStr">
        <is>
          <t>NO</t>
        </is>
      </c>
      <c r="W2018" s="33" t="inlineStr">
        <is>
          <t>YES</t>
        </is>
      </c>
      <c r="X2018" s="33" t="inlineStr">
        <is>
          <t>NO</t>
        </is>
      </c>
      <c r="Y2018" s="33" t="n">
        <v>4</v>
      </c>
      <c r="Z2018" s="33" t="n">
        <v>1</v>
      </c>
      <c r="AA2018" s="33" t="inlineStr">
        <is>
          <t>6</t>
        </is>
      </c>
      <c r="AB2018" s="33" t="inlineStr">
        <is>
          <t>https://www.swimcloud.com/results/389610/event/18/?id=180042845#time180042845</t>
        </is>
      </c>
      <c r="AC2018" s="33" t="inlineStr">
        <is>
          <t>SwimCloud API v6 2026-10-08</t>
        </is>
      </c>
      <c r="AD2018" s="33" t="inlineStr">
        <is>
          <t>Lubo Liu-Tchorbadjiyski|2026-06-27|LCM|200|Free|120.57|IL North Shore Open|FIN|False</t>
        </is>
      </c>
      <c r="AE2018" s="53">
        <f>G2018+L2018/1000+ROW()/1000000000</f>
        <v/>
      </c>
      <c r="AF2018" s="35">
        <f>IF(C2018&lt;&gt;"Grayson Coulter","",COUNTIFS($C$5:$C$2991,"Grayson Coulter",$Q$5:$Q$2991,Q2018,$AE$5:$AE$2991,"&lt;="&amp;AE2018,$R$5:$R$2991,"&lt;"&amp;R2018))</f>
        <v/>
      </c>
      <c r="AG2018" s="35">
        <f>IF(OR(C2018&lt;&gt;"Grayson Coulter",G2018&lt;'00_Control'!$B$7),"",--(AF2018&lt;5))</f>
        <v/>
      </c>
      <c r="AH2018" s="35">
        <f>IF(OR(C2018&lt;&gt;"Grayson Coulter",G2018&lt;'00_Control'!$B$7),"",--(AF2018&lt;10))</f>
        <v/>
      </c>
      <c r="AI2018" s="35">
        <f>IF(AND(C2018="Grayson Coulter",G2018&gt;='00_Control'!$B$7),"YES","NO")</f>
        <v/>
      </c>
      <c r="AJ2018" s="33" t="inlineStr">
        <is>
          <t>OK</t>
        </is>
      </c>
    </row>
    <row r="2019">
      <c r="A2019" s="33" t="inlineStr">
        <is>
          <t>SM002015</t>
        </is>
      </c>
      <c r="B2019" s="33" t="inlineStr">
        <is>
          <t>SW004</t>
        </is>
      </c>
      <c r="C2019" s="33" t="inlineStr">
        <is>
          <t>Lubo Liu-Tchorbadjiyski</t>
        </is>
      </c>
      <c r="D2019" s="33" t="inlineStr">
        <is>
          <t>SwimCloud</t>
        </is>
      </c>
      <c r="E2019" s="33" t="inlineStr">
        <is>
          <t>3102544</t>
        </is>
      </c>
      <c r="F2019" s="33" t="inlineStr">
        <is>
          <t>180781684</t>
        </is>
      </c>
      <c r="G2019" s="51" t="n">
        <v>46213</v>
      </c>
      <c r="H2019" s="33" t="inlineStr">
        <is>
          <t>Speedo Sectionals - Westmont</t>
        </is>
      </c>
      <c r="I2019" s="33" t="inlineStr">
        <is>
          <t>377340</t>
        </is>
      </c>
      <c r="J2019" s="33" t="inlineStr"/>
      <c r="K2019" s="33" t="inlineStr">
        <is>
          <t>PRE</t>
        </is>
      </c>
      <c r="L2019" s="35">
        <f>IF(K2019="FIN",3,IF(OR(K2019="SEM",K2019="SEMI"),2,IF(OR(K2019="PRE",K2019="HEAT"),1,IF(V2019="YES",4,2))))</f>
        <v/>
      </c>
      <c r="M2019" s="33" t="inlineStr">
        <is>
          <t>LCM</t>
        </is>
      </c>
      <c r="N2019" s="33" t="n">
        <v>100</v>
      </c>
      <c r="O2019" s="33" t="inlineStr">
        <is>
          <t>Free</t>
        </is>
      </c>
      <c r="P2019" s="33" t="inlineStr">
        <is>
          <t>100 Free</t>
        </is>
      </c>
      <c r="Q2019" s="33" t="inlineStr">
        <is>
          <t>LCM_100_FREE</t>
        </is>
      </c>
      <c r="R2019" s="36" t="n">
        <v>51.73</v>
      </c>
      <c r="S2019" s="35">
        <f>IF(R2019="","",IF(R2019&gt;=60,INT(R2019/60)&amp;":"&amp;TEXT(MOD(R2019,60),"00.00"),TEXT(R2019,"0.00")))</f>
        <v/>
      </c>
      <c r="T2019" s="52">
        <f>IFERROR((G2019-INDEX('01_Swimmers'!$E$5:$E$22,MATCH(B2019,'01_Swimmers'!$A$5:$A$22,0)))/'00_Control'!$B$10,"")</f>
        <v/>
      </c>
      <c r="U2019" s="35">
        <f>IF(T2019="","",INT(T2019))</f>
        <v/>
      </c>
      <c r="V2019" s="33" t="inlineStr">
        <is>
          <t>NO</t>
        </is>
      </c>
      <c r="W2019" s="33" t="inlineStr">
        <is>
          <t>YES</t>
        </is>
      </c>
      <c r="X2019" s="33" t="inlineStr">
        <is>
          <t>NO</t>
        </is>
      </c>
      <c r="Y2019" s="33" t="n">
        <v>13</v>
      </c>
      <c r="Z2019" s="33" t="n">
        <v>7</v>
      </c>
      <c r="AA2019" s="33" t="inlineStr">
        <is>
          <t>9</t>
        </is>
      </c>
      <c r="AB2019" s="33" t="inlineStr">
        <is>
          <t>https://www.swimcloud.com/results/377340/event/14/?id=180781684#time180781684</t>
        </is>
      </c>
      <c r="AC2019" s="33" t="inlineStr">
        <is>
          <t>SwimCloud API v6 2026-10-08</t>
        </is>
      </c>
      <c r="AD2019" s="33" t="inlineStr">
        <is>
          <t>Lubo Liu-Tchorbadjiyski|2026-07-10|LCM|100|Free|51.73|Speedo Sectionals - Westmont|PRE|False</t>
        </is>
      </c>
      <c r="AE2019" s="53">
        <f>G2019+L2019/1000+ROW()/1000000000</f>
        <v/>
      </c>
      <c r="AF2019" s="35">
        <f>IF(C2019&lt;&gt;"Grayson Coulter","",COUNTIFS($C$5:$C$2991,"Grayson Coulter",$Q$5:$Q$2991,Q2019,$AE$5:$AE$2991,"&lt;="&amp;AE2019,$R$5:$R$2991,"&lt;"&amp;R2019))</f>
        <v/>
      </c>
      <c r="AG2019" s="35">
        <f>IF(OR(C2019&lt;&gt;"Grayson Coulter",G2019&lt;'00_Control'!$B$7),"",--(AF2019&lt;5))</f>
        <v/>
      </c>
      <c r="AH2019" s="35">
        <f>IF(OR(C2019&lt;&gt;"Grayson Coulter",G2019&lt;'00_Control'!$B$7),"",--(AF2019&lt;10))</f>
        <v/>
      </c>
      <c r="AI2019" s="35">
        <f>IF(AND(C2019="Grayson Coulter",G2019&gt;='00_Control'!$B$7),"YES","NO")</f>
        <v/>
      </c>
      <c r="AJ2019" s="33" t="inlineStr">
        <is>
          <t>OK</t>
        </is>
      </c>
    </row>
    <row r="2020">
      <c r="A2020" s="33" t="inlineStr">
        <is>
          <t>SM002016</t>
        </is>
      </c>
      <c r="B2020" s="33" t="inlineStr">
        <is>
          <t>SW004</t>
        </is>
      </c>
      <c r="C2020" s="33" t="inlineStr">
        <is>
          <t>Lubo Liu-Tchorbadjiyski</t>
        </is>
      </c>
      <c r="D2020" s="33" t="inlineStr">
        <is>
          <t>SwimCloud</t>
        </is>
      </c>
      <c r="E2020" s="33" t="inlineStr">
        <is>
          <t>3102544</t>
        </is>
      </c>
      <c r="F2020" s="33" t="inlineStr">
        <is>
          <t>180781685</t>
        </is>
      </c>
      <c r="G2020" s="51" t="n">
        <v>46213</v>
      </c>
      <c r="H2020" s="33" t="inlineStr">
        <is>
          <t>Speedo Sectionals - Westmont</t>
        </is>
      </c>
      <c r="I2020" s="33" t="inlineStr">
        <is>
          <t>377340</t>
        </is>
      </c>
      <c r="J2020" s="33" t="inlineStr"/>
      <c r="K2020" s="33" t="inlineStr">
        <is>
          <t>FIN</t>
        </is>
      </c>
      <c r="L2020" s="35">
        <f>IF(K2020="FIN",3,IF(OR(K2020="SEM",K2020="SEMI"),2,IF(OR(K2020="PRE",K2020="HEAT"),1,IF(V2020="YES",4,2))))</f>
        <v/>
      </c>
      <c r="M2020" s="33" t="inlineStr">
        <is>
          <t>LCM</t>
        </is>
      </c>
      <c r="N2020" s="33" t="n">
        <v>100</v>
      </c>
      <c r="O2020" s="33" t="inlineStr">
        <is>
          <t>Free</t>
        </is>
      </c>
      <c r="P2020" s="33" t="inlineStr">
        <is>
          <t>100 Free</t>
        </is>
      </c>
      <c r="Q2020" s="33" t="inlineStr">
        <is>
          <t>LCM_100_FREE</t>
        </is>
      </c>
      <c r="R2020" s="36" t="n">
        <v>51.61</v>
      </c>
      <c r="S2020" s="35">
        <f>IF(R2020="","",IF(R2020&gt;=60,INT(R2020/60)&amp;":"&amp;TEXT(MOD(R2020,60),"00.00"),TEXT(R2020,"0.00")))</f>
        <v/>
      </c>
      <c r="T2020" s="52">
        <f>IFERROR((G2020-INDEX('01_Swimmers'!$E$5:$E$22,MATCH(B2020,'01_Swimmers'!$A$5:$A$22,0)))/'00_Control'!$B$10,"")</f>
        <v/>
      </c>
      <c r="U2020" s="35">
        <f>IF(T2020="","",INT(T2020))</f>
        <v/>
      </c>
      <c r="V2020" s="33" t="inlineStr">
        <is>
          <t>NO</t>
        </is>
      </c>
      <c r="W2020" s="33" t="inlineStr">
        <is>
          <t>YES</t>
        </is>
      </c>
      <c r="X2020" s="33" t="inlineStr">
        <is>
          <t>NO</t>
        </is>
      </c>
      <c r="Y2020" s="33" t="n">
        <v>4</v>
      </c>
      <c r="Z2020" s="33" t="n">
        <v>1</v>
      </c>
      <c r="AA2020" s="33" t="inlineStr">
        <is>
          <t>6</t>
        </is>
      </c>
      <c r="AB2020" s="33" t="inlineStr">
        <is>
          <t>https://www.swimcloud.com/results/377340/event/14/?id=180781685#time180781685</t>
        </is>
      </c>
      <c r="AC2020" s="33" t="inlineStr">
        <is>
          <t>SwimCloud API v6 2026-10-08</t>
        </is>
      </c>
      <c r="AD2020" s="33" t="inlineStr">
        <is>
          <t>Lubo Liu-Tchorbadjiyski|2026-07-10|LCM|100|Free|51.61|Speedo Sectionals - Westmont|FIN|False</t>
        </is>
      </c>
      <c r="AE2020" s="53">
        <f>G2020+L2020/1000+ROW()/1000000000</f>
        <v/>
      </c>
      <c r="AF2020" s="35">
        <f>IF(C2020&lt;&gt;"Grayson Coulter","",COUNTIFS($C$5:$C$2991,"Grayson Coulter",$Q$5:$Q$2991,Q2020,$AE$5:$AE$2991,"&lt;="&amp;AE2020,$R$5:$R$2991,"&lt;"&amp;R2020))</f>
        <v/>
      </c>
      <c r="AG2020" s="35">
        <f>IF(OR(C2020&lt;&gt;"Grayson Coulter",G2020&lt;'00_Control'!$B$7),"",--(AF2020&lt;5))</f>
        <v/>
      </c>
      <c r="AH2020" s="35">
        <f>IF(OR(C2020&lt;&gt;"Grayson Coulter",G2020&lt;'00_Control'!$B$7),"",--(AF2020&lt;10))</f>
        <v/>
      </c>
      <c r="AI2020" s="35">
        <f>IF(AND(C2020="Grayson Coulter",G2020&gt;='00_Control'!$B$7),"YES","NO")</f>
        <v/>
      </c>
      <c r="AJ2020" s="33" t="inlineStr">
        <is>
          <t>OK</t>
        </is>
      </c>
    </row>
    <row r="2021">
      <c r="A2021" s="33" t="inlineStr">
        <is>
          <t>SM002017</t>
        </is>
      </c>
      <c r="B2021" s="33" t="inlineStr">
        <is>
          <t>SW004</t>
        </is>
      </c>
      <c r="C2021" s="33" t="inlineStr">
        <is>
          <t>Lubo Liu-Tchorbadjiyski</t>
        </is>
      </c>
      <c r="D2021" s="33" t="inlineStr">
        <is>
          <t>SwimCloud</t>
        </is>
      </c>
      <c r="E2021" s="33" t="inlineStr">
        <is>
          <t>3102544</t>
        </is>
      </c>
      <c r="F2021" s="33" t="inlineStr">
        <is>
          <t>180783642</t>
        </is>
      </c>
      <c r="G2021" s="51" t="n">
        <v>46213</v>
      </c>
      <c r="H2021" s="33" t="inlineStr">
        <is>
          <t>Speedo Sectionals - Westmont</t>
        </is>
      </c>
      <c r="I2021" s="33" t="inlineStr">
        <is>
          <t>377340</t>
        </is>
      </c>
      <c r="J2021" s="33" t="inlineStr"/>
      <c r="K2021" s="33" t="inlineStr">
        <is>
          <t>TIM</t>
        </is>
      </c>
      <c r="L2021" s="35">
        <f>IF(K2021="FIN",3,IF(OR(K2021="SEM",K2021="SEMI"),2,IF(OR(K2021="PRE",K2021="HEAT"),1,IF(V2021="YES",4,2))))</f>
        <v/>
      </c>
      <c r="M2021" s="33" t="inlineStr">
        <is>
          <t>LCM</t>
        </is>
      </c>
      <c r="N2021" s="33" t="n">
        <v>200</v>
      </c>
      <c r="O2021" s="33" t="inlineStr">
        <is>
          <t>Free</t>
        </is>
      </c>
      <c r="P2021" s="33" t="inlineStr">
        <is>
          <t>200 Free</t>
        </is>
      </c>
      <c r="Q2021" s="33" t="inlineStr">
        <is>
          <t>LCM_200_FREE</t>
        </is>
      </c>
      <c r="R2021" s="36" t="n">
        <v>118.11</v>
      </c>
      <c r="S2021" s="35">
        <f>IF(R2021="","",IF(R2021&gt;=60,INT(R2021/60)&amp;":"&amp;TEXT(MOD(R2021,60),"00.00"),TEXT(R2021,"0.00")))</f>
        <v/>
      </c>
      <c r="T2021" s="52">
        <f>IFERROR((G2021-INDEX('01_Swimmers'!$E$5:$E$22,MATCH(B2021,'01_Swimmers'!$A$5:$A$22,0)))/'00_Control'!$B$10,"")</f>
        <v/>
      </c>
      <c r="U2021" s="35">
        <f>IF(T2021="","",INT(T2021))</f>
        <v/>
      </c>
      <c r="V2021" s="33" t="inlineStr">
        <is>
          <t>YES</t>
        </is>
      </c>
      <c r="W2021" s="33" t="inlineStr">
        <is>
          <t>YES</t>
        </is>
      </c>
      <c r="X2021" s="33" t="inlineStr">
        <is>
          <t>NO</t>
        </is>
      </c>
      <c r="Y2021" s="33" t="n">
        <v>1</v>
      </c>
      <c r="Z2021" s="33" t="n">
        <v>5</v>
      </c>
      <c r="AA2021" s="33" t="inlineStr"/>
      <c r="AB2021" s="33" t="inlineStr">
        <is>
          <t>https://www.swimcloud.com/results/377340/event/22/?id=180782757#time180782757</t>
        </is>
      </c>
      <c r="AC2021" s="33" t="inlineStr">
        <is>
          <t>SwimCloud API v6 2026-10-08</t>
        </is>
      </c>
      <c r="AD2021" s="33" t="inlineStr">
        <is>
          <t>Lubo Liu-Tchorbadjiyski|2026-07-10|LCM|200|Free|118.11|Speedo Sectionals - Westmont|TIM|True</t>
        </is>
      </c>
      <c r="AE2021" s="53">
        <f>G2021+L2021/1000+ROW()/1000000000</f>
        <v/>
      </c>
      <c r="AF2021" s="35">
        <f>IF(C2021&lt;&gt;"Grayson Coulter","",COUNTIFS($C$5:$C$2991,"Grayson Coulter",$Q$5:$Q$2991,Q2021,$AE$5:$AE$2991,"&lt;="&amp;AE2021,$R$5:$R$2991,"&lt;"&amp;R2021))</f>
        <v/>
      </c>
      <c r="AG2021" s="35">
        <f>IF(OR(C2021&lt;&gt;"Grayson Coulter",G2021&lt;'00_Control'!$B$7),"",--(AF2021&lt;5))</f>
        <v/>
      </c>
      <c r="AH2021" s="35">
        <f>IF(OR(C2021&lt;&gt;"Grayson Coulter",G2021&lt;'00_Control'!$B$7),"",--(AF2021&lt;10))</f>
        <v/>
      </c>
      <c r="AI2021" s="35">
        <f>IF(AND(C2021="Grayson Coulter",G2021&gt;='00_Control'!$B$7),"YES","NO")</f>
        <v/>
      </c>
      <c r="AJ2021" s="33" t="inlineStr">
        <is>
          <t>OK</t>
        </is>
      </c>
    </row>
    <row r="2022">
      <c r="A2022" s="33" t="inlineStr">
        <is>
          <t>SM002018</t>
        </is>
      </c>
      <c r="B2022" s="33" t="inlineStr">
        <is>
          <t>SW004</t>
        </is>
      </c>
      <c r="C2022" s="33" t="inlineStr">
        <is>
          <t>Lubo Liu-Tchorbadjiyski</t>
        </is>
      </c>
      <c r="D2022" s="33" t="inlineStr">
        <is>
          <t>SwimCloud</t>
        </is>
      </c>
      <c r="E2022" s="33" t="inlineStr">
        <is>
          <t>3102544</t>
        </is>
      </c>
      <c r="F2022" s="33" t="inlineStr">
        <is>
          <t>180779937</t>
        </is>
      </c>
      <c r="G2022" s="51" t="n">
        <v>46214</v>
      </c>
      <c r="H2022" s="33" t="inlineStr">
        <is>
          <t>Speedo Sectionals - Westmont</t>
        </is>
      </c>
      <c r="I2022" s="33" t="inlineStr">
        <is>
          <t>377340</t>
        </is>
      </c>
      <c r="J2022" s="33" t="inlineStr"/>
      <c r="K2022" s="33" t="inlineStr">
        <is>
          <t>PRE</t>
        </is>
      </c>
      <c r="L2022" s="35">
        <f>IF(K2022="FIN",3,IF(OR(K2022="SEM",K2022="SEMI"),2,IF(OR(K2022="PRE",K2022="HEAT"),1,IF(V2022="YES",4,2))))</f>
        <v/>
      </c>
      <c r="M2022" s="33" t="inlineStr">
        <is>
          <t>LCM</t>
        </is>
      </c>
      <c r="N2022" s="33" t="n">
        <v>100</v>
      </c>
      <c r="O2022" s="33" t="inlineStr">
        <is>
          <t>Fly</t>
        </is>
      </c>
      <c r="P2022" s="33" t="inlineStr">
        <is>
          <t>100 Fly</t>
        </is>
      </c>
      <c r="Q2022" s="33" t="inlineStr">
        <is>
          <t>LCM_100_FLY</t>
        </is>
      </c>
      <c r="R2022" s="36" t="n">
        <v>57.23</v>
      </c>
      <c r="S2022" s="35">
        <f>IF(R2022="","",IF(R2022&gt;=60,INT(R2022/60)&amp;":"&amp;TEXT(MOD(R2022,60),"00.00"),TEXT(R2022,"0.00")))</f>
        <v/>
      </c>
      <c r="T2022" s="52">
        <f>IFERROR((G2022-INDEX('01_Swimmers'!$E$5:$E$22,MATCH(B2022,'01_Swimmers'!$A$5:$A$22,0)))/'00_Control'!$B$10,"")</f>
        <v/>
      </c>
      <c r="U2022" s="35">
        <f>IF(T2022="","",INT(T2022))</f>
        <v/>
      </c>
      <c r="V2022" s="33" t="inlineStr">
        <is>
          <t>NO</t>
        </is>
      </c>
      <c r="W2022" s="33" t="inlineStr">
        <is>
          <t>YES</t>
        </is>
      </c>
      <c r="X2022" s="33" t="inlineStr">
        <is>
          <t>NO</t>
        </is>
      </c>
      <c r="Y2022" s="33" t="n">
        <v>13</v>
      </c>
      <c r="Z2022" s="33" t="n">
        <v>5</v>
      </c>
      <c r="AA2022" s="33" t="inlineStr">
        <is>
          <t>31</t>
        </is>
      </c>
      <c r="AB2022" s="33" t="inlineStr">
        <is>
          <t>https://www.swimcloud.com/results/377340/event/28/?id=180779937#time180779937</t>
        </is>
      </c>
      <c r="AC2022" s="33" t="inlineStr">
        <is>
          <t>SwimCloud API v6 2026-10-08</t>
        </is>
      </c>
      <c r="AD2022" s="33" t="inlineStr">
        <is>
          <t>Lubo Liu-Tchorbadjiyski|2026-07-11|LCM|100|Fly|57.23|Speedo Sectionals - Westmont|PRE|False</t>
        </is>
      </c>
      <c r="AE2022" s="53">
        <f>G2022+L2022/1000+ROW()/1000000000</f>
        <v/>
      </c>
      <c r="AF2022" s="35">
        <f>IF(C2022&lt;&gt;"Grayson Coulter","",COUNTIFS($C$5:$C$2991,"Grayson Coulter",$Q$5:$Q$2991,Q2022,$AE$5:$AE$2991,"&lt;="&amp;AE2022,$R$5:$R$2991,"&lt;"&amp;R2022))</f>
        <v/>
      </c>
      <c r="AG2022" s="35">
        <f>IF(OR(C2022&lt;&gt;"Grayson Coulter",G2022&lt;'00_Control'!$B$7),"",--(AF2022&lt;5))</f>
        <v/>
      </c>
      <c r="AH2022" s="35">
        <f>IF(OR(C2022&lt;&gt;"Grayson Coulter",G2022&lt;'00_Control'!$B$7),"",--(AF2022&lt;10))</f>
        <v/>
      </c>
      <c r="AI2022" s="35">
        <f>IF(AND(C2022="Grayson Coulter",G2022&gt;='00_Control'!$B$7),"YES","NO")</f>
        <v/>
      </c>
      <c r="AJ2022" s="33" t="inlineStr">
        <is>
          <t>OK</t>
        </is>
      </c>
    </row>
    <row r="2023">
      <c r="A2023" s="33" t="inlineStr">
        <is>
          <t>SM002019</t>
        </is>
      </c>
      <c r="B2023" s="33" t="inlineStr">
        <is>
          <t>SW004</t>
        </is>
      </c>
      <c r="C2023" s="33" t="inlineStr">
        <is>
          <t>Lubo Liu-Tchorbadjiyski</t>
        </is>
      </c>
      <c r="D2023" s="33" t="inlineStr">
        <is>
          <t>SwimCloud</t>
        </is>
      </c>
      <c r="E2023" s="33" t="inlineStr">
        <is>
          <t>3102544</t>
        </is>
      </c>
      <c r="F2023" s="33" t="inlineStr">
        <is>
          <t>180779938</t>
        </is>
      </c>
      <c r="G2023" s="51" t="n">
        <v>46214</v>
      </c>
      <c r="H2023" s="33" t="inlineStr">
        <is>
          <t>Speedo Sectionals - Westmont</t>
        </is>
      </c>
      <c r="I2023" s="33" t="inlineStr">
        <is>
          <t>377340</t>
        </is>
      </c>
      <c r="J2023" s="33" t="inlineStr"/>
      <c r="K2023" s="33" t="inlineStr">
        <is>
          <t>FIN</t>
        </is>
      </c>
      <c r="L2023" s="35">
        <f>IF(K2023="FIN",3,IF(OR(K2023="SEM",K2023="SEMI"),2,IF(OR(K2023="PRE",K2023="HEAT"),1,IF(V2023="YES",4,2))))</f>
        <v/>
      </c>
      <c r="M2023" s="33" t="inlineStr">
        <is>
          <t>LCM</t>
        </is>
      </c>
      <c r="N2023" s="33" t="n">
        <v>100</v>
      </c>
      <c r="O2023" s="33" t="inlineStr">
        <is>
          <t>Fly</t>
        </is>
      </c>
      <c r="P2023" s="33" t="inlineStr">
        <is>
          <t>100 Fly</t>
        </is>
      </c>
      <c r="Q2023" s="33" t="inlineStr">
        <is>
          <t>LCM_100_FLY</t>
        </is>
      </c>
      <c r="R2023" s="36" t="n">
        <v>57.09</v>
      </c>
      <c r="S2023" s="35">
        <f>IF(R2023="","",IF(R2023&gt;=60,INT(R2023/60)&amp;":"&amp;TEXT(MOD(R2023,60),"00.00"),TEXT(R2023,"0.00")))</f>
        <v/>
      </c>
      <c r="T2023" s="52">
        <f>IFERROR((G2023-INDEX('01_Swimmers'!$E$5:$E$22,MATCH(B2023,'01_Swimmers'!$A$5:$A$22,0)))/'00_Control'!$B$10,"")</f>
        <v/>
      </c>
      <c r="U2023" s="35">
        <f>IF(T2023="","",INT(T2023))</f>
        <v/>
      </c>
      <c r="V2023" s="33" t="inlineStr">
        <is>
          <t>NO</t>
        </is>
      </c>
      <c r="W2023" s="33" t="inlineStr">
        <is>
          <t>YES</t>
        </is>
      </c>
      <c r="X2023" s="33" t="inlineStr">
        <is>
          <t>NO</t>
        </is>
      </c>
      <c r="Y2023" s="33" t="n">
        <v>2</v>
      </c>
      <c r="Z2023" s="33" t="n">
        <v>8</v>
      </c>
      <c r="AA2023" s="33" t="inlineStr">
        <is>
          <t>25</t>
        </is>
      </c>
      <c r="AB2023" s="33" t="inlineStr">
        <is>
          <t>https://www.swimcloud.com/results/377340/event/28/?id=180779938#time180779938</t>
        </is>
      </c>
      <c r="AC2023" s="33" t="inlineStr">
        <is>
          <t>SwimCloud API v6 2026-10-08</t>
        </is>
      </c>
      <c r="AD2023" s="33" t="inlineStr">
        <is>
          <t>Lubo Liu-Tchorbadjiyski|2026-07-11|LCM|100|Fly|57.09|Speedo Sectionals - Westmont|FIN|False</t>
        </is>
      </c>
      <c r="AE2023" s="53">
        <f>G2023+L2023/1000+ROW()/1000000000</f>
        <v/>
      </c>
      <c r="AF2023" s="35">
        <f>IF(C2023&lt;&gt;"Grayson Coulter","",COUNTIFS($C$5:$C$2991,"Grayson Coulter",$Q$5:$Q$2991,Q2023,$AE$5:$AE$2991,"&lt;="&amp;AE2023,$R$5:$R$2991,"&lt;"&amp;R2023))</f>
        <v/>
      </c>
      <c r="AG2023" s="35">
        <f>IF(OR(C2023&lt;&gt;"Grayson Coulter",G2023&lt;'00_Control'!$B$7),"",--(AF2023&lt;5))</f>
        <v/>
      </c>
      <c r="AH2023" s="35">
        <f>IF(OR(C2023&lt;&gt;"Grayson Coulter",G2023&lt;'00_Control'!$B$7),"",--(AF2023&lt;10))</f>
        <v/>
      </c>
      <c r="AI2023" s="35">
        <f>IF(AND(C2023="Grayson Coulter",G2023&gt;='00_Control'!$B$7),"YES","NO")</f>
        <v/>
      </c>
      <c r="AJ2023" s="33" t="inlineStr">
        <is>
          <t>OK</t>
        </is>
      </c>
    </row>
    <row r="2024">
      <c r="A2024" s="33" t="inlineStr">
        <is>
          <t>SM002020</t>
        </is>
      </c>
      <c r="B2024" s="33" t="inlineStr">
        <is>
          <t>SW004</t>
        </is>
      </c>
      <c r="C2024" s="33" t="inlineStr">
        <is>
          <t>Lubo Liu-Tchorbadjiyski</t>
        </is>
      </c>
      <c r="D2024" s="33" t="inlineStr">
        <is>
          <t>SwimCloud</t>
        </is>
      </c>
      <c r="E2024" s="33" t="inlineStr">
        <is>
          <t>3102544</t>
        </is>
      </c>
      <c r="F2024" s="33" t="inlineStr">
        <is>
          <t>182065093</t>
        </is>
      </c>
      <c r="G2024" s="51" t="n">
        <v>46225</v>
      </c>
      <c r="H2024" s="33" t="inlineStr">
        <is>
          <t>NCSA Summer Championships</t>
        </is>
      </c>
      <c r="I2024" s="33" t="inlineStr">
        <is>
          <t>384591</t>
        </is>
      </c>
      <c r="J2024" s="33" t="inlineStr"/>
      <c r="K2024" s="33" t="inlineStr">
        <is>
          <t>PRE</t>
        </is>
      </c>
      <c r="L2024" s="35">
        <f>IF(K2024="FIN",3,IF(OR(K2024="SEM",K2024="SEMI"),2,IF(OR(K2024="PRE",K2024="HEAT"),1,IF(V2024="YES",4,2))))</f>
        <v/>
      </c>
      <c r="M2024" s="33" t="inlineStr">
        <is>
          <t>LCM</t>
        </is>
      </c>
      <c r="N2024" s="33" t="n">
        <v>100</v>
      </c>
      <c r="O2024" s="33" t="inlineStr">
        <is>
          <t>Free</t>
        </is>
      </c>
      <c r="P2024" s="33" t="inlineStr">
        <is>
          <t>100 Free</t>
        </is>
      </c>
      <c r="Q2024" s="33" t="inlineStr">
        <is>
          <t>LCM_100_FREE</t>
        </is>
      </c>
      <c r="R2024" s="36" t="n">
        <v>51.61</v>
      </c>
      <c r="S2024" s="35">
        <f>IF(R2024="","",IF(R2024&gt;=60,INT(R2024/60)&amp;":"&amp;TEXT(MOD(R2024,60),"00.00"),TEXT(R2024,"0.00")))</f>
        <v/>
      </c>
      <c r="T2024" s="52">
        <f>IFERROR((G2024-INDEX('01_Swimmers'!$E$5:$E$22,MATCH(B2024,'01_Swimmers'!$A$5:$A$22,0)))/'00_Control'!$B$10,"")</f>
        <v/>
      </c>
      <c r="U2024" s="35">
        <f>IF(T2024="","",INT(T2024))</f>
        <v/>
      </c>
      <c r="V2024" s="33" t="inlineStr">
        <is>
          <t>NO</t>
        </is>
      </c>
      <c r="W2024" s="33" t="inlineStr">
        <is>
          <t>YES</t>
        </is>
      </c>
      <c r="X2024" s="33" t="inlineStr">
        <is>
          <t>NO</t>
        </is>
      </c>
      <c r="Y2024" s="33" t="n">
        <v>22</v>
      </c>
      <c r="Z2024" s="33" t="n">
        <v>5</v>
      </c>
      <c r="AA2024" s="33" t="inlineStr">
        <is>
          <t>7</t>
        </is>
      </c>
      <c r="AB2024" s="33" t="inlineStr">
        <is>
          <t>https://www.swimcloud.com/results/384591/event/4/?id=182065093#time182065093</t>
        </is>
      </c>
      <c r="AC2024" s="33" t="inlineStr">
        <is>
          <t>SwimCloud API v6 2026-10-08</t>
        </is>
      </c>
      <c r="AD2024" s="33" t="inlineStr">
        <is>
          <t>Lubo Liu-Tchorbadjiyski|2026-07-22|LCM|100|Free|51.61|NCSA Summer Championships|PRE|False</t>
        </is>
      </c>
      <c r="AE2024" s="53">
        <f>G2024+L2024/1000+ROW()/1000000000</f>
        <v/>
      </c>
      <c r="AF2024" s="35">
        <f>IF(C2024&lt;&gt;"Grayson Coulter","",COUNTIFS($C$5:$C$2991,"Grayson Coulter",$Q$5:$Q$2991,Q2024,$AE$5:$AE$2991,"&lt;="&amp;AE2024,$R$5:$R$2991,"&lt;"&amp;R2024))</f>
        <v/>
      </c>
      <c r="AG2024" s="35">
        <f>IF(OR(C2024&lt;&gt;"Grayson Coulter",G2024&lt;'00_Control'!$B$7),"",--(AF2024&lt;5))</f>
        <v/>
      </c>
      <c r="AH2024" s="35">
        <f>IF(OR(C2024&lt;&gt;"Grayson Coulter",G2024&lt;'00_Control'!$B$7),"",--(AF2024&lt;10))</f>
        <v/>
      </c>
      <c r="AI2024" s="35">
        <f>IF(AND(C2024="Grayson Coulter",G2024&gt;='00_Control'!$B$7),"YES","NO")</f>
        <v/>
      </c>
      <c r="AJ2024" s="33" t="inlineStr">
        <is>
          <t>OK</t>
        </is>
      </c>
    </row>
    <row r="2025">
      <c r="A2025" s="33" t="inlineStr">
        <is>
          <t>SM002021</t>
        </is>
      </c>
      <c r="B2025" s="33" t="inlineStr">
        <is>
          <t>SW004</t>
        </is>
      </c>
      <c r="C2025" s="33" t="inlineStr">
        <is>
          <t>Lubo Liu-Tchorbadjiyski</t>
        </is>
      </c>
      <c r="D2025" s="33" t="inlineStr">
        <is>
          <t>SwimCloud</t>
        </is>
      </c>
      <c r="E2025" s="33" t="inlineStr">
        <is>
          <t>3102544</t>
        </is>
      </c>
      <c r="F2025" s="33" t="inlineStr">
        <is>
          <t>182065094</t>
        </is>
      </c>
      <c r="G2025" s="51" t="n">
        <v>46225</v>
      </c>
      <c r="H2025" s="33" t="inlineStr">
        <is>
          <t>NCSA Summer Championships</t>
        </is>
      </c>
      <c r="I2025" s="33" t="inlineStr">
        <is>
          <t>384591</t>
        </is>
      </c>
      <c r="J2025" s="33" t="inlineStr"/>
      <c r="K2025" s="33" t="inlineStr">
        <is>
          <t>FIN</t>
        </is>
      </c>
      <c r="L2025" s="35">
        <f>IF(K2025="FIN",3,IF(OR(K2025="SEM",K2025="SEMI"),2,IF(OR(K2025="PRE",K2025="HEAT"),1,IF(V2025="YES",4,2))))</f>
        <v/>
      </c>
      <c r="M2025" s="33" t="inlineStr">
        <is>
          <t>LCM</t>
        </is>
      </c>
      <c r="N2025" s="33" t="n">
        <v>100</v>
      </c>
      <c r="O2025" s="33" t="inlineStr">
        <is>
          <t>Free</t>
        </is>
      </c>
      <c r="P2025" s="33" t="inlineStr">
        <is>
          <t>100 Free</t>
        </is>
      </c>
      <c r="Q2025" s="33" t="inlineStr">
        <is>
          <t>LCM_100_FREE</t>
        </is>
      </c>
      <c r="R2025" s="36" t="n">
        <v>51.03</v>
      </c>
      <c r="S2025" s="35">
        <f>IF(R2025="","",IF(R2025&gt;=60,INT(R2025/60)&amp;":"&amp;TEXT(MOD(R2025,60),"00.00"),TEXT(R2025,"0.00")))</f>
        <v/>
      </c>
      <c r="T2025" s="52">
        <f>IFERROR((G2025-INDEX('01_Swimmers'!$E$5:$E$22,MATCH(B2025,'01_Swimmers'!$A$5:$A$22,0)))/'00_Control'!$B$10,"")</f>
        <v/>
      </c>
      <c r="U2025" s="35">
        <f>IF(T2025="","",INT(T2025))</f>
        <v/>
      </c>
      <c r="V2025" s="33" t="inlineStr">
        <is>
          <t>NO</t>
        </is>
      </c>
      <c r="W2025" s="33" t="inlineStr">
        <is>
          <t>YES</t>
        </is>
      </c>
      <c r="X2025" s="33" t="inlineStr">
        <is>
          <t>NO</t>
        </is>
      </c>
      <c r="Y2025" s="33" t="n">
        <v>5</v>
      </c>
      <c r="Z2025" s="33" t="n">
        <v>1</v>
      </c>
      <c r="AA2025" s="33" t="inlineStr">
        <is>
          <t>4</t>
        </is>
      </c>
      <c r="AB2025" s="33" t="inlineStr">
        <is>
          <t>https://www.swimcloud.com/results/384591/event/4/?id=182065094#time182065094</t>
        </is>
      </c>
      <c r="AC2025" s="33" t="inlineStr">
        <is>
          <t>SwimCloud API v6 2026-10-08</t>
        </is>
      </c>
      <c r="AD2025" s="33" t="inlineStr">
        <is>
          <t>Lubo Liu-Tchorbadjiyski|2026-07-22|LCM|100|Free|51.03|NCSA Summer Championships|FIN|False</t>
        </is>
      </c>
      <c r="AE2025" s="53">
        <f>G2025+L2025/1000+ROW()/1000000000</f>
        <v/>
      </c>
      <c r="AF2025" s="35">
        <f>IF(C2025&lt;&gt;"Grayson Coulter","",COUNTIFS($C$5:$C$2991,"Grayson Coulter",$Q$5:$Q$2991,Q2025,$AE$5:$AE$2991,"&lt;="&amp;AE2025,$R$5:$R$2991,"&lt;"&amp;R2025))</f>
        <v/>
      </c>
      <c r="AG2025" s="35">
        <f>IF(OR(C2025&lt;&gt;"Grayson Coulter",G2025&lt;'00_Control'!$B$7),"",--(AF2025&lt;5))</f>
        <v/>
      </c>
      <c r="AH2025" s="35">
        <f>IF(OR(C2025&lt;&gt;"Grayson Coulter",G2025&lt;'00_Control'!$B$7),"",--(AF2025&lt;10))</f>
        <v/>
      </c>
      <c r="AI2025" s="35">
        <f>IF(AND(C2025="Grayson Coulter",G2025&gt;='00_Control'!$B$7),"YES","NO")</f>
        <v/>
      </c>
      <c r="AJ2025" s="33" t="inlineStr">
        <is>
          <t>OK</t>
        </is>
      </c>
    </row>
    <row r="2026">
      <c r="A2026" s="33" t="inlineStr">
        <is>
          <t>SM002022</t>
        </is>
      </c>
      <c r="B2026" s="33" t="inlineStr">
        <is>
          <t>SW004</t>
        </is>
      </c>
      <c r="C2026" s="33" t="inlineStr">
        <is>
          <t>Lubo Liu-Tchorbadjiyski</t>
        </is>
      </c>
      <c r="D2026" s="33" t="inlineStr">
        <is>
          <t>SwimCloud</t>
        </is>
      </c>
      <c r="E2026" s="33" t="inlineStr">
        <is>
          <t>3102544</t>
        </is>
      </c>
      <c r="F2026" s="33" t="inlineStr">
        <is>
          <t>182067450</t>
        </is>
      </c>
      <c r="G2026" s="51" t="n">
        <v>46227</v>
      </c>
      <c r="H2026" s="33" t="inlineStr">
        <is>
          <t>NCSA Summer Championships</t>
        </is>
      </c>
      <c r="I2026" s="33" t="inlineStr">
        <is>
          <t>384591</t>
        </is>
      </c>
      <c r="J2026" s="33" t="inlineStr"/>
      <c r="K2026" s="33" t="inlineStr">
        <is>
          <t>PRE</t>
        </is>
      </c>
      <c r="L2026" s="35">
        <f>IF(K2026="FIN",3,IF(OR(K2026="SEM",K2026="SEMI"),2,IF(OR(K2026="PRE",K2026="HEAT"),1,IF(V2026="YES",4,2))))</f>
        <v/>
      </c>
      <c r="M2026" s="33" t="inlineStr">
        <is>
          <t>LCM</t>
        </is>
      </c>
      <c r="N2026" s="33" t="n">
        <v>200</v>
      </c>
      <c r="O2026" s="33" t="inlineStr">
        <is>
          <t>Free</t>
        </is>
      </c>
      <c r="P2026" s="33" t="inlineStr">
        <is>
          <t>200 Free</t>
        </is>
      </c>
      <c r="Q2026" s="33" t="inlineStr">
        <is>
          <t>LCM_200_FREE</t>
        </is>
      </c>
      <c r="R2026" s="36" t="n">
        <v>119.01</v>
      </c>
      <c r="S2026" s="35">
        <f>IF(R2026="","",IF(R2026&gt;=60,INT(R2026/60)&amp;":"&amp;TEXT(MOD(R2026,60),"00.00"),TEXT(R2026,"0.00")))</f>
        <v/>
      </c>
      <c r="T2026" s="52">
        <f>IFERROR((G2026-INDEX('01_Swimmers'!$E$5:$E$22,MATCH(B2026,'01_Swimmers'!$A$5:$A$22,0)))/'00_Control'!$B$10,"")</f>
        <v/>
      </c>
      <c r="U2026" s="35">
        <f>IF(T2026="","",INT(T2026))</f>
        <v/>
      </c>
      <c r="V2026" s="33" t="inlineStr">
        <is>
          <t>NO</t>
        </is>
      </c>
      <c r="W2026" s="33" t="inlineStr">
        <is>
          <t>YES</t>
        </is>
      </c>
      <c r="X2026" s="33" t="inlineStr">
        <is>
          <t>NO</t>
        </is>
      </c>
      <c r="Y2026" s="33" t="n">
        <v>8</v>
      </c>
      <c r="Z2026" s="33" t="n">
        <v>8</v>
      </c>
      <c r="AA2026" s="33" t="inlineStr">
        <is>
          <t>95</t>
        </is>
      </c>
      <c r="AB2026" s="33" t="inlineStr">
        <is>
          <t>https://www.swimcloud.com/results/384591/event/20/?id=182067450#time182067450</t>
        </is>
      </c>
      <c r="AC2026" s="33" t="inlineStr">
        <is>
          <t>SwimCloud API v6 2026-10-08</t>
        </is>
      </c>
      <c r="AD2026" s="33" t="inlineStr">
        <is>
          <t>Lubo Liu-Tchorbadjiyski|2026-07-24|LCM|200|Free|119.01|NCSA Summer Championships|PRE|False</t>
        </is>
      </c>
      <c r="AE2026" s="53">
        <f>G2026+L2026/1000+ROW()/1000000000</f>
        <v/>
      </c>
      <c r="AF2026" s="35">
        <f>IF(C2026&lt;&gt;"Grayson Coulter","",COUNTIFS($C$5:$C$2991,"Grayson Coulter",$Q$5:$Q$2991,Q2026,$AE$5:$AE$2991,"&lt;="&amp;AE2026,$R$5:$R$2991,"&lt;"&amp;R2026))</f>
        <v/>
      </c>
      <c r="AG2026" s="35">
        <f>IF(OR(C2026&lt;&gt;"Grayson Coulter",G2026&lt;'00_Control'!$B$7),"",--(AF2026&lt;5))</f>
        <v/>
      </c>
      <c r="AH2026" s="35">
        <f>IF(OR(C2026&lt;&gt;"Grayson Coulter",G2026&lt;'00_Control'!$B$7),"",--(AF2026&lt;10))</f>
        <v/>
      </c>
      <c r="AI2026" s="35">
        <f>IF(AND(C2026="Grayson Coulter",G2026&gt;='00_Control'!$B$7),"YES","NO")</f>
        <v/>
      </c>
      <c r="AJ2026" s="33" t="inlineStr">
        <is>
          <t>OK</t>
        </is>
      </c>
    </row>
    <row r="2027">
      <c r="A2027" s="33" t="inlineStr">
        <is>
          <t>SM002023</t>
        </is>
      </c>
      <c r="B2027" s="33" t="inlineStr">
        <is>
          <t>SW004</t>
        </is>
      </c>
      <c r="C2027" s="33" t="inlineStr">
        <is>
          <t>Lubo Liu-Tchorbadjiyski</t>
        </is>
      </c>
      <c r="D2027" s="33" t="inlineStr">
        <is>
          <t>SwimCloud</t>
        </is>
      </c>
      <c r="E2027" s="33" t="inlineStr">
        <is>
          <t>3102544</t>
        </is>
      </c>
      <c r="F2027" s="33" t="inlineStr">
        <is>
          <t>182066042</t>
        </is>
      </c>
      <c r="G2027" s="51" t="n">
        <v>46228</v>
      </c>
      <c r="H2027" s="33" t="inlineStr">
        <is>
          <t>NCSA Summer Championships</t>
        </is>
      </c>
      <c r="I2027" s="33" t="inlineStr">
        <is>
          <t>384591</t>
        </is>
      </c>
      <c r="J2027" s="33" t="inlineStr"/>
      <c r="K2027" s="33" t="inlineStr">
        <is>
          <t>PRE</t>
        </is>
      </c>
      <c r="L2027" s="35">
        <f>IF(K2027="FIN",3,IF(OR(K2027="SEM",K2027="SEMI"),2,IF(OR(K2027="PRE",K2027="HEAT"),1,IF(V2027="YES",4,2))))</f>
        <v/>
      </c>
      <c r="M2027" s="33" t="inlineStr">
        <is>
          <t>LCM</t>
        </is>
      </c>
      <c r="N2027" s="33" t="n">
        <v>100</v>
      </c>
      <c r="O2027" s="33" t="inlineStr">
        <is>
          <t>Fly</t>
        </is>
      </c>
      <c r="P2027" s="33" t="inlineStr">
        <is>
          <t>100 Fly</t>
        </is>
      </c>
      <c r="Q2027" s="33" t="inlineStr">
        <is>
          <t>LCM_100_FLY</t>
        </is>
      </c>
      <c r="R2027" s="36" t="n">
        <v>56.11</v>
      </c>
      <c r="S2027" s="35">
        <f>IF(R2027="","",IF(R2027&gt;=60,INT(R2027/60)&amp;":"&amp;TEXT(MOD(R2027,60),"00.00"),TEXT(R2027,"0.00")))</f>
        <v/>
      </c>
      <c r="T2027" s="52">
        <f>IFERROR((G2027-INDEX('01_Swimmers'!$E$5:$E$22,MATCH(B2027,'01_Swimmers'!$A$5:$A$22,0)))/'00_Control'!$B$10,"")</f>
        <v/>
      </c>
      <c r="U2027" s="35">
        <f>IF(T2027="","",INT(T2027))</f>
        <v/>
      </c>
      <c r="V2027" s="33" t="inlineStr">
        <is>
          <t>NO</t>
        </is>
      </c>
      <c r="W2027" s="33" t="inlineStr">
        <is>
          <t>YES</t>
        </is>
      </c>
      <c r="X2027" s="33" t="inlineStr">
        <is>
          <t>NO</t>
        </is>
      </c>
      <c r="Y2027" s="33" t="n">
        <v>20</v>
      </c>
      <c r="Z2027" s="33" t="n">
        <v>3</v>
      </c>
      <c r="AA2027" s="33" t="inlineStr">
        <is>
          <t>14</t>
        </is>
      </c>
      <c r="AB2027" s="33" t="inlineStr">
        <is>
          <t>https://www.swimcloud.com/results/384591/event/30/?id=182066042#time182066042</t>
        </is>
      </c>
      <c r="AC2027" s="33" t="inlineStr">
        <is>
          <t>SwimCloud API v6 2026-10-08</t>
        </is>
      </c>
      <c r="AD2027" s="33" t="inlineStr">
        <is>
          <t>Lubo Liu-Tchorbadjiyski|2026-07-25|LCM|100|Fly|56.11|NCSA Summer Championships|PRE|False</t>
        </is>
      </c>
      <c r="AE2027" s="53">
        <f>G2027+L2027/1000+ROW()/1000000000</f>
        <v/>
      </c>
      <c r="AF2027" s="35">
        <f>IF(C2027&lt;&gt;"Grayson Coulter","",COUNTIFS($C$5:$C$2991,"Grayson Coulter",$Q$5:$Q$2991,Q2027,$AE$5:$AE$2991,"&lt;="&amp;AE2027,$R$5:$R$2991,"&lt;"&amp;R2027))</f>
        <v/>
      </c>
      <c r="AG2027" s="35">
        <f>IF(OR(C2027&lt;&gt;"Grayson Coulter",G2027&lt;'00_Control'!$B$7),"",--(AF2027&lt;5))</f>
        <v/>
      </c>
      <c r="AH2027" s="35">
        <f>IF(OR(C2027&lt;&gt;"Grayson Coulter",G2027&lt;'00_Control'!$B$7),"",--(AF2027&lt;10))</f>
        <v/>
      </c>
      <c r="AI2027" s="35">
        <f>IF(AND(C2027="Grayson Coulter",G2027&gt;='00_Control'!$B$7),"YES","NO")</f>
        <v/>
      </c>
      <c r="AJ2027" s="33" t="inlineStr">
        <is>
          <t>OK</t>
        </is>
      </c>
    </row>
    <row r="2028">
      <c r="A2028" s="33" t="inlineStr">
        <is>
          <t>SM002024</t>
        </is>
      </c>
      <c r="B2028" s="33" t="inlineStr">
        <is>
          <t>SW004</t>
        </is>
      </c>
      <c r="C2028" s="33" t="inlineStr">
        <is>
          <t>Lubo Liu-Tchorbadjiyski</t>
        </is>
      </c>
      <c r="D2028" s="33" t="inlineStr">
        <is>
          <t>SwimCloud</t>
        </is>
      </c>
      <c r="E2028" s="33" t="inlineStr">
        <is>
          <t>3102544</t>
        </is>
      </c>
      <c r="F2028" s="33" t="inlineStr">
        <is>
          <t>182066043</t>
        </is>
      </c>
      <c r="G2028" s="51" t="n">
        <v>46228</v>
      </c>
      <c r="H2028" s="33" t="inlineStr">
        <is>
          <t>NCSA Summer Championships</t>
        </is>
      </c>
      <c r="I2028" s="33" t="inlineStr">
        <is>
          <t>384591</t>
        </is>
      </c>
      <c r="J2028" s="33" t="inlineStr"/>
      <c r="K2028" s="33" t="inlineStr">
        <is>
          <t>FIN</t>
        </is>
      </c>
      <c r="L2028" s="35">
        <f>IF(K2028="FIN",3,IF(OR(K2028="SEM",K2028="SEMI"),2,IF(OR(K2028="PRE",K2028="HEAT"),1,IF(V2028="YES",4,2))))</f>
        <v/>
      </c>
      <c r="M2028" s="33" t="inlineStr">
        <is>
          <t>LCM</t>
        </is>
      </c>
      <c r="N2028" s="33" t="n">
        <v>100</v>
      </c>
      <c r="O2028" s="33" t="inlineStr">
        <is>
          <t>Fly</t>
        </is>
      </c>
      <c r="P2028" s="33" t="inlineStr">
        <is>
          <t>100 Fly</t>
        </is>
      </c>
      <c r="Q2028" s="33" t="inlineStr">
        <is>
          <t>LCM_100_FLY</t>
        </is>
      </c>
      <c r="R2028" s="36" t="n">
        <v>55.93</v>
      </c>
      <c r="S2028" s="35">
        <f>IF(R2028="","",IF(R2028&gt;=60,INT(R2028/60)&amp;":"&amp;TEXT(MOD(R2028,60),"00.00"),TEXT(R2028,"0.00")))</f>
        <v/>
      </c>
      <c r="T2028" s="52">
        <f>IFERROR((G2028-INDEX('01_Swimmers'!$E$5:$E$22,MATCH(B2028,'01_Swimmers'!$A$5:$A$22,0)))/'00_Control'!$B$10,"")</f>
        <v/>
      </c>
      <c r="U2028" s="35">
        <f>IF(T2028="","",INT(T2028))</f>
        <v/>
      </c>
      <c r="V2028" s="33" t="inlineStr">
        <is>
          <t>NO</t>
        </is>
      </c>
      <c r="W2028" s="33" t="inlineStr">
        <is>
          <t>YES</t>
        </is>
      </c>
      <c r="X2028" s="33" t="inlineStr">
        <is>
          <t>NO</t>
        </is>
      </c>
      <c r="Y2028" s="33" t="n">
        <v>4</v>
      </c>
      <c r="Z2028" s="33" t="n">
        <v>7</v>
      </c>
      <c r="AA2028" s="33" t="inlineStr">
        <is>
          <t>11</t>
        </is>
      </c>
      <c r="AB2028" s="33" t="inlineStr">
        <is>
          <t>https://www.swimcloud.com/results/384591/event/30/?id=182066043#time182066043</t>
        </is>
      </c>
      <c r="AC2028" s="33" t="inlineStr">
        <is>
          <t>SwimCloud API v6 2026-10-08</t>
        </is>
      </c>
      <c r="AD2028" s="33" t="inlineStr">
        <is>
          <t>Lubo Liu-Tchorbadjiyski|2026-07-25|LCM|100|Fly|55.93|NCSA Summer Championships|FIN|False</t>
        </is>
      </c>
      <c r="AE2028" s="53">
        <f>G2028+L2028/1000+ROW()/1000000000</f>
        <v/>
      </c>
      <c r="AF2028" s="35">
        <f>IF(C2028&lt;&gt;"Grayson Coulter","",COUNTIFS($C$5:$C$2991,"Grayson Coulter",$Q$5:$Q$2991,Q2028,$AE$5:$AE$2991,"&lt;="&amp;AE2028,$R$5:$R$2991,"&lt;"&amp;R2028))</f>
        <v/>
      </c>
      <c r="AG2028" s="35">
        <f>IF(OR(C2028&lt;&gt;"Grayson Coulter",G2028&lt;'00_Control'!$B$7),"",--(AF2028&lt;5))</f>
        <v/>
      </c>
      <c r="AH2028" s="35">
        <f>IF(OR(C2028&lt;&gt;"Grayson Coulter",G2028&lt;'00_Control'!$B$7),"",--(AF2028&lt;10))</f>
        <v/>
      </c>
      <c r="AI2028" s="35">
        <f>IF(AND(C2028="Grayson Coulter",G2028&gt;='00_Control'!$B$7),"YES","NO")</f>
        <v/>
      </c>
      <c r="AJ2028" s="33" t="inlineStr">
        <is>
          <t>OK</t>
        </is>
      </c>
    </row>
    <row r="2029">
      <c r="A2029" s="33" t="inlineStr">
        <is>
          <t>SM002025</t>
        </is>
      </c>
      <c r="B2029" s="33" t="inlineStr">
        <is>
          <t>SW004</t>
        </is>
      </c>
      <c r="C2029" s="33" t="inlineStr">
        <is>
          <t>Lubo Liu-Tchorbadjiyski</t>
        </is>
      </c>
      <c r="D2029" s="33" t="inlineStr">
        <is>
          <t>SwimCloud</t>
        </is>
      </c>
      <c r="E2029" s="33" t="inlineStr">
        <is>
          <t>3102544</t>
        </is>
      </c>
      <c r="F2029" s="33" t="inlineStr">
        <is>
          <t>183545150</t>
        </is>
      </c>
      <c r="G2029" s="51" t="n">
        <v>46238</v>
      </c>
      <c r="H2029" s="33" t="inlineStr">
        <is>
          <t>Speedo Junior National Championships</t>
        </is>
      </c>
      <c r="I2029" s="33" t="inlineStr">
        <is>
          <t>384843</t>
        </is>
      </c>
      <c r="J2029" s="33" t="inlineStr"/>
      <c r="K2029" s="33" t="inlineStr">
        <is>
          <t>PRE</t>
        </is>
      </c>
      <c r="L2029" s="35">
        <f>IF(K2029="FIN",3,IF(OR(K2029="SEM",K2029="SEMI"),2,IF(OR(K2029="PRE",K2029="HEAT"),1,IF(V2029="YES",4,2))))</f>
        <v/>
      </c>
      <c r="M2029" s="33" t="inlineStr">
        <is>
          <t>LCM</t>
        </is>
      </c>
      <c r="N2029" s="33" t="n">
        <v>100</v>
      </c>
      <c r="O2029" s="33" t="inlineStr">
        <is>
          <t>Free</t>
        </is>
      </c>
      <c r="P2029" s="33" t="inlineStr">
        <is>
          <t>100 Free</t>
        </is>
      </c>
      <c r="Q2029" s="33" t="inlineStr">
        <is>
          <t>LCM_100_FREE</t>
        </is>
      </c>
      <c r="R2029" s="36" t="n">
        <v>51.96</v>
      </c>
      <c r="S2029" s="35">
        <f>IF(R2029="","",IF(R2029&gt;=60,INT(R2029/60)&amp;":"&amp;TEXT(MOD(R2029,60),"00.00"),TEXT(R2029,"0.00")))</f>
        <v/>
      </c>
      <c r="T2029" s="52">
        <f>IFERROR((G2029-INDEX('01_Swimmers'!$E$5:$E$22,MATCH(B2029,'01_Swimmers'!$A$5:$A$22,0)))/'00_Control'!$B$10,"")</f>
        <v/>
      </c>
      <c r="U2029" s="35">
        <f>IF(T2029="","",INT(T2029))</f>
        <v/>
      </c>
      <c r="V2029" s="33" t="inlineStr">
        <is>
          <t>NO</t>
        </is>
      </c>
      <c r="W2029" s="33" t="inlineStr">
        <is>
          <t>YES</t>
        </is>
      </c>
      <c r="X2029" s="33" t="inlineStr">
        <is>
          <t>NO</t>
        </is>
      </c>
      <c r="Y2029" s="33" t="n">
        <v>19</v>
      </c>
      <c r="Z2029" s="33" t="n">
        <v>3</v>
      </c>
      <c r="AA2029" s="33" t="inlineStr">
        <is>
          <t>67</t>
        </is>
      </c>
      <c r="AB2029" s="33" t="inlineStr">
        <is>
          <t>https://www.swimcloud.com/results/384843/event/12/?id=183545150#time183545150</t>
        </is>
      </c>
      <c r="AC2029" s="33" t="inlineStr">
        <is>
          <t>SwimCloud API v6 2026-10-08</t>
        </is>
      </c>
      <c r="AD2029" s="33" t="inlineStr">
        <is>
          <t>Lubo Liu-Tchorbadjiyski|2026-08-04|LCM|100|Free|51.96|Speedo Junior National Championships|PRE|False</t>
        </is>
      </c>
      <c r="AE2029" s="53">
        <f>G2029+L2029/1000+ROW()/1000000000</f>
        <v/>
      </c>
      <c r="AF2029" s="35">
        <f>IF(C2029&lt;&gt;"Grayson Coulter","",COUNTIFS($C$5:$C$2991,"Grayson Coulter",$Q$5:$Q$2991,Q2029,$AE$5:$AE$2991,"&lt;="&amp;AE2029,$R$5:$R$2991,"&lt;"&amp;R2029))</f>
        <v/>
      </c>
      <c r="AG2029" s="35">
        <f>IF(OR(C2029&lt;&gt;"Grayson Coulter",G2029&lt;'00_Control'!$B$7),"",--(AF2029&lt;5))</f>
        <v/>
      </c>
      <c r="AH2029" s="35">
        <f>IF(OR(C2029&lt;&gt;"Grayson Coulter",G2029&lt;'00_Control'!$B$7),"",--(AF2029&lt;10))</f>
        <v/>
      </c>
      <c r="AI2029" s="35">
        <f>IF(AND(C2029="Grayson Coulter",G2029&gt;='00_Control'!$B$7),"YES","NO")</f>
        <v/>
      </c>
      <c r="AJ2029" s="33" t="inlineStr">
        <is>
          <t>OK</t>
        </is>
      </c>
    </row>
    <row r="2030">
      <c r="A2030" s="33" t="inlineStr">
        <is>
          <t>SM002026</t>
        </is>
      </c>
      <c r="B2030" s="33" t="inlineStr">
        <is>
          <t>SW004</t>
        </is>
      </c>
      <c r="C2030" s="33" t="inlineStr">
        <is>
          <t>Lubo Liu-Tchorbadjiyski</t>
        </is>
      </c>
      <c r="D2030" s="33" t="inlineStr">
        <is>
          <t>SwimCloud</t>
        </is>
      </c>
      <c r="E2030" s="33" t="inlineStr">
        <is>
          <t>3102544</t>
        </is>
      </c>
      <c r="F2030" s="33" t="inlineStr">
        <is>
          <t>183543501</t>
        </is>
      </c>
      <c r="G2030" s="51" t="n">
        <v>46239</v>
      </c>
      <c r="H2030" s="33" t="inlineStr">
        <is>
          <t>Speedo Junior National Championships</t>
        </is>
      </c>
      <c r="I2030" s="33" t="inlineStr">
        <is>
          <t>384843</t>
        </is>
      </c>
      <c r="J2030" s="33" t="inlineStr"/>
      <c r="K2030" s="33" t="inlineStr">
        <is>
          <t>PRE</t>
        </is>
      </c>
      <c r="L2030" s="35">
        <f>IF(K2030="FIN",3,IF(OR(K2030="SEM",K2030="SEMI"),2,IF(OR(K2030="PRE",K2030="HEAT"),1,IF(V2030="YES",4,2))))</f>
        <v/>
      </c>
      <c r="M2030" s="33" t="inlineStr">
        <is>
          <t>LCM</t>
        </is>
      </c>
      <c r="N2030" s="33" t="n">
        <v>100</v>
      </c>
      <c r="O2030" s="33" t="inlineStr">
        <is>
          <t>Fly</t>
        </is>
      </c>
      <c r="P2030" s="33" t="inlineStr">
        <is>
          <t>100 Fly</t>
        </is>
      </c>
      <c r="Q2030" s="33" t="inlineStr">
        <is>
          <t>LCM_100_FLY</t>
        </is>
      </c>
      <c r="R2030" s="36" t="n">
        <v>56.33</v>
      </c>
      <c r="S2030" s="35">
        <f>IF(R2030="","",IF(R2030&gt;=60,INT(R2030/60)&amp;":"&amp;TEXT(MOD(R2030,60),"00.00"),TEXT(R2030,"0.00")))</f>
        <v/>
      </c>
      <c r="T2030" s="52">
        <f>IFERROR((G2030-INDEX('01_Swimmers'!$E$5:$E$22,MATCH(B2030,'01_Swimmers'!$A$5:$A$22,0)))/'00_Control'!$B$10,"")</f>
        <v/>
      </c>
      <c r="U2030" s="35">
        <f>IF(T2030="","",INT(T2030))</f>
        <v/>
      </c>
      <c r="V2030" s="33" t="inlineStr">
        <is>
          <t>NO</t>
        </is>
      </c>
      <c r="W2030" s="33" t="inlineStr">
        <is>
          <t>YES</t>
        </is>
      </c>
      <c r="X2030" s="33" t="inlineStr">
        <is>
          <t>NO</t>
        </is>
      </c>
      <c r="Y2030" s="33" t="n">
        <v>5</v>
      </c>
      <c r="Z2030" s="33" t="n">
        <v>1</v>
      </c>
      <c r="AA2030" s="33" t="inlineStr">
        <is>
          <t>74</t>
        </is>
      </c>
      <c r="AB2030" s="33" t="inlineStr">
        <is>
          <t>https://www.swimcloud.com/results/384843/event/22/?id=183543501#time183543501</t>
        </is>
      </c>
      <c r="AC2030" s="33" t="inlineStr">
        <is>
          <t>SwimCloud API v6 2026-10-08</t>
        </is>
      </c>
      <c r="AD2030" s="33" t="inlineStr">
        <is>
          <t>Lubo Liu-Tchorbadjiyski|2026-08-05|LCM|100|Fly|56.33|Speedo Junior National Championships|PRE|False</t>
        </is>
      </c>
      <c r="AE2030" s="53">
        <f>G2030+L2030/1000+ROW()/1000000000</f>
        <v/>
      </c>
      <c r="AF2030" s="35">
        <f>IF(C2030&lt;&gt;"Grayson Coulter","",COUNTIFS($C$5:$C$2991,"Grayson Coulter",$Q$5:$Q$2991,Q2030,$AE$5:$AE$2991,"&lt;="&amp;AE2030,$R$5:$R$2991,"&lt;"&amp;R2030))</f>
        <v/>
      </c>
      <c r="AG2030" s="35">
        <f>IF(OR(C2030&lt;&gt;"Grayson Coulter",G2030&lt;'00_Control'!$B$7),"",--(AF2030&lt;5))</f>
        <v/>
      </c>
      <c r="AH2030" s="35">
        <f>IF(OR(C2030&lt;&gt;"Grayson Coulter",G2030&lt;'00_Control'!$B$7),"",--(AF2030&lt;10))</f>
        <v/>
      </c>
      <c r="AI2030" s="35">
        <f>IF(AND(C2030="Grayson Coulter",G2030&gt;='00_Control'!$B$7),"YES","NO")</f>
        <v/>
      </c>
      <c r="AJ2030" s="33" t="inlineStr">
        <is>
          <t>OK</t>
        </is>
      </c>
    </row>
    <row r="2031">
      <c r="A2031" s="33" t="inlineStr">
        <is>
          <t>SM002027</t>
        </is>
      </c>
      <c r="B2031" s="33" t="inlineStr">
        <is>
          <t>SW004</t>
        </is>
      </c>
      <c r="C2031" s="33" t="inlineStr">
        <is>
          <t>Lubo Liu-Tchorbadjiyski</t>
        </is>
      </c>
      <c r="D2031" s="33" t="inlineStr">
        <is>
          <t>SwimCloud</t>
        </is>
      </c>
      <c r="E2031" s="33" t="inlineStr">
        <is>
          <t>3102544</t>
        </is>
      </c>
      <c r="F2031" s="33" t="inlineStr">
        <is>
          <t>185316728</t>
        </is>
      </c>
      <c r="G2031" s="51" t="n">
        <v>46278</v>
      </c>
      <c r="H2031" s="33" t="inlineStr">
        <is>
          <t>FAST SUIT SUNDAY</t>
        </is>
      </c>
      <c r="I2031" s="33" t="inlineStr">
        <is>
          <t>397465</t>
        </is>
      </c>
      <c r="J2031" s="33" t="inlineStr"/>
      <c r="K2031" s="33" t="inlineStr">
        <is>
          <t>TIM</t>
        </is>
      </c>
      <c r="L2031" s="35">
        <f>IF(K2031="FIN",3,IF(OR(K2031="SEM",K2031="SEMI"),2,IF(OR(K2031="PRE",K2031="HEAT"),1,IF(V2031="YES",4,2))))</f>
        <v/>
      </c>
      <c r="M2031" s="33" t="inlineStr">
        <is>
          <t>LCM</t>
        </is>
      </c>
      <c r="N2031" s="33" t="n">
        <v>100</v>
      </c>
      <c r="O2031" s="33" t="inlineStr">
        <is>
          <t>Free</t>
        </is>
      </c>
      <c r="P2031" s="33" t="inlineStr">
        <is>
          <t>100 Free</t>
        </is>
      </c>
      <c r="Q2031" s="33" t="inlineStr">
        <is>
          <t>LCM_100_FREE</t>
        </is>
      </c>
      <c r="R2031" s="36" t="n">
        <v>54.29</v>
      </c>
      <c r="S2031" s="35">
        <f>IF(R2031="","",IF(R2031&gt;=60,INT(R2031/60)&amp;":"&amp;TEXT(MOD(R2031,60),"00.00"),TEXT(R2031,"0.00")))</f>
        <v/>
      </c>
      <c r="T2031" s="52">
        <f>IFERROR((G2031-INDEX('01_Swimmers'!$E$5:$E$22,MATCH(B2031,'01_Swimmers'!$A$5:$A$22,0)))/'00_Control'!$B$10,"")</f>
        <v/>
      </c>
      <c r="U2031" s="35">
        <f>IF(T2031="","",INT(T2031))</f>
        <v/>
      </c>
      <c r="V2031" s="33" t="inlineStr">
        <is>
          <t>NO</t>
        </is>
      </c>
      <c r="W2031" s="33" t="inlineStr">
        <is>
          <t>YES</t>
        </is>
      </c>
      <c r="X2031" s="33" t="inlineStr">
        <is>
          <t>NO</t>
        </is>
      </c>
      <c r="Y2031" s="33" t="n">
        <v>2</v>
      </c>
      <c r="Z2031" s="33" t="n">
        <v>3</v>
      </c>
      <c r="AA2031" s="33" t="inlineStr">
        <is>
          <t>1</t>
        </is>
      </c>
      <c r="AB2031" s="33" t="inlineStr">
        <is>
          <t>https://www.swimcloud.com/results/397465/event/4/?id=185316728#time185316728</t>
        </is>
      </c>
      <c r="AC2031" s="33" t="inlineStr">
        <is>
          <t>SwimCloud API v6 2026-10-08</t>
        </is>
      </c>
      <c r="AD2031" s="33" t="inlineStr">
        <is>
          <t>Lubo Liu-Tchorbadjiyski|2026-09-13|LCM|100|Free|54.29|FAST SUIT SUNDAY|TIM|False</t>
        </is>
      </c>
      <c r="AE2031" s="53">
        <f>G2031+L2031/1000+ROW()/1000000000</f>
        <v/>
      </c>
      <c r="AF2031" s="35">
        <f>IF(C2031&lt;&gt;"Grayson Coulter","",COUNTIFS($C$5:$C$2991,"Grayson Coulter",$Q$5:$Q$2991,Q2031,$AE$5:$AE$2991,"&lt;="&amp;AE2031,$R$5:$R$2991,"&lt;"&amp;R2031))</f>
        <v/>
      </c>
      <c r="AG2031" s="35">
        <f>IF(OR(C2031&lt;&gt;"Grayson Coulter",G2031&lt;'00_Control'!$B$7),"",--(AF2031&lt;5))</f>
        <v/>
      </c>
      <c r="AH2031" s="35">
        <f>IF(OR(C2031&lt;&gt;"Grayson Coulter",G2031&lt;'00_Control'!$B$7),"",--(AF2031&lt;10))</f>
        <v/>
      </c>
      <c r="AI2031" s="35">
        <f>IF(AND(C2031="Grayson Coulter",G2031&gt;='00_Control'!$B$7),"YES","NO")</f>
        <v/>
      </c>
      <c r="AJ2031" s="33" t="inlineStr">
        <is>
          <t>OK</t>
        </is>
      </c>
    </row>
    <row r="2032">
      <c r="A2032" s="33" t="inlineStr">
        <is>
          <t>SM002028</t>
        </is>
      </c>
      <c r="B2032" s="33" t="inlineStr">
        <is>
          <t>SW003</t>
        </is>
      </c>
      <c r="C2032" s="33" t="inlineStr">
        <is>
          <t>Luka Mijatovic</t>
        </is>
      </c>
      <c r="D2032" s="33" t="inlineStr">
        <is>
          <t>SwimCloud</t>
        </is>
      </c>
      <c r="E2032" s="33" t="inlineStr">
        <is>
          <t>2415996</t>
        </is>
      </c>
      <c r="F2032" s="33" t="inlineStr">
        <is>
          <t>72085016</t>
        </is>
      </c>
      <c r="G2032" s="51" t="n">
        <v>42133</v>
      </c>
      <c r="H2032" s="33" t="inlineStr">
        <is>
          <t>2015 PC DACA LCM C/B/A+</t>
        </is>
      </c>
      <c r="I2032" s="33" t="inlineStr">
        <is>
          <t>219662</t>
        </is>
      </c>
      <c r="J2032" s="33" t="inlineStr"/>
      <c r="K2032" s="33" t="inlineStr">
        <is>
          <t>TIM</t>
        </is>
      </c>
      <c r="L2032" s="35">
        <f>IF(K2032="FIN",3,IF(OR(K2032="SEM",K2032="SEMI"),2,IF(OR(K2032="PRE",K2032="HEAT"),1,IF(V2032="YES",4,2))))</f>
        <v/>
      </c>
      <c r="M2032" s="33" t="inlineStr">
        <is>
          <t>LCM</t>
        </is>
      </c>
      <c r="N2032" s="33" t="n">
        <v>100</v>
      </c>
      <c r="O2032" s="33" t="inlineStr">
        <is>
          <t>Free</t>
        </is>
      </c>
      <c r="P2032" s="33" t="inlineStr">
        <is>
          <t>100 Free</t>
        </is>
      </c>
      <c r="Q2032" s="33" t="inlineStr">
        <is>
          <t>LCM_100_FREE</t>
        </is>
      </c>
      <c r="R2032" s="36" t="n">
        <v>94.92</v>
      </c>
      <c r="S2032" s="35">
        <f>IF(R2032="","",IF(R2032&gt;=60,INT(R2032/60)&amp;":"&amp;TEXT(MOD(R2032,60),"00.00"),TEXT(R2032,"0.00")))</f>
        <v/>
      </c>
      <c r="T2032" s="52">
        <f>IFERROR((G2032-INDEX('01_Swimmers'!$E$5:$E$22,MATCH(B2032,'01_Swimmers'!$A$5:$A$22,0)))/'00_Control'!$B$10,"")</f>
        <v/>
      </c>
      <c r="U2032" s="35">
        <f>IF(T2032="","",INT(T2032))</f>
        <v/>
      </c>
      <c r="V2032" s="33" t="inlineStr">
        <is>
          <t>NO</t>
        </is>
      </c>
      <c r="W2032" s="33" t="inlineStr">
        <is>
          <t>YES</t>
        </is>
      </c>
      <c r="X2032" s="33" t="inlineStr">
        <is>
          <t>NO</t>
        </is>
      </c>
      <c r="Y2032" s="33" t="n">
        <v>9</v>
      </c>
      <c r="Z2032" s="33" t="n">
        <v>4</v>
      </c>
      <c r="AA2032" s="33" t="inlineStr">
        <is>
          <t>1</t>
        </is>
      </c>
      <c r="AB2032" s="33" t="inlineStr">
        <is>
          <t>https://www.swimcloud.com/results/219662/event/24/?id=72085016#time72085016</t>
        </is>
      </c>
      <c r="AC2032" s="33" t="inlineStr">
        <is>
          <t>SwimCloud API v6 2026-10-08</t>
        </is>
      </c>
      <c r="AD2032" s="33" t="inlineStr">
        <is>
          <t>Luka Mijatovic|2015-05-09|LCM|100|Free|94.92|2015 PC DACA LCM C/B/A+|TIM|False</t>
        </is>
      </c>
      <c r="AE2032" s="53">
        <f>G2032+L2032/1000+ROW()/1000000000</f>
        <v/>
      </c>
      <c r="AF2032" s="35">
        <f>IF(C2032&lt;&gt;"Grayson Coulter","",COUNTIFS($C$5:$C$2991,"Grayson Coulter",$Q$5:$Q$2991,Q2032,$AE$5:$AE$2991,"&lt;="&amp;AE2032,$R$5:$R$2991,"&lt;"&amp;R2032))</f>
        <v/>
      </c>
      <c r="AG2032" s="35">
        <f>IF(OR(C2032&lt;&gt;"Grayson Coulter",G2032&lt;'00_Control'!$B$7),"",--(AF2032&lt;5))</f>
        <v/>
      </c>
      <c r="AH2032" s="35">
        <f>IF(OR(C2032&lt;&gt;"Grayson Coulter",G2032&lt;'00_Control'!$B$7),"",--(AF2032&lt;10))</f>
        <v/>
      </c>
      <c r="AI2032" s="35">
        <f>IF(AND(C2032="Grayson Coulter",G2032&gt;='00_Control'!$B$7),"YES","NO")</f>
        <v/>
      </c>
      <c r="AJ2032" s="33" t="inlineStr">
        <is>
          <t>OK</t>
        </is>
      </c>
    </row>
    <row r="2033">
      <c r="A2033" s="33" t="inlineStr">
        <is>
          <t>SM002029</t>
        </is>
      </c>
      <c r="B2033" s="33" t="inlineStr">
        <is>
          <t>SW003</t>
        </is>
      </c>
      <c r="C2033" s="33" t="inlineStr">
        <is>
          <t>Luka Mijatovic</t>
        </is>
      </c>
      <c r="D2033" s="33" t="inlineStr">
        <is>
          <t>SwimCloud</t>
        </is>
      </c>
      <c r="E2033" s="33" t="inlineStr">
        <is>
          <t>2415996</t>
        </is>
      </c>
      <c r="F2033" s="33" t="inlineStr">
        <is>
          <t>72026845</t>
        </is>
      </c>
      <c r="G2033" s="51" t="n">
        <v>42154</v>
      </c>
      <c r="H2033" s="33" t="inlineStr">
        <is>
          <t>2015 PC DACA LCM C/B/A+</t>
        </is>
      </c>
      <c r="I2033" s="33" t="inlineStr">
        <is>
          <t>219659</t>
        </is>
      </c>
      <c r="J2033" s="33" t="inlineStr"/>
      <c r="K2033" s="33" t="inlineStr">
        <is>
          <t>TIM</t>
        </is>
      </c>
      <c r="L2033" s="35">
        <f>IF(K2033="FIN",3,IF(OR(K2033="SEM",K2033="SEMI"),2,IF(OR(K2033="PRE",K2033="HEAT"),1,IF(V2033="YES",4,2))))</f>
        <v/>
      </c>
      <c r="M2033" s="33" t="inlineStr">
        <is>
          <t>LCM</t>
        </is>
      </c>
      <c r="N2033" s="33" t="n">
        <v>100</v>
      </c>
      <c r="O2033" s="33" t="inlineStr">
        <is>
          <t>Free</t>
        </is>
      </c>
      <c r="P2033" s="33" t="inlineStr">
        <is>
          <t>100 Free</t>
        </is>
      </c>
      <c r="Q2033" s="33" t="inlineStr">
        <is>
          <t>LCM_100_FREE</t>
        </is>
      </c>
      <c r="R2033" s="36" t="n">
        <v>94.20999999999999</v>
      </c>
      <c r="S2033" s="35">
        <f>IF(R2033="","",IF(R2033&gt;=60,INT(R2033/60)&amp;":"&amp;TEXT(MOD(R2033,60),"00.00"),TEXT(R2033,"0.00")))</f>
        <v/>
      </c>
      <c r="T2033" s="52">
        <f>IFERROR((G2033-INDEX('01_Swimmers'!$E$5:$E$22,MATCH(B2033,'01_Swimmers'!$A$5:$A$22,0)))/'00_Control'!$B$10,"")</f>
        <v/>
      </c>
      <c r="U2033" s="35">
        <f>IF(T2033="","",INT(T2033))</f>
        <v/>
      </c>
      <c r="V2033" s="33" t="inlineStr">
        <is>
          <t>NO</t>
        </is>
      </c>
      <c r="W2033" s="33" t="inlineStr">
        <is>
          <t>YES</t>
        </is>
      </c>
      <c r="X2033" s="33" t="inlineStr">
        <is>
          <t>NO</t>
        </is>
      </c>
      <c r="Y2033" s="33" t="n">
        <v>1</v>
      </c>
      <c r="Z2033" s="33" t="n">
        <v>8</v>
      </c>
      <c r="AA2033" s="33" t="inlineStr">
        <is>
          <t>7</t>
        </is>
      </c>
      <c r="AB2033" s="33" t="inlineStr">
        <is>
          <t>https://www.swimcloud.com/results/219659/event/26/?id=72026845#time72026845</t>
        </is>
      </c>
      <c r="AC2033" s="33" t="inlineStr">
        <is>
          <t>SwimCloud API v6 2026-10-08</t>
        </is>
      </c>
      <c r="AD2033" s="33" t="inlineStr">
        <is>
          <t>Luka Mijatovic|2015-05-30|LCM|100|Free|94.21|2015 PC DACA LCM C/B/A+|TIM|False</t>
        </is>
      </c>
      <c r="AE2033" s="53">
        <f>G2033+L2033/1000+ROW()/1000000000</f>
        <v/>
      </c>
      <c r="AF2033" s="35">
        <f>IF(C2033&lt;&gt;"Grayson Coulter","",COUNTIFS($C$5:$C$2991,"Grayson Coulter",$Q$5:$Q$2991,Q2033,$AE$5:$AE$2991,"&lt;="&amp;AE2033,$R$5:$R$2991,"&lt;"&amp;R2033))</f>
        <v/>
      </c>
      <c r="AG2033" s="35">
        <f>IF(OR(C2033&lt;&gt;"Grayson Coulter",G2033&lt;'00_Control'!$B$7),"",--(AF2033&lt;5))</f>
        <v/>
      </c>
      <c r="AH2033" s="35">
        <f>IF(OR(C2033&lt;&gt;"Grayson Coulter",G2033&lt;'00_Control'!$B$7),"",--(AF2033&lt;10))</f>
        <v/>
      </c>
      <c r="AI2033" s="35">
        <f>IF(AND(C2033="Grayson Coulter",G2033&gt;='00_Control'!$B$7),"YES","NO")</f>
        <v/>
      </c>
      <c r="AJ2033" s="33" t="inlineStr">
        <is>
          <t>OK</t>
        </is>
      </c>
    </row>
    <row r="2034">
      <c r="A2034" s="33" t="inlineStr">
        <is>
          <t>SM002030</t>
        </is>
      </c>
      <c r="B2034" s="33" t="inlineStr">
        <is>
          <t>SW003</t>
        </is>
      </c>
      <c r="C2034" s="33" t="inlineStr">
        <is>
          <t>Luka Mijatovic</t>
        </is>
      </c>
      <c r="D2034" s="33" t="inlineStr">
        <is>
          <t>SwimCloud</t>
        </is>
      </c>
      <c r="E2034" s="33" t="inlineStr">
        <is>
          <t>2415996</t>
        </is>
      </c>
      <c r="F2034" s="33" t="inlineStr">
        <is>
          <t>71751059</t>
        </is>
      </c>
      <c r="G2034" s="51" t="n">
        <v>42183</v>
      </c>
      <c r="H2034" s="33" t="inlineStr">
        <is>
          <t>2015 Silicon Valley LC Age Group Meet</t>
        </is>
      </c>
      <c r="I2034" s="33" t="inlineStr">
        <is>
          <t>219585</t>
        </is>
      </c>
      <c r="J2034" s="33" t="inlineStr"/>
      <c r="K2034" s="33" t="inlineStr">
        <is>
          <t>TIM</t>
        </is>
      </c>
      <c r="L2034" s="35">
        <f>IF(K2034="FIN",3,IF(OR(K2034="SEM",K2034="SEMI"),2,IF(OR(K2034="PRE",K2034="HEAT"),1,IF(V2034="YES",4,2))))</f>
        <v/>
      </c>
      <c r="M2034" s="33" t="inlineStr">
        <is>
          <t>LCM</t>
        </is>
      </c>
      <c r="N2034" s="33" t="n">
        <v>100</v>
      </c>
      <c r="O2034" s="33" t="inlineStr">
        <is>
          <t>Free</t>
        </is>
      </c>
      <c r="P2034" s="33" t="inlineStr">
        <is>
          <t>100 Free</t>
        </is>
      </c>
      <c r="Q2034" s="33" t="inlineStr">
        <is>
          <t>LCM_100_FREE</t>
        </is>
      </c>
      <c r="R2034" s="36" t="n">
        <v>89.31999999999999</v>
      </c>
      <c r="S2034" s="35">
        <f>IF(R2034="","",IF(R2034&gt;=60,INT(R2034/60)&amp;":"&amp;TEXT(MOD(R2034,60),"00.00"),TEXT(R2034,"0.00")))</f>
        <v/>
      </c>
      <c r="T2034" s="52">
        <f>IFERROR((G2034-INDEX('01_Swimmers'!$E$5:$E$22,MATCH(B2034,'01_Swimmers'!$A$5:$A$22,0)))/'00_Control'!$B$10,"")</f>
        <v/>
      </c>
      <c r="U2034" s="35">
        <f>IF(T2034="","",INT(T2034))</f>
        <v/>
      </c>
      <c r="V2034" s="33" t="inlineStr">
        <is>
          <t>NO</t>
        </is>
      </c>
      <c r="W2034" s="33" t="inlineStr">
        <is>
          <t>YES</t>
        </is>
      </c>
      <c r="X2034" s="33" t="inlineStr">
        <is>
          <t>NO</t>
        </is>
      </c>
      <c r="Y2034" s="33" t="n">
        <v>4</v>
      </c>
      <c r="Z2034" s="33" t="n">
        <v>4</v>
      </c>
      <c r="AA2034" s="33" t="inlineStr">
        <is>
          <t>2</t>
        </is>
      </c>
      <c r="AB2034" s="33" t="inlineStr">
        <is>
          <t>https://www.swimcloud.com/results/219585/event/48/?id=71751059#time71751059</t>
        </is>
      </c>
      <c r="AC2034" s="33" t="inlineStr">
        <is>
          <t>SwimCloud API v6 2026-10-08</t>
        </is>
      </c>
      <c r="AD2034" s="33" t="inlineStr">
        <is>
          <t>Luka Mijatovic|2015-06-28|LCM|100|Free|89.32|2015 Silicon Valley LC Age Group Meet|TIM|False</t>
        </is>
      </c>
      <c r="AE2034" s="53">
        <f>G2034+L2034/1000+ROW()/1000000000</f>
        <v/>
      </c>
      <c r="AF2034" s="35">
        <f>IF(C2034&lt;&gt;"Grayson Coulter","",COUNTIFS($C$5:$C$2991,"Grayson Coulter",$Q$5:$Q$2991,Q2034,$AE$5:$AE$2991,"&lt;="&amp;AE2034,$R$5:$R$2991,"&lt;"&amp;R2034))</f>
        <v/>
      </c>
      <c r="AG2034" s="35">
        <f>IF(OR(C2034&lt;&gt;"Grayson Coulter",G2034&lt;'00_Control'!$B$7),"",--(AF2034&lt;5))</f>
        <v/>
      </c>
      <c r="AH2034" s="35">
        <f>IF(OR(C2034&lt;&gt;"Grayson Coulter",G2034&lt;'00_Control'!$B$7),"",--(AF2034&lt;10))</f>
        <v/>
      </c>
      <c r="AI2034" s="35">
        <f>IF(AND(C2034="Grayson Coulter",G2034&gt;='00_Control'!$B$7),"YES","NO")</f>
        <v/>
      </c>
      <c r="AJ2034" s="33" t="inlineStr">
        <is>
          <t>OK</t>
        </is>
      </c>
    </row>
    <row r="2035">
      <c r="A2035" s="33" t="inlineStr">
        <is>
          <t>SM002031</t>
        </is>
      </c>
      <c r="B2035" s="33" t="inlineStr">
        <is>
          <t>SW003</t>
        </is>
      </c>
      <c r="C2035" s="33" t="inlineStr">
        <is>
          <t>Luka Mijatovic</t>
        </is>
      </c>
      <c r="D2035" s="33" t="inlineStr">
        <is>
          <t>SwimCloud</t>
        </is>
      </c>
      <c r="E2035" s="33" t="inlineStr">
        <is>
          <t>2415996</t>
        </is>
      </c>
      <c r="F2035" s="33" t="inlineStr">
        <is>
          <t>85505369</t>
        </is>
      </c>
      <c r="G2035" s="51" t="n">
        <v>42923</v>
      </c>
      <c r="H2035" s="33" t="inlineStr">
        <is>
          <t>PC OAPB Orinda Aquatics Junior Olympics</t>
        </is>
      </c>
      <c r="I2035" s="33" t="inlineStr">
        <is>
          <t>114888</t>
        </is>
      </c>
      <c r="J2035" s="33" t="inlineStr"/>
      <c r="K2035" s="33" t="inlineStr">
        <is>
          <t>PRE</t>
        </is>
      </c>
      <c r="L2035" s="35">
        <f>IF(K2035="FIN",3,IF(OR(K2035="SEM",K2035="SEMI"),2,IF(OR(K2035="PRE",K2035="HEAT"),1,IF(V2035="YES",4,2))))</f>
        <v/>
      </c>
      <c r="M2035" s="33" t="inlineStr">
        <is>
          <t>LCM</t>
        </is>
      </c>
      <c r="N2035" s="33" t="n">
        <v>200</v>
      </c>
      <c r="O2035" s="33" t="inlineStr">
        <is>
          <t>Free</t>
        </is>
      </c>
      <c r="P2035" s="33" t="inlineStr">
        <is>
          <t>200 Free</t>
        </is>
      </c>
      <c r="Q2035" s="33" t="inlineStr">
        <is>
          <t>LCM_200_FREE</t>
        </is>
      </c>
      <c r="R2035" s="36" t="n">
        <v>149</v>
      </c>
      <c r="S2035" s="35">
        <f>IF(R2035="","",IF(R2035&gt;=60,INT(R2035/60)&amp;":"&amp;TEXT(MOD(R2035,60),"00.00"),TEXT(R2035,"0.00")))</f>
        <v/>
      </c>
      <c r="T2035" s="52">
        <f>IFERROR((G2035-INDEX('01_Swimmers'!$E$5:$E$22,MATCH(B2035,'01_Swimmers'!$A$5:$A$22,0)))/'00_Control'!$B$10,"")</f>
        <v/>
      </c>
      <c r="U2035" s="35">
        <f>IF(T2035="","",INT(T2035))</f>
        <v/>
      </c>
      <c r="V2035" s="33" t="inlineStr">
        <is>
          <t>NO</t>
        </is>
      </c>
      <c r="W2035" s="33" t="inlineStr">
        <is>
          <t>YES</t>
        </is>
      </c>
      <c r="X2035" s="33" t="inlineStr">
        <is>
          <t>NO</t>
        </is>
      </c>
      <c r="Y2035" s="33" t="n">
        <v>2</v>
      </c>
      <c r="Z2035" s="33" t="n">
        <v>4</v>
      </c>
      <c r="AA2035" s="33" t="inlineStr">
        <is>
          <t>2</t>
        </is>
      </c>
      <c r="AB2035" s="33" t="inlineStr">
        <is>
          <t>https://www.swimcloud.com/results/114888/event/4/?id=85505369#time85505369</t>
        </is>
      </c>
      <c r="AC2035" s="33" t="inlineStr">
        <is>
          <t>SwimCloud API v6 2026-10-08</t>
        </is>
      </c>
      <c r="AD2035" s="33" t="inlineStr">
        <is>
          <t>Luka Mijatovic|2017-07-07|LCM|200|Free|149.0|PC OAPB Orinda Aquatics Junior Olympics|PRE|False</t>
        </is>
      </c>
      <c r="AE2035" s="53">
        <f>G2035+L2035/1000+ROW()/1000000000</f>
        <v/>
      </c>
      <c r="AF2035" s="35">
        <f>IF(C2035&lt;&gt;"Grayson Coulter","",COUNTIFS($C$5:$C$2991,"Grayson Coulter",$Q$5:$Q$2991,Q2035,$AE$5:$AE$2991,"&lt;="&amp;AE2035,$R$5:$R$2991,"&lt;"&amp;R2035))</f>
        <v/>
      </c>
      <c r="AG2035" s="35">
        <f>IF(OR(C2035&lt;&gt;"Grayson Coulter",G2035&lt;'00_Control'!$B$7),"",--(AF2035&lt;5))</f>
        <v/>
      </c>
      <c r="AH2035" s="35">
        <f>IF(OR(C2035&lt;&gt;"Grayson Coulter",G2035&lt;'00_Control'!$B$7),"",--(AF2035&lt;10))</f>
        <v/>
      </c>
      <c r="AI2035" s="35">
        <f>IF(AND(C2035="Grayson Coulter",G2035&gt;='00_Control'!$B$7),"YES","NO")</f>
        <v/>
      </c>
      <c r="AJ2035" s="33" t="inlineStr">
        <is>
          <t>OK</t>
        </is>
      </c>
    </row>
    <row r="2036">
      <c r="A2036" s="33" t="inlineStr">
        <is>
          <t>SM002032</t>
        </is>
      </c>
      <c r="B2036" s="33" t="inlineStr">
        <is>
          <t>SW003</t>
        </is>
      </c>
      <c r="C2036" s="33" t="inlineStr">
        <is>
          <t>Luka Mijatovic</t>
        </is>
      </c>
      <c r="D2036" s="33" t="inlineStr">
        <is>
          <t>SwimCloud</t>
        </is>
      </c>
      <c r="E2036" s="33" t="inlineStr">
        <is>
          <t>2415996</t>
        </is>
      </c>
      <c r="F2036" s="33" t="inlineStr">
        <is>
          <t>85505370</t>
        </is>
      </c>
      <c r="G2036" s="51" t="n">
        <v>42923</v>
      </c>
      <c r="H2036" s="33" t="inlineStr">
        <is>
          <t>PC OAPB Orinda Aquatics Junior Olympics</t>
        </is>
      </c>
      <c r="I2036" s="33" t="inlineStr">
        <is>
          <t>114888</t>
        </is>
      </c>
      <c r="J2036" s="33" t="inlineStr"/>
      <c r="K2036" s="33" t="inlineStr">
        <is>
          <t>FIN</t>
        </is>
      </c>
      <c r="L2036" s="35">
        <f>IF(K2036="FIN",3,IF(OR(K2036="SEM",K2036="SEMI"),2,IF(OR(K2036="PRE",K2036="HEAT"),1,IF(V2036="YES",4,2))))</f>
        <v/>
      </c>
      <c r="M2036" s="33" t="inlineStr">
        <is>
          <t>LCM</t>
        </is>
      </c>
      <c r="N2036" s="33" t="n">
        <v>200</v>
      </c>
      <c r="O2036" s="33" t="inlineStr">
        <is>
          <t>Free</t>
        </is>
      </c>
      <c r="P2036" s="33" t="inlineStr">
        <is>
          <t>200 Free</t>
        </is>
      </c>
      <c r="Q2036" s="33" t="inlineStr">
        <is>
          <t>LCM_200_FREE</t>
        </is>
      </c>
      <c r="R2036" s="36" t="n">
        <v>150.26</v>
      </c>
      <c r="S2036" s="35">
        <f>IF(R2036="","",IF(R2036&gt;=60,INT(R2036/60)&amp;":"&amp;TEXT(MOD(R2036,60),"00.00"),TEXT(R2036,"0.00")))</f>
        <v/>
      </c>
      <c r="T2036" s="52">
        <f>IFERROR((G2036-INDEX('01_Swimmers'!$E$5:$E$22,MATCH(B2036,'01_Swimmers'!$A$5:$A$22,0)))/'00_Control'!$B$10,"")</f>
        <v/>
      </c>
      <c r="U2036" s="35">
        <f>IF(T2036="","",INT(T2036))</f>
        <v/>
      </c>
      <c r="V2036" s="33" t="inlineStr">
        <is>
          <t>NO</t>
        </is>
      </c>
      <c r="W2036" s="33" t="inlineStr">
        <is>
          <t>YES</t>
        </is>
      </c>
      <c r="X2036" s="33" t="inlineStr">
        <is>
          <t>NO</t>
        </is>
      </c>
      <c r="Y2036" s="33" t="n">
        <v>1</v>
      </c>
      <c r="Z2036" s="33" t="n">
        <v>5</v>
      </c>
      <c r="AA2036" s="33" t="inlineStr">
        <is>
          <t>3</t>
        </is>
      </c>
      <c r="AB2036" s="33" t="inlineStr">
        <is>
          <t>https://www.swimcloud.com/results/114888/event/4/?id=85505370#time85505370</t>
        </is>
      </c>
      <c r="AC2036" s="33" t="inlineStr">
        <is>
          <t>SwimCloud API v6 2026-10-08</t>
        </is>
      </c>
      <c r="AD2036" s="33" t="inlineStr">
        <is>
          <t>Luka Mijatovic|2017-07-07|LCM|200|Free|150.26|PC OAPB Orinda Aquatics Junior Olympics|FIN|False</t>
        </is>
      </c>
      <c r="AE2036" s="53">
        <f>G2036+L2036/1000+ROW()/1000000000</f>
        <v/>
      </c>
      <c r="AF2036" s="35">
        <f>IF(C2036&lt;&gt;"Grayson Coulter","",COUNTIFS($C$5:$C$2991,"Grayson Coulter",$Q$5:$Q$2991,Q2036,$AE$5:$AE$2991,"&lt;="&amp;AE2036,$R$5:$R$2991,"&lt;"&amp;R2036))</f>
        <v/>
      </c>
      <c r="AG2036" s="35">
        <f>IF(OR(C2036&lt;&gt;"Grayson Coulter",G2036&lt;'00_Control'!$B$7),"",--(AF2036&lt;5))</f>
        <v/>
      </c>
      <c r="AH2036" s="35">
        <f>IF(OR(C2036&lt;&gt;"Grayson Coulter",G2036&lt;'00_Control'!$B$7),"",--(AF2036&lt;10))</f>
        <v/>
      </c>
      <c r="AI2036" s="35">
        <f>IF(AND(C2036="Grayson Coulter",G2036&gt;='00_Control'!$B$7),"YES","NO")</f>
        <v/>
      </c>
      <c r="AJ2036" s="33" t="inlineStr">
        <is>
          <t>OK</t>
        </is>
      </c>
    </row>
    <row r="2037">
      <c r="A2037" s="33" t="inlineStr">
        <is>
          <t>SM002033</t>
        </is>
      </c>
      <c r="B2037" s="33" t="inlineStr">
        <is>
          <t>SW003</t>
        </is>
      </c>
      <c r="C2037" s="33" t="inlineStr">
        <is>
          <t>Luka Mijatovic</t>
        </is>
      </c>
      <c r="D2037" s="33" t="inlineStr">
        <is>
          <t>SwimCloud</t>
        </is>
      </c>
      <c r="E2037" s="33" t="inlineStr">
        <is>
          <t>2415996</t>
        </is>
      </c>
      <c r="F2037" s="33" t="inlineStr">
        <is>
          <t>85505374</t>
        </is>
      </c>
      <c r="G2037" s="51" t="n">
        <v>42924</v>
      </c>
      <c r="H2037" s="33" t="inlineStr">
        <is>
          <t>PC OAPB Orinda Aquatics Junior Olympics</t>
        </is>
      </c>
      <c r="I2037" s="33" t="inlineStr">
        <is>
          <t>114888</t>
        </is>
      </c>
      <c r="J2037" s="33" t="inlineStr"/>
      <c r="K2037" s="33" t="inlineStr">
        <is>
          <t>PRE</t>
        </is>
      </c>
      <c r="L2037" s="35">
        <f>IF(K2037="FIN",3,IF(OR(K2037="SEM",K2037="SEMI"),2,IF(OR(K2037="PRE",K2037="HEAT"),1,IF(V2037="YES",4,2))))</f>
        <v/>
      </c>
      <c r="M2037" s="33" t="inlineStr">
        <is>
          <t>LCM</t>
        </is>
      </c>
      <c r="N2037" s="33" t="n">
        <v>100</v>
      </c>
      <c r="O2037" s="33" t="inlineStr">
        <is>
          <t>Free</t>
        </is>
      </c>
      <c r="P2037" s="33" t="inlineStr">
        <is>
          <t>100 Free</t>
        </is>
      </c>
      <c r="Q2037" s="33" t="inlineStr">
        <is>
          <t>LCM_100_FREE</t>
        </is>
      </c>
      <c r="R2037" s="36" t="n">
        <v>71.95</v>
      </c>
      <c r="S2037" s="35">
        <f>IF(R2037="","",IF(R2037&gt;=60,INT(R2037/60)&amp;":"&amp;TEXT(MOD(R2037,60),"00.00"),TEXT(R2037,"0.00")))</f>
        <v/>
      </c>
      <c r="T2037" s="52">
        <f>IFERROR((G2037-INDEX('01_Swimmers'!$E$5:$E$22,MATCH(B2037,'01_Swimmers'!$A$5:$A$22,0)))/'00_Control'!$B$10,"")</f>
        <v/>
      </c>
      <c r="U2037" s="35">
        <f>IF(T2037="","",INT(T2037))</f>
        <v/>
      </c>
      <c r="V2037" s="33" t="inlineStr">
        <is>
          <t>NO</t>
        </is>
      </c>
      <c r="W2037" s="33" t="inlineStr">
        <is>
          <t>YES</t>
        </is>
      </c>
      <c r="X2037" s="33" t="inlineStr">
        <is>
          <t>NO</t>
        </is>
      </c>
      <c r="Y2037" s="33" t="n">
        <v>2</v>
      </c>
      <c r="Z2037" s="33" t="n">
        <v>2</v>
      </c>
      <c r="AA2037" s="33" t="inlineStr">
        <is>
          <t>12</t>
        </is>
      </c>
      <c r="AB2037" s="33" t="inlineStr">
        <is>
          <t>https://www.swimcloud.com/results/114888/event/38/?id=85505374#time85505374</t>
        </is>
      </c>
      <c r="AC2037" s="33" t="inlineStr">
        <is>
          <t>SwimCloud API v6 2026-10-08</t>
        </is>
      </c>
      <c r="AD2037" s="33" t="inlineStr">
        <is>
          <t>Luka Mijatovic|2017-07-08|LCM|100|Free|71.95|PC OAPB Orinda Aquatics Junior Olympics|PRE|False</t>
        </is>
      </c>
      <c r="AE2037" s="53">
        <f>G2037+L2037/1000+ROW()/1000000000</f>
        <v/>
      </c>
      <c r="AF2037" s="35">
        <f>IF(C2037&lt;&gt;"Grayson Coulter","",COUNTIFS($C$5:$C$2991,"Grayson Coulter",$Q$5:$Q$2991,Q2037,$AE$5:$AE$2991,"&lt;="&amp;AE2037,$R$5:$R$2991,"&lt;"&amp;R2037))</f>
        <v/>
      </c>
      <c r="AG2037" s="35">
        <f>IF(OR(C2037&lt;&gt;"Grayson Coulter",G2037&lt;'00_Control'!$B$7),"",--(AF2037&lt;5))</f>
        <v/>
      </c>
      <c r="AH2037" s="35">
        <f>IF(OR(C2037&lt;&gt;"Grayson Coulter",G2037&lt;'00_Control'!$B$7),"",--(AF2037&lt;10))</f>
        <v/>
      </c>
      <c r="AI2037" s="35">
        <f>IF(AND(C2037="Grayson Coulter",G2037&gt;='00_Control'!$B$7),"YES","NO")</f>
        <v/>
      </c>
      <c r="AJ2037" s="33" t="inlineStr">
        <is>
          <t>OK</t>
        </is>
      </c>
    </row>
    <row r="2038">
      <c r="A2038" s="33" t="inlineStr">
        <is>
          <t>SM002034</t>
        </is>
      </c>
      <c r="B2038" s="33" t="inlineStr">
        <is>
          <t>SW003</t>
        </is>
      </c>
      <c r="C2038" s="33" t="inlineStr">
        <is>
          <t>Luka Mijatovic</t>
        </is>
      </c>
      <c r="D2038" s="33" t="inlineStr">
        <is>
          <t>SwimCloud</t>
        </is>
      </c>
      <c r="E2038" s="33" t="inlineStr">
        <is>
          <t>2415996</t>
        </is>
      </c>
      <c r="F2038" s="33" t="inlineStr">
        <is>
          <t>12423782</t>
        </is>
      </c>
      <c r="G2038" s="51" t="n">
        <v>42942</v>
      </c>
      <c r="H2038" s="33" t="inlineStr">
        <is>
          <t>PC Far Western Long Course Championships</t>
        </is>
      </c>
      <c r="I2038" s="33" t="inlineStr">
        <is>
          <t>97439</t>
        </is>
      </c>
      <c r="J2038" s="33" t="inlineStr"/>
      <c r="K2038" s="33" t="inlineStr">
        <is>
          <t>PRE</t>
        </is>
      </c>
      <c r="L2038" s="35">
        <f>IF(K2038="FIN",3,IF(OR(K2038="SEM",K2038="SEMI"),2,IF(OR(K2038="PRE",K2038="HEAT"),1,IF(V2038="YES",4,2))))</f>
        <v/>
      </c>
      <c r="M2038" s="33" t="inlineStr">
        <is>
          <t>LCM</t>
        </is>
      </c>
      <c r="N2038" s="33" t="n">
        <v>100</v>
      </c>
      <c r="O2038" s="33" t="inlineStr">
        <is>
          <t>Fly</t>
        </is>
      </c>
      <c r="P2038" s="33" t="inlineStr">
        <is>
          <t>100 Fly</t>
        </is>
      </c>
      <c r="Q2038" s="33" t="inlineStr">
        <is>
          <t>LCM_100_FLY</t>
        </is>
      </c>
      <c r="R2038" s="36" t="n">
        <v>79.59</v>
      </c>
      <c r="S2038" s="35">
        <f>IF(R2038="","",IF(R2038&gt;=60,INT(R2038/60)&amp;":"&amp;TEXT(MOD(R2038,60),"00.00"),TEXT(R2038,"0.00")))</f>
        <v/>
      </c>
      <c r="T2038" s="52">
        <f>IFERROR((G2038-INDEX('01_Swimmers'!$E$5:$E$22,MATCH(B2038,'01_Swimmers'!$A$5:$A$22,0)))/'00_Control'!$B$10,"")</f>
        <v/>
      </c>
      <c r="U2038" s="35">
        <f>IF(T2038="","",INT(T2038))</f>
        <v/>
      </c>
      <c r="V2038" s="33" t="inlineStr">
        <is>
          <t>NO</t>
        </is>
      </c>
      <c r="W2038" s="33" t="inlineStr">
        <is>
          <t>YES</t>
        </is>
      </c>
      <c r="X2038" s="33" t="inlineStr">
        <is>
          <t>NO</t>
        </is>
      </c>
      <c r="Y2038" s="33" t="n">
        <v>0</v>
      </c>
      <c r="Z2038" s="33" t="n"/>
      <c r="AA2038" s="33" t="inlineStr">
        <is>
          <t>4</t>
        </is>
      </c>
      <c r="AB2038" s="33" t="inlineStr">
        <is>
          <t>https://www.swimcloud.com/results/97439/event/16/?id=12423782#time12423782</t>
        </is>
      </c>
      <c r="AC2038" s="33" t="inlineStr">
        <is>
          <t>SwimCloud API v6 2026-10-08</t>
        </is>
      </c>
      <c r="AD2038" s="33" t="inlineStr">
        <is>
          <t>Luka Mijatovic|2017-07-26|LCM|100|Fly|79.59|PC Far Western Long Course Championships|PRE|False</t>
        </is>
      </c>
      <c r="AE2038" s="53">
        <f>G2038+L2038/1000+ROW()/1000000000</f>
        <v/>
      </c>
      <c r="AF2038" s="35">
        <f>IF(C2038&lt;&gt;"Grayson Coulter","",COUNTIFS($C$5:$C$2991,"Grayson Coulter",$Q$5:$Q$2991,Q2038,$AE$5:$AE$2991,"&lt;="&amp;AE2038,$R$5:$R$2991,"&lt;"&amp;R2038))</f>
        <v/>
      </c>
      <c r="AG2038" s="35">
        <f>IF(OR(C2038&lt;&gt;"Grayson Coulter",G2038&lt;'00_Control'!$B$7),"",--(AF2038&lt;5))</f>
        <v/>
      </c>
      <c r="AH2038" s="35">
        <f>IF(OR(C2038&lt;&gt;"Grayson Coulter",G2038&lt;'00_Control'!$B$7),"",--(AF2038&lt;10))</f>
        <v/>
      </c>
      <c r="AI2038" s="35">
        <f>IF(AND(C2038="Grayson Coulter",G2038&gt;='00_Control'!$B$7),"YES","NO")</f>
        <v/>
      </c>
      <c r="AJ2038" s="33" t="inlineStr">
        <is>
          <t>OK</t>
        </is>
      </c>
    </row>
    <row r="2039">
      <c r="A2039" s="33" t="inlineStr">
        <is>
          <t>SM002035</t>
        </is>
      </c>
      <c r="B2039" s="33" t="inlineStr">
        <is>
          <t>SW003</t>
        </is>
      </c>
      <c r="C2039" s="33" t="inlineStr">
        <is>
          <t>Luka Mijatovic</t>
        </is>
      </c>
      <c r="D2039" s="33" t="inlineStr">
        <is>
          <t>SwimCloud</t>
        </is>
      </c>
      <c r="E2039" s="33" t="inlineStr">
        <is>
          <t>2415996</t>
        </is>
      </c>
      <c r="F2039" s="33" t="inlineStr">
        <is>
          <t>12423791</t>
        </is>
      </c>
      <c r="G2039" s="51" t="n">
        <v>42942</v>
      </c>
      <c r="H2039" s="33" t="inlineStr">
        <is>
          <t>PC Far Western Long Course Championships</t>
        </is>
      </c>
      <c r="I2039" s="33" t="inlineStr">
        <is>
          <t>97439</t>
        </is>
      </c>
      <c r="J2039" s="33" t="inlineStr"/>
      <c r="K2039" s="33" t="inlineStr">
        <is>
          <t>FIN</t>
        </is>
      </c>
      <c r="L2039" s="35">
        <f>IF(K2039="FIN",3,IF(OR(K2039="SEM",K2039="SEMI"),2,IF(OR(K2039="PRE",K2039="HEAT"),1,IF(V2039="YES",4,2))))</f>
        <v/>
      </c>
      <c r="M2039" s="33" t="inlineStr">
        <is>
          <t>LCM</t>
        </is>
      </c>
      <c r="N2039" s="33" t="n">
        <v>100</v>
      </c>
      <c r="O2039" s="33" t="inlineStr">
        <is>
          <t>Fly</t>
        </is>
      </c>
      <c r="P2039" s="33" t="inlineStr">
        <is>
          <t>100 Fly</t>
        </is>
      </c>
      <c r="Q2039" s="33" t="inlineStr">
        <is>
          <t>LCM_100_FLY</t>
        </is>
      </c>
      <c r="R2039" s="36" t="n">
        <v>79.65000000000001</v>
      </c>
      <c r="S2039" s="35">
        <f>IF(R2039="","",IF(R2039&gt;=60,INT(R2039/60)&amp;":"&amp;TEXT(MOD(R2039,60),"00.00"),TEXT(R2039,"0.00")))</f>
        <v/>
      </c>
      <c r="T2039" s="52">
        <f>IFERROR((G2039-INDEX('01_Swimmers'!$E$5:$E$22,MATCH(B2039,'01_Swimmers'!$A$5:$A$22,0)))/'00_Control'!$B$10,"")</f>
        <v/>
      </c>
      <c r="U2039" s="35">
        <f>IF(T2039="","",INT(T2039))</f>
        <v/>
      </c>
      <c r="V2039" s="33" t="inlineStr">
        <is>
          <t>NO</t>
        </is>
      </c>
      <c r="W2039" s="33" t="inlineStr">
        <is>
          <t>YES</t>
        </is>
      </c>
      <c r="X2039" s="33" t="inlineStr">
        <is>
          <t>NO</t>
        </is>
      </c>
      <c r="Y2039" s="33" t="n">
        <v>0</v>
      </c>
      <c r="Z2039" s="33" t="n"/>
      <c r="AA2039" s="33" t="inlineStr">
        <is>
          <t>6</t>
        </is>
      </c>
      <c r="AB2039" s="33" t="inlineStr">
        <is>
          <t>https://www.swimcloud.com/results/97439/event/16/?id=12423791#time12423791</t>
        </is>
      </c>
      <c r="AC2039" s="33" t="inlineStr">
        <is>
          <t>SwimCloud API v6 2026-10-08</t>
        </is>
      </c>
      <c r="AD2039" s="33" t="inlineStr">
        <is>
          <t>Luka Mijatovic|2017-07-26|LCM|100|Fly|79.65|PC Far Western Long Course Championships|FIN|False</t>
        </is>
      </c>
      <c r="AE2039" s="53">
        <f>G2039+L2039/1000+ROW()/1000000000</f>
        <v/>
      </c>
      <c r="AF2039" s="35">
        <f>IF(C2039&lt;&gt;"Grayson Coulter","",COUNTIFS($C$5:$C$2991,"Grayson Coulter",$Q$5:$Q$2991,Q2039,$AE$5:$AE$2991,"&lt;="&amp;AE2039,$R$5:$R$2991,"&lt;"&amp;R2039))</f>
        <v/>
      </c>
      <c r="AG2039" s="35">
        <f>IF(OR(C2039&lt;&gt;"Grayson Coulter",G2039&lt;'00_Control'!$B$7),"",--(AF2039&lt;5))</f>
        <v/>
      </c>
      <c r="AH2039" s="35">
        <f>IF(OR(C2039&lt;&gt;"Grayson Coulter",G2039&lt;'00_Control'!$B$7),"",--(AF2039&lt;10))</f>
        <v/>
      </c>
      <c r="AI2039" s="35">
        <f>IF(AND(C2039="Grayson Coulter",G2039&gt;='00_Control'!$B$7),"YES","NO")</f>
        <v/>
      </c>
      <c r="AJ2039" s="33" t="inlineStr">
        <is>
          <t>OK</t>
        </is>
      </c>
    </row>
    <row r="2040">
      <c r="A2040" s="33" t="inlineStr">
        <is>
          <t>SM002036</t>
        </is>
      </c>
      <c r="B2040" s="33" t="inlineStr">
        <is>
          <t>SW003</t>
        </is>
      </c>
      <c r="C2040" s="33" t="inlineStr">
        <is>
          <t>Luka Mijatovic</t>
        </is>
      </c>
      <c r="D2040" s="33" t="inlineStr">
        <is>
          <t>SwimCloud</t>
        </is>
      </c>
      <c r="E2040" s="33" t="inlineStr">
        <is>
          <t>2415996</t>
        </is>
      </c>
      <c r="F2040" s="33" t="inlineStr">
        <is>
          <t>12422161</t>
        </is>
      </c>
      <c r="G2040" s="51" t="n">
        <v>42942</v>
      </c>
      <c r="H2040" s="33" t="inlineStr">
        <is>
          <t>PC Far Western Long Course Championships</t>
        </is>
      </c>
      <c r="I2040" s="33" t="inlineStr">
        <is>
          <t>97439</t>
        </is>
      </c>
      <c r="J2040" s="33" t="inlineStr"/>
      <c r="K2040" s="33" t="inlineStr">
        <is>
          <t>PRE</t>
        </is>
      </c>
      <c r="L2040" s="35">
        <f>IF(K2040="FIN",3,IF(OR(K2040="SEM",K2040="SEMI"),2,IF(OR(K2040="PRE",K2040="HEAT"),1,IF(V2040="YES",4,2))))</f>
        <v/>
      </c>
      <c r="M2040" s="33" t="inlineStr">
        <is>
          <t>LCM</t>
        </is>
      </c>
      <c r="N2040" s="33" t="n">
        <v>100</v>
      </c>
      <c r="O2040" s="33" t="inlineStr">
        <is>
          <t>Free</t>
        </is>
      </c>
      <c r="P2040" s="33" t="inlineStr">
        <is>
          <t>100 Free</t>
        </is>
      </c>
      <c r="Q2040" s="33" t="inlineStr">
        <is>
          <t>LCM_100_FREE</t>
        </is>
      </c>
      <c r="R2040" s="36" t="n">
        <v>72.83</v>
      </c>
      <c r="S2040" s="35">
        <f>IF(R2040="","",IF(R2040&gt;=60,INT(R2040/60)&amp;":"&amp;TEXT(MOD(R2040,60),"00.00"),TEXT(R2040,"0.00")))</f>
        <v/>
      </c>
      <c r="T2040" s="52">
        <f>IFERROR((G2040-INDEX('01_Swimmers'!$E$5:$E$22,MATCH(B2040,'01_Swimmers'!$A$5:$A$22,0)))/'00_Control'!$B$10,"")</f>
        <v/>
      </c>
      <c r="U2040" s="35">
        <f>IF(T2040="","",INT(T2040))</f>
        <v/>
      </c>
      <c r="V2040" s="33" t="inlineStr">
        <is>
          <t>NO</t>
        </is>
      </c>
      <c r="W2040" s="33" t="inlineStr">
        <is>
          <t>YES</t>
        </is>
      </c>
      <c r="X2040" s="33" t="inlineStr">
        <is>
          <t>NO</t>
        </is>
      </c>
      <c r="Y2040" s="33" t="n">
        <v>0</v>
      </c>
      <c r="Z2040" s="33" t="n"/>
      <c r="AA2040" s="33" t="inlineStr">
        <is>
          <t>16</t>
        </is>
      </c>
      <c r="AB2040" s="33" t="inlineStr">
        <is>
          <t>https://www.swimcloud.com/results/97439/event/10/?id=12422161#time12422161</t>
        </is>
      </c>
      <c r="AC2040" s="33" t="inlineStr">
        <is>
          <t>SwimCloud API v6 2026-10-08</t>
        </is>
      </c>
      <c r="AD2040" s="33" t="inlineStr">
        <is>
          <t>Luka Mijatovic|2017-07-26|LCM|100|Free|72.83|PC Far Western Long Course Championships|PRE|False</t>
        </is>
      </c>
      <c r="AE2040" s="53">
        <f>G2040+L2040/1000+ROW()/1000000000</f>
        <v/>
      </c>
      <c r="AF2040" s="35">
        <f>IF(C2040&lt;&gt;"Grayson Coulter","",COUNTIFS($C$5:$C$2991,"Grayson Coulter",$Q$5:$Q$2991,Q2040,$AE$5:$AE$2991,"&lt;="&amp;AE2040,$R$5:$R$2991,"&lt;"&amp;R2040))</f>
        <v/>
      </c>
      <c r="AG2040" s="35">
        <f>IF(OR(C2040&lt;&gt;"Grayson Coulter",G2040&lt;'00_Control'!$B$7),"",--(AF2040&lt;5))</f>
        <v/>
      </c>
      <c r="AH2040" s="35">
        <f>IF(OR(C2040&lt;&gt;"Grayson Coulter",G2040&lt;'00_Control'!$B$7),"",--(AF2040&lt;10))</f>
        <v/>
      </c>
      <c r="AI2040" s="35">
        <f>IF(AND(C2040="Grayson Coulter",G2040&gt;='00_Control'!$B$7),"YES","NO")</f>
        <v/>
      </c>
      <c r="AJ2040" s="33" t="inlineStr">
        <is>
          <t>OK</t>
        </is>
      </c>
    </row>
    <row r="2041">
      <c r="A2041" s="33" t="inlineStr">
        <is>
          <t>SM002037</t>
        </is>
      </c>
      <c r="B2041" s="33" t="inlineStr">
        <is>
          <t>SW003</t>
        </is>
      </c>
      <c r="C2041" s="33" t="inlineStr">
        <is>
          <t>Luka Mijatovic</t>
        </is>
      </c>
      <c r="D2041" s="33" t="inlineStr">
        <is>
          <t>SwimCloud</t>
        </is>
      </c>
      <c r="E2041" s="33" t="inlineStr">
        <is>
          <t>2415996</t>
        </is>
      </c>
      <c r="F2041" s="33" t="inlineStr">
        <is>
          <t>12423028</t>
        </is>
      </c>
      <c r="G2041" s="51" t="n">
        <v>42942</v>
      </c>
      <c r="H2041" s="33" t="inlineStr">
        <is>
          <t>PC Far Western Long Course Championships</t>
        </is>
      </c>
      <c r="I2041" s="33" t="inlineStr">
        <is>
          <t>97439</t>
        </is>
      </c>
      <c r="J2041" s="33" t="inlineStr"/>
      <c r="K2041" s="33" t="inlineStr">
        <is>
          <t>PRE</t>
        </is>
      </c>
      <c r="L2041" s="35">
        <f>IF(K2041="FIN",3,IF(OR(K2041="SEM",K2041="SEMI"),2,IF(OR(K2041="PRE",K2041="HEAT"),1,IF(V2041="YES",4,2))))</f>
        <v/>
      </c>
      <c r="M2041" s="33" t="inlineStr">
        <is>
          <t>LCM</t>
        </is>
      </c>
      <c r="N2041" s="33" t="n">
        <v>200</v>
      </c>
      <c r="O2041" s="33" t="inlineStr">
        <is>
          <t>Free</t>
        </is>
      </c>
      <c r="P2041" s="33" t="inlineStr">
        <is>
          <t>200 Free</t>
        </is>
      </c>
      <c r="Q2041" s="33" t="inlineStr">
        <is>
          <t>LCM_200_FREE</t>
        </is>
      </c>
      <c r="R2041" s="36" t="n">
        <v>156.2</v>
      </c>
      <c r="S2041" s="35">
        <f>IF(R2041="","",IF(R2041&gt;=60,INT(R2041/60)&amp;":"&amp;TEXT(MOD(R2041,60),"00.00"),TEXT(R2041,"0.00")))</f>
        <v/>
      </c>
      <c r="T2041" s="52">
        <f>IFERROR((G2041-INDEX('01_Swimmers'!$E$5:$E$22,MATCH(B2041,'01_Swimmers'!$A$5:$A$22,0)))/'00_Control'!$B$10,"")</f>
        <v/>
      </c>
      <c r="U2041" s="35">
        <f>IF(T2041="","",INT(T2041))</f>
        <v/>
      </c>
      <c r="V2041" s="33" t="inlineStr">
        <is>
          <t>NO</t>
        </is>
      </c>
      <c r="W2041" s="33" t="inlineStr">
        <is>
          <t>YES</t>
        </is>
      </c>
      <c r="X2041" s="33" t="inlineStr">
        <is>
          <t>NO</t>
        </is>
      </c>
      <c r="Y2041" s="33" t="n">
        <v>0</v>
      </c>
      <c r="Z2041" s="33" t="n"/>
      <c r="AA2041" s="33" t="inlineStr">
        <is>
          <t>11</t>
        </is>
      </c>
      <c r="AB2041" s="33" t="inlineStr">
        <is>
          <t>https://www.swimcloud.com/results/97439/event/18/?id=12423028#time12423028</t>
        </is>
      </c>
      <c r="AC2041" s="33" t="inlineStr">
        <is>
          <t>SwimCloud API v6 2026-10-08</t>
        </is>
      </c>
      <c r="AD2041" s="33" t="inlineStr">
        <is>
          <t>Luka Mijatovic|2017-07-26|LCM|200|Free|156.2|PC Far Western Long Course Championships|PRE|False</t>
        </is>
      </c>
      <c r="AE2041" s="53">
        <f>G2041+L2041/1000+ROW()/1000000000</f>
        <v/>
      </c>
      <c r="AF2041" s="35">
        <f>IF(C2041&lt;&gt;"Grayson Coulter","",COUNTIFS($C$5:$C$2991,"Grayson Coulter",$Q$5:$Q$2991,Q2041,$AE$5:$AE$2991,"&lt;="&amp;AE2041,$R$5:$R$2991,"&lt;"&amp;R2041))</f>
        <v/>
      </c>
      <c r="AG2041" s="35">
        <f>IF(OR(C2041&lt;&gt;"Grayson Coulter",G2041&lt;'00_Control'!$B$7),"",--(AF2041&lt;5))</f>
        <v/>
      </c>
      <c r="AH2041" s="35">
        <f>IF(OR(C2041&lt;&gt;"Grayson Coulter",G2041&lt;'00_Control'!$B$7),"",--(AF2041&lt;10))</f>
        <v/>
      </c>
      <c r="AI2041" s="35">
        <f>IF(AND(C2041="Grayson Coulter",G2041&gt;='00_Control'!$B$7),"YES","NO")</f>
        <v/>
      </c>
      <c r="AJ2041" s="33" t="inlineStr">
        <is>
          <t>OK</t>
        </is>
      </c>
    </row>
    <row r="2042">
      <c r="A2042" s="33" t="inlineStr">
        <is>
          <t>SM002038</t>
        </is>
      </c>
      <c r="B2042" s="33" t="inlineStr">
        <is>
          <t>SW003</t>
        </is>
      </c>
      <c r="C2042" s="33" t="inlineStr">
        <is>
          <t>Luka Mijatovic</t>
        </is>
      </c>
      <c r="D2042" s="33" t="inlineStr">
        <is>
          <t>SwimCloud</t>
        </is>
      </c>
      <c r="E2042" s="33" t="inlineStr">
        <is>
          <t>2415996</t>
        </is>
      </c>
      <c r="F2042" s="33" t="inlineStr">
        <is>
          <t>20017770</t>
        </is>
      </c>
      <c r="G2042" s="51" t="n">
        <v>42944</v>
      </c>
      <c r="H2042" s="33" t="inlineStr">
        <is>
          <t>Long Course Far Western Championships</t>
        </is>
      </c>
      <c r="I2042" s="33" t="inlineStr">
        <is>
          <t>97044</t>
        </is>
      </c>
      <c r="J2042" s="33" t="inlineStr"/>
      <c r="K2042" s="33" t="inlineStr">
        <is>
          <t>PRE</t>
        </is>
      </c>
      <c r="L2042" s="35">
        <f>IF(K2042="FIN",3,IF(OR(K2042="SEM",K2042="SEMI"),2,IF(OR(K2042="PRE",K2042="HEAT"),1,IF(V2042="YES",4,2))))</f>
        <v/>
      </c>
      <c r="M2042" s="33" t="inlineStr">
        <is>
          <t>LCM</t>
        </is>
      </c>
      <c r="N2042" s="33" t="n">
        <v>100</v>
      </c>
      <c r="O2042" s="33" t="inlineStr">
        <is>
          <t>Free</t>
        </is>
      </c>
      <c r="P2042" s="33" t="inlineStr">
        <is>
          <t>100 Free</t>
        </is>
      </c>
      <c r="Q2042" s="33" t="inlineStr">
        <is>
          <t>LCM_100_FREE</t>
        </is>
      </c>
      <c r="R2042" s="36" t="n">
        <v>72.83</v>
      </c>
      <c r="S2042" s="35">
        <f>IF(R2042="","",IF(R2042&gt;=60,INT(R2042/60)&amp;":"&amp;TEXT(MOD(R2042,60),"00.00"),TEXT(R2042,"0.00")))</f>
        <v/>
      </c>
      <c r="T2042" s="52">
        <f>IFERROR((G2042-INDEX('01_Swimmers'!$E$5:$E$22,MATCH(B2042,'01_Swimmers'!$A$5:$A$22,0)))/'00_Control'!$B$10,"")</f>
        <v/>
      </c>
      <c r="U2042" s="35">
        <f>IF(T2042="","",INT(T2042))</f>
        <v/>
      </c>
      <c r="V2042" s="33" t="inlineStr">
        <is>
          <t>NO</t>
        </is>
      </c>
      <c r="W2042" s="33" t="inlineStr">
        <is>
          <t>YES</t>
        </is>
      </c>
      <c r="X2042" s="33" t="inlineStr">
        <is>
          <t>NO</t>
        </is>
      </c>
      <c r="Y2042" s="33" t="n"/>
      <c r="Z2042" s="33" t="n"/>
      <c r="AA2042" s="33" t="inlineStr">
        <is>
          <t>16</t>
        </is>
      </c>
      <c r="AB2042" s="33" t="inlineStr">
        <is>
          <t>https://www.swimcloud.com/results/97044/event/1100M/#time20017770</t>
        </is>
      </c>
      <c r="AC2042" s="33" t="inlineStr">
        <is>
          <t>SwimCloud API v6 2026-10-08</t>
        </is>
      </c>
      <c r="AD2042" s="33" t="inlineStr">
        <is>
          <t>Luka Mijatovic|2017-07-28|LCM|100|Free|72.83|Long Course Far Western Championships|PRE|False</t>
        </is>
      </c>
      <c r="AE2042" s="53">
        <f>G2042+L2042/1000+ROW()/1000000000</f>
        <v/>
      </c>
      <c r="AF2042" s="35">
        <f>IF(C2042&lt;&gt;"Grayson Coulter","",COUNTIFS($C$5:$C$2991,"Grayson Coulter",$Q$5:$Q$2991,Q2042,$AE$5:$AE$2991,"&lt;="&amp;AE2042,$R$5:$R$2991,"&lt;"&amp;R2042))</f>
        <v/>
      </c>
      <c r="AG2042" s="35">
        <f>IF(OR(C2042&lt;&gt;"Grayson Coulter",G2042&lt;'00_Control'!$B$7),"",--(AF2042&lt;5))</f>
        <v/>
      </c>
      <c r="AH2042" s="35">
        <f>IF(OR(C2042&lt;&gt;"Grayson Coulter",G2042&lt;'00_Control'!$B$7),"",--(AF2042&lt;10))</f>
        <v/>
      </c>
      <c r="AI2042" s="35">
        <f>IF(AND(C2042="Grayson Coulter",G2042&gt;='00_Control'!$B$7),"YES","NO")</f>
        <v/>
      </c>
      <c r="AJ2042" s="33" t="inlineStr">
        <is>
          <t>OK</t>
        </is>
      </c>
    </row>
    <row r="2043">
      <c r="A2043" s="33" t="inlineStr">
        <is>
          <t>SM002039</t>
        </is>
      </c>
      <c r="B2043" s="33" t="inlineStr">
        <is>
          <t>SW003</t>
        </is>
      </c>
      <c r="C2043" s="33" t="inlineStr">
        <is>
          <t>Luka Mijatovic</t>
        </is>
      </c>
      <c r="D2043" s="33" t="inlineStr">
        <is>
          <t>SwimCloud</t>
        </is>
      </c>
      <c r="E2043" s="33" t="inlineStr">
        <is>
          <t>2415996</t>
        </is>
      </c>
      <c r="F2043" s="33" t="inlineStr">
        <is>
          <t>20018198</t>
        </is>
      </c>
      <c r="G2043" s="51" t="n">
        <v>42945</v>
      </c>
      <c r="H2043" s="33" t="inlineStr">
        <is>
          <t>Long Course Far Western Championships</t>
        </is>
      </c>
      <c r="I2043" s="33" t="inlineStr">
        <is>
          <t>97044</t>
        </is>
      </c>
      <c r="J2043" s="33" t="inlineStr"/>
      <c r="K2043" s="33" t="inlineStr">
        <is>
          <t>PRE</t>
        </is>
      </c>
      <c r="L2043" s="35">
        <f>IF(K2043="FIN",3,IF(OR(K2043="SEM",K2043="SEMI"),2,IF(OR(K2043="PRE",K2043="HEAT"),1,IF(V2043="YES",4,2))))</f>
        <v/>
      </c>
      <c r="M2043" s="33" t="inlineStr">
        <is>
          <t>LCM</t>
        </is>
      </c>
      <c r="N2043" s="33" t="n">
        <v>200</v>
      </c>
      <c r="O2043" s="33" t="inlineStr">
        <is>
          <t>Free</t>
        </is>
      </c>
      <c r="P2043" s="33" t="inlineStr">
        <is>
          <t>200 Free</t>
        </is>
      </c>
      <c r="Q2043" s="33" t="inlineStr">
        <is>
          <t>LCM_200_FREE</t>
        </is>
      </c>
      <c r="R2043" s="36" t="n">
        <v>156.2</v>
      </c>
      <c r="S2043" s="35">
        <f>IF(R2043="","",IF(R2043&gt;=60,INT(R2043/60)&amp;":"&amp;TEXT(MOD(R2043,60),"00.00"),TEXT(R2043,"0.00")))</f>
        <v/>
      </c>
      <c r="T2043" s="52">
        <f>IFERROR((G2043-INDEX('01_Swimmers'!$E$5:$E$22,MATCH(B2043,'01_Swimmers'!$A$5:$A$22,0)))/'00_Control'!$B$10,"")</f>
        <v/>
      </c>
      <c r="U2043" s="35">
        <f>IF(T2043="","",INT(T2043))</f>
        <v/>
      </c>
      <c r="V2043" s="33" t="inlineStr">
        <is>
          <t>NO</t>
        </is>
      </c>
      <c r="W2043" s="33" t="inlineStr">
        <is>
          <t>YES</t>
        </is>
      </c>
      <c r="X2043" s="33" t="inlineStr">
        <is>
          <t>NO</t>
        </is>
      </c>
      <c r="Y2043" s="33" t="n"/>
      <c r="Z2043" s="33" t="n"/>
      <c r="AA2043" s="33" t="inlineStr">
        <is>
          <t>11</t>
        </is>
      </c>
      <c r="AB2043" s="33" t="inlineStr">
        <is>
          <t>https://www.swimcloud.com/results/97044/event/1200M/#time20018198</t>
        </is>
      </c>
      <c r="AC2043" s="33" t="inlineStr">
        <is>
          <t>SwimCloud API v6 2026-10-08</t>
        </is>
      </c>
      <c r="AD2043" s="33" t="inlineStr">
        <is>
          <t>Luka Mijatovic|2017-07-29|LCM|200|Free|156.2|Long Course Far Western Championships|PRE|False</t>
        </is>
      </c>
      <c r="AE2043" s="53">
        <f>G2043+L2043/1000+ROW()/1000000000</f>
        <v/>
      </c>
      <c r="AF2043" s="35">
        <f>IF(C2043&lt;&gt;"Grayson Coulter","",COUNTIFS($C$5:$C$2991,"Grayson Coulter",$Q$5:$Q$2991,Q2043,$AE$5:$AE$2991,"&lt;="&amp;AE2043,$R$5:$R$2991,"&lt;"&amp;R2043))</f>
        <v/>
      </c>
      <c r="AG2043" s="35">
        <f>IF(OR(C2043&lt;&gt;"Grayson Coulter",G2043&lt;'00_Control'!$B$7),"",--(AF2043&lt;5))</f>
        <v/>
      </c>
      <c r="AH2043" s="35">
        <f>IF(OR(C2043&lt;&gt;"Grayson Coulter",G2043&lt;'00_Control'!$B$7),"",--(AF2043&lt;10))</f>
        <v/>
      </c>
      <c r="AI2043" s="35">
        <f>IF(AND(C2043="Grayson Coulter",G2043&gt;='00_Control'!$B$7),"YES","NO")</f>
        <v/>
      </c>
      <c r="AJ2043" s="33" t="inlineStr">
        <is>
          <t>OK</t>
        </is>
      </c>
    </row>
    <row r="2044">
      <c r="A2044" s="33" t="inlineStr">
        <is>
          <t>SM002040</t>
        </is>
      </c>
      <c r="B2044" s="33" t="inlineStr">
        <is>
          <t>SW003</t>
        </is>
      </c>
      <c r="C2044" s="33" t="inlineStr">
        <is>
          <t>Luka Mijatovic</t>
        </is>
      </c>
      <c r="D2044" s="33" t="inlineStr">
        <is>
          <t>SwimCloud</t>
        </is>
      </c>
      <c r="E2044" s="33" t="inlineStr">
        <is>
          <t>2415996</t>
        </is>
      </c>
      <c r="F2044" s="33" t="inlineStr">
        <is>
          <t>20017826</t>
        </is>
      </c>
      <c r="G2044" s="51" t="n">
        <v>42946</v>
      </c>
      <c r="H2044" s="33" t="inlineStr">
        <is>
          <t>Long Course Far Western Championships</t>
        </is>
      </c>
      <c r="I2044" s="33" t="inlineStr">
        <is>
          <t>97044</t>
        </is>
      </c>
      <c r="J2044" s="33" t="inlineStr"/>
      <c r="K2044" s="33" t="inlineStr">
        <is>
          <t>PRE</t>
        </is>
      </c>
      <c r="L2044" s="35">
        <f>IF(K2044="FIN",3,IF(OR(K2044="SEM",K2044="SEMI"),2,IF(OR(K2044="PRE",K2044="HEAT"),1,IF(V2044="YES",4,2))))</f>
        <v/>
      </c>
      <c r="M2044" s="33" t="inlineStr">
        <is>
          <t>LCM</t>
        </is>
      </c>
      <c r="N2044" s="33" t="n">
        <v>100</v>
      </c>
      <c r="O2044" s="33" t="inlineStr">
        <is>
          <t>Fly</t>
        </is>
      </c>
      <c r="P2044" s="33" t="inlineStr">
        <is>
          <t>100 Fly</t>
        </is>
      </c>
      <c r="Q2044" s="33" t="inlineStr">
        <is>
          <t>LCM_100_FLY</t>
        </is>
      </c>
      <c r="R2044" s="36" t="n">
        <v>79.59</v>
      </c>
      <c r="S2044" s="35">
        <f>IF(R2044="","",IF(R2044&gt;=60,INT(R2044/60)&amp;":"&amp;TEXT(MOD(R2044,60),"00.00"),TEXT(R2044,"0.00")))</f>
        <v/>
      </c>
      <c r="T2044" s="52">
        <f>IFERROR((G2044-INDEX('01_Swimmers'!$E$5:$E$22,MATCH(B2044,'01_Swimmers'!$A$5:$A$22,0)))/'00_Control'!$B$10,"")</f>
        <v/>
      </c>
      <c r="U2044" s="35">
        <f>IF(T2044="","",INT(T2044))</f>
        <v/>
      </c>
      <c r="V2044" s="33" t="inlineStr">
        <is>
          <t>NO</t>
        </is>
      </c>
      <c r="W2044" s="33" t="inlineStr">
        <is>
          <t>YES</t>
        </is>
      </c>
      <c r="X2044" s="33" t="inlineStr">
        <is>
          <t>NO</t>
        </is>
      </c>
      <c r="Y2044" s="33" t="n"/>
      <c r="Z2044" s="33" t="n"/>
      <c r="AA2044" s="33" t="inlineStr">
        <is>
          <t>4</t>
        </is>
      </c>
      <c r="AB2044" s="33" t="inlineStr">
        <is>
          <t>https://www.swimcloud.com/results/97044/event/4100M/#time20017826</t>
        </is>
      </c>
      <c r="AC2044" s="33" t="inlineStr">
        <is>
          <t>SwimCloud API v6 2026-10-08</t>
        </is>
      </c>
      <c r="AD2044" s="33" t="inlineStr">
        <is>
          <t>Luka Mijatovic|2017-07-30|LCM|100|Fly|79.59|Long Course Far Western Championships|PRE|False</t>
        </is>
      </c>
      <c r="AE2044" s="53">
        <f>G2044+L2044/1000+ROW()/1000000000</f>
        <v/>
      </c>
      <c r="AF2044" s="35">
        <f>IF(C2044&lt;&gt;"Grayson Coulter","",COUNTIFS($C$5:$C$2991,"Grayson Coulter",$Q$5:$Q$2991,Q2044,$AE$5:$AE$2991,"&lt;="&amp;AE2044,$R$5:$R$2991,"&lt;"&amp;R2044))</f>
        <v/>
      </c>
      <c r="AG2044" s="35">
        <f>IF(OR(C2044&lt;&gt;"Grayson Coulter",G2044&lt;'00_Control'!$B$7),"",--(AF2044&lt;5))</f>
        <v/>
      </c>
      <c r="AH2044" s="35">
        <f>IF(OR(C2044&lt;&gt;"Grayson Coulter",G2044&lt;'00_Control'!$B$7),"",--(AF2044&lt;10))</f>
        <v/>
      </c>
      <c r="AI2044" s="35">
        <f>IF(AND(C2044="Grayson Coulter",G2044&gt;='00_Control'!$B$7),"YES","NO")</f>
        <v/>
      </c>
      <c r="AJ2044" s="33" t="inlineStr">
        <is>
          <t>OK</t>
        </is>
      </c>
    </row>
    <row r="2045">
      <c r="A2045" s="33" t="inlineStr">
        <is>
          <t>SM002041</t>
        </is>
      </c>
      <c r="B2045" s="33" t="inlineStr">
        <is>
          <t>SW003</t>
        </is>
      </c>
      <c r="C2045" s="33" t="inlineStr">
        <is>
          <t>Luka Mijatovic</t>
        </is>
      </c>
      <c r="D2045" s="33" t="inlineStr">
        <is>
          <t>SwimCloud</t>
        </is>
      </c>
      <c r="E2045" s="33" t="inlineStr">
        <is>
          <t>2415996</t>
        </is>
      </c>
      <c r="F2045" s="33" t="inlineStr">
        <is>
          <t>20017827</t>
        </is>
      </c>
      <c r="G2045" s="51" t="n">
        <v>42946</v>
      </c>
      <c r="H2045" s="33" t="inlineStr">
        <is>
          <t>Long Course Far Western Championships</t>
        </is>
      </c>
      <c r="I2045" s="33" t="inlineStr">
        <is>
          <t>97044</t>
        </is>
      </c>
      <c r="J2045" s="33" t="inlineStr"/>
      <c r="K2045" s="33" t="inlineStr">
        <is>
          <t>FIN</t>
        </is>
      </c>
      <c r="L2045" s="35">
        <f>IF(K2045="FIN",3,IF(OR(K2045="SEM",K2045="SEMI"),2,IF(OR(K2045="PRE",K2045="HEAT"),1,IF(V2045="YES",4,2))))</f>
        <v/>
      </c>
      <c r="M2045" s="33" t="inlineStr">
        <is>
          <t>LCM</t>
        </is>
      </c>
      <c r="N2045" s="33" t="n">
        <v>100</v>
      </c>
      <c r="O2045" s="33" t="inlineStr">
        <is>
          <t>Fly</t>
        </is>
      </c>
      <c r="P2045" s="33" t="inlineStr">
        <is>
          <t>100 Fly</t>
        </is>
      </c>
      <c r="Q2045" s="33" t="inlineStr">
        <is>
          <t>LCM_100_FLY</t>
        </is>
      </c>
      <c r="R2045" s="36" t="n">
        <v>79.65000000000001</v>
      </c>
      <c r="S2045" s="35">
        <f>IF(R2045="","",IF(R2045&gt;=60,INT(R2045/60)&amp;":"&amp;TEXT(MOD(R2045,60),"00.00"),TEXT(R2045,"0.00")))</f>
        <v/>
      </c>
      <c r="T2045" s="52">
        <f>IFERROR((G2045-INDEX('01_Swimmers'!$E$5:$E$22,MATCH(B2045,'01_Swimmers'!$A$5:$A$22,0)))/'00_Control'!$B$10,"")</f>
        <v/>
      </c>
      <c r="U2045" s="35">
        <f>IF(T2045="","",INT(T2045))</f>
        <v/>
      </c>
      <c r="V2045" s="33" t="inlineStr">
        <is>
          <t>NO</t>
        </is>
      </c>
      <c r="W2045" s="33" t="inlineStr">
        <is>
          <t>YES</t>
        </is>
      </c>
      <c r="X2045" s="33" t="inlineStr">
        <is>
          <t>NO</t>
        </is>
      </c>
      <c r="Y2045" s="33" t="n"/>
      <c r="Z2045" s="33" t="n"/>
      <c r="AA2045" s="33" t="inlineStr">
        <is>
          <t>6</t>
        </is>
      </c>
      <c r="AB2045" s="33" t="inlineStr">
        <is>
          <t>https://www.swimcloud.com/results/97044/event/4100M/#time20017827</t>
        </is>
      </c>
      <c r="AC2045" s="33" t="inlineStr">
        <is>
          <t>SwimCloud API v6 2026-10-08</t>
        </is>
      </c>
      <c r="AD2045" s="33" t="inlineStr">
        <is>
          <t>Luka Mijatovic|2017-07-30|LCM|100|Fly|79.65|Long Course Far Western Championships|FIN|False</t>
        </is>
      </c>
      <c r="AE2045" s="53">
        <f>G2045+L2045/1000+ROW()/1000000000</f>
        <v/>
      </c>
      <c r="AF2045" s="35">
        <f>IF(C2045&lt;&gt;"Grayson Coulter","",COUNTIFS($C$5:$C$2991,"Grayson Coulter",$Q$5:$Q$2991,Q2045,$AE$5:$AE$2991,"&lt;="&amp;AE2045,$R$5:$R$2991,"&lt;"&amp;R2045))</f>
        <v/>
      </c>
      <c r="AG2045" s="35">
        <f>IF(OR(C2045&lt;&gt;"Grayson Coulter",G2045&lt;'00_Control'!$B$7),"",--(AF2045&lt;5))</f>
        <v/>
      </c>
      <c r="AH2045" s="35">
        <f>IF(OR(C2045&lt;&gt;"Grayson Coulter",G2045&lt;'00_Control'!$B$7),"",--(AF2045&lt;10))</f>
        <v/>
      </c>
      <c r="AI2045" s="35">
        <f>IF(AND(C2045="Grayson Coulter",G2045&gt;='00_Control'!$B$7),"YES","NO")</f>
        <v/>
      </c>
      <c r="AJ2045" s="33" t="inlineStr">
        <is>
          <t>OK</t>
        </is>
      </c>
    </row>
    <row r="2046">
      <c r="A2046" s="33" t="inlineStr">
        <is>
          <t>SM002042</t>
        </is>
      </c>
      <c r="B2046" s="33" t="inlineStr">
        <is>
          <t>SW003</t>
        </is>
      </c>
      <c r="C2046" s="33" t="inlineStr">
        <is>
          <t>Luka Mijatovic</t>
        </is>
      </c>
      <c r="D2046" s="33" t="inlineStr">
        <is>
          <t>SwimCloud</t>
        </is>
      </c>
      <c r="E2046" s="33" t="inlineStr">
        <is>
          <t>2415996</t>
        </is>
      </c>
      <c r="F2046" s="33" t="inlineStr">
        <is>
          <t>50039415</t>
        </is>
      </c>
      <c r="G2046" s="51" t="n">
        <v>43225</v>
      </c>
      <c r="H2046" s="33" t="inlineStr">
        <is>
          <t>LAMV C/B/A+ Long Course</t>
        </is>
      </c>
      <c r="I2046" s="33" t="inlineStr">
        <is>
          <t>213845</t>
        </is>
      </c>
      <c r="J2046" s="33" t="inlineStr"/>
      <c r="K2046" s="33" t="inlineStr">
        <is>
          <t>TIM</t>
        </is>
      </c>
      <c r="L2046" s="35">
        <f>IF(K2046="FIN",3,IF(OR(K2046="SEM",K2046="SEMI"),2,IF(OR(K2046="PRE",K2046="HEAT"),1,IF(V2046="YES",4,2))))</f>
        <v/>
      </c>
      <c r="M2046" s="33" t="inlineStr">
        <is>
          <t>LCM</t>
        </is>
      </c>
      <c r="N2046" s="33" t="n">
        <v>100</v>
      </c>
      <c r="O2046" s="33" t="inlineStr">
        <is>
          <t>Fly</t>
        </is>
      </c>
      <c r="P2046" s="33" t="inlineStr">
        <is>
          <t>100 Fly</t>
        </is>
      </c>
      <c r="Q2046" s="33" t="inlineStr">
        <is>
          <t>LCM_100_FLY</t>
        </is>
      </c>
      <c r="R2046" s="36" t="n">
        <v>79.31</v>
      </c>
      <c r="S2046" s="35">
        <f>IF(R2046="","",IF(R2046&gt;=60,INT(R2046/60)&amp;":"&amp;TEXT(MOD(R2046,60),"00.00"),TEXT(R2046,"0.00")))</f>
        <v/>
      </c>
      <c r="T2046" s="52">
        <f>IFERROR((G2046-INDEX('01_Swimmers'!$E$5:$E$22,MATCH(B2046,'01_Swimmers'!$A$5:$A$22,0)))/'00_Control'!$B$10,"")</f>
        <v/>
      </c>
      <c r="U2046" s="35">
        <f>IF(T2046="","",INT(T2046))</f>
        <v/>
      </c>
      <c r="V2046" s="33" t="inlineStr">
        <is>
          <t>NO</t>
        </is>
      </c>
      <c r="W2046" s="33" t="inlineStr">
        <is>
          <t>YES</t>
        </is>
      </c>
      <c r="X2046" s="33" t="inlineStr">
        <is>
          <t>NO</t>
        </is>
      </c>
      <c r="Y2046" s="33" t="n">
        <v>1</v>
      </c>
      <c r="Z2046" s="33" t="n">
        <v>5</v>
      </c>
      <c r="AA2046" s="33" t="inlineStr">
        <is>
          <t>2</t>
        </is>
      </c>
      <c r="AB2046" s="33" t="inlineStr">
        <is>
          <t>https://www.swimcloud.com/results/213845/event/40/?id=50039415#time50039415</t>
        </is>
      </c>
      <c r="AC2046" s="33" t="inlineStr">
        <is>
          <t>SwimCloud API v6 2026-10-08</t>
        </is>
      </c>
      <c r="AD2046" s="33" t="inlineStr">
        <is>
          <t>Luka Mijatovic|2018-05-05|LCM|100|Fly|79.31|LAMV C/B/A+ Long Course|TIM|False</t>
        </is>
      </c>
      <c r="AE2046" s="53">
        <f>G2046+L2046/1000+ROW()/1000000000</f>
        <v/>
      </c>
      <c r="AF2046" s="35">
        <f>IF(C2046&lt;&gt;"Grayson Coulter","",COUNTIFS($C$5:$C$2991,"Grayson Coulter",$Q$5:$Q$2991,Q2046,$AE$5:$AE$2991,"&lt;="&amp;AE2046,$R$5:$R$2991,"&lt;"&amp;R2046))</f>
        <v/>
      </c>
      <c r="AG2046" s="35">
        <f>IF(OR(C2046&lt;&gt;"Grayson Coulter",G2046&lt;'00_Control'!$B$7),"",--(AF2046&lt;5))</f>
        <v/>
      </c>
      <c r="AH2046" s="35">
        <f>IF(OR(C2046&lt;&gt;"Grayson Coulter",G2046&lt;'00_Control'!$B$7),"",--(AF2046&lt;10))</f>
        <v/>
      </c>
      <c r="AI2046" s="35">
        <f>IF(AND(C2046="Grayson Coulter",G2046&gt;='00_Control'!$B$7),"YES","NO")</f>
        <v/>
      </c>
      <c r="AJ2046" s="33" t="inlineStr">
        <is>
          <t>OK</t>
        </is>
      </c>
    </row>
    <row r="2047">
      <c r="A2047" s="33" t="inlineStr">
        <is>
          <t>SM002043</t>
        </is>
      </c>
      <c r="B2047" s="33" t="inlineStr">
        <is>
          <t>SW003</t>
        </is>
      </c>
      <c r="C2047" s="33" t="inlineStr">
        <is>
          <t>Luka Mijatovic</t>
        </is>
      </c>
      <c r="D2047" s="33" t="inlineStr">
        <is>
          <t>SwimCloud</t>
        </is>
      </c>
      <c r="E2047" s="33" t="inlineStr">
        <is>
          <t>2415996</t>
        </is>
      </c>
      <c r="F2047" s="33" t="inlineStr">
        <is>
          <t>50040139</t>
        </is>
      </c>
      <c r="G2047" s="51" t="n">
        <v>43225</v>
      </c>
      <c r="H2047" s="33" t="inlineStr">
        <is>
          <t>LAMV C/B/A+ Long Course</t>
        </is>
      </c>
      <c r="I2047" s="33" t="inlineStr">
        <is>
          <t>213845</t>
        </is>
      </c>
      <c r="J2047" s="33" t="inlineStr"/>
      <c r="K2047" s="33" t="inlineStr">
        <is>
          <t>TIM</t>
        </is>
      </c>
      <c r="L2047" s="35">
        <f>IF(K2047="FIN",3,IF(OR(K2047="SEM",K2047="SEMI"),2,IF(OR(K2047="PRE",K2047="HEAT"),1,IF(V2047="YES",4,2))))</f>
        <v/>
      </c>
      <c r="M2047" s="33" t="inlineStr">
        <is>
          <t>LCM</t>
        </is>
      </c>
      <c r="N2047" s="33" t="n">
        <v>100</v>
      </c>
      <c r="O2047" s="33" t="inlineStr">
        <is>
          <t>Free</t>
        </is>
      </c>
      <c r="P2047" s="33" t="inlineStr">
        <is>
          <t>100 Free</t>
        </is>
      </c>
      <c r="Q2047" s="33" t="inlineStr">
        <is>
          <t>LCM_100_FREE</t>
        </is>
      </c>
      <c r="R2047" s="36" t="n">
        <v>67.70999999999999</v>
      </c>
      <c r="S2047" s="35">
        <f>IF(R2047="","",IF(R2047&gt;=60,INT(R2047/60)&amp;":"&amp;TEXT(MOD(R2047,60),"00.00"),TEXT(R2047,"0.00")))</f>
        <v/>
      </c>
      <c r="T2047" s="52">
        <f>IFERROR((G2047-INDEX('01_Swimmers'!$E$5:$E$22,MATCH(B2047,'01_Swimmers'!$A$5:$A$22,0)))/'00_Control'!$B$10,"")</f>
        <v/>
      </c>
      <c r="U2047" s="35">
        <f>IF(T2047="","",INT(T2047))</f>
        <v/>
      </c>
      <c r="V2047" s="33" t="inlineStr">
        <is>
          <t>NO</t>
        </is>
      </c>
      <c r="W2047" s="33" t="inlineStr">
        <is>
          <t>YES</t>
        </is>
      </c>
      <c r="X2047" s="33" t="inlineStr">
        <is>
          <t>NO</t>
        </is>
      </c>
      <c r="Y2047" s="33" t="n">
        <v>1</v>
      </c>
      <c r="Z2047" s="33" t="n">
        <v>4</v>
      </c>
      <c r="AA2047" s="33" t="inlineStr">
        <is>
          <t>1</t>
        </is>
      </c>
      <c r="AB2047" s="33" t="inlineStr">
        <is>
          <t>https://www.swimcloud.com/results/213845/event/22/?id=50040139#time50040139</t>
        </is>
      </c>
      <c r="AC2047" s="33" t="inlineStr">
        <is>
          <t>SwimCloud API v6 2026-10-08</t>
        </is>
      </c>
      <c r="AD2047" s="33" t="inlineStr">
        <is>
          <t>Luka Mijatovic|2018-05-05|LCM|100|Free|67.71|LAMV C/B/A+ Long Course|TIM|False</t>
        </is>
      </c>
      <c r="AE2047" s="53">
        <f>G2047+L2047/1000+ROW()/1000000000</f>
        <v/>
      </c>
      <c r="AF2047" s="35">
        <f>IF(C2047&lt;&gt;"Grayson Coulter","",COUNTIFS($C$5:$C$2991,"Grayson Coulter",$Q$5:$Q$2991,Q2047,$AE$5:$AE$2991,"&lt;="&amp;AE2047,$R$5:$R$2991,"&lt;"&amp;R2047))</f>
        <v/>
      </c>
      <c r="AG2047" s="35">
        <f>IF(OR(C2047&lt;&gt;"Grayson Coulter",G2047&lt;'00_Control'!$B$7),"",--(AF2047&lt;5))</f>
        <v/>
      </c>
      <c r="AH2047" s="35">
        <f>IF(OR(C2047&lt;&gt;"Grayson Coulter",G2047&lt;'00_Control'!$B$7),"",--(AF2047&lt;10))</f>
        <v/>
      </c>
      <c r="AI2047" s="35">
        <f>IF(AND(C2047="Grayson Coulter",G2047&gt;='00_Control'!$B$7),"YES","NO")</f>
        <v/>
      </c>
      <c r="AJ2047" s="33" t="inlineStr">
        <is>
          <t>OK</t>
        </is>
      </c>
    </row>
    <row r="2048">
      <c r="A2048" s="33" t="inlineStr">
        <is>
          <t>SM002044</t>
        </is>
      </c>
      <c r="B2048" s="33" t="inlineStr">
        <is>
          <t>SW003</t>
        </is>
      </c>
      <c r="C2048" s="33" t="inlineStr">
        <is>
          <t>Luka Mijatovic</t>
        </is>
      </c>
      <c r="D2048" s="33" t="inlineStr">
        <is>
          <t>SwimCloud</t>
        </is>
      </c>
      <c r="E2048" s="33" t="inlineStr">
        <is>
          <t>2415996</t>
        </is>
      </c>
      <c r="F2048" s="33" t="inlineStr">
        <is>
          <t>50457291</t>
        </is>
      </c>
      <c r="G2048" s="51" t="n">
        <v>43266</v>
      </c>
      <c r="H2048" s="33" t="inlineStr">
        <is>
          <t>PC DACA LCM C/B/A+</t>
        </is>
      </c>
      <c r="I2048" s="33" t="inlineStr">
        <is>
          <t>213849</t>
        </is>
      </c>
      <c r="J2048" s="33" t="inlineStr"/>
      <c r="K2048" s="33" t="inlineStr">
        <is>
          <t>TIM</t>
        </is>
      </c>
      <c r="L2048" s="35">
        <f>IF(K2048="FIN",3,IF(OR(K2048="SEM",K2048="SEMI"),2,IF(OR(K2048="PRE",K2048="HEAT"),1,IF(V2048="YES",4,2))))</f>
        <v/>
      </c>
      <c r="M2048" s="33" t="inlineStr">
        <is>
          <t>LCM</t>
        </is>
      </c>
      <c r="N2048" s="33" t="n">
        <v>400</v>
      </c>
      <c r="O2048" s="33" t="inlineStr">
        <is>
          <t>Free</t>
        </is>
      </c>
      <c r="P2048" s="33" t="inlineStr">
        <is>
          <t>400 Free</t>
        </is>
      </c>
      <c r="Q2048" s="33" t="inlineStr">
        <is>
          <t>LCM_400_FREE</t>
        </is>
      </c>
      <c r="R2048" s="36" t="n">
        <v>304.52</v>
      </c>
      <c r="S2048" s="35">
        <f>IF(R2048="","",IF(R2048&gt;=60,INT(R2048/60)&amp;":"&amp;TEXT(MOD(R2048,60),"00.00"),TEXT(R2048,"0.00")))</f>
        <v/>
      </c>
      <c r="T2048" s="52">
        <f>IFERROR((G2048-INDEX('01_Swimmers'!$E$5:$E$22,MATCH(B2048,'01_Swimmers'!$A$5:$A$22,0)))/'00_Control'!$B$10,"")</f>
        <v/>
      </c>
      <c r="U2048" s="35">
        <f>IF(T2048="","",INT(T2048))</f>
        <v/>
      </c>
      <c r="V2048" s="33" t="inlineStr">
        <is>
          <t>NO</t>
        </is>
      </c>
      <c r="W2048" s="33" t="inlineStr">
        <is>
          <t>YES</t>
        </is>
      </c>
      <c r="X2048" s="33" t="inlineStr">
        <is>
          <t>NO</t>
        </is>
      </c>
      <c r="Y2048" s="33" t="n">
        <v>1</v>
      </c>
      <c r="Z2048" s="33" t="n">
        <v>5</v>
      </c>
      <c r="AA2048" s="33" t="inlineStr">
        <is>
          <t>1</t>
        </is>
      </c>
      <c r="AB2048" s="33" t="inlineStr">
        <is>
          <t>https://www.swimcloud.com/results/213849/event/4/?id=50457291#time50457291</t>
        </is>
      </c>
      <c r="AC2048" s="33" t="inlineStr">
        <is>
          <t>SwimCloud API v6 2026-10-08</t>
        </is>
      </c>
      <c r="AD2048" s="33" t="inlineStr">
        <is>
          <t>Luka Mijatovic|2018-06-15|LCM|400|Free|304.52|PC DACA LCM C/B/A+|TIM|False</t>
        </is>
      </c>
      <c r="AE2048" s="53">
        <f>G2048+L2048/1000+ROW()/1000000000</f>
        <v/>
      </c>
      <c r="AF2048" s="35">
        <f>IF(C2048&lt;&gt;"Grayson Coulter","",COUNTIFS($C$5:$C$2991,"Grayson Coulter",$Q$5:$Q$2991,Q2048,$AE$5:$AE$2991,"&lt;="&amp;AE2048,$R$5:$R$2991,"&lt;"&amp;R2048))</f>
        <v/>
      </c>
      <c r="AG2048" s="35">
        <f>IF(OR(C2048&lt;&gt;"Grayson Coulter",G2048&lt;'00_Control'!$B$7),"",--(AF2048&lt;5))</f>
        <v/>
      </c>
      <c r="AH2048" s="35">
        <f>IF(OR(C2048&lt;&gt;"Grayson Coulter",G2048&lt;'00_Control'!$B$7),"",--(AF2048&lt;10))</f>
        <v/>
      </c>
      <c r="AI2048" s="35">
        <f>IF(AND(C2048="Grayson Coulter",G2048&gt;='00_Control'!$B$7),"YES","NO")</f>
        <v/>
      </c>
      <c r="AJ2048" s="33" t="inlineStr">
        <is>
          <t>OK</t>
        </is>
      </c>
    </row>
    <row r="2049">
      <c r="A2049" s="33" t="inlineStr">
        <is>
          <t>SM002045</t>
        </is>
      </c>
      <c r="B2049" s="33" t="inlineStr">
        <is>
          <t>SW003</t>
        </is>
      </c>
      <c r="C2049" s="33" t="inlineStr">
        <is>
          <t>Luka Mijatovic</t>
        </is>
      </c>
      <c r="D2049" s="33" t="inlineStr">
        <is>
          <t>SwimCloud</t>
        </is>
      </c>
      <c r="E2049" s="33" t="inlineStr">
        <is>
          <t>2415996</t>
        </is>
      </c>
      <c r="F2049" s="33" t="inlineStr">
        <is>
          <t>50458510</t>
        </is>
      </c>
      <c r="G2049" s="51" t="n">
        <v>43267</v>
      </c>
      <c r="H2049" s="33" t="inlineStr">
        <is>
          <t>PC DACA LCM C/B/A+</t>
        </is>
      </c>
      <c r="I2049" s="33" t="inlineStr">
        <is>
          <t>213849</t>
        </is>
      </c>
      <c r="J2049" s="33" t="inlineStr"/>
      <c r="K2049" s="33" t="inlineStr">
        <is>
          <t>TIM</t>
        </is>
      </c>
      <c r="L2049" s="35">
        <f>IF(K2049="FIN",3,IF(OR(K2049="SEM",K2049="SEMI"),2,IF(OR(K2049="PRE",K2049="HEAT"),1,IF(V2049="YES",4,2))))</f>
        <v/>
      </c>
      <c r="M2049" s="33" t="inlineStr">
        <is>
          <t>LCM</t>
        </is>
      </c>
      <c r="N2049" s="33" t="n">
        <v>100</v>
      </c>
      <c r="O2049" s="33" t="inlineStr">
        <is>
          <t>Free</t>
        </is>
      </c>
      <c r="P2049" s="33" t="inlineStr">
        <is>
          <t>100 Free</t>
        </is>
      </c>
      <c r="Q2049" s="33" t="inlineStr">
        <is>
          <t>LCM_100_FREE</t>
        </is>
      </c>
      <c r="R2049" s="36" t="n">
        <v>68.97</v>
      </c>
      <c r="S2049" s="35">
        <f>IF(R2049="","",IF(R2049&gt;=60,INT(R2049/60)&amp;":"&amp;TEXT(MOD(R2049,60),"00.00"),TEXT(R2049,"0.00")))</f>
        <v/>
      </c>
      <c r="T2049" s="52">
        <f>IFERROR((G2049-INDEX('01_Swimmers'!$E$5:$E$22,MATCH(B2049,'01_Swimmers'!$A$5:$A$22,0)))/'00_Control'!$B$10,"")</f>
        <v/>
      </c>
      <c r="U2049" s="35">
        <f>IF(T2049="","",INT(T2049))</f>
        <v/>
      </c>
      <c r="V2049" s="33" t="inlineStr">
        <is>
          <t>NO</t>
        </is>
      </c>
      <c r="W2049" s="33" t="inlineStr">
        <is>
          <t>YES</t>
        </is>
      </c>
      <c r="X2049" s="33" t="inlineStr">
        <is>
          <t>NO</t>
        </is>
      </c>
      <c r="Y2049" s="33" t="n">
        <v>1</v>
      </c>
      <c r="Z2049" s="33" t="n">
        <v>6</v>
      </c>
      <c r="AA2049" s="33" t="inlineStr">
        <is>
          <t>2</t>
        </is>
      </c>
      <c r="AB2049" s="33" t="inlineStr">
        <is>
          <t>https://www.swimcloud.com/results/213849/event/34/?id=50458510#time50458510</t>
        </is>
      </c>
      <c r="AC2049" s="33" t="inlineStr">
        <is>
          <t>SwimCloud API v6 2026-10-08</t>
        </is>
      </c>
      <c r="AD2049" s="33" t="inlineStr">
        <is>
          <t>Luka Mijatovic|2018-06-16|LCM|100|Free|68.97|PC DACA LCM C/B/A+|TIM|False</t>
        </is>
      </c>
      <c r="AE2049" s="53">
        <f>G2049+L2049/1000+ROW()/1000000000</f>
        <v/>
      </c>
      <c r="AF2049" s="35">
        <f>IF(C2049&lt;&gt;"Grayson Coulter","",COUNTIFS($C$5:$C$2991,"Grayson Coulter",$Q$5:$Q$2991,Q2049,$AE$5:$AE$2991,"&lt;="&amp;AE2049,$R$5:$R$2991,"&lt;"&amp;R2049))</f>
        <v/>
      </c>
      <c r="AG2049" s="35">
        <f>IF(OR(C2049&lt;&gt;"Grayson Coulter",G2049&lt;'00_Control'!$B$7),"",--(AF2049&lt;5))</f>
        <v/>
      </c>
      <c r="AH2049" s="35">
        <f>IF(OR(C2049&lt;&gt;"Grayson Coulter",G2049&lt;'00_Control'!$B$7),"",--(AF2049&lt;10))</f>
        <v/>
      </c>
      <c r="AI2049" s="35">
        <f>IF(AND(C2049="Grayson Coulter",G2049&gt;='00_Control'!$B$7),"YES","NO")</f>
        <v/>
      </c>
      <c r="AJ2049" s="33" t="inlineStr">
        <is>
          <t>OK</t>
        </is>
      </c>
    </row>
    <row r="2050">
      <c r="A2050" s="33" t="inlineStr">
        <is>
          <t>SM002046</t>
        </is>
      </c>
      <c r="B2050" s="33" t="inlineStr">
        <is>
          <t>SW003</t>
        </is>
      </c>
      <c r="C2050" s="33" t="inlineStr">
        <is>
          <t>Luka Mijatovic</t>
        </is>
      </c>
      <c r="D2050" s="33" t="inlineStr">
        <is>
          <t>SwimCloud</t>
        </is>
      </c>
      <c r="E2050" s="33" t="inlineStr">
        <is>
          <t>2415996</t>
        </is>
      </c>
      <c r="F2050" s="33" t="inlineStr">
        <is>
          <t>50459141</t>
        </is>
      </c>
      <c r="G2050" s="51" t="n">
        <v>43268</v>
      </c>
      <c r="H2050" s="33" t="inlineStr">
        <is>
          <t>PC DACA LCM C/B/A+</t>
        </is>
      </c>
      <c r="I2050" s="33" t="inlineStr">
        <is>
          <t>213849</t>
        </is>
      </c>
      <c r="J2050" s="33" t="inlineStr"/>
      <c r="K2050" s="33" t="inlineStr">
        <is>
          <t>TIM</t>
        </is>
      </c>
      <c r="L2050" s="35">
        <f>IF(K2050="FIN",3,IF(OR(K2050="SEM",K2050="SEMI"),2,IF(OR(K2050="PRE",K2050="HEAT"),1,IF(V2050="YES",4,2))))</f>
        <v/>
      </c>
      <c r="M2050" s="33" t="inlineStr">
        <is>
          <t>LCM</t>
        </is>
      </c>
      <c r="N2050" s="33" t="n">
        <v>100</v>
      </c>
      <c r="O2050" s="33" t="inlineStr">
        <is>
          <t>Fly</t>
        </is>
      </c>
      <c r="P2050" s="33" t="inlineStr">
        <is>
          <t>100 Fly</t>
        </is>
      </c>
      <c r="Q2050" s="33" t="inlineStr">
        <is>
          <t>LCM_100_FLY</t>
        </is>
      </c>
      <c r="R2050" s="36" t="n">
        <v>76.84</v>
      </c>
      <c r="S2050" s="35">
        <f>IF(R2050="","",IF(R2050&gt;=60,INT(R2050/60)&amp;":"&amp;TEXT(MOD(R2050,60),"00.00"),TEXT(R2050,"0.00")))</f>
        <v/>
      </c>
      <c r="T2050" s="52">
        <f>IFERROR((G2050-INDEX('01_Swimmers'!$E$5:$E$22,MATCH(B2050,'01_Swimmers'!$A$5:$A$22,0)))/'00_Control'!$B$10,"")</f>
        <v/>
      </c>
      <c r="U2050" s="35">
        <f>IF(T2050="","",INT(T2050))</f>
        <v/>
      </c>
      <c r="V2050" s="33" t="inlineStr">
        <is>
          <t>NO</t>
        </is>
      </c>
      <c r="W2050" s="33" t="inlineStr">
        <is>
          <t>YES</t>
        </is>
      </c>
      <c r="X2050" s="33" t="inlineStr">
        <is>
          <t>NO</t>
        </is>
      </c>
      <c r="Y2050" s="33" t="n">
        <v>1</v>
      </c>
      <c r="Z2050" s="33" t="n">
        <v>6</v>
      </c>
      <c r="AA2050" s="33" t="inlineStr">
        <is>
          <t>2</t>
        </is>
      </c>
      <c r="AB2050" s="33" t="inlineStr">
        <is>
          <t>https://www.swimcloud.com/results/213849/event/98/?id=50459141#time50459141</t>
        </is>
      </c>
      <c r="AC2050" s="33" t="inlineStr">
        <is>
          <t>SwimCloud API v6 2026-10-08</t>
        </is>
      </c>
      <c r="AD2050" s="33" t="inlineStr">
        <is>
          <t>Luka Mijatovic|2018-06-17|LCM|100|Fly|76.84|PC DACA LCM C/B/A+|TIM|False</t>
        </is>
      </c>
      <c r="AE2050" s="53">
        <f>G2050+L2050/1000+ROW()/1000000000</f>
        <v/>
      </c>
      <c r="AF2050" s="35">
        <f>IF(C2050&lt;&gt;"Grayson Coulter","",COUNTIFS($C$5:$C$2991,"Grayson Coulter",$Q$5:$Q$2991,Q2050,$AE$5:$AE$2991,"&lt;="&amp;AE2050,$R$5:$R$2991,"&lt;"&amp;R2050))</f>
        <v/>
      </c>
      <c r="AG2050" s="35">
        <f>IF(OR(C2050&lt;&gt;"Grayson Coulter",G2050&lt;'00_Control'!$B$7),"",--(AF2050&lt;5))</f>
        <v/>
      </c>
      <c r="AH2050" s="35">
        <f>IF(OR(C2050&lt;&gt;"Grayson Coulter",G2050&lt;'00_Control'!$B$7),"",--(AF2050&lt;10))</f>
        <v/>
      </c>
      <c r="AI2050" s="35">
        <f>IF(AND(C2050="Grayson Coulter",G2050&gt;='00_Control'!$B$7),"YES","NO")</f>
        <v/>
      </c>
      <c r="AJ2050" s="33" t="inlineStr">
        <is>
          <t>OK</t>
        </is>
      </c>
    </row>
    <row r="2051">
      <c r="A2051" s="33" t="inlineStr">
        <is>
          <t>SM002047</t>
        </is>
      </c>
      <c r="B2051" s="33" t="inlineStr">
        <is>
          <t>SW003</t>
        </is>
      </c>
      <c r="C2051" s="33" t="inlineStr">
        <is>
          <t>Luka Mijatovic</t>
        </is>
      </c>
      <c r="D2051" s="33" t="inlineStr">
        <is>
          <t>SwimCloud</t>
        </is>
      </c>
      <c r="E2051" s="33" t="inlineStr">
        <is>
          <t>2415996</t>
        </is>
      </c>
      <c r="F2051" s="33" t="inlineStr">
        <is>
          <t>50458684</t>
        </is>
      </c>
      <c r="G2051" s="51" t="n">
        <v>43268</v>
      </c>
      <c r="H2051" s="33" t="inlineStr">
        <is>
          <t>PC DACA LCM C/B/A+</t>
        </is>
      </c>
      <c r="I2051" s="33" t="inlineStr">
        <is>
          <t>213849</t>
        </is>
      </c>
      <c r="J2051" s="33" t="inlineStr"/>
      <c r="K2051" s="33" t="inlineStr">
        <is>
          <t>TIM</t>
        </is>
      </c>
      <c r="L2051" s="35">
        <f>IF(K2051="FIN",3,IF(OR(K2051="SEM",K2051="SEMI"),2,IF(OR(K2051="PRE",K2051="HEAT"),1,IF(V2051="YES",4,2))))</f>
        <v/>
      </c>
      <c r="M2051" s="33" t="inlineStr">
        <is>
          <t>LCM</t>
        </is>
      </c>
      <c r="N2051" s="33" t="n">
        <v>200</v>
      </c>
      <c r="O2051" s="33" t="inlineStr">
        <is>
          <t>Free</t>
        </is>
      </c>
      <c r="P2051" s="33" t="inlineStr">
        <is>
          <t>200 Free</t>
        </is>
      </c>
      <c r="Q2051" s="33" t="inlineStr">
        <is>
          <t>LCM_200_FREE</t>
        </is>
      </c>
      <c r="R2051" s="36" t="n">
        <v>143.68</v>
      </c>
      <c r="S2051" s="35">
        <f>IF(R2051="","",IF(R2051&gt;=60,INT(R2051/60)&amp;":"&amp;TEXT(MOD(R2051,60),"00.00"),TEXT(R2051,"0.00")))</f>
        <v/>
      </c>
      <c r="T2051" s="52">
        <f>IFERROR((G2051-INDEX('01_Swimmers'!$E$5:$E$22,MATCH(B2051,'01_Swimmers'!$A$5:$A$22,0)))/'00_Control'!$B$10,"")</f>
        <v/>
      </c>
      <c r="U2051" s="35">
        <f>IF(T2051="","",INT(T2051))</f>
        <v/>
      </c>
      <c r="V2051" s="33" t="inlineStr">
        <is>
          <t>NO</t>
        </is>
      </c>
      <c r="W2051" s="33" t="inlineStr">
        <is>
          <t>YES</t>
        </is>
      </c>
      <c r="X2051" s="33" t="inlineStr">
        <is>
          <t>NO</t>
        </is>
      </c>
      <c r="Y2051" s="33" t="n">
        <v>1</v>
      </c>
      <c r="Z2051" s="33" t="n">
        <v>5</v>
      </c>
      <c r="AA2051" s="33" t="inlineStr">
        <is>
          <t>1</t>
        </is>
      </c>
      <c r="AB2051" s="33" t="inlineStr">
        <is>
          <t>https://www.swimcloud.com/results/213849/event/86/?id=50458684#time50458684</t>
        </is>
      </c>
      <c r="AC2051" s="33" t="inlineStr">
        <is>
          <t>SwimCloud API v6 2026-10-08</t>
        </is>
      </c>
      <c r="AD2051" s="33" t="inlineStr">
        <is>
          <t>Luka Mijatovic|2018-06-17|LCM|200|Free|143.68|PC DACA LCM C/B/A+|TIM|False</t>
        </is>
      </c>
      <c r="AE2051" s="53">
        <f>G2051+L2051/1000+ROW()/1000000000</f>
        <v/>
      </c>
      <c r="AF2051" s="35">
        <f>IF(C2051&lt;&gt;"Grayson Coulter","",COUNTIFS($C$5:$C$2991,"Grayson Coulter",$Q$5:$Q$2991,Q2051,$AE$5:$AE$2991,"&lt;="&amp;AE2051,$R$5:$R$2991,"&lt;"&amp;R2051))</f>
        <v/>
      </c>
      <c r="AG2051" s="35">
        <f>IF(OR(C2051&lt;&gt;"Grayson Coulter",G2051&lt;'00_Control'!$B$7),"",--(AF2051&lt;5))</f>
        <v/>
      </c>
      <c r="AH2051" s="35">
        <f>IF(OR(C2051&lt;&gt;"Grayson Coulter",G2051&lt;'00_Control'!$B$7),"",--(AF2051&lt;10))</f>
        <v/>
      </c>
      <c r="AI2051" s="35">
        <f>IF(AND(C2051="Grayson Coulter",G2051&gt;='00_Control'!$B$7),"YES","NO")</f>
        <v/>
      </c>
      <c r="AJ2051" s="33" t="inlineStr">
        <is>
          <t>OK</t>
        </is>
      </c>
    </row>
    <row r="2052">
      <c r="A2052" s="33" t="inlineStr">
        <is>
          <t>SM002048</t>
        </is>
      </c>
      <c r="B2052" s="33" t="inlineStr">
        <is>
          <t>SW003</t>
        </is>
      </c>
      <c r="C2052" s="33" t="inlineStr">
        <is>
          <t>Luka Mijatovic</t>
        </is>
      </c>
      <c r="D2052" s="33" t="inlineStr">
        <is>
          <t>SwimCloud</t>
        </is>
      </c>
      <c r="E2052" s="33" t="inlineStr">
        <is>
          <t>2415996</t>
        </is>
      </c>
      <c r="F2052" s="33" t="inlineStr">
        <is>
          <t>20139618</t>
        </is>
      </c>
      <c r="G2052" s="51" t="n">
        <v>43287</v>
      </c>
      <c r="H2052" s="33" t="inlineStr">
        <is>
          <t>PC OAPB Adam Szmidt Memorial 14&amp;U</t>
        </is>
      </c>
      <c r="I2052" s="33" t="inlineStr">
        <is>
          <t>119107</t>
        </is>
      </c>
      <c r="J2052" s="33" t="inlineStr"/>
      <c r="K2052" s="33" t="inlineStr">
        <is>
          <t>PRE</t>
        </is>
      </c>
      <c r="L2052" s="35">
        <f>IF(K2052="FIN",3,IF(OR(K2052="SEM",K2052="SEMI"),2,IF(OR(K2052="PRE",K2052="HEAT"),1,IF(V2052="YES",4,2))))</f>
        <v/>
      </c>
      <c r="M2052" s="33" t="inlineStr">
        <is>
          <t>LCM</t>
        </is>
      </c>
      <c r="N2052" s="33" t="n">
        <v>200</v>
      </c>
      <c r="O2052" s="33" t="inlineStr">
        <is>
          <t>Free</t>
        </is>
      </c>
      <c r="P2052" s="33" t="inlineStr">
        <is>
          <t>200 Free</t>
        </is>
      </c>
      <c r="Q2052" s="33" t="inlineStr">
        <is>
          <t>LCM_200_FREE</t>
        </is>
      </c>
      <c r="R2052" s="36" t="n">
        <v>142.08</v>
      </c>
      <c r="S2052" s="35">
        <f>IF(R2052="","",IF(R2052&gt;=60,INT(R2052/60)&amp;":"&amp;TEXT(MOD(R2052,60),"00.00"),TEXT(R2052,"0.00")))</f>
        <v/>
      </c>
      <c r="T2052" s="52">
        <f>IFERROR((G2052-INDEX('01_Swimmers'!$E$5:$E$22,MATCH(B2052,'01_Swimmers'!$A$5:$A$22,0)))/'00_Control'!$B$10,"")</f>
        <v/>
      </c>
      <c r="U2052" s="35">
        <f>IF(T2052="","",INT(T2052))</f>
        <v/>
      </c>
      <c r="V2052" s="33" t="inlineStr">
        <is>
          <t>NO</t>
        </is>
      </c>
      <c r="W2052" s="33" t="inlineStr">
        <is>
          <t>YES</t>
        </is>
      </c>
      <c r="X2052" s="33" t="inlineStr">
        <is>
          <t>NO</t>
        </is>
      </c>
      <c r="Y2052" s="33" t="n">
        <v>2</v>
      </c>
      <c r="Z2052" s="33" t="n">
        <v>4</v>
      </c>
      <c r="AA2052" s="33" t="inlineStr">
        <is>
          <t>2</t>
        </is>
      </c>
      <c r="AB2052" s="33" t="inlineStr">
        <is>
          <t>https://www.swimcloud.com/results/119107/event/4/?id=20139618#time20139618</t>
        </is>
      </c>
      <c r="AC2052" s="33" t="inlineStr">
        <is>
          <t>SwimCloud API v6 2026-10-08</t>
        </is>
      </c>
      <c r="AD2052" s="33" t="inlineStr">
        <is>
          <t>Luka Mijatovic|2018-07-06|LCM|200|Free|142.08|PC OAPB Adam Szmidt Memorial 14&amp;U|PRE|False</t>
        </is>
      </c>
      <c r="AE2052" s="53">
        <f>G2052+L2052/1000+ROW()/1000000000</f>
        <v/>
      </c>
      <c r="AF2052" s="35">
        <f>IF(C2052&lt;&gt;"Grayson Coulter","",COUNTIFS($C$5:$C$2991,"Grayson Coulter",$Q$5:$Q$2991,Q2052,$AE$5:$AE$2991,"&lt;="&amp;AE2052,$R$5:$R$2991,"&lt;"&amp;R2052))</f>
        <v/>
      </c>
      <c r="AG2052" s="35">
        <f>IF(OR(C2052&lt;&gt;"Grayson Coulter",G2052&lt;'00_Control'!$B$7),"",--(AF2052&lt;5))</f>
        <v/>
      </c>
      <c r="AH2052" s="35">
        <f>IF(OR(C2052&lt;&gt;"Grayson Coulter",G2052&lt;'00_Control'!$B$7),"",--(AF2052&lt;10))</f>
        <v/>
      </c>
      <c r="AI2052" s="35">
        <f>IF(AND(C2052="Grayson Coulter",G2052&gt;='00_Control'!$B$7),"YES","NO")</f>
        <v/>
      </c>
      <c r="AJ2052" s="33" t="inlineStr">
        <is>
          <t>OK</t>
        </is>
      </c>
    </row>
    <row r="2053">
      <c r="A2053" s="33" t="inlineStr">
        <is>
          <t>SM002049</t>
        </is>
      </c>
      <c r="B2053" s="33" t="inlineStr">
        <is>
          <t>SW003</t>
        </is>
      </c>
      <c r="C2053" s="33" t="inlineStr">
        <is>
          <t>Luka Mijatovic</t>
        </is>
      </c>
      <c r="D2053" s="33" t="inlineStr">
        <is>
          <t>SwimCloud</t>
        </is>
      </c>
      <c r="E2053" s="33" t="inlineStr">
        <is>
          <t>2415996</t>
        </is>
      </c>
      <c r="F2053" s="33" t="inlineStr">
        <is>
          <t>20139619</t>
        </is>
      </c>
      <c r="G2053" s="51" t="n">
        <v>43287</v>
      </c>
      <c r="H2053" s="33" t="inlineStr">
        <is>
          <t>PC OAPB Adam Szmidt Memorial 14&amp;U</t>
        </is>
      </c>
      <c r="I2053" s="33" t="inlineStr">
        <is>
          <t>119107</t>
        </is>
      </c>
      <c r="J2053" s="33" t="inlineStr"/>
      <c r="K2053" s="33" t="inlineStr">
        <is>
          <t>FIN</t>
        </is>
      </c>
      <c r="L2053" s="35">
        <f>IF(K2053="FIN",3,IF(OR(K2053="SEM",K2053="SEMI"),2,IF(OR(K2053="PRE",K2053="HEAT"),1,IF(V2053="YES",4,2))))</f>
        <v/>
      </c>
      <c r="M2053" s="33" t="inlineStr">
        <is>
          <t>LCM</t>
        </is>
      </c>
      <c r="N2053" s="33" t="n">
        <v>200</v>
      </c>
      <c r="O2053" s="33" t="inlineStr">
        <is>
          <t>Free</t>
        </is>
      </c>
      <c r="P2053" s="33" t="inlineStr">
        <is>
          <t>200 Free</t>
        </is>
      </c>
      <c r="Q2053" s="33" t="inlineStr">
        <is>
          <t>LCM_200_FREE</t>
        </is>
      </c>
      <c r="R2053" s="36" t="n">
        <v>140.47</v>
      </c>
      <c r="S2053" s="35">
        <f>IF(R2053="","",IF(R2053&gt;=60,INT(R2053/60)&amp;":"&amp;TEXT(MOD(R2053,60),"00.00"),TEXT(R2053,"0.00")))</f>
        <v/>
      </c>
      <c r="T2053" s="52">
        <f>IFERROR((G2053-INDEX('01_Swimmers'!$E$5:$E$22,MATCH(B2053,'01_Swimmers'!$A$5:$A$22,0)))/'00_Control'!$B$10,"")</f>
        <v/>
      </c>
      <c r="U2053" s="35">
        <f>IF(T2053="","",INT(T2053))</f>
        <v/>
      </c>
      <c r="V2053" s="33" t="inlineStr">
        <is>
          <t>NO</t>
        </is>
      </c>
      <c r="W2053" s="33" t="inlineStr">
        <is>
          <t>YES</t>
        </is>
      </c>
      <c r="X2053" s="33" t="inlineStr">
        <is>
          <t>NO</t>
        </is>
      </c>
      <c r="Y2053" s="33" t="n">
        <v>1</v>
      </c>
      <c r="Z2053" s="33" t="n">
        <v>5</v>
      </c>
      <c r="AA2053" s="33" t="inlineStr">
        <is>
          <t>1</t>
        </is>
      </c>
      <c r="AB2053" s="33" t="inlineStr">
        <is>
          <t>https://www.swimcloud.com/results/119107/event/4/?id=20139619#time20139619</t>
        </is>
      </c>
      <c r="AC2053" s="33" t="inlineStr">
        <is>
          <t>SwimCloud API v6 2026-10-08</t>
        </is>
      </c>
      <c r="AD2053" s="33" t="inlineStr">
        <is>
          <t>Luka Mijatovic|2018-07-06|LCM|200|Free|140.47|PC OAPB Adam Szmidt Memorial 14&amp;U|FIN|False</t>
        </is>
      </c>
      <c r="AE2053" s="53">
        <f>G2053+L2053/1000+ROW()/1000000000</f>
        <v/>
      </c>
      <c r="AF2053" s="35">
        <f>IF(C2053&lt;&gt;"Grayson Coulter","",COUNTIFS($C$5:$C$2991,"Grayson Coulter",$Q$5:$Q$2991,Q2053,$AE$5:$AE$2991,"&lt;="&amp;AE2053,$R$5:$R$2991,"&lt;"&amp;R2053))</f>
        <v/>
      </c>
      <c r="AG2053" s="35">
        <f>IF(OR(C2053&lt;&gt;"Grayson Coulter",G2053&lt;'00_Control'!$B$7),"",--(AF2053&lt;5))</f>
        <v/>
      </c>
      <c r="AH2053" s="35">
        <f>IF(OR(C2053&lt;&gt;"Grayson Coulter",G2053&lt;'00_Control'!$B$7),"",--(AF2053&lt;10))</f>
        <v/>
      </c>
      <c r="AI2053" s="35">
        <f>IF(AND(C2053="Grayson Coulter",G2053&gt;='00_Control'!$B$7),"YES","NO")</f>
        <v/>
      </c>
      <c r="AJ2053" s="33" t="inlineStr">
        <is>
          <t>OK</t>
        </is>
      </c>
    </row>
    <row r="2054">
      <c r="A2054" s="33" t="inlineStr">
        <is>
          <t>SM002050</t>
        </is>
      </c>
      <c r="B2054" s="33" t="inlineStr">
        <is>
          <t>SW003</t>
        </is>
      </c>
      <c r="C2054" s="33" t="inlineStr">
        <is>
          <t>Luka Mijatovic</t>
        </is>
      </c>
      <c r="D2054" s="33" t="inlineStr">
        <is>
          <t>SwimCloud</t>
        </is>
      </c>
      <c r="E2054" s="33" t="inlineStr">
        <is>
          <t>2415996</t>
        </is>
      </c>
      <c r="F2054" s="33" t="inlineStr">
        <is>
          <t>20138752</t>
        </is>
      </c>
      <c r="G2054" s="51" t="n">
        <v>43288</v>
      </c>
      <c r="H2054" s="33" t="inlineStr">
        <is>
          <t>PC OAPB Adam Szmidt Memorial 14&amp;U</t>
        </is>
      </c>
      <c r="I2054" s="33" t="inlineStr">
        <is>
          <t>119107</t>
        </is>
      </c>
      <c r="J2054" s="33" t="inlineStr"/>
      <c r="K2054" s="33" t="inlineStr">
        <is>
          <t>PRE</t>
        </is>
      </c>
      <c r="L2054" s="35">
        <f>IF(K2054="FIN",3,IF(OR(K2054="SEM",K2054="SEMI"),2,IF(OR(K2054="PRE",K2054="HEAT"),1,IF(V2054="YES",4,2))))</f>
        <v/>
      </c>
      <c r="M2054" s="33" t="inlineStr">
        <is>
          <t>LCM</t>
        </is>
      </c>
      <c r="N2054" s="33" t="n">
        <v>100</v>
      </c>
      <c r="O2054" s="33" t="inlineStr">
        <is>
          <t>Free</t>
        </is>
      </c>
      <c r="P2054" s="33" t="inlineStr">
        <is>
          <t>100 Free</t>
        </is>
      </c>
      <c r="Q2054" s="33" t="inlineStr">
        <is>
          <t>LCM_100_FREE</t>
        </is>
      </c>
      <c r="R2054" s="36" t="n">
        <v>67.05</v>
      </c>
      <c r="S2054" s="35">
        <f>IF(R2054="","",IF(R2054&gt;=60,INT(R2054/60)&amp;":"&amp;TEXT(MOD(R2054,60),"00.00"),TEXT(R2054,"0.00")))</f>
        <v/>
      </c>
      <c r="T2054" s="52">
        <f>IFERROR((G2054-INDEX('01_Swimmers'!$E$5:$E$22,MATCH(B2054,'01_Swimmers'!$A$5:$A$22,0)))/'00_Control'!$B$10,"")</f>
        <v/>
      </c>
      <c r="U2054" s="35">
        <f>IF(T2054="","",INT(T2054))</f>
        <v/>
      </c>
      <c r="V2054" s="33" t="inlineStr">
        <is>
          <t>NO</t>
        </is>
      </c>
      <c r="W2054" s="33" t="inlineStr">
        <is>
          <t>YES</t>
        </is>
      </c>
      <c r="X2054" s="33" t="inlineStr">
        <is>
          <t>NO</t>
        </is>
      </c>
      <c r="Y2054" s="33" t="n">
        <v>2</v>
      </c>
      <c r="Z2054" s="33" t="n">
        <v>4</v>
      </c>
      <c r="AA2054" s="33" t="inlineStr">
        <is>
          <t>2</t>
        </is>
      </c>
      <c r="AB2054" s="33" t="inlineStr">
        <is>
          <t>https://www.swimcloud.com/results/119107/event/38/?id=20138752#time20138752</t>
        </is>
      </c>
      <c r="AC2054" s="33" t="inlineStr">
        <is>
          <t>SwimCloud API v6 2026-10-08</t>
        </is>
      </c>
      <c r="AD2054" s="33" t="inlineStr">
        <is>
          <t>Luka Mijatovic|2018-07-07|LCM|100|Free|67.05|PC OAPB Adam Szmidt Memorial 14&amp;U|PRE|False</t>
        </is>
      </c>
      <c r="AE2054" s="53">
        <f>G2054+L2054/1000+ROW()/1000000000</f>
        <v/>
      </c>
      <c r="AF2054" s="35">
        <f>IF(C2054&lt;&gt;"Grayson Coulter","",COUNTIFS($C$5:$C$2991,"Grayson Coulter",$Q$5:$Q$2991,Q2054,$AE$5:$AE$2991,"&lt;="&amp;AE2054,$R$5:$R$2991,"&lt;"&amp;R2054))</f>
        <v/>
      </c>
      <c r="AG2054" s="35">
        <f>IF(OR(C2054&lt;&gt;"Grayson Coulter",G2054&lt;'00_Control'!$B$7),"",--(AF2054&lt;5))</f>
        <v/>
      </c>
      <c r="AH2054" s="35">
        <f>IF(OR(C2054&lt;&gt;"Grayson Coulter",G2054&lt;'00_Control'!$B$7),"",--(AF2054&lt;10))</f>
        <v/>
      </c>
      <c r="AI2054" s="35">
        <f>IF(AND(C2054="Grayson Coulter",G2054&gt;='00_Control'!$B$7),"YES","NO")</f>
        <v/>
      </c>
      <c r="AJ2054" s="33" t="inlineStr">
        <is>
          <t>OK</t>
        </is>
      </c>
    </row>
    <row r="2055">
      <c r="A2055" s="33" t="inlineStr">
        <is>
          <t>SM002051</t>
        </is>
      </c>
      <c r="B2055" s="33" t="inlineStr">
        <is>
          <t>SW003</t>
        </is>
      </c>
      <c r="C2055" s="33" t="inlineStr">
        <is>
          <t>Luka Mijatovic</t>
        </is>
      </c>
      <c r="D2055" s="33" t="inlineStr">
        <is>
          <t>SwimCloud</t>
        </is>
      </c>
      <c r="E2055" s="33" t="inlineStr">
        <is>
          <t>2415996</t>
        </is>
      </c>
      <c r="F2055" s="33" t="inlineStr">
        <is>
          <t>20138753</t>
        </is>
      </c>
      <c r="G2055" s="51" t="n">
        <v>43288</v>
      </c>
      <c r="H2055" s="33" t="inlineStr">
        <is>
          <t>PC OAPB Adam Szmidt Memorial 14&amp;U</t>
        </is>
      </c>
      <c r="I2055" s="33" t="inlineStr">
        <is>
          <t>119107</t>
        </is>
      </c>
      <c r="J2055" s="33" t="inlineStr"/>
      <c r="K2055" s="33" t="inlineStr">
        <is>
          <t>FIN</t>
        </is>
      </c>
      <c r="L2055" s="35">
        <f>IF(K2055="FIN",3,IF(OR(K2055="SEM",K2055="SEMI"),2,IF(OR(K2055="PRE",K2055="HEAT"),1,IF(V2055="YES",4,2))))</f>
        <v/>
      </c>
      <c r="M2055" s="33" t="inlineStr">
        <is>
          <t>LCM</t>
        </is>
      </c>
      <c r="N2055" s="33" t="n">
        <v>100</v>
      </c>
      <c r="O2055" s="33" t="inlineStr">
        <is>
          <t>Free</t>
        </is>
      </c>
      <c r="P2055" s="33" t="inlineStr">
        <is>
          <t>100 Free</t>
        </is>
      </c>
      <c r="Q2055" s="33" t="inlineStr">
        <is>
          <t>LCM_100_FREE</t>
        </is>
      </c>
      <c r="R2055" s="36" t="n">
        <v>66.5</v>
      </c>
      <c r="S2055" s="35">
        <f>IF(R2055="","",IF(R2055&gt;=60,INT(R2055/60)&amp;":"&amp;TEXT(MOD(R2055,60),"00.00"),TEXT(R2055,"0.00")))</f>
        <v/>
      </c>
      <c r="T2055" s="52">
        <f>IFERROR((G2055-INDEX('01_Swimmers'!$E$5:$E$22,MATCH(B2055,'01_Swimmers'!$A$5:$A$22,0)))/'00_Control'!$B$10,"")</f>
        <v/>
      </c>
      <c r="U2055" s="35">
        <f>IF(T2055="","",INT(T2055))</f>
        <v/>
      </c>
      <c r="V2055" s="33" t="inlineStr">
        <is>
          <t>NO</t>
        </is>
      </c>
      <c r="W2055" s="33" t="inlineStr">
        <is>
          <t>YES</t>
        </is>
      </c>
      <c r="X2055" s="33" t="inlineStr">
        <is>
          <t>NO</t>
        </is>
      </c>
      <c r="Y2055" s="33" t="n">
        <v>1</v>
      </c>
      <c r="Z2055" s="33" t="n">
        <v>5</v>
      </c>
      <c r="AA2055" s="33" t="inlineStr">
        <is>
          <t>2</t>
        </is>
      </c>
      <c r="AB2055" s="33" t="inlineStr">
        <is>
          <t>https://www.swimcloud.com/results/119107/event/38/?id=20138753#time20138753</t>
        </is>
      </c>
      <c r="AC2055" s="33" t="inlineStr">
        <is>
          <t>SwimCloud API v6 2026-10-08</t>
        </is>
      </c>
      <c r="AD2055" s="33" t="inlineStr">
        <is>
          <t>Luka Mijatovic|2018-07-07|LCM|100|Free|66.5|PC OAPB Adam Szmidt Memorial 14&amp;U|FIN|False</t>
        </is>
      </c>
      <c r="AE2055" s="53">
        <f>G2055+L2055/1000+ROW()/1000000000</f>
        <v/>
      </c>
      <c r="AF2055" s="35">
        <f>IF(C2055&lt;&gt;"Grayson Coulter","",COUNTIFS($C$5:$C$2991,"Grayson Coulter",$Q$5:$Q$2991,Q2055,$AE$5:$AE$2991,"&lt;="&amp;AE2055,$R$5:$R$2991,"&lt;"&amp;R2055))</f>
        <v/>
      </c>
      <c r="AG2055" s="35">
        <f>IF(OR(C2055&lt;&gt;"Grayson Coulter",G2055&lt;'00_Control'!$B$7),"",--(AF2055&lt;5))</f>
        <v/>
      </c>
      <c r="AH2055" s="35">
        <f>IF(OR(C2055&lt;&gt;"Grayson Coulter",G2055&lt;'00_Control'!$B$7),"",--(AF2055&lt;10))</f>
        <v/>
      </c>
      <c r="AI2055" s="35">
        <f>IF(AND(C2055="Grayson Coulter",G2055&gt;='00_Control'!$B$7),"YES","NO")</f>
        <v/>
      </c>
      <c r="AJ2055" s="33" t="inlineStr">
        <is>
          <t>OK</t>
        </is>
      </c>
    </row>
    <row r="2056">
      <c r="A2056" s="33" t="inlineStr">
        <is>
          <t>SM002052</t>
        </is>
      </c>
      <c r="B2056" s="33" t="inlineStr">
        <is>
          <t>SW003</t>
        </is>
      </c>
      <c r="C2056" s="33" t="inlineStr">
        <is>
          <t>Luka Mijatovic</t>
        </is>
      </c>
      <c r="D2056" s="33" t="inlineStr">
        <is>
          <t>SwimCloud</t>
        </is>
      </c>
      <c r="E2056" s="33" t="inlineStr">
        <is>
          <t>2415996</t>
        </is>
      </c>
      <c r="F2056" s="33" t="inlineStr">
        <is>
          <t>20139693</t>
        </is>
      </c>
      <c r="G2056" s="51" t="n">
        <v>43288</v>
      </c>
      <c r="H2056" s="33" t="inlineStr">
        <is>
          <t>PC OAPB Adam Szmidt Memorial 14&amp;U</t>
        </is>
      </c>
      <c r="I2056" s="33" t="inlineStr">
        <is>
          <t>119107</t>
        </is>
      </c>
      <c r="J2056" s="33" t="inlineStr"/>
      <c r="K2056" s="33" t="inlineStr">
        <is>
          <t>PRE</t>
        </is>
      </c>
      <c r="L2056" s="35">
        <f>IF(K2056="FIN",3,IF(OR(K2056="SEM",K2056="SEMI"),2,IF(OR(K2056="PRE",K2056="HEAT"),1,IF(V2056="YES",4,2))))</f>
        <v/>
      </c>
      <c r="M2056" s="33" t="inlineStr">
        <is>
          <t>LCM</t>
        </is>
      </c>
      <c r="N2056" s="33" t="n">
        <v>400</v>
      </c>
      <c r="O2056" s="33" t="inlineStr">
        <is>
          <t>Free</t>
        </is>
      </c>
      <c r="P2056" s="33" t="inlineStr">
        <is>
          <t>400 Free</t>
        </is>
      </c>
      <c r="Q2056" s="33" t="inlineStr">
        <is>
          <t>LCM_400_FREE</t>
        </is>
      </c>
      <c r="R2056" s="36" t="n">
        <v>298.91</v>
      </c>
      <c r="S2056" s="35">
        <f>IF(R2056="","",IF(R2056&gt;=60,INT(R2056/60)&amp;":"&amp;TEXT(MOD(R2056,60),"00.00"),TEXT(R2056,"0.00")))</f>
        <v/>
      </c>
      <c r="T2056" s="52">
        <f>IFERROR((G2056-INDEX('01_Swimmers'!$E$5:$E$22,MATCH(B2056,'01_Swimmers'!$A$5:$A$22,0)))/'00_Control'!$B$10,"")</f>
        <v/>
      </c>
      <c r="U2056" s="35">
        <f>IF(T2056="","",INT(T2056))</f>
        <v/>
      </c>
      <c r="V2056" s="33" t="inlineStr">
        <is>
          <t>NO</t>
        </is>
      </c>
      <c r="W2056" s="33" t="inlineStr">
        <is>
          <t>YES</t>
        </is>
      </c>
      <c r="X2056" s="33" t="inlineStr">
        <is>
          <t>NO</t>
        </is>
      </c>
      <c r="Y2056" s="33" t="n">
        <v>1</v>
      </c>
      <c r="Z2056" s="33" t="n">
        <v>4</v>
      </c>
      <c r="AA2056" s="33" t="inlineStr">
        <is>
          <t>1</t>
        </is>
      </c>
      <c r="AB2056" s="33" t="inlineStr">
        <is>
          <t>https://www.swimcloud.com/results/119107/event/58/?id=20139693#time20139693</t>
        </is>
      </c>
      <c r="AC2056" s="33" t="inlineStr">
        <is>
          <t>SwimCloud API v6 2026-10-08</t>
        </is>
      </c>
      <c r="AD2056" s="33" t="inlineStr">
        <is>
          <t>Luka Mijatovic|2018-07-07|LCM|400|Free|298.91|PC OAPB Adam Szmidt Memorial 14&amp;U|PRE|False</t>
        </is>
      </c>
      <c r="AE2056" s="53">
        <f>G2056+L2056/1000+ROW()/1000000000</f>
        <v/>
      </c>
      <c r="AF2056" s="35">
        <f>IF(C2056&lt;&gt;"Grayson Coulter","",COUNTIFS($C$5:$C$2991,"Grayson Coulter",$Q$5:$Q$2991,Q2056,$AE$5:$AE$2991,"&lt;="&amp;AE2056,$R$5:$R$2991,"&lt;"&amp;R2056))</f>
        <v/>
      </c>
      <c r="AG2056" s="35">
        <f>IF(OR(C2056&lt;&gt;"Grayson Coulter",G2056&lt;'00_Control'!$B$7),"",--(AF2056&lt;5))</f>
        <v/>
      </c>
      <c r="AH2056" s="35">
        <f>IF(OR(C2056&lt;&gt;"Grayson Coulter",G2056&lt;'00_Control'!$B$7),"",--(AF2056&lt;10))</f>
        <v/>
      </c>
      <c r="AI2056" s="35">
        <f>IF(AND(C2056="Grayson Coulter",G2056&gt;='00_Control'!$B$7),"YES","NO")</f>
        <v/>
      </c>
      <c r="AJ2056" s="33" t="inlineStr">
        <is>
          <t>OK</t>
        </is>
      </c>
    </row>
    <row r="2057">
      <c r="A2057" s="33" t="inlineStr">
        <is>
          <t>SM002053</t>
        </is>
      </c>
      <c r="B2057" s="33" t="inlineStr">
        <is>
          <t>SW003</t>
        </is>
      </c>
      <c r="C2057" s="33" t="inlineStr">
        <is>
          <t>Luka Mijatovic</t>
        </is>
      </c>
      <c r="D2057" s="33" t="inlineStr">
        <is>
          <t>SwimCloud</t>
        </is>
      </c>
      <c r="E2057" s="33" t="inlineStr">
        <is>
          <t>2415996</t>
        </is>
      </c>
      <c r="F2057" s="33" t="inlineStr">
        <is>
          <t>20139694</t>
        </is>
      </c>
      <c r="G2057" s="51" t="n">
        <v>43288</v>
      </c>
      <c r="H2057" s="33" t="inlineStr">
        <is>
          <t>PC OAPB Adam Szmidt Memorial 14&amp;U</t>
        </is>
      </c>
      <c r="I2057" s="33" t="inlineStr">
        <is>
          <t>119107</t>
        </is>
      </c>
      <c r="J2057" s="33" t="inlineStr"/>
      <c r="K2057" s="33" t="inlineStr">
        <is>
          <t>FIN</t>
        </is>
      </c>
      <c r="L2057" s="35">
        <f>IF(K2057="FIN",3,IF(OR(K2057="SEM",K2057="SEMI"),2,IF(OR(K2057="PRE",K2057="HEAT"),1,IF(V2057="YES",4,2))))</f>
        <v/>
      </c>
      <c r="M2057" s="33" t="inlineStr">
        <is>
          <t>LCM</t>
        </is>
      </c>
      <c r="N2057" s="33" t="n">
        <v>400</v>
      </c>
      <c r="O2057" s="33" t="inlineStr">
        <is>
          <t>Free</t>
        </is>
      </c>
      <c r="P2057" s="33" t="inlineStr">
        <is>
          <t>400 Free</t>
        </is>
      </c>
      <c r="Q2057" s="33" t="inlineStr">
        <is>
          <t>LCM_400_FREE</t>
        </is>
      </c>
      <c r="R2057" s="36" t="n">
        <v>297.61</v>
      </c>
      <c r="S2057" s="35">
        <f>IF(R2057="","",IF(R2057&gt;=60,INT(R2057/60)&amp;":"&amp;TEXT(MOD(R2057,60),"00.00"),TEXT(R2057,"0.00")))</f>
        <v/>
      </c>
      <c r="T2057" s="52">
        <f>IFERROR((G2057-INDEX('01_Swimmers'!$E$5:$E$22,MATCH(B2057,'01_Swimmers'!$A$5:$A$22,0)))/'00_Control'!$B$10,"")</f>
        <v/>
      </c>
      <c r="U2057" s="35">
        <f>IF(T2057="","",INT(T2057))</f>
        <v/>
      </c>
      <c r="V2057" s="33" t="inlineStr">
        <is>
          <t>NO</t>
        </is>
      </c>
      <c r="W2057" s="33" t="inlineStr">
        <is>
          <t>YES</t>
        </is>
      </c>
      <c r="X2057" s="33" t="inlineStr">
        <is>
          <t>NO</t>
        </is>
      </c>
      <c r="Y2057" s="33" t="n">
        <v>1</v>
      </c>
      <c r="Z2057" s="33" t="n">
        <v>4</v>
      </c>
      <c r="AA2057" s="33" t="inlineStr">
        <is>
          <t>1</t>
        </is>
      </c>
      <c r="AB2057" s="33" t="inlineStr">
        <is>
          <t>https://www.swimcloud.com/results/119107/event/58/?id=20139694#time20139694</t>
        </is>
      </c>
      <c r="AC2057" s="33" t="inlineStr">
        <is>
          <t>SwimCloud API v6 2026-10-08</t>
        </is>
      </c>
      <c r="AD2057" s="33" t="inlineStr">
        <is>
          <t>Luka Mijatovic|2018-07-07|LCM|400|Free|297.61|PC OAPB Adam Szmidt Memorial 14&amp;U|FIN|False</t>
        </is>
      </c>
      <c r="AE2057" s="53">
        <f>G2057+L2057/1000+ROW()/1000000000</f>
        <v/>
      </c>
      <c r="AF2057" s="35">
        <f>IF(C2057&lt;&gt;"Grayson Coulter","",COUNTIFS($C$5:$C$2991,"Grayson Coulter",$Q$5:$Q$2991,Q2057,$AE$5:$AE$2991,"&lt;="&amp;AE2057,$R$5:$R$2991,"&lt;"&amp;R2057))</f>
        <v/>
      </c>
      <c r="AG2057" s="35">
        <f>IF(OR(C2057&lt;&gt;"Grayson Coulter",G2057&lt;'00_Control'!$B$7),"",--(AF2057&lt;5))</f>
        <v/>
      </c>
      <c r="AH2057" s="35">
        <f>IF(OR(C2057&lt;&gt;"Grayson Coulter",G2057&lt;'00_Control'!$B$7),"",--(AF2057&lt;10))</f>
        <v/>
      </c>
      <c r="AI2057" s="35">
        <f>IF(AND(C2057="Grayson Coulter",G2057&gt;='00_Control'!$B$7),"YES","NO")</f>
        <v/>
      </c>
      <c r="AJ2057" s="33" t="inlineStr">
        <is>
          <t>OK</t>
        </is>
      </c>
    </row>
    <row r="2058">
      <c r="A2058" s="33" t="inlineStr">
        <is>
          <t>SM002054</t>
        </is>
      </c>
      <c r="B2058" s="33" t="inlineStr">
        <is>
          <t>SW003</t>
        </is>
      </c>
      <c r="C2058" s="33" t="inlineStr">
        <is>
          <t>Luka Mijatovic</t>
        </is>
      </c>
      <c r="D2058" s="33" t="inlineStr">
        <is>
          <t>SwimCloud</t>
        </is>
      </c>
      <c r="E2058" s="33" t="inlineStr">
        <is>
          <t>2415996</t>
        </is>
      </c>
      <c r="F2058" s="33" t="inlineStr">
        <is>
          <t>19825663</t>
        </is>
      </c>
      <c r="G2058" s="51" t="n">
        <v>43307</v>
      </c>
      <c r="H2058" s="33" t="inlineStr">
        <is>
          <t>PC OAPB Far Western LCM Championships</t>
        </is>
      </c>
      <c r="I2058" s="33" t="inlineStr">
        <is>
          <t>121053</t>
        </is>
      </c>
      <c r="J2058" s="33" t="inlineStr"/>
      <c r="K2058" s="33" t="inlineStr">
        <is>
          <t>PRE</t>
        </is>
      </c>
      <c r="L2058" s="35">
        <f>IF(K2058="FIN",3,IF(OR(K2058="SEM",K2058="SEMI"),2,IF(OR(K2058="PRE",K2058="HEAT"),1,IF(V2058="YES",4,2))))</f>
        <v/>
      </c>
      <c r="M2058" s="33" t="inlineStr">
        <is>
          <t>LCM</t>
        </is>
      </c>
      <c r="N2058" s="33" t="n">
        <v>400</v>
      </c>
      <c r="O2058" s="33" t="inlineStr">
        <is>
          <t>Free</t>
        </is>
      </c>
      <c r="P2058" s="33" t="inlineStr">
        <is>
          <t>400 Free</t>
        </is>
      </c>
      <c r="Q2058" s="33" t="inlineStr">
        <is>
          <t>LCM_400_FREE</t>
        </is>
      </c>
      <c r="R2058" s="36" t="n">
        <v>296.04</v>
      </c>
      <c r="S2058" s="35">
        <f>IF(R2058="","",IF(R2058&gt;=60,INT(R2058/60)&amp;":"&amp;TEXT(MOD(R2058,60),"00.00"),TEXT(R2058,"0.00")))</f>
        <v/>
      </c>
      <c r="T2058" s="52">
        <f>IFERROR((G2058-INDEX('01_Swimmers'!$E$5:$E$22,MATCH(B2058,'01_Swimmers'!$A$5:$A$22,0)))/'00_Control'!$B$10,"")</f>
        <v/>
      </c>
      <c r="U2058" s="35">
        <f>IF(T2058="","",INT(T2058))</f>
        <v/>
      </c>
      <c r="V2058" s="33" t="inlineStr">
        <is>
          <t>NO</t>
        </is>
      </c>
      <c r="W2058" s="33" t="inlineStr">
        <is>
          <t>YES</t>
        </is>
      </c>
      <c r="X2058" s="33" t="inlineStr">
        <is>
          <t>NO</t>
        </is>
      </c>
      <c r="Y2058" s="33" t="n">
        <v>1</v>
      </c>
      <c r="Z2058" s="33" t="n">
        <v>4</v>
      </c>
      <c r="AA2058" s="33" t="inlineStr">
        <is>
          <t>1</t>
        </is>
      </c>
      <c r="AB2058" s="33" t="inlineStr">
        <is>
          <t>https://www.swimcloud.com/results/121053/event/32/?id=19825663#time19825663</t>
        </is>
      </c>
      <c r="AC2058" s="33" t="inlineStr">
        <is>
          <t>SwimCloud API v6 2026-10-08</t>
        </is>
      </c>
      <c r="AD2058" s="33" t="inlineStr">
        <is>
          <t>Luka Mijatovic|2018-07-26|LCM|400|Free|296.04|PC OAPB Far Western LCM Championships|PRE|False</t>
        </is>
      </c>
      <c r="AE2058" s="53">
        <f>G2058+L2058/1000+ROW()/1000000000</f>
        <v/>
      </c>
      <c r="AF2058" s="35">
        <f>IF(C2058&lt;&gt;"Grayson Coulter","",COUNTIFS($C$5:$C$2991,"Grayson Coulter",$Q$5:$Q$2991,Q2058,$AE$5:$AE$2991,"&lt;="&amp;AE2058,$R$5:$R$2991,"&lt;"&amp;R2058))</f>
        <v/>
      </c>
      <c r="AG2058" s="35">
        <f>IF(OR(C2058&lt;&gt;"Grayson Coulter",G2058&lt;'00_Control'!$B$7),"",--(AF2058&lt;5))</f>
        <v/>
      </c>
      <c r="AH2058" s="35">
        <f>IF(OR(C2058&lt;&gt;"Grayson Coulter",G2058&lt;'00_Control'!$B$7),"",--(AF2058&lt;10))</f>
        <v/>
      </c>
      <c r="AI2058" s="35">
        <f>IF(AND(C2058="Grayson Coulter",G2058&gt;='00_Control'!$B$7),"YES","NO")</f>
        <v/>
      </c>
      <c r="AJ2058" s="33" t="inlineStr">
        <is>
          <t>OK</t>
        </is>
      </c>
    </row>
    <row r="2059">
      <c r="A2059" s="33" t="inlineStr">
        <is>
          <t>SM002055</t>
        </is>
      </c>
      <c r="B2059" s="33" t="inlineStr">
        <is>
          <t>SW003</t>
        </is>
      </c>
      <c r="C2059" s="33" t="inlineStr">
        <is>
          <t>Luka Mijatovic</t>
        </is>
      </c>
      <c r="D2059" s="33" t="inlineStr">
        <is>
          <t>SwimCloud</t>
        </is>
      </c>
      <c r="E2059" s="33" t="inlineStr">
        <is>
          <t>2415996</t>
        </is>
      </c>
      <c r="F2059" s="33" t="inlineStr">
        <is>
          <t>19825664</t>
        </is>
      </c>
      <c r="G2059" s="51" t="n">
        <v>43307</v>
      </c>
      <c r="H2059" s="33" t="inlineStr">
        <is>
          <t>PC OAPB Far Western LCM Championships</t>
        </is>
      </c>
      <c r="I2059" s="33" t="inlineStr">
        <is>
          <t>121053</t>
        </is>
      </c>
      <c r="J2059" s="33" t="inlineStr"/>
      <c r="K2059" s="33" t="inlineStr">
        <is>
          <t>FIN</t>
        </is>
      </c>
      <c r="L2059" s="35">
        <f>IF(K2059="FIN",3,IF(OR(K2059="SEM",K2059="SEMI"),2,IF(OR(K2059="PRE",K2059="HEAT"),1,IF(V2059="YES",4,2))))</f>
        <v/>
      </c>
      <c r="M2059" s="33" t="inlineStr">
        <is>
          <t>LCM</t>
        </is>
      </c>
      <c r="N2059" s="33" t="n">
        <v>400</v>
      </c>
      <c r="O2059" s="33" t="inlineStr">
        <is>
          <t>Free</t>
        </is>
      </c>
      <c r="P2059" s="33" t="inlineStr">
        <is>
          <t>400 Free</t>
        </is>
      </c>
      <c r="Q2059" s="33" t="inlineStr">
        <is>
          <t>LCM_400_FREE</t>
        </is>
      </c>
      <c r="R2059" s="36" t="n">
        <v>294.21</v>
      </c>
      <c r="S2059" s="35">
        <f>IF(R2059="","",IF(R2059&gt;=60,INT(R2059/60)&amp;":"&amp;TEXT(MOD(R2059,60),"00.00"),TEXT(R2059,"0.00")))</f>
        <v/>
      </c>
      <c r="T2059" s="52">
        <f>IFERROR((G2059-INDEX('01_Swimmers'!$E$5:$E$22,MATCH(B2059,'01_Swimmers'!$A$5:$A$22,0)))/'00_Control'!$B$10,"")</f>
        <v/>
      </c>
      <c r="U2059" s="35">
        <f>IF(T2059="","",INT(T2059))</f>
        <v/>
      </c>
      <c r="V2059" s="33" t="inlineStr">
        <is>
          <t>NO</t>
        </is>
      </c>
      <c r="W2059" s="33" t="inlineStr">
        <is>
          <t>YES</t>
        </is>
      </c>
      <c r="X2059" s="33" t="inlineStr">
        <is>
          <t>NO</t>
        </is>
      </c>
      <c r="Y2059" s="33" t="n">
        <v>1</v>
      </c>
      <c r="Z2059" s="33" t="n">
        <v>4</v>
      </c>
      <c r="AA2059" s="33" t="inlineStr">
        <is>
          <t>1</t>
        </is>
      </c>
      <c r="AB2059" s="33" t="inlineStr">
        <is>
          <t>https://www.swimcloud.com/results/121053/event/32/?id=19825664#time19825664</t>
        </is>
      </c>
      <c r="AC2059" s="33" t="inlineStr">
        <is>
          <t>SwimCloud API v6 2026-10-08</t>
        </is>
      </c>
      <c r="AD2059" s="33" t="inlineStr">
        <is>
          <t>Luka Mijatovic|2018-07-26|LCM|400|Free|294.21|PC OAPB Far Western LCM Championships|FIN|False</t>
        </is>
      </c>
      <c r="AE2059" s="53">
        <f>G2059+L2059/1000+ROW()/1000000000</f>
        <v/>
      </c>
      <c r="AF2059" s="35">
        <f>IF(C2059&lt;&gt;"Grayson Coulter","",COUNTIFS($C$5:$C$2991,"Grayson Coulter",$Q$5:$Q$2991,Q2059,$AE$5:$AE$2991,"&lt;="&amp;AE2059,$R$5:$R$2991,"&lt;"&amp;R2059))</f>
        <v/>
      </c>
      <c r="AG2059" s="35">
        <f>IF(OR(C2059&lt;&gt;"Grayson Coulter",G2059&lt;'00_Control'!$B$7),"",--(AF2059&lt;5))</f>
        <v/>
      </c>
      <c r="AH2059" s="35">
        <f>IF(OR(C2059&lt;&gt;"Grayson Coulter",G2059&lt;'00_Control'!$B$7),"",--(AF2059&lt;10))</f>
        <v/>
      </c>
      <c r="AI2059" s="35">
        <f>IF(AND(C2059="Grayson Coulter",G2059&gt;='00_Control'!$B$7),"YES","NO")</f>
        <v/>
      </c>
      <c r="AJ2059" s="33" t="inlineStr">
        <is>
          <t>OK</t>
        </is>
      </c>
    </row>
    <row r="2060">
      <c r="A2060" s="33" t="inlineStr">
        <is>
          <t>SM002056</t>
        </is>
      </c>
      <c r="B2060" s="33" t="inlineStr">
        <is>
          <t>SW003</t>
        </is>
      </c>
      <c r="C2060" s="33" t="inlineStr">
        <is>
          <t>Luka Mijatovic</t>
        </is>
      </c>
      <c r="D2060" s="33" t="inlineStr">
        <is>
          <t>SwimCloud</t>
        </is>
      </c>
      <c r="E2060" s="33" t="inlineStr">
        <is>
          <t>2415996</t>
        </is>
      </c>
      <c r="F2060" s="33" t="inlineStr">
        <is>
          <t>19825053</t>
        </is>
      </c>
      <c r="G2060" s="51" t="n">
        <v>43308</v>
      </c>
      <c r="H2060" s="33" t="inlineStr">
        <is>
          <t>PC OAPB Far Western LCM Championships</t>
        </is>
      </c>
      <c r="I2060" s="33" t="inlineStr">
        <is>
          <t>121053</t>
        </is>
      </c>
      <c r="J2060" s="33" t="inlineStr"/>
      <c r="K2060" s="33" t="inlineStr">
        <is>
          <t>PRE</t>
        </is>
      </c>
      <c r="L2060" s="35">
        <f>IF(K2060="FIN",3,IF(OR(K2060="SEM",K2060="SEMI"),2,IF(OR(K2060="PRE",K2060="HEAT"),1,IF(V2060="YES",4,2))))</f>
        <v/>
      </c>
      <c r="M2060" s="33" t="inlineStr">
        <is>
          <t>LCM</t>
        </is>
      </c>
      <c r="N2060" s="33" t="n">
        <v>100</v>
      </c>
      <c r="O2060" s="33" t="inlineStr">
        <is>
          <t>Free</t>
        </is>
      </c>
      <c r="P2060" s="33" t="inlineStr">
        <is>
          <t>100 Free</t>
        </is>
      </c>
      <c r="Q2060" s="33" t="inlineStr">
        <is>
          <t>LCM_100_FREE</t>
        </is>
      </c>
      <c r="R2060" s="36" t="n">
        <v>66.47</v>
      </c>
      <c r="S2060" s="35">
        <f>IF(R2060="","",IF(R2060&gt;=60,INT(R2060/60)&amp;":"&amp;TEXT(MOD(R2060,60),"00.00"),TEXT(R2060,"0.00")))</f>
        <v/>
      </c>
      <c r="T2060" s="52">
        <f>IFERROR((G2060-INDEX('01_Swimmers'!$E$5:$E$22,MATCH(B2060,'01_Swimmers'!$A$5:$A$22,0)))/'00_Control'!$B$10,"")</f>
        <v/>
      </c>
      <c r="U2060" s="35">
        <f>IF(T2060="","",INT(T2060))</f>
        <v/>
      </c>
      <c r="V2060" s="33" t="inlineStr">
        <is>
          <t>NO</t>
        </is>
      </c>
      <c r="W2060" s="33" t="inlineStr">
        <is>
          <t>YES</t>
        </is>
      </c>
      <c r="X2060" s="33" t="inlineStr">
        <is>
          <t>NO</t>
        </is>
      </c>
      <c r="Y2060" s="33" t="n">
        <v>2</v>
      </c>
      <c r="Z2060" s="33" t="n">
        <v>4</v>
      </c>
      <c r="AA2060" s="33" t="inlineStr">
        <is>
          <t>1</t>
        </is>
      </c>
      <c r="AB2060" s="33" t="inlineStr">
        <is>
          <t>https://www.swimcloud.com/results/121053/event/10/?id=19825053#time19825053</t>
        </is>
      </c>
      <c r="AC2060" s="33" t="inlineStr">
        <is>
          <t>SwimCloud API v6 2026-10-08</t>
        </is>
      </c>
      <c r="AD2060" s="33" t="inlineStr">
        <is>
          <t>Luka Mijatovic|2018-07-27|LCM|100|Free|66.47|PC OAPB Far Western LCM Championships|PRE|False</t>
        </is>
      </c>
      <c r="AE2060" s="53">
        <f>G2060+L2060/1000+ROW()/1000000000</f>
        <v/>
      </c>
      <c r="AF2060" s="35">
        <f>IF(C2060&lt;&gt;"Grayson Coulter","",COUNTIFS($C$5:$C$2991,"Grayson Coulter",$Q$5:$Q$2991,Q2060,$AE$5:$AE$2991,"&lt;="&amp;AE2060,$R$5:$R$2991,"&lt;"&amp;R2060))</f>
        <v/>
      </c>
      <c r="AG2060" s="35">
        <f>IF(OR(C2060&lt;&gt;"Grayson Coulter",G2060&lt;'00_Control'!$B$7),"",--(AF2060&lt;5))</f>
        <v/>
      </c>
      <c r="AH2060" s="35">
        <f>IF(OR(C2060&lt;&gt;"Grayson Coulter",G2060&lt;'00_Control'!$B$7),"",--(AF2060&lt;10))</f>
        <v/>
      </c>
      <c r="AI2060" s="35">
        <f>IF(AND(C2060="Grayson Coulter",G2060&gt;='00_Control'!$B$7),"YES","NO")</f>
        <v/>
      </c>
      <c r="AJ2060" s="33" t="inlineStr">
        <is>
          <t>OK</t>
        </is>
      </c>
    </row>
    <row r="2061">
      <c r="A2061" s="33" t="inlineStr">
        <is>
          <t>SM002057</t>
        </is>
      </c>
      <c r="B2061" s="33" t="inlineStr">
        <is>
          <t>SW003</t>
        </is>
      </c>
      <c r="C2061" s="33" t="inlineStr">
        <is>
          <t>Luka Mijatovic</t>
        </is>
      </c>
      <c r="D2061" s="33" t="inlineStr">
        <is>
          <t>SwimCloud</t>
        </is>
      </c>
      <c r="E2061" s="33" t="inlineStr">
        <is>
          <t>2415996</t>
        </is>
      </c>
      <c r="F2061" s="33" t="inlineStr">
        <is>
          <t>19825054</t>
        </is>
      </c>
      <c r="G2061" s="51" t="n">
        <v>43308</v>
      </c>
      <c r="H2061" s="33" t="inlineStr">
        <is>
          <t>PC OAPB Far Western LCM Championships</t>
        </is>
      </c>
      <c r="I2061" s="33" t="inlineStr">
        <is>
          <t>121053</t>
        </is>
      </c>
      <c r="J2061" s="33" t="inlineStr"/>
      <c r="K2061" s="33" t="inlineStr">
        <is>
          <t>FIN</t>
        </is>
      </c>
      <c r="L2061" s="35">
        <f>IF(K2061="FIN",3,IF(OR(K2061="SEM",K2061="SEMI"),2,IF(OR(K2061="PRE",K2061="HEAT"),1,IF(V2061="YES",4,2))))</f>
        <v/>
      </c>
      <c r="M2061" s="33" t="inlineStr">
        <is>
          <t>LCM</t>
        </is>
      </c>
      <c r="N2061" s="33" t="n">
        <v>100</v>
      </c>
      <c r="O2061" s="33" t="inlineStr">
        <is>
          <t>Free</t>
        </is>
      </c>
      <c r="P2061" s="33" t="inlineStr">
        <is>
          <t>100 Free</t>
        </is>
      </c>
      <c r="Q2061" s="33" t="inlineStr">
        <is>
          <t>LCM_100_FREE</t>
        </is>
      </c>
      <c r="R2061" s="36" t="n">
        <v>66.06999999999999</v>
      </c>
      <c r="S2061" s="35">
        <f>IF(R2061="","",IF(R2061&gt;=60,INT(R2061/60)&amp;":"&amp;TEXT(MOD(R2061,60),"00.00"),TEXT(R2061,"0.00")))</f>
        <v/>
      </c>
      <c r="T2061" s="52">
        <f>IFERROR((G2061-INDEX('01_Swimmers'!$E$5:$E$22,MATCH(B2061,'01_Swimmers'!$A$5:$A$22,0)))/'00_Control'!$B$10,"")</f>
        <v/>
      </c>
      <c r="U2061" s="35">
        <f>IF(T2061="","",INT(T2061))</f>
        <v/>
      </c>
      <c r="V2061" s="33" t="inlineStr">
        <is>
          <t>NO</t>
        </is>
      </c>
      <c r="W2061" s="33" t="inlineStr">
        <is>
          <t>YES</t>
        </is>
      </c>
      <c r="X2061" s="33" t="inlineStr">
        <is>
          <t>NO</t>
        </is>
      </c>
      <c r="Y2061" s="33" t="n">
        <v>1</v>
      </c>
      <c r="Z2061" s="33" t="n">
        <v>4</v>
      </c>
      <c r="AA2061" s="33" t="inlineStr">
        <is>
          <t>2</t>
        </is>
      </c>
      <c r="AB2061" s="33" t="inlineStr">
        <is>
          <t>https://www.swimcloud.com/results/121053/event/10/?id=19825054#time19825054</t>
        </is>
      </c>
      <c r="AC2061" s="33" t="inlineStr">
        <is>
          <t>SwimCloud API v6 2026-10-08</t>
        </is>
      </c>
      <c r="AD2061" s="33" t="inlineStr">
        <is>
          <t>Luka Mijatovic|2018-07-27|LCM|100|Free|66.07|PC OAPB Far Western LCM Championships|FIN|False</t>
        </is>
      </c>
      <c r="AE2061" s="53">
        <f>G2061+L2061/1000+ROW()/1000000000</f>
        <v/>
      </c>
      <c r="AF2061" s="35">
        <f>IF(C2061&lt;&gt;"Grayson Coulter","",COUNTIFS($C$5:$C$2991,"Grayson Coulter",$Q$5:$Q$2991,Q2061,$AE$5:$AE$2991,"&lt;="&amp;AE2061,$R$5:$R$2991,"&lt;"&amp;R2061))</f>
        <v/>
      </c>
      <c r="AG2061" s="35">
        <f>IF(OR(C2061&lt;&gt;"Grayson Coulter",G2061&lt;'00_Control'!$B$7),"",--(AF2061&lt;5))</f>
        <v/>
      </c>
      <c r="AH2061" s="35">
        <f>IF(OR(C2061&lt;&gt;"Grayson Coulter",G2061&lt;'00_Control'!$B$7),"",--(AF2061&lt;10))</f>
        <v/>
      </c>
      <c r="AI2061" s="35">
        <f>IF(AND(C2061="Grayson Coulter",G2061&gt;='00_Control'!$B$7),"YES","NO")</f>
        <v/>
      </c>
      <c r="AJ2061" s="33" t="inlineStr">
        <is>
          <t>OK</t>
        </is>
      </c>
    </row>
    <row r="2062">
      <c r="A2062" s="33" t="inlineStr">
        <is>
          <t>SM002058</t>
        </is>
      </c>
      <c r="B2062" s="33" t="inlineStr">
        <is>
          <t>SW003</t>
        </is>
      </c>
      <c r="C2062" s="33" t="inlineStr">
        <is>
          <t>Luka Mijatovic</t>
        </is>
      </c>
      <c r="D2062" s="33" t="inlineStr">
        <is>
          <t>SwimCloud</t>
        </is>
      </c>
      <c r="E2062" s="33" t="inlineStr">
        <is>
          <t>2415996</t>
        </is>
      </c>
      <c r="F2062" s="33" t="inlineStr">
        <is>
          <t>19825511</t>
        </is>
      </c>
      <c r="G2062" s="51" t="n">
        <v>43309</v>
      </c>
      <c r="H2062" s="33" t="inlineStr">
        <is>
          <t>PC OAPB Far Western LCM Championships</t>
        </is>
      </c>
      <c r="I2062" s="33" t="inlineStr">
        <is>
          <t>121053</t>
        </is>
      </c>
      <c r="J2062" s="33" t="inlineStr"/>
      <c r="K2062" s="33" t="inlineStr">
        <is>
          <t>PRE</t>
        </is>
      </c>
      <c r="L2062" s="35">
        <f>IF(K2062="FIN",3,IF(OR(K2062="SEM",K2062="SEMI"),2,IF(OR(K2062="PRE",K2062="HEAT"),1,IF(V2062="YES",4,2))))</f>
        <v/>
      </c>
      <c r="M2062" s="33" t="inlineStr">
        <is>
          <t>LCM</t>
        </is>
      </c>
      <c r="N2062" s="33" t="n">
        <v>200</v>
      </c>
      <c r="O2062" s="33" t="inlineStr">
        <is>
          <t>Free</t>
        </is>
      </c>
      <c r="P2062" s="33" t="inlineStr">
        <is>
          <t>200 Free</t>
        </is>
      </c>
      <c r="Q2062" s="33" t="inlineStr">
        <is>
          <t>LCM_200_FREE</t>
        </is>
      </c>
      <c r="R2062" s="36" t="n">
        <v>144.56</v>
      </c>
      <c r="S2062" s="35">
        <f>IF(R2062="","",IF(R2062&gt;=60,INT(R2062/60)&amp;":"&amp;TEXT(MOD(R2062,60),"00.00"),TEXT(R2062,"0.00")))</f>
        <v/>
      </c>
      <c r="T2062" s="52">
        <f>IFERROR((G2062-INDEX('01_Swimmers'!$E$5:$E$22,MATCH(B2062,'01_Swimmers'!$A$5:$A$22,0)))/'00_Control'!$B$10,"")</f>
        <v/>
      </c>
      <c r="U2062" s="35">
        <f>IF(T2062="","",INT(T2062))</f>
        <v/>
      </c>
      <c r="V2062" s="33" t="inlineStr">
        <is>
          <t>NO</t>
        </is>
      </c>
      <c r="W2062" s="33" t="inlineStr">
        <is>
          <t>YES</t>
        </is>
      </c>
      <c r="X2062" s="33" t="inlineStr">
        <is>
          <t>NO</t>
        </is>
      </c>
      <c r="Y2062" s="33" t="n">
        <v>1</v>
      </c>
      <c r="Z2062" s="33" t="n">
        <v>4</v>
      </c>
      <c r="AA2062" s="33" t="inlineStr">
        <is>
          <t>1</t>
        </is>
      </c>
      <c r="AB2062" s="33" t="inlineStr">
        <is>
          <t>https://www.swimcloud.com/results/121053/event/18/?id=19825511#time19825511</t>
        </is>
      </c>
      <c r="AC2062" s="33" t="inlineStr">
        <is>
          <t>SwimCloud API v6 2026-10-08</t>
        </is>
      </c>
      <c r="AD2062" s="33" t="inlineStr">
        <is>
          <t>Luka Mijatovic|2018-07-28|LCM|200|Free|144.56|PC OAPB Far Western LCM Championships|PRE|False</t>
        </is>
      </c>
      <c r="AE2062" s="53">
        <f>G2062+L2062/1000+ROW()/1000000000</f>
        <v/>
      </c>
      <c r="AF2062" s="35">
        <f>IF(C2062&lt;&gt;"Grayson Coulter","",COUNTIFS($C$5:$C$2991,"Grayson Coulter",$Q$5:$Q$2991,Q2062,$AE$5:$AE$2991,"&lt;="&amp;AE2062,$R$5:$R$2991,"&lt;"&amp;R2062))</f>
        <v/>
      </c>
      <c r="AG2062" s="35">
        <f>IF(OR(C2062&lt;&gt;"Grayson Coulter",G2062&lt;'00_Control'!$B$7),"",--(AF2062&lt;5))</f>
        <v/>
      </c>
      <c r="AH2062" s="35">
        <f>IF(OR(C2062&lt;&gt;"Grayson Coulter",G2062&lt;'00_Control'!$B$7),"",--(AF2062&lt;10))</f>
        <v/>
      </c>
      <c r="AI2062" s="35">
        <f>IF(AND(C2062="Grayson Coulter",G2062&gt;='00_Control'!$B$7),"YES","NO")</f>
        <v/>
      </c>
      <c r="AJ2062" s="33" t="inlineStr">
        <is>
          <t>OK</t>
        </is>
      </c>
    </row>
    <row r="2063">
      <c r="A2063" s="33" t="inlineStr">
        <is>
          <t>SM002059</t>
        </is>
      </c>
      <c r="B2063" s="33" t="inlineStr">
        <is>
          <t>SW003</t>
        </is>
      </c>
      <c r="C2063" s="33" t="inlineStr">
        <is>
          <t>Luka Mijatovic</t>
        </is>
      </c>
      <c r="D2063" s="33" t="inlineStr">
        <is>
          <t>SwimCloud</t>
        </is>
      </c>
      <c r="E2063" s="33" t="inlineStr">
        <is>
          <t>2415996</t>
        </is>
      </c>
      <c r="F2063" s="33" t="inlineStr">
        <is>
          <t>19825512</t>
        </is>
      </c>
      <c r="G2063" s="51" t="n">
        <v>43309</v>
      </c>
      <c r="H2063" s="33" t="inlineStr">
        <is>
          <t>PC OAPB Far Western LCM Championships</t>
        </is>
      </c>
      <c r="I2063" s="33" t="inlineStr">
        <is>
          <t>121053</t>
        </is>
      </c>
      <c r="J2063" s="33" t="inlineStr"/>
      <c r="K2063" s="33" t="inlineStr">
        <is>
          <t>FIN</t>
        </is>
      </c>
      <c r="L2063" s="35">
        <f>IF(K2063="FIN",3,IF(OR(K2063="SEM",K2063="SEMI"),2,IF(OR(K2063="PRE",K2063="HEAT"),1,IF(V2063="YES",4,2))))</f>
        <v/>
      </c>
      <c r="M2063" s="33" t="inlineStr">
        <is>
          <t>LCM</t>
        </is>
      </c>
      <c r="N2063" s="33" t="n">
        <v>200</v>
      </c>
      <c r="O2063" s="33" t="inlineStr">
        <is>
          <t>Free</t>
        </is>
      </c>
      <c r="P2063" s="33" t="inlineStr">
        <is>
          <t>200 Free</t>
        </is>
      </c>
      <c r="Q2063" s="33" t="inlineStr">
        <is>
          <t>LCM_200_FREE</t>
        </is>
      </c>
      <c r="R2063" s="36" t="n">
        <v>141.39</v>
      </c>
      <c r="S2063" s="35">
        <f>IF(R2063="","",IF(R2063&gt;=60,INT(R2063/60)&amp;":"&amp;TEXT(MOD(R2063,60),"00.00"),TEXT(R2063,"0.00")))</f>
        <v/>
      </c>
      <c r="T2063" s="52">
        <f>IFERROR((G2063-INDEX('01_Swimmers'!$E$5:$E$22,MATCH(B2063,'01_Swimmers'!$A$5:$A$22,0)))/'00_Control'!$B$10,"")</f>
        <v/>
      </c>
      <c r="U2063" s="35">
        <f>IF(T2063="","",INT(T2063))</f>
        <v/>
      </c>
      <c r="V2063" s="33" t="inlineStr">
        <is>
          <t>NO</t>
        </is>
      </c>
      <c r="W2063" s="33" t="inlineStr">
        <is>
          <t>YES</t>
        </is>
      </c>
      <c r="X2063" s="33" t="inlineStr">
        <is>
          <t>NO</t>
        </is>
      </c>
      <c r="Y2063" s="33" t="n">
        <v>1</v>
      </c>
      <c r="Z2063" s="33" t="n">
        <v>4</v>
      </c>
      <c r="AA2063" s="33" t="inlineStr">
        <is>
          <t>1</t>
        </is>
      </c>
      <c r="AB2063" s="33" t="inlineStr">
        <is>
          <t>https://www.swimcloud.com/results/121053/event/18/?id=19825512#time19825512</t>
        </is>
      </c>
      <c r="AC2063" s="33" t="inlineStr">
        <is>
          <t>SwimCloud API v6 2026-10-08</t>
        </is>
      </c>
      <c r="AD2063" s="33" t="inlineStr">
        <is>
          <t>Luka Mijatovic|2018-07-28|LCM|200|Free|141.39|PC OAPB Far Western LCM Championships|FIN|False</t>
        </is>
      </c>
      <c r="AE2063" s="53">
        <f>G2063+L2063/1000+ROW()/1000000000</f>
        <v/>
      </c>
      <c r="AF2063" s="35">
        <f>IF(C2063&lt;&gt;"Grayson Coulter","",COUNTIFS($C$5:$C$2991,"Grayson Coulter",$Q$5:$Q$2991,Q2063,$AE$5:$AE$2991,"&lt;="&amp;AE2063,$R$5:$R$2991,"&lt;"&amp;R2063))</f>
        <v/>
      </c>
      <c r="AG2063" s="35">
        <f>IF(OR(C2063&lt;&gt;"Grayson Coulter",G2063&lt;'00_Control'!$B$7),"",--(AF2063&lt;5))</f>
        <v/>
      </c>
      <c r="AH2063" s="35">
        <f>IF(OR(C2063&lt;&gt;"Grayson Coulter",G2063&lt;'00_Control'!$B$7),"",--(AF2063&lt;10))</f>
        <v/>
      </c>
      <c r="AI2063" s="35">
        <f>IF(AND(C2063="Grayson Coulter",G2063&gt;='00_Control'!$B$7),"YES","NO")</f>
        <v/>
      </c>
      <c r="AJ2063" s="33" t="inlineStr">
        <is>
          <t>OK</t>
        </is>
      </c>
    </row>
    <row r="2064">
      <c r="A2064" s="33" t="inlineStr">
        <is>
          <t>SM002060</t>
        </is>
      </c>
      <c r="B2064" s="33" t="inlineStr">
        <is>
          <t>SW003</t>
        </is>
      </c>
      <c r="C2064" s="33" t="inlineStr">
        <is>
          <t>Luka Mijatovic</t>
        </is>
      </c>
      <c r="D2064" s="33" t="inlineStr">
        <is>
          <t>SwimCloud</t>
        </is>
      </c>
      <c r="E2064" s="33" t="inlineStr">
        <is>
          <t>2415996</t>
        </is>
      </c>
      <c r="F2064" s="33" t="inlineStr">
        <is>
          <t>19825175</t>
        </is>
      </c>
      <c r="G2064" s="51" t="n">
        <v>43310</v>
      </c>
      <c r="H2064" s="33" t="inlineStr">
        <is>
          <t>PC OAPB Far Western LCM Championships</t>
        </is>
      </c>
      <c r="I2064" s="33" t="inlineStr">
        <is>
          <t>121053</t>
        </is>
      </c>
      <c r="J2064" s="33" t="inlineStr"/>
      <c r="K2064" s="33" t="inlineStr">
        <is>
          <t>PRE</t>
        </is>
      </c>
      <c r="L2064" s="35">
        <f>IF(K2064="FIN",3,IF(OR(K2064="SEM",K2064="SEMI"),2,IF(OR(K2064="PRE",K2064="HEAT"),1,IF(V2064="YES",4,2))))</f>
        <v/>
      </c>
      <c r="M2064" s="33" t="inlineStr">
        <is>
          <t>LCM</t>
        </is>
      </c>
      <c r="N2064" s="33" t="n">
        <v>100</v>
      </c>
      <c r="O2064" s="33" t="inlineStr">
        <is>
          <t>Fly</t>
        </is>
      </c>
      <c r="P2064" s="33" t="inlineStr">
        <is>
          <t>100 Fly</t>
        </is>
      </c>
      <c r="Q2064" s="33" t="inlineStr">
        <is>
          <t>LCM_100_FLY</t>
        </is>
      </c>
      <c r="R2064" s="36" t="n">
        <v>73.31999999999999</v>
      </c>
      <c r="S2064" s="35">
        <f>IF(R2064="","",IF(R2064&gt;=60,INT(R2064/60)&amp;":"&amp;TEXT(MOD(R2064,60),"00.00"),TEXT(R2064,"0.00")))</f>
        <v/>
      </c>
      <c r="T2064" s="52">
        <f>IFERROR((G2064-INDEX('01_Swimmers'!$E$5:$E$22,MATCH(B2064,'01_Swimmers'!$A$5:$A$22,0)))/'00_Control'!$B$10,"")</f>
        <v/>
      </c>
      <c r="U2064" s="35">
        <f>IF(T2064="","",INT(T2064))</f>
        <v/>
      </c>
      <c r="V2064" s="33" t="inlineStr">
        <is>
          <t>NO</t>
        </is>
      </c>
      <c r="W2064" s="33" t="inlineStr">
        <is>
          <t>YES</t>
        </is>
      </c>
      <c r="X2064" s="33" t="inlineStr">
        <is>
          <t>NO</t>
        </is>
      </c>
      <c r="Y2064" s="33" t="n">
        <v>2</v>
      </c>
      <c r="Z2064" s="33" t="n">
        <v>5</v>
      </c>
      <c r="AA2064" s="33" t="inlineStr">
        <is>
          <t>2</t>
        </is>
      </c>
      <c r="AB2064" s="33" t="inlineStr">
        <is>
          <t>https://www.swimcloud.com/results/121053/event/16/?id=19825175#time19825175</t>
        </is>
      </c>
      <c r="AC2064" s="33" t="inlineStr">
        <is>
          <t>SwimCloud API v6 2026-10-08</t>
        </is>
      </c>
      <c r="AD2064" s="33" t="inlineStr">
        <is>
          <t>Luka Mijatovic|2018-07-29|LCM|100|Fly|73.32|PC OAPB Far Western LCM Championships|PRE|False</t>
        </is>
      </c>
      <c r="AE2064" s="53">
        <f>G2064+L2064/1000+ROW()/1000000000</f>
        <v/>
      </c>
      <c r="AF2064" s="35">
        <f>IF(C2064&lt;&gt;"Grayson Coulter","",COUNTIFS($C$5:$C$2991,"Grayson Coulter",$Q$5:$Q$2991,Q2064,$AE$5:$AE$2991,"&lt;="&amp;AE2064,$R$5:$R$2991,"&lt;"&amp;R2064))</f>
        <v/>
      </c>
      <c r="AG2064" s="35">
        <f>IF(OR(C2064&lt;&gt;"Grayson Coulter",G2064&lt;'00_Control'!$B$7),"",--(AF2064&lt;5))</f>
        <v/>
      </c>
      <c r="AH2064" s="35">
        <f>IF(OR(C2064&lt;&gt;"Grayson Coulter",G2064&lt;'00_Control'!$B$7),"",--(AF2064&lt;10))</f>
        <v/>
      </c>
      <c r="AI2064" s="35">
        <f>IF(AND(C2064="Grayson Coulter",G2064&gt;='00_Control'!$B$7),"YES","NO")</f>
        <v/>
      </c>
      <c r="AJ2064" s="33" t="inlineStr">
        <is>
          <t>OK</t>
        </is>
      </c>
    </row>
    <row r="2065">
      <c r="A2065" s="33" t="inlineStr">
        <is>
          <t>SM002061</t>
        </is>
      </c>
      <c r="B2065" s="33" t="inlineStr">
        <is>
          <t>SW003</t>
        </is>
      </c>
      <c r="C2065" s="33" t="inlineStr">
        <is>
          <t>Luka Mijatovic</t>
        </is>
      </c>
      <c r="D2065" s="33" t="inlineStr">
        <is>
          <t>SwimCloud</t>
        </is>
      </c>
      <c r="E2065" s="33" t="inlineStr">
        <is>
          <t>2415996</t>
        </is>
      </c>
      <c r="F2065" s="33" t="inlineStr">
        <is>
          <t>19825176</t>
        </is>
      </c>
      <c r="G2065" s="51" t="n">
        <v>43310</v>
      </c>
      <c r="H2065" s="33" t="inlineStr">
        <is>
          <t>PC OAPB Far Western LCM Championships</t>
        </is>
      </c>
      <c r="I2065" s="33" t="inlineStr">
        <is>
          <t>121053</t>
        </is>
      </c>
      <c r="J2065" s="33" t="inlineStr"/>
      <c r="K2065" s="33" t="inlineStr">
        <is>
          <t>FIN</t>
        </is>
      </c>
      <c r="L2065" s="35">
        <f>IF(K2065="FIN",3,IF(OR(K2065="SEM",K2065="SEMI"),2,IF(OR(K2065="PRE",K2065="HEAT"),1,IF(V2065="YES",4,2))))</f>
        <v/>
      </c>
      <c r="M2065" s="33" t="inlineStr">
        <is>
          <t>LCM</t>
        </is>
      </c>
      <c r="N2065" s="33" t="n">
        <v>100</v>
      </c>
      <c r="O2065" s="33" t="inlineStr">
        <is>
          <t>Fly</t>
        </is>
      </c>
      <c r="P2065" s="33" t="inlineStr">
        <is>
          <t>100 Fly</t>
        </is>
      </c>
      <c r="Q2065" s="33" t="inlineStr">
        <is>
          <t>LCM_100_FLY</t>
        </is>
      </c>
      <c r="R2065" s="36" t="n">
        <v>73.51000000000001</v>
      </c>
      <c r="S2065" s="35">
        <f>IF(R2065="","",IF(R2065&gt;=60,INT(R2065/60)&amp;":"&amp;TEXT(MOD(R2065,60),"00.00"),TEXT(R2065,"0.00")))</f>
        <v/>
      </c>
      <c r="T2065" s="52">
        <f>IFERROR((G2065-INDEX('01_Swimmers'!$E$5:$E$22,MATCH(B2065,'01_Swimmers'!$A$5:$A$22,0)))/'00_Control'!$B$10,"")</f>
        <v/>
      </c>
      <c r="U2065" s="35">
        <f>IF(T2065="","",INT(T2065))</f>
        <v/>
      </c>
      <c r="V2065" s="33" t="inlineStr">
        <is>
          <t>NO</t>
        </is>
      </c>
      <c r="W2065" s="33" t="inlineStr">
        <is>
          <t>YES</t>
        </is>
      </c>
      <c r="X2065" s="33" t="inlineStr">
        <is>
          <t>NO</t>
        </is>
      </c>
      <c r="Y2065" s="33" t="n">
        <v>1</v>
      </c>
      <c r="Z2065" s="33" t="n">
        <v>5</v>
      </c>
      <c r="AA2065" s="33" t="inlineStr">
        <is>
          <t>4</t>
        </is>
      </c>
      <c r="AB2065" s="33" t="inlineStr">
        <is>
          <t>https://www.swimcloud.com/results/121053/event/16/?id=19825176#time19825176</t>
        </is>
      </c>
      <c r="AC2065" s="33" t="inlineStr">
        <is>
          <t>SwimCloud API v6 2026-10-08</t>
        </is>
      </c>
      <c r="AD2065" s="33" t="inlineStr">
        <is>
          <t>Luka Mijatovic|2018-07-29|LCM|100|Fly|73.51|PC OAPB Far Western LCM Championships|FIN|False</t>
        </is>
      </c>
      <c r="AE2065" s="53">
        <f>G2065+L2065/1000+ROW()/1000000000</f>
        <v/>
      </c>
      <c r="AF2065" s="35">
        <f>IF(C2065&lt;&gt;"Grayson Coulter","",COUNTIFS($C$5:$C$2991,"Grayson Coulter",$Q$5:$Q$2991,Q2065,$AE$5:$AE$2991,"&lt;="&amp;AE2065,$R$5:$R$2991,"&lt;"&amp;R2065))</f>
        <v/>
      </c>
      <c r="AG2065" s="35">
        <f>IF(OR(C2065&lt;&gt;"Grayson Coulter",G2065&lt;'00_Control'!$B$7),"",--(AF2065&lt;5))</f>
        <v/>
      </c>
      <c r="AH2065" s="35">
        <f>IF(OR(C2065&lt;&gt;"Grayson Coulter",G2065&lt;'00_Control'!$B$7),"",--(AF2065&lt;10))</f>
        <v/>
      </c>
      <c r="AI2065" s="35">
        <f>IF(AND(C2065="Grayson Coulter",G2065&gt;='00_Control'!$B$7),"YES","NO")</f>
        <v/>
      </c>
      <c r="AJ2065" s="33" t="inlineStr">
        <is>
          <t>OK</t>
        </is>
      </c>
    </row>
    <row r="2066">
      <c r="A2066" s="33" t="inlineStr">
        <is>
          <t>SM002062</t>
        </is>
      </c>
      <c r="B2066" s="33" t="inlineStr">
        <is>
          <t>SW003</t>
        </is>
      </c>
      <c r="C2066" s="33" t="inlineStr">
        <is>
          <t>Luka Mijatovic</t>
        </is>
      </c>
      <c r="D2066" s="33" t="inlineStr">
        <is>
          <t>SwimCloud</t>
        </is>
      </c>
      <c r="E2066" s="33" t="inlineStr">
        <is>
          <t>2415996</t>
        </is>
      </c>
      <c r="F2066" s="33" t="inlineStr">
        <is>
          <t>27300716</t>
        </is>
      </c>
      <c r="G2066" s="51" t="n">
        <v>43646</v>
      </c>
      <c r="H2066" s="33" t="inlineStr">
        <is>
          <t>PC QSS Super Last Chance Meet</t>
        </is>
      </c>
      <c r="I2066" s="33" t="inlineStr">
        <is>
          <t>148110</t>
        </is>
      </c>
      <c r="J2066" s="33" t="inlineStr"/>
      <c r="K2066" s="33" t="inlineStr">
        <is>
          <t>TIM</t>
        </is>
      </c>
      <c r="L2066" s="35">
        <f>IF(K2066="FIN",3,IF(OR(K2066="SEM",K2066="SEMI"),2,IF(OR(K2066="PRE",K2066="HEAT"),1,IF(V2066="YES",4,2))))</f>
        <v/>
      </c>
      <c r="M2066" s="33" t="inlineStr">
        <is>
          <t>LCM</t>
        </is>
      </c>
      <c r="N2066" s="33" t="n">
        <v>200</v>
      </c>
      <c r="O2066" s="33" t="inlineStr">
        <is>
          <t>Free</t>
        </is>
      </c>
      <c r="P2066" s="33" t="inlineStr">
        <is>
          <t>200 Free</t>
        </is>
      </c>
      <c r="Q2066" s="33" t="inlineStr">
        <is>
          <t>LCM_200_FREE</t>
        </is>
      </c>
      <c r="R2066" s="36" t="n">
        <v>140.34</v>
      </c>
      <c r="S2066" s="35">
        <f>IF(R2066="","",IF(R2066&gt;=60,INT(R2066/60)&amp;":"&amp;TEXT(MOD(R2066,60),"00.00"),TEXT(R2066,"0.00")))</f>
        <v/>
      </c>
      <c r="T2066" s="52">
        <f>IFERROR((G2066-INDEX('01_Swimmers'!$E$5:$E$22,MATCH(B2066,'01_Swimmers'!$A$5:$A$22,0)))/'00_Control'!$B$10,"")</f>
        <v/>
      </c>
      <c r="U2066" s="35">
        <f>IF(T2066="","",INT(T2066))</f>
        <v/>
      </c>
      <c r="V2066" s="33" t="inlineStr">
        <is>
          <t>NO</t>
        </is>
      </c>
      <c r="W2066" s="33" t="inlineStr">
        <is>
          <t>YES</t>
        </is>
      </c>
      <c r="X2066" s="33" t="inlineStr">
        <is>
          <t>NO</t>
        </is>
      </c>
      <c r="Y2066" s="33" t="n">
        <v>2</v>
      </c>
      <c r="Z2066" s="33" t="n">
        <v>2</v>
      </c>
      <c r="AA2066" s="33" t="inlineStr">
        <is>
          <t>1</t>
        </is>
      </c>
      <c r="AB2066" s="33" t="inlineStr">
        <is>
          <t>https://www.swimcloud.com/results/148110/event/28/?id=27300716#time27300716</t>
        </is>
      </c>
      <c r="AC2066" s="33" t="inlineStr">
        <is>
          <t>SwimCloud API v6 2026-10-08</t>
        </is>
      </c>
      <c r="AD2066" s="33" t="inlineStr">
        <is>
          <t>Luka Mijatovic|2019-06-30|LCM|200|Free|140.34|PC QSS Super Last Chance Meet|TIM|False</t>
        </is>
      </c>
      <c r="AE2066" s="53">
        <f>G2066+L2066/1000+ROW()/1000000000</f>
        <v/>
      </c>
      <c r="AF2066" s="35">
        <f>IF(C2066&lt;&gt;"Grayson Coulter","",COUNTIFS($C$5:$C$2991,"Grayson Coulter",$Q$5:$Q$2991,Q2066,$AE$5:$AE$2991,"&lt;="&amp;AE2066,$R$5:$R$2991,"&lt;"&amp;R2066))</f>
        <v/>
      </c>
      <c r="AG2066" s="35">
        <f>IF(OR(C2066&lt;&gt;"Grayson Coulter",G2066&lt;'00_Control'!$B$7),"",--(AF2066&lt;5))</f>
        <v/>
      </c>
      <c r="AH2066" s="35">
        <f>IF(OR(C2066&lt;&gt;"Grayson Coulter",G2066&lt;'00_Control'!$B$7),"",--(AF2066&lt;10))</f>
        <v/>
      </c>
      <c r="AI2066" s="35">
        <f>IF(AND(C2066="Grayson Coulter",G2066&gt;='00_Control'!$B$7),"YES","NO")</f>
        <v/>
      </c>
      <c r="AJ2066" s="33" t="inlineStr">
        <is>
          <t>OK</t>
        </is>
      </c>
    </row>
    <row r="2067">
      <c r="A2067" s="33" t="inlineStr">
        <is>
          <t>SM002063</t>
        </is>
      </c>
      <c r="B2067" s="33" t="inlineStr">
        <is>
          <t>SW003</t>
        </is>
      </c>
      <c r="C2067" s="33" t="inlineStr">
        <is>
          <t>Luka Mijatovic</t>
        </is>
      </c>
      <c r="D2067" s="33" t="inlineStr">
        <is>
          <t>SwimCloud</t>
        </is>
      </c>
      <c r="E2067" s="33" t="inlineStr">
        <is>
          <t>2415996</t>
        </is>
      </c>
      <c r="F2067" s="33" t="inlineStr">
        <is>
          <t>27643660</t>
        </is>
      </c>
      <c r="G2067" s="51" t="n">
        <v>43658</v>
      </c>
      <c r="H2067" s="33" t="inlineStr">
        <is>
          <t>PC TERA LCM JOs</t>
        </is>
      </c>
      <c r="I2067" s="33" t="inlineStr">
        <is>
          <t>149023</t>
        </is>
      </c>
      <c r="J2067" s="33" t="inlineStr"/>
      <c r="K2067" s="33" t="inlineStr">
        <is>
          <t>PRE</t>
        </is>
      </c>
      <c r="L2067" s="35">
        <f>IF(K2067="FIN",3,IF(OR(K2067="SEM",K2067="SEMI"),2,IF(OR(K2067="PRE",K2067="HEAT"),1,IF(V2067="YES",4,2))))</f>
        <v/>
      </c>
      <c r="M2067" s="33" t="inlineStr">
        <is>
          <t>LCM</t>
        </is>
      </c>
      <c r="N2067" s="33" t="n">
        <v>400</v>
      </c>
      <c r="O2067" s="33" t="inlineStr">
        <is>
          <t>Free</t>
        </is>
      </c>
      <c r="P2067" s="33" t="inlineStr">
        <is>
          <t>400 Free</t>
        </is>
      </c>
      <c r="Q2067" s="33" t="inlineStr">
        <is>
          <t>LCM_400_FREE</t>
        </is>
      </c>
      <c r="R2067" s="36" t="n">
        <v>299.53</v>
      </c>
      <c r="S2067" s="35">
        <f>IF(R2067="","",IF(R2067&gt;=60,INT(R2067/60)&amp;":"&amp;TEXT(MOD(R2067,60),"00.00"),TEXT(R2067,"0.00")))</f>
        <v/>
      </c>
      <c r="T2067" s="52">
        <f>IFERROR((G2067-INDEX('01_Swimmers'!$E$5:$E$22,MATCH(B2067,'01_Swimmers'!$A$5:$A$22,0)))/'00_Control'!$B$10,"")</f>
        <v/>
      </c>
      <c r="U2067" s="35">
        <f>IF(T2067="","",INT(T2067))</f>
        <v/>
      </c>
      <c r="V2067" s="33" t="inlineStr">
        <is>
          <t>NO</t>
        </is>
      </c>
      <c r="W2067" s="33" t="inlineStr">
        <is>
          <t>YES</t>
        </is>
      </c>
      <c r="X2067" s="33" t="inlineStr">
        <is>
          <t>NO</t>
        </is>
      </c>
      <c r="Y2067" s="33" t="n">
        <v>1</v>
      </c>
      <c r="Z2067" s="33" t="n">
        <v>5</v>
      </c>
      <c r="AA2067" s="33" t="inlineStr">
        <is>
          <t>1</t>
        </is>
      </c>
      <c r="AB2067" s="33" t="inlineStr">
        <is>
          <t>https://www.swimcloud.com/results/149023/event/24/?id=27643660#time27643660</t>
        </is>
      </c>
      <c r="AC2067" s="33" t="inlineStr">
        <is>
          <t>SwimCloud API v6 2026-10-08</t>
        </is>
      </c>
      <c r="AD2067" s="33" t="inlineStr">
        <is>
          <t>Luka Mijatovic|2019-07-12|LCM|400|Free|299.53|PC TERA LCM JOs|PRE|False</t>
        </is>
      </c>
      <c r="AE2067" s="53">
        <f>G2067+L2067/1000+ROW()/1000000000</f>
        <v/>
      </c>
      <c r="AF2067" s="35">
        <f>IF(C2067&lt;&gt;"Grayson Coulter","",COUNTIFS($C$5:$C$2991,"Grayson Coulter",$Q$5:$Q$2991,Q2067,$AE$5:$AE$2991,"&lt;="&amp;AE2067,$R$5:$R$2991,"&lt;"&amp;R2067))</f>
        <v/>
      </c>
      <c r="AG2067" s="35">
        <f>IF(OR(C2067&lt;&gt;"Grayson Coulter",G2067&lt;'00_Control'!$B$7),"",--(AF2067&lt;5))</f>
        <v/>
      </c>
      <c r="AH2067" s="35">
        <f>IF(OR(C2067&lt;&gt;"Grayson Coulter",G2067&lt;'00_Control'!$B$7),"",--(AF2067&lt;10))</f>
        <v/>
      </c>
      <c r="AI2067" s="35">
        <f>IF(AND(C2067="Grayson Coulter",G2067&gt;='00_Control'!$B$7),"YES","NO")</f>
        <v/>
      </c>
      <c r="AJ2067" s="33" t="inlineStr">
        <is>
          <t>OK</t>
        </is>
      </c>
    </row>
    <row r="2068">
      <c r="A2068" s="33" t="inlineStr">
        <is>
          <t>SM002064</t>
        </is>
      </c>
      <c r="B2068" s="33" t="inlineStr">
        <is>
          <t>SW003</t>
        </is>
      </c>
      <c r="C2068" s="33" t="inlineStr">
        <is>
          <t>Luka Mijatovic</t>
        </is>
      </c>
      <c r="D2068" s="33" t="inlineStr">
        <is>
          <t>SwimCloud</t>
        </is>
      </c>
      <c r="E2068" s="33" t="inlineStr">
        <is>
          <t>2415996</t>
        </is>
      </c>
      <c r="F2068" s="33" t="inlineStr">
        <is>
          <t>27643661</t>
        </is>
      </c>
      <c r="G2068" s="51" t="n">
        <v>43658</v>
      </c>
      <c r="H2068" s="33" t="inlineStr">
        <is>
          <t>PC TERA LCM JOs</t>
        </is>
      </c>
      <c r="I2068" s="33" t="inlineStr">
        <is>
          <t>149023</t>
        </is>
      </c>
      <c r="J2068" s="33" t="inlineStr"/>
      <c r="K2068" s="33" t="inlineStr">
        <is>
          <t>FIN</t>
        </is>
      </c>
      <c r="L2068" s="35">
        <f>IF(K2068="FIN",3,IF(OR(K2068="SEM",K2068="SEMI"),2,IF(OR(K2068="PRE",K2068="HEAT"),1,IF(V2068="YES",4,2))))</f>
        <v/>
      </c>
      <c r="M2068" s="33" t="inlineStr">
        <is>
          <t>LCM</t>
        </is>
      </c>
      <c r="N2068" s="33" t="n">
        <v>400</v>
      </c>
      <c r="O2068" s="33" t="inlineStr">
        <is>
          <t>Free</t>
        </is>
      </c>
      <c r="P2068" s="33" t="inlineStr">
        <is>
          <t>400 Free</t>
        </is>
      </c>
      <c r="Q2068" s="33" t="inlineStr">
        <is>
          <t>LCM_400_FREE</t>
        </is>
      </c>
      <c r="R2068" s="36" t="n">
        <v>292.45</v>
      </c>
      <c r="S2068" s="35">
        <f>IF(R2068="","",IF(R2068&gt;=60,INT(R2068/60)&amp;":"&amp;TEXT(MOD(R2068,60),"00.00"),TEXT(R2068,"0.00")))</f>
        <v/>
      </c>
      <c r="T2068" s="52">
        <f>IFERROR((G2068-INDEX('01_Swimmers'!$E$5:$E$22,MATCH(B2068,'01_Swimmers'!$A$5:$A$22,0)))/'00_Control'!$B$10,"")</f>
        <v/>
      </c>
      <c r="U2068" s="35">
        <f>IF(T2068="","",INT(T2068))</f>
        <v/>
      </c>
      <c r="V2068" s="33" t="inlineStr">
        <is>
          <t>NO</t>
        </is>
      </c>
      <c r="W2068" s="33" t="inlineStr">
        <is>
          <t>YES</t>
        </is>
      </c>
      <c r="X2068" s="33" t="inlineStr">
        <is>
          <t>NO</t>
        </is>
      </c>
      <c r="Y2068" s="33" t="n">
        <v>1</v>
      </c>
      <c r="Z2068" s="33" t="n">
        <v>5</v>
      </c>
      <c r="AA2068" s="33" t="inlineStr">
        <is>
          <t>1</t>
        </is>
      </c>
      <c r="AB2068" s="33" t="inlineStr">
        <is>
          <t>https://www.swimcloud.com/results/149023/event/24/?id=27643661#time27643661</t>
        </is>
      </c>
      <c r="AC2068" s="33" t="inlineStr">
        <is>
          <t>SwimCloud API v6 2026-10-08</t>
        </is>
      </c>
      <c r="AD2068" s="33" t="inlineStr">
        <is>
          <t>Luka Mijatovic|2019-07-12|LCM|400|Free|292.45|PC TERA LCM JOs|FIN|False</t>
        </is>
      </c>
      <c r="AE2068" s="53">
        <f>G2068+L2068/1000+ROW()/1000000000</f>
        <v/>
      </c>
      <c r="AF2068" s="35">
        <f>IF(C2068&lt;&gt;"Grayson Coulter","",COUNTIFS($C$5:$C$2991,"Grayson Coulter",$Q$5:$Q$2991,Q2068,$AE$5:$AE$2991,"&lt;="&amp;AE2068,$R$5:$R$2991,"&lt;"&amp;R2068))</f>
        <v/>
      </c>
      <c r="AG2068" s="35">
        <f>IF(OR(C2068&lt;&gt;"Grayson Coulter",G2068&lt;'00_Control'!$B$7),"",--(AF2068&lt;5))</f>
        <v/>
      </c>
      <c r="AH2068" s="35">
        <f>IF(OR(C2068&lt;&gt;"Grayson Coulter",G2068&lt;'00_Control'!$B$7),"",--(AF2068&lt;10))</f>
        <v/>
      </c>
      <c r="AI2068" s="35">
        <f>IF(AND(C2068="Grayson Coulter",G2068&gt;='00_Control'!$B$7),"YES","NO")</f>
        <v/>
      </c>
      <c r="AJ2068" s="33" t="inlineStr">
        <is>
          <t>OK</t>
        </is>
      </c>
    </row>
    <row r="2069">
      <c r="A2069" s="33" t="inlineStr">
        <is>
          <t>SM002065</t>
        </is>
      </c>
      <c r="B2069" s="33" t="inlineStr">
        <is>
          <t>SW003</t>
        </is>
      </c>
      <c r="C2069" s="33" t="inlineStr">
        <is>
          <t>Luka Mijatovic</t>
        </is>
      </c>
      <c r="D2069" s="33" t="inlineStr">
        <is>
          <t>SwimCloud</t>
        </is>
      </c>
      <c r="E2069" s="33" t="inlineStr">
        <is>
          <t>2415996</t>
        </is>
      </c>
      <c r="F2069" s="33" t="inlineStr">
        <is>
          <t>27643739</t>
        </is>
      </c>
      <c r="G2069" s="51" t="n">
        <v>43659</v>
      </c>
      <c r="H2069" s="33" t="inlineStr">
        <is>
          <t>PC TERA LCM JOs</t>
        </is>
      </c>
      <c r="I2069" s="33" t="inlineStr">
        <is>
          <t>149023</t>
        </is>
      </c>
      <c r="J2069" s="33" t="inlineStr"/>
      <c r="K2069" s="33" t="inlineStr">
        <is>
          <t>PRE</t>
        </is>
      </c>
      <c r="L2069" s="35">
        <f>IF(K2069="FIN",3,IF(OR(K2069="SEM",K2069="SEMI"),2,IF(OR(K2069="PRE",K2069="HEAT"),1,IF(V2069="YES",4,2))))</f>
        <v/>
      </c>
      <c r="M2069" s="33" t="inlineStr">
        <is>
          <t>LCM</t>
        </is>
      </c>
      <c r="N2069" s="33" t="n">
        <v>100</v>
      </c>
      <c r="O2069" s="33" t="inlineStr">
        <is>
          <t>Free</t>
        </is>
      </c>
      <c r="P2069" s="33" t="inlineStr">
        <is>
          <t>100 Free</t>
        </is>
      </c>
      <c r="Q2069" s="33" t="inlineStr">
        <is>
          <t>LCM_100_FREE</t>
        </is>
      </c>
      <c r="R2069" s="36" t="n">
        <v>68.20999999999999</v>
      </c>
      <c r="S2069" s="35">
        <f>IF(R2069="","",IF(R2069&gt;=60,INT(R2069/60)&amp;":"&amp;TEXT(MOD(R2069,60),"00.00"),TEXT(R2069,"0.00")))</f>
        <v/>
      </c>
      <c r="T2069" s="52">
        <f>IFERROR((G2069-INDEX('01_Swimmers'!$E$5:$E$22,MATCH(B2069,'01_Swimmers'!$A$5:$A$22,0)))/'00_Control'!$B$10,"")</f>
        <v/>
      </c>
      <c r="U2069" s="35">
        <f>IF(T2069="","",INT(T2069))</f>
        <v/>
      </c>
      <c r="V2069" s="33" t="inlineStr">
        <is>
          <t>NO</t>
        </is>
      </c>
      <c r="W2069" s="33" t="inlineStr">
        <is>
          <t>YES</t>
        </is>
      </c>
      <c r="X2069" s="33" t="inlineStr">
        <is>
          <t>NO</t>
        </is>
      </c>
      <c r="Y2069" s="33" t="n">
        <v>1</v>
      </c>
      <c r="Z2069" s="33" t="n">
        <v>5</v>
      </c>
      <c r="AA2069" s="33" t="inlineStr">
        <is>
          <t>1</t>
        </is>
      </c>
      <c r="AB2069" s="33" t="inlineStr">
        <is>
          <t>https://www.swimcloud.com/results/149023/event/58/?id=27643739#time27643739</t>
        </is>
      </c>
      <c r="AC2069" s="33" t="inlineStr">
        <is>
          <t>SwimCloud API v6 2026-10-08</t>
        </is>
      </c>
      <c r="AD2069" s="33" t="inlineStr">
        <is>
          <t>Luka Mijatovic|2019-07-13|LCM|100|Free|68.21|PC TERA LCM JOs|PRE|False</t>
        </is>
      </c>
      <c r="AE2069" s="53">
        <f>G2069+L2069/1000+ROW()/1000000000</f>
        <v/>
      </c>
      <c r="AF2069" s="35">
        <f>IF(C2069&lt;&gt;"Grayson Coulter","",COUNTIFS($C$5:$C$2991,"Grayson Coulter",$Q$5:$Q$2991,Q2069,$AE$5:$AE$2991,"&lt;="&amp;AE2069,$R$5:$R$2991,"&lt;"&amp;R2069))</f>
        <v/>
      </c>
      <c r="AG2069" s="35">
        <f>IF(OR(C2069&lt;&gt;"Grayson Coulter",G2069&lt;'00_Control'!$B$7),"",--(AF2069&lt;5))</f>
        <v/>
      </c>
      <c r="AH2069" s="35">
        <f>IF(OR(C2069&lt;&gt;"Grayson Coulter",G2069&lt;'00_Control'!$B$7),"",--(AF2069&lt;10))</f>
        <v/>
      </c>
      <c r="AI2069" s="35">
        <f>IF(AND(C2069="Grayson Coulter",G2069&gt;='00_Control'!$B$7),"YES","NO")</f>
        <v/>
      </c>
      <c r="AJ2069" s="33" t="inlineStr">
        <is>
          <t>OK</t>
        </is>
      </c>
    </row>
    <row r="2070">
      <c r="A2070" s="33" t="inlineStr">
        <is>
          <t>SM002066</t>
        </is>
      </c>
      <c r="B2070" s="33" t="inlineStr">
        <is>
          <t>SW003</t>
        </is>
      </c>
      <c r="C2070" s="33" t="inlineStr">
        <is>
          <t>Luka Mijatovic</t>
        </is>
      </c>
      <c r="D2070" s="33" t="inlineStr">
        <is>
          <t>SwimCloud</t>
        </is>
      </c>
      <c r="E2070" s="33" t="inlineStr">
        <is>
          <t>2415996</t>
        </is>
      </c>
      <c r="F2070" s="33" t="inlineStr">
        <is>
          <t>27643740</t>
        </is>
      </c>
      <c r="G2070" s="51" t="n">
        <v>43659</v>
      </c>
      <c r="H2070" s="33" t="inlineStr">
        <is>
          <t>PC TERA LCM JOs</t>
        </is>
      </c>
      <c r="I2070" s="33" t="inlineStr">
        <is>
          <t>149023</t>
        </is>
      </c>
      <c r="J2070" s="33" t="inlineStr"/>
      <c r="K2070" s="33" t="inlineStr">
        <is>
          <t>FIN</t>
        </is>
      </c>
      <c r="L2070" s="35">
        <f>IF(K2070="FIN",3,IF(OR(K2070="SEM",K2070="SEMI"),2,IF(OR(K2070="PRE",K2070="HEAT"),1,IF(V2070="YES",4,2))))</f>
        <v/>
      </c>
      <c r="M2070" s="33" t="inlineStr">
        <is>
          <t>LCM</t>
        </is>
      </c>
      <c r="N2070" s="33" t="n">
        <v>100</v>
      </c>
      <c r="O2070" s="33" t="inlineStr">
        <is>
          <t>Free</t>
        </is>
      </c>
      <c r="P2070" s="33" t="inlineStr">
        <is>
          <t>100 Free</t>
        </is>
      </c>
      <c r="Q2070" s="33" t="inlineStr">
        <is>
          <t>LCM_100_FREE</t>
        </is>
      </c>
      <c r="R2070" s="36" t="n">
        <v>65.06</v>
      </c>
      <c r="S2070" s="35">
        <f>IF(R2070="","",IF(R2070&gt;=60,INT(R2070/60)&amp;":"&amp;TEXT(MOD(R2070,60),"00.00"),TEXT(R2070,"0.00")))</f>
        <v/>
      </c>
      <c r="T2070" s="52">
        <f>IFERROR((G2070-INDEX('01_Swimmers'!$E$5:$E$22,MATCH(B2070,'01_Swimmers'!$A$5:$A$22,0)))/'00_Control'!$B$10,"")</f>
        <v/>
      </c>
      <c r="U2070" s="35">
        <f>IF(T2070="","",INT(T2070))</f>
        <v/>
      </c>
      <c r="V2070" s="33" t="inlineStr">
        <is>
          <t>NO</t>
        </is>
      </c>
      <c r="W2070" s="33" t="inlineStr">
        <is>
          <t>YES</t>
        </is>
      </c>
      <c r="X2070" s="33" t="inlineStr">
        <is>
          <t>NO</t>
        </is>
      </c>
      <c r="Y2070" s="33" t="n">
        <v>1</v>
      </c>
      <c r="Z2070" s="33" t="n">
        <v>5</v>
      </c>
      <c r="AA2070" s="33" t="inlineStr">
        <is>
          <t>1</t>
        </is>
      </c>
      <c r="AB2070" s="33" t="inlineStr">
        <is>
          <t>https://www.swimcloud.com/results/149023/event/58/?id=27643740#time27643740</t>
        </is>
      </c>
      <c r="AC2070" s="33" t="inlineStr">
        <is>
          <t>SwimCloud API v6 2026-10-08</t>
        </is>
      </c>
      <c r="AD2070" s="33" t="inlineStr">
        <is>
          <t>Luka Mijatovic|2019-07-13|LCM|100|Free|65.06|PC TERA LCM JOs|FIN|False</t>
        </is>
      </c>
      <c r="AE2070" s="53">
        <f>G2070+L2070/1000+ROW()/1000000000</f>
        <v/>
      </c>
      <c r="AF2070" s="35">
        <f>IF(C2070&lt;&gt;"Grayson Coulter","",COUNTIFS($C$5:$C$2991,"Grayson Coulter",$Q$5:$Q$2991,Q2070,$AE$5:$AE$2991,"&lt;="&amp;AE2070,$R$5:$R$2991,"&lt;"&amp;R2070))</f>
        <v/>
      </c>
      <c r="AG2070" s="35">
        <f>IF(OR(C2070&lt;&gt;"Grayson Coulter",G2070&lt;'00_Control'!$B$7),"",--(AF2070&lt;5))</f>
        <v/>
      </c>
      <c r="AH2070" s="35">
        <f>IF(OR(C2070&lt;&gt;"Grayson Coulter",G2070&lt;'00_Control'!$B$7),"",--(AF2070&lt;10))</f>
        <v/>
      </c>
      <c r="AI2070" s="35">
        <f>IF(AND(C2070="Grayson Coulter",G2070&gt;='00_Control'!$B$7),"YES","NO")</f>
        <v/>
      </c>
      <c r="AJ2070" s="33" t="inlineStr">
        <is>
          <t>OK</t>
        </is>
      </c>
    </row>
    <row r="2071">
      <c r="A2071" s="33" t="inlineStr">
        <is>
          <t>SM002067</t>
        </is>
      </c>
      <c r="B2071" s="33" t="inlineStr">
        <is>
          <t>SW003</t>
        </is>
      </c>
      <c r="C2071" s="33" t="inlineStr">
        <is>
          <t>Luka Mijatovic</t>
        </is>
      </c>
      <c r="D2071" s="33" t="inlineStr">
        <is>
          <t>SwimCloud</t>
        </is>
      </c>
      <c r="E2071" s="33" t="inlineStr">
        <is>
          <t>2415996</t>
        </is>
      </c>
      <c r="F2071" s="33" t="inlineStr">
        <is>
          <t>27645320</t>
        </is>
      </c>
      <c r="G2071" s="51" t="n">
        <v>43659</v>
      </c>
      <c r="H2071" s="33" t="inlineStr">
        <is>
          <t>PC TERA LCM JOs</t>
        </is>
      </c>
      <c r="I2071" s="33" t="inlineStr">
        <is>
          <t>149023</t>
        </is>
      </c>
      <c r="J2071" s="33" t="inlineStr"/>
      <c r="K2071" s="33" t="inlineStr">
        <is>
          <t>PRE</t>
        </is>
      </c>
      <c r="L2071" s="35">
        <f>IF(K2071="FIN",3,IF(OR(K2071="SEM",K2071="SEMI"),2,IF(OR(K2071="PRE",K2071="HEAT"),1,IF(V2071="YES",4,2))))</f>
        <v/>
      </c>
      <c r="M2071" s="33" t="inlineStr">
        <is>
          <t>LCM</t>
        </is>
      </c>
      <c r="N2071" s="33" t="n">
        <v>200</v>
      </c>
      <c r="O2071" s="33" t="inlineStr">
        <is>
          <t>Free</t>
        </is>
      </c>
      <c r="P2071" s="33" t="inlineStr">
        <is>
          <t>200 Free</t>
        </is>
      </c>
      <c r="Q2071" s="33" t="inlineStr">
        <is>
          <t>LCM_200_FREE</t>
        </is>
      </c>
      <c r="R2071" s="36" t="n">
        <v>145.59</v>
      </c>
      <c r="S2071" s="35">
        <f>IF(R2071="","",IF(R2071&gt;=60,INT(R2071/60)&amp;":"&amp;TEXT(MOD(R2071,60),"00.00"),TEXT(R2071,"0.00")))</f>
        <v/>
      </c>
      <c r="T2071" s="52">
        <f>IFERROR((G2071-INDEX('01_Swimmers'!$E$5:$E$22,MATCH(B2071,'01_Swimmers'!$A$5:$A$22,0)))/'00_Control'!$B$10,"")</f>
        <v/>
      </c>
      <c r="U2071" s="35">
        <f>IF(T2071="","",INT(T2071))</f>
        <v/>
      </c>
      <c r="V2071" s="33" t="inlineStr">
        <is>
          <t>NO</t>
        </is>
      </c>
      <c r="W2071" s="33" t="inlineStr">
        <is>
          <t>YES</t>
        </is>
      </c>
      <c r="X2071" s="33" t="inlineStr">
        <is>
          <t>NO</t>
        </is>
      </c>
      <c r="Y2071" s="33" t="n">
        <v>1</v>
      </c>
      <c r="Z2071" s="33" t="n">
        <v>5</v>
      </c>
      <c r="AA2071" s="33" t="inlineStr">
        <is>
          <t>1</t>
        </is>
      </c>
      <c r="AB2071" s="33" t="inlineStr">
        <is>
          <t>https://www.swimcloud.com/results/149023/event/44/?id=27645320#time27645320</t>
        </is>
      </c>
      <c r="AC2071" s="33" t="inlineStr">
        <is>
          <t>SwimCloud API v6 2026-10-08</t>
        </is>
      </c>
      <c r="AD2071" s="33" t="inlineStr">
        <is>
          <t>Luka Mijatovic|2019-07-13|LCM|200|Free|145.59|PC TERA LCM JOs|PRE|False</t>
        </is>
      </c>
      <c r="AE2071" s="53">
        <f>G2071+L2071/1000+ROW()/1000000000</f>
        <v/>
      </c>
      <c r="AF2071" s="35">
        <f>IF(C2071&lt;&gt;"Grayson Coulter","",COUNTIFS($C$5:$C$2991,"Grayson Coulter",$Q$5:$Q$2991,Q2071,$AE$5:$AE$2991,"&lt;="&amp;AE2071,$R$5:$R$2991,"&lt;"&amp;R2071))</f>
        <v/>
      </c>
      <c r="AG2071" s="35">
        <f>IF(OR(C2071&lt;&gt;"Grayson Coulter",G2071&lt;'00_Control'!$B$7),"",--(AF2071&lt;5))</f>
        <v/>
      </c>
      <c r="AH2071" s="35">
        <f>IF(OR(C2071&lt;&gt;"Grayson Coulter",G2071&lt;'00_Control'!$B$7),"",--(AF2071&lt;10))</f>
        <v/>
      </c>
      <c r="AI2071" s="35">
        <f>IF(AND(C2071="Grayson Coulter",G2071&gt;='00_Control'!$B$7),"YES","NO")</f>
        <v/>
      </c>
      <c r="AJ2071" s="33" t="inlineStr">
        <is>
          <t>OK</t>
        </is>
      </c>
    </row>
    <row r="2072">
      <c r="A2072" s="33" t="inlineStr">
        <is>
          <t>SM002068</t>
        </is>
      </c>
      <c r="B2072" s="33" t="inlineStr">
        <is>
          <t>SW003</t>
        </is>
      </c>
      <c r="C2072" s="33" t="inlineStr">
        <is>
          <t>Luka Mijatovic</t>
        </is>
      </c>
      <c r="D2072" s="33" t="inlineStr">
        <is>
          <t>SwimCloud</t>
        </is>
      </c>
      <c r="E2072" s="33" t="inlineStr">
        <is>
          <t>2415996</t>
        </is>
      </c>
      <c r="F2072" s="33" t="inlineStr">
        <is>
          <t>27645321</t>
        </is>
      </c>
      <c r="G2072" s="51" t="n">
        <v>43659</v>
      </c>
      <c r="H2072" s="33" t="inlineStr">
        <is>
          <t>PC TERA LCM JOs</t>
        </is>
      </c>
      <c r="I2072" s="33" t="inlineStr">
        <is>
          <t>149023</t>
        </is>
      </c>
      <c r="J2072" s="33" t="inlineStr"/>
      <c r="K2072" s="33" t="inlineStr">
        <is>
          <t>FIN</t>
        </is>
      </c>
      <c r="L2072" s="35">
        <f>IF(K2072="FIN",3,IF(OR(K2072="SEM",K2072="SEMI"),2,IF(OR(K2072="PRE",K2072="HEAT"),1,IF(V2072="YES",4,2))))</f>
        <v/>
      </c>
      <c r="M2072" s="33" t="inlineStr">
        <is>
          <t>LCM</t>
        </is>
      </c>
      <c r="N2072" s="33" t="n">
        <v>200</v>
      </c>
      <c r="O2072" s="33" t="inlineStr">
        <is>
          <t>Free</t>
        </is>
      </c>
      <c r="P2072" s="33" t="inlineStr">
        <is>
          <t>200 Free</t>
        </is>
      </c>
      <c r="Q2072" s="33" t="inlineStr">
        <is>
          <t>LCM_200_FREE</t>
        </is>
      </c>
      <c r="R2072" s="36" t="n">
        <v>139.88</v>
      </c>
      <c r="S2072" s="35">
        <f>IF(R2072="","",IF(R2072&gt;=60,INT(R2072/60)&amp;":"&amp;TEXT(MOD(R2072,60),"00.00"),TEXT(R2072,"0.00")))</f>
        <v/>
      </c>
      <c r="T2072" s="52">
        <f>IFERROR((G2072-INDEX('01_Swimmers'!$E$5:$E$22,MATCH(B2072,'01_Swimmers'!$A$5:$A$22,0)))/'00_Control'!$B$10,"")</f>
        <v/>
      </c>
      <c r="U2072" s="35">
        <f>IF(T2072="","",INT(T2072))</f>
        <v/>
      </c>
      <c r="V2072" s="33" t="inlineStr">
        <is>
          <t>NO</t>
        </is>
      </c>
      <c r="W2072" s="33" t="inlineStr">
        <is>
          <t>YES</t>
        </is>
      </c>
      <c r="X2072" s="33" t="inlineStr">
        <is>
          <t>NO</t>
        </is>
      </c>
      <c r="Y2072" s="33" t="n">
        <v>1</v>
      </c>
      <c r="Z2072" s="33" t="n">
        <v>5</v>
      </c>
      <c r="AA2072" s="33" t="inlineStr">
        <is>
          <t>1</t>
        </is>
      </c>
      <c r="AB2072" s="33" t="inlineStr">
        <is>
          <t>https://www.swimcloud.com/results/149023/event/44/?id=27645321#time27645321</t>
        </is>
      </c>
      <c r="AC2072" s="33" t="inlineStr">
        <is>
          <t>SwimCloud API v6 2026-10-08</t>
        </is>
      </c>
      <c r="AD2072" s="33" t="inlineStr">
        <is>
          <t>Luka Mijatovic|2019-07-13|LCM|200|Free|139.88|PC TERA LCM JOs|FIN|False</t>
        </is>
      </c>
      <c r="AE2072" s="53">
        <f>G2072+L2072/1000+ROW()/1000000000</f>
        <v/>
      </c>
      <c r="AF2072" s="35">
        <f>IF(C2072&lt;&gt;"Grayson Coulter","",COUNTIFS($C$5:$C$2991,"Grayson Coulter",$Q$5:$Q$2991,Q2072,$AE$5:$AE$2991,"&lt;="&amp;AE2072,$R$5:$R$2991,"&lt;"&amp;R2072))</f>
        <v/>
      </c>
      <c r="AG2072" s="35">
        <f>IF(OR(C2072&lt;&gt;"Grayson Coulter",G2072&lt;'00_Control'!$B$7),"",--(AF2072&lt;5))</f>
        <v/>
      </c>
      <c r="AH2072" s="35">
        <f>IF(OR(C2072&lt;&gt;"Grayson Coulter",G2072&lt;'00_Control'!$B$7),"",--(AF2072&lt;10))</f>
        <v/>
      </c>
      <c r="AI2072" s="35">
        <f>IF(AND(C2072="Grayson Coulter",G2072&gt;='00_Control'!$B$7),"YES","NO")</f>
        <v/>
      </c>
      <c r="AJ2072" s="33" t="inlineStr">
        <is>
          <t>OK</t>
        </is>
      </c>
    </row>
    <row r="2073">
      <c r="A2073" s="33" t="inlineStr">
        <is>
          <t>SM002069</t>
        </is>
      </c>
      <c r="B2073" s="33" t="inlineStr">
        <is>
          <t>SW003</t>
        </is>
      </c>
      <c r="C2073" s="33" t="inlineStr">
        <is>
          <t>Luka Mijatovic</t>
        </is>
      </c>
      <c r="D2073" s="33" t="inlineStr">
        <is>
          <t>SwimCloud</t>
        </is>
      </c>
      <c r="E2073" s="33" t="inlineStr">
        <is>
          <t>2415996</t>
        </is>
      </c>
      <c r="F2073" s="33" t="inlineStr">
        <is>
          <t>27643813</t>
        </is>
      </c>
      <c r="G2073" s="51" t="n">
        <v>43660</v>
      </c>
      <c r="H2073" s="33" t="inlineStr">
        <is>
          <t>PC TERA LCM JOs</t>
        </is>
      </c>
      <c r="I2073" s="33" t="inlineStr">
        <is>
          <t>149023</t>
        </is>
      </c>
      <c r="J2073" s="33" t="inlineStr"/>
      <c r="K2073" s="33" t="inlineStr">
        <is>
          <t>PRE</t>
        </is>
      </c>
      <c r="L2073" s="35">
        <f>IF(K2073="FIN",3,IF(OR(K2073="SEM",K2073="SEMI"),2,IF(OR(K2073="PRE",K2073="HEAT"),1,IF(V2073="YES",4,2))))</f>
        <v/>
      </c>
      <c r="M2073" s="33" t="inlineStr">
        <is>
          <t>LCM</t>
        </is>
      </c>
      <c r="N2073" s="33" t="n">
        <v>100</v>
      </c>
      <c r="O2073" s="33" t="inlineStr">
        <is>
          <t>Fly</t>
        </is>
      </c>
      <c r="P2073" s="33" t="inlineStr">
        <is>
          <t>100 Fly</t>
        </is>
      </c>
      <c r="Q2073" s="33" t="inlineStr">
        <is>
          <t>LCM_100_FLY</t>
        </is>
      </c>
      <c r="R2073" s="36" t="n">
        <v>76.09999999999999</v>
      </c>
      <c r="S2073" s="35">
        <f>IF(R2073="","",IF(R2073&gt;=60,INT(R2073/60)&amp;":"&amp;TEXT(MOD(R2073,60),"00.00"),TEXT(R2073,"0.00")))</f>
        <v/>
      </c>
      <c r="T2073" s="52">
        <f>IFERROR((G2073-INDEX('01_Swimmers'!$E$5:$E$22,MATCH(B2073,'01_Swimmers'!$A$5:$A$22,0)))/'00_Control'!$B$10,"")</f>
        <v/>
      </c>
      <c r="U2073" s="35">
        <f>IF(T2073="","",INT(T2073))</f>
        <v/>
      </c>
      <c r="V2073" s="33" t="inlineStr">
        <is>
          <t>NO</t>
        </is>
      </c>
      <c r="W2073" s="33" t="inlineStr">
        <is>
          <t>YES</t>
        </is>
      </c>
      <c r="X2073" s="33" t="inlineStr">
        <is>
          <t>NO</t>
        </is>
      </c>
      <c r="Y2073" s="33" t="n">
        <v>1</v>
      </c>
      <c r="Z2073" s="33" t="n">
        <v>5</v>
      </c>
      <c r="AA2073" s="33" t="inlineStr">
        <is>
          <t>1</t>
        </is>
      </c>
      <c r="AB2073" s="33" t="inlineStr">
        <is>
          <t>https://www.swimcloud.com/results/149023/event/80/?id=27643813#time27643813</t>
        </is>
      </c>
      <c r="AC2073" s="33" t="inlineStr">
        <is>
          <t>SwimCloud API v6 2026-10-08</t>
        </is>
      </c>
      <c r="AD2073" s="33" t="inlineStr">
        <is>
          <t>Luka Mijatovic|2019-07-14|LCM|100|Fly|76.1|PC TERA LCM JOs|PRE|False</t>
        </is>
      </c>
      <c r="AE2073" s="53">
        <f>G2073+L2073/1000+ROW()/1000000000</f>
        <v/>
      </c>
      <c r="AF2073" s="35">
        <f>IF(C2073&lt;&gt;"Grayson Coulter","",COUNTIFS($C$5:$C$2991,"Grayson Coulter",$Q$5:$Q$2991,Q2073,$AE$5:$AE$2991,"&lt;="&amp;AE2073,$R$5:$R$2991,"&lt;"&amp;R2073))</f>
        <v/>
      </c>
      <c r="AG2073" s="35">
        <f>IF(OR(C2073&lt;&gt;"Grayson Coulter",G2073&lt;'00_Control'!$B$7),"",--(AF2073&lt;5))</f>
        <v/>
      </c>
      <c r="AH2073" s="35">
        <f>IF(OR(C2073&lt;&gt;"Grayson Coulter",G2073&lt;'00_Control'!$B$7),"",--(AF2073&lt;10))</f>
        <v/>
      </c>
      <c r="AI2073" s="35">
        <f>IF(AND(C2073="Grayson Coulter",G2073&gt;='00_Control'!$B$7),"YES","NO")</f>
        <v/>
      </c>
      <c r="AJ2073" s="33" t="inlineStr">
        <is>
          <t>OK</t>
        </is>
      </c>
    </row>
    <row r="2074">
      <c r="A2074" s="33" t="inlineStr">
        <is>
          <t>SM002070</t>
        </is>
      </c>
      <c r="B2074" s="33" t="inlineStr">
        <is>
          <t>SW003</t>
        </is>
      </c>
      <c r="C2074" s="33" t="inlineStr">
        <is>
          <t>Luka Mijatovic</t>
        </is>
      </c>
      <c r="D2074" s="33" t="inlineStr">
        <is>
          <t>SwimCloud</t>
        </is>
      </c>
      <c r="E2074" s="33" t="inlineStr">
        <is>
          <t>2415996</t>
        </is>
      </c>
      <c r="F2074" s="33" t="inlineStr">
        <is>
          <t>27643814</t>
        </is>
      </c>
      <c r="G2074" s="51" t="n">
        <v>43660</v>
      </c>
      <c r="H2074" s="33" t="inlineStr">
        <is>
          <t>PC TERA LCM JOs</t>
        </is>
      </c>
      <c r="I2074" s="33" t="inlineStr">
        <is>
          <t>149023</t>
        </is>
      </c>
      <c r="J2074" s="33" t="inlineStr"/>
      <c r="K2074" s="33" t="inlineStr">
        <is>
          <t>FIN</t>
        </is>
      </c>
      <c r="L2074" s="35">
        <f>IF(K2074="FIN",3,IF(OR(K2074="SEM",K2074="SEMI"),2,IF(OR(K2074="PRE",K2074="HEAT"),1,IF(V2074="YES",4,2))))</f>
        <v/>
      </c>
      <c r="M2074" s="33" t="inlineStr">
        <is>
          <t>LCM</t>
        </is>
      </c>
      <c r="N2074" s="33" t="n">
        <v>100</v>
      </c>
      <c r="O2074" s="33" t="inlineStr">
        <is>
          <t>Fly</t>
        </is>
      </c>
      <c r="P2074" s="33" t="inlineStr">
        <is>
          <t>100 Fly</t>
        </is>
      </c>
      <c r="Q2074" s="33" t="inlineStr">
        <is>
          <t>LCM_100_FLY</t>
        </is>
      </c>
      <c r="R2074" s="36" t="n">
        <v>71.63</v>
      </c>
      <c r="S2074" s="35">
        <f>IF(R2074="","",IF(R2074&gt;=60,INT(R2074/60)&amp;":"&amp;TEXT(MOD(R2074,60),"00.00"),TEXT(R2074,"0.00")))</f>
        <v/>
      </c>
      <c r="T2074" s="52">
        <f>IFERROR((G2074-INDEX('01_Swimmers'!$E$5:$E$22,MATCH(B2074,'01_Swimmers'!$A$5:$A$22,0)))/'00_Control'!$B$10,"")</f>
        <v/>
      </c>
      <c r="U2074" s="35">
        <f>IF(T2074="","",INT(T2074))</f>
        <v/>
      </c>
      <c r="V2074" s="33" t="inlineStr">
        <is>
          <t>NO</t>
        </is>
      </c>
      <c r="W2074" s="33" t="inlineStr">
        <is>
          <t>YES</t>
        </is>
      </c>
      <c r="X2074" s="33" t="inlineStr">
        <is>
          <t>NO</t>
        </is>
      </c>
      <c r="Y2074" s="33" t="n">
        <v>1</v>
      </c>
      <c r="Z2074" s="33" t="n">
        <v>5</v>
      </c>
      <c r="AA2074" s="33" t="inlineStr">
        <is>
          <t>1</t>
        </is>
      </c>
      <c r="AB2074" s="33" t="inlineStr">
        <is>
          <t>https://www.swimcloud.com/results/149023/event/80/?id=27643814#time27643814</t>
        </is>
      </c>
      <c r="AC2074" s="33" t="inlineStr">
        <is>
          <t>SwimCloud API v6 2026-10-08</t>
        </is>
      </c>
      <c r="AD2074" s="33" t="inlineStr">
        <is>
          <t>Luka Mijatovic|2019-07-14|LCM|100|Fly|71.63|PC TERA LCM JOs|FIN|False</t>
        </is>
      </c>
      <c r="AE2074" s="53">
        <f>G2074+L2074/1000+ROW()/1000000000</f>
        <v/>
      </c>
      <c r="AF2074" s="35">
        <f>IF(C2074&lt;&gt;"Grayson Coulter","",COUNTIFS($C$5:$C$2991,"Grayson Coulter",$Q$5:$Q$2991,Q2074,$AE$5:$AE$2991,"&lt;="&amp;AE2074,$R$5:$R$2991,"&lt;"&amp;R2074))</f>
        <v/>
      </c>
      <c r="AG2074" s="35">
        <f>IF(OR(C2074&lt;&gt;"Grayson Coulter",G2074&lt;'00_Control'!$B$7),"",--(AF2074&lt;5))</f>
        <v/>
      </c>
      <c r="AH2074" s="35">
        <f>IF(OR(C2074&lt;&gt;"Grayson Coulter",G2074&lt;'00_Control'!$B$7),"",--(AF2074&lt;10))</f>
        <v/>
      </c>
      <c r="AI2074" s="35">
        <f>IF(AND(C2074="Grayson Coulter",G2074&gt;='00_Control'!$B$7),"YES","NO")</f>
        <v/>
      </c>
      <c r="AJ2074" s="33" t="inlineStr">
        <is>
          <t>OK</t>
        </is>
      </c>
    </row>
    <row r="2075">
      <c r="A2075" s="33" t="inlineStr">
        <is>
          <t>SM002071</t>
        </is>
      </c>
      <c r="B2075" s="33" t="inlineStr">
        <is>
          <t>SW003</t>
        </is>
      </c>
      <c r="C2075" s="33" t="inlineStr">
        <is>
          <t>Luka Mijatovic</t>
        </is>
      </c>
      <c r="D2075" s="33" t="inlineStr">
        <is>
          <t>SwimCloud</t>
        </is>
      </c>
      <c r="E2075" s="33" t="inlineStr">
        <is>
          <t>2415996</t>
        </is>
      </c>
      <c r="F2075" s="33" t="inlineStr">
        <is>
          <t>28252518</t>
        </is>
      </c>
      <c r="G2075" s="51" t="n">
        <v>43671</v>
      </c>
      <c r="H2075" s="33" t="inlineStr">
        <is>
          <t>PC OAPB Far Western LCM Championships</t>
        </is>
      </c>
      <c r="I2075" s="33" t="inlineStr">
        <is>
          <t>130239</t>
        </is>
      </c>
      <c r="J2075" s="33" t="inlineStr"/>
      <c r="K2075" s="33" t="inlineStr">
        <is>
          <t>PRE</t>
        </is>
      </c>
      <c r="L2075" s="35">
        <f>IF(K2075="FIN",3,IF(OR(K2075="SEM",K2075="SEMI"),2,IF(OR(K2075="PRE",K2075="HEAT"),1,IF(V2075="YES",4,2))))</f>
        <v/>
      </c>
      <c r="M2075" s="33" t="inlineStr">
        <is>
          <t>LCM</t>
        </is>
      </c>
      <c r="N2075" s="33" t="n">
        <v>100</v>
      </c>
      <c r="O2075" s="33" t="inlineStr">
        <is>
          <t>Fly</t>
        </is>
      </c>
      <c r="P2075" s="33" t="inlineStr">
        <is>
          <t>100 Fly</t>
        </is>
      </c>
      <c r="Q2075" s="33" t="inlineStr">
        <is>
          <t>LCM_100_FLY</t>
        </is>
      </c>
      <c r="R2075" s="36" t="n">
        <v>72.56999999999999</v>
      </c>
      <c r="S2075" s="35">
        <f>IF(R2075="","",IF(R2075&gt;=60,INT(R2075/60)&amp;":"&amp;TEXT(MOD(R2075,60),"00.00"),TEXT(R2075,"0.00")))</f>
        <v/>
      </c>
      <c r="T2075" s="52">
        <f>IFERROR((G2075-INDEX('01_Swimmers'!$E$5:$E$22,MATCH(B2075,'01_Swimmers'!$A$5:$A$22,0)))/'00_Control'!$B$10,"")</f>
        <v/>
      </c>
      <c r="U2075" s="35">
        <f>IF(T2075="","",INT(T2075))</f>
        <v/>
      </c>
      <c r="V2075" s="33" t="inlineStr">
        <is>
          <t>NO</t>
        </is>
      </c>
      <c r="W2075" s="33" t="inlineStr">
        <is>
          <t>YES</t>
        </is>
      </c>
      <c r="X2075" s="33" t="inlineStr">
        <is>
          <t>NO</t>
        </is>
      </c>
      <c r="Y2075" s="33" t="n">
        <v>1</v>
      </c>
      <c r="Z2075" s="33" t="n">
        <v>4</v>
      </c>
      <c r="AA2075" s="33" t="inlineStr">
        <is>
          <t>1</t>
        </is>
      </c>
      <c r="AB2075" s="33" t="inlineStr">
        <is>
          <t>https://www.swimcloud.com/results/130239/event/6/?id=28252518#time28252518</t>
        </is>
      </c>
      <c r="AC2075" s="33" t="inlineStr">
        <is>
          <t>SwimCloud API v6 2026-10-08</t>
        </is>
      </c>
      <c r="AD2075" s="33" t="inlineStr">
        <is>
          <t>Luka Mijatovic|2019-07-25|LCM|100|Fly|72.57|PC OAPB Far Western LCM Championships|PRE|False</t>
        </is>
      </c>
      <c r="AE2075" s="53">
        <f>G2075+L2075/1000+ROW()/1000000000</f>
        <v/>
      </c>
      <c r="AF2075" s="35">
        <f>IF(C2075&lt;&gt;"Grayson Coulter","",COUNTIFS($C$5:$C$2991,"Grayson Coulter",$Q$5:$Q$2991,Q2075,$AE$5:$AE$2991,"&lt;="&amp;AE2075,$R$5:$R$2991,"&lt;"&amp;R2075))</f>
        <v/>
      </c>
      <c r="AG2075" s="35">
        <f>IF(OR(C2075&lt;&gt;"Grayson Coulter",G2075&lt;'00_Control'!$B$7),"",--(AF2075&lt;5))</f>
        <v/>
      </c>
      <c r="AH2075" s="35">
        <f>IF(OR(C2075&lt;&gt;"Grayson Coulter",G2075&lt;'00_Control'!$B$7),"",--(AF2075&lt;10))</f>
        <v/>
      </c>
      <c r="AI2075" s="35">
        <f>IF(AND(C2075="Grayson Coulter",G2075&gt;='00_Control'!$B$7),"YES","NO")</f>
        <v/>
      </c>
      <c r="AJ2075" s="33" t="inlineStr">
        <is>
          <t>OK</t>
        </is>
      </c>
    </row>
    <row r="2076">
      <c r="A2076" s="33" t="inlineStr">
        <is>
          <t>SM002072</t>
        </is>
      </c>
      <c r="B2076" s="33" t="inlineStr">
        <is>
          <t>SW003</t>
        </is>
      </c>
      <c r="C2076" s="33" t="inlineStr">
        <is>
          <t>Luka Mijatovic</t>
        </is>
      </c>
      <c r="D2076" s="33" t="inlineStr">
        <is>
          <t>SwimCloud</t>
        </is>
      </c>
      <c r="E2076" s="33" t="inlineStr">
        <is>
          <t>2415996</t>
        </is>
      </c>
      <c r="F2076" s="33" t="inlineStr">
        <is>
          <t>28252519</t>
        </is>
      </c>
      <c r="G2076" s="51" t="n">
        <v>43671</v>
      </c>
      <c r="H2076" s="33" t="inlineStr">
        <is>
          <t>PC OAPB Far Western LCM Championships</t>
        </is>
      </c>
      <c r="I2076" s="33" t="inlineStr">
        <is>
          <t>130239</t>
        </is>
      </c>
      <c r="J2076" s="33" t="inlineStr"/>
      <c r="K2076" s="33" t="inlineStr">
        <is>
          <t>FIN</t>
        </is>
      </c>
      <c r="L2076" s="35">
        <f>IF(K2076="FIN",3,IF(OR(K2076="SEM",K2076="SEMI"),2,IF(OR(K2076="PRE",K2076="HEAT"),1,IF(V2076="YES",4,2))))</f>
        <v/>
      </c>
      <c r="M2076" s="33" t="inlineStr">
        <is>
          <t>LCM</t>
        </is>
      </c>
      <c r="N2076" s="33" t="n">
        <v>100</v>
      </c>
      <c r="O2076" s="33" t="inlineStr">
        <is>
          <t>Fly</t>
        </is>
      </c>
      <c r="P2076" s="33" t="inlineStr">
        <is>
          <t>100 Fly</t>
        </is>
      </c>
      <c r="Q2076" s="33" t="inlineStr">
        <is>
          <t>LCM_100_FLY</t>
        </is>
      </c>
      <c r="R2076" s="36" t="n">
        <v>71.23999999999999</v>
      </c>
      <c r="S2076" s="35">
        <f>IF(R2076="","",IF(R2076&gt;=60,INT(R2076/60)&amp;":"&amp;TEXT(MOD(R2076,60),"00.00"),TEXT(R2076,"0.00")))</f>
        <v/>
      </c>
      <c r="T2076" s="52">
        <f>IFERROR((G2076-INDEX('01_Swimmers'!$E$5:$E$22,MATCH(B2076,'01_Swimmers'!$A$5:$A$22,0)))/'00_Control'!$B$10,"")</f>
        <v/>
      </c>
      <c r="U2076" s="35">
        <f>IF(T2076="","",INT(T2076))</f>
        <v/>
      </c>
      <c r="V2076" s="33" t="inlineStr">
        <is>
          <t>NO</t>
        </is>
      </c>
      <c r="W2076" s="33" t="inlineStr">
        <is>
          <t>YES</t>
        </is>
      </c>
      <c r="X2076" s="33" t="inlineStr">
        <is>
          <t>NO</t>
        </is>
      </c>
      <c r="Y2076" s="33" t="n">
        <v>1</v>
      </c>
      <c r="Z2076" s="33" t="n">
        <v>4</v>
      </c>
      <c r="AA2076" s="33" t="inlineStr">
        <is>
          <t>1</t>
        </is>
      </c>
      <c r="AB2076" s="33" t="inlineStr">
        <is>
          <t>https://www.swimcloud.com/results/130239/event/6/?id=28252519#time28252519</t>
        </is>
      </c>
      <c r="AC2076" s="33" t="inlineStr">
        <is>
          <t>SwimCloud API v6 2026-10-08</t>
        </is>
      </c>
      <c r="AD2076" s="33" t="inlineStr">
        <is>
          <t>Luka Mijatovic|2019-07-25|LCM|100|Fly|71.24|PC OAPB Far Western LCM Championships|FIN|False</t>
        </is>
      </c>
      <c r="AE2076" s="53">
        <f>G2076+L2076/1000+ROW()/1000000000</f>
        <v/>
      </c>
      <c r="AF2076" s="35">
        <f>IF(C2076&lt;&gt;"Grayson Coulter","",COUNTIFS($C$5:$C$2991,"Grayson Coulter",$Q$5:$Q$2991,Q2076,$AE$5:$AE$2991,"&lt;="&amp;AE2076,$R$5:$R$2991,"&lt;"&amp;R2076))</f>
        <v/>
      </c>
      <c r="AG2076" s="35">
        <f>IF(OR(C2076&lt;&gt;"Grayson Coulter",G2076&lt;'00_Control'!$B$7),"",--(AF2076&lt;5))</f>
        <v/>
      </c>
      <c r="AH2076" s="35">
        <f>IF(OR(C2076&lt;&gt;"Grayson Coulter",G2076&lt;'00_Control'!$B$7),"",--(AF2076&lt;10))</f>
        <v/>
      </c>
      <c r="AI2076" s="35">
        <f>IF(AND(C2076="Grayson Coulter",G2076&gt;='00_Control'!$B$7),"YES","NO")</f>
        <v/>
      </c>
      <c r="AJ2076" s="33" t="inlineStr">
        <is>
          <t>OK</t>
        </is>
      </c>
    </row>
    <row r="2077">
      <c r="A2077" s="33" t="inlineStr">
        <is>
          <t>SM002073</t>
        </is>
      </c>
      <c r="B2077" s="33" t="inlineStr">
        <is>
          <t>SW003</t>
        </is>
      </c>
      <c r="C2077" s="33" t="inlineStr">
        <is>
          <t>Luka Mijatovic</t>
        </is>
      </c>
      <c r="D2077" s="33" t="inlineStr">
        <is>
          <t>SwimCloud</t>
        </is>
      </c>
      <c r="E2077" s="33" t="inlineStr">
        <is>
          <t>2415996</t>
        </is>
      </c>
      <c r="F2077" s="33" t="inlineStr">
        <is>
          <t>28252547</t>
        </is>
      </c>
      <c r="G2077" s="51" t="n">
        <v>43671</v>
      </c>
      <c r="H2077" s="33" t="inlineStr">
        <is>
          <t>PC OAPB Far Western LCM Championships</t>
        </is>
      </c>
      <c r="I2077" s="33" t="inlineStr">
        <is>
          <t>130239</t>
        </is>
      </c>
      <c r="J2077" s="33" t="inlineStr"/>
      <c r="K2077" s="33" t="inlineStr">
        <is>
          <t>PRE</t>
        </is>
      </c>
      <c r="L2077" s="35">
        <f>IF(K2077="FIN",3,IF(OR(K2077="SEM",K2077="SEMI"),2,IF(OR(K2077="PRE",K2077="HEAT"),1,IF(V2077="YES",4,2))))</f>
        <v/>
      </c>
      <c r="M2077" s="33" t="inlineStr">
        <is>
          <t>LCM</t>
        </is>
      </c>
      <c r="N2077" s="33" t="n">
        <v>100</v>
      </c>
      <c r="O2077" s="33" t="inlineStr">
        <is>
          <t>Free</t>
        </is>
      </c>
      <c r="P2077" s="33" t="inlineStr">
        <is>
          <t>100 Free</t>
        </is>
      </c>
      <c r="Q2077" s="33" t="inlineStr">
        <is>
          <t>LCM_100_FREE</t>
        </is>
      </c>
      <c r="R2077" s="36" t="n">
        <v>66.23</v>
      </c>
      <c r="S2077" s="35">
        <f>IF(R2077="","",IF(R2077&gt;=60,INT(R2077/60)&amp;":"&amp;TEXT(MOD(R2077,60),"00.00"),TEXT(R2077,"0.00")))</f>
        <v/>
      </c>
      <c r="T2077" s="52">
        <f>IFERROR((G2077-INDEX('01_Swimmers'!$E$5:$E$22,MATCH(B2077,'01_Swimmers'!$A$5:$A$22,0)))/'00_Control'!$B$10,"")</f>
        <v/>
      </c>
      <c r="U2077" s="35">
        <f>IF(T2077="","",INT(T2077))</f>
        <v/>
      </c>
      <c r="V2077" s="33" t="inlineStr">
        <is>
          <t>NO</t>
        </is>
      </c>
      <c r="W2077" s="33" t="inlineStr">
        <is>
          <t>YES</t>
        </is>
      </c>
      <c r="X2077" s="33" t="inlineStr">
        <is>
          <t>NO</t>
        </is>
      </c>
      <c r="Y2077" s="33" t="n">
        <v>1</v>
      </c>
      <c r="Z2077" s="33" t="n">
        <v>4</v>
      </c>
      <c r="AA2077" s="33" t="inlineStr">
        <is>
          <t>1</t>
        </is>
      </c>
      <c r="AB2077" s="33" t="inlineStr">
        <is>
          <t>https://www.swimcloud.com/results/130239/event/14/?id=28252547#time28252547</t>
        </is>
      </c>
      <c r="AC2077" s="33" t="inlineStr">
        <is>
          <t>SwimCloud API v6 2026-10-08</t>
        </is>
      </c>
      <c r="AD2077" s="33" t="inlineStr">
        <is>
          <t>Luka Mijatovic|2019-07-25|LCM|100|Free|66.23|PC OAPB Far Western LCM Championships|PRE|False</t>
        </is>
      </c>
      <c r="AE2077" s="53">
        <f>G2077+L2077/1000+ROW()/1000000000</f>
        <v/>
      </c>
      <c r="AF2077" s="35">
        <f>IF(C2077&lt;&gt;"Grayson Coulter","",COUNTIFS($C$5:$C$2991,"Grayson Coulter",$Q$5:$Q$2991,Q2077,$AE$5:$AE$2991,"&lt;="&amp;AE2077,$R$5:$R$2991,"&lt;"&amp;R2077))</f>
        <v/>
      </c>
      <c r="AG2077" s="35">
        <f>IF(OR(C2077&lt;&gt;"Grayson Coulter",G2077&lt;'00_Control'!$B$7),"",--(AF2077&lt;5))</f>
        <v/>
      </c>
      <c r="AH2077" s="35">
        <f>IF(OR(C2077&lt;&gt;"Grayson Coulter",G2077&lt;'00_Control'!$B$7),"",--(AF2077&lt;10))</f>
        <v/>
      </c>
      <c r="AI2077" s="35">
        <f>IF(AND(C2077="Grayson Coulter",G2077&gt;='00_Control'!$B$7),"YES","NO")</f>
        <v/>
      </c>
      <c r="AJ2077" s="33" t="inlineStr">
        <is>
          <t>OK</t>
        </is>
      </c>
    </row>
    <row r="2078">
      <c r="A2078" s="33" t="inlineStr">
        <is>
          <t>SM002074</t>
        </is>
      </c>
      <c r="B2078" s="33" t="inlineStr">
        <is>
          <t>SW003</t>
        </is>
      </c>
      <c r="C2078" s="33" t="inlineStr">
        <is>
          <t>Luka Mijatovic</t>
        </is>
      </c>
      <c r="D2078" s="33" t="inlineStr">
        <is>
          <t>SwimCloud</t>
        </is>
      </c>
      <c r="E2078" s="33" t="inlineStr">
        <is>
          <t>2415996</t>
        </is>
      </c>
      <c r="F2078" s="33" t="inlineStr">
        <is>
          <t>28252548</t>
        </is>
      </c>
      <c r="G2078" s="51" t="n">
        <v>43671</v>
      </c>
      <c r="H2078" s="33" t="inlineStr">
        <is>
          <t>PC OAPB Far Western LCM Championships</t>
        </is>
      </c>
      <c r="I2078" s="33" t="inlineStr">
        <is>
          <t>130239</t>
        </is>
      </c>
      <c r="J2078" s="33" t="inlineStr"/>
      <c r="K2078" s="33" t="inlineStr">
        <is>
          <t>FIN</t>
        </is>
      </c>
      <c r="L2078" s="35">
        <f>IF(K2078="FIN",3,IF(OR(K2078="SEM",K2078="SEMI"),2,IF(OR(K2078="PRE",K2078="HEAT"),1,IF(V2078="YES",4,2))))</f>
        <v/>
      </c>
      <c r="M2078" s="33" t="inlineStr">
        <is>
          <t>LCM</t>
        </is>
      </c>
      <c r="N2078" s="33" t="n">
        <v>100</v>
      </c>
      <c r="O2078" s="33" t="inlineStr">
        <is>
          <t>Free</t>
        </is>
      </c>
      <c r="P2078" s="33" t="inlineStr">
        <is>
          <t>100 Free</t>
        </is>
      </c>
      <c r="Q2078" s="33" t="inlineStr">
        <is>
          <t>LCM_100_FREE</t>
        </is>
      </c>
      <c r="R2078" s="36" t="n">
        <v>64.48999999999999</v>
      </c>
      <c r="S2078" s="35">
        <f>IF(R2078="","",IF(R2078&gt;=60,INT(R2078/60)&amp;":"&amp;TEXT(MOD(R2078,60),"00.00"),TEXT(R2078,"0.00")))</f>
        <v/>
      </c>
      <c r="T2078" s="52">
        <f>IFERROR((G2078-INDEX('01_Swimmers'!$E$5:$E$22,MATCH(B2078,'01_Swimmers'!$A$5:$A$22,0)))/'00_Control'!$B$10,"")</f>
        <v/>
      </c>
      <c r="U2078" s="35">
        <f>IF(T2078="","",INT(T2078))</f>
        <v/>
      </c>
      <c r="V2078" s="33" t="inlineStr">
        <is>
          <t>NO</t>
        </is>
      </c>
      <c r="W2078" s="33" t="inlineStr">
        <is>
          <t>YES</t>
        </is>
      </c>
      <c r="X2078" s="33" t="inlineStr">
        <is>
          <t>NO</t>
        </is>
      </c>
      <c r="Y2078" s="33" t="n">
        <v>1</v>
      </c>
      <c r="Z2078" s="33" t="n">
        <v>4</v>
      </c>
      <c r="AA2078" s="33" t="inlineStr">
        <is>
          <t>1</t>
        </is>
      </c>
      <c r="AB2078" s="33" t="inlineStr">
        <is>
          <t>https://www.swimcloud.com/results/130239/event/14/?id=28252548#time28252548</t>
        </is>
      </c>
      <c r="AC2078" s="33" t="inlineStr">
        <is>
          <t>SwimCloud API v6 2026-10-08</t>
        </is>
      </c>
      <c r="AD2078" s="33" t="inlineStr">
        <is>
          <t>Luka Mijatovic|2019-07-25|LCM|100|Free|64.49|PC OAPB Far Western LCM Championships|FIN|False</t>
        </is>
      </c>
      <c r="AE2078" s="53">
        <f>G2078+L2078/1000+ROW()/1000000000</f>
        <v/>
      </c>
      <c r="AF2078" s="35">
        <f>IF(C2078&lt;&gt;"Grayson Coulter","",COUNTIFS($C$5:$C$2991,"Grayson Coulter",$Q$5:$Q$2991,Q2078,$AE$5:$AE$2991,"&lt;="&amp;AE2078,$R$5:$R$2991,"&lt;"&amp;R2078))</f>
        <v/>
      </c>
      <c r="AG2078" s="35">
        <f>IF(OR(C2078&lt;&gt;"Grayson Coulter",G2078&lt;'00_Control'!$B$7),"",--(AF2078&lt;5))</f>
        <v/>
      </c>
      <c r="AH2078" s="35">
        <f>IF(OR(C2078&lt;&gt;"Grayson Coulter",G2078&lt;'00_Control'!$B$7),"",--(AF2078&lt;10))</f>
        <v/>
      </c>
      <c r="AI2078" s="35">
        <f>IF(AND(C2078="Grayson Coulter",G2078&gt;='00_Control'!$B$7),"YES","NO")</f>
        <v/>
      </c>
      <c r="AJ2078" s="33" t="inlineStr">
        <is>
          <t>OK</t>
        </is>
      </c>
    </row>
    <row r="2079">
      <c r="A2079" s="33" t="inlineStr">
        <is>
          <t>SM002075</t>
        </is>
      </c>
      <c r="B2079" s="33" t="inlineStr">
        <is>
          <t>SW003</t>
        </is>
      </c>
      <c r="C2079" s="33" t="inlineStr">
        <is>
          <t>Luka Mijatovic</t>
        </is>
      </c>
      <c r="D2079" s="33" t="inlineStr">
        <is>
          <t>SwimCloud</t>
        </is>
      </c>
      <c r="E2079" s="33" t="inlineStr">
        <is>
          <t>2415996</t>
        </is>
      </c>
      <c r="F2079" s="33" t="inlineStr">
        <is>
          <t>28252626</t>
        </is>
      </c>
      <c r="G2079" s="51" t="n">
        <v>43672</v>
      </c>
      <c r="H2079" s="33" t="inlineStr">
        <is>
          <t>PC OAPB Far Western LCM Championships</t>
        </is>
      </c>
      <c r="I2079" s="33" t="inlineStr">
        <is>
          <t>130239</t>
        </is>
      </c>
      <c r="J2079" s="33" t="inlineStr"/>
      <c r="K2079" s="33" t="inlineStr">
        <is>
          <t>PRE</t>
        </is>
      </c>
      <c r="L2079" s="35">
        <f>IF(K2079="FIN",3,IF(OR(K2079="SEM",K2079="SEMI"),2,IF(OR(K2079="PRE",K2079="HEAT"),1,IF(V2079="YES",4,2))))</f>
        <v/>
      </c>
      <c r="M2079" s="33" t="inlineStr">
        <is>
          <t>LCM</t>
        </is>
      </c>
      <c r="N2079" s="33" t="n">
        <v>400</v>
      </c>
      <c r="O2079" s="33" t="inlineStr">
        <is>
          <t>Free</t>
        </is>
      </c>
      <c r="P2079" s="33" t="inlineStr">
        <is>
          <t>400 Free</t>
        </is>
      </c>
      <c r="Q2079" s="33" t="inlineStr">
        <is>
          <t>LCM_400_FREE</t>
        </is>
      </c>
      <c r="R2079" s="36" t="n">
        <v>299.73</v>
      </c>
      <c r="S2079" s="35">
        <f>IF(R2079="","",IF(R2079&gt;=60,INT(R2079/60)&amp;":"&amp;TEXT(MOD(R2079,60),"00.00"),TEXT(R2079,"0.00")))</f>
        <v/>
      </c>
      <c r="T2079" s="52">
        <f>IFERROR((G2079-INDEX('01_Swimmers'!$E$5:$E$22,MATCH(B2079,'01_Swimmers'!$A$5:$A$22,0)))/'00_Control'!$B$10,"")</f>
        <v/>
      </c>
      <c r="U2079" s="35">
        <f>IF(T2079="","",INT(T2079))</f>
        <v/>
      </c>
      <c r="V2079" s="33" t="inlineStr">
        <is>
          <t>NO</t>
        </is>
      </c>
      <c r="W2079" s="33" t="inlineStr">
        <is>
          <t>YES</t>
        </is>
      </c>
      <c r="X2079" s="33" t="inlineStr">
        <is>
          <t>NO</t>
        </is>
      </c>
      <c r="Y2079" s="33" t="n">
        <v>1</v>
      </c>
      <c r="Z2079" s="33" t="n">
        <v>4</v>
      </c>
      <c r="AA2079" s="33" t="inlineStr">
        <is>
          <t>1</t>
        </is>
      </c>
      <c r="AB2079" s="33" t="inlineStr">
        <is>
          <t>https://www.swimcloud.com/results/130239/event/56/?id=28252626#time28252626</t>
        </is>
      </c>
      <c r="AC2079" s="33" t="inlineStr">
        <is>
          <t>SwimCloud API v6 2026-10-08</t>
        </is>
      </c>
      <c r="AD2079" s="33" t="inlineStr">
        <is>
          <t>Luka Mijatovic|2019-07-26|LCM|400|Free|299.73|PC OAPB Far Western LCM Championships|PRE|False</t>
        </is>
      </c>
      <c r="AE2079" s="53">
        <f>G2079+L2079/1000+ROW()/1000000000</f>
        <v/>
      </c>
      <c r="AF2079" s="35">
        <f>IF(C2079&lt;&gt;"Grayson Coulter","",COUNTIFS($C$5:$C$2991,"Grayson Coulter",$Q$5:$Q$2991,Q2079,$AE$5:$AE$2991,"&lt;="&amp;AE2079,$R$5:$R$2991,"&lt;"&amp;R2079))</f>
        <v/>
      </c>
      <c r="AG2079" s="35">
        <f>IF(OR(C2079&lt;&gt;"Grayson Coulter",G2079&lt;'00_Control'!$B$7),"",--(AF2079&lt;5))</f>
        <v/>
      </c>
      <c r="AH2079" s="35">
        <f>IF(OR(C2079&lt;&gt;"Grayson Coulter",G2079&lt;'00_Control'!$B$7),"",--(AF2079&lt;10))</f>
        <v/>
      </c>
      <c r="AI2079" s="35">
        <f>IF(AND(C2079="Grayson Coulter",G2079&gt;='00_Control'!$B$7),"YES","NO")</f>
        <v/>
      </c>
      <c r="AJ2079" s="33" t="inlineStr">
        <is>
          <t>OK</t>
        </is>
      </c>
    </row>
    <row r="2080">
      <c r="A2080" s="33" t="inlineStr">
        <is>
          <t>SM002076</t>
        </is>
      </c>
      <c r="B2080" s="33" t="inlineStr">
        <is>
          <t>SW003</t>
        </is>
      </c>
      <c r="C2080" s="33" t="inlineStr">
        <is>
          <t>Luka Mijatovic</t>
        </is>
      </c>
      <c r="D2080" s="33" t="inlineStr">
        <is>
          <t>SwimCloud</t>
        </is>
      </c>
      <c r="E2080" s="33" t="inlineStr">
        <is>
          <t>2415996</t>
        </is>
      </c>
      <c r="F2080" s="33" t="inlineStr">
        <is>
          <t>28252627</t>
        </is>
      </c>
      <c r="G2080" s="51" t="n">
        <v>43672</v>
      </c>
      <c r="H2080" s="33" t="inlineStr">
        <is>
          <t>PC OAPB Far Western LCM Championships</t>
        </is>
      </c>
      <c r="I2080" s="33" t="inlineStr">
        <is>
          <t>130239</t>
        </is>
      </c>
      <c r="J2080" s="33" t="inlineStr"/>
      <c r="K2080" s="33" t="inlineStr">
        <is>
          <t>FIN</t>
        </is>
      </c>
      <c r="L2080" s="35">
        <f>IF(K2080="FIN",3,IF(OR(K2080="SEM",K2080="SEMI"),2,IF(OR(K2080="PRE",K2080="HEAT"),1,IF(V2080="YES",4,2))))</f>
        <v/>
      </c>
      <c r="M2080" s="33" t="inlineStr">
        <is>
          <t>LCM</t>
        </is>
      </c>
      <c r="N2080" s="33" t="n">
        <v>400</v>
      </c>
      <c r="O2080" s="33" t="inlineStr">
        <is>
          <t>Free</t>
        </is>
      </c>
      <c r="P2080" s="33" t="inlineStr">
        <is>
          <t>400 Free</t>
        </is>
      </c>
      <c r="Q2080" s="33" t="inlineStr">
        <is>
          <t>LCM_400_FREE</t>
        </is>
      </c>
      <c r="R2080" s="36" t="n">
        <v>290.7</v>
      </c>
      <c r="S2080" s="35">
        <f>IF(R2080="","",IF(R2080&gt;=60,INT(R2080/60)&amp;":"&amp;TEXT(MOD(R2080,60),"00.00"),TEXT(R2080,"0.00")))</f>
        <v/>
      </c>
      <c r="T2080" s="52">
        <f>IFERROR((G2080-INDEX('01_Swimmers'!$E$5:$E$22,MATCH(B2080,'01_Swimmers'!$A$5:$A$22,0)))/'00_Control'!$B$10,"")</f>
        <v/>
      </c>
      <c r="U2080" s="35">
        <f>IF(T2080="","",INT(T2080))</f>
        <v/>
      </c>
      <c r="V2080" s="33" t="inlineStr">
        <is>
          <t>NO</t>
        </is>
      </c>
      <c r="W2080" s="33" t="inlineStr">
        <is>
          <t>YES</t>
        </is>
      </c>
      <c r="X2080" s="33" t="inlineStr">
        <is>
          <t>NO</t>
        </is>
      </c>
      <c r="Y2080" s="33" t="n">
        <v>1</v>
      </c>
      <c r="Z2080" s="33" t="n">
        <v>4</v>
      </c>
      <c r="AA2080" s="33" t="inlineStr">
        <is>
          <t>1</t>
        </is>
      </c>
      <c r="AB2080" s="33" t="inlineStr">
        <is>
          <t>https://www.swimcloud.com/results/130239/event/56/?id=28252627#time28252627</t>
        </is>
      </c>
      <c r="AC2080" s="33" t="inlineStr">
        <is>
          <t>SwimCloud API v6 2026-10-08</t>
        </is>
      </c>
      <c r="AD2080" s="33" t="inlineStr">
        <is>
          <t>Luka Mijatovic|2019-07-26|LCM|400|Free|290.7|PC OAPB Far Western LCM Championships|FIN|False</t>
        </is>
      </c>
      <c r="AE2080" s="53">
        <f>G2080+L2080/1000+ROW()/1000000000</f>
        <v/>
      </c>
      <c r="AF2080" s="35">
        <f>IF(C2080&lt;&gt;"Grayson Coulter","",COUNTIFS($C$5:$C$2991,"Grayson Coulter",$Q$5:$Q$2991,Q2080,$AE$5:$AE$2991,"&lt;="&amp;AE2080,$R$5:$R$2991,"&lt;"&amp;R2080))</f>
        <v/>
      </c>
      <c r="AG2080" s="35">
        <f>IF(OR(C2080&lt;&gt;"Grayson Coulter",G2080&lt;'00_Control'!$B$7),"",--(AF2080&lt;5))</f>
        <v/>
      </c>
      <c r="AH2080" s="35">
        <f>IF(OR(C2080&lt;&gt;"Grayson Coulter",G2080&lt;'00_Control'!$B$7),"",--(AF2080&lt;10))</f>
        <v/>
      </c>
      <c r="AI2080" s="35">
        <f>IF(AND(C2080="Grayson Coulter",G2080&gt;='00_Control'!$B$7),"YES","NO")</f>
        <v/>
      </c>
      <c r="AJ2080" s="33" t="inlineStr">
        <is>
          <t>OK</t>
        </is>
      </c>
    </row>
    <row r="2081">
      <c r="A2081" s="33" t="inlineStr">
        <is>
          <t>SM002077</t>
        </is>
      </c>
      <c r="B2081" s="33" t="inlineStr">
        <is>
          <t>SW003</t>
        </is>
      </c>
      <c r="C2081" s="33" t="inlineStr">
        <is>
          <t>Luka Mijatovic</t>
        </is>
      </c>
      <c r="D2081" s="33" t="inlineStr">
        <is>
          <t>SwimCloud</t>
        </is>
      </c>
      <c r="E2081" s="33" t="inlineStr">
        <is>
          <t>2415996</t>
        </is>
      </c>
      <c r="F2081" s="33" t="inlineStr">
        <is>
          <t>28253233</t>
        </is>
      </c>
      <c r="G2081" s="51" t="n">
        <v>43674</v>
      </c>
      <c r="H2081" s="33" t="inlineStr">
        <is>
          <t>PC OAPB Far Western LCM Championships</t>
        </is>
      </c>
      <c r="I2081" s="33" t="inlineStr">
        <is>
          <t>130239</t>
        </is>
      </c>
      <c r="J2081" s="33" t="inlineStr"/>
      <c r="K2081" s="33" t="inlineStr">
        <is>
          <t>PRE</t>
        </is>
      </c>
      <c r="L2081" s="35">
        <f>IF(K2081="FIN",3,IF(OR(K2081="SEM",K2081="SEMI"),2,IF(OR(K2081="PRE",K2081="HEAT"),1,IF(V2081="YES",4,2))))</f>
        <v/>
      </c>
      <c r="M2081" s="33" t="inlineStr">
        <is>
          <t>LCM</t>
        </is>
      </c>
      <c r="N2081" s="33" t="n">
        <v>200</v>
      </c>
      <c r="O2081" s="33" t="inlineStr">
        <is>
          <t>Free</t>
        </is>
      </c>
      <c r="P2081" s="33" t="inlineStr">
        <is>
          <t>200 Free</t>
        </is>
      </c>
      <c r="Q2081" s="33" t="inlineStr">
        <is>
          <t>LCM_200_FREE</t>
        </is>
      </c>
      <c r="R2081" s="36" t="n">
        <v>145.13</v>
      </c>
      <c r="S2081" s="35">
        <f>IF(R2081="","",IF(R2081&gt;=60,INT(R2081/60)&amp;":"&amp;TEXT(MOD(R2081,60),"00.00"),TEXT(R2081,"0.00")))</f>
        <v/>
      </c>
      <c r="T2081" s="52">
        <f>IFERROR((G2081-INDEX('01_Swimmers'!$E$5:$E$22,MATCH(B2081,'01_Swimmers'!$A$5:$A$22,0)))/'00_Control'!$B$10,"")</f>
        <v/>
      </c>
      <c r="U2081" s="35">
        <f>IF(T2081="","",INT(T2081))</f>
        <v/>
      </c>
      <c r="V2081" s="33" t="inlineStr">
        <is>
          <t>NO</t>
        </is>
      </c>
      <c r="W2081" s="33" t="inlineStr">
        <is>
          <t>YES</t>
        </is>
      </c>
      <c r="X2081" s="33" t="inlineStr">
        <is>
          <t>NO</t>
        </is>
      </c>
      <c r="Y2081" s="33" t="n">
        <v>1</v>
      </c>
      <c r="Z2081" s="33" t="n">
        <v>4</v>
      </c>
      <c r="AA2081" s="33" t="inlineStr">
        <is>
          <t>1</t>
        </is>
      </c>
      <c r="AB2081" s="33" t="inlineStr">
        <is>
          <t>https://www.swimcloud.com/results/130239/event/106/?id=28253233#time28253233</t>
        </is>
      </c>
      <c r="AC2081" s="33" t="inlineStr">
        <is>
          <t>SwimCloud API v6 2026-10-08</t>
        </is>
      </c>
      <c r="AD2081" s="33" t="inlineStr">
        <is>
          <t>Luka Mijatovic|2019-07-28|LCM|200|Free|145.13|PC OAPB Far Western LCM Championships|PRE|False</t>
        </is>
      </c>
      <c r="AE2081" s="53">
        <f>G2081+L2081/1000+ROW()/1000000000</f>
        <v/>
      </c>
      <c r="AF2081" s="35">
        <f>IF(C2081&lt;&gt;"Grayson Coulter","",COUNTIFS($C$5:$C$2991,"Grayson Coulter",$Q$5:$Q$2991,Q2081,$AE$5:$AE$2991,"&lt;="&amp;AE2081,$R$5:$R$2991,"&lt;"&amp;R2081))</f>
        <v/>
      </c>
      <c r="AG2081" s="35">
        <f>IF(OR(C2081&lt;&gt;"Grayson Coulter",G2081&lt;'00_Control'!$B$7),"",--(AF2081&lt;5))</f>
        <v/>
      </c>
      <c r="AH2081" s="35">
        <f>IF(OR(C2081&lt;&gt;"Grayson Coulter",G2081&lt;'00_Control'!$B$7),"",--(AF2081&lt;10))</f>
        <v/>
      </c>
      <c r="AI2081" s="35">
        <f>IF(AND(C2081="Grayson Coulter",G2081&gt;='00_Control'!$B$7),"YES","NO")</f>
        <v/>
      </c>
      <c r="AJ2081" s="33" t="inlineStr">
        <is>
          <t>OK</t>
        </is>
      </c>
    </row>
    <row r="2082">
      <c r="A2082" s="33" t="inlineStr">
        <is>
          <t>SM002078</t>
        </is>
      </c>
      <c r="B2082" s="33" t="inlineStr">
        <is>
          <t>SW003</t>
        </is>
      </c>
      <c r="C2082" s="33" t="inlineStr">
        <is>
          <t>Luka Mijatovic</t>
        </is>
      </c>
      <c r="D2082" s="33" t="inlineStr">
        <is>
          <t>SwimCloud</t>
        </is>
      </c>
      <c r="E2082" s="33" t="inlineStr">
        <is>
          <t>2415996</t>
        </is>
      </c>
      <c r="F2082" s="33" t="inlineStr">
        <is>
          <t>28253234</t>
        </is>
      </c>
      <c r="G2082" s="51" t="n">
        <v>43674</v>
      </c>
      <c r="H2082" s="33" t="inlineStr">
        <is>
          <t>PC OAPB Far Western LCM Championships</t>
        </is>
      </c>
      <c r="I2082" s="33" t="inlineStr">
        <is>
          <t>130239</t>
        </is>
      </c>
      <c r="J2082" s="33" t="inlineStr"/>
      <c r="K2082" s="33" t="inlineStr">
        <is>
          <t>FIN</t>
        </is>
      </c>
      <c r="L2082" s="35">
        <f>IF(K2082="FIN",3,IF(OR(K2082="SEM",K2082="SEMI"),2,IF(OR(K2082="PRE",K2082="HEAT"),1,IF(V2082="YES",4,2))))</f>
        <v/>
      </c>
      <c r="M2082" s="33" t="inlineStr">
        <is>
          <t>LCM</t>
        </is>
      </c>
      <c r="N2082" s="33" t="n">
        <v>200</v>
      </c>
      <c r="O2082" s="33" t="inlineStr">
        <is>
          <t>Free</t>
        </is>
      </c>
      <c r="P2082" s="33" t="inlineStr">
        <is>
          <t>200 Free</t>
        </is>
      </c>
      <c r="Q2082" s="33" t="inlineStr">
        <is>
          <t>LCM_200_FREE</t>
        </is>
      </c>
      <c r="R2082" s="36" t="n">
        <v>139.95</v>
      </c>
      <c r="S2082" s="35">
        <f>IF(R2082="","",IF(R2082&gt;=60,INT(R2082/60)&amp;":"&amp;TEXT(MOD(R2082,60),"00.00"),TEXT(R2082,"0.00")))</f>
        <v/>
      </c>
      <c r="T2082" s="52">
        <f>IFERROR((G2082-INDEX('01_Swimmers'!$E$5:$E$22,MATCH(B2082,'01_Swimmers'!$A$5:$A$22,0)))/'00_Control'!$B$10,"")</f>
        <v/>
      </c>
      <c r="U2082" s="35">
        <f>IF(T2082="","",INT(T2082))</f>
        <v/>
      </c>
      <c r="V2082" s="33" t="inlineStr">
        <is>
          <t>NO</t>
        </is>
      </c>
      <c r="W2082" s="33" t="inlineStr">
        <is>
          <t>YES</t>
        </is>
      </c>
      <c r="X2082" s="33" t="inlineStr">
        <is>
          <t>NO</t>
        </is>
      </c>
      <c r="Y2082" s="33" t="n">
        <v>1</v>
      </c>
      <c r="Z2082" s="33" t="n">
        <v>4</v>
      </c>
      <c r="AA2082" s="33" t="inlineStr">
        <is>
          <t>1</t>
        </is>
      </c>
      <c r="AB2082" s="33" t="inlineStr">
        <is>
          <t>https://www.swimcloud.com/results/130239/event/106/?id=28253234#time28253234</t>
        </is>
      </c>
      <c r="AC2082" s="33" t="inlineStr">
        <is>
          <t>SwimCloud API v6 2026-10-08</t>
        </is>
      </c>
      <c r="AD2082" s="33" t="inlineStr">
        <is>
          <t>Luka Mijatovic|2019-07-28|LCM|200|Free|139.95|PC OAPB Far Western LCM Championships|FIN|False</t>
        </is>
      </c>
      <c r="AE2082" s="53">
        <f>G2082+L2082/1000+ROW()/1000000000</f>
        <v/>
      </c>
      <c r="AF2082" s="35">
        <f>IF(C2082&lt;&gt;"Grayson Coulter","",COUNTIFS($C$5:$C$2991,"Grayson Coulter",$Q$5:$Q$2991,Q2082,$AE$5:$AE$2991,"&lt;="&amp;AE2082,$R$5:$R$2991,"&lt;"&amp;R2082))</f>
        <v/>
      </c>
      <c r="AG2082" s="35">
        <f>IF(OR(C2082&lt;&gt;"Grayson Coulter",G2082&lt;'00_Control'!$B$7),"",--(AF2082&lt;5))</f>
        <v/>
      </c>
      <c r="AH2082" s="35">
        <f>IF(OR(C2082&lt;&gt;"Grayson Coulter",G2082&lt;'00_Control'!$B$7),"",--(AF2082&lt;10))</f>
        <v/>
      </c>
      <c r="AI2082" s="35">
        <f>IF(AND(C2082="Grayson Coulter",G2082&gt;='00_Control'!$B$7),"YES","NO")</f>
        <v/>
      </c>
      <c r="AJ2082" s="33" t="inlineStr">
        <is>
          <t>OK</t>
        </is>
      </c>
    </row>
    <row r="2083">
      <c r="A2083" s="33" t="inlineStr">
        <is>
          <t>SM002079</t>
        </is>
      </c>
      <c r="B2083" s="33" t="inlineStr">
        <is>
          <t>SW003</t>
        </is>
      </c>
      <c r="C2083" s="33" t="inlineStr">
        <is>
          <t>Luka Mijatovic</t>
        </is>
      </c>
      <c r="D2083" s="33" t="inlineStr">
        <is>
          <t>SwimCloud</t>
        </is>
      </c>
      <c r="E2083" s="33" t="inlineStr">
        <is>
          <t>2415996</t>
        </is>
      </c>
      <c r="F2083" s="33" t="inlineStr">
        <is>
          <t>28660373</t>
        </is>
      </c>
      <c r="G2083" s="51" t="n">
        <v>43684</v>
      </c>
      <c r="H2083" s="33" t="inlineStr">
        <is>
          <t>Western Zone Age Group Championship</t>
        </is>
      </c>
      <c r="I2083" s="33" t="inlineStr">
        <is>
          <t>132991</t>
        </is>
      </c>
      <c r="J2083" s="33" t="inlineStr"/>
      <c r="K2083" s="33" t="inlineStr">
        <is>
          <t>PRE</t>
        </is>
      </c>
      <c r="L2083" s="35">
        <f>IF(K2083="FIN",3,IF(OR(K2083="SEM",K2083="SEMI"),2,IF(OR(K2083="PRE",K2083="HEAT"),1,IF(V2083="YES",4,2))))</f>
        <v/>
      </c>
      <c r="M2083" s="33" t="inlineStr">
        <is>
          <t>LCM</t>
        </is>
      </c>
      <c r="N2083" s="33" t="n">
        <v>200</v>
      </c>
      <c r="O2083" s="33" t="inlineStr">
        <is>
          <t>Free</t>
        </is>
      </c>
      <c r="P2083" s="33" t="inlineStr">
        <is>
          <t>200 Free</t>
        </is>
      </c>
      <c r="Q2083" s="33" t="inlineStr">
        <is>
          <t>LCM_200_FREE</t>
        </is>
      </c>
      <c r="R2083" s="36" t="n">
        <v>142.58</v>
      </c>
      <c r="S2083" s="35">
        <f>IF(R2083="","",IF(R2083&gt;=60,INT(R2083/60)&amp;":"&amp;TEXT(MOD(R2083,60),"00.00"),TEXT(R2083,"0.00")))</f>
        <v/>
      </c>
      <c r="T2083" s="52">
        <f>IFERROR((G2083-INDEX('01_Swimmers'!$E$5:$E$22,MATCH(B2083,'01_Swimmers'!$A$5:$A$22,0)))/'00_Control'!$B$10,"")</f>
        <v/>
      </c>
      <c r="U2083" s="35">
        <f>IF(T2083="","",INT(T2083))</f>
        <v/>
      </c>
      <c r="V2083" s="33" t="inlineStr">
        <is>
          <t>NO</t>
        </is>
      </c>
      <c r="W2083" s="33" t="inlineStr">
        <is>
          <t>YES</t>
        </is>
      </c>
      <c r="X2083" s="33" t="inlineStr">
        <is>
          <t>NO</t>
        </is>
      </c>
      <c r="Y2083" s="33" t="n">
        <v>3</v>
      </c>
      <c r="Z2083" s="33" t="n">
        <v>4</v>
      </c>
      <c r="AA2083" s="33" t="inlineStr">
        <is>
          <t>1</t>
        </is>
      </c>
      <c r="AB2083" s="33" t="inlineStr">
        <is>
          <t>https://www.swimcloud.com/results/132991/event/10/?id=28660373#time28660373</t>
        </is>
      </c>
      <c r="AC2083" s="33" t="inlineStr">
        <is>
          <t>SwimCloud API v6 2026-10-08</t>
        </is>
      </c>
      <c r="AD2083" s="33" t="inlineStr">
        <is>
          <t>Luka Mijatovic|2019-08-07|LCM|200|Free|142.58|Western Zone Age Group Championship|PRE|False</t>
        </is>
      </c>
      <c r="AE2083" s="53">
        <f>G2083+L2083/1000+ROW()/1000000000</f>
        <v/>
      </c>
      <c r="AF2083" s="35">
        <f>IF(C2083&lt;&gt;"Grayson Coulter","",COUNTIFS($C$5:$C$2991,"Grayson Coulter",$Q$5:$Q$2991,Q2083,$AE$5:$AE$2991,"&lt;="&amp;AE2083,$R$5:$R$2991,"&lt;"&amp;R2083))</f>
        <v/>
      </c>
      <c r="AG2083" s="35">
        <f>IF(OR(C2083&lt;&gt;"Grayson Coulter",G2083&lt;'00_Control'!$B$7),"",--(AF2083&lt;5))</f>
        <v/>
      </c>
      <c r="AH2083" s="35">
        <f>IF(OR(C2083&lt;&gt;"Grayson Coulter",G2083&lt;'00_Control'!$B$7),"",--(AF2083&lt;10))</f>
        <v/>
      </c>
      <c r="AI2083" s="35">
        <f>IF(AND(C2083="Grayson Coulter",G2083&gt;='00_Control'!$B$7),"YES","NO")</f>
        <v/>
      </c>
      <c r="AJ2083" s="33" t="inlineStr">
        <is>
          <t>OK</t>
        </is>
      </c>
    </row>
    <row r="2084">
      <c r="A2084" s="33" t="inlineStr">
        <is>
          <t>SM002080</t>
        </is>
      </c>
      <c r="B2084" s="33" t="inlineStr">
        <is>
          <t>SW003</t>
        </is>
      </c>
      <c r="C2084" s="33" t="inlineStr">
        <is>
          <t>Luka Mijatovic</t>
        </is>
      </c>
      <c r="D2084" s="33" t="inlineStr">
        <is>
          <t>SwimCloud</t>
        </is>
      </c>
      <c r="E2084" s="33" t="inlineStr">
        <is>
          <t>2415996</t>
        </is>
      </c>
      <c r="F2084" s="33" t="inlineStr">
        <is>
          <t>28660374</t>
        </is>
      </c>
      <c r="G2084" s="51" t="n">
        <v>43684</v>
      </c>
      <c r="H2084" s="33" t="inlineStr">
        <is>
          <t>Western Zone Age Group Championship</t>
        </is>
      </c>
      <c r="I2084" s="33" t="inlineStr">
        <is>
          <t>132991</t>
        </is>
      </c>
      <c r="J2084" s="33" t="inlineStr"/>
      <c r="K2084" s="33" t="inlineStr">
        <is>
          <t>FIN</t>
        </is>
      </c>
      <c r="L2084" s="35">
        <f>IF(K2084="FIN",3,IF(OR(K2084="SEM",K2084="SEMI"),2,IF(OR(K2084="PRE",K2084="HEAT"),1,IF(V2084="YES",4,2))))</f>
        <v/>
      </c>
      <c r="M2084" s="33" t="inlineStr">
        <is>
          <t>LCM</t>
        </is>
      </c>
      <c r="N2084" s="33" t="n">
        <v>200</v>
      </c>
      <c r="O2084" s="33" t="inlineStr">
        <is>
          <t>Free</t>
        </is>
      </c>
      <c r="P2084" s="33" t="inlineStr">
        <is>
          <t>200 Free</t>
        </is>
      </c>
      <c r="Q2084" s="33" t="inlineStr">
        <is>
          <t>LCM_200_FREE</t>
        </is>
      </c>
      <c r="R2084" s="36" t="n">
        <v>138.77</v>
      </c>
      <c r="S2084" s="35">
        <f>IF(R2084="","",IF(R2084&gt;=60,INT(R2084/60)&amp;":"&amp;TEXT(MOD(R2084,60),"00.00"),TEXT(R2084,"0.00")))</f>
        <v/>
      </c>
      <c r="T2084" s="52">
        <f>IFERROR((G2084-INDEX('01_Swimmers'!$E$5:$E$22,MATCH(B2084,'01_Swimmers'!$A$5:$A$22,0)))/'00_Control'!$B$10,"")</f>
        <v/>
      </c>
      <c r="U2084" s="35">
        <f>IF(T2084="","",INT(T2084))</f>
        <v/>
      </c>
      <c r="V2084" s="33" t="inlineStr">
        <is>
          <t>NO</t>
        </is>
      </c>
      <c r="W2084" s="33" t="inlineStr">
        <is>
          <t>YES</t>
        </is>
      </c>
      <c r="X2084" s="33" t="inlineStr">
        <is>
          <t>NO</t>
        </is>
      </c>
      <c r="Y2084" s="33" t="n">
        <v>2</v>
      </c>
      <c r="Z2084" s="33" t="n">
        <v>4</v>
      </c>
      <c r="AA2084" s="33" t="inlineStr">
        <is>
          <t>1</t>
        </is>
      </c>
      <c r="AB2084" s="33" t="inlineStr">
        <is>
          <t>https://www.swimcloud.com/results/132991/event/10/?id=28660374#time28660374</t>
        </is>
      </c>
      <c r="AC2084" s="33" t="inlineStr">
        <is>
          <t>SwimCloud API v6 2026-10-08</t>
        </is>
      </c>
      <c r="AD2084" s="33" t="inlineStr">
        <is>
          <t>Luka Mijatovic|2019-08-07|LCM|200|Free|138.77|Western Zone Age Group Championship|FIN|False</t>
        </is>
      </c>
      <c r="AE2084" s="53">
        <f>G2084+L2084/1000+ROW()/1000000000</f>
        <v/>
      </c>
      <c r="AF2084" s="35">
        <f>IF(C2084&lt;&gt;"Grayson Coulter","",COUNTIFS($C$5:$C$2991,"Grayson Coulter",$Q$5:$Q$2991,Q2084,$AE$5:$AE$2991,"&lt;="&amp;AE2084,$R$5:$R$2991,"&lt;"&amp;R2084))</f>
        <v/>
      </c>
      <c r="AG2084" s="35">
        <f>IF(OR(C2084&lt;&gt;"Grayson Coulter",G2084&lt;'00_Control'!$B$7),"",--(AF2084&lt;5))</f>
        <v/>
      </c>
      <c r="AH2084" s="35">
        <f>IF(OR(C2084&lt;&gt;"Grayson Coulter",G2084&lt;'00_Control'!$B$7),"",--(AF2084&lt;10))</f>
        <v/>
      </c>
      <c r="AI2084" s="35">
        <f>IF(AND(C2084="Grayson Coulter",G2084&gt;='00_Control'!$B$7),"YES","NO")</f>
        <v/>
      </c>
      <c r="AJ2084" s="33" t="inlineStr">
        <is>
          <t>OK</t>
        </is>
      </c>
    </row>
    <row r="2085">
      <c r="A2085" s="33" t="inlineStr">
        <is>
          <t>SM002081</t>
        </is>
      </c>
      <c r="B2085" s="33" t="inlineStr">
        <is>
          <t>SW003</t>
        </is>
      </c>
      <c r="C2085" s="33" t="inlineStr">
        <is>
          <t>Luka Mijatovic</t>
        </is>
      </c>
      <c r="D2085" s="33" t="inlineStr">
        <is>
          <t>SwimCloud</t>
        </is>
      </c>
      <c r="E2085" s="33" t="inlineStr">
        <is>
          <t>2415996</t>
        </is>
      </c>
      <c r="F2085" s="33" t="inlineStr">
        <is>
          <t>28660841</t>
        </is>
      </c>
      <c r="G2085" s="51" t="n">
        <v>43685</v>
      </c>
      <c r="H2085" s="33" t="inlineStr">
        <is>
          <t>Western Zone Age Group Championship</t>
        </is>
      </c>
      <c r="I2085" s="33" t="inlineStr">
        <is>
          <t>132991</t>
        </is>
      </c>
      <c r="J2085" s="33" t="inlineStr"/>
      <c r="K2085" s="33" t="inlineStr">
        <is>
          <t>PRE</t>
        </is>
      </c>
      <c r="L2085" s="35">
        <f>IF(K2085="FIN",3,IF(OR(K2085="SEM",K2085="SEMI"),2,IF(OR(K2085="PRE",K2085="HEAT"),1,IF(V2085="YES",4,2))))</f>
        <v/>
      </c>
      <c r="M2085" s="33" t="inlineStr">
        <is>
          <t>LCM</t>
        </is>
      </c>
      <c r="N2085" s="33" t="n">
        <v>100</v>
      </c>
      <c r="O2085" s="33" t="inlineStr">
        <is>
          <t>Free</t>
        </is>
      </c>
      <c r="P2085" s="33" t="inlineStr">
        <is>
          <t>100 Free</t>
        </is>
      </c>
      <c r="Q2085" s="33" t="inlineStr">
        <is>
          <t>LCM_100_FREE</t>
        </is>
      </c>
      <c r="R2085" s="36" t="n">
        <v>66.05</v>
      </c>
      <c r="S2085" s="35">
        <f>IF(R2085="","",IF(R2085&gt;=60,INT(R2085/60)&amp;":"&amp;TEXT(MOD(R2085,60),"00.00"),TEXT(R2085,"0.00")))</f>
        <v/>
      </c>
      <c r="T2085" s="52">
        <f>IFERROR((G2085-INDEX('01_Swimmers'!$E$5:$E$22,MATCH(B2085,'01_Swimmers'!$A$5:$A$22,0)))/'00_Control'!$B$10,"")</f>
        <v/>
      </c>
      <c r="U2085" s="35">
        <f>IF(T2085="","",INT(T2085))</f>
        <v/>
      </c>
      <c r="V2085" s="33" t="inlineStr">
        <is>
          <t>NO</t>
        </is>
      </c>
      <c r="W2085" s="33" t="inlineStr">
        <is>
          <t>YES</t>
        </is>
      </c>
      <c r="X2085" s="33" t="inlineStr">
        <is>
          <t>NO</t>
        </is>
      </c>
      <c r="Y2085" s="33" t="n">
        <v>3</v>
      </c>
      <c r="Z2085" s="33" t="n">
        <v>4</v>
      </c>
      <c r="AA2085" s="33" t="inlineStr">
        <is>
          <t>3</t>
        </is>
      </c>
      <c r="AB2085" s="33" t="inlineStr">
        <is>
          <t>https://www.swimcloud.com/results/132991/event/28/?id=28660841#time28660841</t>
        </is>
      </c>
      <c r="AC2085" s="33" t="inlineStr">
        <is>
          <t>SwimCloud API v6 2026-10-08</t>
        </is>
      </c>
      <c r="AD2085" s="33" t="inlineStr">
        <is>
          <t>Luka Mijatovic|2019-08-08|LCM|100|Free|66.05|Western Zone Age Group Championship|PRE|False</t>
        </is>
      </c>
      <c r="AE2085" s="53">
        <f>G2085+L2085/1000+ROW()/1000000000</f>
        <v/>
      </c>
      <c r="AF2085" s="35">
        <f>IF(C2085&lt;&gt;"Grayson Coulter","",COUNTIFS($C$5:$C$2991,"Grayson Coulter",$Q$5:$Q$2991,Q2085,$AE$5:$AE$2991,"&lt;="&amp;AE2085,$R$5:$R$2991,"&lt;"&amp;R2085))</f>
        <v/>
      </c>
      <c r="AG2085" s="35">
        <f>IF(OR(C2085&lt;&gt;"Grayson Coulter",G2085&lt;'00_Control'!$B$7),"",--(AF2085&lt;5))</f>
        <v/>
      </c>
      <c r="AH2085" s="35">
        <f>IF(OR(C2085&lt;&gt;"Grayson Coulter",G2085&lt;'00_Control'!$B$7),"",--(AF2085&lt;10))</f>
        <v/>
      </c>
      <c r="AI2085" s="35">
        <f>IF(AND(C2085="Grayson Coulter",G2085&gt;='00_Control'!$B$7),"YES","NO")</f>
        <v/>
      </c>
      <c r="AJ2085" s="33" t="inlineStr">
        <is>
          <t>OK</t>
        </is>
      </c>
    </row>
    <row r="2086">
      <c r="A2086" s="33" t="inlineStr">
        <is>
          <t>SM002082</t>
        </is>
      </c>
      <c r="B2086" s="33" t="inlineStr">
        <is>
          <t>SW003</t>
        </is>
      </c>
      <c r="C2086" s="33" t="inlineStr">
        <is>
          <t>Luka Mijatovic</t>
        </is>
      </c>
      <c r="D2086" s="33" t="inlineStr">
        <is>
          <t>SwimCloud</t>
        </is>
      </c>
      <c r="E2086" s="33" t="inlineStr">
        <is>
          <t>2415996</t>
        </is>
      </c>
      <c r="F2086" s="33" t="inlineStr">
        <is>
          <t>28660842</t>
        </is>
      </c>
      <c r="G2086" s="51" t="n">
        <v>43685</v>
      </c>
      <c r="H2086" s="33" t="inlineStr">
        <is>
          <t>Western Zone Age Group Championship</t>
        </is>
      </c>
      <c r="I2086" s="33" t="inlineStr">
        <is>
          <t>132991</t>
        </is>
      </c>
      <c r="J2086" s="33" t="inlineStr"/>
      <c r="K2086" s="33" t="inlineStr">
        <is>
          <t>FIN</t>
        </is>
      </c>
      <c r="L2086" s="35">
        <f>IF(K2086="FIN",3,IF(OR(K2086="SEM",K2086="SEMI"),2,IF(OR(K2086="PRE",K2086="HEAT"),1,IF(V2086="YES",4,2))))</f>
        <v/>
      </c>
      <c r="M2086" s="33" t="inlineStr">
        <is>
          <t>LCM</t>
        </is>
      </c>
      <c r="N2086" s="33" t="n">
        <v>100</v>
      </c>
      <c r="O2086" s="33" t="inlineStr">
        <is>
          <t>Free</t>
        </is>
      </c>
      <c r="P2086" s="33" t="inlineStr">
        <is>
          <t>100 Free</t>
        </is>
      </c>
      <c r="Q2086" s="33" t="inlineStr">
        <is>
          <t>LCM_100_FREE</t>
        </is>
      </c>
      <c r="R2086" s="36" t="n">
        <v>64.44</v>
      </c>
      <c r="S2086" s="35">
        <f>IF(R2086="","",IF(R2086&gt;=60,INT(R2086/60)&amp;":"&amp;TEXT(MOD(R2086,60),"00.00"),TEXT(R2086,"0.00")))</f>
        <v/>
      </c>
      <c r="T2086" s="52">
        <f>IFERROR((G2086-INDEX('01_Swimmers'!$E$5:$E$22,MATCH(B2086,'01_Swimmers'!$A$5:$A$22,0)))/'00_Control'!$B$10,"")</f>
        <v/>
      </c>
      <c r="U2086" s="35">
        <f>IF(T2086="","",INT(T2086))</f>
        <v/>
      </c>
      <c r="V2086" s="33" t="inlineStr">
        <is>
          <t>NO</t>
        </is>
      </c>
      <c r="W2086" s="33" t="inlineStr">
        <is>
          <t>YES</t>
        </is>
      </c>
      <c r="X2086" s="33" t="inlineStr">
        <is>
          <t>NO</t>
        </is>
      </c>
      <c r="Y2086" s="33" t="n">
        <v>2</v>
      </c>
      <c r="Z2086" s="33" t="n">
        <v>3</v>
      </c>
      <c r="AA2086" s="33" t="inlineStr">
        <is>
          <t>2</t>
        </is>
      </c>
      <c r="AB2086" s="33" t="inlineStr">
        <is>
          <t>https://www.swimcloud.com/results/132991/event/28/?id=28660842#time28660842</t>
        </is>
      </c>
      <c r="AC2086" s="33" t="inlineStr">
        <is>
          <t>SwimCloud API v6 2026-10-08</t>
        </is>
      </c>
      <c r="AD2086" s="33" t="inlineStr">
        <is>
          <t>Luka Mijatovic|2019-08-08|LCM|100|Free|64.44|Western Zone Age Group Championship|FIN|False</t>
        </is>
      </c>
      <c r="AE2086" s="53">
        <f>G2086+L2086/1000+ROW()/1000000000</f>
        <v/>
      </c>
      <c r="AF2086" s="35">
        <f>IF(C2086&lt;&gt;"Grayson Coulter","",COUNTIFS($C$5:$C$2991,"Grayson Coulter",$Q$5:$Q$2991,Q2086,$AE$5:$AE$2991,"&lt;="&amp;AE2086,$R$5:$R$2991,"&lt;"&amp;R2086))</f>
        <v/>
      </c>
      <c r="AG2086" s="35">
        <f>IF(OR(C2086&lt;&gt;"Grayson Coulter",G2086&lt;'00_Control'!$B$7),"",--(AF2086&lt;5))</f>
        <v/>
      </c>
      <c r="AH2086" s="35">
        <f>IF(OR(C2086&lt;&gt;"Grayson Coulter",G2086&lt;'00_Control'!$B$7),"",--(AF2086&lt;10))</f>
        <v/>
      </c>
      <c r="AI2086" s="35">
        <f>IF(AND(C2086="Grayson Coulter",G2086&gt;='00_Control'!$B$7),"YES","NO")</f>
        <v/>
      </c>
      <c r="AJ2086" s="33" t="inlineStr">
        <is>
          <t>OK</t>
        </is>
      </c>
    </row>
    <row r="2087">
      <c r="A2087" s="33" t="inlineStr">
        <is>
          <t>SM002083</t>
        </is>
      </c>
      <c r="B2087" s="33" t="inlineStr">
        <is>
          <t>SW003</t>
        </is>
      </c>
      <c r="C2087" s="33" t="inlineStr">
        <is>
          <t>Luka Mijatovic</t>
        </is>
      </c>
      <c r="D2087" s="33" t="inlineStr">
        <is>
          <t>SwimCloud</t>
        </is>
      </c>
      <c r="E2087" s="33" t="inlineStr">
        <is>
          <t>2415996</t>
        </is>
      </c>
      <c r="F2087" s="33" t="inlineStr">
        <is>
          <t>28660929</t>
        </is>
      </c>
      <c r="G2087" s="51" t="n">
        <v>43687</v>
      </c>
      <c r="H2087" s="33" t="inlineStr">
        <is>
          <t>Western Zone Age Group Championship</t>
        </is>
      </c>
      <c r="I2087" s="33" t="inlineStr">
        <is>
          <t>132991</t>
        </is>
      </c>
      <c r="J2087" s="33" t="inlineStr"/>
      <c r="K2087" s="33" t="inlineStr">
        <is>
          <t>PRE</t>
        </is>
      </c>
      <c r="L2087" s="35">
        <f>IF(K2087="FIN",3,IF(OR(K2087="SEM",K2087="SEMI"),2,IF(OR(K2087="PRE",K2087="HEAT"),1,IF(V2087="YES",4,2))))</f>
        <v/>
      </c>
      <c r="M2087" s="33" t="inlineStr">
        <is>
          <t>LCM</t>
        </is>
      </c>
      <c r="N2087" s="33" t="n">
        <v>100</v>
      </c>
      <c r="O2087" s="33" t="inlineStr">
        <is>
          <t>Fly</t>
        </is>
      </c>
      <c r="P2087" s="33" t="inlineStr">
        <is>
          <t>100 Fly</t>
        </is>
      </c>
      <c r="Q2087" s="33" t="inlineStr">
        <is>
          <t>LCM_100_FLY</t>
        </is>
      </c>
      <c r="R2087" s="36" t="n">
        <v>74.11</v>
      </c>
      <c r="S2087" s="35">
        <f>IF(R2087="","",IF(R2087&gt;=60,INT(R2087/60)&amp;":"&amp;TEXT(MOD(R2087,60),"00.00"),TEXT(R2087,"0.00")))</f>
        <v/>
      </c>
      <c r="T2087" s="52">
        <f>IFERROR((G2087-INDEX('01_Swimmers'!$E$5:$E$22,MATCH(B2087,'01_Swimmers'!$A$5:$A$22,0)))/'00_Control'!$B$10,"")</f>
        <v/>
      </c>
      <c r="U2087" s="35">
        <f>IF(T2087="","",INT(T2087))</f>
        <v/>
      </c>
      <c r="V2087" s="33" t="inlineStr">
        <is>
          <t>NO</t>
        </is>
      </c>
      <c r="W2087" s="33" t="inlineStr">
        <is>
          <t>YES</t>
        </is>
      </c>
      <c r="X2087" s="33" t="inlineStr">
        <is>
          <t>NO</t>
        </is>
      </c>
      <c r="Y2087" s="33" t="n">
        <v>2</v>
      </c>
      <c r="Z2087" s="33" t="n">
        <v>4</v>
      </c>
      <c r="AA2087" s="33" t="inlineStr">
        <is>
          <t>1</t>
        </is>
      </c>
      <c r="AB2087" s="33" t="inlineStr">
        <is>
          <t>https://www.swimcloud.com/results/132991/event/84/?id=28660929#time28660929</t>
        </is>
      </c>
      <c r="AC2087" s="33" t="inlineStr">
        <is>
          <t>SwimCloud API v6 2026-10-08</t>
        </is>
      </c>
      <c r="AD2087" s="33" t="inlineStr">
        <is>
          <t>Luka Mijatovic|2019-08-10|LCM|100|Fly|74.11|Western Zone Age Group Championship|PRE|False</t>
        </is>
      </c>
      <c r="AE2087" s="53">
        <f>G2087+L2087/1000+ROW()/1000000000</f>
        <v/>
      </c>
      <c r="AF2087" s="35">
        <f>IF(C2087&lt;&gt;"Grayson Coulter","",COUNTIFS($C$5:$C$2991,"Grayson Coulter",$Q$5:$Q$2991,Q2087,$AE$5:$AE$2991,"&lt;="&amp;AE2087,$R$5:$R$2991,"&lt;"&amp;R2087))</f>
        <v/>
      </c>
      <c r="AG2087" s="35">
        <f>IF(OR(C2087&lt;&gt;"Grayson Coulter",G2087&lt;'00_Control'!$B$7),"",--(AF2087&lt;5))</f>
        <v/>
      </c>
      <c r="AH2087" s="35">
        <f>IF(OR(C2087&lt;&gt;"Grayson Coulter",G2087&lt;'00_Control'!$B$7),"",--(AF2087&lt;10))</f>
        <v/>
      </c>
      <c r="AI2087" s="35">
        <f>IF(AND(C2087="Grayson Coulter",G2087&gt;='00_Control'!$B$7),"YES","NO")</f>
        <v/>
      </c>
      <c r="AJ2087" s="33" t="inlineStr">
        <is>
          <t>OK</t>
        </is>
      </c>
    </row>
    <row r="2088">
      <c r="A2088" s="33" t="inlineStr">
        <is>
          <t>SM002084</t>
        </is>
      </c>
      <c r="B2088" s="33" t="inlineStr">
        <is>
          <t>SW003</t>
        </is>
      </c>
      <c r="C2088" s="33" t="inlineStr">
        <is>
          <t>Luka Mijatovic</t>
        </is>
      </c>
      <c r="D2088" s="33" t="inlineStr">
        <is>
          <t>SwimCloud</t>
        </is>
      </c>
      <c r="E2088" s="33" t="inlineStr">
        <is>
          <t>2415996</t>
        </is>
      </c>
      <c r="F2088" s="33" t="inlineStr">
        <is>
          <t>28660930</t>
        </is>
      </c>
      <c r="G2088" s="51" t="n">
        <v>43687</v>
      </c>
      <c r="H2088" s="33" t="inlineStr">
        <is>
          <t>Western Zone Age Group Championship</t>
        </is>
      </c>
      <c r="I2088" s="33" t="inlineStr">
        <is>
          <t>132991</t>
        </is>
      </c>
      <c r="J2088" s="33" t="inlineStr"/>
      <c r="K2088" s="33" t="inlineStr">
        <is>
          <t>FIN</t>
        </is>
      </c>
      <c r="L2088" s="35">
        <f>IF(K2088="FIN",3,IF(OR(K2088="SEM",K2088="SEMI"),2,IF(OR(K2088="PRE",K2088="HEAT"),1,IF(V2088="YES",4,2))))</f>
        <v/>
      </c>
      <c r="M2088" s="33" t="inlineStr">
        <is>
          <t>LCM</t>
        </is>
      </c>
      <c r="N2088" s="33" t="n">
        <v>100</v>
      </c>
      <c r="O2088" s="33" t="inlineStr">
        <is>
          <t>Fly</t>
        </is>
      </c>
      <c r="P2088" s="33" t="inlineStr">
        <is>
          <t>100 Fly</t>
        </is>
      </c>
      <c r="Q2088" s="33" t="inlineStr">
        <is>
          <t>LCM_100_FLY</t>
        </is>
      </c>
      <c r="R2088" s="36" t="n">
        <v>72.14</v>
      </c>
      <c r="S2088" s="35">
        <f>IF(R2088="","",IF(R2088&gt;=60,INT(R2088/60)&amp;":"&amp;TEXT(MOD(R2088,60),"00.00"),TEXT(R2088,"0.00")))</f>
        <v/>
      </c>
      <c r="T2088" s="52">
        <f>IFERROR((G2088-INDEX('01_Swimmers'!$E$5:$E$22,MATCH(B2088,'01_Swimmers'!$A$5:$A$22,0)))/'00_Control'!$B$10,"")</f>
        <v/>
      </c>
      <c r="U2088" s="35">
        <f>IF(T2088="","",INT(T2088))</f>
        <v/>
      </c>
      <c r="V2088" s="33" t="inlineStr">
        <is>
          <t>NO</t>
        </is>
      </c>
      <c r="W2088" s="33" t="inlineStr">
        <is>
          <t>YES</t>
        </is>
      </c>
      <c r="X2088" s="33" t="inlineStr">
        <is>
          <t>NO</t>
        </is>
      </c>
      <c r="Y2088" s="33" t="n">
        <v>2</v>
      </c>
      <c r="Z2088" s="33" t="n">
        <v>4</v>
      </c>
      <c r="AA2088" s="33" t="inlineStr">
        <is>
          <t>2</t>
        </is>
      </c>
      <c r="AB2088" s="33" t="inlineStr">
        <is>
          <t>https://www.swimcloud.com/results/132991/event/84/?id=28660930#time28660930</t>
        </is>
      </c>
      <c r="AC2088" s="33" t="inlineStr">
        <is>
          <t>SwimCloud API v6 2026-10-08</t>
        </is>
      </c>
      <c r="AD2088" s="33" t="inlineStr">
        <is>
          <t>Luka Mijatovic|2019-08-10|LCM|100|Fly|72.14|Western Zone Age Group Championship|FIN|False</t>
        </is>
      </c>
      <c r="AE2088" s="53">
        <f>G2088+L2088/1000+ROW()/1000000000</f>
        <v/>
      </c>
      <c r="AF2088" s="35">
        <f>IF(C2088&lt;&gt;"Grayson Coulter","",COUNTIFS($C$5:$C$2991,"Grayson Coulter",$Q$5:$Q$2991,Q2088,$AE$5:$AE$2991,"&lt;="&amp;AE2088,$R$5:$R$2991,"&lt;"&amp;R2088))</f>
        <v/>
      </c>
      <c r="AG2088" s="35">
        <f>IF(OR(C2088&lt;&gt;"Grayson Coulter",G2088&lt;'00_Control'!$B$7),"",--(AF2088&lt;5))</f>
        <v/>
      </c>
      <c r="AH2088" s="35">
        <f>IF(OR(C2088&lt;&gt;"Grayson Coulter",G2088&lt;'00_Control'!$B$7),"",--(AF2088&lt;10))</f>
        <v/>
      </c>
      <c r="AI2088" s="35">
        <f>IF(AND(C2088="Grayson Coulter",G2088&gt;='00_Control'!$B$7),"YES","NO")</f>
        <v/>
      </c>
      <c r="AJ2088" s="33" t="inlineStr">
        <is>
          <t>OK</t>
        </is>
      </c>
    </row>
    <row r="2089">
      <c r="A2089" s="33" t="inlineStr">
        <is>
          <t>SM002085</t>
        </is>
      </c>
      <c r="B2089" s="33" t="inlineStr">
        <is>
          <t>SW003</t>
        </is>
      </c>
      <c r="C2089" s="33" t="inlineStr">
        <is>
          <t>Luka Mijatovic</t>
        </is>
      </c>
      <c r="D2089" s="33" t="inlineStr">
        <is>
          <t>SwimCloud</t>
        </is>
      </c>
      <c r="E2089" s="33" t="inlineStr">
        <is>
          <t>2415996</t>
        </is>
      </c>
      <c r="F2089" s="33" t="inlineStr">
        <is>
          <t>43701900</t>
        </is>
      </c>
      <c r="G2089" s="51" t="n">
        <v>44406</v>
      </c>
      <c r="H2089" s="33" t="inlineStr">
        <is>
          <t>PC TERA Terra Summer Ending LCM</t>
        </is>
      </c>
      <c r="I2089" s="33" t="inlineStr">
        <is>
          <t>201084</t>
        </is>
      </c>
      <c r="J2089" s="33" t="inlineStr"/>
      <c r="K2089" s="33" t="inlineStr">
        <is>
          <t>PRE</t>
        </is>
      </c>
      <c r="L2089" s="35">
        <f>IF(K2089="FIN",3,IF(OR(K2089="SEM",K2089="SEMI"),2,IF(OR(K2089="PRE",K2089="HEAT"),1,IF(V2089="YES",4,2))))</f>
        <v/>
      </c>
      <c r="M2089" s="33" t="inlineStr">
        <is>
          <t>LCM</t>
        </is>
      </c>
      <c r="N2089" s="33" t="n">
        <v>100</v>
      </c>
      <c r="O2089" s="33" t="inlineStr">
        <is>
          <t>Fly</t>
        </is>
      </c>
      <c r="P2089" s="33" t="inlineStr">
        <is>
          <t>100 Fly</t>
        </is>
      </c>
      <c r="Q2089" s="33" t="inlineStr">
        <is>
          <t>LCM_100_FLY</t>
        </is>
      </c>
      <c r="R2089" s="36" t="n">
        <v>67.62</v>
      </c>
      <c r="S2089" s="35">
        <f>IF(R2089="","",IF(R2089&gt;=60,INT(R2089/60)&amp;":"&amp;TEXT(MOD(R2089,60),"00.00"),TEXT(R2089,"0.00")))</f>
        <v/>
      </c>
      <c r="T2089" s="52">
        <f>IFERROR((G2089-INDEX('01_Swimmers'!$E$5:$E$22,MATCH(B2089,'01_Swimmers'!$A$5:$A$22,0)))/'00_Control'!$B$10,"")</f>
        <v/>
      </c>
      <c r="U2089" s="35">
        <f>IF(T2089="","",INT(T2089))</f>
        <v/>
      </c>
      <c r="V2089" s="33" t="inlineStr">
        <is>
          <t>NO</t>
        </is>
      </c>
      <c r="W2089" s="33" t="inlineStr">
        <is>
          <t>YES</t>
        </is>
      </c>
      <c r="X2089" s="33" t="inlineStr">
        <is>
          <t>NO</t>
        </is>
      </c>
      <c r="Y2089" s="33" t="n">
        <v>2</v>
      </c>
      <c r="Z2089" s="33" t="n">
        <v>5</v>
      </c>
      <c r="AA2089" s="33" t="inlineStr">
        <is>
          <t>2</t>
        </is>
      </c>
      <c r="AB2089" s="33" t="inlineStr">
        <is>
          <t>https://www.swimcloud.com/results/201084/event/2/?id=43701900#time43701900</t>
        </is>
      </c>
      <c r="AC2089" s="33" t="inlineStr">
        <is>
          <t>SwimCloud API v6 2026-10-08</t>
        </is>
      </c>
      <c r="AD2089" s="33" t="inlineStr">
        <is>
          <t>Luka Mijatovic|2021-07-29|LCM|100|Fly|67.62|PC TERA Terra Summer Ending LCM|PRE|False</t>
        </is>
      </c>
      <c r="AE2089" s="53">
        <f>G2089+L2089/1000+ROW()/1000000000</f>
        <v/>
      </c>
      <c r="AF2089" s="35">
        <f>IF(C2089&lt;&gt;"Grayson Coulter","",COUNTIFS($C$5:$C$2991,"Grayson Coulter",$Q$5:$Q$2991,Q2089,$AE$5:$AE$2991,"&lt;="&amp;AE2089,$R$5:$R$2991,"&lt;"&amp;R2089))</f>
        <v/>
      </c>
      <c r="AG2089" s="35">
        <f>IF(OR(C2089&lt;&gt;"Grayson Coulter",G2089&lt;'00_Control'!$B$7),"",--(AF2089&lt;5))</f>
        <v/>
      </c>
      <c r="AH2089" s="35">
        <f>IF(OR(C2089&lt;&gt;"Grayson Coulter",G2089&lt;'00_Control'!$B$7),"",--(AF2089&lt;10))</f>
        <v/>
      </c>
      <c r="AI2089" s="35">
        <f>IF(AND(C2089="Grayson Coulter",G2089&gt;='00_Control'!$B$7),"YES","NO")</f>
        <v/>
      </c>
      <c r="AJ2089" s="33" t="inlineStr">
        <is>
          <t>OK</t>
        </is>
      </c>
    </row>
    <row r="2090">
      <c r="A2090" s="33" t="inlineStr">
        <is>
          <t>SM002086</t>
        </is>
      </c>
      <c r="B2090" s="33" t="inlineStr">
        <is>
          <t>SW003</t>
        </is>
      </c>
      <c r="C2090" s="33" t="inlineStr">
        <is>
          <t>Luka Mijatovic</t>
        </is>
      </c>
      <c r="D2090" s="33" t="inlineStr">
        <is>
          <t>SwimCloud</t>
        </is>
      </c>
      <c r="E2090" s="33" t="inlineStr">
        <is>
          <t>2415996</t>
        </is>
      </c>
      <c r="F2090" s="33" t="inlineStr">
        <is>
          <t>43701901</t>
        </is>
      </c>
      <c r="G2090" s="51" t="n">
        <v>44406</v>
      </c>
      <c r="H2090" s="33" t="inlineStr">
        <is>
          <t>PC TERA Terra Summer Ending LCM</t>
        </is>
      </c>
      <c r="I2090" s="33" t="inlineStr">
        <is>
          <t>201084</t>
        </is>
      </c>
      <c r="J2090" s="33" t="inlineStr"/>
      <c r="K2090" s="33" t="inlineStr">
        <is>
          <t>FIN</t>
        </is>
      </c>
      <c r="L2090" s="35">
        <f>IF(K2090="FIN",3,IF(OR(K2090="SEM",K2090="SEMI"),2,IF(OR(K2090="PRE",K2090="HEAT"),1,IF(V2090="YES",4,2))))</f>
        <v/>
      </c>
      <c r="M2090" s="33" t="inlineStr">
        <is>
          <t>LCM</t>
        </is>
      </c>
      <c r="N2090" s="33" t="n">
        <v>100</v>
      </c>
      <c r="O2090" s="33" t="inlineStr">
        <is>
          <t>Fly</t>
        </is>
      </c>
      <c r="P2090" s="33" t="inlineStr">
        <is>
          <t>100 Fly</t>
        </is>
      </c>
      <c r="Q2090" s="33" t="inlineStr">
        <is>
          <t>LCM_100_FLY</t>
        </is>
      </c>
      <c r="R2090" s="36" t="n">
        <v>64.88</v>
      </c>
      <c r="S2090" s="35">
        <f>IF(R2090="","",IF(R2090&gt;=60,INT(R2090/60)&amp;":"&amp;TEXT(MOD(R2090,60),"00.00"),TEXT(R2090,"0.00")))</f>
        <v/>
      </c>
      <c r="T2090" s="52">
        <f>IFERROR((G2090-INDEX('01_Swimmers'!$E$5:$E$22,MATCH(B2090,'01_Swimmers'!$A$5:$A$22,0)))/'00_Control'!$B$10,"")</f>
        <v/>
      </c>
      <c r="U2090" s="35">
        <f>IF(T2090="","",INT(T2090))</f>
        <v/>
      </c>
      <c r="V2090" s="33" t="inlineStr">
        <is>
          <t>NO</t>
        </is>
      </c>
      <c r="W2090" s="33" t="inlineStr">
        <is>
          <t>YES</t>
        </is>
      </c>
      <c r="X2090" s="33" t="inlineStr">
        <is>
          <t>NO</t>
        </is>
      </c>
      <c r="Y2090" s="33" t="n">
        <v>1</v>
      </c>
      <c r="Z2090" s="33" t="n">
        <v>6</v>
      </c>
      <c r="AA2090" s="33" t="inlineStr">
        <is>
          <t>2</t>
        </is>
      </c>
      <c r="AB2090" s="33" t="inlineStr">
        <is>
          <t>https://www.swimcloud.com/results/201084/event/2/?id=43701901#time43701901</t>
        </is>
      </c>
      <c r="AC2090" s="33" t="inlineStr">
        <is>
          <t>SwimCloud API v6 2026-10-08</t>
        </is>
      </c>
      <c r="AD2090" s="33" t="inlineStr">
        <is>
          <t>Luka Mijatovic|2021-07-29|LCM|100|Fly|64.88|PC TERA Terra Summer Ending LCM|FIN|False</t>
        </is>
      </c>
      <c r="AE2090" s="53">
        <f>G2090+L2090/1000+ROW()/1000000000</f>
        <v/>
      </c>
      <c r="AF2090" s="35">
        <f>IF(C2090&lt;&gt;"Grayson Coulter","",COUNTIFS($C$5:$C$2991,"Grayson Coulter",$Q$5:$Q$2991,Q2090,$AE$5:$AE$2991,"&lt;="&amp;AE2090,$R$5:$R$2991,"&lt;"&amp;R2090))</f>
        <v/>
      </c>
      <c r="AG2090" s="35">
        <f>IF(OR(C2090&lt;&gt;"Grayson Coulter",G2090&lt;'00_Control'!$B$7),"",--(AF2090&lt;5))</f>
        <v/>
      </c>
      <c r="AH2090" s="35">
        <f>IF(OR(C2090&lt;&gt;"Grayson Coulter",G2090&lt;'00_Control'!$B$7),"",--(AF2090&lt;10))</f>
        <v/>
      </c>
      <c r="AI2090" s="35">
        <f>IF(AND(C2090="Grayson Coulter",G2090&gt;='00_Control'!$B$7),"YES","NO")</f>
        <v/>
      </c>
      <c r="AJ2090" s="33" t="inlineStr">
        <is>
          <t>OK</t>
        </is>
      </c>
    </row>
    <row r="2091">
      <c r="A2091" s="33" t="inlineStr">
        <is>
          <t>SM002087</t>
        </is>
      </c>
      <c r="B2091" s="33" t="inlineStr">
        <is>
          <t>SW003</t>
        </is>
      </c>
      <c r="C2091" s="33" t="inlineStr">
        <is>
          <t>Luka Mijatovic</t>
        </is>
      </c>
      <c r="D2091" s="33" t="inlineStr">
        <is>
          <t>SwimCloud</t>
        </is>
      </c>
      <c r="E2091" s="33" t="inlineStr">
        <is>
          <t>2415996</t>
        </is>
      </c>
      <c r="F2091" s="33" t="inlineStr">
        <is>
          <t>43700730</t>
        </is>
      </c>
      <c r="G2091" s="51" t="n">
        <v>44406</v>
      </c>
      <c r="H2091" s="33" t="inlineStr">
        <is>
          <t>PC TERA Terra Summer Ending LCM</t>
        </is>
      </c>
      <c r="I2091" s="33" t="inlineStr">
        <is>
          <t>201084</t>
        </is>
      </c>
      <c r="J2091" s="33" t="inlineStr"/>
      <c r="K2091" s="33" t="inlineStr">
        <is>
          <t>PRE</t>
        </is>
      </c>
      <c r="L2091" s="35">
        <f>IF(K2091="FIN",3,IF(OR(K2091="SEM",K2091="SEMI"),2,IF(OR(K2091="PRE",K2091="HEAT"),1,IF(V2091="YES",4,2))))</f>
        <v/>
      </c>
      <c r="M2091" s="33" t="inlineStr">
        <is>
          <t>LCM</t>
        </is>
      </c>
      <c r="N2091" s="33" t="n">
        <v>100</v>
      </c>
      <c r="O2091" s="33" t="inlineStr">
        <is>
          <t>Free</t>
        </is>
      </c>
      <c r="P2091" s="33" t="inlineStr">
        <is>
          <t>100 Free</t>
        </is>
      </c>
      <c r="Q2091" s="33" t="inlineStr">
        <is>
          <t>LCM_100_FREE</t>
        </is>
      </c>
      <c r="R2091" s="36" t="n">
        <v>61.66</v>
      </c>
      <c r="S2091" s="35">
        <f>IF(R2091="","",IF(R2091&gt;=60,INT(R2091/60)&amp;":"&amp;TEXT(MOD(R2091,60),"00.00"),TEXT(R2091,"0.00")))</f>
        <v/>
      </c>
      <c r="T2091" s="52">
        <f>IFERROR((G2091-INDEX('01_Swimmers'!$E$5:$E$22,MATCH(B2091,'01_Swimmers'!$A$5:$A$22,0)))/'00_Control'!$B$10,"")</f>
        <v/>
      </c>
      <c r="U2091" s="35">
        <f>IF(T2091="","",INT(T2091))</f>
        <v/>
      </c>
      <c r="V2091" s="33" t="inlineStr">
        <is>
          <t>NO</t>
        </is>
      </c>
      <c r="W2091" s="33" t="inlineStr">
        <is>
          <t>YES</t>
        </is>
      </c>
      <c r="X2091" s="33" t="inlineStr">
        <is>
          <t>NO</t>
        </is>
      </c>
      <c r="Y2091" s="33" t="n">
        <v>2</v>
      </c>
      <c r="Z2091" s="33" t="n">
        <v>5</v>
      </c>
      <c r="AA2091" s="33" t="inlineStr">
        <is>
          <t>2</t>
        </is>
      </c>
      <c r="AB2091" s="33" t="inlineStr">
        <is>
          <t>https://www.swimcloud.com/results/201084/event/10/?id=43700730#time43700730</t>
        </is>
      </c>
      <c r="AC2091" s="33" t="inlineStr">
        <is>
          <t>SwimCloud API v6 2026-10-08</t>
        </is>
      </c>
      <c r="AD2091" s="33" t="inlineStr">
        <is>
          <t>Luka Mijatovic|2021-07-29|LCM|100|Free|61.66|PC TERA Terra Summer Ending LCM|PRE|False</t>
        </is>
      </c>
      <c r="AE2091" s="53">
        <f>G2091+L2091/1000+ROW()/1000000000</f>
        <v/>
      </c>
      <c r="AF2091" s="35">
        <f>IF(C2091&lt;&gt;"Grayson Coulter","",COUNTIFS($C$5:$C$2991,"Grayson Coulter",$Q$5:$Q$2991,Q2091,$AE$5:$AE$2991,"&lt;="&amp;AE2091,$R$5:$R$2991,"&lt;"&amp;R2091))</f>
        <v/>
      </c>
      <c r="AG2091" s="35">
        <f>IF(OR(C2091&lt;&gt;"Grayson Coulter",G2091&lt;'00_Control'!$B$7),"",--(AF2091&lt;5))</f>
        <v/>
      </c>
      <c r="AH2091" s="35">
        <f>IF(OR(C2091&lt;&gt;"Grayson Coulter",G2091&lt;'00_Control'!$B$7),"",--(AF2091&lt;10))</f>
        <v/>
      </c>
      <c r="AI2091" s="35">
        <f>IF(AND(C2091="Grayson Coulter",G2091&gt;='00_Control'!$B$7),"YES","NO")</f>
        <v/>
      </c>
      <c r="AJ2091" s="33" t="inlineStr">
        <is>
          <t>OK</t>
        </is>
      </c>
    </row>
    <row r="2092">
      <c r="A2092" s="33" t="inlineStr">
        <is>
          <t>SM002088</t>
        </is>
      </c>
      <c r="B2092" s="33" t="inlineStr">
        <is>
          <t>SW003</t>
        </is>
      </c>
      <c r="C2092" s="33" t="inlineStr">
        <is>
          <t>Luka Mijatovic</t>
        </is>
      </c>
      <c r="D2092" s="33" t="inlineStr">
        <is>
          <t>SwimCloud</t>
        </is>
      </c>
      <c r="E2092" s="33" t="inlineStr">
        <is>
          <t>2415996</t>
        </is>
      </c>
      <c r="F2092" s="33" t="inlineStr">
        <is>
          <t>43700731</t>
        </is>
      </c>
      <c r="G2092" s="51" t="n">
        <v>44406</v>
      </c>
      <c r="H2092" s="33" t="inlineStr">
        <is>
          <t>PC TERA Terra Summer Ending LCM</t>
        </is>
      </c>
      <c r="I2092" s="33" t="inlineStr">
        <is>
          <t>201084</t>
        </is>
      </c>
      <c r="J2092" s="33" t="inlineStr"/>
      <c r="K2092" s="33" t="inlineStr">
        <is>
          <t>FIN</t>
        </is>
      </c>
      <c r="L2092" s="35">
        <f>IF(K2092="FIN",3,IF(OR(K2092="SEM",K2092="SEMI"),2,IF(OR(K2092="PRE",K2092="HEAT"),1,IF(V2092="YES",4,2))))</f>
        <v/>
      </c>
      <c r="M2092" s="33" t="inlineStr">
        <is>
          <t>LCM</t>
        </is>
      </c>
      <c r="N2092" s="33" t="n">
        <v>100</v>
      </c>
      <c r="O2092" s="33" t="inlineStr">
        <is>
          <t>Free</t>
        </is>
      </c>
      <c r="P2092" s="33" t="inlineStr">
        <is>
          <t>100 Free</t>
        </is>
      </c>
      <c r="Q2092" s="33" t="inlineStr">
        <is>
          <t>LCM_100_FREE</t>
        </is>
      </c>
      <c r="R2092" s="36" t="n">
        <v>59.34</v>
      </c>
      <c r="S2092" s="35">
        <f>IF(R2092="","",IF(R2092&gt;=60,INT(R2092/60)&amp;":"&amp;TEXT(MOD(R2092,60),"00.00"),TEXT(R2092,"0.00")))</f>
        <v/>
      </c>
      <c r="T2092" s="52">
        <f>IFERROR((G2092-INDEX('01_Swimmers'!$E$5:$E$22,MATCH(B2092,'01_Swimmers'!$A$5:$A$22,0)))/'00_Control'!$B$10,"")</f>
        <v/>
      </c>
      <c r="U2092" s="35">
        <f>IF(T2092="","",INT(T2092))</f>
        <v/>
      </c>
      <c r="V2092" s="33" t="inlineStr">
        <is>
          <t>NO</t>
        </is>
      </c>
      <c r="W2092" s="33" t="inlineStr">
        <is>
          <t>YES</t>
        </is>
      </c>
      <c r="X2092" s="33" t="inlineStr">
        <is>
          <t>NO</t>
        </is>
      </c>
      <c r="Y2092" s="33" t="n">
        <v>1</v>
      </c>
      <c r="Z2092" s="33" t="n">
        <v>6</v>
      </c>
      <c r="AA2092" s="33" t="inlineStr">
        <is>
          <t>1</t>
        </is>
      </c>
      <c r="AB2092" s="33" t="inlineStr">
        <is>
          <t>https://www.swimcloud.com/results/201084/event/10/?id=43700731#time43700731</t>
        </is>
      </c>
      <c r="AC2092" s="33" t="inlineStr">
        <is>
          <t>SwimCloud API v6 2026-10-08</t>
        </is>
      </c>
      <c r="AD2092" s="33" t="inlineStr">
        <is>
          <t>Luka Mijatovic|2021-07-29|LCM|100|Free|59.34|PC TERA Terra Summer Ending LCM|FIN|False</t>
        </is>
      </c>
      <c r="AE2092" s="53">
        <f>G2092+L2092/1000+ROW()/1000000000</f>
        <v/>
      </c>
      <c r="AF2092" s="35">
        <f>IF(C2092&lt;&gt;"Grayson Coulter","",COUNTIFS($C$5:$C$2991,"Grayson Coulter",$Q$5:$Q$2991,Q2092,$AE$5:$AE$2991,"&lt;="&amp;AE2092,$R$5:$R$2991,"&lt;"&amp;R2092))</f>
        <v/>
      </c>
      <c r="AG2092" s="35">
        <f>IF(OR(C2092&lt;&gt;"Grayson Coulter",G2092&lt;'00_Control'!$B$7),"",--(AF2092&lt;5))</f>
        <v/>
      </c>
      <c r="AH2092" s="35">
        <f>IF(OR(C2092&lt;&gt;"Grayson Coulter",G2092&lt;'00_Control'!$B$7),"",--(AF2092&lt;10))</f>
        <v/>
      </c>
      <c r="AI2092" s="35">
        <f>IF(AND(C2092="Grayson Coulter",G2092&gt;='00_Control'!$B$7),"YES","NO")</f>
        <v/>
      </c>
      <c r="AJ2092" s="33" t="inlineStr">
        <is>
          <t>OK</t>
        </is>
      </c>
    </row>
    <row r="2093">
      <c r="A2093" s="33" t="inlineStr">
        <is>
          <t>SM002089</t>
        </is>
      </c>
      <c r="B2093" s="33" t="inlineStr">
        <is>
          <t>SW003</t>
        </is>
      </c>
      <c r="C2093" s="33" t="inlineStr">
        <is>
          <t>Luka Mijatovic</t>
        </is>
      </c>
      <c r="D2093" s="33" t="inlineStr">
        <is>
          <t>SwimCloud</t>
        </is>
      </c>
      <c r="E2093" s="33" t="inlineStr">
        <is>
          <t>2415996</t>
        </is>
      </c>
      <c r="F2093" s="33" t="inlineStr">
        <is>
          <t>43701500</t>
        </is>
      </c>
      <c r="G2093" s="51" t="n">
        <v>44407</v>
      </c>
      <c r="H2093" s="33" t="inlineStr">
        <is>
          <t>PC TERA Terra Summer Ending LCM</t>
        </is>
      </c>
      <c r="I2093" s="33" t="inlineStr">
        <is>
          <t>201084</t>
        </is>
      </c>
      <c r="J2093" s="33" t="inlineStr"/>
      <c r="K2093" s="33" t="inlineStr">
        <is>
          <t>PRE</t>
        </is>
      </c>
      <c r="L2093" s="35">
        <f>IF(K2093="FIN",3,IF(OR(K2093="SEM",K2093="SEMI"),2,IF(OR(K2093="PRE",K2093="HEAT"),1,IF(V2093="YES",4,2))))</f>
        <v/>
      </c>
      <c r="M2093" s="33" t="inlineStr">
        <is>
          <t>LCM</t>
        </is>
      </c>
      <c r="N2093" s="33" t="n">
        <v>400</v>
      </c>
      <c r="O2093" s="33" t="inlineStr">
        <is>
          <t>Free</t>
        </is>
      </c>
      <c r="P2093" s="33" t="inlineStr">
        <is>
          <t>400 Free</t>
        </is>
      </c>
      <c r="Q2093" s="33" t="inlineStr">
        <is>
          <t>LCM_400_FREE</t>
        </is>
      </c>
      <c r="R2093" s="36" t="n">
        <v>283.2</v>
      </c>
      <c r="S2093" s="35">
        <f>IF(R2093="","",IF(R2093&gt;=60,INT(R2093/60)&amp;":"&amp;TEXT(MOD(R2093,60),"00.00"),TEXT(R2093,"0.00")))</f>
        <v/>
      </c>
      <c r="T2093" s="52">
        <f>IFERROR((G2093-INDEX('01_Swimmers'!$E$5:$E$22,MATCH(B2093,'01_Swimmers'!$A$5:$A$22,0)))/'00_Control'!$B$10,"")</f>
        <v/>
      </c>
      <c r="U2093" s="35">
        <f>IF(T2093="","",INT(T2093))</f>
        <v/>
      </c>
      <c r="V2093" s="33" t="inlineStr">
        <is>
          <t>NO</t>
        </is>
      </c>
      <c r="W2093" s="33" t="inlineStr">
        <is>
          <t>YES</t>
        </is>
      </c>
      <c r="X2093" s="33" t="inlineStr">
        <is>
          <t>NO</t>
        </is>
      </c>
      <c r="Y2093" s="33" t="n">
        <v>1</v>
      </c>
      <c r="Z2093" s="33" t="n">
        <v>5</v>
      </c>
      <c r="AA2093" s="33" t="inlineStr">
        <is>
          <t>1</t>
        </is>
      </c>
      <c r="AB2093" s="33" t="inlineStr">
        <is>
          <t>https://www.swimcloud.com/results/201084/event/56/?id=43701500#time43701500</t>
        </is>
      </c>
      <c r="AC2093" s="33" t="inlineStr">
        <is>
          <t>SwimCloud API v6 2026-10-08</t>
        </is>
      </c>
      <c r="AD2093" s="33" t="inlineStr">
        <is>
          <t>Luka Mijatovic|2021-07-30|LCM|400|Free|283.2|PC TERA Terra Summer Ending LCM|PRE|False</t>
        </is>
      </c>
      <c r="AE2093" s="53">
        <f>G2093+L2093/1000+ROW()/1000000000</f>
        <v/>
      </c>
      <c r="AF2093" s="35">
        <f>IF(C2093&lt;&gt;"Grayson Coulter","",COUNTIFS($C$5:$C$2991,"Grayson Coulter",$Q$5:$Q$2991,Q2093,$AE$5:$AE$2991,"&lt;="&amp;AE2093,$R$5:$R$2991,"&lt;"&amp;R2093))</f>
        <v/>
      </c>
      <c r="AG2093" s="35">
        <f>IF(OR(C2093&lt;&gt;"Grayson Coulter",G2093&lt;'00_Control'!$B$7),"",--(AF2093&lt;5))</f>
        <v/>
      </c>
      <c r="AH2093" s="35">
        <f>IF(OR(C2093&lt;&gt;"Grayson Coulter",G2093&lt;'00_Control'!$B$7),"",--(AF2093&lt;10))</f>
        <v/>
      </c>
      <c r="AI2093" s="35">
        <f>IF(AND(C2093="Grayson Coulter",G2093&gt;='00_Control'!$B$7),"YES","NO")</f>
        <v/>
      </c>
      <c r="AJ2093" s="33" t="inlineStr">
        <is>
          <t>OK</t>
        </is>
      </c>
    </row>
    <row r="2094">
      <c r="A2094" s="33" t="inlineStr">
        <is>
          <t>SM002090</t>
        </is>
      </c>
      <c r="B2094" s="33" t="inlineStr">
        <is>
          <t>SW003</t>
        </is>
      </c>
      <c r="C2094" s="33" t="inlineStr">
        <is>
          <t>Luka Mijatovic</t>
        </is>
      </c>
      <c r="D2094" s="33" t="inlineStr">
        <is>
          <t>SwimCloud</t>
        </is>
      </c>
      <c r="E2094" s="33" t="inlineStr">
        <is>
          <t>2415996</t>
        </is>
      </c>
      <c r="F2094" s="33" t="inlineStr">
        <is>
          <t>43701501</t>
        </is>
      </c>
      <c r="G2094" s="51" t="n">
        <v>44407</v>
      </c>
      <c r="H2094" s="33" t="inlineStr">
        <is>
          <t>PC TERA Terra Summer Ending LCM</t>
        </is>
      </c>
      <c r="I2094" s="33" t="inlineStr">
        <is>
          <t>201084</t>
        </is>
      </c>
      <c r="J2094" s="33" t="inlineStr"/>
      <c r="K2094" s="33" t="inlineStr">
        <is>
          <t>FIN</t>
        </is>
      </c>
      <c r="L2094" s="35">
        <f>IF(K2094="FIN",3,IF(OR(K2094="SEM",K2094="SEMI"),2,IF(OR(K2094="PRE",K2094="HEAT"),1,IF(V2094="YES",4,2))))</f>
        <v/>
      </c>
      <c r="M2094" s="33" t="inlineStr">
        <is>
          <t>LCM</t>
        </is>
      </c>
      <c r="N2094" s="33" t="n">
        <v>400</v>
      </c>
      <c r="O2094" s="33" t="inlineStr">
        <is>
          <t>Free</t>
        </is>
      </c>
      <c r="P2094" s="33" t="inlineStr">
        <is>
          <t>400 Free</t>
        </is>
      </c>
      <c r="Q2094" s="33" t="inlineStr">
        <is>
          <t>LCM_400_FREE</t>
        </is>
      </c>
      <c r="R2094" s="36" t="n">
        <v>268.84</v>
      </c>
      <c r="S2094" s="35">
        <f>IF(R2094="","",IF(R2094&gt;=60,INT(R2094/60)&amp;":"&amp;TEXT(MOD(R2094,60),"00.00"),TEXT(R2094,"0.00")))</f>
        <v/>
      </c>
      <c r="T2094" s="52">
        <f>IFERROR((G2094-INDEX('01_Swimmers'!$E$5:$E$22,MATCH(B2094,'01_Swimmers'!$A$5:$A$22,0)))/'00_Control'!$B$10,"")</f>
        <v/>
      </c>
      <c r="U2094" s="35">
        <f>IF(T2094="","",INT(T2094))</f>
        <v/>
      </c>
      <c r="V2094" s="33" t="inlineStr">
        <is>
          <t>NO</t>
        </is>
      </c>
      <c r="W2094" s="33" t="inlineStr">
        <is>
          <t>YES</t>
        </is>
      </c>
      <c r="X2094" s="33" t="inlineStr">
        <is>
          <t>NO</t>
        </is>
      </c>
      <c r="Y2094" s="33" t="n">
        <v>1</v>
      </c>
      <c r="Z2094" s="33" t="n">
        <v>5</v>
      </c>
      <c r="AA2094" s="33" t="inlineStr">
        <is>
          <t>1</t>
        </is>
      </c>
      <c r="AB2094" s="33" t="inlineStr">
        <is>
          <t>https://www.swimcloud.com/results/201084/event/56/?id=43701501#time43701501</t>
        </is>
      </c>
      <c r="AC2094" s="33" t="inlineStr">
        <is>
          <t>SwimCloud API v6 2026-10-08</t>
        </is>
      </c>
      <c r="AD2094" s="33" t="inlineStr">
        <is>
          <t>Luka Mijatovic|2021-07-30|LCM|400|Free|268.84|PC TERA Terra Summer Ending LCM|FIN|False</t>
        </is>
      </c>
      <c r="AE2094" s="53">
        <f>G2094+L2094/1000+ROW()/1000000000</f>
        <v/>
      </c>
      <c r="AF2094" s="35">
        <f>IF(C2094&lt;&gt;"Grayson Coulter","",COUNTIFS($C$5:$C$2991,"Grayson Coulter",$Q$5:$Q$2991,Q2094,$AE$5:$AE$2991,"&lt;="&amp;AE2094,$R$5:$R$2991,"&lt;"&amp;R2094))</f>
        <v/>
      </c>
      <c r="AG2094" s="35">
        <f>IF(OR(C2094&lt;&gt;"Grayson Coulter",G2094&lt;'00_Control'!$B$7),"",--(AF2094&lt;5))</f>
        <v/>
      </c>
      <c r="AH2094" s="35">
        <f>IF(OR(C2094&lt;&gt;"Grayson Coulter",G2094&lt;'00_Control'!$B$7),"",--(AF2094&lt;10))</f>
        <v/>
      </c>
      <c r="AI2094" s="35">
        <f>IF(AND(C2094="Grayson Coulter",G2094&gt;='00_Control'!$B$7),"YES","NO")</f>
        <v/>
      </c>
      <c r="AJ2094" s="33" t="inlineStr">
        <is>
          <t>OK</t>
        </is>
      </c>
    </row>
    <row r="2095">
      <c r="A2095" s="33" t="inlineStr">
        <is>
          <t>SM002091</t>
        </is>
      </c>
      <c r="B2095" s="33" t="inlineStr">
        <is>
          <t>SW003</t>
        </is>
      </c>
      <c r="C2095" s="33" t="inlineStr">
        <is>
          <t>Luka Mijatovic</t>
        </is>
      </c>
      <c r="D2095" s="33" t="inlineStr">
        <is>
          <t>SwimCloud</t>
        </is>
      </c>
      <c r="E2095" s="33" t="inlineStr">
        <is>
          <t>2415996</t>
        </is>
      </c>
      <c r="F2095" s="33" t="inlineStr">
        <is>
          <t>43701008</t>
        </is>
      </c>
      <c r="G2095" s="51" t="n">
        <v>44408</v>
      </c>
      <c r="H2095" s="33" t="inlineStr">
        <is>
          <t>PC TERA Terra Summer Ending LCM</t>
        </is>
      </c>
      <c r="I2095" s="33" t="inlineStr">
        <is>
          <t>201084</t>
        </is>
      </c>
      <c r="J2095" s="33" t="inlineStr"/>
      <c r="K2095" s="33" t="inlineStr">
        <is>
          <t>PRE</t>
        </is>
      </c>
      <c r="L2095" s="35">
        <f>IF(K2095="FIN",3,IF(OR(K2095="SEM",K2095="SEMI"),2,IF(OR(K2095="PRE",K2095="HEAT"),1,IF(V2095="YES",4,2))))</f>
        <v/>
      </c>
      <c r="M2095" s="33" t="inlineStr">
        <is>
          <t>LCM</t>
        </is>
      </c>
      <c r="N2095" s="33" t="n">
        <v>200</v>
      </c>
      <c r="O2095" s="33" t="inlineStr">
        <is>
          <t>Free</t>
        </is>
      </c>
      <c r="P2095" s="33" t="inlineStr">
        <is>
          <t>200 Free</t>
        </is>
      </c>
      <c r="Q2095" s="33" t="inlineStr">
        <is>
          <t>LCM_200_FREE</t>
        </is>
      </c>
      <c r="R2095" s="36" t="n">
        <v>135.51</v>
      </c>
      <c r="S2095" s="35">
        <f>IF(R2095="","",IF(R2095&gt;=60,INT(R2095/60)&amp;":"&amp;TEXT(MOD(R2095,60),"00.00"),TEXT(R2095,"0.00")))</f>
        <v/>
      </c>
      <c r="T2095" s="52">
        <f>IFERROR((G2095-INDEX('01_Swimmers'!$E$5:$E$22,MATCH(B2095,'01_Swimmers'!$A$5:$A$22,0)))/'00_Control'!$B$10,"")</f>
        <v/>
      </c>
      <c r="U2095" s="35">
        <f>IF(T2095="","",INT(T2095))</f>
        <v/>
      </c>
      <c r="V2095" s="33" t="inlineStr">
        <is>
          <t>NO</t>
        </is>
      </c>
      <c r="W2095" s="33" t="inlineStr">
        <is>
          <t>YES</t>
        </is>
      </c>
      <c r="X2095" s="33" t="inlineStr">
        <is>
          <t>NO</t>
        </is>
      </c>
      <c r="Y2095" s="33" t="n">
        <v>1</v>
      </c>
      <c r="Z2095" s="33" t="n">
        <v>5</v>
      </c>
      <c r="AA2095" s="33" t="inlineStr">
        <is>
          <t>2</t>
        </is>
      </c>
      <c r="AB2095" s="33" t="inlineStr">
        <is>
          <t>https://www.swimcloud.com/results/201084/event/68/?id=43701008#time43701008</t>
        </is>
      </c>
      <c r="AC2095" s="33" t="inlineStr">
        <is>
          <t>SwimCloud API v6 2026-10-08</t>
        </is>
      </c>
      <c r="AD2095" s="33" t="inlineStr">
        <is>
          <t>Luka Mijatovic|2021-07-31|LCM|200|Free|135.51|PC TERA Terra Summer Ending LCM|PRE|False</t>
        </is>
      </c>
      <c r="AE2095" s="53">
        <f>G2095+L2095/1000+ROW()/1000000000</f>
        <v/>
      </c>
      <c r="AF2095" s="35">
        <f>IF(C2095&lt;&gt;"Grayson Coulter","",COUNTIFS($C$5:$C$2991,"Grayson Coulter",$Q$5:$Q$2991,Q2095,$AE$5:$AE$2991,"&lt;="&amp;AE2095,$R$5:$R$2991,"&lt;"&amp;R2095))</f>
        <v/>
      </c>
      <c r="AG2095" s="35">
        <f>IF(OR(C2095&lt;&gt;"Grayson Coulter",G2095&lt;'00_Control'!$B$7),"",--(AF2095&lt;5))</f>
        <v/>
      </c>
      <c r="AH2095" s="35">
        <f>IF(OR(C2095&lt;&gt;"Grayson Coulter",G2095&lt;'00_Control'!$B$7),"",--(AF2095&lt;10))</f>
        <v/>
      </c>
      <c r="AI2095" s="35">
        <f>IF(AND(C2095="Grayson Coulter",G2095&gt;='00_Control'!$B$7),"YES","NO")</f>
        <v/>
      </c>
      <c r="AJ2095" s="33" t="inlineStr">
        <is>
          <t>OK</t>
        </is>
      </c>
    </row>
    <row r="2096">
      <c r="A2096" s="33" t="inlineStr">
        <is>
          <t>SM002092</t>
        </is>
      </c>
      <c r="B2096" s="33" t="inlineStr">
        <is>
          <t>SW003</t>
        </is>
      </c>
      <c r="C2096" s="33" t="inlineStr">
        <is>
          <t>Luka Mijatovic</t>
        </is>
      </c>
      <c r="D2096" s="33" t="inlineStr">
        <is>
          <t>SwimCloud</t>
        </is>
      </c>
      <c r="E2096" s="33" t="inlineStr">
        <is>
          <t>2415996</t>
        </is>
      </c>
      <c r="F2096" s="33" t="inlineStr">
        <is>
          <t>43701009</t>
        </is>
      </c>
      <c r="G2096" s="51" t="n">
        <v>44408</v>
      </c>
      <c r="H2096" s="33" t="inlineStr">
        <is>
          <t>PC TERA Terra Summer Ending LCM</t>
        </is>
      </c>
      <c r="I2096" s="33" t="inlineStr">
        <is>
          <t>201084</t>
        </is>
      </c>
      <c r="J2096" s="33" t="inlineStr"/>
      <c r="K2096" s="33" t="inlineStr">
        <is>
          <t>FIN</t>
        </is>
      </c>
      <c r="L2096" s="35">
        <f>IF(K2096="FIN",3,IF(OR(K2096="SEM",K2096="SEMI"),2,IF(OR(K2096="PRE",K2096="HEAT"),1,IF(V2096="YES",4,2))))</f>
        <v/>
      </c>
      <c r="M2096" s="33" t="inlineStr">
        <is>
          <t>LCM</t>
        </is>
      </c>
      <c r="N2096" s="33" t="n">
        <v>200</v>
      </c>
      <c r="O2096" s="33" t="inlineStr">
        <is>
          <t>Free</t>
        </is>
      </c>
      <c r="P2096" s="33" t="inlineStr">
        <is>
          <t>200 Free</t>
        </is>
      </c>
      <c r="Q2096" s="33" t="inlineStr">
        <is>
          <t>LCM_200_FREE</t>
        </is>
      </c>
      <c r="R2096" s="36" t="n">
        <v>125.43</v>
      </c>
      <c r="S2096" s="35">
        <f>IF(R2096="","",IF(R2096&gt;=60,INT(R2096/60)&amp;":"&amp;TEXT(MOD(R2096,60),"00.00"),TEXT(R2096,"0.00")))</f>
        <v/>
      </c>
      <c r="T2096" s="52">
        <f>IFERROR((G2096-INDEX('01_Swimmers'!$E$5:$E$22,MATCH(B2096,'01_Swimmers'!$A$5:$A$22,0)))/'00_Control'!$B$10,"")</f>
        <v/>
      </c>
      <c r="U2096" s="35">
        <f>IF(T2096="","",INT(T2096))</f>
        <v/>
      </c>
      <c r="V2096" s="33" t="inlineStr">
        <is>
          <t>NO</t>
        </is>
      </c>
      <c r="W2096" s="33" t="inlineStr">
        <is>
          <t>YES</t>
        </is>
      </c>
      <c r="X2096" s="33" t="inlineStr">
        <is>
          <t>NO</t>
        </is>
      </c>
      <c r="Y2096" s="33" t="n">
        <v>1</v>
      </c>
      <c r="Z2096" s="33" t="n">
        <v>6</v>
      </c>
      <c r="AA2096" s="33" t="inlineStr">
        <is>
          <t>1</t>
        </is>
      </c>
      <c r="AB2096" s="33" t="inlineStr">
        <is>
          <t>https://www.swimcloud.com/results/201084/event/68/?id=43701009#time43701009</t>
        </is>
      </c>
      <c r="AC2096" s="33" t="inlineStr">
        <is>
          <t>SwimCloud API v6 2026-10-08</t>
        </is>
      </c>
      <c r="AD2096" s="33" t="inlineStr">
        <is>
          <t>Luka Mijatovic|2021-07-31|LCM|200|Free|125.43|PC TERA Terra Summer Ending LCM|FIN|False</t>
        </is>
      </c>
      <c r="AE2096" s="53">
        <f>G2096+L2096/1000+ROW()/1000000000</f>
        <v/>
      </c>
      <c r="AF2096" s="35">
        <f>IF(C2096&lt;&gt;"Grayson Coulter","",COUNTIFS($C$5:$C$2991,"Grayson Coulter",$Q$5:$Q$2991,Q2096,$AE$5:$AE$2991,"&lt;="&amp;AE2096,$R$5:$R$2991,"&lt;"&amp;R2096))</f>
        <v/>
      </c>
      <c r="AG2096" s="35">
        <f>IF(OR(C2096&lt;&gt;"Grayson Coulter",G2096&lt;'00_Control'!$B$7),"",--(AF2096&lt;5))</f>
        <v/>
      </c>
      <c r="AH2096" s="35">
        <f>IF(OR(C2096&lt;&gt;"Grayson Coulter",G2096&lt;'00_Control'!$B$7),"",--(AF2096&lt;10))</f>
        <v/>
      </c>
      <c r="AI2096" s="35">
        <f>IF(AND(C2096="Grayson Coulter",G2096&gt;='00_Control'!$B$7),"YES","NO")</f>
        <v/>
      </c>
      <c r="AJ2096" s="33" t="inlineStr">
        <is>
          <t>OK</t>
        </is>
      </c>
    </row>
    <row r="2097">
      <c r="A2097" s="33" t="inlineStr">
        <is>
          <t>SM002093</t>
        </is>
      </c>
      <c r="B2097" s="33" t="inlineStr">
        <is>
          <t>SW003</t>
        </is>
      </c>
      <c r="C2097" s="33" t="inlineStr">
        <is>
          <t>Luka Mijatovic</t>
        </is>
      </c>
      <c r="D2097" s="33" t="inlineStr">
        <is>
          <t>SwimCloud</t>
        </is>
      </c>
      <c r="E2097" s="33" t="inlineStr">
        <is>
          <t>2415996</t>
        </is>
      </c>
      <c r="F2097" s="33" t="inlineStr">
        <is>
          <t>63739523</t>
        </is>
      </c>
      <c r="G2097" s="51" t="n">
        <v>44667</v>
      </c>
      <c r="H2097" s="33" t="inlineStr">
        <is>
          <t>Pacific Swimming LC Senior Open</t>
        </is>
      </c>
      <c r="I2097" s="33" t="inlineStr">
        <is>
          <t>229162</t>
        </is>
      </c>
      <c r="J2097" s="33" t="inlineStr"/>
      <c r="K2097" s="33" t="inlineStr">
        <is>
          <t>TIM</t>
        </is>
      </c>
      <c r="L2097" s="35">
        <f>IF(K2097="FIN",3,IF(OR(K2097="SEM",K2097="SEMI"),2,IF(OR(K2097="PRE",K2097="HEAT"),1,IF(V2097="YES",4,2))))</f>
        <v/>
      </c>
      <c r="M2097" s="33" t="inlineStr">
        <is>
          <t>LCM</t>
        </is>
      </c>
      <c r="N2097" s="33" t="n">
        <v>100</v>
      </c>
      <c r="O2097" s="33" t="inlineStr">
        <is>
          <t>Fly</t>
        </is>
      </c>
      <c r="P2097" s="33" t="inlineStr">
        <is>
          <t>100 Fly</t>
        </is>
      </c>
      <c r="Q2097" s="33" t="inlineStr">
        <is>
          <t>LCM_100_FLY</t>
        </is>
      </c>
      <c r="R2097" s="36" t="n">
        <v>64.31999999999999</v>
      </c>
      <c r="S2097" s="35">
        <f>IF(R2097="","",IF(R2097&gt;=60,INT(R2097/60)&amp;":"&amp;TEXT(MOD(R2097,60),"00.00"),TEXT(R2097,"0.00")))</f>
        <v/>
      </c>
      <c r="T2097" s="52">
        <f>IFERROR((G2097-INDEX('01_Swimmers'!$E$5:$E$22,MATCH(B2097,'01_Swimmers'!$A$5:$A$22,0)))/'00_Control'!$B$10,"")</f>
        <v/>
      </c>
      <c r="U2097" s="35">
        <f>IF(T2097="","",INT(T2097))</f>
        <v/>
      </c>
      <c r="V2097" s="33" t="inlineStr">
        <is>
          <t>NO</t>
        </is>
      </c>
      <c r="W2097" s="33" t="inlineStr">
        <is>
          <t>YES</t>
        </is>
      </c>
      <c r="X2097" s="33" t="inlineStr">
        <is>
          <t>NO</t>
        </is>
      </c>
      <c r="Y2097" s="33" t="n">
        <v>4</v>
      </c>
      <c r="Z2097" s="33" t="n">
        <v>5</v>
      </c>
      <c r="AA2097" s="33" t="inlineStr">
        <is>
          <t>27</t>
        </is>
      </c>
      <c r="AB2097" s="33" t="inlineStr">
        <is>
          <t>https://www.swimcloud.com/results/229162/event/10/?id=63739523#time63739523</t>
        </is>
      </c>
      <c r="AC2097" s="33" t="inlineStr">
        <is>
          <t>SwimCloud API v6 2026-10-08</t>
        </is>
      </c>
      <c r="AD2097" s="33" t="inlineStr">
        <is>
          <t>Luka Mijatovic|2022-04-16|LCM|100|Fly|64.32|Pacific Swimming LC Senior Open|TIM|False</t>
        </is>
      </c>
      <c r="AE2097" s="53">
        <f>G2097+L2097/1000+ROW()/1000000000</f>
        <v/>
      </c>
      <c r="AF2097" s="35">
        <f>IF(C2097&lt;&gt;"Grayson Coulter","",COUNTIFS($C$5:$C$2991,"Grayson Coulter",$Q$5:$Q$2991,Q2097,$AE$5:$AE$2991,"&lt;="&amp;AE2097,$R$5:$R$2991,"&lt;"&amp;R2097))</f>
        <v/>
      </c>
      <c r="AG2097" s="35">
        <f>IF(OR(C2097&lt;&gt;"Grayson Coulter",G2097&lt;'00_Control'!$B$7),"",--(AF2097&lt;5))</f>
        <v/>
      </c>
      <c r="AH2097" s="35">
        <f>IF(OR(C2097&lt;&gt;"Grayson Coulter",G2097&lt;'00_Control'!$B$7),"",--(AF2097&lt;10))</f>
        <v/>
      </c>
      <c r="AI2097" s="35">
        <f>IF(AND(C2097="Grayson Coulter",G2097&gt;='00_Control'!$B$7),"YES","NO")</f>
        <v/>
      </c>
      <c r="AJ2097" s="33" t="inlineStr">
        <is>
          <t>OK</t>
        </is>
      </c>
    </row>
    <row r="2098">
      <c r="A2098" s="33" t="inlineStr">
        <is>
          <t>SM002094</t>
        </is>
      </c>
      <c r="B2098" s="33" t="inlineStr">
        <is>
          <t>SW003</t>
        </is>
      </c>
      <c r="C2098" s="33" t="inlineStr">
        <is>
          <t>Luka Mijatovic</t>
        </is>
      </c>
      <c r="D2098" s="33" t="inlineStr">
        <is>
          <t>SwimCloud</t>
        </is>
      </c>
      <c r="E2098" s="33" t="inlineStr">
        <is>
          <t>2415996</t>
        </is>
      </c>
      <c r="F2098" s="33" t="inlineStr">
        <is>
          <t>63739619</t>
        </is>
      </c>
      <c r="G2098" s="51" t="n">
        <v>44667</v>
      </c>
      <c r="H2098" s="33" t="inlineStr">
        <is>
          <t>Pacific Swimming LC Senior Open</t>
        </is>
      </c>
      <c r="I2098" s="33" t="inlineStr">
        <is>
          <t>229162</t>
        </is>
      </c>
      <c r="J2098" s="33" t="inlineStr"/>
      <c r="K2098" s="33" t="inlineStr">
        <is>
          <t>TIM</t>
        </is>
      </c>
      <c r="L2098" s="35">
        <f>IF(K2098="FIN",3,IF(OR(K2098="SEM",K2098="SEMI"),2,IF(OR(K2098="PRE",K2098="HEAT"),1,IF(V2098="YES",4,2))))</f>
        <v/>
      </c>
      <c r="M2098" s="33" t="inlineStr">
        <is>
          <t>LCM</t>
        </is>
      </c>
      <c r="N2098" s="33" t="n">
        <v>200</v>
      </c>
      <c r="O2098" s="33" t="inlineStr">
        <is>
          <t>Free</t>
        </is>
      </c>
      <c r="P2098" s="33" t="inlineStr">
        <is>
          <t>200 Free</t>
        </is>
      </c>
      <c r="Q2098" s="33" t="inlineStr">
        <is>
          <t>LCM_200_FREE</t>
        </is>
      </c>
      <c r="R2098" s="36" t="n">
        <v>122.41</v>
      </c>
      <c r="S2098" s="35">
        <f>IF(R2098="","",IF(R2098&gt;=60,INT(R2098/60)&amp;":"&amp;TEXT(MOD(R2098,60),"00.00"),TEXT(R2098,"0.00")))</f>
        <v/>
      </c>
      <c r="T2098" s="52">
        <f>IFERROR((G2098-INDEX('01_Swimmers'!$E$5:$E$22,MATCH(B2098,'01_Swimmers'!$A$5:$A$22,0)))/'00_Control'!$B$10,"")</f>
        <v/>
      </c>
      <c r="U2098" s="35">
        <f>IF(T2098="","",INT(T2098))</f>
        <v/>
      </c>
      <c r="V2098" s="33" t="inlineStr">
        <is>
          <t>NO</t>
        </is>
      </c>
      <c r="W2098" s="33" t="inlineStr">
        <is>
          <t>YES</t>
        </is>
      </c>
      <c r="X2098" s="33" t="inlineStr">
        <is>
          <t>NO</t>
        </is>
      </c>
      <c r="Y2098" s="33" t="n">
        <v>2</v>
      </c>
      <c r="Z2098" s="33" t="n">
        <v>3</v>
      </c>
      <c r="AA2098" s="33" t="inlineStr">
        <is>
          <t>7</t>
        </is>
      </c>
      <c r="AB2098" s="33" t="inlineStr">
        <is>
          <t>https://www.swimcloud.com/results/229162/event/8/?id=63739619#time63739619</t>
        </is>
      </c>
      <c r="AC2098" s="33" t="inlineStr">
        <is>
          <t>SwimCloud API v6 2026-10-08</t>
        </is>
      </c>
      <c r="AD2098" s="33" t="inlineStr">
        <is>
          <t>Luka Mijatovic|2022-04-16|LCM|200|Free|122.41|Pacific Swimming LC Senior Open|TIM|False</t>
        </is>
      </c>
      <c r="AE2098" s="53">
        <f>G2098+L2098/1000+ROW()/1000000000</f>
        <v/>
      </c>
      <c r="AF2098" s="35">
        <f>IF(C2098&lt;&gt;"Grayson Coulter","",COUNTIFS($C$5:$C$2991,"Grayson Coulter",$Q$5:$Q$2991,Q2098,$AE$5:$AE$2991,"&lt;="&amp;AE2098,$R$5:$R$2991,"&lt;"&amp;R2098))</f>
        <v/>
      </c>
      <c r="AG2098" s="35">
        <f>IF(OR(C2098&lt;&gt;"Grayson Coulter",G2098&lt;'00_Control'!$B$7),"",--(AF2098&lt;5))</f>
        <v/>
      </c>
      <c r="AH2098" s="35">
        <f>IF(OR(C2098&lt;&gt;"Grayson Coulter",G2098&lt;'00_Control'!$B$7),"",--(AF2098&lt;10))</f>
        <v/>
      </c>
      <c r="AI2098" s="35">
        <f>IF(AND(C2098="Grayson Coulter",G2098&gt;='00_Control'!$B$7),"YES","NO")</f>
        <v/>
      </c>
      <c r="AJ2098" s="33" t="inlineStr">
        <is>
          <t>OK</t>
        </is>
      </c>
    </row>
    <row r="2099">
      <c r="A2099" s="33" t="inlineStr">
        <is>
          <t>SM002095</t>
        </is>
      </c>
      <c r="B2099" s="33" t="inlineStr">
        <is>
          <t>SW003</t>
        </is>
      </c>
      <c r="C2099" s="33" t="inlineStr">
        <is>
          <t>Luka Mijatovic</t>
        </is>
      </c>
      <c r="D2099" s="33" t="inlineStr">
        <is>
          <t>SwimCloud</t>
        </is>
      </c>
      <c r="E2099" s="33" t="inlineStr">
        <is>
          <t>2415996</t>
        </is>
      </c>
      <c r="F2099" s="33" t="inlineStr">
        <is>
          <t>63739780</t>
        </is>
      </c>
      <c r="G2099" s="51" t="n">
        <v>44668</v>
      </c>
      <c r="H2099" s="33" t="inlineStr">
        <is>
          <t>Pacific Swimming LC Senior Open</t>
        </is>
      </c>
      <c r="I2099" s="33" t="inlineStr">
        <is>
          <t>229162</t>
        </is>
      </c>
      <c r="J2099" s="33" t="inlineStr"/>
      <c r="K2099" s="33" t="inlineStr">
        <is>
          <t>TIM</t>
        </is>
      </c>
      <c r="L2099" s="35">
        <f>IF(K2099="FIN",3,IF(OR(K2099="SEM",K2099="SEMI"),2,IF(OR(K2099="PRE",K2099="HEAT"),1,IF(V2099="YES",4,2))))</f>
        <v/>
      </c>
      <c r="M2099" s="33" t="inlineStr">
        <is>
          <t>LCM</t>
        </is>
      </c>
      <c r="N2099" s="33" t="n">
        <v>100</v>
      </c>
      <c r="O2099" s="33" t="inlineStr">
        <is>
          <t>Free</t>
        </is>
      </c>
      <c r="P2099" s="33" t="inlineStr">
        <is>
          <t>100 Free</t>
        </is>
      </c>
      <c r="Q2099" s="33" t="inlineStr">
        <is>
          <t>LCM_100_FREE</t>
        </is>
      </c>
      <c r="R2099" s="36" t="n">
        <v>58.63</v>
      </c>
      <c r="S2099" s="35">
        <f>IF(R2099="","",IF(R2099&gt;=60,INT(R2099/60)&amp;":"&amp;TEXT(MOD(R2099,60),"00.00"),TEXT(R2099,"0.00")))</f>
        <v/>
      </c>
      <c r="T2099" s="52">
        <f>IFERROR((G2099-INDEX('01_Swimmers'!$E$5:$E$22,MATCH(B2099,'01_Swimmers'!$A$5:$A$22,0)))/'00_Control'!$B$10,"")</f>
        <v/>
      </c>
      <c r="U2099" s="35">
        <f>IF(T2099="","",INT(T2099))</f>
        <v/>
      </c>
      <c r="V2099" s="33" t="inlineStr">
        <is>
          <t>NO</t>
        </is>
      </c>
      <c r="W2099" s="33" t="inlineStr">
        <is>
          <t>YES</t>
        </is>
      </c>
      <c r="X2099" s="33" t="inlineStr">
        <is>
          <t>NO</t>
        </is>
      </c>
      <c r="Y2099" s="33" t="n">
        <v>2</v>
      </c>
      <c r="Z2099" s="33" t="n">
        <v>1</v>
      </c>
      <c r="AA2099" s="33" t="inlineStr">
        <is>
          <t>12</t>
        </is>
      </c>
      <c r="AB2099" s="33" t="inlineStr">
        <is>
          <t>https://www.swimcloud.com/results/229162/event/22/?id=63739780#time63739780</t>
        </is>
      </c>
      <c r="AC2099" s="33" t="inlineStr">
        <is>
          <t>SwimCloud API v6 2026-10-08</t>
        </is>
      </c>
      <c r="AD2099" s="33" t="inlineStr">
        <is>
          <t>Luka Mijatovic|2022-04-17|LCM|100|Free|58.63|Pacific Swimming LC Senior Open|TIM|False</t>
        </is>
      </c>
      <c r="AE2099" s="53">
        <f>G2099+L2099/1000+ROW()/1000000000</f>
        <v/>
      </c>
      <c r="AF2099" s="35">
        <f>IF(C2099&lt;&gt;"Grayson Coulter","",COUNTIFS($C$5:$C$2991,"Grayson Coulter",$Q$5:$Q$2991,Q2099,$AE$5:$AE$2991,"&lt;="&amp;AE2099,$R$5:$R$2991,"&lt;"&amp;R2099))</f>
        <v/>
      </c>
      <c r="AG2099" s="35">
        <f>IF(OR(C2099&lt;&gt;"Grayson Coulter",G2099&lt;'00_Control'!$B$7),"",--(AF2099&lt;5))</f>
        <v/>
      </c>
      <c r="AH2099" s="35">
        <f>IF(OR(C2099&lt;&gt;"Grayson Coulter",G2099&lt;'00_Control'!$B$7),"",--(AF2099&lt;10))</f>
        <v/>
      </c>
      <c r="AI2099" s="35">
        <f>IF(AND(C2099="Grayson Coulter",G2099&gt;='00_Control'!$B$7),"YES","NO")</f>
        <v/>
      </c>
      <c r="AJ2099" s="33" t="inlineStr">
        <is>
          <t>OK</t>
        </is>
      </c>
    </row>
    <row r="2100">
      <c r="A2100" s="33" t="inlineStr">
        <is>
          <t>SM002096</t>
        </is>
      </c>
      <c r="B2100" s="33" t="inlineStr">
        <is>
          <t>SW003</t>
        </is>
      </c>
      <c r="C2100" s="33" t="inlineStr">
        <is>
          <t>Luka Mijatovic</t>
        </is>
      </c>
      <c r="D2100" s="33" t="inlineStr">
        <is>
          <t>SwimCloud</t>
        </is>
      </c>
      <c r="E2100" s="33" t="inlineStr">
        <is>
          <t>2415996</t>
        </is>
      </c>
      <c r="F2100" s="33" t="inlineStr">
        <is>
          <t>63738883</t>
        </is>
      </c>
      <c r="G2100" s="51" t="n">
        <v>44668</v>
      </c>
      <c r="H2100" s="33" t="inlineStr">
        <is>
          <t>Pacific Swimming LC Senior Open</t>
        </is>
      </c>
      <c r="I2100" s="33" t="inlineStr">
        <is>
          <t>229162</t>
        </is>
      </c>
      <c r="J2100" s="33" t="inlineStr"/>
      <c r="K2100" s="33" t="inlineStr">
        <is>
          <t>TIM</t>
        </is>
      </c>
      <c r="L2100" s="35">
        <f>IF(K2100="FIN",3,IF(OR(K2100="SEM",K2100="SEMI"),2,IF(OR(K2100="PRE",K2100="HEAT"),1,IF(V2100="YES",4,2))))</f>
        <v/>
      </c>
      <c r="M2100" s="33" t="inlineStr">
        <is>
          <t>LCM</t>
        </is>
      </c>
      <c r="N2100" s="33" t="n">
        <v>400</v>
      </c>
      <c r="O2100" s="33" t="inlineStr">
        <is>
          <t>Free</t>
        </is>
      </c>
      <c r="P2100" s="33" t="inlineStr">
        <is>
          <t>400 Free</t>
        </is>
      </c>
      <c r="Q2100" s="33" t="inlineStr">
        <is>
          <t>LCM_400_FREE</t>
        </is>
      </c>
      <c r="R2100" s="36" t="n">
        <v>257.25</v>
      </c>
      <c r="S2100" s="35">
        <f>IF(R2100="","",IF(R2100&gt;=60,INT(R2100/60)&amp;":"&amp;TEXT(MOD(R2100,60),"00.00"),TEXT(R2100,"0.00")))</f>
        <v/>
      </c>
      <c r="T2100" s="52">
        <f>IFERROR((G2100-INDEX('01_Swimmers'!$E$5:$E$22,MATCH(B2100,'01_Swimmers'!$A$5:$A$22,0)))/'00_Control'!$B$10,"")</f>
        <v/>
      </c>
      <c r="U2100" s="35">
        <f>IF(T2100="","",INT(T2100))</f>
        <v/>
      </c>
      <c r="V2100" s="33" t="inlineStr">
        <is>
          <t>NO</t>
        </is>
      </c>
      <c r="W2100" s="33" t="inlineStr">
        <is>
          <t>YES</t>
        </is>
      </c>
      <c r="X2100" s="33" t="inlineStr">
        <is>
          <t>NO</t>
        </is>
      </c>
      <c r="Y2100" s="33" t="n">
        <v>1</v>
      </c>
      <c r="Z2100" s="33" t="n">
        <v>3</v>
      </c>
      <c r="AA2100" s="33" t="inlineStr">
        <is>
          <t>3</t>
        </is>
      </c>
      <c r="AB2100" s="33" t="inlineStr">
        <is>
          <t>https://www.swimcloud.com/results/229162/event/16/?id=63738883#time63738883</t>
        </is>
      </c>
      <c r="AC2100" s="33" t="inlineStr">
        <is>
          <t>SwimCloud API v6 2026-10-08</t>
        </is>
      </c>
      <c r="AD2100" s="33" t="inlineStr">
        <is>
          <t>Luka Mijatovic|2022-04-17|LCM|400|Free|257.25|Pacific Swimming LC Senior Open|TIM|False</t>
        </is>
      </c>
      <c r="AE2100" s="53">
        <f>G2100+L2100/1000+ROW()/1000000000</f>
        <v/>
      </c>
      <c r="AF2100" s="35">
        <f>IF(C2100&lt;&gt;"Grayson Coulter","",COUNTIFS($C$5:$C$2991,"Grayson Coulter",$Q$5:$Q$2991,Q2100,$AE$5:$AE$2991,"&lt;="&amp;AE2100,$R$5:$R$2991,"&lt;"&amp;R2100))</f>
        <v/>
      </c>
      <c r="AG2100" s="35">
        <f>IF(OR(C2100&lt;&gt;"Grayson Coulter",G2100&lt;'00_Control'!$B$7),"",--(AF2100&lt;5))</f>
        <v/>
      </c>
      <c r="AH2100" s="35">
        <f>IF(OR(C2100&lt;&gt;"Grayson Coulter",G2100&lt;'00_Control'!$B$7),"",--(AF2100&lt;10))</f>
        <v/>
      </c>
      <c r="AI2100" s="35">
        <f>IF(AND(C2100="Grayson Coulter",G2100&gt;='00_Control'!$B$7),"YES","NO")</f>
        <v/>
      </c>
      <c r="AJ2100" s="33" t="inlineStr">
        <is>
          <t>OK</t>
        </is>
      </c>
    </row>
    <row r="2101">
      <c r="A2101" s="33" t="inlineStr">
        <is>
          <t>SM002097</t>
        </is>
      </c>
      <c r="B2101" s="33" t="inlineStr">
        <is>
          <t>SW003</t>
        </is>
      </c>
      <c r="C2101" s="33" t="inlineStr">
        <is>
          <t>Luka Mijatovic</t>
        </is>
      </c>
      <c r="D2101" s="33" t="inlineStr">
        <is>
          <t>SwimCloud</t>
        </is>
      </c>
      <c r="E2101" s="33" t="inlineStr">
        <is>
          <t>2415996</t>
        </is>
      </c>
      <c r="F2101" s="33" t="inlineStr">
        <is>
          <t>65103644</t>
        </is>
      </c>
      <c r="G2101" s="51" t="n">
        <v>44695</v>
      </c>
      <c r="H2101" s="33" t="inlineStr">
        <is>
          <t>PC BSW Zone 2 C/B/B++ LCM</t>
        </is>
      </c>
      <c r="I2101" s="33" t="inlineStr">
        <is>
          <t>231448</t>
        </is>
      </c>
      <c r="J2101" s="33" t="inlineStr"/>
      <c r="K2101" s="33" t="inlineStr">
        <is>
          <t>TIM</t>
        </is>
      </c>
      <c r="L2101" s="35">
        <f>IF(K2101="FIN",3,IF(OR(K2101="SEM",K2101="SEMI"),2,IF(OR(K2101="PRE",K2101="HEAT"),1,IF(V2101="YES",4,2))))</f>
        <v/>
      </c>
      <c r="M2101" s="33" t="inlineStr">
        <is>
          <t>LCM</t>
        </is>
      </c>
      <c r="N2101" s="33" t="n">
        <v>100</v>
      </c>
      <c r="O2101" s="33" t="inlineStr">
        <is>
          <t>Fly</t>
        </is>
      </c>
      <c r="P2101" s="33" t="inlineStr">
        <is>
          <t>100 Fly</t>
        </is>
      </c>
      <c r="Q2101" s="33" t="inlineStr">
        <is>
          <t>LCM_100_FLY</t>
        </is>
      </c>
      <c r="R2101" s="36" t="n">
        <v>63.26</v>
      </c>
      <c r="S2101" s="35">
        <f>IF(R2101="","",IF(R2101&gt;=60,INT(R2101/60)&amp;":"&amp;TEXT(MOD(R2101,60),"00.00"),TEXT(R2101,"0.00")))</f>
        <v/>
      </c>
      <c r="T2101" s="52">
        <f>IFERROR((G2101-INDEX('01_Swimmers'!$E$5:$E$22,MATCH(B2101,'01_Swimmers'!$A$5:$A$22,0)))/'00_Control'!$B$10,"")</f>
        <v/>
      </c>
      <c r="U2101" s="35">
        <f>IF(T2101="","",INT(T2101))</f>
        <v/>
      </c>
      <c r="V2101" s="33" t="inlineStr">
        <is>
          <t>NO</t>
        </is>
      </c>
      <c r="W2101" s="33" t="inlineStr">
        <is>
          <t>YES</t>
        </is>
      </c>
      <c r="X2101" s="33" t="inlineStr">
        <is>
          <t>NO</t>
        </is>
      </c>
      <c r="Y2101" s="33" t="n">
        <v>1</v>
      </c>
      <c r="Z2101" s="33" t="n">
        <v>2</v>
      </c>
      <c r="AA2101" s="33" t="inlineStr">
        <is>
          <t>2</t>
        </is>
      </c>
      <c r="AB2101" s="33" t="inlineStr">
        <is>
          <t>https://www.swimcloud.com/results/231448/event/18/?id=65103644#time65103644</t>
        </is>
      </c>
      <c r="AC2101" s="33" t="inlineStr">
        <is>
          <t>SwimCloud API v6 2026-10-08</t>
        </is>
      </c>
      <c r="AD2101" s="33" t="inlineStr">
        <is>
          <t>Luka Mijatovic|2022-05-14|LCM|100|Fly|63.26|PC BSW Zone 2 C/B/B++ LCM|TIM|False</t>
        </is>
      </c>
      <c r="AE2101" s="53">
        <f>G2101+L2101/1000+ROW()/1000000000</f>
        <v/>
      </c>
      <c r="AF2101" s="35">
        <f>IF(C2101&lt;&gt;"Grayson Coulter","",COUNTIFS($C$5:$C$2991,"Grayson Coulter",$Q$5:$Q$2991,Q2101,$AE$5:$AE$2991,"&lt;="&amp;AE2101,$R$5:$R$2991,"&lt;"&amp;R2101))</f>
        <v/>
      </c>
      <c r="AG2101" s="35">
        <f>IF(OR(C2101&lt;&gt;"Grayson Coulter",G2101&lt;'00_Control'!$B$7),"",--(AF2101&lt;5))</f>
        <v/>
      </c>
      <c r="AH2101" s="35">
        <f>IF(OR(C2101&lt;&gt;"Grayson Coulter",G2101&lt;'00_Control'!$B$7),"",--(AF2101&lt;10))</f>
        <v/>
      </c>
      <c r="AI2101" s="35">
        <f>IF(AND(C2101="Grayson Coulter",G2101&gt;='00_Control'!$B$7),"YES","NO")</f>
        <v/>
      </c>
      <c r="AJ2101" s="33" t="inlineStr">
        <is>
          <t>OK</t>
        </is>
      </c>
    </row>
    <row r="2102">
      <c r="A2102" s="33" t="inlineStr">
        <is>
          <t>SM002098</t>
        </is>
      </c>
      <c r="B2102" s="33" t="inlineStr">
        <is>
          <t>SW003</t>
        </is>
      </c>
      <c r="C2102" s="33" t="inlineStr">
        <is>
          <t>Luka Mijatovic</t>
        </is>
      </c>
      <c r="D2102" s="33" t="inlineStr">
        <is>
          <t>SwimCloud</t>
        </is>
      </c>
      <c r="E2102" s="33" t="inlineStr">
        <is>
          <t>2415996</t>
        </is>
      </c>
      <c r="F2102" s="33" t="inlineStr">
        <is>
          <t>65102783</t>
        </is>
      </c>
      <c r="G2102" s="51" t="n">
        <v>44695</v>
      </c>
      <c r="H2102" s="33" t="inlineStr">
        <is>
          <t>PC BSW Zone 2 C/B/B++ LCM</t>
        </is>
      </c>
      <c r="I2102" s="33" t="inlineStr">
        <is>
          <t>231448</t>
        </is>
      </c>
      <c r="J2102" s="33" t="inlineStr"/>
      <c r="K2102" s="33" t="inlineStr">
        <is>
          <t>TIM</t>
        </is>
      </c>
      <c r="L2102" s="35">
        <f>IF(K2102="FIN",3,IF(OR(K2102="SEM",K2102="SEMI"),2,IF(OR(K2102="PRE",K2102="HEAT"),1,IF(V2102="YES",4,2))))</f>
        <v/>
      </c>
      <c r="M2102" s="33" t="inlineStr">
        <is>
          <t>LCM</t>
        </is>
      </c>
      <c r="N2102" s="33" t="n">
        <v>200</v>
      </c>
      <c r="O2102" s="33" t="inlineStr">
        <is>
          <t>Free</t>
        </is>
      </c>
      <c r="P2102" s="33" t="inlineStr">
        <is>
          <t>200 Free</t>
        </is>
      </c>
      <c r="Q2102" s="33" t="inlineStr">
        <is>
          <t>LCM_200_FREE</t>
        </is>
      </c>
      <c r="R2102" s="36" t="n">
        <v>121.01</v>
      </c>
      <c r="S2102" s="35">
        <f>IF(R2102="","",IF(R2102&gt;=60,INT(R2102/60)&amp;":"&amp;TEXT(MOD(R2102,60),"00.00"),TEXT(R2102,"0.00")))</f>
        <v/>
      </c>
      <c r="T2102" s="52">
        <f>IFERROR((G2102-INDEX('01_Swimmers'!$E$5:$E$22,MATCH(B2102,'01_Swimmers'!$A$5:$A$22,0)))/'00_Control'!$B$10,"")</f>
        <v/>
      </c>
      <c r="U2102" s="35">
        <f>IF(T2102="","",INT(T2102))</f>
        <v/>
      </c>
      <c r="V2102" s="33" t="inlineStr">
        <is>
          <t>NO</t>
        </is>
      </c>
      <c r="W2102" s="33" t="inlineStr">
        <is>
          <t>YES</t>
        </is>
      </c>
      <c r="X2102" s="33" t="inlineStr">
        <is>
          <t>NO</t>
        </is>
      </c>
      <c r="Y2102" s="33" t="n">
        <v>1</v>
      </c>
      <c r="Z2102" s="33" t="n">
        <v>3</v>
      </c>
      <c r="AA2102" s="33" t="inlineStr">
        <is>
          <t>1</t>
        </is>
      </c>
      <c r="AB2102" s="33" t="inlineStr">
        <is>
          <t>https://www.swimcloud.com/results/231448/event/2/?id=65102783#time65102783</t>
        </is>
      </c>
      <c r="AC2102" s="33" t="inlineStr">
        <is>
          <t>SwimCloud API v6 2026-10-08</t>
        </is>
      </c>
      <c r="AD2102" s="33" t="inlineStr">
        <is>
          <t>Luka Mijatovic|2022-05-14|LCM|200|Free|121.01|PC BSW Zone 2 C/B/B++ LCM|TIM|False</t>
        </is>
      </c>
      <c r="AE2102" s="53">
        <f>G2102+L2102/1000+ROW()/1000000000</f>
        <v/>
      </c>
      <c r="AF2102" s="35">
        <f>IF(C2102&lt;&gt;"Grayson Coulter","",COUNTIFS($C$5:$C$2991,"Grayson Coulter",$Q$5:$Q$2991,Q2102,$AE$5:$AE$2991,"&lt;="&amp;AE2102,$R$5:$R$2991,"&lt;"&amp;R2102))</f>
        <v/>
      </c>
      <c r="AG2102" s="35">
        <f>IF(OR(C2102&lt;&gt;"Grayson Coulter",G2102&lt;'00_Control'!$B$7),"",--(AF2102&lt;5))</f>
        <v/>
      </c>
      <c r="AH2102" s="35">
        <f>IF(OR(C2102&lt;&gt;"Grayson Coulter",G2102&lt;'00_Control'!$B$7),"",--(AF2102&lt;10))</f>
        <v/>
      </c>
      <c r="AI2102" s="35">
        <f>IF(AND(C2102="Grayson Coulter",G2102&gt;='00_Control'!$B$7),"YES","NO")</f>
        <v/>
      </c>
      <c r="AJ2102" s="33" t="inlineStr">
        <is>
          <t>OK</t>
        </is>
      </c>
    </row>
    <row r="2103">
      <c r="A2103" s="33" t="inlineStr">
        <is>
          <t>SM002099</t>
        </is>
      </c>
      <c r="B2103" s="33" t="inlineStr">
        <is>
          <t>SW003</t>
        </is>
      </c>
      <c r="C2103" s="33" t="inlineStr">
        <is>
          <t>Luka Mijatovic</t>
        </is>
      </c>
      <c r="D2103" s="33" t="inlineStr">
        <is>
          <t>SwimCloud</t>
        </is>
      </c>
      <c r="E2103" s="33" t="inlineStr">
        <is>
          <t>2415996</t>
        </is>
      </c>
      <c r="F2103" s="33" t="inlineStr">
        <is>
          <t>65102922</t>
        </is>
      </c>
      <c r="G2103" s="51" t="n">
        <v>44696</v>
      </c>
      <c r="H2103" s="33" t="inlineStr">
        <is>
          <t>PC BSW Zone 2 C/B/B++ LCM</t>
        </is>
      </c>
      <c r="I2103" s="33" t="inlineStr">
        <is>
          <t>231448</t>
        </is>
      </c>
      <c r="J2103" s="33" t="inlineStr"/>
      <c r="K2103" s="33" t="inlineStr">
        <is>
          <t>TIM</t>
        </is>
      </c>
      <c r="L2103" s="35">
        <f>IF(K2103="FIN",3,IF(OR(K2103="SEM",K2103="SEMI"),2,IF(OR(K2103="PRE",K2103="HEAT"),1,IF(V2103="YES",4,2))))</f>
        <v/>
      </c>
      <c r="M2103" s="33" t="inlineStr">
        <is>
          <t>LCM</t>
        </is>
      </c>
      <c r="N2103" s="33" t="n">
        <v>100</v>
      </c>
      <c r="O2103" s="33" t="inlineStr">
        <is>
          <t>Free</t>
        </is>
      </c>
      <c r="P2103" s="33" t="inlineStr">
        <is>
          <t>100 Free</t>
        </is>
      </c>
      <c r="Q2103" s="33" t="inlineStr">
        <is>
          <t>LCM_100_FREE</t>
        </is>
      </c>
      <c r="R2103" s="36" t="n">
        <v>57.35</v>
      </c>
      <c r="S2103" s="35">
        <f>IF(R2103="","",IF(R2103&gt;=60,INT(R2103/60)&amp;":"&amp;TEXT(MOD(R2103,60),"00.00"),TEXT(R2103,"0.00")))</f>
        <v/>
      </c>
      <c r="T2103" s="52">
        <f>IFERROR((G2103-INDEX('01_Swimmers'!$E$5:$E$22,MATCH(B2103,'01_Swimmers'!$A$5:$A$22,0)))/'00_Control'!$B$10,"")</f>
        <v/>
      </c>
      <c r="U2103" s="35">
        <f>IF(T2103="","",INT(T2103))</f>
        <v/>
      </c>
      <c r="V2103" s="33" t="inlineStr">
        <is>
          <t>NO</t>
        </is>
      </c>
      <c r="W2103" s="33" t="inlineStr">
        <is>
          <t>YES</t>
        </is>
      </c>
      <c r="X2103" s="33" t="inlineStr">
        <is>
          <t>NO</t>
        </is>
      </c>
      <c r="Y2103" s="33" t="n">
        <v>1</v>
      </c>
      <c r="Z2103" s="33" t="n">
        <v>6</v>
      </c>
      <c r="AA2103" s="33" t="inlineStr">
        <is>
          <t>1</t>
        </is>
      </c>
      <c r="AB2103" s="33" t="inlineStr">
        <is>
          <t>https://www.swimcloud.com/results/231448/event/52/?id=65102922#time65102922</t>
        </is>
      </c>
      <c r="AC2103" s="33" t="inlineStr">
        <is>
          <t>SwimCloud API v6 2026-10-08</t>
        </is>
      </c>
      <c r="AD2103" s="33" t="inlineStr">
        <is>
          <t>Luka Mijatovic|2022-05-15|LCM|100|Free|57.35|PC BSW Zone 2 C/B/B++ LCM|TIM|False</t>
        </is>
      </c>
      <c r="AE2103" s="53">
        <f>G2103+L2103/1000+ROW()/1000000000</f>
        <v/>
      </c>
      <c r="AF2103" s="35">
        <f>IF(C2103&lt;&gt;"Grayson Coulter","",COUNTIFS($C$5:$C$2991,"Grayson Coulter",$Q$5:$Q$2991,Q2103,$AE$5:$AE$2991,"&lt;="&amp;AE2103,$R$5:$R$2991,"&lt;"&amp;R2103))</f>
        <v/>
      </c>
      <c r="AG2103" s="35">
        <f>IF(OR(C2103&lt;&gt;"Grayson Coulter",G2103&lt;'00_Control'!$B$7),"",--(AF2103&lt;5))</f>
        <v/>
      </c>
      <c r="AH2103" s="35">
        <f>IF(OR(C2103&lt;&gt;"Grayson Coulter",G2103&lt;'00_Control'!$B$7),"",--(AF2103&lt;10))</f>
        <v/>
      </c>
      <c r="AI2103" s="35">
        <f>IF(AND(C2103="Grayson Coulter",G2103&gt;='00_Control'!$B$7),"YES","NO")</f>
        <v/>
      </c>
      <c r="AJ2103" s="33" t="inlineStr">
        <is>
          <t>OK</t>
        </is>
      </c>
    </row>
    <row r="2104">
      <c r="A2104" s="33" t="inlineStr">
        <is>
          <t>SM002100</t>
        </is>
      </c>
      <c r="B2104" s="33" t="inlineStr">
        <is>
          <t>SW003</t>
        </is>
      </c>
      <c r="C2104" s="33" t="inlineStr">
        <is>
          <t>Luka Mijatovic</t>
        </is>
      </c>
      <c r="D2104" s="33" t="inlineStr">
        <is>
          <t>SwimCloud</t>
        </is>
      </c>
      <c r="E2104" s="33" t="inlineStr">
        <is>
          <t>2415996</t>
        </is>
      </c>
      <c r="F2104" s="33" t="inlineStr">
        <is>
          <t>65673730</t>
        </is>
      </c>
      <c r="G2104" s="51" t="n">
        <v>44709</v>
      </c>
      <c r="H2104" s="33" t="inlineStr">
        <is>
          <t>PC Tiger Aquatics C/B/BB+</t>
        </is>
      </c>
      <c r="I2104" s="33" t="inlineStr">
        <is>
          <t>232231</t>
        </is>
      </c>
      <c r="J2104" s="33" t="inlineStr"/>
      <c r="K2104" s="33" t="inlineStr">
        <is>
          <t>TIM</t>
        </is>
      </c>
      <c r="L2104" s="35">
        <f>IF(K2104="FIN",3,IF(OR(K2104="SEM",K2104="SEMI"),2,IF(OR(K2104="PRE",K2104="HEAT"),1,IF(V2104="YES",4,2))))</f>
        <v/>
      </c>
      <c r="M2104" s="33" t="inlineStr">
        <is>
          <t>LCM</t>
        </is>
      </c>
      <c r="N2104" s="33" t="n">
        <v>100</v>
      </c>
      <c r="O2104" s="33" t="inlineStr">
        <is>
          <t>Free</t>
        </is>
      </c>
      <c r="P2104" s="33" t="inlineStr">
        <is>
          <t>100 Free</t>
        </is>
      </c>
      <c r="Q2104" s="33" t="inlineStr">
        <is>
          <t>LCM_100_FREE</t>
        </is>
      </c>
      <c r="R2104" s="36" t="n">
        <v>56.83</v>
      </c>
      <c r="S2104" s="35">
        <f>IF(R2104="","",IF(R2104&gt;=60,INT(R2104/60)&amp;":"&amp;TEXT(MOD(R2104,60),"00.00"),TEXT(R2104,"0.00")))</f>
        <v/>
      </c>
      <c r="T2104" s="52">
        <f>IFERROR((G2104-INDEX('01_Swimmers'!$E$5:$E$22,MATCH(B2104,'01_Swimmers'!$A$5:$A$22,0)))/'00_Control'!$B$10,"")</f>
        <v/>
      </c>
      <c r="U2104" s="35">
        <f>IF(T2104="","",INT(T2104))</f>
        <v/>
      </c>
      <c r="V2104" s="33" t="inlineStr">
        <is>
          <t>NO</t>
        </is>
      </c>
      <c r="W2104" s="33" t="inlineStr">
        <is>
          <t>YES</t>
        </is>
      </c>
      <c r="X2104" s="33" t="inlineStr">
        <is>
          <t>NO</t>
        </is>
      </c>
      <c r="Y2104" s="33" t="n">
        <v>2</v>
      </c>
      <c r="Z2104" s="33" t="n">
        <v>2</v>
      </c>
      <c r="AA2104" s="33" t="inlineStr">
        <is>
          <t>1</t>
        </is>
      </c>
      <c r="AB2104" s="33" t="inlineStr">
        <is>
          <t>https://www.swimcloud.com/results/232231/event/8/?id=65673730#time65673730</t>
        </is>
      </c>
      <c r="AC2104" s="33" t="inlineStr">
        <is>
          <t>SwimCloud API v6 2026-10-08</t>
        </is>
      </c>
      <c r="AD2104" s="33" t="inlineStr">
        <is>
          <t>Luka Mijatovic|2022-05-28|LCM|100|Free|56.83|PC Tiger Aquatics C/B/BB+|TIM|False</t>
        </is>
      </c>
      <c r="AE2104" s="53">
        <f>G2104+L2104/1000+ROW()/1000000000</f>
        <v/>
      </c>
      <c r="AF2104" s="35">
        <f>IF(C2104&lt;&gt;"Grayson Coulter","",COUNTIFS($C$5:$C$2991,"Grayson Coulter",$Q$5:$Q$2991,Q2104,$AE$5:$AE$2991,"&lt;="&amp;AE2104,$R$5:$R$2991,"&lt;"&amp;R2104))</f>
        <v/>
      </c>
      <c r="AG2104" s="35">
        <f>IF(OR(C2104&lt;&gt;"Grayson Coulter",G2104&lt;'00_Control'!$B$7),"",--(AF2104&lt;5))</f>
        <v/>
      </c>
      <c r="AH2104" s="35">
        <f>IF(OR(C2104&lt;&gt;"Grayson Coulter",G2104&lt;'00_Control'!$B$7),"",--(AF2104&lt;10))</f>
        <v/>
      </c>
      <c r="AI2104" s="35">
        <f>IF(AND(C2104="Grayson Coulter",G2104&gt;='00_Control'!$B$7),"YES","NO")</f>
        <v/>
      </c>
      <c r="AJ2104" s="33" t="inlineStr">
        <is>
          <t>OK</t>
        </is>
      </c>
    </row>
    <row r="2105">
      <c r="A2105" s="33" t="inlineStr">
        <is>
          <t>SM002101</t>
        </is>
      </c>
      <c r="B2105" s="33" t="inlineStr">
        <is>
          <t>SW003</t>
        </is>
      </c>
      <c r="C2105" s="33" t="inlineStr">
        <is>
          <t>Luka Mijatovic</t>
        </is>
      </c>
      <c r="D2105" s="33" t="inlineStr">
        <is>
          <t>SwimCloud</t>
        </is>
      </c>
      <c r="E2105" s="33" t="inlineStr">
        <is>
          <t>2415996</t>
        </is>
      </c>
      <c r="F2105" s="33" t="inlineStr">
        <is>
          <t>65673689</t>
        </is>
      </c>
      <c r="G2105" s="51" t="n">
        <v>44710</v>
      </c>
      <c r="H2105" s="33" t="inlineStr">
        <is>
          <t>PC Tiger Aquatics C/B/BB+</t>
        </is>
      </c>
      <c r="I2105" s="33" t="inlineStr">
        <is>
          <t>232231</t>
        </is>
      </c>
      <c r="J2105" s="33" t="inlineStr"/>
      <c r="K2105" s="33" t="inlineStr">
        <is>
          <t>TIM</t>
        </is>
      </c>
      <c r="L2105" s="35">
        <f>IF(K2105="FIN",3,IF(OR(K2105="SEM",K2105="SEMI"),2,IF(OR(K2105="PRE",K2105="HEAT"),1,IF(V2105="YES",4,2))))</f>
        <v/>
      </c>
      <c r="M2105" s="33" t="inlineStr">
        <is>
          <t>LCM</t>
        </is>
      </c>
      <c r="N2105" s="33" t="n">
        <v>200</v>
      </c>
      <c r="O2105" s="33" t="inlineStr">
        <is>
          <t>Free</t>
        </is>
      </c>
      <c r="P2105" s="33" t="inlineStr">
        <is>
          <t>200 Free</t>
        </is>
      </c>
      <c r="Q2105" s="33" t="inlineStr">
        <is>
          <t>LCM_200_FREE</t>
        </is>
      </c>
      <c r="R2105" s="36" t="n">
        <v>118.73</v>
      </c>
      <c r="S2105" s="35">
        <f>IF(R2105="","",IF(R2105&gt;=60,INT(R2105/60)&amp;":"&amp;TEXT(MOD(R2105,60),"00.00"),TEXT(R2105,"0.00")))</f>
        <v/>
      </c>
      <c r="T2105" s="52">
        <f>IFERROR((G2105-INDEX('01_Swimmers'!$E$5:$E$22,MATCH(B2105,'01_Swimmers'!$A$5:$A$22,0)))/'00_Control'!$B$10,"")</f>
        <v/>
      </c>
      <c r="U2105" s="35">
        <f>IF(T2105="","",INT(T2105))</f>
        <v/>
      </c>
      <c r="V2105" s="33" t="inlineStr">
        <is>
          <t>NO</t>
        </is>
      </c>
      <c r="W2105" s="33" t="inlineStr">
        <is>
          <t>YES</t>
        </is>
      </c>
      <c r="X2105" s="33" t="inlineStr">
        <is>
          <t>NO</t>
        </is>
      </c>
      <c r="Y2105" s="33" t="n">
        <v>1</v>
      </c>
      <c r="Z2105" s="33" t="n">
        <v>6</v>
      </c>
      <c r="AA2105" s="33" t="inlineStr">
        <is>
          <t>1</t>
        </is>
      </c>
      <c r="AB2105" s="33" t="inlineStr">
        <is>
          <t>https://www.swimcloud.com/results/232231/event/32/?id=65673689#time65673689</t>
        </is>
      </c>
      <c r="AC2105" s="33" t="inlineStr">
        <is>
          <t>SwimCloud API v6 2026-10-08</t>
        </is>
      </c>
      <c r="AD2105" s="33" t="inlineStr">
        <is>
          <t>Luka Mijatovic|2022-05-29|LCM|200|Free|118.73|PC Tiger Aquatics C/B/BB+|TIM|False</t>
        </is>
      </c>
      <c r="AE2105" s="53">
        <f>G2105+L2105/1000+ROW()/1000000000</f>
        <v/>
      </c>
      <c r="AF2105" s="35">
        <f>IF(C2105&lt;&gt;"Grayson Coulter","",COUNTIFS($C$5:$C$2991,"Grayson Coulter",$Q$5:$Q$2991,Q2105,$AE$5:$AE$2991,"&lt;="&amp;AE2105,$R$5:$R$2991,"&lt;"&amp;R2105))</f>
        <v/>
      </c>
      <c r="AG2105" s="35">
        <f>IF(OR(C2105&lt;&gt;"Grayson Coulter",G2105&lt;'00_Control'!$B$7),"",--(AF2105&lt;5))</f>
        <v/>
      </c>
      <c r="AH2105" s="35">
        <f>IF(OR(C2105&lt;&gt;"Grayson Coulter",G2105&lt;'00_Control'!$B$7),"",--(AF2105&lt;10))</f>
        <v/>
      </c>
      <c r="AI2105" s="35">
        <f>IF(AND(C2105="Grayson Coulter",G2105&gt;='00_Control'!$B$7),"YES","NO")</f>
        <v/>
      </c>
      <c r="AJ2105" s="33" t="inlineStr">
        <is>
          <t>OK</t>
        </is>
      </c>
    </row>
    <row r="2106">
      <c r="A2106" s="33" t="inlineStr">
        <is>
          <t>SM002102</t>
        </is>
      </c>
      <c r="B2106" s="33" t="inlineStr">
        <is>
          <t>SW003</t>
        </is>
      </c>
      <c r="C2106" s="33" t="inlineStr">
        <is>
          <t>Luka Mijatovic</t>
        </is>
      </c>
      <c r="D2106" s="33" t="inlineStr">
        <is>
          <t>SwimCloud</t>
        </is>
      </c>
      <c r="E2106" s="33" t="inlineStr">
        <is>
          <t>2415996</t>
        </is>
      </c>
      <c r="F2106" s="33" t="inlineStr">
        <is>
          <t>67399198</t>
        </is>
      </c>
      <c r="G2106" s="51" t="n">
        <v>44737</v>
      </c>
      <c r="H2106" s="33" t="inlineStr">
        <is>
          <t>Orinda Aquatics PC LC Senior O</t>
        </is>
      </c>
      <c r="I2106" s="33" t="inlineStr">
        <is>
          <t>233697</t>
        </is>
      </c>
      <c r="J2106" s="33" t="inlineStr"/>
      <c r="K2106" s="33" t="inlineStr">
        <is>
          <t>TIM</t>
        </is>
      </c>
      <c r="L2106" s="35">
        <f>IF(K2106="FIN",3,IF(OR(K2106="SEM",K2106="SEMI"),2,IF(OR(K2106="PRE",K2106="HEAT"),1,IF(V2106="YES",4,2))))</f>
        <v/>
      </c>
      <c r="M2106" s="33" t="inlineStr">
        <is>
          <t>LCM</t>
        </is>
      </c>
      <c r="N2106" s="33" t="n">
        <v>100</v>
      </c>
      <c r="O2106" s="33" t="inlineStr">
        <is>
          <t>Free</t>
        </is>
      </c>
      <c r="P2106" s="33" t="inlineStr">
        <is>
          <t>100 Free</t>
        </is>
      </c>
      <c r="Q2106" s="33" t="inlineStr">
        <is>
          <t>LCM_100_FREE</t>
        </is>
      </c>
      <c r="R2106" s="36" t="n">
        <v>56.93</v>
      </c>
      <c r="S2106" s="35">
        <f>IF(R2106="","",IF(R2106&gt;=60,INT(R2106/60)&amp;":"&amp;TEXT(MOD(R2106,60),"00.00"),TEXT(R2106,"0.00")))</f>
        <v/>
      </c>
      <c r="T2106" s="52">
        <f>IFERROR((G2106-INDEX('01_Swimmers'!$E$5:$E$22,MATCH(B2106,'01_Swimmers'!$A$5:$A$22,0)))/'00_Control'!$B$10,"")</f>
        <v/>
      </c>
      <c r="U2106" s="35">
        <f>IF(T2106="","",INT(T2106))</f>
        <v/>
      </c>
      <c r="V2106" s="33" t="inlineStr">
        <is>
          <t>NO</t>
        </is>
      </c>
      <c r="W2106" s="33" t="inlineStr">
        <is>
          <t>YES</t>
        </is>
      </c>
      <c r="X2106" s="33" t="inlineStr">
        <is>
          <t>NO</t>
        </is>
      </c>
      <c r="Y2106" s="33" t="n">
        <v>6</v>
      </c>
      <c r="Z2106" s="33" t="n">
        <v>5</v>
      </c>
      <c r="AA2106" s="33" t="inlineStr">
        <is>
          <t>30</t>
        </is>
      </c>
      <c r="AB2106" s="33" t="inlineStr">
        <is>
          <t>https://www.swimcloud.com/results/233697/event/10/?id=67399198#time67399198</t>
        </is>
      </c>
      <c r="AC2106" s="33" t="inlineStr">
        <is>
          <t>SwimCloud API v6 2026-10-08</t>
        </is>
      </c>
      <c r="AD2106" s="33" t="inlineStr">
        <is>
          <t>Luka Mijatovic|2022-06-25|LCM|100|Free|56.93|Orinda Aquatics PC LC Senior O|TIM|False</t>
        </is>
      </c>
      <c r="AE2106" s="53">
        <f>G2106+L2106/1000+ROW()/1000000000</f>
        <v/>
      </c>
      <c r="AF2106" s="35">
        <f>IF(C2106&lt;&gt;"Grayson Coulter","",COUNTIFS($C$5:$C$2991,"Grayson Coulter",$Q$5:$Q$2991,Q2106,$AE$5:$AE$2991,"&lt;="&amp;AE2106,$R$5:$R$2991,"&lt;"&amp;R2106))</f>
        <v/>
      </c>
      <c r="AG2106" s="35">
        <f>IF(OR(C2106&lt;&gt;"Grayson Coulter",G2106&lt;'00_Control'!$B$7),"",--(AF2106&lt;5))</f>
        <v/>
      </c>
      <c r="AH2106" s="35">
        <f>IF(OR(C2106&lt;&gt;"Grayson Coulter",G2106&lt;'00_Control'!$B$7),"",--(AF2106&lt;10))</f>
        <v/>
      </c>
      <c r="AI2106" s="35">
        <f>IF(AND(C2106="Grayson Coulter",G2106&gt;='00_Control'!$B$7),"YES","NO")</f>
        <v/>
      </c>
      <c r="AJ2106" s="33" t="inlineStr">
        <is>
          <t>OK</t>
        </is>
      </c>
    </row>
    <row r="2107">
      <c r="A2107" s="33" t="inlineStr">
        <is>
          <t>SM002103</t>
        </is>
      </c>
      <c r="B2107" s="33" t="inlineStr">
        <is>
          <t>SW003</t>
        </is>
      </c>
      <c r="C2107" s="33" t="inlineStr">
        <is>
          <t>Luka Mijatovic</t>
        </is>
      </c>
      <c r="D2107" s="33" t="inlineStr">
        <is>
          <t>SwimCloud</t>
        </is>
      </c>
      <c r="E2107" s="33" t="inlineStr">
        <is>
          <t>2415996</t>
        </is>
      </c>
      <c r="F2107" s="33" t="inlineStr">
        <is>
          <t>67400589</t>
        </is>
      </c>
      <c r="G2107" s="51" t="n">
        <v>44737</v>
      </c>
      <c r="H2107" s="33" t="inlineStr">
        <is>
          <t>Orinda Aquatics PC LC Senior O</t>
        </is>
      </c>
      <c r="I2107" s="33" t="inlineStr">
        <is>
          <t>233697</t>
        </is>
      </c>
      <c r="J2107" s="33" t="inlineStr"/>
      <c r="K2107" s="33" t="inlineStr">
        <is>
          <t>TIM</t>
        </is>
      </c>
      <c r="L2107" s="35">
        <f>IF(K2107="FIN",3,IF(OR(K2107="SEM",K2107="SEMI"),2,IF(OR(K2107="PRE",K2107="HEAT"),1,IF(V2107="YES",4,2))))</f>
        <v/>
      </c>
      <c r="M2107" s="33" t="inlineStr">
        <is>
          <t>LCM</t>
        </is>
      </c>
      <c r="N2107" s="33" t="n">
        <v>400</v>
      </c>
      <c r="O2107" s="33" t="inlineStr">
        <is>
          <t>Free</t>
        </is>
      </c>
      <c r="P2107" s="33" t="inlineStr">
        <is>
          <t>400 Free</t>
        </is>
      </c>
      <c r="Q2107" s="33" t="inlineStr">
        <is>
          <t>LCM_400_FREE</t>
        </is>
      </c>
      <c r="R2107" s="36" t="n">
        <v>254.7</v>
      </c>
      <c r="S2107" s="35">
        <f>IF(R2107="","",IF(R2107&gt;=60,INT(R2107/60)&amp;":"&amp;TEXT(MOD(R2107,60),"00.00"),TEXT(R2107,"0.00")))</f>
        <v/>
      </c>
      <c r="T2107" s="52">
        <f>IFERROR((G2107-INDEX('01_Swimmers'!$E$5:$E$22,MATCH(B2107,'01_Swimmers'!$A$5:$A$22,0)))/'00_Control'!$B$10,"")</f>
        <v/>
      </c>
      <c r="U2107" s="35">
        <f>IF(T2107="","",INT(T2107))</f>
        <v/>
      </c>
      <c r="V2107" s="33" t="inlineStr">
        <is>
          <t>NO</t>
        </is>
      </c>
      <c r="W2107" s="33" t="inlineStr">
        <is>
          <t>YES</t>
        </is>
      </c>
      <c r="X2107" s="33" t="inlineStr">
        <is>
          <t>NO</t>
        </is>
      </c>
      <c r="Y2107" s="33" t="n">
        <v>2</v>
      </c>
      <c r="Z2107" s="33" t="n">
        <v>3</v>
      </c>
      <c r="AA2107" s="33" t="inlineStr">
        <is>
          <t>6</t>
        </is>
      </c>
      <c r="AB2107" s="33" t="inlineStr">
        <is>
          <t>https://www.swimcloud.com/results/233697/event/2/?id=67400589#time67400589</t>
        </is>
      </c>
      <c r="AC2107" s="33" t="inlineStr">
        <is>
          <t>SwimCloud API v6 2026-10-08</t>
        </is>
      </c>
      <c r="AD2107" s="33" t="inlineStr">
        <is>
          <t>Luka Mijatovic|2022-06-25|LCM|400|Free|254.7|Orinda Aquatics PC LC Senior O|TIM|False</t>
        </is>
      </c>
      <c r="AE2107" s="53">
        <f>G2107+L2107/1000+ROW()/1000000000</f>
        <v/>
      </c>
      <c r="AF2107" s="35">
        <f>IF(C2107&lt;&gt;"Grayson Coulter","",COUNTIFS($C$5:$C$2991,"Grayson Coulter",$Q$5:$Q$2991,Q2107,$AE$5:$AE$2991,"&lt;="&amp;AE2107,$R$5:$R$2991,"&lt;"&amp;R2107))</f>
        <v/>
      </c>
      <c r="AG2107" s="35">
        <f>IF(OR(C2107&lt;&gt;"Grayson Coulter",G2107&lt;'00_Control'!$B$7),"",--(AF2107&lt;5))</f>
        <v/>
      </c>
      <c r="AH2107" s="35">
        <f>IF(OR(C2107&lt;&gt;"Grayson Coulter",G2107&lt;'00_Control'!$B$7),"",--(AF2107&lt;10))</f>
        <v/>
      </c>
      <c r="AI2107" s="35">
        <f>IF(AND(C2107="Grayson Coulter",G2107&gt;='00_Control'!$B$7),"YES","NO")</f>
        <v/>
      </c>
      <c r="AJ2107" s="33" t="inlineStr">
        <is>
          <t>OK</t>
        </is>
      </c>
    </row>
    <row r="2108">
      <c r="A2108" s="33" t="inlineStr">
        <is>
          <t>SM002104</t>
        </is>
      </c>
      <c r="B2108" s="33" t="inlineStr">
        <is>
          <t>SW003</t>
        </is>
      </c>
      <c r="C2108" s="33" t="inlineStr">
        <is>
          <t>Luka Mijatovic</t>
        </is>
      </c>
      <c r="D2108" s="33" t="inlineStr">
        <is>
          <t>SwimCloud</t>
        </is>
      </c>
      <c r="E2108" s="33" t="inlineStr">
        <is>
          <t>2415996</t>
        </is>
      </c>
      <c r="F2108" s="33" t="inlineStr">
        <is>
          <t>67400492</t>
        </is>
      </c>
      <c r="G2108" s="51" t="n">
        <v>44738</v>
      </c>
      <c r="H2108" s="33" t="inlineStr">
        <is>
          <t>Orinda Aquatics PC LC Senior O</t>
        </is>
      </c>
      <c r="I2108" s="33" t="inlineStr">
        <is>
          <t>233697</t>
        </is>
      </c>
      <c r="J2108" s="33" t="inlineStr"/>
      <c r="K2108" s="33" t="inlineStr">
        <is>
          <t>TIM</t>
        </is>
      </c>
      <c r="L2108" s="35">
        <f>IF(K2108="FIN",3,IF(OR(K2108="SEM",K2108="SEMI"),2,IF(OR(K2108="PRE",K2108="HEAT"),1,IF(V2108="YES",4,2))))</f>
        <v/>
      </c>
      <c r="M2108" s="33" t="inlineStr">
        <is>
          <t>LCM</t>
        </is>
      </c>
      <c r="N2108" s="33" t="n">
        <v>100</v>
      </c>
      <c r="O2108" s="33" t="inlineStr">
        <is>
          <t>Fly</t>
        </is>
      </c>
      <c r="P2108" s="33" t="inlineStr">
        <is>
          <t>100 Fly</t>
        </is>
      </c>
      <c r="Q2108" s="33" t="inlineStr">
        <is>
          <t>LCM_100_FLY</t>
        </is>
      </c>
      <c r="R2108" s="36" t="n">
        <v>61.81</v>
      </c>
      <c r="S2108" s="35">
        <f>IF(R2108="","",IF(R2108&gt;=60,INT(R2108/60)&amp;":"&amp;TEXT(MOD(R2108,60),"00.00"),TEXT(R2108,"0.00")))</f>
        <v/>
      </c>
      <c r="T2108" s="52">
        <f>IFERROR((G2108-INDEX('01_Swimmers'!$E$5:$E$22,MATCH(B2108,'01_Swimmers'!$A$5:$A$22,0)))/'00_Control'!$B$10,"")</f>
        <v/>
      </c>
      <c r="U2108" s="35">
        <f>IF(T2108="","",INT(T2108))</f>
        <v/>
      </c>
      <c r="V2108" s="33" t="inlineStr">
        <is>
          <t>NO</t>
        </is>
      </c>
      <c r="W2108" s="33" t="inlineStr">
        <is>
          <t>YES</t>
        </is>
      </c>
      <c r="X2108" s="33" t="inlineStr">
        <is>
          <t>NO</t>
        </is>
      </c>
      <c r="Y2108" s="33" t="n">
        <v>6</v>
      </c>
      <c r="Z2108" s="33" t="n">
        <v>6</v>
      </c>
      <c r="AA2108" s="33" t="inlineStr">
        <is>
          <t>22</t>
        </is>
      </c>
      <c r="AB2108" s="33" t="inlineStr">
        <is>
          <t>https://www.swimcloud.com/results/233697/event/20/?id=67400492#time67400492</t>
        </is>
      </c>
      <c r="AC2108" s="33" t="inlineStr">
        <is>
          <t>SwimCloud API v6 2026-10-08</t>
        </is>
      </c>
      <c r="AD2108" s="33" t="inlineStr">
        <is>
          <t>Luka Mijatovic|2022-06-26|LCM|100|Fly|61.81|Orinda Aquatics PC LC Senior O|TIM|False</t>
        </is>
      </c>
      <c r="AE2108" s="53">
        <f>G2108+L2108/1000+ROW()/1000000000</f>
        <v/>
      </c>
      <c r="AF2108" s="35">
        <f>IF(C2108&lt;&gt;"Grayson Coulter","",COUNTIFS($C$5:$C$2991,"Grayson Coulter",$Q$5:$Q$2991,Q2108,$AE$5:$AE$2991,"&lt;="&amp;AE2108,$R$5:$R$2991,"&lt;"&amp;R2108))</f>
        <v/>
      </c>
      <c r="AG2108" s="35">
        <f>IF(OR(C2108&lt;&gt;"Grayson Coulter",G2108&lt;'00_Control'!$B$7),"",--(AF2108&lt;5))</f>
        <v/>
      </c>
      <c r="AH2108" s="35">
        <f>IF(OR(C2108&lt;&gt;"Grayson Coulter",G2108&lt;'00_Control'!$B$7),"",--(AF2108&lt;10))</f>
        <v/>
      </c>
      <c r="AI2108" s="35">
        <f>IF(AND(C2108="Grayson Coulter",G2108&gt;='00_Control'!$B$7),"YES","NO")</f>
        <v/>
      </c>
      <c r="AJ2108" s="33" t="inlineStr">
        <is>
          <t>OK</t>
        </is>
      </c>
    </row>
    <row r="2109">
      <c r="A2109" s="33" t="inlineStr">
        <is>
          <t>SM002105</t>
        </is>
      </c>
      <c r="B2109" s="33" t="inlineStr">
        <is>
          <t>SW003</t>
        </is>
      </c>
      <c r="C2109" s="33" t="inlineStr">
        <is>
          <t>Luka Mijatovic</t>
        </is>
      </c>
      <c r="D2109" s="33" t="inlineStr">
        <is>
          <t>SwimCloud</t>
        </is>
      </c>
      <c r="E2109" s="33" t="inlineStr">
        <is>
          <t>2415996</t>
        </is>
      </c>
      <c r="F2109" s="33" t="inlineStr">
        <is>
          <t>67399597</t>
        </is>
      </c>
      <c r="G2109" s="51" t="n">
        <v>44738</v>
      </c>
      <c r="H2109" s="33" t="inlineStr">
        <is>
          <t>Orinda Aquatics PC LC Senior O</t>
        </is>
      </c>
      <c r="I2109" s="33" t="inlineStr">
        <is>
          <t>233697</t>
        </is>
      </c>
      <c r="J2109" s="33" t="inlineStr"/>
      <c r="K2109" s="33" t="inlineStr">
        <is>
          <t>TIM</t>
        </is>
      </c>
      <c r="L2109" s="35">
        <f>IF(K2109="FIN",3,IF(OR(K2109="SEM",K2109="SEMI"),2,IF(OR(K2109="PRE",K2109="HEAT"),1,IF(V2109="YES",4,2))))</f>
        <v/>
      </c>
      <c r="M2109" s="33" t="inlineStr">
        <is>
          <t>LCM</t>
        </is>
      </c>
      <c r="N2109" s="33" t="n">
        <v>200</v>
      </c>
      <c r="O2109" s="33" t="inlineStr">
        <is>
          <t>Free</t>
        </is>
      </c>
      <c r="P2109" s="33" t="inlineStr">
        <is>
          <t>200 Free</t>
        </is>
      </c>
      <c r="Q2109" s="33" t="inlineStr">
        <is>
          <t>LCM_200_FREE</t>
        </is>
      </c>
      <c r="R2109" s="36" t="n">
        <v>119.86</v>
      </c>
      <c r="S2109" s="35">
        <f>IF(R2109="","",IF(R2109&gt;=60,INT(R2109/60)&amp;":"&amp;TEXT(MOD(R2109,60),"00.00"),TEXT(R2109,"0.00")))</f>
        <v/>
      </c>
      <c r="T2109" s="52">
        <f>IFERROR((G2109-INDEX('01_Swimmers'!$E$5:$E$22,MATCH(B2109,'01_Swimmers'!$A$5:$A$22,0)))/'00_Control'!$B$10,"")</f>
        <v/>
      </c>
      <c r="U2109" s="35">
        <f>IF(T2109="","",INT(T2109))</f>
        <v/>
      </c>
      <c r="V2109" s="33" t="inlineStr">
        <is>
          <t>NO</t>
        </is>
      </c>
      <c r="W2109" s="33" t="inlineStr">
        <is>
          <t>YES</t>
        </is>
      </c>
      <c r="X2109" s="33" t="inlineStr">
        <is>
          <t>NO</t>
        </is>
      </c>
      <c r="Y2109" s="33" t="n">
        <v>1</v>
      </c>
      <c r="Z2109" s="33" t="n">
        <v>7</v>
      </c>
      <c r="AA2109" s="33" t="inlineStr">
        <is>
          <t>2</t>
        </is>
      </c>
      <c r="AB2109" s="33" t="inlineStr">
        <is>
          <t>https://www.swimcloud.com/results/233697/event/18/?id=67399597#time67399597</t>
        </is>
      </c>
      <c r="AC2109" s="33" t="inlineStr">
        <is>
          <t>SwimCloud API v6 2026-10-08</t>
        </is>
      </c>
      <c r="AD2109" s="33" t="inlineStr">
        <is>
          <t>Luka Mijatovic|2022-06-26|LCM|200|Free|119.86|Orinda Aquatics PC LC Senior O|TIM|False</t>
        </is>
      </c>
      <c r="AE2109" s="53">
        <f>G2109+L2109/1000+ROW()/1000000000</f>
        <v/>
      </c>
      <c r="AF2109" s="35">
        <f>IF(C2109&lt;&gt;"Grayson Coulter","",COUNTIFS($C$5:$C$2991,"Grayson Coulter",$Q$5:$Q$2991,Q2109,$AE$5:$AE$2991,"&lt;="&amp;AE2109,$R$5:$R$2991,"&lt;"&amp;R2109))</f>
        <v/>
      </c>
      <c r="AG2109" s="35">
        <f>IF(OR(C2109&lt;&gt;"Grayson Coulter",G2109&lt;'00_Control'!$B$7),"",--(AF2109&lt;5))</f>
        <v/>
      </c>
      <c r="AH2109" s="35">
        <f>IF(OR(C2109&lt;&gt;"Grayson Coulter",G2109&lt;'00_Control'!$B$7),"",--(AF2109&lt;10))</f>
        <v/>
      </c>
      <c r="AI2109" s="35">
        <f>IF(AND(C2109="Grayson Coulter",G2109&gt;='00_Control'!$B$7),"YES","NO")</f>
        <v/>
      </c>
      <c r="AJ2109" s="33" t="inlineStr">
        <is>
          <t>OK</t>
        </is>
      </c>
    </row>
    <row r="2110">
      <c r="A2110" s="33" t="inlineStr">
        <is>
          <t>SM002106</t>
        </is>
      </c>
      <c r="B2110" s="33" t="inlineStr">
        <is>
          <t>SW003</t>
        </is>
      </c>
      <c r="C2110" s="33" t="inlineStr">
        <is>
          <t>Luka Mijatovic</t>
        </is>
      </c>
      <c r="D2110" s="33" t="inlineStr">
        <is>
          <t>SwimCloud</t>
        </is>
      </c>
      <c r="E2110" s="33" t="inlineStr">
        <is>
          <t>2415996</t>
        </is>
      </c>
      <c r="F2110" s="33" t="inlineStr">
        <is>
          <t>68690081</t>
        </is>
      </c>
      <c r="G2110" s="51" t="n">
        <v>44750</v>
      </c>
      <c r="H2110" s="33" t="inlineStr">
        <is>
          <t>PC OAQ pacific Swimming 14 &amp;under LCM JOs</t>
        </is>
      </c>
      <c r="I2110" s="33" t="inlineStr">
        <is>
          <t>234834</t>
        </is>
      </c>
      <c r="J2110" s="33" t="inlineStr"/>
      <c r="K2110" s="33" t="inlineStr">
        <is>
          <t>PRE</t>
        </is>
      </c>
      <c r="L2110" s="35">
        <f>IF(K2110="FIN",3,IF(OR(K2110="SEM",K2110="SEMI"),2,IF(OR(K2110="PRE",K2110="HEAT"),1,IF(V2110="YES",4,2))))</f>
        <v/>
      </c>
      <c r="M2110" s="33" t="inlineStr">
        <is>
          <t>LCM</t>
        </is>
      </c>
      <c r="N2110" s="33" t="n">
        <v>400</v>
      </c>
      <c r="O2110" s="33" t="inlineStr">
        <is>
          <t>Free</t>
        </is>
      </c>
      <c r="P2110" s="33" t="inlineStr">
        <is>
          <t>400 Free</t>
        </is>
      </c>
      <c r="Q2110" s="33" t="inlineStr">
        <is>
          <t>LCM_400_FREE</t>
        </is>
      </c>
      <c r="R2110" s="36" t="n">
        <v>256.65</v>
      </c>
      <c r="S2110" s="35">
        <f>IF(R2110="","",IF(R2110&gt;=60,INT(R2110/60)&amp;":"&amp;TEXT(MOD(R2110,60),"00.00"),TEXT(R2110,"0.00")))</f>
        <v/>
      </c>
      <c r="T2110" s="52">
        <f>IFERROR((G2110-INDEX('01_Swimmers'!$E$5:$E$22,MATCH(B2110,'01_Swimmers'!$A$5:$A$22,0)))/'00_Control'!$B$10,"")</f>
        <v/>
      </c>
      <c r="U2110" s="35">
        <f>IF(T2110="","",INT(T2110))</f>
        <v/>
      </c>
      <c r="V2110" s="33" t="inlineStr">
        <is>
          <t>NO</t>
        </is>
      </c>
      <c r="W2110" s="33" t="inlineStr">
        <is>
          <t>YES</t>
        </is>
      </c>
      <c r="X2110" s="33" t="inlineStr">
        <is>
          <t>NO</t>
        </is>
      </c>
      <c r="Y2110" s="33" t="n">
        <v>1</v>
      </c>
      <c r="Z2110" s="33" t="n">
        <v>4</v>
      </c>
      <c r="AA2110" s="33" t="inlineStr">
        <is>
          <t>1</t>
        </is>
      </c>
      <c r="AB2110" s="33" t="inlineStr">
        <is>
          <t>https://www.swimcloud.com/results/234834/event/20/?id=68690081#time68690081</t>
        </is>
      </c>
      <c r="AC2110" s="33" t="inlineStr">
        <is>
          <t>SwimCloud API v6 2026-10-08</t>
        </is>
      </c>
      <c r="AD2110" s="33" t="inlineStr">
        <is>
          <t>Luka Mijatovic|2022-07-08|LCM|400|Free|256.65|PC OAQ pacific Swimming 14 &amp;under LCM JOs|PRE|False</t>
        </is>
      </c>
      <c r="AE2110" s="53">
        <f>G2110+L2110/1000+ROW()/1000000000</f>
        <v/>
      </c>
      <c r="AF2110" s="35">
        <f>IF(C2110&lt;&gt;"Grayson Coulter","",COUNTIFS($C$5:$C$2991,"Grayson Coulter",$Q$5:$Q$2991,Q2110,$AE$5:$AE$2991,"&lt;="&amp;AE2110,$R$5:$R$2991,"&lt;"&amp;R2110))</f>
        <v/>
      </c>
      <c r="AG2110" s="35">
        <f>IF(OR(C2110&lt;&gt;"Grayson Coulter",G2110&lt;'00_Control'!$B$7),"",--(AF2110&lt;5))</f>
        <v/>
      </c>
      <c r="AH2110" s="35">
        <f>IF(OR(C2110&lt;&gt;"Grayson Coulter",G2110&lt;'00_Control'!$B$7),"",--(AF2110&lt;10))</f>
        <v/>
      </c>
      <c r="AI2110" s="35">
        <f>IF(AND(C2110="Grayson Coulter",G2110&gt;='00_Control'!$B$7),"YES","NO")</f>
        <v/>
      </c>
      <c r="AJ2110" s="33" t="inlineStr">
        <is>
          <t>OK</t>
        </is>
      </c>
    </row>
    <row r="2111">
      <c r="A2111" s="33" t="inlineStr">
        <is>
          <t>SM002107</t>
        </is>
      </c>
      <c r="B2111" s="33" t="inlineStr">
        <is>
          <t>SW003</t>
        </is>
      </c>
      <c r="C2111" s="33" t="inlineStr">
        <is>
          <t>Luka Mijatovic</t>
        </is>
      </c>
      <c r="D2111" s="33" t="inlineStr">
        <is>
          <t>SwimCloud</t>
        </is>
      </c>
      <c r="E2111" s="33" t="inlineStr">
        <is>
          <t>2415996</t>
        </is>
      </c>
      <c r="F2111" s="33" t="inlineStr">
        <is>
          <t>68690082</t>
        </is>
      </c>
      <c r="G2111" s="51" t="n">
        <v>44750</v>
      </c>
      <c r="H2111" s="33" t="inlineStr">
        <is>
          <t>PC OAQ pacific Swimming 14 &amp;under LCM JOs</t>
        </is>
      </c>
      <c r="I2111" s="33" t="inlineStr">
        <is>
          <t>234834</t>
        </is>
      </c>
      <c r="J2111" s="33" t="inlineStr"/>
      <c r="K2111" s="33" t="inlineStr">
        <is>
          <t>FIN</t>
        </is>
      </c>
      <c r="L2111" s="35">
        <f>IF(K2111="FIN",3,IF(OR(K2111="SEM",K2111="SEMI"),2,IF(OR(K2111="PRE",K2111="HEAT"),1,IF(V2111="YES",4,2))))</f>
        <v/>
      </c>
      <c r="M2111" s="33" t="inlineStr">
        <is>
          <t>LCM</t>
        </is>
      </c>
      <c r="N2111" s="33" t="n">
        <v>400</v>
      </c>
      <c r="O2111" s="33" t="inlineStr">
        <is>
          <t>Free</t>
        </is>
      </c>
      <c r="P2111" s="33" t="inlineStr">
        <is>
          <t>400 Free</t>
        </is>
      </c>
      <c r="Q2111" s="33" t="inlineStr">
        <is>
          <t>LCM_400_FREE</t>
        </is>
      </c>
      <c r="R2111" s="36" t="n">
        <v>251.39</v>
      </c>
      <c r="S2111" s="35">
        <f>IF(R2111="","",IF(R2111&gt;=60,INT(R2111/60)&amp;":"&amp;TEXT(MOD(R2111,60),"00.00"),TEXT(R2111,"0.00")))</f>
        <v/>
      </c>
      <c r="T2111" s="52">
        <f>IFERROR((G2111-INDEX('01_Swimmers'!$E$5:$E$22,MATCH(B2111,'01_Swimmers'!$A$5:$A$22,0)))/'00_Control'!$B$10,"")</f>
        <v/>
      </c>
      <c r="U2111" s="35">
        <f>IF(T2111="","",INT(T2111))</f>
        <v/>
      </c>
      <c r="V2111" s="33" t="inlineStr">
        <is>
          <t>NO</t>
        </is>
      </c>
      <c r="W2111" s="33" t="inlineStr">
        <is>
          <t>YES</t>
        </is>
      </c>
      <c r="X2111" s="33" t="inlineStr">
        <is>
          <t>NO</t>
        </is>
      </c>
      <c r="Y2111" s="33" t="n">
        <v>1</v>
      </c>
      <c r="Z2111" s="33" t="n">
        <v>4</v>
      </c>
      <c r="AA2111" s="33" t="inlineStr">
        <is>
          <t>1</t>
        </is>
      </c>
      <c r="AB2111" s="33" t="inlineStr">
        <is>
          <t>https://www.swimcloud.com/results/234834/event/20/?id=68690082#time68690082</t>
        </is>
      </c>
      <c r="AC2111" s="33" t="inlineStr">
        <is>
          <t>SwimCloud API v6 2026-10-08</t>
        </is>
      </c>
      <c r="AD2111" s="33" t="inlineStr">
        <is>
          <t>Luka Mijatovic|2022-07-08|LCM|400|Free|251.39|PC OAQ pacific Swimming 14 &amp;under LCM JOs|FIN|False</t>
        </is>
      </c>
      <c r="AE2111" s="53">
        <f>G2111+L2111/1000+ROW()/1000000000</f>
        <v/>
      </c>
      <c r="AF2111" s="35">
        <f>IF(C2111&lt;&gt;"Grayson Coulter","",COUNTIFS($C$5:$C$2991,"Grayson Coulter",$Q$5:$Q$2991,Q2111,$AE$5:$AE$2991,"&lt;="&amp;AE2111,$R$5:$R$2991,"&lt;"&amp;R2111))</f>
        <v/>
      </c>
      <c r="AG2111" s="35">
        <f>IF(OR(C2111&lt;&gt;"Grayson Coulter",G2111&lt;'00_Control'!$B$7),"",--(AF2111&lt;5))</f>
        <v/>
      </c>
      <c r="AH2111" s="35">
        <f>IF(OR(C2111&lt;&gt;"Grayson Coulter",G2111&lt;'00_Control'!$B$7),"",--(AF2111&lt;10))</f>
        <v/>
      </c>
      <c r="AI2111" s="35">
        <f>IF(AND(C2111="Grayson Coulter",G2111&gt;='00_Control'!$B$7),"YES","NO")</f>
        <v/>
      </c>
      <c r="AJ2111" s="33" t="inlineStr">
        <is>
          <t>OK</t>
        </is>
      </c>
    </row>
    <row r="2112">
      <c r="A2112" s="33" t="inlineStr">
        <is>
          <t>SM002108</t>
        </is>
      </c>
      <c r="B2112" s="33" t="inlineStr">
        <is>
          <t>SW003</t>
        </is>
      </c>
      <c r="C2112" s="33" t="inlineStr">
        <is>
          <t>Luka Mijatovic</t>
        </is>
      </c>
      <c r="D2112" s="33" t="inlineStr">
        <is>
          <t>SwimCloud</t>
        </is>
      </c>
      <c r="E2112" s="33" t="inlineStr">
        <is>
          <t>2415996</t>
        </is>
      </c>
      <c r="F2112" s="33" t="inlineStr">
        <is>
          <t>68689786</t>
        </is>
      </c>
      <c r="G2112" s="51" t="n">
        <v>44751</v>
      </c>
      <c r="H2112" s="33" t="inlineStr">
        <is>
          <t>PC OAQ pacific Swimming 14 &amp;under LCM JOs</t>
        </is>
      </c>
      <c r="I2112" s="33" t="inlineStr">
        <is>
          <t>234834</t>
        </is>
      </c>
      <c r="J2112" s="33" t="inlineStr"/>
      <c r="K2112" s="33" t="inlineStr">
        <is>
          <t>PRE</t>
        </is>
      </c>
      <c r="L2112" s="35">
        <f>IF(K2112="FIN",3,IF(OR(K2112="SEM",K2112="SEMI"),2,IF(OR(K2112="PRE",K2112="HEAT"),1,IF(V2112="YES",4,2))))</f>
        <v/>
      </c>
      <c r="M2112" s="33" t="inlineStr">
        <is>
          <t>LCM</t>
        </is>
      </c>
      <c r="N2112" s="33" t="n">
        <v>200</v>
      </c>
      <c r="O2112" s="33" t="inlineStr">
        <is>
          <t>Free</t>
        </is>
      </c>
      <c r="P2112" s="33" t="inlineStr">
        <is>
          <t>200 Free</t>
        </is>
      </c>
      <c r="Q2112" s="33" t="inlineStr">
        <is>
          <t>LCM_200_FREE</t>
        </is>
      </c>
      <c r="R2112" s="36" t="n">
        <v>122.32</v>
      </c>
      <c r="S2112" s="35">
        <f>IF(R2112="","",IF(R2112&gt;=60,INT(R2112/60)&amp;":"&amp;TEXT(MOD(R2112,60),"00.00"),TEXT(R2112,"0.00")))</f>
        <v/>
      </c>
      <c r="T2112" s="52">
        <f>IFERROR((G2112-INDEX('01_Swimmers'!$E$5:$E$22,MATCH(B2112,'01_Swimmers'!$A$5:$A$22,0)))/'00_Control'!$B$10,"")</f>
        <v/>
      </c>
      <c r="U2112" s="35">
        <f>IF(T2112="","",INT(T2112))</f>
        <v/>
      </c>
      <c r="V2112" s="33" t="inlineStr">
        <is>
          <t>NO</t>
        </is>
      </c>
      <c r="W2112" s="33" t="inlineStr">
        <is>
          <t>YES</t>
        </is>
      </c>
      <c r="X2112" s="33" t="inlineStr">
        <is>
          <t>NO</t>
        </is>
      </c>
      <c r="Y2112" s="33" t="n">
        <v>1</v>
      </c>
      <c r="Z2112" s="33" t="n">
        <v>4</v>
      </c>
      <c r="AA2112" s="33" t="inlineStr">
        <is>
          <t>1</t>
        </is>
      </c>
      <c r="AB2112" s="33" t="inlineStr">
        <is>
          <t>https://www.swimcloud.com/results/234834/event/40/?id=68689786#time68689786</t>
        </is>
      </c>
      <c r="AC2112" s="33" t="inlineStr">
        <is>
          <t>SwimCloud API v6 2026-10-08</t>
        </is>
      </c>
      <c r="AD2112" s="33" t="inlineStr">
        <is>
          <t>Luka Mijatovic|2022-07-09|LCM|200|Free|122.32|PC OAQ pacific Swimming 14 &amp;under LCM JOs|PRE|False</t>
        </is>
      </c>
      <c r="AE2112" s="53">
        <f>G2112+L2112/1000+ROW()/1000000000</f>
        <v/>
      </c>
      <c r="AF2112" s="35">
        <f>IF(C2112&lt;&gt;"Grayson Coulter","",COUNTIFS($C$5:$C$2991,"Grayson Coulter",$Q$5:$Q$2991,Q2112,$AE$5:$AE$2991,"&lt;="&amp;AE2112,$R$5:$R$2991,"&lt;"&amp;R2112))</f>
        <v/>
      </c>
      <c r="AG2112" s="35">
        <f>IF(OR(C2112&lt;&gt;"Grayson Coulter",G2112&lt;'00_Control'!$B$7),"",--(AF2112&lt;5))</f>
        <v/>
      </c>
      <c r="AH2112" s="35">
        <f>IF(OR(C2112&lt;&gt;"Grayson Coulter",G2112&lt;'00_Control'!$B$7),"",--(AF2112&lt;10))</f>
        <v/>
      </c>
      <c r="AI2112" s="35">
        <f>IF(AND(C2112="Grayson Coulter",G2112&gt;='00_Control'!$B$7),"YES","NO")</f>
        <v/>
      </c>
      <c r="AJ2112" s="33" t="inlineStr">
        <is>
          <t>OK</t>
        </is>
      </c>
    </row>
    <row r="2113">
      <c r="A2113" s="33" t="inlineStr">
        <is>
          <t>SM002109</t>
        </is>
      </c>
      <c r="B2113" s="33" t="inlineStr">
        <is>
          <t>SW003</t>
        </is>
      </c>
      <c r="C2113" s="33" t="inlineStr">
        <is>
          <t>Luka Mijatovic</t>
        </is>
      </c>
      <c r="D2113" s="33" t="inlineStr">
        <is>
          <t>SwimCloud</t>
        </is>
      </c>
      <c r="E2113" s="33" t="inlineStr">
        <is>
          <t>2415996</t>
        </is>
      </c>
      <c r="F2113" s="33" t="inlineStr">
        <is>
          <t>68689787</t>
        </is>
      </c>
      <c r="G2113" s="51" t="n">
        <v>44751</v>
      </c>
      <c r="H2113" s="33" t="inlineStr">
        <is>
          <t>PC OAQ pacific Swimming 14 &amp;under LCM JOs</t>
        </is>
      </c>
      <c r="I2113" s="33" t="inlineStr">
        <is>
          <t>234834</t>
        </is>
      </c>
      <c r="J2113" s="33" t="inlineStr"/>
      <c r="K2113" s="33" t="inlineStr">
        <is>
          <t>FIN</t>
        </is>
      </c>
      <c r="L2113" s="35">
        <f>IF(K2113="FIN",3,IF(OR(K2113="SEM",K2113="SEMI"),2,IF(OR(K2113="PRE",K2113="HEAT"),1,IF(V2113="YES",4,2))))</f>
        <v/>
      </c>
      <c r="M2113" s="33" t="inlineStr">
        <is>
          <t>LCM</t>
        </is>
      </c>
      <c r="N2113" s="33" t="n">
        <v>200</v>
      </c>
      <c r="O2113" s="33" t="inlineStr">
        <is>
          <t>Free</t>
        </is>
      </c>
      <c r="P2113" s="33" t="inlineStr">
        <is>
          <t>200 Free</t>
        </is>
      </c>
      <c r="Q2113" s="33" t="inlineStr">
        <is>
          <t>LCM_200_FREE</t>
        </is>
      </c>
      <c r="R2113" s="36" t="n">
        <v>117.45</v>
      </c>
      <c r="S2113" s="35">
        <f>IF(R2113="","",IF(R2113&gt;=60,INT(R2113/60)&amp;":"&amp;TEXT(MOD(R2113,60),"00.00"),TEXT(R2113,"0.00")))</f>
        <v/>
      </c>
      <c r="T2113" s="52">
        <f>IFERROR((G2113-INDEX('01_Swimmers'!$E$5:$E$22,MATCH(B2113,'01_Swimmers'!$A$5:$A$22,0)))/'00_Control'!$B$10,"")</f>
        <v/>
      </c>
      <c r="U2113" s="35">
        <f>IF(T2113="","",INT(T2113))</f>
        <v/>
      </c>
      <c r="V2113" s="33" t="inlineStr">
        <is>
          <t>NO</t>
        </is>
      </c>
      <c r="W2113" s="33" t="inlineStr">
        <is>
          <t>YES</t>
        </is>
      </c>
      <c r="X2113" s="33" t="inlineStr">
        <is>
          <t>NO</t>
        </is>
      </c>
      <c r="Y2113" s="33" t="n">
        <v>1</v>
      </c>
      <c r="Z2113" s="33" t="n">
        <v>4</v>
      </c>
      <c r="AA2113" s="33" t="inlineStr">
        <is>
          <t>1</t>
        </is>
      </c>
      <c r="AB2113" s="33" t="inlineStr">
        <is>
          <t>https://www.swimcloud.com/results/234834/event/40/?id=68689787#time68689787</t>
        </is>
      </c>
      <c r="AC2113" s="33" t="inlineStr">
        <is>
          <t>SwimCloud API v6 2026-10-08</t>
        </is>
      </c>
      <c r="AD2113" s="33" t="inlineStr">
        <is>
          <t>Luka Mijatovic|2022-07-09|LCM|200|Free|117.45|PC OAQ pacific Swimming 14 &amp;under LCM JOs|FIN|False</t>
        </is>
      </c>
      <c r="AE2113" s="53">
        <f>G2113+L2113/1000+ROW()/1000000000</f>
        <v/>
      </c>
      <c r="AF2113" s="35">
        <f>IF(C2113&lt;&gt;"Grayson Coulter","",COUNTIFS($C$5:$C$2991,"Grayson Coulter",$Q$5:$Q$2991,Q2113,$AE$5:$AE$2991,"&lt;="&amp;AE2113,$R$5:$R$2991,"&lt;"&amp;R2113))</f>
        <v/>
      </c>
      <c r="AG2113" s="35">
        <f>IF(OR(C2113&lt;&gt;"Grayson Coulter",G2113&lt;'00_Control'!$B$7),"",--(AF2113&lt;5))</f>
        <v/>
      </c>
      <c r="AH2113" s="35">
        <f>IF(OR(C2113&lt;&gt;"Grayson Coulter",G2113&lt;'00_Control'!$B$7),"",--(AF2113&lt;10))</f>
        <v/>
      </c>
      <c r="AI2113" s="35">
        <f>IF(AND(C2113="Grayson Coulter",G2113&gt;='00_Control'!$B$7),"YES","NO")</f>
        <v/>
      </c>
      <c r="AJ2113" s="33" t="inlineStr">
        <is>
          <t>OK</t>
        </is>
      </c>
    </row>
    <row r="2114">
      <c r="A2114" s="33" t="inlineStr">
        <is>
          <t>SM002110</t>
        </is>
      </c>
      <c r="B2114" s="33" t="inlineStr">
        <is>
          <t>SW003</t>
        </is>
      </c>
      <c r="C2114" s="33" t="inlineStr">
        <is>
          <t>Luka Mijatovic</t>
        </is>
      </c>
      <c r="D2114" s="33" t="inlineStr">
        <is>
          <t>SwimCloud</t>
        </is>
      </c>
      <c r="E2114" s="33" t="inlineStr">
        <is>
          <t>2415996</t>
        </is>
      </c>
      <c r="F2114" s="33" t="inlineStr">
        <is>
          <t>68984219</t>
        </is>
      </c>
      <c r="G2114" s="51" t="n">
        <v>44758</v>
      </c>
      <c r="H2114" s="33" t="inlineStr">
        <is>
          <t>CA Super League Summer LC Finals</t>
        </is>
      </c>
      <c r="I2114" s="33" t="inlineStr">
        <is>
          <t>232282</t>
        </is>
      </c>
      <c r="J2114" s="33" t="inlineStr"/>
      <c r="K2114" s="33" t="inlineStr">
        <is>
          <t>PRE</t>
        </is>
      </c>
      <c r="L2114" s="35">
        <f>IF(K2114="FIN",3,IF(OR(K2114="SEM",K2114="SEMI"),2,IF(OR(K2114="PRE",K2114="HEAT"),1,IF(V2114="YES",4,2))))</f>
        <v/>
      </c>
      <c r="M2114" s="33" t="inlineStr">
        <is>
          <t>LCM</t>
        </is>
      </c>
      <c r="N2114" s="33" t="n">
        <v>100</v>
      </c>
      <c r="O2114" s="33" t="inlineStr">
        <is>
          <t>Fly</t>
        </is>
      </c>
      <c r="P2114" s="33" t="inlineStr">
        <is>
          <t>100 Fly</t>
        </is>
      </c>
      <c r="Q2114" s="33" t="inlineStr">
        <is>
          <t>LCM_100_FLY</t>
        </is>
      </c>
      <c r="R2114" s="36" t="n">
        <v>60.64</v>
      </c>
      <c r="S2114" s="35">
        <f>IF(R2114="","",IF(R2114&gt;=60,INT(R2114/60)&amp;":"&amp;TEXT(MOD(R2114,60),"00.00"),TEXT(R2114,"0.00")))</f>
        <v/>
      </c>
      <c r="T2114" s="52">
        <f>IFERROR((G2114-INDEX('01_Swimmers'!$E$5:$E$22,MATCH(B2114,'01_Swimmers'!$A$5:$A$22,0)))/'00_Control'!$B$10,"")</f>
        <v/>
      </c>
      <c r="U2114" s="35">
        <f>IF(T2114="","",INT(T2114))</f>
        <v/>
      </c>
      <c r="V2114" s="33" t="inlineStr">
        <is>
          <t>NO</t>
        </is>
      </c>
      <c r="W2114" s="33" t="inlineStr">
        <is>
          <t>YES</t>
        </is>
      </c>
      <c r="X2114" s="33" t="inlineStr">
        <is>
          <t>NO</t>
        </is>
      </c>
      <c r="Y2114" s="33" t="n">
        <v>4</v>
      </c>
      <c r="Z2114" s="33" t="n">
        <v>9</v>
      </c>
      <c r="AA2114" s="33" t="inlineStr">
        <is>
          <t>20</t>
        </is>
      </c>
      <c r="AB2114" s="33" t="inlineStr">
        <is>
          <t>https://www.swimcloud.com/results/232282/event/18/?id=68984219#time68984219</t>
        </is>
      </c>
      <c r="AC2114" s="33" t="inlineStr">
        <is>
          <t>SwimCloud API v6 2026-10-08</t>
        </is>
      </c>
      <c r="AD2114" s="33" t="inlineStr">
        <is>
          <t>Luka Mijatovic|2022-07-16|LCM|100|Fly|60.64|CA Super League Summer LC Finals|PRE|False</t>
        </is>
      </c>
      <c r="AE2114" s="53">
        <f>G2114+L2114/1000+ROW()/1000000000</f>
        <v/>
      </c>
      <c r="AF2114" s="35">
        <f>IF(C2114&lt;&gt;"Grayson Coulter","",COUNTIFS($C$5:$C$2991,"Grayson Coulter",$Q$5:$Q$2991,Q2114,$AE$5:$AE$2991,"&lt;="&amp;AE2114,$R$5:$R$2991,"&lt;"&amp;R2114))</f>
        <v/>
      </c>
      <c r="AG2114" s="35">
        <f>IF(OR(C2114&lt;&gt;"Grayson Coulter",G2114&lt;'00_Control'!$B$7),"",--(AF2114&lt;5))</f>
        <v/>
      </c>
      <c r="AH2114" s="35">
        <f>IF(OR(C2114&lt;&gt;"Grayson Coulter",G2114&lt;'00_Control'!$B$7),"",--(AF2114&lt;10))</f>
        <v/>
      </c>
      <c r="AI2114" s="35">
        <f>IF(AND(C2114="Grayson Coulter",G2114&gt;='00_Control'!$B$7),"YES","NO")</f>
        <v/>
      </c>
      <c r="AJ2114" s="33" t="inlineStr">
        <is>
          <t>OK</t>
        </is>
      </c>
    </row>
    <row r="2115">
      <c r="A2115" s="33" t="inlineStr">
        <is>
          <t>SM002111</t>
        </is>
      </c>
      <c r="B2115" s="33" t="inlineStr">
        <is>
          <t>SW003</t>
        </is>
      </c>
      <c r="C2115" s="33" t="inlineStr">
        <is>
          <t>Luka Mijatovic</t>
        </is>
      </c>
      <c r="D2115" s="33" t="inlineStr">
        <is>
          <t>SwimCloud</t>
        </is>
      </c>
      <c r="E2115" s="33" t="inlineStr">
        <is>
          <t>2415996</t>
        </is>
      </c>
      <c r="F2115" s="33" t="inlineStr">
        <is>
          <t>68984220</t>
        </is>
      </c>
      <c r="G2115" s="51" t="n">
        <v>44758</v>
      </c>
      <c r="H2115" s="33" t="inlineStr">
        <is>
          <t>CA Super League Summer LC Finals</t>
        </is>
      </c>
      <c r="I2115" s="33" t="inlineStr">
        <is>
          <t>232282</t>
        </is>
      </c>
      <c r="J2115" s="33" t="inlineStr"/>
      <c r="K2115" s="33" t="inlineStr">
        <is>
          <t>FIN</t>
        </is>
      </c>
      <c r="L2115" s="35">
        <f>IF(K2115="FIN",3,IF(OR(K2115="SEM",K2115="SEMI"),2,IF(OR(K2115="PRE",K2115="HEAT"),1,IF(V2115="YES",4,2))))</f>
        <v/>
      </c>
      <c r="M2115" s="33" t="inlineStr">
        <is>
          <t>LCM</t>
        </is>
      </c>
      <c r="N2115" s="33" t="n">
        <v>100</v>
      </c>
      <c r="O2115" s="33" t="inlineStr">
        <is>
          <t>Fly</t>
        </is>
      </c>
      <c r="P2115" s="33" t="inlineStr">
        <is>
          <t>100 Fly</t>
        </is>
      </c>
      <c r="Q2115" s="33" t="inlineStr">
        <is>
          <t>LCM_100_FLY</t>
        </is>
      </c>
      <c r="R2115" s="36" t="n">
        <v>60.33</v>
      </c>
      <c r="S2115" s="35">
        <f>IF(R2115="","",IF(R2115&gt;=60,INT(R2115/60)&amp;":"&amp;TEXT(MOD(R2115,60),"00.00"),TEXT(R2115,"0.00")))</f>
        <v/>
      </c>
      <c r="T2115" s="52">
        <f>IFERROR((G2115-INDEX('01_Swimmers'!$E$5:$E$22,MATCH(B2115,'01_Swimmers'!$A$5:$A$22,0)))/'00_Control'!$B$10,"")</f>
        <v/>
      </c>
      <c r="U2115" s="35">
        <f>IF(T2115="","",INT(T2115))</f>
        <v/>
      </c>
      <c r="V2115" s="33" t="inlineStr">
        <is>
          <t>NO</t>
        </is>
      </c>
      <c r="W2115" s="33" t="inlineStr">
        <is>
          <t>YES</t>
        </is>
      </c>
      <c r="X2115" s="33" t="inlineStr">
        <is>
          <t>NO</t>
        </is>
      </c>
      <c r="Y2115" s="33" t="n">
        <v>4</v>
      </c>
      <c r="Z2115" s="33" t="n">
        <v>9</v>
      </c>
      <c r="AA2115" s="33" t="inlineStr">
        <is>
          <t>17</t>
        </is>
      </c>
      <c r="AB2115" s="33" t="inlineStr">
        <is>
          <t>https://www.swimcloud.com/results/232282/event/18/?id=68984220#time68984220</t>
        </is>
      </c>
      <c r="AC2115" s="33" t="inlineStr">
        <is>
          <t>SwimCloud API v6 2026-10-08</t>
        </is>
      </c>
      <c r="AD2115" s="33" t="inlineStr">
        <is>
          <t>Luka Mijatovic|2022-07-16|LCM|100|Fly|60.33|CA Super League Summer LC Finals|FIN|False</t>
        </is>
      </c>
      <c r="AE2115" s="53">
        <f>G2115+L2115/1000+ROW()/1000000000</f>
        <v/>
      </c>
      <c r="AF2115" s="35">
        <f>IF(C2115&lt;&gt;"Grayson Coulter","",COUNTIFS($C$5:$C$2991,"Grayson Coulter",$Q$5:$Q$2991,Q2115,$AE$5:$AE$2991,"&lt;="&amp;AE2115,$R$5:$R$2991,"&lt;"&amp;R2115))</f>
        <v/>
      </c>
      <c r="AG2115" s="35">
        <f>IF(OR(C2115&lt;&gt;"Grayson Coulter",G2115&lt;'00_Control'!$B$7),"",--(AF2115&lt;5))</f>
        <v/>
      </c>
      <c r="AH2115" s="35">
        <f>IF(OR(C2115&lt;&gt;"Grayson Coulter",G2115&lt;'00_Control'!$B$7),"",--(AF2115&lt;10))</f>
        <v/>
      </c>
      <c r="AI2115" s="35">
        <f>IF(AND(C2115="Grayson Coulter",G2115&gt;='00_Control'!$B$7),"YES","NO")</f>
        <v/>
      </c>
      <c r="AJ2115" s="33" t="inlineStr">
        <is>
          <t>OK</t>
        </is>
      </c>
    </row>
    <row r="2116">
      <c r="A2116" s="33" t="inlineStr">
        <is>
          <t>SM002112</t>
        </is>
      </c>
      <c r="B2116" s="33" t="inlineStr">
        <is>
          <t>SW003</t>
        </is>
      </c>
      <c r="C2116" s="33" t="inlineStr">
        <is>
          <t>Luka Mijatovic</t>
        </is>
      </c>
      <c r="D2116" s="33" t="inlineStr">
        <is>
          <t>SwimCloud</t>
        </is>
      </c>
      <c r="E2116" s="33" t="inlineStr">
        <is>
          <t>2415996</t>
        </is>
      </c>
      <c r="F2116" s="33" t="inlineStr">
        <is>
          <t>71908823</t>
        </is>
      </c>
      <c r="G2116" s="51" t="n">
        <v>44771</v>
      </c>
      <c r="H2116" s="33" t="inlineStr">
        <is>
          <t>Far Western LC Championships</t>
        </is>
      </c>
      <c r="I2116" s="33" t="inlineStr">
        <is>
          <t>236352</t>
        </is>
      </c>
      <c r="J2116" s="33" t="inlineStr"/>
      <c r="K2116" s="33" t="inlineStr">
        <is>
          <t>PRE</t>
        </is>
      </c>
      <c r="L2116" s="35">
        <f>IF(K2116="FIN",3,IF(OR(K2116="SEM",K2116="SEMI"),2,IF(OR(K2116="PRE",K2116="HEAT"),1,IF(V2116="YES",4,2))))</f>
        <v/>
      </c>
      <c r="M2116" s="33" t="inlineStr">
        <is>
          <t>LCM</t>
        </is>
      </c>
      <c r="N2116" s="33" t="n">
        <v>400</v>
      </c>
      <c r="O2116" s="33" t="inlineStr">
        <is>
          <t>Free</t>
        </is>
      </c>
      <c r="P2116" s="33" t="inlineStr">
        <is>
          <t>400 Free</t>
        </is>
      </c>
      <c r="Q2116" s="33" t="inlineStr">
        <is>
          <t>LCM_400_FREE</t>
        </is>
      </c>
      <c r="R2116" s="36" t="n">
        <v>260.16</v>
      </c>
      <c r="S2116" s="35">
        <f>IF(R2116="","",IF(R2116&gt;=60,INT(R2116/60)&amp;":"&amp;TEXT(MOD(R2116,60),"00.00"),TEXT(R2116,"0.00")))</f>
        <v/>
      </c>
      <c r="T2116" s="52">
        <f>IFERROR((G2116-INDEX('01_Swimmers'!$E$5:$E$22,MATCH(B2116,'01_Swimmers'!$A$5:$A$22,0)))/'00_Control'!$B$10,"")</f>
        <v/>
      </c>
      <c r="U2116" s="35">
        <f>IF(T2116="","",INT(T2116))</f>
        <v/>
      </c>
      <c r="V2116" s="33" t="inlineStr">
        <is>
          <t>NO</t>
        </is>
      </c>
      <c r="W2116" s="33" t="inlineStr">
        <is>
          <t>YES</t>
        </is>
      </c>
      <c r="X2116" s="33" t="inlineStr">
        <is>
          <t>NO</t>
        </is>
      </c>
      <c r="Y2116" s="33" t="n">
        <v>1</v>
      </c>
      <c r="Z2116" s="33" t="n">
        <v>5</v>
      </c>
      <c r="AA2116" s="33" t="inlineStr">
        <is>
          <t>4</t>
        </is>
      </c>
      <c r="AB2116" s="33" t="inlineStr">
        <is>
          <t>https://www.swimcloud.com/results/236352/event/60/?id=71908823#time71908823</t>
        </is>
      </c>
      <c r="AC2116" s="33" t="inlineStr">
        <is>
          <t>SwimCloud API v6 2026-10-08</t>
        </is>
      </c>
      <c r="AD2116" s="33" t="inlineStr">
        <is>
          <t>Luka Mijatovic|2022-07-29|LCM|400|Free|260.16|Far Western LC Championships|PRE|False</t>
        </is>
      </c>
      <c r="AE2116" s="53">
        <f>G2116+L2116/1000+ROW()/1000000000</f>
        <v/>
      </c>
      <c r="AF2116" s="35">
        <f>IF(C2116&lt;&gt;"Grayson Coulter","",COUNTIFS($C$5:$C$2991,"Grayson Coulter",$Q$5:$Q$2991,Q2116,$AE$5:$AE$2991,"&lt;="&amp;AE2116,$R$5:$R$2991,"&lt;"&amp;R2116))</f>
        <v/>
      </c>
      <c r="AG2116" s="35">
        <f>IF(OR(C2116&lt;&gt;"Grayson Coulter",G2116&lt;'00_Control'!$B$7),"",--(AF2116&lt;5))</f>
        <v/>
      </c>
      <c r="AH2116" s="35">
        <f>IF(OR(C2116&lt;&gt;"Grayson Coulter",G2116&lt;'00_Control'!$B$7),"",--(AF2116&lt;10))</f>
        <v/>
      </c>
      <c r="AI2116" s="35">
        <f>IF(AND(C2116="Grayson Coulter",G2116&gt;='00_Control'!$B$7),"YES","NO")</f>
        <v/>
      </c>
      <c r="AJ2116" s="33" t="inlineStr">
        <is>
          <t>OK</t>
        </is>
      </c>
    </row>
    <row r="2117">
      <c r="A2117" s="33" t="inlineStr">
        <is>
          <t>SM002113</t>
        </is>
      </c>
      <c r="B2117" s="33" t="inlineStr">
        <is>
          <t>SW003</t>
        </is>
      </c>
      <c r="C2117" s="33" t="inlineStr">
        <is>
          <t>Luka Mijatovic</t>
        </is>
      </c>
      <c r="D2117" s="33" t="inlineStr">
        <is>
          <t>SwimCloud</t>
        </is>
      </c>
      <c r="E2117" s="33" t="inlineStr">
        <is>
          <t>2415996</t>
        </is>
      </c>
      <c r="F2117" s="33" t="inlineStr">
        <is>
          <t>71908824</t>
        </is>
      </c>
      <c r="G2117" s="51" t="n">
        <v>44771</v>
      </c>
      <c r="H2117" s="33" t="inlineStr">
        <is>
          <t>Far Western LC Championships</t>
        </is>
      </c>
      <c r="I2117" s="33" t="inlineStr">
        <is>
          <t>236352</t>
        </is>
      </c>
      <c r="J2117" s="33" t="inlineStr"/>
      <c r="K2117" s="33" t="inlineStr">
        <is>
          <t>FIN</t>
        </is>
      </c>
      <c r="L2117" s="35">
        <f>IF(K2117="FIN",3,IF(OR(K2117="SEM",K2117="SEMI"),2,IF(OR(K2117="PRE",K2117="HEAT"),1,IF(V2117="YES",4,2))))</f>
        <v/>
      </c>
      <c r="M2117" s="33" t="inlineStr">
        <is>
          <t>LCM</t>
        </is>
      </c>
      <c r="N2117" s="33" t="n">
        <v>400</v>
      </c>
      <c r="O2117" s="33" t="inlineStr">
        <is>
          <t>Free</t>
        </is>
      </c>
      <c r="P2117" s="33" t="inlineStr">
        <is>
          <t>400 Free</t>
        </is>
      </c>
      <c r="Q2117" s="33" t="inlineStr">
        <is>
          <t>LCM_400_FREE</t>
        </is>
      </c>
      <c r="R2117" s="36" t="n">
        <v>247.64</v>
      </c>
      <c r="S2117" s="35">
        <f>IF(R2117="","",IF(R2117&gt;=60,INT(R2117/60)&amp;":"&amp;TEXT(MOD(R2117,60),"00.00"),TEXT(R2117,"0.00")))</f>
        <v/>
      </c>
      <c r="T2117" s="52">
        <f>IFERROR((G2117-INDEX('01_Swimmers'!$E$5:$E$22,MATCH(B2117,'01_Swimmers'!$A$5:$A$22,0)))/'00_Control'!$B$10,"")</f>
        <v/>
      </c>
      <c r="U2117" s="35">
        <f>IF(T2117="","",INT(T2117))</f>
        <v/>
      </c>
      <c r="V2117" s="33" t="inlineStr">
        <is>
          <t>NO</t>
        </is>
      </c>
      <c r="W2117" s="33" t="inlineStr">
        <is>
          <t>YES</t>
        </is>
      </c>
      <c r="X2117" s="33" t="inlineStr">
        <is>
          <t>NO</t>
        </is>
      </c>
      <c r="Y2117" s="33" t="n">
        <v>1</v>
      </c>
      <c r="Z2117" s="33" t="n">
        <v>7</v>
      </c>
      <c r="AA2117" s="33" t="inlineStr">
        <is>
          <t>1</t>
        </is>
      </c>
      <c r="AB2117" s="33" t="inlineStr">
        <is>
          <t>https://www.swimcloud.com/results/236352/event/60/?id=71908824#time71908824</t>
        </is>
      </c>
      <c r="AC2117" s="33" t="inlineStr">
        <is>
          <t>SwimCloud API v6 2026-10-08</t>
        </is>
      </c>
      <c r="AD2117" s="33" t="inlineStr">
        <is>
          <t>Luka Mijatovic|2022-07-29|LCM|400|Free|247.64|Far Western LC Championships|FIN|False</t>
        </is>
      </c>
      <c r="AE2117" s="53">
        <f>G2117+L2117/1000+ROW()/1000000000</f>
        <v/>
      </c>
      <c r="AF2117" s="35">
        <f>IF(C2117&lt;&gt;"Grayson Coulter","",COUNTIFS($C$5:$C$2991,"Grayson Coulter",$Q$5:$Q$2991,Q2117,$AE$5:$AE$2991,"&lt;="&amp;AE2117,$R$5:$R$2991,"&lt;"&amp;R2117))</f>
        <v/>
      </c>
      <c r="AG2117" s="35">
        <f>IF(OR(C2117&lt;&gt;"Grayson Coulter",G2117&lt;'00_Control'!$B$7),"",--(AF2117&lt;5))</f>
        <v/>
      </c>
      <c r="AH2117" s="35">
        <f>IF(OR(C2117&lt;&gt;"Grayson Coulter",G2117&lt;'00_Control'!$B$7),"",--(AF2117&lt;10))</f>
        <v/>
      </c>
      <c r="AI2117" s="35">
        <f>IF(AND(C2117="Grayson Coulter",G2117&gt;='00_Control'!$B$7),"YES","NO")</f>
        <v/>
      </c>
      <c r="AJ2117" s="33" t="inlineStr">
        <is>
          <t>OK</t>
        </is>
      </c>
    </row>
    <row r="2118">
      <c r="A2118" s="33" t="inlineStr">
        <is>
          <t>SM002114</t>
        </is>
      </c>
      <c r="B2118" s="33" t="inlineStr">
        <is>
          <t>SW003</t>
        </is>
      </c>
      <c r="C2118" s="33" t="inlineStr">
        <is>
          <t>Luka Mijatovic</t>
        </is>
      </c>
      <c r="D2118" s="33" t="inlineStr">
        <is>
          <t>SwimCloud</t>
        </is>
      </c>
      <c r="E2118" s="33" t="inlineStr">
        <is>
          <t>2415996</t>
        </is>
      </c>
      <c r="F2118" s="33" t="inlineStr">
        <is>
          <t>71909040</t>
        </is>
      </c>
      <c r="G2118" s="51" t="n">
        <v>44772</v>
      </c>
      <c r="H2118" s="33" t="inlineStr">
        <is>
          <t>Far Western LC Championships</t>
        </is>
      </c>
      <c r="I2118" s="33" t="inlineStr">
        <is>
          <t>236352</t>
        </is>
      </c>
      <c r="J2118" s="33" t="inlineStr"/>
      <c r="K2118" s="33" t="inlineStr">
        <is>
          <t>PRE</t>
        </is>
      </c>
      <c r="L2118" s="35">
        <f>IF(K2118="FIN",3,IF(OR(K2118="SEM",K2118="SEMI"),2,IF(OR(K2118="PRE",K2118="HEAT"),1,IF(V2118="YES",4,2))))</f>
        <v/>
      </c>
      <c r="M2118" s="33" t="inlineStr">
        <is>
          <t>LCM</t>
        </is>
      </c>
      <c r="N2118" s="33" t="n">
        <v>200</v>
      </c>
      <c r="O2118" s="33" t="inlineStr">
        <is>
          <t>Free</t>
        </is>
      </c>
      <c r="P2118" s="33" t="inlineStr">
        <is>
          <t>200 Free</t>
        </is>
      </c>
      <c r="Q2118" s="33" t="inlineStr">
        <is>
          <t>LCM_200_FREE</t>
        </is>
      </c>
      <c r="R2118" s="36" t="n">
        <v>120.61</v>
      </c>
      <c r="S2118" s="35">
        <f>IF(R2118="","",IF(R2118&gt;=60,INT(R2118/60)&amp;":"&amp;TEXT(MOD(R2118,60),"00.00"),TEXT(R2118,"0.00")))</f>
        <v/>
      </c>
      <c r="T2118" s="52">
        <f>IFERROR((G2118-INDEX('01_Swimmers'!$E$5:$E$22,MATCH(B2118,'01_Swimmers'!$A$5:$A$22,0)))/'00_Control'!$B$10,"")</f>
        <v/>
      </c>
      <c r="U2118" s="35">
        <f>IF(T2118="","",INT(T2118))</f>
        <v/>
      </c>
      <c r="V2118" s="33" t="inlineStr">
        <is>
          <t>NO</t>
        </is>
      </c>
      <c r="W2118" s="33" t="inlineStr">
        <is>
          <t>YES</t>
        </is>
      </c>
      <c r="X2118" s="33" t="inlineStr">
        <is>
          <t>NO</t>
        </is>
      </c>
      <c r="Y2118" s="33" t="n">
        <v>1</v>
      </c>
      <c r="Z2118" s="33" t="n">
        <v>5</v>
      </c>
      <c r="AA2118" s="33" t="inlineStr">
        <is>
          <t>1</t>
        </is>
      </c>
      <c r="AB2118" s="33" t="inlineStr">
        <is>
          <t>https://www.swimcloud.com/results/236352/event/72/?id=71909040#time71909040</t>
        </is>
      </c>
      <c r="AC2118" s="33" t="inlineStr">
        <is>
          <t>SwimCloud API v6 2026-10-08</t>
        </is>
      </c>
      <c r="AD2118" s="33" t="inlineStr">
        <is>
          <t>Luka Mijatovic|2022-07-30|LCM|200|Free|120.61|Far Western LC Championships|PRE|False</t>
        </is>
      </c>
      <c r="AE2118" s="53">
        <f>G2118+L2118/1000+ROW()/1000000000</f>
        <v/>
      </c>
      <c r="AF2118" s="35">
        <f>IF(C2118&lt;&gt;"Grayson Coulter","",COUNTIFS($C$5:$C$2991,"Grayson Coulter",$Q$5:$Q$2991,Q2118,$AE$5:$AE$2991,"&lt;="&amp;AE2118,$R$5:$R$2991,"&lt;"&amp;R2118))</f>
        <v/>
      </c>
      <c r="AG2118" s="35">
        <f>IF(OR(C2118&lt;&gt;"Grayson Coulter",G2118&lt;'00_Control'!$B$7),"",--(AF2118&lt;5))</f>
        <v/>
      </c>
      <c r="AH2118" s="35">
        <f>IF(OR(C2118&lt;&gt;"Grayson Coulter",G2118&lt;'00_Control'!$B$7),"",--(AF2118&lt;10))</f>
        <v/>
      </c>
      <c r="AI2118" s="35">
        <f>IF(AND(C2118="Grayson Coulter",G2118&gt;='00_Control'!$B$7),"YES","NO")</f>
        <v/>
      </c>
      <c r="AJ2118" s="33" t="inlineStr">
        <is>
          <t>OK</t>
        </is>
      </c>
    </row>
    <row r="2119">
      <c r="A2119" s="33" t="inlineStr">
        <is>
          <t>SM002115</t>
        </is>
      </c>
      <c r="B2119" s="33" t="inlineStr">
        <is>
          <t>SW003</t>
        </is>
      </c>
      <c r="C2119" s="33" t="inlineStr">
        <is>
          <t>Luka Mijatovic</t>
        </is>
      </c>
      <c r="D2119" s="33" t="inlineStr">
        <is>
          <t>SwimCloud</t>
        </is>
      </c>
      <c r="E2119" s="33" t="inlineStr">
        <is>
          <t>2415996</t>
        </is>
      </c>
      <c r="F2119" s="33" t="inlineStr">
        <is>
          <t>71909041</t>
        </is>
      </c>
      <c r="G2119" s="51" t="n">
        <v>44772</v>
      </c>
      <c r="H2119" s="33" t="inlineStr">
        <is>
          <t>Far Western LC Championships</t>
        </is>
      </c>
      <c r="I2119" s="33" t="inlineStr">
        <is>
          <t>236352</t>
        </is>
      </c>
      <c r="J2119" s="33" t="inlineStr"/>
      <c r="K2119" s="33" t="inlineStr">
        <is>
          <t>FIN</t>
        </is>
      </c>
      <c r="L2119" s="35">
        <f>IF(K2119="FIN",3,IF(OR(K2119="SEM",K2119="SEMI"),2,IF(OR(K2119="PRE",K2119="HEAT"),1,IF(V2119="YES",4,2))))</f>
        <v/>
      </c>
      <c r="M2119" s="33" t="inlineStr">
        <is>
          <t>LCM</t>
        </is>
      </c>
      <c r="N2119" s="33" t="n">
        <v>200</v>
      </c>
      <c r="O2119" s="33" t="inlineStr">
        <is>
          <t>Free</t>
        </is>
      </c>
      <c r="P2119" s="33" t="inlineStr">
        <is>
          <t>200 Free</t>
        </is>
      </c>
      <c r="Q2119" s="33" t="inlineStr">
        <is>
          <t>LCM_200_FREE</t>
        </is>
      </c>
      <c r="R2119" s="36" t="n">
        <v>117.13</v>
      </c>
      <c r="S2119" s="35">
        <f>IF(R2119="","",IF(R2119&gt;=60,INT(R2119/60)&amp;":"&amp;TEXT(MOD(R2119,60),"00.00"),TEXT(R2119,"0.00")))</f>
        <v/>
      </c>
      <c r="T2119" s="52">
        <f>IFERROR((G2119-INDEX('01_Swimmers'!$E$5:$E$22,MATCH(B2119,'01_Swimmers'!$A$5:$A$22,0)))/'00_Control'!$B$10,"")</f>
        <v/>
      </c>
      <c r="U2119" s="35">
        <f>IF(T2119="","",INT(T2119))</f>
        <v/>
      </c>
      <c r="V2119" s="33" t="inlineStr">
        <is>
          <t>NO</t>
        </is>
      </c>
      <c r="W2119" s="33" t="inlineStr">
        <is>
          <t>YES</t>
        </is>
      </c>
      <c r="X2119" s="33" t="inlineStr">
        <is>
          <t>NO</t>
        </is>
      </c>
      <c r="Y2119" s="33" t="n">
        <v>1</v>
      </c>
      <c r="Z2119" s="33" t="n">
        <v>5</v>
      </c>
      <c r="AA2119" s="33" t="inlineStr">
        <is>
          <t>1</t>
        </is>
      </c>
      <c r="AB2119" s="33" t="inlineStr">
        <is>
          <t>https://www.swimcloud.com/results/236352/event/72/?id=71909041#time71909041</t>
        </is>
      </c>
      <c r="AC2119" s="33" t="inlineStr">
        <is>
          <t>SwimCloud API v6 2026-10-08</t>
        </is>
      </c>
      <c r="AD2119" s="33" t="inlineStr">
        <is>
          <t>Luka Mijatovic|2022-07-30|LCM|200|Free|117.13|Far Western LC Championships|FIN|False</t>
        </is>
      </c>
      <c r="AE2119" s="53">
        <f>G2119+L2119/1000+ROW()/1000000000</f>
        <v/>
      </c>
      <c r="AF2119" s="35">
        <f>IF(C2119&lt;&gt;"Grayson Coulter","",COUNTIFS($C$5:$C$2991,"Grayson Coulter",$Q$5:$Q$2991,Q2119,$AE$5:$AE$2991,"&lt;="&amp;AE2119,$R$5:$R$2991,"&lt;"&amp;R2119))</f>
        <v/>
      </c>
      <c r="AG2119" s="35">
        <f>IF(OR(C2119&lt;&gt;"Grayson Coulter",G2119&lt;'00_Control'!$B$7),"",--(AF2119&lt;5))</f>
        <v/>
      </c>
      <c r="AH2119" s="35">
        <f>IF(OR(C2119&lt;&gt;"Grayson Coulter",G2119&lt;'00_Control'!$B$7),"",--(AF2119&lt;10))</f>
        <v/>
      </c>
      <c r="AI2119" s="35">
        <f>IF(AND(C2119="Grayson Coulter",G2119&gt;='00_Control'!$B$7),"YES","NO")</f>
        <v/>
      </c>
      <c r="AJ2119" s="33" t="inlineStr">
        <is>
          <t>OK</t>
        </is>
      </c>
    </row>
    <row r="2120">
      <c r="A2120" s="33" t="inlineStr">
        <is>
          <t>SM002116</t>
        </is>
      </c>
      <c r="B2120" s="33" t="inlineStr">
        <is>
          <t>SW003</t>
        </is>
      </c>
      <c r="C2120" s="33" t="inlineStr">
        <is>
          <t>Luka Mijatovic</t>
        </is>
      </c>
      <c r="D2120" s="33" t="inlineStr">
        <is>
          <t>SwimCloud</t>
        </is>
      </c>
      <c r="E2120" s="33" t="inlineStr">
        <is>
          <t>2415996</t>
        </is>
      </c>
      <c r="F2120" s="33" t="inlineStr">
        <is>
          <t>71914360</t>
        </is>
      </c>
      <c r="G2120" s="51" t="n">
        <v>44773</v>
      </c>
      <c r="H2120" s="33" t="inlineStr">
        <is>
          <t>Far Western LC Championships</t>
        </is>
      </c>
      <c r="I2120" s="33" t="inlineStr">
        <is>
          <t>236352</t>
        </is>
      </c>
      <c r="J2120" s="33" t="inlineStr"/>
      <c r="K2120" s="33" t="inlineStr">
        <is>
          <t>TIM</t>
        </is>
      </c>
      <c r="L2120" s="35">
        <f>IF(K2120="FIN",3,IF(OR(K2120="SEM",K2120="SEMI"),2,IF(OR(K2120="PRE",K2120="HEAT"),1,IF(V2120="YES",4,2))))</f>
        <v/>
      </c>
      <c r="M2120" s="33" t="inlineStr">
        <is>
          <t>LCM</t>
        </is>
      </c>
      <c r="N2120" s="33" t="n">
        <v>100</v>
      </c>
      <c r="O2120" s="33" t="inlineStr">
        <is>
          <t>Free</t>
        </is>
      </c>
      <c r="P2120" s="33" t="inlineStr">
        <is>
          <t>100 Free</t>
        </is>
      </c>
      <c r="Q2120" s="33" t="inlineStr">
        <is>
          <t>LCM_100_FREE</t>
        </is>
      </c>
      <c r="R2120" s="36" t="n">
        <v>55.39</v>
      </c>
      <c r="S2120" s="35">
        <f>IF(R2120="","",IF(R2120&gt;=60,INT(R2120/60)&amp;":"&amp;TEXT(MOD(R2120,60),"00.00"),TEXT(R2120,"0.00")))</f>
        <v/>
      </c>
      <c r="T2120" s="52">
        <f>IFERROR((G2120-INDEX('01_Swimmers'!$E$5:$E$22,MATCH(B2120,'01_Swimmers'!$A$5:$A$22,0)))/'00_Control'!$B$10,"")</f>
        <v/>
      </c>
      <c r="U2120" s="35">
        <f>IF(T2120="","",INT(T2120))</f>
        <v/>
      </c>
      <c r="V2120" s="33" t="inlineStr">
        <is>
          <t>YES</t>
        </is>
      </c>
      <c r="W2120" s="33" t="inlineStr">
        <is>
          <t>YES</t>
        </is>
      </c>
      <c r="X2120" s="33" t="inlineStr">
        <is>
          <t>NO</t>
        </is>
      </c>
      <c r="Y2120" s="33" t="n">
        <v>1</v>
      </c>
      <c r="Z2120" s="33" t="n">
        <v>6</v>
      </c>
      <c r="AA2120" s="33" t="inlineStr"/>
      <c r="AB2120" s="33" t="inlineStr">
        <is>
          <t>https://www.swimcloud.com/results/236352/event/130/?id=71911255#time71911255</t>
        </is>
      </c>
      <c r="AC2120" s="33" t="inlineStr">
        <is>
          <t>SwimCloud API v6 2026-10-08</t>
        </is>
      </c>
      <c r="AD2120" s="33" t="inlineStr">
        <is>
          <t>Luka Mijatovic|2022-07-31|LCM|100|Free|55.39|Far Western LC Championships|TIM|True</t>
        </is>
      </c>
      <c r="AE2120" s="53">
        <f>G2120+L2120/1000+ROW()/1000000000</f>
        <v/>
      </c>
      <c r="AF2120" s="35">
        <f>IF(C2120&lt;&gt;"Grayson Coulter","",COUNTIFS($C$5:$C$2991,"Grayson Coulter",$Q$5:$Q$2991,Q2120,$AE$5:$AE$2991,"&lt;="&amp;AE2120,$R$5:$R$2991,"&lt;"&amp;R2120))</f>
        <v/>
      </c>
      <c r="AG2120" s="35">
        <f>IF(OR(C2120&lt;&gt;"Grayson Coulter",G2120&lt;'00_Control'!$B$7),"",--(AF2120&lt;5))</f>
        <v/>
      </c>
      <c r="AH2120" s="35">
        <f>IF(OR(C2120&lt;&gt;"Grayson Coulter",G2120&lt;'00_Control'!$B$7),"",--(AF2120&lt;10))</f>
        <v/>
      </c>
      <c r="AI2120" s="35">
        <f>IF(AND(C2120="Grayson Coulter",G2120&gt;='00_Control'!$B$7),"YES","NO")</f>
        <v/>
      </c>
      <c r="AJ2120" s="33" t="inlineStr">
        <is>
          <t>OK</t>
        </is>
      </c>
    </row>
    <row r="2121">
      <c r="A2121" s="33" t="inlineStr">
        <is>
          <t>SM002117</t>
        </is>
      </c>
      <c r="B2121" s="33" t="inlineStr">
        <is>
          <t>SW003</t>
        </is>
      </c>
      <c r="C2121" s="33" t="inlineStr">
        <is>
          <t>Luka Mijatovic</t>
        </is>
      </c>
      <c r="D2121" s="33" t="inlineStr">
        <is>
          <t>SwimCloud</t>
        </is>
      </c>
      <c r="E2121" s="33" t="inlineStr">
        <is>
          <t>2415996</t>
        </is>
      </c>
      <c r="F2121" s="33" t="inlineStr">
        <is>
          <t>86076113</t>
        </is>
      </c>
      <c r="G2121" s="51" t="n">
        <v>44855</v>
      </c>
      <c r="H2121" s="33" t="inlineStr">
        <is>
          <t>FINA World Cup - Berlin</t>
        </is>
      </c>
      <c r="I2121" s="33" t="inlineStr">
        <is>
          <t>234874</t>
        </is>
      </c>
      <c r="J2121" s="33" t="inlineStr"/>
      <c r="K2121" s="33" t="inlineStr">
        <is>
          <t>PRE</t>
        </is>
      </c>
      <c r="L2121" s="35">
        <f>IF(K2121="FIN",3,IF(OR(K2121="SEM",K2121="SEMI"),2,IF(OR(K2121="PRE",K2121="HEAT"),1,IF(V2121="YES",4,2))))</f>
        <v/>
      </c>
      <c r="M2121" s="33" t="inlineStr">
        <is>
          <t>SCM</t>
        </is>
      </c>
      <c r="N2121" s="33" t="n">
        <v>400</v>
      </c>
      <c r="O2121" s="33" t="inlineStr">
        <is>
          <t>Free</t>
        </is>
      </c>
      <c r="P2121" s="33" t="inlineStr">
        <is>
          <t>400 Free</t>
        </is>
      </c>
      <c r="Q2121" s="33" t="inlineStr">
        <is>
          <t>SCM_400_FREE</t>
        </is>
      </c>
      <c r="R2121" s="36" t="n">
        <v>241.9</v>
      </c>
      <c r="S2121" s="35">
        <f>IF(R2121="","",IF(R2121&gt;=60,INT(R2121/60)&amp;":"&amp;TEXT(MOD(R2121,60),"00.00"),TEXT(R2121,"0.00")))</f>
        <v/>
      </c>
      <c r="T2121" s="52">
        <f>IFERROR((G2121-INDEX('01_Swimmers'!$E$5:$E$22,MATCH(B2121,'01_Swimmers'!$A$5:$A$22,0)))/'00_Control'!$B$10,"")</f>
        <v/>
      </c>
      <c r="U2121" s="35">
        <f>IF(T2121="","",INT(T2121))</f>
        <v/>
      </c>
      <c r="V2121" s="33" t="inlineStr">
        <is>
          <t>NO</t>
        </is>
      </c>
      <c r="W2121" s="33" t="inlineStr">
        <is>
          <t>YES</t>
        </is>
      </c>
      <c r="X2121" s="33" t="inlineStr">
        <is>
          <t>NO</t>
        </is>
      </c>
      <c r="Y2121" s="33" t="n">
        <v>2</v>
      </c>
      <c r="Z2121" s="33" t="n">
        <v>1</v>
      </c>
      <c r="AA2121" s="33" t="inlineStr">
        <is>
          <t>50</t>
        </is>
      </c>
      <c r="AB2121" s="33" t="inlineStr">
        <is>
          <t>https://www.swimcloud.com/results/234874/event/2/?id=86076113#time86076113</t>
        </is>
      </c>
      <c r="AC2121" s="33" t="inlineStr">
        <is>
          <t>SwimCloud API v6 2026-10-08</t>
        </is>
      </c>
      <c r="AD2121" s="33" t="inlineStr">
        <is>
          <t>Luka Mijatovic|2022-10-21|SCM|400|Free|241.9|FINA World Cup - Berlin|PRE|False</t>
        </is>
      </c>
      <c r="AE2121" s="53">
        <f>G2121+L2121/1000+ROW()/1000000000</f>
        <v/>
      </c>
      <c r="AF2121" s="35">
        <f>IF(C2121&lt;&gt;"Grayson Coulter","",COUNTIFS($C$5:$C$2991,"Grayson Coulter",$Q$5:$Q$2991,Q2121,$AE$5:$AE$2991,"&lt;="&amp;AE2121,$R$5:$R$2991,"&lt;"&amp;R2121))</f>
        <v/>
      </c>
      <c r="AG2121" s="35">
        <f>IF(OR(C2121&lt;&gt;"Grayson Coulter",G2121&lt;'00_Control'!$B$7),"",--(AF2121&lt;5))</f>
        <v/>
      </c>
      <c r="AH2121" s="35">
        <f>IF(OR(C2121&lt;&gt;"Grayson Coulter",G2121&lt;'00_Control'!$B$7),"",--(AF2121&lt;10))</f>
        <v/>
      </c>
      <c r="AI2121" s="35">
        <f>IF(AND(C2121="Grayson Coulter",G2121&gt;='00_Control'!$B$7),"YES","NO")</f>
        <v/>
      </c>
      <c r="AJ2121" s="33" t="inlineStr">
        <is>
          <t>OK</t>
        </is>
      </c>
    </row>
    <row r="2122">
      <c r="A2122" s="33" t="inlineStr">
        <is>
          <t>SM002118</t>
        </is>
      </c>
      <c r="B2122" s="33" t="inlineStr">
        <is>
          <t>SW003</t>
        </is>
      </c>
      <c r="C2122" s="33" t="inlineStr">
        <is>
          <t>Luka Mijatovic</t>
        </is>
      </c>
      <c r="D2122" s="33" t="inlineStr">
        <is>
          <t>SwimCloud</t>
        </is>
      </c>
      <c r="E2122" s="33" t="inlineStr">
        <is>
          <t>2415996</t>
        </is>
      </c>
      <c r="F2122" s="33" t="inlineStr">
        <is>
          <t>86075062</t>
        </is>
      </c>
      <c r="G2122" s="51" t="n">
        <v>44856</v>
      </c>
      <c r="H2122" s="33" t="inlineStr">
        <is>
          <t>FINA World Cup - Berlin</t>
        </is>
      </c>
      <c r="I2122" s="33" t="inlineStr">
        <is>
          <t>234874</t>
        </is>
      </c>
      <c r="J2122" s="33" t="inlineStr"/>
      <c r="K2122" s="33" t="inlineStr">
        <is>
          <t>PRE</t>
        </is>
      </c>
      <c r="L2122" s="35">
        <f>IF(K2122="FIN",3,IF(OR(K2122="SEM",K2122="SEMI"),2,IF(OR(K2122="PRE",K2122="HEAT"),1,IF(V2122="YES",4,2))))</f>
        <v/>
      </c>
      <c r="M2122" s="33" t="inlineStr">
        <is>
          <t>SCM</t>
        </is>
      </c>
      <c r="N2122" s="33" t="n">
        <v>100</v>
      </c>
      <c r="O2122" s="33" t="inlineStr">
        <is>
          <t>Free</t>
        </is>
      </c>
      <c r="P2122" s="33" t="inlineStr">
        <is>
          <t>100 Free</t>
        </is>
      </c>
      <c r="Q2122" s="33" t="inlineStr">
        <is>
          <t>SCM_100_FREE</t>
        </is>
      </c>
      <c r="R2122" s="36" t="n">
        <v>53.47</v>
      </c>
      <c r="S2122" s="35">
        <f>IF(R2122="","",IF(R2122&gt;=60,INT(R2122/60)&amp;":"&amp;TEXT(MOD(R2122,60),"00.00"),TEXT(R2122,"0.00")))</f>
        <v/>
      </c>
      <c r="T2122" s="52">
        <f>IFERROR((G2122-INDEX('01_Swimmers'!$E$5:$E$22,MATCH(B2122,'01_Swimmers'!$A$5:$A$22,0)))/'00_Control'!$B$10,"")</f>
        <v/>
      </c>
      <c r="U2122" s="35">
        <f>IF(T2122="","",INT(T2122))</f>
        <v/>
      </c>
      <c r="V2122" s="33" t="inlineStr">
        <is>
          <t>NO</t>
        </is>
      </c>
      <c r="W2122" s="33" t="inlineStr">
        <is>
          <t>YES</t>
        </is>
      </c>
      <c r="X2122" s="33" t="inlineStr">
        <is>
          <t>NO</t>
        </is>
      </c>
      <c r="Y2122" s="33" t="n">
        <v>2</v>
      </c>
      <c r="Z2122" s="33" t="n">
        <v>9</v>
      </c>
      <c r="AA2122" s="33" t="inlineStr">
        <is>
          <t>118</t>
        </is>
      </c>
      <c r="AB2122" s="33" t="inlineStr">
        <is>
          <t>https://www.swimcloud.com/results/234874/event/21/?id=86075062#time86075062</t>
        </is>
      </c>
      <c r="AC2122" s="33" t="inlineStr">
        <is>
          <t>SwimCloud API v6 2026-10-08</t>
        </is>
      </c>
      <c r="AD2122" s="33" t="inlineStr">
        <is>
          <t>Luka Mijatovic|2022-10-22|SCM|100|Free|53.47|FINA World Cup - Berlin|PRE|False</t>
        </is>
      </c>
      <c r="AE2122" s="53">
        <f>G2122+L2122/1000+ROW()/1000000000</f>
        <v/>
      </c>
      <c r="AF2122" s="35">
        <f>IF(C2122&lt;&gt;"Grayson Coulter","",COUNTIFS($C$5:$C$2991,"Grayson Coulter",$Q$5:$Q$2991,Q2122,$AE$5:$AE$2991,"&lt;="&amp;AE2122,$R$5:$R$2991,"&lt;"&amp;R2122))</f>
        <v/>
      </c>
      <c r="AG2122" s="35">
        <f>IF(OR(C2122&lt;&gt;"Grayson Coulter",G2122&lt;'00_Control'!$B$7),"",--(AF2122&lt;5))</f>
        <v/>
      </c>
      <c r="AH2122" s="35">
        <f>IF(OR(C2122&lt;&gt;"Grayson Coulter",G2122&lt;'00_Control'!$B$7),"",--(AF2122&lt;10))</f>
        <v/>
      </c>
      <c r="AI2122" s="35">
        <f>IF(AND(C2122="Grayson Coulter",G2122&gt;='00_Control'!$B$7),"YES","NO")</f>
        <v/>
      </c>
      <c r="AJ2122" s="33" t="inlineStr">
        <is>
          <t>OK</t>
        </is>
      </c>
    </row>
    <row r="2123">
      <c r="A2123" s="33" t="inlineStr">
        <is>
          <t>SM002119</t>
        </is>
      </c>
      <c r="B2123" s="33" t="inlineStr">
        <is>
          <t>SW003</t>
        </is>
      </c>
      <c r="C2123" s="33" t="inlineStr">
        <is>
          <t>Luka Mijatovic</t>
        </is>
      </c>
      <c r="D2123" s="33" t="inlineStr">
        <is>
          <t>SwimCloud</t>
        </is>
      </c>
      <c r="E2123" s="33" t="inlineStr">
        <is>
          <t>2415996</t>
        </is>
      </c>
      <c r="F2123" s="33" t="inlineStr">
        <is>
          <t>86075147</t>
        </is>
      </c>
      <c r="G2123" s="51" t="n">
        <v>44857</v>
      </c>
      <c r="H2123" s="33" t="inlineStr">
        <is>
          <t>FINA World Cup - Berlin</t>
        </is>
      </c>
      <c r="I2123" s="33" t="inlineStr">
        <is>
          <t>234874</t>
        </is>
      </c>
      <c r="J2123" s="33" t="inlineStr"/>
      <c r="K2123" s="33" t="inlineStr">
        <is>
          <t>PRE</t>
        </is>
      </c>
      <c r="L2123" s="35">
        <f>IF(K2123="FIN",3,IF(OR(K2123="SEM",K2123="SEMI"),2,IF(OR(K2123="PRE",K2123="HEAT"),1,IF(V2123="YES",4,2))))</f>
        <v/>
      </c>
      <c r="M2123" s="33" t="inlineStr">
        <is>
          <t>SCM</t>
        </is>
      </c>
      <c r="N2123" s="33" t="n">
        <v>200</v>
      </c>
      <c r="O2123" s="33" t="inlineStr">
        <is>
          <t>Free</t>
        </is>
      </c>
      <c r="P2123" s="33" t="inlineStr">
        <is>
          <t>200 Free</t>
        </is>
      </c>
      <c r="Q2123" s="33" t="inlineStr">
        <is>
          <t>SCM_200_FREE</t>
        </is>
      </c>
      <c r="R2123" s="36" t="n">
        <v>113.13</v>
      </c>
      <c r="S2123" s="35">
        <f>IF(R2123="","",IF(R2123&gt;=60,INT(R2123/60)&amp;":"&amp;TEXT(MOD(R2123,60),"00.00"),TEXT(R2123,"0.00")))</f>
        <v/>
      </c>
      <c r="T2123" s="52">
        <f>IFERROR((G2123-INDEX('01_Swimmers'!$E$5:$E$22,MATCH(B2123,'01_Swimmers'!$A$5:$A$22,0)))/'00_Control'!$B$10,"")</f>
        <v/>
      </c>
      <c r="U2123" s="35">
        <f>IF(T2123="","",INT(T2123))</f>
        <v/>
      </c>
      <c r="V2123" s="33" t="inlineStr">
        <is>
          <t>NO</t>
        </is>
      </c>
      <c r="W2123" s="33" t="inlineStr">
        <is>
          <t>YES</t>
        </is>
      </c>
      <c r="X2123" s="33" t="inlineStr">
        <is>
          <t>NO</t>
        </is>
      </c>
      <c r="Y2123" s="33" t="n">
        <v>2</v>
      </c>
      <c r="Z2123" s="33" t="n">
        <v>9</v>
      </c>
      <c r="AA2123" s="33" t="inlineStr">
        <is>
          <t>70</t>
        </is>
      </c>
      <c r="AB2123" s="33" t="inlineStr">
        <is>
          <t>https://www.swimcloud.com/results/234874/event/33/?id=86075147#time86075147</t>
        </is>
      </c>
      <c r="AC2123" s="33" t="inlineStr">
        <is>
          <t>SwimCloud API v6 2026-10-08</t>
        </is>
      </c>
      <c r="AD2123" s="33" t="inlineStr">
        <is>
          <t>Luka Mijatovic|2022-10-23|SCM|200|Free|113.13|FINA World Cup - Berlin|PRE|False</t>
        </is>
      </c>
      <c r="AE2123" s="53">
        <f>G2123+L2123/1000+ROW()/1000000000</f>
        <v/>
      </c>
      <c r="AF2123" s="35">
        <f>IF(C2123&lt;&gt;"Grayson Coulter","",COUNTIFS($C$5:$C$2991,"Grayson Coulter",$Q$5:$Q$2991,Q2123,$AE$5:$AE$2991,"&lt;="&amp;AE2123,$R$5:$R$2991,"&lt;"&amp;R2123))</f>
        <v/>
      </c>
      <c r="AG2123" s="35">
        <f>IF(OR(C2123&lt;&gt;"Grayson Coulter",G2123&lt;'00_Control'!$B$7),"",--(AF2123&lt;5))</f>
        <v/>
      </c>
      <c r="AH2123" s="35">
        <f>IF(OR(C2123&lt;&gt;"Grayson Coulter",G2123&lt;'00_Control'!$B$7),"",--(AF2123&lt;10))</f>
        <v/>
      </c>
      <c r="AI2123" s="35">
        <f>IF(AND(C2123="Grayson Coulter",G2123&gt;='00_Control'!$B$7),"YES","NO")</f>
        <v/>
      </c>
      <c r="AJ2123" s="33" t="inlineStr">
        <is>
          <t>OK</t>
        </is>
      </c>
    </row>
    <row r="2124">
      <c r="A2124" s="33" t="inlineStr">
        <is>
          <t>SM002120</t>
        </is>
      </c>
      <c r="B2124" s="33" t="inlineStr">
        <is>
          <t>SW003</t>
        </is>
      </c>
      <c r="C2124" s="33" t="inlineStr">
        <is>
          <t>Luka Mijatovic</t>
        </is>
      </c>
      <c r="D2124" s="33" t="inlineStr">
        <is>
          <t>SwimCloud</t>
        </is>
      </c>
      <c r="E2124" s="33" t="inlineStr">
        <is>
          <t>2415996</t>
        </is>
      </c>
      <c r="F2124" s="33" t="inlineStr">
        <is>
          <t>100493135</t>
        </is>
      </c>
      <c r="G2124" s="51" t="n">
        <v>45031</v>
      </c>
      <c r="H2124" s="33" t="inlineStr">
        <is>
          <t>PC PLS Senior Open</t>
        </is>
      </c>
      <c r="I2124" s="33" t="inlineStr">
        <is>
          <t>267242</t>
        </is>
      </c>
      <c r="J2124" s="33" t="inlineStr"/>
      <c r="K2124" s="33" t="inlineStr">
        <is>
          <t>TIM</t>
        </is>
      </c>
      <c r="L2124" s="35">
        <f>IF(K2124="FIN",3,IF(OR(K2124="SEM",K2124="SEMI"),2,IF(OR(K2124="PRE",K2124="HEAT"),1,IF(V2124="YES",4,2))))</f>
        <v/>
      </c>
      <c r="M2124" s="33" t="inlineStr">
        <is>
          <t>LCM</t>
        </is>
      </c>
      <c r="N2124" s="33" t="n">
        <v>100</v>
      </c>
      <c r="O2124" s="33" t="inlineStr">
        <is>
          <t>Free</t>
        </is>
      </c>
      <c r="P2124" s="33" t="inlineStr">
        <is>
          <t>100 Free</t>
        </is>
      </c>
      <c r="Q2124" s="33" t="inlineStr">
        <is>
          <t>LCM_100_FREE</t>
        </is>
      </c>
      <c r="R2124" s="36" t="n">
        <v>55.09</v>
      </c>
      <c r="S2124" s="35">
        <f>IF(R2124="","",IF(R2124&gt;=60,INT(R2124/60)&amp;":"&amp;TEXT(MOD(R2124,60),"00.00"),TEXT(R2124,"0.00")))</f>
        <v/>
      </c>
      <c r="T2124" s="52">
        <f>IFERROR((G2124-INDEX('01_Swimmers'!$E$5:$E$22,MATCH(B2124,'01_Swimmers'!$A$5:$A$22,0)))/'00_Control'!$B$10,"")</f>
        <v/>
      </c>
      <c r="U2124" s="35">
        <f>IF(T2124="","",INT(T2124))</f>
        <v/>
      </c>
      <c r="V2124" s="33" t="inlineStr">
        <is>
          <t>NO</t>
        </is>
      </c>
      <c r="W2124" s="33" t="inlineStr">
        <is>
          <t>YES</t>
        </is>
      </c>
      <c r="X2124" s="33" t="inlineStr">
        <is>
          <t>NO</t>
        </is>
      </c>
      <c r="Y2124" s="33" t="n">
        <v>2</v>
      </c>
      <c r="Z2124" s="33" t="n">
        <v>5</v>
      </c>
      <c r="AA2124" s="33" t="inlineStr">
        <is>
          <t>5</t>
        </is>
      </c>
      <c r="AB2124" s="33" t="inlineStr">
        <is>
          <t>https://www.swimcloud.com/results/267242/event/10/?id=100493135#time100493135</t>
        </is>
      </c>
      <c r="AC2124" s="33" t="inlineStr">
        <is>
          <t>SwimCloud API v6 2026-10-08</t>
        </is>
      </c>
      <c r="AD2124" s="33" t="inlineStr">
        <is>
          <t>Luka Mijatovic|2023-04-15|LCM|100|Free|55.09|PC PLS Senior Open|TIM|False</t>
        </is>
      </c>
      <c r="AE2124" s="53">
        <f>G2124+L2124/1000+ROW()/1000000000</f>
        <v/>
      </c>
      <c r="AF2124" s="35">
        <f>IF(C2124&lt;&gt;"Grayson Coulter","",COUNTIFS($C$5:$C$2991,"Grayson Coulter",$Q$5:$Q$2991,Q2124,$AE$5:$AE$2991,"&lt;="&amp;AE2124,$R$5:$R$2991,"&lt;"&amp;R2124))</f>
        <v/>
      </c>
      <c r="AG2124" s="35">
        <f>IF(OR(C2124&lt;&gt;"Grayson Coulter",G2124&lt;'00_Control'!$B$7),"",--(AF2124&lt;5))</f>
        <v/>
      </c>
      <c r="AH2124" s="35">
        <f>IF(OR(C2124&lt;&gt;"Grayson Coulter",G2124&lt;'00_Control'!$B$7),"",--(AF2124&lt;10))</f>
        <v/>
      </c>
      <c r="AI2124" s="35">
        <f>IF(AND(C2124="Grayson Coulter",G2124&gt;='00_Control'!$B$7),"YES","NO")</f>
        <v/>
      </c>
      <c r="AJ2124" s="33" t="inlineStr">
        <is>
          <t>OK</t>
        </is>
      </c>
    </row>
    <row r="2125">
      <c r="A2125" s="33" t="inlineStr">
        <is>
          <t>SM002121</t>
        </is>
      </c>
      <c r="B2125" s="33" t="inlineStr">
        <is>
          <t>SW003</t>
        </is>
      </c>
      <c r="C2125" s="33" t="inlineStr">
        <is>
          <t>Luka Mijatovic</t>
        </is>
      </c>
      <c r="D2125" s="33" t="inlineStr">
        <is>
          <t>SwimCloud</t>
        </is>
      </c>
      <c r="E2125" s="33" t="inlineStr">
        <is>
          <t>2415996</t>
        </is>
      </c>
      <c r="F2125" s="33" t="inlineStr">
        <is>
          <t>100494238</t>
        </is>
      </c>
      <c r="G2125" s="51" t="n">
        <v>45031</v>
      </c>
      <c r="H2125" s="33" t="inlineStr">
        <is>
          <t>PC PLS Senior Open</t>
        </is>
      </c>
      <c r="I2125" s="33" t="inlineStr">
        <is>
          <t>267242</t>
        </is>
      </c>
      <c r="J2125" s="33" t="inlineStr"/>
      <c r="K2125" s="33" t="inlineStr">
        <is>
          <t>TIM</t>
        </is>
      </c>
      <c r="L2125" s="35">
        <f>IF(K2125="FIN",3,IF(OR(K2125="SEM",K2125="SEMI"),2,IF(OR(K2125="PRE",K2125="HEAT"),1,IF(V2125="YES",4,2))))</f>
        <v/>
      </c>
      <c r="M2125" s="33" t="inlineStr">
        <is>
          <t>LCM</t>
        </is>
      </c>
      <c r="N2125" s="33" t="n">
        <v>200</v>
      </c>
      <c r="O2125" s="33" t="inlineStr">
        <is>
          <t>Free</t>
        </is>
      </c>
      <c r="P2125" s="33" t="inlineStr">
        <is>
          <t>200 Free</t>
        </is>
      </c>
      <c r="Q2125" s="33" t="inlineStr">
        <is>
          <t>LCM_200_FREE</t>
        </is>
      </c>
      <c r="R2125" s="36" t="n">
        <v>115.28</v>
      </c>
      <c r="S2125" s="35">
        <f>IF(R2125="","",IF(R2125&gt;=60,INT(R2125/60)&amp;":"&amp;TEXT(MOD(R2125,60),"00.00"),TEXT(R2125,"0.00")))</f>
        <v/>
      </c>
      <c r="T2125" s="52">
        <f>IFERROR((G2125-INDEX('01_Swimmers'!$E$5:$E$22,MATCH(B2125,'01_Swimmers'!$A$5:$A$22,0)))/'00_Control'!$B$10,"")</f>
        <v/>
      </c>
      <c r="U2125" s="35">
        <f>IF(T2125="","",INT(T2125))</f>
        <v/>
      </c>
      <c r="V2125" s="33" t="inlineStr">
        <is>
          <t>NO</t>
        </is>
      </c>
      <c r="W2125" s="33" t="inlineStr">
        <is>
          <t>YES</t>
        </is>
      </c>
      <c r="X2125" s="33" t="inlineStr">
        <is>
          <t>NO</t>
        </is>
      </c>
      <c r="Y2125" s="33" t="n">
        <v>1</v>
      </c>
      <c r="Z2125" s="33" t="n">
        <v>4</v>
      </c>
      <c r="AA2125" s="33" t="inlineStr">
        <is>
          <t>1</t>
        </is>
      </c>
      <c r="AB2125" s="33" t="inlineStr">
        <is>
          <t>https://www.swimcloud.com/results/267242/event/18/?id=100494238#time100494238</t>
        </is>
      </c>
      <c r="AC2125" s="33" t="inlineStr">
        <is>
          <t>SwimCloud API v6 2026-10-08</t>
        </is>
      </c>
      <c r="AD2125" s="33" t="inlineStr">
        <is>
          <t>Luka Mijatovic|2023-04-15|LCM|200|Free|115.28|PC PLS Senior Open|TIM|False</t>
        </is>
      </c>
      <c r="AE2125" s="53">
        <f>G2125+L2125/1000+ROW()/1000000000</f>
        <v/>
      </c>
      <c r="AF2125" s="35">
        <f>IF(C2125&lt;&gt;"Grayson Coulter","",COUNTIFS($C$5:$C$2991,"Grayson Coulter",$Q$5:$Q$2991,Q2125,$AE$5:$AE$2991,"&lt;="&amp;AE2125,$R$5:$R$2991,"&lt;"&amp;R2125))</f>
        <v/>
      </c>
      <c r="AG2125" s="35">
        <f>IF(OR(C2125&lt;&gt;"Grayson Coulter",G2125&lt;'00_Control'!$B$7),"",--(AF2125&lt;5))</f>
        <v/>
      </c>
      <c r="AH2125" s="35">
        <f>IF(OR(C2125&lt;&gt;"Grayson Coulter",G2125&lt;'00_Control'!$B$7),"",--(AF2125&lt;10))</f>
        <v/>
      </c>
      <c r="AI2125" s="35">
        <f>IF(AND(C2125="Grayson Coulter",G2125&gt;='00_Control'!$B$7),"YES","NO")</f>
        <v/>
      </c>
      <c r="AJ2125" s="33" t="inlineStr">
        <is>
          <t>OK</t>
        </is>
      </c>
    </row>
    <row r="2126">
      <c r="A2126" s="33" t="inlineStr">
        <is>
          <t>SM002122</t>
        </is>
      </c>
      <c r="B2126" s="33" t="inlineStr">
        <is>
          <t>SW003</t>
        </is>
      </c>
      <c r="C2126" s="33" t="inlineStr">
        <is>
          <t>Luka Mijatovic</t>
        </is>
      </c>
      <c r="D2126" s="33" t="inlineStr">
        <is>
          <t>SwimCloud</t>
        </is>
      </c>
      <c r="E2126" s="33" t="inlineStr">
        <is>
          <t>2415996</t>
        </is>
      </c>
      <c r="F2126" s="33" t="inlineStr">
        <is>
          <t>100493992</t>
        </is>
      </c>
      <c r="G2126" s="51" t="n">
        <v>45031</v>
      </c>
      <c r="H2126" s="33" t="inlineStr">
        <is>
          <t>PC PLS Senior Open</t>
        </is>
      </c>
      <c r="I2126" s="33" t="inlineStr">
        <is>
          <t>267242</t>
        </is>
      </c>
      <c r="J2126" s="33" t="inlineStr"/>
      <c r="K2126" s="33" t="inlineStr">
        <is>
          <t>TIM</t>
        </is>
      </c>
      <c r="L2126" s="35">
        <f>IF(K2126="FIN",3,IF(OR(K2126="SEM",K2126="SEMI"),2,IF(OR(K2126="PRE",K2126="HEAT"),1,IF(V2126="YES",4,2))))</f>
        <v/>
      </c>
      <c r="M2126" s="33" t="inlineStr">
        <is>
          <t>LCM</t>
        </is>
      </c>
      <c r="N2126" s="33" t="n">
        <v>400</v>
      </c>
      <c r="O2126" s="33" t="inlineStr">
        <is>
          <t>Free</t>
        </is>
      </c>
      <c r="P2126" s="33" t="inlineStr">
        <is>
          <t>400 Free</t>
        </is>
      </c>
      <c r="Q2126" s="33" t="inlineStr">
        <is>
          <t>LCM_400_FREE</t>
        </is>
      </c>
      <c r="R2126" s="36" t="n">
        <v>242.14</v>
      </c>
      <c r="S2126" s="35">
        <f>IF(R2126="","",IF(R2126&gt;=60,INT(R2126/60)&amp;":"&amp;TEXT(MOD(R2126,60),"00.00"),TEXT(R2126,"0.00")))</f>
        <v/>
      </c>
      <c r="T2126" s="52">
        <f>IFERROR((G2126-INDEX('01_Swimmers'!$E$5:$E$22,MATCH(B2126,'01_Swimmers'!$A$5:$A$22,0)))/'00_Control'!$B$10,"")</f>
        <v/>
      </c>
      <c r="U2126" s="35">
        <f>IF(T2126="","",INT(T2126))</f>
        <v/>
      </c>
      <c r="V2126" s="33" t="inlineStr">
        <is>
          <t>NO</t>
        </is>
      </c>
      <c r="W2126" s="33" t="inlineStr">
        <is>
          <t>YES</t>
        </is>
      </c>
      <c r="X2126" s="33" t="inlineStr">
        <is>
          <t>NO</t>
        </is>
      </c>
      <c r="Y2126" s="33" t="n">
        <v>1</v>
      </c>
      <c r="Z2126" s="33" t="n">
        <v>4</v>
      </c>
      <c r="AA2126" s="33" t="inlineStr">
        <is>
          <t>1</t>
        </is>
      </c>
      <c r="AB2126" s="33" t="inlineStr">
        <is>
          <t>https://www.swimcloud.com/results/267242/event/2/?id=100493992#time100493992</t>
        </is>
      </c>
      <c r="AC2126" s="33" t="inlineStr">
        <is>
          <t>SwimCloud API v6 2026-10-08</t>
        </is>
      </c>
      <c r="AD2126" s="33" t="inlineStr">
        <is>
          <t>Luka Mijatovic|2023-04-15|LCM|400|Free|242.14|PC PLS Senior Open|TIM|False</t>
        </is>
      </c>
      <c r="AE2126" s="53">
        <f>G2126+L2126/1000+ROW()/1000000000</f>
        <v/>
      </c>
      <c r="AF2126" s="35">
        <f>IF(C2126&lt;&gt;"Grayson Coulter","",COUNTIFS($C$5:$C$2991,"Grayson Coulter",$Q$5:$Q$2991,Q2126,$AE$5:$AE$2991,"&lt;="&amp;AE2126,$R$5:$R$2991,"&lt;"&amp;R2126))</f>
        <v/>
      </c>
      <c r="AG2126" s="35">
        <f>IF(OR(C2126&lt;&gt;"Grayson Coulter",G2126&lt;'00_Control'!$B$7),"",--(AF2126&lt;5))</f>
        <v/>
      </c>
      <c r="AH2126" s="35">
        <f>IF(OR(C2126&lt;&gt;"Grayson Coulter",G2126&lt;'00_Control'!$B$7),"",--(AF2126&lt;10))</f>
        <v/>
      </c>
      <c r="AI2126" s="35">
        <f>IF(AND(C2126="Grayson Coulter",G2126&gt;='00_Control'!$B$7),"YES","NO")</f>
        <v/>
      </c>
      <c r="AJ2126" s="33" t="inlineStr">
        <is>
          <t>OK</t>
        </is>
      </c>
    </row>
    <row r="2127">
      <c r="A2127" s="33" t="inlineStr">
        <is>
          <t>SM002123</t>
        </is>
      </c>
      <c r="B2127" s="33" t="inlineStr">
        <is>
          <t>SW003</t>
        </is>
      </c>
      <c r="C2127" s="33" t="inlineStr">
        <is>
          <t>Luka Mijatovic</t>
        </is>
      </c>
      <c r="D2127" s="33" t="inlineStr">
        <is>
          <t>SwimCloud</t>
        </is>
      </c>
      <c r="E2127" s="33" t="inlineStr">
        <is>
          <t>2415996</t>
        </is>
      </c>
      <c r="F2127" s="33" t="inlineStr">
        <is>
          <t>101985579</t>
        </is>
      </c>
      <c r="G2127" s="51" t="n">
        <v>45073</v>
      </c>
      <c r="H2127" s="33" t="inlineStr">
        <is>
          <t>2023 TYR Memorial Day Classic</t>
        </is>
      </c>
      <c r="I2127" s="33" t="inlineStr">
        <is>
          <t>269220</t>
        </is>
      </c>
      <c r="J2127" s="33" t="inlineStr"/>
      <c r="K2127" s="33" t="inlineStr">
        <is>
          <t>TIM</t>
        </is>
      </c>
      <c r="L2127" s="35">
        <f>IF(K2127="FIN",3,IF(OR(K2127="SEM",K2127="SEMI"),2,IF(OR(K2127="PRE",K2127="HEAT"),1,IF(V2127="YES",4,2))))</f>
        <v/>
      </c>
      <c r="M2127" s="33" t="inlineStr">
        <is>
          <t>LCM</t>
        </is>
      </c>
      <c r="N2127" s="33" t="n">
        <v>100</v>
      </c>
      <c r="O2127" s="33" t="inlineStr">
        <is>
          <t>Fly</t>
        </is>
      </c>
      <c r="P2127" s="33" t="inlineStr">
        <is>
          <t>100 Fly</t>
        </is>
      </c>
      <c r="Q2127" s="33" t="inlineStr">
        <is>
          <t>LCM_100_FLY</t>
        </is>
      </c>
      <c r="R2127" s="36" t="n">
        <v>58.88</v>
      </c>
      <c r="S2127" s="35">
        <f>IF(R2127="","",IF(R2127&gt;=60,INT(R2127/60)&amp;":"&amp;TEXT(MOD(R2127,60),"00.00"),TEXT(R2127,"0.00")))</f>
        <v/>
      </c>
      <c r="T2127" s="52">
        <f>IFERROR((G2127-INDEX('01_Swimmers'!$E$5:$E$22,MATCH(B2127,'01_Swimmers'!$A$5:$A$22,0)))/'00_Control'!$B$10,"")</f>
        <v/>
      </c>
      <c r="U2127" s="35">
        <f>IF(T2127="","",INT(T2127))</f>
        <v/>
      </c>
      <c r="V2127" s="33" t="inlineStr">
        <is>
          <t>NO</t>
        </is>
      </c>
      <c r="W2127" s="33" t="inlineStr">
        <is>
          <t>YES</t>
        </is>
      </c>
      <c r="X2127" s="33" t="inlineStr">
        <is>
          <t>NO</t>
        </is>
      </c>
      <c r="Y2127" s="33" t="n">
        <v>1</v>
      </c>
      <c r="Z2127" s="33" t="n">
        <v>6</v>
      </c>
      <c r="AA2127" s="33" t="inlineStr">
        <is>
          <t>1</t>
        </is>
      </c>
      <c r="AB2127" s="33" t="inlineStr">
        <is>
          <t>https://www.swimcloud.com/results/269220/event/26/?id=101985579#time101985579</t>
        </is>
      </c>
      <c r="AC2127" s="33" t="inlineStr">
        <is>
          <t>SwimCloud API v6 2026-10-08</t>
        </is>
      </c>
      <c r="AD2127" s="33" t="inlineStr">
        <is>
          <t>Luka Mijatovic|2023-05-27|LCM|100|Fly|58.88|2023 TYR Memorial Day Classic|TIM|False</t>
        </is>
      </c>
      <c r="AE2127" s="53">
        <f>G2127+L2127/1000+ROW()/1000000000</f>
        <v/>
      </c>
      <c r="AF2127" s="35">
        <f>IF(C2127&lt;&gt;"Grayson Coulter","",COUNTIFS($C$5:$C$2991,"Grayson Coulter",$Q$5:$Q$2991,Q2127,$AE$5:$AE$2991,"&lt;="&amp;AE2127,$R$5:$R$2991,"&lt;"&amp;R2127))</f>
        <v/>
      </c>
      <c r="AG2127" s="35">
        <f>IF(OR(C2127&lt;&gt;"Grayson Coulter",G2127&lt;'00_Control'!$B$7),"",--(AF2127&lt;5))</f>
        <v/>
      </c>
      <c r="AH2127" s="35">
        <f>IF(OR(C2127&lt;&gt;"Grayson Coulter",G2127&lt;'00_Control'!$B$7),"",--(AF2127&lt;10))</f>
        <v/>
      </c>
      <c r="AI2127" s="35">
        <f>IF(AND(C2127="Grayson Coulter",G2127&gt;='00_Control'!$B$7),"YES","NO")</f>
        <v/>
      </c>
      <c r="AJ2127" s="33" t="inlineStr">
        <is>
          <t>OK</t>
        </is>
      </c>
    </row>
    <row r="2128">
      <c r="A2128" s="33" t="inlineStr">
        <is>
          <t>SM002124</t>
        </is>
      </c>
      <c r="B2128" s="33" t="inlineStr">
        <is>
          <t>SW003</t>
        </is>
      </c>
      <c r="C2128" s="33" t="inlineStr">
        <is>
          <t>Luka Mijatovic</t>
        </is>
      </c>
      <c r="D2128" s="33" t="inlineStr">
        <is>
          <t>SwimCloud</t>
        </is>
      </c>
      <c r="E2128" s="33" t="inlineStr">
        <is>
          <t>2415996</t>
        </is>
      </c>
      <c r="F2128" s="33" t="inlineStr">
        <is>
          <t>102348805</t>
        </is>
      </c>
      <c r="G2128" s="51" t="n">
        <v>45086</v>
      </c>
      <c r="H2128" s="33" t="inlineStr">
        <is>
          <t>CA SCSC George Haines International</t>
        </is>
      </c>
      <c r="I2128" s="33" t="inlineStr">
        <is>
          <t>243127</t>
        </is>
      </c>
      <c r="J2128" s="33" t="inlineStr"/>
      <c r="K2128" s="33" t="inlineStr">
        <is>
          <t>PRE</t>
        </is>
      </c>
      <c r="L2128" s="35">
        <f>IF(K2128="FIN",3,IF(OR(K2128="SEM",K2128="SEMI"),2,IF(OR(K2128="PRE",K2128="HEAT"),1,IF(V2128="YES",4,2))))</f>
        <v/>
      </c>
      <c r="M2128" s="33" t="inlineStr">
        <is>
          <t>LCM</t>
        </is>
      </c>
      <c r="N2128" s="33" t="n">
        <v>200</v>
      </c>
      <c r="O2128" s="33" t="inlineStr">
        <is>
          <t>Free</t>
        </is>
      </c>
      <c r="P2128" s="33" t="inlineStr">
        <is>
          <t>200 Free</t>
        </is>
      </c>
      <c r="Q2128" s="33" t="inlineStr">
        <is>
          <t>LCM_200_FREE</t>
        </is>
      </c>
      <c r="R2128" s="36" t="n">
        <v>112.7</v>
      </c>
      <c r="S2128" s="35">
        <f>IF(R2128="","",IF(R2128&gt;=60,INT(R2128/60)&amp;":"&amp;TEXT(MOD(R2128,60),"00.00"),TEXT(R2128,"0.00")))</f>
        <v/>
      </c>
      <c r="T2128" s="52">
        <f>IFERROR((G2128-INDEX('01_Swimmers'!$E$5:$E$22,MATCH(B2128,'01_Swimmers'!$A$5:$A$22,0)))/'00_Control'!$B$10,"")</f>
        <v/>
      </c>
      <c r="U2128" s="35">
        <f>IF(T2128="","",INT(T2128))</f>
        <v/>
      </c>
      <c r="V2128" s="33" t="inlineStr">
        <is>
          <t>NO</t>
        </is>
      </c>
      <c r="W2128" s="33" t="inlineStr">
        <is>
          <t>YES</t>
        </is>
      </c>
      <c r="X2128" s="33" t="inlineStr">
        <is>
          <t>NO</t>
        </is>
      </c>
      <c r="Y2128" s="33" t="n">
        <v>1</v>
      </c>
      <c r="Z2128" s="33" t="n">
        <v>2</v>
      </c>
      <c r="AA2128" s="33" t="inlineStr">
        <is>
          <t>4</t>
        </is>
      </c>
      <c r="AB2128" s="33" t="inlineStr">
        <is>
          <t>https://www.swimcloud.com/results/243127/event/6/?id=102348805#time102348805</t>
        </is>
      </c>
      <c r="AC2128" s="33" t="inlineStr">
        <is>
          <t>SwimCloud API v6 2026-10-08</t>
        </is>
      </c>
      <c r="AD2128" s="33" t="inlineStr">
        <is>
          <t>Luka Mijatovic|2023-06-09|LCM|200|Free|112.7|CA SCSC George Haines International|PRE|False</t>
        </is>
      </c>
      <c r="AE2128" s="53">
        <f>G2128+L2128/1000+ROW()/1000000000</f>
        <v/>
      </c>
      <c r="AF2128" s="35">
        <f>IF(C2128&lt;&gt;"Grayson Coulter","",COUNTIFS($C$5:$C$2991,"Grayson Coulter",$Q$5:$Q$2991,Q2128,$AE$5:$AE$2991,"&lt;="&amp;AE2128,$R$5:$R$2991,"&lt;"&amp;R2128))</f>
        <v/>
      </c>
      <c r="AG2128" s="35">
        <f>IF(OR(C2128&lt;&gt;"Grayson Coulter",G2128&lt;'00_Control'!$B$7),"",--(AF2128&lt;5))</f>
        <v/>
      </c>
      <c r="AH2128" s="35">
        <f>IF(OR(C2128&lt;&gt;"Grayson Coulter",G2128&lt;'00_Control'!$B$7),"",--(AF2128&lt;10))</f>
        <v/>
      </c>
      <c r="AI2128" s="35">
        <f>IF(AND(C2128="Grayson Coulter",G2128&gt;='00_Control'!$B$7),"YES","NO")</f>
        <v/>
      </c>
      <c r="AJ2128" s="33" t="inlineStr">
        <is>
          <t>OK</t>
        </is>
      </c>
    </row>
    <row r="2129">
      <c r="A2129" s="33" t="inlineStr">
        <is>
          <t>SM002125</t>
        </is>
      </c>
      <c r="B2129" s="33" t="inlineStr">
        <is>
          <t>SW003</t>
        </is>
      </c>
      <c r="C2129" s="33" t="inlineStr">
        <is>
          <t>Luka Mijatovic</t>
        </is>
      </c>
      <c r="D2129" s="33" t="inlineStr">
        <is>
          <t>SwimCloud</t>
        </is>
      </c>
      <c r="E2129" s="33" t="inlineStr">
        <is>
          <t>2415996</t>
        </is>
      </c>
      <c r="F2129" s="33" t="inlineStr">
        <is>
          <t>102348806</t>
        </is>
      </c>
      <c r="G2129" s="51" t="n">
        <v>45086</v>
      </c>
      <c r="H2129" s="33" t="inlineStr">
        <is>
          <t>CA SCSC George Haines International</t>
        </is>
      </c>
      <c r="I2129" s="33" t="inlineStr">
        <is>
          <t>243127</t>
        </is>
      </c>
      <c r="J2129" s="33" t="inlineStr"/>
      <c r="K2129" s="33" t="inlineStr">
        <is>
          <t>FIN</t>
        </is>
      </c>
      <c r="L2129" s="35">
        <f>IF(K2129="FIN",3,IF(OR(K2129="SEM",K2129="SEMI"),2,IF(OR(K2129="PRE",K2129="HEAT"),1,IF(V2129="YES",4,2))))</f>
        <v/>
      </c>
      <c r="M2129" s="33" t="inlineStr">
        <is>
          <t>LCM</t>
        </is>
      </c>
      <c r="N2129" s="33" t="n">
        <v>200</v>
      </c>
      <c r="O2129" s="33" t="inlineStr">
        <is>
          <t>Free</t>
        </is>
      </c>
      <c r="P2129" s="33" t="inlineStr">
        <is>
          <t>200 Free</t>
        </is>
      </c>
      <c r="Q2129" s="33" t="inlineStr">
        <is>
          <t>LCM_200_FREE</t>
        </is>
      </c>
      <c r="R2129" s="36" t="n">
        <v>111.7</v>
      </c>
      <c r="S2129" s="35">
        <f>IF(R2129="","",IF(R2129&gt;=60,INT(R2129/60)&amp;":"&amp;TEXT(MOD(R2129,60),"00.00"),TEXT(R2129,"0.00")))</f>
        <v/>
      </c>
      <c r="T2129" s="52">
        <f>IFERROR((G2129-INDEX('01_Swimmers'!$E$5:$E$22,MATCH(B2129,'01_Swimmers'!$A$5:$A$22,0)))/'00_Control'!$B$10,"")</f>
        <v/>
      </c>
      <c r="U2129" s="35">
        <f>IF(T2129="","",INT(T2129))</f>
        <v/>
      </c>
      <c r="V2129" s="33" t="inlineStr">
        <is>
          <t>NO</t>
        </is>
      </c>
      <c r="W2129" s="33" t="inlineStr">
        <is>
          <t>YES</t>
        </is>
      </c>
      <c r="X2129" s="33" t="inlineStr">
        <is>
          <t>NO</t>
        </is>
      </c>
      <c r="Y2129" s="33" t="n">
        <v>3</v>
      </c>
      <c r="Z2129" s="33" t="n">
        <v>3</v>
      </c>
      <c r="AA2129" s="33" t="inlineStr">
        <is>
          <t>4</t>
        </is>
      </c>
      <c r="AB2129" s="33" t="inlineStr">
        <is>
          <t>https://www.swimcloud.com/results/243127/event/6/?id=102348806#time102348806</t>
        </is>
      </c>
      <c r="AC2129" s="33" t="inlineStr">
        <is>
          <t>SwimCloud API v6 2026-10-08</t>
        </is>
      </c>
      <c r="AD2129" s="33" t="inlineStr">
        <is>
          <t>Luka Mijatovic|2023-06-09|LCM|200|Free|111.7|CA SCSC George Haines International|FIN|False</t>
        </is>
      </c>
      <c r="AE2129" s="53">
        <f>G2129+L2129/1000+ROW()/1000000000</f>
        <v/>
      </c>
      <c r="AF2129" s="35">
        <f>IF(C2129&lt;&gt;"Grayson Coulter","",COUNTIFS($C$5:$C$2991,"Grayson Coulter",$Q$5:$Q$2991,Q2129,$AE$5:$AE$2991,"&lt;="&amp;AE2129,$R$5:$R$2991,"&lt;"&amp;R2129))</f>
        <v/>
      </c>
      <c r="AG2129" s="35">
        <f>IF(OR(C2129&lt;&gt;"Grayson Coulter",G2129&lt;'00_Control'!$B$7),"",--(AF2129&lt;5))</f>
        <v/>
      </c>
      <c r="AH2129" s="35">
        <f>IF(OR(C2129&lt;&gt;"Grayson Coulter",G2129&lt;'00_Control'!$B$7),"",--(AF2129&lt;10))</f>
        <v/>
      </c>
      <c r="AI2129" s="35">
        <f>IF(AND(C2129="Grayson Coulter",G2129&gt;='00_Control'!$B$7),"YES","NO")</f>
        <v/>
      </c>
      <c r="AJ2129" s="33" t="inlineStr">
        <is>
          <t>OK</t>
        </is>
      </c>
    </row>
    <row r="2130">
      <c r="A2130" s="33" t="inlineStr">
        <is>
          <t>SM002126</t>
        </is>
      </c>
      <c r="B2130" s="33" t="inlineStr">
        <is>
          <t>SW003</t>
        </is>
      </c>
      <c r="C2130" s="33" t="inlineStr">
        <is>
          <t>Luka Mijatovic</t>
        </is>
      </c>
      <c r="D2130" s="33" t="inlineStr">
        <is>
          <t>SwimCloud</t>
        </is>
      </c>
      <c r="E2130" s="33" t="inlineStr">
        <is>
          <t>2415996</t>
        </is>
      </c>
      <c r="F2130" s="33" t="inlineStr">
        <is>
          <t>102348938</t>
        </is>
      </c>
      <c r="G2130" s="51" t="n">
        <v>45087</v>
      </c>
      <c r="H2130" s="33" t="inlineStr">
        <is>
          <t>CA SCSC George Haines International</t>
        </is>
      </c>
      <c r="I2130" s="33" t="inlineStr">
        <is>
          <t>243127</t>
        </is>
      </c>
      <c r="J2130" s="33" t="inlineStr"/>
      <c r="K2130" s="33" t="inlineStr">
        <is>
          <t>PRE</t>
        </is>
      </c>
      <c r="L2130" s="35">
        <f>IF(K2130="FIN",3,IF(OR(K2130="SEM",K2130="SEMI"),2,IF(OR(K2130="PRE",K2130="HEAT"),1,IF(V2130="YES",4,2))))</f>
        <v/>
      </c>
      <c r="M2130" s="33" t="inlineStr">
        <is>
          <t>LCM</t>
        </is>
      </c>
      <c r="N2130" s="33" t="n">
        <v>400</v>
      </c>
      <c r="O2130" s="33" t="inlineStr">
        <is>
          <t>Free</t>
        </is>
      </c>
      <c r="P2130" s="33" t="inlineStr">
        <is>
          <t>400 Free</t>
        </is>
      </c>
      <c r="Q2130" s="33" t="inlineStr">
        <is>
          <t>LCM_400_FREE</t>
        </is>
      </c>
      <c r="R2130" s="36" t="n">
        <v>238.85</v>
      </c>
      <c r="S2130" s="35">
        <f>IF(R2130="","",IF(R2130&gt;=60,INT(R2130/60)&amp;":"&amp;TEXT(MOD(R2130,60),"00.00"),TEXT(R2130,"0.00")))</f>
        <v/>
      </c>
      <c r="T2130" s="52">
        <f>IFERROR((G2130-INDEX('01_Swimmers'!$E$5:$E$22,MATCH(B2130,'01_Swimmers'!$A$5:$A$22,0)))/'00_Control'!$B$10,"")</f>
        <v/>
      </c>
      <c r="U2130" s="35">
        <f>IF(T2130="","",INT(T2130))</f>
        <v/>
      </c>
      <c r="V2130" s="33" t="inlineStr">
        <is>
          <t>NO</t>
        </is>
      </c>
      <c r="W2130" s="33" t="inlineStr">
        <is>
          <t>YES</t>
        </is>
      </c>
      <c r="X2130" s="33" t="inlineStr">
        <is>
          <t>NO</t>
        </is>
      </c>
      <c r="Y2130" s="33" t="n">
        <v>1</v>
      </c>
      <c r="Z2130" s="33" t="n">
        <v>6</v>
      </c>
      <c r="AA2130" s="33" t="inlineStr">
        <is>
          <t>2</t>
        </is>
      </c>
      <c r="AB2130" s="33" t="inlineStr">
        <is>
          <t>https://www.swimcloud.com/results/243127/event/24/?id=102348938#time102348938</t>
        </is>
      </c>
      <c r="AC2130" s="33" t="inlineStr">
        <is>
          <t>SwimCloud API v6 2026-10-08</t>
        </is>
      </c>
      <c r="AD2130" s="33" t="inlineStr">
        <is>
          <t>Luka Mijatovic|2023-06-10|LCM|400|Free|238.85|CA SCSC George Haines International|PRE|False</t>
        </is>
      </c>
      <c r="AE2130" s="53">
        <f>G2130+L2130/1000+ROW()/1000000000</f>
        <v/>
      </c>
      <c r="AF2130" s="35">
        <f>IF(C2130&lt;&gt;"Grayson Coulter","",COUNTIFS($C$5:$C$2991,"Grayson Coulter",$Q$5:$Q$2991,Q2130,$AE$5:$AE$2991,"&lt;="&amp;AE2130,$R$5:$R$2991,"&lt;"&amp;R2130))</f>
        <v/>
      </c>
      <c r="AG2130" s="35">
        <f>IF(OR(C2130&lt;&gt;"Grayson Coulter",G2130&lt;'00_Control'!$B$7),"",--(AF2130&lt;5))</f>
        <v/>
      </c>
      <c r="AH2130" s="35">
        <f>IF(OR(C2130&lt;&gt;"Grayson Coulter",G2130&lt;'00_Control'!$B$7),"",--(AF2130&lt;10))</f>
        <v/>
      </c>
      <c r="AI2130" s="35">
        <f>IF(AND(C2130="Grayson Coulter",G2130&gt;='00_Control'!$B$7),"YES","NO")</f>
        <v/>
      </c>
      <c r="AJ2130" s="33" t="inlineStr">
        <is>
          <t>OK</t>
        </is>
      </c>
    </row>
    <row r="2131">
      <c r="A2131" s="33" t="inlineStr">
        <is>
          <t>SM002127</t>
        </is>
      </c>
      <c r="B2131" s="33" t="inlineStr">
        <is>
          <t>SW003</t>
        </is>
      </c>
      <c r="C2131" s="33" t="inlineStr">
        <is>
          <t>Luka Mijatovic</t>
        </is>
      </c>
      <c r="D2131" s="33" t="inlineStr">
        <is>
          <t>SwimCloud</t>
        </is>
      </c>
      <c r="E2131" s="33" t="inlineStr">
        <is>
          <t>2415996</t>
        </is>
      </c>
      <c r="F2131" s="33" t="inlineStr">
        <is>
          <t>102348939</t>
        </is>
      </c>
      <c r="G2131" s="51" t="n">
        <v>45087</v>
      </c>
      <c r="H2131" s="33" t="inlineStr">
        <is>
          <t>CA SCSC George Haines International</t>
        </is>
      </c>
      <c r="I2131" s="33" t="inlineStr">
        <is>
          <t>243127</t>
        </is>
      </c>
      <c r="J2131" s="33" t="inlineStr"/>
      <c r="K2131" s="33" t="inlineStr">
        <is>
          <t>FIN</t>
        </is>
      </c>
      <c r="L2131" s="35">
        <f>IF(K2131="FIN",3,IF(OR(K2131="SEM",K2131="SEMI"),2,IF(OR(K2131="PRE",K2131="HEAT"),1,IF(V2131="YES",4,2))))</f>
        <v/>
      </c>
      <c r="M2131" s="33" t="inlineStr">
        <is>
          <t>LCM</t>
        </is>
      </c>
      <c r="N2131" s="33" t="n">
        <v>400</v>
      </c>
      <c r="O2131" s="33" t="inlineStr">
        <is>
          <t>Free</t>
        </is>
      </c>
      <c r="P2131" s="33" t="inlineStr">
        <is>
          <t>400 Free</t>
        </is>
      </c>
      <c r="Q2131" s="33" t="inlineStr">
        <is>
          <t>LCM_400_FREE</t>
        </is>
      </c>
      <c r="R2131" s="36" t="n">
        <v>236.36</v>
      </c>
      <c r="S2131" s="35">
        <f>IF(R2131="","",IF(R2131&gt;=60,INT(R2131/60)&amp;":"&amp;TEXT(MOD(R2131,60),"00.00"),TEXT(R2131,"0.00")))</f>
        <v/>
      </c>
      <c r="T2131" s="52">
        <f>IFERROR((G2131-INDEX('01_Swimmers'!$E$5:$E$22,MATCH(B2131,'01_Swimmers'!$A$5:$A$22,0)))/'00_Control'!$B$10,"")</f>
        <v/>
      </c>
      <c r="U2131" s="35">
        <f>IF(T2131="","",INT(T2131))</f>
        <v/>
      </c>
      <c r="V2131" s="33" t="inlineStr">
        <is>
          <t>NO</t>
        </is>
      </c>
      <c r="W2131" s="33" t="inlineStr">
        <is>
          <t>YES</t>
        </is>
      </c>
      <c r="X2131" s="33" t="inlineStr">
        <is>
          <t>NO</t>
        </is>
      </c>
      <c r="Y2131" s="33" t="n">
        <v>3</v>
      </c>
      <c r="Z2131" s="33" t="n">
        <v>5</v>
      </c>
      <c r="AA2131" s="33" t="inlineStr">
        <is>
          <t>2</t>
        </is>
      </c>
      <c r="AB2131" s="33" t="inlineStr">
        <is>
          <t>https://www.swimcloud.com/results/243127/event/24/?id=102348939#time102348939</t>
        </is>
      </c>
      <c r="AC2131" s="33" t="inlineStr">
        <is>
          <t>SwimCloud API v6 2026-10-08</t>
        </is>
      </c>
      <c r="AD2131" s="33" t="inlineStr">
        <is>
          <t>Luka Mijatovic|2023-06-10|LCM|400|Free|236.36|CA SCSC George Haines International|FIN|False</t>
        </is>
      </c>
      <c r="AE2131" s="53">
        <f>G2131+L2131/1000+ROW()/1000000000</f>
        <v/>
      </c>
      <c r="AF2131" s="35">
        <f>IF(C2131&lt;&gt;"Grayson Coulter","",COUNTIFS($C$5:$C$2991,"Grayson Coulter",$Q$5:$Q$2991,Q2131,$AE$5:$AE$2991,"&lt;="&amp;AE2131,$R$5:$R$2991,"&lt;"&amp;R2131))</f>
        <v/>
      </c>
      <c r="AG2131" s="35">
        <f>IF(OR(C2131&lt;&gt;"Grayson Coulter",G2131&lt;'00_Control'!$B$7),"",--(AF2131&lt;5))</f>
        <v/>
      </c>
      <c r="AH2131" s="35">
        <f>IF(OR(C2131&lt;&gt;"Grayson Coulter",G2131&lt;'00_Control'!$B$7),"",--(AF2131&lt;10))</f>
        <v/>
      </c>
      <c r="AI2131" s="35">
        <f>IF(AND(C2131="Grayson Coulter",G2131&gt;='00_Control'!$B$7),"YES","NO")</f>
        <v/>
      </c>
      <c r="AJ2131" s="33" t="inlineStr">
        <is>
          <t>OK</t>
        </is>
      </c>
    </row>
    <row r="2132">
      <c r="A2132" s="33" t="inlineStr">
        <is>
          <t>SM002128</t>
        </is>
      </c>
      <c r="B2132" s="33" t="inlineStr">
        <is>
          <t>SW003</t>
        </is>
      </c>
      <c r="C2132" s="33" t="inlineStr">
        <is>
          <t>Luka Mijatovic</t>
        </is>
      </c>
      <c r="D2132" s="33" t="inlineStr">
        <is>
          <t>SwimCloud</t>
        </is>
      </c>
      <c r="E2132" s="33" t="inlineStr">
        <is>
          <t>2415996</t>
        </is>
      </c>
      <c r="F2132" s="33" t="inlineStr">
        <is>
          <t>102348567</t>
        </is>
      </c>
      <c r="G2132" s="51" t="n">
        <v>45088</v>
      </c>
      <c r="H2132" s="33" t="inlineStr">
        <is>
          <t>CA SCSC George Haines International</t>
        </is>
      </c>
      <c r="I2132" s="33" t="inlineStr">
        <is>
          <t>243127</t>
        </is>
      </c>
      <c r="J2132" s="33" t="inlineStr"/>
      <c r="K2132" s="33" t="inlineStr">
        <is>
          <t>PRE</t>
        </is>
      </c>
      <c r="L2132" s="35">
        <f>IF(K2132="FIN",3,IF(OR(K2132="SEM",K2132="SEMI"),2,IF(OR(K2132="PRE",K2132="HEAT"),1,IF(V2132="YES",4,2))))</f>
        <v/>
      </c>
      <c r="M2132" s="33" t="inlineStr">
        <is>
          <t>LCM</t>
        </is>
      </c>
      <c r="N2132" s="33" t="n">
        <v>100</v>
      </c>
      <c r="O2132" s="33" t="inlineStr">
        <is>
          <t>Free</t>
        </is>
      </c>
      <c r="P2132" s="33" t="inlineStr">
        <is>
          <t>100 Free</t>
        </is>
      </c>
      <c r="Q2132" s="33" t="inlineStr">
        <is>
          <t>LCM_100_FREE</t>
        </is>
      </c>
      <c r="R2132" s="36" t="n">
        <v>52.78</v>
      </c>
      <c r="S2132" s="35">
        <f>IF(R2132="","",IF(R2132&gt;=60,INT(R2132/60)&amp;":"&amp;TEXT(MOD(R2132,60),"00.00"),TEXT(R2132,"0.00")))</f>
        <v/>
      </c>
      <c r="T2132" s="52">
        <f>IFERROR((G2132-INDEX('01_Swimmers'!$E$5:$E$22,MATCH(B2132,'01_Swimmers'!$A$5:$A$22,0)))/'00_Control'!$B$10,"")</f>
        <v/>
      </c>
      <c r="U2132" s="35">
        <f>IF(T2132="","",INT(T2132))</f>
        <v/>
      </c>
      <c r="V2132" s="33" t="inlineStr">
        <is>
          <t>NO</t>
        </is>
      </c>
      <c r="W2132" s="33" t="inlineStr">
        <is>
          <t>YES</t>
        </is>
      </c>
      <c r="X2132" s="33" t="inlineStr">
        <is>
          <t>NO</t>
        </is>
      </c>
      <c r="Y2132" s="33" t="n">
        <v>2</v>
      </c>
      <c r="Z2132" s="33" t="n">
        <v>8</v>
      </c>
      <c r="AA2132" s="33" t="inlineStr">
        <is>
          <t>5</t>
        </is>
      </c>
      <c r="AB2132" s="33" t="inlineStr">
        <is>
          <t>https://www.swimcloud.com/results/243127/event/32/?id=102348567#time102348567</t>
        </is>
      </c>
      <c r="AC2132" s="33" t="inlineStr">
        <is>
          <t>SwimCloud API v6 2026-10-08</t>
        </is>
      </c>
      <c r="AD2132" s="33" t="inlineStr">
        <is>
          <t>Luka Mijatovic|2023-06-11|LCM|100|Free|52.78|CA SCSC George Haines International|PRE|False</t>
        </is>
      </c>
      <c r="AE2132" s="53">
        <f>G2132+L2132/1000+ROW()/1000000000</f>
        <v/>
      </c>
      <c r="AF2132" s="35">
        <f>IF(C2132&lt;&gt;"Grayson Coulter","",COUNTIFS($C$5:$C$2991,"Grayson Coulter",$Q$5:$Q$2991,Q2132,$AE$5:$AE$2991,"&lt;="&amp;AE2132,$R$5:$R$2991,"&lt;"&amp;R2132))</f>
        <v/>
      </c>
      <c r="AG2132" s="35">
        <f>IF(OR(C2132&lt;&gt;"Grayson Coulter",G2132&lt;'00_Control'!$B$7),"",--(AF2132&lt;5))</f>
        <v/>
      </c>
      <c r="AH2132" s="35">
        <f>IF(OR(C2132&lt;&gt;"Grayson Coulter",G2132&lt;'00_Control'!$B$7),"",--(AF2132&lt;10))</f>
        <v/>
      </c>
      <c r="AI2132" s="35">
        <f>IF(AND(C2132="Grayson Coulter",G2132&gt;='00_Control'!$B$7),"YES","NO")</f>
        <v/>
      </c>
      <c r="AJ2132" s="33" t="inlineStr">
        <is>
          <t>OK</t>
        </is>
      </c>
    </row>
    <row r="2133">
      <c r="A2133" s="33" t="inlineStr">
        <is>
          <t>SM002129</t>
        </is>
      </c>
      <c r="B2133" s="33" t="inlineStr">
        <is>
          <t>SW003</t>
        </is>
      </c>
      <c r="C2133" s="33" t="inlineStr">
        <is>
          <t>Luka Mijatovic</t>
        </is>
      </c>
      <c r="D2133" s="33" t="inlineStr">
        <is>
          <t>SwimCloud</t>
        </is>
      </c>
      <c r="E2133" s="33" t="inlineStr">
        <is>
          <t>2415996</t>
        </is>
      </c>
      <c r="F2133" s="33" t="inlineStr">
        <is>
          <t>102348568</t>
        </is>
      </c>
      <c r="G2133" s="51" t="n">
        <v>45088</v>
      </c>
      <c r="H2133" s="33" t="inlineStr">
        <is>
          <t>CA SCSC George Haines International</t>
        </is>
      </c>
      <c r="I2133" s="33" t="inlineStr">
        <is>
          <t>243127</t>
        </is>
      </c>
      <c r="J2133" s="33" t="inlineStr"/>
      <c r="K2133" s="33" t="inlineStr">
        <is>
          <t>FIN</t>
        </is>
      </c>
      <c r="L2133" s="35">
        <f>IF(K2133="FIN",3,IF(OR(K2133="SEM",K2133="SEMI"),2,IF(OR(K2133="PRE",K2133="HEAT"),1,IF(V2133="YES",4,2))))</f>
        <v/>
      </c>
      <c r="M2133" s="33" t="inlineStr">
        <is>
          <t>LCM</t>
        </is>
      </c>
      <c r="N2133" s="33" t="n">
        <v>100</v>
      </c>
      <c r="O2133" s="33" t="inlineStr">
        <is>
          <t>Free</t>
        </is>
      </c>
      <c r="P2133" s="33" t="inlineStr">
        <is>
          <t>100 Free</t>
        </is>
      </c>
      <c r="Q2133" s="33" t="inlineStr">
        <is>
          <t>LCM_100_FREE</t>
        </is>
      </c>
      <c r="R2133" s="36" t="n">
        <v>53.16</v>
      </c>
      <c r="S2133" s="35">
        <f>IF(R2133="","",IF(R2133&gt;=60,INT(R2133/60)&amp;":"&amp;TEXT(MOD(R2133,60),"00.00"),TEXT(R2133,"0.00")))</f>
        <v/>
      </c>
      <c r="T2133" s="52">
        <f>IFERROR((G2133-INDEX('01_Swimmers'!$E$5:$E$22,MATCH(B2133,'01_Swimmers'!$A$5:$A$22,0)))/'00_Control'!$B$10,"")</f>
        <v/>
      </c>
      <c r="U2133" s="35">
        <f>IF(T2133="","",INT(T2133))</f>
        <v/>
      </c>
      <c r="V2133" s="33" t="inlineStr">
        <is>
          <t>NO</t>
        </is>
      </c>
      <c r="W2133" s="33" t="inlineStr">
        <is>
          <t>YES</t>
        </is>
      </c>
      <c r="X2133" s="33" t="inlineStr">
        <is>
          <t>NO</t>
        </is>
      </c>
      <c r="Y2133" s="33" t="n">
        <v>3</v>
      </c>
      <c r="Z2133" s="33" t="n">
        <v>3</v>
      </c>
      <c r="AA2133" s="33" t="inlineStr">
        <is>
          <t>5</t>
        </is>
      </c>
      <c r="AB2133" s="33" t="inlineStr">
        <is>
          <t>https://www.swimcloud.com/results/243127/event/32/?id=102348568#time102348568</t>
        </is>
      </c>
      <c r="AC2133" s="33" t="inlineStr">
        <is>
          <t>SwimCloud API v6 2026-10-08</t>
        </is>
      </c>
      <c r="AD2133" s="33" t="inlineStr">
        <is>
          <t>Luka Mijatovic|2023-06-11|LCM|100|Free|53.16|CA SCSC George Haines International|FIN|False</t>
        </is>
      </c>
      <c r="AE2133" s="53">
        <f>G2133+L2133/1000+ROW()/1000000000</f>
        <v/>
      </c>
      <c r="AF2133" s="35">
        <f>IF(C2133&lt;&gt;"Grayson Coulter","",COUNTIFS($C$5:$C$2991,"Grayson Coulter",$Q$5:$Q$2991,Q2133,$AE$5:$AE$2991,"&lt;="&amp;AE2133,$R$5:$R$2991,"&lt;"&amp;R2133))</f>
        <v/>
      </c>
      <c r="AG2133" s="35">
        <f>IF(OR(C2133&lt;&gt;"Grayson Coulter",G2133&lt;'00_Control'!$B$7),"",--(AF2133&lt;5))</f>
        <v/>
      </c>
      <c r="AH2133" s="35">
        <f>IF(OR(C2133&lt;&gt;"Grayson Coulter",G2133&lt;'00_Control'!$B$7),"",--(AF2133&lt;10))</f>
        <v/>
      </c>
      <c r="AI2133" s="35">
        <f>IF(AND(C2133="Grayson Coulter",G2133&gt;='00_Control'!$B$7),"YES","NO")</f>
        <v/>
      </c>
      <c r="AJ2133" s="33" t="inlineStr">
        <is>
          <t>OK</t>
        </is>
      </c>
    </row>
    <row r="2134">
      <c r="A2134" s="33" t="inlineStr">
        <is>
          <t>SM002130</t>
        </is>
      </c>
      <c r="B2134" s="33" t="inlineStr">
        <is>
          <t>SW003</t>
        </is>
      </c>
      <c r="C2134" s="33" t="inlineStr">
        <is>
          <t>Luka Mijatovic</t>
        </is>
      </c>
      <c r="D2134" s="33" t="inlineStr">
        <is>
          <t>SwimCloud</t>
        </is>
      </c>
      <c r="E2134" s="33" t="inlineStr">
        <is>
          <t>2415996</t>
        </is>
      </c>
      <c r="F2134" s="33" t="inlineStr">
        <is>
          <t>103846061</t>
        </is>
      </c>
      <c r="G2134" s="51" t="n">
        <v>45105</v>
      </c>
      <c r="H2134" s="33" t="inlineStr">
        <is>
          <t>Phillips 66 National Championships - Time Trials</t>
        </is>
      </c>
      <c r="I2134" s="33" t="inlineStr">
        <is>
          <t>272435</t>
        </is>
      </c>
      <c r="J2134" s="33" t="inlineStr"/>
      <c r="K2134" s="33" t="inlineStr">
        <is>
          <t>TIM</t>
        </is>
      </c>
      <c r="L2134" s="35">
        <f>IF(K2134="FIN",3,IF(OR(K2134="SEM",K2134="SEMI"),2,IF(OR(K2134="PRE",K2134="HEAT"),1,IF(V2134="YES",4,2))))</f>
        <v/>
      </c>
      <c r="M2134" s="33" t="inlineStr">
        <is>
          <t>LCM</t>
        </is>
      </c>
      <c r="N2134" s="33" t="n">
        <v>200</v>
      </c>
      <c r="O2134" s="33" t="inlineStr">
        <is>
          <t>Free</t>
        </is>
      </c>
      <c r="P2134" s="33" t="inlineStr">
        <is>
          <t>200 Free</t>
        </is>
      </c>
      <c r="Q2134" s="33" t="inlineStr">
        <is>
          <t>LCM_200_FREE</t>
        </is>
      </c>
      <c r="R2134" s="36" t="n">
        <v>110.6</v>
      </c>
      <c r="S2134" s="35">
        <f>IF(R2134="","",IF(R2134&gt;=60,INT(R2134/60)&amp;":"&amp;TEXT(MOD(R2134,60),"00.00"),TEXT(R2134,"0.00")))</f>
        <v/>
      </c>
      <c r="T2134" s="52">
        <f>IFERROR((G2134-INDEX('01_Swimmers'!$E$5:$E$22,MATCH(B2134,'01_Swimmers'!$A$5:$A$22,0)))/'00_Control'!$B$10,"")</f>
        <v/>
      </c>
      <c r="U2134" s="35">
        <f>IF(T2134="","",INT(T2134))</f>
        <v/>
      </c>
      <c r="V2134" s="33" t="inlineStr">
        <is>
          <t>NO</t>
        </is>
      </c>
      <c r="W2134" s="33" t="inlineStr">
        <is>
          <t>YES</t>
        </is>
      </c>
      <c r="X2134" s="33" t="inlineStr">
        <is>
          <t>NO</t>
        </is>
      </c>
      <c r="Y2134" s="33" t="n">
        <v>1</v>
      </c>
      <c r="Z2134" s="33" t="n">
        <v>6</v>
      </c>
      <c r="AA2134" s="33" t="inlineStr">
        <is>
          <t>1</t>
        </is>
      </c>
      <c r="AB2134" s="33" t="inlineStr">
        <is>
          <t>https://www.swimcloud.com/results/272435/event/208/?id=103846061#time103846061</t>
        </is>
      </c>
      <c r="AC2134" s="33" t="inlineStr">
        <is>
          <t>SwimCloud API v6 2026-10-08</t>
        </is>
      </c>
      <c r="AD2134" s="33" t="inlineStr">
        <is>
          <t>Luka Mijatovic|2023-06-28|LCM|200|Free|110.6|Phillips 66 National Championships - Time Trials|TIM|False</t>
        </is>
      </c>
      <c r="AE2134" s="53">
        <f>G2134+L2134/1000+ROW()/1000000000</f>
        <v/>
      </c>
      <c r="AF2134" s="35">
        <f>IF(C2134&lt;&gt;"Grayson Coulter","",COUNTIFS($C$5:$C$2991,"Grayson Coulter",$Q$5:$Q$2991,Q2134,$AE$5:$AE$2991,"&lt;="&amp;AE2134,$R$5:$R$2991,"&lt;"&amp;R2134))</f>
        <v/>
      </c>
      <c r="AG2134" s="35">
        <f>IF(OR(C2134&lt;&gt;"Grayson Coulter",G2134&lt;'00_Control'!$B$7),"",--(AF2134&lt;5))</f>
        <v/>
      </c>
      <c r="AH2134" s="35">
        <f>IF(OR(C2134&lt;&gt;"Grayson Coulter",G2134&lt;'00_Control'!$B$7),"",--(AF2134&lt;10))</f>
        <v/>
      </c>
      <c r="AI2134" s="35">
        <f>IF(AND(C2134="Grayson Coulter",G2134&gt;='00_Control'!$B$7),"YES","NO")</f>
        <v/>
      </c>
      <c r="AJ2134" s="33" t="inlineStr">
        <is>
          <t>OK</t>
        </is>
      </c>
    </row>
    <row r="2135">
      <c r="A2135" s="33" t="inlineStr">
        <is>
          <t>SM002131</t>
        </is>
      </c>
      <c r="B2135" s="33" t="inlineStr">
        <is>
          <t>SW003</t>
        </is>
      </c>
      <c r="C2135" s="33" t="inlineStr">
        <is>
          <t>Luka Mijatovic</t>
        </is>
      </c>
      <c r="D2135" s="33" t="inlineStr">
        <is>
          <t>SwimCloud</t>
        </is>
      </c>
      <c r="E2135" s="33" t="inlineStr">
        <is>
          <t>2415996</t>
        </is>
      </c>
      <c r="F2135" s="33" t="inlineStr">
        <is>
          <t>103345514</t>
        </is>
      </c>
      <c r="G2135" s="51" t="n">
        <v>45107</v>
      </c>
      <c r="H2135" s="33" t="inlineStr">
        <is>
          <t>Phillips 66 USA National Championships</t>
        </is>
      </c>
      <c r="I2135" s="33" t="inlineStr">
        <is>
          <t>234779</t>
        </is>
      </c>
      <c r="J2135" s="33" t="inlineStr"/>
      <c r="K2135" s="33" t="inlineStr">
        <is>
          <t>PRE</t>
        </is>
      </c>
      <c r="L2135" s="35">
        <f>IF(K2135="FIN",3,IF(OR(K2135="SEM",K2135="SEMI"),2,IF(OR(K2135="PRE",K2135="HEAT"),1,IF(V2135="YES",4,2))))</f>
        <v/>
      </c>
      <c r="M2135" s="33" t="inlineStr">
        <is>
          <t>LCM</t>
        </is>
      </c>
      <c r="N2135" s="33" t="n">
        <v>400</v>
      </c>
      <c r="O2135" s="33" t="inlineStr">
        <is>
          <t>Free</t>
        </is>
      </c>
      <c r="P2135" s="33" t="inlineStr">
        <is>
          <t>400 Free</t>
        </is>
      </c>
      <c r="Q2135" s="33" t="inlineStr">
        <is>
          <t>LCM_400_FREE</t>
        </is>
      </c>
      <c r="R2135" s="36" t="n">
        <v>235.74</v>
      </c>
      <c r="S2135" s="35">
        <f>IF(R2135="","",IF(R2135&gt;=60,INT(R2135/60)&amp;":"&amp;TEXT(MOD(R2135,60),"00.00"),TEXT(R2135,"0.00")))</f>
        <v/>
      </c>
      <c r="T2135" s="52">
        <f>IFERROR((G2135-INDEX('01_Swimmers'!$E$5:$E$22,MATCH(B2135,'01_Swimmers'!$A$5:$A$22,0)))/'00_Control'!$B$10,"")</f>
        <v/>
      </c>
      <c r="U2135" s="35">
        <f>IF(T2135="","",INT(T2135))</f>
        <v/>
      </c>
      <c r="V2135" s="33" t="inlineStr">
        <is>
          <t>NO</t>
        </is>
      </c>
      <c r="W2135" s="33" t="inlineStr">
        <is>
          <t>YES</t>
        </is>
      </c>
      <c r="X2135" s="33" t="inlineStr">
        <is>
          <t>NO</t>
        </is>
      </c>
      <c r="Y2135" s="33" t="n">
        <v>1</v>
      </c>
      <c r="Z2135" s="33" t="n">
        <v>7</v>
      </c>
      <c r="AA2135" s="33" t="inlineStr">
        <is>
          <t>29</t>
        </is>
      </c>
      <c r="AB2135" s="33" t="inlineStr">
        <is>
          <t>https://www.swimcloud.com/results/234779/event/24/?id=103345514#time103345514</t>
        </is>
      </c>
      <c r="AC2135" s="33" t="inlineStr">
        <is>
          <t>SwimCloud API v6 2026-10-08</t>
        </is>
      </c>
      <c r="AD2135" s="33" t="inlineStr">
        <is>
          <t>Luka Mijatovic|2023-06-30|LCM|400|Free|235.74|Phillips 66 USA National Championships|PRE|False</t>
        </is>
      </c>
      <c r="AE2135" s="53">
        <f>G2135+L2135/1000+ROW()/1000000000</f>
        <v/>
      </c>
      <c r="AF2135" s="35">
        <f>IF(C2135&lt;&gt;"Grayson Coulter","",COUNTIFS($C$5:$C$2991,"Grayson Coulter",$Q$5:$Q$2991,Q2135,$AE$5:$AE$2991,"&lt;="&amp;AE2135,$R$5:$R$2991,"&lt;"&amp;R2135))</f>
        <v/>
      </c>
      <c r="AG2135" s="35">
        <f>IF(OR(C2135&lt;&gt;"Grayson Coulter",G2135&lt;'00_Control'!$B$7),"",--(AF2135&lt;5))</f>
        <v/>
      </c>
      <c r="AH2135" s="35">
        <f>IF(OR(C2135&lt;&gt;"Grayson Coulter",G2135&lt;'00_Control'!$B$7),"",--(AF2135&lt;10))</f>
        <v/>
      </c>
      <c r="AI2135" s="35">
        <f>IF(AND(C2135="Grayson Coulter",G2135&gt;='00_Control'!$B$7),"YES","NO")</f>
        <v/>
      </c>
      <c r="AJ2135" s="33" t="inlineStr">
        <is>
          <t>OK</t>
        </is>
      </c>
    </row>
    <row r="2136">
      <c r="A2136" s="33" t="inlineStr">
        <is>
          <t>SM002132</t>
        </is>
      </c>
      <c r="B2136" s="33" t="inlineStr">
        <is>
          <t>SW003</t>
        </is>
      </c>
      <c r="C2136" s="33" t="inlineStr">
        <is>
          <t>Luka Mijatovic</t>
        </is>
      </c>
      <c r="D2136" s="33" t="inlineStr">
        <is>
          <t>SwimCloud</t>
        </is>
      </c>
      <c r="E2136" s="33" t="inlineStr">
        <is>
          <t>2415996</t>
        </is>
      </c>
      <c r="F2136" s="33" t="inlineStr">
        <is>
          <t>103345513</t>
        </is>
      </c>
      <c r="G2136" s="51" t="n">
        <v>45107</v>
      </c>
      <c r="H2136" s="33" t="inlineStr">
        <is>
          <t>Phillips 66 USA National Championships</t>
        </is>
      </c>
      <c r="I2136" s="33" t="inlineStr">
        <is>
          <t>234779</t>
        </is>
      </c>
      <c r="J2136" s="33" t="inlineStr"/>
      <c r="K2136" s="33" t="inlineStr">
        <is>
          <t>FIN</t>
        </is>
      </c>
      <c r="L2136" s="35">
        <f>IF(K2136="FIN",3,IF(OR(K2136="SEM",K2136="SEMI"),2,IF(OR(K2136="PRE",K2136="HEAT"),1,IF(V2136="YES",4,2))))</f>
        <v/>
      </c>
      <c r="M2136" s="33" t="inlineStr">
        <is>
          <t>LCM</t>
        </is>
      </c>
      <c r="N2136" s="33" t="n">
        <v>400</v>
      </c>
      <c r="O2136" s="33" t="inlineStr">
        <is>
          <t>Free</t>
        </is>
      </c>
      <c r="P2136" s="33" t="inlineStr">
        <is>
          <t>400 Free</t>
        </is>
      </c>
      <c r="Q2136" s="33" t="inlineStr">
        <is>
          <t>LCM_400_FREE</t>
        </is>
      </c>
      <c r="R2136" s="36" t="n">
        <v>233.19</v>
      </c>
      <c r="S2136" s="35">
        <f>IF(R2136="","",IF(R2136&gt;=60,INT(R2136/60)&amp;":"&amp;TEXT(MOD(R2136,60),"00.00"),TEXT(R2136,"0.00")))</f>
        <v/>
      </c>
      <c r="T2136" s="52">
        <f>IFERROR((G2136-INDEX('01_Swimmers'!$E$5:$E$22,MATCH(B2136,'01_Swimmers'!$A$5:$A$22,0)))/'00_Control'!$B$10,"")</f>
        <v/>
      </c>
      <c r="U2136" s="35">
        <f>IF(T2136="","",INT(T2136))</f>
        <v/>
      </c>
      <c r="V2136" s="33" t="inlineStr">
        <is>
          <t>NO</t>
        </is>
      </c>
      <c r="W2136" s="33" t="inlineStr">
        <is>
          <t>YES</t>
        </is>
      </c>
      <c r="X2136" s="33" t="inlineStr">
        <is>
          <t>NO</t>
        </is>
      </c>
      <c r="Y2136" s="33" t="n">
        <v>4</v>
      </c>
      <c r="Z2136" s="33" t="n">
        <v>5</v>
      </c>
      <c r="AA2136" s="33" t="inlineStr">
        <is>
          <t>25</t>
        </is>
      </c>
      <c r="AB2136" s="33" t="inlineStr">
        <is>
          <t>https://www.swimcloud.com/results/234779/event/24/?id=103345513#time103345513</t>
        </is>
      </c>
      <c r="AC2136" s="33" t="inlineStr">
        <is>
          <t>SwimCloud API v6 2026-10-08</t>
        </is>
      </c>
      <c r="AD2136" s="33" t="inlineStr">
        <is>
          <t>Luka Mijatovic|2023-06-30|LCM|400|Free|233.19|Phillips 66 USA National Championships|FIN|False</t>
        </is>
      </c>
      <c r="AE2136" s="53">
        <f>G2136+L2136/1000+ROW()/1000000000</f>
        <v/>
      </c>
      <c r="AF2136" s="35">
        <f>IF(C2136&lt;&gt;"Grayson Coulter","",COUNTIFS($C$5:$C$2991,"Grayson Coulter",$Q$5:$Q$2991,Q2136,$AE$5:$AE$2991,"&lt;="&amp;AE2136,$R$5:$R$2991,"&lt;"&amp;R2136))</f>
        <v/>
      </c>
      <c r="AG2136" s="35">
        <f>IF(OR(C2136&lt;&gt;"Grayson Coulter",G2136&lt;'00_Control'!$B$7),"",--(AF2136&lt;5))</f>
        <v/>
      </c>
      <c r="AH2136" s="35">
        <f>IF(OR(C2136&lt;&gt;"Grayson Coulter",G2136&lt;'00_Control'!$B$7),"",--(AF2136&lt;10))</f>
        <v/>
      </c>
      <c r="AI2136" s="35">
        <f>IF(AND(C2136="Grayson Coulter",G2136&gt;='00_Control'!$B$7),"YES","NO")</f>
        <v/>
      </c>
      <c r="AJ2136" s="33" t="inlineStr">
        <is>
          <t>OK</t>
        </is>
      </c>
    </row>
    <row r="2137">
      <c r="A2137" s="33" t="inlineStr">
        <is>
          <t>SM002133</t>
        </is>
      </c>
      <c r="B2137" s="33" t="inlineStr">
        <is>
          <t>SW003</t>
        </is>
      </c>
      <c r="C2137" s="33" t="inlineStr">
        <is>
          <t>Luka Mijatovic</t>
        </is>
      </c>
      <c r="D2137" s="33" t="inlineStr">
        <is>
          <t>SwimCloud</t>
        </is>
      </c>
      <c r="E2137" s="33" t="inlineStr">
        <is>
          <t>2415996</t>
        </is>
      </c>
      <c r="F2137" s="33" t="inlineStr">
        <is>
          <t>103855390</t>
        </is>
      </c>
      <c r="G2137" s="51" t="n">
        <v>45116</v>
      </c>
      <c r="H2137" s="33" t="inlineStr">
        <is>
          <t>PC SBA Adam Szmidt LCM Age Group Championships</t>
        </is>
      </c>
      <c r="I2137" s="33" t="inlineStr">
        <is>
          <t>273105</t>
        </is>
      </c>
      <c r="J2137" s="33" t="inlineStr"/>
      <c r="K2137" s="33" t="inlineStr">
        <is>
          <t>TIM</t>
        </is>
      </c>
      <c r="L2137" s="35">
        <f>IF(K2137="FIN",3,IF(OR(K2137="SEM",K2137="SEMI"),2,IF(OR(K2137="PRE",K2137="HEAT"),1,IF(V2137="YES",4,2))))</f>
        <v/>
      </c>
      <c r="M2137" s="33" t="inlineStr">
        <is>
          <t>LCM</t>
        </is>
      </c>
      <c r="N2137" s="33" t="n">
        <v>100</v>
      </c>
      <c r="O2137" s="33" t="inlineStr">
        <is>
          <t>Free</t>
        </is>
      </c>
      <c r="P2137" s="33" t="inlineStr">
        <is>
          <t>100 Free</t>
        </is>
      </c>
      <c r="Q2137" s="33" t="inlineStr">
        <is>
          <t>LCM_100_FREE</t>
        </is>
      </c>
      <c r="R2137" s="36" t="n">
        <v>52.42</v>
      </c>
      <c r="S2137" s="35">
        <f>IF(R2137="","",IF(R2137&gt;=60,INT(R2137/60)&amp;":"&amp;TEXT(MOD(R2137,60),"00.00"),TEXT(R2137,"0.00")))</f>
        <v/>
      </c>
      <c r="T2137" s="52">
        <f>IFERROR((G2137-INDEX('01_Swimmers'!$E$5:$E$22,MATCH(B2137,'01_Swimmers'!$A$5:$A$22,0)))/'00_Control'!$B$10,"")</f>
        <v/>
      </c>
      <c r="U2137" s="35">
        <f>IF(T2137="","",INT(T2137))</f>
        <v/>
      </c>
      <c r="V2137" s="33" t="inlineStr">
        <is>
          <t>YES</t>
        </is>
      </c>
      <c r="W2137" s="33" t="inlineStr">
        <is>
          <t>YES</t>
        </is>
      </c>
      <c r="X2137" s="33" t="inlineStr">
        <is>
          <t>NO</t>
        </is>
      </c>
      <c r="Y2137" s="33" t="n">
        <v>1</v>
      </c>
      <c r="Z2137" s="33" t="n">
        <v>4</v>
      </c>
      <c r="AA2137" s="33" t="inlineStr"/>
      <c r="AB2137" s="33" t="inlineStr">
        <is>
          <t>https://www.swimcloud.com/results/273105/event/94/?id=103854184#time103854184</t>
        </is>
      </c>
      <c r="AC2137" s="33" t="inlineStr">
        <is>
          <t>SwimCloud API v6 2026-10-08</t>
        </is>
      </c>
      <c r="AD2137" s="33" t="inlineStr">
        <is>
          <t>Luka Mijatovic|2023-07-09|LCM|100|Free|52.42|PC SBA Adam Szmidt LCM Age Group Championships|TIM|True</t>
        </is>
      </c>
      <c r="AE2137" s="53">
        <f>G2137+L2137/1000+ROW()/1000000000</f>
        <v/>
      </c>
      <c r="AF2137" s="35">
        <f>IF(C2137&lt;&gt;"Grayson Coulter","",COUNTIFS($C$5:$C$2991,"Grayson Coulter",$Q$5:$Q$2991,Q2137,$AE$5:$AE$2991,"&lt;="&amp;AE2137,$R$5:$R$2991,"&lt;"&amp;R2137))</f>
        <v/>
      </c>
      <c r="AG2137" s="35">
        <f>IF(OR(C2137&lt;&gt;"Grayson Coulter",G2137&lt;'00_Control'!$B$7),"",--(AF2137&lt;5))</f>
        <v/>
      </c>
      <c r="AH2137" s="35">
        <f>IF(OR(C2137&lt;&gt;"Grayson Coulter",G2137&lt;'00_Control'!$B$7),"",--(AF2137&lt;10))</f>
        <v/>
      </c>
      <c r="AI2137" s="35">
        <f>IF(AND(C2137="Grayson Coulter",G2137&gt;='00_Control'!$B$7),"YES","NO")</f>
        <v/>
      </c>
      <c r="AJ2137" s="33" t="inlineStr">
        <is>
          <t>OK</t>
        </is>
      </c>
    </row>
    <row r="2138">
      <c r="A2138" s="33" t="inlineStr">
        <is>
          <t>SM002134</t>
        </is>
      </c>
      <c r="B2138" s="33" t="inlineStr">
        <is>
          <t>SW003</t>
        </is>
      </c>
      <c r="C2138" s="33" t="inlineStr">
        <is>
          <t>Luka Mijatovic</t>
        </is>
      </c>
      <c r="D2138" s="33" t="inlineStr">
        <is>
          <t>SwimCloud</t>
        </is>
      </c>
      <c r="E2138" s="33" t="inlineStr">
        <is>
          <t>2415996</t>
        </is>
      </c>
      <c r="F2138" s="33" t="inlineStr">
        <is>
          <t>104170318</t>
        </is>
      </c>
      <c r="G2138" s="51" t="n">
        <v>45122</v>
      </c>
      <c r="H2138" s="33" t="inlineStr">
        <is>
          <t>PC SCSC Super League Finals</t>
        </is>
      </c>
      <c r="I2138" s="33" t="inlineStr">
        <is>
          <t>273349</t>
        </is>
      </c>
      <c r="J2138" s="33" t="inlineStr"/>
      <c r="K2138" s="33" t="inlineStr">
        <is>
          <t>PRE</t>
        </is>
      </c>
      <c r="L2138" s="35">
        <f>IF(K2138="FIN",3,IF(OR(K2138="SEM",K2138="SEMI"),2,IF(OR(K2138="PRE",K2138="HEAT"),1,IF(V2138="YES",4,2))))</f>
        <v/>
      </c>
      <c r="M2138" s="33" t="inlineStr">
        <is>
          <t>LCM</t>
        </is>
      </c>
      <c r="N2138" s="33" t="n">
        <v>100</v>
      </c>
      <c r="O2138" s="33" t="inlineStr">
        <is>
          <t>Fly</t>
        </is>
      </c>
      <c r="P2138" s="33" t="inlineStr">
        <is>
          <t>100 Fly</t>
        </is>
      </c>
      <c r="Q2138" s="33" t="inlineStr">
        <is>
          <t>LCM_100_FLY</t>
        </is>
      </c>
      <c r="R2138" s="36" t="n">
        <v>58.21</v>
      </c>
      <c r="S2138" s="35">
        <f>IF(R2138="","",IF(R2138&gt;=60,INT(R2138/60)&amp;":"&amp;TEXT(MOD(R2138,60),"00.00"),TEXT(R2138,"0.00")))</f>
        <v/>
      </c>
      <c r="T2138" s="52">
        <f>IFERROR((G2138-INDEX('01_Swimmers'!$E$5:$E$22,MATCH(B2138,'01_Swimmers'!$A$5:$A$22,0)))/'00_Control'!$B$10,"")</f>
        <v/>
      </c>
      <c r="U2138" s="35">
        <f>IF(T2138="","",INT(T2138))</f>
        <v/>
      </c>
      <c r="V2138" s="33" t="inlineStr">
        <is>
          <t>NO</t>
        </is>
      </c>
      <c r="W2138" s="33" t="inlineStr">
        <is>
          <t>YES</t>
        </is>
      </c>
      <c r="X2138" s="33" t="inlineStr">
        <is>
          <t>NO</t>
        </is>
      </c>
      <c r="Y2138" s="33" t="n">
        <v>1</v>
      </c>
      <c r="Z2138" s="33" t="n">
        <v>7</v>
      </c>
      <c r="AA2138" s="33" t="inlineStr">
        <is>
          <t>8</t>
        </is>
      </c>
      <c r="AB2138" s="33" t="inlineStr">
        <is>
          <t>https://www.swimcloud.com/results/273349/event/10/?id=104170318#time104170318</t>
        </is>
      </c>
      <c r="AC2138" s="33" t="inlineStr">
        <is>
          <t>SwimCloud API v6 2026-10-08</t>
        </is>
      </c>
      <c r="AD2138" s="33" t="inlineStr">
        <is>
          <t>Luka Mijatovic|2023-07-15|LCM|100|Fly|58.21|PC SCSC Super League Finals|PRE|False</t>
        </is>
      </c>
      <c r="AE2138" s="53">
        <f>G2138+L2138/1000+ROW()/1000000000</f>
        <v/>
      </c>
      <c r="AF2138" s="35">
        <f>IF(C2138&lt;&gt;"Grayson Coulter","",COUNTIFS($C$5:$C$2991,"Grayson Coulter",$Q$5:$Q$2991,Q2138,$AE$5:$AE$2991,"&lt;="&amp;AE2138,$R$5:$R$2991,"&lt;"&amp;R2138))</f>
        <v/>
      </c>
      <c r="AG2138" s="35">
        <f>IF(OR(C2138&lt;&gt;"Grayson Coulter",G2138&lt;'00_Control'!$B$7),"",--(AF2138&lt;5))</f>
        <v/>
      </c>
      <c r="AH2138" s="35">
        <f>IF(OR(C2138&lt;&gt;"Grayson Coulter",G2138&lt;'00_Control'!$B$7),"",--(AF2138&lt;10))</f>
        <v/>
      </c>
      <c r="AI2138" s="35">
        <f>IF(AND(C2138="Grayson Coulter",G2138&gt;='00_Control'!$B$7),"YES","NO")</f>
        <v/>
      </c>
      <c r="AJ2138" s="33" t="inlineStr">
        <is>
          <t>OK</t>
        </is>
      </c>
    </row>
    <row r="2139">
      <c r="A2139" s="33" t="inlineStr">
        <is>
          <t>SM002135</t>
        </is>
      </c>
      <c r="B2139" s="33" t="inlineStr">
        <is>
          <t>SW003</t>
        </is>
      </c>
      <c r="C2139" s="33" t="inlineStr">
        <is>
          <t>Luka Mijatovic</t>
        </is>
      </c>
      <c r="D2139" s="33" t="inlineStr">
        <is>
          <t>SwimCloud</t>
        </is>
      </c>
      <c r="E2139" s="33" t="inlineStr">
        <is>
          <t>2415996</t>
        </is>
      </c>
      <c r="F2139" s="33" t="inlineStr">
        <is>
          <t>104170319</t>
        </is>
      </c>
      <c r="G2139" s="51" t="n">
        <v>45122</v>
      </c>
      <c r="H2139" s="33" t="inlineStr">
        <is>
          <t>PC SCSC Super League Finals</t>
        </is>
      </c>
      <c r="I2139" s="33" t="inlineStr">
        <is>
          <t>273349</t>
        </is>
      </c>
      <c r="J2139" s="33" t="inlineStr"/>
      <c r="K2139" s="33" t="inlineStr">
        <is>
          <t>FIN</t>
        </is>
      </c>
      <c r="L2139" s="35">
        <f>IF(K2139="FIN",3,IF(OR(K2139="SEM",K2139="SEMI"),2,IF(OR(K2139="PRE",K2139="HEAT"),1,IF(V2139="YES",4,2))))</f>
        <v/>
      </c>
      <c r="M2139" s="33" t="inlineStr">
        <is>
          <t>LCM</t>
        </is>
      </c>
      <c r="N2139" s="33" t="n">
        <v>100</v>
      </c>
      <c r="O2139" s="33" t="inlineStr">
        <is>
          <t>Fly</t>
        </is>
      </c>
      <c r="P2139" s="33" t="inlineStr">
        <is>
          <t>100 Fly</t>
        </is>
      </c>
      <c r="Q2139" s="33" t="inlineStr">
        <is>
          <t>LCM_100_FLY</t>
        </is>
      </c>
      <c r="R2139" s="36" t="n">
        <v>57.17</v>
      </c>
      <c r="S2139" s="35">
        <f>IF(R2139="","",IF(R2139&gt;=60,INT(R2139/60)&amp;":"&amp;TEXT(MOD(R2139,60),"00.00"),TEXT(R2139,"0.00")))</f>
        <v/>
      </c>
      <c r="T2139" s="52">
        <f>IFERROR((G2139-INDEX('01_Swimmers'!$E$5:$E$22,MATCH(B2139,'01_Swimmers'!$A$5:$A$22,0)))/'00_Control'!$B$10,"")</f>
        <v/>
      </c>
      <c r="U2139" s="35">
        <f>IF(T2139="","",INT(T2139))</f>
        <v/>
      </c>
      <c r="V2139" s="33" t="inlineStr">
        <is>
          <t>NO</t>
        </is>
      </c>
      <c r="W2139" s="33" t="inlineStr">
        <is>
          <t>YES</t>
        </is>
      </c>
      <c r="X2139" s="33" t="inlineStr">
        <is>
          <t>NO</t>
        </is>
      </c>
      <c r="Y2139" s="33" t="n">
        <v>1</v>
      </c>
      <c r="Z2139" s="33" t="n">
        <v>1</v>
      </c>
      <c r="AA2139" s="33" t="inlineStr">
        <is>
          <t>4</t>
        </is>
      </c>
      <c r="AB2139" s="33" t="inlineStr">
        <is>
          <t>https://www.swimcloud.com/results/273349/event/10/?id=104170319#time104170319</t>
        </is>
      </c>
      <c r="AC2139" s="33" t="inlineStr">
        <is>
          <t>SwimCloud API v6 2026-10-08</t>
        </is>
      </c>
      <c r="AD2139" s="33" t="inlineStr">
        <is>
          <t>Luka Mijatovic|2023-07-15|LCM|100|Fly|57.17|PC SCSC Super League Finals|FIN|False</t>
        </is>
      </c>
      <c r="AE2139" s="53">
        <f>G2139+L2139/1000+ROW()/1000000000</f>
        <v/>
      </c>
      <c r="AF2139" s="35">
        <f>IF(C2139&lt;&gt;"Grayson Coulter","",COUNTIFS($C$5:$C$2991,"Grayson Coulter",$Q$5:$Q$2991,Q2139,$AE$5:$AE$2991,"&lt;="&amp;AE2139,$R$5:$R$2991,"&lt;"&amp;R2139))</f>
        <v/>
      </c>
      <c r="AG2139" s="35">
        <f>IF(OR(C2139&lt;&gt;"Grayson Coulter",G2139&lt;'00_Control'!$B$7),"",--(AF2139&lt;5))</f>
        <v/>
      </c>
      <c r="AH2139" s="35">
        <f>IF(OR(C2139&lt;&gt;"Grayson Coulter",G2139&lt;'00_Control'!$B$7),"",--(AF2139&lt;10))</f>
        <v/>
      </c>
      <c r="AI2139" s="35">
        <f>IF(AND(C2139="Grayson Coulter",G2139&gt;='00_Control'!$B$7),"YES","NO")</f>
        <v/>
      </c>
      <c r="AJ2139" s="33" t="inlineStr">
        <is>
          <t>OK</t>
        </is>
      </c>
    </row>
    <row r="2140">
      <c r="A2140" s="33" t="inlineStr">
        <is>
          <t>SM002136</t>
        </is>
      </c>
      <c r="B2140" s="33" t="inlineStr">
        <is>
          <t>SW003</t>
        </is>
      </c>
      <c r="C2140" s="33" t="inlineStr">
        <is>
          <t>Luka Mijatovic</t>
        </is>
      </c>
      <c r="D2140" s="33" t="inlineStr">
        <is>
          <t>SwimCloud</t>
        </is>
      </c>
      <c r="E2140" s="33" t="inlineStr">
        <is>
          <t>2415996</t>
        </is>
      </c>
      <c r="F2140" s="33" t="inlineStr">
        <is>
          <t>104170153</t>
        </is>
      </c>
      <c r="G2140" s="51" t="n">
        <v>45123</v>
      </c>
      <c r="H2140" s="33" t="inlineStr">
        <is>
          <t>PC SCSC Super League Finals</t>
        </is>
      </c>
      <c r="I2140" s="33" t="inlineStr">
        <is>
          <t>273349</t>
        </is>
      </c>
      <c r="J2140" s="33" t="inlineStr"/>
      <c r="K2140" s="33" t="inlineStr">
        <is>
          <t>PRE</t>
        </is>
      </c>
      <c r="L2140" s="35">
        <f>IF(K2140="FIN",3,IF(OR(K2140="SEM",K2140="SEMI"),2,IF(OR(K2140="PRE",K2140="HEAT"),1,IF(V2140="YES",4,2))))</f>
        <v/>
      </c>
      <c r="M2140" s="33" t="inlineStr">
        <is>
          <t>LCM</t>
        </is>
      </c>
      <c r="N2140" s="33" t="n">
        <v>100</v>
      </c>
      <c r="O2140" s="33" t="inlineStr">
        <is>
          <t>Free</t>
        </is>
      </c>
      <c r="P2140" s="33" t="inlineStr">
        <is>
          <t>100 Free</t>
        </is>
      </c>
      <c r="Q2140" s="33" t="inlineStr">
        <is>
          <t>LCM_100_FREE</t>
        </is>
      </c>
      <c r="R2140" s="36" t="n">
        <v>54.31</v>
      </c>
      <c r="S2140" s="35">
        <f>IF(R2140="","",IF(R2140&gt;=60,INT(R2140/60)&amp;":"&amp;TEXT(MOD(R2140,60),"00.00"),TEXT(R2140,"0.00")))</f>
        <v/>
      </c>
      <c r="T2140" s="52">
        <f>IFERROR((G2140-INDEX('01_Swimmers'!$E$5:$E$22,MATCH(B2140,'01_Swimmers'!$A$5:$A$22,0)))/'00_Control'!$B$10,"")</f>
        <v/>
      </c>
      <c r="U2140" s="35">
        <f>IF(T2140="","",INT(T2140))</f>
        <v/>
      </c>
      <c r="V2140" s="33" t="inlineStr">
        <is>
          <t>NO</t>
        </is>
      </c>
      <c r="W2140" s="33" t="inlineStr">
        <is>
          <t>YES</t>
        </is>
      </c>
      <c r="X2140" s="33" t="inlineStr">
        <is>
          <t>NO</t>
        </is>
      </c>
      <c r="Y2140" s="33" t="n">
        <v>2</v>
      </c>
      <c r="Z2140" s="33" t="n">
        <v>3</v>
      </c>
      <c r="AA2140" s="33" t="inlineStr">
        <is>
          <t>13</t>
        </is>
      </c>
      <c r="AB2140" s="33" t="inlineStr">
        <is>
          <t>https://www.swimcloud.com/results/273349/event/26/?id=104170153#time104170153</t>
        </is>
      </c>
      <c r="AC2140" s="33" t="inlineStr">
        <is>
          <t>SwimCloud API v6 2026-10-08</t>
        </is>
      </c>
      <c r="AD2140" s="33" t="inlineStr">
        <is>
          <t>Luka Mijatovic|2023-07-16|LCM|100|Free|54.31|PC SCSC Super League Finals|PRE|False</t>
        </is>
      </c>
      <c r="AE2140" s="53">
        <f>G2140+L2140/1000+ROW()/1000000000</f>
        <v/>
      </c>
      <c r="AF2140" s="35">
        <f>IF(C2140&lt;&gt;"Grayson Coulter","",COUNTIFS($C$5:$C$2991,"Grayson Coulter",$Q$5:$Q$2991,Q2140,$AE$5:$AE$2991,"&lt;="&amp;AE2140,$R$5:$R$2991,"&lt;"&amp;R2140))</f>
        <v/>
      </c>
      <c r="AG2140" s="35">
        <f>IF(OR(C2140&lt;&gt;"Grayson Coulter",G2140&lt;'00_Control'!$B$7),"",--(AF2140&lt;5))</f>
        <v/>
      </c>
      <c r="AH2140" s="35">
        <f>IF(OR(C2140&lt;&gt;"Grayson Coulter",G2140&lt;'00_Control'!$B$7),"",--(AF2140&lt;10))</f>
        <v/>
      </c>
      <c r="AI2140" s="35">
        <f>IF(AND(C2140="Grayson Coulter",G2140&gt;='00_Control'!$B$7),"YES","NO")</f>
        <v/>
      </c>
      <c r="AJ2140" s="33" t="inlineStr">
        <is>
          <t>OK</t>
        </is>
      </c>
    </row>
    <row r="2141">
      <c r="A2141" s="33" t="inlineStr">
        <is>
          <t>SM002137</t>
        </is>
      </c>
      <c r="B2141" s="33" t="inlineStr">
        <is>
          <t>SW003</t>
        </is>
      </c>
      <c r="C2141" s="33" t="inlineStr">
        <is>
          <t>Luka Mijatovic</t>
        </is>
      </c>
      <c r="D2141" s="33" t="inlineStr">
        <is>
          <t>SwimCloud</t>
        </is>
      </c>
      <c r="E2141" s="33" t="inlineStr">
        <is>
          <t>2415996</t>
        </is>
      </c>
      <c r="F2141" s="33" t="inlineStr">
        <is>
          <t>104170154</t>
        </is>
      </c>
      <c r="G2141" s="51" t="n">
        <v>45123</v>
      </c>
      <c r="H2141" s="33" t="inlineStr">
        <is>
          <t>PC SCSC Super League Finals</t>
        </is>
      </c>
      <c r="I2141" s="33" t="inlineStr">
        <is>
          <t>273349</t>
        </is>
      </c>
      <c r="J2141" s="33" t="inlineStr"/>
      <c r="K2141" s="33" t="inlineStr">
        <is>
          <t>FIN</t>
        </is>
      </c>
      <c r="L2141" s="35">
        <f>IF(K2141="FIN",3,IF(OR(K2141="SEM",K2141="SEMI"),2,IF(OR(K2141="PRE",K2141="HEAT"),1,IF(V2141="YES",4,2))))</f>
        <v/>
      </c>
      <c r="M2141" s="33" t="inlineStr">
        <is>
          <t>LCM</t>
        </is>
      </c>
      <c r="N2141" s="33" t="n">
        <v>100</v>
      </c>
      <c r="O2141" s="33" t="inlineStr">
        <is>
          <t>Free</t>
        </is>
      </c>
      <c r="P2141" s="33" t="inlineStr">
        <is>
          <t>100 Free</t>
        </is>
      </c>
      <c r="Q2141" s="33" t="inlineStr">
        <is>
          <t>LCM_100_FREE</t>
        </is>
      </c>
      <c r="R2141" s="36" t="n">
        <v>53.19</v>
      </c>
      <c r="S2141" s="35">
        <f>IF(R2141="","",IF(R2141&gt;=60,INT(R2141/60)&amp;":"&amp;TEXT(MOD(R2141,60),"00.00"),TEXT(R2141,"0.00")))</f>
        <v/>
      </c>
      <c r="T2141" s="52">
        <f>IFERROR((G2141-INDEX('01_Swimmers'!$E$5:$E$22,MATCH(B2141,'01_Swimmers'!$A$5:$A$22,0)))/'00_Control'!$B$10,"")</f>
        <v/>
      </c>
      <c r="U2141" s="35">
        <f>IF(T2141="","",INT(T2141))</f>
        <v/>
      </c>
      <c r="V2141" s="33" t="inlineStr">
        <is>
          <t>NO</t>
        </is>
      </c>
      <c r="W2141" s="33" t="inlineStr">
        <is>
          <t>YES</t>
        </is>
      </c>
      <c r="X2141" s="33" t="inlineStr">
        <is>
          <t>NO</t>
        </is>
      </c>
      <c r="Y2141" s="33" t="n">
        <v>2</v>
      </c>
      <c r="Z2141" s="33" t="n">
        <v>6</v>
      </c>
      <c r="AA2141" s="33" t="inlineStr">
        <is>
          <t>9</t>
        </is>
      </c>
      <c r="AB2141" s="33" t="inlineStr">
        <is>
          <t>https://www.swimcloud.com/results/273349/event/26/?id=104170154#time104170154</t>
        </is>
      </c>
      <c r="AC2141" s="33" t="inlineStr">
        <is>
          <t>SwimCloud API v6 2026-10-08</t>
        </is>
      </c>
      <c r="AD2141" s="33" t="inlineStr">
        <is>
          <t>Luka Mijatovic|2023-07-16|LCM|100|Free|53.19|PC SCSC Super League Finals|FIN|False</t>
        </is>
      </c>
      <c r="AE2141" s="53">
        <f>G2141+L2141/1000+ROW()/1000000000</f>
        <v/>
      </c>
      <c r="AF2141" s="35">
        <f>IF(C2141&lt;&gt;"Grayson Coulter","",COUNTIFS($C$5:$C$2991,"Grayson Coulter",$Q$5:$Q$2991,Q2141,$AE$5:$AE$2991,"&lt;="&amp;AE2141,$R$5:$R$2991,"&lt;"&amp;R2141))</f>
        <v/>
      </c>
      <c r="AG2141" s="35">
        <f>IF(OR(C2141&lt;&gt;"Grayson Coulter",G2141&lt;'00_Control'!$B$7),"",--(AF2141&lt;5))</f>
        <v/>
      </c>
      <c r="AH2141" s="35">
        <f>IF(OR(C2141&lt;&gt;"Grayson Coulter",G2141&lt;'00_Control'!$B$7),"",--(AF2141&lt;10))</f>
        <v/>
      </c>
      <c r="AI2141" s="35">
        <f>IF(AND(C2141="Grayson Coulter",G2141&gt;='00_Control'!$B$7),"YES","NO")</f>
        <v/>
      </c>
      <c r="AJ2141" s="33" t="inlineStr">
        <is>
          <t>OK</t>
        </is>
      </c>
    </row>
    <row r="2142">
      <c r="A2142" s="33" t="inlineStr">
        <is>
          <t>SM002138</t>
        </is>
      </c>
      <c r="B2142" s="33" t="inlineStr">
        <is>
          <t>SW003</t>
        </is>
      </c>
      <c r="C2142" s="33" t="inlineStr">
        <is>
          <t>Luka Mijatovic</t>
        </is>
      </c>
      <c r="D2142" s="33" t="inlineStr">
        <is>
          <t>SwimCloud</t>
        </is>
      </c>
      <c r="E2142" s="33" t="inlineStr">
        <is>
          <t>2415996</t>
        </is>
      </c>
      <c r="F2142" s="33" t="inlineStr">
        <is>
          <t>115605781</t>
        </is>
      </c>
      <c r="G2142" s="51" t="n">
        <v>45134</v>
      </c>
      <c r="H2142" s="33" t="inlineStr">
        <is>
          <t>Far Westerns Championship</t>
        </is>
      </c>
      <c r="I2142" s="33" t="inlineStr">
        <is>
          <t>243188</t>
        </is>
      </c>
      <c r="J2142" s="33" t="inlineStr"/>
      <c r="K2142" s="33" t="inlineStr">
        <is>
          <t>PRE</t>
        </is>
      </c>
      <c r="L2142" s="35">
        <f>IF(K2142="FIN",3,IF(OR(K2142="SEM",K2142="SEMI"),2,IF(OR(K2142="PRE",K2142="HEAT"),1,IF(V2142="YES",4,2))))</f>
        <v/>
      </c>
      <c r="M2142" s="33" t="inlineStr">
        <is>
          <t>LCM</t>
        </is>
      </c>
      <c r="N2142" s="33" t="n">
        <v>100</v>
      </c>
      <c r="O2142" s="33" t="inlineStr">
        <is>
          <t>Fly</t>
        </is>
      </c>
      <c r="P2142" s="33" t="inlineStr">
        <is>
          <t>100 Fly</t>
        </is>
      </c>
      <c r="Q2142" s="33" t="inlineStr">
        <is>
          <t>LCM_100_FLY</t>
        </is>
      </c>
      <c r="R2142" s="36" t="n">
        <v>58.13</v>
      </c>
      <c r="S2142" s="35">
        <f>IF(R2142="","",IF(R2142&gt;=60,INT(R2142/60)&amp;":"&amp;TEXT(MOD(R2142,60),"00.00"),TEXT(R2142,"0.00")))</f>
        <v/>
      </c>
      <c r="T2142" s="52">
        <f>IFERROR((G2142-INDEX('01_Swimmers'!$E$5:$E$22,MATCH(B2142,'01_Swimmers'!$A$5:$A$22,0)))/'00_Control'!$B$10,"")</f>
        <v/>
      </c>
      <c r="U2142" s="35">
        <f>IF(T2142="","",INT(T2142))</f>
        <v/>
      </c>
      <c r="V2142" s="33" t="inlineStr">
        <is>
          <t>NO</t>
        </is>
      </c>
      <c r="W2142" s="33" t="inlineStr">
        <is>
          <t>YES</t>
        </is>
      </c>
      <c r="X2142" s="33" t="inlineStr">
        <is>
          <t>NO</t>
        </is>
      </c>
      <c r="Y2142" s="33" t="n">
        <v>2</v>
      </c>
      <c r="Z2142" s="33" t="n">
        <v>5</v>
      </c>
      <c r="AA2142" s="33" t="inlineStr">
        <is>
          <t>1</t>
        </is>
      </c>
      <c r="AB2142" s="33" t="inlineStr">
        <is>
          <t>https://www.swimcloud.com/results/243188/event/4/?id=115605781#time115605781</t>
        </is>
      </c>
      <c r="AC2142" s="33" t="inlineStr">
        <is>
          <t>SwimCloud API v6 2026-10-08</t>
        </is>
      </c>
      <c r="AD2142" s="33" t="inlineStr">
        <is>
          <t>Luka Mijatovic|2023-07-27|LCM|100|Fly|58.13|Far Westerns Championship|PRE|False</t>
        </is>
      </c>
      <c r="AE2142" s="53">
        <f>G2142+L2142/1000+ROW()/1000000000</f>
        <v/>
      </c>
      <c r="AF2142" s="35">
        <f>IF(C2142&lt;&gt;"Grayson Coulter","",COUNTIFS($C$5:$C$2991,"Grayson Coulter",$Q$5:$Q$2991,Q2142,$AE$5:$AE$2991,"&lt;="&amp;AE2142,$R$5:$R$2991,"&lt;"&amp;R2142))</f>
        <v/>
      </c>
      <c r="AG2142" s="35">
        <f>IF(OR(C2142&lt;&gt;"Grayson Coulter",G2142&lt;'00_Control'!$B$7),"",--(AF2142&lt;5))</f>
        <v/>
      </c>
      <c r="AH2142" s="35">
        <f>IF(OR(C2142&lt;&gt;"Grayson Coulter",G2142&lt;'00_Control'!$B$7),"",--(AF2142&lt;10))</f>
        <v/>
      </c>
      <c r="AI2142" s="35">
        <f>IF(AND(C2142="Grayson Coulter",G2142&gt;='00_Control'!$B$7),"YES","NO")</f>
        <v/>
      </c>
      <c r="AJ2142" s="33" t="inlineStr">
        <is>
          <t>OK</t>
        </is>
      </c>
    </row>
    <row r="2143">
      <c r="A2143" s="33" t="inlineStr">
        <is>
          <t>SM002139</t>
        </is>
      </c>
      <c r="B2143" s="33" t="inlineStr">
        <is>
          <t>SW003</t>
        </is>
      </c>
      <c r="C2143" s="33" t="inlineStr">
        <is>
          <t>Luka Mijatovic</t>
        </is>
      </c>
      <c r="D2143" s="33" t="inlineStr">
        <is>
          <t>SwimCloud</t>
        </is>
      </c>
      <c r="E2143" s="33" t="inlineStr">
        <is>
          <t>2415996</t>
        </is>
      </c>
      <c r="F2143" s="33" t="inlineStr">
        <is>
          <t>115605782</t>
        </is>
      </c>
      <c r="G2143" s="51" t="n">
        <v>45134</v>
      </c>
      <c r="H2143" s="33" t="inlineStr">
        <is>
          <t>Far Westerns Championship</t>
        </is>
      </c>
      <c r="I2143" s="33" t="inlineStr">
        <is>
          <t>243188</t>
        </is>
      </c>
      <c r="J2143" s="33" t="inlineStr"/>
      <c r="K2143" s="33" t="inlineStr">
        <is>
          <t>FIN</t>
        </is>
      </c>
      <c r="L2143" s="35">
        <f>IF(K2143="FIN",3,IF(OR(K2143="SEM",K2143="SEMI"),2,IF(OR(K2143="PRE",K2143="HEAT"),1,IF(V2143="YES",4,2))))</f>
        <v/>
      </c>
      <c r="M2143" s="33" t="inlineStr">
        <is>
          <t>LCM</t>
        </is>
      </c>
      <c r="N2143" s="33" t="n">
        <v>100</v>
      </c>
      <c r="O2143" s="33" t="inlineStr">
        <is>
          <t>Fly</t>
        </is>
      </c>
      <c r="P2143" s="33" t="inlineStr">
        <is>
          <t>100 Fly</t>
        </is>
      </c>
      <c r="Q2143" s="33" t="inlineStr">
        <is>
          <t>LCM_100_FLY</t>
        </is>
      </c>
      <c r="R2143" s="36" t="n">
        <v>56.9</v>
      </c>
      <c r="S2143" s="35">
        <f>IF(R2143="","",IF(R2143&gt;=60,INT(R2143/60)&amp;":"&amp;TEXT(MOD(R2143,60),"00.00"),TEXT(R2143,"0.00")))</f>
        <v/>
      </c>
      <c r="T2143" s="52">
        <f>IFERROR((G2143-INDEX('01_Swimmers'!$E$5:$E$22,MATCH(B2143,'01_Swimmers'!$A$5:$A$22,0)))/'00_Control'!$B$10,"")</f>
        <v/>
      </c>
      <c r="U2143" s="35">
        <f>IF(T2143="","",INT(T2143))</f>
        <v/>
      </c>
      <c r="V2143" s="33" t="inlineStr">
        <is>
          <t>NO</t>
        </is>
      </c>
      <c r="W2143" s="33" t="inlineStr">
        <is>
          <t>YES</t>
        </is>
      </c>
      <c r="X2143" s="33" t="inlineStr">
        <is>
          <t>NO</t>
        </is>
      </c>
      <c r="Y2143" s="33" t="n">
        <v>1</v>
      </c>
      <c r="Z2143" s="33" t="n">
        <v>5</v>
      </c>
      <c r="AA2143" s="33" t="inlineStr">
        <is>
          <t>1</t>
        </is>
      </c>
      <c r="AB2143" s="33" t="inlineStr">
        <is>
          <t>https://www.swimcloud.com/results/243188/event/4/?id=115605782#time115605782</t>
        </is>
      </c>
      <c r="AC2143" s="33" t="inlineStr">
        <is>
          <t>SwimCloud API v6 2026-10-08</t>
        </is>
      </c>
      <c r="AD2143" s="33" t="inlineStr">
        <is>
          <t>Luka Mijatovic|2023-07-27|LCM|100|Fly|56.9|Far Westerns Championship|FIN|False</t>
        </is>
      </c>
      <c r="AE2143" s="53">
        <f>G2143+L2143/1000+ROW()/1000000000</f>
        <v/>
      </c>
      <c r="AF2143" s="35">
        <f>IF(C2143&lt;&gt;"Grayson Coulter","",COUNTIFS($C$5:$C$2991,"Grayson Coulter",$Q$5:$Q$2991,Q2143,$AE$5:$AE$2991,"&lt;="&amp;AE2143,$R$5:$R$2991,"&lt;"&amp;R2143))</f>
        <v/>
      </c>
      <c r="AG2143" s="35">
        <f>IF(OR(C2143&lt;&gt;"Grayson Coulter",G2143&lt;'00_Control'!$B$7),"",--(AF2143&lt;5))</f>
        <v/>
      </c>
      <c r="AH2143" s="35">
        <f>IF(OR(C2143&lt;&gt;"Grayson Coulter",G2143&lt;'00_Control'!$B$7),"",--(AF2143&lt;10))</f>
        <v/>
      </c>
      <c r="AI2143" s="35">
        <f>IF(AND(C2143="Grayson Coulter",G2143&gt;='00_Control'!$B$7),"YES","NO")</f>
        <v/>
      </c>
      <c r="AJ2143" s="33" t="inlineStr">
        <is>
          <t>OK</t>
        </is>
      </c>
    </row>
    <row r="2144">
      <c r="A2144" s="33" t="inlineStr">
        <is>
          <t>SM002140</t>
        </is>
      </c>
      <c r="B2144" s="33" t="inlineStr">
        <is>
          <t>SW003</t>
        </is>
      </c>
      <c r="C2144" s="33" t="inlineStr">
        <is>
          <t>Luka Mijatovic</t>
        </is>
      </c>
      <c r="D2144" s="33" t="inlineStr">
        <is>
          <t>SwimCloud</t>
        </is>
      </c>
      <c r="E2144" s="33" t="inlineStr">
        <is>
          <t>2415996</t>
        </is>
      </c>
      <c r="F2144" s="33" t="inlineStr">
        <is>
          <t>115607157</t>
        </is>
      </c>
      <c r="G2144" s="51" t="n">
        <v>45134</v>
      </c>
      <c r="H2144" s="33" t="inlineStr">
        <is>
          <t>Far Westerns Championship</t>
        </is>
      </c>
      <c r="I2144" s="33" t="inlineStr">
        <is>
          <t>243188</t>
        </is>
      </c>
      <c r="J2144" s="33" t="inlineStr"/>
      <c r="K2144" s="33" t="inlineStr">
        <is>
          <t>PRE</t>
        </is>
      </c>
      <c r="L2144" s="35">
        <f>IF(K2144="FIN",3,IF(OR(K2144="SEM",K2144="SEMI"),2,IF(OR(K2144="PRE",K2144="HEAT"),1,IF(V2144="YES",4,2))))</f>
        <v/>
      </c>
      <c r="M2144" s="33" t="inlineStr">
        <is>
          <t>LCM</t>
        </is>
      </c>
      <c r="N2144" s="33" t="n">
        <v>100</v>
      </c>
      <c r="O2144" s="33" t="inlineStr">
        <is>
          <t>Free</t>
        </is>
      </c>
      <c r="P2144" s="33" t="inlineStr">
        <is>
          <t>100 Free</t>
        </is>
      </c>
      <c r="Q2144" s="33" t="inlineStr">
        <is>
          <t>LCM_100_FREE</t>
        </is>
      </c>
      <c r="R2144" s="36" t="n">
        <v>53.87</v>
      </c>
      <c r="S2144" s="35">
        <f>IF(R2144="","",IF(R2144&gt;=60,INT(R2144/60)&amp;":"&amp;TEXT(MOD(R2144,60),"00.00"),TEXT(R2144,"0.00")))</f>
        <v/>
      </c>
      <c r="T2144" s="52">
        <f>IFERROR((G2144-INDEX('01_Swimmers'!$E$5:$E$22,MATCH(B2144,'01_Swimmers'!$A$5:$A$22,0)))/'00_Control'!$B$10,"")</f>
        <v/>
      </c>
      <c r="U2144" s="35">
        <f>IF(T2144="","",INT(T2144))</f>
        <v/>
      </c>
      <c r="V2144" s="33" t="inlineStr">
        <is>
          <t>NO</t>
        </is>
      </c>
      <c r="W2144" s="33" t="inlineStr">
        <is>
          <t>YES</t>
        </is>
      </c>
      <c r="X2144" s="33" t="inlineStr">
        <is>
          <t>NO</t>
        </is>
      </c>
      <c r="Y2144" s="33" t="n">
        <v>1</v>
      </c>
      <c r="Z2144" s="33" t="n">
        <v>5</v>
      </c>
      <c r="AA2144" s="33" t="inlineStr">
        <is>
          <t>1</t>
        </is>
      </c>
      <c r="AB2144" s="33" t="inlineStr">
        <is>
          <t>https://www.swimcloud.com/results/243188/event/12/?id=115607157#time115607157</t>
        </is>
      </c>
      <c r="AC2144" s="33" t="inlineStr">
        <is>
          <t>SwimCloud API v6 2026-10-08</t>
        </is>
      </c>
      <c r="AD2144" s="33" t="inlineStr">
        <is>
          <t>Luka Mijatovic|2023-07-27|LCM|100|Free|53.87|Far Westerns Championship|PRE|False</t>
        </is>
      </c>
      <c r="AE2144" s="53">
        <f>G2144+L2144/1000+ROW()/1000000000</f>
        <v/>
      </c>
      <c r="AF2144" s="35">
        <f>IF(C2144&lt;&gt;"Grayson Coulter","",COUNTIFS($C$5:$C$2991,"Grayson Coulter",$Q$5:$Q$2991,Q2144,$AE$5:$AE$2991,"&lt;="&amp;AE2144,$R$5:$R$2991,"&lt;"&amp;R2144))</f>
        <v/>
      </c>
      <c r="AG2144" s="35">
        <f>IF(OR(C2144&lt;&gt;"Grayson Coulter",G2144&lt;'00_Control'!$B$7),"",--(AF2144&lt;5))</f>
        <v/>
      </c>
      <c r="AH2144" s="35">
        <f>IF(OR(C2144&lt;&gt;"Grayson Coulter",G2144&lt;'00_Control'!$B$7),"",--(AF2144&lt;10))</f>
        <v/>
      </c>
      <c r="AI2144" s="35">
        <f>IF(AND(C2144="Grayson Coulter",G2144&gt;='00_Control'!$B$7),"YES","NO")</f>
        <v/>
      </c>
      <c r="AJ2144" s="33" t="inlineStr">
        <is>
          <t>OK</t>
        </is>
      </c>
    </row>
    <row r="2145">
      <c r="A2145" s="33" t="inlineStr">
        <is>
          <t>SM002141</t>
        </is>
      </c>
      <c r="B2145" s="33" t="inlineStr">
        <is>
          <t>SW003</t>
        </is>
      </c>
      <c r="C2145" s="33" t="inlineStr">
        <is>
          <t>Luka Mijatovic</t>
        </is>
      </c>
      <c r="D2145" s="33" t="inlineStr">
        <is>
          <t>SwimCloud</t>
        </is>
      </c>
      <c r="E2145" s="33" t="inlineStr">
        <is>
          <t>2415996</t>
        </is>
      </c>
      <c r="F2145" s="33" t="inlineStr">
        <is>
          <t>115607158</t>
        </is>
      </c>
      <c r="G2145" s="51" t="n">
        <v>45134</v>
      </c>
      <c r="H2145" s="33" t="inlineStr">
        <is>
          <t>Far Westerns Championship</t>
        </is>
      </c>
      <c r="I2145" s="33" t="inlineStr">
        <is>
          <t>243188</t>
        </is>
      </c>
      <c r="J2145" s="33" t="inlineStr"/>
      <c r="K2145" s="33" t="inlineStr">
        <is>
          <t>FIN</t>
        </is>
      </c>
      <c r="L2145" s="35">
        <f>IF(K2145="FIN",3,IF(OR(K2145="SEM",K2145="SEMI"),2,IF(OR(K2145="PRE",K2145="HEAT"),1,IF(V2145="YES",4,2))))</f>
        <v/>
      </c>
      <c r="M2145" s="33" t="inlineStr">
        <is>
          <t>LCM</t>
        </is>
      </c>
      <c r="N2145" s="33" t="n">
        <v>100</v>
      </c>
      <c r="O2145" s="33" t="inlineStr">
        <is>
          <t>Free</t>
        </is>
      </c>
      <c r="P2145" s="33" t="inlineStr">
        <is>
          <t>100 Free</t>
        </is>
      </c>
      <c r="Q2145" s="33" t="inlineStr">
        <is>
          <t>LCM_100_FREE</t>
        </is>
      </c>
      <c r="R2145" s="36" t="n">
        <v>52.28</v>
      </c>
      <c r="S2145" s="35">
        <f>IF(R2145="","",IF(R2145&gt;=60,INT(R2145/60)&amp;":"&amp;TEXT(MOD(R2145,60),"00.00"),TEXT(R2145,"0.00")))</f>
        <v/>
      </c>
      <c r="T2145" s="52">
        <f>IFERROR((G2145-INDEX('01_Swimmers'!$E$5:$E$22,MATCH(B2145,'01_Swimmers'!$A$5:$A$22,0)))/'00_Control'!$B$10,"")</f>
        <v/>
      </c>
      <c r="U2145" s="35">
        <f>IF(T2145="","",INT(T2145))</f>
        <v/>
      </c>
      <c r="V2145" s="33" t="inlineStr">
        <is>
          <t>NO</t>
        </is>
      </c>
      <c r="W2145" s="33" t="inlineStr">
        <is>
          <t>YES</t>
        </is>
      </c>
      <c r="X2145" s="33" t="inlineStr">
        <is>
          <t>NO</t>
        </is>
      </c>
      <c r="Y2145" s="33" t="n">
        <v>1</v>
      </c>
      <c r="Z2145" s="33" t="n">
        <v>5</v>
      </c>
      <c r="AA2145" s="33" t="inlineStr">
        <is>
          <t>1</t>
        </is>
      </c>
      <c r="AB2145" s="33" t="inlineStr">
        <is>
          <t>https://www.swimcloud.com/results/243188/event/12/?id=115607158#time115607158</t>
        </is>
      </c>
      <c r="AC2145" s="33" t="inlineStr">
        <is>
          <t>SwimCloud API v6 2026-10-08</t>
        </is>
      </c>
      <c r="AD2145" s="33" t="inlineStr">
        <is>
          <t>Luka Mijatovic|2023-07-27|LCM|100|Free|52.28|Far Westerns Championship|FIN|False</t>
        </is>
      </c>
      <c r="AE2145" s="53">
        <f>G2145+L2145/1000+ROW()/1000000000</f>
        <v/>
      </c>
      <c r="AF2145" s="35">
        <f>IF(C2145&lt;&gt;"Grayson Coulter","",COUNTIFS($C$5:$C$2991,"Grayson Coulter",$Q$5:$Q$2991,Q2145,$AE$5:$AE$2991,"&lt;="&amp;AE2145,$R$5:$R$2991,"&lt;"&amp;R2145))</f>
        <v/>
      </c>
      <c r="AG2145" s="35">
        <f>IF(OR(C2145&lt;&gt;"Grayson Coulter",G2145&lt;'00_Control'!$B$7),"",--(AF2145&lt;5))</f>
        <v/>
      </c>
      <c r="AH2145" s="35">
        <f>IF(OR(C2145&lt;&gt;"Grayson Coulter",G2145&lt;'00_Control'!$B$7),"",--(AF2145&lt;10))</f>
        <v/>
      </c>
      <c r="AI2145" s="35">
        <f>IF(AND(C2145="Grayson Coulter",G2145&gt;='00_Control'!$B$7),"YES","NO")</f>
        <v/>
      </c>
      <c r="AJ2145" s="33" t="inlineStr">
        <is>
          <t>OK</t>
        </is>
      </c>
    </row>
    <row r="2146">
      <c r="A2146" s="33" t="inlineStr">
        <is>
          <t>SM002142</t>
        </is>
      </c>
      <c r="B2146" s="33" t="inlineStr">
        <is>
          <t>SW003</t>
        </is>
      </c>
      <c r="C2146" s="33" t="inlineStr">
        <is>
          <t>Luka Mijatovic</t>
        </is>
      </c>
      <c r="D2146" s="33" t="inlineStr">
        <is>
          <t>SwimCloud</t>
        </is>
      </c>
      <c r="E2146" s="33" t="inlineStr">
        <is>
          <t>2415996</t>
        </is>
      </c>
      <c r="F2146" s="33" t="inlineStr">
        <is>
          <t>115611746</t>
        </is>
      </c>
      <c r="G2146" s="51" t="n">
        <v>45134</v>
      </c>
      <c r="H2146" s="33" t="inlineStr">
        <is>
          <t>Far Westerns Championship</t>
        </is>
      </c>
      <c r="I2146" s="33" t="inlineStr">
        <is>
          <t>243188</t>
        </is>
      </c>
      <c r="J2146" s="33" t="inlineStr"/>
      <c r="K2146" s="33" t="inlineStr">
        <is>
          <t>TIM</t>
        </is>
      </c>
      <c r="L2146" s="35">
        <f>IF(K2146="FIN",3,IF(OR(K2146="SEM",K2146="SEMI"),2,IF(OR(K2146="PRE",K2146="HEAT"),1,IF(V2146="YES",4,2))))</f>
        <v/>
      </c>
      <c r="M2146" s="33" t="inlineStr">
        <is>
          <t>LCM</t>
        </is>
      </c>
      <c r="N2146" s="33" t="n">
        <v>200</v>
      </c>
      <c r="O2146" s="33" t="inlineStr">
        <is>
          <t>Free</t>
        </is>
      </c>
      <c r="P2146" s="33" t="inlineStr">
        <is>
          <t>200 Free</t>
        </is>
      </c>
      <c r="Q2146" s="33" t="inlineStr">
        <is>
          <t>LCM_200_FREE</t>
        </is>
      </c>
      <c r="R2146" s="36" t="n">
        <v>115.04</v>
      </c>
      <c r="S2146" s="35">
        <f>IF(R2146="","",IF(R2146&gt;=60,INT(R2146/60)&amp;":"&amp;TEXT(MOD(R2146,60),"00.00"),TEXT(R2146,"0.00")))</f>
        <v/>
      </c>
      <c r="T2146" s="52">
        <f>IFERROR((G2146-INDEX('01_Swimmers'!$E$5:$E$22,MATCH(B2146,'01_Swimmers'!$A$5:$A$22,0)))/'00_Control'!$B$10,"")</f>
        <v/>
      </c>
      <c r="U2146" s="35">
        <f>IF(T2146="","",INT(T2146))</f>
        <v/>
      </c>
      <c r="V2146" s="33" t="inlineStr">
        <is>
          <t>YES</t>
        </is>
      </c>
      <c r="W2146" s="33" t="inlineStr">
        <is>
          <t>YES</t>
        </is>
      </c>
      <c r="X2146" s="33" t="inlineStr">
        <is>
          <t>NO</t>
        </is>
      </c>
      <c r="Y2146" s="33" t="n">
        <v>1</v>
      </c>
      <c r="Z2146" s="33" t="n">
        <v>5</v>
      </c>
      <c r="AA2146" s="33" t="inlineStr"/>
      <c r="AB2146" s="33" t="inlineStr">
        <is>
          <t>https://www.swimcloud.com/results/243188/event/34/?id=115607493#time115607493</t>
        </is>
      </c>
      <c r="AC2146" s="33" t="inlineStr">
        <is>
          <t>SwimCloud API v6 2026-10-08</t>
        </is>
      </c>
      <c r="AD2146" s="33" t="inlineStr">
        <is>
          <t>Luka Mijatovic|2023-07-27|LCM|200|Free|115.04|Far Westerns Championship|TIM|True</t>
        </is>
      </c>
      <c r="AE2146" s="53">
        <f>G2146+L2146/1000+ROW()/1000000000</f>
        <v/>
      </c>
      <c r="AF2146" s="35">
        <f>IF(C2146&lt;&gt;"Grayson Coulter","",COUNTIFS($C$5:$C$2991,"Grayson Coulter",$Q$5:$Q$2991,Q2146,$AE$5:$AE$2991,"&lt;="&amp;AE2146,$R$5:$R$2991,"&lt;"&amp;R2146))</f>
        <v/>
      </c>
      <c r="AG2146" s="35">
        <f>IF(OR(C2146&lt;&gt;"Grayson Coulter",G2146&lt;'00_Control'!$B$7),"",--(AF2146&lt;5))</f>
        <v/>
      </c>
      <c r="AH2146" s="35">
        <f>IF(OR(C2146&lt;&gt;"Grayson Coulter",G2146&lt;'00_Control'!$B$7),"",--(AF2146&lt;10))</f>
        <v/>
      </c>
      <c r="AI2146" s="35">
        <f>IF(AND(C2146="Grayson Coulter",G2146&gt;='00_Control'!$B$7),"YES","NO")</f>
        <v/>
      </c>
      <c r="AJ2146" s="33" t="inlineStr">
        <is>
          <t>OK</t>
        </is>
      </c>
    </row>
    <row r="2147">
      <c r="A2147" s="33" t="inlineStr">
        <is>
          <t>SM002143</t>
        </is>
      </c>
      <c r="B2147" s="33" t="inlineStr">
        <is>
          <t>SW003</t>
        </is>
      </c>
      <c r="C2147" s="33" t="inlineStr">
        <is>
          <t>Luka Mijatovic</t>
        </is>
      </c>
      <c r="D2147" s="33" t="inlineStr">
        <is>
          <t>SwimCloud</t>
        </is>
      </c>
      <c r="E2147" s="33" t="inlineStr">
        <is>
          <t>2415996</t>
        </is>
      </c>
      <c r="F2147" s="33" t="inlineStr">
        <is>
          <t>115605937</t>
        </is>
      </c>
      <c r="G2147" s="51" t="n">
        <v>45135</v>
      </c>
      <c r="H2147" s="33" t="inlineStr">
        <is>
          <t>Far Westerns Championship</t>
        </is>
      </c>
      <c r="I2147" s="33" t="inlineStr">
        <is>
          <t>243188</t>
        </is>
      </c>
      <c r="J2147" s="33" t="inlineStr"/>
      <c r="K2147" s="33" t="inlineStr">
        <is>
          <t>PRE</t>
        </is>
      </c>
      <c r="L2147" s="35">
        <f>IF(K2147="FIN",3,IF(OR(K2147="SEM",K2147="SEMI"),2,IF(OR(K2147="PRE",K2147="HEAT"),1,IF(V2147="YES",4,2))))</f>
        <v/>
      </c>
      <c r="M2147" s="33" t="inlineStr">
        <is>
          <t>LCM</t>
        </is>
      </c>
      <c r="N2147" s="33" t="n">
        <v>400</v>
      </c>
      <c r="O2147" s="33" t="inlineStr">
        <is>
          <t>Free</t>
        </is>
      </c>
      <c r="P2147" s="33" t="inlineStr">
        <is>
          <t>400 Free</t>
        </is>
      </c>
      <c r="Q2147" s="33" t="inlineStr">
        <is>
          <t>LCM_400_FREE</t>
        </is>
      </c>
      <c r="R2147" s="36" t="n">
        <v>249.69</v>
      </c>
      <c r="S2147" s="35">
        <f>IF(R2147="","",IF(R2147&gt;=60,INT(R2147/60)&amp;":"&amp;TEXT(MOD(R2147,60),"00.00"),TEXT(R2147,"0.00")))</f>
        <v/>
      </c>
      <c r="T2147" s="52">
        <f>IFERROR((G2147-INDEX('01_Swimmers'!$E$5:$E$22,MATCH(B2147,'01_Swimmers'!$A$5:$A$22,0)))/'00_Control'!$B$10,"")</f>
        <v/>
      </c>
      <c r="U2147" s="35">
        <f>IF(T2147="","",INT(T2147))</f>
        <v/>
      </c>
      <c r="V2147" s="33" t="inlineStr">
        <is>
          <t>NO</t>
        </is>
      </c>
      <c r="W2147" s="33" t="inlineStr">
        <is>
          <t>YES</t>
        </is>
      </c>
      <c r="X2147" s="33" t="inlineStr">
        <is>
          <t>NO</t>
        </is>
      </c>
      <c r="Y2147" s="33" t="n">
        <v>1</v>
      </c>
      <c r="Z2147" s="33" t="n">
        <v>5</v>
      </c>
      <c r="AA2147" s="33" t="inlineStr">
        <is>
          <t>1</t>
        </is>
      </c>
      <c r="AB2147" s="33" t="inlineStr">
        <is>
          <t>https://www.swimcloud.com/results/243188/event/60/?id=115605937#time115605937</t>
        </is>
      </c>
      <c r="AC2147" s="33" t="inlineStr">
        <is>
          <t>SwimCloud API v6 2026-10-08</t>
        </is>
      </c>
      <c r="AD2147" s="33" t="inlineStr">
        <is>
          <t>Luka Mijatovic|2023-07-28|LCM|400|Free|249.69|Far Westerns Championship|PRE|False</t>
        </is>
      </c>
      <c r="AE2147" s="53">
        <f>G2147+L2147/1000+ROW()/1000000000</f>
        <v/>
      </c>
      <c r="AF2147" s="35">
        <f>IF(C2147&lt;&gt;"Grayson Coulter","",COUNTIFS($C$5:$C$2991,"Grayson Coulter",$Q$5:$Q$2991,Q2147,$AE$5:$AE$2991,"&lt;="&amp;AE2147,$R$5:$R$2991,"&lt;"&amp;R2147))</f>
        <v/>
      </c>
      <c r="AG2147" s="35">
        <f>IF(OR(C2147&lt;&gt;"Grayson Coulter",G2147&lt;'00_Control'!$B$7),"",--(AF2147&lt;5))</f>
        <v/>
      </c>
      <c r="AH2147" s="35">
        <f>IF(OR(C2147&lt;&gt;"Grayson Coulter",G2147&lt;'00_Control'!$B$7),"",--(AF2147&lt;10))</f>
        <v/>
      </c>
      <c r="AI2147" s="35">
        <f>IF(AND(C2147="Grayson Coulter",G2147&gt;='00_Control'!$B$7),"YES","NO")</f>
        <v/>
      </c>
      <c r="AJ2147" s="33" t="inlineStr">
        <is>
          <t>OK</t>
        </is>
      </c>
    </row>
    <row r="2148">
      <c r="A2148" s="33" t="inlineStr">
        <is>
          <t>SM002144</t>
        </is>
      </c>
      <c r="B2148" s="33" t="inlineStr">
        <is>
          <t>SW003</t>
        </is>
      </c>
      <c r="C2148" s="33" t="inlineStr">
        <is>
          <t>Luka Mijatovic</t>
        </is>
      </c>
      <c r="D2148" s="33" t="inlineStr">
        <is>
          <t>SwimCloud</t>
        </is>
      </c>
      <c r="E2148" s="33" t="inlineStr">
        <is>
          <t>2415996</t>
        </is>
      </c>
      <c r="F2148" s="33" t="inlineStr">
        <is>
          <t>115605938</t>
        </is>
      </c>
      <c r="G2148" s="51" t="n">
        <v>45135</v>
      </c>
      <c r="H2148" s="33" t="inlineStr">
        <is>
          <t>Far Westerns Championship</t>
        </is>
      </c>
      <c r="I2148" s="33" t="inlineStr">
        <is>
          <t>243188</t>
        </is>
      </c>
      <c r="J2148" s="33" t="inlineStr"/>
      <c r="K2148" s="33" t="inlineStr">
        <is>
          <t>FIN</t>
        </is>
      </c>
      <c r="L2148" s="35">
        <f>IF(K2148="FIN",3,IF(OR(K2148="SEM",K2148="SEMI"),2,IF(OR(K2148="PRE",K2148="HEAT"),1,IF(V2148="YES",4,2))))</f>
        <v/>
      </c>
      <c r="M2148" s="33" t="inlineStr">
        <is>
          <t>LCM</t>
        </is>
      </c>
      <c r="N2148" s="33" t="n">
        <v>400</v>
      </c>
      <c r="O2148" s="33" t="inlineStr">
        <is>
          <t>Free</t>
        </is>
      </c>
      <c r="P2148" s="33" t="inlineStr">
        <is>
          <t>400 Free</t>
        </is>
      </c>
      <c r="Q2148" s="33" t="inlineStr">
        <is>
          <t>LCM_400_FREE</t>
        </is>
      </c>
      <c r="R2148" s="36" t="n">
        <v>234.67</v>
      </c>
      <c r="S2148" s="35">
        <f>IF(R2148="","",IF(R2148&gt;=60,INT(R2148/60)&amp;":"&amp;TEXT(MOD(R2148,60),"00.00"),TEXT(R2148,"0.00")))</f>
        <v/>
      </c>
      <c r="T2148" s="52">
        <f>IFERROR((G2148-INDEX('01_Swimmers'!$E$5:$E$22,MATCH(B2148,'01_Swimmers'!$A$5:$A$22,0)))/'00_Control'!$B$10,"")</f>
        <v/>
      </c>
      <c r="U2148" s="35">
        <f>IF(T2148="","",INT(T2148))</f>
        <v/>
      </c>
      <c r="V2148" s="33" t="inlineStr">
        <is>
          <t>NO</t>
        </is>
      </c>
      <c r="W2148" s="33" t="inlineStr">
        <is>
          <t>YES</t>
        </is>
      </c>
      <c r="X2148" s="33" t="inlineStr">
        <is>
          <t>NO</t>
        </is>
      </c>
      <c r="Y2148" s="33" t="n">
        <v>1</v>
      </c>
      <c r="Z2148" s="33" t="n">
        <v>5</v>
      </c>
      <c r="AA2148" s="33" t="inlineStr">
        <is>
          <t>1</t>
        </is>
      </c>
      <c r="AB2148" s="33" t="inlineStr">
        <is>
          <t>https://www.swimcloud.com/results/243188/event/60/?id=115605938#time115605938</t>
        </is>
      </c>
      <c r="AC2148" s="33" t="inlineStr">
        <is>
          <t>SwimCloud API v6 2026-10-08</t>
        </is>
      </c>
      <c r="AD2148" s="33" t="inlineStr">
        <is>
          <t>Luka Mijatovic|2023-07-28|LCM|400|Free|234.67|Far Westerns Championship|FIN|False</t>
        </is>
      </c>
      <c r="AE2148" s="53">
        <f>G2148+L2148/1000+ROW()/1000000000</f>
        <v/>
      </c>
      <c r="AF2148" s="35">
        <f>IF(C2148&lt;&gt;"Grayson Coulter","",COUNTIFS($C$5:$C$2991,"Grayson Coulter",$Q$5:$Q$2991,Q2148,$AE$5:$AE$2991,"&lt;="&amp;AE2148,$R$5:$R$2991,"&lt;"&amp;R2148))</f>
        <v/>
      </c>
      <c r="AG2148" s="35">
        <f>IF(OR(C2148&lt;&gt;"Grayson Coulter",G2148&lt;'00_Control'!$B$7),"",--(AF2148&lt;5))</f>
        <v/>
      </c>
      <c r="AH2148" s="35">
        <f>IF(OR(C2148&lt;&gt;"Grayson Coulter",G2148&lt;'00_Control'!$B$7),"",--(AF2148&lt;10))</f>
        <v/>
      </c>
      <c r="AI2148" s="35">
        <f>IF(AND(C2148="Grayson Coulter",G2148&gt;='00_Control'!$B$7),"YES","NO")</f>
        <v/>
      </c>
      <c r="AJ2148" s="33" t="inlineStr">
        <is>
          <t>OK</t>
        </is>
      </c>
    </row>
    <row r="2149">
      <c r="A2149" s="33" t="inlineStr">
        <is>
          <t>SM002145</t>
        </is>
      </c>
      <c r="B2149" s="33" t="inlineStr">
        <is>
          <t>SW003</t>
        </is>
      </c>
      <c r="C2149" s="33" t="inlineStr">
        <is>
          <t>Luka Mijatovic</t>
        </is>
      </c>
      <c r="D2149" s="33" t="inlineStr">
        <is>
          <t>SwimCloud</t>
        </is>
      </c>
      <c r="E2149" s="33" t="inlineStr">
        <is>
          <t>2415996</t>
        </is>
      </c>
      <c r="F2149" s="33" t="inlineStr">
        <is>
          <t>105115931</t>
        </is>
      </c>
      <c r="G2149" s="51" t="n">
        <v>45140</v>
      </c>
      <c r="H2149" s="33" t="inlineStr">
        <is>
          <t>Speedo Junior National Championships</t>
        </is>
      </c>
      <c r="I2149" s="33" t="inlineStr">
        <is>
          <t>234780</t>
        </is>
      </c>
      <c r="J2149" s="33" t="inlineStr"/>
      <c r="K2149" s="33" t="inlineStr">
        <is>
          <t>PRE</t>
        </is>
      </c>
      <c r="L2149" s="35">
        <f>IF(K2149="FIN",3,IF(OR(K2149="SEM",K2149="SEMI"),2,IF(OR(K2149="PRE",K2149="HEAT"),1,IF(V2149="YES",4,2))))</f>
        <v/>
      </c>
      <c r="M2149" s="33" t="inlineStr">
        <is>
          <t>LCM</t>
        </is>
      </c>
      <c r="N2149" s="33" t="n">
        <v>400</v>
      </c>
      <c r="O2149" s="33" t="inlineStr">
        <is>
          <t>Free</t>
        </is>
      </c>
      <c r="P2149" s="33" t="inlineStr">
        <is>
          <t>400 Free</t>
        </is>
      </c>
      <c r="Q2149" s="33" t="inlineStr">
        <is>
          <t>LCM_400_FREE</t>
        </is>
      </c>
      <c r="R2149" s="36" t="n">
        <v>234.16</v>
      </c>
      <c r="S2149" s="35">
        <f>IF(R2149="","",IF(R2149&gt;=60,INT(R2149/60)&amp;":"&amp;TEXT(MOD(R2149,60),"00.00"),TEXT(R2149,"0.00")))</f>
        <v/>
      </c>
      <c r="T2149" s="52">
        <f>IFERROR((G2149-INDEX('01_Swimmers'!$E$5:$E$22,MATCH(B2149,'01_Swimmers'!$A$5:$A$22,0)))/'00_Control'!$B$10,"")</f>
        <v/>
      </c>
      <c r="U2149" s="35">
        <f>IF(T2149="","",INT(T2149))</f>
        <v/>
      </c>
      <c r="V2149" s="33" t="inlineStr">
        <is>
          <t>NO</t>
        </is>
      </c>
      <c r="W2149" s="33" t="inlineStr">
        <is>
          <t>YES</t>
        </is>
      </c>
      <c r="X2149" s="33" t="inlineStr">
        <is>
          <t>NO</t>
        </is>
      </c>
      <c r="Y2149" s="33" t="n">
        <v>5</v>
      </c>
      <c r="Z2149" s="33" t="n">
        <v>3</v>
      </c>
      <c r="AA2149" s="33" t="inlineStr">
        <is>
          <t>2</t>
        </is>
      </c>
      <c r="AB2149" s="33" t="inlineStr">
        <is>
          <t>https://www.swimcloud.com/results/234780/event/16/?id=105115931#time105115931</t>
        </is>
      </c>
      <c r="AC2149" s="33" t="inlineStr">
        <is>
          <t>SwimCloud API v6 2026-10-08</t>
        </is>
      </c>
      <c r="AD2149" s="33" t="inlineStr">
        <is>
          <t>Luka Mijatovic|2023-08-02|LCM|400|Free|234.16|Speedo Junior National Championships|PRE|False</t>
        </is>
      </c>
      <c r="AE2149" s="53">
        <f>G2149+L2149/1000+ROW()/1000000000</f>
        <v/>
      </c>
      <c r="AF2149" s="35">
        <f>IF(C2149&lt;&gt;"Grayson Coulter","",COUNTIFS($C$5:$C$2991,"Grayson Coulter",$Q$5:$Q$2991,Q2149,$AE$5:$AE$2991,"&lt;="&amp;AE2149,$R$5:$R$2991,"&lt;"&amp;R2149))</f>
        <v/>
      </c>
      <c r="AG2149" s="35">
        <f>IF(OR(C2149&lt;&gt;"Grayson Coulter",G2149&lt;'00_Control'!$B$7),"",--(AF2149&lt;5))</f>
        <v/>
      </c>
      <c r="AH2149" s="35">
        <f>IF(OR(C2149&lt;&gt;"Grayson Coulter",G2149&lt;'00_Control'!$B$7),"",--(AF2149&lt;10))</f>
        <v/>
      </c>
      <c r="AI2149" s="35">
        <f>IF(AND(C2149="Grayson Coulter",G2149&gt;='00_Control'!$B$7),"YES","NO")</f>
        <v/>
      </c>
      <c r="AJ2149" s="33" t="inlineStr">
        <is>
          <t>OK</t>
        </is>
      </c>
    </row>
    <row r="2150">
      <c r="A2150" s="33" t="inlineStr">
        <is>
          <t>SM002146</t>
        </is>
      </c>
      <c r="B2150" s="33" t="inlineStr">
        <is>
          <t>SW003</t>
        </is>
      </c>
      <c r="C2150" s="33" t="inlineStr">
        <is>
          <t>Luka Mijatovic</t>
        </is>
      </c>
      <c r="D2150" s="33" t="inlineStr">
        <is>
          <t>SwimCloud</t>
        </is>
      </c>
      <c r="E2150" s="33" t="inlineStr">
        <is>
          <t>2415996</t>
        </is>
      </c>
      <c r="F2150" s="33" t="inlineStr">
        <is>
          <t>105115932</t>
        </is>
      </c>
      <c r="G2150" s="51" t="n">
        <v>45140</v>
      </c>
      <c r="H2150" s="33" t="inlineStr">
        <is>
          <t>Speedo Junior National Championships</t>
        </is>
      </c>
      <c r="I2150" s="33" t="inlineStr">
        <is>
          <t>234780</t>
        </is>
      </c>
      <c r="J2150" s="33" t="inlineStr"/>
      <c r="K2150" s="33" t="inlineStr">
        <is>
          <t>FIN</t>
        </is>
      </c>
      <c r="L2150" s="35">
        <f>IF(K2150="FIN",3,IF(OR(K2150="SEM",K2150="SEMI"),2,IF(OR(K2150="PRE",K2150="HEAT"),1,IF(V2150="YES",4,2))))</f>
        <v/>
      </c>
      <c r="M2150" s="33" t="inlineStr">
        <is>
          <t>LCM</t>
        </is>
      </c>
      <c r="N2150" s="33" t="n">
        <v>400</v>
      </c>
      <c r="O2150" s="33" t="inlineStr">
        <is>
          <t>Free</t>
        </is>
      </c>
      <c r="P2150" s="33" t="inlineStr">
        <is>
          <t>400 Free</t>
        </is>
      </c>
      <c r="Q2150" s="33" t="inlineStr">
        <is>
          <t>LCM_400_FREE</t>
        </is>
      </c>
      <c r="R2150" s="36" t="n">
        <v>232.01</v>
      </c>
      <c r="S2150" s="35">
        <f>IF(R2150="","",IF(R2150&gt;=60,INT(R2150/60)&amp;":"&amp;TEXT(MOD(R2150,60),"00.00"),TEXT(R2150,"0.00")))</f>
        <v/>
      </c>
      <c r="T2150" s="52">
        <f>IFERROR((G2150-INDEX('01_Swimmers'!$E$5:$E$22,MATCH(B2150,'01_Swimmers'!$A$5:$A$22,0)))/'00_Control'!$B$10,"")</f>
        <v/>
      </c>
      <c r="U2150" s="35">
        <f>IF(T2150="","",INT(T2150))</f>
        <v/>
      </c>
      <c r="V2150" s="33" t="inlineStr">
        <is>
          <t>NO</t>
        </is>
      </c>
      <c r="W2150" s="33" t="inlineStr">
        <is>
          <t>YES</t>
        </is>
      </c>
      <c r="X2150" s="33" t="inlineStr">
        <is>
          <t>NO</t>
        </is>
      </c>
      <c r="Y2150" s="33" t="n">
        <v>3</v>
      </c>
      <c r="Z2150" s="33" t="n">
        <v>5</v>
      </c>
      <c r="AA2150" s="33" t="inlineStr">
        <is>
          <t>3</t>
        </is>
      </c>
      <c r="AB2150" s="33" t="inlineStr">
        <is>
          <t>https://www.swimcloud.com/results/234780/event/16/?id=105115932#time105115932</t>
        </is>
      </c>
      <c r="AC2150" s="33" t="inlineStr">
        <is>
          <t>SwimCloud API v6 2026-10-08</t>
        </is>
      </c>
      <c r="AD2150" s="33" t="inlineStr">
        <is>
          <t>Luka Mijatovic|2023-08-02|LCM|400|Free|232.01|Speedo Junior National Championships|FIN|False</t>
        </is>
      </c>
      <c r="AE2150" s="53">
        <f>G2150+L2150/1000+ROW()/1000000000</f>
        <v/>
      </c>
      <c r="AF2150" s="35">
        <f>IF(C2150&lt;&gt;"Grayson Coulter","",COUNTIFS($C$5:$C$2991,"Grayson Coulter",$Q$5:$Q$2991,Q2150,$AE$5:$AE$2991,"&lt;="&amp;AE2150,$R$5:$R$2991,"&lt;"&amp;R2150))</f>
        <v/>
      </c>
      <c r="AG2150" s="35">
        <f>IF(OR(C2150&lt;&gt;"Grayson Coulter",G2150&lt;'00_Control'!$B$7),"",--(AF2150&lt;5))</f>
        <v/>
      </c>
      <c r="AH2150" s="35">
        <f>IF(OR(C2150&lt;&gt;"Grayson Coulter",G2150&lt;'00_Control'!$B$7),"",--(AF2150&lt;10))</f>
        <v/>
      </c>
      <c r="AI2150" s="35">
        <f>IF(AND(C2150="Grayson Coulter",G2150&gt;='00_Control'!$B$7),"YES","NO")</f>
        <v/>
      </c>
      <c r="AJ2150" s="33" t="inlineStr">
        <is>
          <t>OK</t>
        </is>
      </c>
    </row>
    <row r="2151">
      <c r="A2151" s="33" t="inlineStr">
        <is>
          <t>SM002147</t>
        </is>
      </c>
      <c r="B2151" s="33" t="inlineStr">
        <is>
          <t>SW003</t>
        </is>
      </c>
      <c r="C2151" s="33" t="inlineStr">
        <is>
          <t>Luka Mijatovic</t>
        </is>
      </c>
      <c r="D2151" s="33" t="inlineStr">
        <is>
          <t>SwimCloud</t>
        </is>
      </c>
      <c r="E2151" s="33" t="inlineStr">
        <is>
          <t>2415996</t>
        </is>
      </c>
      <c r="F2151" s="33" t="inlineStr">
        <is>
          <t>105115806</t>
        </is>
      </c>
      <c r="G2151" s="51" t="n">
        <v>45141</v>
      </c>
      <c r="H2151" s="33" t="inlineStr">
        <is>
          <t>Speedo Junior National Championships</t>
        </is>
      </c>
      <c r="I2151" s="33" t="inlineStr">
        <is>
          <t>234780</t>
        </is>
      </c>
      <c r="J2151" s="33" t="inlineStr"/>
      <c r="K2151" s="33" t="inlineStr">
        <is>
          <t>PRE</t>
        </is>
      </c>
      <c r="L2151" s="35">
        <f>IF(K2151="FIN",3,IF(OR(K2151="SEM",K2151="SEMI"),2,IF(OR(K2151="PRE",K2151="HEAT"),1,IF(V2151="YES",4,2))))</f>
        <v/>
      </c>
      <c r="M2151" s="33" t="inlineStr">
        <is>
          <t>LCM</t>
        </is>
      </c>
      <c r="N2151" s="33" t="n">
        <v>200</v>
      </c>
      <c r="O2151" s="33" t="inlineStr">
        <is>
          <t>Free</t>
        </is>
      </c>
      <c r="P2151" s="33" t="inlineStr">
        <is>
          <t>200 Free</t>
        </is>
      </c>
      <c r="Q2151" s="33" t="inlineStr">
        <is>
          <t>LCM_200_FREE</t>
        </is>
      </c>
      <c r="R2151" s="36" t="n">
        <v>111.66</v>
      </c>
      <c r="S2151" s="35">
        <f>IF(R2151="","",IF(R2151&gt;=60,INT(R2151/60)&amp;":"&amp;TEXT(MOD(R2151,60),"00.00"),TEXT(R2151,"0.00")))</f>
        <v/>
      </c>
      <c r="T2151" s="52">
        <f>IFERROR((G2151-INDEX('01_Swimmers'!$E$5:$E$22,MATCH(B2151,'01_Swimmers'!$A$5:$A$22,0)))/'00_Control'!$B$10,"")</f>
        <v/>
      </c>
      <c r="U2151" s="35">
        <f>IF(T2151="","",INT(T2151))</f>
        <v/>
      </c>
      <c r="V2151" s="33" t="inlineStr">
        <is>
          <t>NO</t>
        </is>
      </c>
      <c r="W2151" s="33" t="inlineStr">
        <is>
          <t>YES</t>
        </is>
      </c>
      <c r="X2151" s="33" t="inlineStr">
        <is>
          <t>NO</t>
        </is>
      </c>
      <c r="Y2151" s="33" t="n">
        <v>18</v>
      </c>
      <c r="Z2151" s="33" t="n">
        <v>3</v>
      </c>
      <c r="AA2151" s="33" t="inlineStr">
        <is>
          <t>11</t>
        </is>
      </c>
      <c r="AB2151" s="33" t="inlineStr">
        <is>
          <t>https://www.swimcloud.com/results/234780/event/24/?id=105115806#time105115806</t>
        </is>
      </c>
      <c r="AC2151" s="33" t="inlineStr">
        <is>
          <t>SwimCloud API v6 2026-10-08</t>
        </is>
      </c>
      <c r="AD2151" s="33" t="inlineStr">
        <is>
          <t>Luka Mijatovic|2023-08-03|LCM|200|Free|111.66|Speedo Junior National Championships|PRE|False</t>
        </is>
      </c>
      <c r="AE2151" s="53">
        <f>G2151+L2151/1000+ROW()/1000000000</f>
        <v/>
      </c>
      <c r="AF2151" s="35">
        <f>IF(C2151&lt;&gt;"Grayson Coulter","",COUNTIFS($C$5:$C$2991,"Grayson Coulter",$Q$5:$Q$2991,Q2151,$AE$5:$AE$2991,"&lt;="&amp;AE2151,$R$5:$R$2991,"&lt;"&amp;R2151))</f>
        <v/>
      </c>
      <c r="AG2151" s="35">
        <f>IF(OR(C2151&lt;&gt;"Grayson Coulter",G2151&lt;'00_Control'!$B$7),"",--(AF2151&lt;5))</f>
        <v/>
      </c>
      <c r="AH2151" s="35">
        <f>IF(OR(C2151&lt;&gt;"Grayson Coulter",G2151&lt;'00_Control'!$B$7),"",--(AF2151&lt;10))</f>
        <v/>
      </c>
      <c r="AI2151" s="35">
        <f>IF(AND(C2151="Grayson Coulter",G2151&gt;='00_Control'!$B$7),"YES","NO")</f>
        <v/>
      </c>
      <c r="AJ2151" s="33" t="inlineStr">
        <is>
          <t>OK</t>
        </is>
      </c>
    </row>
    <row r="2152">
      <c r="A2152" s="33" t="inlineStr">
        <is>
          <t>SM002148</t>
        </is>
      </c>
      <c r="B2152" s="33" t="inlineStr">
        <is>
          <t>SW003</t>
        </is>
      </c>
      <c r="C2152" s="33" t="inlineStr">
        <is>
          <t>Luka Mijatovic</t>
        </is>
      </c>
      <c r="D2152" s="33" t="inlineStr">
        <is>
          <t>SwimCloud</t>
        </is>
      </c>
      <c r="E2152" s="33" t="inlineStr">
        <is>
          <t>2415996</t>
        </is>
      </c>
      <c r="F2152" s="33" t="inlineStr">
        <is>
          <t>105115807</t>
        </is>
      </c>
      <c r="G2152" s="51" t="n">
        <v>45141</v>
      </c>
      <c r="H2152" s="33" t="inlineStr">
        <is>
          <t>Speedo Junior National Championships</t>
        </is>
      </c>
      <c r="I2152" s="33" t="inlineStr">
        <is>
          <t>234780</t>
        </is>
      </c>
      <c r="J2152" s="33" t="inlineStr"/>
      <c r="K2152" s="33" t="inlineStr">
        <is>
          <t>FIN</t>
        </is>
      </c>
      <c r="L2152" s="35">
        <f>IF(K2152="FIN",3,IF(OR(K2152="SEM",K2152="SEMI"),2,IF(OR(K2152="PRE",K2152="HEAT"),1,IF(V2152="YES",4,2))))</f>
        <v/>
      </c>
      <c r="M2152" s="33" t="inlineStr">
        <is>
          <t>LCM</t>
        </is>
      </c>
      <c r="N2152" s="33" t="n">
        <v>200</v>
      </c>
      <c r="O2152" s="33" t="inlineStr">
        <is>
          <t>Free</t>
        </is>
      </c>
      <c r="P2152" s="33" t="inlineStr">
        <is>
          <t>200 Free</t>
        </is>
      </c>
      <c r="Q2152" s="33" t="inlineStr">
        <is>
          <t>LCM_200_FREE</t>
        </is>
      </c>
      <c r="R2152" s="36" t="n">
        <v>110.4</v>
      </c>
      <c r="S2152" s="35">
        <f>IF(R2152="","",IF(R2152&gt;=60,INT(R2152/60)&amp;":"&amp;TEXT(MOD(R2152,60),"00.00"),TEXT(R2152,"0.00")))</f>
        <v/>
      </c>
      <c r="T2152" s="52">
        <f>IFERROR((G2152-INDEX('01_Swimmers'!$E$5:$E$22,MATCH(B2152,'01_Swimmers'!$A$5:$A$22,0)))/'00_Control'!$B$10,"")</f>
        <v/>
      </c>
      <c r="U2152" s="35">
        <f>IF(T2152="","",INT(T2152))</f>
        <v/>
      </c>
      <c r="V2152" s="33" t="inlineStr">
        <is>
          <t>NO</t>
        </is>
      </c>
      <c r="W2152" s="33" t="inlineStr">
        <is>
          <t>YES</t>
        </is>
      </c>
      <c r="X2152" s="33" t="inlineStr">
        <is>
          <t>NO</t>
        </is>
      </c>
      <c r="Y2152" s="33" t="n">
        <v>2</v>
      </c>
      <c r="Z2152" s="33" t="n">
        <v>3</v>
      </c>
      <c r="AA2152" s="33" t="inlineStr">
        <is>
          <t>9</t>
        </is>
      </c>
      <c r="AB2152" s="33" t="inlineStr">
        <is>
          <t>https://www.swimcloud.com/results/234780/event/24/?id=105115807#time105115807</t>
        </is>
      </c>
      <c r="AC2152" s="33" t="inlineStr">
        <is>
          <t>SwimCloud API v6 2026-10-08</t>
        </is>
      </c>
      <c r="AD2152" s="33" t="inlineStr">
        <is>
          <t>Luka Mijatovic|2023-08-03|LCM|200|Free|110.4|Speedo Junior National Championships|FIN|False</t>
        </is>
      </c>
      <c r="AE2152" s="53">
        <f>G2152+L2152/1000+ROW()/1000000000</f>
        <v/>
      </c>
      <c r="AF2152" s="35">
        <f>IF(C2152&lt;&gt;"Grayson Coulter","",COUNTIFS($C$5:$C$2991,"Grayson Coulter",$Q$5:$Q$2991,Q2152,$AE$5:$AE$2991,"&lt;="&amp;AE2152,$R$5:$R$2991,"&lt;"&amp;R2152))</f>
        <v/>
      </c>
      <c r="AG2152" s="35">
        <f>IF(OR(C2152&lt;&gt;"Grayson Coulter",G2152&lt;'00_Control'!$B$7),"",--(AF2152&lt;5))</f>
        <v/>
      </c>
      <c r="AH2152" s="35">
        <f>IF(OR(C2152&lt;&gt;"Grayson Coulter",G2152&lt;'00_Control'!$B$7),"",--(AF2152&lt;10))</f>
        <v/>
      </c>
      <c r="AI2152" s="35">
        <f>IF(AND(C2152="Grayson Coulter",G2152&gt;='00_Control'!$B$7),"YES","NO")</f>
        <v/>
      </c>
      <c r="AJ2152" s="33" t="inlineStr">
        <is>
          <t>OK</t>
        </is>
      </c>
    </row>
    <row r="2153">
      <c r="A2153" s="33" t="inlineStr">
        <is>
          <t>SM002149</t>
        </is>
      </c>
      <c r="B2153" s="33" t="inlineStr">
        <is>
          <t>SW003</t>
        </is>
      </c>
      <c r="C2153" s="33" t="inlineStr">
        <is>
          <t>Luka Mijatovic</t>
        </is>
      </c>
      <c r="D2153" s="33" t="inlineStr">
        <is>
          <t>SwimCloud</t>
        </is>
      </c>
      <c r="E2153" s="33" t="inlineStr">
        <is>
          <t>2415996</t>
        </is>
      </c>
      <c r="F2153" s="33" t="inlineStr">
        <is>
          <t>111674844</t>
        </is>
      </c>
      <c r="G2153" s="51" t="n">
        <v>45260</v>
      </c>
      <c r="H2153" s="33" t="inlineStr">
        <is>
          <t>Toyota US Open Championships</t>
        </is>
      </c>
      <c r="I2153" s="33" t="inlineStr">
        <is>
          <t>275534</t>
        </is>
      </c>
      <c r="J2153" s="33" t="inlineStr"/>
      <c r="K2153" s="33" t="inlineStr">
        <is>
          <t>PRE</t>
        </is>
      </c>
      <c r="L2153" s="35">
        <f>IF(K2153="FIN",3,IF(OR(K2153="SEM",K2153="SEMI"),2,IF(OR(K2153="PRE",K2153="HEAT"),1,IF(V2153="YES",4,2))))</f>
        <v/>
      </c>
      <c r="M2153" s="33" t="inlineStr">
        <is>
          <t>LCM</t>
        </is>
      </c>
      <c r="N2153" s="33" t="n">
        <v>400</v>
      </c>
      <c r="O2153" s="33" t="inlineStr">
        <is>
          <t>Free</t>
        </is>
      </c>
      <c r="P2153" s="33" t="inlineStr">
        <is>
          <t>400 Free</t>
        </is>
      </c>
      <c r="Q2153" s="33" t="inlineStr">
        <is>
          <t>LCM_400_FREE</t>
        </is>
      </c>
      <c r="R2153" s="36" t="n">
        <v>234</v>
      </c>
      <c r="S2153" s="35">
        <f>IF(R2153="","",IF(R2153&gt;=60,INT(R2153/60)&amp;":"&amp;TEXT(MOD(R2153,60),"00.00"),TEXT(R2153,"0.00")))</f>
        <v/>
      </c>
      <c r="T2153" s="52">
        <f>IFERROR((G2153-INDEX('01_Swimmers'!$E$5:$E$22,MATCH(B2153,'01_Swimmers'!$A$5:$A$22,0)))/'00_Control'!$B$10,"")</f>
        <v/>
      </c>
      <c r="U2153" s="35">
        <f>IF(T2153="","",INT(T2153))</f>
        <v/>
      </c>
      <c r="V2153" s="33" t="inlineStr">
        <is>
          <t>NO</t>
        </is>
      </c>
      <c r="W2153" s="33" t="inlineStr">
        <is>
          <t>YES</t>
        </is>
      </c>
      <c r="X2153" s="33" t="inlineStr">
        <is>
          <t>NO</t>
        </is>
      </c>
      <c r="Y2153" s="33" t="n">
        <v>6</v>
      </c>
      <c r="Z2153" s="33" t="n">
        <v>4</v>
      </c>
      <c r="AA2153" s="33" t="inlineStr">
        <is>
          <t>13</t>
        </is>
      </c>
      <c r="AB2153" s="33" t="inlineStr">
        <is>
          <t>https://www.swimcloud.com/results/275534/event/4/?id=111674844#time111674844</t>
        </is>
      </c>
      <c r="AC2153" s="33" t="inlineStr">
        <is>
          <t>SwimCloud API v6 2026-10-08</t>
        </is>
      </c>
      <c r="AD2153" s="33" t="inlineStr">
        <is>
          <t>Luka Mijatovic|2023-11-30|LCM|400|Free|234.0|Toyota US Open Championships|PRE|False</t>
        </is>
      </c>
      <c r="AE2153" s="53">
        <f>G2153+L2153/1000+ROW()/1000000000</f>
        <v/>
      </c>
      <c r="AF2153" s="35">
        <f>IF(C2153&lt;&gt;"Grayson Coulter","",COUNTIFS($C$5:$C$2991,"Grayson Coulter",$Q$5:$Q$2991,Q2153,$AE$5:$AE$2991,"&lt;="&amp;AE2153,$R$5:$R$2991,"&lt;"&amp;R2153))</f>
        <v/>
      </c>
      <c r="AG2153" s="35">
        <f>IF(OR(C2153&lt;&gt;"Grayson Coulter",G2153&lt;'00_Control'!$B$7),"",--(AF2153&lt;5))</f>
        <v/>
      </c>
      <c r="AH2153" s="35">
        <f>IF(OR(C2153&lt;&gt;"Grayson Coulter",G2153&lt;'00_Control'!$B$7),"",--(AF2153&lt;10))</f>
        <v/>
      </c>
      <c r="AI2153" s="35">
        <f>IF(AND(C2153="Grayson Coulter",G2153&gt;='00_Control'!$B$7),"YES","NO")</f>
        <v/>
      </c>
      <c r="AJ2153" s="33" t="inlineStr">
        <is>
          <t>OK</t>
        </is>
      </c>
    </row>
    <row r="2154">
      <c r="A2154" s="33" t="inlineStr">
        <is>
          <t>SM002150</t>
        </is>
      </c>
      <c r="B2154" s="33" t="inlineStr">
        <is>
          <t>SW003</t>
        </is>
      </c>
      <c r="C2154" s="33" t="inlineStr">
        <is>
          <t>Luka Mijatovic</t>
        </is>
      </c>
      <c r="D2154" s="33" t="inlineStr">
        <is>
          <t>SwimCloud</t>
        </is>
      </c>
      <c r="E2154" s="33" t="inlineStr">
        <is>
          <t>2415996</t>
        </is>
      </c>
      <c r="F2154" s="33" t="inlineStr">
        <is>
          <t>111674843</t>
        </is>
      </c>
      <c r="G2154" s="51" t="n">
        <v>45260</v>
      </c>
      <c r="H2154" s="33" t="inlineStr">
        <is>
          <t>Toyota US Open Championships</t>
        </is>
      </c>
      <c r="I2154" s="33" t="inlineStr">
        <is>
          <t>275534</t>
        </is>
      </c>
      <c r="J2154" s="33" t="inlineStr"/>
      <c r="K2154" s="33" t="inlineStr">
        <is>
          <t>FIN</t>
        </is>
      </c>
      <c r="L2154" s="35">
        <f>IF(K2154="FIN",3,IF(OR(K2154="SEM",K2154="SEMI"),2,IF(OR(K2154="PRE",K2154="HEAT"),1,IF(V2154="YES",4,2))))</f>
        <v/>
      </c>
      <c r="M2154" s="33" t="inlineStr">
        <is>
          <t>LCM</t>
        </is>
      </c>
      <c r="N2154" s="33" t="n">
        <v>400</v>
      </c>
      <c r="O2154" s="33" t="inlineStr">
        <is>
          <t>Free</t>
        </is>
      </c>
      <c r="P2154" s="33" t="inlineStr">
        <is>
          <t>400 Free</t>
        </is>
      </c>
      <c r="Q2154" s="33" t="inlineStr">
        <is>
          <t>LCM_400_FREE</t>
        </is>
      </c>
      <c r="R2154" s="36" t="n">
        <v>233.37</v>
      </c>
      <c r="S2154" s="35">
        <f>IF(R2154="","",IF(R2154&gt;=60,INT(R2154/60)&amp;":"&amp;TEXT(MOD(R2154,60),"00.00"),TEXT(R2154,"0.00")))</f>
        <v/>
      </c>
      <c r="T2154" s="52">
        <f>IFERROR((G2154-INDEX('01_Swimmers'!$E$5:$E$22,MATCH(B2154,'01_Swimmers'!$A$5:$A$22,0)))/'00_Control'!$B$10,"")</f>
        <v/>
      </c>
      <c r="U2154" s="35">
        <f>IF(T2154="","",INT(T2154))</f>
        <v/>
      </c>
      <c r="V2154" s="33" t="inlineStr">
        <is>
          <t>NO</t>
        </is>
      </c>
      <c r="W2154" s="33" t="inlineStr">
        <is>
          <t>YES</t>
        </is>
      </c>
      <c r="X2154" s="33" t="inlineStr">
        <is>
          <t>NO</t>
        </is>
      </c>
      <c r="Y2154" s="33" t="n">
        <v>2</v>
      </c>
      <c r="Z2154" s="33" t="n">
        <v>2</v>
      </c>
      <c r="AA2154" s="33" t="inlineStr">
        <is>
          <t>12</t>
        </is>
      </c>
      <c r="AB2154" s="33" t="inlineStr">
        <is>
          <t>https://www.swimcloud.com/results/275534/event/4/?id=111674843#time111674843</t>
        </is>
      </c>
      <c r="AC2154" s="33" t="inlineStr">
        <is>
          <t>SwimCloud API v6 2026-10-08</t>
        </is>
      </c>
      <c r="AD2154" s="33" t="inlineStr">
        <is>
          <t>Luka Mijatovic|2023-11-30|LCM|400|Free|233.37|Toyota US Open Championships|FIN|False</t>
        </is>
      </c>
      <c r="AE2154" s="53">
        <f>G2154+L2154/1000+ROW()/1000000000</f>
        <v/>
      </c>
      <c r="AF2154" s="35">
        <f>IF(C2154&lt;&gt;"Grayson Coulter","",COUNTIFS($C$5:$C$2991,"Grayson Coulter",$Q$5:$Q$2991,Q2154,$AE$5:$AE$2991,"&lt;="&amp;AE2154,$R$5:$R$2991,"&lt;"&amp;R2154))</f>
        <v/>
      </c>
      <c r="AG2154" s="35">
        <f>IF(OR(C2154&lt;&gt;"Grayson Coulter",G2154&lt;'00_Control'!$B$7),"",--(AF2154&lt;5))</f>
        <v/>
      </c>
      <c r="AH2154" s="35">
        <f>IF(OR(C2154&lt;&gt;"Grayson Coulter",G2154&lt;'00_Control'!$B$7),"",--(AF2154&lt;10))</f>
        <v/>
      </c>
      <c r="AI2154" s="35">
        <f>IF(AND(C2154="Grayson Coulter",G2154&gt;='00_Control'!$B$7),"YES","NO")</f>
        <v/>
      </c>
      <c r="AJ2154" s="33" t="inlineStr">
        <is>
          <t>OK</t>
        </is>
      </c>
    </row>
    <row r="2155">
      <c r="A2155" s="33" t="inlineStr">
        <is>
          <t>SM002151</t>
        </is>
      </c>
      <c r="B2155" s="33" t="inlineStr">
        <is>
          <t>SW003</t>
        </is>
      </c>
      <c r="C2155" s="33" t="inlineStr">
        <is>
          <t>Luka Mijatovic</t>
        </is>
      </c>
      <c r="D2155" s="33" t="inlineStr">
        <is>
          <t>SwimCloud</t>
        </is>
      </c>
      <c r="E2155" s="33" t="inlineStr">
        <is>
          <t>2415996</t>
        </is>
      </c>
      <c r="F2155" s="33" t="inlineStr">
        <is>
          <t>111674842</t>
        </is>
      </c>
      <c r="G2155" s="51" t="n">
        <v>45261</v>
      </c>
      <c r="H2155" s="33" t="inlineStr">
        <is>
          <t>Toyota US Open Championships</t>
        </is>
      </c>
      <c r="I2155" s="33" t="inlineStr">
        <is>
          <t>275534</t>
        </is>
      </c>
      <c r="J2155" s="33" t="inlineStr"/>
      <c r="K2155" s="33" t="inlineStr">
        <is>
          <t>PRE</t>
        </is>
      </c>
      <c r="L2155" s="35">
        <f>IF(K2155="FIN",3,IF(OR(K2155="SEM",K2155="SEMI"),2,IF(OR(K2155="PRE",K2155="HEAT"),1,IF(V2155="YES",4,2))))</f>
        <v/>
      </c>
      <c r="M2155" s="33" t="inlineStr">
        <is>
          <t>LCM</t>
        </is>
      </c>
      <c r="N2155" s="33" t="n">
        <v>200</v>
      </c>
      <c r="O2155" s="33" t="inlineStr">
        <is>
          <t>Free</t>
        </is>
      </c>
      <c r="P2155" s="33" t="inlineStr">
        <is>
          <t>200 Free</t>
        </is>
      </c>
      <c r="Q2155" s="33" t="inlineStr">
        <is>
          <t>LCM_200_FREE</t>
        </is>
      </c>
      <c r="R2155" s="36" t="n">
        <v>112.36</v>
      </c>
      <c r="S2155" s="35">
        <f>IF(R2155="","",IF(R2155&gt;=60,INT(R2155/60)&amp;":"&amp;TEXT(MOD(R2155,60),"00.00"),TEXT(R2155,"0.00")))</f>
        <v/>
      </c>
      <c r="T2155" s="52">
        <f>IFERROR((G2155-INDEX('01_Swimmers'!$E$5:$E$22,MATCH(B2155,'01_Swimmers'!$A$5:$A$22,0)))/'00_Control'!$B$10,"")</f>
        <v/>
      </c>
      <c r="U2155" s="35">
        <f>IF(T2155="","",INT(T2155))</f>
        <v/>
      </c>
      <c r="V2155" s="33" t="inlineStr">
        <is>
          <t>NO</t>
        </is>
      </c>
      <c r="W2155" s="33" t="inlineStr">
        <is>
          <t>YES</t>
        </is>
      </c>
      <c r="X2155" s="33" t="inlineStr">
        <is>
          <t>NO</t>
        </is>
      </c>
      <c r="Y2155" s="33" t="n">
        <v>1</v>
      </c>
      <c r="Z2155" s="33" t="n">
        <v>3</v>
      </c>
      <c r="AA2155" s="33" t="inlineStr">
        <is>
          <t>54</t>
        </is>
      </c>
      <c r="AB2155" s="33" t="inlineStr">
        <is>
          <t>https://www.swimcloud.com/results/275534/event/14/?id=111674842#time111674842</t>
        </is>
      </c>
      <c r="AC2155" s="33" t="inlineStr">
        <is>
          <t>SwimCloud API v6 2026-10-08</t>
        </is>
      </c>
      <c r="AD2155" s="33" t="inlineStr">
        <is>
          <t>Luka Mijatovic|2023-12-01|LCM|200|Free|112.36|Toyota US Open Championships|PRE|False</t>
        </is>
      </c>
      <c r="AE2155" s="53">
        <f>G2155+L2155/1000+ROW()/1000000000</f>
        <v/>
      </c>
      <c r="AF2155" s="35">
        <f>IF(C2155&lt;&gt;"Grayson Coulter","",COUNTIFS($C$5:$C$2991,"Grayson Coulter",$Q$5:$Q$2991,Q2155,$AE$5:$AE$2991,"&lt;="&amp;AE2155,$R$5:$R$2991,"&lt;"&amp;R2155))</f>
        <v/>
      </c>
      <c r="AG2155" s="35">
        <f>IF(OR(C2155&lt;&gt;"Grayson Coulter",G2155&lt;'00_Control'!$B$7),"",--(AF2155&lt;5))</f>
        <v/>
      </c>
      <c r="AH2155" s="35">
        <f>IF(OR(C2155&lt;&gt;"Grayson Coulter",G2155&lt;'00_Control'!$B$7),"",--(AF2155&lt;10))</f>
        <v/>
      </c>
      <c r="AI2155" s="35">
        <f>IF(AND(C2155="Grayson Coulter",G2155&gt;='00_Control'!$B$7),"YES","NO")</f>
        <v/>
      </c>
      <c r="AJ2155" s="33" t="inlineStr">
        <is>
          <t>OK</t>
        </is>
      </c>
    </row>
    <row r="2156">
      <c r="A2156" s="33" t="inlineStr">
        <is>
          <t>SM002152</t>
        </is>
      </c>
      <c r="B2156" s="33" t="inlineStr">
        <is>
          <t>SW003</t>
        </is>
      </c>
      <c r="C2156" s="33" t="inlineStr">
        <is>
          <t>Luka Mijatovic</t>
        </is>
      </c>
      <c r="D2156" s="33" t="inlineStr">
        <is>
          <t>SwimCloud</t>
        </is>
      </c>
      <c r="E2156" s="33" t="inlineStr">
        <is>
          <t>2415996</t>
        </is>
      </c>
      <c r="F2156" s="33" t="inlineStr">
        <is>
          <t>121436379</t>
        </is>
      </c>
      <c r="G2156" s="51" t="n">
        <v>45352</v>
      </c>
      <c r="H2156" s="33" t="inlineStr">
        <is>
          <t>Speedo Sectionals - Marin</t>
        </is>
      </c>
      <c r="I2156" s="33" t="inlineStr">
        <is>
          <t>286271</t>
        </is>
      </c>
      <c r="J2156" s="33" t="inlineStr"/>
      <c r="K2156" s="33" t="inlineStr">
        <is>
          <t>PRE</t>
        </is>
      </c>
      <c r="L2156" s="35">
        <f>IF(K2156="FIN",3,IF(OR(K2156="SEM",K2156="SEMI"),2,IF(OR(K2156="PRE",K2156="HEAT"),1,IF(V2156="YES",4,2))))</f>
        <v/>
      </c>
      <c r="M2156" s="33" t="inlineStr">
        <is>
          <t>LCM</t>
        </is>
      </c>
      <c r="N2156" s="33" t="n">
        <v>100</v>
      </c>
      <c r="O2156" s="33" t="inlineStr">
        <is>
          <t>Fly</t>
        </is>
      </c>
      <c r="P2156" s="33" t="inlineStr">
        <is>
          <t>100 Fly</t>
        </is>
      </c>
      <c r="Q2156" s="33" t="inlineStr">
        <is>
          <t>LCM_100_FLY</t>
        </is>
      </c>
      <c r="R2156" s="36" t="n">
        <v>60.22</v>
      </c>
      <c r="S2156" s="35">
        <f>IF(R2156="","",IF(R2156&gt;=60,INT(R2156/60)&amp;":"&amp;TEXT(MOD(R2156,60),"00.00"),TEXT(R2156,"0.00")))</f>
        <v/>
      </c>
      <c r="T2156" s="52">
        <f>IFERROR((G2156-INDEX('01_Swimmers'!$E$5:$E$22,MATCH(B2156,'01_Swimmers'!$A$5:$A$22,0)))/'00_Control'!$B$10,"")</f>
        <v/>
      </c>
      <c r="U2156" s="35">
        <f>IF(T2156="","",INT(T2156))</f>
        <v/>
      </c>
      <c r="V2156" s="33" t="inlineStr">
        <is>
          <t>NO</t>
        </is>
      </c>
      <c r="W2156" s="33" t="inlineStr">
        <is>
          <t>YES</t>
        </is>
      </c>
      <c r="X2156" s="33" t="inlineStr">
        <is>
          <t>NO</t>
        </is>
      </c>
      <c r="Y2156" s="33" t="n">
        <v>4</v>
      </c>
      <c r="Z2156" s="33" t="n">
        <v>4</v>
      </c>
      <c r="AA2156" s="33" t="inlineStr"/>
      <c r="AB2156" s="33" t="inlineStr">
        <is>
          <t>https://www.swimcloud.com/results/286271/event/12/?id=121433513#time121433513</t>
        </is>
      </c>
      <c r="AC2156" s="33" t="inlineStr">
        <is>
          <t>SwimCloud API v6 2026-10-08</t>
        </is>
      </c>
      <c r="AD2156" s="33" t="inlineStr">
        <is>
          <t>Luka Mijatovic|2024-03-01|LCM|100|Fly|60.22|Speedo Sectionals - Marin|PRE|False</t>
        </is>
      </c>
      <c r="AE2156" s="53">
        <f>G2156+L2156/1000+ROW()/1000000000</f>
        <v/>
      </c>
      <c r="AF2156" s="35">
        <f>IF(C2156&lt;&gt;"Grayson Coulter","",COUNTIFS($C$5:$C$2991,"Grayson Coulter",$Q$5:$Q$2991,Q2156,$AE$5:$AE$2991,"&lt;="&amp;AE2156,$R$5:$R$2991,"&lt;"&amp;R2156))</f>
        <v/>
      </c>
      <c r="AG2156" s="35">
        <f>IF(OR(C2156&lt;&gt;"Grayson Coulter",G2156&lt;'00_Control'!$B$7),"",--(AF2156&lt;5))</f>
        <v/>
      </c>
      <c r="AH2156" s="35">
        <f>IF(OR(C2156&lt;&gt;"Grayson Coulter",G2156&lt;'00_Control'!$B$7),"",--(AF2156&lt;10))</f>
        <v/>
      </c>
      <c r="AI2156" s="35">
        <f>IF(AND(C2156="Grayson Coulter",G2156&gt;='00_Control'!$B$7),"YES","NO")</f>
        <v/>
      </c>
      <c r="AJ2156" s="33" t="inlineStr">
        <is>
          <t>OK</t>
        </is>
      </c>
    </row>
    <row r="2157">
      <c r="A2157" s="33" t="inlineStr">
        <is>
          <t>SM002153</t>
        </is>
      </c>
      <c r="B2157" s="33" t="inlineStr">
        <is>
          <t>SW003</t>
        </is>
      </c>
      <c r="C2157" s="33" t="inlineStr">
        <is>
          <t>Luka Mijatovic</t>
        </is>
      </c>
      <c r="D2157" s="33" t="inlineStr">
        <is>
          <t>SwimCloud</t>
        </is>
      </c>
      <c r="E2157" s="33" t="inlineStr">
        <is>
          <t>2415996</t>
        </is>
      </c>
      <c r="F2157" s="33" t="inlineStr">
        <is>
          <t>121436380</t>
        </is>
      </c>
      <c r="G2157" s="51" t="n">
        <v>45352</v>
      </c>
      <c r="H2157" s="33" t="inlineStr">
        <is>
          <t>Speedo Sectionals - Marin</t>
        </is>
      </c>
      <c r="I2157" s="33" t="inlineStr">
        <is>
          <t>286271</t>
        </is>
      </c>
      <c r="J2157" s="33" t="inlineStr"/>
      <c r="K2157" s="33" t="inlineStr">
        <is>
          <t>FIN</t>
        </is>
      </c>
      <c r="L2157" s="35">
        <f>IF(K2157="FIN",3,IF(OR(K2157="SEM",K2157="SEMI"),2,IF(OR(K2157="PRE",K2157="HEAT"),1,IF(V2157="YES",4,2))))</f>
        <v/>
      </c>
      <c r="M2157" s="33" t="inlineStr">
        <is>
          <t>LCM</t>
        </is>
      </c>
      <c r="N2157" s="33" t="n">
        <v>100</v>
      </c>
      <c r="O2157" s="33" t="inlineStr">
        <is>
          <t>Fly</t>
        </is>
      </c>
      <c r="P2157" s="33" t="inlineStr">
        <is>
          <t>100 Fly</t>
        </is>
      </c>
      <c r="Q2157" s="33" t="inlineStr">
        <is>
          <t>LCM_100_FLY</t>
        </is>
      </c>
      <c r="R2157" s="36" t="n">
        <v>60.55</v>
      </c>
      <c r="S2157" s="35">
        <f>IF(R2157="","",IF(R2157&gt;=60,INT(R2157/60)&amp;":"&amp;TEXT(MOD(R2157,60),"00.00"),TEXT(R2157,"0.00")))</f>
        <v/>
      </c>
      <c r="T2157" s="52">
        <f>IFERROR((G2157-INDEX('01_Swimmers'!$E$5:$E$22,MATCH(B2157,'01_Swimmers'!$A$5:$A$22,0)))/'00_Control'!$B$10,"")</f>
        <v/>
      </c>
      <c r="U2157" s="35">
        <f>IF(T2157="","",INT(T2157))</f>
        <v/>
      </c>
      <c r="V2157" s="33" t="inlineStr">
        <is>
          <t>NO</t>
        </is>
      </c>
      <c r="W2157" s="33" t="inlineStr">
        <is>
          <t>YES</t>
        </is>
      </c>
      <c r="X2157" s="33" t="inlineStr">
        <is>
          <t>NO</t>
        </is>
      </c>
      <c r="Y2157" s="33" t="n">
        <v>3</v>
      </c>
      <c r="Z2157" s="33" t="n">
        <v>5</v>
      </c>
      <c r="AA2157" s="33" t="inlineStr"/>
      <c r="AB2157" s="33" t="inlineStr">
        <is>
          <t>https://www.swimcloud.com/results/286271/event/12/?id=121433514#time121433514</t>
        </is>
      </c>
      <c r="AC2157" s="33" t="inlineStr">
        <is>
          <t>SwimCloud API v6 2026-10-08</t>
        </is>
      </c>
      <c r="AD2157" s="33" t="inlineStr">
        <is>
          <t>Luka Mijatovic|2024-03-01|LCM|100|Fly|60.55|Speedo Sectionals - Marin|FIN|False</t>
        </is>
      </c>
      <c r="AE2157" s="53">
        <f>G2157+L2157/1000+ROW()/1000000000</f>
        <v/>
      </c>
      <c r="AF2157" s="35">
        <f>IF(C2157&lt;&gt;"Grayson Coulter","",COUNTIFS($C$5:$C$2991,"Grayson Coulter",$Q$5:$Q$2991,Q2157,$AE$5:$AE$2991,"&lt;="&amp;AE2157,$R$5:$R$2991,"&lt;"&amp;R2157))</f>
        <v/>
      </c>
      <c r="AG2157" s="35">
        <f>IF(OR(C2157&lt;&gt;"Grayson Coulter",G2157&lt;'00_Control'!$B$7),"",--(AF2157&lt;5))</f>
        <v/>
      </c>
      <c r="AH2157" s="35">
        <f>IF(OR(C2157&lt;&gt;"Grayson Coulter",G2157&lt;'00_Control'!$B$7),"",--(AF2157&lt;10))</f>
        <v/>
      </c>
      <c r="AI2157" s="35">
        <f>IF(AND(C2157="Grayson Coulter",G2157&gt;='00_Control'!$B$7),"YES","NO")</f>
        <v/>
      </c>
      <c r="AJ2157" s="33" t="inlineStr">
        <is>
          <t>OK</t>
        </is>
      </c>
    </row>
    <row r="2158">
      <c r="A2158" s="33" t="inlineStr">
        <is>
          <t>SM002154</t>
        </is>
      </c>
      <c r="B2158" s="33" t="inlineStr">
        <is>
          <t>SW003</t>
        </is>
      </c>
      <c r="C2158" s="33" t="inlineStr">
        <is>
          <t>Luka Mijatovic</t>
        </is>
      </c>
      <c r="D2158" s="33" t="inlineStr">
        <is>
          <t>SwimCloud</t>
        </is>
      </c>
      <c r="E2158" s="33" t="inlineStr">
        <is>
          <t>2415996</t>
        </is>
      </c>
      <c r="F2158" s="33" t="inlineStr">
        <is>
          <t>121433417</t>
        </is>
      </c>
      <c r="G2158" s="51" t="n">
        <v>45352</v>
      </c>
      <c r="H2158" s="33" t="inlineStr">
        <is>
          <t>Speedo Sectionals - Marin</t>
        </is>
      </c>
      <c r="I2158" s="33" t="inlineStr">
        <is>
          <t>286271</t>
        </is>
      </c>
      <c r="J2158" s="33" t="inlineStr"/>
      <c r="K2158" s="33" t="inlineStr">
        <is>
          <t>PRE</t>
        </is>
      </c>
      <c r="L2158" s="35">
        <f>IF(K2158="FIN",3,IF(OR(K2158="SEM",K2158="SEMI"),2,IF(OR(K2158="PRE",K2158="HEAT"),1,IF(V2158="YES",4,2))))</f>
        <v/>
      </c>
      <c r="M2158" s="33" t="inlineStr">
        <is>
          <t>LCM</t>
        </is>
      </c>
      <c r="N2158" s="33" t="n">
        <v>200</v>
      </c>
      <c r="O2158" s="33" t="inlineStr">
        <is>
          <t>Free</t>
        </is>
      </c>
      <c r="P2158" s="33" t="inlineStr">
        <is>
          <t>200 Free</t>
        </is>
      </c>
      <c r="Q2158" s="33" t="inlineStr">
        <is>
          <t>LCM_200_FREE</t>
        </is>
      </c>
      <c r="R2158" s="36" t="n">
        <v>112.55</v>
      </c>
      <c r="S2158" s="35">
        <f>IF(R2158="","",IF(R2158&gt;=60,INT(R2158/60)&amp;":"&amp;TEXT(MOD(R2158,60),"00.00"),TEXT(R2158,"0.00")))</f>
        <v/>
      </c>
      <c r="T2158" s="52">
        <f>IFERROR((G2158-INDEX('01_Swimmers'!$E$5:$E$22,MATCH(B2158,'01_Swimmers'!$A$5:$A$22,0)))/'00_Control'!$B$10,"")</f>
        <v/>
      </c>
      <c r="U2158" s="35">
        <f>IF(T2158="","",INT(T2158))</f>
        <v/>
      </c>
      <c r="V2158" s="33" t="inlineStr">
        <is>
          <t>NO</t>
        </is>
      </c>
      <c r="W2158" s="33" t="inlineStr">
        <is>
          <t>YES</t>
        </is>
      </c>
      <c r="X2158" s="33" t="inlineStr">
        <is>
          <t>NO</t>
        </is>
      </c>
      <c r="Y2158" s="33" t="n">
        <v>8</v>
      </c>
      <c r="Z2158" s="33" t="n">
        <v>4</v>
      </c>
      <c r="AA2158" s="33" t="inlineStr">
        <is>
          <t>1</t>
        </is>
      </c>
      <c r="AB2158" s="33" t="inlineStr">
        <is>
          <t>https://www.swimcloud.com/results/286271/event/6/?id=121433417#time121433417</t>
        </is>
      </c>
      <c r="AC2158" s="33" t="inlineStr">
        <is>
          <t>SwimCloud API v6 2026-10-08</t>
        </is>
      </c>
      <c r="AD2158" s="33" t="inlineStr">
        <is>
          <t>Luka Mijatovic|2024-03-01|LCM|200|Free|112.55|Speedo Sectionals - Marin|PRE|False</t>
        </is>
      </c>
      <c r="AE2158" s="53">
        <f>G2158+L2158/1000+ROW()/1000000000</f>
        <v/>
      </c>
      <c r="AF2158" s="35">
        <f>IF(C2158&lt;&gt;"Grayson Coulter","",COUNTIFS($C$5:$C$2991,"Grayson Coulter",$Q$5:$Q$2991,Q2158,$AE$5:$AE$2991,"&lt;="&amp;AE2158,$R$5:$R$2991,"&lt;"&amp;R2158))</f>
        <v/>
      </c>
      <c r="AG2158" s="35">
        <f>IF(OR(C2158&lt;&gt;"Grayson Coulter",G2158&lt;'00_Control'!$B$7),"",--(AF2158&lt;5))</f>
        <v/>
      </c>
      <c r="AH2158" s="35">
        <f>IF(OR(C2158&lt;&gt;"Grayson Coulter",G2158&lt;'00_Control'!$B$7),"",--(AF2158&lt;10))</f>
        <v/>
      </c>
      <c r="AI2158" s="35">
        <f>IF(AND(C2158="Grayson Coulter",G2158&gt;='00_Control'!$B$7),"YES","NO")</f>
        <v/>
      </c>
      <c r="AJ2158" s="33" t="inlineStr">
        <is>
          <t>OK</t>
        </is>
      </c>
    </row>
    <row r="2159">
      <c r="A2159" s="33" t="inlineStr">
        <is>
          <t>SM002155</t>
        </is>
      </c>
      <c r="B2159" s="33" t="inlineStr">
        <is>
          <t>SW003</t>
        </is>
      </c>
      <c r="C2159" s="33" t="inlineStr">
        <is>
          <t>Luka Mijatovic</t>
        </is>
      </c>
      <c r="D2159" s="33" t="inlineStr">
        <is>
          <t>SwimCloud</t>
        </is>
      </c>
      <c r="E2159" s="33" t="inlineStr">
        <is>
          <t>2415996</t>
        </is>
      </c>
      <c r="F2159" s="33" t="inlineStr">
        <is>
          <t>121433418</t>
        </is>
      </c>
      <c r="G2159" s="51" t="n">
        <v>45352</v>
      </c>
      <c r="H2159" s="33" t="inlineStr">
        <is>
          <t>Speedo Sectionals - Marin</t>
        </is>
      </c>
      <c r="I2159" s="33" t="inlineStr">
        <is>
          <t>286271</t>
        </is>
      </c>
      <c r="J2159" s="33" t="inlineStr"/>
      <c r="K2159" s="33" t="inlineStr">
        <is>
          <t>FIN</t>
        </is>
      </c>
      <c r="L2159" s="35">
        <f>IF(K2159="FIN",3,IF(OR(K2159="SEM",K2159="SEMI"),2,IF(OR(K2159="PRE",K2159="HEAT"),1,IF(V2159="YES",4,2))))</f>
        <v/>
      </c>
      <c r="M2159" s="33" t="inlineStr">
        <is>
          <t>LCM</t>
        </is>
      </c>
      <c r="N2159" s="33" t="n">
        <v>200</v>
      </c>
      <c r="O2159" s="33" t="inlineStr">
        <is>
          <t>Free</t>
        </is>
      </c>
      <c r="P2159" s="33" t="inlineStr">
        <is>
          <t>200 Free</t>
        </is>
      </c>
      <c r="Q2159" s="33" t="inlineStr">
        <is>
          <t>LCM_200_FREE</t>
        </is>
      </c>
      <c r="R2159" s="36" t="n">
        <v>109.63</v>
      </c>
      <c r="S2159" s="35">
        <f>IF(R2159="","",IF(R2159&gt;=60,INT(R2159/60)&amp;":"&amp;TEXT(MOD(R2159,60),"00.00"),TEXT(R2159,"0.00")))</f>
        <v/>
      </c>
      <c r="T2159" s="52">
        <f>IFERROR((G2159-INDEX('01_Swimmers'!$E$5:$E$22,MATCH(B2159,'01_Swimmers'!$A$5:$A$22,0)))/'00_Control'!$B$10,"")</f>
        <v/>
      </c>
      <c r="U2159" s="35">
        <f>IF(T2159="","",INT(T2159))</f>
        <v/>
      </c>
      <c r="V2159" s="33" t="inlineStr">
        <is>
          <t>NO</t>
        </is>
      </c>
      <c r="W2159" s="33" t="inlineStr">
        <is>
          <t>YES</t>
        </is>
      </c>
      <c r="X2159" s="33" t="inlineStr">
        <is>
          <t>NO</t>
        </is>
      </c>
      <c r="Y2159" s="33" t="n">
        <v>3</v>
      </c>
      <c r="Z2159" s="33" t="n">
        <v>4</v>
      </c>
      <c r="AA2159" s="33" t="inlineStr">
        <is>
          <t>1</t>
        </is>
      </c>
      <c r="AB2159" s="33" t="inlineStr">
        <is>
          <t>https://www.swimcloud.com/results/286271/event/6/?id=121433418#time121433418</t>
        </is>
      </c>
      <c r="AC2159" s="33" t="inlineStr">
        <is>
          <t>SwimCloud API v6 2026-10-08</t>
        </is>
      </c>
      <c r="AD2159" s="33" t="inlineStr">
        <is>
          <t>Luka Mijatovic|2024-03-01|LCM|200|Free|109.63|Speedo Sectionals - Marin|FIN|False</t>
        </is>
      </c>
      <c r="AE2159" s="53">
        <f>G2159+L2159/1000+ROW()/1000000000</f>
        <v/>
      </c>
      <c r="AF2159" s="35">
        <f>IF(C2159&lt;&gt;"Grayson Coulter","",COUNTIFS($C$5:$C$2991,"Grayson Coulter",$Q$5:$Q$2991,Q2159,$AE$5:$AE$2991,"&lt;="&amp;AE2159,$R$5:$R$2991,"&lt;"&amp;R2159))</f>
        <v/>
      </c>
      <c r="AG2159" s="35">
        <f>IF(OR(C2159&lt;&gt;"Grayson Coulter",G2159&lt;'00_Control'!$B$7),"",--(AF2159&lt;5))</f>
        <v/>
      </c>
      <c r="AH2159" s="35">
        <f>IF(OR(C2159&lt;&gt;"Grayson Coulter",G2159&lt;'00_Control'!$B$7),"",--(AF2159&lt;10))</f>
        <v/>
      </c>
      <c r="AI2159" s="35">
        <f>IF(AND(C2159="Grayson Coulter",G2159&gt;='00_Control'!$B$7),"YES","NO")</f>
        <v/>
      </c>
      <c r="AJ2159" s="33" t="inlineStr">
        <is>
          <t>OK</t>
        </is>
      </c>
    </row>
    <row r="2160">
      <c r="A2160" s="33" t="inlineStr">
        <is>
          <t>SM002156</t>
        </is>
      </c>
      <c r="B2160" s="33" t="inlineStr">
        <is>
          <t>SW003</t>
        </is>
      </c>
      <c r="C2160" s="33" t="inlineStr">
        <is>
          <t>Luka Mijatovic</t>
        </is>
      </c>
      <c r="D2160" s="33" t="inlineStr">
        <is>
          <t>SwimCloud</t>
        </is>
      </c>
      <c r="E2160" s="33" t="inlineStr">
        <is>
          <t>2415996</t>
        </is>
      </c>
      <c r="F2160" s="33" t="inlineStr">
        <is>
          <t>121433646</t>
        </is>
      </c>
      <c r="G2160" s="51" t="n">
        <v>45353</v>
      </c>
      <c r="H2160" s="33" t="inlineStr">
        <is>
          <t>Speedo Sectionals - Marin</t>
        </is>
      </c>
      <c r="I2160" s="33" t="inlineStr">
        <is>
          <t>286271</t>
        </is>
      </c>
      <c r="J2160" s="33" t="inlineStr"/>
      <c r="K2160" s="33" t="inlineStr">
        <is>
          <t>PRE</t>
        </is>
      </c>
      <c r="L2160" s="35">
        <f>IF(K2160="FIN",3,IF(OR(K2160="SEM",K2160="SEMI"),2,IF(OR(K2160="PRE",K2160="HEAT"),1,IF(V2160="YES",4,2))))</f>
        <v/>
      </c>
      <c r="M2160" s="33" t="inlineStr">
        <is>
          <t>LCM</t>
        </is>
      </c>
      <c r="N2160" s="33" t="n">
        <v>400</v>
      </c>
      <c r="O2160" s="33" t="inlineStr">
        <is>
          <t>Free</t>
        </is>
      </c>
      <c r="P2160" s="33" t="inlineStr">
        <is>
          <t>400 Free</t>
        </is>
      </c>
      <c r="Q2160" s="33" t="inlineStr">
        <is>
          <t>LCM_400_FREE</t>
        </is>
      </c>
      <c r="R2160" s="36" t="n">
        <v>240.89</v>
      </c>
      <c r="S2160" s="35">
        <f>IF(R2160="","",IF(R2160&gt;=60,INT(R2160/60)&amp;":"&amp;TEXT(MOD(R2160,60),"00.00"),TEXT(R2160,"0.00")))</f>
        <v/>
      </c>
      <c r="T2160" s="52">
        <f>IFERROR((G2160-INDEX('01_Swimmers'!$E$5:$E$22,MATCH(B2160,'01_Swimmers'!$A$5:$A$22,0)))/'00_Control'!$B$10,"")</f>
        <v/>
      </c>
      <c r="U2160" s="35">
        <f>IF(T2160="","",INT(T2160))</f>
        <v/>
      </c>
      <c r="V2160" s="33" t="inlineStr">
        <is>
          <t>NO</t>
        </is>
      </c>
      <c r="W2160" s="33" t="inlineStr">
        <is>
          <t>YES</t>
        </is>
      </c>
      <c r="X2160" s="33" t="inlineStr">
        <is>
          <t>NO</t>
        </is>
      </c>
      <c r="Y2160" s="33" t="n">
        <v>7</v>
      </c>
      <c r="Z2160" s="33" t="n">
        <v>4</v>
      </c>
      <c r="AA2160" s="33" t="inlineStr">
        <is>
          <t>2</t>
        </is>
      </c>
      <c r="AB2160" s="33" t="inlineStr">
        <is>
          <t>https://www.swimcloud.com/results/286271/event/24/?id=121433646#time121433646</t>
        </is>
      </c>
      <c r="AC2160" s="33" t="inlineStr">
        <is>
          <t>SwimCloud API v6 2026-10-08</t>
        </is>
      </c>
      <c r="AD2160" s="33" t="inlineStr">
        <is>
          <t>Luka Mijatovic|2024-03-02|LCM|400|Free|240.89|Speedo Sectionals - Marin|PRE|False</t>
        </is>
      </c>
      <c r="AE2160" s="53">
        <f>G2160+L2160/1000+ROW()/1000000000</f>
        <v/>
      </c>
      <c r="AF2160" s="35">
        <f>IF(C2160&lt;&gt;"Grayson Coulter","",COUNTIFS($C$5:$C$2991,"Grayson Coulter",$Q$5:$Q$2991,Q2160,$AE$5:$AE$2991,"&lt;="&amp;AE2160,$R$5:$R$2991,"&lt;"&amp;R2160))</f>
        <v/>
      </c>
      <c r="AG2160" s="35">
        <f>IF(OR(C2160&lt;&gt;"Grayson Coulter",G2160&lt;'00_Control'!$B$7),"",--(AF2160&lt;5))</f>
        <v/>
      </c>
      <c r="AH2160" s="35">
        <f>IF(OR(C2160&lt;&gt;"Grayson Coulter",G2160&lt;'00_Control'!$B$7),"",--(AF2160&lt;10))</f>
        <v/>
      </c>
      <c r="AI2160" s="35">
        <f>IF(AND(C2160="Grayson Coulter",G2160&gt;='00_Control'!$B$7),"YES","NO")</f>
        <v/>
      </c>
      <c r="AJ2160" s="33" t="inlineStr">
        <is>
          <t>OK</t>
        </is>
      </c>
    </row>
    <row r="2161">
      <c r="A2161" s="33" t="inlineStr">
        <is>
          <t>SM002157</t>
        </is>
      </c>
      <c r="B2161" s="33" t="inlineStr">
        <is>
          <t>SW003</t>
        </is>
      </c>
      <c r="C2161" s="33" t="inlineStr">
        <is>
          <t>Luka Mijatovic</t>
        </is>
      </c>
      <c r="D2161" s="33" t="inlineStr">
        <is>
          <t>SwimCloud</t>
        </is>
      </c>
      <c r="E2161" s="33" t="inlineStr">
        <is>
          <t>2415996</t>
        </is>
      </c>
      <c r="F2161" s="33" t="inlineStr">
        <is>
          <t>121433647</t>
        </is>
      </c>
      <c r="G2161" s="51" t="n">
        <v>45353</v>
      </c>
      <c r="H2161" s="33" t="inlineStr">
        <is>
          <t>Speedo Sectionals - Marin</t>
        </is>
      </c>
      <c r="I2161" s="33" t="inlineStr">
        <is>
          <t>286271</t>
        </is>
      </c>
      <c r="J2161" s="33" t="inlineStr"/>
      <c r="K2161" s="33" t="inlineStr">
        <is>
          <t>FIN</t>
        </is>
      </c>
      <c r="L2161" s="35">
        <f>IF(K2161="FIN",3,IF(OR(K2161="SEM",K2161="SEMI"),2,IF(OR(K2161="PRE",K2161="HEAT"),1,IF(V2161="YES",4,2))))</f>
        <v/>
      </c>
      <c r="M2161" s="33" t="inlineStr">
        <is>
          <t>LCM</t>
        </is>
      </c>
      <c r="N2161" s="33" t="n">
        <v>400</v>
      </c>
      <c r="O2161" s="33" t="inlineStr">
        <is>
          <t>Free</t>
        </is>
      </c>
      <c r="P2161" s="33" t="inlineStr">
        <is>
          <t>400 Free</t>
        </is>
      </c>
      <c r="Q2161" s="33" t="inlineStr">
        <is>
          <t>LCM_400_FREE</t>
        </is>
      </c>
      <c r="R2161" s="36" t="n">
        <v>231.18</v>
      </c>
      <c r="S2161" s="35">
        <f>IF(R2161="","",IF(R2161&gt;=60,INT(R2161/60)&amp;":"&amp;TEXT(MOD(R2161,60),"00.00"),TEXT(R2161,"0.00")))</f>
        <v/>
      </c>
      <c r="T2161" s="52">
        <f>IFERROR((G2161-INDEX('01_Swimmers'!$E$5:$E$22,MATCH(B2161,'01_Swimmers'!$A$5:$A$22,0)))/'00_Control'!$B$10,"")</f>
        <v/>
      </c>
      <c r="U2161" s="35">
        <f>IF(T2161="","",INT(T2161))</f>
        <v/>
      </c>
      <c r="V2161" s="33" t="inlineStr">
        <is>
          <t>NO</t>
        </is>
      </c>
      <c r="W2161" s="33" t="inlineStr">
        <is>
          <t>YES</t>
        </is>
      </c>
      <c r="X2161" s="33" t="inlineStr">
        <is>
          <t>NO</t>
        </is>
      </c>
      <c r="Y2161" s="33" t="n">
        <v>3</v>
      </c>
      <c r="Z2161" s="33" t="n">
        <v>5</v>
      </c>
      <c r="AA2161" s="33" t="inlineStr">
        <is>
          <t>1</t>
        </is>
      </c>
      <c r="AB2161" s="33" t="inlineStr">
        <is>
          <t>https://www.swimcloud.com/results/286271/event/24/?id=121433647#time121433647</t>
        </is>
      </c>
      <c r="AC2161" s="33" t="inlineStr">
        <is>
          <t>SwimCloud API v6 2026-10-08</t>
        </is>
      </c>
      <c r="AD2161" s="33" t="inlineStr">
        <is>
          <t>Luka Mijatovic|2024-03-02|LCM|400|Free|231.18|Speedo Sectionals - Marin|FIN|False</t>
        </is>
      </c>
      <c r="AE2161" s="53">
        <f>G2161+L2161/1000+ROW()/1000000000</f>
        <v/>
      </c>
      <c r="AF2161" s="35">
        <f>IF(C2161&lt;&gt;"Grayson Coulter","",COUNTIFS($C$5:$C$2991,"Grayson Coulter",$Q$5:$Q$2991,Q2161,$AE$5:$AE$2991,"&lt;="&amp;AE2161,$R$5:$R$2991,"&lt;"&amp;R2161))</f>
        <v/>
      </c>
      <c r="AG2161" s="35">
        <f>IF(OR(C2161&lt;&gt;"Grayson Coulter",G2161&lt;'00_Control'!$B$7),"",--(AF2161&lt;5))</f>
        <v/>
      </c>
      <c r="AH2161" s="35">
        <f>IF(OR(C2161&lt;&gt;"Grayson Coulter",G2161&lt;'00_Control'!$B$7),"",--(AF2161&lt;10))</f>
        <v/>
      </c>
      <c r="AI2161" s="35">
        <f>IF(AND(C2161="Grayson Coulter",G2161&gt;='00_Control'!$B$7),"YES","NO")</f>
        <v/>
      </c>
      <c r="AJ2161" s="33" t="inlineStr">
        <is>
          <t>OK</t>
        </is>
      </c>
    </row>
    <row r="2162">
      <c r="A2162" s="33" t="inlineStr">
        <is>
          <t>SM002158</t>
        </is>
      </c>
      <c r="B2162" s="33" t="inlineStr">
        <is>
          <t>SW003</t>
        </is>
      </c>
      <c r="C2162" s="33" t="inlineStr">
        <is>
          <t>Luka Mijatovic</t>
        </is>
      </c>
      <c r="D2162" s="33" t="inlineStr">
        <is>
          <t>SwimCloud</t>
        </is>
      </c>
      <c r="E2162" s="33" t="inlineStr">
        <is>
          <t>2415996</t>
        </is>
      </c>
      <c r="F2162" s="33" t="inlineStr">
        <is>
          <t>124633968</t>
        </is>
      </c>
      <c r="G2162" s="51" t="n">
        <v>45393</v>
      </c>
      <c r="H2162" s="33" t="inlineStr">
        <is>
          <t>TYR Pro Swim Series - San Antonio</t>
        </is>
      </c>
      <c r="I2162" s="33" t="inlineStr">
        <is>
          <t>274521</t>
        </is>
      </c>
      <c r="J2162" s="33" t="inlineStr"/>
      <c r="K2162" s="33" t="inlineStr">
        <is>
          <t>PRE</t>
        </is>
      </c>
      <c r="L2162" s="35">
        <f>IF(K2162="FIN",3,IF(OR(K2162="SEM",K2162="SEMI"),2,IF(OR(K2162="PRE",K2162="HEAT"),1,IF(V2162="YES",4,2))))</f>
        <v/>
      </c>
      <c r="M2162" s="33" t="inlineStr">
        <is>
          <t>LCM</t>
        </is>
      </c>
      <c r="N2162" s="33" t="n">
        <v>400</v>
      </c>
      <c r="O2162" s="33" t="inlineStr">
        <is>
          <t>Free</t>
        </is>
      </c>
      <c r="P2162" s="33" t="inlineStr">
        <is>
          <t>400 Free</t>
        </is>
      </c>
      <c r="Q2162" s="33" t="inlineStr">
        <is>
          <t>LCM_400_FREE</t>
        </is>
      </c>
      <c r="R2162" s="36" t="n">
        <v>235.09</v>
      </c>
      <c r="S2162" s="35">
        <f>IF(R2162="","",IF(R2162&gt;=60,INT(R2162/60)&amp;":"&amp;TEXT(MOD(R2162,60),"00.00"),TEXT(R2162,"0.00")))</f>
        <v/>
      </c>
      <c r="T2162" s="52">
        <f>IFERROR((G2162-INDEX('01_Swimmers'!$E$5:$E$22,MATCH(B2162,'01_Swimmers'!$A$5:$A$22,0)))/'00_Control'!$B$10,"")</f>
        <v/>
      </c>
      <c r="U2162" s="35">
        <f>IF(T2162="","",INT(T2162))</f>
        <v/>
      </c>
      <c r="V2162" s="33" t="inlineStr">
        <is>
          <t>NO</t>
        </is>
      </c>
      <c r="W2162" s="33" t="inlineStr">
        <is>
          <t>YES</t>
        </is>
      </c>
      <c r="X2162" s="33" t="inlineStr">
        <is>
          <t>NO</t>
        </is>
      </c>
      <c r="Y2162" s="33" t="n">
        <v>6</v>
      </c>
      <c r="Z2162" s="33" t="n">
        <v>4</v>
      </c>
      <c r="AA2162" s="33" t="inlineStr">
        <is>
          <t>12</t>
        </is>
      </c>
      <c r="AB2162" s="33" t="inlineStr">
        <is>
          <t>https://www.swimcloud.com/results/274521/event/10/?id=124633968#time124633968</t>
        </is>
      </c>
      <c r="AC2162" s="33" t="inlineStr">
        <is>
          <t>SwimCloud API v6 2026-10-08</t>
        </is>
      </c>
      <c r="AD2162" s="33" t="inlineStr">
        <is>
          <t>Luka Mijatovic|2024-04-11|LCM|400|Free|235.09|TYR Pro Swim Series - San Antonio|PRE|False</t>
        </is>
      </c>
      <c r="AE2162" s="53">
        <f>G2162+L2162/1000+ROW()/1000000000</f>
        <v/>
      </c>
      <c r="AF2162" s="35">
        <f>IF(C2162&lt;&gt;"Grayson Coulter","",COUNTIFS($C$5:$C$2991,"Grayson Coulter",$Q$5:$Q$2991,Q2162,$AE$5:$AE$2991,"&lt;="&amp;AE2162,$R$5:$R$2991,"&lt;"&amp;R2162))</f>
        <v/>
      </c>
      <c r="AG2162" s="35">
        <f>IF(OR(C2162&lt;&gt;"Grayson Coulter",G2162&lt;'00_Control'!$B$7),"",--(AF2162&lt;5))</f>
        <v/>
      </c>
      <c r="AH2162" s="35">
        <f>IF(OR(C2162&lt;&gt;"Grayson Coulter",G2162&lt;'00_Control'!$B$7),"",--(AF2162&lt;10))</f>
        <v/>
      </c>
      <c r="AI2162" s="35">
        <f>IF(AND(C2162="Grayson Coulter",G2162&gt;='00_Control'!$B$7),"YES","NO")</f>
        <v/>
      </c>
      <c r="AJ2162" s="33" t="inlineStr">
        <is>
          <t>OK</t>
        </is>
      </c>
    </row>
    <row r="2163">
      <c r="A2163" s="33" t="inlineStr">
        <is>
          <t>SM002159</t>
        </is>
      </c>
      <c r="B2163" s="33" t="inlineStr">
        <is>
          <t>SW003</t>
        </is>
      </c>
      <c r="C2163" s="33" t="inlineStr">
        <is>
          <t>Luka Mijatovic</t>
        </is>
      </c>
      <c r="D2163" s="33" t="inlineStr">
        <is>
          <t>SwimCloud</t>
        </is>
      </c>
      <c r="E2163" s="33" t="inlineStr">
        <is>
          <t>2415996</t>
        </is>
      </c>
      <c r="F2163" s="33" t="inlineStr">
        <is>
          <t>124633969</t>
        </is>
      </c>
      <c r="G2163" s="51" t="n">
        <v>45393</v>
      </c>
      <c r="H2163" s="33" t="inlineStr">
        <is>
          <t>TYR Pro Swim Series - San Antonio</t>
        </is>
      </c>
      <c r="I2163" s="33" t="inlineStr">
        <is>
          <t>274521</t>
        </is>
      </c>
      <c r="J2163" s="33" t="inlineStr"/>
      <c r="K2163" s="33" t="inlineStr">
        <is>
          <t>FIN</t>
        </is>
      </c>
      <c r="L2163" s="35">
        <f>IF(K2163="FIN",3,IF(OR(K2163="SEM",K2163="SEMI"),2,IF(OR(K2163="PRE",K2163="HEAT"),1,IF(V2163="YES",4,2))))</f>
        <v/>
      </c>
      <c r="M2163" s="33" t="inlineStr">
        <is>
          <t>LCM</t>
        </is>
      </c>
      <c r="N2163" s="33" t="n">
        <v>400</v>
      </c>
      <c r="O2163" s="33" t="inlineStr">
        <is>
          <t>Free</t>
        </is>
      </c>
      <c r="P2163" s="33" t="inlineStr">
        <is>
          <t>400 Free</t>
        </is>
      </c>
      <c r="Q2163" s="33" t="inlineStr">
        <is>
          <t>LCM_400_FREE</t>
        </is>
      </c>
      <c r="R2163" s="36" t="n">
        <v>232.64</v>
      </c>
      <c r="S2163" s="35">
        <f>IF(R2163="","",IF(R2163&gt;=60,INT(R2163/60)&amp;":"&amp;TEXT(MOD(R2163,60),"00.00"),TEXT(R2163,"0.00")))</f>
        <v/>
      </c>
      <c r="T2163" s="52">
        <f>IFERROR((G2163-INDEX('01_Swimmers'!$E$5:$E$22,MATCH(B2163,'01_Swimmers'!$A$5:$A$22,0)))/'00_Control'!$B$10,"")</f>
        <v/>
      </c>
      <c r="U2163" s="35">
        <f>IF(T2163="","",INT(T2163))</f>
        <v/>
      </c>
      <c r="V2163" s="33" t="inlineStr">
        <is>
          <t>NO</t>
        </is>
      </c>
      <c r="W2163" s="33" t="inlineStr">
        <is>
          <t>YES</t>
        </is>
      </c>
      <c r="X2163" s="33" t="inlineStr">
        <is>
          <t>NO</t>
        </is>
      </c>
      <c r="Y2163" s="33" t="n">
        <v>1</v>
      </c>
      <c r="Z2163" s="33" t="n">
        <v>6</v>
      </c>
      <c r="AA2163" s="33" t="inlineStr">
        <is>
          <t>10</t>
        </is>
      </c>
      <c r="AB2163" s="33" t="inlineStr">
        <is>
          <t>https://www.swimcloud.com/results/274521/event/10/?id=124633969#time124633969</t>
        </is>
      </c>
      <c r="AC2163" s="33" t="inlineStr">
        <is>
          <t>SwimCloud API v6 2026-10-08</t>
        </is>
      </c>
      <c r="AD2163" s="33" t="inlineStr">
        <is>
          <t>Luka Mijatovic|2024-04-11|LCM|400|Free|232.64|TYR Pro Swim Series - San Antonio|FIN|False</t>
        </is>
      </c>
      <c r="AE2163" s="53">
        <f>G2163+L2163/1000+ROW()/1000000000</f>
        <v/>
      </c>
      <c r="AF2163" s="35">
        <f>IF(C2163&lt;&gt;"Grayson Coulter","",COUNTIFS($C$5:$C$2991,"Grayson Coulter",$Q$5:$Q$2991,Q2163,$AE$5:$AE$2991,"&lt;="&amp;AE2163,$R$5:$R$2991,"&lt;"&amp;R2163))</f>
        <v/>
      </c>
      <c r="AG2163" s="35">
        <f>IF(OR(C2163&lt;&gt;"Grayson Coulter",G2163&lt;'00_Control'!$B$7),"",--(AF2163&lt;5))</f>
        <v/>
      </c>
      <c r="AH2163" s="35">
        <f>IF(OR(C2163&lt;&gt;"Grayson Coulter",G2163&lt;'00_Control'!$B$7),"",--(AF2163&lt;10))</f>
        <v/>
      </c>
      <c r="AI2163" s="35">
        <f>IF(AND(C2163="Grayson Coulter",G2163&gt;='00_Control'!$B$7),"YES","NO")</f>
        <v/>
      </c>
      <c r="AJ2163" s="33" t="inlineStr">
        <is>
          <t>OK</t>
        </is>
      </c>
    </row>
    <row r="2164">
      <c r="A2164" s="33" t="inlineStr">
        <is>
          <t>SM002160</t>
        </is>
      </c>
      <c r="B2164" s="33" t="inlineStr">
        <is>
          <t>SW003</t>
        </is>
      </c>
      <c r="C2164" s="33" t="inlineStr">
        <is>
          <t>Luka Mijatovic</t>
        </is>
      </c>
      <c r="D2164" s="33" t="inlineStr">
        <is>
          <t>SwimCloud</t>
        </is>
      </c>
      <c r="E2164" s="33" t="inlineStr">
        <is>
          <t>2415996</t>
        </is>
      </c>
      <c r="F2164" s="33" t="inlineStr">
        <is>
          <t>124633416</t>
        </is>
      </c>
      <c r="G2164" s="51" t="n">
        <v>45394</v>
      </c>
      <c r="H2164" s="33" t="inlineStr">
        <is>
          <t>TYR Pro Swim Series - San Antonio</t>
        </is>
      </c>
      <c r="I2164" s="33" t="inlineStr">
        <is>
          <t>274521</t>
        </is>
      </c>
      <c r="J2164" s="33" t="inlineStr"/>
      <c r="K2164" s="33" t="inlineStr">
        <is>
          <t>PRE</t>
        </is>
      </c>
      <c r="L2164" s="35">
        <f>IF(K2164="FIN",3,IF(OR(K2164="SEM",K2164="SEMI"),2,IF(OR(K2164="PRE",K2164="HEAT"),1,IF(V2164="YES",4,2))))</f>
        <v/>
      </c>
      <c r="M2164" s="33" t="inlineStr">
        <is>
          <t>LCM</t>
        </is>
      </c>
      <c r="N2164" s="33" t="n">
        <v>200</v>
      </c>
      <c r="O2164" s="33" t="inlineStr">
        <is>
          <t>Free</t>
        </is>
      </c>
      <c r="P2164" s="33" t="inlineStr">
        <is>
          <t>200 Free</t>
        </is>
      </c>
      <c r="Q2164" s="33" t="inlineStr">
        <is>
          <t>LCM_200_FREE</t>
        </is>
      </c>
      <c r="R2164" s="36" t="n">
        <v>110.77</v>
      </c>
      <c r="S2164" s="35">
        <f>IF(R2164="","",IF(R2164&gt;=60,INT(R2164/60)&amp;":"&amp;TEXT(MOD(R2164,60),"00.00"),TEXT(R2164,"0.00")))</f>
        <v/>
      </c>
      <c r="T2164" s="52">
        <f>IFERROR((G2164-INDEX('01_Swimmers'!$E$5:$E$22,MATCH(B2164,'01_Swimmers'!$A$5:$A$22,0)))/'00_Control'!$B$10,"")</f>
        <v/>
      </c>
      <c r="U2164" s="35">
        <f>IF(T2164="","",INT(T2164))</f>
        <v/>
      </c>
      <c r="V2164" s="33" t="inlineStr">
        <is>
          <t>NO</t>
        </is>
      </c>
      <c r="W2164" s="33" t="inlineStr">
        <is>
          <t>YES</t>
        </is>
      </c>
      <c r="X2164" s="33" t="inlineStr">
        <is>
          <t>NO</t>
        </is>
      </c>
      <c r="Y2164" s="33" t="n">
        <v>8</v>
      </c>
      <c r="Z2164" s="33" t="n">
        <v>6</v>
      </c>
      <c r="AA2164" s="33" t="inlineStr">
        <is>
          <t>28</t>
        </is>
      </c>
      <c r="AB2164" s="33" t="inlineStr">
        <is>
          <t>https://www.swimcloud.com/results/274521/event/12/?id=124633416#time124633416</t>
        </is>
      </c>
      <c r="AC2164" s="33" t="inlineStr">
        <is>
          <t>SwimCloud API v6 2026-10-08</t>
        </is>
      </c>
      <c r="AD2164" s="33" t="inlineStr">
        <is>
          <t>Luka Mijatovic|2024-04-12|LCM|200|Free|110.77|TYR Pro Swim Series - San Antonio|PRE|False</t>
        </is>
      </c>
      <c r="AE2164" s="53">
        <f>G2164+L2164/1000+ROW()/1000000000</f>
        <v/>
      </c>
      <c r="AF2164" s="35">
        <f>IF(C2164&lt;&gt;"Grayson Coulter","",COUNTIFS($C$5:$C$2991,"Grayson Coulter",$Q$5:$Q$2991,Q2164,$AE$5:$AE$2991,"&lt;="&amp;AE2164,$R$5:$R$2991,"&lt;"&amp;R2164))</f>
        <v/>
      </c>
      <c r="AG2164" s="35">
        <f>IF(OR(C2164&lt;&gt;"Grayson Coulter",G2164&lt;'00_Control'!$B$7),"",--(AF2164&lt;5))</f>
        <v/>
      </c>
      <c r="AH2164" s="35">
        <f>IF(OR(C2164&lt;&gt;"Grayson Coulter",G2164&lt;'00_Control'!$B$7),"",--(AF2164&lt;10))</f>
        <v/>
      </c>
      <c r="AI2164" s="35">
        <f>IF(AND(C2164="Grayson Coulter",G2164&gt;='00_Control'!$B$7),"YES","NO")</f>
        <v/>
      </c>
      <c r="AJ2164" s="33" t="inlineStr">
        <is>
          <t>OK</t>
        </is>
      </c>
    </row>
    <row r="2165">
      <c r="A2165" s="33" t="inlineStr">
        <is>
          <t>SM002161</t>
        </is>
      </c>
      <c r="B2165" s="33" t="inlineStr">
        <is>
          <t>SW003</t>
        </is>
      </c>
      <c r="C2165" s="33" t="inlineStr">
        <is>
          <t>Luka Mijatovic</t>
        </is>
      </c>
      <c r="D2165" s="33" t="inlineStr">
        <is>
          <t>SwimCloud</t>
        </is>
      </c>
      <c r="E2165" s="33" t="inlineStr">
        <is>
          <t>2415996</t>
        </is>
      </c>
      <c r="F2165" s="33" t="inlineStr">
        <is>
          <t>126748143</t>
        </is>
      </c>
      <c r="G2165" s="51" t="n">
        <v>45437</v>
      </c>
      <c r="H2165" s="33" t="inlineStr">
        <is>
          <t>PC SCSC George Haines International</t>
        </is>
      </c>
      <c r="I2165" s="33" t="inlineStr">
        <is>
          <t>303388</t>
        </is>
      </c>
      <c r="J2165" s="33" t="inlineStr"/>
      <c r="K2165" s="33" t="inlineStr">
        <is>
          <t>PRE</t>
        </is>
      </c>
      <c r="L2165" s="35">
        <f>IF(K2165="FIN",3,IF(OR(K2165="SEM",K2165="SEMI"),2,IF(OR(K2165="PRE",K2165="HEAT"),1,IF(V2165="YES",4,2))))</f>
        <v/>
      </c>
      <c r="M2165" s="33" t="inlineStr">
        <is>
          <t>LCM</t>
        </is>
      </c>
      <c r="N2165" s="33" t="n">
        <v>200</v>
      </c>
      <c r="O2165" s="33" t="inlineStr">
        <is>
          <t>Free</t>
        </is>
      </c>
      <c r="P2165" s="33" t="inlineStr">
        <is>
          <t>200 Free</t>
        </is>
      </c>
      <c r="Q2165" s="33" t="inlineStr">
        <is>
          <t>LCM_200_FREE</t>
        </is>
      </c>
      <c r="R2165" s="36" t="n">
        <v>112.02</v>
      </c>
      <c r="S2165" s="35">
        <f>IF(R2165="","",IF(R2165&gt;=60,INT(R2165/60)&amp;":"&amp;TEXT(MOD(R2165,60),"00.00"),TEXT(R2165,"0.00")))</f>
        <v/>
      </c>
      <c r="T2165" s="52">
        <f>IFERROR((G2165-INDEX('01_Swimmers'!$E$5:$E$22,MATCH(B2165,'01_Swimmers'!$A$5:$A$22,0)))/'00_Control'!$B$10,"")</f>
        <v/>
      </c>
      <c r="U2165" s="35">
        <f>IF(T2165="","",INT(T2165))</f>
        <v/>
      </c>
      <c r="V2165" s="33" t="inlineStr">
        <is>
          <t>NO</t>
        </is>
      </c>
      <c r="W2165" s="33" t="inlineStr">
        <is>
          <t>YES</t>
        </is>
      </c>
      <c r="X2165" s="33" t="inlineStr">
        <is>
          <t>NO</t>
        </is>
      </c>
      <c r="Y2165" s="33" t="n">
        <v>3</v>
      </c>
      <c r="Z2165" s="33" t="n">
        <v>4</v>
      </c>
      <c r="AA2165" s="33" t="inlineStr">
        <is>
          <t>3</t>
        </is>
      </c>
      <c r="AB2165" s="33" t="inlineStr">
        <is>
          <t>https://www.swimcloud.com/results/303388/event/6/?id=126748143#time126748143</t>
        </is>
      </c>
      <c r="AC2165" s="33" t="inlineStr">
        <is>
          <t>SwimCloud API v6 2026-10-08</t>
        </is>
      </c>
      <c r="AD2165" s="33" t="inlineStr">
        <is>
          <t>Luka Mijatovic|2024-05-25|LCM|200|Free|112.02|PC SCSC George Haines International|PRE|False</t>
        </is>
      </c>
      <c r="AE2165" s="53">
        <f>G2165+L2165/1000+ROW()/1000000000</f>
        <v/>
      </c>
      <c r="AF2165" s="35">
        <f>IF(C2165&lt;&gt;"Grayson Coulter","",COUNTIFS($C$5:$C$2991,"Grayson Coulter",$Q$5:$Q$2991,Q2165,$AE$5:$AE$2991,"&lt;="&amp;AE2165,$R$5:$R$2991,"&lt;"&amp;R2165))</f>
        <v/>
      </c>
      <c r="AG2165" s="35">
        <f>IF(OR(C2165&lt;&gt;"Grayson Coulter",G2165&lt;'00_Control'!$B$7),"",--(AF2165&lt;5))</f>
        <v/>
      </c>
      <c r="AH2165" s="35">
        <f>IF(OR(C2165&lt;&gt;"Grayson Coulter",G2165&lt;'00_Control'!$B$7),"",--(AF2165&lt;10))</f>
        <v/>
      </c>
      <c r="AI2165" s="35">
        <f>IF(AND(C2165="Grayson Coulter",G2165&gt;='00_Control'!$B$7),"YES","NO")</f>
        <v/>
      </c>
      <c r="AJ2165" s="33" t="inlineStr">
        <is>
          <t>OK</t>
        </is>
      </c>
    </row>
    <row r="2166">
      <c r="A2166" s="33" t="inlineStr">
        <is>
          <t>SM002162</t>
        </is>
      </c>
      <c r="B2166" s="33" t="inlineStr">
        <is>
          <t>SW003</t>
        </is>
      </c>
      <c r="C2166" s="33" t="inlineStr">
        <is>
          <t>Luka Mijatovic</t>
        </is>
      </c>
      <c r="D2166" s="33" t="inlineStr">
        <is>
          <t>SwimCloud</t>
        </is>
      </c>
      <c r="E2166" s="33" t="inlineStr">
        <is>
          <t>2415996</t>
        </is>
      </c>
      <c r="F2166" s="33" t="inlineStr">
        <is>
          <t>126748144</t>
        </is>
      </c>
      <c r="G2166" s="51" t="n">
        <v>45437</v>
      </c>
      <c r="H2166" s="33" t="inlineStr">
        <is>
          <t>PC SCSC George Haines International</t>
        </is>
      </c>
      <c r="I2166" s="33" t="inlineStr">
        <is>
          <t>303388</t>
        </is>
      </c>
      <c r="J2166" s="33" t="inlineStr"/>
      <c r="K2166" s="33" t="inlineStr">
        <is>
          <t>FIN</t>
        </is>
      </c>
      <c r="L2166" s="35">
        <f>IF(K2166="FIN",3,IF(OR(K2166="SEM",K2166="SEMI"),2,IF(OR(K2166="PRE",K2166="HEAT"),1,IF(V2166="YES",4,2))))</f>
        <v/>
      </c>
      <c r="M2166" s="33" t="inlineStr">
        <is>
          <t>LCM</t>
        </is>
      </c>
      <c r="N2166" s="33" t="n">
        <v>200</v>
      </c>
      <c r="O2166" s="33" t="inlineStr">
        <is>
          <t>Free</t>
        </is>
      </c>
      <c r="P2166" s="33" t="inlineStr">
        <is>
          <t>200 Free</t>
        </is>
      </c>
      <c r="Q2166" s="33" t="inlineStr">
        <is>
          <t>LCM_200_FREE</t>
        </is>
      </c>
      <c r="R2166" s="36" t="n">
        <v>109.79</v>
      </c>
      <c r="S2166" s="35">
        <f>IF(R2166="","",IF(R2166&gt;=60,INT(R2166/60)&amp;":"&amp;TEXT(MOD(R2166,60),"00.00"),TEXT(R2166,"0.00")))</f>
        <v/>
      </c>
      <c r="T2166" s="52">
        <f>IFERROR((G2166-INDEX('01_Swimmers'!$E$5:$E$22,MATCH(B2166,'01_Swimmers'!$A$5:$A$22,0)))/'00_Control'!$B$10,"")</f>
        <v/>
      </c>
      <c r="U2166" s="35">
        <f>IF(T2166="","",INT(T2166))</f>
        <v/>
      </c>
      <c r="V2166" s="33" t="inlineStr">
        <is>
          <t>NO</t>
        </is>
      </c>
      <c r="W2166" s="33" t="inlineStr">
        <is>
          <t>YES</t>
        </is>
      </c>
      <c r="X2166" s="33" t="inlineStr">
        <is>
          <t>NO</t>
        </is>
      </c>
      <c r="Y2166" s="33" t="n">
        <v>3</v>
      </c>
      <c r="Z2166" s="33" t="n">
        <v>3</v>
      </c>
      <c r="AA2166" s="33" t="inlineStr">
        <is>
          <t>2</t>
        </is>
      </c>
      <c r="AB2166" s="33" t="inlineStr">
        <is>
          <t>https://www.swimcloud.com/results/303388/event/6/?id=126748144#time126748144</t>
        </is>
      </c>
      <c r="AC2166" s="33" t="inlineStr">
        <is>
          <t>SwimCloud API v6 2026-10-08</t>
        </is>
      </c>
      <c r="AD2166" s="33" t="inlineStr">
        <is>
          <t>Luka Mijatovic|2024-05-25|LCM|200|Free|109.79|PC SCSC George Haines International|FIN|False</t>
        </is>
      </c>
      <c r="AE2166" s="53">
        <f>G2166+L2166/1000+ROW()/1000000000</f>
        <v/>
      </c>
      <c r="AF2166" s="35">
        <f>IF(C2166&lt;&gt;"Grayson Coulter","",COUNTIFS($C$5:$C$2991,"Grayson Coulter",$Q$5:$Q$2991,Q2166,$AE$5:$AE$2991,"&lt;="&amp;AE2166,$R$5:$R$2991,"&lt;"&amp;R2166))</f>
        <v/>
      </c>
      <c r="AG2166" s="35">
        <f>IF(OR(C2166&lt;&gt;"Grayson Coulter",G2166&lt;'00_Control'!$B$7),"",--(AF2166&lt;5))</f>
        <v/>
      </c>
      <c r="AH2166" s="35">
        <f>IF(OR(C2166&lt;&gt;"Grayson Coulter",G2166&lt;'00_Control'!$B$7),"",--(AF2166&lt;10))</f>
        <v/>
      </c>
      <c r="AI2166" s="35">
        <f>IF(AND(C2166="Grayson Coulter",G2166&gt;='00_Control'!$B$7),"YES","NO")</f>
        <v/>
      </c>
      <c r="AJ2166" s="33" t="inlineStr">
        <is>
          <t>OK</t>
        </is>
      </c>
    </row>
    <row r="2167">
      <c r="A2167" s="33" t="inlineStr">
        <is>
          <t>SM002163</t>
        </is>
      </c>
      <c r="B2167" s="33" t="inlineStr">
        <is>
          <t>SW003</t>
        </is>
      </c>
      <c r="C2167" s="33" t="inlineStr">
        <is>
          <t>Luka Mijatovic</t>
        </is>
      </c>
      <c r="D2167" s="33" t="inlineStr">
        <is>
          <t>SwimCloud</t>
        </is>
      </c>
      <c r="E2167" s="33" t="inlineStr">
        <is>
          <t>2415996</t>
        </is>
      </c>
      <c r="F2167" s="33" t="inlineStr">
        <is>
          <t>126749839</t>
        </is>
      </c>
      <c r="G2167" s="51" t="n">
        <v>45438</v>
      </c>
      <c r="H2167" s="33" t="inlineStr">
        <is>
          <t>PC SCSC George Haines International</t>
        </is>
      </c>
      <c r="I2167" s="33" t="inlineStr">
        <is>
          <t>303388</t>
        </is>
      </c>
      <c r="J2167" s="33" t="inlineStr"/>
      <c r="K2167" s="33" t="inlineStr">
        <is>
          <t>PRE</t>
        </is>
      </c>
      <c r="L2167" s="35">
        <f>IF(K2167="FIN",3,IF(OR(K2167="SEM",K2167="SEMI"),2,IF(OR(K2167="PRE",K2167="HEAT"),1,IF(V2167="YES",4,2))))</f>
        <v/>
      </c>
      <c r="M2167" s="33" t="inlineStr">
        <is>
          <t>LCM</t>
        </is>
      </c>
      <c r="N2167" s="33" t="n">
        <v>400</v>
      </c>
      <c r="O2167" s="33" t="inlineStr">
        <is>
          <t>Free</t>
        </is>
      </c>
      <c r="P2167" s="33" t="inlineStr">
        <is>
          <t>400 Free</t>
        </is>
      </c>
      <c r="Q2167" s="33" t="inlineStr">
        <is>
          <t>LCM_400_FREE</t>
        </is>
      </c>
      <c r="R2167" s="36" t="n">
        <v>240.53</v>
      </c>
      <c r="S2167" s="35">
        <f>IF(R2167="","",IF(R2167&gt;=60,INT(R2167/60)&amp;":"&amp;TEXT(MOD(R2167,60),"00.00"),TEXT(R2167,"0.00")))</f>
        <v/>
      </c>
      <c r="T2167" s="52">
        <f>IFERROR((G2167-INDEX('01_Swimmers'!$E$5:$E$22,MATCH(B2167,'01_Swimmers'!$A$5:$A$22,0)))/'00_Control'!$B$10,"")</f>
        <v/>
      </c>
      <c r="U2167" s="35">
        <f>IF(T2167="","",INT(T2167))</f>
        <v/>
      </c>
      <c r="V2167" s="33" t="inlineStr">
        <is>
          <t>NO</t>
        </is>
      </c>
      <c r="W2167" s="33" t="inlineStr">
        <is>
          <t>YES</t>
        </is>
      </c>
      <c r="X2167" s="33" t="inlineStr">
        <is>
          <t>NO</t>
        </is>
      </c>
      <c r="Y2167" s="33" t="n">
        <v>2</v>
      </c>
      <c r="Z2167" s="33" t="n">
        <v>4</v>
      </c>
      <c r="AA2167" s="33" t="inlineStr">
        <is>
          <t>3</t>
        </is>
      </c>
      <c r="AB2167" s="33" t="inlineStr">
        <is>
          <t>https://www.swimcloud.com/results/303388/event/24/?id=126749839#time126749839</t>
        </is>
      </c>
      <c r="AC2167" s="33" t="inlineStr">
        <is>
          <t>SwimCloud API v6 2026-10-08</t>
        </is>
      </c>
      <c r="AD2167" s="33" t="inlineStr">
        <is>
          <t>Luka Mijatovic|2024-05-26|LCM|400|Free|240.53|PC SCSC George Haines International|PRE|False</t>
        </is>
      </c>
      <c r="AE2167" s="53">
        <f>G2167+L2167/1000+ROW()/1000000000</f>
        <v/>
      </c>
      <c r="AF2167" s="35">
        <f>IF(C2167&lt;&gt;"Grayson Coulter","",COUNTIFS($C$5:$C$2991,"Grayson Coulter",$Q$5:$Q$2991,Q2167,$AE$5:$AE$2991,"&lt;="&amp;AE2167,$R$5:$R$2991,"&lt;"&amp;R2167))</f>
        <v/>
      </c>
      <c r="AG2167" s="35">
        <f>IF(OR(C2167&lt;&gt;"Grayson Coulter",G2167&lt;'00_Control'!$B$7),"",--(AF2167&lt;5))</f>
        <v/>
      </c>
      <c r="AH2167" s="35">
        <f>IF(OR(C2167&lt;&gt;"Grayson Coulter",G2167&lt;'00_Control'!$B$7),"",--(AF2167&lt;10))</f>
        <v/>
      </c>
      <c r="AI2167" s="35">
        <f>IF(AND(C2167="Grayson Coulter",G2167&gt;='00_Control'!$B$7),"YES","NO")</f>
        <v/>
      </c>
      <c r="AJ2167" s="33" t="inlineStr">
        <is>
          <t>OK</t>
        </is>
      </c>
    </row>
    <row r="2168">
      <c r="A2168" s="33" t="inlineStr">
        <is>
          <t>SM002164</t>
        </is>
      </c>
      <c r="B2168" s="33" t="inlineStr">
        <is>
          <t>SW003</t>
        </is>
      </c>
      <c r="C2168" s="33" t="inlineStr">
        <is>
          <t>Luka Mijatovic</t>
        </is>
      </c>
      <c r="D2168" s="33" t="inlineStr">
        <is>
          <t>SwimCloud</t>
        </is>
      </c>
      <c r="E2168" s="33" t="inlineStr">
        <is>
          <t>2415996</t>
        </is>
      </c>
      <c r="F2168" s="33" t="inlineStr">
        <is>
          <t>126749840</t>
        </is>
      </c>
      <c r="G2168" s="51" t="n">
        <v>45438</v>
      </c>
      <c r="H2168" s="33" t="inlineStr">
        <is>
          <t>PC SCSC George Haines International</t>
        </is>
      </c>
      <c r="I2168" s="33" t="inlineStr">
        <is>
          <t>303388</t>
        </is>
      </c>
      <c r="J2168" s="33" t="inlineStr"/>
      <c r="K2168" s="33" t="inlineStr">
        <is>
          <t>FIN</t>
        </is>
      </c>
      <c r="L2168" s="35">
        <f>IF(K2168="FIN",3,IF(OR(K2168="SEM",K2168="SEMI"),2,IF(OR(K2168="PRE",K2168="HEAT"),1,IF(V2168="YES",4,2))))</f>
        <v/>
      </c>
      <c r="M2168" s="33" t="inlineStr">
        <is>
          <t>LCM</t>
        </is>
      </c>
      <c r="N2168" s="33" t="n">
        <v>400</v>
      </c>
      <c r="O2168" s="33" t="inlineStr">
        <is>
          <t>Free</t>
        </is>
      </c>
      <c r="P2168" s="33" t="inlineStr">
        <is>
          <t>400 Free</t>
        </is>
      </c>
      <c r="Q2168" s="33" t="inlineStr">
        <is>
          <t>LCM_400_FREE</t>
        </is>
      </c>
      <c r="R2168" s="36" t="n">
        <v>232.45</v>
      </c>
      <c r="S2168" s="35">
        <f>IF(R2168="","",IF(R2168&gt;=60,INT(R2168/60)&amp;":"&amp;TEXT(MOD(R2168,60),"00.00"),TEXT(R2168,"0.00")))</f>
        <v/>
      </c>
      <c r="T2168" s="52">
        <f>IFERROR((G2168-INDEX('01_Swimmers'!$E$5:$E$22,MATCH(B2168,'01_Swimmers'!$A$5:$A$22,0)))/'00_Control'!$B$10,"")</f>
        <v/>
      </c>
      <c r="U2168" s="35">
        <f>IF(T2168="","",INT(T2168))</f>
        <v/>
      </c>
      <c r="V2168" s="33" t="inlineStr">
        <is>
          <t>NO</t>
        </is>
      </c>
      <c r="W2168" s="33" t="inlineStr">
        <is>
          <t>YES</t>
        </is>
      </c>
      <c r="X2168" s="33" t="inlineStr">
        <is>
          <t>NO</t>
        </is>
      </c>
      <c r="Y2168" s="33" t="n">
        <v>3</v>
      </c>
      <c r="Z2168" s="33" t="n">
        <v>3</v>
      </c>
      <c r="AA2168" s="33" t="inlineStr">
        <is>
          <t>2</t>
        </is>
      </c>
      <c r="AB2168" s="33" t="inlineStr">
        <is>
          <t>https://www.swimcloud.com/results/303388/event/24/?id=126749840#time126749840</t>
        </is>
      </c>
      <c r="AC2168" s="33" t="inlineStr">
        <is>
          <t>SwimCloud API v6 2026-10-08</t>
        </is>
      </c>
      <c r="AD2168" s="33" t="inlineStr">
        <is>
          <t>Luka Mijatovic|2024-05-26|LCM|400|Free|232.45|PC SCSC George Haines International|FIN|False</t>
        </is>
      </c>
      <c r="AE2168" s="53">
        <f>G2168+L2168/1000+ROW()/1000000000</f>
        <v/>
      </c>
      <c r="AF2168" s="35">
        <f>IF(C2168&lt;&gt;"Grayson Coulter","",COUNTIFS($C$5:$C$2991,"Grayson Coulter",$Q$5:$Q$2991,Q2168,$AE$5:$AE$2991,"&lt;="&amp;AE2168,$R$5:$R$2991,"&lt;"&amp;R2168))</f>
        <v/>
      </c>
      <c r="AG2168" s="35">
        <f>IF(OR(C2168&lt;&gt;"Grayson Coulter",G2168&lt;'00_Control'!$B$7),"",--(AF2168&lt;5))</f>
        <v/>
      </c>
      <c r="AH2168" s="35">
        <f>IF(OR(C2168&lt;&gt;"Grayson Coulter",G2168&lt;'00_Control'!$B$7),"",--(AF2168&lt;10))</f>
        <v/>
      </c>
      <c r="AI2168" s="35">
        <f>IF(AND(C2168="Grayson Coulter",G2168&gt;='00_Control'!$B$7),"YES","NO")</f>
        <v/>
      </c>
      <c r="AJ2168" s="33" t="inlineStr">
        <is>
          <t>OK</t>
        </is>
      </c>
    </row>
    <row r="2169">
      <c r="A2169" s="33" t="inlineStr">
        <is>
          <t>SM002165</t>
        </is>
      </c>
      <c r="B2169" s="33" t="inlineStr">
        <is>
          <t>SW003</t>
        </is>
      </c>
      <c r="C2169" s="33" t="inlineStr">
        <is>
          <t>Luka Mijatovic</t>
        </is>
      </c>
      <c r="D2169" s="33" t="inlineStr">
        <is>
          <t>SwimCloud</t>
        </is>
      </c>
      <c r="E2169" s="33" t="inlineStr">
        <is>
          <t>2415996</t>
        </is>
      </c>
      <c r="F2169" s="33" t="inlineStr">
        <is>
          <t>128578847</t>
        </is>
      </c>
      <c r="G2169" s="51" t="n">
        <v>45458</v>
      </c>
      <c r="H2169" s="33" t="inlineStr">
        <is>
          <t>US Olympic Team Trials</t>
        </is>
      </c>
      <c r="I2169" s="33" t="inlineStr">
        <is>
          <t>302718</t>
        </is>
      </c>
      <c r="J2169" s="33" t="inlineStr"/>
      <c r="K2169" s="33" t="inlineStr">
        <is>
          <t>PRE</t>
        </is>
      </c>
      <c r="L2169" s="35">
        <f>IF(K2169="FIN",3,IF(OR(K2169="SEM",K2169="SEMI"),2,IF(OR(K2169="PRE",K2169="HEAT"),1,IF(V2169="YES",4,2))))</f>
        <v/>
      </c>
      <c r="M2169" s="33" t="inlineStr">
        <is>
          <t>LCM</t>
        </is>
      </c>
      <c r="N2169" s="33" t="n">
        <v>400</v>
      </c>
      <c r="O2169" s="33" t="inlineStr">
        <is>
          <t>Free</t>
        </is>
      </c>
      <c r="P2169" s="33" t="inlineStr">
        <is>
          <t>400 Free</t>
        </is>
      </c>
      <c r="Q2169" s="33" t="inlineStr">
        <is>
          <t>LCM_400_FREE</t>
        </is>
      </c>
      <c r="R2169" s="36" t="n">
        <v>230.71</v>
      </c>
      <c r="S2169" s="35">
        <f>IF(R2169="","",IF(R2169&gt;=60,INT(R2169/60)&amp;":"&amp;TEXT(MOD(R2169,60),"00.00"),TEXT(R2169,"0.00")))</f>
        <v/>
      </c>
      <c r="T2169" s="52">
        <f>IFERROR((G2169-INDEX('01_Swimmers'!$E$5:$E$22,MATCH(B2169,'01_Swimmers'!$A$5:$A$22,0)))/'00_Control'!$B$10,"")</f>
        <v/>
      </c>
      <c r="U2169" s="35">
        <f>IF(T2169="","",INT(T2169))</f>
        <v/>
      </c>
      <c r="V2169" s="33" t="inlineStr">
        <is>
          <t>NO</t>
        </is>
      </c>
      <c r="W2169" s="33" t="inlineStr">
        <is>
          <t>YES</t>
        </is>
      </c>
      <c r="X2169" s="33" t="inlineStr">
        <is>
          <t>NO</t>
        </is>
      </c>
      <c r="Y2169" s="33" t="n">
        <v>6</v>
      </c>
      <c r="Z2169" s="33" t="n">
        <v>4</v>
      </c>
      <c r="AA2169" s="33" t="inlineStr">
        <is>
          <t>12</t>
        </is>
      </c>
      <c r="AB2169" s="33" t="inlineStr">
        <is>
          <t>https://www.swimcloud.com/results/302718/event/4/?id=128578847#time128578847</t>
        </is>
      </c>
      <c r="AC2169" s="33" t="inlineStr">
        <is>
          <t>SwimCloud API v6 2026-10-08</t>
        </is>
      </c>
      <c r="AD2169" s="33" t="inlineStr">
        <is>
          <t>Luka Mijatovic|2024-06-15|LCM|400|Free|230.71|US Olympic Team Trials|PRE|False</t>
        </is>
      </c>
      <c r="AE2169" s="53">
        <f>G2169+L2169/1000+ROW()/1000000000</f>
        <v/>
      </c>
      <c r="AF2169" s="35">
        <f>IF(C2169&lt;&gt;"Grayson Coulter","",COUNTIFS($C$5:$C$2991,"Grayson Coulter",$Q$5:$Q$2991,Q2169,$AE$5:$AE$2991,"&lt;="&amp;AE2169,$R$5:$R$2991,"&lt;"&amp;R2169))</f>
        <v/>
      </c>
      <c r="AG2169" s="35">
        <f>IF(OR(C2169&lt;&gt;"Grayson Coulter",G2169&lt;'00_Control'!$B$7),"",--(AF2169&lt;5))</f>
        <v/>
      </c>
      <c r="AH2169" s="35">
        <f>IF(OR(C2169&lt;&gt;"Grayson Coulter",G2169&lt;'00_Control'!$B$7),"",--(AF2169&lt;10))</f>
        <v/>
      </c>
      <c r="AI2169" s="35">
        <f>IF(AND(C2169="Grayson Coulter",G2169&gt;='00_Control'!$B$7),"YES","NO")</f>
        <v/>
      </c>
      <c r="AJ2169" s="33" t="inlineStr">
        <is>
          <t>OK</t>
        </is>
      </c>
    </row>
    <row r="2170">
      <c r="A2170" s="33" t="inlineStr">
        <is>
          <t>SM002166</t>
        </is>
      </c>
      <c r="B2170" s="33" t="inlineStr">
        <is>
          <t>SW003</t>
        </is>
      </c>
      <c r="C2170" s="33" t="inlineStr">
        <is>
          <t>Luka Mijatovic</t>
        </is>
      </c>
      <c r="D2170" s="33" t="inlineStr">
        <is>
          <t>SwimCloud</t>
        </is>
      </c>
      <c r="E2170" s="33" t="inlineStr">
        <is>
          <t>2415996</t>
        </is>
      </c>
      <c r="F2170" s="33" t="inlineStr">
        <is>
          <t>128578846</t>
        </is>
      </c>
      <c r="G2170" s="51" t="n">
        <v>45459</v>
      </c>
      <c r="H2170" s="33" t="inlineStr">
        <is>
          <t>US Olympic Team Trials</t>
        </is>
      </c>
      <c r="I2170" s="33" t="inlineStr">
        <is>
          <t>302718</t>
        </is>
      </c>
      <c r="J2170" s="33" t="inlineStr"/>
      <c r="K2170" s="33" t="inlineStr">
        <is>
          <t>PRE</t>
        </is>
      </c>
      <c r="L2170" s="35">
        <f>IF(K2170="FIN",3,IF(OR(K2170="SEM",K2170="SEMI"),2,IF(OR(K2170="PRE",K2170="HEAT"),1,IF(V2170="YES",4,2))))</f>
        <v/>
      </c>
      <c r="M2170" s="33" t="inlineStr">
        <is>
          <t>LCM</t>
        </is>
      </c>
      <c r="N2170" s="33" t="n">
        <v>200</v>
      </c>
      <c r="O2170" s="33" t="inlineStr">
        <is>
          <t>Free</t>
        </is>
      </c>
      <c r="P2170" s="33" t="inlineStr">
        <is>
          <t>200 Free</t>
        </is>
      </c>
      <c r="Q2170" s="33" t="inlineStr">
        <is>
          <t>LCM_200_FREE</t>
        </is>
      </c>
      <c r="R2170" s="36" t="n">
        <v>108.98</v>
      </c>
      <c r="S2170" s="35">
        <f>IF(R2170="","",IF(R2170&gt;=60,INT(R2170/60)&amp;":"&amp;TEXT(MOD(R2170,60),"00.00"),TEXT(R2170,"0.00")))</f>
        <v/>
      </c>
      <c r="T2170" s="52">
        <f>IFERROR((G2170-INDEX('01_Swimmers'!$E$5:$E$22,MATCH(B2170,'01_Swimmers'!$A$5:$A$22,0)))/'00_Control'!$B$10,"")</f>
        <v/>
      </c>
      <c r="U2170" s="35">
        <f>IF(T2170="","",INT(T2170))</f>
        <v/>
      </c>
      <c r="V2170" s="33" t="inlineStr">
        <is>
          <t>NO</t>
        </is>
      </c>
      <c r="W2170" s="33" t="inlineStr">
        <is>
          <t>YES</t>
        </is>
      </c>
      <c r="X2170" s="33" t="inlineStr">
        <is>
          <t>NO</t>
        </is>
      </c>
      <c r="Y2170" s="33" t="n">
        <v>2</v>
      </c>
      <c r="Z2170" s="33" t="n">
        <v>3</v>
      </c>
      <c r="AA2170" s="33" t="inlineStr">
        <is>
          <t>32</t>
        </is>
      </c>
      <c r="AB2170" s="33" t="inlineStr">
        <is>
          <t>https://www.swimcloud.com/results/302718/event/5/?id=128578846#time128578846</t>
        </is>
      </c>
      <c r="AC2170" s="33" t="inlineStr">
        <is>
          <t>SwimCloud API v6 2026-10-08</t>
        </is>
      </c>
      <c r="AD2170" s="33" t="inlineStr">
        <is>
          <t>Luka Mijatovic|2024-06-16|LCM|200|Free|108.98|US Olympic Team Trials|PRE|False</t>
        </is>
      </c>
      <c r="AE2170" s="53">
        <f>G2170+L2170/1000+ROW()/1000000000</f>
        <v/>
      </c>
      <c r="AF2170" s="35">
        <f>IF(C2170&lt;&gt;"Grayson Coulter","",COUNTIFS($C$5:$C$2991,"Grayson Coulter",$Q$5:$Q$2991,Q2170,$AE$5:$AE$2991,"&lt;="&amp;AE2170,$R$5:$R$2991,"&lt;"&amp;R2170))</f>
        <v/>
      </c>
      <c r="AG2170" s="35">
        <f>IF(OR(C2170&lt;&gt;"Grayson Coulter",G2170&lt;'00_Control'!$B$7),"",--(AF2170&lt;5))</f>
        <v/>
      </c>
      <c r="AH2170" s="35">
        <f>IF(OR(C2170&lt;&gt;"Grayson Coulter",G2170&lt;'00_Control'!$B$7),"",--(AF2170&lt;10))</f>
        <v/>
      </c>
      <c r="AI2170" s="35">
        <f>IF(AND(C2170="Grayson Coulter",G2170&gt;='00_Control'!$B$7),"YES","NO")</f>
        <v/>
      </c>
      <c r="AJ2170" s="33" t="inlineStr">
        <is>
          <t>OK</t>
        </is>
      </c>
    </row>
    <row r="2171">
      <c r="A2171" s="33" t="inlineStr">
        <is>
          <t>SM002167</t>
        </is>
      </c>
      <c r="B2171" s="33" t="inlineStr">
        <is>
          <t>SW003</t>
        </is>
      </c>
      <c r="C2171" s="33" t="inlineStr">
        <is>
          <t>Luka Mijatovic</t>
        </is>
      </c>
      <c r="D2171" s="33" t="inlineStr">
        <is>
          <t>SwimCloud</t>
        </is>
      </c>
      <c r="E2171" s="33" t="inlineStr">
        <is>
          <t>2415996</t>
        </is>
      </c>
      <c r="F2171" s="33" t="inlineStr">
        <is>
          <t>129462745</t>
        </is>
      </c>
      <c r="G2171" s="51" t="n">
        <v>45486</v>
      </c>
      <c r="H2171" s="33" t="inlineStr">
        <is>
          <t>PC SRN Neptune Swimming Fall Classic</t>
        </is>
      </c>
      <c r="I2171" s="33" t="inlineStr">
        <is>
          <t>307811</t>
        </is>
      </c>
      <c r="J2171" s="33" t="inlineStr"/>
      <c r="K2171" s="33" t="inlineStr">
        <is>
          <t>PRE</t>
        </is>
      </c>
      <c r="L2171" s="35">
        <f>IF(K2171="FIN",3,IF(OR(K2171="SEM",K2171="SEMI"),2,IF(OR(K2171="PRE",K2171="HEAT"),1,IF(V2171="YES",4,2))))</f>
        <v/>
      </c>
      <c r="M2171" s="33" t="inlineStr">
        <is>
          <t>LCM</t>
        </is>
      </c>
      <c r="N2171" s="33" t="n">
        <v>100</v>
      </c>
      <c r="O2171" s="33" t="inlineStr">
        <is>
          <t>Fly</t>
        </is>
      </c>
      <c r="P2171" s="33" t="inlineStr">
        <is>
          <t>100 Fly</t>
        </is>
      </c>
      <c r="Q2171" s="33" t="inlineStr">
        <is>
          <t>LCM_100_FLY</t>
        </is>
      </c>
      <c r="R2171" s="36" t="n">
        <v>56.07</v>
      </c>
      <c r="S2171" s="35">
        <f>IF(R2171="","",IF(R2171&gt;=60,INT(R2171/60)&amp;":"&amp;TEXT(MOD(R2171,60),"00.00"),TEXT(R2171,"0.00")))</f>
        <v/>
      </c>
      <c r="T2171" s="52">
        <f>IFERROR((G2171-INDEX('01_Swimmers'!$E$5:$E$22,MATCH(B2171,'01_Swimmers'!$A$5:$A$22,0)))/'00_Control'!$B$10,"")</f>
        <v/>
      </c>
      <c r="U2171" s="35">
        <f>IF(T2171="","",INT(T2171))</f>
        <v/>
      </c>
      <c r="V2171" s="33" t="inlineStr">
        <is>
          <t>NO</t>
        </is>
      </c>
      <c r="W2171" s="33" t="inlineStr">
        <is>
          <t>YES</t>
        </is>
      </c>
      <c r="X2171" s="33" t="inlineStr">
        <is>
          <t>NO</t>
        </is>
      </c>
      <c r="Y2171" s="33" t="n">
        <v>1</v>
      </c>
      <c r="Z2171" s="33" t="n">
        <v>3</v>
      </c>
      <c r="AA2171" s="33" t="inlineStr">
        <is>
          <t>2</t>
        </is>
      </c>
      <c r="AB2171" s="33" t="inlineStr">
        <is>
          <t>https://www.swimcloud.com/results/307811/event/14/?id=129462745#time129462745</t>
        </is>
      </c>
      <c r="AC2171" s="33" t="inlineStr">
        <is>
          <t>SwimCloud API v6 2026-10-08</t>
        </is>
      </c>
      <c r="AD2171" s="33" t="inlineStr">
        <is>
          <t>Luka Mijatovic|2024-07-13|LCM|100|Fly|56.07|PC SRN Neptune Swimming Fall Classic|PRE|False</t>
        </is>
      </c>
      <c r="AE2171" s="53">
        <f>G2171+L2171/1000+ROW()/1000000000</f>
        <v/>
      </c>
      <c r="AF2171" s="35">
        <f>IF(C2171&lt;&gt;"Grayson Coulter","",COUNTIFS($C$5:$C$2991,"Grayson Coulter",$Q$5:$Q$2991,Q2171,$AE$5:$AE$2991,"&lt;="&amp;AE2171,$R$5:$R$2991,"&lt;"&amp;R2171))</f>
        <v/>
      </c>
      <c r="AG2171" s="35">
        <f>IF(OR(C2171&lt;&gt;"Grayson Coulter",G2171&lt;'00_Control'!$B$7),"",--(AF2171&lt;5))</f>
        <v/>
      </c>
      <c r="AH2171" s="35">
        <f>IF(OR(C2171&lt;&gt;"Grayson Coulter",G2171&lt;'00_Control'!$B$7),"",--(AF2171&lt;10))</f>
        <v/>
      </c>
      <c r="AI2171" s="35">
        <f>IF(AND(C2171="Grayson Coulter",G2171&gt;='00_Control'!$B$7),"YES","NO")</f>
        <v/>
      </c>
      <c r="AJ2171" s="33" t="inlineStr">
        <is>
          <t>OK</t>
        </is>
      </c>
    </row>
    <row r="2172">
      <c r="A2172" s="33" t="inlineStr">
        <is>
          <t>SM002168</t>
        </is>
      </c>
      <c r="B2172" s="33" t="inlineStr">
        <is>
          <t>SW003</t>
        </is>
      </c>
      <c r="C2172" s="33" t="inlineStr">
        <is>
          <t>Luka Mijatovic</t>
        </is>
      </c>
      <c r="D2172" s="33" t="inlineStr">
        <is>
          <t>SwimCloud</t>
        </is>
      </c>
      <c r="E2172" s="33" t="inlineStr">
        <is>
          <t>2415996</t>
        </is>
      </c>
      <c r="F2172" s="33" t="inlineStr">
        <is>
          <t>129462746</t>
        </is>
      </c>
      <c r="G2172" s="51" t="n">
        <v>45486</v>
      </c>
      <c r="H2172" s="33" t="inlineStr">
        <is>
          <t>PC SRN Neptune Swimming Fall Classic</t>
        </is>
      </c>
      <c r="I2172" s="33" t="inlineStr">
        <is>
          <t>307811</t>
        </is>
      </c>
      <c r="J2172" s="33" t="inlineStr"/>
      <c r="K2172" s="33" t="inlineStr">
        <is>
          <t>FIN</t>
        </is>
      </c>
      <c r="L2172" s="35">
        <f>IF(K2172="FIN",3,IF(OR(K2172="SEM",K2172="SEMI"),2,IF(OR(K2172="PRE",K2172="HEAT"),1,IF(V2172="YES",4,2))))</f>
        <v/>
      </c>
      <c r="M2172" s="33" t="inlineStr">
        <is>
          <t>LCM</t>
        </is>
      </c>
      <c r="N2172" s="33" t="n">
        <v>100</v>
      </c>
      <c r="O2172" s="33" t="inlineStr">
        <is>
          <t>Fly</t>
        </is>
      </c>
      <c r="P2172" s="33" t="inlineStr">
        <is>
          <t>100 Fly</t>
        </is>
      </c>
      <c r="Q2172" s="33" t="inlineStr">
        <is>
          <t>LCM_100_FLY</t>
        </is>
      </c>
      <c r="R2172" s="36" t="n">
        <v>55.26</v>
      </c>
      <c r="S2172" s="35">
        <f>IF(R2172="","",IF(R2172&gt;=60,INT(R2172/60)&amp;":"&amp;TEXT(MOD(R2172,60),"00.00"),TEXT(R2172,"0.00")))</f>
        <v/>
      </c>
      <c r="T2172" s="52">
        <f>IFERROR((G2172-INDEX('01_Swimmers'!$E$5:$E$22,MATCH(B2172,'01_Swimmers'!$A$5:$A$22,0)))/'00_Control'!$B$10,"")</f>
        <v/>
      </c>
      <c r="U2172" s="35">
        <f>IF(T2172="","",INT(T2172))</f>
        <v/>
      </c>
      <c r="V2172" s="33" t="inlineStr">
        <is>
          <t>NO</t>
        </is>
      </c>
      <c r="W2172" s="33" t="inlineStr">
        <is>
          <t>YES</t>
        </is>
      </c>
      <c r="X2172" s="33" t="inlineStr">
        <is>
          <t>NO</t>
        </is>
      </c>
      <c r="Y2172" s="33" t="n">
        <v>1</v>
      </c>
      <c r="Z2172" s="33" t="n">
        <v>4</v>
      </c>
      <c r="AA2172" s="33" t="inlineStr">
        <is>
          <t>1</t>
        </is>
      </c>
      <c r="AB2172" s="33" t="inlineStr">
        <is>
          <t>https://www.swimcloud.com/results/307811/event/14/?id=129462746#time129462746</t>
        </is>
      </c>
      <c r="AC2172" s="33" t="inlineStr">
        <is>
          <t>SwimCloud API v6 2026-10-08</t>
        </is>
      </c>
      <c r="AD2172" s="33" t="inlineStr">
        <is>
          <t>Luka Mijatovic|2024-07-13|LCM|100|Fly|55.26|PC SRN Neptune Swimming Fall Classic|FIN|False</t>
        </is>
      </c>
      <c r="AE2172" s="53">
        <f>G2172+L2172/1000+ROW()/1000000000</f>
        <v/>
      </c>
      <c r="AF2172" s="35">
        <f>IF(C2172&lt;&gt;"Grayson Coulter","",COUNTIFS($C$5:$C$2991,"Grayson Coulter",$Q$5:$Q$2991,Q2172,$AE$5:$AE$2991,"&lt;="&amp;AE2172,$R$5:$R$2991,"&lt;"&amp;R2172))</f>
        <v/>
      </c>
      <c r="AG2172" s="35">
        <f>IF(OR(C2172&lt;&gt;"Grayson Coulter",G2172&lt;'00_Control'!$B$7),"",--(AF2172&lt;5))</f>
        <v/>
      </c>
      <c r="AH2172" s="35">
        <f>IF(OR(C2172&lt;&gt;"Grayson Coulter",G2172&lt;'00_Control'!$B$7),"",--(AF2172&lt;10))</f>
        <v/>
      </c>
      <c r="AI2172" s="35">
        <f>IF(AND(C2172="Grayson Coulter",G2172&gt;='00_Control'!$B$7),"YES","NO")</f>
        <v/>
      </c>
      <c r="AJ2172" s="33" t="inlineStr">
        <is>
          <t>OK</t>
        </is>
      </c>
    </row>
    <row r="2173">
      <c r="A2173" s="33" t="inlineStr">
        <is>
          <t>SM002169</t>
        </is>
      </c>
      <c r="B2173" s="33" t="inlineStr">
        <is>
          <t>SW003</t>
        </is>
      </c>
      <c r="C2173" s="33" t="inlineStr">
        <is>
          <t>Luka Mijatovic</t>
        </is>
      </c>
      <c r="D2173" s="33" t="inlineStr">
        <is>
          <t>SwimCloud</t>
        </is>
      </c>
      <c r="E2173" s="33" t="inlineStr">
        <is>
          <t>2415996</t>
        </is>
      </c>
      <c r="F2173" s="33" t="inlineStr">
        <is>
          <t>129463232</t>
        </is>
      </c>
      <c r="G2173" s="51" t="n">
        <v>45487</v>
      </c>
      <c r="H2173" s="33" t="inlineStr">
        <is>
          <t>PC SRN Neptune Swimming Fall Classic</t>
        </is>
      </c>
      <c r="I2173" s="33" t="inlineStr">
        <is>
          <t>307811</t>
        </is>
      </c>
      <c r="J2173" s="33" t="inlineStr"/>
      <c r="K2173" s="33" t="inlineStr">
        <is>
          <t>PRE</t>
        </is>
      </c>
      <c r="L2173" s="35">
        <f>IF(K2173="FIN",3,IF(OR(K2173="SEM",K2173="SEMI"),2,IF(OR(K2173="PRE",K2173="HEAT"),1,IF(V2173="YES",4,2))))</f>
        <v/>
      </c>
      <c r="M2173" s="33" t="inlineStr">
        <is>
          <t>LCM</t>
        </is>
      </c>
      <c r="N2173" s="33" t="n">
        <v>100</v>
      </c>
      <c r="O2173" s="33" t="inlineStr">
        <is>
          <t>Free</t>
        </is>
      </c>
      <c r="P2173" s="33" t="inlineStr">
        <is>
          <t>100 Free</t>
        </is>
      </c>
      <c r="Q2173" s="33" t="inlineStr">
        <is>
          <t>LCM_100_FREE</t>
        </is>
      </c>
      <c r="R2173" s="36" t="n">
        <v>51.41</v>
      </c>
      <c r="S2173" s="35">
        <f>IF(R2173="","",IF(R2173&gt;=60,INT(R2173/60)&amp;":"&amp;TEXT(MOD(R2173,60),"00.00"),TEXT(R2173,"0.00")))</f>
        <v/>
      </c>
      <c r="T2173" s="52">
        <f>IFERROR((G2173-INDEX('01_Swimmers'!$E$5:$E$22,MATCH(B2173,'01_Swimmers'!$A$5:$A$22,0)))/'00_Control'!$B$10,"")</f>
        <v/>
      </c>
      <c r="U2173" s="35">
        <f>IF(T2173="","",INT(T2173))</f>
        <v/>
      </c>
      <c r="V2173" s="33" t="inlineStr">
        <is>
          <t>NO</t>
        </is>
      </c>
      <c r="W2173" s="33" t="inlineStr">
        <is>
          <t>YES</t>
        </is>
      </c>
      <c r="X2173" s="33" t="inlineStr">
        <is>
          <t>NO</t>
        </is>
      </c>
      <c r="Y2173" s="33" t="n">
        <v>3</v>
      </c>
      <c r="Z2173" s="33" t="n">
        <v>5</v>
      </c>
      <c r="AA2173" s="33" t="inlineStr">
        <is>
          <t>2</t>
        </is>
      </c>
      <c r="AB2173" s="33" t="inlineStr">
        <is>
          <t>https://www.swimcloud.com/results/307811/event/24/?id=129463232#time129463232</t>
        </is>
      </c>
      <c r="AC2173" s="33" t="inlineStr">
        <is>
          <t>SwimCloud API v6 2026-10-08</t>
        </is>
      </c>
      <c r="AD2173" s="33" t="inlineStr">
        <is>
          <t>Luka Mijatovic|2024-07-14|LCM|100|Free|51.41|PC SRN Neptune Swimming Fall Classic|PRE|False</t>
        </is>
      </c>
      <c r="AE2173" s="53">
        <f>G2173+L2173/1000+ROW()/1000000000</f>
        <v/>
      </c>
      <c r="AF2173" s="35">
        <f>IF(C2173&lt;&gt;"Grayson Coulter","",COUNTIFS($C$5:$C$2991,"Grayson Coulter",$Q$5:$Q$2991,Q2173,$AE$5:$AE$2991,"&lt;="&amp;AE2173,$R$5:$R$2991,"&lt;"&amp;R2173))</f>
        <v/>
      </c>
      <c r="AG2173" s="35">
        <f>IF(OR(C2173&lt;&gt;"Grayson Coulter",G2173&lt;'00_Control'!$B$7),"",--(AF2173&lt;5))</f>
        <v/>
      </c>
      <c r="AH2173" s="35">
        <f>IF(OR(C2173&lt;&gt;"Grayson Coulter",G2173&lt;'00_Control'!$B$7),"",--(AF2173&lt;10))</f>
        <v/>
      </c>
      <c r="AI2173" s="35">
        <f>IF(AND(C2173="Grayson Coulter",G2173&gt;='00_Control'!$B$7),"YES","NO")</f>
        <v/>
      </c>
      <c r="AJ2173" s="33" t="inlineStr">
        <is>
          <t>OK</t>
        </is>
      </c>
    </row>
    <row r="2174">
      <c r="A2174" s="33" t="inlineStr">
        <is>
          <t>SM002170</t>
        </is>
      </c>
      <c r="B2174" s="33" t="inlineStr">
        <is>
          <t>SW003</t>
        </is>
      </c>
      <c r="C2174" s="33" t="inlineStr">
        <is>
          <t>Luka Mijatovic</t>
        </is>
      </c>
      <c r="D2174" s="33" t="inlineStr">
        <is>
          <t>SwimCloud</t>
        </is>
      </c>
      <c r="E2174" s="33" t="inlineStr">
        <is>
          <t>2415996</t>
        </is>
      </c>
      <c r="F2174" s="33" t="inlineStr">
        <is>
          <t>129463233</t>
        </is>
      </c>
      <c r="G2174" s="51" t="n">
        <v>45487</v>
      </c>
      <c r="H2174" s="33" t="inlineStr">
        <is>
          <t>PC SRN Neptune Swimming Fall Classic</t>
        </is>
      </c>
      <c r="I2174" s="33" t="inlineStr">
        <is>
          <t>307811</t>
        </is>
      </c>
      <c r="J2174" s="33" t="inlineStr"/>
      <c r="K2174" s="33" t="inlineStr">
        <is>
          <t>FIN</t>
        </is>
      </c>
      <c r="L2174" s="35">
        <f>IF(K2174="FIN",3,IF(OR(K2174="SEM",K2174="SEMI"),2,IF(OR(K2174="PRE",K2174="HEAT"),1,IF(V2174="YES",4,2))))</f>
        <v/>
      </c>
      <c r="M2174" s="33" t="inlineStr">
        <is>
          <t>LCM</t>
        </is>
      </c>
      <c r="N2174" s="33" t="n">
        <v>100</v>
      </c>
      <c r="O2174" s="33" t="inlineStr">
        <is>
          <t>Free</t>
        </is>
      </c>
      <c r="P2174" s="33" t="inlineStr">
        <is>
          <t>100 Free</t>
        </is>
      </c>
      <c r="Q2174" s="33" t="inlineStr">
        <is>
          <t>LCM_100_FREE</t>
        </is>
      </c>
      <c r="R2174" s="36" t="n">
        <v>50.63</v>
      </c>
      <c r="S2174" s="35">
        <f>IF(R2174="","",IF(R2174&gt;=60,INT(R2174/60)&amp;":"&amp;TEXT(MOD(R2174,60),"00.00"),TEXT(R2174,"0.00")))</f>
        <v/>
      </c>
      <c r="T2174" s="52">
        <f>IFERROR((G2174-INDEX('01_Swimmers'!$E$5:$E$22,MATCH(B2174,'01_Swimmers'!$A$5:$A$22,0)))/'00_Control'!$B$10,"")</f>
        <v/>
      </c>
      <c r="U2174" s="35">
        <f>IF(T2174="","",INT(T2174))</f>
        <v/>
      </c>
      <c r="V2174" s="33" t="inlineStr">
        <is>
          <t>NO</t>
        </is>
      </c>
      <c r="W2174" s="33" t="inlineStr">
        <is>
          <t>YES</t>
        </is>
      </c>
      <c r="X2174" s="33" t="inlineStr">
        <is>
          <t>NO</t>
        </is>
      </c>
      <c r="Y2174" s="33" t="n">
        <v>1</v>
      </c>
      <c r="Z2174" s="33" t="n">
        <v>5</v>
      </c>
      <c r="AA2174" s="33" t="inlineStr">
        <is>
          <t>2</t>
        </is>
      </c>
      <c r="AB2174" s="33" t="inlineStr">
        <is>
          <t>https://www.swimcloud.com/results/307811/event/24/?id=129463233#time129463233</t>
        </is>
      </c>
      <c r="AC2174" s="33" t="inlineStr">
        <is>
          <t>SwimCloud API v6 2026-10-08</t>
        </is>
      </c>
      <c r="AD2174" s="33" t="inlineStr">
        <is>
          <t>Luka Mijatovic|2024-07-14|LCM|100|Free|50.63|PC SRN Neptune Swimming Fall Classic|FIN|False</t>
        </is>
      </c>
      <c r="AE2174" s="53">
        <f>G2174+L2174/1000+ROW()/1000000000</f>
        <v/>
      </c>
      <c r="AF2174" s="35">
        <f>IF(C2174&lt;&gt;"Grayson Coulter","",COUNTIFS($C$5:$C$2991,"Grayson Coulter",$Q$5:$Q$2991,Q2174,$AE$5:$AE$2991,"&lt;="&amp;AE2174,$R$5:$R$2991,"&lt;"&amp;R2174))</f>
        <v/>
      </c>
      <c r="AG2174" s="35">
        <f>IF(OR(C2174&lt;&gt;"Grayson Coulter",G2174&lt;'00_Control'!$B$7),"",--(AF2174&lt;5))</f>
        <v/>
      </c>
      <c r="AH2174" s="35">
        <f>IF(OR(C2174&lt;&gt;"Grayson Coulter",G2174&lt;'00_Control'!$B$7),"",--(AF2174&lt;10))</f>
        <v/>
      </c>
      <c r="AI2174" s="35">
        <f>IF(AND(C2174="Grayson Coulter",G2174&gt;='00_Control'!$B$7),"YES","NO")</f>
        <v/>
      </c>
      <c r="AJ2174" s="33" t="inlineStr">
        <is>
          <t>OK</t>
        </is>
      </c>
    </row>
    <row r="2175">
      <c r="A2175" s="33" t="inlineStr">
        <is>
          <t>SM002171</t>
        </is>
      </c>
      <c r="B2175" s="33" t="inlineStr">
        <is>
          <t>SW003</t>
        </is>
      </c>
      <c r="C2175" s="33" t="inlineStr">
        <is>
          <t>Luka Mijatovic</t>
        </is>
      </c>
      <c r="D2175" s="33" t="inlineStr">
        <is>
          <t>SwimCloud</t>
        </is>
      </c>
      <c r="E2175" s="33" t="inlineStr">
        <is>
          <t>2415996</t>
        </is>
      </c>
      <c r="F2175" s="33" t="inlineStr">
        <is>
          <t>130024462</t>
        </is>
      </c>
      <c r="G2175" s="51" t="n">
        <v>45498</v>
      </c>
      <c r="H2175" s="33" t="inlineStr">
        <is>
          <t>Speedo Summer Championships</t>
        </is>
      </c>
      <c r="I2175" s="33" t="inlineStr">
        <is>
          <t>274529</t>
        </is>
      </c>
      <c r="J2175" s="33" t="inlineStr"/>
      <c r="K2175" s="33" t="inlineStr">
        <is>
          <t>PRE</t>
        </is>
      </c>
      <c r="L2175" s="35">
        <f>IF(K2175="FIN",3,IF(OR(K2175="SEM",K2175="SEMI"),2,IF(OR(K2175="PRE",K2175="HEAT"),1,IF(V2175="YES",4,2))))</f>
        <v/>
      </c>
      <c r="M2175" s="33" t="inlineStr">
        <is>
          <t>LCM</t>
        </is>
      </c>
      <c r="N2175" s="33" t="n">
        <v>400</v>
      </c>
      <c r="O2175" s="33" t="inlineStr">
        <is>
          <t>Free</t>
        </is>
      </c>
      <c r="P2175" s="33" t="inlineStr">
        <is>
          <t>400 Free</t>
        </is>
      </c>
      <c r="Q2175" s="33" t="inlineStr">
        <is>
          <t>LCM_400_FREE</t>
        </is>
      </c>
      <c r="R2175" s="36" t="n">
        <v>233.86</v>
      </c>
      <c r="S2175" s="35">
        <f>IF(R2175="","",IF(R2175&gt;=60,INT(R2175/60)&amp;":"&amp;TEXT(MOD(R2175,60),"00.00"),TEXT(R2175,"0.00")))</f>
        <v/>
      </c>
      <c r="T2175" s="52">
        <f>IFERROR((G2175-INDEX('01_Swimmers'!$E$5:$E$22,MATCH(B2175,'01_Swimmers'!$A$5:$A$22,0)))/'00_Control'!$B$10,"")</f>
        <v/>
      </c>
      <c r="U2175" s="35">
        <f>IF(T2175="","",INT(T2175))</f>
        <v/>
      </c>
      <c r="V2175" s="33" t="inlineStr">
        <is>
          <t>NO</t>
        </is>
      </c>
      <c r="W2175" s="33" t="inlineStr">
        <is>
          <t>YES</t>
        </is>
      </c>
      <c r="X2175" s="33" t="inlineStr">
        <is>
          <t>NO</t>
        </is>
      </c>
      <c r="Y2175" s="33" t="n">
        <v>6</v>
      </c>
      <c r="Z2175" s="33" t="n">
        <v>5</v>
      </c>
      <c r="AA2175" s="33" t="inlineStr">
        <is>
          <t>5</t>
        </is>
      </c>
      <c r="AB2175" s="33" t="inlineStr">
        <is>
          <t>https://www.swimcloud.com/results/274529/event/16/?id=130024462#time130024462</t>
        </is>
      </c>
      <c r="AC2175" s="33" t="inlineStr">
        <is>
          <t>SwimCloud API v6 2026-10-08</t>
        </is>
      </c>
      <c r="AD2175" s="33" t="inlineStr">
        <is>
          <t>Luka Mijatovic|2024-07-25|LCM|400|Free|233.86|Speedo Summer Championships|PRE|False</t>
        </is>
      </c>
      <c r="AE2175" s="53">
        <f>G2175+L2175/1000+ROW()/1000000000</f>
        <v/>
      </c>
      <c r="AF2175" s="35">
        <f>IF(C2175&lt;&gt;"Grayson Coulter","",COUNTIFS($C$5:$C$2991,"Grayson Coulter",$Q$5:$Q$2991,Q2175,$AE$5:$AE$2991,"&lt;="&amp;AE2175,$R$5:$R$2991,"&lt;"&amp;R2175))</f>
        <v/>
      </c>
      <c r="AG2175" s="35">
        <f>IF(OR(C2175&lt;&gt;"Grayson Coulter",G2175&lt;'00_Control'!$B$7),"",--(AF2175&lt;5))</f>
        <v/>
      </c>
      <c r="AH2175" s="35">
        <f>IF(OR(C2175&lt;&gt;"Grayson Coulter",G2175&lt;'00_Control'!$B$7),"",--(AF2175&lt;10))</f>
        <v/>
      </c>
      <c r="AI2175" s="35">
        <f>IF(AND(C2175="Grayson Coulter",G2175&gt;='00_Control'!$B$7),"YES","NO")</f>
        <v/>
      </c>
      <c r="AJ2175" s="33" t="inlineStr">
        <is>
          <t>OK</t>
        </is>
      </c>
    </row>
    <row r="2176">
      <c r="A2176" s="33" t="inlineStr">
        <is>
          <t>SM002172</t>
        </is>
      </c>
      <c r="B2176" s="33" t="inlineStr">
        <is>
          <t>SW003</t>
        </is>
      </c>
      <c r="C2176" s="33" t="inlineStr">
        <is>
          <t>Luka Mijatovic</t>
        </is>
      </c>
      <c r="D2176" s="33" t="inlineStr">
        <is>
          <t>SwimCloud</t>
        </is>
      </c>
      <c r="E2176" s="33" t="inlineStr">
        <is>
          <t>2415996</t>
        </is>
      </c>
      <c r="F2176" s="33" t="inlineStr">
        <is>
          <t>130024463</t>
        </is>
      </c>
      <c r="G2176" s="51" t="n">
        <v>45498</v>
      </c>
      <c r="H2176" s="33" t="inlineStr">
        <is>
          <t>Speedo Summer Championships</t>
        </is>
      </c>
      <c r="I2176" s="33" t="inlineStr">
        <is>
          <t>274529</t>
        </is>
      </c>
      <c r="J2176" s="33" t="inlineStr"/>
      <c r="K2176" s="33" t="inlineStr">
        <is>
          <t>FIN</t>
        </is>
      </c>
      <c r="L2176" s="35">
        <f>IF(K2176="FIN",3,IF(OR(K2176="SEM",K2176="SEMI"),2,IF(OR(K2176="PRE",K2176="HEAT"),1,IF(V2176="YES",4,2))))</f>
        <v/>
      </c>
      <c r="M2176" s="33" t="inlineStr">
        <is>
          <t>LCM</t>
        </is>
      </c>
      <c r="N2176" s="33" t="n">
        <v>400</v>
      </c>
      <c r="O2176" s="33" t="inlineStr">
        <is>
          <t>Free</t>
        </is>
      </c>
      <c r="P2176" s="33" t="inlineStr">
        <is>
          <t>400 Free</t>
        </is>
      </c>
      <c r="Q2176" s="33" t="inlineStr">
        <is>
          <t>LCM_400_FREE</t>
        </is>
      </c>
      <c r="R2176" s="36" t="n">
        <v>231.38</v>
      </c>
      <c r="S2176" s="35">
        <f>IF(R2176="","",IF(R2176&gt;=60,INT(R2176/60)&amp;":"&amp;TEXT(MOD(R2176,60),"00.00"),TEXT(R2176,"0.00")))</f>
        <v/>
      </c>
      <c r="T2176" s="52">
        <f>IFERROR((G2176-INDEX('01_Swimmers'!$E$5:$E$22,MATCH(B2176,'01_Swimmers'!$A$5:$A$22,0)))/'00_Control'!$B$10,"")</f>
        <v/>
      </c>
      <c r="U2176" s="35">
        <f>IF(T2176="","",INT(T2176))</f>
        <v/>
      </c>
      <c r="V2176" s="33" t="inlineStr">
        <is>
          <t>NO</t>
        </is>
      </c>
      <c r="W2176" s="33" t="inlineStr">
        <is>
          <t>YES</t>
        </is>
      </c>
      <c r="X2176" s="33" t="inlineStr">
        <is>
          <t>NO</t>
        </is>
      </c>
      <c r="Y2176" s="33" t="n">
        <v>4</v>
      </c>
      <c r="Z2176" s="33" t="n">
        <v>2</v>
      </c>
      <c r="AA2176" s="33" t="inlineStr">
        <is>
          <t>4</t>
        </is>
      </c>
      <c r="AB2176" s="33" t="inlineStr">
        <is>
          <t>https://www.swimcloud.com/results/274529/event/16/?id=130024463#time130024463</t>
        </is>
      </c>
      <c r="AC2176" s="33" t="inlineStr">
        <is>
          <t>SwimCloud API v6 2026-10-08</t>
        </is>
      </c>
      <c r="AD2176" s="33" t="inlineStr">
        <is>
          <t>Luka Mijatovic|2024-07-25|LCM|400|Free|231.38|Speedo Summer Championships|FIN|False</t>
        </is>
      </c>
      <c r="AE2176" s="53">
        <f>G2176+L2176/1000+ROW()/1000000000</f>
        <v/>
      </c>
      <c r="AF2176" s="35">
        <f>IF(C2176&lt;&gt;"Grayson Coulter","",COUNTIFS($C$5:$C$2991,"Grayson Coulter",$Q$5:$Q$2991,Q2176,$AE$5:$AE$2991,"&lt;="&amp;AE2176,$R$5:$R$2991,"&lt;"&amp;R2176))</f>
        <v/>
      </c>
      <c r="AG2176" s="35">
        <f>IF(OR(C2176&lt;&gt;"Grayson Coulter",G2176&lt;'00_Control'!$B$7),"",--(AF2176&lt;5))</f>
        <v/>
      </c>
      <c r="AH2176" s="35">
        <f>IF(OR(C2176&lt;&gt;"Grayson Coulter",G2176&lt;'00_Control'!$B$7),"",--(AF2176&lt;10))</f>
        <v/>
      </c>
      <c r="AI2176" s="35">
        <f>IF(AND(C2176="Grayson Coulter",G2176&gt;='00_Control'!$B$7),"YES","NO")</f>
        <v/>
      </c>
      <c r="AJ2176" s="33" t="inlineStr">
        <is>
          <t>OK</t>
        </is>
      </c>
    </row>
    <row r="2177">
      <c r="A2177" s="33" t="inlineStr">
        <is>
          <t>SM002173</t>
        </is>
      </c>
      <c r="B2177" s="33" t="inlineStr">
        <is>
          <t>SW003</t>
        </is>
      </c>
      <c r="C2177" s="33" t="inlineStr">
        <is>
          <t>Luka Mijatovic</t>
        </is>
      </c>
      <c r="D2177" s="33" t="inlineStr">
        <is>
          <t>SwimCloud</t>
        </is>
      </c>
      <c r="E2177" s="33" t="inlineStr">
        <is>
          <t>2415996</t>
        </is>
      </c>
      <c r="F2177" s="33" t="inlineStr">
        <is>
          <t>130025999</t>
        </is>
      </c>
      <c r="G2177" s="51" t="n">
        <v>45499</v>
      </c>
      <c r="H2177" s="33" t="inlineStr">
        <is>
          <t>Speedo Summer Championships</t>
        </is>
      </c>
      <c r="I2177" s="33" t="inlineStr">
        <is>
          <t>274529</t>
        </is>
      </c>
      <c r="J2177" s="33" t="inlineStr"/>
      <c r="K2177" s="33" t="inlineStr">
        <is>
          <t>PRE</t>
        </is>
      </c>
      <c r="L2177" s="35">
        <f>IF(K2177="FIN",3,IF(OR(K2177="SEM",K2177="SEMI"),2,IF(OR(K2177="PRE",K2177="HEAT"),1,IF(V2177="YES",4,2))))</f>
        <v/>
      </c>
      <c r="M2177" s="33" t="inlineStr">
        <is>
          <t>LCM</t>
        </is>
      </c>
      <c r="N2177" s="33" t="n">
        <v>200</v>
      </c>
      <c r="O2177" s="33" t="inlineStr">
        <is>
          <t>Free</t>
        </is>
      </c>
      <c r="P2177" s="33" t="inlineStr">
        <is>
          <t>200 Free</t>
        </is>
      </c>
      <c r="Q2177" s="33" t="inlineStr">
        <is>
          <t>LCM_200_FREE</t>
        </is>
      </c>
      <c r="R2177" s="36" t="n">
        <v>110.6</v>
      </c>
      <c r="S2177" s="35">
        <f>IF(R2177="","",IF(R2177&gt;=60,INT(R2177/60)&amp;":"&amp;TEXT(MOD(R2177,60),"00.00"),TEXT(R2177,"0.00")))</f>
        <v/>
      </c>
      <c r="T2177" s="52">
        <f>IFERROR((G2177-INDEX('01_Swimmers'!$E$5:$E$22,MATCH(B2177,'01_Swimmers'!$A$5:$A$22,0)))/'00_Control'!$B$10,"")</f>
        <v/>
      </c>
      <c r="U2177" s="35">
        <f>IF(T2177="","",INT(T2177))</f>
        <v/>
      </c>
      <c r="V2177" s="33" t="inlineStr">
        <is>
          <t>NO</t>
        </is>
      </c>
      <c r="W2177" s="33" t="inlineStr">
        <is>
          <t>YES</t>
        </is>
      </c>
      <c r="X2177" s="33" t="inlineStr">
        <is>
          <t>NO</t>
        </is>
      </c>
      <c r="Y2177" s="33" t="n">
        <v>8</v>
      </c>
      <c r="Z2177" s="33" t="n">
        <v>5</v>
      </c>
      <c r="AA2177" s="33" t="inlineStr">
        <is>
          <t>7</t>
        </is>
      </c>
      <c r="AB2177" s="33" t="inlineStr">
        <is>
          <t>https://www.swimcloud.com/results/274529/event/24/?id=130025999#time130025999</t>
        </is>
      </c>
      <c r="AC2177" s="33" t="inlineStr">
        <is>
          <t>SwimCloud API v6 2026-10-08</t>
        </is>
      </c>
      <c r="AD2177" s="33" t="inlineStr">
        <is>
          <t>Luka Mijatovic|2024-07-26|LCM|200|Free|110.6|Speedo Summer Championships|PRE|False</t>
        </is>
      </c>
      <c r="AE2177" s="53">
        <f>G2177+L2177/1000+ROW()/1000000000</f>
        <v/>
      </c>
      <c r="AF2177" s="35">
        <f>IF(C2177&lt;&gt;"Grayson Coulter","",COUNTIFS($C$5:$C$2991,"Grayson Coulter",$Q$5:$Q$2991,Q2177,$AE$5:$AE$2991,"&lt;="&amp;AE2177,$R$5:$R$2991,"&lt;"&amp;R2177))</f>
        <v/>
      </c>
      <c r="AG2177" s="35">
        <f>IF(OR(C2177&lt;&gt;"Grayson Coulter",G2177&lt;'00_Control'!$B$7),"",--(AF2177&lt;5))</f>
        <v/>
      </c>
      <c r="AH2177" s="35">
        <f>IF(OR(C2177&lt;&gt;"Grayson Coulter",G2177&lt;'00_Control'!$B$7),"",--(AF2177&lt;10))</f>
        <v/>
      </c>
      <c r="AI2177" s="35">
        <f>IF(AND(C2177="Grayson Coulter",G2177&gt;='00_Control'!$B$7),"YES","NO")</f>
        <v/>
      </c>
      <c r="AJ2177" s="33" t="inlineStr">
        <is>
          <t>OK</t>
        </is>
      </c>
    </row>
    <row r="2178">
      <c r="A2178" s="33" t="inlineStr">
        <is>
          <t>SM002174</t>
        </is>
      </c>
      <c r="B2178" s="33" t="inlineStr">
        <is>
          <t>SW003</t>
        </is>
      </c>
      <c r="C2178" s="33" t="inlineStr">
        <is>
          <t>Luka Mijatovic</t>
        </is>
      </c>
      <c r="D2178" s="33" t="inlineStr">
        <is>
          <t>SwimCloud</t>
        </is>
      </c>
      <c r="E2178" s="33" t="inlineStr">
        <is>
          <t>2415996</t>
        </is>
      </c>
      <c r="F2178" s="33" t="inlineStr">
        <is>
          <t>130026000</t>
        </is>
      </c>
      <c r="G2178" s="51" t="n">
        <v>45499</v>
      </c>
      <c r="H2178" s="33" t="inlineStr">
        <is>
          <t>Speedo Summer Championships</t>
        </is>
      </c>
      <c r="I2178" s="33" t="inlineStr">
        <is>
          <t>274529</t>
        </is>
      </c>
      <c r="J2178" s="33" t="inlineStr"/>
      <c r="K2178" s="33" t="inlineStr">
        <is>
          <t>FIN</t>
        </is>
      </c>
      <c r="L2178" s="35">
        <f>IF(K2178="FIN",3,IF(OR(K2178="SEM",K2178="SEMI"),2,IF(OR(K2178="PRE",K2178="HEAT"),1,IF(V2178="YES",4,2))))</f>
        <v/>
      </c>
      <c r="M2178" s="33" t="inlineStr">
        <is>
          <t>LCM</t>
        </is>
      </c>
      <c r="N2178" s="33" t="n">
        <v>200</v>
      </c>
      <c r="O2178" s="33" t="inlineStr">
        <is>
          <t>Free</t>
        </is>
      </c>
      <c r="P2178" s="33" t="inlineStr">
        <is>
          <t>200 Free</t>
        </is>
      </c>
      <c r="Q2178" s="33" t="inlineStr">
        <is>
          <t>LCM_200_FREE</t>
        </is>
      </c>
      <c r="R2178" s="36" t="n">
        <v>108.73</v>
      </c>
      <c r="S2178" s="35">
        <f>IF(R2178="","",IF(R2178&gt;=60,INT(R2178/60)&amp;":"&amp;TEXT(MOD(R2178,60),"00.00"),TEXT(R2178,"0.00")))</f>
        <v/>
      </c>
      <c r="T2178" s="52">
        <f>IFERROR((G2178-INDEX('01_Swimmers'!$E$5:$E$22,MATCH(B2178,'01_Swimmers'!$A$5:$A$22,0)))/'00_Control'!$B$10,"")</f>
        <v/>
      </c>
      <c r="U2178" s="35">
        <f>IF(T2178="","",INT(T2178))</f>
        <v/>
      </c>
      <c r="V2178" s="33" t="inlineStr">
        <is>
          <t>NO</t>
        </is>
      </c>
      <c r="W2178" s="33" t="inlineStr">
        <is>
          <t>YES</t>
        </is>
      </c>
      <c r="X2178" s="33" t="inlineStr">
        <is>
          <t>NO</t>
        </is>
      </c>
      <c r="Y2178" s="33" t="n">
        <v>4</v>
      </c>
      <c r="Z2178" s="33" t="n">
        <v>1</v>
      </c>
      <c r="AA2178" s="33" t="inlineStr">
        <is>
          <t>5</t>
        </is>
      </c>
      <c r="AB2178" s="33" t="inlineStr">
        <is>
          <t>https://www.swimcloud.com/results/274529/event/24/?id=130026000#time130026000</t>
        </is>
      </c>
      <c r="AC2178" s="33" t="inlineStr">
        <is>
          <t>SwimCloud API v6 2026-10-08</t>
        </is>
      </c>
      <c r="AD2178" s="33" t="inlineStr">
        <is>
          <t>Luka Mijatovic|2024-07-26|LCM|200|Free|108.73|Speedo Summer Championships|FIN|False</t>
        </is>
      </c>
      <c r="AE2178" s="53">
        <f>G2178+L2178/1000+ROW()/1000000000</f>
        <v/>
      </c>
      <c r="AF2178" s="35">
        <f>IF(C2178&lt;&gt;"Grayson Coulter","",COUNTIFS($C$5:$C$2991,"Grayson Coulter",$Q$5:$Q$2991,Q2178,$AE$5:$AE$2991,"&lt;="&amp;AE2178,$R$5:$R$2991,"&lt;"&amp;R2178))</f>
        <v/>
      </c>
      <c r="AG2178" s="35">
        <f>IF(OR(C2178&lt;&gt;"Grayson Coulter",G2178&lt;'00_Control'!$B$7),"",--(AF2178&lt;5))</f>
        <v/>
      </c>
      <c r="AH2178" s="35">
        <f>IF(OR(C2178&lt;&gt;"Grayson Coulter",G2178&lt;'00_Control'!$B$7),"",--(AF2178&lt;10))</f>
        <v/>
      </c>
      <c r="AI2178" s="35">
        <f>IF(AND(C2178="Grayson Coulter",G2178&gt;='00_Control'!$B$7),"YES","NO")</f>
        <v/>
      </c>
      <c r="AJ2178" s="33" t="inlineStr">
        <is>
          <t>OK</t>
        </is>
      </c>
    </row>
    <row r="2179">
      <c r="A2179" s="33" t="inlineStr">
        <is>
          <t>SM002175</t>
        </is>
      </c>
      <c r="B2179" s="33" t="inlineStr">
        <is>
          <t>SW003</t>
        </is>
      </c>
      <c r="C2179" s="33" t="inlineStr">
        <is>
          <t>Luka Mijatovic</t>
        </is>
      </c>
      <c r="D2179" s="33" t="inlineStr">
        <is>
          <t>SwimCloud</t>
        </is>
      </c>
      <c r="E2179" s="33" t="inlineStr">
        <is>
          <t>2415996</t>
        </is>
      </c>
      <c r="F2179" s="33" t="inlineStr">
        <is>
          <t>131462883</t>
        </is>
      </c>
      <c r="G2179" s="51" t="n">
        <v>45525</v>
      </c>
      <c r="H2179" s="33" t="inlineStr">
        <is>
          <t>Junior Pan Pacific Championships</t>
        </is>
      </c>
      <c r="I2179" s="33" t="inlineStr">
        <is>
          <t>268700</t>
        </is>
      </c>
      <c r="J2179" s="33" t="inlineStr"/>
      <c r="K2179" s="33" t="inlineStr">
        <is>
          <t>PRE</t>
        </is>
      </c>
      <c r="L2179" s="35">
        <f>IF(K2179="FIN",3,IF(OR(K2179="SEM",K2179="SEMI"),2,IF(OR(K2179="PRE",K2179="HEAT"),1,IF(V2179="YES",4,2))))</f>
        <v/>
      </c>
      <c r="M2179" s="33" t="inlineStr">
        <is>
          <t>LCM</t>
        </is>
      </c>
      <c r="N2179" s="33" t="n">
        <v>200</v>
      </c>
      <c r="O2179" s="33" t="inlineStr">
        <is>
          <t>Free</t>
        </is>
      </c>
      <c r="P2179" s="33" t="inlineStr">
        <is>
          <t>200 Free</t>
        </is>
      </c>
      <c r="Q2179" s="33" t="inlineStr">
        <is>
          <t>LCM_200_FREE</t>
        </is>
      </c>
      <c r="R2179" s="36" t="n">
        <v>107.96</v>
      </c>
      <c r="S2179" s="35">
        <f>IF(R2179="","",IF(R2179&gt;=60,INT(R2179/60)&amp;":"&amp;TEXT(MOD(R2179,60),"00.00"),TEXT(R2179,"0.00")))</f>
        <v/>
      </c>
      <c r="T2179" s="52">
        <f>IFERROR((G2179-INDEX('01_Swimmers'!$E$5:$E$22,MATCH(B2179,'01_Swimmers'!$A$5:$A$22,0)))/'00_Control'!$B$10,"")</f>
        <v/>
      </c>
      <c r="U2179" s="35">
        <f>IF(T2179="","",INT(T2179))</f>
        <v/>
      </c>
      <c r="V2179" s="33" t="inlineStr">
        <is>
          <t>NO</t>
        </is>
      </c>
      <c r="W2179" s="33" t="inlineStr">
        <is>
          <t>YES</t>
        </is>
      </c>
      <c r="X2179" s="33" t="inlineStr">
        <is>
          <t>NO</t>
        </is>
      </c>
      <c r="Y2179" s="33" t="n">
        <v>4</v>
      </c>
      <c r="Z2179" s="33" t="n">
        <v>5</v>
      </c>
      <c r="AA2179" s="33" t="inlineStr">
        <is>
          <t>1</t>
        </is>
      </c>
      <c r="AB2179" s="33" t="inlineStr">
        <is>
          <t>https://www.swimcloud.com/results/268700/event/2/?id=131462883#time131462883</t>
        </is>
      </c>
      <c r="AC2179" s="33" t="inlineStr">
        <is>
          <t>SwimCloud API v6 2026-10-08</t>
        </is>
      </c>
      <c r="AD2179" s="33" t="inlineStr">
        <is>
          <t>Luka Mijatovic|2024-08-21|LCM|200|Free|107.96|Junior Pan Pacific Championships|PRE|False</t>
        </is>
      </c>
      <c r="AE2179" s="53">
        <f>G2179+L2179/1000+ROW()/1000000000</f>
        <v/>
      </c>
      <c r="AF2179" s="35">
        <f>IF(C2179&lt;&gt;"Grayson Coulter","",COUNTIFS($C$5:$C$2991,"Grayson Coulter",$Q$5:$Q$2991,Q2179,$AE$5:$AE$2991,"&lt;="&amp;AE2179,$R$5:$R$2991,"&lt;"&amp;R2179))</f>
        <v/>
      </c>
      <c r="AG2179" s="35">
        <f>IF(OR(C2179&lt;&gt;"Grayson Coulter",G2179&lt;'00_Control'!$B$7),"",--(AF2179&lt;5))</f>
        <v/>
      </c>
      <c r="AH2179" s="35">
        <f>IF(OR(C2179&lt;&gt;"Grayson Coulter",G2179&lt;'00_Control'!$B$7),"",--(AF2179&lt;10))</f>
        <v/>
      </c>
      <c r="AI2179" s="35">
        <f>IF(AND(C2179="Grayson Coulter",G2179&gt;='00_Control'!$B$7),"YES","NO")</f>
        <v/>
      </c>
      <c r="AJ2179" s="33" t="inlineStr">
        <is>
          <t>OK</t>
        </is>
      </c>
    </row>
    <row r="2180">
      <c r="A2180" s="33" t="inlineStr">
        <is>
          <t>SM002176</t>
        </is>
      </c>
      <c r="B2180" s="33" t="inlineStr">
        <is>
          <t>SW003</t>
        </is>
      </c>
      <c r="C2180" s="33" t="inlineStr">
        <is>
          <t>Luka Mijatovic</t>
        </is>
      </c>
      <c r="D2180" s="33" t="inlineStr">
        <is>
          <t>SwimCloud</t>
        </is>
      </c>
      <c r="E2180" s="33" t="inlineStr">
        <is>
          <t>2415996</t>
        </is>
      </c>
      <c r="F2180" s="33" t="inlineStr">
        <is>
          <t>131462884</t>
        </is>
      </c>
      <c r="G2180" s="51" t="n">
        <v>45525</v>
      </c>
      <c r="H2180" s="33" t="inlineStr">
        <is>
          <t>Junior Pan Pacific Championships</t>
        </is>
      </c>
      <c r="I2180" s="33" t="inlineStr">
        <is>
          <t>268700</t>
        </is>
      </c>
      <c r="J2180" s="33" t="inlineStr"/>
      <c r="K2180" s="33" t="inlineStr">
        <is>
          <t>FIN</t>
        </is>
      </c>
      <c r="L2180" s="35">
        <f>IF(K2180="FIN",3,IF(OR(K2180="SEM",K2180="SEMI"),2,IF(OR(K2180="PRE",K2180="HEAT"),1,IF(V2180="YES",4,2))))</f>
        <v/>
      </c>
      <c r="M2180" s="33" t="inlineStr">
        <is>
          <t>LCM</t>
        </is>
      </c>
      <c r="N2180" s="33" t="n">
        <v>200</v>
      </c>
      <c r="O2180" s="33" t="inlineStr">
        <is>
          <t>Free</t>
        </is>
      </c>
      <c r="P2180" s="33" t="inlineStr">
        <is>
          <t>200 Free</t>
        </is>
      </c>
      <c r="Q2180" s="33" t="inlineStr">
        <is>
          <t>LCM_200_FREE</t>
        </is>
      </c>
      <c r="R2180" s="36" t="n">
        <v>108.05</v>
      </c>
      <c r="S2180" s="35">
        <f>IF(R2180="","",IF(R2180&gt;=60,INT(R2180/60)&amp;":"&amp;TEXT(MOD(R2180,60),"00.00"),TEXT(R2180,"0.00")))</f>
        <v/>
      </c>
      <c r="T2180" s="52">
        <f>IFERROR((G2180-INDEX('01_Swimmers'!$E$5:$E$22,MATCH(B2180,'01_Swimmers'!$A$5:$A$22,0)))/'00_Control'!$B$10,"")</f>
        <v/>
      </c>
      <c r="U2180" s="35">
        <f>IF(T2180="","",INT(T2180))</f>
        <v/>
      </c>
      <c r="V2180" s="33" t="inlineStr">
        <is>
          <t>NO</t>
        </is>
      </c>
      <c r="W2180" s="33" t="inlineStr">
        <is>
          <t>YES</t>
        </is>
      </c>
      <c r="X2180" s="33" t="inlineStr">
        <is>
          <t>NO</t>
        </is>
      </c>
      <c r="Y2180" s="33" t="n">
        <v>1</v>
      </c>
      <c r="Z2180" s="33" t="n">
        <v>4</v>
      </c>
      <c r="AA2180" s="33" t="inlineStr">
        <is>
          <t>1</t>
        </is>
      </c>
      <c r="AB2180" s="33" t="inlineStr">
        <is>
          <t>https://www.swimcloud.com/results/268700/event/2/?id=131462884#time131462884</t>
        </is>
      </c>
      <c r="AC2180" s="33" t="inlineStr">
        <is>
          <t>SwimCloud API v6 2026-10-08</t>
        </is>
      </c>
      <c r="AD2180" s="33" t="inlineStr">
        <is>
          <t>Luka Mijatovic|2024-08-21|LCM|200|Free|108.05|Junior Pan Pacific Championships|FIN|False</t>
        </is>
      </c>
      <c r="AE2180" s="53">
        <f>G2180+L2180/1000+ROW()/1000000000</f>
        <v/>
      </c>
      <c r="AF2180" s="35">
        <f>IF(C2180&lt;&gt;"Grayson Coulter","",COUNTIFS($C$5:$C$2991,"Grayson Coulter",$Q$5:$Q$2991,Q2180,$AE$5:$AE$2991,"&lt;="&amp;AE2180,$R$5:$R$2991,"&lt;"&amp;R2180))</f>
        <v/>
      </c>
      <c r="AG2180" s="35">
        <f>IF(OR(C2180&lt;&gt;"Grayson Coulter",G2180&lt;'00_Control'!$B$7),"",--(AF2180&lt;5))</f>
        <v/>
      </c>
      <c r="AH2180" s="35">
        <f>IF(OR(C2180&lt;&gt;"Grayson Coulter",G2180&lt;'00_Control'!$B$7),"",--(AF2180&lt;10))</f>
        <v/>
      </c>
      <c r="AI2180" s="35">
        <f>IF(AND(C2180="Grayson Coulter",G2180&gt;='00_Control'!$B$7),"YES","NO")</f>
        <v/>
      </c>
      <c r="AJ2180" s="33" t="inlineStr">
        <is>
          <t>OK</t>
        </is>
      </c>
    </row>
    <row r="2181">
      <c r="A2181" s="33" t="inlineStr">
        <is>
          <t>SM002177</t>
        </is>
      </c>
      <c r="B2181" s="33" t="inlineStr">
        <is>
          <t>SW003</t>
        </is>
      </c>
      <c r="C2181" s="33" t="inlineStr">
        <is>
          <t>Luka Mijatovic</t>
        </is>
      </c>
      <c r="D2181" s="33" t="inlineStr">
        <is>
          <t>SwimCloud</t>
        </is>
      </c>
      <c r="E2181" s="33" t="inlineStr">
        <is>
          <t>2415996</t>
        </is>
      </c>
      <c r="F2181" s="33" t="inlineStr">
        <is>
          <t>131462833</t>
        </is>
      </c>
      <c r="G2181" s="51" t="n">
        <v>45526</v>
      </c>
      <c r="H2181" s="33" t="inlineStr">
        <is>
          <t>Junior Pan Pacific Championships</t>
        </is>
      </c>
      <c r="I2181" s="33" t="inlineStr">
        <is>
          <t>268700</t>
        </is>
      </c>
      <c r="J2181" s="33" t="inlineStr"/>
      <c r="K2181" s="33" t="inlineStr">
        <is>
          <t>PRE</t>
        </is>
      </c>
      <c r="L2181" s="35">
        <f>IF(K2181="FIN",3,IF(OR(K2181="SEM",K2181="SEMI"),2,IF(OR(K2181="PRE",K2181="HEAT"),1,IF(V2181="YES",4,2))))</f>
        <v/>
      </c>
      <c r="M2181" s="33" t="inlineStr">
        <is>
          <t>LCM</t>
        </is>
      </c>
      <c r="N2181" s="33" t="n">
        <v>100</v>
      </c>
      <c r="O2181" s="33" t="inlineStr">
        <is>
          <t>Free</t>
        </is>
      </c>
      <c r="P2181" s="33" t="inlineStr">
        <is>
          <t>100 Free</t>
        </is>
      </c>
      <c r="Q2181" s="33" t="inlineStr">
        <is>
          <t>LCM_100_FREE</t>
        </is>
      </c>
      <c r="R2181" s="36" t="n">
        <v>50.62</v>
      </c>
      <c r="S2181" s="35">
        <f>IF(R2181="","",IF(R2181&gt;=60,INT(R2181/60)&amp;":"&amp;TEXT(MOD(R2181,60),"00.00"),TEXT(R2181,"0.00")))</f>
        <v/>
      </c>
      <c r="T2181" s="52">
        <f>IFERROR((G2181-INDEX('01_Swimmers'!$E$5:$E$22,MATCH(B2181,'01_Swimmers'!$A$5:$A$22,0)))/'00_Control'!$B$10,"")</f>
        <v/>
      </c>
      <c r="U2181" s="35">
        <f>IF(T2181="","",INT(T2181))</f>
        <v/>
      </c>
      <c r="V2181" s="33" t="inlineStr">
        <is>
          <t>NO</t>
        </is>
      </c>
      <c r="W2181" s="33" t="inlineStr">
        <is>
          <t>YES</t>
        </is>
      </c>
      <c r="X2181" s="33" t="inlineStr">
        <is>
          <t>NO</t>
        </is>
      </c>
      <c r="Y2181" s="33" t="n">
        <v>5</v>
      </c>
      <c r="Z2181" s="33" t="n">
        <v>7</v>
      </c>
      <c r="AA2181" s="33" t="inlineStr">
        <is>
          <t>11</t>
        </is>
      </c>
      <c r="AB2181" s="33" t="inlineStr">
        <is>
          <t>https://www.swimcloud.com/results/268700/event/11/?id=131462833#time131462833</t>
        </is>
      </c>
      <c r="AC2181" s="33" t="inlineStr">
        <is>
          <t>SwimCloud API v6 2026-10-08</t>
        </is>
      </c>
      <c r="AD2181" s="33" t="inlineStr">
        <is>
          <t>Luka Mijatovic|2024-08-22|LCM|100|Free|50.62|Junior Pan Pacific Championships|PRE|False</t>
        </is>
      </c>
      <c r="AE2181" s="53">
        <f>G2181+L2181/1000+ROW()/1000000000</f>
        <v/>
      </c>
      <c r="AF2181" s="35">
        <f>IF(C2181&lt;&gt;"Grayson Coulter","",COUNTIFS($C$5:$C$2991,"Grayson Coulter",$Q$5:$Q$2991,Q2181,$AE$5:$AE$2991,"&lt;="&amp;AE2181,$R$5:$R$2991,"&lt;"&amp;R2181))</f>
        <v/>
      </c>
      <c r="AG2181" s="35">
        <f>IF(OR(C2181&lt;&gt;"Grayson Coulter",G2181&lt;'00_Control'!$B$7),"",--(AF2181&lt;5))</f>
        <v/>
      </c>
      <c r="AH2181" s="35">
        <f>IF(OR(C2181&lt;&gt;"Grayson Coulter",G2181&lt;'00_Control'!$B$7),"",--(AF2181&lt;10))</f>
        <v/>
      </c>
      <c r="AI2181" s="35">
        <f>IF(AND(C2181="Grayson Coulter",G2181&gt;='00_Control'!$B$7),"YES","NO")</f>
        <v/>
      </c>
      <c r="AJ2181" s="33" t="inlineStr">
        <is>
          <t>OK</t>
        </is>
      </c>
    </row>
    <row r="2182">
      <c r="A2182" s="33" t="inlineStr">
        <is>
          <t>SM002178</t>
        </is>
      </c>
      <c r="B2182" s="33" t="inlineStr">
        <is>
          <t>SW003</t>
        </is>
      </c>
      <c r="C2182" s="33" t="inlineStr">
        <is>
          <t>Luka Mijatovic</t>
        </is>
      </c>
      <c r="D2182" s="33" t="inlineStr">
        <is>
          <t>SwimCloud</t>
        </is>
      </c>
      <c r="E2182" s="33" t="inlineStr">
        <is>
          <t>2415996</t>
        </is>
      </c>
      <c r="F2182" s="33" t="inlineStr">
        <is>
          <t>131464046</t>
        </is>
      </c>
      <c r="G2182" s="51" t="n">
        <v>45526</v>
      </c>
      <c r="H2182" s="33" t="inlineStr">
        <is>
          <t>Junior Pan Pacific Championships</t>
        </is>
      </c>
      <c r="I2182" s="33" t="inlineStr">
        <is>
          <t>268700</t>
        </is>
      </c>
      <c r="J2182" s="33" t="inlineStr"/>
      <c r="K2182" s="33" t="inlineStr">
        <is>
          <t>TIM</t>
        </is>
      </c>
      <c r="L2182" s="35">
        <f>IF(K2182="FIN",3,IF(OR(K2182="SEM",K2182="SEMI"),2,IF(OR(K2182="PRE",K2182="HEAT"),1,IF(V2182="YES",4,2))))</f>
        <v/>
      </c>
      <c r="M2182" s="33" t="inlineStr">
        <is>
          <t>LCM</t>
        </is>
      </c>
      <c r="N2182" s="33" t="n">
        <v>200</v>
      </c>
      <c r="O2182" s="33" t="inlineStr">
        <is>
          <t>Free</t>
        </is>
      </c>
      <c r="P2182" s="33" t="inlineStr">
        <is>
          <t>200 Free</t>
        </is>
      </c>
      <c r="Q2182" s="33" t="inlineStr">
        <is>
          <t>LCM_200_FREE</t>
        </is>
      </c>
      <c r="R2182" s="36" t="n">
        <v>108.66</v>
      </c>
      <c r="S2182" s="35">
        <f>IF(R2182="","",IF(R2182&gt;=60,INT(R2182/60)&amp;":"&amp;TEXT(MOD(R2182,60),"00.00"),TEXT(R2182,"0.00")))</f>
        <v/>
      </c>
      <c r="T2182" s="52">
        <f>IFERROR((G2182-INDEX('01_Swimmers'!$E$5:$E$22,MATCH(B2182,'01_Swimmers'!$A$5:$A$22,0)))/'00_Control'!$B$10,"")</f>
        <v/>
      </c>
      <c r="U2182" s="35">
        <f>IF(T2182="","",INT(T2182))</f>
        <v/>
      </c>
      <c r="V2182" s="33" t="inlineStr">
        <is>
          <t>YES</t>
        </is>
      </c>
      <c r="W2182" s="33" t="inlineStr">
        <is>
          <t>YES</t>
        </is>
      </c>
      <c r="X2182" s="33" t="inlineStr">
        <is>
          <t>NO</t>
        </is>
      </c>
      <c r="Y2182" s="33" t="n">
        <v>2</v>
      </c>
      <c r="Z2182" s="33" t="n">
        <v>4</v>
      </c>
      <c r="AA2182" s="33" t="inlineStr"/>
      <c r="AB2182" s="33" t="inlineStr">
        <is>
          <t>https://www.swimcloud.com/results/268700/event/17/?id=131463811#time131463811</t>
        </is>
      </c>
      <c r="AC2182" s="33" t="inlineStr">
        <is>
          <t>SwimCloud API v6 2026-10-08</t>
        </is>
      </c>
      <c r="AD2182" s="33" t="inlineStr">
        <is>
          <t>Luka Mijatovic|2024-08-22|LCM|200|Free|108.66|Junior Pan Pacific Championships|TIM|True</t>
        </is>
      </c>
      <c r="AE2182" s="53">
        <f>G2182+L2182/1000+ROW()/1000000000</f>
        <v/>
      </c>
      <c r="AF2182" s="35">
        <f>IF(C2182&lt;&gt;"Grayson Coulter","",COUNTIFS($C$5:$C$2991,"Grayson Coulter",$Q$5:$Q$2991,Q2182,$AE$5:$AE$2991,"&lt;="&amp;AE2182,$R$5:$R$2991,"&lt;"&amp;R2182))</f>
        <v/>
      </c>
      <c r="AG2182" s="35">
        <f>IF(OR(C2182&lt;&gt;"Grayson Coulter",G2182&lt;'00_Control'!$B$7),"",--(AF2182&lt;5))</f>
        <v/>
      </c>
      <c r="AH2182" s="35">
        <f>IF(OR(C2182&lt;&gt;"Grayson Coulter",G2182&lt;'00_Control'!$B$7),"",--(AF2182&lt;10))</f>
        <v/>
      </c>
      <c r="AI2182" s="35">
        <f>IF(AND(C2182="Grayson Coulter",G2182&gt;='00_Control'!$B$7),"YES","NO")</f>
        <v/>
      </c>
      <c r="AJ2182" s="33" t="inlineStr">
        <is>
          <t>OK</t>
        </is>
      </c>
    </row>
    <row r="2183">
      <c r="A2183" s="33" t="inlineStr">
        <is>
          <t>SM002179</t>
        </is>
      </c>
      <c r="B2183" s="33" t="inlineStr">
        <is>
          <t>SW003</t>
        </is>
      </c>
      <c r="C2183" s="33" t="inlineStr">
        <is>
          <t>Luka Mijatovic</t>
        </is>
      </c>
      <c r="D2183" s="33" t="inlineStr">
        <is>
          <t>SwimCloud</t>
        </is>
      </c>
      <c r="E2183" s="33" t="inlineStr">
        <is>
          <t>2415996</t>
        </is>
      </c>
      <c r="F2183" s="33" t="inlineStr">
        <is>
          <t>131462923</t>
        </is>
      </c>
      <c r="G2183" s="51" t="n">
        <v>45527</v>
      </c>
      <c r="H2183" s="33" t="inlineStr">
        <is>
          <t>Junior Pan Pacific Championships</t>
        </is>
      </c>
      <c r="I2183" s="33" t="inlineStr">
        <is>
          <t>268700</t>
        </is>
      </c>
      <c r="J2183" s="33" t="inlineStr"/>
      <c r="K2183" s="33" t="inlineStr">
        <is>
          <t>PRE</t>
        </is>
      </c>
      <c r="L2183" s="35">
        <f>IF(K2183="FIN",3,IF(OR(K2183="SEM",K2183="SEMI"),2,IF(OR(K2183="PRE",K2183="HEAT"),1,IF(V2183="YES",4,2))))</f>
        <v/>
      </c>
      <c r="M2183" s="33" t="inlineStr">
        <is>
          <t>LCM</t>
        </is>
      </c>
      <c r="N2183" s="33" t="n">
        <v>400</v>
      </c>
      <c r="O2183" s="33" t="inlineStr">
        <is>
          <t>Free</t>
        </is>
      </c>
      <c r="P2183" s="33" t="inlineStr">
        <is>
          <t>400 Free</t>
        </is>
      </c>
      <c r="Q2183" s="33" t="inlineStr">
        <is>
          <t>LCM_400_FREE</t>
        </is>
      </c>
      <c r="R2183" s="36" t="n">
        <v>232.4</v>
      </c>
      <c r="S2183" s="35">
        <f>IF(R2183="","",IF(R2183&gt;=60,INT(R2183/60)&amp;":"&amp;TEXT(MOD(R2183,60),"00.00"),TEXT(R2183,"0.00")))</f>
        <v/>
      </c>
      <c r="T2183" s="52">
        <f>IFERROR((G2183-INDEX('01_Swimmers'!$E$5:$E$22,MATCH(B2183,'01_Swimmers'!$A$5:$A$22,0)))/'00_Control'!$B$10,"")</f>
        <v/>
      </c>
      <c r="U2183" s="35">
        <f>IF(T2183="","",INT(T2183))</f>
        <v/>
      </c>
      <c r="V2183" s="33" t="inlineStr">
        <is>
          <t>NO</t>
        </is>
      </c>
      <c r="W2183" s="33" t="inlineStr">
        <is>
          <t>YES</t>
        </is>
      </c>
      <c r="X2183" s="33" t="inlineStr">
        <is>
          <t>NO</t>
        </is>
      </c>
      <c r="Y2183" s="33" t="n">
        <v>3</v>
      </c>
      <c r="Z2183" s="33" t="n">
        <v>4</v>
      </c>
      <c r="AA2183" s="33" t="inlineStr">
        <is>
          <t>4</t>
        </is>
      </c>
      <c r="AB2183" s="33" t="inlineStr">
        <is>
          <t>https://www.swimcloud.com/results/268700/event/19/?id=131462923#time131462923</t>
        </is>
      </c>
      <c r="AC2183" s="33" t="inlineStr">
        <is>
          <t>SwimCloud API v6 2026-10-08</t>
        </is>
      </c>
      <c r="AD2183" s="33" t="inlineStr">
        <is>
          <t>Luka Mijatovic|2024-08-23|LCM|400|Free|232.4|Junior Pan Pacific Championships|PRE|False</t>
        </is>
      </c>
      <c r="AE2183" s="53">
        <f>G2183+L2183/1000+ROW()/1000000000</f>
        <v/>
      </c>
      <c r="AF2183" s="35">
        <f>IF(C2183&lt;&gt;"Grayson Coulter","",COUNTIFS($C$5:$C$2991,"Grayson Coulter",$Q$5:$Q$2991,Q2183,$AE$5:$AE$2991,"&lt;="&amp;AE2183,$R$5:$R$2991,"&lt;"&amp;R2183))</f>
        <v/>
      </c>
      <c r="AG2183" s="35">
        <f>IF(OR(C2183&lt;&gt;"Grayson Coulter",G2183&lt;'00_Control'!$B$7),"",--(AF2183&lt;5))</f>
        <v/>
      </c>
      <c r="AH2183" s="35">
        <f>IF(OR(C2183&lt;&gt;"Grayson Coulter",G2183&lt;'00_Control'!$B$7),"",--(AF2183&lt;10))</f>
        <v/>
      </c>
      <c r="AI2183" s="35">
        <f>IF(AND(C2183="Grayson Coulter",G2183&gt;='00_Control'!$B$7),"YES","NO")</f>
        <v/>
      </c>
      <c r="AJ2183" s="33" t="inlineStr">
        <is>
          <t>OK</t>
        </is>
      </c>
    </row>
    <row r="2184">
      <c r="A2184" s="33" t="inlineStr">
        <is>
          <t>SM002180</t>
        </is>
      </c>
      <c r="B2184" s="33" t="inlineStr">
        <is>
          <t>SW003</t>
        </is>
      </c>
      <c r="C2184" s="33" t="inlineStr">
        <is>
          <t>Luka Mijatovic</t>
        </is>
      </c>
      <c r="D2184" s="33" t="inlineStr">
        <is>
          <t>SwimCloud</t>
        </is>
      </c>
      <c r="E2184" s="33" t="inlineStr">
        <is>
          <t>2415996</t>
        </is>
      </c>
      <c r="F2184" s="33" t="inlineStr">
        <is>
          <t>131462924</t>
        </is>
      </c>
      <c r="G2184" s="51" t="n">
        <v>45527</v>
      </c>
      <c r="H2184" s="33" t="inlineStr">
        <is>
          <t>Junior Pan Pacific Championships</t>
        </is>
      </c>
      <c r="I2184" s="33" t="inlineStr">
        <is>
          <t>268700</t>
        </is>
      </c>
      <c r="J2184" s="33" t="inlineStr"/>
      <c r="K2184" s="33" t="inlineStr">
        <is>
          <t>FIN</t>
        </is>
      </c>
      <c r="L2184" s="35">
        <f>IF(K2184="FIN",3,IF(OR(K2184="SEM",K2184="SEMI"),2,IF(OR(K2184="PRE",K2184="HEAT"),1,IF(V2184="YES",4,2))))</f>
        <v/>
      </c>
      <c r="M2184" s="33" t="inlineStr">
        <is>
          <t>LCM</t>
        </is>
      </c>
      <c r="N2184" s="33" t="n">
        <v>400</v>
      </c>
      <c r="O2184" s="33" t="inlineStr">
        <is>
          <t>Free</t>
        </is>
      </c>
      <c r="P2184" s="33" t="inlineStr">
        <is>
          <t>400 Free</t>
        </is>
      </c>
      <c r="Q2184" s="33" t="inlineStr">
        <is>
          <t>LCM_400_FREE</t>
        </is>
      </c>
      <c r="R2184" s="36" t="n">
        <v>229.24</v>
      </c>
      <c r="S2184" s="35">
        <f>IF(R2184="","",IF(R2184&gt;=60,INT(R2184/60)&amp;":"&amp;TEXT(MOD(R2184,60),"00.00"),TEXT(R2184,"0.00")))</f>
        <v/>
      </c>
      <c r="T2184" s="52">
        <f>IFERROR((G2184-INDEX('01_Swimmers'!$E$5:$E$22,MATCH(B2184,'01_Swimmers'!$A$5:$A$22,0)))/'00_Control'!$B$10,"")</f>
        <v/>
      </c>
      <c r="U2184" s="35">
        <f>IF(T2184="","",INT(T2184))</f>
        <v/>
      </c>
      <c r="V2184" s="33" t="inlineStr">
        <is>
          <t>NO</t>
        </is>
      </c>
      <c r="W2184" s="33" t="inlineStr">
        <is>
          <t>YES</t>
        </is>
      </c>
      <c r="X2184" s="33" t="inlineStr">
        <is>
          <t>NO</t>
        </is>
      </c>
      <c r="Y2184" s="33" t="n">
        <v>1</v>
      </c>
      <c r="Z2184" s="33" t="n">
        <v>6</v>
      </c>
      <c r="AA2184" s="33" t="inlineStr">
        <is>
          <t>1</t>
        </is>
      </c>
      <c r="AB2184" s="33" t="inlineStr">
        <is>
          <t>https://www.swimcloud.com/results/268700/event/19/?id=131462924#time131462924</t>
        </is>
      </c>
      <c r="AC2184" s="33" t="inlineStr">
        <is>
          <t>SwimCloud API v6 2026-10-08</t>
        </is>
      </c>
      <c r="AD2184" s="33" t="inlineStr">
        <is>
          <t>Luka Mijatovic|2024-08-23|LCM|400|Free|229.24|Junior Pan Pacific Championships|FIN|False</t>
        </is>
      </c>
      <c r="AE2184" s="53">
        <f>G2184+L2184/1000+ROW()/1000000000</f>
        <v/>
      </c>
      <c r="AF2184" s="35">
        <f>IF(C2184&lt;&gt;"Grayson Coulter","",COUNTIFS($C$5:$C$2991,"Grayson Coulter",$Q$5:$Q$2991,Q2184,$AE$5:$AE$2991,"&lt;="&amp;AE2184,$R$5:$R$2991,"&lt;"&amp;R2184))</f>
        <v/>
      </c>
      <c r="AG2184" s="35">
        <f>IF(OR(C2184&lt;&gt;"Grayson Coulter",G2184&lt;'00_Control'!$B$7),"",--(AF2184&lt;5))</f>
        <v/>
      </c>
      <c r="AH2184" s="35">
        <f>IF(OR(C2184&lt;&gt;"Grayson Coulter",G2184&lt;'00_Control'!$B$7),"",--(AF2184&lt;10))</f>
        <v/>
      </c>
      <c r="AI2184" s="35">
        <f>IF(AND(C2184="Grayson Coulter",G2184&gt;='00_Control'!$B$7),"YES","NO")</f>
        <v/>
      </c>
      <c r="AJ2184" s="33" t="inlineStr">
        <is>
          <t>OK</t>
        </is>
      </c>
    </row>
    <row r="2185">
      <c r="A2185" s="33" t="inlineStr">
        <is>
          <t>SM002181</t>
        </is>
      </c>
      <c r="B2185" s="33" t="inlineStr">
        <is>
          <t>SW003</t>
        </is>
      </c>
      <c r="C2185" s="33" t="inlineStr">
        <is>
          <t>Luka Mijatovic</t>
        </is>
      </c>
      <c r="D2185" s="33" t="inlineStr">
        <is>
          <t>SwimCloud</t>
        </is>
      </c>
      <c r="E2185" s="33" t="inlineStr">
        <is>
          <t>2415996</t>
        </is>
      </c>
      <c r="F2185" s="33" t="inlineStr">
        <is>
          <t>148177985</t>
        </is>
      </c>
      <c r="G2185" s="51" t="n">
        <v>45722</v>
      </c>
      <c r="H2185" s="33" t="inlineStr">
        <is>
          <t>TYR Pro Swim Series - Westmont</t>
        </is>
      </c>
      <c r="I2185" s="33" t="inlineStr">
        <is>
          <t>308412</t>
        </is>
      </c>
      <c r="J2185" s="33" t="inlineStr"/>
      <c r="K2185" s="33" t="inlineStr">
        <is>
          <t>PRE</t>
        </is>
      </c>
      <c r="L2185" s="35">
        <f>IF(K2185="FIN",3,IF(OR(K2185="SEM",K2185="SEMI"),2,IF(OR(K2185="PRE",K2185="HEAT"),1,IF(V2185="YES",4,2))))</f>
        <v/>
      </c>
      <c r="M2185" s="33" t="inlineStr">
        <is>
          <t>LCM</t>
        </is>
      </c>
      <c r="N2185" s="33" t="n">
        <v>400</v>
      </c>
      <c r="O2185" s="33" t="inlineStr">
        <is>
          <t>Free</t>
        </is>
      </c>
      <c r="P2185" s="33" t="inlineStr">
        <is>
          <t>400 Free</t>
        </is>
      </c>
      <c r="Q2185" s="33" t="inlineStr">
        <is>
          <t>LCM_400_FREE</t>
        </is>
      </c>
      <c r="R2185" s="36" t="n">
        <v>230.22</v>
      </c>
      <c r="S2185" s="35">
        <f>IF(R2185="","",IF(R2185&gt;=60,INT(R2185/60)&amp;":"&amp;TEXT(MOD(R2185,60),"00.00"),TEXT(R2185,"0.00")))</f>
        <v/>
      </c>
      <c r="T2185" s="52">
        <f>IFERROR((G2185-INDEX('01_Swimmers'!$E$5:$E$22,MATCH(B2185,'01_Swimmers'!$A$5:$A$22,0)))/'00_Control'!$B$10,"")</f>
        <v/>
      </c>
      <c r="U2185" s="35">
        <f>IF(T2185="","",INT(T2185))</f>
        <v/>
      </c>
      <c r="V2185" s="33" t="inlineStr">
        <is>
          <t>NO</t>
        </is>
      </c>
      <c r="W2185" s="33" t="inlineStr">
        <is>
          <t>YES</t>
        </is>
      </c>
      <c r="X2185" s="33" t="inlineStr">
        <is>
          <t>NO</t>
        </is>
      </c>
      <c r="Y2185" s="33" t="n">
        <v>3</v>
      </c>
      <c r="Z2185" s="33" t="n">
        <v>6</v>
      </c>
      <c r="AA2185" s="33" t="inlineStr">
        <is>
          <t>4</t>
        </is>
      </c>
      <c r="AB2185" s="33" t="inlineStr">
        <is>
          <t>https://www.swimcloud.com/results/308412/event/12/?id=148177985#time148177985</t>
        </is>
      </c>
      <c r="AC2185" s="33" t="inlineStr">
        <is>
          <t>SwimCloud API v6 2026-10-08</t>
        </is>
      </c>
      <c r="AD2185" s="33" t="inlineStr">
        <is>
          <t>Luka Mijatovic|2025-03-06|LCM|400|Free|230.22|TYR Pro Swim Series - Westmont|PRE|False</t>
        </is>
      </c>
      <c r="AE2185" s="53">
        <f>G2185+L2185/1000+ROW()/1000000000</f>
        <v/>
      </c>
      <c r="AF2185" s="35">
        <f>IF(C2185&lt;&gt;"Grayson Coulter","",COUNTIFS($C$5:$C$2991,"Grayson Coulter",$Q$5:$Q$2991,Q2185,$AE$5:$AE$2991,"&lt;="&amp;AE2185,$R$5:$R$2991,"&lt;"&amp;R2185))</f>
        <v/>
      </c>
      <c r="AG2185" s="35">
        <f>IF(OR(C2185&lt;&gt;"Grayson Coulter",G2185&lt;'00_Control'!$B$7),"",--(AF2185&lt;5))</f>
        <v/>
      </c>
      <c r="AH2185" s="35">
        <f>IF(OR(C2185&lt;&gt;"Grayson Coulter",G2185&lt;'00_Control'!$B$7),"",--(AF2185&lt;10))</f>
        <v/>
      </c>
      <c r="AI2185" s="35">
        <f>IF(AND(C2185="Grayson Coulter",G2185&gt;='00_Control'!$B$7),"YES","NO")</f>
        <v/>
      </c>
      <c r="AJ2185" s="33" t="inlineStr">
        <is>
          <t>OK</t>
        </is>
      </c>
    </row>
    <row r="2186">
      <c r="A2186" s="33" t="inlineStr">
        <is>
          <t>SM002182</t>
        </is>
      </c>
      <c r="B2186" s="33" t="inlineStr">
        <is>
          <t>SW003</t>
        </is>
      </c>
      <c r="C2186" s="33" t="inlineStr">
        <is>
          <t>Luka Mijatovic</t>
        </is>
      </c>
      <c r="D2186" s="33" t="inlineStr">
        <is>
          <t>SwimCloud</t>
        </is>
      </c>
      <c r="E2186" s="33" t="inlineStr">
        <is>
          <t>2415996</t>
        </is>
      </c>
      <c r="F2186" s="33" t="inlineStr">
        <is>
          <t>148177984</t>
        </is>
      </c>
      <c r="G2186" s="51" t="n">
        <v>45722</v>
      </c>
      <c r="H2186" s="33" t="inlineStr">
        <is>
          <t>TYR Pro Swim Series - Westmont</t>
        </is>
      </c>
      <c r="I2186" s="33" t="inlineStr">
        <is>
          <t>308412</t>
        </is>
      </c>
      <c r="J2186" s="33" t="inlineStr"/>
      <c r="K2186" s="33" t="inlineStr">
        <is>
          <t>FIN</t>
        </is>
      </c>
      <c r="L2186" s="35">
        <f>IF(K2186="FIN",3,IF(OR(K2186="SEM",K2186="SEMI"),2,IF(OR(K2186="PRE",K2186="HEAT"),1,IF(V2186="YES",4,2))))</f>
        <v/>
      </c>
      <c r="M2186" s="33" t="inlineStr">
        <is>
          <t>LCM</t>
        </is>
      </c>
      <c r="N2186" s="33" t="n">
        <v>400</v>
      </c>
      <c r="O2186" s="33" t="inlineStr">
        <is>
          <t>Free</t>
        </is>
      </c>
      <c r="P2186" s="33" t="inlineStr">
        <is>
          <t>400 Free</t>
        </is>
      </c>
      <c r="Q2186" s="33" t="inlineStr">
        <is>
          <t>LCM_400_FREE</t>
        </is>
      </c>
      <c r="R2186" s="36" t="n">
        <v>228.95</v>
      </c>
      <c r="S2186" s="35">
        <f>IF(R2186="","",IF(R2186&gt;=60,INT(R2186/60)&amp;":"&amp;TEXT(MOD(R2186,60),"00.00"),TEXT(R2186,"0.00")))</f>
        <v/>
      </c>
      <c r="T2186" s="52">
        <f>IFERROR((G2186-INDEX('01_Swimmers'!$E$5:$E$22,MATCH(B2186,'01_Swimmers'!$A$5:$A$22,0)))/'00_Control'!$B$10,"")</f>
        <v/>
      </c>
      <c r="U2186" s="35">
        <f>IF(T2186="","",INT(T2186))</f>
        <v/>
      </c>
      <c r="V2186" s="33" t="inlineStr">
        <is>
          <t>NO</t>
        </is>
      </c>
      <c r="W2186" s="33" t="inlineStr">
        <is>
          <t>YES</t>
        </is>
      </c>
      <c r="X2186" s="33" t="inlineStr">
        <is>
          <t>NO</t>
        </is>
      </c>
      <c r="Y2186" s="33" t="n">
        <v>1</v>
      </c>
      <c r="Z2186" s="33" t="n">
        <v>6</v>
      </c>
      <c r="AA2186" s="33" t="inlineStr">
        <is>
          <t>4</t>
        </is>
      </c>
      <c r="AB2186" s="33" t="inlineStr">
        <is>
          <t>https://www.swimcloud.com/results/308412/event/12/?id=148177984#time148177984</t>
        </is>
      </c>
      <c r="AC2186" s="33" t="inlineStr">
        <is>
          <t>SwimCloud API v6 2026-10-08</t>
        </is>
      </c>
      <c r="AD2186" s="33" t="inlineStr">
        <is>
          <t>Luka Mijatovic|2025-03-06|LCM|400|Free|228.95|TYR Pro Swim Series - Westmont|FIN|False</t>
        </is>
      </c>
      <c r="AE2186" s="53">
        <f>G2186+L2186/1000+ROW()/1000000000</f>
        <v/>
      </c>
      <c r="AF2186" s="35">
        <f>IF(C2186&lt;&gt;"Grayson Coulter","",COUNTIFS($C$5:$C$2991,"Grayson Coulter",$Q$5:$Q$2991,Q2186,$AE$5:$AE$2991,"&lt;="&amp;AE2186,$R$5:$R$2991,"&lt;"&amp;R2186))</f>
        <v/>
      </c>
      <c r="AG2186" s="35">
        <f>IF(OR(C2186&lt;&gt;"Grayson Coulter",G2186&lt;'00_Control'!$B$7),"",--(AF2186&lt;5))</f>
        <v/>
      </c>
      <c r="AH2186" s="35">
        <f>IF(OR(C2186&lt;&gt;"Grayson Coulter",G2186&lt;'00_Control'!$B$7),"",--(AF2186&lt;10))</f>
        <v/>
      </c>
      <c r="AI2186" s="35">
        <f>IF(AND(C2186="Grayson Coulter",G2186&gt;='00_Control'!$B$7),"YES","NO")</f>
        <v/>
      </c>
      <c r="AJ2186" s="33" t="inlineStr">
        <is>
          <t>OK</t>
        </is>
      </c>
    </row>
    <row r="2187">
      <c r="A2187" s="33" t="inlineStr">
        <is>
          <t>SM002183</t>
        </is>
      </c>
      <c r="B2187" s="33" t="inlineStr">
        <is>
          <t>SW003</t>
        </is>
      </c>
      <c r="C2187" s="33" t="inlineStr">
        <is>
          <t>Luka Mijatovic</t>
        </is>
      </c>
      <c r="D2187" s="33" t="inlineStr">
        <is>
          <t>SwimCloud</t>
        </is>
      </c>
      <c r="E2187" s="33" t="inlineStr">
        <is>
          <t>2415996</t>
        </is>
      </c>
      <c r="F2187" s="33" t="inlineStr">
        <is>
          <t>148177983</t>
        </is>
      </c>
      <c r="G2187" s="51" t="n">
        <v>45723</v>
      </c>
      <c r="H2187" s="33" t="inlineStr">
        <is>
          <t>TYR Pro Swim Series - Westmont</t>
        </is>
      </c>
      <c r="I2187" s="33" t="inlineStr">
        <is>
          <t>308412</t>
        </is>
      </c>
      <c r="J2187" s="33" t="inlineStr"/>
      <c r="K2187" s="33" t="inlineStr">
        <is>
          <t>PRE</t>
        </is>
      </c>
      <c r="L2187" s="35">
        <f>IF(K2187="FIN",3,IF(OR(K2187="SEM",K2187="SEMI"),2,IF(OR(K2187="PRE",K2187="HEAT"),1,IF(V2187="YES",4,2))))</f>
        <v/>
      </c>
      <c r="M2187" s="33" t="inlineStr">
        <is>
          <t>LCM</t>
        </is>
      </c>
      <c r="N2187" s="33" t="n">
        <v>200</v>
      </c>
      <c r="O2187" s="33" t="inlineStr">
        <is>
          <t>Free</t>
        </is>
      </c>
      <c r="P2187" s="33" t="inlineStr">
        <is>
          <t>200 Free</t>
        </is>
      </c>
      <c r="Q2187" s="33" t="inlineStr">
        <is>
          <t>LCM_200_FREE</t>
        </is>
      </c>
      <c r="R2187" s="36" t="n">
        <v>108.73</v>
      </c>
      <c r="S2187" s="35">
        <f>IF(R2187="","",IF(R2187&gt;=60,INT(R2187/60)&amp;":"&amp;TEXT(MOD(R2187,60),"00.00"),TEXT(R2187,"0.00")))</f>
        <v/>
      </c>
      <c r="T2187" s="52">
        <f>IFERROR((G2187-INDEX('01_Swimmers'!$E$5:$E$22,MATCH(B2187,'01_Swimmers'!$A$5:$A$22,0)))/'00_Control'!$B$10,"")</f>
        <v/>
      </c>
      <c r="U2187" s="35">
        <f>IF(T2187="","",INT(T2187))</f>
        <v/>
      </c>
      <c r="V2187" s="33" t="inlineStr">
        <is>
          <t>NO</t>
        </is>
      </c>
      <c r="W2187" s="33" t="inlineStr">
        <is>
          <t>YES</t>
        </is>
      </c>
      <c r="X2187" s="33" t="inlineStr">
        <is>
          <t>NO</t>
        </is>
      </c>
      <c r="Y2187" s="33" t="n">
        <v>6</v>
      </c>
      <c r="Z2187" s="33" t="n">
        <v>6</v>
      </c>
      <c r="AA2187" s="33" t="inlineStr">
        <is>
          <t>2</t>
        </is>
      </c>
      <c r="AB2187" s="33" t="inlineStr">
        <is>
          <t>https://www.swimcloud.com/results/308412/event/14/?id=148177983#time148177983</t>
        </is>
      </c>
      <c r="AC2187" s="33" t="inlineStr">
        <is>
          <t>SwimCloud API v6 2026-10-08</t>
        </is>
      </c>
      <c r="AD2187" s="33" t="inlineStr">
        <is>
          <t>Luka Mijatovic|2025-03-07|LCM|200|Free|108.73|TYR Pro Swim Series - Westmont|PRE|False</t>
        </is>
      </c>
      <c r="AE2187" s="53">
        <f>G2187+L2187/1000+ROW()/1000000000</f>
        <v/>
      </c>
      <c r="AF2187" s="35">
        <f>IF(C2187&lt;&gt;"Grayson Coulter","",COUNTIFS($C$5:$C$2991,"Grayson Coulter",$Q$5:$Q$2991,Q2187,$AE$5:$AE$2991,"&lt;="&amp;AE2187,$R$5:$R$2991,"&lt;"&amp;R2187))</f>
        <v/>
      </c>
      <c r="AG2187" s="35">
        <f>IF(OR(C2187&lt;&gt;"Grayson Coulter",G2187&lt;'00_Control'!$B$7),"",--(AF2187&lt;5))</f>
        <v/>
      </c>
      <c r="AH2187" s="35">
        <f>IF(OR(C2187&lt;&gt;"Grayson Coulter",G2187&lt;'00_Control'!$B$7),"",--(AF2187&lt;10))</f>
        <v/>
      </c>
      <c r="AI2187" s="35">
        <f>IF(AND(C2187="Grayson Coulter",G2187&gt;='00_Control'!$B$7),"YES","NO")</f>
        <v/>
      </c>
      <c r="AJ2187" s="33" t="inlineStr">
        <is>
          <t>OK</t>
        </is>
      </c>
    </row>
    <row r="2188">
      <c r="A2188" s="33" t="inlineStr">
        <is>
          <t>SM002184</t>
        </is>
      </c>
      <c r="B2188" s="33" t="inlineStr">
        <is>
          <t>SW003</t>
        </is>
      </c>
      <c r="C2188" s="33" t="inlineStr">
        <is>
          <t>Luka Mijatovic</t>
        </is>
      </c>
      <c r="D2188" s="33" t="inlineStr">
        <is>
          <t>SwimCloud</t>
        </is>
      </c>
      <c r="E2188" s="33" t="inlineStr">
        <is>
          <t>2415996</t>
        </is>
      </c>
      <c r="F2188" s="33" t="inlineStr">
        <is>
          <t>148177982</t>
        </is>
      </c>
      <c r="G2188" s="51" t="n">
        <v>45723</v>
      </c>
      <c r="H2188" s="33" t="inlineStr">
        <is>
          <t>TYR Pro Swim Series - Westmont</t>
        </is>
      </c>
      <c r="I2188" s="33" t="inlineStr">
        <is>
          <t>308412</t>
        </is>
      </c>
      <c r="J2188" s="33" t="inlineStr"/>
      <c r="K2188" s="33" t="inlineStr">
        <is>
          <t>FIN</t>
        </is>
      </c>
      <c r="L2188" s="35">
        <f>IF(K2188="FIN",3,IF(OR(K2188="SEM",K2188="SEMI"),2,IF(OR(K2188="PRE",K2188="HEAT"),1,IF(V2188="YES",4,2))))</f>
        <v/>
      </c>
      <c r="M2188" s="33" t="inlineStr">
        <is>
          <t>LCM</t>
        </is>
      </c>
      <c r="N2188" s="33" t="n">
        <v>200</v>
      </c>
      <c r="O2188" s="33" t="inlineStr">
        <is>
          <t>Free</t>
        </is>
      </c>
      <c r="P2188" s="33" t="inlineStr">
        <is>
          <t>200 Free</t>
        </is>
      </c>
      <c r="Q2188" s="33" t="inlineStr">
        <is>
          <t>LCM_200_FREE</t>
        </is>
      </c>
      <c r="R2188" s="36" t="n">
        <v>108.55</v>
      </c>
      <c r="S2188" s="35">
        <f>IF(R2188="","",IF(R2188&gt;=60,INT(R2188/60)&amp;":"&amp;TEXT(MOD(R2188,60),"00.00"),TEXT(R2188,"0.00")))</f>
        <v/>
      </c>
      <c r="T2188" s="52">
        <f>IFERROR((G2188-INDEX('01_Swimmers'!$E$5:$E$22,MATCH(B2188,'01_Swimmers'!$A$5:$A$22,0)))/'00_Control'!$B$10,"")</f>
        <v/>
      </c>
      <c r="U2188" s="35">
        <f>IF(T2188="","",INT(T2188))</f>
        <v/>
      </c>
      <c r="V2188" s="33" t="inlineStr">
        <is>
          <t>NO</t>
        </is>
      </c>
      <c r="W2188" s="33" t="inlineStr">
        <is>
          <t>YES</t>
        </is>
      </c>
      <c r="X2188" s="33" t="inlineStr">
        <is>
          <t>NO</t>
        </is>
      </c>
      <c r="Y2188" s="33" t="n">
        <v>1</v>
      </c>
      <c r="Z2188" s="33" t="n">
        <v>5</v>
      </c>
      <c r="AA2188" s="33" t="inlineStr">
        <is>
          <t>7</t>
        </is>
      </c>
      <c r="AB2188" s="33" t="inlineStr">
        <is>
          <t>https://www.swimcloud.com/results/308412/event/14/?id=148177982#time148177982</t>
        </is>
      </c>
      <c r="AC2188" s="33" t="inlineStr">
        <is>
          <t>SwimCloud API v6 2026-10-08</t>
        </is>
      </c>
      <c r="AD2188" s="33" t="inlineStr">
        <is>
          <t>Luka Mijatovic|2025-03-07|LCM|200|Free|108.55|TYR Pro Swim Series - Westmont|FIN|False</t>
        </is>
      </c>
      <c r="AE2188" s="53">
        <f>G2188+L2188/1000+ROW()/1000000000</f>
        <v/>
      </c>
      <c r="AF2188" s="35">
        <f>IF(C2188&lt;&gt;"Grayson Coulter","",COUNTIFS($C$5:$C$2991,"Grayson Coulter",$Q$5:$Q$2991,Q2188,$AE$5:$AE$2991,"&lt;="&amp;AE2188,$R$5:$R$2991,"&lt;"&amp;R2188))</f>
        <v/>
      </c>
      <c r="AG2188" s="35">
        <f>IF(OR(C2188&lt;&gt;"Grayson Coulter",G2188&lt;'00_Control'!$B$7),"",--(AF2188&lt;5))</f>
        <v/>
      </c>
      <c r="AH2188" s="35">
        <f>IF(OR(C2188&lt;&gt;"Grayson Coulter",G2188&lt;'00_Control'!$B$7),"",--(AF2188&lt;10))</f>
        <v/>
      </c>
      <c r="AI2188" s="35">
        <f>IF(AND(C2188="Grayson Coulter",G2188&gt;='00_Control'!$B$7),"YES","NO")</f>
        <v/>
      </c>
      <c r="AJ2188" s="33" t="inlineStr">
        <is>
          <t>OK</t>
        </is>
      </c>
    </row>
    <row r="2189">
      <c r="A2189" s="33" t="inlineStr">
        <is>
          <t>SM002185</t>
        </is>
      </c>
      <c r="B2189" s="33" t="inlineStr">
        <is>
          <t>SW003</t>
        </is>
      </c>
      <c r="C2189" s="33" t="inlineStr">
        <is>
          <t>Luka Mijatovic</t>
        </is>
      </c>
      <c r="D2189" s="33" t="inlineStr">
        <is>
          <t>SwimCloud</t>
        </is>
      </c>
      <c r="E2189" s="33" t="inlineStr">
        <is>
          <t>2415996</t>
        </is>
      </c>
      <c r="F2189" s="33" t="inlineStr">
        <is>
          <t>151162421</t>
        </is>
      </c>
      <c r="G2189" s="51" t="n">
        <v>45773</v>
      </c>
      <c r="H2189" s="33" t="inlineStr">
        <is>
          <t>PC PLS Pleasanton Seahawks Senior Open</t>
        </is>
      </c>
      <c r="I2189" s="33" t="inlineStr">
        <is>
          <t>342760</t>
        </is>
      </c>
      <c r="J2189" s="33" t="inlineStr"/>
      <c r="K2189" s="33" t="inlineStr">
        <is>
          <t>TIM</t>
        </is>
      </c>
      <c r="L2189" s="35">
        <f>IF(K2189="FIN",3,IF(OR(K2189="SEM",K2189="SEMI"),2,IF(OR(K2189="PRE",K2189="HEAT"),1,IF(V2189="YES",4,2))))</f>
        <v/>
      </c>
      <c r="M2189" s="33" t="inlineStr">
        <is>
          <t>LCM</t>
        </is>
      </c>
      <c r="N2189" s="33" t="n">
        <v>400</v>
      </c>
      <c r="O2189" s="33" t="inlineStr">
        <is>
          <t>Free</t>
        </is>
      </c>
      <c r="P2189" s="33" t="inlineStr">
        <is>
          <t>400 Free</t>
        </is>
      </c>
      <c r="Q2189" s="33" t="inlineStr">
        <is>
          <t>LCM_400_FREE</t>
        </is>
      </c>
      <c r="R2189" s="36" t="n">
        <v>234.03</v>
      </c>
      <c r="S2189" s="35">
        <f>IF(R2189="","",IF(R2189&gt;=60,INT(R2189/60)&amp;":"&amp;TEXT(MOD(R2189,60),"00.00"),TEXT(R2189,"0.00")))</f>
        <v/>
      </c>
      <c r="T2189" s="52">
        <f>IFERROR((G2189-INDEX('01_Swimmers'!$E$5:$E$22,MATCH(B2189,'01_Swimmers'!$A$5:$A$22,0)))/'00_Control'!$B$10,"")</f>
        <v/>
      </c>
      <c r="U2189" s="35">
        <f>IF(T2189="","",INT(T2189))</f>
        <v/>
      </c>
      <c r="V2189" s="33" t="inlineStr">
        <is>
          <t>NO</t>
        </is>
      </c>
      <c r="W2189" s="33" t="inlineStr">
        <is>
          <t>YES</t>
        </is>
      </c>
      <c r="X2189" s="33" t="inlineStr">
        <is>
          <t>NO</t>
        </is>
      </c>
      <c r="Y2189" s="33" t="n">
        <v>1</v>
      </c>
      <c r="Z2189" s="33" t="n">
        <v>5</v>
      </c>
      <c r="AA2189" s="33" t="inlineStr">
        <is>
          <t>1</t>
        </is>
      </c>
      <c r="AB2189" s="33" t="inlineStr">
        <is>
          <t>https://www.swimcloud.com/results/342760/event/2/?id=151162421#time151162421</t>
        </is>
      </c>
      <c r="AC2189" s="33" t="inlineStr">
        <is>
          <t>SwimCloud API v6 2026-10-08</t>
        </is>
      </c>
      <c r="AD2189" s="33" t="inlineStr">
        <is>
          <t>Luka Mijatovic|2025-04-26|LCM|400|Free|234.03|PC PLS Pleasanton Seahawks Senior Open|TIM|False</t>
        </is>
      </c>
      <c r="AE2189" s="53">
        <f>G2189+L2189/1000+ROW()/1000000000</f>
        <v/>
      </c>
      <c r="AF2189" s="35">
        <f>IF(C2189&lt;&gt;"Grayson Coulter","",COUNTIFS($C$5:$C$2991,"Grayson Coulter",$Q$5:$Q$2991,Q2189,$AE$5:$AE$2991,"&lt;="&amp;AE2189,$R$5:$R$2991,"&lt;"&amp;R2189))</f>
        <v/>
      </c>
      <c r="AG2189" s="35">
        <f>IF(OR(C2189&lt;&gt;"Grayson Coulter",G2189&lt;'00_Control'!$B$7),"",--(AF2189&lt;5))</f>
        <v/>
      </c>
      <c r="AH2189" s="35">
        <f>IF(OR(C2189&lt;&gt;"Grayson Coulter",G2189&lt;'00_Control'!$B$7),"",--(AF2189&lt;10))</f>
        <v/>
      </c>
      <c r="AI2189" s="35">
        <f>IF(AND(C2189="Grayson Coulter",G2189&gt;='00_Control'!$B$7),"YES","NO")</f>
        <v/>
      </c>
      <c r="AJ2189" s="33" t="inlineStr">
        <is>
          <t>OK</t>
        </is>
      </c>
    </row>
    <row r="2190">
      <c r="A2190" s="33" t="inlineStr">
        <is>
          <t>SM002186</t>
        </is>
      </c>
      <c r="B2190" s="33" t="inlineStr">
        <is>
          <t>SW003</t>
        </is>
      </c>
      <c r="C2190" s="33" t="inlineStr">
        <is>
          <t>Luka Mijatovic</t>
        </is>
      </c>
      <c r="D2190" s="33" t="inlineStr">
        <is>
          <t>SwimCloud</t>
        </is>
      </c>
      <c r="E2190" s="33" t="inlineStr">
        <is>
          <t>2415996</t>
        </is>
      </c>
      <c r="F2190" s="33" t="inlineStr">
        <is>
          <t>153092528</t>
        </is>
      </c>
      <c r="G2190" s="51" t="n">
        <v>45812</v>
      </c>
      <c r="H2190" s="33" t="inlineStr">
        <is>
          <t>USA Swimming National Championships</t>
        </is>
      </c>
      <c r="I2190" s="33" t="inlineStr">
        <is>
          <t>321137</t>
        </is>
      </c>
      <c r="J2190" s="33" t="inlineStr"/>
      <c r="K2190" s="33" t="inlineStr">
        <is>
          <t>PRE</t>
        </is>
      </c>
      <c r="L2190" s="35">
        <f>IF(K2190="FIN",3,IF(OR(K2190="SEM",K2190="SEMI"),2,IF(OR(K2190="PRE",K2190="HEAT"),1,IF(V2190="YES",4,2))))</f>
        <v/>
      </c>
      <c r="M2190" s="33" t="inlineStr">
        <is>
          <t>LCM</t>
        </is>
      </c>
      <c r="N2190" s="33" t="n">
        <v>200</v>
      </c>
      <c r="O2190" s="33" t="inlineStr">
        <is>
          <t>Free</t>
        </is>
      </c>
      <c r="P2190" s="33" t="inlineStr">
        <is>
          <t>200 Free</t>
        </is>
      </c>
      <c r="Q2190" s="33" t="inlineStr">
        <is>
          <t>LCM_200_FREE</t>
        </is>
      </c>
      <c r="R2190" s="36" t="n">
        <v>105.92</v>
      </c>
      <c r="S2190" s="35">
        <f>IF(R2190="","",IF(R2190&gt;=60,INT(R2190/60)&amp;":"&amp;TEXT(MOD(R2190,60),"00.00"),TEXT(R2190,"0.00")))</f>
        <v/>
      </c>
      <c r="T2190" s="52">
        <f>IFERROR((G2190-INDEX('01_Swimmers'!$E$5:$E$22,MATCH(B2190,'01_Swimmers'!$A$5:$A$22,0)))/'00_Control'!$B$10,"")</f>
        <v/>
      </c>
      <c r="U2190" s="35">
        <f>IF(T2190="","",INT(T2190))</f>
        <v/>
      </c>
      <c r="V2190" s="33" t="inlineStr">
        <is>
          <t>NO</t>
        </is>
      </c>
      <c r="W2190" s="33" t="inlineStr">
        <is>
          <t>YES</t>
        </is>
      </c>
      <c r="X2190" s="33" t="inlineStr">
        <is>
          <t>NO</t>
        </is>
      </c>
      <c r="Y2190" s="33" t="n">
        <v>8</v>
      </c>
      <c r="Z2190" s="33" t="n">
        <v>1</v>
      </c>
      <c r="AA2190" s="33" t="inlineStr">
        <is>
          <t>4</t>
        </is>
      </c>
      <c r="AB2190" s="33" t="inlineStr">
        <is>
          <t>https://www.swimcloud.com/results/321137/event/8/?id=153092528#time153092528</t>
        </is>
      </c>
      <c r="AC2190" s="33" t="inlineStr">
        <is>
          <t>SwimCloud API v6 2026-10-08</t>
        </is>
      </c>
      <c r="AD2190" s="33" t="inlineStr">
        <is>
          <t>Luka Mijatovic|2025-06-04|LCM|200|Free|105.92|USA Swimming National Championships|PRE|False</t>
        </is>
      </c>
      <c r="AE2190" s="53">
        <f>G2190+L2190/1000+ROW()/1000000000</f>
        <v/>
      </c>
      <c r="AF2190" s="35">
        <f>IF(C2190&lt;&gt;"Grayson Coulter","",COUNTIFS($C$5:$C$2991,"Grayson Coulter",$Q$5:$Q$2991,Q2190,$AE$5:$AE$2991,"&lt;="&amp;AE2190,$R$5:$R$2991,"&lt;"&amp;R2190))</f>
        <v/>
      </c>
      <c r="AG2190" s="35">
        <f>IF(OR(C2190&lt;&gt;"Grayson Coulter",G2190&lt;'00_Control'!$B$7),"",--(AF2190&lt;5))</f>
        <v/>
      </c>
      <c r="AH2190" s="35">
        <f>IF(OR(C2190&lt;&gt;"Grayson Coulter",G2190&lt;'00_Control'!$B$7),"",--(AF2190&lt;10))</f>
        <v/>
      </c>
      <c r="AI2190" s="35">
        <f>IF(AND(C2190="Grayson Coulter",G2190&gt;='00_Control'!$B$7),"YES","NO")</f>
        <v/>
      </c>
      <c r="AJ2190" s="33" t="inlineStr">
        <is>
          <t>OK</t>
        </is>
      </c>
    </row>
    <row r="2191">
      <c r="A2191" s="33" t="inlineStr">
        <is>
          <t>SM002187</t>
        </is>
      </c>
      <c r="B2191" s="33" t="inlineStr">
        <is>
          <t>SW003</t>
        </is>
      </c>
      <c r="C2191" s="33" t="inlineStr">
        <is>
          <t>Luka Mijatovic</t>
        </is>
      </c>
      <c r="D2191" s="33" t="inlineStr">
        <is>
          <t>SwimCloud</t>
        </is>
      </c>
      <c r="E2191" s="33" t="inlineStr">
        <is>
          <t>2415996</t>
        </is>
      </c>
      <c r="F2191" s="33" t="inlineStr">
        <is>
          <t>153092527</t>
        </is>
      </c>
      <c r="G2191" s="51" t="n">
        <v>45812</v>
      </c>
      <c r="H2191" s="33" t="inlineStr">
        <is>
          <t>USA Swimming National Championships</t>
        </is>
      </c>
      <c r="I2191" s="33" t="inlineStr">
        <is>
          <t>321137</t>
        </is>
      </c>
      <c r="J2191" s="33" t="inlineStr"/>
      <c r="K2191" s="33" t="inlineStr">
        <is>
          <t>FIN</t>
        </is>
      </c>
      <c r="L2191" s="35">
        <f>IF(K2191="FIN",3,IF(OR(K2191="SEM",K2191="SEMI"),2,IF(OR(K2191="PRE",K2191="HEAT"),1,IF(V2191="YES",4,2))))</f>
        <v/>
      </c>
      <c r="M2191" s="33" t="inlineStr">
        <is>
          <t>LCM</t>
        </is>
      </c>
      <c r="N2191" s="33" t="n">
        <v>200</v>
      </c>
      <c r="O2191" s="33" t="inlineStr">
        <is>
          <t>Free</t>
        </is>
      </c>
      <c r="P2191" s="33" t="inlineStr">
        <is>
          <t>200 Free</t>
        </is>
      </c>
      <c r="Q2191" s="33" t="inlineStr">
        <is>
          <t>LCM_200_FREE</t>
        </is>
      </c>
      <c r="R2191" s="36" t="n">
        <v>106.39</v>
      </c>
      <c r="S2191" s="35">
        <f>IF(R2191="","",IF(R2191&gt;=60,INT(R2191/60)&amp;":"&amp;TEXT(MOD(R2191,60),"00.00"),TEXT(R2191,"0.00")))</f>
        <v/>
      </c>
      <c r="T2191" s="52">
        <f>IFERROR((G2191-INDEX('01_Swimmers'!$E$5:$E$22,MATCH(B2191,'01_Swimmers'!$A$5:$A$22,0)))/'00_Control'!$B$10,"")</f>
        <v/>
      </c>
      <c r="U2191" s="35">
        <f>IF(T2191="","",INT(T2191))</f>
        <v/>
      </c>
      <c r="V2191" s="33" t="inlineStr">
        <is>
          <t>NO</t>
        </is>
      </c>
      <c r="W2191" s="33" t="inlineStr">
        <is>
          <t>YES</t>
        </is>
      </c>
      <c r="X2191" s="33" t="inlineStr">
        <is>
          <t>NO</t>
        </is>
      </c>
      <c r="Y2191" s="33" t="n">
        <v>1</v>
      </c>
      <c r="Z2191" s="33" t="n">
        <v>6</v>
      </c>
      <c r="AA2191" s="33" t="inlineStr">
        <is>
          <t>8</t>
        </is>
      </c>
      <c r="AB2191" s="33" t="inlineStr">
        <is>
          <t>https://www.swimcloud.com/results/321137/event/8/?id=153092527#time153092527</t>
        </is>
      </c>
      <c r="AC2191" s="33" t="inlineStr">
        <is>
          <t>SwimCloud API v6 2026-10-08</t>
        </is>
      </c>
      <c r="AD2191" s="33" t="inlineStr">
        <is>
          <t>Luka Mijatovic|2025-06-04|LCM|200|Free|106.39|USA Swimming National Championships|FIN|False</t>
        </is>
      </c>
      <c r="AE2191" s="53">
        <f>G2191+L2191/1000+ROW()/1000000000</f>
        <v/>
      </c>
      <c r="AF2191" s="35">
        <f>IF(C2191&lt;&gt;"Grayson Coulter","",COUNTIFS($C$5:$C$2991,"Grayson Coulter",$Q$5:$Q$2991,Q2191,$AE$5:$AE$2991,"&lt;="&amp;AE2191,$R$5:$R$2991,"&lt;"&amp;R2191))</f>
        <v/>
      </c>
      <c r="AG2191" s="35">
        <f>IF(OR(C2191&lt;&gt;"Grayson Coulter",G2191&lt;'00_Control'!$B$7),"",--(AF2191&lt;5))</f>
        <v/>
      </c>
      <c r="AH2191" s="35">
        <f>IF(OR(C2191&lt;&gt;"Grayson Coulter",G2191&lt;'00_Control'!$B$7),"",--(AF2191&lt;10))</f>
        <v/>
      </c>
      <c r="AI2191" s="35">
        <f>IF(AND(C2191="Grayson Coulter",G2191&gt;='00_Control'!$B$7),"YES","NO")</f>
        <v/>
      </c>
      <c r="AJ2191" s="33" t="inlineStr">
        <is>
          <t>OK</t>
        </is>
      </c>
    </row>
    <row r="2192">
      <c r="A2192" s="33" t="inlineStr">
        <is>
          <t>SM002188</t>
        </is>
      </c>
      <c r="B2192" s="33" t="inlineStr">
        <is>
          <t>SW003</t>
        </is>
      </c>
      <c r="C2192" s="33" t="inlineStr">
        <is>
          <t>Luka Mijatovic</t>
        </is>
      </c>
      <c r="D2192" s="33" t="inlineStr">
        <is>
          <t>SwimCloud</t>
        </is>
      </c>
      <c r="E2192" s="33" t="inlineStr">
        <is>
          <t>2415996</t>
        </is>
      </c>
      <c r="F2192" s="33" t="inlineStr">
        <is>
          <t>153094261</t>
        </is>
      </c>
      <c r="G2192" s="51" t="n">
        <v>45813</v>
      </c>
      <c r="H2192" s="33" t="inlineStr">
        <is>
          <t>USA Swimming National Championships</t>
        </is>
      </c>
      <c r="I2192" s="33" t="inlineStr">
        <is>
          <t>321137</t>
        </is>
      </c>
      <c r="J2192" s="33" t="inlineStr"/>
      <c r="K2192" s="33" t="inlineStr">
        <is>
          <t>PRE</t>
        </is>
      </c>
      <c r="L2192" s="35">
        <f>IF(K2192="FIN",3,IF(OR(K2192="SEM",K2192="SEMI"),2,IF(OR(K2192="PRE",K2192="HEAT"),1,IF(V2192="YES",4,2))))</f>
        <v/>
      </c>
      <c r="M2192" s="33" t="inlineStr">
        <is>
          <t>LCM</t>
        </is>
      </c>
      <c r="N2192" s="33" t="n">
        <v>100</v>
      </c>
      <c r="O2192" s="33" t="inlineStr">
        <is>
          <t>Fly</t>
        </is>
      </c>
      <c r="P2192" s="33" t="inlineStr">
        <is>
          <t>100 Fly</t>
        </is>
      </c>
      <c r="Q2192" s="33" t="inlineStr">
        <is>
          <t>LCM_100_FLY</t>
        </is>
      </c>
      <c r="R2192" s="36" t="n">
        <v>57.02</v>
      </c>
      <c r="S2192" s="35">
        <f>IF(R2192="","",IF(R2192&gt;=60,INT(R2192/60)&amp;":"&amp;TEXT(MOD(R2192,60),"00.00"),TEXT(R2192,"0.00")))</f>
        <v/>
      </c>
      <c r="T2192" s="52">
        <f>IFERROR((G2192-INDEX('01_Swimmers'!$E$5:$E$22,MATCH(B2192,'01_Swimmers'!$A$5:$A$22,0)))/'00_Control'!$B$10,"")</f>
        <v/>
      </c>
      <c r="U2192" s="35">
        <f>IF(T2192="","",INT(T2192))</f>
        <v/>
      </c>
      <c r="V2192" s="33" t="inlineStr">
        <is>
          <t>NO</t>
        </is>
      </c>
      <c r="W2192" s="33" t="inlineStr">
        <is>
          <t>YES</t>
        </is>
      </c>
      <c r="X2192" s="33" t="inlineStr">
        <is>
          <t>NO</t>
        </is>
      </c>
      <c r="Y2192" s="33" t="n">
        <v>2</v>
      </c>
      <c r="Z2192" s="33" t="n">
        <v>7</v>
      </c>
      <c r="AA2192" s="33" t="inlineStr"/>
      <c r="AB2192" s="33" t="inlineStr">
        <is>
          <t>https://www.swimcloud.com/results/321137/event/16/?id=153092532#time153092532</t>
        </is>
      </c>
      <c r="AC2192" s="33" t="inlineStr">
        <is>
          <t>SwimCloud API v6 2026-10-08</t>
        </is>
      </c>
      <c r="AD2192" s="33" t="inlineStr">
        <is>
          <t>Luka Mijatovic|2025-06-05|LCM|100|Fly|57.02|USA Swimming National Championships|PRE|False</t>
        </is>
      </c>
      <c r="AE2192" s="53">
        <f>G2192+L2192/1000+ROW()/1000000000</f>
        <v/>
      </c>
      <c r="AF2192" s="35">
        <f>IF(C2192&lt;&gt;"Grayson Coulter","",COUNTIFS($C$5:$C$2991,"Grayson Coulter",$Q$5:$Q$2991,Q2192,$AE$5:$AE$2991,"&lt;="&amp;AE2192,$R$5:$R$2991,"&lt;"&amp;R2192))</f>
        <v/>
      </c>
      <c r="AG2192" s="35">
        <f>IF(OR(C2192&lt;&gt;"Grayson Coulter",G2192&lt;'00_Control'!$B$7),"",--(AF2192&lt;5))</f>
        <v/>
      </c>
      <c r="AH2192" s="35">
        <f>IF(OR(C2192&lt;&gt;"Grayson Coulter",G2192&lt;'00_Control'!$B$7),"",--(AF2192&lt;10))</f>
        <v/>
      </c>
      <c r="AI2192" s="35">
        <f>IF(AND(C2192="Grayson Coulter",G2192&gt;='00_Control'!$B$7),"YES","NO")</f>
        <v/>
      </c>
      <c r="AJ2192" s="33" t="inlineStr">
        <is>
          <t>OK</t>
        </is>
      </c>
    </row>
    <row r="2193">
      <c r="A2193" s="33" t="inlineStr">
        <is>
          <t>SM002189</t>
        </is>
      </c>
      <c r="B2193" s="33" t="inlineStr">
        <is>
          <t>SW003</t>
        </is>
      </c>
      <c r="C2193" s="33" t="inlineStr">
        <is>
          <t>Luka Mijatovic</t>
        </is>
      </c>
      <c r="D2193" s="33" t="inlineStr">
        <is>
          <t>SwimCloud</t>
        </is>
      </c>
      <c r="E2193" s="33" t="inlineStr">
        <is>
          <t>2415996</t>
        </is>
      </c>
      <c r="F2193" s="33" t="inlineStr">
        <is>
          <t>153094266</t>
        </is>
      </c>
      <c r="G2193" s="51" t="n">
        <v>45813</v>
      </c>
      <c r="H2193" s="33" t="inlineStr">
        <is>
          <t>USA Swimming National Championships</t>
        </is>
      </c>
      <c r="I2193" s="33" t="inlineStr">
        <is>
          <t>321137</t>
        </is>
      </c>
      <c r="J2193" s="33" t="inlineStr"/>
      <c r="K2193" s="33" t="inlineStr">
        <is>
          <t>FIN</t>
        </is>
      </c>
      <c r="L2193" s="35">
        <f>IF(K2193="FIN",3,IF(OR(K2193="SEM",K2193="SEMI"),2,IF(OR(K2193="PRE",K2193="HEAT"),1,IF(V2193="YES",4,2))))</f>
        <v/>
      </c>
      <c r="M2193" s="33" t="inlineStr">
        <is>
          <t>LCM</t>
        </is>
      </c>
      <c r="N2193" s="33" t="n">
        <v>100</v>
      </c>
      <c r="O2193" s="33" t="inlineStr">
        <is>
          <t>Fly</t>
        </is>
      </c>
      <c r="P2193" s="33" t="inlineStr">
        <is>
          <t>100 Fly</t>
        </is>
      </c>
      <c r="Q2193" s="33" t="inlineStr">
        <is>
          <t>LCM_100_FLY</t>
        </is>
      </c>
      <c r="R2193" s="36" t="n">
        <v>57.47</v>
      </c>
      <c r="S2193" s="35">
        <f>IF(R2193="","",IF(R2193&gt;=60,INT(R2193/60)&amp;":"&amp;TEXT(MOD(R2193,60),"00.00"),TEXT(R2193,"0.00")))</f>
        <v/>
      </c>
      <c r="T2193" s="52">
        <f>IFERROR((G2193-INDEX('01_Swimmers'!$E$5:$E$22,MATCH(B2193,'01_Swimmers'!$A$5:$A$22,0)))/'00_Control'!$B$10,"")</f>
        <v/>
      </c>
      <c r="U2193" s="35">
        <f>IF(T2193="","",INT(T2193))</f>
        <v/>
      </c>
      <c r="V2193" s="33" t="inlineStr">
        <is>
          <t>NO</t>
        </is>
      </c>
      <c r="W2193" s="33" t="inlineStr">
        <is>
          <t>YES</t>
        </is>
      </c>
      <c r="X2193" s="33" t="inlineStr">
        <is>
          <t>NO</t>
        </is>
      </c>
      <c r="Y2193" s="33" t="n">
        <v>1</v>
      </c>
      <c r="Z2193" s="33" t="n">
        <v>8</v>
      </c>
      <c r="AA2193" s="33" t="inlineStr"/>
      <c r="AB2193" s="33" t="inlineStr">
        <is>
          <t>https://www.swimcloud.com/results/321137/event/16/?id=153092531#time153092531</t>
        </is>
      </c>
      <c r="AC2193" s="33" t="inlineStr">
        <is>
          <t>SwimCloud API v6 2026-10-08</t>
        </is>
      </c>
      <c r="AD2193" s="33" t="inlineStr">
        <is>
          <t>Luka Mijatovic|2025-06-05|LCM|100|Fly|57.47|USA Swimming National Championships|FIN|False</t>
        </is>
      </c>
      <c r="AE2193" s="53">
        <f>G2193+L2193/1000+ROW()/1000000000</f>
        <v/>
      </c>
      <c r="AF2193" s="35">
        <f>IF(C2193&lt;&gt;"Grayson Coulter","",COUNTIFS($C$5:$C$2991,"Grayson Coulter",$Q$5:$Q$2991,Q2193,$AE$5:$AE$2991,"&lt;="&amp;AE2193,$R$5:$R$2991,"&lt;"&amp;R2193))</f>
        <v/>
      </c>
      <c r="AG2193" s="35">
        <f>IF(OR(C2193&lt;&gt;"Grayson Coulter",G2193&lt;'00_Control'!$B$7),"",--(AF2193&lt;5))</f>
        <v/>
      </c>
      <c r="AH2193" s="35">
        <f>IF(OR(C2193&lt;&gt;"Grayson Coulter",G2193&lt;'00_Control'!$B$7),"",--(AF2193&lt;10))</f>
        <v/>
      </c>
      <c r="AI2193" s="35">
        <f>IF(AND(C2193="Grayson Coulter",G2193&gt;='00_Control'!$B$7),"YES","NO")</f>
        <v/>
      </c>
      <c r="AJ2193" s="33" t="inlineStr">
        <is>
          <t>OK</t>
        </is>
      </c>
    </row>
    <row r="2194">
      <c r="A2194" s="33" t="inlineStr">
        <is>
          <t>SM002190</t>
        </is>
      </c>
      <c r="B2194" s="33" t="inlineStr">
        <is>
          <t>SW003</t>
        </is>
      </c>
      <c r="C2194" s="33" t="inlineStr">
        <is>
          <t>Luka Mijatovic</t>
        </is>
      </c>
      <c r="D2194" s="33" t="inlineStr">
        <is>
          <t>SwimCloud</t>
        </is>
      </c>
      <c r="E2194" s="33" t="inlineStr">
        <is>
          <t>2415996</t>
        </is>
      </c>
      <c r="F2194" s="33" t="inlineStr">
        <is>
          <t>153092530</t>
        </is>
      </c>
      <c r="G2194" s="51" t="n">
        <v>45814</v>
      </c>
      <c r="H2194" s="33" t="inlineStr">
        <is>
          <t>USA Swimming National Championships</t>
        </is>
      </c>
      <c r="I2194" s="33" t="inlineStr">
        <is>
          <t>321137</t>
        </is>
      </c>
      <c r="J2194" s="33" t="inlineStr"/>
      <c r="K2194" s="33" t="inlineStr">
        <is>
          <t>PRE</t>
        </is>
      </c>
      <c r="L2194" s="35">
        <f>IF(K2194="FIN",3,IF(OR(K2194="SEM",K2194="SEMI"),2,IF(OR(K2194="PRE",K2194="HEAT"),1,IF(V2194="YES",4,2))))</f>
        <v/>
      </c>
      <c r="M2194" s="33" t="inlineStr">
        <is>
          <t>LCM</t>
        </is>
      </c>
      <c r="N2194" s="33" t="n">
        <v>400</v>
      </c>
      <c r="O2194" s="33" t="inlineStr">
        <is>
          <t>Free</t>
        </is>
      </c>
      <c r="P2194" s="33" t="inlineStr">
        <is>
          <t>400 Free</t>
        </is>
      </c>
      <c r="Q2194" s="33" t="inlineStr">
        <is>
          <t>LCM_400_FREE</t>
        </is>
      </c>
      <c r="R2194" s="36" t="n">
        <v>225.89</v>
      </c>
      <c r="S2194" s="35">
        <f>IF(R2194="","",IF(R2194&gt;=60,INT(R2194/60)&amp;":"&amp;TEXT(MOD(R2194,60),"00.00"),TEXT(R2194,"0.00")))</f>
        <v/>
      </c>
      <c r="T2194" s="52">
        <f>IFERROR((G2194-INDEX('01_Swimmers'!$E$5:$E$22,MATCH(B2194,'01_Swimmers'!$A$5:$A$22,0)))/'00_Control'!$B$10,"")</f>
        <v/>
      </c>
      <c r="U2194" s="35">
        <f>IF(T2194="","",INT(T2194))</f>
        <v/>
      </c>
      <c r="V2194" s="33" t="inlineStr">
        <is>
          <t>NO</t>
        </is>
      </c>
      <c r="W2194" s="33" t="inlineStr">
        <is>
          <t>YES</t>
        </is>
      </c>
      <c r="X2194" s="33" t="inlineStr">
        <is>
          <t>NO</t>
        </is>
      </c>
      <c r="Y2194" s="33" t="n">
        <v>5</v>
      </c>
      <c r="Z2194" s="33" t="n">
        <v>6</v>
      </c>
      <c r="AA2194" s="33" t="inlineStr">
        <is>
          <t>1</t>
        </is>
      </c>
      <c r="AB2194" s="33" t="inlineStr">
        <is>
          <t>https://www.swimcloud.com/results/321137/event/24/?id=153092530#time153092530</t>
        </is>
      </c>
      <c r="AC2194" s="33" t="inlineStr">
        <is>
          <t>SwimCloud API v6 2026-10-08</t>
        </is>
      </c>
      <c r="AD2194" s="33" t="inlineStr">
        <is>
          <t>Luka Mijatovic|2025-06-06|LCM|400|Free|225.89|USA Swimming National Championships|PRE|False</t>
        </is>
      </c>
      <c r="AE2194" s="53">
        <f>G2194+L2194/1000+ROW()/1000000000</f>
        <v/>
      </c>
      <c r="AF2194" s="35">
        <f>IF(C2194&lt;&gt;"Grayson Coulter","",COUNTIFS($C$5:$C$2991,"Grayson Coulter",$Q$5:$Q$2991,Q2194,$AE$5:$AE$2991,"&lt;="&amp;AE2194,$R$5:$R$2991,"&lt;"&amp;R2194))</f>
        <v/>
      </c>
      <c r="AG2194" s="35">
        <f>IF(OR(C2194&lt;&gt;"Grayson Coulter",G2194&lt;'00_Control'!$B$7),"",--(AF2194&lt;5))</f>
        <v/>
      </c>
      <c r="AH2194" s="35">
        <f>IF(OR(C2194&lt;&gt;"Grayson Coulter",G2194&lt;'00_Control'!$B$7),"",--(AF2194&lt;10))</f>
        <v/>
      </c>
      <c r="AI2194" s="35">
        <f>IF(AND(C2194="Grayson Coulter",G2194&gt;='00_Control'!$B$7),"YES","NO")</f>
        <v/>
      </c>
      <c r="AJ2194" s="33" t="inlineStr">
        <is>
          <t>OK</t>
        </is>
      </c>
    </row>
    <row r="2195">
      <c r="A2195" s="33" t="inlineStr">
        <is>
          <t>SM002191</t>
        </is>
      </c>
      <c r="B2195" s="33" t="inlineStr">
        <is>
          <t>SW003</t>
        </is>
      </c>
      <c r="C2195" s="33" t="inlineStr">
        <is>
          <t>Luka Mijatovic</t>
        </is>
      </c>
      <c r="D2195" s="33" t="inlineStr">
        <is>
          <t>SwimCloud</t>
        </is>
      </c>
      <c r="E2195" s="33" t="inlineStr">
        <is>
          <t>2415996</t>
        </is>
      </c>
      <c r="F2195" s="33" t="inlineStr">
        <is>
          <t>153092529</t>
        </is>
      </c>
      <c r="G2195" s="51" t="n">
        <v>45814</v>
      </c>
      <c r="H2195" s="33" t="inlineStr">
        <is>
          <t>USA Swimming National Championships</t>
        </is>
      </c>
      <c r="I2195" s="33" t="inlineStr">
        <is>
          <t>321137</t>
        </is>
      </c>
      <c r="J2195" s="33" t="inlineStr"/>
      <c r="K2195" s="33" t="inlineStr">
        <is>
          <t>FIN</t>
        </is>
      </c>
      <c r="L2195" s="35">
        <f>IF(K2195="FIN",3,IF(OR(K2195="SEM",K2195="SEMI"),2,IF(OR(K2195="PRE",K2195="HEAT"),1,IF(V2195="YES",4,2))))</f>
        <v/>
      </c>
      <c r="M2195" s="33" t="inlineStr">
        <is>
          <t>LCM</t>
        </is>
      </c>
      <c r="N2195" s="33" t="n">
        <v>400</v>
      </c>
      <c r="O2195" s="33" t="inlineStr">
        <is>
          <t>Free</t>
        </is>
      </c>
      <c r="P2195" s="33" t="inlineStr">
        <is>
          <t>400 Free</t>
        </is>
      </c>
      <c r="Q2195" s="33" t="inlineStr">
        <is>
          <t>LCM_400_FREE</t>
        </is>
      </c>
      <c r="R2195" s="36" t="n">
        <v>225.71</v>
      </c>
      <c r="S2195" s="35">
        <f>IF(R2195="","",IF(R2195&gt;=60,INT(R2195/60)&amp;":"&amp;TEXT(MOD(R2195,60),"00.00"),TEXT(R2195,"0.00")))</f>
        <v/>
      </c>
      <c r="T2195" s="52">
        <f>IFERROR((G2195-INDEX('01_Swimmers'!$E$5:$E$22,MATCH(B2195,'01_Swimmers'!$A$5:$A$22,0)))/'00_Control'!$B$10,"")</f>
        <v/>
      </c>
      <c r="U2195" s="35">
        <f>IF(T2195="","",INT(T2195))</f>
        <v/>
      </c>
      <c r="V2195" s="33" t="inlineStr">
        <is>
          <t>NO</t>
        </is>
      </c>
      <c r="W2195" s="33" t="inlineStr">
        <is>
          <t>YES</t>
        </is>
      </c>
      <c r="X2195" s="33" t="inlineStr">
        <is>
          <t>NO</t>
        </is>
      </c>
      <c r="Y2195" s="33" t="n">
        <v>1</v>
      </c>
      <c r="Z2195" s="33" t="n">
        <v>4</v>
      </c>
      <c r="AA2195" s="33" t="inlineStr">
        <is>
          <t>2</t>
        </is>
      </c>
      <c r="AB2195" s="33" t="inlineStr">
        <is>
          <t>https://www.swimcloud.com/results/321137/event/24/?id=153092529#time153092529</t>
        </is>
      </c>
      <c r="AC2195" s="33" t="inlineStr">
        <is>
          <t>SwimCloud API v6 2026-10-08</t>
        </is>
      </c>
      <c r="AD2195" s="33" t="inlineStr">
        <is>
          <t>Luka Mijatovic|2025-06-06|LCM|400|Free|225.71|USA Swimming National Championships|FIN|False</t>
        </is>
      </c>
      <c r="AE2195" s="53">
        <f>G2195+L2195/1000+ROW()/1000000000</f>
        <v/>
      </c>
      <c r="AF2195" s="35">
        <f>IF(C2195&lt;&gt;"Grayson Coulter","",COUNTIFS($C$5:$C$2991,"Grayson Coulter",$Q$5:$Q$2991,Q2195,$AE$5:$AE$2991,"&lt;="&amp;AE2195,$R$5:$R$2991,"&lt;"&amp;R2195))</f>
        <v/>
      </c>
      <c r="AG2195" s="35">
        <f>IF(OR(C2195&lt;&gt;"Grayson Coulter",G2195&lt;'00_Control'!$B$7),"",--(AF2195&lt;5))</f>
        <v/>
      </c>
      <c r="AH2195" s="35">
        <f>IF(OR(C2195&lt;&gt;"Grayson Coulter",G2195&lt;'00_Control'!$B$7),"",--(AF2195&lt;10))</f>
        <v/>
      </c>
      <c r="AI2195" s="35">
        <f>IF(AND(C2195="Grayson Coulter",G2195&gt;='00_Control'!$B$7),"YES","NO")</f>
        <v/>
      </c>
      <c r="AJ2195" s="33" t="inlineStr">
        <is>
          <t>OK</t>
        </is>
      </c>
    </row>
    <row r="2196">
      <c r="A2196" s="33" t="inlineStr">
        <is>
          <t>SM002192</t>
        </is>
      </c>
      <c r="B2196" s="33" t="inlineStr">
        <is>
          <t>SW003</t>
        </is>
      </c>
      <c r="C2196" s="33" t="inlineStr">
        <is>
          <t>Luka Mijatovic</t>
        </is>
      </c>
      <c r="D2196" s="33" t="inlineStr">
        <is>
          <t>SwimCloud</t>
        </is>
      </c>
      <c r="E2196" s="33" t="inlineStr">
        <is>
          <t>2415996</t>
        </is>
      </c>
      <c r="F2196" s="33" t="inlineStr">
        <is>
          <t>155569298</t>
        </is>
      </c>
      <c r="G2196" s="51" t="n">
        <v>45849</v>
      </c>
      <c r="H2196" s="33" t="inlineStr">
        <is>
          <t>Super League Champs</t>
        </is>
      </c>
      <c r="I2196" s="33" t="inlineStr">
        <is>
          <t>347941</t>
        </is>
      </c>
      <c r="J2196" s="33" t="inlineStr"/>
      <c r="K2196" s="33" t="inlineStr">
        <is>
          <t>TIM</t>
        </is>
      </c>
      <c r="L2196" s="35">
        <f>IF(K2196="FIN",3,IF(OR(K2196="SEM",K2196="SEMI"),2,IF(OR(K2196="PRE",K2196="HEAT"),1,IF(V2196="YES",4,2))))</f>
        <v/>
      </c>
      <c r="M2196" s="33" t="inlineStr">
        <is>
          <t>LCM</t>
        </is>
      </c>
      <c r="N2196" s="33" t="n">
        <v>200</v>
      </c>
      <c r="O2196" s="33" t="inlineStr">
        <is>
          <t>Free</t>
        </is>
      </c>
      <c r="P2196" s="33" t="inlineStr">
        <is>
          <t>200 Free</t>
        </is>
      </c>
      <c r="Q2196" s="33" t="inlineStr">
        <is>
          <t>LCM_200_FREE</t>
        </is>
      </c>
      <c r="R2196" s="36" t="n">
        <v>107.6</v>
      </c>
      <c r="S2196" s="35">
        <f>IF(R2196="","",IF(R2196&gt;=60,INT(R2196/60)&amp;":"&amp;TEXT(MOD(R2196,60),"00.00"),TEXT(R2196,"0.00")))</f>
        <v/>
      </c>
      <c r="T2196" s="52">
        <f>IFERROR((G2196-INDEX('01_Swimmers'!$E$5:$E$22,MATCH(B2196,'01_Swimmers'!$A$5:$A$22,0)))/'00_Control'!$B$10,"")</f>
        <v/>
      </c>
      <c r="U2196" s="35">
        <f>IF(T2196="","",INT(T2196))</f>
        <v/>
      </c>
      <c r="V2196" s="33" t="inlineStr">
        <is>
          <t>YES</t>
        </is>
      </c>
      <c r="W2196" s="33" t="inlineStr">
        <is>
          <t>YES</t>
        </is>
      </c>
      <c r="X2196" s="33" t="inlineStr">
        <is>
          <t>NO</t>
        </is>
      </c>
      <c r="Y2196" s="33" t="n">
        <v>1</v>
      </c>
      <c r="Z2196" s="33" t="n">
        <v>4</v>
      </c>
      <c r="AA2196" s="33" t="inlineStr"/>
      <c r="AB2196" s="33" t="inlineStr">
        <is>
          <t>https://www.swimcloud.com/results/347941/event/140/?id=155569177#time155569177</t>
        </is>
      </c>
      <c r="AC2196" s="33" t="inlineStr">
        <is>
          <t>SwimCloud API v6 2026-10-08</t>
        </is>
      </c>
      <c r="AD2196" s="33" t="inlineStr">
        <is>
          <t>Luka Mijatovic|2025-07-11|LCM|200|Free|107.6|Super League Champs|TIM|True</t>
        </is>
      </c>
      <c r="AE2196" s="53">
        <f>G2196+L2196/1000+ROW()/1000000000</f>
        <v/>
      </c>
      <c r="AF2196" s="35">
        <f>IF(C2196&lt;&gt;"Grayson Coulter","",COUNTIFS($C$5:$C$2991,"Grayson Coulter",$Q$5:$Q$2991,Q2196,$AE$5:$AE$2991,"&lt;="&amp;AE2196,$R$5:$R$2991,"&lt;"&amp;R2196))</f>
        <v/>
      </c>
      <c r="AG2196" s="35">
        <f>IF(OR(C2196&lt;&gt;"Grayson Coulter",G2196&lt;'00_Control'!$B$7),"",--(AF2196&lt;5))</f>
        <v/>
      </c>
      <c r="AH2196" s="35">
        <f>IF(OR(C2196&lt;&gt;"Grayson Coulter",G2196&lt;'00_Control'!$B$7),"",--(AF2196&lt;10))</f>
        <v/>
      </c>
      <c r="AI2196" s="35">
        <f>IF(AND(C2196="Grayson Coulter",G2196&gt;='00_Control'!$B$7),"YES","NO")</f>
        <v/>
      </c>
      <c r="AJ2196" s="33" t="inlineStr">
        <is>
          <t>OK</t>
        </is>
      </c>
    </row>
    <row r="2197">
      <c r="A2197" s="33" t="inlineStr">
        <is>
          <t>SM002193</t>
        </is>
      </c>
      <c r="B2197" s="33" t="inlineStr">
        <is>
          <t>SW003</t>
        </is>
      </c>
      <c r="C2197" s="33" t="inlineStr">
        <is>
          <t>Luka Mijatovic</t>
        </is>
      </c>
      <c r="D2197" s="33" t="inlineStr">
        <is>
          <t>SwimCloud</t>
        </is>
      </c>
      <c r="E2197" s="33" t="inlineStr">
        <is>
          <t>2415996</t>
        </is>
      </c>
      <c r="F2197" s="33" t="inlineStr">
        <is>
          <t>155568530</t>
        </is>
      </c>
      <c r="G2197" s="51" t="n">
        <v>45849</v>
      </c>
      <c r="H2197" s="33" t="inlineStr">
        <is>
          <t>Super League Champs</t>
        </is>
      </c>
      <c r="I2197" s="33" t="inlineStr">
        <is>
          <t>347941</t>
        </is>
      </c>
      <c r="J2197" s="33" t="inlineStr"/>
      <c r="K2197" s="33" t="inlineStr">
        <is>
          <t>PRE</t>
        </is>
      </c>
      <c r="L2197" s="35">
        <f>IF(K2197="FIN",3,IF(OR(K2197="SEM",K2197="SEMI"),2,IF(OR(K2197="PRE",K2197="HEAT"),1,IF(V2197="YES",4,2))))</f>
        <v/>
      </c>
      <c r="M2197" s="33" t="inlineStr">
        <is>
          <t>LCM</t>
        </is>
      </c>
      <c r="N2197" s="33" t="n">
        <v>400</v>
      </c>
      <c r="O2197" s="33" t="inlineStr">
        <is>
          <t>Free</t>
        </is>
      </c>
      <c r="P2197" s="33" t="inlineStr">
        <is>
          <t>400 Free</t>
        </is>
      </c>
      <c r="Q2197" s="33" t="inlineStr">
        <is>
          <t>LCM_400_FREE</t>
        </is>
      </c>
      <c r="R2197" s="36" t="n">
        <v>262.21</v>
      </c>
      <c r="S2197" s="35">
        <f>IF(R2197="","",IF(R2197&gt;=60,INT(R2197/60)&amp;":"&amp;TEXT(MOD(R2197,60),"00.00"),TEXT(R2197,"0.00")))</f>
        <v/>
      </c>
      <c r="T2197" s="52">
        <f>IFERROR((G2197-INDEX('01_Swimmers'!$E$5:$E$22,MATCH(B2197,'01_Swimmers'!$A$5:$A$22,0)))/'00_Control'!$B$10,"")</f>
        <v/>
      </c>
      <c r="U2197" s="35">
        <f>IF(T2197="","",INT(T2197))</f>
        <v/>
      </c>
      <c r="V2197" s="33" t="inlineStr">
        <is>
          <t>NO</t>
        </is>
      </c>
      <c r="W2197" s="33" t="inlineStr">
        <is>
          <t>YES</t>
        </is>
      </c>
      <c r="X2197" s="33" t="inlineStr">
        <is>
          <t>NO</t>
        </is>
      </c>
      <c r="Y2197" s="33" t="n">
        <v>1</v>
      </c>
      <c r="Z2197" s="33" t="n">
        <v>4</v>
      </c>
      <c r="AA2197" s="33" t="inlineStr">
        <is>
          <t>27</t>
        </is>
      </c>
      <c r="AB2197" s="33" t="inlineStr">
        <is>
          <t>https://www.swimcloud.com/results/347941/event/6/?id=155568530#time155568530</t>
        </is>
      </c>
      <c r="AC2197" s="33" t="inlineStr">
        <is>
          <t>SwimCloud API v6 2026-10-08</t>
        </is>
      </c>
      <c r="AD2197" s="33" t="inlineStr">
        <is>
          <t>Luka Mijatovic|2025-07-11|LCM|400|Free|262.21|Super League Champs|PRE|False</t>
        </is>
      </c>
      <c r="AE2197" s="53">
        <f>G2197+L2197/1000+ROW()/1000000000</f>
        <v/>
      </c>
      <c r="AF2197" s="35">
        <f>IF(C2197&lt;&gt;"Grayson Coulter","",COUNTIFS($C$5:$C$2991,"Grayson Coulter",$Q$5:$Q$2991,Q2197,$AE$5:$AE$2991,"&lt;="&amp;AE2197,$R$5:$R$2991,"&lt;"&amp;R2197))</f>
        <v/>
      </c>
      <c r="AG2197" s="35">
        <f>IF(OR(C2197&lt;&gt;"Grayson Coulter",G2197&lt;'00_Control'!$B$7),"",--(AF2197&lt;5))</f>
        <v/>
      </c>
      <c r="AH2197" s="35">
        <f>IF(OR(C2197&lt;&gt;"Grayson Coulter",G2197&lt;'00_Control'!$B$7),"",--(AF2197&lt;10))</f>
        <v/>
      </c>
      <c r="AI2197" s="35">
        <f>IF(AND(C2197="Grayson Coulter",G2197&gt;='00_Control'!$B$7),"YES","NO")</f>
        <v/>
      </c>
      <c r="AJ2197" s="33" t="inlineStr">
        <is>
          <t>OK</t>
        </is>
      </c>
    </row>
    <row r="2198">
      <c r="A2198" s="33" t="inlineStr">
        <is>
          <t>SM002194</t>
        </is>
      </c>
      <c r="B2198" s="33" t="inlineStr">
        <is>
          <t>SW003</t>
        </is>
      </c>
      <c r="C2198" s="33" t="inlineStr">
        <is>
          <t>Luka Mijatovic</t>
        </is>
      </c>
      <c r="D2198" s="33" t="inlineStr">
        <is>
          <t>SwimCloud</t>
        </is>
      </c>
      <c r="E2198" s="33" t="inlineStr">
        <is>
          <t>2415996</t>
        </is>
      </c>
      <c r="F2198" s="33" t="inlineStr">
        <is>
          <t>155568531</t>
        </is>
      </c>
      <c r="G2198" s="51" t="n">
        <v>45849</v>
      </c>
      <c r="H2198" s="33" t="inlineStr">
        <is>
          <t>Super League Champs</t>
        </is>
      </c>
      <c r="I2198" s="33" t="inlineStr">
        <is>
          <t>347941</t>
        </is>
      </c>
      <c r="J2198" s="33" t="inlineStr"/>
      <c r="K2198" s="33" t="inlineStr">
        <is>
          <t>FIN</t>
        </is>
      </c>
      <c r="L2198" s="35">
        <f>IF(K2198="FIN",3,IF(OR(K2198="SEM",K2198="SEMI"),2,IF(OR(K2198="PRE",K2198="HEAT"),1,IF(V2198="YES",4,2))))</f>
        <v/>
      </c>
      <c r="M2198" s="33" t="inlineStr">
        <is>
          <t>LCM</t>
        </is>
      </c>
      <c r="N2198" s="33" t="n">
        <v>400</v>
      </c>
      <c r="O2198" s="33" t="inlineStr">
        <is>
          <t>Free</t>
        </is>
      </c>
      <c r="P2198" s="33" t="inlineStr">
        <is>
          <t>400 Free</t>
        </is>
      </c>
      <c r="Q2198" s="33" t="inlineStr">
        <is>
          <t>LCM_400_FREE</t>
        </is>
      </c>
      <c r="R2198" s="36" t="n">
        <v>229.87</v>
      </c>
      <c r="S2198" s="35">
        <f>IF(R2198="","",IF(R2198&gt;=60,INT(R2198/60)&amp;":"&amp;TEXT(MOD(R2198,60),"00.00"),TEXT(R2198,"0.00")))</f>
        <v/>
      </c>
      <c r="T2198" s="52">
        <f>IFERROR((G2198-INDEX('01_Swimmers'!$E$5:$E$22,MATCH(B2198,'01_Swimmers'!$A$5:$A$22,0)))/'00_Control'!$B$10,"")</f>
        <v/>
      </c>
      <c r="U2198" s="35">
        <f>IF(T2198="","",INT(T2198))</f>
        <v/>
      </c>
      <c r="V2198" s="33" t="inlineStr">
        <is>
          <t>NO</t>
        </is>
      </c>
      <c r="W2198" s="33" t="inlineStr">
        <is>
          <t>YES</t>
        </is>
      </c>
      <c r="X2198" s="33" t="inlineStr">
        <is>
          <t>NO</t>
        </is>
      </c>
      <c r="Y2198" s="33" t="n">
        <v>1</v>
      </c>
      <c r="Z2198" s="33" t="n">
        <v>2</v>
      </c>
      <c r="AA2198" s="33" t="inlineStr">
        <is>
          <t>1</t>
        </is>
      </c>
      <c r="AB2198" s="33" t="inlineStr">
        <is>
          <t>https://www.swimcloud.com/results/347941/event/6/?id=155568531#time155568531</t>
        </is>
      </c>
      <c r="AC2198" s="33" t="inlineStr">
        <is>
          <t>SwimCloud API v6 2026-10-08</t>
        </is>
      </c>
      <c r="AD2198" s="33" t="inlineStr">
        <is>
          <t>Luka Mijatovic|2025-07-11|LCM|400|Free|229.87|Super League Champs|FIN|False</t>
        </is>
      </c>
      <c r="AE2198" s="53">
        <f>G2198+L2198/1000+ROW()/1000000000</f>
        <v/>
      </c>
      <c r="AF2198" s="35">
        <f>IF(C2198&lt;&gt;"Grayson Coulter","",COUNTIFS($C$5:$C$2991,"Grayson Coulter",$Q$5:$Q$2991,Q2198,$AE$5:$AE$2991,"&lt;="&amp;AE2198,$R$5:$R$2991,"&lt;"&amp;R2198))</f>
        <v/>
      </c>
      <c r="AG2198" s="35">
        <f>IF(OR(C2198&lt;&gt;"Grayson Coulter",G2198&lt;'00_Control'!$B$7),"",--(AF2198&lt;5))</f>
        <v/>
      </c>
      <c r="AH2198" s="35">
        <f>IF(OR(C2198&lt;&gt;"Grayson Coulter",G2198&lt;'00_Control'!$B$7),"",--(AF2198&lt;10))</f>
        <v/>
      </c>
      <c r="AI2198" s="35">
        <f>IF(AND(C2198="Grayson Coulter",G2198&gt;='00_Control'!$B$7),"YES","NO")</f>
        <v/>
      </c>
      <c r="AJ2198" s="33" t="inlineStr">
        <is>
          <t>OK</t>
        </is>
      </c>
    </row>
    <row r="2199">
      <c r="A2199" s="33" t="inlineStr">
        <is>
          <t>SM002195</t>
        </is>
      </c>
      <c r="B2199" s="33" t="inlineStr">
        <is>
          <t>SW003</t>
        </is>
      </c>
      <c r="C2199" s="33" t="inlineStr">
        <is>
          <t>Luka Mijatovic</t>
        </is>
      </c>
      <c r="D2199" s="33" t="inlineStr">
        <is>
          <t>SwimCloud</t>
        </is>
      </c>
      <c r="E2199" s="33" t="inlineStr">
        <is>
          <t>2415996</t>
        </is>
      </c>
      <c r="F2199" s="33" t="inlineStr">
        <is>
          <t>155567932</t>
        </is>
      </c>
      <c r="G2199" s="51" t="n">
        <v>45850</v>
      </c>
      <c r="H2199" s="33" t="inlineStr">
        <is>
          <t>Super League Champs</t>
        </is>
      </c>
      <c r="I2199" s="33" t="inlineStr">
        <is>
          <t>347941</t>
        </is>
      </c>
      <c r="J2199" s="33" t="inlineStr"/>
      <c r="K2199" s="33" t="inlineStr">
        <is>
          <t>PRE</t>
        </is>
      </c>
      <c r="L2199" s="35">
        <f>IF(K2199="FIN",3,IF(OR(K2199="SEM",K2199="SEMI"),2,IF(OR(K2199="PRE",K2199="HEAT"),1,IF(V2199="YES",4,2))))</f>
        <v/>
      </c>
      <c r="M2199" s="33" t="inlineStr">
        <is>
          <t>LCM</t>
        </is>
      </c>
      <c r="N2199" s="33" t="n">
        <v>100</v>
      </c>
      <c r="O2199" s="33" t="inlineStr">
        <is>
          <t>Fly</t>
        </is>
      </c>
      <c r="P2199" s="33" t="inlineStr">
        <is>
          <t>100 Fly</t>
        </is>
      </c>
      <c r="Q2199" s="33" t="inlineStr">
        <is>
          <t>LCM_100_FLY</t>
        </is>
      </c>
      <c r="R2199" s="36" t="n">
        <v>54.6</v>
      </c>
      <c r="S2199" s="35">
        <f>IF(R2199="","",IF(R2199&gt;=60,INT(R2199/60)&amp;":"&amp;TEXT(MOD(R2199,60),"00.00"),TEXT(R2199,"0.00")))</f>
        <v/>
      </c>
      <c r="T2199" s="52">
        <f>IFERROR((G2199-INDEX('01_Swimmers'!$E$5:$E$22,MATCH(B2199,'01_Swimmers'!$A$5:$A$22,0)))/'00_Control'!$B$10,"")</f>
        <v/>
      </c>
      <c r="U2199" s="35">
        <f>IF(T2199="","",INT(T2199))</f>
        <v/>
      </c>
      <c r="V2199" s="33" t="inlineStr">
        <is>
          <t>NO</t>
        </is>
      </c>
      <c r="W2199" s="33" t="inlineStr">
        <is>
          <t>YES</t>
        </is>
      </c>
      <c r="X2199" s="33" t="inlineStr">
        <is>
          <t>NO</t>
        </is>
      </c>
      <c r="Y2199" s="33" t="n">
        <v>1</v>
      </c>
      <c r="Z2199" s="33" t="n">
        <v>5</v>
      </c>
      <c r="AA2199" s="33" t="inlineStr">
        <is>
          <t>2</t>
        </is>
      </c>
      <c r="AB2199" s="33" t="inlineStr">
        <is>
          <t>https://www.swimcloud.com/results/347941/event/18/?id=155567932#time155567932</t>
        </is>
      </c>
      <c r="AC2199" s="33" t="inlineStr">
        <is>
          <t>SwimCloud API v6 2026-10-08</t>
        </is>
      </c>
      <c r="AD2199" s="33" t="inlineStr">
        <is>
          <t>Luka Mijatovic|2025-07-12|LCM|100|Fly|54.6|Super League Champs|PRE|False</t>
        </is>
      </c>
      <c r="AE2199" s="53">
        <f>G2199+L2199/1000+ROW()/1000000000</f>
        <v/>
      </c>
      <c r="AF2199" s="35">
        <f>IF(C2199&lt;&gt;"Grayson Coulter","",COUNTIFS($C$5:$C$2991,"Grayson Coulter",$Q$5:$Q$2991,Q2199,$AE$5:$AE$2991,"&lt;="&amp;AE2199,$R$5:$R$2991,"&lt;"&amp;R2199))</f>
        <v/>
      </c>
      <c r="AG2199" s="35">
        <f>IF(OR(C2199&lt;&gt;"Grayson Coulter",G2199&lt;'00_Control'!$B$7),"",--(AF2199&lt;5))</f>
        <v/>
      </c>
      <c r="AH2199" s="35">
        <f>IF(OR(C2199&lt;&gt;"Grayson Coulter",G2199&lt;'00_Control'!$B$7),"",--(AF2199&lt;10))</f>
        <v/>
      </c>
      <c r="AI2199" s="35">
        <f>IF(AND(C2199="Grayson Coulter",G2199&gt;='00_Control'!$B$7),"YES","NO")</f>
        <v/>
      </c>
      <c r="AJ2199" s="33" t="inlineStr">
        <is>
          <t>OK</t>
        </is>
      </c>
    </row>
    <row r="2200">
      <c r="A2200" s="33" t="inlineStr">
        <is>
          <t>SM002196</t>
        </is>
      </c>
      <c r="B2200" s="33" t="inlineStr">
        <is>
          <t>SW003</t>
        </is>
      </c>
      <c r="C2200" s="33" t="inlineStr">
        <is>
          <t>Luka Mijatovic</t>
        </is>
      </c>
      <c r="D2200" s="33" t="inlineStr">
        <is>
          <t>SwimCloud</t>
        </is>
      </c>
      <c r="E2200" s="33" t="inlineStr">
        <is>
          <t>2415996</t>
        </is>
      </c>
      <c r="F2200" s="33" t="inlineStr">
        <is>
          <t>156828870</t>
        </is>
      </c>
      <c r="G2200" s="51" t="n">
        <v>45865</v>
      </c>
      <c r="H2200" s="33" t="inlineStr">
        <is>
          <t>22nd World Aquatics Championships</t>
        </is>
      </c>
      <c r="I2200" s="33" t="inlineStr">
        <is>
          <t>348385</t>
        </is>
      </c>
      <c r="J2200" s="33" t="inlineStr"/>
      <c r="K2200" s="33" t="inlineStr">
        <is>
          <t>PRE</t>
        </is>
      </c>
      <c r="L2200" s="35">
        <f>IF(K2200="FIN",3,IF(OR(K2200="SEM",K2200="SEMI"),2,IF(OR(K2200="PRE",K2200="HEAT"),1,IF(V2200="YES",4,2))))</f>
        <v/>
      </c>
      <c r="M2200" s="33" t="inlineStr">
        <is>
          <t>LCM</t>
        </is>
      </c>
      <c r="N2200" s="33" t="n">
        <v>400</v>
      </c>
      <c r="O2200" s="33" t="inlineStr">
        <is>
          <t>Free</t>
        </is>
      </c>
      <c r="P2200" s="33" t="inlineStr">
        <is>
          <t>400 Free</t>
        </is>
      </c>
      <c r="Q2200" s="33" t="inlineStr">
        <is>
          <t>LCM_400_FREE</t>
        </is>
      </c>
      <c r="R2200" s="36" t="n">
        <v>239.68</v>
      </c>
      <c r="S2200" s="35">
        <f>IF(R2200="","",IF(R2200&gt;=60,INT(R2200/60)&amp;":"&amp;TEXT(MOD(R2200,60),"00.00"),TEXT(R2200,"0.00")))</f>
        <v/>
      </c>
      <c r="T2200" s="52">
        <f>IFERROR((G2200-INDEX('01_Swimmers'!$E$5:$E$22,MATCH(B2200,'01_Swimmers'!$A$5:$A$22,0)))/'00_Control'!$B$10,"")</f>
        <v/>
      </c>
      <c r="U2200" s="35">
        <f>IF(T2200="","",INT(T2200))</f>
        <v/>
      </c>
      <c r="V2200" s="33" t="inlineStr">
        <is>
          <t>NO</t>
        </is>
      </c>
      <c r="W2200" s="33" t="inlineStr">
        <is>
          <t>YES</t>
        </is>
      </c>
      <c r="X2200" s="33" t="inlineStr">
        <is>
          <t>NO</t>
        </is>
      </c>
      <c r="Y2200" s="33" t="n">
        <v>5</v>
      </c>
      <c r="Z2200" s="33" t="n">
        <v>7</v>
      </c>
      <c r="AA2200" s="33" t="inlineStr">
        <is>
          <t>36</t>
        </is>
      </c>
      <c r="AB2200" s="33" t="inlineStr">
        <is>
          <t>https://www.swimcloud.com/results/348385/event/2/?id=156828870#time156828870</t>
        </is>
      </c>
      <c r="AC2200" s="33" t="inlineStr">
        <is>
          <t>SwimCloud API v6 2026-10-08</t>
        </is>
      </c>
      <c r="AD2200" s="33" t="inlineStr">
        <is>
          <t>Luka Mijatovic|2025-07-27|LCM|400|Free|239.68|22nd World Aquatics Championships|PRE|False</t>
        </is>
      </c>
      <c r="AE2200" s="53">
        <f>G2200+L2200/1000+ROW()/1000000000</f>
        <v/>
      </c>
      <c r="AF2200" s="35">
        <f>IF(C2200&lt;&gt;"Grayson Coulter","",COUNTIFS($C$5:$C$2991,"Grayson Coulter",$Q$5:$Q$2991,Q2200,$AE$5:$AE$2991,"&lt;="&amp;AE2200,$R$5:$R$2991,"&lt;"&amp;R2200))</f>
        <v/>
      </c>
      <c r="AG2200" s="35">
        <f>IF(OR(C2200&lt;&gt;"Grayson Coulter",G2200&lt;'00_Control'!$B$7),"",--(AF2200&lt;5))</f>
        <v/>
      </c>
      <c r="AH2200" s="35">
        <f>IF(OR(C2200&lt;&gt;"Grayson Coulter",G2200&lt;'00_Control'!$B$7),"",--(AF2200&lt;10))</f>
        <v/>
      </c>
      <c r="AI2200" s="35">
        <f>IF(AND(C2200="Grayson Coulter",G2200&gt;='00_Control'!$B$7),"YES","NO")</f>
        <v/>
      </c>
      <c r="AJ2200" s="33" t="inlineStr">
        <is>
          <t>OK</t>
        </is>
      </c>
    </row>
    <row r="2201">
      <c r="A2201" s="33" t="inlineStr">
        <is>
          <t>SM002197</t>
        </is>
      </c>
      <c r="B2201" s="33" t="inlineStr">
        <is>
          <t>SW003</t>
        </is>
      </c>
      <c r="C2201" s="33" t="inlineStr">
        <is>
          <t>Luka Mijatovic</t>
        </is>
      </c>
      <c r="D2201" s="33" t="inlineStr">
        <is>
          <t>SwimCloud</t>
        </is>
      </c>
      <c r="E2201" s="33" t="inlineStr">
        <is>
          <t>2415996</t>
        </is>
      </c>
      <c r="F2201" s="33" t="inlineStr">
        <is>
          <t>164092652</t>
        </is>
      </c>
      <c r="G2201" s="51" t="n">
        <v>45995</v>
      </c>
      <c r="H2201" s="33" t="inlineStr">
        <is>
          <t>Toyota US Open Championships</t>
        </is>
      </c>
      <c r="I2201" s="33" t="inlineStr">
        <is>
          <t>344574</t>
        </is>
      </c>
      <c r="J2201" s="33" t="inlineStr"/>
      <c r="K2201" s="33" t="inlineStr">
        <is>
          <t>PRE</t>
        </is>
      </c>
      <c r="L2201" s="35">
        <f>IF(K2201="FIN",3,IF(OR(K2201="SEM",K2201="SEMI"),2,IF(OR(K2201="PRE",K2201="HEAT"),1,IF(V2201="YES",4,2))))</f>
        <v/>
      </c>
      <c r="M2201" s="33" t="inlineStr">
        <is>
          <t>LCM</t>
        </is>
      </c>
      <c r="N2201" s="33" t="n">
        <v>400</v>
      </c>
      <c r="O2201" s="33" t="inlineStr">
        <is>
          <t>Free</t>
        </is>
      </c>
      <c r="P2201" s="33" t="inlineStr">
        <is>
          <t>400 Free</t>
        </is>
      </c>
      <c r="Q2201" s="33" t="inlineStr">
        <is>
          <t>LCM_400_FREE</t>
        </is>
      </c>
      <c r="R2201" s="36" t="n">
        <v>228.3</v>
      </c>
      <c r="S2201" s="35">
        <f>IF(R2201="","",IF(R2201&gt;=60,INT(R2201/60)&amp;":"&amp;TEXT(MOD(R2201,60),"00.00"),TEXT(R2201,"0.00")))</f>
        <v/>
      </c>
      <c r="T2201" s="52">
        <f>IFERROR((G2201-INDEX('01_Swimmers'!$E$5:$E$22,MATCH(B2201,'01_Swimmers'!$A$5:$A$22,0)))/'00_Control'!$B$10,"")</f>
        <v/>
      </c>
      <c r="U2201" s="35">
        <f>IF(T2201="","",INT(T2201))</f>
        <v/>
      </c>
      <c r="V2201" s="33" t="inlineStr">
        <is>
          <t>NO</t>
        </is>
      </c>
      <c r="W2201" s="33" t="inlineStr">
        <is>
          <t>YES</t>
        </is>
      </c>
      <c r="X2201" s="33" t="inlineStr">
        <is>
          <t>NO</t>
        </is>
      </c>
      <c r="Y2201" s="33" t="n">
        <v>3</v>
      </c>
      <c r="Z2201" s="33" t="n">
        <v>4</v>
      </c>
      <c r="AA2201" s="33" t="inlineStr">
        <is>
          <t>4</t>
        </is>
      </c>
      <c r="AB2201" s="33" t="inlineStr">
        <is>
          <t>https://www.swimcloud.com/results/344574/event/6/?id=164092652#time164092652</t>
        </is>
      </c>
      <c r="AC2201" s="33" t="inlineStr">
        <is>
          <t>SwimCloud API v6 2026-10-08</t>
        </is>
      </c>
      <c r="AD2201" s="33" t="inlineStr">
        <is>
          <t>Luka Mijatovic|2025-12-04|LCM|400|Free|228.3|Toyota US Open Championships|PRE|False</t>
        </is>
      </c>
      <c r="AE2201" s="53">
        <f>G2201+L2201/1000+ROW()/1000000000</f>
        <v/>
      </c>
      <c r="AF2201" s="35">
        <f>IF(C2201&lt;&gt;"Grayson Coulter","",COUNTIFS($C$5:$C$2991,"Grayson Coulter",$Q$5:$Q$2991,Q2201,$AE$5:$AE$2991,"&lt;="&amp;AE2201,$R$5:$R$2991,"&lt;"&amp;R2201))</f>
        <v/>
      </c>
      <c r="AG2201" s="35">
        <f>IF(OR(C2201&lt;&gt;"Grayson Coulter",G2201&lt;'00_Control'!$B$7),"",--(AF2201&lt;5))</f>
        <v/>
      </c>
      <c r="AH2201" s="35">
        <f>IF(OR(C2201&lt;&gt;"Grayson Coulter",G2201&lt;'00_Control'!$B$7),"",--(AF2201&lt;10))</f>
        <v/>
      </c>
      <c r="AI2201" s="35">
        <f>IF(AND(C2201="Grayson Coulter",G2201&gt;='00_Control'!$B$7),"YES","NO")</f>
        <v/>
      </c>
      <c r="AJ2201" s="33" t="inlineStr">
        <is>
          <t>OK</t>
        </is>
      </c>
    </row>
    <row r="2202">
      <c r="A2202" s="33" t="inlineStr">
        <is>
          <t>SM002198</t>
        </is>
      </c>
      <c r="B2202" s="33" t="inlineStr">
        <is>
          <t>SW003</t>
        </is>
      </c>
      <c r="C2202" s="33" t="inlineStr">
        <is>
          <t>Luka Mijatovic</t>
        </is>
      </c>
      <c r="D2202" s="33" t="inlineStr">
        <is>
          <t>SwimCloud</t>
        </is>
      </c>
      <c r="E2202" s="33" t="inlineStr">
        <is>
          <t>2415996</t>
        </is>
      </c>
      <c r="F2202" s="33" t="inlineStr">
        <is>
          <t>164092651</t>
        </is>
      </c>
      <c r="G2202" s="51" t="n">
        <v>45995</v>
      </c>
      <c r="H2202" s="33" t="inlineStr">
        <is>
          <t>Toyota US Open Championships</t>
        </is>
      </c>
      <c r="I2202" s="33" t="inlineStr">
        <is>
          <t>344574</t>
        </is>
      </c>
      <c r="J2202" s="33" t="inlineStr"/>
      <c r="K2202" s="33" t="inlineStr">
        <is>
          <t>FIN</t>
        </is>
      </c>
      <c r="L2202" s="35">
        <f>IF(K2202="FIN",3,IF(OR(K2202="SEM",K2202="SEMI"),2,IF(OR(K2202="PRE",K2202="HEAT"),1,IF(V2202="YES",4,2))))</f>
        <v/>
      </c>
      <c r="M2202" s="33" t="inlineStr">
        <is>
          <t>LCM</t>
        </is>
      </c>
      <c r="N2202" s="33" t="n">
        <v>400</v>
      </c>
      <c r="O2202" s="33" t="inlineStr">
        <is>
          <t>Free</t>
        </is>
      </c>
      <c r="P2202" s="33" t="inlineStr">
        <is>
          <t>400 Free</t>
        </is>
      </c>
      <c r="Q2202" s="33" t="inlineStr">
        <is>
          <t>LCM_400_FREE</t>
        </is>
      </c>
      <c r="R2202" s="36" t="n">
        <v>225.3</v>
      </c>
      <c r="S2202" s="35">
        <f>IF(R2202="","",IF(R2202&gt;=60,INT(R2202/60)&amp;":"&amp;TEXT(MOD(R2202,60),"00.00"),TEXT(R2202,"0.00")))</f>
        <v/>
      </c>
      <c r="T2202" s="52">
        <f>IFERROR((G2202-INDEX('01_Swimmers'!$E$5:$E$22,MATCH(B2202,'01_Swimmers'!$A$5:$A$22,0)))/'00_Control'!$B$10,"")</f>
        <v/>
      </c>
      <c r="U2202" s="35">
        <f>IF(T2202="","",INT(T2202))</f>
        <v/>
      </c>
      <c r="V2202" s="33" t="inlineStr">
        <is>
          <t>NO</t>
        </is>
      </c>
      <c r="W2202" s="33" t="inlineStr">
        <is>
          <t>YES</t>
        </is>
      </c>
      <c r="X2202" s="33" t="inlineStr">
        <is>
          <t>NO</t>
        </is>
      </c>
      <c r="Y2202" s="33" t="n">
        <v>1</v>
      </c>
      <c r="Z2202" s="33" t="n">
        <v>6</v>
      </c>
      <c r="AA2202" s="33" t="inlineStr">
        <is>
          <t>2</t>
        </is>
      </c>
      <c r="AB2202" s="33" t="inlineStr">
        <is>
          <t>https://www.swimcloud.com/results/344574/event/6/?id=164092651#time164092651</t>
        </is>
      </c>
      <c r="AC2202" s="33" t="inlineStr">
        <is>
          <t>SwimCloud API v6 2026-10-08</t>
        </is>
      </c>
      <c r="AD2202" s="33" t="inlineStr">
        <is>
          <t>Luka Mijatovic|2025-12-04|LCM|400|Free|225.3|Toyota US Open Championships|FIN|False</t>
        </is>
      </c>
      <c r="AE2202" s="53">
        <f>G2202+L2202/1000+ROW()/1000000000</f>
        <v/>
      </c>
      <c r="AF2202" s="35">
        <f>IF(C2202&lt;&gt;"Grayson Coulter","",COUNTIFS($C$5:$C$2991,"Grayson Coulter",$Q$5:$Q$2991,Q2202,$AE$5:$AE$2991,"&lt;="&amp;AE2202,$R$5:$R$2991,"&lt;"&amp;R2202))</f>
        <v/>
      </c>
      <c r="AG2202" s="35">
        <f>IF(OR(C2202&lt;&gt;"Grayson Coulter",G2202&lt;'00_Control'!$B$7),"",--(AF2202&lt;5))</f>
        <v/>
      </c>
      <c r="AH2202" s="35">
        <f>IF(OR(C2202&lt;&gt;"Grayson Coulter",G2202&lt;'00_Control'!$B$7),"",--(AF2202&lt;10))</f>
        <v/>
      </c>
      <c r="AI2202" s="35">
        <f>IF(AND(C2202="Grayson Coulter",G2202&gt;='00_Control'!$B$7),"YES","NO")</f>
        <v/>
      </c>
      <c r="AJ2202" s="33" t="inlineStr">
        <is>
          <t>OK</t>
        </is>
      </c>
    </row>
    <row r="2203">
      <c r="A2203" s="33" t="inlineStr">
        <is>
          <t>SM002199</t>
        </is>
      </c>
      <c r="B2203" s="33" t="inlineStr">
        <is>
          <t>SW003</t>
        </is>
      </c>
      <c r="C2203" s="33" t="inlineStr">
        <is>
          <t>Luka Mijatovic</t>
        </is>
      </c>
      <c r="D2203" s="33" t="inlineStr">
        <is>
          <t>SwimCloud</t>
        </is>
      </c>
      <c r="E2203" s="33" t="inlineStr">
        <is>
          <t>2415996</t>
        </is>
      </c>
      <c r="F2203" s="33" t="inlineStr">
        <is>
          <t>164095375</t>
        </is>
      </c>
      <c r="G2203" s="51" t="n">
        <v>45996</v>
      </c>
      <c r="H2203" s="33" t="inlineStr">
        <is>
          <t>Toyota US Open Championships</t>
        </is>
      </c>
      <c r="I2203" s="33" t="inlineStr">
        <is>
          <t>344574</t>
        </is>
      </c>
      <c r="J2203" s="33" t="inlineStr"/>
      <c r="K2203" s="33" t="inlineStr">
        <is>
          <t>PRE</t>
        </is>
      </c>
      <c r="L2203" s="35">
        <f>IF(K2203="FIN",3,IF(OR(K2203="SEM",K2203="SEMI"),2,IF(OR(K2203="PRE",K2203="HEAT"),1,IF(V2203="YES",4,2))))</f>
        <v/>
      </c>
      <c r="M2203" s="33" t="inlineStr">
        <is>
          <t>LCM</t>
        </is>
      </c>
      <c r="N2203" s="33" t="n">
        <v>100</v>
      </c>
      <c r="O2203" s="33" t="inlineStr">
        <is>
          <t>Fly</t>
        </is>
      </c>
      <c r="P2203" s="33" t="inlineStr">
        <is>
          <t>100 Fly</t>
        </is>
      </c>
      <c r="Q2203" s="33" t="inlineStr">
        <is>
          <t>LCM_100_FLY</t>
        </is>
      </c>
      <c r="R2203" s="36" t="n">
        <v>57.12</v>
      </c>
      <c r="S2203" s="35">
        <f>IF(R2203="","",IF(R2203&gt;=60,INT(R2203/60)&amp;":"&amp;TEXT(MOD(R2203,60),"00.00"),TEXT(R2203,"0.00")))</f>
        <v/>
      </c>
      <c r="T2203" s="52">
        <f>IFERROR((G2203-INDEX('01_Swimmers'!$E$5:$E$22,MATCH(B2203,'01_Swimmers'!$A$5:$A$22,0)))/'00_Control'!$B$10,"")</f>
        <v/>
      </c>
      <c r="U2203" s="35">
        <f>IF(T2203="","",INT(T2203))</f>
        <v/>
      </c>
      <c r="V2203" s="33" t="inlineStr">
        <is>
          <t>NO</t>
        </is>
      </c>
      <c r="W2203" s="33" t="inlineStr">
        <is>
          <t>YES</t>
        </is>
      </c>
      <c r="X2203" s="33" t="inlineStr">
        <is>
          <t>NO</t>
        </is>
      </c>
      <c r="Y2203" s="33" t="n">
        <v>3</v>
      </c>
      <c r="Z2203" s="33" t="n">
        <v>6</v>
      </c>
      <c r="AA2203" s="33" t="inlineStr"/>
      <c r="AB2203" s="33" t="inlineStr">
        <is>
          <t>https://www.swimcloud.com/results/344574/event/16/?id=164094667#time164094667</t>
        </is>
      </c>
      <c r="AC2203" s="33" t="inlineStr">
        <is>
          <t>SwimCloud API v6 2026-10-08</t>
        </is>
      </c>
      <c r="AD2203" s="33" t="inlineStr">
        <is>
          <t>Luka Mijatovic|2025-12-05|LCM|100|Fly|57.12|Toyota US Open Championships|PRE|False</t>
        </is>
      </c>
      <c r="AE2203" s="53">
        <f>G2203+L2203/1000+ROW()/1000000000</f>
        <v/>
      </c>
      <c r="AF2203" s="35">
        <f>IF(C2203&lt;&gt;"Grayson Coulter","",COUNTIFS($C$5:$C$2991,"Grayson Coulter",$Q$5:$Q$2991,Q2203,$AE$5:$AE$2991,"&lt;="&amp;AE2203,$R$5:$R$2991,"&lt;"&amp;R2203))</f>
        <v/>
      </c>
      <c r="AG2203" s="35">
        <f>IF(OR(C2203&lt;&gt;"Grayson Coulter",G2203&lt;'00_Control'!$B$7),"",--(AF2203&lt;5))</f>
        <v/>
      </c>
      <c r="AH2203" s="35">
        <f>IF(OR(C2203&lt;&gt;"Grayson Coulter",G2203&lt;'00_Control'!$B$7),"",--(AF2203&lt;10))</f>
        <v/>
      </c>
      <c r="AI2203" s="35">
        <f>IF(AND(C2203="Grayson Coulter",G2203&gt;='00_Control'!$B$7),"YES","NO")</f>
        <v/>
      </c>
      <c r="AJ2203" s="33" t="inlineStr">
        <is>
          <t>OK</t>
        </is>
      </c>
    </row>
    <row r="2204">
      <c r="A2204" s="33" t="inlineStr">
        <is>
          <t>SM002200</t>
        </is>
      </c>
      <c r="B2204" s="33" t="inlineStr">
        <is>
          <t>SW003</t>
        </is>
      </c>
      <c r="C2204" s="33" t="inlineStr">
        <is>
          <t>Luka Mijatovic</t>
        </is>
      </c>
      <c r="D2204" s="33" t="inlineStr">
        <is>
          <t>SwimCloud</t>
        </is>
      </c>
      <c r="E2204" s="33" t="inlineStr">
        <is>
          <t>2415996</t>
        </is>
      </c>
      <c r="F2204" s="33" t="inlineStr">
        <is>
          <t>164095373</t>
        </is>
      </c>
      <c r="G2204" s="51" t="n">
        <v>45996</v>
      </c>
      <c r="H2204" s="33" t="inlineStr">
        <is>
          <t>Toyota US Open Championships</t>
        </is>
      </c>
      <c r="I2204" s="33" t="inlineStr">
        <is>
          <t>344574</t>
        </is>
      </c>
      <c r="J2204" s="33" t="inlineStr"/>
      <c r="K2204" s="33" t="inlineStr">
        <is>
          <t>FIN</t>
        </is>
      </c>
      <c r="L2204" s="35">
        <f>IF(K2204="FIN",3,IF(OR(K2204="SEM",K2204="SEMI"),2,IF(OR(K2204="PRE",K2204="HEAT"),1,IF(V2204="YES",4,2))))</f>
        <v/>
      </c>
      <c r="M2204" s="33" t="inlineStr">
        <is>
          <t>LCM</t>
        </is>
      </c>
      <c r="N2204" s="33" t="n">
        <v>100</v>
      </c>
      <c r="O2204" s="33" t="inlineStr">
        <is>
          <t>Fly</t>
        </is>
      </c>
      <c r="P2204" s="33" t="inlineStr">
        <is>
          <t>100 Fly</t>
        </is>
      </c>
      <c r="Q2204" s="33" t="inlineStr">
        <is>
          <t>LCM_100_FLY</t>
        </is>
      </c>
      <c r="R2204" s="36" t="n">
        <v>57.1</v>
      </c>
      <c r="S2204" s="35">
        <f>IF(R2204="","",IF(R2204&gt;=60,INT(R2204/60)&amp;":"&amp;TEXT(MOD(R2204,60),"00.00"),TEXT(R2204,"0.00")))</f>
        <v/>
      </c>
      <c r="T2204" s="52">
        <f>IFERROR((G2204-INDEX('01_Swimmers'!$E$5:$E$22,MATCH(B2204,'01_Swimmers'!$A$5:$A$22,0)))/'00_Control'!$B$10,"")</f>
        <v/>
      </c>
      <c r="U2204" s="35">
        <f>IF(T2204="","",INT(T2204))</f>
        <v/>
      </c>
      <c r="V2204" s="33" t="inlineStr">
        <is>
          <t>NO</t>
        </is>
      </c>
      <c r="W2204" s="33" t="inlineStr">
        <is>
          <t>YES</t>
        </is>
      </c>
      <c r="X2204" s="33" t="inlineStr">
        <is>
          <t>NO</t>
        </is>
      </c>
      <c r="Y2204" s="33" t="n">
        <v>1</v>
      </c>
      <c r="Z2204" s="33" t="n">
        <v>6</v>
      </c>
      <c r="AA2204" s="33" t="inlineStr"/>
      <c r="AB2204" s="33" t="inlineStr">
        <is>
          <t>https://www.swimcloud.com/results/344574/event/16/?id=164094666#time164094666</t>
        </is>
      </c>
      <c r="AC2204" s="33" t="inlineStr">
        <is>
          <t>SwimCloud API v6 2026-10-08</t>
        </is>
      </c>
      <c r="AD2204" s="33" t="inlineStr">
        <is>
          <t>Luka Mijatovic|2025-12-05|LCM|100|Fly|57.1|Toyota US Open Championships|FIN|False</t>
        </is>
      </c>
      <c r="AE2204" s="53">
        <f>G2204+L2204/1000+ROW()/1000000000</f>
        <v/>
      </c>
      <c r="AF2204" s="35">
        <f>IF(C2204&lt;&gt;"Grayson Coulter","",COUNTIFS($C$5:$C$2991,"Grayson Coulter",$Q$5:$Q$2991,Q2204,$AE$5:$AE$2991,"&lt;="&amp;AE2204,$R$5:$R$2991,"&lt;"&amp;R2204))</f>
        <v/>
      </c>
      <c r="AG2204" s="35">
        <f>IF(OR(C2204&lt;&gt;"Grayson Coulter",G2204&lt;'00_Control'!$B$7),"",--(AF2204&lt;5))</f>
        <v/>
      </c>
      <c r="AH2204" s="35">
        <f>IF(OR(C2204&lt;&gt;"Grayson Coulter",G2204&lt;'00_Control'!$B$7),"",--(AF2204&lt;10))</f>
        <v/>
      </c>
      <c r="AI2204" s="35">
        <f>IF(AND(C2204="Grayson Coulter",G2204&gt;='00_Control'!$B$7),"YES","NO")</f>
        <v/>
      </c>
      <c r="AJ2204" s="33" t="inlineStr">
        <is>
          <t>OK</t>
        </is>
      </c>
    </row>
    <row r="2205">
      <c r="A2205" s="33" t="inlineStr">
        <is>
          <t>SM002201</t>
        </is>
      </c>
      <c r="B2205" s="33" t="inlineStr">
        <is>
          <t>SW003</t>
        </is>
      </c>
      <c r="C2205" s="33" t="inlineStr">
        <is>
          <t>Luka Mijatovic</t>
        </is>
      </c>
      <c r="D2205" s="33" t="inlineStr">
        <is>
          <t>SwimCloud</t>
        </is>
      </c>
      <c r="E2205" s="33" t="inlineStr">
        <is>
          <t>2415996</t>
        </is>
      </c>
      <c r="F2205" s="33" t="inlineStr">
        <is>
          <t>164092717</t>
        </is>
      </c>
      <c r="G2205" s="51" t="n">
        <v>45996</v>
      </c>
      <c r="H2205" s="33" t="inlineStr">
        <is>
          <t>Toyota US Open Championships</t>
        </is>
      </c>
      <c r="I2205" s="33" t="inlineStr">
        <is>
          <t>344574</t>
        </is>
      </c>
      <c r="J2205" s="33" t="inlineStr"/>
      <c r="K2205" s="33" t="inlineStr">
        <is>
          <t>PRE</t>
        </is>
      </c>
      <c r="L2205" s="35">
        <f>IF(K2205="FIN",3,IF(OR(K2205="SEM",K2205="SEMI"),2,IF(OR(K2205="PRE",K2205="HEAT"),1,IF(V2205="YES",4,2))))</f>
        <v/>
      </c>
      <c r="M2205" s="33" t="inlineStr">
        <is>
          <t>LCM</t>
        </is>
      </c>
      <c r="N2205" s="33" t="n">
        <v>200</v>
      </c>
      <c r="O2205" s="33" t="inlineStr">
        <is>
          <t>Free</t>
        </is>
      </c>
      <c r="P2205" s="33" t="inlineStr">
        <is>
          <t>200 Free</t>
        </is>
      </c>
      <c r="Q2205" s="33" t="inlineStr">
        <is>
          <t>LCM_200_FREE</t>
        </is>
      </c>
      <c r="R2205" s="36" t="n">
        <v>108.27</v>
      </c>
      <c r="S2205" s="35">
        <f>IF(R2205="","",IF(R2205&gt;=60,INT(R2205/60)&amp;":"&amp;TEXT(MOD(R2205,60),"00.00"),TEXT(R2205,"0.00")))</f>
        <v/>
      </c>
      <c r="T2205" s="52">
        <f>IFERROR((G2205-INDEX('01_Swimmers'!$E$5:$E$22,MATCH(B2205,'01_Swimmers'!$A$5:$A$22,0)))/'00_Control'!$B$10,"")</f>
        <v/>
      </c>
      <c r="U2205" s="35">
        <f>IF(T2205="","",INT(T2205))</f>
        <v/>
      </c>
      <c r="V2205" s="33" t="inlineStr">
        <is>
          <t>NO</t>
        </is>
      </c>
      <c r="W2205" s="33" t="inlineStr">
        <is>
          <t>YES</t>
        </is>
      </c>
      <c r="X2205" s="33" t="inlineStr">
        <is>
          <t>NO</t>
        </is>
      </c>
      <c r="Y2205" s="33" t="n">
        <v>5</v>
      </c>
      <c r="Z2205" s="33" t="n">
        <v>5</v>
      </c>
      <c r="AA2205" s="33" t="inlineStr">
        <is>
          <t>9</t>
        </is>
      </c>
      <c r="AB2205" s="33" t="inlineStr">
        <is>
          <t>https://www.swimcloud.com/results/344574/event/22/?id=164092717#time164092717</t>
        </is>
      </c>
      <c r="AC2205" s="33" t="inlineStr">
        <is>
          <t>SwimCloud API v6 2026-10-08</t>
        </is>
      </c>
      <c r="AD2205" s="33" t="inlineStr">
        <is>
          <t>Luka Mijatovic|2025-12-05|LCM|200|Free|108.27|Toyota US Open Championships|PRE|False</t>
        </is>
      </c>
      <c r="AE2205" s="53">
        <f>G2205+L2205/1000+ROW()/1000000000</f>
        <v/>
      </c>
      <c r="AF2205" s="35">
        <f>IF(C2205&lt;&gt;"Grayson Coulter","",COUNTIFS($C$5:$C$2991,"Grayson Coulter",$Q$5:$Q$2991,Q2205,$AE$5:$AE$2991,"&lt;="&amp;AE2205,$R$5:$R$2991,"&lt;"&amp;R2205))</f>
        <v/>
      </c>
      <c r="AG2205" s="35">
        <f>IF(OR(C2205&lt;&gt;"Grayson Coulter",G2205&lt;'00_Control'!$B$7),"",--(AF2205&lt;5))</f>
        <v/>
      </c>
      <c r="AH2205" s="35">
        <f>IF(OR(C2205&lt;&gt;"Grayson Coulter",G2205&lt;'00_Control'!$B$7),"",--(AF2205&lt;10))</f>
        <v/>
      </c>
      <c r="AI2205" s="35">
        <f>IF(AND(C2205="Grayson Coulter",G2205&gt;='00_Control'!$B$7),"YES","NO")</f>
        <v/>
      </c>
      <c r="AJ2205" s="33" t="inlineStr">
        <is>
          <t>OK</t>
        </is>
      </c>
    </row>
    <row r="2206">
      <c r="A2206" s="33" t="inlineStr">
        <is>
          <t>SM002202</t>
        </is>
      </c>
      <c r="B2206" s="33" t="inlineStr">
        <is>
          <t>SW003</t>
        </is>
      </c>
      <c r="C2206" s="33" t="inlineStr">
        <is>
          <t>Luka Mijatovic</t>
        </is>
      </c>
      <c r="D2206" s="33" t="inlineStr">
        <is>
          <t>SwimCloud</t>
        </is>
      </c>
      <c r="E2206" s="33" t="inlineStr">
        <is>
          <t>2415996</t>
        </is>
      </c>
      <c r="F2206" s="33" t="inlineStr">
        <is>
          <t>164092716</t>
        </is>
      </c>
      <c r="G2206" s="51" t="n">
        <v>45996</v>
      </c>
      <c r="H2206" s="33" t="inlineStr">
        <is>
          <t>Toyota US Open Championships</t>
        </is>
      </c>
      <c r="I2206" s="33" t="inlineStr">
        <is>
          <t>344574</t>
        </is>
      </c>
      <c r="J2206" s="33" t="inlineStr"/>
      <c r="K2206" s="33" t="inlineStr">
        <is>
          <t>FIN</t>
        </is>
      </c>
      <c r="L2206" s="35">
        <f>IF(K2206="FIN",3,IF(OR(K2206="SEM",K2206="SEMI"),2,IF(OR(K2206="PRE",K2206="HEAT"),1,IF(V2206="YES",4,2))))</f>
        <v/>
      </c>
      <c r="M2206" s="33" t="inlineStr">
        <is>
          <t>LCM</t>
        </is>
      </c>
      <c r="N2206" s="33" t="n">
        <v>200</v>
      </c>
      <c r="O2206" s="33" t="inlineStr">
        <is>
          <t>Free</t>
        </is>
      </c>
      <c r="P2206" s="33" t="inlineStr">
        <is>
          <t>200 Free</t>
        </is>
      </c>
      <c r="Q2206" s="33" t="inlineStr">
        <is>
          <t>LCM_200_FREE</t>
        </is>
      </c>
      <c r="R2206" s="36" t="n">
        <v>108.88</v>
      </c>
      <c r="S2206" s="35">
        <f>IF(R2206="","",IF(R2206&gt;=60,INT(R2206/60)&amp;":"&amp;TEXT(MOD(R2206,60),"00.00"),TEXT(R2206,"0.00")))</f>
        <v/>
      </c>
      <c r="T2206" s="52">
        <f>IFERROR((G2206-INDEX('01_Swimmers'!$E$5:$E$22,MATCH(B2206,'01_Swimmers'!$A$5:$A$22,0)))/'00_Control'!$B$10,"")</f>
        <v/>
      </c>
      <c r="U2206" s="35">
        <f>IF(T2206="","",INT(T2206))</f>
        <v/>
      </c>
      <c r="V2206" s="33" t="inlineStr">
        <is>
          <t>NO</t>
        </is>
      </c>
      <c r="W2206" s="33" t="inlineStr">
        <is>
          <t>YES</t>
        </is>
      </c>
      <c r="X2206" s="33" t="inlineStr">
        <is>
          <t>NO</t>
        </is>
      </c>
      <c r="Y2206" s="33" t="n">
        <v>2</v>
      </c>
      <c r="Z2206" s="33" t="n">
        <v>4</v>
      </c>
      <c r="AA2206" s="33" t="inlineStr">
        <is>
          <t>12</t>
        </is>
      </c>
      <c r="AB2206" s="33" t="inlineStr">
        <is>
          <t>https://www.swimcloud.com/results/344574/event/22/?id=164092716#time164092716</t>
        </is>
      </c>
      <c r="AC2206" s="33" t="inlineStr">
        <is>
          <t>SwimCloud API v6 2026-10-08</t>
        </is>
      </c>
      <c r="AD2206" s="33" t="inlineStr">
        <is>
          <t>Luka Mijatovic|2025-12-05|LCM|200|Free|108.88|Toyota US Open Championships|FIN|False</t>
        </is>
      </c>
      <c r="AE2206" s="53">
        <f>G2206+L2206/1000+ROW()/1000000000</f>
        <v/>
      </c>
      <c r="AF2206" s="35">
        <f>IF(C2206&lt;&gt;"Grayson Coulter","",COUNTIFS($C$5:$C$2991,"Grayson Coulter",$Q$5:$Q$2991,Q2206,$AE$5:$AE$2991,"&lt;="&amp;AE2206,$R$5:$R$2991,"&lt;"&amp;R2206))</f>
        <v/>
      </c>
      <c r="AG2206" s="35">
        <f>IF(OR(C2206&lt;&gt;"Grayson Coulter",G2206&lt;'00_Control'!$B$7),"",--(AF2206&lt;5))</f>
        <v/>
      </c>
      <c r="AH2206" s="35">
        <f>IF(OR(C2206&lt;&gt;"Grayson Coulter",G2206&lt;'00_Control'!$B$7),"",--(AF2206&lt;10))</f>
        <v/>
      </c>
      <c r="AI2206" s="35">
        <f>IF(AND(C2206="Grayson Coulter",G2206&gt;='00_Control'!$B$7),"YES","NO")</f>
        <v/>
      </c>
      <c r="AJ2206" s="33" t="inlineStr">
        <is>
          <t>OK</t>
        </is>
      </c>
    </row>
    <row r="2207">
      <c r="A2207" s="33" t="inlineStr">
        <is>
          <t>SM002203</t>
        </is>
      </c>
      <c r="B2207" s="33" t="inlineStr">
        <is>
          <t>SW003</t>
        </is>
      </c>
      <c r="C2207" s="33" t="inlineStr">
        <is>
          <t>Luka Mijatovic</t>
        </is>
      </c>
      <c r="D2207" s="33" t="inlineStr">
        <is>
          <t>SwimCloud</t>
        </is>
      </c>
      <c r="E2207" s="33" t="inlineStr">
        <is>
          <t>2415996</t>
        </is>
      </c>
      <c r="F2207" s="33" t="inlineStr">
        <is>
          <t>164093661</t>
        </is>
      </c>
      <c r="G2207" s="51" t="n">
        <v>45997</v>
      </c>
      <c r="H2207" s="33" t="inlineStr">
        <is>
          <t>Toyota US Open Championships</t>
        </is>
      </c>
      <c r="I2207" s="33" t="inlineStr">
        <is>
          <t>344574</t>
        </is>
      </c>
      <c r="J2207" s="33" t="inlineStr"/>
      <c r="K2207" s="33" t="inlineStr">
        <is>
          <t>PRE</t>
        </is>
      </c>
      <c r="L2207" s="35">
        <f>IF(K2207="FIN",3,IF(OR(K2207="SEM",K2207="SEMI"),2,IF(OR(K2207="PRE",K2207="HEAT"),1,IF(V2207="YES",4,2))))</f>
        <v/>
      </c>
      <c r="M2207" s="33" t="inlineStr">
        <is>
          <t>LCM</t>
        </is>
      </c>
      <c r="N2207" s="33" t="n">
        <v>100</v>
      </c>
      <c r="O2207" s="33" t="inlineStr">
        <is>
          <t>Free</t>
        </is>
      </c>
      <c r="P2207" s="33" t="inlineStr">
        <is>
          <t>100 Free</t>
        </is>
      </c>
      <c r="Q2207" s="33" t="inlineStr">
        <is>
          <t>LCM_100_FREE</t>
        </is>
      </c>
      <c r="R2207" s="36" t="n">
        <v>50.15</v>
      </c>
      <c r="S2207" s="35">
        <f>IF(R2207="","",IF(R2207&gt;=60,INT(R2207/60)&amp;":"&amp;TEXT(MOD(R2207,60),"00.00"),TEXT(R2207,"0.00")))</f>
        <v/>
      </c>
      <c r="T2207" s="52">
        <f>IFERROR((G2207-INDEX('01_Swimmers'!$E$5:$E$22,MATCH(B2207,'01_Swimmers'!$A$5:$A$22,0)))/'00_Control'!$B$10,"")</f>
        <v/>
      </c>
      <c r="U2207" s="35">
        <f>IF(T2207="","",INT(T2207))</f>
        <v/>
      </c>
      <c r="V2207" s="33" t="inlineStr">
        <is>
          <t>NO</t>
        </is>
      </c>
      <c r="W2207" s="33" t="inlineStr">
        <is>
          <t>YES</t>
        </is>
      </c>
      <c r="X2207" s="33" t="inlineStr">
        <is>
          <t>NO</t>
        </is>
      </c>
      <c r="Y2207" s="33" t="n">
        <v>1</v>
      </c>
      <c r="Z2207" s="33" t="n">
        <v>3</v>
      </c>
      <c r="AA2207" s="33" t="inlineStr">
        <is>
          <t>29</t>
        </is>
      </c>
      <c r="AB2207" s="33" t="inlineStr">
        <is>
          <t>https://www.swimcloud.com/results/344574/event/32/?id=164093661#time164093661</t>
        </is>
      </c>
      <c r="AC2207" s="33" t="inlineStr">
        <is>
          <t>SwimCloud API v6 2026-10-08</t>
        </is>
      </c>
      <c r="AD2207" s="33" t="inlineStr">
        <is>
          <t>Luka Mijatovic|2025-12-06|LCM|100|Free|50.15|Toyota US Open Championships|PRE|False</t>
        </is>
      </c>
      <c r="AE2207" s="53">
        <f>G2207+L2207/1000+ROW()/1000000000</f>
        <v/>
      </c>
      <c r="AF2207" s="35">
        <f>IF(C2207&lt;&gt;"Grayson Coulter","",COUNTIFS($C$5:$C$2991,"Grayson Coulter",$Q$5:$Q$2991,Q2207,$AE$5:$AE$2991,"&lt;="&amp;AE2207,$R$5:$R$2991,"&lt;"&amp;R2207))</f>
        <v/>
      </c>
      <c r="AG2207" s="35">
        <f>IF(OR(C2207&lt;&gt;"Grayson Coulter",G2207&lt;'00_Control'!$B$7),"",--(AF2207&lt;5))</f>
        <v/>
      </c>
      <c r="AH2207" s="35">
        <f>IF(OR(C2207&lt;&gt;"Grayson Coulter",G2207&lt;'00_Control'!$B$7),"",--(AF2207&lt;10))</f>
        <v/>
      </c>
      <c r="AI2207" s="35">
        <f>IF(AND(C2207="Grayson Coulter",G2207&gt;='00_Control'!$B$7),"YES","NO")</f>
        <v/>
      </c>
      <c r="AJ2207" s="33" t="inlineStr">
        <is>
          <t>OK</t>
        </is>
      </c>
    </row>
    <row r="2208">
      <c r="A2208" s="33" t="inlineStr">
        <is>
          <t>SM002204</t>
        </is>
      </c>
      <c r="B2208" s="33" t="inlineStr">
        <is>
          <t>SW003</t>
        </is>
      </c>
      <c r="C2208" s="33" t="inlineStr">
        <is>
          <t>Luka Mijatovic</t>
        </is>
      </c>
      <c r="D2208" s="33" t="inlineStr">
        <is>
          <t>SwimCloud</t>
        </is>
      </c>
      <c r="E2208" s="33" t="inlineStr">
        <is>
          <t>2415996</t>
        </is>
      </c>
      <c r="F2208" s="33" t="inlineStr">
        <is>
          <t>175609656</t>
        </is>
      </c>
      <c r="G2208" s="51" t="n">
        <v>46131</v>
      </c>
      <c r="H2208" s="33" t="inlineStr">
        <is>
          <t>PC TERA Senior Open</t>
        </is>
      </c>
      <c r="I2208" s="33" t="inlineStr">
        <is>
          <t>384631</t>
        </is>
      </c>
      <c r="J2208" s="33" t="inlineStr"/>
      <c r="K2208" s="33" t="inlineStr">
        <is>
          <t>TIM</t>
        </is>
      </c>
      <c r="L2208" s="35">
        <f>IF(K2208="FIN",3,IF(OR(K2208="SEM",K2208="SEMI"),2,IF(OR(K2208="PRE",K2208="HEAT"),1,IF(V2208="YES",4,2))))</f>
        <v/>
      </c>
      <c r="M2208" s="33" t="inlineStr">
        <is>
          <t>LCM</t>
        </is>
      </c>
      <c r="N2208" s="33" t="n">
        <v>100</v>
      </c>
      <c r="O2208" s="33" t="inlineStr">
        <is>
          <t>Fly</t>
        </is>
      </c>
      <c r="P2208" s="33" t="inlineStr">
        <is>
          <t>100 Fly</t>
        </is>
      </c>
      <c r="Q2208" s="33" t="inlineStr">
        <is>
          <t>LCM_100_FLY</t>
        </is>
      </c>
      <c r="R2208" s="36" t="n">
        <v>56.33</v>
      </c>
      <c r="S2208" s="35">
        <f>IF(R2208="","",IF(R2208&gt;=60,INT(R2208/60)&amp;":"&amp;TEXT(MOD(R2208,60),"00.00"),TEXT(R2208,"0.00")))</f>
        <v/>
      </c>
      <c r="T2208" s="52">
        <f>IFERROR((G2208-INDEX('01_Swimmers'!$E$5:$E$22,MATCH(B2208,'01_Swimmers'!$A$5:$A$22,0)))/'00_Control'!$B$10,"")</f>
        <v/>
      </c>
      <c r="U2208" s="35">
        <f>IF(T2208="","",INT(T2208))</f>
        <v/>
      </c>
      <c r="V2208" s="33" t="inlineStr">
        <is>
          <t>NO</t>
        </is>
      </c>
      <c r="W2208" s="33" t="inlineStr">
        <is>
          <t>YES</t>
        </is>
      </c>
      <c r="X2208" s="33" t="inlineStr">
        <is>
          <t>NO</t>
        </is>
      </c>
      <c r="Y2208" s="33" t="n">
        <v>1</v>
      </c>
      <c r="Z2208" s="33" t="n">
        <v>6</v>
      </c>
      <c r="AA2208" s="33" t="inlineStr">
        <is>
          <t>1</t>
        </is>
      </c>
      <c r="AB2208" s="33" t="inlineStr">
        <is>
          <t>https://www.swimcloud.com/results/384631/event/20/?id=175609656#time175609656</t>
        </is>
      </c>
      <c r="AC2208" s="33" t="inlineStr">
        <is>
          <t>SwimCloud API v6 2026-10-08</t>
        </is>
      </c>
      <c r="AD2208" s="33" t="inlineStr">
        <is>
          <t>Luka Mijatovic|2026-04-19|LCM|100|Fly|56.33|PC TERA Senior Open|TIM|False</t>
        </is>
      </c>
      <c r="AE2208" s="53">
        <f>G2208+L2208/1000+ROW()/1000000000</f>
        <v/>
      </c>
      <c r="AF2208" s="35">
        <f>IF(C2208&lt;&gt;"Grayson Coulter","",COUNTIFS($C$5:$C$2991,"Grayson Coulter",$Q$5:$Q$2991,Q2208,$AE$5:$AE$2991,"&lt;="&amp;AE2208,$R$5:$R$2991,"&lt;"&amp;R2208))</f>
        <v/>
      </c>
      <c r="AG2208" s="35">
        <f>IF(OR(C2208&lt;&gt;"Grayson Coulter",G2208&lt;'00_Control'!$B$7),"",--(AF2208&lt;5))</f>
        <v/>
      </c>
      <c r="AH2208" s="35">
        <f>IF(OR(C2208&lt;&gt;"Grayson Coulter",G2208&lt;'00_Control'!$B$7),"",--(AF2208&lt;10))</f>
        <v/>
      </c>
      <c r="AI2208" s="35">
        <f>IF(AND(C2208="Grayson Coulter",G2208&gt;='00_Control'!$B$7),"YES","NO")</f>
        <v/>
      </c>
      <c r="AJ2208" s="33" t="inlineStr">
        <is>
          <t>OK</t>
        </is>
      </c>
    </row>
    <row r="2209">
      <c r="A2209" s="33" t="inlineStr">
        <is>
          <t>SM002205</t>
        </is>
      </c>
      <c r="B2209" s="33" t="inlineStr">
        <is>
          <t>SW003</t>
        </is>
      </c>
      <c r="C2209" s="33" t="inlineStr">
        <is>
          <t>Luka Mijatovic</t>
        </is>
      </c>
      <c r="D2209" s="33" t="inlineStr">
        <is>
          <t>SwimCloud</t>
        </is>
      </c>
      <c r="E2209" s="33" t="inlineStr">
        <is>
          <t>2415996</t>
        </is>
      </c>
      <c r="F2209" s="33" t="inlineStr">
        <is>
          <t>177990054</t>
        </is>
      </c>
      <c r="G2209" s="51" t="n">
        <v>46162</v>
      </c>
      <c r="H2209" s="33" t="inlineStr">
        <is>
          <t>TYR Pro Swim Series - Sacramento</t>
        </is>
      </c>
      <c r="I2209" s="33" t="inlineStr">
        <is>
          <t>351186</t>
        </is>
      </c>
      <c r="J2209" s="33" t="inlineStr"/>
      <c r="K2209" s="33" t="inlineStr">
        <is>
          <t>PRE</t>
        </is>
      </c>
      <c r="L2209" s="35">
        <f>IF(K2209="FIN",3,IF(OR(K2209="SEM",K2209="SEMI"),2,IF(OR(K2209="PRE",K2209="HEAT"),1,IF(V2209="YES",4,2))))</f>
        <v/>
      </c>
      <c r="M2209" s="33" t="inlineStr">
        <is>
          <t>LCM</t>
        </is>
      </c>
      <c r="N2209" s="33" t="n">
        <v>200</v>
      </c>
      <c r="O2209" s="33" t="inlineStr">
        <is>
          <t>Free</t>
        </is>
      </c>
      <c r="P2209" s="33" t="inlineStr">
        <is>
          <t>200 Free</t>
        </is>
      </c>
      <c r="Q2209" s="33" t="inlineStr">
        <is>
          <t>LCM_200_FREE</t>
        </is>
      </c>
      <c r="R2209" s="36" t="n">
        <v>108.87</v>
      </c>
      <c r="S2209" s="35">
        <f>IF(R2209="","",IF(R2209&gt;=60,INT(R2209/60)&amp;":"&amp;TEXT(MOD(R2209,60),"00.00"),TEXT(R2209,"0.00")))</f>
        <v/>
      </c>
      <c r="T2209" s="52">
        <f>IFERROR((G2209-INDEX('01_Swimmers'!$E$5:$E$22,MATCH(B2209,'01_Swimmers'!$A$5:$A$22,0)))/'00_Control'!$B$10,"")</f>
        <v/>
      </c>
      <c r="U2209" s="35">
        <f>IF(T2209="","",INT(T2209))</f>
        <v/>
      </c>
      <c r="V2209" s="33" t="inlineStr">
        <is>
          <t>NO</t>
        </is>
      </c>
      <c r="W2209" s="33" t="inlineStr">
        <is>
          <t>YES</t>
        </is>
      </c>
      <c r="X2209" s="33" t="inlineStr">
        <is>
          <t>NO</t>
        </is>
      </c>
      <c r="Y2209" s="33" t="n">
        <v>5</v>
      </c>
      <c r="Z2209" s="33" t="n">
        <v>4</v>
      </c>
      <c r="AA2209" s="33" t="inlineStr">
        <is>
          <t>1</t>
        </is>
      </c>
      <c r="AB2209" s="33" t="inlineStr">
        <is>
          <t>https://www.swimcloud.com/results/351186/event/8/?id=177990054#time177990054</t>
        </is>
      </c>
      <c r="AC2209" s="33" t="inlineStr">
        <is>
          <t>SwimCloud API v6 2026-10-08</t>
        </is>
      </c>
      <c r="AD2209" s="33" t="inlineStr">
        <is>
          <t>Luka Mijatovic|2026-05-20|LCM|200|Free|108.87|TYR Pro Swim Series - Sacramento|PRE|False</t>
        </is>
      </c>
      <c r="AE2209" s="53">
        <f>G2209+L2209/1000+ROW()/1000000000</f>
        <v/>
      </c>
      <c r="AF2209" s="35">
        <f>IF(C2209&lt;&gt;"Grayson Coulter","",COUNTIFS($C$5:$C$2991,"Grayson Coulter",$Q$5:$Q$2991,Q2209,$AE$5:$AE$2991,"&lt;="&amp;AE2209,$R$5:$R$2991,"&lt;"&amp;R2209))</f>
        <v/>
      </c>
      <c r="AG2209" s="35">
        <f>IF(OR(C2209&lt;&gt;"Grayson Coulter",G2209&lt;'00_Control'!$B$7),"",--(AF2209&lt;5))</f>
        <v/>
      </c>
      <c r="AH2209" s="35">
        <f>IF(OR(C2209&lt;&gt;"Grayson Coulter",G2209&lt;'00_Control'!$B$7),"",--(AF2209&lt;10))</f>
        <v/>
      </c>
      <c r="AI2209" s="35">
        <f>IF(AND(C2209="Grayson Coulter",G2209&gt;='00_Control'!$B$7),"YES","NO")</f>
        <v/>
      </c>
      <c r="AJ2209" s="33" t="inlineStr">
        <is>
          <t>OK</t>
        </is>
      </c>
    </row>
    <row r="2210">
      <c r="A2210" s="33" t="inlineStr">
        <is>
          <t>SM002206</t>
        </is>
      </c>
      <c r="B2210" s="33" t="inlineStr">
        <is>
          <t>SW003</t>
        </is>
      </c>
      <c r="C2210" s="33" t="inlineStr">
        <is>
          <t>Luka Mijatovic</t>
        </is>
      </c>
      <c r="D2210" s="33" t="inlineStr">
        <is>
          <t>SwimCloud</t>
        </is>
      </c>
      <c r="E2210" s="33" t="inlineStr">
        <is>
          <t>2415996</t>
        </is>
      </c>
      <c r="F2210" s="33" t="inlineStr">
        <is>
          <t>177991777</t>
        </is>
      </c>
      <c r="G2210" s="51" t="n">
        <v>46162</v>
      </c>
      <c r="H2210" s="33" t="inlineStr">
        <is>
          <t>TYR Pro Swim Series - Sacramento</t>
        </is>
      </c>
      <c r="I2210" s="33" t="inlineStr">
        <is>
          <t>351186</t>
        </is>
      </c>
      <c r="J2210" s="33" t="inlineStr"/>
      <c r="K2210" s="33" t="inlineStr">
        <is>
          <t>SEM</t>
        </is>
      </c>
      <c r="L2210" s="35">
        <f>IF(K2210="FIN",3,IF(OR(K2210="SEM",K2210="SEMI"),2,IF(OR(K2210="PRE",K2210="HEAT"),1,IF(V2210="YES",4,2))))</f>
        <v/>
      </c>
      <c r="M2210" s="33" t="inlineStr">
        <is>
          <t>LCM</t>
        </is>
      </c>
      <c r="N2210" s="33" t="n">
        <v>200</v>
      </c>
      <c r="O2210" s="33" t="inlineStr">
        <is>
          <t>Free</t>
        </is>
      </c>
      <c r="P2210" s="33" t="inlineStr">
        <is>
          <t>200 Free</t>
        </is>
      </c>
      <c r="Q2210" s="33" t="inlineStr">
        <is>
          <t>LCM_200_FREE</t>
        </is>
      </c>
      <c r="R2210" s="36" t="n">
        <v>108.27</v>
      </c>
      <c r="S2210" s="35">
        <f>IF(R2210="","",IF(R2210&gt;=60,INT(R2210/60)&amp;":"&amp;TEXT(MOD(R2210,60),"00.00"),TEXT(R2210,"0.00")))</f>
        <v/>
      </c>
      <c r="T2210" s="52">
        <f>IFERROR((G2210-INDEX('01_Swimmers'!$E$5:$E$22,MATCH(B2210,'01_Swimmers'!$A$5:$A$22,0)))/'00_Control'!$B$10,"")</f>
        <v/>
      </c>
      <c r="U2210" s="35">
        <f>IF(T2210="","",INT(T2210))</f>
        <v/>
      </c>
      <c r="V2210" s="33" t="inlineStr">
        <is>
          <t>NO</t>
        </is>
      </c>
      <c r="W2210" s="33" t="inlineStr">
        <is>
          <t>YES</t>
        </is>
      </c>
      <c r="X2210" s="33" t="inlineStr">
        <is>
          <t>NO</t>
        </is>
      </c>
      <c r="Y2210" s="33" t="n">
        <v>2</v>
      </c>
      <c r="Z2210" s="33" t="n">
        <v>4</v>
      </c>
      <c r="AA2210" s="33" t="inlineStr">
        <is>
          <t>2</t>
        </is>
      </c>
      <c r="AB2210" s="33" t="inlineStr">
        <is>
          <t>https://www.swimcloud.com/results/351186/event/8/?id=177991777#time177991777</t>
        </is>
      </c>
      <c r="AC2210" s="33" t="inlineStr">
        <is>
          <t>SwimCloud API v6 2026-10-08</t>
        </is>
      </c>
      <c r="AD2210" s="33" t="inlineStr">
        <is>
          <t>Luka Mijatovic|2026-05-20|LCM|200|Free|108.27|TYR Pro Swim Series - Sacramento|SEM|False</t>
        </is>
      </c>
      <c r="AE2210" s="53">
        <f>G2210+L2210/1000+ROW()/1000000000</f>
        <v/>
      </c>
      <c r="AF2210" s="35">
        <f>IF(C2210&lt;&gt;"Grayson Coulter","",COUNTIFS($C$5:$C$2991,"Grayson Coulter",$Q$5:$Q$2991,Q2210,$AE$5:$AE$2991,"&lt;="&amp;AE2210,$R$5:$R$2991,"&lt;"&amp;R2210))</f>
        <v/>
      </c>
      <c r="AG2210" s="35">
        <f>IF(OR(C2210&lt;&gt;"Grayson Coulter",G2210&lt;'00_Control'!$B$7),"",--(AF2210&lt;5))</f>
        <v/>
      </c>
      <c r="AH2210" s="35">
        <f>IF(OR(C2210&lt;&gt;"Grayson Coulter",G2210&lt;'00_Control'!$B$7),"",--(AF2210&lt;10))</f>
        <v/>
      </c>
      <c r="AI2210" s="35">
        <f>IF(AND(C2210="Grayson Coulter",G2210&gt;='00_Control'!$B$7),"YES","NO")</f>
        <v/>
      </c>
      <c r="AJ2210" s="33" t="inlineStr">
        <is>
          <t>OK</t>
        </is>
      </c>
    </row>
    <row r="2211">
      <c r="A2211" s="33" t="inlineStr">
        <is>
          <t>SM002207</t>
        </is>
      </c>
      <c r="B2211" s="33" t="inlineStr">
        <is>
          <t>SW003</t>
        </is>
      </c>
      <c r="C2211" s="33" t="inlineStr">
        <is>
          <t>Luka Mijatovic</t>
        </is>
      </c>
      <c r="D2211" s="33" t="inlineStr">
        <is>
          <t>SwimCloud</t>
        </is>
      </c>
      <c r="E2211" s="33" t="inlineStr">
        <is>
          <t>2415996</t>
        </is>
      </c>
      <c r="F2211" s="33" t="inlineStr">
        <is>
          <t>177990055</t>
        </is>
      </c>
      <c r="G2211" s="51" t="n">
        <v>46162</v>
      </c>
      <c r="H2211" s="33" t="inlineStr">
        <is>
          <t>TYR Pro Swim Series - Sacramento</t>
        </is>
      </c>
      <c r="I2211" s="33" t="inlineStr">
        <is>
          <t>351186</t>
        </is>
      </c>
      <c r="J2211" s="33" t="inlineStr"/>
      <c r="K2211" s="33" t="inlineStr">
        <is>
          <t>FIN</t>
        </is>
      </c>
      <c r="L2211" s="35">
        <f>IF(K2211="FIN",3,IF(OR(K2211="SEM",K2211="SEMI"),2,IF(OR(K2211="PRE",K2211="HEAT"),1,IF(V2211="YES",4,2))))</f>
        <v/>
      </c>
      <c r="M2211" s="33" t="inlineStr">
        <is>
          <t>LCM</t>
        </is>
      </c>
      <c r="N2211" s="33" t="n">
        <v>200</v>
      </c>
      <c r="O2211" s="33" t="inlineStr">
        <is>
          <t>Free</t>
        </is>
      </c>
      <c r="P2211" s="33" t="inlineStr">
        <is>
          <t>200 Free</t>
        </is>
      </c>
      <c r="Q2211" s="33" t="inlineStr">
        <is>
          <t>LCM_200_FREE</t>
        </is>
      </c>
      <c r="R2211" s="36" t="n">
        <v>108.11</v>
      </c>
      <c r="S2211" s="35">
        <f>IF(R2211="","",IF(R2211&gt;=60,INT(R2211/60)&amp;":"&amp;TEXT(MOD(R2211,60),"00.00"),TEXT(R2211,"0.00")))</f>
        <v/>
      </c>
      <c r="T2211" s="52">
        <f>IFERROR((G2211-INDEX('01_Swimmers'!$E$5:$E$22,MATCH(B2211,'01_Swimmers'!$A$5:$A$22,0)))/'00_Control'!$B$10,"")</f>
        <v/>
      </c>
      <c r="U2211" s="35">
        <f>IF(T2211="","",INT(T2211))</f>
        <v/>
      </c>
      <c r="V2211" s="33" t="inlineStr">
        <is>
          <t>NO</t>
        </is>
      </c>
      <c r="W2211" s="33" t="inlineStr">
        <is>
          <t>YES</t>
        </is>
      </c>
      <c r="X2211" s="33" t="inlineStr">
        <is>
          <t>NO</t>
        </is>
      </c>
      <c r="Y2211" s="33" t="n">
        <v>1</v>
      </c>
      <c r="Z2211" s="33" t="n">
        <v>5</v>
      </c>
      <c r="AA2211" s="33" t="inlineStr">
        <is>
          <t>3</t>
        </is>
      </c>
      <c r="AB2211" s="33" t="inlineStr">
        <is>
          <t>https://www.swimcloud.com/results/351186/event/8/?id=177990055#time177990055</t>
        </is>
      </c>
      <c r="AC2211" s="33" t="inlineStr">
        <is>
          <t>SwimCloud API v6 2026-10-08</t>
        </is>
      </c>
      <c r="AD2211" s="33" t="inlineStr">
        <is>
          <t>Luka Mijatovic|2026-05-20|LCM|200|Free|108.11|TYR Pro Swim Series - Sacramento|FIN|False</t>
        </is>
      </c>
      <c r="AE2211" s="53">
        <f>G2211+L2211/1000+ROW()/1000000000</f>
        <v/>
      </c>
      <c r="AF2211" s="35">
        <f>IF(C2211&lt;&gt;"Grayson Coulter","",COUNTIFS($C$5:$C$2991,"Grayson Coulter",$Q$5:$Q$2991,Q2211,$AE$5:$AE$2991,"&lt;="&amp;AE2211,$R$5:$R$2991,"&lt;"&amp;R2211))</f>
        <v/>
      </c>
      <c r="AG2211" s="35">
        <f>IF(OR(C2211&lt;&gt;"Grayson Coulter",G2211&lt;'00_Control'!$B$7),"",--(AF2211&lt;5))</f>
        <v/>
      </c>
      <c r="AH2211" s="35">
        <f>IF(OR(C2211&lt;&gt;"Grayson Coulter",G2211&lt;'00_Control'!$B$7),"",--(AF2211&lt;10))</f>
        <v/>
      </c>
      <c r="AI2211" s="35">
        <f>IF(AND(C2211="Grayson Coulter",G2211&gt;='00_Control'!$B$7),"YES","NO")</f>
        <v/>
      </c>
      <c r="AJ2211" s="33" t="inlineStr">
        <is>
          <t>OK</t>
        </is>
      </c>
    </row>
    <row r="2212">
      <c r="A2212" s="33" t="inlineStr">
        <is>
          <t>SM002208</t>
        </is>
      </c>
      <c r="B2212" s="33" t="inlineStr">
        <is>
          <t>SW003</t>
        </is>
      </c>
      <c r="C2212" s="33" t="inlineStr">
        <is>
          <t>Luka Mijatovic</t>
        </is>
      </c>
      <c r="D2212" s="33" t="inlineStr">
        <is>
          <t>SwimCloud</t>
        </is>
      </c>
      <c r="E2212" s="33" t="inlineStr">
        <is>
          <t>2415996</t>
        </is>
      </c>
      <c r="F2212" s="33" t="inlineStr">
        <is>
          <t>177991903</t>
        </is>
      </c>
      <c r="G2212" s="51" t="n">
        <v>46162</v>
      </c>
      <c r="H2212" s="33" t="inlineStr">
        <is>
          <t>TYR Pro Swim Series - Sacramento</t>
        </is>
      </c>
      <c r="I2212" s="33" t="inlineStr">
        <is>
          <t>351186</t>
        </is>
      </c>
      <c r="J2212" s="33" t="inlineStr"/>
      <c r="K2212" s="33" t="inlineStr">
        <is>
          <t>TIM</t>
        </is>
      </c>
      <c r="L2212" s="35">
        <f>IF(K2212="FIN",3,IF(OR(K2212="SEM",K2212="SEMI"),2,IF(OR(K2212="PRE",K2212="HEAT"),1,IF(V2212="YES",4,2))))</f>
        <v/>
      </c>
      <c r="M2212" s="33" t="inlineStr">
        <is>
          <t>LCM</t>
        </is>
      </c>
      <c r="N2212" s="33" t="n">
        <v>200</v>
      </c>
      <c r="O2212" s="33" t="inlineStr">
        <is>
          <t>Free</t>
        </is>
      </c>
      <c r="P2212" s="33" t="inlineStr">
        <is>
          <t>200 Free</t>
        </is>
      </c>
      <c r="Q2212" s="33" t="inlineStr">
        <is>
          <t>LCM_200_FREE</t>
        </is>
      </c>
      <c r="R2212" s="36" t="n">
        <v>108.27</v>
      </c>
      <c r="S2212" s="35">
        <f>IF(R2212="","",IF(R2212&gt;=60,INT(R2212/60)&amp;":"&amp;TEXT(MOD(R2212,60),"00.00"),TEXT(R2212,"0.00")))</f>
        <v/>
      </c>
      <c r="T2212" s="52">
        <f>IFERROR((G2212-INDEX('01_Swimmers'!$E$5:$E$22,MATCH(B2212,'01_Swimmers'!$A$5:$A$22,0)))/'00_Control'!$B$10,"")</f>
        <v/>
      </c>
      <c r="U2212" s="35">
        <f>IF(T2212="","",INT(T2212))</f>
        <v/>
      </c>
      <c r="V2212" s="33" t="inlineStr">
        <is>
          <t>NO</t>
        </is>
      </c>
      <c r="W2212" s="33" t="inlineStr">
        <is>
          <t>YES</t>
        </is>
      </c>
      <c r="X2212" s="33" t="inlineStr">
        <is>
          <t>NO</t>
        </is>
      </c>
      <c r="Y2212" s="33" t="n">
        <v>2</v>
      </c>
      <c r="Z2212" s="33" t="n">
        <v>4</v>
      </c>
      <c r="AA2212" s="33" t="inlineStr">
        <is>
          <t>2</t>
        </is>
      </c>
      <c r="AB2212" s="33" t="inlineStr">
        <is>
          <t>https://www.swimcloud.com/results/351186/event/8/?id=177991903#time177991903</t>
        </is>
      </c>
      <c r="AC2212" s="33" t="inlineStr">
        <is>
          <t>SwimCloud API v6 2026-10-08</t>
        </is>
      </c>
      <c r="AD2212" s="33" t="inlineStr">
        <is>
          <t>Luka Mijatovic|2026-05-20|LCM|200|Free|108.27|TYR Pro Swim Series - Sacramento|TIM|False</t>
        </is>
      </c>
      <c r="AE2212" s="53">
        <f>G2212+L2212/1000+ROW()/1000000000</f>
        <v/>
      </c>
      <c r="AF2212" s="35">
        <f>IF(C2212&lt;&gt;"Grayson Coulter","",COUNTIFS($C$5:$C$2991,"Grayson Coulter",$Q$5:$Q$2991,Q2212,$AE$5:$AE$2991,"&lt;="&amp;AE2212,$R$5:$R$2991,"&lt;"&amp;R2212))</f>
        <v/>
      </c>
      <c r="AG2212" s="35">
        <f>IF(OR(C2212&lt;&gt;"Grayson Coulter",G2212&lt;'00_Control'!$B$7),"",--(AF2212&lt;5))</f>
        <v/>
      </c>
      <c r="AH2212" s="35">
        <f>IF(OR(C2212&lt;&gt;"Grayson Coulter",G2212&lt;'00_Control'!$B$7),"",--(AF2212&lt;10))</f>
        <v/>
      </c>
      <c r="AI2212" s="35">
        <f>IF(AND(C2212="Grayson Coulter",G2212&gt;='00_Control'!$B$7),"YES","NO")</f>
        <v/>
      </c>
      <c r="AJ2212" s="33" t="inlineStr">
        <is>
          <t>OK</t>
        </is>
      </c>
    </row>
    <row r="2213">
      <c r="A2213" s="33" t="inlineStr">
        <is>
          <t>SM002209</t>
        </is>
      </c>
      <c r="B2213" s="33" t="inlineStr">
        <is>
          <t>SW003</t>
        </is>
      </c>
      <c r="C2213" s="33" t="inlineStr">
        <is>
          <t>Luka Mijatovic</t>
        </is>
      </c>
      <c r="D2213" s="33" t="inlineStr">
        <is>
          <t>SwimCloud</t>
        </is>
      </c>
      <c r="E2213" s="33" t="inlineStr">
        <is>
          <t>2415996</t>
        </is>
      </c>
      <c r="F2213" s="33" t="inlineStr">
        <is>
          <t>177989432</t>
        </is>
      </c>
      <c r="G2213" s="51" t="n">
        <v>46164</v>
      </c>
      <c r="H2213" s="33" t="inlineStr">
        <is>
          <t>TYR Pro Swim Series - Sacramento</t>
        </is>
      </c>
      <c r="I2213" s="33" t="inlineStr">
        <is>
          <t>351186</t>
        </is>
      </c>
      <c r="J2213" s="33" t="inlineStr"/>
      <c r="K2213" s="33" t="inlineStr">
        <is>
          <t>PRE</t>
        </is>
      </c>
      <c r="L2213" s="35">
        <f>IF(K2213="FIN",3,IF(OR(K2213="SEM",K2213="SEMI"),2,IF(OR(K2213="PRE",K2213="HEAT"),1,IF(V2213="YES",4,2))))</f>
        <v/>
      </c>
      <c r="M2213" s="33" t="inlineStr">
        <is>
          <t>LCM</t>
        </is>
      </c>
      <c r="N2213" s="33" t="n">
        <v>400</v>
      </c>
      <c r="O2213" s="33" t="inlineStr">
        <is>
          <t>Free</t>
        </is>
      </c>
      <c r="P2213" s="33" t="inlineStr">
        <is>
          <t>400 Free</t>
        </is>
      </c>
      <c r="Q2213" s="33" t="inlineStr">
        <is>
          <t>LCM_400_FREE</t>
        </is>
      </c>
      <c r="R2213" s="36" t="n">
        <v>232.89</v>
      </c>
      <c r="S2213" s="35">
        <f>IF(R2213="","",IF(R2213&gt;=60,INT(R2213/60)&amp;":"&amp;TEXT(MOD(R2213,60),"00.00"),TEXT(R2213,"0.00")))</f>
        <v/>
      </c>
      <c r="T2213" s="52">
        <f>IFERROR((G2213-INDEX('01_Swimmers'!$E$5:$E$22,MATCH(B2213,'01_Swimmers'!$A$5:$A$22,0)))/'00_Control'!$B$10,"")</f>
        <v/>
      </c>
      <c r="U2213" s="35">
        <f>IF(T2213="","",INT(T2213))</f>
        <v/>
      </c>
      <c r="V2213" s="33" t="inlineStr">
        <is>
          <t>NO</t>
        </is>
      </c>
      <c r="W2213" s="33" t="inlineStr">
        <is>
          <t>YES</t>
        </is>
      </c>
      <c r="X2213" s="33" t="inlineStr">
        <is>
          <t>NO</t>
        </is>
      </c>
      <c r="Y2213" s="33" t="n">
        <v>5</v>
      </c>
      <c r="Z2213" s="33" t="n">
        <v>4</v>
      </c>
      <c r="AA2213" s="33" t="inlineStr">
        <is>
          <t>1</t>
        </is>
      </c>
      <c r="AB2213" s="33" t="inlineStr">
        <is>
          <t>https://www.swimcloud.com/results/351186/event/26/?id=177989432#time177989432</t>
        </is>
      </c>
      <c r="AC2213" s="33" t="inlineStr">
        <is>
          <t>SwimCloud API v6 2026-10-08</t>
        </is>
      </c>
      <c r="AD2213" s="33" t="inlineStr">
        <is>
          <t>Luka Mijatovic|2026-05-22|LCM|400|Free|232.89|TYR Pro Swim Series - Sacramento|PRE|False</t>
        </is>
      </c>
      <c r="AE2213" s="53">
        <f>G2213+L2213/1000+ROW()/1000000000</f>
        <v/>
      </c>
      <c r="AF2213" s="35">
        <f>IF(C2213&lt;&gt;"Grayson Coulter","",COUNTIFS($C$5:$C$2991,"Grayson Coulter",$Q$5:$Q$2991,Q2213,$AE$5:$AE$2991,"&lt;="&amp;AE2213,$R$5:$R$2991,"&lt;"&amp;R2213))</f>
        <v/>
      </c>
      <c r="AG2213" s="35">
        <f>IF(OR(C2213&lt;&gt;"Grayson Coulter",G2213&lt;'00_Control'!$B$7),"",--(AF2213&lt;5))</f>
        <v/>
      </c>
      <c r="AH2213" s="35">
        <f>IF(OR(C2213&lt;&gt;"Grayson Coulter",G2213&lt;'00_Control'!$B$7),"",--(AF2213&lt;10))</f>
        <v/>
      </c>
      <c r="AI2213" s="35">
        <f>IF(AND(C2213="Grayson Coulter",G2213&gt;='00_Control'!$B$7),"YES","NO")</f>
        <v/>
      </c>
      <c r="AJ2213" s="33" t="inlineStr">
        <is>
          <t>OK</t>
        </is>
      </c>
    </row>
    <row r="2214">
      <c r="A2214" s="33" t="inlineStr">
        <is>
          <t>SM002210</t>
        </is>
      </c>
      <c r="B2214" s="33" t="inlineStr">
        <is>
          <t>SW003</t>
        </is>
      </c>
      <c r="C2214" s="33" t="inlineStr">
        <is>
          <t>Luka Mijatovic</t>
        </is>
      </c>
      <c r="D2214" s="33" t="inlineStr">
        <is>
          <t>SwimCloud</t>
        </is>
      </c>
      <c r="E2214" s="33" t="inlineStr">
        <is>
          <t>2415996</t>
        </is>
      </c>
      <c r="F2214" s="33" t="inlineStr">
        <is>
          <t>177989433</t>
        </is>
      </c>
      <c r="G2214" s="51" t="n">
        <v>46164</v>
      </c>
      <c r="H2214" s="33" t="inlineStr">
        <is>
          <t>TYR Pro Swim Series - Sacramento</t>
        </is>
      </c>
      <c r="I2214" s="33" t="inlineStr">
        <is>
          <t>351186</t>
        </is>
      </c>
      <c r="J2214" s="33" t="inlineStr"/>
      <c r="K2214" s="33" t="inlineStr">
        <is>
          <t>FIN</t>
        </is>
      </c>
      <c r="L2214" s="35">
        <f>IF(K2214="FIN",3,IF(OR(K2214="SEM",K2214="SEMI"),2,IF(OR(K2214="PRE",K2214="HEAT"),1,IF(V2214="YES",4,2))))</f>
        <v/>
      </c>
      <c r="M2214" s="33" t="inlineStr">
        <is>
          <t>LCM</t>
        </is>
      </c>
      <c r="N2214" s="33" t="n">
        <v>400</v>
      </c>
      <c r="O2214" s="33" t="inlineStr">
        <is>
          <t>Free</t>
        </is>
      </c>
      <c r="P2214" s="33" t="inlineStr">
        <is>
          <t>400 Free</t>
        </is>
      </c>
      <c r="Q2214" s="33" t="inlineStr">
        <is>
          <t>LCM_400_FREE</t>
        </is>
      </c>
      <c r="R2214" s="36" t="n">
        <v>225.2</v>
      </c>
      <c r="S2214" s="35">
        <f>IF(R2214="","",IF(R2214&gt;=60,INT(R2214/60)&amp;":"&amp;TEXT(MOD(R2214,60),"00.00"),TEXT(R2214,"0.00")))</f>
        <v/>
      </c>
      <c r="T2214" s="52">
        <f>IFERROR((G2214-INDEX('01_Swimmers'!$E$5:$E$22,MATCH(B2214,'01_Swimmers'!$A$5:$A$22,0)))/'00_Control'!$B$10,"")</f>
        <v/>
      </c>
      <c r="U2214" s="35">
        <f>IF(T2214="","",INT(T2214))</f>
        <v/>
      </c>
      <c r="V2214" s="33" t="inlineStr">
        <is>
          <t>NO</t>
        </is>
      </c>
      <c r="W2214" s="33" t="inlineStr">
        <is>
          <t>YES</t>
        </is>
      </c>
      <c r="X2214" s="33" t="inlineStr">
        <is>
          <t>NO</t>
        </is>
      </c>
      <c r="Y2214" s="33" t="n">
        <v>2</v>
      </c>
      <c r="Z2214" s="33" t="n">
        <v>4</v>
      </c>
      <c r="AA2214" s="33" t="inlineStr">
        <is>
          <t>1</t>
        </is>
      </c>
      <c r="AB2214" s="33" t="inlineStr">
        <is>
          <t>https://www.swimcloud.com/results/351186/event/26/?id=177989433#time177989433</t>
        </is>
      </c>
      <c r="AC2214" s="33" t="inlineStr">
        <is>
          <t>SwimCloud API v6 2026-10-08</t>
        </is>
      </c>
      <c r="AD2214" s="33" t="inlineStr">
        <is>
          <t>Luka Mijatovic|2026-05-22|LCM|400|Free|225.2|TYR Pro Swim Series - Sacramento|FIN|False</t>
        </is>
      </c>
      <c r="AE2214" s="53">
        <f>G2214+L2214/1000+ROW()/1000000000</f>
        <v/>
      </c>
      <c r="AF2214" s="35">
        <f>IF(C2214&lt;&gt;"Grayson Coulter","",COUNTIFS($C$5:$C$2991,"Grayson Coulter",$Q$5:$Q$2991,Q2214,$AE$5:$AE$2991,"&lt;="&amp;AE2214,$R$5:$R$2991,"&lt;"&amp;R2214))</f>
        <v/>
      </c>
      <c r="AG2214" s="35">
        <f>IF(OR(C2214&lt;&gt;"Grayson Coulter",G2214&lt;'00_Control'!$B$7),"",--(AF2214&lt;5))</f>
        <v/>
      </c>
      <c r="AH2214" s="35">
        <f>IF(OR(C2214&lt;&gt;"Grayson Coulter",G2214&lt;'00_Control'!$B$7),"",--(AF2214&lt;10))</f>
        <v/>
      </c>
      <c r="AI2214" s="35">
        <f>IF(AND(C2214="Grayson Coulter",G2214&gt;='00_Control'!$B$7),"YES","NO")</f>
        <v/>
      </c>
      <c r="AJ2214" s="33" t="inlineStr">
        <is>
          <t>OK</t>
        </is>
      </c>
    </row>
    <row r="2215">
      <c r="A2215" s="33" t="inlineStr">
        <is>
          <t>SM002211</t>
        </is>
      </c>
      <c r="B2215" s="33" t="inlineStr">
        <is>
          <t>SW003</t>
        </is>
      </c>
      <c r="C2215" s="33" t="inlineStr">
        <is>
          <t>Luka Mijatovic</t>
        </is>
      </c>
      <c r="D2215" s="33" t="inlineStr">
        <is>
          <t>SwimCloud</t>
        </is>
      </c>
      <c r="E2215" s="33" t="inlineStr">
        <is>
          <t>2415996</t>
        </is>
      </c>
      <c r="F2215" s="33" t="inlineStr">
        <is>
          <t>180233153</t>
        </is>
      </c>
      <c r="G2215" s="51" t="n">
        <v>46192</v>
      </c>
      <c r="H2215" s="33" t="inlineStr">
        <is>
          <t>CA MVN Fran Crippen Memorial Swim Meet of Champions</t>
        </is>
      </c>
      <c r="I2215" s="33" t="inlineStr">
        <is>
          <t>385812</t>
        </is>
      </c>
      <c r="J2215" s="33" t="inlineStr"/>
      <c r="K2215" s="33" t="inlineStr">
        <is>
          <t>TIM</t>
        </is>
      </c>
      <c r="L2215" s="35">
        <f>IF(K2215="FIN",3,IF(OR(K2215="SEM",K2215="SEMI"),2,IF(OR(K2215="PRE",K2215="HEAT"),1,IF(V2215="YES",4,2))))</f>
        <v/>
      </c>
      <c r="M2215" s="33" t="inlineStr">
        <is>
          <t>LCM</t>
        </is>
      </c>
      <c r="N2215" s="33" t="n">
        <v>100</v>
      </c>
      <c r="O2215" s="33" t="inlineStr">
        <is>
          <t>Free</t>
        </is>
      </c>
      <c r="P2215" s="33" t="inlineStr">
        <is>
          <t>100 Free</t>
        </is>
      </c>
      <c r="Q2215" s="33" t="inlineStr">
        <is>
          <t>LCM_100_FREE</t>
        </is>
      </c>
      <c r="R2215" s="36" t="n">
        <v>50.57</v>
      </c>
      <c r="S2215" s="35">
        <f>IF(R2215="","",IF(R2215&gt;=60,INT(R2215/60)&amp;":"&amp;TEXT(MOD(R2215,60),"00.00"),TEXT(R2215,"0.00")))</f>
        <v/>
      </c>
      <c r="T2215" s="52">
        <f>IFERROR((G2215-INDEX('01_Swimmers'!$E$5:$E$22,MATCH(B2215,'01_Swimmers'!$A$5:$A$22,0)))/'00_Control'!$B$10,"")</f>
        <v/>
      </c>
      <c r="U2215" s="35">
        <f>IF(T2215="","",INT(T2215))</f>
        <v/>
      </c>
      <c r="V2215" s="33" t="inlineStr">
        <is>
          <t>YES</t>
        </is>
      </c>
      <c r="W2215" s="33" t="inlineStr">
        <is>
          <t>YES</t>
        </is>
      </c>
      <c r="X2215" s="33" t="inlineStr">
        <is>
          <t>NO</t>
        </is>
      </c>
      <c r="Y2215" s="33" t="n">
        <v>1</v>
      </c>
      <c r="Z2215" s="33" t="n">
        <v>2</v>
      </c>
      <c r="AA2215" s="33" t="inlineStr"/>
      <c r="AB2215" s="33" t="inlineStr">
        <is>
          <t>https://www.swimcloud.com/results/385812/event/18/?id=180233017#time180233017</t>
        </is>
      </c>
      <c r="AC2215" s="33" t="inlineStr">
        <is>
          <t>SwimCloud API v6 2026-10-08</t>
        </is>
      </c>
      <c r="AD2215" s="33" t="inlineStr">
        <is>
          <t>Luka Mijatovic|2026-06-19|LCM|100|Free|50.57|CA MVN Fran Crippen Memorial Swim Meet of Champions|TIM|True</t>
        </is>
      </c>
      <c r="AE2215" s="53">
        <f>G2215+L2215/1000+ROW()/1000000000</f>
        <v/>
      </c>
      <c r="AF2215" s="35">
        <f>IF(C2215&lt;&gt;"Grayson Coulter","",COUNTIFS($C$5:$C$2991,"Grayson Coulter",$Q$5:$Q$2991,Q2215,$AE$5:$AE$2991,"&lt;="&amp;AE2215,$R$5:$R$2991,"&lt;"&amp;R2215))</f>
        <v/>
      </c>
      <c r="AG2215" s="35">
        <f>IF(OR(C2215&lt;&gt;"Grayson Coulter",G2215&lt;'00_Control'!$B$7),"",--(AF2215&lt;5))</f>
        <v/>
      </c>
      <c r="AH2215" s="35">
        <f>IF(OR(C2215&lt;&gt;"Grayson Coulter",G2215&lt;'00_Control'!$B$7),"",--(AF2215&lt;10))</f>
        <v/>
      </c>
      <c r="AI2215" s="35">
        <f>IF(AND(C2215="Grayson Coulter",G2215&gt;='00_Control'!$B$7),"YES","NO")</f>
        <v/>
      </c>
      <c r="AJ2215" s="33" t="inlineStr">
        <is>
          <t>OK</t>
        </is>
      </c>
    </row>
    <row r="2216">
      <c r="A2216" s="33" t="inlineStr">
        <is>
          <t>SM002212</t>
        </is>
      </c>
      <c r="B2216" s="33" t="inlineStr">
        <is>
          <t>SW003</t>
        </is>
      </c>
      <c r="C2216" s="33" t="inlineStr">
        <is>
          <t>Luka Mijatovic</t>
        </is>
      </c>
      <c r="D2216" s="33" t="inlineStr">
        <is>
          <t>SwimCloud</t>
        </is>
      </c>
      <c r="E2216" s="33" t="inlineStr">
        <is>
          <t>2415996</t>
        </is>
      </c>
      <c r="F2216" s="33" t="inlineStr">
        <is>
          <t>180230697</t>
        </is>
      </c>
      <c r="G2216" s="51" t="n">
        <v>46192</v>
      </c>
      <c r="H2216" s="33" t="inlineStr">
        <is>
          <t>CA MVN Fran Crippen Memorial Swim Meet of Champions</t>
        </is>
      </c>
      <c r="I2216" s="33" t="inlineStr">
        <is>
          <t>385812</t>
        </is>
      </c>
      <c r="J2216" s="33" t="inlineStr"/>
      <c r="K2216" s="33" t="inlineStr">
        <is>
          <t>PRE</t>
        </is>
      </c>
      <c r="L2216" s="35">
        <f>IF(K2216="FIN",3,IF(OR(K2216="SEM",K2216="SEMI"),2,IF(OR(K2216="PRE",K2216="HEAT"),1,IF(V2216="YES",4,2))))</f>
        <v/>
      </c>
      <c r="M2216" s="33" t="inlineStr">
        <is>
          <t>LCM</t>
        </is>
      </c>
      <c r="N2216" s="33" t="n">
        <v>400</v>
      </c>
      <c r="O2216" s="33" t="inlineStr">
        <is>
          <t>Free</t>
        </is>
      </c>
      <c r="P2216" s="33" t="inlineStr">
        <is>
          <t>400 Free</t>
        </is>
      </c>
      <c r="Q2216" s="33" t="inlineStr">
        <is>
          <t>LCM_400_FREE</t>
        </is>
      </c>
      <c r="R2216" s="36" t="n">
        <v>230.57</v>
      </c>
      <c r="S2216" s="35">
        <f>IF(R2216="","",IF(R2216&gt;=60,INT(R2216/60)&amp;":"&amp;TEXT(MOD(R2216,60),"00.00"),TEXT(R2216,"0.00")))</f>
        <v/>
      </c>
      <c r="T2216" s="52">
        <f>IFERROR((G2216-INDEX('01_Swimmers'!$E$5:$E$22,MATCH(B2216,'01_Swimmers'!$A$5:$A$22,0)))/'00_Control'!$B$10,"")</f>
        <v/>
      </c>
      <c r="U2216" s="35">
        <f>IF(T2216="","",INT(T2216))</f>
        <v/>
      </c>
      <c r="V2216" s="33" t="inlineStr">
        <is>
          <t>NO</t>
        </is>
      </c>
      <c r="W2216" s="33" t="inlineStr">
        <is>
          <t>YES</t>
        </is>
      </c>
      <c r="X2216" s="33" t="inlineStr">
        <is>
          <t>NO</t>
        </is>
      </c>
      <c r="Y2216" s="33" t="n">
        <v>1</v>
      </c>
      <c r="Z2216" s="33" t="n">
        <v>4</v>
      </c>
      <c r="AA2216" s="33" t="inlineStr">
        <is>
          <t>1</t>
        </is>
      </c>
      <c r="AB2216" s="33" t="inlineStr">
        <is>
          <t>https://www.swimcloud.com/results/385812/event/16/?id=180230697#time180230697</t>
        </is>
      </c>
      <c r="AC2216" s="33" t="inlineStr">
        <is>
          <t>SwimCloud API v6 2026-10-08</t>
        </is>
      </c>
      <c r="AD2216" s="33" t="inlineStr">
        <is>
          <t>Luka Mijatovic|2026-06-19|LCM|400|Free|230.57|CA MVN Fran Crippen Memorial Swim Meet of Champions|PRE|False</t>
        </is>
      </c>
      <c r="AE2216" s="53">
        <f>G2216+L2216/1000+ROW()/1000000000</f>
        <v/>
      </c>
      <c r="AF2216" s="35">
        <f>IF(C2216&lt;&gt;"Grayson Coulter","",COUNTIFS($C$5:$C$2991,"Grayson Coulter",$Q$5:$Q$2991,Q2216,$AE$5:$AE$2991,"&lt;="&amp;AE2216,$R$5:$R$2991,"&lt;"&amp;R2216))</f>
        <v/>
      </c>
      <c r="AG2216" s="35">
        <f>IF(OR(C2216&lt;&gt;"Grayson Coulter",G2216&lt;'00_Control'!$B$7),"",--(AF2216&lt;5))</f>
        <v/>
      </c>
      <c r="AH2216" s="35">
        <f>IF(OR(C2216&lt;&gt;"Grayson Coulter",G2216&lt;'00_Control'!$B$7),"",--(AF2216&lt;10))</f>
        <v/>
      </c>
      <c r="AI2216" s="35">
        <f>IF(AND(C2216="Grayson Coulter",G2216&gt;='00_Control'!$B$7),"YES","NO")</f>
        <v/>
      </c>
      <c r="AJ2216" s="33" t="inlineStr">
        <is>
          <t>OK</t>
        </is>
      </c>
    </row>
    <row r="2217">
      <c r="A2217" s="33" t="inlineStr">
        <is>
          <t>SM002213</t>
        </is>
      </c>
      <c r="B2217" s="33" t="inlineStr">
        <is>
          <t>SW003</t>
        </is>
      </c>
      <c r="C2217" s="33" t="inlineStr">
        <is>
          <t>Luka Mijatovic</t>
        </is>
      </c>
      <c r="D2217" s="33" t="inlineStr">
        <is>
          <t>SwimCloud</t>
        </is>
      </c>
      <c r="E2217" s="33" t="inlineStr">
        <is>
          <t>2415996</t>
        </is>
      </c>
      <c r="F2217" s="33" t="inlineStr">
        <is>
          <t>180230698</t>
        </is>
      </c>
      <c r="G2217" s="51" t="n">
        <v>46192</v>
      </c>
      <c r="H2217" s="33" t="inlineStr">
        <is>
          <t>CA MVN Fran Crippen Memorial Swim Meet of Champions</t>
        </is>
      </c>
      <c r="I2217" s="33" t="inlineStr">
        <is>
          <t>385812</t>
        </is>
      </c>
      <c r="J2217" s="33" t="inlineStr"/>
      <c r="K2217" s="33" t="inlineStr">
        <is>
          <t>FIN</t>
        </is>
      </c>
      <c r="L2217" s="35">
        <f>IF(K2217="FIN",3,IF(OR(K2217="SEM",K2217="SEMI"),2,IF(OR(K2217="PRE",K2217="HEAT"),1,IF(V2217="YES",4,2))))</f>
        <v/>
      </c>
      <c r="M2217" s="33" t="inlineStr">
        <is>
          <t>LCM</t>
        </is>
      </c>
      <c r="N2217" s="33" t="n">
        <v>400</v>
      </c>
      <c r="O2217" s="33" t="inlineStr">
        <is>
          <t>Free</t>
        </is>
      </c>
      <c r="P2217" s="33" t="inlineStr">
        <is>
          <t>400 Free</t>
        </is>
      </c>
      <c r="Q2217" s="33" t="inlineStr">
        <is>
          <t>LCM_400_FREE</t>
        </is>
      </c>
      <c r="R2217" s="36" t="n">
        <v>226.08</v>
      </c>
      <c r="S2217" s="35">
        <f>IF(R2217="","",IF(R2217&gt;=60,INT(R2217/60)&amp;":"&amp;TEXT(MOD(R2217,60),"00.00"),TEXT(R2217,"0.00")))</f>
        <v/>
      </c>
      <c r="T2217" s="52">
        <f>IFERROR((G2217-INDEX('01_Swimmers'!$E$5:$E$22,MATCH(B2217,'01_Swimmers'!$A$5:$A$22,0)))/'00_Control'!$B$10,"")</f>
        <v/>
      </c>
      <c r="U2217" s="35">
        <f>IF(T2217="","",INT(T2217))</f>
        <v/>
      </c>
      <c r="V2217" s="33" t="inlineStr">
        <is>
          <t>NO</t>
        </is>
      </c>
      <c r="W2217" s="33" t="inlineStr">
        <is>
          <t>YES</t>
        </is>
      </c>
      <c r="X2217" s="33" t="inlineStr">
        <is>
          <t>NO</t>
        </is>
      </c>
      <c r="Y2217" s="33" t="n">
        <v>3</v>
      </c>
      <c r="Z2217" s="33" t="n">
        <v>4</v>
      </c>
      <c r="AA2217" s="33" t="inlineStr">
        <is>
          <t>1</t>
        </is>
      </c>
      <c r="AB2217" s="33" t="inlineStr">
        <is>
          <t>https://www.swimcloud.com/results/385812/event/16/?id=180230698#time180230698</t>
        </is>
      </c>
      <c r="AC2217" s="33" t="inlineStr">
        <is>
          <t>SwimCloud API v6 2026-10-08</t>
        </is>
      </c>
      <c r="AD2217" s="33" t="inlineStr">
        <is>
          <t>Luka Mijatovic|2026-06-19|LCM|400|Free|226.08|CA MVN Fran Crippen Memorial Swim Meet of Champions|FIN|False</t>
        </is>
      </c>
      <c r="AE2217" s="53">
        <f>G2217+L2217/1000+ROW()/1000000000</f>
        <v/>
      </c>
      <c r="AF2217" s="35">
        <f>IF(C2217&lt;&gt;"Grayson Coulter","",COUNTIFS($C$5:$C$2991,"Grayson Coulter",$Q$5:$Q$2991,Q2217,$AE$5:$AE$2991,"&lt;="&amp;AE2217,$R$5:$R$2991,"&lt;"&amp;R2217))</f>
        <v/>
      </c>
      <c r="AG2217" s="35">
        <f>IF(OR(C2217&lt;&gt;"Grayson Coulter",G2217&lt;'00_Control'!$B$7),"",--(AF2217&lt;5))</f>
        <v/>
      </c>
      <c r="AH2217" s="35">
        <f>IF(OR(C2217&lt;&gt;"Grayson Coulter",G2217&lt;'00_Control'!$B$7),"",--(AF2217&lt;10))</f>
        <v/>
      </c>
      <c r="AI2217" s="35">
        <f>IF(AND(C2217="Grayson Coulter",G2217&gt;='00_Control'!$B$7),"YES","NO")</f>
        <v/>
      </c>
      <c r="AJ2217" s="33" t="inlineStr">
        <is>
          <t>OK</t>
        </is>
      </c>
    </row>
    <row r="2218">
      <c r="A2218" s="33" t="inlineStr">
        <is>
          <t>SM002214</t>
        </is>
      </c>
      <c r="B2218" s="33" t="inlineStr">
        <is>
          <t>SW003</t>
        </is>
      </c>
      <c r="C2218" s="33" t="inlineStr">
        <is>
          <t>Luka Mijatovic</t>
        </is>
      </c>
      <c r="D2218" s="33" t="inlineStr">
        <is>
          <t>SwimCloud</t>
        </is>
      </c>
      <c r="E2218" s="33" t="inlineStr">
        <is>
          <t>2415996</t>
        </is>
      </c>
      <c r="F2218" s="33" t="inlineStr">
        <is>
          <t>180230567</t>
        </is>
      </c>
      <c r="G2218" s="51" t="n">
        <v>46193</v>
      </c>
      <c r="H2218" s="33" t="inlineStr">
        <is>
          <t>CA MVN Fran Crippen Memorial Swim Meet of Champions</t>
        </is>
      </c>
      <c r="I2218" s="33" t="inlineStr">
        <is>
          <t>385812</t>
        </is>
      </c>
      <c r="J2218" s="33" t="inlineStr"/>
      <c r="K2218" s="33" t="inlineStr">
        <is>
          <t>PRE</t>
        </is>
      </c>
      <c r="L2218" s="35">
        <f>IF(K2218="FIN",3,IF(OR(K2218="SEM",K2218="SEMI"),2,IF(OR(K2218="PRE",K2218="HEAT"),1,IF(V2218="YES",4,2))))</f>
        <v/>
      </c>
      <c r="M2218" s="33" t="inlineStr">
        <is>
          <t>LCM</t>
        </is>
      </c>
      <c r="N2218" s="33" t="n">
        <v>200</v>
      </c>
      <c r="O2218" s="33" t="inlineStr">
        <is>
          <t>Free</t>
        </is>
      </c>
      <c r="P2218" s="33" t="inlineStr">
        <is>
          <t>200 Free</t>
        </is>
      </c>
      <c r="Q2218" s="33" t="inlineStr">
        <is>
          <t>LCM_200_FREE</t>
        </is>
      </c>
      <c r="R2218" s="36" t="n">
        <v>110.02</v>
      </c>
      <c r="S2218" s="35">
        <f>IF(R2218="","",IF(R2218&gt;=60,INT(R2218/60)&amp;":"&amp;TEXT(MOD(R2218,60),"00.00"),TEXT(R2218,"0.00")))</f>
        <v/>
      </c>
      <c r="T2218" s="52">
        <f>IFERROR((G2218-INDEX('01_Swimmers'!$E$5:$E$22,MATCH(B2218,'01_Swimmers'!$A$5:$A$22,0)))/'00_Control'!$B$10,"")</f>
        <v/>
      </c>
      <c r="U2218" s="35">
        <f>IF(T2218="","",INT(T2218))</f>
        <v/>
      </c>
      <c r="V2218" s="33" t="inlineStr">
        <is>
          <t>NO</t>
        </is>
      </c>
      <c r="W2218" s="33" t="inlineStr">
        <is>
          <t>YES</t>
        </is>
      </c>
      <c r="X2218" s="33" t="inlineStr">
        <is>
          <t>NO</t>
        </is>
      </c>
      <c r="Y2218" s="33" t="n">
        <v>17</v>
      </c>
      <c r="Z2218" s="33" t="n">
        <v>4</v>
      </c>
      <c r="AA2218" s="33" t="inlineStr">
        <is>
          <t>1</t>
        </is>
      </c>
      <c r="AB2218" s="33" t="inlineStr">
        <is>
          <t>https://www.swimcloud.com/results/385812/event/22/?id=180230567#time180230567</t>
        </is>
      </c>
      <c r="AC2218" s="33" t="inlineStr">
        <is>
          <t>SwimCloud API v6 2026-10-08</t>
        </is>
      </c>
      <c r="AD2218" s="33" t="inlineStr">
        <is>
          <t>Luka Mijatovic|2026-06-20|LCM|200|Free|110.02|CA MVN Fran Crippen Memorial Swim Meet of Champions|PRE|False</t>
        </is>
      </c>
      <c r="AE2218" s="53">
        <f>G2218+L2218/1000+ROW()/1000000000</f>
        <v/>
      </c>
      <c r="AF2218" s="35">
        <f>IF(C2218&lt;&gt;"Grayson Coulter","",COUNTIFS($C$5:$C$2991,"Grayson Coulter",$Q$5:$Q$2991,Q2218,$AE$5:$AE$2991,"&lt;="&amp;AE2218,$R$5:$R$2991,"&lt;"&amp;R2218))</f>
        <v/>
      </c>
      <c r="AG2218" s="35">
        <f>IF(OR(C2218&lt;&gt;"Grayson Coulter",G2218&lt;'00_Control'!$B$7),"",--(AF2218&lt;5))</f>
        <v/>
      </c>
      <c r="AH2218" s="35">
        <f>IF(OR(C2218&lt;&gt;"Grayson Coulter",G2218&lt;'00_Control'!$B$7),"",--(AF2218&lt;10))</f>
        <v/>
      </c>
      <c r="AI2218" s="35">
        <f>IF(AND(C2218="Grayson Coulter",G2218&gt;='00_Control'!$B$7),"YES","NO")</f>
        <v/>
      </c>
      <c r="AJ2218" s="33" t="inlineStr">
        <is>
          <t>OK</t>
        </is>
      </c>
    </row>
    <row r="2219">
      <c r="A2219" s="33" t="inlineStr">
        <is>
          <t>SM002215</t>
        </is>
      </c>
      <c r="B2219" s="33" t="inlineStr">
        <is>
          <t>SW003</t>
        </is>
      </c>
      <c r="C2219" s="33" t="inlineStr">
        <is>
          <t>Luka Mijatovic</t>
        </is>
      </c>
      <c r="D2219" s="33" t="inlineStr">
        <is>
          <t>SwimCloud</t>
        </is>
      </c>
      <c r="E2219" s="33" t="inlineStr">
        <is>
          <t>2415996</t>
        </is>
      </c>
      <c r="F2219" s="33" t="inlineStr">
        <is>
          <t>180230568</t>
        </is>
      </c>
      <c r="G2219" s="51" t="n">
        <v>46193</v>
      </c>
      <c r="H2219" s="33" t="inlineStr">
        <is>
          <t>CA MVN Fran Crippen Memorial Swim Meet of Champions</t>
        </is>
      </c>
      <c r="I2219" s="33" t="inlineStr">
        <is>
          <t>385812</t>
        </is>
      </c>
      <c r="J2219" s="33" t="inlineStr"/>
      <c r="K2219" s="33" t="inlineStr">
        <is>
          <t>FIN</t>
        </is>
      </c>
      <c r="L2219" s="35">
        <f>IF(K2219="FIN",3,IF(OR(K2219="SEM",K2219="SEMI"),2,IF(OR(K2219="PRE",K2219="HEAT"),1,IF(V2219="YES",4,2))))</f>
        <v/>
      </c>
      <c r="M2219" s="33" t="inlineStr">
        <is>
          <t>LCM</t>
        </is>
      </c>
      <c r="N2219" s="33" t="n">
        <v>200</v>
      </c>
      <c r="O2219" s="33" t="inlineStr">
        <is>
          <t>Free</t>
        </is>
      </c>
      <c r="P2219" s="33" t="inlineStr">
        <is>
          <t>200 Free</t>
        </is>
      </c>
      <c r="Q2219" s="33" t="inlineStr">
        <is>
          <t>LCM_200_FREE</t>
        </is>
      </c>
      <c r="R2219" s="36" t="n">
        <v>107.19</v>
      </c>
      <c r="S2219" s="35">
        <f>IF(R2219="","",IF(R2219&gt;=60,INT(R2219/60)&amp;":"&amp;TEXT(MOD(R2219,60),"00.00"),TEXT(R2219,"0.00")))</f>
        <v/>
      </c>
      <c r="T2219" s="52">
        <f>IFERROR((G2219-INDEX('01_Swimmers'!$E$5:$E$22,MATCH(B2219,'01_Swimmers'!$A$5:$A$22,0)))/'00_Control'!$B$10,"")</f>
        <v/>
      </c>
      <c r="U2219" s="35">
        <f>IF(T2219="","",INT(T2219))</f>
        <v/>
      </c>
      <c r="V2219" s="33" t="inlineStr">
        <is>
          <t>NO</t>
        </is>
      </c>
      <c r="W2219" s="33" t="inlineStr">
        <is>
          <t>YES</t>
        </is>
      </c>
      <c r="X2219" s="33" t="inlineStr">
        <is>
          <t>NO</t>
        </is>
      </c>
      <c r="Y2219" s="33" t="n">
        <v>3</v>
      </c>
      <c r="Z2219" s="33" t="n">
        <v>4</v>
      </c>
      <c r="AA2219" s="33" t="inlineStr">
        <is>
          <t>1</t>
        </is>
      </c>
      <c r="AB2219" s="33" t="inlineStr">
        <is>
          <t>https://www.swimcloud.com/results/385812/event/22/?id=180230568#time180230568</t>
        </is>
      </c>
      <c r="AC2219" s="33" t="inlineStr">
        <is>
          <t>SwimCloud API v6 2026-10-08</t>
        </is>
      </c>
      <c r="AD2219" s="33" t="inlineStr">
        <is>
          <t>Luka Mijatovic|2026-06-20|LCM|200|Free|107.19|CA MVN Fran Crippen Memorial Swim Meet of Champions|FIN|False</t>
        </is>
      </c>
      <c r="AE2219" s="53">
        <f>G2219+L2219/1000+ROW()/1000000000</f>
        <v/>
      </c>
      <c r="AF2219" s="35">
        <f>IF(C2219&lt;&gt;"Grayson Coulter","",COUNTIFS($C$5:$C$2991,"Grayson Coulter",$Q$5:$Q$2991,Q2219,$AE$5:$AE$2991,"&lt;="&amp;AE2219,$R$5:$R$2991,"&lt;"&amp;R2219))</f>
        <v/>
      </c>
      <c r="AG2219" s="35">
        <f>IF(OR(C2219&lt;&gt;"Grayson Coulter",G2219&lt;'00_Control'!$B$7),"",--(AF2219&lt;5))</f>
        <v/>
      </c>
      <c r="AH2219" s="35">
        <f>IF(OR(C2219&lt;&gt;"Grayson Coulter",G2219&lt;'00_Control'!$B$7),"",--(AF2219&lt;10))</f>
        <v/>
      </c>
      <c r="AI2219" s="35">
        <f>IF(AND(C2219="Grayson Coulter",G2219&gt;='00_Control'!$B$7),"YES","NO")</f>
        <v/>
      </c>
      <c r="AJ2219" s="33" t="inlineStr">
        <is>
          <t>OK</t>
        </is>
      </c>
    </row>
    <row r="2220">
      <c r="A2220" s="33" t="inlineStr">
        <is>
          <t>SM002216</t>
        </is>
      </c>
      <c r="B2220" s="33" t="inlineStr">
        <is>
          <t>SW003</t>
        </is>
      </c>
      <c r="C2220" s="33" t="inlineStr">
        <is>
          <t>Luka Mijatovic</t>
        </is>
      </c>
      <c r="D2220" s="33" t="inlineStr">
        <is>
          <t>SwimCloud</t>
        </is>
      </c>
      <c r="E2220" s="33" t="inlineStr">
        <is>
          <t>2415996</t>
        </is>
      </c>
      <c r="F2220" s="33" t="inlineStr">
        <is>
          <t>180233249</t>
        </is>
      </c>
      <c r="G2220" s="51" t="n">
        <v>46193</v>
      </c>
      <c r="H2220" s="33" t="inlineStr">
        <is>
          <t>CA MVN Fran Crippen Memorial Swim Meet of Champions</t>
        </is>
      </c>
      <c r="I2220" s="33" t="inlineStr">
        <is>
          <t>385812</t>
        </is>
      </c>
      <c r="J2220" s="33" t="inlineStr"/>
      <c r="K2220" s="33" t="inlineStr">
        <is>
          <t>TIM</t>
        </is>
      </c>
      <c r="L2220" s="35">
        <f>IF(K2220="FIN",3,IF(OR(K2220="SEM",K2220="SEMI"),2,IF(OR(K2220="PRE",K2220="HEAT"),1,IF(V2220="YES",4,2))))</f>
        <v/>
      </c>
      <c r="M2220" s="33" t="inlineStr">
        <is>
          <t>LCM</t>
        </is>
      </c>
      <c r="N2220" s="33" t="n">
        <v>200</v>
      </c>
      <c r="O2220" s="33" t="inlineStr">
        <is>
          <t>Free</t>
        </is>
      </c>
      <c r="P2220" s="33" t="inlineStr">
        <is>
          <t>200 Free</t>
        </is>
      </c>
      <c r="Q2220" s="33" t="inlineStr">
        <is>
          <t>LCM_200_FREE</t>
        </is>
      </c>
      <c r="R2220" s="36" t="n">
        <v>109.45</v>
      </c>
      <c r="S2220" s="35">
        <f>IF(R2220="","",IF(R2220&gt;=60,INT(R2220/60)&amp;":"&amp;TEXT(MOD(R2220,60),"00.00"),TEXT(R2220,"0.00")))</f>
        <v/>
      </c>
      <c r="T2220" s="52">
        <f>IFERROR((G2220-INDEX('01_Swimmers'!$E$5:$E$22,MATCH(B2220,'01_Swimmers'!$A$5:$A$22,0)))/'00_Control'!$B$10,"")</f>
        <v/>
      </c>
      <c r="U2220" s="35">
        <f>IF(T2220="","",INT(T2220))</f>
        <v/>
      </c>
      <c r="V2220" s="33" t="inlineStr">
        <is>
          <t>YES</t>
        </is>
      </c>
      <c r="W2220" s="33" t="inlineStr">
        <is>
          <t>YES</t>
        </is>
      </c>
      <c r="X2220" s="33" t="inlineStr">
        <is>
          <t>NO</t>
        </is>
      </c>
      <c r="Y2220" s="33" t="n">
        <v>1</v>
      </c>
      <c r="Z2220" s="33" t="n">
        <v>6</v>
      </c>
      <c r="AA2220" s="33" t="inlineStr"/>
      <c r="AB2220" s="33" t="inlineStr">
        <is>
          <t>https://www.swimcloud.com/results/385812/event/30/?id=180233042#time180233042</t>
        </is>
      </c>
      <c r="AC2220" s="33" t="inlineStr">
        <is>
          <t>SwimCloud API v6 2026-10-08</t>
        </is>
      </c>
      <c r="AD2220" s="33" t="inlineStr">
        <is>
          <t>Luka Mijatovic|2026-06-20|LCM|200|Free|109.45|CA MVN Fran Crippen Memorial Swim Meet of Champions|TIM|True</t>
        </is>
      </c>
      <c r="AE2220" s="53">
        <f>G2220+L2220/1000+ROW()/1000000000</f>
        <v/>
      </c>
      <c r="AF2220" s="35">
        <f>IF(C2220&lt;&gt;"Grayson Coulter","",COUNTIFS($C$5:$C$2991,"Grayson Coulter",$Q$5:$Q$2991,Q2220,$AE$5:$AE$2991,"&lt;="&amp;AE2220,$R$5:$R$2991,"&lt;"&amp;R2220))</f>
        <v/>
      </c>
      <c r="AG2220" s="35">
        <f>IF(OR(C2220&lt;&gt;"Grayson Coulter",G2220&lt;'00_Control'!$B$7),"",--(AF2220&lt;5))</f>
        <v/>
      </c>
      <c r="AH2220" s="35">
        <f>IF(OR(C2220&lt;&gt;"Grayson Coulter",G2220&lt;'00_Control'!$B$7),"",--(AF2220&lt;10))</f>
        <v/>
      </c>
      <c r="AI2220" s="35">
        <f>IF(AND(C2220="Grayson Coulter",G2220&gt;='00_Control'!$B$7),"YES","NO")</f>
        <v/>
      </c>
      <c r="AJ2220" s="33" t="inlineStr">
        <is>
          <t>OK</t>
        </is>
      </c>
    </row>
    <row r="2221">
      <c r="A2221" s="33" t="inlineStr">
        <is>
          <t>SM002217</t>
        </is>
      </c>
      <c r="B2221" s="33" t="inlineStr">
        <is>
          <t>SW003</t>
        </is>
      </c>
      <c r="C2221" s="33" t="inlineStr">
        <is>
          <t>Luka Mijatovic</t>
        </is>
      </c>
      <c r="D2221" s="33" t="inlineStr">
        <is>
          <t>SwimCloud</t>
        </is>
      </c>
      <c r="E2221" s="33" t="inlineStr">
        <is>
          <t>2415996</t>
        </is>
      </c>
      <c r="F2221" s="33" t="inlineStr">
        <is>
          <t>180231164</t>
        </is>
      </c>
      <c r="G2221" s="51" t="n">
        <v>46194</v>
      </c>
      <c r="H2221" s="33" t="inlineStr">
        <is>
          <t>CA MVN Fran Crippen Memorial Swim Meet of Champions</t>
        </is>
      </c>
      <c r="I2221" s="33" t="inlineStr">
        <is>
          <t>385812</t>
        </is>
      </c>
      <c r="J2221" s="33" t="inlineStr"/>
      <c r="K2221" s="33" t="inlineStr">
        <is>
          <t>PRE</t>
        </is>
      </c>
      <c r="L2221" s="35">
        <f>IF(K2221="FIN",3,IF(OR(K2221="SEM",K2221="SEMI"),2,IF(OR(K2221="PRE",K2221="HEAT"),1,IF(V2221="YES",4,2))))</f>
        <v/>
      </c>
      <c r="M2221" s="33" t="inlineStr">
        <is>
          <t>LCM</t>
        </is>
      </c>
      <c r="N2221" s="33" t="n">
        <v>100</v>
      </c>
      <c r="O2221" s="33" t="inlineStr">
        <is>
          <t>Fly</t>
        </is>
      </c>
      <c r="P2221" s="33" t="inlineStr">
        <is>
          <t>100 Fly</t>
        </is>
      </c>
      <c r="Q2221" s="33" t="inlineStr">
        <is>
          <t>LCM_100_FLY</t>
        </is>
      </c>
      <c r="R2221" s="36" t="n">
        <v>54.25</v>
      </c>
      <c r="S2221" s="35">
        <f>IF(R2221="","",IF(R2221&gt;=60,INT(R2221/60)&amp;":"&amp;TEXT(MOD(R2221,60),"00.00"),TEXT(R2221,"0.00")))</f>
        <v/>
      </c>
      <c r="T2221" s="52">
        <f>IFERROR((G2221-INDEX('01_Swimmers'!$E$5:$E$22,MATCH(B2221,'01_Swimmers'!$A$5:$A$22,0)))/'00_Control'!$B$10,"")</f>
        <v/>
      </c>
      <c r="U2221" s="35">
        <f>IF(T2221="","",INT(T2221))</f>
        <v/>
      </c>
      <c r="V2221" s="33" t="inlineStr">
        <is>
          <t>NO</t>
        </is>
      </c>
      <c r="W2221" s="33" t="inlineStr">
        <is>
          <t>YES</t>
        </is>
      </c>
      <c r="X2221" s="33" t="inlineStr">
        <is>
          <t>NO</t>
        </is>
      </c>
      <c r="Y2221" s="33" t="n">
        <v>10</v>
      </c>
      <c r="Z2221" s="33" t="n">
        <v>5</v>
      </c>
      <c r="AA2221" s="33" t="inlineStr">
        <is>
          <t>2</t>
        </is>
      </c>
      <c r="AB2221" s="33" t="inlineStr">
        <is>
          <t>https://www.swimcloud.com/results/385812/event/38/?id=180231164#time180231164</t>
        </is>
      </c>
      <c r="AC2221" s="33" t="inlineStr">
        <is>
          <t>SwimCloud API v6 2026-10-08</t>
        </is>
      </c>
      <c r="AD2221" s="33" t="inlineStr">
        <is>
          <t>Luka Mijatovic|2026-06-21|LCM|100|Fly|54.25|CA MVN Fran Crippen Memorial Swim Meet of Champions|PRE|False</t>
        </is>
      </c>
      <c r="AE2221" s="53">
        <f>G2221+L2221/1000+ROW()/1000000000</f>
        <v/>
      </c>
      <c r="AF2221" s="35">
        <f>IF(C2221&lt;&gt;"Grayson Coulter","",COUNTIFS($C$5:$C$2991,"Grayson Coulter",$Q$5:$Q$2991,Q2221,$AE$5:$AE$2991,"&lt;="&amp;AE2221,$R$5:$R$2991,"&lt;"&amp;R2221))</f>
        <v/>
      </c>
      <c r="AG2221" s="35">
        <f>IF(OR(C2221&lt;&gt;"Grayson Coulter",G2221&lt;'00_Control'!$B$7),"",--(AF2221&lt;5))</f>
        <v/>
      </c>
      <c r="AH2221" s="35">
        <f>IF(OR(C2221&lt;&gt;"Grayson Coulter",G2221&lt;'00_Control'!$B$7),"",--(AF2221&lt;10))</f>
        <v/>
      </c>
      <c r="AI2221" s="35">
        <f>IF(AND(C2221="Grayson Coulter",G2221&gt;='00_Control'!$B$7),"YES","NO")</f>
        <v/>
      </c>
      <c r="AJ2221" s="33" t="inlineStr">
        <is>
          <t>OK</t>
        </is>
      </c>
    </row>
    <row r="2222">
      <c r="A2222" s="33" t="inlineStr">
        <is>
          <t>SM002218</t>
        </is>
      </c>
      <c r="B2222" s="33" t="inlineStr">
        <is>
          <t>SW003</t>
        </is>
      </c>
      <c r="C2222" s="33" t="inlineStr">
        <is>
          <t>Luka Mijatovic</t>
        </is>
      </c>
      <c r="D2222" s="33" t="inlineStr">
        <is>
          <t>SwimCloud</t>
        </is>
      </c>
      <c r="E2222" s="33" t="inlineStr">
        <is>
          <t>2415996</t>
        </is>
      </c>
      <c r="F2222" s="33" t="inlineStr">
        <is>
          <t>180231165</t>
        </is>
      </c>
      <c r="G2222" s="51" t="n">
        <v>46194</v>
      </c>
      <c r="H2222" s="33" t="inlineStr">
        <is>
          <t>CA MVN Fran Crippen Memorial Swim Meet of Champions</t>
        </is>
      </c>
      <c r="I2222" s="33" t="inlineStr">
        <is>
          <t>385812</t>
        </is>
      </c>
      <c r="J2222" s="33" t="inlineStr"/>
      <c r="K2222" s="33" t="inlineStr">
        <is>
          <t>FIN</t>
        </is>
      </c>
      <c r="L2222" s="35">
        <f>IF(K2222="FIN",3,IF(OR(K2222="SEM",K2222="SEMI"),2,IF(OR(K2222="PRE",K2222="HEAT"),1,IF(V2222="YES",4,2))))</f>
        <v/>
      </c>
      <c r="M2222" s="33" t="inlineStr">
        <is>
          <t>LCM</t>
        </is>
      </c>
      <c r="N2222" s="33" t="n">
        <v>100</v>
      </c>
      <c r="O2222" s="33" t="inlineStr">
        <is>
          <t>Fly</t>
        </is>
      </c>
      <c r="P2222" s="33" t="inlineStr">
        <is>
          <t>100 Fly</t>
        </is>
      </c>
      <c r="Q2222" s="33" t="inlineStr">
        <is>
          <t>LCM_100_FLY</t>
        </is>
      </c>
      <c r="R2222" s="36" t="n">
        <v>53.71</v>
      </c>
      <c r="S2222" s="35">
        <f>IF(R2222="","",IF(R2222&gt;=60,INT(R2222/60)&amp;":"&amp;TEXT(MOD(R2222,60),"00.00"),TEXT(R2222,"0.00")))</f>
        <v/>
      </c>
      <c r="T2222" s="52">
        <f>IFERROR((G2222-INDEX('01_Swimmers'!$E$5:$E$22,MATCH(B2222,'01_Swimmers'!$A$5:$A$22,0)))/'00_Control'!$B$10,"")</f>
        <v/>
      </c>
      <c r="U2222" s="35">
        <f>IF(T2222="","",INT(T2222))</f>
        <v/>
      </c>
      <c r="V2222" s="33" t="inlineStr">
        <is>
          <t>NO</t>
        </is>
      </c>
      <c r="W2222" s="33" t="inlineStr">
        <is>
          <t>YES</t>
        </is>
      </c>
      <c r="X2222" s="33" t="inlineStr">
        <is>
          <t>NO</t>
        </is>
      </c>
      <c r="Y2222" s="33" t="n">
        <v>3</v>
      </c>
      <c r="Z2222" s="33" t="n">
        <v>4</v>
      </c>
      <c r="AA2222" s="33" t="inlineStr">
        <is>
          <t>1</t>
        </is>
      </c>
      <c r="AB2222" s="33" t="inlineStr">
        <is>
          <t>https://www.swimcloud.com/results/385812/event/38/?id=180231165#time180231165</t>
        </is>
      </c>
      <c r="AC2222" s="33" t="inlineStr">
        <is>
          <t>SwimCloud API v6 2026-10-08</t>
        </is>
      </c>
      <c r="AD2222" s="33" t="inlineStr">
        <is>
          <t>Luka Mijatovic|2026-06-21|LCM|100|Fly|53.71|CA MVN Fran Crippen Memorial Swim Meet of Champions|FIN|False</t>
        </is>
      </c>
      <c r="AE2222" s="53">
        <f>G2222+L2222/1000+ROW()/1000000000</f>
        <v/>
      </c>
      <c r="AF2222" s="35">
        <f>IF(C2222&lt;&gt;"Grayson Coulter","",COUNTIFS($C$5:$C$2991,"Grayson Coulter",$Q$5:$Q$2991,Q2222,$AE$5:$AE$2991,"&lt;="&amp;AE2222,$R$5:$R$2991,"&lt;"&amp;R2222))</f>
        <v/>
      </c>
      <c r="AG2222" s="35">
        <f>IF(OR(C2222&lt;&gt;"Grayson Coulter",G2222&lt;'00_Control'!$B$7),"",--(AF2222&lt;5))</f>
        <v/>
      </c>
      <c r="AH2222" s="35">
        <f>IF(OR(C2222&lt;&gt;"Grayson Coulter",G2222&lt;'00_Control'!$B$7),"",--(AF2222&lt;10))</f>
        <v/>
      </c>
      <c r="AI2222" s="35">
        <f>IF(AND(C2222="Grayson Coulter",G2222&gt;='00_Control'!$B$7),"YES","NO")</f>
        <v/>
      </c>
      <c r="AJ2222" s="33" t="inlineStr">
        <is>
          <t>OK</t>
        </is>
      </c>
    </row>
    <row r="2223">
      <c r="A2223" s="33" t="inlineStr">
        <is>
          <t>SM002219</t>
        </is>
      </c>
      <c r="B2223" s="33" t="inlineStr">
        <is>
          <t>SW003</t>
        </is>
      </c>
      <c r="C2223" s="33" t="inlineStr">
        <is>
          <t>Luka Mijatovic</t>
        </is>
      </c>
      <c r="D2223" s="33" t="inlineStr">
        <is>
          <t>SwimCloud</t>
        </is>
      </c>
      <c r="E2223" s="33" t="inlineStr">
        <is>
          <t>2415996</t>
        </is>
      </c>
      <c r="F2223" s="33" t="inlineStr">
        <is>
          <t>180748585</t>
        </is>
      </c>
      <c r="G2223" s="51" t="n">
        <v>46213</v>
      </c>
      <c r="H2223" s="33" t="inlineStr">
        <is>
          <t>Super League Long Course Championships</t>
        </is>
      </c>
      <c r="I2223" s="33" t="inlineStr">
        <is>
          <t>389833</t>
        </is>
      </c>
      <c r="J2223" s="33" t="inlineStr"/>
      <c r="K2223" s="33" t="inlineStr">
        <is>
          <t>PRE</t>
        </is>
      </c>
      <c r="L2223" s="35">
        <f>IF(K2223="FIN",3,IF(OR(K2223="SEM",K2223="SEMI"),2,IF(OR(K2223="PRE",K2223="HEAT"),1,IF(V2223="YES",4,2))))</f>
        <v/>
      </c>
      <c r="M2223" s="33" t="inlineStr">
        <is>
          <t>LCM</t>
        </is>
      </c>
      <c r="N2223" s="33" t="n">
        <v>400</v>
      </c>
      <c r="O2223" s="33" t="inlineStr">
        <is>
          <t>Free</t>
        </is>
      </c>
      <c r="P2223" s="33" t="inlineStr">
        <is>
          <t>400 Free</t>
        </is>
      </c>
      <c r="Q2223" s="33" t="inlineStr">
        <is>
          <t>LCM_400_FREE</t>
        </is>
      </c>
      <c r="R2223" s="36" t="n">
        <v>240.48</v>
      </c>
      <c r="S2223" s="35">
        <f>IF(R2223="","",IF(R2223&gt;=60,INT(R2223/60)&amp;":"&amp;TEXT(MOD(R2223,60),"00.00"),TEXT(R2223,"0.00")))</f>
        <v/>
      </c>
      <c r="T2223" s="52">
        <f>IFERROR((G2223-INDEX('01_Swimmers'!$E$5:$E$22,MATCH(B2223,'01_Swimmers'!$A$5:$A$22,0)))/'00_Control'!$B$10,"")</f>
        <v/>
      </c>
      <c r="U2223" s="35">
        <f>IF(T2223="","",INT(T2223))</f>
        <v/>
      </c>
      <c r="V2223" s="33" t="inlineStr">
        <is>
          <t>NO</t>
        </is>
      </c>
      <c r="W2223" s="33" t="inlineStr">
        <is>
          <t>YES</t>
        </is>
      </c>
      <c r="X2223" s="33" t="inlineStr">
        <is>
          <t>NO</t>
        </is>
      </c>
      <c r="Y2223" s="33" t="n">
        <v>1</v>
      </c>
      <c r="Z2223" s="33" t="n">
        <v>4</v>
      </c>
      <c r="AA2223" s="33" t="inlineStr">
        <is>
          <t>1</t>
        </is>
      </c>
      <c r="AB2223" s="33" t="inlineStr">
        <is>
          <t>https://www.swimcloud.com/results/389833/event/6/?id=180748585#time180748585</t>
        </is>
      </c>
      <c r="AC2223" s="33" t="inlineStr">
        <is>
          <t>SwimCloud API v6 2026-10-08</t>
        </is>
      </c>
      <c r="AD2223" s="33" t="inlineStr">
        <is>
          <t>Luka Mijatovic|2026-07-10|LCM|400|Free|240.48|Super League Long Course Championships|PRE|False</t>
        </is>
      </c>
      <c r="AE2223" s="53">
        <f>G2223+L2223/1000+ROW()/1000000000</f>
        <v/>
      </c>
      <c r="AF2223" s="35">
        <f>IF(C2223&lt;&gt;"Grayson Coulter","",COUNTIFS($C$5:$C$2991,"Grayson Coulter",$Q$5:$Q$2991,Q2223,$AE$5:$AE$2991,"&lt;="&amp;AE2223,$R$5:$R$2991,"&lt;"&amp;R2223))</f>
        <v/>
      </c>
      <c r="AG2223" s="35">
        <f>IF(OR(C2223&lt;&gt;"Grayson Coulter",G2223&lt;'00_Control'!$B$7),"",--(AF2223&lt;5))</f>
        <v/>
      </c>
      <c r="AH2223" s="35">
        <f>IF(OR(C2223&lt;&gt;"Grayson Coulter",G2223&lt;'00_Control'!$B$7),"",--(AF2223&lt;10))</f>
        <v/>
      </c>
      <c r="AI2223" s="35">
        <f>IF(AND(C2223="Grayson Coulter",G2223&gt;='00_Control'!$B$7),"YES","NO")</f>
        <v/>
      </c>
      <c r="AJ2223" s="33" t="inlineStr">
        <is>
          <t>OK</t>
        </is>
      </c>
    </row>
    <row r="2224">
      <c r="A2224" s="33" t="inlineStr">
        <is>
          <t>SM002220</t>
        </is>
      </c>
      <c r="B2224" s="33" t="inlineStr">
        <is>
          <t>SW003</t>
        </is>
      </c>
      <c r="C2224" s="33" t="inlineStr">
        <is>
          <t>Luka Mijatovic</t>
        </is>
      </c>
      <c r="D2224" s="33" t="inlineStr">
        <is>
          <t>SwimCloud</t>
        </is>
      </c>
      <c r="E2224" s="33" t="inlineStr">
        <is>
          <t>2415996</t>
        </is>
      </c>
      <c r="F2224" s="33" t="inlineStr">
        <is>
          <t>180747882</t>
        </is>
      </c>
      <c r="G2224" s="51" t="n">
        <v>46215</v>
      </c>
      <c r="H2224" s="33" t="inlineStr">
        <is>
          <t>Super League Long Course Championships</t>
        </is>
      </c>
      <c r="I2224" s="33" t="inlineStr">
        <is>
          <t>389833</t>
        </is>
      </c>
      <c r="J2224" s="33" t="inlineStr"/>
      <c r="K2224" s="33" t="inlineStr">
        <is>
          <t>PRE</t>
        </is>
      </c>
      <c r="L2224" s="35">
        <f>IF(K2224="FIN",3,IF(OR(K2224="SEM",K2224="SEMI"),2,IF(OR(K2224="PRE",K2224="HEAT"),1,IF(V2224="YES",4,2))))</f>
        <v/>
      </c>
      <c r="M2224" s="33" t="inlineStr">
        <is>
          <t>LCM</t>
        </is>
      </c>
      <c r="N2224" s="33" t="n">
        <v>100</v>
      </c>
      <c r="O2224" s="33" t="inlineStr">
        <is>
          <t>Free</t>
        </is>
      </c>
      <c r="P2224" s="33" t="inlineStr">
        <is>
          <t>100 Free</t>
        </is>
      </c>
      <c r="Q2224" s="33" t="inlineStr">
        <is>
          <t>LCM_100_FREE</t>
        </is>
      </c>
      <c r="R2224" s="36" t="n">
        <v>51.93</v>
      </c>
      <c r="S2224" s="35">
        <f>IF(R2224="","",IF(R2224&gt;=60,INT(R2224/60)&amp;":"&amp;TEXT(MOD(R2224,60),"00.00"),TEXT(R2224,"0.00")))</f>
        <v/>
      </c>
      <c r="T2224" s="52">
        <f>IFERROR((G2224-INDEX('01_Swimmers'!$E$5:$E$22,MATCH(B2224,'01_Swimmers'!$A$5:$A$22,0)))/'00_Control'!$B$10,"")</f>
        <v/>
      </c>
      <c r="U2224" s="35">
        <f>IF(T2224="","",INT(T2224))</f>
        <v/>
      </c>
      <c r="V2224" s="33" t="inlineStr">
        <is>
          <t>NO</t>
        </is>
      </c>
      <c r="W2224" s="33" t="inlineStr">
        <is>
          <t>YES</t>
        </is>
      </c>
      <c r="X2224" s="33" t="inlineStr">
        <is>
          <t>NO</t>
        </is>
      </c>
      <c r="Y2224" s="33" t="n">
        <v>2</v>
      </c>
      <c r="Z2224" s="33" t="n">
        <v>4</v>
      </c>
      <c r="AA2224" s="33" t="inlineStr">
        <is>
          <t>1</t>
        </is>
      </c>
      <c r="AB2224" s="33" t="inlineStr">
        <is>
          <t>https://www.swimcloud.com/results/389833/event/30/?id=180747882#time180747882</t>
        </is>
      </c>
      <c r="AC2224" s="33" t="inlineStr">
        <is>
          <t>SwimCloud API v6 2026-10-08</t>
        </is>
      </c>
      <c r="AD2224" s="33" t="inlineStr">
        <is>
          <t>Luka Mijatovic|2026-07-12|LCM|100|Free|51.93|Super League Long Course Championships|PRE|False</t>
        </is>
      </c>
      <c r="AE2224" s="53">
        <f>G2224+L2224/1000+ROW()/1000000000</f>
        <v/>
      </c>
      <c r="AF2224" s="35">
        <f>IF(C2224&lt;&gt;"Grayson Coulter","",COUNTIFS($C$5:$C$2991,"Grayson Coulter",$Q$5:$Q$2991,Q2224,$AE$5:$AE$2991,"&lt;="&amp;AE2224,$R$5:$R$2991,"&lt;"&amp;R2224))</f>
        <v/>
      </c>
      <c r="AG2224" s="35">
        <f>IF(OR(C2224&lt;&gt;"Grayson Coulter",G2224&lt;'00_Control'!$B$7),"",--(AF2224&lt;5))</f>
        <v/>
      </c>
      <c r="AH2224" s="35">
        <f>IF(OR(C2224&lt;&gt;"Grayson Coulter",G2224&lt;'00_Control'!$B$7),"",--(AF2224&lt;10))</f>
        <v/>
      </c>
      <c r="AI2224" s="35">
        <f>IF(AND(C2224="Grayson Coulter",G2224&gt;='00_Control'!$B$7),"YES","NO")</f>
        <v/>
      </c>
      <c r="AJ2224" s="33" t="inlineStr">
        <is>
          <t>OK</t>
        </is>
      </c>
    </row>
    <row r="2225">
      <c r="A2225" s="33" t="inlineStr">
        <is>
          <t>SM002221</t>
        </is>
      </c>
      <c r="B2225" s="33" t="inlineStr">
        <is>
          <t>SW003</t>
        </is>
      </c>
      <c r="C2225" s="33" t="inlineStr">
        <is>
          <t>Luka Mijatovic</t>
        </is>
      </c>
      <c r="D2225" s="33" t="inlineStr">
        <is>
          <t>SwimCloud</t>
        </is>
      </c>
      <c r="E2225" s="33" t="inlineStr">
        <is>
          <t>2415996</t>
        </is>
      </c>
      <c r="F2225" s="33" t="inlineStr">
        <is>
          <t>180747883</t>
        </is>
      </c>
      <c r="G2225" s="51" t="n">
        <v>46215</v>
      </c>
      <c r="H2225" s="33" t="inlineStr">
        <is>
          <t>Super League Long Course Championships</t>
        </is>
      </c>
      <c r="I2225" s="33" t="inlineStr">
        <is>
          <t>389833</t>
        </is>
      </c>
      <c r="J2225" s="33" t="inlineStr"/>
      <c r="K2225" s="33" t="inlineStr">
        <is>
          <t>FIN</t>
        </is>
      </c>
      <c r="L2225" s="35">
        <f>IF(K2225="FIN",3,IF(OR(K2225="SEM",K2225="SEMI"),2,IF(OR(K2225="PRE",K2225="HEAT"),1,IF(V2225="YES",4,2))))</f>
        <v/>
      </c>
      <c r="M2225" s="33" t="inlineStr">
        <is>
          <t>LCM</t>
        </is>
      </c>
      <c r="N2225" s="33" t="n">
        <v>100</v>
      </c>
      <c r="O2225" s="33" t="inlineStr">
        <is>
          <t>Free</t>
        </is>
      </c>
      <c r="P2225" s="33" t="inlineStr">
        <is>
          <t>100 Free</t>
        </is>
      </c>
      <c r="Q2225" s="33" t="inlineStr">
        <is>
          <t>LCM_100_FREE</t>
        </is>
      </c>
      <c r="R2225" s="36" t="n">
        <v>49.8</v>
      </c>
      <c r="S2225" s="35">
        <f>IF(R2225="","",IF(R2225&gt;=60,INT(R2225/60)&amp;":"&amp;TEXT(MOD(R2225,60),"00.00"),TEXT(R2225,"0.00")))</f>
        <v/>
      </c>
      <c r="T2225" s="52">
        <f>IFERROR((G2225-INDEX('01_Swimmers'!$E$5:$E$22,MATCH(B2225,'01_Swimmers'!$A$5:$A$22,0)))/'00_Control'!$B$10,"")</f>
        <v/>
      </c>
      <c r="U2225" s="35">
        <f>IF(T2225="","",INT(T2225))</f>
        <v/>
      </c>
      <c r="V2225" s="33" t="inlineStr">
        <is>
          <t>NO</t>
        </is>
      </c>
      <c r="W2225" s="33" t="inlineStr">
        <is>
          <t>YES</t>
        </is>
      </c>
      <c r="X2225" s="33" t="inlineStr">
        <is>
          <t>NO</t>
        </is>
      </c>
      <c r="Y2225" s="33" t="n">
        <v>1</v>
      </c>
      <c r="Z2225" s="33" t="n">
        <v>4</v>
      </c>
      <c r="AA2225" s="33" t="inlineStr">
        <is>
          <t>1</t>
        </is>
      </c>
      <c r="AB2225" s="33" t="inlineStr">
        <is>
          <t>https://www.swimcloud.com/results/389833/event/30/?id=180747883#time180747883</t>
        </is>
      </c>
      <c r="AC2225" s="33" t="inlineStr">
        <is>
          <t>SwimCloud API v6 2026-10-08</t>
        </is>
      </c>
      <c r="AD2225" s="33" t="inlineStr">
        <is>
          <t>Luka Mijatovic|2026-07-12|LCM|100|Free|49.8|Super League Long Course Championships|FIN|False</t>
        </is>
      </c>
      <c r="AE2225" s="53">
        <f>G2225+L2225/1000+ROW()/1000000000</f>
        <v/>
      </c>
      <c r="AF2225" s="35">
        <f>IF(C2225&lt;&gt;"Grayson Coulter","",COUNTIFS($C$5:$C$2991,"Grayson Coulter",$Q$5:$Q$2991,Q2225,$AE$5:$AE$2991,"&lt;="&amp;AE2225,$R$5:$R$2991,"&lt;"&amp;R2225))</f>
        <v/>
      </c>
      <c r="AG2225" s="35">
        <f>IF(OR(C2225&lt;&gt;"Grayson Coulter",G2225&lt;'00_Control'!$B$7),"",--(AF2225&lt;5))</f>
        <v/>
      </c>
      <c r="AH2225" s="35">
        <f>IF(OR(C2225&lt;&gt;"Grayson Coulter",G2225&lt;'00_Control'!$B$7),"",--(AF2225&lt;10))</f>
        <v/>
      </c>
      <c r="AI2225" s="35">
        <f>IF(AND(C2225="Grayson Coulter",G2225&gt;='00_Control'!$B$7),"YES","NO")</f>
        <v/>
      </c>
      <c r="AJ2225" s="33" t="inlineStr">
        <is>
          <t>OK</t>
        </is>
      </c>
    </row>
    <row r="2226">
      <c r="A2226" s="33" t="inlineStr">
        <is>
          <t>SM002222</t>
        </is>
      </c>
      <c r="B2226" s="33" t="inlineStr">
        <is>
          <t>SW003</t>
        </is>
      </c>
      <c r="C2226" s="33" t="inlineStr">
        <is>
          <t>Luka Mijatovic</t>
        </is>
      </c>
      <c r="D2226" s="33" t="inlineStr">
        <is>
          <t>SwimCloud</t>
        </is>
      </c>
      <c r="E2226" s="33" t="inlineStr">
        <is>
          <t>2415996</t>
        </is>
      </c>
      <c r="F2226" s="33" t="inlineStr">
        <is>
          <t>182868022</t>
        </is>
      </c>
      <c r="G2226" s="51" t="n">
        <v>46231</v>
      </c>
      <c r="H2226" s="33" t="inlineStr">
        <is>
          <t>USA Swimming National Championships</t>
        </is>
      </c>
      <c r="I2226" s="33" t="inlineStr">
        <is>
          <t>351189</t>
        </is>
      </c>
      <c r="J2226" s="33" t="inlineStr"/>
      <c r="K2226" s="33" t="inlineStr">
        <is>
          <t>PRE</t>
        </is>
      </c>
      <c r="L2226" s="35">
        <f>IF(K2226="FIN",3,IF(OR(K2226="SEM",K2226="SEMI"),2,IF(OR(K2226="PRE",K2226="HEAT"),1,IF(V2226="YES",4,2))))</f>
        <v/>
      </c>
      <c r="M2226" s="33" t="inlineStr">
        <is>
          <t>LCM</t>
        </is>
      </c>
      <c r="N2226" s="33" t="n">
        <v>100</v>
      </c>
      <c r="O2226" s="33" t="inlineStr">
        <is>
          <t>Free</t>
        </is>
      </c>
      <c r="P2226" s="33" t="inlineStr">
        <is>
          <t>100 Free</t>
        </is>
      </c>
      <c r="Q2226" s="33" t="inlineStr">
        <is>
          <t>LCM_100_FREE</t>
        </is>
      </c>
      <c r="R2226" s="36" t="n">
        <v>49.19</v>
      </c>
      <c r="S2226" s="35">
        <f>IF(R2226="","",IF(R2226&gt;=60,INT(R2226/60)&amp;":"&amp;TEXT(MOD(R2226,60),"00.00"),TEXT(R2226,"0.00")))</f>
        <v/>
      </c>
      <c r="T2226" s="52">
        <f>IFERROR((G2226-INDEX('01_Swimmers'!$E$5:$E$22,MATCH(B2226,'01_Swimmers'!$A$5:$A$22,0)))/'00_Control'!$B$10,"")</f>
        <v/>
      </c>
      <c r="U2226" s="35">
        <f>IF(T2226="","",INT(T2226))</f>
        <v/>
      </c>
      <c r="V2226" s="33" t="inlineStr">
        <is>
          <t>NO</t>
        </is>
      </c>
      <c r="W2226" s="33" t="inlineStr">
        <is>
          <t>YES</t>
        </is>
      </c>
      <c r="X2226" s="33" t="inlineStr">
        <is>
          <t>NO</t>
        </is>
      </c>
      <c r="Y2226" s="33" t="n">
        <v>8</v>
      </c>
      <c r="Z2226" s="33" t="n">
        <v>7</v>
      </c>
      <c r="AA2226" s="33" t="inlineStr">
        <is>
          <t>18</t>
        </is>
      </c>
      <c r="AB2226" s="33" t="inlineStr">
        <is>
          <t>https://www.swimcloud.com/results/351189/event/4/?id=182868022#time182868022</t>
        </is>
      </c>
      <c r="AC2226" s="33" t="inlineStr">
        <is>
          <t>SwimCloud API v6 2026-10-08</t>
        </is>
      </c>
      <c r="AD2226" s="33" t="inlineStr">
        <is>
          <t>Luka Mijatovic|2026-07-28|LCM|100|Free|49.19|USA Swimming National Championships|PRE|False</t>
        </is>
      </c>
      <c r="AE2226" s="53">
        <f>G2226+L2226/1000+ROW()/1000000000</f>
        <v/>
      </c>
      <c r="AF2226" s="35">
        <f>IF(C2226&lt;&gt;"Grayson Coulter","",COUNTIFS($C$5:$C$2991,"Grayson Coulter",$Q$5:$Q$2991,Q2226,$AE$5:$AE$2991,"&lt;="&amp;AE2226,$R$5:$R$2991,"&lt;"&amp;R2226))</f>
        <v/>
      </c>
      <c r="AG2226" s="35">
        <f>IF(OR(C2226&lt;&gt;"Grayson Coulter",G2226&lt;'00_Control'!$B$7),"",--(AF2226&lt;5))</f>
        <v/>
      </c>
      <c r="AH2226" s="35">
        <f>IF(OR(C2226&lt;&gt;"Grayson Coulter",G2226&lt;'00_Control'!$B$7),"",--(AF2226&lt;10))</f>
        <v/>
      </c>
      <c r="AI2226" s="35">
        <f>IF(AND(C2226="Grayson Coulter",G2226&gt;='00_Control'!$B$7),"YES","NO")</f>
        <v/>
      </c>
      <c r="AJ2226" s="33" t="inlineStr">
        <is>
          <t>OK</t>
        </is>
      </c>
    </row>
    <row r="2227">
      <c r="A2227" s="33" t="inlineStr">
        <is>
          <t>SM002223</t>
        </is>
      </c>
      <c r="B2227" s="33" t="inlineStr">
        <is>
          <t>SW003</t>
        </is>
      </c>
      <c r="C2227" s="33" t="inlineStr">
        <is>
          <t>Luka Mijatovic</t>
        </is>
      </c>
      <c r="D2227" s="33" t="inlineStr">
        <is>
          <t>SwimCloud</t>
        </is>
      </c>
      <c r="E2227" s="33" t="inlineStr">
        <is>
          <t>2415996</t>
        </is>
      </c>
      <c r="F2227" s="33" t="inlineStr">
        <is>
          <t>182868025</t>
        </is>
      </c>
      <c r="G2227" s="51" t="n">
        <v>46232</v>
      </c>
      <c r="H2227" s="33" t="inlineStr">
        <is>
          <t>USA Swimming National Championships</t>
        </is>
      </c>
      <c r="I2227" s="33" t="inlineStr">
        <is>
          <t>351189</t>
        </is>
      </c>
      <c r="J2227" s="33" t="inlineStr"/>
      <c r="K2227" s="33" t="inlineStr">
        <is>
          <t>PRE</t>
        </is>
      </c>
      <c r="L2227" s="35">
        <f>IF(K2227="FIN",3,IF(OR(K2227="SEM",K2227="SEMI"),2,IF(OR(K2227="PRE",K2227="HEAT"),1,IF(V2227="YES",4,2))))</f>
        <v/>
      </c>
      <c r="M2227" s="33" t="inlineStr">
        <is>
          <t>LCM</t>
        </is>
      </c>
      <c r="N2227" s="33" t="n">
        <v>200</v>
      </c>
      <c r="O2227" s="33" t="inlineStr">
        <is>
          <t>Free</t>
        </is>
      </c>
      <c r="P2227" s="33" t="inlineStr">
        <is>
          <t>200 Free</t>
        </is>
      </c>
      <c r="Q2227" s="33" t="inlineStr">
        <is>
          <t>LCM_200_FREE</t>
        </is>
      </c>
      <c r="R2227" s="36" t="n">
        <v>106.23</v>
      </c>
      <c r="S2227" s="35">
        <f>IF(R2227="","",IF(R2227&gt;=60,INT(R2227/60)&amp;":"&amp;TEXT(MOD(R2227,60),"00.00"),TEXT(R2227,"0.00")))</f>
        <v/>
      </c>
      <c r="T2227" s="52">
        <f>IFERROR((G2227-INDEX('01_Swimmers'!$E$5:$E$22,MATCH(B2227,'01_Swimmers'!$A$5:$A$22,0)))/'00_Control'!$B$10,"")</f>
        <v/>
      </c>
      <c r="U2227" s="35">
        <f>IF(T2227="","",INT(T2227))</f>
        <v/>
      </c>
      <c r="V2227" s="33" t="inlineStr">
        <is>
          <t>NO</t>
        </is>
      </c>
      <c r="W2227" s="33" t="inlineStr">
        <is>
          <t>YES</t>
        </is>
      </c>
      <c r="X2227" s="33" t="inlineStr">
        <is>
          <t>NO</t>
        </is>
      </c>
      <c r="Y2227" s="33" t="n">
        <v>10</v>
      </c>
      <c r="Z2227" s="33" t="n">
        <v>5</v>
      </c>
      <c r="AA2227" s="33" t="inlineStr">
        <is>
          <t>2</t>
        </is>
      </c>
      <c r="AB2227" s="33" t="inlineStr">
        <is>
          <t>https://www.swimcloud.com/results/351189/event/8/?id=182868025#time182868025</t>
        </is>
      </c>
      <c r="AC2227" s="33" t="inlineStr">
        <is>
          <t>SwimCloud API v6 2026-10-08</t>
        </is>
      </c>
      <c r="AD2227" s="33" t="inlineStr">
        <is>
          <t>Luka Mijatovic|2026-07-29|LCM|200|Free|106.23|USA Swimming National Championships|PRE|False</t>
        </is>
      </c>
      <c r="AE2227" s="53">
        <f>G2227+L2227/1000+ROW()/1000000000</f>
        <v/>
      </c>
      <c r="AF2227" s="35">
        <f>IF(C2227&lt;&gt;"Grayson Coulter","",COUNTIFS($C$5:$C$2991,"Grayson Coulter",$Q$5:$Q$2991,Q2227,$AE$5:$AE$2991,"&lt;="&amp;AE2227,$R$5:$R$2991,"&lt;"&amp;R2227))</f>
        <v/>
      </c>
      <c r="AG2227" s="35">
        <f>IF(OR(C2227&lt;&gt;"Grayson Coulter",G2227&lt;'00_Control'!$B$7),"",--(AF2227&lt;5))</f>
        <v/>
      </c>
      <c r="AH2227" s="35">
        <f>IF(OR(C2227&lt;&gt;"Grayson Coulter",G2227&lt;'00_Control'!$B$7),"",--(AF2227&lt;10))</f>
        <v/>
      </c>
      <c r="AI2227" s="35">
        <f>IF(AND(C2227="Grayson Coulter",G2227&gt;='00_Control'!$B$7),"YES","NO")</f>
        <v/>
      </c>
      <c r="AJ2227" s="33" t="inlineStr">
        <is>
          <t>OK</t>
        </is>
      </c>
    </row>
    <row r="2228">
      <c r="A2228" s="33" t="inlineStr">
        <is>
          <t>SM002224</t>
        </is>
      </c>
      <c r="B2228" s="33" t="inlineStr">
        <is>
          <t>SW003</t>
        </is>
      </c>
      <c r="C2228" s="33" t="inlineStr">
        <is>
          <t>Luka Mijatovic</t>
        </is>
      </c>
      <c r="D2228" s="33" t="inlineStr">
        <is>
          <t>SwimCloud</t>
        </is>
      </c>
      <c r="E2228" s="33" t="inlineStr">
        <is>
          <t>2415996</t>
        </is>
      </c>
      <c r="F2228" s="33" t="inlineStr">
        <is>
          <t>182868024</t>
        </is>
      </c>
      <c r="G2228" s="51" t="n">
        <v>46232</v>
      </c>
      <c r="H2228" s="33" t="inlineStr">
        <is>
          <t>USA Swimming National Championships</t>
        </is>
      </c>
      <c r="I2228" s="33" t="inlineStr">
        <is>
          <t>351189</t>
        </is>
      </c>
      <c r="J2228" s="33" t="inlineStr"/>
      <c r="K2228" s="33" t="inlineStr">
        <is>
          <t>FIN</t>
        </is>
      </c>
      <c r="L2228" s="35">
        <f>IF(K2228="FIN",3,IF(OR(K2228="SEM",K2228="SEMI"),2,IF(OR(K2228="PRE",K2228="HEAT"),1,IF(V2228="YES",4,2))))</f>
        <v/>
      </c>
      <c r="M2228" s="33" t="inlineStr">
        <is>
          <t>LCM</t>
        </is>
      </c>
      <c r="N2228" s="33" t="n">
        <v>200</v>
      </c>
      <c r="O2228" s="33" t="inlineStr">
        <is>
          <t>Free</t>
        </is>
      </c>
      <c r="P2228" s="33" t="inlineStr">
        <is>
          <t>200 Free</t>
        </is>
      </c>
      <c r="Q2228" s="33" t="inlineStr">
        <is>
          <t>LCM_200_FREE</t>
        </is>
      </c>
      <c r="R2228" s="36" t="n">
        <v>106.04</v>
      </c>
      <c r="S2228" s="35">
        <f>IF(R2228="","",IF(R2228&gt;=60,INT(R2228/60)&amp;":"&amp;TEXT(MOD(R2228,60),"00.00"),TEXT(R2228,"0.00")))</f>
        <v/>
      </c>
      <c r="T2228" s="52">
        <f>IFERROR((G2228-INDEX('01_Swimmers'!$E$5:$E$22,MATCH(B2228,'01_Swimmers'!$A$5:$A$22,0)))/'00_Control'!$B$10,"")</f>
        <v/>
      </c>
      <c r="U2228" s="35">
        <f>IF(T2228="","",INT(T2228))</f>
        <v/>
      </c>
      <c r="V2228" s="33" t="inlineStr">
        <is>
          <t>NO</t>
        </is>
      </c>
      <c r="W2228" s="33" t="inlineStr">
        <is>
          <t>YES</t>
        </is>
      </c>
      <c r="X2228" s="33" t="inlineStr">
        <is>
          <t>NO</t>
        </is>
      </c>
      <c r="Y2228" s="33" t="n">
        <v>3</v>
      </c>
      <c r="Z2228" s="33" t="n">
        <v>4</v>
      </c>
      <c r="AA2228" s="33" t="inlineStr">
        <is>
          <t>17</t>
        </is>
      </c>
      <c r="AB2228" s="33" t="inlineStr">
        <is>
          <t>https://www.swimcloud.com/results/351189/event/8/?id=182868024#time182868024</t>
        </is>
      </c>
      <c r="AC2228" s="33" t="inlineStr">
        <is>
          <t>SwimCloud API v6 2026-10-08</t>
        </is>
      </c>
      <c r="AD2228" s="33" t="inlineStr">
        <is>
          <t>Luka Mijatovic|2026-07-29|LCM|200|Free|106.04|USA Swimming National Championships|FIN|False</t>
        </is>
      </c>
      <c r="AE2228" s="53">
        <f>G2228+L2228/1000+ROW()/1000000000</f>
        <v/>
      </c>
      <c r="AF2228" s="35">
        <f>IF(C2228&lt;&gt;"Grayson Coulter","",COUNTIFS($C$5:$C$2991,"Grayson Coulter",$Q$5:$Q$2991,Q2228,$AE$5:$AE$2991,"&lt;="&amp;AE2228,$R$5:$R$2991,"&lt;"&amp;R2228))</f>
        <v/>
      </c>
      <c r="AG2228" s="35">
        <f>IF(OR(C2228&lt;&gt;"Grayson Coulter",G2228&lt;'00_Control'!$B$7),"",--(AF2228&lt;5))</f>
        <v/>
      </c>
      <c r="AH2228" s="35">
        <f>IF(OR(C2228&lt;&gt;"Grayson Coulter",G2228&lt;'00_Control'!$B$7),"",--(AF2228&lt;10))</f>
        <v/>
      </c>
      <c r="AI2228" s="35">
        <f>IF(AND(C2228="Grayson Coulter",G2228&gt;='00_Control'!$B$7),"YES","NO")</f>
        <v/>
      </c>
      <c r="AJ2228" s="33" t="inlineStr">
        <is>
          <t>OK</t>
        </is>
      </c>
    </row>
    <row r="2229">
      <c r="A2229" s="33" t="inlineStr">
        <is>
          <t>SM002225</t>
        </is>
      </c>
      <c r="B2229" s="33" t="inlineStr">
        <is>
          <t>SW003</t>
        </is>
      </c>
      <c r="C2229" s="33" t="inlineStr">
        <is>
          <t>Luka Mijatovic</t>
        </is>
      </c>
      <c r="D2229" s="33" t="inlineStr">
        <is>
          <t>SwimCloud</t>
        </is>
      </c>
      <c r="E2229" s="33" t="inlineStr">
        <is>
          <t>2415996</t>
        </is>
      </c>
      <c r="F2229" s="33" t="inlineStr">
        <is>
          <t>182868027</t>
        </is>
      </c>
      <c r="G2229" s="51" t="n">
        <v>46234</v>
      </c>
      <c r="H2229" s="33" t="inlineStr">
        <is>
          <t>USA Swimming National Championships</t>
        </is>
      </c>
      <c r="I2229" s="33" t="inlineStr">
        <is>
          <t>351189</t>
        </is>
      </c>
      <c r="J2229" s="33" t="inlineStr"/>
      <c r="K2229" s="33" t="inlineStr">
        <is>
          <t>PRE</t>
        </is>
      </c>
      <c r="L2229" s="35">
        <f>IF(K2229="FIN",3,IF(OR(K2229="SEM",K2229="SEMI"),2,IF(OR(K2229="PRE",K2229="HEAT"),1,IF(V2229="YES",4,2))))</f>
        <v/>
      </c>
      <c r="M2229" s="33" t="inlineStr">
        <is>
          <t>LCM</t>
        </is>
      </c>
      <c r="N2229" s="33" t="n">
        <v>400</v>
      </c>
      <c r="O2229" s="33" t="inlineStr">
        <is>
          <t>Free</t>
        </is>
      </c>
      <c r="P2229" s="33" t="inlineStr">
        <is>
          <t>400 Free</t>
        </is>
      </c>
      <c r="Q2229" s="33" t="inlineStr">
        <is>
          <t>LCM_400_FREE</t>
        </is>
      </c>
      <c r="R2229" s="36" t="n">
        <v>227.55</v>
      </c>
      <c r="S2229" s="35">
        <f>IF(R2229="","",IF(R2229&gt;=60,INT(R2229/60)&amp;":"&amp;TEXT(MOD(R2229,60),"00.00"),TEXT(R2229,"0.00")))</f>
        <v/>
      </c>
      <c r="T2229" s="52">
        <f>IFERROR((G2229-INDEX('01_Swimmers'!$E$5:$E$22,MATCH(B2229,'01_Swimmers'!$A$5:$A$22,0)))/'00_Control'!$B$10,"")</f>
        <v/>
      </c>
      <c r="U2229" s="35">
        <f>IF(T2229="","",INT(T2229))</f>
        <v/>
      </c>
      <c r="V2229" s="33" t="inlineStr">
        <is>
          <t>NO</t>
        </is>
      </c>
      <c r="W2229" s="33" t="inlineStr">
        <is>
          <t>YES</t>
        </is>
      </c>
      <c r="X2229" s="33" t="inlineStr">
        <is>
          <t>NO</t>
        </is>
      </c>
      <c r="Y2229" s="33" t="n">
        <v>9</v>
      </c>
      <c r="Z2229" s="33" t="n">
        <v>4</v>
      </c>
      <c r="AA2229" s="33" t="inlineStr">
        <is>
          <t>1</t>
        </is>
      </c>
      <c r="AB2229" s="33" t="inlineStr">
        <is>
          <t>https://www.swimcloud.com/results/351189/event/24/?id=182868027#time182868027</t>
        </is>
      </c>
      <c r="AC2229" s="33" t="inlineStr">
        <is>
          <t>SwimCloud API v6 2026-10-08</t>
        </is>
      </c>
      <c r="AD2229" s="33" t="inlineStr">
        <is>
          <t>Luka Mijatovic|2026-07-31|LCM|400|Free|227.55|USA Swimming National Championships|PRE|False</t>
        </is>
      </c>
      <c r="AE2229" s="53">
        <f>G2229+L2229/1000+ROW()/1000000000</f>
        <v/>
      </c>
      <c r="AF2229" s="35">
        <f>IF(C2229&lt;&gt;"Grayson Coulter","",COUNTIFS($C$5:$C$2991,"Grayson Coulter",$Q$5:$Q$2991,Q2229,$AE$5:$AE$2991,"&lt;="&amp;AE2229,$R$5:$R$2991,"&lt;"&amp;R2229))</f>
        <v/>
      </c>
      <c r="AG2229" s="35">
        <f>IF(OR(C2229&lt;&gt;"Grayson Coulter",G2229&lt;'00_Control'!$B$7),"",--(AF2229&lt;5))</f>
        <v/>
      </c>
      <c r="AH2229" s="35">
        <f>IF(OR(C2229&lt;&gt;"Grayson Coulter",G2229&lt;'00_Control'!$B$7),"",--(AF2229&lt;10))</f>
        <v/>
      </c>
      <c r="AI2229" s="35">
        <f>IF(AND(C2229="Grayson Coulter",G2229&gt;='00_Control'!$B$7),"YES","NO")</f>
        <v/>
      </c>
      <c r="AJ2229" s="33" t="inlineStr">
        <is>
          <t>OK</t>
        </is>
      </c>
    </row>
    <row r="2230">
      <c r="A2230" s="33" t="inlineStr">
        <is>
          <t>SM002226</t>
        </is>
      </c>
      <c r="B2230" s="33" t="inlineStr">
        <is>
          <t>SW003</t>
        </is>
      </c>
      <c r="C2230" s="33" t="inlineStr">
        <is>
          <t>Luka Mijatovic</t>
        </is>
      </c>
      <c r="D2230" s="33" t="inlineStr">
        <is>
          <t>SwimCloud</t>
        </is>
      </c>
      <c r="E2230" s="33" t="inlineStr">
        <is>
          <t>2415996</t>
        </is>
      </c>
      <c r="F2230" s="33" t="inlineStr">
        <is>
          <t>182868026</t>
        </is>
      </c>
      <c r="G2230" s="51" t="n">
        <v>46234</v>
      </c>
      <c r="H2230" s="33" t="inlineStr">
        <is>
          <t>USA Swimming National Championships</t>
        </is>
      </c>
      <c r="I2230" s="33" t="inlineStr">
        <is>
          <t>351189</t>
        </is>
      </c>
      <c r="J2230" s="33" t="inlineStr"/>
      <c r="K2230" s="33" t="inlineStr">
        <is>
          <t>FIN</t>
        </is>
      </c>
      <c r="L2230" s="35">
        <f>IF(K2230="FIN",3,IF(OR(K2230="SEM",K2230="SEMI"),2,IF(OR(K2230="PRE",K2230="HEAT"),1,IF(V2230="YES",4,2))))</f>
        <v/>
      </c>
      <c r="M2230" s="33" t="inlineStr">
        <is>
          <t>LCM</t>
        </is>
      </c>
      <c r="N2230" s="33" t="n">
        <v>400</v>
      </c>
      <c r="O2230" s="33" t="inlineStr">
        <is>
          <t>Free</t>
        </is>
      </c>
      <c r="P2230" s="33" t="inlineStr">
        <is>
          <t>400 Free</t>
        </is>
      </c>
      <c r="Q2230" s="33" t="inlineStr">
        <is>
          <t>LCM_400_FREE</t>
        </is>
      </c>
      <c r="R2230" s="36" t="n">
        <v>223.45</v>
      </c>
      <c r="S2230" s="35">
        <f>IF(R2230="","",IF(R2230&gt;=60,INT(R2230/60)&amp;":"&amp;TEXT(MOD(R2230,60),"00.00"),TEXT(R2230,"0.00")))</f>
        <v/>
      </c>
      <c r="T2230" s="52">
        <f>IFERROR((G2230-INDEX('01_Swimmers'!$E$5:$E$22,MATCH(B2230,'01_Swimmers'!$A$5:$A$22,0)))/'00_Control'!$B$10,"")</f>
        <v/>
      </c>
      <c r="U2230" s="35">
        <f>IF(T2230="","",INT(T2230))</f>
        <v/>
      </c>
      <c r="V2230" s="33" t="inlineStr">
        <is>
          <t>NO</t>
        </is>
      </c>
      <c r="W2230" s="33" t="inlineStr">
        <is>
          <t>YES</t>
        </is>
      </c>
      <c r="X2230" s="33" t="inlineStr">
        <is>
          <t>NO</t>
        </is>
      </c>
      <c r="Y2230" s="33" t="n">
        <v>1</v>
      </c>
      <c r="Z2230" s="33" t="n">
        <v>4</v>
      </c>
      <c r="AA2230" s="33" t="inlineStr">
        <is>
          <t>1</t>
        </is>
      </c>
      <c r="AB2230" s="33" t="inlineStr">
        <is>
          <t>https://www.swimcloud.com/results/351189/event/24/?id=182868026#time182868026</t>
        </is>
      </c>
      <c r="AC2230" s="33" t="inlineStr">
        <is>
          <t>SwimCloud API v6 2026-10-08</t>
        </is>
      </c>
      <c r="AD2230" s="33" t="inlineStr">
        <is>
          <t>Luka Mijatovic|2026-07-31|LCM|400|Free|223.45|USA Swimming National Championships|FIN|False</t>
        </is>
      </c>
      <c r="AE2230" s="53">
        <f>G2230+L2230/1000+ROW()/1000000000</f>
        <v/>
      </c>
      <c r="AF2230" s="35">
        <f>IF(C2230&lt;&gt;"Grayson Coulter","",COUNTIFS($C$5:$C$2991,"Grayson Coulter",$Q$5:$Q$2991,Q2230,$AE$5:$AE$2991,"&lt;="&amp;AE2230,$R$5:$R$2991,"&lt;"&amp;R2230))</f>
        <v/>
      </c>
      <c r="AG2230" s="35">
        <f>IF(OR(C2230&lt;&gt;"Grayson Coulter",G2230&lt;'00_Control'!$B$7),"",--(AF2230&lt;5))</f>
        <v/>
      </c>
      <c r="AH2230" s="35">
        <f>IF(OR(C2230&lt;&gt;"Grayson Coulter",G2230&lt;'00_Control'!$B$7),"",--(AF2230&lt;10))</f>
        <v/>
      </c>
      <c r="AI2230" s="35">
        <f>IF(AND(C2230="Grayson Coulter",G2230&gt;='00_Control'!$B$7),"YES","NO")</f>
        <v/>
      </c>
      <c r="AJ2230" s="33" t="inlineStr">
        <is>
          <t>OK</t>
        </is>
      </c>
    </row>
    <row r="2231">
      <c r="A2231" s="33" t="inlineStr">
        <is>
          <t>SM002227</t>
        </is>
      </c>
      <c r="B2231" s="33" t="inlineStr">
        <is>
          <t>SW003</t>
        </is>
      </c>
      <c r="C2231" s="33" t="inlineStr">
        <is>
          <t>Luka Mijatovic</t>
        </is>
      </c>
      <c r="D2231" s="33" t="inlineStr">
        <is>
          <t>SwimCloud</t>
        </is>
      </c>
      <c r="E2231" s="33" t="inlineStr">
        <is>
          <t>2415996</t>
        </is>
      </c>
      <c r="F2231" s="33" t="inlineStr">
        <is>
          <t>183545163</t>
        </is>
      </c>
      <c r="G2231" s="51" t="n">
        <v>46238</v>
      </c>
      <c r="H2231" s="33" t="inlineStr">
        <is>
          <t>Speedo Junior National Championships</t>
        </is>
      </c>
      <c r="I2231" s="33" t="inlineStr">
        <is>
          <t>384843</t>
        </is>
      </c>
      <c r="J2231" s="33" t="inlineStr"/>
      <c r="K2231" s="33" t="inlineStr">
        <is>
          <t>PRE</t>
        </is>
      </c>
      <c r="L2231" s="35">
        <f>IF(K2231="FIN",3,IF(OR(K2231="SEM",K2231="SEMI"),2,IF(OR(K2231="PRE",K2231="HEAT"),1,IF(V2231="YES",4,2))))</f>
        <v/>
      </c>
      <c r="M2231" s="33" t="inlineStr">
        <is>
          <t>LCM</t>
        </is>
      </c>
      <c r="N2231" s="33" t="n">
        <v>100</v>
      </c>
      <c r="O2231" s="33" t="inlineStr">
        <is>
          <t>Free</t>
        </is>
      </c>
      <c r="P2231" s="33" t="inlineStr">
        <is>
          <t>100 Free</t>
        </is>
      </c>
      <c r="Q2231" s="33" t="inlineStr">
        <is>
          <t>LCM_100_FREE</t>
        </is>
      </c>
      <c r="R2231" s="36" t="n">
        <v>49.99</v>
      </c>
      <c r="S2231" s="35">
        <f>IF(R2231="","",IF(R2231&gt;=60,INT(R2231/60)&amp;":"&amp;TEXT(MOD(R2231,60),"00.00"),TEXT(R2231,"0.00")))</f>
        <v/>
      </c>
      <c r="T2231" s="52">
        <f>IFERROR((G2231-INDEX('01_Swimmers'!$E$5:$E$22,MATCH(B2231,'01_Swimmers'!$A$5:$A$22,0)))/'00_Control'!$B$10,"")</f>
        <v/>
      </c>
      <c r="U2231" s="35">
        <f>IF(T2231="","",INT(T2231))</f>
        <v/>
      </c>
      <c r="V2231" s="33" t="inlineStr">
        <is>
          <t>NO</t>
        </is>
      </c>
      <c r="W2231" s="33" t="inlineStr">
        <is>
          <t>YES</t>
        </is>
      </c>
      <c r="X2231" s="33" t="inlineStr">
        <is>
          <t>NO</t>
        </is>
      </c>
      <c r="Y2231" s="33" t="n">
        <v>22</v>
      </c>
      <c r="Z2231" s="33" t="n">
        <v>4</v>
      </c>
      <c r="AA2231" s="33" t="inlineStr">
        <is>
          <t>1</t>
        </is>
      </c>
      <c r="AB2231" s="33" t="inlineStr">
        <is>
          <t>https://www.swimcloud.com/results/384843/event/12/?id=183545163#time183545163</t>
        </is>
      </c>
      <c r="AC2231" s="33" t="inlineStr">
        <is>
          <t>SwimCloud API v6 2026-10-08</t>
        </is>
      </c>
      <c r="AD2231" s="33" t="inlineStr">
        <is>
          <t>Luka Mijatovic|2026-08-04|LCM|100|Free|49.99|Speedo Junior National Championships|PRE|False</t>
        </is>
      </c>
      <c r="AE2231" s="53">
        <f>G2231+L2231/1000+ROW()/1000000000</f>
        <v/>
      </c>
      <c r="AF2231" s="35">
        <f>IF(C2231&lt;&gt;"Grayson Coulter","",COUNTIFS($C$5:$C$2991,"Grayson Coulter",$Q$5:$Q$2991,Q2231,$AE$5:$AE$2991,"&lt;="&amp;AE2231,$R$5:$R$2991,"&lt;"&amp;R2231))</f>
        <v/>
      </c>
      <c r="AG2231" s="35">
        <f>IF(OR(C2231&lt;&gt;"Grayson Coulter",G2231&lt;'00_Control'!$B$7),"",--(AF2231&lt;5))</f>
        <v/>
      </c>
      <c r="AH2231" s="35">
        <f>IF(OR(C2231&lt;&gt;"Grayson Coulter",G2231&lt;'00_Control'!$B$7),"",--(AF2231&lt;10))</f>
        <v/>
      </c>
      <c r="AI2231" s="35">
        <f>IF(AND(C2231="Grayson Coulter",G2231&gt;='00_Control'!$B$7),"YES","NO")</f>
        <v/>
      </c>
      <c r="AJ2231" s="33" t="inlineStr">
        <is>
          <t>OK</t>
        </is>
      </c>
    </row>
    <row r="2232">
      <c r="A2232" s="33" t="inlineStr">
        <is>
          <t>SM002228</t>
        </is>
      </c>
      <c r="B2232" s="33" t="inlineStr">
        <is>
          <t>SW003</t>
        </is>
      </c>
      <c r="C2232" s="33" t="inlineStr">
        <is>
          <t>Luka Mijatovic</t>
        </is>
      </c>
      <c r="D2232" s="33" t="inlineStr">
        <is>
          <t>SwimCloud</t>
        </is>
      </c>
      <c r="E2232" s="33" t="inlineStr">
        <is>
          <t>2415996</t>
        </is>
      </c>
      <c r="F2232" s="33" t="inlineStr">
        <is>
          <t>184298272</t>
        </is>
      </c>
      <c r="G2232" s="51" t="n">
        <v>46251</v>
      </c>
      <c r="H2232" s="33" t="inlineStr">
        <is>
          <t>Junior Pan Pacific Championships</t>
        </is>
      </c>
      <c r="I2232" s="33" t="inlineStr">
        <is>
          <t>387116</t>
        </is>
      </c>
      <c r="J2232" s="33" t="inlineStr"/>
      <c r="K2232" s="33" t="inlineStr">
        <is>
          <t>PRE</t>
        </is>
      </c>
      <c r="L2232" s="35">
        <f>IF(K2232="FIN",3,IF(OR(K2232="SEM",K2232="SEMI"),2,IF(OR(K2232="PRE",K2232="HEAT"),1,IF(V2232="YES",4,2))))</f>
        <v/>
      </c>
      <c r="M2232" s="33" t="inlineStr">
        <is>
          <t>LCM</t>
        </is>
      </c>
      <c r="N2232" s="33" t="n">
        <v>100</v>
      </c>
      <c r="O2232" s="33" t="inlineStr">
        <is>
          <t>Free</t>
        </is>
      </c>
      <c r="P2232" s="33" t="inlineStr">
        <is>
          <t>100 Free</t>
        </is>
      </c>
      <c r="Q2232" s="33" t="inlineStr">
        <is>
          <t>LCM_100_FREE</t>
        </is>
      </c>
      <c r="R2232" s="36" t="n">
        <v>49.61</v>
      </c>
      <c r="S2232" s="35">
        <f>IF(R2232="","",IF(R2232&gt;=60,INT(R2232/60)&amp;":"&amp;TEXT(MOD(R2232,60),"00.00"),TEXT(R2232,"0.00")))</f>
        <v/>
      </c>
      <c r="T2232" s="52">
        <f>IFERROR((G2232-INDEX('01_Swimmers'!$E$5:$E$22,MATCH(B2232,'01_Swimmers'!$A$5:$A$22,0)))/'00_Control'!$B$10,"")</f>
        <v/>
      </c>
      <c r="U2232" s="35">
        <f>IF(T2232="","",INT(T2232))</f>
        <v/>
      </c>
      <c r="V2232" s="33" t="inlineStr">
        <is>
          <t>NO</t>
        </is>
      </c>
      <c r="W2232" s="33" t="inlineStr">
        <is>
          <t>YES</t>
        </is>
      </c>
      <c r="X2232" s="33" t="inlineStr">
        <is>
          <t>NO</t>
        </is>
      </c>
      <c r="Y2232" s="33" t="n">
        <v>1</v>
      </c>
      <c r="Z2232" s="33" t="n"/>
      <c r="AA2232" s="33" t="inlineStr">
        <is>
          <t>2</t>
        </is>
      </c>
      <c r="AB2232" s="33" t="inlineStr">
        <is>
          <t>https://www.swimcloud.com/results/387116/event/16/?id=184298272#time184298272</t>
        </is>
      </c>
      <c r="AC2232" s="33" t="inlineStr">
        <is>
          <t>SwimCloud API v6 2026-10-08</t>
        </is>
      </c>
      <c r="AD2232" s="33" t="inlineStr">
        <is>
          <t>Luka Mijatovic|2026-08-17|LCM|100|Free|49.61|Junior Pan Pacific Championships|PRE|False</t>
        </is>
      </c>
      <c r="AE2232" s="53">
        <f>G2232+L2232/1000+ROW()/1000000000</f>
        <v/>
      </c>
      <c r="AF2232" s="35">
        <f>IF(C2232&lt;&gt;"Grayson Coulter","",COUNTIFS($C$5:$C$2991,"Grayson Coulter",$Q$5:$Q$2991,Q2232,$AE$5:$AE$2991,"&lt;="&amp;AE2232,$R$5:$R$2991,"&lt;"&amp;R2232))</f>
        <v/>
      </c>
      <c r="AG2232" s="35">
        <f>IF(OR(C2232&lt;&gt;"Grayson Coulter",G2232&lt;'00_Control'!$B$7),"",--(AF2232&lt;5))</f>
        <v/>
      </c>
      <c r="AH2232" s="35">
        <f>IF(OR(C2232&lt;&gt;"Grayson Coulter",G2232&lt;'00_Control'!$B$7),"",--(AF2232&lt;10))</f>
        <v/>
      </c>
      <c r="AI2232" s="35">
        <f>IF(AND(C2232="Grayson Coulter",G2232&gt;='00_Control'!$B$7),"YES","NO")</f>
        <v/>
      </c>
      <c r="AJ2232" s="33" t="inlineStr">
        <is>
          <t>OK</t>
        </is>
      </c>
    </row>
    <row r="2233">
      <c r="A2233" s="33" t="inlineStr">
        <is>
          <t>SM002229</t>
        </is>
      </c>
      <c r="B2233" s="33" t="inlineStr">
        <is>
          <t>SW003</t>
        </is>
      </c>
      <c r="C2233" s="33" t="inlineStr">
        <is>
          <t>Luka Mijatovic</t>
        </is>
      </c>
      <c r="D2233" s="33" t="inlineStr">
        <is>
          <t>SwimCloud</t>
        </is>
      </c>
      <c r="E2233" s="33" t="inlineStr">
        <is>
          <t>2415996</t>
        </is>
      </c>
      <c r="F2233" s="33" t="inlineStr">
        <is>
          <t>184298273</t>
        </is>
      </c>
      <c r="G2233" s="51" t="n">
        <v>46251</v>
      </c>
      <c r="H2233" s="33" t="inlineStr">
        <is>
          <t>Junior Pan Pacific Championships</t>
        </is>
      </c>
      <c r="I2233" s="33" t="inlineStr">
        <is>
          <t>387116</t>
        </is>
      </c>
      <c r="J2233" s="33" t="inlineStr"/>
      <c r="K2233" s="33" t="inlineStr">
        <is>
          <t>FIN</t>
        </is>
      </c>
      <c r="L2233" s="35">
        <f>IF(K2233="FIN",3,IF(OR(K2233="SEM",K2233="SEMI"),2,IF(OR(K2233="PRE",K2233="HEAT"),1,IF(V2233="YES",4,2))))</f>
        <v/>
      </c>
      <c r="M2233" s="33" t="inlineStr">
        <is>
          <t>LCM</t>
        </is>
      </c>
      <c r="N2233" s="33" t="n">
        <v>100</v>
      </c>
      <c r="O2233" s="33" t="inlineStr">
        <is>
          <t>Free</t>
        </is>
      </c>
      <c r="P2233" s="33" t="inlineStr">
        <is>
          <t>100 Free</t>
        </is>
      </c>
      <c r="Q2233" s="33" t="inlineStr">
        <is>
          <t>LCM_100_FREE</t>
        </is>
      </c>
      <c r="R2233" s="36" t="n">
        <v>49.53</v>
      </c>
      <c r="S2233" s="35">
        <f>IF(R2233="","",IF(R2233&gt;=60,INT(R2233/60)&amp;":"&amp;TEXT(MOD(R2233,60),"00.00"),TEXT(R2233,"0.00")))</f>
        <v/>
      </c>
      <c r="T2233" s="52">
        <f>IFERROR((G2233-INDEX('01_Swimmers'!$E$5:$E$22,MATCH(B2233,'01_Swimmers'!$A$5:$A$22,0)))/'00_Control'!$B$10,"")</f>
        <v/>
      </c>
      <c r="U2233" s="35">
        <f>IF(T2233="","",INT(T2233))</f>
        <v/>
      </c>
      <c r="V2233" s="33" t="inlineStr">
        <is>
          <t>NO</t>
        </is>
      </c>
      <c r="W2233" s="33" t="inlineStr">
        <is>
          <t>YES</t>
        </is>
      </c>
      <c r="X2233" s="33" t="inlineStr">
        <is>
          <t>NO</t>
        </is>
      </c>
      <c r="Y2233" s="33" t="n">
        <v>2</v>
      </c>
      <c r="Z2233" s="33" t="n"/>
      <c r="AA2233" s="33" t="inlineStr">
        <is>
          <t>1</t>
        </is>
      </c>
      <c r="AB2233" s="33" t="inlineStr">
        <is>
          <t>https://www.swimcloud.com/results/387116/event/16/?id=184298273#time184298273</t>
        </is>
      </c>
      <c r="AC2233" s="33" t="inlineStr">
        <is>
          <t>SwimCloud API v6 2026-10-08</t>
        </is>
      </c>
      <c r="AD2233" s="33" t="inlineStr">
        <is>
          <t>Luka Mijatovic|2026-08-17|LCM|100|Free|49.53|Junior Pan Pacific Championships|FIN|False</t>
        </is>
      </c>
      <c r="AE2233" s="53">
        <f>G2233+L2233/1000+ROW()/1000000000</f>
        <v/>
      </c>
      <c r="AF2233" s="35">
        <f>IF(C2233&lt;&gt;"Grayson Coulter","",COUNTIFS($C$5:$C$2991,"Grayson Coulter",$Q$5:$Q$2991,Q2233,$AE$5:$AE$2991,"&lt;="&amp;AE2233,$R$5:$R$2991,"&lt;"&amp;R2233))</f>
        <v/>
      </c>
      <c r="AG2233" s="35">
        <f>IF(OR(C2233&lt;&gt;"Grayson Coulter",G2233&lt;'00_Control'!$B$7),"",--(AF2233&lt;5))</f>
        <v/>
      </c>
      <c r="AH2233" s="35">
        <f>IF(OR(C2233&lt;&gt;"Grayson Coulter",G2233&lt;'00_Control'!$B$7),"",--(AF2233&lt;10))</f>
        <v/>
      </c>
      <c r="AI2233" s="35">
        <f>IF(AND(C2233="Grayson Coulter",G2233&gt;='00_Control'!$B$7),"YES","NO")</f>
        <v/>
      </c>
      <c r="AJ2233" s="33" t="inlineStr">
        <is>
          <t>OK</t>
        </is>
      </c>
    </row>
    <row r="2234">
      <c r="A2234" s="33" t="inlineStr">
        <is>
          <t>SM002230</t>
        </is>
      </c>
      <c r="B2234" s="33" t="inlineStr">
        <is>
          <t>SW003</t>
        </is>
      </c>
      <c r="C2234" s="33" t="inlineStr">
        <is>
          <t>Luka Mijatovic</t>
        </is>
      </c>
      <c r="D2234" s="33" t="inlineStr">
        <is>
          <t>SwimCloud</t>
        </is>
      </c>
      <c r="E2234" s="33" t="inlineStr">
        <is>
          <t>2415996</t>
        </is>
      </c>
      <c r="F2234" s="33" t="inlineStr">
        <is>
          <t>184298057</t>
        </is>
      </c>
      <c r="G2234" s="51" t="n">
        <v>46251</v>
      </c>
      <c r="H2234" s="33" t="inlineStr">
        <is>
          <t>Junior Pan Pacific Championships</t>
        </is>
      </c>
      <c r="I2234" s="33" t="inlineStr">
        <is>
          <t>387116</t>
        </is>
      </c>
      <c r="J2234" s="33" t="inlineStr"/>
      <c r="K2234" s="33" t="inlineStr">
        <is>
          <t>PRE</t>
        </is>
      </c>
      <c r="L2234" s="35">
        <f>IF(K2234="FIN",3,IF(OR(K2234="SEM",K2234="SEMI"),2,IF(OR(K2234="PRE",K2234="HEAT"),1,IF(V2234="YES",4,2))))</f>
        <v/>
      </c>
      <c r="M2234" s="33" t="inlineStr">
        <is>
          <t>LCM</t>
        </is>
      </c>
      <c r="N2234" s="33" t="n">
        <v>200</v>
      </c>
      <c r="O2234" s="33" t="inlineStr">
        <is>
          <t>Free</t>
        </is>
      </c>
      <c r="P2234" s="33" t="inlineStr">
        <is>
          <t>200 Free</t>
        </is>
      </c>
      <c r="Q2234" s="33" t="inlineStr">
        <is>
          <t>LCM_200_FREE</t>
        </is>
      </c>
      <c r="R2234" s="36" t="n">
        <v>106.86</v>
      </c>
      <c r="S2234" s="35">
        <f>IF(R2234="","",IF(R2234&gt;=60,INT(R2234/60)&amp;":"&amp;TEXT(MOD(R2234,60),"00.00"),TEXT(R2234,"0.00")))</f>
        <v/>
      </c>
      <c r="T2234" s="52">
        <f>IFERROR((G2234-INDEX('01_Swimmers'!$E$5:$E$22,MATCH(B2234,'01_Swimmers'!$A$5:$A$22,0)))/'00_Control'!$B$10,"")</f>
        <v/>
      </c>
      <c r="U2234" s="35">
        <f>IF(T2234="","",INT(T2234))</f>
        <v/>
      </c>
      <c r="V2234" s="33" t="inlineStr">
        <is>
          <t>NO</t>
        </is>
      </c>
      <c r="W2234" s="33" t="inlineStr">
        <is>
          <t>YES</t>
        </is>
      </c>
      <c r="X2234" s="33" t="inlineStr">
        <is>
          <t>NO</t>
        </is>
      </c>
      <c r="Y2234" s="33" t="n">
        <v>1</v>
      </c>
      <c r="Z2234" s="33" t="n"/>
      <c r="AA2234" s="33" t="inlineStr">
        <is>
          <t>1</t>
        </is>
      </c>
      <c r="AB2234" s="33" t="inlineStr">
        <is>
          <t>https://www.swimcloud.com/results/387116/event/4/?id=184298057#time184298057</t>
        </is>
      </c>
      <c r="AC2234" s="33" t="inlineStr">
        <is>
          <t>SwimCloud API v6 2026-10-08</t>
        </is>
      </c>
      <c r="AD2234" s="33" t="inlineStr">
        <is>
          <t>Luka Mijatovic|2026-08-17|LCM|200|Free|106.86|Junior Pan Pacific Championships|PRE|False</t>
        </is>
      </c>
      <c r="AE2234" s="53">
        <f>G2234+L2234/1000+ROW()/1000000000</f>
        <v/>
      </c>
      <c r="AF2234" s="35">
        <f>IF(C2234&lt;&gt;"Grayson Coulter","",COUNTIFS($C$5:$C$2991,"Grayson Coulter",$Q$5:$Q$2991,Q2234,$AE$5:$AE$2991,"&lt;="&amp;AE2234,$R$5:$R$2991,"&lt;"&amp;R2234))</f>
        <v/>
      </c>
      <c r="AG2234" s="35">
        <f>IF(OR(C2234&lt;&gt;"Grayson Coulter",G2234&lt;'00_Control'!$B$7),"",--(AF2234&lt;5))</f>
        <v/>
      </c>
      <c r="AH2234" s="35">
        <f>IF(OR(C2234&lt;&gt;"Grayson Coulter",G2234&lt;'00_Control'!$B$7),"",--(AF2234&lt;10))</f>
        <v/>
      </c>
      <c r="AI2234" s="35">
        <f>IF(AND(C2234="Grayson Coulter",G2234&gt;='00_Control'!$B$7),"YES","NO")</f>
        <v/>
      </c>
      <c r="AJ2234" s="33" t="inlineStr">
        <is>
          <t>OK</t>
        </is>
      </c>
    </row>
    <row r="2235">
      <c r="A2235" s="33" t="inlineStr">
        <is>
          <t>SM002231</t>
        </is>
      </c>
      <c r="B2235" s="33" t="inlineStr">
        <is>
          <t>SW003</t>
        </is>
      </c>
      <c r="C2235" s="33" t="inlineStr">
        <is>
          <t>Luka Mijatovic</t>
        </is>
      </c>
      <c r="D2235" s="33" t="inlineStr">
        <is>
          <t>SwimCloud</t>
        </is>
      </c>
      <c r="E2235" s="33" t="inlineStr">
        <is>
          <t>2415996</t>
        </is>
      </c>
      <c r="F2235" s="33" t="inlineStr">
        <is>
          <t>184298058</t>
        </is>
      </c>
      <c r="G2235" s="51" t="n">
        <v>46251</v>
      </c>
      <c r="H2235" s="33" t="inlineStr">
        <is>
          <t>Junior Pan Pacific Championships</t>
        </is>
      </c>
      <c r="I2235" s="33" t="inlineStr">
        <is>
          <t>387116</t>
        </is>
      </c>
      <c r="J2235" s="33" t="inlineStr"/>
      <c r="K2235" s="33" t="inlineStr">
        <is>
          <t>FIN</t>
        </is>
      </c>
      <c r="L2235" s="35">
        <f>IF(K2235="FIN",3,IF(OR(K2235="SEM",K2235="SEMI"),2,IF(OR(K2235="PRE",K2235="HEAT"),1,IF(V2235="YES",4,2))))</f>
        <v/>
      </c>
      <c r="M2235" s="33" t="inlineStr">
        <is>
          <t>LCM</t>
        </is>
      </c>
      <c r="N2235" s="33" t="n">
        <v>200</v>
      </c>
      <c r="O2235" s="33" t="inlineStr">
        <is>
          <t>Free</t>
        </is>
      </c>
      <c r="P2235" s="33" t="inlineStr">
        <is>
          <t>200 Free</t>
        </is>
      </c>
      <c r="Q2235" s="33" t="inlineStr">
        <is>
          <t>LCM_200_FREE</t>
        </is>
      </c>
      <c r="R2235" s="36" t="n">
        <v>106.04</v>
      </c>
      <c r="S2235" s="35">
        <f>IF(R2235="","",IF(R2235&gt;=60,INT(R2235/60)&amp;":"&amp;TEXT(MOD(R2235,60),"00.00"),TEXT(R2235,"0.00")))</f>
        <v/>
      </c>
      <c r="T2235" s="52">
        <f>IFERROR((G2235-INDEX('01_Swimmers'!$E$5:$E$22,MATCH(B2235,'01_Swimmers'!$A$5:$A$22,0)))/'00_Control'!$B$10,"")</f>
        <v/>
      </c>
      <c r="U2235" s="35">
        <f>IF(T2235="","",INT(T2235))</f>
        <v/>
      </c>
      <c r="V2235" s="33" t="inlineStr">
        <is>
          <t>NO</t>
        </is>
      </c>
      <c r="W2235" s="33" t="inlineStr">
        <is>
          <t>YES</t>
        </is>
      </c>
      <c r="X2235" s="33" t="inlineStr">
        <is>
          <t>NO</t>
        </is>
      </c>
      <c r="Y2235" s="33" t="n">
        <v>2</v>
      </c>
      <c r="Z2235" s="33" t="n"/>
      <c r="AA2235" s="33" t="inlineStr">
        <is>
          <t>1</t>
        </is>
      </c>
      <c r="AB2235" s="33" t="inlineStr">
        <is>
          <t>https://www.swimcloud.com/results/387116/event/4/?id=184298058#time184298058</t>
        </is>
      </c>
      <c r="AC2235" s="33" t="inlineStr">
        <is>
          <t>SwimCloud API v6 2026-10-08</t>
        </is>
      </c>
      <c r="AD2235" s="33" t="inlineStr">
        <is>
          <t>Luka Mijatovic|2026-08-17|LCM|200|Free|106.04|Junior Pan Pacific Championships|FIN|False</t>
        </is>
      </c>
      <c r="AE2235" s="53">
        <f>G2235+L2235/1000+ROW()/1000000000</f>
        <v/>
      </c>
      <c r="AF2235" s="35">
        <f>IF(C2235&lt;&gt;"Grayson Coulter","",COUNTIFS($C$5:$C$2991,"Grayson Coulter",$Q$5:$Q$2991,Q2235,$AE$5:$AE$2991,"&lt;="&amp;AE2235,$R$5:$R$2991,"&lt;"&amp;R2235))</f>
        <v/>
      </c>
      <c r="AG2235" s="35">
        <f>IF(OR(C2235&lt;&gt;"Grayson Coulter",G2235&lt;'00_Control'!$B$7),"",--(AF2235&lt;5))</f>
        <v/>
      </c>
      <c r="AH2235" s="35">
        <f>IF(OR(C2235&lt;&gt;"Grayson Coulter",G2235&lt;'00_Control'!$B$7),"",--(AF2235&lt;10))</f>
        <v/>
      </c>
      <c r="AI2235" s="35">
        <f>IF(AND(C2235="Grayson Coulter",G2235&gt;='00_Control'!$B$7),"YES","NO")</f>
        <v/>
      </c>
      <c r="AJ2235" s="33" t="inlineStr">
        <is>
          <t>OK</t>
        </is>
      </c>
    </row>
    <row r="2236">
      <c r="A2236" s="33" t="inlineStr">
        <is>
          <t>SM002232</t>
        </is>
      </c>
      <c r="B2236" s="33" t="inlineStr">
        <is>
          <t>SW003</t>
        </is>
      </c>
      <c r="C2236" s="33" t="inlineStr">
        <is>
          <t>Luka Mijatovic</t>
        </is>
      </c>
      <c r="D2236" s="33" t="inlineStr">
        <is>
          <t>SwimCloud</t>
        </is>
      </c>
      <c r="E2236" s="33" t="inlineStr">
        <is>
          <t>2415996</t>
        </is>
      </c>
      <c r="F2236" s="33" t="inlineStr">
        <is>
          <t>184298366</t>
        </is>
      </c>
      <c r="G2236" s="51" t="n">
        <v>46251</v>
      </c>
      <c r="H2236" s="33" t="inlineStr">
        <is>
          <t>Junior Pan Pacific Championships</t>
        </is>
      </c>
      <c r="I2236" s="33" t="inlineStr">
        <is>
          <t>387116</t>
        </is>
      </c>
      <c r="J2236" s="33" t="inlineStr"/>
      <c r="K2236" s="33" t="inlineStr">
        <is>
          <t>PRE</t>
        </is>
      </c>
      <c r="L2236" s="35">
        <f>IF(K2236="FIN",3,IF(OR(K2236="SEM",K2236="SEMI"),2,IF(OR(K2236="PRE",K2236="HEAT"),1,IF(V2236="YES",4,2))))</f>
        <v/>
      </c>
      <c r="M2236" s="33" t="inlineStr">
        <is>
          <t>LCM</t>
        </is>
      </c>
      <c r="N2236" s="33" t="n">
        <v>400</v>
      </c>
      <c r="O2236" s="33" t="inlineStr">
        <is>
          <t>Free</t>
        </is>
      </c>
      <c r="P2236" s="33" t="inlineStr">
        <is>
          <t>400 Free</t>
        </is>
      </c>
      <c r="Q2236" s="33" t="inlineStr">
        <is>
          <t>LCM_400_FREE</t>
        </is>
      </c>
      <c r="R2236" s="36" t="n">
        <v>230.33</v>
      </c>
      <c r="S2236" s="35">
        <f>IF(R2236="","",IF(R2236&gt;=60,INT(R2236/60)&amp;":"&amp;TEXT(MOD(R2236,60),"00.00"),TEXT(R2236,"0.00")))</f>
        <v/>
      </c>
      <c r="T2236" s="52">
        <f>IFERROR((G2236-INDEX('01_Swimmers'!$E$5:$E$22,MATCH(B2236,'01_Swimmers'!$A$5:$A$22,0)))/'00_Control'!$B$10,"")</f>
        <v/>
      </c>
      <c r="U2236" s="35">
        <f>IF(T2236="","",INT(T2236))</f>
        <v/>
      </c>
      <c r="V2236" s="33" t="inlineStr">
        <is>
          <t>NO</t>
        </is>
      </c>
      <c r="W2236" s="33" t="inlineStr">
        <is>
          <t>YES</t>
        </is>
      </c>
      <c r="X2236" s="33" t="inlineStr">
        <is>
          <t>NO</t>
        </is>
      </c>
      <c r="Y2236" s="33" t="n">
        <v>1</v>
      </c>
      <c r="Z2236" s="33" t="n"/>
      <c r="AA2236" s="33" t="inlineStr">
        <is>
          <t>1</t>
        </is>
      </c>
      <c r="AB2236" s="33" t="inlineStr">
        <is>
          <t>https://www.swimcloud.com/results/387116/event/24/?id=184298366#time184298366</t>
        </is>
      </c>
      <c r="AC2236" s="33" t="inlineStr">
        <is>
          <t>SwimCloud API v6 2026-10-08</t>
        </is>
      </c>
      <c r="AD2236" s="33" t="inlineStr">
        <is>
          <t>Luka Mijatovic|2026-08-17|LCM|400|Free|230.33|Junior Pan Pacific Championships|PRE|False</t>
        </is>
      </c>
      <c r="AE2236" s="53">
        <f>G2236+L2236/1000+ROW()/1000000000</f>
        <v/>
      </c>
      <c r="AF2236" s="35">
        <f>IF(C2236&lt;&gt;"Grayson Coulter","",COUNTIFS($C$5:$C$2991,"Grayson Coulter",$Q$5:$Q$2991,Q2236,$AE$5:$AE$2991,"&lt;="&amp;AE2236,$R$5:$R$2991,"&lt;"&amp;R2236))</f>
        <v/>
      </c>
      <c r="AG2236" s="35">
        <f>IF(OR(C2236&lt;&gt;"Grayson Coulter",G2236&lt;'00_Control'!$B$7),"",--(AF2236&lt;5))</f>
        <v/>
      </c>
      <c r="AH2236" s="35">
        <f>IF(OR(C2236&lt;&gt;"Grayson Coulter",G2236&lt;'00_Control'!$B$7),"",--(AF2236&lt;10))</f>
        <v/>
      </c>
      <c r="AI2236" s="35">
        <f>IF(AND(C2236="Grayson Coulter",G2236&gt;='00_Control'!$B$7),"YES","NO")</f>
        <v/>
      </c>
      <c r="AJ2236" s="33" t="inlineStr">
        <is>
          <t>OK</t>
        </is>
      </c>
    </row>
    <row r="2237">
      <c r="A2237" s="33" t="inlineStr">
        <is>
          <t>SM002233</t>
        </is>
      </c>
      <c r="B2237" s="33" t="inlineStr">
        <is>
          <t>SW003</t>
        </is>
      </c>
      <c r="C2237" s="33" t="inlineStr">
        <is>
          <t>Luka Mijatovic</t>
        </is>
      </c>
      <c r="D2237" s="33" t="inlineStr">
        <is>
          <t>SwimCloud</t>
        </is>
      </c>
      <c r="E2237" s="33" t="inlineStr">
        <is>
          <t>2415996</t>
        </is>
      </c>
      <c r="F2237" s="33" t="inlineStr">
        <is>
          <t>184298367</t>
        </is>
      </c>
      <c r="G2237" s="51" t="n">
        <v>46251</v>
      </c>
      <c r="H2237" s="33" t="inlineStr">
        <is>
          <t>Junior Pan Pacific Championships</t>
        </is>
      </c>
      <c r="I2237" s="33" t="inlineStr">
        <is>
          <t>387116</t>
        </is>
      </c>
      <c r="J2237" s="33" t="inlineStr"/>
      <c r="K2237" s="33" t="inlineStr">
        <is>
          <t>FIN</t>
        </is>
      </c>
      <c r="L2237" s="35">
        <f>IF(K2237="FIN",3,IF(OR(K2237="SEM",K2237="SEMI"),2,IF(OR(K2237="PRE",K2237="HEAT"),1,IF(V2237="YES",4,2))))</f>
        <v/>
      </c>
      <c r="M2237" s="33" t="inlineStr">
        <is>
          <t>LCM</t>
        </is>
      </c>
      <c r="N2237" s="33" t="n">
        <v>400</v>
      </c>
      <c r="O2237" s="33" t="inlineStr">
        <is>
          <t>Free</t>
        </is>
      </c>
      <c r="P2237" s="33" t="inlineStr">
        <is>
          <t>400 Free</t>
        </is>
      </c>
      <c r="Q2237" s="33" t="inlineStr">
        <is>
          <t>LCM_400_FREE</t>
        </is>
      </c>
      <c r="R2237" s="36" t="n">
        <v>223.67</v>
      </c>
      <c r="S2237" s="35">
        <f>IF(R2237="","",IF(R2237&gt;=60,INT(R2237/60)&amp;":"&amp;TEXT(MOD(R2237,60),"00.00"),TEXT(R2237,"0.00")))</f>
        <v/>
      </c>
      <c r="T2237" s="52">
        <f>IFERROR((G2237-INDEX('01_Swimmers'!$E$5:$E$22,MATCH(B2237,'01_Swimmers'!$A$5:$A$22,0)))/'00_Control'!$B$10,"")</f>
        <v/>
      </c>
      <c r="U2237" s="35">
        <f>IF(T2237="","",INT(T2237))</f>
        <v/>
      </c>
      <c r="V2237" s="33" t="inlineStr">
        <is>
          <t>NO</t>
        </is>
      </c>
      <c r="W2237" s="33" t="inlineStr">
        <is>
          <t>YES</t>
        </is>
      </c>
      <c r="X2237" s="33" t="inlineStr">
        <is>
          <t>NO</t>
        </is>
      </c>
      <c r="Y2237" s="33" t="n">
        <v>2</v>
      </c>
      <c r="Z2237" s="33" t="n"/>
      <c r="AA2237" s="33" t="inlineStr">
        <is>
          <t>1</t>
        </is>
      </c>
      <c r="AB2237" s="33" t="inlineStr">
        <is>
          <t>https://www.swimcloud.com/results/387116/event/24/?id=184298367#time184298367</t>
        </is>
      </c>
      <c r="AC2237" s="33" t="inlineStr">
        <is>
          <t>SwimCloud API v6 2026-10-08</t>
        </is>
      </c>
      <c r="AD2237" s="33" t="inlineStr">
        <is>
          <t>Luka Mijatovic|2026-08-17|LCM|400|Free|223.67|Junior Pan Pacific Championships|FIN|False</t>
        </is>
      </c>
      <c r="AE2237" s="53">
        <f>G2237+L2237/1000+ROW()/1000000000</f>
        <v/>
      </c>
      <c r="AF2237" s="35">
        <f>IF(C2237&lt;&gt;"Grayson Coulter","",COUNTIFS($C$5:$C$2991,"Grayson Coulter",$Q$5:$Q$2991,Q2237,$AE$5:$AE$2991,"&lt;="&amp;AE2237,$R$5:$R$2991,"&lt;"&amp;R2237))</f>
        <v/>
      </c>
      <c r="AG2237" s="35">
        <f>IF(OR(C2237&lt;&gt;"Grayson Coulter",G2237&lt;'00_Control'!$B$7),"",--(AF2237&lt;5))</f>
        <v/>
      </c>
      <c r="AH2237" s="35">
        <f>IF(OR(C2237&lt;&gt;"Grayson Coulter",G2237&lt;'00_Control'!$B$7),"",--(AF2237&lt;10))</f>
        <v/>
      </c>
      <c r="AI2237" s="35">
        <f>IF(AND(C2237="Grayson Coulter",G2237&gt;='00_Control'!$B$7),"YES","NO")</f>
        <v/>
      </c>
      <c r="AJ2237" s="33" t="inlineStr">
        <is>
          <t>OK</t>
        </is>
      </c>
    </row>
    <row r="2238">
      <c r="A2238" s="33" t="inlineStr">
        <is>
          <t>SM002234</t>
        </is>
      </c>
      <c r="B2238" s="33" t="inlineStr">
        <is>
          <t>SW014</t>
        </is>
      </c>
      <c r="C2238" s="33" t="inlineStr">
        <is>
          <t>Luke Hobson</t>
        </is>
      </c>
      <c r="D2238" s="33" t="inlineStr">
        <is>
          <t>SwimCloud</t>
        </is>
      </c>
      <c r="E2238" s="33" t="inlineStr">
        <is>
          <t>576911</t>
        </is>
      </c>
      <c r="F2238" s="33" t="inlineStr">
        <is>
          <t>75139097</t>
        </is>
      </c>
      <c r="G2238" s="51" t="n">
        <v>41419</v>
      </c>
      <c r="H2238" s="33" t="inlineStr">
        <is>
          <t>2013 Intermountain Classic</t>
        </is>
      </c>
      <c r="I2238" s="33" t="inlineStr">
        <is>
          <t>237724</t>
        </is>
      </c>
      <c r="J2238" s="33" t="inlineStr"/>
      <c r="K2238" s="33" t="inlineStr">
        <is>
          <t>TIM</t>
        </is>
      </c>
      <c r="L2238" s="35">
        <f>IF(K2238="FIN",3,IF(OR(K2238="SEM",K2238="SEMI"),2,IF(OR(K2238="PRE",K2238="HEAT"),1,IF(V2238="YES",4,2))))</f>
        <v/>
      </c>
      <c r="M2238" s="33" t="inlineStr">
        <is>
          <t>LCM</t>
        </is>
      </c>
      <c r="N2238" s="33" t="n">
        <v>100</v>
      </c>
      <c r="O2238" s="33" t="inlineStr">
        <is>
          <t>Fly</t>
        </is>
      </c>
      <c r="P2238" s="33" t="inlineStr">
        <is>
          <t>100 Fly</t>
        </is>
      </c>
      <c r="Q2238" s="33" t="inlineStr">
        <is>
          <t>LCM_100_FLY</t>
        </is>
      </c>
      <c r="R2238" s="36" t="n">
        <v>93.05</v>
      </c>
      <c r="S2238" s="35">
        <f>IF(R2238="","",IF(R2238&gt;=60,INT(R2238/60)&amp;":"&amp;TEXT(MOD(R2238,60),"00.00"),TEXT(R2238,"0.00")))</f>
        <v/>
      </c>
      <c r="T2238" s="52">
        <f>IFERROR((G2238-INDEX('01_Swimmers'!$E$5:$E$22,MATCH(B2238,'01_Swimmers'!$A$5:$A$22,0)))/'00_Control'!$B$10,"")</f>
        <v/>
      </c>
      <c r="U2238" s="35">
        <f>IF(T2238="","",INT(T2238))</f>
        <v/>
      </c>
      <c r="V2238" s="33" t="inlineStr">
        <is>
          <t>NO</t>
        </is>
      </c>
      <c r="W2238" s="33" t="inlineStr">
        <is>
          <t>YES</t>
        </is>
      </c>
      <c r="X2238" s="33" t="inlineStr">
        <is>
          <t>NO</t>
        </is>
      </c>
      <c r="Y2238" s="33" t="n">
        <v>3</v>
      </c>
      <c r="Z2238" s="33" t="n">
        <v>1</v>
      </c>
      <c r="AA2238" s="33" t="inlineStr">
        <is>
          <t>1</t>
        </is>
      </c>
      <c r="AB2238" s="33" t="inlineStr">
        <is>
          <t>https://www.swimcloud.com/results/237724/event/38/?id=75137304#time75137304</t>
        </is>
      </c>
      <c r="AC2238" s="33" t="inlineStr">
        <is>
          <t>SwimCloud API v6 2026-10-08</t>
        </is>
      </c>
      <c r="AD2238" s="33" t="inlineStr">
        <is>
          <t>Luke Hobson|2013-05-25|LCM|100|Fly|93.05|2013 Intermountain Classic|TIM|False</t>
        </is>
      </c>
      <c r="AE2238" s="53">
        <f>G2238+L2238/1000+ROW()/1000000000</f>
        <v/>
      </c>
      <c r="AF2238" s="35">
        <f>IF(C2238&lt;&gt;"Grayson Coulter","",COUNTIFS($C$5:$C$2991,"Grayson Coulter",$Q$5:$Q$2991,Q2238,$AE$5:$AE$2991,"&lt;="&amp;AE2238,$R$5:$R$2991,"&lt;"&amp;R2238))</f>
        <v/>
      </c>
      <c r="AG2238" s="35">
        <f>IF(OR(C2238&lt;&gt;"Grayson Coulter",G2238&lt;'00_Control'!$B$7),"",--(AF2238&lt;5))</f>
        <v/>
      </c>
      <c r="AH2238" s="35">
        <f>IF(OR(C2238&lt;&gt;"Grayson Coulter",G2238&lt;'00_Control'!$B$7),"",--(AF2238&lt;10))</f>
        <v/>
      </c>
      <c r="AI2238" s="35">
        <f>IF(AND(C2238="Grayson Coulter",G2238&gt;='00_Control'!$B$7),"YES","NO")</f>
        <v/>
      </c>
      <c r="AJ2238" s="33" t="inlineStr">
        <is>
          <t>OK</t>
        </is>
      </c>
    </row>
    <row r="2239">
      <c r="A2239" s="33" t="inlineStr">
        <is>
          <t>SM002235</t>
        </is>
      </c>
      <c r="B2239" s="33" t="inlineStr">
        <is>
          <t>SW014</t>
        </is>
      </c>
      <c r="C2239" s="33" t="inlineStr">
        <is>
          <t>Luke Hobson</t>
        </is>
      </c>
      <c r="D2239" s="33" t="inlineStr">
        <is>
          <t>SwimCloud</t>
        </is>
      </c>
      <c r="E2239" s="33" t="inlineStr">
        <is>
          <t>576911</t>
        </is>
      </c>
      <c r="F2239" s="33" t="inlineStr">
        <is>
          <t>75137304</t>
        </is>
      </c>
      <c r="G2239" s="51" t="n">
        <v>41419</v>
      </c>
      <c r="H2239" s="33" t="inlineStr">
        <is>
          <t>2013 Intermountain Classic</t>
        </is>
      </c>
      <c r="I2239" s="33" t="inlineStr">
        <is>
          <t>237724</t>
        </is>
      </c>
      <c r="J2239" s="33" t="inlineStr"/>
      <c r="K2239" s="33" t="inlineStr">
        <is>
          <t>TIM</t>
        </is>
      </c>
      <c r="L2239" s="35">
        <f>IF(K2239="FIN",3,IF(OR(K2239="SEM",K2239="SEMI"),2,IF(OR(K2239="PRE",K2239="HEAT"),1,IF(V2239="YES",4,2))))</f>
        <v/>
      </c>
      <c r="M2239" s="33" t="inlineStr">
        <is>
          <t>LCM</t>
        </is>
      </c>
      <c r="N2239" s="33" t="n">
        <v>100</v>
      </c>
      <c r="O2239" s="33" t="inlineStr">
        <is>
          <t>Fly</t>
        </is>
      </c>
      <c r="P2239" s="33" t="inlineStr">
        <is>
          <t>100 Fly</t>
        </is>
      </c>
      <c r="Q2239" s="33" t="inlineStr">
        <is>
          <t>LCM_100_FLY</t>
        </is>
      </c>
      <c r="R2239" s="36" t="n">
        <v>93.15000000000001</v>
      </c>
      <c r="S2239" s="35">
        <f>IF(R2239="","",IF(R2239&gt;=60,INT(R2239/60)&amp;":"&amp;TEXT(MOD(R2239,60),"00.00"),TEXT(R2239,"0.00")))</f>
        <v/>
      </c>
      <c r="T2239" s="52">
        <f>IFERROR((G2239-INDEX('01_Swimmers'!$E$5:$E$22,MATCH(B2239,'01_Swimmers'!$A$5:$A$22,0)))/'00_Control'!$B$10,"")</f>
        <v/>
      </c>
      <c r="U2239" s="35">
        <f>IF(T2239="","",INT(T2239))</f>
        <v/>
      </c>
      <c r="V2239" s="33" t="inlineStr">
        <is>
          <t>NO</t>
        </is>
      </c>
      <c r="W2239" s="33" t="inlineStr">
        <is>
          <t>YES</t>
        </is>
      </c>
      <c r="X2239" s="33" t="inlineStr">
        <is>
          <t>NO</t>
        </is>
      </c>
      <c r="Y2239" s="33" t="n">
        <v>3</v>
      </c>
      <c r="Z2239" s="33" t="n">
        <v>1</v>
      </c>
      <c r="AA2239" s="33" t="inlineStr">
        <is>
          <t>1</t>
        </is>
      </c>
      <c r="AB2239" s="33" t="inlineStr">
        <is>
          <t>https://www.swimcloud.com/results/237724/event/38/?id=75137304#time75137304</t>
        </is>
      </c>
      <c r="AC2239" s="33" t="inlineStr">
        <is>
          <t>SwimCloud API v6 2026-10-08</t>
        </is>
      </c>
      <c r="AD2239" s="33" t="inlineStr">
        <is>
          <t>Luke Hobson|2013-05-25|LCM|100|Fly|93.15|2013 Intermountain Classic|TIM|False</t>
        </is>
      </c>
      <c r="AE2239" s="53">
        <f>G2239+L2239/1000+ROW()/1000000000</f>
        <v/>
      </c>
      <c r="AF2239" s="35">
        <f>IF(C2239&lt;&gt;"Grayson Coulter","",COUNTIFS($C$5:$C$2991,"Grayson Coulter",$Q$5:$Q$2991,Q2239,$AE$5:$AE$2991,"&lt;="&amp;AE2239,$R$5:$R$2991,"&lt;"&amp;R2239))</f>
        <v/>
      </c>
      <c r="AG2239" s="35">
        <f>IF(OR(C2239&lt;&gt;"Grayson Coulter",G2239&lt;'00_Control'!$B$7),"",--(AF2239&lt;5))</f>
        <v/>
      </c>
      <c r="AH2239" s="35">
        <f>IF(OR(C2239&lt;&gt;"Grayson Coulter",G2239&lt;'00_Control'!$B$7),"",--(AF2239&lt;10))</f>
        <v/>
      </c>
      <c r="AI2239" s="35">
        <f>IF(AND(C2239="Grayson Coulter",G2239&gt;='00_Control'!$B$7),"YES","NO")</f>
        <v/>
      </c>
      <c r="AJ2239" s="33" t="inlineStr">
        <is>
          <t>OK</t>
        </is>
      </c>
    </row>
    <row r="2240">
      <c r="A2240" s="33" t="inlineStr">
        <is>
          <t>SM002236</t>
        </is>
      </c>
      <c r="B2240" s="33" t="inlineStr">
        <is>
          <t>SW014</t>
        </is>
      </c>
      <c r="C2240" s="33" t="inlineStr">
        <is>
          <t>Luke Hobson</t>
        </is>
      </c>
      <c r="D2240" s="33" t="inlineStr">
        <is>
          <t>SwimCloud</t>
        </is>
      </c>
      <c r="E2240" s="33" t="inlineStr">
        <is>
          <t>576911</t>
        </is>
      </c>
      <c r="F2240" s="33" t="inlineStr">
        <is>
          <t>75138889</t>
        </is>
      </c>
      <c r="G2240" s="51" t="n">
        <v>41419</v>
      </c>
      <c r="H2240" s="33" t="inlineStr">
        <is>
          <t>2013 Intermountain Classic</t>
        </is>
      </c>
      <c r="I2240" s="33" t="inlineStr">
        <is>
          <t>237724</t>
        </is>
      </c>
      <c r="J2240" s="33" t="inlineStr"/>
      <c r="K2240" s="33" t="inlineStr">
        <is>
          <t>TIM</t>
        </is>
      </c>
      <c r="L2240" s="35">
        <f>IF(K2240="FIN",3,IF(OR(K2240="SEM",K2240="SEMI"),2,IF(OR(K2240="PRE",K2240="HEAT"),1,IF(V2240="YES",4,2))))</f>
        <v/>
      </c>
      <c r="M2240" s="33" t="inlineStr">
        <is>
          <t>LCM</t>
        </is>
      </c>
      <c r="N2240" s="33" t="n">
        <v>100</v>
      </c>
      <c r="O2240" s="33" t="inlineStr">
        <is>
          <t>Free</t>
        </is>
      </c>
      <c r="P2240" s="33" t="inlineStr">
        <is>
          <t>100 Free</t>
        </is>
      </c>
      <c r="Q2240" s="33" t="inlineStr">
        <is>
          <t>LCM_100_FREE</t>
        </is>
      </c>
      <c r="R2240" s="36" t="n">
        <v>82.3</v>
      </c>
      <c r="S2240" s="35">
        <f>IF(R2240="","",IF(R2240&gt;=60,INT(R2240/60)&amp;":"&amp;TEXT(MOD(R2240,60),"00.00"),TEXT(R2240,"0.00")))</f>
        <v/>
      </c>
      <c r="T2240" s="52">
        <f>IFERROR((G2240-INDEX('01_Swimmers'!$E$5:$E$22,MATCH(B2240,'01_Swimmers'!$A$5:$A$22,0)))/'00_Control'!$B$10,"")</f>
        <v/>
      </c>
      <c r="U2240" s="35">
        <f>IF(T2240="","",INT(T2240))</f>
        <v/>
      </c>
      <c r="V2240" s="33" t="inlineStr">
        <is>
          <t>NO</t>
        </is>
      </c>
      <c r="W2240" s="33" t="inlineStr">
        <is>
          <t>YES</t>
        </is>
      </c>
      <c r="X2240" s="33" t="inlineStr">
        <is>
          <t>NO</t>
        </is>
      </c>
      <c r="Y2240" s="33" t="n">
        <v>3</v>
      </c>
      <c r="Z2240" s="33" t="n">
        <v>8</v>
      </c>
      <c r="AA2240" s="33" t="inlineStr">
        <is>
          <t>3</t>
        </is>
      </c>
      <c r="AB2240" s="33" t="inlineStr">
        <is>
          <t>https://www.swimcloud.com/results/237724/event/28/?id=75137032#time75137032</t>
        </is>
      </c>
      <c r="AC2240" s="33" t="inlineStr">
        <is>
          <t>SwimCloud API v6 2026-10-08</t>
        </is>
      </c>
      <c r="AD2240" s="33" t="inlineStr">
        <is>
          <t>Luke Hobson|2013-05-25|LCM|100|Free|82.3|2013 Intermountain Classic|TIM|False</t>
        </is>
      </c>
      <c r="AE2240" s="53">
        <f>G2240+L2240/1000+ROW()/1000000000</f>
        <v/>
      </c>
      <c r="AF2240" s="35">
        <f>IF(C2240&lt;&gt;"Grayson Coulter","",COUNTIFS($C$5:$C$2991,"Grayson Coulter",$Q$5:$Q$2991,Q2240,$AE$5:$AE$2991,"&lt;="&amp;AE2240,$R$5:$R$2991,"&lt;"&amp;R2240))</f>
        <v/>
      </c>
      <c r="AG2240" s="35">
        <f>IF(OR(C2240&lt;&gt;"Grayson Coulter",G2240&lt;'00_Control'!$B$7),"",--(AF2240&lt;5))</f>
        <v/>
      </c>
      <c r="AH2240" s="35">
        <f>IF(OR(C2240&lt;&gt;"Grayson Coulter",G2240&lt;'00_Control'!$B$7),"",--(AF2240&lt;10))</f>
        <v/>
      </c>
      <c r="AI2240" s="35">
        <f>IF(AND(C2240="Grayson Coulter",G2240&gt;='00_Control'!$B$7),"YES","NO")</f>
        <v/>
      </c>
      <c r="AJ2240" s="33" t="inlineStr">
        <is>
          <t>OK</t>
        </is>
      </c>
    </row>
    <row r="2241">
      <c r="A2241" s="33" t="inlineStr">
        <is>
          <t>SM002237</t>
        </is>
      </c>
      <c r="B2241" s="33" t="inlineStr">
        <is>
          <t>SW014</t>
        </is>
      </c>
      <c r="C2241" s="33" t="inlineStr">
        <is>
          <t>Luke Hobson</t>
        </is>
      </c>
      <c r="D2241" s="33" t="inlineStr">
        <is>
          <t>SwimCloud</t>
        </is>
      </c>
      <c r="E2241" s="33" t="inlineStr">
        <is>
          <t>576911</t>
        </is>
      </c>
      <c r="F2241" s="33" t="inlineStr">
        <is>
          <t>75137032</t>
        </is>
      </c>
      <c r="G2241" s="51" t="n">
        <v>41419</v>
      </c>
      <c r="H2241" s="33" t="inlineStr">
        <is>
          <t>2013 Intermountain Classic</t>
        </is>
      </c>
      <c r="I2241" s="33" t="inlineStr">
        <is>
          <t>237724</t>
        </is>
      </c>
      <c r="J2241" s="33" t="inlineStr"/>
      <c r="K2241" s="33" t="inlineStr">
        <is>
          <t>TIM</t>
        </is>
      </c>
      <c r="L2241" s="35">
        <f>IF(K2241="FIN",3,IF(OR(K2241="SEM",K2241="SEMI"),2,IF(OR(K2241="PRE",K2241="HEAT"),1,IF(V2241="YES",4,2))))</f>
        <v/>
      </c>
      <c r="M2241" s="33" t="inlineStr">
        <is>
          <t>LCM</t>
        </is>
      </c>
      <c r="N2241" s="33" t="n">
        <v>100</v>
      </c>
      <c r="O2241" s="33" t="inlineStr">
        <is>
          <t>Free</t>
        </is>
      </c>
      <c r="P2241" s="33" t="inlineStr">
        <is>
          <t>100 Free</t>
        </is>
      </c>
      <c r="Q2241" s="33" t="inlineStr">
        <is>
          <t>LCM_100_FREE</t>
        </is>
      </c>
      <c r="R2241" s="36" t="n">
        <v>82.40000000000001</v>
      </c>
      <c r="S2241" s="35">
        <f>IF(R2241="","",IF(R2241&gt;=60,INT(R2241/60)&amp;":"&amp;TEXT(MOD(R2241,60),"00.00"),TEXT(R2241,"0.00")))</f>
        <v/>
      </c>
      <c r="T2241" s="52">
        <f>IFERROR((G2241-INDEX('01_Swimmers'!$E$5:$E$22,MATCH(B2241,'01_Swimmers'!$A$5:$A$22,0)))/'00_Control'!$B$10,"")</f>
        <v/>
      </c>
      <c r="U2241" s="35">
        <f>IF(T2241="","",INT(T2241))</f>
        <v/>
      </c>
      <c r="V2241" s="33" t="inlineStr">
        <is>
          <t>NO</t>
        </is>
      </c>
      <c r="W2241" s="33" t="inlineStr">
        <is>
          <t>YES</t>
        </is>
      </c>
      <c r="X2241" s="33" t="inlineStr">
        <is>
          <t>NO</t>
        </is>
      </c>
      <c r="Y2241" s="33" t="n">
        <v>3</v>
      </c>
      <c r="Z2241" s="33" t="n">
        <v>8</v>
      </c>
      <c r="AA2241" s="33" t="inlineStr">
        <is>
          <t>3</t>
        </is>
      </c>
      <c r="AB2241" s="33" t="inlineStr">
        <is>
          <t>https://www.swimcloud.com/results/237724/event/28/?id=75137032#time75137032</t>
        </is>
      </c>
      <c r="AC2241" s="33" t="inlineStr">
        <is>
          <t>SwimCloud API v6 2026-10-08</t>
        </is>
      </c>
      <c r="AD2241" s="33" t="inlineStr">
        <is>
          <t>Luke Hobson|2013-05-25|LCM|100|Free|82.4|2013 Intermountain Classic|TIM|False</t>
        </is>
      </c>
      <c r="AE2241" s="53">
        <f>G2241+L2241/1000+ROW()/1000000000</f>
        <v/>
      </c>
      <c r="AF2241" s="35">
        <f>IF(C2241&lt;&gt;"Grayson Coulter","",COUNTIFS($C$5:$C$2991,"Grayson Coulter",$Q$5:$Q$2991,Q2241,$AE$5:$AE$2991,"&lt;="&amp;AE2241,$R$5:$R$2991,"&lt;"&amp;R2241))</f>
        <v/>
      </c>
      <c r="AG2241" s="35">
        <f>IF(OR(C2241&lt;&gt;"Grayson Coulter",G2241&lt;'00_Control'!$B$7),"",--(AF2241&lt;5))</f>
        <v/>
      </c>
      <c r="AH2241" s="35">
        <f>IF(OR(C2241&lt;&gt;"Grayson Coulter",G2241&lt;'00_Control'!$B$7),"",--(AF2241&lt;10))</f>
        <v/>
      </c>
      <c r="AI2241" s="35">
        <f>IF(AND(C2241="Grayson Coulter",G2241&gt;='00_Control'!$B$7),"YES","NO")</f>
        <v/>
      </c>
      <c r="AJ2241" s="33" t="inlineStr">
        <is>
          <t>OK</t>
        </is>
      </c>
    </row>
    <row r="2242">
      <c r="A2242" s="33" t="inlineStr">
        <is>
          <t>SM002238</t>
        </is>
      </c>
      <c r="B2242" s="33" t="inlineStr">
        <is>
          <t>SW014</t>
        </is>
      </c>
      <c r="C2242" s="33" t="inlineStr">
        <is>
          <t>Luke Hobson</t>
        </is>
      </c>
      <c r="D2242" s="33" t="inlineStr">
        <is>
          <t>SwimCloud</t>
        </is>
      </c>
      <c r="E2242" s="33" t="inlineStr">
        <is>
          <t>576911</t>
        </is>
      </c>
      <c r="F2242" s="33" t="inlineStr">
        <is>
          <t>75043352</t>
        </is>
      </c>
      <c r="G2242" s="51" t="n">
        <v>41439</v>
      </c>
      <c r="H2242" s="33" t="inlineStr">
        <is>
          <t>Reno Aquatic Club's Summer Splash</t>
        </is>
      </c>
      <c r="I2242" s="33" t="inlineStr">
        <is>
          <t>41215</t>
        </is>
      </c>
      <c r="J2242" s="33" t="inlineStr"/>
      <c r="K2242" s="33" t="inlineStr">
        <is>
          <t>TIM</t>
        </is>
      </c>
      <c r="L2242" s="35">
        <f>IF(K2242="FIN",3,IF(OR(K2242="SEM",K2242="SEMI"),2,IF(OR(K2242="PRE",K2242="HEAT"),1,IF(V2242="YES",4,2))))</f>
        <v/>
      </c>
      <c r="M2242" s="33" t="inlineStr">
        <is>
          <t>LCM</t>
        </is>
      </c>
      <c r="N2242" s="33" t="n">
        <v>100</v>
      </c>
      <c r="O2242" s="33" t="inlineStr">
        <is>
          <t>Free</t>
        </is>
      </c>
      <c r="P2242" s="33" t="inlineStr">
        <is>
          <t>100 Free</t>
        </is>
      </c>
      <c r="Q2242" s="33" t="inlineStr">
        <is>
          <t>LCM_100_FREE</t>
        </is>
      </c>
      <c r="R2242" s="36" t="n">
        <v>77.45999999999999</v>
      </c>
      <c r="S2242" s="35">
        <f>IF(R2242="","",IF(R2242&gt;=60,INT(R2242/60)&amp;":"&amp;TEXT(MOD(R2242,60),"00.00"),TEXT(R2242,"0.00")))</f>
        <v/>
      </c>
      <c r="T2242" s="52">
        <f>IFERROR((G2242-INDEX('01_Swimmers'!$E$5:$E$22,MATCH(B2242,'01_Swimmers'!$A$5:$A$22,0)))/'00_Control'!$B$10,"")</f>
        <v/>
      </c>
      <c r="U2242" s="35">
        <f>IF(T2242="","",INT(T2242))</f>
        <v/>
      </c>
      <c r="V2242" s="33" t="inlineStr">
        <is>
          <t>NO</t>
        </is>
      </c>
      <c r="W2242" s="33" t="inlineStr">
        <is>
          <t>YES</t>
        </is>
      </c>
      <c r="X2242" s="33" t="inlineStr">
        <is>
          <t>NO</t>
        </is>
      </c>
      <c r="Y2242" s="33" t="n">
        <v>1</v>
      </c>
      <c r="Z2242" s="33" t="n">
        <v>3</v>
      </c>
      <c r="AA2242" s="33" t="inlineStr">
        <is>
          <t>2</t>
        </is>
      </c>
      <c r="AB2242" s="33" t="inlineStr">
        <is>
          <t>https://www.swimcloud.com/results/41215/event/22/?id=75040704#time75040704</t>
        </is>
      </c>
      <c r="AC2242" s="33" t="inlineStr">
        <is>
          <t>SwimCloud API v6 2026-10-08</t>
        </is>
      </c>
      <c r="AD2242" s="33" t="inlineStr">
        <is>
          <t>Luke Hobson|2013-06-14|LCM|100|Free|77.46|Reno Aquatic Club's Summer Splash|TIM|False</t>
        </is>
      </c>
      <c r="AE2242" s="53">
        <f>G2242+L2242/1000+ROW()/1000000000</f>
        <v/>
      </c>
      <c r="AF2242" s="35">
        <f>IF(C2242&lt;&gt;"Grayson Coulter","",COUNTIFS($C$5:$C$2991,"Grayson Coulter",$Q$5:$Q$2991,Q2242,$AE$5:$AE$2991,"&lt;="&amp;AE2242,$R$5:$R$2991,"&lt;"&amp;R2242))</f>
        <v/>
      </c>
      <c r="AG2242" s="35">
        <f>IF(OR(C2242&lt;&gt;"Grayson Coulter",G2242&lt;'00_Control'!$B$7),"",--(AF2242&lt;5))</f>
        <v/>
      </c>
      <c r="AH2242" s="35">
        <f>IF(OR(C2242&lt;&gt;"Grayson Coulter",G2242&lt;'00_Control'!$B$7),"",--(AF2242&lt;10))</f>
        <v/>
      </c>
      <c r="AI2242" s="35">
        <f>IF(AND(C2242="Grayson Coulter",G2242&gt;='00_Control'!$B$7),"YES","NO")</f>
        <v/>
      </c>
      <c r="AJ2242" s="33" t="inlineStr">
        <is>
          <t>OK</t>
        </is>
      </c>
    </row>
    <row r="2243">
      <c r="A2243" s="33" t="inlineStr">
        <is>
          <t>SM002239</t>
        </is>
      </c>
      <c r="B2243" s="33" t="inlineStr">
        <is>
          <t>SW014</t>
        </is>
      </c>
      <c r="C2243" s="33" t="inlineStr">
        <is>
          <t>Luke Hobson</t>
        </is>
      </c>
      <c r="D2243" s="33" t="inlineStr">
        <is>
          <t>SwimCloud</t>
        </is>
      </c>
      <c r="E2243" s="33" t="inlineStr">
        <is>
          <t>576911</t>
        </is>
      </c>
      <c r="F2243" s="33" t="inlineStr">
        <is>
          <t>75040704</t>
        </is>
      </c>
      <c r="G2243" s="51" t="n">
        <v>41439</v>
      </c>
      <c r="H2243" s="33" t="inlineStr">
        <is>
          <t>Reno Aquatic Club's Summer Splash</t>
        </is>
      </c>
      <c r="I2243" s="33" t="inlineStr">
        <is>
          <t>41215</t>
        </is>
      </c>
      <c r="J2243" s="33" t="inlineStr"/>
      <c r="K2243" s="33" t="inlineStr">
        <is>
          <t>TIM</t>
        </is>
      </c>
      <c r="L2243" s="35">
        <f>IF(K2243="FIN",3,IF(OR(K2243="SEM",K2243="SEMI"),2,IF(OR(K2243="PRE",K2243="HEAT"),1,IF(V2243="YES",4,2))))</f>
        <v/>
      </c>
      <c r="M2243" s="33" t="inlineStr">
        <is>
          <t>LCM</t>
        </is>
      </c>
      <c r="N2243" s="33" t="n">
        <v>100</v>
      </c>
      <c r="O2243" s="33" t="inlineStr">
        <is>
          <t>Free</t>
        </is>
      </c>
      <c r="P2243" s="33" t="inlineStr">
        <is>
          <t>100 Free</t>
        </is>
      </c>
      <c r="Q2243" s="33" t="inlineStr">
        <is>
          <t>LCM_100_FREE</t>
        </is>
      </c>
      <c r="R2243" s="36" t="n">
        <v>77.56</v>
      </c>
      <c r="S2243" s="35">
        <f>IF(R2243="","",IF(R2243&gt;=60,INT(R2243/60)&amp;":"&amp;TEXT(MOD(R2243,60),"00.00"),TEXT(R2243,"0.00")))</f>
        <v/>
      </c>
      <c r="T2243" s="52">
        <f>IFERROR((G2243-INDEX('01_Swimmers'!$E$5:$E$22,MATCH(B2243,'01_Swimmers'!$A$5:$A$22,0)))/'00_Control'!$B$10,"")</f>
        <v/>
      </c>
      <c r="U2243" s="35">
        <f>IF(T2243="","",INT(T2243))</f>
        <v/>
      </c>
      <c r="V2243" s="33" t="inlineStr">
        <is>
          <t>NO</t>
        </is>
      </c>
      <c r="W2243" s="33" t="inlineStr">
        <is>
          <t>YES</t>
        </is>
      </c>
      <c r="X2243" s="33" t="inlineStr">
        <is>
          <t>NO</t>
        </is>
      </c>
      <c r="Y2243" s="33" t="n">
        <v>1</v>
      </c>
      <c r="Z2243" s="33" t="n">
        <v>3</v>
      </c>
      <c r="AA2243" s="33" t="inlineStr">
        <is>
          <t>2</t>
        </is>
      </c>
      <c r="AB2243" s="33" t="inlineStr">
        <is>
          <t>https://www.swimcloud.com/results/41215/event/22/?id=75040704#time75040704</t>
        </is>
      </c>
      <c r="AC2243" s="33" t="inlineStr">
        <is>
          <t>SwimCloud API v6 2026-10-08</t>
        </is>
      </c>
      <c r="AD2243" s="33" t="inlineStr">
        <is>
          <t>Luke Hobson|2013-06-14|LCM|100|Free|77.56|Reno Aquatic Club's Summer Splash|TIM|False</t>
        </is>
      </c>
      <c r="AE2243" s="53">
        <f>G2243+L2243/1000+ROW()/1000000000</f>
        <v/>
      </c>
      <c r="AF2243" s="35">
        <f>IF(C2243&lt;&gt;"Grayson Coulter","",COUNTIFS($C$5:$C$2991,"Grayson Coulter",$Q$5:$Q$2991,Q2243,$AE$5:$AE$2991,"&lt;="&amp;AE2243,$R$5:$R$2991,"&lt;"&amp;R2243))</f>
        <v/>
      </c>
      <c r="AG2243" s="35">
        <f>IF(OR(C2243&lt;&gt;"Grayson Coulter",G2243&lt;'00_Control'!$B$7),"",--(AF2243&lt;5))</f>
        <v/>
      </c>
      <c r="AH2243" s="35">
        <f>IF(OR(C2243&lt;&gt;"Grayson Coulter",G2243&lt;'00_Control'!$B$7),"",--(AF2243&lt;10))</f>
        <v/>
      </c>
      <c r="AI2243" s="35">
        <f>IF(AND(C2243="Grayson Coulter",G2243&gt;='00_Control'!$B$7),"YES","NO")</f>
        <v/>
      </c>
      <c r="AJ2243" s="33" t="inlineStr">
        <is>
          <t>OK</t>
        </is>
      </c>
    </row>
    <row r="2244">
      <c r="A2244" s="33" t="inlineStr">
        <is>
          <t>SM002240</t>
        </is>
      </c>
      <c r="B2244" s="33" t="inlineStr">
        <is>
          <t>SW014</t>
        </is>
      </c>
      <c r="C2244" s="33" t="inlineStr">
        <is>
          <t>Luke Hobson</t>
        </is>
      </c>
      <c r="D2244" s="33" t="inlineStr">
        <is>
          <t>SwimCloud</t>
        </is>
      </c>
      <c r="E2244" s="33" t="inlineStr">
        <is>
          <t>576911</t>
        </is>
      </c>
      <c r="F2244" s="33" t="inlineStr">
        <is>
          <t>75043688</t>
        </is>
      </c>
      <c r="G2244" s="51" t="n">
        <v>41440</v>
      </c>
      <c r="H2244" s="33" t="inlineStr">
        <is>
          <t>Reno Aquatic Club's Summer Splash</t>
        </is>
      </c>
      <c r="I2244" s="33" t="inlineStr">
        <is>
          <t>41215</t>
        </is>
      </c>
      <c r="J2244" s="33" t="inlineStr"/>
      <c r="K2244" s="33" t="inlineStr">
        <is>
          <t>TIM</t>
        </is>
      </c>
      <c r="L2244" s="35">
        <f>IF(K2244="FIN",3,IF(OR(K2244="SEM",K2244="SEMI"),2,IF(OR(K2244="PRE",K2244="HEAT"),1,IF(V2244="YES",4,2))))</f>
        <v/>
      </c>
      <c r="M2244" s="33" t="inlineStr">
        <is>
          <t>LCM</t>
        </is>
      </c>
      <c r="N2244" s="33" t="n">
        <v>200</v>
      </c>
      <c r="O2244" s="33" t="inlineStr">
        <is>
          <t>Free</t>
        </is>
      </c>
      <c r="P2244" s="33" t="inlineStr">
        <is>
          <t>200 Free</t>
        </is>
      </c>
      <c r="Q2244" s="33" t="inlineStr">
        <is>
          <t>LCM_200_FREE</t>
        </is>
      </c>
      <c r="R2244" s="36" t="n">
        <v>167.03</v>
      </c>
      <c r="S2244" s="35">
        <f>IF(R2244="","",IF(R2244&gt;=60,INT(R2244/60)&amp;":"&amp;TEXT(MOD(R2244,60),"00.00"),TEXT(R2244,"0.00")))</f>
        <v/>
      </c>
      <c r="T2244" s="52">
        <f>IFERROR((G2244-INDEX('01_Swimmers'!$E$5:$E$22,MATCH(B2244,'01_Swimmers'!$A$5:$A$22,0)))/'00_Control'!$B$10,"")</f>
        <v/>
      </c>
      <c r="U2244" s="35">
        <f>IF(T2244="","",INT(T2244))</f>
        <v/>
      </c>
      <c r="V2244" s="33" t="inlineStr">
        <is>
          <t>NO</t>
        </is>
      </c>
      <c r="W2244" s="33" t="inlineStr">
        <is>
          <t>YES</t>
        </is>
      </c>
      <c r="X2244" s="33" t="inlineStr">
        <is>
          <t>NO</t>
        </is>
      </c>
      <c r="Y2244" s="33" t="n">
        <v>3</v>
      </c>
      <c r="Z2244" s="33" t="n">
        <v>6</v>
      </c>
      <c r="AA2244" s="33" t="inlineStr">
        <is>
          <t>3</t>
        </is>
      </c>
      <c r="AB2244" s="33" t="inlineStr">
        <is>
          <t>https://www.swimcloud.com/results/41215/event/56/?id=75039333#time75039333</t>
        </is>
      </c>
      <c r="AC2244" s="33" t="inlineStr">
        <is>
          <t>SwimCloud API v6 2026-10-08</t>
        </is>
      </c>
      <c r="AD2244" s="33" t="inlineStr">
        <is>
          <t>Luke Hobson|2013-06-15|LCM|200|Free|167.03|Reno Aquatic Club's Summer Splash|TIM|False</t>
        </is>
      </c>
      <c r="AE2244" s="53">
        <f>G2244+L2244/1000+ROW()/1000000000</f>
        <v/>
      </c>
      <c r="AF2244" s="35">
        <f>IF(C2244&lt;&gt;"Grayson Coulter","",COUNTIFS($C$5:$C$2991,"Grayson Coulter",$Q$5:$Q$2991,Q2244,$AE$5:$AE$2991,"&lt;="&amp;AE2244,$R$5:$R$2991,"&lt;"&amp;R2244))</f>
        <v/>
      </c>
      <c r="AG2244" s="35">
        <f>IF(OR(C2244&lt;&gt;"Grayson Coulter",G2244&lt;'00_Control'!$B$7),"",--(AF2244&lt;5))</f>
        <v/>
      </c>
      <c r="AH2244" s="35">
        <f>IF(OR(C2244&lt;&gt;"Grayson Coulter",G2244&lt;'00_Control'!$B$7),"",--(AF2244&lt;10))</f>
        <v/>
      </c>
      <c r="AI2244" s="35">
        <f>IF(AND(C2244="Grayson Coulter",G2244&gt;='00_Control'!$B$7),"YES","NO")</f>
        <v/>
      </c>
      <c r="AJ2244" s="33" t="inlineStr">
        <is>
          <t>OK</t>
        </is>
      </c>
    </row>
    <row r="2245">
      <c r="A2245" s="33" t="inlineStr">
        <is>
          <t>SM002241</t>
        </is>
      </c>
      <c r="B2245" s="33" t="inlineStr">
        <is>
          <t>SW014</t>
        </is>
      </c>
      <c r="C2245" s="33" t="inlineStr">
        <is>
          <t>Luke Hobson</t>
        </is>
      </c>
      <c r="D2245" s="33" t="inlineStr">
        <is>
          <t>SwimCloud</t>
        </is>
      </c>
      <c r="E2245" s="33" t="inlineStr">
        <is>
          <t>576911</t>
        </is>
      </c>
      <c r="F2245" s="33" t="inlineStr">
        <is>
          <t>75039333</t>
        </is>
      </c>
      <c r="G2245" s="51" t="n">
        <v>41440</v>
      </c>
      <c r="H2245" s="33" t="inlineStr">
        <is>
          <t>Reno Aquatic Club's Summer Splash</t>
        </is>
      </c>
      <c r="I2245" s="33" t="inlineStr">
        <is>
          <t>41215</t>
        </is>
      </c>
      <c r="J2245" s="33" t="inlineStr"/>
      <c r="K2245" s="33" t="inlineStr">
        <is>
          <t>TIM</t>
        </is>
      </c>
      <c r="L2245" s="35">
        <f>IF(K2245="FIN",3,IF(OR(K2245="SEM",K2245="SEMI"),2,IF(OR(K2245="PRE",K2245="HEAT"),1,IF(V2245="YES",4,2))))</f>
        <v/>
      </c>
      <c r="M2245" s="33" t="inlineStr">
        <is>
          <t>LCM</t>
        </is>
      </c>
      <c r="N2245" s="33" t="n">
        <v>200</v>
      </c>
      <c r="O2245" s="33" t="inlineStr">
        <is>
          <t>Free</t>
        </is>
      </c>
      <c r="P2245" s="33" t="inlineStr">
        <is>
          <t>200 Free</t>
        </is>
      </c>
      <c r="Q2245" s="33" t="inlineStr">
        <is>
          <t>LCM_200_FREE</t>
        </is>
      </c>
      <c r="R2245" s="36" t="n">
        <v>168.23</v>
      </c>
      <c r="S2245" s="35">
        <f>IF(R2245="","",IF(R2245&gt;=60,INT(R2245/60)&amp;":"&amp;TEXT(MOD(R2245,60),"00.00"),TEXT(R2245,"0.00")))</f>
        <v/>
      </c>
      <c r="T2245" s="52">
        <f>IFERROR((G2245-INDEX('01_Swimmers'!$E$5:$E$22,MATCH(B2245,'01_Swimmers'!$A$5:$A$22,0)))/'00_Control'!$B$10,"")</f>
        <v/>
      </c>
      <c r="U2245" s="35">
        <f>IF(T2245="","",INT(T2245))</f>
        <v/>
      </c>
      <c r="V2245" s="33" t="inlineStr">
        <is>
          <t>NO</t>
        </is>
      </c>
      <c r="W2245" s="33" t="inlineStr">
        <is>
          <t>YES</t>
        </is>
      </c>
      <c r="X2245" s="33" t="inlineStr">
        <is>
          <t>NO</t>
        </is>
      </c>
      <c r="Y2245" s="33" t="n">
        <v>3</v>
      </c>
      <c r="Z2245" s="33" t="n">
        <v>6</v>
      </c>
      <c r="AA2245" s="33" t="inlineStr">
        <is>
          <t>3</t>
        </is>
      </c>
      <c r="AB2245" s="33" t="inlineStr">
        <is>
          <t>https://www.swimcloud.com/results/41215/event/56/?id=75039333#time75039333</t>
        </is>
      </c>
      <c r="AC2245" s="33" t="inlineStr">
        <is>
          <t>SwimCloud API v6 2026-10-08</t>
        </is>
      </c>
      <c r="AD2245" s="33" t="inlineStr">
        <is>
          <t>Luke Hobson|2013-06-15|LCM|200|Free|168.23|Reno Aquatic Club's Summer Splash|TIM|False</t>
        </is>
      </c>
      <c r="AE2245" s="53">
        <f>G2245+L2245/1000+ROW()/1000000000</f>
        <v/>
      </c>
      <c r="AF2245" s="35">
        <f>IF(C2245&lt;&gt;"Grayson Coulter","",COUNTIFS($C$5:$C$2991,"Grayson Coulter",$Q$5:$Q$2991,Q2245,$AE$5:$AE$2991,"&lt;="&amp;AE2245,$R$5:$R$2991,"&lt;"&amp;R2245))</f>
        <v/>
      </c>
      <c r="AG2245" s="35">
        <f>IF(OR(C2245&lt;&gt;"Grayson Coulter",G2245&lt;'00_Control'!$B$7),"",--(AF2245&lt;5))</f>
        <v/>
      </c>
      <c r="AH2245" s="35">
        <f>IF(OR(C2245&lt;&gt;"Grayson Coulter",G2245&lt;'00_Control'!$B$7),"",--(AF2245&lt;10))</f>
        <v/>
      </c>
      <c r="AI2245" s="35">
        <f>IF(AND(C2245="Grayson Coulter",G2245&gt;='00_Control'!$B$7),"YES","NO")</f>
        <v/>
      </c>
      <c r="AJ2245" s="33" t="inlineStr">
        <is>
          <t>OK</t>
        </is>
      </c>
    </row>
    <row r="2246">
      <c r="A2246" s="33" t="inlineStr">
        <is>
          <t>SM002242</t>
        </is>
      </c>
      <c r="B2246" s="33" t="inlineStr">
        <is>
          <t>SW014</t>
        </is>
      </c>
      <c r="C2246" s="33" t="inlineStr">
        <is>
          <t>Luke Hobson</t>
        </is>
      </c>
      <c r="D2246" s="33" t="inlineStr">
        <is>
          <t>SwimCloud</t>
        </is>
      </c>
      <c r="E2246" s="33" t="inlineStr">
        <is>
          <t>576911</t>
        </is>
      </c>
      <c r="F2246" s="33" t="inlineStr">
        <is>
          <t>75043637</t>
        </is>
      </c>
      <c r="G2246" s="51" t="n">
        <v>41441</v>
      </c>
      <c r="H2246" s="33" t="inlineStr">
        <is>
          <t>Reno Aquatic Club's Summer Splash</t>
        </is>
      </c>
      <c r="I2246" s="33" t="inlineStr">
        <is>
          <t>41215</t>
        </is>
      </c>
      <c r="J2246" s="33" t="inlineStr"/>
      <c r="K2246" s="33" t="inlineStr">
        <is>
          <t>TIM</t>
        </is>
      </c>
      <c r="L2246" s="35">
        <f>IF(K2246="FIN",3,IF(OR(K2246="SEM",K2246="SEMI"),2,IF(OR(K2246="PRE",K2246="HEAT"),1,IF(V2246="YES",4,2))))</f>
        <v/>
      </c>
      <c r="M2246" s="33" t="inlineStr">
        <is>
          <t>LCM</t>
        </is>
      </c>
      <c r="N2246" s="33" t="n">
        <v>100</v>
      </c>
      <c r="O2246" s="33" t="inlineStr">
        <is>
          <t>Fly</t>
        </is>
      </c>
      <c r="P2246" s="33" t="inlineStr">
        <is>
          <t>100 Fly</t>
        </is>
      </c>
      <c r="Q2246" s="33" t="inlineStr">
        <is>
          <t>LCM_100_FLY</t>
        </is>
      </c>
      <c r="R2246" s="36" t="n">
        <v>89.26000000000001</v>
      </c>
      <c r="S2246" s="35">
        <f>IF(R2246="","",IF(R2246&gt;=60,INT(R2246/60)&amp;":"&amp;TEXT(MOD(R2246,60),"00.00"),TEXT(R2246,"0.00")))</f>
        <v/>
      </c>
      <c r="T2246" s="52">
        <f>IFERROR((G2246-INDEX('01_Swimmers'!$E$5:$E$22,MATCH(B2246,'01_Swimmers'!$A$5:$A$22,0)))/'00_Control'!$B$10,"")</f>
        <v/>
      </c>
      <c r="U2246" s="35">
        <f>IF(T2246="","",INT(T2246))</f>
        <v/>
      </c>
      <c r="V2246" s="33" t="inlineStr">
        <is>
          <t>NO</t>
        </is>
      </c>
      <c r="W2246" s="33" t="inlineStr">
        <is>
          <t>YES</t>
        </is>
      </c>
      <c r="X2246" s="33" t="inlineStr">
        <is>
          <t>NO</t>
        </is>
      </c>
      <c r="Y2246" s="33" t="n">
        <v>1</v>
      </c>
      <c r="Z2246" s="33" t="n">
        <v>6</v>
      </c>
      <c r="AA2246" s="33" t="inlineStr">
        <is>
          <t>3</t>
        </is>
      </c>
      <c r="AB2246" s="33" t="inlineStr">
        <is>
          <t>https://www.swimcloud.com/results/41215/event/100/?id=75040995#time75040995</t>
        </is>
      </c>
      <c r="AC2246" s="33" t="inlineStr">
        <is>
          <t>SwimCloud API v6 2026-10-08</t>
        </is>
      </c>
      <c r="AD2246" s="33" t="inlineStr">
        <is>
          <t>Luke Hobson|2013-06-16|LCM|100|Fly|89.26|Reno Aquatic Club's Summer Splash|TIM|False</t>
        </is>
      </c>
      <c r="AE2246" s="53">
        <f>G2246+L2246/1000+ROW()/1000000000</f>
        <v/>
      </c>
      <c r="AF2246" s="35">
        <f>IF(C2246&lt;&gt;"Grayson Coulter","",COUNTIFS($C$5:$C$2991,"Grayson Coulter",$Q$5:$Q$2991,Q2246,$AE$5:$AE$2991,"&lt;="&amp;AE2246,$R$5:$R$2991,"&lt;"&amp;R2246))</f>
        <v/>
      </c>
      <c r="AG2246" s="35">
        <f>IF(OR(C2246&lt;&gt;"Grayson Coulter",G2246&lt;'00_Control'!$B$7),"",--(AF2246&lt;5))</f>
        <v/>
      </c>
      <c r="AH2246" s="35">
        <f>IF(OR(C2246&lt;&gt;"Grayson Coulter",G2246&lt;'00_Control'!$B$7),"",--(AF2246&lt;10))</f>
        <v/>
      </c>
      <c r="AI2246" s="35">
        <f>IF(AND(C2246="Grayson Coulter",G2246&gt;='00_Control'!$B$7),"YES","NO")</f>
        <v/>
      </c>
      <c r="AJ2246" s="33" t="inlineStr">
        <is>
          <t>OK</t>
        </is>
      </c>
    </row>
    <row r="2247">
      <c r="A2247" s="33" t="inlineStr">
        <is>
          <t>SM002243</t>
        </is>
      </c>
      <c r="B2247" s="33" t="inlineStr">
        <is>
          <t>SW014</t>
        </is>
      </c>
      <c r="C2247" s="33" t="inlineStr">
        <is>
          <t>Luke Hobson</t>
        </is>
      </c>
      <c r="D2247" s="33" t="inlineStr">
        <is>
          <t>SwimCloud</t>
        </is>
      </c>
      <c r="E2247" s="33" t="inlineStr">
        <is>
          <t>576911</t>
        </is>
      </c>
      <c r="F2247" s="33" t="inlineStr">
        <is>
          <t>75040995</t>
        </is>
      </c>
      <c r="G2247" s="51" t="n">
        <v>41441</v>
      </c>
      <c r="H2247" s="33" t="inlineStr">
        <is>
          <t>Reno Aquatic Club's Summer Splash</t>
        </is>
      </c>
      <c r="I2247" s="33" t="inlineStr">
        <is>
          <t>41215</t>
        </is>
      </c>
      <c r="J2247" s="33" t="inlineStr"/>
      <c r="K2247" s="33" t="inlineStr">
        <is>
          <t>TIM</t>
        </is>
      </c>
      <c r="L2247" s="35">
        <f>IF(K2247="FIN",3,IF(OR(K2247="SEM",K2247="SEMI"),2,IF(OR(K2247="PRE",K2247="HEAT"),1,IF(V2247="YES",4,2))))</f>
        <v/>
      </c>
      <c r="M2247" s="33" t="inlineStr">
        <is>
          <t>LCM</t>
        </is>
      </c>
      <c r="N2247" s="33" t="n">
        <v>100</v>
      </c>
      <c r="O2247" s="33" t="inlineStr">
        <is>
          <t>Fly</t>
        </is>
      </c>
      <c r="P2247" s="33" t="inlineStr">
        <is>
          <t>100 Fly</t>
        </is>
      </c>
      <c r="Q2247" s="33" t="inlineStr">
        <is>
          <t>LCM_100_FLY</t>
        </is>
      </c>
      <c r="R2247" s="36" t="n">
        <v>89.36</v>
      </c>
      <c r="S2247" s="35">
        <f>IF(R2247="","",IF(R2247&gt;=60,INT(R2247/60)&amp;":"&amp;TEXT(MOD(R2247,60),"00.00"),TEXT(R2247,"0.00")))</f>
        <v/>
      </c>
      <c r="T2247" s="52">
        <f>IFERROR((G2247-INDEX('01_Swimmers'!$E$5:$E$22,MATCH(B2247,'01_Swimmers'!$A$5:$A$22,0)))/'00_Control'!$B$10,"")</f>
        <v/>
      </c>
      <c r="U2247" s="35">
        <f>IF(T2247="","",INT(T2247))</f>
        <v/>
      </c>
      <c r="V2247" s="33" t="inlineStr">
        <is>
          <t>NO</t>
        </is>
      </c>
      <c r="W2247" s="33" t="inlineStr">
        <is>
          <t>YES</t>
        </is>
      </c>
      <c r="X2247" s="33" t="inlineStr">
        <is>
          <t>NO</t>
        </is>
      </c>
      <c r="Y2247" s="33" t="n">
        <v>1</v>
      </c>
      <c r="Z2247" s="33" t="n">
        <v>6</v>
      </c>
      <c r="AA2247" s="33" t="inlineStr">
        <is>
          <t>3</t>
        </is>
      </c>
      <c r="AB2247" s="33" t="inlineStr">
        <is>
          <t>https://www.swimcloud.com/results/41215/event/100/?id=75040995#time75040995</t>
        </is>
      </c>
      <c r="AC2247" s="33" t="inlineStr">
        <is>
          <t>SwimCloud API v6 2026-10-08</t>
        </is>
      </c>
      <c r="AD2247" s="33" t="inlineStr">
        <is>
          <t>Luke Hobson|2013-06-16|LCM|100|Fly|89.36|Reno Aquatic Club's Summer Splash|TIM|False</t>
        </is>
      </c>
      <c r="AE2247" s="53">
        <f>G2247+L2247/1000+ROW()/1000000000</f>
        <v/>
      </c>
      <c r="AF2247" s="35">
        <f>IF(C2247&lt;&gt;"Grayson Coulter","",COUNTIFS($C$5:$C$2991,"Grayson Coulter",$Q$5:$Q$2991,Q2247,$AE$5:$AE$2991,"&lt;="&amp;AE2247,$R$5:$R$2991,"&lt;"&amp;R2247))</f>
        <v/>
      </c>
      <c r="AG2247" s="35">
        <f>IF(OR(C2247&lt;&gt;"Grayson Coulter",G2247&lt;'00_Control'!$B$7),"",--(AF2247&lt;5))</f>
        <v/>
      </c>
      <c r="AH2247" s="35">
        <f>IF(OR(C2247&lt;&gt;"Grayson Coulter",G2247&lt;'00_Control'!$B$7),"",--(AF2247&lt;10))</f>
        <v/>
      </c>
      <c r="AI2247" s="35">
        <f>IF(AND(C2247="Grayson Coulter",G2247&gt;='00_Control'!$B$7),"YES","NO")</f>
        <v/>
      </c>
      <c r="AJ2247" s="33" t="inlineStr">
        <is>
          <t>OK</t>
        </is>
      </c>
    </row>
    <row r="2248">
      <c r="A2248" s="33" t="inlineStr">
        <is>
          <t>SM002244</t>
        </is>
      </c>
      <c r="B2248" s="33" t="inlineStr">
        <is>
          <t>SW014</t>
        </is>
      </c>
      <c r="C2248" s="33" t="inlineStr">
        <is>
          <t>Luke Hobson</t>
        </is>
      </c>
      <c r="D2248" s="33" t="inlineStr">
        <is>
          <t>SwimCloud</t>
        </is>
      </c>
      <c r="E2248" s="33" t="inlineStr">
        <is>
          <t>576911</t>
        </is>
      </c>
      <c r="F2248" s="33" t="inlineStr">
        <is>
          <t>73772842</t>
        </is>
      </c>
      <c r="G2248" s="51" t="n">
        <v>41467</v>
      </c>
      <c r="H2248" s="33" t="inlineStr">
        <is>
          <t>2013 PC OAPB LCM JO</t>
        </is>
      </c>
      <c r="I2248" s="33" t="inlineStr">
        <is>
          <t>224056</t>
        </is>
      </c>
      <c r="J2248" s="33" t="inlineStr"/>
      <c r="K2248" s="33" t="inlineStr">
        <is>
          <t>PRE</t>
        </is>
      </c>
      <c r="L2248" s="35">
        <f>IF(K2248="FIN",3,IF(OR(K2248="SEM",K2248="SEMI"),2,IF(OR(K2248="PRE",K2248="HEAT"),1,IF(V2248="YES",4,2))))</f>
        <v/>
      </c>
      <c r="M2248" s="33" t="inlineStr">
        <is>
          <t>LCM</t>
        </is>
      </c>
      <c r="N2248" s="33" t="n">
        <v>100</v>
      </c>
      <c r="O2248" s="33" t="inlineStr">
        <is>
          <t>Fly</t>
        </is>
      </c>
      <c r="P2248" s="33" t="inlineStr">
        <is>
          <t>100 Fly</t>
        </is>
      </c>
      <c r="Q2248" s="33" t="inlineStr">
        <is>
          <t>LCM_100_FLY</t>
        </is>
      </c>
      <c r="R2248" s="36" t="n">
        <v>87.19</v>
      </c>
      <c r="S2248" s="35">
        <f>IF(R2248="","",IF(R2248&gt;=60,INT(R2248/60)&amp;":"&amp;TEXT(MOD(R2248,60),"00.00"),TEXT(R2248,"0.00")))</f>
        <v/>
      </c>
      <c r="T2248" s="52">
        <f>IFERROR((G2248-INDEX('01_Swimmers'!$E$5:$E$22,MATCH(B2248,'01_Swimmers'!$A$5:$A$22,0)))/'00_Control'!$B$10,"")</f>
        <v/>
      </c>
      <c r="U2248" s="35">
        <f>IF(T2248="","",INT(T2248))</f>
        <v/>
      </c>
      <c r="V2248" s="33" t="inlineStr">
        <is>
          <t>NO</t>
        </is>
      </c>
      <c r="W2248" s="33" t="inlineStr">
        <is>
          <t>YES</t>
        </is>
      </c>
      <c r="X2248" s="33" t="inlineStr">
        <is>
          <t>NO</t>
        </is>
      </c>
      <c r="Y2248" s="33" t="n">
        <v>1</v>
      </c>
      <c r="Z2248" s="33" t="n">
        <v>6</v>
      </c>
      <c r="AA2248" s="33" t="inlineStr">
        <is>
          <t>4</t>
        </is>
      </c>
      <c r="AB2248" s="33" t="inlineStr">
        <is>
          <t>https://www.swimcloud.com/results/224056/event/12/?id=73772842#time73772842</t>
        </is>
      </c>
      <c r="AC2248" s="33" t="inlineStr">
        <is>
          <t>SwimCloud API v6 2026-10-08</t>
        </is>
      </c>
      <c r="AD2248" s="33" t="inlineStr">
        <is>
          <t>Luke Hobson|2013-07-12|LCM|100|Fly|87.19|2013 PC OAPB LCM JO|PRE|False</t>
        </is>
      </c>
      <c r="AE2248" s="53">
        <f>G2248+L2248/1000+ROW()/1000000000</f>
        <v/>
      </c>
      <c r="AF2248" s="35">
        <f>IF(C2248&lt;&gt;"Grayson Coulter","",COUNTIFS($C$5:$C$2991,"Grayson Coulter",$Q$5:$Q$2991,Q2248,$AE$5:$AE$2991,"&lt;="&amp;AE2248,$R$5:$R$2991,"&lt;"&amp;R2248))</f>
        <v/>
      </c>
      <c r="AG2248" s="35">
        <f>IF(OR(C2248&lt;&gt;"Grayson Coulter",G2248&lt;'00_Control'!$B$7),"",--(AF2248&lt;5))</f>
        <v/>
      </c>
      <c r="AH2248" s="35">
        <f>IF(OR(C2248&lt;&gt;"Grayson Coulter",G2248&lt;'00_Control'!$B$7),"",--(AF2248&lt;10))</f>
        <v/>
      </c>
      <c r="AI2248" s="35">
        <f>IF(AND(C2248="Grayson Coulter",G2248&gt;='00_Control'!$B$7),"YES","NO")</f>
        <v/>
      </c>
      <c r="AJ2248" s="33" t="inlineStr">
        <is>
          <t>OK</t>
        </is>
      </c>
    </row>
    <row r="2249">
      <c r="A2249" s="33" t="inlineStr">
        <is>
          <t>SM002245</t>
        </is>
      </c>
      <c r="B2249" s="33" t="inlineStr">
        <is>
          <t>SW014</t>
        </is>
      </c>
      <c r="C2249" s="33" t="inlineStr">
        <is>
          <t>Luke Hobson</t>
        </is>
      </c>
      <c r="D2249" s="33" t="inlineStr">
        <is>
          <t>SwimCloud</t>
        </is>
      </c>
      <c r="E2249" s="33" t="inlineStr">
        <is>
          <t>576911</t>
        </is>
      </c>
      <c r="F2249" s="33" t="inlineStr">
        <is>
          <t>73772843</t>
        </is>
      </c>
      <c r="G2249" s="51" t="n">
        <v>41467</v>
      </c>
      <c r="H2249" s="33" t="inlineStr">
        <is>
          <t>2013 PC OAPB LCM JO</t>
        </is>
      </c>
      <c r="I2249" s="33" t="inlineStr">
        <is>
          <t>224056</t>
        </is>
      </c>
      <c r="J2249" s="33" t="inlineStr"/>
      <c r="K2249" s="33" t="inlineStr">
        <is>
          <t>FIN</t>
        </is>
      </c>
      <c r="L2249" s="35">
        <f>IF(K2249="FIN",3,IF(OR(K2249="SEM",K2249="SEMI"),2,IF(OR(K2249="PRE",K2249="HEAT"),1,IF(V2249="YES",4,2))))</f>
        <v/>
      </c>
      <c r="M2249" s="33" t="inlineStr">
        <is>
          <t>LCM</t>
        </is>
      </c>
      <c r="N2249" s="33" t="n">
        <v>100</v>
      </c>
      <c r="O2249" s="33" t="inlineStr">
        <is>
          <t>Fly</t>
        </is>
      </c>
      <c r="P2249" s="33" t="inlineStr">
        <is>
          <t>100 Fly</t>
        </is>
      </c>
      <c r="Q2249" s="33" t="inlineStr">
        <is>
          <t>LCM_100_FLY</t>
        </is>
      </c>
      <c r="R2249" s="36" t="n">
        <v>84.94</v>
      </c>
      <c r="S2249" s="35">
        <f>IF(R2249="","",IF(R2249&gt;=60,INT(R2249/60)&amp;":"&amp;TEXT(MOD(R2249,60),"00.00"),TEXT(R2249,"0.00")))</f>
        <v/>
      </c>
      <c r="T2249" s="52">
        <f>IFERROR((G2249-INDEX('01_Swimmers'!$E$5:$E$22,MATCH(B2249,'01_Swimmers'!$A$5:$A$22,0)))/'00_Control'!$B$10,"")</f>
        <v/>
      </c>
      <c r="U2249" s="35">
        <f>IF(T2249="","",INT(T2249))</f>
        <v/>
      </c>
      <c r="V2249" s="33" t="inlineStr">
        <is>
          <t>NO</t>
        </is>
      </c>
      <c r="W2249" s="33" t="inlineStr">
        <is>
          <t>YES</t>
        </is>
      </c>
      <c r="X2249" s="33" t="inlineStr">
        <is>
          <t>NO</t>
        </is>
      </c>
      <c r="Y2249" s="33" t="n">
        <v>1</v>
      </c>
      <c r="Z2249" s="33" t="n">
        <v>6</v>
      </c>
      <c r="AA2249" s="33" t="inlineStr">
        <is>
          <t>3</t>
        </is>
      </c>
      <c r="AB2249" s="33" t="inlineStr">
        <is>
          <t>https://www.swimcloud.com/results/224056/event/12/?id=73772843#time73772843</t>
        </is>
      </c>
      <c r="AC2249" s="33" t="inlineStr">
        <is>
          <t>SwimCloud API v6 2026-10-08</t>
        </is>
      </c>
      <c r="AD2249" s="33" t="inlineStr">
        <is>
          <t>Luke Hobson|2013-07-12|LCM|100|Fly|84.94|2013 PC OAPB LCM JO|FIN|False</t>
        </is>
      </c>
      <c r="AE2249" s="53">
        <f>G2249+L2249/1000+ROW()/1000000000</f>
        <v/>
      </c>
      <c r="AF2249" s="35">
        <f>IF(C2249&lt;&gt;"Grayson Coulter","",COUNTIFS($C$5:$C$2991,"Grayson Coulter",$Q$5:$Q$2991,Q2249,$AE$5:$AE$2991,"&lt;="&amp;AE2249,$R$5:$R$2991,"&lt;"&amp;R2249))</f>
        <v/>
      </c>
      <c r="AG2249" s="35">
        <f>IF(OR(C2249&lt;&gt;"Grayson Coulter",G2249&lt;'00_Control'!$B$7),"",--(AF2249&lt;5))</f>
        <v/>
      </c>
      <c r="AH2249" s="35">
        <f>IF(OR(C2249&lt;&gt;"Grayson Coulter",G2249&lt;'00_Control'!$B$7),"",--(AF2249&lt;10))</f>
        <v/>
      </c>
      <c r="AI2249" s="35">
        <f>IF(AND(C2249="Grayson Coulter",G2249&gt;='00_Control'!$B$7),"YES","NO")</f>
        <v/>
      </c>
      <c r="AJ2249" s="33" t="inlineStr">
        <is>
          <t>OK</t>
        </is>
      </c>
    </row>
    <row r="2250">
      <c r="A2250" s="33" t="inlineStr">
        <is>
          <t>SM002246</t>
        </is>
      </c>
      <c r="B2250" s="33" t="inlineStr">
        <is>
          <t>SW014</t>
        </is>
      </c>
      <c r="C2250" s="33" t="inlineStr">
        <is>
          <t>Luke Hobson</t>
        </is>
      </c>
      <c r="D2250" s="33" t="inlineStr">
        <is>
          <t>SwimCloud</t>
        </is>
      </c>
      <c r="E2250" s="33" t="inlineStr">
        <is>
          <t>576911</t>
        </is>
      </c>
      <c r="F2250" s="33" t="inlineStr">
        <is>
          <t>73772811</t>
        </is>
      </c>
      <c r="G2250" s="51" t="n">
        <v>41467</v>
      </c>
      <c r="H2250" s="33" t="inlineStr">
        <is>
          <t>2013 PC OAPB LCM JO</t>
        </is>
      </c>
      <c r="I2250" s="33" t="inlineStr">
        <is>
          <t>224056</t>
        </is>
      </c>
      <c r="J2250" s="33" t="inlineStr"/>
      <c r="K2250" s="33" t="inlineStr">
        <is>
          <t>PRE</t>
        </is>
      </c>
      <c r="L2250" s="35">
        <f>IF(K2250="FIN",3,IF(OR(K2250="SEM",K2250="SEMI"),2,IF(OR(K2250="PRE",K2250="HEAT"),1,IF(V2250="YES",4,2))))</f>
        <v/>
      </c>
      <c r="M2250" s="33" t="inlineStr">
        <is>
          <t>LCM</t>
        </is>
      </c>
      <c r="N2250" s="33" t="n">
        <v>100</v>
      </c>
      <c r="O2250" s="33" t="inlineStr">
        <is>
          <t>Free</t>
        </is>
      </c>
      <c r="P2250" s="33" t="inlineStr">
        <is>
          <t>100 Free</t>
        </is>
      </c>
      <c r="Q2250" s="33" t="inlineStr">
        <is>
          <t>LCM_100_FREE</t>
        </is>
      </c>
      <c r="R2250" s="36" t="n">
        <v>77.09999999999999</v>
      </c>
      <c r="S2250" s="35">
        <f>IF(R2250="","",IF(R2250&gt;=60,INT(R2250/60)&amp;":"&amp;TEXT(MOD(R2250,60),"00.00"),TEXT(R2250,"0.00")))</f>
        <v/>
      </c>
      <c r="T2250" s="52">
        <f>IFERROR((G2250-INDEX('01_Swimmers'!$E$5:$E$22,MATCH(B2250,'01_Swimmers'!$A$5:$A$22,0)))/'00_Control'!$B$10,"")</f>
        <v/>
      </c>
      <c r="U2250" s="35">
        <f>IF(T2250="","",INT(T2250))</f>
        <v/>
      </c>
      <c r="V2250" s="33" t="inlineStr">
        <is>
          <t>NO</t>
        </is>
      </c>
      <c r="W2250" s="33" t="inlineStr">
        <is>
          <t>YES</t>
        </is>
      </c>
      <c r="X2250" s="33" t="inlineStr">
        <is>
          <t>NO</t>
        </is>
      </c>
      <c r="Y2250" s="33" t="n">
        <v>2</v>
      </c>
      <c r="Z2250" s="33" t="n">
        <v>2</v>
      </c>
      <c r="AA2250" s="33" t="inlineStr">
        <is>
          <t>13</t>
        </is>
      </c>
      <c r="AB2250" s="33" t="inlineStr">
        <is>
          <t>https://www.swimcloud.com/results/224056/event/4/?id=73772811#time73772811</t>
        </is>
      </c>
      <c r="AC2250" s="33" t="inlineStr">
        <is>
          <t>SwimCloud API v6 2026-10-08</t>
        </is>
      </c>
      <c r="AD2250" s="33" t="inlineStr">
        <is>
          <t>Luke Hobson|2013-07-12|LCM|100|Free|77.1|2013 PC OAPB LCM JO|PRE|False</t>
        </is>
      </c>
      <c r="AE2250" s="53">
        <f>G2250+L2250/1000+ROW()/1000000000</f>
        <v/>
      </c>
      <c r="AF2250" s="35">
        <f>IF(C2250&lt;&gt;"Grayson Coulter","",COUNTIFS($C$5:$C$2991,"Grayson Coulter",$Q$5:$Q$2991,Q2250,$AE$5:$AE$2991,"&lt;="&amp;AE2250,$R$5:$R$2991,"&lt;"&amp;R2250))</f>
        <v/>
      </c>
      <c r="AG2250" s="35">
        <f>IF(OR(C2250&lt;&gt;"Grayson Coulter",G2250&lt;'00_Control'!$B$7),"",--(AF2250&lt;5))</f>
        <v/>
      </c>
      <c r="AH2250" s="35">
        <f>IF(OR(C2250&lt;&gt;"Grayson Coulter",G2250&lt;'00_Control'!$B$7),"",--(AF2250&lt;10))</f>
        <v/>
      </c>
      <c r="AI2250" s="35">
        <f>IF(AND(C2250="Grayson Coulter",G2250&gt;='00_Control'!$B$7),"YES","NO")</f>
        <v/>
      </c>
      <c r="AJ2250" s="33" t="inlineStr">
        <is>
          <t>OK</t>
        </is>
      </c>
    </row>
    <row r="2251">
      <c r="A2251" s="33" t="inlineStr">
        <is>
          <t>SM002247</t>
        </is>
      </c>
      <c r="B2251" s="33" t="inlineStr">
        <is>
          <t>SW014</t>
        </is>
      </c>
      <c r="C2251" s="33" t="inlineStr">
        <is>
          <t>Luke Hobson</t>
        </is>
      </c>
      <c r="D2251" s="33" t="inlineStr">
        <is>
          <t>SwimCloud</t>
        </is>
      </c>
      <c r="E2251" s="33" t="inlineStr">
        <is>
          <t>576911</t>
        </is>
      </c>
      <c r="F2251" s="33" t="inlineStr">
        <is>
          <t>73771324</t>
        </is>
      </c>
      <c r="G2251" s="51" t="n">
        <v>41468</v>
      </c>
      <c r="H2251" s="33" t="inlineStr">
        <is>
          <t>2013 PC OAPB LCM JO</t>
        </is>
      </c>
      <c r="I2251" s="33" t="inlineStr">
        <is>
          <t>224056</t>
        </is>
      </c>
      <c r="J2251" s="33" t="inlineStr"/>
      <c r="K2251" s="33" t="inlineStr">
        <is>
          <t>PRE</t>
        </is>
      </c>
      <c r="L2251" s="35">
        <f>IF(K2251="FIN",3,IF(OR(K2251="SEM",K2251="SEMI"),2,IF(OR(K2251="PRE",K2251="HEAT"),1,IF(V2251="YES",4,2))))</f>
        <v/>
      </c>
      <c r="M2251" s="33" t="inlineStr">
        <is>
          <t>LCM</t>
        </is>
      </c>
      <c r="N2251" s="33" t="n">
        <v>200</v>
      </c>
      <c r="O2251" s="33" t="inlineStr">
        <is>
          <t>Free</t>
        </is>
      </c>
      <c r="P2251" s="33" t="inlineStr">
        <is>
          <t>200 Free</t>
        </is>
      </c>
      <c r="Q2251" s="33" t="inlineStr">
        <is>
          <t>LCM_200_FREE</t>
        </is>
      </c>
      <c r="R2251" s="36" t="n">
        <v>170.59</v>
      </c>
      <c r="S2251" s="35">
        <f>IF(R2251="","",IF(R2251&gt;=60,INT(R2251/60)&amp;":"&amp;TEXT(MOD(R2251,60),"00.00"),TEXT(R2251,"0.00")))</f>
        <v/>
      </c>
      <c r="T2251" s="52">
        <f>IFERROR((G2251-INDEX('01_Swimmers'!$E$5:$E$22,MATCH(B2251,'01_Swimmers'!$A$5:$A$22,0)))/'00_Control'!$B$10,"")</f>
        <v/>
      </c>
      <c r="U2251" s="35">
        <f>IF(T2251="","",INT(T2251))</f>
        <v/>
      </c>
      <c r="V2251" s="33" t="inlineStr">
        <is>
          <t>NO</t>
        </is>
      </c>
      <c r="W2251" s="33" t="inlineStr">
        <is>
          <t>YES</t>
        </is>
      </c>
      <c r="X2251" s="33" t="inlineStr">
        <is>
          <t>NO</t>
        </is>
      </c>
      <c r="Y2251" s="33" t="n">
        <v>4</v>
      </c>
      <c r="Z2251" s="33" t="n">
        <v>2</v>
      </c>
      <c r="AA2251" s="33" t="inlineStr">
        <is>
          <t>21</t>
        </is>
      </c>
      <c r="AB2251" s="33" t="inlineStr">
        <is>
          <t>https://www.swimcloud.com/results/224056/event/44/?id=73771324#time73771324</t>
        </is>
      </c>
      <c r="AC2251" s="33" t="inlineStr">
        <is>
          <t>SwimCloud API v6 2026-10-08</t>
        </is>
      </c>
      <c r="AD2251" s="33" t="inlineStr">
        <is>
          <t>Luke Hobson|2013-07-13|LCM|200|Free|170.59|2013 PC OAPB LCM JO|PRE|False</t>
        </is>
      </c>
      <c r="AE2251" s="53">
        <f>G2251+L2251/1000+ROW()/1000000000</f>
        <v/>
      </c>
      <c r="AF2251" s="35">
        <f>IF(C2251&lt;&gt;"Grayson Coulter","",COUNTIFS($C$5:$C$2991,"Grayson Coulter",$Q$5:$Q$2991,Q2251,$AE$5:$AE$2991,"&lt;="&amp;AE2251,$R$5:$R$2991,"&lt;"&amp;R2251))</f>
        <v/>
      </c>
      <c r="AG2251" s="35">
        <f>IF(OR(C2251&lt;&gt;"Grayson Coulter",G2251&lt;'00_Control'!$B$7),"",--(AF2251&lt;5))</f>
        <v/>
      </c>
      <c r="AH2251" s="35">
        <f>IF(OR(C2251&lt;&gt;"Grayson Coulter",G2251&lt;'00_Control'!$B$7),"",--(AF2251&lt;10))</f>
        <v/>
      </c>
      <c r="AI2251" s="35">
        <f>IF(AND(C2251="Grayson Coulter",G2251&gt;='00_Control'!$B$7),"YES","NO")</f>
        <v/>
      </c>
      <c r="AJ2251" s="33" t="inlineStr">
        <is>
          <t>OK</t>
        </is>
      </c>
    </row>
    <row r="2252">
      <c r="A2252" s="33" t="inlineStr">
        <is>
          <t>SM002248</t>
        </is>
      </c>
      <c r="B2252" s="33" t="inlineStr">
        <is>
          <t>SW014</t>
        </is>
      </c>
      <c r="C2252" s="33" t="inlineStr">
        <is>
          <t>Luke Hobson</t>
        </is>
      </c>
      <c r="D2252" s="33" t="inlineStr">
        <is>
          <t>SwimCloud</t>
        </is>
      </c>
      <c r="E2252" s="33" t="inlineStr">
        <is>
          <t>576911</t>
        </is>
      </c>
      <c r="F2252" s="33" t="inlineStr">
        <is>
          <t>73141700</t>
        </is>
      </c>
      <c r="G2252" s="51" t="n">
        <v>41832</v>
      </c>
      <c r="H2252" s="33" t="inlineStr">
        <is>
          <t>2014 PC Long Course JO's</t>
        </is>
      </c>
      <c r="I2252" s="33" t="inlineStr">
        <is>
          <t>218651</t>
        </is>
      </c>
      <c r="J2252" s="33" t="inlineStr"/>
      <c r="K2252" s="33" t="inlineStr">
        <is>
          <t>PRE</t>
        </is>
      </c>
      <c r="L2252" s="35">
        <f>IF(K2252="FIN",3,IF(OR(K2252="SEM",K2252="SEMI"),2,IF(OR(K2252="PRE",K2252="HEAT"),1,IF(V2252="YES",4,2))))</f>
        <v/>
      </c>
      <c r="M2252" s="33" t="inlineStr">
        <is>
          <t>LCM</t>
        </is>
      </c>
      <c r="N2252" s="33" t="n">
        <v>100</v>
      </c>
      <c r="O2252" s="33" t="inlineStr">
        <is>
          <t>Fly</t>
        </is>
      </c>
      <c r="P2252" s="33" t="inlineStr">
        <is>
          <t>100 Fly</t>
        </is>
      </c>
      <c r="Q2252" s="33" t="inlineStr">
        <is>
          <t>LCM_100_FLY</t>
        </is>
      </c>
      <c r="R2252" s="36" t="n">
        <v>83.22</v>
      </c>
      <c r="S2252" s="35">
        <f>IF(R2252="","",IF(R2252&gt;=60,INT(R2252/60)&amp;":"&amp;TEXT(MOD(R2252,60),"00.00"),TEXT(R2252,"0.00")))</f>
        <v/>
      </c>
      <c r="T2252" s="52">
        <f>IFERROR((G2252-INDEX('01_Swimmers'!$E$5:$E$22,MATCH(B2252,'01_Swimmers'!$A$5:$A$22,0)))/'00_Control'!$B$10,"")</f>
        <v/>
      </c>
      <c r="U2252" s="35">
        <f>IF(T2252="","",INT(T2252))</f>
        <v/>
      </c>
      <c r="V2252" s="33" t="inlineStr">
        <is>
          <t>NO</t>
        </is>
      </c>
      <c r="W2252" s="33" t="inlineStr">
        <is>
          <t>YES</t>
        </is>
      </c>
      <c r="X2252" s="33" t="inlineStr">
        <is>
          <t>NO</t>
        </is>
      </c>
      <c r="Y2252" s="33" t="n">
        <v>1</v>
      </c>
      <c r="Z2252" s="33" t="n">
        <v>2</v>
      </c>
      <c r="AA2252" s="33" t="inlineStr">
        <is>
          <t>23</t>
        </is>
      </c>
      <c r="AB2252" s="33" t="inlineStr">
        <is>
          <t>https://www.swimcloud.com/results/218651/event/50/?id=73141700#time73141700</t>
        </is>
      </c>
      <c r="AC2252" s="33" t="inlineStr">
        <is>
          <t>SwimCloud API v6 2026-10-08</t>
        </is>
      </c>
      <c r="AD2252" s="33" t="inlineStr">
        <is>
          <t>Luke Hobson|2014-07-12|LCM|100|Fly|83.22|2014 PC Long Course JO's|PRE|False</t>
        </is>
      </c>
      <c r="AE2252" s="53">
        <f>G2252+L2252/1000+ROW()/1000000000</f>
        <v/>
      </c>
      <c r="AF2252" s="35">
        <f>IF(C2252&lt;&gt;"Grayson Coulter","",COUNTIFS($C$5:$C$2991,"Grayson Coulter",$Q$5:$Q$2991,Q2252,$AE$5:$AE$2991,"&lt;="&amp;AE2252,$R$5:$R$2991,"&lt;"&amp;R2252))</f>
        <v/>
      </c>
      <c r="AG2252" s="35">
        <f>IF(OR(C2252&lt;&gt;"Grayson Coulter",G2252&lt;'00_Control'!$B$7),"",--(AF2252&lt;5))</f>
        <v/>
      </c>
      <c r="AH2252" s="35">
        <f>IF(OR(C2252&lt;&gt;"Grayson Coulter",G2252&lt;'00_Control'!$B$7),"",--(AF2252&lt;10))</f>
        <v/>
      </c>
      <c r="AI2252" s="35">
        <f>IF(AND(C2252="Grayson Coulter",G2252&gt;='00_Control'!$B$7),"YES","NO")</f>
        <v/>
      </c>
      <c r="AJ2252" s="33" t="inlineStr">
        <is>
          <t>OK</t>
        </is>
      </c>
    </row>
    <row r="2253">
      <c r="A2253" s="33" t="inlineStr">
        <is>
          <t>SM002249</t>
        </is>
      </c>
      <c r="B2253" s="33" t="inlineStr">
        <is>
          <t>SW014</t>
        </is>
      </c>
      <c r="C2253" s="33" t="inlineStr">
        <is>
          <t>Luke Hobson</t>
        </is>
      </c>
      <c r="D2253" s="33" t="inlineStr">
        <is>
          <t>SwimCloud</t>
        </is>
      </c>
      <c r="E2253" s="33" t="inlineStr">
        <is>
          <t>576911</t>
        </is>
      </c>
      <c r="F2253" s="33" t="inlineStr">
        <is>
          <t>73144121</t>
        </is>
      </c>
      <c r="G2253" s="51" t="n">
        <v>41832</v>
      </c>
      <c r="H2253" s="33" t="inlineStr">
        <is>
          <t>2014 PC Long Course JO's</t>
        </is>
      </c>
      <c r="I2253" s="33" t="inlineStr">
        <is>
          <t>218651</t>
        </is>
      </c>
      <c r="J2253" s="33" t="inlineStr"/>
      <c r="K2253" s="33" t="inlineStr">
        <is>
          <t>PRE</t>
        </is>
      </c>
      <c r="L2253" s="35">
        <f>IF(K2253="FIN",3,IF(OR(K2253="SEM",K2253="SEMI"),2,IF(OR(K2253="PRE",K2253="HEAT"),1,IF(V2253="YES",4,2))))</f>
        <v/>
      </c>
      <c r="M2253" s="33" t="inlineStr">
        <is>
          <t>LCM</t>
        </is>
      </c>
      <c r="N2253" s="33" t="n">
        <v>200</v>
      </c>
      <c r="O2253" s="33" t="inlineStr">
        <is>
          <t>Free</t>
        </is>
      </c>
      <c r="P2253" s="33" t="inlineStr">
        <is>
          <t>200 Free</t>
        </is>
      </c>
      <c r="Q2253" s="33" t="inlineStr">
        <is>
          <t>LCM_200_FREE</t>
        </is>
      </c>
      <c r="R2253" s="36" t="n">
        <v>157.99</v>
      </c>
      <c r="S2253" s="35">
        <f>IF(R2253="","",IF(R2253&gt;=60,INT(R2253/60)&amp;":"&amp;TEXT(MOD(R2253,60),"00.00"),TEXT(R2253,"0.00")))</f>
        <v/>
      </c>
      <c r="T2253" s="52">
        <f>IFERROR((G2253-INDEX('01_Swimmers'!$E$5:$E$22,MATCH(B2253,'01_Swimmers'!$A$5:$A$22,0)))/'00_Control'!$B$10,"")</f>
        <v/>
      </c>
      <c r="U2253" s="35">
        <f>IF(T2253="","",INT(T2253))</f>
        <v/>
      </c>
      <c r="V2253" s="33" t="inlineStr">
        <is>
          <t>NO</t>
        </is>
      </c>
      <c r="W2253" s="33" t="inlineStr">
        <is>
          <t>YES</t>
        </is>
      </c>
      <c r="X2253" s="33" t="inlineStr">
        <is>
          <t>NO</t>
        </is>
      </c>
      <c r="Y2253" s="33" t="n">
        <v>1</v>
      </c>
      <c r="Z2253" s="33" t="n">
        <v>8</v>
      </c>
      <c r="AA2253" s="33" t="inlineStr">
        <is>
          <t>18</t>
        </is>
      </c>
      <c r="AB2253" s="33" t="inlineStr">
        <is>
          <t>https://www.swimcloud.com/results/218651/event/42/?id=73144121#time73144121</t>
        </is>
      </c>
      <c r="AC2253" s="33" t="inlineStr">
        <is>
          <t>SwimCloud API v6 2026-10-08</t>
        </is>
      </c>
      <c r="AD2253" s="33" t="inlineStr">
        <is>
          <t>Luke Hobson|2014-07-12|LCM|200|Free|157.99|2014 PC Long Course JO's|PRE|False</t>
        </is>
      </c>
      <c r="AE2253" s="53">
        <f>G2253+L2253/1000+ROW()/1000000000</f>
        <v/>
      </c>
      <c r="AF2253" s="35">
        <f>IF(C2253&lt;&gt;"Grayson Coulter","",COUNTIFS($C$5:$C$2991,"Grayson Coulter",$Q$5:$Q$2991,Q2253,$AE$5:$AE$2991,"&lt;="&amp;AE2253,$R$5:$R$2991,"&lt;"&amp;R2253))</f>
        <v/>
      </c>
      <c r="AG2253" s="35">
        <f>IF(OR(C2253&lt;&gt;"Grayson Coulter",G2253&lt;'00_Control'!$B$7),"",--(AF2253&lt;5))</f>
        <v/>
      </c>
      <c r="AH2253" s="35">
        <f>IF(OR(C2253&lt;&gt;"Grayson Coulter",G2253&lt;'00_Control'!$B$7),"",--(AF2253&lt;10))</f>
        <v/>
      </c>
      <c r="AI2253" s="35">
        <f>IF(AND(C2253="Grayson Coulter",G2253&gt;='00_Control'!$B$7),"YES","NO")</f>
        <v/>
      </c>
      <c r="AJ2253" s="33" t="inlineStr">
        <is>
          <t>OK</t>
        </is>
      </c>
    </row>
    <row r="2254">
      <c r="A2254" s="33" t="inlineStr">
        <is>
          <t>SM002250</t>
        </is>
      </c>
      <c r="B2254" s="33" t="inlineStr">
        <is>
          <t>SW014</t>
        </is>
      </c>
      <c r="C2254" s="33" t="inlineStr">
        <is>
          <t>Luke Hobson</t>
        </is>
      </c>
      <c r="D2254" s="33" t="inlineStr">
        <is>
          <t>SwimCloud</t>
        </is>
      </c>
      <c r="E2254" s="33" t="inlineStr">
        <is>
          <t>576911</t>
        </is>
      </c>
      <c r="F2254" s="33" t="inlineStr">
        <is>
          <t>73145772</t>
        </is>
      </c>
      <c r="G2254" s="51" t="n">
        <v>41833</v>
      </c>
      <c r="H2254" s="33" t="inlineStr">
        <is>
          <t>2014 PC Long Course JO's</t>
        </is>
      </c>
      <c r="I2254" s="33" t="inlineStr">
        <is>
          <t>218651</t>
        </is>
      </c>
      <c r="J2254" s="33" t="inlineStr"/>
      <c r="K2254" s="33" t="inlineStr">
        <is>
          <t>PRE</t>
        </is>
      </c>
      <c r="L2254" s="35">
        <f>IF(K2254="FIN",3,IF(OR(K2254="SEM",K2254="SEMI"),2,IF(OR(K2254="PRE",K2254="HEAT"),1,IF(V2254="YES",4,2))))</f>
        <v/>
      </c>
      <c r="M2254" s="33" t="inlineStr">
        <is>
          <t>LCM</t>
        </is>
      </c>
      <c r="N2254" s="33" t="n">
        <v>100</v>
      </c>
      <c r="O2254" s="33" t="inlineStr">
        <is>
          <t>Free</t>
        </is>
      </c>
      <c r="P2254" s="33" t="inlineStr">
        <is>
          <t>100 Free</t>
        </is>
      </c>
      <c r="Q2254" s="33" t="inlineStr">
        <is>
          <t>LCM_100_FREE</t>
        </is>
      </c>
      <c r="R2254" s="36" t="n">
        <v>71.92</v>
      </c>
      <c r="S2254" s="35">
        <f>IF(R2254="","",IF(R2254&gt;=60,INT(R2254/60)&amp;":"&amp;TEXT(MOD(R2254,60),"00.00"),TEXT(R2254,"0.00")))</f>
        <v/>
      </c>
      <c r="T2254" s="52">
        <f>IFERROR((G2254-INDEX('01_Swimmers'!$E$5:$E$22,MATCH(B2254,'01_Swimmers'!$A$5:$A$22,0)))/'00_Control'!$B$10,"")</f>
        <v/>
      </c>
      <c r="U2254" s="35">
        <f>IF(T2254="","",INT(T2254))</f>
        <v/>
      </c>
      <c r="V2254" s="33" t="inlineStr">
        <is>
          <t>NO</t>
        </is>
      </c>
      <c r="W2254" s="33" t="inlineStr">
        <is>
          <t>YES</t>
        </is>
      </c>
      <c r="X2254" s="33" t="inlineStr">
        <is>
          <t>NO</t>
        </is>
      </c>
      <c r="Y2254" s="33" t="n">
        <v>1</v>
      </c>
      <c r="Z2254" s="33" t="n">
        <v>2</v>
      </c>
      <c r="AA2254" s="33" t="inlineStr">
        <is>
          <t>21</t>
        </is>
      </c>
      <c r="AB2254" s="33" t="inlineStr">
        <is>
          <t>https://www.swimcloud.com/results/218651/event/90/?id=73145772#time73145772</t>
        </is>
      </c>
      <c r="AC2254" s="33" t="inlineStr">
        <is>
          <t>SwimCloud API v6 2026-10-08</t>
        </is>
      </c>
      <c r="AD2254" s="33" t="inlineStr">
        <is>
          <t>Luke Hobson|2014-07-13|LCM|100|Free|71.92|2014 PC Long Course JO's|PRE|False</t>
        </is>
      </c>
      <c r="AE2254" s="53">
        <f>G2254+L2254/1000+ROW()/1000000000</f>
        <v/>
      </c>
      <c r="AF2254" s="35">
        <f>IF(C2254&lt;&gt;"Grayson Coulter","",COUNTIFS($C$5:$C$2991,"Grayson Coulter",$Q$5:$Q$2991,Q2254,$AE$5:$AE$2991,"&lt;="&amp;AE2254,$R$5:$R$2991,"&lt;"&amp;R2254))</f>
        <v/>
      </c>
      <c r="AG2254" s="35">
        <f>IF(OR(C2254&lt;&gt;"Grayson Coulter",G2254&lt;'00_Control'!$B$7),"",--(AF2254&lt;5))</f>
        <v/>
      </c>
      <c r="AH2254" s="35">
        <f>IF(OR(C2254&lt;&gt;"Grayson Coulter",G2254&lt;'00_Control'!$B$7),"",--(AF2254&lt;10))</f>
        <v/>
      </c>
      <c r="AI2254" s="35">
        <f>IF(AND(C2254="Grayson Coulter",G2254&gt;='00_Control'!$B$7),"YES","NO")</f>
        <v/>
      </c>
      <c r="AJ2254" s="33" t="inlineStr">
        <is>
          <t>OK</t>
        </is>
      </c>
    </row>
    <row r="2255">
      <c r="A2255" s="33" t="inlineStr">
        <is>
          <t>SM002251</t>
        </is>
      </c>
      <c r="B2255" s="33" t="inlineStr">
        <is>
          <t>SW014</t>
        </is>
      </c>
      <c r="C2255" s="33" t="inlineStr">
        <is>
          <t>Luke Hobson</t>
        </is>
      </c>
      <c r="D2255" s="33" t="inlineStr">
        <is>
          <t>SwimCloud</t>
        </is>
      </c>
      <c r="E2255" s="33" t="inlineStr">
        <is>
          <t>576911</t>
        </is>
      </c>
      <c r="F2255" s="33" t="inlineStr">
        <is>
          <t>57117845</t>
        </is>
      </c>
      <c r="G2255" s="51" t="n">
        <v>42146</v>
      </c>
      <c r="H2255" s="33" t="inlineStr">
        <is>
          <t>Intermountain Classic LC 2015</t>
        </is>
      </c>
      <c r="I2255" s="33" t="inlineStr">
        <is>
          <t>219699</t>
        </is>
      </c>
      <c r="J2255" s="33" t="inlineStr"/>
      <c r="K2255" s="33" t="inlineStr">
        <is>
          <t>TIM</t>
        </is>
      </c>
      <c r="L2255" s="35">
        <f>IF(K2255="FIN",3,IF(OR(K2255="SEM",K2255="SEMI"),2,IF(OR(K2255="PRE",K2255="HEAT"),1,IF(V2255="YES",4,2))))</f>
        <v/>
      </c>
      <c r="M2255" s="33" t="inlineStr">
        <is>
          <t>LCM</t>
        </is>
      </c>
      <c r="N2255" s="33" t="n">
        <v>400</v>
      </c>
      <c r="O2255" s="33" t="inlineStr">
        <is>
          <t>Free</t>
        </is>
      </c>
      <c r="P2255" s="33" t="inlineStr">
        <is>
          <t>400 Free</t>
        </is>
      </c>
      <c r="Q2255" s="33" t="inlineStr">
        <is>
          <t>LCM_400_FREE</t>
        </is>
      </c>
      <c r="R2255" s="36" t="n">
        <v>318.39</v>
      </c>
      <c r="S2255" s="35">
        <f>IF(R2255="","",IF(R2255&gt;=60,INT(R2255/60)&amp;":"&amp;TEXT(MOD(R2255,60),"00.00"),TEXT(R2255,"0.00")))</f>
        <v/>
      </c>
      <c r="T2255" s="52">
        <f>IFERROR((G2255-INDEX('01_Swimmers'!$E$5:$E$22,MATCH(B2255,'01_Swimmers'!$A$5:$A$22,0)))/'00_Control'!$B$10,"")</f>
        <v/>
      </c>
      <c r="U2255" s="35">
        <f>IF(T2255="","",INT(T2255))</f>
        <v/>
      </c>
      <c r="V2255" s="33" t="inlineStr">
        <is>
          <t>NO</t>
        </is>
      </c>
      <c r="W2255" s="33" t="inlineStr">
        <is>
          <t>YES</t>
        </is>
      </c>
      <c r="X2255" s="33" t="inlineStr">
        <is>
          <t>NO</t>
        </is>
      </c>
      <c r="Y2255" s="33" t="n">
        <v>1</v>
      </c>
      <c r="Z2255" s="33" t="n">
        <v>5</v>
      </c>
      <c r="AA2255" s="33" t="inlineStr">
        <is>
          <t>1</t>
        </is>
      </c>
      <c r="AB2255" s="33" t="inlineStr">
        <is>
          <t>https://www.swimcloud.com/results/219699/event/8/?id=57115323#time57115323</t>
        </is>
      </c>
      <c r="AC2255" s="33" t="inlineStr">
        <is>
          <t>SwimCloud API v6 2026-10-08</t>
        </is>
      </c>
      <c r="AD2255" s="33" t="inlineStr">
        <is>
          <t>Luke Hobson|2015-05-22|LCM|400|Free|318.39|Intermountain Classic LC 2015|TIM|False</t>
        </is>
      </c>
      <c r="AE2255" s="53">
        <f>G2255+L2255/1000+ROW()/1000000000</f>
        <v/>
      </c>
      <c r="AF2255" s="35">
        <f>IF(C2255&lt;&gt;"Grayson Coulter","",COUNTIFS($C$5:$C$2991,"Grayson Coulter",$Q$5:$Q$2991,Q2255,$AE$5:$AE$2991,"&lt;="&amp;AE2255,$R$5:$R$2991,"&lt;"&amp;R2255))</f>
        <v/>
      </c>
      <c r="AG2255" s="35">
        <f>IF(OR(C2255&lt;&gt;"Grayson Coulter",G2255&lt;'00_Control'!$B$7),"",--(AF2255&lt;5))</f>
        <v/>
      </c>
      <c r="AH2255" s="35">
        <f>IF(OR(C2255&lt;&gt;"Grayson Coulter",G2255&lt;'00_Control'!$B$7),"",--(AF2255&lt;10))</f>
        <v/>
      </c>
      <c r="AI2255" s="35">
        <f>IF(AND(C2255="Grayson Coulter",G2255&gt;='00_Control'!$B$7),"YES","NO")</f>
        <v/>
      </c>
      <c r="AJ2255" s="33" t="inlineStr">
        <is>
          <t>OK</t>
        </is>
      </c>
    </row>
    <row r="2256">
      <c r="A2256" s="33" t="inlineStr">
        <is>
          <t>SM002252</t>
        </is>
      </c>
      <c r="B2256" s="33" t="inlineStr">
        <is>
          <t>SW014</t>
        </is>
      </c>
      <c r="C2256" s="33" t="inlineStr">
        <is>
          <t>Luke Hobson</t>
        </is>
      </c>
      <c r="D2256" s="33" t="inlineStr">
        <is>
          <t>SwimCloud</t>
        </is>
      </c>
      <c r="E2256" s="33" t="inlineStr">
        <is>
          <t>576911</t>
        </is>
      </c>
      <c r="F2256" s="33" t="inlineStr">
        <is>
          <t>57115323</t>
        </is>
      </c>
      <c r="G2256" s="51" t="n">
        <v>42146</v>
      </c>
      <c r="H2256" s="33" t="inlineStr">
        <is>
          <t>Intermountain Classic LC 2015</t>
        </is>
      </c>
      <c r="I2256" s="33" t="inlineStr">
        <is>
          <t>219699</t>
        </is>
      </c>
      <c r="J2256" s="33" t="inlineStr"/>
      <c r="K2256" s="33" t="inlineStr">
        <is>
          <t>TIM</t>
        </is>
      </c>
      <c r="L2256" s="35">
        <f>IF(K2256="FIN",3,IF(OR(K2256="SEM",K2256="SEMI"),2,IF(OR(K2256="PRE",K2256="HEAT"),1,IF(V2256="YES",4,2))))</f>
        <v/>
      </c>
      <c r="M2256" s="33" t="inlineStr">
        <is>
          <t>LCM</t>
        </is>
      </c>
      <c r="N2256" s="33" t="n">
        <v>400</v>
      </c>
      <c r="O2256" s="33" t="inlineStr">
        <is>
          <t>Free</t>
        </is>
      </c>
      <c r="P2256" s="33" t="inlineStr">
        <is>
          <t>400 Free</t>
        </is>
      </c>
      <c r="Q2256" s="33" t="inlineStr">
        <is>
          <t>LCM_400_FREE</t>
        </is>
      </c>
      <c r="R2256" s="36" t="n">
        <v>323.39</v>
      </c>
      <c r="S2256" s="35">
        <f>IF(R2256="","",IF(R2256&gt;=60,INT(R2256/60)&amp;":"&amp;TEXT(MOD(R2256,60),"00.00"),TEXT(R2256,"0.00")))</f>
        <v/>
      </c>
      <c r="T2256" s="52">
        <f>IFERROR((G2256-INDEX('01_Swimmers'!$E$5:$E$22,MATCH(B2256,'01_Swimmers'!$A$5:$A$22,0)))/'00_Control'!$B$10,"")</f>
        <v/>
      </c>
      <c r="U2256" s="35">
        <f>IF(T2256="","",INT(T2256))</f>
        <v/>
      </c>
      <c r="V2256" s="33" t="inlineStr">
        <is>
          <t>NO</t>
        </is>
      </c>
      <c r="W2256" s="33" t="inlineStr">
        <is>
          <t>YES</t>
        </is>
      </c>
      <c r="X2256" s="33" t="inlineStr">
        <is>
          <t>NO</t>
        </is>
      </c>
      <c r="Y2256" s="33" t="n">
        <v>1</v>
      </c>
      <c r="Z2256" s="33" t="n">
        <v>5</v>
      </c>
      <c r="AA2256" s="33" t="inlineStr">
        <is>
          <t>1</t>
        </is>
      </c>
      <c r="AB2256" s="33" t="inlineStr">
        <is>
          <t>https://www.swimcloud.com/results/219699/event/8/?id=57115323#time57115323</t>
        </is>
      </c>
      <c r="AC2256" s="33" t="inlineStr">
        <is>
          <t>SwimCloud API v6 2026-10-08</t>
        </is>
      </c>
      <c r="AD2256" s="33" t="inlineStr">
        <is>
          <t>Luke Hobson|2015-05-22|LCM|400|Free|323.39|Intermountain Classic LC 2015|TIM|False</t>
        </is>
      </c>
      <c r="AE2256" s="53">
        <f>G2256+L2256/1000+ROW()/1000000000</f>
        <v/>
      </c>
      <c r="AF2256" s="35">
        <f>IF(C2256&lt;&gt;"Grayson Coulter","",COUNTIFS($C$5:$C$2991,"Grayson Coulter",$Q$5:$Q$2991,Q2256,$AE$5:$AE$2991,"&lt;="&amp;AE2256,$R$5:$R$2991,"&lt;"&amp;R2256))</f>
        <v/>
      </c>
      <c r="AG2256" s="35">
        <f>IF(OR(C2256&lt;&gt;"Grayson Coulter",G2256&lt;'00_Control'!$B$7),"",--(AF2256&lt;5))</f>
        <v/>
      </c>
      <c r="AH2256" s="35">
        <f>IF(OR(C2256&lt;&gt;"Grayson Coulter",G2256&lt;'00_Control'!$B$7),"",--(AF2256&lt;10))</f>
        <v/>
      </c>
      <c r="AI2256" s="35">
        <f>IF(AND(C2256="Grayson Coulter",G2256&gt;='00_Control'!$B$7),"YES","NO")</f>
        <v/>
      </c>
      <c r="AJ2256" s="33" t="inlineStr">
        <is>
          <t>OK</t>
        </is>
      </c>
    </row>
    <row r="2257">
      <c r="A2257" s="33" t="inlineStr">
        <is>
          <t>SM002253</t>
        </is>
      </c>
      <c r="B2257" s="33" t="inlineStr">
        <is>
          <t>SW014</t>
        </is>
      </c>
      <c r="C2257" s="33" t="inlineStr">
        <is>
          <t>Luke Hobson</t>
        </is>
      </c>
      <c r="D2257" s="33" t="inlineStr">
        <is>
          <t>SwimCloud</t>
        </is>
      </c>
      <c r="E2257" s="33" t="inlineStr">
        <is>
          <t>576911</t>
        </is>
      </c>
      <c r="F2257" s="33" t="inlineStr">
        <is>
          <t>57117579</t>
        </is>
      </c>
      <c r="G2257" s="51" t="n">
        <v>42147</v>
      </c>
      <c r="H2257" s="33" t="inlineStr">
        <is>
          <t>Intermountain Classic LC 2015</t>
        </is>
      </c>
      <c r="I2257" s="33" t="inlineStr">
        <is>
          <t>219699</t>
        </is>
      </c>
      <c r="J2257" s="33" t="inlineStr"/>
      <c r="K2257" s="33" t="inlineStr">
        <is>
          <t>TIM</t>
        </is>
      </c>
      <c r="L2257" s="35">
        <f>IF(K2257="FIN",3,IF(OR(K2257="SEM",K2257="SEMI"),2,IF(OR(K2257="PRE",K2257="HEAT"),1,IF(V2257="YES",4,2))))</f>
        <v/>
      </c>
      <c r="M2257" s="33" t="inlineStr">
        <is>
          <t>LCM</t>
        </is>
      </c>
      <c r="N2257" s="33" t="n">
        <v>100</v>
      </c>
      <c r="O2257" s="33" t="inlineStr">
        <is>
          <t>Fly</t>
        </is>
      </c>
      <c r="P2257" s="33" t="inlineStr">
        <is>
          <t>100 Fly</t>
        </is>
      </c>
      <c r="Q2257" s="33" t="inlineStr">
        <is>
          <t>LCM_100_FLY</t>
        </is>
      </c>
      <c r="R2257" s="36" t="n">
        <v>76.61</v>
      </c>
      <c r="S2257" s="35">
        <f>IF(R2257="","",IF(R2257&gt;=60,INT(R2257/60)&amp;":"&amp;TEXT(MOD(R2257,60),"00.00"),TEXT(R2257,"0.00")))</f>
        <v/>
      </c>
      <c r="T2257" s="52">
        <f>IFERROR((G2257-INDEX('01_Swimmers'!$E$5:$E$22,MATCH(B2257,'01_Swimmers'!$A$5:$A$22,0)))/'00_Control'!$B$10,"")</f>
        <v/>
      </c>
      <c r="U2257" s="35">
        <f>IF(T2257="","",INT(T2257))</f>
        <v/>
      </c>
      <c r="V2257" s="33" t="inlineStr">
        <is>
          <t>NO</t>
        </is>
      </c>
      <c r="W2257" s="33" t="inlineStr">
        <is>
          <t>YES</t>
        </is>
      </c>
      <c r="X2257" s="33" t="inlineStr">
        <is>
          <t>NO</t>
        </is>
      </c>
      <c r="Y2257" s="33" t="n">
        <v>1</v>
      </c>
      <c r="Z2257" s="33" t="n">
        <v>5</v>
      </c>
      <c r="AA2257" s="33" t="inlineStr">
        <is>
          <t>1</t>
        </is>
      </c>
      <c r="AB2257" s="33" t="inlineStr">
        <is>
          <t>https://www.swimcloud.com/results/219699/event/32/?id=57115331#time57115331</t>
        </is>
      </c>
      <c r="AC2257" s="33" t="inlineStr">
        <is>
          <t>SwimCloud API v6 2026-10-08</t>
        </is>
      </c>
      <c r="AD2257" s="33" t="inlineStr">
        <is>
          <t>Luke Hobson|2015-05-23|LCM|100|Fly|76.61|Intermountain Classic LC 2015|TIM|False</t>
        </is>
      </c>
      <c r="AE2257" s="53">
        <f>G2257+L2257/1000+ROW()/1000000000</f>
        <v/>
      </c>
      <c r="AF2257" s="35">
        <f>IF(C2257&lt;&gt;"Grayson Coulter","",COUNTIFS($C$5:$C$2991,"Grayson Coulter",$Q$5:$Q$2991,Q2257,$AE$5:$AE$2991,"&lt;="&amp;AE2257,$R$5:$R$2991,"&lt;"&amp;R2257))</f>
        <v/>
      </c>
      <c r="AG2257" s="35">
        <f>IF(OR(C2257&lt;&gt;"Grayson Coulter",G2257&lt;'00_Control'!$B$7),"",--(AF2257&lt;5))</f>
        <v/>
      </c>
      <c r="AH2257" s="35">
        <f>IF(OR(C2257&lt;&gt;"Grayson Coulter",G2257&lt;'00_Control'!$B$7),"",--(AF2257&lt;10))</f>
        <v/>
      </c>
      <c r="AI2257" s="35">
        <f>IF(AND(C2257="Grayson Coulter",G2257&gt;='00_Control'!$B$7),"YES","NO")</f>
        <v/>
      </c>
      <c r="AJ2257" s="33" t="inlineStr">
        <is>
          <t>OK</t>
        </is>
      </c>
    </row>
    <row r="2258">
      <c r="A2258" s="33" t="inlineStr">
        <is>
          <t>SM002254</t>
        </is>
      </c>
      <c r="B2258" s="33" t="inlineStr">
        <is>
          <t>SW014</t>
        </is>
      </c>
      <c r="C2258" s="33" t="inlineStr">
        <is>
          <t>Luke Hobson</t>
        </is>
      </c>
      <c r="D2258" s="33" t="inlineStr">
        <is>
          <t>SwimCloud</t>
        </is>
      </c>
      <c r="E2258" s="33" t="inlineStr">
        <is>
          <t>576911</t>
        </is>
      </c>
      <c r="F2258" s="33" t="inlineStr">
        <is>
          <t>57115331</t>
        </is>
      </c>
      <c r="G2258" s="51" t="n">
        <v>42147</v>
      </c>
      <c r="H2258" s="33" t="inlineStr">
        <is>
          <t>Intermountain Classic LC 2015</t>
        </is>
      </c>
      <c r="I2258" s="33" t="inlineStr">
        <is>
          <t>219699</t>
        </is>
      </c>
      <c r="J2258" s="33" t="inlineStr"/>
      <c r="K2258" s="33" t="inlineStr">
        <is>
          <t>TIM</t>
        </is>
      </c>
      <c r="L2258" s="35">
        <f>IF(K2258="FIN",3,IF(OR(K2258="SEM",K2258="SEMI"),2,IF(OR(K2258="PRE",K2258="HEAT"),1,IF(V2258="YES",4,2))))</f>
        <v/>
      </c>
      <c r="M2258" s="33" t="inlineStr">
        <is>
          <t>LCM</t>
        </is>
      </c>
      <c r="N2258" s="33" t="n">
        <v>100</v>
      </c>
      <c r="O2258" s="33" t="inlineStr">
        <is>
          <t>Fly</t>
        </is>
      </c>
      <c r="P2258" s="33" t="inlineStr">
        <is>
          <t>100 Fly</t>
        </is>
      </c>
      <c r="Q2258" s="33" t="inlineStr">
        <is>
          <t>LCM_100_FLY</t>
        </is>
      </c>
      <c r="R2258" s="36" t="n">
        <v>76.70999999999999</v>
      </c>
      <c r="S2258" s="35">
        <f>IF(R2258="","",IF(R2258&gt;=60,INT(R2258/60)&amp;":"&amp;TEXT(MOD(R2258,60),"00.00"),TEXT(R2258,"0.00")))</f>
        <v/>
      </c>
      <c r="T2258" s="52">
        <f>IFERROR((G2258-INDEX('01_Swimmers'!$E$5:$E$22,MATCH(B2258,'01_Swimmers'!$A$5:$A$22,0)))/'00_Control'!$B$10,"")</f>
        <v/>
      </c>
      <c r="U2258" s="35">
        <f>IF(T2258="","",INT(T2258))</f>
        <v/>
      </c>
      <c r="V2258" s="33" t="inlineStr">
        <is>
          <t>NO</t>
        </is>
      </c>
      <c r="W2258" s="33" t="inlineStr">
        <is>
          <t>YES</t>
        </is>
      </c>
      <c r="X2258" s="33" t="inlineStr">
        <is>
          <t>NO</t>
        </is>
      </c>
      <c r="Y2258" s="33" t="n">
        <v>1</v>
      </c>
      <c r="Z2258" s="33" t="n">
        <v>5</v>
      </c>
      <c r="AA2258" s="33" t="inlineStr">
        <is>
          <t>1</t>
        </is>
      </c>
      <c r="AB2258" s="33" t="inlineStr">
        <is>
          <t>https://www.swimcloud.com/results/219699/event/32/?id=57115331#time57115331</t>
        </is>
      </c>
      <c r="AC2258" s="33" t="inlineStr">
        <is>
          <t>SwimCloud API v6 2026-10-08</t>
        </is>
      </c>
      <c r="AD2258" s="33" t="inlineStr">
        <is>
          <t>Luke Hobson|2015-05-23|LCM|100|Fly|76.71|Intermountain Classic LC 2015|TIM|False</t>
        </is>
      </c>
      <c r="AE2258" s="53">
        <f>G2258+L2258/1000+ROW()/1000000000</f>
        <v/>
      </c>
      <c r="AF2258" s="35">
        <f>IF(C2258&lt;&gt;"Grayson Coulter","",COUNTIFS($C$5:$C$2991,"Grayson Coulter",$Q$5:$Q$2991,Q2258,$AE$5:$AE$2991,"&lt;="&amp;AE2258,$R$5:$R$2991,"&lt;"&amp;R2258))</f>
        <v/>
      </c>
      <c r="AG2258" s="35">
        <f>IF(OR(C2258&lt;&gt;"Grayson Coulter",G2258&lt;'00_Control'!$B$7),"",--(AF2258&lt;5))</f>
        <v/>
      </c>
      <c r="AH2258" s="35">
        <f>IF(OR(C2258&lt;&gt;"Grayson Coulter",G2258&lt;'00_Control'!$B$7),"",--(AF2258&lt;10))</f>
        <v/>
      </c>
      <c r="AI2258" s="35">
        <f>IF(AND(C2258="Grayson Coulter",G2258&gt;='00_Control'!$B$7),"YES","NO")</f>
        <v/>
      </c>
      <c r="AJ2258" s="33" t="inlineStr">
        <is>
          <t>OK</t>
        </is>
      </c>
    </row>
    <row r="2259">
      <c r="A2259" s="33" t="inlineStr">
        <is>
          <t>SM002255</t>
        </is>
      </c>
      <c r="B2259" s="33" t="inlineStr">
        <is>
          <t>SW014</t>
        </is>
      </c>
      <c r="C2259" s="33" t="inlineStr">
        <is>
          <t>Luke Hobson</t>
        </is>
      </c>
      <c r="D2259" s="33" t="inlineStr">
        <is>
          <t>SwimCloud</t>
        </is>
      </c>
      <c r="E2259" s="33" t="inlineStr">
        <is>
          <t>576911</t>
        </is>
      </c>
      <c r="F2259" s="33" t="inlineStr">
        <is>
          <t>57117315</t>
        </is>
      </c>
      <c r="G2259" s="51" t="n">
        <v>42147</v>
      </c>
      <c r="H2259" s="33" t="inlineStr">
        <is>
          <t>Intermountain Classic LC 2015</t>
        </is>
      </c>
      <c r="I2259" s="33" t="inlineStr">
        <is>
          <t>219699</t>
        </is>
      </c>
      <c r="J2259" s="33" t="inlineStr"/>
      <c r="K2259" s="33" t="inlineStr">
        <is>
          <t>TIM</t>
        </is>
      </c>
      <c r="L2259" s="35">
        <f>IF(K2259="FIN",3,IF(OR(K2259="SEM",K2259="SEMI"),2,IF(OR(K2259="PRE",K2259="HEAT"),1,IF(V2259="YES",4,2))))</f>
        <v/>
      </c>
      <c r="M2259" s="33" t="inlineStr">
        <is>
          <t>LCM</t>
        </is>
      </c>
      <c r="N2259" s="33" t="n">
        <v>100</v>
      </c>
      <c r="O2259" s="33" t="inlineStr">
        <is>
          <t>Free</t>
        </is>
      </c>
      <c r="P2259" s="33" t="inlineStr">
        <is>
          <t>100 Free</t>
        </is>
      </c>
      <c r="Q2259" s="33" t="inlineStr">
        <is>
          <t>LCM_100_FREE</t>
        </is>
      </c>
      <c r="R2259" s="36" t="n">
        <v>66.08</v>
      </c>
      <c r="S2259" s="35">
        <f>IF(R2259="","",IF(R2259&gt;=60,INT(R2259/60)&amp;":"&amp;TEXT(MOD(R2259,60),"00.00"),TEXT(R2259,"0.00")))</f>
        <v/>
      </c>
      <c r="T2259" s="52">
        <f>IFERROR((G2259-INDEX('01_Swimmers'!$E$5:$E$22,MATCH(B2259,'01_Swimmers'!$A$5:$A$22,0)))/'00_Control'!$B$10,"")</f>
        <v/>
      </c>
      <c r="U2259" s="35">
        <f>IF(T2259="","",INT(T2259))</f>
        <v/>
      </c>
      <c r="V2259" s="33" t="inlineStr">
        <is>
          <t>NO</t>
        </is>
      </c>
      <c r="W2259" s="33" t="inlineStr">
        <is>
          <t>YES</t>
        </is>
      </c>
      <c r="X2259" s="33" t="inlineStr">
        <is>
          <t>NO</t>
        </is>
      </c>
      <c r="Y2259" s="33" t="n">
        <v>1</v>
      </c>
      <c r="Z2259" s="33" t="n">
        <v>1</v>
      </c>
      <c r="AA2259" s="33" t="inlineStr">
        <is>
          <t>1</t>
        </is>
      </c>
      <c r="AB2259" s="33" t="inlineStr">
        <is>
          <t>https://www.swimcloud.com/results/219699/event/24/?id=57113991#time57113991</t>
        </is>
      </c>
      <c r="AC2259" s="33" t="inlineStr">
        <is>
          <t>SwimCloud API v6 2026-10-08</t>
        </is>
      </c>
      <c r="AD2259" s="33" t="inlineStr">
        <is>
          <t>Luke Hobson|2015-05-23|LCM|100|Free|66.08|Intermountain Classic LC 2015|TIM|False</t>
        </is>
      </c>
      <c r="AE2259" s="53">
        <f>G2259+L2259/1000+ROW()/1000000000</f>
        <v/>
      </c>
      <c r="AF2259" s="35">
        <f>IF(C2259&lt;&gt;"Grayson Coulter","",COUNTIFS($C$5:$C$2991,"Grayson Coulter",$Q$5:$Q$2991,Q2259,$AE$5:$AE$2991,"&lt;="&amp;AE2259,$R$5:$R$2991,"&lt;"&amp;R2259))</f>
        <v/>
      </c>
      <c r="AG2259" s="35">
        <f>IF(OR(C2259&lt;&gt;"Grayson Coulter",G2259&lt;'00_Control'!$B$7),"",--(AF2259&lt;5))</f>
        <v/>
      </c>
      <c r="AH2259" s="35">
        <f>IF(OR(C2259&lt;&gt;"Grayson Coulter",G2259&lt;'00_Control'!$B$7),"",--(AF2259&lt;10))</f>
        <v/>
      </c>
      <c r="AI2259" s="35">
        <f>IF(AND(C2259="Grayson Coulter",G2259&gt;='00_Control'!$B$7),"YES","NO")</f>
        <v/>
      </c>
      <c r="AJ2259" s="33" t="inlineStr">
        <is>
          <t>OK</t>
        </is>
      </c>
    </row>
    <row r="2260">
      <c r="A2260" s="33" t="inlineStr">
        <is>
          <t>SM002256</t>
        </is>
      </c>
      <c r="B2260" s="33" t="inlineStr">
        <is>
          <t>SW014</t>
        </is>
      </c>
      <c r="C2260" s="33" t="inlineStr">
        <is>
          <t>Luke Hobson</t>
        </is>
      </c>
      <c r="D2260" s="33" t="inlineStr">
        <is>
          <t>SwimCloud</t>
        </is>
      </c>
      <c r="E2260" s="33" t="inlineStr">
        <is>
          <t>576911</t>
        </is>
      </c>
      <c r="F2260" s="33" t="inlineStr">
        <is>
          <t>57113991</t>
        </is>
      </c>
      <c r="G2260" s="51" t="n">
        <v>42147</v>
      </c>
      <c r="H2260" s="33" t="inlineStr">
        <is>
          <t>Intermountain Classic LC 2015</t>
        </is>
      </c>
      <c r="I2260" s="33" t="inlineStr">
        <is>
          <t>219699</t>
        </is>
      </c>
      <c r="J2260" s="33" t="inlineStr"/>
      <c r="K2260" s="33" t="inlineStr">
        <is>
          <t>TIM</t>
        </is>
      </c>
      <c r="L2260" s="35">
        <f>IF(K2260="FIN",3,IF(OR(K2260="SEM",K2260="SEMI"),2,IF(OR(K2260="PRE",K2260="HEAT"),1,IF(V2260="YES",4,2))))</f>
        <v/>
      </c>
      <c r="M2260" s="33" t="inlineStr">
        <is>
          <t>LCM</t>
        </is>
      </c>
      <c r="N2260" s="33" t="n">
        <v>100</v>
      </c>
      <c r="O2260" s="33" t="inlineStr">
        <is>
          <t>Free</t>
        </is>
      </c>
      <c r="P2260" s="33" t="inlineStr">
        <is>
          <t>100 Free</t>
        </is>
      </c>
      <c r="Q2260" s="33" t="inlineStr">
        <is>
          <t>LCM_100_FREE</t>
        </is>
      </c>
      <c r="R2260" s="36" t="n">
        <v>66.18000000000001</v>
      </c>
      <c r="S2260" s="35">
        <f>IF(R2260="","",IF(R2260&gt;=60,INT(R2260/60)&amp;":"&amp;TEXT(MOD(R2260,60),"00.00"),TEXT(R2260,"0.00")))</f>
        <v/>
      </c>
      <c r="T2260" s="52">
        <f>IFERROR((G2260-INDEX('01_Swimmers'!$E$5:$E$22,MATCH(B2260,'01_Swimmers'!$A$5:$A$22,0)))/'00_Control'!$B$10,"")</f>
        <v/>
      </c>
      <c r="U2260" s="35">
        <f>IF(T2260="","",INT(T2260))</f>
        <v/>
      </c>
      <c r="V2260" s="33" t="inlineStr">
        <is>
          <t>NO</t>
        </is>
      </c>
      <c r="W2260" s="33" t="inlineStr">
        <is>
          <t>YES</t>
        </is>
      </c>
      <c r="X2260" s="33" t="inlineStr">
        <is>
          <t>NO</t>
        </is>
      </c>
      <c r="Y2260" s="33" t="n">
        <v>1</v>
      </c>
      <c r="Z2260" s="33" t="n">
        <v>1</v>
      </c>
      <c r="AA2260" s="33" t="inlineStr">
        <is>
          <t>1</t>
        </is>
      </c>
      <c r="AB2260" s="33" t="inlineStr">
        <is>
          <t>https://www.swimcloud.com/results/219699/event/24/?id=57113991#time57113991</t>
        </is>
      </c>
      <c r="AC2260" s="33" t="inlineStr">
        <is>
          <t>SwimCloud API v6 2026-10-08</t>
        </is>
      </c>
      <c r="AD2260" s="33" t="inlineStr">
        <is>
          <t>Luke Hobson|2015-05-23|LCM|100|Free|66.18|Intermountain Classic LC 2015|TIM|False</t>
        </is>
      </c>
      <c r="AE2260" s="53">
        <f>G2260+L2260/1000+ROW()/1000000000</f>
        <v/>
      </c>
      <c r="AF2260" s="35">
        <f>IF(C2260&lt;&gt;"Grayson Coulter","",COUNTIFS($C$5:$C$2991,"Grayson Coulter",$Q$5:$Q$2991,Q2260,$AE$5:$AE$2991,"&lt;="&amp;AE2260,$R$5:$R$2991,"&lt;"&amp;R2260))</f>
        <v/>
      </c>
      <c r="AG2260" s="35">
        <f>IF(OR(C2260&lt;&gt;"Grayson Coulter",G2260&lt;'00_Control'!$B$7),"",--(AF2260&lt;5))</f>
        <v/>
      </c>
      <c r="AH2260" s="35">
        <f>IF(OR(C2260&lt;&gt;"Grayson Coulter",G2260&lt;'00_Control'!$B$7),"",--(AF2260&lt;10))</f>
        <v/>
      </c>
      <c r="AI2260" s="35">
        <f>IF(AND(C2260="Grayson Coulter",G2260&gt;='00_Control'!$B$7),"YES","NO")</f>
        <v/>
      </c>
      <c r="AJ2260" s="33" t="inlineStr">
        <is>
          <t>OK</t>
        </is>
      </c>
    </row>
    <row r="2261">
      <c r="A2261" s="33" t="inlineStr">
        <is>
          <t>SM002257</t>
        </is>
      </c>
      <c r="B2261" s="33" t="inlineStr">
        <is>
          <t>SW014</t>
        </is>
      </c>
      <c r="C2261" s="33" t="inlineStr">
        <is>
          <t>Luke Hobson</t>
        </is>
      </c>
      <c r="D2261" s="33" t="inlineStr">
        <is>
          <t>SwimCloud</t>
        </is>
      </c>
      <c r="E2261" s="33" t="inlineStr">
        <is>
          <t>576911</t>
        </is>
      </c>
      <c r="F2261" s="33" t="inlineStr">
        <is>
          <t>57117670</t>
        </is>
      </c>
      <c r="G2261" s="51" t="n">
        <v>42148</v>
      </c>
      <c r="H2261" s="33" t="inlineStr">
        <is>
          <t>Intermountain Classic LC 2015</t>
        </is>
      </c>
      <c r="I2261" s="33" t="inlineStr">
        <is>
          <t>219699</t>
        </is>
      </c>
      <c r="J2261" s="33" t="inlineStr"/>
      <c r="K2261" s="33" t="inlineStr">
        <is>
          <t>TIM</t>
        </is>
      </c>
      <c r="L2261" s="35">
        <f>IF(K2261="FIN",3,IF(OR(K2261="SEM",K2261="SEMI"),2,IF(OR(K2261="PRE",K2261="HEAT"),1,IF(V2261="YES",4,2))))</f>
        <v/>
      </c>
      <c r="M2261" s="33" t="inlineStr">
        <is>
          <t>LCM</t>
        </is>
      </c>
      <c r="N2261" s="33" t="n">
        <v>200</v>
      </c>
      <c r="O2261" s="33" t="inlineStr">
        <is>
          <t>Free</t>
        </is>
      </c>
      <c r="P2261" s="33" t="inlineStr">
        <is>
          <t>200 Free</t>
        </is>
      </c>
      <c r="Q2261" s="33" t="inlineStr">
        <is>
          <t>LCM_200_FREE</t>
        </is>
      </c>
      <c r="R2261" s="36" t="n">
        <v>143.53</v>
      </c>
      <c r="S2261" s="35">
        <f>IF(R2261="","",IF(R2261&gt;=60,INT(R2261/60)&amp;":"&amp;TEXT(MOD(R2261,60),"00.00"),TEXT(R2261,"0.00")))</f>
        <v/>
      </c>
      <c r="T2261" s="52">
        <f>IFERROR((G2261-INDEX('01_Swimmers'!$E$5:$E$22,MATCH(B2261,'01_Swimmers'!$A$5:$A$22,0)))/'00_Control'!$B$10,"")</f>
        <v/>
      </c>
      <c r="U2261" s="35">
        <f>IF(T2261="","",INT(T2261))</f>
        <v/>
      </c>
      <c r="V2261" s="33" t="inlineStr">
        <is>
          <t>NO</t>
        </is>
      </c>
      <c r="W2261" s="33" t="inlineStr">
        <is>
          <t>YES</t>
        </is>
      </c>
      <c r="X2261" s="33" t="inlineStr">
        <is>
          <t>NO</t>
        </is>
      </c>
      <c r="Y2261" s="33" t="n">
        <v>1</v>
      </c>
      <c r="Z2261" s="33" t="n">
        <v>6</v>
      </c>
      <c r="AA2261" s="33" t="inlineStr">
        <is>
          <t>2</t>
        </is>
      </c>
      <c r="AB2261" s="33" t="inlineStr">
        <is>
          <t>https://www.swimcloud.com/results/219699/event/50/?id=57114498#time57114498</t>
        </is>
      </c>
      <c r="AC2261" s="33" t="inlineStr">
        <is>
          <t>SwimCloud API v6 2026-10-08</t>
        </is>
      </c>
      <c r="AD2261" s="33" t="inlineStr">
        <is>
          <t>Luke Hobson|2015-05-24|LCM|200|Free|143.53|Intermountain Classic LC 2015|TIM|False</t>
        </is>
      </c>
      <c r="AE2261" s="53">
        <f>G2261+L2261/1000+ROW()/1000000000</f>
        <v/>
      </c>
      <c r="AF2261" s="35">
        <f>IF(C2261&lt;&gt;"Grayson Coulter","",COUNTIFS($C$5:$C$2991,"Grayson Coulter",$Q$5:$Q$2991,Q2261,$AE$5:$AE$2991,"&lt;="&amp;AE2261,$R$5:$R$2991,"&lt;"&amp;R2261))</f>
        <v/>
      </c>
      <c r="AG2261" s="35">
        <f>IF(OR(C2261&lt;&gt;"Grayson Coulter",G2261&lt;'00_Control'!$B$7),"",--(AF2261&lt;5))</f>
        <v/>
      </c>
      <c r="AH2261" s="35">
        <f>IF(OR(C2261&lt;&gt;"Grayson Coulter",G2261&lt;'00_Control'!$B$7),"",--(AF2261&lt;10))</f>
        <v/>
      </c>
      <c r="AI2261" s="35">
        <f>IF(AND(C2261="Grayson Coulter",G2261&gt;='00_Control'!$B$7),"YES","NO")</f>
        <v/>
      </c>
      <c r="AJ2261" s="33" t="inlineStr">
        <is>
          <t>OK</t>
        </is>
      </c>
    </row>
    <row r="2262">
      <c r="A2262" s="33" t="inlineStr">
        <is>
          <t>SM002258</t>
        </is>
      </c>
      <c r="B2262" s="33" t="inlineStr">
        <is>
          <t>SW014</t>
        </is>
      </c>
      <c r="C2262" s="33" t="inlineStr">
        <is>
          <t>Luke Hobson</t>
        </is>
      </c>
      <c r="D2262" s="33" t="inlineStr">
        <is>
          <t>SwimCloud</t>
        </is>
      </c>
      <c r="E2262" s="33" t="inlineStr">
        <is>
          <t>576911</t>
        </is>
      </c>
      <c r="F2262" s="33" t="inlineStr">
        <is>
          <t>57114498</t>
        </is>
      </c>
      <c r="G2262" s="51" t="n">
        <v>42148</v>
      </c>
      <c r="H2262" s="33" t="inlineStr">
        <is>
          <t>Intermountain Classic LC 2015</t>
        </is>
      </c>
      <c r="I2262" s="33" t="inlineStr">
        <is>
          <t>219699</t>
        </is>
      </c>
      <c r="J2262" s="33" t="inlineStr"/>
      <c r="K2262" s="33" t="inlineStr">
        <is>
          <t>TIM</t>
        </is>
      </c>
      <c r="L2262" s="35">
        <f>IF(K2262="FIN",3,IF(OR(K2262="SEM",K2262="SEMI"),2,IF(OR(K2262="PRE",K2262="HEAT"),1,IF(V2262="YES",4,2))))</f>
        <v/>
      </c>
      <c r="M2262" s="33" t="inlineStr">
        <is>
          <t>LCM</t>
        </is>
      </c>
      <c r="N2262" s="33" t="n">
        <v>200</v>
      </c>
      <c r="O2262" s="33" t="inlineStr">
        <is>
          <t>Free</t>
        </is>
      </c>
      <c r="P2262" s="33" t="inlineStr">
        <is>
          <t>200 Free</t>
        </is>
      </c>
      <c r="Q2262" s="33" t="inlineStr">
        <is>
          <t>LCM_200_FREE</t>
        </is>
      </c>
      <c r="R2262" s="36" t="n">
        <v>144.73</v>
      </c>
      <c r="S2262" s="35">
        <f>IF(R2262="","",IF(R2262&gt;=60,INT(R2262/60)&amp;":"&amp;TEXT(MOD(R2262,60),"00.00"),TEXT(R2262,"0.00")))</f>
        <v/>
      </c>
      <c r="T2262" s="52">
        <f>IFERROR((G2262-INDEX('01_Swimmers'!$E$5:$E$22,MATCH(B2262,'01_Swimmers'!$A$5:$A$22,0)))/'00_Control'!$B$10,"")</f>
        <v/>
      </c>
      <c r="U2262" s="35">
        <f>IF(T2262="","",INT(T2262))</f>
        <v/>
      </c>
      <c r="V2262" s="33" t="inlineStr">
        <is>
          <t>NO</t>
        </is>
      </c>
      <c r="W2262" s="33" t="inlineStr">
        <is>
          <t>YES</t>
        </is>
      </c>
      <c r="X2262" s="33" t="inlineStr">
        <is>
          <t>NO</t>
        </is>
      </c>
      <c r="Y2262" s="33" t="n">
        <v>1</v>
      </c>
      <c r="Z2262" s="33" t="n">
        <v>6</v>
      </c>
      <c r="AA2262" s="33" t="inlineStr">
        <is>
          <t>2</t>
        </is>
      </c>
      <c r="AB2262" s="33" t="inlineStr">
        <is>
          <t>https://www.swimcloud.com/results/219699/event/50/?id=57114498#time57114498</t>
        </is>
      </c>
      <c r="AC2262" s="33" t="inlineStr">
        <is>
          <t>SwimCloud API v6 2026-10-08</t>
        </is>
      </c>
      <c r="AD2262" s="33" t="inlineStr">
        <is>
          <t>Luke Hobson|2015-05-24|LCM|200|Free|144.73|Intermountain Classic LC 2015|TIM|False</t>
        </is>
      </c>
      <c r="AE2262" s="53">
        <f>G2262+L2262/1000+ROW()/1000000000</f>
        <v/>
      </c>
      <c r="AF2262" s="35">
        <f>IF(C2262&lt;&gt;"Grayson Coulter","",COUNTIFS($C$5:$C$2991,"Grayson Coulter",$Q$5:$Q$2991,Q2262,$AE$5:$AE$2991,"&lt;="&amp;AE2262,$R$5:$R$2991,"&lt;"&amp;R2262))</f>
        <v/>
      </c>
      <c r="AG2262" s="35">
        <f>IF(OR(C2262&lt;&gt;"Grayson Coulter",G2262&lt;'00_Control'!$B$7),"",--(AF2262&lt;5))</f>
        <v/>
      </c>
      <c r="AH2262" s="35">
        <f>IF(OR(C2262&lt;&gt;"Grayson Coulter",G2262&lt;'00_Control'!$B$7),"",--(AF2262&lt;10))</f>
        <v/>
      </c>
      <c r="AI2262" s="35">
        <f>IF(AND(C2262="Grayson Coulter",G2262&gt;='00_Control'!$B$7),"YES","NO")</f>
        <v/>
      </c>
      <c r="AJ2262" s="33" t="inlineStr">
        <is>
          <t>OK</t>
        </is>
      </c>
    </row>
    <row r="2263">
      <c r="A2263" s="33" t="inlineStr">
        <is>
          <t>SM002259</t>
        </is>
      </c>
      <c r="B2263" s="33" t="inlineStr">
        <is>
          <t>SW014</t>
        </is>
      </c>
      <c r="C2263" s="33" t="inlineStr">
        <is>
          <t>Luke Hobson</t>
        </is>
      </c>
      <c r="D2263" s="33" t="inlineStr">
        <is>
          <t>SwimCloud</t>
        </is>
      </c>
      <c r="E2263" s="33" t="inlineStr">
        <is>
          <t>576911</t>
        </is>
      </c>
      <c r="F2263" s="33" t="inlineStr">
        <is>
          <t>69816570</t>
        </is>
      </c>
      <c r="G2263" s="51" t="n">
        <v>42181</v>
      </c>
      <c r="H2263" s="33" t="inlineStr">
        <is>
          <t>2015 PC Reno Age Group Open</t>
        </is>
      </c>
      <c r="I2263" s="33" t="inlineStr">
        <is>
          <t>78721</t>
        </is>
      </c>
      <c r="J2263" s="33" t="inlineStr"/>
      <c r="K2263" s="33" t="inlineStr">
        <is>
          <t>TIM</t>
        </is>
      </c>
      <c r="L2263" s="35">
        <f>IF(K2263="FIN",3,IF(OR(K2263="SEM",K2263="SEMI"),2,IF(OR(K2263="PRE",K2263="HEAT"),1,IF(V2263="YES",4,2))))</f>
        <v/>
      </c>
      <c r="M2263" s="33" t="inlineStr">
        <is>
          <t>LCM</t>
        </is>
      </c>
      <c r="N2263" s="33" t="n">
        <v>100</v>
      </c>
      <c r="O2263" s="33" t="inlineStr">
        <is>
          <t>Free</t>
        </is>
      </c>
      <c r="P2263" s="33" t="inlineStr">
        <is>
          <t>100 Free</t>
        </is>
      </c>
      <c r="Q2263" s="33" t="inlineStr">
        <is>
          <t>LCM_100_FREE</t>
        </is>
      </c>
      <c r="R2263" s="36" t="n">
        <v>66.34</v>
      </c>
      <c r="S2263" s="35">
        <f>IF(R2263="","",IF(R2263&gt;=60,INT(R2263/60)&amp;":"&amp;TEXT(MOD(R2263,60),"00.00"),TEXT(R2263,"0.00")))</f>
        <v/>
      </c>
      <c r="T2263" s="52">
        <f>IFERROR((G2263-INDEX('01_Swimmers'!$E$5:$E$22,MATCH(B2263,'01_Swimmers'!$A$5:$A$22,0)))/'00_Control'!$B$10,"")</f>
        <v/>
      </c>
      <c r="U2263" s="35">
        <f>IF(T2263="","",INT(T2263))</f>
        <v/>
      </c>
      <c r="V2263" s="33" t="inlineStr">
        <is>
          <t>NO</t>
        </is>
      </c>
      <c r="W2263" s="33" t="inlineStr">
        <is>
          <t>YES</t>
        </is>
      </c>
      <c r="X2263" s="33" t="inlineStr">
        <is>
          <t>NO</t>
        </is>
      </c>
      <c r="Y2263" s="33" t="n">
        <v>1</v>
      </c>
      <c r="Z2263" s="33" t="n">
        <v>3</v>
      </c>
      <c r="AA2263" s="33" t="inlineStr">
        <is>
          <t>1</t>
        </is>
      </c>
      <c r="AB2263" s="33" t="inlineStr">
        <is>
          <t>https://www.swimcloud.com/results/78721/event/16/?id=69812397#time69812397</t>
        </is>
      </c>
      <c r="AC2263" s="33" t="inlineStr">
        <is>
          <t>SwimCloud API v6 2026-10-08</t>
        </is>
      </c>
      <c r="AD2263" s="33" t="inlineStr">
        <is>
          <t>Luke Hobson|2015-06-26|LCM|100|Free|66.34|2015 PC Reno Age Group Open|TIM|False</t>
        </is>
      </c>
      <c r="AE2263" s="53">
        <f>G2263+L2263/1000+ROW()/1000000000</f>
        <v/>
      </c>
      <c r="AF2263" s="35">
        <f>IF(C2263&lt;&gt;"Grayson Coulter","",COUNTIFS($C$5:$C$2991,"Grayson Coulter",$Q$5:$Q$2991,Q2263,$AE$5:$AE$2991,"&lt;="&amp;AE2263,$R$5:$R$2991,"&lt;"&amp;R2263))</f>
        <v/>
      </c>
      <c r="AG2263" s="35">
        <f>IF(OR(C2263&lt;&gt;"Grayson Coulter",G2263&lt;'00_Control'!$B$7),"",--(AF2263&lt;5))</f>
        <v/>
      </c>
      <c r="AH2263" s="35">
        <f>IF(OR(C2263&lt;&gt;"Grayson Coulter",G2263&lt;'00_Control'!$B$7),"",--(AF2263&lt;10))</f>
        <v/>
      </c>
      <c r="AI2263" s="35">
        <f>IF(AND(C2263="Grayson Coulter",G2263&gt;='00_Control'!$B$7),"YES","NO")</f>
        <v/>
      </c>
      <c r="AJ2263" s="33" t="inlineStr">
        <is>
          <t>OK</t>
        </is>
      </c>
    </row>
    <row r="2264">
      <c r="A2264" s="33" t="inlineStr">
        <is>
          <t>SM002260</t>
        </is>
      </c>
      <c r="B2264" s="33" t="inlineStr">
        <is>
          <t>SW014</t>
        </is>
      </c>
      <c r="C2264" s="33" t="inlineStr">
        <is>
          <t>Luke Hobson</t>
        </is>
      </c>
      <c r="D2264" s="33" t="inlineStr">
        <is>
          <t>SwimCloud</t>
        </is>
      </c>
      <c r="E2264" s="33" t="inlineStr">
        <is>
          <t>576911</t>
        </is>
      </c>
      <c r="F2264" s="33" t="inlineStr">
        <is>
          <t>69812397</t>
        </is>
      </c>
      <c r="G2264" s="51" t="n">
        <v>42181</v>
      </c>
      <c r="H2264" s="33" t="inlineStr">
        <is>
          <t>2015 PC Reno Age Group Open</t>
        </is>
      </c>
      <c r="I2264" s="33" t="inlineStr">
        <is>
          <t>78721</t>
        </is>
      </c>
      <c r="J2264" s="33" t="inlineStr"/>
      <c r="K2264" s="33" t="inlineStr">
        <is>
          <t>TIM</t>
        </is>
      </c>
      <c r="L2264" s="35">
        <f>IF(K2264="FIN",3,IF(OR(K2264="SEM",K2264="SEMI"),2,IF(OR(K2264="PRE",K2264="HEAT"),1,IF(V2264="YES",4,2))))</f>
        <v/>
      </c>
      <c r="M2264" s="33" t="inlineStr">
        <is>
          <t>LCM</t>
        </is>
      </c>
      <c r="N2264" s="33" t="n">
        <v>100</v>
      </c>
      <c r="O2264" s="33" t="inlineStr">
        <is>
          <t>Free</t>
        </is>
      </c>
      <c r="P2264" s="33" t="inlineStr">
        <is>
          <t>100 Free</t>
        </is>
      </c>
      <c r="Q2264" s="33" t="inlineStr">
        <is>
          <t>LCM_100_FREE</t>
        </is>
      </c>
      <c r="R2264" s="36" t="n">
        <v>66.44</v>
      </c>
      <c r="S2264" s="35">
        <f>IF(R2264="","",IF(R2264&gt;=60,INT(R2264/60)&amp;":"&amp;TEXT(MOD(R2264,60),"00.00"),TEXT(R2264,"0.00")))</f>
        <v/>
      </c>
      <c r="T2264" s="52">
        <f>IFERROR((G2264-INDEX('01_Swimmers'!$E$5:$E$22,MATCH(B2264,'01_Swimmers'!$A$5:$A$22,0)))/'00_Control'!$B$10,"")</f>
        <v/>
      </c>
      <c r="U2264" s="35">
        <f>IF(T2264="","",INT(T2264))</f>
        <v/>
      </c>
      <c r="V2264" s="33" t="inlineStr">
        <is>
          <t>NO</t>
        </is>
      </c>
      <c r="W2264" s="33" t="inlineStr">
        <is>
          <t>YES</t>
        </is>
      </c>
      <c r="X2264" s="33" t="inlineStr">
        <is>
          <t>NO</t>
        </is>
      </c>
      <c r="Y2264" s="33" t="n">
        <v>1</v>
      </c>
      <c r="Z2264" s="33" t="n">
        <v>3</v>
      </c>
      <c r="AA2264" s="33" t="inlineStr">
        <is>
          <t>1</t>
        </is>
      </c>
      <c r="AB2264" s="33" t="inlineStr">
        <is>
          <t>https://www.swimcloud.com/results/78721/event/16/?id=69812397#time69812397</t>
        </is>
      </c>
      <c r="AC2264" s="33" t="inlineStr">
        <is>
          <t>SwimCloud API v6 2026-10-08</t>
        </is>
      </c>
      <c r="AD2264" s="33" t="inlineStr">
        <is>
          <t>Luke Hobson|2015-06-26|LCM|100|Free|66.44|2015 PC Reno Age Group Open|TIM|False</t>
        </is>
      </c>
      <c r="AE2264" s="53">
        <f>G2264+L2264/1000+ROW()/1000000000</f>
        <v/>
      </c>
      <c r="AF2264" s="35">
        <f>IF(C2264&lt;&gt;"Grayson Coulter","",COUNTIFS($C$5:$C$2991,"Grayson Coulter",$Q$5:$Q$2991,Q2264,$AE$5:$AE$2991,"&lt;="&amp;AE2264,$R$5:$R$2991,"&lt;"&amp;R2264))</f>
        <v/>
      </c>
      <c r="AG2264" s="35">
        <f>IF(OR(C2264&lt;&gt;"Grayson Coulter",G2264&lt;'00_Control'!$B$7),"",--(AF2264&lt;5))</f>
        <v/>
      </c>
      <c r="AH2264" s="35">
        <f>IF(OR(C2264&lt;&gt;"Grayson Coulter",G2264&lt;'00_Control'!$B$7),"",--(AF2264&lt;10))</f>
        <v/>
      </c>
      <c r="AI2264" s="35">
        <f>IF(AND(C2264="Grayson Coulter",G2264&gt;='00_Control'!$B$7),"YES","NO")</f>
        <v/>
      </c>
      <c r="AJ2264" s="33" t="inlineStr">
        <is>
          <t>OK</t>
        </is>
      </c>
    </row>
    <row r="2265">
      <c r="A2265" s="33" t="inlineStr">
        <is>
          <t>SM002261</t>
        </is>
      </c>
      <c r="B2265" s="33" t="inlineStr">
        <is>
          <t>SW014</t>
        </is>
      </c>
      <c r="C2265" s="33" t="inlineStr">
        <is>
          <t>Luke Hobson</t>
        </is>
      </c>
      <c r="D2265" s="33" t="inlineStr">
        <is>
          <t>SwimCloud</t>
        </is>
      </c>
      <c r="E2265" s="33" t="inlineStr">
        <is>
          <t>576911</t>
        </is>
      </c>
      <c r="F2265" s="33" t="inlineStr">
        <is>
          <t>69816862</t>
        </is>
      </c>
      <c r="G2265" s="51" t="n">
        <v>42183</v>
      </c>
      <c r="H2265" s="33" t="inlineStr">
        <is>
          <t>2015 PC Reno Age Group Open</t>
        </is>
      </c>
      <c r="I2265" s="33" t="inlineStr">
        <is>
          <t>78721</t>
        </is>
      </c>
      <c r="J2265" s="33" t="inlineStr"/>
      <c r="K2265" s="33" t="inlineStr">
        <is>
          <t>TIM</t>
        </is>
      </c>
      <c r="L2265" s="35">
        <f>IF(K2265="FIN",3,IF(OR(K2265="SEM",K2265="SEMI"),2,IF(OR(K2265="PRE",K2265="HEAT"),1,IF(V2265="YES",4,2))))</f>
        <v/>
      </c>
      <c r="M2265" s="33" t="inlineStr">
        <is>
          <t>LCM</t>
        </is>
      </c>
      <c r="N2265" s="33" t="n">
        <v>100</v>
      </c>
      <c r="O2265" s="33" t="inlineStr">
        <is>
          <t>Fly</t>
        </is>
      </c>
      <c r="P2265" s="33" t="inlineStr">
        <is>
          <t>100 Fly</t>
        </is>
      </c>
      <c r="Q2265" s="33" t="inlineStr">
        <is>
          <t>LCM_100_FLY</t>
        </is>
      </c>
      <c r="R2265" s="36" t="n">
        <v>73.88</v>
      </c>
      <c r="S2265" s="35">
        <f>IF(R2265="","",IF(R2265&gt;=60,INT(R2265/60)&amp;":"&amp;TEXT(MOD(R2265,60),"00.00"),TEXT(R2265,"0.00")))</f>
        <v/>
      </c>
      <c r="T2265" s="52">
        <f>IFERROR((G2265-INDEX('01_Swimmers'!$E$5:$E$22,MATCH(B2265,'01_Swimmers'!$A$5:$A$22,0)))/'00_Control'!$B$10,"")</f>
        <v/>
      </c>
      <c r="U2265" s="35">
        <f>IF(T2265="","",INT(T2265))</f>
        <v/>
      </c>
      <c r="V2265" s="33" t="inlineStr">
        <is>
          <t>NO</t>
        </is>
      </c>
      <c r="W2265" s="33" t="inlineStr">
        <is>
          <t>YES</t>
        </is>
      </c>
      <c r="X2265" s="33" t="inlineStr">
        <is>
          <t>NO</t>
        </is>
      </c>
      <c r="Y2265" s="33" t="n">
        <v>1</v>
      </c>
      <c r="Z2265" s="33" t="n">
        <v>5</v>
      </c>
      <c r="AA2265" s="33" t="inlineStr">
        <is>
          <t>1</t>
        </is>
      </c>
      <c r="AB2265" s="33" t="inlineStr">
        <is>
          <t>https://www.swimcloud.com/results/78721/event/74/?id=69811688#time69811688</t>
        </is>
      </c>
      <c r="AC2265" s="33" t="inlineStr">
        <is>
          <t>SwimCloud API v6 2026-10-08</t>
        </is>
      </c>
      <c r="AD2265" s="33" t="inlineStr">
        <is>
          <t>Luke Hobson|2015-06-28|LCM|100|Fly|73.88|2015 PC Reno Age Group Open|TIM|False</t>
        </is>
      </c>
      <c r="AE2265" s="53">
        <f>G2265+L2265/1000+ROW()/1000000000</f>
        <v/>
      </c>
      <c r="AF2265" s="35">
        <f>IF(C2265&lt;&gt;"Grayson Coulter","",COUNTIFS($C$5:$C$2991,"Grayson Coulter",$Q$5:$Q$2991,Q2265,$AE$5:$AE$2991,"&lt;="&amp;AE2265,$R$5:$R$2991,"&lt;"&amp;R2265))</f>
        <v/>
      </c>
      <c r="AG2265" s="35">
        <f>IF(OR(C2265&lt;&gt;"Grayson Coulter",G2265&lt;'00_Control'!$B$7),"",--(AF2265&lt;5))</f>
        <v/>
      </c>
      <c r="AH2265" s="35">
        <f>IF(OR(C2265&lt;&gt;"Grayson Coulter",G2265&lt;'00_Control'!$B$7),"",--(AF2265&lt;10))</f>
        <v/>
      </c>
      <c r="AI2265" s="35">
        <f>IF(AND(C2265="Grayson Coulter",G2265&gt;='00_Control'!$B$7),"YES","NO")</f>
        <v/>
      </c>
      <c r="AJ2265" s="33" t="inlineStr">
        <is>
          <t>OK</t>
        </is>
      </c>
    </row>
    <row r="2266">
      <c r="A2266" s="33" t="inlineStr">
        <is>
          <t>SM002262</t>
        </is>
      </c>
      <c r="B2266" s="33" t="inlineStr">
        <is>
          <t>SW014</t>
        </is>
      </c>
      <c r="C2266" s="33" t="inlineStr">
        <is>
          <t>Luke Hobson</t>
        </is>
      </c>
      <c r="D2266" s="33" t="inlineStr">
        <is>
          <t>SwimCloud</t>
        </is>
      </c>
      <c r="E2266" s="33" t="inlineStr">
        <is>
          <t>576911</t>
        </is>
      </c>
      <c r="F2266" s="33" t="inlineStr">
        <is>
          <t>69811688</t>
        </is>
      </c>
      <c r="G2266" s="51" t="n">
        <v>42183</v>
      </c>
      <c r="H2266" s="33" t="inlineStr">
        <is>
          <t>2015 PC Reno Age Group Open</t>
        </is>
      </c>
      <c r="I2266" s="33" t="inlineStr">
        <is>
          <t>78721</t>
        </is>
      </c>
      <c r="J2266" s="33" t="inlineStr"/>
      <c r="K2266" s="33" t="inlineStr">
        <is>
          <t>TIM</t>
        </is>
      </c>
      <c r="L2266" s="35">
        <f>IF(K2266="FIN",3,IF(OR(K2266="SEM",K2266="SEMI"),2,IF(OR(K2266="PRE",K2266="HEAT"),1,IF(V2266="YES",4,2))))</f>
        <v/>
      </c>
      <c r="M2266" s="33" t="inlineStr">
        <is>
          <t>LCM</t>
        </is>
      </c>
      <c r="N2266" s="33" t="n">
        <v>100</v>
      </c>
      <c r="O2266" s="33" t="inlineStr">
        <is>
          <t>Fly</t>
        </is>
      </c>
      <c r="P2266" s="33" t="inlineStr">
        <is>
          <t>100 Fly</t>
        </is>
      </c>
      <c r="Q2266" s="33" t="inlineStr">
        <is>
          <t>LCM_100_FLY</t>
        </is>
      </c>
      <c r="R2266" s="36" t="n">
        <v>73.98</v>
      </c>
      <c r="S2266" s="35">
        <f>IF(R2266="","",IF(R2266&gt;=60,INT(R2266/60)&amp;":"&amp;TEXT(MOD(R2266,60),"00.00"),TEXT(R2266,"0.00")))</f>
        <v/>
      </c>
      <c r="T2266" s="52">
        <f>IFERROR((G2266-INDEX('01_Swimmers'!$E$5:$E$22,MATCH(B2266,'01_Swimmers'!$A$5:$A$22,0)))/'00_Control'!$B$10,"")</f>
        <v/>
      </c>
      <c r="U2266" s="35">
        <f>IF(T2266="","",INT(T2266))</f>
        <v/>
      </c>
      <c r="V2266" s="33" t="inlineStr">
        <is>
          <t>NO</t>
        </is>
      </c>
      <c r="W2266" s="33" t="inlineStr">
        <is>
          <t>YES</t>
        </is>
      </c>
      <c r="X2266" s="33" t="inlineStr">
        <is>
          <t>NO</t>
        </is>
      </c>
      <c r="Y2266" s="33" t="n">
        <v>1</v>
      </c>
      <c r="Z2266" s="33" t="n">
        <v>5</v>
      </c>
      <c r="AA2266" s="33" t="inlineStr">
        <is>
          <t>1</t>
        </is>
      </c>
      <c r="AB2266" s="33" t="inlineStr">
        <is>
          <t>https://www.swimcloud.com/results/78721/event/74/?id=69811688#time69811688</t>
        </is>
      </c>
      <c r="AC2266" s="33" t="inlineStr">
        <is>
          <t>SwimCloud API v6 2026-10-08</t>
        </is>
      </c>
      <c r="AD2266" s="33" t="inlineStr">
        <is>
          <t>Luke Hobson|2015-06-28|LCM|100|Fly|73.98|2015 PC Reno Age Group Open|TIM|False</t>
        </is>
      </c>
      <c r="AE2266" s="53">
        <f>G2266+L2266/1000+ROW()/1000000000</f>
        <v/>
      </c>
      <c r="AF2266" s="35">
        <f>IF(C2266&lt;&gt;"Grayson Coulter","",COUNTIFS($C$5:$C$2991,"Grayson Coulter",$Q$5:$Q$2991,Q2266,$AE$5:$AE$2991,"&lt;="&amp;AE2266,$R$5:$R$2991,"&lt;"&amp;R2266))</f>
        <v/>
      </c>
      <c r="AG2266" s="35">
        <f>IF(OR(C2266&lt;&gt;"Grayson Coulter",G2266&lt;'00_Control'!$B$7),"",--(AF2266&lt;5))</f>
        <v/>
      </c>
      <c r="AH2266" s="35">
        <f>IF(OR(C2266&lt;&gt;"Grayson Coulter",G2266&lt;'00_Control'!$B$7),"",--(AF2266&lt;10))</f>
        <v/>
      </c>
      <c r="AI2266" s="35">
        <f>IF(AND(C2266="Grayson Coulter",G2266&gt;='00_Control'!$B$7),"YES","NO")</f>
        <v/>
      </c>
      <c r="AJ2266" s="33" t="inlineStr">
        <is>
          <t>OK</t>
        </is>
      </c>
    </row>
    <row r="2267">
      <c r="A2267" s="33" t="inlineStr">
        <is>
          <t>SM002263</t>
        </is>
      </c>
      <c r="B2267" s="33" t="inlineStr">
        <is>
          <t>SW014</t>
        </is>
      </c>
      <c r="C2267" s="33" t="inlineStr">
        <is>
          <t>Luke Hobson</t>
        </is>
      </c>
      <c r="D2267" s="33" t="inlineStr">
        <is>
          <t>SwimCloud</t>
        </is>
      </c>
      <c r="E2267" s="33" t="inlineStr">
        <is>
          <t>576911</t>
        </is>
      </c>
      <c r="F2267" s="33" t="inlineStr">
        <is>
          <t>69817196</t>
        </is>
      </c>
      <c r="G2267" s="51" t="n">
        <v>42183</v>
      </c>
      <c r="H2267" s="33" t="inlineStr">
        <is>
          <t>2015 PC Reno Age Group Open</t>
        </is>
      </c>
      <c r="I2267" s="33" t="inlineStr">
        <is>
          <t>78721</t>
        </is>
      </c>
      <c r="J2267" s="33" t="inlineStr"/>
      <c r="K2267" s="33" t="inlineStr">
        <is>
          <t>TIM</t>
        </is>
      </c>
      <c r="L2267" s="35">
        <f>IF(K2267="FIN",3,IF(OR(K2267="SEM",K2267="SEMI"),2,IF(OR(K2267="PRE",K2267="HEAT"),1,IF(V2267="YES",4,2))))</f>
        <v/>
      </c>
      <c r="M2267" s="33" t="inlineStr">
        <is>
          <t>LCM</t>
        </is>
      </c>
      <c r="N2267" s="33" t="n">
        <v>400</v>
      </c>
      <c r="O2267" s="33" t="inlineStr">
        <is>
          <t>Free</t>
        </is>
      </c>
      <c r="P2267" s="33" t="inlineStr">
        <is>
          <t>400 Free</t>
        </is>
      </c>
      <c r="Q2267" s="33" t="inlineStr">
        <is>
          <t>LCM_400_FREE</t>
        </is>
      </c>
      <c r="R2267" s="36" t="n">
        <v>308.5</v>
      </c>
      <c r="S2267" s="35">
        <f>IF(R2267="","",IF(R2267&gt;=60,INT(R2267/60)&amp;":"&amp;TEXT(MOD(R2267,60),"00.00"),TEXT(R2267,"0.00")))</f>
        <v/>
      </c>
      <c r="T2267" s="52">
        <f>IFERROR((G2267-INDEX('01_Swimmers'!$E$5:$E$22,MATCH(B2267,'01_Swimmers'!$A$5:$A$22,0)))/'00_Control'!$B$10,"")</f>
        <v/>
      </c>
      <c r="U2267" s="35">
        <f>IF(T2267="","",INT(T2267))</f>
        <v/>
      </c>
      <c r="V2267" s="33" t="inlineStr">
        <is>
          <t>NO</t>
        </is>
      </c>
      <c r="W2267" s="33" t="inlineStr">
        <is>
          <t>YES</t>
        </is>
      </c>
      <c r="X2267" s="33" t="inlineStr">
        <is>
          <t>NO</t>
        </is>
      </c>
      <c r="Y2267" s="33" t="n">
        <v>1</v>
      </c>
      <c r="Z2267" s="33" t="n">
        <v>4</v>
      </c>
      <c r="AA2267" s="33" t="inlineStr">
        <is>
          <t>1</t>
        </is>
      </c>
      <c r="AB2267" s="33" t="inlineStr">
        <is>
          <t>https://www.swimcloud.com/results/78721/event/78/?id=69814180#time69814180</t>
        </is>
      </c>
      <c r="AC2267" s="33" t="inlineStr">
        <is>
          <t>SwimCloud API v6 2026-10-08</t>
        </is>
      </c>
      <c r="AD2267" s="33" t="inlineStr">
        <is>
          <t>Luke Hobson|2015-06-28|LCM|400|Free|308.5|2015 PC Reno Age Group Open|TIM|False</t>
        </is>
      </c>
      <c r="AE2267" s="53">
        <f>G2267+L2267/1000+ROW()/1000000000</f>
        <v/>
      </c>
      <c r="AF2267" s="35">
        <f>IF(C2267&lt;&gt;"Grayson Coulter","",COUNTIFS($C$5:$C$2991,"Grayson Coulter",$Q$5:$Q$2991,Q2267,$AE$5:$AE$2991,"&lt;="&amp;AE2267,$R$5:$R$2991,"&lt;"&amp;R2267))</f>
        <v/>
      </c>
      <c r="AG2267" s="35">
        <f>IF(OR(C2267&lt;&gt;"Grayson Coulter",G2267&lt;'00_Control'!$B$7),"",--(AF2267&lt;5))</f>
        <v/>
      </c>
      <c r="AH2267" s="35">
        <f>IF(OR(C2267&lt;&gt;"Grayson Coulter",G2267&lt;'00_Control'!$B$7),"",--(AF2267&lt;10))</f>
        <v/>
      </c>
      <c r="AI2267" s="35">
        <f>IF(AND(C2267="Grayson Coulter",G2267&gt;='00_Control'!$B$7),"YES","NO")</f>
        <v/>
      </c>
      <c r="AJ2267" s="33" t="inlineStr">
        <is>
          <t>OK</t>
        </is>
      </c>
    </row>
    <row r="2268">
      <c r="A2268" s="33" t="inlineStr">
        <is>
          <t>SM002264</t>
        </is>
      </c>
      <c r="B2268" s="33" t="inlineStr">
        <is>
          <t>SW014</t>
        </is>
      </c>
      <c r="C2268" s="33" t="inlineStr">
        <is>
          <t>Luke Hobson</t>
        </is>
      </c>
      <c r="D2268" s="33" t="inlineStr">
        <is>
          <t>SwimCloud</t>
        </is>
      </c>
      <c r="E2268" s="33" t="inlineStr">
        <is>
          <t>576911</t>
        </is>
      </c>
      <c r="F2268" s="33" t="inlineStr">
        <is>
          <t>69814180</t>
        </is>
      </c>
      <c r="G2268" s="51" t="n">
        <v>42183</v>
      </c>
      <c r="H2268" s="33" t="inlineStr">
        <is>
          <t>2015 PC Reno Age Group Open</t>
        </is>
      </c>
      <c r="I2268" s="33" t="inlineStr">
        <is>
          <t>78721</t>
        </is>
      </c>
      <c r="J2268" s="33" t="inlineStr"/>
      <c r="K2268" s="33" t="inlineStr">
        <is>
          <t>TIM</t>
        </is>
      </c>
      <c r="L2268" s="35">
        <f>IF(K2268="FIN",3,IF(OR(K2268="SEM",K2268="SEMI"),2,IF(OR(K2268="PRE",K2268="HEAT"),1,IF(V2268="YES",4,2))))</f>
        <v/>
      </c>
      <c r="M2268" s="33" t="inlineStr">
        <is>
          <t>LCM</t>
        </is>
      </c>
      <c r="N2268" s="33" t="n">
        <v>400</v>
      </c>
      <c r="O2268" s="33" t="inlineStr">
        <is>
          <t>Free</t>
        </is>
      </c>
      <c r="P2268" s="33" t="inlineStr">
        <is>
          <t>400 Free</t>
        </is>
      </c>
      <c r="Q2268" s="33" t="inlineStr">
        <is>
          <t>LCM_400_FREE</t>
        </is>
      </c>
      <c r="R2268" s="36" t="n">
        <v>313.5</v>
      </c>
      <c r="S2268" s="35">
        <f>IF(R2268="","",IF(R2268&gt;=60,INT(R2268/60)&amp;":"&amp;TEXT(MOD(R2268,60),"00.00"),TEXT(R2268,"0.00")))</f>
        <v/>
      </c>
      <c r="T2268" s="52">
        <f>IFERROR((G2268-INDEX('01_Swimmers'!$E$5:$E$22,MATCH(B2268,'01_Swimmers'!$A$5:$A$22,0)))/'00_Control'!$B$10,"")</f>
        <v/>
      </c>
      <c r="U2268" s="35">
        <f>IF(T2268="","",INT(T2268))</f>
        <v/>
      </c>
      <c r="V2268" s="33" t="inlineStr">
        <is>
          <t>NO</t>
        </is>
      </c>
      <c r="W2268" s="33" t="inlineStr">
        <is>
          <t>YES</t>
        </is>
      </c>
      <c r="X2268" s="33" t="inlineStr">
        <is>
          <t>NO</t>
        </is>
      </c>
      <c r="Y2268" s="33" t="n">
        <v>1</v>
      </c>
      <c r="Z2268" s="33" t="n">
        <v>4</v>
      </c>
      <c r="AA2268" s="33" t="inlineStr">
        <is>
          <t>1</t>
        </is>
      </c>
      <c r="AB2268" s="33" t="inlineStr">
        <is>
          <t>https://www.swimcloud.com/results/78721/event/78/?id=69814180#time69814180</t>
        </is>
      </c>
      <c r="AC2268" s="33" t="inlineStr">
        <is>
          <t>SwimCloud API v6 2026-10-08</t>
        </is>
      </c>
      <c r="AD2268" s="33" t="inlineStr">
        <is>
          <t>Luke Hobson|2015-06-28|LCM|400|Free|313.5|2015 PC Reno Age Group Open|TIM|False</t>
        </is>
      </c>
      <c r="AE2268" s="53">
        <f>G2268+L2268/1000+ROW()/1000000000</f>
        <v/>
      </c>
      <c r="AF2268" s="35">
        <f>IF(C2268&lt;&gt;"Grayson Coulter","",COUNTIFS($C$5:$C$2991,"Grayson Coulter",$Q$5:$Q$2991,Q2268,$AE$5:$AE$2991,"&lt;="&amp;AE2268,$R$5:$R$2991,"&lt;"&amp;R2268))</f>
        <v/>
      </c>
      <c r="AG2268" s="35">
        <f>IF(OR(C2268&lt;&gt;"Grayson Coulter",G2268&lt;'00_Control'!$B$7),"",--(AF2268&lt;5))</f>
        <v/>
      </c>
      <c r="AH2268" s="35">
        <f>IF(OR(C2268&lt;&gt;"Grayson Coulter",G2268&lt;'00_Control'!$B$7),"",--(AF2268&lt;10))</f>
        <v/>
      </c>
      <c r="AI2268" s="35">
        <f>IF(AND(C2268="Grayson Coulter",G2268&gt;='00_Control'!$B$7),"YES","NO")</f>
        <v/>
      </c>
      <c r="AJ2268" s="33" t="inlineStr">
        <is>
          <t>OK</t>
        </is>
      </c>
    </row>
    <row r="2269">
      <c r="A2269" s="33" t="inlineStr">
        <is>
          <t>SM002265</t>
        </is>
      </c>
      <c r="B2269" s="33" t="inlineStr">
        <is>
          <t>SW014</t>
        </is>
      </c>
      <c r="C2269" s="33" t="inlineStr">
        <is>
          <t>Luke Hobson</t>
        </is>
      </c>
      <c r="D2269" s="33" t="inlineStr">
        <is>
          <t>SwimCloud</t>
        </is>
      </c>
      <c r="E2269" s="33" t="inlineStr">
        <is>
          <t>576911</t>
        </is>
      </c>
      <c r="F2269" s="33" t="inlineStr">
        <is>
          <t>71746009</t>
        </is>
      </c>
      <c r="G2269" s="51" t="n">
        <v>42195</v>
      </c>
      <c r="H2269" s="33" t="inlineStr">
        <is>
          <t>2015 PC TERA LCM LCM JO'S</t>
        </is>
      </c>
      <c r="I2269" s="33" t="inlineStr">
        <is>
          <t>219563</t>
        </is>
      </c>
      <c r="J2269" s="33" t="inlineStr"/>
      <c r="K2269" s="33" t="inlineStr">
        <is>
          <t>PRE</t>
        </is>
      </c>
      <c r="L2269" s="35">
        <f>IF(K2269="FIN",3,IF(OR(K2269="SEM",K2269="SEMI"),2,IF(OR(K2269="PRE",K2269="HEAT"),1,IF(V2269="YES",4,2))))</f>
        <v/>
      </c>
      <c r="M2269" s="33" t="inlineStr">
        <is>
          <t>LCM</t>
        </is>
      </c>
      <c r="N2269" s="33" t="n">
        <v>400</v>
      </c>
      <c r="O2269" s="33" t="inlineStr">
        <is>
          <t>Free</t>
        </is>
      </c>
      <c r="P2269" s="33" t="inlineStr">
        <is>
          <t>400 Free</t>
        </is>
      </c>
      <c r="Q2269" s="33" t="inlineStr">
        <is>
          <t>LCM_400_FREE</t>
        </is>
      </c>
      <c r="R2269" s="36" t="n">
        <v>316.39</v>
      </c>
      <c r="S2269" s="35">
        <f>IF(R2269="","",IF(R2269&gt;=60,INT(R2269/60)&amp;":"&amp;TEXT(MOD(R2269,60),"00.00"),TEXT(R2269,"0.00")))</f>
        <v/>
      </c>
      <c r="T2269" s="52">
        <f>IFERROR((G2269-INDEX('01_Swimmers'!$E$5:$E$22,MATCH(B2269,'01_Swimmers'!$A$5:$A$22,0)))/'00_Control'!$B$10,"")</f>
        <v/>
      </c>
      <c r="U2269" s="35">
        <f>IF(T2269="","",INT(T2269))</f>
        <v/>
      </c>
      <c r="V2269" s="33" t="inlineStr">
        <is>
          <t>NO</t>
        </is>
      </c>
      <c r="W2269" s="33" t="inlineStr">
        <is>
          <t>YES</t>
        </is>
      </c>
      <c r="X2269" s="33" t="inlineStr">
        <is>
          <t>NO</t>
        </is>
      </c>
      <c r="Y2269" s="33" t="n">
        <v>2</v>
      </c>
      <c r="Z2269" s="33" t="n">
        <v>7</v>
      </c>
      <c r="AA2269" s="33" t="inlineStr">
        <is>
          <t>15</t>
        </is>
      </c>
      <c r="AB2269" s="33" t="inlineStr">
        <is>
          <t>https://www.swimcloud.com/results/219563/event/34/?id=71746009#time71746009</t>
        </is>
      </c>
      <c r="AC2269" s="33" t="inlineStr">
        <is>
          <t>SwimCloud API v6 2026-10-08</t>
        </is>
      </c>
      <c r="AD2269" s="33" t="inlineStr">
        <is>
          <t>Luke Hobson|2015-07-10|LCM|400|Free|316.39|2015 PC TERA LCM LCM JO'S|PRE|False</t>
        </is>
      </c>
      <c r="AE2269" s="53">
        <f>G2269+L2269/1000+ROW()/1000000000</f>
        <v/>
      </c>
      <c r="AF2269" s="35">
        <f>IF(C2269&lt;&gt;"Grayson Coulter","",COUNTIFS($C$5:$C$2991,"Grayson Coulter",$Q$5:$Q$2991,Q2269,$AE$5:$AE$2991,"&lt;="&amp;AE2269,$R$5:$R$2991,"&lt;"&amp;R2269))</f>
        <v/>
      </c>
      <c r="AG2269" s="35">
        <f>IF(OR(C2269&lt;&gt;"Grayson Coulter",G2269&lt;'00_Control'!$B$7),"",--(AF2269&lt;5))</f>
        <v/>
      </c>
      <c r="AH2269" s="35">
        <f>IF(OR(C2269&lt;&gt;"Grayson Coulter",G2269&lt;'00_Control'!$B$7),"",--(AF2269&lt;10))</f>
        <v/>
      </c>
      <c r="AI2269" s="35">
        <f>IF(AND(C2269="Grayson Coulter",G2269&gt;='00_Control'!$B$7),"YES","NO")</f>
        <v/>
      </c>
      <c r="AJ2269" s="33" t="inlineStr">
        <is>
          <t>OK</t>
        </is>
      </c>
    </row>
    <row r="2270">
      <c r="A2270" s="33" t="inlineStr">
        <is>
          <t>SM002266</t>
        </is>
      </c>
      <c r="B2270" s="33" t="inlineStr">
        <is>
          <t>SW014</t>
        </is>
      </c>
      <c r="C2270" s="33" t="inlineStr">
        <is>
          <t>Luke Hobson</t>
        </is>
      </c>
      <c r="D2270" s="33" t="inlineStr">
        <is>
          <t>SwimCloud</t>
        </is>
      </c>
      <c r="E2270" s="33" t="inlineStr">
        <is>
          <t>576911</t>
        </is>
      </c>
      <c r="F2270" s="33" t="inlineStr">
        <is>
          <t>71744511</t>
        </is>
      </c>
      <c r="G2270" s="51" t="n">
        <v>42196</v>
      </c>
      <c r="H2270" s="33" t="inlineStr">
        <is>
          <t>2015 PC TERA LCM LCM JO'S</t>
        </is>
      </c>
      <c r="I2270" s="33" t="inlineStr">
        <is>
          <t>219563</t>
        </is>
      </c>
      <c r="J2270" s="33" t="inlineStr"/>
      <c r="K2270" s="33" t="inlineStr">
        <is>
          <t>PRE</t>
        </is>
      </c>
      <c r="L2270" s="35">
        <f>IF(K2270="FIN",3,IF(OR(K2270="SEM",K2270="SEMI"),2,IF(OR(K2270="PRE",K2270="HEAT"),1,IF(V2270="YES",4,2))))</f>
        <v/>
      </c>
      <c r="M2270" s="33" t="inlineStr">
        <is>
          <t>LCM</t>
        </is>
      </c>
      <c r="N2270" s="33" t="n">
        <v>100</v>
      </c>
      <c r="O2270" s="33" t="inlineStr">
        <is>
          <t>Fly</t>
        </is>
      </c>
      <c r="P2270" s="33" t="inlineStr">
        <is>
          <t>100 Fly</t>
        </is>
      </c>
      <c r="Q2270" s="33" t="inlineStr">
        <is>
          <t>LCM_100_FLY</t>
        </is>
      </c>
      <c r="R2270" s="36" t="n">
        <v>73.36</v>
      </c>
      <c r="S2270" s="35">
        <f>IF(R2270="","",IF(R2270&gt;=60,INT(R2270/60)&amp;":"&amp;TEXT(MOD(R2270,60),"00.00"),TEXT(R2270,"0.00")))</f>
        <v/>
      </c>
      <c r="T2270" s="52">
        <f>IFERROR((G2270-INDEX('01_Swimmers'!$E$5:$E$22,MATCH(B2270,'01_Swimmers'!$A$5:$A$22,0)))/'00_Control'!$B$10,"")</f>
        <v/>
      </c>
      <c r="U2270" s="35">
        <f>IF(T2270="","",INT(T2270))</f>
        <v/>
      </c>
      <c r="V2270" s="33" t="inlineStr">
        <is>
          <t>NO</t>
        </is>
      </c>
      <c r="W2270" s="33" t="inlineStr">
        <is>
          <t>YES</t>
        </is>
      </c>
      <c r="X2270" s="33" t="inlineStr">
        <is>
          <t>NO</t>
        </is>
      </c>
      <c r="Y2270" s="33" t="n">
        <v>2</v>
      </c>
      <c r="Z2270" s="33" t="n">
        <v>7</v>
      </c>
      <c r="AA2270" s="33" t="inlineStr">
        <is>
          <t>11</t>
        </is>
      </c>
      <c r="AB2270" s="33" t="inlineStr">
        <is>
          <t>https://www.swimcloud.com/results/219563/event/50/?id=71744511#time71744511</t>
        </is>
      </c>
      <c r="AC2270" s="33" t="inlineStr">
        <is>
          <t>SwimCloud API v6 2026-10-08</t>
        </is>
      </c>
      <c r="AD2270" s="33" t="inlineStr">
        <is>
          <t>Luke Hobson|2015-07-11|LCM|100|Fly|73.36|2015 PC TERA LCM LCM JO'S|PRE|False</t>
        </is>
      </c>
      <c r="AE2270" s="53">
        <f>G2270+L2270/1000+ROW()/1000000000</f>
        <v/>
      </c>
      <c r="AF2270" s="35">
        <f>IF(C2270&lt;&gt;"Grayson Coulter","",COUNTIFS($C$5:$C$2991,"Grayson Coulter",$Q$5:$Q$2991,Q2270,$AE$5:$AE$2991,"&lt;="&amp;AE2270,$R$5:$R$2991,"&lt;"&amp;R2270))</f>
        <v/>
      </c>
      <c r="AG2270" s="35">
        <f>IF(OR(C2270&lt;&gt;"Grayson Coulter",G2270&lt;'00_Control'!$B$7),"",--(AF2270&lt;5))</f>
        <v/>
      </c>
      <c r="AH2270" s="35">
        <f>IF(OR(C2270&lt;&gt;"Grayson Coulter",G2270&lt;'00_Control'!$B$7),"",--(AF2270&lt;10))</f>
        <v/>
      </c>
      <c r="AI2270" s="35">
        <f>IF(AND(C2270="Grayson Coulter",G2270&gt;='00_Control'!$B$7),"YES","NO")</f>
        <v/>
      </c>
      <c r="AJ2270" s="33" t="inlineStr">
        <is>
          <t>OK</t>
        </is>
      </c>
    </row>
    <row r="2271">
      <c r="A2271" s="33" t="inlineStr">
        <is>
          <t>SM002267</t>
        </is>
      </c>
      <c r="B2271" s="33" t="inlineStr">
        <is>
          <t>SW014</t>
        </is>
      </c>
      <c r="C2271" s="33" t="inlineStr">
        <is>
          <t>Luke Hobson</t>
        </is>
      </c>
      <c r="D2271" s="33" t="inlineStr">
        <is>
          <t>SwimCloud</t>
        </is>
      </c>
      <c r="E2271" s="33" t="inlineStr">
        <is>
          <t>576911</t>
        </is>
      </c>
      <c r="F2271" s="33" t="inlineStr">
        <is>
          <t>71743718</t>
        </is>
      </c>
      <c r="G2271" s="51" t="n">
        <v>42196</v>
      </c>
      <c r="H2271" s="33" t="inlineStr">
        <is>
          <t>2015 PC TERA LCM LCM JO'S</t>
        </is>
      </c>
      <c r="I2271" s="33" t="inlineStr">
        <is>
          <t>219563</t>
        </is>
      </c>
      <c r="J2271" s="33" t="inlineStr"/>
      <c r="K2271" s="33" t="inlineStr">
        <is>
          <t>PRE</t>
        </is>
      </c>
      <c r="L2271" s="35">
        <f>IF(K2271="FIN",3,IF(OR(K2271="SEM",K2271="SEMI"),2,IF(OR(K2271="PRE",K2271="HEAT"),1,IF(V2271="YES",4,2))))</f>
        <v/>
      </c>
      <c r="M2271" s="33" t="inlineStr">
        <is>
          <t>LCM</t>
        </is>
      </c>
      <c r="N2271" s="33" t="n">
        <v>200</v>
      </c>
      <c r="O2271" s="33" t="inlineStr">
        <is>
          <t>Free</t>
        </is>
      </c>
      <c r="P2271" s="33" t="inlineStr">
        <is>
          <t>200 Free</t>
        </is>
      </c>
      <c r="Q2271" s="33" t="inlineStr">
        <is>
          <t>LCM_200_FREE</t>
        </is>
      </c>
      <c r="R2271" s="36" t="n">
        <v>147.55</v>
      </c>
      <c r="S2271" s="35">
        <f>IF(R2271="","",IF(R2271&gt;=60,INT(R2271/60)&amp;":"&amp;TEXT(MOD(R2271,60),"00.00"),TEXT(R2271,"0.00")))</f>
        <v/>
      </c>
      <c r="T2271" s="52">
        <f>IFERROR((G2271-INDEX('01_Swimmers'!$E$5:$E$22,MATCH(B2271,'01_Swimmers'!$A$5:$A$22,0)))/'00_Control'!$B$10,"")</f>
        <v/>
      </c>
      <c r="U2271" s="35">
        <f>IF(T2271="","",INT(T2271))</f>
        <v/>
      </c>
      <c r="V2271" s="33" t="inlineStr">
        <is>
          <t>NO</t>
        </is>
      </c>
      <c r="W2271" s="33" t="inlineStr">
        <is>
          <t>YES</t>
        </is>
      </c>
      <c r="X2271" s="33" t="inlineStr">
        <is>
          <t>NO</t>
        </is>
      </c>
      <c r="Y2271" s="33" t="n">
        <v>3</v>
      </c>
      <c r="Z2271" s="33" t="n">
        <v>4</v>
      </c>
      <c r="AA2271" s="33" t="inlineStr">
        <is>
          <t>20</t>
        </is>
      </c>
      <c r="AB2271" s="33" t="inlineStr">
        <is>
          <t>https://www.swimcloud.com/results/219563/event/42/?id=71743718#time71743718</t>
        </is>
      </c>
      <c r="AC2271" s="33" t="inlineStr">
        <is>
          <t>SwimCloud API v6 2026-10-08</t>
        </is>
      </c>
      <c r="AD2271" s="33" t="inlineStr">
        <is>
          <t>Luke Hobson|2015-07-11|LCM|200|Free|147.55|2015 PC TERA LCM LCM JO'S|PRE|False</t>
        </is>
      </c>
      <c r="AE2271" s="53">
        <f>G2271+L2271/1000+ROW()/1000000000</f>
        <v/>
      </c>
      <c r="AF2271" s="35">
        <f>IF(C2271&lt;&gt;"Grayson Coulter","",COUNTIFS($C$5:$C$2991,"Grayson Coulter",$Q$5:$Q$2991,Q2271,$AE$5:$AE$2991,"&lt;="&amp;AE2271,$R$5:$R$2991,"&lt;"&amp;R2271))</f>
        <v/>
      </c>
      <c r="AG2271" s="35">
        <f>IF(OR(C2271&lt;&gt;"Grayson Coulter",G2271&lt;'00_Control'!$B$7),"",--(AF2271&lt;5))</f>
        <v/>
      </c>
      <c r="AH2271" s="35">
        <f>IF(OR(C2271&lt;&gt;"Grayson Coulter",G2271&lt;'00_Control'!$B$7),"",--(AF2271&lt;10))</f>
        <v/>
      </c>
      <c r="AI2271" s="35">
        <f>IF(AND(C2271="Grayson Coulter",G2271&gt;='00_Control'!$B$7),"YES","NO")</f>
        <v/>
      </c>
      <c r="AJ2271" s="33" t="inlineStr">
        <is>
          <t>OK</t>
        </is>
      </c>
    </row>
    <row r="2272">
      <c r="A2272" s="33" t="inlineStr">
        <is>
          <t>SM002268</t>
        </is>
      </c>
      <c r="B2272" s="33" t="inlineStr">
        <is>
          <t>SW014</t>
        </is>
      </c>
      <c r="C2272" s="33" t="inlineStr">
        <is>
          <t>Luke Hobson</t>
        </is>
      </c>
      <c r="D2272" s="33" t="inlineStr">
        <is>
          <t>SwimCloud</t>
        </is>
      </c>
      <c r="E2272" s="33" t="inlineStr">
        <is>
          <t>576911</t>
        </is>
      </c>
      <c r="F2272" s="33" t="inlineStr">
        <is>
          <t>71743757</t>
        </is>
      </c>
      <c r="G2272" s="51" t="n">
        <v>42197</v>
      </c>
      <c r="H2272" s="33" t="inlineStr">
        <is>
          <t>2015 PC TERA LCM LCM JO'S</t>
        </is>
      </c>
      <c r="I2272" s="33" t="inlineStr">
        <is>
          <t>219563</t>
        </is>
      </c>
      <c r="J2272" s="33" t="inlineStr"/>
      <c r="K2272" s="33" t="inlineStr">
        <is>
          <t>PRE</t>
        </is>
      </c>
      <c r="L2272" s="35">
        <f>IF(K2272="FIN",3,IF(OR(K2272="SEM",K2272="SEMI"),2,IF(OR(K2272="PRE",K2272="HEAT"),1,IF(V2272="YES",4,2))))</f>
        <v/>
      </c>
      <c r="M2272" s="33" t="inlineStr">
        <is>
          <t>LCM</t>
        </is>
      </c>
      <c r="N2272" s="33" t="n">
        <v>100</v>
      </c>
      <c r="O2272" s="33" t="inlineStr">
        <is>
          <t>Free</t>
        </is>
      </c>
      <c r="P2272" s="33" t="inlineStr">
        <is>
          <t>100 Free</t>
        </is>
      </c>
      <c r="Q2272" s="33" t="inlineStr">
        <is>
          <t>LCM_100_FREE</t>
        </is>
      </c>
      <c r="R2272" s="36" t="n">
        <v>65.75</v>
      </c>
      <c r="S2272" s="35">
        <f>IF(R2272="","",IF(R2272&gt;=60,INT(R2272/60)&amp;":"&amp;TEXT(MOD(R2272,60),"00.00"),TEXT(R2272,"0.00")))</f>
        <v/>
      </c>
      <c r="T2272" s="52">
        <f>IFERROR((G2272-INDEX('01_Swimmers'!$E$5:$E$22,MATCH(B2272,'01_Swimmers'!$A$5:$A$22,0)))/'00_Control'!$B$10,"")</f>
        <v/>
      </c>
      <c r="U2272" s="35">
        <f>IF(T2272="","",INT(T2272))</f>
        <v/>
      </c>
      <c r="V2272" s="33" t="inlineStr">
        <is>
          <t>NO</t>
        </is>
      </c>
      <c r="W2272" s="33" t="inlineStr">
        <is>
          <t>YES</t>
        </is>
      </c>
      <c r="X2272" s="33" t="inlineStr">
        <is>
          <t>NO</t>
        </is>
      </c>
      <c r="Y2272" s="33" t="n">
        <v>3</v>
      </c>
      <c r="Z2272" s="33" t="n">
        <v>4</v>
      </c>
      <c r="AA2272" s="33" t="inlineStr">
        <is>
          <t>12</t>
        </is>
      </c>
      <c r="AB2272" s="33" t="inlineStr">
        <is>
          <t>https://www.swimcloud.com/results/219563/event/90/?id=71743757#time71743757</t>
        </is>
      </c>
      <c r="AC2272" s="33" t="inlineStr">
        <is>
          <t>SwimCloud API v6 2026-10-08</t>
        </is>
      </c>
      <c r="AD2272" s="33" t="inlineStr">
        <is>
          <t>Luke Hobson|2015-07-12|LCM|100|Free|65.75|2015 PC TERA LCM LCM JO'S|PRE|False</t>
        </is>
      </c>
      <c r="AE2272" s="53">
        <f>G2272+L2272/1000+ROW()/1000000000</f>
        <v/>
      </c>
      <c r="AF2272" s="35">
        <f>IF(C2272&lt;&gt;"Grayson Coulter","",COUNTIFS($C$5:$C$2991,"Grayson Coulter",$Q$5:$Q$2991,Q2272,$AE$5:$AE$2991,"&lt;="&amp;AE2272,$R$5:$R$2991,"&lt;"&amp;R2272))</f>
        <v/>
      </c>
      <c r="AG2272" s="35">
        <f>IF(OR(C2272&lt;&gt;"Grayson Coulter",G2272&lt;'00_Control'!$B$7),"",--(AF2272&lt;5))</f>
        <v/>
      </c>
      <c r="AH2272" s="35">
        <f>IF(OR(C2272&lt;&gt;"Grayson Coulter",G2272&lt;'00_Control'!$B$7),"",--(AF2272&lt;10))</f>
        <v/>
      </c>
      <c r="AI2272" s="35">
        <f>IF(AND(C2272="Grayson Coulter",G2272&gt;='00_Control'!$B$7),"YES","NO")</f>
        <v/>
      </c>
      <c r="AJ2272" s="33" t="inlineStr">
        <is>
          <t>OK</t>
        </is>
      </c>
    </row>
    <row r="2273">
      <c r="A2273" s="33" t="inlineStr">
        <is>
          <t>SM002269</t>
        </is>
      </c>
      <c r="B2273" s="33" t="inlineStr">
        <is>
          <t>SW014</t>
        </is>
      </c>
      <c r="C2273" s="33" t="inlineStr">
        <is>
          <t>Luke Hobson</t>
        </is>
      </c>
      <c r="D2273" s="33" t="inlineStr">
        <is>
          <t>SwimCloud</t>
        </is>
      </c>
      <c r="E2273" s="33" t="inlineStr">
        <is>
          <t>576911</t>
        </is>
      </c>
      <c r="F2273" s="33" t="inlineStr">
        <is>
          <t>85500990</t>
        </is>
      </c>
      <c r="G2273" s="51" t="n">
        <v>42923</v>
      </c>
      <c r="H2273" s="33" t="inlineStr">
        <is>
          <t>PC OAPB Orinda Aquatics Junior Olympics</t>
        </is>
      </c>
      <c r="I2273" s="33" t="inlineStr">
        <is>
          <t>114888</t>
        </is>
      </c>
      <c r="J2273" s="33" t="inlineStr"/>
      <c r="K2273" s="33" t="inlineStr">
        <is>
          <t>PRE</t>
        </is>
      </c>
      <c r="L2273" s="35">
        <f>IF(K2273="FIN",3,IF(OR(K2273="SEM",K2273="SEMI"),2,IF(OR(K2273="PRE",K2273="HEAT"),1,IF(V2273="YES",4,2))))</f>
        <v/>
      </c>
      <c r="M2273" s="33" t="inlineStr">
        <is>
          <t>LCM</t>
        </is>
      </c>
      <c r="N2273" s="33" t="n">
        <v>100</v>
      </c>
      <c r="O2273" s="33" t="inlineStr">
        <is>
          <t>Fly</t>
        </is>
      </c>
      <c r="P2273" s="33" t="inlineStr">
        <is>
          <t>100 Fly</t>
        </is>
      </c>
      <c r="Q2273" s="33" t="inlineStr">
        <is>
          <t>LCM_100_FLY</t>
        </is>
      </c>
      <c r="R2273" s="36" t="n">
        <v>64.84999999999999</v>
      </c>
      <c r="S2273" s="35">
        <f>IF(R2273="","",IF(R2273&gt;=60,INT(R2273/60)&amp;":"&amp;TEXT(MOD(R2273,60),"00.00"),TEXT(R2273,"0.00")))</f>
        <v/>
      </c>
      <c r="T2273" s="52">
        <f>IFERROR((G2273-INDEX('01_Swimmers'!$E$5:$E$22,MATCH(B2273,'01_Swimmers'!$A$5:$A$22,0)))/'00_Control'!$B$10,"")</f>
        <v/>
      </c>
      <c r="U2273" s="35">
        <f>IF(T2273="","",INT(T2273))</f>
        <v/>
      </c>
      <c r="V2273" s="33" t="inlineStr">
        <is>
          <t>NO</t>
        </is>
      </c>
      <c r="W2273" s="33" t="inlineStr">
        <is>
          <t>YES</t>
        </is>
      </c>
      <c r="X2273" s="33" t="inlineStr">
        <is>
          <t>NO</t>
        </is>
      </c>
      <c r="Y2273" s="33" t="n">
        <v>2</v>
      </c>
      <c r="Z2273" s="33" t="n">
        <v>2</v>
      </c>
      <c r="AA2273" s="33" t="inlineStr">
        <is>
          <t>17</t>
        </is>
      </c>
      <c r="AB2273" s="33" t="inlineStr">
        <is>
          <t>https://www.swimcloud.com/results/114888/event/8/?id=85500990#time85500990</t>
        </is>
      </c>
      <c r="AC2273" s="33" t="inlineStr">
        <is>
          <t>SwimCloud API v6 2026-10-08</t>
        </is>
      </c>
      <c r="AD2273" s="33" t="inlineStr">
        <is>
          <t>Luke Hobson|2017-07-07|LCM|100|Fly|64.85|PC OAPB Orinda Aquatics Junior Olympics|PRE|False</t>
        </is>
      </c>
      <c r="AE2273" s="53">
        <f>G2273+L2273/1000+ROW()/1000000000</f>
        <v/>
      </c>
      <c r="AF2273" s="35">
        <f>IF(C2273&lt;&gt;"Grayson Coulter","",COUNTIFS($C$5:$C$2991,"Grayson Coulter",$Q$5:$Q$2991,Q2273,$AE$5:$AE$2991,"&lt;="&amp;AE2273,$R$5:$R$2991,"&lt;"&amp;R2273))</f>
        <v/>
      </c>
      <c r="AG2273" s="35">
        <f>IF(OR(C2273&lt;&gt;"Grayson Coulter",G2273&lt;'00_Control'!$B$7),"",--(AF2273&lt;5))</f>
        <v/>
      </c>
      <c r="AH2273" s="35">
        <f>IF(OR(C2273&lt;&gt;"Grayson Coulter",G2273&lt;'00_Control'!$B$7),"",--(AF2273&lt;10))</f>
        <v/>
      </c>
      <c r="AI2273" s="35">
        <f>IF(AND(C2273="Grayson Coulter",G2273&gt;='00_Control'!$B$7),"YES","NO")</f>
        <v/>
      </c>
      <c r="AJ2273" s="33" t="inlineStr">
        <is>
          <t>OK</t>
        </is>
      </c>
    </row>
    <row r="2274">
      <c r="A2274" s="33" t="inlineStr">
        <is>
          <t>SM002270</t>
        </is>
      </c>
      <c r="B2274" s="33" t="inlineStr">
        <is>
          <t>SW014</t>
        </is>
      </c>
      <c r="C2274" s="33" t="inlineStr">
        <is>
          <t>Luke Hobson</t>
        </is>
      </c>
      <c r="D2274" s="33" t="inlineStr">
        <is>
          <t>SwimCloud</t>
        </is>
      </c>
      <c r="E2274" s="33" t="inlineStr">
        <is>
          <t>576911</t>
        </is>
      </c>
      <c r="F2274" s="33" t="inlineStr">
        <is>
          <t>85502513</t>
        </is>
      </c>
      <c r="G2274" s="51" t="n">
        <v>42923</v>
      </c>
      <c r="H2274" s="33" t="inlineStr">
        <is>
          <t>PC OAPB Orinda Aquatics Junior Olympics</t>
        </is>
      </c>
      <c r="I2274" s="33" t="inlineStr">
        <is>
          <t>114888</t>
        </is>
      </c>
      <c r="J2274" s="33" t="inlineStr"/>
      <c r="K2274" s="33" t="inlineStr">
        <is>
          <t>PRE</t>
        </is>
      </c>
      <c r="L2274" s="35">
        <f>IF(K2274="FIN",3,IF(OR(K2274="SEM",K2274="SEMI"),2,IF(OR(K2274="PRE",K2274="HEAT"),1,IF(V2274="YES",4,2))))</f>
        <v/>
      </c>
      <c r="M2274" s="33" t="inlineStr">
        <is>
          <t>LCM</t>
        </is>
      </c>
      <c r="N2274" s="33" t="n">
        <v>200</v>
      </c>
      <c r="O2274" s="33" t="inlineStr">
        <is>
          <t>Free</t>
        </is>
      </c>
      <c r="P2274" s="33" t="inlineStr">
        <is>
          <t>200 Free</t>
        </is>
      </c>
      <c r="Q2274" s="33" t="inlineStr">
        <is>
          <t>LCM_200_FREE</t>
        </is>
      </c>
      <c r="R2274" s="36" t="n">
        <v>128.46</v>
      </c>
      <c r="S2274" s="35">
        <f>IF(R2274="","",IF(R2274&gt;=60,INT(R2274/60)&amp;":"&amp;TEXT(MOD(R2274,60),"00.00"),TEXT(R2274,"0.00")))</f>
        <v/>
      </c>
      <c r="T2274" s="52">
        <f>IFERROR((G2274-INDEX('01_Swimmers'!$E$5:$E$22,MATCH(B2274,'01_Swimmers'!$A$5:$A$22,0)))/'00_Control'!$B$10,"")</f>
        <v/>
      </c>
      <c r="U2274" s="35">
        <f>IF(T2274="","",INT(T2274))</f>
        <v/>
      </c>
      <c r="V2274" s="33" t="inlineStr">
        <is>
          <t>NO</t>
        </is>
      </c>
      <c r="W2274" s="33" t="inlineStr">
        <is>
          <t>YES</t>
        </is>
      </c>
      <c r="X2274" s="33" t="inlineStr">
        <is>
          <t>NO</t>
        </is>
      </c>
      <c r="Y2274" s="33" t="n">
        <v>3</v>
      </c>
      <c r="Z2274" s="33" t="n">
        <v>4</v>
      </c>
      <c r="AA2274" s="33" t="inlineStr">
        <is>
          <t>7</t>
        </is>
      </c>
      <c r="AB2274" s="33" t="inlineStr">
        <is>
          <t>https://www.swimcloud.com/results/114888/event/2/?id=85502513#time85502513</t>
        </is>
      </c>
      <c r="AC2274" s="33" t="inlineStr">
        <is>
          <t>SwimCloud API v6 2026-10-08</t>
        </is>
      </c>
      <c r="AD2274" s="33" t="inlineStr">
        <is>
          <t>Luke Hobson|2017-07-07|LCM|200|Free|128.46|PC OAPB Orinda Aquatics Junior Olympics|PRE|False</t>
        </is>
      </c>
      <c r="AE2274" s="53">
        <f>G2274+L2274/1000+ROW()/1000000000</f>
        <v/>
      </c>
      <c r="AF2274" s="35">
        <f>IF(C2274&lt;&gt;"Grayson Coulter","",COUNTIFS($C$5:$C$2991,"Grayson Coulter",$Q$5:$Q$2991,Q2274,$AE$5:$AE$2991,"&lt;="&amp;AE2274,$R$5:$R$2991,"&lt;"&amp;R2274))</f>
        <v/>
      </c>
      <c r="AG2274" s="35">
        <f>IF(OR(C2274&lt;&gt;"Grayson Coulter",G2274&lt;'00_Control'!$B$7),"",--(AF2274&lt;5))</f>
        <v/>
      </c>
      <c r="AH2274" s="35">
        <f>IF(OR(C2274&lt;&gt;"Grayson Coulter",G2274&lt;'00_Control'!$B$7),"",--(AF2274&lt;10))</f>
        <v/>
      </c>
      <c r="AI2274" s="35">
        <f>IF(AND(C2274="Grayson Coulter",G2274&gt;='00_Control'!$B$7),"YES","NO")</f>
        <v/>
      </c>
      <c r="AJ2274" s="33" t="inlineStr">
        <is>
          <t>OK</t>
        </is>
      </c>
    </row>
    <row r="2275">
      <c r="A2275" s="33" t="inlineStr">
        <is>
          <t>SM002271</t>
        </is>
      </c>
      <c r="B2275" s="33" t="inlineStr">
        <is>
          <t>SW014</t>
        </is>
      </c>
      <c r="C2275" s="33" t="inlineStr">
        <is>
          <t>Luke Hobson</t>
        </is>
      </c>
      <c r="D2275" s="33" t="inlineStr">
        <is>
          <t>SwimCloud</t>
        </is>
      </c>
      <c r="E2275" s="33" t="inlineStr">
        <is>
          <t>576911</t>
        </is>
      </c>
      <c r="F2275" s="33" t="inlineStr">
        <is>
          <t>85502514</t>
        </is>
      </c>
      <c r="G2275" s="51" t="n">
        <v>42923</v>
      </c>
      <c r="H2275" s="33" t="inlineStr">
        <is>
          <t>PC OAPB Orinda Aquatics Junior Olympics</t>
        </is>
      </c>
      <c r="I2275" s="33" t="inlineStr">
        <is>
          <t>114888</t>
        </is>
      </c>
      <c r="J2275" s="33" t="inlineStr"/>
      <c r="K2275" s="33" t="inlineStr">
        <is>
          <t>FIN</t>
        </is>
      </c>
      <c r="L2275" s="35">
        <f>IF(K2275="FIN",3,IF(OR(K2275="SEM",K2275="SEMI"),2,IF(OR(K2275="PRE",K2275="HEAT"),1,IF(V2275="YES",4,2))))</f>
        <v/>
      </c>
      <c r="M2275" s="33" t="inlineStr">
        <is>
          <t>LCM</t>
        </is>
      </c>
      <c r="N2275" s="33" t="n">
        <v>200</v>
      </c>
      <c r="O2275" s="33" t="inlineStr">
        <is>
          <t>Free</t>
        </is>
      </c>
      <c r="P2275" s="33" t="inlineStr">
        <is>
          <t>200 Free</t>
        </is>
      </c>
      <c r="Q2275" s="33" t="inlineStr">
        <is>
          <t>LCM_200_FREE</t>
        </is>
      </c>
      <c r="R2275" s="36" t="n">
        <v>123.43</v>
      </c>
      <c r="S2275" s="35">
        <f>IF(R2275="","",IF(R2275&gt;=60,INT(R2275/60)&amp;":"&amp;TEXT(MOD(R2275,60),"00.00"),TEXT(R2275,"0.00")))</f>
        <v/>
      </c>
      <c r="T2275" s="52">
        <f>IFERROR((G2275-INDEX('01_Swimmers'!$E$5:$E$22,MATCH(B2275,'01_Swimmers'!$A$5:$A$22,0)))/'00_Control'!$B$10,"")</f>
        <v/>
      </c>
      <c r="U2275" s="35">
        <f>IF(T2275="","",INT(T2275))</f>
        <v/>
      </c>
      <c r="V2275" s="33" t="inlineStr">
        <is>
          <t>NO</t>
        </is>
      </c>
      <c r="W2275" s="33" t="inlineStr">
        <is>
          <t>YES</t>
        </is>
      </c>
      <c r="X2275" s="33" t="inlineStr">
        <is>
          <t>NO</t>
        </is>
      </c>
      <c r="Y2275" s="33" t="n">
        <v>3</v>
      </c>
      <c r="Z2275" s="33" t="n">
        <v>1</v>
      </c>
      <c r="AA2275" s="33" t="inlineStr">
        <is>
          <t>3</t>
        </is>
      </c>
      <c r="AB2275" s="33" t="inlineStr">
        <is>
          <t>https://www.swimcloud.com/results/114888/event/2/?id=85502514#time85502514</t>
        </is>
      </c>
      <c r="AC2275" s="33" t="inlineStr">
        <is>
          <t>SwimCloud API v6 2026-10-08</t>
        </is>
      </c>
      <c r="AD2275" s="33" t="inlineStr">
        <is>
          <t>Luke Hobson|2017-07-07|LCM|200|Free|123.43|PC OAPB Orinda Aquatics Junior Olympics|FIN|False</t>
        </is>
      </c>
      <c r="AE2275" s="53">
        <f>G2275+L2275/1000+ROW()/1000000000</f>
        <v/>
      </c>
      <c r="AF2275" s="35">
        <f>IF(C2275&lt;&gt;"Grayson Coulter","",COUNTIFS($C$5:$C$2991,"Grayson Coulter",$Q$5:$Q$2991,Q2275,$AE$5:$AE$2991,"&lt;="&amp;AE2275,$R$5:$R$2991,"&lt;"&amp;R2275))</f>
        <v/>
      </c>
      <c r="AG2275" s="35">
        <f>IF(OR(C2275&lt;&gt;"Grayson Coulter",G2275&lt;'00_Control'!$B$7),"",--(AF2275&lt;5))</f>
        <v/>
      </c>
      <c r="AH2275" s="35">
        <f>IF(OR(C2275&lt;&gt;"Grayson Coulter",G2275&lt;'00_Control'!$B$7),"",--(AF2275&lt;10))</f>
        <v/>
      </c>
      <c r="AI2275" s="35">
        <f>IF(AND(C2275="Grayson Coulter",G2275&gt;='00_Control'!$B$7),"YES","NO")</f>
        <v/>
      </c>
      <c r="AJ2275" s="33" t="inlineStr">
        <is>
          <t>OK</t>
        </is>
      </c>
    </row>
    <row r="2276">
      <c r="A2276" s="33" t="inlineStr">
        <is>
          <t>SM002272</t>
        </is>
      </c>
      <c r="B2276" s="33" t="inlineStr">
        <is>
          <t>SW014</t>
        </is>
      </c>
      <c r="C2276" s="33" t="inlineStr">
        <is>
          <t>Luke Hobson</t>
        </is>
      </c>
      <c r="D2276" s="33" t="inlineStr">
        <is>
          <t>SwimCloud</t>
        </is>
      </c>
      <c r="E2276" s="33" t="inlineStr">
        <is>
          <t>576911</t>
        </is>
      </c>
      <c r="F2276" s="33" t="inlineStr">
        <is>
          <t>85502214</t>
        </is>
      </c>
      <c r="G2276" s="51" t="n">
        <v>42924</v>
      </c>
      <c r="H2276" s="33" t="inlineStr">
        <is>
          <t>PC OAPB Orinda Aquatics Junior Olympics</t>
        </is>
      </c>
      <c r="I2276" s="33" t="inlineStr">
        <is>
          <t>114888</t>
        </is>
      </c>
      <c r="J2276" s="33" t="inlineStr"/>
      <c r="K2276" s="33" t="inlineStr">
        <is>
          <t>PRE</t>
        </is>
      </c>
      <c r="L2276" s="35">
        <f>IF(K2276="FIN",3,IF(OR(K2276="SEM",K2276="SEMI"),2,IF(OR(K2276="PRE",K2276="HEAT"),1,IF(V2276="YES",4,2))))</f>
        <v/>
      </c>
      <c r="M2276" s="33" t="inlineStr">
        <is>
          <t>LCM</t>
        </is>
      </c>
      <c r="N2276" s="33" t="n">
        <v>100</v>
      </c>
      <c r="O2276" s="33" t="inlineStr">
        <is>
          <t>Free</t>
        </is>
      </c>
      <c r="P2276" s="33" t="inlineStr">
        <is>
          <t>100 Free</t>
        </is>
      </c>
      <c r="Q2276" s="33" t="inlineStr">
        <is>
          <t>LCM_100_FREE</t>
        </is>
      </c>
      <c r="R2276" s="36" t="n">
        <v>57.81</v>
      </c>
      <c r="S2276" s="35">
        <f>IF(R2276="","",IF(R2276&gt;=60,INT(R2276/60)&amp;":"&amp;TEXT(MOD(R2276,60),"00.00"),TEXT(R2276,"0.00")))</f>
        <v/>
      </c>
      <c r="T2276" s="52">
        <f>IFERROR((G2276-INDEX('01_Swimmers'!$E$5:$E$22,MATCH(B2276,'01_Swimmers'!$A$5:$A$22,0)))/'00_Control'!$B$10,"")</f>
        <v/>
      </c>
      <c r="U2276" s="35">
        <f>IF(T2276="","",INT(T2276))</f>
        <v/>
      </c>
      <c r="V2276" s="33" t="inlineStr">
        <is>
          <t>NO</t>
        </is>
      </c>
      <c r="W2276" s="33" t="inlineStr">
        <is>
          <t>YES</t>
        </is>
      </c>
      <c r="X2276" s="33" t="inlineStr">
        <is>
          <t>NO</t>
        </is>
      </c>
      <c r="Y2276" s="33" t="n">
        <v>3</v>
      </c>
      <c r="Z2276" s="33" t="n">
        <v>5</v>
      </c>
      <c r="AA2276" s="33" t="inlineStr">
        <is>
          <t>11</t>
        </is>
      </c>
      <c r="AB2276" s="33" t="inlineStr">
        <is>
          <t>https://www.swimcloud.com/results/114888/event/40/?id=85502214#time85502214</t>
        </is>
      </c>
      <c r="AC2276" s="33" t="inlineStr">
        <is>
          <t>SwimCloud API v6 2026-10-08</t>
        </is>
      </c>
      <c r="AD2276" s="33" t="inlineStr">
        <is>
          <t>Luke Hobson|2017-07-08|LCM|100|Free|57.81|PC OAPB Orinda Aquatics Junior Olympics|PRE|False</t>
        </is>
      </c>
      <c r="AE2276" s="53">
        <f>G2276+L2276/1000+ROW()/1000000000</f>
        <v/>
      </c>
      <c r="AF2276" s="35">
        <f>IF(C2276&lt;&gt;"Grayson Coulter","",COUNTIFS($C$5:$C$2991,"Grayson Coulter",$Q$5:$Q$2991,Q2276,$AE$5:$AE$2991,"&lt;="&amp;AE2276,$R$5:$R$2991,"&lt;"&amp;R2276))</f>
        <v/>
      </c>
      <c r="AG2276" s="35">
        <f>IF(OR(C2276&lt;&gt;"Grayson Coulter",G2276&lt;'00_Control'!$B$7),"",--(AF2276&lt;5))</f>
        <v/>
      </c>
      <c r="AH2276" s="35">
        <f>IF(OR(C2276&lt;&gt;"Grayson Coulter",G2276&lt;'00_Control'!$B$7),"",--(AF2276&lt;10))</f>
        <v/>
      </c>
      <c r="AI2276" s="35">
        <f>IF(AND(C2276="Grayson Coulter",G2276&gt;='00_Control'!$B$7),"YES","NO")</f>
        <v/>
      </c>
      <c r="AJ2276" s="33" t="inlineStr">
        <is>
          <t>OK</t>
        </is>
      </c>
    </row>
    <row r="2277">
      <c r="A2277" s="33" t="inlineStr">
        <is>
          <t>SM002273</t>
        </is>
      </c>
      <c r="B2277" s="33" t="inlineStr">
        <is>
          <t>SW014</t>
        </is>
      </c>
      <c r="C2277" s="33" t="inlineStr">
        <is>
          <t>Luke Hobson</t>
        </is>
      </c>
      <c r="D2277" s="33" t="inlineStr">
        <is>
          <t>SwimCloud</t>
        </is>
      </c>
      <c r="E2277" s="33" t="inlineStr">
        <is>
          <t>576911</t>
        </is>
      </c>
      <c r="F2277" s="33" t="inlineStr">
        <is>
          <t>85502636</t>
        </is>
      </c>
      <c r="G2277" s="51" t="n">
        <v>42925</v>
      </c>
      <c r="H2277" s="33" t="inlineStr">
        <is>
          <t>PC OAPB Orinda Aquatics Junior Olympics</t>
        </is>
      </c>
      <c r="I2277" s="33" t="inlineStr">
        <is>
          <t>114888</t>
        </is>
      </c>
      <c r="J2277" s="33" t="inlineStr"/>
      <c r="K2277" s="33" t="inlineStr">
        <is>
          <t>PRE</t>
        </is>
      </c>
      <c r="L2277" s="35">
        <f>IF(K2277="FIN",3,IF(OR(K2277="SEM",K2277="SEMI"),2,IF(OR(K2277="PRE",K2277="HEAT"),1,IF(V2277="YES",4,2))))</f>
        <v/>
      </c>
      <c r="M2277" s="33" t="inlineStr">
        <is>
          <t>LCM</t>
        </is>
      </c>
      <c r="N2277" s="33" t="n">
        <v>400</v>
      </c>
      <c r="O2277" s="33" t="inlineStr">
        <is>
          <t>Free</t>
        </is>
      </c>
      <c r="P2277" s="33" t="inlineStr">
        <is>
          <t>400 Free</t>
        </is>
      </c>
      <c r="Q2277" s="33" t="inlineStr">
        <is>
          <t>LCM_400_FREE</t>
        </is>
      </c>
      <c r="R2277" s="36" t="n">
        <v>269.92</v>
      </c>
      <c r="S2277" s="35">
        <f>IF(R2277="","",IF(R2277&gt;=60,INT(R2277/60)&amp;":"&amp;TEXT(MOD(R2277,60),"00.00"),TEXT(R2277,"0.00")))</f>
        <v/>
      </c>
      <c r="T2277" s="52">
        <f>IFERROR((G2277-INDEX('01_Swimmers'!$E$5:$E$22,MATCH(B2277,'01_Swimmers'!$A$5:$A$22,0)))/'00_Control'!$B$10,"")</f>
        <v/>
      </c>
      <c r="U2277" s="35">
        <f>IF(T2277="","",INT(T2277))</f>
        <v/>
      </c>
      <c r="V2277" s="33" t="inlineStr">
        <is>
          <t>NO</t>
        </is>
      </c>
      <c r="W2277" s="33" t="inlineStr">
        <is>
          <t>YES</t>
        </is>
      </c>
      <c r="X2277" s="33" t="inlineStr">
        <is>
          <t>NO</t>
        </is>
      </c>
      <c r="Y2277" s="33" t="n">
        <v>1</v>
      </c>
      <c r="Z2277" s="33" t="n">
        <v>4</v>
      </c>
      <c r="AA2277" s="33" t="inlineStr">
        <is>
          <t>4</t>
        </is>
      </c>
      <c r="AB2277" s="33" t="inlineStr">
        <is>
          <t>https://www.swimcloud.com/results/114888/event/88/?id=85502636#time85502636</t>
        </is>
      </c>
      <c r="AC2277" s="33" t="inlineStr">
        <is>
          <t>SwimCloud API v6 2026-10-08</t>
        </is>
      </c>
      <c r="AD2277" s="33" t="inlineStr">
        <is>
          <t>Luke Hobson|2017-07-09|LCM|400|Free|269.92|PC OAPB Orinda Aquatics Junior Olympics|PRE|False</t>
        </is>
      </c>
      <c r="AE2277" s="53">
        <f>G2277+L2277/1000+ROW()/1000000000</f>
        <v/>
      </c>
      <c r="AF2277" s="35">
        <f>IF(C2277&lt;&gt;"Grayson Coulter","",COUNTIFS($C$5:$C$2991,"Grayson Coulter",$Q$5:$Q$2991,Q2277,$AE$5:$AE$2991,"&lt;="&amp;AE2277,$R$5:$R$2991,"&lt;"&amp;R2277))</f>
        <v/>
      </c>
      <c r="AG2277" s="35">
        <f>IF(OR(C2277&lt;&gt;"Grayson Coulter",G2277&lt;'00_Control'!$B$7),"",--(AF2277&lt;5))</f>
        <v/>
      </c>
      <c r="AH2277" s="35">
        <f>IF(OR(C2277&lt;&gt;"Grayson Coulter",G2277&lt;'00_Control'!$B$7),"",--(AF2277&lt;10))</f>
        <v/>
      </c>
      <c r="AI2277" s="35">
        <f>IF(AND(C2277="Grayson Coulter",G2277&gt;='00_Control'!$B$7),"YES","NO")</f>
        <v/>
      </c>
      <c r="AJ2277" s="33" t="inlineStr">
        <is>
          <t>OK</t>
        </is>
      </c>
    </row>
    <row r="2278">
      <c r="A2278" s="33" t="inlineStr">
        <is>
          <t>SM002274</t>
        </is>
      </c>
      <c r="B2278" s="33" t="inlineStr">
        <is>
          <t>SW014</t>
        </is>
      </c>
      <c r="C2278" s="33" t="inlineStr">
        <is>
          <t>Luke Hobson</t>
        </is>
      </c>
      <c r="D2278" s="33" t="inlineStr">
        <is>
          <t>SwimCloud</t>
        </is>
      </c>
      <c r="E2278" s="33" t="inlineStr">
        <is>
          <t>576911</t>
        </is>
      </c>
      <c r="F2278" s="33" t="inlineStr">
        <is>
          <t>85502637</t>
        </is>
      </c>
      <c r="G2278" s="51" t="n">
        <v>42925</v>
      </c>
      <c r="H2278" s="33" t="inlineStr">
        <is>
          <t>PC OAPB Orinda Aquatics Junior Olympics</t>
        </is>
      </c>
      <c r="I2278" s="33" t="inlineStr">
        <is>
          <t>114888</t>
        </is>
      </c>
      <c r="J2278" s="33" t="inlineStr"/>
      <c r="K2278" s="33" t="inlineStr">
        <is>
          <t>FIN</t>
        </is>
      </c>
      <c r="L2278" s="35">
        <f>IF(K2278="FIN",3,IF(OR(K2278="SEM",K2278="SEMI"),2,IF(OR(K2278="PRE",K2278="HEAT"),1,IF(V2278="YES",4,2))))</f>
        <v/>
      </c>
      <c r="M2278" s="33" t="inlineStr">
        <is>
          <t>LCM</t>
        </is>
      </c>
      <c r="N2278" s="33" t="n">
        <v>400</v>
      </c>
      <c r="O2278" s="33" t="inlineStr">
        <is>
          <t>Free</t>
        </is>
      </c>
      <c r="P2278" s="33" t="inlineStr">
        <is>
          <t>400 Free</t>
        </is>
      </c>
      <c r="Q2278" s="33" t="inlineStr">
        <is>
          <t>LCM_400_FREE</t>
        </is>
      </c>
      <c r="R2278" s="36" t="n">
        <v>269.19</v>
      </c>
      <c r="S2278" s="35">
        <f>IF(R2278="","",IF(R2278&gt;=60,INT(R2278/60)&amp;":"&amp;TEXT(MOD(R2278,60),"00.00"),TEXT(R2278,"0.00")))</f>
        <v/>
      </c>
      <c r="T2278" s="52">
        <f>IFERROR((G2278-INDEX('01_Swimmers'!$E$5:$E$22,MATCH(B2278,'01_Swimmers'!$A$5:$A$22,0)))/'00_Control'!$B$10,"")</f>
        <v/>
      </c>
      <c r="U2278" s="35">
        <f>IF(T2278="","",INT(T2278))</f>
        <v/>
      </c>
      <c r="V2278" s="33" t="inlineStr">
        <is>
          <t>NO</t>
        </is>
      </c>
      <c r="W2278" s="33" t="inlineStr">
        <is>
          <t>YES</t>
        </is>
      </c>
      <c r="X2278" s="33" t="inlineStr">
        <is>
          <t>NO</t>
        </is>
      </c>
      <c r="Y2278" s="33" t="n">
        <v>3</v>
      </c>
      <c r="Z2278" s="33" t="n">
        <v>6</v>
      </c>
      <c r="AA2278" s="33" t="inlineStr">
        <is>
          <t>2</t>
        </is>
      </c>
      <c r="AB2278" s="33" t="inlineStr">
        <is>
          <t>https://www.swimcloud.com/results/114888/event/88/?id=85502637#time85502637</t>
        </is>
      </c>
      <c r="AC2278" s="33" t="inlineStr">
        <is>
          <t>SwimCloud API v6 2026-10-08</t>
        </is>
      </c>
      <c r="AD2278" s="33" t="inlineStr">
        <is>
          <t>Luke Hobson|2017-07-09|LCM|400|Free|269.19|PC OAPB Orinda Aquatics Junior Olympics|FIN|False</t>
        </is>
      </c>
      <c r="AE2278" s="53">
        <f>G2278+L2278/1000+ROW()/1000000000</f>
        <v/>
      </c>
      <c r="AF2278" s="35">
        <f>IF(C2278&lt;&gt;"Grayson Coulter","",COUNTIFS($C$5:$C$2991,"Grayson Coulter",$Q$5:$Q$2991,Q2278,$AE$5:$AE$2991,"&lt;="&amp;AE2278,$R$5:$R$2991,"&lt;"&amp;R2278))</f>
        <v/>
      </c>
      <c r="AG2278" s="35">
        <f>IF(OR(C2278&lt;&gt;"Grayson Coulter",G2278&lt;'00_Control'!$B$7),"",--(AF2278&lt;5))</f>
        <v/>
      </c>
      <c r="AH2278" s="35">
        <f>IF(OR(C2278&lt;&gt;"Grayson Coulter",G2278&lt;'00_Control'!$B$7),"",--(AF2278&lt;10))</f>
        <v/>
      </c>
      <c r="AI2278" s="35">
        <f>IF(AND(C2278="Grayson Coulter",G2278&gt;='00_Control'!$B$7),"YES","NO")</f>
        <v/>
      </c>
      <c r="AJ2278" s="33" t="inlineStr">
        <is>
          <t>OK</t>
        </is>
      </c>
    </row>
    <row r="2279">
      <c r="A2279" s="33" t="inlineStr">
        <is>
          <t>SM002275</t>
        </is>
      </c>
      <c r="B2279" s="33" t="inlineStr">
        <is>
          <t>SW014</t>
        </is>
      </c>
      <c r="C2279" s="33" t="inlineStr">
        <is>
          <t>Luke Hobson</t>
        </is>
      </c>
      <c r="D2279" s="33" t="inlineStr">
        <is>
          <t>SwimCloud</t>
        </is>
      </c>
      <c r="E2279" s="33" t="inlineStr">
        <is>
          <t>576911</t>
        </is>
      </c>
      <c r="F2279" s="33" t="inlineStr">
        <is>
          <t>12343271</t>
        </is>
      </c>
      <c r="G2279" s="51" t="n">
        <v>42949</v>
      </c>
      <c r="H2279" s="33" t="inlineStr">
        <is>
          <t>Western Zone Senior Championships</t>
        </is>
      </c>
      <c r="I2279" s="33" t="inlineStr">
        <is>
          <t>97258</t>
        </is>
      </c>
      <c r="J2279" s="33" t="inlineStr"/>
      <c r="K2279" s="33" t="inlineStr">
        <is>
          <t>PRE</t>
        </is>
      </c>
      <c r="L2279" s="35">
        <f>IF(K2279="FIN",3,IF(OR(K2279="SEM",K2279="SEMI"),2,IF(OR(K2279="PRE",K2279="HEAT"),1,IF(V2279="YES",4,2))))</f>
        <v/>
      </c>
      <c r="M2279" s="33" t="inlineStr">
        <is>
          <t>LCM</t>
        </is>
      </c>
      <c r="N2279" s="33" t="n">
        <v>100</v>
      </c>
      <c r="O2279" s="33" t="inlineStr">
        <is>
          <t>Free</t>
        </is>
      </c>
      <c r="P2279" s="33" t="inlineStr">
        <is>
          <t>100 Free</t>
        </is>
      </c>
      <c r="Q2279" s="33" t="inlineStr">
        <is>
          <t>LCM_100_FREE</t>
        </is>
      </c>
      <c r="R2279" s="36" t="n">
        <v>57.83</v>
      </c>
      <c r="S2279" s="35">
        <f>IF(R2279="","",IF(R2279&gt;=60,INT(R2279/60)&amp;":"&amp;TEXT(MOD(R2279,60),"00.00"),TEXT(R2279,"0.00")))</f>
        <v/>
      </c>
      <c r="T2279" s="52">
        <f>IFERROR((G2279-INDEX('01_Swimmers'!$E$5:$E$22,MATCH(B2279,'01_Swimmers'!$A$5:$A$22,0)))/'00_Control'!$B$10,"")</f>
        <v/>
      </c>
      <c r="U2279" s="35">
        <f>IF(T2279="","",INT(T2279))</f>
        <v/>
      </c>
      <c r="V2279" s="33" t="inlineStr">
        <is>
          <t>NO</t>
        </is>
      </c>
      <c r="W2279" s="33" t="inlineStr">
        <is>
          <t>YES</t>
        </is>
      </c>
      <c r="X2279" s="33" t="inlineStr">
        <is>
          <t>NO</t>
        </is>
      </c>
      <c r="Y2279" s="33" t="n">
        <v>30</v>
      </c>
      <c r="Z2279" s="33" t="n">
        <v>7</v>
      </c>
      <c r="AA2279" s="33" t="inlineStr">
        <is>
          <t>201</t>
        </is>
      </c>
      <c r="AB2279" s="33" t="inlineStr">
        <is>
          <t>https://www.swimcloud.com/results/97258/event/4/?id=12343271#time12343271</t>
        </is>
      </c>
      <c r="AC2279" s="33" t="inlineStr">
        <is>
          <t>SwimCloud API v6 2026-10-08</t>
        </is>
      </c>
      <c r="AD2279" s="33" t="inlineStr">
        <is>
          <t>Luke Hobson|2017-08-02|LCM|100|Free|57.83|Western Zone Senior Championships|PRE|False</t>
        </is>
      </c>
      <c r="AE2279" s="53">
        <f>G2279+L2279/1000+ROW()/1000000000</f>
        <v/>
      </c>
      <c r="AF2279" s="35">
        <f>IF(C2279&lt;&gt;"Grayson Coulter","",COUNTIFS($C$5:$C$2991,"Grayson Coulter",$Q$5:$Q$2991,Q2279,$AE$5:$AE$2991,"&lt;="&amp;AE2279,$R$5:$R$2991,"&lt;"&amp;R2279))</f>
        <v/>
      </c>
      <c r="AG2279" s="35">
        <f>IF(OR(C2279&lt;&gt;"Grayson Coulter",G2279&lt;'00_Control'!$B$7),"",--(AF2279&lt;5))</f>
        <v/>
      </c>
      <c r="AH2279" s="35">
        <f>IF(OR(C2279&lt;&gt;"Grayson Coulter",G2279&lt;'00_Control'!$B$7),"",--(AF2279&lt;10))</f>
        <v/>
      </c>
      <c r="AI2279" s="35">
        <f>IF(AND(C2279="Grayson Coulter",G2279&gt;='00_Control'!$B$7),"YES","NO")</f>
        <v/>
      </c>
      <c r="AJ2279" s="33" t="inlineStr">
        <is>
          <t>OK</t>
        </is>
      </c>
    </row>
    <row r="2280">
      <c r="A2280" s="33" t="inlineStr">
        <is>
          <t>SM002276</t>
        </is>
      </c>
      <c r="B2280" s="33" t="inlineStr">
        <is>
          <t>SW014</t>
        </is>
      </c>
      <c r="C2280" s="33" t="inlineStr">
        <is>
          <t>Luke Hobson</t>
        </is>
      </c>
      <c r="D2280" s="33" t="inlineStr">
        <is>
          <t>SwimCloud</t>
        </is>
      </c>
      <c r="E2280" s="33" t="inlineStr">
        <is>
          <t>576911</t>
        </is>
      </c>
      <c r="F2280" s="33" t="inlineStr">
        <is>
          <t>12348430</t>
        </is>
      </c>
      <c r="G2280" s="51" t="n">
        <v>42950</v>
      </c>
      <c r="H2280" s="33" t="inlineStr">
        <is>
          <t>Western Zone Senior Championships</t>
        </is>
      </c>
      <c r="I2280" s="33" t="inlineStr">
        <is>
          <t>97258</t>
        </is>
      </c>
      <c r="J2280" s="33" t="inlineStr"/>
      <c r="K2280" s="33" t="inlineStr">
        <is>
          <t>PRE</t>
        </is>
      </c>
      <c r="L2280" s="35">
        <f>IF(K2280="FIN",3,IF(OR(K2280="SEM",K2280="SEMI"),2,IF(OR(K2280="PRE",K2280="HEAT"),1,IF(V2280="YES",4,2))))</f>
        <v/>
      </c>
      <c r="M2280" s="33" t="inlineStr">
        <is>
          <t>LCM</t>
        </is>
      </c>
      <c r="N2280" s="33" t="n">
        <v>400</v>
      </c>
      <c r="O2280" s="33" t="inlineStr">
        <is>
          <t>Free</t>
        </is>
      </c>
      <c r="P2280" s="33" t="inlineStr">
        <is>
          <t>400 Free</t>
        </is>
      </c>
      <c r="Q2280" s="33" t="inlineStr">
        <is>
          <t>LCM_400_FREE</t>
        </is>
      </c>
      <c r="R2280" s="36" t="n">
        <v>257.39</v>
      </c>
      <c r="S2280" s="35">
        <f>IF(R2280="","",IF(R2280&gt;=60,INT(R2280/60)&amp;":"&amp;TEXT(MOD(R2280,60),"00.00"),TEXT(R2280,"0.00")))</f>
        <v/>
      </c>
      <c r="T2280" s="52">
        <f>IFERROR((G2280-INDEX('01_Swimmers'!$E$5:$E$22,MATCH(B2280,'01_Swimmers'!$A$5:$A$22,0)))/'00_Control'!$B$10,"")</f>
        <v/>
      </c>
      <c r="U2280" s="35">
        <f>IF(T2280="","",INT(T2280))</f>
        <v/>
      </c>
      <c r="V2280" s="33" t="inlineStr">
        <is>
          <t>NO</t>
        </is>
      </c>
      <c r="W2280" s="33" t="inlineStr">
        <is>
          <t>YES</t>
        </is>
      </c>
      <c r="X2280" s="33" t="inlineStr">
        <is>
          <t>NO</t>
        </is>
      </c>
      <c r="Y2280" s="33" t="n">
        <v>17</v>
      </c>
      <c r="Z2280" s="33" t="n">
        <v>2</v>
      </c>
      <c r="AA2280" s="33" t="inlineStr">
        <is>
          <t>27</t>
        </is>
      </c>
      <c r="AB2280" s="33" t="inlineStr">
        <is>
          <t>https://www.swimcloud.com/results/97258/event/15/?id=12348430#time12348430</t>
        </is>
      </c>
      <c r="AC2280" s="33" t="inlineStr">
        <is>
          <t>SwimCloud API v6 2026-10-08</t>
        </is>
      </c>
      <c r="AD2280" s="33" t="inlineStr">
        <is>
          <t>Luke Hobson|2017-08-03|LCM|400|Free|257.39|Western Zone Senior Championships|PRE|False</t>
        </is>
      </c>
      <c r="AE2280" s="53">
        <f>G2280+L2280/1000+ROW()/1000000000</f>
        <v/>
      </c>
      <c r="AF2280" s="35">
        <f>IF(C2280&lt;&gt;"Grayson Coulter","",COUNTIFS($C$5:$C$2991,"Grayson Coulter",$Q$5:$Q$2991,Q2280,$AE$5:$AE$2991,"&lt;="&amp;AE2280,$R$5:$R$2991,"&lt;"&amp;R2280))</f>
        <v/>
      </c>
      <c r="AG2280" s="35">
        <f>IF(OR(C2280&lt;&gt;"Grayson Coulter",G2280&lt;'00_Control'!$B$7),"",--(AF2280&lt;5))</f>
        <v/>
      </c>
      <c r="AH2280" s="35">
        <f>IF(OR(C2280&lt;&gt;"Grayson Coulter",G2280&lt;'00_Control'!$B$7),"",--(AF2280&lt;10))</f>
        <v/>
      </c>
      <c r="AI2280" s="35">
        <f>IF(AND(C2280="Grayson Coulter",G2280&gt;='00_Control'!$B$7),"YES","NO")</f>
        <v/>
      </c>
      <c r="AJ2280" s="33" t="inlineStr">
        <is>
          <t>OK</t>
        </is>
      </c>
    </row>
    <row r="2281">
      <c r="A2281" s="33" t="inlineStr">
        <is>
          <t>SM002277</t>
        </is>
      </c>
      <c r="B2281" s="33" t="inlineStr">
        <is>
          <t>SW014</t>
        </is>
      </c>
      <c r="C2281" s="33" t="inlineStr">
        <is>
          <t>Luke Hobson</t>
        </is>
      </c>
      <c r="D2281" s="33" t="inlineStr">
        <is>
          <t>SwimCloud</t>
        </is>
      </c>
      <c r="E2281" s="33" t="inlineStr">
        <is>
          <t>576911</t>
        </is>
      </c>
      <c r="F2281" s="33" t="inlineStr">
        <is>
          <t>12348548</t>
        </is>
      </c>
      <c r="G2281" s="51" t="n">
        <v>42950</v>
      </c>
      <c r="H2281" s="33" t="inlineStr">
        <is>
          <t>Western Zone Senior Championships</t>
        </is>
      </c>
      <c r="I2281" s="33" t="inlineStr">
        <is>
          <t>97258</t>
        </is>
      </c>
      <c r="J2281" s="33" t="inlineStr"/>
      <c r="K2281" s="33" t="inlineStr">
        <is>
          <t>FIN</t>
        </is>
      </c>
      <c r="L2281" s="35">
        <f>IF(K2281="FIN",3,IF(OR(K2281="SEM",K2281="SEMI"),2,IF(OR(K2281="PRE",K2281="HEAT"),1,IF(V2281="YES",4,2))))</f>
        <v/>
      </c>
      <c r="M2281" s="33" t="inlineStr">
        <is>
          <t>LCM</t>
        </is>
      </c>
      <c r="N2281" s="33" t="n">
        <v>400</v>
      </c>
      <c r="O2281" s="33" t="inlineStr">
        <is>
          <t>Free</t>
        </is>
      </c>
      <c r="P2281" s="33" t="inlineStr">
        <is>
          <t>400 Free</t>
        </is>
      </c>
      <c r="Q2281" s="33" t="inlineStr">
        <is>
          <t>LCM_400_FREE</t>
        </is>
      </c>
      <c r="R2281" s="36" t="n">
        <v>262.15</v>
      </c>
      <c r="S2281" s="35">
        <f>IF(R2281="","",IF(R2281&gt;=60,INT(R2281/60)&amp;":"&amp;TEXT(MOD(R2281,60),"00.00"),TEXT(R2281,"0.00")))</f>
        <v/>
      </c>
      <c r="T2281" s="52">
        <f>IFERROR((G2281-INDEX('01_Swimmers'!$E$5:$E$22,MATCH(B2281,'01_Swimmers'!$A$5:$A$22,0)))/'00_Control'!$B$10,"")</f>
        <v/>
      </c>
      <c r="U2281" s="35">
        <f>IF(T2281="","",INT(T2281))</f>
        <v/>
      </c>
      <c r="V2281" s="33" t="inlineStr">
        <is>
          <t>NO</t>
        </is>
      </c>
      <c r="W2281" s="33" t="inlineStr">
        <is>
          <t>YES</t>
        </is>
      </c>
      <c r="X2281" s="33" t="inlineStr">
        <is>
          <t>NO</t>
        </is>
      </c>
      <c r="Y2281" s="33" t="n">
        <v>1</v>
      </c>
      <c r="Z2281" s="33" t="n">
        <v>5</v>
      </c>
      <c r="AA2281" s="33" t="inlineStr">
        <is>
          <t>32</t>
        </is>
      </c>
      <c r="AB2281" s="33" t="inlineStr">
        <is>
          <t>https://www.swimcloud.com/results/97258/event/15/?id=12348548#time12348548</t>
        </is>
      </c>
      <c r="AC2281" s="33" t="inlineStr">
        <is>
          <t>SwimCloud API v6 2026-10-08</t>
        </is>
      </c>
      <c r="AD2281" s="33" t="inlineStr">
        <is>
          <t>Luke Hobson|2017-08-03|LCM|400|Free|262.15|Western Zone Senior Championships|FIN|False</t>
        </is>
      </c>
      <c r="AE2281" s="53">
        <f>G2281+L2281/1000+ROW()/1000000000</f>
        <v/>
      </c>
      <c r="AF2281" s="35">
        <f>IF(C2281&lt;&gt;"Grayson Coulter","",COUNTIFS($C$5:$C$2991,"Grayson Coulter",$Q$5:$Q$2991,Q2281,$AE$5:$AE$2991,"&lt;="&amp;AE2281,$R$5:$R$2991,"&lt;"&amp;R2281))</f>
        <v/>
      </c>
      <c r="AG2281" s="35">
        <f>IF(OR(C2281&lt;&gt;"Grayson Coulter",G2281&lt;'00_Control'!$B$7),"",--(AF2281&lt;5))</f>
        <v/>
      </c>
      <c r="AH2281" s="35">
        <f>IF(OR(C2281&lt;&gt;"Grayson Coulter",G2281&lt;'00_Control'!$B$7),"",--(AF2281&lt;10))</f>
        <v/>
      </c>
      <c r="AI2281" s="35">
        <f>IF(AND(C2281="Grayson Coulter",G2281&gt;='00_Control'!$B$7),"YES","NO")</f>
        <v/>
      </c>
      <c r="AJ2281" s="33" t="inlineStr">
        <is>
          <t>OK</t>
        </is>
      </c>
    </row>
    <row r="2282">
      <c r="A2282" s="33" t="inlineStr">
        <is>
          <t>SM002278</t>
        </is>
      </c>
      <c r="B2282" s="33" t="inlineStr">
        <is>
          <t>SW014</t>
        </is>
      </c>
      <c r="C2282" s="33" t="inlineStr">
        <is>
          <t>Luke Hobson</t>
        </is>
      </c>
      <c r="D2282" s="33" t="inlineStr">
        <is>
          <t>SwimCloud</t>
        </is>
      </c>
      <c r="E2282" s="33" t="inlineStr">
        <is>
          <t>576911</t>
        </is>
      </c>
      <c r="F2282" s="33" t="inlineStr">
        <is>
          <t>12346216</t>
        </is>
      </c>
      <c r="G2282" s="51" t="n">
        <v>42951</v>
      </c>
      <c r="H2282" s="33" t="inlineStr">
        <is>
          <t>Western Zone Senior Championships</t>
        </is>
      </c>
      <c r="I2282" s="33" t="inlineStr">
        <is>
          <t>97258</t>
        </is>
      </c>
      <c r="J2282" s="33" t="inlineStr"/>
      <c r="K2282" s="33" t="inlineStr">
        <is>
          <t>PRE</t>
        </is>
      </c>
      <c r="L2282" s="35">
        <f>IF(K2282="FIN",3,IF(OR(K2282="SEM",K2282="SEMI"),2,IF(OR(K2282="PRE",K2282="HEAT"),1,IF(V2282="YES",4,2))))</f>
        <v/>
      </c>
      <c r="M2282" s="33" t="inlineStr">
        <is>
          <t>LCM</t>
        </is>
      </c>
      <c r="N2282" s="33" t="n">
        <v>200</v>
      </c>
      <c r="O2282" s="33" t="inlineStr">
        <is>
          <t>Free</t>
        </is>
      </c>
      <c r="P2282" s="33" t="inlineStr">
        <is>
          <t>200 Free</t>
        </is>
      </c>
      <c r="Q2282" s="33" t="inlineStr">
        <is>
          <t>LCM_200_FREE</t>
        </is>
      </c>
      <c r="R2282" s="36" t="n">
        <v>124.14</v>
      </c>
      <c r="S2282" s="35">
        <f>IF(R2282="","",IF(R2282&gt;=60,INT(R2282/60)&amp;":"&amp;TEXT(MOD(R2282,60),"00.00"),TEXT(R2282,"0.00")))</f>
        <v/>
      </c>
      <c r="T2282" s="52">
        <f>IFERROR((G2282-INDEX('01_Swimmers'!$E$5:$E$22,MATCH(B2282,'01_Swimmers'!$A$5:$A$22,0)))/'00_Control'!$B$10,"")</f>
        <v/>
      </c>
      <c r="U2282" s="35">
        <f>IF(T2282="","",INT(T2282))</f>
        <v/>
      </c>
      <c r="V2282" s="33" t="inlineStr">
        <is>
          <t>NO</t>
        </is>
      </c>
      <c r="W2282" s="33" t="inlineStr">
        <is>
          <t>YES</t>
        </is>
      </c>
      <c r="X2282" s="33" t="inlineStr">
        <is>
          <t>NO</t>
        </is>
      </c>
      <c r="Y2282" s="33" t="n">
        <v>22</v>
      </c>
      <c r="Z2282" s="33" t="n">
        <v>5</v>
      </c>
      <c r="AA2282" s="33" t="inlineStr">
        <is>
          <t>85</t>
        </is>
      </c>
      <c r="AB2282" s="33" t="inlineStr">
        <is>
          <t>https://www.swimcloud.com/results/97258/event/18/?id=12346216#time12346216</t>
        </is>
      </c>
      <c r="AC2282" s="33" t="inlineStr">
        <is>
          <t>SwimCloud API v6 2026-10-08</t>
        </is>
      </c>
      <c r="AD2282" s="33" t="inlineStr">
        <is>
          <t>Luke Hobson|2017-08-04|LCM|200|Free|124.14|Western Zone Senior Championships|PRE|False</t>
        </is>
      </c>
      <c r="AE2282" s="53">
        <f>G2282+L2282/1000+ROW()/1000000000</f>
        <v/>
      </c>
      <c r="AF2282" s="35">
        <f>IF(C2282&lt;&gt;"Grayson Coulter","",COUNTIFS($C$5:$C$2991,"Grayson Coulter",$Q$5:$Q$2991,Q2282,$AE$5:$AE$2991,"&lt;="&amp;AE2282,$R$5:$R$2991,"&lt;"&amp;R2282))</f>
        <v/>
      </c>
      <c r="AG2282" s="35">
        <f>IF(OR(C2282&lt;&gt;"Grayson Coulter",G2282&lt;'00_Control'!$B$7),"",--(AF2282&lt;5))</f>
        <v/>
      </c>
      <c r="AH2282" s="35">
        <f>IF(OR(C2282&lt;&gt;"Grayson Coulter",G2282&lt;'00_Control'!$B$7),"",--(AF2282&lt;10))</f>
        <v/>
      </c>
      <c r="AI2282" s="35">
        <f>IF(AND(C2282="Grayson Coulter",G2282&gt;='00_Control'!$B$7),"YES","NO")</f>
        <v/>
      </c>
      <c r="AJ2282" s="33" t="inlineStr">
        <is>
          <t>OK</t>
        </is>
      </c>
    </row>
    <row r="2283">
      <c r="A2283" s="33" t="inlineStr">
        <is>
          <t>SM002279</t>
        </is>
      </c>
      <c r="B2283" s="33" t="inlineStr">
        <is>
          <t>SW014</t>
        </is>
      </c>
      <c r="C2283" s="33" t="inlineStr">
        <is>
          <t>Luke Hobson</t>
        </is>
      </c>
      <c r="D2283" s="33" t="inlineStr">
        <is>
          <t>SwimCloud</t>
        </is>
      </c>
      <c r="E2283" s="33" t="inlineStr">
        <is>
          <t>576911</t>
        </is>
      </c>
      <c r="F2283" s="33" t="inlineStr">
        <is>
          <t>12346599</t>
        </is>
      </c>
      <c r="G2283" s="51" t="n">
        <v>42952</v>
      </c>
      <c r="H2283" s="33" t="inlineStr">
        <is>
          <t>Western Zone Senior Championships</t>
        </is>
      </c>
      <c r="I2283" s="33" t="inlineStr">
        <is>
          <t>97258</t>
        </is>
      </c>
      <c r="J2283" s="33" t="inlineStr"/>
      <c r="K2283" s="33" t="inlineStr">
        <is>
          <t>PRE</t>
        </is>
      </c>
      <c r="L2283" s="35">
        <f>IF(K2283="FIN",3,IF(OR(K2283="SEM",K2283="SEMI"),2,IF(OR(K2283="PRE",K2283="HEAT"),1,IF(V2283="YES",4,2))))</f>
        <v/>
      </c>
      <c r="M2283" s="33" t="inlineStr">
        <is>
          <t>LCM</t>
        </is>
      </c>
      <c r="N2283" s="33" t="n">
        <v>100</v>
      </c>
      <c r="O2283" s="33" t="inlineStr">
        <is>
          <t>Fly</t>
        </is>
      </c>
      <c r="P2283" s="33" t="inlineStr">
        <is>
          <t>100 Fly</t>
        </is>
      </c>
      <c r="Q2283" s="33" t="inlineStr">
        <is>
          <t>LCM_100_FLY</t>
        </is>
      </c>
      <c r="R2283" s="36" t="n">
        <v>61.84</v>
      </c>
      <c r="S2283" s="35">
        <f>IF(R2283="","",IF(R2283&gt;=60,INT(R2283/60)&amp;":"&amp;TEXT(MOD(R2283,60),"00.00"),TEXT(R2283,"0.00")))</f>
        <v/>
      </c>
      <c r="T2283" s="52">
        <f>IFERROR((G2283-INDEX('01_Swimmers'!$E$5:$E$22,MATCH(B2283,'01_Swimmers'!$A$5:$A$22,0)))/'00_Control'!$B$10,"")</f>
        <v/>
      </c>
      <c r="U2283" s="35">
        <f>IF(T2283="","",INT(T2283))</f>
        <v/>
      </c>
      <c r="V2283" s="33" t="inlineStr">
        <is>
          <t>NO</t>
        </is>
      </c>
      <c r="W2283" s="33" t="inlineStr">
        <is>
          <t>YES</t>
        </is>
      </c>
      <c r="X2283" s="33" t="inlineStr">
        <is>
          <t>NO</t>
        </is>
      </c>
      <c r="Y2283" s="33" t="n">
        <v>25</v>
      </c>
      <c r="Z2283" s="33" t="n">
        <v>6</v>
      </c>
      <c r="AA2283" s="33" t="inlineStr">
        <is>
          <t>78</t>
        </is>
      </c>
      <c r="AB2283" s="33" t="inlineStr">
        <is>
          <t>https://www.swimcloud.com/results/97258/event/31/?id=12346599#time12346599</t>
        </is>
      </c>
      <c r="AC2283" s="33" t="inlineStr">
        <is>
          <t>SwimCloud API v6 2026-10-08</t>
        </is>
      </c>
      <c r="AD2283" s="33" t="inlineStr">
        <is>
          <t>Luke Hobson|2017-08-05|LCM|100|Fly|61.84|Western Zone Senior Championships|PRE|False</t>
        </is>
      </c>
      <c r="AE2283" s="53">
        <f>G2283+L2283/1000+ROW()/1000000000</f>
        <v/>
      </c>
      <c r="AF2283" s="35">
        <f>IF(C2283&lt;&gt;"Grayson Coulter","",COUNTIFS($C$5:$C$2991,"Grayson Coulter",$Q$5:$Q$2991,Q2283,$AE$5:$AE$2991,"&lt;="&amp;AE2283,$R$5:$R$2991,"&lt;"&amp;R2283))</f>
        <v/>
      </c>
      <c r="AG2283" s="35">
        <f>IF(OR(C2283&lt;&gt;"Grayson Coulter",G2283&lt;'00_Control'!$B$7),"",--(AF2283&lt;5))</f>
        <v/>
      </c>
      <c r="AH2283" s="35">
        <f>IF(OR(C2283&lt;&gt;"Grayson Coulter",G2283&lt;'00_Control'!$B$7),"",--(AF2283&lt;10))</f>
        <v/>
      </c>
      <c r="AI2283" s="35">
        <f>IF(AND(C2283="Grayson Coulter",G2283&gt;='00_Control'!$B$7),"YES","NO")</f>
        <v/>
      </c>
      <c r="AJ2283" s="33" t="inlineStr">
        <is>
          <t>OK</t>
        </is>
      </c>
    </row>
    <row r="2284">
      <c r="A2284" s="33" t="inlineStr">
        <is>
          <t>SM002280</t>
        </is>
      </c>
      <c r="B2284" s="33" t="inlineStr">
        <is>
          <t>SW014</t>
        </is>
      </c>
      <c r="C2284" s="33" t="inlineStr">
        <is>
          <t>Luke Hobson</t>
        </is>
      </c>
      <c r="D2284" s="33" t="inlineStr">
        <is>
          <t>SwimCloud</t>
        </is>
      </c>
      <c r="E2284" s="33" t="inlineStr">
        <is>
          <t>576911</t>
        </is>
      </c>
      <c r="F2284" s="33" t="inlineStr">
        <is>
          <t>18760259</t>
        </is>
      </c>
      <c r="G2284" s="51" t="n">
        <v>43246</v>
      </c>
      <c r="H2284" s="33" t="inlineStr">
        <is>
          <t>PC CARS Intermountain Classic</t>
        </is>
      </c>
      <c r="I2284" s="33" t="inlineStr">
        <is>
          <t>117925</t>
        </is>
      </c>
      <c r="J2284" s="33" t="inlineStr"/>
      <c r="K2284" s="33" t="inlineStr">
        <is>
          <t>TIM</t>
        </is>
      </c>
      <c r="L2284" s="35">
        <f>IF(K2284="FIN",3,IF(OR(K2284="SEM",K2284="SEMI"),2,IF(OR(K2284="PRE",K2284="HEAT"),1,IF(V2284="YES",4,2))))</f>
        <v/>
      </c>
      <c r="M2284" s="33" t="inlineStr">
        <is>
          <t>LCM</t>
        </is>
      </c>
      <c r="N2284" s="33" t="n">
        <v>200</v>
      </c>
      <c r="O2284" s="33" t="inlineStr">
        <is>
          <t>Free</t>
        </is>
      </c>
      <c r="P2284" s="33" t="inlineStr">
        <is>
          <t>200 Free</t>
        </is>
      </c>
      <c r="Q2284" s="33" t="inlineStr">
        <is>
          <t>LCM_200_FREE</t>
        </is>
      </c>
      <c r="R2284" s="36" t="n">
        <v>130.86</v>
      </c>
      <c r="S2284" s="35">
        <f>IF(R2284="","",IF(R2284&gt;=60,INT(R2284/60)&amp;":"&amp;TEXT(MOD(R2284,60),"00.00"),TEXT(R2284,"0.00")))</f>
        <v/>
      </c>
      <c r="T2284" s="52">
        <f>IFERROR((G2284-INDEX('01_Swimmers'!$E$5:$E$22,MATCH(B2284,'01_Swimmers'!$A$5:$A$22,0)))/'00_Control'!$B$10,"")</f>
        <v/>
      </c>
      <c r="U2284" s="35">
        <f>IF(T2284="","",INT(T2284))</f>
        <v/>
      </c>
      <c r="V2284" s="33" t="inlineStr">
        <is>
          <t>NO</t>
        </is>
      </c>
      <c r="W2284" s="33" t="inlineStr">
        <is>
          <t>YES</t>
        </is>
      </c>
      <c r="X2284" s="33" t="inlineStr">
        <is>
          <t>NO</t>
        </is>
      </c>
      <c r="Y2284" s="33" t="n">
        <v>1</v>
      </c>
      <c r="Z2284" s="33" t="n">
        <v>4</v>
      </c>
      <c r="AA2284" s="33" t="inlineStr">
        <is>
          <t>2</t>
        </is>
      </c>
      <c r="AB2284" s="33" t="inlineStr">
        <is>
          <t>https://www.swimcloud.com/results/117925/event/18/?id=18758594#time18758594</t>
        </is>
      </c>
      <c r="AC2284" s="33" t="inlineStr">
        <is>
          <t>SwimCloud API v6 2026-10-08</t>
        </is>
      </c>
      <c r="AD2284" s="33" t="inlineStr">
        <is>
          <t>Luke Hobson|2018-05-26|LCM|200|Free|130.86|PC CARS Intermountain Classic|TIM|False</t>
        </is>
      </c>
      <c r="AE2284" s="53">
        <f>G2284+L2284/1000+ROW()/1000000000</f>
        <v/>
      </c>
      <c r="AF2284" s="35">
        <f>IF(C2284&lt;&gt;"Grayson Coulter","",COUNTIFS($C$5:$C$2991,"Grayson Coulter",$Q$5:$Q$2991,Q2284,$AE$5:$AE$2991,"&lt;="&amp;AE2284,$R$5:$R$2991,"&lt;"&amp;R2284))</f>
        <v/>
      </c>
      <c r="AG2284" s="35">
        <f>IF(OR(C2284&lt;&gt;"Grayson Coulter",G2284&lt;'00_Control'!$B$7),"",--(AF2284&lt;5))</f>
        <v/>
      </c>
      <c r="AH2284" s="35">
        <f>IF(OR(C2284&lt;&gt;"Grayson Coulter",G2284&lt;'00_Control'!$B$7),"",--(AF2284&lt;10))</f>
        <v/>
      </c>
      <c r="AI2284" s="35">
        <f>IF(AND(C2284="Grayson Coulter",G2284&gt;='00_Control'!$B$7),"YES","NO")</f>
        <v/>
      </c>
      <c r="AJ2284" s="33" t="inlineStr">
        <is>
          <t>OK</t>
        </is>
      </c>
    </row>
    <row r="2285">
      <c r="A2285" s="33" t="inlineStr">
        <is>
          <t>SM002281</t>
        </is>
      </c>
      <c r="B2285" s="33" t="inlineStr">
        <is>
          <t>SW014</t>
        </is>
      </c>
      <c r="C2285" s="33" t="inlineStr">
        <is>
          <t>Luke Hobson</t>
        </is>
      </c>
      <c r="D2285" s="33" t="inlineStr">
        <is>
          <t>SwimCloud</t>
        </is>
      </c>
      <c r="E2285" s="33" t="inlineStr">
        <is>
          <t>576911</t>
        </is>
      </c>
      <c r="F2285" s="33" t="inlineStr">
        <is>
          <t>18758594</t>
        </is>
      </c>
      <c r="G2285" s="51" t="n">
        <v>43246</v>
      </c>
      <c r="H2285" s="33" t="inlineStr">
        <is>
          <t>PC CARS Intermountain Classic</t>
        </is>
      </c>
      <c r="I2285" s="33" t="inlineStr">
        <is>
          <t>117925</t>
        </is>
      </c>
      <c r="J2285" s="33" t="inlineStr"/>
      <c r="K2285" s="33" t="inlineStr">
        <is>
          <t>TIM</t>
        </is>
      </c>
      <c r="L2285" s="35">
        <f>IF(K2285="FIN",3,IF(OR(K2285="SEM",K2285="SEMI"),2,IF(OR(K2285="PRE",K2285="HEAT"),1,IF(V2285="YES",4,2))))</f>
        <v/>
      </c>
      <c r="M2285" s="33" t="inlineStr">
        <is>
          <t>LCM</t>
        </is>
      </c>
      <c r="N2285" s="33" t="n">
        <v>200</v>
      </c>
      <c r="O2285" s="33" t="inlineStr">
        <is>
          <t>Free</t>
        </is>
      </c>
      <c r="P2285" s="33" t="inlineStr">
        <is>
          <t>200 Free</t>
        </is>
      </c>
      <c r="Q2285" s="33" t="inlineStr">
        <is>
          <t>LCM_200_FREE</t>
        </is>
      </c>
      <c r="R2285" s="36" t="n">
        <v>132.06</v>
      </c>
      <c r="S2285" s="35">
        <f>IF(R2285="","",IF(R2285&gt;=60,INT(R2285/60)&amp;":"&amp;TEXT(MOD(R2285,60),"00.00"),TEXT(R2285,"0.00")))</f>
        <v/>
      </c>
      <c r="T2285" s="52">
        <f>IFERROR((G2285-INDEX('01_Swimmers'!$E$5:$E$22,MATCH(B2285,'01_Swimmers'!$A$5:$A$22,0)))/'00_Control'!$B$10,"")</f>
        <v/>
      </c>
      <c r="U2285" s="35">
        <f>IF(T2285="","",INT(T2285))</f>
        <v/>
      </c>
      <c r="V2285" s="33" t="inlineStr">
        <is>
          <t>NO</t>
        </is>
      </c>
      <c r="W2285" s="33" t="inlineStr">
        <is>
          <t>YES</t>
        </is>
      </c>
      <c r="X2285" s="33" t="inlineStr">
        <is>
          <t>NO</t>
        </is>
      </c>
      <c r="Y2285" s="33" t="n">
        <v>1</v>
      </c>
      <c r="Z2285" s="33" t="n">
        <v>4</v>
      </c>
      <c r="AA2285" s="33" t="inlineStr">
        <is>
          <t>2</t>
        </is>
      </c>
      <c r="AB2285" s="33" t="inlineStr">
        <is>
          <t>https://www.swimcloud.com/results/117925/event/18/?id=18758594#time18758594</t>
        </is>
      </c>
      <c r="AC2285" s="33" t="inlineStr">
        <is>
          <t>SwimCloud API v6 2026-10-08</t>
        </is>
      </c>
      <c r="AD2285" s="33" t="inlineStr">
        <is>
          <t>Luke Hobson|2018-05-26|LCM|200|Free|132.06|PC CARS Intermountain Classic|TIM|False</t>
        </is>
      </c>
      <c r="AE2285" s="53">
        <f>G2285+L2285/1000+ROW()/1000000000</f>
        <v/>
      </c>
      <c r="AF2285" s="35">
        <f>IF(C2285&lt;&gt;"Grayson Coulter","",COUNTIFS($C$5:$C$2991,"Grayson Coulter",$Q$5:$Q$2991,Q2285,$AE$5:$AE$2991,"&lt;="&amp;AE2285,$R$5:$R$2991,"&lt;"&amp;R2285))</f>
        <v/>
      </c>
      <c r="AG2285" s="35">
        <f>IF(OR(C2285&lt;&gt;"Grayson Coulter",G2285&lt;'00_Control'!$B$7),"",--(AF2285&lt;5))</f>
        <v/>
      </c>
      <c r="AH2285" s="35">
        <f>IF(OR(C2285&lt;&gt;"Grayson Coulter",G2285&lt;'00_Control'!$B$7),"",--(AF2285&lt;10))</f>
        <v/>
      </c>
      <c r="AI2285" s="35">
        <f>IF(AND(C2285="Grayson Coulter",G2285&gt;='00_Control'!$B$7),"YES","NO")</f>
        <v/>
      </c>
      <c r="AJ2285" s="33" t="inlineStr">
        <is>
          <t>OK</t>
        </is>
      </c>
    </row>
    <row r="2286">
      <c r="A2286" s="33" t="inlineStr">
        <is>
          <t>SM002282</t>
        </is>
      </c>
      <c r="B2286" s="33" t="inlineStr">
        <is>
          <t>SW014</t>
        </is>
      </c>
      <c r="C2286" s="33" t="inlineStr">
        <is>
          <t>Luke Hobson</t>
        </is>
      </c>
      <c r="D2286" s="33" t="inlineStr">
        <is>
          <t>SwimCloud</t>
        </is>
      </c>
      <c r="E2286" s="33" t="inlineStr">
        <is>
          <t>576911</t>
        </is>
      </c>
      <c r="F2286" s="33" t="inlineStr">
        <is>
          <t>20877868</t>
        </is>
      </c>
      <c r="G2286" s="51" t="n">
        <v>43294</v>
      </c>
      <c r="H2286" s="33" t="inlineStr">
        <is>
          <t>PC WCAB LCM SRII T&amp;F</t>
        </is>
      </c>
      <c r="I2286" s="33" t="inlineStr">
        <is>
          <t>134526</t>
        </is>
      </c>
      <c r="J2286" s="33" t="inlineStr"/>
      <c r="K2286" s="33" t="inlineStr">
        <is>
          <t>PRE</t>
        </is>
      </c>
      <c r="L2286" s="35">
        <f>IF(K2286="FIN",3,IF(OR(K2286="SEM",K2286="SEMI"),2,IF(OR(K2286="PRE",K2286="HEAT"),1,IF(V2286="YES",4,2))))</f>
        <v/>
      </c>
      <c r="M2286" s="33" t="inlineStr">
        <is>
          <t>LCM</t>
        </is>
      </c>
      <c r="N2286" s="33" t="n">
        <v>100</v>
      </c>
      <c r="O2286" s="33" t="inlineStr">
        <is>
          <t>Fly</t>
        </is>
      </c>
      <c r="P2286" s="33" t="inlineStr">
        <is>
          <t>100 Fly</t>
        </is>
      </c>
      <c r="Q2286" s="33" t="inlineStr">
        <is>
          <t>LCM_100_FLY</t>
        </is>
      </c>
      <c r="R2286" s="36" t="n">
        <v>64.31</v>
      </c>
      <c r="S2286" s="35">
        <f>IF(R2286="","",IF(R2286&gt;=60,INT(R2286/60)&amp;":"&amp;TEXT(MOD(R2286,60),"00.00"),TEXT(R2286,"0.00")))</f>
        <v/>
      </c>
      <c r="T2286" s="52">
        <f>IFERROR((G2286-INDEX('01_Swimmers'!$E$5:$E$22,MATCH(B2286,'01_Swimmers'!$A$5:$A$22,0)))/'00_Control'!$B$10,"")</f>
        <v/>
      </c>
      <c r="U2286" s="35">
        <f>IF(T2286="","",INT(T2286))</f>
        <v/>
      </c>
      <c r="V2286" s="33" t="inlineStr">
        <is>
          <t>NO</t>
        </is>
      </c>
      <c r="W2286" s="33" t="inlineStr">
        <is>
          <t>YES</t>
        </is>
      </c>
      <c r="X2286" s="33" t="inlineStr">
        <is>
          <t>NO</t>
        </is>
      </c>
      <c r="Y2286" s="33" t="n">
        <v>5</v>
      </c>
      <c r="Z2286" s="33" t="n">
        <v>7</v>
      </c>
      <c r="AA2286" s="33" t="inlineStr">
        <is>
          <t>48</t>
        </is>
      </c>
      <c r="AB2286" s="33" t="inlineStr">
        <is>
          <t>https://www.swimcloud.com/results/134526/event/4100M/#time20877868</t>
        </is>
      </c>
      <c r="AC2286" s="33" t="inlineStr">
        <is>
          <t>SwimCloud API v6 2026-10-08</t>
        </is>
      </c>
      <c r="AD2286" s="33" t="inlineStr">
        <is>
          <t>Luke Hobson|2018-07-13|LCM|100|Fly|64.31|PC WCAB LCM SRII T&amp;F|PRE|False</t>
        </is>
      </c>
      <c r="AE2286" s="53">
        <f>G2286+L2286/1000+ROW()/1000000000</f>
        <v/>
      </c>
      <c r="AF2286" s="35">
        <f>IF(C2286&lt;&gt;"Grayson Coulter","",COUNTIFS($C$5:$C$2991,"Grayson Coulter",$Q$5:$Q$2991,Q2286,$AE$5:$AE$2991,"&lt;="&amp;AE2286,$R$5:$R$2991,"&lt;"&amp;R2286))</f>
        <v/>
      </c>
      <c r="AG2286" s="35">
        <f>IF(OR(C2286&lt;&gt;"Grayson Coulter",G2286&lt;'00_Control'!$B$7),"",--(AF2286&lt;5))</f>
        <v/>
      </c>
      <c r="AH2286" s="35">
        <f>IF(OR(C2286&lt;&gt;"Grayson Coulter",G2286&lt;'00_Control'!$B$7),"",--(AF2286&lt;10))</f>
        <v/>
      </c>
      <c r="AI2286" s="35">
        <f>IF(AND(C2286="Grayson Coulter",G2286&gt;='00_Control'!$B$7),"YES","NO")</f>
        <v/>
      </c>
      <c r="AJ2286" s="33" t="inlineStr">
        <is>
          <t>OK</t>
        </is>
      </c>
    </row>
    <row r="2287">
      <c r="A2287" s="33" t="inlineStr">
        <is>
          <t>SM002283</t>
        </is>
      </c>
      <c r="B2287" s="33" t="inlineStr">
        <is>
          <t>SW014</t>
        </is>
      </c>
      <c r="C2287" s="33" t="inlineStr">
        <is>
          <t>Luke Hobson</t>
        </is>
      </c>
      <c r="D2287" s="33" t="inlineStr">
        <is>
          <t>SwimCloud</t>
        </is>
      </c>
      <c r="E2287" s="33" t="inlineStr">
        <is>
          <t>576911</t>
        </is>
      </c>
      <c r="F2287" s="33" t="inlineStr">
        <is>
          <t>20879093</t>
        </is>
      </c>
      <c r="G2287" s="51" t="n">
        <v>43294</v>
      </c>
      <c r="H2287" s="33" t="inlineStr">
        <is>
          <t>PC WCAB LCM SRII T&amp;F</t>
        </is>
      </c>
      <c r="I2287" s="33" t="inlineStr">
        <is>
          <t>134526</t>
        </is>
      </c>
      <c r="J2287" s="33" t="inlineStr"/>
      <c r="K2287" s="33" t="inlineStr">
        <is>
          <t>PRE</t>
        </is>
      </c>
      <c r="L2287" s="35">
        <f>IF(K2287="FIN",3,IF(OR(K2287="SEM",K2287="SEMI"),2,IF(OR(K2287="PRE",K2287="HEAT"),1,IF(V2287="YES",4,2))))</f>
        <v/>
      </c>
      <c r="M2287" s="33" t="inlineStr">
        <is>
          <t>LCM</t>
        </is>
      </c>
      <c r="N2287" s="33" t="n">
        <v>200</v>
      </c>
      <c r="O2287" s="33" t="inlineStr">
        <is>
          <t>Free</t>
        </is>
      </c>
      <c r="P2287" s="33" t="inlineStr">
        <is>
          <t>200 Free</t>
        </is>
      </c>
      <c r="Q2287" s="33" t="inlineStr">
        <is>
          <t>LCM_200_FREE</t>
        </is>
      </c>
      <c r="R2287" s="36" t="n">
        <v>122.19</v>
      </c>
      <c r="S2287" s="35">
        <f>IF(R2287="","",IF(R2287&gt;=60,INT(R2287/60)&amp;":"&amp;TEXT(MOD(R2287,60),"00.00"),TEXT(R2287,"0.00")))</f>
        <v/>
      </c>
      <c r="T2287" s="52">
        <f>IFERROR((G2287-INDEX('01_Swimmers'!$E$5:$E$22,MATCH(B2287,'01_Swimmers'!$A$5:$A$22,0)))/'00_Control'!$B$10,"")</f>
        <v/>
      </c>
      <c r="U2287" s="35">
        <f>IF(T2287="","",INT(T2287))</f>
        <v/>
      </c>
      <c r="V2287" s="33" t="inlineStr">
        <is>
          <t>NO</t>
        </is>
      </c>
      <c r="W2287" s="33" t="inlineStr">
        <is>
          <t>YES</t>
        </is>
      </c>
      <c r="X2287" s="33" t="inlineStr">
        <is>
          <t>NO</t>
        </is>
      </c>
      <c r="Y2287" s="33" t="n">
        <v>3</v>
      </c>
      <c r="Z2287" s="33" t="n">
        <v>1</v>
      </c>
      <c r="AA2287" s="33" t="inlineStr">
        <is>
          <t>12</t>
        </is>
      </c>
      <c r="AB2287" s="33" t="inlineStr">
        <is>
          <t>https://www.swimcloud.com/results/134526/event/1200M/#time20879093</t>
        </is>
      </c>
      <c r="AC2287" s="33" t="inlineStr">
        <is>
          <t>SwimCloud API v6 2026-10-08</t>
        </is>
      </c>
      <c r="AD2287" s="33" t="inlineStr">
        <is>
          <t>Luke Hobson|2018-07-13|LCM|200|Free|122.19|PC WCAB LCM SRII T&amp;F|PRE|False</t>
        </is>
      </c>
      <c r="AE2287" s="53">
        <f>G2287+L2287/1000+ROW()/1000000000</f>
        <v/>
      </c>
      <c r="AF2287" s="35">
        <f>IF(C2287&lt;&gt;"Grayson Coulter","",COUNTIFS($C$5:$C$2991,"Grayson Coulter",$Q$5:$Q$2991,Q2287,$AE$5:$AE$2991,"&lt;="&amp;AE2287,$R$5:$R$2991,"&lt;"&amp;R2287))</f>
        <v/>
      </c>
      <c r="AG2287" s="35">
        <f>IF(OR(C2287&lt;&gt;"Grayson Coulter",G2287&lt;'00_Control'!$B$7),"",--(AF2287&lt;5))</f>
        <v/>
      </c>
      <c r="AH2287" s="35">
        <f>IF(OR(C2287&lt;&gt;"Grayson Coulter",G2287&lt;'00_Control'!$B$7),"",--(AF2287&lt;10))</f>
        <v/>
      </c>
      <c r="AI2287" s="35">
        <f>IF(AND(C2287="Grayson Coulter",G2287&gt;='00_Control'!$B$7),"YES","NO")</f>
        <v/>
      </c>
      <c r="AJ2287" s="33" t="inlineStr">
        <is>
          <t>OK</t>
        </is>
      </c>
    </row>
    <row r="2288">
      <c r="A2288" s="33" t="inlineStr">
        <is>
          <t>SM002284</t>
        </is>
      </c>
      <c r="B2288" s="33" t="inlineStr">
        <is>
          <t>SW014</t>
        </is>
      </c>
      <c r="C2288" s="33" t="inlineStr">
        <is>
          <t>Luke Hobson</t>
        </is>
      </c>
      <c r="D2288" s="33" t="inlineStr">
        <is>
          <t>SwimCloud</t>
        </is>
      </c>
      <c r="E2288" s="33" t="inlineStr">
        <is>
          <t>576911</t>
        </is>
      </c>
      <c r="F2288" s="33" t="inlineStr">
        <is>
          <t>20879094</t>
        </is>
      </c>
      <c r="G2288" s="51" t="n">
        <v>43294</v>
      </c>
      <c r="H2288" s="33" t="inlineStr">
        <is>
          <t>PC WCAB LCM SRII T&amp;F</t>
        </is>
      </c>
      <c r="I2288" s="33" t="inlineStr">
        <is>
          <t>134526</t>
        </is>
      </c>
      <c r="J2288" s="33" t="inlineStr"/>
      <c r="K2288" s="33" t="inlineStr">
        <is>
          <t>FIN</t>
        </is>
      </c>
      <c r="L2288" s="35">
        <f>IF(K2288="FIN",3,IF(OR(K2288="SEM",K2288="SEMI"),2,IF(OR(K2288="PRE",K2288="HEAT"),1,IF(V2288="YES",4,2))))</f>
        <v/>
      </c>
      <c r="M2288" s="33" t="inlineStr">
        <is>
          <t>LCM</t>
        </is>
      </c>
      <c r="N2288" s="33" t="n">
        <v>200</v>
      </c>
      <c r="O2288" s="33" t="inlineStr">
        <is>
          <t>Free</t>
        </is>
      </c>
      <c r="P2288" s="33" t="inlineStr">
        <is>
          <t>200 Free</t>
        </is>
      </c>
      <c r="Q2288" s="33" t="inlineStr">
        <is>
          <t>LCM_200_FREE</t>
        </is>
      </c>
      <c r="R2288" s="36" t="n">
        <v>120.14</v>
      </c>
      <c r="S2288" s="35">
        <f>IF(R2288="","",IF(R2288&gt;=60,INT(R2288/60)&amp;":"&amp;TEXT(MOD(R2288,60),"00.00"),TEXT(R2288,"0.00")))</f>
        <v/>
      </c>
      <c r="T2288" s="52">
        <f>IFERROR((G2288-INDEX('01_Swimmers'!$E$5:$E$22,MATCH(B2288,'01_Swimmers'!$A$5:$A$22,0)))/'00_Control'!$B$10,"")</f>
        <v/>
      </c>
      <c r="U2288" s="35">
        <f>IF(T2288="","",INT(T2288))</f>
        <v/>
      </c>
      <c r="V2288" s="33" t="inlineStr">
        <is>
          <t>NO</t>
        </is>
      </c>
      <c r="W2288" s="33" t="inlineStr">
        <is>
          <t>YES</t>
        </is>
      </c>
      <c r="X2288" s="33" t="inlineStr">
        <is>
          <t>NO</t>
        </is>
      </c>
      <c r="Y2288" s="33" t="n">
        <v>3</v>
      </c>
      <c r="Z2288" s="33" t="n">
        <v>6</v>
      </c>
      <c r="AA2288" s="33" t="inlineStr">
        <is>
          <t>1</t>
        </is>
      </c>
      <c r="AB2288" s="33" t="inlineStr">
        <is>
          <t>https://www.swimcloud.com/results/134526/event/1200M/#time20879094</t>
        </is>
      </c>
      <c r="AC2288" s="33" t="inlineStr">
        <is>
          <t>SwimCloud API v6 2026-10-08</t>
        </is>
      </c>
      <c r="AD2288" s="33" t="inlineStr">
        <is>
          <t>Luke Hobson|2018-07-13|LCM|200|Free|120.14|PC WCAB LCM SRII T&amp;F|FIN|False</t>
        </is>
      </c>
      <c r="AE2288" s="53">
        <f>G2288+L2288/1000+ROW()/1000000000</f>
        <v/>
      </c>
      <c r="AF2288" s="35">
        <f>IF(C2288&lt;&gt;"Grayson Coulter","",COUNTIFS($C$5:$C$2991,"Grayson Coulter",$Q$5:$Q$2991,Q2288,$AE$5:$AE$2991,"&lt;="&amp;AE2288,$R$5:$R$2991,"&lt;"&amp;R2288))</f>
        <v/>
      </c>
      <c r="AG2288" s="35">
        <f>IF(OR(C2288&lt;&gt;"Grayson Coulter",G2288&lt;'00_Control'!$B$7),"",--(AF2288&lt;5))</f>
        <v/>
      </c>
      <c r="AH2288" s="35">
        <f>IF(OR(C2288&lt;&gt;"Grayson Coulter",G2288&lt;'00_Control'!$B$7),"",--(AF2288&lt;10))</f>
        <v/>
      </c>
      <c r="AI2288" s="35">
        <f>IF(AND(C2288="Grayson Coulter",G2288&gt;='00_Control'!$B$7),"YES","NO")</f>
        <v/>
      </c>
      <c r="AJ2288" s="33" t="inlineStr">
        <is>
          <t>OK</t>
        </is>
      </c>
    </row>
    <row r="2289">
      <c r="A2289" s="33" t="inlineStr">
        <is>
          <t>SM002285</t>
        </is>
      </c>
      <c r="B2289" s="33" t="inlineStr">
        <is>
          <t>SW014</t>
        </is>
      </c>
      <c r="C2289" s="33" t="inlineStr">
        <is>
          <t>Luke Hobson</t>
        </is>
      </c>
      <c r="D2289" s="33" t="inlineStr">
        <is>
          <t>SwimCloud</t>
        </is>
      </c>
      <c r="E2289" s="33" t="inlineStr">
        <is>
          <t>576911</t>
        </is>
      </c>
      <c r="F2289" s="33" t="inlineStr">
        <is>
          <t>20878114</t>
        </is>
      </c>
      <c r="G2289" s="51" t="n">
        <v>43296</v>
      </c>
      <c r="H2289" s="33" t="inlineStr">
        <is>
          <t>PC WCAB LCM SRII T&amp;F</t>
        </is>
      </c>
      <c r="I2289" s="33" t="inlineStr">
        <is>
          <t>134526</t>
        </is>
      </c>
      <c r="J2289" s="33" t="inlineStr"/>
      <c r="K2289" s="33" t="inlineStr">
        <is>
          <t>PRE</t>
        </is>
      </c>
      <c r="L2289" s="35">
        <f>IF(K2289="FIN",3,IF(OR(K2289="SEM",K2289="SEMI"),2,IF(OR(K2289="PRE",K2289="HEAT"),1,IF(V2289="YES",4,2))))</f>
        <v/>
      </c>
      <c r="M2289" s="33" t="inlineStr">
        <is>
          <t>LCM</t>
        </is>
      </c>
      <c r="N2289" s="33" t="n">
        <v>100</v>
      </c>
      <c r="O2289" s="33" t="inlineStr">
        <is>
          <t>Free</t>
        </is>
      </c>
      <c r="P2289" s="33" t="inlineStr">
        <is>
          <t>100 Free</t>
        </is>
      </c>
      <c r="Q2289" s="33" t="inlineStr">
        <is>
          <t>LCM_100_FREE</t>
        </is>
      </c>
      <c r="R2289" s="36" t="n">
        <v>56.9</v>
      </c>
      <c r="S2289" s="35">
        <f>IF(R2289="","",IF(R2289&gt;=60,INT(R2289/60)&amp;":"&amp;TEXT(MOD(R2289,60),"00.00"),TEXT(R2289,"0.00")))</f>
        <v/>
      </c>
      <c r="T2289" s="52">
        <f>IFERROR((G2289-INDEX('01_Swimmers'!$E$5:$E$22,MATCH(B2289,'01_Swimmers'!$A$5:$A$22,0)))/'00_Control'!$B$10,"")</f>
        <v/>
      </c>
      <c r="U2289" s="35">
        <f>IF(T2289="","",INT(T2289))</f>
        <v/>
      </c>
      <c r="V2289" s="33" t="inlineStr">
        <is>
          <t>NO</t>
        </is>
      </c>
      <c r="W2289" s="33" t="inlineStr">
        <is>
          <t>YES</t>
        </is>
      </c>
      <c r="X2289" s="33" t="inlineStr">
        <is>
          <t>NO</t>
        </is>
      </c>
      <c r="Y2289" s="33" t="n">
        <v>6</v>
      </c>
      <c r="Z2289" s="33" t="n">
        <v>2</v>
      </c>
      <c r="AA2289" s="33" t="inlineStr">
        <is>
          <t>26</t>
        </is>
      </c>
      <c r="AB2289" s="33" t="inlineStr">
        <is>
          <t>https://www.swimcloud.com/results/134526/event/3/?id=20878114#time20878114</t>
        </is>
      </c>
      <c r="AC2289" s="33" t="inlineStr">
        <is>
          <t>SwimCloud API v6 2026-10-08</t>
        </is>
      </c>
      <c r="AD2289" s="33" t="inlineStr">
        <is>
          <t>Luke Hobson|2018-07-15|LCM|100|Free|56.9|PC WCAB LCM SRII T&amp;F|PRE|False</t>
        </is>
      </c>
      <c r="AE2289" s="53">
        <f>G2289+L2289/1000+ROW()/1000000000</f>
        <v/>
      </c>
      <c r="AF2289" s="35">
        <f>IF(C2289&lt;&gt;"Grayson Coulter","",COUNTIFS($C$5:$C$2991,"Grayson Coulter",$Q$5:$Q$2991,Q2289,$AE$5:$AE$2991,"&lt;="&amp;AE2289,$R$5:$R$2991,"&lt;"&amp;R2289))</f>
        <v/>
      </c>
      <c r="AG2289" s="35">
        <f>IF(OR(C2289&lt;&gt;"Grayson Coulter",G2289&lt;'00_Control'!$B$7),"",--(AF2289&lt;5))</f>
        <v/>
      </c>
      <c r="AH2289" s="35">
        <f>IF(OR(C2289&lt;&gt;"Grayson Coulter",G2289&lt;'00_Control'!$B$7),"",--(AF2289&lt;10))</f>
        <v/>
      </c>
      <c r="AI2289" s="35">
        <f>IF(AND(C2289="Grayson Coulter",G2289&gt;='00_Control'!$B$7),"YES","NO")</f>
        <v/>
      </c>
      <c r="AJ2289" s="33" t="inlineStr">
        <is>
          <t>OK</t>
        </is>
      </c>
    </row>
    <row r="2290">
      <c r="A2290" s="33" t="inlineStr">
        <is>
          <t>SM002286</t>
        </is>
      </c>
      <c r="B2290" s="33" t="inlineStr">
        <is>
          <t>SW014</t>
        </is>
      </c>
      <c r="C2290" s="33" t="inlineStr">
        <is>
          <t>Luke Hobson</t>
        </is>
      </c>
      <c r="D2290" s="33" t="inlineStr">
        <is>
          <t>SwimCloud</t>
        </is>
      </c>
      <c r="E2290" s="33" t="inlineStr">
        <is>
          <t>576911</t>
        </is>
      </c>
      <c r="F2290" s="33" t="inlineStr">
        <is>
          <t>20878115</t>
        </is>
      </c>
      <c r="G2290" s="51" t="n">
        <v>43296</v>
      </c>
      <c r="H2290" s="33" t="inlineStr">
        <is>
          <t>PC WCAB LCM SRII T&amp;F</t>
        </is>
      </c>
      <c r="I2290" s="33" t="inlineStr">
        <is>
          <t>134526</t>
        </is>
      </c>
      <c r="J2290" s="33" t="inlineStr"/>
      <c r="K2290" s="33" t="inlineStr">
        <is>
          <t>FIN</t>
        </is>
      </c>
      <c r="L2290" s="35">
        <f>IF(K2290="FIN",3,IF(OR(K2290="SEM",K2290="SEMI"),2,IF(OR(K2290="PRE",K2290="HEAT"),1,IF(V2290="YES",4,2))))</f>
        <v/>
      </c>
      <c r="M2290" s="33" t="inlineStr">
        <is>
          <t>LCM</t>
        </is>
      </c>
      <c r="N2290" s="33" t="n">
        <v>100</v>
      </c>
      <c r="O2290" s="33" t="inlineStr">
        <is>
          <t>Free</t>
        </is>
      </c>
      <c r="P2290" s="33" t="inlineStr">
        <is>
          <t>100 Free</t>
        </is>
      </c>
      <c r="Q2290" s="33" t="inlineStr">
        <is>
          <t>LCM_100_FREE</t>
        </is>
      </c>
      <c r="R2290" s="36" t="n">
        <v>54.91</v>
      </c>
      <c r="S2290" s="35">
        <f>IF(R2290="","",IF(R2290&gt;=60,INT(R2290/60)&amp;":"&amp;TEXT(MOD(R2290,60),"00.00"),TEXT(R2290,"0.00")))</f>
        <v/>
      </c>
      <c r="T2290" s="52">
        <f>IFERROR((G2290-INDEX('01_Swimmers'!$E$5:$E$22,MATCH(B2290,'01_Swimmers'!$A$5:$A$22,0)))/'00_Control'!$B$10,"")</f>
        <v/>
      </c>
      <c r="U2290" s="35">
        <f>IF(T2290="","",INT(T2290))</f>
        <v/>
      </c>
      <c r="V2290" s="33" t="inlineStr">
        <is>
          <t>NO</t>
        </is>
      </c>
      <c r="W2290" s="33" t="inlineStr">
        <is>
          <t>YES</t>
        </is>
      </c>
      <c r="X2290" s="33" t="inlineStr">
        <is>
          <t>NO</t>
        </is>
      </c>
      <c r="Y2290" s="33" t="n">
        <v>3</v>
      </c>
      <c r="Z2290" s="33" t="n">
        <v>1</v>
      </c>
      <c r="AA2290" s="33" t="inlineStr">
        <is>
          <t>1</t>
        </is>
      </c>
      <c r="AB2290" s="33" t="inlineStr">
        <is>
          <t>https://www.swimcloud.com/results/134526/event/3/?id=20878115#time20878115</t>
        </is>
      </c>
      <c r="AC2290" s="33" t="inlineStr">
        <is>
          <t>SwimCloud API v6 2026-10-08</t>
        </is>
      </c>
      <c r="AD2290" s="33" t="inlineStr">
        <is>
          <t>Luke Hobson|2018-07-15|LCM|100|Free|54.91|PC WCAB LCM SRII T&amp;F|FIN|False</t>
        </is>
      </c>
      <c r="AE2290" s="53">
        <f>G2290+L2290/1000+ROW()/1000000000</f>
        <v/>
      </c>
      <c r="AF2290" s="35">
        <f>IF(C2290&lt;&gt;"Grayson Coulter","",COUNTIFS($C$5:$C$2991,"Grayson Coulter",$Q$5:$Q$2991,Q2290,$AE$5:$AE$2991,"&lt;="&amp;AE2290,$R$5:$R$2991,"&lt;"&amp;R2290))</f>
        <v/>
      </c>
      <c r="AG2290" s="35">
        <f>IF(OR(C2290&lt;&gt;"Grayson Coulter",G2290&lt;'00_Control'!$B$7),"",--(AF2290&lt;5))</f>
        <v/>
      </c>
      <c r="AH2290" s="35">
        <f>IF(OR(C2290&lt;&gt;"Grayson Coulter",G2290&lt;'00_Control'!$B$7),"",--(AF2290&lt;10))</f>
        <v/>
      </c>
      <c r="AI2290" s="35">
        <f>IF(AND(C2290="Grayson Coulter",G2290&gt;='00_Control'!$B$7),"YES","NO")</f>
        <v/>
      </c>
      <c r="AJ2290" s="33" t="inlineStr">
        <is>
          <t>OK</t>
        </is>
      </c>
    </row>
    <row r="2291">
      <c r="A2291" s="33" t="inlineStr">
        <is>
          <t>SM002287</t>
        </is>
      </c>
      <c r="B2291" s="33" t="inlineStr">
        <is>
          <t>SW014</t>
        </is>
      </c>
      <c r="C2291" s="33" t="inlineStr">
        <is>
          <t>Luke Hobson</t>
        </is>
      </c>
      <c r="D2291" s="33" t="inlineStr">
        <is>
          <t>SwimCloud</t>
        </is>
      </c>
      <c r="E2291" s="33" t="inlineStr">
        <is>
          <t>576911</t>
        </is>
      </c>
      <c r="F2291" s="33" t="inlineStr">
        <is>
          <t>20878797</t>
        </is>
      </c>
      <c r="G2291" s="51" t="n">
        <v>43296</v>
      </c>
      <c r="H2291" s="33" t="inlineStr">
        <is>
          <t>PC WCAB LCM SRII T&amp;F</t>
        </is>
      </c>
      <c r="I2291" s="33" t="inlineStr">
        <is>
          <t>134526</t>
        </is>
      </c>
      <c r="J2291" s="33" t="inlineStr"/>
      <c r="K2291" s="33" t="inlineStr">
        <is>
          <t>PRE</t>
        </is>
      </c>
      <c r="L2291" s="35">
        <f>IF(K2291="FIN",3,IF(OR(K2291="SEM",K2291="SEMI"),2,IF(OR(K2291="PRE",K2291="HEAT"),1,IF(V2291="YES",4,2))))</f>
        <v/>
      </c>
      <c r="M2291" s="33" t="inlineStr">
        <is>
          <t>LCM</t>
        </is>
      </c>
      <c r="N2291" s="33" t="n">
        <v>400</v>
      </c>
      <c r="O2291" s="33" t="inlineStr">
        <is>
          <t>Free</t>
        </is>
      </c>
      <c r="P2291" s="33" t="inlineStr">
        <is>
          <t>400 Free</t>
        </is>
      </c>
      <c r="Q2291" s="33" t="inlineStr">
        <is>
          <t>LCM_400_FREE</t>
        </is>
      </c>
      <c r="R2291" s="36" t="n">
        <v>262.32</v>
      </c>
      <c r="S2291" s="35">
        <f>IF(R2291="","",IF(R2291&gt;=60,INT(R2291/60)&amp;":"&amp;TEXT(MOD(R2291,60),"00.00"),TEXT(R2291,"0.00")))</f>
        <v/>
      </c>
      <c r="T2291" s="52">
        <f>IFERROR((G2291-INDEX('01_Swimmers'!$E$5:$E$22,MATCH(B2291,'01_Swimmers'!$A$5:$A$22,0)))/'00_Control'!$B$10,"")</f>
        <v/>
      </c>
      <c r="U2291" s="35">
        <f>IF(T2291="","",INT(T2291))</f>
        <v/>
      </c>
      <c r="V2291" s="33" t="inlineStr">
        <is>
          <t>NO</t>
        </is>
      </c>
      <c r="W2291" s="33" t="inlineStr">
        <is>
          <t>YES</t>
        </is>
      </c>
      <c r="X2291" s="33" t="inlineStr">
        <is>
          <t>NO</t>
        </is>
      </c>
      <c r="Y2291" s="33" t="n">
        <v>3</v>
      </c>
      <c r="Z2291" s="33" t="n">
        <v>5</v>
      </c>
      <c r="AA2291" s="33" t="inlineStr">
        <is>
          <t>9</t>
        </is>
      </c>
      <c r="AB2291" s="33" t="inlineStr">
        <is>
          <t>https://www.swimcloud.com/results/134526/event/2/?id=20878797#time20878797</t>
        </is>
      </c>
      <c r="AC2291" s="33" t="inlineStr">
        <is>
          <t>SwimCloud API v6 2026-10-08</t>
        </is>
      </c>
      <c r="AD2291" s="33" t="inlineStr">
        <is>
          <t>Luke Hobson|2018-07-15|LCM|400|Free|262.32|PC WCAB LCM SRII T&amp;F|PRE|False</t>
        </is>
      </c>
      <c r="AE2291" s="53">
        <f>G2291+L2291/1000+ROW()/1000000000</f>
        <v/>
      </c>
      <c r="AF2291" s="35">
        <f>IF(C2291&lt;&gt;"Grayson Coulter","",COUNTIFS($C$5:$C$2991,"Grayson Coulter",$Q$5:$Q$2991,Q2291,$AE$5:$AE$2991,"&lt;="&amp;AE2291,$R$5:$R$2991,"&lt;"&amp;R2291))</f>
        <v/>
      </c>
      <c r="AG2291" s="35">
        <f>IF(OR(C2291&lt;&gt;"Grayson Coulter",G2291&lt;'00_Control'!$B$7),"",--(AF2291&lt;5))</f>
        <v/>
      </c>
      <c r="AH2291" s="35">
        <f>IF(OR(C2291&lt;&gt;"Grayson Coulter",G2291&lt;'00_Control'!$B$7),"",--(AF2291&lt;10))</f>
        <v/>
      </c>
      <c r="AI2291" s="35">
        <f>IF(AND(C2291="Grayson Coulter",G2291&gt;='00_Control'!$B$7),"YES","NO")</f>
        <v/>
      </c>
      <c r="AJ2291" s="33" t="inlineStr">
        <is>
          <t>OK</t>
        </is>
      </c>
    </row>
    <row r="2292">
      <c r="A2292" s="33" t="inlineStr">
        <is>
          <t>SM002288</t>
        </is>
      </c>
      <c r="B2292" s="33" t="inlineStr">
        <is>
          <t>SW014</t>
        </is>
      </c>
      <c r="C2292" s="33" t="inlineStr">
        <is>
          <t>Luke Hobson</t>
        </is>
      </c>
      <c r="D2292" s="33" t="inlineStr">
        <is>
          <t>SwimCloud</t>
        </is>
      </c>
      <c r="E2292" s="33" t="inlineStr">
        <is>
          <t>576911</t>
        </is>
      </c>
      <c r="F2292" s="33" t="inlineStr">
        <is>
          <t>20878798</t>
        </is>
      </c>
      <c r="G2292" s="51" t="n">
        <v>43296</v>
      </c>
      <c r="H2292" s="33" t="inlineStr">
        <is>
          <t>PC WCAB LCM SRII T&amp;F</t>
        </is>
      </c>
      <c r="I2292" s="33" t="inlineStr">
        <is>
          <t>134526</t>
        </is>
      </c>
      <c r="J2292" s="33" t="inlineStr"/>
      <c r="K2292" s="33" t="inlineStr">
        <is>
          <t>FIN</t>
        </is>
      </c>
      <c r="L2292" s="35">
        <f>IF(K2292="FIN",3,IF(OR(K2292="SEM",K2292="SEMI"),2,IF(OR(K2292="PRE",K2292="HEAT"),1,IF(V2292="YES",4,2))))</f>
        <v/>
      </c>
      <c r="M2292" s="33" t="inlineStr">
        <is>
          <t>LCM</t>
        </is>
      </c>
      <c r="N2292" s="33" t="n">
        <v>400</v>
      </c>
      <c r="O2292" s="33" t="inlineStr">
        <is>
          <t>Free</t>
        </is>
      </c>
      <c r="P2292" s="33" t="inlineStr">
        <is>
          <t>400 Free</t>
        </is>
      </c>
      <c r="Q2292" s="33" t="inlineStr">
        <is>
          <t>LCM_400_FREE</t>
        </is>
      </c>
      <c r="R2292" s="36" t="n">
        <v>246.1</v>
      </c>
      <c r="S2292" s="35">
        <f>IF(R2292="","",IF(R2292&gt;=60,INT(R2292/60)&amp;":"&amp;TEXT(MOD(R2292,60),"00.00"),TEXT(R2292,"0.00")))</f>
        <v/>
      </c>
      <c r="T2292" s="52">
        <f>IFERROR((G2292-INDEX('01_Swimmers'!$E$5:$E$22,MATCH(B2292,'01_Swimmers'!$A$5:$A$22,0)))/'00_Control'!$B$10,"")</f>
        <v/>
      </c>
      <c r="U2292" s="35">
        <f>IF(T2292="","",INT(T2292))</f>
        <v/>
      </c>
      <c r="V2292" s="33" t="inlineStr">
        <is>
          <t>NO</t>
        </is>
      </c>
      <c r="W2292" s="33" t="inlineStr">
        <is>
          <t>YES</t>
        </is>
      </c>
      <c r="X2292" s="33" t="inlineStr">
        <is>
          <t>NO</t>
        </is>
      </c>
      <c r="Y2292" s="33" t="n">
        <v>4</v>
      </c>
      <c r="Z2292" s="33" t="n">
        <v>2</v>
      </c>
      <c r="AA2292" s="33" t="inlineStr">
        <is>
          <t>2</t>
        </is>
      </c>
      <c r="AB2292" s="33" t="inlineStr">
        <is>
          <t>https://www.swimcloud.com/results/134526/event/2/?id=20878798#time20878798</t>
        </is>
      </c>
      <c r="AC2292" s="33" t="inlineStr">
        <is>
          <t>SwimCloud API v6 2026-10-08</t>
        </is>
      </c>
      <c r="AD2292" s="33" t="inlineStr">
        <is>
          <t>Luke Hobson|2018-07-15|LCM|400|Free|246.1|PC WCAB LCM SRII T&amp;F|FIN|False</t>
        </is>
      </c>
      <c r="AE2292" s="53">
        <f>G2292+L2292/1000+ROW()/1000000000</f>
        <v/>
      </c>
      <c r="AF2292" s="35">
        <f>IF(C2292&lt;&gt;"Grayson Coulter","",COUNTIFS($C$5:$C$2991,"Grayson Coulter",$Q$5:$Q$2991,Q2292,$AE$5:$AE$2991,"&lt;="&amp;AE2292,$R$5:$R$2991,"&lt;"&amp;R2292))</f>
        <v/>
      </c>
      <c r="AG2292" s="35">
        <f>IF(OR(C2292&lt;&gt;"Grayson Coulter",G2292&lt;'00_Control'!$B$7),"",--(AF2292&lt;5))</f>
        <v/>
      </c>
      <c r="AH2292" s="35">
        <f>IF(OR(C2292&lt;&gt;"Grayson Coulter",G2292&lt;'00_Control'!$B$7),"",--(AF2292&lt;10))</f>
        <v/>
      </c>
      <c r="AI2292" s="35">
        <f>IF(AND(C2292="Grayson Coulter",G2292&gt;='00_Control'!$B$7),"YES","NO")</f>
        <v/>
      </c>
      <c r="AJ2292" s="33" t="inlineStr">
        <is>
          <t>OK</t>
        </is>
      </c>
    </row>
    <row r="2293">
      <c r="A2293" s="33" t="inlineStr">
        <is>
          <t>SM002289</t>
        </is>
      </c>
      <c r="B2293" s="33" t="inlineStr">
        <is>
          <t>SW014</t>
        </is>
      </c>
      <c r="C2293" s="33" t="inlineStr">
        <is>
          <t>Luke Hobson</t>
        </is>
      </c>
      <c r="D2293" s="33" t="inlineStr">
        <is>
          <t>SwimCloud</t>
        </is>
      </c>
      <c r="E2293" s="33" t="inlineStr">
        <is>
          <t>576911</t>
        </is>
      </c>
      <c r="F2293" s="33" t="inlineStr">
        <is>
          <t>20080374</t>
        </is>
      </c>
      <c r="G2293" s="51" t="n">
        <v>43315</v>
      </c>
      <c r="H2293" s="33" t="inlineStr">
        <is>
          <t>USA Swimming Futures Championships - Santa Clara</t>
        </is>
      </c>
      <c r="I2293" s="33" t="inlineStr">
        <is>
          <t>117140</t>
        </is>
      </c>
      <c r="J2293" s="33" t="inlineStr"/>
      <c r="K2293" s="33" t="inlineStr">
        <is>
          <t>PRE</t>
        </is>
      </c>
      <c r="L2293" s="35">
        <f>IF(K2293="FIN",3,IF(OR(K2293="SEM",K2293="SEMI"),2,IF(OR(K2293="PRE",K2293="HEAT"),1,IF(V2293="YES",4,2))))</f>
        <v/>
      </c>
      <c r="M2293" s="33" t="inlineStr">
        <is>
          <t>LCM</t>
        </is>
      </c>
      <c r="N2293" s="33" t="n">
        <v>200</v>
      </c>
      <c r="O2293" s="33" t="inlineStr">
        <is>
          <t>Free</t>
        </is>
      </c>
      <c r="P2293" s="33" t="inlineStr">
        <is>
          <t>200 Free</t>
        </is>
      </c>
      <c r="Q2293" s="33" t="inlineStr">
        <is>
          <t>LCM_200_FREE</t>
        </is>
      </c>
      <c r="R2293" s="36" t="n">
        <v>116.78</v>
      </c>
      <c r="S2293" s="35">
        <f>IF(R2293="","",IF(R2293&gt;=60,INT(R2293/60)&amp;":"&amp;TEXT(MOD(R2293,60),"00.00"),TEXT(R2293,"0.00")))</f>
        <v/>
      </c>
      <c r="T2293" s="52">
        <f>IFERROR((G2293-INDEX('01_Swimmers'!$E$5:$E$22,MATCH(B2293,'01_Swimmers'!$A$5:$A$22,0)))/'00_Control'!$B$10,"")</f>
        <v/>
      </c>
      <c r="U2293" s="35">
        <f>IF(T2293="","",INT(T2293))</f>
        <v/>
      </c>
      <c r="V2293" s="33" t="inlineStr">
        <is>
          <t>NO</t>
        </is>
      </c>
      <c r="W2293" s="33" t="inlineStr">
        <is>
          <t>YES</t>
        </is>
      </c>
      <c r="X2293" s="33" t="inlineStr">
        <is>
          <t>NO</t>
        </is>
      </c>
      <c r="Y2293" s="33" t="n">
        <v>7</v>
      </c>
      <c r="Z2293" s="33" t="n">
        <v>9</v>
      </c>
      <c r="AA2293" s="33" t="inlineStr">
        <is>
          <t>23</t>
        </is>
      </c>
      <c r="AB2293" s="33" t="inlineStr">
        <is>
          <t>https://www.swimcloud.com/results/117140/event/6/?id=20080374#time20080374</t>
        </is>
      </c>
      <c r="AC2293" s="33" t="inlineStr">
        <is>
          <t>SwimCloud API v6 2026-10-08</t>
        </is>
      </c>
      <c r="AD2293" s="33" t="inlineStr">
        <is>
          <t>Luke Hobson|2018-08-03|LCM|200|Free|116.78|USA Swimming Futures Championships - Santa Clara|PRE|False</t>
        </is>
      </c>
      <c r="AE2293" s="53">
        <f>G2293+L2293/1000+ROW()/1000000000</f>
        <v/>
      </c>
      <c r="AF2293" s="35">
        <f>IF(C2293&lt;&gt;"Grayson Coulter","",COUNTIFS($C$5:$C$2991,"Grayson Coulter",$Q$5:$Q$2991,Q2293,$AE$5:$AE$2991,"&lt;="&amp;AE2293,$R$5:$R$2991,"&lt;"&amp;R2293))</f>
        <v/>
      </c>
      <c r="AG2293" s="35">
        <f>IF(OR(C2293&lt;&gt;"Grayson Coulter",G2293&lt;'00_Control'!$B$7),"",--(AF2293&lt;5))</f>
        <v/>
      </c>
      <c r="AH2293" s="35">
        <f>IF(OR(C2293&lt;&gt;"Grayson Coulter",G2293&lt;'00_Control'!$B$7),"",--(AF2293&lt;10))</f>
        <v/>
      </c>
      <c r="AI2293" s="35">
        <f>IF(AND(C2293="Grayson Coulter",G2293&gt;='00_Control'!$B$7),"YES","NO")</f>
        <v/>
      </c>
      <c r="AJ2293" s="33" t="inlineStr">
        <is>
          <t>OK</t>
        </is>
      </c>
    </row>
    <row r="2294">
      <c r="A2294" s="33" t="inlineStr">
        <is>
          <t>SM002290</t>
        </is>
      </c>
      <c r="B2294" s="33" t="inlineStr">
        <is>
          <t>SW014</t>
        </is>
      </c>
      <c r="C2294" s="33" t="inlineStr">
        <is>
          <t>Luke Hobson</t>
        </is>
      </c>
      <c r="D2294" s="33" t="inlineStr">
        <is>
          <t>SwimCloud</t>
        </is>
      </c>
      <c r="E2294" s="33" t="inlineStr">
        <is>
          <t>576911</t>
        </is>
      </c>
      <c r="F2294" s="33" t="inlineStr">
        <is>
          <t>20080375</t>
        </is>
      </c>
      <c r="G2294" s="51" t="n">
        <v>43315</v>
      </c>
      <c r="H2294" s="33" t="inlineStr">
        <is>
          <t>USA Swimming Futures Championships - Santa Clara</t>
        </is>
      </c>
      <c r="I2294" s="33" t="inlineStr">
        <is>
          <t>117140</t>
        </is>
      </c>
      <c r="J2294" s="33" t="inlineStr"/>
      <c r="K2294" s="33" t="inlineStr">
        <is>
          <t>FIN</t>
        </is>
      </c>
      <c r="L2294" s="35">
        <f>IF(K2294="FIN",3,IF(OR(K2294="SEM",K2294="SEMI"),2,IF(OR(K2294="PRE",K2294="HEAT"),1,IF(V2294="YES",4,2))))</f>
        <v/>
      </c>
      <c r="M2294" s="33" t="inlineStr">
        <is>
          <t>LCM</t>
        </is>
      </c>
      <c r="N2294" s="33" t="n">
        <v>200</v>
      </c>
      <c r="O2294" s="33" t="inlineStr">
        <is>
          <t>Free</t>
        </is>
      </c>
      <c r="P2294" s="33" t="inlineStr">
        <is>
          <t>200 Free</t>
        </is>
      </c>
      <c r="Q2294" s="33" t="inlineStr">
        <is>
          <t>LCM_200_FREE</t>
        </is>
      </c>
      <c r="R2294" s="36" t="n">
        <v>114.87</v>
      </c>
      <c r="S2294" s="35">
        <f>IF(R2294="","",IF(R2294&gt;=60,INT(R2294/60)&amp;":"&amp;TEXT(MOD(R2294,60),"00.00"),TEXT(R2294,"0.00")))</f>
        <v/>
      </c>
      <c r="T2294" s="52">
        <f>IFERROR((G2294-INDEX('01_Swimmers'!$E$5:$E$22,MATCH(B2294,'01_Swimmers'!$A$5:$A$22,0)))/'00_Control'!$B$10,"")</f>
        <v/>
      </c>
      <c r="U2294" s="35">
        <f>IF(T2294="","",INT(T2294))</f>
        <v/>
      </c>
      <c r="V2294" s="33" t="inlineStr">
        <is>
          <t>NO</t>
        </is>
      </c>
      <c r="W2294" s="33" t="inlineStr">
        <is>
          <t>YES</t>
        </is>
      </c>
      <c r="X2294" s="33" t="inlineStr">
        <is>
          <t>NO</t>
        </is>
      </c>
      <c r="Y2294" s="33" t="n">
        <v>1</v>
      </c>
      <c r="Z2294" s="33" t="n">
        <v>7</v>
      </c>
      <c r="AA2294" s="33" t="inlineStr">
        <is>
          <t>19</t>
        </is>
      </c>
      <c r="AB2294" s="33" t="inlineStr">
        <is>
          <t>https://www.swimcloud.com/results/117140/event/6/?id=20080375#time20080375</t>
        </is>
      </c>
      <c r="AC2294" s="33" t="inlineStr">
        <is>
          <t>SwimCloud API v6 2026-10-08</t>
        </is>
      </c>
      <c r="AD2294" s="33" t="inlineStr">
        <is>
          <t>Luke Hobson|2018-08-03|LCM|200|Free|114.87|USA Swimming Futures Championships - Santa Clara|FIN|False</t>
        </is>
      </c>
      <c r="AE2294" s="53">
        <f>G2294+L2294/1000+ROW()/1000000000</f>
        <v/>
      </c>
      <c r="AF2294" s="35">
        <f>IF(C2294&lt;&gt;"Grayson Coulter","",COUNTIFS($C$5:$C$2991,"Grayson Coulter",$Q$5:$Q$2991,Q2294,$AE$5:$AE$2991,"&lt;="&amp;AE2294,$R$5:$R$2991,"&lt;"&amp;R2294))</f>
        <v/>
      </c>
      <c r="AG2294" s="35">
        <f>IF(OR(C2294&lt;&gt;"Grayson Coulter",G2294&lt;'00_Control'!$B$7),"",--(AF2294&lt;5))</f>
        <v/>
      </c>
      <c r="AH2294" s="35">
        <f>IF(OR(C2294&lt;&gt;"Grayson Coulter",G2294&lt;'00_Control'!$B$7),"",--(AF2294&lt;10))</f>
        <v/>
      </c>
      <c r="AI2294" s="35">
        <f>IF(AND(C2294="Grayson Coulter",G2294&gt;='00_Control'!$B$7),"YES","NO")</f>
        <v/>
      </c>
      <c r="AJ2294" s="33" t="inlineStr">
        <is>
          <t>OK</t>
        </is>
      </c>
    </row>
    <row r="2295">
      <c r="A2295" s="33" t="inlineStr">
        <is>
          <t>SM002291</t>
        </is>
      </c>
      <c r="B2295" s="33" t="inlineStr">
        <is>
          <t>SW014</t>
        </is>
      </c>
      <c r="C2295" s="33" t="inlineStr">
        <is>
          <t>Luke Hobson</t>
        </is>
      </c>
      <c r="D2295" s="33" t="inlineStr">
        <is>
          <t>SwimCloud</t>
        </is>
      </c>
      <c r="E2295" s="33" t="inlineStr">
        <is>
          <t>576911</t>
        </is>
      </c>
      <c r="F2295" s="33" t="inlineStr">
        <is>
          <t>20081855</t>
        </is>
      </c>
      <c r="G2295" s="51" t="n">
        <v>43316</v>
      </c>
      <c r="H2295" s="33" t="inlineStr">
        <is>
          <t>USA Swimming Futures Championships - Santa Clara</t>
        </is>
      </c>
      <c r="I2295" s="33" t="inlineStr">
        <is>
          <t>117140</t>
        </is>
      </c>
      <c r="J2295" s="33" t="inlineStr"/>
      <c r="K2295" s="33" t="inlineStr">
        <is>
          <t>PRE</t>
        </is>
      </c>
      <c r="L2295" s="35">
        <f>IF(K2295="FIN",3,IF(OR(K2295="SEM",K2295="SEMI"),2,IF(OR(K2295="PRE",K2295="HEAT"),1,IF(V2295="YES",4,2))))</f>
        <v/>
      </c>
      <c r="M2295" s="33" t="inlineStr">
        <is>
          <t>LCM</t>
        </is>
      </c>
      <c r="N2295" s="33" t="n">
        <v>400</v>
      </c>
      <c r="O2295" s="33" t="inlineStr">
        <is>
          <t>Free</t>
        </is>
      </c>
      <c r="P2295" s="33" t="inlineStr">
        <is>
          <t>400 Free</t>
        </is>
      </c>
      <c r="Q2295" s="33" t="inlineStr">
        <is>
          <t>LCM_400_FREE</t>
        </is>
      </c>
      <c r="R2295" s="36" t="n">
        <v>247.71</v>
      </c>
      <c r="S2295" s="35">
        <f>IF(R2295="","",IF(R2295&gt;=60,INT(R2295/60)&amp;":"&amp;TEXT(MOD(R2295,60),"00.00"),TEXT(R2295,"0.00")))</f>
        <v/>
      </c>
      <c r="T2295" s="52">
        <f>IFERROR((G2295-INDEX('01_Swimmers'!$E$5:$E$22,MATCH(B2295,'01_Swimmers'!$A$5:$A$22,0)))/'00_Control'!$B$10,"")</f>
        <v/>
      </c>
      <c r="U2295" s="35">
        <f>IF(T2295="","",INT(T2295))</f>
        <v/>
      </c>
      <c r="V2295" s="33" t="inlineStr">
        <is>
          <t>NO</t>
        </is>
      </c>
      <c r="W2295" s="33" t="inlineStr">
        <is>
          <t>YES</t>
        </is>
      </c>
      <c r="X2295" s="33" t="inlineStr">
        <is>
          <t>NO</t>
        </is>
      </c>
      <c r="Y2295" s="33" t="n">
        <v>8</v>
      </c>
      <c r="Z2295" s="33" t="n">
        <v>3</v>
      </c>
      <c r="AA2295" s="33" t="inlineStr">
        <is>
          <t>19</t>
        </is>
      </c>
      <c r="AB2295" s="33" t="inlineStr">
        <is>
          <t>https://www.swimcloud.com/results/117140/event/24/?id=20081855#time20081855</t>
        </is>
      </c>
      <c r="AC2295" s="33" t="inlineStr">
        <is>
          <t>SwimCloud API v6 2026-10-08</t>
        </is>
      </c>
      <c r="AD2295" s="33" t="inlineStr">
        <is>
          <t>Luke Hobson|2018-08-04|LCM|400|Free|247.71|USA Swimming Futures Championships - Santa Clara|PRE|False</t>
        </is>
      </c>
      <c r="AE2295" s="53">
        <f>G2295+L2295/1000+ROW()/1000000000</f>
        <v/>
      </c>
      <c r="AF2295" s="35">
        <f>IF(C2295&lt;&gt;"Grayson Coulter","",COUNTIFS($C$5:$C$2991,"Grayson Coulter",$Q$5:$Q$2991,Q2295,$AE$5:$AE$2991,"&lt;="&amp;AE2295,$R$5:$R$2991,"&lt;"&amp;R2295))</f>
        <v/>
      </c>
      <c r="AG2295" s="35">
        <f>IF(OR(C2295&lt;&gt;"Grayson Coulter",G2295&lt;'00_Control'!$B$7),"",--(AF2295&lt;5))</f>
        <v/>
      </c>
      <c r="AH2295" s="35">
        <f>IF(OR(C2295&lt;&gt;"Grayson Coulter",G2295&lt;'00_Control'!$B$7),"",--(AF2295&lt;10))</f>
        <v/>
      </c>
      <c r="AI2295" s="35">
        <f>IF(AND(C2295="Grayson Coulter",G2295&gt;='00_Control'!$B$7),"YES","NO")</f>
        <v/>
      </c>
      <c r="AJ2295" s="33" t="inlineStr">
        <is>
          <t>OK</t>
        </is>
      </c>
    </row>
    <row r="2296">
      <c r="A2296" s="33" t="inlineStr">
        <is>
          <t>SM002292</t>
        </is>
      </c>
      <c r="B2296" s="33" t="inlineStr">
        <is>
          <t>SW014</t>
        </is>
      </c>
      <c r="C2296" s="33" t="inlineStr">
        <is>
          <t>Luke Hobson</t>
        </is>
      </c>
      <c r="D2296" s="33" t="inlineStr">
        <is>
          <t>SwimCloud</t>
        </is>
      </c>
      <c r="E2296" s="33" t="inlineStr">
        <is>
          <t>576911</t>
        </is>
      </c>
      <c r="F2296" s="33" t="inlineStr">
        <is>
          <t>20081856</t>
        </is>
      </c>
      <c r="G2296" s="51" t="n">
        <v>43316</v>
      </c>
      <c r="H2296" s="33" t="inlineStr">
        <is>
          <t>USA Swimming Futures Championships - Santa Clara</t>
        </is>
      </c>
      <c r="I2296" s="33" t="inlineStr">
        <is>
          <t>117140</t>
        </is>
      </c>
      <c r="J2296" s="33" t="inlineStr"/>
      <c r="K2296" s="33" t="inlineStr">
        <is>
          <t>FIN</t>
        </is>
      </c>
      <c r="L2296" s="35">
        <f>IF(K2296="FIN",3,IF(OR(K2296="SEM",K2296="SEMI"),2,IF(OR(K2296="PRE",K2296="HEAT"),1,IF(V2296="YES",4,2))))</f>
        <v/>
      </c>
      <c r="M2296" s="33" t="inlineStr">
        <is>
          <t>LCM</t>
        </is>
      </c>
      <c r="N2296" s="33" t="n">
        <v>400</v>
      </c>
      <c r="O2296" s="33" t="inlineStr">
        <is>
          <t>Free</t>
        </is>
      </c>
      <c r="P2296" s="33" t="inlineStr">
        <is>
          <t>400 Free</t>
        </is>
      </c>
      <c r="Q2296" s="33" t="inlineStr">
        <is>
          <t>LCM_400_FREE</t>
        </is>
      </c>
      <c r="R2296" s="36" t="n">
        <v>253.92</v>
      </c>
      <c r="S2296" s="35">
        <f>IF(R2296="","",IF(R2296&gt;=60,INT(R2296/60)&amp;":"&amp;TEXT(MOD(R2296,60),"00.00"),TEXT(R2296,"0.00")))</f>
        <v/>
      </c>
      <c r="T2296" s="52">
        <f>IFERROR((G2296-INDEX('01_Swimmers'!$E$5:$E$22,MATCH(B2296,'01_Swimmers'!$A$5:$A$22,0)))/'00_Control'!$B$10,"")</f>
        <v/>
      </c>
      <c r="U2296" s="35">
        <f>IF(T2296="","",INT(T2296))</f>
        <v/>
      </c>
      <c r="V2296" s="33" t="inlineStr">
        <is>
          <t>NO</t>
        </is>
      </c>
      <c r="W2296" s="33" t="inlineStr">
        <is>
          <t>YES</t>
        </is>
      </c>
      <c r="X2296" s="33" t="inlineStr">
        <is>
          <t>NO</t>
        </is>
      </c>
      <c r="Y2296" s="33" t="n">
        <v>2</v>
      </c>
      <c r="Z2296" s="33" t="n">
        <v>1</v>
      </c>
      <c r="AA2296" s="33" t="inlineStr">
        <is>
          <t>18</t>
        </is>
      </c>
      <c r="AB2296" s="33" t="inlineStr">
        <is>
          <t>https://www.swimcloud.com/results/117140/event/24/?id=20081856#time20081856</t>
        </is>
      </c>
      <c r="AC2296" s="33" t="inlineStr">
        <is>
          <t>SwimCloud API v6 2026-10-08</t>
        </is>
      </c>
      <c r="AD2296" s="33" t="inlineStr">
        <is>
          <t>Luke Hobson|2018-08-04|LCM|400|Free|253.92|USA Swimming Futures Championships - Santa Clara|FIN|False</t>
        </is>
      </c>
      <c r="AE2296" s="53">
        <f>G2296+L2296/1000+ROW()/1000000000</f>
        <v/>
      </c>
      <c r="AF2296" s="35">
        <f>IF(C2296&lt;&gt;"Grayson Coulter","",COUNTIFS($C$5:$C$2991,"Grayson Coulter",$Q$5:$Q$2991,Q2296,$AE$5:$AE$2991,"&lt;="&amp;AE2296,$R$5:$R$2991,"&lt;"&amp;R2296))</f>
        <v/>
      </c>
      <c r="AG2296" s="35">
        <f>IF(OR(C2296&lt;&gt;"Grayson Coulter",G2296&lt;'00_Control'!$B$7),"",--(AF2296&lt;5))</f>
        <v/>
      </c>
      <c r="AH2296" s="35">
        <f>IF(OR(C2296&lt;&gt;"Grayson Coulter",G2296&lt;'00_Control'!$B$7),"",--(AF2296&lt;10))</f>
        <v/>
      </c>
      <c r="AI2296" s="35">
        <f>IF(AND(C2296="Grayson Coulter",G2296&gt;='00_Control'!$B$7),"YES","NO")</f>
        <v/>
      </c>
      <c r="AJ2296" s="33" t="inlineStr">
        <is>
          <t>OK</t>
        </is>
      </c>
    </row>
    <row r="2297">
      <c r="A2297" s="33" t="inlineStr">
        <is>
          <t>SM002293</t>
        </is>
      </c>
      <c r="B2297" s="33" t="inlineStr">
        <is>
          <t>SW014</t>
        </is>
      </c>
      <c r="C2297" s="33" t="inlineStr">
        <is>
          <t>Luke Hobson</t>
        </is>
      </c>
      <c r="D2297" s="33" t="inlineStr">
        <is>
          <t>SwimCloud</t>
        </is>
      </c>
      <c r="E2297" s="33" t="inlineStr">
        <is>
          <t>576911</t>
        </is>
      </c>
      <c r="F2297" s="33" t="inlineStr">
        <is>
          <t>26681991</t>
        </is>
      </c>
      <c r="G2297" s="51" t="n">
        <v>43610</v>
      </c>
      <c r="H2297" s="33" t="inlineStr">
        <is>
          <t>PC CARS Intermountain Classic</t>
        </is>
      </c>
      <c r="I2297" s="33" t="inlineStr">
        <is>
          <t>129614</t>
        </is>
      </c>
      <c r="J2297" s="33" t="inlineStr"/>
      <c r="K2297" s="33" t="inlineStr">
        <is>
          <t>TIM</t>
        </is>
      </c>
      <c r="L2297" s="35">
        <f>IF(K2297="FIN",3,IF(OR(K2297="SEM",K2297="SEMI"),2,IF(OR(K2297="PRE",K2297="HEAT"),1,IF(V2297="YES",4,2))))</f>
        <v/>
      </c>
      <c r="M2297" s="33" t="inlineStr">
        <is>
          <t>LCM</t>
        </is>
      </c>
      <c r="N2297" s="33" t="n">
        <v>200</v>
      </c>
      <c r="O2297" s="33" t="inlineStr">
        <is>
          <t>Free</t>
        </is>
      </c>
      <c r="P2297" s="33" t="inlineStr">
        <is>
          <t>200 Free</t>
        </is>
      </c>
      <c r="Q2297" s="33" t="inlineStr">
        <is>
          <t>LCM_200_FREE</t>
        </is>
      </c>
      <c r="R2297" s="36" t="n">
        <v>116.48</v>
      </c>
      <c r="S2297" s="35">
        <f>IF(R2297="","",IF(R2297&gt;=60,INT(R2297/60)&amp;":"&amp;TEXT(MOD(R2297,60),"00.00"),TEXT(R2297,"0.00")))</f>
        <v/>
      </c>
      <c r="T2297" s="52">
        <f>IFERROR((G2297-INDEX('01_Swimmers'!$E$5:$E$22,MATCH(B2297,'01_Swimmers'!$A$5:$A$22,0)))/'00_Control'!$B$10,"")</f>
        <v/>
      </c>
      <c r="U2297" s="35">
        <f>IF(T2297="","",INT(T2297))</f>
        <v/>
      </c>
      <c r="V2297" s="33" t="inlineStr">
        <is>
          <t>NO</t>
        </is>
      </c>
      <c r="W2297" s="33" t="inlineStr">
        <is>
          <t>YES</t>
        </is>
      </c>
      <c r="X2297" s="33" t="inlineStr">
        <is>
          <t>NO</t>
        </is>
      </c>
      <c r="Y2297" s="33" t="n">
        <v>1</v>
      </c>
      <c r="Z2297" s="33" t="n">
        <v>4</v>
      </c>
      <c r="AA2297" s="33" t="inlineStr">
        <is>
          <t>1</t>
        </is>
      </c>
      <c r="AB2297" s="33" t="inlineStr">
        <is>
          <t>https://www.swimcloud.com/results/129614/event/18/?id=26680192#time26680192</t>
        </is>
      </c>
      <c r="AC2297" s="33" t="inlineStr">
        <is>
          <t>SwimCloud API v6 2026-10-08</t>
        </is>
      </c>
      <c r="AD2297" s="33" t="inlineStr">
        <is>
          <t>Luke Hobson|2019-05-25|LCM|200|Free|116.48|PC CARS Intermountain Classic|TIM|False</t>
        </is>
      </c>
      <c r="AE2297" s="53">
        <f>G2297+L2297/1000+ROW()/1000000000</f>
        <v/>
      </c>
      <c r="AF2297" s="35">
        <f>IF(C2297&lt;&gt;"Grayson Coulter","",COUNTIFS($C$5:$C$2991,"Grayson Coulter",$Q$5:$Q$2991,Q2297,$AE$5:$AE$2991,"&lt;="&amp;AE2297,$R$5:$R$2991,"&lt;"&amp;R2297))</f>
        <v/>
      </c>
      <c r="AG2297" s="35">
        <f>IF(OR(C2297&lt;&gt;"Grayson Coulter",G2297&lt;'00_Control'!$B$7),"",--(AF2297&lt;5))</f>
        <v/>
      </c>
      <c r="AH2297" s="35">
        <f>IF(OR(C2297&lt;&gt;"Grayson Coulter",G2297&lt;'00_Control'!$B$7),"",--(AF2297&lt;10))</f>
        <v/>
      </c>
      <c r="AI2297" s="35">
        <f>IF(AND(C2297="Grayson Coulter",G2297&gt;='00_Control'!$B$7),"YES","NO")</f>
        <v/>
      </c>
      <c r="AJ2297" s="33" t="inlineStr">
        <is>
          <t>OK</t>
        </is>
      </c>
    </row>
    <row r="2298">
      <c r="A2298" s="33" t="inlineStr">
        <is>
          <t>SM002294</t>
        </is>
      </c>
      <c r="B2298" s="33" t="inlineStr">
        <is>
          <t>SW014</t>
        </is>
      </c>
      <c r="C2298" s="33" t="inlineStr">
        <is>
          <t>Luke Hobson</t>
        </is>
      </c>
      <c r="D2298" s="33" t="inlineStr">
        <is>
          <t>SwimCloud</t>
        </is>
      </c>
      <c r="E2298" s="33" t="inlineStr">
        <is>
          <t>576911</t>
        </is>
      </c>
      <c r="F2298" s="33" t="inlineStr">
        <is>
          <t>26680192</t>
        </is>
      </c>
      <c r="G2298" s="51" t="n">
        <v>43610</v>
      </c>
      <c r="H2298" s="33" t="inlineStr">
        <is>
          <t>PC CARS Intermountain Classic</t>
        </is>
      </c>
      <c r="I2298" s="33" t="inlineStr">
        <is>
          <t>129614</t>
        </is>
      </c>
      <c r="J2298" s="33" t="inlineStr"/>
      <c r="K2298" s="33" t="inlineStr">
        <is>
          <t>TIM</t>
        </is>
      </c>
      <c r="L2298" s="35">
        <f>IF(K2298="FIN",3,IF(OR(K2298="SEM",K2298="SEMI"),2,IF(OR(K2298="PRE",K2298="HEAT"),1,IF(V2298="YES",4,2))))</f>
        <v/>
      </c>
      <c r="M2298" s="33" t="inlineStr">
        <is>
          <t>LCM</t>
        </is>
      </c>
      <c r="N2298" s="33" t="n">
        <v>200</v>
      </c>
      <c r="O2298" s="33" t="inlineStr">
        <is>
          <t>Free</t>
        </is>
      </c>
      <c r="P2298" s="33" t="inlineStr">
        <is>
          <t>200 Free</t>
        </is>
      </c>
      <c r="Q2298" s="33" t="inlineStr">
        <is>
          <t>LCM_200_FREE</t>
        </is>
      </c>
      <c r="R2298" s="36" t="n">
        <v>117.68</v>
      </c>
      <c r="S2298" s="35">
        <f>IF(R2298="","",IF(R2298&gt;=60,INT(R2298/60)&amp;":"&amp;TEXT(MOD(R2298,60),"00.00"),TEXT(R2298,"0.00")))</f>
        <v/>
      </c>
      <c r="T2298" s="52">
        <f>IFERROR((G2298-INDEX('01_Swimmers'!$E$5:$E$22,MATCH(B2298,'01_Swimmers'!$A$5:$A$22,0)))/'00_Control'!$B$10,"")</f>
        <v/>
      </c>
      <c r="U2298" s="35">
        <f>IF(T2298="","",INT(T2298))</f>
        <v/>
      </c>
      <c r="V2298" s="33" t="inlineStr">
        <is>
          <t>NO</t>
        </is>
      </c>
      <c r="W2298" s="33" t="inlineStr">
        <is>
          <t>YES</t>
        </is>
      </c>
      <c r="X2298" s="33" t="inlineStr">
        <is>
          <t>NO</t>
        </is>
      </c>
      <c r="Y2298" s="33" t="n">
        <v>1</v>
      </c>
      <c r="Z2298" s="33" t="n">
        <v>4</v>
      </c>
      <c r="AA2298" s="33" t="inlineStr">
        <is>
          <t>1</t>
        </is>
      </c>
      <c r="AB2298" s="33" t="inlineStr">
        <is>
          <t>https://www.swimcloud.com/results/129614/event/18/?id=26680192#time26680192</t>
        </is>
      </c>
      <c r="AC2298" s="33" t="inlineStr">
        <is>
          <t>SwimCloud API v6 2026-10-08</t>
        </is>
      </c>
      <c r="AD2298" s="33" t="inlineStr">
        <is>
          <t>Luke Hobson|2019-05-25|LCM|200|Free|117.68|PC CARS Intermountain Classic|TIM|False</t>
        </is>
      </c>
      <c r="AE2298" s="53">
        <f>G2298+L2298/1000+ROW()/1000000000</f>
        <v/>
      </c>
      <c r="AF2298" s="35">
        <f>IF(C2298&lt;&gt;"Grayson Coulter","",COUNTIFS($C$5:$C$2991,"Grayson Coulter",$Q$5:$Q$2991,Q2298,$AE$5:$AE$2991,"&lt;="&amp;AE2298,$R$5:$R$2991,"&lt;"&amp;R2298))</f>
        <v/>
      </c>
      <c r="AG2298" s="35">
        <f>IF(OR(C2298&lt;&gt;"Grayson Coulter",G2298&lt;'00_Control'!$B$7),"",--(AF2298&lt;5))</f>
        <v/>
      </c>
      <c r="AH2298" s="35">
        <f>IF(OR(C2298&lt;&gt;"Grayson Coulter",G2298&lt;'00_Control'!$B$7),"",--(AF2298&lt;10))</f>
        <v/>
      </c>
      <c r="AI2298" s="35">
        <f>IF(AND(C2298="Grayson Coulter",G2298&gt;='00_Control'!$B$7),"YES","NO")</f>
        <v/>
      </c>
      <c r="AJ2298" s="33" t="inlineStr">
        <is>
          <t>OK</t>
        </is>
      </c>
    </row>
    <row r="2299">
      <c r="A2299" s="33" t="inlineStr">
        <is>
          <t>SM002295</t>
        </is>
      </c>
      <c r="B2299" s="33" t="inlineStr">
        <is>
          <t>SW014</t>
        </is>
      </c>
      <c r="C2299" s="33" t="inlineStr">
        <is>
          <t>Luke Hobson</t>
        </is>
      </c>
      <c r="D2299" s="33" t="inlineStr">
        <is>
          <t>SwimCloud</t>
        </is>
      </c>
      <c r="E2299" s="33" t="inlineStr">
        <is>
          <t>576911</t>
        </is>
      </c>
      <c r="F2299" s="33" t="inlineStr">
        <is>
          <t>26681990</t>
        </is>
      </c>
      <c r="G2299" s="51" t="n">
        <v>43611</v>
      </c>
      <c r="H2299" s="33" t="inlineStr">
        <is>
          <t>PC CARS Intermountain Classic</t>
        </is>
      </c>
      <c r="I2299" s="33" t="inlineStr">
        <is>
          <t>129614</t>
        </is>
      </c>
      <c r="J2299" s="33" t="inlineStr"/>
      <c r="K2299" s="33" t="inlineStr">
        <is>
          <t>TIM</t>
        </is>
      </c>
      <c r="L2299" s="35">
        <f>IF(K2299="FIN",3,IF(OR(K2299="SEM",K2299="SEMI"),2,IF(OR(K2299="PRE",K2299="HEAT"),1,IF(V2299="YES",4,2))))</f>
        <v/>
      </c>
      <c r="M2299" s="33" t="inlineStr">
        <is>
          <t>LCM</t>
        </is>
      </c>
      <c r="N2299" s="33" t="n">
        <v>100</v>
      </c>
      <c r="O2299" s="33" t="inlineStr">
        <is>
          <t>Fly</t>
        </is>
      </c>
      <c r="P2299" s="33" t="inlineStr">
        <is>
          <t>100 Fly</t>
        </is>
      </c>
      <c r="Q2299" s="33" t="inlineStr">
        <is>
          <t>LCM_100_FLY</t>
        </is>
      </c>
      <c r="R2299" s="36" t="n">
        <v>60.39</v>
      </c>
      <c r="S2299" s="35">
        <f>IF(R2299="","",IF(R2299&gt;=60,INT(R2299/60)&amp;":"&amp;TEXT(MOD(R2299,60),"00.00"),TEXT(R2299,"0.00")))</f>
        <v/>
      </c>
      <c r="T2299" s="52">
        <f>IFERROR((G2299-INDEX('01_Swimmers'!$E$5:$E$22,MATCH(B2299,'01_Swimmers'!$A$5:$A$22,0)))/'00_Control'!$B$10,"")</f>
        <v/>
      </c>
      <c r="U2299" s="35">
        <f>IF(T2299="","",INT(T2299))</f>
        <v/>
      </c>
      <c r="V2299" s="33" t="inlineStr">
        <is>
          <t>NO</t>
        </is>
      </c>
      <c r="W2299" s="33" t="inlineStr">
        <is>
          <t>YES</t>
        </is>
      </c>
      <c r="X2299" s="33" t="inlineStr">
        <is>
          <t>NO</t>
        </is>
      </c>
      <c r="Y2299" s="33" t="n">
        <v>1</v>
      </c>
      <c r="Z2299" s="33" t="n">
        <v>5</v>
      </c>
      <c r="AA2299" s="33" t="inlineStr">
        <is>
          <t>1</t>
        </is>
      </c>
      <c r="AB2299" s="33" t="inlineStr">
        <is>
          <t>https://www.swimcloud.com/results/129614/event/48/?id=26680167#time26680167</t>
        </is>
      </c>
      <c r="AC2299" s="33" t="inlineStr">
        <is>
          <t>SwimCloud API v6 2026-10-08</t>
        </is>
      </c>
      <c r="AD2299" s="33" t="inlineStr">
        <is>
          <t>Luke Hobson|2019-05-26|LCM|100|Fly|60.39|PC CARS Intermountain Classic|TIM|False</t>
        </is>
      </c>
      <c r="AE2299" s="53">
        <f>G2299+L2299/1000+ROW()/1000000000</f>
        <v/>
      </c>
      <c r="AF2299" s="35">
        <f>IF(C2299&lt;&gt;"Grayson Coulter","",COUNTIFS($C$5:$C$2991,"Grayson Coulter",$Q$5:$Q$2991,Q2299,$AE$5:$AE$2991,"&lt;="&amp;AE2299,$R$5:$R$2991,"&lt;"&amp;R2299))</f>
        <v/>
      </c>
      <c r="AG2299" s="35">
        <f>IF(OR(C2299&lt;&gt;"Grayson Coulter",G2299&lt;'00_Control'!$B$7),"",--(AF2299&lt;5))</f>
        <v/>
      </c>
      <c r="AH2299" s="35">
        <f>IF(OR(C2299&lt;&gt;"Grayson Coulter",G2299&lt;'00_Control'!$B$7),"",--(AF2299&lt;10))</f>
        <v/>
      </c>
      <c r="AI2299" s="35">
        <f>IF(AND(C2299="Grayson Coulter",G2299&gt;='00_Control'!$B$7),"YES","NO")</f>
        <v/>
      </c>
      <c r="AJ2299" s="33" t="inlineStr">
        <is>
          <t>OK</t>
        </is>
      </c>
    </row>
    <row r="2300">
      <c r="A2300" s="33" t="inlineStr">
        <is>
          <t>SM002296</t>
        </is>
      </c>
      <c r="B2300" s="33" t="inlineStr">
        <is>
          <t>SW014</t>
        </is>
      </c>
      <c r="C2300" s="33" t="inlineStr">
        <is>
          <t>Luke Hobson</t>
        </is>
      </c>
      <c r="D2300" s="33" t="inlineStr">
        <is>
          <t>SwimCloud</t>
        </is>
      </c>
      <c r="E2300" s="33" t="inlineStr">
        <is>
          <t>576911</t>
        </is>
      </c>
      <c r="F2300" s="33" t="inlineStr">
        <is>
          <t>26680167</t>
        </is>
      </c>
      <c r="G2300" s="51" t="n">
        <v>43611</v>
      </c>
      <c r="H2300" s="33" t="inlineStr">
        <is>
          <t>PC CARS Intermountain Classic</t>
        </is>
      </c>
      <c r="I2300" s="33" t="inlineStr">
        <is>
          <t>129614</t>
        </is>
      </c>
      <c r="J2300" s="33" t="inlineStr"/>
      <c r="K2300" s="33" t="inlineStr">
        <is>
          <t>TIM</t>
        </is>
      </c>
      <c r="L2300" s="35">
        <f>IF(K2300="FIN",3,IF(OR(K2300="SEM",K2300="SEMI"),2,IF(OR(K2300="PRE",K2300="HEAT"),1,IF(V2300="YES",4,2))))</f>
        <v/>
      </c>
      <c r="M2300" s="33" t="inlineStr">
        <is>
          <t>LCM</t>
        </is>
      </c>
      <c r="N2300" s="33" t="n">
        <v>100</v>
      </c>
      <c r="O2300" s="33" t="inlineStr">
        <is>
          <t>Fly</t>
        </is>
      </c>
      <c r="P2300" s="33" t="inlineStr">
        <is>
          <t>100 Fly</t>
        </is>
      </c>
      <c r="Q2300" s="33" t="inlineStr">
        <is>
          <t>LCM_100_FLY</t>
        </is>
      </c>
      <c r="R2300" s="36" t="n">
        <v>60.49</v>
      </c>
      <c r="S2300" s="35">
        <f>IF(R2300="","",IF(R2300&gt;=60,INT(R2300/60)&amp;":"&amp;TEXT(MOD(R2300,60),"00.00"),TEXT(R2300,"0.00")))</f>
        <v/>
      </c>
      <c r="T2300" s="52">
        <f>IFERROR((G2300-INDEX('01_Swimmers'!$E$5:$E$22,MATCH(B2300,'01_Swimmers'!$A$5:$A$22,0)))/'00_Control'!$B$10,"")</f>
        <v/>
      </c>
      <c r="U2300" s="35">
        <f>IF(T2300="","",INT(T2300))</f>
        <v/>
      </c>
      <c r="V2300" s="33" t="inlineStr">
        <is>
          <t>NO</t>
        </is>
      </c>
      <c r="W2300" s="33" t="inlineStr">
        <is>
          <t>YES</t>
        </is>
      </c>
      <c r="X2300" s="33" t="inlineStr">
        <is>
          <t>NO</t>
        </is>
      </c>
      <c r="Y2300" s="33" t="n">
        <v>1</v>
      </c>
      <c r="Z2300" s="33" t="n">
        <v>5</v>
      </c>
      <c r="AA2300" s="33" t="inlineStr">
        <is>
          <t>1</t>
        </is>
      </c>
      <c r="AB2300" s="33" t="inlineStr">
        <is>
          <t>https://www.swimcloud.com/results/129614/event/48/?id=26680167#time26680167</t>
        </is>
      </c>
      <c r="AC2300" s="33" t="inlineStr">
        <is>
          <t>SwimCloud API v6 2026-10-08</t>
        </is>
      </c>
      <c r="AD2300" s="33" t="inlineStr">
        <is>
          <t>Luke Hobson|2019-05-26|LCM|100|Fly|60.49|PC CARS Intermountain Classic|TIM|False</t>
        </is>
      </c>
      <c r="AE2300" s="53">
        <f>G2300+L2300/1000+ROW()/1000000000</f>
        <v/>
      </c>
      <c r="AF2300" s="35">
        <f>IF(C2300&lt;&gt;"Grayson Coulter","",COUNTIFS($C$5:$C$2991,"Grayson Coulter",$Q$5:$Q$2991,Q2300,$AE$5:$AE$2991,"&lt;="&amp;AE2300,$R$5:$R$2991,"&lt;"&amp;R2300))</f>
        <v/>
      </c>
      <c r="AG2300" s="35">
        <f>IF(OR(C2300&lt;&gt;"Grayson Coulter",G2300&lt;'00_Control'!$B$7),"",--(AF2300&lt;5))</f>
        <v/>
      </c>
      <c r="AH2300" s="35">
        <f>IF(OR(C2300&lt;&gt;"Grayson Coulter",G2300&lt;'00_Control'!$B$7),"",--(AF2300&lt;10))</f>
        <v/>
      </c>
      <c r="AI2300" s="35">
        <f>IF(AND(C2300="Grayson Coulter",G2300&gt;='00_Control'!$B$7),"YES","NO")</f>
        <v/>
      </c>
      <c r="AJ2300" s="33" t="inlineStr">
        <is>
          <t>OK</t>
        </is>
      </c>
    </row>
    <row r="2301">
      <c r="A2301" s="33" t="inlineStr">
        <is>
          <t>SM002297</t>
        </is>
      </c>
      <c r="B2301" s="33" t="inlineStr">
        <is>
          <t>SW014</t>
        </is>
      </c>
      <c r="C2301" s="33" t="inlineStr">
        <is>
          <t>Luke Hobson</t>
        </is>
      </c>
      <c r="D2301" s="33" t="inlineStr">
        <is>
          <t>SwimCloud</t>
        </is>
      </c>
      <c r="E2301" s="33" t="inlineStr">
        <is>
          <t>576911</t>
        </is>
      </c>
      <c r="F2301" s="33" t="inlineStr">
        <is>
          <t>26681994</t>
        </is>
      </c>
      <c r="G2301" s="51" t="n">
        <v>43611</v>
      </c>
      <c r="H2301" s="33" t="inlineStr">
        <is>
          <t>PC CARS Intermountain Classic</t>
        </is>
      </c>
      <c r="I2301" s="33" t="inlineStr">
        <is>
          <t>129614</t>
        </is>
      </c>
      <c r="J2301" s="33" t="inlineStr"/>
      <c r="K2301" s="33" t="inlineStr">
        <is>
          <t>TIM</t>
        </is>
      </c>
      <c r="L2301" s="35">
        <f>IF(K2301="FIN",3,IF(OR(K2301="SEM",K2301="SEMI"),2,IF(OR(K2301="PRE",K2301="HEAT"),1,IF(V2301="YES",4,2))))</f>
        <v/>
      </c>
      <c r="M2301" s="33" t="inlineStr">
        <is>
          <t>LCM</t>
        </is>
      </c>
      <c r="N2301" s="33" t="n">
        <v>100</v>
      </c>
      <c r="O2301" s="33" t="inlineStr">
        <is>
          <t>Free</t>
        </is>
      </c>
      <c r="P2301" s="33" t="inlineStr">
        <is>
          <t>100 Free</t>
        </is>
      </c>
      <c r="Q2301" s="33" t="inlineStr">
        <is>
          <t>LCM_100_FREE</t>
        </is>
      </c>
      <c r="R2301" s="36" t="n">
        <v>57.58</v>
      </c>
      <c r="S2301" s="35">
        <f>IF(R2301="","",IF(R2301&gt;=60,INT(R2301/60)&amp;":"&amp;TEXT(MOD(R2301,60),"00.00"),TEXT(R2301,"0.00")))</f>
        <v/>
      </c>
      <c r="T2301" s="52">
        <f>IFERROR((G2301-INDEX('01_Swimmers'!$E$5:$E$22,MATCH(B2301,'01_Swimmers'!$A$5:$A$22,0)))/'00_Control'!$B$10,"")</f>
        <v/>
      </c>
      <c r="U2301" s="35">
        <f>IF(T2301="","",INT(T2301))</f>
        <v/>
      </c>
      <c r="V2301" s="33" t="inlineStr">
        <is>
          <t>NO</t>
        </is>
      </c>
      <c r="W2301" s="33" t="inlineStr">
        <is>
          <t>YES</t>
        </is>
      </c>
      <c r="X2301" s="33" t="inlineStr">
        <is>
          <t>NO</t>
        </is>
      </c>
      <c r="Y2301" s="33" t="n">
        <v>1</v>
      </c>
      <c r="Z2301" s="33" t="n">
        <v>4</v>
      </c>
      <c r="AA2301" s="33" t="inlineStr">
        <is>
          <t>1</t>
        </is>
      </c>
      <c r="AB2301" s="33" t="inlineStr">
        <is>
          <t>https://www.swimcloud.com/results/129614/event/54/?id=26680251#time26680251</t>
        </is>
      </c>
      <c r="AC2301" s="33" t="inlineStr">
        <is>
          <t>SwimCloud API v6 2026-10-08</t>
        </is>
      </c>
      <c r="AD2301" s="33" t="inlineStr">
        <is>
          <t>Luke Hobson|2019-05-26|LCM|100|Free|57.58|PC CARS Intermountain Classic|TIM|False</t>
        </is>
      </c>
      <c r="AE2301" s="53">
        <f>G2301+L2301/1000+ROW()/1000000000</f>
        <v/>
      </c>
      <c r="AF2301" s="35">
        <f>IF(C2301&lt;&gt;"Grayson Coulter","",COUNTIFS($C$5:$C$2991,"Grayson Coulter",$Q$5:$Q$2991,Q2301,$AE$5:$AE$2991,"&lt;="&amp;AE2301,$R$5:$R$2991,"&lt;"&amp;R2301))</f>
        <v/>
      </c>
      <c r="AG2301" s="35">
        <f>IF(OR(C2301&lt;&gt;"Grayson Coulter",G2301&lt;'00_Control'!$B$7),"",--(AF2301&lt;5))</f>
        <v/>
      </c>
      <c r="AH2301" s="35">
        <f>IF(OR(C2301&lt;&gt;"Grayson Coulter",G2301&lt;'00_Control'!$B$7),"",--(AF2301&lt;10))</f>
        <v/>
      </c>
      <c r="AI2301" s="35">
        <f>IF(AND(C2301="Grayson Coulter",G2301&gt;='00_Control'!$B$7),"YES","NO")</f>
        <v/>
      </c>
      <c r="AJ2301" s="33" t="inlineStr">
        <is>
          <t>OK</t>
        </is>
      </c>
    </row>
    <row r="2302">
      <c r="A2302" s="33" t="inlineStr">
        <is>
          <t>SM002298</t>
        </is>
      </c>
      <c r="B2302" s="33" t="inlineStr">
        <is>
          <t>SW014</t>
        </is>
      </c>
      <c r="C2302" s="33" t="inlineStr">
        <is>
          <t>Luke Hobson</t>
        </is>
      </c>
      <c r="D2302" s="33" t="inlineStr">
        <is>
          <t>SwimCloud</t>
        </is>
      </c>
      <c r="E2302" s="33" t="inlineStr">
        <is>
          <t>576911</t>
        </is>
      </c>
      <c r="F2302" s="33" t="inlineStr">
        <is>
          <t>26680251</t>
        </is>
      </c>
      <c r="G2302" s="51" t="n">
        <v>43611</v>
      </c>
      <c r="H2302" s="33" t="inlineStr">
        <is>
          <t>PC CARS Intermountain Classic</t>
        </is>
      </c>
      <c r="I2302" s="33" t="inlineStr">
        <is>
          <t>129614</t>
        </is>
      </c>
      <c r="J2302" s="33" t="inlineStr"/>
      <c r="K2302" s="33" t="inlineStr">
        <is>
          <t>TIM</t>
        </is>
      </c>
      <c r="L2302" s="35">
        <f>IF(K2302="FIN",3,IF(OR(K2302="SEM",K2302="SEMI"),2,IF(OR(K2302="PRE",K2302="HEAT"),1,IF(V2302="YES",4,2))))</f>
        <v/>
      </c>
      <c r="M2302" s="33" t="inlineStr">
        <is>
          <t>LCM</t>
        </is>
      </c>
      <c r="N2302" s="33" t="n">
        <v>100</v>
      </c>
      <c r="O2302" s="33" t="inlineStr">
        <is>
          <t>Free</t>
        </is>
      </c>
      <c r="P2302" s="33" t="inlineStr">
        <is>
          <t>100 Free</t>
        </is>
      </c>
      <c r="Q2302" s="33" t="inlineStr">
        <is>
          <t>LCM_100_FREE</t>
        </is>
      </c>
      <c r="R2302" s="36" t="n">
        <v>57.68</v>
      </c>
      <c r="S2302" s="35">
        <f>IF(R2302="","",IF(R2302&gt;=60,INT(R2302/60)&amp;":"&amp;TEXT(MOD(R2302,60),"00.00"),TEXT(R2302,"0.00")))</f>
        <v/>
      </c>
      <c r="T2302" s="52">
        <f>IFERROR((G2302-INDEX('01_Swimmers'!$E$5:$E$22,MATCH(B2302,'01_Swimmers'!$A$5:$A$22,0)))/'00_Control'!$B$10,"")</f>
        <v/>
      </c>
      <c r="U2302" s="35">
        <f>IF(T2302="","",INT(T2302))</f>
        <v/>
      </c>
      <c r="V2302" s="33" t="inlineStr">
        <is>
          <t>NO</t>
        </is>
      </c>
      <c r="W2302" s="33" t="inlineStr">
        <is>
          <t>YES</t>
        </is>
      </c>
      <c r="X2302" s="33" t="inlineStr">
        <is>
          <t>NO</t>
        </is>
      </c>
      <c r="Y2302" s="33" t="n">
        <v>1</v>
      </c>
      <c r="Z2302" s="33" t="n">
        <v>4</v>
      </c>
      <c r="AA2302" s="33" t="inlineStr">
        <is>
          <t>1</t>
        </is>
      </c>
      <c r="AB2302" s="33" t="inlineStr">
        <is>
          <t>https://www.swimcloud.com/results/129614/event/54/?id=26680251#time26680251</t>
        </is>
      </c>
      <c r="AC2302" s="33" t="inlineStr">
        <is>
          <t>SwimCloud API v6 2026-10-08</t>
        </is>
      </c>
      <c r="AD2302" s="33" t="inlineStr">
        <is>
          <t>Luke Hobson|2019-05-26|LCM|100|Free|57.68|PC CARS Intermountain Classic|TIM|False</t>
        </is>
      </c>
      <c r="AE2302" s="53">
        <f>G2302+L2302/1000+ROW()/1000000000</f>
        <v/>
      </c>
      <c r="AF2302" s="35">
        <f>IF(C2302&lt;&gt;"Grayson Coulter","",COUNTIFS($C$5:$C$2991,"Grayson Coulter",$Q$5:$Q$2991,Q2302,$AE$5:$AE$2991,"&lt;="&amp;AE2302,$R$5:$R$2991,"&lt;"&amp;R2302))</f>
        <v/>
      </c>
      <c r="AG2302" s="35">
        <f>IF(OR(C2302&lt;&gt;"Grayson Coulter",G2302&lt;'00_Control'!$B$7),"",--(AF2302&lt;5))</f>
        <v/>
      </c>
      <c r="AH2302" s="35">
        <f>IF(OR(C2302&lt;&gt;"Grayson Coulter",G2302&lt;'00_Control'!$B$7),"",--(AF2302&lt;10))</f>
        <v/>
      </c>
      <c r="AI2302" s="35">
        <f>IF(AND(C2302="Grayson Coulter",G2302&gt;='00_Control'!$B$7),"YES","NO")</f>
        <v/>
      </c>
      <c r="AJ2302" s="33" t="inlineStr">
        <is>
          <t>OK</t>
        </is>
      </c>
    </row>
    <row r="2303">
      <c r="A2303" s="33" t="inlineStr">
        <is>
          <t>SM002299</t>
        </is>
      </c>
      <c r="B2303" s="33" t="inlineStr">
        <is>
          <t>SW014</t>
        </is>
      </c>
      <c r="C2303" s="33" t="inlineStr">
        <is>
          <t>Luke Hobson</t>
        </is>
      </c>
      <c r="D2303" s="33" t="inlineStr">
        <is>
          <t>SwimCloud</t>
        </is>
      </c>
      <c r="E2303" s="33" t="inlineStr">
        <is>
          <t>576911</t>
        </is>
      </c>
      <c r="F2303" s="33" t="inlineStr">
        <is>
          <t>26681995</t>
        </is>
      </c>
      <c r="G2303" s="51" t="n">
        <v>43611</v>
      </c>
      <c r="H2303" s="33" t="inlineStr">
        <is>
          <t>PC CARS Intermountain Classic</t>
        </is>
      </c>
      <c r="I2303" s="33" t="inlineStr">
        <is>
          <t>129614</t>
        </is>
      </c>
      <c r="J2303" s="33" t="inlineStr"/>
      <c r="K2303" s="33" t="inlineStr">
        <is>
          <t>TIM</t>
        </is>
      </c>
      <c r="L2303" s="35">
        <f>IF(K2303="FIN",3,IF(OR(K2303="SEM",K2303="SEMI"),2,IF(OR(K2303="PRE",K2303="HEAT"),1,IF(V2303="YES",4,2))))</f>
        <v/>
      </c>
      <c r="M2303" s="33" t="inlineStr">
        <is>
          <t>LCM</t>
        </is>
      </c>
      <c r="N2303" s="33" t="n">
        <v>400</v>
      </c>
      <c r="O2303" s="33" t="inlineStr">
        <is>
          <t>Free</t>
        </is>
      </c>
      <c r="P2303" s="33" t="inlineStr">
        <is>
          <t>400 Free</t>
        </is>
      </c>
      <c r="Q2303" s="33" t="inlineStr">
        <is>
          <t>LCM_400_FREE</t>
        </is>
      </c>
      <c r="R2303" s="36" t="n">
        <v>249.24</v>
      </c>
      <c r="S2303" s="35">
        <f>IF(R2303="","",IF(R2303&gt;=60,INT(R2303/60)&amp;":"&amp;TEXT(MOD(R2303,60),"00.00"),TEXT(R2303,"0.00")))</f>
        <v/>
      </c>
      <c r="T2303" s="52">
        <f>IFERROR((G2303-INDEX('01_Swimmers'!$E$5:$E$22,MATCH(B2303,'01_Swimmers'!$A$5:$A$22,0)))/'00_Control'!$B$10,"")</f>
        <v/>
      </c>
      <c r="U2303" s="35">
        <f>IF(T2303="","",INT(T2303))</f>
        <v/>
      </c>
      <c r="V2303" s="33" t="inlineStr">
        <is>
          <t>NO</t>
        </is>
      </c>
      <c r="W2303" s="33" t="inlineStr">
        <is>
          <t>YES</t>
        </is>
      </c>
      <c r="X2303" s="33" t="inlineStr">
        <is>
          <t>NO</t>
        </is>
      </c>
      <c r="Y2303" s="33" t="n">
        <v>1</v>
      </c>
      <c r="Z2303" s="33" t="n">
        <v>4</v>
      </c>
      <c r="AA2303" s="33" t="inlineStr">
        <is>
          <t>1</t>
        </is>
      </c>
      <c r="AB2303" s="33" t="inlineStr">
        <is>
          <t>https://www.swimcloud.com/results/129614/event/46/?id=26680435#time26680435</t>
        </is>
      </c>
      <c r="AC2303" s="33" t="inlineStr">
        <is>
          <t>SwimCloud API v6 2026-10-08</t>
        </is>
      </c>
      <c r="AD2303" s="33" t="inlineStr">
        <is>
          <t>Luke Hobson|2019-05-26|LCM|400|Free|249.24|PC CARS Intermountain Classic|TIM|False</t>
        </is>
      </c>
      <c r="AE2303" s="53">
        <f>G2303+L2303/1000+ROW()/1000000000</f>
        <v/>
      </c>
      <c r="AF2303" s="35">
        <f>IF(C2303&lt;&gt;"Grayson Coulter","",COUNTIFS($C$5:$C$2991,"Grayson Coulter",$Q$5:$Q$2991,Q2303,$AE$5:$AE$2991,"&lt;="&amp;AE2303,$R$5:$R$2991,"&lt;"&amp;R2303))</f>
        <v/>
      </c>
      <c r="AG2303" s="35">
        <f>IF(OR(C2303&lt;&gt;"Grayson Coulter",G2303&lt;'00_Control'!$B$7),"",--(AF2303&lt;5))</f>
        <v/>
      </c>
      <c r="AH2303" s="35">
        <f>IF(OR(C2303&lt;&gt;"Grayson Coulter",G2303&lt;'00_Control'!$B$7),"",--(AF2303&lt;10))</f>
        <v/>
      </c>
      <c r="AI2303" s="35">
        <f>IF(AND(C2303="Grayson Coulter",G2303&gt;='00_Control'!$B$7),"YES","NO")</f>
        <v/>
      </c>
      <c r="AJ2303" s="33" t="inlineStr">
        <is>
          <t>OK</t>
        </is>
      </c>
    </row>
    <row r="2304">
      <c r="A2304" s="33" t="inlineStr">
        <is>
          <t>SM002300</t>
        </is>
      </c>
      <c r="B2304" s="33" t="inlineStr">
        <is>
          <t>SW014</t>
        </is>
      </c>
      <c r="C2304" s="33" t="inlineStr">
        <is>
          <t>Luke Hobson</t>
        </is>
      </c>
      <c r="D2304" s="33" t="inlineStr">
        <is>
          <t>SwimCloud</t>
        </is>
      </c>
      <c r="E2304" s="33" t="inlineStr">
        <is>
          <t>576911</t>
        </is>
      </c>
      <c r="F2304" s="33" t="inlineStr">
        <is>
          <t>26680435</t>
        </is>
      </c>
      <c r="G2304" s="51" t="n">
        <v>43611</v>
      </c>
      <c r="H2304" s="33" t="inlineStr">
        <is>
          <t>PC CARS Intermountain Classic</t>
        </is>
      </c>
      <c r="I2304" s="33" t="inlineStr">
        <is>
          <t>129614</t>
        </is>
      </c>
      <c r="J2304" s="33" t="inlineStr"/>
      <c r="K2304" s="33" t="inlineStr">
        <is>
          <t>TIM</t>
        </is>
      </c>
      <c r="L2304" s="35">
        <f>IF(K2304="FIN",3,IF(OR(K2304="SEM",K2304="SEMI"),2,IF(OR(K2304="PRE",K2304="HEAT"),1,IF(V2304="YES",4,2))))</f>
        <v/>
      </c>
      <c r="M2304" s="33" t="inlineStr">
        <is>
          <t>LCM</t>
        </is>
      </c>
      <c r="N2304" s="33" t="n">
        <v>400</v>
      </c>
      <c r="O2304" s="33" t="inlineStr">
        <is>
          <t>Free</t>
        </is>
      </c>
      <c r="P2304" s="33" t="inlineStr">
        <is>
          <t>400 Free</t>
        </is>
      </c>
      <c r="Q2304" s="33" t="inlineStr">
        <is>
          <t>LCM_400_FREE</t>
        </is>
      </c>
      <c r="R2304" s="36" t="n">
        <v>254.24</v>
      </c>
      <c r="S2304" s="35">
        <f>IF(R2304="","",IF(R2304&gt;=60,INT(R2304/60)&amp;":"&amp;TEXT(MOD(R2304,60),"00.00"),TEXT(R2304,"0.00")))</f>
        <v/>
      </c>
      <c r="T2304" s="52">
        <f>IFERROR((G2304-INDEX('01_Swimmers'!$E$5:$E$22,MATCH(B2304,'01_Swimmers'!$A$5:$A$22,0)))/'00_Control'!$B$10,"")</f>
        <v/>
      </c>
      <c r="U2304" s="35">
        <f>IF(T2304="","",INT(T2304))</f>
        <v/>
      </c>
      <c r="V2304" s="33" t="inlineStr">
        <is>
          <t>NO</t>
        </is>
      </c>
      <c r="W2304" s="33" t="inlineStr">
        <is>
          <t>YES</t>
        </is>
      </c>
      <c r="X2304" s="33" t="inlineStr">
        <is>
          <t>NO</t>
        </is>
      </c>
      <c r="Y2304" s="33" t="n">
        <v>1</v>
      </c>
      <c r="Z2304" s="33" t="n">
        <v>4</v>
      </c>
      <c r="AA2304" s="33" t="inlineStr">
        <is>
          <t>1</t>
        </is>
      </c>
      <c r="AB2304" s="33" t="inlineStr">
        <is>
          <t>https://www.swimcloud.com/results/129614/event/46/?id=26680435#time26680435</t>
        </is>
      </c>
      <c r="AC2304" s="33" t="inlineStr">
        <is>
          <t>SwimCloud API v6 2026-10-08</t>
        </is>
      </c>
      <c r="AD2304" s="33" t="inlineStr">
        <is>
          <t>Luke Hobson|2019-05-26|LCM|400|Free|254.24|PC CARS Intermountain Classic|TIM|False</t>
        </is>
      </c>
      <c r="AE2304" s="53">
        <f>G2304+L2304/1000+ROW()/1000000000</f>
        <v/>
      </c>
      <c r="AF2304" s="35">
        <f>IF(C2304&lt;&gt;"Grayson Coulter","",COUNTIFS($C$5:$C$2991,"Grayson Coulter",$Q$5:$Q$2991,Q2304,$AE$5:$AE$2991,"&lt;="&amp;AE2304,$R$5:$R$2991,"&lt;"&amp;R2304))</f>
        <v/>
      </c>
      <c r="AG2304" s="35">
        <f>IF(OR(C2304&lt;&gt;"Grayson Coulter",G2304&lt;'00_Control'!$B$7),"",--(AF2304&lt;5))</f>
        <v/>
      </c>
      <c r="AH2304" s="35">
        <f>IF(OR(C2304&lt;&gt;"Grayson Coulter",G2304&lt;'00_Control'!$B$7),"",--(AF2304&lt;10))</f>
        <v/>
      </c>
      <c r="AI2304" s="35">
        <f>IF(AND(C2304="Grayson Coulter",G2304&gt;='00_Control'!$B$7),"YES","NO")</f>
        <v/>
      </c>
      <c r="AJ2304" s="33" t="inlineStr">
        <is>
          <t>OK</t>
        </is>
      </c>
    </row>
    <row r="2305">
      <c r="A2305" s="33" t="inlineStr">
        <is>
          <t>SM002301</t>
        </is>
      </c>
      <c r="B2305" s="33" t="inlineStr">
        <is>
          <t>SW014</t>
        </is>
      </c>
      <c r="C2305" s="33" t="inlineStr">
        <is>
          <t>Luke Hobson</t>
        </is>
      </c>
      <c r="D2305" s="33" t="inlineStr">
        <is>
          <t>SwimCloud</t>
        </is>
      </c>
      <c r="E2305" s="33" t="inlineStr">
        <is>
          <t>576911</t>
        </is>
      </c>
      <c r="F2305" s="33" t="inlineStr">
        <is>
          <t>27013127</t>
        </is>
      </c>
      <c r="G2305" s="51" t="n">
        <v>43637</v>
      </c>
      <c r="H2305" s="33" t="inlineStr">
        <is>
          <t>PC RENO Summer Splash</t>
        </is>
      </c>
      <c r="I2305" s="33" t="inlineStr">
        <is>
          <t>129907</t>
        </is>
      </c>
      <c r="J2305" s="33" t="inlineStr"/>
      <c r="K2305" s="33" t="inlineStr">
        <is>
          <t>TIM</t>
        </is>
      </c>
      <c r="L2305" s="35">
        <f>IF(K2305="FIN",3,IF(OR(K2305="SEM",K2305="SEMI"),2,IF(OR(K2305="PRE",K2305="HEAT"),1,IF(V2305="YES",4,2))))</f>
        <v/>
      </c>
      <c r="M2305" s="33" t="inlineStr">
        <is>
          <t>LCM</t>
        </is>
      </c>
      <c r="N2305" s="33" t="n">
        <v>100</v>
      </c>
      <c r="O2305" s="33" t="inlineStr">
        <is>
          <t>Free</t>
        </is>
      </c>
      <c r="P2305" s="33" t="inlineStr">
        <is>
          <t>100 Free</t>
        </is>
      </c>
      <c r="Q2305" s="33" t="inlineStr">
        <is>
          <t>LCM_100_FREE</t>
        </is>
      </c>
      <c r="R2305" s="36" t="n">
        <v>56.75</v>
      </c>
      <c r="S2305" s="35">
        <f>IF(R2305="","",IF(R2305&gt;=60,INT(R2305/60)&amp;":"&amp;TEXT(MOD(R2305,60),"00.00"),TEXT(R2305,"0.00")))</f>
        <v/>
      </c>
      <c r="T2305" s="52">
        <f>IFERROR((G2305-INDEX('01_Swimmers'!$E$5:$E$22,MATCH(B2305,'01_Swimmers'!$A$5:$A$22,0)))/'00_Control'!$B$10,"")</f>
        <v/>
      </c>
      <c r="U2305" s="35">
        <f>IF(T2305="","",INT(T2305))</f>
        <v/>
      </c>
      <c r="V2305" s="33" t="inlineStr">
        <is>
          <t>NO</t>
        </is>
      </c>
      <c r="W2305" s="33" t="inlineStr">
        <is>
          <t>YES</t>
        </is>
      </c>
      <c r="X2305" s="33" t="inlineStr">
        <is>
          <t>NO</t>
        </is>
      </c>
      <c r="Y2305" s="33" t="n">
        <v>1</v>
      </c>
      <c r="Z2305" s="33" t="n">
        <v>4</v>
      </c>
      <c r="AA2305" s="33" t="inlineStr">
        <is>
          <t>2</t>
        </is>
      </c>
      <c r="AB2305" s="33" t="inlineStr">
        <is>
          <t>https://www.swimcloud.com/results/129907/event/4/?id=27013127#time27013127</t>
        </is>
      </c>
      <c r="AC2305" s="33" t="inlineStr">
        <is>
          <t>SwimCloud API v6 2026-10-08</t>
        </is>
      </c>
      <c r="AD2305" s="33" t="inlineStr">
        <is>
          <t>Luke Hobson|2019-06-21|LCM|100|Free|56.75|PC RENO Summer Splash|TIM|False</t>
        </is>
      </c>
      <c r="AE2305" s="53">
        <f>G2305+L2305/1000+ROW()/1000000000</f>
        <v/>
      </c>
      <c r="AF2305" s="35">
        <f>IF(C2305&lt;&gt;"Grayson Coulter","",COUNTIFS($C$5:$C$2991,"Grayson Coulter",$Q$5:$Q$2991,Q2305,$AE$5:$AE$2991,"&lt;="&amp;AE2305,$R$5:$R$2991,"&lt;"&amp;R2305))</f>
        <v/>
      </c>
      <c r="AG2305" s="35">
        <f>IF(OR(C2305&lt;&gt;"Grayson Coulter",G2305&lt;'00_Control'!$B$7),"",--(AF2305&lt;5))</f>
        <v/>
      </c>
      <c r="AH2305" s="35">
        <f>IF(OR(C2305&lt;&gt;"Grayson Coulter",G2305&lt;'00_Control'!$B$7),"",--(AF2305&lt;10))</f>
        <v/>
      </c>
      <c r="AI2305" s="35">
        <f>IF(AND(C2305="Grayson Coulter",G2305&gt;='00_Control'!$B$7),"YES","NO")</f>
        <v/>
      </c>
      <c r="AJ2305" s="33" t="inlineStr">
        <is>
          <t>OK</t>
        </is>
      </c>
    </row>
    <row r="2306">
      <c r="A2306" s="33" t="inlineStr">
        <is>
          <t>SM002302</t>
        </is>
      </c>
      <c r="B2306" s="33" t="inlineStr">
        <is>
          <t>SW014</t>
        </is>
      </c>
      <c r="C2306" s="33" t="inlineStr">
        <is>
          <t>Luke Hobson</t>
        </is>
      </c>
      <c r="D2306" s="33" t="inlineStr">
        <is>
          <t>SwimCloud</t>
        </is>
      </c>
      <c r="E2306" s="33" t="inlineStr">
        <is>
          <t>576911</t>
        </is>
      </c>
      <c r="F2306" s="33" t="inlineStr">
        <is>
          <t>27013186</t>
        </is>
      </c>
      <c r="G2306" s="51" t="n">
        <v>43638</v>
      </c>
      <c r="H2306" s="33" t="inlineStr">
        <is>
          <t>PC RENO Summer Splash</t>
        </is>
      </c>
      <c r="I2306" s="33" t="inlineStr">
        <is>
          <t>129907</t>
        </is>
      </c>
      <c r="J2306" s="33" t="inlineStr"/>
      <c r="K2306" s="33" t="inlineStr">
        <is>
          <t>TIM</t>
        </is>
      </c>
      <c r="L2306" s="35">
        <f>IF(K2306="FIN",3,IF(OR(K2306="SEM",K2306="SEMI"),2,IF(OR(K2306="PRE",K2306="HEAT"),1,IF(V2306="YES",4,2))))</f>
        <v/>
      </c>
      <c r="M2306" s="33" t="inlineStr">
        <is>
          <t>LCM</t>
        </is>
      </c>
      <c r="N2306" s="33" t="n">
        <v>200</v>
      </c>
      <c r="O2306" s="33" t="inlineStr">
        <is>
          <t>Free</t>
        </is>
      </c>
      <c r="P2306" s="33" t="inlineStr">
        <is>
          <t>200 Free</t>
        </is>
      </c>
      <c r="Q2306" s="33" t="inlineStr">
        <is>
          <t>LCM_200_FREE</t>
        </is>
      </c>
      <c r="R2306" s="36" t="n">
        <v>124.96</v>
      </c>
      <c r="S2306" s="35">
        <f>IF(R2306="","",IF(R2306&gt;=60,INT(R2306/60)&amp;":"&amp;TEXT(MOD(R2306,60),"00.00"),TEXT(R2306,"0.00")))</f>
        <v/>
      </c>
      <c r="T2306" s="52">
        <f>IFERROR((G2306-INDEX('01_Swimmers'!$E$5:$E$22,MATCH(B2306,'01_Swimmers'!$A$5:$A$22,0)))/'00_Control'!$B$10,"")</f>
        <v/>
      </c>
      <c r="U2306" s="35">
        <f>IF(T2306="","",INT(T2306))</f>
        <v/>
      </c>
      <c r="V2306" s="33" t="inlineStr">
        <is>
          <t>NO</t>
        </is>
      </c>
      <c r="W2306" s="33" t="inlineStr">
        <is>
          <t>YES</t>
        </is>
      </c>
      <c r="X2306" s="33" t="inlineStr">
        <is>
          <t>NO</t>
        </is>
      </c>
      <c r="Y2306" s="33" t="n">
        <v>1</v>
      </c>
      <c r="Z2306" s="33" t="n">
        <v>5</v>
      </c>
      <c r="AA2306" s="33" t="inlineStr">
        <is>
          <t>1</t>
        </is>
      </c>
      <c r="AB2306" s="33" t="inlineStr">
        <is>
          <t>https://www.swimcloud.com/results/129907/event/30/?id=27013186#time27013186</t>
        </is>
      </c>
      <c r="AC2306" s="33" t="inlineStr">
        <is>
          <t>SwimCloud API v6 2026-10-08</t>
        </is>
      </c>
      <c r="AD2306" s="33" t="inlineStr">
        <is>
          <t>Luke Hobson|2019-06-22|LCM|200|Free|124.96|PC RENO Summer Splash|TIM|False</t>
        </is>
      </c>
      <c r="AE2306" s="53">
        <f>G2306+L2306/1000+ROW()/1000000000</f>
        <v/>
      </c>
      <c r="AF2306" s="35">
        <f>IF(C2306&lt;&gt;"Grayson Coulter","",COUNTIFS($C$5:$C$2991,"Grayson Coulter",$Q$5:$Q$2991,Q2306,$AE$5:$AE$2991,"&lt;="&amp;AE2306,$R$5:$R$2991,"&lt;"&amp;R2306))</f>
        <v/>
      </c>
      <c r="AG2306" s="35">
        <f>IF(OR(C2306&lt;&gt;"Grayson Coulter",G2306&lt;'00_Control'!$B$7),"",--(AF2306&lt;5))</f>
        <v/>
      </c>
      <c r="AH2306" s="35">
        <f>IF(OR(C2306&lt;&gt;"Grayson Coulter",G2306&lt;'00_Control'!$B$7),"",--(AF2306&lt;10))</f>
        <v/>
      </c>
      <c r="AI2306" s="35">
        <f>IF(AND(C2306="Grayson Coulter",G2306&gt;='00_Control'!$B$7),"YES","NO")</f>
        <v/>
      </c>
      <c r="AJ2306" s="33" t="inlineStr">
        <is>
          <t>OK</t>
        </is>
      </c>
    </row>
    <row r="2307">
      <c r="A2307" s="33" t="inlineStr">
        <is>
          <t>SM002303</t>
        </is>
      </c>
      <c r="B2307" s="33" t="inlineStr">
        <is>
          <t>SW014</t>
        </is>
      </c>
      <c r="C2307" s="33" t="inlineStr">
        <is>
          <t>Luke Hobson</t>
        </is>
      </c>
      <c r="D2307" s="33" t="inlineStr">
        <is>
          <t>SwimCloud</t>
        </is>
      </c>
      <c r="E2307" s="33" t="inlineStr">
        <is>
          <t>576911</t>
        </is>
      </c>
      <c r="F2307" s="33" t="inlineStr">
        <is>
          <t>27013368</t>
        </is>
      </c>
      <c r="G2307" s="51" t="n">
        <v>43639</v>
      </c>
      <c r="H2307" s="33" t="inlineStr">
        <is>
          <t>PC RENO Summer Splash</t>
        </is>
      </c>
      <c r="I2307" s="33" t="inlineStr">
        <is>
          <t>129907</t>
        </is>
      </c>
      <c r="J2307" s="33" t="inlineStr"/>
      <c r="K2307" s="33" t="inlineStr">
        <is>
          <t>TIM</t>
        </is>
      </c>
      <c r="L2307" s="35">
        <f>IF(K2307="FIN",3,IF(OR(K2307="SEM",K2307="SEMI"),2,IF(OR(K2307="PRE",K2307="HEAT"),1,IF(V2307="YES",4,2))))</f>
        <v/>
      </c>
      <c r="M2307" s="33" t="inlineStr">
        <is>
          <t>LCM</t>
        </is>
      </c>
      <c r="N2307" s="33" t="n">
        <v>100</v>
      </c>
      <c r="O2307" s="33" t="inlineStr">
        <is>
          <t>Fly</t>
        </is>
      </c>
      <c r="P2307" s="33" t="inlineStr">
        <is>
          <t>100 Fly</t>
        </is>
      </c>
      <c r="Q2307" s="33" t="inlineStr">
        <is>
          <t>LCM_100_FLY</t>
        </is>
      </c>
      <c r="R2307" s="36" t="n">
        <v>62.64</v>
      </c>
      <c r="S2307" s="35">
        <f>IF(R2307="","",IF(R2307&gt;=60,INT(R2307/60)&amp;":"&amp;TEXT(MOD(R2307,60),"00.00"),TEXT(R2307,"0.00")))</f>
        <v/>
      </c>
      <c r="T2307" s="52">
        <f>IFERROR((G2307-INDEX('01_Swimmers'!$E$5:$E$22,MATCH(B2307,'01_Swimmers'!$A$5:$A$22,0)))/'00_Control'!$B$10,"")</f>
        <v/>
      </c>
      <c r="U2307" s="35">
        <f>IF(T2307="","",INT(T2307))</f>
        <v/>
      </c>
      <c r="V2307" s="33" t="inlineStr">
        <is>
          <t>NO</t>
        </is>
      </c>
      <c r="W2307" s="33" t="inlineStr">
        <is>
          <t>YES</t>
        </is>
      </c>
      <c r="X2307" s="33" t="inlineStr">
        <is>
          <t>NO</t>
        </is>
      </c>
      <c r="Y2307" s="33" t="n">
        <v>1</v>
      </c>
      <c r="Z2307" s="33" t="n">
        <v>6</v>
      </c>
      <c r="AA2307" s="33" t="inlineStr">
        <is>
          <t>2</t>
        </is>
      </c>
      <c r="AB2307" s="33" t="inlineStr">
        <is>
          <t>https://www.swimcloud.com/results/129907/event/64/?id=27013368#time27013368</t>
        </is>
      </c>
      <c r="AC2307" s="33" t="inlineStr">
        <is>
          <t>SwimCloud API v6 2026-10-08</t>
        </is>
      </c>
      <c r="AD2307" s="33" t="inlineStr">
        <is>
          <t>Luke Hobson|2019-06-23|LCM|100|Fly|62.64|PC RENO Summer Splash|TIM|False</t>
        </is>
      </c>
      <c r="AE2307" s="53">
        <f>G2307+L2307/1000+ROW()/1000000000</f>
        <v/>
      </c>
      <c r="AF2307" s="35">
        <f>IF(C2307&lt;&gt;"Grayson Coulter","",COUNTIFS($C$5:$C$2991,"Grayson Coulter",$Q$5:$Q$2991,Q2307,$AE$5:$AE$2991,"&lt;="&amp;AE2307,$R$5:$R$2991,"&lt;"&amp;R2307))</f>
        <v/>
      </c>
      <c r="AG2307" s="35">
        <f>IF(OR(C2307&lt;&gt;"Grayson Coulter",G2307&lt;'00_Control'!$B$7),"",--(AF2307&lt;5))</f>
        <v/>
      </c>
      <c r="AH2307" s="35">
        <f>IF(OR(C2307&lt;&gt;"Grayson Coulter",G2307&lt;'00_Control'!$B$7),"",--(AF2307&lt;10))</f>
        <v/>
      </c>
      <c r="AI2307" s="35">
        <f>IF(AND(C2307="Grayson Coulter",G2307&gt;='00_Control'!$B$7),"YES","NO")</f>
        <v/>
      </c>
      <c r="AJ2307" s="33" t="inlineStr">
        <is>
          <t>OK</t>
        </is>
      </c>
    </row>
    <row r="2308">
      <c r="A2308" s="33" t="inlineStr">
        <is>
          <t>SM002304</t>
        </is>
      </c>
      <c r="B2308" s="33" t="inlineStr">
        <is>
          <t>SW014</t>
        </is>
      </c>
      <c r="C2308" s="33" t="inlineStr">
        <is>
          <t>Luke Hobson</t>
        </is>
      </c>
      <c r="D2308" s="33" t="inlineStr">
        <is>
          <t>SwimCloud</t>
        </is>
      </c>
      <c r="E2308" s="33" t="inlineStr">
        <is>
          <t>576911</t>
        </is>
      </c>
      <c r="F2308" s="33" t="inlineStr">
        <is>
          <t>27012731</t>
        </is>
      </c>
      <c r="G2308" s="51" t="n">
        <v>43639</v>
      </c>
      <c r="H2308" s="33" t="inlineStr">
        <is>
          <t>PC RENO Summer Splash</t>
        </is>
      </c>
      <c r="I2308" s="33" t="inlineStr">
        <is>
          <t>129907</t>
        </is>
      </c>
      <c r="J2308" s="33" t="inlineStr"/>
      <c r="K2308" s="33" t="inlineStr">
        <is>
          <t>TIM</t>
        </is>
      </c>
      <c r="L2308" s="35">
        <f>IF(K2308="FIN",3,IF(OR(K2308="SEM",K2308="SEMI"),2,IF(OR(K2308="PRE",K2308="HEAT"),1,IF(V2308="YES",4,2))))</f>
        <v/>
      </c>
      <c r="M2308" s="33" t="inlineStr">
        <is>
          <t>LCM</t>
        </is>
      </c>
      <c r="N2308" s="33" t="n">
        <v>400</v>
      </c>
      <c r="O2308" s="33" t="inlineStr">
        <is>
          <t>Free</t>
        </is>
      </c>
      <c r="P2308" s="33" t="inlineStr">
        <is>
          <t>400 Free</t>
        </is>
      </c>
      <c r="Q2308" s="33" t="inlineStr">
        <is>
          <t>LCM_400_FREE</t>
        </is>
      </c>
      <c r="R2308" s="36" t="n">
        <v>267.05</v>
      </c>
      <c r="S2308" s="35">
        <f>IF(R2308="","",IF(R2308&gt;=60,INT(R2308/60)&amp;":"&amp;TEXT(MOD(R2308,60),"00.00"),TEXT(R2308,"0.00")))</f>
        <v/>
      </c>
      <c r="T2308" s="52">
        <f>IFERROR((G2308-INDEX('01_Swimmers'!$E$5:$E$22,MATCH(B2308,'01_Swimmers'!$A$5:$A$22,0)))/'00_Control'!$B$10,"")</f>
        <v/>
      </c>
      <c r="U2308" s="35">
        <f>IF(T2308="","",INT(T2308))</f>
        <v/>
      </c>
      <c r="V2308" s="33" t="inlineStr">
        <is>
          <t>NO</t>
        </is>
      </c>
      <c r="W2308" s="33" t="inlineStr">
        <is>
          <t>YES</t>
        </is>
      </c>
      <c r="X2308" s="33" t="inlineStr">
        <is>
          <t>NO</t>
        </is>
      </c>
      <c r="Y2308" s="33" t="n">
        <v>1</v>
      </c>
      <c r="Z2308" s="33" t="n">
        <v>5</v>
      </c>
      <c r="AA2308" s="33" t="inlineStr">
        <is>
          <t>1</t>
        </is>
      </c>
      <c r="AB2308" s="33" t="inlineStr">
        <is>
          <t>https://www.swimcloud.com/results/129907/event/62/?id=27012731#time27012731</t>
        </is>
      </c>
      <c r="AC2308" s="33" t="inlineStr">
        <is>
          <t>SwimCloud API v6 2026-10-08</t>
        </is>
      </c>
      <c r="AD2308" s="33" t="inlineStr">
        <is>
          <t>Luke Hobson|2019-06-23|LCM|400|Free|267.05|PC RENO Summer Splash|TIM|False</t>
        </is>
      </c>
      <c r="AE2308" s="53">
        <f>G2308+L2308/1000+ROW()/1000000000</f>
        <v/>
      </c>
      <c r="AF2308" s="35">
        <f>IF(C2308&lt;&gt;"Grayson Coulter","",COUNTIFS($C$5:$C$2991,"Grayson Coulter",$Q$5:$Q$2991,Q2308,$AE$5:$AE$2991,"&lt;="&amp;AE2308,$R$5:$R$2991,"&lt;"&amp;R2308))</f>
        <v/>
      </c>
      <c r="AG2308" s="35">
        <f>IF(OR(C2308&lt;&gt;"Grayson Coulter",G2308&lt;'00_Control'!$B$7),"",--(AF2308&lt;5))</f>
        <v/>
      </c>
      <c r="AH2308" s="35">
        <f>IF(OR(C2308&lt;&gt;"Grayson Coulter",G2308&lt;'00_Control'!$B$7),"",--(AF2308&lt;10))</f>
        <v/>
      </c>
      <c r="AI2308" s="35">
        <f>IF(AND(C2308="Grayson Coulter",G2308&gt;='00_Control'!$B$7),"YES","NO")</f>
        <v/>
      </c>
      <c r="AJ2308" s="33" t="inlineStr">
        <is>
          <t>OK</t>
        </is>
      </c>
    </row>
    <row r="2309">
      <c r="A2309" s="33" t="inlineStr">
        <is>
          <t>SM002305</t>
        </is>
      </c>
      <c r="B2309" s="33" t="inlineStr">
        <is>
          <t>SW014</t>
        </is>
      </c>
      <c r="C2309" s="33" t="inlineStr">
        <is>
          <t>Luke Hobson</t>
        </is>
      </c>
      <c r="D2309" s="33" t="inlineStr">
        <is>
          <t>SwimCloud</t>
        </is>
      </c>
      <c r="E2309" s="33" t="inlineStr">
        <is>
          <t>576911</t>
        </is>
      </c>
      <c r="F2309" s="33" t="inlineStr">
        <is>
          <t>27641793</t>
        </is>
      </c>
      <c r="G2309" s="51" t="n">
        <v>43658</v>
      </c>
      <c r="H2309" s="33" t="inlineStr">
        <is>
          <t>2019 PC WCAB Senior II Meet</t>
        </is>
      </c>
      <c r="I2309" s="33" t="inlineStr">
        <is>
          <t>130084</t>
        </is>
      </c>
      <c r="J2309" s="33" t="inlineStr"/>
      <c r="K2309" s="33" t="inlineStr">
        <is>
          <t>PRE</t>
        </is>
      </c>
      <c r="L2309" s="35">
        <f>IF(K2309="FIN",3,IF(OR(K2309="SEM",K2309="SEMI"),2,IF(OR(K2309="PRE",K2309="HEAT"),1,IF(V2309="YES",4,2))))</f>
        <v/>
      </c>
      <c r="M2309" s="33" t="inlineStr">
        <is>
          <t>LCM</t>
        </is>
      </c>
      <c r="N2309" s="33" t="n">
        <v>100</v>
      </c>
      <c r="O2309" s="33" t="inlineStr">
        <is>
          <t>Fly</t>
        </is>
      </c>
      <c r="P2309" s="33" t="inlineStr">
        <is>
          <t>100 Fly</t>
        </is>
      </c>
      <c r="Q2309" s="33" t="inlineStr">
        <is>
          <t>LCM_100_FLY</t>
        </is>
      </c>
      <c r="R2309" s="36" t="n">
        <v>62.45</v>
      </c>
      <c r="S2309" s="35">
        <f>IF(R2309="","",IF(R2309&gt;=60,INT(R2309/60)&amp;":"&amp;TEXT(MOD(R2309,60),"00.00"),TEXT(R2309,"0.00")))</f>
        <v/>
      </c>
      <c r="T2309" s="52">
        <f>IFERROR((G2309-INDEX('01_Swimmers'!$E$5:$E$22,MATCH(B2309,'01_Swimmers'!$A$5:$A$22,0)))/'00_Control'!$B$10,"")</f>
        <v/>
      </c>
      <c r="U2309" s="35">
        <f>IF(T2309="","",INT(T2309))</f>
        <v/>
      </c>
      <c r="V2309" s="33" t="inlineStr">
        <is>
          <t>NO</t>
        </is>
      </c>
      <c r="W2309" s="33" t="inlineStr">
        <is>
          <t>YES</t>
        </is>
      </c>
      <c r="X2309" s="33" t="inlineStr">
        <is>
          <t>NO</t>
        </is>
      </c>
      <c r="Y2309" s="33" t="n">
        <v>3</v>
      </c>
      <c r="Z2309" s="33" t="n">
        <v>1</v>
      </c>
      <c r="AA2309" s="33" t="inlineStr">
        <is>
          <t>30</t>
        </is>
      </c>
      <c r="AB2309" s="33" t="inlineStr">
        <is>
          <t>https://www.swimcloud.com/results/130084/event/6/?id=27641793#time27641793</t>
        </is>
      </c>
      <c r="AC2309" s="33" t="inlineStr">
        <is>
          <t>SwimCloud API v6 2026-10-08</t>
        </is>
      </c>
      <c r="AD2309" s="33" t="inlineStr">
        <is>
          <t>Luke Hobson|2019-07-12|LCM|100|Fly|62.45|2019 PC WCAB Senior II Meet|PRE|False</t>
        </is>
      </c>
      <c r="AE2309" s="53">
        <f>G2309+L2309/1000+ROW()/1000000000</f>
        <v/>
      </c>
      <c r="AF2309" s="35">
        <f>IF(C2309&lt;&gt;"Grayson Coulter","",COUNTIFS($C$5:$C$2991,"Grayson Coulter",$Q$5:$Q$2991,Q2309,$AE$5:$AE$2991,"&lt;="&amp;AE2309,$R$5:$R$2991,"&lt;"&amp;R2309))</f>
        <v/>
      </c>
      <c r="AG2309" s="35">
        <f>IF(OR(C2309&lt;&gt;"Grayson Coulter",G2309&lt;'00_Control'!$B$7),"",--(AF2309&lt;5))</f>
        <v/>
      </c>
      <c r="AH2309" s="35">
        <f>IF(OR(C2309&lt;&gt;"Grayson Coulter",G2309&lt;'00_Control'!$B$7),"",--(AF2309&lt;10))</f>
        <v/>
      </c>
      <c r="AI2309" s="35">
        <f>IF(AND(C2309="Grayson Coulter",G2309&gt;='00_Control'!$B$7),"YES","NO")</f>
        <v/>
      </c>
      <c r="AJ2309" s="33" t="inlineStr">
        <is>
          <t>OK</t>
        </is>
      </c>
    </row>
    <row r="2310">
      <c r="A2310" s="33" t="inlineStr">
        <is>
          <t>SM002306</t>
        </is>
      </c>
      <c r="B2310" s="33" t="inlineStr">
        <is>
          <t>SW014</t>
        </is>
      </c>
      <c r="C2310" s="33" t="inlineStr">
        <is>
          <t>Luke Hobson</t>
        </is>
      </c>
      <c r="D2310" s="33" t="inlineStr">
        <is>
          <t>SwimCloud</t>
        </is>
      </c>
      <c r="E2310" s="33" t="inlineStr">
        <is>
          <t>576911</t>
        </is>
      </c>
      <c r="F2310" s="33" t="inlineStr">
        <is>
          <t>27641965</t>
        </is>
      </c>
      <c r="G2310" s="51" t="n">
        <v>43658</v>
      </c>
      <c r="H2310" s="33" t="inlineStr">
        <is>
          <t>2019 PC WCAB Senior II Meet</t>
        </is>
      </c>
      <c r="I2310" s="33" t="inlineStr">
        <is>
          <t>130084</t>
        </is>
      </c>
      <c r="J2310" s="33" t="inlineStr"/>
      <c r="K2310" s="33" t="inlineStr">
        <is>
          <t>PRE</t>
        </is>
      </c>
      <c r="L2310" s="35">
        <f>IF(K2310="FIN",3,IF(OR(K2310="SEM",K2310="SEMI"),2,IF(OR(K2310="PRE",K2310="HEAT"),1,IF(V2310="YES",4,2))))</f>
        <v/>
      </c>
      <c r="M2310" s="33" t="inlineStr">
        <is>
          <t>LCM</t>
        </is>
      </c>
      <c r="N2310" s="33" t="n">
        <v>200</v>
      </c>
      <c r="O2310" s="33" t="inlineStr">
        <is>
          <t>Free</t>
        </is>
      </c>
      <c r="P2310" s="33" t="inlineStr">
        <is>
          <t>200 Free</t>
        </is>
      </c>
      <c r="Q2310" s="33" t="inlineStr">
        <is>
          <t>LCM_200_FREE</t>
        </is>
      </c>
      <c r="R2310" s="36" t="n">
        <v>120</v>
      </c>
      <c r="S2310" s="35">
        <f>IF(R2310="","",IF(R2310&gt;=60,INT(R2310/60)&amp;":"&amp;TEXT(MOD(R2310,60),"00.00"),TEXT(R2310,"0.00")))</f>
        <v/>
      </c>
      <c r="T2310" s="52">
        <f>IFERROR((G2310-INDEX('01_Swimmers'!$E$5:$E$22,MATCH(B2310,'01_Swimmers'!$A$5:$A$22,0)))/'00_Control'!$B$10,"")</f>
        <v/>
      </c>
      <c r="U2310" s="35">
        <f>IF(T2310="","",INT(T2310))</f>
        <v/>
      </c>
      <c r="V2310" s="33" t="inlineStr">
        <is>
          <t>NO</t>
        </is>
      </c>
      <c r="W2310" s="33" t="inlineStr">
        <is>
          <t>YES</t>
        </is>
      </c>
      <c r="X2310" s="33" t="inlineStr">
        <is>
          <t>NO</t>
        </is>
      </c>
      <c r="Y2310" s="33" t="n">
        <v>1</v>
      </c>
      <c r="Z2310" s="33" t="n">
        <v>5</v>
      </c>
      <c r="AA2310" s="33" t="inlineStr">
        <is>
          <t>4</t>
        </is>
      </c>
      <c r="AB2310" s="33" t="inlineStr">
        <is>
          <t>https://www.swimcloud.com/results/130084/event/4/?id=27641965#time27641965</t>
        </is>
      </c>
      <c r="AC2310" s="33" t="inlineStr">
        <is>
          <t>SwimCloud API v6 2026-10-08</t>
        </is>
      </c>
      <c r="AD2310" s="33" t="inlineStr">
        <is>
          <t>Luke Hobson|2019-07-12|LCM|200|Free|120.0|2019 PC WCAB Senior II Meet|PRE|False</t>
        </is>
      </c>
      <c r="AE2310" s="53">
        <f>G2310+L2310/1000+ROW()/1000000000</f>
        <v/>
      </c>
      <c r="AF2310" s="35">
        <f>IF(C2310&lt;&gt;"Grayson Coulter","",COUNTIFS($C$5:$C$2991,"Grayson Coulter",$Q$5:$Q$2991,Q2310,$AE$5:$AE$2991,"&lt;="&amp;AE2310,$R$5:$R$2991,"&lt;"&amp;R2310))</f>
        <v/>
      </c>
      <c r="AG2310" s="35">
        <f>IF(OR(C2310&lt;&gt;"Grayson Coulter",G2310&lt;'00_Control'!$B$7),"",--(AF2310&lt;5))</f>
        <v/>
      </c>
      <c r="AH2310" s="35">
        <f>IF(OR(C2310&lt;&gt;"Grayson Coulter",G2310&lt;'00_Control'!$B$7),"",--(AF2310&lt;10))</f>
        <v/>
      </c>
      <c r="AI2310" s="35">
        <f>IF(AND(C2310="Grayson Coulter",G2310&gt;='00_Control'!$B$7),"YES","NO")</f>
        <v/>
      </c>
      <c r="AJ2310" s="33" t="inlineStr">
        <is>
          <t>OK</t>
        </is>
      </c>
    </row>
    <row r="2311">
      <c r="A2311" s="33" t="inlineStr">
        <is>
          <t>SM002307</t>
        </is>
      </c>
      <c r="B2311" s="33" t="inlineStr">
        <is>
          <t>SW014</t>
        </is>
      </c>
      <c r="C2311" s="33" t="inlineStr">
        <is>
          <t>Luke Hobson</t>
        </is>
      </c>
      <c r="D2311" s="33" t="inlineStr">
        <is>
          <t>SwimCloud</t>
        </is>
      </c>
      <c r="E2311" s="33" t="inlineStr">
        <is>
          <t>576911</t>
        </is>
      </c>
      <c r="F2311" s="33" t="inlineStr">
        <is>
          <t>27641966</t>
        </is>
      </c>
      <c r="G2311" s="51" t="n">
        <v>43658</v>
      </c>
      <c r="H2311" s="33" t="inlineStr">
        <is>
          <t>2019 PC WCAB Senior II Meet</t>
        </is>
      </c>
      <c r="I2311" s="33" t="inlineStr">
        <is>
          <t>130084</t>
        </is>
      </c>
      <c r="J2311" s="33" t="inlineStr"/>
      <c r="K2311" s="33" t="inlineStr">
        <is>
          <t>FIN</t>
        </is>
      </c>
      <c r="L2311" s="35">
        <f>IF(K2311="FIN",3,IF(OR(K2311="SEM",K2311="SEMI"),2,IF(OR(K2311="PRE",K2311="HEAT"),1,IF(V2311="YES",4,2))))</f>
        <v/>
      </c>
      <c r="M2311" s="33" t="inlineStr">
        <is>
          <t>LCM</t>
        </is>
      </c>
      <c r="N2311" s="33" t="n">
        <v>200</v>
      </c>
      <c r="O2311" s="33" t="inlineStr">
        <is>
          <t>Free</t>
        </is>
      </c>
      <c r="P2311" s="33" t="inlineStr">
        <is>
          <t>200 Free</t>
        </is>
      </c>
      <c r="Q2311" s="33" t="inlineStr">
        <is>
          <t>LCM_200_FREE</t>
        </is>
      </c>
      <c r="R2311" s="36" t="n">
        <v>115</v>
      </c>
      <c r="S2311" s="35">
        <f>IF(R2311="","",IF(R2311&gt;=60,INT(R2311/60)&amp;":"&amp;TEXT(MOD(R2311,60),"00.00"),TEXT(R2311,"0.00")))</f>
        <v/>
      </c>
      <c r="T2311" s="52">
        <f>IFERROR((G2311-INDEX('01_Swimmers'!$E$5:$E$22,MATCH(B2311,'01_Swimmers'!$A$5:$A$22,0)))/'00_Control'!$B$10,"")</f>
        <v/>
      </c>
      <c r="U2311" s="35">
        <f>IF(T2311="","",INT(T2311))</f>
        <v/>
      </c>
      <c r="V2311" s="33" t="inlineStr">
        <is>
          <t>NO</t>
        </is>
      </c>
      <c r="W2311" s="33" t="inlineStr">
        <is>
          <t>YES</t>
        </is>
      </c>
      <c r="X2311" s="33" t="inlineStr">
        <is>
          <t>NO</t>
        </is>
      </c>
      <c r="Y2311" s="33" t="n">
        <v>3</v>
      </c>
      <c r="Z2311" s="33" t="n">
        <v>6</v>
      </c>
      <c r="AA2311" s="33" t="inlineStr">
        <is>
          <t>1</t>
        </is>
      </c>
      <c r="AB2311" s="33" t="inlineStr">
        <is>
          <t>https://www.swimcloud.com/results/130084/event/4/?id=27641966#time27641966</t>
        </is>
      </c>
      <c r="AC2311" s="33" t="inlineStr">
        <is>
          <t>SwimCloud API v6 2026-10-08</t>
        </is>
      </c>
      <c r="AD2311" s="33" t="inlineStr">
        <is>
          <t>Luke Hobson|2019-07-12|LCM|200|Free|115.0|2019 PC WCAB Senior II Meet|FIN|False</t>
        </is>
      </c>
      <c r="AE2311" s="53">
        <f>G2311+L2311/1000+ROW()/1000000000</f>
        <v/>
      </c>
      <c r="AF2311" s="35">
        <f>IF(C2311&lt;&gt;"Grayson Coulter","",COUNTIFS($C$5:$C$2991,"Grayson Coulter",$Q$5:$Q$2991,Q2311,$AE$5:$AE$2991,"&lt;="&amp;AE2311,$R$5:$R$2991,"&lt;"&amp;R2311))</f>
        <v/>
      </c>
      <c r="AG2311" s="35">
        <f>IF(OR(C2311&lt;&gt;"Grayson Coulter",G2311&lt;'00_Control'!$B$7),"",--(AF2311&lt;5))</f>
        <v/>
      </c>
      <c r="AH2311" s="35">
        <f>IF(OR(C2311&lt;&gt;"Grayson Coulter",G2311&lt;'00_Control'!$B$7),"",--(AF2311&lt;10))</f>
        <v/>
      </c>
      <c r="AI2311" s="35">
        <f>IF(AND(C2311="Grayson Coulter",G2311&gt;='00_Control'!$B$7),"YES","NO")</f>
        <v/>
      </c>
      <c r="AJ2311" s="33" t="inlineStr">
        <is>
          <t>OK</t>
        </is>
      </c>
    </row>
    <row r="2312">
      <c r="A2312" s="33" t="inlineStr">
        <is>
          <t>SM002308</t>
        </is>
      </c>
      <c r="B2312" s="33" t="inlineStr">
        <is>
          <t>SW014</t>
        </is>
      </c>
      <c r="C2312" s="33" t="inlineStr">
        <is>
          <t>Luke Hobson</t>
        </is>
      </c>
      <c r="D2312" s="33" t="inlineStr">
        <is>
          <t>SwimCloud</t>
        </is>
      </c>
      <c r="E2312" s="33" t="inlineStr">
        <is>
          <t>576911</t>
        </is>
      </c>
      <c r="F2312" s="33" t="inlineStr">
        <is>
          <t>27641395</t>
        </is>
      </c>
      <c r="G2312" s="51" t="n">
        <v>43660</v>
      </c>
      <c r="H2312" s="33" t="inlineStr">
        <is>
          <t>2019 PC WCAB Senior II Meet</t>
        </is>
      </c>
      <c r="I2312" s="33" t="inlineStr">
        <is>
          <t>130084</t>
        </is>
      </c>
      <c r="J2312" s="33" t="inlineStr"/>
      <c r="K2312" s="33" t="inlineStr">
        <is>
          <t>PRE</t>
        </is>
      </c>
      <c r="L2312" s="35">
        <f>IF(K2312="FIN",3,IF(OR(K2312="SEM",K2312="SEMI"),2,IF(OR(K2312="PRE",K2312="HEAT"),1,IF(V2312="YES",4,2))))</f>
        <v/>
      </c>
      <c r="M2312" s="33" t="inlineStr">
        <is>
          <t>LCM</t>
        </is>
      </c>
      <c r="N2312" s="33" t="n">
        <v>100</v>
      </c>
      <c r="O2312" s="33" t="inlineStr">
        <is>
          <t>Free</t>
        </is>
      </c>
      <c r="P2312" s="33" t="inlineStr">
        <is>
          <t>100 Free</t>
        </is>
      </c>
      <c r="Q2312" s="33" t="inlineStr">
        <is>
          <t>LCM_100_FREE</t>
        </is>
      </c>
      <c r="R2312" s="36" t="n">
        <v>54.79</v>
      </c>
      <c r="S2312" s="35">
        <f>IF(R2312="","",IF(R2312&gt;=60,INT(R2312/60)&amp;":"&amp;TEXT(MOD(R2312,60),"00.00"),TEXT(R2312,"0.00")))</f>
        <v/>
      </c>
      <c r="T2312" s="52">
        <f>IFERROR((G2312-INDEX('01_Swimmers'!$E$5:$E$22,MATCH(B2312,'01_Swimmers'!$A$5:$A$22,0)))/'00_Control'!$B$10,"")</f>
        <v/>
      </c>
      <c r="U2312" s="35">
        <f>IF(T2312="","",INT(T2312))</f>
        <v/>
      </c>
      <c r="V2312" s="33" t="inlineStr">
        <is>
          <t>NO</t>
        </is>
      </c>
      <c r="W2312" s="33" t="inlineStr">
        <is>
          <t>YES</t>
        </is>
      </c>
      <c r="X2312" s="33" t="inlineStr">
        <is>
          <t>NO</t>
        </is>
      </c>
      <c r="Y2312" s="33" t="n">
        <v>2</v>
      </c>
      <c r="Z2312" s="33" t="n">
        <v>2</v>
      </c>
      <c r="AA2312" s="33" t="inlineStr">
        <is>
          <t>11</t>
        </is>
      </c>
      <c r="AB2312" s="33" t="inlineStr">
        <is>
          <t>https://www.swimcloud.com/results/130084/event/32/?id=27641395#time27641395</t>
        </is>
      </c>
      <c r="AC2312" s="33" t="inlineStr">
        <is>
          <t>SwimCloud API v6 2026-10-08</t>
        </is>
      </c>
      <c r="AD2312" s="33" t="inlineStr">
        <is>
          <t>Luke Hobson|2019-07-14|LCM|100|Free|54.79|2019 PC WCAB Senior II Meet|PRE|False</t>
        </is>
      </c>
      <c r="AE2312" s="53">
        <f>G2312+L2312/1000+ROW()/1000000000</f>
        <v/>
      </c>
      <c r="AF2312" s="35">
        <f>IF(C2312&lt;&gt;"Grayson Coulter","",COUNTIFS($C$5:$C$2991,"Grayson Coulter",$Q$5:$Q$2991,Q2312,$AE$5:$AE$2991,"&lt;="&amp;AE2312,$R$5:$R$2991,"&lt;"&amp;R2312))</f>
        <v/>
      </c>
      <c r="AG2312" s="35">
        <f>IF(OR(C2312&lt;&gt;"Grayson Coulter",G2312&lt;'00_Control'!$B$7),"",--(AF2312&lt;5))</f>
        <v/>
      </c>
      <c r="AH2312" s="35">
        <f>IF(OR(C2312&lt;&gt;"Grayson Coulter",G2312&lt;'00_Control'!$B$7),"",--(AF2312&lt;10))</f>
        <v/>
      </c>
      <c r="AI2312" s="35">
        <f>IF(AND(C2312="Grayson Coulter",G2312&gt;='00_Control'!$B$7),"YES","NO")</f>
        <v/>
      </c>
      <c r="AJ2312" s="33" t="inlineStr">
        <is>
          <t>OK</t>
        </is>
      </c>
    </row>
    <row r="2313">
      <c r="A2313" s="33" t="inlineStr">
        <is>
          <t>SM002309</t>
        </is>
      </c>
      <c r="B2313" s="33" t="inlineStr">
        <is>
          <t>SW014</t>
        </is>
      </c>
      <c r="C2313" s="33" t="inlineStr">
        <is>
          <t>Luke Hobson</t>
        </is>
      </c>
      <c r="D2313" s="33" t="inlineStr">
        <is>
          <t>SwimCloud</t>
        </is>
      </c>
      <c r="E2313" s="33" t="inlineStr">
        <is>
          <t>576911</t>
        </is>
      </c>
      <c r="F2313" s="33" t="inlineStr">
        <is>
          <t>27641396</t>
        </is>
      </c>
      <c r="G2313" s="51" t="n">
        <v>43660</v>
      </c>
      <c r="H2313" s="33" t="inlineStr">
        <is>
          <t>2019 PC WCAB Senior II Meet</t>
        </is>
      </c>
      <c r="I2313" s="33" t="inlineStr">
        <is>
          <t>130084</t>
        </is>
      </c>
      <c r="J2313" s="33" t="inlineStr"/>
      <c r="K2313" s="33" t="inlineStr">
        <is>
          <t>FIN</t>
        </is>
      </c>
      <c r="L2313" s="35">
        <f>IF(K2313="FIN",3,IF(OR(K2313="SEM",K2313="SEMI"),2,IF(OR(K2313="PRE",K2313="HEAT"),1,IF(V2313="YES",4,2))))</f>
        <v/>
      </c>
      <c r="M2313" s="33" t="inlineStr">
        <is>
          <t>LCM</t>
        </is>
      </c>
      <c r="N2313" s="33" t="n">
        <v>100</v>
      </c>
      <c r="O2313" s="33" t="inlineStr">
        <is>
          <t>Free</t>
        </is>
      </c>
      <c r="P2313" s="33" t="inlineStr">
        <is>
          <t>100 Free</t>
        </is>
      </c>
      <c r="Q2313" s="33" t="inlineStr">
        <is>
          <t>LCM_100_FREE</t>
        </is>
      </c>
      <c r="R2313" s="36" t="n">
        <v>53.85</v>
      </c>
      <c r="S2313" s="35">
        <f>IF(R2313="","",IF(R2313&gt;=60,INT(R2313/60)&amp;":"&amp;TEXT(MOD(R2313,60),"00.00"),TEXT(R2313,"0.00")))</f>
        <v/>
      </c>
      <c r="T2313" s="52">
        <f>IFERROR((G2313-INDEX('01_Swimmers'!$E$5:$E$22,MATCH(B2313,'01_Swimmers'!$A$5:$A$22,0)))/'00_Control'!$B$10,"")</f>
        <v/>
      </c>
      <c r="U2313" s="35">
        <f>IF(T2313="","",INT(T2313))</f>
        <v/>
      </c>
      <c r="V2313" s="33" t="inlineStr">
        <is>
          <t>NO</t>
        </is>
      </c>
      <c r="W2313" s="33" t="inlineStr">
        <is>
          <t>YES</t>
        </is>
      </c>
      <c r="X2313" s="33" t="inlineStr">
        <is>
          <t>NO</t>
        </is>
      </c>
      <c r="Y2313" s="33" t="n">
        <v>2</v>
      </c>
      <c r="Z2313" s="33" t="n">
        <v>4</v>
      </c>
      <c r="AA2313" s="33" t="inlineStr">
        <is>
          <t>1</t>
        </is>
      </c>
      <c r="AB2313" s="33" t="inlineStr">
        <is>
          <t>https://www.swimcloud.com/results/130084/event/32/?id=27641396#time27641396</t>
        </is>
      </c>
      <c r="AC2313" s="33" t="inlineStr">
        <is>
          <t>SwimCloud API v6 2026-10-08</t>
        </is>
      </c>
      <c r="AD2313" s="33" t="inlineStr">
        <is>
          <t>Luke Hobson|2019-07-14|LCM|100|Free|53.85|2019 PC WCAB Senior II Meet|FIN|False</t>
        </is>
      </c>
      <c r="AE2313" s="53">
        <f>G2313+L2313/1000+ROW()/1000000000</f>
        <v/>
      </c>
      <c r="AF2313" s="35">
        <f>IF(C2313&lt;&gt;"Grayson Coulter","",COUNTIFS($C$5:$C$2991,"Grayson Coulter",$Q$5:$Q$2991,Q2313,$AE$5:$AE$2991,"&lt;="&amp;AE2313,$R$5:$R$2991,"&lt;"&amp;R2313))</f>
        <v/>
      </c>
      <c r="AG2313" s="35">
        <f>IF(OR(C2313&lt;&gt;"Grayson Coulter",G2313&lt;'00_Control'!$B$7),"",--(AF2313&lt;5))</f>
        <v/>
      </c>
      <c r="AH2313" s="35">
        <f>IF(OR(C2313&lt;&gt;"Grayson Coulter",G2313&lt;'00_Control'!$B$7),"",--(AF2313&lt;10))</f>
        <v/>
      </c>
      <c r="AI2313" s="35">
        <f>IF(AND(C2313="Grayson Coulter",G2313&gt;='00_Control'!$B$7),"YES","NO")</f>
        <v/>
      </c>
      <c r="AJ2313" s="33" t="inlineStr">
        <is>
          <t>OK</t>
        </is>
      </c>
    </row>
    <row r="2314">
      <c r="A2314" s="33" t="inlineStr">
        <is>
          <t>SM002310</t>
        </is>
      </c>
      <c r="B2314" s="33" t="inlineStr">
        <is>
          <t>SW014</t>
        </is>
      </c>
      <c r="C2314" s="33" t="inlineStr">
        <is>
          <t>Luke Hobson</t>
        </is>
      </c>
      <c r="D2314" s="33" t="inlineStr">
        <is>
          <t>SwimCloud</t>
        </is>
      </c>
      <c r="E2314" s="33" t="inlineStr">
        <is>
          <t>576911</t>
        </is>
      </c>
      <c r="F2314" s="33" t="inlineStr">
        <is>
          <t>27641307</t>
        </is>
      </c>
      <c r="G2314" s="51" t="n">
        <v>43660</v>
      </c>
      <c r="H2314" s="33" t="inlineStr">
        <is>
          <t>2019 PC WCAB Senior II Meet</t>
        </is>
      </c>
      <c r="I2314" s="33" t="inlineStr">
        <is>
          <t>130084</t>
        </is>
      </c>
      <c r="J2314" s="33" t="inlineStr"/>
      <c r="K2314" s="33" t="inlineStr">
        <is>
          <t>PRE</t>
        </is>
      </c>
      <c r="L2314" s="35">
        <f>IF(K2314="FIN",3,IF(OR(K2314="SEM",K2314="SEMI"),2,IF(OR(K2314="PRE",K2314="HEAT"),1,IF(V2314="YES",4,2))))</f>
        <v/>
      </c>
      <c r="M2314" s="33" t="inlineStr">
        <is>
          <t>LCM</t>
        </is>
      </c>
      <c r="N2314" s="33" t="n">
        <v>400</v>
      </c>
      <c r="O2314" s="33" t="inlineStr">
        <is>
          <t>Free</t>
        </is>
      </c>
      <c r="P2314" s="33" t="inlineStr">
        <is>
          <t>400 Free</t>
        </is>
      </c>
      <c r="Q2314" s="33" t="inlineStr">
        <is>
          <t>LCM_400_FREE</t>
        </is>
      </c>
      <c r="R2314" s="36" t="n">
        <v>262.6</v>
      </c>
      <c r="S2314" s="35">
        <f>IF(R2314="","",IF(R2314&gt;=60,INT(R2314/60)&amp;":"&amp;TEXT(MOD(R2314,60),"00.00"),TEXT(R2314,"0.00")))</f>
        <v/>
      </c>
      <c r="T2314" s="52">
        <f>IFERROR((G2314-INDEX('01_Swimmers'!$E$5:$E$22,MATCH(B2314,'01_Swimmers'!$A$5:$A$22,0)))/'00_Control'!$B$10,"")</f>
        <v/>
      </c>
      <c r="U2314" s="35">
        <f>IF(T2314="","",INT(T2314))</f>
        <v/>
      </c>
      <c r="V2314" s="33" t="inlineStr">
        <is>
          <t>NO</t>
        </is>
      </c>
      <c r="W2314" s="33" t="inlineStr">
        <is>
          <t>YES</t>
        </is>
      </c>
      <c r="X2314" s="33" t="inlineStr">
        <is>
          <t>NO</t>
        </is>
      </c>
      <c r="Y2314" s="33" t="n">
        <v>1</v>
      </c>
      <c r="Z2314" s="33" t="n">
        <v>5</v>
      </c>
      <c r="AA2314" s="33" t="inlineStr">
        <is>
          <t>11</t>
        </is>
      </c>
      <c r="AB2314" s="33" t="inlineStr">
        <is>
          <t>https://www.swimcloud.com/results/130084/event/26/?id=27641307#time27641307</t>
        </is>
      </c>
      <c r="AC2314" s="33" t="inlineStr">
        <is>
          <t>SwimCloud API v6 2026-10-08</t>
        </is>
      </c>
      <c r="AD2314" s="33" t="inlineStr">
        <is>
          <t>Luke Hobson|2019-07-14|LCM|400|Free|262.6|2019 PC WCAB Senior II Meet|PRE|False</t>
        </is>
      </c>
      <c r="AE2314" s="53">
        <f>G2314+L2314/1000+ROW()/1000000000</f>
        <v/>
      </c>
      <c r="AF2314" s="35">
        <f>IF(C2314&lt;&gt;"Grayson Coulter","",COUNTIFS($C$5:$C$2991,"Grayson Coulter",$Q$5:$Q$2991,Q2314,$AE$5:$AE$2991,"&lt;="&amp;AE2314,$R$5:$R$2991,"&lt;"&amp;R2314))</f>
        <v/>
      </c>
      <c r="AG2314" s="35">
        <f>IF(OR(C2314&lt;&gt;"Grayson Coulter",G2314&lt;'00_Control'!$B$7),"",--(AF2314&lt;5))</f>
        <v/>
      </c>
      <c r="AH2314" s="35">
        <f>IF(OR(C2314&lt;&gt;"Grayson Coulter",G2314&lt;'00_Control'!$B$7),"",--(AF2314&lt;10))</f>
        <v/>
      </c>
      <c r="AI2314" s="35">
        <f>IF(AND(C2314="Grayson Coulter",G2314&gt;='00_Control'!$B$7),"YES","NO")</f>
        <v/>
      </c>
      <c r="AJ2314" s="33" t="inlineStr">
        <is>
          <t>OK</t>
        </is>
      </c>
    </row>
    <row r="2315">
      <c r="A2315" s="33" t="inlineStr">
        <is>
          <t>SM002311</t>
        </is>
      </c>
      <c r="B2315" s="33" t="inlineStr">
        <is>
          <t>SW014</t>
        </is>
      </c>
      <c r="C2315" s="33" t="inlineStr">
        <is>
          <t>Luke Hobson</t>
        </is>
      </c>
      <c r="D2315" s="33" t="inlineStr">
        <is>
          <t>SwimCloud</t>
        </is>
      </c>
      <c r="E2315" s="33" t="inlineStr">
        <is>
          <t>576911</t>
        </is>
      </c>
      <c r="F2315" s="33" t="inlineStr">
        <is>
          <t>27641308</t>
        </is>
      </c>
      <c r="G2315" s="51" t="n">
        <v>43660</v>
      </c>
      <c r="H2315" s="33" t="inlineStr">
        <is>
          <t>2019 PC WCAB Senior II Meet</t>
        </is>
      </c>
      <c r="I2315" s="33" t="inlineStr">
        <is>
          <t>130084</t>
        </is>
      </c>
      <c r="J2315" s="33" t="inlineStr"/>
      <c r="K2315" s="33" t="inlineStr">
        <is>
          <t>FIN</t>
        </is>
      </c>
      <c r="L2315" s="35">
        <f>IF(K2315="FIN",3,IF(OR(K2315="SEM",K2315="SEMI"),2,IF(OR(K2315="PRE",K2315="HEAT"),1,IF(V2315="YES",4,2))))</f>
        <v/>
      </c>
      <c r="M2315" s="33" t="inlineStr">
        <is>
          <t>LCM</t>
        </is>
      </c>
      <c r="N2315" s="33" t="n">
        <v>400</v>
      </c>
      <c r="O2315" s="33" t="inlineStr">
        <is>
          <t>Free</t>
        </is>
      </c>
      <c r="P2315" s="33" t="inlineStr">
        <is>
          <t>400 Free</t>
        </is>
      </c>
      <c r="Q2315" s="33" t="inlineStr">
        <is>
          <t>LCM_400_FREE</t>
        </is>
      </c>
      <c r="R2315" s="36" t="n">
        <v>248.19</v>
      </c>
      <c r="S2315" s="35">
        <f>IF(R2315="","",IF(R2315&gt;=60,INT(R2315/60)&amp;":"&amp;TEXT(MOD(R2315,60),"00.00"),TEXT(R2315,"0.00")))</f>
        <v/>
      </c>
      <c r="T2315" s="52">
        <f>IFERROR((G2315-INDEX('01_Swimmers'!$E$5:$E$22,MATCH(B2315,'01_Swimmers'!$A$5:$A$22,0)))/'00_Control'!$B$10,"")</f>
        <v/>
      </c>
      <c r="U2315" s="35">
        <f>IF(T2315="","",INT(T2315))</f>
        <v/>
      </c>
      <c r="V2315" s="33" t="inlineStr">
        <is>
          <t>NO</t>
        </is>
      </c>
      <c r="W2315" s="33" t="inlineStr">
        <is>
          <t>YES</t>
        </is>
      </c>
      <c r="X2315" s="33" t="inlineStr">
        <is>
          <t>NO</t>
        </is>
      </c>
      <c r="Y2315" s="33" t="n">
        <v>3</v>
      </c>
      <c r="Z2315" s="33" t="n">
        <v>1</v>
      </c>
      <c r="AA2315" s="33" t="inlineStr">
        <is>
          <t>1</t>
        </is>
      </c>
      <c r="AB2315" s="33" t="inlineStr">
        <is>
          <t>https://www.swimcloud.com/results/130084/event/26/?id=27641308#time27641308</t>
        </is>
      </c>
      <c r="AC2315" s="33" t="inlineStr">
        <is>
          <t>SwimCloud API v6 2026-10-08</t>
        </is>
      </c>
      <c r="AD2315" s="33" t="inlineStr">
        <is>
          <t>Luke Hobson|2019-07-14|LCM|400|Free|248.19|2019 PC WCAB Senior II Meet|FIN|False</t>
        </is>
      </c>
      <c r="AE2315" s="53">
        <f>G2315+L2315/1000+ROW()/1000000000</f>
        <v/>
      </c>
      <c r="AF2315" s="35">
        <f>IF(C2315&lt;&gt;"Grayson Coulter","",COUNTIFS($C$5:$C$2991,"Grayson Coulter",$Q$5:$Q$2991,Q2315,$AE$5:$AE$2991,"&lt;="&amp;AE2315,$R$5:$R$2991,"&lt;"&amp;R2315))</f>
        <v/>
      </c>
      <c r="AG2315" s="35">
        <f>IF(OR(C2315&lt;&gt;"Grayson Coulter",G2315&lt;'00_Control'!$B$7),"",--(AF2315&lt;5))</f>
        <v/>
      </c>
      <c r="AH2315" s="35">
        <f>IF(OR(C2315&lt;&gt;"Grayson Coulter",G2315&lt;'00_Control'!$B$7),"",--(AF2315&lt;10))</f>
        <v/>
      </c>
      <c r="AI2315" s="35">
        <f>IF(AND(C2315="Grayson Coulter",G2315&gt;='00_Control'!$B$7),"YES","NO")</f>
        <v/>
      </c>
      <c r="AJ2315" s="33" t="inlineStr">
        <is>
          <t>OK</t>
        </is>
      </c>
    </row>
    <row r="2316">
      <c r="A2316" s="33" t="inlineStr">
        <is>
          <t>SM002312</t>
        </is>
      </c>
      <c r="B2316" s="33" t="inlineStr">
        <is>
          <t>SW014</t>
        </is>
      </c>
      <c r="C2316" s="33" t="inlineStr">
        <is>
          <t>Luke Hobson</t>
        </is>
      </c>
      <c r="D2316" s="33" t="inlineStr">
        <is>
          <t>SwimCloud</t>
        </is>
      </c>
      <c r="E2316" s="33" t="inlineStr">
        <is>
          <t>576911</t>
        </is>
      </c>
      <c r="F2316" s="33" t="inlineStr">
        <is>
          <t>28461460</t>
        </is>
      </c>
      <c r="G2316" s="51" t="n">
        <v>43679</v>
      </c>
      <c r="H2316" s="33" t="inlineStr">
        <is>
          <t>2019 USA Swimming Futures Championships (Mount Hood)</t>
        </is>
      </c>
      <c r="I2316" s="33" t="inlineStr">
        <is>
          <t>130295</t>
        </is>
      </c>
      <c r="J2316" s="33" t="inlineStr"/>
      <c r="K2316" s="33" t="inlineStr">
        <is>
          <t>PRE</t>
        </is>
      </c>
      <c r="L2316" s="35">
        <f>IF(K2316="FIN",3,IF(OR(K2316="SEM",K2316="SEMI"),2,IF(OR(K2316="PRE",K2316="HEAT"),1,IF(V2316="YES",4,2))))</f>
        <v/>
      </c>
      <c r="M2316" s="33" t="inlineStr">
        <is>
          <t>LCM</t>
        </is>
      </c>
      <c r="N2316" s="33" t="n">
        <v>200</v>
      </c>
      <c r="O2316" s="33" t="inlineStr">
        <is>
          <t>Free</t>
        </is>
      </c>
      <c r="P2316" s="33" t="inlineStr">
        <is>
          <t>200 Free</t>
        </is>
      </c>
      <c r="Q2316" s="33" t="inlineStr">
        <is>
          <t>LCM_200_FREE</t>
        </is>
      </c>
      <c r="R2316" s="36" t="n">
        <v>114.66</v>
      </c>
      <c r="S2316" s="35">
        <f>IF(R2316="","",IF(R2316&gt;=60,INT(R2316/60)&amp;":"&amp;TEXT(MOD(R2316,60),"00.00"),TEXT(R2316,"0.00")))</f>
        <v/>
      </c>
      <c r="T2316" s="52">
        <f>IFERROR((G2316-INDEX('01_Swimmers'!$E$5:$E$22,MATCH(B2316,'01_Swimmers'!$A$5:$A$22,0)))/'00_Control'!$B$10,"")</f>
        <v/>
      </c>
      <c r="U2316" s="35">
        <f>IF(T2316="","",INT(T2316))</f>
        <v/>
      </c>
      <c r="V2316" s="33" t="inlineStr">
        <is>
          <t>NO</t>
        </is>
      </c>
      <c r="W2316" s="33" t="inlineStr">
        <is>
          <t>YES</t>
        </is>
      </c>
      <c r="X2316" s="33" t="inlineStr">
        <is>
          <t>NO</t>
        </is>
      </c>
      <c r="Y2316" s="33" t="n">
        <v>11</v>
      </c>
      <c r="Z2316" s="33" t="n">
        <v>5</v>
      </c>
      <c r="AA2316" s="33" t="inlineStr">
        <is>
          <t>4</t>
        </is>
      </c>
      <c r="AB2316" s="33" t="inlineStr">
        <is>
          <t>https://www.swimcloud.com/results/130295/event/6/?id=28461460#time28461460</t>
        </is>
      </c>
      <c r="AC2316" s="33" t="inlineStr">
        <is>
          <t>SwimCloud API v6 2026-10-08</t>
        </is>
      </c>
      <c r="AD2316" s="33" t="inlineStr">
        <is>
          <t>Luke Hobson|2019-08-02|LCM|200|Free|114.66|2019 USA Swimming Futures Championships (Mount Hood)|PRE|False</t>
        </is>
      </c>
      <c r="AE2316" s="53">
        <f>G2316+L2316/1000+ROW()/1000000000</f>
        <v/>
      </c>
      <c r="AF2316" s="35">
        <f>IF(C2316&lt;&gt;"Grayson Coulter","",COUNTIFS($C$5:$C$2991,"Grayson Coulter",$Q$5:$Q$2991,Q2316,$AE$5:$AE$2991,"&lt;="&amp;AE2316,$R$5:$R$2991,"&lt;"&amp;R2316))</f>
        <v/>
      </c>
      <c r="AG2316" s="35">
        <f>IF(OR(C2316&lt;&gt;"Grayson Coulter",G2316&lt;'00_Control'!$B$7),"",--(AF2316&lt;5))</f>
        <v/>
      </c>
      <c r="AH2316" s="35">
        <f>IF(OR(C2316&lt;&gt;"Grayson Coulter",G2316&lt;'00_Control'!$B$7),"",--(AF2316&lt;10))</f>
        <v/>
      </c>
      <c r="AI2316" s="35">
        <f>IF(AND(C2316="Grayson Coulter",G2316&gt;='00_Control'!$B$7),"YES","NO")</f>
        <v/>
      </c>
      <c r="AJ2316" s="33" t="inlineStr">
        <is>
          <t>OK</t>
        </is>
      </c>
    </row>
    <row r="2317">
      <c r="A2317" s="33" t="inlineStr">
        <is>
          <t>SM002313</t>
        </is>
      </c>
      <c r="B2317" s="33" t="inlineStr">
        <is>
          <t>SW014</t>
        </is>
      </c>
      <c r="C2317" s="33" t="inlineStr">
        <is>
          <t>Luke Hobson</t>
        </is>
      </c>
      <c r="D2317" s="33" t="inlineStr">
        <is>
          <t>SwimCloud</t>
        </is>
      </c>
      <c r="E2317" s="33" t="inlineStr">
        <is>
          <t>576911</t>
        </is>
      </c>
      <c r="F2317" s="33" t="inlineStr">
        <is>
          <t>28461461</t>
        </is>
      </c>
      <c r="G2317" s="51" t="n">
        <v>43679</v>
      </c>
      <c r="H2317" s="33" t="inlineStr">
        <is>
          <t>2019 USA Swimming Futures Championships (Mount Hood)</t>
        </is>
      </c>
      <c r="I2317" s="33" t="inlineStr">
        <is>
          <t>130295</t>
        </is>
      </c>
      <c r="J2317" s="33" t="inlineStr"/>
      <c r="K2317" s="33" t="inlineStr">
        <is>
          <t>FIN</t>
        </is>
      </c>
      <c r="L2317" s="35">
        <f>IF(K2317="FIN",3,IF(OR(K2317="SEM",K2317="SEMI"),2,IF(OR(K2317="PRE",K2317="HEAT"),1,IF(V2317="YES",4,2))))</f>
        <v/>
      </c>
      <c r="M2317" s="33" t="inlineStr">
        <is>
          <t>LCM</t>
        </is>
      </c>
      <c r="N2317" s="33" t="n">
        <v>200</v>
      </c>
      <c r="O2317" s="33" t="inlineStr">
        <is>
          <t>Free</t>
        </is>
      </c>
      <c r="P2317" s="33" t="inlineStr">
        <is>
          <t>200 Free</t>
        </is>
      </c>
      <c r="Q2317" s="33" t="inlineStr">
        <is>
          <t>LCM_200_FREE</t>
        </is>
      </c>
      <c r="R2317" s="36" t="n">
        <v>115.7</v>
      </c>
      <c r="S2317" s="35">
        <f>IF(R2317="","",IF(R2317&gt;=60,INT(R2317/60)&amp;":"&amp;TEXT(MOD(R2317,60),"00.00"),TEXT(R2317,"0.00")))</f>
        <v/>
      </c>
      <c r="T2317" s="52">
        <f>IFERROR((G2317-INDEX('01_Swimmers'!$E$5:$E$22,MATCH(B2317,'01_Swimmers'!$A$5:$A$22,0)))/'00_Control'!$B$10,"")</f>
        <v/>
      </c>
      <c r="U2317" s="35">
        <f>IF(T2317="","",INT(T2317))</f>
        <v/>
      </c>
      <c r="V2317" s="33" t="inlineStr">
        <is>
          <t>NO</t>
        </is>
      </c>
      <c r="W2317" s="33" t="inlineStr">
        <is>
          <t>YES</t>
        </is>
      </c>
      <c r="X2317" s="33" t="inlineStr">
        <is>
          <t>NO</t>
        </is>
      </c>
      <c r="Y2317" s="33" t="n">
        <v>3</v>
      </c>
      <c r="Z2317" s="33" t="n">
        <v>6</v>
      </c>
      <c r="AA2317" s="33" t="inlineStr">
        <is>
          <t>7</t>
        </is>
      </c>
      <c r="AB2317" s="33" t="inlineStr">
        <is>
          <t>https://www.swimcloud.com/results/130295/event/6/?id=28461461#time28461461</t>
        </is>
      </c>
      <c r="AC2317" s="33" t="inlineStr">
        <is>
          <t>SwimCloud API v6 2026-10-08</t>
        </is>
      </c>
      <c r="AD2317" s="33" t="inlineStr">
        <is>
          <t>Luke Hobson|2019-08-02|LCM|200|Free|115.7|2019 USA Swimming Futures Championships (Mount Hood)|FIN|False</t>
        </is>
      </c>
      <c r="AE2317" s="53">
        <f>G2317+L2317/1000+ROW()/1000000000</f>
        <v/>
      </c>
      <c r="AF2317" s="35">
        <f>IF(C2317&lt;&gt;"Grayson Coulter","",COUNTIFS($C$5:$C$2991,"Grayson Coulter",$Q$5:$Q$2991,Q2317,$AE$5:$AE$2991,"&lt;="&amp;AE2317,$R$5:$R$2991,"&lt;"&amp;R2317))</f>
        <v/>
      </c>
      <c r="AG2317" s="35">
        <f>IF(OR(C2317&lt;&gt;"Grayson Coulter",G2317&lt;'00_Control'!$B$7),"",--(AF2317&lt;5))</f>
        <v/>
      </c>
      <c r="AH2317" s="35">
        <f>IF(OR(C2317&lt;&gt;"Grayson Coulter",G2317&lt;'00_Control'!$B$7),"",--(AF2317&lt;10))</f>
        <v/>
      </c>
      <c r="AI2317" s="35">
        <f>IF(AND(C2317="Grayson Coulter",G2317&gt;='00_Control'!$B$7),"YES","NO")</f>
        <v/>
      </c>
      <c r="AJ2317" s="33" t="inlineStr">
        <is>
          <t>OK</t>
        </is>
      </c>
    </row>
    <row r="2318">
      <c r="A2318" s="33" t="inlineStr">
        <is>
          <t>SM002314</t>
        </is>
      </c>
      <c r="B2318" s="33" t="inlineStr">
        <is>
          <t>SW014</t>
        </is>
      </c>
      <c r="C2318" s="33" t="inlineStr">
        <is>
          <t>Luke Hobson</t>
        </is>
      </c>
      <c r="D2318" s="33" t="inlineStr">
        <is>
          <t>SwimCloud</t>
        </is>
      </c>
      <c r="E2318" s="33" t="inlineStr">
        <is>
          <t>576911</t>
        </is>
      </c>
      <c r="F2318" s="33" t="inlineStr">
        <is>
          <t>28461711</t>
        </is>
      </c>
      <c r="G2318" s="51" t="n">
        <v>43680</v>
      </c>
      <c r="H2318" s="33" t="inlineStr">
        <is>
          <t>2019 USA Swimming Futures Championships (Mount Hood)</t>
        </is>
      </c>
      <c r="I2318" s="33" t="inlineStr">
        <is>
          <t>130295</t>
        </is>
      </c>
      <c r="J2318" s="33" t="inlineStr"/>
      <c r="K2318" s="33" t="inlineStr">
        <is>
          <t>PRE</t>
        </is>
      </c>
      <c r="L2318" s="35">
        <f>IF(K2318="FIN",3,IF(OR(K2318="SEM",K2318="SEMI"),2,IF(OR(K2318="PRE",K2318="HEAT"),1,IF(V2318="YES",4,2))))</f>
        <v/>
      </c>
      <c r="M2318" s="33" t="inlineStr">
        <is>
          <t>LCM</t>
        </is>
      </c>
      <c r="N2318" s="33" t="n">
        <v>400</v>
      </c>
      <c r="O2318" s="33" t="inlineStr">
        <is>
          <t>Free</t>
        </is>
      </c>
      <c r="P2318" s="33" t="inlineStr">
        <is>
          <t>400 Free</t>
        </is>
      </c>
      <c r="Q2318" s="33" t="inlineStr">
        <is>
          <t>LCM_400_FREE</t>
        </is>
      </c>
      <c r="R2318" s="36" t="n">
        <v>248.91</v>
      </c>
      <c r="S2318" s="35">
        <f>IF(R2318="","",IF(R2318&gt;=60,INT(R2318/60)&amp;":"&amp;TEXT(MOD(R2318,60),"00.00"),TEXT(R2318,"0.00")))</f>
        <v/>
      </c>
      <c r="T2318" s="52">
        <f>IFERROR((G2318-INDEX('01_Swimmers'!$E$5:$E$22,MATCH(B2318,'01_Swimmers'!$A$5:$A$22,0)))/'00_Control'!$B$10,"")</f>
        <v/>
      </c>
      <c r="U2318" s="35">
        <f>IF(T2318="","",INT(T2318))</f>
        <v/>
      </c>
      <c r="V2318" s="33" t="inlineStr">
        <is>
          <t>NO</t>
        </is>
      </c>
      <c r="W2318" s="33" t="inlineStr">
        <is>
          <t>YES</t>
        </is>
      </c>
      <c r="X2318" s="33" t="inlineStr">
        <is>
          <t>NO</t>
        </is>
      </c>
      <c r="Y2318" s="33" t="n">
        <v>5</v>
      </c>
      <c r="Z2318" s="33" t="n">
        <v>1</v>
      </c>
      <c r="AA2318" s="33" t="inlineStr">
        <is>
          <t>29</t>
        </is>
      </c>
      <c r="AB2318" s="33" t="inlineStr">
        <is>
          <t>https://www.swimcloud.com/results/130295/event/24/?id=28461711#time28461711</t>
        </is>
      </c>
      <c r="AC2318" s="33" t="inlineStr">
        <is>
          <t>SwimCloud API v6 2026-10-08</t>
        </is>
      </c>
      <c r="AD2318" s="33" t="inlineStr">
        <is>
          <t>Luke Hobson|2019-08-03|LCM|400|Free|248.91|2019 USA Swimming Futures Championships (Mount Hood)|PRE|False</t>
        </is>
      </c>
      <c r="AE2318" s="53">
        <f>G2318+L2318/1000+ROW()/1000000000</f>
        <v/>
      </c>
      <c r="AF2318" s="35">
        <f>IF(C2318&lt;&gt;"Grayson Coulter","",COUNTIFS($C$5:$C$2991,"Grayson Coulter",$Q$5:$Q$2991,Q2318,$AE$5:$AE$2991,"&lt;="&amp;AE2318,$R$5:$R$2991,"&lt;"&amp;R2318))</f>
        <v/>
      </c>
      <c r="AG2318" s="35">
        <f>IF(OR(C2318&lt;&gt;"Grayson Coulter",G2318&lt;'00_Control'!$B$7),"",--(AF2318&lt;5))</f>
        <v/>
      </c>
      <c r="AH2318" s="35">
        <f>IF(OR(C2318&lt;&gt;"Grayson Coulter",G2318&lt;'00_Control'!$B$7),"",--(AF2318&lt;10))</f>
        <v/>
      </c>
      <c r="AI2318" s="35">
        <f>IF(AND(C2318="Grayson Coulter",G2318&gt;='00_Control'!$B$7),"YES","NO")</f>
        <v/>
      </c>
      <c r="AJ2318" s="33" t="inlineStr">
        <is>
          <t>OK</t>
        </is>
      </c>
    </row>
    <row r="2319">
      <c r="A2319" s="33" t="inlineStr">
        <is>
          <t>SM002315</t>
        </is>
      </c>
      <c r="B2319" s="33" t="inlineStr">
        <is>
          <t>SW014</t>
        </is>
      </c>
      <c r="C2319" s="33" t="inlineStr">
        <is>
          <t>Luke Hobson</t>
        </is>
      </c>
      <c r="D2319" s="33" t="inlineStr">
        <is>
          <t>SwimCloud</t>
        </is>
      </c>
      <c r="E2319" s="33" t="inlineStr">
        <is>
          <t>576911</t>
        </is>
      </c>
      <c r="F2319" s="33" t="inlineStr">
        <is>
          <t>28461591</t>
        </is>
      </c>
      <c r="G2319" s="51" t="n">
        <v>43681</v>
      </c>
      <c r="H2319" s="33" t="inlineStr">
        <is>
          <t>2019 USA Swimming Futures Championships (Mount Hood)</t>
        </is>
      </c>
      <c r="I2319" s="33" t="inlineStr">
        <is>
          <t>130295</t>
        </is>
      </c>
      <c r="J2319" s="33" t="inlineStr"/>
      <c r="K2319" s="33" t="inlineStr">
        <is>
          <t>PRE</t>
        </is>
      </c>
      <c r="L2319" s="35">
        <f>IF(K2319="FIN",3,IF(OR(K2319="SEM",K2319="SEMI"),2,IF(OR(K2319="PRE",K2319="HEAT"),1,IF(V2319="YES",4,2))))</f>
        <v/>
      </c>
      <c r="M2319" s="33" t="inlineStr">
        <is>
          <t>LCM</t>
        </is>
      </c>
      <c r="N2319" s="33" t="n">
        <v>100</v>
      </c>
      <c r="O2319" s="33" t="inlineStr">
        <is>
          <t>Free</t>
        </is>
      </c>
      <c r="P2319" s="33" t="inlineStr">
        <is>
          <t>100 Free</t>
        </is>
      </c>
      <c r="Q2319" s="33" t="inlineStr">
        <is>
          <t>LCM_100_FREE</t>
        </is>
      </c>
      <c r="R2319" s="36" t="n">
        <v>53.33</v>
      </c>
      <c r="S2319" s="35">
        <f>IF(R2319="","",IF(R2319&gt;=60,INT(R2319/60)&amp;":"&amp;TEXT(MOD(R2319,60),"00.00"),TEXT(R2319,"0.00")))</f>
        <v/>
      </c>
      <c r="T2319" s="52">
        <f>IFERROR((G2319-INDEX('01_Swimmers'!$E$5:$E$22,MATCH(B2319,'01_Swimmers'!$A$5:$A$22,0)))/'00_Control'!$B$10,"")</f>
        <v/>
      </c>
      <c r="U2319" s="35">
        <f>IF(T2319="","",INT(T2319))</f>
        <v/>
      </c>
      <c r="V2319" s="33" t="inlineStr">
        <is>
          <t>NO</t>
        </is>
      </c>
      <c r="W2319" s="33" t="inlineStr">
        <is>
          <t>YES</t>
        </is>
      </c>
      <c r="X2319" s="33" t="inlineStr">
        <is>
          <t>NO</t>
        </is>
      </c>
      <c r="Y2319" s="33" t="n">
        <v>12</v>
      </c>
      <c r="Z2319" s="33" t="n">
        <v>1</v>
      </c>
      <c r="AA2319" s="33" t="inlineStr">
        <is>
          <t>20</t>
        </is>
      </c>
      <c r="AB2319" s="33" t="inlineStr">
        <is>
          <t>https://www.swimcloud.com/results/130295/event/26/?id=28461591#time28461591</t>
        </is>
      </c>
      <c r="AC2319" s="33" t="inlineStr">
        <is>
          <t>SwimCloud API v6 2026-10-08</t>
        </is>
      </c>
      <c r="AD2319" s="33" t="inlineStr">
        <is>
          <t>Luke Hobson|2019-08-04|LCM|100|Free|53.33|2019 USA Swimming Futures Championships (Mount Hood)|PRE|False</t>
        </is>
      </c>
      <c r="AE2319" s="53">
        <f>G2319+L2319/1000+ROW()/1000000000</f>
        <v/>
      </c>
      <c r="AF2319" s="35">
        <f>IF(C2319&lt;&gt;"Grayson Coulter","",COUNTIFS($C$5:$C$2991,"Grayson Coulter",$Q$5:$Q$2991,Q2319,$AE$5:$AE$2991,"&lt;="&amp;AE2319,$R$5:$R$2991,"&lt;"&amp;R2319))</f>
        <v/>
      </c>
      <c r="AG2319" s="35">
        <f>IF(OR(C2319&lt;&gt;"Grayson Coulter",G2319&lt;'00_Control'!$B$7),"",--(AF2319&lt;5))</f>
        <v/>
      </c>
      <c r="AH2319" s="35">
        <f>IF(OR(C2319&lt;&gt;"Grayson Coulter",G2319&lt;'00_Control'!$B$7),"",--(AF2319&lt;10))</f>
        <v/>
      </c>
      <c r="AI2319" s="35">
        <f>IF(AND(C2319="Grayson Coulter",G2319&gt;='00_Control'!$B$7),"YES","NO")</f>
        <v/>
      </c>
      <c r="AJ2319" s="33" t="inlineStr">
        <is>
          <t>OK</t>
        </is>
      </c>
    </row>
    <row r="2320">
      <c r="A2320" s="33" t="inlineStr">
        <is>
          <t>SM002316</t>
        </is>
      </c>
      <c r="B2320" s="33" t="inlineStr">
        <is>
          <t>SW014</t>
        </is>
      </c>
      <c r="C2320" s="33" t="inlineStr">
        <is>
          <t>Luke Hobson</t>
        </is>
      </c>
      <c r="D2320" s="33" t="inlineStr">
        <is>
          <t>SwimCloud</t>
        </is>
      </c>
      <c r="E2320" s="33" t="inlineStr">
        <is>
          <t>576911</t>
        </is>
      </c>
      <c r="F2320" s="33" t="inlineStr">
        <is>
          <t>28461592</t>
        </is>
      </c>
      <c r="G2320" s="51" t="n">
        <v>43681</v>
      </c>
      <c r="H2320" s="33" t="inlineStr">
        <is>
          <t>2019 USA Swimming Futures Championships (Mount Hood)</t>
        </is>
      </c>
      <c r="I2320" s="33" t="inlineStr">
        <is>
          <t>130295</t>
        </is>
      </c>
      <c r="J2320" s="33" t="inlineStr"/>
      <c r="K2320" s="33" t="inlineStr">
        <is>
          <t>FIN</t>
        </is>
      </c>
      <c r="L2320" s="35">
        <f>IF(K2320="FIN",3,IF(OR(K2320="SEM",K2320="SEMI"),2,IF(OR(K2320="PRE",K2320="HEAT"),1,IF(V2320="YES",4,2))))</f>
        <v/>
      </c>
      <c r="M2320" s="33" t="inlineStr">
        <is>
          <t>LCM</t>
        </is>
      </c>
      <c r="N2320" s="33" t="n">
        <v>100</v>
      </c>
      <c r="O2320" s="33" t="inlineStr">
        <is>
          <t>Free</t>
        </is>
      </c>
      <c r="P2320" s="33" t="inlineStr">
        <is>
          <t>100 Free</t>
        </is>
      </c>
      <c r="Q2320" s="33" t="inlineStr">
        <is>
          <t>LCM_100_FREE</t>
        </is>
      </c>
      <c r="R2320" s="36" t="n">
        <v>52.17</v>
      </c>
      <c r="S2320" s="35">
        <f>IF(R2320="","",IF(R2320&gt;=60,INT(R2320/60)&amp;":"&amp;TEXT(MOD(R2320,60),"00.00"),TEXT(R2320,"0.00")))</f>
        <v/>
      </c>
      <c r="T2320" s="52">
        <f>IFERROR((G2320-INDEX('01_Swimmers'!$E$5:$E$22,MATCH(B2320,'01_Swimmers'!$A$5:$A$22,0)))/'00_Control'!$B$10,"")</f>
        <v/>
      </c>
      <c r="U2320" s="35">
        <f>IF(T2320="","",INT(T2320))</f>
        <v/>
      </c>
      <c r="V2320" s="33" t="inlineStr">
        <is>
          <t>NO</t>
        </is>
      </c>
      <c r="W2320" s="33" t="inlineStr">
        <is>
          <t>YES</t>
        </is>
      </c>
      <c r="X2320" s="33" t="inlineStr">
        <is>
          <t>NO</t>
        </is>
      </c>
      <c r="Y2320" s="33" t="n">
        <v>1</v>
      </c>
      <c r="Z2320" s="33" t="n">
        <v>5</v>
      </c>
      <c r="AA2320" s="33" t="inlineStr">
        <is>
          <t>17</t>
        </is>
      </c>
      <c r="AB2320" s="33" t="inlineStr">
        <is>
          <t>https://www.swimcloud.com/results/130295/event/26/?id=28461592#time28461592</t>
        </is>
      </c>
      <c r="AC2320" s="33" t="inlineStr">
        <is>
          <t>SwimCloud API v6 2026-10-08</t>
        </is>
      </c>
      <c r="AD2320" s="33" t="inlineStr">
        <is>
          <t>Luke Hobson|2019-08-04|LCM|100|Free|52.17|2019 USA Swimming Futures Championships (Mount Hood)|FIN|False</t>
        </is>
      </c>
      <c r="AE2320" s="53">
        <f>G2320+L2320/1000+ROW()/1000000000</f>
        <v/>
      </c>
      <c r="AF2320" s="35">
        <f>IF(C2320&lt;&gt;"Grayson Coulter","",COUNTIFS($C$5:$C$2991,"Grayson Coulter",$Q$5:$Q$2991,Q2320,$AE$5:$AE$2991,"&lt;="&amp;AE2320,$R$5:$R$2991,"&lt;"&amp;R2320))</f>
        <v/>
      </c>
      <c r="AG2320" s="35">
        <f>IF(OR(C2320&lt;&gt;"Grayson Coulter",G2320&lt;'00_Control'!$B$7),"",--(AF2320&lt;5))</f>
        <v/>
      </c>
      <c r="AH2320" s="35">
        <f>IF(OR(C2320&lt;&gt;"Grayson Coulter",G2320&lt;'00_Control'!$B$7),"",--(AF2320&lt;10))</f>
        <v/>
      </c>
      <c r="AI2320" s="35">
        <f>IF(AND(C2320="Grayson Coulter",G2320&gt;='00_Control'!$B$7),"YES","NO")</f>
        <v/>
      </c>
      <c r="AJ2320" s="33" t="inlineStr">
        <is>
          <t>OK</t>
        </is>
      </c>
    </row>
    <row r="2321">
      <c r="A2321" s="33" t="inlineStr">
        <is>
          <t>SM002317</t>
        </is>
      </c>
      <c r="B2321" s="33" t="inlineStr">
        <is>
          <t>SW014</t>
        </is>
      </c>
      <c r="C2321" s="33" t="inlineStr">
        <is>
          <t>Luke Hobson</t>
        </is>
      </c>
      <c r="D2321" s="33" t="inlineStr">
        <is>
          <t>SwimCloud</t>
        </is>
      </c>
      <c r="E2321" s="33" t="inlineStr">
        <is>
          <t>576911</t>
        </is>
      </c>
      <c r="F2321" s="33" t="inlineStr">
        <is>
          <t>28629926</t>
        </is>
      </c>
      <c r="G2321" s="51" t="n">
        <v>43684</v>
      </c>
      <c r="H2321" s="33" t="inlineStr">
        <is>
          <t>Speedo Junior National Championships</t>
        </is>
      </c>
      <c r="I2321" s="33" t="inlineStr">
        <is>
          <t>130294</t>
        </is>
      </c>
      <c r="J2321" s="33" t="inlineStr"/>
      <c r="K2321" s="33" t="inlineStr">
        <is>
          <t>PRE</t>
        </is>
      </c>
      <c r="L2321" s="35">
        <f>IF(K2321="FIN",3,IF(OR(K2321="SEM",K2321="SEMI"),2,IF(OR(K2321="PRE",K2321="HEAT"),1,IF(V2321="YES",4,2))))</f>
        <v/>
      </c>
      <c r="M2321" s="33" t="inlineStr">
        <is>
          <t>LCM</t>
        </is>
      </c>
      <c r="N2321" s="33" t="n">
        <v>100</v>
      </c>
      <c r="O2321" s="33" t="inlineStr">
        <is>
          <t>Free</t>
        </is>
      </c>
      <c r="P2321" s="33" t="inlineStr">
        <is>
          <t>100 Free</t>
        </is>
      </c>
      <c r="Q2321" s="33" t="inlineStr">
        <is>
          <t>LCM_100_FREE</t>
        </is>
      </c>
      <c r="R2321" s="36" t="n">
        <v>52.62</v>
      </c>
      <c r="S2321" s="35">
        <f>IF(R2321="","",IF(R2321&gt;=60,INT(R2321/60)&amp;":"&amp;TEXT(MOD(R2321,60),"00.00"),TEXT(R2321,"0.00")))</f>
        <v/>
      </c>
      <c r="T2321" s="52">
        <f>IFERROR((G2321-INDEX('01_Swimmers'!$E$5:$E$22,MATCH(B2321,'01_Swimmers'!$A$5:$A$22,0)))/'00_Control'!$B$10,"")</f>
        <v/>
      </c>
      <c r="U2321" s="35">
        <f>IF(T2321="","",INT(T2321))</f>
        <v/>
      </c>
      <c r="V2321" s="33" t="inlineStr">
        <is>
          <t>NO</t>
        </is>
      </c>
      <c r="W2321" s="33" t="inlineStr">
        <is>
          <t>YES</t>
        </is>
      </c>
      <c r="X2321" s="33" t="inlineStr">
        <is>
          <t>NO</t>
        </is>
      </c>
      <c r="Y2321" s="33" t="n">
        <v>3</v>
      </c>
      <c r="Z2321" s="33" t="n">
        <v>9</v>
      </c>
      <c r="AA2321" s="33" t="inlineStr">
        <is>
          <t>67</t>
        </is>
      </c>
      <c r="AB2321" s="33" t="inlineStr">
        <is>
          <t>https://www.swimcloud.com/results/130294/event/10/?id=28629926#time28629926</t>
        </is>
      </c>
      <c r="AC2321" s="33" t="inlineStr">
        <is>
          <t>SwimCloud API v6 2026-10-08</t>
        </is>
      </c>
      <c r="AD2321" s="33" t="inlineStr">
        <is>
          <t>Luke Hobson|2019-08-07|LCM|100|Free|52.62|Speedo Junior National Championships|PRE|False</t>
        </is>
      </c>
      <c r="AE2321" s="53">
        <f>G2321+L2321/1000+ROW()/1000000000</f>
        <v/>
      </c>
      <c r="AF2321" s="35">
        <f>IF(C2321&lt;&gt;"Grayson Coulter","",COUNTIFS($C$5:$C$2991,"Grayson Coulter",$Q$5:$Q$2991,Q2321,$AE$5:$AE$2991,"&lt;="&amp;AE2321,$R$5:$R$2991,"&lt;"&amp;R2321))</f>
        <v/>
      </c>
      <c r="AG2321" s="35">
        <f>IF(OR(C2321&lt;&gt;"Grayson Coulter",G2321&lt;'00_Control'!$B$7),"",--(AF2321&lt;5))</f>
        <v/>
      </c>
      <c r="AH2321" s="35">
        <f>IF(OR(C2321&lt;&gt;"Grayson Coulter",G2321&lt;'00_Control'!$B$7),"",--(AF2321&lt;10))</f>
        <v/>
      </c>
      <c r="AI2321" s="35">
        <f>IF(AND(C2321="Grayson Coulter",G2321&gt;='00_Control'!$B$7),"YES","NO")</f>
        <v/>
      </c>
      <c r="AJ2321" s="33" t="inlineStr">
        <is>
          <t>OK</t>
        </is>
      </c>
    </row>
    <row r="2322">
      <c r="A2322" s="33" t="inlineStr">
        <is>
          <t>SM002318</t>
        </is>
      </c>
      <c r="B2322" s="33" t="inlineStr">
        <is>
          <t>SW014</t>
        </is>
      </c>
      <c r="C2322" s="33" t="inlineStr">
        <is>
          <t>Luke Hobson</t>
        </is>
      </c>
      <c r="D2322" s="33" t="inlineStr">
        <is>
          <t>SwimCloud</t>
        </is>
      </c>
      <c r="E2322" s="33" t="inlineStr">
        <is>
          <t>576911</t>
        </is>
      </c>
      <c r="F2322" s="33" t="inlineStr">
        <is>
          <t>28629750</t>
        </is>
      </c>
      <c r="G2322" s="51" t="n">
        <v>43685</v>
      </c>
      <c r="H2322" s="33" t="inlineStr">
        <is>
          <t>Speedo Junior National Championships</t>
        </is>
      </c>
      <c r="I2322" s="33" t="inlineStr">
        <is>
          <t>130294</t>
        </is>
      </c>
      <c r="J2322" s="33" t="inlineStr"/>
      <c r="K2322" s="33" t="inlineStr">
        <is>
          <t>PRE</t>
        </is>
      </c>
      <c r="L2322" s="35">
        <f>IF(K2322="FIN",3,IF(OR(K2322="SEM",K2322="SEMI"),2,IF(OR(K2322="PRE",K2322="HEAT"),1,IF(V2322="YES",4,2))))</f>
        <v/>
      </c>
      <c r="M2322" s="33" t="inlineStr">
        <is>
          <t>LCM</t>
        </is>
      </c>
      <c r="N2322" s="33" t="n">
        <v>400</v>
      </c>
      <c r="O2322" s="33" t="inlineStr">
        <is>
          <t>Free</t>
        </is>
      </c>
      <c r="P2322" s="33" t="inlineStr">
        <is>
          <t>400 Free</t>
        </is>
      </c>
      <c r="Q2322" s="33" t="inlineStr">
        <is>
          <t>LCM_400_FREE</t>
        </is>
      </c>
      <c r="R2322" s="36" t="n">
        <v>243.47</v>
      </c>
      <c r="S2322" s="35">
        <f>IF(R2322="","",IF(R2322&gt;=60,INT(R2322/60)&amp;":"&amp;TEXT(MOD(R2322,60),"00.00"),TEXT(R2322,"0.00")))</f>
        <v/>
      </c>
      <c r="T2322" s="52">
        <f>IFERROR((G2322-INDEX('01_Swimmers'!$E$5:$E$22,MATCH(B2322,'01_Swimmers'!$A$5:$A$22,0)))/'00_Control'!$B$10,"")</f>
        <v/>
      </c>
      <c r="U2322" s="35">
        <f>IF(T2322="","",INT(T2322))</f>
        <v/>
      </c>
      <c r="V2322" s="33" t="inlineStr">
        <is>
          <t>NO</t>
        </is>
      </c>
      <c r="W2322" s="33" t="inlineStr">
        <is>
          <t>YES</t>
        </is>
      </c>
      <c r="X2322" s="33" t="inlineStr">
        <is>
          <t>NO</t>
        </is>
      </c>
      <c r="Y2322" s="33" t="n">
        <v>6</v>
      </c>
      <c r="Z2322" s="33" t="n">
        <v>0</v>
      </c>
      <c r="AA2322" s="33" t="inlineStr">
        <is>
          <t>46</t>
        </is>
      </c>
      <c r="AB2322" s="33" t="inlineStr">
        <is>
          <t>https://www.swimcloud.com/results/130294/event/16/?id=28629750#time28629750</t>
        </is>
      </c>
      <c r="AC2322" s="33" t="inlineStr">
        <is>
          <t>SwimCloud API v6 2026-10-08</t>
        </is>
      </c>
      <c r="AD2322" s="33" t="inlineStr">
        <is>
          <t>Luke Hobson|2019-08-08|LCM|400|Free|243.47|Speedo Junior National Championships|PRE|False</t>
        </is>
      </c>
      <c r="AE2322" s="53">
        <f>G2322+L2322/1000+ROW()/1000000000</f>
        <v/>
      </c>
      <c r="AF2322" s="35">
        <f>IF(C2322&lt;&gt;"Grayson Coulter","",COUNTIFS($C$5:$C$2991,"Grayson Coulter",$Q$5:$Q$2991,Q2322,$AE$5:$AE$2991,"&lt;="&amp;AE2322,$R$5:$R$2991,"&lt;"&amp;R2322))</f>
        <v/>
      </c>
      <c r="AG2322" s="35">
        <f>IF(OR(C2322&lt;&gt;"Grayson Coulter",G2322&lt;'00_Control'!$B$7),"",--(AF2322&lt;5))</f>
        <v/>
      </c>
      <c r="AH2322" s="35">
        <f>IF(OR(C2322&lt;&gt;"Grayson Coulter",G2322&lt;'00_Control'!$B$7),"",--(AF2322&lt;10))</f>
        <v/>
      </c>
      <c r="AI2322" s="35">
        <f>IF(AND(C2322="Grayson Coulter",G2322&gt;='00_Control'!$B$7),"YES","NO")</f>
        <v/>
      </c>
      <c r="AJ2322" s="33" t="inlineStr">
        <is>
          <t>OK</t>
        </is>
      </c>
    </row>
    <row r="2323">
      <c r="A2323" s="33" t="inlineStr">
        <is>
          <t>SM002319</t>
        </is>
      </c>
      <c r="B2323" s="33" t="inlineStr">
        <is>
          <t>SW014</t>
        </is>
      </c>
      <c r="C2323" s="33" t="inlineStr">
        <is>
          <t>Luke Hobson</t>
        </is>
      </c>
      <c r="D2323" s="33" t="inlineStr">
        <is>
          <t>SwimCloud</t>
        </is>
      </c>
      <c r="E2323" s="33" t="inlineStr">
        <is>
          <t>576911</t>
        </is>
      </c>
      <c r="F2323" s="33" t="inlineStr">
        <is>
          <t>28629275</t>
        </is>
      </c>
      <c r="G2323" s="51" t="n">
        <v>43686</v>
      </c>
      <c r="H2323" s="33" t="inlineStr">
        <is>
          <t>Speedo Junior National Championships</t>
        </is>
      </c>
      <c r="I2323" s="33" t="inlineStr">
        <is>
          <t>130294</t>
        </is>
      </c>
      <c r="J2323" s="33" t="inlineStr"/>
      <c r="K2323" s="33" t="inlineStr">
        <is>
          <t>PRE</t>
        </is>
      </c>
      <c r="L2323" s="35">
        <f>IF(K2323="FIN",3,IF(OR(K2323="SEM",K2323="SEMI"),2,IF(OR(K2323="PRE",K2323="HEAT"),1,IF(V2323="YES",4,2))))</f>
        <v/>
      </c>
      <c r="M2323" s="33" t="inlineStr">
        <is>
          <t>LCM</t>
        </is>
      </c>
      <c r="N2323" s="33" t="n">
        <v>200</v>
      </c>
      <c r="O2323" s="33" t="inlineStr">
        <is>
          <t>Free</t>
        </is>
      </c>
      <c r="P2323" s="33" t="inlineStr">
        <is>
          <t>200 Free</t>
        </is>
      </c>
      <c r="Q2323" s="33" t="inlineStr">
        <is>
          <t>LCM_200_FREE</t>
        </is>
      </c>
      <c r="R2323" s="36" t="n">
        <v>116.47</v>
      </c>
      <c r="S2323" s="35">
        <f>IF(R2323="","",IF(R2323&gt;=60,INT(R2323/60)&amp;":"&amp;TEXT(MOD(R2323,60),"00.00"),TEXT(R2323,"0.00")))</f>
        <v/>
      </c>
      <c r="T2323" s="52">
        <f>IFERROR((G2323-INDEX('01_Swimmers'!$E$5:$E$22,MATCH(B2323,'01_Swimmers'!$A$5:$A$22,0)))/'00_Control'!$B$10,"")</f>
        <v/>
      </c>
      <c r="U2323" s="35">
        <f>IF(T2323="","",INT(T2323))</f>
        <v/>
      </c>
      <c r="V2323" s="33" t="inlineStr">
        <is>
          <t>NO</t>
        </is>
      </c>
      <c r="W2323" s="33" t="inlineStr">
        <is>
          <t>YES</t>
        </is>
      </c>
      <c r="X2323" s="33" t="inlineStr">
        <is>
          <t>NO</t>
        </is>
      </c>
      <c r="Y2323" s="33" t="n">
        <v>8</v>
      </c>
      <c r="Z2323" s="33" t="n">
        <v>6</v>
      </c>
      <c r="AA2323" s="33" t="inlineStr">
        <is>
          <t>82</t>
        </is>
      </c>
      <c r="AB2323" s="33" t="inlineStr">
        <is>
          <t>https://www.swimcloud.com/results/130294/event/21/?id=28629275#time28629275</t>
        </is>
      </c>
      <c r="AC2323" s="33" t="inlineStr">
        <is>
          <t>SwimCloud API v6 2026-10-08</t>
        </is>
      </c>
      <c r="AD2323" s="33" t="inlineStr">
        <is>
          <t>Luke Hobson|2019-08-09|LCM|200|Free|116.47|Speedo Junior National Championships|PRE|False</t>
        </is>
      </c>
      <c r="AE2323" s="53">
        <f>G2323+L2323/1000+ROW()/1000000000</f>
        <v/>
      </c>
      <c r="AF2323" s="35">
        <f>IF(C2323&lt;&gt;"Grayson Coulter","",COUNTIFS($C$5:$C$2991,"Grayson Coulter",$Q$5:$Q$2991,Q2323,$AE$5:$AE$2991,"&lt;="&amp;AE2323,$R$5:$R$2991,"&lt;"&amp;R2323))</f>
        <v/>
      </c>
      <c r="AG2323" s="35">
        <f>IF(OR(C2323&lt;&gt;"Grayson Coulter",G2323&lt;'00_Control'!$B$7),"",--(AF2323&lt;5))</f>
        <v/>
      </c>
      <c r="AH2323" s="35">
        <f>IF(OR(C2323&lt;&gt;"Grayson Coulter",G2323&lt;'00_Control'!$B$7),"",--(AF2323&lt;10))</f>
        <v/>
      </c>
      <c r="AI2323" s="35">
        <f>IF(AND(C2323="Grayson Coulter",G2323&gt;='00_Control'!$B$7),"YES","NO")</f>
        <v/>
      </c>
      <c r="AJ2323" s="33" t="inlineStr">
        <is>
          <t>OK</t>
        </is>
      </c>
    </row>
    <row r="2324">
      <c r="A2324" s="33" t="inlineStr">
        <is>
          <t>SM002320</t>
        </is>
      </c>
      <c r="B2324" s="33" t="inlineStr">
        <is>
          <t>SW014</t>
        </is>
      </c>
      <c r="C2324" s="33" t="inlineStr">
        <is>
          <t>Luke Hobson</t>
        </is>
      </c>
      <c r="D2324" s="33" t="inlineStr">
        <is>
          <t>SwimCloud</t>
        </is>
      </c>
      <c r="E2324" s="33" t="inlineStr">
        <is>
          <t>576911</t>
        </is>
      </c>
      <c r="F2324" s="33" t="inlineStr">
        <is>
          <t>37389220</t>
        </is>
      </c>
      <c r="G2324" s="51" t="n">
        <v>44148</v>
      </c>
      <c r="H2324" s="33" t="inlineStr">
        <is>
          <t>Toyota US Open</t>
        </is>
      </c>
      <c r="I2324" s="33" t="inlineStr">
        <is>
          <t>184276</t>
        </is>
      </c>
      <c r="J2324" s="33" t="inlineStr"/>
      <c r="K2324" s="33" t="inlineStr">
        <is>
          <t>TIM</t>
        </is>
      </c>
      <c r="L2324" s="35">
        <f>IF(K2324="FIN",3,IF(OR(K2324="SEM",K2324="SEMI"),2,IF(OR(K2324="PRE",K2324="HEAT"),1,IF(V2324="YES",4,2))))</f>
        <v/>
      </c>
      <c r="M2324" s="33" t="inlineStr">
        <is>
          <t>LCM</t>
        </is>
      </c>
      <c r="N2324" s="33" t="n">
        <v>200</v>
      </c>
      <c r="O2324" s="33" t="inlineStr">
        <is>
          <t>Free</t>
        </is>
      </c>
      <c r="P2324" s="33" t="inlineStr">
        <is>
          <t>200 Free</t>
        </is>
      </c>
      <c r="Q2324" s="33" t="inlineStr">
        <is>
          <t>LCM_200_FREE</t>
        </is>
      </c>
      <c r="R2324" s="36" t="n">
        <v>112.68</v>
      </c>
      <c r="S2324" s="35">
        <f>IF(R2324="","",IF(R2324&gt;=60,INT(R2324/60)&amp;":"&amp;TEXT(MOD(R2324,60),"00.00"),TEXT(R2324,"0.00")))</f>
        <v/>
      </c>
      <c r="T2324" s="52">
        <f>IFERROR((G2324-INDEX('01_Swimmers'!$E$5:$E$22,MATCH(B2324,'01_Swimmers'!$A$5:$A$22,0)))/'00_Control'!$B$10,"")</f>
        <v/>
      </c>
      <c r="U2324" s="35">
        <f>IF(T2324="","",INT(T2324))</f>
        <v/>
      </c>
      <c r="V2324" s="33" t="inlineStr">
        <is>
          <t>NO</t>
        </is>
      </c>
      <c r="W2324" s="33" t="inlineStr">
        <is>
          <t>YES</t>
        </is>
      </c>
      <c r="X2324" s="33" t="inlineStr">
        <is>
          <t>NO</t>
        </is>
      </c>
      <c r="Y2324" s="33" t="n">
        <v>18</v>
      </c>
      <c r="Z2324" s="33" t="n">
        <v>4</v>
      </c>
      <c r="AA2324" s="33" t="inlineStr">
        <is>
          <t>38</t>
        </is>
      </c>
      <c r="AB2324" s="33" t="inlineStr">
        <is>
          <t>https://www.swimcloud.com/results/184276/event/14/?id=37389220#time37389220</t>
        </is>
      </c>
      <c r="AC2324" s="33" t="inlineStr">
        <is>
          <t>SwimCloud API v6 2026-10-08</t>
        </is>
      </c>
      <c r="AD2324" s="33" t="inlineStr">
        <is>
          <t>Luke Hobson|2020-11-13|LCM|200|Free|112.68|Toyota US Open|TIM|False</t>
        </is>
      </c>
      <c r="AE2324" s="53">
        <f>G2324+L2324/1000+ROW()/1000000000</f>
        <v/>
      </c>
      <c r="AF2324" s="35">
        <f>IF(C2324&lt;&gt;"Grayson Coulter","",COUNTIFS($C$5:$C$2991,"Grayson Coulter",$Q$5:$Q$2991,Q2324,$AE$5:$AE$2991,"&lt;="&amp;AE2324,$R$5:$R$2991,"&lt;"&amp;R2324))</f>
        <v/>
      </c>
      <c r="AG2324" s="35">
        <f>IF(OR(C2324&lt;&gt;"Grayson Coulter",G2324&lt;'00_Control'!$B$7),"",--(AF2324&lt;5))</f>
        <v/>
      </c>
      <c r="AH2324" s="35">
        <f>IF(OR(C2324&lt;&gt;"Grayson Coulter",G2324&lt;'00_Control'!$B$7),"",--(AF2324&lt;10))</f>
        <v/>
      </c>
      <c r="AI2324" s="35">
        <f>IF(AND(C2324="Grayson Coulter",G2324&gt;='00_Control'!$B$7),"YES","NO")</f>
        <v/>
      </c>
      <c r="AJ2324" s="33" t="inlineStr">
        <is>
          <t>OK</t>
        </is>
      </c>
    </row>
    <row r="2325">
      <c r="A2325" s="33" t="inlineStr">
        <is>
          <t>SM002321</t>
        </is>
      </c>
      <c r="B2325" s="33" t="inlineStr">
        <is>
          <t>SW014</t>
        </is>
      </c>
      <c r="C2325" s="33" t="inlineStr">
        <is>
          <t>Luke Hobson</t>
        </is>
      </c>
      <c r="D2325" s="33" t="inlineStr">
        <is>
          <t>SwimCloud</t>
        </is>
      </c>
      <c r="E2325" s="33" t="inlineStr">
        <is>
          <t>576911</t>
        </is>
      </c>
      <c r="F2325" s="33" t="inlineStr">
        <is>
          <t>37389777</t>
        </is>
      </c>
      <c r="G2325" s="51" t="n">
        <v>44148</v>
      </c>
      <c r="H2325" s="33" t="inlineStr">
        <is>
          <t>Toyota US Open</t>
        </is>
      </c>
      <c r="I2325" s="33" t="inlineStr">
        <is>
          <t>184276</t>
        </is>
      </c>
      <c r="J2325" s="33" t="inlineStr"/>
      <c r="K2325" s="33" t="inlineStr">
        <is>
          <t>TIM</t>
        </is>
      </c>
      <c r="L2325" s="35">
        <f>IF(K2325="FIN",3,IF(OR(K2325="SEM",K2325="SEMI"),2,IF(OR(K2325="PRE",K2325="HEAT"),1,IF(V2325="YES",4,2))))</f>
        <v/>
      </c>
      <c r="M2325" s="33" t="inlineStr">
        <is>
          <t>LCM</t>
        </is>
      </c>
      <c r="N2325" s="33" t="n">
        <v>400</v>
      </c>
      <c r="O2325" s="33" t="inlineStr">
        <is>
          <t>Free</t>
        </is>
      </c>
      <c r="P2325" s="33" t="inlineStr">
        <is>
          <t>400 Free</t>
        </is>
      </c>
      <c r="Q2325" s="33" t="inlineStr">
        <is>
          <t>LCM_400_FREE</t>
        </is>
      </c>
      <c r="R2325" s="36" t="n">
        <v>237.83</v>
      </c>
      <c r="S2325" s="35">
        <f>IF(R2325="","",IF(R2325&gt;=60,INT(R2325/60)&amp;":"&amp;TEXT(MOD(R2325,60),"00.00"),TEXT(R2325,"0.00")))</f>
        <v/>
      </c>
      <c r="T2325" s="52">
        <f>IFERROR((G2325-INDEX('01_Swimmers'!$E$5:$E$22,MATCH(B2325,'01_Swimmers'!$A$5:$A$22,0)))/'00_Control'!$B$10,"")</f>
        <v/>
      </c>
      <c r="U2325" s="35">
        <f>IF(T2325="","",INT(T2325))</f>
        <v/>
      </c>
      <c r="V2325" s="33" t="inlineStr">
        <is>
          <t>NO</t>
        </is>
      </c>
      <c r="W2325" s="33" t="inlineStr">
        <is>
          <t>YES</t>
        </is>
      </c>
      <c r="X2325" s="33" t="inlineStr">
        <is>
          <t>NO</t>
        </is>
      </c>
      <c r="Y2325" s="33" t="n">
        <v>19</v>
      </c>
      <c r="Z2325" s="33" t="n">
        <v>6</v>
      </c>
      <c r="AA2325" s="33" t="inlineStr">
        <is>
          <t>23</t>
        </is>
      </c>
      <c r="AB2325" s="33" t="inlineStr">
        <is>
          <t>https://www.swimcloud.com/results/184276/event/4/?id=37389777#time37389777</t>
        </is>
      </c>
      <c r="AC2325" s="33" t="inlineStr">
        <is>
          <t>SwimCloud API v6 2026-10-08</t>
        </is>
      </c>
      <c r="AD2325" s="33" t="inlineStr">
        <is>
          <t>Luke Hobson|2020-11-13|LCM|400|Free|237.83|Toyota US Open|TIM|False</t>
        </is>
      </c>
      <c r="AE2325" s="53">
        <f>G2325+L2325/1000+ROW()/1000000000</f>
        <v/>
      </c>
      <c r="AF2325" s="35">
        <f>IF(C2325&lt;&gt;"Grayson Coulter","",COUNTIFS($C$5:$C$2991,"Grayson Coulter",$Q$5:$Q$2991,Q2325,$AE$5:$AE$2991,"&lt;="&amp;AE2325,$R$5:$R$2991,"&lt;"&amp;R2325))</f>
        <v/>
      </c>
      <c r="AG2325" s="35">
        <f>IF(OR(C2325&lt;&gt;"Grayson Coulter",G2325&lt;'00_Control'!$B$7),"",--(AF2325&lt;5))</f>
        <v/>
      </c>
      <c r="AH2325" s="35">
        <f>IF(OR(C2325&lt;&gt;"Grayson Coulter",G2325&lt;'00_Control'!$B$7),"",--(AF2325&lt;10))</f>
        <v/>
      </c>
      <c r="AI2325" s="35">
        <f>IF(AND(C2325="Grayson Coulter",G2325&gt;='00_Control'!$B$7),"YES","NO")</f>
        <v/>
      </c>
      <c r="AJ2325" s="33" t="inlineStr">
        <is>
          <t>OK</t>
        </is>
      </c>
    </row>
    <row r="2326">
      <c r="A2326" s="33" t="inlineStr">
        <is>
          <t>SM002322</t>
        </is>
      </c>
      <c r="B2326" s="33" t="inlineStr">
        <is>
          <t>SW014</t>
        </is>
      </c>
      <c r="C2326" s="33" t="inlineStr">
        <is>
          <t>Luke Hobson</t>
        </is>
      </c>
      <c r="D2326" s="33" t="inlineStr">
        <is>
          <t>SwimCloud</t>
        </is>
      </c>
      <c r="E2326" s="33" t="inlineStr">
        <is>
          <t>576911</t>
        </is>
      </c>
      <c r="F2326" s="33" t="inlineStr">
        <is>
          <t>37388730</t>
        </is>
      </c>
      <c r="G2326" s="51" t="n">
        <v>44149</v>
      </c>
      <c r="H2326" s="33" t="inlineStr">
        <is>
          <t>Toyota US Open</t>
        </is>
      </c>
      <c r="I2326" s="33" t="inlineStr">
        <is>
          <t>184276</t>
        </is>
      </c>
      <c r="J2326" s="33" t="inlineStr"/>
      <c r="K2326" s="33" t="inlineStr">
        <is>
          <t>TIM</t>
        </is>
      </c>
      <c r="L2326" s="35">
        <f>IF(K2326="FIN",3,IF(OR(K2326="SEM",K2326="SEMI"),2,IF(OR(K2326="PRE",K2326="HEAT"),1,IF(V2326="YES",4,2))))</f>
        <v/>
      </c>
      <c r="M2326" s="33" t="inlineStr">
        <is>
          <t>LCM</t>
        </is>
      </c>
      <c r="N2326" s="33" t="n">
        <v>100</v>
      </c>
      <c r="O2326" s="33" t="inlineStr">
        <is>
          <t>Free</t>
        </is>
      </c>
      <c r="P2326" s="33" t="inlineStr">
        <is>
          <t>100 Free</t>
        </is>
      </c>
      <c r="Q2326" s="33" t="inlineStr">
        <is>
          <t>LCM_100_FREE</t>
        </is>
      </c>
      <c r="R2326" s="36" t="n">
        <v>55.73</v>
      </c>
      <c r="S2326" s="35">
        <f>IF(R2326="","",IF(R2326&gt;=60,INT(R2326/60)&amp;":"&amp;TEXT(MOD(R2326,60),"00.00"),TEXT(R2326,"0.00")))</f>
        <v/>
      </c>
      <c r="T2326" s="52">
        <f>IFERROR((G2326-INDEX('01_Swimmers'!$E$5:$E$22,MATCH(B2326,'01_Swimmers'!$A$5:$A$22,0)))/'00_Control'!$B$10,"")</f>
        <v/>
      </c>
      <c r="U2326" s="35">
        <f>IF(T2326="","",INT(T2326))</f>
        <v/>
      </c>
      <c r="V2326" s="33" t="inlineStr">
        <is>
          <t>NO</t>
        </is>
      </c>
      <c r="W2326" s="33" t="inlineStr">
        <is>
          <t>YES</t>
        </is>
      </c>
      <c r="X2326" s="33" t="inlineStr">
        <is>
          <t>NO</t>
        </is>
      </c>
      <c r="Y2326" s="33" t="n">
        <v>23</v>
      </c>
      <c r="Z2326" s="33" t="n">
        <v>6</v>
      </c>
      <c r="AA2326" s="33" t="inlineStr">
        <is>
          <t>143</t>
        </is>
      </c>
      <c r="AB2326" s="33" t="inlineStr">
        <is>
          <t>https://www.swimcloud.com/results/184276/event/24/?id=37388730#time37388730</t>
        </is>
      </c>
      <c r="AC2326" s="33" t="inlineStr">
        <is>
          <t>SwimCloud API v6 2026-10-08</t>
        </is>
      </c>
      <c r="AD2326" s="33" t="inlineStr">
        <is>
          <t>Luke Hobson|2020-11-14|LCM|100|Free|55.73|Toyota US Open|TIM|False</t>
        </is>
      </c>
      <c r="AE2326" s="53">
        <f>G2326+L2326/1000+ROW()/1000000000</f>
        <v/>
      </c>
      <c r="AF2326" s="35">
        <f>IF(C2326&lt;&gt;"Grayson Coulter","",COUNTIFS($C$5:$C$2991,"Grayson Coulter",$Q$5:$Q$2991,Q2326,$AE$5:$AE$2991,"&lt;="&amp;AE2326,$R$5:$R$2991,"&lt;"&amp;R2326))</f>
        <v/>
      </c>
      <c r="AG2326" s="35">
        <f>IF(OR(C2326&lt;&gt;"Grayson Coulter",G2326&lt;'00_Control'!$B$7),"",--(AF2326&lt;5))</f>
        <v/>
      </c>
      <c r="AH2326" s="35">
        <f>IF(OR(C2326&lt;&gt;"Grayson Coulter",G2326&lt;'00_Control'!$B$7),"",--(AF2326&lt;10))</f>
        <v/>
      </c>
      <c r="AI2326" s="35">
        <f>IF(AND(C2326="Grayson Coulter",G2326&gt;='00_Control'!$B$7),"YES","NO")</f>
        <v/>
      </c>
      <c r="AJ2326" s="33" t="inlineStr">
        <is>
          <t>OK</t>
        </is>
      </c>
    </row>
    <row r="2327">
      <c r="A2327" s="33" t="inlineStr">
        <is>
          <t>SM002323</t>
        </is>
      </c>
      <c r="B2327" s="33" t="inlineStr">
        <is>
          <t>SW014</t>
        </is>
      </c>
      <c r="C2327" s="33" t="inlineStr">
        <is>
          <t>Luke Hobson</t>
        </is>
      </c>
      <c r="D2327" s="33" t="inlineStr">
        <is>
          <t>SwimCloud</t>
        </is>
      </c>
      <c r="E2327" s="33" t="inlineStr">
        <is>
          <t>576911</t>
        </is>
      </c>
      <c r="F2327" s="33" t="inlineStr">
        <is>
          <t>40548742</t>
        </is>
      </c>
      <c r="G2327" s="51" t="n">
        <v>44266</v>
      </c>
      <c r="H2327" s="33" t="inlineStr">
        <is>
          <t>Sectional LONG COURSE TIME TRIALS</t>
        </is>
      </c>
      <c r="I2327" s="33" t="inlineStr">
        <is>
          <t>195474</t>
        </is>
      </c>
      <c r="J2327" s="33" t="inlineStr"/>
      <c r="K2327" s="33" t="inlineStr">
        <is>
          <t>TIM</t>
        </is>
      </c>
      <c r="L2327" s="35">
        <f>IF(K2327="FIN",3,IF(OR(K2327="SEM",K2327="SEMI"),2,IF(OR(K2327="PRE",K2327="HEAT"),1,IF(V2327="YES",4,2))))</f>
        <v/>
      </c>
      <c r="M2327" s="33" t="inlineStr">
        <is>
          <t>LCM</t>
        </is>
      </c>
      <c r="N2327" s="33" t="n">
        <v>200</v>
      </c>
      <c r="O2327" s="33" t="inlineStr">
        <is>
          <t>Free</t>
        </is>
      </c>
      <c r="P2327" s="33" t="inlineStr">
        <is>
          <t>200 Free</t>
        </is>
      </c>
      <c r="Q2327" s="33" t="inlineStr">
        <is>
          <t>LCM_200_FREE</t>
        </is>
      </c>
      <c r="R2327" s="36" t="n">
        <v>112.67</v>
      </c>
      <c r="S2327" s="35">
        <f>IF(R2327="","",IF(R2327&gt;=60,INT(R2327/60)&amp;":"&amp;TEXT(MOD(R2327,60),"00.00"),TEXT(R2327,"0.00")))</f>
        <v/>
      </c>
      <c r="T2327" s="52">
        <f>IFERROR((G2327-INDEX('01_Swimmers'!$E$5:$E$22,MATCH(B2327,'01_Swimmers'!$A$5:$A$22,0)))/'00_Control'!$B$10,"")</f>
        <v/>
      </c>
      <c r="U2327" s="35">
        <f>IF(T2327="","",INT(T2327))</f>
        <v/>
      </c>
      <c r="V2327" s="33" t="inlineStr">
        <is>
          <t>NO</t>
        </is>
      </c>
      <c r="W2327" s="33" t="inlineStr">
        <is>
          <t>YES</t>
        </is>
      </c>
      <c r="X2327" s="33" t="inlineStr">
        <is>
          <t>NO</t>
        </is>
      </c>
      <c r="Y2327" s="33" t="n">
        <v>1</v>
      </c>
      <c r="Z2327" s="33" t="n">
        <v>3</v>
      </c>
      <c r="AA2327" s="33" t="inlineStr">
        <is>
          <t>1</t>
        </is>
      </c>
      <c r="AB2327" s="33" t="inlineStr">
        <is>
          <t>https://www.swimcloud.com/results/195474/event/14/?id=40548742#time40548742</t>
        </is>
      </c>
      <c r="AC2327" s="33" t="inlineStr">
        <is>
          <t>SwimCloud API v6 2026-10-08</t>
        </is>
      </c>
      <c r="AD2327" s="33" t="inlineStr">
        <is>
          <t>Luke Hobson|2021-03-11|LCM|200|Free|112.67|Sectional LONG COURSE TIME TRIALS|TIM|False</t>
        </is>
      </c>
      <c r="AE2327" s="53">
        <f>G2327+L2327/1000+ROW()/1000000000</f>
        <v/>
      </c>
      <c r="AF2327" s="35">
        <f>IF(C2327&lt;&gt;"Grayson Coulter","",COUNTIFS($C$5:$C$2991,"Grayson Coulter",$Q$5:$Q$2991,Q2327,$AE$5:$AE$2991,"&lt;="&amp;AE2327,$R$5:$R$2991,"&lt;"&amp;R2327))</f>
        <v/>
      </c>
      <c r="AG2327" s="35">
        <f>IF(OR(C2327&lt;&gt;"Grayson Coulter",G2327&lt;'00_Control'!$B$7),"",--(AF2327&lt;5))</f>
        <v/>
      </c>
      <c r="AH2327" s="35">
        <f>IF(OR(C2327&lt;&gt;"Grayson Coulter",G2327&lt;'00_Control'!$B$7),"",--(AF2327&lt;10))</f>
        <v/>
      </c>
      <c r="AI2327" s="35">
        <f>IF(AND(C2327="Grayson Coulter",G2327&gt;='00_Control'!$B$7),"YES","NO")</f>
        <v/>
      </c>
      <c r="AJ2327" s="33" t="inlineStr">
        <is>
          <t>OK</t>
        </is>
      </c>
    </row>
    <row r="2328">
      <c r="A2328" s="33" t="inlineStr">
        <is>
          <t>SM002324</t>
        </is>
      </c>
      <c r="B2328" s="33" t="inlineStr">
        <is>
          <t>SW014</t>
        </is>
      </c>
      <c r="C2328" s="33" t="inlineStr">
        <is>
          <t>Luke Hobson</t>
        </is>
      </c>
      <c r="D2328" s="33" t="inlineStr">
        <is>
          <t>SwimCloud</t>
        </is>
      </c>
      <c r="E2328" s="33" t="inlineStr">
        <is>
          <t>576911</t>
        </is>
      </c>
      <c r="F2328" s="33" t="inlineStr">
        <is>
          <t>40548700</t>
        </is>
      </c>
      <c r="G2328" s="51" t="n">
        <v>44266</v>
      </c>
      <c r="H2328" s="33" t="inlineStr">
        <is>
          <t>Sectional LONG COURSE TIME TRIALS</t>
        </is>
      </c>
      <c r="I2328" s="33" t="inlineStr">
        <is>
          <t>195474</t>
        </is>
      </c>
      <c r="J2328" s="33" t="inlineStr"/>
      <c r="K2328" s="33" t="inlineStr">
        <is>
          <t>TIM</t>
        </is>
      </c>
      <c r="L2328" s="35">
        <f>IF(K2328="FIN",3,IF(OR(K2328="SEM",K2328="SEMI"),2,IF(OR(K2328="PRE",K2328="HEAT"),1,IF(V2328="YES",4,2))))</f>
        <v/>
      </c>
      <c r="M2328" s="33" t="inlineStr">
        <is>
          <t>LCM</t>
        </is>
      </c>
      <c r="N2328" s="33" t="n">
        <v>400</v>
      </c>
      <c r="O2328" s="33" t="inlineStr">
        <is>
          <t>Free</t>
        </is>
      </c>
      <c r="P2328" s="33" t="inlineStr">
        <is>
          <t>400 Free</t>
        </is>
      </c>
      <c r="Q2328" s="33" t="inlineStr">
        <is>
          <t>LCM_400_FREE</t>
        </is>
      </c>
      <c r="R2328" s="36" t="n">
        <v>236.08</v>
      </c>
      <c r="S2328" s="35">
        <f>IF(R2328="","",IF(R2328&gt;=60,INT(R2328/60)&amp;":"&amp;TEXT(MOD(R2328,60),"00.00"),TEXT(R2328,"0.00")))</f>
        <v/>
      </c>
      <c r="T2328" s="52">
        <f>IFERROR((G2328-INDEX('01_Swimmers'!$E$5:$E$22,MATCH(B2328,'01_Swimmers'!$A$5:$A$22,0)))/'00_Control'!$B$10,"")</f>
        <v/>
      </c>
      <c r="U2328" s="35">
        <f>IF(T2328="","",INT(T2328))</f>
        <v/>
      </c>
      <c r="V2328" s="33" t="inlineStr">
        <is>
          <t>NO</t>
        </is>
      </c>
      <c r="W2328" s="33" t="inlineStr">
        <is>
          <t>YES</t>
        </is>
      </c>
      <c r="X2328" s="33" t="inlineStr">
        <is>
          <t>NO</t>
        </is>
      </c>
      <c r="Y2328" s="33" t="n">
        <v>1</v>
      </c>
      <c r="Z2328" s="33" t="n">
        <v>4</v>
      </c>
      <c r="AA2328" s="33" t="inlineStr">
        <is>
          <t>1</t>
        </is>
      </c>
      <c r="AB2328" s="33" t="inlineStr">
        <is>
          <t>https://www.swimcloud.com/results/195474/event/4/?id=40548700#time40548700</t>
        </is>
      </c>
      <c r="AC2328" s="33" t="inlineStr">
        <is>
          <t>SwimCloud API v6 2026-10-08</t>
        </is>
      </c>
      <c r="AD2328" s="33" t="inlineStr">
        <is>
          <t>Luke Hobson|2021-03-11|LCM|400|Free|236.08|Sectional LONG COURSE TIME TRIALS|TIM|False</t>
        </is>
      </c>
      <c r="AE2328" s="53">
        <f>G2328+L2328/1000+ROW()/1000000000</f>
        <v/>
      </c>
      <c r="AF2328" s="35">
        <f>IF(C2328&lt;&gt;"Grayson Coulter","",COUNTIFS($C$5:$C$2991,"Grayson Coulter",$Q$5:$Q$2991,Q2328,$AE$5:$AE$2991,"&lt;="&amp;AE2328,$R$5:$R$2991,"&lt;"&amp;R2328))</f>
        <v/>
      </c>
      <c r="AG2328" s="35">
        <f>IF(OR(C2328&lt;&gt;"Grayson Coulter",G2328&lt;'00_Control'!$B$7),"",--(AF2328&lt;5))</f>
        <v/>
      </c>
      <c r="AH2328" s="35">
        <f>IF(OR(C2328&lt;&gt;"Grayson Coulter",G2328&lt;'00_Control'!$B$7),"",--(AF2328&lt;10))</f>
        <v/>
      </c>
      <c r="AI2328" s="35">
        <f>IF(AND(C2328="Grayson Coulter",G2328&gt;='00_Control'!$B$7),"YES","NO")</f>
        <v/>
      </c>
      <c r="AJ2328" s="33" t="inlineStr">
        <is>
          <t>OK</t>
        </is>
      </c>
    </row>
    <row r="2329">
      <c r="A2329" s="33" t="inlineStr">
        <is>
          <t>SM002325</t>
        </is>
      </c>
      <c r="B2329" s="33" t="inlineStr">
        <is>
          <t>SW014</t>
        </is>
      </c>
      <c r="C2329" s="33" t="inlineStr">
        <is>
          <t>Luke Hobson</t>
        </is>
      </c>
      <c r="D2329" s="33" t="inlineStr">
        <is>
          <t>SwimCloud</t>
        </is>
      </c>
      <c r="E2329" s="33" t="inlineStr">
        <is>
          <t>576911</t>
        </is>
      </c>
      <c r="F2329" s="33" t="inlineStr">
        <is>
          <t>41642368</t>
        </is>
      </c>
      <c r="G2329" s="51" t="n">
        <v>44316</v>
      </c>
      <c r="H2329" s="33" t="inlineStr">
        <is>
          <t>2021 IA TYR 18 &amp; Under Spring Cup - Des Moines</t>
        </is>
      </c>
      <c r="I2329" s="33" t="inlineStr">
        <is>
          <t>196090</t>
        </is>
      </c>
      <c r="J2329" s="33" t="inlineStr"/>
      <c r="K2329" s="33" t="inlineStr">
        <is>
          <t>PRE</t>
        </is>
      </c>
      <c r="L2329" s="35">
        <f>IF(K2329="FIN",3,IF(OR(K2329="SEM",K2329="SEMI"),2,IF(OR(K2329="PRE",K2329="HEAT"),1,IF(V2329="YES",4,2))))</f>
        <v/>
      </c>
      <c r="M2329" s="33" t="inlineStr">
        <is>
          <t>LCM</t>
        </is>
      </c>
      <c r="N2329" s="33" t="n">
        <v>200</v>
      </c>
      <c r="O2329" s="33" t="inlineStr">
        <is>
          <t>Free</t>
        </is>
      </c>
      <c r="P2329" s="33" t="inlineStr">
        <is>
          <t>200 Free</t>
        </is>
      </c>
      <c r="Q2329" s="33" t="inlineStr">
        <is>
          <t>LCM_200_FREE</t>
        </is>
      </c>
      <c r="R2329" s="36" t="n">
        <v>110.4</v>
      </c>
      <c r="S2329" s="35">
        <f>IF(R2329="","",IF(R2329&gt;=60,INT(R2329/60)&amp;":"&amp;TEXT(MOD(R2329,60),"00.00"),TEXT(R2329,"0.00")))</f>
        <v/>
      </c>
      <c r="T2329" s="52">
        <f>IFERROR((G2329-INDEX('01_Swimmers'!$E$5:$E$22,MATCH(B2329,'01_Swimmers'!$A$5:$A$22,0)))/'00_Control'!$B$10,"")</f>
        <v/>
      </c>
      <c r="U2329" s="35">
        <f>IF(T2329="","",INT(T2329))</f>
        <v/>
      </c>
      <c r="V2329" s="33" t="inlineStr">
        <is>
          <t>NO</t>
        </is>
      </c>
      <c r="W2329" s="33" t="inlineStr">
        <is>
          <t>YES</t>
        </is>
      </c>
      <c r="X2329" s="33" t="inlineStr">
        <is>
          <t>NO</t>
        </is>
      </c>
      <c r="Y2329" s="33" t="n">
        <v>4</v>
      </c>
      <c r="Z2329" s="33" t="n">
        <v>4</v>
      </c>
      <c r="AA2329" s="33" t="inlineStr">
        <is>
          <t>1</t>
        </is>
      </c>
      <c r="AB2329" s="33" t="inlineStr">
        <is>
          <t>https://www.swimcloud.com/results/196090/event/4/?id=41642368#time41642368</t>
        </is>
      </c>
      <c r="AC2329" s="33" t="inlineStr">
        <is>
          <t>SwimCloud API v6 2026-10-08</t>
        </is>
      </c>
      <c r="AD2329" s="33" t="inlineStr">
        <is>
          <t>Luke Hobson|2021-04-30|LCM|200|Free|110.4|2021 IA TYR 18 &amp; Under Spring Cup - Des Moines|PRE|False</t>
        </is>
      </c>
      <c r="AE2329" s="53">
        <f>G2329+L2329/1000+ROW()/1000000000</f>
        <v/>
      </c>
      <c r="AF2329" s="35">
        <f>IF(C2329&lt;&gt;"Grayson Coulter","",COUNTIFS($C$5:$C$2991,"Grayson Coulter",$Q$5:$Q$2991,Q2329,$AE$5:$AE$2991,"&lt;="&amp;AE2329,$R$5:$R$2991,"&lt;"&amp;R2329))</f>
        <v/>
      </c>
      <c r="AG2329" s="35">
        <f>IF(OR(C2329&lt;&gt;"Grayson Coulter",G2329&lt;'00_Control'!$B$7),"",--(AF2329&lt;5))</f>
        <v/>
      </c>
      <c r="AH2329" s="35">
        <f>IF(OR(C2329&lt;&gt;"Grayson Coulter",G2329&lt;'00_Control'!$B$7),"",--(AF2329&lt;10))</f>
        <v/>
      </c>
      <c r="AI2329" s="35">
        <f>IF(AND(C2329="Grayson Coulter",G2329&gt;='00_Control'!$B$7),"YES","NO")</f>
        <v/>
      </c>
      <c r="AJ2329" s="33" t="inlineStr">
        <is>
          <t>OK</t>
        </is>
      </c>
    </row>
    <row r="2330">
      <c r="A2330" s="33" t="inlineStr">
        <is>
          <t>SM002326</t>
        </is>
      </c>
      <c r="B2330" s="33" t="inlineStr">
        <is>
          <t>SW014</t>
        </is>
      </c>
      <c r="C2330" s="33" t="inlineStr">
        <is>
          <t>Luke Hobson</t>
        </is>
      </c>
      <c r="D2330" s="33" t="inlineStr">
        <is>
          <t>SwimCloud</t>
        </is>
      </c>
      <c r="E2330" s="33" t="inlineStr">
        <is>
          <t>576911</t>
        </is>
      </c>
      <c r="F2330" s="33" t="inlineStr">
        <is>
          <t>41642369</t>
        </is>
      </c>
      <c r="G2330" s="51" t="n">
        <v>44316</v>
      </c>
      <c r="H2330" s="33" t="inlineStr">
        <is>
          <t>2021 IA TYR 18 &amp; Under Spring Cup - Des Moines</t>
        </is>
      </c>
      <c r="I2330" s="33" t="inlineStr">
        <is>
          <t>196090</t>
        </is>
      </c>
      <c r="J2330" s="33" t="inlineStr"/>
      <c r="K2330" s="33" t="inlineStr">
        <is>
          <t>FIN</t>
        </is>
      </c>
      <c r="L2330" s="35">
        <f>IF(K2330="FIN",3,IF(OR(K2330="SEM",K2330="SEMI"),2,IF(OR(K2330="PRE",K2330="HEAT"),1,IF(V2330="YES",4,2))))</f>
        <v/>
      </c>
      <c r="M2330" s="33" t="inlineStr">
        <is>
          <t>LCM</t>
        </is>
      </c>
      <c r="N2330" s="33" t="n">
        <v>200</v>
      </c>
      <c r="O2330" s="33" t="inlineStr">
        <is>
          <t>Free</t>
        </is>
      </c>
      <c r="P2330" s="33" t="inlineStr">
        <is>
          <t>200 Free</t>
        </is>
      </c>
      <c r="Q2330" s="33" t="inlineStr">
        <is>
          <t>LCM_200_FREE</t>
        </is>
      </c>
      <c r="R2330" s="36" t="n">
        <v>109.44</v>
      </c>
      <c r="S2330" s="35">
        <f>IF(R2330="","",IF(R2330&gt;=60,INT(R2330/60)&amp;":"&amp;TEXT(MOD(R2330,60),"00.00"),TEXT(R2330,"0.00")))</f>
        <v/>
      </c>
      <c r="T2330" s="52">
        <f>IFERROR((G2330-INDEX('01_Swimmers'!$E$5:$E$22,MATCH(B2330,'01_Swimmers'!$A$5:$A$22,0)))/'00_Control'!$B$10,"")</f>
        <v/>
      </c>
      <c r="U2330" s="35">
        <f>IF(T2330="","",INT(T2330))</f>
        <v/>
      </c>
      <c r="V2330" s="33" t="inlineStr">
        <is>
          <t>NO</t>
        </is>
      </c>
      <c r="W2330" s="33" t="inlineStr">
        <is>
          <t>YES</t>
        </is>
      </c>
      <c r="X2330" s="33" t="inlineStr">
        <is>
          <t>NO</t>
        </is>
      </c>
      <c r="Y2330" s="33" t="n">
        <v>3</v>
      </c>
      <c r="Z2330" s="33" t="n">
        <v>4</v>
      </c>
      <c r="AA2330" s="33" t="inlineStr">
        <is>
          <t>1</t>
        </is>
      </c>
      <c r="AB2330" s="33" t="inlineStr">
        <is>
          <t>https://www.swimcloud.com/results/196090/event/4/?id=41642369#time41642369</t>
        </is>
      </c>
      <c r="AC2330" s="33" t="inlineStr">
        <is>
          <t>SwimCloud API v6 2026-10-08</t>
        </is>
      </c>
      <c r="AD2330" s="33" t="inlineStr">
        <is>
          <t>Luke Hobson|2021-04-30|LCM|200|Free|109.44|2021 IA TYR 18 &amp; Under Spring Cup - Des Moines|FIN|False</t>
        </is>
      </c>
      <c r="AE2330" s="53">
        <f>G2330+L2330/1000+ROW()/1000000000</f>
        <v/>
      </c>
      <c r="AF2330" s="35">
        <f>IF(C2330&lt;&gt;"Grayson Coulter","",COUNTIFS($C$5:$C$2991,"Grayson Coulter",$Q$5:$Q$2991,Q2330,$AE$5:$AE$2991,"&lt;="&amp;AE2330,$R$5:$R$2991,"&lt;"&amp;R2330))</f>
        <v/>
      </c>
      <c r="AG2330" s="35">
        <f>IF(OR(C2330&lt;&gt;"Grayson Coulter",G2330&lt;'00_Control'!$B$7),"",--(AF2330&lt;5))</f>
        <v/>
      </c>
      <c r="AH2330" s="35">
        <f>IF(OR(C2330&lt;&gt;"Grayson Coulter",G2330&lt;'00_Control'!$B$7),"",--(AF2330&lt;10))</f>
        <v/>
      </c>
      <c r="AI2330" s="35">
        <f>IF(AND(C2330="Grayson Coulter",G2330&gt;='00_Control'!$B$7),"YES","NO")</f>
        <v/>
      </c>
      <c r="AJ2330" s="33" t="inlineStr">
        <is>
          <t>OK</t>
        </is>
      </c>
    </row>
    <row r="2331">
      <c r="A2331" s="33" t="inlineStr">
        <is>
          <t>SM002327</t>
        </is>
      </c>
      <c r="B2331" s="33" t="inlineStr">
        <is>
          <t>SW014</t>
        </is>
      </c>
      <c r="C2331" s="33" t="inlineStr">
        <is>
          <t>Luke Hobson</t>
        </is>
      </c>
      <c r="D2331" s="33" t="inlineStr">
        <is>
          <t>SwimCloud</t>
        </is>
      </c>
      <c r="E2331" s="33" t="inlineStr">
        <is>
          <t>576911</t>
        </is>
      </c>
      <c r="F2331" s="33" t="inlineStr">
        <is>
          <t>41642622</t>
        </is>
      </c>
      <c r="G2331" s="51" t="n">
        <v>44317</v>
      </c>
      <c r="H2331" s="33" t="inlineStr">
        <is>
          <t>2021 IA TYR 18 &amp; Under Spring Cup - Des Moines</t>
        </is>
      </c>
      <c r="I2331" s="33" t="inlineStr">
        <is>
          <t>196090</t>
        </is>
      </c>
      <c r="J2331" s="33" t="inlineStr"/>
      <c r="K2331" s="33" t="inlineStr">
        <is>
          <t>PRE</t>
        </is>
      </c>
      <c r="L2331" s="35">
        <f>IF(K2331="FIN",3,IF(OR(K2331="SEM",K2331="SEMI"),2,IF(OR(K2331="PRE",K2331="HEAT"),1,IF(V2331="YES",4,2))))</f>
        <v/>
      </c>
      <c r="M2331" s="33" t="inlineStr">
        <is>
          <t>LCM</t>
        </is>
      </c>
      <c r="N2331" s="33" t="n">
        <v>400</v>
      </c>
      <c r="O2331" s="33" t="inlineStr">
        <is>
          <t>Free</t>
        </is>
      </c>
      <c r="P2331" s="33" t="inlineStr">
        <is>
          <t>400 Free</t>
        </is>
      </c>
      <c r="Q2331" s="33" t="inlineStr">
        <is>
          <t>LCM_400_FREE</t>
        </is>
      </c>
      <c r="R2331" s="36" t="n">
        <v>241.69</v>
      </c>
      <c r="S2331" s="35">
        <f>IF(R2331="","",IF(R2331&gt;=60,INT(R2331/60)&amp;":"&amp;TEXT(MOD(R2331,60),"00.00"),TEXT(R2331,"0.00")))</f>
        <v/>
      </c>
      <c r="T2331" s="52">
        <f>IFERROR((G2331-INDEX('01_Swimmers'!$E$5:$E$22,MATCH(B2331,'01_Swimmers'!$A$5:$A$22,0)))/'00_Control'!$B$10,"")</f>
        <v/>
      </c>
      <c r="U2331" s="35">
        <f>IF(T2331="","",INT(T2331))</f>
        <v/>
      </c>
      <c r="V2331" s="33" t="inlineStr">
        <is>
          <t>NO</t>
        </is>
      </c>
      <c r="W2331" s="33" t="inlineStr">
        <is>
          <t>YES</t>
        </is>
      </c>
      <c r="X2331" s="33" t="inlineStr">
        <is>
          <t>NO</t>
        </is>
      </c>
      <c r="Y2331" s="33" t="n">
        <v>3</v>
      </c>
      <c r="Z2331" s="33" t="n">
        <v>4</v>
      </c>
      <c r="AA2331" s="33" t="inlineStr">
        <is>
          <t>1</t>
        </is>
      </c>
      <c r="AB2331" s="33" t="inlineStr">
        <is>
          <t>https://www.swimcloud.com/results/196090/event/20/?id=41642622#time41642622</t>
        </is>
      </c>
      <c r="AC2331" s="33" t="inlineStr">
        <is>
          <t>SwimCloud API v6 2026-10-08</t>
        </is>
      </c>
      <c r="AD2331" s="33" t="inlineStr">
        <is>
          <t>Luke Hobson|2021-05-01|LCM|400|Free|241.69|2021 IA TYR 18 &amp; Under Spring Cup - Des Moines|PRE|False</t>
        </is>
      </c>
      <c r="AE2331" s="53">
        <f>G2331+L2331/1000+ROW()/1000000000</f>
        <v/>
      </c>
      <c r="AF2331" s="35">
        <f>IF(C2331&lt;&gt;"Grayson Coulter","",COUNTIFS($C$5:$C$2991,"Grayson Coulter",$Q$5:$Q$2991,Q2331,$AE$5:$AE$2991,"&lt;="&amp;AE2331,$R$5:$R$2991,"&lt;"&amp;R2331))</f>
        <v/>
      </c>
      <c r="AG2331" s="35">
        <f>IF(OR(C2331&lt;&gt;"Grayson Coulter",G2331&lt;'00_Control'!$B$7),"",--(AF2331&lt;5))</f>
        <v/>
      </c>
      <c r="AH2331" s="35">
        <f>IF(OR(C2331&lt;&gt;"Grayson Coulter",G2331&lt;'00_Control'!$B$7),"",--(AF2331&lt;10))</f>
        <v/>
      </c>
      <c r="AI2331" s="35">
        <f>IF(AND(C2331="Grayson Coulter",G2331&gt;='00_Control'!$B$7),"YES","NO")</f>
        <v/>
      </c>
      <c r="AJ2331" s="33" t="inlineStr">
        <is>
          <t>OK</t>
        </is>
      </c>
    </row>
    <row r="2332">
      <c r="A2332" s="33" t="inlineStr">
        <is>
          <t>SM002328</t>
        </is>
      </c>
      <c r="B2332" s="33" t="inlineStr">
        <is>
          <t>SW014</t>
        </is>
      </c>
      <c r="C2332" s="33" t="inlineStr">
        <is>
          <t>Luke Hobson</t>
        </is>
      </c>
      <c r="D2332" s="33" t="inlineStr">
        <is>
          <t>SwimCloud</t>
        </is>
      </c>
      <c r="E2332" s="33" t="inlineStr">
        <is>
          <t>576911</t>
        </is>
      </c>
      <c r="F2332" s="33" t="inlineStr">
        <is>
          <t>41642623</t>
        </is>
      </c>
      <c r="G2332" s="51" t="n">
        <v>44317</v>
      </c>
      <c r="H2332" s="33" t="inlineStr">
        <is>
          <t>2021 IA TYR 18 &amp; Under Spring Cup - Des Moines</t>
        </is>
      </c>
      <c r="I2332" s="33" t="inlineStr">
        <is>
          <t>196090</t>
        </is>
      </c>
      <c r="J2332" s="33" t="inlineStr"/>
      <c r="K2332" s="33" t="inlineStr">
        <is>
          <t>FIN</t>
        </is>
      </c>
      <c r="L2332" s="35">
        <f>IF(K2332="FIN",3,IF(OR(K2332="SEM",K2332="SEMI"),2,IF(OR(K2332="PRE",K2332="HEAT"),1,IF(V2332="YES",4,2))))</f>
        <v/>
      </c>
      <c r="M2332" s="33" t="inlineStr">
        <is>
          <t>LCM</t>
        </is>
      </c>
      <c r="N2332" s="33" t="n">
        <v>400</v>
      </c>
      <c r="O2332" s="33" t="inlineStr">
        <is>
          <t>Free</t>
        </is>
      </c>
      <c r="P2332" s="33" t="inlineStr">
        <is>
          <t>400 Free</t>
        </is>
      </c>
      <c r="Q2332" s="33" t="inlineStr">
        <is>
          <t>LCM_400_FREE</t>
        </is>
      </c>
      <c r="R2332" s="36" t="n">
        <v>236.55</v>
      </c>
      <c r="S2332" s="35">
        <f>IF(R2332="","",IF(R2332&gt;=60,INT(R2332/60)&amp;":"&amp;TEXT(MOD(R2332,60),"00.00"),TEXT(R2332,"0.00")))</f>
        <v/>
      </c>
      <c r="T2332" s="52">
        <f>IFERROR((G2332-INDEX('01_Swimmers'!$E$5:$E$22,MATCH(B2332,'01_Swimmers'!$A$5:$A$22,0)))/'00_Control'!$B$10,"")</f>
        <v/>
      </c>
      <c r="U2332" s="35">
        <f>IF(T2332="","",INT(T2332))</f>
        <v/>
      </c>
      <c r="V2332" s="33" t="inlineStr">
        <is>
          <t>NO</t>
        </is>
      </c>
      <c r="W2332" s="33" t="inlineStr">
        <is>
          <t>YES</t>
        </is>
      </c>
      <c r="X2332" s="33" t="inlineStr">
        <is>
          <t>NO</t>
        </is>
      </c>
      <c r="Y2332" s="33" t="n">
        <v>3</v>
      </c>
      <c r="Z2332" s="33" t="n">
        <v>4</v>
      </c>
      <c r="AA2332" s="33" t="inlineStr">
        <is>
          <t>1</t>
        </is>
      </c>
      <c r="AB2332" s="33" t="inlineStr">
        <is>
          <t>https://www.swimcloud.com/results/196090/event/20/?id=41642623#time41642623</t>
        </is>
      </c>
      <c r="AC2332" s="33" t="inlineStr">
        <is>
          <t>SwimCloud API v6 2026-10-08</t>
        </is>
      </c>
      <c r="AD2332" s="33" t="inlineStr">
        <is>
          <t>Luke Hobson|2021-05-01|LCM|400|Free|236.55|2021 IA TYR 18 &amp; Under Spring Cup - Des Moines|FIN|False</t>
        </is>
      </c>
      <c r="AE2332" s="53">
        <f>G2332+L2332/1000+ROW()/1000000000</f>
        <v/>
      </c>
      <c r="AF2332" s="35">
        <f>IF(C2332&lt;&gt;"Grayson Coulter","",COUNTIFS($C$5:$C$2991,"Grayson Coulter",$Q$5:$Q$2991,Q2332,$AE$5:$AE$2991,"&lt;="&amp;AE2332,$R$5:$R$2991,"&lt;"&amp;R2332))</f>
        <v/>
      </c>
      <c r="AG2332" s="35">
        <f>IF(OR(C2332&lt;&gt;"Grayson Coulter",G2332&lt;'00_Control'!$B$7),"",--(AF2332&lt;5))</f>
        <v/>
      </c>
      <c r="AH2332" s="35">
        <f>IF(OR(C2332&lt;&gt;"Grayson Coulter",G2332&lt;'00_Control'!$B$7),"",--(AF2332&lt;10))</f>
        <v/>
      </c>
      <c r="AI2332" s="35">
        <f>IF(AND(C2332="Grayson Coulter",G2332&gt;='00_Control'!$B$7),"YES","NO")</f>
        <v/>
      </c>
      <c r="AJ2332" s="33" t="inlineStr">
        <is>
          <t>OK</t>
        </is>
      </c>
    </row>
    <row r="2333">
      <c r="A2333" s="33" t="inlineStr">
        <is>
          <t>SM002329</t>
        </is>
      </c>
      <c r="B2333" s="33" t="inlineStr">
        <is>
          <t>SW014</t>
        </is>
      </c>
      <c r="C2333" s="33" t="inlineStr">
        <is>
          <t>Luke Hobson</t>
        </is>
      </c>
      <c r="D2333" s="33" t="inlineStr">
        <is>
          <t>SwimCloud</t>
        </is>
      </c>
      <c r="E2333" s="33" t="inlineStr">
        <is>
          <t>576911</t>
        </is>
      </c>
      <c r="F2333" s="33" t="inlineStr">
        <is>
          <t>41642513</t>
        </is>
      </c>
      <c r="G2333" s="51" t="n">
        <v>44318</v>
      </c>
      <c r="H2333" s="33" t="inlineStr">
        <is>
          <t>2021 IA TYR 18 &amp; Under Spring Cup - Des Moines</t>
        </is>
      </c>
      <c r="I2333" s="33" t="inlineStr">
        <is>
          <t>196090</t>
        </is>
      </c>
      <c r="J2333" s="33" t="inlineStr"/>
      <c r="K2333" s="33" t="inlineStr">
        <is>
          <t>PRE</t>
        </is>
      </c>
      <c r="L2333" s="35">
        <f>IF(K2333="FIN",3,IF(OR(K2333="SEM",K2333="SEMI"),2,IF(OR(K2333="PRE",K2333="HEAT"),1,IF(V2333="YES",4,2))))</f>
        <v/>
      </c>
      <c r="M2333" s="33" t="inlineStr">
        <is>
          <t>LCM</t>
        </is>
      </c>
      <c r="N2333" s="33" t="n">
        <v>100</v>
      </c>
      <c r="O2333" s="33" t="inlineStr">
        <is>
          <t>Free</t>
        </is>
      </c>
      <c r="P2333" s="33" t="inlineStr">
        <is>
          <t>100 Free</t>
        </is>
      </c>
      <c r="Q2333" s="33" t="inlineStr">
        <is>
          <t>LCM_100_FREE</t>
        </is>
      </c>
      <c r="R2333" s="36" t="n">
        <v>51.23</v>
      </c>
      <c r="S2333" s="35">
        <f>IF(R2333="","",IF(R2333&gt;=60,INT(R2333/60)&amp;":"&amp;TEXT(MOD(R2333,60),"00.00"),TEXT(R2333,"0.00")))</f>
        <v/>
      </c>
      <c r="T2333" s="52">
        <f>IFERROR((G2333-INDEX('01_Swimmers'!$E$5:$E$22,MATCH(B2333,'01_Swimmers'!$A$5:$A$22,0)))/'00_Control'!$B$10,"")</f>
        <v/>
      </c>
      <c r="U2333" s="35">
        <f>IF(T2333="","",INT(T2333))</f>
        <v/>
      </c>
      <c r="V2333" s="33" t="inlineStr">
        <is>
          <t>NO</t>
        </is>
      </c>
      <c r="W2333" s="33" t="inlineStr">
        <is>
          <t>YES</t>
        </is>
      </c>
      <c r="X2333" s="33" t="inlineStr">
        <is>
          <t>NO</t>
        </is>
      </c>
      <c r="Y2333" s="33" t="n">
        <v>6</v>
      </c>
      <c r="Z2333" s="33" t="n">
        <v>3</v>
      </c>
      <c r="AA2333" s="33" t="inlineStr">
        <is>
          <t>2</t>
        </is>
      </c>
      <c r="AB2333" s="33" t="inlineStr">
        <is>
          <t>https://www.swimcloud.com/results/196090/event/22/?id=41642513#time41642513</t>
        </is>
      </c>
      <c r="AC2333" s="33" t="inlineStr">
        <is>
          <t>SwimCloud API v6 2026-10-08</t>
        </is>
      </c>
      <c r="AD2333" s="33" t="inlineStr">
        <is>
          <t>Luke Hobson|2021-05-02|LCM|100|Free|51.23|2021 IA TYR 18 &amp; Under Spring Cup - Des Moines|PRE|False</t>
        </is>
      </c>
      <c r="AE2333" s="53">
        <f>G2333+L2333/1000+ROW()/1000000000</f>
        <v/>
      </c>
      <c r="AF2333" s="35">
        <f>IF(C2333&lt;&gt;"Grayson Coulter","",COUNTIFS($C$5:$C$2991,"Grayson Coulter",$Q$5:$Q$2991,Q2333,$AE$5:$AE$2991,"&lt;="&amp;AE2333,$R$5:$R$2991,"&lt;"&amp;R2333))</f>
        <v/>
      </c>
      <c r="AG2333" s="35">
        <f>IF(OR(C2333&lt;&gt;"Grayson Coulter",G2333&lt;'00_Control'!$B$7),"",--(AF2333&lt;5))</f>
        <v/>
      </c>
      <c r="AH2333" s="35">
        <f>IF(OR(C2333&lt;&gt;"Grayson Coulter",G2333&lt;'00_Control'!$B$7),"",--(AF2333&lt;10))</f>
        <v/>
      </c>
      <c r="AI2333" s="35">
        <f>IF(AND(C2333="Grayson Coulter",G2333&gt;='00_Control'!$B$7),"YES","NO")</f>
        <v/>
      </c>
      <c r="AJ2333" s="33" t="inlineStr">
        <is>
          <t>OK</t>
        </is>
      </c>
    </row>
    <row r="2334">
      <c r="A2334" s="33" t="inlineStr">
        <is>
          <t>SM002330</t>
        </is>
      </c>
      <c r="B2334" s="33" t="inlineStr">
        <is>
          <t>SW014</t>
        </is>
      </c>
      <c r="C2334" s="33" t="inlineStr">
        <is>
          <t>Luke Hobson</t>
        </is>
      </c>
      <c r="D2334" s="33" t="inlineStr">
        <is>
          <t>SwimCloud</t>
        </is>
      </c>
      <c r="E2334" s="33" t="inlineStr">
        <is>
          <t>576911</t>
        </is>
      </c>
      <c r="F2334" s="33" t="inlineStr">
        <is>
          <t>41642514</t>
        </is>
      </c>
      <c r="G2334" s="51" t="n">
        <v>44318</v>
      </c>
      <c r="H2334" s="33" t="inlineStr">
        <is>
          <t>2021 IA TYR 18 &amp; Under Spring Cup - Des Moines</t>
        </is>
      </c>
      <c r="I2334" s="33" t="inlineStr">
        <is>
          <t>196090</t>
        </is>
      </c>
      <c r="J2334" s="33" t="inlineStr"/>
      <c r="K2334" s="33" t="inlineStr">
        <is>
          <t>FIN</t>
        </is>
      </c>
      <c r="L2334" s="35">
        <f>IF(K2334="FIN",3,IF(OR(K2334="SEM",K2334="SEMI"),2,IF(OR(K2334="PRE",K2334="HEAT"),1,IF(V2334="YES",4,2))))</f>
        <v/>
      </c>
      <c r="M2334" s="33" t="inlineStr">
        <is>
          <t>LCM</t>
        </is>
      </c>
      <c r="N2334" s="33" t="n">
        <v>100</v>
      </c>
      <c r="O2334" s="33" t="inlineStr">
        <is>
          <t>Free</t>
        </is>
      </c>
      <c r="P2334" s="33" t="inlineStr">
        <is>
          <t>100 Free</t>
        </is>
      </c>
      <c r="Q2334" s="33" t="inlineStr">
        <is>
          <t>LCM_100_FREE</t>
        </is>
      </c>
      <c r="R2334" s="36" t="n">
        <v>50.24</v>
      </c>
      <c r="S2334" s="35">
        <f>IF(R2334="","",IF(R2334&gt;=60,INT(R2334/60)&amp;":"&amp;TEXT(MOD(R2334,60),"00.00"),TEXT(R2334,"0.00")))</f>
        <v/>
      </c>
      <c r="T2334" s="52">
        <f>IFERROR((G2334-INDEX('01_Swimmers'!$E$5:$E$22,MATCH(B2334,'01_Swimmers'!$A$5:$A$22,0)))/'00_Control'!$B$10,"")</f>
        <v/>
      </c>
      <c r="U2334" s="35">
        <f>IF(T2334="","",INT(T2334))</f>
        <v/>
      </c>
      <c r="V2334" s="33" t="inlineStr">
        <is>
          <t>NO</t>
        </is>
      </c>
      <c r="W2334" s="33" t="inlineStr">
        <is>
          <t>YES</t>
        </is>
      </c>
      <c r="X2334" s="33" t="inlineStr">
        <is>
          <t>NO</t>
        </is>
      </c>
      <c r="Y2334" s="33" t="n">
        <v>3</v>
      </c>
      <c r="Z2334" s="33" t="n">
        <v>5</v>
      </c>
      <c r="AA2334" s="33" t="inlineStr">
        <is>
          <t>1</t>
        </is>
      </c>
      <c r="AB2334" s="33" t="inlineStr">
        <is>
          <t>https://www.swimcloud.com/results/196090/event/22/?id=41642514#time41642514</t>
        </is>
      </c>
      <c r="AC2334" s="33" t="inlineStr">
        <is>
          <t>SwimCloud API v6 2026-10-08</t>
        </is>
      </c>
      <c r="AD2334" s="33" t="inlineStr">
        <is>
          <t>Luke Hobson|2021-05-02|LCM|100|Free|50.24|2021 IA TYR 18 &amp; Under Spring Cup - Des Moines|FIN|False</t>
        </is>
      </c>
      <c r="AE2334" s="53">
        <f>G2334+L2334/1000+ROW()/1000000000</f>
        <v/>
      </c>
      <c r="AF2334" s="35">
        <f>IF(C2334&lt;&gt;"Grayson Coulter","",COUNTIFS($C$5:$C$2991,"Grayson Coulter",$Q$5:$Q$2991,Q2334,$AE$5:$AE$2991,"&lt;="&amp;AE2334,$R$5:$R$2991,"&lt;"&amp;R2334))</f>
        <v/>
      </c>
      <c r="AG2334" s="35">
        <f>IF(OR(C2334&lt;&gt;"Grayson Coulter",G2334&lt;'00_Control'!$B$7),"",--(AF2334&lt;5))</f>
        <v/>
      </c>
      <c r="AH2334" s="35">
        <f>IF(OR(C2334&lt;&gt;"Grayson Coulter",G2334&lt;'00_Control'!$B$7),"",--(AF2334&lt;10))</f>
        <v/>
      </c>
      <c r="AI2334" s="35">
        <f>IF(AND(C2334="Grayson Coulter",G2334&gt;='00_Control'!$B$7),"YES","NO")</f>
        <v/>
      </c>
      <c r="AJ2334" s="33" t="inlineStr">
        <is>
          <t>OK</t>
        </is>
      </c>
    </row>
    <row r="2335">
      <c r="A2335" s="33" t="inlineStr">
        <is>
          <t>SM002331</t>
        </is>
      </c>
      <c r="B2335" s="33" t="inlineStr">
        <is>
          <t>SW014</t>
        </is>
      </c>
      <c r="C2335" s="33" t="inlineStr">
        <is>
          <t>Luke Hobson</t>
        </is>
      </c>
      <c r="D2335" s="33" t="inlineStr">
        <is>
          <t>SwimCloud</t>
        </is>
      </c>
      <c r="E2335" s="33" t="inlineStr">
        <is>
          <t>576911</t>
        </is>
      </c>
      <c r="F2335" s="33" t="inlineStr">
        <is>
          <t>42382936</t>
        </is>
      </c>
      <c r="G2335" s="51" t="n">
        <v>44360</v>
      </c>
      <c r="H2335" s="33" t="inlineStr">
        <is>
          <t>USA Olympic Team Trials - Wave 2</t>
        </is>
      </c>
      <c r="I2335" s="33" t="inlineStr">
        <is>
          <t>197324</t>
        </is>
      </c>
      <c r="J2335" s="33" t="inlineStr"/>
      <c r="K2335" s="33" t="inlineStr">
        <is>
          <t>PRE</t>
        </is>
      </c>
      <c r="L2335" s="35">
        <f>IF(K2335="FIN",3,IF(OR(K2335="SEM",K2335="SEMI"),2,IF(OR(K2335="PRE",K2335="HEAT"),1,IF(V2335="YES",4,2))))</f>
        <v/>
      </c>
      <c r="M2335" s="33" t="inlineStr">
        <is>
          <t>LCM</t>
        </is>
      </c>
      <c r="N2335" s="33" t="n">
        <v>400</v>
      </c>
      <c r="O2335" s="33" t="inlineStr">
        <is>
          <t>Free</t>
        </is>
      </c>
      <c r="P2335" s="33" t="inlineStr">
        <is>
          <t>400 Free</t>
        </is>
      </c>
      <c r="Q2335" s="33" t="inlineStr">
        <is>
          <t>LCM_400_FREE</t>
        </is>
      </c>
      <c r="R2335" s="36" t="n">
        <v>232.79</v>
      </c>
      <c r="S2335" s="35">
        <f>IF(R2335="","",IF(R2335&gt;=60,INT(R2335/60)&amp;":"&amp;TEXT(MOD(R2335,60),"00.00"),TEXT(R2335,"0.00")))</f>
        <v/>
      </c>
      <c r="T2335" s="52">
        <f>IFERROR((G2335-INDEX('01_Swimmers'!$E$5:$E$22,MATCH(B2335,'01_Swimmers'!$A$5:$A$22,0)))/'00_Control'!$B$10,"")</f>
        <v/>
      </c>
      <c r="U2335" s="35">
        <f>IF(T2335="","",INT(T2335))</f>
        <v/>
      </c>
      <c r="V2335" s="33" t="inlineStr">
        <is>
          <t>NO</t>
        </is>
      </c>
      <c r="W2335" s="33" t="inlineStr">
        <is>
          <t>YES</t>
        </is>
      </c>
      <c r="X2335" s="33" t="inlineStr">
        <is>
          <t>NO</t>
        </is>
      </c>
      <c r="Y2335" s="33" t="n">
        <v>3</v>
      </c>
      <c r="Z2335" s="33" t="n">
        <v>1</v>
      </c>
      <c r="AA2335" s="33" t="inlineStr">
        <is>
          <t>19</t>
        </is>
      </c>
      <c r="AB2335" s="33" t="inlineStr">
        <is>
          <t>https://www.swimcloud.com/results/197324/event/3/?id=42382936#time42382936</t>
        </is>
      </c>
      <c r="AC2335" s="33" t="inlineStr">
        <is>
          <t>SwimCloud API v6 2026-10-08</t>
        </is>
      </c>
      <c r="AD2335" s="33" t="inlineStr">
        <is>
          <t>Luke Hobson|2021-06-13|LCM|400|Free|232.79|USA Olympic Team Trials - Wave 2|PRE|False</t>
        </is>
      </c>
      <c r="AE2335" s="53">
        <f>G2335+L2335/1000+ROW()/1000000000</f>
        <v/>
      </c>
      <c r="AF2335" s="35">
        <f>IF(C2335&lt;&gt;"Grayson Coulter","",COUNTIFS($C$5:$C$2991,"Grayson Coulter",$Q$5:$Q$2991,Q2335,$AE$5:$AE$2991,"&lt;="&amp;AE2335,$R$5:$R$2991,"&lt;"&amp;R2335))</f>
        <v/>
      </c>
      <c r="AG2335" s="35">
        <f>IF(OR(C2335&lt;&gt;"Grayson Coulter",G2335&lt;'00_Control'!$B$7),"",--(AF2335&lt;5))</f>
        <v/>
      </c>
      <c r="AH2335" s="35">
        <f>IF(OR(C2335&lt;&gt;"Grayson Coulter",G2335&lt;'00_Control'!$B$7),"",--(AF2335&lt;10))</f>
        <v/>
      </c>
      <c r="AI2335" s="35">
        <f>IF(AND(C2335="Grayson Coulter",G2335&gt;='00_Control'!$B$7),"YES","NO")</f>
        <v/>
      </c>
      <c r="AJ2335" s="33" t="inlineStr">
        <is>
          <t>OK</t>
        </is>
      </c>
    </row>
    <row r="2336">
      <c r="A2336" s="33" t="inlineStr">
        <is>
          <t>SM002332</t>
        </is>
      </c>
      <c r="B2336" s="33" t="inlineStr">
        <is>
          <t>SW014</t>
        </is>
      </c>
      <c r="C2336" s="33" t="inlineStr">
        <is>
          <t>Luke Hobson</t>
        </is>
      </c>
      <c r="D2336" s="33" t="inlineStr">
        <is>
          <t>SwimCloud</t>
        </is>
      </c>
      <c r="E2336" s="33" t="inlineStr">
        <is>
          <t>576911</t>
        </is>
      </c>
      <c r="F2336" s="33" t="inlineStr">
        <is>
          <t>42382999</t>
        </is>
      </c>
      <c r="G2336" s="51" t="n">
        <v>44361</v>
      </c>
      <c r="H2336" s="33" t="inlineStr">
        <is>
          <t>USA Olympic Team Trials - Wave 2</t>
        </is>
      </c>
      <c r="I2336" s="33" t="inlineStr">
        <is>
          <t>197324</t>
        </is>
      </c>
      <c r="J2336" s="33" t="inlineStr"/>
      <c r="K2336" s="33" t="inlineStr">
        <is>
          <t>PRE</t>
        </is>
      </c>
      <c r="L2336" s="35">
        <f>IF(K2336="FIN",3,IF(OR(K2336="SEM",K2336="SEMI"),2,IF(OR(K2336="PRE",K2336="HEAT"),1,IF(V2336="YES",4,2))))</f>
        <v/>
      </c>
      <c r="M2336" s="33" t="inlineStr">
        <is>
          <t>LCM</t>
        </is>
      </c>
      <c r="N2336" s="33" t="n">
        <v>200</v>
      </c>
      <c r="O2336" s="33" t="inlineStr">
        <is>
          <t>Free</t>
        </is>
      </c>
      <c r="P2336" s="33" t="inlineStr">
        <is>
          <t>200 Free</t>
        </is>
      </c>
      <c r="Q2336" s="33" t="inlineStr">
        <is>
          <t>LCM_200_FREE</t>
        </is>
      </c>
      <c r="R2336" s="36" t="n">
        <v>110.29</v>
      </c>
      <c r="S2336" s="35">
        <f>IF(R2336="","",IF(R2336&gt;=60,INT(R2336/60)&amp;":"&amp;TEXT(MOD(R2336,60),"00.00"),TEXT(R2336,"0.00")))</f>
        <v/>
      </c>
      <c r="T2336" s="52">
        <f>IFERROR((G2336-INDEX('01_Swimmers'!$E$5:$E$22,MATCH(B2336,'01_Swimmers'!$A$5:$A$22,0)))/'00_Control'!$B$10,"")</f>
        <v/>
      </c>
      <c r="U2336" s="35">
        <f>IF(T2336="","",INT(T2336))</f>
        <v/>
      </c>
      <c r="V2336" s="33" t="inlineStr">
        <is>
          <t>NO</t>
        </is>
      </c>
      <c r="W2336" s="33" t="inlineStr">
        <is>
          <t>YES</t>
        </is>
      </c>
      <c r="X2336" s="33" t="inlineStr">
        <is>
          <t>NO</t>
        </is>
      </c>
      <c r="Y2336" s="33" t="n">
        <v>4</v>
      </c>
      <c r="Z2336" s="33" t="n">
        <v>8</v>
      </c>
      <c r="AA2336" s="33" t="inlineStr">
        <is>
          <t>36</t>
        </is>
      </c>
      <c r="AB2336" s="33" t="inlineStr">
        <is>
          <t>https://www.swimcloud.com/results/197324/event/7/?id=42382999#time42382999</t>
        </is>
      </c>
      <c r="AC2336" s="33" t="inlineStr">
        <is>
          <t>SwimCloud API v6 2026-10-08</t>
        </is>
      </c>
      <c r="AD2336" s="33" t="inlineStr">
        <is>
          <t>Luke Hobson|2021-06-14|LCM|200|Free|110.29|USA Olympic Team Trials - Wave 2|PRE|False</t>
        </is>
      </c>
      <c r="AE2336" s="53">
        <f>G2336+L2336/1000+ROW()/1000000000</f>
        <v/>
      </c>
      <c r="AF2336" s="35">
        <f>IF(C2336&lt;&gt;"Grayson Coulter","",COUNTIFS($C$5:$C$2991,"Grayson Coulter",$Q$5:$Q$2991,Q2336,$AE$5:$AE$2991,"&lt;="&amp;AE2336,$R$5:$R$2991,"&lt;"&amp;R2336))</f>
        <v/>
      </c>
      <c r="AG2336" s="35">
        <f>IF(OR(C2336&lt;&gt;"Grayson Coulter",G2336&lt;'00_Control'!$B$7),"",--(AF2336&lt;5))</f>
        <v/>
      </c>
      <c r="AH2336" s="35">
        <f>IF(OR(C2336&lt;&gt;"Grayson Coulter",G2336&lt;'00_Control'!$B$7),"",--(AF2336&lt;10))</f>
        <v/>
      </c>
      <c r="AI2336" s="35">
        <f>IF(AND(C2336="Grayson Coulter",G2336&gt;='00_Control'!$B$7),"YES","NO")</f>
        <v/>
      </c>
      <c r="AJ2336" s="33" t="inlineStr">
        <is>
          <t>OK</t>
        </is>
      </c>
    </row>
    <row r="2337">
      <c r="A2337" s="33" t="inlineStr">
        <is>
          <t>SM002333</t>
        </is>
      </c>
      <c r="B2337" s="33" t="inlineStr">
        <is>
          <t>SW014</t>
        </is>
      </c>
      <c r="C2337" s="33" t="inlineStr">
        <is>
          <t>Luke Hobson</t>
        </is>
      </c>
      <c r="D2337" s="33" t="inlineStr">
        <is>
          <t>SwimCloud</t>
        </is>
      </c>
      <c r="E2337" s="33" t="inlineStr">
        <is>
          <t>576911</t>
        </is>
      </c>
      <c r="F2337" s="33" t="inlineStr">
        <is>
          <t>42382219</t>
        </is>
      </c>
      <c r="G2337" s="51" t="n">
        <v>44363</v>
      </c>
      <c r="H2337" s="33" t="inlineStr">
        <is>
          <t>USA Olympic Team Trials - Wave 2</t>
        </is>
      </c>
      <c r="I2337" s="33" t="inlineStr">
        <is>
          <t>197324</t>
        </is>
      </c>
      <c r="J2337" s="33" t="inlineStr"/>
      <c r="K2337" s="33" t="inlineStr">
        <is>
          <t>PRE</t>
        </is>
      </c>
      <c r="L2337" s="35">
        <f>IF(K2337="FIN",3,IF(OR(K2337="SEM",K2337="SEMI"),2,IF(OR(K2337="PRE",K2337="HEAT"),1,IF(V2337="YES",4,2))))</f>
        <v/>
      </c>
      <c r="M2337" s="33" t="inlineStr">
        <is>
          <t>LCM</t>
        </is>
      </c>
      <c r="N2337" s="33" t="n">
        <v>100</v>
      </c>
      <c r="O2337" s="33" t="inlineStr">
        <is>
          <t>Free</t>
        </is>
      </c>
      <c r="P2337" s="33" t="inlineStr">
        <is>
          <t>100 Free</t>
        </is>
      </c>
      <c r="Q2337" s="33" t="inlineStr">
        <is>
          <t>LCM_100_FREE</t>
        </is>
      </c>
      <c r="R2337" s="36" t="n">
        <v>50.47</v>
      </c>
      <c r="S2337" s="35">
        <f>IF(R2337="","",IF(R2337&gt;=60,INT(R2337/60)&amp;":"&amp;TEXT(MOD(R2337,60),"00.00"),TEXT(R2337,"0.00")))</f>
        <v/>
      </c>
      <c r="T2337" s="52">
        <f>IFERROR((G2337-INDEX('01_Swimmers'!$E$5:$E$22,MATCH(B2337,'01_Swimmers'!$A$5:$A$22,0)))/'00_Control'!$B$10,"")</f>
        <v/>
      </c>
      <c r="U2337" s="35">
        <f>IF(T2337="","",INT(T2337))</f>
        <v/>
      </c>
      <c r="V2337" s="33" t="inlineStr">
        <is>
          <t>NO</t>
        </is>
      </c>
      <c r="W2337" s="33" t="inlineStr">
        <is>
          <t>YES</t>
        </is>
      </c>
      <c r="X2337" s="33" t="inlineStr">
        <is>
          <t>NO</t>
        </is>
      </c>
      <c r="Y2337" s="33" t="n">
        <v>2</v>
      </c>
      <c r="Z2337" s="33" t="n">
        <v>2</v>
      </c>
      <c r="AA2337" s="33" t="inlineStr">
        <is>
          <t>48</t>
        </is>
      </c>
      <c r="AB2337" s="33" t="inlineStr">
        <is>
          <t>https://www.swimcloud.com/results/197324/event/15/?id=42382219#time42382219</t>
        </is>
      </c>
      <c r="AC2337" s="33" t="inlineStr">
        <is>
          <t>SwimCloud API v6 2026-10-08</t>
        </is>
      </c>
      <c r="AD2337" s="33" t="inlineStr">
        <is>
          <t>Luke Hobson|2021-06-16|LCM|100|Free|50.47|USA Olympic Team Trials - Wave 2|PRE|False</t>
        </is>
      </c>
      <c r="AE2337" s="53">
        <f>G2337+L2337/1000+ROW()/1000000000</f>
        <v/>
      </c>
      <c r="AF2337" s="35">
        <f>IF(C2337&lt;&gt;"Grayson Coulter","",COUNTIFS($C$5:$C$2991,"Grayson Coulter",$Q$5:$Q$2991,Q2337,$AE$5:$AE$2991,"&lt;="&amp;AE2337,$R$5:$R$2991,"&lt;"&amp;R2337))</f>
        <v/>
      </c>
      <c r="AG2337" s="35">
        <f>IF(OR(C2337&lt;&gt;"Grayson Coulter",G2337&lt;'00_Control'!$B$7),"",--(AF2337&lt;5))</f>
        <v/>
      </c>
      <c r="AH2337" s="35">
        <f>IF(OR(C2337&lt;&gt;"Grayson Coulter",G2337&lt;'00_Control'!$B$7),"",--(AF2337&lt;10))</f>
        <v/>
      </c>
      <c r="AI2337" s="35">
        <f>IF(AND(C2337="Grayson Coulter",G2337&gt;='00_Control'!$B$7),"YES","NO")</f>
        <v/>
      </c>
      <c r="AJ2337" s="33" t="inlineStr">
        <is>
          <t>OK</t>
        </is>
      </c>
    </row>
    <row r="2338">
      <c r="A2338" s="33" t="inlineStr">
        <is>
          <t>SM002334</t>
        </is>
      </c>
      <c r="B2338" s="33" t="inlineStr">
        <is>
          <t>SW014</t>
        </is>
      </c>
      <c r="C2338" s="33" t="inlineStr">
        <is>
          <t>Luke Hobson</t>
        </is>
      </c>
      <c r="D2338" s="33" t="inlineStr">
        <is>
          <t>SwimCloud</t>
        </is>
      </c>
      <c r="E2338" s="33" t="inlineStr">
        <is>
          <t>576911</t>
        </is>
      </c>
      <c r="F2338" s="33" t="inlineStr">
        <is>
          <t>43145477</t>
        </is>
      </c>
      <c r="G2338" s="51" t="n">
        <v>44394</v>
      </c>
      <c r="H2338" s="33" t="inlineStr">
        <is>
          <t>Speedo Sectionals - Roseville, CA (CA/NV)</t>
        </is>
      </c>
      <c r="I2338" s="33" t="inlineStr">
        <is>
          <t>200064</t>
        </is>
      </c>
      <c r="J2338" s="33" t="inlineStr"/>
      <c r="K2338" s="33" t="inlineStr">
        <is>
          <t>PRE</t>
        </is>
      </c>
      <c r="L2338" s="35">
        <f>IF(K2338="FIN",3,IF(OR(K2338="SEM",K2338="SEMI"),2,IF(OR(K2338="PRE",K2338="HEAT"),1,IF(V2338="YES",4,2))))</f>
        <v/>
      </c>
      <c r="M2338" s="33" t="inlineStr">
        <is>
          <t>LCM</t>
        </is>
      </c>
      <c r="N2338" s="33" t="n">
        <v>100</v>
      </c>
      <c r="O2338" s="33" t="inlineStr">
        <is>
          <t>Fly</t>
        </is>
      </c>
      <c r="P2338" s="33" t="inlineStr">
        <is>
          <t>100 Fly</t>
        </is>
      </c>
      <c r="Q2338" s="33" t="inlineStr">
        <is>
          <t>LCM_100_FLY</t>
        </is>
      </c>
      <c r="R2338" s="36" t="n">
        <v>56.97</v>
      </c>
      <c r="S2338" s="35">
        <f>IF(R2338="","",IF(R2338&gt;=60,INT(R2338/60)&amp;":"&amp;TEXT(MOD(R2338,60),"00.00"),TEXT(R2338,"0.00")))</f>
        <v/>
      </c>
      <c r="T2338" s="52">
        <f>IFERROR((G2338-INDEX('01_Swimmers'!$E$5:$E$22,MATCH(B2338,'01_Swimmers'!$A$5:$A$22,0)))/'00_Control'!$B$10,"")</f>
        <v/>
      </c>
      <c r="U2338" s="35">
        <f>IF(T2338="","",INT(T2338))</f>
        <v/>
      </c>
      <c r="V2338" s="33" t="inlineStr">
        <is>
          <t>NO</t>
        </is>
      </c>
      <c r="W2338" s="33" t="inlineStr">
        <is>
          <t>YES</t>
        </is>
      </c>
      <c r="X2338" s="33" t="inlineStr">
        <is>
          <t>NO</t>
        </is>
      </c>
      <c r="Y2338" s="33" t="n">
        <v>9</v>
      </c>
      <c r="Z2338" s="33" t="n">
        <v>2</v>
      </c>
      <c r="AA2338" s="33" t="inlineStr">
        <is>
          <t>17</t>
        </is>
      </c>
      <c r="AB2338" s="33" t="inlineStr">
        <is>
          <t>https://www.swimcloud.com/results/200064/event/26/?id=43145477#time43145477</t>
        </is>
      </c>
      <c r="AC2338" s="33" t="inlineStr">
        <is>
          <t>SwimCloud API v6 2026-10-08</t>
        </is>
      </c>
      <c r="AD2338" s="33" t="inlineStr">
        <is>
          <t>Luke Hobson|2021-07-17|LCM|100|Fly|56.97|Speedo Sectionals - Roseville, CA (CA/NV)|PRE|False</t>
        </is>
      </c>
      <c r="AE2338" s="53">
        <f>G2338+L2338/1000+ROW()/1000000000</f>
        <v/>
      </c>
      <c r="AF2338" s="35">
        <f>IF(C2338&lt;&gt;"Grayson Coulter","",COUNTIFS($C$5:$C$2991,"Grayson Coulter",$Q$5:$Q$2991,Q2338,$AE$5:$AE$2991,"&lt;="&amp;AE2338,$R$5:$R$2991,"&lt;"&amp;R2338))</f>
        <v/>
      </c>
      <c r="AG2338" s="35">
        <f>IF(OR(C2338&lt;&gt;"Grayson Coulter",G2338&lt;'00_Control'!$B$7),"",--(AF2338&lt;5))</f>
        <v/>
      </c>
      <c r="AH2338" s="35">
        <f>IF(OR(C2338&lt;&gt;"Grayson Coulter",G2338&lt;'00_Control'!$B$7),"",--(AF2338&lt;10))</f>
        <v/>
      </c>
      <c r="AI2338" s="35">
        <f>IF(AND(C2338="Grayson Coulter",G2338&gt;='00_Control'!$B$7),"YES","NO")</f>
        <v/>
      </c>
      <c r="AJ2338" s="33" t="inlineStr">
        <is>
          <t>OK</t>
        </is>
      </c>
    </row>
    <row r="2339">
      <c r="A2339" s="33" t="inlineStr">
        <is>
          <t>SM002335</t>
        </is>
      </c>
      <c r="B2339" s="33" t="inlineStr">
        <is>
          <t>SW014</t>
        </is>
      </c>
      <c r="C2339" s="33" t="inlineStr">
        <is>
          <t>Luke Hobson</t>
        </is>
      </c>
      <c r="D2339" s="33" t="inlineStr">
        <is>
          <t>SwimCloud</t>
        </is>
      </c>
      <c r="E2339" s="33" t="inlineStr">
        <is>
          <t>576911</t>
        </is>
      </c>
      <c r="F2339" s="33" t="inlineStr">
        <is>
          <t>43145478</t>
        </is>
      </c>
      <c r="G2339" s="51" t="n">
        <v>44394</v>
      </c>
      <c r="H2339" s="33" t="inlineStr">
        <is>
          <t>Speedo Sectionals - Roseville, CA (CA/NV)</t>
        </is>
      </c>
      <c r="I2339" s="33" t="inlineStr">
        <is>
          <t>200064</t>
        </is>
      </c>
      <c r="J2339" s="33" t="inlineStr"/>
      <c r="K2339" s="33" t="inlineStr">
        <is>
          <t>FIN</t>
        </is>
      </c>
      <c r="L2339" s="35">
        <f>IF(K2339="FIN",3,IF(OR(K2339="SEM",K2339="SEMI"),2,IF(OR(K2339="PRE",K2339="HEAT"),1,IF(V2339="YES",4,2))))</f>
        <v/>
      </c>
      <c r="M2339" s="33" t="inlineStr">
        <is>
          <t>LCM</t>
        </is>
      </c>
      <c r="N2339" s="33" t="n">
        <v>100</v>
      </c>
      <c r="O2339" s="33" t="inlineStr">
        <is>
          <t>Fly</t>
        </is>
      </c>
      <c r="P2339" s="33" t="inlineStr">
        <is>
          <t>100 Fly</t>
        </is>
      </c>
      <c r="Q2339" s="33" t="inlineStr">
        <is>
          <t>LCM_100_FLY</t>
        </is>
      </c>
      <c r="R2339" s="36" t="n">
        <v>55.97</v>
      </c>
      <c r="S2339" s="35">
        <f>IF(R2339="","",IF(R2339&gt;=60,INT(R2339/60)&amp;":"&amp;TEXT(MOD(R2339,60),"00.00"),TEXT(R2339,"0.00")))</f>
        <v/>
      </c>
      <c r="T2339" s="52">
        <f>IFERROR((G2339-INDEX('01_Swimmers'!$E$5:$E$22,MATCH(B2339,'01_Swimmers'!$A$5:$A$22,0)))/'00_Control'!$B$10,"")</f>
        <v/>
      </c>
      <c r="U2339" s="35">
        <f>IF(T2339="","",INT(T2339))</f>
        <v/>
      </c>
      <c r="V2339" s="33" t="inlineStr">
        <is>
          <t>NO</t>
        </is>
      </c>
      <c r="W2339" s="33" t="inlineStr">
        <is>
          <t>YES</t>
        </is>
      </c>
      <c r="X2339" s="33" t="inlineStr">
        <is>
          <t>NO</t>
        </is>
      </c>
      <c r="Y2339" s="33" t="n">
        <v>2</v>
      </c>
      <c r="Z2339" s="33" t="n">
        <v>9</v>
      </c>
      <c r="AA2339" s="33" t="inlineStr">
        <is>
          <t>11</t>
        </is>
      </c>
      <c r="AB2339" s="33" t="inlineStr">
        <is>
          <t>https://www.swimcloud.com/results/200064/event/26/?id=43145478#time43145478</t>
        </is>
      </c>
      <c r="AC2339" s="33" t="inlineStr">
        <is>
          <t>SwimCloud API v6 2026-10-08</t>
        </is>
      </c>
      <c r="AD2339" s="33" t="inlineStr">
        <is>
          <t>Luke Hobson|2021-07-17|LCM|100|Fly|55.97|Speedo Sectionals - Roseville, CA (CA/NV)|FIN|False</t>
        </is>
      </c>
      <c r="AE2339" s="53">
        <f>G2339+L2339/1000+ROW()/1000000000</f>
        <v/>
      </c>
      <c r="AF2339" s="35">
        <f>IF(C2339&lt;&gt;"Grayson Coulter","",COUNTIFS($C$5:$C$2991,"Grayson Coulter",$Q$5:$Q$2991,Q2339,$AE$5:$AE$2991,"&lt;="&amp;AE2339,$R$5:$R$2991,"&lt;"&amp;R2339))</f>
        <v/>
      </c>
      <c r="AG2339" s="35">
        <f>IF(OR(C2339&lt;&gt;"Grayson Coulter",G2339&lt;'00_Control'!$B$7),"",--(AF2339&lt;5))</f>
        <v/>
      </c>
      <c r="AH2339" s="35">
        <f>IF(OR(C2339&lt;&gt;"Grayson Coulter",G2339&lt;'00_Control'!$B$7),"",--(AF2339&lt;10))</f>
        <v/>
      </c>
      <c r="AI2339" s="35">
        <f>IF(AND(C2339="Grayson Coulter",G2339&gt;='00_Control'!$B$7),"YES","NO")</f>
        <v/>
      </c>
      <c r="AJ2339" s="33" t="inlineStr">
        <is>
          <t>OK</t>
        </is>
      </c>
    </row>
    <row r="2340">
      <c r="A2340" s="33" t="inlineStr">
        <is>
          <t>SM002336</t>
        </is>
      </c>
      <c r="B2340" s="33" t="inlineStr">
        <is>
          <t>SW014</t>
        </is>
      </c>
      <c r="C2340" s="33" t="inlineStr">
        <is>
          <t>Luke Hobson</t>
        </is>
      </c>
      <c r="D2340" s="33" t="inlineStr">
        <is>
          <t>SwimCloud</t>
        </is>
      </c>
      <c r="E2340" s="33" t="inlineStr">
        <is>
          <t>576911</t>
        </is>
      </c>
      <c r="F2340" s="33" t="inlineStr">
        <is>
          <t>43739313</t>
        </is>
      </c>
      <c r="G2340" s="51" t="n">
        <v>44411</v>
      </c>
      <c r="H2340" s="33" t="inlineStr">
        <is>
          <t>Speedo Summer Championships - West</t>
        </is>
      </c>
      <c r="I2340" s="33" t="inlineStr">
        <is>
          <t>201799</t>
        </is>
      </c>
      <c r="J2340" s="33" t="inlineStr"/>
      <c r="K2340" s="33" t="inlineStr">
        <is>
          <t>PRE</t>
        </is>
      </c>
      <c r="L2340" s="35">
        <f>IF(K2340="FIN",3,IF(OR(K2340="SEM",K2340="SEMI"),2,IF(OR(K2340="PRE",K2340="HEAT"),1,IF(V2340="YES",4,2))))</f>
        <v/>
      </c>
      <c r="M2340" s="33" t="inlineStr">
        <is>
          <t>LCM</t>
        </is>
      </c>
      <c r="N2340" s="33" t="n">
        <v>100</v>
      </c>
      <c r="O2340" s="33" t="inlineStr">
        <is>
          <t>Free</t>
        </is>
      </c>
      <c r="P2340" s="33" t="inlineStr">
        <is>
          <t>100 Free</t>
        </is>
      </c>
      <c r="Q2340" s="33" t="inlineStr">
        <is>
          <t>LCM_100_FREE</t>
        </is>
      </c>
      <c r="R2340" s="36" t="n">
        <v>50.91</v>
      </c>
      <c r="S2340" s="35">
        <f>IF(R2340="","",IF(R2340&gt;=60,INT(R2340/60)&amp;":"&amp;TEXT(MOD(R2340,60),"00.00"),TEXT(R2340,"0.00")))</f>
        <v/>
      </c>
      <c r="T2340" s="52">
        <f>IFERROR((G2340-INDEX('01_Swimmers'!$E$5:$E$22,MATCH(B2340,'01_Swimmers'!$A$5:$A$22,0)))/'00_Control'!$B$10,"")</f>
        <v/>
      </c>
      <c r="U2340" s="35">
        <f>IF(T2340="","",INT(T2340))</f>
        <v/>
      </c>
      <c r="V2340" s="33" t="inlineStr">
        <is>
          <t>NO</t>
        </is>
      </c>
      <c r="W2340" s="33" t="inlineStr">
        <is>
          <t>YES</t>
        </is>
      </c>
      <c r="X2340" s="33" t="inlineStr">
        <is>
          <t>NO</t>
        </is>
      </c>
      <c r="Y2340" s="33" t="n">
        <v>7</v>
      </c>
      <c r="Z2340" s="33" t="n">
        <v>5</v>
      </c>
      <c r="AA2340" s="33" t="inlineStr">
        <is>
          <t>11</t>
        </is>
      </c>
      <c r="AB2340" s="33" t="inlineStr">
        <is>
          <t>https://www.swimcloud.com/results/201799/event/4/?id=43739313#time43739313</t>
        </is>
      </c>
      <c r="AC2340" s="33" t="inlineStr">
        <is>
          <t>SwimCloud API v6 2026-10-08</t>
        </is>
      </c>
      <c r="AD2340" s="33" t="inlineStr">
        <is>
          <t>Luke Hobson|2021-08-03|LCM|100|Free|50.91|Speedo Summer Championships - West|PRE|False</t>
        </is>
      </c>
      <c r="AE2340" s="53">
        <f>G2340+L2340/1000+ROW()/1000000000</f>
        <v/>
      </c>
      <c r="AF2340" s="35">
        <f>IF(C2340&lt;&gt;"Grayson Coulter","",COUNTIFS($C$5:$C$2991,"Grayson Coulter",$Q$5:$Q$2991,Q2340,$AE$5:$AE$2991,"&lt;="&amp;AE2340,$R$5:$R$2991,"&lt;"&amp;R2340))</f>
        <v/>
      </c>
      <c r="AG2340" s="35">
        <f>IF(OR(C2340&lt;&gt;"Grayson Coulter",G2340&lt;'00_Control'!$B$7),"",--(AF2340&lt;5))</f>
        <v/>
      </c>
      <c r="AH2340" s="35">
        <f>IF(OR(C2340&lt;&gt;"Grayson Coulter",G2340&lt;'00_Control'!$B$7),"",--(AF2340&lt;10))</f>
        <v/>
      </c>
      <c r="AI2340" s="35">
        <f>IF(AND(C2340="Grayson Coulter",G2340&gt;='00_Control'!$B$7),"YES","NO")</f>
        <v/>
      </c>
      <c r="AJ2340" s="33" t="inlineStr">
        <is>
          <t>OK</t>
        </is>
      </c>
    </row>
    <row r="2341">
      <c r="A2341" s="33" t="inlineStr">
        <is>
          <t>SM002337</t>
        </is>
      </c>
      <c r="B2341" s="33" t="inlineStr">
        <is>
          <t>SW014</t>
        </is>
      </c>
      <c r="C2341" s="33" t="inlineStr">
        <is>
          <t>Luke Hobson</t>
        </is>
      </c>
      <c r="D2341" s="33" t="inlineStr">
        <is>
          <t>SwimCloud</t>
        </is>
      </c>
      <c r="E2341" s="33" t="inlineStr">
        <is>
          <t>576911</t>
        </is>
      </c>
      <c r="F2341" s="33" t="inlineStr">
        <is>
          <t>43739314</t>
        </is>
      </c>
      <c r="G2341" s="51" t="n">
        <v>44411</v>
      </c>
      <c r="H2341" s="33" t="inlineStr">
        <is>
          <t>Speedo Summer Championships - West</t>
        </is>
      </c>
      <c r="I2341" s="33" t="inlineStr">
        <is>
          <t>201799</t>
        </is>
      </c>
      <c r="J2341" s="33" t="inlineStr"/>
      <c r="K2341" s="33" t="inlineStr">
        <is>
          <t>FIN</t>
        </is>
      </c>
      <c r="L2341" s="35">
        <f>IF(K2341="FIN",3,IF(OR(K2341="SEM",K2341="SEMI"),2,IF(OR(K2341="PRE",K2341="HEAT"),1,IF(V2341="YES",4,2))))</f>
        <v/>
      </c>
      <c r="M2341" s="33" t="inlineStr">
        <is>
          <t>LCM</t>
        </is>
      </c>
      <c r="N2341" s="33" t="n">
        <v>100</v>
      </c>
      <c r="O2341" s="33" t="inlineStr">
        <is>
          <t>Free</t>
        </is>
      </c>
      <c r="P2341" s="33" t="inlineStr">
        <is>
          <t>100 Free</t>
        </is>
      </c>
      <c r="Q2341" s="33" t="inlineStr">
        <is>
          <t>LCM_100_FREE</t>
        </is>
      </c>
      <c r="R2341" s="36" t="n">
        <v>50.43</v>
      </c>
      <c r="S2341" s="35">
        <f>IF(R2341="","",IF(R2341&gt;=60,INT(R2341/60)&amp;":"&amp;TEXT(MOD(R2341,60),"00.00"),TEXT(R2341,"0.00")))</f>
        <v/>
      </c>
      <c r="T2341" s="52">
        <f>IFERROR((G2341-INDEX('01_Swimmers'!$E$5:$E$22,MATCH(B2341,'01_Swimmers'!$A$5:$A$22,0)))/'00_Control'!$B$10,"")</f>
        <v/>
      </c>
      <c r="U2341" s="35">
        <f>IF(T2341="","",INT(T2341))</f>
        <v/>
      </c>
      <c r="V2341" s="33" t="inlineStr">
        <is>
          <t>NO</t>
        </is>
      </c>
      <c r="W2341" s="33" t="inlineStr">
        <is>
          <t>YES</t>
        </is>
      </c>
      <c r="X2341" s="33" t="inlineStr">
        <is>
          <t>NO</t>
        </is>
      </c>
      <c r="Y2341" s="33" t="n">
        <v>3</v>
      </c>
      <c r="Z2341" s="33" t="n">
        <v>3</v>
      </c>
      <c r="AA2341" s="33" t="inlineStr">
        <is>
          <t>9</t>
        </is>
      </c>
      <c r="AB2341" s="33" t="inlineStr">
        <is>
          <t>https://www.swimcloud.com/results/201799/event/4/?id=43739314#time43739314</t>
        </is>
      </c>
      <c r="AC2341" s="33" t="inlineStr">
        <is>
          <t>SwimCloud API v6 2026-10-08</t>
        </is>
      </c>
      <c r="AD2341" s="33" t="inlineStr">
        <is>
          <t>Luke Hobson|2021-08-03|LCM|100|Free|50.43|Speedo Summer Championships - West|FIN|False</t>
        </is>
      </c>
      <c r="AE2341" s="53">
        <f>G2341+L2341/1000+ROW()/1000000000</f>
        <v/>
      </c>
      <c r="AF2341" s="35">
        <f>IF(C2341&lt;&gt;"Grayson Coulter","",COUNTIFS($C$5:$C$2991,"Grayson Coulter",$Q$5:$Q$2991,Q2341,$AE$5:$AE$2991,"&lt;="&amp;AE2341,$R$5:$R$2991,"&lt;"&amp;R2341))</f>
        <v/>
      </c>
      <c r="AG2341" s="35">
        <f>IF(OR(C2341&lt;&gt;"Grayson Coulter",G2341&lt;'00_Control'!$B$7),"",--(AF2341&lt;5))</f>
        <v/>
      </c>
      <c r="AH2341" s="35">
        <f>IF(OR(C2341&lt;&gt;"Grayson Coulter",G2341&lt;'00_Control'!$B$7),"",--(AF2341&lt;10))</f>
        <v/>
      </c>
      <c r="AI2341" s="35">
        <f>IF(AND(C2341="Grayson Coulter",G2341&gt;='00_Control'!$B$7),"YES","NO")</f>
        <v/>
      </c>
      <c r="AJ2341" s="33" t="inlineStr">
        <is>
          <t>OK</t>
        </is>
      </c>
    </row>
    <row r="2342">
      <c r="A2342" s="33" t="inlineStr">
        <is>
          <t>SM002338</t>
        </is>
      </c>
      <c r="B2342" s="33" t="inlineStr">
        <is>
          <t>SW014</t>
        </is>
      </c>
      <c r="C2342" s="33" t="inlineStr">
        <is>
          <t>Luke Hobson</t>
        </is>
      </c>
      <c r="D2342" s="33" t="inlineStr">
        <is>
          <t>SwimCloud</t>
        </is>
      </c>
      <c r="E2342" s="33" t="inlineStr">
        <is>
          <t>576911</t>
        </is>
      </c>
      <c r="F2342" s="33" t="inlineStr">
        <is>
          <t>43739693</t>
        </is>
      </c>
      <c r="G2342" s="51" t="n">
        <v>44412</v>
      </c>
      <c r="H2342" s="33" t="inlineStr">
        <is>
          <t>Speedo Summer Championships - West</t>
        </is>
      </c>
      <c r="I2342" s="33" t="inlineStr">
        <is>
          <t>201799</t>
        </is>
      </c>
      <c r="J2342" s="33" t="inlineStr"/>
      <c r="K2342" s="33" t="inlineStr">
        <is>
          <t>PRE</t>
        </is>
      </c>
      <c r="L2342" s="35">
        <f>IF(K2342="FIN",3,IF(OR(K2342="SEM",K2342="SEMI"),2,IF(OR(K2342="PRE",K2342="HEAT"),1,IF(V2342="YES",4,2))))</f>
        <v/>
      </c>
      <c r="M2342" s="33" t="inlineStr">
        <is>
          <t>LCM</t>
        </is>
      </c>
      <c r="N2342" s="33" t="n">
        <v>200</v>
      </c>
      <c r="O2342" s="33" t="inlineStr">
        <is>
          <t>Free</t>
        </is>
      </c>
      <c r="P2342" s="33" t="inlineStr">
        <is>
          <t>200 Free</t>
        </is>
      </c>
      <c r="Q2342" s="33" t="inlineStr">
        <is>
          <t>LCM_200_FREE</t>
        </is>
      </c>
      <c r="R2342" s="36" t="n">
        <v>110.33</v>
      </c>
      <c r="S2342" s="35">
        <f>IF(R2342="","",IF(R2342&gt;=60,INT(R2342/60)&amp;":"&amp;TEXT(MOD(R2342,60),"00.00"),TEXT(R2342,"0.00")))</f>
        <v/>
      </c>
      <c r="T2342" s="52">
        <f>IFERROR((G2342-INDEX('01_Swimmers'!$E$5:$E$22,MATCH(B2342,'01_Swimmers'!$A$5:$A$22,0)))/'00_Control'!$B$10,"")</f>
        <v/>
      </c>
      <c r="U2342" s="35">
        <f>IF(T2342="","",INT(T2342))</f>
        <v/>
      </c>
      <c r="V2342" s="33" t="inlineStr">
        <is>
          <t>NO</t>
        </is>
      </c>
      <c r="W2342" s="33" t="inlineStr">
        <is>
          <t>YES</t>
        </is>
      </c>
      <c r="X2342" s="33" t="inlineStr">
        <is>
          <t>NO</t>
        </is>
      </c>
      <c r="Y2342" s="33" t="n">
        <v>6</v>
      </c>
      <c r="Z2342" s="33" t="n">
        <v>4</v>
      </c>
      <c r="AA2342" s="33" t="inlineStr">
        <is>
          <t>4</t>
        </is>
      </c>
      <c r="AB2342" s="33" t="inlineStr">
        <is>
          <t>https://www.swimcloud.com/results/201799/event/9/?id=43739693#time43739693</t>
        </is>
      </c>
      <c r="AC2342" s="33" t="inlineStr">
        <is>
          <t>SwimCloud API v6 2026-10-08</t>
        </is>
      </c>
      <c r="AD2342" s="33" t="inlineStr">
        <is>
          <t>Luke Hobson|2021-08-04|LCM|200|Free|110.33|Speedo Summer Championships - West|PRE|False</t>
        </is>
      </c>
      <c r="AE2342" s="53">
        <f>G2342+L2342/1000+ROW()/1000000000</f>
        <v/>
      </c>
      <c r="AF2342" s="35">
        <f>IF(C2342&lt;&gt;"Grayson Coulter","",COUNTIFS($C$5:$C$2991,"Grayson Coulter",$Q$5:$Q$2991,Q2342,$AE$5:$AE$2991,"&lt;="&amp;AE2342,$R$5:$R$2991,"&lt;"&amp;R2342))</f>
        <v/>
      </c>
      <c r="AG2342" s="35">
        <f>IF(OR(C2342&lt;&gt;"Grayson Coulter",G2342&lt;'00_Control'!$B$7),"",--(AF2342&lt;5))</f>
        <v/>
      </c>
      <c r="AH2342" s="35">
        <f>IF(OR(C2342&lt;&gt;"Grayson Coulter",G2342&lt;'00_Control'!$B$7),"",--(AF2342&lt;10))</f>
        <v/>
      </c>
      <c r="AI2342" s="35">
        <f>IF(AND(C2342="Grayson Coulter",G2342&gt;='00_Control'!$B$7),"YES","NO")</f>
        <v/>
      </c>
      <c r="AJ2342" s="33" t="inlineStr">
        <is>
          <t>OK</t>
        </is>
      </c>
    </row>
    <row r="2343">
      <c r="A2343" s="33" t="inlineStr">
        <is>
          <t>SM002339</t>
        </is>
      </c>
      <c r="B2343" s="33" t="inlineStr">
        <is>
          <t>SW014</t>
        </is>
      </c>
      <c r="C2343" s="33" t="inlineStr">
        <is>
          <t>Luke Hobson</t>
        </is>
      </c>
      <c r="D2343" s="33" t="inlineStr">
        <is>
          <t>SwimCloud</t>
        </is>
      </c>
      <c r="E2343" s="33" t="inlineStr">
        <is>
          <t>576911</t>
        </is>
      </c>
      <c r="F2343" s="33" t="inlineStr">
        <is>
          <t>43739694</t>
        </is>
      </c>
      <c r="G2343" s="51" t="n">
        <v>44412</v>
      </c>
      <c r="H2343" s="33" t="inlineStr">
        <is>
          <t>Speedo Summer Championships - West</t>
        </is>
      </c>
      <c r="I2343" s="33" t="inlineStr">
        <is>
          <t>201799</t>
        </is>
      </c>
      <c r="J2343" s="33" t="inlineStr"/>
      <c r="K2343" s="33" t="inlineStr">
        <is>
          <t>FIN</t>
        </is>
      </c>
      <c r="L2343" s="35">
        <f>IF(K2343="FIN",3,IF(OR(K2343="SEM",K2343="SEMI"),2,IF(OR(K2343="PRE",K2343="HEAT"),1,IF(V2343="YES",4,2))))</f>
        <v/>
      </c>
      <c r="M2343" s="33" t="inlineStr">
        <is>
          <t>LCM</t>
        </is>
      </c>
      <c r="N2343" s="33" t="n">
        <v>200</v>
      </c>
      <c r="O2343" s="33" t="inlineStr">
        <is>
          <t>Free</t>
        </is>
      </c>
      <c r="P2343" s="33" t="inlineStr">
        <is>
          <t>200 Free</t>
        </is>
      </c>
      <c r="Q2343" s="33" t="inlineStr">
        <is>
          <t>LCM_200_FREE</t>
        </is>
      </c>
      <c r="R2343" s="36" t="n">
        <v>109.1</v>
      </c>
      <c r="S2343" s="35">
        <f>IF(R2343="","",IF(R2343&gt;=60,INT(R2343/60)&amp;":"&amp;TEXT(MOD(R2343,60),"00.00"),TEXT(R2343,"0.00")))</f>
        <v/>
      </c>
      <c r="T2343" s="52">
        <f>IFERROR((G2343-INDEX('01_Swimmers'!$E$5:$E$22,MATCH(B2343,'01_Swimmers'!$A$5:$A$22,0)))/'00_Control'!$B$10,"")</f>
        <v/>
      </c>
      <c r="U2343" s="35">
        <f>IF(T2343="","",INT(T2343))</f>
        <v/>
      </c>
      <c r="V2343" s="33" t="inlineStr">
        <is>
          <t>NO</t>
        </is>
      </c>
      <c r="W2343" s="33" t="inlineStr">
        <is>
          <t>YES</t>
        </is>
      </c>
      <c r="X2343" s="33" t="inlineStr">
        <is>
          <t>NO</t>
        </is>
      </c>
      <c r="Y2343" s="33" t="n">
        <v>4</v>
      </c>
      <c r="Z2343" s="33" t="n">
        <v>6</v>
      </c>
      <c r="AA2343" s="33" t="inlineStr">
        <is>
          <t>2</t>
        </is>
      </c>
      <c r="AB2343" s="33" t="inlineStr">
        <is>
          <t>https://www.swimcloud.com/results/201799/event/9/?id=43739694#time43739694</t>
        </is>
      </c>
      <c r="AC2343" s="33" t="inlineStr">
        <is>
          <t>SwimCloud API v6 2026-10-08</t>
        </is>
      </c>
      <c r="AD2343" s="33" t="inlineStr">
        <is>
          <t>Luke Hobson|2021-08-04|LCM|200|Free|109.1|Speedo Summer Championships - West|FIN|False</t>
        </is>
      </c>
      <c r="AE2343" s="53">
        <f>G2343+L2343/1000+ROW()/1000000000</f>
        <v/>
      </c>
      <c r="AF2343" s="35">
        <f>IF(C2343&lt;&gt;"Grayson Coulter","",COUNTIFS($C$5:$C$2991,"Grayson Coulter",$Q$5:$Q$2991,Q2343,$AE$5:$AE$2991,"&lt;="&amp;AE2343,$R$5:$R$2991,"&lt;"&amp;R2343))</f>
        <v/>
      </c>
      <c r="AG2343" s="35">
        <f>IF(OR(C2343&lt;&gt;"Grayson Coulter",G2343&lt;'00_Control'!$B$7),"",--(AF2343&lt;5))</f>
        <v/>
      </c>
      <c r="AH2343" s="35">
        <f>IF(OR(C2343&lt;&gt;"Grayson Coulter",G2343&lt;'00_Control'!$B$7),"",--(AF2343&lt;10))</f>
        <v/>
      </c>
      <c r="AI2343" s="35">
        <f>IF(AND(C2343="Grayson Coulter",G2343&gt;='00_Control'!$B$7),"YES","NO")</f>
        <v/>
      </c>
      <c r="AJ2343" s="33" t="inlineStr">
        <is>
          <t>OK</t>
        </is>
      </c>
    </row>
    <row r="2344">
      <c r="A2344" s="33" t="inlineStr">
        <is>
          <t>SM002340</t>
        </is>
      </c>
      <c r="B2344" s="33" t="inlineStr">
        <is>
          <t>SW014</t>
        </is>
      </c>
      <c r="C2344" s="33" t="inlineStr">
        <is>
          <t>Luke Hobson</t>
        </is>
      </c>
      <c r="D2344" s="33" t="inlineStr">
        <is>
          <t>SwimCloud</t>
        </is>
      </c>
      <c r="E2344" s="33" t="inlineStr">
        <is>
          <t>576911</t>
        </is>
      </c>
      <c r="F2344" s="33" t="inlineStr">
        <is>
          <t>43739419</t>
        </is>
      </c>
      <c r="G2344" s="51" t="n">
        <v>44413</v>
      </c>
      <c r="H2344" s="33" t="inlineStr">
        <is>
          <t>Speedo Summer Championships - West</t>
        </is>
      </c>
      <c r="I2344" s="33" t="inlineStr">
        <is>
          <t>201799</t>
        </is>
      </c>
      <c r="J2344" s="33" t="inlineStr"/>
      <c r="K2344" s="33" t="inlineStr">
        <is>
          <t>PRE</t>
        </is>
      </c>
      <c r="L2344" s="35">
        <f>IF(K2344="FIN",3,IF(OR(K2344="SEM",K2344="SEMI"),2,IF(OR(K2344="PRE",K2344="HEAT"),1,IF(V2344="YES",4,2))))</f>
        <v/>
      </c>
      <c r="M2344" s="33" t="inlineStr">
        <is>
          <t>LCM</t>
        </is>
      </c>
      <c r="N2344" s="33" t="n">
        <v>100</v>
      </c>
      <c r="O2344" s="33" t="inlineStr">
        <is>
          <t>Fly</t>
        </is>
      </c>
      <c r="P2344" s="33" t="inlineStr">
        <is>
          <t>100 Fly</t>
        </is>
      </c>
      <c r="Q2344" s="33" t="inlineStr">
        <is>
          <t>LCM_100_FLY</t>
        </is>
      </c>
      <c r="R2344" s="36" t="n">
        <v>55.65</v>
      </c>
      <c r="S2344" s="35">
        <f>IF(R2344="","",IF(R2344&gt;=60,INT(R2344/60)&amp;":"&amp;TEXT(MOD(R2344,60),"00.00"),TEXT(R2344,"0.00")))</f>
        <v/>
      </c>
      <c r="T2344" s="52">
        <f>IFERROR((G2344-INDEX('01_Swimmers'!$E$5:$E$22,MATCH(B2344,'01_Swimmers'!$A$5:$A$22,0)))/'00_Control'!$B$10,"")</f>
        <v/>
      </c>
      <c r="U2344" s="35">
        <f>IF(T2344="","",INT(T2344))</f>
        <v/>
      </c>
      <c r="V2344" s="33" t="inlineStr">
        <is>
          <t>NO</t>
        </is>
      </c>
      <c r="W2344" s="33" t="inlineStr">
        <is>
          <t>YES</t>
        </is>
      </c>
      <c r="X2344" s="33" t="inlineStr">
        <is>
          <t>NO</t>
        </is>
      </c>
      <c r="Y2344" s="33" t="n">
        <v>7</v>
      </c>
      <c r="Z2344" s="33" t="n">
        <v>8</v>
      </c>
      <c r="AA2344" s="33" t="inlineStr">
        <is>
          <t>29</t>
        </is>
      </c>
      <c r="AB2344" s="33" t="inlineStr">
        <is>
          <t>https://www.swimcloud.com/results/201799/event/18/?id=43739419#time43739419</t>
        </is>
      </c>
      <c r="AC2344" s="33" t="inlineStr">
        <is>
          <t>SwimCloud API v6 2026-10-08</t>
        </is>
      </c>
      <c r="AD2344" s="33" t="inlineStr">
        <is>
          <t>Luke Hobson|2021-08-05|LCM|100|Fly|55.65|Speedo Summer Championships - West|PRE|False</t>
        </is>
      </c>
      <c r="AE2344" s="53">
        <f>G2344+L2344/1000+ROW()/1000000000</f>
        <v/>
      </c>
      <c r="AF2344" s="35">
        <f>IF(C2344&lt;&gt;"Grayson Coulter","",COUNTIFS($C$5:$C$2991,"Grayson Coulter",$Q$5:$Q$2991,Q2344,$AE$5:$AE$2991,"&lt;="&amp;AE2344,$R$5:$R$2991,"&lt;"&amp;R2344))</f>
        <v/>
      </c>
      <c r="AG2344" s="35">
        <f>IF(OR(C2344&lt;&gt;"Grayson Coulter",G2344&lt;'00_Control'!$B$7),"",--(AF2344&lt;5))</f>
        <v/>
      </c>
      <c r="AH2344" s="35">
        <f>IF(OR(C2344&lt;&gt;"Grayson Coulter",G2344&lt;'00_Control'!$B$7),"",--(AF2344&lt;10))</f>
        <v/>
      </c>
      <c r="AI2344" s="35">
        <f>IF(AND(C2344="Grayson Coulter",G2344&gt;='00_Control'!$B$7),"YES","NO")</f>
        <v/>
      </c>
      <c r="AJ2344" s="33" t="inlineStr">
        <is>
          <t>OK</t>
        </is>
      </c>
    </row>
    <row r="2345">
      <c r="A2345" s="33" t="inlineStr">
        <is>
          <t>SM002341</t>
        </is>
      </c>
      <c r="B2345" s="33" t="inlineStr">
        <is>
          <t>SW014</t>
        </is>
      </c>
      <c r="C2345" s="33" t="inlineStr">
        <is>
          <t>Luke Hobson</t>
        </is>
      </c>
      <c r="D2345" s="33" t="inlineStr">
        <is>
          <t>SwimCloud</t>
        </is>
      </c>
      <c r="E2345" s="33" t="inlineStr">
        <is>
          <t>576911</t>
        </is>
      </c>
      <c r="F2345" s="33" t="inlineStr">
        <is>
          <t>43739420</t>
        </is>
      </c>
      <c r="G2345" s="51" t="n">
        <v>44413</v>
      </c>
      <c r="H2345" s="33" t="inlineStr">
        <is>
          <t>Speedo Summer Championships - West</t>
        </is>
      </c>
      <c r="I2345" s="33" t="inlineStr">
        <is>
          <t>201799</t>
        </is>
      </c>
      <c r="J2345" s="33" t="inlineStr"/>
      <c r="K2345" s="33" t="inlineStr">
        <is>
          <t>FIN</t>
        </is>
      </c>
      <c r="L2345" s="35">
        <f>IF(K2345="FIN",3,IF(OR(K2345="SEM",K2345="SEMI"),2,IF(OR(K2345="PRE",K2345="HEAT"),1,IF(V2345="YES",4,2))))</f>
        <v/>
      </c>
      <c r="M2345" s="33" t="inlineStr">
        <is>
          <t>LCM</t>
        </is>
      </c>
      <c r="N2345" s="33" t="n">
        <v>100</v>
      </c>
      <c r="O2345" s="33" t="inlineStr">
        <is>
          <t>Fly</t>
        </is>
      </c>
      <c r="P2345" s="33" t="inlineStr">
        <is>
          <t>100 Fly</t>
        </is>
      </c>
      <c r="Q2345" s="33" t="inlineStr">
        <is>
          <t>LCM_100_FLY</t>
        </is>
      </c>
      <c r="R2345" s="36" t="n">
        <v>55.55</v>
      </c>
      <c r="S2345" s="35">
        <f>IF(R2345="","",IF(R2345&gt;=60,INT(R2345/60)&amp;":"&amp;TEXT(MOD(R2345,60),"00.00"),TEXT(R2345,"0.00")))</f>
        <v/>
      </c>
      <c r="T2345" s="52">
        <f>IFERROR((G2345-INDEX('01_Swimmers'!$E$5:$E$22,MATCH(B2345,'01_Swimmers'!$A$5:$A$22,0)))/'00_Control'!$B$10,"")</f>
        <v/>
      </c>
      <c r="U2345" s="35">
        <f>IF(T2345="","",INT(T2345))</f>
        <v/>
      </c>
      <c r="V2345" s="33" t="inlineStr">
        <is>
          <t>NO</t>
        </is>
      </c>
      <c r="W2345" s="33" t="inlineStr">
        <is>
          <t>YES</t>
        </is>
      </c>
      <c r="X2345" s="33" t="inlineStr">
        <is>
          <t>NO</t>
        </is>
      </c>
      <c r="Y2345" s="33" t="n">
        <v>1</v>
      </c>
      <c r="Z2345" s="33" t="n">
        <v>7</v>
      </c>
      <c r="AA2345" s="33" t="inlineStr">
        <is>
          <t>29</t>
        </is>
      </c>
      <c r="AB2345" s="33" t="inlineStr">
        <is>
          <t>https://www.swimcloud.com/results/201799/event/18/?id=43739420#time43739420</t>
        </is>
      </c>
      <c r="AC2345" s="33" t="inlineStr">
        <is>
          <t>SwimCloud API v6 2026-10-08</t>
        </is>
      </c>
      <c r="AD2345" s="33" t="inlineStr">
        <is>
          <t>Luke Hobson|2021-08-05|LCM|100|Fly|55.55|Speedo Summer Championships - West|FIN|False</t>
        </is>
      </c>
      <c r="AE2345" s="53">
        <f>G2345+L2345/1000+ROW()/1000000000</f>
        <v/>
      </c>
      <c r="AF2345" s="35">
        <f>IF(C2345&lt;&gt;"Grayson Coulter","",COUNTIFS($C$5:$C$2991,"Grayson Coulter",$Q$5:$Q$2991,Q2345,$AE$5:$AE$2991,"&lt;="&amp;AE2345,$R$5:$R$2991,"&lt;"&amp;R2345))</f>
        <v/>
      </c>
      <c r="AG2345" s="35">
        <f>IF(OR(C2345&lt;&gt;"Grayson Coulter",G2345&lt;'00_Control'!$B$7),"",--(AF2345&lt;5))</f>
        <v/>
      </c>
      <c r="AH2345" s="35">
        <f>IF(OR(C2345&lt;&gt;"Grayson Coulter",G2345&lt;'00_Control'!$B$7),"",--(AF2345&lt;10))</f>
        <v/>
      </c>
      <c r="AI2345" s="35">
        <f>IF(AND(C2345="Grayson Coulter",G2345&gt;='00_Control'!$B$7),"YES","NO")</f>
        <v/>
      </c>
      <c r="AJ2345" s="33" t="inlineStr">
        <is>
          <t>OK</t>
        </is>
      </c>
    </row>
    <row r="2346">
      <c r="A2346" s="33" t="inlineStr">
        <is>
          <t>SM002342</t>
        </is>
      </c>
      <c r="B2346" s="33" t="inlineStr">
        <is>
          <t>SW014</t>
        </is>
      </c>
      <c r="C2346" s="33" t="inlineStr">
        <is>
          <t>Luke Hobson</t>
        </is>
      </c>
      <c r="D2346" s="33" t="inlineStr">
        <is>
          <t>SwimCloud</t>
        </is>
      </c>
      <c r="E2346" s="33" t="inlineStr">
        <is>
          <t>576911</t>
        </is>
      </c>
      <c r="F2346" s="33" t="inlineStr">
        <is>
          <t>43740548</t>
        </is>
      </c>
      <c r="G2346" s="51" t="n">
        <v>44414</v>
      </c>
      <c r="H2346" s="33" t="inlineStr">
        <is>
          <t>Speedo Summer Championships - West</t>
        </is>
      </c>
      <c r="I2346" s="33" t="inlineStr">
        <is>
          <t>201799</t>
        </is>
      </c>
      <c r="J2346" s="33" t="inlineStr"/>
      <c r="K2346" s="33" t="inlineStr">
        <is>
          <t>PRE</t>
        </is>
      </c>
      <c r="L2346" s="35">
        <f>IF(K2346="FIN",3,IF(OR(K2346="SEM",K2346="SEMI"),2,IF(OR(K2346="PRE",K2346="HEAT"),1,IF(V2346="YES",4,2))))</f>
        <v/>
      </c>
      <c r="M2346" s="33" t="inlineStr">
        <is>
          <t>LCM</t>
        </is>
      </c>
      <c r="N2346" s="33" t="n">
        <v>400</v>
      </c>
      <c r="O2346" s="33" t="inlineStr">
        <is>
          <t>Free</t>
        </is>
      </c>
      <c r="P2346" s="33" t="inlineStr">
        <is>
          <t>400 Free</t>
        </is>
      </c>
      <c r="Q2346" s="33" t="inlineStr">
        <is>
          <t>LCM_400_FREE</t>
        </is>
      </c>
      <c r="R2346" s="36" t="n">
        <v>235.25</v>
      </c>
      <c r="S2346" s="35">
        <f>IF(R2346="","",IF(R2346&gt;=60,INT(R2346/60)&amp;":"&amp;TEXT(MOD(R2346,60),"00.00"),TEXT(R2346,"0.00")))</f>
        <v/>
      </c>
      <c r="T2346" s="52">
        <f>IFERROR((G2346-INDEX('01_Swimmers'!$E$5:$E$22,MATCH(B2346,'01_Swimmers'!$A$5:$A$22,0)))/'00_Control'!$B$10,"")</f>
        <v/>
      </c>
      <c r="U2346" s="35">
        <f>IF(T2346="","",INT(T2346))</f>
        <v/>
      </c>
      <c r="V2346" s="33" t="inlineStr">
        <is>
          <t>NO</t>
        </is>
      </c>
      <c r="W2346" s="33" t="inlineStr">
        <is>
          <t>YES</t>
        </is>
      </c>
      <c r="X2346" s="33" t="inlineStr">
        <is>
          <t>NO</t>
        </is>
      </c>
      <c r="Y2346" s="33" t="n">
        <v>4</v>
      </c>
      <c r="Z2346" s="33" t="n">
        <v>4</v>
      </c>
      <c r="AA2346" s="33" t="inlineStr">
        <is>
          <t>1</t>
        </is>
      </c>
      <c r="AB2346" s="33" t="inlineStr">
        <is>
          <t>https://www.swimcloud.com/results/201799/event/21/?id=43740548#time43740548</t>
        </is>
      </c>
      <c r="AC2346" s="33" t="inlineStr">
        <is>
          <t>SwimCloud API v6 2026-10-08</t>
        </is>
      </c>
      <c r="AD2346" s="33" t="inlineStr">
        <is>
          <t>Luke Hobson|2021-08-06|LCM|400|Free|235.25|Speedo Summer Championships - West|PRE|False</t>
        </is>
      </c>
      <c r="AE2346" s="53">
        <f>G2346+L2346/1000+ROW()/1000000000</f>
        <v/>
      </c>
      <c r="AF2346" s="35">
        <f>IF(C2346&lt;&gt;"Grayson Coulter","",COUNTIFS($C$5:$C$2991,"Grayson Coulter",$Q$5:$Q$2991,Q2346,$AE$5:$AE$2991,"&lt;="&amp;AE2346,$R$5:$R$2991,"&lt;"&amp;R2346))</f>
        <v/>
      </c>
      <c r="AG2346" s="35">
        <f>IF(OR(C2346&lt;&gt;"Grayson Coulter",G2346&lt;'00_Control'!$B$7),"",--(AF2346&lt;5))</f>
        <v/>
      </c>
      <c r="AH2346" s="35">
        <f>IF(OR(C2346&lt;&gt;"Grayson Coulter",G2346&lt;'00_Control'!$B$7),"",--(AF2346&lt;10))</f>
        <v/>
      </c>
      <c r="AI2346" s="35">
        <f>IF(AND(C2346="Grayson Coulter",G2346&gt;='00_Control'!$B$7),"YES","NO")</f>
        <v/>
      </c>
      <c r="AJ2346" s="33" t="inlineStr">
        <is>
          <t>OK</t>
        </is>
      </c>
    </row>
    <row r="2347">
      <c r="A2347" s="33" t="inlineStr">
        <is>
          <t>SM002343</t>
        </is>
      </c>
      <c r="B2347" s="33" t="inlineStr">
        <is>
          <t>SW014</t>
        </is>
      </c>
      <c r="C2347" s="33" t="inlineStr">
        <is>
          <t>Luke Hobson</t>
        </is>
      </c>
      <c r="D2347" s="33" t="inlineStr">
        <is>
          <t>SwimCloud</t>
        </is>
      </c>
      <c r="E2347" s="33" t="inlineStr">
        <is>
          <t>576911</t>
        </is>
      </c>
      <c r="F2347" s="33" t="inlineStr">
        <is>
          <t>43740549</t>
        </is>
      </c>
      <c r="G2347" s="51" t="n">
        <v>44414</v>
      </c>
      <c r="H2347" s="33" t="inlineStr">
        <is>
          <t>Speedo Summer Championships - West</t>
        </is>
      </c>
      <c r="I2347" s="33" t="inlineStr">
        <is>
          <t>201799</t>
        </is>
      </c>
      <c r="J2347" s="33" t="inlineStr"/>
      <c r="K2347" s="33" t="inlineStr">
        <is>
          <t>FIN</t>
        </is>
      </c>
      <c r="L2347" s="35">
        <f>IF(K2347="FIN",3,IF(OR(K2347="SEM",K2347="SEMI"),2,IF(OR(K2347="PRE",K2347="HEAT"),1,IF(V2347="YES",4,2))))</f>
        <v/>
      </c>
      <c r="M2347" s="33" t="inlineStr">
        <is>
          <t>LCM</t>
        </is>
      </c>
      <c r="N2347" s="33" t="n">
        <v>400</v>
      </c>
      <c r="O2347" s="33" t="inlineStr">
        <is>
          <t>Free</t>
        </is>
      </c>
      <c r="P2347" s="33" t="inlineStr">
        <is>
          <t>400 Free</t>
        </is>
      </c>
      <c r="Q2347" s="33" t="inlineStr">
        <is>
          <t>LCM_400_FREE</t>
        </is>
      </c>
      <c r="R2347" s="36" t="n">
        <v>233.15</v>
      </c>
      <c r="S2347" s="35">
        <f>IF(R2347="","",IF(R2347&gt;=60,INT(R2347/60)&amp;":"&amp;TEXT(MOD(R2347,60),"00.00"),TEXT(R2347,"0.00")))</f>
        <v/>
      </c>
      <c r="T2347" s="52">
        <f>IFERROR((G2347-INDEX('01_Swimmers'!$E$5:$E$22,MATCH(B2347,'01_Swimmers'!$A$5:$A$22,0)))/'00_Control'!$B$10,"")</f>
        <v/>
      </c>
      <c r="U2347" s="35">
        <f>IF(T2347="","",INT(T2347))</f>
        <v/>
      </c>
      <c r="V2347" s="33" t="inlineStr">
        <is>
          <t>NO</t>
        </is>
      </c>
      <c r="W2347" s="33" t="inlineStr">
        <is>
          <t>YES</t>
        </is>
      </c>
      <c r="X2347" s="33" t="inlineStr">
        <is>
          <t>NO</t>
        </is>
      </c>
      <c r="Y2347" s="33" t="n">
        <v>4</v>
      </c>
      <c r="Z2347" s="33" t="n">
        <v>4</v>
      </c>
      <c r="AA2347" s="33" t="inlineStr">
        <is>
          <t>2</t>
        </is>
      </c>
      <c r="AB2347" s="33" t="inlineStr">
        <is>
          <t>https://www.swimcloud.com/results/201799/event/21/?id=43740549#time43740549</t>
        </is>
      </c>
      <c r="AC2347" s="33" t="inlineStr">
        <is>
          <t>SwimCloud API v6 2026-10-08</t>
        </is>
      </c>
      <c r="AD2347" s="33" t="inlineStr">
        <is>
          <t>Luke Hobson|2021-08-06|LCM|400|Free|233.15|Speedo Summer Championships - West|FIN|False</t>
        </is>
      </c>
      <c r="AE2347" s="53">
        <f>G2347+L2347/1000+ROW()/1000000000</f>
        <v/>
      </c>
      <c r="AF2347" s="35">
        <f>IF(C2347&lt;&gt;"Grayson Coulter","",COUNTIFS($C$5:$C$2991,"Grayson Coulter",$Q$5:$Q$2991,Q2347,$AE$5:$AE$2991,"&lt;="&amp;AE2347,$R$5:$R$2991,"&lt;"&amp;R2347))</f>
        <v/>
      </c>
      <c r="AG2347" s="35">
        <f>IF(OR(C2347&lt;&gt;"Grayson Coulter",G2347&lt;'00_Control'!$B$7),"",--(AF2347&lt;5))</f>
        <v/>
      </c>
      <c r="AH2347" s="35">
        <f>IF(OR(C2347&lt;&gt;"Grayson Coulter",G2347&lt;'00_Control'!$B$7),"",--(AF2347&lt;10))</f>
        <v/>
      </c>
      <c r="AI2347" s="35">
        <f>IF(AND(C2347="Grayson Coulter",G2347&gt;='00_Control'!$B$7),"YES","NO")</f>
        <v/>
      </c>
      <c r="AJ2347" s="33" t="inlineStr">
        <is>
          <t>OK</t>
        </is>
      </c>
    </row>
    <row r="2348">
      <c r="A2348" s="33" t="inlineStr">
        <is>
          <t>SM002344</t>
        </is>
      </c>
      <c r="B2348" s="33" t="inlineStr">
        <is>
          <t>SW014</t>
        </is>
      </c>
      <c r="C2348" s="33" t="inlineStr">
        <is>
          <t>Luke Hobson</t>
        </is>
      </c>
      <c r="D2348" s="33" t="inlineStr">
        <is>
          <t>SwimCloud</t>
        </is>
      </c>
      <c r="E2348" s="33" t="inlineStr">
        <is>
          <t>576911</t>
        </is>
      </c>
      <c r="F2348" s="33" t="inlineStr">
        <is>
          <t>64635168</t>
        </is>
      </c>
      <c r="G2348" s="51" t="n">
        <v>44677</v>
      </c>
      <c r="H2348" s="33" t="inlineStr">
        <is>
          <t>Phillips 66 International Team Trials</t>
        </is>
      </c>
      <c r="I2348" s="33" t="inlineStr">
        <is>
          <t>203553</t>
        </is>
      </c>
      <c r="J2348" s="33" t="inlineStr"/>
      <c r="K2348" s="33" t="inlineStr">
        <is>
          <t>PRE</t>
        </is>
      </c>
      <c r="L2348" s="35">
        <f>IF(K2348="FIN",3,IF(OR(K2348="SEM",K2348="SEMI"),2,IF(OR(K2348="PRE",K2348="HEAT"),1,IF(V2348="YES",4,2))))</f>
        <v/>
      </c>
      <c r="M2348" s="33" t="inlineStr">
        <is>
          <t>LCM</t>
        </is>
      </c>
      <c r="N2348" s="33" t="n">
        <v>100</v>
      </c>
      <c r="O2348" s="33" t="inlineStr">
        <is>
          <t>Free</t>
        </is>
      </c>
      <c r="P2348" s="33" t="inlineStr">
        <is>
          <t>100 Free</t>
        </is>
      </c>
      <c r="Q2348" s="33" t="inlineStr">
        <is>
          <t>LCM_100_FREE</t>
        </is>
      </c>
      <c r="R2348" s="36" t="n">
        <v>49.69</v>
      </c>
      <c r="S2348" s="35">
        <f>IF(R2348="","",IF(R2348&gt;=60,INT(R2348/60)&amp;":"&amp;TEXT(MOD(R2348,60),"00.00"),TEXT(R2348,"0.00")))</f>
        <v/>
      </c>
      <c r="T2348" s="52">
        <f>IFERROR((G2348-INDEX('01_Swimmers'!$E$5:$E$22,MATCH(B2348,'01_Swimmers'!$A$5:$A$22,0)))/'00_Control'!$B$10,"")</f>
        <v/>
      </c>
      <c r="U2348" s="35">
        <f>IF(T2348="","",INT(T2348))</f>
        <v/>
      </c>
      <c r="V2348" s="33" t="inlineStr">
        <is>
          <t>NO</t>
        </is>
      </c>
      <c r="W2348" s="33" t="inlineStr">
        <is>
          <t>YES</t>
        </is>
      </c>
      <c r="X2348" s="33" t="inlineStr">
        <is>
          <t>NO</t>
        </is>
      </c>
      <c r="Y2348" s="33" t="n">
        <v>4</v>
      </c>
      <c r="Z2348" s="33" t="n">
        <v>3</v>
      </c>
      <c r="AA2348" s="33" t="inlineStr">
        <is>
          <t>19</t>
        </is>
      </c>
      <c r="AB2348" s="33" t="inlineStr">
        <is>
          <t>https://www.swimcloud.com/results/203553/event/4/?id=64635168#time64635168</t>
        </is>
      </c>
      <c r="AC2348" s="33" t="inlineStr">
        <is>
          <t>SwimCloud API v6 2026-10-08</t>
        </is>
      </c>
      <c r="AD2348" s="33" t="inlineStr">
        <is>
          <t>Luke Hobson|2022-04-26|LCM|100|Free|49.69|Phillips 66 International Team Trials|PRE|False</t>
        </is>
      </c>
      <c r="AE2348" s="53">
        <f>G2348+L2348/1000+ROW()/1000000000</f>
        <v/>
      </c>
      <c r="AF2348" s="35">
        <f>IF(C2348&lt;&gt;"Grayson Coulter","",COUNTIFS($C$5:$C$2991,"Grayson Coulter",$Q$5:$Q$2991,Q2348,$AE$5:$AE$2991,"&lt;="&amp;AE2348,$R$5:$R$2991,"&lt;"&amp;R2348))</f>
        <v/>
      </c>
      <c r="AG2348" s="35">
        <f>IF(OR(C2348&lt;&gt;"Grayson Coulter",G2348&lt;'00_Control'!$B$7),"",--(AF2348&lt;5))</f>
        <v/>
      </c>
      <c r="AH2348" s="35">
        <f>IF(OR(C2348&lt;&gt;"Grayson Coulter",G2348&lt;'00_Control'!$B$7),"",--(AF2348&lt;10))</f>
        <v/>
      </c>
      <c r="AI2348" s="35">
        <f>IF(AND(C2348="Grayson Coulter",G2348&gt;='00_Control'!$B$7),"YES","NO")</f>
        <v/>
      </c>
      <c r="AJ2348" s="33" t="inlineStr">
        <is>
          <t>OK</t>
        </is>
      </c>
    </row>
    <row r="2349">
      <c r="A2349" s="33" t="inlineStr">
        <is>
          <t>SM002345</t>
        </is>
      </c>
      <c r="B2349" s="33" t="inlineStr">
        <is>
          <t>SW014</t>
        </is>
      </c>
      <c r="C2349" s="33" t="inlineStr">
        <is>
          <t>Luke Hobson</t>
        </is>
      </c>
      <c r="D2349" s="33" t="inlineStr">
        <is>
          <t>SwimCloud</t>
        </is>
      </c>
      <c r="E2349" s="33" t="inlineStr">
        <is>
          <t>576911</t>
        </is>
      </c>
      <c r="F2349" s="33" t="inlineStr">
        <is>
          <t>64635167</t>
        </is>
      </c>
      <c r="G2349" s="51" t="n">
        <v>44677</v>
      </c>
      <c r="H2349" s="33" t="inlineStr">
        <is>
          <t>Phillips 66 International Team Trials</t>
        </is>
      </c>
      <c r="I2349" s="33" t="inlineStr">
        <is>
          <t>203553</t>
        </is>
      </c>
      <c r="J2349" s="33" t="inlineStr"/>
      <c r="K2349" s="33" t="inlineStr">
        <is>
          <t>FIN</t>
        </is>
      </c>
      <c r="L2349" s="35">
        <f>IF(K2349="FIN",3,IF(OR(K2349="SEM",K2349="SEMI"),2,IF(OR(K2349="PRE",K2349="HEAT"),1,IF(V2349="YES",4,2))))</f>
        <v/>
      </c>
      <c r="M2349" s="33" t="inlineStr">
        <is>
          <t>LCM</t>
        </is>
      </c>
      <c r="N2349" s="33" t="n">
        <v>100</v>
      </c>
      <c r="O2349" s="33" t="inlineStr">
        <is>
          <t>Free</t>
        </is>
      </c>
      <c r="P2349" s="33" t="inlineStr">
        <is>
          <t>100 Free</t>
        </is>
      </c>
      <c r="Q2349" s="33" t="inlineStr">
        <is>
          <t>LCM_100_FREE</t>
        </is>
      </c>
      <c r="R2349" s="36" t="n">
        <v>49.59</v>
      </c>
      <c r="S2349" s="35">
        <f>IF(R2349="","",IF(R2349&gt;=60,INT(R2349/60)&amp;":"&amp;TEXT(MOD(R2349,60),"00.00"),TEXT(R2349,"0.00")))</f>
        <v/>
      </c>
      <c r="T2349" s="52">
        <f>IFERROR((G2349-INDEX('01_Swimmers'!$E$5:$E$22,MATCH(B2349,'01_Swimmers'!$A$5:$A$22,0)))/'00_Control'!$B$10,"")</f>
        <v/>
      </c>
      <c r="U2349" s="35">
        <f>IF(T2349="","",INT(T2349))</f>
        <v/>
      </c>
      <c r="V2349" s="33" t="inlineStr">
        <is>
          <t>NO</t>
        </is>
      </c>
      <c r="W2349" s="33" t="inlineStr">
        <is>
          <t>YES</t>
        </is>
      </c>
      <c r="X2349" s="33" t="inlineStr">
        <is>
          <t>NO</t>
        </is>
      </c>
      <c r="Y2349" s="33" t="n">
        <v>3</v>
      </c>
      <c r="Z2349" s="33" t="n">
        <v>5</v>
      </c>
      <c r="AA2349" s="33" t="inlineStr">
        <is>
          <t>17</t>
        </is>
      </c>
      <c r="AB2349" s="33" t="inlineStr">
        <is>
          <t>https://www.swimcloud.com/results/203553/event/4/?id=64635167#time64635167</t>
        </is>
      </c>
      <c r="AC2349" s="33" t="inlineStr">
        <is>
          <t>SwimCloud API v6 2026-10-08</t>
        </is>
      </c>
      <c r="AD2349" s="33" t="inlineStr">
        <is>
          <t>Luke Hobson|2022-04-26|LCM|100|Free|49.59|Phillips 66 International Team Trials|FIN|False</t>
        </is>
      </c>
      <c r="AE2349" s="53">
        <f>G2349+L2349/1000+ROW()/1000000000</f>
        <v/>
      </c>
      <c r="AF2349" s="35">
        <f>IF(C2349&lt;&gt;"Grayson Coulter","",COUNTIFS($C$5:$C$2991,"Grayson Coulter",$Q$5:$Q$2991,Q2349,$AE$5:$AE$2991,"&lt;="&amp;AE2349,$R$5:$R$2991,"&lt;"&amp;R2349))</f>
        <v/>
      </c>
      <c r="AG2349" s="35">
        <f>IF(OR(C2349&lt;&gt;"Grayson Coulter",G2349&lt;'00_Control'!$B$7),"",--(AF2349&lt;5))</f>
        <v/>
      </c>
      <c r="AH2349" s="35">
        <f>IF(OR(C2349&lt;&gt;"Grayson Coulter",G2349&lt;'00_Control'!$B$7),"",--(AF2349&lt;10))</f>
        <v/>
      </c>
      <c r="AI2349" s="35">
        <f>IF(AND(C2349="Grayson Coulter",G2349&gt;='00_Control'!$B$7),"YES","NO")</f>
        <v/>
      </c>
      <c r="AJ2349" s="33" t="inlineStr">
        <is>
          <t>OK</t>
        </is>
      </c>
    </row>
    <row r="2350">
      <c r="A2350" s="33" t="inlineStr">
        <is>
          <t>SM002346</t>
        </is>
      </c>
      <c r="B2350" s="33" t="inlineStr">
        <is>
          <t>SW014</t>
        </is>
      </c>
      <c r="C2350" s="33" t="inlineStr">
        <is>
          <t>Luke Hobson</t>
        </is>
      </c>
      <c r="D2350" s="33" t="inlineStr">
        <is>
          <t>SwimCloud</t>
        </is>
      </c>
      <c r="E2350" s="33" t="inlineStr">
        <is>
          <t>576911</t>
        </is>
      </c>
      <c r="F2350" s="33" t="inlineStr">
        <is>
          <t>64635170</t>
        </is>
      </c>
      <c r="G2350" s="51" t="n">
        <v>44678</v>
      </c>
      <c r="H2350" s="33" t="inlineStr">
        <is>
          <t>Phillips 66 International Team Trials</t>
        </is>
      </c>
      <c r="I2350" s="33" t="inlineStr">
        <is>
          <t>203553</t>
        </is>
      </c>
      <c r="J2350" s="33" t="inlineStr"/>
      <c r="K2350" s="33" t="inlineStr">
        <is>
          <t>PRE</t>
        </is>
      </c>
      <c r="L2350" s="35">
        <f>IF(K2350="FIN",3,IF(OR(K2350="SEM",K2350="SEMI"),2,IF(OR(K2350="PRE",K2350="HEAT"),1,IF(V2350="YES",4,2))))</f>
        <v/>
      </c>
      <c r="M2350" s="33" t="inlineStr">
        <is>
          <t>LCM</t>
        </is>
      </c>
      <c r="N2350" s="33" t="n">
        <v>200</v>
      </c>
      <c r="O2350" s="33" t="inlineStr">
        <is>
          <t>Free</t>
        </is>
      </c>
      <c r="P2350" s="33" t="inlineStr">
        <is>
          <t>200 Free</t>
        </is>
      </c>
      <c r="Q2350" s="33" t="inlineStr">
        <is>
          <t>LCM_200_FREE</t>
        </is>
      </c>
      <c r="R2350" s="36" t="n">
        <v>106.92</v>
      </c>
      <c r="S2350" s="35">
        <f>IF(R2350="","",IF(R2350&gt;=60,INT(R2350/60)&amp;":"&amp;TEXT(MOD(R2350,60),"00.00"),TEXT(R2350,"0.00")))</f>
        <v/>
      </c>
      <c r="T2350" s="52">
        <f>IFERROR((G2350-INDEX('01_Swimmers'!$E$5:$E$22,MATCH(B2350,'01_Swimmers'!$A$5:$A$22,0)))/'00_Control'!$B$10,"")</f>
        <v/>
      </c>
      <c r="U2350" s="35">
        <f>IF(T2350="","",INT(T2350))</f>
        <v/>
      </c>
      <c r="V2350" s="33" t="inlineStr">
        <is>
          <t>NO</t>
        </is>
      </c>
      <c r="W2350" s="33" t="inlineStr">
        <is>
          <t>YES</t>
        </is>
      </c>
      <c r="X2350" s="33" t="inlineStr">
        <is>
          <t>NO</t>
        </is>
      </c>
      <c r="Y2350" s="33" t="n">
        <v>7</v>
      </c>
      <c r="Z2350" s="33" t="n">
        <v>1</v>
      </c>
      <c r="AA2350" s="33" t="inlineStr">
        <is>
          <t>6</t>
        </is>
      </c>
      <c r="AB2350" s="33" t="inlineStr">
        <is>
          <t>https://www.swimcloud.com/results/203553/event/8/?id=64635170#time64635170</t>
        </is>
      </c>
      <c r="AC2350" s="33" t="inlineStr">
        <is>
          <t>SwimCloud API v6 2026-10-08</t>
        </is>
      </c>
      <c r="AD2350" s="33" t="inlineStr">
        <is>
          <t>Luke Hobson|2022-04-27|LCM|200|Free|106.92|Phillips 66 International Team Trials|PRE|False</t>
        </is>
      </c>
      <c r="AE2350" s="53">
        <f>G2350+L2350/1000+ROW()/1000000000</f>
        <v/>
      </c>
      <c r="AF2350" s="35">
        <f>IF(C2350&lt;&gt;"Grayson Coulter","",COUNTIFS($C$5:$C$2991,"Grayson Coulter",$Q$5:$Q$2991,Q2350,$AE$5:$AE$2991,"&lt;="&amp;AE2350,$R$5:$R$2991,"&lt;"&amp;R2350))</f>
        <v/>
      </c>
      <c r="AG2350" s="35">
        <f>IF(OR(C2350&lt;&gt;"Grayson Coulter",G2350&lt;'00_Control'!$B$7),"",--(AF2350&lt;5))</f>
        <v/>
      </c>
      <c r="AH2350" s="35">
        <f>IF(OR(C2350&lt;&gt;"Grayson Coulter",G2350&lt;'00_Control'!$B$7),"",--(AF2350&lt;10))</f>
        <v/>
      </c>
      <c r="AI2350" s="35">
        <f>IF(AND(C2350="Grayson Coulter",G2350&gt;='00_Control'!$B$7),"YES","NO")</f>
        <v/>
      </c>
      <c r="AJ2350" s="33" t="inlineStr">
        <is>
          <t>OK</t>
        </is>
      </c>
    </row>
    <row r="2351">
      <c r="A2351" s="33" t="inlineStr">
        <is>
          <t>SM002347</t>
        </is>
      </c>
      <c r="B2351" s="33" t="inlineStr">
        <is>
          <t>SW014</t>
        </is>
      </c>
      <c r="C2351" s="33" t="inlineStr">
        <is>
          <t>Luke Hobson</t>
        </is>
      </c>
      <c r="D2351" s="33" t="inlineStr">
        <is>
          <t>SwimCloud</t>
        </is>
      </c>
      <c r="E2351" s="33" t="inlineStr">
        <is>
          <t>576911</t>
        </is>
      </c>
      <c r="F2351" s="33" t="inlineStr">
        <is>
          <t>64635169</t>
        </is>
      </c>
      <c r="G2351" s="51" t="n">
        <v>44678</v>
      </c>
      <c r="H2351" s="33" t="inlineStr">
        <is>
          <t>Phillips 66 International Team Trials</t>
        </is>
      </c>
      <c r="I2351" s="33" t="inlineStr">
        <is>
          <t>203553</t>
        </is>
      </c>
      <c r="J2351" s="33" t="inlineStr"/>
      <c r="K2351" s="33" t="inlineStr">
        <is>
          <t>FIN</t>
        </is>
      </c>
      <c r="L2351" s="35">
        <f>IF(K2351="FIN",3,IF(OR(K2351="SEM",K2351="SEMI"),2,IF(OR(K2351="PRE",K2351="HEAT"),1,IF(V2351="YES",4,2))))</f>
        <v/>
      </c>
      <c r="M2351" s="33" t="inlineStr">
        <is>
          <t>LCM</t>
        </is>
      </c>
      <c r="N2351" s="33" t="n">
        <v>200</v>
      </c>
      <c r="O2351" s="33" t="inlineStr">
        <is>
          <t>Free</t>
        </is>
      </c>
      <c r="P2351" s="33" t="inlineStr">
        <is>
          <t>200 Free</t>
        </is>
      </c>
      <c r="Q2351" s="33" t="inlineStr">
        <is>
          <t>LCM_200_FREE</t>
        </is>
      </c>
      <c r="R2351" s="36" t="n">
        <v>107.43</v>
      </c>
      <c r="S2351" s="35">
        <f>IF(R2351="","",IF(R2351&gt;=60,INT(R2351/60)&amp;":"&amp;TEXT(MOD(R2351,60),"00.00"),TEXT(R2351,"0.00")))</f>
        <v/>
      </c>
      <c r="T2351" s="52">
        <f>IFERROR((G2351-INDEX('01_Swimmers'!$E$5:$E$22,MATCH(B2351,'01_Swimmers'!$A$5:$A$22,0)))/'00_Control'!$B$10,"")</f>
        <v/>
      </c>
      <c r="U2351" s="35">
        <f>IF(T2351="","",INT(T2351))</f>
        <v/>
      </c>
      <c r="V2351" s="33" t="inlineStr">
        <is>
          <t>NO</t>
        </is>
      </c>
      <c r="W2351" s="33" t="inlineStr">
        <is>
          <t>YES</t>
        </is>
      </c>
      <c r="X2351" s="33" t="inlineStr">
        <is>
          <t>NO</t>
        </is>
      </c>
      <c r="Y2351" s="33" t="n">
        <v>1</v>
      </c>
      <c r="Z2351" s="33" t="n">
        <v>7</v>
      </c>
      <c r="AA2351" s="33" t="inlineStr">
        <is>
          <t>7</t>
        </is>
      </c>
      <c r="AB2351" s="33" t="inlineStr">
        <is>
          <t>https://www.swimcloud.com/results/203553/event/8/?id=64635169#time64635169</t>
        </is>
      </c>
      <c r="AC2351" s="33" t="inlineStr">
        <is>
          <t>SwimCloud API v6 2026-10-08</t>
        </is>
      </c>
      <c r="AD2351" s="33" t="inlineStr">
        <is>
          <t>Luke Hobson|2022-04-27|LCM|200|Free|107.43|Phillips 66 International Team Trials|FIN|False</t>
        </is>
      </c>
      <c r="AE2351" s="53">
        <f>G2351+L2351/1000+ROW()/1000000000</f>
        <v/>
      </c>
      <c r="AF2351" s="35">
        <f>IF(C2351&lt;&gt;"Grayson Coulter","",COUNTIFS($C$5:$C$2991,"Grayson Coulter",$Q$5:$Q$2991,Q2351,$AE$5:$AE$2991,"&lt;="&amp;AE2351,$R$5:$R$2991,"&lt;"&amp;R2351))</f>
        <v/>
      </c>
      <c r="AG2351" s="35">
        <f>IF(OR(C2351&lt;&gt;"Grayson Coulter",G2351&lt;'00_Control'!$B$7),"",--(AF2351&lt;5))</f>
        <v/>
      </c>
      <c r="AH2351" s="35">
        <f>IF(OR(C2351&lt;&gt;"Grayson Coulter",G2351&lt;'00_Control'!$B$7),"",--(AF2351&lt;10))</f>
        <v/>
      </c>
      <c r="AI2351" s="35">
        <f>IF(AND(C2351="Grayson Coulter",G2351&gt;='00_Control'!$B$7),"YES","NO")</f>
        <v/>
      </c>
      <c r="AJ2351" s="33" t="inlineStr">
        <is>
          <t>OK</t>
        </is>
      </c>
    </row>
    <row r="2352">
      <c r="A2352" s="33" t="inlineStr">
        <is>
          <t>SM002348</t>
        </is>
      </c>
      <c r="B2352" s="33" t="inlineStr">
        <is>
          <t>SW014</t>
        </is>
      </c>
      <c r="C2352" s="33" t="inlineStr">
        <is>
          <t>Luke Hobson</t>
        </is>
      </c>
      <c r="D2352" s="33" t="inlineStr">
        <is>
          <t>SwimCloud</t>
        </is>
      </c>
      <c r="E2352" s="33" t="inlineStr">
        <is>
          <t>576911</t>
        </is>
      </c>
      <c r="F2352" s="33" t="inlineStr">
        <is>
          <t>64635172</t>
        </is>
      </c>
      <c r="G2352" s="51" t="n">
        <v>44680</v>
      </c>
      <c r="H2352" s="33" t="inlineStr">
        <is>
          <t>Phillips 66 International Team Trials</t>
        </is>
      </c>
      <c r="I2352" s="33" t="inlineStr">
        <is>
          <t>203553</t>
        </is>
      </c>
      <c r="J2352" s="33" t="inlineStr"/>
      <c r="K2352" s="33" t="inlineStr">
        <is>
          <t>PRE</t>
        </is>
      </c>
      <c r="L2352" s="35">
        <f>IF(K2352="FIN",3,IF(OR(K2352="SEM",K2352="SEMI"),2,IF(OR(K2352="PRE",K2352="HEAT"),1,IF(V2352="YES",4,2))))</f>
        <v/>
      </c>
      <c r="M2352" s="33" t="inlineStr">
        <is>
          <t>LCM</t>
        </is>
      </c>
      <c r="N2352" s="33" t="n">
        <v>400</v>
      </c>
      <c r="O2352" s="33" t="inlineStr">
        <is>
          <t>Free</t>
        </is>
      </c>
      <c r="P2352" s="33" t="inlineStr">
        <is>
          <t>400 Free</t>
        </is>
      </c>
      <c r="Q2352" s="33" t="inlineStr">
        <is>
          <t>LCM_400_FREE</t>
        </is>
      </c>
      <c r="R2352" s="36" t="n">
        <v>230.28</v>
      </c>
      <c r="S2352" s="35">
        <f>IF(R2352="","",IF(R2352&gt;=60,INT(R2352/60)&amp;":"&amp;TEXT(MOD(R2352,60),"00.00"),TEXT(R2352,"0.00")))</f>
        <v/>
      </c>
      <c r="T2352" s="52">
        <f>IFERROR((G2352-INDEX('01_Swimmers'!$E$5:$E$22,MATCH(B2352,'01_Swimmers'!$A$5:$A$22,0)))/'00_Control'!$B$10,"")</f>
        <v/>
      </c>
      <c r="U2352" s="35">
        <f>IF(T2352="","",INT(T2352))</f>
        <v/>
      </c>
      <c r="V2352" s="33" t="inlineStr">
        <is>
          <t>NO</t>
        </is>
      </c>
      <c r="W2352" s="33" t="inlineStr">
        <is>
          <t>YES</t>
        </is>
      </c>
      <c r="X2352" s="33" t="inlineStr">
        <is>
          <t>NO</t>
        </is>
      </c>
      <c r="Y2352" s="33" t="n">
        <v>5</v>
      </c>
      <c r="Z2352" s="33" t="n">
        <v>7</v>
      </c>
      <c r="AA2352" s="33" t="inlineStr">
        <is>
          <t>1</t>
        </is>
      </c>
      <c r="AB2352" s="33" t="inlineStr">
        <is>
          <t>https://www.swimcloud.com/results/203553/event/24/?id=64635172#time64635172</t>
        </is>
      </c>
      <c r="AC2352" s="33" t="inlineStr">
        <is>
          <t>SwimCloud API v6 2026-10-08</t>
        </is>
      </c>
      <c r="AD2352" s="33" t="inlineStr">
        <is>
          <t>Luke Hobson|2022-04-29|LCM|400|Free|230.28|Phillips 66 International Team Trials|PRE|False</t>
        </is>
      </c>
      <c r="AE2352" s="53">
        <f>G2352+L2352/1000+ROW()/1000000000</f>
        <v/>
      </c>
      <c r="AF2352" s="35">
        <f>IF(C2352&lt;&gt;"Grayson Coulter","",COUNTIFS($C$5:$C$2991,"Grayson Coulter",$Q$5:$Q$2991,Q2352,$AE$5:$AE$2991,"&lt;="&amp;AE2352,$R$5:$R$2991,"&lt;"&amp;R2352))</f>
        <v/>
      </c>
      <c r="AG2352" s="35">
        <f>IF(OR(C2352&lt;&gt;"Grayson Coulter",G2352&lt;'00_Control'!$B$7),"",--(AF2352&lt;5))</f>
        <v/>
      </c>
      <c r="AH2352" s="35">
        <f>IF(OR(C2352&lt;&gt;"Grayson Coulter",G2352&lt;'00_Control'!$B$7),"",--(AF2352&lt;10))</f>
        <v/>
      </c>
      <c r="AI2352" s="35">
        <f>IF(AND(C2352="Grayson Coulter",G2352&gt;='00_Control'!$B$7),"YES","NO")</f>
        <v/>
      </c>
      <c r="AJ2352" s="33" t="inlineStr">
        <is>
          <t>OK</t>
        </is>
      </c>
    </row>
    <row r="2353">
      <c r="A2353" s="33" t="inlineStr">
        <is>
          <t>SM002349</t>
        </is>
      </c>
      <c r="B2353" s="33" t="inlineStr">
        <is>
          <t>SW014</t>
        </is>
      </c>
      <c r="C2353" s="33" t="inlineStr">
        <is>
          <t>Luke Hobson</t>
        </is>
      </c>
      <c r="D2353" s="33" t="inlineStr">
        <is>
          <t>SwimCloud</t>
        </is>
      </c>
      <c r="E2353" s="33" t="inlineStr">
        <is>
          <t>576911</t>
        </is>
      </c>
      <c r="F2353" s="33" t="inlineStr">
        <is>
          <t>64635171</t>
        </is>
      </c>
      <c r="G2353" s="51" t="n">
        <v>44680</v>
      </c>
      <c r="H2353" s="33" t="inlineStr">
        <is>
          <t>Phillips 66 International Team Trials</t>
        </is>
      </c>
      <c r="I2353" s="33" t="inlineStr">
        <is>
          <t>203553</t>
        </is>
      </c>
      <c r="J2353" s="33" t="inlineStr"/>
      <c r="K2353" s="33" t="inlineStr">
        <is>
          <t>FIN</t>
        </is>
      </c>
      <c r="L2353" s="35">
        <f>IF(K2353="FIN",3,IF(OR(K2353="SEM",K2353="SEMI"),2,IF(OR(K2353="PRE",K2353="HEAT"),1,IF(V2353="YES",4,2))))</f>
        <v/>
      </c>
      <c r="M2353" s="33" t="inlineStr">
        <is>
          <t>LCM</t>
        </is>
      </c>
      <c r="N2353" s="33" t="n">
        <v>400</v>
      </c>
      <c r="O2353" s="33" t="inlineStr">
        <is>
          <t>Free</t>
        </is>
      </c>
      <c r="P2353" s="33" t="inlineStr">
        <is>
          <t>400 Free</t>
        </is>
      </c>
      <c r="Q2353" s="33" t="inlineStr">
        <is>
          <t>LCM_400_FREE</t>
        </is>
      </c>
      <c r="R2353" s="36" t="n">
        <v>232.94</v>
      </c>
      <c r="S2353" s="35">
        <f>IF(R2353="","",IF(R2353&gt;=60,INT(R2353/60)&amp;":"&amp;TEXT(MOD(R2353,60),"00.00"),TEXT(R2353,"0.00")))</f>
        <v/>
      </c>
      <c r="T2353" s="52">
        <f>IFERROR((G2353-INDEX('01_Swimmers'!$E$5:$E$22,MATCH(B2353,'01_Swimmers'!$A$5:$A$22,0)))/'00_Control'!$B$10,"")</f>
        <v/>
      </c>
      <c r="U2353" s="35">
        <f>IF(T2353="","",INT(T2353))</f>
        <v/>
      </c>
      <c r="V2353" s="33" t="inlineStr">
        <is>
          <t>NO</t>
        </is>
      </c>
      <c r="W2353" s="33" t="inlineStr">
        <is>
          <t>YES</t>
        </is>
      </c>
      <c r="X2353" s="33" t="inlineStr">
        <is>
          <t>NO</t>
        </is>
      </c>
      <c r="Y2353" s="33" t="n">
        <v>1</v>
      </c>
      <c r="Z2353" s="33" t="n">
        <v>4</v>
      </c>
      <c r="AA2353" s="33" t="inlineStr">
        <is>
          <t>7</t>
        </is>
      </c>
      <c r="AB2353" s="33" t="inlineStr">
        <is>
          <t>https://www.swimcloud.com/results/203553/event/24/?id=64635171#time64635171</t>
        </is>
      </c>
      <c r="AC2353" s="33" t="inlineStr">
        <is>
          <t>SwimCloud API v6 2026-10-08</t>
        </is>
      </c>
      <c r="AD2353" s="33" t="inlineStr">
        <is>
          <t>Luke Hobson|2022-04-29|LCM|400|Free|232.94|Phillips 66 International Team Trials|FIN|False</t>
        </is>
      </c>
      <c r="AE2353" s="53">
        <f>G2353+L2353/1000+ROW()/1000000000</f>
        <v/>
      </c>
      <c r="AF2353" s="35">
        <f>IF(C2353&lt;&gt;"Grayson Coulter","",COUNTIFS($C$5:$C$2991,"Grayson Coulter",$Q$5:$Q$2991,Q2353,$AE$5:$AE$2991,"&lt;="&amp;AE2353,$R$5:$R$2991,"&lt;"&amp;R2353))</f>
        <v/>
      </c>
      <c r="AG2353" s="35">
        <f>IF(OR(C2353&lt;&gt;"Grayson Coulter",G2353&lt;'00_Control'!$B$7),"",--(AF2353&lt;5))</f>
        <v/>
      </c>
      <c r="AH2353" s="35">
        <f>IF(OR(C2353&lt;&gt;"Grayson Coulter",G2353&lt;'00_Control'!$B$7),"",--(AF2353&lt;10))</f>
        <v/>
      </c>
      <c r="AI2353" s="35">
        <f>IF(AND(C2353="Grayson Coulter",G2353&gt;='00_Control'!$B$7),"YES","NO")</f>
        <v/>
      </c>
      <c r="AJ2353" s="33" t="inlineStr">
        <is>
          <t>OK</t>
        </is>
      </c>
    </row>
    <row r="2354">
      <c r="A2354" s="33" t="inlineStr">
        <is>
          <t>SM002350</t>
        </is>
      </c>
      <c r="B2354" s="33" t="inlineStr">
        <is>
          <t>SW014</t>
        </is>
      </c>
      <c r="C2354" s="33" t="inlineStr">
        <is>
          <t>Luke Hobson</t>
        </is>
      </c>
      <c r="D2354" s="33" t="inlineStr">
        <is>
          <t>SwimCloud</t>
        </is>
      </c>
      <c r="E2354" s="33" t="inlineStr">
        <is>
          <t>576911</t>
        </is>
      </c>
      <c r="F2354" s="33" t="inlineStr">
        <is>
          <t>67765007</t>
        </is>
      </c>
      <c r="G2354" s="51" t="n">
        <v>44736</v>
      </c>
      <c r="H2354" s="33" t="inlineStr">
        <is>
          <t>ST TXLA Texas Open</t>
        </is>
      </c>
      <c r="I2354" s="33" t="inlineStr">
        <is>
          <t>233826</t>
        </is>
      </c>
      <c r="J2354" s="33" t="inlineStr"/>
      <c r="K2354" s="33" t="inlineStr">
        <is>
          <t>TIM</t>
        </is>
      </c>
      <c r="L2354" s="35">
        <f>IF(K2354="FIN",3,IF(OR(K2354="SEM",K2354="SEMI"),2,IF(OR(K2354="PRE",K2354="HEAT"),1,IF(V2354="YES",4,2))))</f>
        <v/>
      </c>
      <c r="M2354" s="33" t="inlineStr">
        <is>
          <t>LCM</t>
        </is>
      </c>
      <c r="N2354" s="33" t="n">
        <v>100</v>
      </c>
      <c r="O2354" s="33" t="inlineStr">
        <is>
          <t>Free</t>
        </is>
      </c>
      <c r="P2354" s="33" t="inlineStr">
        <is>
          <t>100 Free</t>
        </is>
      </c>
      <c r="Q2354" s="33" t="inlineStr">
        <is>
          <t>LCM_100_FREE</t>
        </is>
      </c>
      <c r="R2354" s="36" t="n">
        <v>50.76</v>
      </c>
      <c r="S2354" s="35">
        <f>IF(R2354="","",IF(R2354&gt;=60,INT(R2354/60)&amp;":"&amp;TEXT(MOD(R2354,60),"00.00"),TEXT(R2354,"0.00")))</f>
        <v/>
      </c>
      <c r="T2354" s="52">
        <f>IFERROR((G2354-INDEX('01_Swimmers'!$E$5:$E$22,MATCH(B2354,'01_Swimmers'!$A$5:$A$22,0)))/'00_Control'!$B$10,"")</f>
        <v/>
      </c>
      <c r="U2354" s="35">
        <f>IF(T2354="","",INT(T2354))</f>
        <v/>
      </c>
      <c r="V2354" s="33" t="inlineStr">
        <is>
          <t>NO</t>
        </is>
      </c>
      <c r="W2354" s="33" t="inlineStr">
        <is>
          <t>YES</t>
        </is>
      </c>
      <c r="X2354" s="33" t="inlineStr">
        <is>
          <t>NO</t>
        </is>
      </c>
      <c r="Y2354" s="33" t="n">
        <v>1</v>
      </c>
      <c r="Z2354" s="33" t="n">
        <v>5</v>
      </c>
      <c r="AA2354" s="33" t="inlineStr">
        <is>
          <t>1</t>
        </is>
      </c>
      <c r="AB2354" s="33" t="inlineStr">
        <is>
          <t>https://www.swimcloud.com/results/233826/event/1/?id=67765007#time67765007</t>
        </is>
      </c>
      <c r="AC2354" s="33" t="inlineStr">
        <is>
          <t>SwimCloud API v6 2026-10-08</t>
        </is>
      </c>
      <c r="AD2354" s="33" t="inlineStr">
        <is>
          <t>Luke Hobson|2022-06-24|LCM|100|Free|50.76|ST TXLA Texas Open|TIM|False</t>
        </is>
      </c>
      <c r="AE2354" s="53">
        <f>G2354+L2354/1000+ROW()/1000000000</f>
        <v/>
      </c>
      <c r="AF2354" s="35">
        <f>IF(C2354&lt;&gt;"Grayson Coulter","",COUNTIFS($C$5:$C$2991,"Grayson Coulter",$Q$5:$Q$2991,Q2354,$AE$5:$AE$2991,"&lt;="&amp;AE2354,$R$5:$R$2991,"&lt;"&amp;R2354))</f>
        <v/>
      </c>
      <c r="AG2354" s="35">
        <f>IF(OR(C2354&lt;&gt;"Grayson Coulter",G2354&lt;'00_Control'!$B$7),"",--(AF2354&lt;5))</f>
        <v/>
      </c>
      <c r="AH2354" s="35">
        <f>IF(OR(C2354&lt;&gt;"Grayson Coulter",G2354&lt;'00_Control'!$B$7),"",--(AF2354&lt;10))</f>
        <v/>
      </c>
      <c r="AI2354" s="35">
        <f>IF(AND(C2354="Grayson Coulter",G2354&gt;='00_Control'!$B$7),"YES","NO")</f>
        <v/>
      </c>
      <c r="AJ2354" s="33" t="inlineStr">
        <is>
          <t>OK</t>
        </is>
      </c>
    </row>
    <row r="2355">
      <c r="A2355" s="33" t="inlineStr">
        <is>
          <t>SM002351</t>
        </is>
      </c>
      <c r="B2355" s="33" t="inlineStr">
        <is>
          <t>SW014</t>
        </is>
      </c>
      <c r="C2355" s="33" t="inlineStr">
        <is>
          <t>Luke Hobson</t>
        </is>
      </c>
      <c r="D2355" s="33" t="inlineStr">
        <is>
          <t>SwimCloud</t>
        </is>
      </c>
      <c r="E2355" s="33" t="inlineStr">
        <is>
          <t>576911</t>
        </is>
      </c>
      <c r="F2355" s="33" t="inlineStr">
        <is>
          <t>67764964</t>
        </is>
      </c>
      <c r="G2355" s="51" t="n">
        <v>44737</v>
      </c>
      <c r="H2355" s="33" t="inlineStr">
        <is>
          <t>ST TXLA Texas Open</t>
        </is>
      </c>
      <c r="I2355" s="33" t="inlineStr">
        <is>
          <t>233826</t>
        </is>
      </c>
      <c r="J2355" s="33" t="inlineStr"/>
      <c r="K2355" s="33" t="inlineStr">
        <is>
          <t>TIM</t>
        </is>
      </c>
      <c r="L2355" s="35">
        <f>IF(K2355="FIN",3,IF(OR(K2355="SEM",K2355="SEMI"),2,IF(OR(K2355="PRE",K2355="HEAT"),1,IF(V2355="YES",4,2))))</f>
        <v/>
      </c>
      <c r="M2355" s="33" t="inlineStr">
        <is>
          <t>LCM</t>
        </is>
      </c>
      <c r="N2355" s="33" t="n">
        <v>400</v>
      </c>
      <c r="O2355" s="33" t="inlineStr">
        <is>
          <t>Free</t>
        </is>
      </c>
      <c r="P2355" s="33" t="inlineStr">
        <is>
          <t>400 Free</t>
        </is>
      </c>
      <c r="Q2355" s="33" t="inlineStr">
        <is>
          <t>LCM_400_FREE</t>
        </is>
      </c>
      <c r="R2355" s="36" t="n">
        <v>236.57</v>
      </c>
      <c r="S2355" s="35">
        <f>IF(R2355="","",IF(R2355&gt;=60,INT(R2355/60)&amp;":"&amp;TEXT(MOD(R2355,60),"00.00"),TEXT(R2355,"0.00")))</f>
        <v/>
      </c>
      <c r="T2355" s="52">
        <f>IFERROR((G2355-INDEX('01_Swimmers'!$E$5:$E$22,MATCH(B2355,'01_Swimmers'!$A$5:$A$22,0)))/'00_Control'!$B$10,"")</f>
        <v/>
      </c>
      <c r="U2355" s="35">
        <f>IF(T2355="","",INT(T2355))</f>
        <v/>
      </c>
      <c r="V2355" s="33" t="inlineStr">
        <is>
          <t>NO</t>
        </is>
      </c>
      <c r="W2355" s="33" t="inlineStr">
        <is>
          <t>YES</t>
        </is>
      </c>
      <c r="X2355" s="33" t="inlineStr">
        <is>
          <t>NO</t>
        </is>
      </c>
      <c r="Y2355" s="33" t="n">
        <v>1</v>
      </c>
      <c r="Z2355" s="33" t="n">
        <v>4</v>
      </c>
      <c r="AA2355" s="33" t="inlineStr">
        <is>
          <t>1</t>
        </is>
      </c>
      <c r="AB2355" s="33" t="inlineStr">
        <is>
          <t>https://www.swimcloud.com/results/233826/event/10/?id=67764964#time67764964</t>
        </is>
      </c>
      <c r="AC2355" s="33" t="inlineStr">
        <is>
          <t>SwimCloud API v6 2026-10-08</t>
        </is>
      </c>
      <c r="AD2355" s="33" t="inlineStr">
        <is>
          <t>Luke Hobson|2022-06-25|LCM|400|Free|236.57|ST TXLA Texas Open|TIM|False</t>
        </is>
      </c>
      <c r="AE2355" s="53">
        <f>G2355+L2355/1000+ROW()/1000000000</f>
        <v/>
      </c>
      <c r="AF2355" s="35">
        <f>IF(C2355&lt;&gt;"Grayson Coulter","",COUNTIFS($C$5:$C$2991,"Grayson Coulter",$Q$5:$Q$2991,Q2355,$AE$5:$AE$2991,"&lt;="&amp;AE2355,$R$5:$R$2991,"&lt;"&amp;R2355))</f>
        <v/>
      </c>
      <c r="AG2355" s="35">
        <f>IF(OR(C2355&lt;&gt;"Grayson Coulter",G2355&lt;'00_Control'!$B$7),"",--(AF2355&lt;5))</f>
        <v/>
      </c>
      <c r="AH2355" s="35">
        <f>IF(OR(C2355&lt;&gt;"Grayson Coulter",G2355&lt;'00_Control'!$B$7),"",--(AF2355&lt;10))</f>
        <v/>
      </c>
      <c r="AI2355" s="35">
        <f>IF(AND(C2355="Grayson Coulter",G2355&gt;='00_Control'!$B$7),"YES","NO")</f>
        <v/>
      </c>
      <c r="AJ2355" s="33" t="inlineStr">
        <is>
          <t>OK</t>
        </is>
      </c>
    </row>
    <row r="2356">
      <c r="A2356" s="33" t="inlineStr">
        <is>
          <t>SM002352</t>
        </is>
      </c>
      <c r="B2356" s="33" t="inlineStr">
        <is>
          <t>SW014</t>
        </is>
      </c>
      <c r="C2356" s="33" t="inlineStr">
        <is>
          <t>Luke Hobson</t>
        </is>
      </c>
      <c r="D2356" s="33" t="inlineStr">
        <is>
          <t>SwimCloud</t>
        </is>
      </c>
      <c r="E2356" s="33" t="inlineStr">
        <is>
          <t>576911</t>
        </is>
      </c>
      <c r="F2356" s="33" t="inlineStr">
        <is>
          <t>68455853</t>
        </is>
      </c>
      <c r="G2356" s="51" t="n">
        <v>44751</v>
      </c>
      <c r="H2356" s="33" t="inlineStr">
        <is>
          <t>Speedo Sectionals - Austin</t>
        </is>
      </c>
      <c r="I2356" s="33" t="inlineStr">
        <is>
          <t>234636</t>
        </is>
      </c>
      <c r="J2356" s="33" t="inlineStr"/>
      <c r="K2356" s="33" t="inlineStr">
        <is>
          <t>PRE</t>
        </is>
      </c>
      <c r="L2356" s="35">
        <f>IF(K2356="FIN",3,IF(OR(K2356="SEM",K2356="SEMI"),2,IF(OR(K2356="PRE",K2356="HEAT"),1,IF(V2356="YES",4,2))))</f>
        <v/>
      </c>
      <c r="M2356" s="33" t="inlineStr">
        <is>
          <t>LCM</t>
        </is>
      </c>
      <c r="N2356" s="33" t="n">
        <v>400</v>
      </c>
      <c r="O2356" s="33" t="inlineStr">
        <is>
          <t>Free</t>
        </is>
      </c>
      <c r="P2356" s="33" t="inlineStr">
        <is>
          <t>400 Free</t>
        </is>
      </c>
      <c r="Q2356" s="33" t="inlineStr">
        <is>
          <t>LCM_400_FREE</t>
        </is>
      </c>
      <c r="R2356" s="36" t="n">
        <v>236.71</v>
      </c>
      <c r="S2356" s="35">
        <f>IF(R2356="","",IF(R2356&gt;=60,INT(R2356/60)&amp;":"&amp;TEXT(MOD(R2356,60),"00.00"),TEXT(R2356,"0.00")))</f>
        <v/>
      </c>
      <c r="T2356" s="52">
        <f>IFERROR((G2356-INDEX('01_Swimmers'!$E$5:$E$22,MATCH(B2356,'01_Swimmers'!$A$5:$A$22,0)))/'00_Control'!$B$10,"")</f>
        <v/>
      </c>
      <c r="U2356" s="35">
        <f>IF(T2356="","",INT(T2356))</f>
        <v/>
      </c>
      <c r="V2356" s="33" t="inlineStr">
        <is>
          <t>NO</t>
        </is>
      </c>
      <c r="W2356" s="33" t="inlineStr">
        <is>
          <t>YES</t>
        </is>
      </c>
      <c r="X2356" s="33" t="inlineStr">
        <is>
          <t>NO</t>
        </is>
      </c>
      <c r="Y2356" s="33" t="n">
        <v>1</v>
      </c>
      <c r="Z2356" s="33" t="n">
        <v>5</v>
      </c>
      <c r="AA2356" s="33" t="inlineStr">
        <is>
          <t>2</t>
        </is>
      </c>
      <c r="AB2356" s="33" t="inlineStr">
        <is>
          <t>https://www.swimcloud.com/results/234636/event/20/?id=68455853#time68455853</t>
        </is>
      </c>
      <c r="AC2356" s="33" t="inlineStr">
        <is>
          <t>SwimCloud API v6 2026-10-08</t>
        </is>
      </c>
      <c r="AD2356" s="33" t="inlineStr">
        <is>
          <t>Luke Hobson|2022-07-09|LCM|400|Free|236.71|Speedo Sectionals - Austin|PRE|False</t>
        </is>
      </c>
      <c r="AE2356" s="53">
        <f>G2356+L2356/1000+ROW()/1000000000</f>
        <v/>
      </c>
      <c r="AF2356" s="35">
        <f>IF(C2356&lt;&gt;"Grayson Coulter","",COUNTIFS($C$5:$C$2991,"Grayson Coulter",$Q$5:$Q$2991,Q2356,$AE$5:$AE$2991,"&lt;="&amp;AE2356,$R$5:$R$2991,"&lt;"&amp;R2356))</f>
        <v/>
      </c>
      <c r="AG2356" s="35">
        <f>IF(OR(C2356&lt;&gt;"Grayson Coulter",G2356&lt;'00_Control'!$B$7),"",--(AF2356&lt;5))</f>
        <v/>
      </c>
      <c r="AH2356" s="35">
        <f>IF(OR(C2356&lt;&gt;"Grayson Coulter",G2356&lt;'00_Control'!$B$7),"",--(AF2356&lt;10))</f>
        <v/>
      </c>
      <c r="AI2356" s="35">
        <f>IF(AND(C2356="Grayson Coulter",G2356&gt;='00_Control'!$B$7),"YES","NO")</f>
        <v/>
      </c>
      <c r="AJ2356" s="33" t="inlineStr">
        <is>
          <t>OK</t>
        </is>
      </c>
    </row>
    <row r="2357">
      <c r="A2357" s="33" t="inlineStr">
        <is>
          <t>SM002353</t>
        </is>
      </c>
      <c r="B2357" s="33" t="inlineStr">
        <is>
          <t>SW014</t>
        </is>
      </c>
      <c r="C2357" s="33" t="inlineStr">
        <is>
          <t>Luke Hobson</t>
        </is>
      </c>
      <c r="D2357" s="33" t="inlineStr">
        <is>
          <t>SwimCloud</t>
        </is>
      </c>
      <c r="E2357" s="33" t="inlineStr">
        <is>
          <t>576911</t>
        </is>
      </c>
      <c r="F2357" s="33" t="inlineStr">
        <is>
          <t>68455854</t>
        </is>
      </c>
      <c r="G2357" s="51" t="n">
        <v>44751</v>
      </c>
      <c r="H2357" s="33" t="inlineStr">
        <is>
          <t>Speedo Sectionals - Austin</t>
        </is>
      </c>
      <c r="I2357" s="33" t="inlineStr">
        <is>
          <t>234636</t>
        </is>
      </c>
      <c r="J2357" s="33" t="inlineStr"/>
      <c r="K2357" s="33" t="inlineStr">
        <is>
          <t>FIN</t>
        </is>
      </c>
      <c r="L2357" s="35">
        <f>IF(K2357="FIN",3,IF(OR(K2357="SEM",K2357="SEMI"),2,IF(OR(K2357="PRE",K2357="HEAT"),1,IF(V2357="YES",4,2))))</f>
        <v/>
      </c>
      <c r="M2357" s="33" t="inlineStr">
        <is>
          <t>LCM</t>
        </is>
      </c>
      <c r="N2357" s="33" t="n">
        <v>400</v>
      </c>
      <c r="O2357" s="33" t="inlineStr">
        <is>
          <t>Free</t>
        </is>
      </c>
      <c r="P2357" s="33" t="inlineStr">
        <is>
          <t>400 Free</t>
        </is>
      </c>
      <c r="Q2357" s="33" t="inlineStr">
        <is>
          <t>LCM_400_FREE</t>
        </is>
      </c>
      <c r="R2357" s="36" t="n">
        <v>235.61</v>
      </c>
      <c r="S2357" s="35">
        <f>IF(R2357="","",IF(R2357&gt;=60,INT(R2357/60)&amp;":"&amp;TEXT(MOD(R2357,60),"00.00"),TEXT(R2357,"0.00")))</f>
        <v/>
      </c>
      <c r="T2357" s="52">
        <f>IFERROR((G2357-INDEX('01_Swimmers'!$E$5:$E$22,MATCH(B2357,'01_Swimmers'!$A$5:$A$22,0)))/'00_Control'!$B$10,"")</f>
        <v/>
      </c>
      <c r="U2357" s="35">
        <f>IF(T2357="","",INT(T2357))</f>
        <v/>
      </c>
      <c r="V2357" s="33" t="inlineStr">
        <is>
          <t>NO</t>
        </is>
      </c>
      <c r="W2357" s="33" t="inlineStr">
        <is>
          <t>YES</t>
        </is>
      </c>
      <c r="X2357" s="33" t="inlineStr">
        <is>
          <t>NO</t>
        </is>
      </c>
      <c r="Y2357" s="33" t="n">
        <v>4</v>
      </c>
      <c r="Z2357" s="33" t="n">
        <v>5</v>
      </c>
      <c r="AA2357" s="33" t="inlineStr">
        <is>
          <t>2</t>
        </is>
      </c>
      <c r="AB2357" s="33" t="inlineStr">
        <is>
          <t>https://www.swimcloud.com/results/234636/event/20/?id=68455854#time68455854</t>
        </is>
      </c>
      <c r="AC2357" s="33" t="inlineStr">
        <is>
          <t>SwimCloud API v6 2026-10-08</t>
        </is>
      </c>
      <c r="AD2357" s="33" t="inlineStr">
        <is>
          <t>Luke Hobson|2022-07-09|LCM|400|Free|235.61|Speedo Sectionals - Austin|FIN|False</t>
        </is>
      </c>
      <c r="AE2357" s="53">
        <f>G2357+L2357/1000+ROW()/1000000000</f>
        <v/>
      </c>
      <c r="AF2357" s="35">
        <f>IF(C2357&lt;&gt;"Grayson Coulter","",COUNTIFS($C$5:$C$2991,"Grayson Coulter",$Q$5:$Q$2991,Q2357,$AE$5:$AE$2991,"&lt;="&amp;AE2357,$R$5:$R$2991,"&lt;"&amp;R2357))</f>
        <v/>
      </c>
      <c r="AG2357" s="35">
        <f>IF(OR(C2357&lt;&gt;"Grayson Coulter",G2357&lt;'00_Control'!$B$7),"",--(AF2357&lt;5))</f>
        <v/>
      </c>
      <c r="AH2357" s="35">
        <f>IF(OR(C2357&lt;&gt;"Grayson Coulter",G2357&lt;'00_Control'!$B$7),"",--(AF2357&lt;10))</f>
        <v/>
      </c>
      <c r="AI2357" s="35">
        <f>IF(AND(C2357="Grayson Coulter",G2357&gt;='00_Control'!$B$7),"YES","NO")</f>
        <v/>
      </c>
      <c r="AJ2357" s="33" t="inlineStr">
        <is>
          <t>OK</t>
        </is>
      </c>
    </row>
    <row r="2358">
      <c r="A2358" s="33" t="inlineStr">
        <is>
          <t>SM002354</t>
        </is>
      </c>
      <c r="B2358" s="33" t="inlineStr">
        <is>
          <t>SW014</t>
        </is>
      </c>
      <c r="C2358" s="33" t="inlineStr">
        <is>
          <t>Luke Hobson</t>
        </is>
      </c>
      <c r="D2358" s="33" t="inlineStr">
        <is>
          <t>SwimCloud</t>
        </is>
      </c>
      <c r="E2358" s="33" t="inlineStr">
        <is>
          <t>576911</t>
        </is>
      </c>
      <c r="F2358" s="33" t="inlineStr">
        <is>
          <t>71108530</t>
        </is>
      </c>
      <c r="G2358" s="51" t="n">
        <v>44768</v>
      </c>
      <c r="H2358" s="33" t="inlineStr">
        <is>
          <t>Phillips 66 National Championships</t>
        </is>
      </c>
      <c r="I2358" s="33" t="inlineStr">
        <is>
          <t>203554</t>
        </is>
      </c>
      <c r="J2358" s="33" t="inlineStr"/>
      <c r="K2358" s="33" t="inlineStr">
        <is>
          <t>PRE</t>
        </is>
      </c>
      <c r="L2358" s="35">
        <f>IF(K2358="FIN",3,IF(OR(K2358="SEM",K2358="SEMI"),2,IF(OR(K2358="PRE",K2358="HEAT"),1,IF(V2358="YES",4,2))))</f>
        <v/>
      </c>
      <c r="M2358" s="33" t="inlineStr">
        <is>
          <t>LCM</t>
        </is>
      </c>
      <c r="N2358" s="33" t="n">
        <v>100</v>
      </c>
      <c r="O2358" s="33" t="inlineStr">
        <is>
          <t>Free</t>
        </is>
      </c>
      <c r="P2358" s="33" t="inlineStr">
        <is>
          <t>100 Free</t>
        </is>
      </c>
      <c r="Q2358" s="33" t="inlineStr">
        <is>
          <t>LCM_100_FREE</t>
        </is>
      </c>
      <c r="R2358" s="36" t="n">
        <v>49.31</v>
      </c>
      <c r="S2358" s="35">
        <f>IF(R2358="","",IF(R2358&gt;=60,INT(R2358/60)&amp;":"&amp;TEXT(MOD(R2358,60),"00.00"),TEXT(R2358,"0.00")))</f>
        <v/>
      </c>
      <c r="T2358" s="52">
        <f>IFERROR((G2358-INDEX('01_Swimmers'!$E$5:$E$22,MATCH(B2358,'01_Swimmers'!$A$5:$A$22,0)))/'00_Control'!$B$10,"")</f>
        <v/>
      </c>
      <c r="U2358" s="35">
        <f>IF(T2358="","",INT(T2358))</f>
        <v/>
      </c>
      <c r="V2358" s="33" t="inlineStr">
        <is>
          <t>NO</t>
        </is>
      </c>
      <c r="W2358" s="33" t="inlineStr">
        <is>
          <t>YES</t>
        </is>
      </c>
      <c r="X2358" s="33" t="inlineStr">
        <is>
          <t>NO</t>
        </is>
      </c>
      <c r="Y2358" s="33" t="n">
        <v>8</v>
      </c>
      <c r="Z2358" s="33" t="n">
        <v>1</v>
      </c>
      <c r="AA2358" s="33" t="inlineStr">
        <is>
          <t>13</t>
        </is>
      </c>
      <c r="AB2358" s="33" t="inlineStr">
        <is>
          <t>https://www.swimcloud.com/results/203554/event/4/?id=71108530#time71108530</t>
        </is>
      </c>
      <c r="AC2358" s="33" t="inlineStr">
        <is>
          <t>SwimCloud API v6 2026-10-08</t>
        </is>
      </c>
      <c r="AD2358" s="33" t="inlineStr">
        <is>
          <t>Luke Hobson|2022-07-26|LCM|100|Free|49.31|Phillips 66 National Championships|PRE|False</t>
        </is>
      </c>
      <c r="AE2358" s="53">
        <f>G2358+L2358/1000+ROW()/1000000000</f>
        <v/>
      </c>
      <c r="AF2358" s="35">
        <f>IF(C2358&lt;&gt;"Grayson Coulter","",COUNTIFS($C$5:$C$2991,"Grayson Coulter",$Q$5:$Q$2991,Q2358,$AE$5:$AE$2991,"&lt;="&amp;AE2358,$R$5:$R$2991,"&lt;"&amp;R2358))</f>
        <v/>
      </c>
      <c r="AG2358" s="35">
        <f>IF(OR(C2358&lt;&gt;"Grayson Coulter",G2358&lt;'00_Control'!$B$7),"",--(AF2358&lt;5))</f>
        <v/>
      </c>
      <c r="AH2358" s="35">
        <f>IF(OR(C2358&lt;&gt;"Grayson Coulter",G2358&lt;'00_Control'!$B$7),"",--(AF2358&lt;10))</f>
        <v/>
      </c>
      <c r="AI2358" s="35">
        <f>IF(AND(C2358="Grayson Coulter",G2358&gt;='00_Control'!$B$7),"YES","NO")</f>
        <v/>
      </c>
      <c r="AJ2358" s="33" t="inlineStr">
        <is>
          <t>OK</t>
        </is>
      </c>
    </row>
    <row r="2359">
      <c r="A2359" s="33" t="inlineStr">
        <is>
          <t>SM002355</t>
        </is>
      </c>
      <c r="B2359" s="33" t="inlineStr">
        <is>
          <t>SW014</t>
        </is>
      </c>
      <c r="C2359" s="33" t="inlineStr">
        <is>
          <t>Luke Hobson</t>
        </is>
      </c>
      <c r="D2359" s="33" t="inlineStr">
        <is>
          <t>SwimCloud</t>
        </is>
      </c>
      <c r="E2359" s="33" t="inlineStr">
        <is>
          <t>576911</t>
        </is>
      </c>
      <c r="F2359" s="33" t="inlineStr">
        <is>
          <t>71108529</t>
        </is>
      </c>
      <c r="G2359" s="51" t="n">
        <v>44768</v>
      </c>
      <c r="H2359" s="33" t="inlineStr">
        <is>
          <t>Phillips 66 National Championships</t>
        </is>
      </c>
      <c r="I2359" s="33" t="inlineStr">
        <is>
          <t>203554</t>
        </is>
      </c>
      <c r="J2359" s="33" t="inlineStr"/>
      <c r="K2359" s="33" t="inlineStr">
        <is>
          <t>FIN</t>
        </is>
      </c>
      <c r="L2359" s="35">
        <f>IF(K2359="FIN",3,IF(OR(K2359="SEM",K2359="SEMI"),2,IF(OR(K2359="PRE",K2359="HEAT"),1,IF(V2359="YES",4,2))))</f>
        <v/>
      </c>
      <c r="M2359" s="33" t="inlineStr">
        <is>
          <t>LCM</t>
        </is>
      </c>
      <c r="N2359" s="33" t="n">
        <v>100</v>
      </c>
      <c r="O2359" s="33" t="inlineStr">
        <is>
          <t>Free</t>
        </is>
      </c>
      <c r="P2359" s="33" t="inlineStr">
        <is>
          <t>100 Free</t>
        </is>
      </c>
      <c r="Q2359" s="33" t="inlineStr">
        <is>
          <t>LCM_100_FREE</t>
        </is>
      </c>
      <c r="R2359" s="36" t="n">
        <v>49.13</v>
      </c>
      <c r="S2359" s="35">
        <f>IF(R2359="","",IF(R2359&gt;=60,INT(R2359/60)&amp;":"&amp;TEXT(MOD(R2359,60),"00.00"),TEXT(R2359,"0.00")))</f>
        <v/>
      </c>
      <c r="T2359" s="52">
        <f>IFERROR((G2359-INDEX('01_Swimmers'!$E$5:$E$22,MATCH(B2359,'01_Swimmers'!$A$5:$A$22,0)))/'00_Control'!$B$10,"")</f>
        <v/>
      </c>
      <c r="U2359" s="35">
        <f>IF(T2359="","",INT(T2359))</f>
        <v/>
      </c>
      <c r="V2359" s="33" t="inlineStr">
        <is>
          <t>NO</t>
        </is>
      </c>
      <c r="W2359" s="33" t="inlineStr">
        <is>
          <t>YES</t>
        </is>
      </c>
      <c r="X2359" s="33" t="inlineStr">
        <is>
          <t>NO</t>
        </is>
      </c>
      <c r="Y2359" s="33" t="n">
        <v>2</v>
      </c>
      <c r="Z2359" s="33" t="n">
        <v>2</v>
      </c>
      <c r="AA2359" s="33" t="inlineStr">
        <is>
          <t>10</t>
        </is>
      </c>
      <c r="AB2359" s="33" t="inlineStr">
        <is>
          <t>https://www.swimcloud.com/results/203554/event/4/?id=71108529#time71108529</t>
        </is>
      </c>
      <c r="AC2359" s="33" t="inlineStr">
        <is>
          <t>SwimCloud API v6 2026-10-08</t>
        </is>
      </c>
      <c r="AD2359" s="33" t="inlineStr">
        <is>
          <t>Luke Hobson|2022-07-26|LCM|100|Free|49.13|Phillips 66 National Championships|FIN|False</t>
        </is>
      </c>
      <c r="AE2359" s="53">
        <f>G2359+L2359/1000+ROW()/1000000000</f>
        <v/>
      </c>
      <c r="AF2359" s="35">
        <f>IF(C2359&lt;&gt;"Grayson Coulter","",COUNTIFS($C$5:$C$2991,"Grayson Coulter",$Q$5:$Q$2991,Q2359,$AE$5:$AE$2991,"&lt;="&amp;AE2359,$R$5:$R$2991,"&lt;"&amp;R2359))</f>
        <v/>
      </c>
      <c r="AG2359" s="35">
        <f>IF(OR(C2359&lt;&gt;"Grayson Coulter",G2359&lt;'00_Control'!$B$7),"",--(AF2359&lt;5))</f>
        <v/>
      </c>
      <c r="AH2359" s="35">
        <f>IF(OR(C2359&lt;&gt;"Grayson Coulter",G2359&lt;'00_Control'!$B$7),"",--(AF2359&lt;10))</f>
        <v/>
      </c>
      <c r="AI2359" s="35">
        <f>IF(AND(C2359="Grayson Coulter",G2359&gt;='00_Control'!$B$7),"YES","NO")</f>
        <v/>
      </c>
      <c r="AJ2359" s="33" t="inlineStr">
        <is>
          <t>OK</t>
        </is>
      </c>
    </row>
    <row r="2360">
      <c r="A2360" s="33" t="inlineStr">
        <is>
          <t>SM002356</t>
        </is>
      </c>
      <c r="B2360" s="33" t="inlineStr">
        <is>
          <t>SW014</t>
        </is>
      </c>
      <c r="C2360" s="33" t="inlineStr">
        <is>
          <t>Luke Hobson</t>
        </is>
      </c>
      <c r="D2360" s="33" t="inlineStr">
        <is>
          <t>SwimCloud</t>
        </is>
      </c>
      <c r="E2360" s="33" t="inlineStr">
        <is>
          <t>576911</t>
        </is>
      </c>
      <c r="F2360" s="33" t="inlineStr">
        <is>
          <t>71108532</t>
        </is>
      </c>
      <c r="G2360" s="51" t="n">
        <v>44769</v>
      </c>
      <c r="H2360" s="33" t="inlineStr">
        <is>
          <t>Phillips 66 National Championships</t>
        </is>
      </c>
      <c r="I2360" s="33" t="inlineStr">
        <is>
          <t>203554</t>
        </is>
      </c>
      <c r="J2360" s="33" t="inlineStr"/>
      <c r="K2360" s="33" t="inlineStr">
        <is>
          <t>PRE</t>
        </is>
      </c>
      <c r="L2360" s="35">
        <f>IF(K2360="FIN",3,IF(OR(K2360="SEM",K2360="SEMI"),2,IF(OR(K2360="PRE",K2360="HEAT"),1,IF(V2360="YES",4,2))))</f>
        <v/>
      </c>
      <c r="M2360" s="33" t="inlineStr">
        <is>
          <t>LCM</t>
        </is>
      </c>
      <c r="N2360" s="33" t="n">
        <v>200</v>
      </c>
      <c r="O2360" s="33" t="inlineStr">
        <is>
          <t>Free</t>
        </is>
      </c>
      <c r="P2360" s="33" t="inlineStr">
        <is>
          <t>200 Free</t>
        </is>
      </c>
      <c r="Q2360" s="33" t="inlineStr">
        <is>
          <t>LCM_200_FREE</t>
        </is>
      </c>
      <c r="R2360" s="36" t="n">
        <v>107.13</v>
      </c>
      <c r="S2360" s="35">
        <f>IF(R2360="","",IF(R2360&gt;=60,INT(R2360/60)&amp;":"&amp;TEXT(MOD(R2360,60),"00.00"),TEXT(R2360,"0.00")))</f>
        <v/>
      </c>
      <c r="T2360" s="52">
        <f>IFERROR((G2360-INDEX('01_Swimmers'!$E$5:$E$22,MATCH(B2360,'01_Swimmers'!$A$5:$A$22,0)))/'00_Control'!$B$10,"")</f>
        <v/>
      </c>
      <c r="U2360" s="35">
        <f>IF(T2360="","",INT(T2360))</f>
        <v/>
      </c>
      <c r="V2360" s="33" t="inlineStr">
        <is>
          <t>NO</t>
        </is>
      </c>
      <c r="W2360" s="33" t="inlineStr">
        <is>
          <t>YES</t>
        </is>
      </c>
      <c r="X2360" s="33" t="inlineStr">
        <is>
          <t>NO</t>
        </is>
      </c>
      <c r="Y2360" s="33" t="n">
        <v>7</v>
      </c>
      <c r="Z2360" s="33" t="n">
        <v>5</v>
      </c>
      <c r="AA2360" s="33" t="inlineStr">
        <is>
          <t>3</t>
        </is>
      </c>
      <c r="AB2360" s="33" t="inlineStr">
        <is>
          <t>https://www.swimcloud.com/results/203554/event/8/?id=71108532#time71108532</t>
        </is>
      </c>
      <c r="AC2360" s="33" t="inlineStr">
        <is>
          <t>SwimCloud API v6 2026-10-08</t>
        </is>
      </c>
      <c r="AD2360" s="33" t="inlineStr">
        <is>
          <t>Luke Hobson|2022-07-27|LCM|200|Free|107.13|Phillips 66 National Championships|PRE|False</t>
        </is>
      </c>
      <c r="AE2360" s="53">
        <f>G2360+L2360/1000+ROW()/1000000000</f>
        <v/>
      </c>
      <c r="AF2360" s="35">
        <f>IF(C2360&lt;&gt;"Grayson Coulter","",COUNTIFS($C$5:$C$2991,"Grayson Coulter",$Q$5:$Q$2991,Q2360,$AE$5:$AE$2991,"&lt;="&amp;AE2360,$R$5:$R$2991,"&lt;"&amp;R2360))</f>
        <v/>
      </c>
      <c r="AG2360" s="35">
        <f>IF(OR(C2360&lt;&gt;"Grayson Coulter",G2360&lt;'00_Control'!$B$7),"",--(AF2360&lt;5))</f>
        <v/>
      </c>
      <c r="AH2360" s="35">
        <f>IF(OR(C2360&lt;&gt;"Grayson Coulter",G2360&lt;'00_Control'!$B$7),"",--(AF2360&lt;10))</f>
        <v/>
      </c>
      <c r="AI2360" s="35">
        <f>IF(AND(C2360="Grayson Coulter",G2360&gt;='00_Control'!$B$7),"YES","NO")</f>
        <v/>
      </c>
      <c r="AJ2360" s="33" t="inlineStr">
        <is>
          <t>OK</t>
        </is>
      </c>
    </row>
    <row r="2361">
      <c r="A2361" s="33" t="inlineStr">
        <is>
          <t>SM002357</t>
        </is>
      </c>
      <c r="B2361" s="33" t="inlineStr">
        <is>
          <t>SW014</t>
        </is>
      </c>
      <c r="C2361" s="33" t="inlineStr">
        <is>
          <t>Luke Hobson</t>
        </is>
      </c>
      <c r="D2361" s="33" t="inlineStr">
        <is>
          <t>SwimCloud</t>
        </is>
      </c>
      <c r="E2361" s="33" t="inlineStr">
        <is>
          <t>576911</t>
        </is>
      </c>
      <c r="F2361" s="33" t="inlineStr">
        <is>
          <t>71108531</t>
        </is>
      </c>
      <c r="G2361" s="51" t="n">
        <v>44769</v>
      </c>
      <c r="H2361" s="33" t="inlineStr">
        <is>
          <t>Phillips 66 National Championships</t>
        </is>
      </c>
      <c r="I2361" s="33" t="inlineStr">
        <is>
          <t>203554</t>
        </is>
      </c>
      <c r="J2361" s="33" t="inlineStr"/>
      <c r="K2361" s="33" t="inlineStr">
        <is>
          <t>FIN</t>
        </is>
      </c>
      <c r="L2361" s="35">
        <f>IF(K2361="FIN",3,IF(OR(K2361="SEM",K2361="SEMI"),2,IF(OR(K2361="PRE",K2361="HEAT"),1,IF(V2361="YES",4,2))))</f>
        <v/>
      </c>
      <c r="M2361" s="33" t="inlineStr">
        <is>
          <t>LCM</t>
        </is>
      </c>
      <c r="N2361" s="33" t="n">
        <v>200</v>
      </c>
      <c r="O2361" s="33" t="inlineStr">
        <is>
          <t>Free</t>
        </is>
      </c>
      <c r="P2361" s="33" t="inlineStr">
        <is>
          <t>200 Free</t>
        </is>
      </c>
      <c r="Q2361" s="33" t="inlineStr">
        <is>
          <t>LCM_200_FREE</t>
        </is>
      </c>
      <c r="R2361" s="36" t="n">
        <v>106.14</v>
      </c>
      <c r="S2361" s="35">
        <f>IF(R2361="","",IF(R2361&gt;=60,INT(R2361/60)&amp;":"&amp;TEXT(MOD(R2361,60),"00.00"),TEXT(R2361,"0.00")))</f>
        <v/>
      </c>
      <c r="T2361" s="52">
        <f>IFERROR((G2361-INDEX('01_Swimmers'!$E$5:$E$22,MATCH(B2361,'01_Swimmers'!$A$5:$A$22,0)))/'00_Control'!$B$10,"")</f>
        <v/>
      </c>
      <c r="U2361" s="35">
        <f>IF(T2361="","",INT(T2361))</f>
        <v/>
      </c>
      <c r="V2361" s="33" t="inlineStr">
        <is>
          <t>NO</t>
        </is>
      </c>
      <c r="W2361" s="33" t="inlineStr">
        <is>
          <t>YES</t>
        </is>
      </c>
      <c r="X2361" s="33" t="inlineStr">
        <is>
          <t>NO</t>
        </is>
      </c>
      <c r="Y2361" s="33" t="n">
        <v>1</v>
      </c>
      <c r="Z2361" s="33" t="n">
        <v>3</v>
      </c>
      <c r="AA2361" s="33" t="inlineStr">
        <is>
          <t>1</t>
        </is>
      </c>
      <c r="AB2361" s="33" t="inlineStr">
        <is>
          <t>https://www.swimcloud.com/results/203554/event/8/?id=71108531#time71108531</t>
        </is>
      </c>
      <c r="AC2361" s="33" t="inlineStr">
        <is>
          <t>SwimCloud API v6 2026-10-08</t>
        </is>
      </c>
      <c r="AD2361" s="33" t="inlineStr">
        <is>
          <t>Luke Hobson|2022-07-27|LCM|200|Free|106.14|Phillips 66 National Championships|FIN|False</t>
        </is>
      </c>
      <c r="AE2361" s="53">
        <f>G2361+L2361/1000+ROW()/1000000000</f>
        <v/>
      </c>
      <c r="AF2361" s="35">
        <f>IF(C2361&lt;&gt;"Grayson Coulter","",COUNTIFS($C$5:$C$2991,"Grayson Coulter",$Q$5:$Q$2991,Q2361,$AE$5:$AE$2991,"&lt;="&amp;AE2361,$R$5:$R$2991,"&lt;"&amp;R2361))</f>
        <v/>
      </c>
      <c r="AG2361" s="35">
        <f>IF(OR(C2361&lt;&gt;"Grayson Coulter",G2361&lt;'00_Control'!$B$7),"",--(AF2361&lt;5))</f>
        <v/>
      </c>
      <c r="AH2361" s="35">
        <f>IF(OR(C2361&lt;&gt;"Grayson Coulter",G2361&lt;'00_Control'!$B$7),"",--(AF2361&lt;10))</f>
        <v/>
      </c>
      <c r="AI2361" s="35">
        <f>IF(AND(C2361="Grayson Coulter",G2361&gt;='00_Control'!$B$7),"YES","NO")</f>
        <v/>
      </c>
      <c r="AJ2361" s="33" t="inlineStr">
        <is>
          <t>OK</t>
        </is>
      </c>
    </row>
    <row r="2362">
      <c r="A2362" s="33" t="inlineStr">
        <is>
          <t>SM002358</t>
        </is>
      </c>
      <c r="B2362" s="33" t="inlineStr">
        <is>
          <t>SW014</t>
        </is>
      </c>
      <c r="C2362" s="33" t="inlineStr">
        <is>
          <t>Luke Hobson</t>
        </is>
      </c>
      <c r="D2362" s="33" t="inlineStr">
        <is>
          <t>SwimCloud</t>
        </is>
      </c>
      <c r="E2362" s="33" t="inlineStr">
        <is>
          <t>576911</t>
        </is>
      </c>
      <c r="F2362" s="33" t="inlineStr">
        <is>
          <t>71108534</t>
        </is>
      </c>
      <c r="G2362" s="51" t="n">
        <v>44771</v>
      </c>
      <c r="H2362" s="33" t="inlineStr">
        <is>
          <t>Phillips 66 National Championships</t>
        </is>
      </c>
      <c r="I2362" s="33" t="inlineStr">
        <is>
          <t>203554</t>
        </is>
      </c>
      <c r="J2362" s="33" t="inlineStr"/>
      <c r="K2362" s="33" t="inlineStr">
        <is>
          <t>PRE</t>
        </is>
      </c>
      <c r="L2362" s="35">
        <f>IF(K2362="FIN",3,IF(OR(K2362="SEM",K2362="SEMI"),2,IF(OR(K2362="PRE",K2362="HEAT"),1,IF(V2362="YES",4,2))))</f>
        <v/>
      </c>
      <c r="M2362" s="33" t="inlineStr">
        <is>
          <t>LCM</t>
        </is>
      </c>
      <c r="N2362" s="33" t="n">
        <v>400</v>
      </c>
      <c r="O2362" s="33" t="inlineStr">
        <is>
          <t>Free</t>
        </is>
      </c>
      <c r="P2362" s="33" t="inlineStr">
        <is>
          <t>400 Free</t>
        </is>
      </c>
      <c r="Q2362" s="33" t="inlineStr">
        <is>
          <t>LCM_400_FREE</t>
        </is>
      </c>
      <c r="R2362" s="36" t="n">
        <v>231.1</v>
      </c>
      <c r="S2362" s="35">
        <f>IF(R2362="","",IF(R2362&gt;=60,INT(R2362/60)&amp;":"&amp;TEXT(MOD(R2362,60),"00.00"),TEXT(R2362,"0.00")))</f>
        <v/>
      </c>
      <c r="T2362" s="52">
        <f>IFERROR((G2362-INDEX('01_Swimmers'!$E$5:$E$22,MATCH(B2362,'01_Swimmers'!$A$5:$A$22,0)))/'00_Control'!$B$10,"")</f>
        <v/>
      </c>
      <c r="U2362" s="35">
        <f>IF(T2362="","",INT(T2362))</f>
        <v/>
      </c>
      <c r="V2362" s="33" t="inlineStr">
        <is>
          <t>NO</t>
        </is>
      </c>
      <c r="W2362" s="33" t="inlineStr">
        <is>
          <t>YES</t>
        </is>
      </c>
      <c r="X2362" s="33" t="inlineStr">
        <is>
          <t>NO</t>
        </is>
      </c>
      <c r="Y2362" s="33" t="n">
        <v>6</v>
      </c>
      <c r="Z2362" s="33" t="n">
        <v>3</v>
      </c>
      <c r="AA2362" s="33" t="inlineStr">
        <is>
          <t>5</t>
        </is>
      </c>
      <c r="AB2362" s="33" t="inlineStr">
        <is>
          <t>https://www.swimcloud.com/results/203554/event/18/?id=71108534#time71108534</t>
        </is>
      </c>
      <c r="AC2362" s="33" t="inlineStr">
        <is>
          <t>SwimCloud API v6 2026-10-08</t>
        </is>
      </c>
      <c r="AD2362" s="33" t="inlineStr">
        <is>
          <t>Luke Hobson|2022-07-29|LCM|400|Free|231.1|Phillips 66 National Championships|PRE|False</t>
        </is>
      </c>
      <c r="AE2362" s="53">
        <f>G2362+L2362/1000+ROW()/1000000000</f>
        <v/>
      </c>
      <c r="AF2362" s="35">
        <f>IF(C2362&lt;&gt;"Grayson Coulter","",COUNTIFS($C$5:$C$2991,"Grayson Coulter",$Q$5:$Q$2991,Q2362,$AE$5:$AE$2991,"&lt;="&amp;AE2362,$R$5:$R$2991,"&lt;"&amp;R2362))</f>
        <v/>
      </c>
      <c r="AG2362" s="35">
        <f>IF(OR(C2362&lt;&gt;"Grayson Coulter",G2362&lt;'00_Control'!$B$7),"",--(AF2362&lt;5))</f>
        <v/>
      </c>
      <c r="AH2362" s="35">
        <f>IF(OR(C2362&lt;&gt;"Grayson Coulter",G2362&lt;'00_Control'!$B$7),"",--(AF2362&lt;10))</f>
        <v/>
      </c>
      <c r="AI2362" s="35">
        <f>IF(AND(C2362="Grayson Coulter",G2362&gt;='00_Control'!$B$7),"YES","NO")</f>
        <v/>
      </c>
      <c r="AJ2362" s="33" t="inlineStr">
        <is>
          <t>OK</t>
        </is>
      </c>
    </row>
    <row r="2363">
      <c r="A2363" s="33" t="inlineStr">
        <is>
          <t>SM002359</t>
        </is>
      </c>
      <c r="B2363" s="33" t="inlineStr">
        <is>
          <t>SW014</t>
        </is>
      </c>
      <c r="C2363" s="33" t="inlineStr">
        <is>
          <t>Luke Hobson</t>
        </is>
      </c>
      <c r="D2363" s="33" t="inlineStr">
        <is>
          <t>SwimCloud</t>
        </is>
      </c>
      <c r="E2363" s="33" t="inlineStr">
        <is>
          <t>576911</t>
        </is>
      </c>
      <c r="F2363" s="33" t="inlineStr">
        <is>
          <t>71108533</t>
        </is>
      </c>
      <c r="G2363" s="51" t="n">
        <v>44771</v>
      </c>
      <c r="H2363" s="33" t="inlineStr">
        <is>
          <t>Phillips 66 National Championships</t>
        </is>
      </c>
      <c r="I2363" s="33" t="inlineStr">
        <is>
          <t>203554</t>
        </is>
      </c>
      <c r="J2363" s="33" t="inlineStr"/>
      <c r="K2363" s="33" t="inlineStr">
        <is>
          <t>FIN</t>
        </is>
      </c>
      <c r="L2363" s="35">
        <f>IF(K2363="FIN",3,IF(OR(K2363="SEM",K2363="SEMI"),2,IF(OR(K2363="PRE",K2363="HEAT"),1,IF(V2363="YES",4,2))))</f>
        <v/>
      </c>
      <c r="M2363" s="33" t="inlineStr">
        <is>
          <t>LCM</t>
        </is>
      </c>
      <c r="N2363" s="33" t="n">
        <v>400</v>
      </c>
      <c r="O2363" s="33" t="inlineStr">
        <is>
          <t>Free</t>
        </is>
      </c>
      <c r="P2363" s="33" t="inlineStr">
        <is>
          <t>400 Free</t>
        </is>
      </c>
      <c r="Q2363" s="33" t="inlineStr">
        <is>
          <t>LCM_400_FREE</t>
        </is>
      </c>
      <c r="R2363" s="36" t="n">
        <v>229.95</v>
      </c>
      <c r="S2363" s="35">
        <f>IF(R2363="","",IF(R2363&gt;=60,INT(R2363/60)&amp;":"&amp;TEXT(MOD(R2363,60),"00.00"),TEXT(R2363,"0.00")))</f>
        <v/>
      </c>
      <c r="T2363" s="52">
        <f>IFERROR((G2363-INDEX('01_Swimmers'!$E$5:$E$22,MATCH(B2363,'01_Swimmers'!$A$5:$A$22,0)))/'00_Control'!$B$10,"")</f>
        <v/>
      </c>
      <c r="U2363" s="35">
        <f>IF(T2363="","",INT(T2363))</f>
        <v/>
      </c>
      <c r="V2363" s="33" t="inlineStr">
        <is>
          <t>NO</t>
        </is>
      </c>
      <c r="W2363" s="33" t="inlineStr">
        <is>
          <t>YES</t>
        </is>
      </c>
      <c r="X2363" s="33" t="inlineStr">
        <is>
          <t>NO</t>
        </is>
      </c>
      <c r="Y2363" s="33" t="n">
        <v>1</v>
      </c>
      <c r="Z2363" s="33" t="n">
        <v>2</v>
      </c>
      <c r="AA2363" s="33" t="inlineStr">
        <is>
          <t>7</t>
        </is>
      </c>
      <c r="AB2363" s="33" t="inlineStr">
        <is>
          <t>https://www.swimcloud.com/results/203554/event/18/?id=71108533#time71108533</t>
        </is>
      </c>
      <c r="AC2363" s="33" t="inlineStr">
        <is>
          <t>SwimCloud API v6 2026-10-08</t>
        </is>
      </c>
      <c r="AD2363" s="33" t="inlineStr">
        <is>
          <t>Luke Hobson|2022-07-29|LCM|400|Free|229.95|Phillips 66 National Championships|FIN|False</t>
        </is>
      </c>
      <c r="AE2363" s="53">
        <f>G2363+L2363/1000+ROW()/1000000000</f>
        <v/>
      </c>
      <c r="AF2363" s="35">
        <f>IF(C2363&lt;&gt;"Grayson Coulter","",COUNTIFS($C$5:$C$2991,"Grayson Coulter",$Q$5:$Q$2991,Q2363,$AE$5:$AE$2991,"&lt;="&amp;AE2363,$R$5:$R$2991,"&lt;"&amp;R2363))</f>
        <v/>
      </c>
      <c r="AG2363" s="35">
        <f>IF(OR(C2363&lt;&gt;"Grayson Coulter",G2363&lt;'00_Control'!$B$7),"",--(AF2363&lt;5))</f>
        <v/>
      </c>
      <c r="AH2363" s="35">
        <f>IF(OR(C2363&lt;&gt;"Grayson Coulter",G2363&lt;'00_Control'!$B$7),"",--(AF2363&lt;10))</f>
        <v/>
      </c>
      <c r="AI2363" s="35">
        <f>IF(AND(C2363="Grayson Coulter",G2363&gt;='00_Control'!$B$7),"YES","NO")</f>
        <v/>
      </c>
      <c r="AJ2363" s="33" t="inlineStr">
        <is>
          <t>OK</t>
        </is>
      </c>
    </row>
    <row r="2364">
      <c r="A2364" s="33" t="inlineStr">
        <is>
          <t>SM002360</t>
        </is>
      </c>
      <c r="B2364" s="33" t="inlineStr">
        <is>
          <t>SW014</t>
        </is>
      </c>
      <c r="C2364" s="33" t="inlineStr">
        <is>
          <t>Luke Hobson</t>
        </is>
      </c>
      <c r="D2364" s="33" t="inlineStr">
        <is>
          <t>SwimCloud</t>
        </is>
      </c>
      <c r="E2364" s="33" t="inlineStr">
        <is>
          <t>576911</t>
        </is>
      </c>
      <c r="F2364" s="33" t="inlineStr">
        <is>
          <t>100343145</t>
        </is>
      </c>
      <c r="G2364" s="51" t="n">
        <v>45029</v>
      </c>
      <c r="H2364" s="33" t="inlineStr">
        <is>
          <t>TYR Pro Swim Series - Westmont</t>
        </is>
      </c>
      <c r="I2364" s="33" t="inlineStr">
        <is>
          <t>253796</t>
        </is>
      </c>
      <c r="J2364" s="33" t="inlineStr"/>
      <c r="K2364" s="33" t="inlineStr">
        <is>
          <t>PRE</t>
        </is>
      </c>
      <c r="L2364" s="35">
        <f>IF(K2364="FIN",3,IF(OR(K2364="SEM",K2364="SEMI"),2,IF(OR(K2364="PRE",K2364="HEAT"),1,IF(V2364="YES",4,2))))</f>
        <v/>
      </c>
      <c r="M2364" s="33" t="inlineStr">
        <is>
          <t>LCM</t>
        </is>
      </c>
      <c r="N2364" s="33" t="n">
        <v>200</v>
      </c>
      <c r="O2364" s="33" t="inlineStr">
        <is>
          <t>Free</t>
        </is>
      </c>
      <c r="P2364" s="33" t="inlineStr">
        <is>
          <t>200 Free</t>
        </is>
      </c>
      <c r="Q2364" s="33" t="inlineStr">
        <is>
          <t>LCM_200_FREE</t>
        </is>
      </c>
      <c r="R2364" s="36" t="n">
        <v>108.8</v>
      </c>
      <c r="S2364" s="35">
        <f>IF(R2364="","",IF(R2364&gt;=60,INT(R2364/60)&amp;":"&amp;TEXT(MOD(R2364,60),"00.00"),TEXT(R2364,"0.00")))</f>
        <v/>
      </c>
      <c r="T2364" s="52">
        <f>IFERROR((G2364-INDEX('01_Swimmers'!$E$5:$E$22,MATCH(B2364,'01_Swimmers'!$A$5:$A$22,0)))/'00_Control'!$B$10,"")</f>
        <v/>
      </c>
      <c r="U2364" s="35">
        <f>IF(T2364="","",INT(T2364))</f>
        <v/>
      </c>
      <c r="V2364" s="33" t="inlineStr">
        <is>
          <t>NO</t>
        </is>
      </c>
      <c r="W2364" s="33" t="inlineStr">
        <is>
          <t>YES</t>
        </is>
      </c>
      <c r="X2364" s="33" t="inlineStr">
        <is>
          <t>NO</t>
        </is>
      </c>
      <c r="Y2364" s="33" t="n">
        <v>6</v>
      </c>
      <c r="Z2364" s="33" t="n">
        <v>5</v>
      </c>
      <c r="AA2364" s="33" t="inlineStr">
        <is>
          <t>5</t>
        </is>
      </c>
      <c r="AB2364" s="33" t="inlineStr">
        <is>
          <t>https://www.swimcloud.com/results/253796/event/4/?id=100343145#time100343145</t>
        </is>
      </c>
      <c r="AC2364" s="33" t="inlineStr">
        <is>
          <t>SwimCloud API v6 2026-10-08</t>
        </is>
      </c>
      <c r="AD2364" s="33" t="inlineStr">
        <is>
          <t>Luke Hobson|2023-04-13|LCM|200|Free|108.8|TYR Pro Swim Series - Westmont|PRE|False</t>
        </is>
      </c>
      <c r="AE2364" s="53">
        <f>G2364+L2364/1000+ROW()/1000000000</f>
        <v/>
      </c>
      <c r="AF2364" s="35">
        <f>IF(C2364&lt;&gt;"Grayson Coulter","",COUNTIFS($C$5:$C$2991,"Grayson Coulter",$Q$5:$Q$2991,Q2364,$AE$5:$AE$2991,"&lt;="&amp;AE2364,$R$5:$R$2991,"&lt;"&amp;R2364))</f>
        <v/>
      </c>
      <c r="AG2364" s="35">
        <f>IF(OR(C2364&lt;&gt;"Grayson Coulter",G2364&lt;'00_Control'!$B$7),"",--(AF2364&lt;5))</f>
        <v/>
      </c>
      <c r="AH2364" s="35">
        <f>IF(OR(C2364&lt;&gt;"Grayson Coulter",G2364&lt;'00_Control'!$B$7),"",--(AF2364&lt;10))</f>
        <v/>
      </c>
      <c r="AI2364" s="35">
        <f>IF(AND(C2364="Grayson Coulter",G2364&gt;='00_Control'!$B$7),"YES","NO")</f>
        <v/>
      </c>
      <c r="AJ2364" s="33" t="inlineStr">
        <is>
          <t>OK</t>
        </is>
      </c>
    </row>
    <row r="2365">
      <c r="A2365" s="33" t="inlineStr">
        <is>
          <t>SM002361</t>
        </is>
      </c>
      <c r="B2365" s="33" t="inlineStr">
        <is>
          <t>SW014</t>
        </is>
      </c>
      <c r="C2365" s="33" t="inlineStr">
        <is>
          <t>Luke Hobson</t>
        </is>
      </c>
      <c r="D2365" s="33" t="inlineStr">
        <is>
          <t>SwimCloud</t>
        </is>
      </c>
      <c r="E2365" s="33" t="inlineStr">
        <is>
          <t>576911</t>
        </is>
      </c>
      <c r="F2365" s="33" t="inlineStr">
        <is>
          <t>100343144</t>
        </is>
      </c>
      <c r="G2365" s="51" t="n">
        <v>45029</v>
      </c>
      <c r="H2365" s="33" t="inlineStr">
        <is>
          <t>TYR Pro Swim Series - Westmont</t>
        </is>
      </c>
      <c r="I2365" s="33" t="inlineStr">
        <is>
          <t>253796</t>
        </is>
      </c>
      <c r="J2365" s="33" t="inlineStr"/>
      <c r="K2365" s="33" t="inlineStr">
        <is>
          <t>FIN</t>
        </is>
      </c>
      <c r="L2365" s="35">
        <f>IF(K2365="FIN",3,IF(OR(K2365="SEM",K2365="SEMI"),2,IF(OR(K2365="PRE",K2365="HEAT"),1,IF(V2365="YES",4,2))))</f>
        <v/>
      </c>
      <c r="M2365" s="33" t="inlineStr">
        <is>
          <t>LCM</t>
        </is>
      </c>
      <c r="N2365" s="33" t="n">
        <v>200</v>
      </c>
      <c r="O2365" s="33" t="inlineStr">
        <is>
          <t>Free</t>
        </is>
      </c>
      <c r="P2365" s="33" t="inlineStr">
        <is>
          <t>200 Free</t>
        </is>
      </c>
      <c r="Q2365" s="33" t="inlineStr">
        <is>
          <t>LCM_200_FREE</t>
        </is>
      </c>
      <c r="R2365" s="36" t="n">
        <v>108.35</v>
      </c>
      <c r="S2365" s="35">
        <f>IF(R2365="","",IF(R2365&gt;=60,INT(R2365/60)&amp;":"&amp;TEXT(MOD(R2365,60),"00.00"),TEXT(R2365,"0.00")))</f>
        <v/>
      </c>
      <c r="T2365" s="52">
        <f>IFERROR((G2365-INDEX('01_Swimmers'!$E$5:$E$22,MATCH(B2365,'01_Swimmers'!$A$5:$A$22,0)))/'00_Control'!$B$10,"")</f>
        <v/>
      </c>
      <c r="U2365" s="35">
        <f>IF(T2365="","",INT(T2365))</f>
        <v/>
      </c>
      <c r="V2365" s="33" t="inlineStr">
        <is>
          <t>NO</t>
        </is>
      </c>
      <c r="W2365" s="33" t="inlineStr">
        <is>
          <t>YES</t>
        </is>
      </c>
      <c r="X2365" s="33" t="inlineStr">
        <is>
          <t>NO</t>
        </is>
      </c>
      <c r="Y2365" s="33" t="n">
        <v>1</v>
      </c>
      <c r="Z2365" s="33" t="n">
        <v>2</v>
      </c>
      <c r="AA2365" s="33" t="inlineStr">
        <is>
          <t>6</t>
        </is>
      </c>
      <c r="AB2365" s="33" t="inlineStr">
        <is>
          <t>https://www.swimcloud.com/results/253796/event/4/?id=100343144#time100343144</t>
        </is>
      </c>
      <c r="AC2365" s="33" t="inlineStr">
        <is>
          <t>SwimCloud API v6 2026-10-08</t>
        </is>
      </c>
      <c r="AD2365" s="33" t="inlineStr">
        <is>
          <t>Luke Hobson|2023-04-13|LCM|200|Free|108.35|TYR Pro Swim Series - Westmont|FIN|False</t>
        </is>
      </c>
      <c r="AE2365" s="53">
        <f>G2365+L2365/1000+ROW()/1000000000</f>
        <v/>
      </c>
      <c r="AF2365" s="35">
        <f>IF(C2365&lt;&gt;"Grayson Coulter","",COUNTIFS($C$5:$C$2991,"Grayson Coulter",$Q$5:$Q$2991,Q2365,$AE$5:$AE$2991,"&lt;="&amp;AE2365,$R$5:$R$2991,"&lt;"&amp;R2365))</f>
        <v/>
      </c>
      <c r="AG2365" s="35">
        <f>IF(OR(C2365&lt;&gt;"Grayson Coulter",G2365&lt;'00_Control'!$B$7),"",--(AF2365&lt;5))</f>
        <v/>
      </c>
      <c r="AH2365" s="35">
        <f>IF(OR(C2365&lt;&gt;"Grayson Coulter",G2365&lt;'00_Control'!$B$7),"",--(AF2365&lt;10))</f>
        <v/>
      </c>
      <c r="AI2365" s="35">
        <f>IF(AND(C2365="Grayson Coulter",G2365&gt;='00_Control'!$B$7),"YES","NO")</f>
        <v/>
      </c>
      <c r="AJ2365" s="33" t="inlineStr">
        <is>
          <t>OK</t>
        </is>
      </c>
    </row>
    <row r="2366">
      <c r="A2366" s="33" t="inlineStr">
        <is>
          <t>SM002362</t>
        </is>
      </c>
      <c r="B2366" s="33" t="inlineStr">
        <is>
          <t>SW014</t>
        </is>
      </c>
      <c r="C2366" s="33" t="inlineStr">
        <is>
          <t>Luke Hobson</t>
        </is>
      </c>
      <c r="D2366" s="33" t="inlineStr">
        <is>
          <t>SwimCloud</t>
        </is>
      </c>
      <c r="E2366" s="33" t="inlineStr">
        <is>
          <t>576911</t>
        </is>
      </c>
      <c r="F2366" s="33" t="inlineStr">
        <is>
          <t>100343147</t>
        </is>
      </c>
      <c r="G2366" s="51" t="n">
        <v>45030</v>
      </c>
      <c r="H2366" s="33" t="inlineStr">
        <is>
          <t>TYR Pro Swim Series - Westmont</t>
        </is>
      </c>
      <c r="I2366" s="33" t="inlineStr">
        <is>
          <t>253796</t>
        </is>
      </c>
      <c r="J2366" s="33" t="inlineStr"/>
      <c r="K2366" s="33" t="inlineStr">
        <is>
          <t>PRE</t>
        </is>
      </c>
      <c r="L2366" s="35">
        <f>IF(K2366="FIN",3,IF(OR(K2366="SEM",K2366="SEMI"),2,IF(OR(K2366="PRE",K2366="HEAT"),1,IF(V2366="YES",4,2))))</f>
        <v/>
      </c>
      <c r="M2366" s="33" t="inlineStr">
        <is>
          <t>LCM</t>
        </is>
      </c>
      <c r="N2366" s="33" t="n">
        <v>400</v>
      </c>
      <c r="O2366" s="33" t="inlineStr">
        <is>
          <t>Free</t>
        </is>
      </c>
      <c r="P2366" s="33" t="inlineStr">
        <is>
          <t>400 Free</t>
        </is>
      </c>
      <c r="Q2366" s="33" t="inlineStr">
        <is>
          <t>LCM_400_FREE</t>
        </is>
      </c>
      <c r="R2366" s="36" t="n">
        <v>233.5</v>
      </c>
      <c r="S2366" s="35">
        <f>IF(R2366="","",IF(R2366&gt;=60,INT(R2366/60)&amp;":"&amp;TEXT(MOD(R2366,60),"00.00"),TEXT(R2366,"0.00")))</f>
        <v/>
      </c>
      <c r="T2366" s="52">
        <f>IFERROR((G2366-INDEX('01_Swimmers'!$E$5:$E$22,MATCH(B2366,'01_Swimmers'!$A$5:$A$22,0)))/'00_Control'!$B$10,"")</f>
        <v/>
      </c>
      <c r="U2366" s="35">
        <f>IF(T2366="","",INT(T2366))</f>
        <v/>
      </c>
      <c r="V2366" s="33" t="inlineStr">
        <is>
          <t>NO</t>
        </is>
      </c>
      <c r="W2366" s="33" t="inlineStr">
        <is>
          <t>YES</t>
        </is>
      </c>
      <c r="X2366" s="33" t="inlineStr">
        <is>
          <t>NO</t>
        </is>
      </c>
      <c r="Y2366" s="33" t="n">
        <v>6</v>
      </c>
      <c r="Z2366" s="33" t="n">
        <v>7</v>
      </c>
      <c r="AA2366" s="33" t="inlineStr">
        <is>
          <t>2</t>
        </is>
      </c>
      <c r="AB2366" s="33" t="inlineStr">
        <is>
          <t>https://www.swimcloud.com/results/253796/event/24/?id=100343147#time100343147</t>
        </is>
      </c>
      <c r="AC2366" s="33" t="inlineStr">
        <is>
          <t>SwimCloud API v6 2026-10-08</t>
        </is>
      </c>
      <c r="AD2366" s="33" t="inlineStr">
        <is>
          <t>Luke Hobson|2023-04-14|LCM|400|Free|233.5|TYR Pro Swim Series - Westmont|PRE|False</t>
        </is>
      </c>
      <c r="AE2366" s="53">
        <f>G2366+L2366/1000+ROW()/1000000000</f>
        <v/>
      </c>
      <c r="AF2366" s="35">
        <f>IF(C2366&lt;&gt;"Grayson Coulter","",COUNTIFS($C$5:$C$2991,"Grayson Coulter",$Q$5:$Q$2991,Q2366,$AE$5:$AE$2991,"&lt;="&amp;AE2366,$R$5:$R$2991,"&lt;"&amp;R2366))</f>
        <v/>
      </c>
      <c r="AG2366" s="35">
        <f>IF(OR(C2366&lt;&gt;"Grayson Coulter",G2366&lt;'00_Control'!$B$7),"",--(AF2366&lt;5))</f>
        <v/>
      </c>
      <c r="AH2366" s="35">
        <f>IF(OR(C2366&lt;&gt;"Grayson Coulter",G2366&lt;'00_Control'!$B$7),"",--(AF2366&lt;10))</f>
        <v/>
      </c>
      <c r="AI2366" s="35">
        <f>IF(AND(C2366="Grayson Coulter",G2366&gt;='00_Control'!$B$7),"YES","NO")</f>
        <v/>
      </c>
      <c r="AJ2366" s="33" t="inlineStr">
        <is>
          <t>OK</t>
        </is>
      </c>
    </row>
    <row r="2367">
      <c r="A2367" s="33" t="inlineStr">
        <is>
          <t>SM002363</t>
        </is>
      </c>
      <c r="B2367" s="33" t="inlineStr">
        <is>
          <t>SW014</t>
        </is>
      </c>
      <c r="C2367" s="33" t="inlineStr">
        <is>
          <t>Luke Hobson</t>
        </is>
      </c>
      <c r="D2367" s="33" t="inlineStr">
        <is>
          <t>SwimCloud</t>
        </is>
      </c>
      <c r="E2367" s="33" t="inlineStr">
        <is>
          <t>576911</t>
        </is>
      </c>
      <c r="F2367" s="33" t="inlineStr">
        <is>
          <t>100343146</t>
        </is>
      </c>
      <c r="G2367" s="51" t="n">
        <v>45030</v>
      </c>
      <c r="H2367" s="33" t="inlineStr">
        <is>
          <t>TYR Pro Swim Series - Westmont</t>
        </is>
      </c>
      <c r="I2367" s="33" t="inlineStr">
        <is>
          <t>253796</t>
        </is>
      </c>
      <c r="J2367" s="33" t="inlineStr"/>
      <c r="K2367" s="33" t="inlineStr">
        <is>
          <t>FIN</t>
        </is>
      </c>
      <c r="L2367" s="35">
        <f>IF(K2367="FIN",3,IF(OR(K2367="SEM",K2367="SEMI"),2,IF(OR(K2367="PRE",K2367="HEAT"),1,IF(V2367="YES",4,2))))</f>
        <v/>
      </c>
      <c r="M2367" s="33" t="inlineStr">
        <is>
          <t>LCM</t>
        </is>
      </c>
      <c r="N2367" s="33" t="n">
        <v>400</v>
      </c>
      <c r="O2367" s="33" t="inlineStr">
        <is>
          <t>Free</t>
        </is>
      </c>
      <c r="P2367" s="33" t="inlineStr">
        <is>
          <t>400 Free</t>
        </is>
      </c>
      <c r="Q2367" s="33" t="inlineStr">
        <is>
          <t>LCM_400_FREE</t>
        </is>
      </c>
      <c r="R2367" s="36" t="n">
        <v>231.71</v>
      </c>
      <c r="S2367" s="35">
        <f>IF(R2367="","",IF(R2367&gt;=60,INT(R2367/60)&amp;":"&amp;TEXT(MOD(R2367,60),"00.00"),TEXT(R2367,"0.00")))</f>
        <v/>
      </c>
      <c r="T2367" s="52">
        <f>IFERROR((G2367-INDEX('01_Swimmers'!$E$5:$E$22,MATCH(B2367,'01_Swimmers'!$A$5:$A$22,0)))/'00_Control'!$B$10,"")</f>
        <v/>
      </c>
      <c r="U2367" s="35">
        <f>IF(T2367="","",INT(T2367))</f>
        <v/>
      </c>
      <c r="V2367" s="33" t="inlineStr">
        <is>
          <t>NO</t>
        </is>
      </c>
      <c r="W2367" s="33" t="inlineStr">
        <is>
          <t>YES</t>
        </is>
      </c>
      <c r="X2367" s="33" t="inlineStr">
        <is>
          <t>NO</t>
        </is>
      </c>
      <c r="Y2367" s="33" t="n">
        <v>1</v>
      </c>
      <c r="Z2367" s="33" t="n">
        <v>5</v>
      </c>
      <c r="AA2367" s="33" t="inlineStr">
        <is>
          <t>2</t>
        </is>
      </c>
      <c r="AB2367" s="33" t="inlineStr">
        <is>
          <t>https://www.swimcloud.com/results/253796/event/24/?id=100343146#time100343146</t>
        </is>
      </c>
      <c r="AC2367" s="33" t="inlineStr">
        <is>
          <t>SwimCloud API v6 2026-10-08</t>
        </is>
      </c>
      <c r="AD2367" s="33" t="inlineStr">
        <is>
          <t>Luke Hobson|2023-04-14|LCM|400|Free|231.71|TYR Pro Swim Series - Westmont|FIN|False</t>
        </is>
      </c>
      <c r="AE2367" s="53">
        <f>G2367+L2367/1000+ROW()/1000000000</f>
        <v/>
      </c>
      <c r="AF2367" s="35">
        <f>IF(C2367&lt;&gt;"Grayson Coulter","",COUNTIFS($C$5:$C$2991,"Grayson Coulter",$Q$5:$Q$2991,Q2367,$AE$5:$AE$2991,"&lt;="&amp;AE2367,$R$5:$R$2991,"&lt;"&amp;R2367))</f>
        <v/>
      </c>
      <c r="AG2367" s="35">
        <f>IF(OR(C2367&lt;&gt;"Grayson Coulter",G2367&lt;'00_Control'!$B$7),"",--(AF2367&lt;5))</f>
        <v/>
      </c>
      <c r="AH2367" s="35">
        <f>IF(OR(C2367&lt;&gt;"Grayson Coulter",G2367&lt;'00_Control'!$B$7),"",--(AF2367&lt;10))</f>
        <v/>
      </c>
      <c r="AI2367" s="35">
        <f>IF(AND(C2367="Grayson Coulter",G2367&gt;='00_Control'!$B$7),"YES","NO")</f>
        <v/>
      </c>
      <c r="AJ2367" s="33" t="inlineStr">
        <is>
          <t>OK</t>
        </is>
      </c>
    </row>
    <row r="2368">
      <c r="A2368" s="33" t="inlineStr">
        <is>
          <t>SM002364</t>
        </is>
      </c>
      <c r="B2368" s="33" t="inlineStr">
        <is>
          <t>SW014</t>
        </is>
      </c>
      <c r="C2368" s="33" t="inlineStr">
        <is>
          <t>Luke Hobson</t>
        </is>
      </c>
      <c r="D2368" s="33" t="inlineStr">
        <is>
          <t>SwimCloud</t>
        </is>
      </c>
      <c r="E2368" s="33" t="inlineStr">
        <is>
          <t>576911</t>
        </is>
      </c>
      <c r="F2368" s="33" t="inlineStr">
        <is>
          <t>100343143</t>
        </is>
      </c>
      <c r="G2368" s="51" t="n">
        <v>45031</v>
      </c>
      <c r="H2368" s="33" t="inlineStr">
        <is>
          <t>TYR Pro Swim Series - Westmont</t>
        </is>
      </c>
      <c r="I2368" s="33" t="inlineStr">
        <is>
          <t>253796</t>
        </is>
      </c>
      <c r="J2368" s="33" t="inlineStr"/>
      <c r="K2368" s="33" t="inlineStr">
        <is>
          <t>PRE</t>
        </is>
      </c>
      <c r="L2368" s="35">
        <f>IF(K2368="FIN",3,IF(OR(K2368="SEM",K2368="SEMI"),2,IF(OR(K2368="PRE",K2368="HEAT"),1,IF(V2368="YES",4,2))))</f>
        <v/>
      </c>
      <c r="M2368" s="33" t="inlineStr">
        <is>
          <t>LCM</t>
        </is>
      </c>
      <c r="N2368" s="33" t="n">
        <v>100</v>
      </c>
      <c r="O2368" s="33" t="inlineStr">
        <is>
          <t>Free</t>
        </is>
      </c>
      <c r="P2368" s="33" t="inlineStr">
        <is>
          <t>100 Free</t>
        </is>
      </c>
      <c r="Q2368" s="33" t="inlineStr">
        <is>
          <t>LCM_100_FREE</t>
        </is>
      </c>
      <c r="R2368" s="36" t="n">
        <v>50.7</v>
      </c>
      <c r="S2368" s="35">
        <f>IF(R2368="","",IF(R2368&gt;=60,INT(R2368/60)&amp;":"&amp;TEXT(MOD(R2368,60),"00.00"),TEXT(R2368,"0.00")))</f>
        <v/>
      </c>
      <c r="T2368" s="52">
        <f>IFERROR((G2368-INDEX('01_Swimmers'!$E$5:$E$22,MATCH(B2368,'01_Swimmers'!$A$5:$A$22,0)))/'00_Control'!$B$10,"")</f>
        <v/>
      </c>
      <c r="U2368" s="35">
        <f>IF(T2368="","",INT(T2368))</f>
        <v/>
      </c>
      <c r="V2368" s="33" t="inlineStr">
        <is>
          <t>NO</t>
        </is>
      </c>
      <c r="W2368" s="33" t="inlineStr">
        <is>
          <t>YES</t>
        </is>
      </c>
      <c r="X2368" s="33" t="inlineStr">
        <is>
          <t>NO</t>
        </is>
      </c>
      <c r="Y2368" s="33" t="n">
        <v>10</v>
      </c>
      <c r="Z2368" s="33" t="n">
        <v>9</v>
      </c>
      <c r="AA2368" s="33" t="inlineStr">
        <is>
          <t>29</t>
        </is>
      </c>
      <c r="AB2368" s="33" t="inlineStr">
        <is>
          <t>https://www.swimcloud.com/results/253796/event/34/?id=100343143#time100343143</t>
        </is>
      </c>
      <c r="AC2368" s="33" t="inlineStr">
        <is>
          <t>SwimCloud API v6 2026-10-08</t>
        </is>
      </c>
      <c r="AD2368" s="33" t="inlineStr">
        <is>
          <t>Luke Hobson|2023-04-15|LCM|100|Free|50.7|TYR Pro Swim Series - Westmont|PRE|False</t>
        </is>
      </c>
      <c r="AE2368" s="53">
        <f>G2368+L2368/1000+ROW()/1000000000</f>
        <v/>
      </c>
      <c r="AF2368" s="35">
        <f>IF(C2368&lt;&gt;"Grayson Coulter","",COUNTIFS($C$5:$C$2991,"Grayson Coulter",$Q$5:$Q$2991,Q2368,$AE$5:$AE$2991,"&lt;="&amp;AE2368,$R$5:$R$2991,"&lt;"&amp;R2368))</f>
        <v/>
      </c>
      <c r="AG2368" s="35">
        <f>IF(OR(C2368&lt;&gt;"Grayson Coulter",G2368&lt;'00_Control'!$B$7),"",--(AF2368&lt;5))</f>
        <v/>
      </c>
      <c r="AH2368" s="35">
        <f>IF(OR(C2368&lt;&gt;"Grayson Coulter",G2368&lt;'00_Control'!$B$7),"",--(AF2368&lt;10))</f>
        <v/>
      </c>
      <c r="AI2368" s="35">
        <f>IF(AND(C2368="Grayson Coulter",G2368&gt;='00_Control'!$B$7),"YES","NO")</f>
        <v/>
      </c>
      <c r="AJ2368" s="33" t="inlineStr">
        <is>
          <t>OK</t>
        </is>
      </c>
    </row>
    <row r="2369">
      <c r="A2369" s="33" t="inlineStr">
        <is>
          <t>SM002365</t>
        </is>
      </c>
      <c r="B2369" s="33" t="inlineStr">
        <is>
          <t>SW014</t>
        </is>
      </c>
      <c r="C2369" s="33" t="inlineStr">
        <is>
          <t>Luke Hobson</t>
        </is>
      </c>
      <c r="D2369" s="33" t="inlineStr">
        <is>
          <t>SwimCloud</t>
        </is>
      </c>
      <c r="E2369" s="33" t="inlineStr">
        <is>
          <t>576911</t>
        </is>
      </c>
      <c r="F2369" s="33" t="inlineStr">
        <is>
          <t>101723582</t>
        </is>
      </c>
      <c r="G2369" s="51" t="n">
        <v>45065</v>
      </c>
      <c r="H2369" s="33" t="inlineStr">
        <is>
          <t>ST TXLA 11&amp;Over End of School</t>
        </is>
      </c>
      <c r="I2369" s="33" t="inlineStr">
        <is>
          <t>268929</t>
        </is>
      </c>
      <c r="J2369" s="33" t="inlineStr"/>
      <c r="K2369" s="33" t="inlineStr">
        <is>
          <t>TIM</t>
        </is>
      </c>
      <c r="L2369" s="35">
        <f>IF(K2369="FIN",3,IF(OR(K2369="SEM",K2369="SEMI"),2,IF(OR(K2369="PRE",K2369="HEAT"),1,IF(V2369="YES",4,2))))</f>
        <v/>
      </c>
      <c r="M2369" s="33" t="inlineStr">
        <is>
          <t>LCM</t>
        </is>
      </c>
      <c r="N2369" s="33" t="n">
        <v>400</v>
      </c>
      <c r="O2369" s="33" t="inlineStr">
        <is>
          <t>Free</t>
        </is>
      </c>
      <c r="P2369" s="33" t="inlineStr">
        <is>
          <t>400 Free</t>
        </is>
      </c>
      <c r="Q2369" s="33" t="inlineStr">
        <is>
          <t>LCM_400_FREE</t>
        </is>
      </c>
      <c r="R2369" s="36" t="n">
        <v>237.56</v>
      </c>
      <c r="S2369" s="35">
        <f>IF(R2369="","",IF(R2369&gt;=60,INT(R2369/60)&amp;":"&amp;TEXT(MOD(R2369,60),"00.00"),TEXT(R2369,"0.00")))</f>
        <v/>
      </c>
      <c r="T2369" s="52">
        <f>IFERROR((G2369-INDEX('01_Swimmers'!$E$5:$E$22,MATCH(B2369,'01_Swimmers'!$A$5:$A$22,0)))/'00_Control'!$B$10,"")</f>
        <v/>
      </c>
      <c r="U2369" s="35">
        <f>IF(T2369="","",INT(T2369))</f>
        <v/>
      </c>
      <c r="V2369" s="33" t="inlineStr">
        <is>
          <t>NO</t>
        </is>
      </c>
      <c r="W2369" s="33" t="inlineStr">
        <is>
          <t>YES</t>
        </is>
      </c>
      <c r="X2369" s="33" t="inlineStr">
        <is>
          <t>NO</t>
        </is>
      </c>
      <c r="Y2369" s="33" t="n">
        <v>1</v>
      </c>
      <c r="Z2369" s="33" t="n">
        <v>5</v>
      </c>
      <c r="AA2369" s="33" t="inlineStr">
        <is>
          <t>1</t>
        </is>
      </c>
      <c r="AB2369" s="33" t="inlineStr">
        <is>
          <t>https://www.swimcloud.com/results/268929/event/3/?id=101723582#time101723582</t>
        </is>
      </c>
      <c r="AC2369" s="33" t="inlineStr">
        <is>
          <t>SwimCloud API v6 2026-10-08</t>
        </is>
      </c>
      <c r="AD2369" s="33" t="inlineStr">
        <is>
          <t>Luke Hobson|2023-05-19|LCM|400|Free|237.56|ST TXLA 11&amp;Over End of School|TIM|False</t>
        </is>
      </c>
      <c r="AE2369" s="53">
        <f>G2369+L2369/1000+ROW()/1000000000</f>
        <v/>
      </c>
      <c r="AF2369" s="35">
        <f>IF(C2369&lt;&gt;"Grayson Coulter","",COUNTIFS($C$5:$C$2991,"Grayson Coulter",$Q$5:$Q$2991,Q2369,$AE$5:$AE$2991,"&lt;="&amp;AE2369,$R$5:$R$2991,"&lt;"&amp;R2369))</f>
        <v/>
      </c>
      <c r="AG2369" s="35">
        <f>IF(OR(C2369&lt;&gt;"Grayson Coulter",G2369&lt;'00_Control'!$B$7),"",--(AF2369&lt;5))</f>
        <v/>
      </c>
      <c r="AH2369" s="35">
        <f>IF(OR(C2369&lt;&gt;"Grayson Coulter",G2369&lt;'00_Control'!$B$7),"",--(AF2369&lt;10))</f>
        <v/>
      </c>
      <c r="AI2369" s="35">
        <f>IF(AND(C2369="Grayson Coulter",G2369&gt;='00_Control'!$B$7),"YES","NO")</f>
        <v/>
      </c>
      <c r="AJ2369" s="33" t="inlineStr">
        <is>
          <t>OK</t>
        </is>
      </c>
    </row>
    <row r="2370">
      <c r="A2370" s="33" t="inlineStr">
        <is>
          <t>SM002366</t>
        </is>
      </c>
      <c r="B2370" s="33" t="inlineStr">
        <is>
          <t>SW014</t>
        </is>
      </c>
      <c r="C2370" s="33" t="inlineStr">
        <is>
          <t>Luke Hobson</t>
        </is>
      </c>
      <c r="D2370" s="33" t="inlineStr">
        <is>
          <t>SwimCloud</t>
        </is>
      </c>
      <c r="E2370" s="33" t="inlineStr">
        <is>
          <t>576911</t>
        </is>
      </c>
      <c r="F2370" s="33" t="inlineStr">
        <is>
          <t>101722809</t>
        </is>
      </c>
      <c r="G2370" s="51" t="n">
        <v>45066</v>
      </c>
      <c r="H2370" s="33" t="inlineStr">
        <is>
          <t>ST TXLA 11&amp;Over End of School</t>
        </is>
      </c>
      <c r="I2370" s="33" t="inlineStr">
        <is>
          <t>268929</t>
        </is>
      </c>
      <c r="J2370" s="33" t="inlineStr"/>
      <c r="K2370" s="33" t="inlineStr">
        <is>
          <t>TIM</t>
        </is>
      </c>
      <c r="L2370" s="35">
        <f>IF(K2370="FIN",3,IF(OR(K2370="SEM",K2370="SEMI"),2,IF(OR(K2370="PRE",K2370="HEAT"),1,IF(V2370="YES",4,2))))</f>
        <v/>
      </c>
      <c r="M2370" s="33" t="inlineStr">
        <is>
          <t>LCM</t>
        </is>
      </c>
      <c r="N2370" s="33" t="n">
        <v>100</v>
      </c>
      <c r="O2370" s="33" t="inlineStr">
        <is>
          <t>Fly</t>
        </is>
      </c>
      <c r="P2370" s="33" t="inlineStr">
        <is>
          <t>100 Fly</t>
        </is>
      </c>
      <c r="Q2370" s="33" t="inlineStr">
        <is>
          <t>LCM_100_FLY</t>
        </is>
      </c>
      <c r="R2370" s="36" t="n">
        <v>58.8</v>
      </c>
      <c r="S2370" s="35">
        <f>IF(R2370="","",IF(R2370&gt;=60,INT(R2370/60)&amp;":"&amp;TEXT(MOD(R2370,60),"00.00"),TEXT(R2370,"0.00")))</f>
        <v/>
      </c>
      <c r="T2370" s="52">
        <f>IFERROR((G2370-INDEX('01_Swimmers'!$E$5:$E$22,MATCH(B2370,'01_Swimmers'!$A$5:$A$22,0)))/'00_Control'!$B$10,"")</f>
        <v/>
      </c>
      <c r="U2370" s="35">
        <f>IF(T2370="","",INT(T2370))</f>
        <v/>
      </c>
      <c r="V2370" s="33" t="inlineStr">
        <is>
          <t>NO</t>
        </is>
      </c>
      <c r="W2370" s="33" t="inlineStr">
        <is>
          <t>YES</t>
        </is>
      </c>
      <c r="X2370" s="33" t="inlineStr">
        <is>
          <t>NO</t>
        </is>
      </c>
      <c r="Y2370" s="33" t="n">
        <v>1</v>
      </c>
      <c r="Z2370" s="33" t="n">
        <v>2</v>
      </c>
      <c r="AA2370" s="33" t="inlineStr">
        <is>
          <t>3</t>
        </is>
      </c>
      <c r="AB2370" s="33" t="inlineStr">
        <is>
          <t>https://www.swimcloud.com/results/268929/event/7/?id=101722809#time101722809</t>
        </is>
      </c>
      <c r="AC2370" s="33" t="inlineStr">
        <is>
          <t>SwimCloud API v6 2026-10-08</t>
        </is>
      </c>
      <c r="AD2370" s="33" t="inlineStr">
        <is>
          <t>Luke Hobson|2023-05-20|LCM|100|Fly|58.8|ST TXLA 11&amp;Over End of School|TIM|False</t>
        </is>
      </c>
      <c r="AE2370" s="53">
        <f>G2370+L2370/1000+ROW()/1000000000</f>
        <v/>
      </c>
      <c r="AF2370" s="35">
        <f>IF(C2370&lt;&gt;"Grayson Coulter","",COUNTIFS($C$5:$C$2991,"Grayson Coulter",$Q$5:$Q$2991,Q2370,$AE$5:$AE$2991,"&lt;="&amp;AE2370,$R$5:$R$2991,"&lt;"&amp;R2370))</f>
        <v/>
      </c>
      <c r="AG2370" s="35">
        <f>IF(OR(C2370&lt;&gt;"Grayson Coulter",G2370&lt;'00_Control'!$B$7),"",--(AF2370&lt;5))</f>
        <v/>
      </c>
      <c r="AH2370" s="35">
        <f>IF(OR(C2370&lt;&gt;"Grayson Coulter",G2370&lt;'00_Control'!$B$7),"",--(AF2370&lt;10))</f>
        <v/>
      </c>
      <c r="AI2370" s="35">
        <f>IF(AND(C2370="Grayson Coulter",G2370&gt;='00_Control'!$B$7),"YES","NO")</f>
        <v/>
      </c>
      <c r="AJ2370" s="33" t="inlineStr">
        <is>
          <t>OK</t>
        </is>
      </c>
    </row>
    <row r="2371">
      <c r="A2371" s="33" t="inlineStr">
        <is>
          <t>SM002367</t>
        </is>
      </c>
      <c r="B2371" s="33" t="inlineStr">
        <is>
          <t>SW014</t>
        </is>
      </c>
      <c r="C2371" s="33" t="inlineStr">
        <is>
          <t>Luke Hobson</t>
        </is>
      </c>
      <c r="D2371" s="33" t="inlineStr">
        <is>
          <t>SwimCloud</t>
        </is>
      </c>
      <c r="E2371" s="33" t="inlineStr">
        <is>
          <t>576911</t>
        </is>
      </c>
      <c r="F2371" s="33" t="inlineStr">
        <is>
          <t>102512016</t>
        </is>
      </c>
      <c r="G2371" s="51" t="n">
        <v>45087</v>
      </c>
      <c r="H2371" s="33" t="inlineStr">
        <is>
          <t>ST TXLA Texas Open</t>
        </is>
      </c>
      <c r="I2371" s="33" t="inlineStr">
        <is>
          <t>269758</t>
        </is>
      </c>
      <c r="J2371" s="33" t="inlineStr"/>
      <c r="K2371" s="33" t="inlineStr">
        <is>
          <t>TIM</t>
        </is>
      </c>
      <c r="L2371" s="35">
        <f>IF(K2371="FIN",3,IF(OR(K2371="SEM",K2371="SEMI"),2,IF(OR(K2371="PRE",K2371="HEAT"),1,IF(V2371="YES",4,2))))</f>
        <v/>
      </c>
      <c r="M2371" s="33" t="inlineStr">
        <is>
          <t>LCM</t>
        </is>
      </c>
      <c r="N2371" s="33" t="n">
        <v>100</v>
      </c>
      <c r="O2371" s="33" t="inlineStr">
        <is>
          <t>Free</t>
        </is>
      </c>
      <c r="P2371" s="33" t="inlineStr">
        <is>
          <t>100 Free</t>
        </is>
      </c>
      <c r="Q2371" s="33" t="inlineStr">
        <is>
          <t>LCM_100_FREE</t>
        </is>
      </c>
      <c r="R2371" s="36" t="n">
        <v>50.31</v>
      </c>
      <c r="S2371" s="35">
        <f>IF(R2371="","",IF(R2371&gt;=60,INT(R2371/60)&amp;":"&amp;TEXT(MOD(R2371,60),"00.00"),TEXT(R2371,"0.00")))</f>
        <v/>
      </c>
      <c r="T2371" s="52">
        <f>IFERROR((G2371-INDEX('01_Swimmers'!$E$5:$E$22,MATCH(B2371,'01_Swimmers'!$A$5:$A$22,0)))/'00_Control'!$B$10,"")</f>
        <v/>
      </c>
      <c r="U2371" s="35">
        <f>IF(T2371="","",INT(T2371))</f>
        <v/>
      </c>
      <c r="V2371" s="33" t="inlineStr">
        <is>
          <t>NO</t>
        </is>
      </c>
      <c r="W2371" s="33" t="inlineStr">
        <is>
          <t>YES</t>
        </is>
      </c>
      <c r="X2371" s="33" t="inlineStr">
        <is>
          <t>NO</t>
        </is>
      </c>
      <c r="Y2371" s="33" t="n">
        <v>1</v>
      </c>
      <c r="Z2371" s="33" t="n">
        <v>4</v>
      </c>
      <c r="AA2371" s="33" t="inlineStr">
        <is>
          <t>2</t>
        </is>
      </c>
      <c r="AB2371" s="33" t="inlineStr">
        <is>
          <t>https://www.swimcloud.com/results/269758/event/109/?id=102512016#time102512016</t>
        </is>
      </c>
      <c r="AC2371" s="33" t="inlineStr">
        <is>
          <t>SwimCloud API v6 2026-10-08</t>
        </is>
      </c>
      <c r="AD2371" s="33" t="inlineStr">
        <is>
          <t>Luke Hobson|2023-06-10|LCM|100|Free|50.31|ST TXLA Texas Open|TIM|False</t>
        </is>
      </c>
      <c r="AE2371" s="53">
        <f>G2371+L2371/1000+ROW()/1000000000</f>
        <v/>
      </c>
      <c r="AF2371" s="35">
        <f>IF(C2371&lt;&gt;"Grayson Coulter","",COUNTIFS($C$5:$C$2991,"Grayson Coulter",$Q$5:$Q$2991,Q2371,$AE$5:$AE$2991,"&lt;="&amp;AE2371,$R$5:$R$2991,"&lt;"&amp;R2371))</f>
        <v/>
      </c>
      <c r="AG2371" s="35">
        <f>IF(OR(C2371&lt;&gt;"Grayson Coulter",G2371&lt;'00_Control'!$B$7),"",--(AF2371&lt;5))</f>
        <v/>
      </c>
      <c r="AH2371" s="35">
        <f>IF(OR(C2371&lt;&gt;"Grayson Coulter",G2371&lt;'00_Control'!$B$7),"",--(AF2371&lt;10))</f>
        <v/>
      </c>
      <c r="AI2371" s="35">
        <f>IF(AND(C2371="Grayson Coulter",G2371&gt;='00_Control'!$B$7),"YES","NO")</f>
        <v/>
      </c>
      <c r="AJ2371" s="33" t="inlineStr">
        <is>
          <t>OK</t>
        </is>
      </c>
    </row>
    <row r="2372">
      <c r="A2372" s="33" t="inlineStr">
        <is>
          <t>SM002368</t>
        </is>
      </c>
      <c r="B2372" s="33" t="inlineStr">
        <is>
          <t>SW014</t>
        </is>
      </c>
      <c r="C2372" s="33" t="inlineStr">
        <is>
          <t>Luke Hobson</t>
        </is>
      </c>
      <c r="D2372" s="33" t="inlineStr">
        <is>
          <t>SwimCloud</t>
        </is>
      </c>
      <c r="E2372" s="33" t="inlineStr">
        <is>
          <t>576911</t>
        </is>
      </c>
      <c r="F2372" s="33" t="inlineStr">
        <is>
          <t>102512040</t>
        </is>
      </c>
      <c r="G2372" s="51" t="n">
        <v>45087</v>
      </c>
      <c r="H2372" s="33" t="inlineStr">
        <is>
          <t>ST TXLA Texas Open</t>
        </is>
      </c>
      <c r="I2372" s="33" t="inlineStr">
        <is>
          <t>269758</t>
        </is>
      </c>
      <c r="J2372" s="33" t="inlineStr"/>
      <c r="K2372" s="33" t="inlineStr">
        <is>
          <t>TIM</t>
        </is>
      </c>
      <c r="L2372" s="35">
        <f>IF(K2372="FIN",3,IF(OR(K2372="SEM",K2372="SEMI"),2,IF(OR(K2372="PRE",K2372="HEAT"),1,IF(V2372="YES",4,2))))</f>
        <v/>
      </c>
      <c r="M2372" s="33" t="inlineStr">
        <is>
          <t>LCM</t>
        </is>
      </c>
      <c r="N2372" s="33" t="n">
        <v>100</v>
      </c>
      <c r="O2372" s="33" t="inlineStr">
        <is>
          <t>Free</t>
        </is>
      </c>
      <c r="P2372" s="33" t="inlineStr">
        <is>
          <t>100 Free</t>
        </is>
      </c>
      <c r="Q2372" s="33" t="inlineStr">
        <is>
          <t>LCM_100_FREE</t>
        </is>
      </c>
      <c r="R2372" s="36" t="n">
        <v>50.38</v>
      </c>
      <c r="S2372" s="35">
        <f>IF(R2372="","",IF(R2372&gt;=60,INT(R2372/60)&amp;":"&amp;TEXT(MOD(R2372,60),"00.00"),TEXT(R2372,"0.00")))</f>
        <v/>
      </c>
      <c r="T2372" s="52">
        <f>IFERROR((G2372-INDEX('01_Swimmers'!$E$5:$E$22,MATCH(B2372,'01_Swimmers'!$A$5:$A$22,0)))/'00_Control'!$B$10,"")</f>
        <v/>
      </c>
      <c r="U2372" s="35">
        <f>IF(T2372="","",INT(T2372))</f>
        <v/>
      </c>
      <c r="V2372" s="33" t="inlineStr">
        <is>
          <t>NO</t>
        </is>
      </c>
      <c r="W2372" s="33" t="inlineStr">
        <is>
          <t>YES</t>
        </is>
      </c>
      <c r="X2372" s="33" t="inlineStr">
        <is>
          <t>NO</t>
        </is>
      </c>
      <c r="Y2372" s="33" t="n">
        <v>1</v>
      </c>
      <c r="Z2372" s="33" t="n">
        <v>5</v>
      </c>
      <c r="AA2372" s="33" t="inlineStr">
        <is>
          <t>1</t>
        </is>
      </c>
      <c r="AB2372" s="33" t="inlineStr">
        <is>
          <t>https://www.swimcloud.com/results/269758/event/9/?id=102512040#time102512040</t>
        </is>
      </c>
      <c r="AC2372" s="33" t="inlineStr">
        <is>
          <t>SwimCloud API v6 2026-10-08</t>
        </is>
      </c>
      <c r="AD2372" s="33" t="inlineStr">
        <is>
          <t>Luke Hobson|2023-06-10|LCM|100|Free|50.38|ST TXLA Texas Open|TIM|False</t>
        </is>
      </c>
      <c r="AE2372" s="53">
        <f>G2372+L2372/1000+ROW()/1000000000</f>
        <v/>
      </c>
      <c r="AF2372" s="35">
        <f>IF(C2372&lt;&gt;"Grayson Coulter","",COUNTIFS($C$5:$C$2991,"Grayson Coulter",$Q$5:$Q$2991,Q2372,$AE$5:$AE$2991,"&lt;="&amp;AE2372,$R$5:$R$2991,"&lt;"&amp;R2372))</f>
        <v/>
      </c>
      <c r="AG2372" s="35">
        <f>IF(OR(C2372&lt;&gt;"Grayson Coulter",G2372&lt;'00_Control'!$B$7),"",--(AF2372&lt;5))</f>
        <v/>
      </c>
      <c r="AH2372" s="35">
        <f>IF(OR(C2372&lt;&gt;"Grayson Coulter",G2372&lt;'00_Control'!$B$7),"",--(AF2372&lt;10))</f>
        <v/>
      </c>
      <c r="AI2372" s="35">
        <f>IF(AND(C2372="Grayson Coulter",G2372&gt;='00_Control'!$B$7),"YES","NO")</f>
        <v/>
      </c>
      <c r="AJ2372" s="33" t="inlineStr">
        <is>
          <t>OK</t>
        </is>
      </c>
    </row>
    <row r="2373">
      <c r="A2373" s="33" t="inlineStr">
        <is>
          <t>SM002369</t>
        </is>
      </c>
      <c r="B2373" s="33" t="inlineStr">
        <is>
          <t>SW014</t>
        </is>
      </c>
      <c r="C2373" s="33" t="inlineStr">
        <is>
          <t>Luke Hobson</t>
        </is>
      </c>
      <c r="D2373" s="33" t="inlineStr">
        <is>
          <t>SwimCloud</t>
        </is>
      </c>
      <c r="E2373" s="33" t="inlineStr">
        <is>
          <t>576911</t>
        </is>
      </c>
      <c r="F2373" s="33" t="inlineStr">
        <is>
          <t>102512329</t>
        </is>
      </c>
      <c r="G2373" s="51" t="n">
        <v>45088</v>
      </c>
      <c r="H2373" s="33" t="inlineStr">
        <is>
          <t>ST TXLA Texas Open</t>
        </is>
      </c>
      <c r="I2373" s="33" t="inlineStr">
        <is>
          <t>269758</t>
        </is>
      </c>
      <c r="J2373" s="33" t="inlineStr"/>
      <c r="K2373" s="33" t="inlineStr">
        <is>
          <t>TIM</t>
        </is>
      </c>
      <c r="L2373" s="35">
        <f>IF(K2373="FIN",3,IF(OR(K2373="SEM",K2373="SEMI"),2,IF(OR(K2373="PRE",K2373="HEAT"),1,IF(V2373="YES",4,2))))</f>
        <v/>
      </c>
      <c r="M2373" s="33" t="inlineStr">
        <is>
          <t>LCM</t>
        </is>
      </c>
      <c r="N2373" s="33" t="n">
        <v>200</v>
      </c>
      <c r="O2373" s="33" t="inlineStr">
        <is>
          <t>Free</t>
        </is>
      </c>
      <c r="P2373" s="33" t="inlineStr">
        <is>
          <t>200 Free</t>
        </is>
      </c>
      <c r="Q2373" s="33" t="inlineStr">
        <is>
          <t>LCM_200_FREE</t>
        </is>
      </c>
      <c r="R2373" s="36" t="n">
        <v>110.16</v>
      </c>
      <c r="S2373" s="35">
        <f>IF(R2373="","",IF(R2373&gt;=60,INT(R2373/60)&amp;":"&amp;TEXT(MOD(R2373,60),"00.00"),TEXT(R2373,"0.00")))</f>
        <v/>
      </c>
      <c r="T2373" s="52">
        <f>IFERROR((G2373-INDEX('01_Swimmers'!$E$5:$E$22,MATCH(B2373,'01_Swimmers'!$A$5:$A$22,0)))/'00_Control'!$B$10,"")</f>
        <v/>
      </c>
      <c r="U2373" s="35">
        <f>IF(T2373="","",INT(T2373))</f>
        <v/>
      </c>
      <c r="V2373" s="33" t="inlineStr">
        <is>
          <t>NO</t>
        </is>
      </c>
      <c r="W2373" s="33" t="inlineStr">
        <is>
          <t>YES</t>
        </is>
      </c>
      <c r="X2373" s="33" t="inlineStr">
        <is>
          <t>NO</t>
        </is>
      </c>
      <c r="Y2373" s="33" t="n">
        <v>1</v>
      </c>
      <c r="Z2373" s="33" t="n">
        <v>5</v>
      </c>
      <c r="AA2373" s="33" t="inlineStr">
        <is>
          <t>2</t>
        </is>
      </c>
      <c r="AB2373" s="33" t="inlineStr">
        <is>
          <t>https://www.swimcloud.com/results/269758/event/20/?id=102512329#time102512329</t>
        </is>
      </c>
      <c r="AC2373" s="33" t="inlineStr">
        <is>
          <t>SwimCloud API v6 2026-10-08</t>
        </is>
      </c>
      <c r="AD2373" s="33" t="inlineStr">
        <is>
          <t>Luke Hobson|2023-06-11|LCM|200|Free|110.16|ST TXLA Texas Open|TIM|False</t>
        </is>
      </c>
      <c r="AE2373" s="53">
        <f>G2373+L2373/1000+ROW()/1000000000</f>
        <v/>
      </c>
      <c r="AF2373" s="35">
        <f>IF(C2373&lt;&gt;"Grayson Coulter","",COUNTIFS($C$5:$C$2991,"Grayson Coulter",$Q$5:$Q$2991,Q2373,$AE$5:$AE$2991,"&lt;="&amp;AE2373,$R$5:$R$2991,"&lt;"&amp;R2373))</f>
        <v/>
      </c>
      <c r="AG2373" s="35">
        <f>IF(OR(C2373&lt;&gt;"Grayson Coulter",G2373&lt;'00_Control'!$B$7),"",--(AF2373&lt;5))</f>
        <v/>
      </c>
      <c r="AH2373" s="35">
        <f>IF(OR(C2373&lt;&gt;"Grayson Coulter",G2373&lt;'00_Control'!$B$7),"",--(AF2373&lt;10))</f>
        <v/>
      </c>
      <c r="AI2373" s="35">
        <f>IF(AND(C2373="Grayson Coulter",G2373&gt;='00_Control'!$B$7),"YES","NO")</f>
        <v/>
      </c>
      <c r="AJ2373" s="33" t="inlineStr">
        <is>
          <t>OK</t>
        </is>
      </c>
    </row>
    <row r="2374">
      <c r="A2374" s="33" t="inlineStr">
        <is>
          <t>SM002370</t>
        </is>
      </c>
      <c r="B2374" s="33" t="inlineStr">
        <is>
          <t>SW014</t>
        </is>
      </c>
      <c r="C2374" s="33" t="inlineStr">
        <is>
          <t>Luke Hobson</t>
        </is>
      </c>
      <c r="D2374" s="33" t="inlineStr">
        <is>
          <t>SwimCloud</t>
        </is>
      </c>
      <c r="E2374" s="33" t="inlineStr">
        <is>
          <t>576911</t>
        </is>
      </c>
      <c r="F2374" s="33" t="inlineStr">
        <is>
          <t>103346176</t>
        </is>
      </c>
      <c r="G2374" s="51" t="n">
        <v>45104</v>
      </c>
      <c r="H2374" s="33" t="inlineStr">
        <is>
          <t>Phillips 66 USA National Championships</t>
        </is>
      </c>
      <c r="I2374" s="33" t="inlineStr">
        <is>
          <t>234779</t>
        </is>
      </c>
      <c r="J2374" s="33" t="inlineStr"/>
      <c r="K2374" s="33" t="inlineStr">
        <is>
          <t>PRE</t>
        </is>
      </c>
      <c r="L2374" s="35">
        <f>IF(K2374="FIN",3,IF(OR(K2374="SEM",K2374="SEMI"),2,IF(OR(K2374="PRE",K2374="HEAT"),1,IF(V2374="YES",4,2))))</f>
        <v/>
      </c>
      <c r="M2374" s="33" t="inlineStr">
        <is>
          <t>LCM</t>
        </is>
      </c>
      <c r="N2374" s="33" t="n">
        <v>100</v>
      </c>
      <c r="O2374" s="33" t="inlineStr">
        <is>
          <t>Free</t>
        </is>
      </c>
      <c r="P2374" s="33" t="inlineStr">
        <is>
          <t>100 Free</t>
        </is>
      </c>
      <c r="Q2374" s="33" t="inlineStr">
        <is>
          <t>LCM_100_FREE</t>
        </is>
      </c>
      <c r="R2374" s="36" t="n">
        <v>48.92</v>
      </c>
      <c r="S2374" s="35">
        <f>IF(R2374="","",IF(R2374&gt;=60,INT(R2374/60)&amp;":"&amp;TEXT(MOD(R2374,60),"00.00"),TEXT(R2374,"0.00")))</f>
        <v/>
      </c>
      <c r="T2374" s="52">
        <f>IFERROR((G2374-INDEX('01_Swimmers'!$E$5:$E$22,MATCH(B2374,'01_Swimmers'!$A$5:$A$22,0)))/'00_Control'!$B$10,"")</f>
        <v/>
      </c>
      <c r="U2374" s="35">
        <f>IF(T2374="","",INT(T2374))</f>
        <v/>
      </c>
      <c r="V2374" s="33" t="inlineStr">
        <is>
          <t>NO</t>
        </is>
      </c>
      <c r="W2374" s="33" t="inlineStr">
        <is>
          <t>YES</t>
        </is>
      </c>
      <c r="X2374" s="33" t="inlineStr">
        <is>
          <t>NO</t>
        </is>
      </c>
      <c r="Y2374" s="33" t="n">
        <v>6</v>
      </c>
      <c r="Z2374" s="33" t="n">
        <v>1</v>
      </c>
      <c r="AA2374" s="33" t="inlineStr">
        <is>
          <t>16</t>
        </is>
      </c>
      <c r="AB2374" s="33" t="inlineStr">
        <is>
          <t>https://www.swimcloud.com/results/234779/event/4/?id=103346176#time103346176</t>
        </is>
      </c>
      <c r="AC2374" s="33" t="inlineStr">
        <is>
          <t>SwimCloud API v6 2026-10-08</t>
        </is>
      </c>
      <c r="AD2374" s="33" t="inlineStr">
        <is>
          <t>Luke Hobson|2023-06-27|LCM|100|Free|48.92|Phillips 66 USA National Championships|PRE|False</t>
        </is>
      </c>
      <c r="AE2374" s="53">
        <f>G2374+L2374/1000+ROW()/1000000000</f>
        <v/>
      </c>
      <c r="AF2374" s="35">
        <f>IF(C2374&lt;&gt;"Grayson Coulter","",COUNTIFS($C$5:$C$2991,"Grayson Coulter",$Q$5:$Q$2991,Q2374,$AE$5:$AE$2991,"&lt;="&amp;AE2374,$R$5:$R$2991,"&lt;"&amp;R2374))</f>
        <v/>
      </c>
      <c r="AG2374" s="35">
        <f>IF(OR(C2374&lt;&gt;"Grayson Coulter",G2374&lt;'00_Control'!$B$7),"",--(AF2374&lt;5))</f>
        <v/>
      </c>
      <c r="AH2374" s="35">
        <f>IF(OR(C2374&lt;&gt;"Grayson Coulter",G2374&lt;'00_Control'!$B$7),"",--(AF2374&lt;10))</f>
        <v/>
      </c>
      <c r="AI2374" s="35">
        <f>IF(AND(C2374="Grayson Coulter",G2374&gt;='00_Control'!$B$7),"YES","NO")</f>
        <v/>
      </c>
      <c r="AJ2374" s="33" t="inlineStr">
        <is>
          <t>OK</t>
        </is>
      </c>
    </row>
    <row r="2375">
      <c r="A2375" s="33" t="inlineStr">
        <is>
          <t>SM002371</t>
        </is>
      </c>
      <c r="B2375" s="33" t="inlineStr">
        <is>
          <t>SW014</t>
        </is>
      </c>
      <c r="C2375" s="33" t="inlineStr">
        <is>
          <t>Luke Hobson</t>
        </is>
      </c>
      <c r="D2375" s="33" t="inlineStr">
        <is>
          <t>SwimCloud</t>
        </is>
      </c>
      <c r="E2375" s="33" t="inlineStr">
        <is>
          <t>576911</t>
        </is>
      </c>
      <c r="F2375" s="33" t="inlineStr">
        <is>
          <t>103346178</t>
        </is>
      </c>
      <c r="G2375" s="51" t="n">
        <v>45105</v>
      </c>
      <c r="H2375" s="33" t="inlineStr">
        <is>
          <t>Phillips 66 USA National Championships</t>
        </is>
      </c>
      <c r="I2375" s="33" t="inlineStr">
        <is>
          <t>234779</t>
        </is>
      </c>
      <c r="J2375" s="33" t="inlineStr"/>
      <c r="K2375" s="33" t="inlineStr">
        <is>
          <t>PRE</t>
        </is>
      </c>
      <c r="L2375" s="35">
        <f>IF(K2375="FIN",3,IF(OR(K2375="SEM",K2375="SEMI"),2,IF(OR(K2375="PRE",K2375="HEAT"),1,IF(V2375="YES",4,2))))</f>
        <v/>
      </c>
      <c r="M2375" s="33" t="inlineStr">
        <is>
          <t>LCM</t>
        </is>
      </c>
      <c r="N2375" s="33" t="n">
        <v>200</v>
      </c>
      <c r="O2375" s="33" t="inlineStr">
        <is>
          <t>Free</t>
        </is>
      </c>
      <c r="P2375" s="33" t="inlineStr">
        <is>
          <t>200 Free</t>
        </is>
      </c>
      <c r="Q2375" s="33" t="inlineStr">
        <is>
          <t>LCM_200_FREE</t>
        </is>
      </c>
      <c r="R2375" s="36" t="n">
        <v>105.12</v>
      </c>
      <c r="S2375" s="35">
        <f>IF(R2375="","",IF(R2375&gt;=60,INT(R2375/60)&amp;":"&amp;TEXT(MOD(R2375,60),"00.00"),TEXT(R2375,"0.00")))</f>
        <v/>
      </c>
      <c r="T2375" s="52">
        <f>IFERROR((G2375-INDEX('01_Swimmers'!$E$5:$E$22,MATCH(B2375,'01_Swimmers'!$A$5:$A$22,0)))/'00_Control'!$B$10,"")</f>
        <v/>
      </c>
      <c r="U2375" s="35">
        <f>IF(T2375="","",INT(T2375))</f>
        <v/>
      </c>
      <c r="V2375" s="33" t="inlineStr">
        <is>
          <t>NO</t>
        </is>
      </c>
      <c r="W2375" s="33" t="inlineStr">
        <is>
          <t>YES</t>
        </is>
      </c>
      <c r="X2375" s="33" t="inlineStr">
        <is>
          <t>NO</t>
        </is>
      </c>
      <c r="Y2375" s="33" t="n">
        <v>7</v>
      </c>
      <c r="Z2375" s="33" t="n">
        <v>5</v>
      </c>
      <c r="AA2375" s="33" t="inlineStr">
        <is>
          <t>1</t>
        </is>
      </c>
      <c r="AB2375" s="33" t="inlineStr">
        <is>
          <t>https://www.swimcloud.com/results/234779/event/8/?id=103346178#time103346178</t>
        </is>
      </c>
      <c r="AC2375" s="33" t="inlineStr">
        <is>
          <t>SwimCloud API v6 2026-10-08</t>
        </is>
      </c>
      <c r="AD2375" s="33" t="inlineStr">
        <is>
          <t>Luke Hobson|2023-06-28|LCM|200|Free|105.12|Phillips 66 USA National Championships|PRE|False</t>
        </is>
      </c>
      <c r="AE2375" s="53">
        <f>G2375+L2375/1000+ROW()/1000000000</f>
        <v/>
      </c>
      <c r="AF2375" s="35">
        <f>IF(C2375&lt;&gt;"Grayson Coulter","",COUNTIFS($C$5:$C$2991,"Grayson Coulter",$Q$5:$Q$2991,Q2375,$AE$5:$AE$2991,"&lt;="&amp;AE2375,$R$5:$R$2991,"&lt;"&amp;R2375))</f>
        <v/>
      </c>
      <c r="AG2375" s="35">
        <f>IF(OR(C2375&lt;&gt;"Grayson Coulter",G2375&lt;'00_Control'!$B$7),"",--(AF2375&lt;5))</f>
        <v/>
      </c>
      <c r="AH2375" s="35">
        <f>IF(OR(C2375&lt;&gt;"Grayson Coulter",G2375&lt;'00_Control'!$B$7),"",--(AF2375&lt;10))</f>
        <v/>
      </c>
      <c r="AI2375" s="35">
        <f>IF(AND(C2375="Grayson Coulter",G2375&gt;='00_Control'!$B$7),"YES","NO")</f>
        <v/>
      </c>
      <c r="AJ2375" s="33" t="inlineStr">
        <is>
          <t>OK</t>
        </is>
      </c>
    </row>
    <row r="2376">
      <c r="A2376" s="33" t="inlineStr">
        <is>
          <t>SM002372</t>
        </is>
      </c>
      <c r="B2376" s="33" t="inlineStr">
        <is>
          <t>SW014</t>
        </is>
      </c>
      <c r="C2376" s="33" t="inlineStr">
        <is>
          <t>Luke Hobson</t>
        </is>
      </c>
      <c r="D2376" s="33" t="inlineStr">
        <is>
          <t>SwimCloud</t>
        </is>
      </c>
      <c r="E2376" s="33" t="inlineStr">
        <is>
          <t>576911</t>
        </is>
      </c>
      <c r="F2376" s="33" t="inlineStr">
        <is>
          <t>103346177</t>
        </is>
      </c>
      <c r="G2376" s="51" t="n">
        <v>45105</v>
      </c>
      <c r="H2376" s="33" t="inlineStr">
        <is>
          <t>Phillips 66 USA National Championships</t>
        </is>
      </c>
      <c r="I2376" s="33" t="inlineStr">
        <is>
          <t>234779</t>
        </is>
      </c>
      <c r="J2376" s="33" t="inlineStr"/>
      <c r="K2376" s="33" t="inlineStr">
        <is>
          <t>FIN</t>
        </is>
      </c>
      <c r="L2376" s="35">
        <f>IF(K2376="FIN",3,IF(OR(K2376="SEM",K2376="SEMI"),2,IF(OR(K2376="PRE",K2376="HEAT"),1,IF(V2376="YES",4,2))))</f>
        <v/>
      </c>
      <c r="M2376" s="33" t="inlineStr">
        <is>
          <t>LCM</t>
        </is>
      </c>
      <c r="N2376" s="33" t="n">
        <v>200</v>
      </c>
      <c r="O2376" s="33" t="inlineStr">
        <is>
          <t>Free</t>
        </is>
      </c>
      <c r="P2376" s="33" t="inlineStr">
        <is>
          <t>200 Free</t>
        </is>
      </c>
      <c r="Q2376" s="33" t="inlineStr">
        <is>
          <t>LCM_200_FREE</t>
        </is>
      </c>
      <c r="R2376" s="36" t="n">
        <v>105.18</v>
      </c>
      <c r="S2376" s="35">
        <f>IF(R2376="","",IF(R2376&gt;=60,INT(R2376/60)&amp;":"&amp;TEXT(MOD(R2376,60),"00.00"),TEXT(R2376,"0.00")))</f>
        <v/>
      </c>
      <c r="T2376" s="52">
        <f>IFERROR((G2376-INDEX('01_Swimmers'!$E$5:$E$22,MATCH(B2376,'01_Swimmers'!$A$5:$A$22,0)))/'00_Control'!$B$10,"")</f>
        <v/>
      </c>
      <c r="U2376" s="35">
        <f>IF(T2376="","",INT(T2376))</f>
        <v/>
      </c>
      <c r="V2376" s="33" t="inlineStr">
        <is>
          <t>NO</t>
        </is>
      </c>
      <c r="W2376" s="33" t="inlineStr">
        <is>
          <t>YES</t>
        </is>
      </c>
      <c r="X2376" s="33" t="inlineStr">
        <is>
          <t>NO</t>
        </is>
      </c>
      <c r="Y2376" s="33" t="n">
        <v>1</v>
      </c>
      <c r="Z2376" s="33" t="n">
        <v>4</v>
      </c>
      <c r="AA2376" s="33" t="inlineStr">
        <is>
          <t>1</t>
        </is>
      </c>
      <c r="AB2376" s="33" t="inlineStr">
        <is>
          <t>https://www.swimcloud.com/results/234779/event/8/?id=103346177#time103346177</t>
        </is>
      </c>
      <c r="AC2376" s="33" t="inlineStr">
        <is>
          <t>SwimCloud API v6 2026-10-08</t>
        </is>
      </c>
      <c r="AD2376" s="33" t="inlineStr">
        <is>
          <t>Luke Hobson|2023-06-28|LCM|200|Free|105.18|Phillips 66 USA National Championships|FIN|False</t>
        </is>
      </c>
      <c r="AE2376" s="53">
        <f>G2376+L2376/1000+ROW()/1000000000</f>
        <v/>
      </c>
      <c r="AF2376" s="35">
        <f>IF(C2376&lt;&gt;"Grayson Coulter","",COUNTIFS($C$5:$C$2991,"Grayson Coulter",$Q$5:$Q$2991,Q2376,$AE$5:$AE$2991,"&lt;="&amp;AE2376,$R$5:$R$2991,"&lt;"&amp;R2376))</f>
        <v/>
      </c>
      <c r="AG2376" s="35">
        <f>IF(OR(C2376&lt;&gt;"Grayson Coulter",G2376&lt;'00_Control'!$B$7),"",--(AF2376&lt;5))</f>
        <v/>
      </c>
      <c r="AH2376" s="35">
        <f>IF(OR(C2376&lt;&gt;"Grayson Coulter",G2376&lt;'00_Control'!$B$7),"",--(AF2376&lt;10))</f>
        <v/>
      </c>
      <c r="AI2376" s="35">
        <f>IF(AND(C2376="Grayson Coulter",G2376&gt;='00_Control'!$B$7),"YES","NO")</f>
        <v/>
      </c>
      <c r="AJ2376" s="33" t="inlineStr">
        <is>
          <t>OK</t>
        </is>
      </c>
    </row>
    <row r="2377">
      <c r="A2377" s="33" t="inlineStr">
        <is>
          <t>SM002373</t>
        </is>
      </c>
      <c r="B2377" s="33" t="inlineStr">
        <is>
          <t>SW014</t>
        </is>
      </c>
      <c r="C2377" s="33" t="inlineStr">
        <is>
          <t>Luke Hobson</t>
        </is>
      </c>
      <c r="D2377" s="33" t="inlineStr">
        <is>
          <t>SwimCloud</t>
        </is>
      </c>
      <c r="E2377" s="33" t="inlineStr">
        <is>
          <t>576911</t>
        </is>
      </c>
      <c r="F2377" s="33" t="inlineStr">
        <is>
          <t>103346180</t>
        </is>
      </c>
      <c r="G2377" s="51" t="n">
        <v>45107</v>
      </c>
      <c r="H2377" s="33" t="inlineStr">
        <is>
          <t>Phillips 66 USA National Championships</t>
        </is>
      </c>
      <c r="I2377" s="33" t="inlineStr">
        <is>
          <t>234779</t>
        </is>
      </c>
      <c r="J2377" s="33" t="inlineStr"/>
      <c r="K2377" s="33" t="inlineStr">
        <is>
          <t>PRE</t>
        </is>
      </c>
      <c r="L2377" s="35">
        <f>IF(K2377="FIN",3,IF(OR(K2377="SEM",K2377="SEMI"),2,IF(OR(K2377="PRE",K2377="HEAT"),1,IF(V2377="YES",4,2))))</f>
        <v/>
      </c>
      <c r="M2377" s="33" t="inlineStr">
        <is>
          <t>LCM</t>
        </is>
      </c>
      <c r="N2377" s="33" t="n">
        <v>400</v>
      </c>
      <c r="O2377" s="33" t="inlineStr">
        <is>
          <t>Free</t>
        </is>
      </c>
      <c r="P2377" s="33" t="inlineStr">
        <is>
          <t>400 Free</t>
        </is>
      </c>
      <c r="Q2377" s="33" t="inlineStr">
        <is>
          <t>LCM_400_FREE</t>
        </is>
      </c>
      <c r="R2377" s="36" t="n">
        <v>229.25</v>
      </c>
      <c r="S2377" s="35">
        <f>IF(R2377="","",IF(R2377&gt;=60,INT(R2377/60)&amp;":"&amp;TEXT(MOD(R2377,60),"00.00"),TEXT(R2377,"0.00")))</f>
        <v/>
      </c>
      <c r="T2377" s="52">
        <f>IFERROR((G2377-INDEX('01_Swimmers'!$E$5:$E$22,MATCH(B2377,'01_Swimmers'!$A$5:$A$22,0)))/'00_Control'!$B$10,"")</f>
        <v/>
      </c>
      <c r="U2377" s="35">
        <f>IF(T2377="","",INT(T2377))</f>
        <v/>
      </c>
      <c r="V2377" s="33" t="inlineStr">
        <is>
          <t>NO</t>
        </is>
      </c>
      <c r="W2377" s="33" t="inlineStr">
        <is>
          <t>YES</t>
        </is>
      </c>
      <c r="X2377" s="33" t="inlineStr">
        <is>
          <t>NO</t>
        </is>
      </c>
      <c r="Y2377" s="33" t="n">
        <v>6</v>
      </c>
      <c r="Z2377" s="33" t="n">
        <v>2</v>
      </c>
      <c r="AA2377" s="33" t="inlineStr">
        <is>
          <t>6</t>
        </is>
      </c>
      <c r="AB2377" s="33" t="inlineStr">
        <is>
          <t>https://www.swimcloud.com/results/234779/event/24/?id=103346180#time103346180</t>
        </is>
      </c>
      <c r="AC2377" s="33" t="inlineStr">
        <is>
          <t>SwimCloud API v6 2026-10-08</t>
        </is>
      </c>
      <c r="AD2377" s="33" t="inlineStr">
        <is>
          <t>Luke Hobson|2023-06-30|LCM|400|Free|229.25|Phillips 66 USA National Championships|PRE|False</t>
        </is>
      </c>
      <c r="AE2377" s="53">
        <f>G2377+L2377/1000+ROW()/1000000000</f>
        <v/>
      </c>
      <c r="AF2377" s="35">
        <f>IF(C2377&lt;&gt;"Grayson Coulter","",COUNTIFS($C$5:$C$2991,"Grayson Coulter",$Q$5:$Q$2991,Q2377,$AE$5:$AE$2991,"&lt;="&amp;AE2377,$R$5:$R$2991,"&lt;"&amp;R2377))</f>
        <v/>
      </c>
      <c r="AG2377" s="35">
        <f>IF(OR(C2377&lt;&gt;"Grayson Coulter",G2377&lt;'00_Control'!$B$7),"",--(AF2377&lt;5))</f>
        <v/>
      </c>
      <c r="AH2377" s="35">
        <f>IF(OR(C2377&lt;&gt;"Grayson Coulter",G2377&lt;'00_Control'!$B$7),"",--(AF2377&lt;10))</f>
        <v/>
      </c>
      <c r="AI2377" s="35">
        <f>IF(AND(C2377="Grayson Coulter",G2377&gt;='00_Control'!$B$7),"YES","NO")</f>
        <v/>
      </c>
      <c r="AJ2377" s="33" t="inlineStr">
        <is>
          <t>OK</t>
        </is>
      </c>
    </row>
    <row r="2378">
      <c r="A2378" s="33" t="inlineStr">
        <is>
          <t>SM002374</t>
        </is>
      </c>
      <c r="B2378" s="33" t="inlineStr">
        <is>
          <t>SW014</t>
        </is>
      </c>
      <c r="C2378" s="33" t="inlineStr">
        <is>
          <t>Luke Hobson</t>
        </is>
      </c>
      <c r="D2378" s="33" t="inlineStr">
        <is>
          <t>SwimCloud</t>
        </is>
      </c>
      <c r="E2378" s="33" t="inlineStr">
        <is>
          <t>576911</t>
        </is>
      </c>
      <c r="F2378" s="33" t="inlineStr">
        <is>
          <t>103346179</t>
        </is>
      </c>
      <c r="G2378" s="51" t="n">
        <v>45107</v>
      </c>
      <c r="H2378" s="33" t="inlineStr">
        <is>
          <t>Phillips 66 USA National Championships</t>
        </is>
      </c>
      <c r="I2378" s="33" t="inlineStr">
        <is>
          <t>234779</t>
        </is>
      </c>
      <c r="J2378" s="33" t="inlineStr"/>
      <c r="K2378" s="33" t="inlineStr">
        <is>
          <t>FIN</t>
        </is>
      </c>
      <c r="L2378" s="35">
        <f>IF(K2378="FIN",3,IF(OR(K2378="SEM",K2378="SEMI"),2,IF(OR(K2378="PRE",K2378="HEAT"),1,IF(V2378="YES",4,2))))</f>
        <v/>
      </c>
      <c r="M2378" s="33" t="inlineStr">
        <is>
          <t>LCM</t>
        </is>
      </c>
      <c r="N2378" s="33" t="n">
        <v>400</v>
      </c>
      <c r="O2378" s="33" t="inlineStr">
        <is>
          <t>Free</t>
        </is>
      </c>
      <c r="P2378" s="33" t="inlineStr">
        <is>
          <t>400 Free</t>
        </is>
      </c>
      <c r="Q2378" s="33" t="inlineStr">
        <is>
          <t>LCM_400_FREE</t>
        </is>
      </c>
      <c r="R2378" s="36" t="n">
        <v>230.41</v>
      </c>
      <c r="S2378" s="35">
        <f>IF(R2378="","",IF(R2378&gt;=60,INT(R2378/60)&amp;":"&amp;TEXT(MOD(R2378,60),"00.00"),TEXT(R2378,"0.00")))</f>
        <v/>
      </c>
      <c r="T2378" s="52">
        <f>IFERROR((G2378-INDEX('01_Swimmers'!$E$5:$E$22,MATCH(B2378,'01_Swimmers'!$A$5:$A$22,0)))/'00_Control'!$B$10,"")</f>
        <v/>
      </c>
      <c r="U2378" s="35">
        <f>IF(T2378="","",INT(T2378))</f>
        <v/>
      </c>
      <c r="V2378" s="33" t="inlineStr">
        <is>
          <t>NO</t>
        </is>
      </c>
      <c r="W2378" s="33" t="inlineStr">
        <is>
          <t>YES</t>
        </is>
      </c>
      <c r="X2378" s="33" t="inlineStr">
        <is>
          <t>NO</t>
        </is>
      </c>
      <c r="Y2378" s="33" t="n">
        <v>1</v>
      </c>
      <c r="Z2378" s="33" t="n">
        <v>7</v>
      </c>
      <c r="AA2378" s="33" t="inlineStr">
        <is>
          <t>7</t>
        </is>
      </c>
      <c r="AB2378" s="33" t="inlineStr">
        <is>
          <t>https://www.swimcloud.com/results/234779/event/24/?id=103346179#time103346179</t>
        </is>
      </c>
      <c r="AC2378" s="33" t="inlineStr">
        <is>
          <t>SwimCloud API v6 2026-10-08</t>
        </is>
      </c>
      <c r="AD2378" s="33" t="inlineStr">
        <is>
          <t>Luke Hobson|2023-06-30|LCM|400|Free|230.41|Phillips 66 USA National Championships|FIN|False</t>
        </is>
      </c>
      <c r="AE2378" s="53">
        <f>G2378+L2378/1000+ROW()/1000000000</f>
        <v/>
      </c>
      <c r="AF2378" s="35">
        <f>IF(C2378&lt;&gt;"Grayson Coulter","",COUNTIFS($C$5:$C$2991,"Grayson Coulter",$Q$5:$Q$2991,Q2378,$AE$5:$AE$2991,"&lt;="&amp;AE2378,$R$5:$R$2991,"&lt;"&amp;R2378))</f>
        <v/>
      </c>
      <c r="AG2378" s="35">
        <f>IF(OR(C2378&lt;&gt;"Grayson Coulter",G2378&lt;'00_Control'!$B$7),"",--(AF2378&lt;5))</f>
        <v/>
      </c>
      <c r="AH2378" s="35">
        <f>IF(OR(C2378&lt;&gt;"Grayson Coulter",G2378&lt;'00_Control'!$B$7),"",--(AF2378&lt;10))</f>
        <v/>
      </c>
      <c r="AI2378" s="35">
        <f>IF(AND(C2378="Grayson Coulter",G2378&gt;='00_Control'!$B$7),"YES","NO")</f>
        <v/>
      </c>
      <c r="AJ2378" s="33" t="inlineStr">
        <is>
          <t>OK</t>
        </is>
      </c>
    </row>
    <row r="2379">
      <c r="A2379" s="33" t="inlineStr">
        <is>
          <t>SM002375</t>
        </is>
      </c>
      <c r="B2379" s="33" t="inlineStr">
        <is>
          <t>SW014</t>
        </is>
      </c>
      <c r="C2379" s="33" t="inlineStr">
        <is>
          <t>Luke Hobson</t>
        </is>
      </c>
      <c r="D2379" s="33" t="inlineStr">
        <is>
          <t>SwimCloud</t>
        </is>
      </c>
      <c r="E2379" s="33" t="inlineStr">
        <is>
          <t>576911</t>
        </is>
      </c>
      <c r="F2379" s="33" t="inlineStr">
        <is>
          <t>104773064</t>
        </is>
      </c>
      <c r="G2379" s="51" t="n">
        <v>45131</v>
      </c>
      <c r="H2379" s="33" t="inlineStr">
        <is>
          <t>20th World Aquatics Championships</t>
        </is>
      </c>
      <c r="I2379" s="33" t="inlineStr">
        <is>
          <t>273652</t>
        </is>
      </c>
      <c r="J2379" s="33" t="inlineStr"/>
      <c r="K2379" s="33" t="inlineStr">
        <is>
          <t>PRE</t>
        </is>
      </c>
      <c r="L2379" s="35">
        <f>IF(K2379="FIN",3,IF(OR(K2379="SEM",K2379="SEMI"),2,IF(OR(K2379="PRE",K2379="HEAT"),1,IF(V2379="YES",4,2))))</f>
        <v/>
      </c>
      <c r="M2379" s="33" t="inlineStr">
        <is>
          <t>LCM</t>
        </is>
      </c>
      <c r="N2379" s="33" t="n">
        <v>200</v>
      </c>
      <c r="O2379" s="33" t="inlineStr">
        <is>
          <t>Free</t>
        </is>
      </c>
      <c r="P2379" s="33" t="inlineStr">
        <is>
          <t>200 Free</t>
        </is>
      </c>
      <c r="Q2379" s="33" t="inlineStr">
        <is>
          <t>LCM_200_FREE</t>
        </is>
      </c>
      <c r="R2379" s="36" t="n">
        <v>105.69</v>
      </c>
      <c r="S2379" s="35">
        <f>IF(R2379="","",IF(R2379&gt;=60,INT(R2379/60)&amp;":"&amp;TEXT(MOD(R2379,60),"00.00"),TEXT(R2379,"0.00")))</f>
        <v/>
      </c>
      <c r="T2379" s="52">
        <f>IFERROR((G2379-INDEX('01_Swimmers'!$E$5:$E$22,MATCH(B2379,'01_Swimmers'!$A$5:$A$22,0)))/'00_Control'!$B$10,"")</f>
        <v/>
      </c>
      <c r="U2379" s="35">
        <f>IF(T2379="","",INT(T2379))</f>
        <v/>
      </c>
      <c r="V2379" s="33" t="inlineStr">
        <is>
          <t>NO</t>
        </is>
      </c>
      <c r="W2379" s="33" t="inlineStr">
        <is>
          <t>YES</t>
        </is>
      </c>
      <c r="X2379" s="33" t="inlineStr">
        <is>
          <t>NO</t>
        </is>
      </c>
      <c r="Y2379" s="33" t="n">
        <v>7</v>
      </c>
      <c r="Z2379" s="33" t="n">
        <v>3</v>
      </c>
      <c r="AA2379" s="33" t="inlineStr">
        <is>
          <t>1</t>
        </is>
      </c>
      <c r="AB2379" s="33" t="inlineStr">
        <is>
          <t>https://www.swimcloud.com/results/273652/event/13/?id=104773064#time104773064</t>
        </is>
      </c>
      <c r="AC2379" s="33" t="inlineStr">
        <is>
          <t>SwimCloud API v6 2026-10-08</t>
        </is>
      </c>
      <c r="AD2379" s="33" t="inlineStr">
        <is>
          <t>Luke Hobson|2023-07-24|LCM|200|Free|105.69|20th World Aquatics Championships|PRE|False</t>
        </is>
      </c>
      <c r="AE2379" s="53">
        <f>G2379+L2379/1000+ROW()/1000000000</f>
        <v/>
      </c>
      <c r="AF2379" s="35">
        <f>IF(C2379&lt;&gt;"Grayson Coulter","",COUNTIFS($C$5:$C$2991,"Grayson Coulter",$Q$5:$Q$2991,Q2379,$AE$5:$AE$2991,"&lt;="&amp;AE2379,$R$5:$R$2991,"&lt;"&amp;R2379))</f>
        <v/>
      </c>
      <c r="AG2379" s="35">
        <f>IF(OR(C2379&lt;&gt;"Grayson Coulter",G2379&lt;'00_Control'!$B$7),"",--(AF2379&lt;5))</f>
        <v/>
      </c>
      <c r="AH2379" s="35">
        <f>IF(OR(C2379&lt;&gt;"Grayson Coulter",G2379&lt;'00_Control'!$B$7),"",--(AF2379&lt;10))</f>
        <v/>
      </c>
      <c r="AI2379" s="35">
        <f>IF(AND(C2379="Grayson Coulter",G2379&gt;='00_Control'!$B$7),"YES","NO")</f>
        <v/>
      </c>
      <c r="AJ2379" s="33" t="inlineStr">
        <is>
          <t>OK</t>
        </is>
      </c>
    </row>
    <row r="2380">
      <c r="A2380" s="33" t="inlineStr">
        <is>
          <t>SM002376</t>
        </is>
      </c>
      <c r="B2380" s="33" t="inlineStr">
        <is>
          <t>SW014</t>
        </is>
      </c>
      <c r="C2380" s="33" t="inlineStr">
        <is>
          <t>Luke Hobson</t>
        </is>
      </c>
      <c r="D2380" s="33" t="inlineStr">
        <is>
          <t>SwimCloud</t>
        </is>
      </c>
      <c r="E2380" s="33" t="inlineStr">
        <is>
          <t>576911</t>
        </is>
      </c>
      <c r="F2380" s="33" t="inlineStr">
        <is>
          <t>104773065</t>
        </is>
      </c>
      <c r="G2380" s="51" t="n">
        <v>45131</v>
      </c>
      <c r="H2380" s="33" t="inlineStr">
        <is>
          <t>20th World Aquatics Championships</t>
        </is>
      </c>
      <c r="I2380" s="33" t="inlineStr">
        <is>
          <t>273652</t>
        </is>
      </c>
      <c r="J2380" s="33" t="inlineStr"/>
      <c r="K2380" s="33" t="inlineStr">
        <is>
          <t>SEM</t>
        </is>
      </c>
      <c r="L2380" s="35">
        <f>IF(K2380="FIN",3,IF(OR(K2380="SEM",K2380="SEMI"),2,IF(OR(K2380="PRE",K2380="HEAT"),1,IF(V2380="YES",4,2))))</f>
        <v/>
      </c>
      <c r="M2380" s="33" t="inlineStr">
        <is>
          <t>LCM</t>
        </is>
      </c>
      <c r="N2380" s="33" t="n">
        <v>200</v>
      </c>
      <c r="O2380" s="33" t="inlineStr">
        <is>
          <t>Free</t>
        </is>
      </c>
      <c r="P2380" s="33" t="inlineStr">
        <is>
          <t>200 Free</t>
        </is>
      </c>
      <c r="Q2380" s="33" t="inlineStr">
        <is>
          <t>LCM_200_FREE</t>
        </is>
      </c>
      <c r="R2380" s="36" t="n">
        <v>104.87</v>
      </c>
      <c r="S2380" s="35">
        <f>IF(R2380="","",IF(R2380&gt;=60,INT(R2380/60)&amp;":"&amp;TEXT(MOD(R2380,60),"00.00"),TEXT(R2380,"0.00")))</f>
        <v/>
      </c>
      <c r="T2380" s="52">
        <f>IFERROR((G2380-INDEX('01_Swimmers'!$E$5:$E$22,MATCH(B2380,'01_Swimmers'!$A$5:$A$22,0)))/'00_Control'!$B$10,"")</f>
        <v/>
      </c>
      <c r="U2380" s="35">
        <f>IF(T2380="","",INT(T2380))</f>
        <v/>
      </c>
      <c r="V2380" s="33" t="inlineStr">
        <is>
          <t>NO</t>
        </is>
      </c>
      <c r="W2380" s="33" t="inlineStr">
        <is>
          <t>YES</t>
        </is>
      </c>
      <c r="X2380" s="33" t="inlineStr">
        <is>
          <t>NO</t>
        </is>
      </c>
      <c r="Y2380" s="33" t="n">
        <v>2</v>
      </c>
      <c r="Z2380" s="33" t="n">
        <v>4</v>
      </c>
      <c r="AA2380" s="33" t="inlineStr">
        <is>
          <t>2</t>
        </is>
      </c>
      <c r="AB2380" s="33" t="inlineStr">
        <is>
          <t>https://www.swimcloud.com/results/273652/event/13/?id=104773065#time104773065</t>
        </is>
      </c>
      <c r="AC2380" s="33" t="inlineStr">
        <is>
          <t>SwimCloud API v6 2026-10-08</t>
        </is>
      </c>
      <c r="AD2380" s="33" t="inlineStr">
        <is>
          <t>Luke Hobson|2023-07-24|LCM|200|Free|104.87|20th World Aquatics Championships|SEM|False</t>
        </is>
      </c>
      <c r="AE2380" s="53">
        <f>G2380+L2380/1000+ROW()/1000000000</f>
        <v/>
      </c>
      <c r="AF2380" s="35">
        <f>IF(C2380&lt;&gt;"Grayson Coulter","",COUNTIFS($C$5:$C$2991,"Grayson Coulter",$Q$5:$Q$2991,Q2380,$AE$5:$AE$2991,"&lt;="&amp;AE2380,$R$5:$R$2991,"&lt;"&amp;R2380))</f>
        <v/>
      </c>
      <c r="AG2380" s="35">
        <f>IF(OR(C2380&lt;&gt;"Grayson Coulter",G2380&lt;'00_Control'!$B$7),"",--(AF2380&lt;5))</f>
        <v/>
      </c>
      <c r="AH2380" s="35">
        <f>IF(OR(C2380&lt;&gt;"Grayson Coulter",G2380&lt;'00_Control'!$B$7),"",--(AF2380&lt;10))</f>
        <v/>
      </c>
      <c r="AI2380" s="35">
        <f>IF(AND(C2380="Grayson Coulter",G2380&gt;='00_Control'!$B$7),"YES","NO")</f>
        <v/>
      </c>
      <c r="AJ2380" s="33" t="inlineStr">
        <is>
          <t>OK</t>
        </is>
      </c>
    </row>
    <row r="2381">
      <c r="A2381" s="33" t="inlineStr">
        <is>
          <t>SM002377</t>
        </is>
      </c>
      <c r="B2381" s="33" t="inlineStr">
        <is>
          <t>SW014</t>
        </is>
      </c>
      <c r="C2381" s="33" t="inlineStr">
        <is>
          <t>Luke Hobson</t>
        </is>
      </c>
      <c r="D2381" s="33" t="inlineStr">
        <is>
          <t>SwimCloud</t>
        </is>
      </c>
      <c r="E2381" s="33" t="inlineStr">
        <is>
          <t>576911</t>
        </is>
      </c>
      <c r="F2381" s="33" t="inlineStr">
        <is>
          <t>104773063</t>
        </is>
      </c>
      <c r="G2381" s="51" t="n">
        <v>45132</v>
      </c>
      <c r="H2381" s="33" t="inlineStr">
        <is>
          <t>20th World Aquatics Championships</t>
        </is>
      </c>
      <c r="I2381" s="33" t="inlineStr">
        <is>
          <t>273652</t>
        </is>
      </c>
      <c r="J2381" s="33" t="inlineStr"/>
      <c r="K2381" s="33" t="inlineStr">
        <is>
          <t>FIN</t>
        </is>
      </c>
      <c r="L2381" s="35">
        <f>IF(K2381="FIN",3,IF(OR(K2381="SEM",K2381="SEMI"),2,IF(OR(K2381="PRE",K2381="HEAT"),1,IF(V2381="YES",4,2))))</f>
        <v/>
      </c>
      <c r="M2381" s="33" t="inlineStr">
        <is>
          <t>LCM</t>
        </is>
      </c>
      <c r="N2381" s="33" t="n">
        <v>200</v>
      </c>
      <c r="O2381" s="33" t="inlineStr">
        <is>
          <t>Free</t>
        </is>
      </c>
      <c r="P2381" s="33" t="inlineStr">
        <is>
          <t>200 Free</t>
        </is>
      </c>
      <c r="Q2381" s="33" t="inlineStr">
        <is>
          <t>LCM_200_FREE</t>
        </is>
      </c>
      <c r="R2381" s="36" t="n">
        <v>105.09</v>
      </c>
      <c r="S2381" s="35">
        <f>IF(R2381="","",IF(R2381&gt;=60,INT(R2381/60)&amp;":"&amp;TEXT(MOD(R2381,60),"00.00"),TEXT(R2381,"0.00")))</f>
        <v/>
      </c>
      <c r="T2381" s="52">
        <f>IFERROR((G2381-INDEX('01_Swimmers'!$E$5:$E$22,MATCH(B2381,'01_Swimmers'!$A$5:$A$22,0)))/'00_Control'!$B$10,"")</f>
        <v/>
      </c>
      <c r="U2381" s="35">
        <f>IF(T2381="","",INT(T2381))</f>
        <v/>
      </c>
      <c r="V2381" s="33" t="inlineStr">
        <is>
          <t>NO</t>
        </is>
      </c>
      <c r="W2381" s="33" t="inlineStr">
        <is>
          <t>YES</t>
        </is>
      </c>
      <c r="X2381" s="33" t="inlineStr">
        <is>
          <t>NO</t>
        </is>
      </c>
      <c r="Y2381" s="33" t="n">
        <v>1</v>
      </c>
      <c r="Z2381" s="33" t="n">
        <v>5</v>
      </c>
      <c r="AA2381" s="33" t="inlineStr">
        <is>
          <t>5</t>
        </is>
      </c>
      <c r="AB2381" s="33" t="inlineStr">
        <is>
          <t>https://www.swimcloud.com/results/273652/event/13/?id=104773063#time104773063</t>
        </is>
      </c>
      <c r="AC2381" s="33" t="inlineStr">
        <is>
          <t>SwimCloud API v6 2026-10-08</t>
        </is>
      </c>
      <c r="AD2381" s="33" t="inlineStr">
        <is>
          <t>Luke Hobson|2023-07-25|LCM|200|Free|105.09|20th World Aquatics Championships|FIN|False</t>
        </is>
      </c>
      <c r="AE2381" s="53">
        <f>G2381+L2381/1000+ROW()/1000000000</f>
        <v/>
      </c>
      <c r="AF2381" s="35">
        <f>IF(C2381&lt;&gt;"Grayson Coulter","",COUNTIFS($C$5:$C$2991,"Grayson Coulter",$Q$5:$Q$2991,Q2381,$AE$5:$AE$2991,"&lt;="&amp;AE2381,$R$5:$R$2991,"&lt;"&amp;R2381))</f>
        <v/>
      </c>
      <c r="AG2381" s="35">
        <f>IF(OR(C2381&lt;&gt;"Grayson Coulter",G2381&lt;'00_Control'!$B$7),"",--(AF2381&lt;5))</f>
        <v/>
      </c>
      <c r="AH2381" s="35">
        <f>IF(OR(C2381&lt;&gt;"Grayson Coulter",G2381&lt;'00_Control'!$B$7),"",--(AF2381&lt;10))</f>
        <v/>
      </c>
      <c r="AI2381" s="35">
        <f>IF(AND(C2381="Grayson Coulter",G2381&gt;='00_Control'!$B$7),"YES","NO")</f>
        <v/>
      </c>
      <c r="AJ2381" s="33" t="inlineStr">
        <is>
          <t>OK</t>
        </is>
      </c>
    </row>
    <row r="2382">
      <c r="A2382" s="33" t="inlineStr">
        <is>
          <t>SM002378</t>
        </is>
      </c>
      <c r="B2382" s="33" t="inlineStr">
        <is>
          <t>SW014</t>
        </is>
      </c>
      <c r="C2382" s="33" t="inlineStr">
        <is>
          <t>Luke Hobson</t>
        </is>
      </c>
      <c r="D2382" s="33" t="inlineStr">
        <is>
          <t>SwimCloud</t>
        </is>
      </c>
      <c r="E2382" s="33" t="inlineStr">
        <is>
          <t>576911</t>
        </is>
      </c>
      <c r="F2382" s="33" t="inlineStr">
        <is>
          <t>104774282</t>
        </is>
      </c>
      <c r="G2382" s="51" t="n">
        <v>45135</v>
      </c>
      <c r="H2382" s="33" t="inlineStr">
        <is>
          <t>20th World Aquatics Championships</t>
        </is>
      </c>
      <c r="I2382" s="33" t="inlineStr">
        <is>
          <t>273652</t>
        </is>
      </c>
      <c r="J2382" s="33" t="inlineStr"/>
      <c r="K2382" s="33" t="inlineStr">
        <is>
          <t>FIN</t>
        </is>
      </c>
      <c r="L2382" s="35">
        <f>IF(K2382="FIN",3,IF(OR(K2382="SEM",K2382="SEMI"),2,IF(OR(K2382="PRE",K2382="HEAT"),1,IF(V2382="YES",4,2))))</f>
        <v/>
      </c>
      <c r="M2382" s="33" t="inlineStr">
        <is>
          <t>LCM</t>
        </is>
      </c>
      <c r="N2382" s="33" t="n">
        <v>200</v>
      </c>
      <c r="O2382" s="33" t="inlineStr">
        <is>
          <t>Free</t>
        </is>
      </c>
      <c r="P2382" s="33" t="inlineStr">
        <is>
          <t>200 Free</t>
        </is>
      </c>
      <c r="Q2382" s="33" t="inlineStr">
        <is>
          <t>LCM_200_FREE</t>
        </is>
      </c>
      <c r="R2382" s="36" t="n">
        <v>106</v>
      </c>
      <c r="S2382" s="35">
        <f>IF(R2382="","",IF(R2382&gt;=60,INT(R2382/60)&amp;":"&amp;TEXT(MOD(R2382,60),"00.00"),TEXT(R2382,"0.00")))</f>
        <v/>
      </c>
      <c r="T2382" s="52">
        <f>IFERROR((G2382-INDEX('01_Swimmers'!$E$5:$E$22,MATCH(B2382,'01_Swimmers'!$A$5:$A$22,0)))/'00_Control'!$B$10,"")</f>
        <v/>
      </c>
      <c r="U2382" s="35">
        <f>IF(T2382="","",INT(T2382))</f>
        <v/>
      </c>
      <c r="V2382" s="33" t="inlineStr">
        <is>
          <t>YES</t>
        </is>
      </c>
      <c r="W2382" s="33" t="inlineStr">
        <is>
          <t>YES</t>
        </is>
      </c>
      <c r="X2382" s="33" t="inlineStr">
        <is>
          <t>NO</t>
        </is>
      </c>
      <c r="Y2382" s="33" t="n">
        <v>1</v>
      </c>
      <c r="Z2382" s="33" t="n">
        <v>5</v>
      </c>
      <c r="AA2382" s="33" t="inlineStr"/>
      <c r="AB2382" s="33" t="inlineStr">
        <is>
          <t>https://www.swimcloud.com/results/273652/event/33/?id=104773181#time104773181</t>
        </is>
      </c>
      <c r="AC2382" s="33" t="inlineStr">
        <is>
          <t>SwimCloud API v6 2026-10-08</t>
        </is>
      </c>
      <c r="AD2382" s="33" t="inlineStr">
        <is>
          <t>Luke Hobson|2023-07-28|LCM|200|Free|106.0|20th World Aquatics Championships|FIN|True</t>
        </is>
      </c>
      <c r="AE2382" s="53">
        <f>G2382+L2382/1000+ROW()/1000000000</f>
        <v/>
      </c>
      <c r="AF2382" s="35">
        <f>IF(C2382&lt;&gt;"Grayson Coulter","",COUNTIFS($C$5:$C$2991,"Grayson Coulter",$Q$5:$Q$2991,Q2382,$AE$5:$AE$2991,"&lt;="&amp;AE2382,$R$5:$R$2991,"&lt;"&amp;R2382))</f>
        <v/>
      </c>
      <c r="AG2382" s="35">
        <f>IF(OR(C2382&lt;&gt;"Grayson Coulter",G2382&lt;'00_Control'!$B$7),"",--(AF2382&lt;5))</f>
        <v/>
      </c>
      <c r="AH2382" s="35">
        <f>IF(OR(C2382&lt;&gt;"Grayson Coulter",G2382&lt;'00_Control'!$B$7),"",--(AF2382&lt;10))</f>
        <v/>
      </c>
      <c r="AI2382" s="35">
        <f>IF(AND(C2382="Grayson Coulter",G2382&gt;='00_Control'!$B$7),"YES","NO")</f>
        <v/>
      </c>
      <c r="AJ2382" s="33" t="inlineStr">
        <is>
          <t>OK</t>
        </is>
      </c>
    </row>
    <row r="2383">
      <c r="A2383" s="33" t="inlineStr">
        <is>
          <t>SM002379</t>
        </is>
      </c>
      <c r="B2383" s="33" t="inlineStr">
        <is>
          <t>SW014</t>
        </is>
      </c>
      <c r="C2383" s="33" t="inlineStr">
        <is>
          <t>Luke Hobson</t>
        </is>
      </c>
      <c r="D2383" s="33" t="inlineStr">
        <is>
          <t>SwimCloud</t>
        </is>
      </c>
      <c r="E2383" s="33" t="inlineStr">
        <is>
          <t>576911</t>
        </is>
      </c>
      <c r="F2383" s="33" t="inlineStr">
        <is>
          <t>111675269</t>
        </is>
      </c>
      <c r="G2383" s="51" t="n">
        <v>45260</v>
      </c>
      <c r="H2383" s="33" t="inlineStr">
        <is>
          <t>Toyota US Open Championships</t>
        </is>
      </c>
      <c r="I2383" s="33" t="inlineStr">
        <is>
          <t>275534</t>
        </is>
      </c>
      <c r="J2383" s="33" t="inlineStr"/>
      <c r="K2383" s="33" t="inlineStr">
        <is>
          <t>PRE</t>
        </is>
      </c>
      <c r="L2383" s="35">
        <f>IF(K2383="FIN",3,IF(OR(K2383="SEM",K2383="SEMI"),2,IF(OR(K2383="PRE",K2383="HEAT"),1,IF(V2383="YES",4,2))))</f>
        <v/>
      </c>
      <c r="M2383" s="33" t="inlineStr">
        <is>
          <t>LCM</t>
        </is>
      </c>
      <c r="N2383" s="33" t="n">
        <v>400</v>
      </c>
      <c r="O2383" s="33" t="inlineStr">
        <is>
          <t>Free</t>
        </is>
      </c>
      <c r="P2383" s="33" t="inlineStr">
        <is>
          <t>400 Free</t>
        </is>
      </c>
      <c r="Q2383" s="33" t="inlineStr">
        <is>
          <t>LCM_400_FREE</t>
        </is>
      </c>
      <c r="R2383" s="36" t="n">
        <v>240.12</v>
      </c>
      <c r="S2383" s="35">
        <f>IF(R2383="","",IF(R2383&gt;=60,INT(R2383/60)&amp;":"&amp;TEXT(MOD(R2383,60),"00.00"),TEXT(R2383,"0.00")))</f>
        <v/>
      </c>
      <c r="T2383" s="52">
        <f>IFERROR((G2383-INDEX('01_Swimmers'!$E$5:$E$22,MATCH(B2383,'01_Swimmers'!$A$5:$A$22,0)))/'00_Control'!$B$10,"")</f>
        <v/>
      </c>
      <c r="U2383" s="35">
        <f>IF(T2383="","",INT(T2383))</f>
        <v/>
      </c>
      <c r="V2383" s="33" t="inlineStr">
        <is>
          <t>NO</t>
        </is>
      </c>
      <c r="W2383" s="33" t="inlineStr">
        <is>
          <t>YES</t>
        </is>
      </c>
      <c r="X2383" s="33" t="inlineStr">
        <is>
          <t>NO</t>
        </is>
      </c>
      <c r="Y2383" s="33" t="n">
        <v>7</v>
      </c>
      <c r="Z2383" s="33" t="n">
        <v>3</v>
      </c>
      <c r="AA2383" s="33" t="inlineStr">
        <is>
          <t>36</t>
        </is>
      </c>
      <c r="AB2383" s="33" t="inlineStr">
        <is>
          <t>https://www.swimcloud.com/results/275534/event/4/?id=111675269#time111675269</t>
        </is>
      </c>
      <c r="AC2383" s="33" t="inlineStr">
        <is>
          <t>SwimCloud API v6 2026-10-08</t>
        </is>
      </c>
      <c r="AD2383" s="33" t="inlineStr">
        <is>
          <t>Luke Hobson|2023-11-30|LCM|400|Free|240.12|Toyota US Open Championships|PRE|False</t>
        </is>
      </c>
      <c r="AE2383" s="53">
        <f>G2383+L2383/1000+ROW()/1000000000</f>
        <v/>
      </c>
      <c r="AF2383" s="35">
        <f>IF(C2383&lt;&gt;"Grayson Coulter","",COUNTIFS($C$5:$C$2991,"Grayson Coulter",$Q$5:$Q$2991,Q2383,$AE$5:$AE$2991,"&lt;="&amp;AE2383,$R$5:$R$2991,"&lt;"&amp;R2383))</f>
        <v/>
      </c>
      <c r="AG2383" s="35">
        <f>IF(OR(C2383&lt;&gt;"Grayson Coulter",G2383&lt;'00_Control'!$B$7),"",--(AF2383&lt;5))</f>
        <v/>
      </c>
      <c r="AH2383" s="35">
        <f>IF(OR(C2383&lt;&gt;"Grayson Coulter",G2383&lt;'00_Control'!$B$7),"",--(AF2383&lt;10))</f>
        <v/>
      </c>
      <c r="AI2383" s="35">
        <f>IF(AND(C2383="Grayson Coulter",G2383&gt;='00_Control'!$B$7),"YES","NO")</f>
        <v/>
      </c>
      <c r="AJ2383" s="33" t="inlineStr">
        <is>
          <t>OK</t>
        </is>
      </c>
    </row>
    <row r="2384">
      <c r="A2384" s="33" t="inlineStr">
        <is>
          <t>SM002380</t>
        </is>
      </c>
      <c r="B2384" s="33" t="inlineStr">
        <is>
          <t>SW014</t>
        </is>
      </c>
      <c r="C2384" s="33" t="inlineStr">
        <is>
          <t>Luke Hobson</t>
        </is>
      </c>
      <c r="D2384" s="33" t="inlineStr">
        <is>
          <t>SwimCloud</t>
        </is>
      </c>
      <c r="E2384" s="33" t="inlineStr">
        <is>
          <t>576911</t>
        </is>
      </c>
      <c r="F2384" s="33" t="inlineStr">
        <is>
          <t>111675268</t>
        </is>
      </c>
      <c r="G2384" s="51" t="n">
        <v>45261</v>
      </c>
      <c r="H2384" s="33" t="inlineStr">
        <is>
          <t>Toyota US Open Championships</t>
        </is>
      </c>
      <c r="I2384" s="33" t="inlineStr">
        <is>
          <t>275534</t>
        </is>
      </c>
      <c r="J2384" s="33" t="inlineStr"/>
      <c r="K2384" s="33" t="inlineStr">
        <is>
          <t>PRE</t>
        </is>
      </c>
      <c r="L2384" s="35">
        <f>IF(K2384="FIN",3,IF(OR(K2384="SEM",K2384="SEMI"),2,IF(OR(K2384="PRE",K2384="HEAT"),1,IF(V2384="YES",4,2))))</f>
        <v/>
      </c>
      <c r="M2384" s="33" t="inlineStr">
        <is>
          <t>LCM</t>
        </is>
      </c>
      <c r="N2384" s="33" t="n">
        <v>200</v>
      </c>
      <c r="O2384" s="33" t="inlineStr">
        <is>
          <t>Free</t>
        </is>
      </c>
      <c r="P2384" s="33" t="inlineStr">
        <is>
          <t>200 Free</t>
        </is>
      </c>
      <c r="Q2384" s="33" t="inlineStr">
        <is>
          <t>LCM_200_FREE</t>
        </is>
      </c>
      <c r="R2384" s="36" t="n">
        <v>110.59</v>
      </c>
      <c r="S2384" s="35">
        <f>IF(R2384="","",IF(R2384&gt;=60,INT(R2384/60)&amp;":"&amp;TEXT(MOD(R2384,60),"00.00"),TEXT(R2384,"0.00")))</f>
        <v/>
      </c>
      <c r="T2384" s="52">
        <f>IFERROR((G2384-INDEX('01_Swimmers'!$E$5:$E$22,MATCH(B2384,'01_Swimmers'!$A$5:$A$22,0)))/'00_Control'!$B$10,"")</f>
        <v/>
      </c>
      <c r="U2384" s="35">
        <f>IF(T2384="","",INT(T2384))</f>
        <v/>
      </c>
      <c r="V2384" s="33" t="inlineStr">
        <is>
          <t>NO</t>
        </is>
      </c>
      <c r="W2384" s="33" t="inlineStr">
        <is>
          <t>YES</t>
        </is>
      </c>
      <c r="X2384" s="33" t="inlineStr">
        <is>
          <t>NO</t>
        </is>
      </c>
      <c r="Y2384" s="33" t="n">
        <v>12</v>
      </c>
      <c r="Z2384" s="33" t="n">
        <v>4</v>
      </c>
      <c r="AA2384" s="33" t="inlineStr">
        <is>
          <t>32</t>
        </is>
      </c>
      <c r="AB2384" s="33" t="inlineStr">
        <is>
          <t>https://www.swimcloud.com/results/275534/event/14/?id=111675268#time111675268</t>
        </is>
      </c>
      <c r="AC2384" s="33" t="inlineStr">
        <is>
          <t>SwimCloud API v6 2026-10-08</t>
        </is>
      </c>
      <c r="AD2384" s="33" t="inlineStr">
        <is>
          <t>Luke Hobson|2023-12-01|LCM|200|Free|110.59|Toyota US Open Championships|PRE|False</t>
        </is>
      </c>
      <c r="AE2384" s="53">
        <f>G2384+L2384/1000+ROW()/1000000000</f>
        <v/>
      </c>
      <c r="AF2384" s="35">
        <f>IF(C2384&lt;&gt;"Grayson Coulter","",COUNTIFS($C$5:$C$2991,"Grayson Coulter",$Q$5:$Q$2991,Q2384,$AE$5:$AE$2991,"&lt;="&amp;AE2384,$R$5:$R$2991,"&lt;"&amp;R2384))</f>
        <v/>
      </c>
      <c r="AG2384" s="35">
        <f>IF(OR(C2384&lt;&gt;"Grayson Coulter",G2384&lt;'00_Control'!$B$7),"",--(AF2384&lt;5))</f>
        <v/>
      </c>
      <c r="AH2384" s="35">
        <f>IF(OR(C2384&lt;&gt;"Grayson Coulter",G2384&lt;'00_Control'!$B$7),"",--(AF2384&lt;10))</f>
        <v/>
      </c>
      <c r="AI2384" s="35">
        <f>IF(AND(C2384="Grayson Coulter",G2384&gt;='00_Control'!$B$7),"YES","NO")</f>
        <v/>
      </c>
      <c r="AJ2384" s="33" t="inlineStr">
        <is>
          <t>OK</t>
        </is>
      </c>
    </row>
    <row r="2385">
      <c r="A2385" s="33" t="inlineStr">
        <is>
          <t>SM002381</t>
        </is>
      </c>
      <c r="B2385" s="33" t="inlineStr">
        <is>
          <t>SW014</t>
        </is>
      </c>
      <c r="C2385" s="33" t="inlineStr">
        <is>
          <t>Luke Hobson</t>
        </is>
      </c>
      <c r="D2385" s="33" t="inlineStr">
        <is>
          <t>SwimCloud</t>
        </is>
      </c>
      <c r="E2385" s="33" t="inlineStr">
        <is>
          <t>576911</t>
        </is>
      </c>
      <c r="F2385" s="33" t="inlineStr">
        <is>
          <t>116655436</t>
        </is>
      </c>
      <c r="G2385" s="51" t="n">
        <v>45302</v>
      </c>
      <c r="H2385" s="33" t="inlineStr">
        <is>
          <t>TYR Pro Swim Series - Knoxville</t>
        </is>
      </c>
      <c r="I2385" s="33" t="inlineStr">
        <is>
          <t>274519</t>
        </is>
      </c>
      <c r="J2385" s="33" t="inlineStr"/>
      <c r="K2385" s="33" t="inlineStr">
        <is>
          <t>PRE</t>
        </is>
      </c>
      <c r="L2385" s="35">
        <f>IF(K2385="FIN",3,IF(OR(K2385="SEM",K2385="SEMI"),2,IF(OR(K2385="PRE",K2385="HEAT"),1,IF(V2385="YES",4,2))))</f>
        <v/>
      </c>
      <c r="M2385" s="33" t="inlineStr">
        <is>
          <t>LCM</t>
        </is>
      </c>
      <c r="N2385" s="33" t="n">
        <v>100</v>
      </c>
      <c r="O2385" s="33" t="inlineStr">
        <is>
          <t>Free</t>
        </is>
      </c>
      <c r="P2385" s="33" t="inlineStr">
        <is>
          <t>100 Free</t>
        </is>
      </c>
      <c r="Q2385" s="33" t="inlineStr">
        <is>
          <t>LCM_100_FREE</t>
        </is>
      </c>
      <c r="R2385" s="36" t="n">
        <v>50.28</v>
      </c>
      <c r="S2385" s="35">
        <f>IF(R2385="","",IF(R2385&gt;=60,INT(R2385/60)&amp;":"&amp;TEXT(MOD(R2385,60),"00.00"),TEXT(R2385,"0.00")))</f>
        <v/>
      </c>
      <c r="T2385" s="52">
        <f>IFERROR((G2385-INDEX('01_Swimmers'!$E$5:$E$22,MATCH(B2385,'01_Swimmers'!$A$5:$A$22,0)))/'00_Control'!$B$10,"")</f>
        <v/>
      </c>
      <c r="U2385" s="35">
        <f>IF(T2385="","",INT(T2385))</f>
        <v/>
      </c>
      <c r="V2385" s="33" t="inlineStr">
        <is>
          <t>NO</t>
        </is>
      </c>
      <c r="W2385" s="33" t="inlineStr">
        <is>
          <t>YES</t>
        </is>
      </c>
      <c r="X2385" s="33" t="inlineStr">
        <is>
          <t>NO</t>
        </is>
      </c>
      <c r="Y2385" s="33" t="n">
        <v>11</v>
      </c>
      <c r="Z2385" s="33" t="n">
        <v>7</v>
      </c>
      <c r="AA2385" s="33" t="inlineStr">
        <is>
          <t>24</t>
        </is>
      </c>
      <c r="AB2385" s="33" t="inlineStr">
        <is>
          <t>https://www.swimcloud.com/results/274519/event/4/?id=116655436#time116655436</t>
        </is>
      </c>
      <c r="AC2385" s="33" t="inlineStr">
        <is>
          <t>SwimCloud API v6 2026-10-08</t>
        </is>
      </c>
      <c r="AD2385" s="33" t="inlineStr">
        <is>
          <t>Luke Hobson|2024-01-11|LCM|100|Free|50.28|TYR Pro Swim Series - Knoxville|PRE|False</t>
        </is>
      </c>
      <c r="AE2385" s="53">
        <f>G2385+L2385/1000+ROW()/1000000000</f>
        <v/>
      </c>
      <c r="AF2385" s="35">
        <f>IF(C2385&lt;&gt;"Grayson Coulter","",COUNTIFS($C$5:$C$2991,"Grayson Coulter",$Q$5:$Q$2991,Q2385,$AE$5:$AE$2991,"&lt;="&amp;AE2385,$R$5:$R$2991,"&lt;"&amp;R2385))</f>
        <v/>
      </c>
      <c r="AG2385" s="35">
        <f>IF(OR(C2385&lt;&gt;"Grayson Coulter",G2385&lt;'00_Control'!$B$7),"",--(AF2385&lt;5))</f>
        <v/>
      </c>
      <c r="AH2385" s="35">
        <f>IF(OR(C2385&lt;&gt;"Grayson Coulter",G2385&lt;'00_Control'!$B$7),"",--(AF2385&lt;10))</f>
        <v/>
      </c>
      <c r="AI2385" s="35">
        <f>IF(AND(C2385="Grayson Coulter",G2385&gt;='00_Control'!$B$7),"YES","NO")</f>
        <v/>
      </c>
      <c r="AJ2385" s="33" t="inlineStr">
        <is>
          <t>OK</t>
        </is>
      </c>
    </row>
    <row r="2386">
      <c r="A2386" s="33" t="inlineStr">
        <is>
          <t>SM002382</t>
        </is>
      </c>
      <c r="B2386" s="33" t="inlineStr">
        <is>
          <t>SW014</t>
        </is>
      </c>
      <c r="C2386" s="33" t="inlineStr">
        <is>
          <t>Luke Hobson</t>
        </is>
      </c>
      <c r="D2386" s="33" t="inlineStr">
        <is>
          <t>SwimCloud</t>
        </is>
      </c>
      <c r="E2386" s="33" t="inlineStr">
        <is>
          <t>576911</t>
        </is>
      </c>
      <c r="F2386" s="33" t="inlineStr">
        <is>
          <t>116655437</t>
        </is>
      </c>
      <c r="G2386" s="51" t="n">
        <v>45302</v>
      </c>
      <c r="H2386" s="33" t="inlineStr">
        <is>
          <t>TYR Pro Swim Series - Knoxville</t>
        </is>
      </c>
      <c r="I2386" s="33" t="inlineStr">
        <is>
          <t>274519</t>
        </is>
      </c>
      <c r="J2386" s="33" t="inlineStr"/>
      <c r="K2386" s="33" t="inlineStr">
        <is>
          <t>FIN</t>
        </is>
      </c>
      <c r="L2386" s="35">
        <f>IF(K2386="FIN",3,IF(OR(K2386="SEM",K2386="SEMI"),2,IF(OR(K2386="PRE",K2386="HEAT"),1,IF(V2386="YES",4,2))))</f>
        <v/>
      </c>
      <c r="M2386" s="33" t="inlineStr">
        <is>
          <t>LCM</t>
        </is>
      </c>
      <c r="N2386" s="33" t="n">
        <v>100</v>
      </c>
      <c r="O2386" s="33" t="inlineStr">
        <is>
          <t>Free</t>
        </is>
      </c>
      <c r="P2386" s="33" t="inlineStr">
        <is>
          <t>100 Free</t>
        </is>
      </c>
      <c r="Q2386" s="33" t="inlineStr">
        <is>
          <t>LCM_100_FREE</t>
        </is>
      </c>
      <c r="R2386" s="36" t="n">
        <v>50.01</v>
      </c>
      <c r="S2386" s="35">
        <f>IF(R2386="","",IF(R2386&gt;=60,INT(R2386/60)&amp;":"&amp;TEXT(MOD(R2386,60),"00.00"),TEXT(R2386,"0.00")))</f>
        <v/>
      </c>
      <c r="T2386" s="52">
        <f>IFERROR((G2386-INDEX('01_Swimmers'!$E$5:$E$22,MATCH(B2386,'01_Swimmers'!$A$5:$A$22,0)))/'00_Control'!$B$10,"")</f>
        <v/>
      </c>
      <c r="U2386" s="35">
        <f>IF(T2386="","",INT(T2386))</f>
        <v/>
      </c>
      <c r="V2386" s="33" t="inlineStr">
        <is>
          <t>NO</t>
        </is>
      </c>
      <c r="W2386" s="33" t="inlineStr">
        <is>
          <t>YES</t>
        </is>
      </c>
      <c r="X2386" s="33" t="inlineStr">
        <is>
          <t>NO</t>
        </is>
      </c>
      <c r="Y2386" s="33" t="n">
        <v>3</v>
      </c>
      <c r="Z2386" s="33" t="n">
        <v>8</v>
      </c>
      <c r="AA2386" s="33" t="inlineStr">
        <is>
          <t>10</t>
        </is>
      </c>
      <c r="AB2386" s="33" t="inlineStr">
        <is>
          <t>https://www.swimcloud.com/results/274519/event/4/?id=116655437#time116655437</t>
        </is>
      </c>
      <c r="AC2386" s="33" t="inlineStr">
        <is>
          <t>SwimCloud API v6 2026-10-08</t>
        </is>
      </c>
      <c r="AD2386" s="33" t="inlineStr">
        <is>
          <t>Luke Hobson|2024-01-11|LCM|100|Free|50.01|TYR Pro Swim Series - Knoxville|FIN|False</t>
        </is>
      </c>
      <c r="AE2386" s="53">
        <f>G2386+L2386/1000+ROW()/1000000000</f>
        <v/>
      </c>
      <c r="AF2386" s="35">
        <f>IF(C2386&lt;&gt;"Grayson Coulter","",COUNTIFS($C$5:$C$2991,"Grayson Coulter",$Q$5:$Q$2991,Q2386,$AE$5:$AE$2991,"&lt;="&amp;AE2386,$R$5:$R$2991,"&lt;"&amp;R2386))</f>
        <v/>
      </c>
      <c r="AG2386" s="35">
        <f>IF(OR(C2386&lt;&gt;"Grayson Coulter",G2386&lt;'00_Control'!$B$7),"",--(AF2386&lt;5))</f>
        <v/>
      </c>
      <c r="AH2386" s="35">
        <f>IF(OR(C2386&lt;&gt;"Grayson Coulter",G2386&lt;'00_Control'!$B$7),"",--(AF2386&lt;10))</f>
        <v/>
      </c>
      <c r="AI2386" s="35">
        <f>IF(AND(C2386="Grayson Coulter",G2386&gt;='00_Control'!$B$7),"YES","NO")</f>
        <v/>
      </c>
      <c r="AJ2386" s="33" t="inlineStr">
        <is>
          <t>OK</t>
        </is>
      </c>
    </row>
    <row r="2387">
      <c r="A2387" s="33" t="inlineStr">
        <is>
          <t>SM002383</t>
        </is>
      </c>
      <c r="B2387" s="33" t="inlineStr">
        <is>
          <t>SW014</t>
        </is>
      </c>
      <c r="C2387" s="33" t="inlineStr">
        <is>
          <t>Luke Hobson</t>
        </is>
      </c>
      <c r="D2387" s="33" t="inlineStr">
        <is>
          <t>SwimCloud</t>
        </is>
      </c>
      <c r="E2387" s="33" t="inlineStr">
        <is>
          <t>576911</t>
        </is>
      </c>
      <c r="F2387" s="33" t="inlineStr">
        <is>
          <t>116653860</t>
        </is>
      </c>
      <c r="G2387" s="51" t="n">
        <v>45303</v>
      </c>
      <c r="H2387" s="33" t="inlineStr">
        <is>
          <t>TYR Pro Swim Series - Knoxville</t>
        </is>
      </c>
      <c r="I2387" s="33" t="inlineStr">
        <is>
          <t>274519</t>
        </is>
      </c>
      <c r="J2387" s="33" t="inlineStr"/>
      <c r="K2387" s="33" t="inlineStr">
        <is>
          <t>PRE</t>
        </is>
      </c>
      <c r="L2387" s="35">
        <f>IF(K2387="FIN",3,IF(OR(K2387="SEM",K2387="SEMI"),2,IF(OR(K2387="PRE",K2387="HEAT"),1,IF(V2387="YES",4,2))))</f>
        <v/>
      </c>
      <c r="M2387" s="33" t="inlineStr">
        <is>
          <t>LCM</t>
        </is>
      </c>
      <c r="N2387" s="33" t="n">
        <v>200</v>
      </c>
      <c r="O2387" s="33" t="inlineStr">
        <is>
          <t>Free</t>
        </is>
      </c>
      <c r="P2387" s="33" t="inlineStr">
        <is>
          <t>200 Free</t>
        </is>
      </c>
      <c r="Q2387" s="33" t="inlineStr">
        <is>
          <t>LCM_200_FREE</t>
        </is>
      </c>
      <c r="R2387" s="36" t="n">
        <v>109.57</v>
      </c>
      <c r="S2387" s="35">
        <f>IF(R2387="","",IF(R2387&gt;=60,INT(R2387/60)&amp;":"&amp;TEXT(MOD(R2387,60),"00.00"),TEXT(R2387,"0.00")))</f>
        <v/>
      </c>
      <c r="T2387" s="52">
        <f>IFERROR((G2387-INDEX('01_Swimmers'!$E$5:$E$22,MATCH(B2387,'01_Swimmers'!$A$5:$A$22,0)))/'00_Control'!$B$10,"")</f>
        <v/>
      </c>
      <c r="U2387" s="35">
        <f>IF(T2387="","",INT(T2387))</f>
        <v/>
      </c>
      <c r="V2387" s="33" t="inlineStr">
        <is>
          <t>NO</t>
        </is>
      </c>
      <c r="W2387" s="33" t="inlineStr">
        <is>
          <t>YES</t>
        </is>
      </c>
      <c r="X2387" s="33" t="inlineStr">
        <is>
          <t>NO</t>
        </is>
      </c>
      <c r="Y2387" s="33" t="n">
        <v>10</v>
      </c>
      <c r="Z2387" s="33" t="n">
        <v>4</v>
      </c>
      <c r="AA2387" s="33" t="inlineStr">
        <is>
          <t>5</t>
        </is>
      </c>
      <c r="AB2387" s="33" t="inlineStr">
        <is>
          <t>https://www.swimcloud.com/results/274519/event/12/?id=116653860#time116653860</t>
        </is>
      </c>
      <c r="AC2387" s="33" t="inlineStr">
        <is>
          <t>SwimCloud API v6 2026-10-08</t>
        </is>
      </c>
      <c r="AD2387" s="33" t="inlineStr">
        <is>
          <t>Luke Hobson|2024-01-12|LCM|200|Free|109.57|TYR Pro Swim Series - Knoxville|PRE|False</t>
        </is>
      </c>
      <c r="AE2387" s="53">
        <f>G2387+L2387/1000+ROW()/1000000000</f>
        <v/>
      </c>
      <c r="AF2387" s="35">
        <f>IF(C2387&lt;&gt;"Grayson Coulter","",COUNTIFS($C$5:$C$2991,"Grayson Coulter",$Q$5:$Q$2991,Q2387,$AE$5:$AE$2991,"&lt;="&amp;AE2387,$R$5:$R$2991,"&lt;"&amp;R2387))</f>
        <v/>
      </c>
      <c r="AG2387" s="35">
        <f>IF(OR(C2387&lt;&gt;"Grayson Coulter",G2387&lt;'00_Control'!$B$7),"",--(AF2387&lt;5))</f>
        <v/>
      </c>
      <c r="AH2387" s="35">
        <f>IF(OR(C2387&lt;&gt;"Grayson Coulter",G2387&lt;'00_Control'!$B$7),"",--(AF2387&lt;10))</f>
        <v/>
      </c>
      <c r="AI2387" s="35">
        <f>IF(AND(C2387="Grayson Coulter",G2387&gt;='00_Control'!$B$7),"YES","NO")</f>
        <v/>
      </c>
      <c r="AJ2387" s="33" t="inlineStr">
        <is>
          <t>OK</t>
        </is>
      </c>
    </row>
    <row r="2388">
      <c r="A2388" s="33" t="inlineStr">
        <is>
          <t>SM002384</t>
        </is>
      </c>
      <c r="B2388" s="33" t="inlineStr">
        <is>
          <t>SW014</t>
        </is>
      </c>
      <c r="C2388" s="33" t="inlineStr">
        <is>
          <t>Luke Hobson</t>
        </is>
      </c>
      <c r="D2388" s="33" t="inlineStr">
        <is>
          <t>SwimCloud</t>
        </is>
      </c>
      <c r="E2388" s="33" t="inlineStr">
        <is>
          <t>576911</t>
        </is>
      </c>
      <c r="F2388" s="33" t="inlineStr">
        <is>
          <t>116653861</t>
        </is>
      </c>
      <c r="G2388" s="51" t="n">
        <v>45303</v>
      </c>
      <c r="H2388" s="33" t="inlineStr">
        <is>
          <t>TYR Pro Swim Series - Knoxville</t>
        </is>
      </c>
      <c r="I2388" s="33" t="inlineStr">
        <is>
          <t>274519</t>
        </is>
      </c>
      <c r="J2388" s="33" t="inlineStr"/>
      <c r="K2388" s="33" t="inlineStr">
        <is>
          <t>FIN</t>
        </is>
      </c>
      <c r="L2388" s="35">
        <f>IF(K2388="FIN",3,IF(OR(K2388="SEM",K2388="SEMI"),2,IF(OR(K2388="PRE",K2388="HEAT"),1,IF(V2388="YES",4,2))))</f>
        <v/>
      </c>
      <c r="M2388" s="33" t="inlineStr">
        <is>
          <t>LCM</t>
        </is>
      </c>
      <c r="N2388" s="33" t="n">
        <v>200</v>
      </c>
      <c r="O2388" s="33" t="inlineStr">
        <is>
          <t>Free</t>
        </is>
      </c>
      <c r="P2388" s="33" t="inlineStr">
        <is>
          <t>200 Free</t>
        </is>
      </c>
      <c r="Q2388" s="33" t="inlineStr">
        <is>
          <t>LCM_200_FREE</t>
        </is>
      </c>
      <c r="R2388" s="36" t="n">
        <v>109.5</v>
      </c>
      <c r="S2388" s="35">
        <f>IF(R2388="","",IF(R2388&gt;=60,INT(R2388/60)&amp;":"&amp;TEXT(MOD(R2388,60),"00.00"),TEXT(R2388,"0.00")))</f>
        <v/>
      </c>
      <c r="T2388" s="52">
        <f>IFERROR((G2388-INDEX('01_Swimmers'!$E$5:$E$22,MATCH(B2388,'01_Swimmers'!$A$5:$A$22,0)))/'00_Control'!$B$10,"")</f>
        <v/>
      </c>
      <c r="U2388" s="35">
        <f>IF(T2388="","",INT(T2388))</f>
        <v/>
      </c>
      <c r="V2388" s="33" t="inlineStr">
        <is>
          <t>NO</t>
        </is>
      </c>
      <c r="W2388" s="33" t="inlineStr">
        <is>
          <t>YES</t>
        </is>
      </c>
      <c r="X2388" s="33" t="inlineStr">
        <is>
          <t>NO</t>
        </is>
      </c>
      <c r="Y2388" s="33" t="n">
        <v>2</v>
      </c>
      <c r="Z2388" s="33" t="n">
        <v>2</v>
      </c>
      <c r="AA2388" s="33" t="inlineStr">
        <is>
          <t>7</t>
        </is>
      </c>
      <c r="AB2388" s="33" t="inlineStr">
        <is>
          <t>https://www.swimcloud.com/results/274519/event/12/?id=116653861#time116653861</t>
        </is>
      </c>
      <c r="AC2388" s="33" t="inlineStr">
        <is>
          <t>SwimCloud API v6 2026-10-08</t>
        </is>
      </c>
      <c r="AD2388" s="33" t="inlineStr">
        <is>
          <t>Luke Hobson|2024-01-12|LCM|200|Free|109.5|TYR Pro Swim Series - Knoxville|FIN|False</t>
        </is>
      </c>
      <c r="AE2388" s="53">
        <f>G2388+L2388/1000+ROW()/1000000000</f>
        <v/>
      </c>
      <c r="AF2388" s="35">
        <f>IF(C2388&lt;&gt;"Grayson Coulter","",COUNTIFS($C$5:$C$2991,"Grayson Coulter",$Q$5:$Q$2991,Q2388,$AE$5:$AE$2991,"&lt;="&amp;AE2388,$R$5:$R$2991,"&lt;"&amp;R2388))</f>
        <v/>
      </c>
      <c r="AG2388" s="35">
        <f>IF(OR(C2388&lt;&gt;"Grayson Coulter",G2388&lt;'00_Control'!$B$7),"",--(AF2388&lt;5))</f>
        <v/>
      </c>
      <c r="AH2388" s="35">
        <f>IF(OR(C2388&lt;&gt;"Grayson Coulter",G2388&lt;'00_Control'!$B$7),"",--(AF2388&lt;10))</f>
        <v/>
      </c>
      <c r="AI2388" s="35">
        <f>IF(AND(C2388="Grayson Coulter",G2388&gt;='00_Control'!$B$7),"YES","NO")</f>
        <v/>
      </c>
      <c r="AJ2388" s="33" t="inlineStr">
        <is>
          <t>OK</t>
        </is>
      </c>
    </row>
    <row r="2389">
      <c r="A2389" s="33" t="inlineStr">
        <is>
          <t>SM002385</t>
        </is>
      </c>
      <c r="B2389" s="33" t="inlineStr">
        <is>
          <t>SW014</t>
        </is>
      </c>
      <c r="C2389" s="33" t="inlineStr">
        <is>
          <t>Luke Hobson</t>
        </is>
      </c>
      <c r="D2389" s="33" t="inlineStr">
        <is>
          <t>SwimCloud</t>
        </is>
      </c>
      <c r="E2389" s="33" t="inlineStr">
        <is>
          <t>576911</t>
        </is>
      </c>
      <c r="F2389" s="33" t="inlineStr">
        <is>
          <t>120041481</t>
        </is>
      </c>
      <c r="G2389" s="51" t="n">
        <v>45334</v>
      </c>
      <c r="H2389" s="33" t="inlineStr">
        <is>
          <t>21st World Aquatics Championships</t>
        </is>
      </c>
      <c r="I2389" s="33" t="inlineStr">
        <is>
          <t>297318</t>
        </is>
      </c>
      <c r="J2389" s="33" t="inlineStr"/>
      <c r="K2389" s="33" t="inlineStr">
        <is>
          <t>PRE</t>
        </is>
      </c>
      <c r="L2389" s="35">
        <f>IF(K2389="FIN",3,IF(OR(K2389="SEM",K2389="SEMI"),2,IF(OR(K2389="PRE",K2389="HEAT"),1,IF(V2389="YES",4,2))))</f>
        <v/>
      </c>
      <c r="M2389" s="33" t="inlineStr">
        <is>
          <t>LCM</t>
        </is>
      </c>
      <c r="N2389" s="33" t="n">
        <v>200</v>
      </c>
      <c r="O2389" s="33" t="inlineStr">
        <is>
          <t>Free</t>
        </is>
      </c>
      <c r="P2389" s="33" t="inlineStr">
        <is>
          <t>200 Free</t>
        </is>
      </c>
      <c r="Q2389" s="33" t="inlineStr">
        <is>
          <t>LCM_200_FREE</t>
        </is>
      </c>
      <c r="R2389" s="36" t="n">
        <v>106.54</v>
      </c>
      <c r="S2389" s="35">
        <f>IF(R2389="","",IF(R2389&gt;=60,INT(R2389/60)&amp;":"&amp;TEXT(MOD(R2389,60),"00.00"),TEXT(R2389,"0.00")))</f>
        <v/>
      </c>
      <c r="T2389" s="52">
        <f>IFERROR((G2389-INDEX('01_Swimmers'!$E$5:$E$22,MATCH(B2389,'01_Swimmers'!$A$5:$A$22,0)))/'00_Control'!$B$10,"")</f>
        <v/>
      </c>
      <c r="U2389" s="35">
        <f>IF(T2389="","",INT(T2389))</f>
        <v/>
      </c>
      <c r="V2389" s="33" t="inlineStr">
        <is>
          <t>NO</t>
        </is>
      </c>
      <c r="W2389" s="33" t="inlineStr">
        <is>
          <t>YES</t>
        </is>
      </c>
      <c r="X2389" s="33" t="inlineStr">
        <is>
          <t>NO</t>
        </is>
      </c>
      <c r="Y2389" s="33" t="n">
        <v>5</v>
      </c>
      <c r="Z2389" s="33" t="n">
        <v>4</v>
      </c>
      <c r="AA2389" s="33" t="inlineStr">
        <is>
          <t>5</t>
        </is>
      </c>
      <c r="AB2389" s="33" t="inlineStr">
        <is>
          <t>https://www.swimcloud.com/results/297318/event/12/?id=120041481#time120041481</t>
        </is>
      </c>
      <c r="AC2389" s="33" t="inlineStr">
        <is>
          <t>SwimCloud API v6 2026-10-08</t>
        </is>
      </c>
      <c r="AD2389" s="33" t="inlineStr">
        <is>
          <t>Luke Hobson|2024-02-12|LCM|200|Free|106.54|21st World Aquatics Championships|PRE|False</t>
        </is>
      </c>
      <c r="AE2389" s="53">
        <f>G2389+L2389/1000+ROW()/1000000000</f>
        <v/>
      </c>
      <c r="AF2389" s="35">
        <f>IF(C2389&lt;&gt;"Grayson Coulter","",COUNTIFS($C$5:$C$2991,"Grayson Coulter",$Q$5:$Q$2991,Q2389,$AE$5:$AE$2991,"&lt;="&amp;AE2389,$R$5:$R$2991,"&lt;"&amp;R2389))</f>
        <v/>
      </c>
      <c r="AG2389" s="35">
        <f>IF(OR(C2389&lt;&gt;"Grayson Coulter",G2389&lt;'00_Control'!$B$7),"",--(AF2389&lt;5))</f>
        <v/>
      </c>
      <c r="AH2389" s="35">
        <f>IF(OR(C2389&lt;&gt;"Grayson Coulter",G2389&lt;'00_Control'!$B$7),"",--(AF2389&lt;10))</f>
        <v/>
      </c>
      <c r="AI2389" s="35">
        <f>IF(AND(C2389="Grayson Coulter",G2389&gt;='00_Control'!$B$7),"YES","NO")</f>
        <v/>
      </c>
      <c r="AJ2389" s="33" t="inlineStr">
        <is>
          <t>OK</t>
        </is>
      </c>
    </row>
    <row r="2390">
      <c r="A2390" s="33" t="inlineStr">
        <is>
          <t>SM002386</t>
        </is>
      </c>
      <c r="B2390" s="33" t="inlineStr">
        <is>
          <t>SW014</t>
        </is>
      </c>
      <c r="C2390" s="33" t="inlineStr">
        <is>
          <t>Luke Hobson</t>
        </is>
      </c>
      <c r="D2390" s="33" t="inlineStr">
        <is>
          <t>SwimCloud</t>
        </is>
      </c>
      <c r="E2390" s="33" t="inlineStr">
        <is>
          <t>576911</t>
        </is>
      </c>
      <c r="F2390" s="33" t="inlineStr">
        <is>
          <t>120041482</t>
        </is>
      </c>
      <c r="G2390" s="51" t="n">
        <v>45334</v>
      </c>
      <c r="H2390" s="33" t="inlineStr">
        <is>
          <t>21st World Aquatics Championships</t>
        </is>
      </c>
      <c r="I2390" s="33" t="inlineStr">
        <is>
          <t>297318</t>
        </is>
      </c>
      <c r="J2390" s="33" t="inlineStr"/>
      <c r="K2390" s="33" t="inlineStr">
        <is>
          <t>SEM</t>
        </is>
      </c>
      <c r="L2390" s="35">
        <f>IF(K2390="FIN",3,IF(OR(K2390="SEM",K2390="SEMI"),2,IF(OR(K2390="PRE",K2390="HEAT"),1,IF(V2390="YES",4,2))))</f>
        <v/>
      </c>
      <c r="M2390" s="33" t="inlineStr">
        <is>
          <t>LCM</t>
        </is>
      </c>
      <c r="N2390" s="33" t="n">
        <v>200</v>
      </c>
      <c r="O2390" s="33" t="inlineStr">
        <is>
          <t>Free</t>
        </is>
      </c>
      <c r="P2390" s="33" t="inlineStr">
        <is>
          <t>200 Free</t>
        </is>
      </c>
      <c r="Q2390" s="33" t="inlineStr">
        <is>
          <t>LCM_200_FREE</t>
        </is>
      </c>
      <c r="R2390" s="36" t="n">
        <v>105.53</v>
      </c>
      <c r="S2390" s="35">
        <f>IF(R2390="","",IF(R2390&gt;=60,INT(R2390/60)&amp;":"&amp;TEXT(MOD(R2390,60),"00.00"),TEXT(R2390,"0.00")))</f>
        <v/>
      </c>
      <c r="T2390" s="52">
        <f>IFERROR((G2390-INDEX('01_Swimmers'!$E$5:$E$22,MATCH(B2390,'01_Swimmers'!$A$5:$A$22,0)))/'00_Control'!$B$10,"")</f>
        <v/>
      </c>
      <c r="U2390" s="35">
        <f>IF(T2390="","",INT(T2390))</f>
        <v/>
      </c>
      <c r="V2390" s="33" t="inlineStr">
        <is>
          <t>NO</t>
        </is>
      </c>
      <c r="W2390" s="33" t="inlineStr">
        <is>
          <t>YES</t>
        </is>
      </c>
      <c r="X2390" s="33" t="inlineStr">
        <is>
          <t>NO</t>
        </is>
      </c>
      <c r="Y2390" s="33" t="n">
        <v>2</v>
      </c>
      <c r="Z2390" s="33" t="n">
        <v>3</v>
      </c>
      <c r="AA2390" s="33" t="inlineStr">
        <is>
          <t>4</t>
        </is>
      </c>
      <c r="AB2390" s="33" t="inlineStr">
        <is>
          <t>https://www.swimcloud.com/results/297318/event/12/?id=120041482#time120041482</t>
        </is>
      </c>
      <c r="AC2390" s="33" t="inlineStr">
        <is>
          <t>SwimCloud API v6 2026-10-08</t>
        </is>
      </c>
      <c r="AD2390" s="33" t="inlineStr">
        <is>
          <t>Luke Hobson|2024-02-12|LCM|200|Free|105.53|21st World Aquatics Championships|SEM|False</t>
        </is>
      </c>
      <c r="AE2390" s="53">
        <f>G2390+L2390/1000+ROW()/1000000000</f>
        <v/>
      </c>
      <c r="AF2390" s="35">
        <f>IF(C2390&lt;&gt;"Grayson Coulter","",COUNTIFS($C$5:$C$2991,"Grayson Coulter",$Q$5:$Q$2991,Q2390,$AE$5:$AE$2991,"&lt;="&amp;AE2390,$R$5:$R$2991,"&lt;"&amp;R2390))</f>
        <v/>
      </c>
      <c r="AG2390" s="35">
        <f>IF(OR(C2390&lt;&gt;"Grayson Coulter",G2390&lt;'00_Control'!$B$7),"",--(AF2390&lt;5))</f>
        <v/>
      </c>
      <c r="AH2390" s="35">
        <f>IF(OR(C2390&lt;&gt;"Grayson Coulter",G2390&lt;'00_Control'!$B$7),"",--(AF2390&lt;10))</f>
        <v/>
      </c>
      <c r="AI2390" s="35">
        <f>IF(AND(C2390="Grayson Coulter",G2390&gt;='00_Control'!$B$7),"YES","NO")</f>
        <v/>
      </c>
      <c r="AJ2390" s="33" t="inlineStr">
        <is>
          <t>OK</t>
        </is>
      </c>
    </row>
    <row r="2391">
      <c r="A2391" s="33" t="inlineStr">
        <is>
          <t>SM002387</t>
        </is>
      </c>
      <c r="B2391" s="33" t="inlineStr">
        <is>
          <t>SW014</t>
        </is>
      </c>
      <c r="C2391" s="33" t="inlineStr">
        <is>
          <t>Luke Hobson</t>
        </is>
      </c>
      <c r="D2391" s="33" t="inlineStr">
        <is>
          <t>SwimCloud</t>
        </is>
      </c>
      <c r="E2391" s="33" t="inlineStr">
        <is>
          <t>576911</t>
        </is>
      </c>
      <c r="F2391" s="33" t="inlineStr">
        <is>
          <t>120041480</t>
        </is>
      </c>
      <c r="G2391" s="51" t="n">
        <v>45335</v>
      </c>
      <c r="H2391" s="33" t="inlineStr">
        <is>
          <t>21st World Aquatics Championships</t>
        </is>
      </c>
      <c r="I2391" s="33" t="inlineStr">
        <is>
          <t>297318</t>
        </is>
      </c>
      <c r="J2391" s="33" t="inlineStr"/>
      <c r="K2391" s="33" t="inlineStr">
        <is>
          <t>FIN</t>
        </is>
      </c>
      <c r="L2391" s="35">
        <f>IF(K2391="FIN",3,IF(OR(K2391="SEM",K2391="SEMI"),2,IF(OR(K2391="PRE",K2391="HEAT"),1,IF(V2391="YES",4,2))))</f>
        <v/>
      </c>
      <c r="M2391" s="33" t="inlineStr">
        <is>
          <t>LCM</t>
        </is>
      </c>
      <c r="N2391" s="33" t="n">
        <v>200</v>
      </c>
      <c r="O2391" s="33" t="inlineStr">
        <is>
          <t>Free</t>
        </is>
      </c>
      <c r="P2391" s="33" t="inlineStr">
        <is>
          <t>200 Free</t>
        </is>
      </c>
      <c r="Q2391" s="33" t="inlineStr">
        <is>
          <t>LCM_200_FREE</t>
        </is>
      </c>
      <c r="R2391" s="36" t="n">
        <v>105.26</v>
      </c>
      <c r="S2391" s="35">
        <f>IF(R2391="","",IF(R2391&gt;=60,INT(R2391/60)&amp;":"&amp;TEXT(MOD(R2391,60),"00.00"),TEXT(R2391,"0.00")))</f>
        <v/>
      </c>
      <c r="T2391" s="52">
        <f>IFERROR((G2391-INDEX('01_Swimmers'!$E$5:$E$22,MATCH(B2391,'01_Swimmers'!$A$5:$A$22,0)))/'00_Control'!$B$10,"")</f>
        <v/>
      </c>
      <c r="U2391" s="35">
        <f>IF(T2391="","",INT(T2391))</f>
        <v/>
      </c>
      <c r="V2391" s="33" t="inlineStr">
        <is>
          <t>NO</t>
        </is>
      </c>
      <c r="W2391" s="33" t="inlineStr">
        <is>
          <t>YES</t>
        </is>
      </c>
      <c r="X2391" s="33" t="inlineStr">
        <is>
          <t>NO</t>
        </is>
      </c>
      <c r="Y2391" s="33" t="n">
        <v>1</v>
      </c>
      <c r="Z2391" s="33" t="n">
        <v>6</v>
      </c>
      <c r="AA2391" s="33" t="inlineStr">
        <is>
          <t>3</t>
        </is>
      </c>
      <c r="AB2391" s="33" t="inlineStr">
        <is>
          <t>https://www.swimcloud.com/results/297318/event/12/?id=120041480#time120041480</t>
        </is>
      </c>
      <c r="AC2391" s="33" t="inlineStr">
        <is>
          <t>SwimCloud API v6 2026-10-08</t>
        </is>
      </c>
      <c r="AD2391" s="33" t="inlineStr">
        <is>
          <t>Luke Hobson|2024-02-13|LCM|200|Free|105.26|21st World Aquatics Championships|FIN|False</t>
        </is>
      </c>
      <c r="AE2391" s="53">
        <f>G2391+L2391/1000+ROW()/1000000000</f>
        <v/>
      </c>
      <c r="AF2391" s="35">
        <f>IF(C2391&lt;&gt;"Grayson Coulter","",COUNTIFS($C$5:$C$2991,"Grayson Coulter",$Q$5:$Q$2991,Q2391,$AE$5:$AE$2991,"&lt;="&amp;AE2391,$R$5:$R$2991,"&lt;"&amp;R2391))</f>
        <v/>
      </c>
      <c r="AG2391" s="35">
        <f>IF(OR(C2391&lt;&gt;"Grayson Coulter",G2391&lt;'00_Control'!$B$7),"",--(AF2391&lt;5))</f>
        <v/>
      </c>
      <c r="AH2391" s="35">
        <f>IF(OR(C2391&lt;&gt;"Grayson Coulter",G2391&lt;'00_Control'!$B$7),"",--(AF2391&lt;10))</f>
        <v/>
      </c>
      <c r="AI2391" s="35">
        <f>IF(AND(C2391="Grayson Coulter",G2391&gt;='00_Control'!$B$7),"YES","NO")</f>
        <v/>
      </c>
      <c r="AJ2391" s="33" t="inlineStr">
        <is>
          <t>OK</t>
        </is>
      </c>
    </row>
    <row r="2392">
      <c r="A2392" s="33" t="inlineStr">
        <is>
          <t>SM002388</t>
        </is>
      </c>
      <c r="B2392" s="33" t="inlineStr">
        <is>
          <t>SW014</t>
        </is>
      </c>
      <c r="C2392" s="33" t="inlineStr">
        <is>
          <t>Luke Hobson</t>
        </is>
      </c>
      <c r="D2392" s="33" t="inlineStr">
        <is>
          <t>SwimCloud</t>
        </is>
      </c>
      <c r="E2392" s="33" t="inlineStr">
        <is>
          <t>576911</t>
        </is>
      </c>
      <c r="F2392" s="33" t="inlineStr">
        <is>
          <t>120042501</t>
        </is>
      </c>
      <c r="G2392" s="51" t="n">
        <v>45338</v>
      </c>
      <c r="H2392" s="33" t="inlineStr">
        <is>
          <t>21st World Aquatics Championships</t>
        </is>
      </c>
      <c r="I2392" s="33" t="inlineStr">
        <is>
          <t>297318</t>
        </is>
      </c>
      <c r="J2392" s="33" t="inlineStr"/>
      <c r="K2392" s="33" t="inlineStr">
        <is>
          <t>PRE</t>
        </is>
      </c>
      <c r="L2392" s="35">
        <f>IF(K2392="FIN",3,IF(OR(K2392="SEM",K2392="SEMI"),2,IF(OR(K2392="PRE",K2392="HEAT"),1,IF(V2392="YES",4,2))))</f>
        <v/>
      </c>
      <c r="M2392" s="33" t="inlineStr">
        <is>
          <t>LCM</t>
        </is>
      </c>
      <c r="N2392" s="33" t="n">
        <v>200</v>
      </c>
      <c r="O2392" s="33" t="inlineStr">
        <is>
          <t>Free</t>
        </is>
      </c>
      <c r="P2392" s="33" t="inlineStr">
        <is>
          <t>200 Free</t>
        </is>
      </c>
      <c r="Q2392" s="33" t="inlineStr">
        <is>
          <t>LCM_200_FREE</t>
        </is>
      </c>
      <c r="R2392" s="36" t="n">
        <v>106.86</v>
      </c>
      <c r="S2392" s="35">
        <f>IF(R2392="","",IF(R2392&gt;=60,INT(R2392/60)&amp;":"&amp;TEXT(MOD(R2392,60),"00.00"),TEXT(R2392,"0.00")))</f>
        <v/>
      </c>
      <c r="T2392" s="52">
        <f>IFERROR((G2392-INDEX('01_Swimmers'!$E$5:$E$22,MATCH(B2392,'01_Swimmers'!$A$5:$A$22,0)))/'00_Control'!$B$10,"")</f>
        <v/>
      </c>
      <c r="U2392" s="35">
        <f>IF(T2392="","",INT(T2392))</f>
        <v/>
      </c>
      <c r="V2392" s="33" t="inlineStr">
        <is>
          <t>YES</t>
        </is>
      </c>
      <c r="W2392" s="33" t="inlineStr">
        <is>
          <t>YES</t>
        </is>
      </c>
      <c r="X2392" s="33" t="inlineStr">
        <is>
          <t>NO</t>
        </is>
      </c>
      <c r="Y2392" s="33" t="n">
        <v>1</v>
      </c>
      <c r="Z2392" s="33" t="n">
        <v>4</v>
      </c>
      <c r="AA2392" s="33" t="inlineStr"/>
      <c r="AB2392" s="33" t="inlineStr">
        <is>
          <t>https://www.swimcloud.com/results/297318/event/32/?id=120041565#time120041565</t>
        </is>
      </c>
      <c r="AC2392" s="33" t="inlineStr">
        <is>
          <t>SwimCloud API v6 2026-10-08</t>
        </is>
      </c>
      <c r="AD2392" s="33" t="inlineStr">
        <is>
          <t>Luke Hobson|2024-02-16|LCM|200|Free|106.86|21st World Aquatics Championships|PRE|True</t>
        </is>
      </c>
      <c r="AE2392" s="53">
        <f>G2392+L2392/1000+ROW()/1000000000</f>
        <v/>
      </c>
      <c r="AF2392" s="35">
        <f>IF(C2392&lt;&gt;"Grayson Coulter","",COUNTIFS($C$5:$C$2991,"Grayson Coulter",$Q$5:$Q$2991,Q2392,$AE$5:$AE$2991,"&lt;="&amp;AE2392,$R$5:$R$2991,"&lt;"&amp;R2392))</f>
        <v/>
      </c>
      <c r="AG2392" s="35">
        <f>IF(OR(C2392&lt;&gt;"Grayson Coulter",G2392&lt;'00_Control'!$B$7),"",--(AF2392&lt;5))</f>
        <v/>
      </c>
      <c r="AH2392" s="35">
        <f>IF(OR(C2392&lt;&gt;"Grayson Coulter",G2392&lt;'00_Control'!$B$7),"",--(AF2392&lt;10))</f>
        <v/>
      </c>
      <c r="AI2392" s="35">
        <f>IF(AND(C2392="Grayson Coulter",G2392&gt;='00_Control'!$B$7),"YES","NO")</f>
        <v/>
      </c>
      <c r="AJ2392" s="33" t="inlineStr">
        <is>
          <t>OK</t>
        </is>
      </c>
    </row>
    <row r="2393">
      <c r="A2393" s="33" t="inlineStr">
        <is>
          <t>SM002389</t>
        </is>
      </c>
      <c r="B2393" s="33" t="inlineStr">
        <is>
          <t>SW014</t>
        </is>
      </c>
      <c r="C2393" s="33" t="inlineStr">
        <is>
          <t>Luke Hobson</t>
        </is>
      </c>
      <c r="D2393" s="33" t="inlineStr">
        <is>
          <t>SwimCloud</t>
        </is>
      </c>
      <c r="E2393" s="33" t="inlineStr">
        <is>
          <t>576911</t>
        </is>
      </c>
      <c r="F2393" s="33" t="inlineStr">
        <is>
          <t>120042497</t>
        </is>
      </c>
      <c r="G2393" s="51" t="n">
        <v>45338</v>
      </c>
      <c r="H2393" s="33" t="inlineStr">
        <is>
          <t>21st World Aquatics Championships</t>
        </is>
      </c>
      <c r="I2393" s="33" t="inlineStr">
        <is>
          <t>297318</t>
        </is>
      </c>
      <c r="J2393" s="33" t="inlineStr"/>
      <c r="K2393" s="33" t="inlineStr">
        <is>
          <t>FIN</t>
        </is>
      </c>
      <c r="L2393" s="35">
        <f>IF(K2393="FIN",3,IF(OR(K2393="SEM",K2393="SEMI"),2,IF(OR(K2393="PRE",K2393="HEAT"),1,IF(V2393="YES",4,2))))</f>
        <v/>
      </c>
      <c r="M2393" s="33" t="inlineStr">
        <is>
          <t>LCM</t>
        </is>
      </c>
      <c r="N2393" s="33" t="n">
        <v>200</v>
      </c>
      <c r="O2393" s="33" t="inlineStr">
        <is>
          <t>Free</t>
        </is>
      </c>
      <c r="P2393" s="33" t="inlineStr">
        <is>
          <t>200 Free</t>
        </is>
      </c>
      <c r="Q2393" s="33" t="inlineStr">
        <is>
          <t>LCM_200_FREE</t>
        </is>
      </c>
      <c r="R2393" s="36" t="n">
        <v>105.26</v>
      </c>
      <c r="S2393" s="35">
        <f>IF(R2393="","",IF(R2393&gt;=60,INT(R2393/60)&amp;":"&amp;TEXT(MOD(R2393,60),"00.00"),TEXT(R2393,"0.00")))</f>
        <v/>
      </c>
      <c r="T2393" s="52">
        <f>IFERROR((G2393-INDEX('01_Swimmers'!$E$5:$E$22,MATCH(B2393,'01_Swimmers'!$A$5:$A$22,0)))/'00_Control'!$B$10,"")</f>
        <v/>
      </c>
      <c r="U2393" s="35">
        <f>IF(T2393="","",INT(T2393))</f>
        <v/>
      </c>
      <c r="V2393" s="33" t="inlineStr">
        <is>
          <t>YES</t>
        </is>
      </c>
      <c r="W2393" s="33" t="inlineStr">
        <is>
          <t>YES</t>
        </is>
      </c>
      <c r="X2393" s="33" t="inlineStr">
        <is>
          <t>NO</t>
        </is>
      </c>
      <c r="Y2393" s="33" t="n">
        <v>1</v>
      </c>
      <c r="Z2393" s="33" t="n">
        <v>8</v>
      </c>
      <c r="AA2393" s="33" t="inlineStr"/>
      <c r="AB2393" s="33" t="inlineStr">
        <is>
          <t>https://www.swimcloud.com/results/297318/event/32/?id=120041564#time120041564</t>
        </is>
      </c>
      <c r="AC2393" s="33" t="inlineStr">
        <is>
          <t>SwimCloud API v6 2026-10-08</t>
        </is>
      </c>
      <c r="AD2393" s="33" t="inlineStr">
        <is>
          <t>Luke Hobson|2024-02-16|LCM|200|Free|105.26|21st World Aquatics Championships|FIN|True</t>
        </is>
      </c>
      <c r="AE2393" s="53">
        <f>G2393+L2393/1000+ROW()/1000000000</f>
        <v/>
      </c>
      <c r="AF2393" s="35">
        <f>IF(C2393&lt;&gt;"Grayson Coulter","",COUNTIFS($C$5:$C$2991,"Grayson Coulter",$Q$5:$Q$2991,Q2393,$AE$5:$AE$2991,"&lt;="&amp;AE2393,$R$5:$R$2991,"&lt;"&amp;R2393))</f>
        <v/>
      </c>
      <c r="AG2393" s="35">
        <f>IF(OR(C2393&lt;&gt;"Grayson Coulter",G2393&lt;'00_Control'!$B$7),"",--(AF2393&lt;5))</f>
        <v/>
      </c>
      <c r="AH2393" s="35">
        <f>IF(OR(C2393&lt;&gt;"Grayson Coulter",G2393&lt;'00_Control'!$B$7),"",--(AF2393&lt;10))</f>
        <v/>
      </c>
      <c r="AI2393" s="35">
        <f>IF(AND(C2393="Grayson Coulter",G2393&gt;='00_Control'!$B$7),"YES","NO")</f>
        <v/>
      </c>
      <c r="AJ2393" s="33" t="inlineStr">
        <is>
          <t>OK</t>
        </is>
      </c>
    </row>
    <row r="2394">
      <c r="A2394" s="33" t="inlineStr">
        <is>
          <t>SM002390</t>
        </is>
      </c>
      <c r="B2394" s="33" t="inlineStr">
        <is>
          <t>SW014</t>
        </is>
      </c>
      <c r="C2394" s="33" t="inlineStr">
        <is>
          <t>Luke Hobson</t>
        </is>
      </c>
      <c r="D2394" s="33" t="inlineStr">
        <is>
          <t>SwimCloud</t>
        </is>
      </c>
      <c r="E2394" s="33" t="inlineStr">
        <is>
          <t>576911</t>
        </is>
      </c>
      <c r="F2394" s="33" t="inlineStr">
        <is>
          <t>120042521</t>
        </is>
      </c>
      <c r="G2394" s="51" t="n">
        <v>45339</v>
      </c>
      <c r="H2394" s="33" t="inlineStr">
        <is>
          <t>21st World Aquatics Championships</t>
        </is>
      </c>
      <c r="I2394" s="33" t="inlineStr">
        <is>
          <t>297318</t>
        </is>
      </c>
      <c r="J2394" s="33" t="inlineStr"/>
      <c r="K2394" s="33" t="inlineStr">
        <is>
          <t>PRE</t>
        </is>
      </c>
      <c r="L2394" s="35">
        <f>IF(K2394="FIN",3,IF(OR(K2394="SEM",K2394="SEMI"),2,IF(OR(K2394="PRE",K2394="HEAT"),1,IF(V2394="YES",4,2))))</f>
        <v/>
      </c>
      <c r="M2394" s="33" t="inlineStr">
        <is>
          <t>LCM</t>
        </is>
      </c>
      <c r="N2394" s="33" t="n">
        <v>100</v>
      </c>
      <c r="O2394" s="33" t="inlineStr">
        <is>
          <t>Free</t>
        </is>
      </c>
      <c r="P2394" s="33" t="inlineStr">
        <is>
          <t>100 Free</t>
        </is>
      </c>
      <c r="Q2394" s="33" t="inlineStr">
        <is>
          <t>LCM_100_FREE</t>
        </is>
      </c>
      <c r="R2394" s="36" t="n">
        <v>48.5</v>
      </c>
      <c r="S2394" s="35">
        <f>IF(R2394="","",IF(R2394&gt;=60,INT(R2394/60)&amp;":"&amp;TEXT(MOD(R2394,60),"00.00"),TEXT(R2394,"0.00")))</f>
        <v/>
      </c>
      <c r="T2394" s="52">
        <f>IFERROR((G2394-INDEX('01_Swimmers'!$E$5:$E$22,MATCH(B2394,'01_Swimmers'!$A$5:$A$22,0)))/'00_Control'!$B$10,"")</f>
        <v/>
      </c>
      <c r="U2394" s="35">
        <f>IF(T2394="","",INT(T2394))</f>
        <v/>
      </c>
      <c r="V2394" s="33" t="inlineStr">
        <is>
          <t>YES</t>
        </is>
      </c>
      <c r="W2394" s="33" t="inlineStr">
        <is>
          <t>YES</t>
        </is>
      </c>
      <c r="X2394" s="33" t="inlineStr">
        <is>
          <t>NO</t>
        </is>
      </c>
      <c r="Y2394" s="33" t="n">
        <v>2</v>
      </c>
      <c r="Z2394" s="33" t="n">
        <v>4</v>
      </c>
      <c r="AA2394" s="33" t="inlineStr"/>
      <c r="AB2394" s="33" t="inlineStr">
        <is>
          <t>https://www.swimcloud.com/results/297318/event/37/?id=120041571#time120041571</t>
        </is>
      </c>
      <c r="AC2394" s="33" t="inlineStr">
        <is>
          <t>SwimCloud API v6 2026-10-08</t>
        </is>
      </c>
      <c r="AD2394" s="33" t="inlineStr">
        <is>
          <t>Luke Hobson|2024-02-17|LCM|100|Free|48.5|21st World Aquatics Championships|PRE|True</t>
        </is>
      </c>
      <c r="AE2394" s="53">
        <f>G2394+L2394/1000+ROW()/1000000000</f>
        <v/>
      </c>
      <c r="AF2394" s="35">
        <f>IF(C2394&lt;&gt;"Grayson Coulter","",COUNTIFS($C$5:$C$2991,"Grayson Coulter",$Q$5:$Q$2991,Q2394,$AE$5:$AE$2991,"&lt;="&amp;AE2394,$R$5:$R$2991,"&lt;"&amp;R2394))</f>
        <v/>
      </c>
      <c r="AG2394" s="35">
        <f>IF(OR(C2394&lt;&gt;"Grayson Coulter",G2394&lt;'00_Control'!$B$7),"",--(AF2394&lt;5))</f>
        <v/>
      </c>
      <c r="AH2394" s="35">
        <f>IF(OR(C2394&lt;&gt;"Grayson Coulter",G2394&lt;'00_Control'!$B$7),"",--(AF2394&lt;10))</f>
        <v/>
      </c>
      <c r="AI2394" s="35">
        <f>IF(AND(C2394="Grayson Coulter",G2394&gt;='00_Control'!$B$7),"YES","NO")</f>
        <v/>
      </c>
      <c r="AJ2394" s="33" t="inlineStr">
        <is>
          <t>OK</t>
        </is>
      </c>
    </row>
    <row r="2395">
      <c r="A2395" s="33" t="inlineStr">
        <is>
          <t>SM002391</t>
        </is>
      </c>
      <c r="B2395" s="33" t="inlineStr">
        <is>
          <t>SW014</t>
        </is>
      </c>
      <c r="C2395" s="33" t="inlineStr">
        <is>
          <t>Luke Hobson</t>
        </is>
      </c>
      <c r="D2395" s="33" t="inlineStr">
        <is>
          <t>SwimCloud</t>
        </is>
      </c>
      <c r="E2395" s="33" t="inlineStr">
        <is>
          <t>576911</t>
        </is>
      </c>
      <c r="F2395" s="33" t="inlineStr">
        <is>
          <t>126188161</t>
        </is>
      </c>
      <c r="G2395" s="51" t="n">
        <v>45428</v>
      </c>
      <c r="H2395" s="33" t="inlineStr">
        <is>
          <t>ST TXLA Longhorn Elite</t>
        </is>
      </c>
      <c r="I2395" s="33" t="inlineStr">
        <is>
          <t>274528</t>
        </is>
      </c>
      <c r="J2395" s="33" t="inlineStr"/>
      <c r="K2395" s="33" t="inlineStr">
        <is>
          <t>PRE</t>
        </is>
      </c>
      <c r="L2395" s="35">
        <f>IF(K2395="FIN",3,IF(OR(K2395="SEM",K2395="SEMI"),2,IF(OR(K2395="PRE",K2395="HEAT"),1,IF(V2395="YES",4,2))))</f>
        <v/>
      </c>
      <c r="M2395" s="33" t="inlineStr">
        <is>
          <t>LCM</t>
        </is>
      </c>
      <c r="N2395" s="33" t="n">
        <v>100</v>
      </c>
      <c r="O2395" s="33" t="inlineStr">
        <is>
          <t>Free</t>
        </is>
      </c>
      <c r="P2395" s="33" t="inlineStr">
        <is>
          <t>100 Free</t>
        </is>
      </c>
      <c r="Q2395" s="33" t="inlineStr">
        <is>
          <t>LCM_100_FREE</t>
        </is>
      </c>
      <c r="R2395" s="36" t="n">
        <v>50.58</v>
      </c>
      <c r="S2395" s="35">
        <f>IF(R2395="","",IF(R2395&gt;=60,INT(R2395/60)&amp;":"&amp;TEXT(MOD(R2395,60),"00.00"),TEXT(R2395,"0.00")))</f>
        <v/>
      </c>
      <c r="T2395" s="52">
        <f>IFERROR((G2395-INDEX('01_Swimmers'!$E$5:$E$22,MATCH(B2395,'01_Swimmers'!$A$5:$A$22,0)))/'00_Control'!$B$10,"")</f>
        <v/>
      </c>
      <c r="U2395" s="35">
        <f>IF(T2395="","",INT(T2395))</f>
        <v/>
      </c>
      <c r="V2395" s="33" t="inlineStr">
        <is>
          <t>NO</t>
        </is>
      </c>
      <c r="W2395" s="33" t="inlineStr">
        <is>
          <t>YES</t>
        </is>
      </c>
      <c r="X2395" s="33" t="inlineStr">
        <is>
          <t>NO</t>
        </is>
      </c>
      <c r="Y2395" s="33" t="n">
        <v>6</v>
      </c>
      <c r="Z2395" s="33" t="n">
        <v>5</v>
      </c>
      <c r="AA2395" s="33" t="inlineStr">
        <is>
          <t>7</t>
        </is>
      </c>
      <c r="AB2395" s="33" t="inlineStr">
        <is>
          <t>https://www.swimcloud.com/results/274528/event/4/?id=126188161#time126188161</t>
        </is>
      </c>
      <c r="AC2395" s="33" t="inlineStr">
        <is>
          <t>SwimCloud API v6 2026-10-08</t>
        </is>
      </c>
      <c r="AD2395" s="33" t="inlineStr">
        <is>
          <t>Luke Hobson|2024-05-16|LCM|100|Free|50.58|ST TXLA Longhorn Elite|PRE|False</t>
        </is>
      </c>
      <c r="AE2395" s="53">
        <f>G2395+L2395/1000+ROW()/1000000000</f>
        <v/>
      </c>
      <c r="AF2395" s="35">
        <f>IF(C2395&lt;&gt;"Grayson Coulter","",COUNTIFS($C$5:$C$2991,"Grayson Coulter",$Q$5:$Q$2991,Q2395,$AE$5:$AE$2991,"&lt;="&amp;AE2395,$R$5:$R$2991,"&lt;"&amp;R2395))</f>
        <v/>
      </c>
      <c r="AG2395" s="35">
        <f>IF(OR(C2395&lt;&gt;"Grayson Coulter",G2395&lt;'00_Control'!$B$7),"",--(AF2395&lt;5))</f>
        <v/>
      </c>
      <c r="AH2395" s="35">
        <f>IF(OR(C2395&lt;&gt;"Grayson Coulter",G2395&lt;'00_Control'!$B$7),"",--(AF2395&lt;10))</f>
        <v/>
      </c>
      <c r="AI2395" s="35">
        <f>IF(AND(C2395="Grayson Coulter",G2395&gt;='00_Control'!$B$7),"YES","NO")</f>
        <v/>
      </c>
      <c r="AJ2395" s="33" t="inlineStr">
        <is>
          <t>OK</t>
        </is>
      </c>
    </row>
    <row r="2396">
      <c r="A2396" s="33" t="inlineStr">
        <is>
          <t>SM002392</t>
        </is>
      </c>
      <c r="B2396" s="33" t="inlineStr">
        <is>
          <t>SW014</t>
        </is>
      </c>
      <c r="C2396" s="33" t="inlineStr">
        <is>
          <t>Luke Hobson</t>
        </is>
      </c>
      <c r="D2396" s="33" t="inlineStr">
        <is>
          <t>SwimCloud</t>
        </is>
      </c>
      <c r="E2396" s="33" t="inlineStr">
        <is>
          <t>576911</t>
        </is>
      </c>
      <c r="F2396" s="33" t="inlineStr">
        <is>
          <t>126188162</t>
        </is>
      </c>
      <c r="G2396" s="51" t="n">
        <v>45428</v>
      </c>
      <c r="H2396" s="33" t="inlineStr">
        <is>
          <t>ST TXLA Longhorn Elite</t>
        </is>
      </c>
      <c r="I2396" s="33" t="inlineStr">
        <is>
          <t>274528</t>
        </is>
      </c>
      <c r="J2396" s="33" t="inlineStr"/>
      <c r="K2396" s="33" t="inlineStr">
        <is>
          <t>FIN</t>
        </is>
      </c>
      <c r="L2396" s="35">
        <f>IF(K2396="FIN",3,IF(OR(K2396="SEM",K2396="SEMI"),2,IF(OR(K2396="PRE",K2396="HEAT"),1,IF(V2396="YES",4,2))))</f>
        <v/>
      </c>
      <c r="M2396" s="33" t="inlineStr">
        <is>
          <t>LCM</t>
        </is>
      </c>
      <c r="N2396" s="33" t="n">
        <v>100</v>
      </c>
      <c r="O2396" s="33" t="inlineStr">
        <is>
          <t>Free</t>
        </is>
      </c>
      <c r="P2396" s="33" t="inlineStr">
        <is>
          <t>100 Free</t>
        </is>
      </c>
      <c r="Q2396" s="33" t="inlineStr">
        <is>
          <t>LCM_100_FREE</t>
        </is>
      </c>
      <c r="R2396" s="36" t="n">
        <v>49.91</v>
      </c>
      <c r="S2396" s="35">
        <f>IF(R2396="","",IF(R2396&gt;=60,INT(R2396/60)&amp;":"&amp;TEXT(MOD(R2396,60),"00.00"),TEXT(R2396,"0.00")))</f>
        <v/>
      </c>
      <c r="T2396" s="52">
        <f>IFERROR((G2396-INDEX('01_Swimmers'!$E$5:$E$22,MATCH(B2396,'01_Swimmers'!$A$5:$A$22,0)))/'00_Control'!$B$10,"")</f>
        <v/>
      </c>
      <c r="U2396" s="35">
        <f>IF(T2396="","",INT(T2396))</f>
        <v/>
      </c>
      <c r="V2396" s="33" t="inlineStr">
        <is>
          <t>NO</t>
        </is>
      </c>
      <c r="W2396" s="33" t="inlineStr">
        <is>
          <t>YES</t>
        </is>
      </c>
      <c r="X2396" s="33" t="inlineStr">
        <is>
          <t>NO</t>
        </is>
      </c>
      <c r="Y2396" s="33" t="n">
        <v>3</v>
      </c>
      <c r="Z2396" s="33" t="n">
        <v>1</v>
      </c>
      <c r="AA2396" s="33" t="inlineStr">
        <is>
          <t>5</t>
        </is>
      </c>
      <c r="AB2396" s="33" t="inlineStr">
        <is>
          <t>https://www.swimcloud.com/results/274528/event/4/?id=126188162#time126188162</t>
        </is>
      </c>
      <c r="AC2396" s="33" t="inlineStr">
        <is>
          <t>SwimCloud API v6 2026-10-08</t>
        </is>
      </c>
      <c r="AD2396" s="33" t="inlineStr">
        <is>
          <t>Luke Hobson|2024-05-16|LCM|100|Free|49.91|ST TXLA Longhorn Elite|FIN|False</t>
        </is>
      </c>
      <c r="AE2396" s="53">
        <f>G2396+L2396/1000+ROW()/1000000000</f>
        <v/>
      </c>
      <c r="AF2396" s="35">
        <f>IF(C2396&lt;&gt;"Grayson Coulter","",COUNTIFS($C$5:$C$2991,"Grayson Coulter",$Q$5:$Q$2991,Q2396,$AE$5:$AE$2991,"&lt;="&amp;AE2396,$R$5:$R$2991,"&lt;"&amp;R2396))</f>
        <v/>
      </c>
      <c r="AG2396" s="35">
        <f>IF(OR(C2396&lt;&gt;"Grayson Coulter",G2396&lt;'00_Control'!$B$7),"",--(AF2396&lt;5))</f>
        <v/>
      </c>
      <c r="AH2396" s="35">
        <f>IF(OR(C2396&lt;&gt;"Grayson Coulter",G2396&lt;'00_Control'!$B$7),"",--(AF2396&lt;10))</f>
        <v/>
      </c>
      <c r="AI2396" s="35">
        <f>IF(AND(C2396="Grayson Coulter",G2396&gt;='00_Control'!$B$7),"YES","NO")</f>
        <v/>
      </c>
      <c r="AJ2396" s="33" t="inlineStr">
        <is>
          <t>OK</t>
        </is>
      </c>
    </row>
    <row r="2397">
      <c r="A2397" s="33" t="inlineStr">
        <is>
          <t>SM002393</t>
        </is>
      </c>
      <c r="B2397" s="33" t="inlineStr">
        <is>
          <t>SW014</t>
        </is>
      </c>
      <c r="C2397" s="33" t="inlineStr">
        <is>
          <t>Luke Hobson</t>
        </is>
      </c>
      <c r="D2397" s="33" t="inlineStr">
        <is>
          <t>SwimCloud</t>
        </is>
      </c>
      <c r="E2397" s="33" t="inlineStr">
        <is>
          <t>576911</t>
        </is>
      </c>
      <c r="F2397" s="33" t="inlineStr">
        <is>
          <t>126188229</t>
        </is>
      </c>
      <c r="G2397" s="51" t="n">
        <v>45429</v>
      </c>
      <c r="H2397" s="33" t="inlineStr">
        <is>
          <t>ST TXLA Longhorn Elite</t>
        </is>
      </c>
      <c r="I2397" s="33" t="inlineStr">
        <is>
          <t>274528</t>
        </is>
      </c>
      <c r="J2397" s="33" t="inlineStr"/>
      <c r="K2397" s="33" t="inlineStr">
        <is>
          <t>PRE</t>
        </is>
      </c>
      <c r="L2397" s="35">
        <f>IF(K2397="FIN",3,IF(OR(K2397="SEM",K2397="SEMI"),2,IF(OR(K2397="PRE",K2397="HEAT"),1,IF(V2397="YES",4,2))))</f>
        <v/>
      </c>
      <c r="M2397" s="33" t="inlineStr">
        <is>
          <t>LCM</t>
        </is>
      </c>
      <c r="N2397" s="33" t="n">
        <v>200</v>
      </c>
      <c r="O2397" s="33" t="inlineStr">
        <is>
          <t>Free</t>
        </is>
      </c>
      <c r="P2397" s="33" t="inlineStr">
        <is>
          <t>200 Free</t>
        </is>
      </c>
      <c r="Q2397" s="33" t="inlineStr">
        <is>
          <t>LCM_200_FREE</t>
        </is>
      </c>
      <c r="R2397" s="36" t="n">
        <v>110.88</v>
      </c>
      <c r="S2397" s="35">
        <f>IF(R2397="","",IF(R2397&gt;=60,INT(R2397/60)&amp;":"&amp;TEXT(MOD(R2397,60),"00.00"),TEXT(R2397,"0.00")))</f>
        <v/>
      </c>
      <c r="T2397" s="52">
        <f>IFERROR((G2397-INDEX('01_Swimmers'!$E$5:$E$22,MATCH(B2397,'01_Swimmers'!$A$5:$A$22,0)))/'00_Control'!$B$10,"")</f>
        <v/>
      </c>
      <c r="U2397" s="35">
        <f>IF(T2397="","",INT(T2397))</f>
        <v/>
      </c>
      <c r="V2397" s="33" t="inlineStr">
        <is>
          <t>NO</t>
        </is>
      </c>
      <c r="W2397" s="33" t="inlineStr">
        <is>
          <t>YES</t>
        </is>
      </c>
      <c r="X2397" s="33" t="inlineStr">
        <is>
          <t>NO</t>
        </is>
      </c>
      <c r="Y2397" s="33" t="n">
        <v>6</v>
      </c>
      <c r="Z2397" s="33" t="n">
        <v>4</v>
      </c>
      <c r="AA2397" s="33" t="inlineStr">
        <is>
          <t>3</t>
        </is>
      </c>
      <c r="AB2397" s="33" t="inlineStr">
        <is>
          <t>https://www.swimcloud.com/results/274528/event/12/?id=126188229#time126188229</t>
        </is>
      </c>
      <c r="AC2397" s="33" t="inlineStr">
        <is>
          <t>SwimCloud API v6 2026-10-08</t>
        </is>
      </c>
      <c r="AD2397" s="33" t="inlineStr">
        <is>
          <t>Luke Hobson|2024-05-17|LCM|200|Free|110.88|ST TXLA Longhorn Elite|PRE|False</t>
        </is>
      </c>
      <c r="AE2397" s="53">
        <f>G2397+L2397/1000+ROW()/1000000000</f>
        <v/>
      </c>
      <c r="AF2397" s="35">
        <f>IF(C2397&lt;&gt;"Grayson Coulter","",COUNTIFS($C$5:$C$2991,"Grayson Coulter",$Q$5:$Q$2991,Q2397,$AE$5:$AE$2991,"&lt;="&amp;AE2397,$R$5:$R$2991,"&lt;"&amp;R2397))</f>
        <v/>
      </c>
      <c r="AG2397" s="35">
        <f>IF(OR(C2397&lt;&gt;"Grayson Coulter",G2397&lt;'00_Control'!$B$7),"",--(AF2397&lt;5))</f>
        <v/>
      </c>
      <c r="AH2397" s="35">
        <f>IF(OR(C2397&lt;&gt;"Grayson Coulter",G2397&lt;'00_Control'!$B$7),"",--(AF2397&lt;10))</f>
        <v/>
      </c>
      <c r="AI2397" s="35">
        <f>IF(AND(C2397="Grayson Coulter",G2397&gt;='00_Control'!$B$7),"YES","NO")</f>
        <v/>
      </c>
      <c r="AJ2397" s="33" t="inlineStr">
        <is>
          <t>OK</t>
        </is>
      </c>
    </row>
    <row r="2398">
      <c r="A2398" s="33" t="inlineStr">
        <is>
          <t>SM002394</t>
        </is>
      </c>
      <c r="B2398" s="33" t="inlineStr">
        <is>
          <t>SW014</t>
        </is>
      </c>
      <c r="C2398" s="33" t="inlineStr">
        <is>
          <t>Luke Hobson</t>
        </is>
      </c>
      <c r="D2398" s="33" t="inlineStr">
        <is>
          <t>SwimCloud</t>
        </is>
      </c>
      <c r="E2398" s="33" t="inlineStr">
        <is>
          <t>576911</t>
        </is>
      </c>
      <c r="F2398" s="33" t="inlineStr">
        <is>
          <t>126188230</t>
        </is>
      </c>
      <c r="G2398" s="51" t="n">
        <v>45429</v>
      </c>
      <c r="H2398" s="33" t="inlineStr">
        <is>
          <t>ST TXLA Longhorn Elite</t>
        </is>
      </c>
      <c r="I2398" s="33" t="inlineStr">
        <is>
          <t>274528</t>
        </is>
      </c>
      <c r="J2398" s="33" t="inlineStr"/>
      <c r="K2398" s="33" t="inlineStr">
        <is>
          <t>FIN</t>
        </is>
      </c>
      <c r="L2398" s="35">
        <f>IF(K2398="FIN",3,IF(OR(K2398="SEM",K2398="SEMI"),2,IF(OR(K2398="PRE",K2398="HEAT"),1,IF(V2398="YES",4,2))))</f>
        <v/>
      </c>
      <c r="M2398" s="33" t="inlineStr">
        <is>
          <t>LCM</t>
        </is>
      </c>
      <c r="N2398" s="33" t="n">
        <v>200</v>
      </c>
      <c r="O2398" s="33" t="inlineStr">
        <is>
          <t>Free</t>
        </is>
      </c>
      <c r="P2398" s="33" t="inlineStr">
        <is>
          <t>200 Free</t>
        </is>
      </c>
      <c r="Q2398" s="33" t="inlineStr">
        <is>
          <t>LCM_200_FREE</t>
        </is>
      </c>
      <c r="R2398" s="36" t="n">
        <v>109.35</v>
      </c>
      <c r="S2398" s="35">
        <f>IF(R2398="","",IF(R2398&gt;=60,INT(R2398/60)&amp;":"&amp;TEXT(MOD(R2398,60),"00.00"),TEXT(R2398,"0.00")))</f>
        <v/>
      </c>
      <c r="T2398" s="52">
        <f>IFERROR((G2398-INDEX('01_Swimmers'!$E$5:$E$22,MATCH(B2398,'01_Swimmers'!$A$5:$A$22,0)))/'00_Control'!$B$10,"")</f>
        <v/>
      </c>
      <c r="U2398" s="35">
        <f>IF(T2398="","",INT(T2398))</f>
        <v/>
      </c>
      <c r="V2398" s="33" t="inlineStr">
        <is>
          <t>NO</t>
        </is>
      </c>
      <c r="W2398" s="33" t="inlineStr">
        <is>
          <t>YES</t>
        </is>
      </c>
      <c r="X2398" s="33" t="inlineStr">
        <is>
          <t>NO</t>
        </is>
      </c>
      <c r="Y2398" s="33" t="n">
        <v>3</v>
      </c>
      <c r="Z2398" s="33" t="n">
        <v>3</v>
      </c>
      <c r="AA2398" s="33" t="inlineStr">
        <is>
          <t>3</t>
        </is>
      </c>
      <c r="AB2398" s="33" t="inlineStr">
        <is>
          <t>https://www.swimcloud.com/results/274528/event/12/?id=126188230#time126188230</t>
        </is>
      </c>
      <c r="AC2398" s="33" t="inlineStr">
        <is>
          <t>SwimCloud API v6 2026-10-08</t>
        </is>
      </c>
      <c r="AD2398" s="33" t="inlineStr">
        <is>
          <t>Luke Hobson|2024-05-17|LCM|200|Free|109.35|ST TXLA Longhorn Elite|FIN|False</t>
        </is>
      </c>
      <c r="AE2398" s="53">
        <f>G2398+L2398/1000+ROW()/1000000000</f>
        <v/>
      </c>
      <c r="AF2398" s="35">
        <f>IF(C2398&lt;&gt;"Grayson Coulter","",COUNTIFS($C$5:$C$2991,"Grayson Coulter",$Q$5:$Q$2991,Q2398,$AE$5:$AE$2991,"&lt;="&amp;AE2398,$R$5:$R$2991,"&lt;"&amp;R2398))</f>
        <v/>
      </c>
      <c r="AG2398" s="35">
        <f>IF(OR(C2398&lt;&gt;"Grayson Coulter",G2398&lt;'00_Control'!$B$7),"",--(AF2398&lt;5))</f>
        <v/>
      </c>
      <c r="AH2398" s="35">
        <f>IF(OR(C2398&lt;&gt;"Grayson Coulter",G2398&lt;'00_Control'!$B$7),"",--(AF2398&lt;10))</f>
        <v/>
      </c>
      <c r="AI2398" s="35">
        <f>IF(AND(C2398="Grayson Coulter",G2398&gt;='00_Control'!$B$7),"YES","NO")</f>
        <v/>
      </c>
      <c r="AJ2398" s="33" t="inlineStr">
        <is>
          <t>OK</t>
        </is>
      </c>
    </row>
    <row r="2399">
      <c r="A2399" s="33" t="inlineStr">
        <is>
          <t>SM002395</t>
        </is>
      </c>
      <c r="B2399" s="33" t="inlineStr">
        <is>
          <t>SW014</t>
        </is>
      </c>
      <c r="C2399" s="33" t="inlineStr">
        <is>
          <t>Luke Hobson</t>
        </is>
      </c>
      <c r="D2399" s="33" t="inlineStr">
        <is>
          <t>SwimCloud</t>
        </is>
      </c>
      <c r="E2399" s="33" t="inlineStr">
        <is>
          <t>576911</t>
        </is>
      </c>
      <c r="F2399" s="33" t="inlineStr">
        <is>
          <t>128578431</t>
        </is>
      </c>
      <c r="G2399" s="51" t="n">
        <v>45459</v>
      </c>
      <c r="H2399" s="33" t="inlineStr">
        <is>
          <t>US Olympic Team Trials</t>
        </is>
      </c>
      <c r="I2399" s="33" t="inlineStr">
        <is>
          <t>302718</t>
        </is>
      </c>
      <c r="J2399" s="33" t="inlineStr"/>
      <c r="K2399" s="33" t="inlineStr">
        <is>
          <t>PRE</t>
        </is>
      </c>
      <c r="L2399" s="35">
        <f>IF(K2399="FIN",3,IF(OR(K2399="SEM",K2399="SEMI"),2,IF(OR(K2399="PRE",K2399="HEAT"),1,IF(V2399="YES",4,2))))</f>
        <v/>
      </c>
      <c r="M2399" s="33" t="inlineStr">
        <is>
          <t>LCM</t>
        </is>
      </c>
      <c r="N2399" s="33" t="n">
        <v>200</v>
      </c>
      <c r="O2399" s="33" t="inlineStr">
        <is>
          <t>Free</t>
        </is>
      </c>
      <c r="P2399" s="33" t="inlineStr">
        <is>
          <t>200 Free</t>
        </is>
      </c>
      <c r="Q2399" s="33" t="inlineStr">
        <is>
          <t>LCM_200_FREE</t>
        </is>
      </c>
      <c r="R2399" s="36" t="n">
        <v>105.95</v>
      </c>
      <c r="S2399" s="35">
        <f>IF(R2399="","",IF(R2399&gt;=60,INT(R2399/60)&amp;":"&amp;TEXT(MOD(R2399,60),"00.00"),TEXT(R2399,"0.00")))</f>
        <v/>
      </c>
      <c r="T2399" s="52">
        <f>IFERROR((G2399-INDEX('01_Swimmers'!$E$5:$E$22,MATCH(B2399,'01_Swimmers'!$A$5:$A$22,0)))/'00_Control'!$B$10,"")</f>
        <v/>
      </c>
      <c r="U2399" s="35">
        <f>IF(T2399="","",INT(T2399))</f>
        <v/>
      </c>
      <c r="V2399" s="33" t="inlineStr">
        <is>
          <t>NO</t>
        </is>
      </c>
      <c r="W2399" s="33" t="inlineStr">
        <is>
          <t>YES</t>
        </is>
      </c>
      <c r="X2399" s="33" t="inlineStr">
        <is>
          <t>NO</t>
        </is>
      </c>
      <c r="Y2399" s="33" t="n">
        <v>7</v>
      </c>
      <c r="Z2399" s="33" t="n">
        <v>4</v>
      </c>
      <c r="AA2399" s="33" t="inlineStr">
        <is>
          <t>1</t>
        </is>
      </c>
      <c r="AB2399" s="33" t="inlineStr">
        <is>
          <t>https://www.swimcloud.com/results/302718/event/5/?id=128578431#time128578431</t>
        </is>
      </c>
      <c r="AC2399" s="33" t="inlineStr">
        <is>
          <t>SwimCloud API v6 2026-10-08</t>
        </is>
      </c>
      <c r="AD2399" s="33" t="inlineStr">
        <is>
          <t>Luke Hobson|2024-06-16|LCM|200|Free|105.95|US Olympic Team Trials|PRE|False</t>
        </is>
      </c>
      <c r="AE2399" s="53">
        <f>G2399+L2399/1000+ROW()/1000000000</f>
        <v/>
      </c>
      <c r="AF2399" s="35">
        <f>IF(C2399&lt;&gt;"Grayson Coulter","",COUNTIFS($C$5:$C$2991,"Grayson Coulter",$Q$5:$Q$2991,Q2399,$AE$5:$AE$2991,"&lt;="&amp;AE2399,$R$5:$R$2991,"&lt;"&amp;R2399))</f>
        <v/>
      </c>
      <c r="AG2399" s="35">
        <f>IF(OR(C2399&lt;&gt;"Grayson Coulter",G2399&lt;'00_Control'!$B$7),"",--(AF2399&lt;5))</f>
        <v/>
      </c>
      <c r="AH2399" s="35">
        <f>IF(OR(C2399&lt;&gt;"Grayson Coulter",G2399&lt;'00_Control'!$B$7),"",--(AF2399&lt;10))</f>
        <v/>
      </c>
      <c r="AI2399" s="35">
        <f>IF(AND(C2399="Grayson Coulter",G2399&gt;='00_Control'!$B$7),"YES","NO")</f>
        <v/>
      </c>
      <c r="AJ2399" s="33" t="inlineStr">
        <is>
          <t>OK</t>
        </is>
      </c>
    </row>
    <row r="2400">
      <c r="A2400" s="33" t="inlineStr">
        <is>
          <t>SM002396</t>
        </is>
      </c>
      <c r="B2400" s="33" t="inlineStr">
        <is>
          <t>SW014</t>
        </is>
      </c>
      <c r="C2400" s="33" t="inlineStr">
        <is>
          <t>Luke Hobson</t>
        </is>
      </c>
      <c r="D2400" s="33" t="inlineStr">
        <is>
          <t>SwimCloud</t>
        </is>
      </c>
      <c r="E2400" s="33" t="inlineStr">
        <is>
          <t>576911</t>
        </is>
      </c>
      <c r="F2400" s="33" t="inlineStr">
        <is>
          <t>128578432</t>
        </is>
      </c>
      <c r="G2400" s="51" t="n">
        <v>45459</v>
      </c>
      <c r="H2400" s="33" t="inlineStr">
        <is>
          <t>US Olympic Team Trials</t>
        </is>
      </c>
      <c r="I2400" s="33" t="inlineStr">
        <is>
          <t>302718</t>
        </is>
      </c>
      <c r="J2400" s="33" t="inlineStr"/>
      <c r="K2400" s="33" t="inlineStr">
        <is>
          <t>SEM</t>
        </is>
      </c>
      <c r="L2400" s="35">
        <f>IF(K2400="FIN",3,IF(OR(K2400="SEM",K2400="SEMI"),2,IF(OR(K2400="PRE",K2400="HEAT"),1,IF(V2400="YES",4,2))))</f>
        <v/>
      </c>
      <c r="M2400" s="33" t="inlineStr">
        <is>
          <t>LCM</t>
        </is>
      </c>
      <c r="N2400" s="33" t="n">
        <v>200</v>
      </c>
      <c r="O2400" s="33" t="inlineStr">
        <is>
          <t>Free</t>
        </is>
      </c>
      <c r="P2400" s="33" t="inlineStr">
        <is>
          <t>200 Free</t>
        </is>
      </c>
      <c r="Q2400" s="33" t="inlineStr">
        <is>
          <t>LCM_200_FREE</t>
        </is>
      </c>
      <c r="R2400" s="36" t="n">
        <v>105.58</v>
      </c>
      <c r="S2400" s="35">
        <f>IF(R2400="","",IF(R2400&gt;=60,INT(R2400/60)&amp;":"&amp;TEXT(MOD(R2400,60),"00.00"),TEXT(R2400,"0.00")))</f>
        <v/>
      </c>
      <c r="T2400" s="52">
        <f>IFERROR((G2400-INDEX('01_Swimmers'!$E$5:$E$22,MATCH(B2400,'01_Swimmers'!$A$5:$A$22,0)))/'00_Control'!$B$10,"")</f>
        <v/>
      </c>
      <c r="U2400" s="35">
        <f>IF(T2400="","",INT(T2400))</f>
        <v/>
      </c>
      <c r="V2400" s="33" t="inlineStr">
        <is>
          <t>NO</t>
        </is>
      </c>
      <c r="W2400" s="33" t="inlineStr">
        <is>
          <t>YES</t>
        </is>
      </c>
      <c r="X2400" s="33" t="inlineStr">
        <is>
          <t>NO</t>
        </is>
      </c>
      <c r="Y2400" s="33" t="n">
        <v>2</v>
      </c>
      <c r="Z2400" s="33" t="n">
        <v>4</v>
      </c>
      <c r="AA2400" s="33" t="inlineStr">
        <is>
          <t>2</t>
        </is>
      </c>
      <c r="AB2400" s="33" t="inlineStr">
        <is>
          <t>https://www.swimcloud.com/results/302718/event/5/?id=128578432#time128578432</t>
        </is>
      </c>
      <c r="AC2400" s="33" t="inlineStr">
        <is>
          <t>SwimCloud API v6 2026-10-08</t>
        </is>
      </c>
      <c r="AD2400" s="33" t="inlineStr">
        <is>
          <t>Luke Hobson|2024-06-16|LCM|200|Free|105.58|US Olympic Team Trials|SEM|False</t>
        </is>
      </c>
      <c r="AE2400" s="53">
        <f>G2400+L2400/1000+ROW()/1000000000</f>
        <v/>
      </c>
      <c r="AF2400" s="35">
        <f>IF(C2400&lt;&gt;"Grayson Coulter","",COUNTIFS($C$5:$C$2991,"Grayson Coulter",$Q$5:$Q$2991,Q2400,$AE$5:$AE$2991,"&lt;="&amp;AE2400,$R$5:$R$2991,"&lt;"&amp;R2400))</f>
        <v/>
      </c>
      <c r="AG2400" s="35">
        <f>IF(OR(C2400&lt;&gt;"Grayson Coulter",G2400&lt;'00_Control'!$B$7),"",--(AF2400&lt;5))</f>
        <v/>
      </c>
      <c r="AH2400" s="35">
        <f>IF(OR(C2400&lt;&gt;"Grayson Coulter",G2400&lt;'00_Control'!$B$7),"",--(AF2400&lt;10))</f>
        <v/>
      </c>
      <c r="AI2400" s="35">
        <f>IF(AND(C2400="Grayson Coulter",G2400&gt;='00_Control'!$B$7),"YES","NO")</f>
        <v/>
      </c>
      <c r="AJ2400" s="33" t="inlineStr">
        <is>
          <t>OK</t>
        </is>
      </c>
    </row>
    <row r="2401">
      <c r="A2401" s="33" t="inlineStr">
        <is>
          <t>SM002397</t>
        </is>
      </c>
      <c r="B2401" s="33" t="inlineStr">
        <is>
          <t>SW014</t>
        </is>
      </c>
      <c r="C2401" s="33" t="inlineStr">
        <is>
          <t>Luke Hobson</t>
        </is>
      </c>
      <c r="D2401" s="33" t="inlineStr">
        <is>
          <t>SwimCloud</t>
        </is>
      </c>
      <c r="E2401" s="33" t="inlineStr">
        <is>
          <t>576911</t>
        </is>
      </c>
      <c r="F2401" s="33" t="inlineStr">
        <is>
          <t>128578430</t>
        </is>
      </c>
      <c r="G2401" s="51" t="n">
        <v>45460</v>
      </c>
      <c r="H2401" s="33" t="inlineStr">
        <is>
          <t>US Olympic Team Trials</t>
        </is>
      </c>
      <c r="I2401" s="33" t="inlineStr">
        <is>
          <t>302718</t>
        </is>
      </c>
      <c r="J2401" s="33" t="inlineStr"/>
      <c r="K2401" s="33" t="inlineStr">
        <is>
          <t>FIN</t>
        </is>
      </c>
      <c r="L2401" s="35">
        <f>IF(K2401="FIN",3,IF(OR(K2401="SEM",K2401="SEMI"),2,IF(OR(K2401="PRE",K2401="HEAT"),1,IF(V2401="YES",4,2))))</f>
        <v/>
      </c>
      <c r="M2401" s="33" t="inlineStr">
        <is>
          <t>LCM</t>
        </is>
      </c>
      <c r="N2401" s="33" t="n">
        <v>200</v>
      </c>
      <c r="O2401" s="33" t="inlineStr">
        <is>
          <t>Free</t>
        </is>
      </c>
      <c r="P2401" s="33" t="inlineStr">
        <is>
          <t>200 Free</t>
        </is>
      </c>
      <c r="Q2401" s="33" t="inlineStr">
        <is>
          <t>LCM_200_FREE</t>
        </is>
      </c>
      <c r="R2401" s="36" t="n">
        <v>104.89</v>
      </c>
      <c r="S2401" s="35">
        <f>IF(R2401="","",IF(R2401&gt;=60,INT(R2401/60)&amp;":"&amp;TEXT(MOD(R2401,60),"00.00"),TEXT(R2401,"0.00")))</f>
        <v/>
      </c>
      <c r="T2401" s="52">
        <f>IFERROR((G2401-INDEX('01_Swimmers'!$E$5:$E$22,MATCH(B2401,'01_Swimmers'!$A$5:$A$22,0)))/'00_Control'!$B$10,"")</f>
        <v/>
      </c>
      <c r="U2401" s="35">
        <f>IF(T2401="","",INT(T2401))</f>
        <v/>
      </c>
      <c r="V2401" s="33" t="inlineStr">
        <is>
          <t>NO</t>
        </is>
      </c>
      <c r="W2401" s="33" t="inlineStr">
        <is>
          <t>YES</t>
        </is>
      </c>
      <c r="X2401" s="33" t="inlineStr">
        <is>
          <t>NO</t>
        </is>
      </c>
      <c r="Y2401" s="33" t="n">
        <v>1</v>
      </c>
      <c r="Z2401" s="33" t="n">
        <v>5</v>
      </c>
      <c r="AA2401" s="33" t="inlineStr">
        <is>
          <t>1</t>
        </is>
      </c>
      <c r="AB2401" s="33" t="inlineStr">
        <is>
          <t>https://www.swimcloud.com/results/302718/event/5/?id=128578430#time128578430</t>
        </is>
      </c>
      <c r="AC2401" s="33" t="inlineStr">
        <is>
          <t>SwimCloud API v6 2026-10-08</t>
        </is>
      </c>
      <c r="AD2401" s="33" t="inlineStr">
        <is>
          <t>Luke Hobson|2024-06-17|LCM|200|Free|104.89|US Olympic Team Trials|FIN|False</t>
        </is>
      </c>
      <c r="AE2401" s="53">
        <f>G2401+L2401/1000+ROW()/1000000000</f>
        <v/>
      </c>
      <c r="AF2401" s="35">
        <f>IF(C2401&lt;&gt;"Grayson Coulter","",COUNTIFS($C$5:$C$2991,"Grayson Coulter",$Q$5:$Q$2991,Q2401,$AE$5:$AE$2991,"&lt;="&amp;AE2401,$R$5:$R$2991,"&lt;"&amp;R2401))</f>
        <v/>
      </c>
      <c r="AG2401" s="35">
        <f>IF(OR(C2401&lt;&gt;"Grayson Coulter",G2401&lt;'00_Control'!$B$7),"",--(AF2401&lt;5))</f>
        <v/>
      </c>
      <c r="AH2401" s="35">
        <f>IF(OR(C2401&lt;&gt;"Grayson Coulter",G2401&lt;'00_Control'!$B$7),"",--(AF2401&lt;10))</f>
        <v/>
      </c>
      <c r="AI2401" s="35">
        <f>IF(AND(C2401="Grayson Coulter",G2401&gt;='00_Control'!$B$7),"YES","NO")</f>
        <v/>
      </c>
      <c r="AJ2401" s="33" t="inlineStr">
        <is>
          <t>OK</t>
        </is>
      </c>
    </row>
    <row r="2402">
      <c r="A2402" s="33" t="inlineStr">
        <is>
          <t>SM002398</t>
        </is>
      </c>
      <c r="B2402" s="33" t="inlineStr">
        <is>
          <t>SW014</t>
        </is>
      </c>
      <c r="C2402" s="33" t="inlineStr">
        <is>
          <t>Luke Hobson</t>
        </is>
      </c>
      <c r="D2402" s="33" t="inlineStr">
        <is>
          <t>SwimCloud</t>
        </is>
      </c>
      <c r="E2402" s="33" t="inlineStr">
        <is>
          <t>576911</t>
        </is>
      </c>
      <c r="F2402" s="33" t="inlineStr">
        <is>
          <t>128578429</t>
        </is>
      </c>
      <c r="G2402" s="51" t="n">
        <v>45461</v>
      </c>
      <c r="H2402" s="33" t="inlineStr">
        <is>
          <t>US Olympic Team Trials</t>
        </is>
      </c>
      <c r="I2402" s="33" t="inlineStr">
        <is>
          <t>302718</t>
        </is>
      </c>
      <c r="J2402" s="33" t="inlineStr"/>
      <c r="K2402" s="33" t="inlineStr">
        <is>
          <t>PRE</t>
        </is>
      </c>
      <c r="L2402" s="35">
        <f>IF(K2402="FIN",3,IF(OR(K2402="SEM",K2402="SEMI"),2,IF(OR(K2402="PRE",K2402="HEAT"),1,IF(V2402="YES",4,2))))</f>
        <v/>
      </c>
      <c r="M2402" s="33" t="inlineStr">
        <is>
          <t>LCM</t>
        </is>
      </c>
      <c r="N2402" s="33" t="n">
        <v>100</v>
      </c>
      <c r="O2402" s="33" t="inlineStr">
        <is>
          <t>Free</t>
        </is>
      </c>
      <c r="P2402" s="33" t="inlineStr">
        <is>
          <t>100 Free</t>
        </is>
      </c>
      <c r="Q2402" s="33" t="inlineStr">
        <is>
          <t>LCM_100_FREE</t>
        </is>
      </c>
      <c r="R2402" s="36" t="n">
        <v>48.98</v>
      </c>
      <c r="S2402" s="35">
        <f>IF(R2402="","",IF(R2402&gt;=60,INT(R2402/60)&amp;":"&amp;TEXT(MOD(R2402,60),"00.00"),TEXT(R2402,"0.00")))</f>
        <v/>
      </c>
      <c r="T2402" s="52">
        <f>IFERROR((G2402-INDEX('01_Swimmers'!$E$5:$E$22,MATCH(B2402,'01_Swimmers'!$A$5:$A$22,0)))/'00_Control'!$B$10,"")</f>
        <v/>
      </c>
      <c r="U2402" s="35">
        <f>IF(T2402="","",INT(T2402))</f>
        <v/>
      </c>
      <c r="V2402" s="33" t="inlineStr">
        <is>
          <t>NO</t>
        </is>
      </c>
      <c r="W2402" s="33" t="inlineStr">
        <is>
          <t>YES</t>
        </is>
      </c>
      <c r="X2402" s="33" t="inlineStr">
        <is>
          <t>NO</t>
        </is>
      </c>
      <c r="Y2402" s="33" t="n">
        <v>7</v>
      </c>
      <c r="Z2402" s="33" t="n">
        <v>2</v>
      </c>
      <c r="AA2402" s="33" t="inlineStr">
        <is>
          <t>20</t>
        </is>
      </c>
      <c r="AB2402" s="33" t="inlineStr">
        <is>
          <t>https://www.swimcloud.com/results/302718/event/14/?id=128578429#time128578429</t>
        </is>
      </c>
      <c r="AC2402" s="33" t="inlineStr">
        <is>
          <t>SwimCloud API v6 2026-10-08</t>
        </is>
      </c>
      <c r="AD2402" s="33" t="inlineStr">
        <is>
          <t>Luke Hobson|2024-06-18|LCM|100|Free|48.98|US Olympic Team Trials|PRE|False</t>
        </is>
      </c>
      <c r="AE2402" s="53">
        <f>G2402+L2402/1000+ROW()/1000000000</f>
        <v/>
      </c>
      <c r="AF2402" s="35">
        <f>IF(C2402&lt;&gt;"Grayson Coulter","",COUNTIFS($C$5:$C$2991,"Grayson Coulter",$Q$5:$Q$2991,Q2402,$AE$5:$AE$2991,"&lt;="&amp;AE2402,$R$5:$R$2991,"&lt;"&amp;R2402))</f>
        <v/>
      </c>
      <c r="AG2402" s="35">
        <f>IF(OR(C2402&lt;&gt;"Grayson Coulter",G2402&lt;'00_Control'!$B$7),"",--(AF2402&lt;5))</f>
        <v/>
      </c>
      <c r="AH2402" s="35">
        <f>IF(OR(C2402&lt;&gt;"Grayson Coulter",G2402&lt;'00_Control'!$B$7),"",--(AF2402&lt;10))</f>
        <v/>
      </c>
      <c r="AI2402" s="35">
        <f>IF(AND(C2402="Grayson Coulter",G2402&gt;='00_Control'!$B$7),"YES","NO")</f>
        <v/>
      </c>
      <c r="AJ2402" s="33" t="inlineStr">
        <is>
          <t>OK</t>
        </is>
      </c>
    </row>
    <row r="2403">
      <c r="A2403" s="33" t="inlineStr">
        <is>
          <t>SM002399</t>
        </is>
      </c>
      <c r="B2403" s="33" t="inlineStr">
        <is>
          <t>SW014</t>
        </is>
      </c>
      <c r="C2403" s="33" t="inlineStr">
        <is>
          <t>Luke Hobson</t>
        </is>
      </c>
      <c r="D2403" s="33" t="inlineStr">
        <is>
          <t>SwimCloud</t>
        </is>
      </c>
      <c r="E2403" s="33" t="inlineStr">
        <is>
          <t>576911</t>
        </is>
      </c>
      <c r="F2403" s="33" t="inlineStr">
        <is>
          <t>130573565</t>
        </is>
      </c>
      <c r="G2403" s="51" t="n">
        <v>45500</v>
      </c>
      <c r="H2403" s="33" t="inlineStr">
        <is>
          <t>Olympic Games</t>
        </is>
      </c>
      <c r="I2403" s="33" t="inlineStr">
        <is>
          <t>2424</t>
        </is>
      </c>
      <c r="J2403" s="33" t="inlineStr"/>
      <c r="K2403" s="33" t="inlineStr">
        <is>
          <t>PRE</t>
        </is>
      </c>
      <c r="L2403" s="35">
        <f>IF(K2403="FIN",3,IF(OR(K2403="SEM",K2403="SEMI"),2,IF(OR(K2403="PRE",K2403="HEAT"),1,IF(V2403="YES",4,2))))</f>
        <v/>
      </c>
      <c r="M2403" s="33" t="inlineStr">
        <is>
          <t>LCM</t>
        </is>
      </c>
      <c r="N2403" s="33" t="n">
        <v>200</v>
      </c>
      <c r="O2403" s="33" t="inlineStr">
        <is>
          <t>Free</t>
        </is>
      </c>
      <c r="P2403" s="33" t="inlineStr">
        <is>
          <t>200 Free</t>
        </is>
      </c>
      <c r="Q2403" s="33" t="inlineStr">
        <is>
          <t>LCM_200_FREE</t>
        </is>
      </c>
      <c r="R2403" s="36" t="n">
        <v>106.23</v>
      </c>
      <c r="S2403" s="35">
        <f>IF(R2403="","",IF(R2403&gt;=60,INT(R2403/60)&amp;":"&amp;TEXT(MOD(R2403,60),"00.00"),TEXT(R2403,"0.00")))</f>
        <v/>
      </c>
      <c r="T2403" s="52">
        <f>IFERROR((G2403-INDEX('01_Swimmers'!$E$5:$E$22,MATCH(B2403,'01_Swimmers'!$A$5:$A$22,0)))/'00_Control'!$B$10,"")</f>
        <v/>
      </c>
      <c r="U2403" s="35">
        <f>IF(T2403="","",INT(T2403))</f>
        <v/>
      </c>
      <c r="V2403" s="33" t="inlineStr">
        <is>
          <t>NO</t>
        </is>
      </c>
      <c r="W2403" s="33" t="inlineStr">
        <is>
          <t>YES</t>
        </is>
      </c>
      <c r="X2403" s="33" t="inlineStr">
        <is>
          <t>NO</t>
        </is>
      </c>
      <c r="Y2403" s="33" t="n">
        <v>1</v>
      </c>
      <c r="Z2403" s="33" t="n">
        <v>8</v>
      </c>
      <c r="AA2403" s="33" t="inlineStr">
        <is>
          <t>7</t>
        </is>
      </c>
      <c r="AB2403" s="33" t="inlineStr">
        <is>
          <t>https://www.swimcloud.com/results/2424/event/106/?id=130573565#time130573565</t>
        </is>
      </c>
      <c r="AC2403" s="33" t="inlineStr">
        <is>
          <t>SwimCloud API v6 2026-10-08</t>
        </is>
      </c>
      <c r="AD2403" s="33" t="inlineStr">
        <is>
          <t>Luke Hobson|2024-07-27|LCM|200|Free|106.23|Olympic Games|PRE|False</t>
        </is>
      </c>
      <c r="AE2403" s="53">
        <f>G2403+L2403/1000+ROW()/1000000000</f>
        <v/>
      </c>
      <c r="AF2403" s="35">
        <f>IF(C2403&lt;&gt;"Grayson Coulter","",COUNTIFS($C$5:$C$2991,"Grayson Coulter",$Q$5:$Q$2991,Q2403,$AE$5:$AE$2991,"&lt;="&amp;AE2403,$R$5:$R$2991,"&lt;"&amp;R2403))</f>
        <v/>
      </c>
      <c r="AG2403" s="35">
        <f>IF(OR(C2403&lt;&gt;"Grayson Coulter",G2403&lt;'00_Control'!$B$7),"",--(AF2403&lt;5))</f>
        <v/>
      </c>
      <c r="AH2403" s="35">
        <f>IF(OR(C2403&lt;&gt;"Grayson Coulter",G2403&lt;'00_Control'!$B$7),"",--(AF2403&lt;10))</f>
        <v/>
      </c>
      <c r="AI2403" s="35">
        <f>IF(AND(C2403="Grayson Coulter",G2403&gt;='00_Control'!$B$7),"YES","NO")</f>
        <v/>
      </c>
      <c r="AJ2403" s="33" t="inlineStr">
        <is>
          <t>OK</t>
        </is>
      </c>
    </row>
    <row r="2404">
      <c r="A2404" s="33" t="inlineStr">
        <is>
          <t>SM002400</t>
        </is>
      </c>
      <c r="B2404" s="33" t="inlineStr">
        <is>
          <t>SW014</t>
        </is>
      </c>
      <c r="C2404" s="33" t="inlineStr">
        <is>
          <t>Luke Hobson</t>
        </is>
      </c>
      <c r="D2404" s="33" t="inlineStr">
        <is>
          <t>SwimCloud</t>
        </is>
      </c>
      <c r="E2404" s="33" t="inlineStr">
        <is>
          <t>576911</t>
        </is>
      </c>
      <c r="F2404" s="33" t="inlineStr">
        <is>
          <t>130574605</t>
        </is>
      </c>
      <c r="G2404" s="51" t="n">
        <v>45500</v>
      </c>
      <c r="H2404" s="33" t="inlineStr">
        <is>
          <t>Olympic Games</t>
        </is>
      </c>
      <c r="I2404" s="33" t="inlineStr">
        <is>
          <t>2424</t>
        </is>
      </c>
      <c r="J2404" s="33" t="inlineStr"/>
      <c r="K2404" s="33" t="inlineStr">
        <is>
          <t>SEM</t>
        </is>
      </c>
      <c r="L2404" s="35">
        <f>IF(K2404="FIN",3,IF(OR(K2404="SEM",K2404="SEMI"),2,IF(OR(K2404="PRE",K2404="HEAT"),1,IF(V2404="YES",4,2))))</f>
        <v/>
      </c>
      <c r="M2404" s="33" t="inlineStr">
        <is>
          <t>LCM</t>
        </is>
      </c>
      <c r="N2404" s="33" t="n">
        <v>200</v>
      </c>
      <c r="O2404" s="33" t="inlineStr">
        <is>
          <t>Free</t>
        </is>
      </c>
      <c r="P2404" s="33" t="inlineStr">
        <is>
          <t>200 Free</t>
        </is>
      </c>
      <c r="Q2404" s="33" t="inlineStr">
        <is>
          <t>LCM_200_FREE</t>
        </is>
      </c>
      <c r="R2404" s="36" t="n">
        <v>105.19</v>
      </c>
      <c r="S2404" s="35">
        <f>IF(R2404="","",IF(R2404&gt;=60,INT(R2404/60)&amp;":"&amp;TEXT(MOD(R2404,60),"00.00"),TEXT(R2404,"0.00")))</f>
        <v/>
      </c>
      <c r="T2404" s="52">
        <f>IFERROR((G2404-INDEX('01_Swimmers'!$E$5:$E$22,MATCH(B2404,'01_Swimmers'!$A$5:$A$22,0)))/'00_Control'!$B$10,"")</f>
        <v/>
      </c>
      <c r="U2404" s="35">
        <f>IF(T2404="","",INT(T2404))</f>
        <v/>
      </c>
      <c r="V2404" s="33" t="inlineStr">
        <is>
          <t>NO</t>
        </is>
      </c>
      <c r="W2404" s="33" t="inlineStr">
        <is>
          <t>YES</t>
        </is>
      </c>
      <c r="X2404" s="33" t="inlineStr">
        <is>
          <t>NO</t>
        </is>
      </c>
      <c r="Y2404" s="33" t="n">
        <v>2</v>
      </c>
      <c r="Z2404" s="33" t="n">
        <v>1</v>
      </c>
      <c r="AA2404" s="33" t="inlineStr">
        <is>
          <t>3</t>
        </is>
      </c>
      <c r="AB2404" s="33" t="inlineStr">
        <is>
          <t>https://www.swimcloud.com/results/2424/event/106/?id=130574605#time130574605</t>
        </is>
      </c>
      <c r="AC2404" s="33" t="inlineStr">
        <is>
          <t>SwimCloud API v6 2026-10-08</t>
        </is>
      </c>
      <c r="AD2404" s="33" t="inlineStr">
        <is>
          <t>Luke Hobson|2024-07-27|LCM|200|Free|105.19|Olympic Games|SEM|False</t>
        </is>
      </c>
      <c r="AE2404" s="53">
        <f>G2404+L2404/1000+ROW()/1000000000</f>
        <v/>
      </c>
      <c r="AF2404" s="35">
        <f>IF(C2404&lt;&gt;"Grayson Coulter","",COUNTIFS($C$5:$C$2991,"Grayson Coulter",$Q$5:$Q$2991,Q2404,$AE$5:$AE$2991,"&lt;="&amp;AE2404,$R$5:$R$2991,"&lt;"&amp;R2404))</f>
        <v/>
      </c>
      <c r="AG2404" s="35">
        <f>IF(OR(C2404&lt;&gt;"Grayson Coulter",G2404&lt;'00_Control'!$B$7),"",--(AF2404&lt;5))</f>
        <v/>
      </c>
      <c r="AH2404" s="35">
        <f>IF(OR(C2404&lt;&gt;"Grayson Coulter",G2404&lt;'00_Control'!$B$7),"",--(AF2404&lt;10))</f>
        <v/>
      </c>
      <c r="AI2404" s="35">
        <f>IF(AND(C2404="Grayson Coulter",G2404&gt;='00_Control'!$B$7),"YES","NO")</f>
        <v/>
      </c>
      <c r="AJ2404" s="33" t="inlineStr">
        <is>
          <t>OK</t>
        </is>
      </c>
    </row>
    <row r="2405">
      <c r="A2405" s="33" t="inlineStr">
        <is>
          <t>SM002401</t>
        </is>
      </c>
      <c r="B2405" s="33" t="inlineStr">
        <is>
          <t>SW014</t>
        </is>
      </c>
      <c r="C2405" s="33" t="inlineStr">
        <is>
          <t>Luke Hobson</t>
        </is>
      </c>
      <c r="D2405" s="33" t="inlineStr">
        <is>
          <t>SwimCloud</t>
        </is>
      </c>
      <c r="E2405" s="33" t="inlineStr">
        <is>
          <t>576911</t>
        </is>
      </c>
      <c r="F2405" s="33" t="inlineStr">
        <is>
          <t>130574618</t>
        </is>
      </c>
      <c r="G2405" s="51" t="n">
        <v>45500</v>
      </c>
      <c r="H2405" s="33" t="inlineStr">
        <is>
          <t>Olympic Games</t>
        </is>
      </c>
      <c r="I2405" s="33" t="inlineStr">
        <is>
          <t>2424</t>
        </is>
      </c>
      <c r="J2405" s="33" t="inlineStr"/>
      <c r="K2405" s="33" t="inlineStr">
        <is>
          <t>FIN</t>
        </is>
      </c>
      <c r="L2405" s="35">
        <f>IF(K2405="FIN",3,IF(OR(K2405="SEM",K2405="SEMI"),2,IF(OR(K2405="PRE",K2405="HEAT"),1,IF(V2405="YES",4,2))))</f>
        <v/>
      </c>
      <c r="M2405" s="33" t="inlineStr">
        <is>
          <t>LCM</t>
        </is>
      </c>
      <c r="N2405" s="33" t="n">
        <v>200</v>
      </c>
      <c r="O2405" s="33" t="inlineStr">
        <is>
          <t>Free</t>
        </is>
      </c>
      <c r="P2405" s="33" t="inlineStr">
        <is>
          <t>200 Free</t>
        </is>
      </c>
      <c r="Q2405" s="33" t="inlineStr">
        <is>
          <t>LCM_200_FREE</t>
        </is>
      </c>
      <c r="R2405" s="36" t="n">
        <v>104.79</v>
      </c>
      <c r="S2405" s="35">
        <f>IF(R2405="","",IF(R2405&gt;=60,INT(R2405/60)&amp;":"&amp;TEXT(MOD(R2405,60),"00.00"),TEXT(R2405,"0.00")))</f>
        <v/>
      </c>
      <c r="T2405" s="52">
        <f>IFERROR((G2405-INDEX('01_Swimmers'!$E$5:$E$22,MATCH(B2405,'01_Swimmers'!$A$5:$A$22,0)))/'00_Control'!$B$10,"")</f>
        <v/>
      </c>
      <c r="U2405" s="35">
        <f>IF(T2405="","",INT(T2405))</f>
        <v/>
      </c>
      <c r="V2405" s="33" t="inlineStr">
        <is>
          <t>NO</t>
        </is>
      </c>
      <c r="W2405" s="33" t="inlineStr">
        <is>
          <t>YES</t>
        </is>
      </c>
      <c r="X2405" s="33" t="inlineStr">
        <is>
          <t>NO</t>
        </is>
      </c>
      <c r="Y2405" s="33" t="n">
        <v>1</v>
      </c>
      <c r="Z2405" s="33" t="n">
        <v>3</v>
      </c>
      <c r="AA2405" s="33" t="inlineStr">
        <is>
          <t>3</t>
        </is>
      </c>
      <c r="AB2405" s="33" t="inlineStr">
        <is>
          <t>https://www.swimcloud.com/results/2424/event/106/?id=130574618#time130574618</t>
        </is>
      </c>
      <c r="AC2405" s="33" t="inlineStr">
        <is>
          <t>SwimCloud API v6 2026-10-08</t>
        </is>
      </c>
      <c r="AD2405" s="33" t="inlineStr">
        <is>
          <t>Luke Hobson|2024-07-27|LCM|200|Free|104.79|Olympic Games|FIN|False</t>
        </is>
      </c>
      <c r="AE2405" s="53">
        <f>G2405+L2405/1000+ROW()/1000000000</f>
        <v/>
      </c>
      <c r="AF2405" s="35">
        <f>IF(C2405&lt;&gt;"Grayson Coulter","",COUNTIFS($C$5:$C$2991,"Grayson Coulter",$Q$5:$Q$2991,Q2405,$AE$5:$AE$2991,"&lt;="&amp;AE2405,$R$5:$R$2991,"&lt;"&amp;R2405))</f>
        <v/>
      </c>
      <c r="AG2405" s="35">
        <f>IF(OR(C2405&lt;&gt;"Grayson Coulter",G2405&lt;'00_Control'!$B$7),"",--(AF2405&lt;5))</f>
        <v/>
      </c>
      <c r="AH2405" s="35">
        <f>IF(OR(C2405&lt;&gt;"Grayson Coulter",G2405&lt;'00_Control'!$B$7),"",--(AF2405&lt;10))</f>
        <v/>
      </c>
      <c r="AI2405" s="35">
        <f>IF(AND(C2405="Grayson Coulter",G2405&gt;='00_Control'!$B$7),"YES","NO")</f>
        <v/>
      </c>
      <c r="AJ2405" s="33" t="inlineStr">
        <is>
          <t>OK</t>
        </is>
      </c>
    </row>
    <row r="2406">
      <c r="A2406" s="33" t="inlineStr">
        <is>
          <t>SM002402</t>
        </is>
      </c>
      <c r="B2406" s="33" t="inlineStr">
        <is>
          <t>SW014</t>
        </is>
      </c>
      <c r="C2406" s="33" t="inlineStr">
        <is>
          <t>Luke Hobson</t>
        </is>
      </c>
      <c r="D2406" s="33" t="inlineStr">
        <is>
          <t>SwimCloud</t>
        </is>
      </c>
      <c r="E2406" s="33" t="inlineStr">
        <is>
          <t>576911</t>
        </is>
      </c>
      <c r="F2406" s="33" t="inlineStr">
        <is>
          <t>130624621</t>
        </is>
      </c>
      <c r="G2406" s="51" t="n">
        <v>45500</v>
      </c>
      <c r="H2406" s="33" t="inlineStr">
        <is>
          <t>Olympic Games</t>
        </is>
      </c>
      <c r="I2406" s="33" t="inlineStr">
        <is>
          <t>2424</t>
        </is>
      </c>
      <c r="J2406" s="33" t="inlineStr"/>
      <c r="K2406" s="33" t="inlineStr">
        <is>
          <t>FIN</t>
        </is>
      </c>
      <c r="L2406" s="35">
        <f>IF(K2406="FIN",3,IF(OR(K2406="SEM",K2406="SEMI"),2,IF(OR(K2406="PRE",K2406="HEAT"),1,IF(V2406="YES",4,2))))</f>
        <v/>
      </c>
      <c r="M2406" s="33" t="inlineStr">
        <is>
          <t>LCM</t>
        </is>
      </c>
      <c r="N2406" s="33" t="n">
        <v>200</v>
      </c>
      <c r="O2406" s="33" t="inlineStr">
        <is>
          <t>Free</t>
        </is>
      </c>
      <c r="P2406" s="33" t="inlineStr">
        <is>
          <t>200 Free</t>
        </is>
      </c>
      <c r="Q2406" s="33" t="inlineStr">
        <is>
          <t>LCM_200_FREE</t>
        </is>
      </c>
      <c r="R2406" s="36" t="n">
        <v>105.55</v>
      </c>
      <c r="S2406" s="35">
        <f>IF(R2406="","",IF(R2406&gt;=60,INT(R2406/60)&amp;":"&amp;TEXT(MOD(R2406,60),"00.00"),TEXT(R2406,"0.00")))</f>
        <v/>
      </c>
      <c r="T2406" s="52">
        <f>IFERROR((G2406-INDEX('01_Swimmers'!$E$5:$E$22,MATCH(B2406,'01_Swimmers'!$A$5:$A$22,0)))/'00_Control'!$B$10,"")</f>
        <v/>
      </c>
      <c r="U2406" s="35">
        <f>IF(T2406="","",INT(T2406))</f>
        <v/>
      </c>
      <c r="V2406" s="33" t="inlineStr">
        <is>
          <t>YES</t>
        </is>
      </c>
      <c r="W2406" s="33" t="inlineStr">
        <is>
          <t>YES</t>
        </is>
      </c>
      <c r="X2406" s="33" t="inlineStr">
        <is>
          <t>NO</t>
        </is>
      </c>
      <c r="Y2406" s="33" t="n">
        <v>2</v>
      </c>
      <c r="Z2406" s="33" t="n">
        <v>5</v>
      </c>
      <c r="AA2406" s="33" t="inlineStr"/>
      <c r="AB2406" s="33" t="inlineStr">
        <is>
          <t>https://www.swimcloud.com/results/2424/event/604/?id=130624565#time130624565</t>
        </is>
      </c>
      <c r="AC2406" s="33" t="inlineStr">
        <is>
          <t>SwimCloud API v6 2026-10-08</t>
        </is>
      </c>
      <c r="AD2406" s="33" t="inlineStr">
        <is>
          <t>Luke Hobson|2024-07-27|LCM|200|Free|105.55|Olympic Games|FIN|True</t>
        </is>
      </c>
      <c r="AE2406" s="53">
        <f>G2406+L2406/1000+ROW()/1000000000</f>
        <v/>
      </c>
      <c r="AF2406" s="35">
        <f>IF(C2406&lt;&gt;"Grayson Coulter","",COUNTIFS($C$5:$C$2991,"Grayson Coulter",$Q$5:$Q$2991,Q2406,$AE$5:$AE$2991,"&lt;="&amp;AE2406,$R$5:$R$2991,"&lt;"&amp;R2406))</f>
        <v/>
      </c>
      <c r="AG2406" s="35">
        <f>IF(OR(C2406&lt;&gt;"Grayson Coulter",G2406&lt;'00_Control'!$B$7),"",--(AF2406&lt;5))</f>
        <v/>
      </c>
      <c r="AH2406" s="35">
        <f>IF(OR(C2406&lt;&gt;"Grayson Coulter",G2406&lt;'00_Control'!$B$7),"",--(AF2406&lt;10))</f>
        <v/>
      </c>
      <c r="AI2406" s="35">
        <f>IF(AND(C2406="Grayson Coulter",G2406&gt;='00_Control'!$B$7),"YES","NO")</f>
        <v/>
      </c>
      <c r="AJ2406" s="33" t="inlineStr">
        <is>
          <t>OK</t>
        </is>
      </c>
    </row>
    <row r="2407">
      <c r="A2407" s="33" t="inlineStr">
        <is>
          <t>SM002403</t>
        </is>
      </c>
      <c r="B2407" s="33" t="inlineStr">
        <is>
          <t>SW014</t>
        </is>
      </c>
      <c r="C2407" s="33" t="inlineStr">
        <is>
          <t>Luke Hobson</t>
        </is>
      </c>
      <c r="D2407" s="33" t="inlineStr">
        <is>
          <t>SwimCloud</t>
        </is>
      </c>
      <c r="E2407" s="33" t="inlineStr">
        <is>
          <t>576911</t>
        </is>
      </c>
      <c r="F2407" s="33" t="inlineStr">
        <is>
          <t>139381211</t>
        </is>
      </c>
      <c r="G2407" s="51" t="n">
        <v>45639</v>
      </c>
      <c r="H2407" s="33" t="inlineStr">
        <is>
          <t>World Aquatics Short Course Championships</t>
        </is>
      </c>
      <c r="I2407" s="33" t="inlineStr">
        <is>
          <t>285196</t>
        </is>
      </c>
      <c r="J2407" s="33" t="inlineStr"/>
      <c r="K2407" s="33" t="inlineStr">
        <is>
          <t>FIN</t>
        </is>
      </c>
      <c r="L2407" s="35">
        <f>IF(K2407="FIN",3,IF(OR(K2407="SEM",K2407="SEMI"),2,IF(OR(K2407="PRE",K2407="HEAT"),1,IF(V2407="YES",4,2))))</f>
        <v/>
      </c>
      <c r="M2407" s="33" t="inlineStr">
        <is>
          <t>SCM</t>
        </is>
      </c>
      <c r="N2407" s="33" t="n">
        <v>200</v>
      </c>
      <c r="O2407" s="33" t="inlineStr">
        <is>
          <t>Free</t>
        </is>
      </c>
      <c r="P2407" s="33" t="inlineStr">
        <is>
          <t>200 Free</t>
        </is>
      </c>
      <c r="Q2407" s="33" t="inlineStr">
        <is>
          <t>SCM_200_FREE</t>
        </is>
      </c>
      <c r="R2407" s="36" t="n">
        <v>98.91</v>
      </c>
      <c r="S2407" s="35">
        <f>IF(R2407="","",IF(R2407&gt;=60,INT(R2407/60)&amp;":"&amp;TEXT(MOD(R2407,60),"00.00"),TEXT(R2407,"0.00")))</f>
        <v/>
      </c>
      <c r="T2407" s="52">
        <f>IFERROR((G2407-INDEX('01_Swimmers'!$E$5:$E$22,MATCH(B2407,'01_Swimmers'!$A$5:$A$22,0)))/'00_Control'!$B$10,"")</f>
        <v/>
      </c>
      <c r="U2407" s="35">
        <f>IF(T2407="","",INT(T2407))</f>
        <v/>
      </c>
      <c r="V2407" s="33" t="inlineStr">
        <is>
          <t>YES</t>
        </is>
      </c>
      <c r="W2407" s="33" t="inlineStr">
        <is>
          <t>YES</t>
        </is>
      </c>
      <c r="X2407" s="33" t="inlineStr">
        <is>
          <t>NO</t>
        </is>
      </c>
      <c r="Y2407" s="33" t="n">
        <v>1</v>
      </c>
      <c r="Z2407" s="33" t="n">
        <v>4</v>
      </c>
      <c r="AA2407" s="33" t="inlineStr"/>
      <c r="AB2407" s="33" t="inlineStr">
        <is>
          <t>https://www.swimcloud.com/results/285196/event/30/?id=139380081#time139380081</t>
        </is>
      </c>
      <c r="AC2407" s="33" t="inlineStr">
        <is>
          <t>SwimCloud API v6 2026-10-08</t>
        </is>
      </c>
      <c r="AD2407" s="33" t="inlineStr">
        <is>
          <t>Luke Hobson|2024-12-13|SCM|200|Free|98.91|World Aquatics Short Course Championships|FIN|True</t>
        </is>
      </c>
      <c r="AE2407" s="53">
        <f>G2407+L2407/1000+ROW()/1000000000</f>
        <v/>
      </c>
      <c r="AF2407" s="35">
        <f>IF(C2407&lt;&gt;"Grayson Coulter","",COUNTIFS($C$5:$C$2991,"Grayson Coulter",$Q$5:$Q$2991,Q2407,$AE$5:$AE$2991,"&lt;="&amp;AE2407,$R$5:$R$2991,"&lt;"&amp;R2407))</f>
        <v/>
      </c>
      <c r="AG2407" s="35">
        <f>IF(OR(C2407&lt;&gt;"Grayson Coulter",G2407&lt;'00_Control'!$B$7),"",--(AF2407&lt;5))</f>
        <v/>
      </c>
      <c r="AH2407" s="35">
        <f>IF(OR(C2407&lt;&gt;"Grayson Coulter",G2407&lt;'00_Control'!$B$7),"",--(AF2407&lt;10))</f>
        <v/>
      </c>
      <c r="AI2407" s="35">
        <f>IF(AND(C2407="Grayson Coulter",G2407&gt;='00_Control'!$B$7),"YES","NO")</f>
        <v/>
      </c>
      <c r="AJ2407" s="33" t="inlineStr">
        <is>
          <t>OK</t>
        </is>
      </c>
    </row>
    <row r="2408">
      <c r="A2408" s="33" t="inlineStr">
        <is>
          <t>SM002404</t>
        </is>
      </c>
      <c r="B2408" s="33" t="inlineStr">
        <is>
          <t>SW014</t>
        </is>
      </c>
      <c r="C2408" s="33" t="inlineStr">
        <is>
          <t>Luke Hobson</t>
        </is>
      </c>
      <c r="D2408" s="33" t="inlineStr">
        <is>
          <t>SwimCloud</t>
        </is>
      </c>
      <c r="E2408" s="33" t="inlineStr">
        <is>
          <t>576911</t>
        </is>
      </c>
      <c r="F2408" s="33" t="inlineStr">
        <is>
          <t>139379950</t>
        </is>
      </c>
      <c r="G2408" s="51" t="n">
        <v>45641</v>
      </c>
      <c r="H2408" s="33" t="inlineStr">
        <is>
          <t>World Aquatics Short Course Championships</t>
        </is>
      </c>
      <c r="I2408" s="33" t="inlineStr">
        <is>
          <t>285196</t>
        </is>
      </c>
      <c r="J2408" s="33" t="inlineStr"/>
      <c r="K2408" s="33" t="inlineStr">
        <is>
          <t>PRE</t>
        </is>
      </c>
      <c r="L2408" s="35">
        <f>IF(K2408="FIN",3,IF(OR(K2408="SEM",K2408="SEMI"),2,IF(OR(K2408="PRE",K2408="HEAT"),1,IF(V2408="YES",4,2))))</f>
        <v/>
      </c>
      <c r="M2408" s="33" t="inlineStr">
        <is>
          <t>SCM</t>
        </is>
      </c>
      <c r="N2408" s="33" t="n">
        <v>200</v>
      </c>
      <c r="O2408" s="33" t="inlineStr">
        <is>
          <t>Free</t>
        </is>
      </c>
      <c r="P2408" s="33" t="inlineStr">
        <is>
          <t>200 Free</t>
        </is>
      </c>
      <c r="Q2408" s="33" t="inlineStr">
        <is>
          <t>SCM_200_FREE</t>
        </is>
      </c>
      <c r="R2408" s="36" t="n">
        <v>101.55</v>
      </c>
      <c r="S2408" s="35">
        <f>IF(R2408="","",IF(R2408&gt;=60,INT(R2408/60)&amp;":"&amp;TEXT(MOD(R2408,60),"00.00"),TEXT(R2408,"0.00")))</f>
        <v/>
      </c>
      <c r="T2408" s="52">
        <f>IFERROR((G2408-INDEX('01_Swimmers'!$E$5:$E$22,MATCH(B2408,'01_Swimmers'!$A$5:$A$22,0)))/'00_Control'!$B$10,"")</f>
        <v/>
      </c>
      <c r="U2408" s="35">
        <f>IF(T2408="","",INT(T2408))</f>
        <v/>
      </c>
      <c r="V2408" s="33" t="inlineStr">
        <is>
          <t>NO</t>
        </is>
      </c>
      <c r="W2408" s="33" t="inlineStr">
        <is>
          <t>YES</t>
        </is>
      </c>
      <c r="X2408" s="33" t="inlineStr">
        <is>
          <t>NO</t>
        </is>
      </c>
      <c r="Y2408" s="33" t="n">
        <v>7</v>
      </c>
      <c r="Z2408" s="33" t="n">
        <v>8</v>
      </c>
      <c r="AA2408" s="33" t="inlineStr">
        <is>
          <t>1</t>
        </is>
      </c>
      <c r="AB2408" s="33" t="inlineStr">
        <is>
          <t>https://www.swimcloud.com/results/285196/event/41/?id=139379950#time139379950</t>
        </is>
      </c>
      <c r="AC2408" s="33" t="inlineStr">
        <is>
          <t>SwimCloud API v6 2026-10-08</t>
        </is>
      </c>
      <c r="AD2408" s="33" t="inlineStr">
        <is>
          <t>Luke Hobson|2024-12-15|SCM|200|Free|101.55|World Aquatics Short Course Championships|PRE|False</t>
        </is>
      </c>
      <c r="AE2408" s="53">
        <f>G2408+L2408/1000+ROW()/1000000000</f>
        <v/>
      </c>
      <c r="AF2408" s="35">
        <f>IF(C2408&lt;&gt;"Grayson Coulter","",COUNTIFS($C$5:$C$2991,"Grayson Coulter",$Q$5:$Q$2991,Q2408,$AE$5:$AE$2991,"&lt;="&amp;AE2408,$R$5:$R$2991,"&lt;"&amp;R2408))</f>
        <v/>
      </c>
      <c r="AG2408" s="35">
        <f>IF(OR(C2408&lt;&gt;"Grayson Coulter",G2408&lt;'00_Control'!$B$7),"",--(AF2408&lt;5))</f>
        <v/>
      </c>
      <c r="AH2408" s="35">
        <f>IF(OR(C2408&lt;&gt;"Grayson Coulter",G2408&lt;'00_Control'!$B$7),"",--(AF2408&lt;10))</f>
        <v/>
      </c>
      <c r="AI2408" s="35">
        <f>IF(AND(C2408="Grayson Coulter",G2408&gt;='00_Control'!$B$7),"YES","NO")</f>
        <v/>
      </c>
      <c r="AJ2408" s="33" t="inlineStr">
        <is>
          <t>OK</t>
        </is>
      </c>
    </row>
    <row r="2409">
      <c r="A2409" s="33" t="inlineStr">
        <is>
          <t>SM002405</t>
        </is>
      </c>
      <c r="B2409" s="33" t="inlineStr">
        <is>
          <t>SW014</t>
        </is>
      </c>
      <c r="C2409" s="33" t="inlineStr">
        <is>
          <t>Luke Hobson</t>
        </is>
      </c>
      <c r="D2409" s="33" t="inlineStr">
        <is>
          <t>SwimCloud</t>
        </is>
      </c>
      <c r="E2409" s="33" t="inlineStr">
        <is>
          <t>576911</t>
        </is>
      </c>
      <c r="F2409" s="33" t="inlineStr">
        <is>
          <t>139379949</t>
        </is>
      </c>
      <c r="G2409" s="51" t="n">
        <v>45641</v>
      </c>
      <c r="H2409" s="33" t="inlineStr">
        <is>
          <t>World Aquatics Short Course Championships</t>
        </is>
      </c>
      <c r="I2409" s="33" t="inlineStr">
        <is>
          <t>285196</t>
        </is>
      </c>
      <c r="J2409" s="33" t="inlineStr"/>
      <c r="K2409" s="33" t="inlineStr">
        <is>
          <t>FIN</t>
        </is>
      </c>
      <c r="L2409" s="35">
        <f>IF(K2409="FIN",3,IF(OR(K2409="SEM",K2409="SEMI"),2,IF(OR(K2409="PRE",K2409="HEAT"),1,IF(V2409="YES",4,2))))</f>
        <v/>
      </c>
      <c r="M2409" s="33" t="inlineStr">
        <is>
          <t>SCM</t>
        </is>
      </c>
      <c r="N2409" s="33" t="n">
        <v>200</v>
      </c>
      <c r="O2409" s="33" t="inlineStr">
        <is>
          <t>Free</t>
        </is>
      </c>
      <c r="P2409" s="33" t="inlineStr">
        <is>
          <t>200 Free</t>
        </is>
      </c>
      <c r="Q2409" s="33" t="inlineStr">
        <is>
          <t>SCM_200_FREE</t>
        </is>
      </c>
      <c r="R2409" s="36" t="n">
        <v>98.61</v>
      </c>
      <c r="S2409" s="35">
        <f>IF(R2409="","",IF(R2409&gt;=60,INT(R2409/60)&amp;":"&amp;TEXT(MOD(R2409,60),"00.00"),TEXT(R2409,"0.00")))</f>
        <v/>
      </c>
      <c r="T2409" s="52">
        <f>IFERROR((G2409-INDEX('01_Swimmers'!$E$5:$E$22,MATCH(B2409,'01_Swimmers'!$A$5:$A$22,0)))/'00_Control'!$B$10,"")</f>
        <v/>
      </c>
      <c r="U2409" s="35">
        <f>IF(T2409="","",INT(T2409))</f>
        <v/>
      </c>
      <c r="V2409" s="33" t="inlineStr">
        <is>
          <t>NO</t>
        </is>
      </c>
      <c r="W2409" s="33" t="inlineStr">
        <is>
          <t>YES</t>
        </is>
      </c>
      <c r="X2409" s="33" t="inlineStr">
        <is>
          <t>NO</t>
        </is>
      </c>
      <c r="Y2409" s="33" t="n">
        <v>1</v>
      </c>
      <c r="Z2409" s="33" t="n">
        <v>4</v>
      </c>
      <c r="AA2409" s="33" t="inlineStr">
        <is>
          <t>1</t>
        </is>
      </c>
      <c r="AB2409" s="33" t="inlineStr">
        <is>
          <t>https://www.swimcloud.com/results/285196/event/41/?id=139379949#time139379949</t>
        </is>
      </c>
      <c r="AC2409" s="33" t="inlineStr">
        <is>
          <t>SwimCloud API v6 2026-10-08</t>
        </is>
      </c>
      <c r="AD2409" s="33" t="inlineStr">
        <is>
          <t>Luke Hobson|2024-12-15|SCM|200|Free|98.61|World Aquatics Short Course Championships|FIN|False</t>
        </is>
      </c>
      <c r="AE2409" s="53">
        <f>G2409+L2409/1000+ROW()/1000000000</f>
        <v/>
      </c>
      <c r="AF2409" s="35">
        <f>IF(C2409&lt;&gt;"Grayson Coulter","",COUNTIFS($C$5:$C$2991,"Grayson Coulter",$Q$5:$Q$2991,Q2409,$AE$5:$AE$2991,"&lt;="&amp;AE2409,$R$5:$R$2991,"&lt;"&amp;R2409))</f>
        <v/>
      </c>
      <c r="AG2409" s="35">
        <f>IF(OR(C2409&lt;&gt;"Grayson Coulter",G2409&lt;'00_Control'!$B$7),"",--(AF2409&lt;5))</f>
        <v/>
      </c>
      <c r="AH2409" s="35">
        <f>IF(OR(C2409&lt;&gt;"Grayson Coulter",G2409&lt;'00_Control'!$B$7),"",--(AF2409&lt;10))</f>
        <v/>
      </c>
      <c r="AI2409" s="35">
        <f>IF(AND(C2409="Grayson Coulter",G2409&gt;='00_Control'!$B$7),"YES","NO")</f>
        <v/>
      </c>
      <c r="AJ2409" s="33" t="inlineStr">
        <is>
          <t>OK</t>
        </is>
      </c>
    </row>
    <row r="2410">
      <c r="A2410" s="33" t="inlineStr">
        <is>
          <t>SM002406</t>
        </is>
      </c>
      <c r="B2410" s="33" t="inlineStr">
        <is>
          <t>SW014</t>
        </is>
      </c>
      <c r="C2410" s="33" t="inlineStr">
        <is>
          <t>Luke Hobson</t>
        </is>
      </c>
      <c r="D2410" s="33" t="inlineStr">
        <is>
          <t>SwimCloud</t>
        </is>
      </c>
      <c r="E2410" s="33" t="inlineStr">
        <is>
          <t>576911</t>
        </is>
      </c>
      <c r="F2410" s="33" t="inlineStr">
        <is>
          <t>151252766</t>
        </is>
      </c>
      <c r="G2410" s="51" t="n">
        <v>45778</v>
      </c>
      <c r="H2410" s="33" t="inlineStr">
        <is>
          <t>TYR Pro Swim Series - Fort Lauderdale</t>
        </is>
      </c>
      <c r="I2410" s="33" t="inlineStr">
        <is>
          <t>308413</t>
        </is>
      </c>
      <c r="J2410" s="33" t="inlineStr"/>
      <c r="K2410" s="33" t="inlineStr">
        <is>
          <t>PRE</t>
        </is>
      </c>
      <c r="L2410" s="35">
        <f>IF(K2410="FIN",3,IF(OR(K2410="SEM",K2410="SEMI"),2,IF(OR(K2410="PRE",K2410="HEAT"),1,IF(V2410="YES",4,2))))</f>
        <v/>
      </c>
      <c r="M2410" s="33" t="inlineStr">
        <is>
          <t>LCM</t>
        </is>
      </c>
      <c r="N2410" s="33" t="n">
        <v>100</v>
      </c>
      <c r="O2410" s="33" t="inlineStr">
        <is>
          <t>Free</t>
        </is>
      </c>
      <c r="P2410" s="33" t="inlineStr">
        <is>
          <t>100 Free</t>
        </is>
      </c>
      <c r="Q2410" s="33" t="inlineStr">
        <is>
          <t>LCM_100_FREE</t>
        </is>
      </c>
      <c r="R2410" s="36" t="n">
        <v>49.29</v>
      </c>
      <c r="S2410" s="35">
        <f>IF(R2410="","",IF(R2410&gt;=60,INT(R2410/60)&amp;":"&amp;TEXT(MOD(R2410,60),"00.00"),TEXT(R2410,"0.00")))</f>
        <v/>
      </c>
      <c r="T2410" s="52">
        <f>IFERROR((G2410-INDEX('01_Swimmers'!$E$5:$E$22,MATCH(B2410,'01_Swimmers'!$A$5:$A$22,0)))/'00_Control'!$B$10,"")</f>
        <v/>
      </c>
      <c r="U2410" s="35">
        <f>IF(T2410="","",INT(T2410))</f>
        <v/>
      </c>
      <c r="V2410" s="33" t="inlineStr">
        <is>
          <t>NO</t>
        </is>
      </c>
      <c r="W2410" s="33" t="inlineStr">
        <is>
          <t>YES</t>
        </is>
      </c>
      <c r="X2410" s="33" t="inlineStr">
        <is>
          <t>NO</t>
        </is>
      </c>
      <c r="Y2410" s="33" t="n">
        <v>10</v>
      </c>
      <c r="Z2410" s="33" t="n">
        <v>3</v>
      </c>
      <c r="AA2410" s="33" t="inlineStr">
        <is>
          <t>6</t>
        </is>
      </c>
      <c r="AB2410" s="33" t="inlineStr">
        <is>
          <t>https://www.swimcloud.com/results/308413/event/4/?id=151252766#time151252766</t>
        </is>
      </c>
      <c r="AC2410" s="33" t="inlineStr">
        <is>
          <t>SwimCloud API v6 2026-10-08</t>
        </is>
      </c>
      <c r="AD2410" s="33" t="inlineStr">
        <is>
          <t>Luke Hobson|2025-05-01|LCM|100|Free|49.29|TYR Pro Swim Series - Fort Lauderdale|PRE|False</t>
        </is>
      </c>
      <c r="AE2410" s="53">
        <f>G2410+L2410/1000+ROW()/1000000000</f>
        <v/>
      </c>
      <c r="AF2410" s="35">
        <f>IF(C2410&lt;&gt;"Grayson Coulter","",COUNTIFS($C$5:$C$2991,"Grayson Coulter",$Q$5:$Q$2991,Q2410,$AE$5:$AE$2991,"&lt;="&amp;AE2410,$R$5:$R$2991,"&lt;"&amp;R2410))</f>
        <v/>
      </c>
      <c r="AG2410" s="35">
        <f>IF(OR(C2410&lt;&gt;"Grayson Coulter",G2410&lt;'00_Control'!$B$7),"",--(AF2410&lt;5))</f>
        <v/>
      </c>
      <c r="AH2410" s="35">
        <f>IF(OR(C2410&lt;&gt;"Grayson Coulter",G2410&lt;'00_Control'!$B$7),"",--(AF2410&lt;10))</f>
        <v/>
      </c>
      <c r="AI2410" s="35">
        <f>IF(AND(C2410="Grayson Coulter",G2410&gt;='00_Control'!$B$7),"YES","NO")</f>
        <v/>
      </c>
      <c r="AJ2410" s="33" t="inlineStr">
        <is>
          <t>OK</t>
        </is>
      </c>
    </row>
    <row r="2411">
      <c r="A2411" s="33" t="inlineStr">
        <is>
          <t>SM002407</t>
        </is>
      </c>
      <c r="B2411" s="33" t="inlineStr">
        <is>
          <t>SW014</t>
        </is>
      </c>
      <c r="C2411" s="33" t="inlineStr">
        <is>
          <t>Luke Hobson</t>
        </is>
      </c>
      <c r="D2411" s="33" t="inlineStr">
        <is>
          <t>SwimCloud</t>
        </is>
      </c>
      <c r="E2411" s="33" t="inlineStr">
        <is>
          <t>576911</t>
        </is>
      </c>
      <c r="F2411" s="33" t="inlineStr">
        <is>
          <t>151252765</t>
        </is>
      </c>
      <c r="G2411" s="51" t="n">
        <v>45778</v>
      </c>
      <c r="H2411" s="33" t="inlineStr">
        <is>
          <t>TYR Pro Swim Series - Fort Lauderdale</t>
        </is>
      </c>
      <c r="I2411" s="33" t="inlineStr">
        <is>
          <t>308413</t>
        </is>
      </c>
      <c r="J2411" s="33" t="inlineStr"/>
      <c r="K2411" s="33" t="inlineStr">
        <is>
          <t>FIN</t>
        </is>
      </c>
      <c r="L2411" s="35">
        <f>IF(K2411="FIN",3,IF(OR(K2411="SEM",K2411="SEMI"),2,IF(OR(K2411="PRE",K2411="HEAT"),1,IF(V2411="YES",4,2))))</f>
        <v/>
      </c>
      <c r="M2411" s="33" t="inlineStr">
        <is>
          <t>LCM</t>
        </is>
      </c>
      <c r="N2411" s="33" t="n">
        <v>100</v>
      </c>
      <c r="O2411" s="33" t="inlineStr">
        <is>
          <t>Free</t>
        </is>
      </c>
      <c r="P2411" s="33" t="inlineStr">
        <is>
          <t>100 Free</t>
        </is>
      </c>
      <c r="Q2411" s="33" t="inlineStr">
        <is>
          <t>LCM_100_FREE</t>
        </is>
      </c>
      <c r="R2411" s="36" t="n">
        <v>49.09</v>
      </c>
      <c r="S2411" s="35">
        <f>IF(R2411="","",IF(R2411&gt;=60,INT(R2411/60)&amp;":"&amp;TEXT(MOD(R2411,60),"00.00"),TEXT(R2411,"0.00")))</f>
        <v/>
      </c>
      <c r="T2411" s="52">
        <f>IFERROR((G2411-INDEX('01_Swimmers'!$E$5:$E$22,MATCH(B2411,'01_Swimmers'!$A$5:$A$22,0)))/'00_Control'!$B$10,"")</f>
        <v/>
      </c>
      <c r="U2411" s="35">
        <f>IF(T2411="","",INT(T2411))</f>
        <v/>
      </c>
      <c r="V2411" s="33" t="inlineStr">
        <is>
          <t>NO</t>
        </is>
      </c>
      <c r="W2411" s="33" t="inlineStr">
        <is>
          <t>YES</t>
        </is>
      </c>
      <c r="X2411" s="33" t="inlineStr">
        <is>
          <t>NO</t>
        </is>
      </c>
      <c r="Y2411" s="33" t="n">
        <v>1</v>
      </c>
      <c r="Z2411" s="33" t="n">
        <v>7</v>
      </c>
      <c r="AA2411" s="33" t="inlineStr">
        <is>
          <t>7</t>
        </is>
      </c>
      <c r="AB2411" s="33" t="inlineStr">
        <is>
          <t>https://www.swimcloud.com/results/308413/event/4/?id=151252765#time151252765</t>
        </is>
      </c>
      <c r="AC2411" s="33" t="inlineStr">
        <is>
          <t>SwimCloud API v6 2026-10-08</t>
        </is>
      </c>
      <c r="AD2411" s="33" t="inlineStr">
        <is>
          <t>Luke Hobson|2025-05-01|LCM|100|Free|49.09|TYR Pro Swim Series - Fort Lauderdale|FIN|False</t>
        </is>
      </c>
      <c r="AE2411" s="53">
        <f>G2411+L2411/1000+ROW()/1000000000</f>
        <v/>
      </c>
      <c r="AF2411" s="35">
        <f>IF(C2411&lt;&gt;"Grayson Coulter","",COUNTIFS($C$5:$C$2991,"Grayson Coulter",$Q$5:$Q$2991,Q2411,$AE$5:$AE$2991,"&lt;="&amp;AE2411,$R$5:$R$2991,"&lt;"&amp;R2411))</f>
        <v/>
      </c>
      <c r="AG2411" s="35">
        <f>IF(OR(C2411&lt;&gt;"Grayson Coulter",G2411&lt;'00_Control'!$B$7),"",--(AF2411&lt;5))</f>
        <v/>
      </c>
      <c r="AH2411" s="35">
        <f>IF(OR(C2411&lt;&gt;"Grayson Coulter",G2411&lt;'00_Control'!$B$7),"",--(AF2411&lt;10))</f>
        <v/>
      </c>
      <c r="AI2411" s="35">
        <f>IF(AND(C2411="Grayson Coulter",G2411&gt;='00_Control'!$B$7),"YES","NO")</f>
        <v/>
      </c>
      <c r="AJ2411" s="33" t="inlineStr">
        <is>
          <t>OK</t>
        </is>
      </c>
    </row>
    <row r="2412">
      <c r="A2412" s="33" t="inlineStr">
        <is>
          <t>SM002408</t>
        </is>
      </c>
      <c r="B2412" s="33" t="inlineStr">
        <is>
          <t>SW014</t>
        </is>
      </c>
      <c r="C2412" s="33" t="inlineStr">
        <is>
          <t>Luke Hobson</t>
        </is>
      </c>
      <c r="D2412" s="33" t="inlineStr">
        <is>
          <t>SwimCloud</t>
        </is>
      </c>
      <c r="E2412" s="33" t="inlineStr">
        <is>
          <t>576911</t>
        </is>
      </c>
      <c r="F2412" s="33" t="inlineStr">
        <is>
          <t>151252770</t>
        </is>
      </c>
      <c r="G2412" s="51" t="n">
        <v>45778</v>
      </c>
      <c r="H2412" s="33" t="inlineStr">
        <is>
          <t>TYR Pro Swim Series - Fort Lauderdale</t>
        </is>
      </c>
      <c r="I2412" s="33" t="inlineStr">
        <is>
          <t>308413</t>
        </is>
      </c>
      <c r="J2412" s="33" t="inlineStr"/>
      <c r="K2412" s="33" t="inlineStr">
        <is>
          <t>PRE</t>
        </is>
      </c>
      <c r="L2412" s="35">
        <f>IF(K2412="FIN",3,IF(OR(K2412="SEM",K2412="SEMI"),2,IF(OR(K2412="PRE",K2412="HEAT"),1,IF(V2412="YES",4,2))))</f>
        <v/>
      </c>
      <c r="M2412" s="33" t="inlineStr">
        <is>
          <t>LCM</t>
        </is>
      </c>
      <c r="N2412" s="33" t="n">
        <v>400</v>
      </c>
      <c r="O2412" s="33" t="inlineStr">
        <is>
          <t>Free</t>
        </is>
      </c>
      <c r="P2412" s="33" t="inlineStr">
        <is>
          <t>400 Free</t>
        </is>
      </c>
      <c r="Q2412" s="33" t="inlineStr">
        <is>
          <t>LCM_400_FREE</t>
        </is>
      </c>
      <c r="R2412" s="36" t="n">
        <v>231.32</v>
      </c>
      <c r="S2412" s="35">
        <f>IF(R2412="","",IF(R2412&gt;=60,INT(R2412/60)&amp;":"&amp;TEXT(MOD(R2412,60),"00.00"),TEXT(R2412,"0.00")))</f>
        <v/>
      </c>
      <c r="T2412" s="52">
        <f>IFERROR((G2412-INDEX('01_Swimmers'!$E$5:$E$22,MATCH(B2412,'01_Swimmers'!$A$5:$A$22,0)))/'00_Control'!$B$10,"")</f>
        <v/>
      </c>
      <c r="U2412" s="35">
        <f>IF(T2412="","",INT(T2412))</f>
        <v/>
      </c>
      <c r="V2412" s="33" t="inlineStr">
        <is>
          <t>NO</t>
        </is>
      </c>
      <c r="W2412" s="33" t="inlineStr">
        <is>
          <t>YES</t>
        </is>
      </c>
      <c r="X2412" s="33" t="inlineStr">
        <is>
          <t>NO</t>
        </is>
      </c>
      <c r="Y2412" s="33" t="n">
        <v>8</v>
      </c>
      <c r="Z2412" s="33" t="n">
        <v>5</v>
      </c>
      <c r="AA2412" s="33" t="inlineStr">
        <is>
          <t>3</t>
        </is>
      </c>
      <c r="AB2412" s="33" t="inlineStr">
        <is>
          <t>https://www.swimcloud.com/results/308413/event/12/?id=151252770#time151252770</t>
        </is>
      </c>
      <c r="AC2412" s="33" t="inlineStr">
        <is>
          <t>SwimCloud API v6 2026-10-08</t>
        </is>
      </c>
      <c r="AD2412" s="33" t="inlineStr">
        <is>
          <t>Luke Hobson|2025-05-01|LCM|400|Free|231.32|TYR Pro Swim Series - Fort Lauderdale|PRE|False</t>
        </is>
      </c>
      <c r="AE2412" s="53">
        <f>G2412+L2412/1000+ROW()/1000000000</f>
        <v/>
      </c>
      <c r="AF2412" s="35">
        <f>IF(C2412&lt;&gt;"Grayson Coulter","",COUNTIFS($C$5:$C$2991,"Grayson Coulter",$Q$5:$Q$2991,Q2412,$AE$5:$AE$2991,"&lt;="&amp;AE2412,$R$5:$R$2991,"&lt;"&amp;R2412))</f>
        <v/>
      </c>
      <c r="AG2412" s="35">
        <f>IF(OR(C2412&lt;&gt;"Grayson Coulter",G2412&lt;'00_Control'!$B$7),"",--(AF2412&lt;5))</f>
        <v/>
      </c>
      <c r="AH2412" s="35">
        <f>IF(OR(C2412&lt;&gt;"Grayson Coulter",G2412&lt;'00_Control'!$B$7),"",--(AF2412&lt;10))</f>
        <v/>
      </c>
      <c r="AI2412" s="35">
        <f>IF(AND(C2412="Grayson Coulter",G2412&gt;='00_Control'!$B$7),"YES","NO")</f>
        <v/>
      </c>
      <c r="AJ2412" s="33" t="inlineStr">
        <is>
          <t>OK</t>
        </is>
      </c>
    </row>
    <row r="2413">
      <c r="A2413" s="33" t="inlineStr">
        <is>
          <t>SM002409</t>
        </is>
      </c>
      <c r="B2413" s="33" t="inlineStr">
        <is>
          <t>SW014</t>
        </is>
      </c>
      <c r="C2413" s="33" t="inlineStr">
        <is>
          <t>Luke Hobson</t>
        </is>
      </c>
      <c r="D2413" s="33" t="inlineStr">
        <is>
          <t>SwimCloud</t>
        </is>
      </c>
      <c r="E2413" s="33" t="inlineStr">
        <is>
          <t>576911</t>
        </is>
      </c>
      <c r="F2413" s="33" t="inlineStr">
        <is>
          <t>151252769</t>
        </is>
      </c>
      <c r="G2413" s="51" t="n">
        <v>45778</v>
      </c>
      <c r="H2413" s="33" t="inlineStr">
        <is>
          <t>TYR Pro Swim Series - Fort Lauderdale</t>
        </is>
      </c>
      <c r="I2413" s="33" t="inlineStr">
        <is>
          <t>308413</t>
        </is>
      </c>
      <c r="J2413" s="33" t="inlineStr"/>
      <c r="K2413" s="33" t="inlineStr">
        <is>
          <t>FIN</t>
        </is>
      </c>
      <c r="L2413" s="35">
        <f>IF(K2413="FIN",3,IF(OR(K2413="SEM",K2413="SEMI"),2,IF(OR(K2413="PRE",K2413="HEAT"),1,IF(V2413="YES",4,2))))</f>
        <v/>
      </c>
      <c r="M2413" s="33" t="inlineStr">
        <is>
          <t>LCM</t>
        </is>
      </c>
      <c r="N2413" s="33" t="n">
        <v>400</v>
      </c>
      <c r="O2413" s="33" t="inlineStr">
        <is>
          <t>Free</t>
        </is>
      </c>
      <c r="P2413" s="33" t="inlineStr">
        <is>
          <t>400 Free</t>
        </is>
      </c>
      <c r="Q2413" s="33" t="inlineStr">
        <is>
          <t>LCM_400_FREE</t>
        </is>
      </c>
      <c r="R2413" s="36" t="n">
        <v>232.82</v>
      </c>
      <c r="S2413" s="35">
        <f>IF(R2413="","",IF(R2413&gt;=60,INT(R2413/60)&amp;":"&amp;TEXT(MOD(R2413,60),"00.00"),TEXT(R2413,"0.00")))</f>
        <v/>
      </c>
      <c r="T2413" s="52">
        <f>IFERROR((G2413-INDEX('01_Swimmers'!$E$5:$E$22,MATCH(B2413,'01_Swimmers'!$A$5:$A$22,0)))/'00_Control'!$B$10,"")</f>
        <v/>
      </c>
      <c r="U2413" s="35">
        <f>IF(T2413="","",INT(T2413))</f>
        <v/>
      </c>
      <c r="V2413" s="33" t="inlineStr">
        <is>
          <t>NO</t>
        </is>
      </c>
      <c r="W2413" s="33" t="inlineStr">
        <is>
          <t>YES</t>
        </is>
      </c>
      <c r="X2413" s="33" t="inlineStr">
        <is>
          <t>NO</t>
        </is>
      </c>
      <c r="Y2413" s="33" t="n">
        <v>1</v>
      </c>
      <c r="Z2413" s="33" t="n">
        <v>3</v>
      </c>
      <c r="AA2413" s="33" t="inlineStr">
        <is>
          <t>6</t>
        </is>
      </c>
      <c r="AB2413" s="33" t="inlineStr">
        <is>
          <t>https://www.swimcloud.com/results/308413/event/12/?id=151252769#time151252769</t>
        </is>
      </c>
      <c r="AC2413" s="33" t="inlineStr">
        <is>
          <t>SwimCloud API v6 2026-10-08</t>
        </is>
      </c>
      <c r="AD2413" s="33" t="inlineStr">
        <is>
          <t>Luke Hobson|2025-05-01|LCM|400|Free|232.82|TYR Pro Swim Series - Fort Lauderdale|FIN|False</t>
        </is>
      </c>
      <c r="AE2413" s="53">
        <f>G2413+L2413/1000+ROW()/1000000000</f>
        <v/>
      </c>
      <c r="AF2413" s="35">
        <f>IF(C2413&lt;&gt;"Grayson Coulter","",COUNTIFS($C$5:$C$2991,"Grayson Coulter",$Q$5:$Q$2991,Q2413,$AE$5:$AE$2991,"&lt;="&amp;AE2413,$R$5:$R$2991,"&lt;"&amp;R2413))</f>
        <v/>
      </c>
      <c r="AG2413" s="35">
        <f>IF(OR(C2413&lt;&gt;"Grayson Coulter",G2413&lt;'00_Control'!$B$7),"",--(AF2413&lt;5))</f>
        <v/>
      </c>
      <c r="AH2413" s="35">
        <f>IF(OR(C2413&lt;&gt;"Grayson Coulter",G2413&lt;'00_Control'!$B$7),"",--(AF2413&lt;10))</f>
        <v/>
      </c>
      <c r="AI2413" s="35">
        <f>IF(AND(C2413="Grayson Coulter",G2413&gt;='00_Control'!$B$7),"YES","NO")</f>
        <v/>
      </c>
      <c r="AJ2413" s="33" t="inlineStr">
        <is>
          <t>OK</t>
        </is>
      </c>
    </row>
    <row r="2414">
      <c r="A2414" s="33" t="inlineStr">
        <is>
          <t>SM002410</t>
        </is>
      </c>
      <c r="B2414" s="33" t="inlineStr">
        <is>
          <t>SW014</t>
        </is>
      </c>
      <c r="C2414" s="33" t="inlineStr">
        <is>
          <t>Luke Hobson</t>
        </is>
      </c>
      <c r="D2414" s="33" t="inlineStr">
        <is>
          <t>SwimCloud</t>
        </is>
      </c>
      <c r="E2414" s="33" t="inlineStr">
        <is>
          <t>576911</t>
        </is>
      </c>
      <c r="F2414" s="33" t="inlineStr">
        <is>
          <t>151252768</t>
        </is>
      </c>
      <c r="G2414" s="51" t="n">
        <v>45779</v>
      </c>
      <c r="H2414" s="33" t="inlineStr">
        <is>
          <t>TYR Pro Swim Series - Fort Lauderdale</t>
        </is>
      </c>
      <c r="I2414" s="33" t="inlineStr">
        <is>
          <t>308413</t>
        </is>
      </c>
      <c r="J2414" s="33" t="inlineStr"/>
      <c r="K2414" s="33" t="inlineStr">
        <is>
          <t>PRE</t>
        </is>
      </c>
      <c r="L2414" s="35">
        <f>IF(K2414="FIN",3,IF(OR(K2414="SEM",K2414="SEMI"),2,IF(OR(K2414="PRE",K2414="HEAT"),1,IF(V2414="YES",4,2))))</f>
        <v/>
      </c>
      <c r="M2414" s="33" t="inlineStr">
        <is>
          <t>LCM</t>
        </is>
      </c>
      <c r="N2414" s="33" t="n">
        <v>200</v>
      </c>
      <c r="O2414" s="33" t="inlineStr">
        <is>
          <t>Free</t>
        </is>
      </c>
      <c r="P2414" s="33" t="inlineStr">
        <is>
          <t>200 Free</t>
        </is>
      </c>
      <c r="Q2414" s="33" t="inlineStr">
        <is>
          <t>LCM_200_FREE</t>
        </is>
      </c>
      <c r="R2414" s="36" t="n">
        <v>107.94</v>
      </c>
      <c r="S2414" s="35">
        <f>IF(R2414="","",IF(R2414&gt;=60,INT(R2414/60)&amp;":"&amp;TEXT(MOD(R2414,60),"00.00"),TEXT(R2414,"0.00")))</f>
        <v/>
      </c>
      <c r="T2414" s="52">
        <f>IFERROR((G2414-INDEX('01_Swimmers'!$E$5:$E$22,MATCH(B2414,'01_Swimmers'!$A$5:$A$22,0)))/'00_Control'!$B$10,"")</f>
        <v/>
      </c>
      <c r="U2414" s="35">
        <f>IF(T2414="","",INT(T2414))</f>
        <v/>
      </c>
      <c r="V2414" s="33" t="inlineStr">
        <is>
          <t>NO</t>
        </is>
      </c>
      <c r="W2414" s="33" t="inlineStr">
        <is>
          <t>YES</t>
        </is>
      </c>
      <c r="X2414" s="33" t="inlineStr">
        <is>
          <t>NO</t>
        </is>
      </c>
      <c r="Y2414" s="33" t="n">
        <v>10</v>
      </c>
      <c r="Z2414" s="33" t="n">
        <v>4</v>
      </c>
      <c r="AA2414" s="33" t="inlineStr">
        <is>
          <t>5</t>
        </is>
      </c>
      <c r="AB2414" s="33" t="inlineStr">
        <is>
          <t>https://www.swimcloud.com/results/308413/event/14/?id=151252768#time151252768</t>
        </is>
      </c>
      <c r="AC2414" s="33" t="inlineStr">
        <is>
          <t>SwimCloud API v6 2026-10-08</t>
        </is>
      </c>
      <c r="AD2414" s="33" t="inlineStr">
        <is>
          <t>Luke Hobson|2025-05-02|LCM|200|Free|107.94|TYR Pro Swim Series - Fort Lauderdale|PRE|False</t>
        </is>
      </c>
      <c r="AE2414" s="53">
        <f>G2414+L2414/1000+ROW()/1000000000</f>
        <v/>
      </c>
      <c r="AF2414" s="35">
        <f>IF(C2414&lt;&gt;"Grayson Coulter","",COUNTIFS($C$5:$C$2991,"Grayson Coulter",$Q$5:$Q$2991,Q2414,$AE$5:$AE$2991,"&lt;="&amp;AE2414,$R$5:$R$2991,"&lt;"&amp;R2414))</f>
        <v/>
      </c>
      <c r="AG2414" s="35">
        <f>IF(OR(C2414&lt;&gt;"Grayson Coulter",G2414&lt;'00_Control'!$B$7),"",--(AF2414&lt;5))</f>
        <v/>
      </c>
      <c r="AH2414" s="35">
        <f>IF(OR(C2414&lt;&gt;"Grayson Coulter",G2414&lt;'00_Control'!$B$7),"",--(AF2414&lt;10))</f>
        <v/>
      </c>
      <c r="AI2414" s="35">
        <f>IF(AND(C2414="Grayson Coulter",G2414&gt;='00_Control'!$B$7),"YES","NO")</f>
        <v/>
      </c>
      <c r="AJ2414" s="33" t="inlineStr">
        <is>
          <t>OK</t>
        </is>
      </c>
    </row>
    <row r="2415">
      <c r="A2415" s="33" t="inlineStr">
        <is>
          <t>SM002411</t>
        </is>
      </c>
      <c r="B2415" s="33" t="inlineStr">
        <is>
          <t>SW014</t>
        </is>
      </c>
      <c r="C2415" s="33" t="inlineStr">
        <is>
          <t>Luke Hobson</t>
        </is>
      </c>
      <c r="D2415" s="33" t="inlineStr">
        <is>
          <t>SwimCloud</t>
        </is>
      </c>
      <c r="E2415" s="33" t="inlineStr">
        <is>
          <t>576911</t>
        </is>
      </c>
      <c r="F2415" s="33" t="inlineStr">
        <is>
          <t>151252767</t>
        </is>
      </c>
      <c r="G2415" s="51" t="n">
        <v>45779</v>
      </c>
      <c r="H2415" s="33" t="inlineStr">
        <is>
          <t>TYR Pro Swim Series - Fort Lauderdale</t>
        </is>
      </c>
      <c r="I2415" s="33" t="inlineStr">
        <is>
          <t>308413</t>
        </is>
      </c>
      <c r="J2415" s="33" t="inlineStr"/>
      <c r="K2415" s="33" t="inlineStr">
        <is>
          <t>FIN</t>
        </is>
      </c>
      <c r="L2415" s="35">
        <f>IF(K2415="FIN",3,IF(OR(K2415="SEM",K2415="SEMI"),2,IF(OR(K2415="PRE",K2415="HEAT"),1,IF(V2415="YES",4,2))))</f>
        <v/>
      </c>
      <c r="M2415" s="33" t="inlineStr">
        <is>
          <t>LCM</t>
        </is>
      </c>
      <c r="N2415" s="33" t="n">
        <v>200</v>
      </c>
      <c r="O2415" s="33" t="inlineStr">
        <is>
          <t>Free</t>
        </is>
      </c>
      <c r="P2415" s="33" t="inlineStr">
        <is>
          <t>200 Free</t>
        </is>
      </c>
      <c r="Q2415" s="33" t="inlineStr">
        <is>
          <t>LCM_200_FREE</t>
        </is>
      </c>
      <c r="R2415" s="36" t="n">
        <v>106.76</v>
      </c>
      <c r="S2415" s="35">
        <f>IF(R2415="","",IF(R2415&gt;=60,INT(R2415/60)&amp;":"&amp;TEXT(MOD(R2415,60),"00.00"),TEXT(R2415,"0.00")))</f>
        <v/>
      </c>
      <c r="T2415" s="52">
        <f>IFERROR((G2415-INDEX('01_Swimmers'!$E$5:$E$22,MATCH(B2415,'01_Swimmers'!$A$5:$A$22,0)))/'00_Control'!$B$10,"")</f>
        <v/>
      </c>
      <c r="U2415" s="35">
        <f>IF(T2415="","",INT(T2415))</f>
        <v/>
      </c>
      <c r="V2415" s="33" t="inlineStr">
        <is>
          <t>NO</t>
        </is>
      </c>
      <c r="W2415" s="33" t="inlineStr">
        <is>
          <t>YES</t>
        </is>
      </c>
      <c r="X2415" s="33" t="inlineStr">
        <is>
          <t>NO</t>
        </is>
      </c>
      <c r="Y2415" s="33" t="n">
        <v>1</v>
      </c>
      <c r="Z2415" s="33" t="n">
        <v>2</v>
      </c>
      <c r="AA2415" s="33" t="inlineStr">
        <is>
          <t>3</t>
        </is>
      </c>
      <c r="AB2415" s="33" t="inlineStr">
        <is>
          <t>https://www.swimcloud.com/results/308413/event/14/?id=151252767#time151252767</t>
        </is>
      </c>
      <c r="AC2415" s="33" t="inlineStr">
        <is>
          <t>SwimCloud API v6 2026-10-08</t>
        </is>
      </c>
      <c r="AD2415" s="33" t="inlineStr">
        <is>
          <t>Luke Hobson|2025-05-02|LCM|200|Free|106.76|TYR Pro Swim Series - Fort Lauderdale|FIN|False</t>
        </is>
      </c>
      <c r="AE2415" s="53">
        <f>G2415+L2415/1000+ROW()/1000000000</f>
        <v/>
      </c>
      <c r="AF2415" s="35">
        <f>IF(C2415&lt;&gt;"Grayson Coulter","",COUNTIFS($C$5:$C$2991,"Grayson Coulter",$Q$5:$Q$2991,Q2415,$AE$5:$AE$2991,"&lt;="&amp;AE2415,$R$5:$R$2991,"&lt;"&amp;R2415))</f>
        <v/>
      </c>
      <c r="AG2415" s="35">
        <f>IF(OR(C2415&lt;&gt;"Grayson Coulter",G2415&lt;'00_Control'!$B$7),"",--(AF2415&lt;5))</f>
        <v/>
      </c>
      <c r="AH2415" s="35">
        <f>IF(OR(C2415&lt;&gt;"Grayson Coulter",G2415&lt;'00_Control'!$B$7),"",--(AF2415&lt;10))</f>
        <v/>
      </c>
      <c r="AI2415" s="35">
        <f>IF(AND(C2415="Grayson Coulter",G2415&gt;='00_Control'!$B$7),"YES","NO")</f>
        <v/>
      </c>
      <c r="AJ2415" s="33" t="inlineStr">
        <is>
          <t>OK</t>
        </is>
      </c>
    </row>
    <row r="2416">
      <c r="A2416" s="33" t="inlineStr">
        <is>
          <t>SM002412</t>
        </is>
      </c>
      <c r="B2416" s="33" t="inlineStr">
        <is>
          <t>SW014</t>
        </is>
      </c>
      <c r="C2416" s="33" t="inlineStr">
        <is>
          <t>Luke Hobson</t>
        </is>
      </c>
      <c r="D2416" s="33" t="inlineStr">
        <is>
          <t>SwimCloud</t>
        </is>
      </c>
      <c r="E2416" s="33" t="inlineStr">
        <is>
          <t>576911</t>
        </is>
      </c>
      <c r="F2416" s="33" t="inlineStr">
        <is>
          <t>152306548</t>
        </is>
      </c>
      <c r="G2416" s="51" t="n">
        <v>45792</v>
      </c>
      <c r="H2416" s="33" t="inlineStr">
        <is>
          <t>ST TXLA Longhorn Aquatics</t>
        </is>
      </c>
      <c r="I2416" s="33" t="inlineStr">
        <is>
          <t>344302</t>
        </is>
      </c>
      <c r="J2416" s="33" t="inlineStr"/>
      <c r="K2416" s="33" t="inlineStr">
        <is>
          <t>PRE</t>
        </is>
      </c>
      <c r="L2416" s="35">
        <f>IF(K2416="FIN",3,IF(OR(K2416="SEM",K2416="SEMI"),2,IF(OR(K2416="PRE",K2416="HEAT"),1,IF(V2416="YES",4,2))))</f>
        <v/>
      </c>
      <c r="M2416" s="33" t="inlineStr">
        <is>
          <t>LCM</t>
        </is>
      </c>
      <c r="N2416" s="33" t="n">
        <v>100</v>
      </c>
      <c r="O2416" s="33" t="inlineStr">
        <is>
          <t>Free</t>
        </is>
      </c>
      <c r="P2416" s="33" t="inlineStr">
        <is>
          <t>100 Free</t>
        </is>
      </c>
      <c r="Q2416" s="33" t="inlineStr">
        <is>
          <t>LCM_100_FREE</t>
        </is>
      </c>
      <c r="R2416" s="36" t="n">
        <v>49.69</v>
      </c>
      <c r="S2416" s="35">
        <f>IF(R2416="","",IF(R2416&gt;=60,INT(R2416/60)&amp;":"&amp;TEXT(MOD(R2416,60),"00.00"),TEXT(R2416,"0.00")))</f>
        <v/>
      </c>
      <c r="T2416" s="52">
        <f>IFERROR((G2416-INDEX('01_Swimmers'!$E$5:$E$22,MATCH(B2416,'01_Swimmers'!$A$5:$A$22,0)))/'00_Control'!$B$10,"")</f>
        <v/>
      </c>
      <c r="U2416" s="35">
        <f>IF(T2416="","",INT(T2416))</f>
        <v/>
      </c>
      <c r="V2416" s="33" t="inlineStr">
        <is>
          <t>NO</t>
        </is>
      </c>
      <c r="W2416" s="33" t="inlineStr">
        <is>
          <t>YES</t>
        </is>
      </c>
      <c r="X2416" s="33" t="inlineStr">
        <is>
          <t>NO</t>
        </is>
      </c>
      <c r="Y2416" s="33" t="n">
        <v>1</v>
      </c>
      <c r="Z2416" s="33" t="n">
        <v>4</v>
      </c>
      <c r="AA2416" s="33" t="inlineStr">
        <is>
          <t>4</t>
        </is>
      </c>
      <c r="AB2416" s="33" t="inlineStr">
        <is>
          <t>https://www.swimcloud.com/results/344302/event/4/?id=152306548#time152306548</t>
        </is>
      </c>
      <c r="AC2416" s="33" t="inlineStr">
        <is>
          <t>SwimCloud API v6 2026-10-08</t>
        </is>
      </c>
      <c r="AD2416" s="33" t="inlineStr">
        <is>
          <t>Luke Hobson|2025-05-15|LCM|100|Free|49.69|ST TXLA Longhorn Aquatics|PRE|False</t>
        </is>
      </c>
      <c r="AE2416" s="53">
        <f>G2416+L2416/1000+ROW()/1000000000</f>
        <v/>
      </c>
      <c r="AF2416" s="35">
        <f>IF(C2416&lt;&gt;"Grayson Coulter","",COUNTIFS($C$5:$C$2991,"Grayson Coulter",$Q$5:$Q$2991,Q2416,$AE$5:$AE$2991,"&lt;="&amp;AE2416,$R$5:$R$2991,"&lt;"&amp;R2416))</f>
        <v/>
      </c>
      <c r="AG2416" s="35">
        <f>IF(OR(C2416&lt;&gt;"Grayson Coulter",G2416&lt;'00_Control'!$B$7),"",--(AF2416&lt;5))</f>
        <v/>
      </c>
      <c r="AH2416" s="35">
        <f>IF(OR(C2416&lt;&gt;"Grayson Coulter",G2416&lt;'00_Control'!$B$7),"",--(AF2416&lt;10))</f>
        <v/>
      </c>
      <c r="AI2416" s="35">
        <f>IF(AND(C2416="Grayson Coulter",G2416&gt;='00_Control'!$B$7),"YES","NO")</f>
        <v/>
      </c>
      <c r="AJ2416" s="33" t="inlineStr">
        <is>
          <t>OK</t>
        </is>
      </c>
    </row>
    <row r="2417">
      <c r="A2417" s="33" t="inlineStr">
        <is>
          <t>SM002413</t>
        </is>
      </c>
      <c r="B2417" s="33" t="inlineStr">
        <is>
          <t>SW014</t>
        </is>
      </c>
      <c r="C2417" s="33" t="inlineStr">
        <is>
          <t>Luke Hobson</t>
        </is>
      </c>
      <c r="D2417" s="33" t="inlineStr">
        <is>
          <t>SwimCloud</t>
        </is>
      </c>
      <c r="E2417" s="33" t="inlineStr">
        <is>
          <t>576911</t>
        </is>
      </c>
      <c r="F2417" s="33" t="inlineStr">
        <is>
          <t>152306549</t>
        </is>
      </c>
      <c r="G2417" s="51" t="n">
        <v>45792</v>
      </c>
      <c r="H2417" s="33" t="inlineStr">
        <is>
          <t>ST TXLA Longhorn Aquatics</t>
        </is>
      </c>
      <c r="I2417" s="33" t="inlineStr">
        <is>
          <t>344302</t>
        </is>
      </c>
      <c r="J2417" s="33" t="inlineStr"/>
      <c r="K2417" s="33" t="inlineStr">
        <is>
          <t>FIN</t>
        </is>
      </c>
      <c r="L2417" s="35">
        <f>IF(K2417="FIN",3,IF(OR(K2417="SEM",K2417="SEMI"),2,IF(OR(K2417="PRE",K2417="HEAT"),1,IF(V2417="YES",4,2))))</f>
        <v/>
      </c>
      <c r="M2417" s="33" t="inlineStr">
        <is>
          <t>LCM</t>
        </is>
      </c>
      <c r="N2417" s="33" t="n">
        <v>100</v>
      </c>
      <c r="O2417" s="33" t="inlineStr">
        <is>
          <t>Free</t>
        </is>
      </c>
      <c r="P2417" s="33" t="inlineStr">
        <is>
          <t>100 Free</t>
        </is>
      </c>
      <c r="Q2417" s="33" t="inlineStr">
        <is>
          <t>LCM_100_FREE</t>
        </is>
      </c>
      <c r="R2417" s="36" t="n">
        <v>49.34</v>
      </c>
      <c r="S2417" s="35">
        <f>IF(R2417="","",IF(R2417&gt;=60,INT(R2417/60)&amp;":"&amp;TEXT(MOD(R2417,60),"00.00"),TEXT(R2417,"0.00")))</f>
        <v/>
      </c>
      <c r="T2417" s="52">
        <f>IFERROR((G2417-INDEX('01_Swimmers'!$E$5:$E$22,MATCH(B2417,'01_Swimmers'!$A$5:$A$22,0)))/'00_Control'!$B$10,"")</f>
        <v/>
      </c>
      <c r="U2417" s="35">
        <f>IF(T2417="","",INT(T2417))</f>
        <v/>
      </c>
      <c r="V2417" s="33" t="inlineStr">
        <is>
          <t>NO</t>
        </is>
      </c>
      <c r="W2417" s="33" t="inlineStr">
        <is>
          <t>YES</t>
        </is>
      </c>
      <c r="X2417" s="33" t="inlineStr">
        <is>
          <t>NO</t>
        </is>
      </c>
      <c r="Y2417" s="33" t="n">
        <v>2</v>
      </c>
      <c r="Z2417" s="33" t="n">
        <v>3</v>
      </c>
      <c r="AA2417" s="33" t="inlineStr">
        <is>
          <t>2</t>
        </is>
      </c>
      <c r="AB2417" s="33" t="inlineStr">
        <is>
          <t>https://www.swimcloud.com/results/344302/event/4/?id=152306549#time152306549</t>
        </is>
      </c>
      <c r="AC2417" s="33" t="inlineStr">
        <is>
          <t>SwimCloud API v6 2026-10-08</t>
        </is>
      </c>
      <c r="AD2417" s="33" t="inlineStr">
        <is>
          <t>Luke Hobson|2025-05-15|LCM|100|Free|49.34|ST TXLA Longhorn Aquatics|FIN|False</t>
        </is>
      </c>
      <c r="AE2417" s="53">
        <f>G2417+L2417/1000+ROW()/1000000000</f>
        <v/>
      </c>
      <c r="AF2417" s="35">
        <f>IF(C2417&lt;&gt;"Grayson Coulter","",COUNTIFS($C$5:$C$2991,"Grayson Coulter",$Q$5:$Q$2991,Q2417,$AE$5:$AE$2991,"&lt;="&amp;AE2417,$R$5:$R$2991,"&lt;"&amp;R2417))</f>
        <v/>
      </c>
      <c r="AG2417" s="35">
        <f>IF(OR(C2417&lt;&gt;"Grayson Coulter",G2417&lt;'00_Control'!$B$7),"",--(AF2417&lt;5))</f>
        <v/>
      </c>
      <c r="AH2417" s="35">
        <f>IF(OR(C2417&lt;&gt;"Grayson Coulter",G2417&lt;'00_Control'!$B$7),"",--(AF2417&lt;10))</f>
        <v/>
      </c>
      <c r="AI2417" s="35">
        <f>IF(AND(C2417="Grayson Coulter",G2417&gt;='00_Control'!$B$7),"YES","NO")</f>
        <v/>
      </c>
      <c r="AJ2417" s="33" t="inlineStr">
        <is>
          <t>OK</t>
        </is>
      </c>
    </row>
    <row r="2418">
      <c r="A2418" s="33" t="inlineStr">
        <is>
          <t>SM002414</t>
        </is>
      </c>
      <c r="B2418" s="33" t="inlineStr">
        <is>
          <t>SW014</t>
        </is>
      </c>
      <c r="C2418" s="33" t="inlineStr">
        <is>
          <t>Luke Hobson</t>
        </is>
      </c>
      <c r="D2418" s="33" t="inlineStr">
        <is>
          <t>SwimCloud</t>
        </is>
      </c>
      <c r="E2418" s="33" t="inlineStr">
        <is>
          <t>576911</t>
        </is>
      </c>
      <c r="F2418" s="33" t="inlineStr">
        <is>
          <t>152306867</t>
        </is>
      </c>
      <c r="G2418" s="51" t="n">
        <v>45792</v>
      </c>
      <c r="H2418" s="33" t="inlineStr">
        <is>
          <t>ST TXLA Longhorn Aquatics</t>
        </is>
      </c>
      <c r="I2418" s="33" t="inlineStr">
        <is>
          <t>344302</t>
        </is>
      </c>
      <c r="J2418" s="33" t="inlineStr"/>
      <c r="K2418" s="33" t="inlineStr">
        <is>
          <t>PRE</t>
        </is>
      </c>
      <c r="L2418" s="35">
        <f>IF(K2418="FIN",3,IF(OR(K2418="SEM",K2418="SEMI"),2,IF(OR(K2418="PRE",K2418="HEAT"),1,IF(V2418="YES",4,2))))</f>
        <v/>
      </c>
      <c r="M2418" s="33" t="inlineStr">
        <is>
          <t>LCM</t>
        </is>
      </c>
      <c r="N2418" s="33" t="n">
        <v>400</v>
      </c>
      <c r="O2418" s="33" t="inlineStr">
        <is>
          <t>Free</t>
        </is>
      </c>
      <c r="P2418" s="33" t="inlineStr">
        <is>
          <t>400 Free</t>
        </is>
      </c>
      <c r="Q2418" s="33" t="inlineStr">
        <is>
          <t>LCM_400_FREE</t>
        </is>
      </c>
      <c r="R2418" s="36" t="n">
        <v>234.21</v>
      </c>
      <c r="S2418" s="35">
        <f>IF(R2418="","",IF(R2418&gt;=60,INT(R2418/60)&amp;":"&amp;TEXT(MOD(R2418,60),"00.00"),TEXT(R2418,"0.00")))</f>
        <v/>
      </c>
      <c r="T2418" s="52">
        <f>IFERROR((G2418-INDEX('01_Swimmers'!$E$5:$E$22,MATCH(B2418,'01_Swimmers'!$A$5:$A$22,0)))/'00_Control'!$B$10,"")</f>
        <v/>
      </c>
      <c r="U2418" s="35">
        <f>IF(T2418="","",INT(T2418))</f>
        <v/>
      </c>
      <c r="V2418" s="33" t="inlineStr">
        <is>
          <t>NO</t>
        </is>
      </c>
      <c r="W2418" s="33" t="inlineStr">
        <is>
          <t>YES</t>
        </is>
      </c>
      <c r="X2418" s="33" t="inlineStr">
        <is>
          <t>NO</t>
        </is>
      </c>
      <c r="Y2418" s="33" t="n">
        <v>2</v>
      </c>
      <c r="Z2418" s="33" t="n">
        <v>3</v>
      </c>
      <c r="AA2418" s="33" t="inlineStr">
        <is>
          <t>3</t>
        </is>
      </c>
      <c r="AB2418" s="33" t="inlineStr">
        <is>
          <t>https://www.swimcloud.com/results/344302/event/10/?id=152306867#time152306867</t>
        </is>
      </c>
      <c r="AC2418" s="33" t="inlineStr">
        <is>
          <t>SwimCloud API v6 2026-10-08</t>
        </is>
      </c>
      <c r="AD2418" s="33" t="inlineStr">
        <is>
          <t>Luke Hobson|2025-05-15|LCM|400|Free|234.21|ST TXLA Longhorn Aquatics|PRE|False</t>
        </is>
      </c>
      <c r="AE2418" s="53">
        <f>G2418+L2418/1000+ROW()/1000000000</f>
        <v/>
      </c>
      <c r="AF2418" s="35">
        <f>IF(C2418&lt;&gt;"Grayson Coulter","",COUNTIFS($C$5:$C$2991,"Grayson Coulter",$Q$5:$Q$2991,Q2418,$AE$5:$AE$2991,"&lt;="&amp;AE2418,$R$5:$R$2991,"&lt;"&amp;R2418))</f>
        <v/>
      </c>
      <c r="AG2418" s="35">
        <f>IF(OR(C2418&lt;&gt;"Grayson Coulter",G2418&lt;'00_Control'!$B$7),"",--(AF2418&lt;5))</f>
        <v/>
      </c>
      <c r="AH2418" s="35">
        <f>IF(OR(C2418&lt;&gt;"Grayson Coulter",G2418&lt;'00_Control'!$B$7),"",--(AF2418&lt;10))</f>
        <v/>
      </c>
      <c r="AI2418" s="35">
        <f>IF(AND(C2418="Grayson Coulter",G2418&gt;='00_Control'!$B$7),"YES","NO")</f>
        <v/>
      </c>
      <c r="AJ2418" s="33" t="inlineStr">
        <is>
          <t>OK</t>
        </is>
      </c>
    </row>
    <row r="2419">
      <c r="A2419" s="33" t="inlineStr">
        <is>
          <t>SM002415</t>
        </is>
      </c>
      <c r="B2419" s="33" t="inlineStr">
        <is>
          <t>SW014</t>
        </is>
      </c>
      <c r="C2419" s="33" t="inlineStr">
        <is>
          <t>Luke Hobson</t>
        </is>
      </c>
      <c r="D2419" s="33" t="inlineStr">
        <is>
          <t>SwimCloud</t>
        </is>
      </c>
      <c r="E2419" s="33" t="inlineStr">
        <is>
          <t>576911</t>
        </is>
      </c>
      <c r="F2419" s="33" t="inlineStr">
        <is>
          <t>152306868</t>
        </is>
      </c>
      <c r="G2419" s="51" t="n">
        <v>45792</v>
      </c>
      <c r="H2419" s="33" t="inlineStr">
        <is>
          <t>ST TXLA Longhorn Aquatics</t>
        </is>
      </c>
      <c r="I2419" s="33" t="inlineStr">
        <is>
          <t>344302</t>
        </is>
      </c>
      <c r="J2419" s="33" t="inlineStr"/>
      <c r="K2419" s="33" t="inlineStr">
        <is>
          <t>FIN</t>
        </is>
      </c>
      <c r="L2419" s="35">
        <f>IF(K2419="FIN",3,IF(OR(K2419="SEM",K2419="SEMI"),2,IF(OR(K2419="PRE",K2419="HEAT"),1,IF(V2419="YES",4,2))))</f>
        <v/>
      </c>
      <c r="M2419" s="33" t="inlineStr">
        <is>
          <t>LCM</t>
        </is>
      </c>
      <c r="N2419" s="33" t="n">
        <v>400</v>
      </c>
      <c r="O2419" s="33" t="inlineStr">
        <is>
          <t>Free</t>
        </is>
      </c>
      <c r="P2419" s="33" t="inlineStr">
        <is>
          <t>400 Free</t>
        </is>
      </c>
      <c r="Q2419" s="33" t="inlineStr">
        <is>
          <t>LCM_400_FREE</t>
        </is>
      </c>
      <c r="R2419" s="36" t="n">
        <v>237.48</v>
      </c>
      <c r="S2419" s="35">
        <f>IF(R2419="","",IF(R2419&gt;=60,INT(R2419/60)&amp;":"&amp;TEXT(MOD(R2419,60),"00.00"),TEXT(R2419,"0.00")))</f>
        <v/>
      </c>
      <c r="T2419" s="52">
        <f>IFERROR((G2419-INDEX('01_Swimmers'!$E$5:$E$22,MATCH(B2419,'01_Swimmers'!$A$5:$A$22,0)))/'00_Control'!$B$10,"")</f>
        <v/>
      </c>
      <c r="U2419" s="35">
        <f>IF(T2419="","",INT(T2419))</f>
        <v/>
      </c>
      <c r="V2419" s="33" t="inlineStr">
        <is>
          <t>NO</t>
        </is>
      </c>
      <c r="W2419" s="33" t="inlineStr">
        <is>
          <t>YES</t>
        </is>
      </c>
      <c r="X2419" s="33" t="inlineStr">
        <is>
          <t>NO</t>
        </is>
      </c>
      <c r="Y2419" s="33" t="n">
        <v>2</v>
      </c>
      <c r="Z2419" s="33" t="n">
        <v>3</v>
      </c>
      <c r="AA2419" s="33" t="inlineStr">
        <is>
          <t>6</t>
        </is>
      </c>
      <c r="AB2419" s="33" t="inlineStr">
        <is>
          <t>https://www.swimcloud.com/results/344302/event/10/?id=152306868#time152306868</t>
        </is>
      </c>
      <c r="AC2419" s="33" t="inlineStr">
        <is>
          <t>SwimCloud API v6 2026-10-08</t>
        </is>
      </c>
      <c r="AD2419" s="33" t="inlineStr">
        <is>
          <t>Luke Hobson|2025-05-15|LCM|400|Free|237.48|ST TXLA Longhorn Aquatics|FIN|False</t>
        </is>
      </c>
      <c r="AE2419" s="53">
        <f>G2419+L2419/1000+ROW()/1000000000</f>
        <v/>
      </c>
      <c r="AF2419" s="35">
        <f>IF(C2419&lt;&gt;"Grayson Coulter","",COUNTIFS($C$5:$C$2991,"Grayson Coulter",$Q$5:$Q$2991,Q2419,$AE$5:$AE$2991,"&lt;="&amp;AE2419,$R$5:$R$2991,"&lt;"&amp;R2419))</f>
        <v/>
      </c>
      <c r="AG2419" s="35">
        <f>IF(OR(C2419&lt;&gt;"Grayson Coulter",G2419&lt;'00_Control'!$B$7),"",--(AF2419&lt;5))</f>
        <v/>
      </c>
      <c r="AH2419" s="35">
        <f>IF(OR(C2419&lt;&gt;"Grayson Coulter",G2419&lt;'00_Control'!$B$7),"",--(AF2419&lt;10))</f>
        <v/>
      </c>
      <c r="AI2419" s="35">
        <f>IF(AND(C2419="Grayson Coulter",G2419&gt;='00_Control'!$B$7),"YES","NO")</f>
        <v/>
      </c>
      <c r="AJ2419" s="33" t="inlineStr">
        <is>
          <t>OK</t>
        </is>
      </c>
    </row>
    <row r="2420">
      <c r="A2420" s="33" t="inlineStr">
        <is>
          <t>SM002416</t>
        </is>
      </c>
      <c r="B2420" s="33" t="inlineStr">
        <is>
          <t>SW014</t>
        </is>
      </c>
      <c r="C2420" s="33" t="inlineStr">
        <is>
          <t>Luke Hobson</t>
        </is>
      </c>
      <c r="D2420" s="33" t="inlineStr">
        <is>
          <t>SwimCloud</t>
        </is>
      </c>
      <c r="E2420" s="33" t="inlineStr">
        <is>
          <t>576911</t>
        </is>
      </c>
      <c r="F2420" s="33" t="inlineStr">
        <is>
          <t>152306630</t>
        </is>
      </c>
      <c r="G2420" s="51" t="n">
        <v>45793</v>
      </c>
      <c r="H2420" s="33" t="inlineStr">
        <is>
          <t>ST TXLA Longhorn Aquatics</t>
        </is>
      </c>
      <c r="I2420" s="33" t="inlineStr">
        <is>
          <t>344302</t>
        </is>
      </c>
      <c r="J2420" s="33" t="inlineStr"/>
      <c r="K2420" s="33" t="inlineStr">
        <is>
          <t>PRE</t>
        </is>
      </c>
      <c r="L2420" s="35">
        <f>IF(K2420="FIN",3,IF(OR(K2420="SEM",K2420="SEMI"),2,IF(OR(K2420="PRE",K2420="HEAT"),1,IF(V2420="YES",4,2))))</f>
        <v/>
      </c>
      <c r="M2420" s="33" t="inlineStr">
        <is>
          <t>LCM</t>
        </is>
      </c>
      <c r="N2420" s="33" t="n">
        <v>200</v>
      </c>
      <c r="O2420" s="33" t="inlineStr">
        <is>
          <t>Free</t>
        </is>
      </c>
      <c r="P2420" s="33" t="inlineStr">
        <is>
          <t>200 Free</t>
        </is>
      </c>
      <c r="Q2420" s="33" t="inlineStr">
        <is>
          <t>LCM_200_FREE</t>
        </is>
      </c>
      <c r="R2420" s="36" t="n">
        <v>108.38</v>
      </c>
      <c r="S2420" s="35">
        <f>IF(R2420="","",IF(R2420&gt;=60,INT(R2420/60)&amp;":"&amp;TEXT(MOD(R2420,60),"00.00"),TEXT(R2420,"0.00")))</f>
        <v/>
      </c>
      <c r="T2420" s="52">
        <f>IFERROR((G2420-INDEX('01_Swimmers'!$E$5:$E$22,MATCH(B2420,'01_Swimmers'!$A$5:$A$22,0)))/'00_Control'!$B$10,"")</f>
        <v/>
      </c>
      <c r="U2420" s="35">
        <f>IF(T2420="","",INT(T2420))</f>
        <v/>
      </c>
      <c r="V2420" s="33" t="inlineStr">
        <is>
          <t>NO</t>
        </is>
      </c>
      <c r="W2420" s="33" t="inlineStr">
        <is>
          <t>YES</t>
        </is>
      </c>
      <c r="X2420" s="33" t="inlineStr">
        <is>
          <t>NO</t>
        </is>
      </c>
      <c r="Y2420" s="33" t="n">
        <v>2</v>
      </c>
      <c r="Z2420" s="33" t="n">
        <v>4</v>
      </c>
      <c r="AA2420" s="33" t="inlineStr">
        <is>
          <t>2</t>
        </is>
      </c>
      <c r="AB2420" s="33" t="inlineStr">
        <is>
          <t>https://www.swimcloud.com/results/344302/event/12/?id=152306630#time152306630</t>
        </is>
      </c>
      <c r="AC2420" s="33" t="inlineStr">
        <is>
          <t>SwimCloud API v6 2026-10-08</t>
        </is>
      </c>
      <c r="AD2420" s="33" t="inlineStr">
        <is>
          <t>Luke Hobson|2025-05-16|LCM|200|Free|108.38|ST TXLA Longhorn Aquatics|PRE|False</t>
        </is>
      </c>
      <c r="AE2420" s="53">
        <f>G2420+L2420/1000+ROW()/1000000000</f>
        <v/>
      </c>
      <c r="AF2420" s="35">
        <f>IF(C2420&lt;&gt;"Grayson Coulter","",COUNTIFS($C$5:$C$2991,"Grayson Coulter",$Q$5:$Q$2991,Q2420,$AE$5:$AE$2991,"&lt;="&amp;AE2420,$R$5:$R$2991,"&lt;"&amp;R2420))</f>
        <v/>
      </c>
      <c r="AG2420" s="35">
        <f>IF(OR(C2420&lt;&gt;"Grayson Coulter",G2420&lt;'00_Control'!$B$7),"",--(AF2420&lt;5))</f>
        <v/>
      </c>
      <c r="AH2420" s="35">
        <f>IF(OR(C2420&lt;&gt;"Grayson Coulter",G2420&lt;'00_Control'!$B$7),"",--(AF2420&lt;10))</f>
        <v/>
      </c>
      <c r="AI2420" s="35">
        <f>IF(AND(C2420="Grayson Coulter",G2420&gt;='00_Control'!$B$7),"YES","NO")</f>
        <v/>
      </c>
      <c r="AJ2420" s="33" t="inlineStr">
        <is>
          <t>OK</t>
        </is>
      </c>
    </row>
    <row r="2421">
      <c r="A2421" s="33" t="inlineStr">
        <is>
          <t>SM002417</t>
        </is>
      </c>
      <c r="B2421" s="33" t="inlineStr">
        <is>
          <t>SW014</t>
        </is>
      </c>
      <c r="C2421" s="33" t="inlineStr">
        <is>
          <t>Luke Hobson</t>
        </is>
      </c>
      <c r="D2421" s="33" t="inlineStr">
        <is>
          <t>SwimCloud</t>
        </is>
      </c>
      <c r="E2421" s="33" t="inlineStr">
        <is>
          <t>576911</t>
        </is>
      </c>
      <c r="F2421" s="33" t="inlineStr">
        <is>
          <t>152306631</t>
        </is>
      </c>
      <c r="G2421" s="51" t="n">
        <v>45793</v>
      </c>
      <c r="H2421" s="33" t="inlineStr">
        <is>
          <t>ST TXLA Longhorn Aquatics</t>
        </is>
      </c>
      <c r="I2421" s="33" t="inlineStr">
        <is>
          <t>344302</t>
        </is>
      </c>
      <c r="J2421" s="33" t="inlineStr"/>
      <c r="K2421" s="33" t="inlineStr">
        <is>
          <t>FIN</t>
        </is>
      </c>
      <c r="L2421" s="35">
        <f>IF(K2421="FIN",3,IF(OR(K2421="SEM",K2421="SEMI"),2,IF(OR(K2421="PRE",K2421="HEAT"),1,IF(V2421="YES",4,2))))</f>
        <v/>
      </c>
      <c r="M2421" s="33" t="inlineStr">
        <is>
          <t>LCM</t>
        </is>
      </c>
      <c r="N2421" s="33" t="n">
        <v>200</v>
      </c>
      <c r="O2421" s="33" t="inlineStr">
        <is>
          <t>Free</t>
        </is>
      </c>
      <c r="P2421" s="33" t="inlineStr">
        <is>
          <t>200 Free</t>
        </is>
      </c>
      <c r="Q2421" s="33" t="inlineStr">
        <is>
          <t>LCM_200_FREE</t>
        </is>
      </c>
      <c r="R2421" s="36" t="n">
        <v>107.35</v>
      </c>
      <c r="S2421" s="35">
        <f>IF(R2421="","",IF(R2421&gt;=60,INT(R2421/60)&amp;":"&amp;TEXT(MOD(R2421,60),"00.00"),TEXT(R2421,"0.00")))</f>
        <v/>
      </c>
      <c r="T2421" s="52">
        <f>IFERROR((G2421-INDEX('01_Swimmers'!$E$5:$E$22,MATCH(B2421,'01_Swimmers'!$A$5:$A$22,0)))/'00_Control'!$B$10,"")</f>
        <v/>
      </c>
      <c r="U2421" s="35">
        <f>IF(T2421="","",INT(T2421))</f>
        <v/>
      </c>
      <c r="V2421" s="33" t="inlineStr">
        <is>
          <t>NO</t>
        </is>
      </c>
      <c r="W2421" s="33" t="inlineStr">
        <is>
          <t>YES</t>
        </is>
      </c>
      <c r="X2421" s="33" t="inlineStr">
        <is>
          <t>NO</t>
        </is>
      </c>
      <c r="Y2421" s="33" t="n">
        <v>2</v>
      </c>
      <c r="Z2421" s="33" t="n">
        <v>5</v>
      </c>
      <c r="AA2421" s="33" t="inlineStr">
        <is>
          <t>2</t>
        </is>
      </c>
      <c r="AB2421" s="33" t="inlineStr">
        <is>
          <t>https://www.swimcloud.com/results/344302/event/12/?id=152306631#time152306631</t>
        </is>
      </c>
      <c r="AC2421" s="33" t="inlineStr">
        <is>
          <t>SwimCloud API v6 2026-10-08</t>
        </is>
      </c>
      <c r="AD2421" s="33" t="inlineStr">
        <is>
          <t>Luke Hobson|2025-05-16|LCM|200|Free|107.35|ST TXLA Longhorn Aquatics|FIN|False</t>
        </is>
      </c>
      <c r="AE2421" s="53">
        <f>G2421+L2421/1000+ROW()/1000000000</f>
        <v/>
      </c>
      <c r="AF2421" s="35">
        <f>IF(C2421&lt;&gt;"Grayson Coulter","",COUNTIFS($C$5:$C$2991,"Grayson Coulter",$Q$5:$Q$2991,Q2421,$AE$5:$AE$2991,"&lt;="&amp;AE2421,$R$5:$R$2991,"&lt;"&amp;R2421))</f>
        <v/>
      </c>
      <c r="AG2421" s="35">
        <f>IF(OR(C2421&lt;&gt;"Grayson Coulter",G2421&lt;'00_Control'!$B$7),"",--(AF2421&lt;5))</f>
        <v/>
      </c>
      <c r="AH2421" s="35">
        <f>IF(OR(C2421&lt;&gt;"Grayson Coulter",G2421&lt;'00_Control'!$B$7),"",--(AF2421&lt;10))</f>
        <v/>
      </c>
      <c r="AI2421" s="35">
        <f>IF(AND(C2421="Grayson Coulter",G2421&gt;='00_Control'!$B$7),"YES","NO")</f>
        <v/>
      </c>
      <c r="AJ2421" s="33" t="inlineStr">
        <is>
          <t>OK</t>
        </is>
      </c>
    </row>
    <row r="2422">
      <c r="A2422" s="33" t="inlineStr">
        <is>
          <t>SM002418</t>
        </is>
      </c>
      <c r="B2422" s="33" t="inlineStr">
        <is>
          <t>SW014</t>
        </is>
      </c>
      <c r="C2422" s="33" t="inlineStr">
        <is>
          <t>Luke Hobson</t>
        </is>
      </c>
      <c r="D2422" s="33" t="inlineStr">
        <is>
          <t>SwimCloud</t>
        </is>
      </c>
      <c r="E2422" s="33" t="inlineStr">
        <is>
          <t>576911</t>
        </is>
      </c>
      <c r="F2422" s="33" t="inlineStr">
        <is>
          <t>153093208</t>
        </is>
      </c>
      <c r="G2422" s="51" t="n">
        <v>45811</v>
      </c>
      <c r="H2422" s="33" t="inlineStr">
        <is>
          <t>USA Swimming National Championships</t>
        </is>
      </c>
      <c r="I2422" s="33" t="inlineStr">
        <is>
          <t>321137</t>
        </is>
      </c>
      <c r="J2422" s="33" t="inlineStr"/>
      <c r="K2422" s="33" t="inlineStr">
        <is>
          <t>PRE</t>
        </is>
      </c>
      <c r="L2422" s="35">
        <f>IF(K2422="FIN",3,IF(OR(K2422="SEM",K2422="SEMI"),2,IF(OR(K2422="PRE",K2422="HEAT"),1,IF(V2422="YES",4,2))))</f>
        <v/>
      </c>
      <c r="M2422" s="33" t="inlineStr">
        <is>
          <t>LCM</t>
        </is>
      </c>
      <c r="N2422" s="33" t="n">
        <v>100</v>
      </c>
      <c r="O2422" s="33" t="inlineStr">
        <is>
          <t>Free</t>
        </is>
      </c>
      <c r="P2422" s="33" t="inlineStr">
        <is>
          <t>100 Free</t>
        </is>
      </c>
      <c r="Q2422" s="33" t="inlineStr">
        <is>
          <t>LCM_100_FREE</t>
        </is>
      </c>
      <c r="R2422" s="36" t="n">
        <v>48.83</v>
      </c>
      <c r="S2422" s="35">
        <f>IF(R2422="","",IF(R2422&gt;=60,INT(R2422/60)&amp;":"&amp;TEXT(MOD(R2422,60),"00.00"),TEXT(R2422,"0.00")))</f>
        <v/>
      </c>
      <c r="T2422" s="52">
        <f>IFERROR((G2422-INDEX('01_Swimmers'!$E$5:$E$22,MATCH(B2422,'01_Swimmers'!$A$5:$A$22,0)))/'00_Control'!$B$10,"")</f>
        <v/>
      </c>
      <c r="U2422" s="35">
        <f>IF(T2422="","",INT(T2422))</f>
        <v/>
      </c>
      <c r="V2422" s="33" t="inlineStr">
        <is>
          <t>NO</t>
        </is>
      </c>
      <c r="W2422" s="33" t="inlineStr">
        <is>
          <t>YES</t>
        </is>
      </c>
      <c r="X2422" s="33" t="inlineStr">
        <is>
          <t>NO</t>
        </is>
      </c>
      <c r="Y2422" s="33" t="n">
        <v>8</v>
      </c>
      <c r="Z2422" s="33" t="n">
        <v>2</v>
      </c>
      <c r="AA2422" s="33" t="inlineStr">
        <is>
          <t>12</t>
        </is>
      </c>
      <c r="AB2422" s="33" t="inlineStr">
        <is>
          <t>https://www.swimcloud.com/results/321137/event/4/?id=153093208#time153093208</t>
        </is>
      </c>
      <c r="AC2422" s="33" t="inlineStr">
        <is>
          <t>SwimCloud API v6 2026-10-08</t>
        </is>
      </c>
      <c r="AD2422" s="33" t="inlineStr">
        <is>
          <t>Luke Hobson|2025-06-03|LCM|100|Free|48.83|USA Swimming National Championships|PRE|False</t>
        </is>
      </c>
      <c r="AE2422" s="53">
        <f>G2422+L2422/1000+ROW()/1000000000</f>
        <v/>
      </c>
      <c r="AF2422" s="35">
        <f>IF(C2422&lt;&gt;"Grayson Coulter","",COUNTIFS($C$5:$C$2991,"Grayson Coulter",$Q$5:$Q$2991,Q2422,$AE$5:$AE$2991,"&lt;="&amp;AE2422,$R$5:$R$2991,"&lt;"&amp;R2422))</f>
        <v/>
      </c>
      <c r="AG2422" s="35">
        <f>IF(OR(C2422&lt;&gt;"Grayson Coulter",G2422&lt;'00_Control'!$B$7),"",--(AF2422&lt;5))</f>
        <v/>
      </c>
      <c r="AH2422" s="35">
        <f>IF(OR(C2422&lt;&gt;"Grayson Coulter",G2422&lt;'00_Control'!$B$7),"",--(AF2422&lt;10))</f>
        <v/>
      </c>
      <c r="AI2422" s="35">
        <f>IF(AND(C2422="Grayson Coulter",G2422&gt;='00_Control'!$B$7),"YES","NO")</f>
        <v/>
      </c>
      <c r="AJ2422" s="33" t="inlineStr">
        <is>
          <t>OK</t>
        </is>
      </c>
    </row>
    <row r="2423">
      <c r="A2423" s="33" t="inlineStr">
        <is>
          <t>SM002419</t>
        </is>
      </c>
      <c r="B2423" s="33" t="inlineStr">
        <is>
          <t>SW014</t>
        </is>
      </c>
      <c r="C2423" s="33" t="inlineStr">
        <is>
          <t>Luke Hobson</t>
        </is>
      </c>
      <c r="D2423" s="33" t="inlineStr">
        <is>
          <t>SwimCloud</t>
        </is>
      </c>
      <c r="E2423" s="33" t="inlineStr">
        <is>
          <t>576911</t>
        </is>
      </c>
      <c r="F2423" s="33" t="inlineStr">
        <is>
          <t>153093210</t>
        </is>
      </c>
      <c r="G2423" s="51" t="n">
        <v>45812</v>
      </c>
      <c r="H2423" s="33" t="inlineStr">
        <is>
          <t>USA Swimming National Championships</t>
        </is>
      </c>
      <c r="I2423" s="33" t="inlineStr">
        <is>
          <t>321137</t>
        </is>
      </c>
      <c r="J2423" s="33" t="inlineStr"/>
      <c r="K2423" s="33" t="inlineStr">
        <is>
          <t>PRE</t>
        </is>
      </c>
      <c r="L2423" s="35">
        <f>IF(K2423="FIN",3,IF(OR(K2423="SEM",K2423="SEMI"),2,IF(OR(K2423="PRE",K2423="HEAT"),1,IF(V2423="YES",4,2))))</f>
        <v/>
      </c>
      <c r="M2423" s="33" t="inlineStr">
        <is>
          <t>LCM</t>
        </is>
      </c>
      <c r="N2423" s="33" t="n">
        <v>200</v>
      </c>
      <c r="O2423" s="33" t="inlineStr">
        <is>
          <t>Free</t>
        </is>
      </c>
      <c r="P2423" s="33" t="inlineStr">
        <is>
          <t>200 Free</t>
        </is>
      </c>
      <c r="Q2423" s="33" t="inlineStr">
        <is>
          <t>LCM_200_FREE</t>
        </is>
      </c>
      <c r="R2423" s="36" t="n">
        <v>104.78</v>
      </c>
      <c r="S2423" s="35">
        <f>IF(R2423="","",IF(R2423&gt;=60,INT(R2423/60)&amp;":"&amp;TEXT(MOD(R2423,60),"00.00"),TEXT(R2423,"0.00")))</f>
        <v/>
      </c>
      <c r="T2423" s="52">
        <f>IFERROR((G2423-INDEX('01_Swimmers'!$E$5:$E$22,MATCH(B2423,'01_Swimmers'!$A$5:$A$22,0)))/'00_Control'!$B$10,"")</f>
        <v/>
      </c>
      <c r="U2423" s="35">
        <f>IF(T2423="","",INT(T2423))</f>
        <v/>
      </c>
      <c r="V2423" s="33" t="inlineStr">
        <is>
          <t>NO</t>
        </is>
      </c>
      <c r="W2423" s="33" t="inlineStr">
        <is>
          <t>YES</t>
        </is>
      </c>
      <c r="X2423" s="33" t="inlineStr">
        <is>
          <t>NO</t>
        </is>
      </c>
      <c r="Y2423" s="33" t="n">
        <v>8</v>
      </c>
      <c r="Z2423" s="33" t="n">
        <v>4</v>
      </c>
      <c r="AA2423" s="33" t="inlineStr">
        <is>
          <t>1</t>
        </is>
      </c>
      <c r="AB2423" s="33" t="inlineStr">
        <is>
          <t>https://www.swimcloud.com/results/321137/event/8/?id=153093210#time153093210</t>
        </is>
      </c>
      <c r="AC2423" s="33" t="inlineStr">
        <is>
          <t>SwimCloud API v6 2026-10-08</t>
        </is>
      </c>
      <c r="AD2423" s="33" t="inlineStr">
        <is>
          <t>Luke Hobson|2025-06-04|LCM|200|Free|104.78|USA Swimming National Championships|PRE|False</t>
        </is>
      </c>
      <c r="AE2423" s="53">
        <f>G2423+L2423/1000+ROW()/1000000000</f>
        <v/>
      </c>
      <c r="AF2423" s="35">
        <f>IF(C2423&lt;&gt;"Grayson Coulter","",COUNTIFS($C$5:$C$2991,"Grayson Coulter",$Q$5:$Q$2991,Q2423,$AE$5:$AE$2991,"&lt;="&amp;AE2423,$R$5:$R$2991,"&lt;"&amp;R2423))</f>
        <v/>
      </c>
      <c r="AG2423" s="35">
        <f>IF(OR(C2423&lt;&gt;"Grayson Coulter",G2423&lt;'00_Control'!$B$7),"",--(AF2423&lt;5))</f>
        <v/>
      </c>
      <c r="AH2423" s="35">
        <f>IF(OR(C2423&lt;&gt;"Grayson Coulter",G2423&lt;'00_Control'!$B$7),"",--(AF2423&lt;10))</f>
        <v/>
      </c>
      <c r="AI2423" s="35">
        <f>IF(AND(C2423="Grayson Coulter",G2423&gt;='00_Control'!$B$7),"YES","NO")</f>
        <v/>
      </c>
      <c r="AJ2423" s="33" t="inlineStr">
        <is>
          <t>OK</t>
        </is>
      </c>
    </row>
    <row r="2424">
      <c r="A2424" s="33" t="inlineStr">
        <is>
          <t>SM002420</t>
        </is>
      </c>
      <c r="B2424" s="33" t="inlineStr">
        <is>
          <t>SW014</t>
        </is>
      </c>
      <c r="C2424" s="33" t="inlineStr">
        <is>
          <t>Luke Hobson</t>
        </is>
      </c>
      <c r="D2424" s="33" t="inlineStr">
        <is>
          <t>SwimCloud</t>
        </is>
      </c>
      <c r="E2424" s="33" t="inlineStr">
        <is>
          <t>576911</t>
        </is>
      </c>
      <c r="F2424" s="33" t="inlineStr">
        <is>
          <t>153093209</t>
        </is>
      </c>
      <c r="G2424" s="51" t="n">
        <v>45812</v>
      </c>
      <c r="H2424" s="33" t="inlineStr">
        <is>
          <t>USA Swimming National Championships</t>
        </is>
      </c>
      <c r="I2424" s="33" t="inlineStr">
        <is>
          <t>321137</t>
        </is>
      </c>
      <c r="J2424" s="33" t="inlineStr"/>
      <c r="K2424" s="33" t="inlineStr">
        <is>
          <t>FIN</t>
        </is>
      </c>
      <c r="L2424" s="35">
        <f>IF(K2424="FIN",3,IF(OR(K2424="SEM",K2424="SEMI"),2,IF(OR(K2424="PRE",K2424="HEAT"),1,IF(V2424="YES",4,2))))</f>
        <v/>
      </c>
      <c r="M2424" s="33" t="inlineStr">
        <is>
          <t>LCM</t>
        </is>
      </c>
      <c r="N2424" s="33" t="n">
        <v>200</v>
      </c>
      <c r="O2424" s="33" t="inlineStr">
        <is>
          <t>Free</t>
        </is>
      </c>
      <c r="P2424" s="33" t="inlineStr">
        <is>
          <t>200 Free</t>
        </is>
      </c>
      <c r="Q2424" s="33" t="inlineStr">
        <is>
          <t>LCM_200_FREE</t>
        </is>
      </c>
      <c r="R2424" s="36" t="n">
        <v>103.73</v>
      </c>
      <c r="S2424" s="35">
        <f>IF(R2424="","",IF(R2424&gt;=60,INT(R2424/60)&amp;":"&amp;TEXT(MOD(R2424,60),"00.00"),TEXT(R2424,"0.00")))</f>
        <v/>
      </c>
      <c r="T2424" s="52">
        <f>IFERROR((G2424-INDEX('01_Swimmers'!$E$5:$E$22,MATCH(B2424,'01_Swimmers'!$A$5:$A$22,0)))/'00_Control'!$B$10,"")</f>
        <v/>
      </c>
      <c r="U2424" s="35">
        <f>IF(T2424="","",INT(T2424))</f>
        <v/>
      </c>
      <c r="V2424" s="33" t="inlineStr">
        <is>
          <t>NO</t>
        </is>
      </c>
      <c r="W2424" s="33" t="inlineStr">
        <is>
          <t>YES</t>
        </is>
      </c>
      <c r="X2424" s="33" t="inlineStr">
        <is>
          <t>NO</t>
        </is>
      </c>
      <c r="Y2424" s="33" t="n">
        <v>1</v>
      </c>
      <c r="Z2424" s="33" t="n">
        <v>4</v>
      </c>
      <c r="AA2424" s="33" t="inlineStr">
        <is>
          <t>1</t>
        </is>
      </c>
      <c r="AB2424" s="33" t="inlineStr">
        <is>
          <t>https://www.swimcloud.com/results/321137/event/8/?id=153093209#time153093209</t>
        </is>
      </c>
      <c r="AC2424" s="33" t="inlineStr">
        <is>
          <t>SwimCloud API v6 2026-10-08</t>
        </is>
      </c>
      <c r="AD2424" s="33" t="inlineStr">
        <is>
          <t>Luke Hobson|2025-06-04|LCM|200|Free|103.73|USA Swimming National Championships|FIN|False</t>
        </is>
      </c>
      <c r="AE2424" s="53">
        <f>G2424+L2424/1000+ROW()/1000000000</f>
        <v/>
      </c>
      <c r="AF2424" s="35">
        <f>IF(C2424&lt;&gt;"Grayson Coulter","",COUNTIFS($C$5:$C$2991,"Grayson Coulter",$Q$5:$Q$2991,Q2424,$AE$5:$AE$2991,"&lt;="&amp;AE2424,$R$5:$R$2991,"&lt;"&amp;R2424))</f>
        <v/>
      </c>
      <c r="AG2424" s="35">
        <f>IF(OR(C2424&lt;&gt;"Grayson Coulter",G2424&lt;'00_Control'!$B$7),"",--(AF2424&lt;5))</f>
        <v/>
      </c>
      <c r="AH2424" s="35">
        <f>IF(OR(C2424&lt;&gt;"Grayson Coulter",G2424&lt;'00_Control'!$B$7),"",--(AF2424&lt;10))</f>
        <v/>
      </c>
      <c r="AI2424" s="35">
        <f>IF(AND(C2424="Grayson Coulter",G2424&gt;='00_Control'!$B$7),"YES","NO")</f>
        <v/>
      </c>
      <c r="AJ2424" s="33" t="inlineStr">
        <is>
          <t>OK</t>
        </is>
      </c>
    </row>
    <row r="2425">
      <c r="A2425" s="33" t="inlineStr">
        <is>
          <t>SM002421</t>
        </is>
      </c>
      <c r="B2425" s="33" t="inlineStr">
        <is>
          <t>SW014</t>
        </is>
      </c>
      <c r="C2425" s="33" t="inlineStr">
        <is>
          <t>Luke Hobson</t>
        </is>
      </c>
      <c r="D2425" s="33" t="inlineStr">
        <is>
          <t>SwimCloud</t>
        </is>
      </c>
      <c r="E2425" s="33" t="inlineStr">
        <is>
          <t>576911</t>
        </is>
      </c>
      <c r="F2425" s="33" t="inlineStr">
        <is>
          <t>153093212</t>
        </is>
      </c>
      <c r="G2425" s="51" t="n">
        <v>45814</v>
      </c>
      <c r="H2425" s="33" t="inlineStr">
        <is>
          <t>USA Swimming National Championships</t>
        </is>
      </c>
      <c r="I2425" s="33" t="inlineStr">
        <is>
          <t>321137</t>
        </is>
      </c>
      <c r="J2425" s="33" t="inlineStr"/>
      <c r="K2425" s="33" t="inlineStr">
        <is>
          <t>PRE</t>
        </is>
      </c>
      <c r="L2425" s="35">
        <f>IF(K2425="FIN",3,IF(OR(K2425="SEM",K2425="SEMI"),2,IF(OR(K2425="PRE",K2425="HEAT"),1,IF(V2425="YES",4,2))))</f>
        <v/>
      </c>
      <c r="M2425" s="33" t="inlineStr">
        <is>
          <t>LCM</t>
        </is>
      </c>
      <c r="N2425" s="33" t="n">
        <v>400</v>
      </c>
      <c r="O2425" s="33" t="inlineStr">
        <is>
          <t>Free</t>
        </is>
      </c>
      <c r="P2425" s="33" t="inlineStr">
        <is>
          <t>400 Free</t>
        </is>
      </c>
      <c r="Q2425" s="33" t="inlineStr">
        <is>
          <t>LCM_400_FREE</t>
        </is>
      </c>
      <c r="R2425" s="36" t="n">
        <v>228.29</v>
      </c>
      <c r="S2425" s="35">
        <f>IF(R2425="","",IF(R2425&gt;=60,INT(R2425/60)&amp;":"&amp;TEXT(MOD(R2425,60),"00.00"),TEXT(R2425,"0.00")))</f>
        <v/>
      </c>
      <c r="T2425" s="52">
        <f>IFERROR((G2425-INDEX('01_Swimmers'!$E$5:$E$22,MATCH(B2425,'01_Swimmers'!$A$5:$A$22,0)))/'00_Control'!$B$10,"")</f>
        <v/>
      </c>
      <c r="U2425" s="35">
        <f>IF(T2425="","",INT(T2425))</f>
        <v/>
      </c>
      <c r="V2425" s="33" t="inlineStr">
        <is>
          <t>NO</t>
        </is>
      </c>
      <c r="W2425" s="33" t="inlineStr">
        <is>
          <t>YES</t>
        </is>
      </c>
      <c r="X2425" s="33" t="inlineStr">
        <is>
          <t>NO</t>
        </is>
      </c>
      <c r="Y2425" s="33" t="n">
        <v>6</v>
      </c>
      <c r="Z2425" s="33" t="n">
        <v>1</v>
      </c>
      <c r="AA2425" s="33" t="inlineStr">
        <is>
          <t>4</t>
        </is>
      </c>
      <c r="AB2425" s="33" t="inlineStr">
        <is>
          <t>https://www.swimcloud.com/results/321137/event/24/?id=153093212#time153093212</t>
        </is>
      </c>
      <c r="AC2425" s="33" t="inlineStr">
        <is>
          <t>SwimCloud API v6 2026-10-08</t>
        </is>
      </c>
      <c r="AD2425" s="33" t="inlineStr">
        <is>
          <t>Luke Hobson|2025-06-06|LCM|400|Free|228.29|USA Swimming National Championships|PRE|False</t>
        </is>
      </c>
      <c r="AE2425" s="53">
        <f>G2425+L2425/1000+ROW()/1000000000</f>
        <v/>
      </c>
      <c r="AF2425" s="35">
        <f>IF(C2425&lt;&gt;"Grayson Coulter","",COUNTIFS($C$5:$C$2991,"Grayson Coulter",$Q$5:$Q$2991,Q2425,$AE$5:$AE$2991,"&lt;="&amp;AE2425,$R$5:$R$2991,"&lt;"&amp;R2425))</f>
        <v/>
      </c>
      <c r="AG2425" s="35">
        <f>IF(OR(C2425&lt;&gt;"Grayson Coulter",G2425&lt;'00_Control'!$B$7),"",--(AF2425&lt;5))</f>
        <v/>
      </c>
      <c r="AH2425" s="35">
        <f>IF(OR(C2425&lt;&gt;"Grayson Coulter",G2425&lt;'00_Control'!$B$7),"",--(AF2425&lt;10))</f>
        <v/>
      </c>
      <c r="AI2425" s="35">
        <f>IF(AND(C2425="Grayson Coulter",G2425&gt;='00_Control'!$B$7),"YES","NO")</f>
        <v/>
      </c>
      <c r="AJ2425" s="33" t="inlineStr">
        <is>
          <t>OK</t>
        </is>
      </c>
    </row>
    <row r="2426">
      <c r="A2426" s="33" t="inlineStr">
        <is>
          <t>SM002422</t>
        </is>
      </c>
      <c r="B2426" s="33" t="inlineStr">
        <is>
          <t>SW014</t>
        </is>
      </c>
      <c r="C2426" s="33" t="inlineStr">
        <is>
          <t>Luke Hobson</t>
        </is>
      </c>
      <c r="D2426" s="33" t="inlineStr">
        <is>
          <t>SwimCloud</t>
        </is>
      </c>
      <c r="E2426" s="33" t="inlineStr">
        <is>
          <t>576911</t>
        </is>
      </c>
      <c r="F2426" s="33" t="inlineStr">
        <is>
          <t>153093211</t>
        </is>
      </c>
      <c r="G2426" s="51" t="n">
        <v>45814</v>
      </c>
      <c r="H2426" s="33" t="inlineStr">
        <is>
          <t>USA Swimming National Championships</t>
        </is>
      </c>
      <c r="I2426" s="33" t="inlineStr">
        <is>
          <t>321137</t>
        </is>
      </c>
      <c r="J2426" s="33" t="inlineStr"/>
      <c r="K2426" s="33" t="inlineStr">
        <is>
          <t>FIN</t>
        </is>
      </c>
      <c r="L2426" s="35">
        <f>IF(K2426="FIN",3,IF(OR(K2426="SEM",K2426="SEMI"),2,IF(OR(K2426="PRE",K2426="HEAT"),1,IF(V2426="YES",4,2))))</f>
        <v/>
      </c>
      <c r="M2426" s="33" t="inlineStr">
        <is>
          <t>LCM</t>
        </is>
      </c>
      <c r="N2426" s="33" t="n">
        <v>400</v>
      </c>
      <c r="O2426" s="33" t="inlineStr">
        <is>
          <t>Free</t>
        </is>
      </c>
      <c r="P2426" s="33" t="inlineStr">
        <is>
          <t>400 Free</t>
        </is>
      </c>
      <c r="Q2426" s="33" t="inlineStr">
        <is>
          <t>LCM_400_FREE</t>
        </is>
      </c>
      <c r="R2426" s="36" t="n">
        <v>227.47</v>
      </c>
      <c r="S2426" s="35">
        <f>IF(R2426="","",IF(R2426&gt;=60,INT(R2426/60)&amp;":"&amp;TEXT(MOD(R2426,60),"00.00"),TEXT(R2426,"0.00")))</f>
        <v/>
      </c>
      <c r="T2426" s="52">
        <f>IFERROR((G2426-INDEX('01_Swimmers'!$E$5:$E$22,MATCH(B2426,'01_Swimmers'!$A$5:$A$22,0)))/'00_Control'!$B$10,"")</f>
        <v/>
      </c>
      <c r="U2426" s="35">
        <f>IF(T2426="","",INT(T2426))</f>
        <v/>
      </c>
      <c r="V2426" s="33" t="inlineStr">
        <is>
          <t>NO</t>
        </is>
      </c>
      <c r="W2426" s="33" t="inlineStr">
        <is>
          <t>YES</t>
        </is>
      </c>
      <c r="X2426" s="33" t="inlineStr">
        <is>
          <t>NO</t>
        </is>
      </c>
      <c r="Y2426" s="33" t="n">
        <v>1</v>
      </c>
      <c r="Z2426" s="33" t="n">
        <v>6</v>
      </c>
      <c r="AA2426" s="33" t="inlineStr">
        <is>
          <t>6</t>
        </is>
      </c>
      <c r="AB2426" s="33" t="inlineStr">
        <is>
          <t>https://www.swimcloud.com/results/321137/event/24/?id=153093211#time153093211</t>
        </is>
      </c>
      <c r="AC2426" s="33" t="inlineStr">
        <is>
          <t>SwimCloud API v6 2026-10-08</t>
        </is>
      </c>
      <c r="AD2426" s="33" t="inlineStr">
        <is>
          <t>Luke Hobson|2025-06-06|LCM|400|Free|227.47|USA Swimming National Championships|FIN|False</t>
        </is>
      </c>
      <c r="AE2426" s="53">
        <f>G2426+L2426/1000+ROW()/1000000000</f>
        <v/>
      </c>
      <c r="AF2426" s="35">
        <f>IF(C2426&lt;&gt;"Grayson Coulter","",COUNTIFS($C$5:$C$2991,"Grayson Coulter",$Q$5:$Q$2991,Q2426,$AE$5:$AE$2991,"&lt;="&amp;AE2426,$R$5:$R$2991,"&lt;"&amp;R2426))</f>
        <v/>
      </c>
      <c r="AG2426" s="35">
        <f>IF(OR(C2426&lt;&gt;"Grayson Coulter",G2426&lt;'00_Control'!$B$7),"",--(AF2426&lt;5))</f>
        <v/>
      </c>
      <c r="AH2426" s="35">
        <f>IF(OR(C2426&lt;&gt;"Grayson Coulter",G2426&lt;'00_Control'!$B$7),"",--(AF2426&lt;10))</f>
        <v/>
      </c>
      <c r="AI2426" s="35">
        <f>IF(AND(C2426="Grayson Coulter",G2426&gt;='00_Control'!$B$7),"YES","NO")</f>
        <v/>
      </c>
      <c r="AJ2426" s="33" t="inlineStr">
        <is>
          <t>OK</t>
        </is>
      </c>
    </row>
    <row r="2427">
      <c r="A2427" s="33" t="inlineStr">
        <is>
          <t>SM002423</t>
        </is>
      </c>
      <c r="B2427" s="33" t="inlineStr">
        <is>
          <t>SW014</t>
        </is>
      </c>
      <c r="C2427" s="33" t="inlineStr">
        <is>
          <t>Luke Hobson</t>
        </is>
      </c>
      <c r="D2427" s="33" t="inlineStr">
        <is>
          <t>SwimCloud</t>
        </is>
      </c>
      <c r="E2427" s="33" t="inlineStr">
        <is>
          <t>576911</t>
        </is>
      </c>
      <c r="F2427" s="33" t="inlineStr">
        <is>
          <t>154308989</t>
        </is>
      </c>
      <c r="G2427" s="51" t="n">
        <v>45834</v>
      </c>
      <c r="H2427" s="33" t="inlineStr">
        <is>
          <t>Indy Summer Cup</t>
        </is>
      </c>
      <c r="I2427" s="33" t="inlineStr">
        <is>
          <t>346244</t>
        </is>
      </c>
      <c r="J2427" s="33" t="inlineStr"/>
      <c r="K2427" s="33" t="inlineStr">
        <is>
          <t>PRE</t>
        </is>
      </c>
      <c r="L2427" s="35">
        <f>IF(K2427="FIN",3,IF(OR(K2427="SEM",K2427="SEMI"),2,IF(OR(K2427="PRE",K2427="HEAT"),1,IF(V2427="YES",4,2))))</f>
        <v/>
      </c>
      <c r="M2427" s="33" t="inlineStr">
        <is>
          <t>LCM</t>
        </is>
      </c>
      <c r="N2427" s="33" t="n">
        <v>200</v>
      </c>
      <c r="O2427" s="33" t="inlineStr">
        <is>
          <t>Free</t>
        </is>
      </c>
      <c r="P2427" s="33" t="inlineStr">
        <is>
          <t>200 Free</t>
        </is>
      </c>
      <c r="Q2427" s="33" t="inlineStr">
        <is>
          <t>LCM_200_FREE</t>
        </is>
      </c>
      <c r="R2427" s="36" t="n">
        <v>109.33</v>
      </c>
      <c r="S2427" s="35">
        <f>IF(R2427="","",IF(R2427&gt;=60,INT(R2427/60)&amp;":"&amp;TEXT(MOD(R2427,60),"00.00"),TEXT(R2427,"0.00")))</f>
        <v/>
      </c>
      <c r="T2427" s="52">
        <f>IFERROR((G2427-INDEX('01_Swimmers'!$E$5:$E$22,MATCH(B2427,'01_Swimmers'!$A$5:$A$22,0)))/'00_Control'!$B$10,"")</f>
        <v/>
      </c>
      <c r="U2427" s="35">
        <f>IF(T2427="","",INT(T2427))</f>
        <v/>
      </c>
      <c r="V2427" s="33" t="inlineStr">
        <is>
          <t>NO</t>
        </is>
      </c>
      <c r="W2427" s="33" t="inlineStr">
        <is>
          <t>YES</t>
        </is>
      </c>
      <c r="X2427" s="33" t="inlineStr">
        <is>
          <t>NO</t>
        </is>
      </c>
      <c r="Y2427" s="33" t="n">
        <v>13</v>
      </c>
      <c r="Z2427" s="33" t="n">
        <v>4</v>
      </c>
      <c r="AA2427" s="33" t="inlineStr">
        <is>
          <t>3</t>
        </is>
      </c>
      <c r="AB2427" s="33" t="inlineStr">
        <is>
          <t>https://www.swimcloud.com/results/346244/event/4/?id=154308989#time154308989</t>
        </is>
      </c>
      <c r="AC2427" s="33" t="inlineStr">
        <is>
          <t>SwimCloud API v6 2026-10-08</t>
        </is>
      </c>
      <c r="AD2427" s="33" t="inlineStr">
        <is>
          <t>Luke Hobson|2025-06-26|LCM|200|Free|109.33|Indy Summer Cup|PRE|False</t>
        </is>
      </c>
      <c r="AE2427" s="53">
        <f>G2427+L2427/1000+ROW()/1000000000</f>
        <v/>
      </c>
      <c r="AF2427" s="35">
        <f>IF(C2427&lt;&gt;"Grayson Coulter","",COUNTIFS($C$5:$C$2991,"Grayson Coulter",$Q$5:$Q$2991,Q2427,$AE$5:$AE$2991,"&lt;="&amp;AE2427,$R$5:$R$2991,"&lt;"&amp;R2427))</f>
        <v/>
      </c>
      <c r="AG2427" s="35">
        <f>IF(OR(C2427&lt;&gt;"Grayson Coulter",G2427&lt;'00_Control'!$B$7),"",--(AF2427&lt;5))</f>
        <v/>
      </c>
      <c r="AH2427" s="35">
        <f>IF(OR(C2427&lt;&gt;"Grayson Coulter",G2427&lt;'00_Control'!$B$7),"",--(AF2427&lt;10))</f>
        <v/>
      </c>
      <c r="AI2427" s="35">
        <f>IF(AND(C2427="Grayson Coulter",G2427&gt;='00_Control'!$B$7),"YES","NO")</f>
        <v/>
      </c>
      <c r="AJ2427" s="33" t="inlineStr">
        <is>
          <t>OK</t>
        </is>
      </c>
    </row>
    <row r="2428">
      <c r="A2428" s="33" t="inlineStr">
        <is>
          <t>SM002424</t>
        </is>
      </c>
      <c r="B2428" s="33" t="inlineStr">
        <is>
          <t>SW014</t>
        </is>
      </c>
      <c r="C2428" s="33" t="inlineStr">
        <is>
          <t>Luke Hobson</t>
        </is>
      </c>
      <c r="D2428" s="33" t="inlineStr">
        <is>
          <t>SwimCloud</t>
        </is>
      </c>
      <c r="E2428" s="33" t="inlineStr">
        <is>
          <t>576911</t>
        </is>
      </c>
      <c r="F2428" s="33" t="inlineStr">
        <is>
          <t>154308990</t>
        </is>
      </c>
      <c r="G2428" s="51" t="n">
        <v>45834</v>
      </c>
      <c r="H2428" s="33" t="inlineStr">
        <is>
          <t>Indy Summer Cup</t>
        </is>
      </c>
      <c r="I2428" s="33" t="inlineStr">
        <is>
          <t>346244</t>
        </is>
      </c>
      <c r="J2428" s="33" t="inlineStr"/>
      <c r="K2428" s="33" t="inlineStr">
        <is>
          <t>FIN</t>
        </is>
      </c>
      <c r="L2428" s="35">
        <f>IF(K2428="FIN",3,IF(OR(K2428="SEM",K2428="SEMI"),2,IF(OR(K2428="PRE",K2428="HEAT"),1,IF(V2428="YES",4,2))))</f>
        <v/>
      </c>
      <c r="M2428" s="33" t="inlineStr">
        <is>
          <t>LCM</t>
        </is>
      </c>
      <c r="N2428" s="33" t="n">
        <v>200</v>
      </c>
      <c r="O2428" s="33" t="inlineStr">
        <is>
          <t>Free</t>
        </is>
      </c>
      <c r="P2428" s="33" t="inlineStr">
        <is>
          <t>200 Free</t>
        </is>
      </c>
      <c r="Q2428" s="33" t="inlineStr">
        <is>
          <t>LCM_200_FREE</t>
        </is>
      </c>
      <c r="R2428" s="36" t="n">
        <v>108.76</v>
      </c>
      <c r="S2428" s="35">
        <f>IF(R2428="","",IF(R2428&gt;=60,INT(R2428/60)&amp;":"&amp;TEXT(MOD(R2428,60),"00.00"),TEXT(R2428,"0.00")))</f>
        <v/>
      </c>
      <c r="T2428" s="52">
        <f>IFERROR((G2428-INDEX('01_Swimmers'!$E$5:$E$22,MATCH(B2428,'01_Swimmers'!$A$5:$A$22,0)))/'00_Control'!$B$10,"")</f>
        <v/>
      </c>
      <c r="U2428" s="35">
        <f>IF(T2428="","",INT(T2428))</f>
        <v/>
      </c>
      <c r="V2428" s="33" t="inlineStr">
        <is>
          <t>NO</t>
        </is>
      </c>
      <c r="W2428" s="33" t="inlineStr">
        <is>
          <t>YES</t>
        </is>
      </c>
      <c r="X2428" s="33" t="inlineStr">
        <is>
          <t>NO</t>
        </is>
      </c>
      <c r="Y2428" s="33" t="n">
        <v>3</v>
      </c>
      <c r="Z2428" s="33" t="n">
        <v>3</v>
      </c>
      <c r="AA2428" s="33" t="inlineStr">
        <is>
          <t>4</t>
        </is>
      </c>
      <c r="AB2428" s="33" t="inlineStr">
        <is>
          <t>https://www.swimcloud.com/results/346244/event/4/?id=154308990#time154308990</t>
        </is>
      </c>
      <c r="AC2428" s="33" t="inlineStr">
        <is>
          <t>SwimCloud API v6 2026-10-08</t>
        </is>
      </c>
      <c r="AD2428" s="33" t="inlineStr">
        <is>
          <t>Luke Hobson|2025-06-26|LCM|200|Free|108.76|Indy Summer Cup|FIN|False</t>
        </is>
      </c>
      <c r="AE2428" s="53">
        <f>G2428+L2428/1000+ROW()/1000000000</f>
        <v/>
      </c>
      <c r="AF2428" s="35">
        <f>IF(C2428&lt;&gt;"Grayson Coulter","",COUNTIFS($C$5:$C$2991,"Grayson Coulter",$Q$5:$Q$2991,Q2428,$AE$5:$AE$2991,"&lt;="&amp;AE2428,$R$5:$R$2991,"&lt;"&amp;R2428))</f>
        <v/>
      </c>
      <c r="AG2428" s="35">
        <f>IF(OR(C2428&lt;&gt;"Grayson Coulter",G2428&lt;'00_Control'!$B$7),"",--(AF2428&lt;5))</f>
        <v/>
      </c>
      <c r="AH2428" s="35">
        <f>IF(OR(C2428&lt;&gt;"Grayson Coulter",G2428&lt;'00_Control'!$B$7),"",--(AF2428&lt;10))</f>
        <v/>
      </c>
      <c r="AI2428" s="35">
        <f>IF(AND(C2428="Grayson Coulter",G2428&gt;='00_Control'!$B$7),"YES","NO")</f>
        <v/>
      </c>
      <c r="AJ2428" s="33" t="inlineStr">
        <is>
          <t>OK</t>
        </is>
      </c>
    </row>
    <row r="2429">
      <c r="A2429" s="33" t="inlineStr">
        <is>
          <t>SM002425</t>
        </is>
      </c>
      <c r="B2429" s="33" t="inlineStr">
        <is>
          <t>SW014</t>
        </is>
      </c>
      <c r="C2429" s="33" t="inlineStr">
        <is>
          <t>Luke Hobson</t>
        </is>
      </c>
      <c r="D2429" s="33" t="inlineStr">
        <is>
          <t>SwimCloud</t>
        </is>
      </c>
      <c r="E2429" s="33" t="inlineStr">
        <is>
          <t>576911</t>
        </is>
      </c>
      <c r="F2429" s="33" t="inlineStr">
        <is>
          <t>154309386</t>
        </is>
      </c>
      <c r="G2429" s="51" t="n">
        <v>45835</v>
      </c>
      <c r="H2429" s="33" t="inlineStr">
        <is>
          <t>Indy Summer Cup</t>
        </is>
      </c>
      <c r="I2429" s="33" t="inlineStr">
        <is>
          <t>346244</t>
        </is>
      </c>
      <c r="J2429" s="33" t="inlineStr"/>
      <c r="K2429" s="33" t="inlineStr">
        <is>
          <t>PRE</t>
        </is>
      </c>
      <c r="L2429" s="35">
        <f>IF(K2429="FIN",3,IF(OR(K2429="SEM",K2429="SEMI"),2,IF(OR(K2429="PRE",K2429="HEAT"),1,IF(V2429="YES",4,2))))</f>
        <v/>
      </c>
      <c r="M2429" s="33" t="inlineStr">
        <is>
          <t>LCM</t>
        </is>
      </c>
      <c r="N2429" s="33" t="n">
        <v>400</v>
      </c>
      <c r="O2429" s="33" t="inlineStr">
        <is>
          <t>Free</t>
        </is>
      </c>
      <c r="P2429" s="33" t="inlineStr">
        <is>
          <t>400 Free</t>
        </is>
      </c>
      <c r="Q2429" s="33" t="inlineStr">
        <is>
          <t>LCM_400_FREE</t>
        </is>
      </c>
      <c r="R2429" s="36" t="n">
        <v>234.89</v>
      </c>
      <c r="S2429" s="35">
        <f>IF(R2429="","",IF(R2429&gt;=60,INT(R2429/60)&amp;":"&amp;TEXT(MOD(R2429,60),"00.00"),TEXT(R2429,"0.00")))</f>
        <v/>
      </c>
      <c r="T2429" s="52">
        <f>IFERROR((G2429-INDEX('01_Swimmers'!$E$5:$E$22,MATCH(B2429,'01_Swimmers'!$A$5:$A$22,0)))/'00_Control'!$B$10,"")</f>
        <v/>
      </c>
      <c r="U2429" s="35">
        <f>IF(T2429="","",INT(T2429))</f>
        <v/>
      </c>
      <c r="V2429" s="33" t="inlineStr">
        <is>
          <t>NO</t>
        </is>
      </c>
      <c r="W2429" s="33" t="inlineStr">
        <is>
          <t>YES</t>
        </is>
      </c>
      <c r="X2429" s="33" t="inlineStr">
        <is>
          <t>NO</t>
        </is>
      </c>
      <c r="Y2429" s="33" t="n">
        <v>7</v>
      </c>
      <c r="Z2429" s="33" t="n">
        <v>5</v>
      </c>
      <c r="AA2429" s="33" t="inlineStr">
        <is>
          <t>2</t>
        </is>
      </c>
      <c r="AB2429" s="33" t="inlineStr">
        <is>
          <t>https://www.swimcloud.com/results/346244/event/20/?id=154309386#time154309386</t>
        </is>
      </c>
      <c r="AC2429" s="33" t="inlineStr">
        <is>
          <t>SwimCloud API v6 2026-10-08</t>
        </is>
      </c>
      <c r="AD2429" s="33" t="inlineStr">
        <is>
          <t>Luke Hobson|2025-06-27|LCM|400|Free|234.89|Indy Summer Cup|PRE|False</t>
        </is>
      </c>
      <c r="AE2429" s="53">
        <f>G2429+L2429/1000+ROW()/1000000000</f>
        <v/>
      </c>
      <c r="AF2429" s="35">
        <f>IF(C2429&lt;&gt;"Grayson Coulter","",COUNTIFS($C$5:$C$2991,"Grayson Coulter",$Q$5:$Q$2991,Q2429,$AE$5:$AE$2991,"&lt;="&amp;AE2429,$R$5:$R$2991,"&lt;"&amp;R2429))</f>
        <v/>
      </c>
      <c r="AG2429" s="35">
        <f>IF(OR(C2429&lt;&gt;"Grayson Coulter",G2429&lt;'00_Control'!$B$7),"",--(AF2429&lt;5))</f>
        <v/>
      </c>
      <c r="AH2429" s="35">
        <f>IF(OR(C2429&lt;&gt;"Grayson Coulter",G2429&lt;'00_Control'!$B$7),"",--(AF2429&lt;10))</f>
        <v/>
      </c>
      <c r="AI2429" s="35">
        <f>IF(AND(C2429="Grayson Coulter",G2429&gt;='00_Control'!$B$7),"YES","NO")</f>
        <v/>
      </c>
      <c r="AJ2429" s="33" t="inlineStr">
        <is>
          <t>OK</t>
        </is>
      </c>
    </row>
    <row r="2430">
      <c r="A2430" s="33" t="inlineStr">
        <is>
          <t>SM002426</t>
        </is>
      </c>
      <c r="B2430" s="33" t="inlineStr">
        <is>
          <t>SW014</t>
        </is>
      </c>
      <c r="C2430" s="33" t="inlineStr">
        <is>
          <t>Luke Hobson</t>
        </is>
      </c>
      <c r="D2430" s="33" t="inlineStr">
        <is>
          <t>SwimCloud</t>
        </is>
      </c>
      <c r="E2430" s="33" t="inlineStr">
        <is>
          <t>576911</t>
        </is>
      </c>
      <c r="F2430" s="33" t="inlineStr">
        <is>
          <t>154309387</t>
        </is>
      </c>
      <c r="G2430" s="51" t="n">
        <v>45835</v>
      </c>
      <c r="H2430" s="33" t="inlineStr">
        <is>
          <t>Indy Summer Cup</t>
        </is>
      </c>
      <c r="I2430" s="33" t="inlineStr">
        <is>
          <t>346244</t>
        </is>
      </c>
      <c r="J2430" s="33" t="inlineStr"/>
      <c r="K2430" s="33" t="inlineStr">
        <is>
          <t>FIN</t>
        </is>
      </c>
      <c r="L2430" s="35">
        <f>IF(K2430="FIN",3,IF(OR(K2430="SEM",K2430="SEMI"),2,IF(OR(K2430="PRE",K2430="HEAT"),1,IF(V2430="YES",4,2))))</f>
        <v/>
      </c>
      <c r="M2430" s="33" t="inlineStr">
        <is>
          <t>LCM</t>
        </is>
      </c>
      <c r="N2430" s="33" t="n">
        <v>400</v>
      </c>
      <c r="O2430" s="33" t="inlineStr">
        <is>
          <t>Free</t>
        </is>
      </c>
      <c r="P2430" s="33" t="inlineStr">
        <is>
          <t>400 Free</t>
        </is>
      </c>
      <c r="Q2430" s="33" t="inlineStr">
        <is>
          <t>LCM_400_FREE</t>
        </is>
      </c>
      <c r="R2430" s="36" t="n">
        <v>233.48</v>
      </c>
      <c r="S2430" s="35">
        <f>IF(R2430="","",IF(R2430&gt;=60,INT(R2430/60)&amp;":"&amp;TEXT(MOD(R2430,60),"00.00"),TEXT(R2430,"0.00")))</f>
        <v/>
      </c>
      <c r="T2430" s="52">
        <f>IFERROR((G2430-INDEX('01_Swimmers'!$E$5:$E$22,MATCH(B2430,'01_Swimmers'!$A$5:$A$22,0)))/'00_Control'!$B$10,"")</f>
        <v/>
      </c>
      <c r="U2430" s="35">
        <f>IF(T2430="","",INT(T2430))</f>
        <v/>
      </c>
      <c r="V2430" s="33" t="inlineStr">
        <is>
          <t>NO</t>
        </is>
      </c>
      <c r="W2430" s="33" t="inlineStr">
        <is>
          <t>YES</t>
        </is>
      </c>
      <c r="X2430" s="33" t="inlineStr">
        <is>
          <t>NO</t>
        </is>
      </c>
      <c r="Y2430" s="33" t="n">
        <v>3</v>
      </c>
      <c r="Z2430" s="33" t="n">
        <v>5</v>
      </c>
      <c r="AA2430" s="33" t="inlineStr">
        <is>
          <t>4</t>
        </is>
      </c>
      <c r="AB2430" s="33" t="inlineStr">
        <is>
          <t>https://www.swimcloud.com/results/346244/event/20/?id=154309387#time154309387</t>
        </is>
      </c>
      <c r="AC2430" s="33" t="inlineStr">
        <is>
          <t>SwimCloud API v6 2026-10-08</t>
        </is>
      </c>
      <c r="AD2430" s="33" t="inlineStr">
        <is>
          <t>Luke Hobson|2025-06-27|LCM|400|Free|233.48|Indy Summer Cup|FIN|False</t>
        </is>
      </c>
      <c r="AE2430" s="53">
        <f>G2430+L2430/1000+ROW()/1000000000</f>
        <v/>
      </c>
      <c r="AF2430" s="35">
        <f>IF(C2430&lt;&gt;"Grayson Coulter","",COUNTIFS($C$5:$C$2991,"Grayson Coulter",$Q$5:$Q$2991,Q2430,$AE$5:$AE$2991,"&lt;="&amp;AE2430,$R$5:$R$2991,"&lt;"&amp;R2430))</f>
        <v/>
      </c>
      <c r="AG2430" s="35">
        <f>IF(OR(C2430&lt;&gt;"Grayson Coulter",G2430&lt;'00_Control'!$B$7),"",--(AF2430&lt;5))</f>
        <v/>
      </c>
      <c r="AH2430" s="35">
        <f>IF(OR(C2430&lt;&gt;"Grayson Coulter",G2430&lt;'00_Control'!$B$7),"",--(AF2430&lt;10))</f>
        <v/>
      </c>
      <c r="AI2430" s="35">
        <f>IF(AND(C2430="Grayson Coulter",G2430&gt;='00_Control'!$B$7),"YES","NO")</f>
        <v/>
      </c>
      <c r="AJ2430" s="33" t="inlineStr">
        <is>
          <t>OK</t>
        </is>
      </c>
    </row>
    <row r="2431">
      <c r="A2431" s="33" t="inlineStr">
        <is>
          <t>SM002427</t>
        </is>
      </c>
      <c r="B2431" s="33" t="inlineStr">
        <is>
          <t>SW014</t>
        </is>
      </c>
      <c r="C2431" s="33" t="inlineStr">
        <is>
          <t>Luke Hobson</t>
        </is>
      </c>
      <c r="D2431" s="33" t="inlineStr">
        <is>
          <t>SwimCloud</t>
        </is>
      </c>
      <c r="E2431" s="33" t="inlineStr">
        <is>
          <t>576911</t>
        </is>
      </c>
      <c r="F2431" s="33" t="inlineStr">
        <is>
          <t>154308154</t>
        </is>
      </c>
      <c r="G2431" s="51" t="n">
        <v>45836</v>
      </c>
      <c r="H2431" s="33" t="inlineStr">
        <is>
          <t>Indy Summer Cup</t>
        </is>
      </c>
      <c r="I2431" s="33" t="inlineStr">
        <is>
          <t>346244</t>
        </is>
      </c>
      <c r="J2431" s="33" t="inlineStr"/>
      <c r="K2431" s="33" t="inlineStr">
        <is>
          <t>PRE</t>
        </is>
      </c>
      <c r="L2431" s="35">
        <f>IF(K2431="FIN",3,IF(OR(K2431="SEM",K2431="SEMI"),2,IF(OR(K2431="PRE",K2431="HEAT"),1,IF(V2431="YES",4,2))))</f>
        <v/>
      </c>
      <c r="M2431" s="33" t="inlineStr">
        <is>
          <t>LCM</t>
        </is>
      </c>
      <c r="N2431" s="33" t="n">
        <v>100</v>
      </c>
      <c r="O2431" s="33" t="inlineStr">
        <is>
          <t>Free</t>
        </is>
      </c>
      <c r="P2431" s="33" t="inlineStr">
        <is>
          <t>100 Free</t>
        </is>
      </c>
      <c r="Q2431" s="33" t="inlineStr">
        <is>
          <t>LCM_100_FREE</t>
        </is>
      </c>
      <c r="R2431" s="36" t="n">
        <v>49.55</v>
      </c>
      <c r="S2431" s="35">
        <f>IF(R2431="","",IF(R2431&gt;=60,INT(R2431/60)&amp;":"&amp;TEXT(MOD(R2431,60),"00.00"),TEXT(R2431,"0.00")))</f>
        <v/>
      </c>
      <c r="T2431" s="52">
        <f>IFERROR((G2431-INDEX('01_Swimmers'!$E$5:$E$22,MATCH(B2431,'01_Swimmers'!$A$5:$A$22,0)))/'00_Control'!$B$10,"")</f>
        <v/>
      </c>
      <c r="U2431" s="35">
        <f>IF(T2431="","",INT(T2431))</f>
        <v/>
      </c>
      <c r="V2431" s="33" t="inlineStr">
        <is>
          <t>NO</t>
        </is>
      </c>
      <c r="W2431" s="33" t="inlineStr">
        <is>
          <t>YES</t>
        </is>
      </c>
      <c r="X2431" s="33" t="inlineStr">
        <is>
          <t>NO</t>
        </is>
      </c>
      <c r="Y2431" s="33" t="n">
        <v>17</v>
      </c>
      <c r="Z2431" s="33" t="n">
        <v>5</v>
      </c>
      <c r="AA2431" s="33" t="inlineStr">
        <is>
          <t>4</t>
        </is>
      </c>
      <c r="AB2431" s="33" t="inlineStr">
        <is>
          <t>https://www.swimcloud.com/results/346244/event/22/?id=154308154#time154308154</t>
        </is>
      </c>
      <c r="AC2431" s="33" t="inlineStr">
        <is>
          <t>SwimCloud API v6 2026-10-08</t>
        </is>
      </c>
      <c r="AD2431" s="33" t="inlineStr">
        <is>
          <t>Luke Hobson|2025-06-28|LCM|100|Free|49.55|Indy Summer Cup|PRE|False</t>
        </is>
      </c>
      <c r="AE2431" s="53">
        <f>G2431+L2431/1000+ROW()/1000000000</f>
        <v/>
      </c>
      <c r="AF2431" s="35">
        <f>IF(C2431&lt;&gt;"Grayson Coulter","",COUNTIFS($C$5:$C$2991,"Grayson Coulter",$Q$5:$Q$2991,Q2431,$AE$5:$AE$2991,"&lt;="&amp;AE2431,$R$5:$R$2991,"&lt;"&amp;R2431))</f>
        <v/>
      </c>
      <c r="AG2431" s="35">
        <f>IF(OR(C2431&lt;&gt;"Grayson Coulter",G2431&lt;'00_Control'!$B$7),"",--(AF2431&lt;5))</f>
        <v/>
      </c>
      <c r="AH2431" s="35">
        <f>IF(OR(C2431&lt;&gt;"Grayson Coulter",G2431&lt;'00_Control'!$B$7),"",--(AF2431&lt;10))</f>
        <v/>
      </c>
      <c r="AI2431" s="35">
        <f>IF(AND(C2431="Grayson Coulter",G2431&gt;='00_Control'!$B$7),"YES","NO")</f>
        <v/>
      </c>
      <c r="AJ2431" s="33" t="inlineStr">
        <is>
          <t>OK</t>
        </is>
      </c>
    </row>
    <row r="2432">
      <c r="A2432" s="33" t="inlineStr">
        <is>
          <t>SM002428</t>
        </is>
      </c>
      <c r="B2432" s="33" t="inlineStr">
        <is>
          <t>SW014</t>
        </is>
      </c>
      <c r="C2432" s="33" t="inlineStr">
        <is>
          <t>Luke Hobson</t>
        </is>
      </c>
      <c r="D2432" s="33" t="inlineStr">
        <is>
          <t>SwimCloud</t>
        </is>
      </c>
      <c r="E2432" s="33" t="inlineStr">
        <is>
          <t>576911</t>
        </is>
      </c>
      <c r="F2432" s="33" t="inlineStr">
        <is>
          <t>154308155</t>
        </is>
      </c>
      <c r="G2432" s="51" t="n">
        <v>45836</v>
      </c>
      <c r="H2432" s="33" t="inlineStr">
        <is>
          <t>Indy Summer Cup</t>
        </is>
      </c>
      <c r="I2432" s="33" t="inlineStr">
        <is>
          <t>346244</t>
        </is>
      </c>
      <c r="J2432" s="33" t="inlineStr"/>
      <c r="K2432" s="33" t="inlineStr">
        <is>
          <t>FIN</t>
        </is>
      </c>
      <c r="L2432" s="35">
        <f>IF(K2432="FIN",3,IF(OR(K2432="SEM",K2432="SEMI"),2,IF(OR(K2432="PRE",K2432="HEAT"),1,IF(V2432="YES",4,2))))</f>
        <v/>
      </c>
      <c r="M2432" s="33" t="inlineStr">
        <is>
          <t>LCM</t>
        </is>
      </c>
      <c r="N2432" s="33" t="n">
        <v>100</v>
      </c>
      <c r="O2432" s="33" t="inlineStr">
        <is>
          <t>Free</t>
        </is>
      </c>
      <c r="P2432" s="33" t="inlineStr">
        <is>
          <t>100 Free</t>
        </is>
      </c>
      <c r="Q2432" s="33" t="inlineStr">
        <is>
          <t>LCM_100_FREE</t>
        </is>
      </c>
      <c r="R2432" s="36" t="n">
        <v>49.64</v>
      </c>
      <c r="S2432" s="35">
        <f>IF(R2432="","",IF(R2432&gt;=60,INT(R2432/60)&amp;":"&amp;TEXT(MOD(R2432,60),"00.00"),TEXT(R2432,"0.00")))</f>
        <v/>
      </c>
      <c r="T2432" s="52">
        <f>IFERROR((G2432-INDEX('01_Swimmers'!$E$5:$E$22,MATCH(B2432,'01_Swimmers'!$A$5:$A$22,0)))/'00_Control'!$B$10,"")</f>
        <v/>
      </c>
      <c r="U2432" s="35">
        <f>IF(T2432="","",INT(T2432))</f>
        <v/>
      </c>
      <c r="V2432" s="33" t="inlineStr">
        <is>
          <t>NO</t>
        </is>
      </c>
      <c r="W2432" s="33" t="inlineStr">
        <is>
          <t>YES</t>
        </is>
      </c>
      <c r="X2432" s="33" t="inlineStr">
        <is>
          <t>NO</t>
        </is>
      </c>
      <c r="Y2432" s="33" t="n">
        <v>3</v>
      </c>
      <c r="Z2432" s="33" t="n">
        <v>6</v>
      </c>
      <c r="AA2432" s="33" t="inlineStr">
        <is>
          <t>6</t>
        </is>
      </c>
      <c r="AB2432" s="33" t="inlineStr">
        <is>
          <t>https://www.swimcloud.com/results/346244/event/22/?id=154308155#time154308155</t>
        </is>
      </c>
      <c r="AC2432" s="33" t="inlineStr">
        <is>
          <t>SwimCloud API v6 2026-10-08</t>
        </is>
      </c>
      <c r="AD2432" s="33" t="inlineStr">
        <is>
          <t>Luke Hobson|2025-06-28|LCM|100|Free|49.64|Indy Summer Cup|FIN|False</t>
        </is>
      </c>
      <c r="AE2432" s="53">
        <f>G2432+L2432/1000+ROW()/1000000000</f>
        <v/>
      </c>
      <c r="AF2432" s="35">
        <f>IF(C2432&lt;&gt;"Grayson Coulter","",COUNTIFS($C$5:$C$2991,"Grayson Coulter",$Q$5:$Q$2991,Q2432,$AE$5:$AE$2991,"&lt;="&amp;AE2432,$R$5:$R$2991,"&lt;"&amp;R2432))</f>
        <v/>
      </c>
      <c r="AG2432" s="35">
        <f>IF(OR(C2432&lt;&gt;"Grayson Coulter",G2432&lt;'00_Control'!$B$7),"",--(AF2432&lt;5))</f>
        <v/>
      </c>
      <c r="AH2432" s="35">
        <f>IF(OR(C2432&lt;&gt;"Grayson Coulter",G2432&lt;'00_Control'!$B$7),"",--(AF2432&lt;10))</f>
        <v/>
      </c>
      <c r="AI2432" s="35">
        <f>IF(AND(C2432="Grayson Coulter",G2432&gt;='00_Control'!$B$7),"YES","NO")</f>
        <v/>
      </c>
      <c r="AJ2432" s="33" t="inlineStr">
        <is>
          <t>OK</t>
        </is>
      </c>
    </row>
    <row r="2433">
      <c r="A2433" s="33" t="inlineStr">
        <is>
          <t>SM002429</t>
        </is>
      </c>
      <c r="B2433" s="33" t="inlineStr">
        <is>
          <t>SW014</t>
        </is>
      </c>
      <c r="C2433" s="33" t="inlineStr">
        <is>
          <t>Luke Hobson</t>
        </is>
      </c>
      <c r="D2433" s="33" t="inlineStr">
        <is>
          <t>SwimCloud</t>
        </is>
      </c>
      <c r="E2433" s="33" t="inlineStr">
        <is>
          <t>576911</t>
        </is>
      </c>
      <c r="F2433" s="33" t="inlineStr">
        <is>
          <t>156828865</t>
        </is>
      </c>
      <c r="G2433" s="51" t="n">
        <v>45866</v>
      </c>
      <c r="H2433" s="33" t="inlineStr">
        <is>
          <t>22nd World Aquatics Championships</t>
        </is>
      </c>
      <c r="I2433" s="33" t="inlineStr">
        <is>
          <t>348385</t>
        </is>
      </c>
      <c r="J2433" s="33" t="inlineStr"/>
      <c r="K2433" s="33" t="inlineStr">
        <is>
          <t>PRE</t>
        </is>
      </c>
      <c r="L2433" s="35">
        <f>IF(K2433="FIN",3,IF(OR(K2433="SEM",K2433="SEMI"),2,IF(OR(K2433="PRE",K2433="HEAT"),1,IF(V2433="YES",4,2))))</f>
        <v/>
      </c>
      <c r="M2433" s="33" t="inlineStr">
        <is>
          <t>LCM</t>
        </is>
      </c>
      <c r="N2433" s="33" t="n">
        <v>200</v>
      </c>
      <c r="O2433" s="33" t="inlineStr">
        <is>
          <t>Free</t>
        </is>
      </c>
      <c r="P2433" s="33" t="inlineStr">
        <is>
          <t>200 Free</t>
        </is>
      </c>
      <c r="Q2433" s="33" t="inlineStr">
        <is>
          <t>LCM_200_FREE</t>
        </is>
      </c>
      <c r="R2433" s="36" t="n">
        <v>105.61</v>
      </c>
      <c r="S2433" s="35">
        <f>IF(R2433="","",IF(R2433&gt;=60,INT(R2433/60)&amp;":"&amp;TEXT(MOD(R2433,60),"00.00"),TEXT(R2433,"0.00")))</f>
        <v/>
      </c>
      <c r="T2433" s="52">
        <f>IFERROR((G2433-INDEX('01_Swimmers'!$E$5:$E$22,MATCH(B2433,'01_Swimmers'!$A$5:$A$22,0)))/'00_Control'!$B$10,"")</f>
        <v/>
      </c>
      <c r="U2433" s="35">
        <f>IF(T2433="","",INT(T2433))</f>
        <v/>
      </c>
      <c r="V2433" s="33" t="inlineStr">
        <is>
          <t>NO</t>
        </is>
      </c>
      <c r="W2433" s="33" t="inlineStr">
        <is>
          <t>YES</t>
        </is>
      </c>
      <c r="X2433" s="33" t="inlineStr">
        <is>
          <t>NO</t>
        </is>
      </c>
      <c r="Y2433" s="33" t="n">
        <v>6</v>
      </c>
      <c r="Z2433" s="33" t="n">
        <v>4</v>
      </c>
      <c r="AA2433" s="33" t="inlineStr">
        <is>
          <t>2</t>
        </is>
      </c>
      <c r="AB2433" s="33" t="inlineStr">
        <is>
          <t>https://www.swimcloud.com/results/348385/event/12/?id=156828865#time156828865</t>
        </is>
      </c>
      <c r="AC2433" s="33" t="inlineStr">
        <is>
          <t>SwimCloud API v6 2026-10-08</t>
        </is>
      </c>
      <c r="AD2433" s="33" t="inlineStr">
        <is>
          <t>Luke Hobson|2025-07-28|LCM|200|Free|105.61|22nd World Aquatics Championships|PRE|False</t>
        </is>
      </c>
      <c r="AE2433" s="53">
        <f>G2433+L2433/1000+ROW()/1000000000</f>
        <v/>
      </c>
      <c r="AF2433" s="35">
        <f>IF(C2433&lt;&gt;"Grayson Coulter","",COUNTIFS($C$5:$C$2991,"Grayson Coulter",$Q$5:$Q$2991,Q2433,$AE$5:$AE$2991,"&lt;="&amp;AE2433,$R$5:$R$2991,"&lt;"&amp;R2433))</f>
        <v/>
      </c>
      <c r="AG2433" s="35">
        <f>IF(OR(C2433&lt;&gt;"Grayson Coulter",G2433&lt;'00_Control'!$B$7),"",--(AF2433&lt;5))</f>
        <v/>
      </c>
      <c r="AH2433" s="35">
        <f>IF(OR(C2433&lt;&gt;"Grayson Coulter",G2433&lt;'00_Control'!$B$7),"",--(AF2433&lt;10))</f>
        <v/>
      </c>
      <c r="AI2433" s="35">
        <f>IF(AND(C2433="Grayson Coulter",G2433&gt;='00_Control'!$B$7),"YES","NO")</f>
        <v/>
      </c>
      <c r="AJ2433" s="33" t="inlineStr">
        <is>
          <t>OK</t>
        </is>
      </c>
    </row>
    <row r="2434">
      <c r="A2434" s="33" t="inlineStr">
        <is>
          <t>SM002430</t>
        </is>
      </c>
      <c r="B2434" s="33" t="inlineStr">
        <is>
          <t>SW014</t>
        </is>
      </c>
      <c r="C2434" s="33" t="inlineStr">
        <is>
          <t>Luke Hobson</t>
        </is>
      </c>
      <c r="D2434" s="33" t="inlineStr">
        <is>
          <t>SwimCloud</t>
        </is>
      </c>
      <c r="E2434" s="33" t="inlineStr">
        <is>
          <t>576911</t>
        </is>
      </c>
      <c r="F2434" s="33" t="inlineStr">
        <is>
          <t>156828866</t>
        </is>
      </c>
      <c r="G2434" s="51" t="n">
        <v>45866</v>
      </c>
      <c r="H2434" s="33" t="inlineStr">
        <is>
          <t>22nd World Aquatics Championships</t>
        </is>
      </c>
      <c r="I2434" s="33" t="inlineStr">
        <is>
          <t>348385</t>
        </is>
      </c>
      <c r="J2434" s="33" t="inlineStr"/>
      <c r="K2434" s="33" t="inlineStr">
        <is>
          <t>SEM</t>
        </is>
      </c>
      <c r="L2434" s="35">
        <f>IF(K2434="FIN",3,IF(OR(K2434="SEM",K2434="SEMI"),2,IF(OR(K2434="PRE",K2434="HEAT"),1,IF(V2434="YES",4,2))))</f>
        <v/>
      </c>
      <c r="M2434" s="33" t="inlineStr">
        <is>
          <t>LCM</t>
        </is>
      </c>
      <c r="N2434" s="33" t="n">
        <v>200</v>
      </c>
      <c r="O2434" s="33" t="inlineStr">
        <is>
          <t>Free</t>
        </is>
      </c>
      <c r="P2434" s="33" t="inlineStr">
        <is>
          <t>200 Free</t>
        </is>
      </c>
      <c r="Q2434" s="33" t="inlineStr">
        <is>
          <t>LCM_200_FREE</t>
        </is>
      </c>
      <c r="R2434" s="36" t="n">
        <v>104.8</v>
      </c>
      <c r="S2434" s="35">
        <f>IF(R2434="","",IF(R2434&gt;=60,INT(R2434/60)&amp;":"&amp;TEXT(MOD(R2434,60),"00.00"),TEXT(R2434,"0.00")))</f>
        <v/>
      </c>
      <c r="T2434" s="52">
        <f>IFERROR((G2434-INDEX('01_Swimmers'!$E$5:$E$22,MATCH(B2434,'01_Swimmers'!$A$5:$A$22,0)))/'00_Control'!$B$10,"")</f>
        <v/>
      </c>
      <c r="U2434" s="35">
        <f>IF(T2434="","",INT(T2434))</f>
        <v/>
      </c>
      <c r="V2434" s="33" t="inlineStr">
        <is>
          <t>NO</t>
        </is>
      </c>
      <c r="W2434" s="33" t="inlineStr">
        <is>
          <t>YES</t>
        </is>
      </c>
      <c r="X2434" s="33" t="inlineStr">
        <is>
          <t>NO</t>
        </is>
      </c>
      <c r="Y2434" s="33" t="n">
        <v>1</v>
      </c>
      <c r="Z2434" s="33" t="n">
        <v>4</v>
      </c>
      <c r="AA2434" s="33" t="inlineStr">
        <is>
          <t>1</t>
        </is>
      </c>
      <c r="AB2434" s="33" t="inlineStr">
        <is>
          <t>https://www.swimcloud.com/results/348385/event/12/?id=156828866#time156828866</t>
        </is>
      </c>
      <c r="AC2434" s="33" t="inlineStr">
        <is>
          <t>SwimCloud API v6 2026-10-08</t>
        </is>
      </c>
      <c r="AD2434" s="33" t="inlineStr">
        <is>
          <t>Luke Hobson|2025-07-28|LCM|200|Free|104.8|22nd World Aquatics Championships|SEM|False</t>
        </is>
      </c>
      <c r="AE2434" s="53">
        <f>G2434+L2434/1000+ROW()/1000000000</f>
        <v/>
      </c>
      <c r="AF2434" s="35">
        <f>IF(C2434&lt;&gt;"Grayson Coulter","",COUNTIFS($C$5:$C$2991,"Grayson Coulter",$Q$5:$Q$2991,Q2434,$AE$5:$AE$2991,"&lt;="&amp;AE2434,$R$5:$R$2991,"&lt;"&amp;R2434))</f>
        <v/>
      </c>
      <c r="AG2434" s="35">
        <f>IF(OR(C2434&lt;&gt;"Grayson Coulter",G2434&lt;'00_Control'!$B$7),"",--(AF2434&lt;5))</f>
        <v/>
      </c>
      <c r="AH2434" s="35">
        <f>IF(OR(C2434&lt;&gt;"Grayson Coulter",G2434&lt;'00_Control'!$B$7),"",--(AF2434&lt;10))</f>
        <v/>
      </c>
      <c r="AI2434" s="35">
        <f>IF(AND(C2434="Grayson Coulter",G2434&gt;='00_Control'!$B$7),"YES","NO")</f>
        <v/>
      </c>
      <c r="AJ2434" s="33" t="inlineStr">
        <is>
          <t>OK</t>
        </is>
      </c>
    </row>
    <row r="2435">
      <c r="A2435" s="33" t="inlineStr">
        <is>
          <t>SM002431</t>
        </is>
      </c>
      <c r="B2435" s="33" t="inlineStr">
        <is>
          <t>SW014</t>
        </is>
      </c>
      <c r="C2435" s="33" t="inlineStr">
        <is>
          <t>Luke Hobson</t>
        </is>
      </c>
      <c r="D2435" s="33" t="inlineStr">
        <is>
          <t>SwimCloud</t>
        </is>
      </c>
      <c r="E2435" s="33" t="inlineStr">
        <is>
          <t>576911</t>
        </is>
      </c>
      <c r="F2435" s="33" t="inlineStr">
        <is>
          <t>156828864</t>
        </is>
      </c>
      <c r="G2435" s="51" t="n">
        <v>45867</v>
      </c>
      <c r="H2435" s="33" t="inlineStr">
        <is>
          <t>22nd World Aquatics Championships</t>
        </is>
      </c>
      <c r="I2435" s="33" t="inlineStr">
        <is>
          <t>348385</t>
        </is>
      </c>
      <c r="J2435" s="33" t="inlineStr"/>
      <c r="K2435" s="33" t="inlineStr">
        <is>
          <t>FIN</t>
        </is>
      </c>
      <c r="L2435" s="35">
        <f>IF(K2435="FIN",3,IF(OR(K2435="SEM",K2435="SEMI"),2,IF(OR(K2435="PRE",K2435="HEAT"),1,IF(V2435="YES",4,2))))</f>
        <v/>
      </c>
      <c r="M2435" s="33" t="inlineStr">
        <is>
          <t>LCM</t>
        </is>
      </c>
      <c r="N2435" s="33" t="n">
        <v>200</v>
      </c>
      <c r="O2435" s="33" t="inlineStr">
        <is>
          <t>Free</t>
        </is>
      </c>
      <c r="P2435" s="33" t="inlineStr">
        <is>
          <t>200 Free</t>
        </is>
      </c>
      <c r="Q2435" s="33" t="inlineStr">
        <is>
          <t>LCM_200_FREE</t>
        </is>
      </c>
      <c r="R2435" s="36" t="n">
        <v>103.84</v>
      </c>
      <c r="S2435" s="35">
        <f>IF(R2435="","",IF(R2435&gt;=60,INT(R2435/60)&amp;":"&amp;TEXT(MOD(R2435,60),"00.00"),TEXT(R2435,"0.00")))</f>
        <v/>
      </c>
      <c r="T2435" s="52">
        <f>IFERROR((G2435-INDEX('01_Swimmers'!$E$5:$E$22,MATCH(B2435,'01_Swimmers'!$A$5:$A$22,0)))/'00_Control'!$B$10,"")</f>
        <v/>
      </c>
      <c r="U2435" s="35">
        <f>IF(T2435="","",INT(T2435))</f>
        <v/>
      </c>
      <c r="V2435" s="33" t="inlineStr">
        <is>
          <t>NO</t>
        </is>
      </c>
      <c r="W2435" s="33" t="inlineStr">
        <is>
          <t>YES</t>
        </is>
      </c>
      <c r="X2435" s="33" t="inlineStr">
        <is>
          <t>NO</t>
        </is>
      </c>
      <c r="Y2435" s="33" t="n">
        <v>1</v>
      </c>
      <c r="Z2435" s="33" t="n">
        <v>4</v>
      </c>
      <c r="AA2435" s="33" t="inlineStr">
        <is>
          <t>2</t>
        </is>
      </c>
      <c r="AB2435" s="33" t="inlineStr">
        <is>
          <t>https://www.swimcloud.com/results/348385/event/12/?id=156828864#time156828864</t>
        </is>
      </c>
      <c r="AC2435" s="33" t="inlineStr">
        <is>
          <t>SwimCloud API v6 2026-10-08</t>
        </is>
      </c>
      <c r="AD2435" s="33" t="inlineStr">
        <is>
          <t>Luke Hobson|2025-07-29|LCM|200|Free|103.84|22nd World Aquatics Championships|FIN|False</t>
        </is>
      </c>
      <c r="AE2435" s="53">
        <f>G2435+L2435/1000+ROW()/1000000000</f>
        <v/>
      </c>
      <c r="AF2435" s="35">
        <f>IF(C2435&lt;&gt;"Grayson Coulter","",COUNTIFS($C$5:$C$2991,"Grayson Coulter",$Q$5:$Q$2991,Q2435,$AE$5:$AE$2991,"&lt;="&amp;AE2435,$R$5:$R$2991,"&lt;"&amp;R2435))</f>
        <v/>
      </c>
      <c r="AG2435" s="35">
        <f>IF(OR(C2435&lt;&gt;"Grayson Coulter",G2435&lt;'00_Control'!$B$7),"",--(AF2435&lt;5))</f>
        <v/>
      </c>
      <c r="AH2435" s="35">
        <f>IF(OR(C2435&lt;&gt;"Grayson Coulter",G2435&lt;'00_Control'!$B$7),"",--(AF2435&lt;10))</f>
        <v/>
      </c>
      <c r="AI2435" s="35">
        <f>IF(AND(C2435="Grayson Coulter",G2435&gt;='00_Control'!$B$7),"YES","NO")</f>
        <v/>
      </c>
      <c r="AJ2435" s="33" t="inlineStr">
        <is>
          <t>OK</t>
        </is>
      </c>
    </row>
    <row r="2436">
      <c r="A2436" s="33" t="inlineStr">
        <is>
          <t>SM002432</t>
        </is>
      </c>
      <c r="B2436" s="33" t="inlineStr">
        <is>
          <t>SW014</t>
        </is>
      </c>
      <c r="C2436" s="33" t="inlineStr">
        <is>
          <t>Luke Hobson</t>
        </is>
      </c>
      <c r="D2436" s="33" t="inlineStr">
        <is>
          <t>SwimCloud</t>
        </is>
      </c>
      <c r="E2436" s="33" t="inlineStr">
        <is>
          <t>576911</t>
        </is>
      </c>
      <c r="F2436" s="33" t="inlineStr">
        <is>
          <t>159283392</t>
        </is>
      </c>
      <c r="G2436" s="51" t="n">
        <v>45940</v>
      </c>
      <c r="H2436" s="33" t="inlineStr">
        <is>
          <t>World Aquatics World Cup - Carmel</t>
        </is>
      </c>
      <c r="I2436" s="33" t="inlineStr">
        <is>
          <t>356985</t>
        </is>
      </c>
      <c r="J2436" s="33" t="inlineStr"/>
      <c r="K2436" s="33" t="inlineStr">
        <is>
          <t>TIM</t>
        </is>
      </c>
      <c r="L2436" s="35">
        <f>IF(K2436="FIN",3,IF(OR(K2436="SEM",K2436="SEMI"),2,IF(OR(K2436="PRE",K2436="HEAT"),1,IF(V2436="YES",4,2))))</f>
        <v/>
      </c>
      <c r="M2436" s="33" t="inlineStr">
        <is>
          <t>SCM</t>
        </is>
      </c>
      <c r="N2436" s="33" t="n">
        <v>400</v>
      </c>
      <c r="O2436" s="33" t="inlineStr">
        <is>
          <t>Free</t>
        </is>
      </c>
      <c r="P2436" s="33" t="inlineStr">
        <is>
          <t>400 Free</t>
        </is>
      </c>
      <c r="Q2436" s="33" t="inlineStr">
        <is>
          <t>SCM_400_FREE</t>
        </is>
      </c>
      <c r="R2436" s="36" t="n">
        <v>223.87</v>
      </c>
      <c r="S2436" s="35">
        <f>IF(R2436="","",IF(R2436&gt;=60,INT(R2436/60)&amp;":"&amp;TEXT(MOD(R2436,60),"00.00"),TEXT(R2436,"0.00")))</f>
        <v/>
      </c>
      <c r="T2436" s="52">
        <f>IFERROR((G2436-INDEX('01_Swimmers'!$E$5:$E$22,MATCH(B2436,'01_Swimmers'!$A$5:$A$22,0)))/'00_Control'!$B$10,"")</f>
        <v/>
      </c>
      <c r="U2436" s="35">
        <f>IF(T2436="","",INT(T2436))</f>
        <v/>
      </c>
      <c r="V2436" s="33" t="inlineStr">
        <is>
          <t>NO</t>
        </is>
      </c>
      <c r="W2436" s="33" t="inlineStr">
        <is>
          <t>YES</t>
        </is>
      </c>
      <c r="X2436" s="33" t="inlineStr">
        <is>
          <t>NO</t>
        </is>
      </c>
      <c r="Y2436" s="33" t="n">
        <v>6</v>
      </c>
      <c r="Z2436" s="33" t="n">
        <v>1</v>
      </c>
      <c r="AA2436" s="33" t="inlineStr">
        <is>
          <t>8</t>
        </is>
      </c>
      <c r="AB2436" s="33" t="inlineStr">
        <is>
          <t>https://www.swimcloud.com/results/356985/event/2/?id=159283392#time159283392</t>
        </is>
      </c>
      <c r="AC2436" s="33" t="inlineStr">
        <is>
          <t>SwimCloud API v6 2026-10-08</t>
        </is>
      </c>
      <c r="AD2436" s="33" t="inlineStr">
        <is>
          <t>Luke Hobson|2025-10-10|SCM|400|Free|223.87|World Aquatics World Cup - Carmel|TIM|False</t>
        </is>
      </c>
      <c r="AE2436" s="53">
        <f>G2436+L2436/1000+ROW()/1000000000</f>
        <v/>
      </c>
      <c r="AF2436" s="35">
        <f>IF(C2436&lt;&gt;"Grayson Coulter","",COUNTIFS($C$5:$C$2991,"Grayson Coulter",$Q$5:$Q$2991,Q2436,$AE$5:$AE$2991,"&lt;="&amp;AE2436,$R$5:$R$2991,"&lt;"&amp;R2436))</f>
        <v/>
      </c>
      <c r="AG2436" s="35">
        <f>IF(OR(C2436&lt;&gt;"Grayson Coulter",G2436&lt;'00_Control'!$B$7),"",--(AF2436&lt;5))</f>
        <v/>
      </c>
      <c r="AH2436" s="35">
        <f>IF(OR(C2436&lt;&gt;"Grayson Coulter",G2436&lt;'00_Control'!$B$7),"",--(AF2436&lt;10))</f>
        <v/>
      </c>
      <c r="AI2436" s="35">
        <f>IF(AND(C2436="Grayson Coulter",G2436&gt;='00_Control'!$B$7),"YES","NO")</f>
        <v/>
      </c>
      <c r="AJ2436" s="33" t="inlineStr">
        <is>
          <t>OK</t>
        </is>
      </c>
    </row>
    <row r="2437">
      <c r="A2437" s="33" t="inlineStr">
        <is>
          <t>SM002433</t>
        </is>
      </c>
      <c r="B2437" s="33" t="inlineStr">
        <is>
          <t>SW014</t>
        </is>
      </c>
      <c r="C2437" s="33" t="inlineStr">
        <is>
          <t>Luke Hobson</t>
        </is>
      </c>
      <c r="D2437" s="33" t="inlineStr">
        <is>
          <t>SwimCloud</t>
        </is>
      </c>
      <c r="E2437" s="33" t="inlineStr">
        <is>
          <t>576911</t>
        </is>
      </c>
      <c r="F2437" s="33" t="inlineStr">
        <is>
          <t>159283389</t>
        </is>
      </c>
      <c r="G2437" s="51" t="n">
        <v>45941</v>
      </c>
      <c r="H2437" s="33" t="inlineStr">
        <is>
          <t>World Aquatics World Cup - Carmel</t>
        </is>
      </c>
      <c r="I2437" s="33" t="inlineStr">
        <is>
          <t>356985</t>
        </is>
      </c>
      <c r="J2437" s="33" t="inlineStr"/>
      <c r="K2437" s="33" t="inlineStr">
        <is>
          <t>PRE</t>
        </is>
      </c>
      <c r="L2437" s="35">
        <f>IF(K2437="FIN",3,IF(OR(K2437="SEM",K2437="SEMI"),2,IF(OR(K2437="PRE",K2437="HEAT"),1,IF(V2437="YES",4,2))))</f>
        <v/>
      </c>
      <c r="M2437" s="33" t="inlineStr">
        <is>
          <t>SCM</t>
        </is>
      </c>
      <c r="N2437" s="33" t="n">
        <v>100</v>
      </c>
      <c r="O2437" s="33" t="inlineStr">
        <is>
          <t>Free</t>
        </is>
      </c>
      <c r="P2437" s="33" t="inlineStr">
        <is>
          <t>100 Free</t>
        </is>
      </c>
      <c r="Q2437" s="33" t="inlineStr">
        <is>
          <t>SCM_100_FREE</t>
        </is>
      </c>
      <c r="R2437" s="36" t="n">
        <v>47.18</v>
      </c>
      <c r="S2437" s="35">
        <f>IF(R2437="","",IF(R2437&gt;=60,INT(R2437/60)&amp;":"&amp;TEXT(MOD(R2437,60),"00.00"),TEXT(R2437,"0.00")))</f>
        <v/>
      </c>
      <c r="T2437" s="52">
        <f>IFERROR((G2437-INDEX('01_Swimmers'!$E$5:$E$22,MATCH(B2437,'01_Swimmers'!$A$5:$A$22,0)))/'00_Control'!$B$10,"")</f>
        <v/>
      </c>
      <c r="U2437" s="35">
        <f>IF(T2437="","",INT(T2437))</f>
        <v/>
      </c>
      <c r="V2437" s="33" t="inlineStr">
        <is>
          <t>NO</t>
        </is>
      </c>
      <c r="W2437" s="33" t="inlineStr">
        <is>
          <t>YES</t>
        </is>
      </c>
      <c r="X2437" s="33" t="inlineStr">
        <is>
          <t>NO</t>
        </is>
      </c>
      <c r="Y2437" s="33" t="n">
        <v>9</v>
      </c>
      <c r="Z2437" s="33" t="n">
        <v>7</v>
      </c>
      <c r="AA2437" s="33" t="inlineStr">
        <is>
          <t>12</t>
        </is>
      </c>
      <c r="AB2437" s="33" t="inlineStr">
        <is>
          <t>https://www.swimcloud.com/results/356985/event/20/?id=159283389#time159283389</t>
        </is>
      </c>
      <c r="AC2437" s="33" t="inlineStr">
        <is>
          <t>SwimCloud API v6 2026-10-08</t>
        </is>
      </c>
      <c r="AD2437" s="33" t="inlineStr">
        <is>
          <t>Luke Hobson|2025-10-11|SCM|100|Free|47.18|World Aquatics World Cup - Carmel|PRE|False</t>
        </is>
      </c>
      <c r="AE2437" s="53">
        <f>G2437+L2437/1000+ROW()/1000000000</f>
        <v/>
      </c>
      <c r="AF2437" s="35">
        <f>IF(C2437&lt;&gt;"Grayson Coulter","",COUNTIFS($C$5:$C$2991,"Grayson Coulter",$Q$5:$Q$2991,Q2437,$AE$5:$AE$2991,"&lt;="&amp;AE2437,$R$5:$R$2991,"&lt;"&amp;R2437))</f>
        <v/>
      </c>
      <c r="AG2437" s="35">
        <f>IF(OR(C2437&lt;&gt;"Grayson Coulter",G2437&lt;'00_Control'!$B$7),"",--(AF2437&lt;5))</f>
        <v/>
      </c>
      <c r="AH2437" s="35">
        <f>IF(OR(C2437&lt;&gt;"Grayson Coulter",G2437&lt;'00_Control'!$B$7),"",--(AF2437&lt;10))</f>
        <v/>
      </c>
      <c r="AI2437" s="35">
        <f>IF(AND(C2437="Grayson Coulter",G2437&gt;='00_Control'!$B$7),"YES","NO")</f>
        <v/>
      </c>
      <c r="AJ2437" s="33" t="inlineStr">
        <is>
          <t>OK</t>
        </is>
      </c>
    </row>
    <row r="2438">
      <c r="A2438" s="33" t="inlineStr">
        <is>
          <t>SM002434</t>
        </is>
      </c>
      <c r="B2438" s="33" t="inlineStr">
        <is>
          <t>SW014</t>
        </is>
      </c>
      <c r="C2438" s="33" t="inlineStr">
        <is>
          <t>Luke Hobson</t>
        </is>
      </c>
      <c r="D2438" s="33" t="inlineStr">
        <is>
          <t>SwimCloud</t>
        </is>
      </c>
      <c r="E2438" s="33" t="inlineStr">
        <is>
          <t>576911</t>
        </is>
      </c>
      <c r="F2438" s="33" t="inlineStr">
        <is>
          <t>159283391</t>
        </is>
      </c>
      <c r="G2438" s="51" t="n">
        <v>45942</v>
      </c>
      <c r="H2438" s="33" t="inlineStr">
        <is>
          <t>World Aquatics World Cup - Carmel</t>
        </is>
      </c>
      <c r="I2438" s="33" t="inlineStr">
        <is>
          <t>356985</t>
        </is>
      </c>
      <c r="J2438" s="33" t="inlineStr"/>
      <c r="K2438" s="33" t="inlineStr">
        <is>
          <t>PRE</t>
        </is>
      </c>
      <c r="L2438" s="35">
        <f>IF(K2438="FIN",3,IF(OR(K2438="SEM",K2438="SEMI"),2,IF(OR(K2438="PRE",K2438="HEAT"),1,IF(V2438="YES",4,2))))</f>
        <v/>
      </c>
      <c r="M2438" s="33" t="inlineStr">
        <is>
          <t>SCM</t>
        </is>
      </c>
      <c r="N2438" s="33" t="n">
        <v>200</v>
      </c>
      <c r="O2438" s="33" t="inlineStr">
        <is>
          <t>Free</t>
        </is>
      </c>
      <c r="P2438" s="33" t="inlineStr">
        <is>
          <t>200 Free</t>
        </is>
      </c>
      <c r="Q2438" s="33" t="inlineStr">
        <is>
          <t>SCM_200_FREE</t>
        </is>
      </c>
      <c r="R2438" s="36" t="n">
        <v>101.84</v>
      </c>
      <c r="S2438" s="35">
        <f>IF(R2438="","",IF(R2438&gt;=60,INT(R2438/60)&amp;":"&amp;TEXT(MOD(R2438,60),"00.00"),TEXT(R2438,"0.00")))</f>
        <v/>
      </c>
      <c r="T2438" s="52">
        <f>IFERROR((G2438-INDEX('01_Swimmers'!$E$5:$E$22,MATCH(B2438,'01_Swimmers'!$A$5:$A$22,0)))/'00_Control'!$B$10,"")</f>
        <v/>
      </c>
      <c r="U2438" s="35">
        <f>IF(T2438="","",INT(T2438))</f>
        <v/>
      </c>
      <c r="V2438" s="33" t="inlineStr">
        <is>
          <t>NO</t>
        </is>
      </c>
      <c r="W2438" s="33" t="inlineStr">
        <is>
          <t>YES</t>
        </is>
      </c>
      <c r="X2438" s="33" t="inlineStr">
        <is>
          <t>NO</t>
        </is>
      </c>
      <c r="Y2438" s="33" t="n">
        <v>8</v>
      </c>
      <c r="Z2438" s="33" t="n">
        <v>4</v>
      </c>
      <c r="AA2438" s="33" t="inlineStr">
        <is>
          <t>1</t>
        </is>
      </c>
      <c r="AB2438" s="33" t="inlineStr">
        <is>
          <t>https://www.swimcloud.com/results/356985/event/32/?id=159283391#time159283391</t>
        </is>
      </c>
      <c r="AC2438" s="33" t="inlineStr">
        <is>
          <t>SwimCloud API v6 2026-10-08</t>
        </is>
      </c>
      <c r="AD2438" s="33" t="inlineStr">
        <is>
          <t>Luke Hobson|2025-10-12|SCM|200|Free|101.84|World Aquatics World Cup - Carmel|PRE|False</t>
        </is>
      </c>
      <c r="AE2438" s="53">
        <f>G2438+L2438/1000+ROW()/1000000000</f>
        <v/>
      </c>
      <c r="AF2438" s="35">
        <f>IF(C2438&lt;&gt;"Grayson Coulter","",COUNTIFS($C$5:$C$2991,"Grayson Coulter",$Q$5:$Q$2991,Q2438,$AE$5:$AE$2991,"&lt;="&amp;AE2438,$R$5:$R$2991,"&lt;"&amp;R2438))</f>
        <v/>
      </c>
      <c r="AG2438" s="35">
        <f>IF(OR(C2438&lt;&gt;"Grayson Coulter",G2438&lt;'00_Control'!$B$7),"",--(AF2438&lt;5))</f>
        <v/>
      </c>
      <c r="AH2438" s="35">
        <f>IF(OR(C2438&lt;&gt;"Grayson Coulter",G2438&lt;'00_Control'!$B$7),"",--(AF2438&lt;10))</f>
        <v/>
      </c>
      <c r="AI2438" s="35">
        <f>IF(AND(C2438="Grayson Coulter",G2438&gt;='00_Control'!$B$7),"YES","NO")</f>
        <v/>
      </c>
      <c r="AJ2438" s="33" t="inlineStr">
        <is>
          <t>OK</t>
        </is>
      </c>
    </row>
    <row r="2439">
      <c r="A2439" s="33" t="inlineStr">
        <is>
          <t>SM002435</t>
        </is>
      </c>
      <c r="B2439" s="33" t="inlineStr">
        <is>
          <t>SW014</t>
        </is>
      </c>
      <c r="C2439" s="33" t="inlineStr">
        <is>
          <t>Luke Hobson</t>
        </is>
      </c>
      <c r="D2439" s="33" t="inlineStr">
        <is>
          <t>SwimCloud</t>
        </is>
      </c>
      <c r="E2439" s="33" t="inlineStr">
        <is>
          <t>576911</t>
        </is>
      </c>
      <c r="F2439" s="33" t="inlineStr">
        <is>
          <t>159283390</t>
        </is>
      </c>
      <c r="G2439" s="51" t="n">
        <v>45942</v>
      </c>
      <c r="H2439" s="33" t="inlineStr">
        <is>
          <t>World Aquatics World Cup - Carmel</t>
        </is>
      </c>
      <c r="I2439" s="33" t="inlineStr">
        <is>
          <t>356985</t>
        </is>
      </c>
      <c r="J2439" s="33" t="inlineStr"/>
      <c r="K2439" s="33" t="inlineStr">
        <is>
          <t>FIN</t>
        </is>
      </c>
      <c r="L2439" s="35">
        <f>IF(K2439="FIN",3,IF(OR(K2439="SEM",K2439="SEMI"),2,IF(OR(K2439="PRE",K2439="HEAT"),1,IF(V2439="YES",4,2))))</f>
        <v/>
      </c>
      <c r="M2439" s="33" t="inlineStr">
        <is>
          <t>SCM</t>
        </is>
      </c>
      <c r="N2439" s="33" t="n">
        <v>200</v>
      </c>
      <c r="O2439" s="33" t="inlineStr">
        <is>
          <t>Free</t>
        </is>
      </c>
      <c r="P2439" s="33" t="inlineStr">
        <is>
          <t>200 Free</t>
        </is>
      </c>
      <c r="Q2439" s="33" t="inlineStr">
        <is>
          <t>SCM_200_FREE</t>
        </is>
      </c>
      <c r="R2439" s="36" t="n">
        <v>101.19</v>
      </c>
      <c r="S2439" s="35">
        <f>IF(R2439="","",IF(R2439&gt;=60,INT(R2439/60)&amp;":"&amp;TEXT(MOD(R2439,60),"00.00"),TEXT(R2439,"0.00")))</f>
        <v/>
      </c>
      <c r="T2439" s="52">
        <f>IFERROR((G2439-INDEX('01_Swimmers'!$E$5:$E$22,MATCH(B2439,'01_Swimmers'!$A$5:$A$22,0)))/'00_Control'!$B$10,"")</f>
        <v/>
      </c>
      <c r="U2439" s="35">
        <f>IF(T2439="","",INT(T2439))</f>
        <v/>
      </c>
      <c r="V2439" s="33" t="inlineStr">
        <is>
          <t>NO</t>
        </is>
      </c>
      <c r="W2439" s="33" t="inlineStr">
        <is>
          <t>YES</t>
        </is>
      </c>
      <c r="X2439" s="33" t="inlineStr">
        <is>
          <t>NO</t>
        </is>
      </c>
      <c r="Y2439" s="33" t="n">
        <v>1</v>
      </c>
      <c r="Z2439" s="33" t="n">
        <v>4</v>
      </c>
      <c r="AA2439" s="33" t="inlineStr">
        <is>
          <t>1</t>
        </is>
      </c>
      <c r="AB2439" s="33" t="inlineStr">
        <is>
          <t>https://www.swimcloud.com/results/356985/event/32/?id=159283390#time159283390</t>
        </is>
      </c>
      <c r="AC2439" s="33" t="inlineStr">
        <is>
          <t>SwimCloud API v6 2026-10-08</t>
        </is>
      </c>
      <c r="AD2439" s="33" t="inlineStr">
        <is>
          <t>Luke Hobson|2025-10-12|SCM|200|Free|101.19|World Aquatics World Cup - Carmel|FIN|False</t>
        </is>
      </c>
      <c r="AE2439" s="53">
        <f>G2439+L2439/1000+ROW()/1000000000</f>
        <v/>
      </c>
      <c r="AF2439" s="35">
        <f>IF(C2439&lt;&gt;"Grayson Coulter","",COUNTIFS($C$5:$C$2991,"Grayson Coulter",$Q$5:$Q$2991,Q2439,$AE$5:$AE$2991,"&lt;="&amp;AE2439,$R$5:$R$2991,"&lt;"&amp;R2439))</f>
        <v/>
      </c>
      <c r="AG2439" s="35">
        <f>IF(OR(C2439&lt;&gt;"Grayson Coulter",G2439&lt;'00_Control'!$B$7),"",--(AF2439&lt;5))</f>
        <v/>
      </c>
      <c r="AH2439" s="35">
        <f>IF(OR(C2439&lt;&gt;"Grayson Coulter",G2439&lt;'00_Control'!$B$7),"",--(AF2439&lt;10))</f>
        <v/>
      </c>
      <c r="AI2439" s="35">
        <f>IF(AND(C2439="Grayson Coulter",G2439&gt;='00_Control'!$B$7),"YES","NO")</f>
        <v/>
      </c>
      <c r="AJ2439" s="33" t="inlineStr">
        <is>
          <t>OK</t>
        </is>
      </c>
    </row>
    <row r="2440">
      <c r="A2440" s="33" t="inlineStr">
        <is>
          <t>SM002436</t>
        </is>
      </c>
      <c r="B2440" s="33" t="inlineStr">
        <is>
          <t>SW014</t>
        </is>
      </c>
      <c r="C2440" s="33" t="inlineStr">
        <is>
          <t>Luke Hobson</t>
        </is>
      </c>
      <c r="D2440" s="33" t="inlineStr">
        <is>
          <t>SwimCloud</t>
        </is>
      </c>
      <c r="E2440" s="33" t="inlineStr">
        <is>
          <t>576911</t>
        </is>
      </c>
      <c r="F2440" s="33" t="inlineStr">
        <is>
          <t>159865586</t>
        </is>
      </c>
      <c r="G2440" s="51" t="n">
        <v>45947</v>
      </c>
      <c r="H2440" s="33" t="inlineStr">
        <is>
          <t>World Aquatics World Cup - Westmont</t>
        </is>
      </c>
      <c r="I2440" s="33" t="inlineStr">
        <is>
          <t>357247</t>
        </is>
      </c>
      <c r="J2440" s="33" t="inlineStr"/>
      <c r="K2440" s="33" t="inlineStr">
        <is>
          <t>TIM</t>
        </is>
      </c>
      <c r="L2440" s="35">
        <f>IF(K2440="FIN",3,IF(OR(K2440="SEM",K2440="SEMI"),2,IF(OR(K2440="PRE",K2440="HEAT"),1,IF(V2440="YES",4,2))))</f>
        <v/>
      </c>
      <c r="M2440" s="33" t="inlineStr">
        <is>
          <t>SCM</t>
        </is>
      </c>
      <c r="N2440" s="33" t="n">
        <v>400</v>
      </c>
      <c r="O2440" s="33" t="inlineStr">
        <is>
          <t>Free</t>
        </is>
      </c>
      <c r="P2440" s="33" t="inlineStr">
        <is>
          <t>400 Free</t>
        </is>
      </c>
      <c r="Q2440" s="33" t="inlineStr">
        <is>
          <t>SCM_400_FREE</t>
        </is>
      </c>
      <c r="R2440" s="36" t="n">
        <v>218.9</v>
      </c>
      <c r="S2440" s="35">
        <f>IF(R2440="","",IF(R2440&gt;=60,INT(R2440/60)&amp;":"&amp;TEXT(MOD(R2440,60),"00.00"),TEXT(R2440,"0.00")))</f>
        <v/>
      </c>
      <c r="T2440" s="52">
        <f>IFERROR((G2440-INDEX('01_Swimmers'!$E$5:$E$22,MATCH(B2440,'01_Swimmers'!$A$5:$A$22,0)))/'00_Control'!$B$10,"")</f>
        <v/>
      </c>
      <c r="U2440" s="35">
        <f>IF(T2440="","",INT(T2440))</f>
        <v/>
      </c>
      <c r="V2440" s="33" t="inlineStr">
        <is>
          <t>NO</t>
        </is>
      </c>
      <c r="W2440" s="33" t="inlineStr">
        <is>
          <t>YES</t>
        </is>
      </c>
      <c r="X2440" s="33" t="inlineStr">
        <is>
          <t>NO</t>
        </is>
      </c>
      <c r="Y2440" s="33" t="n">
        <v>3</v>
      </c>
      <c r="Z2440" s="33" t="n">
        <v>4</v>
      </c>
      <c r="AA2440" s="33" t="inlineStr">
        <is>
          <t>4</t>
        </is>
      </c>
      <c r="AB2440" s="33" t="inlineStr">
        <is>
          <t>https://www.swimcloud.com/results/357247/event/2/?id=159865586#time159865586</t>
        </is>
      </c>
      <c r="AC2440" s="33" t="inlineStr">
        <is>
          <t>SwimCloud API v6 2026-10-08</t>
        </is>
      </c>
      <c r="AD2440" s="33" t="inlineStr">
        <is>
          <t>Luke Hobson|2025-10-17|SCM|400|Free|218.9|World Aquatics World Cup - Westmont|TIM|False</t>
        </is>
      </c>
      <c r="AE2440" s="53">
        <f>G2440+L2440/1000+ROW()/1000000000</f>
        <v/>
      </c>
      <c r="AF2440" s="35">
        <f>IF(C2440&lt;&gt;"Grayson Coulter","",COUNTIFS($C$5:$C$2991,"Grayson Coulter",$Q$5:$Q$2991,Q2440,$AE$5:$AE$2991,"&lt;="&amp;AE2440,$R$5:$R$2991,"&lt;"&amp;R2440))</f>
        <v/>
      </c>
      <c r="AG2440" s="35">
        <f>IF(OR(C2440&lt;&gt;"Grayson Coulter",G2440&lt;'00_Control'!$B$7),"",--(AF2440&lt;5))</f>
        <v/>
      </c>
      <c r="AH2440" s="35">
        <f>IF(OR(C2440&lt;&gt;"Grayson Coulter",G2440&lt;'00_Control'!$B$7),"",--(AF2440&lt;10))</f>
        <v/>
      </c>
      <c r="AI2440" s="35">
        <f>IF(AND(C2440="Grayson Coulter",G2440&gt;='00_Control'!$B$7),"YES","NO")</f>
        <v/>
      </c>
      <c r="AJ2440" s="33" t="inlineStr">
        <is>
          <t>OK</t>
        </is>
      </c>
    </row>
    <row r="2441">
      <c r="A2441" s="33" t="inlineStr">
        <is>
          <t>SM002437</t>
        </is>
      </c>
      <c r="B2441" s="33" t="inlineStr">
        <is>
          <t>SW014</t>
        </is>
      </c>
      <c r="C2441" s="33" t="inlineStr">
        <is>
          <t>Luke Hobson</t>
        </is>
      </c>
      <c r="D2441" s="33" t="inlineStr">
        <is>
          <t>SwimCloud</t>
        </is>
      </c>
      <c r="E2441" s="33" t="inlineStr">
        <is>
          <t>576911</t>
        </is>
      </c>
      <c r="F2441" s="33" t="inlineStr">
        <is>
          <t>159865583</t>
        </is>
      </c>
      <c r="G2441" s="51" t="n">
        <v>45948</v>
      </c>
      <c r="H2441" s="33" t="inlineStr">
        <is>
          <t>World Aquatics World Cup - Westmont</t>
        </is>
      </c>
      <c r="I2441" s="33" t="inlineStr">
        <is>
          <t>357247</t>
        </is>
      </c>
      <c r="J2441" s="33" t="inlineStr"/>
      <c r="K2441" s="33" t="inlineStr">
        <is>
          <t>PRE</t>
        </is>
      </c>
      <c r="L2441" s="35">
        <f>IF(K2441="FIN",3,IF(OR(K2441="SEM",K2441="SEMI"),2,IF(OR(K2441="PRE",K2441="HEAT"),1,IF(V2441="YES",4,2))))</f>
        <v/>
      </c>
      <c r="M2441" s="33" t="inlineStr">
        <is>
          <t>SCM</t>
        </is>
      </c>
      <c r="N2441" s="33" t="n">
        <v>100</v>
      </c>
      <c r="O2441" s="33" t="inlineStr">
        <is>
          <t>Free</t>
        </is>
      </c>
      <c r="P2441" s="33" t="inlineStr">
        <is>
          <t>100 Free</t>
        </is>
      </c>
      <c r="Q2441" s="33" t="inlineStr">
        <is>
          <t>SCM_100_FREE</t>
        </is>
      </c>
      <c r="R2441" s="36" t="n">
        <v>46.95</v>
      </c>
      <c r="S2441" s="35">
        <f>IF(R2441="","",IF(R2441&gt;=60,INT(R2441/60)&amp;":"&amp;TEXT(MOD(R2441,60),"00.00"),TEXT(R2441,"0.00")))</f>
        <v/>
      </c>
      <c r="T2441" s="52">
        <f>IFERROR((G2441-INDEX('01_Swimmers'!$E$5:$E$22,MATCH(B2441,'01_Swimmers'!$A$5:$A$22,0)))/'00_Control'!$B$10,"")</f>
        <v/>
      </c>
      <c r="U2441" s="35">
        <f>IF(T2441="","",INT(T2441))</f>
        <v/>
      </c>
      <c r="V2441" s="33" t="inlineStr">
        <is>
          <t>NO</t>
        </is>
      </c>
      <c r="W2441" s="33" t="inlineStr">
        <is>
          <t>YES</t>
        </is>
      </c>
      <c r="X2441" s="33" t="inlineStr">
        <is>
          <t>NO</t>
        </is>
      </c>
      <c r="Y2441" s="33" t="n">
        <v>9</v>
      </c>
      <c r="Z2441" s="33" t="n">
        <v>2</v>
      </c>
      <c r="AA2441" s="33" t="inlineStr">
        <is>
          <t>7</t>
        </is>
      </c>
      <c r="AB2441" s="33" t="inlineStr">
        <is>
          <t>https://www.swimcloud.com/results/357247/event/20/?id=159865583#time159865583</t>
        </is>
      </c>
      <c r="AC2441" s="33" t="inlineStr">
        <is>
          <t>SwimCloud API v6 2026-10-08</t>
        </is>
      </c>
      <c r="AD2441" s="33" t="inlineStr">
        <is>
          <t>Luke Hobson|2025-10-18|SCM|100|Free|46.95|World Aquatics World Cup - Westmont|PRE|False</t>
        </is>
      </c>
      <c r="AE2441" s="53">
        <f>G2441+L2441/1000+ROW()/1000000000</f>
        <v/>
      </c>
      <c r="AF2441" s="35">
        <f>IF(C2441&lt;&gt;"Grayson Coulter","",COUNTIFS($C$5:$C$2991,"Grayson Coulter",$Q$5:$Q$2991,Q2441,$AE$5:$AE$2991,"&lt;="&amp;AE2441,$R$5:$R$2991,"&lt;"&amp;R2441))</f>
        <v/>
      </c>
      <c r="AG2441" s="35">
        <f>IF(OR(C2441&lt;&gt;"Grayson Coulter",G2441&lt;'00_Control'!$B$7),"",--(AF2441&lt;5))</f>
        <v/>
      </c>
      <c r="AH2441" s="35">
        <f>IF(OR(C2441&lt;&gt;"Grayson Coulter",G2441&lt;'00_Control'!$B$7),"",--(AF2441&lt;10))</f>
        <v/>
      </c>
      <c r="AI2441" s="35">
        <f>IF(AND(C2441="Grayson Coulter",G2441&gt;='00_Control'!$B$7),"YES","NO")</f>
        <v/>
      </c>
      <c r="AJ2441" s="33" t="inlineStr">
        <is>
          <t>OK</t>
        </is>
      </c>
    </row>
    <row r="2442">
      <c r="A2442" s="33" t="inlineStr">
        <is>
          <t>SM002438</t>
        </is>
      </c>
      <c r="B2442" s="33" t="inlineStr">
        <is>
          <t>SW014</t>
        </is>
      </c>
      <c r="C2442" s="33" t="inlineStr">
        <is>
          <t>Luke Hobson</t>
        </is>
      </c>
      <c r="D2442" s="33" t="inlineStr">
        <is>
          <t>SwimCloud</t>
        </is>
      </c>
      <c r="E2442" s="33" t="inlineStr">
        <is>
          <t>576911</t>
        </is>
      </c>
      <c r="F2442" s="33" t="inlineStr">
        <is>
          <t>159865582</t>
        </is>
      </c>
      <c r="G2442" s="51" t="n">
        <v>45948</v>
      </c>
      <c r="H2442" s="33" t="inlineStr">
        <is>
          <t>World Aquatics World Cup - Westmont</t>
        </is>
      </c>
      <c r="I2442" s="33" t="inlineStr">
        <is>
          <t>357247</t>
        </is>
      </c>
      <c r="J2442" s="33" t="inlineStr"/>
      <c r="K2442" s="33" t="inlineStr">
        <is>
          <t>FIN</t>
        </is>
      </c>
      <c r="L2442" s="35">
        <f>IF(K2442="FIN",3,IF(OR(K2442="SEM",K2442="SEMI"),2,IF(OR(K2442="PRE",K2442="HEAT"),1,IF(V2442="YES",4,2))))</f>
        <v/>
      </c>
      <c r="M2442" s="33" t="inlineStr">
        <is>
          <t>SCM</t>
        </is>
      </c>
      <c r="N2442" s="33" t="n">
        <v>100</v>
      </c>
      <c r="O2442" s="33" t="inlineStr">
        <is>
          <t>Free</t>
        </is>
      </c>
      <c r="P2442" s="33" t="inlineStr">
        <is>
          <t>100 Free</t>
        </is>
      </c>
      <c r="Q2442" s="33" t="inlineStr">
        <is>
          <t>SCM_100_FREE</t>
        </is>
      </c>
      <c r="R2442" s="36" t="n">
        <v>46.99</v>
      </c>
      <c r="S2442" s="35">
        <f>IF(R2442="","",IF(R2442&gt;=60,INT(R2442/60)&amp;":"&amp;TEXT(MOD(R2442,60),"00.00"),TEXT(R2442,"0.00")))</f>
        <v/>
      </c>
      <c r="T2442" s="52">
        <f>IFERROR((G2442-INDEX('01_Swimmers'!$E$5:$E$22,MATCH(B2442,'01_Swimmers'!$A$5:$A$22,0)))/'00_Control'!$B$10,"")</f>
        <v/>
      </c>
      <c r="U2442" s="35">
        <f>IF(T2442="","",INT(T2442))</f>
        <v/>
      </c>
      <c r="V2442" s="33" t="inlineStr">
        <is>
          <t>NO</t>
        </is>
      </c>
      <c r="W2442" s="33" t="inlineStr">
        <is>
          <t>YES</t>
        </is>
      </c>
      <c r="X2442" s="33" t="inlineStr">
        <is>
          <t>NO</t>
        </is>
      </c>
      <c r="Y2442" s="33" t="n">
        <v>1</v>
      </c>
      <c r="Z2442" s="33" t="n">
        <v>1</v>
      </c>
      <c r="AA2442" s="33" t="inlineStr">
        <is>
          <t>8</t>
        </is>
      </c>
      <c r="AB2442" s="33" t="inlineStr">
        <is>
          <t>https://www.swimcloud.com/results/357247/event/20/?id=159865582#time159865582</t>
        </is>
      </c>
      <c r="AC2442" s="33" t="inlineStr">
        <is>
          <t>SwimCloud API v6 2026-10-08</t>
        </is>
      </c>
      <c r="AD2442" s="33" t="inlineStr">
        <is>
          <t>Luke Hobson|2025-10-18|SCM|100|Free|46.99|World Aquatics World Cup - Westmont|FIN|False</t>
        </is>
      </c>
      <c r="AE2442" s="53">
        <f>G2442+L2442/1000+ROW()/1000000000</f>
        <v/>
      </c>
      <c r="AF2442" s="35">
        <f>IF(C2442&lt;&gt;"Grayson Coulter","",COUNTIFS($C$5:$C$2991,"Grayson Coulter",$Q$5:$Q$2991,Q2442,$AE$5:$AE$2991,"&lt;="&amp;AE2442,$R$5:$R$2991,"&lt;"&amp;R2442))</f>
        <v/>
      </c>
      <c r="AG2442" s="35">
        <f>IF(OR(C2442&lt;&gt;"Grayson Coulter",G2442&lt;'00_Control'!$B$7),"",--(AF2442&lt;5))</f>
        <v/>
      </c>
      <c r="AH2442" s="35">
        <f>IF(OR(C2442&lt;&gt;"Grayson Coulter",G2442&lt;'00_Control'!$B$7),"",--(AF2442&lt;10))</f>
        <v/>
      </c>
      <c r="AI2442" s="35">
        <f>IF(AND(C2442="Grayson Coulter",G2442&gt;='00_Control'!$B$7),"YES","NO")</f>
        <v/>
      </c>
      <c r="AJ2442" s="33" t="inlineStr">
        <is>
          <t>OK</t>
        </is>
      </c>
    </row>
    <row r="2443">
      <c r="A2443" s="33" t="inlineStr">
        <is>
          <t>SM002439</t>
        </is>
      </c>
      <c r="B2443" s="33" t="inlineStr">
        <is>
          <t>SW014</t>
        </is>
      </c>
      <c r="C2443" s="33" t="inlineStr">
        <is>
          <t>Luke Hobson</t>
        </is>
      </c>
      <c r="D2443" s="33" t="inlineStr">
        <is>
          <t>SwimCloud</t>
        </is>
      </c>
      <c r="E2443" s="33" t="inlineStr">
        <is>
          <t>576911</t>
        </is>
      </c>
      <c r="F2443" s="33" t="inlineStr">
        <is>
          <t>159865585</t>
        </is>
      </c>
      <c r="G2443" s="51" t="n">
        <v>45949</v>
      </c>
      <c r="H2443" s="33" t="inlineStr">
        <is>
          <t>World Aquatics World Cup - Westmont</t>
        </is>
      </c>
      <c r="I2443" s="33" t="inlineStr">
        <is>
          <t>357247</t>
        </is>
      </c>
      <c r="J2443" s="33" t="inlineStr"/>
      <c r="K2443" s="33" t="inlineStr">
        <is>
          <t>PRE</t>
        </is>
      </c>
      <c r="L2443" s="35">
        <f>IF(K2443="FIN",3,IF(OR(K2443="SEM",K2443="SEMI"),2,IF(OR(K2443="PRE",K2443="HEAT"),1,IF(V2443="YES",4,2))))</f>
        <v/>
      </c>
      <c r="M2443" s="33" t="inlineStr">
        <is>
          <t>SCM</t>
        </is>
      </c>
      <c r="N2443" s="33" t="n">
        <v>200</v>
      </c>
      <c r="O2443" s="33" t="inlineStr">
        <is>
          <t>Free</t>
        </is>
      </c>
      <c r="P2443" s="33" t="inlineStr">
        <is>
          <t>200 Free</t>
        </is>
      </c>
      <c r="Q2443" s="33" t="inlineStr">
        <is>
          <t>SCM_200_FREE</t>
        </is>
      </c>
      <c r="R2443" s="36" t="n">
        <v>102.55</v>
      </c>
      <c r="S2443" s="35">
        <f>IF(R2443="","",IF(R2443&gt;=60,INT(R2443/60)&amp;":"&amp;TEXT(MOD(R2443,60),"00.00"),TEXT(R2443,"0.00")))</f>
        <v/>
      </c>
      <c r="T2443" s="52">
        <f>IFERROR((G2443-INDEX('01_Swimmers'!$E$5:$E$22,MATCH(B2443,'01_Swimmers'!$A$5:$A$22,0)))/'00_Control'!$B$10,"")</f>
        <v/>
      </c>
      <c r="U2443" s="35">
        <f>IF(T2443="","",INT(T2443))</f>
        <v/>
      </c>
      <c r="V2443" s="33" t="inlineStr">
        <is>
          <t>NO</t>
        </is>
      </c>
      <c r="W2443" s="33" t="inlineStr">
        <is>
          <t>YES</t>
        </is>
      </c>
      <c r="X2443" s="33" t="inlineStr">
        <is>
          <t>NO</t>
        </is>
      </c>
      <c r="Y2443" s="33" t="n">
        <v>8</v>
      </c>
      <c r="Z2443" s="33" t="n">
        <v>4</v>
      </c>
      <c r="AA2443" s="33" t="inlineStr">
        <is>
          <t>3</t>
        </is>
      </c>
      <c r="AB2443" s="33" t="inlineStr">
        <is>
          <t>https://www.swimcloud.com/results/357247/event/32/?id=159865585#time159865585</t>
        </is>
      </c>
      <c r="AC2443" s="33" t="inlineStr">
        <is>
          <t>SwimCloud API v6 2026-10-08</t>
        </is>
      </c>
      <c r="AD2443" s="33" t="inlineStr">
        <is>
          <t>Luke Hobson|2025-10-19|SCM|200|Free|102.55|World Aquatics World Cup - Westmont|PRE|False</t>
        </is>
      </c>
      <c r="AE2443" s="53">
        <f>G2443+L2443/1000+ROW()/1000000000</f>
        <v/>
      </c>
      <c r="AF2443" s="35">
        <f>IF(C2443&lt;&gt;"Grayson Coulter","",COUNTIFS($C$5:$C$2991,"Grayson Coulter",$Q$5:$Q$2991,Q2443,$AE$5:$AE$2991,"&lt;="&amp;AE2443,$R$5:$R$2991,"&lt;"&amp;R2443))</f>
        <v/>
      </c>
      <c r="AG2443" s="35">
        <f>IF(OR(C2443&lt;&gt;"Grayson Coulter",G2443&lt;'00_Control'!$B$7),"",--(AF2443&lt;5))</f>
        <v/>
      </c>
      <c r="AH2443" s="35">
        <f>IF(OR(C2443&lt;&gt;"Grayson Coulter",G2443&lt;'00_Control'!$B$7),"",--(AF2443&lt;10))</f>
        <v/>
      </c>
      <c r="AI2443" s="35">
        <f>IF(AND(C2443="Grayson Coulter",G2443&gt;='00_Control'!$B$7),"YES","NO")</f>
        <v/>
      </c>
      <c r="AJ2443" s="33" t="inlineStr">
        <is>
          <t>OK</t>
        </is>
      </c>
    </row>
    <row r="2444">
      <c r="A2444" s="33" t="inlineStr">
        <is>
          <t>SM002440</t>
        </is>
      </c>
      <c r="B2444" s="33" t="inlineStr">
        <is>
          <t>SW014</t>
        </is>
      </c>
      <c r="C2444" s="33" t="inlineStr">
        <is>
          <t>Luke Hobson</t>
        </is>
      </c>
      <c r="D2444" s="33" t="inlineStr">
        <is>
          <t>SwimCloud</t>
        </is>
      </c>
      <c r="E2444" s="33" t="inlineStr">
        <is>
          <t>576911</t>
        </is>
      </c>
      <c r="F2444" s="33" t="inlineStr">
        <is>
          <t>159865584</t>
        </is>
      </c>
      <c r="G2444" s="51" t="n">
        <v>45949</v>
      </c>
      <c r="H2444" s="33" t="inlineStr">
        <is>
          <t>World Aquatics World Cup - Westmont</t>
        </is>
      </c>
      <c r="I2444" s="33" t="inlineStr">
        <is>
          <t>357247</t>
        </is>
      </c>
      <c r="J2444" s="33" t="inlineStr"/>
      <c r="K2444" s="33" t="inlineStr">
        <is>
          <t>FIN</t>
        </is>
      </c>
      <c r="L2444" s="35">
        <f>IF(K2444="FIN",3,IF(OR(K2444="SEM",K2444="SEMI"),2,IF(OR(K2444="PRE",K2444="HEAT"),1,IF(V2444="YES",4,2))))</f>
        <v/>
      </c>
      <c r="M2444" s="33" t="inlineStr">
        <is>
          <t>SCM</t>
        </is>
      </c>
      <c r="N2444" s="33" t="n">
        <v>200</v>
      </c>
      <c r="O2444" s="33" t="inlineStr">
        <is>
          <t>Free</t>
        </is>
      </c>
      <c r="P2444" s="33" t="inlineStr">
        <is>
          <t>200 Free</t>
        </is>
      </c>
      <c r="Q2444" s="33" t="inlineStr">
        <is>
          <t>SCM_200_FREE</t>
        </is>
      </c>
      <c r="R2444" s="36" t="n">
        <v>100.62</v>
      </c>
      <c r="S2444" s="35">
        <f>IF(R2444="","",IF(R2444&gt;=60,INT(R2444/60)&amp;":"&amp;TEXT(MOD(R2444,60),"00.00"),TEXT(R2444,"0.00")))</f>
        <v/>
      </c>
      <c r="T2444" s="52">
        <f>IFERROR((G2444-INDEX('01_Swimmers'!$E$5:$E$22,MATCH(B2444,'01_Swimmers'!$A$5:$A$22,0)))/'00_Control'!$B$10,"")</f>
        <v/>
      </c>
      <c r="U2444" s="35">
        <f>IF(T2444="","",INT(T2444))</f>
        <v/>
      </c>
      <c r="V2444" s="33" t="inlineStr">
        <is>
          <t>NO</t>
        </is>
      </c>
      <c r="W2444" s="33" t="inlineStr">
        <is>
          <t>YES</t>
        </is>
      </c>
      <c r="X2444" s="33" t="inlineStr">
        <is>
          <t>NO</t>
        </is>
      </c>
      <c r="Y2444" s="33" t="n">
        <v>1</v>
      </c>
      <c r="Z2444" s="33" t="n">
        <v>3</v>
      </c>
      <c r="AA2444" s="33" t="inlineStr">
        <is>
          <t>1</t>
        </is>
      </c>
      <c r="AB2444" s="33" t="inlineStr">
        <is>
          <t>https://www.swimcloud.com/results/357247/event/32/?id=159865584#time159865584</t>
        </is>
      </c>
      <c r="AC2444" s="33" t="inlineStr">
        <is>
          <t>SwimCloud API v6 2026-10-08</t>
        </is>
      </c>
      <c r="AD2444" s="33" t="inlineStr">
        <is>
          <t>Luke Hobson|2025-10-19|SCM|200|Free|100.62|World Aquatics World Cup - Westmont|FIN|False</t>
        </is>
      </c>
      <c r="AE2444" s="53">
        <f>G2444+L2444/1000+ROW()/1000000000</f>
        <v/>
      </c>
      <c r="AF2444" s="35">
        <f>IF(C2444&lt;&gt;"Grayson Coulter","",COUNTIFS($C$5:$C$2991,"Grayson Coulter",$Q$5:$Q$2991,Q2444,$AE$5:$AE$2991,"&lt;="&amp;AE2444,$R$5:$R$2991,"&lt;"&amp;R2444))</f>
        <v/>
      </c>
      <c r="AG2444" s="35">
        <f>IF(OR(C2444&lt;&gt;"Grayson Coulter",G2444&lt;'00_Control'!$B$7),"",--(AF2444&lt;5))</f>
        <v/>
      </c>
      <c r="AH2444" s="35">
        <f>IF(OR(C2444&lt;&gt;"Grayson Coulter",G2444&lt;'00_Control'!$B$7),"",--(AF2444&lt;10))</f>
        <v/>
      </c>
      <c r="AI2444" s="35">
        <f>IF(AND(C2444="Grayson Coulter",G2444&gt;='00_Control'!$B$7),"YES","NO")</f>
        <v/>
      </c>
      <c r="AJ2444" s="33" t="inlineStr">
        <is>
          <t>OK</t>
        </is>
      </c>
    </row>
    <row r="2445">
      <c r="A2445" s="33" t="inlineStr">
        <is>
          <t>SM002441</t>
        </is>
      </c>
      <c r="B2445" s="33" t="inlineStr">
        <is>
          <t>SW014</t>
        </is>
      </c>
      <c r="C2445" s="33" t="inlineStr">
        <is>
          <t>Luke Hobson</t>
        </is>
      </c>
      <c r="D2445" s="33" t="inlineStr">
        <is>
          <t>SwimCloud</t>
        </is>
      </c>
      <c r="E2445" s="33" t="inlineStr">
        <is>
          <t>576911</t>
        </is>
      </c>
      <c r="F2445" s="33" t="inlineStr">
        <is>
          <t>160541860</t>
        </is>
      </c>
      <c r="G2445" s="51" t="n">
        <v>45953</v>
      </c>
      <c r="H2445" s="33" t="inlineStr">
        <is>
          <t>World Aquatics World Cup - Toronto</t>
        </is>
      </c>
      <c r="I2445" s="33" t="inlineStr">
        <is>
          <t>357248</t>
        </is>
      </c>
      <c r="J2445" s="33" t="inlineStr"/>
      <c r="K2445" s="33" t="inlineStr">
        <is>
          <t>TIM</t>
        </is>
      </c>
      <c r="L2445" s="35">
        <f>IF(K2445="FIN",3,IF(OR(K2445="SEM",K2445="SEMI"),2,IF(OR(K2445="PRE",K2445="HEAT"),1,IF(V2445="YES",4,2))))</f>
        <v/>
      </c>
      <c r="M2445" s="33" t="inlineStr">
        <is>
          <t>SCM</t>
        </is>
      </c>
      <c r="N2445" s="33" t="n">
        <v>400</v>
      </c>
      <c r="O2445" s="33" t="inlineStr">
        <is>
          <t>Free</t>
        </is>
      </c>
      <c r="P2445" s="33" t="inlineStr">
        <is>
          <t>400 Free</t>
        </is>
      </c>
      <c r="Q2445" s="33" t="inlineStr">
        <is>
          <t>SCM_400_FREE</t>
        </is>
      </c>
      <c r="R2445" s="36" t="n">
        <v>219.91</v>
      </c>
      <c r="S2445" s="35">
        <f>IF(R2445="","",IF(R2445&gt;=60,INT(R2445/60)&amp;":"&amp;TEXT(MOD(R2445,60),"00.00"),TEXT(R2445,"0.00")))</f>
        <v/>
      </c>
      <c r="T2445" s="52">
        <f>IFERROR((G2445-INDEX('01_Swimmers'!$E$5:$E$22,MATCH(B2445,'01_Swimmers'!$A$5:$A$22,0)))/'00_Control'!$B$10,"")</f>
        <v/>
      </c>
      <c r="U2445" s="35">
        <f>IF(T2445="","",INT(T2445))</f>
        <v/>
      </c>
      <c r="V2445" s="33" t="inlineStr">
        <is>
          <t>NO</t>
        </is>
      </c>
      <c r="W2445" s="33" t="inlineStr">
        <is>
          <t>YES</t>
        </is>
      </c>
      <c r="X2445" s="33" t="inlineStr">
        <is>
          <t>NO</t>
        </is>
      </c>
      <c r="Y2445" s="33" t="n">
        <v>4</v>
      </c>
      <c r="Z2445" s="33" t="n">
        <v>6</v>
      </c>
      <c r="AA2445" s="33" t="inlineStr">
        <is>
          <t>5</t>
        </is>
      </c>
      <c r="AB2445" s="33" t="inlineStr">
        <is>
          <t>https://www.swimcloud.com/results/357248/event/2/?id=160541860#time160541860</t>
        </is>
      </c>
      <c r="AC2445" s="33" t="inlineStr">
        <is>
          <t>SwimCloud API v6 2026-10-08</t>
        </is>
      </c>
      <c r="AD2445" s="33" t="inlineStr">
        <is>
          <t>Luke Hobson|2025-10-23|SCM|400|Free|219.91|World Aquatics World Cup - Toronto|TIM|False</t>
        </is>
      </c>
      <c r="AE2445" s="53">
        <f>G2445+L2445/1000+ROW()/1000000000</f>
        <v/>
      </c>
      <c r="AF2445" s="35">
        <f>IF(C2445&lt;&gt;"Grayson Coulter","",COUNTIFS($C$5:$C$2991,"Grayson Coulter",$Q$5:$Q$2991,Q2445,$AE$5:$AE$2991,"&lt;="&amp;AE2445,$R$5:$R$2991,"&lt;"&amp;R2445))</f>
        <v/>
      </c>
      <c r="AG2445" s="35">
        <f>IF(OR(C2445&lt;&gt;"Grayson Coulter",G2445&lt;'00_Control'!$B$7),"",--(AF2445&lt;5))</f>
        <v/>
      </c>
      <c r="AH2445" s="35">
        <f>IF(OR(C2445&lt;&gt;"Grayson Coulter",G2445&lt;'00_Control'!$B$7),"",--(AF2445&lt;10))</f>
        <v/>
      </c>
      <c r="AI2445" s="35">
        <f>IF(AND(C2445="Grayson Coulter",G2445&gt;='00_Control'!$B$7),"YES","NO")</f>
        <v/>
      </c>
      <c r="AJ2445" s="33" t="inlineStr">
        <is>
          <t>OK</t>
        </is>
      </c>
    </row>
    <row r="2446">
      <c r="A2446" s="33" t="inlineStr">
        <is>
          <t>SM002442</t>
        </is>
      </c>
      <c r="B2446" s="33" t="inlineStr">
        <is>
          <t>SW014</t>
        </is>
      </c>
      <c r="C2446" s="33" t="inlineStr">
        <is>
          <t>Luke Hobson</t>
        </is>
      </c>
      <c r="D2446" s="33" t="inlineStr">
        <is>
          <t>SwimCloud</t>
        </is>
      </c>
      <c r="E2446" s="33" t="inlineStr">
        <is>
          <t>576911</t>
        </is>
      </c>
      <c r="F2446" s="33" t="inlineStr">
        <is>
          <t>160541857</t>
        </is>
      </c>
      <c r="G2446" s="51" t="n">
        <v>45954</v>
      </c>
      <c r="H2446" s="33" t="inlineStr">
        <is>
          <t>World Aquatics World Cup - Toronto</t>
        </is>
      </c>
      <c r="I2446" s="33" t="inlineStr">
        <is>
          <t>357248</t>
        </is>
      </c>
      <c r="J2446" s="33" t="inlineStr"/>
      <c r="K2446" s="33" t="inlineStr">
        <is>
          <t>PRE</t>
        </is>
      </c>
      <c r="L2446" s="35">
        <f>IF(K2446="FIN",3,IF(OR(K2446="SEM",K2446="SEMI"),2,IF(OR(K2446="PRE",K2446="HEAT"),1,IF(V2446="YES",4,2))))</f>
        <v/>
      </c>
      <c r="M2446" s="33" t="inlineStr">
        <is>
          <t>SCM</t>
        </is>
      </c>
      <c r="N2446" s="33" t="n">
        <v>100</v>
      </c>
      <c r="O2446" s="33" t="inlineStr">
        <is>
          <t>Free</t>
        </is>
      </c>
      <c r="P2446" s="33" t="inlineStr">
        <is>
          <t>100 Free</t>
        </is>
      </c>
      <c r="Q2446" s="33" t="inlineStr">
        <is>
          <t>SCM_100_FREE</t>
        </is>
      </c>
      <c r="R2446" s="36" t="n">
        <v>46.91</v>
      </c>
      <c r="S2446" s="35">
        <f>IF(R2446="","",IF(R2446&gt;=60,INT(R2446/60)&amp;":"&amp;TEXT(MOD(R2446,60),"00.00"),TEXT(R2446,"0.00")))</f>
        <v/>
      </c>
      <c r="T2446" s="52">
        <f>IFERROR((G2446-INDEX('01_Swimmers'!$E$5:$E$22,MATCH(B2446,'01_Swimmers'!$A$5:$A$22,0)))/'00_Control'!$B$10,"")</f>
        <v/>
      </c>
      <c r="U2446" s="35">
        <f>IF(T2446="","",INT(T2446))</f>
        <v/>
      </c>
      <c r="V2446" s="33" t="inlineStr">
        <is>
          <t>NO</t>
        </is>
      </c>
      <c r="W2446" s="33" t="inlineStr">
        <is>
          <t>YES</t>
        </is>
      </c>
      <c r="X2446" s="33" t="inlineStr">
        <is>
          <t>NO</t>
        </is>
      </c>
      <c r="Y2446" s="33" t="n">
        <v>6</v>
      </c>
      <c r="Z2446" s="33" t="n">
        <v>2</v>
      </c>
      <c r="AA2446" s="33" t="inlineStr">
        <is>
          <t>7</t>
        </is>
      </c>
      <c r="AB2446" s="33" t="inlineStr">
        <is>
          <t>https://www.swimcloud.com/results/357248/event/20/?id=160541857#time160541857</t>
        </is>
      </c>
      <c r="AC2446" s="33" t="inlineStr">
        <is>
          <t>SwimCloud API v6 2026-10-08</t>
        </is>
      </c>
      <c r="AD2446" s="33" t="inlineStr">
        <is>
          <t>Luke Hobson|2025-10-24|SCM|100|Free|46.91|World Aquatics World Cup - Toronto|PRE|False</t>
        </is>
      </c>
      <c r="AE2446" s="53">
        <f>G2446+L2446/1000+ROW()/1000000000</f>
        <v/>
      </c>
      <c r="AF2446" s="35">
        <f>IF(C2446&lt;&gt;"Grayson Coulter","",COUNTIFS($C$5:$C$2991,"Grayson Coulter",$Q$5:$Q$2991,Q2446,$AE$5:$AE$2991,"&lt;="&amp;AE2446,$R$5:$R$2991,"&lt;"&amp;R2446))</f>
        <v/>
      </c>
      <c r="AG2446" s="35">
        <f>IF(OR(C2446&lt;&gt;"Grayson Coulter",G2446&lt;'00_Control'!$B$7),"",--(AF2446&lt;5))</f>
        <v/>
      </c>
      <c r="AH2446" s="35">
        <f>IF(OR(C2446&lt;&gt;"Grayson Coulter",G2446&lt;'00_Control'!$B$7),"",--(AF2446&lt;10))</f>
        <v/>
      </c>
      <c r="AI2446" s="35">
        <f>IF(AND(C2446="Grayson Coulter",G2446&gt;='00_Control'!$B$7),"YES","NO")</f>
        <v/>
      </c>
      <c r="AJ2446" s="33" t="inlineStr">
        <is>
          <t>OK</t>
        </is>
      </c>
    </row>
    <row r="2447">
      <c r="A2447" s="33" t="inlineStr">
        <is>
          <t>SM002443</t>
        </is>
      </c>
      <c r="B2447" s="33" t="inlineStr">
        <is>
          <t>SW014</t>
        </is>
      </c>
      <c r="C2447" s="33" t="inlineStr">
        <is>
          <t>Luke Hobson</t>
        </is>
      </c>
      <c r="D2447" s="33" t="inlineStr">
        <is>
          <t>SwimCloud</t>
        </is>
      </c>
      <c r="E2447" s="33" t="inlineStr">
        <is>
          <t>576911</t>
        </is>
      </c>
      <c r="F2447" s="33" t="inlineStr">
        <is>
          <t>160541856</t>
        </is>
      </c>
      <c r="G2447" s="51" t="n">
        <v>45954</v>
      </c>
      <c r="H2447" s="33" t="inlineStr">
        <is>
          <t>World Aquatics World Cup - Toronto</t>
        </is>
      </c>
      <c r="I2447" s="33" t="inlineStr">
        <is>
          <t>357248</t>
        </is>
      </c>
      <c r="J2447" s="33" t="inlineStr"/>
      <c r="K2447" s="33" t="inlineStr">
        <is>
          <t>FIN</t>
        </is>
      </c>
      <c r="L2447" s="35">
        <f>IF(K2447="FIN",3,IF(OR(K2447="SEM",K2447="SEMI"),2,IF(OR(K2447="PRE",K2447="HEAT"),1,IF(V2447="YES",4,2))))</f>
        <v/>
      </c>
      <c r="M2447" s="33" t="inlineStr">
        <is>
          <t>SCM</t>
        </is>
      </c>
      <c r="N2447" s="33" t="n">
        <v>100</v>
      </c>
      <c r="O2447" s="33" t="inlineStr">
        <is>
          <t>Free</t>
        </is>
      </c>
      <c r="P2447" s="33" t="inlineStr">
        <is>
          <t>100 Free</t>
        </is>
      </c>
      <c r="Q2447" s="33" t="inlineStr">
        <is>
          <t>SCM_100_FREE</t>
        </is>
      </c>
      <c r="R2447" s="36" t="n">
        <v>46.92</v>
      </c>
      <c r="S2447" s="35">
        <f>IF(R2447="","",IF(R2447&gt;=60,INT(R2447/60)&amp;":"&amp;TEXT(MOD(R2447,60),"00.00"),TEXT(R2447,"0.00")))</f>
        <v/>
      </c>
      <c r="T2447" s="52">
        <f>IFERROR((G2447-INDEX('01_Swimmers'!$E$5:$E$22,MATCH(B2447,'01_Swimmers'!$A$5:$A$22,0)))/'00_Control'!$B$10,"")</f>
        <v/>
      </c>
      <c r="U2447" s="35">
        <f>IF(T2447="","",INT(T2447))</f>
        <v/>
      </c>
      <c r="V2447" s="33" t="inlineStr">
        <is>
          <t>NO</t>
        </is>
      </c>
      <c r="W2447" s="33" t="inlineStr">
        <is>
          <t>YES</t>
        </is>
      </c>
      <c r="X2447" s="33" t="inlineStr">
        <is>
          <t>NO</t>
        </is>
      </c>
      <c r="Y2447" s="33" t="n">
        <v>1</v>
      </c>
      <c r="Z2447" s="33" t="n">
        <v>1</v>
      </c>
      <c r="AA2447" s="33" t="inlineStr">
        <is>
          <t>8</t>
        </is>
      </c>
      <c r="AB2447" s="33" t="inlineStr">
        <is>
          <t>https://www.swimcloud.com/results/357248/event/20/?id=160541856#time160541856</t>
        </is>
      </c>
      <c r="AC2447" s="33" t="inlineStr">
        <is>
          <t>SwimCloud API v6 2026-10-08</t>
        </is>
      </c>
      <c r="AD2447" s="33" t="inlineStr">
        <is>
          <t>Luke Hobson|2025-10-24|SCM|100|Free|46.92|World Aquatics World Cup - Toronto|FIN|False</t>
        </is>
      </c>
      <c r="AE2447" s="53">
        <f>G2447+L2447/1000+ROW()/1000000000</f>
        <v/>
      </c>
      <c r="AF2447" s="35">
        <f>IF(C2447&lt;&gt;"Grayson Coulter","",COUNTIFS($C$5:$C$2991,"Grayson Coulter",$Q$5:$Q$2991,Q2447,$AE$5:$AE$2991,"&lt;="&amp;AE2447,$R$5:$R$2991,"&lt;"&amp;R2447))</f>
        <v/>
      </c>
      <c r="AG2447" s="35">
        <f>IF(OR(C2447&lt;&gt;"Grayson Coulter",G2447&lt;'00_Control'!$B$7),"",--(AF2447&lt;5))</f>
        <v/>
      </c>
      <c r="AH2447" s="35">
        <f>IF(OR(C2447&lt;&gt;"Grayson Coulter",G2447&lt;'00_Control'!$B$7),"",--(AF2447&lt;10))</f>
        <v/>
      </c>
      <c r="AI2447" s="35">
        <f>IF(AND(C2447="Grayson Coulter",G2447&gt;='00_Control'!$B$7),"YES","NO")</f>
        <v/>
      </c>
      <c r="AJ2447" s="33" t="inlineStr">
        <is>
          <t>OK</t>
        </is>
      </c>
    </row>
    <row r="2448">
      <c r="A2448" s="33" t="inlineStr">
        <is>
          <t>SM002444</t>
        </is>
      </c>
      <c r="B2448" s="33" t="inlineStr">
        <is>
          <t>SW014</t>
        </is>
      </c>
      <c r="C2448" s="33" t="inlineStr">
        <is>
          <t>Luke Hobson</t>
        </is>
      </c>
      <c r="D2448" s="33" t="inlineStr">
        <is>
          <t>SwimCloud</t>
        </is>
      </c>
      <c r="E2448" s="33" t="inlineStr">
        <is>
          <t>576911</t>
        </is>
      </c>
      <c r="F2448" s="33" t="inlineStr">
        <is>
          <t>160541859</t>
        </is>
      </c>
      <c r="G2448" s="51" t="n">
        <v>45955</v>
      </c>
      <c r="H2448" s="33" t="inlineStr">
        <is>
          <t>World Aquatics World Cup - Toronto</t>
        </is>
      </c>
      <c r="I2448" s="33" t="inlineStr">
        <is>
          <t>357248</t>
        </is>
      </c>
      <c r="J2448" s="33" t="inlineStr"/>
      <c r="K2448" s="33" t="inlineStr">
        <is>
          <t>PRE</t>
        </is>
      </c>
      <c r="L2448" s="35">
        <f>IF(K2448="FIN",3,IF(OR(K2448="SEM",K2448="SEMI"),2,IF(OR(K2448="PRE",K2448="HEAT"),1,IF(V2448="YES",4,2))))</f>
        <v/>
      </c>
      <c r="M2448" s="33" t="inlineStr">
        <is>
          <t>SCM</t>
        </is>
      </c>
      <c r="N2448" s="33" t="n">
        <v>200</v>
      </c>
      <c r="O2448" s="33" t="inlineStr">
        <is>
          <t>Free</t>
        </is>
      </c>
      <c r="P2448" s="33" t="inlineStr">
        <is>
          <t>200 Free</t>
        </is>
      </c>
      <c r="Q2448" s="33" t="inlineStr">
        <is>
          <t>SCM_200_FREE</t>
        </is>
      </c>
      <c r="R2448" s="36" t="n">
        <v>101.62</v>
      </c>
      <c r="S2448" s="35">
        <f>IF(R2448="","",IF(R2448&gt;=60,INT(R2448/60)&amp;":"&amp;TEXT(MOD(R2448,60),"00.00"),TEXT(R2448,"0.00")))</f>
        <v/>
      </c>
      <c r="T2448" s="52">
        <f>IFERROR((G2448-INDEX('01_Swimmers'!$E$5:$E$22,MATCH(B2448,'01_Swimmers'!$A$5:$A$22,0)))/'00_Control'!$B$10,"")</f>
        <v/>
      </c>
      <c r="U2448" s="35">
        <f>IF(T2448="","",INT(T2448))</f>
        <v/>
      </c>
      <c r="V2448" s="33" t="inlineStr">
        <is>
          <t>NO</t>
        </is>
      </c>
      <c r="W2448" s="33" t="inlineStr">
        <is>
          <t>YES</t>
        </is>
      </c>
      <c r="X2448" s="33" t="inlineStr">
        <is>
          <t>NO</t>
        </is>
      </c>
      <c r="Y2448" s="33" t="n">
        <v>5</v>
      </c>
      <c r="Z2448" s="33" t="n">
        <v>4</v>
      </c>
      <c r="AA2448" s="33" t="inlineStr">
        <is>
          <t>2</t>
        </is>
      </c>
      <c r="AB2448" s="33" t="inlineStr">
        <is>
          <t>https://www.swimcloud.com/results/357248/event/32/?id=160541859#time160541859</t>
        </is>
      </c>
      <c r="AC2448" s="33" t="inlineStr">
        <is>
          <t>SwimCloud API v6 2026-10-08</t>
        </is>
      </c>
      <c r="AD2448" s="33" t="inlineStr">
        <is>
          <t>Luke Hobson|2025-10-25|SCM|200|Free|101.62|World Aquatics World Cup - Toronto|PRE|False</t>
        </is>
      </c>
      <c r="AE2448" s="53">
        <f>G2448+L2448/1000+ROW()/1000000000</f>
        <v/>
      </c>
      <c r="AF2448" s="35">
        <f>IF(C2448&lt;&gt;"Grayson Coulter","",COUNTIFS($C$5:$C$2991,"Grayson Coulter",$Q$5:$Q$2991,Q2448,$AE$5:$AE$2991,"&lt;="&amp;AE2448,$R$5:$R$2991,"&lt;"&amp;R2448))</f>
        <v/>
      </c>
      <c r="AG2448" s="35">
        <f>IF(OR(C2448&lt;&gt;"Grayson Coulter",G2448&lt;'00_Control'!$B$7),"",--(AF2448&lt;5))</f>
        <v/>
      </c>
      <c r="AH2448" s="35">
        <f>IF(OR(C2448&lt;&gt;"Grayson Coulter",G2448&lt;'00_Control'!$B$7),"",--(AF2448&lt;10))</f>
        <v/>
      </c>
      <c r="AI2448" s="35">
        <f>IF(AND(C2448="Grayson Coulter",G2448&gt;='00_Control'!$B$7),"YES","NO")</f>
        <v/>
      </c>
      <c r="AJ2448" s="33" t="inlineStr">
        <is>
          <t>OK</t>
        </is>
      </c>
    </row>
    <row r="2449">
      <c r="A2449" s="33" t="inlineStr">
        <is>
          <t>SM002445</t>
        </is>
      </c>
      <c r="B2449" s="33" t="inlineStr">
        <is>
          <t>SW014</t>
        </is>
      </c>
      <c r="C2449" s="33" t="inlineStr">
        <is>
          <t>Luke Hobson</t>
        </is>
      </c>
      <c r="D2449" s="33" t="inlineStr">
        <is>
          <t>SwimCloud</t>
        </is>
      </c>
      <c r="E2449" s="33" t="inlineStr">
        <is>
          <t>576911</t>
        </is>
      </c>
      <c r="F2449" s="33" t="inlineStr">
        <is>
          <t>160541858</t>
        </is>
      </c>
      <c r="G2449" s="51" t="n">
        <v>45955</v>
      </c>
      <c r="H2449" s="33" t="inlineStr">
        <is>
          <t>World Aquatics World Cup - Toronto</t>
        </is>
      </c>
      <c r="I2449" s="33" t="inlineStr">
        <is>
          <t>357248</t>
        </is>
      </c>
      <c r="J2449" s="33" t="inlineStr"/>
      <c r="K2449" s="33" t="inlineStr">
        <is>
          <t>FIN</t>
        </is>
      </c>
      <c r="L2449" s="35">
        <f>IF(K2449="FIN",3,IF(OR(K2449="SEM",K2449="SEMI"),2,IF(OR(K2449="PRE",K2449="HEAT"),1,IF(V2449="YES",4,2))))</f>
        <v/>
      </c>
      <c r="M2449" s="33" t="inlineStr">
        <is>
          <t>SCM</t>
        </is>
      </c>
      <c r="N2449" s="33" t="n">
        <v>200</v>
      </c>
      <c r="O2449" s="33" t="inlineStr">
        <is>
          <t>Free</t>
        </is>
      </c>
      <c r="P2449" s="33" t="inlineStr">
        <is>
          <t>200 Free</t>
        </is>
      </c>
      <c r="Q2449" s="33" t="inlineStr">
        <is>
          <t>SCM_200_FREE</t>
        </is>
      </c>
      <c r="R2449" s="36" t="n">
        <v>99.94</v>
      </c>
      <c r="S2449" s="35">
        <f>IF(R2449="","",IF(R2449&gt;=60,INT(R2449/60)&amp;":"&amp;TEXT(MOD(R2449,60),"00.00"),TEXT(R2449,"0.00")))</f>
        <v/>
      </c>
      <c r="T2449" s="52">
        <f>IFERROR((G2449-INDEX('01_Swimmers'!$E$5:$E$22,MATCH(B2449,'01_Swimmers'!$A$5:$A$22,0)))/'00_Control'!$B$10,"")</f>
        <v/>
      </c>
      <c r="U2449" s="35">
        <f>IF(T2449="","",INT(T2449))</f>
        <v/>
      </c>
      <c r="V2449" s="33" t="inlineStr">
        <is>
          <t>NO</t>
        </is>
      </c>
      <c r="W2449" s="33" t="inlineStr">
        <is>
          <t>YES</t>
        </is>
      </c>
      <c r="X2449" s="33" t="inlineStr">
        <is>
          <t>NO</t>
        </is>
      </c>
      <c r="Y2449" s="33" t="n">
        <v>1</v>
      </c>
      <c r="Z2449" s="33" t="n">
        <v>5</v>
      </c>
      <c r="AA2449" s="33" t="inlineStr">
        <is>
          <t>1</t>
        </is>
      </c>
      <c r="AB2449" s="33" t="inlineStr">
        <is>
          <t>https://www.swimcloud.com/results/357248/event/32/?id=160541858#time160541858</t>
        </is>
      </c>
      <c r="AC2449" s="33" t="inlineStr">
        <is>
          <t>SwimCloud API v6 2026-10-08</t>
        </is>
      </c>
      <c r="AD2449" s="33" t="inlineStr">
        <is>
          <t>Luke Hobson|2025-10-25|SCM|200|Free|99.94|World Aquatics World Cup - Toronto|FIN|False</t>
        </is>
      </c>
      <c r="AE2449" s="53">
        <f>G2449+L2449/1000+ROW()/1000000000</f>
        <v/>
      </c>
      <c r="AF2449" s="35">
        <f>IF(C2449&lt;&gt;"Grayson Coulter","",COUNTIFS($C$5:$C$2991,"Grayson Coulter",$Q$5:$Q$2991,Q2449,$AE$5:$AE$2991,"&lt;="&amp;AE2449,$R$5:$R$2991,"&lt;"&amp;R2449))</f>
        <v/>
      </c>
      <c r="AG2449" s="35">
        <f>IF(OR(C2449&lt;&gt;"Grayson Coulter",G2449&lt;'00_Control'!$B$7),"",--(AF2449&lt;5))</f>
        <v/>
      </c>
      <c r="AH2449" s="35">
        <f>IF(OR(C2449&lt;&gt;"Grayson Coulter",G2449&lt;'00_Control'!$B$7),"",--(AF2449&lt;10))</f>
        <v/>
      </c>
      <c r="AI2449" s="35">
        <f>IF(AND(C2449="Grayson Coulter",G2449&gt;='00_Control'!$B$7),"YES","NO")</f>
        <v/>
      </c>
      <c r="AJ2449" s="33" t="inlineStr">
        <is>
          <t>OK</t>
        </is>
      </c>
    </row>
    <row r="2450">
      <c r="A2450" s="33" t="inlineStr">
        <is>
          <t>SM002446</t>
        </is>
      </c>
      <c r="B2450" s="33" t="inlineStr">
        <is>
          <t>SW014</t>
        </is>
      </c>
      <c r="C2450" s="33" t="inlineStr">
        <is>
          <t>Luke Hobson</t>
        </is>
      </c>
      <c r="D2450" s="33" t="inlineStr">
        <is>
          <t>SwimCloud</t>
        </is>
      </c>
      <c r="E2450" s="33" t="inlineStr">
        <is>
          <t>576911</t>
        </is>
      </c>
      <c r="F2450" s="33" t="inlineStr">
        <is>
          <t>164092638</t>
        </is>
      </c>
      <c r="G2450" s="51" t="n">
        <v>45995</v>
      </c>
      <c r="H2450" s="33" t="inlineStr">
        <is>
          <t>Toyota US Open Championships</t>
        </is>
      </c>
      <c r="I2450" s="33" t="inlineStr">
        <is>
          <t>344574</t>
        </is>
      </c>
      <c r="J2450" s="33" t="inlineStr"/>
      <c r="K2450" s="33" t="inlineStr">
        <is>
          <t>PRE</t>
        </is>
      </c>
      <c r="L2450" s="35">
        <f>IF(K2450="FIN",3,IF(OR(K2450="SEM",K2450="SEMI"),2,IF(OR(K2450="PRE",K2450="HEAT"),1,IF(V2450="YES",4,2))))</f>
        <v/>
      </c>
      <c r="M2450" s="33" t="inlineStr">
        <is>
          <t>LCM</t>
        </is>
      </c>
      <c r="N2450" s="33" t="n">
        <v>400</v>
      </c>
      <c r="O2450" s="33" t="inlineStr">
        <is>
          <t>Free</t>
        </is>
      </c>
      <c r="P2450" s="33" t="inlineStr">
        <is>
          <t>400 Free</t>
        </is>
      </c>
      <c r="Q2450" s="33" t="inlineStr">
        <is>
          <t>LCM_400_FREE</t>
        </is>
      </c>
      <c r="R2450" s="36" t="n">
        <v>227.56</v>
      </c>
      <c r="S2450" s="35">
        <f>IF(R2450="","",IF(R2450&gt;=60,INT(R2450/60)&amp;":"&amp;TEXT(MOD(R2450,60),"00.00"),TEXT(R2450,"0.00")))</f>
        <v/>
      </c>
      <c r="T2450" s="52">
        <f>IFERROR((G2450-INDEX('01_Swimmers'!$E$5:$E$22,MATCH(B2450,'01_Swimmers'!$A$5:$A$22,0)))/'00_Control'!$B$10,"")</f>
        <v/>
      </c>
      <c r="U2450" s="35">
        <f>IF(T2450="","",INT(T2450))</f>
        <v/>
      </c>
      <c r="V2450" s="33" t="inlineStr">
        <is>
          <t>NO</t>
        </is>
      </c>
      <c r="W2450" s="33" t="inlineStr">
        <is>
          <t>YES</t>
        </is>
      </c>
      <c r="X2450" s="33" t="inlineStr">
        <is>
          <t>NO</t>
        </is>
      </c>
      <c r="Y2450" s="33" t="n">
        <v>3</v>
      </c>
      <c r="Z2450" s="33" t="n">
        <v>5</v>
      </c>
      <c r="AA2450" s="33" t="inlineStr">
        <is>
          <t>1</t>
        </is>
      </c>
      <c r="AB2450" s="33" t="inlineStr">
        <is>
          <t>https://www.swimcloud.com/results/344574/event/6/?id=164092638#time164092638</t>
        </is>
      </c>
      <c r="AC2450" s="33" t="inlineStr">
        <is>
          <t>SwimCloud API v6 2026-10-08</t>
        </is>
      </c>
      <c r="AD2450" s="33" t="inlineStr">
        <is>
          <t>Luke Hobson|2025-12-04|LCM|400|Free|227.56|Toyota US Open Championships|PRE|False</t>
        </is>
      </c>
      <c r="AE2450" s="53">
        <f>G2450+L2450/1000+ROW()/1000000000</f>
        <v/>
      </c>
      <c r="AF2450" s="35">
        <f>IF(C2450&lt;&gt;"Grayson Coulter","",COUNTIFS($C$5:$C$2991,"Grayson Coulter",$Q$5:$Q$2991,Q2450,$AE$5:$AE$2991,"&lt;="&amp;AE2450,$R$5:$R$2991,"&lt;"&amp;R2450))</f>
        <v/>
      </c>
      <c r="AG2450" s="35">
        <f>IF(OR(C2450&lt;&gt;"Grayson Coulter",G2450&lt;'00_Control'!$B$7),"",--(AF2450&lt;5))</f>
        <v/>
      </c>
      <c r="AH2450" s="35">
        <f>IF(OR(C2450&lt;&gt;"Grayson Coulter",G2450&lt;'00_Control'!$B$7),"",--(AF2450&lt;10))</f>
        <v/>
      </c>
      <c r="AI2450" s="35">
        <f>IF(AND(C2450="Grayson Coulter",G2450&gt;='00_Control'!$B$7),"YES","NO")</f>
        <v/>
      </c>
      <c r="AJ2450" s="33" t="inlineStr">
        <is>
          <t>OK</t>
        </is>
      </c>
    </row>
    <row r="2451">
      <c r="A2451" s="33" t="inlineStr">
        <is>
          <t>SM002447</t>
        </is>
      </c>
      <c r="B2451" s="33" t="inlineStr">
        <is>
          <t>SW014</t>
        </is>
      </c>
      <c r="C2451" s="33" t="inlineStr">
        <is>
          <t>Luke Hobson</t>
        </is>
      </c>
      <c r="D2451" s="33" t="inlineStr">
        <is>
          <t>SwimCloud</t>
        </is>
      </c>
      <c r="E2451" s="33" t="inlineStr">
        <is>
          <t>576911</t>
        </is>
      </c>
      <c r="F2451" s="33" t="inlineStr">
        <is>
          <t>164092637</t>
        </is>
      </c>
      <c r="G2451" s="51" t="n">
        <v>45995</v>
      </c>
      <c r="H2451" s="33" t="inlineStr">
        <is>
          <t>Toyota US Open Championships</t>
        </is>
      </c>
      <c r="I2451" s="33" t="inlineStr">
        <is>
          <t>344574</t>
        </is>
      </c>
      <c r="J2451" s="33" t="inlineStr"/>
      <c r="K2451" s="33" t="inlineStr">
        <is>
          <t>FIN</t>
        </is>
      </c>
      <c r="L2451" s="35">
        <f>IF(K2451="FIN",3,IF(OR(K2451="SEM",K2451="SEMI"),2,IF(OR(K2451="PRE",K2451="HEAT"),1,IF(V2451="YES",4,2))))</f>
        <v/>
      </c>
      <c r="M2451" s="33" t="inlineStr">
        <is>
          <t>LCM</t>
        </is>
      </c>
      <c r="N2451" s="33" t="n">
        <v>400</v>
      </c>
      <c r="O2451" s="33" t="inlineStr">
        <is>
          <t>Free</t>
        </is>
      </c>
      <c r="P2451" s="33" t="inlineStr">
        <is>
          <t>400 Free</t>
        </is>
      </c>
      <c r="Q2451" s="33" t="inlineStr">
        <is>
          <t>LCM_400_FREE</t>
        </is>
      </c>
      <c r="R2451" s="36" t="n">
        <v>225.85</v>
      </c>
      <c r="S2451" s="35">
        <f>IF(R2451="","",IF(R2451&gt;=60,INT(R2451/60)&amp;":"&amp;TEXT(MOD(R2451,60),"00.00"),TEXT(R2451,"0.00")))</f>
        <v/>
      </c>
      <c r="T2451" s="52">
        <f>IFERROR((G2451-INDEX('01_Swimmers'!$E$5:$E$22,MATCH(B2451,'01_Swimmers'!$A$5:$A$22,0)))/'00_Control'!$B$10,"")</f>
        <v/>
      </c>
      <c r="U2451" s="35">
        <f>IF(T2451="","",INT(T2451))</f>
        <v/>
      </c>
      <c r="V2451" s="33" t="inlineStr">
        <is>
          <t>NO</t>
        </is>
      </c>
      <c r="W2451" s="33" t="inlineStr">
        <is>
          <t>YES</t>
        </is>
      </c>
      <c r="X2451" s="33" t="inlineStr">
        <is>
          <t>NO</t>
        </is>
      </c>
      <c r="Y2451" s="33" t="n">
        <v>1</v>
      </c>
      <c r="Z2451" s="33" t="n">
        <v>4</v>
      </c>
      <c r="AA2451" s="33" t="inlineStr">
        <is>
          <t>4</t>
        </is>
      </c>
      <c r="AB2451" s="33" t="inlineStr">
        <is>
          <t>https://www.swimcloud.com/results/344574/event/6/?id=164092637#time164092637</t>
        </is>
      </c>
      <c r="AC2451" s="33" t="inlineStr">
        <is>
          <t>SwimCloud API v6 2026-10-08</t>
        </is>
      </c>
      <c r="AD2451" s="33" t="inlineStr">
        <is>
          <t>Luke Hobson|2025-12-04|LCM|400|Free|225.85|Toyota US Open Championships|FIN|False</t>
        </is>
      </c>
      <c r="AE2451" s="53">
        <f>G2451+L2451/1000+ROW()/1000000000</f>
        <v/>
      </c>
      <c r="AF2451" s="35">
        <f>IF(C2451&lt;&gt;"Grayson Coulter","",COUNTIFS($C$5:$C$2991,"Grayson Coulter",$Q$5:$Q$2991,Q2451,$AE$5:$AE$2991,"&lt;="&amp;AE2451,$R$5:$R$2991,"&lt;"&amp;R2451))</f>
        <v/>
      </c>
      <c r="AG2451" s="35">
        <f>IF(OR(C2451&lt;&gt;"Grayson Coulter",G2451&lt;'00_Control'!$B$7),"",--(AF2451&lt;5))</f>
        <v/>
      </c>
      <c r="AH2451" s="35">
        <f>IF(OR(C2451&lt;&gt;"Grayson Coulter",G2451&lt;'00_Control'!$B$7),"",--(AF2451&lt;10))</f>
        <v/>
      </c>
      <c r="AI2451" s="35">
        <f>IF(AND(C2451="Grayson Coulter",G2451&gt;='00_Control'!$B$7),"YES","NO")</f>
        <v/>
      </c>
      <c r="AJ2451" s="33" t="inlineStr">
        <is>
          <t>OK</t>
        </is>
      </c>
    </row>
    <row r="2452">
      <c r="A2452" s="33" t="inlineStr">
        <is>
          <t>SM002448</t>
        </is>
      </c>
      <c r="B2452" s="33" t="inlineStr">
        <is>
          <t>SW014</t>
        </is>
      </c>
      <c r="C2452" s="33" t="inlineStr">
        <is>
          <t>Luke Hobson</t>
        </is>
      </c>
      <c r="D2452" s="33" t="inlineStr">
        <is>
          <t>SwimCloud</t>
        </is>
      </c>
      <c r="E2452" s="33" t="inlineStr">
        <is>
          <t>576911</t>
        </is>
      </c>
      <c r="F2452" s="33" t="inlineStr">
        <is>
          <t>164092700</t>
        </is>
      </c>
      <c r="G2452" s="51" t="n">
        <v>45996</v>
      </c>
      <c r="H2452" s="33" t="inlineStr">
        <is>
          <t>Toyota US Open Championships</t>
        </is>
      </c>
      <c r="I2452" s="33" t="inlineStr">
        <is>
          <t>344574</t>
        </is>
      </c>
      <c r="J2452" s="33" t="inlineStr"/>
      <c r="K2452" s="33" t="inlineStr">
        <is>
          <t>PRE</t>
        </is>
      </c>
      <c r="L2452" s="35">
        <f>IF(K2452="FIN",3,IF(OR(K2452="SEM",K2452="SEMI"),2,IF(OR(K2452="PRE",K2452="HEAT"),1,IF(V2452="YES",4,2))))</f>
        <v/>
      </c>
      <c r="M2452" s="33" t="inlineStr">
        <is>
          <t>LCM</t>
        </is>
      </c>
      <c r="N2452" s="33" t="n">
        <v>200</v>
      </c>
      <c r="O2452" s="33" t="inlineStr">
        <is>
          <t>Free</t>
        </is>
      </c>
      <c r="P2452" s="33" t="inlineStr">
        <is>
          <t>200 Free</t>
        </is>
      </c>
      <c r="Q2452" s="33" t="inlineStr">
        <is>
          <t>LCM_200_FREE</t>
        </is>
      </c>
      <c r="R2452" s="36" t="n">
        <v>106.25</v>
      </c>
      <c r="S2452" s="35">
        <f>IF(R2452="","",IF(R2452&gt;=60,INT(R2452/60)&amp;":"&amp;TEXT(MOD(R2452,60),"00.00"),TEXT(R2452,"0.00")))</f>
        <v/>
      </c>
      <c r="T2452" s="52">
        <f>IFERROR((G2452-INDEX('01_Swimmers'!$E$5:$E$22,MATCH(B2452,'01_Swimmers'!$A$5:$A$22,0)))/'00_Control'!$B$10,"")</f>
        <v/>
      </c>
      <c r="U2452" s="35">
        <f>IF(T2452="","",INT(T2452))</f>
        <v/>
      </c>
      <c r="V2452" s="33" t="inlineStr">
        <is>
          <t>NO</t>
        </is>
      </c>
      <c r="W2452" s="33" t="inlineStr">
        <is>
          <t>YES</t>
        </is>
      </c>
      <c r="X2452" s="33" t="inlineStr">
        <is>
          <t>NO</t>
        </is>
      </c>
      <c r="Y2452" s="33" t="n">
        <v>6</v>
      </c>
      <c r="Z2452" s="33" t="n">
        <v>4</v>
      </c>
      <c r="AA2452" s="33" t="inlineStr">
        <is>
          <t>2</t>
        </is>
      </c>
      <c r="AB2452" s="33" t="inlineStr">
        <is>
          <t>https://www.swimcloud.com/results/344574/event/22/?id=164092700#time164092700</t>
        </is>
      </c>
      <c r="AC2452" s="33" t="inlineStr">
        <is>
          <t>SwimCloud API v6 2026-10-08</t>
        </is>
      </c>
      <c r="AD2452" s="33" t="inlineStr">
        <is>
          <t>Luke Hobson|2025-12-05|LCM|200|Free|106.25|Toyota US Open Championships|PRE|False</t>
        </is>
      </c>
      <c r="AE2452" s="53">
        <f>G2452+L2452/1000+ROW()/1000000000</f>
        <v/>
      </c>
      <c r="AF2452" s="35">
        <f>IF(C2452&lt;&gt;"Grayson Coulter","",COUNTIFS($C$5:$C$2991,"Grayson Coulter",$Q$5:$Q$2991,Q2452,$AE$5:$AE$2991,"&lt;="&amp;AE2452,$R$5:$R$2991,"&lt;"&amp;R2452))</f>
        <v/>
      </c>
      <c r="AG2452" s="35">
        <f>IF(OR(C2452&lt;&gt;"Grayson Coulter",G2452&lt;'00_Control'!$B$7),"",--(AF2452&lt;5))</f>
        <v/>
      </c>
      <c r="AH2452" s="35">
        <f>IF(OR(C2452&lt;&gt;"Grayson Coulter",G2452&lt;'00_Control'!$B$7),"",--(AF2452&lt;10))</f>
        <v/>
      </c>
      <c r="AI2452" s="35">
        <f>IF(AND(C2452="Grayson Coulter",G2452&gt;='00_Control'!$B$7),"YES","NO")</f>
        <v/>
      </c>
      <c r="AJ2452" s="33" t="inlineStr">
        <is>
          <t>OK</t>
        </is>
      </c>
    </row>
    <row r="2453">
      <c r="A2453" s="33" t="inlineStr">
        <is>
          <t>SM002449</t>
        </is>
      </c>
      <c r="B2453" s="33" t="inlineStr">
        <is>
          <t>SW014</t>
        </is>
      </c>
      <c r="C2453" s="33" t="inlineStr">
        <is>
          <t>Luke Hobson</t>
        </is>
      </c>
      <c r="D2453" s="33" t="inlineStr">
        <is>
          <t>SwimCloud</t>
        </is>
      </c>
      <c r="E2453" s="33" t="inlineStr">
        <is>
          <t>576911</t>
        </is>
      </c>
      <c r="F2453" s="33" t="inlineStr">
        <is>
          <t>164092699</t>
        </is>
      </c>
      <c r="G2453" s="51" t="n">
        <v>45996</v>
      </c>
      <c r="H2453" s="33" t="inlineStr">
        <is>
          <t>Toyota US Open Championships</t>
        </is>
      </c>
      <c r="I2453" s="33" t="inlineStr">
        <is>
          <t>344574</t>
        </is>
      </c>
      <c r="J2453" s="33" t="inlineStr"/>
      <c r="K2453" s="33" t="inlineStr">
        <is>
          <t>FIN</t>
        </is>
      </c>
      <c r="L2453" s="35">
        <f>IF(K2453="FIN",3,IF(OR(K2453="SEM",K2453="SEMI"),2,IF(OR(K2453="PRE",K2453="HEAT"),1,IF(V2453="YES",4,2))))</f>
        <v/>
      </c>
      <c r="M2453" s="33" t="inlineStr">
        <is>
          <t>LCM</t>
        </is>
      </c>
      <c r="N2453" s="33" t="n">
        <v>200</v>
      </c>
      <c r="O2453" s="33" t="inlineStr">
        <is>
          <t>Free</t>
        </is>
      </c>
      <c r="P2453" s="33" t="inlineStr">
        <is>
          <t>200 Free</t>
        </is>
      </c>
      <c r="Q2453" s="33" t="inlineStr">
        <is>
          <t>LCM_200_FREE</t>
        </is>
      </c>
      <c r="R2453" s="36" t="n">
        <v>104.49</v>
      </c>
      <c r="S2453" s="35">
        <f>IF(R2453="","",IF(R2453&gt;=60,INT(R2453/60)&amp;":"&amp;TEXT(MOD(R2453,60),"00.00"),TEXT(R2453,"0.00")))</f>
        <v/>
      </c>
      <c r="T2453" s="52">
        <f>IFERROR((G2453-INDEX('01_Swimmers'!$E$5:$E$22,MATCH(B2453,'01_Swimmers'!$A$5:$A$22,0)))/'00_Control'!$B$10,"")</f>
        <v/>
      </c>
      <c r="U2453" s="35">
        <f>IF(T2453="","",INT(T2453))</f>
        <v/>
      </c>
      <c r="V2453" s="33" t="inlineStr">
        <is>
          <t>NO</t>
        </is>
      </c>
      <c r="W2453" s="33" t="inlineStr">
        <is>
          <t>YES</t>
        </is>
      </c>
      <c r="X2453" s="33" t="inlineStr">
        <is>
          <t>NO</t>
        </is>
      </c>
      <c r="Y2453" s="33" t="n">
        <v>1</v>
      </c>
      <c r="Z2453" s="33" t="n">
        <v>5</v>
      </c>
      <c r="AA2453" s="33" t="inlineStr">
        <is>
          <t>1</t>
        </is>
      </c>
      <c r="AB2453" s="33" t="inlineStr">
        <is>
          <t>https://www.swimcloud.com/results/344574/event/22/?id=164092699#time164092699</t>
        </is>
      </c>
      <c r="AC2453" s="33" t="inlineStr">
        <is>
          <t>SwimCloud API v6 2026-10-08</t>
        </is>
      </c>
      <c r="AD2453" s="33" t="inlineStr">
        <is>
          <t>Luke Hobson|2025-12-05|LCM|200|Free|104.49|Toyota US Open Championships|FIN|False</t>
        </is>
      </c>
      <c r="AE2453" s="53">
        <f>G2453+L2453/1000+ROW()/1000000000</f>
        <v/>
      </c>
      <c r="AF2453" s="35">
        <f>IF(C2453&lt;&gt;"Grayson Coulter","",COUNTIFS($C$5:$C$2991,"Grayson Coulter",$Q$5:$Q$2991,Q2453,$AE$5:$AE$2991,"&lt;="&amp;AE2453,$R$5:$R$2991,"&lt;"&amp;R2453))</f>
        <v/>
      </c>
      <c r="AG2453" s="35">
        <f>IF(OR(C2453&lt;&gt;"Grayson Coulter",G2453&lt;'00_Control'!$B$7),"",--(AF2453&lt;5))</f>
        <v/>
      </c>
      <c r="AH2453" s="35">
        <f>IF(OR(C2453&lt;&gt;"Grayson Coulter",G2453&lt;'00_Control'!$B$7),"",--(AF2453&lt;10))</f>
        <v/>
      </c>
      <c r="AI2453" s="35">
        <f>IF(AND(C2453="Grayson Coulter",G2453&gt;='00_Control'!$B$7),"YES","NO")</f>
        <v/>
      </c>
      <c r="AJ2453" s="33" t="inlineStr">
        <is>
          <t>OK</t>
        </is>
      </c>
    </row>
    <row r="2454">
      <c r="A2454" s="33" t="inlineStr">
        <is>
          <t>SM002450</t>
        </is>
      </c>
      <c r="B2454" s="33" t="inlineStr">
        <is>
          <t>SW014</t>
        </is>
      </c>
      <c r="C2454" s="33" t="inlineStr">
        <is>
          <t>Luke Hobson</t>
        </is>
      </c>
      <c r="D2454" s="33" t="inlineStr">
        <is>
          <t>SwimCloud</t>
        </is>
      </c>
      <c r="E2454" s="33" t="inlineStr">
        <is>
          <t>576911</t>
        </is>
      </c>
      <c r="F2454" s="33" t="inlineStr">
        <is>
          <t>164093640</t>
        </is>
      </c>
      <c r="G2454" s="51" t="n">
        <v>45997</v>
      </c>
      <c r="H2454" s="33" t="inlineStr">
        <is>
          <t>Toyota US Open Championships</t>
        </is>
      </c>
      <c r="I2454" s="33" t="inlineStr">
        <is>
          <t>344574</t>
        </is>
      </c>
      <c r="J2454" s="33" t="inlineStr"/>
      <c r="K2454" s="33" t="inlineStr">
        <is>
          <t>PRE</t>
        </is>
      </c>
      <c r="L2454" s="35">
        <f>IF(K2454="FIN",3,IF(OR(K2454="SEM",K2454="SEMI"),2,IF(OR(K2454="PRE",K2454="HEAT"),1,IF(V2454="YES",4,2))))</f>
        <v/>
      </c>
      <c r="M2454" s="33" t="inlineStr">
        <is>
          <t>LCM</t>
        </is>
      </c>
      <c r="N2454" s="33" t="n">
        <v>100</v>
      </c>
      <c r="O2454" s="33" t="inlineStr">
        <is>
          <t>Free</t>
        </is>
      </c>
      <c r="P2454" s="33" t="inlineStr">
        <is>
          <t>100 Free</t>
        </is>
      </c>
      <c r="Q2454" s="33" t="inlineStr">
        <is>
          <t>LCM_100_FREE</t>
        </is>
      </c>
      <c r="R2454" s="36" t="n">
        <v>48.94</v>
      </c>
      <c r="S2454" s="35">
        <f>IF(R2454="","",IF(R2454&gt;=60,INT(R2454/60)&amp;":"&amp;TEXT(MOD(R2454,60),"00.00"),TEXT(R2454,"0.00")))</f>
        <v/>
      </c>
      <c r="T2454" s="52">
        <f>IFERROR((G2454-INDEX('01_Swimmers'!$E$5:$E$22,MATCH(B2454,'01_Swimmers'!$A$5:$A$22,0)))/'00_Control'!$B$10,"")</f>
        <v/>
      </c>
      <c r="U2454" s="35">
        <f>IF(T2454="","",INT(T2454))</f>
        <v/>
      </c>
      <c r="V2454" s="33" t="inlineStr">
        <is>
          <t>NO</t>
        </is>
      </c>
      <c r="W2454" s="33" t="inlineStr">
        <is>
          <t>YES</t>
        </is>
      </c>
      <c r="X2454" s="33" t="inlineStr">
        <is>
          <t>NO</t>
        </is>
      </c>
      <c r="Y2454" s="33" t="n">
        <v>7</v>
      </c>
      <c r="Z2454" s="33" t="n">
        <v>6</v>
      </c>
      <c r="AA2454" s="33" t="inlineStr">
        <is>
          <t>11</t>
        </is>
      </c>
      <c r="AB2454" s="33" t="inlineStr">
        <is>
          <t>https://www.swimcloud.com/results/344574/event/32/?id=164093640#time164093640</t>
        </is>
      </c>
      <c r="AC2454" s="33" t="inlineStr">
        <is>
          <t>SwimCloud API v6 2026-10-08</t>
        </is>
      </c>
      <c r="AD2454" s="33" t="inlineStr">
        <is>
          <t>Luke Hobson|2025-12-06|LCM|100|Free|48.94|Toyota US Open Championships|PRE|False</t>
        </is>
      </c>
      <c r="AE2454" s="53">
        <f>G2454+L2454/1000+ROW()/1000000000</f>
        <v/>
      </c>
      <c r="AF2454" s="35">
        <f>IF(C2454&lt;&gt;"Grayson Coulter","",COUNTIFS($C$5:$C$2991,"Grayson Coulter",$Q$5:$Q$2991,Q2454,$AE$5:$AE$2991,"&lt;="&amp;AE2454,$R$5:$R$2991,"&lt;"&amp;R2454))</f>
        <v/>
      </c>
      <c r="AG2454" s="35">
        <f>IF(OR(C2454&lt;&gt;"Grayson Coulter",G2454&lt;'00_Control'!$B$7),"",--(AF2454&lt;5))</f>
        <v/>
      </c>
      <c r="AH2454" s="35">
        <f>IF(OR(C2454&lt;&gt;"Grayson Coulter",G2454&lt;'00_Control'!$B$7),"",--(AF2454&lt;10))</f>
        <v/>
      </c>
      <c r="AI2454" s="35">
        <f>IF(AND(C2454="Grayson Coulter",G2454&gt;='00_Control'!$B$7),"YES","NO")</f>
        <v/>
      </c>
      <c r="AJ2454" s="33" t="inlineStr">
        <is>
          <t>OK</t>
        </is>
      </c>
    </row>
    <row r="2455">
      <c r="A2455" s="33" t="inlineStr">
        <is>
          <t>SM002451</t>
        </is>
      </c>
      <c r="B2455" s="33" t="inlineStr">
        <is>
          <t>SW014</t>
        </is>
      </c>
      <c r="C2455" s="33" t="inlineStr">
        <is>
          <t>Luke Hobson</t>
        </is>
      </c>
      <c r="D2455" s="33" t="inlineStr">
        <is>
          <t>SwimCloud</t>
        </is>
      </c>
      <c r="E2455" s="33" t="inlineStr">
        <is>
          <t>576911</t>
        </is>
      </c>
      <c r="F2455" s="33" t="inlineStr">
        <is>
          <t>164093639</t>
        </is>
      </c>
      <c r="G2455" s="51" t="n">
        <v>45997</v>
      </c>
      <c r="H2455" s="33" t="inlineStr">
        <is>
          <t>Toyota US Open Championships</t>
        </is>
      </c>
      <c r="I2455" s="33" t="inlineStr">
        <is>
          <t>344574</t>
        </is>
      </c>
      <c r="J2455" s="33" t="inlineStr"/>
      <c r="K2455" s="33" t="inlineStr">
        <is>
          <t>FIN</t>
        </is>
      </c>
      <c r="L2455" s="35">
        <f>IF(K2455="FIN",3,IF(OR(K2455="SEM",K2455="SEMI"),2,IF(OR(K2455="PRE",K2455="HEAT"),1,IF(V2455="YES",4,2))))</f>
        <v/>
      </c>
      <c r="M2455" s="33" t="inlineStr">
        <is>
          <t>LCM</t>
        </is>
      </c>
      <c r="N2455" s="33" t="n">
        <v>100</v>
      </c>
      <c r="O2455" s="33" t="inlineStr">
        <is>
          <t>Free</t>
        </is>
      </c>
      <c r="P2455" s="33" t="inlineStr">
        <is>
          <t>100 Free</t>
        </is>
      </c>
      <c r="Q2455" s="33" t="inlineStr">
        <is>
          <t>LCM_100_FREE</t>
        </is>
      </c>
      <c r="R2455" s="36" t="n">
        <v>48.5</v>
      </c>
      <c r="S2455" s="35">
        <f>IF(R2455="","",IF(R2455&gt;=60,INT(R2455/60)&amp;":"&amp;TEXT(MOD(R2455,60),"00.00"),TEXT(R2455,"0.00")))</f>
        <v/>
      </c>
      <c r="T2455" s="52">
        <f>IFERROR((G2455-INDEX('01_Swimmers'!$E$5:$E$22,MATCH(B2455,'01_Swimmers'!$A$5:$A$22,0)))/'00_Control'!$B$10,"")</f>
        <v/>
      </c>
      <c r="U2455" s="35">
        <f>IF(T2455="","",INT(T2455))</f>
        <v/>
      </c>
      <c r="V2455" s="33" t="inlineStr">
        <is>
          <t>NO</t>
        </is>
      </c>
      <c r="W2455" s="33" t="inlineStr">
        <is>
          <t>YES</t>
        </is>
      </c>
      <c r="X2455" s="33" t="inlineStr">
        <is>
          <t>NO</t>
        </is>
      </c>
      <c r="Y2455" s="33" t="n">
        <v>2</v>
      </c>
      <c r="Z2455" s="33" t="n">
        <v>3</v>
      </c>
      <c r="AA2455" s="33" t="inlineStr">
        <is>
          <t>9</t>
        </is>
      </c>
      <c r="AB2455" s="33" t="inlineStr">
        <is>
          <t>https://www.swimcloud.com/results/344574/event/32/?id=164093639#time164093639</t>
        </is>
      </c>
      <c r="AC2455" s="33" t="inlineStr">
        <is>
          <t>SwimCloud API v6 2026-10-08</t>
        </is>
      </c>
      <c r="AD2455" s="33" t="inlineStr">
        <is>
          <t>Luke Hobson|2025-12-06|LCM|100|Free|48.5|Toyota US Open Championships|FIN|False</t>
        </is>
      </c>
      <c r="AE2455" s="53">
        <f>G2455+L2455/1000+ROW()/1000000000</f>
        <v/>
      </c>
      <c r="AF2455" s="35">
        <f>IF(C2455&lt;&gt;"Grayson Coulter","",COUNTIFS($C$5:$C$2991,"Grayson Coulter",$Q$5:$Q$2991,Q2455,$AE$5:$AE$2991,"&lt;="&amp;AE2455,$R$5:$R$2991,"&lt;"&amp;R2455))</f>
        <v/>
      </c>
      <c r="AG2455" s="35">
        <f>IF(OR(C2455&lt;&gt;"Grayson Coulter",G2455&lt;'00_Control'!$B$7),"",--(AF2455&lt;5))</f>
        <v/>
      </c>
      <c r="AH2455" s="35">
        <f>IF(OR(C2455&lt;&gt;"Grayson Coulter",G2455&lt;'00_Control'!$B$7),"",--(AF2455&lt;10))</f>
        <v/>
      </c>
      <c r="AI2455" s="35">
        <f>IF(AND(C2455="Grayson Coulter",G2455&gt;='00_Control'!$B$7),"YES","NO")</f>
        <v/>
      </c>
      <c r="AJ2455" s="33" t="inlineStr">
        <is>
          <t>OK</t>
        </is>
      </c>
    </row>
    <row r="2456">
      <c r="A2456" s="33" t="inlineStr">
        <is>
          <t>SM002452</t>
        </is>
      </c>
      <c r="B2456" s="33" t="inlineStr">
        <is>
          <t>SW014</t>
        </is>
      </c>
      <c r="C2456" s="33" t="inlineStr">
        <is>
          <t>Luke Hobson</t>
        </is>
      </c>
      <c r="D2456" s="33" t="inlineStr">
        <is>
          <t>SwimCloud</t>
        </is>
      </c>
      <c r="E2456" s="33" t="inlineStr">
        <is>
          <t>576911</t>
        </is>
      </c>
      <c r="F2456" s="33" t="inlineStr">
        <is>
          <t>167939558</t>
        </is>
      </c>
      <c r="G2456" s="51" t="n">
        <v>46037</v>
      </c>
      <c r="H2456" s="33" t="inlineStr">
        <is>
          <t>TYR Pro Swim Series - Austin</t>
        </is>
      </c>
      <c r="I2456" s="33" t="inlineStr">
        <is>
          <t>351184</t>
        </is>
      </c>
      <c r="J2456" s="33" t="inlineStr"/>
      <c r="K2456" s="33" t="inlineStr">
        <is>
          <t>PRE</t>
        </is>
      </c>
      <c r="L2456" s="35">
        <f>IF(K2456="FIN",3,IF(OR(K2456="SEM",K2456="SEMI"),2,IF(OR(K2456="PRE",K2456="HEAT"),1,IF(V2456="YES",4,2))))</f>
        <v/>
      </c>
      <c r="M2456" s="33" t="inlineStr">
        <is>
          <t>LCM</t>
        </is>
      </c>
      <c r="N2456" s="33" t="n">
        <v>400</v>
      </c>
      <c r="O2456" s="33" t="inlineStr">
        <is>
          <t>Free</t>
        </is>
      </c>
      <c r="P2456" s="33" t="inlineStr">
        <is>
          <t>400 Free</t>
        </is>
      </c>
      <c r="Q2456" s="33" t="inlineStr">
        <is>
          <t>LCM_400_FREE</t>
        </is>
      </c>
      <c r="R2456" s="36" t="n">
        <v>235.03</v>
      </c>
      <c r="S2456" s="35">
        <f>IF(R2456="","",IF(R2456&gt;=60,INT(R2456/60)&amp;":"&amp;TEXT(MOD(R2456,60),"00.00"),TEXT(R2456,"0.00")))</f>
        <v/>
      </c>
      <c r="T2456" s="52">
        <f>IFERROR((G2456-INDEX('01_Swimmers'!$E$5:$E$22,MATCH(B2456,'01_Swimmers'!$A$5:$A$22,0)))/'00_Control'!$B$10,"")</f>
        <v/>
      </c>
      <c r="U2456" s="35">
        <f>IF(T2456="","",INT(T2456))</f>
        <v/>
      </c>
      <c r="V2456" s="33" t="inlineStr">
        <is>
          <t>NO</t>
        </is>
      </c>
      <c r="W2456" s="33" t="inlineStr">
        <is>
          <t>YES</t>
        </is>
      </c>
      <c r="X2456" s="33" t="inlineStr">
        <is>
          <t>NO</t>
        </is>
      </c>
      <c r="Y2456" s="33" t="n">
        <v>3</v>
      </c>
      <c r="Z2456" s="33" t="n">
        <v>5</v>
      </c>
      <c r="AA2456" s="33" t="inlineStr">
        <is>
          <t>8</t>
        </is>
      </c>
      <c r="AB2456" s="33" t="inlineStr">
        <is>
          <t>https://www.swimcloud.com/results/351184/event/18/?id=167939558#time167939558</t>
        </is>
      </c>
      <c r="AC2456" s="33" t="inlineStr">
        <is>
          <t>SwimCloud API v6 2026-10-08</t>
        </is>
      </c>
      <c r="AD2456" s="33" t="inlineStr">
        <is>
          <t>Luke Hobson|2026-01-15|LCM|400|Free|235.03|TYR Pro Swim Series - Austin|PRE|False</t>
        </is>
      </c>
      <c r="AE2456" s="53">
        <f>G2456+L2456/1000+ROW()/1000000000</f>
        <v/>
      </c>
      <c r="AF2456" s="35">
        <f>IF(C2456&lt;&gt;"Grayson Coulter","",COUNTIFS($C$5:$C$2991,"Grayson Coulter",$Q$5:$Q$2991,Q2456,$AE$5:$AE$2991,"&lt;="&amp;AE2456,$R$5:$R$2991,"&lt;"&amp;R2456))</f>
        <v/>
      </c>
      <c r="AG2456" s="35">
        <f>IF(OR(C2456&lt;&gt;"Grayson Coulter",G2456&lt;'00_Control'!$B$7),"",--(AF2456&lt;5))</f>
        <v/>
      </c>
      <c r="AH2456" s="35">
        <f>IF(OR(C2456&lt;&gt;"Grayson Coulter",G2456&lt;'00_Control'!$B$7),"",--(AF2456&lt;10))</f>
        <v/>
      </c>
      <c r="AI2456" s="35">
        <f>IF(AND(C2456="Grayson Coulter",G2456&gt;='00_Control'!$B$7),"YES","NO")</f>
        <v/>
      </c>
      <c r="AJ2456" s="33" t="inlineStr">
        <is>
          <t>OK</t>
        </is>
      </c>
    </row>
    <row r="2457">
      <c r="A2457" s="33" t="inlineStr">
        <is>
          <t>SM002453</t>
        </is>
      </c>
      <c r="B2457" s="33" t="inlineStr">
        <is>
          <t>SW014</t>
        </is>
      </c>
      <c r="C2457" s="33" t="inlineStr">
        <is>
          <t>Luke Hobson</t>
        </is>
      </c>
      <c r="D2457" s="33" t="inlineStr">
        <is>
          <t>SwimCloud</t>
        </is>
      </c>
      <c r="E2457" s="33" t="inlineStr">
        <is>
          <t>576911</t>
        </is>
      </c>
      <c r="F2457" s="33" t="inlineStr">
        <is>
          <t>167939557</t>
        </is>
      </c>
      <c r="G2457" s="51" t="n">
        <v>46037</v>
      </c>
      <c r="H2457" s="33" t="inlineStr">
        <is>
          <t>TYR Pro Swim Series - Austin</t>
        </is>
      </c>
      <c r="I2457" s="33" t="inlineStr">
        <is>
          <t>351184</t>
        </is>
      </c>
      <c r="J2457" s="33" t="inlineStr"/>
      <c r="K2457" s="33" t="inlineStr">
        <is>
          <t>FIN</t>
        </is>
      </c>
      <c r="L2457" s="35">
        <f>IF(K2457="FIN",3,IF(OR(K2457="SEM",K2457="SEMI"),2,IF(OR(K2457="PRE",K2457="HEAT"),1,IF(V2457="YES",4,2))))</f>
        <v/>
      </c>
      <c r="M2457" s="33" t="inlineStr">
        <is>
          <t>LCM</t>
        </is>
      </c>
      <c r="N2457" s="33" t="n">
        <v>400</v>
      </c>
      <c r="O2457" s="33" t="inlineStr">
        <is>
          <t>Free</t>
        </is>
      </c>
      <c r="P2457" s="33" t="inlineStr">
        <is>
          <t>400 Free</t>
        </is>
      </c>
      <c r="Q2457" s="33" t="inlineStr">
        <is>
          <t>LCM_400_FREE</t>
        </is>
      </c>
      <c r="R2457" s="36" t="n">
        <v>234.03</v>
      </c>
      <c r="S2457" s="35">
        <f>IF(R2457="","",IF(R2457&gt;=60,INT(R2457/60)&amp;":"&amp;TEXT(MOD(R2457,60),"00.00"),TEXT(R2457,"0.00")))</f>
        <v/>
      </c>
      <c r="T2457" s="52">
        <f>IFERROR((G2457-INDEX('01_Swimmers'!$E$5:$E$22,MATCH(B2457,'01_Swimmers'!$A$5:$A$22,0)))/'00_Control'!$B$10,"")</f>
        <v/>
      </c>
      <c r="U2457" s="35">
        <f>IF(T2457="","",INT(T2457))</f>
        <v/>
      </c>
      <c r="V2457" s="33" t="inlineStr">
        <is>
          <t>NO</t>
        </is>
      </c>
      <c r="W2457" s="33" t="inlineStr">
        <is>
          <t>YES</t>
        </is>
      </c>
      <c r="X2457" s="33" t="inlineStr">
        <is>
          <t>NO</t>
        </is>
      </c>
      <c r="Y2457" s="33" t="n">
        <v>1</v>
      </c>
      <c r="Z2457" s="33" t="n">
        <v>8</v>
      </c>
      <c r="AA2457" s="33" t="inlineStr">
        <is>
          <t>6</t>
        </is>
      </c>
      <c r="AB2457" s="33" t="inlineStr">
        <is>
          <t>https://www.swimcloud.com/results/351184/event/18/?id=167939557#time167939557</t>
        </is>
      </c>
      <c r="AC2457" s="33" t="inlineStr">
        <is>
          <t>SwimCloud API v6 2026-10-08</t>
        </is>
      </c>
      <c r="AD2457" s="33" t="inlineStr">
        <is>
          <t>Luke Hobson|2026-01-15|LCM|400|Free|234.03|TYR Pro Swim Series - Austin|FIN|False</t>
        </is>
      </c>
      <c r="AE2457" s="53">
        <f>G2457+L2457/1000+ROW()/1000000000</f>
        <v/>
      </c>
      <c r="AF2457" s="35">
        <f>IF(C2457&lt;&gt;"Grayson Coulter","",COUNTIFS($C$5:$C$2991,"Grayson Coulter",$Q$5:$Q$2991,Q2457,$AE$5:$AE$2991,"&lt;="&amp;AE2457,$R$5:$R$2991,"&lt;"&amp;R2457))</f>
        <v/>
      </c>
      <c r="AG2457" s="35">
        <f>IF(OR(C2457&lt;&gt;"Grayson Coulter",G2457&lt;'00_Control'!$B$7),"",--(AF2457&lt;5))</f>
        <v/>
      </c>
      <c r="AH2457" s="35">
        <f>IF(OR(C2457&lt;&gt;"Grayson Coulter",G2457&lt;'00_Control'!$B$7),"",--(AF2457&lt;10))</f>
        <v/>
      </c>
      <c r="AI2457" s="35">
        <f>IF(AND(C2457="Grayson Coulter",G2457&gt;='00_Control'!$B$7),"YES","NO")</f>
        <v/>
      </c>
      <c r="AJ2457" s="33" t="inlineStr">
        <is>
          <t>OK</t>
        </is>
      </c>
    </row>
    <row r="2458">
      <c r="A2458" s="33" t="inlineStr">
        <is>
          <t>SM002454</t>
        </is>
      </c>
      <c r="B2458" s="33" t="inlineStr">
        <is>
          <t>SW014</t>
        </is>
      </c>
      <c r="C2458" s="33" t="inlineStr">
        <is>
          <t>Luke Hobson</t>
        </is>
      </c>
      <c r="D2458" s="33" t="inlineStr">
        <is>
          <t>SwimCloud</t>
        </is>
      </c>
      <c r="E2458" s="33" t="inlineStr">
        <is>
          <t>576911</t>
        </is>
      </c>
      <c r="F2458" s="33" t="inlineStr">
        <is>
          <t>167939556</t>
        </is>
      </c>
      <c r="G2458" s="51" t="n">
        <v>46038</v>
      </c>
      <c r="H2458" s="33" t="inlineStr">
        <is>
          <t>TYR Pro Swim Series - Austin</t>
        </is>
      </c>
      <c r="I2458" s="33" t="inlineStr">
        <is>
          <t>351184</t>
        </is>
      </c>
      <c r="J2458" s="33" t="inlineStr"/>
      <c r="K2458" s="33" t="inlineStr">
        <is>
          <t>PRE</t>
        </is>
      </c>
      <c r="L2458" s="35">
        <f>IF(K2458="FIN",3,IF(OR(K2458="SEM",K2458="SEMI"),2,IF(OR(K2458="PRE",K2458="HEAT"),1,IF(V2458="YES",4,2))))</f>
        <v/>
      </c>
      <c r="M2458" s="33" t="inlineStr">
        <is>
          <t>LCM</t>
        </is>
      </c>
      <c r="N2458" s="33" t="n">
        <v>200</v>
      </c>
      <c r="O2458" s="33" t="inlineStr">
        <is>
          <t>Free</t>
        </is>
      </c>
      <c r="P2458" s="33" t="inlineStr">
        <is>
          <t>200 Free</t>
        </is>
      </c>
      <c r="Q2458" s="33" t="inlineStr">
        <is>
          <t>LCM_200_FREE</t>
        </is>
      </c>
      <c r="R2458" s="36" t="n">
        <v>107.4</v>
      </c>
      <c r="S2458" s="35">
        <f>IF(R2458="","",IF(R2458&gt;=60,INT(R2458/60)&amp;":"&amp;TEXT(MOD(R2458,60),"00.00"),TEXT(R2458,"0.00")))</f>
        <v/>
      </c>
      <c r="T2458" s="52">
        <f>IFERROR((G2458-INDEX('01_Swimmers'!$E$5:$E$22,MATCH(B2458,'01_Swimmers'!$A$5:$A$22,0)))/'00_Control'!$B$10,"")</f>
        <v/>
      </c>
      <c r="U2458" s="35">
        <f>IF(T2458="","",INT(T2458))</f>
        <v/>
      </c>
      <c r="V2458" s="33" t="inlineStr">
        <is>
          <t>NO</t>
        </is>
      </c>
      <c r="W2458" s="33" t="inlineStr">
        <is>
          <t>YES</t>
        </is>
      </c>
      <c r="X2458" s="33" t="inlineStr">
        <is>
          <t>NO</t>
        </is>
      </c>
      <c r="Y2458" s="33" t="n">
        <v>6</v>
      </c>
      <c r="Z2458" s="33" t="n">
        <v>4</v>
      </c>
      <c r="AA2458" s="33" t="inlineStr">
        <is>
          <t>1</t>
        </is>
      </c>
      <c r="AB2458" s="33" t="inlineStr">
        <is>
          <t>https://www.swimcloud.com/results/351184/event/20/?id=167939556#time167939556</t>
        </is>
      </c>
      <c r="AC2458" s="33" t="inlineStr">
        <is>
          <t>SwimCloud API v6 2026-10-08</t>
        </is>
      </c>
      <c r="AD2458" s="33" t="inlineStr">
        <is>
          <t>Luke Hobson|2026-01-16|LCM|200|Free|107.4|TYR Pro Swim Series - Austin|PRE|False</t>
        </is>
      </c>
      <c r="AE2458" s="53">
        <f>G2458+L2458/1000+ROW()/1000000000</f>
        <v/>
      </c>
      <c r="AF2458" s="35">
        <f>IF(C2458&lt;&gt;"Grayson Coulter","",COUNTIFS($C$5:$C$2991,"Grayson Coulter",$Q$5:$Q$2991,Q2458,$AE$5:$AE$2991,"&lt;="&amp;AE2458,$R$5:$R$2991,"&lt;"&amp;R2458))</f>
        <v/>
      </c>
      <c r="AG2458" s="35">
        <f>IF(OR(C2458&lt;&gt;"Grayson Coulter",G2458&lt;'00_Control'!$B$7),"",--(AF2458&lt;5))</f>
        <v/>
      </c>
      <c r="AH2458" s="35">
        <f>IF(OR(C2458&lt;&gt;"Grayson Coulter",G2458&lt;'00_Control'!$B$7),"",--(AF2458&lt;10))</f>
        <v/>
      </c>
      <c r="AI2458" s="35">
        <f>IF(AND(C2458="Grayson Coulter",G2458&gt;='00_Control'!$B$7),"YES","NO")</f>
        <v/>
      </c>
      <c r="AJ2458" s="33" t="inlineStr">
        <is>
          <t>OK</t>
        </is>
      </c>
    </row>
    <row r="2459">
      <c r="A2459" s="33" t="inlineStr">
        <is>
          <t>SM002455</t>
        </is>
      </c>
      <c r="B2459" s="33" t="inlineStr">
        <is>
          <t>SW014</t>
        </is>
      </c>
      <c r="C2459" s="33" t="inlineStr">
        <is>
          <t>Luke Hobson</t>
        </is>
      </c>
      <c r="D2459" s="33" t="inlineStr">
        <is>
          <t>SwimCloud</t>
        </is>
      </c>
      <c r="E2459" s="33" t="inlineStr">
        <is>
          <t>576911</t>
        </is>
      </c>
      <c r="F2459" s="33" t="inlineStr">
        <is>
          <t>167939555</t>
        </is>
      </c>
      <c r="G2459" s="51" t="n">
        <v>46038</v>
      </c>
      <c r="H2459" s="33" t="inlineStr">
        <is>
          <t>TYR Pro Swim Series - Austin</t>
        </is>
      </c>
      <c r="I2459" s="33" t="inlineStr">
        <is>
          <t>351184</t>
        </is>
      </c>
      <c r="J2459" s="33" t="inlineStr"/>
      <c r="K2459" s="33" t="inlineStr">
        <is>
          <t>FIN</t>
        </is>
      </c>
      <c r="L2459" s="35">
        <f>IF(K2459="FIN",3,IF(OR(K2459="SEM",K2459="SEMI"),2,IF(OR(K2459="PRE",K2459="HEAT"),1,IF(V2459="YES",4,2))))</f>
        <v/>
      </c>
      <c r="M2459" s="33" t="inlineStr">
        <is>
          <t>LCM</t>
        </is>
      </c>
      <c r="N2459" s="33" t="n">
        <v>200</v>
      </c>
      <c r="O2459" s="33" t="inlineStr">
        <is>
          <t>Free</t>
        </is>
      </c>
      <c r="P2459" s="33" t="inlineStr">
        <is>
          <t>200 Free</t>
        </is>
      </c>
      <c r="Q2459" s="33" t="inlineStr">
        <is>
          <t>LCM_200_FREE</t>
        </is>
      </c>
      <c r="R2459" s="36" t="n">
        <v>107.31</v>
      </c>
      <c r="S2459" s="35">
        <f>IF(R2459="","",IF(R2459&gt;=60,INT(R2459/60)&amp;":"&amp;TEXT(MOD(R2459,60),"00.00"),TEXT(R2459,"0.00")))</f>
        <v/>
      </c>
      <c r="T2459" s="52">
        <f>IFERROR((G2459-INDEX('01_Swimmers'!$E$5:$E$22,MATCH(B2459,'01_Swimmers'!$A$5:$A$22,0)))/'00_Control'!$B$10,"")</f>
        <v/>
      </c>
      <c r="U2459" s="35">
        <f>IF(T2459="","",INT(T2459))</f>
        <v/>
      </c>
      <c r="V2459" s="33" t="inlineStr">
        <is>
          <t>NO</t>
        </is>
      </c>
      <c r="W2459" s="33" t="inlineStr">
        <is>
          <t>YES</t>
        </is>
      </c>
      <c r="X2459" s="33" t="inlineStr">
        <is>
          <t>NO</t>
        </is>
      </c>
      <c r="Y2459" s="33" t="n">
        <v>1</v>
      </c>
      <c r="Z2459" s="33" t="n">
        <v>4</v>
      </c>
      <c r="AA2459" s="33" t="inlineStr">
        <is>
          <t>2</t>
        </is>
      </c>
      <c r="AB2459" s="33" t="inlineStr">
        <is>
          <t>https://www.swimcloud.com/results/351184/event/20/?id=167939555#time167939555</t>
        </is>
      </c>
      <c r="AC2459" s="33" t="inlineStr">
        <is>
          <t>SwimCloud API v6 2026-10-08</t>
        </is>
      </c>
      <c r="AD2459" s="33" t="inlineStr">
        <is>
          <t>Luke Hobson|2026-01-16|LCM|200|Free|107.31|TYR Pro Swim Series - Austin|FIN|False</t>
        </is>
      </c>
      <c r="AE2459" s="53">
        <f>G2459+L2459/1000+ROW()/1000000000</f>
        <v/>
      </c>
      <c r="AF2459" s="35">
        <f>IF(C2459&lt;&gt;"Grayson Coulter","",COUNTIFS($C$5:$C$2991,"Grayson Coulter",$Q$5:$Q$2991,Q2459,$AE$5:$AE$2991,"&lt;="&amp;AE2459,$R$5:$R$2991,"&lt;"&amp;R2459))</f>
        <v/>
      </c>
      <c r="AG2459" s="35">
        <f>IF(OR(C2459&lt;&gt;"Grayson Coulter",G2459&lt;'00_Control'!$B$7),"",--(AF2459&lt;5))</f>
        <v/>
      </c>
      <c r="AH2459" s="35">
        <f>IF(OR(C2459&lt;&gt;"Grayson Coulter",G2459&lt;'00_Control'!$B$7),"",--(AF2459&lt;10))</f>
        <v/>
      </c>
      <c r="AI2459" s="35">
        <f>IF(AND(C2459="Grayson Coulter",G2459&gt;='00_Control'!$B$7),"YES","NO")</f>
        <v/>
      </c>
      <c r="AJ2459" s="33" t="inlineStr">
        <is>
          <t>OK</t>
        </is>
      </c>
    </row>
    <row r="2460">
      <c r="A2460" s="33" t="inlineStr">
        <is>
          <t>SM002456</t>
        </is>
      </c>
      <c r="B2460" s="33" t="inlineStr">
        <is>
          <t>SW014</t>
        </is>
      </c>
      <c r="C2460" s="33" t="inlineStr">
        <is>
          <t>Luke Hobson</t>
        </is>
      </c>
      <c r="D2460" s="33" t="inlineStr">
        <is>
          <t>SwimCloud</t>
        </is>
      </c>
      <c r="E2460" s="33" t="inlineStr">
        <is>
          <t>576911</t>
        </is>
      </c>
      <c r="F2460" s="33" t="inlineStr">
        <is>
          <t>167939554</t>
        </is>
      </c>
      <c r="G2460" s="51" t="n">
        <v>46039</v>
      </c>
      <c r="H2460" s="33" t="inlineStr">
        <is>
          <t>TYR Pro Swim Series - Austin</t>
        </is>
      </c>
      <c r="I2460" s="33" t="inlineStr">
        <is>
          <t>351184</t>
        </is>
      </c>
      <c r="J2460" s="33" t="inlineStr"/>
      <c r="K2460" s="33" t="inlineStr">
        <is>
          <t>PRE</t>
        </is>
      </c>
      <c r="L2460" s="35">
        <f>IF(K2460="FIN",3,IF(OR(K2460="SEM",K2460="SEMI"),2,IF(OR(K2460="PRE",K2460="HEAT"),1,IF(V2460="YES",4,2))))</f>
        <v/>
      </c>
      <c r="M2460" s="33" t="inlineStr">
        <is>
          <t>LCM</t>
        </is>
      </c>
      <c r="N2460" s="33" t="n">
        <v>100</v>
      </c>
      <c r="O2460" s="33" t="inlineStr">
        <is>
          <t>Free</t>
        </is>
      </c>
      <c r="P2460" s="33" t="inlineStr">
        <is>
          <t>100 Free</t>
        </is>
      </c>
      <c r="Q2460" s="33" t="inlineStr">
        <is>
          <t>LCM_100_FREE</t>
        </is>
      </c>
      <c r="R2460" s="36" t="n">
        <v>49.09</v>
      </c>
      <c r="S2460" s="35">
        <f>IF(R2460="","",IF(R2460&gt;=60,INT(R2460/60)&amp;":"&amp;TEXT(MOD(R2460,60),"00.00"),TEXT(R2460,"0.00")))</f>
        <v/>
      </c>
      <c r="T2460" s="52">
        <f>IFERROR((G2460-INDEX('01_Swimmers'!$E$5:$E$22,MATCH(B2460,'01_Swimmers'!$A$5:$A$22,0)))/'00_Control'!$B$10,"")</f>
        <v/>
      </c>
      <c r="U2460" s="35">
        <f>IF(T2460="","",INT(T2460))</f>
        <v/>
      </c>
      <c r="V2460" s="33" t="inlineStr">
        <is>
          <t>NO</t>
        </is>
      </c>
      <c r="W2460" s="33" t="inlineStr">
        <is>
          <t>YES</t>
        </is>
      </c>
      <c r="X2460" s="33" t="inlineStr">
        <is>
          <t>NO</t>
        </is>
      </c>
      <c r="Y2460" s="33" t="n">
        <v>7</v>
      </c>
      <c r="Z2460" s="33" t="n">
        <v>6</v>
      </c>
      <c r="AA2460" s="33" t="inlineStr">
        <is>
          <t>8</t>
        </is>
      </c>
      <c r="AB2460" s="33" t="inlineStr">
        <is>
          <t>https://www.swimcloud.com/results/351184/event/30/?id=167939554#time167939554</t>
        </is>
      </c>
      <c r="AC2460" s="33" t="inlineStr">
        <is>
          <t>SwimCloud API v6 2026-10-08</t>
        </is>
      </c>
      <c r="AD2460" s="33" t="inlineStr">
        <is>
          <t>Luke Hobson|2026-01-17|LCM|100|Free|49.09|TYR Pro Swim Series - Austin|PRE|False</t>
        </is>
      </c>
      <c r="AE2460" s="53">
        <f>G2460+L2460/1000+ROW()/1000000000</f>
        <v/>
      </c>
      <c r="AF2460" s="35">
        <f>IF(C2460&lt;&gt;"Grayson Coulter","",COUNTIFS($C$5:$C$2991,"Grayson Coulter",$Q$5:$Q$2991,Q2460,$AE$5:$AE$2991,"&lt;="&amp;AE2460,$R$5:$R$2991,"&lt;"&amp;R2460))</f>
        <v/>
      </c>
      <c r="AG2460" s="35">
        <f>IF(OR(C2460&lt;&gt;"Grayson Coulter",G2460&lt;'00_Control'!$B$7),"",--(AF2460&lt;5))</f>
        <v/>
      </c>
      <c r="AH2460" s="35">
        <f>IF(OR(C2460&lt;&gt;"Grayson Coulter",G2460&lt;'00_Control'!$B$7),"",--(AF2460&lt;10))</f>
        <v/>
      </c>
      <c r="AI2460" s="35">
        <f>IF(AND(C2460="Grayson Coulter",G2460&gt;='00_Control'!$B$7),"YES","NO")</f>
        <v/>
      </c>
      <c r="AJ2460" s="33" t="inlineStr">
        <is>
          <t>OK</t>
        </is>
      </c>
    </row>
    <row r="2461">
      <c r="A2461" s="33" t="inlineStr">
        <is>
          <t>SM002457</t>
        </is>
      </c>
      <c r="B2461" s="33" t="inlineStr">
        <is>
          <t>SW014</t>
        </is>
      </c>
      <c r="C2461" s="33" t="inlineStr">
        <is>
          <t>Luke Hobson</t>
        </is>
      </c>
      <c r="D2461" s="33" t="inlineStr">
        <is>
          <t>SwimCloud</t>
        </is>
      </c>
      <c r="E2461" s="33" t="inlineStr">
        <is>
          <t>576911</t>
        </is>
      </c>
      <c r="F2461" s="33" t="inlineStr">
        <is>
          <t>167939553</t>
        </is>
      </c>
      <c r="G2461" s="51" t="n">
        <v>46039</v>
      </c>
      <c r="H2461" s="33" t="inlineStr">
        <is>
          <t>TYR Pro Swim Series - Austin</t>
        </is>
      </c>
      <c r="I2461" s="33" t="inlineStr">
        <is>
          <t>351184</t>
        </is>
      </c>
      <c r="J2461" s="33" t="inlineStr"/>
      <c r="K2461" s="33" t="inlineStr">
        <is>
          <t>FIN</t>
        </is>
      </c>
      <c r="L2461" s="35">
        <f>IF(K2461="FIN",3,IF(OR(K2461="SEM",K2461="SEMI"),2,IF(OR(K2461="PRE",K2461="HEAT"),1,IF(V2461="YES",4,2))))</f>
        <v/>
      </c>
      <c r="M2461" s="33" t="inlineStr">
        <is>
          <t>LCM</t>
        </is>
      </c>
      <c r="N2461" s="33" t="n">
        <v>100</v>
      </c>
      <c r="O2461" s="33" t="inlineStr">
        <is>
          <t>Free</t>
        </is>
      </c>
      <c r="P2461" s="33" t="inlineStr">
        <is>
          <t>100 Free</t>
        </is>
      </c>
      <c r="Q2461" s="33" t="inlineStr">
        <is>
          <t>LCM_100_FREE</t>
        </is>
      </c>
      <c r="R2461" s="36" t="n">
        <v>49.41</v>
      </c>
      <c r="S2461" s="35">
        <f>IF(R2461="","",IF(R2461&gt;=60,INT(R2461/60)&amp;":"&amp;TEXT(MOD(R2461,60),"00.00"),TEXT(R2461,"0.00")))</f>
        <v/>
      </c>
      <c r="T2461" s="52">
        <f>IFERROR((G2461-INDEX('01_Swimmers'!$E$5:$E$22,MATCH(B2461,'01_Swimmers'!$A$5:$A$22,0)))/'00_Control'!$B$10,"")</f>
        <v/>
      </c>
      <c r="U2461" s="35">
        <f>IF(T2461="","",INT(T2461))</f>
        <v/>
      </c>
      <c r="V2461" s="33" t="inlineStr">
        <is>
          <t>NO</t>
        </is>
      </c>
      <c r="W2461" s="33" t="inlineStr">
        <is>
          <t>YES</t>
        </is>
      </c>
      <c r="X2461" s="33" t="inlineStr">
        <is>
          <t>NO</t>
        </is>
      </c>
      <c r="Y2461" s="33" t="n">
        <v>1</v>
      </c>
      <c r="Z2461" s="33" t="n">
        <v>8</v>
      </c>
      <c r="AA2461" s="33" t="inlineStr">
        <is>
          <t>7</t>
        </is>
      </c>
      <c r="AB2461" s="33" t="inlineStr">
        <is>
          <t>https://www.swimcloud.com/results/351184/event/30/?id=167939553#time167939553</t>
        </is>
      </c>
      <c r="AC2461" s="33" t="inlineStr">
        <is>
          <t>SwimCloud API v6 2026-10-08</t>
        </is>
      </c>
      <c r="AD2461" s="33" t="inlineStr">
        <is>
          <t>Luke Hobson|2026-01-17|LCM|100|Free|49.41|TYR Pro Swim Series - Austin|FIN|False</t>
        </is>
      </c>
      <c r="AE2461" s="53">
        <f>G2461+L2461/1000+ROW()/1000000000</f>
        <v/>
      </c>
      <c r="AF2461" s="35">
        <f>IF(C2461&lt;&gt;"Grayson Coulter","",COUNTIFS($C$5:$C$2991,"Grayson Coulter",$Q$5:$Q$2991,Q2461,$AE$5:$AE$2991,"&lt;="&amp;AE2461,$R$5:$R$2991,"&lt;"&amp;R2461))</f>
        <v/>
      </c>
      <c r="AG2461" s="35">
        <f>IF(OR(C2461&lt;&gt;"Grayson Coulter",G2461&lt;'00_Control'!$B$7),"",--(AF2461&lt;5))</f>
        <v/>
      </c>
      <c r="AH2461" s="35">
        <f>IF(OR(C2461&lt;&gt;"Grayson Coulter",G2461&lt;'00_Control'!$B$7),"",--(AF2461&lt;10))</f>
        <v/>
      </c>
      <c r="AI2461" s="35">
        <f>IF(AND(C2461="Grayson Coulter",G2461&gt;='00_Control'!$B$7),"YES","NO")</f>
        <v/>
      </c>
      <c r="AJ2461" s="33" t="inlineStr">
        <is>
          <t>OK</t>
        </is>
      </c>
    </row>
    <row r="2462">
      <c r="A2462" s="33" t="inlineStr">
        <is>
          <t>SM002458</t>
        </is>
      </c>
      <c r="B2462" s="33" t="inlineStr">
        <is>
          <t>SW014</t>
        </is>
      </c>
      <c r="C2462" s="33" t="inlineStr">
        <is>
          <t>Luke Hobson</t>
        </is>
      </c>
      <c r="D2462" s="33" t="inlineStr">
        <is>
          <t>SwimCloud</t>
        </is>
      </c>
      <c r="E2462" s="33" t="inlineStr">
        <is>
          <t>576911</t>
        </is>
      </c>
      <c r="F2462" s="33" t="inlineStr">
        <is>
          <t>173277423</t>
        </is>
      </c>
      <c r="G2462" s="51" t="n">
        <v>46085</v>
      </c>
      <c r="H2462" s="33" t="inlineStr">
        <is>
          <t>TYR Pro Swim Series - Westmont</t>
        </is>
      </c>
      <c r="I2462" s="33" t="inlineStr">
        <is>
          <t>381683</t>
        </is>
      </c>
      <c r="J2462" s="33" t="inlineStr"/>
      <c r="K2462" s="33" t="inlineStr">
        <is>
          <t>PRE</t>
        </is>
      </c>
      <c r="L2462" s="35">
        <f>IF(K2462="FIN",3,IF(OR(K2462="SEM",K2462="SEMI"),2,IF(OR(K2462="PRE",K2462="HEAT"),1,IF(V2462="YES",4,2))))</f>
        <v/>
      </c>
      <c r="M2462" s="33" t="inlineStr">
        <is>
          <t>LCM</t>
        </is>
      </c>
      <c r="N2462" s="33" t="n">
        <v>100</v>
      </c>
      <c r="O2462" s="33" t="inlineStr">
        <is>
          <t>Free</t>
        </is>
      </c>
      <c r="P2462" s="33" t="inlineStr">
        <is>
          <t>100 Free</t>
        </is>
      </c>
      <c r="Q2462" s="33" t="inlineStr">
        <is>
          <t>LCM_100_FREE</t>
        </is>
      </c>
      <c r="R2462" s="36" t="n">
        <v>49.06</v>
      </c>
      <c r="S2462" s="35">
        <f>IF(R2462="","",IF(R2462&gt;=60,INT(R2462/60)&amp;":"&amp;TEXT(MOD(R2462,60),"00.00"),TEXT(R2462,"0.00")))</f>
        <v/>
      </c>
      <c r="T2462" s="52">
        <f>IFERROR((G2462-INDEX('01_Swimmers'!$E$5:$E$22,MATCH(B2462,'01_Swimmers'!$A$5:$A$22,0)))/'00_Control'!$B$10,"")</f>
        <v/>
      </c>
      <c r="U2462" s="35">
        <f>IF(T2462="","",INT(T2462))</f>
        <v/>
      </c>
      <c r="V2462" s="33" t="inlineStr">
        <is>
          <t>NO</t>
        </is>
      </c>
      <c r="W2462" s="33" t="inlineStr">
        <is>
          <t>YES</t>
        </is>
      </c>
      <c r="X2462" s="33" t="inlineStr">
        <is>
          <t>NO</t>
        </is>
      </c>
      <c r="Y2462" s="33" t="n">
        <v>7</v>
      </c>
      <c r="Z2462" s="33" t="n">
        <v>6</v>
      </c>
      <c r="AA2462" s="33" t="inlineStr">
        <is>
          <t>5</t>
        </is>
      </c>
      <c r="AB2462" s="33" t="inlineStr">
        <is>
          <t>https://www.swimcloud.com/results/381683/event/8/?id=173277423#time173277423</t>
        </is>
      </c>
      <c r="AC2462" s="33" t="inlineStr">
        <is>
          <t>SwimCloud API v6 2026-10-08</t>
        </is>
      </c>
      <c r="AD2462" s="33" t="inlineStr">
        <is>
          <t>Luke Hobson|2026-03-04|LCM|100|Free|49.06|TYR Pro Swim Series - Westmont|PRE|False</t>
        </is>
      </c>
      <c r="AE2462" s="53">
        <f>G2462+L2462/1000+ROW()/1000000000</f>
        <v/>
      </c>
      <c r="AF2462" s="35">
        <f>IF(C2462&lt;&gt;"Grayson Coulter","",COUNTIFS($C$5:$C$2991,"Grayson Coulter",$Q$5:$Q$2991,Q2462,$AE$5:$AE$2991,"&lt;="&amp;AE2462,$R$5:$R$2991,"&lt;"&amp;R2462))</f>
        <v/>
      </c>
      <c r="AG2462" s="35">
        <f>IF(OR(C2462&lt;&gt;"Grayson Coulter",G2462&lt;'00_Control'!$B$7),"",--(AF2462&lt;5))</f>
        <v/>
      </c>
      <c r="AH2462" s="35">
        <f>IF(OR(C2462&lt;&gt;"Grayson Coulter",G2462&lt;'00_Control'!$B$7),"",--(AF2462&lt;10))</f>
        <v/>
      </c>
      <c r="AI2462" s="35">
        <f>IF(AND(C2462="Grayson Coulter",G2462&gt;='00_Control'!$B$7),"YES","NO")</f>
        <v/>
      </c>
      <c r="AJ2462" s="33" t="inlineStr">
        <is>
          <t>OK</t>
        </is>
      </c>
    </row>
    <row r="2463">
      <c r="A2463" s="33" t="inlineStr">
        <is>
          <t>SM002459</t>
        </is>
      </c>
      <c r="B2463" s="33" t="inlineStr">
        <is>
          <t>SW014</t>
        </is>
      </c>
      <c r="C2463" s="33" t="inlineStr">
        <is>
          <t>Luke Hobson</t>
        </is>
      </c>
      <c r="D2463" s="33" t="inlineStr">
        <is>
          <t>SwimCloud</t>
        </is>
      </c>
      <c r="E2463" s="33" t="inlineStr">
        <is>
          <t>576911</t>
        </is>
      </c>
      <c r="F2463" s="33" t="inlineStr">
        <is>
          <t>173279122</t>
        </is>
      </c>
      <c r="G2463" s="51" t="n">
        <v>46085</v>
      </c>
      <c r="H2463" s="33" t="inlineStr">
        <is>
          <t>TYR Pro Swim Series - Westmont</t>
        </is>
      </c>
      <c r="I2463" s="33" t="inlineStr">
        <is>
          <t>381683</t>
        </is>
      </c>
      <c r="J2463" s="33" t="inlineStr"/>
      <c r="K2463" s="33" t="inlineStr">
        <is>
          <t>SEM</t>
        </is>
      </c>
      <c r="L2463" s="35">
        <f>IF(K2463="FIN",3,IF(OR(K2463="SEM",K2463="SEMI"),2,IF(OR(K2463="PRE",K2463="HEAT"),1,IF(V2463="YES",4,2))))</f>
        <v/>
      </c>
      <c r="M2463" s="33" t="inlineStr">
        <is>
          <t>LCM</t>
        </is>
      </c>
      <c r="N2463" s="33" t="n">
        <v>100</v>
      </c>
      <c r="O2463" s="33" t="inlineStr">
        <is>
          <t>Free</t>
        </is>
      </c>
      <c r="P2463" s="33" t="inlineStr">
        <is>
          <t>100 Free</t>
        </is>
      </c>
      <c r="Q2463" s="33" t="inlineStr">
        <is>
          <t>LCM_100_FREE</t>
        </is>
      </c>
      <c r="R2463" s="36" t="n">
        <v>48.83</v>
      </c>
      <c r="S2463" s="35">
        <f>IF(R2463="","",IF(R2463&gt;=60,INT(R2463/60)&amp;":"&amp;TEXT(MOD(R2463,60),"00.00"),TEXT(R2463,"0.00")))</f>
        <v/>
      </c>
      <c r="T2463" s="52">
        <f>IFERROR((G2463-INDEX('01_Swimmers'!$E$5:$E$22,MATCH(B2463,'01_Swimmers'!$A$5:$A$22,0)))/'00_Control'!$B$10,"")</f>
        <v/>
      </c>
      <c r="U2463" s="35">
        <f>IF(T2463="","",INT(T2463))</f>
        <v/>
      </c>
      <c r="V2463" s="33" t="inlineStr">
        <is>
          <t>NO</t>
        </is>
      </c>
      <c r="W2463" s="33" t="inlineStr">
        <is>
          <t>YES</t>
        </is>
      </c>
      <c r="X2463" s="33" t="inlineStr">
        <is>
          <t>NO</t>
        </is>
      </c>
      <c r="Y2463" s="33" t="n">
        <v>1</v>
      </c>
      <c r="Z2463" s="33" t="n">
        <v>5</v>
      </c>
      <c r="AA2463" s="33" t="inlineStr">
        <is>
          <t>4</t>
        </is>
      </c>
      <c r="AB2463" s="33" t="inlineStr">
        <is>
          <t>https://www.swimcloud.com/results/381683/event/8/?id=173279122#time173279122</t>
        </is>
      </c>
      <c r="AC2463" s="33" t="inlineStr">
        <is>
          <t>SwimCloud API v6 2026-10-08</t>
        </is>
      </c>
      <c r="AD2463" s="33" t="inlineStr">
        <is>
          <t>Luke Hobson|2026-03-04|LCM|100|Free|48.83|TYR Pro Swim Series - Westmont|SEM|False</t>
        </is>
      </c>
      <c r="AE2463" s="53">
        <f>G2463+L2463/1000+ROW()/1000000000</f>
        <v/>
      </c>
      <c r="AF2463" s="35">
        <f>IF(C2463&lt;&gt;"Grayson Coulter","",COUNTIFS($C$5:$C$2991,"Grayson Coulter",$Q$5:$Q$2991,Q2463,$AE$5:$AE$2991,"&lt;="&amp;AE2463,$R$5:$R$2991,"&lt;"&amp;R2463))</f>
        <v/>
      </c>
      <c r="AG2463" s="35">
        <f>IF(OR(C2463&lt;&gt;"Grayson Coulter",G2463&lt;'00_Control'!$B$7),"",--(AF2463&lt;5))</f>
        <v/>
      </c>
      <c r="AH2463" s="35">
        <f>IF(OR(C2463&lt;&gt;"Grayson Coulter",G2463&lt;'00_Control'!$B$7),"",--(AF2463&lt;10))</f>
        <v/>
      </c>
      <c r="AI2463" s="35">
        <f>IF(AND(C2463="Grayson Coulter",G2463&gt;='00_Control'!$B$7),"YES","NO")</f>
        <v/>
      </c>
      <c r="AJ2463" s="33" t="inlineStr">
        <is>
          <t>OK</t>
        </is>
      </c>
    </row>
    <row r="2464">
      <c r="A2464" s="33" t="inlineStr">
        <is>
          <t>SM002460</t>
        </is>
      </c>
      <c r="B2464" s="33" t="inlineStr">
        <is>
          <t>SW014</t>
        </is>
      </c>
      <c r="C2464" s="33" t="inlineStr">
        <is>
          <t>Luke Hobson</t>
        </is>
      </c>
      <c r="D2464" s="33" t="inlineStr">
        <is>
          <t>SwimCloud</t>
        </is>
      </c>
      <c r="E2464" s="33" t="inlineStr">
        <is>
          <t>576911</t>
        </is>
      </c>
      <c r="F2464" s="33" t="inlineStr">
        <is>
          <t>173284149</t>
        </is>
      </c>
      <c r="G2464" s="51" t="n">
        <v>46085</v>
      </c>
      <c r="H2464" s="33" t="inlineStr">
        <is>
          <t>TYR Pro - Semifinals</t>
        </is>
      </c>
      <c r="I2464" s="33" t="inlineStr">
        <is>
          <t>381681</t>
        </is>
      </c>
      <c r="J2464" s="33" t="inlineStr"/>
      <c r="K2464" s="33" t="inlineStr">
        <is>
          <t>SEM</t>
        </is>
      </c>
      <c r="L2464" s="35">
        <f>IF(K2464="FIN",3,IF(OR(K2464="SEM",K2464="SEMI"),2,IF(OR(K2464="PRE",K2464="HEAT"),1,IF(V2464="YES",4,2))))</f>
        <v/>
      </c>
      <c r="M2464" s="33" t="inlineStr">
        <is>
          <t>LCM</t>
        </is>
      </c>
      <c r="N2464" s="33" t="n">
        <v>100</v>
      </c>
      <c r="O2464" s="33" t="inlineStr">
        <is>
          <t>Free</t>
        </is>
      </c>
      <c r="P2464" s="33" t="inlineStr">
        <is>
          <t>100 Free</t>
        </is>
      </c>
      <c r="Q2464" s="33" t="inlineStr">
        <is>
          <t>LCM_100_FREE</t>
        </is>
      </c>
      <c r="R2464" s="36" t="n">
        <v>48.83</v>
      </c>
      <c r="S2464" s="35">
        <f>IF(R2464="","",IF(R2464&gt;=60,INT(R2464/60)&amp;":"&amp;TEXT(MOD(R2464,60),"00.00"),TEXT(R2464,"0.00")))</f>
        <v/>
      </c>
      <c r="T2464" s="52">
        <f>IFERROR((G2464-INDEX('01_Swimmers'!$E$5:$E$22,MATCH(B2464,'01_Swimmers'!$A$5:$A$22,0)))/'00_Control'!$B$10,"")</f>
        <v/>
      </c>
      <c r="U2464" s="35">
        <f>IF(T2464="","",INT(T2464))</f>
        <v/>
      </c>
      <c r="V2464" s="33" t="inlineStr">
        <is>
          <t>NO</t>
        </is>
      </c>
      <c r="W2464" s="33" t="inlineStr">
        <is>
          <t>YES</t>
        </is>
      </c>
      <c r="X2464" s="33" t="inlineStr">
        <is>
          <t>NO</t>
        </is>
      </c>
      <c r="Y2464" s="33" t="n">
        <v>1</v>
      </c>
      <c r="Z2464" s="33" t="n">
        <v>5</v>
      </c>
      <c r="AA2464" s="33" t="inlineStr">
        <is>
          <t>4</t>
        </is>
      </c>
      <c r="AB2464" s="33" t="inlineStr">
        <is>
          <t>https://www.swimcloud.com/results/381681/event/8/?id=173284149#time173284149</t>
        </is>
      </c>
      <c r="AC2464" s="33" t="inlineStr">
        <is>
          <t>SwimCloud API v6 2026-10-08</t>
        </is>
      </c>
      <c r="AD2464" s="33" t="inlineStr">
        <is>
          <t>Luke Hobson|2026-03-04|LCM|100|Free|48.83|TYR Pro - Semifinals|SEM|False</t>
        </is>
      </c>
      <c r="AE2464" s="53">
        <f>G2464+L2464/1000+ROW()/1000000000</f>
        <v/>
      </c>
      <c r="AF2464" s="35">
        <f>IF(C2464&lt;&gt;"Grayson Coulter","",COUNTIFS($C$5:$C$2991,"Grayson Coulter",$Q$5:$Q$2991,Q2464,$AE$5:$AE$2991,"&lt;="&amp;AE2464,$R$5:$R$2991,"&lt;"&amp;R2464))</f>
        <v/>
      </c>
      <c r="AG2464" s="35">
        <f>IF(OR(C2464&lt;&gt;"Grayson Coulter",G2464&lt;'00_Control'!$B$7),"",--(AF2464&lt;5))</f>
        <v/>
      </c>
      <c r="AH2464" s="35">
        <f>IF(OR(C2464&lt;&gt;"Grayson Coulter",G2464&lt;'00_Control'!$B$7),"",--(AF2464&lt;10))</f>
        <v/>
      </c>
      <c r="AI2464" s="35">
        <f>IF(AND(C2464="Grayson Coulter",G2464&gt;='00_Control'!$B$7),"YES","NO")</f>
        <v/>
      </c>
      <c r="AJ2464" s="33" t="inlineStr">
        <is>
          <t>OK</t>
        </is>
      </c>
    </row>
    <row r="2465">
      <c r="A2465" s="33" t="inlineStr">
        <is>
          <t>SM002461</t>
        </is>
      </c>
      <c r="B2465" s="33" t="inlineStr">
        <is>
          <t>SW014</t>
        </is>
      </c>
      <c r="C2465" s="33" t="inlineStr">
        <is>
          <t>Luke Hobson</t>
        </is>
      </c>
      <c r="D2465" s="33" t="inlineStr">
        <is>
          <t>SwimCloud</t>
        </is>
      </c>
      <c r="E2465" s="33" t="inlineStr">
        <is>
          <t>576911</t>
        </is>
      </c>
      <c r="F2465" s="33" t="inlineStr">
        <is>
          <t>173277424</t>
        </is>
      </c>
      <c r="G2465" s="51" t="n">
        <v>46085</v>
      </c>
      <c r="H2465" s="33" t="inlineStr">
        <is>
          <t>TYR Pro Swim Series - Westmont</t>
        </is>
      </c>
      <c r="I2465" s="33" t="inlineStr">
        <is>
          <t>381683</t>
        </is>
      </c>
      <c r="J2465" s="33" t="inlineStr"/>
      <c r="K2465" s="33" t="inlineStr">
        <is>
          <t>FIN</t>
        </is>
      </c>
      <c r="L2465" s="35">
        <f>IF(K2465="FIN",3,IF(OR(K2465="SEM",K2465="SEMI"),2,IF(OR(K2465="PRE",K2465="HEAT"),1,IF(V2465="YES",4,2))))</f>
        <v/>
      </c>
      <c r="M2465" s="33" t="inlineStr">
        <is>
          <t>LCM</t>
        </is>
      </c>
      <c r="N2465" s="33" t="n">
        <v>100</v>
      </c>
      <c r="O2465" s="33" t="inlineStr">
        <is>
          <t>Free</t>
        </is>
      </c>
      <c r="P2465" s="33" t="inlineStr">
        <is>
          <t>100 Free</t>
        </is>
      </c>
      <c r="Q2465" s="33" t="inlineStr">
        <is>
          <t>LCM_100_FREE</t>
        </is>
      </c>
      <c r="R2465" s="36" t="n">
        <v>48.91</v>
      </c>
      <c r="S2465" s="35">
        <f>IF(R2465="","",IF(R2465&gt;=60,INT(R2465/60)&amp;":"&amp;TEXT(MOD(R2465,60),"00.00"),TEXT(R2465,"0.00")))</f>
        <v/>
      </c>
      <c r="T2465" s="52">
        <f>IFERROR((G2465-INDEX('01_Swimmers'!$E$5:$E$22,MATCH(B2465,'01_Swimmers'!$A$5:$A$22,0)))/'00_Control'!$B$10,"")</f>
        <v/>
      </c>
      <c r="U2465" s="35">
        <f>IF(T2465="","",INT(T2465))</f>
        <v/>
      </c>
      <c r="V2465" s="33" t="inlineStr">
        <is>
          <t>NO</t>
        </is>
      </c>
      <c r="W2465" s="33" t="inlineStr">
        <is>
          <t>YES</t>
        </is>
      </c>
      <c r="X2465" s="33" t="inlineStr">
        <is>
          <t>NO</t>
        </is>
      </c>
      <c r="Y2465" s="33" t="n">
        <v>1</v>
      </c>
      <c r="Z2465" s="33" t="n">
        <v>6</v>
      </c>
      <c r="AA2465" s="33" t="inlineStr">
        <is>
          <t>5</t>
        </is>
      </c>
      <c r="AB2465" s="33" t="inlineStr">
        <is>
          <t>https://www.swimcloud.com/results/381683/event/8/?id=173277424#time173277424</t>
        </is>
      </c>
      <c r="AC2465" s="33" t="inlineStr">
        <is>
          <t>SwimCloud API v6 2026-10-08</t>
        </is>
      </c>
      <c r="AD2465" s="33" t="inlineStr">
        <is>
          <t>Luke Hobson|2026-03-04|LCM|100|Free|48.91|TYR Pro Swim Series - Westmont|FIN|False</t>
        </is>
      </c>
      <c r="AE2465" s="53">
        <f>G2465+L2465/1000+ROW()/1000000000</f>
        <v/>
      </c>
      <c r="AF2465" s="35">
        <f>IF(C2465&lt;&gt;"Grayson Coulter","",COUNTIFS($C$5:$C$2991,"Grayson Coulter",$Q$5:$Q$2991,Q2465,$AE$5:$AE$2991,"&lt;="&amp;AE2465,$R$5:$R$2991,"&lt;"&amp;R2465))</f>
        <v/>
      </c>
      <c r="AG2465" s="35">
        <f>IF(OR(C2465&lt;&gt;"Grayson Coulter",G2465&lt;'00_Control'!$B$7),"",--(AF2465&lt;5))</f>
        <v/>
      </c>
      <c r="AH2465" s="35">
        <f>IF(OR(C2465&lt;&gt;"Grayson Coulter",G2465&lt;'00_Control'!$B$7),"",--(AF2465&lt;10))</f>
        <v/>
      </c>
      <c r="AI2465" s="35">
        <f>IF(AND(C2465="Grayson Coulter",G2465&gt;='00_Control'!$B$7),"YES","NO")</f>
        <v/>
      </c>
      <c r="AJ2465" s="33" t="inlineStr">
        <is>
          <t>OK</t>
        </is>
      </c>
    </row>
    <row r="2466">
      <c r="A2466" s="33" t="inlineStr">
        <is>
          <t>SM002462</t>
        </is>
      </c>
      <c r="B2466" s="33" t="inlineStr">
        <is>
          <t>SW014</t>
        </is>
      </c>
      <c r="C2466" s="33" t="inlineStr">
        <is>
          <t>Luke Hobson</t>
        </is>
      </c>
      <c r="D2466" s="33" t="inlineStr">
        <is>
          <t>SwimCloud</t>
        </is>
      </c>
      <c r="E2466" s="33" t="inlineStr">
        <is>
          <t>576911</t>
        </is>
      </c>
      <c r="F2466" s="33" t="inlineStr">
        <is>
          <t>173283876</t>
        </is>
      </c>
      <c r="G2466" s="51" t="n">
        <v>46085</v>
      </c>
      <c r="H2466" s="33" t="inlineStr">
        <is>
          <t>TYR Pro - Semifinals</t>
        </is>
      </c>
      <c r="I2466" s="33" t="inlineStr">
        <is>
          <t>381681</t>
        </is>
      </c>
      <c r="J2466" s="33" t="inlineStr"/>
      <c r="K2466" s="33" t="inlineStr">
        <is>
          <t>TIM</t>
        </is>
      </c>
      <c r="L2466" s="35">
        <f>IF(K2466="FIN",3,IF(OR(K2466="SEM",K2466="SEMI"),2,IF(OR(K2466="PRE",K2466="HEAT"),1,IF(V2466="YES",4,2))))</f>
        <v/>
      </c>
      <c r="M2466" s="33" t="inlineStr">
        <is>
          <t>LCM</t>
        </is>
      </c>
      <c r="N2466" s="33" t="n">
        <v>100</v>
      </c>
      <c r="O2466" s="33" t="inlineStr">
        <is>
          <t>Free</t>
        </is>
      </c>
      <c r="P2466" s="33" t="inlineStr">
        <is>
          <t>100 Free</t>
        </is>
      </c>
      <c r="Q2466" s="33" t="inlineStr">
        <is>
          <t>LCM_100_FREE</t>
        </is>
      </c>
      <c r="R2466" s="36" t="n">
        <v>48.83</v>
      </c>
      <c r="S2466" s="35">
        <f>IF(R2466="","",IF(R2466&gt;=60,INT(R2466/60)&amp;":"&amp;TEXT(MOD(R2466,60),"00.00"),TEXT(R2466,"0.00")))</f>
        <v/>
      </c>
      <c r="T2466" s="52">
        <f>IFERROR((G2466-INDEX('01_Swimmers'!$E$5:$E$22,MATCH(B2466,'01_Swimmers'!$A$5:$A$22,0)))/'00_Control'!$B$10,"")</f>
        <v/>
      </c>
      <c r="U2466" s="35">
        <f>IF(T2466="","",INT(T2466))</f>
        <v/>
      </c>
      <c r="V2466" s="33" t="inlineStr">
        <is>
          <t>NO</t>
        </is>
      </c>
      <c r="W2466" s="33" t="inlineStr">
        <is>
          <t>YES</t>
        </is>
      </c>
      <c r="X2466" s="33" t="inlineStr">
        <is>
          <t>NO</t>
        </is>
      </c>
      <c r="Y2466" s="33" t="n">
        <v>1</v>
      </c>
      <c r="Z2466" s="33" t="n">
        <v>5</v>
      </c>
      <c r="AA2466" s="33" t="inlineStr">
        <is>
          <t>4</t>
        </is>
      </c>
      <c r="AB2466" s="33" t="inlineStr">
        <is>
          <t>https://www.swimcloud.com/results/381681/event/8/?id=173283876#time173283876</t>
        </is>
      </c>
      <c r="AC2466" s="33" t="inlineStr">
        <is>
          <t>SwimCloud API v6 2026-10-08</t>
        </is>
      </c>
      <c r="AD2466" s="33" t="inlineStr">
        <is>
          <t>Luke Hobson|2026-03-04|LCM|100|Free|48.83|TYR Pro - Semifinals|TIM|False</t>
        </is>
      </c>
      <c r="AE2466" s="53">
        <f>G2466+L2466/1000+ROW()/1000000000</f>
        <v/>
      </c>
      <c r="AF2466" s="35">
        <f>IF(C2466&lt;&gt;"Grayson Coulter","",COUNTIFS($C$5:$C$2991,"Grayson Coulter",$Q$5:$Q$2991,Q2466,$AE$5:$AE$2991,"&lt;="&amp;AE2466,$R$5:$R$2991,"&lt;"&amp;R2466))</f>
        <v/>
      </c>
      <c r="AG2466" s="35">
        <f>IF(OR(C2466&lt;&gt;"Grayson Coulter",G2466&lt;'00_Control'!$B$7),"",--(AF2466&lt;5))</f>
        <v/>
      </c>
      <c r="AH2466" s="35">
        <f>IF(OR(C2466&lt;&gt;"Grayson Coulter",G2466&lt;'00_Control'!$B$7),"",--(AF2466&lt;10))</f>
        <v/>
      </c>
      <c r="AI2466" s="35">
        <f>IF(AND(C2466="Grayson Coulter",G2466&gt;='00_Control'!$B$7),"YES","NO")</f>
        <v/>
      </c>
      <c r="AJ2466" s="33" t="inlineStr">
        <is>
          <t>OK</t>
        </is>
      </c>
    </row>
    <row r="2467">
      <c r="A2467" s="33" t="inlineStr">
        <is>
          <t>SM002463</t>
        </is>
      </c>
      <c r="B2467" s="33" t="inlineStr">
        <is>
          <t>SW014</t>
        </is>
      </c>
      <c r="C2467" s="33" t="inlineStr">
        <is>
          <t>Luke Hobson</t>
        </is>
      </c>
      <c r="D2467" s="33" t="inlineStr">
        <is>
          <t>SwimCloud</t>
        </is>
      </c>
      <c r="E2467" s="33" t="inlineStr">
        <is>
          <t>576911</t>
        </is>
      </c>
      <c r="F2467" s="33" t="inlineStr">
        <is>
          <t>173277576</t>
        </is>
      </c>
      <c r="G2467" s="51" t="n">
        <v>46087</v>
      </c>
      <c r="H2467" s="33" t="inlineStr">
        <is>
          <t>TYR Pro Swim Series - Westmont</t>
        </is>
      </c>
      <c r="I2467" s="33" t="inlineStr">
        <is>
          <t>381683</t>
        </is>
      </c>
      <c r="J2467" s="33" t="inlineStr"/>
      <c r="K2467" s="33" t="inlineStr">
        <is>
          <t>PRE</t>
        </is>
      </c>
      <c r="L2467" s="35">
        <f>IF(K2467="FIN",3,IF(OR(K2467="SEM",K2467="SEMI"),2,IF(OR(K2467="PRE",K2467="HEAT"),1,IF(V2467="YES",4,2))))</f>
        <v/>
      </c>
      <c r="M2467" s="33" t="inlineStr">
        <is>
          <t>LCM</t>
        </is>
      </c>
      <c r="N2467" s="33" t="n">
        <v>200</v>
      </c>
      <c r="O2467" s="33" t="inlineStr">
        <is>
          <t>Free</t>
        </is>
      </c>
      <c r="P2467" s="33" t="inlineStr">
        <is>
          <t>200 Free</t>
        </is>
      </c>
      <c r="Q2467" s="33" t="inlineStr">
        <is>
          <t>LCM_200_FREE</t>
        </is>
      </c>
      <c r="R2467" s="36" t="n">
        <v>106.52</v>
      </c>
      <c r="S2467" s="35">
        <f>IF(R2467="","",IF(R2467&gt;=60,INT(R2467/60)&amp;":"&amp;TEXT(MOD(R2467,60),"00.00"),TEXT(R2467,"0.00")))</f>
        <v/>
      </c>
      <c r="T2467" s="52">
        <f>IFERROR((G2467-INDEX('01_Swimmers'!$E$5:$E$22,MATCH(B2467,'01_Swimmers'!$A$5:$A$22,0)))/'00_Control'!$B$10,"")</f>
        <v/>
      </c>
      <c r="U2467" s="35">
        <f>IF(T2467="","",INT(T2467))</f>
        <v/>
      </c>
      <c r="V2467" s="33" t="inlineStr">
        <is>
          <t>NO</t>
        </is>
      </c>
      <c r="W2467" s="33" t="inlineStr">
        <is>
          <t>YES</t>
        </is>
      </c>
      <c r="X2467" s="33" t="inlineStr">
        <is>
          <t>NO</t>
        </is>
      </c>
      <c r="Y2467" s="33" t="n">
        <v>6</v>
      </c>
      <c r="Z2467" s="33" t="n">
        <v>4</v>
      </c>
      <c r="AA2467" s="33" t="inlineStr">
        <is>
          <t>2</t>
        </is>
      </c>
      <c r="AB2467" s="33" t="inlineStr">
        <is>
          <t>https://www.swimcloud.com/results/381683/event/22/?id=173277576#time173277576</t>
        </is>
      </c>
      <c r="AC2467" s="33" t="inlineStr">
        <is>
          <t>SwimCloud API v6 2026-10-08</t>
        </is>
      </c>
      <c r="AD2467" s="33" t="inlineStr">
        <is>
          <t>Luke Hobson|2026-03-06|LCM|200|Free|106.52|TYR Pro Swim Series - Westmont|PRE|False</t>
        </is>
      </c>
      <c r="AE2467" s="53">
        <f>G2467+L2467/1000+ROW()/1000000000</f>
        <v/>
      </c>
      <c r="AF2467" s="35">
        <f>IF(C2467&lt;&gt;"Grayson Coulter","",COUNTIFS($C$5:$C$2991,"Grayson Coulter",$Q$5:$Q$2991,Q2467,$AE$5:$AE$2991,"&lt;="&amp;AE2467,$R$5:$R$2991,"&lt;"&amp;R2467))</f>
        <v/>
      </c>
      <c r="AG2467" s="35">
        <f>IF(OR(C2467&lt;&gt;"Grayson Coulter",G2467&lt;'00_Control'!$B$7),"",--(AF2467&lt;5))</f>
        <v/>
      </c>
      <c r="AH2467" s="35">
        <f>IF(OR(C2467&lt;&gt;"Grayson Coulter",G2467&lt;'00_Control'!$B$7),"",--(AF2467&lt;10))</f>
        <v/>
      </c>
      <c r="AI2467" s="35">
        <f>IF(AND(C2467="Grayson Coulter",G2467&gt;='00_Control'!$B$7),"YES","NO")</f>
        <v/>
      </c>
      <c r="AJ2467" s="33" t="inlineStr">
        <is>
          <t>OK</t>
        </is>
      </c>
    </row>
    <row r="2468">
      <c r="A2468" s="33" t="inlineStr">
        <is>
          <t>SM002464</t>
        </is>
      </c>
      <c r="B2468" s="33" t="inlineStr">
        <is>
          <t>SW014</t>
        </is>
      </c>
      <c r="C2468" s="33" t="inlineStr">
        <is>
          <t>Luke Hobson</t>
        </is>
      </c>
      <c r="D2468" s="33" t="inlineStr">
        <is>
          <t>SwimCloud</t>
        </is>
      </c>
      <c r="E2468" s="33" t="inlineStr">
        <is>
          <t>576911</t>
        </is>
      </c>
      <c r="F2468" s="33" t="inlineStr">
        <is>
          <t>173277577</t>
        </is>
      </c>
      <c r="G2468" s="51" t="n">
        <v>46087</v>
      </c>
      <c r="H2468" s="33" t="inlineStr">
        <is>
          <t>TYR Pro Swim Series - Westmont</t>
        </is>
      </c>
      <c r="I2468" s="33" t="inlineStr">
        <is>
          <t>381683</t>
        </is>
      </c>
      <c r="J2468" s="33" t="inlineStr"/>
      <c r="K2468" s="33" t="inlineStr">
        <is>
          <t>FIN</t>
        </is>
      </c>
      <c r="L2468" s="35">
        <f>IF(K2468="FIN",3,IF(OR(K2468="SEM",K2468="SEMI"),2,IF(OR(K2468="PRE",K2468="HEAT"),1,IF(V2468="YES",4,2))))</f>
        <v/>
      </c>
      <c r="M2468" s="33" t="inlineStr">
        <is>
          <t>LCM</t>
        </is>
      </c>
      <c r="N2468" s="33" t="n">
        <v>200</v>
      </c>
      <c r="O2468" s="33" t="inlineStr">
        <is>
          <t>Free</t>
        </is>
      </c>
      <c r="P2468" s="33" t="inlineStr">
        <is>
          <t>200 Free</t>
        </is>
      </c>
      <c r="Q2468" s="33" t="inlineStr">
        <is>
          <t>LCM_200_FREE</t>
        </is>
      </c>
      <c r="R2468" s="36" t="n">
        <v>105.7</v>
      </c>
      <c r="S2468" s="35">
        <f>IF(R2468="","",IF(R2468&gt;=60,INT(R2468/60)&amp;":"&amp;TEXT(MOD(R2468,60),"00.00"),TEXT(R2468,"0.00")))</f>
        <v/>
      </c>
      <c r="T2468" s="52">
        <f>IFERROR((G2468-INDEX('01_Swimmers'!$E$5:$E$22,MATCH(B2468,'01_Swimmers'!$A$5:$A$22,0)))/'00_Control'!$B$10,"")</f>
        <v/>
      </c>
      <c r="U2468" s="35">
        <f>IF(T2468="","",INT(T2468))</f>
        <v/>
      </c>
      <c r="V2468" s="33" t="inlineStr">
        <is>
          <t>NO</t>
        </is>
      </c>
      <c r="W2468" s="33" t="inlineStr">
        <is>
          <t>YES</t>
        </is>
      </c>
      <c r="X2468" s="33" t="inlineStr">
        <is>
          <t>NO</t>
        </is>
      </c>
      <c r="Y2468" s="33" t="n">
        <v>2</v>
      </c>
      <c r="Z2468" s="33" t="n">
        <v>6</v>
      </c>
      <c r="AA2468" s="33" t="inlineStr">
        <is>
          <t>3</t>
        </is>
      </c>
      <c r="AB2468" s="33" t="inlineStr">
        <is>
          <t>https://www.swimcloud.com/results/381683/event/22/?id=173277577#time173277577</t>
        </is>
      </c>
      <c r="AC2468" s="33" t="inlineStr">
        <is>
          <t>SwimCloud API v6 2026-10-08</t>
        </is>
      </c>
      <c r="AD2468" s="33" t="inlineStr">
        <is>
          <t>Luke Hobson|2026-03-06|LCM|200|Free|105.7|TYR Pro Swim Series - Westmont|FIN|False</t>
        </is>
      </c>
      <c r="AE2468" s="53">
        <f>G2468+L2468/1000+ROW()/1000000000</f>
        <v/>
      </c>
      <c r="AF2468" s="35">
        <f>IF(C2468&lt;&gt;"Grayson Coulter","",COUNTIFS($C$5:$C$2991,"Grayson Coulter",$Q$5:$Q$2991,Q2468,$AE$5:$AE$2991,"&lt;="&amp;AE2468,$R$5:$R$2991,"&lt;"&amp;R2468))</f>
        <v/>
      </c>
      <c r="AG2468" s="35">
        <f>IF(OR(C2468&lt;&gt;"Grayson Coulter",G2468&lt;'00_Control'!$B$7),"",--(AF2468&lt;5))</f>
        <v/>
      </c>
      <c r="AH2468" s="35">
        <f>IF(OR(C2468&lt;&gt;"Grayson Coulter",G2468&lt;'00_Control'!$B$7),"",--(AF2468&lt;10))</f>
        <v/>
      </c>
      <c r="AI2468" s="35">
        <f>IF(AND(C2468="Grayson Coulter",G2468&gt;='00_Control'!$B$7),"YES","NO")</f>
        <v/>
      </c>
      <c r="AJ2468" s="33" t="inlineStr">
        <is>
          <t>OK</t>
        </is>
      </c>
    </row>
    <row r="2469">
      <c r="A2469" s="33" t="inlineStr">
        <is>
          <t>SM002465</t>
        </is>
      </c>
      <c r="B2469" s="33" t="inlineStr">
        <is>
          <t>SW014</t>
        </is>
      </c>
      <c r="C2469" s="33" t="inlineStr">
        <is>
          <t>Luke Hobson</t>
        </is>
      </c>
      <c r="D2469" s="33" t="inlineStr">
        <is>
          <t>SwimCloud</t>
        </is>
      </c>
      <c r="E2469" s="33" t="inlineStr">
        <is>
          <t>576911</t>
        </is>
      </c>
      <c r="F2469" s="33" t="inlineStr">
        <is>
          <t>173278764</t>
        </is>
      </c>
      <c r="G2469" s="51" t="n">
        <v>46088</v>
      </c>
      <c r="H2469" s="33" t="inlineStr">
        <is>
          <t>TYR Pro Swim Series - Westmont</t>
        </is>
      </c>
      <c r="I2469" s="33" t="inlineStr">
        <is>
          <t>381683</t>
        </is>
      </c>
      <c r="J2469" s="33" t="inlineStr"/>
      <c r="K2469" s="33" t="inlineStr">
        <is>
          <t>PRE</t>
        </is>
      </c>
      <c r="L2469" s="35">
        <f>IF(K2469="FIN",3,IF(OR(K2469="SEM",K2469="SEMI"),2,IF(OR(K2469="PRE",K2469="HEAT"),1,IF(V2469="YES",4,2))))</f>
        <v/>
      </c>
      <c r="M2469" s="33" t="inlineStr">
        <is>
          <t>LCM</t>
        </is>
      </c>
      <c r="N2469" s="33" t="n">
        <v>400</v>
      </c>
      <c r="O2469" s="33" t="inlineStr">
        <is>
          <t>Free</t>
        </is>
      </c>
      <c r="P2469" s="33" t="inlineStr">
        <is>
          <t>400 Free</t>
        </is>
      </c>
      <c r="Q2469" s="33" t="inlineStr">
        <is>
          <t>LCM_400_FREE</t>
        </is>
      </c>
      <c r="R2469" s="36" t="n">
        <v>233.48</v>
      </c>
      <c r="S2469" s="35">
        <f>IF(R2469="","",IF(R2469&gt;=60,INT(R2469/60)&amp;":"&amp;TEXT(MOD(R2469,60),"00.00"),TEXT(R2469,"0.00")))</f>
        <v/>
      </c>
      <c r="T2469" s="52">
        <f>IFERROR((G2469-INDEX('01_Swimmers'!$E$5:$E$22,MATCH(B2469,'01_Swimmers'!$A$5:$A$22,0)))/'00_Control'!$B$10,"")</f>
        <v/>
      </c>
      <c r="U2469" s="35">
        <f>IF(T2469="","",INT(T2469))</f>
        <v/>
      </c>
      <c r="V2469" s="33" t="inlineStr">
        <is>
          <t>NO</t>
        </is>
      </c>
      <c r="W2469" s="33" t="inlineStr">
        <is>
          <t>YES</t>
        </is>
      </c>
      <c r="X2469" s="33" t="inlineStr">
        <is>
          <t>NO</t>
        </is>
      </c>
      <c r="Y2469" s="33" t="n">
        <v>4</v>
      </c>
      <c r="Z2469" s="33" t="n">
        <v>3</v>
      </c>
      <c r="AA2469" s="33" t="inlineStr">
        <is>
          <t>3</t>
        </is>
      </c>
      <c r="AB2469" s="33" t="inlineStr">
        <is>
          <t>https://www.swimcloud.com/results/381683/event/32/?id=173278764#time173278764</t>
        </is>
      </c>
      <c r="AC2469" s="33" t="inlineStr">
        <is>
          <t>SwimCloud API v6 2026-10-08</t>
        </is>
      </c>
      <c r="AD2469" s="33" t="inlineStr">
        <is>
          <t>Luke Hobson|2026-03-07|LCM|400|Free|233.48|TYR Pro Swim Series - Westmont|PRE|False</t>
        </is>
      </c>
      <c r="AE2469" s="53">
        <f>G2469+L2469/1000+ROW()/1000000000</f>
        <v/>
      </c>
      <c r="AF2469" s="35">
        <f>IF(C2469&lt;&gt;"Grayson Coulter","",COUNTIFS($C$5:$C$2991,"Grayson Coulter",$Q$5:$Q$2991,Q2469,$AE$5:$AE$2991,"&lt;="&amp;AE2469,$R$5:$R$2991,"&lt;"&amp;R2469))</f>
        <v/>
      </c>
      <c r="AG2469" s="35">
        <f>IF(OR(C2469&lt;&gt;"Grayson Coulter",G2469&lt;'00_Control'!$B$7),"",--(AF2469&lt;5))</f>
        <v/>
      </c>
      <c r="AH2469" s="35">
        <f>IF(OR(C2469&lt;&gt;"Grayson Coulter",G2469&lt;'00_Control'!$B$7),"",--(AF2469&lt;10))</f>
        <v/>
      </c>
      <c r="AI2469" s="35">
        <f>IF(AND(C2469="Grayson Coulter",G2469&gt;='00_Control'!$B$7),"YES","NO")</f>
        <v/>
      </c>
      <c r="AJ2469" s="33" t="inlineStr">
        <is>
          <t>OK</t>
        </is>
      </c>
    </row>
    <row r="2470">
      <c r="A2470" s="33" t="inlineStr">
        <is>
          <t>SM002466</t>
        </is>
      </c>
      <c r="B2470" s="33" t="inlineStr">
        <is>
          <t>SW014</t>
        </is>
      </c>
      <c r="C2470" s="33" t="inlineStr">
        <is>
          <t>Luke Hobson</t>
        </is>
      </c>
      <c r="D2470" s="33" t="inlineStr">
        <is>
          <t>SwimCloud</t>
        </is>
      </c>
      <c r="E2470" s="33" t="inlineStr">
        <is>
          <t>576911</t>
        </is>
      </c>
      <c r="F2470" s="33" t="inlineStr">
        <is>
          <t>173278765</t>
        </is>
      </c>
      <c r="G2470" s="51" t="n">
        <v>46088</v>
      </c>
      <c r="H2470" s="33" t="inlineStr">
        <is>
          <t>TYR Pro Swim Series - Westmont</t>
        </is>
      </c>
      <c r="I2470" s="33" t="inlineStr">
        <is>
          <t>381683</t>
        </is>
      </c>
      <c r="J2470" s="33" t="inlineStr"/>
      <c r="K2470" s="33" t="inlineStr">
        <is>
          <t>FIN</t>
        </is>
      </c>
      <c r="L2470" s="35">
        <f>IF(K2470="FIN",3,IF(OR(K2470="SEM",K2470="SEMI"),2,IF(OR(K2470="PRE",K2470="HEAT"),1,IF(V2470="YES",4,2))))</f>
        <v/>
      </c>
      <c r="M2470" s="33" t="inlineStr">
        <is>
          <t>LCM</t>
        </is>
      </c>
      <c r="N2470" s="33" t="n">
        <v>400</v>
      </c>
      <c r="O2470" s="33" t="inlineStr">
        <is>
          <t>Free</t>
        </is>
      </c>
      <c r="P2470" s="33" t="inlineStr">
        <is>
          <t>400 Free</t>
        </is>
      </c>
      <c r="Q2470" s="33" t="inlineStr">
        <is>
          <t>LCM_400_FREE</t>
        </is>
      </c>
      <c r="R2470" s="36" t="n">
        <v>228.78</v>
      </c>
      <c r="S2470" s="35">
        <f>IF(R2470="","",IF(R2470&gt;=60,INT(R2470/60)&amp;":"&amp;TEXT(MOD(R2470,60),"00.00"),TEXT(R2470,"0.00")))</f>
        <v/>
      </c>
      <c r="T2470" s="52">
        <f>IFERROR((G2470-INDEX('01_Swimmers'!$E$5:$E$22,MATCH(B2470,'01_Swimmers'!$A$5:$A$22,0)))/'00_Control'!$B$10,"")</f>
        <v/>
      </c>
      <c r="U2470" s="35">
        <f>IF(T2470="","",INT(T2470))</f>
        <v/>
      </c>
      <c r="V2470" s="33" t="inlineStr">
        <is>
          <t>NO</t>
        </is>
      </c>
      <c r="W2470" s="33" t="inlineStr">
        <is>
          <t>YES</t>
        </is>
      </c>
      <c r="X2470" s="33" t="inlineStr">
        <is>
          <t>NO</t>
        </is>
      </c>
      <c r="Y2470" s="33" t="n">
        <v>2</v>
      </c>
      <c r="Z2470" s="33" t="n">
        <v>3</v>
      </c>
      <c r="AA2470" s="33" t="inlineStr">
        <is>
          <t>3</t>
        </is>
      </c>
      <c r="AB2470" s="33" t="inlineStr">
        <is>
          <t>https://www.swimcloud.com/results/381683/event/32/?id=173278765#time173278765</t>
        </is>
      </c>
      <c r="AC2470" s="33" t="inlineStr">
        <is>
          <t>SwimCloud API v6 2026-10-08</t>
        </is>
      </c>
      <c r="AD2470" s="33" t="inlineStr">
        <is>
          <t>Luke Hobson|2026-03-07|LCM|400|Free|228.78|TYR Pro Swim Series - Westmont|FIN|False</t>
        </is>
      </c>
      <c r="AE2470" s="53">
        <f>G2470+L2470/1000+ROW()/1000000000</f>
        <v/>
      </c>
      <c r="AF2470" s="35">
        <f>IF(C2470&lt;&gt;"Grayson Coulter","",COUNTIFS($C$5:$C$2991,"Grayson Coulter",$Q$5:$Q$2991,Q2470,$AE$5:$AE$2991,"&lt;="&amp;AE2470,$R$5:$R$2991,"&lt;"&amp;R2470))</f>
        <v/>
      </c>
      <c r="AG2470" s="35">
        <f>IF(OR(C2470&lt;&gt;"Grayson Coulter",G2470&lt;'00_Control'!$B$7),"",--(AF2470&lt;5))</f>
        <v/>
      </c>
      <c r="AH2470" s="35">
        <f>IF(OR(C2470&lt;&gt;"Grayson Coulter",G2470&lt;'00_Control'!$B$7),"",--(AF2470&lt;10))</f>
        <v/>
      </c>
      <c r="AI2470" s="35">
        <f>IF(AND(C2470="Grayson Coulter",G2470&gt;='00_Control'!$B$7),"YES","NO")</f>
        <v/>
      </c>
      <c r="AJ2470" s="33" t="inlineStr">
        <is>
          <t>OK</t>
        </is>
      </c>
    </row>
    <row r="2471">
      <c r="A2471" s="33" t="inlineStr">
        <is>
          <t>SM002467</t>
        </is>
      </c>
      <c r="B2471" s="33" t="inlineStr">
        <is>
          <t>SW014</t>
        </is>
      </c>
      <c r="C2471" s="33" t="inlineStr">
        <is>
          <t>Luke Hobson</t>
        </is>
      </c>
      <c r="D2471" s="33" t="inlineStr">
        <is>
          <t>SwimCloud</t>
        </is>
      </c>
      <c r="E2471" s="33" t="inlineStr">
        <is>
          <t>576911</t>
        </is>
      </c>
      <c r="F2471" s="33" t="inlineStr">
        <is>
          <t>176191796</t>
        </is>
      </c>
      <c r="G2471" s="51" t="n">
        <v>46142</v>
      </c>
      <c r="H2471" s="33" t="inlineStr">
        <is>
          <t>FG SFTL Fort Lauderdale Open</t>
        </is>
      </c>
      <c r="I2471" s="33" t="inlineStr">
        <is>
          <t>367638</t>
        </is>
      </c>
      <c r="J2471" s="33" t="inlineStr"/>
      <c r="K2471" s="33" t="inlineStr">
        <is>
          <t>PRE</t>
        </is>
      </c>
      <c r="L2471" s="35">
        <f>IF(K2471="FIN",3,IF(OR(K2471="SEM",K2471="SEMI"),2,IF(OR(K2471="PRE",K2471="HEAT"),1,IF(V2471="YES",4,2))))</f>
        <v/>
      </c>
      <c r="M2471" s="33" t="inlineStr">
        <is>
          <t>LCM</t>
        </is>
      </c>
      <c r="N2471" s="33" t="n">
        <v>100</v>
      </c>
      <c r="O2471" s="33" t="inlineStr">
        <is>
          <t>Free</t>
        </is>
      </c>
      <c r="P2471" s="33" t="inlineStr">
        <is>
          <t>100 Free</t>
        </is>
      </c>
      <c r="Q2471" s="33" t="inlineStr">
        <is>
          <t>LCM_100_FREE</t>
        </is>
      </c>
      <c r="R2471" s="36" t="n">
        <v>49.66</v>
      </c>
      <c r="S2471" s="35">
        <f>IF(R2471="","",IF(R2471&gt;=60,INT(R2471/60)&amp;":"&amp;TEXT(MOD(R2471,60),"00.00"),TEXT(R2471,"0.00")))</f>
        <v/>
      </c>
      <c r="T2471" s="52">
        <f>IFERROR((G2471-INDEX('01_Swimmers'!$E$5:$E$22,MATCH(B2471,'01_Swimmers'!$A$5:$A$22,0)))/'00_Control'!$B$10,"")</f>
        <v/>
      </c>
      <c r="U2471" s="35">
        <f>IF(T2471="","",INT(T2471))</f>
        <v/>
      </c>
      <c r="V2471" s="33" t="inlineStr">
        <is>
          <t>NO</t>
        </is>
      </c>
      <c r="W2471" s="33" t="inlineStr">
        <is>
          <t>YES</t>
        </is>
      </c>
      <c r="X2471" s="33" t="inlineStr">
        <is>
          <t>NO</t>
        </is>
      </c>
      <c r="Y2471" s="33" t="n">
        <v>8</v>
      </c>
      <c r="Z2471" s="33" t="n">
        <v>4</v>
      </c>
      <c r="AA2471" s="33" t="inlineStr">
        <is>
          <t>6</t>
        </is>
      </c>
      <c r="AB2471" s="33" t="inlineStr">
        <is>
          <t>https://www.swimcloud.com/results/367638/event/4/?id=176191796#time176191796</t>
        </is>
      </c>
      <c r="AC2471" s="33" t="inlineStr">
        <is>
          <t>SwimCloud API v6 2026-10-08</t>
        </is>
      </c>
      <c r="AD2471" s="33" t="inlineStr">
        <is>
          <t>Luke Hobson|2026-04-30|LCM|100|Free|49.66|FG SFTL Fort Lauderdale Open|PRE|False</t>
        </is>
      </c>
      <c r="AE2471" s="53">
        <f>G2471+L2471/1000+ROW()/1000000000</f>
        <v/>
      </c>
      <c r="AF2471" s="35">
        <f>IF(C2471&lt;&gt;"Grayson Coulter","",COUNTIFS($C$5:$C$2991,"Grayson Coulter",$Q$5:$Q$2991,Q2471,$AE$5:$AE$2991,"&lt;="&amp;AE2471,$R$5:$R$2991,"&lt;"&amp;R2471))</f>
        <v/>
      </c>
      <c r="AG2471" s="35">
        <f>IF(OR(C2471&lt;&gt;"Grayson Coulter",G2471&lt;'00_Control'!$B$7),"",--(AF2471&lt;5))</f>
        <v/>
      </c>
      <c r="AH2471" s="35">
        <f>IF(OR(C2471&lt;&gt;"Grayson Coulter",G2471&lt;'00_Control'!$B$7),"",--(AF2471&lt;10))</f>
        <v/>
      </c>
      <c r="AI2471" s="35">
        <f>IF(AND(C2471="Grayson Coulter",G2471&gt;='00_Control'!$B$7),"YES","NO")</f>
        <v/>
      </c>
      <c r="AJ2471" s="33" t="inlineStr">
        <is>
          <t>OK</t>
        </is>
      </c>
    </row>
    <row r="2472">
      <c r="A2472" s="33" t="inlineStr">
        <is>
          <t>SM002468</t>
        </is>
      </c>
      <c r="B2472" s="33" t="inlineStr">
        <is>
          <t>SW014</t>
        </is>
      </c>
      <c r="C2472" s="33" t="inlineStr">
        <is>
          <t>Luke Hobson</t>
        </is>
      </c>
      <c r="D2472" s="33" t="inlineStr">
        <is>
          <t>SwimCloud</t>
        </is>
      </c>
      <c r="E2472" s="33" t="inlineStr">
        <is>
          <t>576911</t>
        </is>
      </c>
      <c r="F2472" s="33" t="inlineStr">
        <is>
          <t>176191797</t>
        </is>
      </c>
      <c r="G2472" s="51" t="n">
        <v>46142</v>
      </c>
      <c r="H2472" s="33" t="inlineStr">
        <is>
          <t>FG SFTL Fort Lauderdale Open</t>
        </is>
      </c>
      <c r="I2472" s="33" t="inlineStr">
        <is>
          <t>367638</t>
        </is>
      </c>
      <c r="J2472" s="33" t="inlineStr"/>
      <c r="K2472" s="33" t="inlineStr">
        <is>
          <t>FIN</t>
        </is>
      </c>
      <c r="L2472" s="35">
        <f>IF(K2472="FIN",3,IF(OR(K2472="SEM",K2472="SEMI"),2,IF(OR(K2472="PRE",K2472="HEAT"),1,IF(V2472="YES",4,2))))</f>
        <v/>
      </c>
      <c r="M2472" s="33" t="inlineStr">
        <is>
          <t>LCM</t>
        </is>
      </c>
      <c r="N2472" s="33" t="n">
        <v>100</v>
      </c>
      <c r="O2472" s="33" t="inlineStr">
        <is>
          <t>Free</t>
        </is>
      </c>
      <c r="P2472" s="33" t="inlineStr">
        <is>
          <t>100 Free</t>
        </is>
      </c>
      <c r="Q2472" s="33" t="inlineStr">
        <is>
          <t>LCM_100_FREE</t>
        </is>
      </c>
      <c r="R2472" s="36" t="n">
        <v>49.19</v>
      </c>
      <c r="S2472" s="35">
        <f>IF(R2472="","",IF(R2472&gt;=60,INT(R2472/60)&amp;":"&amp;TEXT(MOD(R2472,60),"00.00"),TEXT(R2472,"0.00")))</f>
        <v/>
      </c>
      <c r="T2472" s="52">
        <f>IFERROR((G2472-INDEX('01_Swimmers'!$E$5:$E$22,MATCH(B2472,'01_Swimmers'!$A$5:$A$22,0)))/'00_Control'!$B$10,"")</f>
        <v/>
      </c>
      <c r="U2472" s="35">
        <f>IF(T2472="","",INT(T2472))</f>
        <v/>
      </c>
      <c r="V2472" s="33" t="inlineStr">
        <is>
          <t>NO</t>
        </is>
      </c>
      <c r="W2472" s="33" t="inlineStr">
        <is>
          <t>YES</t>
        </is>
      </c>
      <c r="X2472" s="33" t="inlineStr">
        <is>
          <t>NO</t>
        </is>
      </c>
      <c r="Y2472" s="33" t="n">
        <v>2</v>
      </c>
      <c r="Z2472" s="33" t="n">
        <v>8</v>
      </c>
      <c r="AA2472" s="33" t="inlineStr">
        <is>
          <t>6</t>
        </is>
      </c>
      <c r="AB2472" s="33" t="inlineStr">
        <is>
          <t>https://www.swimcloud.com/results/367638/event/4/?id=176191797#time176191797</t>
        </is>
      </c>
      <c r="AC2472" s="33" t="inlineStr">
        <is>
          <t>SwimCloud API v6 2026-10-08</t>
        </is>
      </c>
      <c r="AD2472" s="33" t="inlineStr">
        <is>
          <t>Luke Hobson|2026-04-30|LCM|100|Free|49.19|FG SFTL Fort Lauderdale Open|FIN|False</t>
        </is>
      </c>
      <c r="AE2472" s="53">
        <f>G2472+L2472/1000+ROW()/1000000000</f>
        <v/>
      </c>
      <c r="AF2472" s="35">
        <f>IF(C2472&lt;&gt;"Grayson Coulter","",COUNTIFS($C$5:$C$2991,"Grayson Coulter",$Q$5:$Q$2991,Q2472,$AE$5:$AE$2991,"&lt;="&amp;AE2472,$R$5:$R$2991,"&lt;"&amp;R2472))</f>
        <v/>
      </c>
      <c r="AG2472" s="35">
        <f>IF(OR(C2472&lt;&gt;"Grayson Coulter",G2472&lt;'00_Control'!$B$7),"",--(AF2472&lt;5))</f>
        <v/>
      </c>
      <c r="AH2472" s="35">
        <f>IF(OR(C2472&lt;&gt;"Grayson Coulter",G2472&lt;'00_Control'!$B$7),"",--(AF2472&lt;10))</f>
        <v/>
      </c>
      <c r="AI2472" s="35">
        <f>IF(AND(C2472="Grayson Coulter",G2472&gt;='00_Control'!$B$7),"YES","NO")</f>
        <v/>
      </c>
      <c r="AJ2472" s="33" t="inlineStr">
        <is>
          <t>OK</t>
        </is>
      </c>
    </row>
    <row r="2473">
      <c r="A2473" s="33" t="inlineStr">
        <is>
          <t>SM002469</t>
        </is>
      </c>
      <c r="B2473" s="33" t="inlineStr">
        <is>
          <t>SW014</t>
        </is>
      </c>
      <c r="C2473" s="33" t="inlineStr">
        <is>
          <t>Luke Hobson</t>
        </is>
      </c>
      <c r="D2473" s="33" t="inlineStr">
        <is>
          <t>SwimCloud</t>
        </is>
      </c>
      <c r="E2473" s="33" t="inlineStr">
        <is>
          <t>576911</t>
        </is>
      </c>
      <c r="F2473" s="33" t="inlineStr">
        <is>
          <t>176192859</t>
        </is>
      </c>
      <c r="G2473" s="51" t="n">
        <v>46142</v>
      </c>
      <c r="H2473" s="33" t="inlineStr">
        <is>
          <t>FG SFTL Fort Lauderdale Open</t>
        </is>
      </c>
      <c r="I2473" s="33" t="inlineStr">
        <is>
          <t>367638</t>
        </is>
      </c>
      <c r="J2473" s="33" t="inlineStr"/>
      <c r="K2473" s="33" t="inlineStr">
        <is>
          <t>PRE</t>
        </is>
      </c>
      <c r="L2473" s="35">
        <f>IF(K2473="FIN",3,IF(OR(K2473="SEM",K2473="SEMI"),2,IF(OR(K2473="PRE",K2473="HEAT"),1,IF(V2473="YES",4,2))))</f>
        <v/>
      </c>
      <c r="M2473" s="33" t="inlineStr">
        <is>
          <t>LCM</t>
        </is>
      </c>
      <c r="N2473" s="33" t="n">
        <v>400</v>
      </c>
      <c r="O2473" s="33" t="inlineStr">
        <is>
          <t>Free</t>
        </is>
      </c>
      <c r="P2473" s="33" t="inlineStr">
        <is>
          <t>400 Free</t>
        </is>
      </c>
      <c r="Q2473" s="33" t="inlineStr">
        <is>
          <t>LCM_400_FREE</t>
        </is>
      </c>
      <c r="R2473" s="36" t="n">
        <v>233.99</v>
      </c>
      <c r="S2473" s="35">
        <f>IF(R2473="","",IF(R2473&gt;=60,INT(R2473/60)&amp;":"&amp;TEXT(MOD(R2473,60),"00.00"),TEXT(R2473,"0.00")))</f>
        <v/>
      </c>
      <c r="T2473" s="52">
        <f>IFERROR((G2473-INDEX('01_Swimmers'!$E$5:$E$22,MATCH(B2473,'01_Swimmers'!$A$5:$A$22,0)))/'00_Control'!$B$10,"")</f>
        <v/>
      </c>
      <c r="U2473" s="35">
        <f>IF(T2473="","",INT(T2473))</f>
        <v/>
      </c>
      <c r="V2473" s="33" t="inlineStr">
        <is>
          <t>NO</t>
        </is>
      </c>
      <c r="W2473" s="33" t="inlineStr">
        <is>
          <t>YES</t>
        </is>
      </c>
      <c r="X2473" s="33" t="inlineStr">
        <is>
          <t>NO</t>
        </is>
      </c>
      <c r="Y2473" s="33" t="n">
        <v>4</v>
      </c>
      <c r="Z2473" s="33" t="n">
        <v>5</v>
      </c>
      <c r="AA2473" s="33" t="inlineStr">
        <is>
          <t>1</t>
        </is>
      </c>
      <c r="AB2473" s="33" t="inlineStr">
        <is>
          <t>https://www.swimcloud.com/results/367638/event/12/?id=176192859#time176192859</t>
        </is>
      </c>
      <c r="AC2473" s="33" t="inlineStr">
        <is>
          <t>SwimCloud API v6 2026-10-08</t>
        </is>
      </c>
      <c r="AD2473" s="33" t="inlineStr">
        <is>
          <t>Luke Hobson|2026-04-30|LCM|400|Free|233.99|FG SFTL Fort Lauderdale Open|PRE|False</t>
        </is>
      </c>
      <c r="AE2473" s="53">
        <f>G2473+L2473/1000+ROW()/1000000000</f>
        <v/>
      </c>
      <c r="AF2473" s="35">
        <f>IF(C2473&lt;&gt;"Grayson Coulter","",COUNTIFS($C$5:$C$2991,"Grayson Coulter",$Q$5:$Q$2991,Q2473,$AE$5:$AE$2991,"&lt;="&amp;AE2473,$R$5:$R$2991,"&lt;"&amp;R2473))</f>
        <v/>
      </c>
      <c r="AG2473" s="35">
        <f>IF(OR(C2473&lt;&gt;"Grayson Coulter",G2473&lt;'00_Control'!$B$7),"",--(AF2473&lt;5))</f>
        <v/>
      </c>
      <c r="AH2473" s="35">
        <f>IF(OR(C2473&lt;&gt;"Grayson Coulter",G2473&lt;'00_Control'!$B$7),"",--(AF2473&lt;10))</f>
        <v/>
      </c>
      <c r="AI2473" s="35">
        <f>IF(AND(C2473="Grayson Coulter",G2473&gt;='00_Control'!$B$7),"YES","NO")</f>
        <v/>
      </c>
      <c r="AJ2473" s="33" t="inlineStr">
        <is>
          <t>OK</t>
        </is>
      </c>
    </row>
    <row r="2474">
      <c r="A2474" s="33" t="inlineStr">
        <is>
          <t>SM002470</t>
        </is>
      </c>
      <c r="B2474" s="33" t="inlineStr">
        <is>
          <t>SW014</t>
        </is>
      </c>
      <c r="C2474" s="33" t="inlineStr">
        <is>
          <t>Luke Hobson</t>
        </is>
      </c>
      <c r="D2474" s="33" t="inlineStr">
        <is>
          <t>SwimCloud</t>
        </is>
      </c>
      <c r="E2474" s="33" t="inlineStr">
        <is>
          <t>576911</t>
        </is>
      </c>
      <c r="F2474" s="33" t="inlineStr">
        <is>
          <t>176192860</t>
        </is>
      </c>
      <c r="G2474" s="51" t="n">
        <v>46142</v>
      </c>
      <c r="H2474" s="33" t="inlineStr">
        <is>
          <t>FG SFTL Fort Lauderdale Open</t>
        </is>
      </c>
      <c r="I2474" s="33" t="inlineStr">
        <is>
          <t>367638</t>
        </is>
      </c>
      <c r="J2474" s="33" t="inlineStr"/>
      <c r="K2474" s="33" t="inlineStr">
        <is>
          <t>FIN</t>
        </is>
      </c>
      <c r="L2474" s="35">
        <f>IF(K2474="FIN",3,IF(OR(K2474="SEM",K2474="SEMI"),2,IF(OR(K2474="PRE",K2474="HEAT"),1,IF(V2474="YES",4,2))))</f>
        <v/>
      </c>
      <c r="M2474" s="33" t="inlineStr">
        <is>
          <t>LCM</t>
        </is>
      </c>
      <c r="N2474" s="33" t="n">
        <v>400</v>
      </c>
      <c r="O2474" s="33" t="inlineStr">
        <is>
          <t>Free</t>
        </is>
      </c>
      <c r="P2474" s="33" t="inlineStr">
        <is>
          <t>400 Free</t>
        </is>
      </c>
      <c r="Q2474" s="33" t="inlineStr">
        <is>
          <t>LCM_400_FREE</t>
        </is>
      </c>
      <c r="R2474" s="36" t="n">
        <v>232.77</v>
      </c>
      <c r="S2474" s="35">
        <f>IF(R2474="","",IF(R2474&gt;=60,INT(R2474/60)&amp;":"&amp;TEXT(MOD(R2474,60),"00.00"),TEXT(R2474,"0.00")))</f>
        <v/>
      </c>
      <c r="T2474" s="52">
        <f>IFERROR((G2474-INDEX('01_Swimmers'!$E$5:$E$22,MATCH(B2474,'01_Swimmers'!$A$5:$A$22,0)))/'00_Control'!$B$10,"")</f>
        <v/>
      </c>
      <c r="U2474" s="35">
        <f>IF(T2474="","",INT(T2474))</f>
        <v/>
      </c>
      <c r="V2474" s="33" t="inlineStr">
        <is>
          <t>NO</t>
        </is>
      </c>
      <c r="W2474" s="33" t="inlineStr">
        <is>
          <t>YES</t>
        </is>
      </c>
      <c r="X2474" s="33" t="inlineStr">
        <is>
          <t>NO</t>
        </is>
      </c>
      <c r="Y2474" s="33" t="n">
        <v>2</v>
      </c>
      <c r="Z2474" s="33" t="n">
        <v>5</v>
      </c>
      <c r="AA2474" s="33" t="inlineStr">
        <is>
          <t>4</t>
        </is>
      </c>
      <c r="AB2474" s="33" t="inlineStr">
        <is>
          <t>https://www.swimcloud.com/results/367638/event/12/?id=176192860#time176192860</t>
        </is>
      </c>
      <c r="AC2474" s="33" t="inlineStr">
        <is>
          <t>SwimCloud API v6 2026-10-08</t>
        </is>
      </c>
      <c r="AD2474" s="33" t="inlineStr">
        <is>
          <t>Luke Hobson|2026-04-30|LCM|400|Free|232.77|FG SFTL Fort Lauderdale Open|FIN|False</t>
        </is>
      </c>
      <c r="AE2474" s="53">
        <f>G2474+L2474/1000+ROW()/1000000000</f>
        <v/>
      </c>
      <c r="AF2474" s="35">
        <f>IF(C2474&lt;&gt;"Grayson Coulter","",COUNTIFS($C$5:$C$2991,"Grayson Coulter",$Q$5:$Q$2991,Q2474,$AE$5:$AE$2991,"&lt;="&amp;AE2474,$R$5:$R$2991,"&lt;"&amp;R2474))</f>
        <v/>
      </c>
      <c r="AG2474" s="35">
        <f>IF(OR(C2474&lt;&gt;"Grayson Coulter",G2474&lt;'00_Control'!$B$7),"",--(AF2474&lt;5))</f>
        <v/>
      </c>
      <c r="AH2474" s="35">
        <f>IF(OR(C2474&lt;&gt;"Grayson Coulter",G2474&lt;'00_Control'!$B$7),"",--(AF2474&lt;10))</f>
        <v/>
      </c>
      <c r="AI2474" s="35">
        <f>IF(AND(C2474="Grayson Coulter",G2474&gt;='00_Control'!$B$7),"YES","NO")</f>
        <v/>
      </c>
      <c r="AJ2474" s="33" t="inlineStr">
        <is>
          <t>OK</t>
        </is>
      </c>
    </row>
    <row r="2475">
      <c r="A2475" s="33" t="inlineStr">
        <is>
          <t>SM002471</t>
        </is>
      </c>
      <c r="B2475" s="33" t="inlineStr">
        <is>
          <t>SW014</t>
        </is>
      </c>
      <c r="C2475" s="33" t="inlineStr">
        <is>
          <t>Luke Hobson</t>
        </is>
      </c>
      <c r="D2475" s="33" t="inlineStr">
        <is>
          <t>SwimCloud</t>
        </is>
      </c>
      <c r="E2475" s="33" t="inlineStr">
        <is>
          <t>576911</t>
        </is>
      </c>
      <c r="F2475" s="33" t="inlineStr">
        <is>
          <t>176192549</t>
        </is>
      </c>
      <c r="G2475" s="51" t="n">
        <v>46143</v>
      </c>
      <c r="H2475" s="33" t="inlineStr">
        <is>
          <t>FG SFTL Fort Lauderdale Open</t>
        </is>
      </c>
      <c r="I2475" s="33" t="inlineStr">
        <is>
          <t>367638</t>
        </is>
      </c>
      <c r="J2475" s="33" t="inlineStr"/>
      <c r="K2475" s="33" t="inlineStr">
        <is>
          <t>PRE</t>
        </is>
      </c>
      <c r="L2475" s="35">
        <f>IF(K2475="FIN",3,IF(OR(K2475="SEM",K2475="SEMI"),2,IF(OR(K2475="PRE",K2475="HEAT"),1,IF(V2475="YES",4,2))))</f>
        <v/>
      </c>
      <c r="M2475" s="33" t="inlineStr">
        <is>
          <t>LCM</t>
        </is>
      </c>
      <c r="N2475" s="33" t="n">
        <v>200</v>
      </c>
      <c r="O2475" s="33" t="inlineStr">
        <is>
          <t>Free</t>
        </is>
      </c>
      <c r="P2475" s="33" t="inlineStr">
        <is>
          <t>200 Free</t>
        </is>
      </c>
      <c r="Q2475" s="33" t="inlineStr">
        <is>
          <t>LCM_200_FREE</t>
        </is>
      </c>
      <c r="R2475" s="36" t="n">
        <v>109.13</v>
      </c>
      <c r="S2475" s="35">
        <f>IF(R2475="","",IF(R2475&gt;=60,INT(R2475/60)&amp;":"&amp;TEXT(MOD(R2475,60),"00.00"),TEXT(R2475,"0.00")))</f>
        <v/>
      </c>
      <c r="T2475" s="52">
        <f>IFERROR((G2475-INDEX('01_Swimmers'!$E$5:$E$22,MATCH(B2475,'01_Swimmers'!$A$5:$A$22,0)))/'00_Control'!$B$10,"")</f>
        <v/>
      </c>
      <c r="U2475" s="35">
        <f>IF(T2475="","",INT(T2475))</f>
        <v/>
      </c>
      <c r="V2475" s="33" t="inlineStr">
        <is>
          <t>NO</t>
        </is>
      </c>
      <c r="W2475" s="33" t="inlineStr">
        <is>
          <t>YES</t>
        </is>
      </c>
      <c r="X2475" s="33" t="inlineStr">
        <is>
          <t>NO</t>
        </is>
      </c>
      <c r="Y2475" s="33" t="n">
        <v>9</v>
      </c>
      <c r="Z2475" s="33" t="n">
        <v>5</v>
      </c>
      <c r="AA2475" s="33" t="inlineStr">
        <is>
          <t>5</t>
        </is>
      </c>
      <c r="AB2475" s="33" t="inlineStr">
        <is>
          <t>https://www.swimcloud.com/results/367638/event/14/?id=176192549#time176192549</t>
        </is>
      </c>
      <c r="AC2475" s="33" t="inlineStr">
        <is>
          <t>SwimCloud API v6 2026-10-08</t>
        </is>
      </c>
      <c r="AD2475" s="33" t="inlineStr">
        <is>
          <t>Luke Hobson|2026-05-01|LCM|200|Free|109.13|FG SFTL Fort Lauderdale Open|PRE|False</t>
        </is>
      </c>
      <c r="AE2475" s="53">
        <f>G2475+L2475/1000+ROW()/1000000000</f>
        <v/>
      </c>
      <c r="AF2475" s="35">
        <f>IF(C2475&lt;&gt;"Grayson Coulter","",COUNTIFS($C$5:$C$2991,"Grayson Coulter",$Q$5:$Q$2991,Q2475,$AE$5:$AE$2991,"&lt;="&amp;AE2475,$R$5:$R$2991,"&lt;"&amp;R2475))</f>
        <v/>
      </c>
      <c r="AG2475" s="35">
        <f>IF(OR(C2475&lt;&gt;"Grayson Coulter",G2475&lt;'00_Control'!$B$7),"",--(AF2475&lt;5))</f>
        <v/>
      </c>
      <c r="AH2475" s="35">
        <f>IF(OR(C2475&lt;&gt;"Grayson Coulter",G2475&lt;'00_Control'!$B$7),"",--(AF2475&lt;10))</f>
        <v/>
      </c>
      <c r="AI2475" s="35">
        <f>IF(AND(C2475="Grayson Coulter",G2475&gt;='00_Control'!$B$7),"YES","NO")</f>
        <v/>
      </c>
      <c r="AJ2475" s="33" t="inlineStr">
        <is>
          <t>OK</t>
        </is>
      </c>
    </row>
    <row r="2476">
      <c r="A2476" s="33" t="inlineStr">
        <is>
          <t>SM002472</t>
        </is>
      </c>
      <c r="B2476" s="33" t="inlineStr">
        <is>
          <t>SW014</t>
        </is>
      </c>
      <c r="C2476" s="33" t="inlineStr">
        <is>
          <t>Luke Hobson</t>
        </is>
      </c>
      <c r="D2476" s="33" t="inlineStr">
        <is>
          <t>SwimCloud</t>
        </is>
      </c>
      <c r="E2476" s="33" t="inlineStr">
        <is>
          <t>576911</t>
        </is>
      </c>
      <c r="F2476" s="33" t="inlineStr">
        <is>
          <t>176192550</t>
        </is>
      </c>
      <c r="G2476" s="51" t="n">
        <v>46143</v>
      </c>
      <c r="H2476" s="33" t="inlineStr">
        <is>
          <t>FG SFTL Fort Lauderdale Open</t>
        </is>
      </c>
      <c r="I2476" s="33" t="inlineStr">
        <is>
          <t>367638</t>
        </is>
      </c>
      <c r="J2476" s="33" t="inlineStr"/>
      <c r="K2476" s="33" t="inlineStr">
        <is>
          <t>FIN</t>
        </is>
      </c>
      <c r="L2476" s="35">
        <f>IF(K2476="FIN",3,IF(OR(K2476="SEM",K2476="SEMI"),2,IF(OR(K2476="PRE",K2476="HEAT"),1,IF(V2476="YES",4,2))))</f>
        <v/>
      </c>
      <c r="M2476" s="33" t="inlineStr">
        <is>
          <t>LCM</t>
        </is>
      </c>
      <c r="N2476" s="33" t="n">
        <v>200</v>
      </c>
      <c r="O2476" s="33" t="inlineStr">
        <is>
          <t>Free</t>
        </is>
      </c>
      <c r="P2476" s="33" t="inlineStr">
        <is>
          <t>200 Free</t>
        </is>
      </c>
      <c r="Q2476" s="33" t="inlineStr">
        <is>
          <t>LCM_200_FREE</t>
        </is>
      </c>
      <c r="R2476" s="36" t="n">
        <v>107.5</v>
      </c>
      <c r="S2476" s="35">
        <f>IF(R2476="","",IF(R2476&gt;=60,INT(R2476/60)&amp;":"&amp;TEXT(MOD(R2476,60),"00.00"),TEXT(R2476,"0.00")))</f>
        <v/>
      </c>
      <c r="T2476" s="52">
        <f>IFERROR((G2476-INDEX('01_Swimmers'!$E$5:$E$22,MATCH(B2476,'01_Swimmers'!$A$5:$A$22,0)))/'00_Control'!$B$10,"")</f>
        <v/>
      </c>
      <c r="U2476" s="35">
        <f>IF(T2476="","",INT(T2476))</f>
        <v/>
      </c>
      <c r="V2476" s="33" t="inlineStr">
        <is>
          <t>NO</t>
        </is>
      </c>
      <c r="W2476" s="33" t="inlineStr">
        <is>
          <t>YES</t>
        </is>
      </c>
      <c r="X2476" s="33" t="inlineStr">
        <is>
          <t>NO</t>
        </is>
      </c>
      <c r="Y2476" s="33" t="n">
        <v>2</v>
      </c>
      <c r="Z2476" s="33" t="n">
        <v>3</v>
      </c>
      <c r="AA2476" s="33" t="inlineStr">
        <is>
          <t>3</t>
        </is>
      </c>
      <c r="AB2476" s="33" t="inlineStr">
        <is>
          <t>https://www.swimcloud.com/results/367638/event/14/?id=176192550#time176192550</t>
        </is>
      </c>
      <c r="AC2476" s="33" t="inlineStr">
        <is>
          <t>SwimCloud API v6 2026-10-08</t>
        </is>
      </c>
      <c r="AD2476" s="33" t="inlineStr">
        <is>
          <t>Luke Hobson|2026-05-01|LCM|200|Free|107.5|FG SFTL Fort Lauderdale Open|FIN|False</t>
        </is>
      </c>
      <c r="AE2476" s="53">
        <f>G2476+L2476/1000+ROW()/1000000000</f>
        <v/>
      </c>
      <c r="AF2476" s="35">
        <f>IF(C2476&lt;&gt;"Grayson Coulter","",COUNTIFS($C$5:$C$2991,"Grayson Coulter",$Q$5:$Q$2991,Q2476,$AE$5:$AE$2991,"&lt;="&amp;AE2476,$R$5:$R$2991,"&lt;"&amp;R2476))</f>
        <v/>
      </c>
      <c r="AG2476" s="35">
        <f>IF(OR(C2476&lt;&gt;"Grayson Coulter",G2476&lt;'00_Control'!$B$7),"",--(AF2476&lt;5))</f>
        <v/>
      </c>
      <c r="AH2476" s="35">
        <f>IF(OR(C2476&lt;&gt;"Grayson Coulter",G2476&lt;'00_Control'!$B$7),"",--(AF2476&lt;10))</f>
        <v/>
      </c>
      <c r="AI2476" s="35">
        <f>IF(AND(C2476="Grayson Coulter",G2476&gt;='00_Control'!$B$7),"YES","NO")</f>
        <v/>
      </c>
      <c r="AJ2476" s="33" t="inlineStr">
        <is>
          <t>OK</t>
        </is>
      </c>
    </row>
    <row r="2477">
      <c r="A2477" s="33" t="inlineStr">
        <is>
          <t>SM002473</t>
        </is>
      </c>
      <c r="B2477" s="33" t="inlineStr">
        <is>
          <t>SW014</t>
        </is>
      </c>
      <c r="C2477" s="33" t="inlineStr">
        <is>
          <t>Luke Hobson</t>
        </is>
      </c>
      <c r="D2477" s="33" t="inlineStr">
        <is>
          <t>SwimCloud</t>
        </is>
      </c>
      <c r="E2477" s="33" t="inlineStr">
        <is>
          <t>576911</t>
        </is>
      </c>
      <c r="F2477" s="33" t="inlineStr">
        <is>
          <t>178614709</t>
        </is>
      </c>
      <c r="G2477" s="51" t="n">
        <v>46178</v>
      </c>
      <c r="H2477" s="33" t="inlineStr">
        <is>
          <t>ST TXLA Longhorn Aquatics Elite Invite</t>
        </is>
      </c>
      <c r="I2477" s="33" t="inlineStr">
        <is>
          <t>387803</t>
        </is>
      </c>
      <c r="J2477" s="33" t="inlineStr"/>
      <c r="K2477" s="33" t="inlineStr">
        <is>
          <t>PRE</t>
        </is>
      </c>
      <c r="L2477" s="35">
        <f>IF(K2477="FIN",3,IF(OR(K2477="SEM",K2477="SEMI"),2,IF(OR(K2477="PRE",K2477="HEAT"),1,IF(V2477="YES",4,2))))</f>
        <v/>
      </c>
      <c r="M2477" s="33" t="inlineStr">
        <is>
          <t>LCM</t>
        </is>
      </c>
      <c r="N2477" s="33" t="n">
        <v>200</v>
      </c>
      <c r="O2477" s="33" t="inlineStr">
        <is>
          <t>Free</t>
        </is>
      </c>
      <c r="P2477" s="33" t="inlineStr">
        <is>
          <t>200 Free</t>
        </is>
      </c>
      <c r="Q2477" s="33" t="inlineStr">
        <is>
          <t>LCM_200_FREE</t>
        </is>
      </c>
      <c r="R2477" s="36" t="n">
        <v>108.93</v>
      </c>
      <c r="S2477" s="35">
        <f>IF(R2477="","",IF(R2477&gt;=60,INT(R2477/60)&amp;":"&amp;TEXT(MOD(R2477,60),"00.00"),TEXT(R2477,"0.00")))</f>
        <v/>
      </c>
      <c r="T2477" s="52">
        <f>IFERROR((G2477-INDEX('01_Swimmers'!$E$5:$E$22,MATCH(B2477,'01_Swimmers'!$A$5:$A$22,0)))/'00_Control'!$B$10,"")</f>
        <v/>
      </c>
      <c r="U2477" s="35">
        <f>IF(T2477="","",INT(T2477))</f>
        <v/>
      </c>
      <c r="V2477" s="33" t="inlineStr">
        <is>
          <t>NO</t>
        </is>
      </c>
      <c r="W2477" s="33" t="inlineStr">
        <is>
          <t>YES</t>
        </is>
      </c>
      <c r="X2477" s="33" t="inlineStr">
        <is>
          <t>NO</t>
        </is>
      </c>
      <c r="Y2477" s="33" t="n">
        <v>2</v>
      </c>
      <c r="Z2477" s="33" t="n">
        <v>4</v>
      </c>
      <c r="AA2477" s="33" t="inlineStr">
        <is>
          <t>2</t>
        </is>
      </c>
      <c r="AB2477" s="33" t="inlineStr">
        <is>
          <t>https://www.swimcloud.com/results/387803/event/4/?id=178614709#time178614709</t>
        </is>
      </c>
      <c r="AC2477" s="33" t="inlineStr">
        <is>
          <t>SwimCloud API v6 2026-10-08</t>
        </is>
      </c>
      <c r="AD2477" s="33" t="inlineStr">
        <is>
          <t>Luke Hobson|2026-06-05|LCM|200|Free|108.93|ST TXLA Longhorn Aquatics Elite Invite|PRE|False</t>
        </is>
      </c>
      <c r="AE2477" s="53">
        <f>G2477+L2477/1000+ROW()/1000000000</f>
        <v/>
      </c>
      <c r="AF2477" s="35">
        <f>IF(C2477&lt;&gt;"Grayson Coulter","",COUNTIFS($C$5:$C$2991,"Grayson Coulter",$Q$5:$Q$2991,Q2477,$AE$5:$AE$2991,"&lt;="&amp;AE2477,$R$5:$R$2991,"&lt;"&amp;R2477))</f>
        <v/>
      </c>
      <c r="AG2477" s="35">
        <f>IF(OR(C2477&lt;&gt;"Grayson Coulter",G2477&lt;'00_Control'!$B$7),"",--(AF2477&lt;5))</f>
        <v/>
      </c>
      <c r="AH2477" s="35">
        <f>IF(OR(C2477&lt;&gt;"Grayson Coulter",G2477&lt;'00_Control'!$B$7),"",--(AF2477&lt;10))</f>
        <v/>
      </c>
      <c r="AI2477" s="35">
        <f>IF(AND(C2477="Grayson Coulter",G2477&gt;='00_Control'!$B$7),"YES","NO")</f>
        <v/>
      </c>
      <c r="AJ2477" s="33" t="inlineStr">
        <is>
          <t>OK</t>
        </is>
      </c>
    </row>
    <row r="2478">
      <c r="A2478" s="33" t="inlineStr">
        <is>
          <t>SM002474</t>
        </is>
      </c>
      <c r="B2478" s="33" t="inlineStr">
        <is>
          <t>SW014</t>
        </is>
      </c>
      <c r="C2478" s="33" t="inlineStr">
        <is>
          <t>Luke Hobson</t>
        </is>
      </c>
      <c r="D2478" s="33" t="inlineStr">
        <is>
          <t>SwimCloud</t>
        </is>
      </c>
      <c r="E2478" s="33" t="inlineStr">
        <is>
          <t>576911</t>
        </is>
      </c>
      <c r="F2478" s="33" t="inlineStr">
        <is>
          <t>178614710</t>
        </is>
      </c>
      <c r="G2478" s="51" t="n">
        <v>46178</v>
      </c>
      <c r="H2478" s="33" t="inlineStr">
        <is>
          <t>ST TXLA Longhorn Aquatics Elite Invite</t>
        </is>
      </c>
      <c r="I2478" s="33" t="inlineStr">
        <is>
          <t>387803</t>
        </is>
      </c>
      <c r="J2478" s="33" t="inlineStr"/>
      <c r="K2478" s="33" t="inlineStr">
        <is>
          <t>FIN</t>
        </is>
      </c>
      <c r="L2478" s="35">
        <f>IF(K2478="FIN",3,IF(OR(K2478="SEM",K2478="SEMI"),2,IF(OR(K2478="PRE",K2478="HEAT"),1,IF(V2478="YES",4,2))))</f>
        <v/>
      </c>
      <c r="M2478" s="33" t="inlineStr">
        <is>
          <t>LCM</t>
        </is>
      </c>
      <c r="N2478" s="33" t="n">
        <v>200</v>
      </c>
      <c r="O2478" s="33" t="inlineStr">
        <is>
          <t>Free</t>
        </is>
      </c>
      <c r="P2478" s="33" t="inlineStr">
        <is>
          <t>200 Free</t>
        </is>
      </c>
      <c r="Q2478" s="33" t="inlineStr">
        <is>
          <t>LCM_200_FREE</t>
        </is>
      </c>
      <c r="R2478" s="36" t="n">
        <v>108.9</v>
      </c>
      <c r="S2478" s="35">
        <f>IF(R2478="","",IF(R2478&gt;=60,INT(R2478/60)&amp;":"&amp;TEXT(MOD(R2478,60),"00.00"),TEXT(R2478,"0.00")))</f>
        <v/>
      </c>
      <c r="T2478" s="52">
        <f>IFERROR((G2478-INDEX('01_Swimmers'!$E$5:$E$22,MATCH(B2478,'01_Swimmers'!$A$5:$A$22,0)))/'00_Control'!$B$10,"")</f>
        <v/>
      </c>
      <c r="U2478" s="35">
        <f>IF(T2478="","",INT(T2478))</f>
        <v/>
      </c>
      <c r="V2478" s="33" t="inlineStr">
        <is>
          <t>NO</t>
        </is>
      </c>
      <c r="W2478" s="33" t="inlineStr">
        <is>
          <t>YES</t>
        </is>
      </c>
      <c r="X2478" s="33" t="inlineStr">
        <is>
          <t>NO</t>
        </is>
      </c>
      <c r="Y2478" s="33" t="n">
        <v>2</v>
      </c>
      <c r="Z2478" s="33" t="n">
        <v>5</v>
      </c>
      <c r="AA2478" s="33" t="inlineStr">
        <is>
          <t>3</t>
        </is>
      </c>
      <c r="AB2478" s="33" t="inlineStr">
        <is>
          <t>https://www.swimcloud.com/results/387803/event/4/?id=178614710#time178614710</t>
        </is>
      </c>
      <c r="AC2478" s="33" t="inlineStr">
        <is>
          <t>SwimCloud API v6 2026-10-08</t>
        </is>
      </c>
      <c r="AD2478" s="33" t="inlineStr">
        <is>
          <t>Luke Hobson|2026-06-05|LCM|200|Free|108.9|ST TXLA Longhorn Aquatics Elite Invite|FIN|False</t>
        </is>
      </c>
      <c r="AE2478" s="53">
        <f>G2478+L2478/1000+ROW()/1000000000</f>
        <v/>
      </c>
      <c r="AF2478" s="35">
        <f>IF(C2478&lt;&gt;"Grayson Coulter","",COUNTIFS($C$5:$C$2991,"Grayson Coulter",$Q$5:$Q$2991,Q2478,$AE$5:$AE$2991,"&lt;="&amp;AE2478,$R$5:$R$2991,"&lt;"&amp;R2478))</f>
        <v/>
      </c>
      <c r="AG2478" s="35">
        <f>IF(OR(C2478&lt;&gt;"Grayson Coulter",G2478&lt;'00_Control'!$B$7),"",--(AF2478&lt;5))</f>
        <v/>
      </c>
      <c r="AH2478" s="35">
        <f>IF(OR(C2478&lt;&gt;"Grayson Coulter",G2478&lt;'00_Control'!$B$7),"",--(AF2478&lt;10))</f>
        <v/>
      </c>
      <c r="AI2478" s="35">
        <f>IF(AND(C2478="Grayson Coulter",G2478&gt;='00_Control'!$B$7),"YES","NO")</f>
        <v/>
      </c>
      <c r="AJ2478" s="33" t="inlineStr">
        <is>
          <t>OK</t>
        </is>
      </c>
    </row>
    <row r="2479">
      <c r="A2479" s="33" t="inlineStr">
        <is>
          <t>SM002475</t>
        </is>
      </c>
      <c r="B2479" s="33" t="inlineStr">
        <is>
          <t>SW014</t>
        </is>
      </c>
      <c r="C2479" s="33" t="inlineStr">
        <is>
          <t>Luke Hobson</t>
        </is>
      </c>
      <c r="D2479" s="33" t="inlineStr">
        <is>
          <t>SwimCloud</t>
        </is>
      </c>
      <c r="E2479" s="33" t="inlineStr">
        <is>
          <t>576911</t>
        </is>
      </c>
      <c r="F2479" s="33" t="inlineStr">
        <is>
          <t>178614752</t>
        </is>
      </c>
      <c r="G2479" s="51" t="n">
        <v>46179</v>
      </c>
      <c r="H2479" s="33" t="inlineStr">
        <is>
          <t>ST TXLA Longhorn Aquatics Elite Invite</t>
        </is>
      </c>
      <c r="I2479" s="33" t="inlineStr">
        <is>
          <t>387803</t>
        </is>
      </c>
      <c r="J2479" s="33" t="inlineStr"/>
      <c r="K2479" s="33" t="inlineStr">
        <is>
          <t>PRE</t>
        </is>
      </c>
      <c r="L2479" s="35">
        <f>IF(K2479="FIN",3,IF(OR(K2479="SEM",K2479="SEMI"),2,IF(OR(K2479="PRE",K2479="HEAT"),1,IF(V2479="YES",4,2))))</f>
        <v/>
      </c>
      <c r="M2479" s="33" t="inlineStr">
        <is>
          <t>LCM</t>
        </is>
      </c>
      <c r="N2479" s="33" t="n">
        <v>400</v>
      </c>
      <c r="O2479" s="33" t="inlineStr">
        <is>
          <t>Free</t>
        </is>
      </c>
      <c r="P2479" s="33" t="inlineStr">
        <is>
          <t>400 Free</t>
        </is>
      </c>
      <c r="Q2479" s="33" t="inlineStr">
        <is>
          <t>LCM_400_FREE</t>
        </is>
      </c>
      <c r="R2479" s="36" t="n">
        <v>237.26</v>
      </c>
      <c r="S2479" s="35">
        <f>IF(R2479="","",IF(R2479&gt;=60,INT(R2479/60)&amp;":"&amp;TEXT(MOD(R2479,60),"00.00"),TEXT(R2479,"0.00")))</f>
        <v/>
      </c>
      <c r="T2479" s="52">
        <f>IFERROR((G2479-INDEX('01_Swimmers'!$E$5:$E$22,MATCH(B2479,'01_Swimmers'!$A$5:$A$22,0)))/'00_Control'!$B$10,"")</f>
        <v/>
      </c>
      <c r="U2479" s="35">
        <f>IF(T2479="","",INT(T2479))</f>
        <v/>
      </c>
      <c r="V2479" s="33" t="inlineStr">
        <is>
          <t>NO</t>
        </is>
      </c>
      <c r="W2479" s="33" t="inlineStr">
        <is>
          <t>YES</t>
        </is>
      </c>
      <c r="X2479" s="33" t="inlineStr">
        <is>
          <t>NO</t>
        </is>
      </c>
      <c r="Y2479" s="33" t="n">
        <v>2</v>
      </c>
      <c r="Z2479" s="33" t="n">
        <v>5</v>
      </c>
      <c r="AA2479" s="33" t="inlineStr">
        <is>
          <t>2</t>
        </is>
      </c>
      <c r="AB2479" s="33" t="inlineStr">
        <is>
          <t>https://www.swimcloud.com/results/387803/event/24/?id=178614752#time178614752</t>
        </is>
      </c>
      <c r="AC2479" s="33" t="inlineStr">
        <is>
          <t>SwimCloud API v6 2026-10-08</t>
        </is>
      </c>
      <c r="AD2479" s="33" t="inlineStr">
        <is>
          <t>Luke Hobson|2026-06-06|LCM|400|Free|237.26|ST TXLA Longhorn Aquatics Elite Invite|PRE|False</t>
        </is>
      </c>
      <c r="AE2479" s="53">
        <f>G2479+L2479/1000+ROW()/1000000000</f>
        <v/>
      </c>
      <c r="AF2479" s="35">
        <f>IF(C2479&lt;&gt;"Grayson Coulter","",COUNTIFS($C$5:$C$2991,"Grayson Coulter",$Q$5:$Q$2991,Q2479,$AE$5:$AE$2991,"&lt;="&amp;AE2479,$R$5:$R$2991,"&lt;"&amp;R2479))</f>
        <v/>
      </c>
      <c r="AG2479" s="35">
        <f>IF(OR(C2479&lt;&gt;"Grayson Coulter",G2479&lt;'00_Control'!$B$7),"",--(AF2479&lt;5))</f>
        <v/>
      </c>
      <c r="AH2479" s="35">
        <f>IF(OR(C2479&lt;&gt;"Grayson Coulter",G2479&lt;'00_Control'!$B$7),"",--(AF2479&lt;10))</f>
        <v/>
      </c>
      <c r="AI2479" s="35">
        <f>IF(AND(C2479="Grayson Coulter",G2479&gt;='00_Control'!$B$7),"YES","NO")</f>
        <v/>
      </c>
      <c r="AJ2479" s="33" t="inlineStr">
        <is>
          <t>OK</t>
        </is>
      </c>
    </row>
    <row r="2480">
      <c r="A2480" s="33" t="inlineStr">
        <is>
          <t>SM002476</t>
        </is>
      </c>
      <c r="B2480" s="33" t="inlineStr">
        <is>
          <t>SW014</t>
        </is>
      </c>
      <c r="C2480" s="33" t="inlineStr">
        <is>
          <t>Luke Hobson</t>
        </is>
      </c>
      <c r="D2480" s="33" t="inlineStr">
        <is>
          <t>SwimCloud</t>
        </is>
      </c>
      <c r="E2480" s="33" t="inlineStr">
        <is>
          <t>576911</t>
        </is>
      </c>
      <c r="F2480" s="33" t="inlineStr">
        <is>
          <t>178614753</t>
        </is>
      </c>
      <c r="G2480" s="51" t="n">
        <v>46179</v>
      </c>
      <c r="H2480" s="33" t="inlineStr">
        <is>
          <t>ST TXLA Longhorn Aquatics Elite Invite</t>
        </is>
      </c>
      <c r="I2480" s="33" t="inlineStr">
        <is>
          <t>387803</t>
        </is>
      </c>
      <c r="J2480" s="33" t="inlineStr"/>
      <c r="K2480" s="33" t="inlineStr">
        <is>
          <t>FIN</t>
        </is>
      </c>
      <c r="L2480" s="35">
        <f>IF(K2480="FIN",3,IF(OR(K2480="SEM",K2480="SEMI"),2,IF(OR(K2480="PRE",K2480="HEAT"),1,IF(V2480="YES",4,2))))</f>
        <v/>
      </c>
      <c r="M2480" s="33" t="inlineStr">
        <is>
          <t>LCM</t>
        </is>
      </c>
      <c r="N2480" s="33" t="n">
        <v>400</v>
      </c>
      <c r="O2480" s="33" t="inlineStr">
        <is>
          <t>Free</t>
        </is>
      </c>
      <c r="P2480" s="33" t="inlineStr">
        <is>
          <t>400 Free</t>
        </is>
      </c>
      <c r="Q2480" s="33" t="inlineStr">
        <is>
          <t>LCM_400_FREE</t>
        </is>
      </c>
      <c r="R2480" s="36" t="n">
        <v>232.57</v>
      </c>
      <c r="S2480" s="35">
        <f>IF(R2480="","",IF(R2480&gt;=60,INT(R2480/60)&amp;":"&amp;TEXT(MOD(R2480,60),"00.00"),TEXT(R2480,"0.00")))</f>
        <v/>
      </c>
      <c r="T2480" s="52">
        <f>IFERROR((G2480-INDEX('01_Swimmers'!$E$5:$E$22,MATCH(B2480,'01_Swimmers'!$A$5:$A$22,0)))/'00_Control'!$B$10,"")</f>
        <v/>
      </c>
      <c r="U2480" s="35">
        <f>IF(T2480="","",INT(T2480))</f>
        <v/>
      </c>
      <c r="V2480" s="33" t="inlineStr">
        <is>
          <t>NO</t>
        </is>
      </c>
      <c r="W2480" s="33" t="inlineStr">
        <is>
          <t>YES</t>
        </is>
      </c>
      <c r="X2480" s="33" t="inlineStr">
        <is>
          <t>NO</t>
        </is>
      </c>
      <c r="Y2480" s="33" t="n">
        <v>2</v>
      </c>
      <c r="Z2480" s="33" t="n">
        <v>5</v>
      </c>
      <c r="AA2480" s="33" t="inlineStr">
        <is>
          <t>2</t>
        </is>
      </c>
      <c r="AB2480" s="33" t="inlineStr">
        <is>
          <t>https://www.swimcloud.com/results/387803/event/24/?id=178614753#time178614753</t>
        </is>
      </c>
      <c r="AC2480" s="33" t="inlineStr">
        <is>
          <t>SwimCloud API v6 2026-10-08</t>
        </is>
      </c>
      <c r="AD2480" s="33" t="inlineStr">
        <is>
          <t>Luke Hobson|2026-06-06|LCM|400|Free|232.57|ST TXLA Longhorn Aquatics Elite Invite|FIN|False</t>
        </is>
      </c>
      <c r="AE2480" s="53">
        <f>G2480+L2480/1000+ROW()/1000000000</f>
        <v/>
      </c>
      <c r="AF2480" s="35">
        <f>IF(C2480&lt;&gt;"Grayson Coulter","",COUNTIFS($C$5:$C$2991,"Grayson Coulter",$Q$5:$Q$2991,Q2480,$AE$5:$AE$2991,"&lt;="&amp;AE2480,$R$5:$R$2991,"&lt;"&amp;R2480))</f>
        <v/>
      </c>
      <c r="AG2480" s="35">
        <f>IF(OR(C2480&lt;&gt;"Grayson Coulter",G2480&lt;'00_Control'!$B$7),"",--(AF2480&lt;5))</f>
        <v/>
      </c>
      <c r="AH2480" s="35">
        <f>IF(OR(C2480&lt;&gt;"Grayson Coulter",G2480&lt;'00_Control'!$B$7),"",--(AF2480&lt;10))</f>
        <v/>
      </c>
      <c r="AI2480" s="35">
        <f>IF(AND(C2480="Grayson Coulter",G2480&gt;='00_Control'!$B$7),"YES","NO")</f>
        <v/>
      </c>
      <c r="AJ2480" s="33" t="inlineStr">
        <is>
          <t>OK</t>
        </is>
      </c>
    </row>
    <row r="2481">
      <c r="A2481" s="33" t="inlineStr">
        <is>
          <t>SM002477</t>
        </is>
      </c>
      <c r="B2481" s="33" t="inlineStr">
        <is>
          <t>SW014</t>
        </is>
      </c>
      <c r="C2481" s="33" t="inlineStr">
        <is>
          <t>Luke Hobson</t>
        </is>
      </c>
      <c r="D2481" s="33" t="inlineStr">
        <is>
          <t>SwimCloud</t>
        </is>
      </c>
      <c r="E2481" s="33" t="inlineStr">
        <is>
          <t>576911</t>
        </is>
      </c>
      <c r="F2481" s="33" t="inlineStr">
        <is>
          <t>178614822</t>
        </is>
      </c>
      <c r="G2481" s="51" t="n">
        <v>46180</v>
      </c>
      <c r="H2481" s="33" t="inlineStr">
        <is>
          <t>ST TXLA Longhorn Aquatics Elite Invite</t>
        </is>
      </c>
      <c r="I2481" s="33" t="inlineStr">
        <is>
          <t>387803</t>
        </is>
      </c>
      <c r="J2481" s="33" t="inlineStr"/>
      <c r="K2481" s="33" t="inlineStr">
        <is>
          <t>PRE</t>
        </is>
      </c>
      <c r="L2481" s="35">
        <f>IF(K2481="FIN",3,IF(OR(K2481="SEM",K2481="SEMI"),2,IF(OR(K2481="PRE",K2481="HEAT"),1,IF(V2481="YES",4,2))))</f>
        <v/>
      </c>
      <c r="M2481" s="33" t="inlineStr">
        <is>
          <t>LCM</t>
        </is>
      </c>
      <c r="N2481" s="33" t="n">
        <v>100</v>
      </c>
      <c r="O2481" s="33" t="inlineStr">
        <is>
          <t>Free</t>
        </is>
      </c>
      <c r="P2481" s="33" t="inlineStr">
        <is>
          <t>100 Free</t>
        </is>
      </c>
      <c r="Q2481" s="33" t="inlineStr">
        <is>
          <t>LCM_100_FREE</t>
        </is>
      </c>
      <c r="R2481" s="36" t="n">
        <v>50.4</v>
      </c>
      <c r="S2481" s="35">
        <f>IF(R2481="","",IF(R2481&gt;=60,INT(R2481/60)&amp;":"&amp;TEXT(MOD(R2481,60),"00.00"),TEXT(R2481,"0.00")))</f>
        <v/>
      </c>
      <c r="T2481" s="52">
        <f>IFERROR((G2481-INDEX('01_Swimmers'!$E$5:$E$22,MATCH(B2481,'01_Swimmers'!$A$5:$A$22,0)))/'00_Control'!$B$10,"")</f>
        <v/>
      </c>
      <c r="U2481" s="35">
        <f>IF(T2481="","",INT(T2481))</f>
        <v/>
      </c>
      <c r="V2481" s="33" t="inlineStr">
        <is>
          <t>NO</t>
        </is>
      </c>
      <c r="W2481" s="33" t="inlineStr">
        <is>
          <t>YES</t>
        </is>
      </c>
      <c r="X2481" s="33" t="inlineStr">
        <is>
          <t>NO</t>
        </is>
      </c>
      <c r="Y2481" s="33" t="n">
        <v>1</v>
      </c>
      <c r="Z2481" s="33" t="n">
        <v>4</v>
      </c>
      <c r="AA2481" s="33" t="inlineStr">
        <is>
          <t>4</t>
        </is>
      </c>
      <c r="AB2481" s="33" t="inlineStr">
        <is>
          <t>https://www.swimcloud.com/results/387803/event/34/?id=178614822#time178614822</t>
        </is>
      </c>
      <c r="AC2481" s="33" t="inlineStr">
        <is>
          <t>SwimCloud API v6 2026-10-08</t>
        </is>
      </c>
      <c r="AD2481" s="33" t="inlineStr">
        <is>
          <t>Luke Hobson|2026-06-07|LCM|100|Free|50.4|ST TXLA Longhorn Aquatics Elite Invite|PRE|False</t>
        </is>
      </c>
      <c r="AE2481" s="53">
        <f>G2481+L2481/1000+ROW()/1000000000</f>
        <v/>
      </c>
      <c r="AF2481" s="35">
        <f>IF(C2481&lt;&gt;"Grayson Coulter","",COUNTIFS($C$5:$C$2991,"Grayson Coulter",$Q$5:$Q$2991,Q2481,$AE$5:$AE$2991,"&lt;="&amp;AE2481,$R$5:$R$2991,"&lt;"&amp;R2481))</f>
        <v/>
      </c>
      <c r="AG2481" s="35">
        <f>IF(OR(C2481&lt;&gt;"Grayson Coulter",G2481&lt;'00_Control'!$B$7),"",--(AF2481&lt;5))</f>
        <v/>
      </c>
      <c r="AH2481" s="35">
        <f>IF(OR(C2481&lt;&gt;"Grayson Coulter",G2481&lt;'00_Control'!$B$7),"",--(AF2481&lt;10))</f>
        <v/>
      </c>
      <c r="AI2481" s="35">
        <f>IF(AND(C2481="Grayson Coulter",G2481&gt;='00_Control'!$B$7),"YES","NO")</f>
        <v/>
      </c>
      <c r="AJ2481" s="33" t="inlineStr">
        <is>
          <t>OK</t>
        </is>
      </c>
    </row>
    <row r="2482">
      <c r="A2482" s="33" t="inlineStr">
        <is>
          <t>SM002478</t>
        </is>
      </c>
      <c r="B2482" s="33" t="inlineStr">
        <is>
          <t>SW014</t>
        </is>
      </c>
      <c r="C2482" s="33" t="inlineStr">
        <is>
          <t>Luke Hobson</t>
        </is>
      </c>
      <c r="D2482" s="33" t="inlineStr">
        <is>
          <t>SwimCloud</t>
        </is>
      </c>
      <c r="E2482" s="33" t="inlineStr">
        <is>
          <t>576911</t>
        </is>
      </c>
      <c r="F2482" s="33" t="inlineStr">
        <is>
          <t>178614823</t>
        </is>
      </c>
      <c r="G2482" s="51" t="n">
        <v>46180</v>
      </c>
      <c r="H2482" s="33" t="inlineStr">
        <is>
          <t>ST TXLA Longhorn Aquatics Elite Invite</t>
        </is>
      </c>
      <c r="I2482" s="33" t="inlineStr">
        <is>
          <t>387803</t>
        </is>
      </c>
      <c r="J2482" s="33" t="inlineStr"/>
      <c r="K2482" s="33" t="inlineStr">
        <is>
          <t>FIN</t>
        </is>
      </c>
      <c r="L2482" s="35">
        <f>IF(K2482="FIN",3,IF(OR(K2482="SEM",K2482="SEMI"),2,IF(OR(K2482="PRE",K2482="HEAT"),1,IF(V2482="YES",4,2))))</f>
        <v/>
      </c>
      <c r="M2482" s="33" t="inlineStr">
        <is>
          <t>LCM</t>
        </is>
      </c>
      <c r="N2482" s="33" t="n">
        <v>100</v>
      </c>
      <c r="O2482" s="33" t="inlineStr">
        <is>
          <t>Free</t>
        </is>
      </c>
      <c r="P2482" s="33" t="inlineStr">
        <is>
          <t>100 Free</t>
        </is>
      </c>
      <c r="Q2482" s="33" t="inlineStr">
        <is>
          <t>LCM_100_FREE</t>
        </is>
      </c>
      <c r="R2482" s="36" t="n">
        <v>49.66</v>
      </c>
      <c r="S2482" s="35">
        <f>IF(R2482="","",IF(R2482&gt;=60,INT(R2482/60)&amp;":"&amp;TEXT(MOD(R2482,60),"00.00"),TEXT(R2482,"0.00")))</f>
        <v/>
      </c>
      <c r="T2482" s="52">
        <f>IFERROR((G2482-INDEX('01_Swimmers'!$E$5:$E$22,MATCH(B2482,'01_Swimmers'!$A$5:$A$22,0)))/'00_Control'!$B$10,"")</f>
        <v/>
      </c>
      <c r="U2482" s="35">
        <f>IF(T2482="","",INT(T2482))</f>
        <v/>
      </c>
      <c r="V2482" s="33" t="inlineStr">
        <is>
          <t>NO</t>
        </is>
      </c>
      <c r="W2482" s="33" t="inlineStr">
        <is>
          <t>YES</t>
        </is>
      </c>
      <c r="X2482" s="33" t="inlineStr">
        <is>
          <t>NO</t>
        </is>
      </c>
      <c r="Y2482" s="33" t="n">
        <v>3</v>
      </c>
      <c r="Z2482" s="33" t="n">
        <v>6</v>
      </c>
      <c r="AA2482" s="33" t="inlineStr">
        <is>
          <t>3</t>
        </is>
      </c>
      <c r="AB2482" s="33" t="inlineStr">
        <is>
          <t>https://www.swimcloud.com/results/387803/event/34/?id=178614823#time178614823</t>
        </is>
      </c>
      <c r="AC2482" s="33" t="inlineStr">
        <is>
          <t>SwimCloud API v6 2026-10-08</t>
        </is>
      </c>
      <c r="AD2482" s="33" t="inlineStr">
        <is>
          <t>Luke Hobson|2026-06-07|LCM|100|Free|49.66|ST TXLA Longhorn Aquatics Elite Invite|FIN|False</t>
        </is>
      </c>
      <c r="AE2482" s="53">
        <f>G2482+L2482/1000+ROW()/1000000000</f>
        <v/>
      </c>
      <c r="AF2482" s="35">
        <f>IF(C2482&lt;&gt;"Grayson Coulter","",COUNTIFS($C$5:$C$2991,"Grayson Coulter",$Q$5:$Q$2991,Q2482,$AE$5:$AE$2991,"&lt;="&amp;AE2482,$R$5:$R$2991,"&lt;"&amp;R2482))</f>
        <v/>
      </c>
      <c r="AG2482" s="35">
        <f>IF(OR(C2482&lt;&gt;"Grayson Coulter",G2482&lt;'00_Control'!$B$7),"",--(AF2482&lt;5))</f>
        <v/>
      </c>
      <c r="AH2482" s="35">
        <f>IF(OR(C2482&lt;&gt;"Grayson Coulter",G2482&lt;'00_Control'!$B$7),"",--(AF2482&lt;10))</f>
        <v/>
      </c>
      <c r="AI2482" s="35">
        <f>IF(AND(C2482="Grayson Coulter",G2482&gt;='00_Control'!$B$7),"YES","NO")</f>
        <v/>
      </c>
      <c r="AJ2482" s="33" t="inlineStr">
        <is>
          <t>OK</t>
        </is>
      </c>
    </row>
    <row r="2483">
      <c r="A2483" s="33" t="inlineStr">
        <is>
          <t>SM002479</t>
        </is>
      </c>
      <c r="B2483" s="33" t="inlineStr">
        <is>
          <t>SW014</t>
        </is>
      </c>
      <c r="C2483" s="33" t="inlineStr">
        <is>
          <t>Luke Hobson</t>
        </is>
      </c>
      <c r="D2483" s="33" t="inlineStr">
        <is>
          <t>SwimCloud</t>
        </is>
      </c>
      <c r="E2483" s="33" t="inlineStr">
        <is>
          <t>576911</t>
        </is>
      </c>
      <c r="F2483" s="33" t="inlineStr">
        <is>
          <t>181170732</t>
        </is>
      </c>
      <c r="G2483" s="51" t="n">
        <v>46218</v>
      </c>
      <c r="H2483" s="33" t="inlineStr">
        <is>
          <t>Speedo Sectionals - Austin</t>
        </is>
      </c>
      <c r="I2483" s="33" t="inlineStr">
        <is>
          <t>386679</t>
        </is>
      </c>
      <c r="J2483" s="33" t="inlineStr"/>
      <c r="K2483" s="33" t="inlineStr">
        <is>
          <t>PRE</t>
        </is>
      </c>
      <c r="L2483" s="35">
        <f>IF(K2483="FIN",3,IF(OR(K2483="SEM",K2483="SEMI"),2,IF(OR(K2483="PRE",K2483="HEAT"),1,IF(V2483="YES",4,2))))</f>
        <v/>
      </c>
      <c r="M2483" s="33" t="inlineStr">
        <is>
          <t>LCM</t>
        </is>
      </c>
      <c r="N2483" s="33" t="n">
        <v>100</v>
      </c>
      <c r="O2483" s="33" t="inlineStr">
        <is>
          <t>Free</t>
        </is>
      </c>
      <c r="P2483" s="33" t="inlineStr">
        <is>
          <t>100 Free</t>
        </is>
      </c>
      <c r="Q2483" s="33" t="inlineStr">
        <is>
          <t>LCM_100_FREE</t>
        </is>
      </c>
      <c r="R2483" s="36" t="n">
        <v>50.61</v>
      </c>
      <c r="S2483" s="35">
        <f>IF(R2483="","",IF(R2483&gt;=60,INT(R2483/60)&amp;":"&amp;TEXT(MOD(R2483,60),"00.00"),TEXT(R2483,"0.00")))</f>
        <v/>
      </c>
      <c r="T2483" s="52">
        <f>IFERROR((G2483-INDEX('01_Swimmers'!$E$5:$E$22,MATCH(B2483,'01_Swimmers'!$A$5:$A$22,0)))/'00_Control'!$B$10,"")</f>
        <v/>
      </c>
      <c r="U2483" s="35">
        <f>IF(T2483="","",INT(T2483))</f>
        <v/>
      </c>
      <c r="V2483" s="33" t="inlineStr">
        <is>
          <t>NO</t>
        </is>
      </c>
      <c r="W2483" s="33" t="inlineStr">
        <is>
          <t>YES</t>
        </is>
      </c>
      <c r="X2483" s="33" t="inlineStr">
        <is>
          <t>NO</t>
        </is>
      </c>
      <c r="Y2483" s="33" t="n">
        <v>3</v>
      </c>
      <c r="Z2483" s="33" t="n">
        <v>4</v>
      </c>
      <c r="AA2483" s="33" t="inlineStr">
        <is>
          <t>4</t>
        </is>
      </c>
      <c r="AB2483" s="33" t="inlineStr">
        <is>
          <t>https://www.swimcloud.com/results/386679/event/2/?id=181170732#time181170732</t>
        </is>
      </c>
      <c r="AC2483" s="33" t="inlineStr">
        <is>
          <t>SwimCloud API v6 2026-10-08</t>
        </is>
      </c>
      <c r="AD2483" s="33" t="inlineStr">
        <is>
          <t>Luke Hobson|2026-07-15|LCM|100|Free|50.61|Speedo Sectionals - Austin|PRE|False</t>
        </is>
      </c>
      <c r="AE2483" s="53">
        <f>G2483+L2483/1000+ROW()/1000000000</f>
        <v/>
      </c>
      <c r="AF2483" s="35">
        <f>IF(C2483&lt;&gt;"Grayson Coulter","",COUNTIFS($C$5:$C$2991,"Grayson Coulter",$Q$5:$Q$2991,Q2483,$AE$5:$AE$2991,"&lt;="&amp;AE2483,$R$5:$R$2991,"&lt;"&amp;R2483))</f>
        <v/>
      </c>
      <c r="AG2483" s="35">
        <f>IF(OR(C2483&lt;&gt;"Grayson Coulter",G2483&lt;'00_Control'!$B$7),"",--(AF2483&lt;5))</f>
        <v/>
      </c>
      <c r="AH2483" s="35">
        <f>IF(OR(C2483&lt;&gt;"Grayson Coulter",G2483&lt;'00_Control'!$B$7),"",--(AF2483&lt;10))</f>
        <v/>
      </c>
      <c r="AI2483" s="35">
        <f>IF(AND(C2483="Grayson Coulter",G2483&gt;='00_Control'!$B$7),"YES","NO")</f>
        <v/>
      </c>
      <c r="AJ2483" s="33" t="inlineStr">
        <is>
          <t>OK</t>
        </is>
      </c>
    </row>
    <row r="2484">
      <c r="A2484" s="33" t="inlineStr">
        <is>
          <t>SM002480</t>
        </is>
      </c>
      <c r="B2484" s="33" t="inlineStr">
        <is>
          <t>SW014</t>
        </is>
      </c>
      <c r="C2484" s="33" t="inlineStr">
        <is>
          <t>Luke Hobson</t>
        </is>
      </c>
      <c r="D2484" s="33" t="inlineStr">
        <is>
          <t>SwimCloud</t>
        </is>
      </c>
      <c r="E2484" s="33" t="inlineStr">
        <is>
          <t>576911</t>
        </is>
      </c>
      <c r="F2484" s="33" t="inlineStr">
        <is>
          <t>181170733</t>
        </is>
      </c>
      <c r="G2484" s="51" t="n">
        <v>46218</v>
      </c>
      <c r="H2484" s="33" t="inlineStr">
        <is>
          <t>Speedo Sectionals - Austin</t>
        </is>
      </c>
      <c r="I2484" s="33" t="inlineStr">
        <is>
          <t>386679</t>
        </is>
      </c>
      <c r="J2484" s="33" t="inlineStr"/>
      <c r="K2484" s="33" t="inlineStr">
        <is>
          <t>FIN</t>
        </is>
      </c>
      <c r="L2484" s="35">
        <f>IF(K2484="FIN",3,IF(OR(K2484="SEM",K2484="SEMI"),2,IF(OR(K2484="PRE",K2484="HEAT"),1,IF(V2484="YES",4,2))))</f>
        <v/>
      </c>
      <c r="M2484" s="33" t="inlineStr">
        <is>
          <t>LCM</t>
        </is>
      </c>
      <c r="N2484" s="33" t="n">
        <v>100</v>
      </c>
      <c r="O2484" s="33" t="inlineStr">
        <is>
          <t>Free</t>
        </is>
      </c>
      <c r="P2484" s="33" t="inlineStr">
        <is>
          <t>100 Free</t>
        </is>
      </c>
      <c r="Q2484" s="33" t="inlineStr">
        <is>
          <t>LCM_100_FREE</t>
        </is>
      </c>
      <c r="R2484" s="36" t="n">
        <v>49.98</v>
      </c>
      <c r="S2484" s="35">
        <f>IF(R2484="","",IF(R2484&gt;=60,INT(R2484/60)&amp;":"&amp;TEXT(MOD(R2484,60),"00.00"),TEXT(R2484,"0.00")))</f>
        <v/>
      </c>
      <c r="T2484" s="52">
        <f>IFERROR((G2484-INDEX('01_Swimmers'!$E$5:$E$22,MATCH(B2484,'01_Swimmers'!$A$5:$A$22,0)))/'00_Control'!$B$10,"")</f>
        <v/>
      </c>
      <c r="U2484" s="35">
        <f>IF(T2484="","",INT(T2484))</f>
        <v/>
      </c>
      <c r="V2484" s="33" t="inlineStr">
        <is>
          <t>NO</t>
        </is>
      </c>
      <c r="W2484" s="33" t="inlineStr">
        <is>
          <t>YES</t>
        </is>
      </c>
      <c r="X2484" s="33" t="inlineStr">
        <is>
          <t>NO</t>
        </is>
      </c>
      <c r="Y2484" s="33" t="n">
        <v>5</v>
      </c>
      <c r="Z2484" s="33" t="n">
        <v>6</v>
      </c>
      <c r="AA2484" s="33" t="inlineStr">
        <is>
          <t>2</t>
        </is>
      </c>
      <c r="AB2484" s="33" t="inlineStr">
        <is>
          <t>https://www.swimcloud.com/results/386679/event/2/?id=181170733#time181170733</t>
        </is>
      </c>
      <c r="AC2484" s="33" t="inlineStr">
        <is>
          <t>SwimCloud API v6 2026-10-08</t>
        </is>
      </c>
      <c r="AD2484" s="33" t="inlineStr">
        <is>
          <t>Luke Hobson|2026-07-15|LCM|100|Free|49.98|Speedo Sectionals - Austin|FIN|False</t>
        </is>
      </c>
      <c r="AE2484" s="53">
        <f>G2484+L2484/1000+ROW()/1000000000</f>
        <v/>
      </c>
      <c r="AF2484" s="35">
        <f>IF(C2484&lt;&gt;"Grayson Coulter","",COUNTIFS($C$5:$C$2991,"Grayson Coulter",$Q$5:$Q$2991,Q2484,$AE$5:$AE$2991,"&lt;="&amp;AE2484,$R$5:$R$2991,"&lt;"&amp;R2484))</f>
        <v/>
      </c>
      <c r="AG2484" s="35">
        <f>IF(OR(C2484&lt;&gt;"Grayson Coulter",G2484&lt;'00_Control'!$B$7),"",--(AF2484&lt;5))</f>
        <v/>
      </c>
      <c r="AH2484" s="35">
        <f>IF(OR(C2484&lt;&gt;"Grayson Coulter",G2484&lt;'00_Control'!$B$7),"",--(AF2484&lt;10))</f>
        <v/>
      </c>
      <c r="AI2484" s="35">
        <f>IF(AND(C2484="Grayson Coulter",G2484&gt;='00_Control'!$B$7),"YES","NO")</f>
        <v/>
      </c>
      <c r="AJ2484" s="33" t="inlineStr">
        <is>
          <t>OK</t>
        </is>
      </c>
    </row>
    <row r="2485">
      <c r="A2485" s="33" t="inlineStr">
        <is>
          <t>SM002481</t>
        </is>
      </c>
      <c r="B2485" s="33" t="inlineStr">
        <is>
          <t>SW014</t>
        </is>
      </c>
      <c r="C2485" s="33" t="inlineStr">
        <is>
          <t>Luke Hobson</t>
        </is>
      </c>
      <c r="D2485" s="33" t="inlineStr">
        <is>
          <t>SwimCloud</t>
        </is>
      </c>
      <c r="E2485" s="33" t="inlineStr">
        <is>
          <t>576911</t>
        </is>
      </c>
      <c r="F2485" s="33" t="inlineStr">
        <is>
          <t>181171171</t>
        </is>
      </c>
      <c r="G2485" s="51" t="n">
        <v>46219</v>
      </c>
      <c r="H2485" s="33" t="inlineStr">
        <is>
          <t>Speedo Sectionals - Austin</t>
        </is>
      </c>
      <c r="I2485" s="33" t="inlineStr">
        <is>
          <t>386679</t>
        </is>
      </c>
      <c r="J2485" s="33" t="inlineStr"/>
      <c r="K2485" s="33" t="inlineStr">
        <is>
          <t>PRE</t>
        </is>
      </c>
      <c r="L2485" s="35">
        <f>IF(K2485="FIN",3,IF(OR(K2485="SEM",K2485="SEMI"),2,IF(OR(K2485="PRE",K2485="HEAT"),1,IF(V2485="YES",4,2))))</f>
        <v/>
      </c>
      <c r="M2485" s="33" t="inlineStr">
        <is>
          <t>LCM</t>
        </is>
      </c>
      <c r="N2485" s="33" t="n">
        <v>200</v>
      </c>
      <c r="O2485" s="33" t="inlineStr">
        <is>
          <t>Free</t>
        </is>
      </c>
      <c r="P2485" s="33" t="inlineStr">
        <is>
          <t>200 Free</t>
        </is>
      </c>
      <c r="Q2485" s="33" t="inlineStr">
        <is>
          <t>LCM_200_FREE</t>
        </is>
      </c>
      <c r="R2485" s="36" t="n">
        <v>110.62</v>
      </c>
      <c r="S2485" s="35">
        <f>IF(R2485="","",IF(R2485&gt;=60,INT(R2485/60)&amp;":"&amp;TEXT(MOD(R2485,60),"00.00"),TEXT(R2485,"0.00")))</f>
        <v/>
      </c>
      <c r="T2485" s="52">
        <f>IFERROR((G2485-INDEX('01_Swimmers'!$E$5:$E$22,MATCH(B2485,'01_Swimmers'!$A$5:$A$22,0)))/'00_Control'!$B$10,"")</f>
        <v/>
      </c>
      <c r="U2485" s="35">
        <f>IF(T2485="","",INT(T2485))</f>
        <v/>
      </c>
      <c r="V2485" s="33" t="inlineStr">
        <is>
          <t>NO</t>
        </is>
      </c>
      <c r="W2485" s="33" t="inlineStr">
        <is>
          <t>YES</t>
        </is>
      </c>
      <c r="X2485" s="33" t="inlineStr">
        <is>
          <t>NO</t>
        </is>
      </c>
      <c r="Y2485" s="33" t="n">
        <v>1</v>
      </c>
      <c r="Z2485" s="33" t="n">
        <v>4</v>
      </c>
      <c r="AA2485" s="33" t="inlineStr">
        <is>
          <t>2</t>
        </is>
      </c>
      <c r="AB2485" s="33" t="inlineStr">
        <is>
          <t>https://www.swimcloud.com/results/386679/event/12/?id=181171171#time181171171</t>
        </is>
      </c>
      <c r="AC2485" s="33" t="inlineStr">
        <is>
          <t>SwimCloud API v6 2026-10-08</t>
        </is>
      </c>
      <c r="AD2485" s="33" t="inlineStr">
        <is>
          <t>Luke Hobson|2026-07-16|LCM|200|Free|110.62|Speedo Sectionals - Austin|PRE|False</t>
        </is>
      </c>
      <c r="AE2485" s="53">
        <f>G2485+L2485/1000+ROW()/1000000000</f>
        <v/>
      </c>
      <c r="AF2485" s="35">
        <f>IF(C2485&lt;&gt;"Grayson Coulter","",COUNTIFS($C$5:$C$2991,"Grayson Coulter",$Q$5:$Q$2991,Q2485,$AE$5:$AE$2991,"&lt;="&amp;AE2485,$R$5:$R$2991,"&lt;"&amp;R2485))</f>
        <v/>
      </c>
      <c r="AG2485" s="35">
        <f>IF(OR(C2485&lt;&gt;"Grayson Coulter",G2485&lt;'00_Control'!$B$7),"",--(AF2485&lt;5))</f>
        <v/>
      </c>
      <c r="AH2485" s="35">
        <f>IF(OR(C2485&lt;&gt;"Grayson Coulter",G2485&lt;'00_Control'!$B$7),"",--(AF2485&lt;10))</f>
        <v/>
      </c>
      <c r="AI2485" s="35">
        <f>IF(AND(C2485="Grayson Coulter",G2485&gt;='00_Control'!$B$7),"YES","NO")</f>
        <v/>
      </c>
      <c r="AJ2485" s="33" t="inlineStr">
        <is>
          <t>OK</t>
        </is>
      </c>
    </row>
    <row r="2486">
      <c r="A2486" s="33" t="inlineStr">
        <is>
          <t>SM002482</t>
        </is>
      </c>
      <c r="B2486" s="33" t="inlineStr">
        <is>
          <t>SW014</t>
        </is>
      </c>
      <c r="C2486" s="33" t="inlineStr">
        <is>
          <t>Luke Hobson</t>
        </is>
      </c>
      <c r="D2486" s="33" t="inlineStr">
        <is>
          <t>SwimCloud</t>
        </is>
      </c>
      <c r="E2486" s="33" t="inlineStr">
        <is>
          <t>576911</t>
        </is>
      </c>
      <c r="F2486" s="33" t="inlineStr">
        <is>
          <t>181171172</t>
        </is>
      </c>
      <c r="G2486" s="51" t="n">
        <v>46219</v>
      </c>
      <c r="H2486" s="33" t="inlineStr">
        <is>
          <t>Speedo Sectionals - Austin</t>
        </is>
      </c>
      <c r="I2486" s="33" t="inlineStr">
        <is>
          <t>386679</t>
        </is>
      </c>
      <c r="J2486" s="33" t="inlineStr"/>
      <c r="K2486" s="33" t="inlineStr">
        <is>
          <t>FIN</t>
        </is>
      </c>
      <c r="L2486" s="35">
        <f>IF(K2486="FIN",3,IF(OR(K2486="SEM",K2486="SEMI"),2,IF(OR(K2486="PRE",K2486="HEAT"),1,IF(V2486="YES",4,2))))</f>
        <v/>
      </c>
      <c r="M2486" s="33" t="inlineStr">
        <is>
          <t>LCM</t>
        </is>
      </c>
      <c r="N2486" s="33" t="n">
        <v>200</v>
      </c>
      <c r="O2486" s="33" t="inlineStr">
        <is>
          <t>Free</t>
        </is>
      </c>
      <c r="P2486" s="33" t="inlineStr">
        <is>
          <t>200 Free</t>
        </is>
      </c>
      <c r="Q2486" s="33" t="inlineStr">
        <is>
          <t>LCM_200_FREE</t>
        </is>
      </c>
      <c r="R2486" s="36" t="n">
        <v>108.99</v>
      </c>
      <c r="S2486" s="35">
        <f>IF(R2486="","",IF(R2486&gt;=60,INT(R2486/60)&amp;":"&amp;TEXT(MOD(R2486,60),"00.00"),TEXT(R2486,"0.00")))</f>
        <v/>
      </c>
      <c r="T2486" s="52">
        <f>IFERROR((G2486-INDEX('01_Swimmers'!$E$5:$E$22,MATCH(B2486,'01_Swimmers'!$A$5:$A$22,0)))/'00_Control'!$B$10,"")</f>
        <v/>
      </c>
      <c r="U2486" s="35">
        <f>IF(T2486="","",INT(T2486))</f>
        <v/>
      </c>
      <c r="V2486" s="33" t="inlineStr">
        <is>
          <t>NO</t>
        </is>
      </c>
      <c r="W2486" s="33" t="inlineStr">
        <is>
          <t>YES</t>
        </is>
      </c>
      <c r="X2486" s="33" t="inlineStr">
        <is>
          <t>NO</t>
        </is>
      </c>
      <c r="Y2486" s="33" t="n">
        <v>5</v>
      </c>
      <c r="Z2486" s="33" t="n">
        <v>5</v>
      </c>
      <c r="AA2486" s="33" t="inlineStr">
        <is>
          <t>2</t>
        </is>
      </c>
      <c r="AB2486" s="33" t="inlineStr">
        <is>
          <t>https://www.swimcloud.com/results/386679/event/12/?id=181171172#time181171172</t>
        </is>
      </c>
      <c r="AC2486" s="33" t="inlineStr">
        <is>
          <t>SwimCloud API v6 2026-10-08</t>
        </is>
      </c>
      <c r="AD2486" s="33" t="inlineStr">
        <is>
          <t>Luke Hobson|2026-07-16|LCM|200|Free|108.99|Speedo Sectionals - Austin|FIN|False</t>
        </is>
      </c>
      <c r="AE2486" s="53">
        <f>G2486+L2486/1000+ROW()/1000000000</f>
        <v/>
      </c>
      <c r="AF2486" s="35">
        <f>IF(C2486&lt;&gt;"Grayson Coulter","",COUNTIFS($C$5:$C$2991,"Grayson Coulter",$Q$5:$Q$2991,Q2486,$AE$5:$AE$2991,"&lt;="&amp;AE2486,$R$5:$R$2991,"&lt;"&amp;R2486))</f>
        <v/>
      </c>
      <c r="AG2486" s="35">
        <f>IF(OR(C2486&lt;&gt;"Grayson Coulter",G2486&lt;'00_Control'!$B$7),"",--(AF2486&lt;5))</f>
        <v/>
      </c>
      <c r="AH2486" s="35">
        <f>IF(OR(C2486&lt;&gt;"Grayson Coulter",G2486&lt;'00_Control'!$B$7),"",--(AF2486&lt;10))</f>
        <v/>
      </c>
      <c r="AI2486" s="35">
        <f>IF(AND(C2486="Grayson Coulter",G2486&gt;='00_Control'!$B$7),"YES","NO")</f>
        <v/>
      </c>
      <c r="AJ2486" s="33" t="inlineStr">
        <is>
          <t>OK</t>
        </is>
      </c>
    </row>
    <row r="2487">
      <c r="A2487" s="33" t="inlineStr">
        <is>
          <t>SM002483</t>
        </is>
      </c>
      <c r="B2487" s="33" t="inlineStr">
        <is>
          <t>SW014</t>
        </is>
      </c>
      <c r="C2487" s="33" t="inlineStr">
        <is>
          <t>Luke Hobson</t>
        </is>
      </c>
      <c r="D2487" s="33" t="inlineStr">
        <is>
          <t>SwimCloud</t>
        </is>
      </c>
      <c r="E2487" s="33" t="inlineStr">
        <is>
          <t>576911</t>
        </is>
      </c>
      <c r="F2487" s="33" t="inlineStr">
        <is>
          <t>184089821</t>
        </is>
      </c>
      <c r="G2487" s="51" t="n">
        <v>46246</v>
      </c>
      <c r="H2487" s="33" t="inlineStr">
        <is>
          <t>Pan Pacific Championships</t>
        </is>
      </c>
      <c r="I2487" s="33" t="inlineStr">
        <is>
          <t>377355</t>
        </is>
      </c>
      <c r="J2487" s="33" t="inlineStr"/>
      <c r="K2487" s="33" t="inlineStr">
        <is>
          <t>PRE</t>
        </is>
      </c>
      <c r="L2487" s="35">
        <f>IF(K2487="FIN",3,IF(OR(K2487="SEM",K2487="SEMI"),2,IF(OR(K2487="PRE",K2487="HEAT"),1,IF(V2487="YES",4,2))))</f>
        <v/>
      </c>
      <c r="M2487" s="33" t="inlineStr">
        <is>
          <t>LCM</t>
        </is>
      </c>
      <c r="N2487" s="33" t="n">
        <v>200</v>
      </c>
      <c r="O2487" s="33" t="inlineStr">
        <is>
          <t>Free</t>
        </is>
      </c>
      <c r="P2487" s="33" t="inlineStr">
        <is>
          <t>200 Free</t>
        </is>
      </c>
      <c r="Q2487" s="33" t="inlineStr">
        <is>
          <t>LCM_200_FREE</t>
        </is>
      </c>
      <c r="R2487" s="36" t="n">
        <v>104.31</v>
      </c>
      <c r="S2487" s="35">
        <f>IF(R2487="","",IF(R2487&gt;=60,INT(R2487/60)&amp;":"&amp;TEXT(MOD(R2487,60),"00.00"),TEXT(R2487,"0.00")))</f>
        <v/>
      </c>
      <c r="T2487" s="52">
        <f>IFERROR((G2487-INDEX('01_Swimmers'!$E$5:$E$22,MATCH(B2487,'01_Swimmers'!$A$5:$A$22,0)))/'00_Control'!$B$10,"")</f>
        <v/>
      </c>
      <c r="U2487" s="35">
        <f>IF(T2487="","",INT(T2487))</f>
        <v/>
      </c>
      <c r="V2487" s="33" t="inlineStr">
        <is>
          <t>NO</t>
        </is>
      </c>
      <c r="W2487" s="33" t="inlineStr">
        <is>
          <t>YES</t>
        </is>
      </c>
      <c r="X2487" s="33" t="inlineStr">
        <is>
          <t>NO</t>
        </is>
      </c>
      <c r="Y2487" s="33" t="n">
        <v>5</v>
      </c>
      <c r="Z2487" s="33" t="n">
        <v>4</v>
      </c>
      <c r="AA2487" s="33" t="inlineStr">
        <is>
          <t>1</t>
        </is>
      </c>
      <c r="AB2487" s="33" t="inlineStr">
        <is>
          <t>https://www.swimcloud.com/results/377355/event/4/?id=184089821#time184089821</t>
        </is>
      </c>
      <c r="AC2487" s="33" t="inlineStr">
        <is>
          <t>SwimCloud API v6 2026-10-08</t>
        </is>
      </c>
      <c r="AD2487" s="33" t="inlineStr">
        <is>
          <t>Luke Hobson|2026-08-12|LCM|200|Free|104.31|Pan Pacific Championships|PRE|False</t>
        </is>
      </c>
      <c r="AE2487" s="53">
        <f>G2487+L2487/1000+ROW()/1000000000</f>
        <v/>
      </c>
      <c r="AF2487" s="35">
        <f>IF(C2487&lt;&gt;"Grayson Coulter","",COUNTIFS($C$5:$C$2991,"Grayson Coulter",$Q$5:$Q$2991,Q2487,$AE$5:$AE$2991,"&lt;="&amp;AE2487,$R$5:$R$2991,"&lt;"&amp;R2487))</f>
        <v/>
      </c>
      <c r="AG2487" s="35">
        <f>IF(OR(C2487&lt;&gt;"Grayson Coulter",G2487&lt;'00_Control'!$B$7),"",--(AF2487&lt;5))</f>
        <v/>
      </c>
      <c r="AH2487" s="35">
        <f>IF(OR(C2487&lt;&gt;"Grayson Coulter",G2487&lt;'00_Control'!$B$7),"",--(AF2487&lt;10))</f>
        <v/>
      </c>
      <c r="AI2487" s="35">
        <f>IF(AND(C2487="Grayson Coulter",G2487&gt;='00_Control'!$B$7),"YES","NO")</f>
        <v/>
      </c>
      <c r="AJ2487" s="33" t="inlineStr">
        <is>
          <t>OK</t>
        </is>
      </c>
    </row>
    <row r="2488">
      <c r="A2488" s="33" t="inlineStr">
        <is>
          <t>SM002484</t>
        </is>
      </c>
      <c r="B2488" s="33" t="inlineStr">
        <is>
          <t>SW014</t>
        </is>
      </c>
      <c r="C2488" s="33" t="inlineStr">
        <is>
          <t>Luke Hobson</t>
        </is>
      </c>
      <c r="D2488" s="33" t="inlineStr">
        <is>
          <t>SwimCloud</t>
        </is>
      </c>
      <c r="E2488" s="33" t="inlineStr">
        <is>
          <t>576911</t>
        </is>
      </c>
      <c r="F2488" s="33" t="inlineStr">
        <is>
          <t>184089820</t>
        </is>
      </c>
      <c r="G2488" s="51" t="n">
        <v>46246</v>
      </c>
      <c r="H2488" s="33" t="inlineStr">
        <is>
          <t>Pan Pacific Championships</t>
        </is>
      </c>
      <c r="I2488" s="33" t="inlineStr">
        <is>
          <t>377355</t>
        </is>
      </c>
      <c r="J2488" s="33" t="inlineStr"/>
      <c r="K2488" s="33" t="inlineStr">
        <is>
          <t>FIN</t>
        </is>
      </c>
      <c r="L2488" s="35">
        <f>IF(K2488="FIN",3,IF(OR(K2488="SEM",K2488="SEMI"),2,IF(OR(K2488="PRE",K2488="HEAT"),1,IF(V2488="YES",4,2))))</f>
        <v/>
      </c>
      <c r="M2488" s="33" t="inlineStr">
        <is>
          <t>LCM</t>
        </is>
      </c>
      <c r="N2488" s="33" t="n">
        <v>200</v>
      </c>
      <c r="O2488" s="33" t="inlineStr">
        <is>
          <t>Free</t>
        </is>
      </c>
      <c r="P2488" s="33" t="inlineStr">
        <is>
          <t>200 Free</t>
        </is>
      </c>
      <c r="Q2488" s="33" t="inlineStr">
        <is>
          <t>LCM_200_FREE</t>
        </is>
      </c>
      <c r="R2488" s="36" t="n">
        <v>103.85</v>
      </c>
      <c r="S2488" s="35">
        <f>IF(R2488="","",IF(R2488&gt;=60,INT(R2488/60)&amp;":"&amp;TEXT(MOD(R2488,60),"00.00"),TEXT(R2488,"0.00")))</f>
        <v/>
      </c>
      <c r="T2488" s="52">
        <f>IFERROR((G2488-INDEX('01_Swimmers'!$E$5:$E$22,MATCH(B2488,'01_Swimmers'!$A$5:$A$22,0)))/'00_Control'!$B$10,"")</f>
        <v/>
      </c>
      <c r="U2488" s="35">
        <f>IF(T2488="","",INT(T2488))</f>
        <v/>
      </c>
      <c r="V2488" s="33" t="inlineStr">
        <is>
          <t>NO</t>
        </is>
      </c>
      <c r="W2488" s="33" t="inlineStr">
        <is>
          <t>YES</t>
        </is>
      </c>
      <c r="X2488" s="33" t="inlineStr">
        <is>
          <t>NO</t>
        </is>
      </c>
      <c r="Y2488" s="33" t="n">
        <v>1</v>
      </c>
      <c r="Z2488" s="33" t="n">
        <v>4</v>
      </c>
      <c r="AA2488" s="33" t="inlineStr">
        <is>
          <t>1</t>
        </is>
      </c>
      <c r="AB2488" s="33" t="inlineStr">
        <is>
          <t>https://www.swimcloud.com/results/377355/event/4/?id=184089820#time184089820</t>
        </is>
      </c>
      <c r="AC2488" s="33" t="inlineStr">
        <is>
          <t>SwimCloud API v6 2026-10-08</t>
        </is>
      </c>
      <c r="AD2488" s="33" t="inlineStr">
        <is>
          <t>Luke Hobson|2026-08-12|LCM|200|Free|103.85|Pan Pacific Championships|FIN|False</t>
        </is>
      </c>
      <c r="AE2488" s="53">
        <f>G2488+L2488/1000+ROW()/1000000000</f>
        <v/>
      </c>
      <c r="AF2488" s="35">
        <f>IF(C2488&lt;&gt;"Grayson Coulter","",COUNTIFS($C$5:$C$2991,"Grayson Coulter",$Q$5:$Q$2991,Q2488,$AE$5:$AE$2991,"&lt;="&amp;AE2488,$R$5:$R$2991,"&lt;"&amp;R2488))</f>
        <v/>
      </c>
      <c r="AG2488" s="35">
        <f>IF(OR(C2488&lt;&gt;"Grayson Coulter",G2488&lt;'00_Control'!$B$7),"",--(AF2488&lt;5))</f>
        <v/>
      </c>
      <c r="AH2488" s="35">
        <f>IF(OR(C2488&lt;&gt;"Grayson Coulter",G2488&lt;'00_Control'!$B$7),"",--(AF2488&lt;10))</f>
        <v/>
      </c>
      <c r="AI2488" s="35">
        <f>IF(AND(C2488="Grayson Coulter",G2488&gt;='00_Control'!$B$7),"YES","NO")</f>
        <v/>
      </c>
      <c r="AJ2488" s="33" t="inlineStr">
        <is>
          <t>OK</t>
        </is>
      </c>
    </row>
    <row r="2489">
      <c r="A2489" s="33" t="inlineStr">
        <is>
          <t>SM002485</t>
        </is>
      </c>
      <c r="B2489" s="33" t="inlineStr">
        <is>
          <t>SW014</t>
        </is>
      </c>
      <c r="C2489" s="33" t="inlineStr">
        <is>
          <t>Luke Hobson</t>
        </is>
      </c>
      <c r="D2489" s="33" t="inlineStr">
        <is>
          <t>SwimCloud</t>
        </is>
      </c>
      <c r="E2489" s="33" t="inlineStr">
        <is>
          <t>576911</t>
        </is>
      </c>
      <c r="F2489" s="33" t="inlineStr">
        <is>
          <t>184089819</t>
        </is>
      </c>
      <c r="G2489" s="51" t="n">
        <v>46247</v>
      </c>
      <c r="H2489" s="33" t="inlineStr">
        <is>
          <t>Pan Pacific Championships</t>
        </is>
      </c>
      <c r="I2489" s="33" t="inlineStr">
        <is>
          <t>377355</t>
        </is>
      </c>
      <c r="J2489" s="33" t="inlineStr"/>
      <c r="K2489" s="33" t="inlineStr">
        <is>
          <t>PRE</t>
        </is>
      </c>
      <c r="L2489" s="35">
        <f>IF(K2489="FIN",3,IF(OR(K2489="SEM",K2489="SEMI"),2,IF(OR(K2489="PRE",K2489="HEAT"),1,IF(V2489="YES",4,2))))</f>
        <v/>
      </c>
      <c r="M2489" s="33" t="inlineStr">
        <is>
          <t>LCM</t>
        </is>
      </c>
      <c r="N2489" s="33" t="n">
        <v>100</v>
      </c>
      <c r="O2489" s="33" t="inlineStr">
        <is>
          <t>Free</t>
        </is>
      </c>
      <c r="P2489" s="33" t="inlineStr">
        <is>
          <t>100 Free</t>
        </is>
      </c>
      <c r="Q2489" s="33" t="inlineStr">
        <is>
          <t>LCM_100_FREE</t>
        </is>
      </c>
      <c r="R2489" s="36" t="n">
        <v>48.3</v>
      </c>
      <c r="S2489" s="35">
        <f>IF(R2489="","",IF(R2489&gt;=60,INT(R2489/60)&amp;":"&amp;TEXT(MOD(R2489,60),"00.00"),TEXT(R2489,"0.00")))</f>
        <v/>
      </c>
      <c r="T2489" s="52">
        <f>IFERROR((G2489-INDEX('01_Swimmers'!$E$5:$E$22,MATCH(B2489,'01_Swimmers'!$A$5:$A$22,0)))/'00_Control'!$B$10,"")</f>
        <v/>
      </c>
      <c r="U2489" s="35">
        <f>IF(T2489="","",INT(T2489))</f>
        <v/>
      </c>
      <c r="V2489" s="33" t="inlineStr">
        <is>
          <t>NO</t>
        </is>
      </c>
      <c r="W2489" s="33" t="inlineStr">
        <is>
          <t>YES</t>
        </is>
      </c>
      <c r="X2489" s="33" t="inlineStr">
        <is>
          <t>NO</t>
        </is>
      </c>
      <c r="Y2489" s="33" t="n">
        <v>6</v>
      </c>
      <c r="Z2489" s="33" t="n">
        <v>1</v>
      </c>
      <c r="AA2489" s="33" t="inlineStr">
        <is>
          <t>6</t>
        </is>
      </c>
      <c r="AB2489" s="33" t="inlineStr">
        <is>
          <t>https://www.swimcloud.com/results/377355/event/15/?id=184089819#time184089819</t>
        </is>
      </c>
      <c r="AC2489" s="33" t="inlineStr">
        <is>
          <t>SwimCloud API v6 2026-10-08</t>
        </is>
      </c>
      <c r="AD2489" s="33" t="inlineStr">
        <is>
          <t>Luke Hobson|2026-08-13|LCM|100|Free|48.3|Pan Pacific Championships|PRE|False</t>
        </is>
      </c>
      <c r="AE2489" s="53">
        <f>G2489+L2489/1000+ROW()/1000000000</f>
        <v/>
      </c>
      <c r="AF2489" s="35">
        <f>IF(C2489&lt;&gt;"Grayson Coulter","",COUNTIFS($C$5:$C$2991,"Grayson Coulter",$Q$5:$Q$2991,Q2489,$AE$5:$AE$2991,"&lt;="&amp;AE2489,$R$5:$R$2991,"&lt;"&amp;R2489))</f>
        <v/>
      </c>
      <c r="AG2489" s="35">
        <f>IF(OR(C2489&lt;&gt;"Grayson Coulter",G2489&lt;'00_Control'!$B$7),"",--(AF2489&lt;5))</f>
        <v/>
      </c>
      <c r="AH2489" s="35">
        <f>IF(OR(C2489&lt;&gt;"Grayson Coulter",G2489&lt;'00_Control'!$B$7),"",--(AF2489&lt;10))</f>
        <v/>
      </c>
      <c r="AI2489" s="35">
        <f>IF(AND(C2489="Grayson Coulter",G2489&gt;='00_Control'!$B$7),"YES","NO")</f>
        <v/>
      </c>
      <c r="AJ2489" s="33" t="inlineStr">
        <is>
          <t>OK</t>
        </is>
      </c>
    </row>
    <row r="2490">
      <c r="A2490" s="33" t="inlineStr">
        <is>
          <t>SM002486</t>
        </is>
      </c>
      <c r="B2490" s="33" t="inlineStr">
        <is>
          <t>SW014</t>
        </is>
      </c>
      <c r="C2490" s="33" t="inlineStr">
        <is>
          <t>Luke Hobson</t>
        </is>
      </c>
      <c r="D2490" s="33" t="inlineStr">
        <is>
          <t>SwimCloud</t>
        </is>
      </c>
      <c r="E2490" s="33" t="inlineStr">
        <is>
          <t>576911</t>
        </is>
      </c>
      <c r="F2490" s="33" t="inlineStr">
        <is>
          <t>184090274</t>
        </is>
      </c>
      <c r="G2490" s="51" t="n">
        <v>46247</v>
      </c>
      <c r="H2490" s="33" t="inlineStr">
        <is>
          <t>Pan Pacific Championships</t>
        </is>
      </c>
      <c r="I2490" s="33" t="inlineStr">
        <is>
          <t>377355</t>
        </is>
      </c>
      <c r="J2490" s="33" t="inlineStr"/>
      <c r="K2490" s="33" t="inlineStr">
        <is>
          <t>TIM</t>
        </is>
      </c>
      <c r="L2490" s="35">
        <f>IF(K2490="FIN",3,IF(OR(K2490="SEM",K2490="SEMI"),2,IF(OR(K2490="PRE",K2490="HEAT"),1,IF(V2490="YES",4,2))))</f>
        <v/>
      </c>
      <c r="M2490" s="33" t="inlineStr">
        <is>
          <t>LCM</t>
        </is>
      </c>
      <c r="N2490" s="33" t="n">
        <v>200</v>
      </c>
      <c r="O2490" s="33" t="inlineStr">
        <is>
          <t>Free</t>
        </is>
      </c>
      <c r="P2490" s="33" t="inlineStr">
        <is>
          <t>200 Free</t>
        </is>
      </c>
      <c r="Q2490" s="33" t="inlineStr">
        <is>
          <t>LCM_200_FREE</t>
        </is>
      </c>
      <c r="R2490" s="36" t="n">
        <v>104.13</v>
      </c>
      <c r="S2490" s="35">
        <f>IF(R2490="","",IF(R2490&gt;=60,INT(R2490/60)&amp;":"&amp;TEXT(MOD(R2490,60),"00.00"),TEXT(R2490,"0.00")))</f>
        <v/>
      </c>
      <c r="T2490" s="52">
        <f>IFERROR((G2490-INDEX('01_Swimmers'!$E$5:$E$22,MATCH(B2490,'01_Swimmers'!$A$5:$A$22,0)))/'00_Control'!$B$10,"")</f>
        <v/>
      </c>
      <c r="U2490" s="35">
        <f>IF(T2490="","",INT(T2490))</f>
        <v/>
      </c>
      <c r="V2490" s="33" t="inlineStr">
        <is>
          <t>YES</t>
        </is>
      </c>
      <c r="W2490" s="33" t="inlineStr">
        <is>
          <t>YES</t>
        </is>
      </c>
      <c r="X2490" s="33" t="inlineStr">
        <is>
          <t>NO</t>
        </is>
      </c>
      <c r="Y2490" s="33" t="n">
        <v>1</v>
      </c>
      <c r="Z2490" s="33" t="n">
        <v>4</v>
      </c>
      <c r="AA2490" s="33" t="inlineStr"/>
      <c r="AB2490" s="33" t="inlineStr">
        <is>
          <t>https://www.swimcloud.com/results/377355/event/21/?id=184090058#time184090058</t>
        </is>
      </c>
      <c r="AC2490" s="33" t="inlineStr">
        <is>
          <t>SwimCloud API v6 2026-10-08</t>
        </is>
      </c>
      <c r="AD2490" s="33" t="inlineStr">
        <is>
          <t>Luke Hobson|2026-08-13|LCM|200|Free|104.13|Pan Pacific Championships|TIM|True</t>
        </is>
      </c>
      <c r="AE2490" s="53">
        <f>G2490+L2490/1000+ROW()/1000000000</f>
        <v/>
      </c>
      <c r="AF2490" s="35">
        <f>IF(C2490&lt;&gt;"Grayson Coulter","",COUNTIFS($C$5:$C$2991,"Grayson Coulter",$Q$5:$Q$2991,Q2490,$AE$5:$AE$2991,"&lt;="&amp;AE2490,$R$5:$R$2991,"&lt;"&amp;R2490))</f>
        <v/>
      </c>
      <c r="AG2490" s="35">
        <f>IF(OR(C2490&lt;&gt;"Grayson Coulter",G2490&lt;'00_Control'!$B$7),"",--(AF2490&lt;5))</f>
        <v/>
      </c>
      <c r="AH2490" s="35">
        <f>IF(OR(C2490&lt;&gt;"Grayson Coulter",G2490&lt;'00_Control'!$B$7),"",--(AF2490&lt;10))</f>
        <v/>
      </c>
      <c r="AI2490" s="35">
        <f>IF(AND(C2490="Grayson Coulter",G2490&gt;='00_Control'!$B$7),"YES","NO")</f>
        <v/>
      </c>
      <c r="AJ2490" s="33" t="inlineStr">
        <is>
          <t>OK</t>
        </is>
      </c>
    </row>
    <row r="2491">
      <c r="A2491" s="33" t="inlineStr">
        <is>
          <t>SM002487</t>
        </is>
      </c>
      <c r="B2491" s="33" t="inlineStr">
        <is>
          <t>SW014</t>
        </is>
      </c>
      <c r="C2491" s="33" t="inlineStr">
        <is>
          <t>Luke Hobson</t>
        </is>
      </c>
      <c r="D2491" s="33" t="inlineStr">
        <is>
          <t>SwimCloud</t>
        </is>
      </c>
      <c r="E2491" s="33" t="inlineStr">
        <is>
          <t>576911</t>
        </is>
      </c>
      <c r="F2491" s="33" t="inlineStr">
        <is>
          <t>184089823</t>
        </is>
      </c>
      <c r="G2491" s="51" t="n">
        <v>46248</v>
      </c>
      <c r="H2491" s="33" t="inlineStr">
        <is>
          <t>Pan Pacific Championships</t>
        </is>
      </c>
      <c r="I2491" s="33" t="inlineStr">
        <is>
          <t>377355</t>
        </is>
      </c>
      <c r="J2491" s="33" t="inlineStr"/>
      <c r="K2491" s="33" t="inlineStr">
        <is>
          <t>PRE</t>
        </is>
      </c>
      <c r="L2491" s="35">
        <f>IF(K2491="FIN",3,IF(OR(K2491="SEM",K2491="SEMI"),2,IF(OR(K2491="PRE",K2491="HEAT"),1,IF(V2491="YES",4,2))))</f>
        <v/>
      </c>
      <c r="M2491" s="33" t="inlineStr">
        <is>
          <t>LCM</t>
        </is>
      </c>
      <c r="N2491" s="33" t="n">
        <v>400</v>
      </c>
      <c r="O2491" s="33" t="inlineStr">
        <is>
          <t>Free</t>
        </is>
      </c>
      <c r="P2491" s="33" t="inlineStr">
        <is>
          <t>400 Free</t>
        </is>
      </c>
      <c r="Q2491" s="33" t="inlineStr">
        <is>
          <t>LCM_400_FREE</t>
        </is>
      </c>
      <c r="R2491" s="36" t="n">
        <v>228.97</v>
      </c>
      <c r="S2491" s="35">
        <f>IF(R2491="","",IF(R2491&gt;=60,INT(R2491/60)&amp;":"&amp;TEXT(MOD(R2491,60),"00.00"),TEXT(R2491,"0.00")))</f>
        <v/>
      </c>
      <c r="T2491" s="52">
        <f>IFERROR((G2491-INDEX('01_Swimmers'!$E$5:$E$22,MATCH(B2491,'01_Swimmers'!$A$5:$A$22,0)))/'00_Control'!$B$10,"")</f>
        <v/>
      </c>
      <c r="U2491" s="35">
        <f>IF(T2491="","",INT(T2491))</f>
        <v/>
      </c>
      <c r="V2491" s="33" t="inlineStr">
        <is>
          <t>NO</t>
        </is>
      </c>
      <c r="W2491" s="33" t="inlineStr">
        <is>
          <t>YES</t>
        </is>
      </c>
      <c r="X2491" s="33" t="inlineStr">
        <is>
          <t>NO</t>
        </is>
      </c>
      <c r="Y2491" s="33" t="n">
        <v>4</v>
      </c>
      <c r="Z2491" s="33" t="n">
        <v>7</v>
      </c>
      <c r="AA2491" s="33" t="inlineStr">
        <is>
          <t>11</t>
        </is>
      </c>
      <c r="AB2491" s="33" t="inlineStr">
        <is>
          <t>https://www.swimcloud.com/results/377355/event/23/?id=184089823#time184089823</t>
        </is>
      </c>
      <c r="AC2491" s="33" t="inlineStr">
        <is>
          <t>SwimCloud API v6 2026-10-08</t>
        </is>
      </c>
      <c r="AD2491" s="33" t="inlineStr">
        <is>
          <t>Luke Hobson|2026-08-14|LCM|400|Free|228.97|Pan Pacific Championships|PRE|False</t>
        </is>
      </c>
      <c r="AE2491" s="53">
        <f>G2491+L2491/1000+ROW()/1000000000</f>
        <v/>
      </c>
      <c r="AF2491" s="35">
        <f>IF(C2491&lt;&gt;"Grayson Coulter","",COUNTIFS($C$5:$C$2991,"Grayson Coulter",$Q$5:$Q$2991,Q2491,$AE$5:$AE$2991,"&lt;="&amp;AE2491,$R$5:$R$2991,"&lt;"&amp;R2491))</f>
        <v/>
      </c>
      <c r="AG2491" s="35">
        <f>IF(OR(C2491&lt;&gt;"Grayson Coulter",G2491&lt;'00_Control'!$B$7),"",--(AF2491&lt;5))</f>
        <v/>
      </c>
      <c r="AH2491" s="35">
        <f>IF(OR(C2491&lt;&gt;"Grayson Coulter",G2491&lt;'00_Control'!$B$7),"",--(AF2491&lt;10))</f>
        <v/>
      </c>
      <c r="AI2491" s="35">
        <f>IF(AND(C2491="Grayson Coulter",G2491&gt;='00_Control'!$B$7),"YES","NO")</f>
        <v/>
      </c>
      <c r="AJ2491" s="33" t="inlineStr">
        <is>
          <t>OK</t>
        </is>
      </c>
    </row>
    <row r="2492">
      <c r="A2492" s="33" t="inlineStr">
        <is>
          <t>SM002488</t>
        </is>
      </c>
      <c r="B2492" s="33" t="inlineStr">
        <is>
          <t>SW014</t>
        </is>
      </c>
      <c r="C2492" s="33" t="inlineStr">
        <is>
          <t>Luke Hobson</t>
        </is>
      </c>
      <c r="D2492" s="33" t="inlineStr">
        <is>
          <t>SwimCloud</t>
        </is>
      </c>
      <c r="E2492" s="33" t="inlineStr">
        <is>
          <t>576911</t>
        </is>
      </c>
      <c r="F2492" s="33" t="inlineStr">
        <is>
          <t>184089822</t>
        </is>
      </c>
      <c r="G2492" s="51" t="n">
        <v>46248</v>
      </c>
      <c r="H2492" s="33" t="inlineStr">
        <is>
          <t>Pan Pacific Championships</t>
        </is>
      </c>
      <c r="I2492" s="33" t="inlineStr">
        <is>
          <t>377355</t>
        </is>
      </c>
      <c r="J2492" s="33" t="inlineStr"/>
      <c r="K2492" s="33" t="inlineStr">
        <is>
          <t>FIN</t>
        </is>
      </c>
      <c r="L2492" s="35">
        <f>IF(K2492="FIN",3,IF(OR(K2492="SEM",K2492="SEMI"),2,IF(OR(K2492="PRE",K2492="HEAT"),1,IF(V2492="YES",4,2))))</f>
        <v/>
      </c>
      <c r="M2492" s="33" t="inlineStr">
        <is>
          <t>LCM</t>
        </is>
      </c>
      <c r="N2492" s="33" t="n">
        <v>400</v>
      </c>
      <c r="O2492" s="33" t="inlineStr">
        <is>
          <t>Free</t>
        </is>
      </c>
      <c r="P2492" s="33" t="inlineStr">
        <is>
          <t>400 Free</t>
        </is>
      </c>
      <c r="Q2492" s="33" t="inlineStr">
        <is>
          <t>LCM_400_FREE</t>
        </is>
      </c>
      <c r="R2492" s="36" t="n">
        <v>229.94</v>
      </c>
      <c r="S2492" s="35">
        <f>IF(R2492="","",IF(R2492&gt;=60,INT(R2492/60)&amp;":"&amp;TEXT(MOD(R2492,60),"00.00"),TEXT(R2492,"0.00")))</f>
        <v/>
      </c>
      <c r="T2492" s="52">
        <f>IFERROR((G2492-INDEX('01_Swimmers'!$E$5:$E$22,MATCH(B2492,'01_Swimmers'!$A$5:$A$22,0)))/'00_Control'!$B$10,"")</f>
        <v/>
      </c>
      <c r="U2492" s="35">
        <f>IF(T2492="","",INT(T2492))</f>
        <v/>
      </c>
      <c r="V2492" s="33" t="inlineStr">
        <is>
          <t>NO</t>
        </is>
      </c>
      <c r="W2492" s="33" t="inlineStr">
        <is>
          <t>YES</t>
        </is>
      </c>
      <c r="X2492" s="33" t="inlineStr">
        <is>
          <t>NO</t>
        </is>
      </c>
      <c r="Y2492" s="33" t="n">
        <v>2</v>
      </c>
      <c r="Z2492" s="33" t="n">
        <v>3</v>
      </c>
      <c r="AA2492" s="33" t="inlineStr">
        <is>
          <t>11</t>
        </is>
      </c>
      <c r="AB2492" s="33" t="inlineStr">
        <is>
          <t>https://www.swimcloud.com/results/377355/event/23/?id=184089822#time184089822</t>
        </is>
      </c>
      <c r="AC2492" s="33" t="inlineStr">
        <is>
          <t>SwimCloud API v6 2026-10-08</t>
        </is>
      </c>
      <c r="AD2492" s="33" t="inlineStr">
        <is>
          <t>Luke Hobson|2026-08-14|LCM|400|Free|229.94|Pan Pacific Championships|FIN|False</t>
        </is>
      </c>
      <c r="AE2492" s="53">
        <f>G2492+L2492/1000+ROW()/1000000000</f>
        <v/>
      </c>
      <c r="AF2492" s="35">
        <f>IF(C2492&lt;&gt;"Grayson Coulter","",COUNTIFS($C$5:$C$2991,"Grayson Coulter",$Q$5:$Q$2991,Q2492,$AE$5:$AE$2991,"&lt;="&amp;AE2492,$R$5:$R$2991,"&lt;"&amp;R2492))</f>
        <v/>
      </c>
      <c r="AG2492" s="35">
        <f>IF(OR(C2492&lt;&gt;"Grayson Coulter",G2492&lt;'00_Control'!$B$7),"",--(AF2492&lt;5))</f>
        <v/>
      </c>
      <c r="AH2492" s="35">
        <f>IF(OR(C2492&lt;&gt;"Grayson Coulter",G2492&lt;'00_Control'!$B$7),"",--(AF2492&lt;10))</f>
        <v/>
      </c>
      <c r="AI2492" s="35">
        <f>IF(AND(C2492="Grayson Coulter",G2492&gt;='00_Control'!$B$7),"YES","NO")</f>
        <v/>
      </c>
      <c r="AJ2492" s="33" t="inlineStr">
        <is>
          <t>OK</t>
        </is>
      </c>
    </row>
    <row r="2493">
      <c r="A2493" s="33" t="inlineStr">
        <is>
          <t>SM002489</t>
        </is>
      </c>
      <c r="B2493" s="33" t="inlineStr">
        <is>
          <t>SW002</t>
        </is>
      </c>
      <c r="C2493" s="33" t="inlineStr">
        <is>
          <t>Miron Bunakov</t>
        </is>
      </c>
      <c r="D2493" s="33" t="inlineStr">
        <is>
          <t>SwimCloud</t>
        </is>
      </c>
      <c r="E2493" s="33" t="inlineStr">
        <is>
          <t>3360584</t>
        </is>
      </c>
      <c r="F2493" s="33" t="inlineStr">
        <is>
          <t>26140832</t>
        </is>
      </c>
      <c r="G2493" s="51" t="n">
        <v>43582</v>
      </c>
      <c r="H2493" s="33" t="inlineStr">
        <is>
          <t>Dragons Den International Open</t>
        </is>
      </c>
      <c r="I2493" s="33" t="inlineStr">
        <is>
          <t>145454</t>
        </is>
      </c>
      <c r="J2493" s="33" t="inlineStr"/>
      <c r="K2493" s="33" t="inlineStr">
        <is>
          <t>TIM</t>
        </is>
      </c>
      <c r="L2493" s="35">
        <f>IF(K2493="FIN",3,IF(OR(K2493="SEM",K2493="SEMI"),2,IF(OR(K2493="PRE",K2493="HEAT"),1,IF(V2493="YES",4,2))))</f>
        <v/>
      </c>
      <c r="M2493" s="33" t="inlineStr">
        <is>
          <t>LCM</t>
        </is>
      </c>
      <c r="N2493" s="33" t="n">
        <v>100</v>
      </c>
      <c r="O2493" s="33" t="inlineStr">
        <is>
          <t>Free</t>
        </is>
      </c>
      <c r="P2493" s="33" t="inlineStr">
        <is>
          <t>100 Free</t>
        </is>
      </c>
      <c r="Q2493" s="33" t="inlineStr">
        <is>
          <t>LCM_100_FREE</t>
        </is>
      </c>
      <c r="R2493" s="36" t="n">
        <v>84.72</v>
      </c>
      <c r="S2493" s="35">
        <f>IF(R2493="","",IF(R2493&gt;=60,INT(R2493/60)&amp;":"&amp;TEXT(MOD(R2493,60),"00.00"),TEXT(R2493,"0.00")))</f>
        <v/>
      </c>
      <c r="T2493" s="52">
        <f>IFERROR((G2493-INDEX('01_Swimmers'!$E$5:$E$22,MATCH(B2493,'01_Swimmers'!$A$5:$A$22,0)))/'00_Control'!$B$10,"")</f>
        <v/>
      </c>
      <c r="U2493" s="35">
        <f>IF(T2493="","",INT(T2493))</f>
        <v/>
      </c>
      <c r="V2493" s="33" t="inlineStr">
        <is>
          <t>NO</t>
        </is>
      </c>
      <c r="W2493" s="33" t="inlineStr">
        <is>
          <t>YES</t>
        </is>
      </c>
      <c r="X2493" s="33" t="inlineStr">
        <is>
          <t>NO</t>
        </is>
      </c>
      <c r="Y2493" s="33" t="n">
        <v>1</v>
      </c>
      <c r="Z2493" s="33" t="n">
        <v>1</v>
      </c>
      <c r="AA2493" s="33" t="inlineStr">
        <is>
          <t>3</t>
        </is>
      </c>
      <c r="AB2493" s="33" t="inlineStr">
        <is>
          <t>https://www.swimcloud.com/results/145454/event/207/?id=26140832#time26140832</t>
        </is>
      </c>
      <c r="AC2493" s="33" t="inlineStr">
        <is>
          <t>SwimCloud API v6 2026-10-08</t>
        </is>
      </c>
      <c r="AD2493" s="33" t="inlineStr">
        <is>
          <t>Miron Bunakov|2019-04-27|LCM|100|Free|84.72|Dragons Den International Open|TIM|False</t>
        </is>
      </c>
      <c r="AE2493" s="53">
        <f>G2493+L2493/1000+ROW()/1000000000</f>
        <v/>
      </c>
      <c r="AF2493" s="35">
        <f>IF(C2493&lt;&gt;"Grayson Coulter","",COUNTIFS($C$5:$C$2991,"Grayson Coulter",$Q$5:$Q$2991,Q2493,$AE$5:$AE$2991,"&lt;="&amp;AE2493,$R$5:$R$2991,"&lt;"&amp;R2493))</f>
        <v/>
      </c>
      <c r="AG2493" s="35">
        <f>IF(OR(C2493&lt;&gt;"Grayson Coulter",G2493&lt;'00_Control'!$B$7),"",--(AF2493&lt;5))</f>
        <v/>
      </c>
      <c r="AH2493" s="35">
        <f>IF(OR(C2493&lt;&gt;"Grayson Coulter",G2493&lt;'00_Control'!$B$7),"",--(AF2493&lt;10))</f>
        <v/>
      </c>
      <c r="AI2493" s="35">
        <f>IF(AND(C2493="Grayson Coulter",G2493&gt;='00_Control'!$B$7),"YES","NO")</f>
        <v/>
      </c>
      <c r="AJ2493" s="33" t="inlineStr">
        <is>
          <t>OK</t>
        </is>
      </c>
    </row>
    <row r="2494">
      <c r="A2494" s="33" t="inlineStr">
        <is>
          <t>SM002490</t>
        </is>
      </c>
      <c r="B2494" s="33" t="inlineStr">
        <is>
          <t>SW002</t>
        </is>
      </c>
      <c r="C2494" s="33" t="inlineStr">
        <is>
          <t>Miron Bunakov</t>
        </is>
      </c>
      <c r="D2494" s="33" t="inlineStr">
        <is>
          <t>SwimCloud</t>
        </is>
      </c>
      <c r="E2494" s="33" t="inlineStr">
        <is>
          <t>3360584</t>
        </is>
      </c>
      <c r="F2494" s="33" t="inlineStr">
        <is>
          <t>43671053</t>
        </is>
      </c>
      <c r="G2494" s="51" t="n">
        <v>44268</v>
      </c>
      <c r="H2494" s="33" t="inlineStr">
        <is>
          <t>Liberty Insurance 51st SNAG Ju</t>
        </is>
      </c>
      <c r="I2494" s="33" t="inlineStr">
        <is>
          <t>201723</t>
        </is>
      </c>
      <c r="J2494" s="33" t="inlineStr"/>
      <c r="K2494" s="33" t="inlineStr">
        <is>
          <t>TIM</t>
        </is>
      </c>
      <c r="L2494" s="35">
        <f>IF(K2494="FIN",3,IF(OR(K2494="SEM",K2494="SEMI"),2,IF(OR(K2494="PRE",K2494="HEAT"),1,IF(V2494="YES",4,2))))</f>
        <v/>
      </c>
      <c r="M2494" s="33" t="inlineStr">
        <is>
          <t>LCM</t>
        </is>
      </c>
      <c r="N2494" s="33" t="n">
        <v>200</v>
      </c>
      <c r="O2494" s="33" t="inlineStr">
        <is>
          <t>Free</t>
        </is>
      </c>
      <c r="P2494" s="33" t="inlineStr">
        <is>
          <t>200 Free</t>
        </is>
      </c>
      <c r="Q2494" s="33" t="inlineStr">
        <is>
          <t>LCM_200_FREE</t>
        </is>
      </c>
      <c r="R2494" s="36" t="n">
        <v>150.13</v>
      </c>
      <c r="S2494" s="35">
        <f>IF(R2494="","",IF(R2494&gt;=60,INT(R2494/60)&amp;":"&amp;TEXT(MOD(R2494,60),"00.00"),TEXT(R2494,"0.00")))</f>
        <v/>
      </c>
      <c r="T2494" s="52">
        <f>IFERROR((G2494-INDEX('01_Swimmers'!$E$5:$E$22,MATCH(B2494,'01_Swimmers'!$A$5:$A$22,0)))/'00_Control'!$B$10,"")</f>
        <v/>
      </c>
      <c r="U2494" s="35">
        <f>IF(T2494="","",INT(T2494))</f>
        <v/>
      </c>
      <c r="V2494" s="33" t="inlineStr">
        <is>
          <t>NO</t>
        </is>
      </c>
      <c r="W2494" s="33" t="inlineStr">
        <is>
          <t>YES</t>
        </is>
      </c>
      <c r="X2494" s="33" t="inlineStr">
        <is>
          <t>NO</t>
        </is>
      </c>
      <c r="Y2494" s="33" t="n">
        <v>3</v>
      </c>
      <c r="Z2494" s="33" t="n">
        <v>5</v>
      </c>
      <c r="AA2494" s="33" t="inlineStr">
        <is>
          <t>20</t>
        </is>
      </c>
      <c r="AB2494" s="33" t="inlineStr">
        <is>
          <t>https://www.swimcloud.com/results/201723/event/102/?id=43671053#time43671053</t>
        </is>
      </c>
      <c r="AC2494" s="33" t="inlineStr">
        <is>
          <t>SwimCloud API v6 2026-10-08</t>
        </is>
      </c>
      <c r="AD2494" s="33" t="inlineStr">
        <is>
          <t>Miron Bunakov|2021-03-13|LCM|200|Free|150.13|Liberty Insurance 51st SNAG Ju|TIM|False</t>
        </is>
      </c>
      <c r="AE2494" s="53">
        <f>G2494+L2494/1000+ROW()/1000000000</f>
        <v/>
      </c>
      <c r="AF2494" s="35">
        <f>IF(C2494&lt;&gt;"Grayson Coulter","",COUNTIFS($C$5:$C$2991,"Grayson Coulter",$Q$5:$Q$2991,Q2494,$AE$5:$AE$2991,"&lt;="&amp;AE2494,$R$5:$R$2991,"&lt;"&amp;R2494))</f>
        <v/>
      </c>
      <c r="AG2494" s="35">
        <f>IF(OR(C2494&lt;&gt;"Grayson Coulter",G2494&lt;'00_Control'!$B$7),"",--(AF2494&lt;5))</f>
        <v/>
      </c>
      <c r="AH2494" s="35">
        <f>IF(OR(C2494&lt;&gt;"Grayson Coulter",G2494&lt;'00_Control'!$B$7),"",--(AF2494&lt;10))</f>
        <v/>
      </c>
      <c r="AI2494" s="35">
        <f>IF(AND(C2494="Grayson Coulter",G2494&gt;='00_Control'!$B$7),"YES","NO")</f>
        <v/>
      </c>
      <c r="AJ2494" s="33" t="inlineStr">
        <is>
          <t>OK</t>
        </is>
      </c>
    </row>
    <row r="2495">
      <c r="A2495" s="33" t="inlineStr">
        <is>
          <t>SM002491</t>
        </is>
      </c>
      <c r="B2495" s="33" t="inlineStr">
        <is>
          <t>SW002</t>
        </is>
      </c>
      <c r="C2495" s="33" t="inlineStr">
        <is>
          <t>Miron Bunakov</t>
        </is>
      </c>
      <c r="D2495" s="33" t="inlineStr">
        <is>
          <t>SwimCloud</t>
        </is>
      </c>
      <c r="E2495" s="33" t="inlineStr">
        <is>
          <t>3360584</t>
        </is>
      </c>
      <c r="F2495" s="33" t="inlineStr">
        <is>
          <t>43670955</t>
        </is>
      </c>
      <c r="G2495" s="51" t="n">
        <v>44270</v>
      </c>
      <c r="H2495" s="33" t="inlineStr">
        <is>
          <t>Liberty Insurance 51st SNAG Ju</t>
        </is>
      </c>
      <c r="I2495" s="33" t="inlineStr">
        <is>
          <t>201723</t>
        </is>
      </c>
      <c r="J2495" s="33" t="inlineStr"/>
      <c r="K2495" s="33" t="inlineStr">
        <is>
          <t>TIM</t>
        </is>
      </c>
      <c r="L2495" s="35">
        <f>IF(K2495="FIN",3,IF(OR(K2495="SEM",K2495="SEMI"),2,IF(OR(K2495="PRE",K2495="HEAT"),1,IF(V2495="YES",4,2))))</f>
        <v/>
      </c>
      <c r="M2495" s="33" t="inlineStr">
        <is>
          <t>LCM</t>
        </is>
      </c>
      <c r="N2495" s="33" t="n">
        <v>100</v>
      </c>
      <c r="O2495" s="33" t="inlineStr">
        <is>
          <t>Fly</t>
        </is>
      </c>
      <c r="P2495" s="33" t="inlineStr">
        <is>
          <t>100 Fly</t>
        </is>
      </c>
      <c r="Q2495" s="33" t="inlineStr">
        <is>
          <t>LCM_100_FLY</t>
        </is>
      </c>
      <c r="R2495" s="36" t="n">
        <v>76.81999999999999</v>
      </c>
      <c r="S2495" s="35">
        <f>IF(R2495="","",IF(R2495&gt;=60,INT(R2495/60)&amp;":"&amp;TEXT(MOD(R2495,60),"00.00"),TEXT(R2495,"0.00")))</f>
        <v/>
      </c>
      <c r="T2495" s="52">
        <f>IFERROR((G2495-INDEX('01_Swimmers'!$E$5:$E$22,MATCH(B2495,'01_Swimmers'!$A$5:$A$22,0)))/'00_Control'!$B$10,"")</f>
        <v/>
      </c>
      <c r="U2495" s="35">
        <f>IF(T2495="","",INT(T2495))</f>
        <v/>
      </c>
      <c r="V2495" s="33" t="inlineStr">
        <is>
          <t>NO</t>
        </is>
      </c>
      <c r="W2495" s="33" t="inlineStr">
        <is>
          <t>YES</t>
        </is>
      </c>
      <c r="X2495" s="33" t="inlineStr">
        <is>
          <t>NO</t>
        </is>
      </c>
      <c r="Y2495" s="33" t="n">
        <v>4</v>
      </c>
      <c r="Z2495" s="33" t="n">
        <v>7</v>
      </c>
      <c r="AA2495" s="33" t="inlineStr">
        <is>
          <t>19</t>
        </is>
      </c>
      <c r="AB2495" s="33" t="inlineStr">
        <is>
          <t>https://www.swimcloud.com/results/201723/event/306/?id=43670955#time43670955</t>
        </is>
      </c>
      <c r="AC2495" s="33" t="inlineStr">
        <is>
          <t>SwimCloud API v6 2026-10-08</t>
        </is>
      </c>
      <c r="AD2495" s="33" t="inlineStr">
        <is>
          <t>Miron Bunakov|2021-03-15|LCM|100|Fly|76.82|Liberty Insurance 51st SNAG Ju|TIM|False</t>
        </is>
      </c>
      <c r="AE2495" s="53">
        <f>G2495+L2495/1000+ROW()/1000000000</f>
        <v/>
      </c>
      <c r="AF2495" s="35">
        <f>IF(C2495&lt;&gt;"Grayson Coulter","",COUNTIFS($C$5:$C$2991,"Grayson Coulter",$Q$5:$Q$2991,Q2495,$AE$5:$AE$2991,"&lt;="&amp;AE2495,$R$5:$R$2991,"&lt;"&amp;R2495))</f>
        <v/>
      </c>
      <c r="AG2495" s="35">
        <f>IF(OR(C2495&lt;&gt;"Grayson Coulter",G2495&lt;'00_Control'!$B$7),"",--(AF2495&lt;5))</f>
        <v/>
      </c>
      <c r="AH2495" s="35">
        <f>IF(OR(C2495&lt;&gt;"Grayson Coulter",G2495&lt;'00_Control'!$B$7),"",--(AF2495&lt;10))</f>
        <v/>
      </c>
      <c r="AI2495" s="35">
        <f>IF(AND(C2495="Grayson Coulter",G2495&gt;='00_Control'!$B$7),"YES","NO")</f>
        <v/>
      </c>
      <c r="AJ2495" s="33" t="inlineStr">
        <is>
          <t>OK</t>
        </is>
      </c>
    </row>
    <row r="2496">
      <c r="A2496" s="33" t="inlineStr">
        <is>
          <t>SM002492</t>
        </is>
      </c>
      <c r="B2496" s="33" t="inlineStr">
        <is>
          <t>SW002</t>
        </is>
      </c>
      <c r="C2496" s="33" t="inlineStr">
        <is>
          <t>Miron Bunakov</t>
        </is>
      </c>
      <c r="D2496" s="33" t="inlineStr">
        <is>
          <t>SwimCloud</t>
        </is>
      </c>
      <c r="E2496" s="33" t="inlineStr">
        <is>
          <t>3360584</t>
        </is>
      </c>
      <c r="F2496" s="33" t="inlineStr">
        <is>
          <t>43671291</t>
        </is>
      </c>
      <c r="G2496" s="51" t="n">
        <v>44270</v>
      </c>
      <c r="H2496" s="33" t="inlineStr">
        <is>
          <t>Liberty Insurance 51st SNAG Ju</t>
        </is>
      </c>
      <c r="I2496" s="33" t="inlineStr">
        <is>
          <t>201723</t>
        </is>
      </c>
      <c r="J2496" s="33" t="inlineStr"/>
      <c r="K2496" s="33" t="inlineStr">
        <is>
          <t>TIM</t>
        </is>
      </c>
      <c r="L2496" s="35">
        <f>IF(K2496="FIN",3,IF(OR(K2496="SEM",K2496="SEMI"),2,IF(OR(K2496="PRE",K2496="HEAT"),1,IF(V2496="YES",4,2))))</f>
        <v/>
      </c>
      <c r="M2496" s="33" t="inlineStr">
        <is>
          <t>LCM</t>
        </is>
      </c>
      <c r="N2496" s="33" t="n">
        <v>100</v>
      </c>
      <c r="O2496" s="33" t="inlineStr">
        <is>
          <t>Free</t>
        </is>
      </c>
      <c r="P2496" s="33" t="inlineStr">
        <is>
          <t>100 Free</t>
        </is>
      </c>
      <c r="Q2496" s="33" t="inlineStr">
        <is>
          <t>LCM_100_FREE</t>
        </is>
      </c>
      <c r="R2496" s="36" t="n">
        <v>67.41</v>
      </c>
      <c r="S2496" s="35">
        <f>IF(R2496="","",IF(R2496&gt;=60,INT(R2496/60)&amp;":"&amp;TEXT(MOD(R2496,60),"00.00"),TEXT(R2496,"0.00")))</f>
        <v/>
      </c>
      <c r="T2496" s="52">
        <f>IFERROR((G2496-INDEX('01_Swimmers'!$E$5:$E$22,MATCH(B2496,'01_Swimmers'!$A$5:$A$22,0)))/'00_Control'!$B$10,"")</f>
        <v/>
      </c>
      <c r="U2496" s="35">
        <f>IF(T2496="","",INT(T2496))</f>
        <v/>
      </c>
      <c r="V2496" s="33" t="inlineStr">
        <is>
          <t>NO</t>
        </is>
      </c>
      <c r="W2496" s="33" t="inlineStr">
        <is>
          <t>YES</t>
        </is>
      </c>
      <c r="X2496" s="33" t="inlineStr">
        <is>
          <t>NO</t>
        </is>
      </c>
      <c r="Y2496" s="33" t="n">
        <v>4</v>
      </c>
      <c r="Z2496" s="33" t="n">
        <v>1</v>
      </c>
      <c r="AA2496" s="33" t="inlineStr">
        <is>
          <t>19</t>
        </is>
      </c>
      <c r="AB2496" s="33" t="inlineStr">
        <is>
          <t>https://www.swimcloud.com/results/201723/event/302/?id=43671291#time43671291</t>
        </is>
      </c>
      <c r="AC2496" s="33" t="inlineStr">
        <is>
          <t>SwimCloud API v6 2026-10-08</t>
        </is>
      </c>
      <c r="AD2496" s="33" t="inlineStr">
        <is>
          <t>Miron Bunakov|2021-03-15|LCM|100|Free|67.41|Liberty Insurance 51st SNAG Ju|TIM|False</t>
        </is>
      </c>
      <c r="AE2496" s="53">
        <f>G2496+L2496/1000+ROW()/1000000000</f>
        <v/>
      </c>
      <c r="AF2496" s="35">
        <f>IF(C2496&lt;&gt;"Grayson Coulter","",COUNTIFS($C$5:$C$2991,"Grayson Coulter",$Q$5:$Q$2991,Q2496,$AE$5:$AE$2991,"&lt;="&amp;AE2496,$R$5:$R$2991,"&lt;"&amp;R2496))</f>
        <v/>
      </c>
      <c r="AG2496" s="35">
        <f>IF(OR(C2496&lt;&gt;"Grayson Coulter",G2496&lt;'00_Control'!$B$7),"",--(AF2496&lt;5))</f>
        <v/>
      </c>
      <c r="AH2496" s="35">
        <f>IF(OR(C2496&lt;&gt;"Grayson Coulter",G2496&lt;'00_Control'!$B$7),"",--(AF2496&lt;10))</f>
        <v/>
      </c>
      <c r="AI2496" s="35">
        <f>IF(AND(C2496="Grayson Coulter",G2496&gt;='00_Control'!$B$7),"YES","NO")</f>
        <v/>
      </c>
      <c r="AJ2496" s="33" t="inlineStr">
        <is>
          <t>OK</t>
        </is>
      </c>
    </row>
    <row r="2497">
      <c r="A2497" s="33" t="inlineStr">
        <is>
          <t>SM002493</t>
        </is>
      </c>
      <c r="B2497" s="33" t="inlineStr">
        <is>
          <t>SW002</t>
        </is>
      </c>
      <c r="C2497" s="33" t="inlineStr">
        <is>
          <t>Miron Bunakov</t>
        </is>
      </c>
      <c r="D2497" s="33" t="inlineStr">
        <is>
          <t>SwimCloud</t>
        </is>
      </c>
      <c r="E2497" s="33" t="inlineStr">
        <is>
          <t>3360584</t>
        </is>
      </c>
      <c r="F2497" s="33" t="inlineStr">
        <is>
          <t>59898690</t>
        </is>
      </c>
      <c r="G2497" s="51" t="n">
        <v>44618</v>
      </c>
      <c r="H2497" s="33" t="inlineStr">
        <is>
          <t>SSA Junior Time Trials (Feb 20</t>
        </is>
      </c>
      <c r="I2497" s="33" t="inlineStr">
        <is>
          <t>224643</t>
        </is>
      </c>
      <c r="J2497" s="33" t="inlineStr"/>
      <c r="K2497" s="33" t="inlineStr">
        <is>
          <t>TIM</t>
        </is>
      </c>
      <c r="L2497" s="35">
        <f>IF(K2497="FIN",3,IF(OR(K2497="SEM",K2497="SEMI"),2,IF(OR(K2497="PRE",K2497="HEAT"),1,IF(V2497="YES",4,2))))</f>
        <v/>
      </c>
      <c r="M2497" s="33" t="inlineStr">
        <is>
          <t>LCM</t>
        </is>
      </c>
      <c r="N2497" s="33" t="n">
        <v>100</v>
      </c>
      <c r="O2497" s="33" t="inlineStr">
        <is>
          <t>Fly</t>
        </is>
      </c>
      <c r="P2497" s="33" t="inlineStr">
        <is>
          <t>100 Fly</t>
        </is>
      </c>
      <c r="Q2497" s="33" t="inlineStr">
        <is>
          <t>LCM_100_FLY</t>
        </is>
      </c>
      <c r="R2497" s="36" t="n">
        <v>73.5</v>
      </c>
      <c r="S2497" s="35">
        <f>IF(R2497="","",IF(R2497&gt;=60,INT(R2497/60)&amp;":"&amp;TEXT(MOD(R2497,60),"00.00"),TEXT(R2497,"0.00")))</f>
        <v/>
      </c>
      <c r="T2497" s="52">
        <f>IFERROR((G2497-INDEX('01_Swimmers'!$E$5:$E$22,MATCH(B2497,'01_Swimmers'!$A$5:$A$22,0)))/'00_Control'!$B$10,"")</f>
        <v/>
      </c>
      <c r="U2497" s="35">
        <f>IF(T2497="","",INT(T2497))</f>
        <v/>
      </c>
      <c r="V2497" s="33" t="inlineStr">
        <is>
          <t>NO</t>
        </is>
      </c>
      <c r="W2497" s="33" t="inlineStr">
        <is>
          <t>YES</t>
        </is>
      </c>
      <c r="X2497" s="33" t="inlineStr">
        <is>
          <t>NO</t>
        </is>
      </c>
      <c r="Y2497" s="33" t="n">
        <v>1</v>
      </c>
      <c r="Z2497" s="33" t="n">
        <v>8</v>
      </c>
      <c r="AA2497" s="33" t="inlineStr">
        <is>
          <t>2</t>
        </is>
      </c>
      <c r="AB2497" s="33" t="inlineStr">
        <is>
          <t>https://www.swimcloud.com/results/224643/event/104/?id=59898690#time59898690</t>
        </is>
      </c>
      <c r="AC2497" s="33" t="inlineStr">
        <is>
          <t>SwimCloud API v6 2026-10-08</t>
        </is>
      </c>
      <c r="AD2497" s="33" t="inlineStr">
        <is>
          <t>Miron Bunakov|2022-02-26|LCM|100|Fly|73.5|SSA Junior Time Trials (Feb 20|TIM|False</t>
        </is>
      </c>
      <c r="AE2497" s="53">
        <f>G2497+L2497/1000+ROW()/1000000000</f>
        <v/>
      </c>
      <c r="AF2497" s="35">
        <f>IF(C2497&lt;&gt;"Grayson Coulter","",COUNTIFS($C$5:$C$2991,"Grayson Coulter",$Q$5:$Q$2991,Q2497,$AE$5:$AE$2991,"&lt;="&amp;AE2497,$R$5:$R$2991,"&lt;"&amp;R2497))</f>
        <v/>
      </c>
      <c r="AG2497" s="35">
        <f>IF(OR(C2497&lt;&gt;"Grayson Coulter",G2497&lt;'00_Control'!$B$7),"",--(AF2497&lt;5))</f>
        <v/>
      </c>
      <c r="AH2497" s="35">
        <f>IF(OR(C2497&lt;&gt;"Grayson Coulter",G2497&lt;'00_Control'!$B$7),"",--(AF2497&lt;10))</f>
        <v/>
      </c>
      <c r="AI2497" s="35">
        <f>IF(AND(C2497="Grayson Coulter",G2497&gt;='00_Control'!$B$7),"YES","NO")</f>
        <v/>
      </c>
      <c r="AJ2497" s="33" t="inlineStr">
        <is>
          <t>OK</t>
        </is>
      </c>
    </row>
    <row r="2498">
      <c r="A2498" s="33" t="inlineStr">
        <is>
          <t>SM002494</t>
        </is>
      </c>
      <c r="B2498" s="33" t="inlineStr">
        <is>
          <t>SW002</t>
        </is>
      </c>
      <c r="C2498" s="33" t="inlineStr">
        <is>
          <t>Miron Bunakov</t>
        </is>
      </c>
      <c r="D2498" s="33" t="inlineStr">
        <is>
          <t>SwimCloud</t>
        </is>
      </c>
      <c r="E2498" s="33" t="inlineStr">
        <is>
          <t>3360584</t>
        </is>
      </c>
      <c r="F2498" s="33" t="inlineStr">
        <is>
          <t>59898666</t>
        </is>
      </c>
      <c r="G2498" s="51" t="n">
        <v>44619</v>
      </c>
      <c r="H2498" s="33" t="inlineStr">
        <is>
          <t>SSA Junior Time Trials (Feb 20</t>
        </is>
      </c>
      <c r="I2498" s="33" t="inlineStr">
        <is>
          <t>224643</t>
        </is>
      </c>
      <c r="J2498" s="33" t="inlineStr"/>
      <c r="K2498" s="33" t="inlineStr">
        <is>
          <t>TIM</t>
        </is>
      </c>
      <c r="L2498" s="35">
        <f>IF(K2498="FIN",3,IF(OR(K2498="SEM",K2498="SEMI"),2,IF(OR(K2498="PRE",K2498="HEAT"),1,IF(V2498="YES",4,2))))</f>
        <v/>
      </c>
      <c r="M2498" s="33" t="inlineStr">
        <is>
          <t>LCM</t>
        </is>
      </c>
      <c r="N2498" s="33" t="n">
        <v>100</v>
      </c>
      <c r="O2498" s="33" t="inlineStr">
        <is>
          <t>Free</t>
        </is>
      </c>
      <c r="P2498" s="33" t="inlineStr">
        <is>
          <t>100 Free</t>
        </is>
      </c>
      <c r="Q2498" s="33" t="inlineStr">
        <is>
          <t>LCM_100_FREE</t>
        </is>
      </c>
      <c r="R2498" s="36" t="n">
        <v>66.11</v>
      </c>
      <c r="S2498" s="35">
        <f>IF(R2498="","",IF(R2498&gt;=60,INT(R2498/60)&amp;":"&amp;TEXT(MOD(R2498,60),"00.00"),TEXT(R2498,"0.00")))</f>
        <v/>
      </c>
      <c r="T2498" s="52">
        <f>IFERROR((G2498-INDEX('01_Swimmers'!$E$5:$E$22,MATCH(B2498,'01_Swimmers'!$A$5:$A$22,0)))/'00_Control'!$B$10,"")</f>
        <v/>
      </c>
      <c r="U2498" s="35">
        <f>IF(T2498="","",INT(T2498))</f>
        <v/>
      </c>
      <c r="V2498" s="33" t="inlineStr">
        <is>
          <t>NO</t>
        </is>
      </c>
      <c r="W2498" s="33" t="inlineStr">
        <is>
          <t>YES</t>
        </is>
      </c>
      <c r="X2498" s="33" t="inlineStr">
        <is>
          <t>NO</t>
        </is>
      </c>
      <c r="Y2498" s="33" t="n">
        <v>1</v>
      </c>
      <c r="Z2498" s="33" t="n">
        <v>1</v>
      </c>
      <c r="AA2498" s="33" t="inlineStr">
        <is>
          <t>1</t>
        </is>
      </c>
      <c r="AB2498" s="33" t="inlineStr">
        <is>
          <t>https://www.swimcloud.com/results/224643/event/203/?id=59898666#time59898666</t>
        </is>
      </c>
      <c r="AC2498" s="33" t="inlineStr">
        <is>
          <t>SwimCloud API v6 2026-10-08</t>
        </is>
      </c>
      <c r="AD2498" s="33" t="inlineStr">
        <is>
          <t>Miron Bunakov|2022-02-27|LCM|100|Free|66.11|SSA Junior Time Trials (Feb 20|TIM|False</t>
        </is>
      </c>
      <c r="AE2498" s="53">
        <f>G2498+L2498/1000+ROW()/1000000000</f>
        <v/>
      </c>
      <c r="AF2498" s="35">
        <f>IF(C2498&lt;&gt;"Grayson Coulter","",COUNTIFS($C$5:$C$2991,"Grayson Coulter",$Q$5:$Q$2991,Q2498,$AE$5:$AE$2991,"&lt;="&amp;AE2498,$R$5:$R$2991,"&lt;"&amp;R2498))</f>
        <v/>
      </c>
      <c r="AG2498" s="35">
        <f>IF(OR(C2498&lt;&gt;"Grayson Coulter",G2498&lt;'00_Control'!$B$7),"",--(AF2498&lt;5))</f>
        <v/>
      </c>
      <c r="AH2498" s="35">
        <f>IF(OR(C2498&lt;&gt;"Grayson Coulter",G2498&lt;'00_Control'!$B$7),"",--(AF2498&lt;10))</f>
        <v/>
      </c>
      <c r="AI2498" s="35">
        <f>IF(AND(C2498="Grayson Coulter",G2498&gt;='00_Control'!$B$7),"YES","NO")</f>
        <v/>
      </c>
      <c r="AJ2498" s="33" t="inlineStr">
        <is>
          <t>OK</t>
        </is>
      </c>
    </row>
    <row r="2499">
      <c r="A2499" s="33" t="inlineStr">
        <is>
          <t>SM002495</t>
        </is>
      </c>
      <c r="B2499" s="33" t="inlineStr">
        <is>
          <t>SW002</t>
        </is>
      </c>
      <c r="C2499" s="33" t="inlineStr">
        <is>
          <t>Miron Bunakov</t>
        </is>
      </c>
      <c r="D2499" s="33" t="inlineStr">
        <is>
          <t>SwimCloud</t>
        </is>
      </c>
      <c r="E2499" s="33" t="inlineStr">
        <is>
          <t>3360584</t>
        </is>
      </c>
      <c r="F2499" s="33" t="inlineStr">
        <is>
          <t>60740090</t>
        </is>
      </c>
      <c r="G2499" s="51" t="n">
        <v>44632</v>
      </c>
      <c r="H2499" s="33" t="inlineStr">
        <is>
          <t>52nd SNAG Juniors Sprints</t>
        </is>
      </c>
      <c r="I2499" s="33" t="inlineStr">
        <is>
          <t>225878</t>
        </is>
      </c>
      <c r="J2499" s="33" t="inlineStr"/>
      <c r="K2499" s="33" t="inlineStr">
        <is>
          <t>TIM</t>
        </is>
      </c>
      <c r="L2499" s="35">
        <f>IF(K2499="FIN",3,IF(OR(K2499="SEM",K2499="SEMI"),2,IF(OR(K2499="PRE",K2499="HEAT"),1,IF(V2499="YES",4,2))))</f>
        <v/>
      </c>
      <c r="M2499" s="33" t="inlineStr">
        <is>
          <t>LCM</t>
        </is>
      </c>
      <c r="N2499" s="33" t="n">
        <v>100</v>
      </c>
      <c r="O2499" s="33" t="inlineStr">
        <is>
          <t>Fly</t>
        </is>
      </c>
      <c r="P2499" s="33" t="inlineStr">
        <is>
          <t>100 Fly</t>
        </is>
      </c>
      <c r="Q2499" s="33" t="inlineStr">
        <is>
          <t>LCM_100_FLY</t>
        </is>
      </c>
      <c r="R2499" s="36" t="n">
        <v>70.87</v>
      </c>
      <c r="S2499" s="35">
        <f>IF(R2499="","",IF(R2499&gt;=60,INT(R2499/60)&amp;":"&amp;TEXT(MOD(R2499,60),"00.00"),TEXT(R2499,"0.00")))</f>
        <v/>
      </c>
      <c r="T2499" s="52">
        <f>IFERROR((G2499-INDEX('01_Swimmers'!$E$5:$E$22,MATCH(B2499,'01_Swimmers'!$A$5:$A$22,0)))/'00_Control'!$B$10,"")</f>
        <v/>
      </c>
      <c r="U2499" s="35">
        <f>IF(T2499="","",INT(T2499))</f>
        <v/>
      </c>
      <c r="V2499" s="33" t="inlineStr">
        <is>
          <t>NO</t>
        </is>
      </c>
      <c r="W2499" s="33" t="inlineStr">
        <is>
          <t>YES</t>
        </is>
      </c>
      <c r="X2499" s="33" t="inlineStr">
        <is>
          <t>NO</t>
        </is>
      </c>
      <c r="Y2499" s="33" t="n">
        <v>1</v>
      </c>
      <c r="Z2499" s="33" t="n">
        <v>1</v>
      </c>
      <c r="AA2499" s="33" t="inlineStr">
        <is>
          <t>2</t>
        </is>
      </c>
      <c r="AB2499" s="33" t="inlineStr">
        <is>
          <t>https://www.swimcloud.com/results/225878/event/103/?id=60740090#time60740090</t>
        </is>
      </c>
      <c r="AC2499" s="33" t="inlineStr">
        <is>
          <t>SwimCloud API v6 2026-10-08</t>
        </is>
      </c>
      <c r="AD2499" s="33" t="inlineStr">
        <is>
          <t>Miron Bunakov|2022-03-12|LCM|100|Fly|70.87|52nd SNAG Juniors Sprints|TIM|False</t>
        </is>
      </c>
      <c r="AE2499" s="53">
        <f>G2499+L2499/1000+ROW()/1000000000</f>
        <v/>
      </c>
      <c r="AF2499" s="35">
        <f>IF(C2499&lt;&gt;"Grayson Coulter","",COUNTIFS($C$5:$C$2991,"Grayson Coulter",$Q$5:$Q$2991,Q2499,$AE$5:$AE$2991,"&lt;="&amp;AE2499,$R$5:$R$2991,"&lt;"&amp;R2499))</f>
        <v/>
      </c>
      <c r="AG2499" s="35">
        <f>IF(OR(C2499&lt;&gt;"Grayson Coulter",G2499&lt;'00_Control'!$B$7),"",--(AF2499&lt;5))</f>
        <v/>
      </c>
      <c r="AH2499" s="35">
        <f>IF(OR(C2499&lt;&gt;"Grayson Coulter",G2499&lt;'00_Control'!$B$7),"",--(AF2499&lt;10))</f>
        <v/>
      </c>
      <c r="AI2499" s="35">
        <f>IF(AND(C2499="Grayson Coulter",G2499&gt;='00_Control'!$B$7),"YES","NO")</f>
        <v/>
      </c>
      <c r="AJ2499" s="33" t="inlineStr">
        <is>
          <t>OK</t>
        </is>
      </c>
    </row>
    <row r="2500">
      <c r="A2500" s="33" t="inlineStr">
        <is>
          <t>SM002496</t>
        </is>
      </c>
      <c r="B2500" s="33" t="inlineStr">
        <is>
          <t>SW002</t>
        </is>
      </c>
      <c r="C2500" s="33" t="inlineStr">
        <is>
          <t>Miron Bunakov</t>
        </is>
      </c>
      <c r="D2500" s="33" t="inlineStr">
        <is>
          <t>SwimCloud</t>
        </is>
      </c>
      <c r="E2500" s="33" t="inlineStr">
        <is>
          <t>3360584</t>
        </is>
      </c>
      <c r="F2500" s="33" t="inlineStr">
        <is>
          <t>60739221</t>
        </is>
      </c>
      <c r="G2500" s="51" t="n">
        <v>44633</v>
      </c>
      <c r="H2500" s="33" t="inlineStr">
        <is>
          <t>52nd SNAG Juniors Sprints</t>
        </is>
      </c>
      <c r="I2500" s="33" t="inlineStr">
        <is>
          <t>225878</t>
        </is>
      </c>
      <c r="J2500" s="33" t="inlineStr"/>
      <c r="K2500" s="33" t="inlineStr">
        <is>
          <t>TIM</t>
        </is>
      </c>
      <c r="L2500" s="35">
        <f>IF(K2500="FIN",3,IF(OR(K2500="SEM",K2500="SEMI"),2,IF(OR(K2500="PRE",K2500="HEAT"),1,IF(V2500="YES",4,2))))</f>
        <v/>
      </c>
      <c r="M2500" s="33" t="inlineStr">
        <is>
          <t>LCM</t>
        </is>
      </c>
      <c r="N2500" s="33" t="n">
        <v>100</v>
      </c>
      <c r="O2500" s="33" t="inlineStr">
        <is>
          <t>Free</t>
        </is>
      </c>
      <c r="P2500" s="33" t="inlineStr">
        <is>
          <t>100 Free</t>
        </is>
      </c>
      <c r="Q2500" s="33" t="inlineStr">
        <is>
          <t>LCM_100_FREE</t>
        </is>
      </c>
      <c r="R2500" s="36" t="n">
        <v>64.33</v>
      </c>
      <c r="S2500" s="35">
        <f>IF(R2500="","",IF(R2500&gt;=60,INT(R2500/60)&amp;":"&amp;TEXT(MOD(R2500,60),"00.00"),TEXT(R2500,"0.00")))</f>
        <v/>
      </c>
      <c r="T2500" s="52">
        <f>IFERROR((G2500-INDEX('01_Swimmers'!$E$5:$E$22,MATCH(B2500,'01_Swimmers'!$A$5:$A$22,0)))/'00_Control'!$B$10,"")</f>
        <v/>
      </c>
      <c r="U2500" s="35">
        <f>IF(T2500="","",INT(T2500))</f>
        <v/>
      </c>
      <c r="V2500" s="33" t="inlineStr">
        <is>
          <t>NO</t>
        </is>
      </c>
      <c r="W2500" s="33" t="inlineStr">
        <is>
          <t>YES</t>
        </is>
      </c>
      <c r="X2500" s="33" t="inlineStr">
        <is>
          <t>NO</t>
        </is>
      </c>
      <c r="Y2500" s="33" t="n">
        <v>1</v>
      </c>
      <c r="Z2500" s="33" t="n">
        <v>9</v>
      </c>
      <c r="AA2500" s="33" t="inlineStr">
        <is>
          <t>2</t>
        </is>
      </c>
      <c r="AB2500" s="33" t="inlineStr">
        <is>
          <t>https://www.swimcloud.com/results/225878/event/202/?id=60739221#time60739221</t>
        </is>
      </c>
      <c r="AC2500" s="33" t="inlineStr">
        <is>
          <t>SwimCloud API v6 2026-10-08</t>
        </is>
      </c>
      <c r="AD2500" s="33" t="inlineStr">
        <is>
          <t>Miron Bunakov|2022-03-13|LCM|100|Free|64.33|52nd SNAG Juniors Sprints|TIM|False</t>
        </is>
      </c>
      <c r="AE2500" s="53">
        <f>G2500+L2500/1000+ROW()/1000000000</f>
        <v/>
      </c>
      <c r="AF2500" s="35">
        <f>IF(C2500&lt;&gt;"Grayson Coulter","",COUNTIFS($C$5:$C$2991,"Grayson Coulter",$Q$5:$Q$2991,Q2500,$AE$5:$AE$2991,"&lt;="&amp;AE2500,$R$5:$R$2991,"&lt;"&amp;R2500))</f>
        <v/>
      </c>
      <c r="AG2500" s="35">
        <f>IF(OR(C2500&lt;&gt;"Grayson Coulter",G2500&lt;'00_Control'!$B$7),"",--(AF2500&lt;5))</f>
        <v/>
      </c>
      <c r="AH2500" s="35">
        <f>IF(OR(C2500&lt;&gt;"Grayson Coulter",G2500&lt;'00_Control'!$B$7),"",--(AF2500&lt;10))</f>
        <v/>
      </c>
      <c r="AI2500" s="35">
        <f>IF(AND(C2500="Grayson Coulter",G2500&gt;='00_Control'!$B$7),"YES","NO")</f>
        <v/>
      </c>
      <c r="AJ2500" s="33" t="inlineStr">
        <is>
          <t>OK</t>
        </is>
      </c>
    </row>
    <row r="2501">
      <c r="A2501" s="33" t="inlineStr">
        <is>
          <t>SM002497</t>
        </is>
      </c>
      <c r="B2501" s="33" t="inlineStr">
        <is>
          <t>SW002</t>
        </is>
      </c>
      <c r="C2501" s="33" t="inlineStr">
        <is>
          <t>Miron Bunakov</t>
        </is>
      </c>
      <c r="D2501" s="33" t="inlineStr">
        <is>
          <t>SwimCloud</t>
        </is>
      </c>
      <c r="E2501" s="33" t="inlineStr">
        <is>
          <t>3360584</t>
        </is>
      </c>
      <c r="F2501" s="33" t="inlineStr">
        <is>
          <t>65659467</t>
        </is>
      </c>
      <c r="G2501" s="51" t="n">
        <v>44714</v>
      </c>
      <c r="H2501" s="33" t="inlineStr">
        <is>
          <t>SSA Futures Meet</t>
        </is>
      </c>
      <c r="I2501" s="33" t="inlineStr">
        <is>
          <t>232213</t>
        </is>
      </c>
      <c r="J2501" s="33" t="inlineStr"/>
      <c r="K2501" s="33" t="inlineStr">
        <is>
          <t>TIM</t>
        </is>
      </c>
      <c r="L2501" s="35">
        <f>IF(K2501="FIN",3,IF(OR(K2501="SEM",K2501="SEMI"),2,IF(OR(K2501="PRE",K2501="HEAT"),1,IF(V2501="YES",4,2))))</f>
        <v/>
      </c>
      <c r="M2501" s="33" t="inlineStr">
        <is>
          <t>LCM</t>
        </is>
      </c>
      <c r="N2501" s="33" t="n">
        <v>200</v>
      </c>
      <c r="O2501" s="33" t="inlineStr">
        <is>
          <t>Free</t>
        </is>
      </c>
      <c r="P2501" s="33" t="inlineStr">
        <is>
          <t>200 Free</t>
        </is>
      </c>
      <c r="Q2501" s="33" t="inlineStr">
        <is>
          <t>LCM_200_FREE</t>
        </is>
      </c>
      <c r="R2501" s="36" t="n">
        <v>143.35</v>
      </c>
      <c r="S2501" s="35">
        <f>IF(R2501="","",IF(R2501&gt;=60,INT(R2501/60)&amp;":"&amp;TEXT(MOD(R2501,60),"00.00"),TEXT(R2501,"0.00")))</f>
        <v/>
      </c>
      <c r="T2501" s="52">
        <f>IFERROR((G2501-INDEX('01_Swimmers'!$E$5:$E$22,MATCH(B2501,'01_Swimmers'!$A$5:$A$22,0)))/'00_Control'!$B$10,"")</f>
        <v/>
      </c>
      <c r="U2501" s="35">
        <f>IF(T2501="","",INT(T2501))</f>
        <v/>
      </c>
      <c r="V2501" s="33" t="inlineStr">
        <is>
          <t>NO</t>
        </is>
      </c>
      <c r="W2501" s="33" t="inlineStr">
        <is>
          <t>YES</t>
        </is>
      </c>
      <c r="X2501" s="33" t="inlineStr">
        <is>
          <t>NO</t>
        </is>
      </c>
      <c r="Y2501" s="33" t="n">
        <v>1</v>
      </c>
      <c r="Z2501" s="33" t="n">
        <v>3</v>
      </c>
      <c r="AA2501" s="33" t="inlineStr">
        <is>
          <t>2</t>
        </is>
      </c>
      <c r="AB2501" s="33" t="inlineStr">
        <is>
          <t>https://www.swimcloud.com/results/232213/event/217/?id=65659467#time65659467</t>
        </is>
      </c>
      <c r="AC2501" s="33" t="inlineStr">
        <is>
          <t>SwimCloud API v6 2026-10-08</t>
        </is>
      </c>
      <c r="AD2501" s="33" t="inlineStr">
        <is>
          <t>Miron Bunakov|2022-06-02|LCM|200|Free|143.35|SSA Futures Meet|TIM|False</t>
        </is>
      </c>
      <c r="AE2501" s="53">
        <f>G2501+L2501/1000+ROW()/1000000000</f>
        <v/>
      </c>
      <c r="AF2501" s="35">
        <f>IF(C2501&lt;&gt;"Grayson Coulter","",COUNTIFS($C$5:$C$2991,"Grayson Coulter",$Q$5:$Q$2991,Q2501,$AE$5:$AE$2991,"&lt;="&amp;AE2501,$R$5:$R$2991,"&lt;"&amp;R2501))</f>
        <v/>
      </c>
      <c r="AG2501" s="35">
        <f>IF(OR(C2501&lt;&gt;"Grayson Coulter",G2501&lt;'00_Control'!$B$7),"",--(AF2501&lt;5))</f>
        <v/>
      </c>
      <c r="AH2501" s="35">
        <f>IF(OR(C2501&lt;&gt;"Grayson Coulter",G2501&lt;'00_Control'!$B$7),"",--(AF2501&lt;10))</f>
        <v/>
      </c>
      <c r="AI2501" s="35">
        <f>IF(AND(C2501="Grayson Coulter",G2501&gt;='00_Control'!$B$7),"YES","NO")</f>
        <v/>
      </c>
      <c r="AJ2501" s="33" t="inlineStr">
        <is>
          <t>OK</t>
        </is>
      </c>
    </row>
    <row r="2502">
      <c r="A2502" s="33" t="inlineStr">
        <is>
          <t>SM002498</t>
        </is>
      </c>
      <c r="B2502" s="33" t="inlineStr">
        <is>
          <t>SW002</t>
        </is>
      </c>
      <c r="C2502" s="33" t="inlineStr">
        <is>
          <t>Miron Bunakov</t>
        </is>
      </c>
      <c r="D2502" s="33" t="inlineStr">
        <is>
          <t>SwimCloud</t>
        </is>
      </c>
      <c r="E2502" s="33" t="inlineStr">
        <is>
          <t>3360584</t>
        </is>
      </c>
      <c r="F2502" s="33" t="inlineStr">
        <is>
          <t>65659575</t>
        </is>
      </c>
      <c r="G2502" s="51" t="n">
        <v>44715</v>
      </c>
      <c r="H2502" s="33" t="inlineStr">
        <is>
          <t>SSA Futures Meet</t>
        </is>
      </c>
      <c r="I2502" s="33" t="inlineStr">
        <is>
          <t>232213</t>
        </is>
      </c>
      <c r="J2502" s="33" t="inlineStr"/>
      <c r="K2502" s="33" t="inlineStr">
        <is>
          <t>TIM</t>
        </is>
      </c>
      <c r="L2502" s="35">
        <f>IF(K2502="FIN",3,IF(OR(K2502="SEM",K2502="SEMI"),2,IF(OR(K2502="PRE",K2502="HEAT"),1,IF(V2502="YES",4,2))))</f>
        <v/>
      </c>
      <c r="M2502" s="33" t="inlineStr">
        <is>
          <t>LCM</t>
        </is>
      </c>
      <c r="N2502" s="33" t="n">
        <v>400</v>
      </c>
      <c r="O2502" s="33" t="inlineStr">
        <is>
          <t>Free</t>
        </is>
      </c>
      <c r="P2502" s="33" t="inlineStr">
        <is>
          <t>400 Free</t>
        </is>
      </c>
      <c r="Q2502" s="33" t="inlineStr">
        <is>
          <t>LCM_400_FREE</t>
        </is>
      </c>
      <c r="R2502" s="36" t="n">
        <v>304.11</v>
      </c>
      <c r="S2502" s="35">
        <f>IF(R2502="","",IF(R2502&gt;=60,INT(R2502/60)&amp;":"&amp;TEXT(MOD(R2502,60),"00.00"),TEXT(R2502,"0.00")))</f>
        <v/>
      </c>
      <c r="T2502" s="52">
        <f>IFERROR((G2502-INDEX('01_Swimmers'!$E$5:$E$22,MATCH(B2502,'01_Swimmers'!$A$5:$A$22,0)))/'00_Control'!$B$10,"")</f>
        <v/>
      </c>
      <c r="U2502" s="35">
        <f>IF(T2502="","",INT(T2502))</f>
        <v/>
      </c>
      <c r="V2502" s="33" t="inlineStr">
        <is>
          <t>NO</t>
        </is>
      </c>
      <c r="W2502" s="33" t="inlineStr">
        <is>
          <t>YES</t>
        </is>
      </c>
      <c r="X2502" s="33" t="inlineStr">
        <is>
          <t>NO</t>
        </is>
      </c>
      <c r="Y2502" s="33" t="n">
        <v>1</v>
      </c>
      <c r="Z2502" s="33" t="n">
        <v>7</v>
      </c>
      <c r="AA2502" s="33" t="inlineStr">
        <is>
          <t>4</t>
        </is>
      </c>
      <c r="AB2502" s="33" t="inlineStr">
        <is>
          <t>https://www.swimcloud.com/results/232213/event/319/?id=65659575#time65659575</t>
        </is>
      </c>
      <c r="AC2502" s="33" t="inlineStr">
        <is>
          <t>SwimCloud API v6 2026-10-08</t>
        </is>
      </c>
      <c r="AD2502" s="33" t="inlineStr">
        <is>
          <t>Miron Bunakov|2022-06-03|LCM|400|Free|304.11|SSA Futures Meet|TIM|False</t>
        </is>
      </c>
      <c r="AE2502" s="53">
        <f>G2502+L2502/1000+ROW()/1000000000</f>
        <v/>
      </c>
      <c r="AF2502" s="35">
        <f>IF(C2502&lt;&gt;"Grayson Coulter","",COUNTIFS($C$5:$C$2991,"Grayson Coulter",$Q$5:$Q$2991,Q2502,$AE$5:$AE$2991,"&lt;="&amp;AE2502,$R$5:$R$2991,"&lt;"&amp;R2502))</f>
        <v/>
      </c>
      <c r="AG2502" s="35">
        <f>IF(OR(C2502&lt;&gt;"Grayson Coulter",G2502&lt;'00_Control'!$B$7),"",--(AF2502&lt;5))</f>
        <v/>
      </c>
      <c r="AH2502" s="35">
        <f>IF(OR(C2502&lt;&gt;"Grayson Coulter",G2502&lt;'00_Control'!$B$7),"",--(AF2502&lt;10))</f>
        <v/>
      </c>
      <c r="AI2502" s="35">
        <f>IF(AND(C2502="Grayson Coulter",G2502&gt;='00_Control'!$B$7),"YES","NO")</f>
        <v/>
      </c>
      <c r="AJ2502" s="33" t="inlineStr">
        <is>
          <t>OK</t>
        </is>
      </c>
    </row>
    <row r="2503">
      <c r="A2503" s="33" t="inlineStr">
        <is>
          <t>SM002499</t>
        </is>
      </c>
      <c r="B2503" s="33" t="inlineStr">
        <is>
          <t>SW002</t>
        </is>
      </c>
      <c r="C2503" s="33" t="inlineStr">
        <is>
          <t>Miron Bunakov</t>
        </is>
      </c>
      <c r="D2503" s="33" t="inlineStr">
        <is>
          <t>SwimCloud</t>
        </is>
      </c>
      <c r="E2503" s="33" t="inlineStr">
        <is>
          <t>3360584</t>
        </is>
      </c>
      <c r="F2503" s="33" t="inlineStr">
        <is>
          <t>81479301</t>
        </is>
      </c>
      <c r="G2503" s="51" t="n">
        <v>44821</v>
      </c>
      <c r="H2503" s="33" t="inlineStr">
        <is>
          <t>Phoenix SC Invitational</t>
        </is>
      </c>
      <c r="I2503" s="33" t="inlineStr">
        <is>
          <t>242935</t>
        </is>
      </c>
      <c r="J2503" s="33" t="inlineStr"/>
      <c r="K2503" s="33" t="inlineStr">
        <is>
          <t>TIM</t>
        </is>
      </c>
      <c r="L2503" s="35">
        <f>IF(K2503="FIN",3,IF(OR(K2503="SEM",K2503="SEMI"),2,IF(OR(K2503="PRE",K2503="HEAT"),1,IF(V2503="YES",4,2))))</f>
        <v/>
      </c>
      <c r="M2503" s="33" t="inlineStr">
        <is>
          <t>SCM</t>
        </is>
      </c>
      <c r="N2503" s="33" t="n">
        <v>100</v>
      </c>
      <c r="O2503" s="33" t="inlineStr">
        <is>
          <t>Free</t>
        </is>
      </c>
      <c r="P2503" s="33" t="inlineStr">
        <is>
          <t>100 Free</t>
        </is>
      </c>
      <c r="Q2503" s="33" t="inlineStr">
        <is>
          <t>SCM_100_FREE</t>
        </is>
      </c>
      <c r="R2503" s="36" t="n">
        <v>63.47</v>
      </c>
      <c r="S2503" s="35">
        <f>IF(R2503="","",IF(R2503&gt;=60,INT(R2503/60)&amp;":"&amp;TEXT(MOD(R2503,60),"00.00"),TEXT(R2503,"0.00")))</f>
        <v/>
      </c>
      <c r="T2503" s="52">
        <f>IFERROR((G2503-INDEX('01_Swimmers'!$E$5:$E$22,MATCH(B2503,'01_Swimmers'!$A$5:$A$22,0)))/'00_Control'!$B$10,"")</f>
        <v/>
      </c>
      <c r="U2503" s="35">
        <f>IF(T2503="","",INT(T2503))</f>
        <v/>
      </c>
      <c r="V2503" s="33" t="inlineStr">
        <is>
          <t>NO</t>
        </is>
      </c>
      <c r="W2503" s="33" t="inlineStr">
        <is>
          <t>YES</t>
        </is>
      </c>
      <c r="X2503" s="33" t="inlineStr">
        <is>
          <t>NO</t>
        </is>
      </c>
      <c r="Y2503" s="33" t="n">
        <v>6</v>
      </c>
      <c r="Z2503" s="33" t="n">
        <v>5</v>
      </c>
      <c r="AA2503" s="33" t="inlineStr">
        <is>
          <t>1</t>
        </is>
      </c>
      <c r="AB2503" s="33" t="inlineStr">
        <is>
          <t>https://www.swimcloud.com/results/242935/event/18/?id=81479301#time81479301</t>
        </is>
      </c>
      <c r="AC2503" s="33" t="inlineStr">
        <is>
          <t>SwimCloud API v6 2026-10-08</t>
        </is>
      </c>
      <c r="AD2503" s="33" t="inlineStr">
        <is>
          <t>Miron Bunakov|2022-09-17|SCM|100|Free|63.47|Phoenix SC Invitational|TIM|False</t>
        </is>
      </c>
      <c r="AE2503" s="53">
        <f>G2503+L2503/1000+ROW()/1000000000</f>
        <v/>
      </c>
      <c r="AF2503" s="35">
        <f>IF(C2503&lt;&gt;"Grayson Coulter","",COUNTIFS($C$5:$C$2991,"Grayson Coulter",$Q$5:$Q$2991,Q2503,$AE$5:$AE$2991,"&lt;="&amp;AE2503,$R$5:$R$2991,"&lt;"&amp;R2503))</f>
        <v/>
      </c>
      <c r="AG2503" s="35">
        <f>IF(OR(C2503&lt;&gt;"Grayson Coulter",G2503&lt;'00_Control'!$B$7),"",--(AF2503&lt;5))</f>
        <v/>
      </c>
      <c r="AH2503" s="35">
        <f>IF(OR(C2503&lt;&gt;"Grayson Coulter",G2503&lt;'00_Control'!$B$7),"",--(AF2503&lt;10))</f>
        <v/>
      </c>
      <c r="AI2503" s="35">
        <f>IF(AND(C2503="Grayson Coulter",G2503&gt;='00_Control'!$B$7),"YES","NO")</f>
        <v/>
      </c>
      <c r="AJ2503" s="33" t="inlineStr">
        <is>
          <t>OK</t>
        </is>
      </c>
    </row>
    <row r="2504">
      <c r="A2504" s="33" t="inlineStr">
        <is>
          <t>SM002500</t>
        </is>
      </c>
      <c r="B2504" s="33" t="inlineStr">
        <is>
          <t>SW002</t>
        </is>
      </c>
      <c r="C2504" s="33" t="inlineStr">
        <is>
          <t>Miron Bunakov</t>
        </is>
      </c>
      <c r="D2504" s="33" t="inlineStr">
        <is>
          <t>SwimCloud</t>
        </is>
      </c>
      <c r="E2504" s="33" t="inlineStr">
        <is>
          <t>3360584</t>
        </is>
      </c>
      <c r="F2504" s="33" t="inlineStr">
        <is>
          <t>89982169</t>
        </is>
      </c>
      <c r="G2504" s="51" t="n">
        <v>44890</v>
      </c>
      <c r="H2504" s="33" t="inlineStr">
        <is>
          <t>2023 Major Games Qualifier</t>
        </is>
      </c>
      <c r="I2504" s="33" t="inlineStr">
        <is>
          <t>252653</t>
        </is>
      </c>
      <c r="J2504" s="33" t="inlineStr"/>
      <c r="K2504" s="33" t="inlineStr">
        <is>
          <t>PRE</t>
        </is>
      </c>
      <c r="L2504" s="35">
        <f>IF(K2504="FIN",3,IF(OR(K2504="SEM",K2504="SEMI"),2,IF(OR(K2504="PRE",K2504="HEAT"),1,IF(V2504="YES",4,2))))</f>
        <v/>
      </c>
      <c r="M2504" s="33" t="inlineStr">
        <is>
          <t>LCM</t>
        </is>
      </c>
      <c r="N2504" s="33" t="n">
        <v>400</v>
      </c>
      <c r="O2504" s="33" t="inlineStr">
        <is>
          <t>Free</t>
        </is>
      </c>
      <c r="P2504" s="33" t="inlineStr">
        <is>
          <t>400 Free</t>
        </is>
      </c>
      <c r="Q2504" s="33" t="inlineStr">
        <is>
          <t>LCM_400_FREE</t>
        </is>
      </c>
      <c r="R2504" s="36" t="n">
        <v>298.03</v>
      </c>
      <c r="S2504" s="35">
        <f>IF(R2504="","",IF(R2504&gt;=60,INT(R2504/60)&amp;":"&amp;TEXT(MOD(R2504,60),"00.00"),TEXT(R2504,"0.00")))</f>
        <v/>
      </c>
      <c r="T2504" s="52">
        <f>IFERROR((G2504-INDEX('01_Swimmers'!$E$5:$E$22,MATCH(B2504,'01_Swimmers'!$A$5:$A$22,0)))/'00_Control'!$B$10,"")</f>
        <v/>
      </c>
      <c r="U2504" s="35">
        <f>IF(T2504="","",INT(T2504))</f>
        <v/>
      </c>
      <c r="V2504" s="33" t="inlineStr">
        <is>
          <t>NO</t>
        </is>
      </c>
      <c r="W2504" s="33" t="inlineStr">
        <is>
          <t>YES</t>
        </is>
      </c>
      <c r="X2504" s="33" t="inlineStr">
        <is>
          <t>NO</t>
        </is>
      </c>
      <c r="Y2504" s="33" t="n">
        <v>6</v>
      </c>
      <c r="Z2504" s="33" t="n">
        <v>2</v>
      </c>
      <c r="AA2504" s="33" t="inlineStr">
        <is>
          <t>48</t>
        </is>
      </c>
      <c r="AB2504" s="33" t="inlineStr">
        <is>
          <t>https://www.swimcloud.com/results/252653/event/303/?id=89982169#time89982169</t>
        </is>
      </c>
      <c r="AC2504" s="33" t="inlineStr">
        <is>
          <t>SwimCloud API v6 2026-10-08</t>
        </is>
      </c>
      <c r="AD2504" s="33" t="inlineStr">
        <is>
          <t>Miron Bunakov|2022-11-25|LCM|400|Free|298.03|2023 Major Games Qualifier|PRE|False</t>
        </is>
      </c>
      <c r="AE2504" s="53">
        <f>G2504+L2504/1000+ROW()/1000000000</f>
        <v/>
      </c>
      <c r="AF2504" s="35">
        <f>IF(C2504&lt;&gt;"Grayson Coulter","",COUNTIFS($C$5:$C$2991,"Grayson Coulter",$Q$5:$Q$2991,Q2504,$AE$5:$AE$2991,"&lt;="&amp;AE2504,$R$5:$R$2991,"&lt;"&amp;R2504))</f>
        <v/>
      </c>
      <c r="AG2504" s="35">
        <f>IF(OR(C2504&lt;&gt;"Grayson Coulter",G2504&lt;'00_Control'!$B$7),"",--(AF2504&lt;5))</f>
        <v/>
      </c>
      <c r="AH2504" s="35">
        <f>IF(OR(C2504&lt;&gt;"Grayson Coulter",G2504&lt;'00_Control'!$B$7),"",--(AF2504&lt;10))</f>
        <v/>
      </c>
      <c r="AI2504" s="35">
        <f>IF(AND(C2504="Grayson Coulter",G2504&gt;='00_Control'!$B$7),"YES","NO")</f>
        <v/>
      </c>
      <c r="AJ2504" s="33" t="inlineStr">
        <is>
          <t>OK</t>
        </is>
      </c>
    </row>
    <row r="2505">
      <c r="A2505" s="33" t="inlineStr">
        <is>
          <t>SM002501</t>
        </is>
      </c>
      <c r="B2505" s="33" t="inlineStr">
        <is>
          <t>SW002</t>
        </is>
      </c>
      <c r="C2505" s="33" t="inlineStr">
        <is>
          <t>Miron Bunakov</t>
        </is>
      </c>
      <c r="D2505" s="33" t="inlineStr">
        <is>
          <t>SwimCloud</t>
        </is>
      </c>
      <c r="E2505" s="33" t="inlineStr">
        <is>
          <t>3360584</t>
        </is>
      </c>
      <c r="F2505" s="33" t="inlineStr">
        <is>
          <t>93831357</t>
        </is>
      </c>
      <c r="G2505" s="51" t="n">
        <v>44904</v>
      </c>
      <c r="H2505" s="33" t="inlineStr">
        <is>
          <t>2022 Feeding Frenzy</t>
        </is>
      </c>
      <c r="I2505" s="33" t="inlineStr">
        <is>
          <t>254004</t>
        </is>
      </c>
      <c r="J2505" s="33" t="inlineStr"/>
      <c r="K2505" s="33" t="inlineStr">
        <is>
          <t>TIM</t>
        </is>
      </c>
      <c r="L2505" s="35">
        <f>IF(K2505="FIN",3,IF(OR(K2505="SEM",K2505="SEMI"),2,IF(OR(K2505="PRE",K2505="HEAT"),1,IF(V2505="YES",4,2))))</f>
        <v/>
      </c>
      <c r="M2505" s="33" t="inlineStr">
        <is>
          <t>LCM</t>
        </is>
      </c>
      <c r="N2505" s="33" t="n">
        <v>400</v>
      </c>
      <c r="O2505" s="33" t="inlineStr">
        <is>
          <t>Free</t>
        </is>
      </c>
      <c r="P2505" s="33" t="inlineStr">
        <is>
          <t>400 Free</t>
        </is>
      </c>
      <c r="Q2505" s="33" t="inlineStr">
        <is>
          <t>LCM_400_FREE</t>
        </is>
      </c>
      <c r="R2505" s="36" t="n">
        <v>295.75</v>
      </c>
      <c r="S2505" s="35">
        <f>IF(R2505="","",IF(R2505&gt;=60,INT(R2505/60)&amp;":"&amp;TEXT(MOD(R2505,60),"00.00"),TEXT(R2505,"0.00")))</f>
        <v/>
      </c>
      <c r="T2505" s="52">
        <f>IFERROR((G2505-INDEX('01_Swimmers'!$E$5:$E$22,MATCH(B2505,'01_Swimmers'!$A$5:$A$22,0)))/'00_Control'!$B$10,"")</f>
        <v/>
      </c>
      <c r="U2505" s="35">
        <f>IF(T2505="","",INT(T2505))</f>
        <v/>
      </c>
      <c r="V2505" s="33" t="inlineStr">
        <is>
          <t>NO</t>
        </is>
      </c>
      <c r="W2505" s="33" t="inlineStr">
        <is>
          <t>YES</t>
        </is>
      </c>
      <c r="X2505" s="33" t="inlineStr">
        <is>
          <t>NO</t>
        </is>
      </c>
      <c r="Y2505" s="33" t="n">
        <v>2</v>
      </c>
      <c r="Z2505" s="33" t="n">
        <v>5</v>
      </c>
      <c r="AA2505" s="33" t="inlineStr">
        <is>
          <t>2</t>
        </is>
      </c>
      <c r="AB2505" s="33" t="inlineStr">
        <is>
          <t>https://www.swimcloud.com/results/254004/event/9/?id=93831357#time93831357</t>
        </is>
      </c>
      <c r="AC2505" s="33" t="inlineStr">
        <is>
          <t>SwimCloud API v6 2026-10-08</t>
        </is>
      </c>
      <c r="AD2505" s="33" t="inlineStr">
        <is>
          <t>Miron Bunakov|2022-12-09|LCM|400|Free|295.75|2022 Feeding Frenzy|TIM|False</t>
        </is>
      </c>
      <c r="AE2505" s="53">
        <f>G2505+L2505/1000+ROW()/1000000000</f>
        <v/>
      </c>
      <c r="AF2505" s="35">
        <f>IF(C2505&lt;&gt;"Grayson Coulter","",COUNTIFS($C$5:$C$2991,"Grayson Coulter",$Q$5:$Q$2991,Q2505,$AE$5:$AE$2991,"&lt;="&amp;AE2505,$R$5:$R$2991,"&lt;"&amp;R2505))</f>
        <v/>
      </c>
      <c r="AG2505" s="35">
        <f>IF(OR(C2505&lt;&gt;"Grayson Coulter",G2505&lt;'00_Control'!$B$7),"",--(AF2505&lt;5))</f>
        <v/>
      </c>
      <c r="AH2505" s="35">
        <f>IF(OR(C2505&lt;&gt;"Grayson Coulter",G2505&lt;'00_Control'!$B$7),"",--(AF2505&lt;10))</f>
        <v/>
      </c>
      <c r="AI2505" s="35">
        <f>IF(AND(C2505="Grayson Coulter",G2505&gt;='00_Control'!$B$7),"YES","NO")</f>
        <v/>
      </c>
      <c r="AJ2505" s="33" t="inlineStr">
        <is>
          <t>OK</t>
        </is>
      </c>
    </row>
    <row r="2506">
      <c r="A2506" s="33" t="inlineStr">
        <is>
          <t>SM002502</t>
        </is>
      </c>
      <c r="B2506" s="33" t="inlineStr">
        <is>
          <t>SW002</t>
        </is>
      </c>
      <c r="C2506" s="33" t="inlineStr">
        <is>
          <t>Miron Bunakov</t>
        </is>
      </c>
      <c r="D2506" s="33" t="inlineStr">
        <is>
          <t>SwimCloud</t>
        </is>
      </c>
      <c r="E2506" s="33" t="inlineStr">
        <is>
          <t>3360584</t>
        </is>
      </c>
      <c r="F2506" s="33" t="inlineStr">
        <is>
          <t>93831409</t>
        </is>
      </c>
      <c r="G2506" s="51" t="n">
        <v>44906</v>
      </c>
      <c r="H2506" s="33" t="inlineStr">
        <is>
          <t>2022 Feeding Frenzy</t>
        </is>
      </c>
      <c r="I2506" s="33" t="inlineStr">
        <is>
          <t>254004</t>
        </is>
      </c>
      <c r="J2506" s="33" t="inlineStr"/>
      <c r="K2506" s="33" t="inlineStr">
        <is>
          <t>TIM</t>
        </is>
      </c>
      <c r="L2506" s="35">
        <f>IF(K2506="FIN",3,IF(OR(K2506="SEM",K2506="SEMI"),2,IF(OR(K2506="PRE",K2506="HEAT"),1,IF(V2506="YES",4,2))))</f>
        <v/>
      </c>
      <c r="M2506" s="33" t="inlineStr">
        <is>
          <t>LCM</t>
        </is>
      </c>
      <c r="N2506" s="33" t="n">
        <v>100</v>
      </c>
      <c r="O2506" s="33" t="inlineStr">
        <is>
          <t>Fly</t>
        </is>
      </c>
      <c r="P2506" s="33" t="inlineStr">
        <is>
          <t>100 Fly</t>
        </is>
      </c>
      <c r="Q2506" s="33" t="inlineStr">
        <is>
          <t>LCM_100_FLY</t>
        </is>
      </c>
      <c r="R2506" s="36" t="n">
        <v>69.81999999999999</v>
      </c>
      <c r="S2506" s="35">
        <f>IF(R2506="","",IF(R2506&gt;=60,INT(R2506/60)&amp;":"&amp;TEXT(MOD(R2506,60),"00.00"),TEXT(R2506,"0.00")))</f>
        <v/>
      </c>
      <c r="T2506" s="52">
        <f>IFERROR((G2506-INDEX('01_Swimmers'!$E$5:$E$22,MATCH(B2506,'01_Swimmers'!$A$5:$A$22,0)))/'00_Control'!$B$10,"")</f>
        <v/>
      </c>
      <c r="U2506" s="35">
        <f>IF(T2506="","",INT(T2506))</f>
        <v/>
      </c>
      <c r="V2506" s="33" t="inlineStr">
        <is>
          <t>NO</t>
        </is>
      </c>
      <c r="W2506" s="33" t="inlineStr">
        <is>
          <t>YES</t>
        </is>
      </c>
      <c r="X2506" s="33" t="inlineStr">
        <is>
          <t>NO</t>
        </is>
      </c>
      <c r="Y2506" s="33" t="n">
        <v>11</v>
      </c>
      <c r="Z2506" s="33" t="n">
        <v>5</v>
      </c>
      <c r="AA2506" s="33" t="inlineStr">
        <is>
          <t>2</t>
        </is>
      </c>
      <c r="AB2506" s="33" t="inlineStr">
        <is>
          <t>https://www.swimcloud.com/results/254004/event/53/?id=93831409#time93831409</t>
        </is>
      </c>
      <c r="AC2506" s="33" t="inlineStr">
        <is>
          <t>SwimCloud API v6 2026-10-08</t>
        </is>
      </c>
      <c r="AD2506" s="33" t="inlineStr">
        <is>
          <t>Miron Bunakov|2022-12-11|LCM|100|Fly|69.82|2022 Feeding Frenzy|TIM|False</t>
        </is>
      </c>
      <c r="AE2506" s="53">
        <f>G2506+L2506/1000+ROW()/1000000000</f>
        <v/>
      </c>
      <c r="AF2506" s="35">
        <f>IF(C2506&lt;&gt;"Grayson Coulter","",COUNTIFS($C$5:$C$2991,"Grayson Coulter",$Q$5:$Q$2991,Q2506,$AE$5:$AE$2991,"&lt;="&amp;AE2506,$R$5:$R$2991,"&lt;"&amp;R2506))</f>
        <v/>
      </c>
      <c r="AG2506" s="35">
        <f>IF(OR(C2506&lt;&gt;"Grayson Coulter",G2506&lt;'00_Control'!$B$7),"",--(AF2506&lt;5))</f>
        <v/>
      </c>
      <c r="AH2506" s="35">
        <f>IF(OR(C2506&lt;&gt;"Grayson Coulter",G2506&lt;'00_Control'!$B$7),"",--(AF2506&lt;10))</f>
        <v/>
      </c>
      <c r="AI2506" s="35">
        <f>IF(AND(C2506="Grayson Coulter",G2506&gt;='00_Control'!$B$7),"YES","NO")</f>
        <v/>
      </c>
      <c r="AJ2506" s="33" t="inlineStr">
        <is>
          <t>OK</t>
        </is>
      </c>
    </row>
    <row r="2507">
      <c r="A2507" s="33" t="inlineStr">
        <is>
          <t>SM002503</t>
        </is>
      </c>
      <c r="B2507" s="33" t="inlineStr">
        <is>
          <t>SW002</t>
        </is>
      </c>
      <c r="C2507" s="33" t="inlineStr">
        <is>
          <t>Miron Bunakov</t>
        </is>
      </c>
      <c r="D2507" s="33" t="inlineStr">
        <is>
          <t>SwimCloud</t>
        </is>
      </c>
      <c r="E2507" s="33" t="inlineStr">
        <is>
          <t>3360584</t>
        </is>
      </c>
      <c r="F2507" s="33" t="inlineStr">
        <is>
          <t>93831374</t>
        </is>
      </c>
      <c r="G2507" s="51" t="n">
        <v>44906</v>
      </c>
      <c r="H2507" s="33" t="inlineStr">
        <is>
          <t>2022 Feeding Frenzy</t>
        </is>
      </c>
      <c r="I2507" s="33" t="inlineStr">
        <is>
          <t>254004</t>
        </is>
      </c>
      <c r="J2507" s="33" t="inlineStr"/>
      <c r="K2507" s="33" t="inlineStr">
        <is>
          <t>TIM</t>
        </is>
      </c>
      <c r="L2507" s="35">
        <f>IF(K2507="FIN",3,IF(OR(K2507="SEM",K2507="SEMI"),2,IF(OR(K2507="PRE",K2507="HEAT"),1,IF(V2507="YES",4,2))))</f>
        <v/>
      </c>
      <c r="M2507" s="33" t="inlineStr">
        <is>
          <t>LCM</t>
        </is>
      </c>
      <c r="N2507" s="33" t="n">
        <v>200</v>
      </c>
      <c r="O2507" s="33" t="inlineStr">
        <is>
          <t>Free</t>
        </is>
      </c>
      <c r="P2507" s="33" t="inlineStr">
        <is>
          <t>200 Free</t>
        </is>
      </c>
      <c r="Q2507" s="33" t="inlineStr">
        <is>
          <t>LCM_200_FREE</t>
        </is>
      </c>
      <c r="R2507" s="36" t="n">
        <v>138.08</v>
      </c>
      <c r="S2507" s="35">
        <f>IF(R2507="","",IF(R2507&gt;=60,INT(R2507/60)&amp;":"&amp;TEXT(MOD(R2507,60),"00.00"),TEXT(R2507,"0.00")))</f>
        <v/>
      </c>
      <c r="T2507" s="52">
        <f>IFERROR((G2507-INDEX('01_Swimmers'!$E$5:$E$22,MATCH(B2507,'01_Swimmers'!$A$5:$A$22,0)))/'00_Control'!$B$10,"")</f>
        <v/>
      </c>
      <c r="U2507" s="35">
        <f>IF(T2507="","",INT(T2507))</f>
        <v/>
      </c>
      <c r="V2507" s="33" t="inlineStr">
        <is>
          <t>NO</t>
        </is>
      </c>
      <c r="W2507" s="33" t="inlineStr">
        <is>
          <t>YES</t>
        </is>
      </c>
      <c r="X2507" s="33" t="inlineStr">
        <is>
          <t>NO</t>
        </is>
      </c>
      <c r="Y2507" s="33" t="n">
        <v>10</v>
      </c>
      <c r="Z2507" s="33" t="n">
        <v>6</v>
      </c>
      <c r="AA2507" s="33" t="inlineStr">
        <is>
          <t>2</t>
        </is>
      </c>
      <c r="AB2507" s="33" t="inlineStr">
        <is>
          <t>https://www.swimcloud.com/results/254004/event/45/?id=93831374#time93831374</t>
        </is>
      </c>
      <c r="AC2507" s="33" t="inlineStr">
        <is>
          <t>SwimCloud API v6 2026-10-08</t>
        </is>
      </c>
      <c r="AD2507" s="33" t="inlineStr">
        <is>
          <t>Miron Bunakov|2022-12-11|LCM|200|Free|138.08|2022 Feeding Frenzy|TIM|False</t>
        </is>
      </c>
      <c r="AE2507" s="53">
        <f>G2507+L2507/1000+ROW()/1000000000</f>
        <v/>
      </c>
      <c r="AF2507" s="35">
        <f>IF(C2507&lt;&gt;"Grayson Coulter","",COUNTIFS($C$5:$C$2991,"Grayson Coulter",$Q$5:$Q$2991,Q2507,$AE$5:$AE$2991,"&lt;="&amp;AE2507,$R$5:$R$2991,"&lt;"&amp;R2507))</f>
        <v/>
      </c>
      <c r="AG2507" s="35">
        <f>IF(OR(C2507&lt;&gt;"Grayson Coulter",G2507&lt;'00_Control'!$B$7),"",--(AF2507&lt;5))</f>
        <v/>
      </c>
      <c r="AH2507" s="35">
        <f>IF(OR(C2507&lt;&gt;"Grayson Coulter",G2507&lt;'00_Control'!$B$7),"",--(AF2507&lt;10))</f>
        <v/>
      </c>
      <c r="AI2507" s="35">
        <f>IF(AND(C2507="Grayson Coulter",G2507&gt;='00_Control'!$B$7),"YES","NO")</f>
        <v/>
      </c>
      <c r="AJ2507" s="33" t="inlineStr">
        <is>
          <t>OK</t>
        </is>
      </c>
    </row>
    <row r="2508">
      <c r="A2508" s="33" t="inlineStr">
        <is>
          <t>SM002504</t>
        </is>
      </c>
      <c r="B2508" s="33" t="inlineStr">
        <is>
          <t>SW002</t>
        </is>
      </c>
      <c r="C2508" s="33" t="inlineStr">
        <is>
          <t>Miron Bunakov</t>
        </is>
      </c>
      <c r="D2508" s="33" t="inlineStr">
        <is>
          <t>SwimCloud</t>
        </is>
      </c>
      <c r="E2508" s="33" t="inlineStr">
        <is>
          <t>3360584</t>
        </is>
      </c>
      <c r="F2508" s="33" t="inlineStr">
        <is>
          <t>151772354</t>
        </is>
      </c>
      <c r="G2508" s="51" t="n">
        <v>44961</v>
      </c>
      <c r="H2508" s="33" t="inlineStr">
        <is>
          <t>2022 ACSIS Middle School Meet</t>
        </is>
      </c>
      <c r="I2508" s="33" t="inlineStr">
        <is>
          <t>261549</t>
        </is>
      </c>
      <c r="J2508" s="33" t="inlineStr"/>
      <c r="K2508" s="33" t="inlineStr">
        <is>
          <t>TIM</t>
        </is>
      </c>
      <c r="L2508" s="35">
        <f>IF(K2508="FIN",3,IF(OR(K2508="SEM",K2508="SEMI"),2,IF(OR(K2508="PRE",K2508="HEAT"),1,IF(V2508="YES",4,2))))</f>
        <v/>
      </c>
      <c r="M2508" s="33" t="inlineStr">
        <is>
          <t>LCM</t>
        </is>
      </c>
      <c r="N2508" s="33" t="n">
        <v>100</v>
      </c>
      <c r="O2508" s="33" t="inlineStr">
        <is>
          <t>Fly</t>
        </is>
      </c>
      <c r="P2508" s="33" t="inlineStr">
        <is>
          <t>100 Fly</t>
        </is>
      </c>
      <c r="Q2508" s="33" t="inlineStr">
        <is>
          <t>LCM_100_FLY</t>
        </is>
      </c>
      <c r="R2508" s="36" t="n">
        <v>70.36</v>
      </c>
      <c r="S2508" s="35">
        <f>IF(R2508="","",IF(R2508&gt;=60,INT(R2508/60)&amp;":"&amp;TEXT(MOD(R2508,60),"00.00"),TEXT(R2508,"0.00")))</f>
        <v/>
      </c>
      <c r="T2508" s="52">
        <f>IFERROR((G2508-INDEX('01_Swimmers'!$E$5:$E$22,MATCH(B2508,'01_Swimmers'!$A$5:$A$22,0)))/'00_Control'!$B$10,"")</f>
        <v/>
      </c>
      <c r="U2508" s="35">
        <f>IF(T2508="","",INT(T2508))</f>
        <v/>
      </c>
      <c r="V2508" s="33" t="inlineStr">
        <is>
          <t>NO</t>
        </is>
      </c>
      <c r="W2508" s="33" t="inlineStr">
        <is>
          <t>YES</t>
        </is>
      </c>
      <c r="X2508" s="33" t="inlineStr">
        <is>
          <t>NO</t>
        </is>
      </c>
      <c r="Y2508" s="33" t="n">
        <v>2</v>
      </c>
      <c r="Z2508" s="33" t="n">
        <v>4</v>
      </c>
      <c r="AA2508" s="33" t="inlineStr">
        <is>
          <t>1</t>
        </is>
      </c>
      <c r="AB2508" s="33" t="inlineStr">
        <is>
          <t>https://www.swimcloud.com/results/261549/event/118/?id=151772354#time151772354</t>
        </is>
      </c>
      <c r="AC2508" s="33" t="inlineStr">
        <is>
          <t>SwimCloud API v6 2026-10-08</t>
        </is>
      </c>
      <c r="AD2508" s="33" t="inlineStr">
        <is>
          <t>Miron Bunakov|2023-02-04|LCM|100|Fly|70.36|2022 ACSIS Middle School Meet|TIM|False</t>
        </is>
      </c>
      <c r="AE2508" s="53">
        <f>G2508+L2508/1000+ROW()/1000000000</f>
        <v/>
      </c>
      <c r="AF2508" s="35">
        <f>IF(C2508&lt;&gt;"Grayson Coulter","",COUNTIFS($C$5:$C$2991,"Grayson Coulter",$Q$5:$Q$2991,Q2508,$AE$5:$AE$2991,"&lt;="&amp;AE2508,$R$5:$R$2991,"&lt;"&amp;R2508))</f>
        <v/>
      </c>
      <c r="AG2508" s="35">
        <f>IF(OR(C2508&lt;&gt;"Grayson Coulter",G2508&lt;'00_Control'!$B$7),"",--(AF2508&lt;5))</f>
        <v/>
      </c>
      <c r="AH2508" s="35">
        <f>IF(OR(C2508&lt;&gt;"Grayson Coulter",G2508&lt;'00_Control'!$B$7),"",--(AF2508&lt;10))</f>
        <v/>
      </c>
      <c r="AI2508" s="35">
        <f>IF(AND(C2508="Grayson Coulter",G2508&gt;='00_Control'!$B$7),"YES","NO")</f>
        <v/>
      </c>
      <c r="AJ2508" s="33" t="inlineStr">
        <is>
          <t>OK</t>
        </is>
      </c>
    </row>
    <row r="2509">
      <c r="A2509" s="33" t="inlineStr">
        <is>
          <t>SM002505</t>
        </is>
      </c>
      <c r="B2509" s="33" t="inlineStr">
        <is>
          <t>SW002</t>
        </is>
      </c>
      <c r="C2509" s="33" t="inlineStr">
        <is>
          <t>Miron Bunakov</t>
        </is>
      </c>
      <c r="D2509" s="33" t="inlineStr">
        <is>
          <t>SwimCloud</t>
        </is>
      </c>
      <c r="E2509" s="33" t="inlineStr">
        <is>
          <t>3360584</t>
        </is>
      </c>
      <c r="F2509" s="33" t="inlineStr">
        <is>
          <t>151771360</t>
        </is>
      </c>
      <c r="G2509" s="51" t="n">
        <v>44961</v>
      </c>
      <c r="H2509" s="33" t="inlineStr">
        <is>
          <t>2022 ACSIS Middle School Meet</t>
        </is>
      </c>
      <c r="I2509" s="33" t="inlineStr">
        <is>
          <t>261549</t>
        </is>
      </c>
      <c r="J2509" s="33" t="inlineStr"/>
      <c r="K2509" s="33" t="inlineStr">
        <is>
          <t>TIM</t>
        </is>
      </c>
      <c r="L2509" s="35">
        <f>IF(K2509="FIN",3,IF(OR(K2509="SEM",K2509="SEMI"),2,IF(OR(K2509="PRE",K2509="HEAT"),1,IF(V2509="YES",4,2))))</f>
        <v/>
      </c>
      <c r="M2509" s="33" t="inlineStr">
        <is>
          <t>LCM</t>
        </is>
      </c>
      <c r="N2509" s="33" t="n">
        <v>100</v>
      </c>
      <c r="O2509" s="33" t="inlineStr">
        <is>
          <t>Free</t>
        </is>
      </c>
      <c r="P2509" s="33" t="inlineStr">
        <is>
          <t>100 Free</t>
        </is>
      </c>
      <c r="Q2509" s="33" t="inlineStr">
        <is>
          <t>LCM_100_FREE</t>
        </is>
      </c>
      <c r="R2509" s="36" t="n">
        <v>63.01</v>
      </c>
      <c r="S2509" s="35">
        <f>IF(R2509="","",IF(R2509&gt;=60,INT(R2509/60)&amp;":"&amp;TEXT(MOD(R2509,60),"00.00"),TEXT(R2509,"0.00")))</f>
        <v/>
      </c>
      <c r="T2509" s="52">
        <f>IFERROR((G2509-INDEX('01_Swimmers'!$E$5:$E$22,MATCH(B2509,'01_Swimmers'!$A$5:$A$22,0)))/'00_Control'!$B$10,"")</f>
        <v/>
      </c>
      <c r="U2509" s="35">
        <f>IF(T2509="","",INT(T2509))</f>
        <v/>
      </c>
      <c r="V2509" s="33" t="inlineStr">
        <is>
          <t>NO</t>
        </is>
      </c>
      <c r="W2509" s="33" t="inlineStr">
        <is>
          <t>YES</t>
        </is>
      </c>
      <c r="X2509" s="33" t="inlineStr">
        <is>
          <t>NO</t>
        </is>
      </c>
      <c r="Y2509" s="33" t="n">
        <v>6</v>
      </c>
      <c r="Z2509" s="33" t="n">
        <v>4</v>
      </c>
      <c r="AA2509" s="33" t="inlineStr">
        <is>
          <t>1</t>
        </is>
      </c>
      <c r="AB2509" s="33" t="inlineStr">
        <is>
          <t>https://www.swimcloud.com/results/261549/event/122/?id=151771360#time151771360</t>
        </is>
      </c>
      <c r="AC2509" s="33" t="inlineStr">
        <is>
          <t>SwimCloud API v6 2026-10-08</t>
        </is>
      </c>
      <c r="AD2509" s="33" t="inlineStr">
        <is>
          <t>Miron Bunakov|2023-02-04|LCM|100|Free|63.01|2022 ACSIS Middle School Meet|TIM|False</t>
        </is>
      </c>
      <c r="AE2509" s="53">
        <f>G2509+L2509/1000+ROW()/1000000000</f>
        <v/>
      </c>
      <c r="AF2509" s="35">
        <f>IF(C2509&lt;&gt;"Grayson Coulter","",COUNTIFS($C$5:$C$2991,"Grayson Coulter",$Q$5:$Q$2991,Q2509,$AE$5:$AE$2991,"&lt;="&amp;AE2509,$R$5:$R$2991,"&lt;"&amp;R2509))</f>
        <v/>
      </c>
      <c r="AG2509" s="35">
        <f>IF(OR(C2509&lt;&gt;"Grayson Coulter",G2509&lt;'00_Control'!$B$7),"",--(AF2509&lt;5))</f>
        <v/>
      </c>
      <c r="AH2509" s="35">
        <f>IF(OR(C2509&lt;&gt;"Grayson Coulter",G2509&lt;'00_Control'!$B$7),"",--(AF2509&lt;10))</f>
        <v/>
      </c>
      <c r="AI2509" s="35">
        <f>IF(AND(C2509="Grayson Coulter",G2509&gt;='00_Control'!$B$7),"YES","NO")</f>
        <v/>
      </c>
      <c r="AJ2509" s="33" t="inlineStr">
        <is>
          <t>OK</t>
        </is>
      </c>
    </row>
    <row r="2510">
      <c r="A2510" s="33" t="inlineStr">
        <is>
          <t>SM002506</t>
        </is>
      </c>
      <c r="B2510" s="33" t="inlineStr">
        <is>
          <t>SW002</t>
        </is>
      </c>
      <c r="C2510" s="33" t="inlineStr">
        <is>
          <t>Miron Bunakov</t>
        </is>
      </c>
      <c r="D2510" s="33" t="inlineStr">
        <is>
          <t>SwimCloud</t>
        </is>
      </c>
      <c r="E2510" s="33" t="inlineStr">
        <is>
          <t>3360584</t>
        </is>
      </c>
      <c r="F2510" s="33" t="inlineStr">
        <is>
          <t>151772148</t>
        </is>
      </c>
      <c r="G2510" s="51" t="n">
        <v>44961</v>
      </c>
      <c r="H2510" s="33" t="inlineStr">
        <is>
          <t>2022 ACSIS Middle School Meet</t>
        </is>
      </c>
      <c r="I2510" s="33" t="inlineStr">
        <is>
          <t>261549</t>
        </is>
      </c>
      <c r="J2510" s="33" t="inlineStr"/>
      <c r="K2510" s="33" t="inlineStr">
        <is>
          <t>TIM</t>
        </is>
      </c>
      <c r="L2510" s="35">
        <f>IF(K2510="FIN",3,IF(OR(K2510="SEM",K2510="SEMI"),2,IF(OR(K2510="PRE",K2510="HEAT"),1,IF(V2510="YES",4,2))))</f>
        <v/>
      </c>
      <c r="M2510" s="33" t="inlineStr">
        <is>
          <t>LCM</t>
        </is>
      </c>
      <c r="N2510" s="33" t="n">
        <v>200</v>
      </c>
      <c r="O2510" s="33" t="inlineStr">
        <is>
          <t>Free</t>
        </is>
      </c>
      <c r="P2510" s="33" t="inlineStr">
        <is>
          <t>200 Free</t>
        </is>
      </c>
      <c r="Q2510" s="33" t="inlineStr">
        <is>
          <t>LCM_200_FREE</t>
        </is>
      </c>
      <c r="R2510" s="36" t="n">
        <v>138.66</v>
      </c>
      <c r="S2510" s="35">
        <f>IF(R2510="","",IF(R2510&gt;=60,INT(R2510/60)&amp;":"&amp;TEXT(MOD(R2510,60),"00.00"),TEXT(R2510,"0.00")))</f>
        <v/>
      </c>
      <c r="T2510" s="52">
        <f>IFERROR((G2510-INDEX('01_Swimmers'!$E$5:$E$22,MATCH(B2510,'01_Swimmers'!$A$5:$A$22,0)))/'00_Control'!$B$10,"")</f>
        <v/>
      </c>
      <c r="U2510" s="35">
        <f>IF(T2510="","",INT(T2510))</f>
        <v/>
      </c>
      <c r="V2510" s="33" t="inlineStr">
        <is>
          <t>NO</t>
        </is>
      </c>
      <c r="W2510" s="33" t="inlineStr">
        <is>
          <t>YES</t>
        </is>
      </c>
      <c r="X2510" s="33" t="inlineStr">
        <is>
          <t>NO</t>
        </is>
      </c>
      <c r="Y2510" s="33" t="n">
        <v>3</v>
      </c>
      <c r="Z2510" s="33" t="n">
        <v>4</v>
      </c>
      <c r="AA2510" s="33" t="inlineStr">
        <is>
          <t>1</t>
        </is>
      </c>
      <c r="AB2510" s="33" t="inlineStr">
        <is>
          <t>https://www.swimcloud.com/results/261549/event/102/?id=151772148#time151772148</t>
        </is>
      </c>
      <c r="AC2510" s="33" t="inlineStr">
        <is>
          <t>SwimCloud API v6 2026-10-08</t>
        </is>
      </c>
      <c r="AD2510" s="33" t="inlineStr">
        <is>
          <t>Miron Bunakov|2023-02-04|LCM|200|Free|138.66|2022 ACSIS Middle School Meet|TIM|False</t>
        </is>
      </c>
      <c r="AE2510" s="53">
        <f>G2510+L2510/1000+ROW()/1000000000</f>
        <v/>
      </c>
      <c r="AF2510" s="35">
        <f>IF(C2510&lt;&gt;"Grayson Coulter","",COUNTIFS($C$5:$C$2991,"Grayson Coulter",$Q$5:$Q$2991,Q2510,$AE$5:$AE$2991,"&lt;="&amp;AE2510,$R$5:$R$2991,"&lt;"&amp;R2510))</f>
        <v/>
      </c>
      <c r="AG2510" s="35">
        <f>IF(OR(C2510&lt;&gt;"Grayson Coulter",G2510&lt;'00_Control'!$B$7),"",--(AF2510&lt;5))</f>
        <v/>
      </c>
      <c r="AH2510" s="35">
        <f>IF(OR(C2510&lt;&gt;"Grayson Coulter",G2510&lt;'00_Control'!$B$7),"",--(AF2510&lt;10))</f>
        <v/>
      </c>
      <c r="AI2510" s="35">
        <f>IF(AND(C2510="Grayson Coulter",G2510&gt;='00_Control'!$B$7),"YES","NO")</f>
        <v/>
      </c>
      <c r="AJ2510" s="33" t="inlineStr">
        <is>
          <t>OK</t>
        </is>
      </c>
    </row>
    <row r="2511">
      <c r="A2511" s="33" t="inlineStr">
        <is>
          <t>SM002507</t>
        </is>
      </c>
      <c r="B2511" s="33" t="inlineStr">
        <is>
          <t>SW002</t>
        </is>
      </c>
      <c r="C2511" s="33" t="inlineStr">
        <is>
          <t>Miron Bunakov</t>
        </is>
      </c>
      <c r="D2511" s="33" t="inlineStr">
        <is>
          <t>SwimCloud</t>
        </is>
      </c>
      <c r="E2511" s="33" t="inlineStr">
        <is>
          <t>3360584</t>
        </is>
      </c>
      <c r="F2511" s="33" t="inlineStr">
        <is>
          <t>101382630</t>
        </is>
      </c>
      <c r="G2511" s="51" t="n">
        <v>45059</v>
      </c>
      <c r="H2511" s="33" t="inlineStr">
        <is>
          <t>ACSIS Primary School Meet</t>
        </is>
      </c>
      <c r="I2511" s="33" t="inlineStr">
        <is>
          <t>268550</t>
        </is>
      </c>
      <c r="J2511" s="33" t="inlineStr"/>
      <c r="K2511" s="33" t="inlineStr">
        <is>
          <t>TIM</t>
        </is>
      </c>
      <c r="L2511" s="35">
        <f>IF(K2511="FIN",3,IF(OR(K2511="SEM",K2511="SEMI"),2,IF(OR(K2511="PRE",K2511="HEAT"),1,IF(V2511="YES",4,2))))</f>
        <v/>
      </c>
      <c r="M2511" s="33" t="inlineStr">
        <is>
          <t>SCM</t>
        </is>
      </c>
      <c r="N2511" s="33" t="n">
        <v>100</v>
      </c>
      <c r="O2511" s="33" t="inlineStr">
        <is>
          <t>Free</t>
        </is>
      </c>
      <c r="P2511" s="33" t="inlineStr">
        <is>
          <t>100 Free</t>
        </is>
      </c>
      <c r="Q2511" s="33" t="inlineStr">
        <is>
          <t>SCM_100_FREE</t>
        </is>
      </c>
      <c r="R2511" s="36" t="n">
        <v>60.4</v>
      </c>
      <c r="S2511" s="35">
        <f>IF(R2511="","",IF(R2511&gt;=60,INT(R2511/60)&amp;":"&amp;TEXT(MOD(R2511,60),"00.00"),TEXT(R2511,"0.00")))</f>
        <v/>
      </c>
      <c r="T2511" s="52">
        <f>IFERROR((G2511-INDEX('01_Swimmers'!$E$5:$E$22,MATCH(B2511,'01_Swimmers'!$A$5:$A$22,0)))/'00_Control'!$B$10,"")</f>
        <v/>
      </c>
      <c r="U2511" s="35">
        <f>IF(T2511="","",INT(T2511))</f>
        <v/>
      </c>
      <c r="V2511" s="33" t="inlineStr">
        <is>
          <t>NO</t>
        </is>
      </c>
      <c r="W2511" s="33" t="inlineStr">
        <is>
          <t>YES</t>
        </is>
      </c>
      <c r="X2511" s="33" t="inlineStr">
        <is>
          <t>NO</t>
        </is>
      </c>
      <c r="Y2511" s="33" t="n">
        <v>7</v>
      </c>
      <c r="Z2511" s="33" t="n">
        <v>4</v>
      </c>
      <c r="AA2511" s="33" t="inlineStr">
        <is>
          <t>1</t>
        </is>
      </c>
      <c r="AB2511" s="33" t="inlineStr">
        <is>
          <t>https://www.swimcloud.com/results/268550/event/4/?id=101382630#time101382630</t>
        </is>
      </c>
      <c r="AC2511" s="33" t="inlineStr">
        <is>
          <t>SwimCloud API v6 2026-10-08</t>
        </is>
      </c>
      <c r="AD2511" s="33" t="inlineStr">
        <is>
          <t>Miron Bunakov|2023-05-13|SCM|100|Free|60.4|ACSIS Primary School Meet|TIM|False</t>
        </is>
      </c>
      <c r="AE2511" s="53">
        <f>G2511+L2511/1000+ROW()/1000000000</f>
        <v/>
      </c>
      <c r="AF2511" s="35">
        <f>IF(C2511&lt;&gt;"Grayson Coulter","",COUNTIFS($C$5:$C$2991,"Grayson Coulter",$Q$5:$Q$2991,Q2511,$AE$5:$AE$2991,"&lt;="&amp;AE2511,$R$5:$R$2991,"&lt;"&amp;R2511))</f>
        <v/>
      </c>
      <c r="AG2511" s="35">
        <f>IF(OR(C2511&lt;&gt;"Grayson Coulter",G2511&lt;'00_Control'!$B$7),"",--(AF2511&lt;5))</f>
        <v/>
      </c>
      <c r="AH2511" s="35">
        <f>IF(OR(C2511&lt;&gt;"Grayson Coulter",G2511&lt;'00_Control'!$B$7),"",--(AF2511&lt;10))</f>
        <v/>
      </c>
      <c r="AI2511" s="35">
        <f>IF(AND(C2511="Grayson Coulter",G2511&gt;='00_Control'!$B$7),"YES","NO")</f>
        <v/>
      </c>
      <c r="AJ2511" s="33" t="inlineStr">
        <is>
          <t>OK</t>
        </is>
      </c>
    </row>
    <row r="2512">
      <c r="A2512" s="33" t="inlineStr">
        <is>
          <t>SM002508</t>
        </is>
      </c>
      <c r="B2512" s="33" t="inlineStr">
        <is>
          <t>SW002</t>
        </is>
      </c>
      <c r="C2512" s="33" t="inlineStr">
        <is>
          <t>Miron Bunakov</t>
        </is>
      </c>
      <c r="D2512" s="33" t="inlineStr">
        <is>
          <t>SwimCloud</t>
        </is>
      </c>
      <c r="E2512" s="33" t="inlineStr">
        <is>
          <t>3360584</t>
        </is>
      </c>
      <c r="F2512" s="33" t="inlineStr">
        <is>
          <t>125686576</t>
        </is>
      </c>
      <c r="G2512" s="51" t="n">
        <v>45220</v>
      </c>
      <c r="H2512" s="33" t="inlineStr">
        <is>
          <t>Hamilton Aquatics Short Course</t>
        </is>
      </c>
      <c r="I2512" s="33" t="inlineStr">
        <is>
          <t>303673</t>
        </is>
      </c>
      <c r="J2512" s="33" t="inlineStr"/>
      <c r="K2512" s="33" t="inlineStr">
        <is>
          <t>TIM</t>
        </is>
      </c>
      <c r="L2512" s="35">
        <f>IF(K2512="FIN",3,IF(OR(K2512="SEM",K2512="SEMI"),2,IF(OR(K2512="PRE",K2512="HEAT"),1,IF(V2512="YES",4,2))))</f>
        <v/>
      </c>
      <c r="M2512" s="33" t="inlineStr">
        <is>
          <t>SCM</t>
        </is>
      </c>
      <c r="N2512" s="33" t="n">
        <v>100</v>
      </c>
      <c r="O2512" s="33" t="inlineStr">
        <is>
          <t>Free</t>
        </is>
      </c>
      <c r="P2512" s="33" t="inlineStr">
        <is>
          <t>100 Free</t>
        </is>
      </c>
      <c r="Q2512" s="33" t="inlineStr">
        <is>
          <t>SCM_100_FREE</t>
        </is>
      </c>
      <c r="R2512" s="36" t="n">
        <v>58.88</v>
      </c>
      <c r="S2512" s="35">
        <f>IF(R2512="","",IF(R2512&gt;=60,INT(R2512/60)&amp;":"&amp;TEXT(MOD(R2512,60),"00.00"),TEXT(R2512,"0.00")))</f>
        <v/>
      </c>
      <c r="T2512" s="52">
        <f>IFERROR((G2512-INDEX('01_Swimmers'!$E$5:$E$22,MATCH(B2512,'01_Swimmers'!$A$5:$A$22,0)))/'00_Control'!$B$10,"")</f>
        <v/>
      </c>
      <c r="U2512" s="35">
        <f>IF(T2512="","",INT(T2512))</f>
        <v/>
      </c>
      <c r="V2512" s="33" t="inlineStr">
        <is>
          <t>NO</t>
        </is>
      </c>
      <c r="W2512" s="33" t="inlineStr">
        <is>
          <t>YES</t>
        </is>
      </c>
      <c r="X2512" s="33" t="inlineStr">
        <is>
          <t>NO</t>
        </is>
      </c>
      <c r="Y2512" s="33" t="n">
        <v>12</v>
      </c>
      <c r="Z2512" s="33" t="n">
        <v>7</v>
      </c>
      <c r="AA2512" s="33" t="inlineStr">
        <is>
          <t>1</t>
        </is>
      </c>
      <c r="AB2512" s="33" t="inlineStr">
        <is>
          <t>https://www.swimcloud.com/results/303673/event/104/?id=125686576#time125686576</t>
        </is>
      </c>
      <c r="AC2512" s="33" t="inlineStr">
        <is>
          <t>SwimCloud API v6 2026-10-08</t>
        </is>
      </c>
      <c r="AD2512" s="33" t="inlineStr">
        <is>
          <t>Miron Bunakov|2023-10-21|SCM|100|Free|58.88|Hamilton Aquatics Short Course|TIM|False</t>
        </is>
      </c>
      <c r="AE2512" s="53">
        <f>G2512+L2512/1000+ROW()/1000000000</f>
        <v/>
      </c>
      <c r="AF2512" s="35">
        <f>IF(C2512&lt;&gt;"Grayson Coulter","",COUNTIFS($C$5:$C$2991,"Grayson Coulter",$Q$5:$Q$2991,Q2512,$AE$5:$AE$2991,"&lt;="&amp;AE2512,$R$5:$R$2991,"&lt;"&amp;R2512))</f>
        <v/>
      </c>
      <c r="AG2512" s="35">
        <f>IF(OR(C2512&lt;&gt;"Grayson Coulter",G2512&lt;'00_Control'!$B$7),"",--(AF2512&lt;5))</f>
        <v/>
      </c>
      <c r="AH2512" s="35">
        <f>IF(OR(C2512&lt;&gt;"Grayson Coulter",G2512&lt;'00_Control'!$B$7),"",--(AF2512&lt;10))</f>
        <v/>
      </c>
      <c r="AI2512" s="35">
        <f>IF(AND(C2512="Grayson Coulter",G2512&gt;='00_Control'!$B$7),"YES","NO")</f>
        <v/>
      </c>
      <c r="AJ2512" s="33" t="inlineStr">
        <is>
          <t>OK</t>
        </is>
      </c>
    </row>
    <row r="2513">
      <c r="A2513" s="33" t="inlineStr">
        <is>
          <t>SM002509</t>
        </is>
      </c>
      <c r="B2513" s="33" t="inlineStr">
        <is>
          <t>SW002</t>
        </is>
      </c>
      <c r="C2513" s="33" t="inlineStr">
        <is>
          <t>Miron Bunakov</t>
        </is>
      </c>
      <c r="D2513" s="33" t="inlineStr">
        <is>
          <t>SwimCloud</t>
        </is>
      </c>
      <c r="E2513" s="33" t="inlineStr">
        <is>
          <t>3360584</t>
        </is>
      </c>
      <c r="F2513" s="33" t="inlineStr">
        <is>
          <t>125687615</t>
        </is>
      </c>
      <c r="G2513" s="51" t="n">
        <v>45220</v>
      </c>
      <c r="H2513" s="33" t="inlineStr">
        <is>
          <t>Hamilton Aquatics Short Course</t>
        </is>
      </c>
      <c r="I2513" s="33" t="inlineStr">
        <is>
          <t>303673</t>
        </is>
      </c>
      <c r="J2513" s="33" t="inlineStr"/>
      <c r="K2513" s="33" t="inlineStr">
        <is>
          <t>TIM</t>
        </is>
      </c>
      <c r="L2513" s="35">
        <f>IF(K2513="FIN",3,IF(OR(K2513="SEM",K2513="SEMI"),2,IF(OR(K2513="PRE",K2513="HEAT"),1,IF(V2513="YES",4,2))))</f>
        <v/>
      </c>
      <c r="M2513" s="33" t="inlineStr">
        <is>
          <t>SCM</t>
        </is>
      </c>
      <c r="N2513" s="33" t="n">
        <v>200</v>
      </c>
      <c r="O2513" s="33" t="inlineStr">
        <is>
          <t>Free</t>
        </is>
      </c>
      <c r="P2513" s="33" t="inlineStr">
        <is>
          <t>200 Free</t>
        </is>
      </c>
      <c r="Q2513" s="33" t="inlineStr">
        <is>
          <t>SCM_200_FREE</t>
        </is>
      </c>
      <c r="R2513" s="36" t="n">
        <v>130.84</v>
      </c>
      <c r="S2513" s="35">
        <f>IF(R2513="","",IF(R2513&gt;=60,INT(R2513/60)&amp;":"&amp;TEXT(MOD(R2513,60),"00.00"),TEXT(R2513,"0.00")))</f>
        <v/>
      </c>
      <c r="T2513" s="52">
        <f>IFERROR((G2513-INDEX('01_Swimmers'!$E$5:$E$22,MATCH(B2513,'01_Swimmers'!$A$5:$A$22,0)))/'00_Control'!$B$10,"")</f>
        <v/>
      </c>
      <c r="U2513" s="35">
        <f>IF(T2513="","",INT(T2513))</f>
        <v/>
      </c>
      <c r="V2513" s="33" t="inlineStr">
        <is>
          <t>NO</t>
        </is>
      </c>
      <c r="W2513" s="33" t="inlineStr">
        <is>
          <t>YES</t>
        </is>
      </c>
      <c r="X2513" s="33" t="inlineStr">
        <is>
          <t>NO</t>
        </is>
      </c>
      <c r="Y2513" s="33" t="n">
        <v>6</v>
      </c>
      <c r="Z2513" s="33" t="n">
        <v>6</v>
      </c>
      <c r="AA2513" s="33" t="inlineStr">
        <is>
          <t>2</t>
        </is>
      </c>
      <c r="AB2513" s="33" t="inlineStr">
        <is>
          <t>https://www.swimcloud.com/results/303673/event/202/?id=125687615#time125687615</t>
        </is>
      </c>
      <c r="AC2513" s="33" t="inlineStr">
        <is>
          <t>SwimCloud API v6 2026-10-08</t>
        </is>
      </c>
      <c r="AD2513" s="33" t="inlineStr">
        <is>
          <t>Miron Bunakov|2023-10-21|SCM|200|Free|130.84|Hamilton Aquatics Short Course|TIM|False</t>
        </is>
      </c>
      <c r="AE2513" s="53">
        <f>G2513+L2513/1000+ROW()/1000000000</f>
        <v/>
      </c>
      <c r="AF2513" s="35">
        <f>IF(C2513&lt;&gt;"Grayson Coulter","",COUNTIFS($C$5:$C$2991,"Grayson Coulter",$Q$5:$Q$2991,Q2513,$AE$5:$AE$2991,"&lt;="&amp;AE2513,$R$5:$R$2991,"&lt;"&amp;R2513))</f>
        <v/>
      </c>
      <c r="AG2513" s="35">
        <f>IF(OR(C2513&lt;&gt;"Grayson Coulter",G2513&lt;'00_Control'!$B$7),"",--(AF2513&lt;5))</f>
        <v/>
      </c>
      <c r="AH2513" s="35">
        <f>IF(OR(C2513&lt;&gt;"Grayson Coulter",G2513&lt;'00_Control'!$B$7),"",--(AF2513&lt;10))</f>
        <v/>
      </c>
      <c r="AI2513" s="35">
        <f>IF(AND(C2513="Grayson Coulter",G2513&gt;='00_Control'!$B$7),"YES","NO")</f>
        <v/>
      </c>
      <c r="AJ2513" s="33" t="inlineStr">
        <is>
          <t>OK</t>
        </is>
      </c>
    </row>
    <row r="2514">
      <c r="A2514" s="33" t="inlineStr">
        <is>
          <t>SM002510</t>
        </is>
      </c>
      <c r="B2514" s="33" t="inlineStr">
        <is>
          <t>SW002</t>
        </is>
      </c>
      <c r="C2514" s="33" t="inlineStr">
        <is>
          <t>Miron Bunakov</t>
        </is>
      </c>
      <c r="D2514" s="33" t="inlineStr">
        <is>
          <t>SwimCloud</t>
        </is>
      </c>
      <c r="E2514" s="33" t="inlineStr">
        <is>
          <t>3360584</t>
        </is>
      </c>
      <c r="F2514" s="33" t="inlineStr">
        <is>
          <t>125687454</t>
        </is>
      </c>
      <c r="G2514" s="51" t="n">
        <v>45221</v>
      </c>
      <c r="H2514" s="33" t="inlineStr">
        <is>
          <t>Hamilton Aquatics Short Course</t>
        </is>
      </c>
      <c r="I2514" s="33" t="inlineStr">
        <is>
          <t>303673</t>
        </is>
      </c>
      <c r="J2514" s="33" t="inlineStr"/>
      <c r="K2514" s="33" t="inlineStr">
        <is>
          <t>TIM</t>
        </is>
      </c>
      <c r="L2514" s="35">
        <f>IF(K2514="FIN",3,IF(OR(K2514="SEM",K2514="SEMI"),2,IF(OR(K2514="PRE",K2514="HEAT"),1,IF(V2514="YES",4,2))))</f>
        <v/>
      </c>
      <c r="M2514" s="33" t="inlineStr">
        <is>
          <t>SCM</t>
        </is>
      </c>
      <c r="N2514" s="33" t="n">
        <v>100</v>
      </c>
      <c r="O2514" s="33" t="inlineStr">
        <is>
          <t>Fly</t>
        </is>
      </c>
      <c r="P2514" s="33" t="inlineStr">
        <is>
          <t>100 Fly</t>
        </is>
      </c>
      <c r="Q2514" s="33" t="inlineStr">
        <is>
          <t>SCM_100_FLY</t>
        </is>
      </c>
      <c r="R2514" s="36" t="n">
        <v>65.81999999999999</v>
      </c>
      <c r="S2514" s="35">
        <f>IF(R2514="","",IF(R2514&gt;=60,INT(R2514/60)&amp;":"&amp;TEXT(MOD(R2514,60),"00.00"),TEXT(R2514,"0.00")))</f>
        <v/>
      </c>
      <c r="T2514" s="52">
        <f>IFERROR((G2514-INDEX('01_Swimmers'!$E$5:$E$22,MATCH(B2514,'01_Swimmers'!$A$5:$A$22,0)))/'00_Control'!$B$10,"")</f>
        <v/>
      </c>
      <c r="U2514" s="35">
        <f>IF(T2514="","",INT(T2514))</f>
        <v/>
      </c>
      <c r="V2514" s="33" t="inlineStr">
        <is>
          <t>NO</t>
        </is>
      </c>
      <c r="W2514" s="33" t="inlineStr">
        <is>
          <t>YES</t>
        </is>
      </c>
      <c r="X2514" s="33" t="inlineStr">
        <is>
          <t>NO</t>
        </is>
      </c>
      <c r="Y2514" s="33" t="n">
        <v>5</v>
      </c>
      <c r="Z2514" s="33" t="n">
        <v>8</v>
      </c>
      <c r="AA2514" s="33" t="inlineStr">
        <is>
          <t>2</t>
        </is>
      </c>
      <c r="AB2514" s="33" t="inlineStr">
        <is>
          <t>https://www.swimcloud.com/results/303673/event/306/?id=125687454#time125687454</t>
        </is>
      </c>
      <c r="AC2514" s="33" t="inlineStr">
        <is>
          <t>SwimCloud API v6 2026-10-08</t>
        </is>
      </c>
      <c r="AD2514" s="33" t="inlineStr">
        <is>
          <t>Miron Bunakov|2023-10-22|SCM|100|Fly|65.82|Hamilton Aquatics Short Course|TIM|False</t>
        </is>
      </c>
      <c r="AE2514" s="53">
        <f>G2514+L2514/1000+ROW()/1000000000</f>
        <v/>
      </c>
      <c r="AF2514" s="35">
        <f>IF(C2514&lt;&gt;"Grayson Coulter","",COUNTIFS($C$5:$C$2991,"Grayson Coulter",$Q$5:$Q$2991,Q2514,$AE$5:$AE$2991,"&lt;="&amp;AE2514,$R$5:$R$2991,"&lt;"&amp;R2514))</f>
        <v/>
      </c>
      <c r="AG2514" s="35">
        <f>IF(OR(C2514&lt;&gt;"Grayson Coulter",G2514&lt;'00_Control'!$B$7),"",--(AF2514&lt;5))</f>
        <v/>
      </c>
      <c r="AH2514" s="35">
        <f>IF(OR(C2514&lt;&gt;"Grayson Coulter",G2514&lt;'00_Control'!$B$7),"",--(AF2514&lt;10))</f>
        <v/>
      </c>
      <c r="AI2514" s="35">
        <f>IF(AND(C2514="Grayson Coulter",G2514&gt;='00_Control'!$B$7),"YES","NO")</f>
        <v/>
      </c>
      <c r="AJ2514" s="33" t="inlineStr">
        <is>
          <t>OK</t>
        </is>
      </c>
    </row>
    <row r="2515">
      <c r="A2515" s="33" t="inlineStr">
        <is>
          <t>SM002511</t>
        </is>
      </c>
      <c r="B2515" s="33" t="inlineStr">
        <is>
          <t>SW002</t>
        </is>
      </c>
      <c r="C2515" s="33" t="inlineStr">
        <is>
          <t>Miron Bunakov</t>
        </is>
      </c>
      <c r="D2515" s="33" t="inlineStr">
        <is>
          <t>SwimCloud</t>
        </is>
      </c>
      <c r="E2515" s="33" t="inlineStr">
        <is>
          <t>3360584</t>
        </is>
      </c>
      <c r="F2515" s="33" t="inlineStr">
        <is>
          <t>125687446</t>
        </is>
      </c>
      <c r="G2515" s="51" t="n">
        <v>45221</v>
      </c>
      <c r="H2515" s="33" t="inlineStr">
        <is>
          <t>Hamilton Aquatics Short Course</t>
        </is>
      </c>
      <c r="I2515" s="33" t="inlineStr">
        <is>
          <t>303673</t>
        </is>
      </c>
      <c r="J2515" s="33" t="inlineStr"/>
      <c r="K2515" s="33" t="inlineStr">
        <is>
          <t>TIM</t>
        </is>
      </c>
      <c r="L2515" s="35">
        <f>IF(K2515="FIN",3,IF(OR(K2515="SEM",K2515="SEMI"),2,IF(OR(K2515="PRE",K2515="HEAT"),1,IF(V2515="YES",4,2))))</f>
        <v/>
      </c>
      <c r="M2515" s="33" t="inlineStr">
        <is>
          <t>SCM</t>
        </is>
      </c>
      <c r="N2515" s="33" t="n">
        <v>400</v>
      </c>
      <c r="O2515" s="33" t="inlineStr">
        <is>
          <t>Free</t>
        </is>
      </c>
      <c r="P2515" s="33" t="inlineStr">
        <is>
          <t>400 Free</t>
        </is>
      </c>
      <c r="Q2515" s="33" t="inlineStr">
        <is>
          <t>SCM_400_FREE</t>
        </is>
      </c>
      <c r="R2515" s="36" t="n">
        <v>284.72</v>
      </c>
      <c r="S2515" s="35">
        <f>IF(R2515="","",IF(R2515&gt;=60,INT(R2515/60)&amp;":"&amp;TEXT(MOD(R2515,60),"00.00"),TEXT(R2515,"0.00")))</f>
        <v/>
      </c>
      <c r="T2515" s="52">
        <f>IFERROR((G2515-INDEX('01_Swimmers'!$E$5:$E$22,MATCH(B2515,'01_Swimmers'!$A$5:$A$22,0)))/'00_Control'!$B$10,"")</f>
        <v/>
      </c>
      <c r="U2515" s="35">
        <f>IF(T2515="","",INT(T2515))</f>
        <v/>
      </c>
      <c r="V2515" s="33" t="inlineStr">
        <is>
          <t>NO</t>
        </is>
      </c>
      <c r="W2515" s="33" t="inlineStr">
        <is>
          <t>YES</t>
        </is>
      </c>
      <c r="X2515" s="33" t="inlineStr">
        <is>
          <t>NO</t>
        </is>
      </c>
      <c r="Y2515" s="33" t="n">
        <v>2</v>
      </c>
      <c r="Z2515" s="33" t="n">
        <v>3</v>
      </c>
      <c r="AA2515" s="33" t="inlineStr">
        <is>
          <t>1</t>
        </is>
      </c>
      <c r="AB2515" s="33" t="inlineStr">
        <is>
          <t>https://www.swimcloud.com/results/303673/event/302/?id=125687446#time125687446</t>
        </is>
      </c>
      <c r="AC2515" s="33" t="inlineStr">
        <is>
          <t>SwimCloud API v6 2026-10-08</t>
        </is>
      </c>
      <c r="AD2515" s="33" t="inlineStr">
        <is>
          <t>Miron Bunakov|2023-10-22|SCM|400|Free|284.72|Hamilton Aquatics Short Course|TIM|False</t>
        </is>
      </c>
      <c r="AE2515" s="53">
        <f>G2515+L2515/1000+ROW()/1000000000</f>
        <v/>
      </c>
      <c r="AF2515" s="35">
        <f>IF(C2515&lt;&gt;"Grayson Coulter","",COUNTIFS($C$5:$C$2991,"Grayson Coulter",$Q$5:$Q$2991,Q2515,$AE$5:$AE$2991,"&lt;="&amp;AE2515,$R$5:$R$2991,"&lt;"&amp;R2515))</f>
        <v/>
      </c>
      <c r="AG2515" s="35">
        <f>IF(OR(C2515&lt;&gt;"Grayson Coulter",G2515&lt;'00_Control'!$B$7),"",--(AF2515&lt;5))</f>
        <v/>
      </c>
      <c r="AH2515" s="35">
        <f>IF(OR(C2515&lt;&gt;"Grayson Coulter",G2515&lt;'00_Control'!$B$7),"",--(AF2515&lt;10))</f>
        <v/>
      </c>
      <c r="AI2515" s="35">
        <f>IF(AND(C2515="Grayson Coulter",G2515&gt;='00_Control'!$B$7),"YES","NO")</f>
        <v/>
      </c>
      <c r="AJ2515" s="33" t="inlineStr">
        <is>
          <t>OK</t>
        </is>
      </c>
    </row>
    <row r="2516">
      <c r="A2516" s="33" t="inlineStr">
        <is>
          <t>SM002512</t>
        </is>
      </c>
      <c r="B2516" s="33" t="inlineStr">
        <is>
          <t>SW002</t>
        </is>
      </c>
      <c r="C2516" s="33" t="inlineStr">
        <is>
          <t>Miron Bunakov</t>
        </is>
      </c>
      <c r="D2516" s="33" t="inlineStr">
        <is>
          <t>SwimCloud</t>
        </is>
      </c>
      <c r="E2516" s="33" t="inlineStr">
        <is>
          <t>3360584</t>
        </is>
      </c>
      <c r="F2516" s="33" t="inlineStr">
        <is>
          <t>151809037</t>
        </is>
      </c>
      <c r="G2516" s="51" t="n">
        <v>45269</v>
      </c>
      <c r="H2516" s="33" t="inlineStr">
        <is>
          <t>BPS Feeding Frenzy</t>
        </is>
      </c>
      <c r="I2516" s="33" t="inlineStr">
        <is>
          <t>292704</t>
        </is>
      </c>
      <c r="J2516" s="33" t="inlineStr"/>
      <c r="K2516" s="33" t="inlineStr">
        <is>
          <t>TIM</t>
        </is>
      </c>
      <c r="L2516" s="35">
        <f>IF(K2516="FIN",3,IF(OR(K2516="SEM",K2516="SEMI"),2,IF(OR(K2516="PRE",K2516="HEAT"),1,IF(V2516="YES",4,2))))</f>
        <v/>
      </c>
      <c r="M2516" s="33" t="inlineStr">
        <is>
          <t>LCM</t>
        </is>
      </c>
      <c r="N2516" s="33" t="n">
        <v>100</v>
      </c>
      <c r="O2516" s="33" t="inlineStr">
        <is>
          <t>Free</t>
        </is>
      </c>
      <c r="P2516" s="33" t="inlineStr">
        <is>
          <t>100 Free</t>
        </is>
      </c>
      <c r="Q2516" s="33" t="inlineStr">
        <is>
          <t>LCM_100_FREE</t>
        </is>
      </c>
      <c r="R2516" s="36" t="n">
        <v>58.28</v>
      </c>
      <c r="S2516" s="35">
        <f>IF(R2516="","",IF(R2516&gt;=60,INT(R2516/60)&amp;":"&amp;TEXT(MOD(R2516,60),"00.00"),TEXT(R2516,"0.00")))</f>
        <v/>
      </c>
      <c r="T2516" s="52">
        <f>IFERROR((G2516-INDEX('01_Swimmers'!$E$5:$E$22,MATCH(B2516,'01_Swimmers'!$A$5:$A$22,0)))/'00_Control'!$B$10,"")</f>
        <v/>
      </c>
      <c r="U2516" s="35">
        <f>IF(T2516="","",INT(T2516))</f>
        <v/>
      </c>
      <c r="V2516" s="33" t="inlineStr">
        <is>
          <t>NO</t>
        </is>
      </c>
      <c r="W2516" s="33" t="inlineStr">
        <is>
          <t>YES</t>
        </is>
      </c>
      <c r="X2516" s="33" t="inlineStr">
        <is>
          <t>NO</t>
        </is>
      </c>
      <c r="Y2516" s="33" t="n">
        <v>34</v>
      </c>
      <c r="Z2516" s="33" t="n">
        <v>4</v>
      </c>
      <c r="AA2516" s="33" t="inlineStr">
        <is>
          <t>1</t>
        </is>
      </c>
      <c r="AB2516" s="33" t="inlineStr">
        <is>
          <t>https://www.swimcloud.com/results/292704/event/13/?id=151809037#time151809037</t>
        </is>
      </c>
      <c r="AC2516" s="33" t="inlineStr">
        <is>
          <t>SwimCloud API v6 2026-10-08</t>
        </is>
      </c>
      <c r="AD2516" s="33" t="inlineStr">
        <is>
          <t>Miron Bunakov|2023-12-09|LCM|100|Free|58.28|BPS Feeding Frenzy|TIM|False</t>
        </is>
      </c>
      <c r="AE2516" s="53">
        <f>G2516+L2516/1000+ROW()/1000000000</f>
        <v/>
      </c>
      <c r="AF2516" s="35">
        <f>IF(C2516&lt;&gt;"Grayson Coulter","",COUNTIFS($C$5:$C$2991,"Grayson Coulter",$Q$5:$Q$2991,Q2516,$AE$5:$AE$2991,"&lt;="&amp;AE2516,$R$5:$R$2991,"&lt;"&amp;R2516))</f>
        <v/>
      </c>
      <c r="AG2516" s="35">
        <f>IF(OR(C2516&lt;&gt;"Grayson Coulter",G2516&lt;'00_Control'!$B$7),"",--(AF2516&lt;5))</f>
        <v/>
      </c>
      <c r="AH2516" s="35">
        <f>IF(OR(C2516&lt;&gt;"Grayson Coulter",G2516&lt;'00_Control'!$B$7),"",--(AF2516&lt;10))</f>
        <v/>
      </c>
      <c r="AI2516" s="35">
        <f>IF(AND(C2516="Grayson Coulter",G2516&gt;='00_Control'!$B$7),"YES","NO")</f>
        <v/>
      </c>
      <c r="AJ2516" s="33" t="inlineStr">
        <is>
          <t>OK</t>
        </is>
      </c>
    </row>
    <row r="2517">
      <c r="A2517" s="33" t="inlineStr">
        <is>
          <t>SM002513</t>
        </is>
      </c>
      <c r="B2517" s="33" t="inlineStr">
        <is>
          <t>SW002</t>
        </is>
      </c>
      <c r="C2517" s="33" t="inlineStr">
        <is>
          <t>Miron Bunakov</t>
        </is>
      </c>
      <c r="D2517" s="33" t="inlineStr">
        <is>
          <t>SwimCloud</t>
        </is>
      </c>
      <c r="E2517" s="33" t="inlineStr">
        <is>
          <t>3360584</t>
        </is>
      </c>
      <c r="F2517" s="33" t="inlineStr">
        <is>
          <t>151809734</t>
        </is>
      </c>
      <c r="G2517" s="51" t="n">
        <v>45270</v>
      </c>
      <c r="H2517" s="33" t="inlineStr">
        <is>
          <t>BPS Feeding Frenzy</t>
        </is>
      </c>
      <c r="I2517" s="33" t="inlineStr">
        <is>
          <t>292704</t>
        </is>
      </c>
      <c r="J2517" s="33" t="inlineStr"/>
      <c r="K2517" s="33" t="inlineStr">
        <is>
          <t>TIM</t>
        </is>
      </c>
      <c r="L2517" s="35">
        <f>IF(K2517="FIN",3,IF(OR(K2517="SEM",K2517="SEMI"),2,IF(OR(K2517="PRE",K2517="HEAT"),1,IF(V2517="YES",4,2))))</f>
        <v/>
      </c>
      <c r="M2517" s="33" t="inlineStr">
        <is>
          <t>LCM</t>
        </is>
      </c>
      <c r="N2517" s="33" t="n">
        <v>100</v>
      </c>
      <c r="O2517" s="33" t="inlineStr">
        <is>
          <t>Fly</t>
        </is>
      </c>
      <c r="P2517" s="33" t="inlineStr">
        <is>
          <t>100 Fly</t>
        </is>
      </c>
      <c r="Q2517" s="33" t="inlineStr">
        <is>
          <t>LCM_100_FLY</t>
        </is>
      </c>
      <c r="R2517" s="36" t="n">
        <v>64.90000000000001</v>
      </c>
      <c r="S2517" s="35">
        <f>IF(R2517="","",IF(R2517&gt;=60,INT(R2517/60)&amp;":"&amp;TEXT(MOD(R2517,60),"00.00"),TEXT(R2517,"0.00")))</f>
        <v/>
      </c>
      <c r="T2517" s="52">
        <f>IFERROR((G2517-INDEX('01_Swimmers'!$E$5:$E$22,MATCH(B2517,'01_Swimmers'!$A$5:$A$22,0)))/'00_Control'!$B$10,"")</f>
        <v/>
      </c>
      <c r="U2517" s="35">
        <f>IF(T2517="","",INT(T2517))</f>
        <v/>
      </c>
      <c r="V2517" s="33" t="inlineStr">
        <is>
          <t>NO</t>
        </is>
      </c>
      <c r="W2517" s="33" t="inlineStr">
        <is>
          <t>YES</t>
        </is>
      </c>
      <c r="X2517" s="33" t="inlineStr">
        <is>
          <t>NO</t>
        </is>
      </c>
      <c r="Y2517" s="33" t="n">
        <v>15</v>
      </c>
      <c r="Z2517" s="33" t="n">
        <v>5</v>
      </c>
      <c r="AA2517" s="33" t="inlineStr">
        <is>
          <t>1</t>
        </is>
      </c>
      <c r="AB2517" s="33" t="inlineStr">
        <is>
          <t>https://www.swimcloud.com/results/292704/event/41/?id=151809734#time151809734</t>
        </is>
      </c>
      <c r="AC2517" s="33" t="inlineStr">
        <is>
          <t>SwimCloud API v6 2026-10-08</t>
        </is>
      </c>
      <c r="AD2517" s="33" t="inlineStr">
        <is>
          <t>Miron Bunakov|2023-12-10|LCM|100|Fly|64.9|BPS Feeding Frenzy|TIM|False</t>
        </is>
      </c>
      <c r="AE2517" s="53">
        <f>G2517+L2517/1000+ROW()/1000000000</f>
        <v/>
      </c>
      <c r="AF2517" s="35">
        <f>IF(C2517&lt;&gt;"Grayson Coulter","",COUNTIFS($C$5:$C$2991,"Grayson Coulter",$Q$5:$Q$2991,Q2517,$AE$5:$AE$2991,"&lt;="&amp;AE2517,$R$5:$R$2991,"&lt;"&amp;R2517))</f>
        <v/>
      </c>
      <c r="AG2517" s="35">
        <f>IF(OR(C2517&lt;&gt;"Grayson Coulter",G2517&lt;'00_Control'!$B$7),"",--(AF2517&lt;5))</f>
        <v/>
      </c>
      <c r="AH2517" s="35">
        <f>IF(OR(C2517&lt;&gt;"Grayson Coulter",G2517&lt;'00_Control'!$B$7),"",--(AF2517&lt;10))</f>
        <v/>
      </c>
      <c r="AI2517" s="35">
        <f>IF(AND(C2517="Grayson Coulter",G2517&gt;='00_Control'!$B$7),"YES","NO")</f>
        <v/>
      </c>
      <c r="AJ2517" s="33" t="inlineStr">
        <is>
          <t>OK</t>
        </is>
      </c>
    </row>
    <row r="2518">
      <c r="A2518" s="33" t="inlineStr">
        <is>
          <t>SM002514</t>
        </is>
      </c>
      <c r="B2518" s="33" t="inlineStr">
        <is>
          <t>SW002</t>
        </is>
      </c>
      <c r="C2518" s="33" t="inlineStr">
        <is>
          <t>Miron Bunakov</t>
        </is>
      </c>
      <c r="D2518" s="33" t="inlineStr">
        <is>
          <t>SwimCloud</t>
        </is>
      </c>
      <c r="E2518" s="33" t="inlineStr">
        <is>
          <t>3360584</t>
        </is>
      </c>
      <c r="F2518" s="33" t="inlineStr">
        <is>
          <t>151809878</t>
        </is>
      </c>
      <c r="G2518" s="51" t="n">
        <v>45270</v>
      </c>
      <c r="H2518" s="33" t="inlineStr">
        <is>
          <t>BPS Feeding Frenzy</t>
        </is>
      </c>
      <c r="I2518" s="33" t="inlineStr">
        <is>
          <t>292704</t>
        </is>
      </c>
      <c r="J2518" s="33" t="inlineStr"/>
      <c r="K2518" s="33" t="inlineStr">
        <is>
          <t>TIM</t>
        </is>
      </c>
      <c r="L2518" s="35">
        <f>IF(K2518="FIN",3,IF(OR(K2518="SEM",K2518="SEMI"),2,IF(OR(K2518="PRE",K2518="HEAT"),1,IF(V2518="YES",4,2))))</f>
        <v/>
      </c>
      <c r="M2518" s="33" t="inlineStr">
        <is>
          <t>LCM</t>
        </is>
      </c>
      <c r="N2518" s="33" t="n">
        <v>200</v>
      </c>
      <c r="O2518" s="33" t="inlineStr">
        <is>
          <t>Free</t>
        </is>
      </c>
      <c r="P2518" s="33" t="inlineStr">
        <is>
          <t>200 Free</t>
        </is>
      </c>
      <c r="Q2518" s="33" t="inlineStr">
        <is>
          <t>LCM_200_FREE</t>
        </is>
      </c>
      <c r="R2518" s="36" t="n">
        <v>129.27</v>
      </c>
      <c r="S2518" s="35">
        <f>IF(R2518="","",IF(R2518&gt;=60,INT(R2518/60)&amp;":"&amp;TEXT(MOD(R2518,60),"00.00"),TEXT(R2518,"0.00")))</f>
        <v/>
      </c>
      <c r="T2518" s="52">
        <f>IFERROR((G2518-INDEX('01_Swimmers'!$E$5:$E$22,MATCH(B2518,'01_Swimmers'!$A$5:$A$22,0)))/'00_Control'!$B$10,"")</f>
        <v/>
      </c>
      <c r="U2518" s="35">
        <f>IF(T2518="","",INT(T2518))</f>
        <v/>
      </c>
      <c r="V2518" s="33" t="inlineStr">
        <is>
          <t>NO</t>
        </is>
      </c>
      <c r="W2518" s="33" t="inlineStr">
        <is>
          <t>YES</t>
        </is>
      </c>
      <c r="X2518" s="33" t="inlineStr">
        <is>
          <t>NO</t>
        </is>
      </c>
      <c r="Y2518" s="33" t="n">
        <v>14</v>
      </c>
      <c r="Z2518" s="33" t="n">
        <v>5</v>
      </c>
      <c r="AA2518" s="33" t="inlineStr">
        <is>
          <t>1</t>
        </is>
      </c>
      <c r="AB2518" s="33" t="inlineStr">
        <is>
          <t>https://www.swimcloud.com/results/292704/event/37/?id=151809878#time151809878</t>
        </is>
      </c>
      <c r="AC2518" s="33" t="inlineStr">
        <is>
          <t>SwimCloud API v6 2026-10-08</t>
        </is>
      </c>
      <c r="AD2518" s="33" t="inlineStr">
        <is>
          <t>Miron Bunakov|2023-12-10|LCM|200|Free|129.27|BPS Feeding Frenzy|TIM|False</t>
        </is>
      </c>
      <c r="AE2518" s="53">
        <f>G2518+L2518/1000+ROW()/1000000000</f>
        <v/>
      </c>
      <c r="AF2518" s="35">
        <f>IF(C2518&lt;&gt;"Grayson Coulter","",COUNTIFS($C$5:$C$2991,"Grayson Coulter",$Q$5:$Q$2991,Q2518,$AE$5:$AE$2991,"&lt;="&amp;AE2518,$R$5:$R$2991,"&lt;"&amp;R2518))</f>
        <v/>
      </c>
      <c r="AG2518" s="35">
        <f>IF(OR(C2518&lt;&gt;"Grayson Coulter",G2518&lt;'00_Control'!$B$7),"",--(AF2518&lt;5))</f>
        <v/>
      </c>
      <c r="AH2518" s="35">
        <f>IF(OR(C2518&lt;&gt;"Grayson Coulter",G2518&lt;'00_Control'!$B$7),"",--(AF2518&lt;10))</f>
        <v/>
      </c>
      <c r="AI2518" s="35">
        <f>IF(AND(C2518="Grayson Coulter",G2518&gt;='00_Control'!$B$7),"YES","NO")</f>
        <v/>
      </c>
      <c r="AJ2518" s="33" t="inlineStr">
        <is>
          <t>OK</t>
        </is>
      </c>
    </row>
    <row r="2519">
      <c r="A2519" s="33" t="inlineStr">
        <is>
          <t>SM002515</t>
        </is>
      </c>
      <c r="B2519" s="33" t="inlineStr">
        <is>
          <t>SW002</t>
        </is>
      </c>
      <c r="C2519" s="33" t="inlineStr">
        <is>
          <t>Miron Bunakov</t>
        </is>
      </c>
      <c r="D2519" s="33" t="inlineStr">
        <is>
          <t>SwimCloud</t>
        </is>
      </c>
      <c r="E2519" s="33" t="inlineStr">
        <is>
          <t>3360584</t>
        </is>
      </c>
      <c r="F2519" s="33" t="inlineStr">
        <is>
          <t>151813254</t>
        </is>
      </c>
      <c r="G2519" s="51" t="n">
        <v>45323</v>
      </c>
      <c r="H2519" s="33" t="inlineStr">
        <is>
          <t>2024 Middle School ACSIS</t>
        </is>
      </c>
      <c r="I2519" s="33" t="inlineStr">
        <is>
          <t>296548</t>
        </is>
      </c>
      <c r="J2519" s="33" t="inlineStr"/>
      <c r="K2519" s="33" t="inlineStr">
        <is>
          <t>TIM</t>
        </is>
      </c>
      <c r="L2519" s="35">
        <f>IF(K2519="FIN",3,IF(OR(K2519="SEM",K2519="SEMI"),2,IF(OR(K2519="PRE",K2519="HEAT"),1,IF(V2519="YES",4,2))))</f>
        <v/>
      </c>
      <c r="M2519" s="33" t="inlineStr">
        <is>
          <t>SCM</t>
        </is>
      </c>
      <c r="N2519" s="33" t="n">
        <v>100</v>
      </c>
      <c r="O2519" s="33" t="inlineStr">
        <is>
          <t>Free</t>
        </is>
      </c>
      <c r="P2519" s="33" t="inlineStr">
        <is>
          <t>100 Free</t>
        </is>
      </c>
      <c r="Q2519" s="33" t="inlineStr">
        <is>
          <t>SCM_100_FREE</t>
        </is>
      </c>
      <c r="R2519" s="36" t="n">
        <v>56.75</v>
      </c>
      <c r="S2519" s="35">
        <f>IF(R2519="","",IF(R2519&gt;=60,INT(R2519/60)&amp;":"&amp;TEXT(MOD(R2519,60),"00.00"),TEXT(R2519,"0.00")))</f>
        <v/>
      </c>
      <c r="T2519" s="52">
        <f>IFERROR((G2519-INDEX('01_Swimmers'!$E$5:$E$22,MATCH(B2519,'01_Swimmers'!$A$5:$A$22,0)))/'00_Control'!$B$10,"")</f>
        <v/>
      </c>
      <c r="U2519" s="35">
        <f>IF(T2519="","",INT(T2519))</f>
        <v/>
      </c>
      <c r="V2519" s="33" t="inlineStr">
        <is>
          <t>NO</t>
        </is>
      </c>
      <c r="W2519" s="33" t="inlineStr">
        <is>
          <t>YES</t>
        </is>
      </c>
      <c r="X2519" s="33" t="inlineStr">
        <is>
          <t>NO</t>
        </is>
      </c>
      <c r="Y2519" s="33" t="n">
        <v>4</v>
      </c>
      <c r="Z2519" s="33" t="n">
        <v>4</v>
      </c>
      <c r="AA2519" s="33" t="inlineStr">
        <is>
          <t>1</t>
        </is>
      </c>
      <c r="AB2519" s="33" t="inlineStr">
        <is>
          <t>https://www.swimcloud.com/results/296548/event/210/?id=151813254#time151813254</t>
        </is>
      </c>
      <c r="AC2519" s="33" t="inlineStr">
        <is>
          <t>SwimCloud API v6 2026-10-08</t>
        </is>
      </c>
      <c r="AD2519" s="33" t="inlineStr">
        <is>
          <t>Miron Bunakov|2024-02-01|SCM|100|Free|56.75|2024 Middle School ACSIS|TIM|False</t>
        </is>
      </c>
      <c r="AE2519" s="53">
        <f>G2519+L2519/1000+ROW()/1000000000</f>
        <v/>
      </c>
      <c r="AF2519" s="35">
        <f>IF(C2519&lt;&gt;"Grayson Coulter","",COUNTIFS($C$5:$C$2991,"Grayson Coulter",$Q$5:$Q$2991,Q2519,$AE$5:$AE$2991,"&lt;="&amp;AE2519,$R$5:$R$2991,"&lt;"&amp;R2519))</f>
        <v/>
      </c>
      <c r="AG2519" s="35">
        <f>IF(OR(C2519&lt;&gt;"Grayson Coulter",G2519&lt;'00_Control'!$B$7),"",--(AF2519&lt;5))</f>
        <v/>
      </c>
      <c r="AH2519" s="35">
        <f>IF(OR(C2519&lt;&gt;"Grayson Coulter",G2519&lt;'00_Control'!$B$7),"",--(AF2519&lt;10))</f>
        <v/>
      </c>
      <c r="AI2519" s="35">
        <f>IF(AND(C2519="Grayson Coulter",G2519&gt;='00_Control'!$B$7),"YES","NO")</f>
        <v/>
      </c>
      <c r="AJ2519" s="33" t="inlineStr">
        <is>
          <t>OK</t>
        </is>
      </c>
    </row>
    <row r="2520">
      <c r="A2520" s="33" t="inlineStr">
        <is>
          <t>SM002516</t>
        </is>
      </c>
      <c r="B2520" s="33" t="inlineStr">
        <is>
          <t>SW002</t>
        </is>
      </c>
      <c r="C2520" s="33" t="inlineStr">
        <is>
          <t>Miron Bunakov</t>
        </is>
      </c>
      <c r="D2520" s="33" t="inlineStr">
        <is>
          <t>SwimCloud</t>
        </is>
      </c>
      <c r="E2520" s="33" t="inlineStr">
        <is>
          <t>3360584</t>
        </is>
      </c>
      <c r="F2520" s="33" t="inlineStr">
        <is>
          <t>151812968</t>
        </is>
      </c>
      <c r="G2520" s="51" t="n">
        <v>45323</v>
      </c>
      <c r="H2520" s="33" t="inlineStr">
        <is>
          <t>2024 Middle School ACSIS</t>
        </is>
      </c>
      <c r="I2520" s="33" t="inlineStr">
        <is>
          <t>296548</t>
        </is>
      </c>
      <c r="J2520" s="33" t="inlineStr"/>
      <c r="K2520" s="33" t="inlineStr">
        <is>
          <t>TIM</t>
        </is>
      </c>
      <c r="L2520" s="35">
        <f>IF(K2520="FIN",3,IF(OR(K2520="SEM",K2520="SEMI"),2,IF(OR(K2520="PRE",K2520="HEAT"),1,IF(V2520="YES",4,2))))</f>
        <v/>
      </c>
      <c r="M2520" s="33" t="inlineStr">
        <is>
          <t>SCM</t>
        </is>
      </c>
      <c r="N2520" s="33" t="n">
        <v>200</v>
      </c>
      <c r="O2520" s="33" t="inlineStr">
        <is>
          <t>Free</t>
        </is>
      </c>
      <c r="P2520" s="33" t="inlineStr">
        <is>
          <t>200 Free</t>
        </is>
      </c>
      <c r="Q2520" s="33" t="inlineStr">
        <is>
          <t>SCM_200_FREE</t>
        </is>
      </c>
      <c r="R2520" s="36" t="n">
        <v>122.89</v>
      </c>
      <c r="S2520" s="35">
        <f>IF(R2520="","",IF(R2520&gt;=60,INT(R2520/60)&amp;":"&amp;TEXT(MOD(R2520,60),"00.00"),TEXT(R2520,"0.00")))</f>
        <v/>
      </c>
      <c r="T2520" s="52">
        <f>IFERROR((G2520-INDEX('01_Swimmers'!$E$5:$E$22,MATCH(B2520,'01_Swimmers'!$A$5:$A$22,0)))/'00_Control'!$B$10,"")</f>
        <v/>
      </c>
      <c r="U2520" s="35">
        <f>IF(T2520="","",INT(T2520))</f>
        <v/>
      </c>
      <c r="V2520" s="33" t="inlineStr">
        <is>
          <t>NO</t>
        </is>
      </c>
      <c r="W2520" s="33" t="inlineStr">
        <is>
          <t>YES</t>
        </is>
      </c>
      <c r="X2520" s="33" t="inlineStr">
        <is>
          <t>NO</t>
        </is>
      </c>
      <c r="Y2520" s="33" t="n">
        <v>2</v>
      </c>
      <c r="Z2520" s="33" t="n">
        <v>4</v>
      </c>
      <c r="AA2520" s="33" t="inlineStr">
        <is>
          <t>1</t>
        </is>
      </c>
      <c r="AB2520" s="33" t="inlineStr">
        <is>
          <t>https://www.swimcloud.com/results/296548/event/114/?id=151812968#time151812968</t>
        </is>
      </c>
      <c r="AC2520" s="33" t="inlineStr">
        <is>
          <t>SwimCloud API v6 2026-10-08</t>
        </is>
      </c>
      <c r="AD2520" s="33" t="inlineStr">
        <is>
          <t>Miron Bunakov|2024-02-01|SCM|200|Free|122.89|2024 Middle School ACSIS|TIM|False</t>
        </is>
      </c>
      <c r="AE2520" s="53">
        <f>G2520+L2520/1000+ROW()/1000000000</f>
        <v/>
      </c>
      <c r="AF2520" s="35">
        <f>IF(C2520&lt;&gt;"Grayson Coulter","",COUNTIFS($C$5:$C$2991,"Grayson Coulter",$Q$5:$Q$2991,Q2520,$AE$5:$AE$2991,"&lt;="&amp;AE2520,$R$5:$R$2991,"&lt;"&amp;R2520))</f>
        <v/>
      </c>
      <c r="AG2520" s="35">
        <f>IF(OR(C2520&lt;&gt;"Grayson Coulter",G2520&lt;'00_Control'!$B$7),"",--(AF2520&lt;5))</f>
        <v/>
      </c>
      <c r="AH2520" s="35">
        <f>IF(OR(C2520&lt;&gt;"Grayson Coulter",G2520&lt;'00_Control'!$B$7),"",--(AF2520&lt;10))</f>
        <v/>
      </c>
      <c r="AI2520" s="35">
        <f>IF(AND(C2520="Grayson Coulter",G2520&gt;='00_Control'!$B$7),"YES","NO")</f>
        <v/>
      </c>
      <c r="AJ2520" s="33" t="inlineStr">
        <is>
          <t>OK</t>
        </is>
      </c>
    </row>
    <row r="2521">
      <c r="A2521" s="33" t="inlineStr">
        <is>
          <t>SM002517</t>
        </is>
      </c>
      <c r="B2521" s="33" t="inlineStr">
        <is>
          <t>SW002</t>
        </is>
      </c>
      <c r="C2521" s="33" t="inlineStr">
        <is>
          <t>Miron Bunakov</t>
        </is>
      </c>
      <c r="D2521" s="33" t="inlineStr">
        <is>
          <t>SwimCloud</t>
        </is>
      </c>
      <c r="E2521" s="33" t="inlineStr">
        <is>
          <t>3360584</t>
        </is>
      </c>
      <c r="F2521" s="33" t="inlineStr">
        <is>
          <t>151815127</t>
        </is>
      </c>
      <c r="G2521" s="51" t="n">
        <v>45326</v>
      </c>
      <c r="H2521" s="33" t="inlineStr">
        <is>
          <t>Singapore Swim Series 2</t>
        </is>
      </c>
      <c r="I2521" s="33" t="inlineStr">
        <is>
          <t>296410</t>
        </is>
      </c>
      <c r="J2521" s="33" t="inlineStr"/>
      <c r="K2521" s="33" t="inlineStr">
        <is>
          <t>TIM</t>
        </is>
      </c>
      <c r="L2521" s="35">
        <f>IF(K2521="FIN",3,IF(OR(K2521="SEM",K2521="SEMI"),2,IF(OR(K2521="PRE",K2521="HEAT"),1,IF(V2521="YES",4,2))))</f>
        <v/>
      </c>
      <c r="M2521" s="33" t="inlineStr">
        <is>
          <t>LCM</t>
        </is>
      </c>
      <c r="N2521" s="33" t="n">
        <v>100</v>
      </c>
      <c r="O2521" s="33" t="inlineStr">
        <is>
          <t>Fly</t>
        </is>
      </c>
      <c r="P2521" s="33" t="inlineStr">
        <is>
          <t>100 Fly</t>
        </is>
      </c>
      <c r="Q2521" s="33" t="inlineStr">
        <is>
          <t>LCM_100_FLY</t>
        </is>
      </c>
      <c r="R2521" s="36" t="n">
        <v>63.15</v>
      </c>
      <c r="S2521" s="35">
        <f>IF(R2521="","",IF(R2521&gt;=60,INT(R2521/60)&amp;":"&amp;TEXT(MOD(R2521,60),"00.00"),TEXT(R2521,"0.00")))</f>
        <v/>
      </c>
      <c r="T2521" s="52">
        <f>IFERROR((G2521-INDEX('01_Swimmers'!$E$5:$E$22,MATCH(B2521,'01_Swimmers'!$A$5:$A$22,0)))/'00_Control'!$B$10,"")</f>
        <v/>
      </c>
      <c r="U2521" s="35">
        <f>IF(T2521="","",INT(T2521))</f>
        <v/>
      </c>
      <c r="V2521" s="33" t="inlineStr">
        <is>
          <t>NO</t>
        </is>
      </c>
      <c r="W2521" s="33" t="inlineStr">
        <is>
          <t>YES</t>
        </is>
      </c>
      <c r="X2521" s="33" t="inlineStr">
        <is>
          <t>NO</t>
        </is>
      </c>
      <c r="Y2521" s="33" t="n">
        <v>5</v>
      </c>
      <c r="Z2521" s="33" t="n">
        <v>0</v>
      </c>
      <c r="AA2521" s="33" t="inlineStr">
        <is>
          <t>2</t>
        </is>
      </c>
      <c r="AB2521" s="33" t="inlineStr">
        <is>
          <t>https://www.swimcloud.com/results/296410/event/804/?id=151815127#time151815127</t>
        </is>
      </c>
      <c r="AC2521" s="33" t="inlineStr">
        <is>
          <t>SwimCloud API v6 2026-10-08</t>
        </is>
      </c>
      <c r="AD2521" s="33" t="inlineStr">
        <is>
          <t>Miron Bunakov|2024-02-04|LCM|100|Fly|63.15|Singapore Swim Series 2|TIM|False</t>
        </is>
      </c>
      <c r="AE2521" s="53">
        <f>G2521+L2521/1000+ROW()/1000000000</f>
        <v/>
      </c>
      <c r="AF2521" s="35">
        <f>IF(C2521&lt;&gt;"Grayson Coulter","",COUNTIFS($C$5:$C$2991,"Grayson Coulter",$Q$5:$Q$2991,Q2521,$AE$5:$AE$2991,"&lt;="&amp;AE2521,$R$5:$R$2991,"&lt;"&amp;R2521))</f>
        <v/>
      </c>
      <c r="AG2521" s="35">
        <f>IF(OR(C2521&lt;&gt;"Grayson Coulter",G2521&lt;'00_Control'!$B$7),"",--(AF2521&lt;5))</f>
        <v/>
      </c>
      <c r="AH2521" s="35">
        <f>IF(OR(C2521&lt;&gt;"Grayson Coulter",G2521&lt;'00_Control'!$B$7),"",--(AF2521&lt;10))</f>
        <v/>
      </c>
      <c r="AI2521" s="35">
        <f>IF(AND(C2521="Grayson Coulter",G2521&gt;='00_Control'!$B$7),"YES","NO")</f>
        <v/>
      </c>
      <c r="AJ2521" s="33" t="inlineStr">
        <is>
          <t>OK</t>
        </is>
      </c>
    </row>
    <row r="2522">
      <c r="A2522" s="33" t="inlineStr">
        <is>
          <t>SM002518</t>
        </is>
      </c>
      <c r="B2522" s="33" t="inlineStr">
        <is>
          <t>SW002</t>
        </is>
      </c>
      <c r="C2522" s="33" t="inlineStr">
        <is>
          <t>Miron Bunakov</t>
        </is>
      </c>
      <c r="D2522" s="33" t="inlineStr">
        <is>
          <t>SwimCloud</t>
        </is>
      </c>
      <c r="E2522" s="33" t="inlineStr">
        <is>
          <t>3360584</t>
        </is>
      </c>
      <c r="F2522" s="33" t="inlineStr">
        <is>
          <t>151787048</t>
        </is>
      </c>
      <c r="G2522" s="51" t="n">
        <v>45364</v>
      </c>
      <c r="H2522" s="33" t="inlineStr">
        <is>
          <t>54th SNAG Senior Championships</t>
        </is>
      </c>
      <c r="I2522" s="33" t="inlineStr">
        <is>
          <t>300482</t>
        </is>
      </c>
      <c r="J2522" s="33" t="inlineStr"/>
      <c r="K2522" s="33" t="inlineStr">
        <is>
          <t>PRE</t>
        </is>
      </c>
      <c r="L2522" s="35">
        <f>IF(K2522="FIN",3,IF(OR(K2522="SEM",K2522="SEMI"),2,IF(OR(K2522="PRE",K2522="HEAT"),1,IF(V2522="YES",4,2))))</f>
        <v/>
      </c>
      <c r="M2522" s="33" t="inlineStr">
        <is>
          <t>LCM</t>
        </is>
      </c>
      <c r="N2522" s="33" t="n">
        <v>100</v>
      </c>
      <c r="O2522" s="33" t="inlineStr">
        <is>
          <t>Free</t>
        </is>
      </c>
      <c r="P2522" s="33" t="inlineStr">
        <is>
          <t>100 Free</t>
        </is>
      </c>
      <c r="Q2522" s="33" t="inlineStr">
        <is>
          <t>LCM_100_FREE</t>
        </is>
      </c>
      <c r="R2522" s="36" t="n">
        <v>56.37</v>
      </c>
      <c r="S2522" s="35">
        <f>IF(R2522="","",IF(R2522&gt;=60,INT(R2522/60)&amp;":"&amp;TEXT(MOD(R2522,60),"00.00"),TEXT(R2522,"0.00")))</f>
        <v/>
      </c>
      <c r="T2522" s="52">
        <f>IFERROR((G2522-INDEX('01_Swimmers'!$E$5:$E$22,MATCH(B2522,'01_Swimmers'!$A$5:$A$22,0)))/'00_Control'!$B$10,"")</f>
        <v/>
      </c>
      <c r="U2522" s="35">
        <f>IF(T2522="","",INT(T2522))</f>
        <v/>
      </c>
      <c r="V2522" s="33" t="inlineStr">
        <is>
          <t>NO</t>
        </is>
      </c>
      <c r="W2522" s="33" t="inlineStr">
        <is>
          <t>YES</t>
        </is>
      </c>
      <c r="X2522" s="33" t="inlineStr">
        <is>
          <t>NO</t>
        </is>
      </c>
      <c r="Y2522" s="33" t="n">
        <v>12</v>
      </c>
      <c r="Z2522" s="33" t="n">
        <v>4</v>
      </c>
      <c r="AA2522" s="33" t="inlineStr">
        <is>
          <t>1</t>
        </is>
      </c>
      <c r="AB2522" s="33" t="inlineStr">
        <is>
          <t>https://www.swimcloud.com/results/300482/event/201/?id=151787048#time151787048</t>
        </is>
      </c>
      <c r="AC2522" s="33" t="inlineStr">
        <is>
          <t>SwimCloud API v6 2026-10-08</t>
        </is>
      </c>
      <c r="AD2522" s="33" t="inlineStr">
        <is>
          <t>Miron Bunakov|2024-03-13|LCM|100|Free|56.37|54th SNAG Senior Championships|PRE|False</t>
        </is>
      </c>
      <c r="AE2522" s="53">
        <f>G2522+L2522/1000+ROW()/1000000000</f>
        <v/>
      </c>
      <c r="AF2522" s="35">
        <f>IF(C2522&lt;&gt;"Grayson Coulter","",COUNTIFS($C$5:$C$2991,"Grayson Coulter",$Q$5:$Q$2991,Q2522,$AE$5:$AE$2991,"&lt;="&amp;AE2522,$R$5:$R$2991,"&lt;"&amp;R2522))</f>
        <v/>
      </c>
      <c r="AG2522" s="35">
        <f>IF(OR(C2522&lt;&gt;"Grayson Coulter",G2522&lt;'00_Control'!$B$7),"",--(AF2522&lt;5))</f>
        <v/>
      </c>
      <c r="AH2522" s="35">
        <f>IF(OR(C2522&lt;&gt;"Grayson Coulter",G2522&lt;'00_Control'!$B$7),"",--(AF2522&lt;10))</f>
        <v/>
      </c>
      <c r="AI2522" s="35">
        <f>IF(AND(C2522="Grayson Coulter",G2522&gt;='00_Control'!$B$7),"YES","NO")</f>
        <v/>
      </c>
      <c r="AJ2522" s="33" t="inlineStr">
        <is>
          <t>OK</t>
        </is>
      </c>
    </row>
    <row r="2523">
      <c r="A2523" s="33" t="inlineStr">
        <is>
          <t>SM002519</t>
        </is>
      </c>
      <c r="B2523" s="33" t="inlineStr">
        <is>
          <t>SW002</t>
        </is>
      </c>
      <c r="C2523" s="33" t="inlineStr">
        <is>
          <t>Miron Bunakov</t>
        </is>
      </c>
      <c r="D2523" s="33" t="inlineStr">
        <is>
          <t>SwimCloud</t>
        </is>
      </c>
      <c r="E2523" s="33" t="inlineStr">
        <is>
          <t>3360584</t>
        </is>
      </c>
      <c r="F2523" s="33" t="inlineStr">
        <is>
          <t>151787049</t>
        </is>
      </c>
      <c r="G2523" s="51" t="n">
        <v>45364</v>
      </c>
      <c r="H2523" s="33" t="inlineStr">
        <is>
          <t>54th SNAG Senior Championships</t>
        </is>
      </c>
      <c r="I2523" s="33" t="inlineStr">
        <is>
          <t>300482</t>
        </is>
      </c>
      <c r="J2523" s="33" t="inlineStr"/>
      <c r="K2523" s="33" t="inlineStr">
        <is>
          <t>FIN</t>
        </is>
      </c>
      <c r="L2523" s="35">
        <f>IF(K2523="FIN",3,IF(OR(K2523="SEM",K2523="SEMI"),2,IF(OR(K2523="PRE",K2523="HEAT"),1,IF(V2523="YES",4,2))))</f>
        <v/>
      </c>
      <c r="M2523" s="33" t="inlineStr">
        <is>
          <t>LCM</t>
        </is>
      </c>
      <c r="N2523" s="33" t="n">
        <v>100</v>
      </c>
      <c r="O2523" s="33" t="inlineStr">
        <is>
          <t>Free</t>
        </is>
      </c>
      <c r="P2523" s="33" t="inlineStr">
        <is>
          <t>100 Free</t>
        </is>
      </c>
      <c r="Q2523" s="33" t="inlineStr">
        <is>
          <t>LCM_100_FREE</t>
        </is>
      </c>
      <c r="R2523" s="36" t="n">
        <v>55.81</v>
      </c>
      <c r="S2523" s="35">
        <f>IF(R2523="","",IF(R2523&gt;=60,INT(R2523/60)&amp;":"&amp;TEXT(MOD(R2523,60),"00.00"),TEXT(R2523,"0.00")))</f>
        <v/>
      </c>
      <c r="T2523" s="52">
        <f>IFERROR((G2523-INDEX('01_Swimmers'!$E$5:$E$22,MATCH(B2523,'01_Swimmers'!$A$5:$A$22,0)))/'00_Control'!$B$10,"")</f>
        <v/>
      </c>
      <c r="U2523" s="35">
        <f>IF(T2523="","",INT(T2523))</f>
        <v/>
      </c>
      <c r="V2523" s="33" t="inlineStr">
        <is>
          <t>NO</t>
        </is>
      </c>
      <c r="W2523" s="33" t="inlineStr">
        <is>
          <t>YES</t>
        </is>
      </c>
      <c r="X2523" s="33" t="inlineStr">
        <is>
          <t>NO</t>
        </is>
      </c>
      <c r="Y2523" s="33" t="n">
        <v>2</v>
      </c>
      <c r="Z2523" s="33" t="n">
        <v>4</v>
      </c>
      <c r="AA2523" s="33" t="inlineStr">
        <is>
          <t>2</t>
        </is>
      </c>
      <c r="AB2523" s="33" t="inlineStr">
        <is>
          <t>https://www.swimcloud.com/results/300482/event/201/?id=151787049#time151787049</t>
        </is>
      </c>
      <c r="AC2523" s="33" t="inlineStr">
        <is>
          <t>SwimCloud API v6 2026-10-08</t>
        </is>
      </c>
      <c r="AD2523" s="33" t="inlineStr">
        <is>
          <t>Miron Bunakov|2024-03-13|LCM|100|Free|55.81|54th SNAG Senior Championships|FIN|False</t>
        </is>
      </c>
      <c r="AE2523" s="53">
        <f>G2523+L2523/1000+ROW()/1000000000</f>
        <v/>
      </c>
      <c r="AF2523" s="35">
        <f>IF(C2523&lt;&gt;"Grayson Coulter","",COUNTIFS($C$5:$C$2991,"Grayson Coulter",$Q$5:$Q$2991,Q2523,$AE$5:$AE$2991,"&lt;="&amp;AE2523,$R$5:$R$2991,"&lt;"&amp;R2523))</f>
        <v/>
      </c>
      <c r="AG2523" s="35">
        <f>IF(OR(C2523&lt;&gt;"Grayson Coulter",G2523&lt;'00_Control'!$B$7),"",--(AF2523&lt;5))</f>
        <v/>
      </c>
      <c r="AH2523" s="35">
        <f>IF(OR(C2523&lt;&gt;"Grayson Coulter",G2523&lt;'00_Control'!$B$7),"",--(AF2523&lt;10))</f>
        <v/>
      </c>
      <c r="AI2523" s="35">
        <f>IF(AND(C2523="Grayson Coulter",G2523&gt;='00_Control'!$B$7),"YES","NO")</f>
        <v/>
      </c>
      <c r="AJ2523" s="33" t="inlineStr">
        <is>
          <t>OK</t>
        </is>
      </c>
    </row>
    <row r="2524">
      <c r="A2524" s="33" t="inlineStr">
        <is>
          <t>SM002520</t>
        </is>
      </c>
      <c r="B2524" s="33" t="inlineStr">
        <is>
          <t>SW002</t>
        </is>
      </c>
      <c r="C2524" s="33" t="inlineStr">
        <is>
          <t>Miron Bunakov</t>
        </is>
      </c>
      <c r="D2524" s="33" t="inlineStr">
        <is>
          <t>SwimCloud</t>
        </is>
      </c>
      <c r="E2524" s="33" t="inlineStr">
        <is>
          <t>3360584</t>
        </is>
      </c>
      <c r="F2524" s="33" t="inlineStr">
        <is>
          <t>151787155</t>
        </is>
      </c>
      <c r="G2524" s="51" t="n">
        <v>45365</v>
      </c>
      <c r="H2524" s="33" t="inlineStr">
        <is>
          <t>54th SNAG Senior Championships</t>
        </is>
      </c>
      <c r="I2524" s="33" t="inlineStr">
        <is>
          <t>300482</t>
        </is>
      </c>
      <c r="J2524" s="33" t="inlineStr"/>
      <c r="K2524" s="33" t="inlineStr">
        <is>
          <t>PRE</t>
        </is>
      </c>
      <c r="L2524" s="35">
        <f>IF(K2524="FIN",3,IF(OR(K2524="SEM",K2524="SEMI"),2,IF(OR(K2524="PRE",K2524="HEAT"),1,IF(V2524="YES",4,2))))</f>
        <v/>
      </c>
      <c r="M2524" s="33" t="inlineStr">
        <is>
          <t>LCM</t>
        </is>
      </c>
      <c r="N2524" s="33" t="n">
        <v>200</v>
      </c>
      <c r="O2524" s="33" t="inlineStr">
        <is>
          <t>Free</t>
        </is>
      </c>
      <c r="P2524" s="33" t="inlineStr">
        <is>
          <t>200 Free</t>
        </is>
      </c>
      <c r="Q2524" s="33" t="inlineStr">
        <is>
          <t>LCM_200_FREE</t>
        </is>
      </c>
      <c r="R2524" s="36" t="n">
        <v>126.67</v>
      </c>
      <c r="S2524" s="35">
        <f>IF(R2524="","",IF(R2524&gt;=60,INT(R2524/60)&amp;":"&amp;TEXT(MOD(R2524,60),"00.00"),TEXT(R2524,"0.00")))</f>
        <v/>
      </c>
      <c r="T2524" s="52">
        <f>IFERROR((G2524-INDEX('01_Swimmers'!$E$5:$E$22,MATCH(B2524,'01_Swimmers'!$A$5:$A$22,0)))/'00_Control'!$B$10,"")</f>
        <v/>
      </c>
      <c r="U2524" s="35">
        <f>IF(T2524="","",INT(T2524))</f>
        <v/>
      </c>
      <c r="V2524" s="33" t="inlineStr">
        <is>
          <t>NO</t>
        </is>
      </c>
      <c r="W2524" s="33" t="inlineStr">
        <is>
          <t>YES</t>
        </is>
      </c>
      <c r="X2524" s="33" t="inlineStr">
        <is>
          <t>NO</t>
        </is>
      </c>
      <c r="Y2524" s="33" t="n">
        <v>7</v>
      </c>
      <c r="Z2524" s="33" t="n">
        <v>5</v>
      </c>
      <c r="AA2524" s="33" t="inlineStr">
        <is>
          <t>4</t>
        </is>
      </c>
      <c r="AB2524" s="33" t="inlineStr">
        <is>
          <t>https://www.swimcloud.com/results/300482/event/307/?id=151787155#time151787155</t>
        </is>
      </c>
      <c r="AC2524" s="33" t="inlineStr">
        <is>
          <t>SwimCloud API v6 2026-10-08</t>
        </is>
      </c>
      <c r="AD2524" s="33" t="inlineStr">
        <is>
          <t>Miron Bunakov|2024-03-14|LCM|200|Free|126.67|54th SNAG Senior Championships|PRE|False</t>
        </is>
      </c>
      <c r="AE2524" s="53">
        <f>G2524+L2524/1000+ROW()/1000000000</f>
        <v/>
      </c>
      <c r="AF2524" s="35">
        <f>IF(C2524&lt;&gt;"Grayson Coulter","",COUNTIFS($C$5:$C$2991,"Grayson Coulter",$Q$5:$Q$2991,Q2524,$AE$5:$AE$2991,"&lt;="&amp;AE2524,$R$5:$R$2991,"&lt;"&amp;R2524))</f>
        <v/>
      </c>
      <c r="AG2524" s="35">
        <f>IF(OR(C2524&lt;&gt;"Grayson Coulter",G2524&lt;'00_Control'!$B$7),"",--(AF2524&lt;5))</f>
        <v/>
      </c>
      <c r="AH2524" s="35">
        <f>IF(OR(C2524&lt;&gt;"Grayson Coulter",G2524&lt;'00_Control'!$B$7),"",--(AF2524&lt;10))</f>
        <v/>
      </c>
      <c r="AI2524" s="35">
        <f>IF(AND(C2524="Grayson Coulter",G2524&gt;='00_Control'!$B$7),"YES","NO")</f>
        <v/>
      </c>
      <c r="AJ2524" s="33" t="inlineStr">
        <is>
          <t>OK</t>
        </is>
      </c>
    </row>
    <row r="2525">
      <c r="A2525" s="33" t="inlineStr">
        <is>
          <t>SM002521</t>
        </is>
      </c>
      <c r="B2525" s="33" t="inlineStr">
        <is>
          <t>SW002</t>
        </is>
      </c>
      <c r="C2525" s="33" t="inlineStr">
        <is>
          <t>Miron Bunakov</t>
        </is>
      </c>
      <c r="D2525" s="33" t="inlineStr">
        <is>
          <t>SwimCloud</t>
        </is>
      </c>
      <c r="E2525" s="33" t="inlineStr">
        <is>
          <t>3360584</t>
        </is>
      </c>
      <c r="F2525" s="33" t="inlineStr">
        <is>
          <t>151787156</t>
        </is>
      </c>
      <c r="G2525" s="51" t="n">
        <v>45365</v>
      </c>
      <c r="H2525" s="33" t="inlineStr">
        <is>
          <t>54th SNAG Senior Championships</t>
        </is>
      </c>
      <c r="I2525" s="33" t="inlineStr">
        <is>
          <t>300482</t>
        </is>
      </c>
      <c r="J2525" s="33" t="inlineStr"/>
      <c r="K2525" s="33" t="inlineStr">
        <is>
          <t>FIN</t>
        </is>
      </c>
      <c r="L2525" s="35">
        <f>IF(K2525="FIN",3,IF(OR(K2525="SEM",K2525="SEMI"),2,IF(OR(K2525="PRE",K2525="HEAT"),1,IF(V2525="YES",4,2))))</f>
        <v/>
      </c>
      <c r="M2525" s="33" t="inlineStr">
        <is>
          <t>LCM</t>
        </is>
      </c>
      <c r="N2525" s="33" t="n">
        <v>200</v>
      </c>
      <c r="O2525" s="33" t="inlineStr">
        <is>
          <t>Free</t>
        </is>
      </c>
      <c r="P2525" s="33" t="inlineStr">
        <is>
          <t>200 Free</t>
        </is>
      </c>
      <c r="Q2525" s="33" t="inlineStr">
        <is>
          <t>LCM_200_FREE</t>
        </is>
      </c>
      <c r="R2525" s="36" t="n">
        <v>123.51</v>
      </c>
      <c r="S2525" s="35">
        <f>IF(R2525="","",IF(R2525&gt;=60,INT(R2525/60)&amp;":"&amp;TEXT(MOD(R2525,60),"00.00"),TEXT(R2525,"0.00")))</f>
        <v/>
      </c>
      <c r="T2525" s="52">
        <f>IFERROR((G2525-INDEX('01_Swimmers'!$E$5:$E$22,MATCH(B2525,'01_Swimmers'!$A$5:$A$22,0)))/'00_Control'!$B$10,"")</f>
        <v/>
      </c>
      <c r="U2525" s="35">
        <f>IF(T2525="","",INT(T2525))</f>
        <v/>
      </c>
      <c r="V2525" s="33" t="inlineStr">
        <is>
          <t>NO</t>
        </is>
      </c>
      <c r="W2525" s="33" t="inlineStr">
        <is>
          <t>YES</t>
        </is>
      </c>
      <c r="X2525" s="33" t="inlineStr">
        <is>
          <t>NO</t>
        </is>
      </c>
      <c r="Y2525" s="33" t="n">
        <v>2</v>
      </c>
      <c r="Z2525" s="33" t="n">
        <v>6</v>
      </c>
      <c r="AA2525" s="33" t="inlineStr">
        <is>
          <t>5</t>
        </is>
      </c>
      <c r="AB2525" s="33" t="inlineStr">
        <is>
          <t>https://www.swimcloud.com/results/300482/event/307/?id=151787156#time151787156</t>
        </is>
      </c>
      <c r="AC2525" s="33" t="inlineStr">
        <is>
          <t>SwimCloud API v6 2026-10-08</t>
        </is>
      </c>
      <c r="AD2525" s="33" t="inlineStr">
        <is>
          <t>Miron Bunakov|2024-03-14|LCM|200|Free|123.51|54th SNAG Senior Championships|FIN|False</t>
        </is>
      </c>
      <c r="AE2525" s="53">
        <f>G2525+L2525/1000+ROW()/1000000000</f>
        <v/>
      </c>
      <c r="AF2525" s="35">
        <f>IF(C2525&lt;&gt;"Grayson Coulter","",COUNTIFS($C$5:$C$2991,"Grayson Coulter",$Q$5:$Q$2991,Q2525,$AE$5:$AE$2991,"&lt;="&amp;AE2525,$R$5:$R$2991,"&lt;"&amp;R2525))</f>
        <v/>
      </c>
      <c r="AG2525" s="35">
        <f>IF(OR(C2525&lt;&gt;"Grayson Coulter",G2525&lt;'00_Control'!$B$7),"",--(AF2525&lt;5))</f>
        <v/>
      </c>
      <c r="AH2525" s="35">
        <f>IF(OR(C2525&lt;&gt;"Grayson Coulter",G2525&lt;'00_Control'!$B$7),"",--(AF2525&lt;10))</f>
        <v/>
      </c>
      <c r="AI2525" s="35">
        <f>IF(AND(C2525="Grayson Coulter",G2525&gt;='00_Control'!$B$7),"YES","NO")</f>
        <v/>
      </c>
      <c r="AJ2525" s="33" t="inlineStr">
        <is>
          <t>OK</t>
        </is>
      </c>
    </row>
    <row r="2526">
      <c r="A2526" s="33" t="inlineStr">
        <is>
          <t>SM002522</t>
        </is>
      </c>
      <c r="B2526" s="33" t="inlineStr">
        <is>
          <t>SW002</t>
        </is>
      </c>
      <c r="C2526" s="33" t="inlineStr">
        <is>
          <t>Miron Bunakov</t>
        </is>
      </c>
      <c r="D2526" s="33" t="inlineStr">
        <is>
          <t>SwimCloud</t>
        </is>
      </c>
      <c r="E2526" s="33" t="inlineStr">
        <is>
          <t>3360584</t>
        </is>
      </c>
      <c r="F2526" s="33" t="inlineStr">
        <is>
          <t>131916367</t>
        </is>
      </c>
      <c r="G2526" s="51" t="n">
        <v>45401</v>
      </c>
      <c r="H2526" s="33" t="inlineStr">
        <is>
          <t>Dragons Den  Open Meet</t>
        </is>
      </c>
      <c r="I2526" s="33" t="inlineStr">
        <is>
          <t>303643</t>
        </is>
      </c>
      <c r="J2526" s="33" t="inlineStr"/>
      <c r="K2526" s="33" t="inlineStr">
        <is>
          <t>TIM</t>
        </is>
      </c>
      <c r="L2526" s="35">
        <f>IF(K2526="FIN",3,IF(OR(K2526="SEM",K2526="SEMI"),2,IF(OR(K2526="PRE",K2526="HEAT"),1,IF(V2526="YES",4,2))))</f>
        <v/>
      </c>
      <c r="M2526" s="33" t="inlineStr">
        <is>
          <t>LCM</t>
        </is>
      </c>
      <c r="N2526" s="33" t="n">
        <v>400</v>
      </c>
      <c r="O2526" s="33" t="inlineStr">
        <is>
          <t>Free</t>
        </is>
      </c>
      <c r="P2526" s="33" t="inlineStr">
        <is>
          <t>400 Free</t>
        </is>
      </c>
      <c r="Q2526" s="33" t="inlineStr">
        <is>
          <t>LCM_400_FREE</t>
        </is>
      </c>
      <c r="R2526" s="36" t="n">
        <v>274.26</v>
      </c>
      <c r="S2526" s="35">
        <f>IF(R2526="","",IF(R2526&gt;=60,INT(R2526/60)&amp;":"&amp;TEXT(MOD(R2526,60),"00.00"),TEXT(R2526,"0.00")))</f>
        <v/>
      </c>
      <c r="T2526" s="52">
        <f>IFERROR((G2526-INDEX('01_Swimmers'!$E$5:$E$22,MATCH(B2526,'01_Swimmers'!$A$5:$A$22,0)))/'00_Control'!$B$10,"")</f>
        <v/>
      </c>
      <c r="U2526" s="35">
        <f>IF(T2526="","",INT(T2526))</f>
        <v/>
      </c>
      <c r="V2526" s="33" t="inlineStr">
        <is>
          <t>NO</t>
        </is>
      </c>
      <c r="W2526" s="33" t="inlineStr">
        <is>
          <t>YES</t>
        </is>
      </c>
      <c r="X2526" s="33" t="inlineStr">
        <is>
          <t>NO</t>
        </is>
      </c>
      <c r="Y2526" s="33" t="n">
        <v>3</v>
      </c>
      <c r="Z2526" s="33" t="n">
        <v>8</v>
      </c>
      <c r="AA2526" s="33" t="inlineStr">
        <is>
          <t>1</t>
        </is>
      </c>
      <c r="AB2526" s="33" t="inlineStr">
        <is>
          <t>https://www.swimcloud.com/results/303643/event/106/?id=131916367#time131916367</t>
        </is>
      </c>
      <c r="AC2526" s="33" t="inlineStr">
        <is>
          <t>SwimCloud API v6 2026-10-08</t>
        </is>
      </c>
      <c r="AD2526" s="33" t="inlineStr">
        <is>
          <t>Miron Bunakov|2024-04-19|LCM|400|Free|274.26|Dragons Den  Open Meet|TIM|False</t>
        </is>
      </c>
      <c r="AE2526" s="53">
        <f>G2526+L2526/1000+ROW()/1000000000</f>
        <v/>
      </c>
      <c r="AF2526" s="35">
        <f>IF(C2526&lt;&gt;"Grayson Coulter","",COUNTIFS($C$5:$C$2991,"Grayson Coulter",$Q$5:$Q$2991,Q2526,$AE$5:$AE$2991,"&lt;="&amp;AE2526,$R$5:$R$2991,"&lt;"&amp;R2526))</f>
        <v/>
      </c>
      <c r="AG2526" s="35">
        <f>IF(OR(C2526&lt;&gt;"Grayson Coulter",G2526&lt;'00_Control'!$B$7),"",--(AF2526&lt;5))</f>
        <v/>
      </c>
      <c r="AH2526" s="35">
        <f>IF(OR(C2526&lt;&gt;"Grayson Coulter",G2526&lt;'00_Control'!$B$7),"",--(AF2526&lt;10))</f>
        <v/>
      </c>
      <c r="AI2526" s="35">
        <f>IF(AND(C2526="Grayson Coulter",G2526&gt;='00_Control'!$B$7),"YES","NO")</f>
        <v/>
      </c>
      <c r="AJ2526" s="33" t="inlineStr">
        <is>
          <t>OK</t>
        </is>
      </c>
    </row>
    <row r="2527">
      <c r="A2527" s="33" t="inlineStr">
        <is>
          <t>SM002523</t>
        </is>
      </c>
      <c r="B2527" s="33" t="inlineStr">
        <is>
          <t>SW002</t>
        </is>
      </c>
      <c r="C2527" s="33" t="inlineStr">
        <is>
          <t>Miron Bunakov</t>
        </is>
      </c>
      <c r="D2527" s="33" t="inlineStr">
        <is>
          <t>SwimCloud</t>
        </is>
      </c>
      <c r="E2527" s="33" t="inlineStr">
        <is>
          <t>3360584</t>
        </is>
      </c>
      <c r="F2527" s="33" t="inlineStr">
        <is>
          <t>131916483</t>
        </is>
      </c>
      <c r="G2527" s="51" t="n">
        <v>45402</v>
      </c>
      <c r="H2527" s="33" t="inlineStr">
        <is>
          <t>Dragons Den  Open Meet</t>
        </is>
      </c>
      <c r="I2527" s="33" t="inlineStr">
        <is>
          <t>303643</t>
        </is>
      </c>
      <c r="J2527" s="33" t="inlineStr"/>
      <c r="K2527" s="33" t="inlineStr">
        <is>
          <t>TIM</t>
        </is>
      </c>
      <c r="L2527" s="35">
        <f>IF(K2527="FIN",3,IF(OR(K2527="SEM",K2527="SEMI"),2,IF(OR(K2527="PRE",K2527="HEAT"),1,IF(V2527="YES",4,2))))</f>
        <v/>
      </c>
      <c r="M2527" s="33" t="inlineStr">
        <is>
          <t>LCM</t>
        </is>
      </c>
      <c r="N2527" s="33" t="n">
        <v>100</v>
      </c>
      <c r="O2527" s="33" t="inlineStr">
        <is>
          <t>Free</t>
        </is>
      </c>
      <c r="P2527" s="33" t="inlineStr">
        <is>
          <t>100 Free</t>
        </is>
      </c>
      <c r="Q2527" s="33" t="inlineStr">
        <is>
          <t>LCM_100_FREE</t>
        </is>
      </c>
      <c r="R2527" s="36" t="n">
        <v>58.62</v>
      </c>
      <c r="S2527" s="35">
        <f>IF(R2527="","",IF(R2527&gt;=60,INT(R2527/60)&amp;":"&amp;TEXT(MOD(R2527,60),"00.00"),TEXT(R2527,"0.00")))</f>
        <v/>
      </c>
      <c r="T2527" s="52">
        <f>IFERROR((G2527-INDEX('01_Swimmers'!$E$5:$E$22,MATCH(B2527,'01_Swimmers'!$A$5:$A$22,0)))/'00_Control'!$B$10,"")</f>
        <v/>
      </c>
      <c r="U2527" s="35">
        <f>IF(T2527="","",INT(T2527))</f>
        <v/>
      </c>
      <c r="V2527" s="33" t="inlineStr">
        <is>
          <t>NO</t>
        </is>
      </c>
      <c r="W2527" s="33" t="inlineStr">
        <is>
          <t>YES</t>
        </is>
      </c>
      <c r="X2527" s="33" t="inlineStr">
        <is>
          <t>NO</t>
        </is>
      </c>
      <c r="Y2527" s="33" t="n">
        <v>12</v>
      </c>
      <c r="Z2527" s="33" t="n">
        <v>2</v>
      </c>
      <c r="AA2527" s="33" t="inlineStr">
        <is>
          <t>1</t>
        </is>
      </c>
      <c r="AB2527" s="33" t="inlineStr">
        <is>
          <t>https://www.swimcloud.com/results/303643/event/207/?id=131916483#time131916483</t>
        </is>
      </c>
      <c r="AC2527" s="33" t="inlineStr">
        <is>
          <t>SwimCloud API v6 2026-10-08</t>
        </is>
      </c>
      <c r="AD2527" s="33" t="inlineStr">
        <is>
          <t>Miron Bunakov|2024-04-20|LCM|100|Free|58.62|Dragons Den  Open Meet|TIM|False</t>
        </is>
      </c>
      <c r="AE2527" s="53">
        <f>G2527+L2527/1000+ROW()/1000000000</f>
        <v/>
      </c>
      <c r="AF2527" s="35">
        <f>IF(C2527&lt;&gt;"Grayson Coulter","",COUNTIFS($C$5:$C$2991,"Grayson Coulter",$Q$5:$Q$2991,Q2527,$AE$5:$AE$2991,"&lt;="&amp;AE2527,$R$5:$R$2991,"&lt;"&amp;R2527))</f>
        <v/>
      </c>
      <c r="AG2527" s="35">
        <f>IF(OR(C2527&lt;&gt;"Grayson Coulter",G2527&lt;'00_Control'!$B$7),"",--(AF2527&lt;5))</f>
        <v/>
      </c>
      <c r="AH2527" s="35">
        <f>IF(OR(C2527&lt;&gt;"Grayson Coulter",G2527&lt;'00_Control'!$B$7),"",--(AF2527&lt;10))</f>
        <v/>
      </c>
      <c r="AI2527" s="35">
        <f>IF(AND(C2527="Grayson Coulter",G2527&gt;='00_Control'!$B$7),"YES","NO")</f>
        <v/>
      </c>
      <c r="AJ2527" s="33" t="inlineStr">
        <is>
          <t>OK</t>
        </is>
      </c>
    </row>
    <row r="2528">
      <c r="A2528" s="33" t="inlineStr">
        <is>
          <t>SM002524</t>
        </is>
      </c>
      <c r="B2528" s="33" t="inlineStr">
        <is>
          <t>SW002</t>
        </is>
      </c>
      <c r="C2528" s="33" t="inlineStr">
        <is>
          <t>Miron Bunakov</t>
        </is>
      </c>
      <c r="D2528" s="33" t="inlineStr">
        <is>
          <t>SwimCloud</t>
        </is>
      </c>
      <c r="E2528" s="33" t="inlineStr">
        <is>
          <t>3360584</t>
        </is>
      </c>
      <c r="F2528" s="33" t="inlineStr">
        <is>
          <t>131917246</t>
        </is>
      </c>
      <c r="G2528" s="51" t="n">
        <v>45403</v>
      </c>
      <c r="H2528" s="33" t="inlineStr">
        <is>
          <t>Dragons Den  Open Meet</t>
        </is>
      </c>
      <c r="I2528" s="33" t="inlineStr">
        <is>
          <t>303643</t>
        </is>
      </c>
      <c r="J2528" s="33" t="inlineStr"/>
      <c r="K2528" s="33" t="inlineStr">
        <is>
          <t>TIM</t>
        </is>
      </c>
      <c r="L2528" s="35">
        <f>IF(K2528="FIN",3,IF(OR(K2528="SEM",K2528="SEMI"),2,IF(OR(K2528="PRE",K2528="HEAT"),1,IF(V2528="YES",4,2))))</f>
        <v/>
      </c>
      <c r="M2528" s="33" t="inlineStr">
        <is>
          <t>LCM</t>
        </is>
      </c>
      <c r="N2528" s="33" t="n">
        <v>100</v>
      </c>
      <c r="O2528" s="33" t="inlineStr">
        <is>
          <t>Fly</t>
        </is>
      </c>
      <c r="P2528" s="33" t="inlineStr">
        <is>
          <t>100 Fly</t>
        </is>
      </c>
      <c r="Q2528" s="33" t="inlineStr">
        <is>
          <t>LCM_100_FLY</t>
        </is>
      </c>
      <c r="R2528" s="36" t="n">
        <v>64.45999999999999</v>
      </c>
      <c r="S2528" s="35">
        <f>IF(R2528="","",IF(R2528&gt;=60,INT(R2528/60)&amp;":"&amp;TEXT(MOD(R2528,60),"00.00"),TEXT(R2528,"0.00")))</f>
        <v/>
      </c>
      <c r="T2528" s="52">
        <f>IFERROR((G2528-INDEX('01_Swimmers'!$E$5:$E$22,MATCH(B2528,'01_Swimmers'!$A$5:$A$22,0)))/'00_Control'!$B$10,"")</f>
        <v/>
      </c>
      <c r="U2528" s="35">
        <f>IF(T2528="","",INT(T2528))</f>
        <v/>
      </c>
      <c r="V2528" s="33" t="inlineStr">
        <is>
          <t>NO</t>
        </is>
      </c>
      <c r="W2528" s="33" t="inlineStr">
        <is>
          <t>YES</t>
        </is>
      </c>
      <c r="X2528" s="33" t="inlineStr">
        <is>
          <t>NO</t>
        </is>
      </c>
      <c r="Y2528" s="33" t="n">
        <v>4</v>
      </c>
      <c r="Z2528" s="33" t="n">
        <v>3</v>
      </c>
      <c r="AA2528" s="33" t="inlineStr">
        <is>
          <t>1</t>
        </is>
      </c>
      <c r="AB2528" s="33" t="inlineStr">
        <is>
          <t>https://www.swimcloud.com/results/303643/event/406/?id=131917246#time131917246</t>
        </is>
      </c>
      <c r="AC2528" s="33" t="inlineStr">
        <is>
          <t>SwimCloud API v6 2026-10-08</t>
        </is>
      </c>
      <c r="AD2528" s="33" t="inlineStr">
        <is>
          <t>Miron Bunakov|2024-04-21|LCM|100|Fly|64.46|Dragons Den  Open Meet|TIM|False</t>
        </is>
      </c>
      <c r="AE2528" s="53">
        <f>G2528+L2528/1000+ROW()/1000000000</f>
        <v/>
      </c>
      <c r="AF2528" s="35">
        <f>IF(C2528&lt;&gt;"Grayson Coulter","",COUNTIFS($C$5:$C$2991,"Grayson Coulter",$Q$5:$Q$2991,Q2528,$AE$5:$AE$2991,"&lt;="&amp;AE2528,$R$5:$R$2991,"&lt;"&amp;R2528))</f>
        <v/>
      </c>
      <c r="AG2528" s="35">
        <f>IF(OR(C2528&lt;&gt;"Grayson Coulter",G2528&lt;'00_Control'!$B$7),"",--(AF2528&lt;5))</f>
        <v/>
      </c>
      <c r="AH2528" s="35">
        <f>IF(OR(C2528&lt;&gt;"Grayson Coulter",G2528&lt;'00_Control'!$B$7),"",--(AF2528&lt;10))</f>
        <v/>
      </c>
      <c r="AI2528" s="35">
        <f>IF(AND(C2528="Grayson Coulter",G2528&gt;='00_Control'!$B$7),"YES","NO")</f>
        <v/>
      </c>
      <c r="AJ2528" s="33" t="inlineStr">
        <is>
          <t>OK</t>
        </is>
      </c>
    </row>
    <row r="2529">
      <c r="A2529" s="33" t="inlineStr">
        <is>
          <t>SM002525</t>
        </is>
      </c>
      <c r="B2529" s="33" t="inlineStr">
        <is>
          <t>SW002</t>
        </is>
      </c>
      <c r="C2529" s="33" t="inlineStr">
        <is>
          <t>Miron Bunakov</t>
        </is>
      </c>
      <c r="D2529" s="33" t="inlineStr">
        <is>
          <t>SwimCloud</t>
        </is>
      </c>
      <c r="E2529" s="33" t="inlineStr">
        <is>
          <t>3360584</t>
        </is>
      </c>
      <c r="F2529" s="33" t="inlineStr">
        <is>
          <t>131917225</t>
        </is>
      </c>
      <c r="G2529" s="51" t="n">
        <v>45403</v>
      </c>
      <c r="H2529" s="33" t="inlineStr">
        <is>
          <t>Dragons Den  Open Meet</t>
        </is>
      </c>
      <c r="I2529" s="33" t="inlineStr">
        <is>
          <t>303643</t>
        </is>
      </c>
      <c r="J2529" s="33" t="inlineStr"/>
      <c r="K2529" s="33" t="inlineStr">
        <is>
          <t>TIM</t>
        </is>
      </c>
      <c r="L2529" s="35">
        <f>IF(K2529="FIN",3,IF(OR(K2529="SEM",K2529="SEMI"),2,IF(OR(K2529="PRE",K2529="HEAT"),1,IF(V2529="YES",4,2))))</f>
        <v/>
      </c>
      <c r="M2529" s="33" t="inlineStr">
        <is>
          <t>LCM</t>
        </is>
      </c>
      <c r="N2529" s="33" t="n">
        <v>200</v>
      </c>
      <c r="O2529" s="33" t="inlineStr">
        <is>
          <t>Free</t>
        </is>
      </c>
      <c r="P2529" s="33" t="inlineStr">
        <is>
          <t>200 Free</t>
        </is>
      </c>
      <c r="Q2529" s="33" t="inlineStr">
        <is>
          <t>LCM_200_FREE</t>
        </is>
      </c>
      <c r="R2529" s="36" t="n">
        <v>130.03</v>
      </c>
      <c r="S2529" s="35">
        <f>IF(R2529="","",IF(R2529&gt;=60,INT(R2529/60)&amp;":"&amp;TEXT(MOD(R2529,60),"00.00"),TEXT(R2529,"0.00")))</f>
        <v/>
      </c>
      <c r="T2529" s="52">
        <f>IFERROR((G2529-INDEX('01_Swimmers'!$E$5:$E$22,MATCH(B2529,'01_Swimmers'!$A$5:$A$22,0)))/'00_Control'!$B$10,"")</f>
        <v/>
      </c>
      <c r="U2529" s="35">
        <f>IF(T2529="","",INT(T2529))</f>
        <v/>
      </c>
      <c r="V2529" s="33" t="inlineStr">
        <is>
          <t>NO</t>
        </is>
      </c>
      <c r="W2529" s="33" t="inlineStr">
        <is>
          <t>YES</t>
        </is>
      </c>
      <c r="X2529" s="33" t="inlineStr">
        <is>
          <t>NO</t>
        </is>
      </c>
      <c r="Y2529" s="33" t="n">
        <v>4</v>
      </c>
      <c r="Z2529" s="33" t="n">
        <v>6</v>
      </c>
      <c r="AA2529" s="33" t="inlineStr">
        <is>
          <t>1</t>
        </is>
      </c>
      <c r="AB2529" s="33" t="inlineStr">
        <is>
          <t>https://www.swimcloud.com/results/303643/event/501/?id=131917225#time131917225</t>
        </is>
      </c>
      <c r="AC2529" s="33" t="inlineStr">
        <is>
          <t>SwimCloud API v6 2026-10-08</t>
        </is>
      </c>
      <c r="AD2529" s="33" t="inlineStr">
        <is>
          <t>Miron Bunakov|2024-04-21|LCM|200|Free|130.03|Dragons Den  Open Meet|TIM|False</t>
        </is>
      </c>
      <c r="AE2529" s="53">
        <f>G2529+L2529/1000+ROW()/1000000000</f>
        <v/>
      </c>
      <c r="AF2529" s="35">
        <f>IF(C2529&lt;&gt;"Grayson Coulter","",COUNTIFS($C$5:$C$2991,"Grayson Coulter",$Q$5:$Q$2991,Q2529,$AE$5:$AE$2991,"&lt;="&amp;AE2529,$R$5:$R$2991,"&lt;"&amp;R2529))</f>
        <v/>
      </c>
      <c r="AG2529" s="35">
        <f>IF(OR(C2529&lt;&gt;"Grayson Coulter",G2529&lt;'00_Control'!$B$7),"",--(AF2529&lt;5))</f>
        <v/>
      </c>
      <c r="AH2529" s="35">
        <f>IF(OR(C2529&lt;&gt;"Grayson Coulter",G2529&lt;'00_Control'!$B$7),"",--(AF2529&lt;10))</f>
        <v/>
      </c>
      <c r="AI2529" s="35">
        <f>IF(AND(C2529="Grayson Coulter",G2529&gt;='00_Control'!$B$7),"YES","NO")</f>
        <v/>
      </c>
      <c r="AJ2529" s="33" t="inlineStr">
        <is>
          <t>OK</t>
        </is>
      </c>
    </row>
    <row r="2530">
      <c r="A2530" s="33" t="inlineStr">
        <is>
          <t>SM002526</t>
        </is>
      </c>
      <c r="B2530" s="33" t="inlineStr">
        <is>
          <t>SW002</t>
        </is>
      </c>
      <c r="C2530" s="33" t="inlineStr">
        <is>
          <t>Miron Bunakov</t>
        </is>
      </c>
      <c r="D2530" s="33" t="inlineStr">
        <is>
          <t>SwimCloud</t>
        </is>
      </c>
      <c r="E2530" s="33" t="inlineStr">
        <is>
          <t>3360584</t>
        </is>
      </c>
      <c r="F2530" s="33" t="inlineStr">
        <is>
          <t>126980973</t>
        </is>
      </c>
      <c r="G2530" s="51" t="n">
        <v>45428</v>
      </c>
      <c r="H2530" s="33" t="inlineStr">
        <is>
          <t>All-Russian Competition “Jolly Dolphin”</t>
        </is>
      </c>
      <c r="I2530" s="33" t="inlineStr">
        <is>
          <t>304889</t>
        </is>
      </c>
      <c r="J2530" s="33" t="inlineStr"/>
      <c r="K2530" s="33" t="inlineStr">
        <is>
          <t>TIM</t>
        </is>
      </c>
      <c r="L2530" s="35">
        <f>IF(K2530="FIN",3,IF(OR(K2530="SEM",K2530="SEMI"),2,IF(OR(K2530="PRE",K2530="HEAT"),1,IF(V2530="YES",4,2))))</f>
        <v/>
      </c>
      <c r="M2530" s="33" t="inlineStr">
        <is>
          <t>LCM</t>
        </is>
      </c>
      <c r="N2530" s="33" t="n">
        <v>100</v>
      </c>
      <c r="O2530" s="33" t="inlineStr">
        <is>
          <t>Free</t>
        </is>
      </c>
      <c r="P2530" s="33" t="inlineStr">
        <is>
          <t>100 Free</t>
        </is>
      </c>
      <c r="Q2530" s="33" t="inlineStr">
        <is>
          <t>LCM_100_FREE</t>
        </is>
      </c>
      <c r="R2530" s="36" t="n">
        <v>56.27</v>
      </c>
      <c r="S2530" s="35">
        <f>IF(R2530="","",IF(R2530&gt;=60,INT(R2530/60)&amp;":"&amp;TEXT(MOD(R2530,60),"00.00"),TEXT(R2530,"0.00")))</f>
        <v/>
      </c>
      <c r="T2530" s="52">
        <f>IFERROR((G2530-INDEX('01_Swimmers'!$E$5:$E$22,MATCH(B2530,'01_Swimmers'!$A$5:$A$22,0)))/'00_Control'!$B$10,"")</f>
        <v/>
      </c>
      <c r="U2530" s="35">
        <f>IF(T2530="","",INT(T2530))</f>
        <v/>
      </c>
      <c r="V2530" s="33" t="inlineStr">
        <is>
          <t>NO</t>
        </is>
      </c>
      <c r="W2530" s="33" t="inlineStr">
        <is>
          <t>YES</t>
        </is>
      </c>
      <c r="X2530" s="33" t="inlineStr">
        <is>
          <t>NO</t>
        </is>
      </c>
      <c r="Y2530" s="33" t="n">
        <v>32</v>
      </c>
      <c r="Z2530" s="33" t="n">
        <v>2</v>
      </c>
      <c r="AA2530" s="33" t="inlineStr">
        <is>
          <t>5</t>
        </is>
      </c>
      <c r="AB2530" s="33" t="inlineStr">
        <is>
          <t>https://www.swimcloud.com/results/304889/event/14/?id=126980973#time126980973</t>
        </is>
      </c>
      <c r="AC2530" s="33" t="inlineStr">
        <is>
          <t>SwimCloud API v6 2026-10-08</t>
        </is>
      </c>
      <c r="AD2530" s="33" t="inlineStr">
        <is>
          <t>Miron Bunakov|2024-05-16|LCM|100|Free|56.27|All-Russian Competition “Jolly Dolphin”|TIM|False</t>
        </is>
      </c>
      <c r="AE2530" s="53">
        <f>G2530+L2530/1000+ROW()/1000000000</f>
        <v/>
      </c>
      <c r="AF2530" s="35">
        <f>IF(C2530&lt;&gt;"Grayson Coulter","",COUNTIFS($C$5:$C$2991,"Grayson Coulter",$Q$5:$Q$2991,Q2530,$AE$5:$AE$2991,"&lt;="&amp;AE2530,$R$5:$R$2991,"&lt;"&amp;R2530))</f>
        <v/>
      </c>
      <c r="AG2530" s="35">
        <f>IF(OR(C2530&lt;&gt;"Grayson Coulter",G2530&lt;'00_Control'!$B$7),"",--(AF2530&lt;5))</f>
        <v/>
      </c>
      <c r="AH2530" s="35">
        <f>IF(OR(C2530&lt;&gt;"Grayson Coulter",G2530&lt;'00_Control'!$B$7),"",--(AF2530&lt;10))</f>
        <v/>
      </c>
      <c r="AI2530" s="35">
        <f>IF(AND(C2530="Grayson Coulter",G2530&gt;='00_Control'!$B$7),"YES","NO")</f>
        <v/>
      </c>
      <c r="AJ2530" s="33" t="inlineStr">
        <is>
          <t>OK</t>
        </is>
      </c>
    </row>
    <row r="2531">
      <c r="A2531" s="33" t="inlineStr">
        <is>
          <t>SM002527</t>
        </is>
      </c>
      <c r="B2531" s="33" t="inlineStr">
        <is>
          <t>SW002</t>
        </is>
      </c>
      <c r="C2531" s="33" t="inlineStr">
        <is>
          <t>Miron Bunakov</t>
        </is>
      </c>
      <c r="D2531" s="33" t="inlineStr">
        <is>
          <t>SwimCloud</t>
        </is>
      </c>
      <c r="E2531" s="33" t="inlineStr">
        <is>
          <t>3360584</t>
        </is>
      </c>
      <c r="F2531" s="33" t="inlineStr">
        <is>
          <t>131745315</t>
        </is>
      </c>
      <c r="G2531" s="51" t="n">
        <v>45534</v>
      </c>
      <c r="H2531" s="33" t="inlineStr">
        <is>
          <t>SAQ Futures Meet IV</t>
        </is>
      </c>
      <c r="I2531" s="33" t="inlineStr">
        <is>
          <t>311736</t>
        </is>
      </c>
      <c r="J2531" s="33" t="inlineStr"/>
      <c r="K2531" s="33" t="inlineStr">
        <is>
          <t>TIM</t>
        </is>
      </c>
      <c r="L2531" s="35">
        <f>IF(K2531="FIN",3,IF(OR(K2531="SEM",K2531="SEMI"),2,IF(OR(K2531="PRE",K2531="HEAT"),1,IF(V2531="YES",4,2))))</f>
        <v/>
      </c>
      <c r="M2531" s="33" t="inlineStr">
        <is>
          <t>LCM</t>
        </is>
      </c>
      <c r="N2531" s="33" t="n">
        <v>100</v>
      </c>
      <c r="O2531" s="33" t="inlineStr">
        <is>
          <t>Fly</t>
        </is>
      </c>
      <c r="P2531" s="33" t="inlineStr">
        <is>
          <t>100 Fly</t>
        </is>
      </c>
      <c r="Q2531" s="33" t="inlineStr">
        <is>
          <t>LCM_100_FLY</t>
        </is>
      </c>
      <c r="R2531" s="36" t="n">
        <v>60.03</v>
      </c>
      <c r="S2531" s="35">
        <f>IF(R2531="","",IF(R2531&gt;=60,INT(R2531/60)&amp;":"&amp;TEXT(MOD(R2531,60),"00.00"),TEXT(R2531,"0.00")))</f>
        <v/>
      </c>
      <c r="T2531" s="52">
        <f>IFERROR((G2531-INDEX('01_Swimmers'!$E$5:$E$22,MATCH(B2531,'01_Swimmers'!$A$5:$A$22,0)))/'00_Control'!$B$10,"")</f>
        <v/>
      </c>
      <c r="U2531" s="35">
        <f>IF(T2531="","",INT(T2531))</f>
        <v/>
      </c>
      <c r="V2531" s="33" t="inlineStr">
        <is>
          <t>NO</t>
        </is>
      </c>
      <c r="W2531" s="33" t="inlineStr">
        <is>
          <t>YES</t>
        </is>
      </c>
      <c r="X2531" s="33" t="inlineStr">
        <is>
          <t>NO</t>
        </is>
      </c>
      <c r="Y2531" s="33" t="n">
        <v>5</v>
      </c>
      <c r="Z2531" s="33" t="n">
        <v>3</v>
      </c>
      <c r="AA2531" s="33" t="inlineStr">
        <is>
          <t>1</t>
        </is>
      </c>
      <c r="AB2531" s="33" t="inlineStr">
        <is>
          <t>https://www.swimcloud.com/results/311736/event/107/?id=131745315#time131745315</t>
        </is>
      </c>
      <c r="AC2531" s="33" t="inlineStr">
        <is>
          <t>SwimCloud API v6 2026-10-08</t>
        </is>
      </c>
      <c r="AD2531" s="33" t="inlineStr">
        <is>
          <t>Miron Bunakov|2024-08-30|LCM|100|Fly|60.03|SAQ Futures Meet IV|TIM|False</t>
        </is>
      </c>
      <c r="AE2531" s="53">
        <f>G2531+L2531/1000+ROW()/1000000000</f>
        <v/>
      </c>
      <c r="AF2531" s="35">
        <f>IF(C2531&lt;&gt;"Grayson Coulter","",COUNTIFS($C$5:$C$2991,"Grayson Coulter",$Q$5:$Q$2991,Q2531,$AE$5:$AE$2991,"&lt;="&amp;AE2531,$R$5:$R$2991,"&lt;"&amp;R2531))</f>
        <v/>
      </c>
      <c r="AG2531" s="35">
        <f>IF(OR(C2531&lt;&gt;"Grayson Coulter",G2531&lt;'00_Control'!$B$7),"",--(AF2531&lt;5))</f>
        <v/>
      </c>
      <c r="AH2531" s="35">
        <f>IF(OR(C2531&lt;&gt;"Grayson Coulter",G2531&lt;'00_Control'!$B$7),"",--(AF2531&lt;10))</f>
        <v/>
      </c>
      <c r="AI2531" s="35">
        <f>IF(AND(C2531="Grayson Coulter",G2531&gt;='00_Control'!$B$7),"YES","NO")</f>
        <v/>
      </c>
      <c r="AJ2531" s="33" t="inlineStr">
        <is>
          <t>OK</t>
        </is>
      </c>
    </row>
    <row r="2532">
      <c r="A2532" s="33" t="inlineStr">
        <is>
          <t>SM002528</t>
        </is>
      </c>
      <c r="B2532" s="33" t="inlineStr">
        <is>
          <t>SW002</t>
        </is>
      </c>
      <c r="C2532" s="33" t="inlineStr">
        <is>
          <t>Miron Bunakov</t>
        </is>
      </c>
      <c r="D2532" s="33" t="inlineStr">
        <is>
          <t>SwimCloud</t>
        </is>
      </c>
      <c r="E2532" s="33" t="inlineStr">
        <is>
          <t>3360584</t>
        </is>
      </c>
      <c r="F2532" s="33" t="inlineStr">
        <is>
          <t>132763274</t>
        </is>
      </c>
      <c r="G2532" s="51" t="n">
        <v>45556</v>
      </c>
      <c r="H2532" s="33" t="inlineStr">
        <is>
          <t>Nexus Sprint</t>
        </is>
      </c>
      <c r="I2532" s="33" t="inlineStr">
        <is>
          <t>314364</t>
        </is>
      </c>
      <c r="J2532" s="33" t="inlineStr"/>
      <c r="K2532" s="33" t="inlineStr">
        <is>
          <t>TIM</t>
        </is>
      </c>
      <c r="L2532" s="35">
        <f>IF(K2532="FIN",3,IF(OR(K2532="SEM",K2532="SEMI"),2,IF(OR(K2532="PRE",K2532="HEAT"),1,IF(V2532="YES",4,2))))</f>
        <v/>
      </c>
      <c r="M2532" s="33" t="inlineStr">
        <is>
          <t>SCM</t>
        </is>
      </c>
      <c r="N2532" s="33" t="n">
        <v>100</v>
      </c>
      <c r="O2532" s="33" t="inlineStr">
        <is>
          <t>Fly</t>
        </is>
      </c>
      <c r="P2532" s="33" t="inlineStr">
        <is>
          <t>100 Fly</t>
        </is>
      </c>
      <c r="Q2532" s="33" t="inlineStr">
        <is>
          <t>SCM_100_FLY</t>
        </is>
      </c>
      <c r="R2532" s="36" t="n">
        <v>59.61</v>
      </c>
      <c r="S2532" s="35">
        <f>IF(R2532="","",IF(R2532&gt;=60,INT(R2532/60)&amp;":"&amp;TEXT(MOD(R2532,60),"00.00"),TEXT(R2532,"0.00")))</f>
        <v/>
      </c>
      <c r="T2532" s="52">
        <f>IFERROR((G2532-INDEX('01_Swimmers'!$E$5:$E$22,MATCH(B2532,'01_Swimmers'!$A$5:$A$22,0)))/'00_Control'!$B$10,"")</f>
        <v/>
      </c>
      <c r="U2532" s="35">
        <f>IF(T2532="","",INT(T2532))</f>
        <v/>
      </c>
      <c r="V2532" s="33" t="inlineStr">
        <is>
          <t>NO</t>
        </is>
      </c>
      <c r="W2532" s="33" t="inlineStr">
        <is>
          <t>YES</t>
        </is>
      </c>
      <c r="X2532" s="33" t="inlineStr">
        <is>
          <t>NO</t>
        </is>
      </c>
      <c r="Y2532" s="33" t="n">
        <v>2</v>
      </c>
      <c r="Z2532" s="33" t="n">
        <v>6</v>
      </c>
      <c r="AA2532" s="33" t="inlineStr">
        <is>
          <t>1</t>
        </is>
      </c>
      <c r="AB2532" s="33" t="inlineStr">
        <is>
          <t>https://www.swimcloud.com/results/314364/event/7/?id=132763274#time132763274</t>
        </is>
      </c>
      <c r="AC2532" s="33" t="inlineStr">
        <is>
          <t>SwimCloud API v6 2026-10-08</t>
        </is>
      </c>
      <c r="AD2532" s="33" t="inlineStr">
        <is>
          <t>Miron Bunakov|2024-09-21|SCM|100|Fly|59.61|Nexus Sprint|TIM|False</t>
        </is>
      </c>
      <c r="AE2532" s="53">
        <f>G2532+L2532/1000+ROW()/1000000000</f>
        <v/>
      </c>
      <c r="AF2532" s="35">
        <f>IF(C2532&lt;&gt;"Grayson Coulter","",COUNTIFS($C$5:$C$2991,"Grayson Coulter",$Q$5:$Q$2991,Q2532,$AE$5:$AE$2991,"&lt;="&amp;AE2532,$R$5:$R$2991,"&lt;"&amp;R2532))</f>
        <v/>
      </c>
      <c r="AG2532" s="35">
        <f>IF(OR(C2532&lt;&gt;"Grayson Coulter",G2532&lt;'00_Control'!$B$7),"",--(AF2532&lt;5))</f>
        <v/>
      </c>
      <c r="AH2532" s="35">
        <f>IF(OR(C2532&lt;&gt;"Grayson Coulter",G2532&lt;'00_Control'!$B$7),"",--(AF2532&lt;10))</f>
        <v/>
      </c>
      <c r="AI2532" s="35">
        <f>IF(AND(C2532="Grayson Coulter",G2532&gt;='00_Control'!$B$7),"YES","NO")</f>
        <v/>
      </c>
      <c r="AJ2532" s="33" t="inlineStr">
        <is>
          <t>OK</t>
        </is>
      </c>
    </row>
    <row r="2533">
      <c r="A2533" s="33" t="inlineStr">
        <is>
          <t>SM002529</t>
        </is>
      </c>
      <c r="B2533" s="33" t="inlineStr">
        <is>
          <t>SW002</t>
        </is>
      </c>
      <c r="C2533" s="33" t="inlineStr">
        <is>
          <t>Miron Bunakov</t>
        </is>
      </c>
      <c r="D2533" s="33" t="inlineStr">
        <is>
          <t>SwimCloud</t>
        </is>
      </c>
      <c r="E2533" s="33" t="inlineStr">
        <is>
          <t>3360584</t>
        </is>
      </c>
      <c r="F2533" s="33" t="inlineStr">
        <is>
          <t>132762867</t>
        </is>
      </c>
      <c r="G2533" s="51" t="n">
        <v>45556</v>
      </c>
      <c r="H2533" s="33" t="inlineStr">
        <is>
          <t>Nexus Sprint</t>
        </is>
      </c>
      <c r="I2533" s="33" t="inlineStr">
        <is>
          <t>314364</t>
        </is>
      </c>
      <c r="J2533" s="33" t="inlineStr"/>
      <c r="K2533" s="33" t="inlineStr">
        <is>
          <t>TIM</t>
        </is>
      </c>
      <c r="L2533" s="35">
        <f>IF(K2533="FIN",3,IF(OR(K2533="SEM",K2533="SEMI"),2,IF(OR(K2533="PRE",K2533="HEAT"),1,IF(V2533="YES",4,2))))</f>
        <v/>
      </c>
      <c r="M2533" s="33" t="inlineStr">
        <is>
          <t>SCM</t>
        </is>
      </c>
      <c r="N2533" s="33" t="n">
        <v>100</v>
      </c>
      <c r="O2533" s="33" t="inlineStr">
        <is>
          <t>Free</t>
        </is>
      </c>
      <c r="P2533" s="33" t="inlineStr">
        <is>
          <t>100 Free</t>
        </is>
      </c>
      <c r="Q2533" s="33" t="inlineStr">
        <is>
          <t>SCM_100_FREE</t>
        </is>
      </c>
      <c r="R2533" s="36" t="n">
        <v>54.16</v>
      </c>
      <c r="S2533" s="35">
        <f>IF(R2533="","",IF(R2533&gt;=60,INT(R2533/60)&amp;":"&amp;TEXT(MOD(R2533,60),"00.00"),TEXT(R2533,"0.00")))</f>
        <v/>
      </c>
      <c r="T2533" s="52">
        <f>IFERROR((G2533-INDEX('01_Swimmers'!$E$5:$E$22,MATCH(B2533,'01_Swimmers'!$A$5:$A$22,0)))/'00_Control'!$B$10,"")</f>
        <v/>
      </c>
      <c r="U2533" s="35">
        <f>IF(T2533="","",INT(T2533))</f>
        <v/>
      </c>
      <c r="V2533" s="33" t="inlineStr">
        <is>
          <t>NO</t>
        </is>
      </c>
      <c r="W2533" s="33" t="inlineStr">
        <is>
          <t>YES</t>
        </is>
      </c>
      <c r="X2533" s="33" t="inlineStr">
        <is>
          <t>NO</t>
        </is>
      </c>
      <c r="Y2533" s="33" t="n">
        <v>9</v>
      </c>
      <c r="Z2533" s="33" t="n">
        <v>7</v>
      </c>
      <c r="AA2533" s="33" t="inlineStr">
        <is>
          <t>1</t>
        </is>
      </c>
      <c r="AB2533" s="33" t="inlineStr">
        <is>
          <t>https://www.swimcloud.com/results/314364/event/3/?id=132762867#time132762867</t>
        </is>
      </c>
      <c r="AC2533" s="33" t="inlineStr">
        <is>
          <t>SwimCloud API v6 2026-10-08</t>
        </is>
      </c>
      <c r="AD2533" s="33" t="inlineStr">
        <is>
          <t>Miron Bunakov|2024-09-21|SCM|100|Free|54.16|Nexus Sprint|TIM|False</t>
        </is>
      </c>
      <c r="AE2533" s="53">
        <f>G2533+L2533/1000+ROW()/1000000000</f>
        <v/>
      </c>
      <c r="AF2533" s="35">
        <f>IF(C2533&lt;&gt;"Grayson Coulter","",COUNTIFS($C$5:$C$2991,"Grayson Coulter",$Q$5:$Q$2991,Q2533,$AE$5:$AE$2991,"&lt;="&amp;AE2533,$R$5:$R$2991,"&lt;"&amp;R2533))</f>
        <v/>
      </c>
      <c r="AG2533" s="35">
        <f>IF(OR(C2533&lt;&gt;"Grayson Coulter",G2533&lt;'00_Control'!$B$7),"",--(AF2533&lt;5))</f>
        <v/>
      </c>
      <c r="AH2533" s="35">
        <f>IF(OR(C2533&lt;&gt;"Grayson Coulter",G2533&lt;'00_Control'!$B$7),"",--(AF2533&lt;10))</f>
        <v/>
      </c>
      <c r="AI2533" s="35">
        <f>IF(AND(C2533="Grayson Coulter",G2533&gt;='00_Control'!$B$7),"YES","NO")</f>
        <v/>
      </c>
      <c r="AJ2533" s="33" t="inlineStr">
        <is>
          <t>OK</t>
        </is>
      </c>
    </row>
    <row r="2534">
      <c r="A2534" s="33" t="inlineStr">
        <is>
          <t>SM002530</t>
        </is>
      </c>
      <c r="B2534" s="33" t="inlineStr">
        <is>
          <t>SW002</t>
        </is>
      </c>
      <c r="C2534" s="33" t="inlineStr">
        <is>
          <t>Miron Bunakov</t>
        </is>
      </c>
      <c r="D2534" s="33" t="inlineStr">
        <is>
          <t>SwimCloud</t>
        </is>
      </c>
      <c r="E2534" s="33" t="inlineStr">
        <is>
          <t>3360584</t>
        </is>
      </c>
      <c r="F2534" s="33" t="inlineStr">
        <is>
          <t>132735123</t>
        </is>
      </c>
      <c r="G2534" s="51" t="n">
        <v>45562</v>
      </c>
      <c r="H2534" s="33" t="inlineStr">
        <is>
          <t>Eagles Invitational</t>
        </is>
      </c>
      <c r="I2534" s="33" t="inlineStr">
        <is>
          <t>314610</t>
        </is>
      </c>
      <c r="J2534" s="33" t="inlineStr"/>
      <c r="K2534" s="33" t="inlineStr">
        <is>
          <t>TIM</t>
        </is>
      </c>
      <c r="L2534" s="35">
        <f>IF(K2534="FIN",3,IF(OR(K2534="SEM",K2534="SEMI"),2,IF(OR(K2534="PRE",K2534="HEAT"),1,IF(V2534="YES",4,2))))</f>
        <v/>
      </c>
      <c r="M2534" s="33" t="inlineStr">
        <is>
          <t>LCM</t>
        </is>
      </c>
      <c r="N2534" s="33" t="n">
        <v>100</v>
      </c>
      <c r="O2534" s="33" t="inlineStr">
        <is>
          <t>Fly</t>
        </is>
      </c>
      <c r="P2534" s="33" t="inlineStr">
        <is>
          <t>100 Fly</t>
        </is>
      </c>
      <c r="Q2534" s="33" t="inlineStr">
        <is>
          <t>LCM_100_FLY</t>
        </is>
      </c>
      <c r="R2534" s="36" t="n">
        <v>67.48</v>
      </c>
      <c r="S2534" s="35">
        <f>IF(R2534="","",IF(R2534&gt;=60,INT(R2534/60)&amp;":"&amp;TEXT(MOD(R2534,60),"00.00"),TEXT(R2534,"0.00")))</f>
        <v/>
      </c>
      <c r="T2534" s="52">
        <f>IFERROR((G2534-INDEX('01_Swimmers'!$E$5:$E$22,MATCH(B2534,'01_Swimmers'!$A$5:$A$22,0)))/'00_Control'!$B$10,"")</f>
        <v/>
      </c>
      <c r="U2534" s="35">
        <f>IF(T2534="","",INT(T2534))</f>
        <v/>
      </c>
      <c r="V2534" s="33" t="inlineStr">
        <is>
          <t>NO</t>
        </is>
      </c>
      <c r="W2534" s="33" t="inlineStr">
        <is>
          <t>YES</t>
        </is>
      </c>
      <c r="X2534" s="33" t="inlineStr">
        <is>
          <t>NO</t>
        </is>
      </c>
      <c r="Y2534" s="33" t="n">
        <v>2</v>
      </c>
      <c r="Z2534" s="33" t="n">
        <v>5</v>
      </c>
      <c r="AA2534" s="33" t="inlineStr"/>
      <c r="AB2534" s="33" t="inlineStr">
        <is>
          <t>https://www.swimcloud.com/results/314610/event/106/?id=132734332#time132734332</t>
        </is>
      </c>
      <c r="AC2534" s="33" t="inlineStr">
        <is>
          <t>SwimCloud API v6 2026-10-08</t>
        </is>
      </c>
      <c r="AD2534" s="33" t="inlineStr">
        <is>
          <t>Miron Bunakov|2024-09-27|LCM|100|Fly|67.48|Eagles Invitational|TIM|False</t>
        </is>
      </c>
      <c r="AE2534" s="53">
        <f>G2534+L2534/1000+ROW()/1000000000</f>
        <v/>
      </c>
      <c r="AF2534" s="35">
        <f>IF(C2534&lt;&gt;"Grayson Coulter","",COUNTIFS($C$5:$C$2991,"Grayson Coulter",$Q$5:$Q$2991,Q2534,$AE$5:$AE$2991,"&lt;="&amp;AE2534,$R$5:$R$2991,"&lt;"&amp;R2534))</f>
        <v/>
      </c>
      <c r="AG2534" s="35">
        <f>IF(OR(C2534&lt;&gt;"Grayson Coulter",G2534&lt;'00_Control'!$B$7),"",--(AF2534&lt;5))</f>
        <v/>
      </c>
      <c r="AH2534" s="35">
        <f>IF(OR(C2534&lt;&gt;"Grayson Coulter",G2534&lt;'00_Control'!$B$7),"",--(AF2534&lt;10))</f>
        <v/>
      </c>
      <c r="AI2534" s="35">
        <f>IF(AND(C2534="Grayson Coulter",G2534&gt;='00_Control'!$B$7),"YES","NO")</f>
        <v/>
      </c>
      <c r="AJ2534" s="33" t="inlineStr">
        <is>
          <t>OK</t>
        </is>
      </c>
    </row>
    <row r="2535">
      <c r="A2535" s="33" t="inlineStr">
        <is>
          <t>SM002531</t>
        </is>
      </c>
      <c r="B2535" s="33" t="inlineStr">
        <is>
          <t>SW002</t>
        </is>
      </c>
      <c r="C2535" s="33" t="inlineStr">
        <is>
          <t>Miron Bunakov</t>
        </is>
      </c>
      <c r="D2535" s="33" t="inlineStr">
        <is>
          <t>SwimCloud</t>
        </is>
      </c>
      <c r="E2535" s="33" t="inlineStr">
        <is>
          <t>3360584</t>
        </is>
      </c>
      <c r="F2535" s="33" t="inlineStr">
        <is>
          <t>142755919</t>
        </is>
      </c>
      <c r="G2535" s="51" t="n">
        <v>45584</v>
      </c>
      <c r="H2535" s="33" t="inlineStr">
        <is>
          <t>Hamilton Aquatics Short Course Meet</t>
        </is>
      </c>
      <c r="I2535" s="33" t="inlineStr">
        <is>
          <t>317393</t>
        </is>
      </c>
      <c r="J2535" s="33" t="inlineStr"/>
      <c r="K2535" s="33" t="inlineStr">
        <is>
          <t>TIM</t>
        </is>
      </c>
      <c r="L2535" s="35">
        <f>IF(K2535="FIN",3,IF(OR(K2535="SEM",K2535="SEMI"),2,IF(OR(K2535="PRE",K2535="HEAT"),1,IF(V2535="YES",4,2))))</f>
        <v/>
      </c>
      <c r="M2535" s="33" t="inlineStr">
        <is>
          <t>SCM</t>
        </is>
      </c>
      <c r="N2535" s="33" t="n">
        <v>100</v>
      </c>
      <c r="O2535" s="33" t="inlineStr">
        <is>
          <t>Free</t>
        </is>
      </c>
      <c r="P2535" s="33" t="inlineStr">
        <is>
          <t>100 Free</t>
        </is>
      </c>
      <c r="Q2535" s="33" t="inlineStr">
        <is>
          <t>SCM_100_FREE</t>
        </is>
      </c>
      <c r="R2535" s="36" t="n">
        <v>53.99</v>
      </c>
      <c r="S2535" s="35">
        <f>IF(R2535="","",IF(R2535&gt;=60,INT(R2535/60)&amp;":"&amp;TEXT(MOD(R2535,60),"00.00"),TEXT(R2535,"0.00")))</f>
        <v/>
      </c>
      <c r="T2535" s="52">
        <f>IFERROR((G2535-INDEX('01_Swimmers'!$E$5:$E$22,MATCH(B2535,'01_Swimmers'!$A$5:$A$22,0)))/'00_Control'!$B$10,"")</f>
        <v/>
      </c>
      <c r="U2535" s="35">
        <f>IF(T2535="","",INT(T2535))</f>
        <v/>
      </c>
      <c r="V2535" s="33" t="inlineStr">
        <is>
          <t>NO</t>
        </is>
      </c>
      <c r="W2535" s="33" t="inlineStr">
        <is>
          <t>YES</t>
        </is>
      </c>
      <c r="X2535" s="33" t="inlineStr">
        <is>
          <t>NO</t>
        </is>
      </c>
      <c r="Y2535" s="33" t="n">
        <v>21</v>
      </c>
      <c r="Z2535" s="33" t="n">
        <v>4</v>
      </c>
      <c r="AA2535" s="33" t="inlineStr">
        <is>
          <t>1</t>
        </is>
      </c>
      <c r="AB2535" s="33" t="inlineStr">
        <is>
          <t>https://www.swimcloud.com/results/317393/event/104/?id=142755919#time142755919</t>
        </is>
      </c>
      <c r="AC2535" s="33" t="inlineStr">
        <is>
          <t>SwimCloud API v6 2026-10-08</t>
        </is>
      </c>
      <c r="AD2535" s="33" t="inlineStr">
        <is>
          <t>Miron Bunakov|2024-10-19|SCM|100|Free|53.99|Hamilton Aquatics Short Course Meet|TIM|False</t>
        </is>
      </c>
      <c r="AE2535" s="53">
        <f>G2535+L2535/1000+ROW()/1000000000</f>
        <v/>
      </c>
      <c r="AF2535" s="35">
        <f>IF(C2535&lt;&gt;"Grayson Coulter","",COUNTIFS($C$5:$C$2991,"Grayson Coulter",$Q$5:$Q$2991,Q2535,$AE$5:$AE$2991,"&lt;="&amp;AE2535,$R$5:$R$2991,"&lt;"&amp;R2535))</f>
        <v/>
      </c>
      <c r="AG2535" s="35">
        <f>IF(OR(C2535&lt;&gt;"Grayson Coulter",G2535&lt;'00_Control'!$B$7),"",--(AF2535&lt;5))</f>
        <v/>
      </c>
      <c r="AH2535" s="35">
        <f>IF(OR(C2535&lt;&gt;"Grayson Coulter",G2535&lt;'00_Control'!$B$7),"",--(AF2535&lt;10))</f>
        <v/>
      </c>
      <c r="AI2535" s="35">
        <f>IF(AND(C2535="Grayson Coulter",G2535&gt;='00_Control'!$B$7),"YES","NO")</f>
        <v/>
      </c>
      <c r="AJ2535" s="33" t="inlineStr">
        <is>
          <t>OK</t>
        </is>
      </c>
    </row>
    <row r="2536">
      <c r="A2536" s="33" t="inlineStr">
        <is>
          <t>SM002532</t>
        </is>
      </c>
      <c r="B2536" s="33" t="inlineStr">
        <is>
          <t>SW002</t>
        </is>
      </c>
      <c r="C2536" s="33" t="inlineStr">
        <is>
          <t>Miron Bunakov</t>
        </is>
      </c>
      <c r="D2536" s="33" t="inlineStr">
        <is>
          <t>SwimCloud</t>
        </is>
      </c>
      <c r="E2536" s="33" t="inlineStr">
        <is>
          <t>3360584</t>
        </is>
      </c>
      <c r="F2536" s="33" t="inlineStr">
        <is>
          <t>142755942</t>
        </is>
      </c>
      <c r="G2536" s="51" t="n">
        <v>45584</v>
      </c>
      <c r="H2536" s="33" t="inlineStr">
        <is>
          <t>Hamilton Aquatics Short Course Meet</t>
        </is>
      </c>
      <c r="I2536" s="33" t="inlineStr">
        <is>
          <t>317393</t>
        </is>
      </c>
      <c r="J2536" s="33" t="inlineStr"/>
      <c r="K2536" s="33" t="inlineStr">
        <is>
          <t>TIM</t>
        </is>
      </c>
      <c r="L2536" s="35">
        <f>IF(K2536="FIN",3,IF(OR(K2536="SEM",K2536="SEMI"),2,IF(OR(K2536="PRE",K2536="HEAT"),1,IF(V2536="YES",4,2))))</f>
        <v/>
      </c>
      <c r="M2536" s="33" t="inlineStr">
        <is>
          <t>SCM</t>
        </is>
      </c>
      <c r="N2536" s="33" t="n">
        <v>200</v>
      </c>
      <c r="O2536" s="33" t="inlineStr">
        <is>
          <t>Free</t>
        </is>
      </c>
      <c r="P2536" s="33" t="inlineStr">
        <is>
          <t>200 Free</t>
        </is>
      </c>
      <c r="Q2536" s="33" t="inlineStr">
        <is>
          <t>SCM_200_FREE</t>
        </is>
      </c>
      <c r="R2536" s="36" t="n">
        <v>120.08</v>
      </c>
      <c r="S2536" s="35">
        <f>IF(R2536="","",IF(R2536&gt;=60,INT(R2536/60)&amp;":"&amp;TEXT(MOD(R2536,60),"00.00"),TEXT(R2536,"0.00")))</f>
        <v/>
      </c>
      <c r="T2536" s="52">
        <f>IFERROR((G2536-INDEX('01_Swimmers'!$E$5:$E$22,MATCH(B2536,'01_Swimmers'!$A$5:$A$22,0)))/'00_Control'!$B$10,"")</f>
        <v/>
      </c>
      <c r="U2536" s="35">
        <f>IF(T2536="","",INT(T2536))</f>
        <v/>
      </c>
      <c r="V2536" s="33" t="inlineStr">
        <is>
          <t>NO</t>
        </is>
      </c>
      <c r="W2536" s="33" t="inlineStr">
        <is>
          <t>YES</t>
        </is>
      </c>
      <c r="X2536" s="33" t="inlineStr">
        <is>
          <t>NO</t>
        </is>
      </c>
      <c r="Y2536" s="33" t="n">
        <v>18</v>
      </c>
      <c r="Z2536" s="33" t="n">
        <v>7</v>
      </c>
      <c r="AA2536" s="33" t="inlineStr">
        <is>
          <t>1</t>
        </is>
      </c>
      <c r="AB2536" s="33" t="inlineStr">
        <is>
          <t>https://www.swimcloud.com/results/317393/event/202/?id=142755942#time142755942</t>
        </is>
      </c>
      <c r="AC2536" s="33" t="inlineStr">
        <is>
          <t>SwimCloud API v6 2026-10-08</t>
        </is>
      </c>
      <c r="AD2536" s="33" t="inlineStr">
        <is>
          <t>Miron Bunakov|2024-10-19|SCM|200|Free|120.08|Hamilton Aquatics Short Course Meet|TIM|False</t>
        </is>
      </c>
      <c r="AE2536" s="53">
        <f>G2536+L2536/1000+ROW()/1000000000</f>
        <v/>
      </c>
      <c r="AF2536" s="35">
        <f>IF(C2536&lt;&gt;"Grayson Coulter","",COUNTIFS($C$5:$C$2991,"Grayson Coulter",$Q$5:$Q$2991,Q2536,$AE$5:$AE$2991,"&lt;="&amp;AE2536,$R$5:$R$2991,"&lt;"&amp;R2536))</f>
        <v/>
      </c>
      <c r="AG2536" s="35">
        <f>IF(OR(C2536&lt;&gt;"Grayson Coulter",G2536&lt;'00_Control'!$B$7),"",--(AF2536&lt;5))</f>
        <v/>
      </c>
      <c r="AH2536" s="35">
        <f>IF(OR(C2536&lt;&gt;"Grayson Coulter",G2536&lt;'00_Control'!$B$7),"",--(AF2536&lt;10))</f>
        <v/>
      </c>
      <c r="AI2536" s="35">
        <f>IF(AND(C2536="Grayson Coulter",G2536&gt;='00_Control'!$B$7),"YES","NO")</f>
        <v/>
      </c>
      <c r="AJ2536" s="33" t="inlineStr">
        <is>
          <t>OK</t>
        </is>
      </c>
    </row>
    <row r="2537">
      <c r="A2537" s="33" t="inlineStr">
        <is>
          <t>SM002533</t>
        </is>
      </c>
      <c r="B2537" s="33" t="inlineStr">
        <is>
          <t>SW002</t>
        </is>
      </c>
      <c r="C2537" s="33" t="inlineStr">
        <is>
          <t>Miron Bunakov</t>
        </is>
      </c>
      <c r="D2537" s="33" t="inlineStr">
        <is>
          <t>SwimCloud</t>
        </is>
      </c>
      <c r="E2537" s="33" t="inlineStr">
        <is>
          <t>3360584</t>
        </is>
      </c>
      <c r="F2537" s="33" t="inlineStr">
        <is>
          <t>142757723</t>
        </is>
      </c>
      <c r="G2537" s="51" t="n">
        <v>45585</v>
      </c>
      <c r="H2537" s="33" t="inlineStr">
        <is>
          <t>Hamilton Aquatics Short Course Meet</t>
        </is>
      </c>
      <c r="I2537" s="33" t="inlineStr">
        <is>
          <t>317393</t>
        </is>
      </c>
      <c r="J2537" s="33" t="inlineStr"/>
      <c r="K2537" s="33" t="inlineStr">
        <is>
          <t>TIM</t>
        </is>
      </c>
      <c r="L2537" s="35">
        <f>IF(K2537="FIN",3,IF(OR(K2537="SEM",K2537="SEMI"),2,IF(OR(K2537="PRE",K2537="HEAT"),1,IF(V2537="YES",4,2))))</f>
        <v/>
      </c>
      <c r="M2537" s="33" t="inlineStr">
        <is>
          <t>SCM</t>
        </is>
      </c>
      <c r="N2537" s="33" t="n">
        <v>100</v>
      </c>
      <c r="O2537" s="33" t="inlineStr">
        <is>
          <t>Fly</t>
        </is>
      </c>
      <c r="P2537" s="33" t="inlineStr">
        <is>
          <t>100 Fly</t>
        </is>
      </c>
      <c r="Q2537" s="33" t="inlineStr">
        <is>
          <t>SCM_100_FLY</t>
        </is>
      </c>
      <c r="R2537" s="36" t="n">
        <v>58.69</v>
      </c>
      <c r="S2537" s="35">
        <f>IF(R2537="","",IF(R2537&gt;=60,INT(R2537/60)&amp;":"&amp;TEXT(MOD(R2537,60),"00.00"),TEXT(R2537,"0.00")))</f>
        <v/>
      </c>
      <c r="T2537" s="52">
        <f>IFERROR((G2537-INDEX('01_Swimmers'!$E$5:$E$22,MATCH(B2537,'01_Swimmers'!$A$5:$A$22,0)))/'00_Control'!$B$10,"")</f>
        <v/>
      </c>
      <c r="U2537" s="35">
        <f>IF(T2537="","",INT(T2537))</f>
        <v/>
      </c>
      <c r="V2537" s="33" t="inlineStr">
        <is>
          <t>NO</t>
        </is>
      </c>
      <c r="W2537" s="33" t="inlineStr">
        <is>
          <t>YES</t>
        </is>
      </c>
      <c r="X2537" s="33" t="inlineStr">
        <is>
          <t>NO</t>
        </is>
      </c>
      <c r="Y2537" s="33" t="n">
        <v>11</v>
      </c>
      <c r="Z2537" s="33" t="n">
        <v>0</v>
      </c>
      <c r="AA2537" s="33" t="inlineStr">
        <is>
          <t>1</t>
        </is>
      </c>
      <c r="AB2537" s="33" t="inlineStr">
        <is>
          <t>https://www.swimcloud.com/results/317393/event/306/?id=142757723#time142757723</t>
        </is>
      </c>
      <c r="AC2537" s="33" t="inlineStr">
        <is>
          <t>SwimCloud API v6 2026-10-08</t>
        </is>
      </c>
      <c r="AD2537" s="33" t="inlineStr">
        <is>
          <t>Miron Bunakov|2024-10-20|SCM|100|Fly|58.69|Hamilton Aquatics Short Course Meet|TIM|False</t>
        </is>
      </c>
      <c r="AE2537" s="53">
        <f>G2537+L2537/1000+ROW()/1000000000</f>
        <v/>
      </c>
      <c r="AF2537" s="35">
        <f>IF(C2537&lt;&gt;"Grayson Coulter","",COUNTIFS($C$5:$C$2991,"Grayson Coulter",$Q$5:$Q$2991,Q2537,$AE$5:$AE$2991,"&lt;="&amp;AE2537,$R$5:$R$2991,"&lt;"&amp;R2537))</f>
        <v/>
      </c>
      <c r="AG2537" s="35">
        <f>IF(OR(C2537&lt;&gt;"Grayson Coulter",G2537&lt;'00_Control'!$B$7),"",--(AF2537&lt;5))</f>
        <v/>
      </c>
      <c r="AH2537" s="35">
        <f>IF(OR(C2537&lt;&gt;"Grayson Coulter",G2537&lt;'00_Control'!$B$7),"",--(AF2537&lt;10))</f>
        <v/>
      </c>
      <c r="AI2537" s="35">
        <f>IF(AND(C2537="Grayson Coulter",G2537&gt;='00_Control'!$B$7),"YES","NO")</f>
        <v/>
      </c>
      <c r="AJ2537" s="33" t="inlineStr">
        <is>
          <t>OK</t>
        </is>
      </c>
    </row>
    <row r="2538">
      <c r="A2538" s="33" t="inlineStr">
        <is>
          <t>SM002534</t>
        </is>
      </c>
      <c r="B2538" s="33" t="inlineStr">
        <is>
          <t>SW002</t>
        </is>
      </c>
      <c r="C2538" s="33" t="inlineStr">
        <is>
          <t>Miron Bunakov</t>
        </is>
      </c>
      <c r="D2538" s="33" t="inlineStr">
        <is>
          <t>SwimCloud</t>
        </is>
      </c>
      <c r="E2538" s="33" t="inlineStr">
        <is>
          <t>3360584</t>
        </is>
      </c>
      <c r="F2538" s="33" t="inlineStr">
        <is>
          <t>145902643</t>
        </is>
      </c>
      <c r="G2538" s="51" t="n">
        <v>45700</v>
      </c>
      <c r="H2538" s="33" t="inlineStr">
        <is>
          <t>ACSIS Middle School Championsihps</t>
        </is>
      </c>
      <c r="I2538" s="33" t="inlineStr">
        <is>
          <t>336669</t>
        </is>
      </c>
      <c r="J2538" s="33" t="inlineStr"/>
      <c r="K2538" s="33" t="inlineStr">
        <is>
          <t>TIM</t>
        </is>
      </c>
      <c r="L2538" s="35">
        <f>IF(K2538="FIN",3,IF(OR(K2538="SEM",K2538="SEMI"),2,IF(OR(K2538="PRE",K2538="HEAT"),1,IF(V2538="YES",4,2))))</f>
        <v/>
      </c>
      <c r="M2538" s="33" t="inlineStr">
        <is>
          <t>SCM</t>
        </is>
      </c>
      <c r="N2538" s="33" t="n">
        <v>100</v>
      </c>
      <c r="O2538" s="33" t="inlineStr">
        <is>
          <t>Free</t>
        </is>
      </c>
      <c r="P2538" s="33" t="inlineStr">
        <is>
          <t>100 Free</t>
        </is>
      </c>
      <c r="Q2538" s="33" t="inlineStr">
        <is>
          <t>SCM_100_FREE</t>
        </is>
      </c>
      <c r="R2538" s="36" t="n">
        <v>52.8</v>
      </c>
      <c r="S2538" s="35">
        <f>IF(R2538="","",IF(R2538&gt;=60,INT(R2538/60)&amp;":"&amp;TEXT(MOD(R2538,60),"00.00"),TEXT(R2538,"0.00")))</f>
        <v/>
      </c>
      <c r="T2538" s="52">
        <f>IFERROR((G2538-INDEX('01_Swimmers'!$E$5:$E$22,MATCH(B2538,'01_Swimmers'!$A$5:$A$22,0)))/'00_Control'!$B$10,"")</f>
        <v/>
      </c>
      <c r="U2538" s="35">
        <f>IF(T2538="","",INT(T2538))</f>
        <v/>
      </c>
      <c r="V2538" s="33" t="inlineStr">
        <is>
          <t>NO</t>
        </is>
      </c>
      <c r="W2538" s="33" t="inlineStr">
        <is>
          <t>YES</t>
        </is>
      </c>
      <c r="X2538" s="33" t="inlineStr">
        <is>
          <t>NO</t>
        </is>
      </c>
      <c r="Y2538" s="33" t="n">
        <v>4</v>
      </c>
      <c r="Z2538" s="33" t="n">
        <v>4</v>
      </c>
      <c r="AA2538" s="33" t="inlineStr">
        <is>
          <t>1</t>
        </is>
      </c>
      <c r="AB2538" s="33" t="inlineStr">
        <is>
          <t>https://www.swimcloud.com/results/336669/event/212/?id=145902643#time145902643</t>
        </is>
      </c>
      <c r="AC2538" s="33" t="inlineStr">
        <is>
          <t>SwimCloud API v6 2026-10-08</t>
        </is>
      </c>
      <c r="AD2538" s="33" t="inlineStr">
        <is>
          <t>Miron Bunakov|2025-02-12|SCM|100|Free|52.8|ACSIS Middle School Championsihps|TIM|False</t>
        </is>
      </c>
      <c r="AE2538" s="53">
        <f>G2538+L2538/1000+ROW()/1000000000</f>
        <v/>
      </c>
      <c r="AF2538" s="35">
        <f>IF(C2538&lt;&gt;"Grayson Coulter","",COUNTIFS($C$5:$C$2991,"Grayson Coulter",$Q$5:$Q$2991,Q2538,$AE$5:$AE$2991,"&lt;="&amp;AE2538,$R$5:$R$2991,"&lt;"&amp;R2538))</f>
        <v/>
      </c>
      <c r="AG2538" s="35">
        <f>IF(OR(C2538&lt;&gt;"Grayson Coulter",G2538&lt;'00_Control'!$B$7),"",--(AF2538&lt;5))</f>
        <v/>
      </c>
      <c r="AH2538" s="35">
        <f>IF(OR(C2538&lt;&gt;"Grayson Coulter",G2538&lt;'00_Control'!$B$7),"",--(AF2538&lt;10))</f>
        <v/>
      </c>
      <c r="AI2538" s="35">
        <f>IF(AND(C2538="Grayson Coulter",G2538&gt;='00_Control'!$B$7),"YES","NO")</f>
        <v/>
      </c>
      <c r="AJ2538" s="33" t="inlineStr">
        <is>
          <t>OK</t>
        </is>
      </c>
    </row>
    <row r="2539">
      <c r="A2539" s="33" t="inlineStr">
        <is>
          <t>SM002535</t>
        </is>
      </c>
      <c r="B2539" s="33" t="inlineStr">
        <is>
          <t>SW002</t>
        </is>
      </c>
      <c r="C2539" s="33" t="inlineStr">
        <is>
          <t>Miron Bunakov</t>
        </is>
      </c>
      <c r="D2539" s="33" t="inlineStr">
        <is>
          <t>SwimCloud</t>
        </is>
      </c>
      <c r="E2539" s="33" t="inlineStr">
        <is>
          <t>3360584</t>
        </is>
      </c>
      <c r="F2539" s="33" t="inlineStr">
        <is>
          <t>150208105</t>
        </is>
      </c>
      <c r="G2539" s="51" t="n">
        <v>45711</v>
      </c>
      <c r="H2539" s="33" t="inlineStr">
        <is>
          <t>FOBISIA Swimming</t>
        </is>
      </c>
      <c r="I2539" s="33" t="inlineStr">
        <is>
          <t>341640</t>
        </is>
      </c>
      <c r="J2539" s="33" t="inlineStr"/>
      <c r="K2539" s="33" t="inlineStr">
        <is>
          <t>TIM</t>
        </is>
      </c>
      <c r="L2539" s="35">
        <f>IF(K2539="FIN",3,IF(OR(K2539="SEM",K2539="SEMI"),2,IF(OR(K2539="PRE",K2539="HEAT"),1,IF(V2539="YES",4,2))))</f>
        <v/>
      </c>
      <c r="M2539" s="33" t="inlineStr">
        <is>
          <t>LCM</t>
        </is>
      </c>
      <c r="N2539" s="33" t="n">
        <v>400</v>
      </c>
      <c r="O2539" s="33" t="inlineStr">
        <is>
          <t>Free</t>
        </is>
      </c>
      <c r="P2539" s="33" t="inlineStr">
        <is>
          <t>400 Free</t>
        </is>
      </c>
      <c r="Q2539" s="33" t="inlineStr">
        <is>
          <t>LCM_400_FREE</t>
        </is>
      </c>
      <c r="R2539" s="36" t="n">
        <v>258.02</v>
      </c>
      <c r="S2539" s="35">
        <f>IF(R2539="","",IF(R2539&gt;=60,INT(R2539/60)&amp;":"&amp;TEXT(MOD(R2539,60),"00.00"),TEXT(R2539,"0.00")))</f>
        <v/>
      </c>
      <c r="T2539" s="52">
        <f>IFERROR((G2539-INDEX('01_Swimmers'!$E$5:$E$22,MATCH(B2539,'01_Swimmers'!$A$5:$A$22,0)))/'00_Control'!$B$10,"")</f>
        <v/>
      </c>
      <c r="U2539" s="35">
        <f>IF(T2539="","",INT(T2539))</f>
        <v/>
      </c>
      <c r="V2539" s="33" t="inlineStr">
        <is>
          <t>NO</t>
        </is>
      </c>
      <c r="W2539" s="33" t="inlineStr">
        <is>
          <t>YES</t>
        </is>
      </c>
      <c r="X2539" s="33" t="inlineStr">
        <is>
          <t>NO</t>
        </is>
      </c>
      <c r="Y2539" s="33" t="n">
        <v>6</v>
      </c>
      <c r="Z2539" s="33" t="n">
        <v>1</v>
      </c>
      <c r="AA2539" s="33" t="inlineStr">
        <is>
          <t>1</t>
        </is>
      </c>
      <c r="AB2539" s="33" t="inlineStr">
        <is>
          <t>https://www.swimcloud.com/results/341640/event/602/?id=150208105#time150208105</t>
        </is>
      </c>
      <c r="AC2539" s="33" t="inlineStr">
        <is>
          <t>SwimCloud API v6 2026-10-08</t>
        </is>
      </c>
      <c r="AD2539" s="33" t="inlineStr">
        <is>
          <t>Miron Bunakov|2025-02-23|LCM|400|Free|258.02|FOBISIA Swimming|TIM|False</t>
        </is>
      </c>
      <c r="AE2539" s="53">
        <f>G2539+L2539/1000+ROW()/1000000000</f>
        <v/>
      </c>
      <c r="AF2539" s="35">
        <f>IF(C2539&lt;&gt;"Grayson Coulter","",COUNTIFS($C$5:$C$2991,"Grayson Coulter",$Q$5:$Q$2991,Q2539,$AE$5:$AE$2991,"&lt;="&amp;AE2539,$R$5:$R$2991,"&lt;"&amp;R2539))</f>
        <v/>
      </c>
      <c r="AG2539" s="35">
        <f>IF(OR(C2539&lt;&gt;"Grayson Coulter",G2539&lt;'00_Control'!$B$7),"",--(AF2539&lt;5))</f>
        <v/>
      </c>
      <c r="AH2539" s="35">
        <f>IF(OR(C2539&lt;&gt;"Grayson Coulter",G2539&lt;'00_Control'!$B$7),"",--(AF2539&lt;10))</f>
        <v/>
      </c>
      <c r="AI2539" s="35">
        <f>IF(AND(C2539="Grayson Coulter",G2539&gt;='00_Control'!$B$7),"YES","NO")</f>
        <v/>
      </c>
      <c r="AJ2539" s="33" t="inlineStr">
        <is>
          <t>OK</t>
        </is>
      </c>
    </row>
    <row r="2540">
      <c r="A2540" s="33" t="inlineStr">
        <is>
          <t>SM002536</t>
        </is>
      </c>
      <c r="B2540" s="33" t="inlineStr">
        <is>
          <t>SW002</t>
        </is>
      </c>
      <c r="C2540" s="33" t="inlineStr">
        <is>
          <t>Miron Bunakov</t>
        </is>
      </c>
      <c r="D2540" s="33" t="inlineStr">
        <is>
          <t>SwimCloud</t>
        </is>
      </c>
      <c r="E2540" s="33" t="inlineStr">
        <is>
          <t>3360584</t>
        </is>
      </c>
      <c r="F2540" s="33" t="inlineStr">
        <is>
          <t>157306575</t>
        </is>
      </c>
      <c r="G2540" s="51" t="n">
        <v>45734</v>
      </c>
      <c r="H2540" s="33" t="inlineStr">
        <is>
          <t>55th SNAG (Seniors)</t>
        </is>
      </c>
      <c r="I2540" s="33" t="inlineStr">
        <is>
          <t>340532</t>
        </is>
      </c>
      <c r="J2540" s="33" t="inlineStr"/>
      <c r="K2540" s="33" t="inlineStr">
        <is>
          <t>PRE</t>
        </is>
      </c>
      <c r="L2540" s="35">
        <f>IF(K2540="FIN",3,IF(OR(K2540="SEM",K2540="SEMI"),2,IF(OR(K2540="PRE",K2540="HEAT"),1,IF(V2540="YES",4,2))))</f>
        <v/>
      </c>
      <c r="M2540" s="33" t="inlineStr">
        <is>
          <t>LCM</t>
        </is>
      </c>
      <c r="N2540" s="33" t="n">
        <v>100</v>
      </c>
      <c r="O2540" s="33" t="inlineStr">
        <is>
          <t>Fly</t>
        </is>
      </c>
      <c r="P2540" s="33" t="inlineStr">
        <is>
          <t>100 Fly</t>
        </is>
      </c>
      <c r="Q2540" s="33" t="inlineStr">
        <is>
          <t>LCM_100_FLY</t>
        </is>
      </c>
      <c r="R2540" s="36" t="n">
        <v>58.32</v>
      </c>
      <c r="S2540" s="35">
        <f>IF(R2540="","",IF(R2540&gt;=60,INT(R2540/60)&amp;":"&amp;TEXT(MOD(R2540,60),"00.00"),TEXT(R2540,"0.00")))</f>
        <v/>
      </c>
      <c r="T2540" s="52">
        <f>IFERROR((G2540-INDEX('01_Swimmers'!$E$5:$E$22,MATCH(B2540,'01_Swimmers'!$A$5:$A$22,0)))/'00_Control'!$B$10,"")</f>
        <v/>
      </c>
      <c r="U2540" s="35">
        <f>IF(T2540="","",INT(T2540))</f>
        <v/>
      </c>
      <c r="V2540" s="33" t="inlineStr">
        <is>
          <t>NO</t>
        </is>
      </c>
      <c r="W2540" s="33" t="inlineStr">
        <is>
          <t>YES</t>
        </is>
      </c>
      <c r="X2540" s="33" t="inlineStr">
        <is>
          <t>NO</t>
        </is>
      </c>
      <c r="Y2540" s="33" t="n">
        <v>4</v>
      </c>
      <c r="Z2540" s="33" t="n">
        <v>5</v>
      </c>
      <c r="AA2540" s="33" t="inlineStr">
        <is>
          <t>1</t>
        </is>
      </c>
      <c r="AB2540" s="33" t="inlineStr">
        <is>
          <t>https://www.swimcloud.com/results/340532/event/101/?id=157306575#time157306575</t>
        </is>
      </c>
      <c r="AC2540" s="33" t="inlineStr">
        <is>
          <t>SwimCloud API v6 2026-10-08</t>
        </is>
      </c>
      <c r="AD2540" s="33" t="inlineStr">
        <is>
          <t>Miron Bunakov|2025-03-18|LCM|100|Fly|58.32|55th SNAG (Seniors)|PRE|False</t>
        </is>
      </c>
      <c r="AE2540" s="53">
        <f>G2540+L2540/1000+ROW()/1000000000</f>
        <v/>
      </c>
      <c r="AF2540" s="35">
        <f>IF(C2540&lt;&gt;"Grayson Coulter","",COUNTIFS($C$5:$C$2991,"Grayson Coulter",$Q$5:$Q$2991,Q2540,$AE$5:$AE$2991,"&lt;="&amp;AE2540,$R$5:$R$2991,"&lt;"&amp;R2540))</f>
        <v/>
      </c>
      <c r="AG2540" s="35">
        <f>IF(OR(C2540&lt;&gt;"Grayson Coulter",G2540&lt;'00_Control'!$B$7),"",--(AF2540&lt;5))</f>
        <v/>
      </c>
      <c r="AH2540" s="35">
        <f>IF(OR(C2540&lt;&gt;"Grayson Coulter",G2540&lt;'00_Control'!$B$7),"",--(AF2540&lt;10))</f>
        <v/>
      </c>
      <c r="AI2540" s="35">
        <f>IF(AND(C2540="Grayson Coulter",G2540&gt;='00_Control'!$B$7),"YES","NO")</f>
        <v/>
      </c>
      <c r="AJ2540" s="33" t="inlineStr">
        <is>
          <t>OK</t>
        </is>
      </c>
    </row>
    <row r="2541">
      <c r="A2541" s="33" t="inlineStr">
        <is>
          <t>SM002537</t>
        </is>
      </c>
      <c r="B2541" s="33" t="inlineStr">
        <is>
          <t>SW002</t>
        </is>
      </c>
      <c r="C2541" s="33" t="inlineStr">
        <is>
          <t>Miron Bunakov</t>
        </is>
      </c>
      <c r="D2541" s="33" t="inlineStr">
        <is>
          <t>SwimCloud</t>
        </is>
      </c>
      <c r="E2541" s="33" t="inlineStr">
        <is>
          <t>3360584</t>
        </is>
      </c>
      <c r="F2541" s="33" t="inlineStr">
        <is>
          <t>157306576</t>
        </is>
      </c>
      <c r="G2541" s="51" t="n">
        <v>45734</v>
      </c>
      <c r="H2541" s="33" t="inlineStr">
        <is>
          <t>55th SNAG (Seniors)</t>
        </is>
      </c>
      <c r="I2541" s="33" t="inlineStr">
        <is>
          <t>340532</t>
        </is>
      </c>
      <c r="J2541" s="33" t="inlineStr"/>
      <c r="K2541" s="33" t="inlineStr">
        <is>
          <t>FIN</t>
        </is>
      </c>
      <c r="L2541" s="35">
        <f>IF(K2541="FIN",3,IF(OR(K2541="SEM",K2541="SEMI"),2,IF(OR(K2541="PRE",K2541="HEAT"),1,IF(V2541="YES",4,2))))</f>
        <v/>
      </c>
      <c r="M2541" s="33" t="inlineStr">
        <is>
          <t>LCM</t>
        </is>
      </c>
      <c r="N2541" s="33" t="n">
        <v>100</v>
      </c>
      <c r="O2541" s="33" t="inlineStr">
        <is>
          <t>Fly</t>
        </is>
      </c>
      <c r="P2541" s="33" t="inlineStr">
        <is>
          <t>100 Fly</t>
        </is>
      </c>
      <c r="Q2541" s="33" t="inlineStr">
        <is>
          <t>LCM_100_FLY</t>
        </is>
      </c>
      <c r="R2541" s="36" t="n">
        <v>57.59</v>
      </c>
      <c r="S2541" s="35">
        <f>IF(R2541="","",IF(R2541&gt;=60,INT(R2541/60)&amp;":"&amp;TEXT(MOD(R2541,60),"00.00"),TEXT(R2541,"0.00")))</f>
        <v/>
      </c>
      <c r="T2541" s="52">
        <f>IFERROR((G2541-INDEX('01_Swimmers'!$E$5:$E$22,MATCH(B2541,'01_Swimmers'!$A$5:$A$22,0)))/'00_Control'!$B$10,"")</f>
        <v/>
      </c>
      <c r="U2541" s="35">
        <f>IF(T2541="","",INT(T2541))</f>
        <v/>
      </c>
      <c r="V2541" s="33" t="inlineStr">
        <is>
          <t>NO</t>
        </is>
      </c>
      <c r="W2541" s="33" t="inlineStr">
        <is>
          <t>YES</t>
        </is>
      </c>
      <c r="X2541" s="33" t="inlineStr">
        <is>
          <t>NO</t>
        </is>
      </c>
      <c r="Y2541" s="33" t="n">
        <v>2</v>
      </c>
      <c r="Z2541" s="33" t="n">
        <v>4</v>
      </c>
      <c r="AA2541" s="33" t="inlineStr">
        <is>
          <t>1</t>
        </is>
      </c>
      <c r="AB2541" s="33" t="inlineStr">
        <is>
          <t>https://www.swimcloud.com/results/340532/event/101/?id=157306576#time157306576</t>
        </is>
      </c>
      <c r="AC2541" s="33" t="inlineStr">
        <is>
          <t>SwimCloud API v6 2026-10-08</t>
        </is>
      </c>
      <c r="AD2541" s="33" t="inlineStr">
        <is>
          <t>Miron Bunakov|2025-03-18|LCM|100|Fly|57.59|55th SNAG (Seniors)|FIN|False</t>
        </is>
      </c>
      <c r="AE2541" s="53">
        <f>G2541+L2541/1000+ROW()/1000000000</f>
        <v/>
      </c>
      <c r="AF2541" s="35">
        <f>IF(C2541&lt;&gt;"Grayson Coulter","",COUNTIFS($C$5:$C$2991,"Grayson Coulter",$Q$5:$Q$2991,Q2541,$AE$5:$AE$2991,"&lt;="&amp;AE2541,$R$5:$R$2991,"&lt;"&amp;R2541))</f>
        <v/>
      </c>
      <c r="AG2541" s="35">
        <f>IF(OR(C2541&lt;&gt;"Grayson Coulter",G2541&lt;'00_Control'!$B$7),"",--(AF2541&lt;5))</f>
        <v/>
      </c>
      <c r="AH2541" s="35">
        <f>IF(OR(C2541&lt;&gt;"Grayson Coulter",G2541&lt;'00_Control'!$B$7),"",--(AF2541&lt;10))</f>
        <v/>
      </c>
      <c r="AI2541" s="35">
        <f>IF(AND(C2541="Grayson Coulter",G2541&gt;='00_Control'!$B$7),"YES","NO")</f>
        <v/>
      </c>
      <c r="AJ2541" s="33" t="inlineStr">
        <is>
          <t>OK</t>
        </is>
      </c>
    </row>
    <row r="2542">
      <c r="A2542" s="33" t="inlineStr">
        <is>
          <t>SM002538</t>
        </is>
      </c>
      <c r="B2542" s="33" t="inlineStr">
        <is>
          <t>SW002</t>
        </is>
      </c>
      <c r="C2542" s="33" t="inlineStr">
        <is>
          <t>Miron Bunakov</t>
        </is>
      </c>
      <c r="D2542" s="33" t="inlineStr">
        <is>
          <t>SwimCloud</t>
        </is>
      </c>
      <c r="E2542" s="33" t="inlineStr">
        <is>
          <t>3360584</t>
        </is>
      </c>
      <c r="F2542" s="33" t="inlineStr">
        <is>
          <t>157301998</t>
        </is>
      </c>
      <c r="G2542" s="51" t="n">
        <v>45735</v>
      </c>
      <c r="H2542" s="33" t="inlineStr">
        <is>
          <t>55th SNAG (Seniors)</t>
        </is>
      </c>
      <c r="I2542" s="33" t="inlineStr">
        <is>
          <t>340532</t>
        </is>
      </c>
      <c r="J2542" s="33" t="inlineStr"/>
      <c r="K2542" s="33" t="inlineStr">
        <is>
          <t>PRE</t>
        </is>
      </c>
      <c r="L2542" s="35">
        <f>IF(K2542="FIN",3,IF(OR(K2542="SEM",K2542="SEMI"),2,IF(OR(K2542="PRE",K2542="HEAT"),1,IF(V2542="YES",4,2))))</f>
        <v/>
      </c>
      <c r="M2542" s="33" t="inlineStr">
        <is>
          <t>LCM</t>
        </is>
      </c>
      <c r="N2542" s="33" t="n">
        <v>100</v>
      </c>
      <c r="O2542" s="33" t="inlineStr">
        <is>
          <t>Free</t>
        </is>
      </c>
      <c r="P2542" s="33" t="inlineStr">
        <is>
          <t>100 Free</t>
        </is>
      </c>
      <c r="Q2542" s="33" t="inlineStr">
        <is>
          <t>LCM_100_FREE</t>
        </is>
      </c>
      <c r="R2542" s="36" t="n">
        <v>53.51</v>
      </c>
      <c r="S2542" s="35">
        <f>IF(R2542="","",IF(R2542&gt;=60,INT(R2542/60)&amp;":"&amp;TEXT(MOD(R2542,60),"00.00"),TEXT(R2542,"0.00")))</f>
        <v/>
      </c>
      <c r="T2542" s="52">
        <f>IFERROR((G2542-INDEX('01_Swimmers'!$E$5:$E$22,MATCH(B2542,'01_Swimmers'!$A$5:$A$22,0)))/'00_Control'!$B$10,"")</f>
        <v/>
      </c>
      <c r="U2542" s="35">
        <f>IF(T2542="","",INT(T2542))</f>
        <v/>
      </c>
      <c r="V2542" s="33" t="inlineStr">
        <is>
          <t>NO</t>
        </is>
      </c>
      <c r="W2542" s="33" t="inlineStr">
        <is>
          <t>YES</t>
        </is>
      </c>
      <c r="X2542" s="33" t="inlineStr">
        <is>
          <t>NO</t>
        </is>
      </c>
      <c r="Y2542" s="33" t="n">
        <v>4</v>
      </c>
      <c r="Z2542" s="33" t="n">
        <v>5</v>
      </c>
      <c r="AA2542" s="33" t="inlineStr">
        <is>
          <t>2</t>
        </is>
      </c>
      <c r="AB2542" s="33" t="inlineStr">
        <is>
          <t>https://www.swimcloud.com/results/340532/event/203/?id=157301998#time157301998</t>
        </is>
      </c>
      <c r="AC2542" s="33" t="inlineStr">
        <is>
          <t>SwimCloud API v6 2026-10-08</t>
        </is>
      </c>
      <c r="AD2542" s="33" t="inlineStr">
        <is>
          <t>Miron Bunakov|2025-03-19|LCM|100|Free|53.51|55th SNAG (Seniors)|PRE|False</t>
        </is>
      </c>
      <c r="AE2542" s="53">
        <f>G2542+L2542/1000+ROW()/1000000000</f>
        <v/>
      </c>
      <c r="AF2542" s="35">
        <f>IF(C2542&lt;&gt;"Grayson Coulter","",COUNTIFS($C$5:$C$2991,"Grayson Coulter",$Q$5:$Q$2991,Q2542,$AE$5:$AE$2991,"&lt;="&amp;AE2542,$R$5:$R$2991,"&lt;"&amp;R2542))</f>
        <v/>
      </c>
      <c r="AG2542" s="35">
        <f>IF(OR(C2542&lt;&gt;"Grayson Coulter",G2542&lt;'00_Control'!$B$7),"",--(AF2542&lt;5))</f>
        <v/>
      </c>
      <c r="AH2542" s="35">
        <f>IF(OR(C2542&lt;&gt;"Grayson Coulter",G2542&lt;'00_Control'!$B$7),"",--(AF2542&lt;10))</f>
        <v/>
      </c>
      <c r="AI2542" s="35">
        <f>IF(AND(C2542="Grayson Coulter",G2542&gt;='00_Control'!$B$7),"YES","NO")</f>
        <v/>
      </c>
      <c r="AJ2542" s="33" t="inlineStr">
        <is>
          <t>OK</t>
        </is>
      </c>
    </row>
    <row r="2543">
      <c r="A2543" s="33" t="inlineStr">
        <is>
          <t>SM002539</t>
        </is>
      </c>
      <c r="B2543" s="33" t="inlineStr">
        <is>
          <t>SW002</t>
        </is>
      </c>
      <c r="C2543" s="33" t="inlineStr">
        <is>
          <t>Miron Bunakov</t>
        </is>
      </c>
      <c r="D2543" s="33" t="inlineStr">
        <is>
          <t>SwimCloud</t>
        </is>
      </c>
      <c r="E2543" s="33" t="inlineStr">
        <is>
          <t>3360584</t>
        </is>
      </c>
      <c r="F2543" s="33" t="inlineStr">
        <is>
          <t>157301999</t>
        </is>
      </c>
      <c r="G2543" s="51" t="n">
        <v>45735</v>
      </c>
      <c r="H2543" s="33" t="inlineStr">
        <is>
          <t>55th SNAG (Seniors)</t>
        </is>
      </c>
      <c r="I2543" s="33" t="inlineStr">
        <is>
          <t>340532</t>
        </is>
      </c>
      <c r="J2543" s="33" t="inlineStr"/>
      <c r="K2543" s="33" t="inlineStr">
        <is>
          <t>FIN</t>
        </is>
      </c>
      <c r="L2543" s="35">
        <f>IF(K2543="FIN",3,IF(OR(K2543="SEM",K2543="SEMI"),2,IF(OR(K2543="PRE",K2543="HEAT"),1,IF(V2543="YES",4,2))))</f>
        <v/>
      </c>
      <c r="M2543" s="33" t="inlineStr">
        <is>
          <t>LCM</t>
        </is>
      </c>
      <c r="N2543" s="33" t="n">
        <v>100</v>
      </c>
      <c r="O2543" s="33" t="inlineStr">
        <is>
          <t>Free</t>
        </is>
      </c>
      <c r="P2543" s="33" t="inlineStr">
        <is>
          <t>100 Free</t>
        </is>
      </c>
      <c r="Q2543" s="33" t="inlineStr">
        <is>
          <t>LCM_100_FREE</t>
        </is>
      </c>
      <c r="R2543" s="36" t="n">
        <v>52.66</v>
      </c>
      <c r="S2543" s="35">
        <f>IF(R2543="","",IF(R2543&gt;=60,INT(R2543/60)&amp;":"&amp;TEXT(MOD(R2543,60),"00.00"),TEXT(R2543,"0.00")))</f>
        <v/>
      </c>
      <c r="T2543" s="52">
        <f>IFERROR((G2543-INDEX('01_Swimmers'!$E$5:$E$22,MATCH(B2543,'01_Swimmers'!$A$5:$A$22,0)))/'00_Control'!$B$10,"")</f>
        <v/>
      </c>
      <c r="U2543" s="35">
        <f>IF(T2543="","",INT(T2543))</f>
        <v/>
      </c>
      <c r="V2543" s="33" t="inlineStr">
        <is>
          <t>NO</t>
        </is>
      </c>
      <c r="W2543" s="33" t="inlineStr">
        <is>
          <t>YES</t>
        </is>
      </c>
      <c r="X2543" s="33" t="inlineStr">
        <is>
          <t>NO</t>
        </is>
      </c>
      <c r="Y2543" s="33" t="n">
        <v>2</v>
      </c>
      <c r="Z2543" s="33" t="n">
        <v>5</v>
      </c>
      <c r="AA2543" s="33" t="inlineStr">
        <is>
          <t>1</t>
        </is>
      </c>
      <c r="AB2543" s="33" t="inlineStr">
        <is>
          <t>https://www.swimcloud.com/results/340532/event/203/?id=157301999#time157301999</t>
        </is>
      </c>
      <c r="AC2543" s="33" t="inlineStr">
        <is>
          <t>SwimCloud API v6 2026-10-08</t>
        </is>
      </c>
      <c r="AD2543" s="33" t="inlineStr">
        <is>
          <t>Miron Bunakov|2025-03-19|LCM|100|Free|52.66|55th SNAG (Seniors)|FIN|False</t>
        </is>
      </c>
      <c r="AE2543" s="53">
        <f>G2543+L2543/1000+ROW()/1000000000</f>
        <v/>
      </c>
      <c r="AF2543" s="35">
        <f>IF(C2543&lt;&gt;"Grayson Coulter","",COUNTIFS($C$5:$C$2991,"Grayson Coulter",$Q$5:$Q$2991,Q2543,$AE$5:$AE$2991,"&lt;="&amp;AE2543,$R$5:$R$2991,"&lt;"&amp;R2543))</f>
        <v/>
      </c>
      <c r="AG2543" s="35">
        <f>IF(OR(C2543&lt;&gt;"Grayson Coulter",G2543&lt;'00_Control'!$B$7),"",--(AF2543&lt;5))</f>
        <v/>
      </c>
      <c r="AH2543" s="35">
        <f>IF(OR(C2543&lt;&gt;"Grayson Coulter",G2543&lt;'00_Control'!$B$7),"",--(AF2543&lt;10))</f>
        <v/>
      </c>
      <c r="AI2543" s="35">
        <f>IF(AND(C2543="Grayson Coulter",G2543&gt;='00_Control'!$B$7),"YES","NO")</f>
        <v/>
      </c>
      <c r="AJ2543" s="33" t="inlineStr">
        <is>
          <t>OK</t>
        </is>
      </c>
    </row>
    <row r="2544">
      <c r="A2544" s="33" t="inlineStr">
        <is>
          <t>SM002540</t>
        </is>
      </c>
      <c r="B2544" s="33" t="inlineStr">
        <is>
          <t>SW002</t>
        </is>
      </c>
      <c r="C2544" s="33" t="inlineStr">
        <is>
          <t>Miron Bunakov</t>
        </is>
      </c>
      <c r="D2544" s="33" t="inlineStr">
        <is>
          <t>SwimCloud</t>
        </is>
      </c>
      <c r="E2544" s="33" t="inlineStr">
        <is>
          <t>3360584</t>
        </is>
      </c>
      <c r="F2544" s="33" t="inlineStr">
        <is>
          <t>157306468</t>
        </is>
      </c>
      <c r="G2544" s="51" t="n">
        <v>45736</v>
      </c>
      <c r="H2544" s="33" t="inlineStr">
        <is>
          <t>55th SNAG (Seniors)</t>
        </is>
      </c>
      <c r="I2544" s="33" t="inlineStr">
        <is>
          <t>340532</t>
        </is>
      </c>
      <c r="J2544" s="33" t="inlineStr"/>
      <c r="K2544" s="33" t="inlineStr">
        <is>
          <t>PRE</t>
        </is>
      </c>
      <c r="L2544" s="35">
        <f>IF(K2544="FIN",3,IF(OR(K2544="SEM",K2544="SEMI"),2,IF(OR(K2544="PRE",K2544="HEAT"),1,IF(V2544="YES",4,2))))</f>
        <v/>
      </c>
      <c r="M2544" s="33" t="inlineStr">
        <is>
          <t>LCM</t>
        </is>
      </c>
      <c r="N2544" s="33" t="n">
        <v>400</v>
      </c>
      <c r="O2544" s="33" t="inlineStr">
        <is>
          <t>Free</t>
        </is>
      </c>
      <c r="P2544" s="33" t="inlineStr">
        <is>
          <t>400 Free</t>
        </is>
      </c>
      <c r="Q2544" s="33" t="inlineStr">
        <is>
          <t>LCM_400_FREE</t>
        </is>
      </c>
      <c r="R2544" s="36" t="n">
        <v>253.78</v>
      </c>
      <c r="S2544" s="35">
        <f>IF(R2544="","",IF(R2544&gt;=60,INT(R2544/60)&amp;":"&amp;TEXT(MOD(R2544,60),"00.00"),TEXT(R2544,"0.00")))</f>
        <v/>
      </c>
      <c r="T2544" s="52">
        <f>IFERROR((G2544-INDEX('01_Swimmers'!$E$5:$E$22,MATCH(B2544,'01_Swimmers'!$A$5:$A$22,0)))/'00_Control'!$B$10,"")</f>
        <v/>
      </c>
      <c r="U2544" s="35">
        <f>IF(T2544="","",INT(T2544))</f>
        <v/>
      </c>
      <c r="V2544" s="33" t="inlineStr">
        <is>
          <t>NO</t>
        </is>
      </c>
      <c r="W2544" s="33" t="inlineStr">
        <is>
          <t>YES</t>
        </is>
      </c>
      <c r="X2544" s="33" t="inlineStr">
        <is>
          <t>NO</t>
        </is>
      </c>
      <c r="Y2544" s="33" t="n">
        <v>4</v>
      </c>
      <c r="Z2544" s="33" t="n">
        <v>4</v>
      </c>
      <c r="AA2544" s="33" t="inlineStr">
        <is>
          <t>2</t>
        </is>
      </c>
      <c r="AB2544" s="33" t="inlineStr">
        <is>
          <t>https://www.swimcloud.com/results/340532/event/306/?id=157306468#time157306468</t>
        </is>
      </c>
      <c r="AC2544" s="33" t="inlineStr">
        <is>
          <t>SwimCloud API v6 2026-10-08</t>
        </is>
      </c>
      <c r="AD2544" s="33" t="inlineStr">
        <is>
          <t>Miron Bunakov|2025-03-20|LCM|400|Free|253.78|55th SNAG (Seniors)|PRE|False</t>
        </is>
      </c>
      <c r="AE2544" s="53">
        <f>G2544+L2544/1000+ROW()/1000000000</f>
        <v/>
      </c>
      <c r="AF2544" s="35">
        <f>IF(C2544&lt;&gt;"Grayson Coulter","",COUNTIFS($C$5:$C$2991,"Grayson Coulter",$Q$5:$Q$2991,Q2544,$AE$5:$AE$2991,"&lt;="&amp;AE2544,$R$5:$R$2991,"&lt;"&amp;R2544))</f>
        <v/>
      </c>
      <c r="AG2544" s="35">
        <f>IF(OR(C2544&lt;&gt;"Grayson Coulter",G2544&lt;'00_Control'!$B$7),"",--(AF2544&lt;5))</f>
        <v/>
      </c>
      <c r="AH2544" s="35">
        <f>IF(OR(C2544&lt;&gt;"Grayson Coulter",G2544&lt;'00_Control'!$B$7),"",--(AF2544&lt;10))</f>
        <v/>
      </c>
      <c r="AI2544" s="35">
        <f>IF(AND(C2544="Grayson Coulter",G2544&gt;='00_Control'!$B$7),"YES","NO")</f>
        <v/>
      </c>
      <c r="AJ2544" s="33" t="inlineStr">
        <is>
          <t>OK</t>
        </is>
      </c>
    </row>
    <row r="2545">
      <c r="A2545" s="33" t="inlineStr">
        <is>
          <t>SM002541</t>
        </is>
      </c>
      <c r="B2545" s="33" t="inlineStr">
        <is>
          <t>SW002</t>
        </is>
      </c>
      <c r="C2545" s="33" t="inlineStr">
        <is>
          <t>Miron Bunakov</t>
        </is>
      </c>
      <c r="D2545" s="33" t="inlineStr">
        <is>
          <t>SwimCloud</t>
        </is>
      </c>
      <c r="E2545" s="33" t="inlineStr">
        <is>
          <t>3360584</t>
        </is>
      </c>
      <c r="F2545" s="33" t="inlineStr">
        <is>
          <t>157306469</t>
        </is>
      </c>
      <c r="G2545" s="51" t="n">
        <v>45736</v>
      </c>
      <c r="H2545" s="33" t="inlineStr">
        <is>
          <t>55th SNAG (Seniors)</t>
        </is>
      </c>
      <c r="I2545" s="33" t="inlineStr">
        <is>
          <t>340532</t>
        </is>
      </c>
      <c r="J2545" s="33" t="inlineStr"/>
      <c r="K2545" s="33" t="inlineStr">
        <is>
          <t>FIN</t>
        </is>
      </c>
      <c r="L2545" s="35">
        <f>IF(K2545="FIN",3,IF(OR(K2545="SEM",K2545="SEMI"),2,IF(OR(K2545="PRE",K2545="HEAT"),1,IF(V2545="YES",4,2))))</f>
        <v/>
      </c>
      <c r="M2545" s="33" t="inlineStr">
        <is>
          <t>LCM</t>
        </is>
      </c>
      <c r="N2545" s="33" t="n">
        <v>400</v>
      </c>
      <c r="O2545" s="33" t="inlineStr">
        <is>
          <t>Free</t>
        </is>
      </c>
      <c r="P2545" s="33" t="inlineStr">
        <is>
          <t>400 Free</t>
        </is>
      </c>
      <c r="Q2545" s="33" t="inlineStr">
        <is>
          <t>LCM_400_FREE</t>
        </is>
      </c>
      <c r="R2545" s="36" t="n">
        <v>251.29</v>
      </c>
      <c r="S2545" s="35">
        <f>IF(R2545="","",IF(R2545&gt;=60,INT(R2545/60)&amp;":"&amp;TEXT(MOD(R2545,60),"00.00"),TEXT(R2545,"0.00")))</f>
        <v/>
      </c>
      <c r="T2545" s="52">
        <f>IFERROR((G2545-INDEX('01_Swimmers'!$E$5:$E$22,MATCH(B2545,'01_Swimmers'!$A$5:$A$22,0)))/'00_Control'!$B$10,"")</f>
        <v/>
      </c>
      <c r="U2545" s="35">
        <f>IF(T2545="","",INT(T2545))</f>
        <v/>
      </c>
      <c r="V2545" s="33" t="inlineStr">
        <is>
          <t>NO</t>
        </is>
      </c>
      <c r="W2545" s="33" t="inlineStr">
        <is>
          <t>YES</t>
        </is>
      </c>
      <c r="X2545" s="33" t="inlineStr">
        <is>
          <t>NO</t>
        </is>
      </c>
      <c r="Y2545" s="33" t="n">
        <v>2</v>
      </c>
      <c r="Z2545" s="33" t="n">
        <v>5</v>
      </c>
      <c r="AA2545" s="33" t="inlineStr">
        <is>
          <t>2</t>
        </is>
      </c>
      <c r="AB2545" s="33" t="inlineStr">
        <is>
          <t>https://www.swimcloud.com/results/340532/event/306/?id=157306469#time157306469</t>
        </is>
      </c>
      <c r="AC2545" s="33" t="inlineStr">
        <is>
          <t>SwimCloud API v6 2026-10-08</t>
        </is>
      </c>
      <c r="AD2545" s="33" t="inlineStr">
        <is>
          <t>Miron Bunakov|2025-03-20|LCM|400|Free|251.29|55th SNAG (Seniors)|FIN|False</t>
        </is>
      </c>
      <c r="AE2545" s="53">
        <f>G2545+L2545/1000+ROW()/1000000000</f>
        <v/>
      </c>
      <c r="AF2545" s="35">
        <f>IF(C2545&lt;&gt;"Grayson Coulter","",COUNTIFS($C$5:$C$2991,"Grayson Coulter",$Q$5:$Q$2991,Q2545,$AE$5:$AE$2991,"&lt;="&amp;AE2545,$R$5:$R$2991,"&lt;"&amp;R2545))</f>
        <v/>
      </c>
      <c r="AG2545" s="35">
        <f>IF(OR(C2545&lt;&gt;"Grayson Coulter",G2545&lt;'00_Control'!$B$7),"",--(AF2545&lt;5))</f>
        <v/>
      </c>
      <c r="AH2545" s="35">
        <f>IF(OR(C2545&lt;&gt;"Grayson Coulter",G2545&lt;'00_Control'!$B$7),"",--(AF2545&lt;10))</f>
        <v/>
      </c>
      <c r="AI2545" s="35">
        <f>IF(AND(C2545="Grayson Coulter",G2545&gt;='00_Control'!$B$7),"YES","NO")</f>
        <v/>
      </c>
      <c r="AJ2545" s="33" t="inlineStr">
        <is>
          <t>OK</t>
        </is>
      </c>
    </row>
    <row r="2546">
      <c r="A2546" s="33" t="inlineStr">
        <is>
          <t>SM002542</t>
        </is>
      </c>
      <c r="B2546" s="33" t="inlineStr">
        <is>
          <t>SW002</t>
        </is>
      </c>
      <c r="C2546" s="33" t="inlineStr">
        <is>
          <t>Miron Bunakov</t>
        </is>
      </c>
      <c r="D2546" s="33" t="inlineStr">
        <is>
          <t>SwimCloud</t>
        </is>
      </c>
      <c r="E2546" s="33" t="inlineStr">
        <is>
          <t>3360584</t>
        </is>
      </c>
      <c r="F2546" s="33" t="inlineStr">
        <is>
          <t>157300244</t>
        </is>
      </c>
      <c r="G2546" s="51" t="n">
        <v>45737</v>
      </c>
      <c r="H2546" s="33" t="inlineStr">
        <is>
          <t>55th SNAG (Seniors)</t>
        </is>
      </c>
      <c r="I2546" s="33" t="inlineStr">
        <is>
          <t>340532</t>
        </is>
      </c>
      <c r="J2546" s="33" t="inlineStr"/>
      <c r="K2546" s="33" t="inlineStr">
        <is>
          <t>PRE</t>
        </is>
      </c>
      <c r="L2546" s="35">
        <f>IF(K2546="FIN",3,IF(OR(K2546="SEM",K2546="SEMI"),2,IF(OR(K2546="PRE",K2546="HEAT"),1,IF(V2546="YES",4,2))))</f>
        <v/>
      </c>
      <c r="M2546" s="33" t="inlineStr">
        <is>
          <t>LCM</t>
        </is>
      </c>
      <c r="N2546" s="33" t="n">
        <v>200</v>
      </c>
      <c r="O2546" s="33" t="inlineStr">
        <is>
          <t>Free</t>
        </is>
      </c>
      <c r="P2546" s="33" t="inlineStr">
        <is>
          <t>200 Free</t>
        </is>
      </c>
      <c r="Q2546" s="33" t="inlineStr">
        <is>
          <t>LCM_200_FREE</t>
        </is>
      </c>
      <c r="R2546" s="36" t="n">
        <v>119.03</v>
      </c>
      <c r="S2546" s="35">
        <f>IF(R2546="","",IF(R2546&gt;=60,INT(R2546/60)&amp;":"&amp;TEXT(MOD(R2546,60),"00.00"),TEXT(R2546,"0.00")))</f>
        <v/>
      </c>
      <c r="T2546" s="52">
        <f>IFERROR((G2546-INDEX('01_Swimmers'!$E$5:$E$22,MATCH(B2546,'01_Swimmers'!$A$5:$A$22,0)))/'00_Control'!$B$10,"")</f>
        <v/>
      </c>
      <c r="U2546" s="35">
        <f>IF(T2546="","",INT(T2546))</f>
        <v/>
      </c>
      <c r="V2546" s="33" t="inlineStr">
        <is>
          <t>NO</t>
        </is>
      </c>
      <c r="W2546" s="33" t="inlineStr">
        <is>
          <t>YES</t>
        </is>
      </c>
      <c r="X2546" s="33" t="inlineStr">
        <is>
          <t>NO</t>
        </is>
      </c>
      <c r="Y2546" s="33" t="n">
        <v>6</v>
      </c>
      <c r="Z2546" s="33" t="n">
        <v>0</v>
      </c>
      <c r="AA2546" s="33" t="inlineStr">
        <is>
          <t>2</t>
        </is>
      </c>
      <c r="AB2546" s="33" t="inlineStr">
        <is>
          <t>https://www.swimcloud.com/results/340532/event/401/?id=157300244#time157300244</t>
        </is>
      </c>
      <c r="AC2546" s="33" t="inlineStr">
        <is>
          <t>SwimCloud API v6 2026-10-08</t>
        </is>
      </c>
      <c r="AD2546" s="33" t="inlineStr">
        <is>
          <t>Miron Bunakov|2025-03-21|LCM|200|Free|119.03|55th SNAG (Seniors)|PRE|False</t>
        </is>
      </c>
      <c r="AE2546" s="53">
        <f>G2546+L2546/1000+ROW()/1000000000</f>
        <v/>
      </c>
      <c r="AF2546" s="35">
        <f>IF(C2546&lt;&gt;"Grayson Coulter","",COUNTIFS($C$5:$C$2991,"Grayson Coulter",$Q$5:$Q$2991,Q2546,$AE$5:$AE$2991,"&lt;="&amp;AE2546,$R$5:$R$2991,"&lt;"&amp;R2546))</f>
        <v/>
      </c>
      <c r="AG2546" s="35">
        <f>IF(OR(C2546&lt;&gt;"Grayson Coulter",G2546&lt;'00_Control'!$B$7),"",--(AF2546&lt;5))</f>
        <v/>
      </c>
      <c r="AH2546" s="35">
        <f>IF(OR(C2546&lt;&gt;"Grayson Coulter",G2546&lt;'00_Control'!$B$7),"",--(AF2546&lt;10))</f>
        <v/>
      </c>
      <c r="AI2546" s="35">
        <f>IF(AND(C2546="Grayson Coulter",G2546&gt;='00_Control'!$B$7),"YES","NO")</f>
        <v/>
      </c>
      <c r="AJ2546" s="33" t="inlineStr">
        <is>
          <t>OK</t>
        </is>
      </c>
    </row>
    <row r="2547">
      <c r="A2547" s="33" t="inlineStr">
        <is>
          <t>SM002543</t>
        </is>
      </c>
      <c r="B2547" s="33" t="inlineStr">
        <is>
          <t>SW002</t>
        </is>
      </c>
      <c r="C2547" s="33" t="inlineStr">
        <is>
          <t>Miron Bunakov</t>
        </is>
      </c>
      <c r="D2547" s="33" t="inlineStr">
        <is>
          <t>SwimCloud</t>
        </is>
      </c>
      <c r="E2547" s="33" t="inlineStr">
        <is>
          <t>3360584</t>
        </is>
      </c>
      <c r="F2547" s="33" t="inlineStr">
        <is>
          <t>157300245</t>
        </is>
      </c>
      <c r="G2547" s="51" t="n">
        <v>45737</v>
      </c>
      <c r="H2547" s="33" t="inlineStr">
        <is>
          <t>55th SNAG (Seniors)</t>
        </is>
      </c>
      <c r="I2547" s="33" t="inlineStr">
        <is>
          <t>340532</t>
        </is>
      </c>
      <c r="J2547" s="33" t="inlineStr"/>
      <c r="K2547" s="33" t="inlineStr">
        <is>
          <t>FIN</t>
        </is>
      </c>
      <c r="L2547" s="35">
        <f>IF(K2547="FIN",3,IF(OR(K2547="SEM",K2547="SEMI"),2,IF(OR(K2547="PRE",K2547="HEAT"),1,IF(V2547="YES",4,2))))</f>
        <v/>
      </c>
      <c r="M2547" s="33" t="inlineStr">
        <is>
          <t>LCM</t>
        </is>
      </c>
      <c r="N2547" s="33" t="n">
        <v>200</v>
      </c>
      <c r="O2547" s="33" t="inlineStr">
        <is>
          <t>Free</t>
        </is>
      </c>
      <c r="P2547" s="33" t="inlineStr">
        <is>
          <t>200 Free</t>
        </is>
      </c>
      <c r="Q2547" s="33" t="inlineStr">
        <is>
          <t>LCM_200_FREE</t>
        </is>
      </c>
      <c r="R2547" s="36" t="n">
        <v>116.3</v>
      </c>
      <c r="S2547" s="35">
        <f>IF(R2547="","",IF(R2547&gt;=60,INT(R2547/60)&amp;":"&amp;TEXT(MOD(R2547,60),"00.00"),TEXT(R2547,"0.00")))</f>
        <v/>
      </c>
      <c r="T2547" s="52">
        <f>IFERROR((G2547-INDEX('01_Swimmers'!$E$5:$E$22,MATCH(B2547,'01_Swimmers'!$A$5:$A$22,0)))/'00_Control'!$B$10,"")</f>
        <v/>
      </c>
      <c r="U2547" s="35">
        <f>IF(T2547="","",INT(T2547))</f>
        <v/>
      </c>
      <c r="V2547" s="33" t="inlineStr">
        <is>
          <t>NO</t>
        </is>
      </c>
      <c r="W2547" s="33" t="inlineStr">
        <is>
          <t>YES</t>
        </is>
      </c>
      <c r="X2547" s="33" t="inlineStr">
        <is>
          <t>NO</t>
        </is>
      </c>
      <c r="Y2547" s="33" t="n">
        <v>2</v>
      </c>
      <c r="Z2547" s="33" t="n">
        <v>5</v>
      </c>
      <c r="AA2547" s="33" t="inlineStr">
        <is>
          <t>2</t>
        </is>
      </c>
      <c r="AB2547" s="33" t="inlineStr">
        <is>
          <t>https://www.swimcloud.com/results/340532/event/401/?id=157300245#time157300245</t>
        </is>
      </c>
      <c r="AC2547" s="33" t="inlineStr">
        <is>
          <t>SwimCloud API v6 2026-10-08</t>
        </is>
      </c>
      <c r="AD2547" s="33" t="inlineStr">
        <is>
          <t>Miron Bunakov|2025-03-21|LCM|200|Free|116.3|55th SNAG (Seniors)|FIN|False</t>
        </is>
      </c>
      <c r="AE2547" s="53">
        <f>G2547+L2547/1000+ROW()/1000000000</f>
        <v/>
      </c>
      <c r="AF2547" s="35">
        <f>IF(C2547&lt;&gt;"Grayson Coulter","",COUNTIFS($C$5:$C$2991,"Grayson Coulter",$Q$5:$Q$2991,Q2547,$AE$5:$AE$2991,"&lt;="&amp;AE2547,$R$5:$R$2991,"&lt;"&amp;R2547))</f>
        <v/>
      </c>
      <c r="AG2547" s="35">
        <f>IF(OR(C2547&lt;&gt;"Grayson Coulter",G2547&lt;'00_Control'!$B$7),"",--(AF2547&lt;5))</f>
        <v/>
      </c>
      <c r="AH2547" s="35">
        <f>IF(OR(C2547&lt;&gt;"Grayson Coulter",G2547&lt;'00_Control'!$B$7),"",--(AF2547&lt;10))</f>
        <v/>
      </c>
      <c r="AI2547" s="35">
        <f>IF(AND(C2547="Grayson Coulter",G2547&gt;='00_Control'!$B$7),"YES","NO")</f>
        <v/>
      </c>
      <c r="AJ2547" s="33" t="inlineStr">
        <is>
          <t>OK</t>
        </is>
      </c>
    </row>
    <row r="2548">
      <c r="A2548" s="33" t="inlineStr">
        <is>
          <t>SM002544</t>
        </is>
      </c>
      <c r="B2548" s="33" t="inlineStr">
        <is>
          <t>SW002</t>
        </is>
      </c>
      <c r="C2548" s="33" t="inlineStr">
        <is>
          <t>Miron Bunakov</t>
        </is>
      </c>
      <c r="D2548" s="33" t="inlineStr">
        <is>
          <t>SwimCloud</t>
        </is>
      </c>
      <c r="E2548" s="33" t="inlineStr">
        <is>
          <t>3360584</t>
        </is>
      </c>
      <c r="F2548" s="33" t="inlineStr">
        <is>
          <t>150920103</t>
        </is>
      </c>
      <c r="G2548" s="51" t="n">
        <v>45773</v>
      </c>
      <c r="H2548" s="33" t="inlineStr">
        <is>
          <t>Dragons Den International Inv</t>
        </is>
      </c>
      <c r="I2548" s="33" t="inlineStr">
        <is>
          <t>342748</t>
        </is>
      </c>
      <c r="J2548" s="33" t="inlineStr"/>
      <c r="K2548" s="33" t="inlineStr">
        <is>
          <t>TIM</t>
        </is>
      </c>
      <c r="L2548" s="35">
        <f>IF(K2548="FIN",3,IF(OR(K2548="SEM",K2548="SEMI"),2,IF(OR(K2548="PRE",K2548="HEAT"),1,IF(V2548="YES",4,2))))</f>
        <v/>
      </c>
      <c r="M2548" s="33" t="inlineStr">
        <is>
          <t>LCM</t>
        </is>
      </c>
      <c r="N2548" s="33" t="n">
        <v>100</v>
      </c>
      <c r="O2548" s="33" t="inlineStr">
        <is>
          <t>Free</t>
        </is>
      </c>
      <c r="P2548" s="33" t="inlineStr">
        <is>
          <t>100 Free</t>
        </is>
      </c>
      <c r="Q2548" s="33" t="inlineStr">
        <is>
          <t>LCM_100_FREE</t>
        </is>
      </c>
      <c r="R2548" s="36" t="n">
        <v>53.09</v>
      </c>
      <c r="S2548" s="35">
        <f>IF(R2548="","",IF(R2548&gt;=60,INT(R2548/60)&amp;":"&amp;TEXT(MOD(R2548,60),"00.00"),TEXT(R2548,"0.00")))</f>
        <v/>
      </c>
      <c r="T2548" s="52">
        <f>IFERROR((G2548-INDEX('01_Swimmers'!$E$5:$E$22,MATCH(B2548,'01_Swimmers'!$A$5:$A$22,0)))/'00_Control'!$B$10,"")</f>
        <v/>
      </c>
      <c r="U2548" s="35">
        <f>IF(T2548="","",INT(T2548))</f>
        <v/>
      </c>
      <c r="V2548" s="33" t="inlineStr">
        <is>
          <t>NO</t>
        </is>
      </c>
      <c r="W2548" s="33" t="inlineStr">
        <is>
          <t>YES</t>
        </is>
      </c>
      <c r="X2548" s="33" t="inlineStr">
        <is>
          <t>NO</t>
        </is>
      </c>
      <c r="Y2548" s="33" t="n">
        <v>20</v>
      </c>
      <c r="Z2548" s="33" t="n">
        <v>4</v>
      </c>
      <c r="AA2548" s="33" t="inlineStr">
        <is>
          <t>1</t>
        </is>
      </c>
      <c r="AB2548" s="33" t="inlineStr">
        <is>
          <t>https://www.swimcloud.com/results/342748/event/207/?id=150920103#time150920103</t>
        </is>
      </c>
      <c r="AC2548" s="33" t="inlineStr">
        <is>
          <t>SwimCloud API v6 2026-10-08</t>
        </is>
      </c>
      <c r="AD2548" s="33" t="inlineStr">
        <is>
          <t>Miron Bunakov|2025-04-26|LCM|100|Free|53.09|Dragons Den International Inv|TIM|False</t>
        </is>
      </c>
      <c r="AE2548" s="53">
        <f>G2548+L2548/1000+ROW()/1000000000</f>
        <v/>
      </c>
      <c r="AF2548" s="35">
        <f>IF(C2548&lt;&gt;"Grayson Coulter","",COUNTIFS($C$5:$C$2991,"Grayson Coulter",$Q$5:$Q$2991,Q2548,$AE$5:$AE$2991,"&lt;="&amp;AE2548,$R$5:$R$2991,"&lt;"&amp;R2548))</f>
        <v/>
      </c>
      <c r="AG2548" s="35">
        <f>IF(OR(C2548&lt;&gt;"Grayson Coulter",G2548&lt;'00_Control'!$B$7),"",--(AF2548&lt;5))</f>
        <v/>
      </c>
      <c r="AH2548" s="35">
        <f>IF(OR(C2548&lt;&gt;"Grayson Coulter",G2548&lt;'00_Control'!$B$7),"",--(AF2548&lt;10))</f>
        <v/>
      </c>
      <c r="AI2548" s="35">
        <f>IF(AND(C2548="Grayson Coulter",G2548&gt;='00_Control'!$B$7),"YES","NO")</f>
        <v/>
      </c>
      <c r="AJ2548" s="33" t="inlineStr">
        <is>
          <t>OK</t>
        </is>
      </c>
    </row>
    <row r="2549">
      <c r="A2549" s="33" t="inlineStr">
        <is>
          <t>SM002545</t>
        </is>
      </c>
      <c r="B2549" s="33" t="inlineStr">
        <is>
          <t>SW002</t>
        </is>
      </c>
      <c r="C2549" s="33" t="inlineStr">
        <is>
          <t>Miron Bunakov</t>
        </is>
      </c>
      <c r="D2549" s="33" t="inlineStr">
        <is>
          <t>SwimCloud</t>
        </is>
      </c>
      <c r="E2549" s="33" t="inlineStr">
        <is>
          <t>3360584</t>
        </is>
      </c>
      <c r="F2549" s="33" t="inlineStr">
        <is>
          <t>150919541</t>
        </is>
      </c>
      <c r="G2549" s="51" t="n">
        <v>45774</v>
      </c>
      <c r="H2549" s="33" t="inlineStr">
        <is>
          <t>Dragons Den International Inv</t>
        </is>
      </c>
      <c r="I2549" s="33" t="inlineStr">
        <is>
          <t>342748</t>
        </is>
      </c>
      <c r="J2549" s="33" t="inlineStr"/>
      <c r="K2549" s="33" t="inlineStr">
        <is>
          <t>TIM</t>
        </is>
      </c>
      <c r="L2549" s="35">
        <f>IF(K2549="FIN",3,IF(OR(K2549="SEM",K2549="SEMI"),2,IF(OR(K2549="PRE",K2549="HEAT"),1,IF(V2549="YES",4,2))))</f>
        <v/>
      </c>
      <c r="M2549" s="33" t="inlineStr">
        <is>
          <t>LCM</t>
        </is>
      </c>
      <c r="N2549" s="33" t="n">
        <v>100</v>
      </c>
      <c r="O2549" s="33" t="inlineStr">
        <is>
          <t>Fly</t>
        </is>
      </c>
      <c r="P2549" s="33" t="inlineStr">
        <is>
          <t>100 Fly</t>
        </is>
      </c>
      <c r="Q2549" s="33" t="inlineStr">
        <is>
          <t>LCM_100_FLY</t>
        </is>
      </c>
      <c r="R2549" s="36" t="n">
        <v>58.81</v>
      </c>
      <c r="S2549" s="35">
        <f>IF(R2549="","",IF(R2549&gt;=60,INT(R2549/60)&amp;":"&amp;TEXT(MOD(R2549,60),"00.00"),TEXT(R2549,"0.00")))</f>
        <v/>
      </c>
      <c r="T2549" s="52">
        <f>IFERROR((G2549-INDEX('01_Swimmers'!$E$5:$E$22,MATCH(B2549,'01_Swimmers'!$A$5:$A$22,0)))/'00_Control'!$B$10,"")</f>
        <v/>
      </c>
      <c r="U2549" s="35">
        <f>IF(T2549="","",INT(T2549))</f>
        <v/>
      </c>
      <c r="V2549" s="33" t="inlineStr">
        <is>
          <t>NO</t>
        </is>
      </c>
      <c r="W2549" s="33" t="inlineStr">
        <is>
          <t>YES</t>
        </is>
      </c>
      <c r="X2549" s="33" t="inlineStr">
        <is>
          <t>NO</t>
        </is>
      </c>
      <c r="Y2549" s="33" t="n">
        <v>8</v>
      </c>
      <c r="Z2549" s="33" t="n">
        <v>4</v>
      </c>
      <c r="AA2549" s="33" t="inlineStr">
        <is>
          <t>1</t>
        </is>
      </c>
      <c r="AB2549" s="33" t="inlineStr">
        <is>
          <t>https://www.swimcloud.com/results/342748/event/406/?id=150919541#time150919541</t>
        </is>
      </c>
      <c r="AC2549" s="33" t="inlineStr">
        <is>
          <t>SwimCloud API v6 2026-10-08</t>
        </is>
      </c>
      <c r="AD2549" s="33" t="inlineStr">
        <is>
          <t>Miron Bunakov|2025-04-27|LCM|100|Fly|58.81|Dragons Den International Inv|TIM|False</t>
        </is>
      </c>
      <c r="AE2549" s="53">
        <f>G2549+L2549/1000+ROW()/1000000000</f>
        <v/>
      </c>
      <c r="AF2549" s="35">
        <f>IF(C2549&lt;&gt;"Grayson Coulter","",COUNTIFS($C$5:$C$2991,"Grayson Coulter",$Q$5:$Q$2991,Q2549,$AE$5:$AE$2991,"&lt;="&amp;AE2549,$R$5:$R$2991,"&lt;"&amp;R2549))</f>
        <v/>
      </c>
      <c r="AG2549" s="35">
        <f>IF(OR(C2549&lt;&gt;"Grayson Coulter",G2549&lt;'00_Control'!$B$7),"",--(AF2549&lt;5))</f>
        <v/>
      </c>
      <c r="AH2549" s="35">
        <f>IF(OR(C2549&lt;&gt;"Grayson Coulter",G2549&lt;'00_Control'!$B$7),"",--(AF2549&lt;10))</f>
        <v/>
      </c>
      <c r="AI2549" s="35">
        <f>IF(AND(C2549="Grayson Coulter",G2549&gt;='00_Control'!$B$7),"YES","NO")</f>
        <v/>
      </c>
      <c r="AJ2549" s="33" t="inlineStr">
        <is>
          <t>OK</t>
        </is>
      </c>
    </row>
    <row r="2550">
      <c r="A2550" s="33" t="inlineStr">
        <is>
          <t>SM002546</t>
        </is>
      </c>
      <c r="B2550" s="33" t="inlineStr">
        <is>
          <t>SW002</t>
        </is>
      </c>
      <c r="C2550" s="33" t="inlineStr">
        <is>
          <t>Miron Bunakov</t>
        </is>
      </c>
      <c r="D2550" s="33" t="inlineStr">
        <is>
          <t>SwimCloud</t>
        </is>
      </c>
      <c r="E2550" s="33" t="inlineStr">
        <is>
          <t>3360584</t>
        </is>
      </c>
      <c r="F2550" s="33" t="inlineStr">
        <is>
          <t>150920042</t>
        </is>
      </c>
      <c r="G2550" s="51" t="n">
        <v>45774</v>
      </c>
      <c r="H2550" s="33" t="inlineStr">
        <is>
          <t>Dragons Den International Inv</t>
        </is>
      </c>
      <c r="I2550" s="33" t="inlineStr">
        <is>
          <t>342748</t>
        </is>
      </c>
      <c r="J2550" s="33" t="inlineStr"/>
      <c r="K2550" s="33" t="inlineStr">
        <is>
          <t>TIM</t>
        </is>
      </c>
      <c r="L2550" s="35">
        <f>IF(K2550="FIN",3,IF(OR(K2550="SEM",K2550="SEMI"),2,IF(OR(K2550="PRE",K2550="HEAT"),1,IF(V2550="YES",4,2))))</f>
        <v/>
      </c>
      <c r="M2550" s="33" t="inlineStr">
        <is>
          <t>LCM</t>
        </is>
      </c>
      <c r="N2550" s="33" t="n">
        <v>200</v>
      </c>
      <c r="O2550" s="33" t="inlineStr">
        <is>
          <t>Free</t>
        </is>
      </c>
      <c r="P2550" s="33" t="inlineStr">
        <is>
          <t>200 Free</t>
        </is>
      </c>
      <c r="Q2550" s="33" t="inlineStr">
        <is>
          <t>LCM_200_FREE</t>
        </is>
      </c>
      <c r="R2550" s="36" t="n">
        <v>118.95</v>
      </c>
      <c r="S2550" s="35">
        <f>IF(R2550="","",IF(R2550&gt;=60,INT(R2550/60)&amp;":"&amp;TEXT(MOD(R2550,60),"00.00"),TEXT(R2550,"0.00")))</f>
        <v/>
      </c>
      <c r="T2550" s="52">
        <f>IFERROR((G2550-INDEX('01_Swimmers'!$E$5:$E$22,MATCH(B2550,'01_Swimmers'!$A$5:$A$22,0)))/'00_Control'!$B$10,"")</f>
        <v/>
      </c>
      <c r="U2550" s="35">
        <f>IF(T2550="","",INT(T2550))</f>
        <v/>
      </c>
      <c r="V2550" s="33" t="inlineStr">
        <is>
          <t>NO</t>
        </is>
      </c>
      <c r="W2550" s="33" t="inlineStr">
        <is>
          <t>YES</t>
        </is>
      </c>
      <c r="X2550" s="33" t="inlineStr">
        <is>
          <t>NO</t>
        </is>
      </c>
      <c r="Y2550" s="33" t="n">
        <v>9</v>
      </c>
      <c r="Z2550" s="33" t="n">
        <v>4</v>
      </c>
      <c r="AA2550" s="33" t="inlineStr">
        <is>
          <t>1</t>
        </is>
      </c>
      <c r="AB2550" s="33" t="inlineStr">
        <is>
          <t>https://www.swimcloud.com/results/342748/event/501/?id=150920042#time150920042</t>
        </is>
      </c>
      <c r="AC2550" s="33" t="inlineStr">
        <is>
          <t>SwimCloud API v6 2026-10-08</t>
        </is>
      </c>
      <c r="AD2550" s="33" t="inlineStr">
        <is>
          <t>Miron Bunakov|2025-04-27|LCM|200|Free|118.95|Dragons Den International Inv|TIM|False</t>
        </is>
      </c>
      <c r="AE2550" s="53">
        <f>G2550+L2550/1000+ROW()/1000000000</f>
        <v/>
      </c>
      <c r="AF2550" s="35">
        <f>IF(C2550&lt;&gt;"Grayson Coulter","",COUNTIFS($C$5:$C$2991,"Grayson Coulter",$Q$5:$Q$2991,Q2550,$AE$5:$AE$2991,"&lt;="&amp;AE2550,$R$5:$R$2991,"&lt;"&amp;R2550))</f>
        <v/>
      </c>
      <c r="AG2550" s="35">
        <f>IF(OR(C2550&lt;&gt;"Grayson Coulter",G2550&lt;'00_Control'!$B$7),"",--(AF2550&lt;5))</f>
        <v/>
      </c>
      <c r="AH2550" s="35">
        <f>IF(OR(C2550&lt;&gt;"Grayson Coulter",G2550&lt;'00_Control'!$B$7),"",--(AF2550&lt;10))</f>
        <v/>
      </c>
      <c r="AI2550" s="35">
        <f>IF(AND(C2550="Grayson Coulter",G2550&gt;='00_Control'!$B$7),"YES","NO")</f>
        <v/>
      </c>
      <c r="AJ2550" s="33" t="inlineStr">
        <is>
          <t>OK</t>
        </is>
      </c>
    </row>
    <row r="2551">
      <c r="A2551" s="33" t="inlineStr">
        <is>
          <t>SM002547</t>
        </is>
      </c>
      <c r="B2551" s="33" t="inlineStr">
        <is>
          <t>SW002</t>
        </is>
      </c>
      <c r="C2551" s="33" t="inlineStr">
        <is>
          <t>Miron Bunakov</t>
        </is>
      </c>
      <c r="D2551" s="33" t="inlineStr">
        <is>
          <t>SwimCloud</t>
        </is>
      </c>
      <c r="E2551" s="33" t="inlineStr">
        <is>
          <t>3360584</t>
        </is>
      </c>
      <c r="F2551" s="33" t="inlineStr">
        <is>
          <t>158675064</t>
        </is>
      </c>
      <c r="G2551" s="51" t="n">
        <v>45928</v>
      </c>
      <c r="H2551" s="33" t="inlineStr">
        <is>
          <t>PX SC Invitational 11 &amp; Over</t>
        </is>
      </c>
      <c r="I2551" s="33" t="inlineStr">
        <is>
          <t>355307</t>
        </is>
      </c>
      <c r="J2551" s="33" t="inlineStr"/>
      <c r="K2551" s="33" t="inlineStr">
        <is>
          <t>TIM</t>
        </is>
      </c>
      <c r="L2551" s="35">
        <f>IF(K2551="FIN",3,IF(OR(K2551="SEM",K2551="SEMI"),2,IF(OR(K2551="PRE",K2551="HEAT"),1,IF(V2551="YES",4,2))))</f>
        <v/>
      </c>
      <c r="M2551" s="33" t="inlineStr">
        <is>
          <t>SCM</t>
        </is>
      </c>
      <c r="N2551" s="33" t="n">
        <v>100</v>
      </c>
      <c r="O2551" s="33" t="inlineStr">
        <is>
          <t>Fly</t>
        </is>
      </c>
      <c r="P2551" s="33" t="inlineStr">
        <is>
          <t>100 Fly</t>
        </is>
      </c>
      <c r="Q2551" s="33" t="inlineStr">
        <is>
          <t>SCM_100_FLY</t>
        </is>
      </c>
      <c r="R2551" s="36" t="n">
        <v>57.22</v>
      </c>
      <c r="S2551" s="35">
        <f>IF(R2551="","",IF(R2551&gt;=60,INT(R2551/60)&amp;":"&amp;TEXT(MOD(R2551,60),"00.00"),TEXT(R2551,"0.00")))</f>
        <v/>
      </c>
      <c r="T2551" s="52">
        <f>IFERROR((G2551-INDEX('01_Swimmers'!$E$5:$E$22,MATCH(B2551,'01_Swimmers'!$A$5:$A$22,0)))/'00_Control'!$B$10,"")</f>
        <v/>
      </c>
      <c r="U2551" s="35">
        <f>IF(T2551="","",INT(T2551))</f>
        <v/>
      </c>
      <c r="V2551" s="33" t="inlineStr">
        <is>
          <t>NO</t>
        </is>
      </c>
      <c r="W2551" s="33" t="inlineStr">
        <is>
          <t>YES</t>
        </is>
      </c>
      <c r="X2551" s="33" t="inlineStr">
        <is>
          <t>NO</t>
        </is>
      </c>
      <c r="Y2551" s="33" t="n">
        <v>6</v>
      </c>
      <c r="Z2551" s="33" t="n">
        <v>5</v>
      </c>
      <c r="AA2551" s="33" t="inlineStr">
        <is>
          <t>1</t>
        </is>
      </c>
      <c r="AB2551" s="33" t="inlineStr">
        <is>
          <t>https://www.swimcloud.com/results/355307/event/203/?id=158675064#time158675064</t>
        </is>
      </c>
      <c r="AC2551" s="33" t="inlineStr">
        <is>
          <t>SwimCloud API v6 2026-10-08</t>
        </is>
      </c>
      <c r="AD2551" s="33" t="inlineStr">
        <is>
          <t>Miron Bunakov|2025-09-28|SCM|100|Fly|57.22|PX SC Invitational 11 &amp; Over|TIM|False</t>
        </is>
      </c>
      <c r="AE2551" s="53">
        <f>G2551+L2551/1000+ROW()/1000000000</f>
        <v/>
      </c>
      <c r="AF2551" s="35">
        <f>IF(C2551&lt;&gt;"Grayson Coulter","",COUNTIFS($C$5:$C$2991,"Grayson Coulter",$Q$5:$Q$2991,Q2551,$AE$5:$AE$2991,"&lt;="&amp;AE2551,$R$5:$R$2991,"&lt;"&amp;R2551))</f>
        <v/>
      </c>
      <c r="AG2551" s="35">
        <f>IF(OR(C2551&lt;&gt;"Grayson Coulter",G2551&lt;'00_Control'!$B$7),"",--(AF2551&lt;5))</f>
        <v/>
      </c>
      <c r="AH2551" s="35">
        <f>IF(OR(C2551&lt;&gt;"Grayson Coulter",G2551&lt;'00_Control'!$B$7),"",--(AF2551&lt;10))</f>
        <v/>
      </c>
      <c r="AI2551" s="35">
        <f>IF(AND(C2551="Grayson Coulter",G2551&gt;='00_Control'!$B$7),"YES","NO")</f>
        <v/>
      </c>
      <c r="AJ2551" s="33" t="inlineStr">
        <is>
          <t>OK</t>
        </is>
      </c>
    </row>
    <row r="2552">
      <c r="A2552" s="33" t="inlineStr">
        <is>
          <t>SM002548</t>
        </is>
      </c>
      <c r="B2552" s="33" t="inlineStr">
        <is>
          <t>SW002</t>
        </is>
      </c>
      <c r="C2552" s="33" t="inlineStr">
        <is>
          <t>Miron Bunakov</t>
        </is>
      </c>
      <c r="D2552" s="33" t="inlineStr">
        <is>
          <t>SwimCloud</t>
        </is>
      </c>
      <c r="E2552" s="33" t="inlineStr">
        <is>
          <t>3360584</t>
        </is>
      </c>
      <c r="F2552" s="33" t="inlineStr">
        <is>
          <t>161828555</t>
        </is>
      </c>
      <c r="G2552" s="51" t="n">
        <v>45961</v>
      </c>
      <c r="H2552" s="33" t="inlineStr">
        <is>
          <t>Nexus Sprint SC Meet</t>
        </is>
      </c>
      <c r="I2552" s="33" t="inlineStr">
        <is>
          <t>361502</t>
        </is>
      </c>
      <c r="J2552" s="33" t="inlineStr"/>
      <c r="K2552" s="33" t="inlineStr">
        <is>
          <t>TIM</t>
        </is>
      </c>
      <c r="L2552" s="35">
        <f>IF(K2552="FIN",3,IF(OR(K2552="SEM",K2552="SEMI"),2,IF(OR(K2552="PRE",K2552="HEAT"),1,IF(V2552="YES",4,2))))</f>
        <v/>
      </c>
      <c r="M2552" s="33" t="inlineStr">
        <is>
          <t>SCM</t>
        </is>
      </c>
      <c r="N2552" s="33" t="n">
        <v>100</v>
      </c>
      <c r="O2552" s="33" t="inlineStr">
        <is>
          <t>Free</t>
        </is>
      </c>
      <c r="P2552" s="33" t="inlineStr">
        <is>
          <t>100 Free</t>
        </is>
      </c>
      <c r="Q2552" s="33" t="inlineStr">
        <is>
          <t>SCM_100_FREE</t>
        </is>
      </c>
      <c r="R2552" s="36" t="n">
        <v>51.31</v>
      </c>
      <c r="S2552" s="35">
        <f>IF(R2552="","",IF(R2552&gt;=60,INT(R2552/60)&amp;":"&amp;TEXT(MOD(R2552,60),"00.00"),TEXT(R2552,"0.00")))</f>
        <v/>
      </c>
      <c r="T2552" s="52">
        <f>IFERROR((G2552-INDEX('01_Swimmers'!$E$5:$E$22,MATCH(B2552,'01_Swimmers'!$A$5:$A$22,0)))/'00_Control'!$B$10,"")</f>
        <v/>
      </c>
      <c r="U2552" s="35">
        <f>IF(T2552="","",INT(T2552))</f>
        <v/>
      </c>
      <c r="V2552" s="33" t="inlineStr">
        <is>
          <t>NO</t>
        </is>
      </c>
      <c r="W2552" s="33" t="inlineStr">
        <is>
          <t>YES</t>
        </is>
      </c>
      <c r="X2552" s="33" t="inlineStr">
        <is>
          <t>NO</t>
        </is>
      </c>
      <c r="Y2552" s="33" t="n">
        <v>10</v>
      </c>
      <c r="Z2552" s="33" t="n">
        <v>4</v>
      </c>
      <c r="AA2552" s="33" t="inlineStr">
        <is>
          <t>1</t>
        </is>
      </c>
      <c r="AB2552" s="33" t="inlineStr">
        <is>
          <t>https://www.swimcloud.com/results/361502/event/9/?id=161828555#time161828555</t>
        </is>
      </c>
      <c r="AC2552" s="33" t="inlineStr">
        <is>
          <t>SwimCloud API v6 2026-10-08</t>
        </is>
      </c>
      <c r="AD2552" s="33" t="inlineStr">
        <is>
          <t>Miron Bunakov|2025-10-31|SCM|100|Free|51.31|Nexus Sprint SC Meet|TIM|False</t>
        </is>
      </c>
      <c r="AE2552" s="53">
        <f>G2552+L2552/1000+ROW()/1000000000</f>
        <v/>
      </c>
      <c r="AF2552" s="35">
        <f>IF(C2552&lt;&gt;"Grayson Coulter","",COUNTIFS($C$5:$C$2991,"Grayson Coulter",$Q$5:$Q$2991,Q2552,$AE$5:$AE$2991,"&lt;="&amp;AE2552,$R$5:$R$2991,"&lt;"&amp;R2552))</f>
        <v/>
      </c>
      <c r="AG2552" s="35">
        <f>IF(OR(C2552&lt;&gt;"Grayson Coulter",G2552&lt;'00_Control'!$B$7),"",--(AF2552&lt;5))</f>
        <v/>
      </c>
      <c r="AH2552" s="35">
        <f>IF(OR(C2552&lt;&gt;"Grayson Coulter",G2552&lt;'00_Control'!$B$7),"",--(AF2552&lt;10))</f>
        <v/>
      </c>
      <c r="AI2552" s="35">
        <f>IF(AND(C2552="Grayson Coulter",G2552&gt;='00_Control'!$B$7),"YES","NO")</f>
        <v/>
      </c>
      <c r="AJ2552" s="33" t="inlineStr">
        <is>
          <t>OK</t>
        </is>
      </c>
    </row>
    <row r="2553">
      <c r="A2553" s="33" t="inlineStr">
        <is>
          <t>SM002549</t>
        </is>
      </c>
      <c r="B2553" s="33" t="inlineStr">
        <is>
          <t>SW002</t>
        </is>
      </c>
      <c r="C2553" s="33" t="inlineStr">
        <is>
          <t>Miron Bunakov</t>
        </is>
      </c>
      <c r="D2553" s="33" t="inlineStr">
        <is>
          <t>SwimCloud</t>
        </is>
      </c>
      <c r="E2553" s="33" t="inlineStr">
        <is>
          <t>3360584</t>
        </is>
      </c>
      <c r="F2553" s="33" t="inlineStr">
        <is>
          <t>161742168</t>
        </is>
      </c>
      <c r="G2553" s="51" t="n">
        <v>45969</v>
      </c>
      <c r="H2553" s="33" t="inlineStr">
        <is>
          <t>11th Singapore National Championships</t>
        </is>
      </c>
      <c r="I2553" s="33" t="inlineStr">
        <is>
          <t>361335</t>
        </is>
      </c>
      <c r="J2553" s="33" t="inlineStr"/>
      <c r="K2553" s="33" t="inlineStr">
        <is>
          <t>PRE</t>
        </is>
      </c>
      <c r="L2553" s="35">
        <f>IF(K2553="FIN",3,IF(OR(K2553="SEM",K2553="SEMI"),2,IF(OR(K2553="PRE",K2553="HEAT"),1,IF(V2553="YES",4,2))))</f>
        <v/>
      </c>
      <c r="M2553" s="33" t="inlineStr">
        <is>
          <t>SCM</t>
        </is>
      </c>
      <c r="N2553" s="33" t="n">
        <v>100</v>
      </c>
      <c r="O2553" s="33" t="inlineStr">
        <is>
          <t>Free</t>
        </is>
      </c>
      <c r="P2553" s="33" t="inlineStr">
        <is>
          <t>100 Free</t>
        </is>
      </c>
      <c r="Q2553" s="33" t="inlineStr">
        <is>
          <t>SCM_100_FREE</t>
        </is>
      </c>
      <c r="R2553" s="36" t="n">
        <v>51.28</v>
      </c>
      <c r="S2553" s="35">
        <f>IF(R2553="","",IF(R2553&gt;=60,INT(R2553/60)&amp;":"&amp;TEXT(MOD(R2553,60),"00.00"),TEXT(R2553,"0.00")))</f>
        <v/>
      </c>
      <c r="T2553" s="52">
        <f>IFERROR((G2553-INDEX('01_Swimmers'!$E$5:$E$22,MATCH(B2553,'01_Swimmers'!$A$5:$A$22,0)))/'00_Control'!$B$10,"")</f>
        <v/>
      </c>
      <c r="U2553" s="35">
        <f>IF(T2553="","",INT(T2553))</f>
        <v/>
      </c>
      <c r="V2553" s="33" t="inlineStr">
        <is>
          <t>NO</t>
        </is>
      </c>
      <c r="W2553" s="33" t="inlineStr">
        <is>
          <t>YES</t>
        </is>
      </c>
      <c r="X2553" s="33" t="inlineStr">
        <is>
          <t>NO</t>
        </is>
      </c>
      <c r="Y2553" s="33" t="n">
        <v>3</v>
      </c>
      <c r="Z2553" s="33" t="n">
        <v>6</v>
      </c>
      <c r="AA2553" s="33" t="inlineStr">
        <is>
          <t>8</t>
        </is>
      </c>
      <c r="AB2553" s="33" t="inlineStr">
        <is>
          <t>https://www.swimcloud.com/results/361335/event/203/?id=161742168#time161742168</t>
        </is>
      </c>
      <c r="AC2553" s="33" t="inlineStr">
        <is>
          <t>SwimCloud API v6 2026-10-08</t>
        </is>
      </c>
      <c r="AD2553" s="33" t="inlineStr">
        <is>
          <t>Miron Bunakov|2025-11-08|SCM|100|Free|51.28|11th Singapore National Championships|PRE|False</t>
        </is>
      </c>
      <c r="AE2553" s="53">
        <f>G2553+L2553/1000+ROW()/1000000000</f>
        <v/>
      </c>
      <c r="AF2553" s="35">
        <f>IF(C2553&lt;&gt;"Grayson Coulter","",COUNTIFS($C$5:$C$2991,"Grayson Coulter",$Q$5:$Q$2991,Q2553,$AE$5:$AE$2991,"&lt;="&amp;AE2553,$R$5:$R$2991,"&lt;"&amp;R2553))</f>
        <v/>
      </c>
      <c r="AG2553" s="35">
        <f>IF(OR(C2553&lt;&gt;"Grayson Coulter",G2553&lt;'00_Control'!$B$7),"",--(AF2553&lt;5))</f>
        <v/>
      </c>
      <c r="AH2553" s="35">
        <f>IF(OR(C2553&lt;&gt;"Grayson Coulter",G2553&lt;'00_Control'!$B$7),"",--(AF2553&lt;10))</f>
        <v/>
      </c>
      <c r="AI2553" s="35">
        <f>IF(AND(C2553="Grayson Coulter",G2553&gt;='00_Control'!$B$7),"YES","NO")</f>
        <v/>
      </c>
      <c r="AJ2553" s="33" t="inlineStr">
        <is>
          <t>OK</t>
        </is>
      </c>
    </row>
    <row r="2554">
      <c r="A2554" s="33" t="inlineStr">
        <is>
          <t>SM002550</t>
        </is>
      </c>
      <c r="B2554" s="33" t="inlineStr">
        <is>
          <t>SW002</t>
        </is>
      </c>
      <c r="C2554" s="33" t="inlineStr">
        <is>
          <t>Miron Bunakov</t>
        </is>
      </c>
      <c r="D2554" s="33" t="inlineStr">
        <is>
          <t>SwimCloud</t>
        </is>
      </c>
      <c r="E2554" s="33" t="inlineStr">
        <is>
          <t>3360584</t>
        </is>
      </c>
      <c r="F2554" s="33" t="inlineStr">
        <is>
          <t>161742169</t>
        </is>
      </c>
      <c r="G2554" s="51" t="n">
        <v>45969</v>
      </c>
      <c r="H2554" s="33" t="inlineStr">
        <is>
          <t>11th Singapore National Championships</t>
        </is>
      </c>
      <c r="I2554" s="33" t="inlineStr">
        <is>
          <t>361335</t>
        </is>
      </c>
      <c r="J2554" s="33" t="inlineStr"/>
      <c r="K2554" s="33" t="inlineStr">
        <is>
          <t>FIN</t>
        </is>
      </c>
      <c r="L2554" s="35">
        <f>IF(K2554="FIN",3,IF(OR(K2554="SEM",K2554="SEMI"),2,IF(OR(K2554="PRE",K2554="HEAT"),1,IF(V2554="YES",4,2))))</f>
        <v/>
      </c>
      <c r="M2554" s="33" t="inlineStr">
        <is>
          <t>SCM</t>
        </is>
      </c>
      <c r="N2554" s="33" t="n">
        <v>100</v>
      </c>
      <c r="O2554" s="33" t="inlineStr">
        <is>
          <t>Free</t>
        </is>
      </c>
      <c r="P2554" s="33" t="inlineStr">
        <is>
          <t>100 Free</t>
        </is>
      </c>
      <c r="Q2554" s="33" t="inlineStr">
        <is>
          <t>SCM_100_FREE</t>
        </is>
      </c>
      <c r="R2554" s="36" t="n">
        <v>50.84</v>
      </c>
      <c r="S2554" s="35">
        <f>IF(R2554="","",IF(R2554&gt;=60,INT(R2554/60)&amp;":"&amp;TEXT(MOD(R2554,60),"00.00"),TEXT(R2554,"0.00")))</f>
        <v/>
      </c>
      <c r="T2554" s="52">
        <f>IFERROR((G2554-INDEX('01_Swimmers'!$E$5:$E$22,MATCH(B2554,'01_Swimmers'!$A$5:$A$22,0)))/'00_Control'!$B$10,"")</f>
        <v/>
      </c>
      <c r="U2554" s="35">
        <f>IF(T2554="","",INT(T2554))</f>
        <v/>
      </c>
      <c r="V2554" s="33" t="inlineStr">
        <is>
          <t>NO</t>
        </is>
      </c>
      <c r="W2554" s="33" t="inlineStr">
        <is>
          <t>YES</t>
        </is>
      </c>
      <c r="X2554" s="33" t="inlineStr">
        <is>
          <t>NO</t>
        </is>
      </c>
      <c r="Y2554" s="33" t="n">
        <v>2</v>
      </c>
      <c r="Z2554" s="33" t="n">
        <v>1</v>
      </c>
      <c r="AA2554" s="33" t="inlineStr">
        <is>
          <t>7</t>
        </is>
      </c>
      <c r="AB2554" s="33" t="inlineStr">
        <is>
          <t>https://www.swimcloud.com/results/361335/event/203/?id=161742169#time161742169</t>
        </is>
      </c>
      <c r="AC2554" s="33" t="inlineStr">
        <is>
          <t>SwimCloud API v6 2026-10-08</t>
        </is>
      </c>
      <c r="AD2554" s="33" t="inlineStr">
        <is>
          <t>Miron Bunakov|2025-11-08|SCM|100|Free|50.84|11th Singapore National Championships|FIN|False</t>
        </is>
      </c>
      <c r="AE2554" s="53">
        <f>G2554+L2554/1000+ROW()/1000000000</f>
        <v/>
      </c>
      <c r="AF2554" s="35">
        <f>IF(C2554&lt;&gt;"Grayson Coulter","",COUNTIFS($C$5:$C$2991,"Grayson Coulter",$Q$5:$Q$2991,Q2554,$AE$5:$AE$2991,"&lt;="&amp;AE2554,$R$5:$R$2991,"&lt;"&amp;R2554))</f>
        <v/>
      </c>
      <c r="AG2554" s="35">
        <f>IF(OR(C2554&lt;&gt;"Grayson Coulter",G2554&lt;'00_Control'!$B$7),"",--(AF2554&lt;5))</f>
        <v/>
      </c>
      <c r="AH2554" s="35">
        <f>IF(OR(C2554&lt;&gt;"Grayson Coulter",G2554&lt;'00_Control'!$B$7),"",--(AF2554&lt;10))</f>
        <v/>
      </c>
      <c r="AI2554" s="35">
        <f>IF(AND(C2554="Grayson Coulter",G2554&gt;='00_Control'!$B$7),"YES","NO")</f>
        <v/>
      </c>
      <c r="AJ2554" s="33" t="inlineStr">
        <is>
          <t>OK</t>
        </is>
      </c>
    </row>
    <row r="2555">
      <c r="A2555" s="33" t="inlineStr">
        <is>
          <t>SM002551</t>
        </is>
      </c>
      <c r="B2555" s="33" t="inlineStr">
        <is>
          <t>SW002</t>
        </is>
      </c>
      <c r="C2555" s="33" t="inlineStr">
        <is>
          <t>Miron Bunakov</t>
        </is>
      </c>
      <c r="D2555" s="33" t="inlineStr">
        <is>
          <t>SwimCloud</t>
        </is>
      </c>
      <c r="E2555" s="33" t="inlineStr">
        <is>
          <t>3360584</t>
        </is>
      </c>
      <c r="F2555" s="33" t="inlineStr">
        <is>
          <t>161743476</t>
        </is>
      </c>
      <c r="G2555" s="51" t="n">
        <v>45970</v>
      </c>
      <c r="H2555" s="33" t="inlineStr">
        <is>
          <t>11th Singapore National Championships</t>
        </is>
      </c>
      <c r="I2555" s="33" t="inlineStr">
        <is>
          <t>361335</t>
        </is>
      </c>
      <c r="J2555" s="33" t="inlineStr"/>
      <c r="K2555" s="33" t="inlineStr">
        <is>
          <t>PRE</t>
        </is>
      </c>
      <c r="L2555" s="35">
        <f>IF(K2555="FIN",3,IF(OR(K2555="SEM",K2555="SEMI"),2,IF(OR(K2555="PRE",K2555="HEAT"),1,IF(V2555="YES",4,2))))</f>
        <v/>
      </c>
      <c r="M2555" s="33" t="inlineStr">
        <is>
          <t>SCM</t>
        </is>
      </c>
      <c r="N2555" s="33" t="n">
        <v>200</v>
      </c>
      <c r="O2555" s="33" t="inlineStr">
        <is>
          <t>Free</t>
        </is>
      </c>
      <c r="P2555" s="33" t="inlineStr">
        <is>
          <t>200 Free</t>
        </is>
      </c>
      <c r="Q2555" s="33" t="inlineStr">
        <is>
          <t>SCM_200_FREE</t>
        </is>
      </c>
      <c r="R2555" s="36" t="n">
        <v>112.61</v>
      </c>
      <c r="S2555" s="35">
        <f>IF(R2555="","",IF(R2555&gt;=60,INT(R2555/60)&amp;":"&amp;TEXT(MOD(R2555,60),"00.00"),TEXT(R2555,"0.00")))</f>
        <v/>
      </c>
      <c r="T2555" s="52">
        <f>IFERROR((G2555-INDEX('01_Swimmers'!$E$5:$E$22,MATCH(B2555,'01_Swimmers'!$A$5:$A$22,0)))/'00_Control'!$B$10,"")</f>
        <v/>
      </c>
      <c r="U2555" s="35">
        <f>IF(T2555="","",INT(T2555))</f>
        <v/>
      </c>
      <c r="V2555" s="33" t="inlineStr">
        <is>
          <t>NO</t>
        </is>
      </c>
      <c r="W2555" s="33" t="inlineStr">
        <is>
          <t>YES</t>
        </is>
      </c>
      <c r="X2555" s="33" t="inlineStr">
        <is>
          <t>NO</t>
        </is>
      </c>
      <c r="Y2555" s="33" t="n">
        <v>2</v>
      </c>
      <c r="Z2555" s="33" t="n">
        <v>3</v>
      </c>
      <c r="AA2555" s="33" t="inlineStr">
        <is>
          <t>6</t>
        </is>
      </c>
      <c r="AB2555" s="33" t="inlineStr">
        <is>
          <t>https://www.swimcloud.com/results/361335/event/310/?id=161743476#time161743476</t>
        </is>
      </c>
      <c r="AC2555" s="33" t="inlineStr">
        <is>
          <t>SwimCloud API v6 2026-10-08</t>
        </is>
      </c>
      <c r="AD2555" s="33" t="inlineStr">
        <is>
          <t>Miron Bunakov|2025-11-09|SCM|200|Free|112.61|11th Singapore National Championships|PRE|False</t>
        </is>
      </c>
      <c r="AE2555" s="53">
        <f>G2555+L2555/1000+ROW()/1000000000</f>
        <v/>
      </c>
      <c r="AF2555" s="35">
        <f>IF(C2555&lt;&gt;"Grayson Coulter","",COUNTIFS($C$5:$C$2991,"Grayson Coulter",$Q$5:$Q$2991,Q2555,$AE$5:$AE$2991,"&lt;="&amp;AE2555,$R$5:$R$2991,"&lt;"&amp;R2555))</f>
        <v/>
      </c>
      <c r="AG2555" s="35">
        <f>IF(OR(C2555&lt;&gt;"Grayson Coulter",G2555&lt;'00_Control'!$B$7),"",--(AF2555&lt;5))</f>
        <v/>
      </c>
      <c r="AH2555" s="35">
        <f>IF(OR(C2555&lt;&gt;"Grayson Coulter",G2555&lt;'00_Control'!$B$7),"",--(AF2555&lt;10))</f>
        <v/>
      </c>
      <c r="AI2555" s="35">
        <f>IF(AND(C2555="Grayson Coulter",G2555&gt;='00_Control'!$B$7),"YES","NO")</f>
        <v/>
      </c>
      <c r="AJ2555" s="33" t="inlineStr">
        <is>
          <t>OK</t>
        </is>
      </c>
    </row>
    <row r="2556">
      <c r="A2556" s="33" t="inlineStr">
        <is>
          <t>SM002552</t>
        </is>
      </c>
      <c r="B2556" s="33" t="inlineStr">
        <is>
          <t>SW002</t>
        </is>
      </c>
      <c r="C2556" s="33" t="inlineStr">
        <is>
          <t>Miron Bunakov</t>
        </is>
      </c>
      <c r="D2556" s="33" t="inlineStr">
        <is>
          <t>SwimCloud</t>
        </is>
      </c>
      <c r="E2556" s="33" t="inlineStr">
        <is>
          <t>3360584</t>
        </is>
      </c>
      <c r="F2556" s="33" t="inlineStr">
        <is>
          <t>161743477</t>
        </is>
      </c>
      <c r="G2556" s="51" t="n">
        <v>45970</v>
      </c>
      <c r="H2556" s="33" t="inlineStr">
        <is>
          <t>11th Singapore National Championships</t>
        </is>
      </c>
      <c r="I2556" s="33" t="inlineStr">
        <is>
          <t>361335</t>
        </is>
      </c>
      <c r="J2556" s="33" t="inlineStr"/>
      <c r="K2556" s="33" t="inlineStr">
        <is>
          <t>FIN</t>
        </is>
      </c>
      <c r="L2556" s="35">
        <f>IF(K2556="FIN",3,IF(OR(K2556="SEM",K2556="SEMI"),2,IF(OR(K2556="PRE",K2556="HEAT"),1,IF(V2556="YES",4,2))))</f>
        <v/>
      </c>
      <c r="M2556" s="33" t="inlineStr">
        <is>
          <t>SCM</t>
        </is>
      </c>
      <c r="N2556" s="33" t="n">
        <v>200</v>
      </c>
      <c r="O2556" s="33" t="inlineStr">
        <is>
          <t>Free</t>
        </is>
      </c>
      <c r="P2556" s="33" t="inlineStr">
        <is>
          <t>200 Free</t>
        </is>
      </c>
      <c r="Q2556" s="33" t="inlineStr">
        <is>
          <t>SCM_200_FREE</t>
        </is>
      </c>
      <c r="R2556" s="36" t="n">
        <v>111.77</v>
      </c>
      <c r="S2556" s="35">
        <f>IF(R2556="","",IF(R2556&gt;=60,INT(R2556/60)&amp;":"&amp;TEXT(MOD(R2556,60),"00.00"),TEXT(R2556,"0.00")))</f>
        <v/>
      </c>
      <c r="T2556" s="52">
        <f>IFERROR((G2556-INDEX('01_Swimmers'!$E$5:$E$22,MATCH(B2556,'01_Swimmers'!$A$5:$A$22,0)))/'00_Control'!$B$10,"")</f>
        <v/>
      </c>
      <c r="U2556" s="35">
        <f>IF(T2556="","",INT(T2556))</f>
        <v/>
      </c>
      <c r="V2556" s="33" t="inlineStr">
        <is>
          <t>NO</t>
        </is>
      </c>
      <c r="W2556" s="33" t="inlineStr">
        <is>
          <t>YES</t>
        </is>
      </c>
      <c r="X2556" s="33" t="inlineStr">
        <is>
          <t>NO</t>
        </is>
      </c>
      <c r="Y2556" s="33" t="n">
        <v>2</v>
      </c>
      <c r="Z2556" s="33" t="n">
        <v>7</v>
      </c>
      <c r="AA2556" s="33" t="inlineStr">
        <is>
          <t>6</t>
        </is>
      </c>
      <c r="AB2556" s="33" t="inlineStr">
        <is>
          <t>https://www.swimcloud.com/results/361335/event/310/?id=161743477#time161743477</t>
        </is>
      </c>
      <c r="AC2556" s="33" t="inlineStr">
        <is>
          <t>SwimCloud API v6 2026-10-08</t>
        </is>
      </c>
      <c r="AD2556" s="33" t="inlineStr">
        <is>
          <t>Miron Bunakov|2025-11-09|SCM|200|Free|111.77|11th Singapore National Championships|FIN|False</t>
        </is>
      </c>
      <c r="AE2556" s="53">
        <f>G2556+L2556/1000+ROW()/1000000000</f>
        <v/>
      </c>
      <c r="AF2556" s="35">
        <f>IF(C2556&lt;&gt;"Grayson Coulter","",COUNTIFS($C$5:$C$2991,"Grayson Coulter",$Q$5:$Q$2991,Q2556,$AE$5:$AE$2991,"&lt;="&amp;AE2556,$R$5:$R$2991,"&lt;"&amp;R2556))</f>
        <v/>
      </c>
      <c r="AG2556" s="35">
        <f>IF(OR(C2556&lt;&gt;"Grayson Coulter",G2556&lt;'00_Control'!$B$7),"",--(AF2556&lt;5))</f>
        <v/>
      </c>
      <c r="AH2556" s="35">
        <f>IF(OR(C2556&lt;&gt;"Grayson Coulter",G2556&lt;'00_Control'!$B$7),"",--(AF2556&lt;10))</f>
        <v/>
      </c>
      <c r="AI2556" s="35">
        <f>IF(AND(C2556="Grayson Coulter",G2556&gt;='00_Control'!$B$7),"YES","NO")</f>
        <v/>
      </c>
      <c r="AJ2556" s="33" t="inlineStr">
        <is>
          <t>OK</t>
        </is>
      </c>
    </row>
    <row r="2557">
      <c r="A2557" s="33" t="inlineStr">
        <is>
          <t>SM002553</t>
        </is>
      </c>
      <c r="B2557" s="33" t="inlineStr">
        <is>
          <t>SW002</t>
        </is>
      </c>
      <c r="C2557" s="33" t="inlineStr">
        <is>
          <t>Miron Bunakov</t>
        </is>
      </c>
      <c r="D2557" s="33" t="inlineStr">
        <is>
          <t>SwimCloud</t>
        </is>
      </c>
      <c r="E2557" s="33" t="inlineStr">
        <is>
          <t>3360584</t>
        </is>
      </c>
      <c r="F2557" s="33" t="inlineStr">
        <is>
          <t>166949552</t>
        </is>
      </c>
      <c r="G2557" s="51" t="n">
        <v>46010</v>
      </c>
      <c r="H2557" s="33" t="inlineStr">
        <is>
          <t>Hancock Prospecting State LC Championships</t>
        </is>
      </c>
      <c r="I2557" s="33" t="inlineStr">
        <is>
          <t>369086</t>
        </is>
      </c>
      <c r="J2557" s="33" t="inlineStr"/>
      <c r="K2557" s="33" t="inlineStr">
        <is>
          <t>TIM</t>
        </is>
      </c>
      <c r="L2557" s="35">
        <f>IF(K2557="FIN",3,IF(OR(K2557="SEM",K2557="SEMI"),2,IF(OR(K2557="PRE",K2557="HEAT"),1,IF(V2557="YES",4,2))))</f>
        <v/>
      </c>
      <c r="M2557" s="33" t="inlineStr">
        <is>
          <t>LCM</t>
        </is>
      </c>
      <c r="N2557" s="33" t="n">
        <v>100</v>
      </c>
      <c r="O2557" s="33" t="inlineStr">
        <is>
          <t>Fly</t>
        </is>
      </c>
      <c r="P2557" s="33" t="inlineStr">
        <is>
          <t>100 Fly</t>
        </is>
      </c>
      <c r="Q2557" s="33" t="inlineStr">
        <is>
          <t>LCM_100_FLY</t>
        </is>
      </c>
      <c r="R2557" s="36" t="n">
        <v>57.39</v>
      </c>
      <c r="S2557" s="35">
        <f>IF(R2557="","",IF(R2557&gt;=60,INT(R2557/60)&amp;":"&amp;TEXT(MOD(R2557,60),"00.00"),TEXT(R2557,"0.00")))</f>
        <v/>
      </c>
      <c r="T2557" s="52">
        <f>IFERROR((G2557-INDEX('01_Swimmers'!$E$5:$E$22,MATCH(B2557,'01_Swimmers'!$A$5:$A$22,0)))/'00_Control'!$B$10,"")</f>
        <v/>
      </c>
      <c r="U2557" s="35">
        <f>IF(T2557="","",INT(T2557))</f>
        <v/>
      </c>
      <c r="V2557" s="33" t="inlineStr">
        <is>
          <t>NO</t>
        </is>
      </c>
      <c r="W2557" s="33" t="inlineStr">
        <is>
          <t>YES</t>
        </is>
      </c>
      <c r="X2557" s="33" t="inlineStr">
        <is>
          <t>NO</t>
        </is>
      </c>
      <c r="Y2557" s="33" t="n">
        <v>1</v>
      </c>
      <c r="Z2557" s="33" t="n">
        <v>4</v>
      </c>
      <c r="AA2557" s="33" t="inlineStr">
        <is>
          <t>1</t>
        </is>
      </c>
      <c r="AB2557" s="33" t="inlineStr">
        <is>
          <t>https://www.swimcloud.com/results/369086/event/106/?id=166949552#time166949552</t>
        </is>
      </c>
      <c r="AC2557" s="33" t="inlineStr">
        <is>
          <t>SwimCloud API v6 2026-10-08</t>
        </is>
      </c>
      <c r="AD2557" s="33" t="inlineStr">
        <is>
          <t>Miron Bunakov|2025-12-19|LCM|100|Fly|57.39|Hancock Prospecting State LC Championships|TIM|False</t>
        </is>
      </c>
      <c r="AE2557" s="53">
        <f>G2557+L2557/1000+ROW()/1000000000</f>
        <v/>
      </c>
      <c r="AF2557" s="35">
        <f>IF(C2557&lt;&gt;"Grayson Coulter","",COUNTIFS($C$5:$C$2991,"Grayson Coulter",$Q$5:$Q$2991,Q2557,$AE$5:$AE$2991,"&lt;="&amp;AE2557,$R$5:$R$2991,"&lt;"&amp;R2557))</f>
        <v/>
      </c>
      <c r="AG2557" s="35">
        <f>IF(OR(C2557&lt;&gt;"Grayson Coulter",G2557&lt;'00_Control'!$B$7),"",--(AF2557&lt;5))</f>
        <v/>
      </c>
      <c r="AH2557" s="35">
        <f>IF(OR(C2557&lt;&gt;"Grayson Coulter",G2557&lt;'00_Control'!$B$7),"",--(AF2557&lt;10))</f>
        <v/>
      </c>
      <c r="AI2557" s="35">
        <f>IF(AND(C2557="Grayson Coulter",G2557&gt;='00_Control'!$B$7),"YES","NO")</f>
        <v/>
      </c>
      <c r="AJ2557" s="33" t="inlineStr">
        <is>
          <t>OK</t>
        </is>
      </c>
    </row>
    <row r="2558">
      <c r="A2558" s="33" t="inlineStr">
        <is>
          <t>SM002554</t>
        </is>
      </c>
      <c r="B2558" s="33" t="inlineStr">
        <is>
          <t>SW002</t>
        </is>
      </c>
      <c r="C2558" s="33" t="inlineStr">
        <is>
          <t>Miron Bunakov</t>
        </is>
      </c>
      <c r="D2558" s="33" t="inlineStr">
        <is>
          <t>SwimCloud</t>
        </is>
      </c>
      <c r="E2558" s="33" t="inlineStr">
        <is>
          <t>3360584</t>
        </is>
      </c>
      <c r="F2558" s="33" t="inlineStr">
        <is>
          <t>166949544</t>
        </is>
      </c>
      <c r="G2558" s="51" t="n">
        <v>46010</v>
      </c>
      <c r="H2558" s="33" t="inlineStr">
        <is>
          <t>Hancock Prospecting State LC Championships</t>
        </is>
      </c>
      <c r="I2558" s="33" t="inlineStr">
        <is>
          <t>369086</t>
        </is>
      </c>
      <c r="J2558" s="33" t="inlineStr"/>
      <c r="K2558" s="33" t="inlineStr">
        <is>
          <t>TIM</t>
        </is>
      </c>
      <c r="L2558" s="35">
        <f>IF(K2558="FIN",3,IF(OR(K2558="SEM",K2558="SEMI"),2,IF(OR(K2558="PRE",K2558="HEAT"),1,IF(V2558="YES",4,2))))</f>
        <v/>
      </c>
      <c r="M2558" s="33" t="inlineStr">
        <is>
          <t>LCM</t>
        </is>
      </c>
      <c r="N2558" s="33" t="n">
        <v>100</v>
      </c>
      <c r="O2558" s="33" t="inlineStr">
        <is>
          <t>Fly</t>
        </is>
      </c>
      <c r="P2558" s="33" t="inlineStr">
        <is>
          <t>100 Fly</t>
        </is>
      </c>
      <c r="Q2558" s="33" t="inlineStr">
        <is>
          <t>LCM_100_FLY</t>
        </is>
      </c>
      <c r="R2558" s="36" t="n">
        <v>58.65</v>
      </c>
      <c r="S2558" s="35">
        <f>IF(R2558="","",IF(R2558&gt;=60,INT(R2558/60)&amp;":"&amp;TEXT(MOD(R2558,60),"00.00"),TEXT(R2558,"0.00")))</f>
        <v/>
      </c>
      <c r="T2558" s="52">
        <f>IFERROR((G2558-INDEX('01_Swimmers'!$E$5:$E$22,MATCH(B2558,'01_Swimmers'!$A$5:$A$22,0)))/'00_Control'!$B$10,"")</f>
        <v/>
      </c>
      <c r="U2558" s="35">
        <f>IF(T2558="","",INT(T2558))</f>
        <v/>
      </c>
      <c r="V2558" s="33" t="inlineStr">
        <is>
          <t>NO</t>
        </is>
      </c>
      <c r="W2558" s="33" t="inlineStr">
        <is>
          <t>YES</t>
        </is>
      </c>
      <c r="X2558" s="33" t="inlineStr">
        <is>
          <t>NO</t>
        </is>
      </c>
      <c r="Y2558" s="33" t="n">
        <v>9</v>
      </c>
      <c r="Z2558" s="33" t="n">
        <v>6</v>
      </c>
      <c r="AA2558" s="33" t="inlineStr">
        <is>
          <t>1</t>
        </is>
      </c>
      <c r="AB2558" s="33" t="inlineStr">
        <is>
          <t>https://www.swimcloud.com/results/369086/event/6/?id=166949544#time166949544</t>
        </is>
      </c>
      <c r="AC2558" s="33" t="inlineStr">
        <is>
          <t>SwimCloud API v6 2026-10-08</t>
        </is>
      </c>
      <c r="AD2558" s="33" t="inlineStr">
        <is>
          <t>Miron Bunakov|2025-12-19|LCM|100|Fly|58.65|Hancock Prospecting State LC Championships|TIM|False</t>
        </is>
      </c>
      <c r="AE2558" s="53">
        <f>G2558+L2558/1000+ROW()/1000000000</f>
        <v/>
      </c>
      <c r="AF2558" s="35">
        <f>IF(C2558&lt;&gt;"Grayson Coulter","",COUNTIFS($C$5:$C$2991,"Grayson Coulter",$Q$5:$Q$2991,Q2558,$AE$5:$AE$2991,"&lt;="&amp;AE2558,$R$5:$R$2991,"&lt;"&amp;R2558))</f>
        <v/>
      </c>
      <c r="AG2558" s="35">
        <f>IF(OR(C2558&lt;&gt;"Grayson Coulter",G2558&lt;'00_Control'!$B$7),"",--(AF2558&lt;5))</f>
        <v/>
      </c>
      <c r="AH2558" s="35">
        <f>IF(OR(C2558&lt;&gt;"Grayson Coulter",G2558&lt;'00_Control'!$B$7),"",--(AF2558&lt;10))</f>
        <v/>
      </c>
      <c r="AI2558" s="35">
        <f>IF(AND(C2558="Grayson Coulter",G2558&gt;='00_Control'!$B$7),"YES","NO")</f>
        <v/>
      </c>
      <c r="AJ2558" s="33" t="inlineStr">
        <is>
          <t>OK</t>
        </is>
      </c>
    </row>
    <row r="2559">
      <c r="A2559" s="33" t="inlineStr">
        <is>
          <t>SM002555</t>
        </is>
      </c>
      <c r="B2559" s="33" t="inlineStr">
        <is>
          <t>SW002</t>
        </is>
      </c>
      <c r="C2559" s="33" t="inlineStr">
        <is>
          <t>Miron Bunakov</t>
        </is>
      </c>
      <c r="D2559" s="33" t="inlineStr">
        <is>
          <t>SwimCloud</t>
        </is>
      </c>
      <c r="E2559" s="33" t="inlineStr">
        <is>
          <t>3360584</t>
        </is>
      </c>
      <c r="F2559" s="33" t="inlineStr">
        <is>
          <t>166949506</t>
        </is>
      </c>
      <c r="G2559" s="51" t="n">
        <v>46011</v>
      </c>
      <c r="H2559" s="33" t="inlineStr">
        <is>
          <t>Hancock Prospecting State LC Championships</t>
        </is>
      </c>
      <c r="I2559" s="33" t="inlineStr">
        <is>
          <t>369086</t>
        </is>
      </c>
      <c r="J2559" s="33" t="inlineStr"/>
      <c r="K2559" s="33" t="inlineStr">
        <is>
          <t>TIM</t>
        </is>
      </c>
      <c r="L2559" s="35">
        <f>IF(K2559="FIN",3,IF(OR(K2559="SEM",K2559="SEMI"),2,IF(OR(K2559="PRE",K2559="HEAT"),1,IF(V2559="YES",4,2))))</f>
        <v/>
      </c>
      <c r="M2559" s="33" t="inlineStr">
        <is>
          <t>LCM</t>
        </is>
      </c>
      <c r="N2559" s="33" t="n">
        <v>200</v>
      </c>
      <c r="O2559" s="33" t="inlineStr">
        <is>
          <t>Free</t>
        </is>
      </c>
      <c r="P2559" s="33" t="inlineStr">
        <is>
          <t>200 Free</t>
        </is>
      </c>
      <c r="Q2559" s="33" t="inlineStr">
        <is>
          <t>LCM_200_FREE</t>
        </is>
      </c>
      <c r="R2559" s="36" t="n">
        <v>114.95</v>
      </c>
      <c r="S2559" s="35">
        <f>IF(R2559="","",IF(R2559&gt;=60,INT(R2559/60)&amp;":"&amp;TEXT(MOD(R2559,60),"00.00"),TEXT(R2559,"0.00")))</f>
        <v/>
      </c>
      <c r="T2559" s="52">
        <f>IFERROR((G2559-INDEX('01_Swimmers'!$E$5:$E$22,MATCH(B2559,'01_Swimmers'!$A$5:$A$22,0)))/'00_Control'!$B$10,"")</f>
        <v/>
      </c>
      <c r="U2559" s="35">
        <f>IF(T2559="","",INT(T2559))</f>
        <v/>
      </c>
      <c r="V2559" s="33" t="inlineStr">
        <is>
          <t>NO</t>
        </is>
      </c>
      <c r="W2559" s="33" t="inlineStr">
        <is>
          <t>YES</t>
        </is>
      </c>
      <c r="X2559" s="33" t="inlineStr">
        <is>
          <t>NO</t>
        </is>
      </c>
      <c r="Y2559" s="33" t="n">
        <v>2</v>
      </c>
      <c r="Z2559" s="33" t="n">
        <v>6</v>
      </c>
      <c r="AA2559" s="33" t="inlineStr">
        <is>
          <t>1</t>
        </is>
      </c>
      <c r="AB2559" s="33" t="inlineStr">
        <is>
          <t>https://www.swimcloud.com/results/369086/event/114/?id=166949506#time166949506</t>
        </is>
      </c>
      <c r="AC2559" s="33" t="inlineStr">
        <is>
          <t>SwimCloud API v6 2026-10-08</t>
        </is>
      </c>
      <c r="AD2559" s="33" t="inlineStr">
        <is>
          <t>Miron Bunakov|2025-12-20|LCM|200|Free|114.95|Hancock Prospecting State LC Championships|TIM|False</t>
        </is>
      </c>
      <c r="AE2559" s="53">
        <f>G2559+L2559/1000+ROW()/1000000000</f>
        <v/>
      </c>
      <c r="AF2559" s="35">
        <f>IF(C2559&lt;&gt;"Grayson Coulter","",COUNTIFS($C$5:$C$2991,"Grayson Coulter",$Q$5:$Q$2991,Q2559,$AE$5:$AE$2991,"&lt;="&amp;AE2559,$R$5:$R$2991,"&lt;"&amp;R2559))</f>
        <v/>
      </c>
      <c r="AG2559" s="35">
        <f>IF(OR(C2559&lt;&gt;"Grayson Coulter",G2559&lt;'00_Control'!$B$7),"",--(AF2559&lt;5))</f>
        <v/>
      </c>
      <c r="AH2559" s="35">
        <f>IF(OR(C2559&lt;&gt;"Grayson Coulter",G2559&lt;'00_Control'!$B$7),"",--(AF2559&lt;10))</f>
        <v/>
      </c>
      <c r="AI2559" s="35">
        <f>IF(AND(C2559="Grayson Coulter",G2559&gt;='00_Control'!$B$7),"YES","NO")</f>
        <v/>
      </c>
      <c r="AJ2559" s="33" t="inlineStr">
        <is>
          <t>OK</t>
        </is>
      </c>
    </row>
    <row r="2560">
      <c r="A2560" s="33" t="inlineStr">
        <is>
          <t>SM002556</t>
        </is>
      </c>
      <c r="B2560" s="33" t="inlineStr">
        <is>
          <t>SW002</t>
        </is>
      </c>
      <c r="C2560" s="33" t="inlineStr">
        <is>
          <t>Miron Bunakov</t>
        </is>
      </c>
      <c r="D2560" s="33" t="inlineStr">
        <is>
          <t>SwimCloud</t>
        </is>
      </c>
      <c r="E2560" s="33" t="inlineStr">
        <is>
          <t>3360584</t>
        </is>
      </c>
      <c r="F2560" s="33" t="inlineStr">
        <is>
          <t>166949987</t>
        </is>
      </c>
      <c r="G2560" s="51" t="n">
        <v>46011</v>
      </c>
      <c r="H2560" s="33" t="inlineStr">
        <is>
          <t>Hancock Prospecting State LC Championships</t>
        </is>
      </c>
      <c r="I2560" s="33" t="inlineStr">
        <is>
          <t>369086</t>
        </is>
      </c>
      <c r="J2560" s="33" t="inlineStr"/>
      <c r="K2560" s="33" t="inlineStr">
        <is>
          <t>TIM</t>
        </is>
      </c>
      <c r="L2560" s="35">
        <f>IF(K2560="FIN",3,IF(OR(K2560="SEM",K2560="SEMI"),2,IF(OR(K2560="PRE",K2560="HEAT"),1,IF(V2560="YES",4,2))))</f>
        <v/>
      </c>
      <c r="M2560" s="33" t="inlineStr">
        <is>
          <t>LCM</t>
        </is>
      </c>
      <c r="N2560" s="33" t="n">
        <v>200</v>
      </c>
      <c r="O2560" s="33" t="inlineStr">
        <is>
          <t>Free</t>
        </is>
      </c>
      <c r="P2560" s="33" t="inlineStr">
        <is>
          <t>200 Free</t>
        </is>
      </c>
      <c r="Q2560" s="33" t="inlineStr">
        <is>
          <t>LCM_200_FREE</t>
        </is>
      </c>
      <c r="R2560" s="36" t="n">
        <v>114.95</v>
      </c>
      <c r="S2560" s="35">
        <f>IF(R2560="","",IF(R2560&gt;=60,INT(R2560/60)&amp;":"&amp;TEXT(MOD(R2560,60),"00.00"),TEXT(R2560,"0.00")))</f>
        <v/>
      </c>
      <c r="T2560" s="52">
        <f>IFERROR((G2560-INDEX('01_Swimmers'!$E$5:$E$22,MATCH(B2560,'01_Swimmers'!$A$5:$A$22,0)))/'00_Control'!$B$10,"")</f>
        <v/>
      </c>
      <c r="U2560" s="35">
        <f>IF(T2560="","",INT(T2560))</f>
        <v/>
      </c>
      <c r="V2560" s="33" t="inlineStr">
        <is>
          <t>NO</t>
        </is>
      </c>
      <c r="W2560" s="33" t="inlineStr">
        <is>
          <t>YES</t>
        </is>
      </c>
      <c r="X2560" s="33" t="inlineStr">
        <is>
          <t>NO</t>
        </is>
      </c>
      <c r="Y2560" s="33" t="n">
        <v>1</v>
      </c>
      <c r="Z2560" s="33" t="n">
        <v>6</v>
      </c>
      <c r="AA2560" s="33" t="inlineStr">
        <is>
          <t>3</t>
        </is>
      </c>
      <c r="AB2560" s="33" t="inlineStr">
        <is>
          <t>https://www.swimcloud.com/results/369086/event/114/?id=166949987#time166949987</t>
        </is>
      </c>
      <c r="AC2560" s="33" t="inlineStr">
        <is>
          <t>SwimCloud API v6 2026-10-08</t>
        </is>
      </c>
      <c r="AD2560" s="33" t="inlineStr">
        <is>
          <t>Miron Bunakov|2025-12-20|LCM|200|Free|114.95|Hancock Prospecting State LC Championships|TIM|False</t>
        </is>
      </c>
      <c r="AE2560" s="53">
        <f>G2560+L2560/1000+ROW()/1000000000</f>
        <v/>
      </c>
      <c r="AF2560" s="35">
        <f>IF(C2560&lt;&gt;"Grayson Coulter","",COUNTIFS($C$5:$C$2991,"Grayson Coulter",$Q$5:$Q$2991,Q2560,$AE$5:$AE$2991,"&lt;="&amp;AE2560,$R$5:$R$2991,"&lt;"&amp;R2560))</f>
        <v/>
      </c>
      <c r="AG2560" s="35">
        <f>IF(OR(C2560&lt;&gt;"Grayson Coulter",G2560&lt;'00_Control'!$B$7),"",--(AF2560&lt;5))</f>
        <v/>
      </c>
      <c r="AH2560" s="35">
        <f>IF(OR(C2560&lt;&gt;"Grayson Coulter",G2560&lt;'00_Control'!$B$7),"",--(AF2560&lt;10))</f>
        <v/>
      </c>
      <c r="AI2560" s="35">
        <f>IF(AND(C2560="Grayson Coulter",G2560&gt;='00_Control'!$B$7),"YES","NO")</f>
        <v/>
      </c>
      <c r="AJ2560" s="33" t="inlineStr">
        <is>
          <t>OK</t>
        </is>
      </c>
    </row>
    <row r="2561">
      <c r="A2561" s="33" t="inlineStr">
        <is>
          <t>SM002557</t>
        </is>
      </c>
      <c r="B2561" s="33" t="inlineStr">
        <is>
          <t>SW002</t>
        </is>
      </c>
      <c r="C2561" s="33" t="inlineStr">
        <is>
          <t>Miron Bunakov</t>
        </is>
      </c>
      <c r="D2561" s="33" t="inlineStr">
        <is>
          <t>SwimCloud</t>
        </is>
      </c>
      <c r="E2561" s="33" t="inlineStr">
        <is>
          <t>3360584</t>
        </is>
      </c>
      <c r="F2561" s="33" t="inlineStr">
        <is>
          <t>166946932</t>
        </is>
      </c>
      <c r="G2561" s="51" t="n">
        <v>46011</v>
      </c>
      <c r="H2561" s="33" t="inlineStr">
        <is>
          <t>Hancock Prospecting State LC Championships</t>
        </is>
      </c>
      <c r="I2561" s="33" t="inlineStr">
        <is>
          <t>369086</t>
        </is>
      </c>
      <c r="J2561" s="33" t="inlineStr"/>
      <c r="K2561" s="33" t="inlineStr">
        <is>
          <t>TIM</t>
        </is>
      </c>
      <c r="L2561" s="35">
        <f>IF(K2561="FIN",3,IF(OR(K2561="SEM",K2561="SEMI"),2,IF(OR(K2561="PRE",K2561="HEAT"),1,IF(V2561="YES",4,2))))</f>
        <v/>
      </c>
      <c r="M2561" s="33" t="inlineStr">
        <is>
          <t>LCM</t>
        </is>
      </c>
      <c r="N2561" s="33" t="n">
        <v>200</v>
      </c>
      <c r="O2561" s="33" t="inlineStr">
        <is>
          <t>Free</t>
        </is>
      </c>
      <c r="P2561" s="33" t="inlineStr">
        <is>
          <t>200 Free</t>
        </is>
      </c>
      <c r="Q2561" s="33" t="inlineStr">
        <is>
          <t>LCM_200_FREE</t>
        </is>
      </c>
      <c r="R2561" s="36" t="n">
        <v>116.89</v>
      </c>
      <c r="S2561" s="35">
        <f>IF(R2561="","",IF(R2561&gt;=60,INT(R2561/60)&amp;":"&amp;TEXT(MOD(R2561,60),"00.00"),TEXT(R2561,"0.00")))</f>
        <v/>
      </c>
      <c r="T2561" s="52">
        <f>IFERROR((G2561-INDEX('01_Swimmers'!$E$5:$E$22,MATCH(B2561,'01_Swimmers'!$A$5:$A$22,0)))/'00_Control'!$B$10,"")</f>
        <v/>
      </c>
      <c r="U2561" s="35">
        <f>IF(T2561="","",INT(T2561))</f>
        <v/>
      </c>
      <c r="V2561" s="33" t="inlineStr">
        <is>
          <t>NO</t>
        </is>
      </c>
      <c r="W2561" s="33" t="inlineStr">
        <is>
          <t>YES</t>
        </is>
      </c>
      <c r="X2561" s="33" t="inlineStr">
        <is>
          <t>NO</t>
        </is>
      </c>
      <c r="Y2561" s="33" t="n">
        <v>13</v>
      </c>
      <c r="Z2561" s="33" t="n">
        <v>5</v>
      </c>
      <c r="AA2561" s="33" t="inlineStr">
        <is>
          <t>4</t>
        </is>
      </c>
      <c r="AB2561" s="33" t="inlineStr">
        <is>
          <t>https://www.swimcloud.com/results/369086/event/14/?id=166946932#time166946932</t>
        </is>
      </c>
      <c r="AC2561" s="33" t="inlineStr">
        <is>
          <t>SwimCloud API v6 2026-10-08</t>
        </is>
      </c>
      <c r="AD2561" s="33" t="inlineStr">
        <is>
          <t>Miron Bunakov|2025-12-20|LCM|200|Free|116.89|Hancock Prospecting State LC Championships|TIM|False</t>
        </is>
      </c>
      <c r="AE2561" s="53">
        <f>G2561+L2561/1000+ROW()/1000000000</f>
        <v/>
      </c>
      <c r="AF2561" s="35">
        <f>IF(C2561&lt;&gt;"Grayson Coulter","",COUNTIFS($C$5:$C$2991,"Grayson Coulter",$Q$5:$Q$2991,Q2561,$AE$5:$AE$2991,"&lt;="&amp;AE2561,$R$5:$R$2991,"&lt;"&amp;R2561))</f>
        <v/>
      </c>
      <c r="AG2561" s="35">
        <f>IF(OR(C2561&lt;&gt;"Grayson Coulter",G2561&lt;'00_Control'!$B$7),"",--(AF2561&lt;5))</f>
        <v/>
      </c>
      <c r="AH2561" s="35">
        <f>IF(OR(C2561&lt;&gt;"Grayson Coulter",G2561&lt;'00_Control'!$B$7),"",--(AF2561&lt;10))</f>
        <v/>
      </c>
      <c r="AI2561" s="35">
        <f>IF(AND(C2561="Grayson Coulter",G2561&gt;='00_Control'!$B$7),"YES","NO")</f>
        <v/>
      </c>
      <c r="AJ2561" s="33" t="inlineStr">
        <is>
          <t>OK</t>
        </is>
      </c>
    </row>
    <row r="2562">
      <c r="A2562" s="33" t="inlineStr">
        <is>
          <t>SM002558</t>
        </is>
      </c>
      <c r="B2562" s="33" t="inlineStr">
        <is>
          <t>SW002</t>
        </is>
      </c>
      <c r="C2562" s="33" t="inlineStr">
        <is>
          <t>Miron Bunakov</t>
        </is>
      </c>
      <c r="D2562" s="33" t="inlineStr">
        <is>
          <t>SwimCloud</t>
        </is>
      </c>
      <c r="E2562" s="33" t="inlineStr">
        <is>
          <t>3360584</t>
        </is>
      </c>
      <c r="F2562" s="33" t="inlineStr">
        <is>
          <t>166949517</t>
        </is>
      </c>
      <c r="G2562" s="51" t="n">
        <v>46012</v>
      </c>
      <c r="H2562" s="33" t="inlineStr">
        <is>
          <t>Hancock Prospecting State LC Championships</t>
        </is>
      </c>
      <c r="I2562" s="33" t="inlineStr">
        <is>
          <t>369086</t>
        </is>
      </c>
      <c r="J2562" s="33" t="inlineStr"/>
      <c r="K2562" s="33" t="inlineStr">
        <is>
          <t>TIM</t>
        </is>
      </c>
      <c r="L2562" s="35">
        <f>IF(K2562="FIN",3,IF(OR(K2562="SEM",K2562="SEMI"),2,IF(OR(K2562="PRE",K2562="HEAT"),1,IF(V2562="YES",4,2))))</f>
        <v/>
      </c>
      <c r="M2562" s="33" t="inlineStr">
        <is>
          <t>LCM</t>
        </is>
      </c>
      <c r="N2562" s="33" t="n">
        <v>100</v>
      </c>
      <c r="O2562" s="33" t="inlineStr">
        <is>
          <t>Free</t>
        </is>
      </c>
      <c r="P2562" s="33" t="inlineStr">
        <is>
          <t>100 Free</t>
        </is>
      </c>
      <c r="Q2562" s="33" t="inlineStr">
        <is>
          <t>LCM_100_FREE</t>
        </is>
      </c>
      <c r="R2562" s="36" t="n">
        <v>52.58</v>
      </c>
      <c r="S2562" s="35">
        <f>IF(R2562="","",IF(R2562&gt;=60,INT(R2562/60)&amp;":"&amp;TEXT(MOD(R2562,60),"00.00"),TEXT(R2562,"0.00")))</f>
        <v/>
      </c>
      <c r="T2562" s="52">
        <f>IFERROR((G2562-INDEX('01_Swimmers'!$E$5:$E$22,MATCH(B2562,'01_Swimmers'!$A$5:$A$22,0)))/'00_Control'!$B$10,"")</f>
        <v/>
      </c>
      <c r="U2562" s="35">
        <f>IF(T2562="","",INT(T2562))</f>
        <v/>
      </c>
      <c r="V2562" s="33" t="inlineStr">
        <is>
          <t>NO</t>
        </is>
      </c>
      <c r="W2562" s="33" t="inlineStr">
        <is>
          <t>YES</t>
        </is>
      </c>
      <c r="X2562" s="33" t="inlineStr">
        <is>
          <t>NO</t>
        </is>
      </c>
      <c r="Y2562" s="33" t="n">
        <v>1</v>
      </c>
      <c r="Z2562" s="33" t="n">
        <v>4</v>
      </c>
      <c r="AA2562" s="33" t="inlineStr">
        <is>
          <t>1</t>
        </is>
      </c>
      <c r="AB2562" s="33" t="inlineStr">
        <is>
          <t>https://www.swimcloud.com/results/369086/event/128/?id=166949517#time166949517</t>
        </is>
      </c>
      <c r="AC2562" s="33" t="inlineStr">
        <is>
          <t>SwimCloud API v6 2026-10-08</t>
        </is>
      </c>
      <c r="AD2562" s="33" t="inlineStr">
        <is>
          <t>Miron Bunakov|2025-12-21|LCM|100|Free|52.58|Hancock Prospecting State LC Championships|TIM|False</t>
        </is>
      </c>
      <c r="AE2562" s="53">
        <f>G2562+L2562/1000+ROW()/1000000000</f>
        <v/>
      </c>
      <c r="AF2562" s="35">
        <f>IF(C2562&lt;&gt;"Grayson Coulter","",COUNTIFS($C$5:$C$2991,"Grayson Coulter",$Q$5:$Q$2991,Q2562,$AE$5:$AE$2991,"&lt;="&amp;AE2562,$R$5:$R$2991,"&lt;"&amp;R2562))</f>
        <v/>
      </c>
      <c r="AG2562" s="35">
        <f>IF(OR(C2562&lt;&gt;"Grayson Coulter",G2562&lt;'00_Control'!$B$7),"",--(AF2562&lt;5))</f>
        <v/>
      </c>
      <c r="AH2562" s="35">
        <f>IF(OR(C2562&lt;&gt;"Grayson Coulter",G2562&lt;'00_Control'!$B$7),"",--(AF2562&lt;10))</f>
        <v/>
      </c>
      <c r="AI2562" s="35">
        <f>IF(AND(C2562="Grayson Coulter",G2562&gt;='00_Control'!$B$7),"YES","NO")</f>
        <v/>
      </c>
      <c r="AJ2562" s="33" t="inlineStr">
        <is>
          <t>OK</t>
        </is>
      </c>
    </row>
    <row r="2563">
      <c r="A2563" s="33" t="inlineStr">
        <is>
          <t>SM002559</t>
        </is>
      </c>
      <c r="B2563" s="33" t="inlineStr">
        <is>
          <t>SW002</t>
        </is>
      </c>
      <c r="C2563" s="33" t="inlineStr">
        <is>
          <t>Miron Bunakov</t>
        </is>
      </c>
      <c r="D2563" s="33" t="inlineStr">
        <is>
          <t>SwimCloud</t>
        </is>
      </c>
      <c r="E2563" s="33" t="inlineStr">
        <is>
          <t>3360584</t>
        </is>
      </c>
      <c r="F2563" s="33" t="inlineStr">
        <is>
          <t>166945918</t>
        </is>
      </c>
      <c r="G2563" s="51" t="n">
        <v>46012</v>
      </c>
      <c r="H2563" s="33" t="inlineStr">
        <is>
          <t>Hancock Prospecting State LC Championships</t>
        </is>
      </c>
      <c r="I2563" s="33" t="inlineStr">
        <is>
          <t>369086</t>
        </is>
      </c>
      <c r="J2563" s="33" t="inlineStr"/>
      <c r="K2563" s="33" t="inlineStr">
        <is>
          <t>TIM</t>
        </is>
      </c>
      <c r="L2563" s="35">
        <f>IF(K2563="FIN",3,IF(OR(K2563="SEM",K2563="SEMI"),2,IF(OR(K2563="PRE",K2563="HEAT"),1,IF(V2563="YES",4,2))))</f>
        <v/>
      </c>
      <c r="M2563" s="33" t="inlineStr">
        <is>
          <t>LCM</t>
        </is>
      </c>
      <c r="N2563" s="33" t="n">
        <v>100</v>
      </c>
      <c r="O2563" s="33" t="inlineStr">
        <is>
          <t>Free</t>
        </is>
      </c>
      <c r="P2563" s="33" t="inlineStr">
        <is>
          <t>100 Free</t>
        </is>
      </c>
      <c r="Q2563" s="33" t="inlineStr">
        <is>
          <t>LCM_100_FREE</t>
        </is>
      </c>
      <c r="R2563" s="36" t="n">
        <v>54.51</v>
      </c>
      <c r="S2563" s="35">
        <f>IF(R2563="","",IF(R2563&gt;=60,INT(R2563/60)&amp;":"&amp;TEXT(MOD(R2563,60),"00.00"),TEXT(R2563,"0.00")))</f>
        <v/>
      </c>
      <c r="T2563" s="52">
        <f>IFERROR((G2563-INDEX('01_Swimmers'!$E$5:$E$22,MATCH(B2563,'01_Swimmers'!$A$5:$A$22,0)))/'00_Control'!$B$10,"")</f>
        <v/>
      </c>
      <c r="U2563" s="35">
        <f>IF(T2563="","",INT(T2563))</f>
        <v/>
      </c>
      <c r="V2563" s="33" t="inlineStr">
        <is>
          <t>NO</t>
        </is>
      </c>
      <c r="W2563" s="33" t="inlineStr">
        <is>
          <t>YES</t>
        </is>
      </c>
      <c r="X2563" s="33" t="inlineStr">
        <is>
          <t>NO</t>
        </is>
      </c>
      <c r="Y2563" s="33" t="n">
        <v>18</v>
      </c>
      <c r="Z2563" s="33" t="n">
        <v>6</v>
      </c>
      <c r="AA2563" s="33" t="inlineStr">
        <is>
          <t>1</t>
        </is>
      </c>
      <c r="AB2563" s="33" t="inlineStr">
        <is>
          <t>https://www.swimcloud.com/results/369086/event/28/?id=166945918#time166945918</t>
        </is>
      </c>
      <c r="AC2563" s="33" t="inlineStr">
        <is>
          <t>SwimCloud API v6 2026-10-08</t>
        </is>
      </c>
      <c r="AD2563" s="33" t="inlineStr">
        <is>
          <t>Miron Bunakov|2025-12-21|LCM|100|Free|54.51|Hancock Prospecting State LC Championships|TIM|False</t>
        </is>
      </c>
      <c r="AE2563" s="53">
        <f>G2563+L2563/1000+ROW()/1000000000</f>
        <v/>
      </c>
      <c r="AF2563" s="35">
        <f>IF(C2563&lt;&gt;"Grayson Coulter","",COUNTIFS($C$5:$C$2991,"Grayson Coulter",$Q$5:$Q$2991,Q2563,$AE$5:$AE$2991,"&lt;="&amp;AE2563,$R$5:$R$2991,"&lt;"&amp;R2563))</f>
        <v/>
      </c>
      <c r="AG2563" s="35">
        <f>IF(OR(C2563&lt;&gt;"Grayson Coulter",G2563&lt;'00_Control'!$B$7),"",--(AF2563&lt;5))</f>
        <v/>
      </c>
      <c r="AH2563" s="35">
        <f>IF(OR(C2563&lt;&gt;"Grayson Coulter",G2563&lt;'00_Control'!$B$7),"",--(AF2563&lt;10))</f>
        <v/>
      </c>
      <c r="AI2563" s="35">
        <f>IF(AND(C2563="Grayson Coulter",G2563&gt;='00_Control'!$B$7),"YES","NO")</f>
        <v/>
      </c>
      <c r="AJ2563" s="33" t="inlineStr">
        <is>
          <t>OK</t>
        </is>
      </c>
    </row>
    <row r="2564">
      <c r="A2564" s="33" t="inlineStr">
        <is>
          <t>SM002560</t>
        </is>
      </c>
      <c r="B2564" s="33" t="inlineStr">
        <is>
          <t>SW002</t>
        </is>
      </c>
      <c r="C2564" s="33" t="inlineStr">
        <is>
          <t>Miron Bunakov</t>
        </is>
      </c>
      <c r="D2564" s="33" t="inlineStr">
        <is>
          <t>SwimCloud</t>
        </is>
      </c>
      <c r="E2564" s="33" t="inlineStr">
        <is>
          <t>3360584</t>
        </is>
      </c>
      <c r="F2564" s="33" t="inlineStr">
        <is>
          <t>166947961</t>
        </is>
      </c>
      <c r="G2564" s="51" t="n">
        <v>46013</v>
      </c>
      <c r="H2564" s="33" t="inlineStr">
        <is>
          <t>Hancock Prospecting State LC Championships</t>
        </is>
      </c>
      <c r="I2564" s="33" t="inlineStr">
        <is>
          <t>369086</t>
        </is>
      </c>
      <c r="J2564" s="33" t="inlineStr"/>
      <c r="K2564" s="33" t="inlineStr">
        <is>
          <t>TIM</t>
        </is>
      </c>
      <c r="L2564" s="35">
        <f>IF(K2564="FIN",3,IF(OR(K2564="SEM",K2564="SEMI"),2,IF(OR(K2564="PRE",K2564="HEAT"),1,IF(V2564="YES",4,2))))</f>
        <v/>
      </c>
      <c r="M2564" s="33" t="inlineStr">
        <is>
          <t>LCM</t>
        </is>
      </c>
      <c r="N2564" s="33" t="n">
        <v>400</v>
      </c>
      <c r="O2564" s="33" t="inlineStr">
        <is>
          <t>Free</t>
        </is>
      </c>
      <c r="P2564" s="33" t="inlineStr">
        <is>
          <t>400 Free</t>
        </is>
      </c>
      <c r="Q2564" s="33" t="inlineStr">
        <is>
          <t>LCM_400_FREE</t>
        </is>
      </c>
      <c r="R2564" s="36" t="n">
        <v>258.46</v>
      </c>
      <c r="S2564" s="35">
        <f>IF(R2564="","",IF(R2564&gt;=60,INT(R2564/60)&amp;":"&amp;TEXT(MOD(R2564,60),"00.00"),TEXT(R2564,"0.00")))</f>
        <v/>
      </c>
      <c r="T2564" s="52">
        <f>IFERROR((G2564-INDEX('01_Swimmers'!$E$5:$E$22,MATCH(B2564,'01_Swimmers'!$A$5:$A$22,0)))/'00_Control'!$B$10,"")</f>
        <v/>
      </c>
      <c r="U2564" s="35">
        <f>IF(T2564="","",INT(T2564))</f>
        <v/>
      </c>
      <c r="V2564" s="33" t="inlineStr">
        <is>
          <t>NO</t>
        </is>
      </c>
      <c r="W2564" s="33" t="inlineStr">
        <is>
          <t>YES</t>
        </is>
      </c>
      <c r="X2564" s="33" t="inlineStr">
        <is>
          <t>NO</t>
        </is>
      </c>
      <c r="Y2564" s="33" t="n">
        <v>8</v>
      </c>
      <c r="Z2564" s="33" t="n">
        <v>3</v>
      </c>
      <c r="AA2564" s="33" t="inlineStr">
        <is>
          <t>1</t>
        </is>
      </c>
      <c r="AB2564" s="33" t="inlineStr">
        <is>
          <t>https://www.swimcloud.com/results/369086/event/34/?id=166947961#time166947961</t>
        </is>
      </c>
      <c r="AC2564" s="33" t="inlineStr">
        <is>
          <t>SwimCloud API v6 2026-10-08</t>
        </is>
      </c>
      <c r="AD2564" s="33" t="inlineStr">
        <is>
          <t>Miron Bunakov|2025-12-22|LCM|400|Free|258.46|Hancock Prospecting State LC Championships|TIM|False</t>
        </is>
      </c>
      <c r="AE2564" s="53">
        <f>G2564+L2564/1000+ROW()/1000000000</f>
        <v/>
      </c>
      <c r="AF2564" s="35">
        <f>IF(C2564&lt;&gt;"Grayson Coulter","",COUNTIFS($C$5:$C$2991,"Grayson Coulter",$Q$5:$Q$2991,Q2564,$AE$5:$AE$2991,"&lt;="&amp;AE2564,$R$5:$R$2991,"&lt;"&amp;R2564))</f>
        <v/>
      </c>
      <c r="AG2564" s="35">
        <f>IF(OR(C2564&lt;&gt;"Grayson Coulter",G2564&lt;'00_Control'!$B$7),"",--(AF2564&lt;5))</f>
        <v/>
      </c>
      <c r="AH2564" s="35">
        <f>IF(OR(C2564&lt;&gt;"Grayson Coulter",G2564&lt;'00_Control'!$B$7),"",--(AF2564&lt;10))</f>
        <v/>
      </c>
      <c r="AI2564" s="35">
        <f>IF(AND(C2564="Grayson Coulter",G2564&gt;='00_Control'!$B$7),"YES","NO")</f>
        <v/>
      </c>
      <c r="AJ2564" s="33" t="inlineStr">
        <is>
          <t>OK</t>
        </is>
      </c>
    </row>
    <row r="2565">
      <c r="A2565" s="33" t="inlineStr">
        <is>
          <t>SM002561</t>
        </is>
      </c>
      <c r="B2565" s="33" t="inlineStr">
        <is>
          <t>SW002</t>
        </is>
      </c>
      <c r="C2565" s="33" t="inlineStr">
        <is>
          <t>Miron Bunakov</t>
        </is>
      </c>
      <c r="D2565" s="33" t="inlineStr">
        <is>
          <t>SwimCloud</t>
        </is>
      </c>
      <c r="E2565" s="33" t="inlineStr">
        <is>
          <t>3360584</t>
        </is>
      </c>
      <c r="F2565" s="33" t="inlineStr">
        <is>
          <t>174304878</t>
        </is>
      </c>
      <c r="G2565" s="51" t="n">
        <v>46098</v>
      </c>
      <c r="H2565" s="33" t="inlineStr">
        <is>
          <t>Singapore National Age Group Championship</t>
        </is>
      </c>
      <c r="I2565" s="33" t="inlineStr">
        <is>
          <t>378331</t>
        </is>
      </c>
      <c r="J2565" s="33" t="inlineStr"/>
      <c r="K2565" s="33" t="inlineStr">
        <is>
          <t>PRE</t>
        </is>
      </c>
      <c r="L2565" s="35">
        <f>IF(K2565="FIN",3,IF(OR(K2565="SEM",K2565="SEMI"),2,IF(OR(K2565="PRE",K2565="HEAT"),1,IF(V2565="YES",4,2))))</f>
        <v/>
      </c>
      <c r="M2565" s="33" t="inlineStr">
        <is>
          <t>LCM</t>
        </is>
      </c>
      <c r="N2565" s="33" t="n">
        <v>100</v>
      </c>
      <c r="O2565" s="33" t="inlineStr">
        <is>
          <t>Free</t>
        </is>
      </c>
      <c r="P2565" s="33" t="inlineStr">
        <is>
          <t>100 Free</t>
        </is>
      </c>
      <c r="Q2565" s="33" t="inlineStr">
        <is>
          <t>LCM_100_FREE</t>
        </is>
      </c>
      <c r="R2565" s="36" t="n">
        <v>51.26</v>
      </c>
      <c r="S2565" s="35">
        <f>IF(R2565="","",IF(R2565&gt;=60,INT(R2565/60)&amp;":"&amp;TEXT(MOD(R2565,60),"00.00"),TEXT(R2565,"0.00")))</f>
        <v/>
      </c>
      <c r="T2565" s="52">
        <f>IFERROR((G2565-INDEX('01_Swimmers'!$E$5:$E$22,MATCH(B2565,'01_Swimmers'!$A$5:$A$22,0)))/'00_Control'!$B$10,"")</f>
        <v/>
      </c>
      <c r="U2565" s="35">
        <f>IF(T2565="","",INT(T2565))</f>
        <v/>
      </c>
      <c r="V2565" s="33" t="inlineStr">
        <is>
          <t>NO</t>
        </is>
      </c>
      <c r="W2565" s="33" t="inlineStr">
        <is>
          <t>YES</t>
        </is>
      </c>
      <c r="X2565" s="33" t="inlineStr">
        <is>
          <t>NO</t>
        </is>
      </c>
      <c r="Y2565" s="33" t="n">
        <v>1</v>
      </c>
      <c r="Z2565" s="33" t="n">
        <v>1</v>
      </c>
      <c r="AA2565" s="33" t="inlineStr">
        <is>
          <t>1</t>
        </is>
      </c>
      <c r="AB2565" s="33" t="inlineStr">
        <is>
          <t>https://www.swimcloud.com/results/378331/event/103/?id=174304878#time174304878</t>
        </is>
      </c>
      <c r="AC2565" s="33" t="inlineStr">
        <is>
          <t>SwimCloud API v6 2026-10-08</t>
        </is>
      </c>
      <c r="AD2565" s="33" t="inlineStr">
        <is>
          <t>Miron Bunakov|2026-03-17|LCM|100|Free|51.26|Singapore National Age Group Championship|PRE|False</t>
        </is>
      </c>
      <c r="AE2565" s="53">
        <f>G2565+L2565/1000+ROW()/1000000000</f>
        <v/>
      </c>
      <c r="AF2565" s="35">
        <f>IF(C2565&lt;&gt;"Grayson Coulter","",COUNTIFS($C$5:$C$2991,"Grayson Coulter",$Q$5:$Q$2991,Q2565,$AE$5:$AE$2991,"&lt;="&amp;AE2565,$R$5:$R$2991,"&lt;"&amp;R2565))</f>
        <v/>
      </c>
      <c r="AG2565" s="35">
        <f>IF(OR(C2565&lt;&gt;"Grayson Coulter",G2565&lt;'00_Control'!$B$7),"",--(AF2565&lt;5))</f>
        <v/>
      </c>
      <c r="AH2565" s="35">
        <f>IF(OR(C2565&lt;&gt;"Grayson Coulter",G2565&lt;'00_Control'!$B$7),"",--(AF2565&lt;10))</f>
        <v/>
      </c>
      <c r="AI2565" s="35">
        <f>IF(AND(C2565="Grayson Coulter",G2565&gt;='00_Control'!$B$7),"YES","NO")</f>
        <v/>
      </c>
      <c r="AJ2565" s="33" t="inlineStr">
        <is>
          <t>OK</t>
        </is>
      </c>
    </row>
    <row r="2566">
      <c r="A2566" s="33" t="inlineStr">
        <is>
          <t>SM002562</t>
        </is>
      </c>
      <c r="B2566" s="33" t="inlineStr">
        <is>
          <t>SW002</t>
        </is>
      </c>
      <c r="C2566" s="33" t="inlineStr">
        <is>
          <t>Miron Bunakov</t>
        </is>
      </c>
      <c r="D2566" s="33" t="inlineStr">
        <is>
          <t>SwimCloud</t>
        </is>
      </c>
      <c r="E2566" s="33" t="inlineStr">
        <is>
          <t>3360584</t>
        </is>
      </c>
      <c r="F2566" s="33" t="inlineStr">
        <is>
          <t>174304879</t>
        </is>
      </c>
      <c r="G2566" s="51" t="n">
        <v>46098</v>
      </c>
      <c r="H2566" s="33" t="inlineStr">
        <is>
          <t>Singapore National Age Group Championship</t>
        </is>
      </c>
      <c r="I2566" s="33" t="inlineStr">
        <is>
          <t>378331</t>
        </is>
      </c>
      <c r="J2566" s="33" t="inlineStr"/>
      <c r="K2566" s="33" t="inlineStr">
        <is>
          <t>FIN</t>
        </is>
      </c>
      <c r="L2566" s="35">
        <f>IF(K2566="FIN",3,IF(OR(K2566="SEM",K2566="SEMI"),2,IF(OR(K2566="PRE",K2566="HEAT"),1,IF(V2566="YES",4,2))))</f>
        <v/>
      </c>
      <c r="M2566" s="33" t="inlineStr">
        <is>
          <t>LCM</t>
        </is>
      </c>
      <c r="N2566" s="33" t="n">
        <v>100</v>
      </c>
      <c r="O2566" s="33" t="inlineStr">
        <is>
          <t>Free</t>
        </is>
      </c>
      <c r="P2566" s="33" t="inlineStr">
        <is>
          <t>100 Free</t>
        </is>
      </c>
      <c r="Q2566" s="33" t="inlineStr">
        <is>
          <t>LCM_100_FREE</t>
        </is>
      </c>
      <c r="R2566" s="36" t="n">
        <v>50.78</v>
      </c>
      <c r="S2566" s="35">
        <f>IF(R2566="","",IF(R2566&gt;=60,INT(R2566/60)&amp;":"&amp;TEXT(MOD(R2566,60),"00.00"),TEXT(R2566,"0.00")))</f>
        <v/>
      </c>
      <c r="T2566" s="52">
        <f>IFERROR((G2566-INDEX('01_Swimmers'!$E$5:$E$22,MATCH(B2566,'01_Swimmers'!$A$5:$A$22,0)))/'00_Control'!$B$10,"")</f>
        <v/>
      </c>
      <c r="U2566" s="35">
        <f>IF(T2566="","",INT(T2566))</f>
        <v/>
      </c>
      <c r="V2566" s="33" t="inlineStr">
        <is>
          <t>NO</t>
        </is>
      </c>
      <c r="W2566" s="33" t="inlineStr">
        <is>
          <t>YES</t>
        </is>
      </c>
      <c r="X2566" s="33" t="inlineStr">
        <is>
          <t>NO</t>
        </is>
      </c>
      <c r="Y2566" s="33" t="n">
        <v>5</v>
      </c>
      <c r="Z2566" s="33" t="n">
        <v>6</v>
      </c>
      <c r="AA2566" s="33" t="inlineStr">
        <is>
          <t>1</t>
        </is>
      </c>
      <c r="AB2566" s="33" t="inlineStr">
        <is>
          <t>https://www.swimcloud.com/results/378331/event/103/?id=174304879#time174304879</t>
        </is>
      </c>
      <c r="AC2566" s="33" t="inlineStr">
        <is>
          <t>SwimCloud API v6 2026-10-08</t>
        </is>
      </c>
      <c r="AD2566" s="33" t="inlineStr">
        <is>
          <t>Miron Bunakov|2026-03-17|LCM|100|Free|50.78|Singapore National Age Group Championship|FIN|False</t>
        </is>
      </c>
      <c r="AE2566" s="53">
        <f>G2566+L2566/1000+ROW()/1000000000</f>
        <v/>
      </c>
      <c r="AF2566" s="35">
        <f>IF(C2566&lt;&gt;"Grayson Coulter","",COUNTIFS($C$5:$C$2991,"Grayson Coulter",$Q$5:$Q$2991,Q2566,$AE$5:$AE$2991,"&lt;="&amp;AE2566,$R$5:$R$2991,"&lt;"&amp;R2566))</f>
        <v/>
      </c>
      <c r="AG2566" s="35">
        <f>IF(OR(C2566&lt;&gt;"Grayson Coulter",G2566&lt;'00_Control'!$B$7),"",--(AF2566&lt;5))</f>
        <v/>
      </c>
      <c r="AH2566" s="35">
        <f>IF(OR(C2566&lt;&gt;"Grayson Coulter",G2566&lt;'00_Control'!$B$7),"",--(AF2566&lt;10))</f>
        <v/>
      </c>
      <c r="AI2566" s="35">
        <f>IF(AND(C2566="Grayson Coulter",G2566&gt;='00_Control'!$B$7),"YES","NO")</f>
        <v/>
      </c>
      <c r="AJ2566" s="33" t="inlineStr">
        <is>
          <t>OK</t>
        </is>
      </c>
    </row>
    <row r="2567">
      <c r="A2567" s="33" t="inlineStr">
        <is>
          <t>SM002563</t>
        </is>
      </c>
      <c r="B2567" s="33" t="inlineStr">
        <is>
          <t>SW002</t>
        </is>
      </c>
      <c r="C2567" s="33" t="inlineStr">
        <is>
          <t>Miron Bunakov</t>
        </is>
      </c>
      <c r="D2567" s="33" t="inlineStr">
        <is>
          <t>SwimCloud</t>
        </is>
      </c>
      <c r="E2567" s="33" t="inlineStr">
        <is>
          <t>3360584</t>
        </is>
      </c>
      <c r="F2567" s="33" t="inlineStr">
        <is>
          <t>174307309</t>
        </is>
      </c>
      <c r="G2567" s="51" t="n">
        <v>46099</v>
      </c>
      <c r="H2567" s="33" t="inlineStr">
        <is>
          <t>Singapore National Age Group Championship</t>
        </is>
      </c>
      <c r="I2567" s="33" t="inlineStr">
        <is>
          <t>378331</t>
        </is>
      </c>
      <c r="J2567" s="33" t="inlineStr"/>
      <c r="K2567" s="33" t="inlineStr">
        <is>
          <t>TIM</t>
        </is>
      </c>
      <c r="L2567" s="35">
        <f>IF(K2567="FIN",3,IF(OR(K2567="SEM",K2567="SEMI"),2,IF(OR(K2567="PRE",K2567="HEAT"),1,IF(V2567="YES",4,2))))</f>
        <v/>
      </c>
      <c r="M2567" s="33" t="inlineStr">
        <is>
          <t>LCM</t>
        </is>
      </c>
      <c r="N2567" s="33" t="n">
        <v>200</v>
      </c>
      <c r="O2567" s="33" t="inlineStr">
        <is>
          <t>Free</t>
        </is>
      </c>
      <c r="P2567" s="33" t="inlineStr">
        <is>
          <t>200 Free</t>
        </is>
      </c>
      <c r="Q2567" s="33" t="inlineStr">
        <is>
          <t>LCM_200_FREE</t>
        </is>
      </c>
      <c r="R2567" s="36" t="n">
        <v>114.24</v>
      </c>
      <c r="S2567" s="35">
        <f>IF(R2567="","",IF(R2567&gt;=60,INT(R2567/60)&amp;":"&amp;TEXT(MOD(R2567,60),"00.00"),TEXT(R2567,"0.00")))</f>
        <v/>
      </c>
      <c r="T2567" s="52">
        <f>IFERROR((G2567-INDEX('01_Swimmers'!$E$5:$E$22,MATCH(B2567,'01_Swimmers'!$A$5:$A$22,0)))/'00_Control'!$B$10,"")</f>
        <v/>
      </c>
      <c r="U2567" s="35">
        <f>IF(T2567="","",INT(T2567))</f>
        <v/>
      </c>
      <c r="V2567" s="33" t="inlineStr">
        <is>
          <t>YES</t>
        </is>
      </c>
      <c r="W2567" s="33" t="inlineStr">
        <is>
          <t>YES</t>
        </is>
      </c>
      <c r="X2567" s="33" t="inlineStr">
        <is>
          <t>NO</t>
        </is>
      </c>
      <c r="Y2567" s="33" t="n">
        <v>2</v>
      </c>
      <c r="Z2567" s="33" t="n">
        <v>1</v>
      </c>
      <c r="AA2567" s="33" t="inlineStr"/>
      <c r="AB2567" s="33" t="inlineStr">
        <is>
          <t>https://www.swimcloud.com/results/378331/event/207/?id=174305923#time174305923</t>
        </is>
      </c>
      <c r="AC2567" s="33" t="inlineStr">
        <is>
          <t>SwimCloud API v6 2026-10-08</t>
        </is>
      </c>
      <c r="AD2567" s="33" t="inlineStr">
        <is>
          <t>Miron Bunakov|2026-03-18|LCM|200|Free|114.24|Singapore National Age Group Championship|TIM|True</t>
        </is>
      </c>
      <c r="AE2567" s="53">
        <f>G2567+L2567/1000+ROW()/1000000000</f>
        <v/>
      </c>
      <c r="AF2567" s="35">
        <f>IF(C2567&lt;&gt;"Grayson Coulter","",COUNTIFS($C$5:$C$2991,"Grayson Coulter",$Q$5:$Q$2991,Q2567,$AE$5:$AE$2991,"&lt;="&amp;AE2567,$R$5:$R$2991,"&lt;"&amp;R2567))</f>
        <v/>
      </c>
      <c r="AG2567" s="35">
        <f>IF(OR(C2567&lt;&gt;"Grayson Coulter",G2567&lt;'00_Control'!$B$7),"",--(AF2567&lt;5))</f>
        <v/>
      </c>
      <c r="AH2567" s="35">
        <f>IF(OR(C2567&lt;&gt;"Grayson Coulter",G2567&lt;'00_Control'!$B$7),"",--(AF2567&lt;10))</f>
        <v/>
      </c>
      <c r="AI2567" s="35">
        <f>IF(AND(C2567="Grayson Coulter",G2567&gt;='00_Control'!$B$7),"YES","NO")</f>
        <v/>
      </c>
      <c r="AJ2567" s="33" t="inlineStr">
        <is>
          <t>OK</t>
        </is>
      </c>
    </row>
    <row r="2568">
      <c r="A2568" s="33" t="inlineStr">
        <is>
          <t>SM002564</t>
        </is>
      </c>
      <c r="B2568" s="33" t="inlineStr">
        <is>
          <t>SW002</t>
        </is>
      </c>
      <c r="C2568" s="33" t="inlineStr">
        <is>
          <t>Miron Bunakov</t>
        </is>
      </c>
      <c r="D2568" s="33" t="inlineStr">
        <is>
          <t>SwimCloud</t>
        </is>
      </c>
      <c r="E2568" s="33" t="inlineStr">
        <is>
          <t>3360584</t>
        </is>
      </c>
      <c r="F2568" s="33" t="inlineStr">
        <is>
          <t>174306459</t>
        </is>
      </c>
      <c r="G2568" s="51" t="n">
        <v>46101</v>
      </c>
      <c r="H2568" s="33" t="inlineStr">
        <is>
          <t>Singapore National Age Group Championship</t>
        </is>
      </c>
      <c r="I2568" s="33" t="inlineStr">
        <is>
          <t>378331</t>
        </is>
      </c>
      <c r="J2568" s="33" t="inlineStr"/>
      <c r="K2568" s="33" t="inlineStr">
        <is>
          <t>PRE</t>
        </is>
      </c>
      <c r="L2568" s="35">
        <f>IF(K2568="FIN",3,IF(OR(K2568="SEM",K2568="SEMI"),2,IF(OR(K2568="PRE",K2568="HEAT"),1,IF(V2568="YES",4,2))))</f>
        <v/>
      </c>
      <c r="M2568" s="33" t="inlineStr">
        <is>
          <t>LCM</t>
        </is>
      </c>
      <c r="N2568" s="33" t="n">
        <v>100</v>
      </c>
      <c r="O2568" s="33" t="inlineStr">
        <is>
          <t>Fly</t>
        </is>
      </c>
      <c r="P2568" s="33" t="inlineStr">
        <is>
          <t>100 Fly</t>
        </is>
      </c>
      <c r="Q2568" s="33" t="inlineStr">
        <is>
          <t>LCM_100_FLY</t>
        </is>
      </c>
      <c r="R2568" s="36" t="n">
        <v>56.74</v>
      </c>
      <c r="S2568" s="35">
        <f>IF(R2568="","",IF(R2568&gt;=60,INT(R2568/60)&amp;":"&amp;TEXT(MOD(R2568,60),"00.00"),TEXT(R2568,"0.00")))</f>
        <v/>
      </c>
      <c r="T2568" s="52">
        <f>IFERROR((G2568-INDEX('01_Swimmers'!$E$5:$E$22,MATCH(B2568,'01_Swimmers'!$A$5:$A$22,0)))/'00_Control'!$B$10,"")</f>
        <v/>
      </c>
      <c r="U2568" s="35">
        <f>IF(T2568="","",INT(T2568))</f>
        <v/>
      </c>
      <c r="V2568" s="33" t="inlineStr">
        <is>
          <t>NO</t>
        </is>
      </c>
      <c r="W2568" s="33" t="inlineStr">
        <is>
          <t>YES</t>
        </is>
      </c>
      <c r="X2568" s="33" t="inlineStr">
        <is>
          <t>NO</t>
        </is>
      </c>
      <c r="Y2568" s="33" t="n">
        <v>1</v>
      </c>
      <c r="Z2568" s="33" t="n">
        <v>0</v>
      </c>
      <c r="AA2568" s="33" t="inlineStr">
        <is>
          <t>10</t>
        </is>
      </c>
      <c r="AB2568" s="33" t="inlineStr">
        <is>
          <t>https://www.swimcloud.com/results/378331/event/402/?id=174306459#time174306459</t>
        </is>
      </c>
      <c r="AC2568" s="33" t="inlineStr">
        <is>
          <t>SwimCloud API v6 2026-10-08</t>
        </is>
      </c>
      <c r="AD2568" s="33" t="inlineStr">
        <is>
          <t>Miron Bunakov|2026-03-20|LCM|100|Fly|56.74|Singapore National Age Group Championship|PRE|False</t>
        </is>
      </c>
      <c r="AE2568" s="53">
        <f>G2568+L2568/1000+ROW()/1000000000</f>
        <v/>
      </c>
      <c r="AF2568" s="35">
        <f>IF(C2568&lt;&gt;"Grayson Coulter","",COUNTIFS($C$5:$C$2991,"Grayson Coulter",$Q$5:$Q$2991,Q2568,$AE$5:$AE$2991,"&lt;="&amp;AE2568,$R$5:$R$2991,"&lt;"&amp;R2568))</f>
        <v/>
      </c>
      <c r="AG2568" s="35">
        <f>IF(OR(C2568&lt;&gt;"Grayson Coulter",G2568&lt;'00_Control'!$B$7),"",--(AF2568&lt;5))</f>
        <v/>
      </c>
      <c r="AH2568" s="35">
        <f>IF(OR(C2568&lt;&gt;"Grayson Coulter",G2568&lt;'00_Control'!$B$7),"",--(AF2568&lt;10))</f>
        <v/>
      </c>
      <c r="AI2568" s="35">
        <f>IF(AND(C2568="Grayson Coulter",G2568&gt;='00_Control'!$B$7),"YES","NO")</f>
        <v/>
      </c>
      <c r="AJ2568" s="33" t="inlineStr">
        <is>
          <t>OK</t>
        </is>
      </c>
    </row>
    <row r="2569">
      <c r="A2569" s="33" t="inlineStr">
        <is>
          <t>SM002565</t>
        </is>
      </c>
      <c r="B2569" s="33" t="inlineStr">
        <is>
          <t>SW002</t>
        </is>
      </c>
      <c r="C2569" s="33" t="inlineStr">
        <is>
          <t>Miron Bunakov</t>
        </is>
      </c>
      <c r="D2569" s="33" t="inlineStr">
        <is>
          <t>SwimCloud</t>
        </is>
      </c>
      <c r="E2569" s="33" t="inlineStr">
        <is>
          <t>3360584</t>
        </is>
      </c>
      <c r="F2569" s="33" t="inlineStr">
        <is>
          <t>174302178</t>
        </is>
      </c>
      <c r="G2569" s="51" t="n">
        <v>46101</v>
      </c>
      <c r="H2569" s="33" t="inlineStr">
        <is>
          <t>Singapore National Age Group Championship</t>
        </is>
      </c>
      <c r="I2569" s="33" t="inlineStr">
        <is>
          <t>378331</t>
        </is>
      </c>
      <c r="J2569" s="33" t="inlineStr"/>
      <c r="K2569" s="33" t="inlineStr">
        <is>
          <t>PRE</t>
        </is>
      </c>
      <c r="L2569" s="35">
        <f>IF(K2569="FIN",3,IF(OR(K2569="SEM",K2569="SEMI"),2,IF(OR(K2569="PRE",K2569="HEAT"),1,IF(V2569="YES",4,2))))</f>
        <v/>
      </c>
      <c r="M2569" s="33" t="inlineStr">
        <is>
          <t>LCM</t>
        </is>
      </c>
      <c r="N2569" s="33" t="n">
        <v>200</v>
      </c>
      <c r="O2569" s="33" t="inlineStr">
        <is>
          <t>Free</t>
        </is>
      </c>
      <c r="P2569" s="33" t="inlineStr">
        <is>
          <t>200 Free</t>
        </is>
      </c>
      <c r="Q2569" s="33" t="inlineStr">
        <is>
          <t>LCM_200_FREE</t>
        </is>
      </c>
      <c r="R2569" s="36" t="n">
        <v>113.59</v>
      </c>
      <c r="S2569" s="35">
        <f>IF(R2569="","",IF(R2569&gt;=60,INT(R2569/60)&amp;":"&amp;TEXT(MOD(R2569,60),"00.00"),TEXT(R2569,"0.00")))</f>
        <v/>
      </c>
      <c r="T2569" s="52">
        <f>IFERROR((G2569-INDEX('01_Swimmers'!$E$5:$E$22,MATCH(B2569,'01_Swimmers'!$A$5:$A$22,0)))/'00_Control'!$B$10,"")</f>
        <v/>
      </c>
      <c r="U2569" s="35">
        <f>IF(T2569="","",INT(T2569))</f>
        <v/>
      </c>
      <c r="V2569" s="33" t="inlineStr">
        <is>
          <t>NO</t>
        </is>
      </c>
      <c r="W2569" s="33" t="inlineStr">
        <is>
          <t>YES</t>
        </is>
      </c>
      <c r="X2569" s="33" t="inlineStr">
        <is>
          <t>NO</t>
        </is>
      </c>
      <c r="Y2569" s="33" t="n">
        <v>3</v>
      </c>
      <c r="Z2569" s="33" t="n">
        <v>7</v>
      </c>
      <c r="AA2569" s="33" t="inlineStr">
        <is>
          <t>8</t>
        </is>
      </c>
      <c r="AB2569" s="33" t="inlineStr">
        <is>
          <t>https://www.swimcloud.com/results/378331/event/404/?id=174302178#time174302178</t>
        </is>
      </c>
      <c r="AC2569" s="33" t="inlineStr">
        <is>
          <t>SwimCloud API v6 2026-10-08</t>
        </is>
      </c>
      <c r="AD2569" s="33" t="inlineStr">
        <is>
          <t>Miron Bunakov|2026-03-20|LCM|200|Free|113.59|Singapore National Age Group Championship|PRE|False</t>
        </is>
      </c>
      <c r="AE2569" s="53">
        <f>G2569+L2569/1000+ROW()/1000000000</f>
        <v/>
      </c>
      <c r="AF2569" s="35">
        <f>IF(C2569&lt;&gt;"Grayson Coulter","",COUNTIFS($C$5:$C$2991,"Grayson Coulter",$Q$5:$Q$2991,Q2569,$AE$5:$AE$2991,"&lt;="&amp;AE2569,$R$5:$R$2991,"&lt;"&amp;R2569))</f>
        <v/>
      </c>
      <c r="AG2569" s="35">
        <f>IF(OR(C2569&lt;&gt;"Grayson Coulter",G2569&lt;'00_Control'!$B$7),"",--(AF2569&lt;5))</f>
        <v/>
      </c>
      <c r="AH2569" s="35">
        <f>IF(OR(C2569&lt;&gt;"Grayson Coulter",G2569&lt;'00_Control'!$B$7),"",--(AF2569&lt;10))</f>
        <v/>
      </c>
      <c r="AI2569" s="35">
        <f>IF(AND(C2569="Grayson Coulter",G2569&gt;='00_Control'!$B$7),"YES","NO")</f>
        <v/>
      </c>
      <c r="AJ2569" s="33" t="inlineStr">
        <is>
          <t>OK</t>
        </is>
      </c>
    </row>
    <row r="2570">
      <c r="A2570" s="33" t="inlineStr">
        <is>
          <t>SM002566</t>
        </is>
      </c>
      <c r="B2570" s="33" t="inlineStr">
        <is>
          <t>SW002</t>
        </is>
      </c>
      <c r="C2570" s="33" t="inlineStr">
        <is>
          <t>Miron Bunakov</t>
        </is>
      </c>
      <c r="D2570" s="33" t="inlineStr">
        <is>
          <t>SwimCloud</t>
        </is>
      </c>
      <c r="E2570" s="33" t="inlineStr">
        <is>
          <t>3360584</t>
        </is>
      </c>
      <c r="F2570" s="33" t="inlineStr">
        <is>
          <t>174302179</t>
        </is>
      </c>
      <c r="G2570" s="51" t="n">
        <v>46101</v>
      </c>
      <c r="H2570" s="33" t="inlineStr">
        <is>
          <t>Singapore National Age Group Championship</t>
        </is>
      </c>
      <c r="I2570" s="33" t="inlineStr">
        <is>
          <t>378331</t>
        </is>
      </c>
      <c r="J2570" s="33" t="inlineStr"/>
      <c r="K2570" s="33" t="inlineStr">
        <is>
          <t>FIN</t>
        </is>
      </c>
      <c r="L2570" s="35">
        <f>IF(K2570="FIN",3,IF(OR(K2570="SEM",K2570="SEMI"),2,IF(OR(K2570="PRE",K2570="HEAT"),1,IF(V2570="YES",4,2))))</f>
        <v/>
      </c>
      <c r="M2570" s="33" t="inlineStr">
        <is>
          <t>LCM</t>
        </is>
      </c>
      <c r="N2570" s="33" t="n">
        <v>200</v>
      </c>
      <c r="O2570" s="33" t="inlineStr">
        <is>
          <t>Free</t>
        </is>
      </c>
      <c r="P2570" s="33" t="inlineStr">
        <is>
          <t>200 Free</t>
        </is>
      </c>
      <c r="Q2570" s="33" t="inlineStr">
        <is>
          <t>LCM_200_FREE</t>
        </is>
      </c>
      <c r="R2570" s="36" t="n">
        <v>111.58</v>
      </c>
      <c r="S2570" s="35">
        <f>IF(R2570="","",IF(R2570&gt;=60,INT(R2570/60)&amp;":"&amp;TEXT(MOD(R2570,60),"00.00"),TEXT(R2570,"0.00")))</f>
        <v/>
      </c>
      <c r="T2570" s="52">
        <f>IFERROR((G2570-INDEX('01_Swimmers'!$E$5:$E$22,MATCH(B2570,'01_Swimmers'!$A$5:$A$22,0)))/'00_Control'!$B$10,"")</f>
        <v/>
      </c>
      <c r="U2570" s="35">
        <f>IF(T2570="","",INT(T2570))</f>
        <v/>
      </c>
      <c r="V2570" s="33" t="inlineStr">
        <is>
          <t>NO</t>
        </is>
      </c>
      <c r="W2570" s="33" t="inlineStr">
        <is>
          <t>YES</t>
        </is>
      </c>
      <c r="X2570" s="33" t="inlineStr">
        <is>
          <t>NO</t>
        </is>
      </c>
      <c r="Y2570" s="33" t="n">
        <v>4</v>
      </c>
      <c r="Z2570" s="33" t="n">
        <v>5</v>
      </c>
      <c r="AA2570" s="33" t="inlineStr">
        <is>
          <t>2</t>
        </is>
      </c>
      <c r="AB2570" s="33" t="inlineStr">
        <is>
          <t>https://www.swimcloud.com/results/378331/event/404/?id=174302179#time174302179</t>
        </is>
      </c>
      <c r="AC2570" s="33" t="inlineStr">
        <is>
          <t>SwimCloud API v6 2026-10-08</t>
        </is>
      </c>
      <c r="AD2570" s="33" t="inlineStr">
        <is>
          <t>Miron Bunakov|2026-03-20|LCM|200|Free|111.58|Singapore National Age Group Championship|FIN|False</t>
        </is>
      </c>
      <c r="AE2570" s="53">
        <f>G2570+L2570/1000+ROW()/1000000000</f>
        <v/>
      </c>
      <c r="AF2570" s="35">
        <f>IF(C2570&lt;&gt;"Grayson Coulter","",COUNTIFS($C$5:$C$2991,"Grayson Coulter",$Q$5:$Q$2991,Q2570,$AE$5:$AE$2991,"&lt;="&amp;AE2570,$R$5:$R$2991,"&lt;"&amp;R2570))</f>
        <v/>
      </c>
      <c r="AG2570" s="35">
        <f>IF(OR(C2570&lt;&gt;"Grayson Coulter",G2570&lt;'00_Control'!$B$7),"",--(AF2570&lt;5))</f>
        <v/>
      </c>
      <c r="AH2570" s="35">
        <f>IF(OR(C2570&lt;&gt;"Grayson Coulter",G2570&lt;'00_Control'!$B$7),"",--(AF2570&lt;10))</f>
        <v/>
      </c>
      <c r="AI2570" s="35">
        <f>IF(AND(C2570="Grayson Coulter",G2570&gt;='00_Control'!$B$7),"YES","NO")</f>
        <v/>
      </c>
      <c r="AJ2570" s="33" t="inlineStr">
        <is>
          <t>OK</t>
        </is>
      </c>
    </row>
    <row r="2571">
      <c r="A2571" s="33" t="inlineStr">
        <is>
          <t>SM002567</t>
        </is>
      </c>
      <c r="B2571" s="33" t="inlineStr">
        <is>
          <t>SW002</t>
        </is>
      </c>
      <c r="C2571" s="33" t="inlineStr">
        <is>
          <t>Miron Bunakov</t>
        </is>
      </c>
      <c r="D2571" s="33" t="inlineStr">
        <is>
          <t>SwimCloud</t>
        </is>
      </c>
      <c r="E2571" s="33" t="inlineStr">
        <is>
          <t>3360584</t>
        </is>
      </c>
      <c r="F2571" s="33" t="inlineStr">
        <is>
          <t>176052020</t>
        </is>
      </c>
      <c r="G2571" s="51" t="n">
        <v>46136</v>
      </c>
      <c r="H2571" s="33" t="inlineStr">
        <is>
          <t>Dragons Den International Inv</t>
        </is>
      </c>
      <c r="I2571" s="33" t="inlineStr">
        <is>
          <t>384951</t>
        </is>
      </c>
      <c r="J2571" s="33" t="inlineStr"/>
      <c r="K2571" s="33" t="inlineStr">
        <is>
          <t>TIM</t>
        </is>
      </c>
      <c r="L2571" s="35">
        <f>IF(K2571="FIN",3,IF(OR(K2571="SEM",K2571="SEMI"),2,IF(OR(K2571="PRE",K2571="HEAT"),1,IF(V2571="YES",4,2))))</f>
        <v/>
      </c>
      <c r="M2571" s="33" t="inlineStr">
        <is>
          <t>LCM</t>
        </is>
      </c>
      <c r="N2571" s="33" t="n">
        <v>400</v>
      </c>
      <c r="O2571" s="33" t="inlineStr">
        <is>
          <t>Free</t>
        </is>
      </c>
      <c r="P2571" s="33" t="inlineStr">
        <is>
          <t>400 Free</t>
        </is>
      </c>
      <c r="Q2571" s="33" t="inlineStr">
        <is>
          <t>LCM_400_FREE</t>
        </is>
      </c>
      <c r="R2571" s="36" t="n">
        <v>252.83</v>
      </c>
      <c r="S2571" s="35">
        <f>IF(R2571="","",IF(R2571&gt;=60,INT(R2571/60)&amp;":"&amp;TEXT(MOD(R2571,60),"00.00"),TEXT(R2571,"0.00")))</f>
        <v/>
      </c>
      <c r="T2571" s="52">
        <f>IFERROR((G2571-INDEX('01_Swimmers'!$E$5:$E$22,MATCH(B2571,'01_Swimmers'!$A$5:$A$22,0)))/'00_Control'!$B$10,"")</f>
        <v/>
      </c>
      <c r="U2571" s="35">
        <f>IF(T2571="","",INT(T2571))</f>
        <v/>
      </c>
      <c r="V2571" s="33" t="inlineStr">
        <is>
          <t>NO</t>
        </is>
      </c>
      <c r="W2571" s="33" t="inlineStr">
        <is>
          <t>YES</t>
        </is>
      </c>
      <c r="X2571" s="33" t="inlineStr">
        <is>
          <t>NO</t>
        </is>
      </c>
      <c r="Y2571" s="33" t="n">
        <v>3</v>
      </c>
      <c r="Z2571" s="33" t="n">
        <v>4</v>
      </c>
      <c r="AA2571" s="33" t="inlineStr">
        <is>
          <t>1</t>
        </is>
      </c>
      <c r="AB2571" s="33" t="inlineStr">
        <is>
          <t>https://www.swimcloud.com/results/384951/event/106/?id=176052020#time176052020</t>
        </is>
      </c>
      <c r="AC2571" s="33" t="inlineStr">
        <is>
          <t>SwimCloud API v6 2026-10-08</t>
        </is>
      </c>
      <c r="AD2571" s="33" t="inlineStr">
        <is>
          <t>Miron Bunakov|2026-04-24|LCM|400|Free|252.83|Dragons Den International Inv|TIM|False</t>
        </is>
      </c>
      <c r="AE2571" s="53">
        <f>G2571+L2571/1000+ROW()/1000000000</f>
        <v/>
      </c>
      <c r="AF2571" s="35">
        <f>IF(C2571&lt;&gt;"Grayson Coulter","",COUNTIFS($C$5:$C$2991,"Grayson Coulter",$Q$5:$Q$2991,Q2571,$AE$5:$AE$2991,"&lt;="&amp;AE2571,$R$5:$R$2991,"&lt;"&amp;R2571))</f>
        <v/>
      </c>
      <c r="AG2571" s="35">
        <f>IF(OR(C2571&lt;&gt;"Grayson Coulter",G2571&lt;'00_Control'!$B$7),"",--(AF2571&lt;5))</f>
        <v/>
      </c>
      <c r="AH2571" s="35">
        <f>IF(OR(C2571&lt;&gt;"Grayson Coulter",G2571&lt;'00_Control'!$B$7),"",--(AF2571&lt;10))</f>
        <v/>
      </c>
      <c r="AI2571" s="35">
        <f>IF(AND(C2571="Grayson Coulter",G2571&gt;='00_Control'!$B$7),"YES","NO")</f>
        <v/>
      </c>
      <c r="AJ2571" s="33" t="inlineStr">
        <is>
          <t>OK</t>
        </is>
      </c>
    </row>
    <row r="2572">
      <c r="A2572" s="33" t="inlineStr">
        <is>
          <t>SM002568</t>
        </is>
      </c>
      <c r="B2572" s="33" t="inlineStr">
        <is>
          <t>SW002</t>
        </is>
      </c>
      <c r="C2572" s="33" t="inlineStr">
        <is>
          <t>Miron Bunakov</t>
        </is>
      </c>
      <c r="D2572" s="33" t="inlineStr">
        <is>
          <t>SwimCloud</t>
        </is>
      </c>
      <c r="E2572" s="33" t="inlineStr">
        <is>
          <t>3360584</t>
        </is>
      </c>
      <c r="F2572" s="33" t="inlineStr">
        <is>
          <t>176052263</t>
        </is>
      </c>
      <c r="G2572" s="51" t="n">
        <v>46138</v>
      </c>
      <c r="H2572" s="33" t="inlineStr">
        <is>
          <t>Dragons Den International Inv</t>
        </is>
      </c>
      <c r="I2572" s="33" t="inlineStr">
        <is>
          <t>384951</t>
        </is>
      </c>
      <c r="J2572" s="33" t="inlineStr"/>
      <c r="K2572" s="33" t="inlineStr">
        <is>
          <t>TIM</t>
        </is>
      </c>
      <c r="L2572" s="35">
        <f>IF(K2572="FIN",3,IF(OR(K2572="SEM",K2572="SEMI"),2,IF(OR(K2572="PRE",K2572="HEAT"),1,IF(V2572="YES",4,2))))</f>
        <v/>
      </c>
      <c r="M2572" s="33" t="inlineStr">
        <is>
          <t>LCM</t>
        </is>
      </c>
      <c r="N2572" s="33" t="n">
        <v>100</v>
      </c>
      <c r="O2572" s="33" t="inlineStr">
        <is>
          <t>Fly</t>
        </is>
      </c>
      <c r="P2572" s="33" t="inlineStr">
        <is>
          <t>100 Fly</t>
        </is>
      </c>
      <c r="Q2572" s="33" t="inlineStr">
        <is>
          <t>LCM_100_FLY</t>
        </is>
      </c>
      <c r="R2572" s="36" t="n">
        <v>55.79</v>
      </c>
      <c r="S2572" s="35">
        <f>IF(R2572="","",IF(R2572&gt;=60,INT(R2572/60)&amp;":"&amp;TEXT(MOD(R2572,60),"00.00"),TEXT(R2572,"0.00")))</f>
        <v/>
      </c>
      <c r="T2572" s="52">
        <f>IFERROR((G2572-INDEX('01_Swimmers'!$E$5:$E$22,MATCH(B2572,'01_Swimmers'!$A$5:$A$22,0)))/'00_Control'!$B$10,"")</f>
        <v/>
      </c>
      <c r="U2572" s="35">
        <f>IF(T2572="","",INT(T2572))</f>
        <v/>
      </c>
      <c r="V2572" s="33" t="inlineStr">
        <is>
          <t>NO</t>
        </is>
      </c>
      <c r="W2572" s="33" t="inlineStr">
        <is>
          <t>YES</t>
        </is>
      </c>
      <c r="X2572" s="33" t="inlineStr">
        <is>
          <t>NO</t>
        </is>
      </c>
      <c r="Y2572" s="33" t="n">
        <v>9</v>
      </c>
      <c r="Z2572" s="33" t="n">
        <v>4</v>
      </c>
      <c r="AA2572" s="33" t="inlineStr">
        <is>
          <t>1</t>
        </is>
      </c>
      <c r="AB2572" s="33" t="inlineStr">
        <is>
          <t>https://www.swimcloud.com/results/384951/event/406/?id=176052263#time176052263</t>
        </is>
      </c>
      <c r="AC2572" s="33" t="inlineStr">
        <is>
          <t>SwimCloud API v6 2026-10-08</t>
        </is>
      </c>
      <c r="AD2572" s="33" t="inlineStr">
        <is>
          <t>Miron Bunakov|2026-04-26|LCM|100|Fly|55.79|Dragons Den International Inv|TIM|False</t>
        </is>
      </c>
      <c r="AE2572" s="53">
        <f>G2572+L2572/1000+ROW()/1000000000</f>
        <v/>
      </c>
      <c r="AF2572" s="35">
        <f>IF(C2572&lt;&gt;"Grayson Coulter","",COUNTIFS($C$5:$C$2991,"Grayson Coulter",$Q$5:$Q$2991,Q2572,$AE$5:$AE$2991,"&lt;="&amp;AE2572,$R$5:$R$2991,"&lt;"&amp;R2572))</f>
        <v/>
      </c>
      <c r="AG2572" s="35">
        <f>IF(OR(C2572&lt;&gt;"Grayson Coulter",G2572&lt;'00_Control'!$B$7),"",--(AF2572&lt;5))</f>
        <v/>
      </c>
      <c r="AH2572" s="35">
        <f>IF(OR(C2572&lt;&gt;"Grayson Coulter",G2572&lt;'00_Control'!$B$7),"",--(AF2572&lt;10))</f>
        <v/>
      </c>
      <c r="AI2572" s="35">
        <f>IF(AND(C2572="Grayson Coulter",G2572&gt;='00_Control'!$B$7),"YES","NO")</f>
        <v/>
      </c>
      <c r="AJ2572" s="33" t="inlineStr">
        <is>
          <t>OK</t>
        </is>
      </c>
    </row>
    <row r="2573">
      <c r="A2573" s="33" t="inlineStr">
        <is>
          <t>SM002569</t>
        </is>
      </c>
      <c r="B2573" s="33" t="inlineStr">
        <is>
          <t>SW002</t>
        </is>
      </c>
      <c r="C2573" s="33" t="inlineStr">
        <is>
          <t>Miron Bunakov</t>
        </is>
      </c>
      <c r="D2573" s="33" t="inlineStr">
        <is>
          <t>SwimCloud</t>
        </is>
      </c>
      <c r="E2573" s="33" t="inlineStr">
        <is>
          <t>3360584</t>
        </is>
      </c>
      <c r="F2573" s="33" t="inlineStr">
        <is>
          <t>179468678</t>
        </is>
      </c>
      <c r="G2573" s="51" t="n">
        <v>46171</v>
      </c>
      <c r="H2573" s="33" t="inlineStr">
        <is>
          <t>SNSC 2026</t>
        </is>
      </c>
      <c r="I2573" s="33" t="inlineStr">
        <is>
          <t>387779</t>
        </is>
      </c>
      <c r="J2573" s="33" t="inlineStr"/>
      <c r="K2573" s="33" t="inlineStr">
        <is>
          <t>PRE</t>
        </is>
      </c>
      <c r="L2573" s="35">
        <f>IF(K2573="FIN",3,IF(OR(K2573="SEM",K2573="SEMI"),2,IF(OR(K2573="PRE",K2573="HEAT"),1,IF(V2573="YES",4,2))))</f>
        <v/>
      </c>
      <c r="M2573" s="33" t="inlineStr">
        <is>
          <t>LCM</t>
        </is>
      </c>
      <c r="N2573" s="33" t="n">
        <v>100</v>
      </c>
      <c r="O2573" s="33" t="inlineStr">
        <is>
          <t>Fly</t>
        </is>
      </c>
      <c r="P2573" s="33" t="inlineStr">
        <is>
          <t>100 Fly</t>
        </is>
      </c>
      <c r="Q2573" s="33" t="inlineStr">
        <is>
          <t>LCM_100_FLY</t>
        </is>
      </c>
      <c r="R2573" s="36" t="n">
        <v>56.09</v>
      </c>
      <c r="S2573" s="35">
        <f>IF(R2573="","",IF(R2573&gt;=60,INT(R2573/60)&amp;":"&amp;TEXT(MOD(R2573,60),"00.00"),TEXT(R2573,"0.00")))</f>
        <v/>
      </c>
      <c r="T2573" s="52">
        <f>IFERROR((G2573-INDEX('01_Swimmers'!$E$5:$E$22,MATCH(B2573,'01_Swimmers'!$A$5:$A$22,0)))/'00_Control'!$B$10,"")</f>
        <v/>
      </c>
      <c r="U2573" s="35">
        <f>IF(T2573="","",INT(T2573))</f>
        <v/>
      </c>
      <c r="V2573" s="33" t="inlineStr">
        <is>
          <t>NO</t>
        </is>
      </c>
      <c r="W2573" s="33" t="inlineStr">
        <is>
          <t>YES</t>
        </is>
      </c>
      <c r="X2573" s="33" t="inlineStr">
        <is>
          <t>NO</t>
        </is>
      </c>
      <c r="Y2573" s="33" t="n">
        <v>1</v>
      </c>
      <c r="Z2573" s="33" t="n">
        <v>6</v>
      </c>
      <c r="AA2573" s="33" t="inlineStr">
        <is>
          <t>11</t>
        </is>
      </c>
      <c r="AB2573" s="33" t="inlineStr">
        <is>
          <t>https://www.swimcloud.com/results/387779/event/301/?id=179468678#time179468678</t>
        </is>
      </c>
      <c r="AC2573" s="33" t="inlineStr">
        <is>
          <t>SwimCloud API v6 2026-10-08</t>
        </is>
      </c>
      <c r="AD2573" s="33" t="inlineStr">
        <is>
          <t>Miron Bunakov|2026-05-29|LCM|100|Fly|56.09|SNSC 2026|PRE|False</t>
        </is>
      </c>
      <c r="AE2573" s="53">
        <f>G2573+L2573/1000+ROW()/1000000000</f>
        <v/>
      </c>
      <c r="AF2573" s="35">
        <f>IF(C2573&lt;&gt;"Grayson Coulter","",COUNTIFS($C$5:$C$2991,"Grayson Coulter",$Q$5:$Q$2991,Q2573,$AE$5:$AE$2991,"&lt;="&amp;AE2573,$R$5:$R$2991,"&lt;"&amp;R2573))</f>
        <v/>
      </c>
      <c r="AG2573" s="35">
        <f>IF(OR(C2573&lt;&gt;"Grayson Coulter",G2573&lt;'00_Control'!$B$7),"",--(AF2573&lt;5))</f>
        <v/>
      </c>
      <c r="AH2573" s="35">
        <f>IF(OR(C2573&lt;&gt;"Grayson Coulter",G2573&lt;'00_Control'!$B$7),"",--(AF2573&lt;10))</f>
        <v/>
      </c>
      <c r="AI2573" s="35">
        <f>IF(AND(C2573="Grayson Coulter",G2573&gt;='00_Control'!$B$7),"YES","NO")</f>
        <v/>
      </c>
      <c r="AJ2573" s="33" t="inlineStr">
        <is>
          <t>OK</t>
        </is>
      </c>
    </row>
    <row r="2574">
      <c r="A2574" s="33" t="inlineStr">
        <is>
          <t>SM002570</t>
        </is>
      </c>
      <c r="B2574" s="33" t="inlineStr">
        <is>
          <t>SW002</t>
        </is>
      </c>
      <c r="C2574" s="33" t="inlineStr">
        <is>
          <t>Miron Bunakov</t>
        </is>
      </c>
      <c r="D2574" s="33" t="inlineStr">
        <is>
          <t>SwimCloud</t>
        </is>
      </c>
      <c r="E2574" s="33" t="inlineStr">
        <is>
          <t>3360584</t>
        </is>
      </c>
      <c r="F2574" s="33" t="inlineStr">
        <is>
          <t>185543526</t>
        </is>
      </c>
      <c r="G2574" s="51" t="n">
        <v>46277</v>
      </c>
      <c r="H2574" s="33" t="inlineStr">
        <is>
          <t>Eagles Invitational</t>
        </is>
      </c>
      <c r="I2574" s="33" t="inlineStr">
        <is>
          <t>397406</t>
        </is>
      </c>
      <c r="J2574" s="33" t="inlineStr"/>
      <c r="K2574" s="33" t="inlineStr">
        <is>
          <t>TIM</t>
        </is>
      </c>
      <c r="L2574" s="35">
        <f>IF(K2574="FIN",3,IF(OR(K2574="SEM",K2574="SEMI"),2,IF(OR(K2574="PRE",K2574="HEAT"),1,IF(V2574="YES",4,2))))</f>
        <v/>
      </c>
      <c r="M2574" s="33" t="inlineStr">
        <is>
          <t>SCM</t>
        </is>
      </c>
      <c r="N2574" s="33" t="n">
        <v>100</v>
      </c>
      <c r="O2574" s="33" t="inlineStr">
        <is>
          <t>Fly</t>
        </is>
      </c>
      <c r="P2574" s="33" t="inlineStr">
        <is>
          <t>100 Fly</t>
        </is>
      </c>
      <c r="Q2574" s="33" t="inlineStr">
        <is>
          <t>SCM_100_FLY</t>
        </is>
      </c>
      <c r="R2574" s="36" t="n">
        <v>61.22</v>
      </c>
      <c r="S2574" s="35">
        <f>IF(R2574="","",IF(R2574&gt;=60,INT(R2574/60)&amp;":"&amp;TEXT(MOD(R2574,60),"00.00"),TEXT(R2574,"0.00")))</f>
        <v/>
      </c>
      <c r="T2574" s="52">
        <f>IFERROR((G2574-INDEX('01_Swimmers'!$E$5:$E$22,MATCH(B2574,'01_Swimmers'!$A$5:$A$22,0)))/'00_Control'!$B$10,"")</f>
        <v/>
      </c>
      <c r="U2574" s="35">
        <f>IF(T2574="","",INT(T2574))</f>
        <v/>
      </c>
      <c r="V2574" s="33" t="inlineStr">
        <is>
          <t>NO</t>
        </is>
      </c>
      <c r="W2574" s="33" t="inlineStr">
        <is>
          <t>YES</t>
        </is>
      </c>
      <c r="X2574" s="33" t="inlineStr">
        <is>
          <t>NO</t>
        </is>
      </c>
      <c r="Y2574" s="33" t="n">
        <v>3</v>
      </c>
      <c r="Z2574" s="33" t="n">
        <v>4</v>
      </c>
      <c r="AA2574" s="33" t="inlineStr">
        <is>
          <t>4</t>
        </is>
      </c>
      <c r="AB2574" s="33" t="inlineStr">
        <is>
          <t>https://www.swimcloud.com/results/397406/event/102/?id=185543526#time185543526</t>
        </is>
      </c>
      <c r="AC2574" s="33" t="inlineStr">
        <is>
          <t>SwimCloud API v6 2026-10-08</t>
        </is>
      </c>
      <c r="AD2574" s="33" t="inlineStr">
        <is>
          <t>Miron Bunakov|2026-09-12|SCM|100|Fly|61.22|Eagles Invitational|TIM|False</t>
        </is>
      </c>
      <c r="AE2574" s="53">
        <f>G2574+L2574/1000+ROW()/1000000000</f>
        <v/>
      </c>
      <c r="AF2574" s="35">
        <f>IF(C2574&lt;&gt;"Grayson Coulter","",COUNTIFS($C$5:$C$2991,"Grayson Coulter",$Q$5:$Q$2991,Q2574,$AE$5:$AE$2991,"&lt;="&amp;AE2574,$R$5:$R$2991,"&lt;"&amp;R2574))</f>
        <v/>
      </c>
      <c r="AG2574" s="35">
        <f>IF(OR(C2574&lt;&gt;"Grayson Coulter",G2574&lt;'00_Control'!$B$7),"",--(AF2574&lt;5))</f>
        <v/>
      </c>
      <c r="AH2574" s="35">
        <f>IF(OR(C2574&lt;&gt;"Grayson Coulter",G2574&lt;'00_Control'!$B$7),"",--(AF2574&lt;10))</f>
        <v/>
      </c>
      <c r="AI2574" s="35">
        <f>IF(AND(C2574="Grayson Coulter",G2574&gt;='00_Control'!$B$7),"YES","NO")</f>
        <v/>
      </c>
      <c r="AJ2574" s="33" t="inlineStr">
        <is>
          <t>OK</t>
        </is>
      </c>
    </row>
    <row r="2575">
      <c r="A2575" s="33" t="inlineStr">
        <is>
          <t>SM002571</t>
        </is>
      </c>
      <c r="B2575" s="33" t="inlineStr">
        <is>
          <t>SW006</t>
        </is>
      </c>
      <c r="C2575" s="33" t="inlineStr">
        <is>
          <t>Tajus Juska</t>
        </is>
      </c>
      <c r="D2575" s="33" t="inlineStr">
        <is>
          <t>SwimCloud</t>
        </is>
      </c>
      <c r="E2575" s="33" t="inlineStr">
        <is>
          <t>2116196</t>
        </is>
      </c>
      <c r="F2575" s="33" t="inlineStr">
        <is>
          <t>36583800</t>
        </is>
      </c>
      <c r="G2575" s="51" t="n">
        <v>44099</v>
      </c>
      <c r="H2575" s="33" t="inlineStr">
        <is>
          <t>Vilnius Cup</t>
        </is>
      </c>
      <c r="I2575" s="33" t="inlineStr">
        <is>
          <t>183817</t>
        </is>
      </c>
      <c r="J2575" s="33" t="inlineStr"/>
      <c r="K2575" s="33" t="inlineStr">
        <is>
          <t>TIM</t>
        </is>
      </c>
      <c r="L2575" s="35">
        <f>IF(K2575="FIN",3,IF(OR(K2575="SEM",K2575="SEMI"),2,IF(OR(K2575="PRE",K2575="HEAT"),1,IF(V2575="YES",4,2))))</f>
        <v/>
      </c>
      <c r="M2575" s="33" t="inlineStr">
        <is>
          <t>SCM</t>
        </is>
      </c>
      <c r="N2575" s="33" t="n">
        <v>100</v>
      </c>
      <c r="O2575" s="33" t="inlineStr">
        <is>
          <t>Fly</t>
        </is>
      </c>
      <c r="P2575" s="33" t="inlineStr">
        <is>
          <t>100 Fly</t>
        </is>
      </c>
      <c r="Q2575" s="33" t="inlineStr">
        <is>
          <t>SCM_100_FLY</t>
        </is>
      </c>
      <c r="R2575" s="36" t="n">
        <v>69.61</v>
      </c>
      <c r="S2575" s="35">
        <f>IF(R2575="","",IF(R2575&gt;=60,INT(R2575/60)&amp;":"&amp;TEXT(MOD(R2575,60),"00.00"),TEXT(R2575,"0.00")))</f>
        <v/>
      </c>
      <c r="T2575" s="52">
        <f>IFERROR((G2575-INDEX('01_Swimmers'!$E$5:$E$22,MATCH(B2575,'01_Swimmers'!$A$5:$A$22,0)))/'00_Control'!$B$10,"")</f>
        <v/>
      </c>
      <c r="U2575" s="35">
        <f>IF(T2575="","",INT(T2575))</f>
        <v/>
      </c>
      <c r="V2575" s="33" t="inlineStr">
        <is>
          <t>NO</t>
        </is>
      </c>
      <c r="W2575" s="33" t="inlineStr">
        <is>
          <t>YES</t>
        </is>
      </c>
      <c r="X2575" s="33" t="inlineStr">
        <is>
          <t>NO</t>
        </is>
      </c>
      <c r="Y2575" s="33" t="n">
        <v>2</v>
      </c>
      <c r="Z2575" s="33" t="n">
        <v>4</v>
      </c>
      <c r="AA2575" s="33" t="inlineStr">
        <is>
          <t>1</t>
        </is>
      </c>
      <c r="AB2575" s="33" t="inlineStr">
        <is>
          <t>https://www.swimcloud.com/results/183817/event/8/?id=36583800#time36583800</t>
        </is>
      </c>
      <c r="AC2575" s="33" t="inlineStr">
        <is>
          <t>SwimCloud API v6 2026-10-08</t>
        </is>
      </c>
      <c r="AD2575" s="33" t="inlineStr">
        <is>
          <t>Tajus Juska|2020-09-25|SCM|100|Fly|69.61|Vilnius Cup|TIM|False</t>
        </is>
      </c>
      <c r="AE2575" s="53">
        <f>G2575+L2575/1000+ROW()/1000000000</f>
        <v/>
      </c>
      <c r="AF2575" s="35">
        <f>IF(C2575&lt;&gt;"Grayson Coulter","",COUNTIFS($C$5:$C$2991,"Grayson Coulter",$Q$5:$Q$2991,Q2575,$AE$5:$AE$2991,"&lt;="&amp;AE2575,$R$5:$R$2991,"&lt;"&amp;R2575))</f>
        <v/>
      </c>
      <c r="AG2575" s="35">
        <f>IF(OR(C2575&lt;&gt;"Grayson Coulter",G2575&lt;'00_Control'!$B$7),"",--(AF2575&lt;5))</f>
        <v/>
      </c>
      <c r="AH2575" s="35">
        <f>IF(OR(C2575&lt;&gt;"Grayson Coulter",G2575&lt;'00_Control'!$B$7),"",--(AF2575&lt;10))</f>
        <v/>
      </c>
      <c r="AI2575" s="35">
        <f>IF(AND(C2575="Grayson Coulter",G2575&gt;='00_Control'!$B$7),"YES","NO")</f>
        <v/>
      </c>
      <c r="AJ2575" s="33" t="inlineStr">
        <is>
          <t>OK</t>
        </is>
      </c>
    </row>
    <row r="2576">
      <c r="A2576" s="33" t="inlineStr">
        <is>
          <t>SM002572</t>
        </is>
      </c>
      <c r="B2576" s="33" t="inlineStr">
        <is>
          <t>SW006</t>
        </is>
      </c>
      <c r="C2576" s="33" t="inlineStr">
        <is>
          <t>Tajus Juska</t>
        </is>
      </c>
      <c r="D2576" s="33" t="inlineStr">
        <is>
          <t>SwimCloud</t>
        </is>
      </c>
      <c r="E2576" s="33" t="inlineStr">
        <is>
          <t>2116196</t>
        </is>
      </c>
      <c r="F2576" s="33" t="inlineStr">
        <is>
          <t>36583801</t>
        </is>
      </c>
      <c r="G2576" s="51" t="n">
        <v>44100</v>
      </c>
      <c r="H2576" s="33" t="inlineStr">
        <is>
          <t>Vilnius Cup</t>
        </is>
      </c>
      <c r="I2576" s="33" t="inlineStr">
        <is>
          <t>183817</t>
        </is>
      </c>
      <c r="J2576" s="33" t="inlineStr"/>
      <c r="K2576" s="33" t="inlineStr">
        <is>
          <t>TIM</t>
        </is>
      </c>
      <c r="L2576" s="35">
        <f>IF(K2576="FIN",3,IF(OR(K2576="SEM",K2576="SEMI"),2,IF(OR(K2576="PRE",K2576="HEAT"),1,IF(V2576="YES",4,2))))</f>
        <v/>
      </c>
      <c r="M2576" s="33" t="inlineStr">
        <is>
          <t>SCM</t>
        </is>
      </c>
      <c r="N2576" s="33" t="n">
        <v>100</v>
      </c>
      <c r="O2576" s="33" t="inlineStr">
        <is>
          <t>Free</t>
        </is>
      </c>
      <c r="P2576" s="33" t="inlineStr">
        <is>
          <t>100 Free</t>
        </is>
      </c>
      <c r="Q2576" s="33" t="inlineStr">
        <is>
          <t>SCM_100_FREE</t>
        </is>
      </c>
      <c r="R2576" s="36" t="n">
        <v>62.29</v>
      </c>
      <c r="S2576" s="35">
        <f>IF(R2576="","",IF(R2576&gt;=60,INT(R2576/60)&amp;":"&amp;TEXT(MOD(R2576,60),"00.00"),TEXT(R2576,"0.00")))</f>
        <v/>
      </c>
      <c r="T2576" s="52">
        <f>IFERROR((G2576-INDEX('01_Swimmers'!$E$5:$E$22,MATCH(B2576,'01_Swimmers'!$A$5:$A$22,0)))/'00_Control'!$B$10,"")</f>
        <v/>
      </c>
      <c r="U2576" s="35">
        <f>IF(T2576="","",INT(T2576))</f>
        <v/>
      </c>
      <c r="V2576" s="33" t="inlineStr">
        <is>
          <t>NO</t>
        </is>
      </c>
      <c r="W2576" s="33" t="inlineStr">
        <is>
          <t>YES</t>
        </is>
      </c>
      <c r="X2576" s="33" t="inlineStr">
        <is>
          <t>NO</t>
        </is>
      </c>
      <c r="Y2576" s="33" t="n">
        <v>20</v>
      </c>
      <c r="Z2576" s="33" t="n">
        <v>5</v>
      </c>
      <c r="AA2576" s="33" t="inlineStr">
        <is>
          <t>1</t>
        </is>
      </c>
      <c r="AB2576" s="33" t="inlineStr">
        <is>
          <t>https://www.swimcloud.com/results/183817/event/13/?id=36583801#time36583801</t>
        </is>
      </c>
      <c r="AC2576" s="33" t="inlineStr">
        <is>
          <t>SwimCloud API v6 2026-10-08</t>
        </is>
      </c>
      <c r="AD2576" s="33" t="inlineStr">
        <is>
          <t>Tajus Juska|2020-09-26|SCM|100|Free|62.29|Vilnius Cup|TIM|False</t>
        </is>
      </c>
      <c r="AE2576" s="53">
        <f>G2576+L2576/1000+ROW()/1000000000</f>
        <v/>
      </c>
      <c r="AF2576" s="35">
        <f>IF(C2576&lt;&gt;"Grayson Coulter","",COUNTIFS($C$5:$C$2991,"Grayson Coulter",$Q$5:$Q$2991,Q2576,$AE$5:$AE$2991,"&lt;="&amp;AE2576,$R$5:$R$2991,"&lt;"&amp;R2576))</f>
        <v/>
      </c>
      <c r="AG2576" s="35">
        <f>IF(OR(C2576&lt;&gt;"Grayson Coulter",G2576&lt;'00_Control'!$B$7),"",--(AF2576&lt;5))</f>
        <v/>
      </c>
      <c r="AH2576" s="35">
        <f>IF(OR(C2576&lt;&gt;"Grayson Coulter",G2576&lt;'00_Control'!$B$7),"",--(AF2576&lt;10))</f>
        <v/>
      </c>
      <c r="AI2576" s="35">
        <f>IF(AND(C2576="Grayson Coulter",G2576&gt;='00_Control'!$B$7),"YES","NO")</f>
        <v/>
      </c>
      <c r="AJ2576" s="33" t="inlineStr">
        <is>
          <t>OK</t>
        </is>
      </c>
    </row>
    <row r="2577">
      <c r="A2577" s="33" t="inlineStr">
        <is>
          <t>SM002573</t>
        </is>
      </c>
      <c r="B2577" s="33" t="inlineStr">
        <is>
          <t>SW006</t>
        </is>
      </c>
      <c r="C2577" s="33" t="inlineStr">
        <is>
          <t>Tajus Juska</t>
        </is>
      </c>
      <c r="D2577" s="33" t="inlineStr">
        <is>
          <t>SwimCloud</t>
        </is>
      </c>
      <c r="E2577" s="33" t="inlineStr">
        <is>
          <t>2116196</t>
        </is>
      </c>
      <c r="F2577" s="33" t="inlineStr">
        <is>
          <t>37707074</t>
        </is>
      </c>
      <c r="G2577" s="51" t="n">
        <v>44169</v>
      </c>
      <c r="H2577" s="33" t="inlineStr">
        <is>
          <t>Lietuvos jaunučių plaukimo čempionatas</t>
        </is>
      </c>
      <c r="I2577" s="33" t="inlineStr">
        <is>
          <t>187611</t>
        </is>
      </c>
      <c r="J2577" s="33" t="inlineStr"/>
      <c r="K2577" s="33" t="inlineStr">
        <is>
          <t>PRE</t>
        </is>
      </c>
      <c r="L2577" s="35">
        <f>IF(K2577="FIN",3,IF(OR(K2577="SEM",K2577="SEMI"),2,IF(OR(K2577="PRE",K2577="HEAT"),1,IF(V2577="YES",4,2))))</f>
        <v/>
      </c>
      <c r="M2577" s="33" t="inlineStr">
        <is>
          <t>LCM</t>
        </is>
      </c>
      <c r="N2577" s="33" t="n">
        <v>200</v>
      </c>
      <c r="O2577" s="33" t="inlineStr">
        <is>
          <t>Free</t>
        </is>
      </c>
      <c r="P2577" s="33" t="inlineStr">
        <is>
          <t>200 Free</t>
        </is>
      </c>
      <c r="Q2577" s="33" t="inlineStr">
        <is>
          <t>LCM_200_FREE</t>
        </is>
      </c>
      <c r="R2577" s="36" t="n">
        <v>141.3</v>
      </c>
      <c r="S2577" s="35">
        <f>IF(R2577="","",IF(R2577&gt;=60,INT(R2577/60)&amp;":"&amp;TEXT(MOD(R2577,60),"00.00"),TEXT(R2577,"0.00")))</f>
        <v/>
      </c>
      <c r="T2577" s="52">
        <f>IFERROR((G2577-INDEX('01_Swimmers'!$E$5:$E$22,MATCH(B2577,'01_Swimmers'!$A$5:$A$22,0)))/'00_Control'!$B$10,"")</f>
        <v/>
      </c>
      <c r="U2577" s="35">
        <f>IF(T2577="","",INT(T2577))</f>
        <v/>
      </c>
      <c r="V2577" s="33" t="inlineStr">
        <is>
          <t>NO</t>
        </is>
      </c>
      <c r="W2577" s="33" t="inlineStr">
        <is>
          <t>YES</t>
        </is>
      </c>
      <c r="X2577" s="33" t="inlineStr">
        <is>
          <t>NO</t>
        </is>
      </c>
      <c r="Y2577" s="33" t="n">
        <v>8</v>
      </c>
      <c r="Z2577" s="33" t="n"/>
      <c r="AA2577" s="33" t="inlineStr">
        <is>
          <t>22</t>
        </is>
      </c>
      <c r="AB2577" s="33" t="inlineStr">
        <is>
          <t>https://www.swimcloud.com/results/187611/event/2/?id=37707074#time37707074</t>
        </is>
      </c>
      <c r="AC2577" s="33" t="inlineStr">
        <is>
          <t>SwimCloud API v6 2026-10-08</t>
        </is>
      </c>
      <c r="AD2577" s="33" t="inlineStr">
        <is>
          <t>Tajus Juska|2020-12-04|LCM|200|Free|141.3|Lietuvos jaunučių plaukimo čempionatas|PRE|False</t>
        </is>
      </c>
      <c r="AE2577" s="53">
        <f>G2577+L2577/1000+ROW()/1000000000</f>
        <v/>
      </c>
      <c r="AF2577" s="35">
        <f>IF(C2577&lt;&gt;"Grayson Coulter","",COUNTIFS($C$5:$C$2991,"Grayson Coulter",$Q$5:$Q$2991,Q2577,$AE$5:$AE$2991,"&lt;="&amp;AE2577,$R$5:$R$2991,"&lt;"&amp;R2577))</f>
        <v/>
      </c>
      <c r="AG2577" s="35">
        <f>IF(OR(C2577&lt;&gt;"Grayson Coulter",G2577&lt;'00_Control'!$B$7),"",--(AF2577&lt;5))</f>
        <v/>
      </c>
      <c r="AH2577" s="35">
        <f>IF(OR(C2577&lt;&gt;"Grayson Coulter",G2577&lt;'00_Control'!$B$7),"",--(AF2577&lt;10))</f>
        <v/>
      </c>
      <c r="AI2577" s="35">
        <f>IF(AND(C2577="Grayson Coulter",G2577&gt;='00_Control'!$B$7),"YES","NO")</f>
        <v/>
      </c>
      <c r="AJ2577" s="33" t="inlineStr">
        <is>
          <t>OK</t>
        </is>
      </c>
    </row>
    <row r="2578">
      <c r="A2578" s="33" t="inlineStr">
        <is>
          <t>SM002574</t>
        </is>
      </c>
      <c r="B2578" s="33" t="inlineStr">
        <is>
          <t>SW006</t>
        </is>
      </c>
      <c r="C2578" s="33" t="inlineStr">
        <is>
          <t>Tajus Juska</t>
        </is>
      </c>
      <c r="D2578" s="33" t="inlineStr">
        <is>
          <t>SwimCloud</t>
        </is>
      </c>
      <c r="E2578" s="33" t="inlineStr">
        <is>
          <t>2116196</t>
        </is>
      </c>
      <c r="F2578" s="33" t="inlineStr">
        <is>
          <t>37707076</t>
        </is>
      </c>
      <c r="G2578" s="51" t="n">
        <v>44170</v>
      </c>
      <c r="H2578" s="33" t="inlineStr">
        <is>
          <t>Lietuvos jaunučių plaukimo čempionatas</t>
        </is>
      </c>
      <c r="I2578" s="33" t="inlineStr">
        <is>
          <t>187611</t>
        </is>
      </c>
      <c r="J2578" s="33" t="inlineStr"/>
      <c r="K2578" s="33" t="inlineStr">
        <is>
          <t>PRE</t>
        </is>
      </c>
      <c r="L2578" s="35">
        <f>IF(K2578="FIN",3,IF(OR(K2578="SEM",K2578="SEMI"),2,IF(OR(K2578="PRE",K2578="HEAT"),1,IF(V2578="YES",4,2))))</f>
        <v/>
      </c>
      <c r="M2578" s="33" t="inlineStr">
        <is>
          <t>LCM</t>
        </is>
      </c>
      <c r="N2578" s="33" t="n">
        <v>100</v>
      </c>
      <c r="O2578" s="33" t="inlineStr">
        <is>
          <t>Free</t>
        </is>
      </c>
      <c r="P2578" s="33" t="inlineStr">
        <is>
          <t>100 Free</t>
        </is>
      </c>
      <c r="Q2578" s="33" t="inlineStr">
        <is>
          <t>LCM_100_FREE</t>
        </is>
      </c>
      <c r="R2578" s="36" t="n">
        <v>61.45</v>
      </c>
      <c r="S2578" s="35">
        <f>IF(R2578="","",IF(R2578&gt;=60,INT(R2578/60)&amp;":"&amp;TEXT(MOD(R2578,60),"00.00"),TEXT(R2578,"0.00")))</f>
        <v/>
      </c>
      <c r="T2578" s="52">
        <f>IFERROR((G2578-INDEX('01_Swimmers'!$E$5:$E$22,MATCH(B2578,'01_Swimmers'!$A$5:$A$22,0)))/'00_Control'!$B$10,"")</f>
        <v/>
      </c>
      <c r="U2578" s="35">
        <f>IF(T2578="","",INT(T2578))</f>
        <v/>
      </c>
      <c r="V2578" s="33" t="inlineStr">
        <is>
          <t>NO</t>
        </is>
      </c>
      <c r="W2578" s="33" t="inlineStr">
        <is>
          <t>YES</t>
        </is>
      </c>
      <c r="X2578" s="33" t="inlineStr">
        <is>
          <t>NO</t>
        </is>
      </c>
      <c r="Y2578" s="33" t="n">
        <v>8</v>
      </c>
      <c r="Z2578" s="33" t="n">
        <v>4</v>
      </c>
      <c r="AA2578" s="33" t="inlineStr">
        <is>
          <t>17</t>
        </is>
      </c>
      <c r="AB2578" s="33" t="inlineStr">
        <is>
          <t>https://www.swimcloud.com/results/187611/event/16/?id=37707076#time37707076</t>
        </is>
      </c>
      <c r="AC2578" s="33" t="inlineStr">
        <is>
          <t>SwimCloud API v6 2026-10-08</t>
        </is>
      </c>
      <c r="AD2578" s="33" t="inlineStr">
        <is>
          <t>Tajus Juska|2020-12-05|LCM|100|Free|61.45|Lietuvos jaunučių plaukimo čempionatas|PRE|False</t>
        </is>
      </c>
      <c r="AE2578" s="53">
        <f>G2578+L2578/1000+ROW()/1000000000</f>
        <v/>
      </c>
      <c r="AF2578" s="35">
        <f>IF(C2578&lt;&gt;"Grayson Coulter","",COUNTIFS($C$5:$C$2991,"Grayson Coulter",$Q$5:$Q$2991,Q2578,$AE$5:$AE$2991,"&lt;="&amp;AE2578,$R$5:$R$2991,"&lt;"&amp;R2578))</f>
        <v/>
      </c>
      <c r="AG2578" s="35">
        <f>IF(OR(C2578&lt;&gt;"Grayson Coulter",G2578&lt;'00_Control'!$B$7),"",--(AF2578&lt;5))</f>
        <v/>
      </c>
      <c r="AH2578" s="35">
        <f>IF(OR(C2578&lt;&gt;"Grayson Coulter",G2578&lt;'00_Control'!$B$7),"",--(AF2578&lt;10))</f>
        <v/>
      </c>
      <c r="AI2578" s="35">
        <f>IF(AND(C2578="Grayson Coulter",G2578&gt;='00_Control'!$B$7),"YES","NO")</f>
        <v/>
      </c>
      <c r="AJ2578" s="33" t="inlineStr">
        <is>
          <t>OK</t>
        </is>
      </c>
    </row>
    <row r="2579">
      <c r="A2579" s="33" t="inlineStr">
        <is>
          <t>SM002575</t>
        </is>
      </c>
      <c r="B2579" s="33" t="inlineStr">
        <is>
          <t>SW006</t>
        </is>
      </c>
      <c r="C2579" s="33" t="inlineStr">
        <is>
          <t>Tajus Juska</t>
        </is>
      </c>
      <c r="D2579" s="33" t="inlineStr">
        <is>
          <t>SwimCloud</t>
        </is>
      </c>
      <c r="E2579" s="33" t="inlineStr">
        <is>
          <t>2116196</t>
        </is>
      </c>
      <c r="F2579" s="33" t="inlineStr">
        <is>
          <t>37707080</t>
        </is>
      </c>
      <c r="G2579" s="51" t="n">
        <v>44170</v>
      </c>
      <c r="H2579" s="33" t="inlineStr">
        <is>
          <t>Lietuvos jaunučių plaukimo čempionatas</t>
        </is>
      </c>
      <c r="I2579" s="33" t="inlineStr">
        <is>
          <t>187611</t>
        </is>
      </c>
      <c r="J2579" s="33" t="inlineStr"/>
      <c r="K2579" s="33" t="inlineStr">
        <is>
          <t>FIN</t>
        </is>
      </c>
      <c r="L2579" s="35">
        <f>IF(K2579="FIN",3,IF(OR(K2579="SEM",K2579="SEMI"),2,IF(OR(K2579="PRE",K2579="HEAT"),1,IF(V2579="YES",4,2))))</f>
        <v/>
      </c>
      <c r="M2579" s="33" t="inlineStr">
        <is>
          <t>LCM</t>
        </is>
      </c>
      <c r="N2579" s="33" t="n">
        <v>100</v>
      </c>
      <c r="O2579" s="33" t="inlineStr">
        <is>
          <t>Free</t>
        </is>
      </c>
      <c r="P2579" s="33" t="inlineStr">
        <is>
          <t>100 Free</t>
        </is>
      </c>
      <c r="Q2579" s="33" t="inlineStr">
        <is>
          <t>LCM_100_FREE</t>
        </is>
      </c>
      <c r="R2579" s="36" t="n">
        <v>61.64</v>
      </c>
      <c r="S2579" s="35">
        <f>IF(R2579="","",IF(R2579&gt;=60,INT(R2579/60)&amp;":"&amp;TEXT(MOD(R2579,60),"00.00"),TEXT(R2579,"0.00")))</f>
        <v/>
      </c>
      <c r="T2579" s="52">
        <f>IFERROR((G2579-INDEX('01_Swimmers'!$E$5:$E$22,MATCH(B2579,'01_Swimmers'!$A$5:$A$22,0)))/'00_Control'!$B$10,"")</f>
        <v/>
      </c>
      <c r="U2579" s="35">
        <f>IF(T2579="","",INT(T2579))</f>
        <v/>
      </c>
      <c r="V2579" s="33" t="inlineStr">
        <is>
          <t>NO</t>
        </is>
      </c>
      <c r="W2579" s="33" t="inlineStr">
        <is>
          <t>YES</t>
        </is>
      </c>
      <c r="X2579" s="33" t="inlineStr">
        <is>
          <t>NO</t>
        </is>
      </c>
      <c r="Y2579" s="33" t="n">
        <v>1</v>
      </c>
      <c r="Z2579" s="33" t="n">
        <v>8</v>
      </c>
      <c r="AA2579" s="33" t="inlineStr">
        <is>
          <t>16</t>
        </is>
      </c>
      <c r="AB2579" s="33" t="inlineStr">
        <is>
          <t>https://www.swimcloud.com/results/187611/event/16/?id=37707080#time37707080</t>
        </is>
      </c>
      <c r="AC2579" s="33" t="inlineStr">
        <is>
          <t>SwimCloud API v6 2026-10-08</t>
        </is>
      </c>
      <c r="AD2579" s="33" t="inlineStr">
        <is>
          <t>Tajus Juska|2020-12-05|LCM|100|Free|61.64|Lietuvos jaunučių plaukimo čempionatas|FIN|False</t>
        </is>
      </c>
      <c r="AE2579" s="53">
        <f>G2579+L2579/1000+ROW()/1000000000</f>
        <v/>
      </c>
      <c r="AF2579" s="35">
        <f>IF(C2579&lt;&gt;"Grayson Coulter","",COUNTIFS($C$5:$C$2991,"Grayson Coulter",$Q$5:$Q$2991,Q2579,$AE$5:$AE$2991,"&lt;="&amp;AE2579,$R$5:$R$2991,"&lt;"&amp;R2579))</f>
        <v/>
      </c>
      <c r="AG2579" s="35">
        <f>IF(OR(C2579&lt;&gt;"Grayson Coulter",G2579&lt;'00_Control'!$B$7),"",--(AF2579&lt;5))</f>
        <v/>
      </c>
      <c r="AH2579" s="35">
        <f>IF(OR(C2579&lt;&gt;"Grayson Coulter",G2579&lt;'00_Control'!$B$7),"",--(AF2579&lt;10))</f>
        <v/>
      </c>
      <c r="AI2579" s="35">
        <f>IF(AND(C2579="Grayson Coulter",G2579&gt;='00_Control'!$B$7),"YES","NO")</f>
        <v/>
      </c>
      <c r="AJ2579" s="33" t="inlineStr">
        <is>
          <t>OK</t>
        </is>
      </c>
    </row>
    <row r="2580">
      <c r="A2580" s="33" t="inlineStr">
        <is>
          <t>SM002576</t>
        </is>
      </c>
      <c r="B2580" s="33" t="inlineStr">
        <is>
          <t>SW006</t>
        </is>
      </c>
      <c r="C2580" s="33" t="inlineStr">
        <is>
          <t>Tajus Juska</t>
        </is>
      </c>
      <c r="D2580" s="33" t="inlineStr">
        <is>
          <t>SwimCloud</t>
        </is>
      </c>
      <c r="E2580" s="33" t="inlineStr">
        <is>
          <t>2116196</t>
        </is>
      </c>
      <c r="F2580" s="33" t="inlineStr">
        <is>
          <t>61570020</t>
        </is>
      </c>
      <c r="G2580" s="51" t="n">
        <v>44646</v>
      </c>
      <c r="H2580" s="33" t="inlineStr">
        <is>
          <t>Baltic States Swimming Championships</t>
        </is>
      </c>
      <c r="I2580" s="33" t="inlineStr">
        <is>
          <t>226875</t>
        </is>
      </c>
      <c r="J2580" s="33" t="inlineStr"/>
      <c r="K2580" s="33" t="inlineStr">
        <is>
          <t>PRE</t>
        </is>
      </c>
      <c r="L2580" s="35">
        <f>IF(K2580="FIN",3,IF(OR(K2580="SEM",K2580="SEMI"),2,IF(OR(K2580="PRE",K2580="HEAT"),1,IF(V2580="YES",4,2))))</f>
        <v/>
      </c>
      <c r="M2580" s="33" t="inlineStr">
        <is>
          <t>LCM</t>
        </is>
      </c>
      <c r="N2580" s="33" t="n">
        <v>100</v>
      </c>
      <c r="O2580" s="33" t="inlineStr">
        <is>
          <t>Free</t>
        </is>
      </c>
      <c r="P2580" s="33" t="inlineStr">
        <is>
          <t>100 Free</t>
        </is>
      </c>
      <c r="Q2580" s="33" t="inlineStr">
        <is>
          <t>LCM_100_FREE</t>
        </is>
      </c>
      <c r="R2580" s="36" t="n">
        <v>55.17</v>
      </c>
      <c r="S2580" s="35">
        <f>IF(R2580="","",IF(R2580&gt;=60,INT(R2580/60)&amp;":"&amp;TEXT(MOD(R2580,60),"00.00"),TEXT(R2580,"0.00")))</f>
        <v/>
      </c>
      <c r="T2580" s="52">
        <f>IFERROR((G2580-INDEX('01_Swimmers'!$E$5:$E$22,MATCH(B2580,'01_Swimmers'!$A$5:$A$22,0)))/'00_Control'!$B$10,"")</f>
        <v/>
      </c>
      <c r="U2580" s="35">
        <f>IF(T2580="","",INT(T2580))</f>
        <v/>
      </c>
      <c r="V2580" s="33" t="inlineStr">
        <is>
          <t>NO</t>
        </is>
      </c>
      <c r="W2580" s="33" t="inlineStr">
        <is>
          <t>YES</t>
        </is>
      </c>
      <c r="X2580" s="33" t="inlineStr">
        <is>
          <t>NO</t>
        </is>
      </c>
      <c r="Y2580" s="33" t="n">
        <v>4</v>
      </c>
      <c r="Z2580" s="33" t="n">
        <v>4</v>
      </c>
      <c r="AA2580" s="33" t="inlineStr">
        <is>
          <t>4,26</t>
        </is>
      </c>
      <c r="AB2580" s="33" t="inlineStr">
        <is>
          <t>https://www.swimcloud.com/results/226875/event/1/?id=61570020#time61570020</t>
        </is>
      </c>
      <c r="AC2580" s="33" t="inlineStr">
        <is>
          <t>SwimCloud API v6 2026-10-08</t>
        </is>
      </c>
      <c r="AD2580" s="33" t="inlineStr">
        <is>
          <t>Tajus Juska|2022-03-26|LCM|100|Free|55.17|Baltic States Swimming Championships|PRE|False</t>
        </is>
      </c>
      <c r="AE2580" s="53">
        <f>G2580+L2580/1000+ROW()/1000000000</f>
        <v/>
      </c>
      <c r="AF2580" s="35">
        <f>IF(C2580&lt;&gt;"Grayson Coulter","",COUNTIFS($C$5:$C$2991,"Grayson Coulter",$Q$5:$Q$2991,Q2580,$AE$5:$AE$2991,"&lt;="&amp;AE2580,$R$5:$R$2991,"&lt;"&amp;R2580))</f>
        <v/>
      </c>
      <c r="AG2580" s="35">
        <f>IF(OR(C2580&lt;&gt;"Grayson Coulter",G2580&lt;'00_Control'!$B$7),"",--(AF2580&lt;5))</f>
        <v/>
      </c>
      <c r="AH2580" s="35">
        <f>IF(OR(C2580&lt;&gt;"Grayson Coulter",G2580&lt;'00_Control'!$B$7),"",--(AF2580&lt;10))</f>
        <v/>
      </c>
      <c r="AI2580" s="35">
        <f>IF(AND(C2580="Grayson Coulter",G2580&gt;='00_Control'!$B$7),"YES","NO")</f>
        <v/>
      </c>
      <c r="AJ2580" s="33" t="inlineStr">
        <is>
          <t>OK</t>
        </is>
      </c>
    </row>
    <row r="2581">
      <c r="A2581" s="33" t="inlineStr">
        <is>
          <t>SM002577</t>
        </is>
      </c>
      <c r="B2581" s="33" t="inlineStr">
        <is>
          <t>SW006</t>
        </is>
      </c>
      <c r="C2581" s="33" t="inlineStr">
        <is>
          <t>Tajus Juska</t>
        </is>
      </c>
      <c r="D2581" s="33" t="inlineStr">
        <is>
          <t>SwimCloud</t>
        </is>
      </c>
      <c r="E2581" s="33" t="inlineStr">
        <is>
          <t>2116196</t>
        </is>
      </c>
      <c r="F2581" s="33" t="inlineStr">
        <is>
          <t>61570023</t>
        </is>
      </c>
      <c r="G2581" s="51" t="n">
        <v>44647</v>
      </c>
      <c r="H2581" s="33" t="inlineStr">
        <is>
          <t>Baltic States Swimming Championships</t>
        </is>
      </c>
      <c r="I2581" s="33" t="inlineStr">
        <is>
          <t>226875</t>
        </is>
      </c>
      <c r="J2581" s="33" t="inlineStr"/>
      <c r="K2581" s="33" t="inlineStr">
        <is>
          <t>PRE</t>
        </is>
      </c>
      <c r="L2581" s="35">
        <f>IF(K2581="FIN",3,IF(OR(K2581="SEM",K2581="SEMI"),2,IF(OR(K2581="PRE",K2581="HEAT"),1,IF(V2581="YES",4,2))))</f>
        <v/>
      </c>
      <c r="M2581" s="33" t="inlineStr">
        <is>
          <t>LCM</t>
        </is>
      </c>
      <c r="N2581" s="33" t="n">
        <v>100</v>
      </c>
      <c r="O2581" s="33" t="inlineStr">
        <is>
          <t>Fly</t>
        </is>
      </c>
      <c r="P2581" s="33" t="inlineStr">
        <is>
          <t>100 Fly</t>
        </is>
      </c>
      <c r="Q2581" s="33" t="inlineStr">
        <is>
          <t>LCM_100_FLY</t>
        </is>
      </c>
      <c r="R2581" s="36" t="n">
        <v>58.94</v>
      </c>
      <c r="S2581" s="35">
        <f>IF(R2581="","",IF(R2581&gt;=60,INT(R2581/60)&amp;":"&amp;TEXT(MOD(R2581,60),"00.00"),TEXT(R2581,"0.00")))</f>
        <v/>
      </c>
      <c r="T2581" s="52">
        <f>IFERROR((G2581-INDEX('01_Swimmers'!$E$5:$E$22,MATCH(B2581,'01_Swimmers'!$A$5:$A$22,0)))/'00_Control'!$B$10,"")</f>
        <v/>
      </c>
      <c r="U2581" s="35">
        <f>IF(T2581="","",INT(T2581))</f>
        <v/>
      </c>
      <c r="V2581" s="33" t="inlineStr">
        <is>
          <t>NO</t>
        </is>
      </c>
      <c r="W2581" s="33" t="inlineStr">
        <is>
          <t>YES</t>
        </is>
      </c>
      <c r="X2581" s="33" t="inlineStr">
        <is>
          <t>NO</t>
        </is>
      </c>
      <c r="Y2581" s="33" t="n">
        <v>3</v>
      </c>
      <c r="Z2581" s="33" t="n">
        <v>1</v>
      </c>
      <c r="AA2581" s="33" t="inlineStr">
        <is>
          <t>2,11</t>
        </is>
      </c>
      <c r="AB2581" s="33" t="inlineStr">
        <is>
          <t>https://www.swimcloud.com/results/226875/event/25/?id=61570023#time61570023</t>
        </is>
      </c>
      <c r="AC2581" s="33" t="inlineStr">
        <is>
          <t>SwimCloud API v6 2026-10-08</t>
        </is>
      </c>
      <c r="AD2581" s="33" t="inlineStr">
        <is>
          <t>Tajus Juska|2022-03-27|LCM|100|Fly|58.94|Baltic States Swimming Championships|PRE|False</t>
        </is>
      </c>
      <c r="AE2581" s="53">
        <f>G2581+L2581/1000+ROW()/1000000000</f>
        <v/>
      </c>
      <c r="AF2581" s="35">
        <f>IF(C2581&lt;&gt;"Grayson Coulter","",COUNTIFS($C$5:$C$2991,"Grayson Coulter",$Q$5:$Q$2991,Q2581,$AE$5:$AE$2991,"&lt;="&amp;AE2581,$R$5:$R$2991,"&lt;"&amp;R2581))</f>
        <v/>
      </c>
      <c r="AG2581" s="35">
        <f>IF(OR(C2581&lt;&gt;"Grayson Coulter",G2581&lt;'00_Control'!$B$7),"",--(AF2581&lt;5))</f>
        <v/>
      </c>
      <c r="AH2581" s="35">
        <f>IF(OR(C2581&lt;&gt;"Grayson Coulter",G2581&lt;'00_Control'!$B$7),"",--(AF2581&lt;10))</f>
        <v/>
      </c>
      <c r="AI2581" s="35">
        <f>IF(AND(C2581="Grayson Coulter",G2581&gt;='00_Control'!$B$7),"YES","NO")</f>
        <v/>
      </c>
      <c r="AJ2581" s="33" t="inlineStr">
        <is>
          <t>OK</t>
        </is>
      </c>
    </row>
    <row r="2582">
      <c r="A2582" s="33" t="inlineStr">
        <is>
          <t>SM002578</t>
        </is>
      </c>
      <c r="B2582" s="33" t="inlineStr">
        <is>
          <t>SW006</t>
        </is>
      </c>
      <c r="C2582" s="33" t="inlineStr">
        <is>
          <t>Tajus Juska</t>
        </is>
      </c>
      <c r="D2582" s="33" t="inlineStr">
        <is>
          <t>SwimCloud</t>
        </is>
      </c>
      <c r="E2582" s="33" t="inlineStr">
        <is>
          <t>2116196</t>
        </is>
      </c>
      <c r="F2582" s="33" t="inlineStr">
        <is>
          <t>61570025</t>
        </is>
      </c>
      <c r="G2582" s="51" t="n">
        <v>44647</v>
      </c>
      <c r="H2582" s="33" t="inlineStr">
        <is>
          <t>Baltic States Swimming Championships</t>
        </is>
      </c>
      <c r="I2582" s="33" t="inlineStr">
        <is>
          <t>226875</t>
        </is>
      </c>
      <c r="J2582" s="33" t="inlineStr"/>
      <c r="K2582" s="33" t="inlineStr">
        <is>
          <t>FIN</t>
        </is>
      </c>
      <c r="L2582" s="35">
        <f>IF(K2582="FIN",3,IF(OR(K2582="SEM",K2582="SEMI"),2,IF(OR(K2582="PRE",K2582="HEAT"),1,IF(V2582="YES",4,2))))</f>
        <v/>
      </c>
      <c r="M2582" s="33" t="inlineStr">
        <is>
          <t>LCM</t>
        </is>
      </c>
      <c r="N2582" s="33" t="n">
        <v>100</v>
      </c>
      <c r="O2582" s="33" t="inlineStr">
        <is>
          <t>Fly</t>
        </is>
      </c>
      <c r="P2582" s="33" t="inlineStr">
        <is>
          <t>100 Fly</t>
        </is>
      </c>
      <c r="Q2582" s="33" t="inlineStr">
        <is>
          <t>LCM_100_FLY</t>
        </is>
      </c>
      <c r="R2582" s="36" t="n">
        <v>59.44</v>
      </c>
      <c r="S2582" s="35">
        <f>IF(R2582="","",IF(R2582&gt;=60,INT(R2582/60)&amp;":"&amp;TEXT(MOD(R2582,60),"00.00"),TEXT(R2582,"0.00")))</f>
        <v/>
      </c>
      <c r="T2582" s="52">
        <f>IFERROR((G2582-INDEX('01_Swimmers'!$E$5:$E$22,MATCH(B2582,'01_Swimmers'!$A$5:$A$22,0)))/'00_Control'!$B$10,"")</f>
        <v/>
      </c>
      <c r="U2582" s="35">
        <f>IF(T2582="","",INT(T2582))</f>
        <v/>
      </c>
      <c r="V2582" s="33" t="inlineStr">
        <is>
          <t>NO</t>
        </is>
      </c>
      <c r="W2582" s="33" t="inlineStr">
        <is>
          <t>YES</t>
        </is>
      </c>
      <c r="X2582" s="33" t="inlineStr">
        <is>
          <t>NO</t>
        </is>
      </c>
      <c r="Y2582" s="33" t="n">
        <v>2</v>
      </c>
      <c r="Z2582" s="33" t="n">
        <v>5</v>
      </c>
      <c r="AA2582" s="33" t="inlineStr">
        <is>
          <t>13</t>
        </is>
      </c>
      <c r="AB2582" s="33" t="inlineStr">
        <is>
          <t>https://www.swimcloud.com/results/226875/event/25/?id=61570025#time61570025</t>
        </is>
      </c>
      <c r="AC2582" s="33" t="inlineStr">
        <is>
          <t>SwimCloud API v6 2026-10-08</t>
        </is>
      </c>
      <c r="AD2582" s="33" t="inlineStr">
        <is>
          <t>Tajus Juska|2022-03-27|LCM|100|Fly|59.44|Baltic States Swimming Championships|FIN|False</t>
        </is>
      </c>
      <c r="AE2582" s="53">
        <f>G2582+L2582/1000+ROW()/1000000000</f>
        <v/>
      </c>
      <c r="AF2582" s="35">
        <f>IF(C2582&lt;&gt;"Grayson Coulter","",COUNTIFS($C$5:$C$2991,"Grayson Coulter",$Q$5:$Q$2991,Q2582,$AE$5:$AE$2991,"&lt;="&amp;AE2582,$R$5:$R$2991,"&lt;"&amp;R2582))</f>
        <v/>
      </c>
      <c r="AG2582" s="35">
        <f>IF(OR(C2582&lt;&gt;"Grayson Coulter",G2582&lt;'00_Control'!$B$7),"",--(AF2582&lt;5))</f>
        <v/>
      </c>
      <c r="AH2582" s="35">
        <f>IF(OR(C2582&lt;&gt;"Grayson Coulter",G2582&lt;'00_Control'!$B$7),"",--(AF2582&lt;10))</f>
        <v/>
      </c>
      <c r="AI2582" s="35">
        <f>IF(AND(C2582="Grayson Coulter",G2582&gt;='00_Control'!$B$7),"YES","NO")</f>
        <v/>
      </c>
      <c r="AJ2582" s="33" t="inlineStr">
        <is>
          <t>OK</t>
        </is>
      </c>
    </row>
    <row r="2583">
      <c r="A2583" s="33" t="inlineStr">
        <is>
          <t>SM002579</t>
        </is>
      </c>
      <c r="B2583" s="33" t="inlineStr">
        <is>
          <t>SW006</t>
        </is>
      </c>
      <c r="C2583" s="33" t="inlineStr">
        <is>
          <t>Tajus Juska</t>
        </is>
      </c>
      <c r="D2583" s="33" t="inlineStr">
        <is>
          <t>SwimCloud</t>
        </is>
      </c>
      <c r="E2583" s="33" t="inlineStr">
        <is>
          <t>2116196</t>
        </is>
      </c>
      <c r="F2583" s="33" t="inlineStr">
        <is>
          <t>61570022</t>
        </is>
      </c>
      <c r="G2583" s="51" t="n">
        <v>44647</v>
      </c>
      <c r="H2583" s="33" t="inlineStr">
        <is>
          <t>Baltic States Swimming Championships</t>
        </is>
      </c>
      <c r="I2583" s="33" t="inlineStr">
        <is>
          <t>226875</t>
        </is>
      </c>
      <c r="J2583" s="33" t="inlineStr"/>
      <c r="K2583" s="33" t="inlineStr">
        <is>
          <t>PRE</t>
        </is>
      </c>
      <c r="L2583" s="35">
        <f>IF(K2583="FIN",3,IF(OR(K2583="SEM",K2583="SEMI"),2,IF(OR(K2583="PRE",K2583="HEAT"),1,IF(V2583="YES",4,2))))</f>
        <v/>
      </c>
      <c r="M2583" s="33" t="inlineStr">
        <is>
          <t>LCM</t>
        </is>
      </c>
      <c r="N2583" s="33" t="n">
        <v>200</v>
      </c>
      <c r="O2583" s="33" t="inlineStr">
        <is>
          <t>Free</t>
        </is>
      </c>
      <c r="P2583" s="33" t="inlineStr">
        <is>
          <t>200 Free</t>
        </is>
      </c>
      <c r="Q2583" s="33" t="inlineStr">
        <is>
          <t>LCM_200_FREE</t>
        </is>
      </c>
      <c r="R2583" s="36" t="n">
        <v>126.27</v>
      </c>
      <c r="S2583" s="35">
        <f>IF(R2583="","",IF(R2583&gt;=60,INT(R2583/60)&amp;":"&amp;TEXT(MOD(R2583,60),"00.00"),TEXT(R2583,"0.00")))</f>
        <v/>
      </c>
      <c r="T2583" s="52">
        <f>IFERROR((G2583-INDEX('01_Swimmers'!$E$5:$E$22,MATCH(B2583,'01_Swimmers'!$A$5:$A$22,0)))/'00_Control'!$B$10,"")</f>
        <v/>
      </c>
      <c r="U2583" s="35">
        <f>IF(T2583="","",INT(T2583))</f>
        <v/>
      </c>
      <c r="V2583" s="33" t="inlineStr">
        <is>
          <t>NO</t>
        </is>
      </c>
      <c r="W2583" s="33" t="inlineStr">
        <is>
          <t>YES</t>
        </is>
      </c>
      <c r="X2583" s="33" t="inlineStr">
        <is>
          <t>NO</t>
        </is>
      </c>
      <c r="Y2583" s="33" t="n">
        <v>1</v>
      </c>
      <c r="Z2583" s="33" t="n">
        <v>7</v>
      </c>
      <c r="AA2583" s="33" t="inlineStr">
        <is>
          <t>6,14</t>
        </is>
      </c>
      <c r="AB2583" s="33" t="inlineStr">
        <is>
          <t>https://www.swimcloud.com/results/226875/event/19/?id=61570022#time61570022</t>
        </is>
      </c>
      <c r="AC2583" s="33" t="inlineStr">
        <is>
          <t>SwimCloud API v6 2026-10-08</t>
        </is>
      </c>
      <c r="AD2583" s="33" t="inlineStr">
        <is>
          <t>Tajus Juska|2022-03-27|LCM|200|Free|126.27|Baltic States Swimming Championships|PRE|False</t>
        </is>
      </c>
      <c r="AE2583" s="53">
        <f>G2583+L2583/1000+ROW()/1000000000</f>
        <v/>
      </c>
      <c r="AF2583" s="35">
        <f>IF(C2583&lt;&gt;"Grayson Coulter","",COUNTIFS($C$5:$C$2991,"Grayson Coulter",$Q$5:$Q$2991,Q2583,$AE$5:$AE$2991,"&lt;="&amp;AE2583,$R$5:$R$2991,"&lt;"&amp;R2583))</f>
        <v/>
      </c>
      <c r="AG2583" s="35">
        <f>IF(OR(C2583&lt;&gt;"Grayson Coulter",G2583&lt;'00_Control'!$B$7),"",--(AF2583&lt;5))</f>
        <v/>
      </c>
      <c r="AH2583" s="35">
        <f>IF(OR(C2583&lt;&gt;"Grayson Coulter",G2583&lt;'00_Control'!$B$7),"",--(AF2583&lt;10))</f>
        <v/>
      </c>
      <c r="AI2583" s="35">
        <f>IF(AND(C2583="Grayson Coulter",G2583&gt;='00_Control'!$B$7),"YES","NO")</f>
        <v/>
      </c>
      <c r="AJ2583" s="33" t="inlineStr">
        <is>
          <t>OK</t>
        </is>
      </c>
    </row>
    <row r="2584">
      <c r="A2584" s="33" t="inlineStr">
        <is>
          <t>SM002580</t>
        </is>
      </c>
      <c r="B2584" s="33" t="inlineStr">
        <is>
          <t>SW006</t>
        </is>
      </c>
      <c r="C2584" s="33" t="inlineStr">
        <is>
          <t>Tajus Juska</t>
        </is>
      </c>
      <c r="D2584" s="33" t="inlineStr">
        <is>
          <t>SwimCloud</t>
        </is>
      </c>
      <c r="E2584" s="33" t="inlineStr">
        <is>
          <t>2116196</t>
        </is>
      </c>
      <c r="F2584" s="33" t="inlineStr">
        <is>
          <t>91771879</t>
        </is>
      </c>
      <c r="G2584" s="51" t="n">
        <v>44910</v>
      </c>
      <c r="H2584" s="33" t="inlineStr">
        <is>
          <t>Lithuanian Short Course Championships</t>
        </is>
      </c>
      <c r="I2584" s="33" t="inlineStr">
        <is>
          <t>237868</t>
        </is>
      </c>
      <c r="J2584" s="33" t="inlineStr"/>
      <c r="K2584" s="33" t="inlineStr">
        <is>
          <t>PRE</t>
        </is>
      </c>
      <c r="L2584" s="35">
        <f>IF(K2584="FIN",3,IF(OR(K2584="SEM",K2584="SEMI"),2,IF(OR(K2584="PRE",K2584="HEAT"),1,IF(V2584="YES",4,2))))</f>
        <v/>
      </c>
      <c r="M2584" s="33" t="inlineStr">
        <is>
          <t>SCM</t>
        </is>
      </c>
      <c r="N2584" s="33" t="n">
        <v>200</v>
      </c>
      <c r="O2584" s="33" t="inlineStr">
        <is>
          <t>Free</t>
        </is>
      </c>
      <c r="P2584" s="33" t="inlineStr">
        <is>
          <t>200 Free</t>
        </is>
      </c>
      <c r="Q2584" s="33" t="inlineStr">
        <is>
          <t>SCM_200_FREE</t>
        </is>
      </c>
      <c r="R2584" s="36" t="n">
        <v>114.65</v>
      </c>
      <c r="S2584" s="35">
        <f>IF(R2584="","",IF(R2584&gt;=60,INT(R2584/60)&amp;":"&amp;TEXT(MOD(R2584,60),"00.00"),TEXT(R2584,"0.00")))</f>
        <v/>
      </c>
      <c r="T2584" s="52">
        <f>IFERROR((G2584-INDEX('01_Swimmers'!$E$5:$E$22,MATCH(B2584,'01_Swimmers'!$A$5:$A$22,0)))/'00_Control'!$B$10,"")</f>
        <v/>
      </c>
      <c r="U2584" s="35">
        <f>IF(T2584="","",INT(T2584))</f>
        <v/>
      </c>
      <c r="V2584" s="33" t="inlineStr">
        <is>
          <t>NO</t>
        </is>
      </c>
      <c r="W2584" s="33" t="inlineStr">
        <is>
          <t>YES</t>
        </is>
      </c>
      <c r="X2584" s="33" t="inlineStr">
        <is>
          <t>NO</t>
        </is>
      </c>
      <c r="Y2584" s="33" t="n">
        <v>4</v>
      </c>
      <c r="Z2584" s="33" t="n">
        <v>4</v>
      </c>
      <c r="AA2584" s="33" t="inlineStr">
        <is>
          <t>16</t>
        </is>
      </c>
      <c r="AB2584" s="33" t="inlineStr">
        <is>
          <t>https://www.swimcloud.com/results/237868/event/2/?id=91771879#time91771879</t>
        </is>
      </c>
      <c r="AC2584" s="33" t="inlineStr">
        <is>
          <t>SwimCloud API v6 2026-10-08</t>
        </is>
      </c>
      <c r="AD2584" s="33" t="inlineStr">
        <is>
          <t>Tajus Juska|2022-12-15|SCM|200|Free|114.65|Lithuanian Short Course Championships|PRE|False</t>
        </is>
      </c>
      <c r="AE2584" s="53">
        <f>G2584+L2584/1000+ROW()/1000000000</f>
        <v/>
      </c>
      <c r="AF2584" s="35">
        <f>IF(C2584&lt;&gt;"Grayson Coulter","",COUNTIFS($C$5:$C$2991,"Grayson Coulter",$Q$5:$Q$2991,Q2584,$AE$5:$AE$2991,"&lt;="&amp;AE2584,$R$5:$R$2991,"&lt;"&amp;R2584))</f>
        <v/>
      </c>
      <c r="AG2584" s="35">
        <f>IF(OR(C2584&lt;&gt;"Grayson Coulter",G2584&lt;'00_Control'!$B$7),"",--(AF2584&lt;5))</f>
        <v/>
      </c>
      <c r="AH2584" s="35">
        <f>IF(OR(C2584&lt;&gt;"Grayson Coulter",G2584&lt;'00_Control'!$B$7),"",--(AF2584&lt;10))</f>
        <v/>
      </c>
      <c r="AI2584" s="35">
        <f>IF(AND(C2584="Grayson Coulter",G2584&gt;='00_Control'!$B$7),"YES","NO")</f>
        <v/>
      </c>
      <c r="AJ2584" s="33" t="inlineStr">
        <is>
          <t>OK</t>
        </is>
      </c>
    </row>
    <row r="2585">
      <c r="A2585" s="33" t="inlineStr">
        <is>
          <t>SM002581</t>
        </is>
      </c>
      <c r="B2585" s="33" t="inlineStr">
        <is>
          <t>SW006</t>
        </is>
      </c>
      <c r="C2585" s="33" t="inlineStr">
        <is>
          <t>Tajus Juska</t>
        </is>
      </c>
      <c r="D2585" s="33" t="inlineStr">
        <is>
          <t>SwimCloud</t>
        </is>
      </c>
      <c r="E2585" s="33" t="inlineStr">
        <is>
          <t>2116196</t>
        </is>
      </c>
      <c r="F2585" s="33" t="inlineStr">
        <is>
          <t>91771885</t>
        </is>
      </c>
      <c r="G2585" s="51" t="n">
        <v>44910</v>
      </c>
      <c r="H2585" s="33" t="inlineStr">
        <is>
          <t>Lithuanian Short Course Championships</t>
        </is>
      </c>
      <c r="I2585" s="33" t="inlineStr">
        <is>
          <t>237868</t>
        </is>
      </c>
      <c r="J2585" s="33" t="inlineStr"/>
      <c r="K2585" s="33" t="inlineStr">
        <is>
          <t>FIN</t>
        </is>
      </c>
      <c r="L2585" s="35">
        <f>IF(K2585="FIN",3,IF(OR(K2585="SEM",K2585="SEMI"),2,IF(OR(K2585="PRE",K2585="HEAT"),1,IF(V2585="YES",4,2))))</f>
        <v/>
      </c>
      <c r="M2585" s="33" t="inlineStr">
        <is>
          <t>SCM</t>
        </is>
      </c>
      <c r="N2585" s="33" t="n">
        <v>200</v>
      </c>
      <c r="O2585" s="33" t="inlineStr">
        <is>
          <t>Free</t>
        </is>
      </c>
      <c r="P2585" s="33" t="inlineStr">
        <is>
          <t>200 Free</t>
        </is>
      </c>
      <c r="Q2585" s="33" t="inlineStr">
        <is>
          <t>SCM_200_FREE</t>
        </is>
      </c>
      <c r="R2585" s="36" t="n">
        <v>114.35</v>
      </c>
      <c r="S2585" s="35">
        <f>IF(R2585="","",IF(R2585&gt;=60,INT(R2585/60)&amp;":"&amp;TEXT(MOD(R2585,60),"00.00"),TEXT(R2585,"0.00")))</f>
        <v/>
      </c>
      <c r="T2585" s="52">
        <f>IFERROR((G2585-INDEX('01_Swimmers'!$E$5:$E$22,MATCH(B2585,'01_Swimmers'!$A$5:$A$22,0)))/'00_Control'!$B$10,"")</f>
        <v/>
      </c>
      <c r="U2585" s="35">
        <f>IF(T2585="","",INT(T2585))</f>
        <v/>
      </c>
      <c r="V2585" s="33" t="inlineStr">
        <is>
          <t>NO</t>
        </is>
      </c>
      <c r="W2585" s="33" t="inlineStr">
        <is>
          <t>YES</t>
        </is>
      </c>
      <c r="X2585" s="33" t="inlineStr">
        <is>
          <t>NO</t>
        </is>
      </c>
      <c r="Y2585" s="33" t="n">
        <v>1</v>
      </c>
      <c r="Z2585" s="33" t="n">
        <v>8</v>
      </c>
      <c r="AA2585" s="33" t="inlineStr">
        <is>
          <t>14</t>
        </is>
      </c>
      <c r="AB2585" s="33" t="inlineStr">
        <is>
          <t>https://www.swimcloud.com/results/237868/event/2/?id=91771885#time91771885</t>
        </is>
      </c>
      <c r="AC2585" s="33" t="inlineStr">
        <is>
          <t>SwimCloud API v6 2026-10-08</t>
        </is>
      </c>
      <c r="AD2585" s="33" t="inlineStr">
        <is>
          <t>Tajus Juska|2022-12-15|SCM|200|Free|114.35|Lithuanian Short Course Championships|FIN|False</t>
        </is>
      </c>
      <c r="AE2585" s="53">
        <f>G2585+L2585/1000+ROW()/1000000000</f>
        <v/>
      </c>
      <c r="AF2585" s="35">
        <f>IF(C2585&lt;&gt;"Grayson Coulter","",COUNTIFS($C$5:$C$2991,"Grayson Coulter",$Q$5:$Q$2991,Q2585,$AE$5:$AE$2991,"&lt;="&amp;AE2585,$R$5:$R$2991,"&lt;"&amp;R2585))</f>
        <v/>
      </c>
      <c r="AG2585" s="35">
        <f>IF(OR(C2585&lt;&gt;"Grayson Coulter",G2585&lt;'00_Control'!$B$7),"",--(AF2585&lt;5))</f>
        <v/>
      </c>
      <c r="AH2585" s="35">
        <f>IF(OR(C2585&lt;&gt;"Grayson Coulter",G2585&lt;'00_Control'!$B$7),"",--(AF2585&lt;10))</f>
        <v/>
      </c>
      <c r="AI2585" s="35">
        <f>IF(AND(C2585="Grayson Coulter",G2585&gt;='00_Control'!$B$7),"YES","NO")</f>
        <v/>
      </c>
      <c r="AJ2585" s="33" t="inlineStr">
        <is>
          <t>OK</t>
        </is>
      </c>
    </row>
    <row r="2586">
      <c r="A2586" s="33" t="inlineStr">
        <is>
          <t>SM002582</t>
        </is>
      </c>
      <c r="B2586" s="33" t="inlineStr">
        <is>
          <t>SW006</t>
        </is>
      </c>
      <c r="C2586" s="33" t="inlineStr">
        <is>
          <t>Tajus Juska</t>
        </is>
      </c>
      <c r="D2586" s="33" t="inlineStr">
        <is>
          <t>SwimCloud</t>
        </is>
      </c>
      <c r="E2586" s="33" t="inlineStr">
        <is>
          <t>2116196</t>
        </is>
      </c>
      <c r="F2586" s="33" t="inlineStr">
        <is>
          <t>91771881</t>
        </is>
      </c>
      <c r="G2586" s="51" t="n">
        <v>44911</v>
      </c>
      <c r="H2586" s="33" t="inlineStr">
        <is>
          <t>Lithuanian Short Course Championships</t>
        </is>
      </c>
      <c r="I2586" s="33" t="inlineStr">
        <is>
          <t>237868</t>
        </is>
      </c>
      <c r="J2586" s="33" t="inlineStr"/>
      <c r="K2586" s="33" t="inlineStr">
        <is>
          <t>PRE</t>
        </is>
      </c>
      <c r="L2586" s="35">
        <f>IF(K2586="FIN",3,IF(OR(K2586="SEM",K2586="SEMI"),2,IF(OR(K2586="PRE",K2586="HEAT"),1,IF(V2586="YES",4,2))))</f>
        <v/>
      </c>
      <c r="M2586" s="33" t="inlineStr">
        <is>
          <t>SCM</t>
        </is>
      </c>
      <c r="N2586" s="33" t="n">
        <v>100</v>
      </c>
      <c r="O2586" s="33" t="inlineStr">
        <is>
          <t>Free</t>
        </is>
      </c>
      <c r="P2586" s="33" t="inlineStr">
        <is>
          <t>100 Free</t>
        </is>
      </c>
      <c r="Q2586" s="33" t="inlineStr">
        <is>
          <t>SCM_100_FREE</t>
        </is>
      </c>
      <c r="R2586" s="36" t="n">
        <v>51.13</v>
      </c>
      <c r="S2586" s="35">
        <f>IF(R2586="","",IF(R2586&gt;=60,INT(R2586/60)&amp;":"&amp;TEXT(MOD(R2586,60),"00.00"),TEXT(R2586,"0.00")))</f>
        <v/>
      </c>
      <c r="T2586" s="52">
        <f>IFERROR((G2586-INDEX('01_Swimmers'!$E$5:$E$22,MATCH(B2586,'01_Swimmers'!$A$5:$A$22,0)))/'00_Control'!$B$10,"")</f>
        <v/>
      </c>
      <c r="U2586" s="35">
        <f>IF(T2586="","",INT(T2586))</f>
        <v/>
      </c>
      <c r="V2586" s="33" t="inlineStr">
        <is>
          <t>NO</t>
        </is>
      </c>
      <c r="W2586" s="33" t="inlineStr">
        <is>
          <t>YES</t>
        </is>
      </c>
      <c r="X2586" s="33" t="inlineStr">
        <is>
          <t>NO</t>
        </is>
      </c>
      <c r="Y2586" s="33" t="n">
        <v>8</v>
      </c>
      <c r="Z2586" s="33" t="n">
        <v>6</v>
      </c>
      <c r="AA2586" s="33" t="inlineStr">
        <is>
          <t>20</t>
        </is>
      </c>
      <c r="AB2586" s="33" t="inlineStr">
        <is>
          <t>https://www.swimcloud.com/results/237868/event/19/?id=91771881#time91771881</t>
        </is>
      </c>
      <c r="AC2586" s="33" t="inlineStr">
        <is>
          <t>SwimCloud API v6 2026-10-08</t>
        </is>
      </c>
      <c r="AD2586" s="33" t="inlineStr">
        <is>
          <t>Tajus Juska|2022-12-16|SCM|100|Free|51.13|Lithuanian Short Course Championships|PRE|False</t>
        </is>
      </c>
      <c r="AE2586" s="53">
        <f>G2586+L2586/1000+ROW()/1000000000</f>
        <v/>
      </c>
      <c r="AF2586" s="35">
        <f>IF(C2586&lt;&gt;"Grayson Coulter","",COUNTIFS($C$5:$C$2991,"Grayson Coulter",$Q$5:$Q$2991,Q2586,$AE$5:$AE$2991,"&lt;="&amp;AE2586,$R$5:$R$2991,"&lt;"&amp;R2586))</f>
        <v/>
      </c>
      <c r="AG2586" s="35">
        <f>IF(OR(C2586&lt;&gt;"Grayson Coulter",G2586&lt;'00_Control'!$B$7),"",--(AF2586&lt;5))</f>
        <v/>
      </c>
      <c r="AH2586" s="35">
        <f>IF(OR(C2586&lt;&gt;"Grayson Coulter",G2586&lt;'00_Control'!$B$7),"",--(AF2586&lt;10))</f>
        <v/>
      </c>
      <c r="AI2586" s="35">
        <f>IF(AND(C2586="Grayson Coulter",G2586&gt;='00_Control'!$B$7),"YES","NO")</f>
        <v/>
      </c>
      <c r="AJ2586" s="33" t="inlineStr">
        <is>
          <t>OK</t>
        </is>
      </c>
    </row>
    <row r="2587">
      <c r="A2587" s="33" t="inlineStr">
        <is>
          <t>SM002583</t>
        </is>
      </c>
      <c r="B2587" s="33" t="inlineStr">
        <is>
          <t>SW006</t>
        </is>
      </c>
      <c r="C2587" s="33" t="inlineStr">
        <is>
          <t>Tajus Juska</t>
        </is>
      </c>
      <c r="D2587" s="33" t="inlineStr">
        <is>
          <t>SwimCloud</t>
        </is>
      </c>
      <c r="E2587" s="33" t="inlineStr">
        <is>
          <t>2116196</t>
        </is>
      </c>
      <c r="F2587" s="33" t="inlineStr">
        <is>
          <t>91771882</t>
        </is>
      </c>
      <c r="G2587" s="51" t="n">
        <v>44912</v>
      </c>
      <c r="H2587" s="33" t="inlineStr">
        <is>
          <t>Lithuanian Short Course Championships</t>
        </is>
      </c>
      <c r="I2587" s="33" t="inlineStr">
        <is>
          <t>237868</t>
        </is>
      </c>
      <c r="J2587" s="33" t="inlineStr"/>
      <c r="K2587" s="33" t="inlineStr">
        <is>
          <t>PRE</t>
        </is>
      </c>
      <c r="L2587" s="35">
        <f>IF(K2587="FIN",3,IF(OR(K2587="SEM",K2587="SEMI"),2,IF(OR(K2587="PRE",K2587="HEAT"),1,IF(V2587="YES",4,2))))</f>
        <v/>
      </c>
      <c r="M2587" s="33" t="inlineStr">
        <is>
          <t>SCM</t>
        </is>
      </c>
      <c r="N2587" s="33" t="n">
        <v>100</v>
      </c>
      <c r="O2587" s="33" t="inlineStr">
        <is>
          <t>Fly</t>
        </is>
      </c>
      <c r="P2587" s="33" t="inlineStr">
        <is>
          <t>100 Fly</t>
        </is>
      </c>
      <c r="Q2587" s="33" t="inlineStr">
        <is>
          <t>SCM_100_FLY</t>
        </is>
      </c>
      <c r="R2587" s="36" t="n">
        <v>56.56</v>
      </c>
      <c r="S2587" s="35">
        <f>IF(R2587="","",IF(R2587&gt;=60,INT(R2587/60)&amp;":"&amp;TEXT(MOD(R2587,60),"00.00"),TEXT(R2587,"0.00")))</f>
        <v/>
      </c>
      <c r="T2587" s="52">
        <f>IFERROR((G2587-INDEX('01_Swimmers'!$E$5:$E$22,MATCH(B2587,'01_Swimmers'!$A$5:$A$22,0)))/'00_Control'!$B$10,"")</f>
        <v/>
      </c>
      <c r="U2587" s="35">
        <f>IF(T2587="","",INT(T2587))</f>
        <v/>
      </c>
      <c r="V2587" s="33" t="inlineStr">
        <is>
          <t>NO</t>
        </is>
      </c>
      <c r="W2587" s="33" t="inlineStr">
        <is>
          <t>YES</t>
        </is>
      </c>
      <c r="X2587" s="33" t="inlineStr">
        <is>
          <t>NO</t>
        </is>
      </c>
      <c r="Y2587" s="33" t="n">
        <v>4</v>
      </c>
      <c r="Z2587" s="33" t="n">
        <v>2</v>
      </c>
      <c r="AA2587" s="33" t="inlineStr">
        <is>
          <t>16</t>
        </is>
      </c>
      <c r="AB2587" s="33" t="inlineStr">
        <is>
          <t>https://www.swimcloud.com/results/237868/event/33/?id=91771882#time91771882</t>
        </is>
      </c>
      <c r="AC2587" s="33" t="inlineStr">
        <is>
          <t>SwimCloud API v6 2026-10-08</t>
        </is>
      </c>
      <c r="AD2587" s="33" t="inlineStr">
        <is>
          <t>Tajus Juska|2022-12-17|SCM|100|Fly|56.56|Lithuanian Short Course Championships|PRE|False</t>
        </is>
      </c>
      <c r="AE2587" s="53">
        <f>G2587+L2587/1000+ROW()/1000000000</f>
        <v/>
      </c>
      <c r="AF2587" s="35">
        <f>IF(C2587&lt;&gt;"Grayson Coulter","",COUNTIFS($C$5:$C$2991,"Grayson Coulter",$Q$5:$Q$2991,Q2587,$AE$5:$AE$2991,"&lt;="&amp;AE2587,$R$5:$R$2991,"&lt;"&amp;R2587))</f>
        <v/>
      </c>
      <c r="AG2587" s="35">
        <f>IF(OR(C2587&lt;&gt;"Grayson Coulter",G2587&lt;'00_Control'!$B$7),"",--(AF2587&lt;5))</f>
        <v/>
      </c>
      <c r="AH2587" s="35">
        <f>IF(OR(C2587&lt;&gt;"Grayson Coulter",G2587&lt;'00_Control'!$B$7),"",--(AF2587&lt;10))</f>
        <v/>
      </c>
      <c r="AI2587" s="35">
        <f>IF(AND(C2587="Grayson Coulter",G2587&gt;='00_Control'!$B$7),"YES","NO")</f>
        <v/>
      </c>
      <c r="AJ2587" s="33" t="inlineStr">
        <is>
          <t>OK</t>
        </is>
      </c>
    </row>
    <row r="2588">
      <c r="A2588" s="33" t="inlineStr">
        <is>
          <t>SM002584</t>
        </is>
      </c>
      <c r="B2588" s="33" t="inlineStr">
        <is>
          <t>SW006</t>
        </is>
      </c>
      <c r="C2588" s="33" t="inlineStr">
        <is>
          <t>Tajus Juska</t>
        </is>
      </c>
      <c r="D2588" s="33" t="inlineStr">
        <is>
          <t>SwimCloud</t>
        </is>
      </c>
      <c r="E2588" s="33" t="inlineStr">
        <is>
          <t>2116196</t>
        </is>
      </c>
      <c r="F2588" s="33" t="inlineStr">
        <is>
          <t>91771887</t>
        </is>
      </c>
      <c r="G2588" s="51" t="n">
        <v>44912</v>
      </c>
      <c r="H2588" s="33" t="inlineStr">
        <is>
          <t>Lithuanian Short Course Championships</t>
        </is>
      </c>
      <c r="I2588" s="33" t="inlineStr">
        <is>
          <t>237868</t>
        </is>
      </c>
      <c r="J2588" s="33" t="inlineStr"/>
      <c r="K2588" s="33" t="inlineStr">
        <is>
          <t>FIN</t>
        </is>
      </c>
      <c r="L2588" s="35">
        <f>IF(K2588="FIN",3,IF(OR(K2588="SEM",K2588="SEMI"),2,IF(OR(K2588="PRE",K2588="HEAT"),1,IF(V2588="YES",4,2))))</f>
        <v/>
      </c>
      <c r="M2588" s="33" t="inlineStr">
        <is>
          <t>SCM</t>
        </is>
      </c>
      <c r="N2588" s="33" t="n">
        <v>100</v>
      </c>
      <c r="O2588" s="33" t="inlineStr">
        <is>
          <t>Fly</t>
        </is>
      </c>
      <c r="P2588" s="33" t="inlineStr">
        <is>
          <t>100 Fly</t>
        </is>
      </c>
      <c r="Q2588" s="33" t="inlineStr">
        <is>
          <t>SCM_100_FLY</t>
        </is>
      </c>
      <c r="R2588" s="36" t="n">
        <v>55.81</v>
      </c>
      <c r="S2588" s="35">
        <f>IF(R2588="","",IF(R2588&gt;=60,INT(R2588/60)&amp;":"&amp;TEXT(MOD(R2588,60),"00.00"),TEXT(R2588,"0.00")))</f>
        <v/>
      </c>
      <c r="T2588" s="52">
        <f>IFERROR((G2588-INDEX('01_Swimmers'!$E$5:$E$22,MATCH(B2588,'01_Swimmers'!$A$5:$A$22,0)))/'00_Control'!$B$10,"")</f>
        <v/>
      </c>
      <c r="U2588" s="35">
        <f>IF(T2588="","",INT(T2588))</f>
        <v/>
      </c>
      <c r="V2588" s="33" t="inlineStr">
        <is>
          <t>NO</t>
        </is>
      </c>
      <c r="W2588" s="33" t="inlineStr">
        <is>
          <t>YES</t>
        </is>
      </c>
      <c r="X2588" s="33" t="inlineStr">
        <is>
          <t>NO</t>
        </is>
      </c>
      <c r="Y2588" s="33" t="n">
        <v>1</v>
      </c>
      <c r="Z2588" s="33" t="n">
        <v>1</v>
      </c>
      <c r="AA2588" s="33" t="inlineStr">
        <is>
          <t>15</t>
        </is>
      </c>
      <c r="AB2588" s="33" t="inlineStr">
        <is>
          <t>https://www.swimcloud.com/results/237868/event/33/?id=91771887#time91771887</t>
        </is>
      </c>
      <c r="AC2588" s="33" t="inlineStr">
        <is>
          <t>SwimCloud API v6 2026-10-08</t>
        </is>
      </c>
      <c r="AD2588" s="33" t="inlineStr">
        <is>
          <t>Tajus Juska|2022-12-17|SCM|100|Fly|55.81|Lithuanian Short Course Championships|FIN|False</t>
        </is>
      </c>
      <c r="AE2588" s="53">
        <f>G2588+L2588/1000+ROW()/1000000000</f>
        <v/>
      </c>
      <c r="AF2588" s="35">
        <f>IF(C2588&lt;&gt;"Grayson Coulter","",COUNTIFS($C$5:$C$2991,"Grayson Coulter",$Q$5:$Q$2991,Q2588,$AE$5:$AE$2991,"&lt;="&amp;AE2588,$R$5:$R$2991,"&lt;"&amp;R2588))</f>
        <v/>
      </c>
      <c r="AG2588" s="35">
        <f>IF(OR(C2588&lt;&gt;"Grayson Coulter",G2588&lt;'00_Control'!$B$7),"",--(AF2588&lt;5))</f>
        <v/>
      </c>
      <c r="AH2588" s="35">
        <f>IF(OR(C2588&lt;&gt;"Grayson Coulter",G2588&lt;'00_Control'!$B$7),"",--(AF2588&lt;10))</f>
        <v/>
      </c>
      <c r="AI2588" s="35">
        <f>IF(AND(C2588="Grayson Coulter",G2588&gt;='00_Control'!$B$7),"YES","NO")</f>
        <v/>
      </c>
      <c r="AJ2588" s="33" t="inlineStr">
        <is>
          <t>OK</t>
        </is>
      </c>
    </row>
    <row r="2589">
      <c r="A2589" s="33" t="inlineStr">
        <is>
          <t>SM002585</t>
        </is>
      </c>
      <c r="B2589" s="33" t="inlineStr">
        <is>
          <t>SW006</t>
        </is>
      </c>
      <c r="C2589" s="33" t="inlineStr">
        <is>
          <t>Tajus Juska</t>
        </is>
      </c>
      <c r="D2589" s="33" t="inlineStr">
        <is>
          <t>SwimCloud</t>
        </is>
      </c>
      <c r="E2589" s="33" t="inlineStr">
        <is>
          <t>2116196</t>
        </is>
      </c>
      <c r="F2589" s="33" t="inlineStr">
        <is>
          <t>97081230</t>
        </is>
      </c>
      <c r="G2589" s="51" t="n">
        <v>44973</v>
      </c>
      <c r="H2589" s="33" t="inlineStr">
        <is>
          <t>Lietuvos žiemos Pirmenybės</t>
        </is>
      </c>
      <c r="I2589" s="33" t="inlineStr">
        <is>
          <t>263068</t>
        </is>
      </c>
      <c r="J2589" s="33" t="inlineStr"/>
      <c r="K2589" s="33" t="inlineStr">
        <is>
          <t>PRE</t>
        </is>
      </c>
      <c r="L2589" s="35">
        <f>IF(K2589="FIN",3,IF(OR(K2589="SEM",K2589="SEMI"),2,IF(OR(K2589="PRE",K2589="HEAT"),1,IF(V2589="YES",4,2))))</f>
        <v/>
      </c>
      <c r="M2589" s="33" t="inlineStr">
        <is>
          <t>LCM</t>
        </is>
      </c>
      <c r="N2589" s="33" t="n">
        <v>200</v>
      </c>
      <c r="O2589" s="33" t="inlineStr">
        <is>
          <t>Free</t>
        </is>
      </c>
      <c r="P2589" s="33" t="inlineStr">
        <is>
          <t>200 Free</t>
        </is>
      </c>
      <c r="Q2589" s="33" t="inlineStr">
        <is>
          <t>LCM_200_FREE</t>
        </is>
      </c>
      <c r="R2589" s="36" t="n">
        <v>119.39</v>
      </c>
      <c r="S2589" s="35">
        <f>IF(R2589="","",IF(R2589&gt;=60,INT(R2589/60)&amp;":"&amp;TEXT(MOD(R2589,60),"00.00"),TEXT(R2589,"0.00")))</f>
        <v/>
      </c>
      <c r="T2589" s="52">
        <f>IFERROR((G2589-INDEX('01_Swimmers'!$E$5:$E$22,MATCH(B2589,'01_Swimmers'!$A$5:$A$22,0)))/'00_Control'!$B$10,"")</f>
        <v/>
      </c>
      <c r="U2589" s="35">
        <f>IF(T2589="","",INT(T2589))</f>
        <v/>
      </c>
      <c r="V2589" s="33" t="inlineStr">
        <is>
          <t>NO</t>
        </is>
      </c>
      <c r="W2589" s="33" t="inlineStr">
        <is>
          <t>YES</t>
        </is>
      </c>
      <c r="X2589" s="33" t="inlineStr">
        <is>
          <t>NO</t>
        </is>
      </c>
      <c r="Y2589" s="33" t="n">
        <v>8</v>
      </c>
      <c r="Z2589" s="33" t="n">
        <v>1</v>
      </c>
      <c r="AA2589" s="33" t="inlineStr">
        <is>
          <t>11</t>
        </is>
      </c>
      <c r="AB2589" s="33" t="inlineStr">
        <is>
          <t>https://www.swimcloud.com/results/263068/event/2/?id=97081230#time97081230</t>
        </is>
      </c>
      <c r="AC2589" s="33" t="inlineStr">
        <is>
          <t>SwimCloud API v6 2026-10-08</t>
        </is>
      </c>
      <c r="AD2589" s="33" t="inlineStr">
        <is>
          <t>Tajus Juska|2023-02-16|LCM|200|Free|119.39|Lietuvos žiemos Pirmenybės|PRE|False</t>
        </is>
      </c>
      <c r="AE2589" s="53">
        <f>G2589+L2589/1000+ROW()/1000000000</f>
        <v/>
      </c>
      <c r="AF2589" s="35">
        <f>IF(C2589&lt;&gt;"Grayson Coulter","",COUNTIFS($C$5:$C$2991,"Grayson Coulter",$Q$5:$Q$2991,Q2589,$AE$5:$AE$2991,"&lt;="&amp;AE2589,$R$5:$R$2991,"&lt;"&amp;R2589))</f>
        <v/>
      </c>
      <c r="AG2589" s="35">
        <f>IF(OR(C2589&lt;&gt;"Grayson Coulter",G2589&lt;'00_Control'!$B$7),"",--(AF2589&lt;5))</f>
        <v/>
      </c>
      <c r="AH2589" s="35">
        <f>IF(OR(C2589&lt;&gt;"Grayson Coulter",G2589&lt;'00_Control'!$B$7),"",--(AF2589&lt;10))</f>
        <v/>
      </c>
      <c r="AI2589" s="35">
        <f>IF(AND(C2589="Grayson Coulter",G2589&gt;='00_Control'!$B$7),"YES","NO")</f>
        <v/>
      </c>
      <c r="AJ2589" s="33" t="inlineStr">
        <is>
          <t>OK</t>
        </is>
      </c>
    </row>
    <row r="2590">
      <c r="A2590" s="33" t="inlineStr">
        <is>
          <t>SM002586</t>
        </is>
      </c>
      <c r="B2590" s="33" t="inlineStr">
        <is>
          <t>SW006</t>
        </is>
      </c>
      <c r="C2590" s="33" t="inlineStr">
        <is>
          <t>Tajus Juska</t>
        </is>
      </c>
      <c r="D2590" s="33" t="inlineStr">
        <is>
          <t>SwimCloud</t>
        </is>
      </c>
      <c r="E2590" s="33" t="inlineStr">
        <is>
          <t>2116196</t>
        </is>
      </c>
      <c r="F2590" s="33" t="inlineStr">
        <is>
          <t>97081235</t>
        </is>
      </c>
      <c r="G2590" s="51" t="n">
        <v>44973</v>
      </c>
      <c r="H2590" s="33" t="inlineStr">
        <is>
          <t>Lietuvos žiemos Pirmenybės</t>
        </is>
      </c>
      <c r="I2590" s="33" t="inlineStr">
        <is>
          <t>263068</t>
        </is>
      </c>
      <c r="J2590" s="33" t="inlineStr"/>
      <c r="K2590" s="33" t="inlineStr">
        <is>
          <t>FIN</t>
        </is>
      </c>
      <c r="L2590" s="35">
        <f>IF(K2590="FIN",3,IF(OR(K2590="SEM",K2590="SEMI"),2,IF(OR(K2590="PRE",K2590="HEAT"),1,IF(V2590="YES",4,2))))</f>
        <v/>
      </c>
      <c r="M2590" s="33" t="inlineStr">
        <is>
          <t>LCM</t>
        </is>
      </c>
      <c r="N2590" s="33" t="n">
        <v>200</v>
      </c>
      <c r="O2590" s="33" t="inlineStr">
        <is>
          <t>Free</t>
        </is>
      </c>
      <c r="P2590" s="33" t="inlineStr">
        <is>
          <t>200 Free</t>
        </is>
      </c>
      <c r="Q2590" s="33" t="inlineStr">
        <is>
          <t>LCM_200_FREE</t>
        </is>
      </c>
      <c r="R2590" s="36" t="n">
        <v>118.32</v>
      </c>
      <c r="S2590" s="35">
        <f>IF(R2590="","",IF(R2590&gt;=60,INT(R2590/60)&amp;":"&amp;TEXT(MOD(R2590,60),"00.00"),TEXT(R2590,"0.00")))</f>
        <v/>
      </c>
      <c r="T2590" s="52">
        <f>IFERROR((G2590-INDEX('01_Swimmers'!$E$5:$E$22,MATCH(B2590,'01_Swimmers'!$A$5:$A$22,0)))/'00_Control'!$B$10,"")</f>
        <v/>
      </c>
      <c r="U2590" s="35">
        <f>IF(T2590="","",INT(T2590))</f>
        <v/>
      </c>
      <c r="V2590" s="33" t="inlineStr">
        <is>
          <t>NO</t>
        </is>
      </c>
      <c r="W2590" s="33" t="inlineStr">
        <is>
          <t>YES</t>
        </is>
      </c>
      <c r="X2590" s="33" t="inlineStr">
        <is>
          <t>NO</t>
        </is>
      </c>
      <c r="Y2590" s="33" t="n">
        <v>1</v>
      </c>
      <c r="Z2590" s="33" t="n">
        <v>3</v>
      </c>
      <c r="AA2590" s="33" t="inlineStr">
        <is>
          <t>11</t>
        </is>
      </c>
      <c r="AB2590" s="33" t="inlineStr">
        <is>
          <t>https://www.swimcloud.com/results/263068/event/2/?id=97081235#time97081235</t>
        </is>
      </c>
      <c r="AC2590" s="33" t="inlineStr">
        <is>
          <t>SwimCloud API v6 2026-10-08</t>
        </is>
      </c>
      <c r="AD2590" s="33" t="inlineStr">
        <is>
          <t>Tajus Juska|2023-02-16|LCM|200|Free|118.32|Lietuvos žiemos Pirmenybės|FIN|False</t>
        </is>
      </c>
      <c r="AE2590" s="53">
        <f>G2590+L2590/1000+ROW()/1000000000</f>
        <v/>
      </c>
      <c r="AF2590" s="35">
        <f>IF(C2590&lt;&gt;"Grayson Coulter","",COUNTIFS($C$5:$C$2991,"Grayson Coulter",$Q$5:$Q$2991,Q2590,$AE$5:$AE$2991,"&lt;="&amp;AE2590,$R$5:$R$2991,"&lt;"&amp;R2590))</f>
        <v/>
      </c>
      <c r="AG2590" s="35">
        <f>IF(OR(C2590&lt;&gt;"Grayson Coulter",G2590&lt;'00_Control'!$B$7),"",--(AF2590&lt;5))</f>
        <v/>
      </c>
      <c r="AH2590" s="35">
        <f>IF(OR(C2590&lt;&gt;"Grayson Coulter",G2590&lt;'00_Control'!$B$7),"",--(AF2590&lt;10))</f>
        <v/>
      </c>
      <c r="AI2590" s="35">
        <f>IF(AND(C2590="Grayson Coulter",G2590&gt;='00_Control'!$B$7),"YES","NO")</f>
        <v/>
      </c>
      <c r="AJ2590" s="33" t="inlineStr">
        <is>
          <t>OK</t>
        </is>
      </c>
    </row>
    <row r="2591">
      <c r="A2591" s="33" t="inlineStr">
        <is>
          <t>SM002587</t>
        </is>
      </c>
      <c r="B2591" s="33" t="inlineStr">
        <is>
          <t>SW006</t>
        </is>
      </c>
      <c r="C2591" s="33" t="inlineStr">
        <is>
          <t>Tajus Juska</t>
        </is>
      </c>
      <c r="D2591" s="33" t="inlineStr">
        <is>
          <t>SwimCloud</t>
        </is>
      </c>
      <c r="E2591" s="33" t="inlineStr">
        <is>
          <t>2116196</t>
        </is>
      </c>
      <c r="F2591" s="33" t="inlineStr">
        <is>
          <t>97081232</t>
        </is>
      </c>
      <c r="G2591" s="51" t="n">
        <v>44974</v>
      </c>
      <c r="H2591" s="33" t="inlineStr">
        <is>
          <t>Lietuvos žiemos Pirmenybės</t>
        </is>
      </c>
      <c r="I2591" s="33" t="inlineStr">
        <is>
          <t>263068</t>
        </is>
      </c>
      <c r="J2591" s="33" t="inlineStr"/>
      <c r="K2591" s="33" t="inlineStr">
        <is>
          <t>PRE</t>
        </is>
      </c>
      <c r="L2591" s="35">
        <f>IF(K2591="FIN",3,IF(OR(K2591="SEM",K2591="SEMI"),2,IF(OR(K2591="PRE",K2591="HEAT"),1,IF(V2591="YES",4,2))))</f>
        <v/>
      </c>
      <c r="M2591" s="33" t="inlineStr">
        <is>
          <t>LCM</t>
        </is>
      </c>
      <c r="N2591" s="33" t="n">
        <v>100</v>
      </c>
      <c r="O2591" s="33" t="inlineStr">
        <is>
          <t>Free</t>
        </is>
      </c>
      <c r="P2591" s="33" t="inlineStr">
        <is>
          <t>100 Free</t>
        </is>
      </c>
      <c r="Q2591" s="33" t="inlineStr">
        <is>
          <t>LCM_100_FREE</t>
        </is>
      </c>
      <c r="R2591" s="36" t="n">
        <v>52.66</v>
      </c>
      <c r="S2591" s="35">
        <f>IF(R2591="","",IF(R2591&gt;=60,INT(R2591/60)&amp;":"&amp;TEXT(MOD(R2591,60),"00.00"),TEXT(R2591,"0.00")))</f>
        <v/>
      </c>
      <c r="T2591" s="52">
        <f>IFERROR((G2591-INDEX('01_Swimmers'!$E$5:$E$22,MATCH(B2591,'01_Swimmers'!$A$5:$A$22,0)))/'00_Control'!$B$10,"")</f>
        <v/>
      </c>
      <c r="U2591" s="35">
        <f>IF(T2591="","",INT(T2591))</f>
        <v/>
      </c>
      <c r="V2591" s="33" t="inlineStr">
        <is>
          <t>NO</t>
        </is>
      </c>
      <c r="W2591" s="33" t="inlineStr">
        <is>
          <t>YES</t>
        </is>
      </c>
      <c r="X2591" s="33" t="inlineStr">
        <is>
          <t>NO</t>
        </is>
      </c>
      <c r="Y2591" s="33" t="n">
        <v>11</v>
      </c>
      <c r="Z2591" s="33" t="n">
        <v>1</v>
      </c>
      <c r="AA2591" s="33" t="inlineStr">
        <is>
          <t>9</t>
        </is>
      </c>
      <c r="AB2591" s="33" t="inlineStr">
        <is>
          <t>https://www.swimcloud.com/results/263068/event/17/?id=97081232#time97081232</t>
        </is>
      </c>
      <c r="AC2591" s="33" t="inlineStr">
        <is>
          <t>SwimCloud API v6 2026-10-08</t>
        </is>
      </c>
      <c r="AD2591" s="33" t="inlineStr">
        <is>
          <t>Tajus Juska|2023-02-17|LCM|100|Free|52.66|Lietuvos žiemos Pirmenybės|PRE|False</t>
        </is>
      </c>
      <c r="AE2591" s="53">
        <f>G2591+L2591/1000+ROW()/1000000000</f>
        <v/>
      </c>
      <c r="AF2591" s="35">
        <f>IF(C2591&lt;&gt;"Grayson Coulter","",COUNTIFS($C$5:$C$2991,"Grayson Coulter",$Q$5:$Q$2991,Q2591,$AE$5:$AE$2991,"&lt;="&amp;AE2591,$R$5:$R$2991,"&lt;"&amp;R2591))</f>
        <v/>
      </c>
      <c r="AG2591" s="35">
        <f>IF(OR(C2591&lt;&gt;"Grayson Coulter",G2591&lt;'00_Control'!$B$7),"",--(AF2591&lt;5))</f>
        <v/>
      </c>
      <c r="AH2591" s="35">
        <f>IF(OR(C2591&lt;&gt;"Grayson Coulter",G2591&lt;'00_Control'!$B$7),"",--(AF2591&lt;10))</f>
        <v/>
      </c>
      <c r="AI2591" s="35">
        <f>IF(AND(C2591="Grayson Coulter",G2591&gt;='00_Control'!$B$7),"YES","NO")</f>
        <v/>
      </c>
      <c r="AJ2591" s="33" t="inlineStr">
        <is>
          <t>OK</t>
        </is>
      </c>
    </row>
    <row r="2592">
      <c r="A2592" s="33" t="inlineStr">
        <is>
          <t>SM002588</t>
        </is>
      </c>
      <c r="B2592" s="33" t="inlineStr">
        <is>
          <t>SW006</t>
        </is>
      </c>
      <c r="C2592" s="33" t="inlineStr">
        <is>
          <t>Tajus Juska</t>
        </is>
      </c>
      <c r="D2592" s="33" t="inlineStr">
        <is>
          <t>SwimCloud</t>
        </is>
      </c>
      <c r="E2592" s="33" t="inlineStr">
        <is>
          <t>2116196</t>
        </is>
      </c>
      <c r="F2592" s="33" t="inlineStr">
        <is>
          <t>97081237</t>
        </is>
      </c>
      <c r="G2592" s="51" t="n">
        <v>44974</v>
      </c>
      <c r="H2592" s="33" t="inlineStr">
        <is>
          <t>Lietuvos žiemos Pirmenybės</t>
        </is>
      </c>
      <c r="I2592" s="33" t="inlineStr">
        <is>
          <t>263068</t>
        </is>
      </c>
      <c r="J2592" s="33" t="inlineStr"/>
      <c r="K2592" s="33" t="inlineStr">
        <is>
          <t>FIN</t>
        </is>
      </c>
      <c r="L2592" s="35">
        <f>IF(K2592="FIN",3,IF(OR(K2592="SEM",K2592="SEMI"),2,IF(OR(K2592="PRE",K2592="HEAT"),1,IF(V2592="YES",4,2))))</f>
        <v/>
      </c>
      <c r="M2592" s="33" t="inlineStr">
        <is>
          <t>LCM</t>
        </is>
      </c>
      <c r="N2592" s="33" t="n">
        <v>100</v>
      </c>
      <c r="O2592" s="33" t="inlineStr">
        <is>
          <t>Free</t>
        </is>
      </c>
      <c r="P2592" s="33" t="inlineStr">
        <is>
          <t>100 Free</t>
        </is>
      </c>
      <c r="Q2592" s="33" t="inlineStr">
        <is>
          <t>LCM_100_FREE</t>
        </is>
      </c>
      <c r="R2592" s="36" t="n">
        <v>52.37</v>
      </c>
      <c r="S2592" s="35">
        <f>IF(R2592="","",IF(R2592&gt;=60,INT(R2592/60)&amp;":"&amp;TEXT(MOD(R2592,60),"00.00"),TEXT(R2592,"0.00")))</f>
        <v/>
      </c>
      <c r="T2592" s="52">
        <f>IFERROR((G2592-INDEX('01_Swimmers'!$E$5:$E$22,MATCH(B2592,'01_Swimmers'!$A$5:$A$22,0)))/'00_Control'!$B$10,"")</f>
        <v/>
      </c>
      <c r="U2592" s="35">
        <f>IF(T2592="","",INT(T2592))</f>
        <v/>
      </c>
      <c r="V2592" s="33" t="inlineStr">
        <is>
          <t>NO</t>
        </is>
      </c>
      <c r="W2592" s="33" t="inlineStr">
        <is>
          <t>YES</t>
        </is>
      </c>
      <c r="X2592" s="33" t="inlineStr">
        <is>
          <t>NO</t>
        </is>
      </c>
      <c r="Y2592" s="33" t="n">
        <v>1</v>
      </c>
      <c r="Z2592" s="33" t="n">
        <v>4</v>
      </c>
      <c r="AA2592" s="33" t="inlineStr">
        <is>
          <t>9</t>
        </is>
      </c>
      <c r="AB2592" s="33" t="inlineStr">
        <is>
          <t>https://www.swimcloud.com/results/263068/event/17/?id=97081237#time97081237</t>
        </is>
      </c>
      <c r="AC2592" s="33" t="inlineStr">
        <is>
          <t>SwimCloud API v6 2026-10-08</t>
        </is>
      </c>
      <c r="AD2592" s="33" t="inlineStr">
        <is>
          <t>Tajus Juska|2023-02-17|LCM|100|Free|52.37|Lietuvos žiemos Pirmenybės|FIN|False</t>
        </is>
      </c>
      <c r="AE2592" s="53">
        <f>G2592+L2592/1000+ROW()/1000000000</f>
        <v/>
      </c>
      <c r="AF2592" s="35">
        <f>IF(C2592&lt;&gt;"Grayson Coulter","",COUNTIFS($C$5:$C$2991,"Grayson Coulter",$Q$5:$Q$2991,Q2592,$AE$5:$AE$2991,"&lt;="&amp;AE2592,$R$5:$R$2991,"&lt;"&amp;R2592))</f>
        <v/>
      </c>
      <c r="AG2592" s="35">
        <f>IF(OR(C2592&lt;&gt;"Grayson Coulter",G2592&lt;'00_Control'!$B$7),"",--(AF2592&lt;5))</f>
        <v/>
      </c>
      <c r="AH2592" s="35">
        <f>IF(OR(C2592&lt;&gt;"Grayson Coulter",G2592&lt;'00_Control'!$B$7),"",--(AF2592&lt;10))</f>
        <v/>
      </c>
      <c r="AI2592" s="35">
        <f>IF(AND(C2592="Grayson Coulter",G2592&gt;='00_Control'!$B$7),"YES","NO")</f>
        <v/>
      </c>
      <c r="AJ2592" s="33" t="inlineStr">
        <is>
          <t>OK</t>
        </is>
      </c>
    </row>
    <row r="2593">
      <c r="A2593" s="33" t="inlineStr">
        <is>
          <t>SM002589</t>
        </is>
      </c>
      <c r="B2593" s="33" t="inlineStr">
        <is>
          <t>SW006</t>
        </is>
      </c>
      <c r="C2593" s="33" t="inlineStr">
        <is>
          <t>Tajus Juska</t>
        </is>
      </c>
      <c r="D2593" s="33" t="inlineStr">
        <is>
          <t>SwimCloud</t>
        </is>
      </c>
      <c r="E2593" s="33" t="inlineStr">
        <is>
          <t>2116196</t>
        </is>
      </c>
      <c r="F2593" s="33" t="inlineStr">
        <is>
          <t>97081234</t>
        </is>
      </c>
      <c r="G2593" s="51" t="n">
        <v>44975</v>
      </c>
      <c r="H2593" s="33" t="inlineStr">
        <is>
          <t>Lietuvos žiemos Pirmenybės</t>
        </is>
      </c>
      <c r="I2593" s="33" t="inlineStr">
        <is>
          <t>263068</t>
        </is>
      </c>
      <c r="J2593" s="33" t="inlineStr"/>
      <c r="K2593" s="33" t="inlineStr">
        <is>
          <t>PRE</t>
        </is>
      </c>
      <c r="L2593" s="35">
        <f>IF(K2593="FIN",3,IF(OR(K2593="SEM",K2593="SEMI"),2,IF(OR(K2593="PRE",K2593="HEAT"),1,IF(V2593="YES",4,2))))</f>
        <v/>
      </c>
      <c r="M2593" s="33" t="inlineStr">
        <is>
          <t>LCM</t>
        </is>
      </c>
      <c r="N2593" s="33" t="n">
        <v>100</v>
      </c>
      <c r="O2593" s="33" t="inlineStr">
        <is>
          <t>Fly</t>
        </is>
      </c>
      <c r="P2593" s="33" t="inlineStr">
        <is>
          <t>100 Fly</t>
        </is>
      </c>
      <c r="Q2593" s="33" t="inlineStr">
        <is>
          <t>LCM_100_FLY</t>
        </is>
      </c>
      <c r="R2593" s="36" t="n">
        <v>58.05</v>
      </c>
      <c r="S2593" s="35">
        <f>IF(R2593="","",IF(R2593&gt;=60,INT(R2593/60)&amp;":"&amp;TEXT(MOD(R2593,60),"00.00"),TEXT(R2593,"0.00")))</f>
        <v/>
      </c>
      <c r="T2593" s="52">
        <f>IFERROR((G2593-INDEX('01_Swimmers'!$E$5:$E$22,MATCH(B2593,'01_Swimmers'!$A$5:$A$22,0)))/'00_Control'!$B$10,"")</f>
        <v/>
      </c>
      <c r="U2593" s="35">
        <f>IF(T2593="","",INT(T2593))</f>
        <v/>
      </c>
      <c r="V2593" s="33" t="inlineStr">
        <is>
          <t>NO</t>
        </is>
      </c>
      <c r="W2593" s="33" t="inlineStr">
        <is>
          <t>YES</t>
        </is>
      </c>
      <c r="X2593" s="33" t="inlineStr">
        <is>
          <t>NO</t>
        </is>
      </c>
      <c r="Y2593" s="33" t="n">
        <v>3</v>
      </c>
      <c r="Z2593" s="33" t="n">
        <v>3</v>
      </c>
      <c r="AA2593" s="33" t="inlineStr">
        <is>
          <t>9</t>
        </is>
      </c>
      <c r="AB2593" s="33" t="inlineStr">
        <is>
          <t>https://www.swimcloud.com/results/263068/event/33/?id=97081234#time97081234</t>
        </is>
      </c>
      <c r="AC2593" s="33" t="inlineStr">
        <is>
          <t>SwimCloud API v6 2026-10-08</t>
        </is>
      </c>
      <c r="AD2593" s="33" t="inlineStr">
        <is>
          <t>Tajus Juska|2023-02-18|LCM|100|Fly|58.05|Lietuvos žiemos Pirmenybės|PRE|False</t>
        </is>
      </c>
      <c r="AE2593" s="53">
        <f>G2593+L2593/1000+ROW()/1000000000</f>
        <v/>
      </c>
      <c r="AF2593" s="35">
        <f>IF(C2593&lt;&gt;"Grayson Coulter","",COUNTIFS($C$5:$C$2991,"Grayson Coulter",$Q$5:$Q$2991,Q2593,$AE$5:$AE$2991,"&lt;="&amp;AE2593,$R$5:$R$2991,"&lt;"&amp;R2593))</f>
        <v/>
      </c>
      <c r="AG2593" s="35">
        <f>IF(OR(C2593&lt;&gt;"Grayson Coulter",G2593&lt;'00_Control'!$B$7),"",--(AF2593&lt;5))</f>
        <v/>
      </c>
      <c r="AH2593" s="35">
        <f>IF(OR(C2593&lt;&gt;"Grayson Coulter",G2593&lt;'00_Control'!$B$7),"",--(AF2593&lt;10))</f>
        <v/>
      </c>
      <c r="AI2593" s="35">
        <f>IF(AND(C2593="Grayson Coulter",G2593&gt;='00_Control'!$B$7),"YES","NO")</f>
        <v/>
      </c>
      <c r="AJ2593" s="33" t="inlineStr">
        <is>
          <t>OK</t>
        </is>
      </c>
    </row>
    <row r="2594">
      <c r="A2594" s="33" t="inlineStr">
        <is>
          <t>SM002590</t>
        </is>
      </c>
      <c r="B2594" s="33" t="inlineStr">
        <is>
          <t>SW006</t>
        </is>
      </c>
      <c r="C2594" s="33" t="inlineStr">
        <is>
          <t>Tajus Juska</t>
        </is>
      </c>
      <c r="D2594" s="33" t="inlineStr">
        <is>
          <t>SwimCloud</t>
        </is>
      </c>
      <c r="E2594" s="33" t="inlineStr">
        <is>
          <t>2116196</t>
        </is>
      </c>
      <c r="F2594" s="33" t="inlineStr">
        <is>
          <t>97081239</t>
        </is>
      </c>
      <c r="G2594" s="51" t="n">
        <v>44975</v>
      </c>
      <c r="H2594" s="33" t="inlineStr">
        <is>
          <t>Lietuvos žiemos Pirmenybės</t>
        </is>
      </c>
      <c r="I2594" s="33" t="inlineStr">
        <is>
          <t>263068</t>
        </is>
      </c>
      <c r="J2594" s="33" t="inlineStr"/>
      <c r="K2594" s="33" t="inlineStr">
        <is>
          <t>FIN</t>
        </is>
      </c>
      <c r="L2594" s="35">
        <f>IF(K2594="FIN",3,IF(OR(K2594="SEM",K2594="SEMI"),2,IF(OR(K2594="PRE",K2594="HEAT"),1,IF(V2594="YES",4,2))))</f>
        <v/>
      </c>
      <c r="M2594" s="33" t="inlineStr">
        <is>
          <t>LCM</t>
        </is>
      </c>
      <c r="N2594" s="33" t="n">
        <v>100</v>
      </c>
      <c r="O2594" s="33" t="inlineStr">
        <is>
          <t>Fly</t>
        </is>
      </c>
      <c r="P2594" s="33" t="inlineStr">
        <is>
          <t>100 Fly</t>
        </is>
      </c>
      <c r="Q2594" s="33" t="inlineStr">
        <is>
          <t>LCM_100_FLY</t>
        </is>
      </c>
      <c r="R2594" s="36" t="n">
        <v>57.02</v>
      </c>
      <c r="S2594" s="35">
        <f>IF(R2594="","",IF(R2594&gt;=60,INT(R2594/60)&amp;":"&amp;TEXT(MOD(R2594,60),"00.00"),TEXT(R2594,"0.00")))</f>
        <v/>
      </c>
      <c r="T2594" s="52">
        <f>IFERROR((G2594-INDEX('01_Swimmers'!$E$5:$E$22,MATCH(B2594,'01_Swimmers'!$A$5:$A$22,0)))/'00_Control'!$B$10,"")</f>
        <v/>
      </c>
      <c r="U2594" s="35">
        <f>IF(T2594="","",INT(T2594))</f>
        <v/>
      </c>
      <c r="V2594" s="33" t="inlineStr">
        <is>
          <t>NO</t>
        </is>
      </c>
      <c r="W2594" s="33" t="inlineStr">
        <is>
          <t>YES</t>
        </is>
      </c>
      <c r="X2594" s="33" t="inlineStr">
        <is>
          <t>NO</t>
        </is>
      </c>
      <c r="Y2594" s="33" t="n">
        <v>2</v>
      </c>
      <c r="Z2594" s="33" t="n">
        <v>1</v>
      </c>
      <c r="AA2594" s="33" t="inlineStr">
        <is>
          <t>7</t>
        </is>
      </c>
      <c r="AB2594" s="33" t="inlineStr">
        <is>
          <t>https://www.swimcloud.com/results/263068/event/33/?id=97081239#time97081239</t>
        </is>
      </c>
      <c r="AC2594" s="33" t="inlineStr">
        <is>
          <t>SwimCloud API v6 2026-10-08</t>
        </is>
      </c>
      <c r="AD2594" s="33" t="inlineStr">
        <is>
          <t>Tajus Juska|2023-02-18|LCM|100|Fly|57.02|Lietuvos žiemos Pirmenybės|FIN|False</t>
        </is>
      </c>
      <c r="AE2594" s="53">
        <f>G2594+L2594/1000+ROW()/1000000000</f>
        <v/>
      </c>
      <c r="AF2594" s="35">
        <f>IF(C2594&lt;&gt;"Grayson Coulter","",COUNTIFS($C$5:$C$2991,"Grayson Coulter",$Q$5:$Q$2991,Q2594,$AE$5:$AE$2991,"&lt;="&amp;AE2594,$R$5:$R$2991,"&lt;"&amp;R2594))</f>
        <v/>
      </c>
      <c r="AG2594" s="35">
        <f>IF(OR(C2594&lt;&gt;"Grayson Coulter",G2594&lt;'00_Control'!$B$7),"",--(AF2594&lt;5))</f>
        <v/>
      </c>
      <c r="AH2594" s="35">
        <f>IF(OR(C2594&lt;&gt;"Grayson Coulter",G2594&lt;'00_Control'!$B$7),"",--(AF2594&lt;10))</f>
        <v/>
      </c>
      <c r="AI2594" s="35">
        <f>IF(AND(C2594="Grayson Coulter",G2594&gt;='00_Control'!$B$7),"YES","NO")</f>
        <v/>
      </c>
      <c r="AJ2594" s="33" t="inlineStr">
        <is>
          <t>OK</t>
        </is>
      </c>
    </row>
    <row r="2595">
      <c r="A2595" s="33" t="inlineStr">
        <is>
          <t>SM002591</t>
        </is>
      </c>
      <c r="B2595" s="33" t="inlineStr">
        <is>
          <t>SW006</t>
        </is>
      </c>
      <c r="C2595" s="33" t="inlineStr">
        <is>
          <t>Tajus Juska</t>
        </is>
      </c>
      <c r="D2595" s="33" t="inlineStr">
        <is>
          <t>SwimCloud</t>
        </is>
      </c>
      <c r="E2595" s="33" t="inlineStr">
        <is>
          <t>2116196</t>
        </is>
      </c>
      <c r="F2595" s="33" t="inlineStr">
        <is>
          <t>98352902</t>
        </is>
      </c>
      <c r="G2595" s="51" t="n">
        <v>44988</v>
      </c>
      <c r="H2595" s="33" t="inlineStr">
        <is>
          <t>Baltic States Championship</t>
        </is>
      </c>
      <c r="I2595" s="33" t="inlineStr">
        <is>
          <t>264646</t>
        </is>
      </c>
      <c r="J2595" s="33" t="inlineStr"/>
      <c r="K2595" s="33" t="inlineStr">
        <is>
          <t>PRE</t>
        </is>
      </c>
      <c r="L2595" s="35">
        <f>IF(K2595="FIN",3,IF(OR(K2595="SEM",K2595="SEMI"),2,IF(OR(K2595="PRE",K2595="HEAT"),1,IF(V2595="YES",4,2))))</f>
        <v/>
      </c>
      <c r="M2595" s="33" t="inlineStr">
        <is>
          <t>LCM</t>
        </is>
      </c>
      <c r="N2595" s="33" t="n">
        <v>100</v>
      </c>
      <c r="O2595" s="33" t="inlineStr">
        <is>
          <t>Free</t>
        </is>
      </c>
      <c r="P2595" s="33" t="inlineStr">
        <is>
          <t>100 Free</t>
        </is>
      </c>
      <c r="Q2595" s="33" t="inlineStr">
        <is>
          <t>LCM_100_FREE</t>
        </is>
      </c>
      <c r="R2595" s="36" t="n">
        <v>52.58</v>
      </c>
      <c r="S2595" s="35">
        <f>IF(R2595="","",IF(R2595&gt;=60,INT(R2595/60)&amp;":"&amp;TEXT(MOD(R2595,60),"00.00"),TEXT(R2595,"0.00")))</f>
        <v/>
      </c>
      <c r="T2595" s="52">
        <f>IFERROR((G2595-INDEX('01_Swimmers'!$E$5:$E$22,MATCH(B2595,'01_Swimmers'!$A$5:$A$22,0)))/'00_Control'!$B$10,"")</f>
        <v/>
      </c>
      <c r="U2595" s="35">
        <f>IF(T2595="","",INT(T2595))</f>
        <v/>
      </c>
      <c r="V2595" s="33" t="inlineStr">
        <is>
          <t>NO</t>
        </is>
      </c>
      <c r="W2595" s="33" t="inlineStr">
        <is>
          <t>YES</t>
        </is>
      </c>
      <c r="X2595" s="33" t="inlineStr">
        <is>
          <t>NO</t>
        </is>
      </c>
      <c r="Y2595" s="33" t="n">
        <v>8</v>
      </c>
      <c r="Z2595" s="33" t="n">
        <v>2</v>
      </c>
      <c r="AA2595" s="33" t="inlineStr">
        <is>
          <t>1</t>
        </is>
      </c>
      <c r="AB2595" s="33" t="inlineStr">
        <is>
          <t>https://www.swimcloud.com/results/264646/event/1/?id=98352902#time98352902</t>
        </is>
      </c>
      <c r="AC2595" s="33" t="inlineStr">
        <is>
          <t>SwimCloud API v6 2026-10-08</t>
        </is>
      </c>
      <c r="AD2595" s="33" t="inlineStr">
        <is>
          <t>Tajus Juska|2023-03-03|LCM|100|Free|52.58|Baltic States Championship|PRE|False</t>
        </is>
      </c>
      <c r="AE2595" s="53">
        <f>G2595+L2595/1000+ROW()/1000000000</f>
        <v/>
      </c>
      <c r="AF2595" s="35">
        <f>IF(C2595&lt;&gt;"Grayson Coulter","",COUNTIFS($C$5:$C$2991,"Grayson Coulter",$Q$5:$Q$2991,Q2595,$AE$5:$AE$2991,"&lt;="&amp;AE2595,$R$5:$R$2991,"&lt;"&amp;R2595))</f>
        <v/>
      </c>
      <c r="AG2595" s="35">
        <f>IF(OR(C2595&lt;&gt;"Grayson Coulter",G2595&lt;'00_Control'!$B$7),"",--(AF2595&lt;5))</f>
        <v/>
      </c>
      <c r="AH2595" s="35">
        <f>IF(OR(C2595&lt;&gt;"Grayson Coulter",G2595&lt;'00_Control'!$B$7),"",--(AF2595&lt;10))</f>
        <v/>
      </c>
      <c r="AI2595" s="35">
        <f>IF(AND(C2595="Grayson Coulter",G2595&gt;='00_Control'!$B$7),"YES","NO")</f>
        <v/>
      </c>
      <c r="AJ2595" s="33" t="inlineStr">
        <is>
          <t>OK</t>
        </is>
      </c>
    </row>
    <row r="2596">
      <c r="A2596" s="33" t="inlineStr">
        <is>
          <t>SM002592</t>
        </is>
      </c>
      <c r="B2596" s="33" t="inlineStr">
        <is>
          <t>SW006</t>
        </is>
      </c>
      <c r="C2596" s="33" t="inlineStr">
        <is>
          <t>Tajus Juska</t>
        </is>
      </c>
      <c r="D2596" s="33" t="inlineStr">
        <is>
          <t>SwimCloud</t>
        </is>
      </c>
      <c r="E2596" s="33" t="inlineStr">
        <is>
          <t>2116196</t>
        </is>
      </c>
      <c r="F2596" s="33" t="inlineStr">
        <is>
          <t>98352906</t>
        </is>
      </c>
      <c r="G2596" s="51" t="n">
        <v>44988</v>
      </c>
      <c r="H2596" s="33" t="inlineStr">
        <is>
          <t>Baltic States Championship</t>
        </is>
      </c>
      <c r="I2596" s="33" t="inlineStr">
        <is>
          <t>264646</t>
        </is>
      </c>
      <c r="J2596" s="33" t="inlineStr"/>
      <c r="K2596" s="33" t="inlineStr">
        <is>
          <t>FIN</t>
        </is>
      </c>
      <c r="L2596" s="35">
        <f>IF(K2596="FIN",3,IF(OR(K2596="SEM",K2596="SEMI"),2,IF(OR(K2596="PRE",K2596="HEAT"),1,IF(V2596="YES",4,2))))</f>
        <v/>
      </c>
      <c r="M2596" s="33" t="inlineStr">
        <is>
          <t>LCM</t>
        </is>
      </c>
      <c r="N2596" s="33" t="n">
        <v>100</v>
      </c>
      <c r="O2596" s="33" t="inlineStr">
        <is>
          <t>Free</t>
        </is>
      </c>
      <c r="P2596" s="33" t="inlineStr">
        <is>
          <t>100 Free</t>
        </is>
      </c>
      <c r="Q2596" s="33" t="inlineStr">
        <is>
          <t>LCM_100_FREE</t>
        </is>
      </c>
      <c r="R2596" s="36" t="n">
        <v>52.96</v>
      </c>
      <c r="S2596" s="35">
        <f>IF(R2596="","",IF(R2596&gt;=60,INT(R2596/60)&amp;":"&amp;TEXT(MOD(R2596,60),"00.00"),TEXT(R2596,"0.00")))</f>
        <v/>
      </c>
      <c r="T2596" s="52">
        <f>IFERROR((G2596-INDEX('01_Swimmers'!$E$5:$E$22,MATCH(B2596,'01_Swimmers'!$A$5:$A$22,0)))/'00_Control'!$B$10,"")</f>
        <v/>
      </c>
      <c r="U2596" s="35">
        <f>IF(T2596="","",INT(T2596))</f>
        <v/>
      </c>
      <c r="V2596" s="33" t="inlineStr">
        <is>
          <t>NO</t>
        </is>
      </c>
      <c r="W2596" s="33" t="inlineStr">
        <is>
          <t>YES</t>
        </is>
      </c>
      <c r="X2596" s="33" t="inlineStr">
        <is>
          <t>NO</t>
        </is>
      </c>
      <c r="Y2596" s="33" t="n">
        <v>1</v>
      </c>
      <c r="Z2596" s="33" t="n">
        <v>4</v>
      </c>
      <c r="AA2596" s="33" t="inlineStr">
        <is>
          <t>13</t>
        </is>
      </c>
      <c r="AB2596" s="33" t="inlineStr">
        <is>
          <t>https://www.swimcloud.com/results/264646/event/1/?id=98352906#time98352906</t>
        </is>
      </c>
      <c r="AC2596" s="33" t="inlineStr">
        <is>
          <t>SwimCloud API v6 2026-10-08</t>
        </is>
      </c>
      <c r="AD2596" s="33" t="inlineStr">
        <is>
          <t>Tajus Juska|2023-03-03|LCM|100|Free|52.96|Baltic States Championship|FIN|False</t>
        </is>
      </c>
      <c r="AE2596" s="53">
        <f>G2596+L2596/1000+ROW()/1000000000</f>
        <v/>
      </c>
      <c r="AF2596" s="35">
        <f>IF(C2596&lt;&gt;"Grayson Coulter","",COUNTIFS($C$5:$C$2991,"Grayson Coulter",$Q$5:$Q$2991,Q2596,$AE$5:$AE$2991,"&lt;="&amp;AE2596,$R$5:$R$2991,"&lt;"&amp;R2596))</f>
        <v/>
      </c>
      <c r="AG2596" s="35">
        <f>IF(OR(C2596&lt;&gt;"Grayson Coulter",G2596&lt;'00_Control'!$B$7),"",--(AF2596&lt;5))</f>
        <v/>
      </c>
      <c r="AH2596" s="35">
        <f>IF(OR(C2596&lt;&gt;"Grayson Coulter",G2596&lt;'00_Control'!$B$7),"",--(AF2596&lt;10))</f>
        <v/>
      </c>
      <c r="AI2596" s="35">
        <f>IF(AND(C2596="Grayson Coulter",G2596&gt;='00_Control'!$B$7),"YES","NO")</f>
        <v/>
      </c>
      <c r="AJ2596" s="33" t="inlineStr">
        <is>
          <t>OK</t>
        </is>
      </c>
    </row>
    <row r="2597">
      <c r="A2597" s="33" t="inlineStr">
        <is>
          <t>SM002593</t>
        </is>
      </c>
      <c r="B2597" s="33" t="inlineStr">
        <is>
          <t>SW006</t>
        </is>
      </c>
      <c r="C2597" s="33" t="inlineStr">
        <is>
          <t>Tajus Juska</t>
        </is>
      </c>
      <c r="D2597" s="33" t="inlineStr">
        <is>
          <t>SwimCloud</t>
        </is>
      </c>
      <c r="E2597" s="33" t="inlineStr">
        <is>
          <t>2116196</t>
        </is>
      </c>
      <c r="F2597" s="33" t="inlineStr">
        <is>
          <t>98352904</t>
        </is>
      </c>
      <c r="G2597" s="51" t="n">
        <v>44989</v>
      </c>
      <c r="H2597" s="33" t="inlineStr">
        <is>
          <t>Baltic States Championship</t>
        </is>
      </c>
      <c r="I2597" s="33" t="inlineStr">
        <is>
          <t>264646</t>
        </is>
      </c>
      <c r="J2597" s="33" t="inlineStr"/>
      <c r="K2597" s="33" t="inlineStr">
        <is>
          <t>PRE</t>
        </is>
      </c>
      <c r="L2597" s="35">
        <f>IF(K2597="FIN",3,IF(OR(K2597="SEM",K2597="SEMI"),2,IF(OR(K2597="PRE",K2597="HEAT"),1,IF(V2597="YES",4,2))))</f>
        <v/>
      </c>
      <c r="M2597" s="33" t="inlineStr">
        <is>
          <t>LCM</t>
        </is>
      </c>
      <c r="N2597" s="33" t="n">
        <v>100</v>
      </c>
      <c r="O2597" s="33" t="inlineStr">
        <is>
          <t>Fly</t>
        </is>
      </c>
      <c r="P2597" s="33" t="inlineStr">
        <is>
          <t>100 Fly</t>
        </is>
      </c>
      <c r="Q2597" s="33" t="inlineStr">
        <is>
          <t>LCM_100_FLY</t>
        </is>
      </c>
      <c r="R2597" s="36" t="n">
        <v>56.69</v>
      </c>
      <c r="S2597" s="35">
        <f>IF(R2597="","",IF(R2597&gt;=60,INT(R2597/60)&amp;":"&amp;TEXT(MOD(R2597,60),"00.00"),TEXT(R2597,"0.00")))</f>
        <v/>
      </c>
      <c r="T2597" s="52">
        <f>IFERROR((G2597-INDEX('01_Swimmers'!$E$5:$E$22,MATCH(B2597,'01_Swimmers'!$A$5:$A$22,0)))/'00_Control'!$B$10,"")</f>
        <v/>
      </c>
      <c r="U2597" s="35">
        <f>IF(T2597="","",INT(T2597))</f>
        <v/>
      </c>
      <c r="V2597" s="33" t="inlineStr">
        <is>
          <t>NO</t>
        </is>
      </c>
      <c r="W2597" s="33" t="inlineStr">
        <is>
          <t>YES</t>
        </is>
      </c>
      <c r="X2597" s="33" t="inlineStr">
        <is>
          <t>NO</t>
        </is>
      </c>
      <c r="Y2597" s="33" t="n">
        <v>3</v>
      </c>
      <c r="Z2597" s="33" t="n">
        <v>3</v>
      </c>
      <c r="AA2597" s="33" t="inlineStr">
        <is>
          <t>1</t>
        </is>
      </c>
      <c r="AB2597" s="33" t="inlineStr">
        <is>
          <t>https://www.swimcloud.com/results/264646/event/25/?id=98352904#time98352904</t>
        </is>
      </c>
      <c r="AC2597" s="33" t="inlineStr">
        <is>
          <t>SwimCloud API v6 2026-10-08</t>
        </is>
      </c>
      <c r="AD2597" s="33" t="inlineStr">
        <is>
          <t>Tajus Juska|2023-03-04|LCM|100|Fly|56.69|Baltic States Championship|PRE|False</t>
        </is>
      </c>
      <c r="AE2597" s="53">
        <f>G2597+L2597/1000+ROW()/1000000000</f>
        <v/>
      </c>
      <c r="AF2597" s="35">
        <f>IF(C2597&lt;&gt;"Grayson Coulter","",COUNTIFS($C$5:$C$2991,"Grayson Coulter",$Q$5:$Q$2991,Q2597,$AE$5:$AE$2991,"&lt;="&amp;AE2597,$R$5:$R$2991,"&lt;"&amp;R2597))</f>
        <v/>
      </c>
      <c r="AG2597" s="35">
        <f>IF(OR(C2597&lt;&gt;"Grayson Coulter",G2597&lt;'00_Control'!$B$7),"",--(AF2597&lt;5))</f>
        <v/>
      </c>
      <c r="AH2597" s="35">
        <f>IF(OR(C2597&lt;&gt;"Grayson Coulter",G2597&lt;'00_Control'!$B$7),"",--(AF2597&lt;10))</f>
        <v/>
      </c>
      <c r="AI2597" s="35">
        <f>IF(AND(C2597="Grayson Coulter",G2597&gt;='00_Control'!$B$7),"YES","NO")</f>
        <v/>
      </c>
      <c r="AJ2597" s="33" t="inlineStr">
        <is>
          <t>OK</t>
        </is>
      </c>
    </row>
    <row r="2598">
      <c r="A2598" s="33" t="inlineStr">
        <is>
          <t>SM002594</t>
        </is>
      </c>
      <c r="B2598" s="33" t="inlineStr">
        <is>
          <t>SW006</t>
        </is>
      </c>
      <c r="C2598" s="33" t="inlineStr">
        <is>
          <t>Tajus Juska</t>
        </is>
      </c>
      <c r="D2598" s="33" t="inlineStr">
        <is>
          <t>SwimCloud</t>
        </is>
      </c>
      <c r="E2598" s="33" t="inlineStr">
        <is>
          <t>2116196</t>
        </is>
      </c>
      <c r="F2598" s="33" t="inlineStr">
        <is>
          <t>98352908</t>
        </is>
      </c>
      <c r="G2598" s="51" t="n">
        <v>44989</v>
      </c>
      <c r="H2598" s="33" t="inlineStr">
        <is>
          <t>Baltic States Championship</t>
        </is>
      </c>
      <c r="I2598" s="33" t="inlineStr">
        <is>
          <t>264646</t>
        </is>
      </c>
      <c r="J2598" s="33" t="inlineStr"/>
      <c r="K2598" s="33" t="inlineStr">
        <is>
          <t>FIN</t>
        </is>
      </c>
      <c r="L2598" s="35">
        <f>IF(K2598="FIN",3,IF(OR(K2598="SEM",K2598="SEMI"),2,IF(OR(K2598="PRE",K2598="HEAT"),1,IF(V2598="YES",4,2))))</f>
        <v/>
      </c>
      <c r="M2598" s="33" t="inlineStr">
        <is>
          <t>LCM</t>
        </is>
      </c>
      <c r="N2598" s="33" t="n">
        <v>100</v>
      </c>
      <c r="O2598" s="33" t="inlineStr">
        <is>
          <t>Fly</t>
        </is>
      </c>
      <c r="P2598" s="33" t="inlineStr">
        <is>
          <t>100 Fly</t>
        </is>
      </c>
      <c r="Q2598" s="33" t="inlineStr">
        <is>
          <t>LCM_100_FLY</t>
        </is>
      </c>
      <c r="R2598" s="36" t="n">
        <v>57.14</v>
      </c>
      <c r="S2598" s="35">
        <f>IF(R2598="","",IF(R2598&gt;=60,INT(R2598/60)&amp;":"&amp;TEXT(MOD(R2598,60),"00.00"),TEXT(R2598,"0.00")))</f>
        <v/>
      </c>
      <c r="T2598" s="52">
        <f>IFERROR((G2598-INDEX('01_Swimmers'!$E$5:$E$22,MATCH(B2598,'01_Swimmers'!$A$5:$A$22,0)))/'00_Control'!$B$10,"")</f>
        <v/>
      </c>
      <c r="U2598" s="35">
        <f>IF(T2598="","",INT(T2598))</f>
        <v/>
      </c>
      <c r="V2598" s="33" t="inlineStr">
        <is>
          <t>NO</t>
        </is>
      </c>
      <c r="W2598" s="33" t="inlineStr">
        <is>
          <t>YES</t>
        </is>
      </c>
      <c r="X2598" s="33" t="inlineStr">
        <is>
          <t>NO</t>
        </is>
      </c>
      <c r="Y2598" s="33" t="n">
        <v>2</v>
      </c>
      <c r="Z2598" s="33" t="n">
        <v>6</v>
      </c>
      <c r="AA2598" s="33" t="inlineStr">
        <is>
          <t>6</t>
        </is>
      </c>
      <c r="AB2598" s="33" t="inlineStr">
        <is>
          <t>https://www.swimcloud.com/results/264646/event/25/?id=98352908#time98352908</t>
        </is>
      </c>
      <c r="AC2598" s="33" t="inlineStr">
        <is>
          <t>SwimCloud API v6 2026-10-08</t>
        </is>
      </c>
      <c r="AD2598" s="33" t="inlineStr">
        <is>
          <t>Tajus Juska|2023-03-04|LCM|100|Fly|57.14|Baltic States Championship|FIN|False</t>
        </is>
      </c>
      <c r="AE2598" s="53">
        <f>G2598+L2598/1000+ROW()/1000000000</f>
        <v/>
      </c>
      <c r="AF2598" s="35">
        <f>IF(C2598&lt;&gt;"Grayson Coulter","",COUNTIFS($C$5:$C$2991,"Grayson Coulter",$Q$5:$Q$2991,Q2598,$AE$5:$AE$2991,"&lt;="&amp;AE2598,$R$5:$R$2991,"&lt;"&amp;R2598))</f>
        <v/>
      </c>
      <c r="AG2598" s="35">
        <f>IF(OR(C2598&lt;&gt;"Grayson Coulter",G2598&lt;'00_Control'!$B$7),"",--(AF2598&lt;5))</f>
        <v/>
      </c>
      <c r="AH2598" s="35">
        <f>IF(OR(C2598&lt;&gt;"Grayson Coulter",G2598&lt;'00_Control'!$B$7),"",--(AF2598&lt;10))</f>
        <v/>
      </c>
      <c r="AI2598" s="35">
        <f>IF(AND(C2598="Grayson Coulter",G2598&gt;='00_Control'!$B$7),"YES","NO")</f>
        <v/>
      </c>
      <c r="AJ2598" s="33" t="inlineStr">
        <is>
          <t>OK</t>
        </is>
      </c>
    </row>
    <row r="2599">
      <c r="A2599" s="33" t="inlineStr">
        <is>
          <t>SM002595</t>
        </is>
      </c>
      <c r="B2599" s="33" t="inlineStr">
        <is>
          <t>SW006</t>
        </is>
      </c>
      <c r="C2599" s="33" t="inlineStr">
        <is>
          <t>Tajus Juska</t>
        </is>
      </c>
      <c r="D2599" s="33" t="inlineStr">
        <is>
          <t>SwimCloud</t>
        </is>
      </c>
      <c r="E2599" s="33" t="inlineStr">
        <is>
          <t>2116196</t>
        </is>
      </c>
      <c r="F2599" s="33" t="inlineStr">
        <is>
          <t>98354080</t>
        </is>
      </c>
      <c r="G2599" s="51" t="n">
        <v>44989</v>
      </c>
      <c r="H2599" s="33" t="inlineStr">
        <is>
          <t>Baltic States Championship</t>
        </is>
      </c>
      <c r="I2599" s="33" t="inlineStr">
        <is>
          <t>264646</t>
        </is>
      </c>
      <c r="J2599" s="33" t="inlineStr"/>
      <c r="K2599" s="33" t="inlineStr">
        <is>
          <t>TIM</t>
        </is>
      </c>
      <c r="L2599" s="35">
        <f>IF(K2599="FIN",3,IF(OR(K2599="SEM",K2599="SEMI"),2,IF(OR(K2599="PRE",K2599="HEAT"),1,IF(V2599="YES",4,2))))</f>
        <v/>
      </c>
      <c r="M2599" s="33" t="inlineStr">
        <is>
          <t>LCM</t>
        </is>
      </c>
      <c r="N2599" s="33" t="n">
        <v>100</v>
      </c>
      <c r="O2599" s="33" t="inlineStr">
        <is>
          <t>Free</t>
        </is>
      </c>
      <c r="P2599" s="33" t="inlineStr">
        <is>
          <t>100 Free</t>
        </is>
      </c>
      <c r="Q2599" s="33" t="inlineStr">
        <is>
          <t>LCM_100_FREE</t>
        </is>
      </c>
      <c r="R2599" s="36" t="n">
        <v>52.61</v>
      </c>
      <c r="S2599" s="35">
        <f>IF(R2599="","",IF(R2599&gt;=60,INT(R2599/60)&amp;":"&amp;TEXT(MOD(R2599,60),"00.00"),TEXT(R2599,"0.00")))</f>
        <v/>
      </c>
      <c r="T2599" s="52">
        <f>IFERROR((G2599-INDEX('01_Swimmers'!$E$5:$E$22,MATCH(B2599,'01_Swimmers'!$A$5:$A$22,0)))/'00_Control'!$B$10,"")</f>
        <v/>
      </c>
      <c r="U2599" s="35">
        <f>IF(T2599="","",INT(T2599))</f>
        <v/>
      </c>
      <c r="V2599" s="33" t="inlineStr">
        <is>
          <t>YES</t>
        </is>
      </c>
      <c r="W2599" s="33" t="inlineStr">
        <is>
          <t>YES</t>
        </is>
      </c>
      <c r="X2599" s="33" t="inlineStr">
        <is>
          <t>NO</t>
        </is>
      </c>
      <c r="Y2599" s="33" t="n">
        <v>1</v>
      </c>
      <c r="Z2599" s="33" t="n">
        <v>7</v>
      </c>
      <c r="AA2599" s="33" t="inlineStr"/>
      <c r="AB2599" s="33" t="inlineStr">
        <is>
          <t>https://www.swimcloud.com/results/264646/event/34/?id=98353250#time98353250</t>
        </is>
      </c>
      <c r="AC2599" s="33" t="inlineStr">
        <is>
          <t>SwimCloud API v6 2026-10-08</t>
        </is>
      </c>
      <c r="AD2599" s="33" t="inlineStr">
        <is>
          <t>Tajus Juska|2023-03-04|LCM|100|Free|52.61|Baltic States Championship|TIM|True</t>
        </is>
      </c>
      <c r="AE2599" s="53">
        <f>G2599+L2599/1000+ROW()/1000000000</f>
        <v/>
      </c>
      <c r="AF2599" s="35">
        <f>IF(C2599&lt;&gt;"Grayson Coulter","",COUNTIFS($C$5:$C$2991,"Grayson Coulter",$Q$5:$Q$2991,Q2599,$AE$5:$AE$2991,"&lt;="&amp;AE2599,$R$5:$R$2991,"&lt;"&amp;R2599))</f>
        <v/>
      </c>
      <c r="AG2599" s="35">
        <f>IF(OR(C2599&lt;&gt;"Grayson Coulter",G2599&lt;'00_Control'!$B$7),"",--(AF2599&lt;5))</f>
        <v/>
      </c>
      <c r="AH2599" s="35">
        <f>IF(OR(C2599&lt;&gt;"Grayson Coulter",G2599&lt;'00_Control'!$B$7),"",--(AF2599&lt;10))</f>
        <v/>
      </c>
      <c r="AI2599" s="35">
        <f>IF(AND(C2599="Grayson Coulter",G2599&gt;='00_Control'!$B$7),"YES","NO")</f>
        <v/>
      </c>
      <c r="AJ2599" s="33" t="inlineStr">
        <is>
          <t>OK</t>
        </is>
      </c>
    </row>
    <row r="2600">
      <c r="A2600" s="33" t="inlineStr">
        <is>
          <t>SM002596</t>
        </is>
      </c>
      <c r="B2600" s="33" t="inlineStr">
        <is>
          <t>SW006</t>
        </is>
      </c>
      <c r="C2600" s="33" t="inlineStr">
        <is>
          <t>Tajus Juska</t>
        </is>
      </c>
      <c r="D2600" s="33" t="inlineStr">
        <is>
          <t>SwimCloud</t>
        </is>
      </c>
      <c r="E2600" s="33" t="inlineStr">
        <is>
          <t>2116196</t>
        </is>
      </c>
      <c r="F2600" s="33" t="inlineStr">
        <is>
          <t>98352903</t>
        </is>
      </c>
      <c r="G2600" s="51" t="n">
        <v>44989</v>
      </c>
      <c r="H2600" s="33" t="inlineStr">
        <is>
          <t>Baltic States Championship</t>
        </is>
      </c>
      <c r="I2600" s="33" t="inlineStr">
        <is>
          <t>264646</t>
        </is>
      </c>
      <c r="J2600" s="33" t="inlineStr"/>
      <c r="K2600" s="33" t="inlineStr">
        <is>
          <t>PRE</t>
        </is>
      </c>
      <c r="L2600" s="35">
        <f>IF(K2600="FIN",3,IF(OR(K2600="SEM",K2600="SEMI"),2,IF(OR(K2600="PRE",K2600="HEAT"),1,IF(V2600="YES",4,2))))</f>
        <v/>
      </c>
      <c r="M2600" s="33" t="inlineStr">
        <is>
          <t>LCM</t>
        </is>
      </c>
      <c r="N2600" s="33" t="n">
        <v>200</v>
      </c>
      <c r="O2600" s="33" t="inlineStr">
        <is>
          <t>Free</t>
        </is>
      </c>
      <c r="P2600" s="33" t="inlineStr">
        <is>
          <t>200 Free</t>
        </is>
      </c>
      <c r="Q2600" s="33" t="inlineStr">
        <is>
          <t>LCM_200_FREE</t>
        </is>
      </c>
      <c r="R2600" s="36" t="n">
        <v>117.88</v>
      </c>
      <c r="S2600" s="35">
        <f>IF(R2600="","",IF(R2600&gt;=60,INT(R2600/60)&amp;":"&amp;TEXT(MOD(R2600,60),"00.00"),TEXT(R2600,"0.00")))</f>
        <v/>
      </c>
      <c r="T2600" s="52">
        <f>IFERROR((G2600-INDEX('01_Swimmers'!$E$5:$E$22,MATCH(B2600,'01_Swimmers'!$A$5:$A$22,0)))/'00_Control'!$B$10,"")</f>
        <v/>
      </c>
      <c r="U2600" s="35">
        <f>IF(T2600="","",INT(T2600))</f>
        <v/>
      </c>
      <c r="V2600" s="33" t="inlineStr">
        <is>
          <t>NO</t>
        </is>
      </c>
      <c r="W2600" s="33" t="inlineStr">
        <is>
          <t>YES</t>
        </is>
      </c>
      <c r="X2600" s="33" t="inlineStr">
        <is>
          <t>NO</t>
        </is>
      </c>
      <c r="Y2600" s="33" t="n">
        <v>4</v>
      </c>
      <c r="Z2600" s="33" t="n">
        <v>6</v>
      </c>
      <c r="AA2600" s="33" t="inlineStr">
        <is>
          <t>1</t>
        </is>
      </c>
      <c r="AB2600" s="33" t="inlineStr">
        <is>
          <t>https://www.swimcloud.com/results/264646/event/19/?id=98352903#time98352903</t>
        </is>
      </c>
      <c r="AC2600" s="33" t="inlineStr">
        <is>
          <t>SwimCloud API v6 2026-10-08</t>
        </is>
      </c>
      <c r="AD2600" s="33" t="inlineStr">
        <is>
          <t>Tajus Juska|2023-03-04|LCM|200|Free|117.88|Baltic States Championship|PRE|False</t>
        </is>
      </c>
      <c r="AE2600" s="53">
        <f>G2600+L2600/1000+ROW()/1000000000</f>
        <v/>
      </c>
      <c r="AF2600" s="35">
        <f>IF(C2600&lt;&gt;"Grayson Coulter","",COUNTIFS($C$5:$C$2991,"Grayson Coulter",$Q$5:$Q$2991,Q2600,$AE$5:$AE$2991,"&lt;="&amp;AE2600,$R$5:$R$2991,"&lt;"&amp;R2600))</f>
        <v/>
      </c>
      <c r="AG2600" s="35">
        <f>IF(OR(C2600&lt;&gt;"Grayson Coulter",G2600&lt;'00_Control'!$B$7),"",--(AF2600&lt;5))</f>
        <v/>
      </c>
      <c r="AH2600" s="35">
        <f>IF(OR(C2600&lt;&gt;"Grayson Coulter",G2600&lt;'00_Control'!$B$7),"",--(AF2600&lt;10))</f>
        <v/>
      </c>
      <c r="AI2600" s="35">
        <f>IF(AND(C2600="Grayson Coulter",G2600&gt;='00_Control'!$B$7),"YES","NO")</f>
        <v/>
      </c>
      <c r="AJ2600" s="33" t="inlineStr">
        <is>
          <t>OK</t>
        </is>
      </c>
    </row>
    <row r="2601">
      <c r="A2601" s="33" t="inlineStr">
        <is>
          <t>SM002597</t>
        </is>
      </c>
      <c r="B2601" s="33" t="inlineStr">
        <is>
          <t>SW006</t>
        </is>
      </c>
      <c r="C2601" s="33" t="inlineStr">
        <is>
          <t>Tajus Juska</t>
        </is>
      </c>
      <c r="D2601" s="33" t="inlineStr">
        <is>
          <t>SwimCloud</t>
        </is>
      </c>
      <c r="E2601" s="33" t="inlineStr">
        <is>
          <t>2116196</t>
        </is>
      </c>
      <c r="F2601" s="33" t="inlineStr">
        <is>
          <t>98352907</t>
        </is>
      </c>
      <c r="G2601" s="51" t="n">
        <v>44989</v>
      </c>
      <c r="H2601" s="33" t="inlineStr">
        <is>
          <t>Baltic States Championship</t>
        </is>
      </c>
      <c r="I2601" s="33" t="inlineStr">
        <is>
          <t>264646</t>
        </is>
      </c>
      <c r="J2601" s="33" t="inlineStr"/>
      <c r="K2601" s="33" t="inlineStr">
        <is>
          <t>FIN</t>
        </is>
      </c>
      <c r="L2601" s="35">
        <f>IF(K2601="FIN",3,IF(OR(K2601="SEM",K2601="SEMI"),2,IF(OR(K2601="PRE",K2601="HEAT"),1,IF(V2601="YES",4,2))))</f>
        <v/>
      </c>
      <c r="M2601" s="33" t="inlineStr">
        <is>
          <t>LCM</t>
        </is>
      </c>
      <c r="N2601" s="33" t="n">
        <v>200</v>
      </c>
      <c r="O2601" s="33" t="inlineStr">
        <is>
          <t>Free</t>
        </is>
      </c>
      <c r="P2601" s="33" t="inlineStr">
        <is>
          <t>200 Free</t>
        </is>
      </c>
      <c r="Q2601" s="33" t="inlineStr">
        <is>
          <t>LCM_200_FREE</t>
        </is>
      </c>
      <c r="R2601" s="36" t="n">
        <v>118.98</v>
      </c>
      <c r="S2601" s="35">
        <f>IF(R2601="","",IF(R2601&gt;=60,INT(R2601/60)&amp;":"&amp;TEXT(MOD(R2601,60),"00.00"),TEXT(R2601,"0.00")))</f>
        <v/>
      </c>
      <c r="T2601" s="52">
        <f>IFERROR((G2601-INDEX('01_Swimmers'!$E$5:$E$22,MATCH(B2601,'01_Swimmers'!$A$5:$A$22,0)))/'00_Control'!$B$10,"")</f>
        <v/>
      </c>
      <c r="U2601" s="35">
        <f>IF(T2601="","",INT(T2601))</f>
        <v/>
      </c>
      <c r="V2601" s="33" t="inlineStr">
        <is>
          <t>NO</t>
        </is>
      </c>
      <c r="W2601" s="33" t="inlineStr">
        <is>
          <t>YES</t>
        </is>
      </c>
      <c r="X2601" s="33" t="inlineStr">
        <is>
          <t>NO</t>
        </is>
      </c>
      <c r="Y2601" s="33" t="n">
        <v>1</v>
      </c>
      <c r="Z2601" s="33" t="n">
        <v>7</v>
      </c>
      <c r="AA2601" s="33" t="inlineStr">
        <is>
          <t>8</t>
        </is>
      </c>
      <c r="AB2601" s="33" t="inlineStr">
        <is>
          <t>https://www.swimcloud.com/results/264646/event/19/?id=98352907#time98352907</t>
        </is>
      </c>
      <c r="AC2601" s="33" t="inlineStr">
        <is>
          <t>SwimCloud API v6 2026-10-08</t>
        </is>
      </c>
      <c r="AD2601" s="33" t="inlineStr">
        <is>
          <t>Tajus Juska|2023-03-04|LCM|200|Free|118.98|Baltic States Championship|FIN|False</t>
        </is>
      </c>
      <c r="AE2601" s="53">
        <f>G2601+L2601/1000+ROW()/1000000000</f>
        <v/>
      </c>
      <c r="AF2601" s="35">
        <f>IF(C2601&lt;&gt;"Grayson Coulter","",COUNTIFS($C$5:$C$2991,"Grayson Coulter",$Q$5:$Q$2991,Q2601,$AE$5:$AE$2991,"&lt;="&amp;AE2601,$R$5:$R$2991,"&lt;"&amp;R2601))</f>
        <v/>
      </c>
      <c r="AG2601" s="35">
        <f>IF(OR(C2601&lt;&gt;"Grayson Coulter",G2601&lt;'00_Control'!$B$7),"",--(AF2601&lt;5))</f>
        <v/>
      </c>
      <c r="AH2601" s="35">
        <f>IF(OR(C2601&lt;&gt;"Grayson Coulter",G2601&lt;'00_Control'!$B$7),"",--(AF2601&lt;10))</f>
        <v/>
      </c>
      <c r="AI2601" s="35">
        <f>IF(AND(C2601="Grayson Coulter",G2601&gt;='00_Control'!$B$7),"YES","NO")</f>
        <v/>
      </c>
      <c r="AJ2601" s="33" t="inlineStr">
        <is>
          <t>OK</t>
        </is>
      </c>
    </row>
    <row r="2602">
      <c r="A2602" s="33" t="inlineStr">
        <is>
          <t>SM002598</t>
        </is>
      </c>
      <c r="B2602" s="33" t="inlineStr">
        <is>
          <t>SW006</t>
        </is>
      </c>
      <c r="C2602" s="33" t="inlineStr">
        <is>
          <t>Tajus Juska</t>
        </is>
      </c>
      <c r="D2602" s="33" t="inlineStr">
        <is>
          <t>SwimCloud</t>
        </is>
      </c>
      <c r="E2602" s="33" t="inlineStr">
        <is>
          <t>2116196</t>
        </is>
      </c>
      <c r="F2602" s="33" t="inlineStr">
        <is>
          <t>100366888</t>
        </is>
      </c>
      <c r="G2602" s="51" t="n">
        <v>45029</v>
      </c>
      <c r="H2602" s="33" t="inlineStr">
        <is>
          <t>Atviras Lietuvos čempionatas</t>
        </is>
      </c>
      <c r="I2602" s="33" t="inlineStr">
        <is>
          <t>266891</t>
        </is>
      </c>
      <c r="J2602" s="33" t="inlineStr"/>
      <c r="K2602" s="33" t="inlineStr">
        <is>
          <t>PRE</t>
        </is>
      </c>
      <c r="L2602" s="35">
        <f>IF(K2602="FIN",3,IF(OR(K2602="SEM",K2602="SEMI"),2,IF(OR(K2602="PRE",K2602="HEAT"),1,IF(V2602="YES",4,2))))</f>
        <v/>
      </c>
      <c r="M2602" s="33" t="inlineStr">
        <is>
          <t>LCM</t>
        </is>
      </c>
      <c r="N2602" s="33" t="n">
        <v>200</v>
      </c>
      <c r="O2602" s="33" t="inlineStr">
        <is>
          <t>Free</t>
        </is>
      </c>
      <c r="P2602" s="33" t="inlineStr">
        <is>
          <t>200 Free</t>
        </is>
      </c>
      <c r="Q2602" s="33" t="inlineStr">
        <is>
          <t>LCM_200_FREE</t>
        </is>
      </c>
      <c r="R2602" s="36" t="n">
        <v>115.83</v>
      </c>
      <c r="S2602" s="35">
        <f>IF(R2602="","",IF(R2602&gt;=60,INT(R2602/60)&amp;":"&amp;TEXT(MOD(R2602,60),"00.00"),TEXT(R2602,"0.00")))</f>
        <v/>
      </c>
      <c r="T2602" s="52">
        <f>IFERROR((G2602-INDEX('01_Swimmers'!$E$5:$E$22,MATCH(B2602,'01_Swimmers'!$A$5:$A$22,0)))/'00_Control'!$B$10,"")</f>
        <v/>
      </c>
      <c r="U2602" s="35">
        <f>IF(T2602="","",INT(T2602))</f>
        <v/>
      </c>
      <c r="V2602" s="33" t="inlineStr">
        <is>
          <t>NO</t>
        </is>
      </c>
      <c r="W2602" s="33" t="inlineStr">
        <is>
          <t>YES</t>
        </is>
      </c>
      <c r="X2602" s="33" t="inlineStr">
        <is>
          <t>NO</t>
        </is>
      </c>
      <c r="Y2602" s="33" t="n">
        <v>11</v>
      </c>
      <c r="Z2602" s="33" t="n">
        <v>2</v>
      </c>
      <c r="AA2602" s="33" t="inlineStr">
        <is>
          <t>7</t>
        </is>
      </c>
      <c r="AB2602" s="33" t="inlineStr">
        <is>
          <t>https://www.swimcloud.com/results/266891/event/13/?id=100366888#time100366888</t>
        </is>
      </c>
      <c r="AC2602" s="33" t="inlineStr">
        <is>
          <t>SwimCloud API v6 2026-10-08</t>
        </is>
      </c>
      <c r="AD2602" s="33" t="inlineStr">
        <is>
          <t>Tajus Juska|2023-04-13|LCM|200|Free|115.83|Atviras Lietuvos čempionatas|PRE|False</t>
        </is>
      </c>
      <c r="AE2602" s="53">
        <f>G2602+L2602/1000+ROW()/1000000000</f>
        <v/>
      </c>
      <c r="AF2602" s="35">
        <f>IF(C2602&lt;&gt;"Grayson Coulter","",COUNTIFS($C$5:$C$2991,"Grayson Coulter",$Q$5:$Q$2991,Q2602,$AE$5:$AE$2991,"&lt;="&amp;AE2602,$R$5:$R$2991,"&lt;"&amp;R2602))</f>
        <v/>
      </c>
      <c r="AG2602" s="35">
        <f>IF(OR(C2602&lt;&gt;"Grayson Coulter",G2602&lt;'00_Control'!$B$7),"",--(AF2602&lt;5))</f>
        <v/>
      </c>
      <c r="AH2602" s="35">
        <f>IF(OR(C2602&lt;&gt;"Grayson Coulter",G2602&lt;'00_Control'!$B$7),"",--(AF2602&lt;10))</f>
        <v/>
      </c>
      <c r="AI2602" s="35">
        <f>IF(AND(C2602="Grayson Coulter",G2602&gt;='00_Control'!$B$7),"YES","NO")</f>
        <v/>
      </c>
      <c r="AJ2602" s="33" t="inlineStr">
        <is>
          <t>OK</t>
        </is>
      </c>
    </row>
    <row r="2603">
      <c r="A2603" s="33" t="inlineStr">
        <is>
          <t>SM002599</t>
        </is>
      </c>
      <c r="B2603" s="33" t="inlineStr">
        <is>
          <t>SW006</t>
        </is>
      </c>
      <c r="C2603" s="33" t="inlineStr">
        <is>
          <t>Tajus Juska</t>
        </is>
      </c>
      <c r="D2603" s="33" t="inlineStr">
        <is>
          <t>SwimCloud</t>
        </is>
      </c>
      <c r="E2603" s="33" t="inlineStr">
        <is>
          <t>2116196</t>
        </is>
      </c>
      <c r="F2603" s="33" t="inlineStr">
        <is>
          <t>100366890</t>
        </is>
      </c>
      <c r="G2603" s="51" t="n">
        <v>45030</v>
      </c>
      <c r="H2603" s="33" t="inlineStr">
        <is>
          <t>Atviras Lietuvos čempionatas</t>
        </is>
      </c>
      <c r="I2603" s="33" t="inlineStr">
        <is>
          <t>266891</t>
        </is>
      </c>
      <c r="J2603" s="33" t="inlineStr"/>
      <c r="K2603" s="33" t="inlineStr">
        <is>
          <t>PRE</t>
        </is>
      </c>
      <c r="L2603" s="35">
        <f>IF(K2603="FIN",3,IF(OR(K2603="SEM",K2603="SEMI"),2,IF(OR(K2603="PRE",K2603="HEAT"),1,IF(V2603="YES",4,2))))</f>
        <v/>
      </c>
      <c r="M2603" s="33" t="inlineStr">
        <is>
          <t>LCM</t>
        </is>
      </c>
      <c r="N2603" s="33" t="n">
        <v>100</v>
      </c>
      <c r="O2603" s="33" t="inlineStr">
        <is>
          <t>Free</t>
        </is>
      </c>
      <c r="P2603" s="33" t="inlineStr">
        <is>
          <t>100 Free</t>
        </is>
      </c>
      <c r="Q2603" s="33" t="inlineStr">
        <is>
          <t>LCM_100_FREE</t>
        </is>
      </c>
      <c r="R2603" s="36" t="n">
        <v>52.21</v>
      </c>
      <c r="S2603" s="35">
        <f>IF(R2603="","",IF(R2603&gt;=60,INT(R2603/60)&amp;":"&amp;TEXT(MOD(R2603,60),"00.00"),TEXT(R2603,"0.00")))</f>
        <v/>
      </c>
      <c r="T2603" s="52">
        <f>IFERROR((G2603-INDEX('01_Swimmers'!$E$5:$E$22,MATCH(B2603,'01_Swimmers'!$A$5:$A$22,0)))/'00_Control'!$B$10,"")</f>
        <v/>
      </c>
      <c r="U2603" s="35">
        <f>IF(T2603="","",INT(T2603))</f>
        <v/>
      </c>
      <c r="V2603" s="33" t="inlineStr">
        <is>
          <t>NO</t>
        </is>
      </c>
      <c r="W2603" s="33" t="inlineStr">
        <is>
          <t>YES</t>
        </is>
      </c>
      <c r="X2603" s="33" t="inlineStr">
        <is>
          <t>NO</t>
        </is>
      </c>
      <c r="Y2603" s="33" t="n">
        <v>18</v>
      </c>
      <c r="Z2603" s="33" t="n">
        <v>7</v>
      </c>
      <c r="AA2603" s="33" t="inlineStr">
        <is>
          <t>10</t>
        </is>
      </c>
      <c r="AB2603" s="33" t="inlineStr">
        <is>
          <t>https://www.swimcloud.com/results/266891/event/22/?id=100366890#time100366890</t>
        </is>
      </c>
      <c r="AC2603" s="33" t="inlineStr">
        <is>
          <t>SwimCloud API v6 2026-10-08</t>
        </is>
      </c>
      <c r="AD2603" s="33" t="inlineStr">
        <is>
          <t>Tajus Juska|2023-04-14|LCM|100|Free|52.21|Atviras Lietuvos čempionatas|PRE|False</t>
        </is>
      </c>
      <c r="AE2603" s="53">
        <f>G2603+L2603/1000+ROW()/1000000000</f>
        <v/>
      </c>
      <c r="AF2603" s="35">
        <f>IF(C2603&lt;&gt;"Grayson Coulter","",COUNTIFS($C$5:$C$2991,"Grayson Coulter",$Q$5:$Q$2991,Q2603,$AE$5:$AE$2991,"&lt;="&amp;AE2603,$R$5:$R$2991,"&lt;"&amp;R2603))</f>
        <v/>
      </c>
      <c r="AG2603" s="35">
        <f>IF(OR(C2603&lt;&gt;"Grayson Coulter",G2603&lt;'00_Control'!$B$7),"",--(AF2603&lt;5))</f>
        <v/>
      </c>
      <c r="AH2603" s="35">
        <f>IF(OR(C2603&lt;&gt;"Grayson Coulter",G2603&lt;'00_Control'!$B$7),"",--(AF2603&lt;10))</f>
        <v/>
      </c>
      <c r="AI2603" s="35">
        <f>IF(AND(C2603="Grayson Coulter",G2603&gt;='00_Control'!$B$7),"YES","NO")</f>
        <v/>
      </c>
      <c r="AJ2603" s="33" t="inlineStr">
        <is>
          <t>OK</t>
        </is>
      </c>
    </row>
    <row r="2604">
      <c r="A2604" s="33" t="inlineStr">
        <is>
          <t>SM002600</t>
        </is>
      </c>
      <c r="B2604" s="33" t="inlineStr">
        <is>
          <t>SW006</t>
        </is>
      </c>
      <c r="C2604" s="33" t="inlineStr">
        <is>
          <t>Tajus Juska</t>
        </is>
      </c>
      <c r="D2604" s="33" t="inlineStr">
        <is>
          <t>SwimCloud</t>
        </is>
      </c>
      <c r="E2604" s="33" t="inlineStr">
        <is>
          <t>2116196</t>
        </is>
      </c>
      <c r="F2604" s="33" t="inlineStr">
        <is>
          <t>100366895</t>
        </is>
      </c>
      <c r="G2604" s="51" t="n">
        <v>45030</v>
      </c>
      <c r="H2604" s="33" t="inlineStr">
        <is>
          <t>Atviras Lietuvos čempionatas</t>
        </is>
      </c>
      <c r="I2604" s="33" t="inlineStr">
        <is>
          <t>266891</t>
        </is>
      </c>
      <c r="J2604" s="33" t="inlineStr"/>
      <c r="K2604" s="33" t="inlineStr">
        <is>
          <t>FIN</t>
        </is>
      </c>
      <c r="L2604" s="35">
        <f>IF(K2604="FIN",3,IF(OR(K2604="SEM",K2604="SEMI"),2,IF(OR(K2604="PRE",K2604="HEAT"),1,IF(V2604="YES",4,2))))</f>
        <v/>
      </c>
      <c r="M2604" s="33" t="inlineStr">
        <is>
          <t>LCM</t>
        </is>
      </c>
      <c r="N2604" s="33" t="n">
        <v>100</v>
      </c>
      <c r="O2604" s="33" t="inlineStr">
        <is>
          <t>Free</t>
        </is>
      </c>
      <c r="P2604" s="33" t="inlineStr">
        <is>
          <t>100 Free</t>
        </is>
      </c>
      <c r="Q2604" s="33" t="inlineStr">
        <is>
          <t>LCM_100_FREE</t>
        </is>
      </c>
      <c r="R2604" s="36" t="n">
        <v>51.78</v>
      </c>
      <c r="S2604" s="35">
        <f>IF(R2604="","",IF(R2604&gt;=60,INT(R2604/60)&amp;":"&amp;TEXT(MOD(R2604,60),"00.00"),TEXT(R2604,"0.00")))</f>
        <v/>
      </c>
      <c r="T2604" s="52">
        <f>IFERROR((G2604-INDEX('01_Swimmers'!$E$5:$E$22,MATCH(B2604,'01_Swimmers'!$A$5:$A$22,0)))/'00_Control'!$B$10,"")</f>
        <v/>
      </c>
      <c r="U2604" s="35">
        <f>IF(T2604="","",INT(T2604))</f>
        <v/>
      </c>
      <c r="V2604" s="33" t="inlineStr">
        <is>
          <t>NO</t>
        </is>
      </c>
      <c r="W2604" s="33" t="inlineStr">
        <is>
          <t>YES</t>
        </is>
      </c>
      <c r="X2604" s="33" t="inlineStr">
        <is>
          <t>NO</t>
        </is>
      </c>
      <c r="Y2604" s="33" t="n">
        <v>1</v>
      </c>
      <c r="Z2604" s="33" t="n">
        <v>4</v>
      </c>
      <c r="AA2604" s="33" t="inlineStr">
        <is>
          <t>9</t>
        </is>
      </c>
      <c r="AB2604" s="33" t="inlineStr">
        <is>
          <t>https://www.swimcloud.com/results/266891/event/22/?id=100366895#time100366895</t>
        </is>
      </c>
      <c r="AC2604" s="33" t="inlineStr">
        <is>
          <t>SwimCloud API v6 2026-10-08</t>
        </is>
      </c>
      <c r="AD2604" s="33" t="inlineStr">
        <is>
          <t>Tajus Juska|2023-04-14|LCM|100|Free|51.78|Atviras Lietuvos čempionatas|FIN|False</t>
        </is>
      </c>
      <c r="AE2604" s="53">
        <f>G2604+L2604/1000+ROW()/1000000000</f>
        <v/>
      </c>
      <c r="AF2604" s="35">
        <f>IF(C2604&lt;&gt;"Grayson Coulter","",COUNTIFS($C$5:$C$2991,"Grayson Coulter",$Q$5:$Q$2991,Q2604,$AE$5:$AE$2991,"&lt;="&amp;AE2604,$R$5:$R$2991,"&lt;"&amp;R2604))</f>
        <v/>
      </c>
      <c r="AG2604" s="35">
        <f>IF(OR(C2604&lt;&gt;"Grayson Coulter",G2604&lt;'00_Control'!$B$7),"",--(AF2604&lt;5))</f>
        <v/>
      </c>
      <c r="AH2604" s="35">
        <f>IF(OR(C2604&lt;&gt;"Grayson Coulter",G2604&lt;'00_Control'!$B$7),"",--(AF2604&lt;10))</f>
        <v/>
      </c>
      <c r="AI2604" s="35">
        <f>IF(AND(C2604="Grayson Coulter",G2604&gt;='00_Control'!$B$7),"YES","NO")</f>
        <v/>
      </c>
      <c r="AJ2604" s="33" t="inlineStr">
        <is>
          <t>OK</t>
        </is>
      </c>
    </row>
    <row r="2605">
      <c r="A2605" s="33" t="inlineStr">
        <is>
          <t>SM002601</t>
        </is>
      </c>
      <c r="B2605" s="33" t="inlineStr">
        <is>
          <t>SW006</t>
        </is>
      </c>
      <c r="C2605" s="33" t="inlineStr">
        <is>
          <t>Tajus Juska</t>
        </is>
      </c>
      <c r="D2605" s="33" t="inlineStr">
        <is>
          <t>SwimCloud</t>
        </is>
      </c>
      <c r="E2605" s="33" t="inlineStr">
        <is>
          <t>2116196</t>
        </is>
      </c>
      <c r="F2605" s="33" t="inlineStr">
        <is>
          <t>100366891</t>
        </is>
      </c>
      <c r="G2605" s="51" t="n">
        <v>45031</v>
      </c>
      <c r="H2605" s="33" t="inlineStr">
        <is>
          <t>Atviras Lietuvos čempionatas</t>
        </is>
      </c>
      <c r="I2605" s="33" t="inlineStr">
        <is>
          <t>266891</t>
        </is>
      </c>
      <c r="J2605" s="33" t="inlineStr"/>
      <c r="K2605" s="33" t="inlineStr">
        <is>
          <t>PRE</t>
        </is>
      </c>
      <c r="L2605" s="35">
        <f>IF(K2605="FIN",3,IF(OR(K2605="SEM",K2605="SEMI"),2,IF(OR(K2605="PRE",K2605="HEAT"),1,IF(V2605="YES",4,2))))</f>
        <v/>
      </c>
      <c r="M2605" s="33" t="inlineStr">
        <is>
          <t>LCM</t>
        </is>
      </c>
      <c r="N2605" s="33" t="n">
        <v>100</v>
      </c>
      <c r="O2605" s="33" t="inlineStr">
        <is>
          <t>Fly</t>
        </is>
      </c>
      <c r="P2605" s="33" t="inlineStr">
        <is>
          <t>100 Fly</t>
        </is>
      </c>
      <c r="Q2605" s="33" t="inlineStr">
        <is>
          <t>LCM_100_FLY</t>
        </is>
      </c>
      <c r="R2605" s="36" t="n">
        <v>56.32</v>
      </c>
      <c r="S2605" s="35">
        <f>IF(R2605="","",IF(R2605&gt;=60,INT(R2605/60)&amp;":"&amp;TEXT(MOD(R2605,60),"00.00"),TEXT(R2605,"0.00")))</f>
        <v/>
      </c>
      <c r="T2605" s="52">
        <f>IFERROR((G2605-INDEX('01_Swimmers'!$E$5:$E$22,MATCH(B2605,'01_Swimmers'!$A$5:$A$22,0)))/'00_Control'!$B$10,"")</f>
        <v/>
      </c>
      <c r="U2605" s="35">
        <f>IF(T2605="","",INT(T2605))</f>
        <v/>
      </c>
      <c r="V2605" s="33" t="inlineStr">
        <is>
          <t>NO</t>
        </is>
      </c>
      <c r="W2605" s="33" t="inlineStr">
        <is>
          <t>YES</t>
        </is>
      </c>
      <c r="X2605" s="33" t="inlineStr">
        <is>
          <t>NO</t>
        </is>
      </c>
      <c r="Y2605" s="33" t="n">
        <v>5</v>
      </c>
      <c r="Z2605" s="33" t="n">
        <v>3</v>
      </c>
      <c r="AA2605" s="33" t="inlineStr">
        <is>
          <t>8</t>
        </is>
      </c>
      <c r="AB2605" s="33" t="inlineStr">
        <is>
          <t>https://www.swimcloud.com/results/266891/event/35/?id=100366891#time100366891</t>
        </is>
      </c>
      <c r="AC2605" s="33" t="inlineStr">
        <is>
          <t>SwimCloud API v6 2026-10-08</t>
        </is>
      </c>
      <c r="AD2605" s="33" t="inlineStr">
        <is>
          <t>Tajus Juska|2023-04-15|LCM|100|Fly|56.32|Atviras Lietuvos čempionatas|PRE|False</t>
        </is>
      </c>
      <c r="AE2605" s="53">
        <f>G2605+L2605/1000+ROW()/1000000000</f>
        <v/>
      </c>
      <c r="AF2605" s="35">
        <f>IF(C2605&lt;&gt;"Grayson Coulter","",COUNTIFS($C$5:$C$2991,"Grayson Coulter",$Q$5:$Q$2991,Q2605,$AE$5:$AE$2991,"&lt;="&amp;AE2605,$R$5:$R$2991,"&lt;"&amp;R2605))</f>
        <v/>
      </c>
      <c r="AG2605" s="35">
        <f>IF(OR(C2605&lt;&gt;"Grayson Coulter",G2605&lt;'00_Control'!$B$7),"",--(AF2605&lt;5))</f>
        <v/>
      </c>
      <c r="AH2605" s="35">
        <f>IF(OR(C2605&lt;&gt;"Grayson Coulter",G2605&lt;'00_Control'!$B$7),"",--(AF2605&lt;10))</f>
        <v/>
      </c>
      <c r="AI2605" s="35">
        <f>IF(AND(C2605="Grayson Coulter",G2605&gt;='00_Control'!$B$7),"YES","NO")</f>
        <v/>
      </c>
      <c r="AJ2605" s="33" t="inlineStr">
        <is>
          <t>OK</t>
        </is>
      </c>
    </row>
    <row r="2606">
      <c r="A2606" s="33" t="inlineStr">
        <is>
          <t>SM002602</t>
        </is>
      </c>
      <c r="B2606" s="33" t="inlineStr">
        <is>
          <t>SW006</t>
        </is>
      </c>
      <c r="C2606" s="33" t="inlineStr">
        <is>
          <t>Tajus Juska</t>
        </is>
      </c>
      <c r="D2606" s="33" t="inlineStr">
        <is>
          <t>SwimCloud</t>
        </is>
      </c>
      <c r="E2606" s="33" t="inlineStr">
        <is>
          <t>2116196</t>
        </is>
      </c>
      <c r="F2606" s="33" t="inlineStr">
        <is>
          <t>100366896</t>
        </is>
      </c>
      <c r="G2606" s="51" t="n">
        <v>45031</v>
      </c>
      <c r="H2606" s="33" t="inlineStr">
        <is>
          <t>Atviras Lietuvos čempionatas</t>
        </is>
      </c>
      <c r="I2606" s="33" t="inlineStr">
        <is>
          <t>266891</t>
        </is>
      </c>
      <c r="J2606" s="33" t="inlineStr"/>
      <c r="K2606" s="33" t="inlineStr">
        <is>
          <t>FIN</t>
        </is>
      </c>
      <c r="L2606" s="35">
        <f>IF(K2606="FIN",3,IF(OR(K2606="SEM",K2606="SEMI"),2,IF(OR(K2606="PRE",K2606="HEAT"),1,IF(V2606="YES",4,2))))</f>
        <v/>
      </c>
      <c r="M2606" s="33" t="inlineStr">
        <is>
          <t>LCM</t>
        </is>
      </c>
      <c r="N2606" s="33" t="n">
        <v>100</v>
      </c>
      <c r="O2606" s="33" t="inlineStr">
        <is>
          <t>Fly</t>
        </is>
      </c>
      <c r="P2606" s="33" t="inlineStr">
        <is>
          <t>100 Fly</t>
        </is>
      </c>
      <c r="Q2606" s="33" t="inlineStr">
        <is>
          <t>LCM_100_FLY</t>
        </is>
      </c>
      <c r="R2606" s="36" t="n">
        <v>56.01</v>
      </c>
      <c r="S2606" s="35">
        <f>IF(R2606="","",IF(R2606&gt;=60,INT(R2606/60)&amp;":"&amp;TEXT(MOD(R2606,60),"00.00"),TEXT(R2606,"0.00")))</f>
        <v/>
      </c>
      <c r="T2606" s="52">
        <f>IFERROR((G2606-INDEX('01_Swimmers'!$E$5:$E$22,MATCH(B2606,'01_Swimmers'!$A$5:$A$22,0)))/'00_Control'!$B$10,"")</f>
        <v/>
      </c>
      <c r="U2606" s="35">
        <f>IF(T2606="","",INT(T2606))</f>
        <v/>
      </c>
      <c r="V2606" s="33" t="inlineStr">
        <is>
          <t>NO</t>
        </is>
      </c>
      <c r="W2606" s="33" t="inlineStr">
        <is>
          <t>YES</t>
        </is>
      </c>
      <c r="X2606" s="33" t="inlineStr">
        <is>
          <t>NO</t>
        </is>
      </c>
      <c r="Y2606" s="33" t="n">
        <v>2</v>
      </c>
      <c r="Z2606" s="33" t="n">
        <v>8</v>
      </c>
      <c r="AA2606" s="33" t="inlineStr">
        <is>
          <t>7</t>
        </is>
      </c>
      <c r="AB2606" s="33" t="inlineStr">
        <is>
          <t>https://www.swimcloud.com/results/266891/event/35/?id=100366896#time100366896</t>
        </is>
      </c>
      <c r="AC2606" s="33" t="inlineStr">
        <is>
          <t>SwimCloud API v6 2026-10-08</t>
        </is>
      </c>
      <c r="AD2606" s="33" t="inlineStr">
        <is>
          <t>Tajus Juska|2023-04-15|LCM|100|Fly|56.01|Atviras Lietuvos čempionatas|FIN|False</t>
        </is>
      </c>
      <c r="AE2606" s="53">
        <f>G2606+L2606/1000+ROW()/1000000000</f>
        <v/>
      </c>
      <c r="AF2606" s="35">
        <f>IF(C2606&lt;&gt;"Grayson Coulter","",COUNTIFS($C$5:$C$2991,"Grayson Coulter",$Q$5:$Q$2991,Q2606,$AE$5:$AE$2991,"&lt;="&amp;AE2606,$R$5:$R$2991,"&lt;"&amp;R2606))</f>
        <v/>
      </c>
      <c r="AG2606" s="35">
        <f>IF(OR(C2606&lt;&gt;"Grayson Coulter",G2606&lt;'00_Control'!$B$7),"",--(AF2606&lt;5))</f>
        <v/>
      </c>
      <c r="AH2606" s="35">
        <f>IF(OR(C2606&lt;&gt;"Grayson Coulter",G2606&lt;'00_Control'!$B$7),"",--(AF2606&lt;10))</f>
        <v/>
      </c>
      <c r="AI2606" s="35">
        <f>IF(AND(C2606="Grayson Coulter",G2606&gt;='00_Control'!$B$7),"YES","NO")</f>
        <v/>
      </c>
      <c r="AJ2606" s="33" t="inlineStr">
        <is>
          <t>OK</t>
        </is>
      </c>
    </row>
    <row r="2607">
      <c r="A2607" s="33" t="inlineStr">
        <is>
          <t>SM002603</t>
        </is>
      </c>
      <c r="B2607" s="33" t="inlineStr">
        <is>
          <t>SW006</t>
        </is>
      </c>
      <c r="C2607" s="33" t="inlineStr">
        <is>
          <t>Tajus Juska</t>
        </is>
      </c>
      <c r="D2607" s="33" t="inlineStr">
        <is>
          <t>SwimCloud</t>
        </is>
      </c>
      <c r="E2607" s="33" t="inlineStr">
        <is>
          <t>2116196</t>
        </is>
      </c>
      <c r="F2607" s="33" t="inlineStr">
        <is>
          <t>100367235</t>
        </is>
      </c>
      <c r="G2607" s="51" t="n">
        <v>45031</v>
      </c>
      <c r="H2607" s="33" t="inlineStr">
        <is>
          <t>Atviras Lietuvos čempionatas</t>
        </is>
      </c>
      <c r="I2607" s="33" t="inlineStr">
        <is>
          <t>266891</t>
        </is>
      </c>
      <c r="J2607" s="33" t="inlineStr"/>
      <c r="K2607" s="33" t="inlineStr">
        <is>
          <t>TIM</t>
        </is>
      </c>
      <c r="L2607" s="35">
        <f>IF(K2607="FIN",3,IF(OR(K2607="SEM",K2607="SEMI"),2,IF(OR(K2607="PRE",K2607="HEAT"),1,IF(V2607="YES",4,2))))</f>
        <v/>
      </c>
      <c r="M2607" s="33" t="inlineStr">
        <is>
          <t>LCM</t>
        </is>
      </c>
      <c r="N2607" s="33" t="n">
        <v>200</v>
      </c>
      <c r="O2607" s="33" t="inlineStr">
        <is>
          <t>Free</t>
        </is>
      </c>
      <c r="P2607" s="33" t="inlineStr">
        <is>
          <t>200 Free</t>
        </is>
      </c>
      <c r="Q2607" s="33" t="inlineStr">
        <is>
          <t>LCM_200_FREE</t>
        </is>
      </c>
      <c r="R2607" s="36" t="n">
        <v>116.45</v>
      </c>
      <c r="S2607" s="35">
        <f>IF(R2607="","",IF(R2607&gt;=60,INT(R2607/60)&amp;":"&amp;TEXT(MOD(R2607,60),"00.00"),TEXT(R2607,"0.00")))</f>
        <v/>
      </c>
      <c r="T2607" s="52">
        <f>IFERROR((G2607-INDEX('01_Swimmers'!$E$5:$E$22,MATCH(B2607,'01_Swimmers'!$A$5:$A$22,0)))/'00_Control'!$B$10,"")</f>
        <v/>
      </c>
      <c r="U2607" s="35">
        <f>IF(T2607="","",INT(T2607))</f>
        <v/>
      </c>
      <c r="V2607" s="33" t="inlineStr">
        <is>
          <t>YES</t>
        </is>
      </c>
      <c r="W2607" s="33" t="inlineStr">
        <is>
          <t>YES</t>
        </is>
      </c>
      <c r="X2607" s="33" t="inlineStr">
        <is>
          <t>NO</t>
        </is>
      </c>
      <c r="Y2607" s="33" t="n">
        <v>1</v>
      </c>
      <c r="Z2607" s="33" t="n">
        <v>2</v>
      </c>
      <c r="AA2607" s="33" t="inlineStr"/>
      <c r="AB2607" s="33" t="inlineStr">
        <is>
          <t>https://www.swimcloud.com/results/266891/event/41/?id=100366934#time100366934</t>
        </is>
      </c>
      <c r="AC2607" s="33" t="inlineStr">
        <is>
          <t>SwimCloud API v6 2026-10-08</t>
        </is>
      </c>
      <c r="AD2607" s="33" t="inlineStr">
        <is>
          <t>Tajus Juska|2023-04-15|LCM|200|Free|116.45|Atviras Lietuvos čempionatas|TIM|True</t>
        </is>
      </c>
      <c r="AE2607" s="53">
        <f>G2607+L2607/1000+ROW()/1000000000</f>
        <v/>
      </c>
      <c r="AF2607" s="35">
        <f>IF(C2607&lt;&gt;"Grayson Coulter","",COUNTIFS($C$5:$C$2991,"Grayson Coulter",$Q$5:$Q$2991,Q2607,$AE$5:$AE$2991,"&lt;="&amp;AE2607,$R$5:$R$2991,"&lt;"&amp;R2607))</f>
        <v/>
      </c>
      <c r="AG2607" s="35">
        <f>IF(OR(C2607&lt;&gt;"Grayson Coulter",G2607&lt;'00_Control'!$B$7),"",--(AF2607&lt;5))</f>
        <v/>
      </c>
      <c r="AH2607" s="35">
        <f>IF(OR(C2607&lt;&gt;"Grayson Coulter",G2607&lt;'00_Control'!$B$7),"",--(AF2607&lt;10))</f>
        <v/>
      </c>
      <c r="AI2607" s="35">
        <f>IF(AND(C2607="Grayson Coulter",G2607&gt;='00_Control'!$B$7),"YES","NO")</f>
        <v/>
      </c>
      <c r="AJ2607" s="33" t="inlineStr">
        <is>
          <t>OK</t>
        </is>
      </c>
    </row>
    <row r="2608">
      <c r="A2608" s="33" t="inlineStr">
        <is>
          <t>SM002604</t>
        </is>
      </c>
      <c r="B2608" s="33" t="inlineStr">
        <is>
          <t>SW006</t>
        </is>
      </c>
      <c r="C2608" s="33" t="inlineStr">
        <is>
          <t>Tajus Juska</t>
        </is>
      </c>
      <c r="D2608" s="33" t="inlineStr">
        <is>
          <t>SwimCloud</t>
        </is>
      </c>
      <c r="E2608" s="33" t="inlineStr">
        <is>
          <t>2116196</t>
        </is>
      </c>
      <c r="F2608" s="33" t="inlineStr">
        <is>
          <t>102355269</t>
        </is>
      </c>
      <c r="G2608" s="51" t="n">
        <v>45086</v>
      </c>
      <c r="H2608" s="33" t="inlineStr">
        <is>
          <t>Lietuvos Jaunių – Jaunimo čempionatas</t>
        </is>
      </c>
      <c r="I2608" s="33" t="inlineStr">
        <is>
          <t>269569</t>
        </is>
      </c>
      <c r="J2608" s="33" t="inlineStr"/>
      <c r="K2608" s="33" t="inlineStr">
        <is>
          <t>PRE</t>
        </is>
      </c>
      <c r="L2608" s="35">
        <f>IF(K2608="FIN",3,IF(OR(K2608="SEM",K2608="SEMI"),2,IF(OR(K2608="PRE",K2608="HEAT"),1,IF(V2608="YES",4,2))))</f>
        <v/>
      </c>
      <c r="M2608" s="33" t="inlineStr">
        <is>
          <t>LCM</t>
        </is>
      </c>
      <c r="N2608" s="33" t="n">
        <v>100</v>
      </c>
      <c r="O2608" s="33" t="inlineStr">
        <is>
          <t>Fly</t>
        </is>
      </c>
      <c r="P2608" s="33" t="inlineStr">
        <is>
          <t>100 Fly</t>
        </is>
      </c>
      <c r="Q2608" s="33" t="inlineStr">
        <is>
          <t>LCM_100_FLY</t>
        </is>
      </c>
      <c r="R2608" s="36" t="n">
        <v>55.23</v>
      </c>
      <c r="S2608" s="35">
        <f>IF(R2608="","",IF(R2608&gt;=60,INT(R2608/60)&amp;":"&amp;TEXT(MOD(R2608,60),"00.00"),TEXT(R2608,"0.00")))</f>
        <v/>
      </c>
      <c r="T2608" s="52">
        <f>IFERROR((G2608-INDEX('01_Swimmers'!$E$5:$E$22,MATCH(B2608,'01_Swimmers'!$A$5:$A$22,0)))/'00_Control'!$B$10,"")</f>
        <v/>
      </c>
      <c r="U2608" s="35">
        <f>IF(T2608="","",INT(T2608))</f>
        <v/>
      </c>
      <c r="V2608" s="33" t="inlineStr">
        <is>
          <t>NO</t>
        </is>
      </c>
      <c r="W2608" s="33" t="inlineStr">
        <is>
          <t>YES</t>
        </is>
      </c>
      <c r="X2608" s="33" t="inlineStr">
        <is>
          <t>NO</t>
        </is>
      </c>
      <c r="Y2608" s="33" t="n">
        <v>3</v>
      </c>
      <c r="Z2608" s="33" t="n">
        <v>4</v>
      </c>
      <c r="AA2608" s="33" t="inlineStr">
        <is>
          <t>1,1</t>
        </is>
      </c>
      <c r="AB2608" s="33" t="inlineStr">
        <is>
          <t>https://www.swimcloud.com/results/269569/event/8/?id=102355269#time102355269</t>
        </is>
      </c>
      <c r="AC2608" s="33" t="inlineStr">
        <is>
          <t>SwimCloud API v6 2026-10-08</t>
        </is>
      </c>
      <c r="AD2608" s="33" t="inlineStr">
        <is>
          <t>Tajus Juska|2023-06-09|LCM|100|Fly|55.23|Lietuvos Jaunių – Jaunimo čempionatas|PRE|False</t>
        </is>
      </c>
      <c r="AE2608" s="53">
        <f>G2608+L2608/1000+ROW()/1000000000</f>
        <v/>
      </c>
      <c r="AF2608" s="35">
        <f>IF(C2608&lt;&gt;"Grayson Coulter","",COUNTIFS($C$5:$C$2991,"Grayson Coulter",$Q$5:$Q$2991,Q2608,$AE$5:$AE$2991,"&lt;="&amp;AE2608,$R$5:$R$2991,"&lt;"&amp;R2608))</f>
        <v/>
      </c>
      <c r="AG2608" s="35">
        <f>IF(OR(C2608&lt;&gt;"Grayson Coulter",G2608&lt;'00_Control'!$B$7),"",--(AF2608&lt;5))</f>
        <v/>
      </c>
      <c r="AH2608" s="35">
        <f>IF(OR(C2608&lt;&gt;"Grayson Coulter",G2608&lt;'00_Control'!$B$7),"",--(AF2608&lt;10))</f>
        <v/>
      </c>
      <c r="AI2608" s="35">
        <f>IF(AND(C2608="Grayson Coulter",G2608&gt;='00_Control'!$B$7),"YES","NO")</f>
        <v/>
      </c>
      <c r="AJ2608" s="33" t="inlineStr">
        <is>
          <t>OK</t>
        </is>
      </c>
    </row>
    <row r="2609">
      <c r="A2609" s="33" t="inlineStr">
        <is>
          <t>SM002605</t>
        </is>
      </c>
      <c r="B2609" s="33" t="inlineStr">
        <is>
          <t>SW006</t>
        </is>
      </c>
      <c r="C2609" s="33" t="inlineStr">
        <is>
          <t>Tajus Juska</t>
        </is>
      </c>
      <c r="D2609" s="33" t="inlineStr">
        <is>
          <t>SwimCloud</t>
        </is>
      </c>
      <c r="E2609" s="33" t="inlineStr">
        <is>
          <t>2116196</t>
        </is>
      </c>
      <c r="F2609" s="33" t="inlineStr">
        <is>
          <t>102355274</t>
        </is>
      </c>
      <c r="G2609" s="51" t="n">
        <v>45086</v>
      </c>
      <c r="H2609" s="33" t="inlineStr">
        <is>
          <t>Lietuvos Jaunių – Jaunimo čempionatas</t>
        </is>
      </c>
      <c r="I2609" s="33" t="inlineStr">
        <is>
          <t>269569</t>
        </is>
      </c>
      <c r="J2609" s="33" t="inlineStr"/>
      <c r="K2609" s="33" t="inlineStr">
        <is>
          <t>FIN</t>
        </is>
      </c>
      <c r="L2609" s="35">
        <f>IF(K2609="FIN",3,IF(OR(K2609="SEM",K2609="SEMI"),2,IF(OR(K2609="PRE",K2609="HEAT"),1,IF(V2609="YES",4,2))))</f>
        <v/>
      </c>
      <c r="M2609" s="33" t="inlineStr">
        <is>
          <t>LCM</t>
        </is>
      </c>
      <c r="N2609" s="33" t="n">
        <v>100</v>
      </c>
      <c r="O2609" s="33" t="inlineStr">
        <is>
          <t>Fly</t>
        </is>
      </c>
      <c r="P2609" s="33" t="inlineStr">
        <is>
          <t>100 Fly</t>
        </is>
      </c>
      <c r="Q2609" s="33" t="inlineStr">
        <is>
          <t>LCM_100_FLY</t>
        </is>
      </c>
      <c r="R2609" s="36" t="n">
        <v>55</v>
      </c>
      <c r="S2609" s="35">
        <f>IF(R2609="","",IF(R2609&gt;=60,INT(R2609/60)&amp;":"&amp;TEXT(MOD(R2609,60),"00.00"),TEXT(R2609,"0.00")))</f>
        <v/>
      </c>
      <c r="T2609" s="52">
        <f>IFERROR((G2609-INDEX('01_Swimmers'!$E$5:$E$22,MATCH(B2609,'01_Swimmers'!$A$5:$A$22,0)))/'00_Control'!$B$10,"")</f>
        <v/>
      </c>
      <c r="U2609" s="35">
        <f>IF(T2609="","",INT(T2609))</f>
        <v/>
      </c>
      <c r="V2609" s="33" t="inlineStr">
        <is>
          <t>NO</t>
        </is>
      </c>
      <c r="W2609" s="33" t="inlineStr">
        <is>
          <t>YES</t>
        </is>
      </c>
      <c r="X2609" s="33" t="inlineStr">
        <is>
          <t>NO</t>
        </is>
      </c>
      <c r="Y2609" s="33" t="n">
        <v>2</v>
      </c>
      <c r="Z2609" s="33" t="n">
        <v>4</v>
      </c>
      <c r="AA2609" s="33" t="inlineStr">
        <is>
          <t>1</t>
        </is>
      </c>
      <c r="AB2609" s="33" t="inlineStr">
        <is>
          <t>https://www.swimcloud.com/results/269569/event/8/?id=102355274#time102355274</t>
        </is>
      </c>
      <c r="AC2609" s="33" t="inlineStr">
        <is>
          <t>SwimCloud API v6 2026-10-08</t>
        </is>
      </c>
      <c r="AD2609" s="33" t="inlineStr">
        <is>
          <t>Tajus Juska|2023-06-09|LCM|100|Fly|55.0|Lietuvos Jaunių – Jaunimo čempionatas|FIN|False</t>
        </is>
      </c>
      <c r="AE2609" s="53">
        <f>G2609+L2609/1000+ROW()/1000000000</f>
        <v/>
      </c>
      <c r="AF2609" s="35">
        <f>IF(C2609&lt;&gt;"Grayson Coulter","",COUNTIFS($C$5:$C$2991,"Grayson Coulter",$Q$5:$Q$2991,Q2609,$AE$5:$AE$2991,"&lt;="&amp;AE2609,$R$5:$R$2991,"&lt;"&amp;R2609))</f>
        <v/>
      </c>
      <c r="AG2609" s="35">
        <f>IF(OR(C2609&lt;&gt;"Grayson Coulter",G2609&lt;'00_Control'!$B$7),"",--(AF2609&lt;5))</f>
        <v/>
      </c>
      <c r="AH2609" s="35">
        <f>IF(OR(C2609&lt;&gt;"Grayson Coulter",G2609&lt;'00_Control'!$B$7),"",--(AF2609&lt;10))</f>
        <v/>
      </c>
      <c r="AI2609" s="35">
        <f>IF(AND(C2609="Grayson Coulter",G2609&gt;='00_Control'!$B$7),"YES","NO")</f>
        <v/>
      </c>
      <c r="AJ2609" s="33" t="inlineStr">
        <is>
          <t>OK</t>
        </is>
      </c>
    </row>
    <row r="2610">
      <c r="A2610" s="33" t="inlineStr">
        <is>
          <t>SM002606</t>
        </is>
      </c>
      <c r="B2610" s="33" t="inlineStr">
        <is>
          <t>SW006</t>
        </is>
      </c>
      <c r="C2610" s="33" t="inlineStr">
        <is>
          <t>Tajus Juska</t>
        </is>
      </c>
      <c r="D2610" s="33" t="inlineStr">
        <is>
          <t>SwimCloud</t>
        </is>
      </c>
      <c r="E2610" s="33" t="inlineStr">
        <is>
          <t>2116196</t>
        </is>
      </c>
      <c r="F2610" s="33" t="inlineStr">
        <is>
          <t>102355268</t>
        </is>
      </c>
      <c r="G2610" s="51" t="n">
        <v>45086</v>
      </c>
      <c r="H2610" s="33" t="inlineStr">
        <is>
          <t>Lietuvos Jaunių – Jaunimo čempionatas</t>
        </is>
      </c>
      <c r="I2610" s="33" t="inlineStr">
        <is>
          <t>269569</t>
        </is>
      </c>
      <c r="J2610" s="33" t="inlineStr"/>
      <c r="K2610" s="33" t="inlineStr">
        <is>
          <t>PRE</t>
        </is>
      </c>
      <c r="L2610" s="35">
        <f>IF(K2610="FIN",3,IF(OR(K2610="SEM",K2610="SEMI"),2,IF(OR(K2610="PRE",K2610="HEAT"),1,IF(V2610="YES",4,2))))</f>
        <v/>
      </c>
      <c r="M2610" s="33" t="inlineStr">
        <is>
          <t>LCM</t>
        </is>
      </c>
      <c r="N2610" s="33" t="n">
        <v>200</v>
      </c>
      <c r="O2610" s="33" t="inlineStr">
        <is>
          <t>Free</t>
        </is>
      </c>
      <c r="P2610" s="33" t="inlineStr">
        <is>
          <t>200 Free</t>
        </is>
      </c>
      <c r="Q2610" s="33" t="inlineStr">
        <is>
          <t>LCM_200_FREE</t>
        </is>
      </c>
      <c r="R2610" s="36" t="n">
        <v>115.24</v>
      </c>
      <c r="S2610" s="35">
        <f>IF(R2610="","",IF(R2610&gt;=60,INT(R2610/60)&amp;":"&amp;TEXT(MOD(R2610,60),"00.00"),TEXT(R2610,"0.00")))</f>
        <v/>
      </c>
      <c r="T2610" s="52">
        <f>IFERROR((G2610-INDEX('01_Swimmers'!$E$5:$E$22,MATCH(B2610,'01_Swimmers'!$A$5:$A$22,0)))/'00_Control'!$B$10,"")</f>
        <v/>
      </c>
      <c r="U2610" s="35">
        <f>IF(T2610="","",INT(T2610))</f>
        <v/>
      </c>
      <c r="V2610" s="33" t="inlineStr">
        <is>
          <t>NO</t>
        </is>
      </c>
      <c r="W2610" s="33" t="inlineStr">
        <is>
          <t>YES</t>
        </is>
      </c>
      <c r="X2610" s="33" t="inlineStr">
        <is>
          <t>NO</t>
        </is>
      </c>
      <c r="Y2610" s="33" t="n">
        <v>9</v>
      </c>
      <c r="Z2610" s="33" t="n">
        <v>5</v>
      </c>
      <c r="AA2610" s="33" t="inlineStr">
        <is>
          <t>1,1</t>
        </is>
      </c>
      <c r="AB2610" s="33" t="inlineStr">
        <is>
          <t>https://www.swimcloud.com/results/269569/event/4/?id=102355268#time102355268</t>
        </is>
      </c>
      <c r="AC2610" s="33" t="inlineStr">
        <is>
          <t>SwimCloud API v6 2026-10-08</t>
        </is>
      </c>
      <c r="AD2610" s="33" t="inlineStr">
        <is>
          <t>Tajus Juska|2023-06-09|LCM|200|Free|115.24|Lietuvos Jaunių – Jaunimo čempionatas|PRE|False</t>
        </is>
      </c>
      <c r="AE2610" s="53">
        <f>G2610+L2610/1000+ROW()/1000000000</f>
        <v/>
      </c>
      <c r="AF2610" s="35">
        <f>IF(C2610&lt;&gt;"Grayson Coulter","",COUNTIFS($C$5:$C$2991,"Grayson Coulter",$Q$5:$Q$2991,Q2610,$AE$5:$AE$2991,"&lt;="&amp;AE2610,$R$5:$R$2991,"&lt;"&amp;R2610))</f>
        <v/>
      </c>
      <c r="AG2610" s="35">
        <f>IF(OR(C2610&lt;&gt;"Grayson Coulter",G2610&lt;'00_Control'!$B$7),"",--(AF2610&lt;5))</f>
        <v/>
      </c>
      <c r="AH2610" s="35">
        <f>IF(OR(C2610&lt;&gt;"Grayson Coulter",G2610&lt;'00_Control'!$B$7),"",--(AF2610&lt;10))</f>
        <v/>
      </c>
      <c r="AI2610" s="35">
        <f>IF(AND(C2610="Grayson Coulter",G2610&gt;='00_Control'!$B$7),"YES","NO")</f>
        <v/>
      </c>
      <c r="AJ2610" s="33" t="inlineStr">
        <is>
          <t>OK</t>
        </is>
      </c>
    </row>
    <row r="2611">
      <c r="A2611" s="33" t="inlineStr">
        <is>
          <t>SM002607</t>
        </is>
      </c>
      <c r="B2611" s="33" t="inlineStr">
        <is>
          <t>SW006</t>
        </is>
      </c>
      <c r="C2611" s="33" t="inlineStr">
        <is>
          <t>Tajus Juska</t>
        </is>
      </c>
      <c r="D2611" s="33" t="inlineStr">
        <is>
          <t>SwimCloud</t>
        </is>
      </c>
      <c r="E2611" s="33" t="inlineStr">
        <is>
          <t>2116196</t>
        </is>
      </c>
      <c r="F2611" s="33" t="inlineStr">
        <is>
          <t>102356452</t>
        </is>
      </c>
      <c r="G2611" s="51" t="n">
        <v>45087</v>
      </c>
      <c r="H2611" s="33" t="inlineStr">
        <is>
          <t>Lietuvos Jaunių – Jaunimo čempionatas</t>
        </is>
      </c>
      <c r="I2611" s="33" t="inlineStr">
        <is>
          <t>269569</t>
        </is>
      </c>
      <c r="J2611" s="33" t="inlineStr"/>
      <c r="K2611" s="33" t="inlineStr">
        <is>
          <t>TIM</t>
        </is>
      </c>
      <c r="L2611" s="35">
        <f>IF(K2611="FIN",3,IF(OR(K2611="SEM",K2611="SEMI"),2,IF(OR(K2611="PRE",K2611="HEAT"),1,IF(V2611="YES",4,2))))</f>
        <v/>
      </c>
      <c r="M2611" s="33" t="inlineStr">
        <is>
          <t>LCM</t>
        </is>
      </c>
      <c r="N2611" s="33" t="n">
        <v>200</v>
      </c>
      <c r="O2611" s="33" t="inlineStr">
        <is>
          <t>Free</t>
        </is>
      </c>
      <c r="P2611" s="33" t="inlineStr">
        <is>
          <t>200 Free</t>
        </is>
      </c>
      <c r="Q2611" s="33" t="inlineStr">
        <is>
          <t>LCM_200_FREE</t>
        </is>
      </c>
      <c r="R2611" s="36" t="n">
        <v>115.57</v>
      </c>
      <c r="S2611" s="35">
        <f>IF(R2611="","",IF(R2611&gt;=60,INT(R2611/60)&amp;":"&amp;TEXT(MOD(R2611,60),"00.00"),TEXT(R2611,"0.00")))</f>
        <v/>
      </c>
      <c r="T2611" s="52">
        <f>IFERROR((G2611-INDEX('01_Swimmers'!$E$5:$E$22,MATCH(B2611,'01_Swimmers'!$A$5:$A$22,0)))/'00_Control'!$B$10,"")</f>
        <v/>
      </c>
      <c r="U2611" s="35">
        <f>IF(T2611="","",INT(T2611))</f>
        <v/>
      </c>
      <c r="V2611" s="33" t="inlineStr">
        <is>
          <t>YES</t>
        </is>
      </c>
      <c r="W2611" s="33" t="inlineStr">
        <is>
          <t>YES</t>
        </is>
      </c>
      <c r="X2611" s="33" t="inlineStr">
        <is>
          <t>NO</t>
        </is>
      </c>
      <c r="Y2611" s="33" t="n">
        <v>1</v>
      </c>
      <c r="Z2611" s="33" t="n">
        <v>6</v>
      </c>
      <c r="AA2611" s="33" t="inlineStr"/>
      <c r="AB2611" s="33" t="inlineStr">
        <is>
          <t>https://www.swimcloud.com/results/269569/event/27/?id=102355358#time102355358</t>
        </is>
      </c>
      <c r="AC2611" s="33" t="inlineStr">
        <is>
          <t>SwimCloud API v6 2026-10-08</t>
        </is>
      </c>
      <c r="AD2611" s="33" t="inlineStr">
        <is>
          <t>Tajus Juska|2023-06-10|LCM|200|Free|115.57|Lietuvos Jaunių – Jaunimo čempionatas|TIM|True</t>
        </is>
      </c>
      <c r="AE2611" s="53">
        <f>G2611+L2611/1000+ROW()/1000000000</f>
        <v/>
      </c>
      <c r="AF2611" s="35">
        <f>IF(C2611&lt;&gt;"Grayson Coulter","",COUNTIFS($C$5:$C$2991,"Grayson Coulter",$Q$5:$Q$2991,Q2611,$AE$5:$AE$2991,"&lt;="&amp;AE2611,$R$5:$R$2991,"&lt;"&amp;R2611))</f>
        <v/>
      </c>
      <c r="AG2611" s="35">
        <f>IF(OR(C2611&lt;&gt;"Grayson Coulter",G2611&lt;'00_Control'!$B$7),"",--(AF2611&lt;5))</f>
        <v/>
      </c>
      <c r="AH2611" s="35">
        <f>IF(OR(C2611&lt;&gt;"Grayson Coulter",G2611&lt;'00_Control'!$B$7),"",--(AF2611&lt;10))</f>
        <v/>
      </c>
      <c r="AI2611" s="35">
        <f>IF(AND(C2611="Grayson Coulter",G2611&gt;='00_Control'!$B$7),"YES","NO")</f>
        <v/>
      </c>
      <c r="AJ2611" s="33" t="inlineStr">
        <is>
          <t>OK</t>
        </is>
      </c>
    </row>
    <row r="2612">
      <c r="A2612" s="33" t="inlineStr">
        <is>
          <t>SM002608</t>
        </is>
      </c>
      <c r="B2612" s="33" t="inlineStr">
        <is>
          <t>SW006</t>
        </is>
      </c>
      <c r="C2612" s="33" t="inlineStr">
        <is>
          <t>Tajus Juska</t>
        </is>
      </c>
      <c r="D2612" s="33" t="inlineStr">
        <is>
          <t>SwimCloud</t>
        </is>
      </c>
      <c r="E2612" s="33" t="inlineStr">
        <is>
          <t>2116196</t>
        </is>
      </c>
      <c r="F2612" s="33" t="inlineStr">
        <is>
          <t>102355270</t>
        </is>
      </c>
      <c r="G2612" s="51" t="n">
        <v>45087</v>
      </c>
      <c r="H2612" s="33" t="inlineStr">
        <is>
          <t>Lietuvos Jaunių – Jaunimo čempionatas</t>
        </is>
      </c>
      <c r="I2612" s="33" t="inlineStr">
        <is>
          <t>269569</t>
        </is>
      </c>
      <c r="J2612" s="33" t="inlineStr"/>
      <c r="K2612" s="33" t="inlineStr">
        <is>
          <t>PRE</t>
        </is>
      </c>
      <c r="L2612" s="35">
        <f>IF(K2612="FIN",3,IF(OR(K2612="SEM",K2612="SEMI"),2,IF(OR(K2612="PRE",K2612="HEAT"),1,IF(V2612="YES",4,2))))</f>
        <v/>
      </c>
      <c r="M2612" s="33" t="inlineStr">
        <is>
          <t>LCM</t>
        </is>
      </c>
      <c r="N2612" s="33" t="n">
        <v>400</v>
      </c>
      <c r="O2612" s="33" t="inlineStr">
        <is>
          <t>Free</t>
        </is>
      </c>
      <c r="P2612" s="33" t="inlineStr">
        <is>
          <t>400 Free</t>
        </is>
      </c>
      <c r="Q2612" s="33" t="inlineStr">
        <is>
          <t>LCM_400_FREE</t>
        </is>
      </c>
      <c r="R2612" s="36" t="n">
        <v>251.72</v>
      </c>
      <c r="S2612" s="35">
        <f>IF(R2612="","",IF(R2612&gt;=60,INT(R2612/60)&amp;":"&amp;TEXT(MOD(R2612,60),"00.00"),TEXT(R2612,"0.00")))</f>
        <v/>
      </c>
      <c r="T2612" s="52">
        <f>IFERROR((G2612-INDEX('01_Swimmers'!$E$5:$E$22,MATCH(B2612,'01_Swimmers'!$A$5:$A$22,0)))/'00_Control'!$B$10,"")</f>
        <v/>
      </c>
      <c r="U2612" s="35">
        <f>IF(T2612="","",INT(T2612))</f>
        <v/>
      </c>
      <c r="V2612" s="33" t="inlineStr">
        <is>
          <t>NO</t>
        </is>
      </c>
      <c r="W2612" s="33" t="inlineStr">
        <is>
          <t>YES</t>
        </is>
      </c>
      <c r="X2612" s="33" t="inlineStr">
        <is>
          <t>NO</t>
        </is>
      </c>
      <c r="Y2612" s="33" t="n">
        <v>5</v>
      </c>
      <c r="Z2612" s="33" t="n">
        <v>2</v>
      </c>
      <c r="AA2612" s="33" t="inlineStr">
        <is>
          <t>2,2</t>
        </is>
      </c>
      <c r="AB2612" s="33" t="inlineStr">
        <is>
          <t>https://www.swimcloud.com/results/269569/event/15/?id=102355270#time102355270</t>
        </is>
      </c>
      <c r="AC2612" s="33" t="inlineStr">
        <is>
          <t>SwimCloud API v6 2026-10-08</t>
        </is>
      </c>
      <c r="AD2612" s="33" t="inlineStr">
        <is>
          <t>Tajus Juska|2023-06-10|LCM|400|Free|251.72|Lietuvos Jaunių – Jaunimo čempionatas|PRE|False</t>
        </is>
      </c>
      <c r="AE2612" s="53">
        <f>G2612+L2612/1000+ROW()/1000000000</f>
        <v/>
      </c>
      <c r="AF2612" s="35">
        <f>IF(C2612&lt;&gt;"Grayson Coulter","",COUNTIFS($C$5:$C$2991,"Grayson Coulter",$Q$5:$Q$2991,Q2612,$AE$5:$AE$2991,"&lt;="&amp;AE2612,$R$5:$R$2991,"&lt;"&amp;R2612))</f>
        <v/>
      </c>
      <c r="AG2612" s="35">
        <f>IF(OR(C2612&lt;&gt;"Grayson Coulter",G2612&lt;'00_Control'!$B$7),"",--(AF2612&lt;5))</f>
        <v/>
      </c>
      <c r="AH2612" s="35">
        <f>IF(OR(C2612&lt;&gt;"Grayson Coulter",G2612&lt;'00_Control'!$B$7),"",--(AF2612&lt;10))</f>
        <v/>
      </c>
      <c r="AI2612" s="35">
        <f>IF(AND(C2612="Grayson Coulter",G2612&gt;='00_Control'!$B$7),"YES","NO")</f>
        <v/>
      </c>
      <c r="AJ2612" s="33" t="inlineStr">
        <is>
          <t>OK</t>
        </is>
      </c>
    </row>
    <row r="2613">
      <c r="A2613" s="33" t="inlineStr">
        <is>
          <t>SM002609</t>
        </is>
      </c>
      <c r="B2613" s="33" t="inlineStr">
        <is>
          <t>SW006</t>
        </is>
      </c>
      <c r="C2613" s="33" t="inlineStr">
        <is>
          <t>Tajus Juska</t>
        </is>
      </c>
      <c r="D2613" s="33" t="inlineStr">
        <is>
          <t>SwimCloud</t>
        </is>
      </c>
      <c r="E2613" s="33" t="inlineStr">
        <is>
          <t>2116196</t>
        </is>
      </c>
      <c r="F2613" s="33" t="inlineStr">
        <is>
          <t>102355272</t>
        </is>
      </c>
      <c r="G2613" s="51" t="n">
        <v>45088</v>
      </c>
      <c r="H2613" s="33" t="inlineStr">
        <is>
          <t>Lietuvos Jaunių – Jaunimo čempionatas</t>
        </is>
      </c>
      <c r="I2613" s="33" t="inlineStr">
        <is>
          <t>269569</t>
        </is>
      </c>
      <c r="J2613" s="33" t="inlineStr"/>
      <c r="K2613" s="33" t="inlineStr">
        <is>
          <t>PRE</t>
        </is>
      </c>
      <c r="L2613" s="35">
        <f>IF(K2613="FIN",3,IF(OR(K2613="SEM",K2613="SEMI"),2,IF(OR(K2613="PRE",K2613="HEAT"),1,IF(V2613="YES",4,2))))</f>
        <v/>
      </c>
      <c r="M2613" s="33" t="inlineStr">
        <is>
          <t>LCM</t>
        </is>
      </c>
      <c r="N2613" s="33" t="n">
        <v>100</v>
      </c>
      <c r="O2613" s="33" t="inlineStr">
        <is>
          <t>Free</t>
        </is>
      </c>
      <c r="P2613" s="33" t="inlineStr">
        <is>
          <t>100 Free</t>
        </is>
      </c>
      <c r="Q2613" s="33" t="inlineStr">
        <is>
          <t>LCM_100_FREE</t>
        </is>
      </c>
      <c r="R2613" s="36" t="n">
        <v>51.13</v>
      </c>
      <c r="S2613" s="35">
        <f>IF(R2613="","",IF(R2613&gt;=60,INT(R2613/60)&amp;":"&amp;TEXT(MOD(R2613,60),"00.00"),TEXT(R2613,"0.00")))</f>
        <v/>
      </c>
      <c r="T2613" s="52">
        <f>IFERROR((G2613-INDEX('01_Swimmers'!$E$5:$E$22,MATCH(B2613,'01_Swimmers'!$A$5:$A$22,0)))/'00_Control'!$B$10,"")</f>
        <v/>
      </c>
      <c r="U2613" s="35">
        <f>IF(T2613="","",INT(T2613))</f>
        <v/>
      </c>
      <c r="V2613" s="33" t="inlineStr">
        <is>
          <t>NO</t>
        </is>
      </c>
      <c r="W2613" s="33" t="inlineStr">
        <is>
          <t>YES</t>
        </is>
      </c>
      <c r="X2613" s="33" t="inlineStr">
        <is>
          <t>NO</t>
        </is>
      </c>
      <c r="Y2613" s="33" t="n">
        <v>9</v>
      </c>
      <c r="Z2613" s="33" t="n">
        <v>4</v>
      </c>
      <c r="AA2613" s="33" t="inlineStr">
        <is>
          <t>1,1</t>
        </is>
      </c>
      <c r="AB2613" s="33" t="inlineStr">
        <is>
          <t>https://www.swimcloud.com/results/269569/event/30/?id=102355272#time102355272</t>
        </is>
      </c>
      <c r="AC2613" s="33" t="inlineStr">
        <is>
          <t>SwimCloud API v6 2026-10-08</t>
        </is>
      </c>
      <c r="AD2613" s="33" t="inlineStr">
        <is>
          <t>Tajus Juska|2023-06-11|LCM|100|Free|51.13|Lietuvos Jaunių – Jaunimo čempionatas|PRE|False</t>
        </is>
      </c>
      <c r="AE2613" s="53">
        <f>G2613+L2613/1000+ROW()/1000000000</f>
        <v/>
      </c>
      <c r="AF2613" s="35">
        <f>IF(C2613&lt;&gt;"Grayson Coulter","",COUNTIFS($C$5:$C$2991,"Grayson Coulter",$Q$5:$Q$2991,Q2613,$AE$5:$AE$2991,"&lt;="&amp;AE2613,$R$5:$R$2991,"&lt;"&amp;R2613))</f>
        <v/>
      </c>
      <c r="AG2613" s="35">
        <f>IF(OR(C2613&lt;&gt;"Grayson Coulter",G2613&lt;'00_Control'!$B$7),"",--(AF2613&lt;5))</f>
        <v/>
      </c>
      <c r="AH2613" s="35">
        <f>IF(OR(C2613&lt;&gt;"Grayson Coulter",G2613&lt;'00_Control'!$B$7),"",--(AF2613&lt;10))</f>
        <v/>
      </c>
      <c r="AI2613" s="35">
        <f>IF(AND(C2613="Grayson Coulter",G2613&gt;='00_Control'!$B$7),"YES","NO")</f>
        <v/>
      </c>
      <c r="AJ2613" s="33" t="inlineStr">
        <is>
          <t>OK</t>
        </is>
      </c>
    </row>
    <row r="2614">
      <c r="A2614" s="33" t="inlineStr">
        <is>
          <t>SM002610</t>
        </is>
      </c>
      <c r="B2614" s="33" t="inlineStr">
        <is>
          <t>SW006</t>
        </is>
      </c>
      <c r="C2614" s="33" t="inlineStr">
        <is>
          <t>Tajus Juska</t>
        </is>
      </c>
      <c r="D2614" s="33" t="inlineStr">
        <is>
          <t>SwimCloud</t>
        </is>
      </c>
      <c r="E2614" s="33" t="inlineStr">
        <is>
          <t>2116196</t>
        </is>
      </c>
      <c r="F2614" s="33" t="inlineStr">
        <is>
          <t>102355276</t>
        </is>
      </c>
      <c r="G2614" s="51" t="n">
        <v>45088</v>
      </c>
      <c r="H2614" s="33" t="inlineStr">
        <is>
          <t>Lietuvos Jaunių – Jaunimo čempionatas</t>
        </is>
      </c>
      <c r="I2614" s="33" t="inlineStr">
        <is>
          <t>269569</t>
        </is>
      </c>
      <c r="J2614" s="33" t="inlineStr"/>
      <c r="K2614" s="33" t="inlineStr">
        <is>
          <t>FIN</t>
        </is>
      </c>
      <c r="L2614" s="35">
        <f>IF(K2614="FIN",3,IF(OR(K2614="SEM",K2614="SEMI"),2,IF(OR(K2614="PRE",K2614="HEAT"),1,IF(V2614="YES",4,2))))</f>
        <v/>
      </c>
      <c r="M2614" s="33" t="inlineStr">
        <is>
          <t>LCM</t>
        </is>
      </c>
      <c r="N2614" s="33" t="n">
        <v>100</v>
      </c>
      <c r="O2614" s="33" t="inlineStr">
        <is>
          <t>Free</t>
        </is>
      </c>
      <c r="P2614" s="33" t="inlineStr">
        <is>
          <t>100 Free</t>
        </is>
      </c>
      <c r="Q2614" s="33" t="inlineStr">
        <is>
          <t>LCM_100_FREE</t>
        </is>
      </c>
      <c r="R2614" s="36" t="n">
        <v>51.42</v>
      </c>
      <c r="S2614" s="35">
        <f>IF(R2614="","",IF(R2614&gt;=60,INT(R2614/60)&amp;":"&amp;TEXT(MOD(R2614,60),"00.00"),TEXT(R2614,"0.00")))</f>
        <v/>
      </c>
      <c r="T2614" s="52">
        <f>IFERROR((G2614-INDEX('01_Swimmers'!$E$5:$E$22,MATCH(B2614,'01_Swimmers'!$A$5:$A$22,0)))/'00_Control'!$B$10,"")</f>
        <v/>
      </c>
      <c r="U2614" s="35">
        <f>IF(T2614="","",INT(T2614))</f>
        <v/>
      </c>
      <c r="V2614" s="33" t="inlineStr">
        <is>
          <t>NO</t>
        </is>
      </c>
      <c r="W2614" s="33" t="inlineStr">
        <is>
          <t>YES</t>
        </is>
      </c>
      <c r="X2614" s="33" t="inlineStr">
        <is>
          <t>NO</t>
        </is>
      </c>
      <c r="Y2614" s="33" t="n">
        <v>2</v>
      </c>
      <c r="Z2614" s="33" t="n">
        <v>4</v>
      </c>
      <c r="AA2614" s="33" t="inlineStr">
        <is>
          <t>1</t>
        </is>
      </c>
      <c r="AB2614" s="33" t="inlineStr">
        <is>
          <t>https://www.swimcloud.com/results/269569/event/30/?id=102355276#time102355276</t>
        </is>
      </c>
      <c r="AC2614" s="33" t="inlineStr">
        <is>
          <t>SwimCloud API v6 2026-10-08</t>
        </is>
      </c>
      <c r="AD2614" s="33" t="inlineStr">
        <is>
          <t>Tajus Juska|2023-06-11|LCM|100|Free|51.42|Lietuvos Jaunių – Jaunimo čempionatas|FIN|False</t>
        </is>
      </c>
      <c r="AE2614" s="53">
        <f>G2614+L2614/1000+ROW()/1000000000</f>
        <v/>
      </c>
      <c r="AF2614" s="35">
        <f>IF(C2614&lt;&gt;"Grayson Coulter","",COUNTIFS($C$5:$C$2991,"Grayson Coulter",$Q$5:$Q$2991,Q2614,$AE$5:$AE$2991,"&lt;="&amp;AE2614,$R$5:$R$2991,"&lt;"&amp;R2614))</f>
        <v/>
      </c>
      <c r="AG2614" s="35">
        <f>IF(OR(C2614&lt;&gt;"Grayson Coulter",G2614&lt;'00_Control'!$B$7),"",--(AF2614&lt;5))</f>
        <v/>
      </c>
      <c r="AH2614" s="35">
        <f>IF(OR(C2614&lt;&gt;"Grayson Coulter",G2614&lt;'00_Control'!$B$7),"",--(AF2614&lt;10))</f>
        <v/>
      </c>
      <c r="AI2614" s="35">
        <f>IF(AND(C2614="Grayson Coulter",G2614&gt;='00_Control'!$B$7),"YES","NO")</f>
        <v/>
      </c>
      <c r="AJ2614" s="33" t="inlineStr">
        <is>
          <t>OK</t>
        </is>
      </c>
    </row>
    <row r="2615">
      <c r="A2615" s="33" t="inlineStr">
        <is>
          <t>SM002611</t>
        </is>
      </c>
      <c r="B2615" s="33" t="inlineStr">
        <is>
          <t>SW006</t>
        </is>
      </c>
      <c r="C2615" s="33" t="inlineStr">
        <is>
          <t>Tajus Juska</t>
        </is>
      </c>
      <c r="D2615" s="33" t="inlineStr">
        <is>
          <t>SwimCloud</t>
        </is>
      </c>
      <c r="E2615" s="33" t="inlineStr">
        <is>
          <t>2116196</t>
        </is>
      </c>
      <c r="F2615" s="33" t="inlineStr">
        <is>
          <t>103571879</t>
        </is>
      </c>
      <c r="G2615" s="51" t="n">
        <v>45113</v>
      </c>
      <c r="H2615" s="33" t="inlineStr">
        <is>
          <t>LEN European Junior Championships</t>
        </is>
      </c>
      <c r="I2615" s="33" t="inlineStr">
        <is>
          <t>237906</t>
        </is>
      </c>
      <c r="J2615" s="33" t="inlineStr"/>
      <c r="K2615" s="33" t="inlineStr">
        <is>
          <t>PRE</t>
        </is>
      </c>
      <c r="L2615" s="35">
        <f>IF(K2615="FIN",3,IF(OR(K2615="SEM",K2615="SEMI"),2,IF(OR(K2615="PRE",K2615="HEAT"),1,IF(V2615="YES",4,2))))</f>
        <v/>
      </c>
      <c r="M2615" s="33" t="inlineStr">
        <is>
          <t>LCM</t>
        </is>
      </c>
      <c r="N2615" s="33" t="n">
        <v>100</v>
      </c>
      <c r="O2615" s="33" t="inlineStr">
        <is>
          <t>Fly</t>
        </is>
      </c>
      <c r="P2615" s="33" t="inlineStr">
        <is>
          <t>100 Fly</t>
        </is>
      </c>
      <c r="Q2615" s="33" t="inlineStr">
        <is>
          <t>LCM_100_FLY</t>
        </is>
      </c>
      <c r="R2615" s="36" t="n">
        <v>54.83</v>
      </c>
      <c r="S2615" s="35">
        <f>IF(R2615="","",IF(R2615&gt;=60,INT(R2615/60)&amp;":"&amp;TEXT(MOD(R2615,60),"00.00"),TEXT(R2615,"0.00")))</f>
        <v/>
      </c>
      <c r="T2615" s="52">
        <f>IFERROR((G2615-INDEX('01_Swimmers'!$E$5:$E$22,MATCH(B2615,'01_Swimmers'!$A$5:$A$22,0)))/'00_Control'!$B$10,"")</f>
        <v/>
      </c>
      <c r="U2615" s="35">
        <f>IF(T2615="","",INT(T2615))</f>
        <v/>
      </c>
      <c r="V2615" s="33" t="inlineStr">
        <is>
          <t>NO</t>
        </is>
      </c>
      <c r="W2615" s="33" t="inlineStr">
        <is>
          <t>YES</t>
        </is>
      </c>
      <c r="X2615" s="33" t="inlineStr">
        <is>
          <t>NO</t>
        </is>
      </c>
      <c r="Y2615" s="33" t="n">
        <v>7</v>
      </c>
      <c r="Z2615" s="33" t="n">
        <v>1</v>
      </c>
      <c r="AA2615" s="33" t="inlineStr">
        <is>
          <t>13</t>
        </is>
      </c>
      <c r="AB2615" s="33" t="inlineStr">
        <is>
          <t>https://www.swimcloud.com/results/237906/event/18/?id=103571879#time103571879</t>
        </is>
      </c>
      <c r="AC2615" s="33" t="inlineStr">
        <is>
          <t>SwimCloud API v6 2026-10-08</t>
        </is>
      </c>
      <c r="AD2615" s="33" t="inlineStr">
        <is>
          <t>Tajus Juska|2023-07-06|LCM|100|Fly|54.83|LEN European Junior Championships|PRE|False</t>
        </is>
      </c>
      <c r="AE2615" s="53">
        <f>G2615+L2615/1000+ROW()/1000000000</f>
        <v/>
      </c>
      <c r="AF2615" s="35">
        <f>IF(C2615&lt;&gt;"Grayson Coulter","",COUNTIFS($C$5:$C$2991,"Grayson Coulter",$Q$5:$Q$2991,Q2615,$AE$5:$AE$2991,"&lt;="&amp;AE2615,$R$5:$R$2991,"&lt;"&amp;R2615))</f>
        <v/>
      </c>
      <c r="AG2615" s="35">
        <f>IF(OR(C2615&lt;&gt;"Grayson Coulter",G2615&lt;'00_Control'!$B$7),"",--(AF2615&lt;5))</f>
        <v/>
      </c>
      <c r="AH2615" s="35">
        <f>IF(OR(C2615&lt;&gt;"Grayson Coulter",G2615&lt;'00_Control'!$B$7),"",--(AF2615&lt;10))</f>
        <v/>
      </c>
      <c r="AI2615" s="35">
        <f>IF(AND(C2615="Grayson Coulter",G2615&gt;='00_Control'!$B$7),"YES","NO")</f>
        <v/>
      </c>
      <c r="AJ2615" s="33" t="inlineStr">
        <is>
          <t>OK</t>
        </is>
      </c>
    </row>
    <row r="2616">
      <c r="A2616" s="33" t="inlineStr">
        <is>
          <t>SM002612</t>
        </is>
      </c>
      <c r="B2616" s="33" t="inlineStr">
        <is>
          <t>SW006</t>
        </is>
      </c>
      <c r="C2616" s="33" t="inlineStr">
        <is>
          <t>Tajus Juska</t>
        </is>
      </c>
      <c r="D2616" s="33" t="inlineStr">
        <is>
          <t>SwimCloud</t>
        </is>
      </c>
      <c r="E2616" s="33" t="inlineStr">
        <is>
          <t>2116196</t>
        </is>
      </c>
      <c r="F2616" s="33" t="inlineStr">
        <is>
          <t>103571883</t>
        </is>
      </c>
      <c r="G2616" s="51" t="n">
        <v>45113</v>
      </c>
      <c r="H2616" s="33" t="inlineStr">
        <is>
          <t>LEN European Junior Championships</t>
        </is>
      </c>
      <c r="I2616" s="33" t="inlineStr">
        <is>
          <t>237906</t>
        </is>
      </c>
      <c r="J2616" s="33" t="inlineStr"/>
      <c r="K2616" s="33" t="inlineStr">
        <is>
          <t>SEM</t>
        </is>
      </c>
      <c r="L2616" s="35">
        <f>IF(K2616="FIN",3,IF(OR(K2616="SEM",K2616="SEMI"),2,IF(OR(K2616="PRE",K2616="HEAT"),1,IF(V2616="YES",4,2))))</f>
        <v/>
      </c>
      <c r="M2616" s="33" t="inlineStr">
        <is>
          <t>LCM</t>
        </is>
      </c>
      <c r="N2616" s="33" t="n">
        <v>100</v>
      </c>
      <c r="O2616" s="33" t="inlineStr">
        <is>
          <t>Fly</t>
        </is>
      </c>
      <c r="P2616" s="33" t="inlineStr">
        <is>
          <t>100 Fly</t>
        </is>
      </c>
      <c r="Q2616" s="33" t="inlineStr">
        <is>
          <t>LCM_100_FLY</t>
        </is>
      </c>
      <c r="R2616" s="36" t="n">
        <v>55.13</v>
      </c>
      <c r="S2616" s="35">
        <f>IF(R2616="","",IF(R2616&gt;=60,INT(R2616/60)&amp;":"&amp;TEXT(MOD(R2616,60),"00.00"),TEXT(R2616,"0.00")))</f>
        <v/>
      </c>
      <c r="T2616" s="52">
        <f>IFERROR((G2616-INDEX('01_Swimmers'!$E$5:$E$22,MATCH(B2616,'01_Swimmers'!$A$5:$A$22,0)))/'00_Control'!$B$10,"")</f>
        <v/>
      </c>
      <c r="U2616" s="35">
        <f>IF(T2616="","",INT(T2616))</f>
        <v/>
      </c>
      <c r="V2616" s="33" t="inlineStr">
        <is>
          <t>NO</t>
        </is>
      </c>
      <c r="W2616" s="33" t="inlineStr">
        <is>
          <t>YES</t>
        </is>
      </c>
      <c r="X2616" s="33" t="inlineStr">
        <is>
          <t>NO</t>
        </is>
      </c>
      <c r="Y2616" s="33" t="n">
        <v>1</v>
      </c>
      <c r="Z2616" s="33" t="n">
        <v>7</v>
      </c>
      <c r="AA2616" s="33" t="inlineStr">
        <is>
          <t>16</t>
        </is>
      </c>
      <c r="AB2616" s="33" t="inlineStr">
        <is>
          <t>https://www.swimcloud.com/results/237906/event/18/?id=103571883#time103571883</t>
        </is>
      </c>
      <c r="AC2616" s="33" t="inlineStr">
        <is>
          <t>SwimCloud API v6 2026-10-08</t>
        </is>
      </c>
      <c r="AD2616" s="33" t="inlineStr">
        <is>
          <t>Tajus Juska|2023-07-06|LCM|100|Fly|55.13|LEN European Junior Championships|SEM|False</t>
        </is>
      </c>
      <c r="AE2616" s="53">
        <f>G2616+L2616/1000+ROW()/1000000000</f>
        <v/>
      </c>
      <c r="AF2616" s="35">
        <f>IF(C2616&lt;&gt;"Grayson Coulter","",COUNTIFS($C$5:$C$2991,"Grayson Coulter",$Q$5:$Q$2991,Q2616,$AE$5:$AE$2991,"&lt;="&amp;AE2616,$R$5:$R$2991,"&lt;"&amp;R2616))</f>
        <v/>
      </c>
      <c r="AG2616" s="35">
        <f>IF(OR(C2616&lt;&gt;"Grayson Coulter",G2616&lt;'00_Control'!$B$7),"",--(AF2616&lt;5))</f>
        <v/>
      </c>
      <c r="AH2616" s="35">
        <f>IF(OR(C2616&lt;&gt;"Grayson Coulter",G2616&lt;'00_Control'!$B$7),"",--(AF2616&lt;10))</f>
        <v/>
      </c>
      <c r="AI2616" s="35">
        <f>IF(AND(C2616="Grayson Coulter",G2616&gt;='00_Control'!$B$7),"YES","NO")</f>
        <v/>
      </c>
      <c r="AJ2616" s="33" t="inlineStr">
        <is>
          <t>OK</t>
        </is>
      </c>
    </row>
    <row r="2617">
      <c r="A2617" s="33" t="inlineStr">
        <is>
          <t>SM002613</t>
        </is>
      </c>
      <c r="B2617" s="33" t="inlineStr">
        <is>
          <t>SW006</t>
        </is>
      </c>
      <c r="C2617" s="33" t="inlineStr">
        <is>
          <t>Tajus Juska</t>
        </is>
      </c>
      <c r="D2617" s="33" t="inlineStr">
        <is>
          <t>SwimCloud</t>
        </is>
      </c>
      <c r="E2617" s="33" t="inlineStr">
        <is>
          <t>2116196</t>
        </is>
      </c>
      <c r="F2617" s="33" t="inlineStr">
        <is>
          <t>103571881</t>
        </is>
      </c>
      <c r="G2617" s="51" t="n">
        <v>45115</v>
      </c>
      <c r="H2617" s="33" t="inlineStr">
        <is>
          <t>LEN European Junior Championships</t>
        </is>
      </c>
      <c r="I2617" s="33" t="inlineStr">
        <is>
          <t>237906</t>
        </is>
      </c>
      <c r="J2617" s="33" t="inlineStr"/>
      <c r="K2617" s="33" t="inlineStr">
        <is>
          <t>PRE</t>
        </is>
      </c>
      <c r="L2617" s="35">
        <f>IF(K2617="FIN",3,IF(OR(K2617="SEM",K2617="SEMI"),2,IF(OR(K2617="PRE",K2617="HEAT"),1,IF(V2617="YES",4,2))))</f>
        <v/>
      </c>
      <c r="M2617" s="33" t="inlineStr">
        <is>
          <t>LCM</t>
        </is>
      </c>
      <c r="N2617" s="33" t="n">
        <v>100</v>
      </c>
      <c r="O2617" s="33" t="inlineStr">
        <is>
          <t>Free</t>
        </is>
      </c>
      <c r="P2617" s="33" t="inlineStr">
        <is>
          <t>100 Free</t>
        </is>
      </c>
      <c r="Q2617" s="33" t="inlineStr">
        <is>
          <t>LCM_100_FREE</t>
        </is>
      </c>
      <c r="R2617" s="36" t="n">
        <v>50.52</v>
      </c>
      <c r="S2617" s="35">
        <f>IF(R2617="","",IF(R2617&gt;=60,INT(R2617/60)&amp;":"&amp;TEXT(MOD(R2617,60),"00.00"),TEXT(R2617,"0.00")))</f>
        <v/>
      </c>
      <c r="T2617" s="52">
        <f>IFERROR((G2617-INDEX('01_Swimmers'!$E$5:$E$22,MATCH(B2617,'01_Swimmers'!$A$5:$A$22,0)))/'00_Control'!$B$10,"")</f>
        <v/>
      </c>
      <c r="U2617" s="35">
        <f>IF(T2617="","",INT(T2617))</f>
        <v/>
      </c>
      <c r="V2617" s="33" t="inlineStr">
        <is>
          <t>NO</t>
        </is>
      </c>
      <c r="W2617" s="33" t="inlineStr">
        <is>
          <t>YES</t>
        </is>
      </c>
      <c r="X2617" s="33" t="inlineStr">
        <is>
          <t>NO</t>
        </is>
      </c>
      <c r="Y2617" s="33" t="n">
        <v>7</v>
      </c>
      <c r="Z2617" s="33" t="n">
        <v>1</v>
      </c>
      <c r="AA2617" s="33" t="inlineStr">
        <is>
          <t>6</t>
        </is>
      </c>
      <c r="AB2617" s="33" t="inlineStr">
        <is>
          <t>https://www.swimcloud.com/results/237906/event/30/?id=103571881#time103571881</t>
        </is>
      </c>
      <c r="AC2617" s="33" t="inlineStr">
        <is>
          <t>SwimCloud API v6 2026-10-08</t>
        </is>
      </c>
      <c r="AD2617" s="33" t="inlineStr">
        <is>
          <t>Tajus Juska|2023-07-08|LCM|100|Free|50.52|LEN European Junior Championships|PRE|False</t>
        </is>
      </c>
      <c r="AE2617" s="53">
        <f>G2617+L2617/1000+ROW()/1000000000</f>
        <v/>
      </c>
      <c r="AF2617" s="35">
        <f>IF(C2617&lt;&gt;"Grayson Coulter","",COUNTIFS($C$5:$C$2991,"Grayson Coulter",$Q$5:$Q$2991,Q2617,$AE$5:$AE$2991,"&lt;="&amp;AE2617,$R$5:$R$2991,"&lt;"&amp;R2617))</f>
        <v/>
      </c>
      <c r="AG2617" s="35">
        <f>IF(OR(C2617&lt;&gt;"Grayson Coulter",G2617&lt;'00_Control'!$B$7),"",--(AF2617&lt;5))</f>
        <v/>
      </c>
      <c r="AH2617" s="35">
        <f>IF(OR(C2617&lt;&gt;"Grayson Coulter",G2617&lt;'00_Control'!$B$7),"",--(AF2617&lt;10))</f>
        <v/>
      </c>
      <c r="AI2617" s="35">
        <f>IF(AND(C2617="Grayson Coulter",G2617&gt;='00_Control'!$B$7),"YES","NO")</f>
        <v/>
      </c>
      <c r="AJ2617" s="33" t="inlineStr">
        <is>
          <t>OK</t>
        </is>
      </c>
    </row>
    <row r="2618">
      <c r="A2618" s="33" t="inlineStr">
        <is>
          <t>SM002614</t>
        </is>
      </c>
      <c r="B2618" s="33" t="inlineStr">
        <is>
          <t>SW006</t>
        </is>
      </c>
      <c r="C2618" s="33" t="inlineStr">
        <is>
          <t>Tajus Juska</t>
        </is>
      </c>
      <c r="D2618" s="33" t="inlineStr">
        <is>
          <t>SwimCloud</t>
        </is>
      </c>
      <c r="E2618" s="33" t="inlineStr">
        <is>
          <t>2116196</t>
        </is>
      </c>
      <c r="F2618" s="33" t="inlineStr">
        <is>
          <t>103571885</t>
        </is>
      </c>
      <c r="G2618" s="51" t="n">
        <v>45115</v>
      </c>
      <c r="H2618" s="33" t="inlineStr">
        <is>
          <t>LEN European Junior Championships</t>
        </is>
      </c>
      <c r="I2618" s="33" t="inlineStr">
        <is>
          <t>237906</t>
        </is>
      </c>
      <c r="J2618" s="33" t="inlineStr"/>
      <c r="K2618" s="33" t="inlineStr">
        <is>
          <t>SEM</t>
        </is>
      </c>
      <c r="L2618" s="35">
        <f>IF(K2618="FIN",3,IF(OR(K2618="SEM",K2618="SEMI"),2,IF(OR(K2618="PRE",K2618="HEAT"),1,IF(V2618="YES",4,2))))</f>
        <v/>
      </c>
      <c r="M2618" s="33" t="inlineStr">
        <is>
          <t>LCM</t>
        </is>
      </c>
      <c r="N2618" s="33" t="n">
        <v>100</v>
      </c>
      <c r="O2618" s="33" t="inlineStr">
        <is>
          <t>Free</t>
        </is>
      </c>
      <c r="P2618" s="33" t="inlineStr">
        <is>
          <t>100 Free</t>
        </is>
      </c>
      <c r="Q2618" s="33" t="inlineStr">
        <is>
          <t>LCM_100_FREE</t>
        </is>
      </c>
      <c r="R2618" s="36" t="n">
        <v>50.64</v>
      </c>
      <c r="S2618" s="35">
        <f>IF(R2618="","",IF(R2618&gt;=60,INT(R2618/60)&amp;":"&amp;TEXT(MOD(R2618,60),"00.00"),TEXT(R2618,"0.00")))</f>
        <v/>
      </c>
      <c r="T2618" s="52">
        <f>IFERROR((G2618-INDEX('01_Swimmers'!$E$5:$E$22,MATCH(B2618,'01_Swimmers'!$A$5:$A$22,0)))/'00_Control'!$B$10,"")</f>
        <v/>
      </c>
      <c r="U2618" s="35">
        <f>IF(T2618="","",INT(T2618))</f>
        <v/>
      </c>
      <c r="V2618" s="33" t="inlineStr">
        <is>
          <t>NO</t>
        </is>
      </c>
      <c r="W2618" s="33" t="inlineStr">
        <is>
          <t>YES</t>
        </is>
      </c>
      <c r="X2618" s="33" t="inlineStr">
        <is>
          <t>NO</t>
        </is>
      </c>
      <c r="Y2618" s="33" t="n">
        <v>1</v>
      </c>
      <c r="Z2618" s="33" t="n">
        <v>3</v>
      </c>
      <c r="AA2618" s="33" t="inlineStr">
        <is>
          <t>10</t>
        </is>
      </c>
      <c r="AB2618" s="33" t="inlineStr">
        <is>
          <t>https://www.swimcloud.com/results/237906/event/30/?id=103571885#time103571885</t>
        </is>
      </c>
      <c r="AC2618" s="33" t="inlineStr">
        <is>
          <t>SwimCloud API v6 2026-10-08</t>
        </is>
      </c>
      <c r="AD2618" s="33" t="inlineStr">
        <is>
          <t>Tajus Juska|2023-07-08|LCM|100|Free|50.64|LEN European Junior Championships|SEM|False</t>
        </is>
      </c>
      <c r="AE2618" s="53">
        <f>G2618+L2618/1000+ROW()/1000000000</f>
        <v/>
      </c>
      <c r="AF2618" s="35">
        <f>IF(C2618&lt;&gt;"Grayson Coulter","",COUNTIFS($C$5:$C$2991,"Grayson Coulter",$Q$5:$Q$2991,Q2618,$AE$5:$AE$2991,"&lt;="&amp;AE2618,$R$5:$R$2991,"&lt;"&amp;R2618))</f>
        <v/>
      </c>
      <c r="AG2618" s="35">
        <f>IF(OR(C2618&lt;&gt;"Grayson Coulter",G2618&lt;'00_Control'!$B$7),"",--(AF2618&lt;5))</f>
        <v/>
      </c>
      <c r="AH2618" s="35">
        <f>IF(OR(C2618&lt;&gt;"Grayson Coulter",G2618&lt;'00_Control'!$B$7),"",--(AF2618&lt;10))</f>
        <v/>
      </c>
      <c r="AI2618" s="35">
        <f>IF(AND(C2618="Grayson Coulter",G2618&gt;='00_Control'!$B$7),"YES","NO")</f>
        <v/>
      </c>
      <c r="AJ2618" s="33" t="inlineStr">
        <is>
          <t>OK</t>
        </is>
      </c>
    </row>
    <row r="2619">
      <c r="A2619" s="33" t="inlineStr">
        <is>
          <t>SM002615</t>
        </is>
      </c>
      <c r="B2619" s="33" t="inlineStr">
        <is>
          <t>SW006</t>
        </is>
      </c>
      <c r="C2619" s="33" t="inlineStr">
        <is>
          <t>Tajus Juska</t>
        </is>
      </c>
      <c r="D2619" s="33" t="inlineStr">
        <is>
          <t>SwimCloud</t>
        </is>
      </c>
      <c r="E2619" s="33" t="inlineStr">
        <is>
          <t>2116196</t>
        </is>
      </c>
      <c r="F2619" s="33" t="inlineStr">
        <is>
          <t>109489536</t>
        </is>
      </c>
      <c r="G2619" s="51" t="n">
        <v>45241</v>
      </c>
      <c r="H2619" s="33" t="inlineStr">
        <is>
          <t>LTU Komandinė Taurė</t>
        </is>
      </c>
      <c r="I2619" s="33" t="inlineStr">
        <is>
          <t>283519</t>
        </is>
      </c>
      <c r="J2619" s="33" t="inlineStr"/>
      <c r="K2619" s="33" t="inlineStr">
        <is>
          <t>PRE</t>
        </is>
      </c>
      <c r="L2619" s="35">
        <f>IF(K2619="FIN",3,IF(OR(K2619="SEM",K2619="SEMI"),2,IF(OR(K2619="PRE",K2619="HEAT"),1,IF(V2619="YES",4,2))))</f>
        <v/>
      </c>
      <c r="M2619" s="33" t="inlineStr">
        <is>
          <t>SCM</t>
        </is>
      </c>
      <c r="N2619" s="33" t="n">
        <v>200</v>
      </c>
      <c r="O2619" s="33" t="inlineStr">
        <is>
          <t>Free</t>
        </is>
      </c>
      <c r="P2619" s="33" t="inlineStr">
        <is>
          <t>200 Free</t>
        </is>
      </c>
      <c r="Q2619" s="33" t="inlineStr">
        <is>
          <t>SCM_200_FREE</t>
        </is>
      </c>
      <c r="R2619" s="36" t="n">
        <v>109.23</v>
      </c>
      <c r="S2619" s="35">
        <f>IF(R2619="","",IF(R2619&gt;=60,INT(R2619/60)&amp;":"&amp;TEXT(MOD(R2619,60),"00.00"),TEXT(R2619,"0.00")))</f>
        <v/>
      </c>
      <c r="T2619" s="52">
        <f>IFERROR((G2619-INDEX('01_Swimmers'!$E$5:$E$22,MATCH(B2619,'01_Swimmers'!$A$5:$A$22,0)))/'00_Control'!$B$10,"")</f>
        <v/>
      </c>
      <c r="U2619" s="35">
        <f>IF(T2619="","",INT(T2619))</f>
        <v/>
      </c>
      <c r="V2619" s="33" t="inlineStr">
        <is>
          <t>NO</t>
        </is>
      </c>
      <c r="W2619" s="33" t="inlineStr">
        <is>
          <t>YES</t>
        </is>
      </c>
      <c r="X2619" s="33" t="inlineStr">
        <is>
          <t>NO</t>
        </is>
      </c>
      <c r="Y2619" s="33" t="n">
        <v>4</v>
      </c>
      <c r="Z2619" s="33" t="n">
        <v>3</v>
      </c>
      <c r="AA2619" s="33" t="inlineStr">
        <is>
          <t>1</t>
        </is>
      </c>
      <c r="AB2619" s="33" t="inlineStr">
        <is>
          <t>https://www.swimcloud.com/results/283519/event/2/?id=109489536#time109489536</t>
        </is>
      </c>
      <c r="AC2619" s="33" t="inlineStr">
        <is>
          <t>SwimCloud API v6 2026-10-08</t>
        </is>
      </c>
      <c r="AD2619" s="33" t="inlineStr">
        <is>
          <t>Tajus Juska|2023-11-11|SCM|200|Free|109.23|LTU Komandinė Taurė|PRE|False</t>
        </is>
      </c>
      <c r="AE2619" s="53">
        <f>G2619+L2619/1000+ROW()/1000000000</f>
        <v/>
      </c>
      <c r="AF2619" s="35">
        <f>IF(C2619&lt;&gt;"Grayson Coulter","",COUNTIFS($C$5:$C$2991,"Grayson Coulter",$Q$5:$Q$2991,Q2619,$AE$5:$AE$2991,"&lt;="&amp;AE2619,$R$5:$R$2991,"&lt;"&amp;R2619))</f>
        <v/>
      </c>
      <c r="AG2619" s="35">
        <f>IF(OR(C2619&lt;&gt;"Grayson Coulter",G2619&lt;'00_Control'!$B$7),"",--(AF2619&lt;5))</f>
        <v/>
      </c>
      <c r="AH2619" s="35">
        <f>IF(OR(C2619&lt;&gt;"Grayson Coulter",G2619&lt;'00_Control'!$B$7),"",--(AF2619&lt;10))</f>
        <v/>
      </c>
      <c r="AI2619" s="35">
        <f>IF(AND(C2619="Grayson Coulter",G2619&gt;='00_Control'!$B$7),"YES","NO")</f>
        <v/>
      </c>
      <c r="AJ2619" s="33" t="inlineStr">
        <is>
          <t>OK</t>
        </is>
      </c>
    </row>
    <row r="2620">
      <c r="A2620" s="33" t="inlineStr">
        <is>
          <t>SM002616</t>
        </is>
      </c>
      <c r="B2620" s="33" t="inlineStr">
        <is>
          <t>SW006</t>
        </is>
      </c>
      <c r="C2620" s="33" t="inlineStr">
        <is>
          <t>Tajus Juska</t>
        </is>
      </c>
      <c r="D2620" s="33" t="inlineStr">
        <is>
          <t>SwimCloud</t>
        </is>
      </c>
      <c r="E2620" s="33" t="inlineStr">
        <is>
          <t>2116196</t>
        </is>
      </c>
      <c r="F2620" s="33" t="inlineStr">
        <is>
          <t>109489540</t>
        </is>
      </c>
      <c r="G2620" s="51" t="n">
        <v>45241</v>
      </c>
      <c r="H2620" s="33" t="inlineStr">
        <is>
          <t>LTU Komandinė Taurė</t>
        </is>
      </c>
      <c r="I2620" s="33" t="inlineStr">
        <is>
          <t>283519</t>
        </is>
      </c>
      <c r="J2620" s="33" t="inlineStr"/>
      <c r="K2620" s="33" t="inlineStr">
        <is>
          <t>FIN</t>
        </is>
      </c>
      <c r="L2620" s="35">
        <f>IF(K2620="FIN",3,IF(OR(K2620="SEM",K2620="SEMI"),2,IF(OR(K2620="PRE",K2620="HEAT"),1,IF(V2620="YES",4,2))))</f>
        <v/>
      </c>
      <c r="M2620" s="33" t="inlineStr">
        <is>
          <t>SCM</t>
        </is>
      </c>
      <c r="N2620" s="33" t="n">
        <v>200</v>
      </c>
      <c r="O2620" s="33" t="inlineStr">
        <is>
          <t>Free</t>
        </is>
      </c>
      <c r="P2620" s="33" t="inlineStr">
        <is>
          <t>200 Free</t>
        </is>
      </c>
      <c r="Q2620" s="33" t="inlineStr">
        <is>
          <t>SCM_200_FREE</t>
        </is>
      </c>
      <c r="R2620" s="36" t="n">
        <v>108.47</v>
      </c>
      <c r="S2620" s="35">
        <f>IF(R2620="","",IF(R2620&gt;=60,INT(R2620/60)&amp;":"&amp;TEXT(MOD(R2620,60),"00.00"),TEXT(R2620,"0.00")))</f>
        <v/>
      </c>
      <c r="T2620" s="52">
        <f>IFERROR((G2620-INDEX('01_Swimmers'!$E$5:$E$22,MATCH(B2620,'01_Swimmers'!$A$5:$A$22,0)))/'00_Control'!$B$10,"")</f>
        <v/>
      </c>
      <c r="U2620" s="35">
        <f>IF(T2620="","",INT(T2620))</f>
        <v/>
      </c>
      <c r="V2620" s="33" t="inlineStr">
        <is>
          <t>NO</t>
        </is>
      </c>
      <c r="W2620" s="33" t="inlineStr">
        <is>
          <t>YES</t>
        </is>
      </c>
      <c r="X2620" s="33" t="inlineStr">
        <is>
          <t>NO</t>
        </is>
      </c>
      <c r="Y2620" s="33" t="n">
        <v>1</v>
      </c>
      <c r="Z2620" s="33" t="n">
        <v>4</v>
      </c>
      <c r="AA2620" s="33" t="inlineStr">
        <is>
          <t>2</t>
        </is>
      </c>
      <c r="AB2620" s="33" t="inlineStr">
        <is>
          <t>https://www.swimcloud.com/results/283519/event/2/?id=109489540#time109489540</t>
        </is>
      </c>
      <c r="AC2620" s="33" t="inlineStr">
        <is>
          <t>SwimCloud API v6 2026-10-08</t>
        </is>
      </c>
      <c r="AD2620" s="33" t="inlineStr">
        <is>
          <t>Tajus Juska|2023-11-11|SCM|200|Free|108.47|LTU Komandinė Taurė|FIN|False</t>
        </is>
      </c>
      <c r="AE2620" s="53">
        <f>G2620+L2620/1000+ROW()/1000000000</f>
        <v/>
      </c>
      <c r="AF2620" s="35">
        <f>IF(C2620&lt;&gt;"Grayson Coulter","",COUNTIFS($C$5:$C$2991,"Grayson Coulter",$Q$5:$Q$2991,Q2620,$AE$5:$AE$2991,"&lt;="&amp;AE2620,$R$5:$R$2991,"&lt;"&amp;R2620))</f>
        <v/>
      </c>
      <c r="AG2620" s="35">
        <f>IF(OR(C2620&lt;&gt;"Grayson Coulter",G2620&lt;'00_Control'!$B$7),"",--(AF2620&lt;5))</f>
        <v/>
      </c>
      <c r="AH2620" s="35">
        <f>IF(OR(C2620&lt;&gt;"Grayson Coulter",G2620&lt;'00_Control'!$B$7),"",--(AF2620&lt;10))</f>
        <v/>
      </c>
      <c r="AI2620" s="35">
        <f>IF(AND(C2620="Grayson Coulter",G2620&gt;='00_Control'!$B$7),"YES","NO")</f>
        <v/>
      </c>
      <c r="AJ2620" s="33" t="inlineStr">
        <is>
          <t>OK</t>
        </is>
      </c>
    </row>
    <row r="2621">
      <c r="A2621" s="33" t="inlineStr">
        <is>
          <t>SM002617</t>
        </is>
      </c>
      <c r="B2621" s="33" t="inlineStr">
        <is>
          <t>SW006</t>
        </is>
      </c>
      <c r="C2621" s="33" t="inlineStr">
        <is>
          <t>Tajus Juska</t>
        </is>
      </c>
      <c r="D2621" s="33" t="inlineStr">
        <is>
          <t>SwimCloud</t>
        </is>
      </c>
      <c r="E2621" s="33" t="inlineStr">
        <is>
          <t>2116196</t>
        </is>
      </c>
      <c r="F2621" s="33" t="inlineStr">
        <is>
          <t>121056740</t>
        </is>
      </c>
      <c r="G2621" s="51" t="n">
        <v>45344</v>
      </c>
      <c r="H2621" s="33" t="inlineStr">
        <is>
          <t>Lietuvos jaunimo plaukimo čempionatas</t>
        </is>
      </c>
      <c r="I2621" s="33" t="inlineStr">
        <is>
          <t>298814</t>
        </is>
      </c>
      <c r="J2621" s="33" t="inlineStr"/>
      <c r="K2621" s="33" t="inlineStr">
        <is>
          <t>PRE</t>
        </is>
      </c>
      <c r="L2621" s="35">
        <f>IF(K2621="FIN",3,IF(OR(K2621="SEM",K2621="SEMI"),2,IF(OR(K2621="PRE",K2621="HEAT"),1,IF(V2621="YES",4,2))))</f>
        <v/>
      </c>
      <c r="M2621" s="33" t="inlineStr">
        <is>
          <t>LCM</t>
        </is>
      </c>
      <c r="N2621" s="33" t="n">
        <v>100</v>
      </c>
      <c r="O2621" s="33" t="inlineStr">
        <is>
          <t>Fly</t>
        </is>
      </c>
      <c r="P2621" s="33" t="inlineStr">
        <is>
          <t>100 Fly</t>
        </is>
      </c>
      <c r="Q2621" s="33" t="inlineStr">
        <is>
          <t>LCM_100_FLY</t>
        </is>
      </c>
      <c r="R2621" s="36" t="n">
        <v>54.81</v>
      </c>
      <c r="S2621" s="35">
        <f>IF(R2621="","",IF(R2621&gt;=60,INT(R2621/60)&amp;":"&amp;TEXT(MOD(R2621,60),"00.00"),TEXT(R2621,"0.00")))</f>
        <v/>
      </c>
      <c r="T2621" s="52">
        <f>IFERROR((G2621-INDEX('01_Swimmers'!$E$5:$E$22,MATCH(B2621,'01_Swimmers'!$A$5:$A$22,0)))/'00_Control'!$B$10,"")</f>
        <v/>
      </c>
      <c r="U2621" s="35">
        <f>IF(T2621="","",INT(T2621))</f>
        <v/>
      </c>
      <c r="V2621" s="33" t="inlineStr">
        <is>
          <t>NO</t>
        </is>
      </c>
      <c r="W2621" s="33" t="inlineStr">
        <is>
          <t>YES</t>
        </is>
      </c>
      <c r="X2621" s="33" t="inlineStr">
        <is>
          <t>NO</t>
        </is>
      </c>
      <c r="Y2621" s="33" t="n">
        <v>3</v>
      </c>
      <c r="Z2621" s="33" t="n">
        <v>4</v>
      </c>
      <c r="AA2621" s="33" t="inlineStr">
        <is>
          <t>1</t>
        </is>
      </c>
      <c r="AB2621" s="33" t="inlineStr">
        <is>
          <t>https://www.swimcloud.com/results/298814/event/8/?id=121056740#time121056740</t>
        </is>
      </c>
      <c r="AC2621" s="33" t="inlineStr">
        <is>
          <t>SwimCloud API v6 2026-10-08</t>
        </is>
      </c>
      <c r="AD2621" s="33" t="inlineStr">
        <is>
          <t>Tajus Juska|2024-02-22|LCM|100|Fly|54.81|Lietuvos jaunimo plaukimo čempionatas|PRE|False</t>
        </is>
      </c>
      <c r="AE2621" s="53">
        <f>G2621+L2621/1000+ROW()/1000000000</f>
        <v/>
      </c>
      <c r="AF2621" s="35">
        <f>IF(C2621&lt;&gt;"Grayson Coulter","",COUNTIFS($C$5:$C$2991,"Grayson Coulter",$Q$5:$Q$2991,Q2621,$AE$5:$AE$2991,"&lt;="&amp;AE2621,$R$5:$R$2991,"&lt;"&amp;R2621))</f>
        <v/>
      </c>
      <c r="AG2621" s="35">
        <f>IF(OR(C2621&lt;&gt;"Grayson Coulter",G2621&lt;'00_Control'!$B$7),"",--(AF2621&lt;5))</f>
        <v/>
      </c>
      <c r="AH2621" s="35">
        <f>IF(OR(C2621&lt;&gt;"Grayson Coulter",G2621&lt;'00_Control'!$B$7),"",--(AF2621&lt;10))</f>
        <v/>
      </c>
      <c r="AI2621" s="35">
        <f>IF(AND(C2621="Grayson Coulter",G2621&gt;='00_Control'!$B$7),"YES","NO")</f>
        <v/>
      </c>
      <c r="AJ2621" s="33" t="inlineStr">
        <is>
          <t>OK</t>
        </is>
      </c>
    </row>
    <row r="2622">
      <c r="A2622" s="33" t="inlineStr">
        <is>
          <t>SM002618</t>
        </is>
      </c>
      <c r="B2622" s="33" t="inlineStr">
        <is>
          <t>SW006</t>
        </is>
      </c>
      <c r="C2622" s="33" t="inlineStr">
        <is>
          <t>Tajus Juska</t>
        </is>
      </c>
      <c r="D2622" s="33" t="inlineStr">
        <is>
          <t>SwimCloud</t>
        </is>
      </c>
      <c r="E2622" s="33" t="inlineStr">
        <is>
          <t>2116196</t>
        </is>
      </c>
      <c r="F2622" s="33" t="inlineStr">
        <is>
          <t>121056745</t>
        </is>
      </c>
      <c r="G2622" s="51" t="n">
        <v>45344</v>
      </c>
      <c r="H2622" s="33" t="inlineStr">
        <is>
          <t>Lietuvos jaunimo plaukimo čempionatas</t>
        </is>
      </c>
      <c r="I2622" s="33" t="inlineStr">
        <is>
          <t>298814</t>
        </is>
      </c>
      <c r="J2622" s="33" t="inlineStr"/>
      <c r="K2622" s="33" t="inlineStr">
        <is>
          <t>FIN</t>
        </is>
      </c>
      <c r="L2622" s="35">
        <f>IF(K2622="FIN",3,IF(OR(K2622="SEM",K2622="SEMI"),2,IF(OR(K2622="PRE",K2622="HEAT"),1,IF(V2622="YES",4,2))))</f>
        <v/>
      </c>
      <c r="M2622" s="33" t="inlineStr">
        <is>
          <t>LCM</t>
        </is>
      </c>
      <c r="N2622" s="33" t="n">
        <v>100</v>
      </c>
      <c r="O2622" s="33" t="inlineStr">
        <is>
          <t>Fly</t>
        </is>
      </c>
      <c r="P2622" s="33" t="inlineStr">
        <is>
          <t>100 Fly</t>
        </is>
      </c>
      <c r="Q2622" s="33" t="inlineStr">
        <is>
          <t>LCM_100_FLY</t>
        </is>
      </c>
      <c r="R2622" s="36" t="n">
        <v>54.12</v>
      </c>
      <c r="S2622" s="35">
        <f>IF(R2622="","",IF(R2622&gt;=60,INT(R2622/60)&amp;":"&amp;TEXT(MOD(R2622,60),"00.00"),TEXT(R2622,"0.00")))</f>
        <v/>
      </c>
      <c r="T2622" s="52">
        <f>IFERROR((G2622-INDEX('01_Swimmers'!$E$5:$E$22,MATCH(B2622,'01_Swimmers'!$A$5:$A$22,0)))/'00_Control'!$B$10,"")</f>
        <v/>
      </c>
      <c r="U2622" s="35">
        <f>IF(T2622="","",INT(T2622))</f>
        <v/>
      </c>
      <c r="V2622" s="33" t="inlineStr">
        <is>
          <t>NO</t>
        </is>
      </c>
      <c r="W2622" s="33" t="inlineStr">
        <is>
          <t>YES</t>
        </is>
      </c>
      <c r="X2622" s="33" t="inlineStr">
        <is>
          <t>NO</t>
        </is>
      </c>
      <c r="Y2622" s="33" t="n">
        <v>2</v>
      </c>
      <c r="Z2622" s="33" t="n">
        <v>4</v>
      </c>
      <c r="AA2622" s="33" t="inlineStr">
        <is>
          <t>1</t>
        </is>
      </c>
      <c r="AB2622" s="33" t="inlineStr">
        <is>
          <t>https://www.swimcloud.com/results/298814/event/8/?id=121056745#time121056745</t>
        </is>
      </c>
      <c r="AC2622" s="33" t="inlineStr">
        <is>
          <t>SwimCloud API v6 2026-10-08</t>
        </is>
      </c>
      <c r="AD2622" s="33" t="inlineStr">
        <is>
          <t>Tajus Juska|2024-02-22|LCM|100|Fly|54.12|Lietuvos jaunimo plaukimo čempionatas|FIN|False</t>
        </is>
      </c>
      <c r="AE2622" s="53">
        <f>G2622+L2622/1000+ROW()/1000000000</f>
        <v/>
      </c>
      <c r="AF2622" s="35">
        <f>IF(C2622&lt;&gt;"Grayson Coulter","",COUNTIFS($C$5:$C$2991,"Grayson Coulter",$Q$5:$Q$2991,Q2622,$AE$5:$AE$2991,"&lt;="&amp;AE2622,$R$5:$R$2991,"&lt;"&amp;R2622))</f>
        <v/>
      </c>
      <c r="AG2622" s="35">
        <f>IF(OR(C2622&lt;&gt;"Grayson Coulter",G2622&lt;'00_Control'!$B$7),"",--(AF2622&lt;5))</f>
        <v/>
      </c>
      <c r="AH2622" s="35">
        <f>IF(OR(C2622&lt;&gt;"Grayson Coulter",G2622&lt;'00_Control'!$B$7),"",--(AF2622&lt;10))</f>
        <v/>
      </c>
      <c r="AI2622" s="35">
        <f>IF(AND(C2622="Grayson Coulter",G2622&gt;='00_Control'!$B$7),"YES","NO")</f>
        <v/>
      </c>
      <c r="AJ2622" s="33" t="inlineStr">
        <is>
          <t>OK</t>
        </is>
      </c>
    </row>
    <row r="2623">
      <c r="A2623" s="33" t="inlineStr">
        <is>
          <t>SM002619</t>
        </is>
      </c>
      <c r="B2623" s="33" t="inlineStr">
        <is>
          <t>SW006</t>
        </is>
      </c>
      <c r="C2623" s="33" t="inlineStr">
        <is>
          <t>Tajus Juska</t>
        </is>
      </c>
      <c r="D2623" s="33" t="inlineStr">
        <is>
          <t>SwimCloud</t>
        </is>
      </c>
      <c r="E2623" s="33" t="inlineStr">
        <is>
          <t>2116196</t>
        </is>
      </c>
      <c r="F2623" s="33" t="inlineStr">
        <is>
          <t>121056743</t>
        </is>
      </c>
      <c r="G2623" s="51" t="n">
        <v>45346</v>
      </c>
      <c r="H2623" s="33" t="inlineStr">
        <is>
          <t>Lietuvos jaunimo plaukimo čempionatas</t>
        </is>
      </c>
      <c r="I2623" s="33" t="inlineStr">
        <is>
          <t>298814</t>
        </is>
      </c>
      <c r="J2623" s="33" t="inlineStr"/>
      <c r="K2623" s="33" t="inlineStr">
        <is>
          <t>PRE</t>
        </is>
      </c>
      <c r="L2623" s="35">
        <f>IF(K2623="FIN",3,IF(OR(K2623="SEM",K2623="SEMI"),2,IF(OR(K2623="PRE",K2623="HEAT"),1,IF(V2623="YES",4,2))))</f>
        <v/>
      </c>
      <c r="M2623" s="33" t="inlineStr">
        <is>
          <t>LCM</t>
        </is>
      </c>
      <c r="N2623" s="33" t="n">
        <v>100</v>
      </c>
      <c r="O2623" s="33" t="inlineStr">
        <is>
          <t>Free</t>
        </is>
      </c>
      <c r="P2623" s="33" t="inlineStr">
        <is>
          <t>100 Free</t>
        </is>
      </c>
      <c r="Q2623" s="33" t="inlineStr">
        <is>
          <t>LCM_100_FREE</t>
        </is>
      </c>
      <c r="R2623" s="36" t="n">
        <v>52.19</v>
      </c>
      <c r="S2623" s="35">
        <f>IF(R2623="","",IF(R2623&gt;=60,INT(R2623/60)&amp;":"&amp;TEXT(MOD(R2623,60),"00.00"),TEXT(R2623,"0.00")))</f>
        <v/>
      </c>
      <c r="T2623" s="52">
        <f>IFERROR((G2623-INDEX('01_Swimmers'!$E$5:$E$22,MATCH(B2623,'01_Swimmers'!$A$5:$A$22,0)))/'00_Control'!$B$10,"")</f>
        <v/>
      </c>
      <c r="U2623" s="35">
        <f>IF(T2623="","",INT(T2623))</f>
        <v/>
      </c>
      <c r="V2623" s="33" t="inlineStr">
        <is>
          <t>NO</t>
        </is>
      </c>
      <c r="W2623" s="33" t="inlineStr">
        <is>
          <t>YES</t>
        </is>
      </c>
      <c r="X2623" s="33" t="inlineStr">
        <is>
          <t>NO</t>
        </is>
      </c>
      <c r="Y2623" s="33" t="n">
        <v>7</v>
      </c>
      <c r="Z2623" s="33" t="n">
        <v>4</v>
      </c>
      <c r="AA2623" s="33" t="inlineStr">
        <is>
          <t>2</t>
        </is>
      </c>
      <c r="AB2623" s="33" t="inlineStr">
        <is>
          <t>https://www.swimcloud.com/results/298814/event/30/?id=121056743#time121056743</t>
        </is>
      </c>
      <c r="AC2623" s="33" t="inlineStr">
        <is>
          <t>SwimCloud API v6 2026-10-08</t>
        </is>
      </c>
      <c r="AD2623" s="33" t="inlineStr">
        <is>
          <t>Tajus Juska|2024-02-24|LCM|100|Free|52.19|Lietuvos jaunimo plaukimo čempionatas|PRE|False</t>
        </is>
      </c>
      <c r="AE2623" s="53">
        <f>G2623+L2623/1000+ROW()/1000000000</f>
        <v/>
      </c>
      <c r="AF2623" s="35">
        <f>IF(C2623&lt;&gt;"Grayson Coulter","",COUNTIFS($C$5:$C$2991,"Grayson Coulter",$Q$5:$Q$2991,Q2623,$AE$5:$AE$2991,"&lt;="&amp;AE2623,$R$5:$R$2991,"&lt;"&amp;R2623))</f>
        <v/>
      </c>
      <c r="AG2623" s="35">
        <f>IF(OR(C2623&lt;&gt;"Grayson Coulter",G2623&lt;'00_Control'!$B$7),"",--(AF2623&lt;5))</f>
        <v/>
      </c>
      <c r="AH2623" s="35">
        <f>IF(OR(C2623&lt;&gt;"Grayson Coulter",G2623&lt;'00_Control'!$B$7),"",--(AF2623&lt;10))</f>
        <v/>
      </c>
      <c r="AI2623" s="35">
        <f>IF(AND(C2623="Grayson Coulter",G2623&gt;='00_Control'!$B$7),"YES","NO")</f>
        <v/>
      </c>
      <c r="AJ2623" s="33" t="inlineStr">
        <is>
          <t>OK</t>
        </is>
      </c>
    </row>
    <row r="2624">
      <c r="A2624" s="33" t="inlineStr">
        <is>
          <t>SM002620</t>
        </is>
      </c>
      <c r="B2624" s="33" t="inlineStr">
        <is>
          <t>SW006</t>
        </is>
      </c>
      <c r="C2624" s="33" t="inlineStr">
        <is>
          <t>Tajus Juska</t>
        </is>
      </c>
      <c r="D2624" s="33" t="inlineStr">
        <is>
          <t>SwimCloud</t>
        </is>
      </c>
      <c r="E2624" s="33" t="inlineStr">
        <is>
          <t>2116196</t>
        </is>
      </c>
      <c r="F2624" s="33" t="inlineStr">
        <is>
          <t>121056747</t>
        </is>
      </c>
      <c r="G2624" s="51" t="n">
        <v>45346</v>
      </c>
      <c r="H2624" s="33" t="inlineStr">
        <is>
          <t>Lietuvos jaunimo plaukimo čempionatas</t>
        </is>
      </c>
      <c r="I2624" s="33" t="inlineStr">
        <is>
          <t>298814</t>
        </is>
      </c>
      <c r="J2624" s="33" t="inlineStr"/>
      <c r="K2624" s="33" t="inlineStr">
        <is>
          <t>FIN</t>
        </is>
      </c>
      <c r="L2624" s="35">
        <f>IF(K2624="FIN",3,IF(OR(K2624="SEM",K2624="SEMI"),2,IF(OR(K2624="PRE",K2624="HEAT"),1,IF(V2624="YES",4,2))))</f>
        <v/>
      </c>
      <c r="M2624" s="33" t="inlineStr">
        <is>
          <t>LCM</t>
        </is>
      </c>
      <c r="N2624" s="33" t="n">
        <v>100</v>
      </c>
      <c r="O2624" s="33" t="inlineStr">
        <is>
          <t>Free</t>
        </is>
      </c>
      <c r="P2624" s="33" t="inlineStr">
        <is>
          <t>100 Free</t>
        </is>
      </c>
      <c r="Q2624" s="33" t="inlineStr">
        <is>
          <t>LCM_100_FREE</t>
        </is>
      </c>
      <c r="R2624" s="36" t="n">
        <v>50.09</v>
      </c>
      <c r="S2624" s="35">
        <f>IF(R2624="","",IF(R2624&gt;=60,INT(R2624/60)&amp;":"&amp;TEXT(MOD(R2624,60),"00.00"),TEXT(R2624,"0.00")))</f>
        <v/>
      </c>
      <c r="T2624" s="52">
        <f>IFERROR((G2624-INDEX('01_Swimmers'!$E$5:$E$22,MATCH(B2624,'01_Swimmers'!$A$5:$A$22,0)))/'00_Control'!$B$10,"")</f>
        <v/>
      </c>
      <c r="U2624" s="35">
        <f>IF(T2624="","",INT(T2624))</f>
        <v/>
      </c>
      <c r="V2624" s="33" t="inlineStr">
        <is>
          <t>NO</t>
        </is>
      </c>
      <c r="W2624" s="33" t="inlineStr">
        <is>
          <t>YES</t>
        </is>
      </c>
      <c r="X2624" s="33" t="inlineStr">
        <is>
          <t>NO</t>
        </is>
      </c>
      <c r="Y2624" s="33" t="n">
        <v>2</v>
      </c>
      <c r="Z2624" s="33" t="n">
        <v>5</v>
      </c>
      <c r="AA2624" s="33" t="inlineStr">
        <is>
          <t>1</t>
        </is>
      </c>
      <c r="AB2624" s="33" t="inlineStr">
        <is>
          <t>https://www.swimcloud.com/results/298814/event/30/?id=121056747#time121056747</t>
        </is>
      </c>
      <c r="AC2624" s="33" t="inlineStr">
        <is>
          <t>SwimCloud API v6 2026-10-08</t>
        </is>
      </c>
      <c r="AD2624" s="33" t="inlineStr">
        <is>
          <t>Tajus Juska|2024-02-24|LCM|100|Free|50.09|Lietuvos jaunimo plaukimo čempionatas|FIN|False</t>
        </is>
      </c>
      <c r="AE2624" s="53">
        <f>G2624+L2624/1000+ROW()/1000000000</f>
        <v/>
      </c>
      <c r="AF2624" s="35">
        <f>IF(C2624&lt;&gt;"Grayson Coulter","",COUNTIFS($C$5:$C$2991,"Grayson Coulter",$Q$5:$Q$2991,Q2624,$AE$5:$AE$2991,"&lt;="&amp;AE2624,$R$5:$R$2991,"&lt;"&amp;R2624))</f>
        <v/>
      </c>
      <c r="AG2624" s="35">
        <f>IF(OR(C2624&lt;&gt;"Grayson Coulter",G2624&lt;'00_Control'!$B$7),"",--(AF2624&lt;5))</f>
        <v/>
      </c>
      <c r="AH2624" s="35">
        <f>IF(OR(C2624&lt;&gt;"Grayson Coulter",G2624&lt;'00_Control'!$B$7),"",--(AF2624&lt;10))</f>
        <v/>
      </c>
      <c r="AI2624" s="35">
        <f>IF(AND(C2624="Grayson Coulter",G2624&gt;='00_Control'!$B$7),"YES","NO")</f>
        <v/>
      </c>
      <c r="AJ2624" s="33" t="inlineStr">
        <is>
          <t>OK</t>
        </is>
      </c>
    </row>
    <row r="2625">
      <c r="A2625" s="33" t="inlineStr">
        <is>
          <t>SM002621</t>
        </is>
      </c>
      <c r="B2625" s="33" t="inlineStr">
        <is>
          <t>SW006</t>
        </is>
      </c>
      <c r="C2625" s="33" t="inlineStr">
        <is>
          <t>Tajus Juska</t>
        </is>
      </c>
      <c r="D2625" s="33" t="inlineStr">
        <is>
          <t>SwimCloud</t>
        </is>
      </c>
      <c r="E2625" s="33" t="inlineStr">
        <is>
          <t>2116196</t>
        </is>
      </c>
      <c r="F2625" s="33" t="inlineStr">
        <is>
          <t>124390411</t>
        </is>
      </c>
      <c r="G2625" s="51" t="n">
        <v>45388</v>
      </c>
      <c r="H2625" s="33" t="inlineStr">
        <is>
          <t>Malmsten Swim Open</t>
        </is>
      </c>
      <c r="I2625" s="33" t="inlineStr">
        <is>
          <t>301755</t>
        </is>
      </c>
      <c r="J2625" s="33" t="inlineStr"/>
      <c r="K2625" s="33" t="inlineStr">
        <is>
          <t>PRE</t>
        </is>
      </c>
      <c r="L2625" s="35">
        <f>IF(K2625="FIN",3,IF(OR(K2625="SEM",K2625="SEMI"),2,IF(OR(K2625="PRE",K2625="HEAT"),1,IF(V2625="YES",4,2))))</f>
        <v/>
      </c>
      <c r="M2625" s="33" t="inlineStr">
        <is>
          <t>LCM</t>
        </is>
      </c>
      <c r="N2625" s="33" t="n">
        <v>200</v>
      </c>
      <c r="O2625" s="33" t="inlineStr">
        <is>
          <t>Free</t>
        </is>
      </c>
      <c r="P2625" s="33" t="inlineStr">
        <is>
          <t>200 Free</t>
        </is>
      </c>
      <c r="Q2625" s="33" t="inlineStr">
        <is>
          <t>LCM_200_FREE</t>
        </is>
      </c>
      <c r="R2625" s="36" t="n">
        <v>110.36</v>
      </c>
      <c r="S2625" s="35">
        <f>IF(R2625="","",IF(R2625&gt;=60,INT(R2625/60)&amp;":"&amp;TEXT(MOD(R2625,60),"00.00"),TEXT(R2625,"0.00")))</f>
        <v/>
      </c>
      <c r="T2625" s="52">
        <f>IFERROR((G2625-INDEX('01_Swimmers'!$E$5:$E$22,MATCH(B2625,'01_Swimmers'!$A$5:$A$22,0)))/'00_Control'!$B$10,"")</f>
        <v/>
      </c>
      <c r="U2625" s="35">
        <f>IF(T2625="","",INT(T2625))</f>
        <v/>
      </c>
      <c r="V2625" s="33" t="inlineStr">
        <is>
          <t>NO</t>
        </is>
      </c>
      <c r="W2625" s="33" t="inlineStr">
        <is>
          <t>YES</t>
        </is>
      </c>
      <c r="X2625" s="33" t="inlineStr">
        <is>
          <t>NO</t>
        </is>
      </c>
      <c r="Y2625" s="33" t="n">
        <v>6</v>
      </c>
      <c r="Z2625" s="33" t="n">
        <v>5</v>
      </c>
      <c r="AA2625" s="33" t="inlineStr">
        <is>
          <t>2</t>
        </is>
      </c>
      <c r="AB2625" s="33" t="inlineStr">
        <is>
          <t>https://www.swimcloud.com/results/301755/event/9/?id=124390411#time124390411</t>
        </is>
      </c>
      <c r="AC2625" s="33" t="inlineStr">
        <is>
          <t>SwimCloud API v6 2026-10-08</t>
        </is>
      </c>
      <c r="AD2625" s="33" t="inlineStr">
        <is>
          <t>Tajus Juska|2024-04-06|LCM|200|Free|110.36|Malmsten Swim Open|PRE|False</t>
        </is>
      </c>
      <c r="AE2625" s="53">
        <f>G2625+L2625/1000+ROW()/1000000000</f>
        <v/>
      </c>
      <c r="AF2625" s="35">
        <f>IF(C2625&lt;&gt;"Grayson Coulter","",COUNTIFS($C$5:$C$2991,"Grayson Coulter",$Q$5:$Q$2991,Q2625,$AE$5:$AE$2991,"&lt;="&amp;AE2625,$R$5:$R$2991,"&lt;"&amp;R2625))</f>
        <v/>
      </c>
      <c r="AG2625" s="35">
        <f>IF(OR(C2625&lt;&gt;"Grayson Coulter",G2625&lt;'00_Control'!$B$7),"",--(AF2625&lt;5))</f>
        <v/>
      </c>
      <c r="AH2625" s="35">
        <f>IF(OR(C2625&lt;&gt;"Grayson Coulter",G2625&lt;'00_Control'!$B$7),"",--(AF2625&lt;10))</f>
        <v/>
      </c>
      <c r="AI2625" s="35">
        <f>IF(AND(C2625="Grayson Coulter",G2625&gt;='00_Control'!$B$7),"YES","NO")</f>
        <v/>
      </c>
      <c r="AJ2625" s="33" t="inlineStr">
        <is>
          <t>OK</t>
        </is>
      </c>
    </row>
    <row r="2626">
      <c r="A2626" s="33" t="inlineStr">
        <is>
          <t>SM002622</t>
        </is>
      </c>
      <c r="B2626" s="33" t="inlineStr">
        <is>
          <t>SW006</t>
        </is>
      </c>
      <c r="C2626" s="33" t="inlineStr">
        <is>
          <t>Tajus Juska</t>
        </is>
      </c>
      <c r="D2626" s="33" t="inlineStr">
        <is>
          <t>SwimCloud</t>
        </is>
      </c>
      <c r="E2626" s="33" t="inlineStr">
        <is>
          <t>2116196</t>
        </is>
      </c>
      <c r="F2626" s="33" t="inlineStr">
        <is>
          <t>124390412</t>
        </is>
      </c>
      <c r="G2626" s="51" t="n">
        <v>45388</v>
      </c>
      <c r="H2626" s="33" t="inlineStr">
        <is>
          <t>Malmsten Swim Open</t>
        </is>
      </c>
      <c r="I2626" s="33" t="inlineStr">
        <is>
          <t>301755</t>
        </is>
      </c>
      <c r="J2626" s="33" t="inlineStr"/>
      <c r="K2626" s="33" t="inlineStr">
        <is>
          <t>FIN</t>
        </is>
      </c>
      <c r="L2626" s="35">
        <f>IF(K2626="FIN",3,IF(OR(K2626="SEM",K2626="SEMI"),2,IF(OR(K2626="PRE",K2626="HEAT"),1,IF(V2626="YES",4,2))))</f>
        <v/>
      </c>
      <c r="M2626" s="33" t="inlineStr">
        <is>
          <t>LCM</t>
        </is>
      </c>
      <c r="N2626" s="33" t="n">
        <v>200</v>
      </c>
      <c r="O2626" s="33" t="inlineStr">
        <is>
          <t>Free</t>
        </is>
      </c>
      <c r="P2626" s="33" t="inlineStr">
        <is>
          <t>200 Free</t>
        </is>
      </c>
      <c r="Q2626" s="33" t="inlineStr">
        <is>
          <t>LCM_200_FREE</t>
        </is>
      </c>
      <c r="R2626" s="36" t="n">
        <v>109.48</v>
      </c>
      <c r="S2626" s="35">
        <f>IF(R2626="","",IF(R2626&gt;=60,INT(R2626/60)&amp;":"&amp;TEXT(MOD(R2626,60),"00.00"),TEXT(R2626,"0.00")))</f>
        <v/>
      </c>
      <c r="T2626" s="52">
        <f>IFERROR((G2626-INDEX('01_Swimmers'!$E$5:$E$22,MATCH(B2626,'01_Swimmers'!$A$5:$A$22,0)))/'00_Control'!$B$10,"")</f>
        <v/>
      </c>
      <c r="U2626" s="35">
        <f>IF(T2626="","",INT(T2626))</f>
        <v/>
      </c>
      <c r="V2626" s="33" t="inlineStr">
        <is>
          <t>NO</t>
        </is>
      </c>
      <c r="W2626" s="33" t="inlineStr">
        <is>
          <t>YES</t>
        </is>
      </c>
      <c r="X2626" s="33" t="inlineStr">
        <is>
          <t>NO</t>
        </is>
      </c>
      <c r="Y2626" s="33" t="n">
        <v>3</v>
      </c>
      <c r="Z2626" s="33" t="n">
        <v>5</v>
      </c>
      <c r="AA2626" s="33" t="inlineStr">
        <is>
          <t>3</t>
        </is>
      </c>
      <c r="AB2626" s="33" t="inlineStr">
        <is>
          <t>https://www.swimcloud.com/results/301755/event/9/?id=124390412#time124390412</t>
        </is>
      </c>
      <c r="AC2626" s="33" t="inlineStr">
        <is>
          <t>SwimCloud API v6 2026-10-08</t>
        </is>
      </c>
      <c r="AD2626" s="33" t="inlineStr">
        <is>
          <t>Tajus Juska|2024-04-06|LCM|200|Free|109.48|Malmsten Swim Open|FIN|False</t>
        </is>
      </c>
      <c r="AE2626" s="53">
        <f>G2626+L2626/1000+ROW()/1000000000</f>
        <v/>
      </c>
      <c r="AF2626" s="35">
        <f>IF(C2626&lt;&gt;"Grayson Coulter","",COUNTIFS($C$5:$C$2991,"Grayson Coulter",$Q$5:$Q$2991,Q2626,$AE$5:$AE$2991,"&lt;="&amp;AE2626,$R$5:$R$2991,"&lt;"&amp;R2626))</f>
        <v/>
      </c>
      <c r="AG2626" s="35">
        <f>IF(OR(C2626&lt;&gt;"Grayson Coulter",G2626&lt;'00_Control'!$B$7),"",--(AF2626&lt;5))</f>
        <v/>
      </c>
      <c r="AH2626" s="35">
        <f>IF(OR(C2626&lt;&gt;"Grayson Coulter",G2626&lt;'00_Control'!$B$7),"",--(AF2626&lt;10))</f>
        <v/>
      </c>
      <c r="AI2626" s="35">
        <f>IF(AND(C2626="Grayson Coulter",G2626&gt;='00_Control'!$B$7),"YES","NO")</f>
        <v/>
      </c>
      <c r="AJ2626" s="33" t="inlineStr">
        <is>
          <t>OK</t>
        </is>
      </c>
    </row>
    <row r="2627">
      <c r="A2627" s="33" t="inlineStr">
        <is>
          <t>SM002623</t>
        </is>
      </c>
      <c r="B2627" s="33" t="inlineStr">
        <is>
          <t>SW006</t>
        </is>
      </c>
      <c r="C2627" s="33" t="inlineStr">
        <is>
          <t>Tajus Juska</t>
        </is>
      </c>
      <c r="D2627" s="33" t="inlineStr">
        <is>
          <t>SwimCloud</t>
        </is>
      </c>
      <c r="E2627" s="33" t="inlineStr">
        <is>
          <t>2116196</t>
        </is>
      </c>
      <c r="F2627" s="33" t="inlineStr">
        <is>
          <t>124390413</t>
        </is>
      </c>
      <c r="G2627" s="51" t="n">
        <v>45389</v>
      </c>
      <c r="H2627" s="33" t="inlineStr">
        <is>
          <t>Malmsten Swim Open</t>
        </is>
      </c>
      <c r="I2627" s="33" t="inlineStr">
        <is>
          <t>301755</t>
        </is>
      </c>
      <c r="J2627" s="33" t="inlineStr"/>
      <c r="K2627" s="33" t="inlineStr">
        <is>
          <t>PRE</t>
        </is>
      </c>
      <c r="L2627" s="35">
        <f>IF(K2627="FIN",3,IF(OR(K2627="SEM",K2627="SEMI"),2,IF(OR(K2627="PRE",K2627="HEAT"),1,IF(V2627="YES",4,2))))</f>
        <v/>
      </c>
      <c r="M2627" s="33" t="inlineStr">
        <is>
          <t>LCM</t>
        </is>
      </c>
      <c r="N2627" s="33" t="n">
        <v>100</v>
      </c>
      <c r="O2627" s="33" t="inlineStr">
        <is>
          <t>Free</t>
        </is>
      </c>
      <c r="P2627" s="33" t="inlineStr">
        <is>
          <t>100 Free</t>
        </is>
      </c>
      <c r="Q2627" s="33" t="inlineStr">
        <is>
          <t>LCM_100_FREE</t>
        </is>
      </c>
      <c r="R2627" s="36" t="n">
        <v>50.79</v>
      </c>
      <c r="S2627" s="35">
        <f>IF(R2627="","",IF(R2627&gt;=60,INT(R2627/60)&amp;":"&amp;TEXT(MOD(R2627,60),"00.00"),TEXT(R2627,"0.00")))</f>
        <v/>
      </c>
      <c r="T2627" s="52">
        <f>IFERROR((G2627-INDEX('01_Swimmers'!$E$5:$E$22,MATCH(B2627,'01_Swimmers'!$A$5:$A$22,0)))/'00_Control'!$B$10,"")</f>
        <v/>
      </c>
      <c r="U2627" s="35">
        <f>IF(T2627="","",INT(T2627))</f>
        <v/>
      </c>
      <c r="V2627" s="33" t="inlineStr">
        <is>
          <t>NO</t>
        </is>
      </c>
      <c r="W2627" s="33" t="inlineStr">
        <is>
          <t>YES</t>
        </is>
      </c>
      <c r="X2627" s="33" t="inlineStr">
        <is>
          <t>NO</t>
        </is>
      </c>
      <c r="Y2627" s="33" t="n">
        <v>5</v>
      </c>
      <c r="Z2627" s="33" t="n">
        <v>3</v>
      </c>
      <c r="AA2627" s="33" t="inlineStr">
        <is>
          <t>9</t>
        </is>
      </c>
      <c r="AB2627" s="33" t="inlineStr">
        <is>
          <t>https://www.swimcloud.com/results/301755/event/19/?id=124390413#time124390413</t>
        </is>
      </c>
      <c r="AC2627" s="33" t="inlineStr">
        <is>
          <t>SwimCloud API v6 2026-10-08</t>
        </is>
      </c>
      <c r="AD2627" s="33" t="inlineStr">
        <is>
          <t>Tajus Juska|2024-04-07|LCM|100|Free|50.79|Malmsten Swim Open|PRE|False</t>
        </is>
      </c>
      <c r="AE2627" s="53">
        <f>G2627+L2627/1000+ROW()/1000000000</f>
        <v/>
      </c>
      <c r="AF2627" s="35">
        <f>IF(C2627&lt;&gt;"Grayson Coulter","",COUNTIFS($C$5:$C$2991,"Grayson Coulter",$Q$5:$Q$2991,Q2627,$AE$5:$AE$2991,"&lt;="&amp;AE2627,$R$5:$R$2991,"&lt;"&amp;R2627))</f>
        <v/>
      </c>
      <c r="AG2627" s="35">
        <f>IF(OR(C2627&lt;&gt;"Grayson Coulter",G2627&lt;'00_Control'!$B$7),"",--(AF2627&lt;5))</f>
        <v/>
      </c>
      <c r="AH2627" s="35">
        <f>IF(OR(C2627&lt;&gt;"Grayson Coulter",G2627&lt;'00_Control'!$B$7),"",--(AF2627&lt;10))</f>
        <v/>
      </c>
      <c r="AI2627" s="35">
        <f>IF(AND(C2627="Grayson Coulter",G2627&gt;='00_Control'!$B$7),"YES","NO")</f>
        <v/>
      </c>
      <c r="AJ2627" s="33" t="inlineStr">
        <is>
          <t>OK</t>
        </is>
      </c>
    </row>
    <row r="2628">
      <c r="A2628" s="33" t="inlineStr">
        <is>
          <t>SM002624</t>
        </is>
      </c>
      <c r="B2628" s="33" t="inlineStr">
        <is>
          <t>SW006</t>
        </is>
      </c>
      <c r="C2628" s="33" t="inlineStr">
        <is>
          <t>Tajus Juska</t>
        </is>
      </c>
      <c r="D2628" s="33" t="inlineStr">
        <is>
          <t>SwimCloud</t>
        </is>
      </c>
      <c r="E2628" s="33" t="inlineStr">
        <is>
          <t>2116196</t>
        </is>
      </c>
      <c r="F2628" s="33" t="inlineStr">
        <is>
          <t>124390414</t>
        </is>
      </c>
      <c r="G2628" s="51" t="n">
        <v>45389</v>
      </c>
      <c r="H2628" s="33" t="inlineStr">
        <is>
          <t>Malmsten Swim Open</t>
        </is>
      </c>
      <c r="I2628" s="33" t="inlineStr">
        <is>
          <t>301755</t>
        </is>
      </c>
      <c r="J2628" s="33" t="inlineStr"/>
      <c r="K2628" s="33" t="inlineStr">
        <is>
          <t>FIN</t>
        </is>
      </c>
      <c r="L2628" s="35">
        <f>IF(K2628="FIN",3,IF(OR(K2628="SEM",K2628="SEMI"),2,IF(OR(K2628="PRE",K2628="HEAT"),1,IF(V2628="YES",4,2))))</f>
        <v/>
      </c>
      <c r="M2628" s="33" t="inlineStr">
        <is>
          <t>LCM</t>
        </is>
      </c>
      <c r="N2628" s="33" t="n">
        <v>100</v>
      </c>
      <c r="O2628" s="33" t="inlineStr">
        <is>
          <t>Free</t>
        </is>
      </c>
      <c r="P2628" s="33" t="inlineStr">
        <is>
          <t>100 Free</t>
        </is>
      </c>
      <c r="Q2628" s="33" t="inlineStr">
        <is>
          <t>LCM_100_FREE</t>
        </is>
      </c>
      <c r="R2628" s="36" t="n">
        <v>49.72</v>
      </c>
      <c r="S2628" s="35">
        <f>IF(R2628="","",IF(R2628&gt;=60,INT(R2628/60)&amp;":"&amp;TEXT(MOD(R2628,60),"00.00"),TEXT(R2628,"0.00")))</f>
        <v/>
      </c>
      <c r="T2628" s="52">
        <f>IFERROR((G2628-INDEX('01_Swimmers'!$E$5:$E$22,MATCH(B2628,'01_Swimmers'!$A$5:$A$22,0)))/'00_Control'!$B$10,"")</f>
        <v/>
      </c>
      <c r="U2628" s="35">
        <f>IF(T2628="","",INT(T2628))</f>
        <v/>
      </c>
      <c r="V2628" s="33" t="inlineStr">
        <is>
          <t>NO</t>
        </is>
      </c>
      <c r="W2628" s="33" t="inlineStr">
        <is>
          <t>YES</t>
        </is>
      </c>
      <c r="X2628" s="33" t="inlineStr">
        <is>
          <t>NO</t>
        </is>
      </c>
      <c r="Y2628" s="33" t="n">
        <v>3</v>
      </c>
      <c r="Z2628" s="33" t="n">
        <v>8</v>
      </c>
      <c r="AA2628" s="33" t="inlineStr">
        <is>
          <t>4</t>
        </is>
      </c>
      <c r="AB2628" s="33" t="inlineStr">
        <is>
          <t>https://www.swimcloud.com/results/301755/event/19/?id=124390414#time124390414</t>
        </is>
      </c>
      <c r="AC2628" s="33" t="inlineStr">
        <is>
          <t>SwimCloud API v6 2026-10-08</t>
        </is>
      </c>
      <c r="AD2628" s="33" t="inlineStr">
        <is>
          <t>Tajus Juska|2024-04-07|LCM|100|Free|49.72|Malmsten Swim Open|FIN|False</t>
        </is>
      </c>
      <c r="AE2628" s="53">
        <f>G2628+L2628/1000+ROW()/1000000000</f>
        <v/>
      </c>
      <c r="AF2628" s="35">
        <f>IF(C2628&lt;&gt;"Grayson Coulter","",COUNTIFS($C$5:$C$2991,"Grayson Coulter",$Q$5:$Q$2991,Q2628,$AE$5:$AE$2991,"&lt;="&amp;AE2628,$R$5:$R$2991,"&lt;"&amp;R2628))</f>
        <v/>
      </c>
      <c r="AG2628" s="35">
        <f>IF(OR(C2628&lt;&gt;"Grayson Coulter",G2628&lt;'00_Control'!$B$7),"",--(AF2628&lt;5))</f>
        <v/>
      </c>
      <c r="AH2628" s="35">
        <f>IF(OR(C2628&lt;&gt;"Grayson Coulter",G2628&lt;'00_Control'!$B$7),"",--(AF2628&lt;10))</f>
        <v/>
      </c>
      <c r="AI2628" s="35">
        <f>IF(AND(C2628="Grayson Coulter",G2628&gt;='00_Control'!$B$7),"YES","NO")</f>
        <v/>
      </c>
      <c r="AJ2628" s="33" t="inlineStr">
        <is>
          <t>OK</t>
        </is>
      </c>
    </row>
    <row r="2629">
      <c r="A2629" s="33" t="inlineStr">
        <is>
          <t>SM002625</t>
        </is>
      </c>
      <c r="B2629" s="33" t="inlineStr">
        <is>
          <t>SW006</t>
        </is>
      </c>
      <c r="C2629" s="33" t="inlineStr">
        <is>
          <t>Tajus Juska</t>
        </is>
      </c>
      <c r="D2629" s="33" t="inlineStr">
        <is>
          <t>SwimCloud</t>
        </is>
      </c>
      <c r="E2629" s="33" t="inlineStr">
        <is>
          <t>2116196</t>
        </is>
      </c>
      <c r="F2629" s="33" t="inlineStr">
        <is>
          <t>129512279</t>
        </is>
      </c>
      <c r="G2629" s="51" t="n">
        <v>45479</v>
      </c>
      <c r="H2629" s="33" t="inlineStr">
        <is>
          <t>European Aquatics Junior Championships</t>
        </is>
      </c>
      <c r="I2629" s="33" t="inlineStr">
        <is>
          <t>308107</t>
        </is>
      </c>
      <c r="J2629" s="33" t="inlineStr"/>
      <c r="K2629" s="33" t="inlineStr">
        <is>
          <t>PRE</t>
        </is>
      </c>
      <c r="L2629" s="35">
        <f>IF(K2629="FIN",3,IF(OR(K2629="SEM",K2629="SEMI"),2,IF(OR(K2629="PRE",K2629="HEAT"),1,IF(V2629="YES",4,2))))</f>
        <v/>
      </c>
      <c r="M2629" s="33" t="inlineStr">
        <is>
          <t>LCM</t>
        </is>
      </c>
      <c r="N2629" s="33" t="n">
        <v>100</v>
      </c>
      <c r="O2629" s="33" t="inlineStr">
        <is>
          <t>Free</t>
        </is>
      </c>
      <c r="P2629" s="33" t="inlineStr">
        <is>
          <t>100 Free</t>
        </is>
      </c>
      <c r="Q2629" s="33" t="inlineStr">
        <is>
          <t>LCM_100_FREE</t>
        </is>
      </c>
      <c r="R2629" s="36" t="n">
        <v>50.21</v>
      </c>
      <c r="S2629" s="35">
        <f>IF(R2629="","",IF(R2629&gt;=60,INT(R2629/60)&amp;":"&amp;TEXT(MOD(R2629,60),"00.00"),TEXT(R2629,"0.00")))</f>
        <v/>
      </c>
      <c r="T2629" s="52">
        <f>IFERROR((G2629-INDEX('01_Swimmers'!$E$5:$E$22,MATCH(B2629,'01_Swimmers'!$A$5:$A$22,0)))/'00_Control'!$B$10,"")</f>
        <v/>
      </c>
      <c r="U2629" s="35">
        <f>IF(T2629="","",INT(T2629))</f>
        <v/>
      </c>
      <c r="V2629" s="33" t="inlineStr">
        <is>
          <t>NO</t>
        </is>
      </c>
      <c r="W2629" s="33" t="inlineStr">
        <is>
          <t>YES</t>
        </is>
      </c>
      <c r="X2629" s="33" t="inlineStr">
        <is>
          <t>NO</t>
        </is>
      </c>
      <c r="Y2629" s="33" t="n">
        <v>7</v>
      </c>
      <c r="Z2629" s="33" t="n">
        <v>3</v>
      </c>
      <c r="AA2629" s="33" t="inlineStr">
        <is>
          <t>8</t>
        </is>
      </c>
      <c r="AB2629" s="33" t="inlineStr">
        <is>
          <t>https://www.swimcloud.com/results/308107/event/30/?id=129512279#time129512279</t>
        </is>
      </c>
      <c r="AC2629" s="33" t="inlineStr">
        <is>
          <t>SwimCloud API v6 2026-10-08</t>
        </is>
      </c>
      <c r="AD2629" s="33" t="inlineStr">
        <is>
          <t>Tajus Juska|2024-07-06|LCM|100|Free|50.21|European Aquatics Junior Championships|PRE|False</t>
        </is>
      </c>
      <c r="AE2629" s="53">
        <f>G2629+L2629/1000+ROW()/1000000000</f>
        <v/>
      </c>
      <c r="AF2629" s="35">
        <f>IF(C2629&lt;&gt;"Grayson Coulter","",COUNTIFS($C$5:$C$2991,"Grayson Coulter",$Q$5:$Q$2991,Q2629,$AE$5:$AE$2991,"&lt;="&amp;AE2629,$R$5:$R$2991,"&lt;"&amp;R2629))</f>
        <v/>
      </c>
      <c r="AG2629" s="35">
        <f>IF(OR(C2629&lt;&gt;"Grayson Coulter",G2629&lt;'00_Control'!$B$7),"",--(AF2629&lt;5))</f>
        <v/>
      </c>
      <c r="AH2629" s="35">
        <f>IF(OR(C2629&lt;&gt;"Grayson Coulter",G2629&lt;'00_Control'!$B$7),"",--(AF2629&lt;10))</f>
        <v/>
      </c>
      <c r="AI2629" s="35">
        <f>IF(AND(C2629="Grayson Coulter",G2629&gt;='00_Control'!$B$7),"YES","NO")</f>
        <v/>
      </c>
      <c r="AJ2629" s="33" t="inlineStr">
        <is>
          <t>OK</t>
        </is>
      </c>
    </row>
    <row r="2630">
      <c r="A2630" s="33" t="inlineStr">
        <is>
          <t>SM002626</t>
        </is>
      </c>
      <c r="B2630" s="33" t="inlineStr">
        <is>
          <t>SW006</t>
        </is>
      </c>
      <c r="C2630" s="33" t="inlineStr">
        <is>
          <t>Tajus Juska</t>
        </is>
      </c>
      <c r="D2630" s="33" t="inlineStr">
        <is>
          <t>SwimCloud</t>
        </is>
      </c>
      <c r="E2630" s="33" t="inlineStr">
        <is>
          <t>2116196</t>
        </is>
      </c>
      <c r="F2630" s="33" t="inlineStr">
        <is>
          <t>129512280</t>
        </is>
      </c>
      <c r="G2630" s="51" t="n">
        <v>45479</v>
      </c>
      <c r="H2630" s="33" t="inlineStr">
        <is>
          <t>European Aquatics Junior Championships</t>
        </is>
      </c>
      <c r="I2630" s="33" t="inlineStr">
        <is>
          <t>308107</t>
        </is>
      </c>
      <c r="J2630" s="33" t="inlineStr"/>
      <c r="K2630" s="33" t="inlineStr">
        <is>
          <t>SEM</t>
        </is>
      </c>
      <c r="L2630" s="35">
        <f>IF(K2630="FIN",3,IF(OR(K2630="SEM",K2630="SEMI"),2,IF(OR(K2630="PRE",K2630="HEAT"),1,IF(V2630="YES",4,2))))</f>
        <v/>
      </c>
      <c r="M2630" s="33" t="inlineStr">
        <is>
          <t>LCM</t>
        </is>
      </c>
      <c r="N2630" s="33" t="n">
        <v>100</v>
      </c>
      <c r="O2630" s="33" t="inlineStr">
        <is>
          <t>Free</t>
        </is>
      </c>
      <c r="P2630" s="33" t="inlineStr">
        <is>
          <t>100 Free</t>
        </is>
      </c>
      <c r="Q2630" s="33" t="inlineStr">
        <is>
          <t>LCM_100_FREE</t>
        </is>
      </c>
      <c r="R2630" s="36" t="n">
        <v>49.55</v>
      </c>
      <c r="S2630" s="35">
        <f>IF(R2630="","",IF(R2630&gt;=60,INT(R2630/60)&amp;":"&amp;TEXT(MOD(R2630,60),"00.00"),TEXT(R2630,"0.00")))</f>
        <v/>
      </c>
      <c r="T2630" s="52">
        <f>IFERROR((G2630-INDEX('01_Swimmers'!$E$5:$E$22,MATCH(B2630,'01_Swimmers'!$A$5:$A$22,0)))/'00_Control'!$B$10,"")</f>
        <v/>
      </c>
      <c r="U2630" s="35">
        <f>IF(T2630="","",INT(T2630))</f>
        <v/>
      </c>
      <c r="V2630" s="33" t="inlineStr">
        <is>
          <t>NO</t>
        </is>
      </c>
      <c r="W2630" s="33" t="inlineStr">
        <is>
          <t>YES</t>
        </is>
      </c>
      <c r="X2630" s="33" t="inlineStr">
        <is>
          <t>NO</t>
        </is>
      </c>
      <c r="Y2630" s="33" t="n">
        <v>1</v>
      </c>
      <c r="Z2630" s="33" t="n">
        <v>6</v>
      </c>
      <c r="AA2630" s="33" t="inlineStr">
        <is>
          <t>7</t>
        </is>
      </c>
      <c r="AB2630" s="33" t="inlineStr">
        <is>
          <t>https://www.swimcloud.com/results/308107/event/30/?id=129512280#time129512280</t>
        </is>
      </c>
      <c r="AC2630" s="33" t="inlineStr">
        <is>
          <t>SwimCloud API v6 2026-10-08</t>
        </is>
      </c>
      <c r="AD2630" s="33" t="inlineStr">
        <is>
          <t>Tajus Juska|2024-07-06|LCM|100|Free|49.55|European Aquatics Junior Championships|SEM|False</t>
        </is>
      </c>
      <c r="AE2630" s="53">
        <f>G2630+L2630/1000+ROW()/1000000000</f>
        <v/>
      </c>
      <c r="AF2630" s="35">
        <f>IF(C2630&lt;&gt;"Grayson Coulter","",COUNTIFS($C$5:$C$2991,"Grayson Coulter",$Q$5:$Q$2991,Q2630,$AE$5:$AE$2991,"&lt;="&amp;AE2630,$R$5:$R$2991,"&lt;"&amp;R2630))</f>
        <v/>
      </c>
      <c r="AG2630" s="35">
        <f>IF(OR(C2630&lt;&gt;"Grayson Coulter",G2630&lt;'00_Control'!$B$7),"",--(AF2630&lt;5))</f>
        <v/>
      </c>
      <c r="AH2630" s="35">
        <f>IF(OR(C2630&lt;&gt;"Grayson Coulter",G2630&lt;'00_Control'!$B$7),"",--(AF2630&lt;10))</f>
        <v/>
      </c>
      <c r="AI2630" s="35">
        <f>IF(AND(C2630="Grayson Coulter",G2630&gt;='00_Control'!$B$7),"YES","NO")</f>
        <v/>
      </c>
      <c r="AJ2630" s="33" t="inlineStr">
        <is>
          <t>OK</t>
        </is>
      </c>
    </row>
    <row r="2631">
      <c r="A2631" s="33" t="inlineStr">
        <is>
          <t>SM002627</t>
        </is>
      </c>
      <c r="B2631" s="33" t="inlineStr">
        <is>
          <t>SW006</t>
        </is>
      </c>
      <c r="C2631" s="33" t="inlineStr">
        <is>
          <t>Tajus Juska</t>
        </is>
      </c>
      <c r="D2631" s="33" t="inlineStr">
        <is>
          <t>SwimCloud</t>
        </is>
      </c>
      <c r="E2631" s="33" t="inlineStr">
        <is>
          <t>2116196</t>
        </is>
      </c>
      <c r="F2631" s="33" t="inlineStr">
        <is>
          <t>129512278</t>
        </is>
      </c>
      <c r="G2631" s="51" t="n">
        <v>45480</v>
      </c>
      <c r="H2631" s="33" t="inlineStr">
        <is>
          <t>European Aquatics Junior Championships</t>
        </is>
      </c>
      <c r="I2631" s="33" t="inlineStr">
        <is>
          <t>308107</t>
        </is>
      </c>
      <c r="J2631" s="33" t="inlineStr"/>
      <c r="K2631" s="33" t="inlineStr">
        <is>
          <t>FIN</t>
        </is>
      </c>
      <c r="L2631" s="35">
        <f>IF(K2631="FIN",3,IF(OR(K2631="SEM",K2631="SEMI"),2,IF(OR(K2631="PRE",K2631="HEAT"),1,IF(V2631="YES",4,2))))</f>
        <v/>
      </c>
      <c r="M2631" s="33" t="inlineStr">
        <is>
          <t>LCM</t>
        </is>
      </c>
      <c r="N2631" s="33" t="n">
        <v>100</v>
      </c>
      <c r="O2631" s="33" t="inlineStr">
        <is>
          <t>Free</t>
        </is>
      </c>
      <c r="P2631" s="33" t="inlineStr">
        <is>
          <t>100 Free</t>
        </is>
      </c>
      <c r="Q2631" s="33" t="inlineStr">
        <is>
          <t>LCM_100_FREE</t>
        </is>
      </c>
      <c r="R2631" s="36" t="n">
        <v>48.74</v>
      </c>
      <c r="S2631" s="35">
        <f>IF(R2631="","",IF(R2631&gt;=60,INT(R2631/60)&amp;":"&amp;TEXT(MOD(R2631,60),"00.00"),TEXT(R2631,"0.00")))</f>
        <v/>
      </c>
      <c r="T2631" s="52">
        <f>IFERROR((G2631-INDEX('01_Swimmers'!$E$5:$E$22,MATCH(B2631,'01_Swimmers'!$A$5:$A$22,0)))/'00_Control'!$B$10,"")</f>
        <v/>
      </c>
      <c r="U2631" s="35">
        <f>IF(T2631="","",INT(T2631))</f>
        <v/>
      </c>
      <c r="V2631" s="33" t="inlineStr">
        <is>
          <t>NO</t>
        </is>
      </c>
      <c r="W2631" s="33" t="inlineStr">
        <is>
          <t>YES</t>
        </is>
      </c>
      <c r="X2631" s="33" t="inlineStr">
        <is>
          <t>NO</t>
        </is>
      </c>
      <c r="Y2631" s="33" t="n">
        <v>1</v>
      </c>
      <c r="Z2631" s="33" t="n">
        <v>1</v>
      </c>
      <c r="AA2631" s="33" t="inlineStr">
        <is>
          <t>1</t>
        </is>
      </c>
      <c r="AB2631" s="33" t="inlineStr">
        <is>
          <t>https://www.swimcloud.com/results/308107/event/30/?id=129512278#time129512278</t>
        </is>
      </c>
      <c r="AC2631" s="33" t="inlineStr">
        <is>
          <t>SwimCloud API v6 2026-10-08</t>
        </is>
      </c>
      <c r="AD2631" s="33" t="inlineStr">
        <is>
          <t>Tajus Juska|2024-07-07|LCM|100|Free|48.74|European Aquatics Junior Championships|FIN|False</t>
        </is>
      </c>
      <c r="AE2631" s="53">
        <f>G2631+L2631/1000+ROW()/1000000000</f>
        <v/>
      </c>
      <c r="AF2631" s="35">
        <f>IF(C2631&lt;&gt;"Grayson Coulter","",COUNTIFS($C$5:$C$2991,"Grayson Coulter",$Q$5:$Q$2991,Q2631,$AE$5:$AE$2991,"&lt;="&amp;AE2631,$R$5:$R$2991,"&lt;"&amp;R2631))</f>
        <v/>
      </c>
      <c r="AG2631" s="35">
        <f>IF(OR(C2631&lt;&gt;"Grayson Coulter",G2631&lt;'00_Control'!$B$7),"",--(AF2631&lt;5))</f>
        <v/>
      </c>
      <c r="AH2631" s="35">
        <f>IF(OR(C2631&lt;&gt;"Grayson Coulter",G2631&lt;'00_Control'!$B$7),"",--(AF2631&lt;10))</f>
        <v/>
      </c>
      <c r="AI2631" s="35">
        <f>IF(AND(C2631="Grayson Coulter",G2631&gt;='00_Control'!$B$7),"YES","NO")</f>
        <v/>
      </c>
      <c r="AJ2631" s="33" t="inlineStr">
        <is>
          <t>OK</t>
        </is>
      </c>
    </row>
    <row r="2632">
      <c r="A2632" s="33" t="inlineStr">
        <is>
          <t>SM002628</t>
        </is>
      </c>
      <c r="B2632" s="33" t="inlineStr">
        <is>
          <t>SW006</t>
        </is>
      </c>
      <c r="C2632" s="33" t="inlineStr">
        <is>
          <t>Tajus Juska</t>
        </is>
      </c>
      <c r="D2632" s="33" t="inlineStr">
        <is>
          <t>SwimCloud</t>
        </is>
      </c>
      <c r="E2632" s="33" t="inlineStr">
        <is>
          <t>2116196</t>
        </is>
      </c>
      <c r="F2632" s="33" t="inlineStr">
        <is>
          <t>150263896</t>
        </is>
      </c>
      <c r="G2632" s="51" t="n">
        <v>45751</v>
      </c>
      <c r="H2632" s="33" t="inlineStr">
        <is>
          <t>Akvile Lietuvos plaukimo cempionatas</t>
        </is>
      </c>
      <c r="I2632" s="33" t="inlineStr">
        <is>
          <t>341698</t>
        </is>
      </c>
      <c r="J2632" s="33" t="inlineStr"/>
      <c r="K2632" s="33" t="inlineStr">
        <is>
          <t>PRE</t>
        </is>
      </c>
      <c r="L2632" s="35">
        <f>IF(K2632="FIN",3,IF(OR(K2632="SEM",K2632="SEMI"),2,IF(OR(K2632="PRE",K2632="HEAT"),1,IF(V2632="YES",4,2))))</f>
        <v/>
      </c>
      <c r="M2632" s="33" t="inlineStr">
        <is>
          <t>LCM</t>
        </is>
      </c>
      <c r="N2632" s="33" t="n">
        <v>200</v>
      </c>
      <c r="O2632" s="33" t="inlineStr">
        <is>
          <t>Free</t>
        </is>
      </c>
      <c r="P2632" s="33" t="inlineStr">
        <is>
          <t>200 Free</t>
        </is>
      </c>
      <c r="Q2632" s="33" t="inlineStr">
        <is>
          <t>LCM_200_FREE</t>
        </is>
      </c>
      <c r="R2632" s="36" t="n">
        <v>115.56</v>
      </c>
      <c r="S2632" s="35">
        <f>IF(R2632="","",IF(R2632&gt;=60,INT(R2632/60)&amp;":"&amp;TEXT(MOD(R2632,60),"00.00"),TEXT(R2632,"0.00")))</f>
        <v/>
      </c>
      <c r="T2632" s="52">
        <f>IFERROR((G2632-INDEX('01_Swimmers'!$E$5:$E$22,MATCH(B2632,'01_Swimmers'!$A$5:$A$22,0)))/'00_Control'!$B$10,"")</f>
        <v/>
      </c>
      <c r="U2632" s="35">
        <f>IF(T2632="","",INT(T2632))</f>
        <v/>
      </c>
      <c r="V2632" s="33" t="inlineStr">
        <is>
          <t>NO</t>
        </is>
      </c>
      <c r="W2632" s="33" t="inlineStr">
        <is>
          <t>YES</t>
        </is>
      </c>
      <c r="X2632" s="33" t="inlineStr">
        <is>
          <t>NO</t>
        </is>
      </c>
      <c r="Y2632" s="33" t="n">
        <v>7</v>
      </c>
      <c r="Z2632" s="33" t="n">
        <v>4</v>
      </c>
      <c r="AA2632" s="33" t="inlineStr">
        <is>
          <t>6</t>
        </is>
      </c>
      <c r="AB2632" s="33" t="inlineStr">
        <is>
          <t>https://www.swimcloud.com/results/341698/event/13/?id=150263896#time150263896</t>
        </is>
      </c>
      <c r="AC2632" s="33" t="inlineStr">
        <is>
          <t>SwimCloud API v6 2026-10-08</t>
        </is>
      </c>
      <c r="AD2632" s="33" t="inlineStr">
        <is>
          <t>Tajus Juska|2025-04-04|LCM|200|Free|115.56|Akvile Lietuvos plaukimo cempionatas|PRE|False</t>
        </is>
      </c>
      <c r="AE2632" s="53">
        <f>G2632+L2632/1000+ROW()/1000000000</f>
        <v/>
      </c>
      <c r="AF2632" s="35">
        <f>IF(C2632&lt;&gt;"Grayson Coulter","",COUNTIFS($C$5:$C$2991,"Grayson Coulter",$Q$5:$Q$2991,Q2632,$AE$5:$AE$2991,"&lt;="&amp;AE2632,$R$5:$R$2991,"&lt;"&amp;R2632))</f>
        <v/>
      </c>
      <c r="AG2632" s="35">
        <f>IF(OR(C2632&lt;&gt;"Grayson Coulter",G2632&lt;'00_Control'!$B$7),"",--(AF2632&lt;5))</f>
        <v/>
      </c>
      <c r="AH2632" s="35">
        <f>IF(OR(C2632&lt;&gt;"Grayson Coulter",G2632&lt;'00_Control'!$B$7),"",--(AF2632&lt;10))</f>
        <v/>
      </c>
      <c r="AI2632" s="35">
        <f>IF(AND(C2632="Grayson Coulter",G2632&gt;='00_Control'!$B$7),"YES","NO")</f>
        <v/>
      </c>
      <c r="AJ2632" s="33" t="inlineStr">
        <is>
          <t>OK</t>
        </is>
      </c>
    </row>
    <row r="2633">
      <c r="A2633" s="33" t="inlineStr">
        <is>
          <t>SM002629</t>
        </is>
      </c>
      <c r="B2633" s="33" t="inlineStr">
        <is>
          <t>SW006</t>
        </is>
      </c>
      <c r="C2633" s="33" t="inlineStr">
        <is>
          <t>Tajus Juska</t>
        </is>
      </c>
      <c r="D2633" s="33" t="inlineStr">
        <is>
          <t>SwimCloud</t>
        </is>
      </c>
      <c r="E2633" s="33" t="inlineStr">
        <is>
          <t>2116196</t>
        </is>
      </c>
      <c r="F2633" s="33" t="inlineStr">
        <is>
          <t>150263901</t>
        </is>
      </c>
      <c r="G2633" s="51" t="n">
        <v>45751</v>
      </c>
      <c r="H2633" s="33" t="inlineStr">
        <is>
          <t>Akvile Lietuvos plaukimo cempionatas</t>
        </is>
      </c>
      <c r="I2633" s="33" t="inlineStr">
        <is>
          <t>341698</t>
        </is>
      </c>
      <c r="J2633" s="33" t="inlineStr"/>
      <c r="K2633" s="33" t="inlineStr">
        <is>
          <t>FIN</t>
        </is>
      </c>
      <c r="L2633" s="35">
        <f>IF(K2633="FIN",3,IF(OR(K2633="SEM",K2633="SEMI"),2,IF(OR(K2633="PRE",K2633="HEAT"),1,IF(V2633="YES",4,2))))</f>
        <v/>
      </c>
      <c r="M2633" s="33" t="inlineStr">
        <is>
          <t>LCM</t>
        </is>
      </c>
      <c r="N2633" s="33" t="n">
        <v>200</v>
      </c>
      <c r="O2633" s="33" t="inlineStr">
        <is>
          <t>Free</t>
        </is>
      </c>
      <c r="P2633" s="33" t="inlineStr">
        <is>
          <t>200 Free</t>
        </is>
      </c>
      <c r="Q2633" s="33" t="inlineStr">
        <is>
          <t>LCM_200_FREE</t>
        </is>
      </c>
      <c r="R2633" s="36" t="n">
        <v>108.16</v>
      </c>
      <c r="S2633" s="35">
        <f>IF(R2633="","",IF(R2633&gt;=60,INT(R2633/60)&amp;":"&amp;TEXT(MOD(R2633,60),"00.00"),TEXT(R2633,"0.00")))</f>
        <v/>
      </c>
      <c r="T2633" s="52">
        <f>IFERROR((G2633-INDEX('01_Swimmers'!$E$5:$E$22,MATCH(B2633,'01_Swimmers'!$A$5:$A$22,0)))/'00_Control'!$B$10,"")</f>
        <v/>
      </c>
      <c r="U2633" s="35">
        <f>IF(T2633="","",INT(T2633))</f>
        <v/>
      </c>
      <c r="V2633" s="33" t="inlineStr">
        <is>
          <t>NO</t>
        </is>
      </c>
      <c r="W2633" s="33" t="inlineStr">
        <is>
          <t>YES</t>
        </is>
      </c>
      <c r="X2633" s="33" t="inlineStr">
        <is>
          <t>NO</t>
        </is>
      </c>
      <c r="Y2633" s="33" t="n">
        <v>2</v>
      </c>
      <c r="Z2633" s="33" t="n">
        <v>7</v>
      </c>
      <c r="AA2633" s="33" t="inlineStr">
        <is>
          <t>3</t>
        </is>
      </c>
      <c r="AB2633" s="33" t="inlineStr">
        <is>
          <t>https://www.swimcloud.com/results/341698/event/13/?id=150263901#time150263901</t>
        </is>
      </c>
      <c r="AC2633" s="33" t="inlineStr">
        <is>
          <t>SwimCloud API v6 2026-10-08</t>
        </is>
      </c>
      <c r="AD2633" s="33" t="inlineStr">
        <is>
          <t>Tajus Juska|2025-04-04|LCM|200|Free|108.16|Akvile Lietuvos plaukimo cempionatas|FIN|False</t>
        </is>
      </c>
      <c r="AE2633" s="53">
        <f>G2633+L2633/1000+ROW()/1000000000</f>
        <v/>
      </c>
      <c r="AF2633" s="35">
        <f>IF(C2633&lt;&gt;"Grayson Coulter","",COUNTIFS($C$5:$C$2991,"Grayson Coulter",$Q$5:$Q$2991,Q2633,$AE$5:$AE$2991,"&lt;="&amp;AE2633,$R$5:$R$2991,"&lt;"&amp;R2633))</f>
        <v/>
      </c>
      <c r="AG2633" s="35">
        <f>IF(OR(C2633&lt;&gt;"Grayson Coulter",G2633&lt;'00_Control'!$B$7),"",--(AF2633&lt;5))</f>
        <v/>
      </c>
      <c r="AH2633" s="35">
        <f>IF(OR(C2633&lt;&gt;"Grayson Coulter",G2633&lt;'00_Control'!$B$7),"",--(AF2633&lt;10))</f>
        <v/>
      </c>
      <c r="AI2633" s="35">
        <f>IF(AND(C2633="Grayson Coulter",G2633&gt;='00_Control'!$B$7),"YES","NO")</f>
        <v/>
      </c>
      <c r="AJ2633" s="33" t="inlineStr">
        <is>
          <t>OK</t>
        </is>
      </c>
    </row>
    <row r="2634">
      <c r="A2634" s="33" t="inlineStr">
        <is>
          <t>SM002630</t>
        </is>
      </c>
      <c r="B2634" s="33" t="inlineStr">
        <is>
          <t>SW006</t>
        </is>
      </c>
      <c r="C2634" s="33" t="inlineStr">
        <is>
          <t>Tajus Juska</t>
        </is>
      </c>
      <c r="D2634" s="33" t="inlineStr">
        <is>
          <t>SwimCloud</t>
        </is>
      </c>
      <c r="E2634" s="33" t="inlineStr">
        <is>
          <t>2116196</t>
        </is>
      </c>
      <c r="F2634" s="33" t="inlineStr">
        <is>
          <t>150263898</t>
        </is>
      </c>
      <c r="G2634" s="51" t="n">
        <v>45752</v>
      </c>
      <c r="H2634" s="33" t="inlineStr">
        <is>
          <t>Akvile Lietuvos plaukimo cempionatas</t>
        </is>
      </c>
      <c r="I2634" s="33" t="inlineStr">
        <is>
          <t>341698</t>
        </is>
      </c>
      <c r="J2634" s="33" t="inlineStr"/>
      <c r="K2634" s="33" t="inlineStr">
        <is>
          <t>PRE</t>
        </is>
      </c>
      <c r="L2634" s="35">
        <f>IF(K2634="FIN",3,IF(OR(K2634="SEM",K2634="SEMI"),2,IF(OR(K2634="PRE",K2634="HEAT"),1,IF(V2634="YES",4,2))))</f>
        <v/>
      </c>
      <c r="M2634" s="33" t="inlineStr">
        <is>
          <t>LCM</t>
        </is>
      </c>
      <c r="N2634" s="33" t="n">
        <v>100</v>
      </c>
      <c r="O2634" s="33" t="inlineStr">
        <is>
          <t>Free</t>
        </is>
      </c>
      <c r="P2634" s="33" t="inlineStr">
        <is>
          <t>100 Free</t>
        </is>
      </c>
      <c r="Q2634" s="33" t="inlineStr">
        <is>
          <t>LCM_100_FREE</t>
        </is>
      </c>
      <c r="R2634" s="36" t="n">
        <v>51.47</v>
      </c>
      <c r="S2634" s="35">
        <f>IF(R2634="","",IF(R2634&gt;=60,INT(R2634/60)&amp;":"&amp;TEXT(MOD(R2634,60),"00.00"),TEXT(R2634,"0.00")))</f>
        <v/>
      </c>
      <c r="T2634" s="52">
        <f>IFERROR((G2634-INDEX('01_Swimmers'!$E$5:$E$22,MATCH(B2634,'01_Swimmers'!$A$5:$A$22,0)))/'00_Control'!$B$10,"")</f>
        <v/>
      </c>
      <c r="U2634" s="35">
        <f>IF(T2634="","",INT(T2634))</f>
        <v/>
      </c>
      <c r="V2634" s="33" t="inlineStr">
        <is>
          <t>NO</t>
        </is>
      </c>
      <c r="W2634" s="33" t="inlineStr">
        <is>
          <t>YES</t>
        </is>
      </c>
      <c r="X2634" s="33" t="inlineStr">
        <is>
          <t>NO</t>
        </is>
      </c>
      <c r="Y2634" s="33" t="n">
        <v>10</v>
      </c>
      <c r="Z2634" s="33" t="n">
        <v>4</v>
      </c>
      <c r="AA2634" s="33" t="inlineStr">
        <is>
          <t>7</t>
        </is>
      </c>
      <c r="AB2634" s="33" t="inlineStr">
        <is>
          <t>https://www.swimcloud.com/results/341698/event/22/?id=150263898#time150263898</t>
        </is>
      </c>
      <c r="AC2634" s="33" t="inlineStr">
        <is>
          <t>SwimCloud API v6 2026-10-08</t>
        </is>
      </c>
      <c r="AD2634" s="33" t="inlineStr">
        <is>
          <t>Tajus Juska|2025-04-05|LCM|100|Free|51.47|Akvile Lietuvos plaukimo cempionatas|PRE|False</t>
        </is>
      </c>
      <c r="AE2634" s="53">
        <f>G2634+L2634/1000+ROW()/1000000000</f>
        <v/>
      </c>
      <c r="AF2634" s="35">
        <f>IF(C2634&lt;&gt;"Grayson Coulter","",COUNTIFS($C$5:$C$2991,"Grayson Coulter",$Q$5:$Q$2991,Q2634,$AE$5:$AE$2991,"&lt;="&amp;AE2634,$R$5:$R$2991,"&lt;"&amp;R2634))</f>
        <v/>
      </c>
      <c r="AG2634" s="35">
        <f>IF(OR(C2634&lt;&gt;"Grayson Coulter",G2634&lt;'00_Control'!$B$7),"",--(AF2634&lt;5))</f>
        <v/>
      </c>
      <c r="AH2634" s="35">
        <f>IF(OR(C2634&lt;&gt;"Grayson Coulter",G2634&lt;'00_Control'!$B$7),"",--(AF2634&lt;10))</f>
        <v/>
      </c>
      <c r="AI2634" s="35">
        <f>IF(AND(C2634="Grayson Coulter",G2634&gt;='00_Control'!$B$7),"YES","NO")</f>
        <v/>
      </c>
      <c r="AJ2634" s="33" t="inlineStr">
        <is>
          <t>OK</t>
        </is>
      </c>
    </row>
    <row r="2635">
      <c r="A2635" s="33" t="inlineStr">
        <is>
          <t>SM002631</t>
        </is>
      </c>
      <c r="B2635" s="33" t="inlineStr">
        <is>
          <t>SW006</t>
        </is>
      </c>
      <c r="C2635" s="33" t="inlineStr">
        <is>
          <t>Tajus Juska</t>
        </is>
      </c>
      <c r="D2635" s="33" t="inlineStr">
        <is>
          <t>SwimCloud</t>
        </is>
      </c>
      <c r="E2635" s="33" t="inlineStr">
        <is>
          <t>2116196</t>
        </is>
      </c>
      <c r="F2635" s="33" t="inlineStr">
        <is>
          <t>150263903</t>
        </is>
      </c>
      <c r="G2635" s="51" t="n">
        <v>45752</v>
      </c>
      <c r="H2635" s="33" t="inlineStr">
        <is>
          <t>Akvile Lietuvos plaukimo cempionatas</t>
        </is>
      </c>
      <c r="I2635" s="33" t="inlineStr">
        <is>
          <t>341698</t>
        </is>
      </c>
      <c r="J2635" s="33" t="inlineStr"/>
      <c r="K2635" s="33" t="inlineStr">
        <is>
          <t>FIN</t>
        </is>
      </c>
      <c r="L2635" s="35">
        <f>IF(K2635="FIN",3,IF(OR(K2635="SEM",K2635="SEMI"),2,IF(OR(K2635="PRE",K2635="HEAT"),1,IF(V2635="YES",4,2))))</f>
        <v/>
      </c>
      <c r="M2635" s="33" t="inlineStr">
        <is>
          <t>LCM</t>
        </is>
      </c>
      <c r="N2635" s="33" t="n">
        <v>100</v>
      </c>
      <c r="O2635" s="33" t="inlineStr">
        <is>
          <t>Free</t>
        </is>
      </c>
      <c r="P2635" s="33" t="inlineStr">
        <is>
          <t>100 Free</t>
        </is>
      </c>
      <c r="Q2635" s="33" t="inlineStr">
        <is>
          <t>LCM_100_FREE</t>
        </is>
      </c>
      <c r="R2635" s="36" t="n">
        <v>48.91</v>
      </c>
      <c r="S2635" s="35">
        <f>IF(R2635="","",IF(R2635&gt;=60,INT(R2635/60)&amp;":"&amp;TEXT(MOD(R2635,60),"00.00"),TEXT(R2635,"0.00")))</f>
        <v/>
      </c>
      <c r="T2635" s="52">
        <f>IFERROR((G2635-INDEX('01_Swimmers'!$E$5:$E$22,MATCH(B2635,'01_Swimmers'!$A$5:$A$22,0)))/'00_Control'!$B$10,"")</f>
        <v/>
      </c>
      <c r="U2635" s="35">
        <f>IF(T2635="","",INT(T2635))</f>
        <v/>
      </c>
      <c r="V2635" s="33" t="inlineStr">
        <is>
          <t>NO</t>
        </is>
      </c>
      <c r="W2635" s="33" t="inlineStr">
        <is>
          <t>YES</t>
        </is>
      </c>
      <c r="X2635" s="33" t="inlineStr">
        <is>
          <t>NO</t>
        </is>
      </c>
      <c r="Y2635" s="33" t="n">
        <v>2</v>
      </c>
      <c r="Z2635" s="33" t="n">
        <v>1</v>
      </c>
      <c r="AA2635" s="33" t="inlineStr">
        <is>
          <t>1</t>
        </is>
      </c>
      <c r="AB2635" s="33" t="inlineStr">
        <is>
          <t>https://www.swimcloud.com/results/341698/event/22/?id=150263903#time150263903</t>
        </is>
      </c>
      <c r="AC2635" s="33" t="inlineStr">
        <is>
          <t>SwimCloud API v6 2026-10-08</t>
        </is>
      </c>
      <c r="AD2635" s="33" t="inlineStr">
        <is>
          <t>Tajus Juska|2025-04-05|LCM|100|Free|48.91|Akvile Lietuvos plaukimo cempionatas|FIN|False</t>
        </is>
      </c>
      <c r="AE2635" s="53">
        <f>G2635+L2635/1000+ROW()/1000000000</f>
        <v/>
      </c>
      <c r="AF2635" s="35">
        <f>IF(C2635&lt;&gt;"Grayson Coulter","",COUNTIFS($C$5:$C$2991,"Grayson Coulter",$Q$5:$Q$2991,Q2635,$AE$5:$AE$2991,"&lt;="&amp;AE2635,$R$5:$R$2991,"&lt;"&amp;R2635))</f>
        <v/>
      </c>
      <c r="AG2635" s="35">
        <f>IF(OR(C2635&lt;&gt;"Grayson Coulter",G2635&lt;'00_Control'!$B$7),"",--(AF2635&lt;5))</f>
        <v/>
      </c>
      <c r="AH2635" s="35">
        <f>IF(OR(C2635&lt;&gt;"Grayson Coulter",G2635&lt;'00_Control'!$B$7),"",--(AF2635&lt;10))</f>
        <v/>
      </c>
      <c r="AI2635" s="35">
        <f>IF(AND(C2635="Grayson Coulter",G2635&gt;='00_Control'!$B$7),"YES","NO")</f>
        <v/>
      </c>
      <c r="AJ2635" s="33" t="inlineStr">
        <is>
          <t>OK</t>
        </is>
      </c>
    </row>
    <row r="2636">
      <c r="A2636" s="33" t="inlineStr">
        <is>
          <t>SM002632</t>
        </is>
      </c>
      <c r="B2636" s="33" t="inlineStr">
        <is>
          <t>SW006</t>
        </is>
      </c>
      <c r="C2636" s="33" t="inlineStr">
        <is>
          <t>Tajus Juska</t>
        </is>
      </c>
      <c r="D2636" s="33" t="inlineStr">
        <is>
          <t>SwimCloud</t>
        </is>
      </c>
      <c r="E2636" s="33" t="inlineStr">
        <is>
          <t>2116196</t>
        </is>
      </c>
      <c r="F2636" s="33" t="inlineStr">
        <is>
          <t>150263899</t>
        </is>
      </c>
      <c r="G2636" s="51" t="n">
        <v>45753</v>
      </c>
      <c r="H2636" s="33" t="inlineStr">
        <is>
          <t>Akvile Lietuvos plaukimo cempionatas</t>
        </is>
      </c>
      <c r="I2636" s="33" t="inlineStr">
        <is>
          <t>341698</t>
        </is>
      </c>
      <c r="J2636" s="33" t="inlineStr"/>
      <c r="K2636" s="33" t="inlineStr">
        <is>
          <t>PRE</t>
        </is>
      </c>
      <c r="L2636" s="35">
        <f>IF(K2636="FIN",3,IF(OR(K2636="SEM",K2636="SEMI"),2,IF(OR(K2636="PRE",K2636="HEAT"),1,IF(V2636="YES",4,2))))</f>
        <v/>
      </c>
      <c r="M2636" s="33" t="inlineStr">
        <is>
          <t>LCM</t>
        </is>
      </c>
      <c r="N2636" s="33" t="n">
        <v>100</v>
      </c>
      <c r="O2636" s="33" t="inlineStr">
        <is>
          <t>Fly</t>
        </is>
      </c>
      <c r="P2636" s="33" t="inlineStr">
        <is>
          <t>100 Fly</t>
        </is>
      </c>
      <c r="Q2636" s="33" t="inlineStr">
        <is>
          <t>LCM_100_FLY</t>
        </is>
      </c>
      <c r="R2636" s="36" t="n">
        <v>53.76</v>
      </c>
      <c r="S2636" s="35">
        <f>IF(R2636="","",IF(R2636&gt;=60,INT(R2636/60)&amp;":"&amp;TEXT(MOD(R2636,60),"00.00"),TEXT(R2636,"0.00")))</f>
        <v/>
      </c>
      <c r="T2636" s="52">
        <f>IFERROR((G2636-INDEX('01_Swimmers'!$E$5:$E$22,MATCH(B2636,'01_Swimmers'!$A$5:$A$22,0)))/'00_Control'!$B$10,"")</f>
        <v/>
      </c>
      <c r="U2636" s="35">
        <f>IF(T2636="","",INT(T2636))</f>
        <v/>
      </c>
      <c r="V2636" s="33" t="inlineStr">
        <is>
          <t>NO</t>
        </is>
      </c>
      <c r="W2636" s="33" t="inlineStr">
        <is>
          <t>YES</t>
        </is>
      </c>
      <c r="X2636" s="33" t="inlineStr">
        <is>
          <t>NO</t>
        </is>
      </c>
      <c r="Y2636" s="33" t="n">
        <v>4</v>
      </c>
      <c r="Z2636" s="33" t="n">
        <v>4</v>
      </c>
      <c r="AA2636" s="33" t="inlineStr">
        <is>
          <t>1</t>
        </is>
      </c>
      <c r="AB2636" s="33" t="inlineStr">
        <is>
          <t>https://www.swimcloud.com/results/341698/event/35/?id=150263899#time150263899</t>
        </is>
      </c>
      <c r="AC2636" s="33" t="inlineStr">
        <is>
          <t>SwimCloud API v6 2026-10-08</t>
        </is>
      </c>
      <c r="AD2636" s="33" t="inlineStr">
        <is>
          <t>Tajus Juska|2025-04-06|LCM|100|Fly|53.76|Akvile Lietuvos plaukimo cempionatas|PRE|False</t>
        </is>
      </c>
      <c r="AE2636" s="53">
        <f>G2636+L2636/1000+ROW()/1000000000</f>
        <v/>
      </c>
      <c r="AF2636" s="35">
        <f>IF(C2636&lt;&gt;"Grayson Coulter","",COUNTIFS($C$5:$C$2991,"Grayson Coulter",$Q$5:$Q$2991,Q2636,$AE$5:$AE$2991,"&lt;="&amp;AE2636,$R$5:$R$2991,"&lt;"&amp;R2636))</f>
        <v/>
      </c>
      <c r="AG2636" s="35">
        <f>IF(OR(C2636&lt;&gt;"Grayson Coulter",G2636&lt;'00_Control'!$B$7),"",--(AF2636&lt;5))</f>
        <v/>
      </c>
      <c r="AH2636" s="35">
        <f>IF(OR(C2636&lt;&gt;"Grayson Coulter",G2636&lt;'00_Control'!$B$7),"",--(AF2636&lt;10))</f>
        <v/>
      </c>
      <c r="AI2636" s="35">
        <f>IF(AND(C2636="Grayson Coulter",G2636&gt;='00_Control'!$B$7),"YES","NO")</f>
        <v/>
      </c>
      <c r="AJ2636" s="33" t="inlineStr">
        <is>
          <t>OK</t>
        </is>
      </c>
    </row>
    <row r="2637">
      <c r="A2637" s="33" t="inlineStr">
        <is>
          <t>SM002633</t>
        </is>
      </c>
      <c r="B2637" s="33" t="inlineStr">
        <is>
          <t>SW006</t>
        </is>
      </c>
      <c r="C2637" s="33" t="inlineStr">
        <is>
          <t>Tajus Juska</t>
        </is>
      </c>
      <c r="D2637" s="33" t="inlineStr">
        <is>
          <t>SwimCloud</t>
        </is>
      </c>
      <c r="E2637" s="33" t="inlineStr">
        <is>
          <t>2116196</t>
        </is>
      </c>
      <c r="F2637" s="33" t="inlineStr">
        <is>
          <t>150263904</t>
        </is>
      </c>
      <c r="G2637" s="51" t="n">
        <v>45753</v>
      </c>
      <c r="H2637" s="33" t="inlineStr">
        <is>
          <t>Akvile Lietuvos plaukimo cempionatas</t>
        </is>
      </c>
      <c r="I2637" s="33" t="inlineStr">
        <is>
          <t>341698</t>
        </is>
      </c>
      <c r="J2637" s="33" t="inlineStr"/>
      <c r="K2637" s="33" t="inlineStr">
        <is>
          <t>FIN</t>
        </is>
      </c>
      <c r="L2637" s="35">
        <f>IF(K2637="FIN",3,IF(OR(K2637="SEM",K2637="SEMI"),2,IF(OR(K2637="PRE",K2637="HEAT"),1,IF(V2637="YES",4,2))))</f>
        <v/>
      </c>
      <c r="M2637" s="33" t="inlineStr">
        <is>
          <t>LCM</t>
        </is>
      </c>
      <c r="N2637" s="33" t="n">
        <v>100</v>
      </c>
      <c r="O2637" s="33" t="inlineStr">
        <is>
          <t>Fly</t>
        </is>
      </c>
      <c r="P2637" s="33" t="inlineStr">
        <is>
          <t>100 Fly</t>
        </is>
      </c>
      <c r="Q2637" s="33" t="inlineStr">
        <is>
          <t>LCM_100_FLY</t>
        </is>
      </c>
      <c r="R2637" s="36" t="n">
        <v>52.46</v>
      </c>
      <c r="S2637" s="35">
        <f>IF(R2637="","",IF(R2637&gt;=60,INT(R2637/60)&amp;":"&amp;TEXT(MOD(R2637,60),"00.00"),TEXT(R2637,"0.00")))</f>
        <v/>
      </c>
      <c r="T2637" s="52">
        <f>IFERROR((G2637-INDEX('01_Swimmers'!$E$5:$E$22,MATCH(B2637,'01_Swimmers'!$A$5:$A$22,0)))/'00_Control'!$B$10,"")</f>
        <v/>
      </c>
      <c r="U2637" s="35">
        <f>IF(T2637="","",INT(T2637))</f>
        <v/>
      </c>
      <c r="V2637" s="33" t="inlineStr">
        <is>
          <t>NO</t>
        </is>
      </c>
      <c r="W2637" s="33" t="inlineStr">
        <is>
          <t>YES</t>
        </is>
      </c>
      <c r="X2637" s="33" t="inlineStr">
        <is>
          <t>NO</t>
        </is>
      </c>
      <c r="Y2637" s="33" t="n">
        <v>2</v>
      </c>
      <c r="Z2637" s="33" t="n">
        <v>4</v>
      </c>
      <c r="AA2637" s="33" t="inlineStr">
        <is>
          <t>1</t>
        </is>
      </c>
      <c r="AB2637" s="33" t="inlineStr">
        <is>
          <t>https://www.swimcloud.com/results/341698/event/35/?id=150263904#time150263904</t>
        </is>
      </c>
      <c r="AC2637" s="33" t="inlineStr">
        <is>
          <t>SwimCloud API v6 2026-10-08</t>
        </is>
      </c>
      <c r="AD2637" s="33" t="inlineStr">
        <is>
          <t>Tajus Juska|2025-04-06|LCM|100|Fly|52.46|Akvile Lietuvos plaukimo cempionatas|FIN|False</t>
        </is>
      </c>
      <c r="AE2637" s="53">
        <f>G2637+L2637/1000+ROW()/1000000000</f>
        <v/>
      </c>
      <c r="AF2637" s="35">
        <f>IF(C2637&lt;&gt;"Grayson Coulter","",COUNTIFS($C$5:$C$2991,"Grayson Coulter",$Q$5:$Q$2991,Q2637,$AE$5:$AE$2991,"&lt;="&amp;AE2637,$R$5:$R$2991,"&lt;"&amp;R2637))</f>
        <v/>
      </c>
      <c r="AG2637" s="35">
        <f>IF(OR(C2637&lt;&gt;"Grayson Coulter",G2637&lt;'00_Control'!$B$7),"",--(AF2637&lt;5))</f>
        <v/>
      </c>
      <c r="AH2637" s="35">
        <f>IF(OR(C2637&lt;&gt;"Grayson Coulter",G2637&lt;'00_Control'!$B$7),"",--(AF2637&lt;10))</f>
        <v/>
      </c>
      <c r="AI2637" s="35">
        <f>IF(AND(C2637="Grayson Coulter",G2637&gt;='00_Control'!$B$7),"YES","NO")</f>
        <v/>
      </c>
      <c r="AJ2637" s="33" t="inlineStr">
        <is>
          <t>OK</t>
        </is>
      </c>
    </row>
    <row r="2638">
      <c r="A2638" s="33" t="inlineStr">
        <is>
          <t>SM002634</t>
        </is>
      </c>
      <c r="B2638" s="33" t="inlineStr">
        <is>
          <t>SW006</t>
        </is>
      </c>
      <c r="C2638" s="33" t="inlineStr">
        <is>
          <t>Tajus Juska</t>
        </is>
      </c>
      <c r="D2638" s="33" t="inlineStr">
        <is>
          <t>SwimCloud</t>
        </is>
      </c>
      <c r="E2638" s="33" t="inlineStr">
        <is>
          <t>2116196</t>
        </is>
      </c>
      <c r="F2638" s="33" t="inlineStr">
        <is>
          <t>150538284</t>
        </is>
      </c>
      <c r="G2638" s="51" t="n">
        <v>45760</v>
      </c>
      <c r="H2638" s="33" t="inlineStr">
        <is>
          <t>Malmsten Swim Open Stockholm</t>
        </is>
      </c>
      <c r="I2638" s="33" t="inlineStr">
        <is>
          <t>341870</t>
        </is>
      </c>
      <c r="J2638" s="33" t="inlineStr"/>
      <c r="K2638" s="33" t="inlineStr">
        <is>
          <t>PRE</t>
        </is>
      </c>
      <c r="L2638" s="35">
        <f>IF(K2638="FIN",3,IF(OR(K2638="SEM",K2638="SEMI"),2,IF(OR(K2638="PRE",K2638="HEAT"),1,IF(V2638="YES",4,2))))</f>
        <v/>
      </c>
      <c r="M2638" s="33" t="inlineStr">
        <is>
          <t>LCM</t>
        </is>
      </c>
      <c r="N2638" s="33" t="n">
        <v>200</v>
      </c>
      <c r="O2638" s="33" t="inlineStr">
        <is>
          <t>Free</t>
        </is>
      </c>
      <c r="P2638" s="33" t="inlineStr">
        <is>
          <t>200 Free</t>
        </is>
      </c>
      <c r="Q2638" s="33" t="inlineStr">
        <is>
          <t>LCM_200_FREE</t>
        </is>
      </c>
      <c r="R2638" s="36" t="n">
        <v>109.48</v>
      </c>
      <c r="S2638" s="35">
        <f>IF(R2638="","",IF(R2638&gt;=60,INT(R2638/60)&amp;":"&amp;TEXT(MOD(R2638,60),"00.00"),TEXT(R2638,"0.00")))</f>
        <v/>
      </c>
      <c r="T2638" s="52">
        <f>IFERROR((G2638-INDEX('01_Swimmers'!$E$5:$E$22,MATCH(B2638,'01_Swimmers'!$A$5:$A$22,0)))/'00_Control'!$B$10,"")</f>
        <v/>
      </c>
      <c r="U2638" s="35">
        <f>IF(T2638="","",INT(T2638))</f>
        <v/>
      </c>
      <c r="V2638" s="33" t="inlineStr">
        <is>
          <t>NO</t>
        </is>
      </c>
      <c r="W2638" s="33" t="inlineStr">
        <is>
          <t>YES</t>
        </is>
      </c>
      <c r="X2638" s="33" t="inlineStr">
        <is>
          <t>NO</t>
        </is>
      </c>
      <c r="Y2638" s="33" t="n">
        <v>4</v>
      </c>
      <c r="Z2638" s="33" t="n">
        <v>6</v>
      </c>
      <c r="AA2638" s="33" t="inlineStr">
        <is>
          <t>8,1</t>
        </is>
      </c>
      <c r="AB2638" s="33" t="inlineStr">
        <is>
          <t>https://www.swimcloud.com/results/341870/event/9/?id=150538284#time150538284</t>
        </is>
      </c>
      <c r="AC2638" s="33" t="inlineStr">
        <is>
          <t>SwimCloud API v6 2026-10-08</t>
        </is>
      </c>
      <c r="AD2638" s="33" t="inlineStr">
        <is>
          <t>Tajus Juska|2025-04-13|LCM|200|Free|109.48|Malmsten Swim Open Stockholm|PRE|False</t>
        </is>
      </c>
      <c r="AE2638" s="53">
        <f>G2638+L2638/1000+ROW()/1000000000</f>
        <v/>
      </c>
      <c r="AF2638" s="35">
        <f>IF(C2638&lt;&gt;"Grayson Coulter","",COUNTIFS($C$5:$C$2991,"Grayson Coulter",$Q$5:$Q$2991,Q2638,$AE$5:$AE$2991,"&lt;="&amp;AE2638,$R$5:$R$2991,"&lt;"&amp;R2638))</f>
        <v/>
      </c>
      <c r="AG2638" s="35">
        <f>IF(OR(C2638&lt;&gt;"Grayson Coulter",G2638&lt;'00_Control'!$B$7),"",--(AF2638&lt;5))</f>
        <v/>
      </c>
      <c r="AH2638" s="35">
        <f>IF(OR(C2638&lt;&gt;"Grayson Coulter",G2638&lt;'00_Control'!$B$7),"",--(AF2638&lt;10))</f>
        <v/>
      </c>
      <c r="AI2638" s="35">
        <f>IF(AND(C2638="Grayson Coulter",G2638&gt;='00_Control'!$B$7),"YES","NO")</f>
        <v/>
      </c>
      <c r="AJ2638" s="33" t="inlineStr">
        <is>
          <t>OK</t>
        </is>
      </c>
    </row>
    <row r="2639">
      <c r="A2639" s="33" t="inlineStr">
        <is>
          <t>SM002635</t>
        </is>
      </c>
      <c r="B2639" s="33" t="inlineStr">
        <is>
          <t>SW006</t>
        </is>
      </c>
      <c r="C2639" s="33" t="inlineStr">
        <is>
          <t>Tajus Juska</t>
        </is>
      </c>
      <c r="D2639" s="33" t="inlineStr">
        <is>
          <t>SwimCloud</t>
        </is>
      </c>
      <c r="E2639" s="33" t="inlineStr">
        <is>
          <t>2116196</t>
        </is>
      </c>
      <c r="F2639" s="33" t="inlineStr">
        <is>
          <t>150538285</t>
        </is>
      </c>
      <c r="G2639" s="51" t="n">
        <v>45760</v>
      </c>
      <c r="H2639" s="33" t="inlineStr">
        <is>
          <t>Malmsten Swim Open Stockholm</t>
        </is>
      </c>
      <c r="I2639" s="33" t="inlineStr">
        <is>
          <t>341870</t>
        </is>
      </c>
      <c r="J2639" s="33" t="inlineStr"/>
      <c r="K2639" s="33" t="inlineStr">
        <is>
          <t>FIN</t>
        </is>
      </c>
      <c r="L2639" s="35">
        <f>IF(K2639="FIN",3,IF(OR(K2639="SEM",K2639="SEMI"),2,IF(OR(K2639="PRE",K2639="HEAT"),1,IF(V2639="YES",4,2))))</f>
        <v/>
      </c>
      <c r="M2639" s="33" t="inlineStr">
        <is>
          <t>LCM</t>
        </is>
      </c>
      <c r="N2639" s="33" t="n">
        <v>200</v>
      </c>
      <c r="O2639" s="33" t="inlineStr">
        <is>
          <t>Free</t>
        </is>
      </c>
      <c r="P2639" s="33" t="inlineStr">
        <is>
          <t>200 Free</t>
        </is>
      </c>
      <c r="Q2639" s="33" t="inlineStr">
        <is>
          <t>LCM_200_FREE</t>
        </is>
      </c>
      <c r="R2639" s="36" t="n">
        <v>108.75</v>
      </c>
      <c r="S2639" s="35">
        <f>IF(R2639="","",IF(R2639&gt;=60,INT(R2639/60)&amp;":"&amp;TEXT(MOD(R2639,60),"00.00"),TEXT(R2639,"0.00")))</f>
        <v/>
      </c>
      <c r="T2639" s="52">
        <f>IFERROR((G2639-INDEX('01_Swimmers'!$E$5:$E$22,MATCH(B2639,'01_Swimmers'!$A$5:$A$22,0)))/'00_Control'!$B$10,"")</f>
        <v/>
      </c>
      <c r="U2639" s="35">
        <f>IF(T2639="","",INT(T2639))</f>
        <v/>
      </c>
      <c r="V2639" s="33" t="inlineStr">
        <is>
          <t>NO</t>
        </is>
      </c>
      <c r="W2639" s="33" t="inlineStr">
        <is>
          <t>YES</t>
        </is>
      </c>
      <c r="X2639" s="33" t="inlineStr">
        <is>
          <t>NO</t>
        </is>
      </c>
      <c r="Y2639" s="33" t="n">
        <v>3</v>
      </c>
      <c r="Z2639" s="33" t="n">
        <v>7</v>
      </c>
      <c r="AA2639" s="33" t="inlineStr">
        <is>
          <t>7,1</t>
        </is>
      </c>
      <c r="AB2639" s="33" t="inlineStr">
        <is>
          <t>https://www.swimcloud.com/results/341870/event/9/?id=150538285#time150538285</t>
        </is>
      </c>
      <c r="AC2639" s="33" t="inlineStr">
        <is>
          <t>SwimCloud API v6 2026-10-08</t>
        </is>
      </c>
      <c r="AD2639" s="33" t="inlineStr">
        <is>
          <t>Tajus Juska|2025-04-13|LCM|200|Free|108.75|Malmsten Swim Open Stockholm|FIN|False</t>
        </is>
      </c>
      <c r="AE2639" s="53">
        <f>G2639+L2639/1000+ROW()/1000000000</f>
        <v/>
      </c>
      <c r="AF2639" s="35">
        <f>IF(C2639&lt;&gt;"Grayson Coulter","",COUNTIFS($C$5:$C$2991,"Grayson Coulter",$Q$5:$Q$2991,Q2639,$AE$5:$AE$2991,"&lt;="&amp;AE2639,$R$5:$R$2991,"&lt;"&amp;R2639))</f>
        <v/>
      </c>
      <c r="AG2639" s="35">
        <f>IF(OR(C2639&lt;&gt;"Grayson Coulter",G2639&lt;'00_Control'!$B$7),"",--(AF2639&lt;5))</f>
        <v/>
      </c>
      <c r="AH2639" s="35">
        <f>IF(OR(C2639&lt;&gt;"Grayson Coulter",G2639&lt;'00_Control'!$B$7),"",--(AF2639&lt;10))</f>
        <v/>
      </c>
      <c r="AI2639" s="35">
        <f>IF(AND(C2639="Grayson Coulter",G2639&gt;='00_Control'!$B$7),"YES","NO")</f>
        <v/>
      </c>
      <c r="AJ2639" s="33" t="inlineStr">
        <is>
          <t>OK</t>
        </is>
      </c>
    </row>
    <row r="2640">
      <c r="A2640" s="33" t="inlineStr">
        <is>
          <t>SM002636</t>
        </is>
      </c>
      <c r="B2640" s="33" t="inlineStr">
        <is>
          <t>SW006</t>
        </is>
      </c>
      <c r="C2640" s="33" t="inlineStr">
        <is>
          <t>Tajus Juska</t>
        </is>
      </c>
      <c r="D2640" s="33" t="inlineStr">
        <is>
          <t>SwimCloud</t>
        </is>
      </c>
      <c r="E2640" s="33" t="inlineStr">
        <is>
          <t>2116196</t>
        </is>
      </c>
      <c r="F2640" s="33" t="inlineStr">
        <is>
          <t>150538286</t>
        </is>
      </c>
      <c r="G2640" s="51" t="n">
        <v>45761</v>
      </c>
      <c r="H2640" s="33" t="inlineStr">
        <is>
          <t>Malmsten Swim Open Stockholm</t>
        </is>
      </c>
      <c r="I2640" s="33" t="inlineStr">
        <is>
          <t>341870</t>
        </is>
      </c>
      <c r="J2640" s="33" t="inlineStr"/>
      <c r="K2640" s="33" t="inlineStr">
        <is>
          <t>PRE</t>
        </is>
      </c>
      <c r="L2640" s="35">
        <f>IF(K2640="FIN",3,IF(OR(K2640="SEM",K2640="SEMI"),2,IF(OR(K2640="PRE",K2640="HEAT"),1,IF(V2640="YES",4,2))))</f>
        <v/>
      </c>
      <c r="M2640" s="33" t="inlineStr">
        <is>
          <t>LCM</t>
        </is>
      </c>
      <c r="N2640" s="33" t="n">
        <v>100</v>
      </c>
      <c r="O2640" s="33" t="inlineStr">
        <is>
          <t>Free</t>
        </is>
      </c>
      <c r="P2640" s="33" t="inlineStr">
        <is>
          <t>100 Free</t>
        </is>
      </c>
      <c r="Q2640" s="33" t="inlineStr">
        <is>
          <t>LCM_100_FREE</t>
        </is>
      </c>
      <c r="R2640" s="36" t="n">
        <v>49.76</v>
      </c>
      <c r="S2640" s="35">
        <f>IF(R2640="","",IF(R2640&gt;=60,INT(R2640/60)&amp;":"&amp;TEXT(MOD(R2640,60),"00.00"),TEXT(R2640,"0.00")))</f>
        <v/>
      </c>
      <c r="T2640" s="52">
        <f>IFERROR((G2640-INDEX('01_Swimmers'!$E$5:$E$22,MATCH(B2640,'01_Swimmers'!$A$5:$A$22,0)))/'00_Control'!$B$10,"")</f>
        <v/>
      </c>
      <c r="U2640" s="35">
        <f>IF(T2640="","",INT(T2640))</f>
        <v/>
      </c>
      <c r="V2640" s="33" t="inlineStr">
        <is>
          <t>NO</t>
        </is>
      </c>
      <c r="W2640" s="33" t="inlineStr">
        <is>
          <t>YES</t>
        </is>
      </c>
      <c r="X2640" s="33" t="inlineStr">
        <is>
          <t>NO</t>
        </is>
      </c>
      <c r="Y2640" s="33" t="n">
        <v>5</v>
      </c>
      <c r="Z2640" s="33" t="n">
        <v>3</v>
      </c>
      <c r="AA2640" s="33" t="inlineStr">
        <is>
          <t>9,2</t>
        </is>
      </c>
      <c r="AB2640" s="33" t="inlineStr">
        <is>
          <t>https://www.swimcloud.com/results/341870/event/19/?id=150538286#time150538286</t>
        </is>
      </c>
      <c r="AC2640" s="33" t="inlineStr">
        <is>
          <t>SwimCloud API v6 2026-10-08</t>
        </is>
      </c>
      <c r="AD2640" s="33" t="inlineStr">
        <is>
          <t>Tajus Juska|2025-04-14|LCM|100|Free|49.76|Malmsten Swim Open Stockholm|PRE|False</t>
        </is>
      </c>
      <c r="AE2640" s="53">
        <f>G2640+L2640/1000+ROW()/1000000000</f>
        <v/>
      </c>
      <c r="AF2640" s="35">
        <f>IF(C2640&lt;&gt;"Grayson Coulter","",COUNTIFS($C$5:$C$2991,"Grayson Coulter",$Q$5:$Q$2991,Q2640,$AE$5:$AE$2991,"&lt;="&amp;AE2640,$R$5:$R$2991,"&lt;"&amp;R2640))</f>
        <v/>
      </c>
      <c r="AG2640" s="35">
        <f>IF(OR(C2640&lt;&gt;"Grayson Coulter",G2640&lt;'00_Control'!$B$7),"",--(AF2640&lt;5))</f>
        <v/>
      </c>
      <c r="AH2640" s="35">
        <f>IF(OR(C2640&lt;&gt;"Grayson Coulter",G2640&lt;'00_Control'!$B$7),"",--(AF2640&lt;10))</f>
        <v/>
      </c>
      <c r="AI2640" s="35">
        <f>IF(AND(C2640="Grayson Coulter",G2640&gt;='00_Control'!$B$7),"YES","NO")</f>
        <v/>
      </c>
      <c r="AJ2640" s="33" t="inlineStr">
        <is>
          <t>OK</t>
        </is>
      </c>
    </row>
    <row r="2641">
      <c r="A2641" s="33" t="inlineStr">
        <is>
          <t>SM002637</t>
        </is>
      </c>
      <c r="B2641" s="33" t="inlineStr">
        <is>
          <t>SW006</t>
        </is>
      </c>
      <c r="C2641" s="33" t="inlineStr">
        <is>
          <t>Tajus Juska</t>
        </is>
      </c>
      <c r="D2641" s="33" t="inlineStr">
        <is>
          <t>SwimCloud</t>
        </is>
      </c>
      <c r="E2641" s="33" t="inlineStr">
        <is>
          <t>2116196</t>
        </is>
      </c>
      <c r="F2641" s="33" t="inlineStr">
        <is>
          <t>150538287</t>
        </is>
      </c>
      <c r="G2641" s="51" t="n">
        <v>45761</v>
      </c>
      <c r="H2641" s="33" t="inlineStr">
        <is>
          <t>Malmsten Swim Open Stockholm</t>
        </is>
      </c>
      <c r="I2641" s="33" t="inlineStr">
        <is>
          <t>341870</t>
        </is>
      </c>
      <c r="J2641" s="33" t="inlineStr"/>
      <c r="K2641" s="33" t="inlineStr">
        <is>
          <t>FIN</t>
        </is>
      </c>
      <c r="L2641" s="35">
        <f>IF(K2641="FIN",3,IF(OR(K2641="SEM",K2641="SEMI"),2,IF(OR(K2641="PRE",K2641="HEAT"),1,IF(V2641="YES",4,2))))</f>
        <v/>
      </c>
      <c r="M2641" s="33" t="inlineStr">
        <is>
          <t>LCM</t>
        </is>
      </c>
      <c r="N2641" s="33" t="n">
        <v>100</v>
      </c>
      <c r="O2641" s="33" t="inlineStr">
        <is>
          <t>Free</t>
        </is>
      </c>
      <c r="P2641" s="33" t="inlineStr">
        <is>
          <t>100 Free</t>
        </is>
      </c>
      <c r="Q2641" s="33" t="inlineStr">
        <is>
          <t>LCM_100_FREE</t>
        </is>
      </c>
      <c r="R2641" s="36" t="n">
        <v>49.67</v>
      </c>
      <c r="S2641" s="35">
        <f>IF(R2641="","",IF(R2641&gt;=60,INT(R2641/60)&amp;":"&amp;TEXT(MOD(R2641,60),"00.00"),TEXT(R2641,"0.00")))</f>
        <v/>
      </c>
      <c r="T2641" s="52">
        <f>IFERROR((G2641-INDEX('01_Swimmers'!$E$5:$E$22,MATCH(B2641,'01_Swimmers'!$A$5:$A$22,0)))/'00_Control'!$B$10,"")</f>
        <v/>
      </c>
      <c r="U2641" s="35">
        <f>IF(T2641="","",INT(T2641))</f>
        <v/>
      </c>
      <c r="V2641" s="33" t="inlineStr">
        <is>
          <t>NO</t>
        </is>
      </c>
      <c r="W2641" s="33" t="inlineStr">
        <is>
          <t>YES</t>
        </is>
      </c>
      <c r="X2641" s="33" t="inlineStr">
        <is>
          <t>NO</t>
        </is>
      </c>
      <c r="Y2641" s="33" t="n">
        <v>2</v>
      </c>
      <c r="Z2641" s="33" t="n">
        <v>4</v>
      </c>
      <c r="AA2641" s="33" t="inlineStr">
        <is>
          <t>9,2</t>
        </is>
      </c>
      <c r="AB2641" s="33" t="inlineStr">
        <is>
          <t>https://www.swimcloud.com/results/341870/event/19/?id=150538287#time150538287</t>
        </is>
      </c>
      <c r="AC2641" s="33" t="inlineStr">
        <is>
          <t>SwimCloud API v6 2026-10-08</t>
        </is>
      </c>
      <c r="AD2641" s="33" t="inlineStr">
        <is>
          <t>Tajus Juska|2025-04-14|LCM|100|Free|49.67|Malmsten Swim Open Stockholm|FIN|False</t>
        </is>
      </c>
      <c r="AE2641" s="53">
        <f>G2641+L2641/1000+ROW()/1000000000</f>
        <v/>
      </c>
      <c r="AF2641" s="35">
        <f>IF(C2641&lt;&gt;"Grayson Coulter","",COUNTIFS($C$5:$C$2991,"Grayson Coulter",$Q$5:$Q$2991,Q2641,$AE$5:$AE$2991,"&lt;="&amp;AE2641,$R$5:$R$2991,"&lt;"&amp;R2641))</f>
        <v/>
      </c>
      <c r="AG2641" s="35">
        <f>IF(OR(C2641&lt;&gt;"Grayson Coulter",G2641&lt;'00_Control'!$B$7),"",--(AF2641&lt;5))</f>
        <v/>
      </c>
      <c r="AH2641" s="35">
        <f>IF(OR(C2641&lt;&gt;"Grayson Coulter",G2641&lt;'00_Control'!$B$7),"",--(AF2641&lt;10))</f>
        <v/>
      </c>
      <c r="AI2641" s="35">
        <f>IF(AND(C2641="Grayson Coulter",G2641&gt;='00_Control'!$B$7),"YES","NO")</f>
        <v/>
      </c>
      <c r="AJ2641" s="33" t="inlineStr">
        <is>
          <t>OK</t>
        </is>
      </c>
    </row>
    <row r="2642">
      <c r="A2642" s="33" t="inlineStr">
        <is>
          <t>SM002638</t>
        </is>
      </c>
      <c r="B2642" s="33" t="inlineStr">
        <is>
          <t>SW006</t>
        </is>
      </c>
      <c r="C2642" s="33" t="inlineStr">
        <is>
          <t>Tajus Juska</t>
        </is>
      </c>
      <c r="D2642" s="33" t="inlineStr">
        <is>
          <t>SwimCloud</t>
        </is>
      </c>
      <c r="E2642" s="33" t="inlineStr">
        <is>
          <t>2116196</t>
        </is>
      </c>
      <c r="F2642" s="33" t="inlineStr">
        <is>
          <t>152469462</t>
        </is>
      </c>
      <c r="G2642" s="51" t="n">
        <v>45798</v>
      </c>
      <c r="H2642" s="33" t="inlineStr">
        <is>
          <t>Mare Nostrum - Trofeu Internacional Ciutat de Barcelona</t>
        </is>
      </c>
      <c r="I2642" s="33" t="inlineStr">
        <is>
          <t>344367</t>
        </is>
      </c>
      <c r="J2642" s="33" t="inlineStr"/>
      <c r="K2642" s="33" t="inlineStr">
        <is>
          <t>PRE</t>
        </is>
      </c>
      <c r="L2642" s="35">
        <f>IF(K2642="FIN",3,IF(OR(K2642="SEM",K2642="SEMI"),2,IF(OR(K2642="PRE",K2642="HEAT"),1,IF(V2642="YES",4,2))))</f>
        <v/>
      </c>
      <c r="M2642" s="33" t="inlineStr">
        <is>
          <t>LCM</t>
        </is>
      </c>
      <c r="N2642" s="33" t="n">
        <v>200</v>
      </c>
      <c r="O2642" s="33" t="inlineStr">
        <is>
          <t>Free</t>
        </is>
      </c>
      <c r="P2642" s="33" t="inlineStr">
        <is>
          <t>200 Free</t>
        </is>
      </c>
      <c r="Q2642" s="33" t="inlineStr">
        <is>
          <t>LCM_200_FREE</t>
        </is>
      </c>
      <c r="R2642" s="36" t="n">
        <v>111.15</v>
      </c>
      <c r="S2642" s="35">
        <f>IF(R2642="","",IF(R2642&gt;=60,INT(R2642/60)&amp;":"&amp;TEXT(MOD(R2642,60),"00.00"),TEXT(R2642,"0.00")))</f>
        <v/>
      </c>
      <c r="T2642" s="52">
        <f>IFERROR((G2642-INDEX('01_Swimmers'!$E$5:$E$22,MATCH(B2642,'01_Swimmers'!$A$5:$A$22,0)))/'00_Control'!$B$10,"")</f>
        <v/>
      </c>
      <c r="U2642" s="35">
        <f>IF(T2642="","",INT(T2642))</f>
        <v/>
      </c>
      <c r="V2642" s="33" t="inlineStr">
        <is>
          <t>NO</t>
        </is>
      </c>
      <c r="W2642" s="33" t="inlineStr">
        <is>
          <t>YES</t>
        </is>
      </c>
      <c r="X2642" s="33" t="inlineStr">
        <is>
          <t>NO</t>
        </is>
      </c>
      <c r="Y2642" s="33" t="n">
        <v>10</v>
      </c>
      <c r="Z2642" s="33" t="n">
        <v>7</v>
      </c>
      <c r="AA2642" s="33" t="inlineStr">
        <is>
          <t>23</t>
        </is>
      </c>
      <c r="AB2642" s="33" t="inlineStr">
        <is>
          <t>https://www.swimcloud.com/results/344367/event/15/?id=152469462#time152469462</t>
        </is>
      </c>
      <c r="AC2642" s="33" t="inlineStr">
        <is>
          <t>SwimCloud API v6 2026-10-08</t>
        </is>
      </c>
      <c r="AD2642" s="33" t="inlineStr">
        <is>
          <t>Tajus Juska|2025-05-21|LCM|200|Free|111.15|Mare Nostrum - Trofeu Internacional Ciutat de Barcelona|PRE|False</t>
        </is>
      </c>
      <c r="AE2642" s="53">
        <f>G2642+L2642/1000+ROW()/1000000000</f>
        <v/>
      </c>
      <c r="AF2642" s="35">
        <f>IF(C2642&lt;&gt;"Grayson Coulter","",COUNTIFS($C$5:$C$2991,"Grayson Coulter",$Q$5:$Q$2991,Q2642,$AE$5:$AE$2991,"&lt;="&amp;AE2642,$R$5:$R$2991,"&lt;"&amp;R2642))</f>
        <v/>
      </c>
      <c r="AG2642" s="35">
        <f>IF(OR(C2642&lt;&gt;"Grayson Coulter",G2642&lt;'00_Control'!$B$7),"",--(AF2642&lt;5))</f>
        <v/>
      </c>
      <c r="AH2642" s="35">
        <f>IF(OR(C2642&lt;&gt;"Grayson Coulter",G2642&lt;'00_Control'!$B$7),"",--(AF2642&lt;10))</f>
        <v/>
      </c>
      <c r="AI2642" s="35">
        <f>IF(AND(C2642="Grayson Coulter",G2642&gt;='00_Control'!$B$7),"YES","NO")</f>
        <v/>
      </c>
      <c r="AJ2642" s="33" t="inlineStr">
        <is>
          <t>OK</t>
        </is>
      </c>
    </row>
    <row r="2643">
      <c r="A2643" s="33" t="inlineStr">
        <is>
          <t>SM002639</t>
        </is>
      </c>
      <c r="B2643" s="33" t="inlineStr">
        <is>
          <t>SW006</t>
        </is>
      </c>
      <c r="C2643" s="33" t="inlineStr">
        <is>
          <t>Tajus Juska</t>
        </is>
      </c>
      <c r="D2643" s="33" t="inlineStr">
        <is>
          <t>SwimCloud</t>
        </is>
      </c>
      <c r="E2643" s="33" t="inlineStr">
        <is>
          <t>2116196</t>
        </is>
      </c>
      <c r="F2643" s="33" t="inlineStr">
        <is>
          <t>152469465</t>
        </is>
      </c>
      <c r="G2643" s="51" t="n">
        <v>45799</v>
      </c>
      <c r="H2643" s="33" t="inlineStr">
        <is>
          <t>Mare Nostrum - Trofeu Internacional Ciutat de Barcelona</t>
        </is>
      </c>
      <c r="I2643" s="33" t="inlineStr">
        <is>
          <t>344367</t>
        </is>
      </c>
      <c r="J2643" s="33" t="inlineStr"/>
      <c r="K2643" s="33" t="inlineStr">
        <is>
          <t>PRE</t>
        </is>
      </c>
      <c r="L2643" s="35">
        <f>IF(K2643="FIN",3,IF(OR(K2643="SEM",K2643="SEMI"),2,IF(OR(K2643="PRE",K2643="HEAT"),1,IF(V2643="YES",4,2))))</f>
        <v/>
      </c>
      <c r="M2643" s="33" t="inlineStr">
        <is>
          <t>LCM</t>
        </is>
      </c>
      <c r="N2643" s="33" t="n">
        <v>400</v>
      </c>
      <c r="O2643" s="33" t="inlineStr">
        <is>
          <t>Free</t>
        </is>
      </c>
      <c r="P2643" s="33" t="inlineStr">
        <is>
          <t>400 Free</t>
        </is>
      </c>
      <c r="Q2643" s="33" t="inlineStr">
        <is>
          <t>LCM_400_FREE</t>
        </is>
      </c>
      <c r="R2643" s="36" t="n">
        <v>240.46</v>
      </c>
      <c r="S2643" s="35">
        <f>IF(R2643="","",IF(R2643&gt;=60,INT(R2643/60)&amp;":"&amp;TEXT(MOD(R2643,60),"00.00"),TEXT(R2643,"0.00")))</f>
        <v/>
      </c>
      <c r="T2643" s="52">
        <f>IFERROR((G2643-INDEX('01_Swimmers'!$E$5:$E$22,MATCH(B2643,'01_Swimmers'!$A$5:$A$22,0)))/'00_Control'!$B$10,"")</f>
        <v/>
      </c>
      <c r="U2643" s="35">
        <f>IF(T2643="","",INT(T2643))</f>
        <v/>
      </c>
      <c r="V2643" s="33" t="inlineStr">
        <is>
          <t>NO</t>
        </is>
      </c>
      <c r="W2643" s="33" t="inlineStr">
        <is>
          <t>YES</t>
        </is>
      </c>
      <c r="X2643" s="33" t="inlineStr">
        <is>
          <t>NO</t>
        </is>
      </c>
      <c r="Y2643" s="33" t="n">
        <v>5</v>
      </c>
      <c r="Z2643" s="33" t="n">
        <v>8</v>
      </c>
      <c r="AA2643" s="33" t="inlineStr">
        <is>
          <t>21</t>
        </is>
      </c>
      <c r="AB2643" s="33" t="inlineStr">
        <is>
          <t>https://www.swimcloud.com/results/344367/event/32/?id=152469465#time152469465</t>
        </is>
      </c>
      <c r="AC2643" s="33" t="inlineStr">
        <is>
          <t>SwimCloud API v6 2026-10-08</t>
        </is>
      </c>
      <c r="AD2643" s="33" t="inlineStr">
        <is>
          <t>Tajus Juska|2025-05-22|LCM|400|Free|240.46|Mare Nostrum - Trofeu Internacional Ciutat de Barcelona|PRE|False</t>
        </is>
      </c>
      <c r="AE2643" s="53">
        <f>G2643+L2643/1000+ROW()/1000000000</f>
        <v/>
      </c>
      <c r="AF2643" s="35">
        <f>IF(C2643&lt;&gt;"Grayson Coulter","",COUNTIFS($C$5:$C$2991,"Grayson Coulter",$Q$5:$Q$2991,Q2643,$AE$5:$AE$2991,"&lt;="&amp;AE2643,$R$5:$R$2991,"&lt;"&amp;R2643))</f>
        <v/>
      </c>
      <c r="AG2643" s="35">
        <f>IF(OR(C2643&lt;&gt;"Grayson Coulter",G2643&lt;'00_Control'!$B$7),"",--(AF2643&lt;5))</f>
        <v/>
      </c>
      <c r="AH2643" s="35">
        <f>IF(OR(C2643&lt;&gt;"Grayson Coulter",G2643&lt;'00_Control'!$B$7),"",--(AF2643&lt;10))</f>
        <v/>
      </c>
      <c r="AI2643" s="35">
        <f>IF(AND(C2643="Grayson Coulter",G2643&gt;='00_Control'!$B$7),"YES","NO")</f>
        <v/>
      </c>
      <c r="AJ2643" s="33" t="inlineStr">
        <is>
          <t>OK</t>
        </is>
      </c>
    </row>
    <row r="2644">
      <c r="A2644" s="33" t="inlineStr">
        <is>
          <t>SM002640</t>
        </is>
      </c>
      <c r="B2644" s="33" t="inlineStr">
        <is>
          <t>SW006</t>
        </is>
      </c>
      <c r="C2644" s="33" t="inlineStr">
        <is>
          <t>Tajus Juska</t>
        </is>
      </c>
      <c r="D2644" s="33" t="inlineStr">
        <is>
          <t>SwimCloud</t>
        </is>
      </c>
      <c r="E2644" s="33" t="inlineStr">
        <is>
          <t>2116196</t>
        </is>
      </c>
      <c r="F2644" s="33" t="inlineStr">
        <is>
          <t>155849023</t>
        </is>
      </c>
      <c r="G2644" s="51" t="n">
        <v>45839</v>
      </c>
      <c r="H2644" s="33" t="inlineStr">
        <is>
          <t>LEN European Junior Championships</t>
        </is>
      </c>
      <c r="I2644" s="33" t="inlineStr">
        <is>
          <t>309063</t>
        </is>
      </c>
      <c r="J2644" s="33" t="inlineStr"/>
      <c r="K2644" s="33" t="inlineStr">
        <is>
          <t>PRE</t>
        </is>
      </c>
      <c r="L2644" s="35">
        <f>IF(K2644="FIN",3,IF(OR(K2644="SEM",K2644="SEMI"),2,IF(OR(K2644="PRE",K2644="HEAT"),1,IF(V2644="YES",4,2))))</f>
        <v/>
      </c>
      <c r="M2644" s="33" t="inlineStr">
        <is>
          <t>LCM</t>
        </is>
      </c>
      <c r="N2644" s="33" t="n">
        <v>200</v>
      </c>
      <c r="O2644" s="33" t="inlineStr">
        <is>
          <t>Free</t>
        </is>
      </c>
      <c r="P2644" s="33" t="inlineStr">
        <is>
          <t>200 Free</t>
        </is>
      </c>
      <c r="Q2644" s="33" t="inlineStr">
        <is>
          <t>LCM_200_FREE</t>
        </is>
      </c>
      <c r="R2644" s="36" t="n">
        <v>108.24</v>
      </c>
      <c r="S2644" s="35">
        <f>IF(R2644="","",IF(R2644&gt;=60,INT(R2644/60)&amp;":"&amp;TEXT(MOD(R2644,60),"00.00"),TEXT(R2644,"0.00")))</f>
        <v/>
      </c>
      <c r="T2644" s="52">
        <f>IFERROR((G2644-INDEX('01_Swimmers'!$E$5:$E$22,MATCH(B2644,'01_Swimmers'!$A$5:$A$22,0)))/'00_Control'!$B$10,"")</f>
        <v/>
      </c>
      <c r="U2644" s="35">
        <f>IF(T2644="","",INT(T2644))</f>
        <v/>
      </c>
      <c r="V2644" s="33" t="inlineStr">
        <is>
          <t>NO</t>
        </is>
      </c>
      <c r="W2644" s="33" t="inlineStr">
        <is>
          <t>YES</t>
        </is>
      </c>
      <c r="X2644" s="33" t="inlineStr">
        <is>
          <t>NO</t>
        </is>
      </c>
      <c r="Y2644" s="33" t="n">
        <v>6</v>
      </c>
      <c r="Z2644" s="33" t="n">
        <v>4</v>
      </c>
      <c r="AA2644" s="33" t="inlineStr">
        <is>
          <t>1</t>
        </is>
      </c>
      <c r="AB2644" s="33" t="inlineStr">
        <is>
          <t>https://www.swimcloud.com/results/309063/event/2/?id=155849023#time155849023</t>
        </is>
      </c>
      <c r="AC2644" s="33" t="inlineStr">
        <is>
          <t>SwimCloud API v6 2026-10-08</t>
        </is>
      </c>
      <c r="AD2644" s="33" t="inlineStr">
        <is>
          <t>Tajus Juska|2025-07-01|LCM|200|Free|108.24|LEN European Junior Championships|PRE|False</t>
        </is>
      </c>
      <c r="AE2644" s="53">
        <f>G2644+L2644/1000+ROW()/1000000000</f>
        <v/>
      </c>
      <c r="AF2644" s="35">
        <f>IF(C2644&lt;&gt;"Grayson Coulter","",COUNTIFS($C$5:$C$2991,"Grayson Coulter",$Q$5:$Q$2991,Q2644,$AE$5:$AE$2991,"&lt;="&amp;AE2644,$R$5:$R$2991,"&lt;"&amp;R2644))</f>
        <v/>
      </c>
      <c r="AG2644" s="35">
        <f>IF(OR(C2644&lt;&gt;"Grayson Coulter",G2644&lt;'00_Control'!$B$7),"",--(AF2644&lt;5))</f>
        <v/>
      </c>
      <c r="AH2644" s="35">
        <f>IF(OR(C2644&lt;&gt;"Grayson Coulter",G2644&lt;'00_Control'!$B$7),"",--(AF2644&lt;10))</f>
        <v/>
      </c>
      <c r="AI2644" s="35">
        <f>IF(AND(C2644="Grayson Coulter",G2644&gt;='00_Control'!$B$7),"YES","NO")</f>
        <v/>
      </c>
      <c r="AJ2644" s="33" t="inlineStr">
        <is>
          <t>OK</t>
        </is>
      </c>
    </row>
    <row r="2645">
      <c r="A2645" s="33" t="inlineStr">
        <is>
          <t>SM002641</t>
        </is>
      </c>
      <c r="B2645" s="33" t="inlineStr">
        <is>
          <t>SW006</t>
        </is>
      </c>
      <c r="C2645" s="33" t="inlineStr">
        <is>
          <t>Tajus Juska</t>
        </is>
      </c>
      <c r="D2645" s="33" t="inlineStr">
        <is>
          <t>SwimCloud</t>
        </is>
      </c>
      <c r="E2645" s="33" t="inlineStr">
        <is>
          <t>2116196</t>
        </is>
      </c>
      <c r="F2645" s="33" t="inlineStr">
        <is>
          <t>155849024</t>
        </is>
      </c>
      <c r="G2645" s="51" t="n">
        <v>45839</v>
      </c>
      <c r="H2645" s="33" t="inlineStr">
        <is>
          <t>LEN European Junior Championships</t>
        </is>
      </c>
      <c r="I2645" s="33" t="inlineStr">
        <is>
          <t>309063</t>
        </is>
      </c>
      <c r="J2645" s="33" t="inlineStr"/>
      <c r="K2645" s="33" t="inlineStr">
        <is>
          <t>SEM</t>
        </is>
      </c>
      <c r="L2645" s="35">
        <f>IF(K2645="FIN",3,IF(OR(K2645="SEM",K2645="SEMI"),2,IF(OR(K2645="PRE",K2645="HEAT"),1,IF(V2645="YES",4,2))))</f>
        <v/>
      </c>
      <c r="M2645" s="33" t="inlineStr">
        <is>
          <t>LCM</t>
        </is>
      </c>
      <c r="N2645" s="33" t="n">
        <v>200</v>
      </c>
      <c r="O2645" s="33" t="inlineStr">
        <is>
          <t>Free</t>
        </is>
      </c>
      <c r="P2645" s="33" t="inlineStr">
        <is>
          <t>200 Free</t>
        </is>
      </c>
      <c r="Q2645" s="33" t="inlineStr">
        <is>
          <t>LCM_200_FREE</t>
        </is>
      </c>
      <c r="R2645" s="36" t="n">
        <v>107.35</v>
      </c>
      <c r="S2645" s="35">
        <f>IF(R2645="","",IF(R2645&gt;=60,INT(R2645/60)&amp;":"&amp;TEXT(MOD(R2645,60),"00.00"),TEXT(R2645,"0.00")))</f>
        <v/>
      </c>
      <c r="T2645" s="52">
        <f>IFERROR((G2645-INDEX('01_Swimmers'!$E$5:$E$22,MATCH(B2645,'01_Swimmers'!$A$5:$A$22,0)))/'00_Control'!$B$10,"")</f>
        <v/>
      </c>
      <c r="U2645" s="35">
        <f>IF(T2645="","",INT(T2645))</f>
        <v/>
      </c>
      <c r="V2645" s="33" t="inlineStr">
        <is>
          <t>NO</t>
        </is>
      </c>
      <c r="W2645" s="33" t="inlineStr">
        <is>
          <t>YES</t>
        </is>
      </c>
      <c r="X2645" s="33" t="inlineStr">
        <is>
          <t>NO</t>
        </is>
      </c>
      <c r="Y2645" s="33" t="n">
        <v>2</v>
      </c>
      <c r="Z2645" s="33" t="n">
        <v>4</v>
      </c>
      <c r="AA2645" s="33" t="inlineStr">
        <is>
          <t>1</t>
        </is>
      </c>
      <c r="AB2645" s="33" t="inlineStr">
        <is>
          <t>https://www.swimcloud.com/results/309063/event/2/?id=155849024#time155849024</t>
        </is>
      </c>
      <c r="AC2645" s="33" t="inlineStr">
        <is>
          <t>SwimCloud API v6 2026-10-08</t>
        </is>
      </c>
      <c r="AD2645" s="33" t="inlineStr">
        <is>
          <t>Tajus Juska|2025-07-01|LCM|200|Free|107.35|LEN European Junior Championships|SEM|False</t>
        </is>
      </c>
      <c r="AE2645" s="53">
        <f>G2645+L2645/1000+ROW()/1000000000</f>
        <v/>
      </c>
      <c r="AF2645" s="35">
        <f>IF(C2645&lt;&gt;"Grayson Coulter","",COUNTIFS($C$5:$C$2991,"Grayson Coulter",$Q$5:$Q$2991,Q2645,$AE$5:$AE$2991,"&lt;="&amp;AE2645,$R$5:$R$2991,"&lt;"&amp;R2645))</f>
        <v/>
      </c>
      <c r="AG2645" s="35">
        <f>IF(OR(C2645&lt;&gt;"Grayson Coulter",G2645&lt;'00_Control'!$B$7),"",--(AF2645&lt;5))</f>
        <v/>
      </c>
      <c r="AH2645" s="35">
        <f>IF(OR(C2645&lt;&gt;"Grayson Coulter",G2645&lt;'00_Control'!$B$7),"",--(AF2645&lt;10))</f>
        <v/>
      </c>
      <c r="AI2645" s="35">
        <f>IF(AND(C2645="Grayson Coulter",G2645&gt;='00_Control'!$B$7),"YES","NO")</f>
        <v/>
      </c>
      <c r="AJ2645" s="33" t="inlineStr">
        <is>
          <t>OK</t>
        </is>
      </c>
    </row>
    <row r="2646">
      <c r="A2646" s="33" t="inlineStr">
        <is>
          <t>SM002642</t>
        </is>
      </c>
      <c r="B2646" s="33" t="inlineStr">
        <is>
          <t>SW006</t>
        </is>
      </c>
      <c r="C2646" s="33" t="inlineStr">
        <is>
          <t>Tajus Juska</t>
        </is>
      </c>
      <c r="D2646" s="33" t="inlineStr">
        <is>
          <t>SwimCloud</t>
        </is>
      </c>
      <c r="E2646" s="33" t="inlineStr">
        <is>
          <t>2116196</t>
        </is>
      </c>
      <c r="F2646" s="33" t="inlineStr">
        <is>
          <t>155849022</t>
        </is>
      </c>
      <c r="G2646" s="51" t="n">
        <v>45840</v>
      </c>
      <c r="H2646" s="33" t="inlineStr">
        <is>
          <t>LEN European Junior Championships</t>
        </is>
      </c>
      <c r="I2646" s="33" t="inlineStr">
        <is>
          <t>309063</t>
        </is>
      </c>
      <c r="J2646" s="33" t="inlineStr"/>
      <c r="K2646" s="33" t="inlineStr">
        <is>
          <t>FIN</t>
        </is>
      </c>
      <c r="L2646" s="35">
        <f>IF(K2646="FIN",3,IF(OR(K2646="SEM",K2646="SEMI"),2,IF(OR(K2646="PRE",K2646="HEAT"),1,IF(V2646="YES",4,2))))</f>
        <v/>
      </c>
      <c r="M2646" s="33" t="inlineStr">
        <is>
          <t>LCM</t>
        </is>
      </c>
      <c r="N2646" s="33" t="n">
        <v>200</v>
      </c>
      <c r="O2646" s="33" t="inlineStr">
        <is>
          <t>Free</t>
        </is>
      </c>
      <c r="P2646" s="33" t="inlineStr">
        <is>
          <t>200 Free</t>
        </is>
      </c>
      <c r="Q2646" s="33" t="inlineStr">
        <is>
          <t>LCM_200_FREE</t>
        </is>
      </c>
      <c r="R2646" s="36" t="n">
        <v>107.03</v>
      </c>
      <c r="S2646" s="35">
        <f>IF(R2646="","",IF(R2646&gt;=60,INT(R2646/60)&amp;":"&amp;TEXT(MOD(R2646,60),"00.00"),TEXT(R2646,"0.00")))</f>
        <v/>
      </c>
      <c r="T2646" s="52">
        <f>IFERROR((G2646-INDEX('01_Swimmers'!$E$5:$E$22,MATCH(B2646,'01_Swimmers'!$A$5:$A$22,0)))/'00_Control'!$B$10,"")</f>
        <v/>
      </c>
      <c r="U2646" s="35">
        <f>IF(T2646="","",INT(T2646))</f>
        <v/>
      </c>
      <c r="V2646" s="33" t="inlineStr">
        <is>
          <t>NO</t>
        </is>
      </c>
      <c r="W2646" s="33" t="inlineStr">
        <is>
          <t>YES</t>
        </is>
      </c>
      <c r="X2646" s="33" t="inlineStr">
        <is>
          <t>NO</t>
        </is>
      </c>
      <c r="Y2646" s="33" t="n">
        <v>1</v>
      </c>
      <c r="Z2646" s="33" t="n">
        <v>4</v>
      </c>
      <c r="AA2646" s="33" t="inlineStr">
        <is>
          <t>2</t>
        </is>
      </c>
      <c r="AB2646" s="33" t="inlineStr">
        <is>
          <t>https://www.swimcloud.com/results/309063/event/2/?id=155849022#time155849022</t>
        </is>
      </c>
      <c r="AC2646" s="33" t="inlineStr">
        <is>
          <t>SwimCloud API v6 2026-10-08</t>
        </is>
      </c>
      <c r="AD2646" s="33" t="inlineStr">
        <is>
          <t>Tajus Juska|2025-07-02|LCM|200|Free|107.03|LEN European Junior Championships|FIN|False</t>
        </is>
      </c>
      <c r="AE2646" s="53">
        <f>G2646+L2646/1000+ROW()/1000000000</f>
        <v/>
      </c>
      <c r="AF2646" s="35">
        <f>IF(C2646&lt;&gt;"Grayson Coulter","",COUNTIFS($C$5:$C$2991,"Grayson Coulter",$Q$5:$Q$2991,Q2646,$AE$5:$AE$2991,"&lt;="&amp;AE2646,$R$5:$R$2991,"&lt;"&amp;R2646))</f>
        <v/>
      </c>
      <c r="AG2646" s="35">
        <f>IF(OR(C2646&lt;&gt;"Grayson Coulter",G2646&lt;'00_Control'!$B$7),"",--(AF2646&lt;5))</f>
        <v/>
      </c>
      <c r="AH2646" s="35">
        <f>IF(OR(C2646&lt;&gt;"Grayson Coulter",G2646&lt;'00_Control'!$B$7),"",--(AF2646&lt;10))</f>
        <v/>
      </c>
      <c r="AI2646" s="35">
        <f>IF(AND(C2646="Grayson Coulter",G2646&gt;='00_Control'!$B$7),"YES","NO")</f>
        <v/>
      </c>
      <c r="AJ2646" s="33" t="inlineStr">
        <is>
          <t>OK</t>
        </is>
      </c>
    </row>
    <row r="2647">
      <c r="A2647" s="33" t="inlineStr">
        <is>
          <t>SM002643</t>
        </is>
      </c>
      <c r="B2647" s="33" t="inlineStr">
        <is>
          <t>SW006</t>
        </is>
      </c>
      <c r="C2647" s="33" t="inlineStr">
        <is>
          <t>Tajus Juska</t>
        </is>
      </c>
      <c r="D2647" s="33" t="inlineStr">
        <is>
          <t>SwimCloud</t>
        </is>
      </c>
      <c r="E2647" s="33" t="inlineStr">
        <is>
          <t>2116196</t>
        </is>
      </c>
      <c r="F2647" s="33" t="inlineStr">
        <is>
          <t>155849017</t>
        </is>
      </c>
      <c r="G2647" s="51" t="n">
        <v>45841</v>
      </c>
      <c r="H2647" s="33" t="inlineStr">
        <is>
          <t>LEN European Junior Championships</t>
        </is>
      </c>
      <c r="I2647" s="33" t="inlineStr">
        <is>
          <t>309063</t>
        </is>
      </c>
      <c r="J2647" s="33" t="inlineStr"/>
      <c r="K2647" s="33" t="inlineStr">
        <is>
          <t>PRE</t>
        </is>
      </c>
      <c r="L2647" s="35">
        <f>IF(K2647="FIN",3,IF(OR(K2647="SEM",K2647="SEMI"),2,IF(OR(K2647="PRE",K2647="HEAT"),1,IF(V2647="YES",4,2))))</f>
        <v/>
      </c>
      <c r="M2647" s="33" t="inlineStr">
        <is>
          <t>LCM</t>
        </is>
      </c>
      <c r="N2647" s="33" t="n">
        <v>100</v>
      </c>
      <c r="O2647" s="33" t="inlineStr">
        <is>
          <t>Fly</t>
        </is>
      </c>
      <c r="P2647" s="33" t="inlineStr">
        <is>
          <t>100 Fly</t>
        </is>
      </c>
      <c r="Q2647" s="33" t="inlineStr">
        <is>
          <t>LCM_100_FLY</t>
        </is>
      </c>
      <c r="R2647" s="36" t="n">
        <v>53.99</v>
      </c>
      <c r="S2647" s="35">
        <f>IF(R2647="","",IF(R2647&gt;=60,INT(R2647/60)&amp;":"&amp;TEXT(MOD(R2647,60),"00.00"),TEXT(R2647,"0.00")))</f>
        <v/>
      </c>
      <c r="T2647" s="52">
        <f>IFERROR((G2647-INDEX('01_Swimmers'!$E$5:$E$22,MATCH(B2647,'01_Swimmers'!$A$5:$A$22,0)))/'00_Control'!$B$10,"")</f>
        <v/>
      </c>
      <c r="U2647" s="35">
        <f>IF(T2647="","",INT(T2647))</f>
        <v/>
      </c>
      <c r="V2647" s="33" t="inlineStr">
        <is>
          <t>NO</t>
        </is>
      </c>
      <c r="W2647" s="33" t="inlineStr">
        <is>
          <t>YES</t>
        </is>
      </c>
      <c r="X2647" s="33" t="inlineStr">
        <is>
          <t>NO</t>
        </is>
      </c>
      <c r="Y2647" s="33" t="n">
        <v>6</v>
      </c>
      <c r="Z2647" s="33" t="n">
        <v>4</v>
      </c>
      <c r="AA2647" s="33" t="inlineStr">
        <is>
          <t>9</t>
        </is>
      </c>
      <c r="AB2647" s="33" t="inlineStr">
        <is>
          <t>https://www.swimcloud.com/results/309063/event/18/?id=155849017#time155849017</t>
        </is>
      </c>
      <c r="AC2647" s="33" t="inlineStr">
        <is>
          <t>SwimCloud API v6 2026-10-08</t>
        </is>
      </c>
      <c r="AD2647" s="33" t="inlineStr">
        <is>
          <t>Tajus Juska|2025-07-03|LCM|100|Fly|53.99|LEN European Junior Championships|PRE|False</t>
        </is>
      </c>
      <c r="AE2647" s="53">
        <f>G2647+L2647/1000+ROW()/1000000000</f>
        <v/>
      </c>
      <c r="AF2647" s="35">
        <f>IF(C2647&lt;&gt;"Grayson Coulter","",COUNTIFS($C$5:$C$2991,"Grayson Coulter",$Q$5:$Q$2991,Q2647,$AE$5:$AE$2991,"&lt;="&amp;AE2647,$R$5:$R$2991,"&lt;"&amp;R2647))</f>
        <v/>
      </c>
      <c r="AG2647" s="35">
        <f>IF(OR(C2647&lt;&gt;"Grayson Coulter",G2647&lt;'00_Control'!$B$7),"",--(AF2647&lt;5))</f>
        <v/>
      </c>
      <c r="AH2647" s="35">
        <f>IF(OR(C2647&lt;&gt;"Grayson Coulter",G2647&lt;'00_Control'!$B$7),"",--(AF2647&lt;10))</f>
        <v/>
      </c>
      <c r="AI2647" s="35">
        <f>IF(AND(C2647="Grayson Coulter",G2647&gt;='00_Control'!$B$7),"YES","NO")</f>
        <v/>
      </c>
      <c r="AJ2647" s="33" t="inlineStr">
        <is>
          <t>OK</t>
        </is>
      </c>
    </row>
    <row r="2648">
      <c r="A2648" s="33" t="inlineStr">
        <is>
          <t>SM002644</t>
        </is>
      </c>
      <c r="B2648" s="33" t="inlineStr">
        <is>
          <t>SW006</t>
        </is>
      </c>
      <c r="C2648" s="33" t="inlineStr">
        <is>
          <t>Tajus Juska</t>
        </is>
      </c>
      <c r="D2648" s="33" t="inlineStr">
        <is>
          <t>SwimCloud</t>
        </is>
      </c>
      <c r="E2648" s="33" t="inlineStr">
        <is>
          <t>2116196</t>
        </is>
      </c>
      <c r="F2648" s="33" t="inlineStr">
        <is>
          <t>155849018</t>
        </is>
      </c>
      <c r="G2648" s="51" t="n">
        <v>45841</v>
      </c>
      <c r="H2648" s="33" t="inlineStr">
        <is>
          <t>LEN European Junior Championships</t>
        </is>
      </c>
      <c r="I2648" s="33" t="inlineStr">
        <is>
          <t>309063</t>
        </is>
      </c>
      <c r="J2648" s="33" t="inlineStr"/>
      <c r="K2648" s="33" t="inlineStr">
        <is>
          <t>SEM</t>
        </is>
      </c>
      <c r="L2648" s="35">
        <f>IF(K2648="FIN",3,IF(OR(K2648="SEM",K2648="SEMI"),2,IF(OR(K2648="PRE",K2648="HEAT"),1,IF(V2648="YES",4,2))))</f>
        <v/>
      </c>
      <c r="M2648" s="33" t="inlineStr">
        <is>
          <t>LCM</t>
        </is>
      </c>
      <c r="N2648" s="33" t="n">
        <v>100</v>
      </c>
      <c r="O2648" s="33" t="inlineStr">
        <is>
          <t>Fly</t>
        </is>
      </c>
      <c r="P2648" s="33" t="inlineStr">
        <is>
          <t>100 Fly</t>
        </is>
      </c>
      <c r="Q2648" s="33" t="inlineStr">
        <is>
          <t>LCM_100_FLY</t>
        </is>
      </c>
      <c r="R2648" s="36" t="n">
        <v>53.15</v>
      </c>
      <c r="S2648" s="35">
        <f>IF(R2648="","",IF(R2648&gt;=60,INT(R2648/60)&amp;":"&amp;TEXT(MOD(R2648,60),"00.00"),TEXT(R2648,"0.00")))</f>
        <v/>
      </c>
      <c r="T2648" s="52">
        <f>IFERROR((G2648-INDEX('01_Swimmers'!$E$5:$E$22,MATCH(B2648,'01_Swimmers'!$A$5:$A$22,0)))/'00_Control'!$B$10,"")</f>
        <v/>
      </c>
      <c r="U2648" s="35">
        <f>IF(T2648="","",INT(T2648))</f>
        <v/>
      </c>
      <c r="V2648" s="33" t="inlineStr">
        <is>
          <t>NO</t>
        </is>
      </c>
      <c r="W2648" s="33" t="inlineStr">
        <is>
          <t>YES</t>
        </is>
      </c>
      <c r="X2648" s="33" t="inlineStr">
        <is>
          <t>NO</t>
        </is>
      </c>
      <c r="Y2648" s="33" t="n">
        <v>2</v>
      </c>
      <c r="Z2648" s="33" t="n">
        <v>2</v>
      </c>
      <c r="AA2648" s="33" t="inlineStr">
        <is>
          <t>6</t>
        </is>
      </c>
      <c r="AB2648" s="33" t="inlineStr">
        <is>
          <t>https://www.swimcloud.com/results/309063/event/18/?id=155849018#time155849018</t>
        </is>
      </c>
      <c r="AC2648" s="33" t="inlineStr">
        <is>
          <t>SwimCloud API v6 2026-10-08</t>
        </is>
      </c>
      <c r="AD2648" s="33" t="inlineStr">
        <is>
          <t>Tajus Juska|2025-07-03|LCM|100|Fly|53.15|LEN European Junior Championships|SEM|False</t>
        </is>
      </c>
      <c r="AE2648" s="53">
        <f>G2648+L2648/1000+ROW()/1000000000</f>
        <v/>
      </c>
      <c r="AF2648" s="35">
        <f>IF(C2648&lt;&gt;"Grayson Coulter","",COUNTIFS($C$5:$C$2991,"Grayson Coulter",$Q$5:$Q$2991,Q2648,$AE$5:$AE$2991,"&lt;="&amp;AE2648,$R$5:$R$2991,"&lt;"&amp;R2648))</f>
        <v/>
      </c>
      <c r="AG2648" s="35">
        <f>IF(OR(C2648&lt;&gt;"Grayson Coulter",G2648&lt;'00_Control'!$B$7),"",--(AF2648&lt;5))</f>
        <v/>
      </c>
      <c r="AH2648" s="35">
        <f>IF(OR(C2648&lt;&gt;"Grayson Coulter",G2648&lt;'00_Control'!$B$7),"",--(AF2648&lt;10))</f>
        <v/>
      </c>
      <c r="AI2648" s="35">
        <f>IF(AND(C2648="Grayson Coulter",G2648&gt;='00_Control'!$B$7),"YES","NO")</f>
        <v/>
      </c>
      <c r="AJ2648" s="33" t="inlineStr">
        <is>
          <t>OK</t>
        </is>
      </c>
    </row>
    <row r="2649">
      <c r="A2649" s="33" t="inlineStr">
        <is>
          <t>SM002645</t>
        </is>
      </c>
      <c r="B2649" s="33" t="inlineStr">
        <is>
          <t>SW006</t>
        </is>
      </c>
      <c r="C2649" s="33" t="inlineStr">
        <is>
          <t>Tajus Juska</t>
        </is>
      </c>
      <c r="D2649" s="33" t="inlineStr">
        <is>
          <t>SwimCloud</t>
        </is>
      </c>
      <c r="E2649" s="33" t="inlineStr">
        <is>
          <t>2116196</t>
        </is>
      </c>
      <c r="F2649" s="33" t="inlineStr">
        <is>
          <t>155849016</t>
        </is>
      </c>
      <c r="G2649" s="51" t="n">
        <v>45842</v>
      </c>
      <c r="H2649" s="33" t="inlineStr">
        <is>
          <t>LEN European Junior Championships</t>
        </is>
      </c>
      <c r="I2649" s="33" t="inlineStr">
        <is>
          <t>309063</t>
        </is>
      </c>
      <c r="J2649" s="33" t="inlineStr"/>
      <c r="K2649" s="33" t="inlineStr">
        <is>
          <t>FIN</t>
        </is>
      </c>
      <c r="L2649" s="35">
        <f>IF(K2649="FIN",3,IF(OR(K2649="SEM",K2649="SEMI"),2,IF(OR(K2649="PRE",K2649="HEAT"),1,IF(V2649="YES",4,2))))</f>
        <v/>
      </c>
      <c r="M2649" s="33" t="inlineStr">
        <is>
          <t>LCM</t>
        </is>
      </c>
      <c r="N2649" s="33" t="n">
        <v>100</v>
      </c>
      <c r="O2649" s="33" t="inlineStr">
        <is>
          <t>Fly</t>
        </is>
      </c>
      <c r="P2649" s="33" t="inlineStr">
        <is>
          <t>100 Fly</t>
        </is>
      </c>
      <c r="Q2649" s="33" t="inlineStr">
        <is>
          <t>LCM_100_FLY</t>
        </is>
      </c>
      <c r="R2649" s="36" t="n">
        <v>52.54</v>
      </c>
      <c r="S2649" s="35">
        <f>IF(R2649="","",IF(R2649&gt;=60,INT(R2649/60)&amp;":"&amp;TEXT(MOD(R2649,60),"00.00"),TEXT(R2649,"0.00")))</f>
        <v/>
      </c>
      <c r="T2649" s="52">
        <f>IFERROR((G2649-INDEX('01_Swimmers'!$E$5:$E$22,MATCH(B2649,'01_Swimmers'!$A$5:$A$22,0)))/'00_Control'!$B$10,"")</f>
        <v/>
      </c>
      <c r="U2649" s="35">
        <f>IF(T2649="","",INT(T2649))</f>
        <v/>
      </c>
      <c r="V2649" s="33" t="inlineStr">
        <is>
          <t>NO</t>
        </is>
      </c>
      <c r="W2649" s="33" t="inlineStr">
        <is>
          <t>YES</t>
        </is>
      </c>
      <c r="X2649" s="33" t="inlineStr">
        <is>
          <t>NO</t>
        </is>
      </c>
      <c r="Y2649" s="33" t="n">
        <v>1</v>
      </c>
      <c r="Z2649" s="33" t="n">
        <v>7</v>
      </c>
      <c r="AA2649" s="33" t="inlineStr">
        <is>
          <t>1</t>
        </is>
      </c>
      <c r="AB2649" s="33" t="inlineStr">
        <is>
          <t>https://www.swimcloud.com/results/309063/event/18/?id=155849016#time155849016</t>
        </is>
      </c>
      <c r="AC2649" s="33" t="inlineStr">
        <is>
          <t>SwimCloud API v6 2026-10-08</t>
        </is>
      </c>
      <c r="AD2649" s="33" t="inlineStr">
        <is>
          <t>Tajus Juska|2025-07-04|LCM|100|Fly|52.54|LEN European Junior Championships|FIN|False</t>
        </is>
      </c>
      <c r="AE2649" s="53">
        <f>G2649+L2649/1000+ROW()/1000000000</f>
        <v/>
      </c>
      <c r="AF2649" s="35">
        <f>IF(C2649&lt;&gt;"Grayson Coulter","",COUNTIFS($C$5:$C$2991,"Grayson Coulter",$Q$5:$Q$2991,Q2649,$AE$5:$AE$2991,"&lt;="&amp;AE2649,$R$5:$R$2991,"&lt;"&amp;R2649))</f>
        <v/>
      </c>
      <c r="AG2649" s="35">
        <f>IF(OR(C2649&lt;&gt;"Grayson Coulter",G2649&lt;'00_Control'!$B$7),"",--(AF2649&lt;5))</f>
        <v/>
      </c>
      <c r="AH2649" s="35">
        <f>IF(OR(C2649&lt;&gt;"Grayson Coulter",G2649&lt;'00_Control'!$B$7),"",--(AF2649&lt;10))</f>
        <v/>
      </c>
      <c r="AI2649" s="35">
        <f>IF(AND(C2649="Grayson Coulter",G2649&gt;='00_Control'!$B$7),"YES","NO")</f>
        <v/>
      </c>
      <c r="AJ2649" s="33" t="inlineStr">
        <is>
          <t>OK</t>
        </is>
      </c>
    </row>
    <row r="2650">
      <c r="A2650" s="33" t="inlineStr">
        <is>
          <t>SM002646</t>
        </is>
      </c>
      <c r="B2650" s="33" t="inlineStr">
        <is>
          <t>SW006</t>
        </is>
      </c>
      <c r="C2650" s="33" t="inlineStr">
        <is>
          <t>Tajus Juska</t>
        </is>
      </c>
      <c r="D2650" s="33" t="inlineStr">
        <is>
          <t>SwimCloud</t>
        </is>
      </c>
      <c r="E2650" s="33" t="inlineStr">
        <is>
          <t>2116196</t>
        </is>
      </c>
      <c r="F2650" s="33" t="inlineStr">
        <is>
          <t>155849020</t>
        </is>
      </c>
      <c r="G2650" s="51" t="n">
        <v>45843</v>
      </c>
      <c r="H2650" s="33" t="inlineStr">
        <is>
          <t>LEN European Junior Championships</t>
        </is>
      </c>
      <c r="I2650" s="33" t="inlineStr">
        <is>
          <t>309063</t>
        </is>
      </c>
      <c r="J2650" s="33" t="inlineStr"/>
      <c r="K2650" s="33" t="inlineStr">
        <is>
          <t>PRE</t>
        </is>
      </c>
      <c r="L2650" s="35">
        <f>IF(K2650="FIN",3,IF(OR(K2650="SEM",K2650="SEMI"),2,IF(OR(K2650="PRE",K2650="HEAT"),1,IF(V2650="YES",4,2))))</f>
        <v/>
      </c>
      <c r="M2650" s="33" t="inlineStr">
        <is>
          <t>LCM</t>
        </is>
      </c>
      <c r="N2650" s="33" t="n">
        <v>100</v>
      </c>
      <c r="O2650" s="33" t="inlineStr">
        <is>
          <t>Free</t>
        </is>
      </c>
      <c r="P2650" s="33" t="inlineStr">
        <is>
          <t>100 Free</t>
        </is>
      </c>
      <c r="Q2650" s="33" t="inlineStr">
        <is>
          <t>LCM_100_FREE</t>
        </is>
      </c>
      <c r="R2650" s="36" t="n">
        <v>49.96</v>
      </c>
      <c r="S2650" s="35">
        <f>IF(R2650="","",IF(R2650&gt;=60,INT(R2650/60)&amp;":"&amp;TEXT(MOD(R2650,60),"00.00"),TEXT(R2650,"0.00")))</f>
        <v/>
      </c>
      <c r="T2650" s="52">
        <f>IFERROR((G2650-INDEX('01_Swimmers'!$E$5:$E$22,MATCH(B2650,'01_Swimmers'!$A$5:$A$22,0)))/'00_Control'!$B$10,"")</f>
        <v/>
      </c>
      <c r="U2650" s="35">
        <f>IF(T2650="","",INT(T2650))</f>
        <v/>
      </c>
      <c r="V2650" s="33" t="inlineStr">
        <is>
          <t>NO</t>
        </is>
      </c>
      <c r="W2650" s="33" t="inlineStr">
        <is>
          <t>YES</t>
        </is>
      </c>
      <c r="X2650" s="33" t="inlineStr">
        <is>
          <t>NO</t>
        </is>
      </c>
      <c r="Y2650" s="33" t="n">
        <v>9</v>
      </c>
      <c r="Z2650" s="33" t="n">
        <v>4</v>
      </c>
      <c r="AA2650" s="33" t="inlineStr">
        <is>
          <t>5</t>
        </is>
      </c>
      <c r="AB2650" s="33" t="inlineStr">
        <is>
          <t>https://www.swimcloud.com/results/309063/event/30/?id=155849020#time155849020</t>
        </is>
      </c>
      <c r="AC2650" s="33" t="inlineStr">
        <is>
          <t>SwimCloud API v6 2026-10-08</t>
        </is>
      </c>
      <c r="AD2650" s="33" t="inlineStr">
        <is>
          <t>Tajus Juska|2025-07-05|LCM|100|Free|49.96|LEN European Junior Championships|PRE|False</t>
        </is>
      </c>
      <c r="AE2650" s="53">
        <f>G2650+L2650/1000+ROW()/1000000000</f>
        <v/>
      </c>
      <c r="AF2650" s="35">
        <f>IF(C2650&lt;&gt;"Grayson Coulter","",COUNTIFS($C$5:$C$2991,"Grayson Coulter",$Q$5:$Q$2991,Q2650,$AE$5:$AE$2991,"&lt;="&amp;AE2650,$R$5:$R$2991,"&lt;"&amp;R2650))</f>
        <v/>
      </c>
      <c r="AG2650" s="35">
        <f>IF(OR(C2650&lt;&gt;"Grayson Coulter",G2650&lt;'00_Control'!$B$7),"",--(AF2650&lt;5))</f>
        <v/>
      </c>
      <c r="AH2650" s="35">
        <f>IF(OR(C2650&lt;&gt;"Grayson Coulter",G2650&lt;'00_Control'!$B$7),"",--(AF2650&lt;10))</f>
        <v/>
      </c>
      <c r="AI2650" s="35">
        <f>IF(AND(C2650="Grayson Coulter",G2650&gt;='00_Control'!$B$7),"YES","NO")</f>
        <v/>
      </c>
      <c r="AJ2650" s="33" t="inlineStr">
        <is>
          <t>OK</t>
        </is>
      </c>
    </row>
    <row r="2651">
      <c r="A2651" s="33" t="inlineStr">
        <is>
          <t>SM002647</t>
        </is>
      </c>
      <c r="B2651" s="33" t="inlineStr">
        <is>
          <t>SW006</t>
        </is>
      </c>
      <c r="C2651" s="33" t="inlineStr">
        <is>
          <t>Tajus Juska</t>
        </is>
      </c>
      <c r="D2651" s="33" t="inlineStr">
        <is>
          <t>SwimCloud</t>
        </is>
      </c>
      <c r="E2651" s="33" t="inlineStr">
        <is>
          <t>2116196</t>
        </is>
      </c>
      <c r="F2651" s="33" t="inlineStr">
        <is>
          <t>155849021</t>
        </is>
      </c>
      <c r="G2651" s="51" t="n">
        <v>45843</v>
      </c>
      <c r="H2651" s="33" t="inlineStr">
        <is>
          <t>LEN European Junior Championships</t>
        </is>
      </c>
      <c r="I2651" s="33" t="inlineStr">
        <is>
          <t>309063</t>
        </is>
      </c>
      <c r="J2651" s="33" t="inlineStr"/>
      <c r="K2651" s="33" t="inlineStr">
        <is>
          <t>SEM</t>
        </is>
      </c>
      <c r="L2651" s="35">
        <f>IF(K2651="FIN",3,IF(OR(K2651="SEM",K2651="SEMI"),2,IF(OR(K2651="PRE",K2651="HEAT"),1,IF(V2651="YES",4,2))))</f>
        <v/>
      </c>
      <c r="M2651" s="33" t="inlineStr">
        <is>
          <t>LCM</t>
        </is>
      </c>
      <c r="N2651" s="33" t="n">
        <v>100</v>
      </c>
      <c r="O2651" s="33" t="inlineStr">
        <is>
          <t>Free</t>
        </is>
      </c>
      <c r="P2651" s="33" t="inlineStr">
        <is>
          <t>100 Free</t>
        </is>
      </c>
      <c r="Q2651" s="33" t="inlineStr">
        <is>
          <t>LCM_100_FREE</t>
        </is>
      </c>
      <c r="R2651" s="36" t="n">
        <v>49.06</v>
      </c>
      <c r="S2651" s="35">
        <f>IF(R2651="","",IF(R2651&gt;=60,INT(R2651/60)&amp;":"&amp;TEXT(MOD(R2651,60),"00.00"),TEXT(R2651,"0.00")))</f>
        <v/>
      </c>
      <c r="T2651" s="52">
        <f>IFERROR((G2651-INDEX('01_Swimmers'!$E$5:$E$22,MATCH(B2651,'01_Swimmers'!$A$5:$A$22,0)))/'00_Control'!$B$10,"")</f>
        <v/>
      </c>
      <c r="U2651" s="35">
        <f>IF(T2651="","",INT(T2651))</f>
        <v/>
      </c>
      <c r="V2651" s="33" t="inlineStr">
        <is>
          <t>NO</t>
        </is>
      </c>
      <c r="W2651" s="33" t="inlineStr">
        <is>
          <t>YES</t>
        </is>
      </c>
      <c r="X2651" s="33" t="inlineStr">
        <is>
          <t>NO</t>
        </is>
      </c>
      <c r="Y2651" s="33" t="n">
        <v>2</v>
      </c>
      <c r="Z2651" s="33" t="n">
        <v>3</v>
      </c>
      <c r="AA2651" s="33" t="inlineStr">
        <is>
          <t>1</t>
        </is>
      </c>
      <c r="AB2651" s="33" t="inlineStr">
        <is>
          <t>https://www.swimcloud.com/results/309063/event/30/?id=155849021#time155849021</t>
        </is>
      </c>
      <c r="AC2651" s="33" t="inlineStr">
        <is>
          <t>SwimCloud API v6 2026-10-08</t>
        </is>
      </c>
      <c r="AD2651" s="33" t="inlineStr">
        <is>
          <t>Tajus Juska|2025-07-05|LCM|100|Free|49.06|LEN European Junior Championships|SEM|False</t>
        </is>
      </c>
      <c r="AE2651" s="53">
        <f>G2651+L2651/1000+ROW()/1000000000</f>
        <v/>
      </c>
      <c r="AF2651" s="35">
        <f>IF(C2651&lt;&gt;"Grayson Coulter","",COUNTIFS($C$5:$C$2991,"Grayson Coulter",$Q$5:$Q$2991,Q2651,$AE$5:$AE$2991,"&lt;="&amp;AE2651,$R$5:$R$2991,"&lt;"&amp;R2651))</f>
        <v/>
      </c>
      <c r="AG2651" s="35">
        <f>IF(OR(C2651&lt;&gt;"Grayson Coulter",G2651&lt;'00_Control'!$B$7),"",--(AF2651&lt;5))</f>
        <v/>
      </c>
      <c r="AH2651" s="35">
        <f>IF(OR(C2651&lt;&gt;"Grayson Coulter",G2651&lt;'00_Control'!$B$7),"",--(AF2651&lt;10))</f>
        <v/>
      </c>
      <c r="AI2651" s="35">
        <f>IF(AND(C2651="Grayson Coulter",G2651&gt;='00_Control'!$B$7),"YES","NO")</f>
        <v/>
      </c>
      <c r="AJ2651" s="33" t="inlineStr">
        <is>
          <t>OK</t>
        </is>
      </c>
    </row>
    <row r="2652">
      <c r="A2652" s="33" t="inlineStr">
        <is>
          <t>SM002648</t>
        </is>
      </c>
      <c r="B2652" s="33" t="inlineStr">
        <is>
          <t>SW006</t>
        </is>
      </c>
      <c r="C2652" s="33" t="inlineStr">
        <is>
          <t>Tajus Juska</t>
        </is>
      </c>
      <c r="D2652" s="33" t="inlineStr">
        <is>
          <t>SwimCloud</t>
        </is>
      </c>
      <c r="E2652" s="33" t="inlineStr">
        <is>
          <t>2116196</t>
        </is>
      </c>
      <c r="F2652" s="33" t="inlineStr">
        <is>
          <t>155849019</t>
        </is>
      </c>
      <c r="G2652" s="51" t="n">
        <v>45844</v>
      </c>
      <c r="H2652" s="33" t="inlineStr">
        <is>
          <t>LEN European Junior Championships</t>
        </is>
      </c>
      <c r="I2652" s="33" t="inlineStr">
        <is>
          <t>309063</t>
        </is>
      </c>
      <c r="J2652" s="33" t="inlineStr"/>
      <c r="K2652" s="33" t="inlineStr">
        <is>
          <t>FIN</t>
        </is>
      </c>
      <c r="L2652" s="35">
        <f>IF(K2652="FIN",3,IF(OR(K2652="SEM",K2652="SEMI"),2,IF(OR(K2652="PRE",K2652="HEAT"),1,IF(V2652="YES",4,2))))</f>
        <v/>
      </c>
      <c r="M2652" s="33" t="inlineStr">
        <is>
          <t>LCM</t>
        </is>
      </c>
      <c r="N2652" s="33" t="n">
        <v>100</v>
      </c>
      <c r="O2652" s="33" t="inlineStr">
        <is>
          <t>Free</t>
        </is>
      </c>
      <c r="P2652" s="33" t="inlineStr">
        <is>
          <t>100 Free</t>
        </is>
      </c>
      <c r="Q2652" s="33" t="inlineStr">
        <is>
          <t>LCM_100_FREE</t>
        </is>
      </c>
      <c r="R2652" s="36" t="n">
        <v>48.57</v>
      </c>
      <c r="S2652" s="35">
        <f>IF(R2652="","",IF(R2652&gt;=60,INT(R2652/60)&amp;":"&amp;TEXT(MOD(R2652,60),"00.00"),TEXT(R2652,"0.00")))</f>
        <v/>
      </c>
      <c r="T2652" s="52">
        <f>IFERROR((G2652-INDEX('01_Swimmers'!$E$5:$E$22,MATCH(B2652,'01_Swimmers'!$A$5:$A$22,0)))/'00_Control'!$B$10,"")</f>
        <v/>
      </c>
      <c r="U2652" s="35">
        <f>IF(T2652="","",INT(T2652))</f>
        <v/>
      </c>
      <c r="V2652" s="33" t="inlineStr">
        <is>
          <t>NO</t>
        </is>
      </c>
      <c r="W2652" s="33" t="inlineStr">
        <is>
          <t>YES</t>
        </is>
      </c>
      <c r="X2652" s="33" t="inlineStr">
        <is>
          <t>NO</t>
        </is>
      </c>
      <c r="Y2652" s="33" t="n">
        <v>1</v>
      </c>
      <c r="Z2652" s="33" t="n">
        <v>4</v>
      </c>
      <c r="AA2652" s="33" t="inlineStr">
        <is>
          <t>2</t>
        </is>
      </c>
      <c r="AB2652" s="33" t="inlineStr">
        <is>
          <t>https://www.swimcloud.com/results/309063/event/30/?id=155849019#time155849019</t>
        </is>
      </c>
      <c r="AC2652" s="33" t="inlineStr">
        <is>
          <t>SwimCloud API v6 2026-10-08</t>
        </is>
      </c>
      <c r="AD2652" s="33" t="inlineStr">
        <is>
          <t>Tajus Juska|2025-07-06|LCM|100|Free|48.57|LEN European Junior Championships|FIN|False</t>
        </is>
      </c>
      <c r="AE2652" s="53">
        <f>G2652+L2652/1000+ROW()/1000000000</f>
        <v/>
      </c>
      <c r="AF2652" s="35">
        <f>IF(C2652&lt;&gt;"Grayson Coulter","",COUNTIFS($C$5:$C$2991,"Grayson Coulter",$Q$5:$Q$2991,Q2652,$AE$5:$AE$2991,"&lt;="&amp;AE2652,$R$5:$R$2991,"&lt;"&amp;R2652))</f>
        <v/>
      </c>
      <c r="AG2652" s="35">
        <f>IF(OR(C2652&lt;&gt;"Grayson Coulter",G2652&lt;'00_Control'!$B$7),"",--(AF2652&lt;5))</f>
        <v/>
      </c>
      <c r="AH2652" s="35">
        <f>IF(OR(C2652&lt;&gt;"Grayson Coulter",G2652&lt;'00_Control'!$B$7),"",--(AF2652&lt;10))</f>
        <v/>
      </c>
      <c r="AI2652" s="35">
        <f>IF(AND(C2652="Grayson Coulter",G2652&gt;='00_Control'!$B$7),"YES","NO")</f>
        <v/>
      </c>
      <c r="AJ2652" s="33" t="inlineStr">
        <is>
          <t>OK</t>
        </is>
      </c>
    </row>
    <row r="2653">
      <c r="A2653" s="33" t="inlineStr">
        <is>
          <t>SM002649</t>
        </is>
      </c>
      <c r="B2653" s="33" t="inlineStr">
        <is>
          <t>SW006</t>
        </is>
      </c>
      <c r="C2653" s="33" t="inlineStr">
        <is>
          <t>Tajus Juska</t>
        </is>
      </c>
      <c r="D2653" s="33" t="inlineStr">
        <is>
          <t>SwimCloud</t>
        </is>
      </c>
      <c r="E2653" s="33" t="inlineStr">
        <is>
          <t>2116196</t>
        </is>
      </c>
      <c r="F2653" s="33" t="inlineStr">
        <is>
          <t>156829679</t>
        </is>
      </c>
      <c r="G2653" s="51" t="n">
        <v>45865</v>
      </c>
      <c r="H2653" s="33" t="inlineStr">
        <is>
          <t>22nd World Aquatics Championships</t>
        </is>
      </c>
      <c r="I2653" s="33" t="inlineStr">
        <is>
          <t>348385</t>
        </is>
      </c>
      <c r="J2653" s="33" t="inlineStr"/>
      <c r="K2653" s="33" t="inlineStr">
        <is>
          <t>PRE</t>
        </is>
      </c>
      <c r="L2653" s="35">
        <f>IF(K2653="FIN",3,IF(OR(K2653="SEM",K2653="SEMI"),2,IF(OR(K2653="PRE",K2653="HEAT"),1,IF(V2653="YES",4,2))))</f>
        <v/>
      </c>
      <c r="M2653" s="33" t="inlineStr">
        <is>
          <t>LCM</t>
        </is>
      </c>
      <c r="N2653" s="33" t="n">
        <v>100</v>
      </c>
      <c r="O2653" s="33" t="inlineStr">
        <is>
          <t>Free</t>
        </is>
      </c>
      <c r="P2653" s="33" t="inlineStr">
        <is>
          <t>100 Free</t>
        </is>
      </c>
      <c r="Q2653" s="33" t="inlineStr">
        <is>
          <t>LCM_100_FREE</t>
        </is>
      </c>
      <c r="R2653" s="36" t="n">
        <v>48.6</v>
      </c>
      <c r="S2653" s="35">
        <f>IF(R2653="","",IF(R2653&gt;=60,INT(R2653/60)&amp;":"&amp;TEXT(MOD(R2653,60),"00.00"),TEXT(R2653,"0.00")))</f>
        <v/>
      </c>
      <c r="T2653" s="52">
        <f>IFERROR((G2653-INDEX('01_Swimmers'!$E$5:$E$22,MATCH(B2653,'01_Swimmers'!$A$5:$A$22,0)))/'00_Control'!$B$10,"")</f>
        <v/>
      </c>
      <c r="U2653" s="35">
        <f>IF(T2653="","",INT(T2653))</f>
        <v/>
      </c>
      <c r="V2653" s="33" t="inlineStr">
        <is>
          <t>YES</t>
        </is>
      </c>
      <c r="W2653" s="33" t="inlineStr">
        <is>
          <t>YES</t>
        </is>
      </c>
      <c r="X2653" s="33" t="inlineStr">
        <is>
          <t>NO</t>
        </is>
      </c>
      <c r="Y2653" s="33" t="n">
        <v>2</v>
      </c>
      <c r="Z2653" s="33" t="n">
        <v>8</v>
      </c>
      <c r="AA2653" s="33" t="inlineStr"/>
      <c r="AB2653" s="33" t="inlineStr">
        <is>
          <t>https://www.swimcloud.com/results/348385/event/8/?id=156827704#time156827704</t>
        </is>
      </c>
      <c r="AC2653" s="33" t="inlineStr">
        <is>
          <t>SwimCloud API v6 2026-10-08</t>
        </is>
      </c>
      <c r="AD2653" s="33" t="inlineStr">
        <is>
          <t>Tajus Juska|2025-07-27|LCM|100|Free|48.6|22nd World Aquatics Championships|PRE|True</t>
        </is>
      </c>
      <c r="AE2653" s="53">
        <f>G2653+L2653/1000+ROW()/1000000000</f>
        <v/>
      </c>
      <c r="AF2653" s="35">
        <f>IF(C2653&lt;&gt;"Grayson Coulter","",COUNTIFS($C$5:$C$2991,"Grayson Coulter",$Q$5:$Q$2991,Q2653,$AE$5:$AE$2991,"&lt;="&amp;AE2653,$R$5:$R$2991,"&lt;"&amp;R2653))</f>
        <v/>
      </c>
      <c r="AG2653" s="35">
        <f>IF(OR(C2653&lt;&gt;"Grayson Coulter",G2653&lt;'00_Control'!$B$7),"",--(AF2653&lt;5))</f>
        <v/>
      </c>
      <c r="AH2653" s="35">
        <f>IF(OR(C2653&lt;&gt;"Grayson Coulter",G2653&lt;'00_Control'!$B$7),"",--(AF2653&lt;10))</f>
        <v/>
      </c>
      <c r="AI2653" s="35">
        <f>IF(AND(C2653="Grayson Coulter",G2653&gt;='00_Control'!$B$7),"YES","NO")</f>
        <v/>
      </c>
      <c r="AJ2653" s="33" t="inlineStr">
        <is>
          <t>OK</t>
        </is>
      </c>
    </row>
    <row r="2654">
      <c r="A2654" s="33" t="inlineStr">
        <is>
          <t>SM002650</t>
        </is>
      </c>
      <c r="B2654" s="33" t="inlineStr">
        <is>
          <t>SW006</t>
        </is>
      </c>
      <c r="C2654" s="33" t="inlineStr">
        <is>
          <t>Tajus Juska</t>
        </is>
      </c>
      <c r="D2654" s="33" t="inlineStr">
        <is>
          <t>SwimCloud</t>
        </is>
      </c>
      <c r="E2654" s="33" t="inlineStr">
        <is>
          <t>2116196</t>
        </is>
      </c>
      <c r="F2654" s="33" t="inlineStr">
        <is>
          <t>157344499</t>
        </is>
      </c>
      <c r="G2654" s="51" t="n">
        <v>45889</v>
      </c>
      <c r="H2654" s="33" t="inlineStr">
        <is>
          <t>10th World Aquatics Junior Championships</t>
        </is>
      </c>
      <c r="I2654" s="33" t="inlineStr">
        <is>
          <t>348386</t>
        </is>
      </c>
      <c r="J2654" s="33" t="inlineStr"/>
      <c r="K2654" s="33" t="inlineStr">
        <is>
          <t>PRE</t>
        </is>
      </c>
      <c r="L2654" s="35">
        <f>IF(K2654="FIN",3,IF(OR(K2654="SEM",K2654="SEMI"),2,IF(OR(K2654="PRE",K2654="HEAT"),1,IF(V2654="YES",4,2))))</f>
        <v/>
      </c>
      <c r="M2654" s="33" t="inlineStr">
        <is>
          <t>LCM</t>
        </is>
      </c>
      <c r="N2654" s="33" t="n">
        <v>100</v>
      </c>
      <c r="O2654" s="33" t="inlineStr">
        <is>
          <t>Fly</t>
        </is>
      </c>
      <c r="P2654" s="33" t="inlineStr">
        <is>
          <t>100 Fly</t>
        </is>
      </c>
      <c r="Q2654" s="33" t="inlineStr">
        <is>
          <t>LCM_100_FLY</t>
        </is>
      </c>
      <c r="R2654" s="36" t="n">
        <v>53.34</v>
      </c>
      <c r="S2654" s="35">
        <f>IF(R2654="","",IF(R2654&gt;=60,INT(R2654/60)&amp;":"&amp;TEXT(MOD(R2654,60),"00.00"),TEXT(R2654,"0.00")))</f>
        <v/>
      </c>
      <c r="T2654" s="52">
        <f>IFERROR((G2654-INDEX('01_Swimmers'!$E$5:$E$22,MATCH(B2654,'01_Swimmers'!$A$5:$A$22,0)))/'00_Control'!$B$10,"")</f>
        <v/>
      </c>
      <c r="U2654" s="35">
        <f>IF(T2654="","",INT(T2654))</f>
        <v/>
      </c>
      <c r="V2654" s="33" t="inlineStr">
        <is>
          <t>NO</t>
        </is>
      </c>
      <c r="W2654" s="33" t="inlineStr">
        <is>
          <t>YES</t>
        </is>
      </c>
      <c r="X2654" s="33" t="inlineStr">
        <is>
          <t>NO</t>
        </is>
      </c>
      <c r="Y2654" s="33" t="n">
        <v>7</v>
      </c>
      <c r="Z2654" s="33" t="n">
        <v>4</v>
      </c>
      <c r="AA2654" s="33" t="inlineStr">
        <is>
          <t>10</t>
        </is>
      </c>
      <c r="AB2654" s="33" t="inlineStr">
        <is>
          <t>https://www.swimcloud.com/results/348386/event/11/?id=157344499#time157344499</t>
        </is>
      </c>
      <c r="AC2654" s="33" t="inlineStr">
        <is>
          <t>SwimCloud API v6 2026-10-08</t>
        </is>
      </c>
      <c r="AD2654" s="33" t="inlineStr">
        <is>
          <t>Tajus Juska|2025-08-20|LCM|100|Fly|53.34|10th World Aquatics Junior Championships|PRE|False</t>
        </is>
      </c>
      <c r="AE2654" s="53">
        <f>G2654+L2654/1000+ROW()/1000000000</f>
        <v/>
      </c>
      <c r="AF2654" s="35">
        <f>IF(C2654&lt;&gt;"Grayson Coulter","",COUNTIFS($C$5:$C$2991,"Grayson Coulter",$Q$5:$Q$2991,Q2654,$AE$5:$AE$2991,"&lt;="&amp;AE2654,$R$5:$R$2991,"&lt;"&amp;R2654))</f>
        <v/>
      </c>
      <c r="AG2654" s="35">
        <f>IF(OR(C2654&lt;&gt;"Grayson Coulter",G2654&lt;'00_Control'!$B$7),"",--(AF2654&lt;5))</f>
        <v/>
      </c>
      <c r="AH2654" s="35">
        <f>IF(OR(C2654&lt;&gt;"Grayson Coulter",G2654&lt;'00_Control'!$B$7),"",--(AF2654&lt;10))</f>
        <v/>
      </c>
      <c r="AI2654" s="35">
        <f>IF(AND(C2654="Grayson Coulter",G2654&gt;='00_Control'!$B$7),"YES","NO")</f>
        <v/>
      </c>
      <c r="AJ2654" s="33" t="inlineStr">
        <is>
          <t>OK</t>
        </is>
      </c>
    </row>
    <row r="2655">
      <c r="A2655" s="33" t="inlineStr">
        <is>
          <t>SM002651</t>
        </is>
      </c>
      <c r="B2655" s="33" t="inlineStr">
        <is>
          <t>SW006</t>
        </is>
      </c>
      <c r="C2655" s="33" t="inlineStr">
        <is>
          <t>Tajus Juska</t>
        </is>
      </c>
      <c r="D2655" s="33" t="inlineStr">
        <is>
          <t>SwimCloud</t>
        </is>
      </c>
      <c r="E2655" s="33" t="inlineStr">
        <is>
          <t>2116196</t>
        </is>
      </c>
      <c r="F2655" s="33" t="inlineStr">
        <is>
          <t>157344500</t>
        </is>
      </c>
      <c r="G2655" s="51" t="n">
        <v>45889</v>
      </c>
      <c r="H2655" s="33" t="inlineStr">
        <is>
          <t>10th World Aquatics Junior Championships</t>
        </is>
      </c>
      <c r="I2655" s="33" t="inlineStr">
        <is>
          <t>348386</t>
        </is>
      </c>
      <c r="J2655" s="33" t="inlineStr"/>
      <c r="K2655" s="33" t="inlineStr">
        <is>
          <t>SEM</t>
        </is>
      </c>
      <c r="L2655" s="35">
        <f>IF(K2655="FIN",3,IF(OR(K2655="SEM",K2655="SEMI"),2,IF(OR(K2655="PRE",K2655="HEAT"),1,IF(V2655="YES",4,2))))</f>
        <v/>
      </c>
      <c r="M2655" s="33" t="inlineStr">
        <is>
          <t>LCM</t>
        </is>
      </c>
      <c r="N2655" s="33" t="n">
        <v>100</v>
      </c>
      <c r="O2655" s="33" t="inlineStr">
        <is>
          <t>Fly</t>
        </is>
      </c>
      <c r="P2655" s="33" t="inlineStr">
        <is>
          <t>100 Fly</t>
        </is>
      </c>
      <c r="Q2655" s="33" t="inlineStr">
        <is>
          <t>LCM_100_FLY</t>
        </is>
      </c>
      <c r="R2655" s="36" t="n">
        <v>52.61</v>
      </c>
      <c r="S2655" s="35">
        <f>IF(R2655="","",IF(R2655&gt;=60,INT(R2655/60)&amp;":"&amp;TEXT(MOD(R2655,60),"00.00"),TEXT(R2655,"0.00")))</f>
        <v/>
      </c>
      <c r="T2655" s="52">
        <f>IFERROR((G2655-INDEX('01_Swimmers'!$E$5:$E$22,MATCH(B2655,'01_Swimmers'!$A$5:$A$22,0)))/'00_Control'!$B$10,"")</f>
        <v/>
      </c>
      <c r="U2655" s="35">
        <f>IF(T2655="","",INT(T2655))</f>
        <v/>
      </c>
      <c r="V2655" s="33" t="inlineStr">
        <is>
          <t>NO</t>
        </is>
      </c>
      <c r="W2655" s="33" t="inlineStr">
        <is>
          <t>YES</t>
        </is>
      </c>
      <c r="X2655" s="33" t="inlineStr">
        <is>
          <t>NO</t>
        </is>
      </c>
      <c r="Y2655" s="33" t="n">
        <v>1</v>
      </c>
      <c r="Z2655" s="33" t="n">
        <v>2</v>
      </c>
      <c r="AA2655" s="33" t="inlineStr">
        <is>
          <t>4</t>
        </is>
      </c>
      <c r="AB2655" s="33" t="inlineStr">
        <is>
          <t>https://www.swimcloud.com/results/348386/event/11/?id=157344500#time157344500</t>
        </is>
      </c>
      <c r="AC2655" s="33" t="inlineStr">
        <is>
          <t>SwimCloud API v6 2026-10-08</t>
        </is>
      </c>
      <c r="AD2655" s="33" t="inlineStr">
        <is>
          <t>Tajus Juska|2025-08-20|LCM|100|Fly|52.61|10th World Aquatics Junior Championships|SEM|False</t>
        </is>
      </c>
      <c r="AE2655" s="53">
        <f>G2655+L2655/1000+ROW()/1000000000</f>
        <v/>
      </c>
      <c r="AF2655" s="35">
        <f>IF(C2655&lt;&gt;"Grayson Coulter","",COUNTIFS($C$5:$C$2991,"Grayson Coulter",$Q$5:$Q$2991,Q2655,$AE$5:$AE$2991,"&lt;="&amp;AE2655,$R$5:$R$2991,"&lt;"&amp;R2655))</f>
        <v/>
      </c>
      <c r="AG2655" s="35">
        <f>IF(OR(C2655&lt;&gt;"Grayson Coulter",G2655&lt;'00_Control'!$B$7),"",--(AF2655&lt;5))</f>
        <v/>
      </c>
      <c r="AH2655" s="35">
        <f>IF(OR(C2655&lt;&gt;"Grayson Coulter",G2655&lt;'00_Control'!$B$7),"",--(AF2655&lt;10))</f>
        <v/>
      </c>
      <c r="AI2655" s="35">
        <f>IF(AND(C2655="Grayson Coulter",G2655&gt;='00_Control'!$B$7),"YES","NO")</f>
        <v/>
      </c>
      <c r="AJ2655" s="33" t="inlineStr">
        <is>
          <t>OK</t>
        </is>
      </c>
    </row>
    <row r="2656">
      <c r="A2656" s="33" t="inlineStr">
        <is>
          <t>SM002652</t>
        </is>
      </c>
      <c r="B2656" s="33" t="inlineStr">
        <is>
          <t>SW006</t>
        </is>
      </c>
      <c r="C2656" s="33" t="inlineStr">
        <is>
          <t>Tajus Juska</t>
        </is>
      </c>
      <c r="D2656" s="33" t="inlineStr">
        <is>
          <t>SwimCloud</t>
        </is>
      </c>
      <c r="E2656" s="33" t="inlineStr">
        <is>
          <t>2116196</t>
        </is>
      </c>
      <c r="F2656" s="33" t="inlineStr">
        <is>
          <t>157344498</t>
        </is>
      </c>
      <c r="G2656" s="51" t="n">
        <v>45890</v>
      </c>
      <c r="H2656" s="33" t="inlineStr">
        <is>
          <t>10th World Aquatics Junior Championships</t>
        </is>
      </c>
      <c r="I2656" s="33" t="inlineStr">
        <is>
          <t>348386</t>
        </is>
      </c>
      <c r="J2656" s="33" t="inlineStr"/>
      <c r="K2656" s="33" t="inlineStr">
        <is>
          <t>FIN</t>
        </is>
      </c>
      <c r="L2656" s="35">
        <f>IF(K2656="FIN",3,IF(OR(K2656="SEM",K2656="SEMI"),2,IF(OR(K2656="PRE",K2656="HEAT"),1,IF(V2656="YES",4,2))))</f>
        <v/>
      </c>
      <c r="M2656" s="33" t="inlineStr">
        <is>
          <t>LCM</t>
        </is>
      </c>
      <c r="N2656" s="33" t="n">
        <v>100</v>
      </c>
      <c r="O2656" s="33" t="inlineStr">
        <is>
          <t>Fly</t>
        </is>
      </c>
      <c r="P2656" s="33" t="inlineStr">
        <is>
          <t>100 Fly</t>
        </is>
      </c>
      <c r="Q2656" s="33" t="inlineStr">
        <is>
          <t>LCM_100_FLY</t>
        </is>
      </c>
      <c r="R2656" s="36" t="n">
        <v>51.83</v>
      </c>
      <c r="S2656" s="35">
        <f>IF(R2656="","",IF(R2656&gt;=60,INT(R2656/60)&amp;":"&amp;TEXT(MOD(R2656,60),"00.00"),TEXT(R2656,"0.00")))</f>
        <v/>
      </c>
      <c r="T2656" s="52">
        <f>IFERROR((G2656-INDEX('01_Swimmers'!$E$5:$E$22,MATCH(B2656,'01_Swimmers'!$A$5:$A$22,0)))/'00_Control'!$B$10,"")</f>
        <v/>
      </c>
      <c r="U2656" s="35">
        <f>IF(T2656="","",INT(T2656))</f>
        <v/>
      </c>
      <c r="V2656" s="33" t="inlineStr">
        <is>
          <t>NO</t>
        </is>
      </c>
      <c r="W2656" s="33" t="inlineStr">
        <is>
          <t>YES</t>
        </is>
      </c>
      <c r="X2656" s="33" t="inlineStr">
        <is>
          <t>NO</t>
        </is>
      </c>
      <c r="Y2656" s="33" t="n">
        <v>1</v>
      </c>
      <c r="Z2656" s="33" t="n">
        <v>6</v>
      </c>
      <c r="AA2656" s="33" t="inlineStr">
        <is>
          <t>1</t>
        </is>
      </c>
      <c r="AB2656" s="33" t="inlineStr">
        <is>
          <t>https://www.swimcloud.com/results/348386/event/11/?id=157344498#time157344498</t>
        </is>
      </c>
      <c r="AC2656" s="33" t="inlineStr">
        <is>
          <t>SwimCloud API v6 2026-10-08</t>
        </is>
      </c>
      <c r="AD2656" s="33" t="inlineStr">
        <is>
          <t>Tajus Juska|2025-08-21|LCM|100|Fly|51.83|10th World Aquatics Junior Championships|FIN|False</t>
        </is>
      </c>
      <c r="AE2656" s="53">
        <f>G2656+L2656/1000+ROW()/1000000000</f>
        <v/>
      </c>
      <c r="AF2656" s="35">
        <f>IF(C2656&lt;&gt;"Grayson Coulter","",COUNTIFS($C$5:$C$2991,"Grayson Coulter",$Q$5:$Q$2991,Q2656,$AE$5:$AE$2991,"&lt;="&amp;AE2656,$R$5:$R$2991,"&lt;"&amp;R2656))</f>
        <v/>
      </c>
      <c r="AG2656" s="35">
        <f>IF(OR(C2656&lt;&gt;"Grayson Coulter",G2656&lt;'00_Control'!$B$7),"",--(AF2656&lt;5))</f>
        <v/>
      </c>
      <c r="AH2656" s="35">
        <f>IF(OR(C2656&lt;&gt;"Grayson Coulter",G2656&lt;'00_Control'!$B$7),"",--(AF2656&lt;10))</f>
        <v/>
      </c>
      <c r="AI2656" s="35">
        <f>IF(AND(C2656="Grayson Coulter",G2656&gt;='00_Control'!$B$7),"YES","NO")</f>
        <v/>
      </c>
      <c r="AJ2656" s="33" t="inlineStr">
        <is>
          <t>OK</t>
        </is>
      </c>
    </row>
    <row r="2657">
      <c r="A2657" s="33" t="inlineStr">
        <is>
          <t>SM002653</t>
        </is>
      </c>
      <c r="B2657" s="33" t="inlineStr">
        <is>
          <t>SW006</t>
        </is>
      </c>
      <c r="C2657" s="33" t="inlineStr">
        <is>
          <t>Tajus Juska</t>
        </is>
      </c>
      <c r="D2657" s="33" t="inlineStr">
        <is>
          <t>SwimCloud</t>
        </is>
      </c>
      <c r="E2657" s="33" t="inlineStr">
        <is>
          <t>2116196</t>
        </is>
      </c>
      <c r="F2657" s="33" t="inlineStr">
        <is>
          <t>157344502</t>
        </is>
      </c>
      <c r="G2657" s="51" t="n">
        <v>45892</v>
      </c>
      <c r="H2657" s="33" t="inlineStr">
        <is>
          <t>10th World Aquatics Junior Championships</t>
        </is>
      </c>
      <c r="I2657" s="33" t="inlineStr">
        <is>
          <t>348386</t>
        </is>
      </c>
      <c r="J2657" s="33" t="inlineStr"/>
      <c r="K2657" s="33" t="inlineStr">
        <is>
          <t>PRE</t>
        </is>
      </c>
      <c r="L2657" s="35">
        <f>IF(K2657="FIN",3,IF(OR(K2657="SEM",K2657="SEMI"),2,IF(OR(K2657="PRE",K2657="HEAT"),1,IF(V2657="YES",4,2))))</f>
        <v/>
      </c>
      <c r="M2657" s="33" t="inlineStr">
        <is>
          <t>LCM</t>
        </is>
      </c>
      <c r="N2657" s="33" t="n">
        <v>100</v>
      </c>
      <c r="O2657" s="33" t="inlineStr">
        <is>
          <t>Free</t>
        </is>
      </c>
      <c r="P2657" s="33" t="inlineStr">
        <is>
          <t>100 Free</t>
        </is>
      </c>
      <c r="Q2657" s="33" t="inlineStr">
        <is>
          <t>LCM_100_FREE</t>
        </is>
      </c>
      <c r="R2657" s="36" t="n">
        <v>49.59</v>
      </c>
      <c r="S2657" s="35">
        <f>IF(R2657="","",IF(R2657&gt;=60,INT(R2657/60)&amp;":"&amp;TEXT(MOD(R2657,60),"00.00"),TEXT(R2657,"0.00")))</f>
        <v/>
      </c>
      <c r="T2657" s="52">
        <f>IFERROR((G2657-INDEX('01_Swimmers'!$E$5:$E$22,MATCH(B2657,'01_Swimmers'!$A$5:$A$22,0)))/'00_Control'!$B$10,"")</f>
        <v/>
      </c>
      <c r="U2657" s="35">
        <f>IF(T2657="","",INT(T2657))</f>
        <v/>
      </c>
      <c r="V2657" s="33" t="inlineStr">
        <is>
          <t>NO</t>
        </is>
      </c>
      <c r="W2657" s="33" t="inlineStr">
        <is>
          <t>YES</t>
        </is>
      </c>
      <c r="X2657" s="33" t="inlineStr">
        <is>
          <t>NO</t>
        </is>
      </c>
      <c r="Y2657" s="33" t="n">
        <v>12</v>
      </c>
      <c r="Z2657" s="33" t="n">
        <v>4</v>
      </c>
      <c r="AA2657" s="33" t="inlineStr">
        <is>
          <t>5</t>
        </is>
      </c>
      <c r="AB2657" s="33" t="inlineStr">
        <is>
          <t>https://www.swimcloud.com/results/348386/event/29/?id=157344502#time157344502</t>
        </is>
      </c>
      <c r="AC2657" s="33" t="inlineStr">
        <is>
          <t>SwimCloud API v6 2026-10-08</t>
        </is>
      </c>
      <c r="AD2657" s="33" t="inlineStr">
        <is>
          <t>Tajus Juska|2025-08-23|LCM|100|Free|49.59|10th World Aquatics Junior Championships|PRE|False</t>
        </is>
      </c>
      <c r="AE2657" s="53">
        <f>G2657+L2657/1000+ROW()/1000000000</f>
        <v/>
      </c>
      <c r="AF2657" s="35">
        <f>IF(C2657&lt;&gt;"Grayson Coulter","",COUNTIFS($C$5:$C$2991,"Grayson Coulter",$Q$5:$Q$2991,Q2657,$AE$5:$AE$2991,"&lt;="&amp;AE2657,$R$5:$R$2991,"&lt;"&amp;R2657))</f>
        <v/>
      </c>
      <c r="AG2657" s="35">
        <f>IF(OR(C2657&lt;&gt;"Grayson Coulter",G2657&lt;'00_Control'!$B$7),"",--(AF2657&lt;5))</f>
        <v/>
      </c>
      <c r="AH2657" s="35">
        <f>IF(OR(C2657&lt;&gt;"Grayson Coulter",G2657&lt;'00_Control'!$B$7),"",--(AF2657&lt;10))</f>
        <v/>
      </c>
      <c r="AI2657" s="35">
        <f>IF(AND(C2657="Grayson Coulter",G2657&gt;='00_Control'!$B$7),"YES","NO")</f>
        <v/>
      </c>
      <c r="AJ2657" s="33" t="inlineStr">
        <is>
          <t>OK</t>
        </is>
      </c>
    </row>
    <row r="2658">
      <c r="A2658" s="33" t="inlineStr">
        <is>
          <t>SM002654</t>
        </is>
      </c>
      <c r="B2658" s="33" t="inlineStr">
        <is>
          <t>SW006</t>
        </is>
      </c>
      <c r="C2658" s="33" t="inlineStr">
        <is>
          <t>Tajus Juska</t>
        </is>
      </c>
      <c r="D2658" s="33" t="inlineStr">
        <is>
          <t>SwimCloud</t>
        </is>
      </c>
      <c r="E2658" s="33" t="inlineStr">
        <is>
          <t>2116196</t>
        </is>
      </c>
      <c r="F2658" s="33" t="inlineStr">
        <is>
          <t>157344503</t>
        </is>
      </c>
      <c r="G2658" s="51" t="n">
        <v>45892</v>
      </c>
      <c r="H2658" s="33" t="inlineStr">
        <is>
          <t>10th World Aquatics Junior Championships</t>
        </is>
      </c>
      <c r="I2658" s="33" t="inlineStr">
        <is>
          <t>348386</t>
        </is>
      </c>
      <c r="J2658" s="33" t="inlineStr"/>
      <c r="K2658" s="33" t="inlineStr">
        <is>
          <t>SEM</t>
        </is>
      </c>
      <c r="L2658" s="35">
        <f>IF(K2658="FIN",3,IF(OR(K2658="SEM",K2658="SEMI"),2,IF(OR(K2658="PRE",K2658="HEAT"),1,IF(V2658="YES",4,2))))</f>
        <v/>
      </c>
      <c r="M2658" s="33" t="inlineStr">
        <is>
          <t>LCM</t>
        </is>
      </c>
      <c r="N2658" s="33" t="n">
        <v>100</v>
      </c>
      <c r="O2658" s="33" t="inlineStr">
        <is>
          <t>Free</t>
        </is>
      </c>
      <c r="P2658" s="33" t="inlineStr">
        <is>
          <t>100 Free</t>
        </is>
      </c>
      <c r="Q2658" s="33" t="inlineStr">
        <is>
          <t>LCM_100_FREE</t>
        </is>
      </c>
      <c r="R2658" s="36" t="n">
        <v>49.01</v>
      </c>
      <c r="S2658" s="35">
        <f>IF(R2658="","",IF(R2658&gt;=60,INT(R2658/60)&amp;":"&amp;TEXT(MOD(R2658,60),"00.00"),TEXT(R2658,"0.00")))</f>
        <v/>
      </c>
      <c r="T2658" s="52">
        <f>IFERROR((G2658-INDEX('01_Swimmers'!$E$5:$E$22,MATCH(B2658,'01_Swimmers'!$A$5:$A$22,0)))/'00_Control'!$B$10,"")</f>
        <v/>
      </c>
      <c r="U2658" s="35">
        <f>IF(T2658="","",INT(T2658))</f>
        <v/>
      </c>
      <c r="V2658" s="33" t="inlineStr">
        <is>
          <t>NO</t>
        </is>
      </c>
      <c r="W2658" s="33" t="inlineStr">
        <is>
          <t>YES</t>
        </is>
      </c>
      <c r="X2658" s="33" t="inlineStr">
        <is>
          <t>NO</t>
        </is>
      </c>
      <c r="Y2658" s="33" t="n">
        <v>2</v>
      </c>
      <c r="Z2658" s="33" t="n">
        <v>3</v>
      </c>
      <c r="AA2658" s="33" t="inlineStr">
        <is>
          <t>4</t>
        </is>
      </c>
      <c r="AB2658" s="33" t="inlineStr">
        <is>
          <t>https://www.swimcloud.com/results/348386/event/29/?id=157344503#time157344503</t>
        </is>
      </c>
      <c r="AC2658" s="33" t="inlineStr">
        <is>
          <t>SwimCloud API v6 2026-10-08</t>
        </is>
      </c>
      <c r="AD2658" s="33" t="inlineStr">
        <is>
          <t>Tajus Juska|2025-08-23|LCM|100|Free|49.01|10th World Aquatics Junior Championships|SEM|False</t>
        </is>
      </c>
      <c r="AE2658" s="53">
        <f>G2658+L2658/1000+ROW()/1000000000</f>
        <v/>
      </c>
      <c r="AF2658" s="35">
        <f>IF(C2658&lt;&gt;"Grayson Coulter","",COUNTIFS($C$5:$C$2991,"Grayson Coulter",$Q$5:$Q$2991,Q2658,$AE$5:$AE$2991,"&lt;="&amp;AE2658,$R$5:$R$2991,"&lt;"&amp;R2658))</f>
        <v/>
      </c>
      <c r="AG2658" s="35">
        <f>IF(OR(C2658&lt;&gt;"Grayson Coulter",G2658&lt;'00_Control'!$B$7),"",--(AF2658&lt;5))</f>
        <v/>
      </c>
      <c r="AH2658" s="35">
        <f>IF(OR(C2658&lt;&gt;"Grayson Coulter",G2658&lt;'00_Control'!$B$7),"",--(AF2658&lt;10))</f>
        <v/>
      </c>
      <c r="AI2658" s="35">
        <f>IF(AND(C2658="Grayson Coulter",G2658&gt;='00_Control'!$B$7),"YES","NO")</f>
        <v/>
      </c>
      <c r="AJ2658" s="33" t="inlineStr">
        <is>
          <t>OK</t>
        </is>
      </c>
    </row>
    <row r="2659">
      <c r="A2659" s="33" t="inlineStr">
        <is>
          <t>SM002655</t>
        </is>
      </c>
      <c r="B2659" s="33" t="inlineStr">
        <is>
          <t>SW006</t>
        </is>
      </c>
      <c r="C2659" s="33" t="inlineStr">
        <is>
          <t>Tajus Juska</t>
        </is>
      </c>
      <c r="D2659" s="33" t="inlineStr">
        <is>
          <t>SwimCloud</t>
        </is>
      </c>
      <c r="E2659" s="33" t="inlineStr">
        <is>
          <t>2116196</t>
        </is>
      </c>
      <c r="F2659" s="33" t="inlineStr">
        <is>
          <t>157344501</t>
        </is>
      </c>
      <c r="G2659" s="51" t="n">
        <v>45893</v>
      </c>
      <c r="H2659" s="33" t="inlineStr">
        <is>
          <t>10th World Aquatics Junior Championships</t>
        </is>
      </c>
      <c r="I2659" s="33" t="inlineStr">
        <is>
          <t>348386</t>
        </is>
      </c>
      <c r="J2659" s="33" t="inlineStr"/>
      <c r="K2659" s="33" t="inlineStr">
        <is>
          <t>FIN</t>
        </is>
      </c>
      <c r="L2659" s="35">
        <f>IF(K2659="FIN",3,IF(OR(K2659="SEM",K2659="SEMI"),2,IF(OR(K2659="PRE",K2659="HEAT"),1,IF(V2659="YES",4,2))))</f>
        <v/>
      </c>
      <c r="M2659" s="33" t="inlineStr">
        <is>
          <t>LCM</t>
        </is>
      </c>
      <c r="N2659" s="33" t="n">
        <v>100</v>
      </c>
      <c r="O2659" s="33" t="inlineStr">
        <is>
          <t>Free</t>
        </is>
      </c>
      <c r="P2659" s="33" t="inlineStr">
        <is>
          <t>100 Free</t>
        </is>
      </c>
      <c r="Q2659" s="33" t="inlineStr">
        <is>
          <t>LCM_100_FREE</t>
        </is>
      </c>
      <c r="R2659" s="36" t="n">
        <v>48.72</v>
      </c>
      <c r="S2659" s="35">
        <f>IF(R2659="","",IF(R2659&gt;=60,INT(R2659/60)&amp;":"&amp;TEXT(MOD(R2659,60),"00.00"),TEXT(R2659,"0.00")))</f>
        <v/>
      </c>
      <c r="T2659" s="52">
        <f>IFERROR((G2659-INDEX('01_Swimmers'!$E$5:$E$22,MATCH(B2659,'01_Swimmers'!$A$5:$A$22,0)))/'00_Control'!$B$10,"")</f>
        <v/>
      </c>
      <c r="U2659" s="35">
        <f>IF(T2659="","",INT(T2659))</f>
        <v/>
      </c>
      <c r="V2659" s="33" t="inlineStr">
        <is>
          <t>NO</t>
        </is>
      </c>
      <c r="W2659" s="33" t="inlineStr">
        <is>
          <t>YES</t>
        </is>
      </c>
      <c r="X2659" s="33" t="inlineStr">
        <is>
          <t>NO</t>
        </is>
      </c>
      <c r="Y2659" s="33" t="n">
        <v>1</v>
      </c>
      <c r="Z2659" s="33" t="n">
        <v>6</v>
      </c>
      <c r="AA2659" s="33" t="inlineStr">
        <is>
          <t>3</t>
        </is>
      </c>
      <c r="AB2659" s="33" t="inlineStr">
        <is>
          <t>https://www.swimcloud.com/results/348386/event/29/?id=157344501#time157344501</t>
        </is>
      </c>
      <c r="AC2659" s="33" t="inlineStr">
        <is>
          <t>SwimCloud API v6 2026-10-08</t>
        </is>
      </c>
      <c r="AD2659" s="33" t="inlineStr">
        <is>
          <t>Tajus Juska|2025-08-24|LCM|100|Free|48.72|10th World Aquatics Junior Championships|FIN|False</t>
        </is>
      </c>
      <c r="AE2659" s="53">
        <f>G2659+L2659/1000+ROW()/1000000000</f>
        <v/>
      </c>
      <c r="AF2659" s="35">
        <f>IF(C2659&lt;&gt;"Grayson Coulter","",COUNTIFS($C$5:$C$2991,"Grayson Coulter",$Q$5:$Q$2991,Q2659,$AE$5:$AE$2991,"&lt;="&amp;AE2659,$R$5:$R$2991,"&lt;"&amp;R2659))</f>
        <v/>
      </c>
      <c r="AG2659" s="35">
        <f>IF(OR(C2659&lt;&gt;"Grayson Coulter",G2659&lt;'00_Control'!$B$7),"",--(AF2659&lt;5))</f>
        <v/>
      </c>
      <c r="AH2659" s="35">
        <f>IF(OR(C2659&lt;&gt;"Grayson Coulter",G2659&lt;'00_Control'!$B$7),"",--(AF2659&lt;10))</f>
        <v/>
      </c>
      <c r="AI2659" s="35">
        <f>IF(AND(C2659="Grayson Coulter",G2659&gt;='00_Control'!$B$7),"YES","NO")</f>
        <v/>
      </c>
      <c r="AJ2659" s="33" t="inlineStr">
        <is>
          <t>OK</t>
        </is>
      </c>
    </row>
    <row r="2660">
      <c r="A2660" s="33" t="inlineStr">
        <is>
          <t>SM002656</t>
        </is>
      </c>
      <c r="B2660" s="33" t="inlineStr">
        <is>
          <t>SW006</t>
        </is>
      </c>
      <c r="C2660" s="33" t="inlineStr">
        <is>
          <t>Tajus Juska</t>
        </is>
      </c>
      <c r="D2660" s="33" t="inlineStr">
        <is>
          <t>SwimCloud</t>
        </is>
      </c>
      <c r="E2660" s="33" t="inlineStr">
        <is>
          <t>2116196</t>
        </is>
      </c>
      <c r="F2660" s="33" t="inlineStr">
        <is>
          <t>164166314</t>
        </is>
      </c>
      <c r="G2660" s="51" t="n">
        <v>45994</v>
      </c>
      <c r="H2660" s="33" t="inlineStr">
        <is>
          <t>European Aquatics Championships (25m)</t>
        </is>
      </c>
      <c r="I2660" s="33" t="inlineStr">
        <is>
          <t>309064</t>
        </is>
      </c>
      <c r="J2660" s="33" t="inlineStr"/>
      <c r="K2660" s="33" t="inlineStr">
        <is>
          <t>PRE</t>
        </is>
      </c>
      <c r="L2660" s="35">
        <f>IF(K2660="FIN",3,IF(OR(K2660="SEM",K2660="SEMI"),2,IF(OR(K2660="PRE",K2660="HEAT"),1,IF(V2660="YES",4,2))))</f>
        <v/>
      </c>
      <c r="M2660" s="33" t="inlineStr">
        <is>
          <t>SCM</t>
        </is>
      </c>
      <c r="N2660" s="33" t="n">
        <v>200</v>
      </c>
      <c r="O2660" s="33" t="inlineStr">
        <is>
          <t>Free</t>
        </is>
      </c>
      <c r="P2660" s="33" t="inlineStr">
        <is>
          <t>200 Free</t>
        </is>
      </c>
      <c r="Q2660" s="33" t="inlineStr">
        <is>
          <t>SCM_200_FREE</t>
        </is>
      </c>
      <c r="R2660" s="36" t="n">
        <v>103.02</v>
      </c>
      <c r="S2660" s="35">
        <f>IF(R2660="","",IF(R2660&gt;=60,INT(R2660/60)&amp;":"&amp;TEXT(MOD(R2660,60),"00.00"),TEXT(R2660,"0.00")))</f>
        <v/>
      </c>
      <c r="T2660" s="52">
        <f>IFERROR((G2660-INDEX('01_Swimmers'!$E$5:$E$22,MATCH(B2660,'01_Swimmers'!$A$5:$A$22,0)))/'00_Control'!$B$10,"")</f>
        <v/>
      </c>
      <c r="U2660" s="35">
        <f>IF(T2660="","",INT(T2660))</f>
        <v/>
      </c>
      <c r="V2660" s="33" t="inlineStr">
        <is>
          <t>NO</t>
        </is>
      </c>
      <c r="W2660" s="33" t="inlineStr">
        <is>
          <t>YES</t>
        </is>
      </c>
      <c r="X2660" s="33" t="inlineStr">
        <is>
          <t>NO</t>
        </is>
      </c>
      <c r="Y2660" s="33" t="n">
        <v>5</v>
      </c>
      <c r="Z2660" s="33" t="n">
        <v>9</v>
      </c>
      <c r="AA2660" s="33" t="inlineStr">
        <is>
          <t>15</t>
        </is>
      </c>
      <c r="AB2660" s="33" t="inlineStr">
        <is>
          <t>https://www.swimcloud.com/results/309064/event/13/?id=164166314#time164166314</t>
        </is>
      </c>
      <c r="AC2660" s="33" t="inlineStr">
        <is>
          <t>SwimCloud API v6 2026-10-08</t>
        </is>
      </c>
      <c r="AD2660" s="33" t="inlineStr">
        <is>
          <t>Tajus Juska|2025-12-03|SCM|200|Free|103.02|European Aquatics Championships (25m)|PRE|False</t>
        </is>
      </c>
      <c r="AE2660" s="53">
        <f>G2660+L2660/1000+ROW()/1000000000</f>
        <v/>
      </c>
      <c r="AF2660" s="35">
        <f>IF(C2660&lt;&gt;"Grayson Coulter","",COUNTIFS($C$5:$C$2991,"Grayson Coulter",$Q$5:$Q$2991,Q2660,$AE$5:$AE$2991,"&lt;="&amp;AE2660,$R$5:$R$2991,"&lt;"&amp;R2660))</f>
        <v/>
      </c>
      <c r="AG2660" s="35">
        <f>IF(OR(C2660&lt;&gt;"Grayson Coulter",G2660&lt;'00_Control'!$B$7),"",--(AF2660&lt;5))</f>
        <v/>
      </c>
      <c r="AH2660" s="35">
        <f>IF(OR(C2660&lt;&gt;"Grayson Coulter",G2660&lt;'00_Control'!$B$7),"",--(AF2660&lt;10))</f>
        <v/>
      </c>
      <c r="AI2660" s="35">
        <f>IF(AND(C2660="Grayson Coulter",G2660&gt;='00_Control'!$B$7),"YES","NO")</f>
        <v/>
      </c>
      <c r="AJ2660" s="33" t="inlineStr">
        <is>
          <t>OK</t>
        </is>
      </c>
    </row>
    <row r="2661">
      <c r="A2661" s="33" t="inlineStr">
        <is>
          <t>SM002657</t>
        </is>
      </c>
      <c r="B2661" s="33" t="inlineStr">
        <is>
          <t>SW006</t>
        </is>
      </c>
      <c r="C2661" s="33" t="inlineStr">
        <is>
          <t>Tajus Juska</t>
        </is>
      </c>
      <c r="D2661" s="33" t="inlineStr">
        <is>
          <t>SwimCloud</t>
        </is>
      </c>
      <c r="E2661" s="33" t="inlineStr">
        <is>
          <t>2116196</t>
        </is>
      </c>
      <c r="F2661" s="33" t="inlineStr">
        <is>
          <t>164166312</t>
        </is>
      </c>
      <c r="G2661" s="51" t="n">
        <v>45995</v>
      </c>
      <c r="H2661" s="33" t="inlineStr">
        <is>
          <t>European Aquatics Championships (25m)</t>
        </is>
      </c>
      <c r="I2661" s="33" t="inlineStr">
        <is>
          <t>309064</t>
        </is>
      </c>
      <c r="J2661" s="33" t="inlineStr"/>
      <c r="K2661" s="33" t="inlineStr">
        <is>
          <t>PRE</t>
        </is>
      </c>
      <c r="L2661" s="35">
        <f>IF(K2661="FIN",3,IF(OR(K2661="SEM",K2661="SEMI"),2,IF(OR(K2661="PRE",K2661="HEAT"),1,IF(V2661="YES",4,2))))</f>
        <v/>
      </c>
      <c r="M2661" s="33" t="inlineStr">
        <is>
          <t>SCM</t>
        </is>
      </c>
      <c r="N2661" s="33" t="n">
        <v>100</v>
      </c>
      <c r="O2661" s="33" t="inlineStr">
        <is>
          <t>Fly</t>
        </is>
      </c>
      <c r="P2661" s="33" t="inlineStr">
        <is>
          <t>100 Fly</t>
        </is>
      </c>
      <c r="Q2661" s="33" t="inlineStr">
        <is>
          <t>SCM_100_FLY</t>
        </is>
      </c>
      <c r="R2661" s="36" t="n">
        <v>51.5</v>
      </c>
      <c r="S2661" s="35">
        <f>IF(R2661="","",IF(R2661&gt;=60,INT(R2661/60)&amp;":"&amp;TEXT(MOD(R2661,60),"00.00"),TEXT(R2661,"0.00")))</f>
        <v/>
      </c>
      <c r="T2661" s="52">
        <f>IFERROR((G2661-INDEX('01_Swimmers'!$E$5:$E$22,MATCH(B2661,'01_Swimmers'!$A$5:$A$22,0)))/'00_Control'!$B$10,"")</f>
        <v/>
      </c>
      <c r="U2661" s="35">
        <f>IF(T2661="","",INT(T2661))</f>
        <v/>
      </c>
      <c r="V2661" s="33" t="inlineStr">
        <is>
          <t>NO</t>
        </is>
      </c>
      <c r="W2661" s="33" t="inlineStr">
        <is>
          <t>YES</t>
        </is>
      </c>
      <c r="X2661" s="33" t="inlineStr">
        <is>
          <t>NO</t>
        </is>
      </c>
      <c r="Y2661" s="33" t="n">
        <v>3</v>
      </c>
      <c r="Z2661" s="33" t="n">
        <v>1</v>
      </c>
      <c r="AA2661" s="33" t="inlineStr">
        <is>
          <t>24</t>
        </is>
      </c>
      <c r="AB2661" s="33" t="inlineStr">
        <is>
          <t>https://www.swimcloud.com/results/309064/event/18/?id=164166312#time164166312</t>
        </is>
      </c>
      <c r="AC2661" s="33" t="inlineStr">
        <is>
          <t>SwimCloud API v6 2026-10-08</t>
        </is>
      </c>
      <c r="AD2661" s="33" t="inlineStr">
        <is>
          <t>Tajus Juska|2025-12-04|SCM|100|Fly|51.5|European Aquatics Championships (25m)|PRE|False</t>
        </is>
      </c>
      <c r="AE2661" s="53">
        <f>G2661+L2661/1000+ROW()/1000000000</f>
        <v/>
      </c>
      <c r="AF2661" s="35">
        <f>IF(C2661&lt;&gt;"Grayson Coulter","",COUNTIFS($C$5:$C$2991,"Grayson Coulter",$Q$5:$Q$2991,Q2661,$AE$5:$AE$2991,"&lt;="&amp;AE2661,$R$5:$R$2991,"&lt;"&amp;R2661))</f>
        <v/>
      </c>
      <c r="AG2661" s="35">
        <f>IF(OR(C2661&lt;&gt;"Grayson Coulter",G2661&lt;'00_Control'!$B$7),"",--(AF2661&lt;5))</f>
        <v/>
      </c>
      <c r="AH2661" s="35">
        <f>IF(OR(C2661&lt;&gt;"Grayson Coulter",G2661&lt;'00_Control'!$B$7),"",--(AF2661&lt;10))</f>
        <v/>
      </c>
      <c r="AI2661" s="35">
        <f>IF(AND(C2661="Grayson Coulter",G2661&gt;='00_Control'!$B$7),"YES","NO")</f>
        <v/>
      </c>
      <c r="AJ2661" s="33" t="inlineStr">
        <is>
          <t>OK</t>
        </is>
      </c>
    </row>
    <row r="2662">
      <c r="A2662" s="33" t="inlineStr">
        <is>
          <t>SM002658</t>
        </is>
      </c>
      <c r="B2662" s="33" t="inlineStr">
        <is>
          <t>SW006</t>
        </is>
      </c>
      <c r="C2662" s="33" t="inlineStr">
        <is>
          <t>Tajus Juska</t>
        </is>
      </c>
      <c r="D2662" s="33" t="inlineStr">
        <is>
          <t>SwimCloud</t>
        </is>
      </c>
      <c r="E2662" s="33" t="inlineStr">
        <is>
          <t>2116196</t>
        </is>
      </c>
      <c r="F2662" s="33" t="inlineStr">
        <is>
          <t>164166313</t>
        </is>
      </c>
      <c r="G2662" s="51" t="n">
        <v>45996</v>
      </c>
      <c r="H2662" s="33" t="inlineStr">
        <is>
          <t>European Aquatics Championships (25m)</t>
        </is>
      </c>
      <c r="I2662" s="33" t="inlineStr">
        <is>
          <t>309064</t>
        </is>
      </c>
      <c r="J2662" s="33" t="inlineStr"/>
      <c r="K2662" s="33" t="inlineStr">
        <is>
          <t>PRE</t>
        </is>
      </c>
      <c r="L2662" s="35">
        <f>IF(K2662="FIN",3,IF(OR(K2662="SEM",K2662="SEMI"),2,IF(OR(K2662="PRE",K2662="HEAT"),1,IF(V2662="YES",4,2))))</f>
        <v/>
      </c>
      <c r="M2662" s="33" t="inlineStr">
        <is>
          <t>SCM</t>
        </is>
      </c>
      <c r="N2662" s="33" t="n">
        <v>100</v>
      </c>
      <c r="O2662" s="33" t="inlineStr">
        <is>
          <t>Free</t>
        </is>
      </c>
      <c r="P2662" s="33" t="inlineStr">
        <is>
          <t>100 Free</t>
        </is>
      </c>
      <c r="Q2662" s="33" t="inlineStr">
        <is>
          <t>SCM_100_FREE</t>
        </is>
      </c>
      <c r="R2662" s="36" t="n">
        <v>47.51</v>
      </c>
      <c r="S2662" s="35">
        <f>IF(R2662="","",IF(R2662&gt;=60,INT(R2662/60)&amp;":"&amp;TEXT(MOD(R2662,60),"00.00"),TEXT(R2662,"0.00")))</f>
        <v/>
      </c>
      <c r="T2662" s="52">
        <f>IFERROR((G2662-INDEX('01_Swimmers'!$E$5:$E$22,MATCH(B2662,'01_Swimmers'!$A$5:$A$22,0)))/'00_Control'!$B$10,"")</f>
        <v/>
      </c>
      <c r="U2662" s="35">
        <f>IF(T2662="","",INT(T2662))</f>
        <v/>
      </c>
      <c r="V2662" s="33" t="inlineStr">
        <is>
          <t>NO</t>
        </is>
      </c>
      <c r="W2662" s="33" t="inlineStr">
        <is>
          <t>YES</t>
        </is>
      </c>
      <c r="X2662" s="33" t="inlineStr">
        <is>
          <t>NO</t>
        </is>
      </c>
      <c r="Y2662" s="33" t="n">
        <v>5</v>
      </c>
      <c r="Z2662" s="33" t="n">
        <v>5</v>
      </c>
      <c r="AA2662" s="33" t="inlineStr">
        <is>
          <t>30</t>
        </is>
      </c>
      <c r="AB2662" s="33" t="inlineStr">
        <is>
          <t>https://www.swimcloud.com/results/309064/event/29/?id=164166313#time164166313</t>
        </is>
      </c>
      <c r="AC2662" s="33" t="inlineStr">
        <is>
          <t>SwimCloud API v6 2026-10-08</t>
        </is>
      </c>
      <c r="AD2662" s="33" t="inlineStr">
        <is>
          <t>Tajus Juska|2025-12-05|SCM|100|Free|47.51|European Aquatics Championships (25m)|PRE|False</t>
        </is>
      </c>
      <c r="AE2662" s="53">
        <f>G2662+L2662/1000+ROW()/1000000000</f>
        <v/>
      </c>
      <c r="AF2662" s="35">
        <f>IF(C2662&lt;&gt;"Grayson Coulter","",COUNTIFS($C$5:$C$2991,"Grayson Coulter",$Q$5:$Q$2991,Q2662,$AE$5:$AE$2991,"&lt;="&amp;AE2662,$R$5:$R$2991,"&lt;"&amp;R2662))</f>
        <v/>
      </c>
      <c r="AG2662" s="35">
        <f>IF(OR(C2662&lt;&gt;"Grayson Coulter",G2662&lt;'00_Control'!$B$7),"",--(AF2662&lt;5))</f>
        <v/>
      </c>
      <c r="AH2662" s="35">
        <f>IF(OR(C2662&lt;&gt;"Grayson Coulter",G2662&lt;'00_Control'!$B$7),"",--(AF2662&lt;10))</f>
        <v/>
      </c>
      <c r="AI2662" s="35">
        <f>IF(AND(C2662="Grayson Coulter",G2662&gt;='00_Control'!$B$7),"YES","NO")</f>
        <v/>
      </c>
      <c r="AJ2662" s="33" t="inlineStr">
        <is>
          <t>OK</t>
        </is>
      </c>
    </row>
    <row r="2663">
      <c r="A2663" s="33" t="inlineStr">
        <is>
          <t>SM002659</t>
        </is>
      </c>
      <c r="B2663" s="33" t="inlineStr">
        <is>
          <t>SW006</t>
        </is>
      </c>
      <c r="C2663" s="33" t="inlineStr">
        <is>
          <t>Tajus Juska</t>
        </is>
      </c>
      <c r="D2663" s="33" t="inlineStr">
        <is>
          <t>SwimCloud</t>
        </is>
      </c>
      <c r="E2663" s="33" t="inlineStr">
        <is>
          <t>2116196</t>
        </is>
      </c>
      <c r="F2663" s="33" t="inlineStr">
        <is>
          <t>165960780</t>
        </is>
      </c>
      <c r="G2663" s="51" t="n">
        <v>46010</v>
      </c>
      <c r="H2663" s="33" t="inlineStr">
        <is>
          <t>Lithuanian Open Championships</t>
        </is>
      </c>
      <c r="I2663" s="33" t="inlineStr">
        <is>
          <t>368820</t>
        </is>
      </c>
      <c r="J2663" s="33" t="inlineStr"/>
      <c r="K2663" s="33" t="inlineStr">
        <is>
          <t>PRE</t>
        </is>
      </c>
      <c r="L2663" s="35">
        <f>IF(K2663="FIN",3,IF(OR(K2663="SEM",K2663="SEMI"),2,IF(OR(K2663="PRE",K2663="HEAT"),1,IF(V2663="YES",4,2))))</f>
        <v/>
      </c>
      <c r="M2663" s="33" t="inlineStr">
        <is>
          <t>SCM</t>
        </is>
      </c>
      <c r="N2663" s="33" t="n">
        <v>200</v>
      </c>
      <c r="O2663" s="33" t="inlineStr">
        <is>
          <t>Free</t>
        </is>
      </c>
      <c r="P2663" s="33" t="inlineStr">
        <is>
          <t>200 Free</t>
        </is>
      </c>
      <c r="Q2663" s="33" t="inlineStr">
        <is>
          <t>SCM_200_FREE</t>
        </is>
      </c>
      <c r="R2663" s="36" t="n">
        <v>110.26</v>
      </c>
      <c r="S2663" s="35">
        <f>IF(R2663="","",IF(R2663&gt;=60,INT(R2663/60)&amp;":"&amp;TEXT(MOD(R2663,60),"00.00"),TEXT(R2663,"0.00")))</f>
        <v/>
      </c>
      <c r="T2663" s="52">
        <f>IFERROR((G2663-INDEX('01_Swimmers'!$E$5:$E$22,MATCH(B2663,'01_Swimmers'!$A$5:$A$22,0)))/'00_Control'!$B$10,"")</f>
        <v/>
      </c>
      <c r="U2663" s="35">
        <f>IF(T2663="","",INT(T2663))</f>
        <v/>
      </c>
      <c r="V2663" s="33" t="inlineStr">
        <is>
          <t>NO</t>
        </is>
      </c>
      <c r="W2663" s="33" t="inlineStr">
        <is>
          <t>YES</t>
        </is>
      </c>
      <c r="X2663" s="33" t="inlineStr">
        <is>
          <t>NO</t>
        </is>
      </c>
      <c r="Y2663" s="33" t="n">
        <v>9</v>
      </c>
      <c r="Z2663" s="33" t="n">
        <v>4</v>
      </c>
      <c r="AA2663" s="33" t="inlineStr">
        <is>
          <t>5</t>
        </is>
      </c>
      <c r="AB2663" s="33" t="inlineStr">
        <is>
          <t>https://www.swimcloud.com/results/368820/event/2/?id=165960780#time165960780</t>
        </is>
      </c>
      <c r="AC2663" s="33" t="inlineStr">
        <is>
          <t>SwimCloud API v6 2026-10-08</t>
        </is>
      </c>
      <c r="AD2663" s="33" t="inlineStr">
        <is>
          <t>Tajus Juska|2025-12-19|SCM|200|Free|110.26|Lithuanian Open Championships|PRE|False</t>
        </is>
      </c>
      <c r="AE2663" s="53">
        <f>G2663+L2663/1000+ROW()/1000000000</f>
        <v/>
      </c>
      <c r="AF2663" s="35">
        <f>IF(C2663&lt;&gt;"Grayson Coulter","",COUNTIFS($C$5:$C$2991,"Grayson Coulter",$Q$5:$Q$2991,Q2663,$AE$5:$AE$2991,"&lt;="&amp;AE2663,$R$5:$R$2991,"&lt;"&amp;R2663))</f>
        <v/>
      </c>
      <c r="AG2663" s="35">
        <f>IF(OR(C2663&lt;&gt;"Grayson Coulter",G2663&lt;'00_Control'!$B$7),"",--(AF2663&lt;5))</f>
        <v/>
      </c>
      <c r="AH2663" s="35">
        <f>IF(OR(C2663&lt;&gt;"Grayson Coulter",G2663&lt;'00_Control'!$B$7),"",--(AF2663&lt;10))</f>
        <v/>
      </c>
      <c r="AI2663" s="35">
        <f>IF(AND(C2663="Grayson Coulter",G2663&gt;='00_Control'!$B$7),"YES","NO")</f>
        <v/>
      </c>
      <c r="AJ2663" s="33" t="inlineStr">
        <is>
          <t>OK</t>
        </is>
      </c>
    </row>
    <row r="2664">
      <c r="A2664" s="33" t="inlineStr">
        <is>
          <t>SM002660</t>
        </is>
      </c>
      <c r="B2664" s="33" t="inlineStr">
        <is>
          <t>SW006</t>
        </is>
      </c>
      <c r="C2664" s="33" t="inlineStr">
        <is>
          <t>Tajus Juska</t>
        </is>
      </c>
      <c r="D2664" s="33" t="inlineStr">
        <is>
          <t>SwimCloud</t>
        </is>
      </c>
      <c r="E2664" s="33" t="inlineStr">
        <is>
          <t>2116196</t>
        </is>
      </c>
      <c r="F2664" s="33" t="inlineStr">
        <is>
          <t>165960783</t>
        </is>
      </c>
      <c r="G2664" s="51" t="n">
        <v>46010</v>
      </c>
      <c r="H2664" s="33" t="inlineStr">
        <is>
          <t>Lithuanian Open Championships</t>
        </is>
      </c>
      <c r="I2664" s="33" t="inlineStr">
        <is>
          <t>368820</t>
        </is>
      </c>
      <c r="J2664" s="33" t="inlineStr"/>
      <c r="K2664" s="33" t="inlineStr">
        <is>
          <t>FIN</t>
        </is>
      </c>
      <c r="L2664" s="35">
        <f>IF(K2664="FIN",3,IF(OR(K2664="SEM",K2664="SEMI"),2,IF(OR(K2664="PRE",K2664="HEAT"),1,IF(V2664="YES",4,2))))</f>
        <v/>
      </c>
      <c r="M2664" s="33" t="inlineStr">
        <is>
          <t>SCM</t>
        </is>
      </c>
      <c r="N2664" s="33" t="n">
        <v>200</v>
      </c>
      <c r="O2664" s="33" t="inlineStr">
        <is>
          <t>Free</t>
        </is>
      </c>
      <c r="P2664" s="33" t="inlineStr">
        <is>
          <t>200 Free</t>
        </is>
      </c>
      <c r="Q2664" s="33" t="inlineStr">
        <is>
          <t>SCM_200_FREE</t>
        </is>
      </c>
      <c r="R2664" s="36" t="n">
        <v>103.76</v>
      </c>
      <c r="S2664" s="35">
        <f>IF(R2664="","",IF(R2664&gt;=60,INT(R2664/60)&amp;":"&amp;TEXT(MOD(R2664,60),"00.00"),TEXT(R2664,"0.00")))</f>
        <v/>
      </c>
      <c r="T2664" s="52">
        <f>IFERROR((G2664-INDEX('01_Swimmers'!$E$5:$E$22,MATCH(B2664,'01_Swimmers'!$A$5:$A$22,0)))/'00_Control'!$B$10,"")</f>
        <v/>
      </c>
      <c r="U2664" s="35">
        <f>IF(T2664="","",INT(T2664))</f>
        <v/>
      </c>
      <c r="V2664" s="33" t="inlineStr">
        <is>
          <t>NO</t>
        </is>
      </c>
      <c r="W2664" s="33" t="inlineStr">
        <is>
          <t>YES</t>
        </is>
      </c>
      <c r="X2664" s="33" t="inlineStr">
        <is>
          <t>NO</t>
        </is>
      </c>
      <c r="Y2664" s="33" t="n">
        <v>2</v>
      </c>
      <c r="Z2664" s="33" t="n">
        <v>2</v>
      </c>
      <c r="AA2664" s="33" t="inlineStr">
        <is>
          <t>2</t>
        </is>
      </c>
      <c r="AB2664" s="33" t="inlineStr">
        <is>
          <t>https://www.swimcloud.com/results/368820/event/2/?id=165960783#time165960783</t>
        </is>
      </c>
      <c r="AC2664" s="33" t="inlineStr">
        <is>
          <t>SwimCloud API v6 2026-10-08</t>
        </is>
      </c>
      <c r="AD2664" s="33" t="inlineStr">
        <is>
          <t>Tajus Juska|2025-12-19|SCM|200|Free|103.76|Lithuanian Open Championships|FIN|False</t>
        </is>
      </c>
      <c r="AE2664" s="53">
        <f>G2664+L2664/1000+ROW()/1000000000</f>
        <v/>
      </c>
      <c r="AF2664" s="35">
        <f>IF(C2664&lt;&gt;"Grayson Coulter","",COUNTIFS($C$5:$C$2991,"Grayson Coulter",$Q$5:$Q$2991,Q2664,$AE$5:$AE$2991,"&lt;="&amp;AE2664,$R$5:$R$2991,"&lt;"&amp;R2664))</f>
        <v/>
      </c>
      <c r="AG2664" s="35">
        <f>IF(OR(C2664&lt;&gt;"Grayson Coulter",G2664&lt;'00_Control'!$B$7),"",--(AF2664&lt;5))</f>
        <v/>
      </c>
      <c r="AH2664" s="35">
        <f>IF(OR(C2664&lt;&gt;"Grayson Coulter",G2664&lt;'00_Control'!$B$7),"",--(AF2664&lt;10))</f>
        <v/>
      </c>
      <c r="AI2664" s="35">
        <f>IF(AND(C2664="Grayson Coulter",G2664&gt;='00_Control'!$B$7),"YES","NO")</f>
        <v/>
      </c>
      <c r="AJ2664" s="33" t="inlineStr">
        <is>
          <t>OK</t>
        </is>
      </c>
    </row>
    <row r="2665">
      <c r="A2665" s="33" t="inlineStr">
        <is>
          <t>SM002661</t>
        </is>
      </c>
      <c r="B2665" s="33" t="inlineStr">
        <is>
          <t>SW006</t>
        </is>
      </c>
      <c r="C2665" s="33" t="inlineStr">
        <is>
          <t>Tajus Juska</t>
        </is>
      </c>
      <c r="D2665" s="33" t="inlineStr">
        <is>
          <t>SwimCloud</t>
        </is>
      </c>
      <c r="E2665" s="33" t="inlineStr">
        <is>
          <t>2116196</t>
        </is>
      </c>
      <c r="F2665" s="33" t="inlineStr">
        <is>
          <t>165960781</t>
        </is>
      </c>
      <c r="G2665" s="51" t="n">
        <v>46011</v>
      </c>
      <c r="H2665" s="33" t="inlineStr">
        <is>
          <t>Lithuanian Open Championships</t>
        </is>
      </c>
      <c r="I2665" s="33" t="inlineStr">
        <is>
          <t>368820</t>
        </is>
      </c>
      <c r="J2665" s="33" t="inlineStr"/>
      <c r="K2665" s="33" t="inlineStr">
        <is>
          <t>PRE</t>
        </is>
      </c>
      <c r="L2665" s="35">
        <f>IF(K2665="FIN",3,IF(OR(K2665="SEM",K2665="SEMI"),2,IF(OR(K2665="PRE",K2665="HEAT"),1,IF(V2665="YES",4,2))))</f>
        <v/>
      </c>
      <c r="M2665" s="33" t="inlineStr">
        <is>
          <t>SCM</t>
        </is>
      </c>
      <c r="N2665" s="33" t="n">
        <v>100</v>
      </c>
      <c r="O2665" s="33" t="inlineStr">
        <is>
          <t>Free</t>
        </is>
      </c>
      <c r="P2665" s="33" t="inlineStr">
        <is>
          <t>100 Free</t>
        </is>
      </c>
      <c r="Q2665" s="33" t="inlineStr">
        <is>
          <t>SCM_100_FREE</t>
        </is>
      </c>
      <c r="R2665" s="36" t="n">
        <v>48.55</v>
      </c>
      <c r="S2665" s="35">
        <f>IF(R2665="","",IF(R2665&gt;=60,INT(R2665/60)&amp;":"&amp;TEXT(MOD(R2665,60),"00.00"),TEXT(R2665,"0.00")))</f>
        <v/>
      </c>
      <c r="T2665" s="52">
        <f>IFERROR((G2665-INDEX('01_Swimmers'!$E$5:$E$22,MATCH(B2665,'01_Swimmers'!$A$5:$A$22,0)))/'00_Control'!$B$10,"")</f>
        <v/>
      </c>
      <c r="U2665" s="35">
        <f>IF(T2665="","",INT(T2665))</f>
        <v/>
      </c>
      <c r="V2665" s="33" t="inlineStr">
        <is>
          <t>NO</t>
        </is>
      </c>
      <c r="W2665" s="33" t="inlineStr">
        <is>
          <t>YES</t>
        </is>
      </c>
      <c r="X2665" s="33" t="inlineStr">
        <is>
          <t>NO</t>
        </is>
      </c>
      <c r="Y2665" s="33" t="n">
        <v>11</v>
      </c>
      <c r="Z2665" s="33" t="n">
        <v>4</v>
      </c>
      <c r="AA2665" s="33" t="inlineStr">
        <is>
          <t>2</t>
        </is>
      </c>
      <c r="AB2665" s="33" t="inlineStr">
        <is>
          <t>https://www.swimcloud.com/results/368820/event/17/?id=165960781#time165960781</t>
        </is>
      </c>
      <c r="AC2665" s="33" t="inlineStr">
        <is>
          <t>SwimCloud API v6 2026-10-08</t>
        </is>
      </c>
      <c r="AD2665" s="33" t="inlineStr">
        <is>
          <t>Tajus Juska|2025-12-20|SCM|100|Free|48.55|Lithuanian Open Championships|PRE|False</t>
        </is>
      </c>
      <c r="AE2665" s="53">
        <f>G2665+L2665/1000+ROW()/1000000000</f>
        <v/>
      </c>
      <c r="AF2665" s="35">
        <f>IF(C2665&lt;&gt;"Grayson Coulter","",COUNTIFS($C$5:$C$2991,"Grayson Coulter",$Q$5:$Q$2991,Q2665,$AE$5:$AE$2991,"&lt;="&amp;AE2665,$R$5:$R$2991,"&lt;"&amp;R2665))</f>
        <v/>
      </c>
      <c r="AG2665" s="35">
        <f>IF(OR(C2665&lt;&gt;"Grayson Coulter",G2665&lt;'00_Control'!$B$7),"",--(AF2665&lt;5))</f>
        <v/>
      </c>
      <c r="AH2665" s="35">
        <f>IF(OR(C2665&lt;&gt;"Grayson Coulter",G2665&lt;'00_Control'!$B$7),"",--(AF2665&lt;10))</f>
        <v/>
      </c>
      <c r="AI2665" s="35">
        <f>IF(AND(C2665="Grayson Coulter",G2665&gt;='00_Control'!$B$7),"YES","NO")</f>
        <v/>
      </c>
      <c r="AJ2665" s="33" t="inlineStr">
        <is>
          <t>OK</t>
        </is>
      </c>
    </row>
    <row r="2666">
      <c r="A2666" s="33" t="inlineStr">
        <is>
          <t>SM002662</t>
        </is>
      </c>
      <c r="B2666" s="33" t="inlineStr">
        <is>
          <t>SW006</t>
        </is>
      </c>
      <c r="C2666" s="33" t="inlineStr">
        <is>
          <t>Tajus Juska</t>
        </is>
      </c>
      <c r="D2666" s="33" t="inlineStr">
        <is>
          <t>SwimCloud</t>
        </is>
      </c>
      <c r="E2666" s="33" t="inlineStr">
        <is>
          <t>2116196</t>
        </is>
      </c>
      <c r="F2666" s="33" t="inlineStr">
        <is>
          <t>165960784</t>
        </is>
      </c>
      <c r="G2666" s="51" t="n">
        <v>46011</v>
      </c>
      <c r="H2666" s="33" t="inlineStr">
        <is>
          <t>Lithuanian Open Championships</t>
        </is>
      </c>
      <c r="I2666" s="33" t="inlineStr">
        <is>
          <t>368820</t>
        </is>
      </c>
      <c r="J2666" s="33" t="inlineStr"/>
      <c r="K2666" s="33" t="inlineStr">
        <is>
          <t>FIN</t>
        </is>
      </c>
      <c r="L2666" s="35">
        <f>IF(K2666="FIN",3,IF(OR(K2666="SEM",K2666="SEMI"),2,IF(OR(K2666="PRE",K2666="HEAT"),1,IF(V2666="YES",4,2))))</f>
        <v/>
      </c>
      <c r="M2666" s="33" t="inlineStr">
        <is>
          <t>SCM</t>
        </is>
      </c>
      <c r="N2666" s="33" t="n">
        <v>100</v>
      </c>
      <c r="O2666" s="33" t="inlineStr">
        <is>
          <t>Free</t>
        </is>
      </c>
      <c r="P2666" s="33" t="inlineStr">
        <is>
          <t>100 Free</t>
        </is>
      </c>
      <c r="Q2666" s="33" t="inlineStr">
        <is>
          <t>SCM_100_FREE</t>
        </is>
      </c>
      <c r="R2666" s="36" t="n">
        <v>46.7</v>
      </c>
      <c r="S2666" s="35">
        <f>IF(R2666="","",IF(R2666&gt;=60,INT(R2666/60)&amp;":"&amp;TEXT(MOD(R2666,60),"00.00"),TEXT(R2666,"0.00")))</f>
        <v/>
      </c>
      <c r="T2666" s="52">
        <f>IFERROR((G2666-INDEX('01_Swimmers'!$E$5:$E$22,MATCH(B2666,'01_Swimmers'!$A$5:$A$22,0)))/'00_Control'!$B$10,"")</f>
        <v/>
      </c>
      <c r="U2666" s="35">
        <f>IF(T2666="","",INT(T2666))</f>
        <v/>
      </c>
      <c r="V2666" s="33" t="inlineStr">
        <is>
          <t>NO</t>
        </is>
      </c>
      <c r="W2666" s="33" t="inlineStr">
        <is>
          <t>YES</t>
        </is>
      </c>
      <c r="X2666" s="33" t="inlineStr">
        <is>
          <t>NO</t>
        </is>
      </c>
      <c r="Y2666" s="33" t="n">
        <v>2</v>
      </c>
      <c r="Z2666" s="33" t="n">
        <v>5</v>
      </c>
      <c r="AA2666" s="33" t="inlineStr">
        <is>
          <t>1</t>
        </is>
      </c>
      <c r="AB2666" s="33" t="inlineStr">
        <is>
          <t>https://www.swimcloud.com/results/368820/event/17/?id=165960784#time165960784</t>
        </is>
      </c>
      <c r="AC2666" s="33" t="inlineStr">
        <is>
          <t>SwimCloud API v6 2026-10-08</t>
        </is>
      </c>
      <c r="AD2666" s="33" t="inlineStr">
        <is>
          <t>Tajus Juska|2025-12-20|SCM|100|Free|46.7|Lithuanian Open Championships|FIN|False</t>
        </is>
      </c>
      <c r="AE2666" s="53">
        <f>G2666+L2666/1000+ROW()/1000000000</f>
        <v/>
      </c>
      <c r="AF2666" s="35">
        <f>IF(C2666&lt;&gt;"Grayson Coulter","",COUNTIFS($C$5:$C$2991,"Grayson Coulter",$Q$5:$Q$2991,Q2666,$AE$5:$AE$2991,"&lt;="&amp;AE2666,$R$5:$R$2991,"&lt;"&amp;R2666))</f>
        <v/>
      </c>
      <c r="AG2666" s="35">
        <f>IF(OR(C2666&lt;&gt;"Grayson Coulter",G2666&lt;'00_Control'!$B$7),"",--(AF2666&lt;5))</f>
        <v/>
      </c>
      <c r="AH2666" s="35">
        <f>IF(OR(C2666&lt;&gt;"Grayson Coulter",G2666&lt;'00_Control'!$B$7),"",--(AF2666&lt;10))</f>
        <v/>
      </c>
      <c r="AI2666" s="35">
        <f>IF(AND(C2666="Grayson Coulter",G2666&gt;='00_Control'!$B$7),"YES","NO")</f>
        <v/>
      </c>
      <c r="AJ2666" s="33" t="inlineStr">
        <is>
          <t>OK</t>
        </is>
      </c>
    </row>
    <row r="2667">
      <c r="A2667" s="33" t="inlineStr">
        <is>
          <t>SM002663</t>
        </is>
      </c>
      <c r="B2667" s="33" t="inlineStr">
        <is>
          <t>SW006</t>
        </is>
      </c>
      <c r="C2667" s="33" t="inlineStr">
        <is>
          <t>Tajus Juska</t>
        </is>
      </c>
      <c r="D2667" s="33" t="inlineStr">
        <is>
          <t>SwimCloud</t>
        </is>
      </c>
      <c r="E2667" s="33" t="inlineStr">
        <is>
          <t>2116196</t>
        </is>
      </c>
      <c r="F2667" s="33" t="inlineStr">
        <is>
          <t>165961494</t>
        </is>
      </c>
      <c r="G2667" s="51" t="n">
        <v>46011</v>
      </c>
      <c r="H2667" s="33" t="inlineStr">
        <is>
          <t>Lithuanian Open Championships</t>
        </is>
      </c>
      <c r="I2667" s="33" t="inlineStr">
        <is>
          <t>368820</t>
        </is>
      </c>
      <c r="J2667" s="33" t="inlineStr"/>
      <c r="K2667" s="33" t="inlineStr">
        <is>
          <t>TIM</t>
        </is>
      </c>
      <c r="L2667" s="35">
        <f>IF(K2667="FIN",3,IF(OR(K2667="SEM",K2667="SEMI"),2,IF(OR(K2667="PRE",K2667="HEAT"),1,IF(V2667="YES",4,2))))</f>
        <v/>
      </c>
      <c r="M2667" s="33" t="inlineStr">
        <is>
          <t>SCM</t>
        </is>
      </c>
      <c r="N2667" s="33" t="n">
        <v>100</v>
      </c>
      <c r="O2667" s="33" t="inlineStr">
        <is>
          <t>Free</t>
        </is>
      </c>
      <c r="P2667" s="33" t="inlineStr">
        <is>
          <t>100 Free</t>
        </is>
      </c>
      <c r="Q2667" s="33" t="inlineStr">
        <is>
          <t>SCM_100_FREE</t>
        </is>
      </c>
      <c r="R2667" s="36" t="n">
        <v>46.9</v>
      </c>
      <c r="S2667" s="35">
        <f>IF(R2667="","",IF(R2667&gt;=60,INT(R2667/60)&amp;":"&amp;TEXT(MOD(R2667,60),"00.00"),TEXT(R2667,"0.00")))</f>
        <v/>
      </c>
      <c r="T2667" s="52">
        <f>IFERROR((G2667-INDEX('01_Swimmers'!$E$5:$E$22,MATCH(B2667,'01_Swimmers'!$A$5:$A$22,0)))/'00_Control'!$B$10,"")</f>
        <v/>
      </c>
      <c r="U2667" s="35">
        <f>IF(T2667="","",INT(T2667))</f>
        <v/>
      </c>
      <c r="V2667" s="33" t="inlineStr">
        <is>
          <t>YES</t>
        </is>
      </c>
      <c r="W2667" s="33" t="inlineStr">
        <is>
          <t>YES</t>
        </is>
      </c>
      <c r="X2667" s="33" t="inlineStr">
        <is>
          <t>NO</t>
        </is>
      </c>
      <c r="Y2667" s="33" t="n">
        <v>2</v>
      </c>
      <c r="Z2667" s="33" t="n">
        <v>5</v>
      </c>
      <c r="AA2667" s="33" t="inlineStr"/>
      <c r="AB2667" s="33" t="inlineStr">
        <is>
          <t>https://www.swimcloud.com/results/368820/event/27/?id=165960824#time165960824</t>
        </is>
      </c>
      <c r="AC2667" s="33" t="inlineStr">
        <is>
          <t>SwimCloud API v6 2026-10-08</t>
        </is>
      </c>
      <c r="AD2667" s="33" t="inlineStr">
        <is>
          <t>Tajus Juska|2025-12-20|SCM|100|Free|46.9|Lithuanian Open Championships|TIM|True</t>
        </is>
      </c>
      <c r="AE2667" s="53">
        <f>G2667+L2667/1000+ROW()/1000000000</f>
        <v/>
      </c>
      <c r="AF2667" s="35">
        <f>IF(C2667&lt;&gt;"Grayson Coulter","",COUNTIFS($C$5:$C$2991,"Grayson Coulter",$Q$5:$Q$2991,Q2667,$AE$5:$AE$2991,"&lt;="&amp;AE2667,$R$5:$R$2991,"&lt;"&amp;R2667))</f>
        <v/>
      </c>
      <c r="AG2667" s="35">
        <f>IF(OR(C2667&lt;&gt;"Grayson Coulter",G2667&lt;'00_Control'!$B$7),"",--(AF2667&lt;5))</f>
        <v/>
      </c>
      <c r="AH2667" s="35">
        <f>IF(OR(C2667&lt;&gt;"Grayson Coulter",G2667&lt;'00_Control'!$B$7),"",--(AF2667&lt;10))</f>
        <v/>
      </c>
      <c r="AI2667" s="35">
        <f>IF(AND(C2667="Grayson Coulter",G2667&gt;='00_Control'!$B$7),"YES","NO")</f>
        <v/>
      </c>
      <c r="AJ2667" s="33" t="inlineStr">
        <is>
          <t>OK</t>
        </is>
      </c>
    </row>
    <row r="2668">
      <c r="A2668" s="33" t="inlineStr">
        <is>
          <t>SM002664</t>
        </is>
      </c>
      <c r="B2668" s="33" t="inlineStr">
        <is>
          <t>SW006</t>
        </is>
      </c>
      <c r="C2668" s="33" t="inlineStr">
        <is>
          <t>Tajus Juska</t>
        </is>
      </c>
      <c r="D2668" s="33" t="inlineStr">
        <is>
          <t>SwimCloud</t>
        </is>
      </c>
      <c r="E2668" s="33" t="inlineStr">
        <is>
          <t>2116196</t>
        </is>
      </c>
      <c r="F2668" s="33" t="inlineStr">
        <is>
          <t>165960782</t>
        </is>
      </c>
      <c r="G2668" s="51" t="n">
        <v>46012</v>
      </c>
      <c r="H2668" s="33" t="inlineStr">
        <is>
          <t>Lithuanian Open Championships</t>
        </is>
      </c>
      <c r="I2668" s="33" t="inlineStr">
        <is>
          <t>368820</t>
        </is>
      </c>
      <c r="J2668" s="33" t="inlineStr"/>
      <c r="K2668" s="33" t="inlineStr">
        <is>
          <t>PRE</t>
        </is>
      </c>
      <c r="L2668" s="35">
        <f>IF(K2668="FIN",3,IF(OR(K2668="SEM",K2668="SEMI"),2,IF(OR(K2668="PRE",K2668="HEAT"),1,IF(V2668="YES",4,2))))</f>
        <v/>
      </c>
      <c r="M2668" s="33" t="inlineStr">
        <is>
          <t>SCM</t>
        </is>
      </c>
      <c r="N2668" s="33" t="n">
        <v>400</v>
      </c>
      <c r="O2668" s="33" t="inlineStr">
        <is>
          <t>Free</t>
        </is>
      </c>
      <c r="P2668" s="33" t="inlineStr">
        <is>
          <t>400 Free</t>
        </is>
      </c>
      <c r="Q2668" s="33" t="inlineStr">
        <is>
          <t>SCM_400_FREE</t>
        </is>
      </c>
      <c r="R2668" s="36" t="n">
        <v>238.52</v>
      </c>
      <c r="S2668" s="35">
        <f>IF(R2668="","",IF(R2668&gt;=60,INT(R2668/60)&amp;":"&amp;TEXT(MOD(R2668,60),"00.00"),TEXT(R2668,"0.00")))</f>
        <v/>
      </c>
      <c r="T2668" s="52">
        <f>IFERROR((G2668-INDEX('01_Swimmers'!$E$5:$E$22,MATCH(B2668,'01_Swimmers'!$A$5:$A$22,0)))/'00_Control'!$B$10,"")</f>
        <v/>
      </c>
      <c r="U2668" s="35">
        <f>IF(T2668="","",INT(T2668))</f>
        <v/>
      </c>
      <c r="V2668" s="33" t="inlineStr">
        <is>
          <t>NO</t>
        </is>
      </c>
      <c r="W2668" s="33" t="inlineStr">
        <is>
          <t>YES</t>
        </is>
      </c>
      <c r="X2668" s="33" t="inlineStr">
        <is>
          <t>NO</t>
        </is>
      </c>
      <c r="Y2668" s="33" t="n">
        <v>6</v>
      </c>
      <c r="Z2668" s="33" t="n">
        <v>3</v>
      </c>
      <c r="AA2668" s="33" t="inlineStr">
        <is>
          <t>6</t>
        </is>
      </c>
      <c r="AB2668" s="33" t="inlineStr">
        <is>
          <t>https://www.swimcloud.com/results/368820/event/29/?id=165960782#time165960782</t>
        </is>
      </c>
      <c r="AC2668" s="33" t="inlineStr">
        <is>
          <t>SwimCloud API v6 2026-10-08</t>
        </is>
      </c>
      <c r="AD2668" s="33" t="inlineStr">
        <is>
          <t>Tajus Juska|2025-12-21|SCM|400|Free|238.52|Lithuanian Open Championships|PRE|False</t>
        </is>
      </c>
      <c r="AE2668" s="53">
        <f>G2668+L2668/1000+ROW()/1000000000</f>
        <v/>
      </c>
      <c r="AF2668" s="35">
        <f>IF(C2668&lt;&gt;"Grayson Coulter","",COUNTIFS($C$5:$C$2991,"Grayson Coulter",$Q$5:$Q$2991,Q2668,$AE$5:$AE$2991,"&lt;="&amp;AE2668,$R$5:$R$2991,"&lt;"&amp;R2668))</f>
        <v/>
      </c>
      <c r="AG2668" s="35">
        <f>IF(OR(C2668&lt;&gt;"Grayson Coulter",G2668&lt;'00_Control'!$B$7),"",--(AF2668&lt;5))</f>
        <v/>
      </c>
      <c r="AH2668" s="35">
        <f>IF(OR(C2668&lt;&gt;"Grayson Coulter",G2668&lt;'00_Control'!$B$7),"",--(AF2668&lt;10))</f>
        <v/>
      </c>
      <c r="AI2668" s="35">
        <f>IF(AND(C2668="Grayson Coulter",G2668&gt;='00_Control'!$B$7),"YES","NO")</f>
        <v/>
      </c>
      <c r="AJ2668" s="33" t="inlineStr">
        <is>
          <t>OK</t>
        </is>
      </c>
    </row>
    <row r="2669">
      <c r="A2669" s="33" t="inlineStr">
        <is>
          <t>SM002665</t>
        </is>
      </c>
      <c r="B2669" s="33" t="inlineStr">
        <is>
          <t>SW006</t>
        </is>
      </c>
      <c r="C2669" s="33" t="inlineStr">
        <is>
          <t>Tajus Juska</t>
        </is>
      </c>
      <c r="D2669" s="33" t="inlineStr">
        <is>
          <t>SwimCloud</t>
        </is>
      </c>
      <c r="E2669" s="33" t="inlineStr">
        <is>
          <t>2116196</t>
        </is>
      </c>
      <c r="F2669" s="33" t="inlineStr">
        <is>
          <t>165960785</t>
        </is>
      </c>
      <c r="G2669" s="51" t="n">
        <v>46012</v>
      </c>
      <c r="H2669" s="33" t="inlineStr">
        <is>
          <t>Lithuanian Open Championships</t>
        </is>
      </c>
      <c r="I2669" s="33" t="inlineStr">
        <is>
          <t>368820</t>
        </is>
      </c>
      <c r="J2669" s="33" t="inlineStr"/>
      <c r="K2669" s="33" t="inlineStr">
        <is>
          <t>FIN</t>
        </is>
      </c>
      <c r="L2669" s="35">
        <f>IF(K2669="FIN",3,IF(OR(K2669="SEM",K2669="SEMI"),2,IF(OR(K2669="PRE",K2669="HEAT"),1,IF(V2669="YES",4,2))))</f>
        <v/>
      </c>
      <c r="M2669" s="33" t="inlineStr">
        <is>
          <t>SCM</t>
        </is>
      </c>
      <c r="N2669" s="33" t="n">
        <v>400</v>
      </c>
      <c r="O2669" s="33" t="inlineStr">
        <is>
          <t>Free</t>
        </is>
      </c>
      <c r="P2669" s="33" t="inlineStr">
        <is>
          <t>400 Free</t>
        </is>
      </c>
      <c r="Q2669" s="33" t="inlineStr">
        <is>
          <t>SCM_400_FREE</t>
        </is>
      </c>
      <c r="R2669" s="36" t="n">
        <v>222.49</v>
      </c>
      <c r="S2669" s="35">
        <f>IF(R2669="","",IF(R2669&gt;=60,INT(R2669/60)&amp;":"&amp;TEXT(MOD(R2669,60),"00.00"),TEXT(R2669,"0.00")))</f>
        <v/>
      </c>
      <c r="T2669" s="52">
        <f>IFERROR((G2669-INDEX('01_Swimmers'!$E$5:$E$22,MATCH(B2669,'01_Swimmers'!$A$5:$A$22,0)))/'00_Control'!$B$10,"")</f>
        <v/>
      </c>
      <c r="U2669" s="35">
        <f>IF(T2669="","",INT(T2669))</f>
        <v/>
      </c>
      <c r="V2669" s="33" t="inlineStr">
        <is>
          <t>NO</t>
        </is>
      </c>
      <c r="W2669" s="33" t="inlineStr">
        <is>
          <t>YES</t>
        </is>
      </c>
      <c r="X2669" s="33" t="inlineStr">
        <is>
          <t>NO</t>
        </is>
      </c>
      <c r="Y2669" s="33" t="n">
        <v>2</v>
      </c>
      <c r="Z2669" s="33" t="n">
        <v>2</v>
      </c>
      <c r="AA2669" s="33" t="inlineStr">
        <is>
          <t>2</t>
        </is>
      </c>
      <c r="AB2669" s="33" t="inlineStr">
        <is>
          <t>https://www.swimcloud.com/results/368820/event/29/?id=165960785#time165960785</t>
        </is>
      </c>
      <c r="AC2669" s="33" t="inlineStr">
        <is>
          <t>SwimCloud API v6 2026-10-08</t>
        </is>
      </c>
      <c r="AD2669" s="33" t="inlineStr">
        <is>
          <t>Tajus Juska|2025-12-21|SCM|400|Free|222.49|Lithuanian Open Championships|FIN|False</t>
        </is>
      </c>
      <c r="AE2669" s="53">
        <f>G2669+L2669/1000+ROW()/1000000000</f>
        <v/>
      </c>
      <c r="AF2669" s="35">
        <f>IF(C2669&lt;&gt;"Grayson Coulter","",COUNTIFS($C$5:$C$2991,"Grayson Coulter",$Q$5:$Q$2991,Q2669,$AE$5:$AE$2991,"&lt;="&amp;AE2669,$R$5:$R$2991,"&lt;"&amp;R2669))</f>
        <v/>
      </c>
      <c r="AG2669" s="35">
        <f>IF(OR(C2669&lt;&gt;"Grayson Coulter",G2669&lt;'00_Control'!$B$7),"",--(AF2669&lt;5))</f>
        <v/>
      </c>
      <c r="AH2669" s="35">
        <f>IF(OR(C2669&lt;&gt;"Grayson Coulter",G2669&lt;'00_Control'!$B$7),"",--(AF2669&lt;10))</f>
        <v/>
      </c>
      <c r="AI2669" s="35">
        <f>IF(AND(C2669="Grayson Coulter",G2669&gt;='00_Control'!$B$7),"YES","NO")</f>
        <v/>
      </c>
      <c r="AJ2669" s="33" t="inlineStr">
        <is>
          <t>OK</t>
        </is>
      </c>
    </row>
    <row r="2670">
      <c r="A2670" s="33" t="inlineStr">
        <is>
          <t>SM002666</t>
        </is>
      </c>
      <c r="B2670" s="33" t="inlineStr">
        <is>
          <t>SW006</t>
        </is>
      </c>
      <c r="C2670" s="33" t="inlineStr">
        <is>
          <t>Tajus Juska</t>
        </is>
      </c>
      <c r="D2670" s="33" t="inlineStr">
        <is>
          <t>SwimCloud</t>
        </is>
      </c>
      <c r="E2670" s="33" t="inlineStr">
        <is>
          <t>2116196</t>
        </is>
      </c>
      <c r="F2670" s="33" t="inlineStr">
        <is>
          <t>173156338</t>
        </is>
      </c>
      <c r="G2670" s="51" t="n">
        <v>46088</v>
      </c>
      <c r="H2670" s="33" t="inlineStr">
        <is>
          <t>Baltic States Championships</t>
        </is>
      </c>
      <c r="I2670" s="33" t="inlineStr">
        <is>
          <t>381579</t>
        </is>
      </c>
      <c r="J2670" s="33" t="inlineStr"/>
      <c r="K2670" s="33" t="inlineStr">
        <is>
          <t>PRE</t>
        </is>
      </c>
      <c r="L2670" s="35">
        <f>IF(K2670="FIN",3,IF(OR(K2670="SEM",K2670="SEMI"),2,IF(OR(K2670="PRE",K2670="HEAT"),1,IF(V2670="YES",4,2))))</f>
        <v/>
      </c>
      <c r="M2670" s="33" t="inlineStr">
        <is>
          <t>LCM</t>
        </is>
      </c>
      <c r="N2670" s="33" t="n">
        <v>100</v>
      </c>
      <c r="O2670" s="33" t="inlineStr">
        <is>
          <t>Free</t>
        </is>
      </c>
      <c r="P2670" s="33" t="inlineStr">
        <is>
          <t>100 Free</t>
        </is>
      </c>
      <c r="Q2670" s="33" t="inlineStr">
        <is>
          <t>LCM_100_FREE</t>
        </is>
      </c>
      <c r="R2670" s="36" t="n">
        <v>51.4</v>
      </c>
      <c r="S2670" s="35">
        <f>IF(R2670="","",IF(R2670&gt;=60,INT(R2670/60)&amp;":"&amp;TEXT(MOD(R2670,60),"00.00"),TEXT(R2670,"0.00")))</f>
        <v/>
      </c>
      <c r="T2670" s="52">
        <f>IFERROR((G2670-INDEX('01_Swimmers'!$E$5:$E$22,MATCH(B2670,'01_Swimmers'!$A$5:$A$22,0)))/'00_Control'!$B$10,"")</f>
        <v/>
      </c>
      <c r="U2670" s="35">
        <f>IF(T2670="","",INT(T2670))</f>
        <v/>
      </c>
      <c r="V2670" s="33" t="inlineStr">
        <is>
          <t>NO</t>
        </is>
      </c>
      <c r="W2670" s="33" t="inlineStr">
        <is>
          <t>YES</t>
        </is>
      </c>
      <c r="X2670" s="33" t="inlineStr">
        <is>
          <t>NO</t>
        </is>
      </c>
      <c r="Y2670" s="33" t="n">
        <v>10</v>
      </c>
      <c r="Z2670" s="33" t="n">
        <v>4</v>
      </c>
      <c r="AA2670" s="33" t="inlineStr">
        <is>
          <t>2</t>
        </is>
      </c>
      <c r="AB2670" s="33" t="inlineStr">
        <is>
          <t>https://www.swimcloud.com/results/381579/event/1/?id=173156338#time173156338</t>
        </is>
      </c>
      <c r="AC2670" s="33" t="inlineStr">
        <is>
          <t>SwimCloud API v6 2026-10-08</t>
        </is>
      </c>
      <c r="AD2670" s="33" t="inlineStr">
        <is>
          <t>Tajus Juska|2026-03-07|LCM|100|Free|51.4|Baltic States Championships|PRE|False</t>
        </is>
      </c>
      <c r="AE2670" s="53">
        <f>G2670+L2670/1000+ROW()/1000000000</f>
        <v/>
      </c>
      <c r="AF2670" s="35">
        <f>IF(C2670&lt;&gt;"Grayson Coulter","",COUNTIFS($C$5:$C$2991,"Grayson Coulter",$Q$5:$Q$2991,Q2670,$AE$5:$AE$2991,"&lt;="&amp;AE2670,$R$5:$R$2991,"&lt;"&amp;R2670))</f>
        <v/>
      </c>
      <c r="AG2670" s="35">
        <f>IF(OR(C2670&lt;&gt;"Grayson Coulter",G2670&lt;'00_Control'!$B$7),"",--(AF2670&lt;5))</f>
        <v/>
      </c>
      <c r="AH2670" s="35">
        <f>IF(OR(C2670&lt;&gt;"Grayson Coulter",G2670&lt;'00_Control'!$B$7),"",--(AF2670&lt;10))</f>
        <v/>
      </c>
      <c r="AI2670" s="35">
        <f>IF(AND(C2670="Grayson Coulter",G2670&gt;='00_Control'!$B$7),"YES","NO")</f>
        <v/>
      </c>
      <c r="AJ2670" s="33" t="inlineStr">
        <is>
          <t>OK</t>
        </is>
      </c>
    </row>
    <row r="2671">
      <c r="A2671" s="33" t="inlineStr">
        <is>
          <t>SM002667</t>
        </is>
      </c>
      <c r="B2671" s="33" t="inlineStr">
        <is>
          <t>SW006</t>
        </is>
      </c>
      <c r="C2671" s="33" t="inlineStr">
        <is>
          <t>Tajus Juska</t>
        </is>
      </c>
      <c r="D2671" s="33" t="inlineStr">
        <is>
          <t>SwimCloud</t>
        </is>
      </c>
      <c r="E2671" s="33" t="inlineStr">
        <is>
          <t>2116196</t>
        </is>
      </c>
      <c r="F2671" s="33" t="inlineStr">
        <is>
          <t>173156344</t>
        </is>
      </c>
      <c r="G2671" s="51" t="n">
        <v>46088</v>
      </c>
      <c r="H2671" s="33" t="inlineStr">
        <is>
          <t>Baltic States Championships</t>
        </is>
      </c>
      <c r="I2671" s="33" t="inlineStr">
        <is>
          <t>381579</t>
        </is>
      </c>
      <c r="J2671" s="33" t="inlineStr"/>
      <c r="K2671" s="33" t="inlineStr">
        <is>
          <t>FIN</t>
        </is>
      </c>
      <c r="L2671" s="35">
        <f>IF(K2671="FIN",3,IF(OR(K2671="SEM",K2671="SEMI"),2,IF(OR(K2671="PRE",K2671="HEAT"),1,IF(V2671="YES",4,2))))</f>
        <v/>
      </c>
      <c r="M2671" s="33" t="inlineStr">
        <is>
          <t>LCM</t>
        </is>
      </c>
      <c r="N2671" s="33" t="n">
        <v>100</v>
      </c>
      <c r="O2671" s="33" t="inlineStr">
        <is>
          <t>Free</t>
        </is>
      </c>
      <c r="P2671" s="33" t="inlineStr">
        <is>
          <t>100 Free</t>
        </is>
      </c>
      <c r="Q2671" s="33" t="inlineStr">
        <is>
          <t>LCM_100_FREE</t>
        </is>
      </c>
      <c r="R2671" s="36" t="n">
        <v>49.66</v>
      </c>
      <c r="S2671" s="35">
        <f>IF(R2671="","",IF(R2671&gt;=60,INT(R2671/60)&amp;":"&amp;TEXT(MOD(R2671,60),"00.00"),TEXT(R2671,"0.00")))</f>
        <v/>
      </c>
      <c r="T2671" s="52">
        <f>IFERROR((G2671-INDEX('01_Swimmers'!$E$5:$E$22,MATCH(B2671,'01_Swimmers'!$A$5:$A$22,0)))/'00_Control'!$B$10,"")</f>
        <v/>
      </c>
      <c r="U2671" s="35">
        <f>IF(T2671="","",INT(T2671))</f>
        <v/>
      </c>
      <c r="V2671" s="33" t="inlineStr">
        <is>
          <t>NO</t>
        </is>
      </c>
      <c r="W2671" s="33" t="inlineStr">
        <is>
          <t>YES</t>
        </is>
      </c>
      <c r="X2671" s="33" t="inlineStr">
        <is>
          <t>NO</t>
        </is>
      </c>
      <c r="Y2671" s="33" t="n">
        <v>2</v>
      </c>
      <c r="Z2671" s="33" t="n">
        <v>6</v>
      </c>
      <c r="AA2671" s="33" t="inlineStr">
        <is>
          <t>1</t>
        </is>
      </c>
      <c r="AB2671" s="33" t="inlineStr">
        <is>
          <t>https://www.swimcloud.com/results/381579/event/1/?id=173156344#time173156344</t>
        </is>
      </c>
      <c r="AC2671" s="33" t="inlineStr">
        <is>
          <t>SwimCloud API v6 2026-10-08</t>
        </is>
      </c>
      <c r="AD2671" s="33" t="inlineStr">
        <is>
          <t>Tajus Juska|2026-03-07|LCM|100|Free|49.66|Baltic States Championships|FIN|False</t>
        </is>
      </c>
      <c r="AE2671" s="53">
        <f>G2671+L2671/1000+ROW()/1000000000</f>
        <v/>
      </c>
      <c r="AF2671" s="35">
        <f>IF(C2671&lt;&gt;"Grayson Coulter","",COUNTIFS($C$5:$C$2991,"Grayson Coulter",$Q$5:$Q$2991,Q2671,$AE$5:$AE$2991,"&lt;="&amp;AE2671,$R$5:$R$2991,"&lt;"&amp;R2671))</f>
        <v/>
      </c>
      <c r="AG2671" s="35">
        <f>IF(OR(C2671&lt;&gt;"Grayson Coulter",G2671&lt;'00_Control'!$B$7),"",--(AF2671&lt;5))</f>
        <v/>
      </c>
      <c r="AH2671" s="35">
        <f>IF(OR(C2671&lt;&gt;"Grayson Coulter",G2671&lt;'00_Control'!$B$7),"",--(AF2671&lt;10))</f>
        <v/>
      </c>
      <c r="AI2671" s="35">
        <f>IF(AND(C2671="Grayson Coulter",G2671&gt;='00_Control'!$B$7),"YES","NO")</f>
        <v/>
      </c>
      <c r="AJ2671" s="33" t="inlineStr">
        <is>
          <t>OK</t>
        </is>
      </c>
    </row>
    <row r="2672">
      <c r="A2672" s="33" t="inlineStr">
        <is>
          <t>SM002668</t>
        </is>
      </c>
      <c r="B2672" s="33" t="inlineStr">
        <is>
          <t>SW006</t>
        </is>
      </c>
      <c r="C2672" s="33" t="inlineStr">
        <is>
          <t>Tajus Juska</t>
        </is>
      </c>
      <c r="D2672" s="33" t="inlineStr">
        <is>
          <t>SwimCloud</t>
        </is>
      </c>
      <c r="E2672" s="33" t="inlineStr">
        <is>
          <t>2116196</t>
        </is>
      </c>
      <c r="F2672" s="33" t="inlineStr">
        <is>
          <t>173156341</t>
        </is>
      </c>
      <c r="G2672" s="51" t="n">
        <v>46089</v>
      </c>
      <c r="H2672" s="33" t="inlineStr">
        <is>
          <t>Baltic States Championships</t>
        </is>
      </c>
      <c r="I2672" s="33" t="inlineStr">
        <is>
          <t>381579</t>
        </is>
      </c>
      <c r="J2672" s="33" t="inlineStr"/>
      <c r="K2672" s="33" t="inlineStr">
        <is>
          <t>PRE</t>
        </is>
      </c>
      <c r="L2672" s="35">
        <f>IF(K2672="FIN",3,IF(OR(K2672="SEM",K2672="SEMI"),2,IF(OR(K2672="PRE",K2672="HEAT"),1,IF(V2672="YES",4,2))))</f>
        <v/>
      </c>
      <c r="M2672" s="33" t="inlineStr">
        <is>
          <t>LCM</t>
        </is>
      </c>
      <c r="N2672" s="33" t="n">
        <v>200</v>
      </c>
      <c r="O2672" s="33" t="inlineStr">
        <is>
          <t>Free</t>
        </is>
      </c>
      <c r="P2672" s="33" t="inlineStr">
        <is>
          <t>200 Free</t>
        </is>
      </c>
      <c r="Q2672" s="33" t="inlineStr">
        <is>
          <t>LCM_200_FREE</t>
        </is>
      </c>
      <c r="R2672" s="36" t="n">
        <v>112.69</v>
      </c>
      <c r="S2672" s="35">
        <f>IF(R2672="","",IF(R2672&gt;=60,INT(R2672/60)&amp;":"&amp;TEXT(MOD(R2672,60),"00.00"),TEXT(R2672,"0.00")))</f>
        <v/>
      </c>
      <c r="T2672" s="52">
        <f>IFERROR((G2672-INDEX('01_Swimmers'!$E$5:$E$22,MATCH(B2672,'01_Swimmers'!$A$5:$A$22,0)))/'00_Control'!$B$10,"")</f>
        <v/>
      </c>
      <c r="U2672" s="35">
        <f>IF(T2672="","",INT(T2672))</f>
        <v/>
      </c>
      <c r="V2672" s="33" t="inlineStr">
        <is>
          <t>NO</t>
        </is>
      </c>
      <c r="W2672" s="33" t="inlineStr">
        <is>
          <t>YES</t>
        </is>
      </c>
      <c r="X2672" s="33" t="inlineStr">
        <is>
          <t>NO</t>
        </is>
      </c>
      <c r="Y2672" s="33" t="n">
        <v>5</v>
      </c>
      <c r="Z2672" s="33" t="n">
        <v>4</v>
      </c>
      <c r="AA2672" s="33" t="inlineStr">
        <is>
          <t>1</t>
        </is>
      </c>
      <c r="AB2672" s="33" t="inlineStr">
        <is>
          <t>https://www.swimcloud.com/results/381579/event/19/?id=173156341#time173156341</t>
        </is>
      </c>
      <c r="AC2672" s="33" t="inlineStr">
        <is>
          <t>SwimCloud API v6 2026-10-08</t>
        </is>
      </c>
      <c r="AD2672" s="33" t="inlineStr">
        <is>
          <t>Tajus Juska|2026-03-08|LCM|200|Free|112.69|Baltic States Championships|PRE|False</t>
        </is>
      </c>
      <c r="AE2672" s="53">
        <f>G2672+L2672/1000+ROW()/1000000000</f>
        <v/>
      </c>
      <c r="AF2672" s="35">
        <f>IF(C2672&lt;&gt;"Grayson Coulter","",COUNTIFS($C$5:$C$2991,"Grayson Coulter",$Q$5:$Q$2991,Q2672,$AE$5:$AE$2991,"&lt;="&amp;AE2672,$R$5:$R$2991,"&lt;"&amp;R2672))</f>
        <v/>
      </c>
      <c r="AG2672" s="35">
        <f>IF(OR(C2672&lt;&gt;"Grayson Coulter",G2672&lt;'00_Control'!$B$7),"",--(AF2672&lt;5))</f>
        <v/>
      </c>
      <c r="AH2672" s="35">
        <f>IF(OR(C2672&lt;&gt;"Grayson Coulter",G2672&lt;'00_Control'!$B$7),"",--(AF2672&lt;10))</f>
        <v/>
      </c>
      <c r="AI2672" s="35">
        <f>IF(AND(C2672="Grayson Coulter",G2672&gt;='00_Control'!$B$7),"YES","NO")</f>
        <v/>
      </c>
      <c r="AJ2672" s="33" t="inlineStr">
        <is>
          <t>OK</t>
        </is>
      </c>
    </row>
    <row r="2673">
      <c r="A2673" s="33" t="inlineStr">
        <is>
          <t>SM002669</t>
        </is>
      </c>
      <c r="B2673" s="33" t="inlineStr">
        <is>
          <t>SW006</t>
        </is>
      </c>
      <c r="C2673" s="33" t="inlineStr">
        <is>
          <t>Tajus Juska</t>
        </is>
      </c>
      <c r="D2673" s="33" t="inlineStr">
        <is>
          <t>SwimCloud</t>
        </is>
      </c>
      <c r="E2673" s="33" t="inlineStr">
        <is>
          <t>2116196</t>
        </is>
      </c>
      <c r="F2673" s="33" t="inlineStr">
        <is>
          <t>173156346</t>
        </is>
      </c>
      <c r="G2673" s="51" t="n">
        <v>46089</v>
      </c>
      <c r="H2673" s="33" t="inlineStr">
        <is>
          <t>Baltic States Championships</t>
        </is>
      </c>
      <c r="I2673" s="33" t="inlineStr">
        <is>
          <t>381579</t>
        </is>
      </c>
      <c r="J2673" s="33" t="inlineStr"/>
      <c r="K2673" s="33" t="inlineStr">
        <is>
          <t>FIN</t>
        </is>
      </c>
      <c r="L2673" s="35">
        <f>IF(K2673="FIN",3,IF(OR(K2673="SEM",K2673="SEMI"),2,IF(OR(K2673="PRE",K2673="HEAT"),1,IF(V2673="YES",4,2))))</f>
        <v/>
      </c>
      <c r="M2673" s="33" t="inlineStr">
        <is>
          <t>LCM</t>
        </is>
      </c>
      <c r="N2673" s="33" t="n">
        <v>200</v>
      </c>
      <c r="O2673" s="33" t="inlineStr">
        <is>
          <t>Free</t>
        </is>
      </c>
      <c r="P2673" s="33" t="inlineStr">
        <is>
          <t>200 Free</t>
        </is>
      </c>
      <c r="Q2673" s="33" t="inlineStr">
        <is>
          <t>LCM_200_FREE</t>
        </is>
      </c>
      <c r="R2673" s="36" t="n">
        <v>109.95</v>
      </c>
      <c r="S2673" s="35">
        <f>IF(R2673="","",IF(R2673&gt;=60,INT(R2673/60)&amp;":"&amp;TEXT(MOD(R2673,60),"00.00"),TEXT(R2673,"0.00")))</f>
        <v/>
      </c>
      <c r="T2673" s="52">
        <f>IFERROR((G2673-INDEX('01_Swimmers'!$E$5:$E$22,MATCH(B2673,'01_Swimmers'!$A$5:$A$22,0)))/'00_Control'!$B$10,"")</f>
        <v/>
      </c>
      <c r="U2673" s="35">
        <f>IF(T2673="","",INT(T2673))</f>
        <v/>
      </c>
      <c r="V2673" s="33" t="inlineStr">
        <is>
          <t>NO</t>
        </is>
      </c>
      <c r="W2673" s="33" t="inlineStr">
        <is>
          <t>YES</t>
        </is>
      </c>
      <c r="X2673" s="33" t="inlineStr">
        <is>
          <t>NO</t>
        </is>
      </c>
      <c r="Y2673" s="33" t="n">
        <v>1</v>
      </c>
      <c r="Z2673" s="33" t="n">
        <v>5</v>
      </c>
      <c r="AA2673" s="33" t="inlineStr">
        <is>
          <t>2</t>
        </is>
      </c>
      <c r="AB2673" s="33" t="inlineStr">
        <is>
          <t>https://www.swimcloud.com/results/381579/event/19/?id=173156346#time173156346</t>
        </is>
      </c>
      <c r="AC2673" s="33" t="inlineStr">
        <is>
          <t>SwimCloud API v6 2026-10-08</t>
        </is>
      </c>
      <c r="AD2673" s="33" t="inlineStr">
        <is>
          <t>Tajus Juska|2026-03-08|LCM|200|Free|109.95|Baltic States Championships|FIN|False</t>
        </is>
      </c>
      <c r="AE2673" s="53">
        <f>G2673+L2673/1000+ROW()/1000000000</f>
        <v/>
      </c>
      <c r="AF2673" s="35">
        <f>IF(C2673&lt;&gt;"Grayson Coulter","",COUNTIFS($C$5:$C$2991,"Grayson Coulter",$Q$5:$Q$2991,Q2673,$AE$5:$AE$2991,"&lt;="&amp;AE2673,$R$5:$R$2991,"&lt;"&amp;R2673))</f>
        <v/>
      </c>
      <c r="AG2673" s="35">
        <f>IF(OR(C2673&lt;&gt;"Grayson Coulter",G2673&lt;'00_Control'!$B$7),"",--(AF2673&lt;5))</f>
        <v/>
      </c>
      <c r="AH2673" s="35">
        <f>IF(OR(C2673&lt;&gt;"Grayson Coulter",G2673&lt;'00_Control'!$B$7),"",--(AF2673&lt;10))</f>
        <v/>
      </c>
      <c r="AI2673" s="35">
        <f>IF(AND(C2673="Grayson Coulter",G2673&gt;='00_Control'!$B$7),"YES","NO")</f>
        <v/>
      </c>
      <c r="AJ2673" s="33" t="inlineStr">
        <is>
          <t>OK</t>
        </is>
      </c>
    </row>
    <row r="2674">
      <c r="A2674" s="33" t="inlineStr">
        <is>
          <t>SM002670</t>
        </is>
      </c>
      <c r="B2674" s="33" t="inlineStr">
        <is>
          <t>SW006</t>
        </is>
      </c>
      <c r="C2674" s="33" t="inlineStr">
        <is>
          <t>Tajus Juska</t>
        </is>
      </c>
      <c r="D2674" s="33" t="inlineStr">
        <is>
          <t>SwimCloud</t>
        </is>
      </c>
      <c r="E2674" s="33" t="inlineStr">
        <is>
          <t>2116196</t>
        </is>
      </c>
      <c r="F2674" s="33" t="inlineStr">
        <is>
          <t>180426036</t>
        </is>
      </c>
      <c r="G2674" s="51" t="n">
        <v>46136</v>
      </c>
      <c r="H2674" s="33" t="inlineStr">
        <is>
          <t>Lithuanian Championships</t>
        </is>
      </c>
      <c r="I2674" s="33" t="inlineStr">
        <is>
          <t>385097</t>
        </is>
      </c>
      <c r="J2674" s="33" t="inlineStr"/>
      <c r="K2674" s="33" t="inlineStr">
        <is>
          <t>PRE</t>
        </is>
      </c>
      <c r="L2674" s="35">
        <f>IF(K2674="FIN",3,IF(OR(K2674="SEM",K2674="SEMI"),2,IF(OR(K2674="PRE",K2674="HEAT"),1,IF(V2674="YES",4,2))))</f>
        <v/>
      </c>
      <c r="M2674" s="33" t="inlineStr">
        <is>
          <t>LCM</t>
        </is>
      </c>
      <c r="N2674" s="33" t="n">
        <v>200</v>
      </c>
      <c r="O2674" s="33" t="inlineStr">
        <is>
          <t>Free</t>
        </is>
      </c>
      <c r="P2674" s="33" t="inlineStr">
        <is>
          <t>200 Free</t>
        </is>
      </c>
      <c r="Q2674" s="33" t="inlineStr">
        <is>
          <t>LCM_200_FREE</t>
        </is>
      </c>
      <c r="R2674" s="36" t="n">
        <v>111.53</v>
      </c>
      <c r="S2674" s="35">
        <f>IF(R2674="","",IF(R2674&gt;=60,INT(R2674/60)&amp;":"&amp;TEXT(MOD(R2674,60),"00.00"),TEXT(R2674,"0.00")))</f>
        <v/>
      </c>
      <c r="T2674" s="52">
        <f>IFERROR((G2674-INDEX('01_Swimmers'!$E$5:$E$22,MATCH(B2674,'01_Swimmers'!$A$5:$A$22,0)))/'00_Control'!$B$10,"")</f>
        <v/>
      </c>
      <c r="U2674" s="35">
        <f>IF(T2674="","",INT(T2674))</f>
        <v/>
      </c>
      <c r="V2674" s="33" t="inlineStr">
        <is>
          <t>NO</t>
        </is>
      </c>
      <c r="W2674" s="33" t="inlineStr">
        <is>
          <t>YES</t>
        </is>
      </c>
      <c r="X2674" s="33" t="inlineStr">
        <is>
          <t>NO</t>
        </is>
      </c>
      <c r="Y2674" s="33" t="n">
        <v>11</v>
      </c>
      <c r="Z2674" s="33" t="n">
        <v>4</v>
      </c>
      <c r="AA2674" s="33" t="inlineStr">
        <is>
          <t>1</t>
        </is>
      </c>
      <c r="AB2674" s="33" t="inlineStr">
        <is>
          <t>https://www.swimcloud.com/results/385097/event/13/?id=180426036#time180426036</t>
        </is>
      </c>
      <c r="AC2674" s="33" t="inlineStr">
        <is>
          <t>SwimCloud API v6 2026-10-08</t>
        </is>
      </c>
      <c r="AD2674" s="33" t="inlineStr">
        <is>
          <t>Tajus Juska|2026-04-24|LCM|200|Free|111.53|Lithuanian Championships|PRE|False</t>
        </is>
      </c>
      <c r="AE2674" s="53">
        <f>G2674+L2674/1000+ROW()/1000000000</f>
        <v/>
      </c>
      <c r="AF2674" s="35">
        <f>IF(C2674&lt;&gt;"Grayson Coulter","",COUNTIFS($C$5:$C$2991,"Grayson Coulter",$Q$5:$Q$2991,Q2674,$AE$5:$AE$2991,"&lt;="&amp;AE2674,$R$5:$R$2991,"&lt;"&amp;R2674))</f>
        <v/>
      </c>
      <c r="AG2674" s="35">
        <f>IF(OR(C2674&lt;&gt;"Grayson Coulter",G2674&lt;'00_Control'!$B$7),"",--(AF2674&lt;5))</f>
        <v/>
      </c>
      <c r="AH2674" s="35">
        <f>IF(OR(C2674&lt;&gt;"Grayson Coulter",G2674&lt;'00_Control'!$B$7),"",--(AF2674&lt;10))</f>
        <v/>
      </c>
      <c r="AI2674" s="35">
        <f>IF(AND(C2674="Grayson Coulter",G2674&gt;='00_Control'!$B$7),"YES","NO")</f>
        <v/>
      </c>
      <c r="AJ2674" s="33" t="inlineStr">
        <is>
          <t>OK</t>
        </is>
      </c>
    </row>
    <row r="2675">
      <c r="A2675" s="33" t="inlineStr">
        <is>
          <t>SM002671</t>
        </is>
      </c>
      <c r="B2675" s="33" t="inlineStr">
        <is>
          <t>SW006</t>
        </is>
      </c>
      <c r="C2675" s="33" t="inlineStr">
        <is>
          <t>Tajus Juska</t>
        </is>
      </c>
      <c r="D2675" s="33" t="inlineStr">
        <is>
          <t>SwimCloud</t>
        </is>
      </c>
      <c r="E2675" s="33" t="inlineStr">
        <is>
          <t>2116196</t>
        </is>
      </c>
      <c r="F2675" s="33" t="inlineStr">
        <is>
          <t>180426040</t>
        </is>
      </c>
      <c r="G2675" s="51" t="n">
        <v>46136</v>
      </c>
      <c r="H2675" s="33" t="inlineStr">
        <is>
          <t>Lithuanian Championships</t>
        </is>
      </c>
      <c r="I2675" s="33" t="inlineStr">
        <is>
          <t>385097</t>
        </is>
      </c>
      <c r="J2675" s="33" t="inlineStr"/>
      <c r="K2675" s="33" t="inlineStr">
        <is>
          <t>FIN</t>
        </is>
      </c>
      <c r="L2675" s="35">
        <f>IF(K2675="FIN",3,IF(OR(K2675="SEM",K2675="SEMI"),2,IF(OR(K2675="PRE",K2675="HEAT"),1,IF(V2675="YES",4,2))))</f>
        <v/>
      </c>
      <c r="M2675" s="33" t="inlineStr">
        <is>
          <t>LCM</t>
        </is>
      </c>
      <c r="N2675" s="33" t="n">
        <v>200</v>
      </c>
      <c r="O2675" s="33" t="inlineStr">
        <is>
          <t>Free</t>
        </is>
      </c>
      <c r="P2675" s="33" t="inlineStr">
        <is>
          <t>200 Free</t>
        </is>
      </c>
      <c r="Q2675" s="33" t="inlineStr">
        <is>
          <t>LCM_200_FREE</t>
        </is>
      </c>
      <c r="R2675" s="36" t="n">
        <v>108.17</v>
      </c>
      <c r="S2675" s="35">
        <f>IF(R2675="","",IF(R2675&gt;=60,INT(R2675/60)&amp;":"&amp;TEXT(MOD(R2675,60),"00.00"),TEXT(R2675,"0.00")))</f>
        <v/>
      </c>
      <c r="T2675" s="52">
        <f>IFERROR((G2675-INDEX('01_Swimmers'!$E$5:$E$22,MATCH(B2675,'01_Swimmers'!$A$5:$A$22,0)))/'00_Control'!$B$10,"")</f>
        <v/>
      </c>
      <c r="U2675" s="35">
        <f>IF(T2675="","",INT(T2675))</f>
        <v/>
      </c>
      <c r="V2675" s="33" t="inlineStr">
        <is>
          <t>NO</t>
        </is>
      </c>
      <c r="W2675" s="33" t="inlineStr">
        <is>
          <t>YES</t>
        </is>
      </c>
      <c r="X2675" s="33" t="inlineStr">
        <is>
          <t>NO</t>
        </is>
      </c>
      <c r="Y2675" s="33" t="n">
        <v>2</v>
      </c>
      <c r="Z2675" s="33" t="n">
        <v>4</v>
      </c>
      <c r="AA2675" s="33" t="inlineStr">
        <is>
          <t>2</t>
        </is>
      </c>
      <c r="AB2675" s="33" t="inlineStr">
        <is>
          <t>https://www.swimcloud.com/results/385097/event/13/?id=180426040#time180426040</t>
        </is>
      </c>
      <c r="AC2675" s="33" t="inlineStr">
        <is>
          <t>SwimCloud API v6 2026-10-08</t>
        </is>
      </c>
      <c r="AD2675" s="33" t="inlineStr">
        <is>
          <t>Tajus Juska|2026-04-24|LCM|200|Free|108.17|Lithuanian Championships|FIN|False</t>
        </is>
      </c>
      <c r="AE2675" s="53">
        <f>G2675+L2675/1000+ROW()/1000000000</f>
        <v/>
      </c>
      <c r="AF2675" s="35">
        <f>IF(C2675&lt;&gt;"Grayson Coulter","",COUNTIFS($C$5:$C$2991,"Grayson Coulter",$Q$5:$Q$2991,Q2675,$AE$5:$AE$2991,"&lt;="&amp;AE2675,$R$5:$R$2991,"&lt;"&amp;R2675))</f>
        <v/>
      </c>
      <c r="AG2675" s="35">
        <f>IF(OR(C2675&lt;&gt;"Grayson Coulter",G2675&lt;'00_Control'!$B$7),"",--(AF2675&lt;5))</f>
        <v/>
      </c>
      <c r="AH2675" s="35">
        <f>IF(OR(C2675&lt;&gt;"Grayson Coulter",G2675&lt;'00_Control'!$B$7),"",--(AF2675&lt;10))</f>
        <v/>
      </c>
      <c r="AI2675" s="35">
        <f>IF(AND(C2675="Grayson Coulter",G2675&gt;='00_Control'!$B$7),"YES","NO")</f>
        <v/>
      </c>
      <c r="AJ2675" s="33" t="inlineStr">
        <is>
          <t>OK</t>
        </is>
      </c>
    </row>
    <row r="2676">
      <c r="A2676" s="33" t="inlineStr">
        <is>
          <t>SM002672</t>
        </is>
      </c>
      <c r="B2676" s="33" t="inlineStr">
        <is>
          <t>SW006</t>
        </is>
      </c>
      <c r="C2676" s="33" t="inlineStr">
        <is>
          <t>Tajus Juska</t>
        </is>
      </c>
      <c r="D2676" s="33" t="inlineStr">
        <is>
          <t>SwimCloud</t>
        </is>
      </c>
      <c r="E2676" s="33" t="inlineStr">
        <is>
          <t>2116196</t>
        </is>
      </c>
      <c r="F2676" s="33" t="inlineStr">
        <is>
          <t>180426037</t>
        </is>
      </c>
      <c r="G2676" s="51" t="n">
        <v>46137</v>
      </c>
      <c r="H2676" s="33" t="inlineStr">
        <is>
          <t>Lithuanian Championships</t>
        </is>
      </c>
      <c r="I2676" s="33" t="inlineStr">
        <is>
          <t>385097</t>
        </is>
      </c>
      <c r="J2676" s="33" t="inlineStr"/>
      <c r="K2676" s="33" t="inlineStr">
        <is>
          <t>PRE</t>
        </is>
      </c>
      <c r="L2676" s="35">
        <f>IF(K2676="FIN",3,IF(OR(K2676="SEM",K2676="SEMI"),2,IF(OR(K2676="PRE",K2676="HEAT"),1,IF(V2676="YES",4,2))))</f>
        <v/>
      </c>
      <c r="M2676" s="33" t="inlineStr">
        <is>
          <t>LCM</t>
        </is>
      </c>
      <c r="N2676" s="33" t="n">
        <v>100</v>
      </c>
      <c r="O2676" s="33" t="inlineStr">
        <is>
          <t>Free</t>
        </is>
      </c>
      <c r="P2676" s="33" t="inlineStr">
        <is>
          <t>100 Free</t>
        </is>
      </c>
      <c r="Q2676" s="33" t="inlineStr">
        <is>
          <t>LCM_100_FREE</t>
        </is>
      </c>
      <c r="R2676" s="36" t="n">
        <v>50.89</v>
      </c>
      <c r="S2676" s="35">
        <f>IF(R2676="","",IF(R2676&gt;=60,INT(R2676/60)&amp;":"&amp;TEXT(MOD(R2676,60),"00.00"),TEXT(R2676,"0.00")))</f>
        <v/>
      </c>
      <c r="T2676" s="52">
        <f>IFERROR((G2676-INDEX('01_Swimmers'!$E$5:$E$22,MATCH(B2676,'01_Swimmers'!$A$5:$A$22,0)))/'00_Control'!$B$10,"")</f>
        <v/>
      </c>
      <c r="U2676" s="35">
        <f>IF(T2676="","",INT(T2676))</f>
        <v/>
      </c>
      <c r="V2676" s="33" t="inlineStr">
        <is>
          <t>NO</t>
        </is>
      </c>
      <c r="W2676" s="33" t="inlineStr">
        <is>
          <t>YES</t>
        </is>
      </c>
      <c r="X2676" s="33" t="inlineStr">
        <is>
          <t>NO</t>
        </is>
      </c>
      <c r="Y2676" s="33" t="n">
        <v>15</v>
      </c>
      <c r="Z2676" s="33" t="n">
        <v>4</v>
      </c>
      <c r="AA2676" s="33" t="inlineStr">
        <is>
          <t>3</t>
        </is>
      </c>
      <c r="AB2676" s="33" t="inlineStr">
        <is>
          <t>https://www.swimcloud.com/results/385097/event/22/?id=180426037#time180426037</t>
        </is>
      </c>
      <c r="AC2676" s="33" t="inlineStr">
        <is>
          <t>SwimCloud API v6 2026-10-08</t>
        </is>
      </c>
      <c r="AD2676" s="33" t="inlineStr">
        <is>
          <t>Tajus Juska|2026-04-25|LCM|100|Free|50.89|Lithuanian Championships|PRE|False</t>
        </is>
      </c>
      <c r="AE2676" s="53">
        <f>G2676+L2676/1000+ROW()/1000000000</f>
        <v/>
      </c>
      <c r="AF2676" s="35">
        <f>IF(C2676&lt;&gt;"Grayson Coulter","",COUNTIFS($C$5:$C$2991,"Grayson Coulter",$Q$5:$Q$2991,Q2676,$AE$5:$AE$2991,"&lt;="&amp;AE2676,$R$5:$R$2991,"&lt;"&amp;R2676))</f>
        <v/>
      </c>
      <c r="AG2676" s="35">
        <f>IF(OR(C2676&lt;&gt;"Grayson Coulter",G2676&lt;'00_Control'!$B$7),"",--(AF2676&lt;5))</f>
        <v/>
      </c>
      <c r="AH2676" s="35">
        <f>IF(OR(C2676&lt;&gt;"Grayson Coulter",G2676&lt;'00_Control'!$B$7),"",--(AF2676&lt;10))</f>
        <v/>
      </c>
      <c r="AI2676" s="35">
        <f>IF(AND(C2676="Grayson Coulter",G2676&gt;='00_Control'!$B$7),"YES","NO")</f>
        <v/>
      </c>
      <c r="AJ2676" s="33" t="inlineStr">
        <is>
          <t>OK</t>
        </is>
      </c>
    </row>
    <row r="2677">
      <c r="A2677" s="33" t="inlineStr">
        <is>
          <t>SM002673</t>
        </is>
      </c>
      <c r="B2677" s="33" t="inlineStr">
        <is>
          <t>SW006</t>
        </is>
      </c>
      <c r="C2677" s="33" t="inlineStr">
        <is>
          <t>Tajus Juska</t>
        </is>
      </c>
      <c r="D2677" s="33" t="inlineStr">
        <is>
          <t>SwimCloud</t>
        </is>
      </c>
      <c r="E2677" s="33" t="inlineStr">
        <is>
          <t>2116196</t>
        </is>
      </c>
      <c r="F2677" s="33" t="inlineStr">
        <is>
          <t>180426041</t>
        </is>
      </c>
      <c r="G2677" s="51" t="n">
        <v>46137</v>
      </c>
      <c r="H2677" s="33" t="inlineStr">
        <is>
          <t>Lithuanian Championships</t>
        </is>
      </c>
      <c r="I2677" s="33" t="inlineStr">
        <is>
          <t>385097</t>
        </is>
      </c>
      <c r="J2677" s="33" t="inlineStr"/>
      <c r="K2677" s="33" t="inlineStr">
        <is>
          <t>FIN</t>
        </is>
      </c>
      <c r="L2677" s="35">
        <f>IF(K2677="FIN",3,IF(OR(K2677="SEM",K2677="SEMI"),2,IF(OR(K2677="PRE",K2677="HEAT"),1,IF(V2677="YES",4,2))))</f>
        <v/>
      </c>
      <c r="M2677" s="33" t="inlineStr">
        <is>
          <t>LCM</t>
        </is>
      </c>
      <c r="N2677" s="33" t="n">
        <v>100</v>
      </c>
      <c r="O2677" s="33" t="inlineStr">
        <is>
          <t>Free</t>
        </is>
      </c>
      <c r="P2677" s="33" t="inlineStr">
        <is>
          <t>100 Free</t>
        </is>
      </c>
      <c r="Q2677" s="33" t="inlineStr">
        <is>
          <t>LCM_100_FREE</t>
        </is>
      </c>
      <c r="R2677" s="36" t="n">
        <v>49.44</v>
      </c>
      <c r="S2677" s="35">
        <f>IF(R2677="","",IF(R2677&gt;=60,INT(R2677/60)&amp;":"&amp;TEXT(MOD(R2677,60),"00.00"),TEXT(R2677,"0.00")))</f>
        <v/>
      </c>
      <c r="T2677" s="52">
        <f>IFERROR((G2677-INDEX('01_Swimmers'!$E$5:$E$22,MATCH(B2677,'01_Swimmers'!$A$5:$A$22,0)))/'00_Control'!$B$10,"")</f>
        <v/>
      </c>
      <c r="U2677" s="35">
        <f>IF(T2677="","",INT(T2677))</f>
        <v/>
      </c>
      <c r="V2677" s="33" t="inlineStr">
        <is>
          <t>NO</t>
        </is>
      </c>
      <c r="W2677" s="33" t="inlineStr">
        <is>
          <t>YES</t>
        </is>
      </c>
      <c r="X2677" s="33" t="inlineStr">
        <is>
          <t>NO</t>
        </is>
      </c>
      <c r="Y2677" s="33" t="n">
        <v>2</v>
      </c>
      <c r="Z2677" s="33" t="n">
        <v>3</v>
      </c>
      <c r="AA2677" s="33" t="inlineStr">
        <is>
          <t>1</t>
        </is>
      </c>
      <c r="AB2677" s="33" t="inlineStr">
        <is>
          <t>https://www.swimcloud.com/results/385097/event/22/?id=180426041#time180426041</t>
        </is>
      </c>
      <c r="AC2677" s="33" t="inlineStr">
        <is>
          <t>SwimCloud API v6 2026-10-08</t>
        </is>
      </c>
      <c r="AD2677" s="33" t="inlineStr">
        <is>
          <t>Tajus Juska|2026-04-25|LCM|100|Free|49.44|Lithuanian Championships|FIN|False</t>
        </is>
      </c>
      <c r="AE2677" s="53">
        <f>G2677+L2677/1000+ROW()/1000000000</f>
        <v/>
      </c>
      <c r="AF2677" s="35">
        <f>IF(C2677&lt;&gt;"Grayson Coulter","",COUNTIFS($C$5:$C$2991,"Grayson Coulter",$Q$5:$Q$2991,Q2677,$AE$5:$AE$2991,"&lt;="&amp;AE2677,$R$5:$R$2991,"&lt;"&amp;R2677))</f>
        <v/>
      </c>
      <c r="AG2677" s="35">
        <f>IF(OR(C2677&lt;&gt;"Grayson Coulter",G2677&lt;'00_Control'!$B$7),"",--(AF2677&lt;5))</f>
        <v/>
      </c>
      <c r="AH2677" s="35">
        <f>IF(OR(C2677&lt;&gt;"Grayson Coulter",G2677&lt;'00_Control'!$B$7),"",--(AF2677&lt;10))</f>
        <v/>
      </c>
      <c r="AI2677" s="35">
        <f>IF(AND(C2677="Grayson Coulter",G2677&gt;='00_Control'!$B$7),"YES","NO")</f>
        <v/>
      </c>
      <c r="AJ2677" s="33" t="inlineStr">
        <is>
          <t>OK</t>
        </is>
      </c>
    </row>
    <row r="2678">
      <c r="A2678" s="33" t="inlineStr">
        <is>
          <t>SM002674</t>
        </is>
      </c>
      <c r="B2678" s="33" t="inlineStr">
        <is>
          <t>SW006</t>
        </is>
      </c>
      <c r="C2678" s="33" t="inlineStr">
        <is>
          <t>Tajus Juska</t>
        </is>
      </c>
      <c r="D2678" s="33" t="inlineStr">
        <is>
          <t>SwimCloud</t>
        </is>
      </c>
      <c r="E2678" s="33" t="inlineStr">
        <is>
          <t>2116196</t>
        </is>
      </c>
      <c r="F2678" s="33" t="inlineStr">
        <is>
          <t>180426038</t>
        </is>
      </c>
      <c r="G2678" s="51" t="n">
        <v>46138</v>
      </c>
      <c r="H2678" s="33" t="inlineStr">
        <is>
          <t>Lithuanian Championships</t>
        </is>
      </c>
      <c r="I2678" s="33" t="inlineStr">
        <is>
          <t>385097</t>
        </is>
      </c>
      <c r="J2678" s="33" t="inlineStr"/>
      <c r="K2678" s="33" t="inlineStr">
        <is>
          <t>PRE</t>
        </is>
      </c>
      <c r="L2678" s="35">
        <f>IF(K2678="FIN",3,IF(OR(K2678="SEM",K2678="SEMI"),2,IF(OR(K2678="PRE",K2678="HEAT"),1,IF(V2678="YES",4,2))))</f>
        <v/>
      </c>
      <c r="M2678" s="33" t="inlineStr">
        <is>
          <t>LCM</t>
        </is>
      </c>
      <c r="N2678" s="33" t="n">
        <v>100</v>
      </c>
      <c r="O2678" s="33" t="inlineStr">
        <is>
          <t>Fly</t>
        </is>
      </c>
      <c r="P2678" s="33" t="inlineStr">
        <is>
          <t>100 Fly</t>
        </is>
      </c>
      <c r="Q2678" s="33" t="inlineStr">
        <is>
          <t>LCM_100_FLY</t>
        </is>
      </c>
      <c r="R2678" s="36" t="n">
        <v>54.64</v>
      </c>
      <c r="S2678" s="35">
        <f>IF(R2678="","",IF(R2678&gt;=60,INT(R2678/60)&amp;":"&amp;TEXT(MOD(R2678,60),"00.00"),TEXT(R2678,"0.00")))</f>
        <v/>
      </c>
      <c r="T2678" s="52">
        <f>IFERROR((G2678-INDEX('01_Swimmers'!$E$5:$E$22,MATCH(B2678,'01_Swimmers'!$A$5:$A$22,0)))/'00_Control'!$B$10,"")</f>
        <v/>
      </c>
      <c r="U2678" s="35">
        <f>IF(T2678="","",INT(T2678))</f>
        <v/>
      </c>
      <c r="V2678" s="33" t="inlineStr">
        <is>
          <t>NO</t>
        </is>
      </c>
      <c r="W2678" s="33" t="inlineStr">
        <is>
          <t>YES</t>
        </is>
      </c>
      <c r="X2678" s="33" t="inlineStr">
        <is>
          <t>NO</t>
        </is>
      </c>
      <c r="Y2678" s="33" t="n">
        <v>6</v>
      </c>
      <c r="Z2678" s="33" t="n">
        <v>4</v>
      </c>
      <c r="AA2678" s="33" t="inlineStr">
        <is>
          <t>2</t>
        </is>
      </c>
      <c r="AB2678" s="33" t="inlineStr">
        <is>
          <t>https://www.swimcloud.com/results/385097/event/35/?id=180426038#time180426038</t>
        </is>
      </c>
      <c r="AC2678" s="33" t="inlineStr">
        <is>
          <t>SwimCloud API v6 2026-10-08</t>
        </is>
      </c>
      <c r="AD2678" s="33" t="inlineStr">
        <is>
          <t>Tajus Juska|2026-04-26|LCM|100|Fly|54.64|Lithuanian Championships|PRE|False</t>
        </is>
      </c>
      <c r="AE2678" s="53">
        <f>G2678+L2678/1000+ROW()/1000000000</f>
        <v/>
      </c>
      <c r="AF2678" s="35">
        <f>IF(C2678&lt;&gt;"Grayson Coulter","",COUNTIFS($C$5:$C$2991,"Grayson Coulter",$Q$5:$Q$2991,Q2678,$AE$5:$AE$2991,"&lt;="&amp;AE2678,$R$5:$R$2991,"&lt;"&amp;R2678))</f>
        <v/>
      </c>
      <c r="AG2678" s="35">
        <f>IF(OR(C2678&lt;&gt;"Grayson Coulter",G2678&lt;'00_Control'!$B$7),"",--(AF2678&lt;5))</f>
        <v/>
      </c>
      <c r="AH2678" s="35">
        <f>IF(OR(C2678&lt;&gt;"Grayson Coulter",G2678&lt;'00_Control'!$B$7),"",--(AF2678&lt;10))</f>
        <v/>
      </c>
      <c r="AI2678" s="35">
        <f>IF(AND(C2678="Grayson Coulter",G2678&gt;='00_Control'!$B$7),"YES","NO")</f>
        <v/>
      </c>
      <c r="AJ2678" s="33" t="inlineStr">
        <is>
          <t>OK</t>
        </is>
      </c>
    </row>
    <row r="2679">
      <c r="A2679" s="33" t="inlineStr">
        <is>
          <t>SM002675</t>
        </is>
      </c>
      <c r="B2679" s="33" t="inlineStr">
        <is>
          <t>SW006</t>
        </is>
      </c>
      <c r="C2679" s="33" t="inlineStr">
        <is>
          <t>Tajus Juska</t>
        </is>
      </c>
      <c r="D2679" s="33" t="inlineStr">
        <is>
          <t>SwimCloud</t>
        </is>
      </c>
      <c r="E2679" s="33" t="inlineStr">
        <is>
          <t>2116196</t>
        </is>
      </c>
      <c r="F2679" s="33" t="inlineStr">
        <is>
          <t>180426042</t>
        </is>
      </c>
      <c r="G2679" s="51" t="n">
        <v>46138</v>
      </c>
      <c r="H2679" s="33" t="inlineStr">
        <is>
          <t>Lithuanian Championships</t>
        </is>
      </c>
      <c r="I2679" s="33" t="inlineStr">
        <is>
          <t>385097</t>
        </is>
      </c>
      <c r="J2679" s="33" t="inlineStr"/>
      <c r="K2679" s="33" t="inlineStr">
        <is>
          <t>FIN</t>
        </is>
      </c>
      <c r="L2679" s="35">
        <f>IF(K2679="FIN",3,IF(OR(K2679="SEM",K2679="SEMI"),2,IF(OR(K2679="PRE",K2679="HEAT"),1,IF(V2679="YES",4,2))))</f>
        <v/>
      </c>
      <c r="M2679" s="33" t="inlineStr">
        <is>
          <t>LCM</t>
        </is>
      </c>
      <c r="N2679" s="33" t="n">
        <v>100</v>
      </c>
      <c r="O2679" s="33" t="inlineStr">
        <is>
          <t>Fly</t>
        </is>
      </c>
      <c r="P2679" s="33" t="inlineStr">
        <is>
          <t>100 Fly</t>
        </is>
      </c>
      <c r="Q2679" s="33" t="inlineStr">
        <is>
          <t>LCM_100_FLY</t>
        </is>
      </c>
      <c r="R2679" s="36" t="n">
        <v>53.59</v>
      </c>
      <c r="S2679" s="35">
        <f>IF(R2679="","",IF(R2679&gt;=60,INT(R2679/60)&amp;":"&amp;TEXT(MOD(R2679,60),"00.00"),TEXT(R2679,"0.00")))</f>
        <v/>
      </c>
      <c r="T2679" s="52">
        <f>IFERROR((G2679-INDEX('01_Swimmers'!$E$5:$E$22,MATCH(B2679,'01_Swimmers'!$A$5:$A$22,0)))/'00_Control'!$B$10,"")</f>
        <v/>
      </c>
      <c r="U2679" s="35">
        <f>IF(T2679="","",INT(T2679))</f>
        <v/>
      </c>
      <c r="V2679" s="33" t="inlineStr">
        <is>
          <t>NO</t>
        </is>
      </c>
      <c r="W2679" s="33" t="inlineStr">
        <is>
          <t>YES</t>
        </is>
      </c>
      <c r="X2679" s="33" t="inlineStr">
        <is>
          <t>NO</t>
        </is>
      </c>
      <c r="Y2679" s="33" t="n">
        <v>2</v>
      </c>
      <c r="Z2679" s="33" t="n">
        <v>5</v>
      </c>
      <c r="AA2679" s="33" t="inlineStr">
        <is>
          <t>2</t>
        </is>
      </c>
      <c r="AB2679" s="33" t="inlineStr">
        <is>
          <t>https://www.swimcloud.com/results/385097/event/35/?id=180426042#time180426042</t>
        </is>
      </c>
      <c r="AC2679" s="33" t="inlineStr">
        <is>
          <t>SwimCloud API v6 2026-10-08</t>
        </is>
      </c>
      <c r="AD2679" s="33" t="inlineStr">
        <is>
          <t>Tajus Juska|2026-04-26|LCM|100|Fly|53.59|Lithuanian Championships|FIN|False</t>
        </is>
      </c>
      <c r="AE2679" s="53">
        <f>G2679+L2679/1000+ROW()/1000000000</f>
        <v/>
      </c>
      <c r="AF2679" s="35">
        <f>IF(C2679&lt;&gt;"Grayson Coulter","",COUNTIFS($C$5:$C$2991,"Grayson Coulter",$Q$5:$Q$2991,Q2679,$AE$5:$AE$2991,"&lt;="&amp;AE2679,$R$5:$R$2991,"&lt;"&amp;R2679))</f>
        <v/>
      </c>
      <c r="AG2679" s="35">
        <f>IF(OR(C2679&lt;&gt;"Grayson Coulter",G2679&lt;'00_Control'!$B$7),"",--(AF2679&lt;5))</f>
        <v/>
      </c>
      <c r="AH2679" s="35">
        <f>IF(OR(C2679&lt;&gt;"Grayson Coulter",G2679&lt;'00_Control'!$B$7),"",--(AF2679&lt;10))</f>
        <v/>
      </c>
      <c r="AI2679" s="35">
        <f>IF(AND(C2679="Grayson Coulter",G2679&gt;='00_Control'!$B$7),"YES","NO")</f>
        <v/>
      </c>
      <c r="AJ2679" s="33" t="inlineStr">
        <is>
          <t>OK</t>
        </is>
      </c>
    </row>
    <row r="2680">
      <c r="A2680" s="33" t="inlineStr">
        <is>
          <t>SM002676</t>
        </is>
      </c>
      <c r="B2680" s="33" t="inlineStr">
        <is>
          <t>SW006</t>
        </is>
      </c>
      <c r="C2680" s="33" t="inlineStr">
        <is>
          <t>Tajus Juska</t>
        </is>
      </c>
      <c r="D2680" s="33" t="inlineStr">
        <is>
          <t>SwimCloud</t>
        </is>
      </c>
      <c r="E2680" s="33" t="inlineStr">
        <is>
          <t>2116196</t>
        </is>
      </c>
      <c r="F2680" s="33" t="inlineStr">
        <is>
          <t>180428137</t>
        </is>
      </c>
      <c r="G2680" s="51" t="n">
        <v>46138</v>
      </c>
      <c r="H2680" s="33" t="inlineStr">
        <is>
          <t>Lithuanian Championships</t>
        </is>
      </c>
      <c r="I2680" s="33" t="inlineStr">
        <is>
          <t>385097</t>
        </is>
      </c>
      <c r="J2680" s="33" t="inlineStr"/>
      <c r="K2680" s="33" t="inlineStr">
        <is>
          <t>TIM</t>
        </is>
      </c>
      <c r="L2680" s="35">
        <f>IF(K2680="FIN",3,IF(OR(K2680="SEM",K2680="SEMI"),2,IF(OR(K2680="PRE",K2680="HEAT"),1,IF(V2680="YES",4,2))))</f>
        <v/>
      </c>
      <c r="M2680" s="33" t="inlineStr">
        <is>
          <t>LCM</t>
        </is>
      </c>
      <c r="N2680" s="33" t="n">
        <v>200</v>
      </c>
      <c r="O2680" s="33" t="inlineStr">
        <is>
          <t>Free</t>
        </is>
      </c>
      <c r="P2680" s="33" t="inlineStr">
        <is>
          <t>200 Free</t>
        </is>
      </c>
      <c r="Q2680" s="33" t="inlineStr">
        <is>
          <t>LCM_200_FREE</t>
        </is>
      </c>
      <c r="R2680" s="36" t="n">
        <v>109.19</v>
      </c>
      <c r="S2680" s="35">
        <f>IF(R2680="","",IF(R2680&gt;=60,INT(R2680/60)&amp;":"&amp;TEXT(MOD(R2680,60),"00.00"),TEXT(R2680,"0.00")))</f>
        <v/>
      </c>
      <c r="T2680" s="52">
        <f>IFERROR((G2680-INDEX('01_Swimmers'!$E$5:$E$22,MATCH(B2680,'01_Swimmers'!$A$5:$A$22,0)))/'00_Control'!$B$10,"")</f>
        <v/>
      </c>
      <c r="U2680" s="35">
        <f>IF(T2680="","",INT(T2680))</f>
        <v/>
      </c>
      <c r="V2680" s="33" t="inlineStr">
        <is>
          <t>YES</t>
        </is>
      </c>
      <c r="W2680" s="33" t="inlineStr">
        <is>
          <t>YES</t>
        </is>
      </c>
      <c r="X2680" s="33" t="inlineStr">
        <is>
          <t>NO</t>
        </is>
      </c>
      <c r="Y2680" s="33" t="n">
        <v>1</v>
      </c>
      <c r="Z2680" s="33" t="n">
        <v>4</v>
      </c>
      <c r="AA2680" s="33" t="inlineStr"/>
      <c r="AB2680" s="33" t="inlineStr">
        <is>
          <t>https://www.swimcloud.com/results/385097/event/41/?id=180426372#time180426372</t>
        </is>
      </c>
      <c r="AC2680" s="33" t="inlineStr">
        <is>
          <t>SwimCloud API v6 2026-10-08</t>
        </is>
      </c>
      <c r="AD2680" s="33" t="inlineStr">
        <is>
          <t>Tajus Juska|2026-04-26|LCM|200|Free|109.19|Lithuanian Championships|TIM|True</t>
        </is>
      </c>
      <c r="AE2680" s="53">
        <f>G2680+L2680/1000+ROW()/1000000000</f>
        <v/>
      </c>
      <c r="AF2680" s="35">
        <f>IF(C2680&lt;&gt;"Grayson Coulter","",COUNTIFS($C$5:$C$2991,"Grayson Coulter",$Q$5:$Q$2991,Q2680,$AE$5:$AE$2991,"&lt;="&amp;AE2680,$R$5:$R$2991,"&lt;"&amp;R2680))</f>
        <v/>
      </c>
      <c r="AG2680" s="35">
        <f>IF(OR(C2680&lt;&gt;"Grayson Coulter",G2680&lt;'00_Control'!$B$7),"",--(AF2680&lt;5))</f>
        <v/>
      </c>
      <c r="AH2680" s="35">
        <f>IF(OR(C2680&lt;&gt;"Grayson Coulter",G2680&lt;'00_Control'!$B$7),"",--(AF2680&lt;10))</f>
        <v/>
      </c>
      <c r="AI2680" s="35">
        <f>IF(AND(C2680="Grayson Coulter",G2680&gt;='00_Control'!$B$7),"YES","NO")</f>
        <v/>
      </c>
      <c r="AJ2680" s="33" t="inlineStr">
        <is>
          <t>OK</t>
        </is>
      </c>
    </row>
    <row r="2681">
      <c r="A2681" s="33" t="inlineStr">
        <is>
          <t>SM002677</t>
        </is>
      </c>
      <c r="B2681" s="33" t="inlineStr">
        <is>
          <t>SW006</t>
        </is>
      </c>
      <c r="C2681" s="33" t="inlineStr">
        <is>
          <t>Tajus Juska</t>
        </is>
      </c>
      <c r="D2681" s="33" t="inlineStr">
        <is>
          <t>SwimCloud</t>
        </is>
      </c>
      <c r="E2681" s="33" t="inlineStr">
        <is>
          <t>2116196</t>
        </is>
      </c>
      <c r="F2681" s="33" t="inlineStr">
        <is>
          <t>178875120</t>
        </is>
      </c>
      <c r="G2681" s="51" t="n">
        <v>46185</v>
      </c>
      <c r="H2681" s="33" t="inlineStr">
        <is>
          <t>Vilniaus miesto taurės plaukimo varžybos</t>
        </is>
      </c>
      <c r="I2681" s="33" t="inlineStr">
        <is>
          <t>388327</t>
        </is>
      </c>
      <c r="J2681" s="33" t="inlineStr"/>
      <c r="K2681" s="33" t="inlineStr">
        <is>
          <t>TIM</t>
        </is>
      </c>
      <c r="L2681" s="35">
        <f>IF(K2681="FIN",3,IF(OR(K2681="SEM",K2681="SEMI"),2,IF(OR(K2681="PRE",K2681="HEAT"),1,IF(V2681="YES",4,2))))</f>
        <v/>
      </c>
      <c r="M2681" s="33" t="inlineStr">
        <is>
          <t>LCM</t>
        </is>
      </c>
      <c r="N2681" s="33" t="n">
        <v>200</v>
      </c>
      <c r="O2681" s="33" t="inlineStr">
        <is>
          <t>Free</t>
        </is>
      </c>
      <c r="P2681" s="33" t="inlineStr">
        <is>
          <t>200 Free</t>
        </is>
      </c>
      <c r="Q2681" s="33" t="inlineStr">
        <is>
          <t>LCM_200_FREE</t>
        </is>
      </c>
      <c r="R2681" s="36" t="n">
        <v>107.88</v>
      </c>
      <c r="S2681" s="35">
        <f>IF(R2681="","",IF(R2681&gt;=60,INT(R2681/60)&amp;":"&amp;TEXT(MOD(R2681,60),"00.00"),TEXT(R2681,"0.00")))</f>
        <v/>
      </c>
      <c r="T2681" s="52">
        <f>IFERROR((G2681-INDEX('01_Swimmers'!$E$5:$E$22,MATCH(B2681,'01_Swimmers'!$A$5:$A$22,0)))/'00_Control'!$B$10,"")</f>
        <v/>
      </c>
      <c r="U2681" s="35">
        <f>IF(T2681="","",INT(T2681))</f>
        <v/>
      </c>
      <c r="V2681" s="33" t="inlineStr">
        <is>
          <t>NO</t>
        </is>
      </c>
      <c r="W2681" s="33" t="inlineStr">
        <is>
          <t>YES</t>
        </is>
      </c>
      <c r="X2681" s="33" t="inlineStr">
        <is>
          <t>NO</t>
        </is>
      </c>
      <c r="Y2681" s="33" t="n">
        <v>6</v>
      </c>
      <c r="Z2681" s="33" t="n">
        <v>4</v>
      </c>
      <c r="AA2681" s="33" t="inlineStr">
        <is>
          <t>1</t>
        </is>
      </c>
      <c r="AB2681" s="33" t="inlineStr">
        <is>
          <t>https://www.swimcloud.com/results/388327/event/1/?id=178875120#time178875120</t>
        </is>
      </c>
      <c r="AC2681" s="33" t="inlineStr">
        <is>
          <t>SwimCloud API v6 2026-10-08</t>
        </is>
      </c>
      <c r="AD2681" s="33" t="inlineStr">
        <is>
          <t>Tajus Juska|2026-06-12|LCM|200|Free|107.88|Vilniaus miesto taurės plaukimo varžybos|TIM|False</t>
        </is>
      </c>
      <c r="AE2681" s="53">
        <f>G2681+L2681/1000+ROW()/1000000000</f>
        <v/>
      </c>
      <c r="AF2681" s="35">
        <f>IF(C2681&lt;&gt;"Grayson Coulter","",COUNTIFS($C$5:$C$2991,"Grayson Coulter",$Q$5:$Q$2991,Q2681,$AE$5:$AE$2991,"&lt;="&amp;AE2681,$R$5:$R$2991,"&lt;"&amp;R2681))</f>
        <v/>
      </c>
      <c r="AG2681" s="35">
        <f>IF(OR(C2681&lt;&gt;"Grayson Coulter",G2681&lt;'00_Control'!$B$7),"",--(AF2681&lt;5))</f>
        <v/>
      </c>
      <c r="AH2681" s="35">
        <f>IF(OR(C2681&lt;&gt;"Grayson Coulter",G2681&lt;'00_Control'!$B$7),"",--(AF2681&lt;10))</f>
        <v/>
      </c>
      <c r="AI2681" s="35">
        <f>IF(AND(C2681="Grayson Coulter",G2681&gt;='00_Control'!$B$7),"YES","NO")</f>
        <v/>
      </c>
      <c r="AJ2681" s="33" t="inlineStr">
        <is>
          <t>OK</t>
        </is>
      </c>
    </row>
    <row r="2682">
      <c r="A2682" s="33" t="inlineStr">
        <is>
          <t>SM002678</t>
        </is>
      </c>
      <c r="B2682" s="33" t="inlineStr">
        <is>
          <t>SW006</t>
        </is>
      </c>
      <c r="C2682" s="33" t="inlineStr">
        <is>
          <t>Tajus Juska</t>
        </is>
      </c>
      <c r="D2682" s="33" t="inlineStr">
        <is>
          <t>SwimCloud</t>
        </is>
      </c>
      <c r="E2682" s="33" t="inlineStr">
        <is>
          <t>2116196</t>
        </is>
      </c>
      <c r="F2682" s="33" t="inlineStr">
        <is>
          <t>178875121</t>
        </is>
      </c>
      <c r="G2682" s="51" t="n">
        <v>46186</v>
      </c>
      <c r="H2682" s="33" t="inlineStr">
        <is>
          <t>Vilniaus miesto taurės plaukimo varžybos</t>
        </is>
      </c>
      <c r="I2682" s="33" t="inlineStr">
        <is>
          <t>388327</t>
        </is>
      </c>
      <c r="J2682" s="33" t="inlineStr"/>
      <c r="K2682" s="33" t="inlineStr">
        <is>
          <t>PRE</t>
        </is>
      </c>
      <c r="L2682" s="35">
        <f>IF(K2682="FIN",3,IF(OR(K2682="SEM",K2682="SEMI"),2,IF(OR(K2682="PRE",K2682="HEAT"),1,IF(V2682="YES",4,2))))</f>
        <v/>
      </c>
      <c r="M2682" s="33" t="inlineStr">
        <is>
          <t>LCM</t>
        </is>
      </c>
      <c r="N2682" s="33" t="n">
        <v>100</v>
      </c>
      <c r="O2682" s="33" t="inlineStr">
        <is>
          <t>Free</t>
        </is>
      </c>
      <c r="P2682" s="33" t="inlineStr">
        <is>
          <t>100 Free</t>
        </is>
      </c>
      <c r="Q2682" s="33" t="inlineStr">
        <is>
          <t>LCM_100_FREE</t>
        </is>
      </c>
      <c r="R2682" s="36" t="n">
        <v>49.23</v>
      </c>
      <c r="S2682" s="35">
        <f>IF(R2682="","",IF(R2682&gt;=60,INT(R2682/60)&amp;":"&amp;TEXT(MOD(R2682,60),"00.00"),TEXT(R2682,"0.00")))</f>
        <v/>
      </c>
      <c r="T2682" s="52">
        <f>IFERROR((G2682-INDEX('01_Swimmers'!$E$5:$E$22,MATCH(B2682,'01_Swimmers'!$A$5:$A$22,0)))/'00_Control'!$B$10,"")</f>
        <v/>
      </c>
      <c r="U2682" s="35">
        <f>IF(T2682="","",INT(T2682))</f>
        <v/>
      </c>
      <c r="V2682" s="33" t="inlineStr">
        <is>
          <t>NO</t>
        </is>
      </c>
      <c r="W2682" s="33" t="inlineStr">
        <is>
          <t>YES</t>
        </is>
      </c>
      <c r="X2682" s="33" t="inlineStr">
        <is>
          <t>NO</t>
        </is>
      </c>
      <c r="Y2682" s="33" t="n">
        <v>9</v>
      </c>
      <c r="Z2682" s="33" t="n">
        <v>4</v>
      </c>
      <c r="AA2682" s="33" t="inlineStr">
        <is>
          <t>1</t>
        </is>
      </c>
      <c r="AB2682" s="33" t="inlineStr">
        <is>
          <t>https://www.swimcloud.com/results/388327/event/18/?id=178875121#time178875121</t>
        </is>
      </c>
      <c r="AC2682" s="33" t="inlineStr">
        <is>
          <t>SwimCloud API v6 2026-10-08</t>
        </is>
      </c>
      <c r="AD2682" s="33" t="inlineStr">
        <is>
          <t>Tajus Juska|2026-06-13|LCM|100|Free|49.23|Vilniaus miesto taurės plaukimo varžybos|PRE|False</t>
        </is>
      </c>
      <c r="AE2682" s="53">
        <f>G2682+L2682/1000+ROW()/1000000000</f>
        <v/>
      </c>
      <c r="AF2682" s="35">
        <f>IF(C2682&lt;&gt;"Grayson Coulter","",COUNTIFS($C$5:$C$2991,"Grayson Coulter",$Q$5:$Q$2991,Q2682,$AE$5:$AE$2991,"&lt;="&amp;AE2682,$R$5:$R$2991,"&lt;"&amp;R2682))</f>
        <v/>
      </c>
      <c r="AG2682" s="35">
        <f>IF(OR(C2682&lt;&gt;"Grayson Coulter",G2682&lt;'00_Control'!$B$7),"",--(AF2682&lt;5))</f>
        <v/>
      </c>
      <c r="AH2682" s="35">
        <f>IF(OR(C2682&lt;&gt;"Grayson Coulter",G2682&lt;'00_Control'!$B$7),"",--(AF2682&lt;10))</f>
        <v/>
      </c>
      <c r="AI2682" s="35">
        <f>IF(AND(C2682="Grayson Coulter",G2682&gt;='00_Control'!$B$7),"YES","NO")</f>
        <v/>
      </c>
      <c r="AJ2682" s="33" t="inlineStr">
        <is>
          <t>OK</t>
        </is>
      </c>
    </row>
    <row r="2683">
      <c r="A2683" s="33" t="inlineStr">
        <is>
          <t>SM002679</t>
        </is>
      </c>
      <c r="B2683" s="33" t="inlineStr">
        <is>
          <t>SW006</t>
        </is>
      </c>
      <c r="C2683" s="33" t="inlineStr">
        <is>
          <t>Tajus Juska</t>
        </is>
      </c>
      <c r="D2683" s="33" t="inlineStr">
        <is>
          <t>SwimCloud</t>
        </is>
      </c>
      <c r="E2683" s="33" t="inlineStr">
        <is>
          <t>2116196</t>
        </is>
      </c>
      <c r="F2683" s="33" t="inlineStr">
        <is>
          <t>180898292</t>
        </is>
      </c>
      <c r="G2683" s="51" t="n">
        <v>46210</v>
      </c>
      <c r="H2683" s="33" t="inlineStr">
        <is>
          <t>European Aquatics Junior Championships</t>
        </is>
      </c>
      <c r="I2683" s="33" t="inlineStr">
        <is>
          <t>391429</t>
        </is>
      </c>
      <c r="J2683" s="33" t="inlineStr"/>
      <c r="K2683" s="33" t="inlineStr">
        <is>
          <t>PRE</t>
        </is>
      </c>
      <c r="L2683" s="35">
        <f>IF(K2683="FIN",3,IF(OR(K2683="SEM",K2683="SEMI"),2,IF(OR(K2683="PRE",K2683="HEAT"),1,IF(V2683="YES",4,2))))</f>
        <v/>
      </c>
      <c r="M2683" s="33" t="inlineStr">
        <is>
          <t>LCM</t>
        </is>
      </c>
      <c r="N2683" s="33" t="n">
        <v>200</v>
      </c>
      <c r="O2683" s="33" t="inlineStr">
        <is>
          <t>Free</t>
        </is>
      </c>
      <c r="P2683" s="33" t="inlineStr">
        <is>
          <t>200 Free</t>
        </is>
      </c>
      <c r="Q2683" s="33" t="inlineStr">
        <is>
          <t>LCM_200_FREE</t>
        </is>
      </c>
      <c r="R2683" s="36" t="n">
        <v>107.77</v>
      </c>
      <c r="S2683" s="35">
        <f>IF(R2683="","",IF(R2683&gt;=60,INT(R2683/60)&amp;":"&amp;TEXT(MOD(R2683,60),"00.00"),TEXT(R2683,"0.00")))</f>
        <v/>
      </c>
      <c r="T2683" s="52">
        <f>IFERROR((G2683-INDEX('01_Swimmers'!$E$5:$E$22,MATCH(B2683,'01_Swimmers'!$A$5:$A$22,0)))/'00_Control'!$B$10,"")</f>
        <v/>
      </c>
      <c r="U2683" s="35">
        <f>IF(T2683="","",INT(T2683))</f>
        <v/>
      </c>
      <c r="V2683" s="33" t="inlineStr">
        <is>
          <t>NO</t>
        </is>
      </c>
      <c r="W2683" s="33" t="inlineStr">
        <is>
          <t>YES</t>
        </is>
      </c>
      <c r="X2683" s="33" t="inlineStr">
        <is>
          <t>NO</t>
        </is>
      </c>
      <c r="Y2683" s="33" t="n">
        <v>8</v>
      </c>
      <c r="Z2683" s="33" t="n">
        <v>5</v>
      </c>
      <c r="AA2683" s="33" t="inlineStr">
        <is>
          <t>3</t>
        </is>
      </c>
      <c r="AB2683" s="33" t="inlineStr">
        <is>
          <t>https://www.swimcloud.com/results/391429/event/2/?id=180898292#time180898292</t>
        </is>
      </c>
      <c r="AC2683" s="33" t="inlineStr">
        <is>
          <t>SwimCloud API v6 2026-10-08</t>
        </is>
      </c>
      <c r="AD2683" s="33" t="inlineStr">
        <is>
          <t>Tajus Juska|2026-07-07|LCM|200|Free|107.77|European Aquatics Junior Championships|PRE|False</t>
        </is>
      </c>
      <c r="AE2683" s="53">
        <f>G2683+L2683/1000+ROW()/1000000000</f>
        <v/>
      </c>
      <c r="AF2683" s="35">
        <f>IF(C2683&lt;&gt;"Grayson Coulter","",COUNTIFS($C$5:$C$2991,"Grayson Coulter",$Q$5:$Q$2991,Q2683,$AE$5:$AE$2991,"&lt;="&amp;AE2683,$R$5:$R$2991,"&lt;"&amp;R2683))</f>
        <v/>
      </c>
      <c r="AG2683" s="35">
        <f>IF(OR(C2683&lt;&gt;"Grayson Coulter",G2683&lt;'00_Control'!$B$7),"",--(AF2683&lt;5))</f>
        <v/>
      </c>
      <c r="AH2683" s="35">
        <f>IF(OR(C2683&lt;&gt;"Grayson Coulter",G2683&lt;'00_Control'!$B$7),"",--(AF2683&lt;10))</f>
        <v/>
      </c>
      <c r="AI2683" s="35">
        <f>IF(AND(C2683="Grayson Coulter",G2683&gt;='00_Control'!$B$7),"YES","NO")</f>
        <v/>
      </c>
      <c r="AJ2683" s="33" t="inlineStr">
        <is>
          <t>OK</t>
        </is>
      </c>
    </row>
    <row r="2684">
      <c r="A2684" s="33" t="inlineStr">
        <is>
          <t>SM002680</t>
        </is>
      </c>
      <c r="B2684" s="33" t="inlineStr">
        <is>
          <t>SW006</t>
        </is>
      </c>
      <c r="C2684" s="33" t="inlineStr">
        <is>
          <t>Tajus Juska</t>
        </is>
      </c>
      <c r="D2684" s="33" t="inlineStr">
        <is>
          <t>SwimCloud</t>
        </is>
      </c>
      <c r="E2684" s="33" t="inlineStr">
        <is>
          <t>2116196</t>
        </is>
      </c>
      <c r="F2684" s="33" t="inlineStr">
        <is>
          <t>180898293</t>
        </is>
      </c>
      <c r="G2684" s="51" t="n">
        <v>46210</v>
      </c>
      <c r="H2684" s="33" t="inlineStr">
        <is>
          <t>European Aquatics Junior Championships</t>
        </is>
      </c>
      <c r="I2684" s="33" t="inlineStr">
        <is>
          <t>391429</t>
        </is>
      </c>
      <c r="J2684" s="33" t="inlineStr"/>
      <c r="K2684" s="33" t="inlineStr">
        <is>
          <t>SEM</t>
        </is>
      </c>
      <c r="L2684" s="35">
        <f>IF(K2684="FIN",3,IF(OR(K2684="SEM",K2684="SEMI"),2,IF(OR(K2684="PRE",K2684="HEAT"),1,IF(V2684="YES",4,2))))</f>
        <v/>
      </c>
      <c r="M2684" s="33" t="inlineStr">
        <is>
          <t>LCM</t>
        </is>
      </c>
      <c r="N2684" s="33" t="n">
        <v>200</v>
      </c>
      <c r="O2684" s="33" t="inlineStr">
        <is>
          <t>Free</t>
        </is>
      </c>
      <c r="P2684" s="33" t="inlineStr">
        <is>
          <t>200 Free</t>
        </is>
      </c>
      <c r="Q2684" s="33" t="inlineStr">
        <is>
          <t>LCM_200_FREE</t>
        </is>
      </c>
      <c r="R2684" s="36" t="n">
        <v>107</v>
      </c>
      <c r="S2684" s="35">
        <f>IF(R2684="","",IF(R2684&gt;=60,INT(R2684/60)&amp;":"&amp;TEXT(MOD(R2684,60),"00.00"),TEXT(R2684,"0.00")))</f>
        <v/>
      </c>
      <c r="T2684" s="52">
        <f>IFERROR((G2684-INDEX('01_Swimmers'!$E$5:$E$22,MATCH(B2684,'01_Swimmers'!$A$5:$A$22,0)))/'00_Control'!$B$10,"")</f>
        <v/>
      </c>
      <c r="U2684" s="35">
        <f>IF(T2684="","",INT(T2684))</f>
        <v/>
      </c>
      <c r="V2684" s="33" t="inlineStr">
        <is>
          <t>NO</t>
        </is>
      </c>
      <c r="W2684" s="33" t="inlineStr">
        <is>
          <t>YES</t>
        </is>
      </c>
      <c r="X2684" s="33" t="inlineStr">
        <is>
          <t>NO</t>
        </is>
      </c>
      <c r="Y2684" s="33" t="n">
        <v>2</v>
      </c>
      <c r="Z2684" s="33" t="n">
        <v>5</v>
      </c>
      <c r="AA2684" s="33" t="inlineStr">
        <is>
          <t>4</t>
        </is>
      </c>
      <c r="AB2684" s="33" t="inlineStr">
        <is>
          <t>https://www.swimcloud.com/results/391429/event/2/?id=180898293#time180898293</t>
        </is>
      </c>
      <c r="AC2684" s="33" t="inlineStr">
        <is>
          <t>SwimCloud API v6 2026-10-08</t>
        </is>
      </c>
      <c r="AD2684" s="33" t="inlineStr">
        <is>
          <t>Tajus Juska|2026-07-07|LCM|200|Free|107.0|European Aquatics Junior Championships|SEM|False</t>
        </is>
      </c>
      <c r="AE2684" s="53">
        <f>G2684+L2684/1000+ROW()/1000000000</f>
        <v/>
      </c>
      <c r="AF2684" s="35">
        <f>IF(C2684&lt;&gt;"Grayson Coulter","",COUNTIFS($C$5:$C$2991,"Grayson Coulter",$Q$5:$Q$2991,Q2684,$AE$5:$AE$2991,"&lt;="&amp;AE2684,$R$5:$R$2991,"&lt;"&amp;R2684))</f>
        <v/>
      </c>
      <c r="AG2684" s="35">
        <f>IF(OR(C2684&lt;&gt;"Grayson Coulter",G2684&lt;'00_Control'!$B$7),"",--(AF2684&lt;5))</f>
        <v/>
      </c>
      <c r="AH2684" s="35">
        <f>IF(OR(C2684&lt;&gt;"Grayson Coulter",G2684&lt;'00_Control'!$B$7),"",--(AF2684&lt;10))</f>
        <v/>
      </c>
      <c r="AI2684" s="35">
        <f>IF(AND(C2684="Grayson Coulter",G2684&gt;='00_Control'!$B$7),"YES","NO")</f>
        <v/>
      </c>
      <c r="AJ2684" s="33" t="inlineStr">
        <is>
          <t>OK</t>
        </is>
      </c>
    </row>
    <row r="2685">
      <c r="A2685" s="33" t="inlineStr">
        <is>
          <t>SM002681</t>
        </is>
      </c>
      <c r="B2685" s="33" t="inlineStr">
        <is>
          <t>SW006</t>
        </is>
      </c>
      <c r="C2685" s="33" t="inlineStr">
        <is>
          <t>Tajus Juska</t>
        </is>
      </c>
      <c r="D2685" s="33" t="inlineStr">
        <is>
          <t>SwimCloud</t>
        </is>
      </c>
      <c r="E2685" s="33" t="inlineStr">
        <is>
          <t>2116196</t>
        </is>
      </c>
      <c r="F2685" s="33" t="inlineStr">
        <is>
          <t>180898291</t>
        </is>
      </c>
      <c r="G2685" s="51" t="n">
        <v>46211</v>
      </c>
      <c r="H2685" s="33" t="inlineStr">
        <is>
          <t>European Aquatics Junior Championships</t>
        </is>
      </c>
      <c r="I2685" s="33" t="inlineStr">
        <is>
          <t>391429</t>
        </is>
      </c>
      <c r="J2685" s="33" t="inlineStr"/>
      <c r="K2685" s="33" t="inlineStr">
        <is>
          <t>FIN</t>
        </is>
      </c>
      <c r="L2685" s="35">
        <f>IF(K2685="FIN",3,IF(OR(K2685="SEM",K2685="SEMI"),2,IF(OR(K2685="PRE",K2685="HEAT"),1,IF(V2685="YES",4,2))))</f>
        <v/>
      </c>
      <c r="M2685" s="33" t="inlineStr">
        <is>
          <t>LCM</t>
        </is>
      </c>
      <c r="N2685" s="33" t="n">
        <v>200</v>
      </c>
      <c r="O2685" s="33" t="inlineStr">
        <is>
          <t>Free</t>
        </is>
      </c>
      <c r="P2685" s="33" t="inlineStr">
        <is>
          <t>200 Free</t>
        </is>
      </c>
      <c r="Q2685" s="33" t="inlineStr">
        <is>
          <t>LCM_200_FREE</t>
        </is>
      </c>
      <c r="R2685" s="36" t="n">
        <v>105.83</v>
      </c>
      <c r="S2685" s="35">
        <f>IF(R2685="","",IF(R2685&gt;=60,INT(R2685/60)&amp;":"&amp;TEXT(MOD(R2685,60),"00.00"),TEXT(R2685,"0.00")))</f>
        <v/>
      </c>
      <c r="T2685" s="52">
        <f>IFERROR((G2685-INDEX('01_Swimmers'!$E$5:$E$22,MATCH(B2685,'01_Swimmers'!$A$5:$A$22,0)))/'00_Control'!$B$10,"")</f>
        <v/>
      </c>
      <c r="U2685" s="35">
        <f>IF(T2685="","",INT(T2685))</f>
        <v/>
      </c>
      <c r="V2685" s="33" t="inlineStr">
        <is>
          <t>NO</t>
        </is>
      </c>
      <c r="W2685" s="33" t="inlineStr">
        <is>
          <t>YES</t>
        </is>
      </c>
      <c r="X2685" s="33" t="inlineStr">
        <is>
          <t>NO</t>
        </is>
      </c>
      <c r="Y2685" s="33" t="n">
        <v>1</v>
      </c>
      <c r="Z2685" s="33" t="n">
        <v>6</v>
      </c>
      <c r="AA2685" s="33" t="inlineStr">
        <is>
          <t>2</t>
        </is>
      </c>
      <c r="AB2685" s="33" t="inlineStr">
        <is>
          <t>https://www.swimcloud.com/results/391429/event/2/?id=180898291#time180898291</t>
        </is>
      </c>
      <c r="AC2685" s="33" t="inlineStr">
        <is>
          <t>SwimCloud API v6 2026-10-08</t>
        </is>
      </c>
      <c r="AD2685" s="33" t="inlineStr">
        <is>
          <t>Tajus Juska|2026-07-08|LCM|200|Free|105.83|European Aquatics Junior Championships|FIN|False</t>
        </is>
      </c>
      <c r="AE2685" s="53">
        <f>G2685+L2685/1000+ROW()/1000000000</f>
        <v/>
      </c>
      <c r="AF2685" s="35">
        <f>IF(C2685&lt;&gt;"Grayson Coulter","",COUNTIFS($C$5:$C$2991,"Grayson Coulter",$Q$5:$Q$2991,Q2685,$AE$5:$AE$2991,"&lt;="&amp;AE2685,$R$5:$R$2991,"&lt;"&amp;R2685))</f>
        <v/>
      </c>
      <c r="AG2685" s="35">
        <f>IF(OR(C2685&lt;&gt;"Grayson Coulter",G2685&lt;'00_Control'!$B$7),"",--(AF2685&lt;5))</f>
        <v/>
      </c>
      <c r="AH2685" s="35">
        <f>IF(OR(C2685&lt;&gt;"Grayson Coulter",G2685&lt;'00_Control'!$B$7),"",--(AF2685&lt;10))</f>
        <v/>
      </c>
      <c r="AI2685" s="35">
        <f>IF(AND(C2685="Grayson Coulter",G2685&gt;='00_Control'!$B$7),"YES","NO")</f>
        <v/>
      </c>
      <c r="AJ2685" s="33" t="inlineStr">
        <is>
          <t>OK</t>
        </is>
      </c>
    </row>
    <row r="2686">
      <c r="A2686" s="33" t="inlineStr">
        <is>
          <t>SM002682</t>
        </is>
      </c>
      <c r="B2686" s="33" t="inlineStr">
        <is>
          <t>SW006</t>
        </is>
      </c>
      <c r="C2686" s="33" t="inlineStr">
        <is>
          <t>Tajus Juska</t>
        </is>
      </c>
      <c r="D2686" s="33" t="inlineStr">
        <is>
          <t>SwimCloud</t>
        </is>
      </c>
      <c r="E2686" s="33" t="inlineStr">
        <is>
          <t>2116196</t>
        </is>
      </c>
      <c r="F2686" s="33" t="inlineStr">
        <is>
          <t>180898286</t>
        </is>
      </c>
      <c r="G2686" s="51" t="n">
        <v>46212</v>
      </c>
      <c r="H2686" s="33" t="inlineStr">
        <is>
          <t>European Aquatics Junior Championships</t>
        </is>
      </c>
      <c r="I2686" s="33" t="inlineStr">
        <is>
          <t>391429</t>
        </is>
      </c>
      <c r="J2686" s="33" t="inlineStr"/>
      <c r="K2686" s="33" t="inlineStr">
        <is>
          <t>PRE</t>
        </is>
      </c>
      <c r="L2686" s="35">
        <f>IF(K2686="FIN",3,IF(OR(K2686="SEM",K2686="SEMI"),2,IF(OR(K2686="PRE",K2686="HEAT"),1,IF(V2686="YES",4,2))))</f>
        <v/>
      </c>
      <c r="M2686" s="33" t="inlineStr">
        <is>
          <t>LCM</t>
        </is>
      </c>
      <c r="N2686" s="33" t="n">
        <v>100</v>
      </c>
      <c r="O2686" s="33" t="inlineStr">
        <is>
          <t>Fly</t>
        </is>
      </c>
      <c r="P2686" s="33" t="inlineStr">
        <is>
          <t>100 Fly</t>
        </is>
      </c>
      <c r="Q2686" s="33" t="inlineStr">
        <is>
          <t>LCM_100_FLY</t>
        </is>
      </c>
      <c r="R2686" s="36" t="n">
        <v>53.79</v>
      </c>
      <c r="S2686" s="35">
        <f>IF(R2686="","",IF(R2686&gt;=60,INT(R2686/60)&amp;":"&amp;TEXT(MOD(R2686,60),"00.00"),TEXT(R2686,"0.00")))</f>
        <v/>
      </c>
      <c r="T2686" s="52">
        <f>IFERROR((G2686-INDEX('01_Swimmers'!$E$5:$E$22,MATCH(B2686,'01_Swimmers'!$A$5:$A$22,0)))/'00_Control'!$B$10,"")</f>
        <v/>
      </c>
      <c r="U2686" s="35">
        <f>IF(T2686="","",INT(T2686))</f>
        <v/>
      </c>
      <c r="V2686" s="33" t="inlineStr">
        <is>
          <t>NO</t>
        </is>
      </c>
      <c r="W2686" s="33" t="inlineStr">
        <is>
          <t>YES</t>
        </is>
      </c>
      <c r="X2686" s="33" t="inlineStr">
        <is>
          <t>NO</t>
        </is>
      </c>
      <c r="Y2686" s="33" t="n">
        <v>8</v>
      </c>
      <c r="Z2686" s="33" t="n">
        <v>4</v>
      </c>
      <c r="AA2686" s="33" t="inlineStr">
        <is>
          <t>10</t>
        </is>
      </c>
      <c r="AB2686" s="33" t="inlineStr">
        <is>
          <t>https://www.swimcloud.com/results/391429/event/18/?id=180898286#time180898286</t>
        </is>
      </c>
      <c r="AC2686" s="33" t="inlineStr">
        <is>
          <t>SwimCloud API v6 2026-10-08</t>
        </is>
      </c>
      <c r="AD2686" s="33" t="inlineStr">
        <is>
          <t>Tajus Juska|2026-07-09|LCM|100|Fly|53.79|European Aquatics Junior Championships|PRE|False</t>
        </is>
      </c>
      <c r="AE2686" s="53">
        <f>G2686+L2686/1000+ROW()/1000000000</f>
        <v/>
      </c>
      <c r="AF2686" s="35">
        <f>IF(C2686&lt;&gt;"Grayson Coulter","",COUNTIFS($C$5:$C$2991,"Grayson Coulter",$Q$5:$Q$2991,Q2686,$AE$5:$AE$2991,"&lt;="&amp;AE2686,$R$5:$R$2991,"&lt;"&amp;R2686))</f>
        <v/>
      </c>
      <c r="AG2686" s="35">
        <f>IF(OR(C2686&lt;&gt;"Grayson Coulter",G2686&lt;'00_Control'!$B$7),"",--(AF2686&lt;5))</f>
        <v/>
      </c>
      <c r="AH2686" s="35">
        <f>IF(OR(C2686&lt;&gt;"Grayson Coulter",G2686&lt;'00_Control'!$B$7),"",--(AF2686&lt;10))</f>
        <v/>
      </c>
      <c r="AI2686" s="35">
        <f>IF(AND(C2686="Grayson Coulter",G2686&gt;='00_Control'!$B$7),"YES","NO")</f>
        <v/>
      </c>
      <c r="AJ2686" s="33" t="inlineStr">
        <is>
          <t>OK</t>
        </is>
      </c>
    </row>
    <row r="2687">
      <c r="A2687" s="33" t="inlineStr">
        <is>
          <t>SM002683</t>
        </is>
      </c>
      <c r="B2687" s="33" t="inlineStr">
        <is>
          <t>SW006</t>
        </is>
      </c>
      <c r="C2687" s="33" t="inlineStr">
        <is>
          <t>Tajus Juska</t>
        </is>
      </c>
      <c r="D2687" s="33" t="inlineStr">
        <is>
          <t>SwimCloud</t>
        </is>
      </c>
      <c r="E2687" s="33" t="inlineStr">
        <is>
          <t>2116196</t>
        </is>
      </c>
      <c r="F2687" s="33" t="inlineStr">
        <is>
          <t>180898287</t>
        </is>
      </c>
      <c r="G2687" s="51" t="n">
        <v>46212</v>
      </c>
      <c r="H2687" s="33" t="inlineStr">
        <is>
          <t>European Aquatics Junior Championships</t>
        </is>
      </c>
      <c r="I2687" s="33" t="inlineStr">
        <is>
          <t>391429</t>
        </is>
      </c>
      <c r="J2687" s="33" t="inlineStr"/>
      <c r="K2687" s="33" t="inlineStr">
        <is>
          <t>SEM</t>
        </is>
      </c>
      <c r="L2687" s="35">
        <f>IF(K2687="FIN",3,IF(OR(K2687="SEM",K2687="SEMI"),2,IF(OR(K2687="PRE",K2687="HEAT"),1,IF(V2687="YES",4,2))))</f>
        <v/>
      </c>
      <c r="M2687" s="33" t="inlineStr">
        <is>
          <t>LCM</t>
        </is>
      </c>
      <c r="N2687" s="33" t="n">
        <v>100</v>
      </c>
      <c r="O2687" s="33" t="inlineStr">
        <is>
          <t>Fly</t>
        </is>
      </c>
      <c r="P2687" s="33" t="inlineStr">
        <is>
          <t>100 Fly</t>
        </is>
      </c>
      <c r="Q2687" s="33" t="inlineStr">
        <is>
          <t>LCM_100_FLY</t>
        </is>
      </c>
      <c r="R2687" s="36" t="n">
        <v>53.14</v>
      </c>
      <c r="S2687" s="35">
        <f>IF(R2687="","",IF(R2687&gt;=60,INT(R2687/60)&amp;":"&amp;TEXT(MOD(R2687,60),"00.00"),TEXT(R2687,"0.00")))</f>
        <v/>
      </c>
      <c r="T2687" s="52">
        <f>IFERROR((G2687-INDEX('01_Swimmers'!$E$5:$E$22,MATCH(B2687,'01_Swimmers'!$A$5:$A$22,0)))/'00_Control'!$B$10,"")</f>
        <v/>
      </c>
      <c r="U2687" s="35">
        <f>IF(T2687="","",INT(T2687))</f>
        <v/>
      </c>
      <c r="V2687" s="33" t="inlineStr">
        <is>
          <t>NO</t>
        </is>
      </c>
      <c r="W2687" s="33" t="inlineStr">
        <is>
          <t>YES</t>
        </is>
      </c>
      <c r="X2687" s="33" t="inlineStr">
        <is>
          <t>NO</t>
        </is>
      </c>
      <c r="Y2687" s="33" t="n">
        <v>1</v>
      </c>
      <c r="Z2687" s="33" t="n">
        <v>2</v>
      </c>
      <c r="AA2687" s="33" t="inlineStr">
        <is>
          <t>10</t>
        </is>
      </c>
      <c r="AB2687" s="33" t="inlineStr">
        <is>
          <t>https://www.swimcloud.com/results/391429/event/18/?id=180898287#time180898287</t>
        </is>
      </c>
      <c r="AC2687" s="33" t="inlineStr">
        <is>
          <t>SwimCloud API v6 2026-10-08</t>
        </is>
      </c>
      <c r="AD2687" s="33" t="inlineStr">
        <is>
          <t>Tajus Juska|2026-07-09|LCM|100|Fly|53.14|European Aquatics Junior Championships|SEM|False</t>
        </is>
      </c>
      <c r="AE2687" s="53">
        <f>G2687+L2687/1000+ROW()/1000000000</f>
        <v/>
      </c>
      <c r="AF2687" s="35">
        <f>IF(C2687&lt;&gt;"Grayson Coulter","",COUNTIFS($C$5:$C$2991,"Grayson Coulter",$Q$5:$Q$2991,Q2687,$AE$5:$AE$2991,"&lt;="&amp;AE2687,$R$5:$R$2991,"&lt;"&amp;R2687))</f>
        <v/>
      </c>
      <c r="AG2687" s="35">
        <f>IF(OR(C2687&lt;&gt;"Grayson Coulter",G2687&lt;'00_Control'!$B$7),"",--(AF2687&lt;5))</f>
        <v/>
      </c>
      <c r="AH2687" s="35">
        <f>IF(OR(C2687&lt;&gt;"Grayson Coulter",G2687&lt;'00_Control'!$B$7),"",--(AF2687&lt;10))</f>
        <v/>
      </c>
      <c r="AI2687" s="35">
        <f>IF(AND(C2687="Grayson Coulter",G2687&gt;='00_Control'!$B$7),"YES","NO")</f>
        <v/>
      </c>
      <c r="AJ2687" s="33" t="inlineStr">
        <is>
          <t>OK</t>
        </is>
      </c>
    </row>
    <row r="2688">
      <c r="A2688" s="33" t="inlineStr">
        <is>
          <t>SM002684</t>
        </is>
      </c>
      <c r="B2688" s="33" t="inlineStr">
        <is>
          <t>SW006</t>
        </is>
      </c>
      <c r="C2688" s="33" t="inlineStr">
        <is>
          <t>Tajus Juska</t>
        </is>
      </c>
      <c r="D2688" s="33" t="inlineStr">
        <is>
          <t>SwimCloud</t>
        </is>
      </c>
      <c r="E2688" s="33" t="inlineStr">
        <is>
          <t>2116196</t>
        </is>
      </c>
      <c r="F2688" s="33" t="inlineStr">
        <is>
          <t>180898289</t>
        </is>
      </c>
      <c r="G2688" s="51" t="n">
        <v>46214</v>
      </c>
      <c r="H2688" s="33" t="inlineStr">
        <is>
          <t>European Aquatics Junior Championships</t>
        </is>
      </c>
      <c r="I2688" s="33" t="inlineStr">
        <is>
          <t>391429</t>
        </is>
      </c>
      <c r="J2688" s="33" t="inlineStr"/>
      <c r="K2688" s="33" t="inlineStr">
        <is>
          <t>PRE</t>
        </is>
      </c>
      <c r="L2688" s="35">
        <f>IF(K2688="FIN",3,IF(OR(K2688="SEM",K2688="SEMI"),2,IF(OR(K2688="PRE",K2688="HEAT"),1,IF(V2688="YES",4,2))))</f>
        <v/>
      </c>
      <c r="M2688" s="33" t="inlineStr">
        <is>
          <t>LCM</t>
        </is>
      </c>
      <c r="N2688" s="33" t="n">
        <v>100</v>
      </c>
      <c r="O2688" s="33" t="inlineStr">
        <is>
          <t>Free</t>
        </is>
      </c>
      <c r="P2688" s="33" t="inlineStr">
        <is>
          <t>100 Free</t>
        </is>
      </c>
      <c r="Q2688" s="33" t="inlineStr">
        <is>
          <t>LCM_100_FREE</t>
        </is>
      </c>
      <c r="R2688" s="36" t="n">
        <v>49.43</v>
      </c>
      <c r="S2688" s="35">
        <f>IF(R2688="","",IF(R2688&gt;=60,INT(R2688/60)&amp;":"&amp;TEXT(MOD(R2688,60),"00.00"),TEXT(R2688,"0.00")))</f>
        <v/>
      </c>
      <c r="T2688" s="52">
        <f>IFERROR((G2688-INDEX('01_Swimmers'!$E$5:$E$22,MATCH(B2688,'01_Swimmers'!$A$5:$A$22,0)))/'00_Control'!$B$10,"")</f>
        <v/>
      </c>
      <c r="U2688" s="35">
        <f>IF(T2688="","",INT(T2688))</f>
        <v/>
      </c>
      <c r="V2688" s="33" t="inlineStr">
        <is>
          <t>NO</t>
        </is>
      </c>
      <c r="W2688" s="33" t="inlineStr">
        <is>
          <t>YES</t>
        </is>
      </c>
      <c r="X2688" s="33" t="inlineStr">
        <is>
          <t>NO</t>
        </is>
      </c>
      <c r="Y2688" s="33" t="n">
        <v>10</v>
      </c>
      <c r="Z2688" s="33" t="n">
        <v>4</v>
      </c>
      <c r="AA2688" s="33" t="inlineStr">
        <is>
          <t>4</t>
        </is>
      </c>
      <c r="AB2688" s="33" t="inlineStr">
        <is>
          <t>https://www.swimcloud.com/results/391429/event/30/?id=180898289#time180898289</t>
        </is>
      </c>
      <c r="AC2688" s="33" t="inlineStr">
        <is>
          <t>SwimCloud API v6 2026-10-08</t>
        </is>
      </c>
      <c r="AD2688" s="33" t="inlineStr">
        <is>
          <t>Tajus Juska|2026-07-11|LCM|100|Free|49.43|European Aquatics Junior Championships|PRE|False</t>
        </is>
      </c>
      <c r="AE2688" s="53">
        <f>G2688+L2688/1000+ROW()/1000000000</f>
        <v/>
      </c>
      <c r="AF2688" s="35">
        <f>IF(C2688&lt;&gt;"Grayson Coulter","",COUNTIFS($C$5:$C$2991,"Grayson Coulter",$Q$5:$Q$2991,Q2688,$AE$5:$AE$2991,"&lt;="&amp;AE2688,$R$5:$R$2991,"&lt;"&amp;R2688))</f>
        <v/>
      </c>
      <c r="AG2688" s="35">
        <f>IF(OR(C2688&lt;&gt;"Grayson Coulter",G2688&lt;'00_Control'!$B$7),"",--(AF2688&lt;5))</f>
        <v/>
      </c>
      <c r="AH2688" s="35">
        <f>IF(OR(C2688&lt;&gt;"Grayson Coulter",G2688&lt;'00_Control'!$B$7),"",--(AF2688&lt;10))</f>
        <v/>
      </c>
      <c r="AI2688" s="35">
        <f>IF(AND(C2688="Grayson Coulter",G2688&gt;='00_Control'!$B$7),"YES","NO")</f>
        <v/>
      </c>
      <c r="AJ2688" s="33" t="inlineStr">
        <is>
          <t>OK</t>
        </is>
      </c>
    </row>
    <row r="2689">
      <c r="A2689" s="33" t="inlineStr">
        <is>
          <t>SM002685</t>
        </is>
      </c>
      <c r="B2689" s="33" t="inlineStr">
        <is>
          <t>SW006</t>
        </is>
      </c>
      <c r="C2689" s="33" t="inlineStr">
        <is>
          <t>Tajus Juska</t>
        </is>
      </c>
      <c r="D2689" s="33" t="inlineStr">
        <is>
          <t>SwimCloud</t>
        </is>
      </c>
      <c r="E2689" s="33" t="inlineStr">
        <is>
          <t>2116196</t>
        </is>
      </c>
      <c r="F2689" s="33" t="inlineStr">
        <is>
          <t>180898290</t>
        </is>
      </c>
      <c r="G2689" s="51" t="n">
        <v>46214</v>
      </c>
      <c r="H2689" s="33" t="inlineStr">
        <is>
          <t>European Aquatics Junior Championships</t>
        </is>
      </c>
      <c r="I2689" s="33" t="inlineStr">
        <is>
          <t>391429</t>
        </is>
      </c>
      <c r="J2689" s="33" t="inlineStr"/>
      <c r="K2689" s="33" t="inlineStr">
        <is>
          <t>SEM</t>
        </is>
      </c>
      <c r="L2689" s="35">
        <f>IF(K2689="FIN",3,IF(OR(K2689="SEM",K2689="SEMI"),2,IF(OR(K2689="PRE",K2689="HEAT"),1,IF(V2689="YES",4,2))))</f>
        <v/>
      </c>
      <c r="M2689" s="33" t="inlineStr">
        <is>
          <t>LCM</t>
        </is>
      </c>
      <c r="N2689" s="33" t="n">
        <v>100</v>
      </c>
      <c r="O2689" s="33" t="inlineStr">
        <is>
          <t>Free</t>
        </is>
      </c>
      <c r="P2689" s="33" t="inlineStr">
        <is>
          <t>100 Free</t>
        </is>
      </c>
      <c r="Q2689" s="33" t="inlineStr">
        <is>
          <t>LCM_100_FREE</t>
        </is>
      </c>
      <c r="R2689" s="36" t="n">
        <v>48.81</v>
      </c>
      <c r="S2689" s="35">
        <f>IF(R2689="","",IF(R2689&gt;=60,INT(R2689/60)&amp;":"&amp;TEXT(MOD(R2689,60),"00.00"),TEXT(R2689,"0.00")))</f>
        <v/>
      </c>
      <c r="T2689" s="52">
        <f>IFERROR((G2689-INDEX('01_Swimmers'!$E$5:$E$22,MATCH(B2689,'01_Swimmers'!$A$5:$A$22,0)))/'00_Control'!$B$10,"")</f>
        <v/>
      </c>
      <c r="U2689" s="35">
        <f>IF(T2689="","",INT(T2689))</f>
        <v/>
      </c>
      <c r="V2689" s="33" t="inlineStr">
        <is>
          <t>NO</t>
        </is>
      </c>
      <c r="W2689" s="33" t="inlineStr">
        <is>
          <t>YES</t>
        </is>
      </c>
      <c r="X2689" s="33" t="inlineStr">
        <is>
          <t>NO</t>
        </is>
      </c>
      <c r="Y2689" s="33" t="n">
        <v>1</v>
      </c>
      <c r="Z2689" s="33" t="n">
        <v>5</v>
      </c>
      <c r="AA2689" s="33" t="inlineStr">
        <is>
          <t>3</t>
        </is>
      </c>
      <c r="AB2689" s="33" t="inlineStr">
        <is>
          <t>https://www.swimcloud.com/results/391429/event/30/?id=180898290#time180898290</t>
        </is>
      </c>
      <c r="AC2689" s="33" t="inlineStr">
        <is>
          <t>SwimCloud API v6 2026-10-08</t>
        </is>
      </c>
      <c r="AD2689" s="33" t="inlineStr">
        <is>
          <t>Tajus Juska|2026-07-11|LCM|100|Free|48.81|European Aquatics Junior Championships|SEM|False</t>
        </is>
      </c>
      <c r="AE2689" s="53">
        <f>G2689+L2689/1000+ROW()/1000000000</f>
        <v/>
      </c>
      <c r="AF2689" s="35">
        <f>IF(C2689&lt;&gt;"Grayson Coulter","",COUNTIFS($C$5:$C$2991,"Grayson Coulter",$Q$5:$Q$2991,Q2689,$AE$5:$AE$2991,"&lt;="&amp;AE2689,$R$5:$R$2991,"&lt;"&amp;R2689))</f>
        <v/>
      </c>
      <c r="AG2689" s="35">
        <f>IF(OR(C2689&lt;&gt;"Grayson Coulter",G2689&lt;'00_Control'!$B$7),"",--(AF2689&lt;5))</f>
        <v/>
      </c>
      <c r="AH2689" s="35">
        <f>IF(OR(C2689&lt;&gt;"Grayson Coulter",G2689&lt;'00_Control'!$B$7),"",--(AF2689&lt;10))</f>
        <v/>
      </c>
      <c r="AI2689" s="35">
        <f>IF(AND(C2689="Grayson Coulter",G2689&gt;='00_Control'!$B$7),"YES","NO")</f>
        <v/>
      </c>
      <c r="AJ2689" s="33" t="inlineStr">
        <is>
          <t>OK</t>
        </is>
      </c>
    </row>
    <row r="2690">
      <c r="A2690" s="33" t="inlineStr">
        <is>
          <t>SM002686</t>
        </is>
      </c>
      <c r="B2690" s="33" t="inlineStr">
        <is>
          <t>SW006</t>
        </is>
      </c>
      <c r="C2690" s="33" t="inlineStr">
        <is>
          <t>Tajus Juska</t>
        </is>
      </c>
      <c r="D2690" s="33" t="inlineStr">
        <is>
          <t>SwimCloud</t>
        </is>
      </c>
      <c r="E2690" s="33" t="inlineStr">
        <is>
          <t>2116196</t>
        </is>
      </c>
      <c r="F2690" s="33" t="inlineStr">
        <is>
          <t>180898288</t>
        </is>
      </c>
      <c r="G2690" s="51" t="n">
        <v>46215</v>
      </c>
      <c r="H2690" s="33" t="inlineStr">
        <is>
          <t>European Aquatics Junior Championships</t>
        </is>
      </c>
      <c r="I2690" s="33" t="inlineStr">
        <is>
          <t>391429</t>
        </is>
      </c>
      <c r="J2690" s="33" t="inlineStr"/>
      <c r="K2690" s="33" t="inlineStr">
        <is>
          <t>FIN</t>
        </is>
      </c>
      <c r="L2690" s="35">
        <f>IF(K2690="FIN",3,IF(OR(K2690="SEM",K2690="SEMI"),2,IF(OR(K2690="PRE",K2690="HEAT"),1,IF(V2690="YES",4,2))))</f>
        <v/>
      </c>
      <c r="M2690" s="33" t="inlineStr">
        <is>
          <t>LCM</t>
        </is>
      </c>
      <c r="N2690" s="33" t="n">
        <v>100</v>
      </c>
      <c r="O2690" s="33" t="inlineStr">
        <is>
          <t>Free</t>
        </is>
      </c>
      <c r="P2690" s="33" t="inlineStr">
        <is>
          <t>100 Free</t>
        </is>
      </c>
      <c r="Q2690" s="33" t="inlineStr">
        <is>
          <t>LCM_100_FREE</t>
        </is>
      </c>
      <c r="R2690" s="36" t="n">
        <v>48.67</v>
      </c>
      <c r="S2690" s="35">
        <f>IF(R2690="","",IF(R2690&gt;=60,INT(R2690/60)&amp;":"&amp;TEXT(MOD(R2690,60),"00.00"),TEXT(R2690,"0.00")))</f>
        <v/>
      </c>
      <c r="T2690" s="52">
        <f>IFERROR((G2690-INDEX('01_Swimmers'!$E$5:$E$22,MATCH(B2690,'01_Swimmers'!$A$5:$A$22,0)))/'00_Control'!$B$10,"")</f>
        <v/>
      </c>
      <c r="U2690" s="35">
        <f>IF(T2690="","",INT(T2690))</f>
        <v/>
      </c>
      <c r="V2690" s="33" t="inlineStr">
        <is>
          <t>NO</t>
        </is>
      </c>
      <c r="W2690" s="33" t="inlineStr">
        <is>
          <t>YES</t>
        </is>
      </c>
      <c r="X2690" s="33" t="inlineStr">
        <is>
          <t>NO</t>
        </is>
      </c>
      <c r="Y2690" s="33" t="n">
        <v>1</v>
      </c>
      <c r="Z2690" s="33" t="n">
        <v>3</v>
      </c>
      <c r="AA2690" s="33" t="inlineStr">
        <is>
          <t>3</t>
        </is>
      </c>
      <c r="AB2690" s="33" t="inlineStr">
        <is>
          <t>https://www.swimcloud.com/results/391429/event/30/?id=180898288#time180898288</t>
        </is>
      </c>
      <c r="AC2690" s="33" t="inlineStr">
        <is>
          <t>SwimCloud API v6 2026-10-08</t>
        </is>
      </c>
      <c r="AD2690" s="33" t="inlineStr">
        <is>
          <t>Tajus Juska|2026-07-12|LCM|100|Free|48.67|European Aquatics Junior Championships|FIN|False</t>
        </is>
      </c>
      <c r="AE2690" s="53">
        <f>G2690+L2690/1000+ROW()/1000000000</f>
        <v/>
      </c>
      <c r="AF2690" s="35">
        <f>IF(C2690&lt;&gt;"Grayson Coulter","",COUNTIFS($C$5:$C$2991,"Grayson Coulter",$Q$5:$Q$2991,Q2690,$AE$5:$AE$2991,"&lt;="&amp;AE2690,$R$5:$R$2991,"&lt;"&amp;R2690))</f>
        <v/>
      </c>
      <c r="AG2690" s="35">
        <f>IF(OR(C2690&lt;&gt;"Grayson Coulter",G2690&lt;'00_Control'!$B$7),"",--(AF2690&lt;5))</f>
        <v/>
      </c>
      <c r="AH2690" s="35">
        <f>IF(OR(C2690&lt;&gt;"Grayson Coulter",G2690&lt;'00_Control'!$B$7),"",--(AF2690&lt;10))</f>
        <v/>
      </c>
      <c r="AI2690" s="35">
        <f>IF(AND(C2690="Grayson Coulter",G2690&gt;='00_Control'!$B$7),"YES","NO")</f>
        <v/>
      </c>
      <c r="AJ2690" s="33" t="inlineStr">
        <is>
          <t>OK</t>
        </is>
      </c>
    </row>
    <row r="2691">
      <c r="A2691" s="33" t="inlineStr">
        <is>
          <t>SM002687</t>
        </is>
      </c>
      <c r="B2691" s="33" t="inlineStr">
        <is>
          <t>SW006</t>
        </is>
      </c>
      <c r="C2691" s="33" t="inlineStr">
        <is>
          <t>Tajus Juska</t>
        </is>
      </c>
      <c r="D2691" s="33" t="inlineStr">
        <is>
          <t>SwimCloud</t>
        </is>
      </c>
      <c r="E2691" s="33" t="inlineStr">
        <is>
          <t>2116196</t>
        </is>
      </c>
      <c r="F2691" s="33" t="inlineStr">
        <is>
          <t>184118979</t>
        </is>
      </c>
      <c r="G2691" s="51" t="n">
        <v>46245</v>
      </c>
      <c r="H2691" s="33" t="inlineStr">
        <is>
          <t>European Championships</t>
        </is>
      </c>
      <c r="I2691" s="33" t="inlineStr">
        <is>
          <t>390252</t>
        </is>
      </c>
      <c r="J2691" s="33" t="inlineStr"/>
      <c r="K2691" s="33" t="inlineStr">
        <is>
          <t>PRE</t>
        </is>
      </c>
      <c r="L2691" s="35">
        <f>IF(K2691="FIN",3,IF(OR(K2691="SEM",K2691="SEMI"),2,IF(OR(K2691="PRE",K2691="HEAT"),1,IF(V2691="YES",4,2))))</f>
        <v/>
      </c>
      <c r="M2691" s="33" t="inlineStr">
        <is>
          <t>LCM</t>
        </is>
      </c>
      <c r="N2691" s="33" t="n">
        <v>100</v>
      </c>
      <c r="O2691" s="33" t="inlineStr">
        <is>
          <t>Free</t>
        </is>
      </c>
      <c r="P2691" s="33" t="inlineStr">
        <is>
          <t>100 Free</t>
        </is>
      </c>
      <c r="Q2691" s="33" t="inlineStr">
        <is>
          <t>LCM_100_FREE</t>
        </is>
      </c>
      <c r="R2691" s="36" t="n">
        <v>48.96</v>
      </c>
      <c r="S2691" s="35">
        <f>IF(R2691="","",IF(R2691&gt;=60,INT(R2691/60)&amp;":"&amp;TEXT(MOD(R2691,60),"00.00"),TEXT(R2691,"0.00")))</f>
        <v/>
      </c>
      <c r="T2691" s="52">
        <f>IFERROR((G2691-INDEX('01_Swimmers'!$E$5:$E$22,MATCH(B2691,'01_Swimmers'!$A$5:$A$22,0)))/'00_Control'!$B$10,"")</f>
        <v/>
      </c>
      <c r="U2691" s="35">
        <f>IF(T2691="","",INT(T2691))</f>
        <v/>
      </c>
      <c r="V2691" s="33" t="inlineStr">
        <is>
          <t>NO</t>
        </is>
      </c>
      <c r="W2691" s="33" t="inlineStr">
        <is>
          <t>YES</t>
        </is>
      </c>
      <c r="X2691" s="33" t="inlineStr">
        <is>
          <t>NO</t>
        </is>
      </c>
      <c r="Y2691" s="33" t="n">
        <v>7</v>
      </c>
      <c r="Z2691" s="33" t="n">
        <v>4</v>
      </c>
      <c r="AA2691" s="33" t="inlineStr">
        <is>
          <t>31</t>
        </is>
      </c>
      <c r="AB2691" s="33" t="inlineStr">
        <is>
          <t>https://www.swimcloud.com/results/390252/event/10/?id=184118979#time184118979</t>
        </is>
      </c>
      <c r="AC2691" s="33" t="inlineStr">
        <is>
          <t>SwimCloud API v6 2026-10-08</t>
        </is>
      </c>
      <c r="AD2691" s="33" t="inlineStr">
        <is>
          <t>Tajus Juska|2026-08-11|LCM|100|Free|48.96|European Championships|PRE|False</t>
        </is>
      </c>
      <c r="AE2691" s="53">
        <f>G2691+L2691/1000+ROW()/1000000000</f>
        <v/>
      </c>
      <c r="AF2691" s="35">
        <f>IF(C2691&lt;&gt;"Grayson Coulter","",COUNTIFS($C$5:$C$2991,"Grayson Coulter",$Q$5:$Q$2991,Q2691,$AE$5:$AE$2991,"&lt;="&amp;AE2691,$R$5:$R$2991,"&lt;"&amp;R2691))</f>
        <v/>
      </c>
      <c r="AG2691" s="35">
        <f>IF(OR(C2691&lt;&gt;"Grayson Coulter",G2691&lt;'00_Control'!$B$7),"",--(AF2691&lt;5))</f>
        <v/>
      </c>
      <c r="AH2691" s="35">
        <f>IF(OR(C2691&lt;&gt;"Grayson Coulter",G2691&lt;'00_Control'!$B$7),"",--(AF2691&lt;10))</f>
        <v/>
      </c>
      <c r="AI2691" s="35">
        <f>IF(AND(C2691="Grayson Coulter",G2691&gt;='00_Control'!$B$7),"YES","NO")</f>
        <v/>
      </c>
      <c r="AJ2691" s="33" t="inlineStr">
        <is>
          <t>OK</t>
        </is>
      </c>
    </row>
    <row r="2692">
      <c r="A2692" s="33" t="inlineStr">
        <is>
          <t>SM002688</t>
        </is>
      </c>
      <c r="B2692" s="33" t="inlineStr">
        <is>
          <t>SW006</t>
        </is>
      </c>
      <c r="C2692" s="33" t="inlineStr">
        <is>
          <t>Tajus Juska</t>
        </is>
      </c>
      <c r="D2692" s="33" t="inlineStr">
        <is>
          <t>SwimCloud</t>
        </is>
      </c>
      <c r="E2692" s="33" t="inlineStr">
        <is>
          <t>2116196</t>
        </is>
      </c>
      <c r="F2692" s="33" t="inlineStr">
        <is>
          <t>184118980</t>
        </is>
      </c>
      <c r="G2692" s="51" t="n">
        <v>46247</v>
      </c>
      <c r="H2692" s="33" t="inlineStr">
        <is>
          <t>European Championships</t>
        </is>
      </c>
      <c r="I2692" s="33" t="inlineStr">
        <is>
          <t>390252</t>
        </is>
      </c>
      <c r="J2692" s="33" t="inlineStr"/>
      <c r="K2692" s="33" t="inlineStr">
        <is>
          <t>PRE</t>
        </is>
      </c>
      <c r="L2692" s="35">
        <f>IF(K2692="FIN",3,IF(OR(K2692="SEM",K2692="SEMI"),2,IF(OR(K2692="PRE",K2692="HEAT"),1,IF(V2692="YES",4,2))))</f>
        <v/>
      </c>
      <c r="M2692" s="33" t="inlineStr">
        <is>
          <t>LCM</t>
        </is>
      </c>
      <c r="N2692" s="33" t="n">
        <v>200</v>
      </c>
      <c r="O2692" s="33" t="inlineStr">
        <is>
          <t>Free</t>
        </is>
      </c>
      <c r="P2692" s="33" t="inlineStr">
        <is>
          <t>200 Free</t>
        </is>
      </c>
      <c r="Q2692" s="33" t="inlineStr">
        <is>
          <t>LCM_200_FREE</t>
        </is>
      </c>
      <c r="R2692" s="36" t="n">
        <v>108.24</v>
      </c>
      <c r="S2692" s="35">
        <f>IF(R2692="","",IF(R2692&gt;=60,INT(R2692/60)&amp;":"&amp;TEXT(MOD(R2692,60),"00.00"),TEXT(R2692,"0.00")))</f>
        <v/>
      </c>
      <c r="T2692" s="52">
        <f>IFERROR((G2692-INDEX('01_Swimmers'!$E$5:$E$22,MATCH(B2692,'01_Swimmers'!$A$5:$A$22,0)))/'00_Control'!$B$10,"")</f>
        <v/>
      </c>
      <c r="U2692" s="35">
        <f>IF(T2692="","",INT(T2692))</f>
        <v/>
      </c>
      <c r="V2692" s="33" t="inlineStr">
        <is>
          <t>NO</t>
        </is>
      </c>
      <c r="W2692" s="33" t="inlineStr">
        <is>
          <t>YES</t>
        </is>
      </c>
      <c r="X2692" s="33" t="inlineStr">
        <is>
          <t>NO</t>
        </is>
      </c>
      <c r="Y2692" s="33" t="n">
        <v>8</v>
      </c>
      <c r="Z2692" s="33" t="n">
        <v>6</v>
      </c>
      <c r="AA2692" s="33" t="inlineStr">
        <is>
          <t>39</t>
        </is>
      </c>
      <c r="AB2692" s="33" t="inlineStr">
        <is>
          <t>https://www.swimcloud.com/results/390252/event/21/?id=184118980#time184118980</t>
        </is>
      </c>
      <c r="AC2692" s="33" t="inlineStr">
        <is>
          <t>SwimCloud API v6 2026-10-08</t>
        </is>
      </c>
      <c r="AD2692" s="33" t="inlineStr">
        <is>
          <t>Tajus Juska|2026-08-13|LCM|200|Free|108.24|European Championships|PRE|False</t>
        </is>
      </c>
      <c r="AE2692" s="53">
        <f>G2692+L2692/1000+ROW()/1000000000</f>
        <v/>
      </c>
      <c r="AF2692" s="35">
        <f>IF(C2692&lt;&gt;"Grayson Coulter","",COUNTIFS($C$5:$C$2991,"Grayson Coulter",$Q$5:$Q$2991,Q2692,$AE$5:$AE$2991,"&lt;="&amp;AE2692,$R$5:$R$2991,"&lt;"&amp;R2692))</f>
        <v/>
      </c>
      <c r="AG2692" s="35">
        <f>IF(OR(C2692&lt;&gt;"Grayson Coulter",G2692&lt;'00_Control'!$B$7),"",--(AF2692&lt;5))</f>
        <v/>
      </c>
      <c r="AH2692" s="35">
        <f>IF(OR(C2692&lt;&gt;"Grayson Coulter",G2692&lt;'00_Control'!$B$7),"",--(AF2692&lt;10))</f>
        <v/>
      </c>
      <c r="AI2692" s="35">
        <f>IF(AND(C2692="Grayson Coulter",G2692&gt;='00_Control'!$B$7),"YES","NO")</f>
        <v/>
      </c>
      <c r="AJ2692" s="33" t="inlineStr">
        <is>
          <t>OK</t>
        </is>
      </c>
    </row>
    <row r="2693">
      <c r="A2693" s="33" t="inlineStr">
        <is>
          <t>SM002689</t>
        </is>
      </c>
      <c r="B2693" s="33" t="inlineStr">
        <is>
          <t>SW005</t>
        </is>
      </c>
      <c r="C2693" s="33" t="inlineStr">
        <is>
          <t>Thomas Heilman</t>
        </is>
      </c>
      <c r="D2693" s="33" t="inlineStr">
        <is>
          <t>SwimCloud</t>
        </is>
      </c>
      <c r="E2693" s="33" t="inlineStr">
        <is>
          <t>1336401</t>
        </is>
      </c>
      <c r="F2693" s="33" t="inlineStr">
        <is>
          <t>53161028</t>
        </is>
      </c>
      <c r="G2693" s="51" t="n">
        <v>42909</v>
      </c>
      <c r="H2693" s="33" t="inlineStr">
        <is>
          <t>2017 VA SMAC Summer Classic</t>
        </is>
      </c>
      <c r="I2693" s="33" t="inlineStr">
        <is>
          <t>216415</t>
        </is>
      </c>
      <c r="J2693" s="33" t="inlineStr"/>
      <c r="K2693" s="33" t="inlineStr">
        <is>
          <t>TIM</t>
        </is>
      </c>
      <c r="L2693" s="35">
        <f>IF(K2693="FIN",3,IF(OR(K2693="SEM",K2693="SEMI"),2,IF(OR(K2693="PRE",K2693="HEAT"),1,IF(V2693="YES",4,2))))</f>
        <v/>
      </c>
      <c r="M2693" s="33" t="inlineStr">
        <is>
          <t>LCM</t>
        </is>
      </c>
      <c r="N2693" s="33" t="n">
        <v>400</v>
      </c>
      <c r="O2693" s="33" t="inlineStr">
        <is>
          <t>Free</t>
        </is>
      </c>
      <c r="P2693" s="33" t="inlineStr">
        <is>
          <t>400 Free</t>
        </is>
      </c>
      <c r="Q2693" s="33" t="inlineStr">
        <is>
          <t>LCM_400_FREE</t>
        </is>
      </c>
      <c r="R2693" s="36" t="n">
        <v>341.88</v>
      </c>
      <c r="S2693" s="35">
        <f>IF(R2693="","",IF(R2693&gt;=60,INT(R2693/60)&amp;":"&amp;TEXT(MOD(R2693,60),"00.00"),TEXT(R2693,"0.00")))</f>
        <v/>
      </c>
      <c r="T2693" s="52">
        <f>IFERROR((G2693-INDEX('01_Swimmers'!$E$5:$E$22,MATCH(B2693,'01_Swimmers'!$A$5:$A$22,0)))/'00_Control'!$B$10,"")</f>
        <v/>
      </c>
      <c r="U2693" s="35">
        <f>IF(T2693="","",INT(T2693))</f>
        <v/>
      </c>
      <c r="V2693" s="33" t="inlineStr">
        <is>
          <t>NO</t>
        </is>
      </c>
      <c r="W2693" s="33" t="inlineStr">
        <is>
          <t>YES</t>
        </is>
      </c>
      <c r="X2693" s="33" t="inlineStr">
        <is>
          <t>NO</t>
        </is>
      </c>
      <c r="Y2693" s="33" t="n">
        <v>1</v>
      </c>
      <c r="Z2693" s="33" t="n">
        <v>1</v>
      </c>
      <c r="AA2693" s="33" t="inlineStr">
        <is>
          <t>16</t>
        </is>
      </c>
      <c r="AB2693" s="33" t="inlineStr">
        <is>
          <t>https://www.swimcloud.com/results/216415/event/26/?id=53161028#time53161028</t>
        </is>
      </c>
      <c r="AC2693" s="33" t="inlineStr">
        <is>
          <t>SwimCloud API v6 2026-10-08</t>
        </is>
      </c>
      <c r="AD2693" s="33" t="inlineStr">
        <is>
          <t>Thomas Heilman|2017-06-23|LCM|400|Free|341.88|2017 VA SMAC Summer Classic|TIM|False</t>
        </is>
      </c>
      <c r="AE2693" s="53">
        <f>G2693+L2693/1000+ROW()/1000000000</f>
        <v/>
      </c>
      <c r="AF2693" s="35">
        <f>IF(C2693&lt;&gt;"Grayson Coulter","",COUNTIFS($C$5:$C$2991,"Grayson Coulter",$Q$5:$Q$2991,Q2693,$AE$5:$AE$2991,"&lt;="&amp;AE2693,$R$5:$R$2991,"&lt;"&amp;R2693))</f>
        <v/>
      </c>
      <c r="AG2693" s="35">
        <f>IF(OR(C2693&lt;&gt;"Grayson Coulter",G2693&lt;'00_Control'!$B$7),"",--(AF2693&lt;5))</f>
        <v/>
      </c>
      <c r="AH2693" s="35">
        <f>IF(OR(C2693&lt;&gt;"Grayson Coulter",G2693&lt;'00_Control'!$B$7),"",--(AF2693&lt;10))</f>
        <v/>
      </c>
      <c r="AI2693" s="35">
        <f>IF(AND(C2693="Grayson Coulter",G2693&gt;='00_Control'!$B$7),"YES","NO")</f>
        <v/>
      </c>
      <c r="AJ2693" s="33" t="inlineStr">
        <is>
          <t>OK</t>
        </is>
      </c>
    </row>
    <row r="2694">
      <c r="A2694" s="33" t="inlineStr">
        <is>
          <t>SM002690</t>
        </is>
      </c>
      <c r="B2694" s="33" t="inlineStr">
        <is>
          <t>SW005</t>
        </is>
      </c>
      <c r="C2694" s="33" t="inlineStr">
        <is>
          <t>Thomas Heilman</t>
        </is>
      </c>
      <c r="D2694" s="33" t="inlineStr">
        <is>
          <t>SwimCloud</t>
        </is>
      </c>
      <c r="E2694" s="33" t="inlineStr">
        <is>
          <t>1336401</t>
        </is>
      </c>
      <c r="F2694" s="33" t="inlineStr">
        <is>
          <t>53160948</t>
        </is>
      </c>
      <c r="G2694" s="51" t="n">
        <v>42910</v>
      </c>
      <c r="H2694" s="33" t="inlineStr">
        <is>
          <t>2017 VA SMAC Summer Classic</t>
        </is>
      </c>
      <c r="I2694" s="33" t="inlineStr">
        <is>
          <t>216415</t>
        </is>
      </c>
      <c r="J2694" s="33" t="inlineStr"/>
      <c r="K2694" s="33" t="inlineStr">
        <is>
          <t>TIM</t>
        </is>
      </c>
      <c r="L2694" s="35">
        <f>IF(K2694="FIN",3,IF(OR(K2694="SEM",K2694="SEMI"),2,IF(OR(K2694="PRE",K2694="HEAT"),1,IF(V2694="YES",4,2))))</f>
        <v/>
      </c>
      <c r="M2694" s="33" t="inlineStr">
        <is>
          <t>LCM</t>
        </is>
      </c>
      <c r="N2694" s="33" t="n">
        <v>200</v>
      </c>
      <c r="O2694" s="33" t="inlineStr">
        <is>
          <t>Free</t>
        </is>
      </c>
      <c r="P2694" s="33" t="inlineStr">
        <is>
          <t>200 Free</t>
        </is>
      </c>
      <c r="Q2694" s="33" t="inlineStr">
        <is>
          <t>LCM_200_FREE</t>
        </is>
      </c>
      <c r="R2694" s="36" t="n">
        <v>153.67</v>
      </c>
      <c r="S2694" s="35">
        <f>IF(R2694="","",IF(R2694&gt;=60,INT(R2694/60)&amp;":"&amp;TEXT(MOD(R2694,60),"00.00"),TEXT(R2694,"0.00")))</f>
        <v/>
      </c>
      <c r="T2694" s="52">
        <f>IFERROR((G2694-INDEX('01_Swimmers'!$E$5:$E$22,MATCH(B2694,'01_Swimmers'!$A$5:$A$22,0)))/'00_Control'!$B$10,"")</f>
        <v/>
      </c>
      <c r="U2694" s="35">
        <f>IF(T2694="","",INT(T2694))</f>
        <v/>
      </c>
      <c r="V2694" s="33" t="inlineStr">
        <is>
          <t>NO</t>
        </is>
      </c>
      <c r="W2694" s="33" t="inlineStr">
        <is>
          <t>YES</t>
        </is>
      </c>
      <c r="X2694" s="33" t="inlineStr">
        <is>
          <t>NO</t>
        </is>
      </c>
      <c r="Y2694" s="33" t="n">
        <v>2</v>
      </c>
      <c r="Z2694" s="33" t="n">
        <v>4</v>
      </c>
      <c r="AA2694" s="33" t="inlineStr">
        <is>
          <t>1</t>
        </is>
      </c>
      <c r="AB2694" s="33" t="inlineStr">
        <is>
          <t>https://www.swimcloud.com/results/216415/event/38/?id=53160948#time53160948</t>
        </is>
      </c>
      <c r="AC2694" s="33" t="inlineStr">
        <is>
          <t>SwimCloud API v6 2026-10-08</t>
        </is>
      </c>
      <c r="AD2694" s="33" t="inlineStr">
        <is>
          <t>Thomas Heilman|2017-06-24|LCM|200|Free|153.67|2017 VA SMAC Summer Classic|TIM|False</t>
        </is>
      </c>
      <c r="AE2694" s="53">
        <f>G2694+L2694/1000+ROW()/1000000000</f>
        <v/>
      </c>
      <c r="AF2694" s="35">
        <f>IF(C2694&lt;&gt;"Grayson Coulter","",COUNTIFS($C$5:$C$2991,"Grayson Coulter",$Q$5:$Q$2991,Q2694,$AE$5:$AE$2991,"&lt;="&amp;AE2694,$R$5:$R$2991,"&lt;"&amp;R2694))</f>
        <v/>
      </c>
      <c r="AG2694" s="35">
        <f>IF(OR(C2694&lt;&gt;"Grayson Coulter",G2694&lt;'00_Control'!$B$7),"",--(AF2694&lt;5))</f>
        <v/>
      </c>
      <c r="AH2694" s="35">
        <f>IF(OR(C2694&lt;&gt;"Grayson Coulter",G2694&lt;'00_Control'!$B$7),"",--(AF2694&lt;10))</f>
        <v/>
      </c>
      <c r="AI2694" s="35">
        <f>IF(AND(C2694="Grayson Coulter",G2694&gt;='00_Control'!$B$7),"YES","NO")</f>
        <v/>
      </c>
      <c r="AJ2694" s="33" t="inlineStr">
        <is>
          <t>OK</t>
        </is>
      </c>
    </row>
    <row r="2695">
      <c r="A2695" s="33" t="inlineStr">
        <is>
          <t>SM002691</t>
        </is>
      </c>
      <c r="B2695" s="33" t="inlineStr">
        <is>
          <t>SW005</t>
        </is>
      </c>
      <c r="C2695" s="33" t="inlineStr">
        <is>
          <t>Thomas Heilman</t>
        </is>
      </c>
      <c r="D2695" s="33" t="inlineStr">
        <is>
          <t>SwimCloud</t>
        </is>
      </c>
      <c r="E2695" s="33" t="inlineStr">
        <is>
          <t>1336401</t>
        </is>
      </c>
      <c r="F2695" s="33" t="inlineStr">
        <is>
          <t>53161490</t>
        </is>
      </c>
      <c r="G2695" s="51" t="n">
        <v>42911</v>
      </c>
      <c r="H2695" s="33" t="inlineStr">
        <is>
          <t>2017 VA SMAC Summer Classic</t>
        </is>
      </c>
      <c r="I2695" s="33" t="inlineStr">
        <is>
          <t>216415</t>
        </is>
      </c>
      <c r="J2695" s="33" t="inlineStr"/>
      <c r="K2695" s="33" t="inlineStr">
        <is>
          <t>TIM</t>
        </is>
      </c>
      <c r="L2695" s="35">
        <f>IF(K2695="FIN",3,IF(OR(K2695="SEM",K2695="SEMI"),2,IF(OR(K2695="PRE",K2695="HEAT"),1,IF(V2695="YES",4,2))))</f>
        <v/>
      </c>
      <c r="M2695" s="33" t="inlineStr">
        <is>
          <t>LCM</t>
        </is>
      </c>
      <c r="N2695" s="33" t="n">
        <v>100</v>
      </c>
      <c r="O2695" s="33" t="inlineStr">
        <is>
          <t>Fly</t>
        </is>
      </c>
      <c r="P2695" s="33" t="inlineStr">
        <is>
          <t>100 Fly</t>
        </is>
      </c>
      <c r="Q2695" s="33" t="inlineStr">
        <is>
          <t>LCM_100_FLY</t>
        </is>
      </c>
      <c r="R2695" s="36" t="n">
        <v>78.5</v>
      </c>
      <c r="S2695" s="35">
        <f>IF(R2695="","",IF(R2695&gt;=60,INT(R2695/60)&amp;":"&amp;TEXT(MOD(R2695,60),"00.00"),TEXT(R2695,"0.00")))</f>
        <v/>
      </c>
      <c r="T2695" s="52">
        <f>IFERROR((G2695-INDEX('01_Swimmers'!$E$5:$E$22,MATCH(B2695,'01_Swimmers'!$A$5:$A$22,0)))/'00_Control'!$B$10,"")</f>
        <v/>
      </c>
      <c r="U2695" s="35">
        <f>IF(T2695="","",INT(T2695))</f>
        <v/>
      </c>
      <c r="V2695" s="33" t="inlineStr">
        <is>
          <t>NO</t>
        </is>
      </c>
      <c r="W2695" s="33" t="inlineStr">
        <is>
          <t>YES</t>
        </is>
      </c>
      <c r="X2695" s="33" t="inlineStr">
        <is>
          <t>NO</t>
        </is>
      </c>
      <c r="Y2695" s="33" t="n">
        <v>1</v>
      </c>
      <c r="Z2695" s="33" t="n">
        <v>4</v>
      </c>
      <c r="AA2695" s="33" t="inlineStr">
        <is>
          <t>1</t>
        </is>
      </c>
      <c r="AB2695" s="33" t="inlineStr">
        <is>
          <t>https://www.swimcloud.com/results/216415/event/62/?id=53161490#time53161490</t>
        </is>
      </c>
      <c r="AC2695" s="33" t="inlineStr">
        <is>
          <t>SwimCloud API v6 2026-10-08</t>
        </is>
      </c>
      <c r="AD2695" s="33" t="inlineStr">
        <is>
          <t>Thomas Heilman|2017-06-25|LCM|100|Fly|78.5|2017 VA SMAC Summer Classic|TIM|False</t>
        </is>
      </c>
      <c r="AE2695" s="53">
        <f>G2695+L2695/1000+ROW()/1000000000</f>
        <v/>
      </c>
      <c r="AF2695" s="35">
        <f>IF(C2695&lt;&gt;"Grayson Coulter","",COUNTIFS($C$5:$C$2991,"Grayson Coulter",$Q$5:$Q$2991,Q2695,$AE$5:$AE$2991,"&lt;="&amp;AE2695,$R$5:$R$2991,"&lt;"&amp;R2695))</f>
        <v/>
      </c>
      <c r="AG2695" s="35">
        <f>IF(OR(C2695&lt;&gt;"Grayson Coulter",G2695&lt;'00_Control'!$B$7),"",--(AF2695&lt;5))</f>
        <v/>
      </c>
      <c r="AH2695" s="35">
        <f>IF(OR(C2695&lt;&gt;"Grayson Coulter",G2695&lt;'00_Control'!$B$7),"",--(AF2695&lt;10))</f>
        <v/>
      </c>
      <c r="AI2695" s="35">
        <f>IF(AND(C2695="Grayson Coulter",G2695&gt;='00_Control'!$B$7),"YES","NO")</f>
        <v/>
      </c>
      <c r="AJ2695" s="33" t="inlineStr">
        <is>
          <t>OK</t>
        </is>
      </c>
    </row>
    <row r="2696">
      <c r="A2696" s="33" t="inlineStr">
        <is>
          <t>SM002692</t>
        </is>
      </c>
      <c r="B2696" s="33" t="inlineStr">
        <is>
          <t>SW005</t>
        </is>
      </c>
      <c r="C2696" s="33" t="inlineStr">
        <is>
          <t>Thomas Heilman</t>
        </is>
      </c>
      <c r="D2696" s="33" t="inlineStr">
        <is>
          <t>SwimCloud</t>
        </is>
      </c>
      <c r="E2696" s="33" t="inlineStr">
        <is>
          <t>1336401</t>
        </is>
      </c>
      <c r="F2696" s="33" t="inlineStr">
        <is>
          <t>53160992</t>
        </is>
      </c>
      <c r="G2696" s="51" t="n">
        <v>42911</v>
      </c>
      <c r="H2696" s="33" t="inlineStr">
        <is>
          <t>2017 VA SMAC Summer Classic</t>
        </is>
      </c>
      <c r="I2696" s="33" t="inlineStr">
        <is>
          <t>216415</t>
        </is>
      </c>
      <c r="J2696" s="33" t="inlineStr"/>
      <c r="K2696" s="33" t="inlineStr">
        <is>
          <t>TIM</t>
        </is>
      </c>
      <c r="L2696" s="35">
        <f>IF(K2696="FIN",3,IF(OR(K2696="SEM",K2696="SEMI"),2,IF(OR(K2696="PRE",K2696="HEAT"),1,IF(V2696="YES",4,2))))</f>
        <v/>
      </c>
      <c r="M2696" s="33" t="inlineStr">
        <is>
          <t>LCM</t>
        </is>
      </c>
      <c r="N2696" s="33" t="n">
        <v>100</v>
      </c>
      <c r="O2696" s="33" t="inlineStr">
        <is>
          <t>Free</t>
        </is>
      </c>
      <c r="P2696" s="33" t="inlineStr">
        <is>
          <t>100 Free</t>
        </is>
      </c>
      <c r="Q2696" s="33" t="inlineStr">
        <is>
          <t>LCM_100_FREE</t>
        </is>
      </c>
      <c r="R2696" s="36" t="n">
        <v>68.54000000000001</v>
      </c>
      <c r="S2696" s="35">
        <f>IF(R2696="","",IF(R2696&gt;=60,INT(R2696/60)&amp;":"&amp;TEXT(MOD(R2696,60),"00.00"),TEXT(R2696,"0.00")))</f>
        <v/>
      </c>
      <c r="T2696" s="52">
        <f>IFERROR((G2696-INDEX('01_Swimmers'!$E$5:$E$22,MATCH(B2696,'01_Swimmers'!$A$5:$A$22,0)))/'00_Control'!$B$10,"")</f>
        <v/>
      </c>
      <c r="U2696" s="35">
        <f>IF(T2696="","",INT(T2696))</f>
        <v/>
      </c>
      <c r="V2696" s="33" t="inlineStr">
        <is>
          <t>NO</t>
        </is>
      </c>
      <c r="W2696" s="33" t="inlineStr">
        <is>
          <t>YES</t>
        </is>
      </c>
      <c r="X2696" s="33" t="inlineStr">
        <is>
          <t>NO</t>
        </is>
      </c>
      <c r="Y2696" s="33" t="n">
        <v>3</v>
      </c>
      <c r="Z2696" s="33" t="n">
        <v>4</v>
      </c>
      <c r="AA2696" s="33" t="inlineStr">
        <is>
          <t>1</t>
        </is>
      </c>
      <c r="AB2696" s="33" t="inlineStr">
        <is>
          <t>https://www.swimcloud.com/results/216415/event/66/?id=53160992#time53160992</t>
        </is>
      </c>
      <c r="AC2696" s="33" t="inlineStr">
        <is>
          <t>SwimCloud API v6 2026-10-08</t>
        </is>
      </c>
      <c r="AD2696" s="33" t="inlineStr">
        <is>
          <t>Thomas Heilman|2017-06-25|LCM|100|Free|68.54|2017 VA SMAC Summer Classic|TIM|False</t>
        </is>
      </c>
      <c r="AE2696" s="53">
        <f>G2696+L2696/1000+ROW()/1000000000</f>
        <v/>
      </c>
      <c r="AF2696" s="35">
        <f>IF(C2696&lt;&gt;"Grayson Coulter","",COUNTIFS($C$5:$C$2991,"Grayson Coulter",$Q$5:$Q$2991,Q2696,$AE$5:$AE$2991,"&lt;="&amp;AE2696,$R$5:$R$2991,"&lt;"&amp;R2696))</f>
        <v/>
      </c>
      <c r="AG2696" s="35">
        <f>IF(OR(C2696&lt;&gt;"Grayson Coulter",G2696&lt;'00_Control'!$B$7),"",--(AF2696&lt;5))</f>
        <v/>
      </c>
      <c r="AH2696" s="35">
        <f>IF(OR(C2696&lt;&gt;"Grayson Coulter",G2696&lt;'00_Control'!$B$7),"",--(AF2696&lt;10))</f>
        <v/>
      </c>
      <c r="AI2696" s="35">
        <f>IF(AND(C2696="Grayson Coulter",G2696&gt;='00_Control'!$B$7),"YES","NO")</f>
        <v/>
      </c>
      <c r="AJ2696" s="33" t="inlineStr">
        <is>
          <t>OK</t>
        </is>
      </c>
    </row>
    <row r="2697">
      <c r="A2697" s="33" t="inlineStr">
        <is>
          <t>SM002693</t>
        </is>
      </c>
      <c r="B2697" s="33" t="inlineStr">
        <is>
          <t>SW005</t>
        </is>
      </c>
      <c r="C2697" s="33" t="inlineStr">
        <is>
          <t>Thomas Heilman</t>
        </is>
      </c>
      <c r="D2697" s="33" t="inlineStr">
        <is>
          <t>SwimCloud</t>
        </is>
      </c>
      <c r="E2697" s="33" t="inlineStr">
        <is>
          <t>1336401</t>
        </is>
      </c>
      <c r="F2697" s="33" t="inlineStr">
        <is>
          <t>25510972</t>
        </is>
      </c>
      <c r="G2697" s="51" t="n">
        <v>42956</v>
      </c>
      <c r="H2697" s="33" t="inlineStr">
        <is>
          <t>Eastern Zone Age Group Championships</t>
        </is>
      </c>
      <c r="I2697" s="33" t="inlineStr">
        <is>
          <t>96334</t>
        </is>
      </c>
      <c r="J2697" s="33" t="inlineStr"/>
      <c r="K2697" s="33" t="inlineStr">
        <is>
          <t>TIM</t>
        </is>
      </c>
      <c r="L2697" s="35">
        <f>IF(K2697="FIN",3,IF(OR(K2697="SEM",K2697="SEMI"),2,IF(OR(K2697="PRE",K2697="HEAT"),1,IF(V2697="YES",4,2))))</f>
        <v/>
      </c>
      <c r="M2697" s="33" t="inlineStr">
        <is>
          <t>LCM</t>
        </is>
      </c>
      <c r="N2697" s="33" t="n">
        <v>100</v>
      </c>
      <c r="O2697" s="33" t="inlineStr">
        <is>
          <t>Fly</t>
        </is>
      </c>
      <c r="P2697" s="33" t="inlineStr">
        <is>
          <t>100 Fly</t>
        </is>
      </c>
      <c r="Q2697" s="33" t="inlineStr">
        <is>
          <t>LCM_100_FLY</t>
        </is>
      </c>
      <c r="R2697" s="36" t="n">
        <v>70.78</v>
      </c>
      <c r="S2697" s="35">
        <f>IF(R2697="","",IF(R2697&gt;=60,INT(R2697/60)&amp;":"&amp;TEXT(MOD(R2697,60),"00.00"),TEXT(R2697,"0.00")))</f>
        <v/>
      </c>
      <c r="T2697" s="52">
        <f>IFERROR((G2697-INDEX('01_Swimmers'!$E$5:$E$22,MATCH(B2697,'01_Swimmers'!$A$5:$A$22,0)))/'00_Control'!$B$10,"")</f>
        <v/>
      </c>
      <c r="U2697" s="35">
        <f>IF(T2697="","",INT(T2697))</f>
        <v/>
      </c>
      <c r="V2697" s="33" t="inlineStr">
        <is>
          <t>NO</t>
        </is>
      </c>
      <c r="W2697" s="33" t="inlineStr">
        <is>
          <t>YES</t>
        </is>
      </c>
      <c r="X2697" s="33" t="inlineStr">
        <is>
          <t>NO</t>
        </is>
      </c>
      <c r="Y2697" s="33" t="n">
        <v>7</v>
      </c>
      <c r="Z2697" s="33" t="n">
        <v>3</v>
      </c>
      <c r="AA2697" s="33" t="inlineStr">
        <is>
          <t>2</t>
        </is>
      </c>
      <c r="AB2697" s="33" t="inlineStr">
        <is>
          <t>https://www.swimcloud.com/results/96334/event/36/?id=25510972#time25510972</t>
        </is>
      </c>
      <c r="AC2697" s="33" t="inlineStr">
        <is>
          <t>SwimCloud API v6 2026-10-08</t>
        </is>
      </c>
      <c r="AD2697" s="33" t="inlineStr">
        <is>
          <t>Thomas Heilman|2017-08-09|LCM|100|Fly|70.78|Eastern Zone Age Group Championships|TIM|False</t>
        </is>
      </c>
      <c r="AE2697" s="53">
        <f>G2697+L2697/1000+ROW()/1000000000</f>
        <v/>
      </c>
      <c r="AF2697" s="35">
        <f>IF(C2697&lt;&gt;"Grayson Coulter","",COUNTIFS($C$5:$C$2991,"Grayson Coulter",$Q$5:$Q$2991,Q2697,$AE$5:$AE$2991,"&lt;="&amp;AE2697,$R$5:$R$2991,"&lt;"&amp;R2697))</f>
        <v/>
      </c>
      <c r="AG2697" s="35">
        <f>IF(OR(C2697&lt;&gt;"Grayson Coulter",G2697&lt;'00_Control'!$B$7),"",--(AF2697&lt;5))</f>
        <v/>
      </c>
      <c r="AH2697" s="35">
        <f>IF(OR(C2697&lt;&gt;"Grayson Coulter",G2697&lt;'00_Control'!$B$7),"",--(AF2697&lt;10))</f>
        <v/>
      </c>
      <c r="AI2697" s="35">
        <f>IF(AND(C2697="Grayson Coulter",G2697&gt;='00_Control'!$B$7),"YES","NO")</f>
        <v/>
      </c>
      <c r="AJ2697" s="33" t="inlineStr">
        <is>
          <t>OK</t>
        </is>
      </c>
    </row>
    <row r="2698">
      <c r="A2698" s="33" t="inlineStr">
        <is>
          <t>SM002694</t>
        </is>
      </c>
      <c r="B2698" s="33" t="inlineStr">
        <is>
          <t>SW005</t>
        </is>
      </c>
      <c r="C2698" s="33" t="inlineStr">
        <is>
          <t>Thomas Heilman</t>
        </is>
      </c>
      <c r="D2698" s="33" t="inlineStr">
        <is>
          <t>SwimCloud</t>
        </is>
      </c>
      <c r="E2698" s="33" t="inlineStr">
        <is>
          <t>1336401</t>
        </is>
      </c>
      <c r="F2698" s="33" t="inlineStr">
        <is>
          <t>25508685</t>
        </is>
      </c>
      <c r="G2698" s="51" t="n">
        <v>42956</v>
      </c>
      <c r="H2698" s="33" t="inlineStr">
        <is>
          <t>Eastern Zone Age Group Championships</t>
        </is>
      </c>
      <c r="I2698" s="33" t="inlineStr">
        <is>
          <t>96334</t>
        </is>
      </c>
      <c r="J2698" s="33" t="inlineStr"/>
      <c r="K2698" s="33" t="inlineStr">
        <is>
          <t>TIM</t>
        </is>
      </c>
      <c r="L2698" s="35">
        <f>IF(K2698="FIN",3,IF(OR(K2698="SEM",K2698="SEMI"),2,IF(OR(K2698="PRE",K2698="HEAT"),1,IF(V2698="YES",4,2))))</f>
        <v/>
      </c>
      <c r="M2698" s="33" t="inlineStr">
        <is>
          <t>LCM</t>
        </is>
      </c>
      <c r="N2698" s="33" t="n">
        <v>100</v>
      </c>
      <c r="O2698" s="33" t="inlineStr">
        <is>
          <t>Free</t>
        </is>
      </c>
      <c r="P2698" s="33" t="inlineStr">
        <is>
          <t>100 Free</t>
        </is>
      </c>
      <c r="Q2698" s="33" t="inlineStr">
        <is>
          <t>LCM_100_FREE</t>
        </is>
      </c>
      <c r="R2698" s="36" t="n">
        <v>63.19</v>
      </c>
      <c r="S2698" s="35">
        <f>IF(R2698="","",IF(R2698&gt;=60,INT(R2698/60)&amp;":"&amp;TEXT(MOD(R2698,60),"00.00"),TEXT(R2698,"0.00")))</f>
        <v/>
      </c>
      <c r="T2698" s="52">
        <f>IFERROR((G2698-INDEX('01_Swimmers'!$E$5:$E$22,MATCH(B2698,'01_Swimmers'!$A$5:$A$22,0)))/'00_Control'!$B$10,"")</f>
        <v/>
      </c>
      <c r="U2698" s="35">
        <f>IF(T2698="","",INT(T2698))</f>
        <v/>
      </c>
      <c r="V2698" s="33" t="inlineStr">
        <is>
          <t>NO</t>
        </is>
      </c>
      <c r="W2698" s="33" t="inlineStr">
        <is>
          <t>YES</t>
        </is>
      </c>
      <c r="X2698" s="33" t="inlineStr">
        <is>
          <t>NO</t>
        </is>
      </c>
      <c r="Y2698" s="33" t="n">
        <v>7</v>
      </c>
      <c r="Z2698" s="33" t="n">
        <v>4</v>
      </c>
      <c r="AA2698" s="33" t="inlineStr">
        <is>
          <t>1</t>
        </is>
      </c>
      <c r="AB2698" s="33" t="inlineStr">
        <is>
          <t>https://www.swimcloud.com/results/96334/event/32/?id=25508685#time25508685</t>
        </is>
      </c>
      <c r="AC2698" s="33" t="inlineStr">
        <is>
          <t>SwimCloud API v6 2026-10-08</t>
        </is>
      </c>
      <c r="AD2698" s="33" t="inlineStr">
        <is>
          <t>Thomas Heilman|2017-08-09|LCM|100|Free|63.19|Eastern Zone Age Group Championships|TIM|False</t>
        </is>
      </c>
      <c r="AE2698" s="53">
        <f>G2698+L2698/1000+ROW()/1000000000</f>
        <v/>
      </c>
      <c r="AF2698" s="35">
        <f>IF(C2698&lt;&gt;"Grayson Coulter","",COUNTIFS($C$5:$C$2991,"Grayson Coulter",$Q$5:$Q$2991,Q2698,$AE$5:$AE$2991,"&lt;="&amp;AE2698,$R$5:$R$2991,"&lt;"&amp;R2698))</f>
        <v/>
      </c>
      <c r="AG2698" s="35">
        <f>IF(OR(C2698&lt;&gt;"Grayson Coulter",G2698&lt;'00_Control'!$B$7),"",--(AF2698&lt;5))</f>
        <v/>
      </c>
      <c r="AH2698" s="35">
        <f>IF(OR(C2698&lt;&gt;"Grayson Coulter",G2698&lt;'00_Control'!$B$7),"",--(AF2698&lt;10))</f>
        <v/>
      </c>
      <c r="AI2698" s="35">
        <f>IF(AND(C2698="Grayson Coulter",G2698&gt;='00_Control'!$B$7),"YES","NO")</f>
        <v/>
      </c>
      <c r="AJ2698" s="33" t="inlineStr">
        <is>
          <t>OK</t>
        </is>
      </c>
    </row>
    <row r="2699">
      <c r="A2699" s="33" t="inlineStr">
        <is>
          <t>SM002695</t>
        </is>
      </c>
      <c r="B2699" s="33" t="inlineStr">
        <is>
          <t>SW005</t>
        </is>
      </c>
      <c r="C2699" s="33" t="inlineStr">
        <is>
          <t>Thomas Heilman</t>
        </is>
      </c>
      <c r="D2699" s="33" t="inlineStr">
        <is>
          <t>SwimCloud</t>
        </is>
      </c>
      <c r="E2699" s="33" t="inlineStr">
        <is>
          <t>1336401</t>
        </is>
      </c>
      <c r="F2699" s="33" t="inlineStr">
        <is>
          <t>25508717</t>
        </is>
      </c>
      <c r="G2699" s="51" t="n">
        <v>42957</v>
      </c>
      <c r="H2699" s="33" t="inlineStr">
        <is>
          <t>Eastern Zone Age Group Championships</t>
        </is>
      </c>
      <c r="I2699" s="33" t="inlineStr">
        <is>
          <t>96334</t>
        </is>
      </c>
      <c r="J2699" s="33" t="inlineStr"/>
      <c r="K2699" s="33" t="inlineStr">
        <is>
          <t>TIM</t>
        </is>
      </c>
      <c r="L2699" s="35">
        <f>IF(K2699="FIN",3,IF(OR(K2699="SEM",K2699="SEMI"),2,IF(OR(K2699="PRE",K2699="HEAT"),1,IF(V2699="YES",4,2))))</f>
        <v/>
      </c>
      <c r="M2699" s="33" t="inlineStr">
        <is>
          <t>LCM</t>
        </is>
      </c>
      <c r="N2699" s="33" t="n">
        <v>200</v>
      </c>
      <c r="O2699" s="33" t="inlineStr">
        <is>
          <t>Free</t>
        </is>
      </c>
      <c r="P2699" s="33" t="inlineStr">
        <is>
          <t>200 Free</t>
        </is>
      </c>
      <c r="Q2699" s="33" t="inlineStr">
        <is>
          <t>LCM_200_FREE</t>
        </is>
      </c>
      <c r="R2699" s="36" t="n">
        <v>140.56</v>
      </c>
      <c r="S2699" s="35">
        <f>IF(R2699="","",IF(R2699&gt;=60,INT(R2699/60)&amp;":"&amp;TEXT(MOD(R2699,60),"00.00"),TEXT(R2699,"0.00")))</f>
        <v/>
      </c>
      <c r="T2699" s="52">
        <f>IFERROR((G2699-INDEX('01_Swimmers'!$E$5:$E$22,MATCH(B2699,'01_Swimmers'!$A$5:$A$22,0)))/'00_Control'!$B$10,"")</f>
        <v/>
      </c>
      <c r="U2699" s="35">
        <f>IF(T2699="","",INT(T2699))</f>
        <v/>
      </c>
      <c r="V2699" s="33" t="inlineStr">
        <is>
          <t>NO</t>
        </is>
      </c>
      <c r="W2699" s="33" t="inlineStr">
        <is>
          <t>YES</t>
        </is>
      </c>
      <c r="X2699" s="33" t="inlineStr">
        <is>
          <t>NO</t>
        </is>
      </c>
      <c r="Y2699" s="33" t="n">
        <v>4</v>
      </c>
      <c r="Z2699" s="33" t="n">
        <v>6</v>
      </c>
      <c r="AA2699" s="33" t="inlineStr">
        <is>
          <t>2</t>
        </is>
      </c>
      <c r="AB2699" s="33" t="inlineStr">
        <is>
          <t>https://www.swimcloud.com/results/96334/event/68/?id=25508717#time25508717</t>
        </is>
      </c>
      <c r="AC2699" s="33" t="inlineStr">
        <is>
          <t>SwimCloud API v6 2026-10-08</t>
        </is>
      </c>
      <c r="AD2699" s="33" t="inlineStr">
        <is>
          <t>Thomas Heilman|2017-08-10|LCM|200|Free|140.56|Eastern Zone Age Group Championships|TIM|False</t>
        </is>
      </c>
      <c r="AE2699" s="53">
        <f>G2699+L2699/1000+ROW()/1000000000</f>
        <v/>
      </c>
      <c r="AF2699" s="35">
        <f>IF(C2699&lt;&gt;"Grayson Coulter","",COUNTIFS($C$5:$C$2991,"Grayson Coulter",$Q$5:$Q$2991,Q2699,$AE$5:$AE$2991,"&lt;="&amp;AE2699,$R$5:$R$2991,"&lt;"&amp;R2699))</f>
        <v/>
      </c>
      <c r="AG2699" s="35">
        <f>IF(OR(C2699&lt;&gt;"Grayson Coulter",G2699&lt;'00_Control'!$B$7),"",--(AF2699&lt;5))</f>
        <v/>
      </c>
      <c r="AH2699" s="35">
        <f>IF(OR(C2699&lt;&gt;"Grayson Coulter",G2699&lt;'00_Control'!$B$7),"",--(AF2699&lt;10))</f>
        <v/>
      </c>
      <c r="AI2699" s="35">
        <f>IF(AND(C2699="Grayson Coulter",G2699&gt;='00_Control'!$B$7),"YES","NO")</f>
        <v/>
      </c>
      <c r="AJ2699" s="33" t="inlineStr">
        <is>
          <t>OK</t>
        </is>
      </c>
    </row>
    <row r="2700">
      <c r="A2700" s="33" t="inlineStr">
        <is>
          <t>SM002696</t>
        </is>
      </c>
      <c r="B2700" s="33" t="inlineStr">
        <is>
          <t>SW005</t>
        </is>
      </c>
      <c r="C2700" s="33" t="inlineStr">
        <is>
          <t>Thomas Heilman</t>
        </is>
      </c>
      <c r="D2700" s="33" t="inlineStr">
        <is>
          <t>SwimCloud</t>
        </is>
      </c>
      <c r="E2700" s="33" t="inlineStr">
        <is>
          <t>1336401</t>
        </is>
      </c>
      <c r="F2700" s="33" t="inlineStr">
        <is>
          <t>67907657</t>
        </is>
      </c>
      <c r="G2700" s="51" t="n">
        <v>43273</v>
      </c>
      <c r="H2700" s="33" t="inlineStr">
        <is>
          <t>OH CM TYR Invitational</t>
        </is>
      </c>
      <c r="I2700" s="33" t="inlineStr">
        <is>
          <t>118466</t>
        </is>
      </c>
      <c r="J2700" s="33" t="inlineStr"/>
      <c r="K2700" s="33" t="inlineStr">
        <is>
          <t>TIM</t>
        </is>
      </c>
      <c r="L2700" s="35">
        <f>IF(K2700="FIN",3,IF(OR(K2700="SEM",K2700="SEMI"),2,IF(OR(K2700="PRE",K2700="HEAT"),1,IF(V2700="YES",4,2))))</f>
        <v/>
      </c>
      <c r="M2700" s="33" t="inlineStr">
        <is>
          <t>LCM</t>
        </is>
      </c>
      <c r="N2700" s="33" t="n">
        <v>400</v>
      </c>
      <c r="O2700" s="33" t="inlineStr">
        <is>
          <t>Free</t>
        </is>
      </c>
      <c r="P2700" s="33" t="inlineStr">
        <is>
          <t>400 Free</t>
        </is>
      </c>
      <c r="Q2700" s="33" t="inlineStr">
        <is>
          <t>LCM_400_FREE</t>
        </is>
      </c>
      <c r="R2700" s="36" t="n">
        <v>288.99</v>
      </c>
      <c r="S2700" s="35">
        <f>IF(R2700="","",IF(R2700&gt;=60,INT(R2700/60)&amp;":"&amp;TEXT(MOD(R2700,60),"00.00"),TEXT(R2700,"0.00")))</f>
        <v/>
      </c>
      <c r="T2700" s="52">
        <f>IFERROR((G2700-INDEX('01_Swimmers'!$E$5:$E$22,MATCH(B2700,'01_Swimmers'!$A$5:$A$22,0)))/'00_Control'!$B$10,"")</f>
        <v/>
      </c>
      <c r="U2700" s="35">
        <f>IF(T2700="","",INT(T2700))</f>
        <v/>
      </c>
      <c r="V2700" s="33" t="inlineStr">
        <is>
          <t>NO</t>
        </is>
      </c>
      <c r="W2700" s="33" t="inlineStr">
        <is>
          <t>YES</t>
        </is>
      </c>
      <c r="X2700" s="33" t="inlineStr">
        <is>
          <t>NO</t>
        </is>
      </c>
      <c r="Y2700" s="33" t="n">
        <v>1</v>
      </c>
      <c r="Z2700" s="33" t="n">
        <v>6</v>
      </c>
      <c r="AA2700" s="33" t="inlineStr">
        <is>
          <t>3</t>
        </is>
      </c>
      <c r="AB2700" s="33" t="inlineStr">
        <is>
          <t>https://www.swimcloud.com/results/118466/event/164/?id=67907657#time67907657</t>
        </is>
      </c>
      <c r="AC2700" s="33" t="inlineStr">
        <is>
          <t>SwimCloud API v6 2026-10-08</t>
        </is>
      </c>
      <c r="AD2700" s="33" t="inlineStr">
        <is>
          <t>Thomas Heilman|2018-06-22|LCM|400|Free|288.99|OH CM TYR Invitational|TIM|False</t>
        </is>
      </c>
      <c r="AE2700" s="53">
        <f>G2700+L2700/1000+ROW()/1000000000</f>
        <v/>
      </c>
      <c r="AF2700" s="35">
        <f>IF(C2700&lt;&gt;"Grayson Coulter","",COUNTIFS($C$5:$C$2991,"Grayson Coulter",$Q$5:$Q$2991,Q2700,$AE$5:$AE$2991,"&lt;="&amp;AE2700,$R$5:$R$2991,"&lt;"&amp;R2700))</f>
        <v/>
      </c>
      <c r="AG2700" s="35">
        <f>IF(OR(C2700&lt;&gt;"Grayson Coulter",G2700&lt;'00_Control'!$B$7),"",--(AF2700&lt;5))</f>
        <v/>
      </c>
      <c r="AH2700" s="35">
        <f>IF(OR(C2700&lt;&gt;"Grayson Coulter",G2700&lt;'00_Control'!$B$7),"",--(AF2700&lt;10))</f>
        <v/>
      </c>
      <c r="AI2700" s="35">
        <f>IF(AND(C2700="Grayson Coulter",G2700&gt;='00_Control'!$B$7),"YES","NO")</f>
        <v/>
      </c>
      <c r="AJ2700" s="33" t="inlineStr">
        <is>
          <t>OK</t>
        </is>
      </c>
    </row>
    <row r="2701">
      <c r="A2701" s="33" t="inlineStr">
        <is>
          <t>SM002697</t>
        </is>
      </c>
      <c r="B2701" s="33" t="inlineStr">
        <is>
          <t>SW005</t>
        </is>
      </c>
      <c r="C2701" s="33" t="inlineStr">
        <is>
          <t>Thomas Heilman</t>
        </is>
      </c>
      <c r="D2701" s="33" t="inlineStr">
        <is>
          <t>SwimCloud</t>
        </is>
      </c>
      <c r="E2701" s="33" t="inlineStr">
        <is>
          <t>1336401</t>
        </is>
      </c>
      <c r="F2701" s="33" t="inlineStr">
        <is>
          <t>67909635</t>
        </is>
      </c>
      <c r="G2701" s="51" t="n">
        <v>43274</v>
      </c>
      <c r="H2701" s="33" t="inlineStr">
        <is>
          <t>OH CM TYR Invitational</t>
        </is>
      </c>
      <c r="I2701" s="33" t="inlineStr">
        <is>
          <t>118466</t>
        </is>
      </c>
      <c r="J2701" s="33" t="inlineStr"/>
      <c r="K2701" s="33" t="inlineStr">
        <is>
          <t>PRE</t>
        </is>
      </c>
      <c r="L2701" s="35">
        <f>IF(K2701="FIN",3,IF(OR(K2701="SEM",K2701="SEMI"),2,IF(OR(K2701="PRE",K2701="HEAT"),1,IF(V2701="YES",4,2))))</f>
        <v/>
      </c>
      <c r="M2701" s="33" t="inlineStr">
        <is>
          <t>LCM</t>
        </is>
      </c>
      <c r="N2701" s="33" t="n">
        <v>100</v>
      </c>
      <c r="O2701" s="33" t="inlineStr">
        <is>
          <t>Fly</t>
        </is>
      </c>
      <c r="P2701" s="33" t="inlineStr">
        <is>
          <t>100 Fly</t>
        </is>
      </c>
      <c r="Q2701" s="33" t="inlineStr">
        <is>
          <t>LCM_100_FLY</t>
        </is>
      </c>
      <c r="R2701" s="36" t="n">
        <v>65.78</v>
      </c>
      <c r="S2701" s="35">
        <f>IF(R2701="","",IF(R2701&gt;=60,INT(R2701/60)&amp;":"&amp;TEXT(MOD(R2701,60),"00.00"),TEXT(R2701,"0.00")))</f>
        <v/>
      </c>
      <c r="T2701" s="52">
        <f>IFERROR((G2701-INDEX('01_Swimmers'!$E$5:$E$22,MATCH(B2701,'01_Swimmers'!$A$5:$A$22,0)))/'00_Control'!$B$10,"")</f>
        <v/>
      </c>
      <c r="U2701" s="35">
        <f>IF(T2701="","",INT(T2701))</f>
        <v/>
      </c>
      <c r="V2701" s="33" t="inlineStr">
        <is>
          <t>NO</t>
        </is>
      </c>
      <c r="W2701" s="33" t="inlineStr">
        <is>
          <t>YES</t>
        </is>
      </c>
      <c r="X2701" s="33" t="inlineStr">
        <is>
          <t>NO</t>
        </is>
      </c>
      <c r="Y2701" s="33" t="n">
        <v>3</v>
      </c>
      <c r="Z2701" s="33" t="n">
        <v>5</v>
      </c>
      <c r="AA2701" s="33" t="inlineStr">
        <is>
          <t>1</t>
        </is>
      </c>
      <c r="AB2701" s="33" t="inlineStr">
        <is>
          <t>https://www.swimcloud.com/results/118466/event/254/?id=67909635#time67909635</t>
        </is>
      </c>
      <c r="AC2701" s="33" t="inlineStr">
        <is>
          <t>SwimCloud API v6 2026-10-08</t>
        </is>
      </c>
      <c r="AD2701" s="33" t="inlineStr">
        <is>
          <t>Thomas Heilman|2018-06-23|LCM|100|Fly|65.78|OH CM TYR Invitational|PRE|False</t>
        </is>
      </c>
      <c r="AE2701" s="53">
        <f>G2701+L2701/1000+ROW()/1000000000</f>
        <v/>
      </c>
      <c r="AF2701" s="35">
        <f>IF(C2701&lt;&gt;"Grayson Coulter","",COUNTIFS($C$5:$C$2991,"Grayson Coulter",$Q$5:$Q$2991,Q2701,$AE$5:$AE$2991,"&lt;="&amp;AE2701,$R$5:$R$2991,"&lt;"&amp;R2701))</f>
        <v/>
      </c>
      <c r="AG2701" s="35">
        <f>IF(OR(C2701&lt;&gt;"Grayson Coulter",G2701&lt;'00_Control'!$B$7),"",--(AF2701&lt;5))</f>
        <v/>
      </c>
      <c r="AH2701" s="35">
        <f>IF(OR(C2701&lt;&gt;"Grayson Coulter",G2701&lt;'00_Control'!$B$7),"",--(AF2701&lt;10))</f>
        <v/>
      </c>
      <c r="AI2701" s="35">
        <f>IF(AND(C2701="Grayson Coulter",G2701&gt;='00_Control'!$B$7),"YES","NO")</f>
        <v/>
      </c>
      <c r="AJ2701" s="33" t="inlineStr">
        <is>
          <t>OK</t>
        </is>
      </c>
    </row>
    <row r="2702">
      <c r="A2702" s="33" t="inlineStr">
        <is>
          <t>SM002698</t>
        </is>
      </c>
      <c r="B2702" s="33" t="inlineStr">
        <is>
          <t>SW005</t>
        </is>
      </c>
      <c r="C2702" s="33" t="inlineStr">
        <is>
          <t>Thomas Heilman</t>
        </is>
      </c>
      <c r="D2702" s="33" t="inlineStr">
        <is>
          <t>SwimCloud</t>
        </is>
      </c>
      <c r="E2702" s="33" t="inlineStr">
        <is>
          <t>1336401</t>
        </is>
      </c>
      <c r="F2702" s="33" t="inlineStr">
        <is>
          <t>67909636</t>
        </is>
      </c>
      <c r="G2702" s="51" t="n">
        <v>43274</v>
      </c>
      <c r="H2702" s="33" t="inlineStr">
        <is>
          <t>OH CM TYR Invitational</t>
        </is>
      </c>
      <c r="I2702" s="33" t="inlineStr">
        <is>
          <t>118466</t>
        </is>
      </c>
      <c r="J2702" s="33" t="inlineStr"/>
      <c r="K2702" s="33" t="inlineStr">
        <is>
          <t>FIN</t>
        </is>
      </c>
      <c r="L2702" s="35">
        <f>IF(K2702="FIN",3,IF(OR(K2702="SEM",K2702="SEMI"),2,IF(OR(K2702="PRE",K2702="HEAT"),1,IF(V2702="YES",4,2))))</f>
        <v/>
      </c>
      <c r="M2702" s="33" t="inlineStr">
        <is>
          <t>LCM</t>
        </is>
      </c>
      <c r="N2702" s="33" t="n">
        <v>100</v>
      </c>
      <c r="O2702" s="33" t="inlineStr">
        <is>
          <t>Fly</t>
        </is>
      </c>
      <c r="P2702" s="33" t="inlineStr">
        <is>
          <t>100 Fly</t>
        </is>
      </c>
      <c r="Q2702" s="33" t="inlineStr">
        <is>
          <t>LCM_100_FLY</t>
        </is>
      </c>
      <c r="R2702" s="36" t="n">
        <v>64.29000000000001</v>
      </c>
      <c r="S2702" s="35">
        <f>IF(R2702="","",IF(R2702&gt;=60,INT(R2702/60)&amp;":"&amp;TEXT(MOD(R2702,60),"00.00"),TEXT(R2702,"0.00")))</f>
        <v/>
      </c>
      <c r="T2702" s="52">
        <f>IFERROR((G2702-INDEX('01_Swimmers'!$E$5:$E$22,MATCH(B2702,'01_Swimmers'!$A$5:$A$22,0)))/'00_Control'!$B$10,"")</f>
        <v/>
      </c>
      <c r="U2702" s="35">
        <f>IF(T2702="","",INT(T2702))</f>
        <v/>
      </c>
      <c r="V2702" s="33" t="inlineStr">
        <is>
          <t>NO</t>
        </is>
      </c>
      <c r="W2702" s="33" t="inlineStr">
        <is>
          <t>YES</t>
        </is>
      </c>
      <c r="X2702" s="33" t="inlineStr">
        <is>
          <t>NO</t>
        </is>
      </c>
      <c r="Y2702" s="33" t="n">
        <v>2</v>
      </c>
      <c r="Z2702" s="33" t="n">
        <v>4</v>
      </c>
      <c r="AA2702" s="33" t="inlineStr">
        <is>
          <t>1</t>
        </is>
      </c>
      <c r="AB2702" s="33" t="inlineStr">
        <is>
          <t>https://www.swimcloud.com/results/118466/event/254/?id=67909636#time67909636</t>
        </is>
      </c>
      <c r="AC2702" s="33" t="inlineStr">
        <is>
          <t>SwimCloud API v6 2026-10-08</t>
        </is>
      </c>
      <c r="AD2702" s="33" t="inlineStr">
        <is>
          <t>Thomas Heilman|2018-06-23|LCM|100|Fly|64.29|OH CM TYR Invitational|FIN|False</t>
        </is>
      </c>
      <c r="AE2702" s="53">
        <f>G2702+L2702/1000+ROW()/1000000000</f>
        <v/>
      </c>
      <c r="AF2702" s="35">
        <f>IF(C2702&lt;&gt;"Grayson Coulter","",COUNTIFS($C$5:$C$2991,"Grayson Coulter",$Q$5:$Q$2991,Q2702,$AE$5:$AE$2991,"&lt;="&amp;AE2702,$R$5:$R$2991,"&lt;"&amp;R2702))</f>
        <v/>
      </c>
      <c r="AG2702" s="35">
        <f>IF(OR(C2702&lt;&gt;"Grayson Coulter",G2702&lt;'00_Control'!$B$7),"",--(AF2702&lt;5))</f>
        <v/>
      </c>
      <c r="AH2702" s="35">
        <f>IF(OR(C2702&lt;&gt;"Grayson Coulter",G2702&lt;'00_Control'!$B$7),"",--(AF2702&lt;10))</f>
        <v/>
      </c>
      <c r="AI2702" s="35">
        <f>IF(AND(C2702="Grayson Coulter",G2702&gt;='00_Control'!$B$7),"YES","NO")</f>
        <v/>
      </c>
      <c r="AJ2702" s="33" t="inlineStr">
        <is>
          <t>OK</t>
        </is>
      </c>
    </row>
    <row r="2703">
      <c r="A2703" s="33" t="inlineStr">
        <is>
          <t>SM002699</t>
        </is>
      </c>
      <c r="B2703" s="33" t="inlineStr">
        <is>
          <t>SW005</t>
        </is>
      </c>
      <c r="C2703" s="33" t="inlineStr">
        <is>
          <t>Thomas Heilman</t>
        </is>
      </c>
      <c r="D2703" s="33" t="inlineStr">
        <is>
          <t>SwimCloud</t>
        </is>
      </c>
      <c r="E2703" s="33" t="inlineStr">
        <is>
          <t>1336401</t>
        </is>
      </c>
      <c r="F2703" s="33" t="inlineStr">
        <is>
          <t>67907761</t>
        </is>
      </c>
      <c r="G2703" s="51" t="n">
        <v>43274</v>
      </c>
      <c r="H2703" s="33" t="inlineStr">
        <is>
          <t>OH CM TYR Invitational</t>
        </is>
      </c>
      <c r="I2703" s="33" t="inlineStr">
        <is>
          <t>118466</t>
        </is>
      </c>
      <c r="J2703" s="33" t="inlineStr"/>
      <c r="K2703" s="33" t="inlineStr">
        <is>
          <t>PRE</t>
        </is>
      </c>
      <c r="L2703" s="35">
        <f>IF(K2703="FIN",3,IF(OR(K2703="SEM",K2703="SEMI"),2,IF(OR(K2703="PRE",K2703="HEAT"),1,IF(V2703="YES",4,2))))</f>
        <v/>
      </c>
      <c r="M2703" s="33" t="inlineStr">
        <is>
          <t>LCM</t>
        </is>
      </c>
      <c r="N2703" s="33" t="n">
        <v>200</v>
      </c>
      <c r="O2703" s="33" t="inlineStr">
        <is>
          <t>Free</t>
        </is>
      </c>
      <c r="P2703" s="33" t="inlineStr">
        <is>
          <t>200 Free</t>
        </is>
      </c>
      <c r="Q2703" s="33" t="inlineStr">
        <is>
          <t>LCM_200_FREE</t>
        </is>
      </c>
      <c r="R2703" s="36" t="n">
        <v>134.37</v>
      </c>
      <c r="S2703" s="35">
        <f>IF(R2703="","",IF(R2703&gt;=60,INT(R2703/60)&amp;":"&amp;TEXT(MOD(R2703,60),"00.00"),TEXT(R2703,"0.00")))</f>
        <v/>
      </c>
      <c r="T2703" s="52">
        <f>IFERROR((G2703-INDEX('01_Swimmers'!$E$5:$E$22,MATCH(B2703,'01_Swimmers'!$A$5:$A$22,0)))/'00_Control'!$B$10,"")</f>
        <v/>
      </c>
      <c r="U2703" s="35">
        <f>IF(T2703="","",INT(T2703))</f>
        <v/>
      </c>
      <c r="V2703" s="33" t="inlineStr">
        <is>
          <t>NO</t>
        </is>
      </c>
      <c r="W2703" s="33" t="inlineStr">
        <is>
          <t>YES</t>
        </is>
      </c>
      <c r="X2703" s="33" t="inlineStr">
        <is>
          <t>NO</t>
        </is>
      </c>
      <c r="Y2703" s="33" t="n">
        <v>5</v>
      </c>
      <c r="Z2703" s="33" t="n">
        <v>5</v>
      </c>
      <c r="AA2703" s="33" t="inlineStr">
        <is>
          <t>1</t>
        </is>
      </c>
      <c r="AB2703" s="33" t="inlineStr">
        <is>
          <t>https://www.swimcloud.com/results/118466/event/266/?id=67907761#time67907761</t>
        </is>
      </c>
      <c r="AC2703" s="33" t="inlineStr">
        <is>
          <t>SwimCloud API v6 2026-10-08</t>
        </is>
      </c>
      <c r="AD2703" s="33" t="inlineStr">
        <is>
          <t>Thomas Heilman|2018-06-23|LCM|200|Free|134.37|OH CM TYR Invitational|PRE|False</t>
        </is>
      </c>
      <c r="AE2703" s="53">
        <f>G2703+L2703/1000+ROW()/1000000000</f>
        <v/>
      </c>
      <c r="AF2703" s="35">
        <f>IF(C2703&lt;&gt;"Grayson Coulter","",COUNTIFS($C$5:$C$2991,"Grayson Coulter",$Q$5:$Q$2991,Q2703,$AE$5:$AE$2991,"&lt;="&amp;AE2703,$R$5:$R$2991,"&lt;"&amp;R2703))</f>
        <v/>
      </c>
      <c r="AG2703" s="35">
        <f>IF(OR(C2703&lt;&gt;"Grayson Coulter",G2703&lt;'00_Control'!$B$7),"",--(AF2703&lt;5))</f>
        <v/>
      </c>
      <c r="AH2703" s="35">
        <f>IF(OR(C2703&lt;&gt;"Grayson Coulter",G2703&lt;'00_Control'!$B$7),"",--(AF2703&lt;10))</f>
        <v/>
      </c>
      <c r="AI2703" s="35">
        <f>IF(AND(C2703="Grayson Coulter",G2703&gt;='00_Control'!$B$7),"YES","NO")</f>
        <v/>
      </c>
      <c r="AJ2703" s="33" t="inlineStr">
        <is>
          <t>OK</t>
        </is>
      </c>
    </row>
    <row r="2704">
      <c r="A2704" s="33" t="inlineStr">
        <is>
          <t>SM002700</t>
        </is>
      </c>
      <c r="B2704" s="33" t="inlineStr">
        <is>
          <t>SW005</t>
        </is>
      </c>
      <c r="C2704" s="33" t="inlineStr">
        <is>
          <t>Thomas Heilman</t>
        </is>
      </c>
      <c r="D2704" s="33" t="inlineStr">
        <is>
          <t>SwimCloud</t>
        </is>
      </c>
      <c r="E2704" s="33" t="inlineStr">
        <is>
          <t>1336401</t>
        </is>
      </c>
      <c r="F2704" s="33" t="inlineStr">
        <is>
          <t>67907762</t>
        </is>
      </c>
      <c r="G2704" s="51" t="n">
        <v>43274</v>
      </c>
      <c r="H2704" s="33" t="inlineStr">
        <is>
          <t>OH CM TYR Invitational</t>
        </is>
      </c>
      <c r="I2704" s="33" t="inlineStr">
        <is>
          <t>118466</t>
        </is>
      </c>
      <c r="J2704" s="33" t="inlineStr"/>
      <c r="K2704" s="33" t="inlineStr">
        <is>
          <t>FIN</t>
        </is>
      </c>
      <c r="L2704" s="35">
        <f>IF(K2704="FIN",3,IF(OR(K2704="SEM",K2704="SEMI"),2,IF(OR(K2704="PRE",K2704="HEAT"),1,IF(V2704="YES",4,2))))</f>
        <v/>
      </c>
      <c r="M2704" s="33" t="inlineStr">
        <is>
          <t>LCM</t>
        </is>
      </c>
      <c r="N2704" s="33" t="n">
        <v>200</v>
      </c>
      <c r="O2704" s="33" t="inlineStr">
        <is>
          <t>Free</t>
        </is>
      </c>
      <c r="P2704" s="33" t="inlineStr">
        <is>
          <t>200 Free</t>
        </is>
      </c>
      <c r="Q2704" s="33" t="inlineStr">
        <is>
          <t>LCM_200_FREE</t>
        </is>
      </c>
      <c r="R2704" s="36" t="n">
        <v>129.68</v>
      </c>
      <c r="S2704" s="35">
        <f>IF(R2704="","",IF(R2704&gt;=60,INT(R2704/60)&amp;":"&amp;TEXT(MOD(R2704,60),"00.00"),TEXT(R2704,"0.00")))</f>
        <v/>
      </c>
      <c r="T2704" s="52">
        <f>IFERROR((G2704-INDEX('01_Swimmers'!$E$5:$E$22,MATCH(B2704,'01_Swimmers'!$A$5:$A$22,0)))/'00_Control'!$B$10,"")</f>
        <v/>
      </c>
      <c r="U2704" s="35">
        <f>IF(T2704="","",INT(T2704))</f>
        <v/>
      </c>
      <c r="V2704" s="33" t="inlineStr">
        <is>
          <t>NO</t>
        </is>
      </c>
      <c r="W2704" s="33" t="inlineStr">
        <is>
          <t>YES</t>
        </is>
      </c>
      <c r="X2704" s="33" t="inlineStr">
        <is>
          <t>NO</t>
        </is>
      </c>
      <c r="Y2704" s="33" t="n">
        <v>2</v>
      </c>
      <c r="Z2704" s="33" t="n">
        <v>4</v>
      </c>
      <c r="AA2704" s="33" t="inlineStr">
        <is>
          <t>1</t>
        </is>
      </c>
      <c r="AB2704" s="33" t="inlineStr">
        <is>
          <t>https://www.swimcloud.com/results/118466/event/266/?id=67907762#time67907762</t>
        </is>
      </c>
      <c r="AC2704" s="33" t="inlineStr">
        <is>
          <t>SwimCloud API v6 2026-10-08</t>
        </is>
      </c>
      <c r="AD2704" s="33" t="inlineStr">
        <is>
          <t>Thomas Heilman|2018-06-23|LCM|200|Free|129.68|OH CM TYR Invitational|FIN|False</t>
        </is>
      </c>
      <c r="AE2704" s="53">
        <f>G2704+L2704/1000+ROW()/1000000000</f>
        <v/>
      </c>
      <c r="AF2704" s="35">
        <f>IF(C2704&lt;&gt;"Grayson Coulter","",COUNTIFS($C$5:$C$2991,"Grayson Coulter",$Q$5:$Q$2991,Q2704,$AE$5:$AE$2991,"&lt;="&amp;AE2704,$R$5:$R$2991,"&lt;"&amp;R2704))</f>
        <v/>
      </c>
      <c r="AG2704" s="35">
        <f>IF(OR(C2704&lt;&gt;"Grayson Coulter",G2704&lt;'00_Control'!$B$7),"",--(AF2704&lt;5))</f>
        <v/>
      </c>
      <c r="AH2704" s="35">
        <f>IF(OR(C2704&lt;&gt;"Grayson Coulter",G2704&lt;'00_Control'!$B$7),"",--(AF2704&lt;10))</f>
        <v/>
      </c>
      <c r="AI2704" s="35">
        <f>IF(AND(C2704="Grayson Coulter",G2704&gt;='00_Control'!$B$7),"YES","NO")</f>
        <v/>
      </c>
      <c r="AJ2704" s="33" t="inlineStr">
        <is>
          <t>OK</t>
        </is>
      </c>
    </row>
    <row r="2705">
      <c r="A2705" s="33" t="inlineStr">
        <is>
          <t>SM002701</t>
        </is>
      </c>
      <c r="B2705" s="33" t="inlineStr">
        <is>
          <t>SW005</t>
        </is>
      </c>
      <c r="C2705" s="33" t="inlineStr">
        <is>
          <t>Thomas Heilman</t>
        </is>
      </c>
      <c r="D2705" s="33" t="inlineStr">
        <is>
          <t>SwimCloud</t>
        </is>
      </c>
      <c r="E2705" s="33" t="inlineStr">
        <is>
          <t>1336401</t>
        </is>
      </c>
      <c r="F2705" s="33" t="inlineStr">
        <is>
          <t>67908023</t>
        </is>
      </c>
      <c r="G2705" s="51" t="n">
        <v>43275</v>
      </c>
      <c r="H2705" s="33" t="inlineStr">
        <is>
          <t>OH CM TYR Invitational</t>
        </is>
      </c>
      <c r="I2705" s="33" t="inlineStr">
        <is>
          <t>118466</t>
        </is>
      </c>
      <c r="J2705" s="33" t="inlineStr"/>
      <c r="K2705" s="33" t="inlineStr">
        <is>
          <t>PRE</t>
        </is>
      </c>
      <c r="L2705" s="35">
        <f>IF(K2705="FIN",3,IF(OR(K2705="SEM",K2705="SEMI"),2,IF(OR(K2705="PRE",K2705="HEAT"),1,IF(V2705="YES",4,2))))</f>
        <v/>
      </c>
      <c r="M2705" s="33" t="inlineStr">
        <is>
          <t>LCM</t>
        </is>
      </c>
      <c r="N2705" s="33" t="n">
        <v>100</v>
      </c>
      <c r="O2705" s="33" t="inlineStr">
        <is>
          <t>Free</t>
        </is>
      </c>
      <c r="P2705" s="33" t="inlineStr">
        <is>
          <t>100 Free</t>
        </is>
      </c>
      <c r="Q2705" s="33" t="inlineStr">
        <is>
          <t>LCM_100_FREE</t>
        </is>
      </c>
      <c r="R2705" s="36" t="n">
        <v>61.01</v>
      </c>
      <c r="S2705" s="35">
        <f>IF(R2705="","",IF(R2705&gt;=60,INT(R2705/60)&amp;":"&amp;TEXT(MOD(R2705,60),"00.00"),TEXT(R2705,"0.00")))</f>
        <v/>
      </c>
      <c r="T2705" s="52">
        <f>IFERROR((G2705-INDEX('01_Swimmers'!$E$5:$E$22,MATCH(B2705,'01_Swimmers'!$A$5:$A$22,0)))/'00_Control'!$B$10,"")</f>
        <v/>
      </c>
      <c r="U2705" s="35">
        <f>IF(T2705="","",INT(T2705))</f>
        <v/>
      </c>
      <c r="V2705" s="33" t="inlineStr">
        <is>
          <t>NO</t>
        </is>
      </c>
      <c r="W2705" s="33" t="inlineStr">
        <is>
          <t>YES</t>
        </is>
      </c>
      <c r="X2705" s="33" t="inlineStr">
        <is>
          <t>NO</t>
        </is>
      </c>
      <c r="Y2705" s="33" t="n">
        <v>6</v>
      </c>
      <c r="Z2705" s="33" t="n">
        <v>4</v>
      </c>
      <c r="AA2705" s="33" t="inlineStr">
        <is>
          <t>1</t>
        </is>
      </c>
      <c r="AB2705" s="33" t="inlineStr">
        <is>
          <t>https://www.swimcloud.com/results/118466/event/362/?id=67908023#time67908023</t>
        </is>
      </c>
      <c r="AC2705" s="33" t="inlineStr">
        <is>
          <t>SwimCloud API v6 2026-10-08</t>
        </is>
      </c>
      <c r="AD2705" s="33" t="inlineStr">
        <is>
          <t>Thomas Heilman|2018-06-24|LCM|100|Free|61.01|OH CM TYR Invitational|PRE|False</t>
        </is>
      </c>
      <c r="AE2705" s="53">
        <f>G2705+L2705/1000+ROW()/1000000000</f>
        <v/>
      </c>
      <c r="AF2705" s="35">
        <f>IF(C2705&lt;&gt;"Grayson Coulter","",COUNTIFS($C$5:$C$2991,"Grayson Coulter",$Q$5:$Q$2991,Q2705,$AE$5:$AE$2991,"&lt;="&amp;AE2705,$R$5:$R$2991,"&lt;"&amp;R2705))</f>
        <v/>
      </c>
      <c r="AG2705" s="35">
        <f>IF(OR(C2705&lt;&gt;"Grayson Coulter",G2705&lt;'00_Control'!$B$7),"",--(AF2705&lt;5))</f>
        <v/>
      </c>
      <c r="AH2705" s="35">
        <f>IF(OR(C2705&lt;&gt;"Grayson Coulter",G2705&lt;'00_Control'!$B$7),"",--(AF2705&lt;10))</f>
        <v/>
      </c>
      <c r="AI2705" s="35">
        <f>IF(AND(C2705="Grayson Coulter",G2705&gt;='00_Control'!$B$7),"YES","NO")</f>
        <v/>
      </c>
      <c r="AJ2705" s="33" t="inlineStr">
        <is>
          <t>OK</t>
        </is>
      </c>
    </row>
    <row r="2706">
      <c r="A2706" s="33" t="inlineStr">
        <is>
          <t>SM002702</t>
        </is>
      </c>
      <c r="B2706" s="33" t="inlineStr">
        <is>
          <t>SW005</t>
        </is>
      </c>
      <c r="C2706" s="33" t="inlineStr">
        <is>
          <t>Thomas Heilman</t>
        </is>
      </c>
      <c r="D2706" s="33" t="inlineStr">
        <is>
          <t>SwimCloud</t>
        </is>
      </c>
      <c r="E2706" s="33" t="inlineStr">
        <is>
          <t>1336401</t>
        </is>
      </c>
      <c r="F2706" s="33" t="inlineStr">
        <is>
          <t>67908024</t>
        </is>
      </c>
      <c r="G2706" s="51" t="n">
        <v>43275</v>
      </c>
      <c r="H2706" s="33" t="inlineStr">
        <is>
          <t>OH CM TYR Invitational</t>
        </is>
      </c>
      <c r="I2706" s="33" t="inlineStr">
        <is>
          <t>118466</t>
        </is>
      </c>
      <c r="J2706" s="33" t="inlineStr"/>
      <c r="K2706" s="33" t="inlineStr">
        <is>
          <t>FIN</t>
        </is>
      </c>
      <c r="L2706" s="35">
        <f>IF(K2706="FIN",3,IF(OR(K2706="SEM",K2706="SEMI"),2,IF(OR(K2706="PRE",K2706="HEAT"),1,IF(V2706="YES",4,2))))</f>
        <v/>
      </c>
      <c r="M2706" s="33" t="inlineStr">
        <is>
          <t>LCM</t>
        </is>
      </c>
      <c r="N2706" s="33" t="n">
        <v>100</v>
      </c>
      <c r="O2706" s="33" t="inlineStr">
        <is>
          <t>Free</t>
        </is>
      </c>
      <c r="P2706" s="33" t="inlineStr">
        <is>
          <t>100 Free</t>
        </is>
      </c>
      <c r="Q2706" s="33" t="inlineStr">
        <is>
          <t>LCM_100_FREE</t>
        </is>
      </c>
      <c r="R2706" s="36" t="n">
        <v>59.61</v>
      </c>
      <c r="S2706" s="35">
        <f>IF(R2706="","",IF(R2706&gt;=60,INT(R2706/60)&amp;":"&amp;TEXT(MOD(R2706,60),"00.00"),TEXT(R2706,"0.00")))</f>
        <v/>
      </c>
      <c r="T2706" s="52">
        <f>IFERROR((G2706-INDEX('01_Swimmers'!$E$5:$E$22,MATCH(B2706,'01_Swimmers'!$A$5:$A$22,0)))/'00_Control'!$B$10,"")</f>
        <v/>
      </c>
      <c r="U2706" s="35">
        <f>IF(T2706="","",INT(T2706))</f>
        <v/>
      </c>
      <c r="V2706" s="33" t="inlineStr">
        <is>
          <t>NO</t>
        </is>
      </c>
      <c r="W2706" s="33" t="inlineStr">
        <is>
          <t>YES</t>
        </is>
      </c>
      <c r="X2706" s="33" t="inlineStr">
        <is>
          <t>NO</t>
        </is>
      </c>
      <c r="Y2706" s="33" t="n">
        <v>2</v>
      </c>
      <c r="Z2706" s="33" t="n">
        <v>4</v>
      </c>
      <c r="AA2706" s="33" t="inlineStr">
        <is>
          <t>1</t>
        </is>
      </c>
      <c r="AB2706" s="33" t="inlineStr">
        <is>
          <t>https://www.swimcloud.com/results/118466/event/362/?id=67908024#time67908024</t>
        </is>
      </c>
      <c r="AC2706" s="33" t="inlineStr">
        <is>
          <t>SwimCloud API v6 2026-10-08</t>
        </is>
      </c>
      <c r="AD2706" s="33" t="inlineStr">
        <is>
          <t>Thomas Heilman|2018-06-24|LCM|100|Free|59.61|OH CM TYR Invitational|FIN|False</t>
        </is>
      </c>
      <c r="AE2706" s="53">
        <f>G2706+L2706/1000+ROW()/1000000000</f>
        <v/>
      </c>
      <c r="AF2706" s="35">
        <f>IF(C2706&lt;&gt;"Grayson Coulter","",COUNTIFS($C$5:$C$2991,"Grayson Coulter",$Q$5:$Q$2991,Q2706,$AE$5:$AE$2991,"&lt;="&amp;AE2706,$R$5:$R$2991,"&lt;"&amp;R2706))</f>
        <v/>
      </c>
      <c r="AG2706" s="35">
        <f>IF(OR(C2706&lt;&gt;"Grayson Coulter",G2706&lt;'00_Control'!$B$7),"",--(AF2706&lt;5))</f>
        <v/>
      </c>
      <c r="AH2706" s="35">
        <f>IF(OR(C2706&lt;&gt;"Grayson Coulter",G2706&lt;'00_Control'!$B$7),"",--(AF2706&lt;10))</f>
        <v/>
      </c>
      <c r="AI2706" s="35">
        <f>IF(AND(C2706="Grayson Coulter",G2706&gt;='00_Control'!$B$7),"YES","NO")</f>
        <v/>
      </c>
      <c r="AJ2706" s="33" t="inlineStr">
        <is>
          <t>OK</t>
        </is>
      </c>
    </row>
    <row r="2707">
      <c r="A2707" s="33" t="inlineStr">
        <is>
          <t>SM002703</t>
        </is>
      </c>
      <c r="B2707" s="33" t="inlineStr">
        <is>
          <t>SW005</t>
        </is>
      </c>
      <c r="C2707" s="33" t="inlineStr">
        <is>
          <t>Thomas Heilman</t>
        </is>
      </c>
      <c r="D2707" s="33" t="inlineStr">
        <is>
          <t>SwimCloud</t>
        </is>
      </c>
      <c r="E2707" s="33" t="inlineStr">
        <is>
          <t>1336401</t>
        </is>
      </c>
      <c r="F2707" s="33" t="inlineStr">
        <is>
          <t>95928905</t>
        </is>
      </c>
      <c r="G2707" s="51" t="n">
        <v>43307</v>
      </c>
      <c r="H2707" s="33" t="inlineStr">
        <is>
          <t>2018 Virginia LSC Long Course Age Group Champs</t>
        </is>
      </c>
      <c r="I2707" s="33" t="inlineStr">
        <is>
          <t>201738</t>
        </is>
      </c>
      <c r="J2707" s="33" t="inlineStr"/>
      <c r="K2707" s="33" t="inlineStr">
        <is>
          <t>TIM</t>
        </is>
      </c>
      <c r="L2707" s="35">
        <f>IF(K2707="FIN",3,IF(OR(K2707="SEM",K2707="SEMI"),2,IF(OR(K2707="PRE",K2707="HEAT"),1,IF(V2707="YES",4,2))))</f>
        <v/>
      </c>
      <c r="M2707" s="33" t="inlineStr">
        <is>
          <t>LCM</t>
        </is>
      </c>
      <c r="N2707" s="33" t="n">
        <v>400</v>
      </c>
      <c r="O2707" s="33" t="inlineStr">
        <is>
          <t>Free</t>
        </is>
      </c>
      <c r="P2707" s="33" t="inlineStr">
        <is>
          <t>400 Free</t>
        </is>
      </c>
      <c r="Q2707" s="33" t="inlineStr">
        <is>
          <t>LCM_400_FREE</t>
        </is>
      </c>
      <c r="R2707" s="36" t="n">
        <v>283.43</v>
      </c>
      <c r="S2707" s="35">
        <f>IF(R2707="","",IF(R2707&gt;=60,INT(R2707/60)&amp;":"&amp;TEXT(MOD(R2707,60),"00.00"),TEXT(R2707,"0.00")))</f>
        <v/>
      </c>
      <c r="T2707" s="52">
        <f>IFERROR((G2707-INDEX('01_Swimmers'!$E$5:$E$22,MATCH(B2707,'01_Swimmers'!$A$5:$A$22,0)))/'00_Control'!$B$10,"")</f>
        <v/>
      </c>
      <c r="U2707" s="35">
        <f>IF(T2707="","",INT(T2707))</f>
        <v/>
      </c>
      <c r="V2707" s="33" t="inlineStr">
        <is>
          <t>NO</t>
        </is>
      </c>
      <c r="W2707" s="33" t="inlineStr">
        <is>
          <t>YES</t>
        </is>
      </c>
      <c r="X2707" s="33" t="inlineStr">
        <is>
          <t>NO</t>
        </is>
      </c>
      <c r="Y2707" s="33" t="n">
        <v>1</v>
      </c>
      <c r="Z2707" s="33" t="n">
        <v>4</v>
      </c>
      <c r="AA2707" s="33" t="inlineStr">
        <is>
          <t>1</t>
        </is>
      </c>
      <c r="AB2707" s="33" t="inlineStr">
        <is>
          <t>https://www.swimcloud.com/results/201738/event/4/?id=95928905#time95928905</t>
        </is>
      </c>
      <c r="AC2707" s="33" t="inlineStr">
        <is>
          <t>SwimCloud API v6 2026-10-08</t>
        </is>
      </c>
      <c r="AD2707" s="33" t="inlineStr">
        <is>
          <t>Thomas Heilman|2018-07-26|LCM|400|Free|283.43|2018 Virginia LSC Long Course Age Group Champs|TIM|False</t>
        </is>
      </c>
      <c r="AE2707" s="53">
        <f>G2707+L2707/1000+ROW()/1000000000</f>
        <v/>
      </c>
      <c r="AF2707" s="35">
        <f>IF(C2707&lt;&gt;"Grayson Coulter","",COUNTIFS($C$5:$C$2991,"Grayson Coulter",$Q$5:$Q$2991,Q2707,$AE$5:$AE$2991,"&lt;="&amp;AE2707,$R$5:$R$2991,"&lt;"&amp;R2707))</f>
        <v/>
      </c>
      <c r="AG2707" s="35">
        <f>IF(OR(C2707&lt;&gt;"Grayson Coulter",G2707&lt;'00_Control'!$B$7),"",--(AF2707&lt;5))</f>
        <v/>
      </c>
      <c r="AH2707" s="35">
        <f>IF(OR(C2707&lt;&gt;"Grayson Coulter",G2707&lt;'00_Control'!$B$7),"",--(AF2707&lt;10))</f>
        <v/>
      </c>
      <c r="AI2707" s="35">
        <f>IF(AND(C2707="Grayson Coulter",G2707&gt;='00_Control'!$B$7),"YES","NO")</f>
        <v/>
      </c>
      <c r="AJ2707" s="33" t="inlineStr">
        <is>
          <t>OK</t>
        </is>
      </c>
    </row>
    <row r="2708">
      <c r="A2708" s="33" t="inlineStr">
        <is>
          <t>SM002704</t>
        </is>
      </c>
      <c r="B2708" s="33" t="inlineStr">
        <is>
          <t>SW005</t>
        </is>
      </c>
      <c r="C2708" s="33" t="inlineStr">
        <is>
          <t>Thomas Heilman</t>
        </is>
      </c>
      <c r="D2708" s="33" t="inlineStr">
        <is>
          <t>SwimCloud</t>
        </is>
      </c>
      <c r="E2708" s="33" t="inlineStr">
        <is>
          <t>1336401</t>
        </is>
      </c>
      <c r="F2708" s="33" t="inlineStr">
        <is>
          <t>95930030</t>
        </is>
      </c>
      <c r="G2708" s="51" t="n">
        <v>43308</v>
      </c>
      <c r="H2708" s="33" t="inlineStr">
        <is>
          <t>2018 Virginia LSC Long Course Age Group Champs</t>
        </is>
      </c>
      <c r="I2708" s="33" t="inlineStr">
        <is>
          <t>201738</t>
        </is>
      </c>
      <c r="J2708" s="33" t="inlineStr"/>
      <c r="K2708" s="33" t="inlineStr">
        <is>
          <t>PRE</t>
        </is>
      </c>
      <c r="L2708" s="35">
        <f>IF(K2708="FIN",3,IF(OR(K2708="SEM",K2708="SEMI"),2,IF(OR(K2708="PRE",K2708="HEAT"),1,IF(V2708="YES",4,2))))</f>
        <v/>
      </c>
      <c r="M2708" s="33" t="inlineStr">
        <is>
          <t>LCM</t>
        </is>
      </c>
      <c r="N2708" s="33" t="n">
        <v>100</v>
      </c>
      <c r="O2708" s="33" t="inlineStr">
        <is>
          <t>Fly</t>
        </is>
      </c>
      <c r="P2708" s="33" t="inlineStr">
        <is>
          <t>100 Fly</t>
        </is>
      </c>
      <c r="Q2708" s="33" t="inlineStr">
        <is>
          <t>LCM_100_FLY</t>
        </is>
      </c>
      <c r="R2708" s="36" t="n">
        <v>65.09</v>
      </c>
      <c r="S2708" s="35">
        <f>IF(R2708="","",IF(R2708&gt;=60,INT(R2708/60)&amp;":"&amp;TEXT(MOD(R2708,60),"00.00"),TEXT(R2708,"0.00")))</f>
        <v/>
      </c>
      <c r="T2708" s="52">
        <f>IFERROR((G2708-INDEX('01_Swimmers'!$E$5:$E$22,MATCH(B2708,'01_Swimmers'!$A$5:$A$22,0)))/'00_Control'!$B$10,"")</f>
        <v/>
      </c>
      <c r="U2708" s="35">
        <f>IF(T2708="","",INT(T2708))</f>
        <v/>
      </c>
      <c r="V2708" s="33" t="inlineStr">
        <is>
          <t>NO</t>
        </is>
      </c>
      <c r="W2708" s="33" t="inlineStr">
        <is>
          <t>YES</t>
        </is>
      </c>
      <c r="X2708" s="33" t="inlineStr">
        <is>
          <t>NO</t>
        </is>
      </c>
      <c r="Y2708" s="33" t="n">
        <v>3</v>
      </c>
      <c r="Z2708" s="33" t="n">
        <v>4</v>
      </c>
      <c r="AA2708" s="33" t="inlineStr">
        <is>
          <t>1</t>
        </is>
      </c>
      <c r="AB2708" s="33" t="inlineStr">
        <is>
          <t>https://www.swimcloud.com/results/201738/event/24/?id=95930030#time95930030</t>
        </is>
      </c>
      <c r="AC2708" s="33" t="inlineStr">
        <is>
          <t>SwimCloud API v6 2026-10-08</t>
        </is>
      </c>
      <c r="AD2708" s="33" t="inlineStr">
        <is>
          <t>Thomas Heilman|2018-07-27|LCM|100|Fly|65.09|2018 Virginia LSC Long Course Age Group Champs|PRE|False</t>
        </is>
      </c>
      <c r="AE2708" s="53">
        <f>G2708+L2708/1000+ROW()/1000000000</f>
        <v/>
      </c>
      <c r="AF2708" s="35">
        <f>IF(C2708&lt;&gt;"Grayson Coulter","",COUNTIFS($C$5:$C$2991,"Grayson Coulter",$Q$5:$Q$2991,Q2708,$AE$5:$AE$2991,"&lt;="&amp;AE2708,$R$5:$R$2991,"&lt;"&amp;R2708))</f>
        <v/>
      </c>
      <c r="AG2708" s="35">
        <f>IF(OR(C2708&lt;&gt;"Grayson Coulter",G2708&lt;'00_Control'!$B$7),"",--(AF2708&lt;5))</f>
        <v/>
      </c>
      <c r="AH2708" s="35">
        <f>IF(OR(C2708&lt;&gt;"Grayson Coulter",G2708&lt;'00_Control'!$B$7),"",--(AF2708&lt;10))</f>
        <v/>
      </c>
      <c r="AI2708" s="35">
        <f>IF(AND(C2708="Grayson Coulter",G2708&gt;='00_Control'!$B$7),"YES","NO")</f>
        <v/>
      </c>
      <c r="AJ2708" s="33" t="inlineStr">
        <is>
          <t>OK</t>
        </is>
      </c>
    </row>
    <row r="2709">
      <c r="A2709" s="33" t="inlineStr">
        <is>
          <t>SM002705</t>
        </is>
      </c>
      <c r="B2709" s="33" t="inlineStr">
        <is>
          <t>SW005</t>
        </is>
      </c>
      <c r="C2709" s="33" t="inlineStr">
        <is>
          <t>Thomas Heilman</t>
        </is>
      </c>
      <c r="D2709" s="33" t="inlineStr">
        <is>
          <t>SwimCloud</t>
        </is>
      </c>
      <c r="E2709" s="33" t="inlineStr">
        <is>
          <t>1336401</t>
        </is>
      </c>
      <c r="F2709" s="33" t="inlineStr">
        <is>
          <t>95930031</t>
        </is>
      </c>
      <c r="G2709" s="51" t="n">
        <v>43308</v>
      </c>
      <c r="H2709" s="33" t="inlineStr">
        <is>
          <t>2018 Virginia LSC Long Course Age Group Champs</t>
        </is>
      </c>
      <c r="I2709" s="33" t="inlineStr">
        <is>
          <t>201738</t>
        </is>
      </c>
      <c r="J2709" s="33" t="inlineStr"/>
      <c r="K2709" s="33" t="inlineStr">
        <is>
          <t>FIN</t>
        </is>
      </c>
      <c r="L2709" s="35">
        <f>IF(K2709="FIN",3,IF(OR(K2709="SEM",K2709="SEMI"),2,IF(OR(K2709="PRE",K2709="HEAT"),1,IF(V2709="YES",4,2))))</f>
        <v/>
      </c>
      <c r="M2709" s="33" t="inlineStr">
        <is>
          <t>LCM</t>
        </is>
      </c>
      <c r="N2709" s="33" t="n">
        <v>100</v>
      </c>
      <c r="O2709" s="33" t="inlineStr">
        <is>
          <t>Fly</t>
        </is>
      </c>
      <c r="P2709" s="33" t="inlineStr">
        <is>
          <t>100 Fly</t>
        </is>
      </c>
      <c r="Q2709" s="33" t="inlineStr">
        <is>
          <t>LCM_100_FLY</t>
        </is>
      </c>
      <c r="R2709" s="36" t="n">
        <v>64.02</v>
      </c>
      <c r="S2709" s="35">
        <f>IF(R2709="","",IF(R2709&gt;=60,INT(R2709/60)&amp;":"&amp;TEXT(MOD(R2709,60),"00.00"),TEXT(R2709,"0.00")))</f>
        <v/>
      </c>
      <c r="T2709" s="52">
        <f>IFERROR((G2709-INDEX('01_Swimmers'!$E$5:$E$22,MATCH(B2709,'01_Swimmers'!$A$5:$A$22,0)))/'00_Control'!$B$10,"")</f>
        <v/>
      </c>
      <c r="U2709" s="35">
        <f>IF(T2709="","",INT(T2709))</f>
        <v/>
      </c>
      <c r="V2709" s="33" t="inlineStr">
        <is>
          <t>NO</t>
        </is>
      </c>
      <c r="W2709" s="33" t="inlineStr">
        <is>
          <t>YES</t>
        </is>
      </c>
      <c r="X2709" s="33" t="inlineStr">
        <is>
          <t>NO</t>
        </is>
      </c>
      <c r="Y2709" s="33" t="n">
        <v>2</v>
      </c>
      <c r="Z2709" s="33" t="n">
        <v>4</v>
      </c>
      <c r="AA2709" s="33" t="inlineStr">
        <is>
          <t>1</t>
        </is>
      </c>
      <c r="AB2709" s="33" t="inlineStr">
        <is>
          <t>https://www.swimcloud.com/results/201738/event/24/?id=95930031#time95930031</t>
        </is>
      </c>
      <c r="AC2709" s="33" t="inlineStr">
        <is>
          <t>SwimCloud API v6 2026-10-08</t>
        </is>
      </c>
      <c r="AD2709" s="33" t="inlineStr">
        <is>
          <t>Thomas Heilman|2018-07-27|LCM|100|Fly|64.02|2018 Virginia LSC Long Course Age Group Champs|FIN|False</t>
        </is>
      </c>
      <c r="AE2709" s="53">
        <f>G2709+L2709/1000+ROW()/1000000000</f>
        <v/>
      </c>
      <c r="AF2709" s="35">
        <f>IF(C2709&lt;&gt;"Grayson Coulter","",COUNTIFS($C$5:$C$2991,"Grayson Coulter",$Q$5:$Q$2991,Q2709,$AE$5:$AE$2991,"&lt;="&amp;AE2709,$R$5:$R$2991,"&lt;"&amp;R2709))</f>
        <v/>
      </c>
      <c r="AG2709" s="35">
        <f>IF(OR(C2709&lt;&gt;"Grayson Coulter",G2709&lt;'00_Control'!$B$7),"",--(AF2709&lt;5))</f>
        <v/>
      </c>
      <c r="AH2709" s="35">
        <f>IF(OR(C2709&lt;&gt;"Grayson Coulter",G2709&lt;'00_Control'!$B$7),"",--(AF2709&lt;10))</f>
        <v/>
      </c>
      <c r="AI2709" s="35">
        <f>IF(AND(C2709="Grayson Coulter",G2709&gt;='00_Control'!$B$7),"YES","NO")</f>
        <v/>
      </c>
      <c r="AJ2709" s="33" t="inlineStr">
        <is>
          <t>OK</t>
        </is>
      </c>
    </row>
    <row r="2710">
      <c r="A2710" s="33" t="inlineStr">
        <is>
          <t>SM002706</t>
        </is>
      </c>
      <c r="B2710" s="33" t="inlineStr">
        <is>
          <t>SW005</t>
        </is>
      </c>
      <c r="C2710" s="33" t="inlineStr">
        <is>
          <t>Thomas Heilman</t>
        </is>
      </c>
      <c r="D2710" s="33" t="inlineStr">
        <is>
          <t>SwimCloud</t>
        </is>
      </c>
      <c r="E2710" s="33" t="inlineStr">
        <is>
          <t>1336401</t>
        </is>
      </c>
      <c r="F2710" s="33" t="inlineStr">
        <is>
          <t>95928939</t>
        </is>
      </c>
      <c r="G2710" s="51" t="n">
        <v>43308</v>
      </c>
      <c r="H2710" s="33" t="inlineStr">
        <is>
          <t>2018 Virginia LSC Long Course Age Group Champs</t>
        </is>
      </c>
      <c r="I2710" s="33" t="inlineStr">
        <is>
          <t>201738</t>
        </is>
      </c>
      <c r="J2710" s="33" t="inlineStr"/>
      <c r="K2710" s="33" t="inlineStr">
        <is>
          <t>PRE</t>
        </is>
      </c>
      <c r="L2710" s="35">
        <f>IF(K2710="FIN",3,IF(OR(K2710="SEM",K2710="SEMI"),2,IF(OR(K2710="PRE",K2710="HEAT"),1,IF(V2710="YES",4,2))))</f>
        <v/>
      </c>
      <c r="M2710" s="33" t="inlineStr">
        <is>
          <t>LCM</t>
        </is>
      </c>
      <c r="N2710" s="33" t="n">
        <v>200</v>
      </c>
      <c r="O2710" s="33" t="inlineStr">
        <is>
          <t>Free</t>
        </is>
      </c>
      <c r="P2710" s="33" t="inlineStr">
        <is>
          <t>200 Free</t>
        </is>
      </c>
      <c r="Q2710" s="33" t="inlineStr">
        <is>
          <t>LCM_200_FREE</t>
        </is>
      </c>
      <c r="R2710" s="36" t="n">
        <v>131.52</v>
      </c>
      <c r="S2710" s="35">
        <f>IF(R2710="","",IF(R2710&gt;=60,INT(R2710/60)&amp;":"&amp;TEXT(MOD(R2710,60),"00.00"),TEXT(R2710,"0.00")))</f>
        <v/>
      </c>
      <c r="T2710" s="52">
        <f>IFERROR((G2710-INDEX('01_Swimmers'!$E$5:$E$22,MATCH(B2710,'01_Swimmers'!$A$5:$A$22,0)))/'00_Control'!$B$10,"")</f>
        <v/>
      </c>
      <c r="U2710" s="35">
        <f>IF(T2710="","",INT(T2710))</f>
        <v/>
      </c>
      <c r="V2710" s="33" t="inlineStr">
        <is>
          <t>NO</t>
        </is>
      </c>
      <c r="W2710" s="33" t="inlineStr">
        <is>
          <t>YES</t>
        </is>
      </c>
      <c r="X2710" s="33" t="inlineStr">
        <is>
          <t>NO</t>
        </is>
      </c>
      <c r="Y2710" s="33" t="n">
        <v>4</v>
      </c>
      <c r="Z2710" s="33" t="n">
        <v>4</v>
      </c>
      <c r="AA2710" s="33" t="inlineStr">
        <is>
          <t>1</t>
        </is>
      </c>
      <c r="AB2710" s="33" t="inlineStr">
        <is>
          <t>https://www.swimcloud.com/results/201738/event/18/?id=95928939#time95928939</t>
        </is>
      </c>
      <c r="AC2710" s="33" t="inlineStr">
        <is>
          <t>SwimCloud API v6 2026-10-08</t>
        </is>
      </c>
      <c r="AD2710" s="33" t="inlineStr">
        <is>
          <t>Thomas Heilman|2018-07-27|LCM|200|Free|131.52|2018 Virginia LSC Long Course Age Group Champs|PRE|False</t>
        </is>
      </c>
      <c r="AE2710" s="53">
        <f>G2710+L2710/1000+ROW()/1000000000</f>
        <v/>
      </c>
      <c r="AF2710" s="35">
        <f>IF(C2710&lt;&gt;"Grayson Coulter","",COUNTIFS($C$5:$C$2991,"Grayson Coulter",$Q$5:$Q$2991,Q2710,$AE$5:$AE$2991,"&lt;="&amp;AE2710,$R$5:$R$2991,"&lt;"&amp;R2710))</f>
        <v/>
      </c>
      <c r="AG2710" s="35">
        <f>IF(OR(C2710&lt;&gt;"Grayson Coulter",G2710&lt;'00_Control'!$B$7),"",--(AF2710&lt;5))</f>
        <v/>
      </c>
      <c r="AH2710" s="35">
        <f>IF(OR(C2710&lt;&gt;"Grayson Coulter",G2710&lt;'00_Control'!$B$7),"",--(AF2710&lt;10))</f>
        <v/>
      </c>
      <c r="AI2710" s="35">
        <f>IF(AND(C2710="Grayson Coulter",G2710&gt;='00_Control'!$B$7),"YES","NO")</f>
        <v/>
      </c>
      <c r="AJ2710" s="33" t="inlineStr">
        <is>
          <t>OK</t>
        </is>
      </c>
    </row>
    <row r="2711">
      <c r="A2711" s="33" t="inlineStr">
        <is>
          <t>SM002707</t>
        </is>
      </c>
      <c r="B2711" s="33" t="inlineStr">
        <is>
          <t>SW005</t>
        </is>
      </c>
      <c r="C2711" s="33" t="inlineStr">
        <is>
          <t>Thomas Heilman</t>
        </is>
      </c>
      <c r="D2711" s="33" t="inlineStr">
        <is>
          <t>SwimCloud</t>
        </is>
      </c>
      <c r="E2711" s="33" t="inlineStr">
        <is>
          <t>1336401</t>
        </is>
      </c>
      <c r="F2711" s="33" t="inlineStr">
        <is>
          <t>95928940</t>
        </is>
      </c>
      <c r="G2711" s="51" t="n">
        <v>43308</v>
      </c>
      <c r="H2711" s="33" t="inlineStr">
        <is>
          <t>2018 Virginia LSC Long Course Age Group Champs</t>
        </is>
      </c>
      <c r="I2711" s="33" t="inlineStr">
        <is>
          <t>201738</t>
        </is>
      </c>
      <c r="J2711" s="33" t="inlineStr"/>
      <c r="K2711" s="33" t="inlineStr">
        <is>
          <t>FIN</t>
        </is>
      </c>
      <c r="L2711" s="35">
        <f>IF(K2711="FIN",3,IF(OR(K2711="SEM",K2711="SEMI"),2,IF(OR(K2711="PRE",K2711="HEAT"),1,IF(V2711="YES",4,2))))</f>
        <v/>
      </c>
      <c r="M2711" s="33" t="inlineStr">
        <is>
          <t>LCM</t>
        </is>
      </c>
      <c r="N2711" s="33" t="n">
        <v>200</v>
      </c>
      <c r="O2711" s="33" t="inlineStr">
        <is>
          <t>Free</t>
        </is>
      </c>
      <c r="P2711" s="33" t="inlineStr">
        <is>
          <t>200 Free</t>
        </is>
      </c>
      <c r="Q2711" s="33" t="inlineStr">
        <is>
          <t>LCM_200_FREE</t>
        </is>
      </c>
      <c r="R2711" s="36" t="n">
        <v>128.31</v>
      </c>
      <c r="S2711" s="35">
        <f>IF(R2711="","",IF(R2711&gt;=60,INT(R2711/60)&amp;":"&amp;TEXT(MOD(R2711,60),"00.00"),TEXT(R2711,"0.00")))</f>
        <v/>
      </c>
      <c r="T2711" s="52">
        <f>IFERROR((G2711-INDEX('01_Swimmers'!$E$5:$E$22,MATCH(B2711,'01_Swimmers'!$A$5:$A$22,0)))/'00_Control'!$B$10,"")</f>
        <v/>
      </c>
      <c r="U2711" s="35">
        <f>IF(T2711="","",INT(T2711))</f>
        <v/>
      </c>
      <c r="V2711" s="33" t="inlineStr">
        <is>
          <t>NO</t>
        </is>
      </c>
      <c r="W2711" s="33" t="inlineStr">
        <is>
          <t>YES</t>
        </is>
      </c>
      <c r="X2711" s="33" t="inlineStr">
        <is>
          <t>NO</t>
        </is>
      </c>
      <c r="Y2711" s="33" t="n">
        <v>2</v>
      </c>
      <c r="Z2711" s="33" t="n">
        <v>4</v>
      </c>
      <c r="AA2711" s="33" t="inlineStr">
        <is>
          <t>1</t>
        </is>
      </c>
      <c r="AB2711" s="33" t="inlineStr">
        <is>
          <t>https://www.swimcloud.com/results/201738/event/18/?id=95928940#time95928940</t>
        </is>
      </c>
      <c r="AC2711" s="33" t="inlineStr">
        <is>
          <t>SwimCloud API v6 2026-10-08</t>
        </is>
      </c>
      <c r="AD2711" s="33" t="inlineStr">
        <is>
          <t>Thomas Heilman|2018-07-27|LCM|200|Free|128.31|2018 Virginia LSC Long Course Age Group Champs|FIN|False</t>
        </is>
      </c>
      <c r="AE2711" s="53">
        <f>G2711+L2711/1000+ROW()/1000000000</f>
        <v/>
      </c>
      <c r="AF2711" s="35">
        <f>IF(C2711&lt;&gt;"Grayson Coulter","",COUNTIFS($C$5:$C$2991,"Grayson Coulter",$Q$5:$Q$2991,Q2711,$AE$5:$AE$2991,"&lt;="&amp;AE2711,$R$5:$R$2991,"&lt;"&amp;R2711))</f>
        <v/>
      </c>
      <c r="AG2711" s="35">
        <f>IF(OR(C2711&lt;&gt;"Grayson Coulter",G2711&lt;'00_Control'!$B$7),"",--(AF2711&lt;5))</f>
        <v/>
      </c>
      <c r="AH2711" s="35">
        <f>IF(OR(C2711&lt;&gt;"Grayson Coulter",G2711&lt;'00_Control'!$B$7),"",--(AF2711&lt;10))</f>
        <v/>
      </c>
      <c r="AI2711" s="35">
        <f>IF(AND(C2711="Grayson Coulter",G2711&gt;='00_Control'!$B$7),"YES","NO")</f>
        <v/>
      </c>
      <c r="AJ2711" s="33" t="inlineStr">
        <is>
          <t>OK</t>
        </is>
      </c>
    </row>
    <row r="2712">
      <c r="A2712" s="33" t="inlineStr">
        <is>
          <t>SM002708</t>
        </is>
      </c>
      <c r="B2712" s="33" t="inlineStr">
        <is>
          <t>SW005</t>
        </is>
      </c>
      <c r="C2712" s="33" t="inlineStr">
        <is>
          <t>Thomas Heilman</t>
        </is>
      </c>
      <c r="D2712" s="33" t="inlineStr">
        <is>
          <t>SwimCloud</t>
        </is>
      </c>
      <c r="E2712" s="33" t="inlineStr">
        <is>
          <t>1336401</t>
        </is>
      </c>
      <c r="F2712" s="33" t="inlineStr">
        <is>
          <t>95929037</t>
        </is>
      </c>
      <c r="G2712" s="51" t="n">
        <v>43310</v>
      </c>
      <c r="H2712" s="33" t="inlineStr">
        <is>
          <t>2018 Virginia LSC Long Course Age Group Champs</t>
        </is>
      </c>
      <c r="I2712" s="33" t="inlineStr">
        <is>
          <t>201738</t>
        </is>
      </c>
      <c r="J2712" s="33" t="inlineStr"/>
      <c r="K2712" s="33" t="inlineStr">
        <is>
          <t>PRE</t>
        </is>
      </c>
      <c r="L2712" s="35">
        <f>IF(K2712="FIN",3,IF(OR(K2712="SEM",K2712="SEMI"),2,IF(OR(K2712="PRE",K2712="HEAT"),1,IF(V2712="YES",4,2))))</f>
        <v/>
      </c>
      <c r="M2712" s="33" t="inlineStr">
        <is>
          <t>LCM</t>
        </is>
      </c>
      <c r="N2712" s="33" t="n">
        <v>100</v>
      </c>
      <c r="O2712" s="33" t="inlineStr">
        <is>
          <t>Free</t>
        </is>
      </c>
      <c r="P2712" s="33" t="inlineStr">
        <is>
          <t>100 Free</t>
        </is>
      </c>
      <c r="Q2712" s="33" t="inlineStr">
        <is>
          <t>LCM_100_FREE</t>
        </is>
      </c>
      <c r="R2712" s="36" t="n">
        <v>60.05</v>
      </c>
      <c r="S2712" s="35">
        <f>IF(R2712="","",IF(R2712&gt;=60,INT(R2712/60)&amp;":"&amp;TEXT(MOD(R2712,60),"00.00"),TEXT(R2712,"0.00")))</f>
        <v/>
      </c>
      <c r="T2712" s="52">
        <f>IFERROR((G2712-INDEX('01_Swimmers'!$E$5:$E$22,MATCH(B2712,'01_Swimmers'!$A$5:$A$22,0)))/'00_Control'!$B$10,"")</f>
        <v/>
      </c>
      <c r="U2712" s="35">
        <f>IF(T2712="","",INT(T2712))</f>
        <v/>
      </c>
      <c r="V2712" s="33" t="inlineStr">
        <is>
          <t>NO</t>
        </is>
      </c>
      <c r="W2712" s="33" t="inlineStr">
        <is>
          <t>YES</t>
        </is>
      </c>
      <c r="X2712" s="33" t="inlineStr">
        <is>
          <t>NO</t>
        </is>
      </c>
      <c r="Y2712" s="33" t="n">
        <v>4</v>
      </c>
      <c r="Z2712" s="33" t="n">
        <v>4</v>
      </c>
      <c r="AA2712" s="33" t="inlineStr">
        <is>
          <t>1</t>
        </is>
      </c>
      <c r="AB2712" s="33" t="inlineStr">
        <is>
          <t>https://www.swimcloud.com/results/201738/event/92/?id=95929037#time95929037</t>
        </is>
      </c>
      <c r="AC2712" s="33" t="inlineStr">
        <is>
          <t>SwimCloud API v6 2026-10-08</t>
        </is>
      </c>
      <c r="AD2712" s="33" t="inlineStr">
        <is>
          <t>Thomas Heilman|2018-07-29|LCM|100|Free|60.05|2018 Virginia LSC Long Course Age Group Champs|PRE|False</t>
        </is>
      </c>
      <c r="AE2712" s="53">
        <f>G2712+L2712/1000+ROW()/1000000000</f>
        <v/>
      </c>
      <c r="AF2712" s="35">
        <f>IF(C2712&lt;&gt;"Grayson Coulter","",COUNTIFS($C$5:$C$2991,"Grayson Coulter",$Q$5:$Q$2991,Q2712,$AE$5:$AE$2991,"&lt;="&amp;AE2712,$R$5:$R$2991,"&lt;"&amp;R2712))</f>
        <v/>
      </c>
      <c r="AG2712" s="35">
        <f>IF(OR(C2712&lt;&gt;"Grayson Coulter",G2712&lt;'00_Control'!$B$7),"",--(AF2712&lt;5))</f>
        <v/>
      </c>
      <c r="AH2712" s="35">
        <f>IF(OR(C2712&lt;&gt;"Grayson Coulter",G2712&lt;'00_Control'!$B$7),"",--(AF2712&lt;10))</f>
        <v/>
      </c>
      <c r="AI2712" s="35">
        <f>IF(AND(C2712="Grayson Coulter",G2712&gt;='00_Control'!$B$7),"YES","NO")</f>
        <v/>
      </c>
      <c r="AJ2712" s="33" t="inlineStr">
        <is>
          <t>OK</t>
        </is>
      </c>
    </row>
    <row r="2713">
      <c r="A2713" s="33" t="inlineStr">
        <is>
          <t>SM002709</t>
        </is>
      </c>
      <c r="B2713" s="33" t="inlineStr">
        <is>
          <t>SW005</t>
        </is>
      </c>
      <c r="C2713" s="33" t="inlineStr">
        <is>
          <t>Thomas Heilman</t>
        </is>
      </c>
      <c r="D2713" s="33" t="inlineStr">
        <is>
          <t>SwimCloud</t>
        </is>
      </c>
      <c r="E2713" s="33" t="inlineStr">
        <is>
          <t>1336401</t>
        </is>
      </c>
      <c r="F2713" s="33" t="inlineStr">
        <is>
          <t>95929038</t>
        </is>
      </c>
      <c r="G2713" s="51" t="n">
        <v>43310</v>
      </c>
      <c r="H2713" s="33" t="inlineStr">
        <is>
          <t>2018 Virginia LSC Long Course Age Group Champs</t>
        </is>
      </c>
      <c r="I2713" s="33" t="inlineStr">
        <is>
          <t>201738</t>
        </is>
      </c>
      <c r="J2713" s="33" t="inlineStr"/>
      <c r="K2713" s="33" t="inlineStr">
        <is>
          <t>FIN</t>
        </is>
      </c>
      <c r="L2713" s="35">
        <f>IF(K2713="FIN",3,IF(OR(K2713="SEM",K2713="SEMI"),2,IF(OR(K2713="PRE",K2713="HEAT"),1,IF(V2713="YES",4,2))))</f>
        <v/>
      </c>
      <c r="M2713" s="33" t="inlineStr">
        <is>
          <t>LCM</t>
        </is>
      </c>
      <c r="N2713" s="33" t="n">
        <v>100</v>
      </c>
      <c r="O2713" s="33" t="inlineStr">
        <is>
          <t>Free</t>
        </is>
      </c>
      <c r="P2713" s="33" t="inlineStr">
        <is>
          <t>100 Free</t>
        </is>
      </c>
      <c r="Q2713" s="33" t="inlineStr">
        <is>
          <t>LCM_100_FREE</t>
        </is>
      </c>
      <c r="R2713" s="36" t="n">
        <v>58.75</v>
      </c>
      <c r="S2713" s="35">
        <f>IF(R2713="","",IF(R2713&gt;=60,INT(R2713/60)&amp;":"&amp;TEXT(MOD(R2713,60),"00.00"),TEXT(R2713,"0.00")))</f>
        <v/>
      </c>
      <c r="T2713" s="52">
        <f>IFERROR((G2713-INDEX('01_Swimmers'!$E$5:$E$22,MATCH(B2713,'01_Swimmers'!$A$5:$A$22,0)))/'00_Control'!$B$10,"")</f>
        <v/>
      </c>
      <c r="U2713" s="35">
        <f>IF(T2713="","",INT(T2713))</f>
        <v/>
      </c>
      <c r="V2713" s="33" t="inlineStr">
        <is>
          <t>NO</t>
        </is>
      </c>
      <c r="W2713" s="33" t="inlineStr">
        <is>
          <t>YES</t>
        </is>
      </c>
      <c r="X2713" s="33" t="inlineStr">
        <is>
          <t>NO</t>
        </is>
      </c>
      <c r="Y2713" s="33" t="n">
        <v>2</v>
      </c>
      <c r="Z2713" s="33" t="n">
        <v>4</v>
      </c>
      <c r="AA2713" s="33" t="inlineStr">
        <is>
          <t>1</t>
        </is>
      </c>
      <c r="AB2713" s="33" t="inlineStr">
        <is>
          <t>https://www.swimcloud.com/results/201738/event/92/?id=95929038#time95929038</t>
        </is>
      </c>
      <c r="AC2713" s="33" t="inlineStr">
        <is>
          <t>SwimCloud API v6 2026-10-08</t>
        </is>
      </c>
      <c r="AD2713" s="33" t="inlineStr">
        <is>
          <t>Thomas Heilman|2018-07-29|LCM|100|Free|58.75|2018 Virginia LSC Long Course Age Group Champs|FIN|False</t>
        </is>
      </c>
      <c r="AE2713" s="53">
        <f>G2713+L2713/1000+ROW()/1000000000</f>
        <v/>
      </c>
      <c r="AF2713" s="35">
        <f>IF(C2713&lt;&gt;"Grayson Coulter","",COUNTIFS($C$5:$C$2991,"Grayson Coulter",$Q$5:$Q$2991,Q2713,$AE$5:$AE$2991,"&lt;="&amp;AE2713,$R$5:$R$2991,"&lt;"&amp;R2713))</f>
        <v/>
      </c>
      <c r="AG2713" s="35">
        <f>IF(OR(C2713&lt;&gt;"Grayson Coulter",G2713&lt;'00_Control'!$B$7),"",--(AF2713&lt;5))</f>
        <v/>
      </c>
      <c r="AH2713" s="35">
        <f>IF(OR(C2713&lt;&gt;"Grayson Coulter",G2713&lt;'00_Control'!$B$7),"",--(AF2713&lt;10))</f>
        <v/>
      </c>
      <c r="AI2713" s="35">
        <f>IF(AND(C2713="Grayson Coulter",G2713&gt;='00_Control'!$B$7),"YES","NO")</f>
        <v/>
      </c>
      <c r="AJ2713" s="33" t="inlineStr">
        <is>
          <t>OK</t>
        </is>
      </c>
    </row>
    <row r="2714">
      <c r="A2714" s="33" t="inlineStr">
        <is>
          <t>SM002710</t>
        </is>
      </c>
      <c r="B2714" s="33" t="inlineStr">
        <is>
          <t>SW005</t>
        </is>
      </c>
      <c r="C2714" s="33" t="inlineStr">
        <is>
          <t>Thomas Heilman</t>
        </is>
      </c>
      <c r="D2714" s="33" t="inlineStr">
        <is>
          <t>SwimCloud</t>
        </is>
      </c>
      <c r="E2714" s="33" t="inlineStr">
        <is>
          <t>1336401</t>
        </is>
      </c>
      <c r="F2714" s="33" t="inlineStr">
        <is>
          <t>27383416</t>
        </is>
      </c>
      <c r="G2714" s="51" t="n">
        <v>43624</v>
      </c>
      <c r="H2714" s="33" t="inlineStr">
        <is>
          <t>MD NBAC Long Course Championship</t>
        </is>
      </c>
      <c r="I2714" s="33" t="inlineStr">
        <is>
          <t>129809</t>
        </is>
      </c>
      <c r="J2714" s="33" t="inlineStr"/>
      <c r="K2714" s="33" t="inlineStr">
        <is>
          <t>PRE</t>
        </is>
      </c>
      <c r="L2714" s="35">
        <f>IF(K2714="FIN",3,IF(OR(K2714="SEM",K2714="SEMI"),2,IF(OR(K2714="PRE",K2714="HEAT"),1,IF(V2714="YES",4,2))))</f>
        <v/>
      </c>
      <c r="M2714" s="33" t="inlineStr">
        <is>
          <t>LCM</t>
        </is>
      </c>
      <c r="N2714" s="33" t="n">
        <v>200</v>
      </c>
      <c r="O2714" s="33" t="inlineStr">
        <is>
          <t>Free</t>
        </is>
      </c>
      <c r="P2714" s="33" t="inlineStr">
        <is>
          <t>200 Free</t>
        </is>
      </c>
      <c r="Q2714" s="33" t="inlineStr">
        <is>
          <t>LCM_200_FREE</t>
        </is>
      </c>
      <c r="R2714" s="36" t="n">
        <v>130.48</v>
      </c>
      <c r="S2714" s="35">
        <f>IF(R2714="","",IF(R2714&gt;=60,INT(R2714/60)&amp;":"&amp;TEXT(MOD(R2714,60),"00.00"),TEXT(R2714,"0.00")))</f>
        <v/>
      </c>
      <c r="T2714" s="52">
        <f>IFERROR((G2714-INDEX('01_Swimmers'!$E$5:$E$22,MATCH(B2714,'01_Swimmers'!$A$5:$A$22,0)))/'00_Control'!$B$10,"")</f>
        <v/>
      </c>
      <c r="U2714" s="35">
        <f>IF(T2714="","",INT(T2714))</f>
        <v/>
      </c>
      <c r="V2714" s="33" t="inlineStr">
        <is>
          <t>NO</t>
        </is>
      </c>
      <c r="W2714" s="33" t="inlineStr">
        <is>
          <t>YES</t>
        </is>
      </c>
      <c r="X2714" s="33" t="inlineStr">
        <is>
          <t>NO</t>
        </is>
      </c>
      <c r="Y2714" s="33" t="n">
        <v>9</v>
      </c>
      <c r="Z2714" s="33" t="n">
        <v>3</v>
      </c>
      <c r="AA2714" s="33" t="inlineStr">
        <is>
          <t>1</t>
        </is>
      </c>
      <c r="AB2714" s="33" t="inlineStr">
        <is>
          <t>https://www.swimcloud.com/results/129809/event/23/?id=27383416#time27383416</t>
        </is>
      </c>
      <c r="AC2714" s="33" t="inlineStr">
        <is>
          <t>SwimCloud API v6 2026-10-08</t>
        </is>
      </c>
      <c r="AD2714" s="33" t="inlineStr">
        <is>
          <t>Thomas Heilman|2019-06-08|LCM|200|Free|130.48|MD NBAC Long Course Championship|PRE|False</t>
        </is>
      </c>
      <c r="AE2714" s="53">
        <f>G2714+L2714/1000+ROW()/1000000000</f>
        <v/>
      </c>
      <c r="AF2714" s="35">
        <f>IF(C2714&lt;&gt;"Grayson Coulter","",COUNTIFS($C$5:$C$2991,"Grayson Coulter",$Q$5:$Q$2991,Q2714,$AE$5:$AE$2991,"&lt;="&amp;AE2714,$R$5:$R$2991,"&lt;"&amp;R2714))</f>
        <v/>
      </c>
      <c r="AG2714" s="35">
        <f>IF(OR(C2714&lt;&gt;"Grayson Coulter",G2714&lt;'00_Control'!$B$7),"",--(AF2714&lt;5))</f>
        <v/>
      </c>
      <c r="AH2714" s="35">
        <f>IF(OR(C2714&lt;&gt;"Grayson Coulter",G2714&lt;'00_Control'!$B$7),"",--(AF2714&lt;10))</f>
        <v/>
      </c>
      <c r="AI2714" s="35">
        <f>IF(AND(C2714="Grayson Coulter",G2714&gt;='00_Control'!$B$7),"YES","NO")</f>
        <v/>
      </c>
      <c r="AJ2714" s="33" t="inlineStr">
        <is>
          <t>OK</t>
        </is>
      </c>
    </row>
    <row r="2715">
      <c r="A2715" s="33" t="inlineStr">
        <is>
          <t>SM002711</t>
        </is>
      </c>
      <c r="B2715" s="33" t="inlineStr">
        <is>
          <t>SW005</t>
        </is>
      </c>
      <c r="C2715" s="33" t="inlineStr">
        <is>
          <t>Thomas Heilman</t>
        </is>
      </c>
      <c r="D2715" s="33" t="inlineStr">
        <is>
          <t>SwimCloud</t>
        </is>
      </c>
      <c r="E2715" s="33" t="inlineStr">
        <is>
          <t>1336401</t>
        </is>
      </c>
      <c r="F2715" s="33" t="inlineStr">
        <is>
          <t>27383417</t>
        </is>
      </c>
      <c r="G2715" s="51" t="n">
        <v>43624</v>
      </c>
      <c r="H2715" s="33" t="inlineStr">
        <is>
          <t>MD NBAC Long Course Championship</t>
        </is>
      </c>
      <c r="I2715" s="33" t="inlineStr">
        <is>
          <t>129809</t>
        </is>
      </c>
      <c r="J2715" s="33" t="inlineStr"/>
      <c r="K2715" s="33" t="inlineStr">
        <is>
          <t>FIN</t>
        </is>
      </c>
      <c r="L2715" s="35">
        <f>IF(K2715="FIN",3,IF(OR(K2715="SEM",K2715="SEMI"),2,IF(OR(K2715="PRE",K2715="HEAT"),1,IF(V2715="YES",4,2))))</f>
        <v/>
      </c>
      <c r="M2715" s="33" t="inlineStr">
        <is>
          <t>LCM</t>
        </is>
      </c>
      <c r="N2715" s="33" t="n">
        <v>200</v>
      </c>
      <c r="O2715" s="33" t="inlineStr">
        <is>
          <t>Free</t>
        </is>
      </c>
      <c r="P2715" s="33" t="inlineStr">
        <is>
          <t>200 Free</t>
        </is>
      </c>
      <c r="Q2715" s="33" t="inlineStr">
        <is>
          <t>LCM_200_FREE</t>
        </is>
      </c>
      <c r="R2715" s="36" t="n">
        <v>127.52</v>
      </c>
      <c r="S2715" s="35">
        <f>IF(R2715="","",IF(R2715&gt;=60,INT(R2715/60)&amp;":"&amp;TEXT(MOD(R2715,60),"00.00"),TEXT(R2715,"0.00")))</f>
        <v/>
      </c>
      <c r="T2715" s="52">
        <f>IFERROR((G2715-INDEX('01_Swimmers'!$E$5:$E$22,MATCH(B2715,'01_Swimmers'!$A$5:$A$22,0)))/'00_Control'!$B$10,"")</f>
        <v/>
      </c>
      <c r="U2715" s="35">
        <f>IF(T2715="","",INT(T2715))</f>
        <v/>
      </c>
      <c r="V2715" s="33" t="inlineStr">
        <is>
          <t>NO</t>
        </is>
      </c>
      <c r="W2715" s="33" t="inlineStr">
        <is>
          <t>YES</t>
        </is>
      </c>
      <c r="X2715" s="33" t="inlineStr">
        <is>
          <t>NO</t>
        </is>
      </c>
      <c r="Y2715" s="33" t="n">
        <v>1</v>
      </c>
      <c r="Z2715" s="33" t="n">
        <v>5</v>
      </c>
      <c r="AA2715" s="33" t="inlineStr">
        <is>
          <t>1</t>
        </is>
      </c>
      <c r="AB2715" s="33" t="inlineStr">
        <is>
          <t>https://www.swimcloud.com/results/129809/event/23/?id=27383417#time27383417</t>
        </is>
      </c>
      <c r="AC2715" s="33" t="inlineStr">
        <is>
          <t>SwimCloud API v6 2026-10-08</t>
        </is>
      </c>
      <c r="AD2715" s="33" t="inlineStr">
        <is>
          <t>Thomas Heilman|2019-06-08|LCM|200|Free|127.52|MD NBAC Long Course Championship|FIN|False</t>
        </is>
      </c>
      <c r="AE2715" s="53">
        <f>G2715+L2715/1000+ROW()/1000000000</f>
        <v/>
      </c>
      <c r="AF2715" s="35">
        <f>IF(C2715&lt;&gt;"Grayson Coulter","",COUNTIFS($C$5:$C$2991,"Grayson Coulter",$Q$5:$Q$2991,Q2715,$AE$5:$AE$2991,"&lt;="&amp;AE2715,$R$5:$R$2991,"&lt;"&amp;R2715))</f>
        <v/>
      </c>
      <c r="AG2715" s="35">
        <f>IF(OR(C2715&lt;&gt;"Grayson Coulter",G2715&lt;'00_Control'!$B$7),"",--(AF2715&lt;5))</f>
        <v/>
      </c>
      <c r="AH2715" s="35">
        <f>IF(OR(C2715&lt;&gt;"Grayson Coulter",G2715&lt;'00_Control'!$B$7),"",--(AF2715&lt;10))</f>
        <v/>
      </c>
      <c r="AI2715" s="35">
        <f>IF(AND(C2715="Grayson Coulter",G2715&gt;='00_Control'!$B$7),"YES","NO")</f>
        <v/>
      </c>
      <c r="AJ2715" s="33" t="inlineStr">
        <is>
          <t>OK</t>
        </is>
      </c>
    </row>
    <row r="2716">
      <c r="A2716" s="33" t="inlineStr">
        <is>
          <t>SM002712</t>
        </is>
      </c>
      <c r="B2716" s="33" t="inlineStr">
        <is>
          <t>SW005</t>
        </is>
      </c>
      <c r="C2716" s="33" t="inlineStr">
        <is>
          <t>Thomas Heilman</t>
        </is>
      </c>
      <c r="D2716" s="33" t="inlineStr">
        <is>
          <t>SwimCloud</t>
        </is>
      </c>
      <c r="E2716" s="33" t="inlineStr">
        <is>
          <t>1336401</t>
        </is>
      </c>
      <c r="F2716" s="33" t="inlineStr">
        <is>
          <t>27383358</t>
        </is>
      </c>
      <c r="G2716" s="51" t="n">
        <v>43626</v>
      </c>
      <c r="H2716" s="33" t="inlineStr">
        <is>
          <t>MD NBAC Long Course Championship</t>
        </is>
      </c>
      <c r="I2716" s="33" t="inlineStr">
        <is>
          <t>129809</t>
        </is>
      </c>
      <c r="J2716" s="33" t="inlineStr"/>
      <c r="K2716" s="33" t="inlineStr">
        <is>
          <t>PRE</t>
        </is>
      </c>
      <c r="L2716" s="35">
        <f>IF(K2716="FIN",3,IF(OR(K2716="SEM",K2716="SEMI"),2,IF(OR(K2716="PRE",K2716="HEAT"),1,IF(V2716="YES",4,2))))</f>
        <v/>
      </c>
      <c r="M2716" s="33" t="inlineStr">
        <is>
          <t>LCM</t>
        </is>
      </c>
      <c r="N2716" s="33" t="n">
        <v>100</v>
      </c>
      <c r="O2716" s="33" t="inlineStr">
        <is>
          <t>Free</t>
        </is>
      </c>
      <c r="P2716" s="33" t="inlineStr">
        <is>
          <t>100 Free</t>
        </is>
      </c>
      <c r="Q2716" s="33" t="inlineStr">
        <is>
          <t>LCM_100_FREE</t>
        </is>
      </c>
      <c r="R2716" s="36" t="n">
        <v>58.44</v>
      </c>
      <c r="S2716" s="35">
        <f>IF(R2716="","",IF(R2716&gt;=60,INT(R2716/60)&amp;":"&amp;TEXT(MOD(R2716,60),"00.00"),TEXT(R2716,"0.00")))</f>
        <v/>
      </c>
      <c r="T2716" s="52">
        <f>IFERROR((G2716-INDEX('01_Swimmers'!$E$5:$E$22,MATCH(B2716,'01_Swimmers'!$A$5:$A$22,0)))/'00_Control'!$B$10,"")</f>
        <v/>
      </c>
      <c r="U2716" s="35">
        <f>IF(T2716="","",INT(T2716))</f>
        <v/>
      </c>
      <c r="V2716" s="33" t="inlineStr">
        <is>
          <t>NO</t>
        </is>
      </c>
      <c r="W2716" s="33" t="inlineStr">
        <is>
          <t>YES</t>
        </is>
      </c>
      <c r="X2716" s="33" t="inlineStr">
        <is>
          <t>NO</t>
        </is>
      </c>
      <c r="Y2716" s="33" t="n">
        <v>9</v>
      </c>
      <c r="Z2716" s="33" t="n">
        <v>3</v>
      </c>
      <c r="AA2716" s="33" t="inlineStr">
        <is>
          <t>1</t>
        </is>
      </c>
      <c r="AB2716" s="33" t="inlineStr">
        <is>
          <t>https://www.swimcloud.com/results/129809/event/107/?id=27383358#time27383358</t>
        </is>
      </c>
      <c r="AC2716" s="33" t="inlineStr">
        <is>
          <t>SwimCloud API v6 2026-10-08</t>
        </is>
      </c>
      <c r="AD2716" s="33" t="inlineStr">
        <is>
          <t>Thomas Heilman|2019-06-10|LCM|100|Free|58.44|MD NBAC Long Course Championship|PRE|False</t>
        </is>
      </c>
      <c r="AE2716" s="53">
        <f>G2716+L2716/1000+ROW()/1000000000</f>
        <v/>
      </c>
      <c r="AF2716" s="35">
        <f>IF(C2716&lt;&gt;"Grayson Coulter","",COUNTIFS($C$5:$C$2991,"Grayson Coulter",$Q$5:$Q$2991,Q2716,$AE$5:$AE$2991,"&lt;="&amp;AE2716,$R$5:$R$2991,"&lt;"&amp;R2716))</f>
        <v/>
      </c>
      <c r="AG2716" s="35">
        <f>IF(OR(C2716&lt;&gt;"Grayson Coulter",G2716&lt;'00_Control'!$B$7),"",--(AF2716&lt;5))</f>
        <v/>
      </c>
      <c r="AH2716" s="35">
        <f>IF(OR(C2716&lt;&gt;"Grayson Coulter",G2716&lt;'00_Control'!$B$7),"",--(AF2716&lt;10))</f>
        <v/>
      </c>
      <c r="AI2716" s="35">
        <f>IF(AND(C2716="Grayson Coulter",G2716&gt;='00_Control'!$B$7),"YES","NO")</f>
        <v/>
      </c>
      <c r="AJ2716" s="33" t="inlineStr">
        <is>
          <t>OK</t>
        </is>
      </c>
    </row>
    <row r="2717">
      <c r="A2717" s="33" t="inlineStr">
        <is>
          <t>SM002713</t>
        </is>
      </c>
      <c r="B2717" s="33" t="inlineStr">
        <is>
          <t>SW005</t>
        </is>
      </c>
      <c r="C2717" s="33" t="inlineStr">
        <is>
          <t>Thomas Heilman</t>
        </is>
      </c>
      <c r="D2717" s="33" t="inlineStr">
        <is>
          <t>SwimCloud</t>
        </is>
      </c>
      <c r="E2717" s="33" t="inlineStr">
        <is>
          <t>1336401</t>
        </is>
      </c>
      <c r="F2717" s="33" t="inlineStr">
        <is>
          <t>27385186</t>
        </is>
      </c>
      <c r="G2717" s="51" t="n">
        <v>43626</v>
      </c>
      <c r="H2717" s="33" t="inlineStr">
        <is>
          <t>MD NBAC Long Course Championship</t>
        </is>
      </c>
      <c r="I2717" s="33" t="inlineStr">
        <is>
          <t>129809</t>
        </is>
      </c>
      <c r="J2717" s="33" t="inlineStr"/>
      <c r="K2717" s="33" t="inlineStr">
        <is>
          <t>TIM</t>
        </is>
      </c>
      <c r="L2717" s="35">
        <f>IF(K2717="FIN",3,IF(OR(K2717="SEM",K2717="SEMI"),2,IF(OR(K2717="PRE",K2717="HEAT"),1,IF(V2717="YES",4,2))))</f>
        <v/>
      </c>
      <c r="M2717" s="33" t="inlineStr">
        <is>
          <t>LCM</t>
        </is>
      </c>
      <c r="N2717" s="33" t="n">
        <v>400</v>
      </c>
      <c r="O2717" s="33" t="inlineStr">
        <is>
          <t>Free</t>
        </is>
      </c>
      <c r="P2717" s="33" t="inlineStr">
        <is>
          <t>400 Free</t>
        </is>
      </c>
      <c r="Q2717" s="33" t="inlineStr">
        <is>
          <t>LCM_400_FREE</t>
        </is>
      </c>
      <c r="R2717" s="36" t="n">
        <v>272.54</v>
      </c>
      <c r="S2717" s="35">
        <f>IF(R2717="","",IF(R2717&gt;=60,INT(R2717/60)&amp;":"&amp;TEXT(MOD(R2717,60),"00.00"),TEXT(R2717,"0.00")))</f>
        <v/>
      </c>
      <c r="T2717" s="52">
        <f>IFERROR((G2717-INDEX('01_Swimmers'!$E$5:$E$22,MATCH(B2717,'01_Swimmers'!$A$5:$A$22,0)))/'00_Control'!$B$10,"")</f>
        <v/>
      </c>
      <c r="U2717" s="35">
        <f>IF(T2717="","",INT(T2717))</f>
        <v/>
      </c>
      <c r="V2717" s="33" t="inlineStr">
        <is>
          <t>NO</t>
        </is>
      </c>
      <c r="W2717" s="33" t="inlineStr">
        <is>
          <t>YES</t>
        </is>
      </c>
      <c r="X2717" s="33" t="inlineStr">
        <is>
          <t>NO</t>
        </is>
      </c>
      <c r="Y2717" s="33" t="n">
        <v>2</v>
      </c>
      <c r="Z2717" s="33" t="n">
        <v>5</v>
      </c>
      <c r="AA2717" s="33" t="inlineStr">
        <is>
          <t>1</t>
        </is>
      </c>
      <c r="AB2717" s="33" t="inlineStr">
        <is>
          <t>https://www.swimcloud.com/results/129809/event/87/?id=27385186#time27385186</t>
        </is>
      </c>
      <c r="AC2717" s="33" t="inlineStr">
        <is>
          <t>SwimCloud API v6 2026-10-08</t>
        </is>
      </c>
      <c r="AD2717" s="33" t="inlineStr">
        <is>
          <t>Thomas Heilman|2019-06-10|LCM|400|Free|272.54|MD NBAC Long Course Championship|TIM|False</t>
        </is>
      </c>
      <c r="AE2717" s="53">
        <f>G2717+L2717/1000+ROW()/1000000000</f>
        <v/>
      </c>
      <c r="AF2717" s="35">
        <f>IF(C2717&lt;&gt;"Grayson Coulter","",COUNTIFS($C$5:$C$2991,"Grayson Coulter",$Q$5:$Q$2991,Q2717,$AE$5:$AE$2991,"&lt;="&amp;AE2717,$R$5:$R$2991,"&lt;"&amp;R2717))</f>
        <v/>
      </c>
      <c r="AG2717" s="35">
        <f>IF(OR(C2717&lt;&gt;"Grayson Coulter",G2717&lt;'00_Control'!$B$7),"",--(AF2717&lt;5))</f>
        <v/>
      </c>
      <c r="AH2717" s="35">
        <f>IF(OR(C2717&lt;&gt;"Grayson Coulter",G2717&lt;'00_Control'!$B$7),"",--(AF2717&lt;10))</f>
        <v/>
      </c>
      <c r="AI2717" s="35">
        <f>IF(AND(C2717="Grayson Coulter",G2717&gt;='00_Control'!$B$7),"YES","NO")</f>
        <v/>
      </c>
      <c r="AJ2717" s="33" t="inlineStr">
        <is>
          <t>OK</t>
        </is>
      </c>
    </row>
    <row r="2718">
      <c r="A2718" s="33" t="inlineStr">
        <is>
          <t>SM002714</t>
        </is>
      </c>
      <c r="B2718" s="33" t="inlineStr">
        <is>
          <t>SW005</t>
        </is>
      </c>
      <c r="C2718" s="33" t="inlineStr">
        <is>
          <t>Thomas Heilman</t>
        </is>
      </c>
      <c r="D2718" s="33" t="inlineStr">
        <is>
          <t>SwimCloud</t>
        </is>
      </c>
      <c r="E2718" s="33" t="inlineStr">
        <is>
          <t>1336401</t>
        </is>
      </c>
      <c r="F2718" s="33" t="inlineStr">
        <is>
          <t>27418852</t>
        </is>
      </c>
      <c r="G2718" s="51" t="n">
        <v>43637</v>
      </c>
      <c r="H2718" s="33" t="inlineStr">
        <is>
          <t>VA LY June Jam</t>
        </is>
      </c>
      <c r="I2718" s="33" t="inlineStr">
        <is>
          <t>148468</t>
        </is>
      </c>
      <c r="J2718" s="33" t="inlineStr"/>
      <c r="K2718" s="33" t="inlineStr">
        <is>
          <t>TIM</t>
        </is>
      </c>
      <c r="L2718" s="35">
        <f>IF(K2718="FIN",3,IF(OR(K2718="SEM",K2718="SEMI"),2,IF(OR(K2718="PRE",K2718="HEAT"),1,IF(V2718="YES",4,2))))</f>
        <v/>
      </c>
      <c r="M2718" s="33" t="inlineStr">
        <is>
          <t>LCM</t>
        </is>
      </c>
      <c r="N2718" s="33" t="n">
        <v>400</v>
      </c>
      <c r="O2718" s="33" t="inlineStr">
        <is>
          <t>Free</t>
        </is>
      </c>
      <c r="P2718" s="33" t="inlineStr">
        <is>
          <t>400 Free</t>
        </is>
      </c>
      <c r="Q2718" s="33" t="inlineStr">
        <is>
          <t>LCM_400_FREE</t>
        </is>
      </c>
      <c r="R2718" s="36" t="n">
        <v>275.77</v>
      </c>
      <c r="S2718" s="35">
        <f>IF(R2718="","",IF(R2718&gt;=60,INT(R2718/60)&amp;":"&amp;TEXT(MOD(R2718,60),"00.00"),TEXT(R2718,"0.00")))</f>
        <v/>
      </c>
      <c r="T2718" s="52">
        <f>IFERROR((G2718-INDEX('01_Swimmers'!$E$5:$E$22,MATCH(B2718,'01_Swimmers'!$A$5:$A$22,0)))/'00_Control'!$B$10,"")</f>
        <v/>
      </c>
      <c r="U2718" s="35">
        <f>IF(T2718="","",INT(T2718))</f>
        <v/>
      </c>
      <c r="V2718" s="33" t="inlineStr">
        <is>
          <t>NO</t>
        </is>
      </c>
      <c r="W2718" s="33" t="inlineStr">
        <is>
          <t>YES</t>
        </is>
      </c>
      <c r="X2718" s="33" t="inlineStr">
        <is>
          <t>NO</t>
        </is>
      </c>
      <c r="Y2718" s="33" t="n">
        <v>3</v>
      </c>
      <c r="Z2718" s="33" t="n">
        <v>5</v>
      </c>
      <c r="AA2718" s="33" t="inlineStr">
        <is>
          <t>1</t>
        </is>
      </c>
      <c r="AB2718" s="33" t="inlineStr">
        <is>
          <t>https://www.swimcloud.com/results/148468/event/28/?id=27418852#time27418852</t>
        </is>
      </c>
      <c r="AC2718" s="33" t="inlineStr">
        <is>
          <t>SwimCloud API v6 2026-10-08</t>
        </is>
      </c>
      <c r="AD2718" s="33" t="inlineStr">
        <is>
          <t>Thomas Heilman|2019-06-21|LCM|400|Free|275.77|VA LY June Jam|TIM|False</t>
        </is>
      </c>
      <c r="AE2718" s="53">
        <f>G2718+L2718/1000+ROW()/1000000000</f>
        <v/>
      </c>
      <c r="AF2718" s="35">
        <f>IF(C2718&lt;&gt;"Grayson Coulter","",COUNTIFS($C$5:$C$2991,"Grayson Coulter",$Q$5:$Q$2991,Q2718,$AE$5:$AE$2991,"&lt;="&amp;AE2718,$R$5:$R$2991,"&lt;"&amp;R2718))</f>
        <v/>
      </c>
      <c r="AG2718" s="35">
        <f>IF(OR(C2718&lt;&gt;"Grayson Coulter",G2718&lt;'00_Control'!$B$7),"",--(AF2718&lt;5))</f>
        <v/>
      </c>
      <c r="AH2718" s="35">
        <f>IF(OR(C2718&lt;&gt;"Grayson Coulter",G2718&lt;'00_Control'!$B$7),"",--(AF2718&lt;10))</f>
        <v/>
      </c>
      <c r="AI2718" s="35">
        <f>IF(AND(C2718="Grayson Coulter",G2718&gt;='00_Control'!$B$7),"YES","NO")</f>
        <v/>
      </c>
      <c r="AJ2718" s="33" t="inlineStr">
        <is>
          <t>OK</t>
        </is>
      </c>
    </row>
    <row r="2719">
      <c r="A2719" s="33" t="inlineStr">
        <is>
          <t>SM002715</t>
        </is>
      </c>
      <c r="B2719" s="33" t="inlineStr">
        <is>
          <t>SW005</t>
        </is>
      </c>
      <c r="C2719" s="33" t="inlineStr">
        <is>
          <t>Thomas Heilman</t>
        </is>
      </c>
      <c r="D2719" s="33" t="inlineStr">
        <is>
          <t>SwimCloud</t>
        </is>
      </c>
      <c r="E2719" s="33" t="inlineStr">
        <is>
          <t>1336401</t>
        </is>
      </c>
      <c r="F2719" s="33" t="inlineStr">
        <is>
          <t>28421072</t>
        </is>
      </c>
      <c r="G2719" s="51" t="n">
        <v>43671</v>
      </c>
      <c r="H2719" s="33" t="inlineStr">
        <is>
          <t>Virginia Senior Long Course Age Group Championships</t>
        </is>
      </c>
      <c r="I2719" s="33" t="inlineStr">
        <is>
          <t>150355</t>
        </is>
      </c>
      <c r="J2719" s="33" t="inlineStr"/>
      <c r="K2719" s="33" t="inlineStr">
        <is>
          <t>TIM</t>
        </is>
      </c>
      <c r="L2719" s="35">
        <f>IF(K2719="FIN",3,IF(OR(K2719="SEM",K2719="SEMI"),2,IF(OR(K2719="PRE",K2719="HEAT"),1,IF(V2719="YES",4,2))))</f>
        <v/>
      </c>
      <c r="M2719" s="33" t="inlineStr">
        <is>
          <t>LCM</t>
        </is>
      </c>
      <c r="N2719" s="33" t="n">
        <v>400</v>
      </c>
      <c r="O2719" s="33" t="inlineStr">
        <is>
          <t>Free</t>
        </is>
      </c>
      <c r="P2719" s="33" t="inlineStr">
        <is>
          <t>400 Free</t>
        </is>
      </c>
      <c r="Q2719" s="33" t="inlineStr">
        <is>
          <t>LCM_400_FREE</t>
        </is>
      </c>
      <c r="R2719" s="36" t="n">
        <v>268.5</v>
      </c>
      <c r="S2719" s="35">
        <f>IF(R2719="","",IF(R2719&gt;=60,INT(R2719/60)&amp;":"&amp;TEXT(MOD(R2719,60),"00.00"),TEXT(R2719,"0.00")))</f>
        <v/>
      </c>
      <c r="T2719" s="52">
        <f>IFERROR((G2719-INDEX('01_Swimmers'!$E$5:$E$22,MATCH(B2719,'01_Swimmers'!$A$5:$A$22,0)))/'00_Control'!$B$10,"")</f>
        <v/>
      </c>
      <c r="U2719" s="35">
        <f>IF(T2719="","",INT(T2719))</f>
        <v/>
      </c>
      <c r="V2719" s="33" t="inlineStr">
        <is>
          <t>NO</t>
        </is>
      </c>
      <c r="W2719" s="33" t="inlineStr">
        <is>
          <t>YES</t>
        </is>
      </c>
      <c r="X2719" s="33" t="inlineStr">
        <is>
          <t>NO</t>
        </is>
      </c>
      <c r="Y2719" s="33" t="n">
        <v>1</v>
      </c>
      <c r="Z2719" s="33" t="n">
        <v>4</v>
      </c>
      <c r="AA2719" s="33" t="inlineStr">
        <is>
          <t>1</t>
        </is>
      </c>
      <c r="AB2719" s="33" t="inlineStr">
        <is>
          <t>https://www.swimcloud.com/results/150355/event/4/?id=28421072#time28421072</t>
        </is>
      </c>
      <c r="AC2719" s="33" t="inlineStr">
        <is>
          <t>SwimCloud API v6 2026-10-08</t>
        </is>
      </c>
      <c r="AD2719" s="33" t="inlineStr">
        <is>
          <t>Thomas Heilman|2019-07-25|LCM|400|Free|268.5|Virginia Senior Long Course Age Group Championships|TIM|False</t>
        </is>
      </c>
      <c r="AE2719" s="53">
        <f>G2719+L2719/1000+ROW()/1000000000</f>
        <v/>
      </c>
      <c r="AF2719" s="35">
        <f>IF(C2719&lt;&gt;"Grayson Coulter","",COUNTIFS($C$5:$C$2991,"Grayson Coulter",$Q$5:$Q$2991,Q2719,$AE$5:$AE$2991,"&lt;="&amp;AE2719,$R$5:$R$2991,"&lt;"&amp;R2719))</f>
        <v/>
      </c>
      <c r="AG2719" s="35">
        <f>IF(OR(C2719&lt;&gt;"Grayson Coulter",G2719&lt;'00_Control'!$B$7),"",--(AF2719&lt;5))</f>
        <v/>
      </c>
      <c r="AH2719" s="35">
        <f>IF(OR(C2719&lt;&gt;"Grayson Coulter",G2719&lt;'00_Control'!$B$7),"",--(AF2719&lt;10))</f>
        <v/>
      </c>
      <c r="AI2719" s="35">
        <f>IF(AND(C2719="Grayson Coulter",G2719&gt;='00_Control'!$B$7),"YES","NO")</f>
        <v/>
      </c>
      <c r="AJ2719" s="33" t="inlineStr">
        <is>
          <t>OK</t>
        </is>
      </c>
    </row>
    <row r="2720">
      <c r="A2720" s="33" t="inlineStr">
        <is>
          <t>SM002716</t>
        </is>
      </c>
      <c r="B2720" s="33" t="inlineStr">
        <is>
          <t>SW005</t>
        </is>
      </c>
      <c r="C2720" s="33" t="inlineStr">
        <is>
          <t>Thomas Heilman</t>
        </is>
      </c>
      <c r="D2720" s="33" t="inlineStr">
        <is>
          <t>SwimCloud</t>
        </is>
      </c>
      <c r="E2720" s="33" t="inlineStr">
        <is>
          <t>1336401</t>
        </is>
      </c>
      <c r="F2720" s="33" t="inlineStr">
        <is>
          <t>28422784</t>
        </is>
      </c>
      <c r="G2720" s="51" t="n">
        <v>43672</v>
      </c>
      <c r="H2720" s="33" t="inlineStr">
        <is>
          <t>Virginia Senior Long Course Age Group Championships</t>
        </is>
      </c>
      <c r="I2720" s="33" t="inlineStr">
        <is>
          <t>150355</t>
        </is>
      </c>
      <c r="J2720" s="33" t="inlineStr"/>
      <c r="K2720" s="33" t="inlineStr">
        <is>
          <t>PRE</t>
        </is>
      </c>
      <c r="L2720" s="35">
        <f>IF(K2720="FIN",3,IF(OR(K2720="SEM",K2720="SEMI"),2,IF(OR(K2720="PRE",K2720="HEAT"),1,IF(V2720="YES",4,2))))</f>
        <v/>
      </c>
      <c r="M2720" s="33" t="inlineStr">
        <is>
          <t>LCM</t>
        </is>
      </c>
      <c r="N2720" s="33" t="n">
        <v>100</v>
      </c>
      <c r="O2720" s="33" t="inlineStr">
        <is>
          <t>Fly</t>
        </is>
      </c>
      <c r="P2720" s="33" t="inlineStr">
        <is>
          <t>100 Fly</t>
        </is>
      </c>
      <c r="Q2720" s="33" t="inlineStr">
        <is>
          <t>LCM_100_FLY</t>
        </is>
      </c>
      <c r="R2720" s="36" t="n">
        <v>61.36</v>
      </c>
      <c r="S2720" s="35">
        <f>IF(R2720="","",IF(R2720&gt;=60,INT(R2720/60)&amp;":"&amp;TEXT(MOD(R2720,60),"00.00"),TEXT(R2720,"0.00")))</f>
        <v/>
      </c>
      <c r="T2720" s="52">
        <f>IFERROR((G2720-INDEX('01_Swimmers'!$E$5:$E$22,MATCH(B2720,'01_Swimmers'!$A$5:$A$22,0)))/'00_Control'!$B$10,"")</f>
        <v/>
      </c>
      <c r="U2720" s="35">
        <f>IF(T2720="","",INT(T2720))</f>
        <v/>
      </c>
      <c r="V2720" s="33" t="inlineStr">
        <is>
          <t>NO</t>
        </is>
      </c>
      <c r="W2720" s="33" t="inlineStr">
        <is>
          <t>YES</t>
        </is>
      </c>
      <c r="X2720" s="33" t="inlineStr">
        <is>
          <t>NO</t>
        </is>
      </c>
      <c r="Y2720" s="33" t="n">
        <v>5</v>
      </c>
      <c r="Z2720" s="33" t="n">
        <v>4</v>
      </c>
      <c r="AA2720" s="33" t="inlineStr">
        <is>
          <t>1</t>
        </is>
      </c>
      <c r="AB2720" s="33" t="inlineStr">
        <is>
          <t>https://www.swimcloud.com/results/150355/event/24/?id=28422784#time28422784</t>
        </is>
      </c>
      <c r="AC2720" s="33" t="inlineStr">
        <is>
          <t>SwimCloud API v6 2026-10-08</t>
        </is>
      </c>
      <c r="AD2720" s="33" t="inlineStr">
        <is>
          <t>Thomas Heilman|2019-07-26|LCM|100|Fly|61.36|Virginia Senior Long Course Age Group Championships|PRE|False</t>
        </is>
      </c>
      <c r="AE2720" s="53">
        <f>G2720+L2720/1000+ROW()/1000000000</f>
        <v/>
      </c>
      <c r="AF2720" s="35">
        <f>IF(C2720&lt;&gt;"Grayson Coulter","",COUNTIFS($C$5:$C$2991,"Grayson Coulter",$Q$5:$Q$2991,Q2720,$AE$5:$AE$2991,"&lt;="&amp;AE2720,$R$5:$R$2991,"&lt;"&amp;R2720))</f>
        <v/>
      </c>
      <c r="AG2720" s="35">
        <f>IF(OR(C2720&lt;&gt;"Grayson Coulter",G2720&lt;'00_Control'!$B$7),"",--(AF2720&lt;5))</f>
        <v/>
      </c>
      <c r="AH2720" s="35">
        <f>IF(OR(C2720&lt;&gt;"Grayson Coulter",G2720&lt;'00_Control'!$B$7),"",--(AF2720&lt;10))</f>
        <v/>
      </c>
      <c r="AI2720" s="35">
        <f>IF(AND(C2720="Grayson Coulter",G2720&gt;='00_Control'!$B$7),"YES","NO")</f>
        <v/>
      </c>
      <c r="AJ2720" s="33" t="inlineStr">
        <is>
          <t>OK</t>
        </is>
      </c>
    </row>
    <row r="2721">
      <c r="A2721" s="33" t="inlineStr">
        <is>
          <t>SM002717</t>
        </is>
      </c>
      <c r="B2721" s="33" t="inlineStr">
        <is>
          <t>SW005</t>
        </is>
      </c>
      <c r="C2721" s="33" t="inlineStr">
        <is>
          <t>Thomas Heilman</t>
        </is>
      </c>
      <c r="D2721" s="33" t="inlineStr">
        <is>
          <t>SwimCloud</t>
        </is>
      </c>
      <c r="E2721" s="33" t="inlineStr">
        <is>
          <t>1336401</t>
        </is>
      </c>
      <c r="F2721" s="33" t="inlineStr">
        <is>
          <t>28422785</t>
        </is>
      </c>
      <c r="G2721" s="51" t="n">
        <v>43672</v>
      </c>
      <c r="H2721" s="33" t="inlineStr">
        <is>
          <t>Virginia Senior Long Course Age Group Championships</t>
        </is>
      </c>
      <c r="I2721" s="33" t="inlineStr">
        <is>
          <t>150355</t>
        </is>
      </c>
      <c r="J2721" s="33" t="inlineStr"/>
      <c r="K2721" s="33" t="inlineStr">
        <is>
          <t>FIN</t>
        </is>
      </c>
      <c r="L2721" s="35">
        <f>IF(K2721="FIN",3,IF(OR(K2721="SEM",K2721="SEMI"),2,IF(OR(K2721="PRE",K2721="HEAT"),1,IF(V2721="YES",4,2))))</f>
        <v/>
      </c>
      <c r="M2721" s="33" t="inlineStr">
        <is>
          <t>LCM</t>
        </is>
      </c>
      <c r="N2721" s="33" t="n">
        <v>100</v>
      </c>
      <c r="O2721" s="33" t="inlineStr">
        <is>
          <t>Fly</t>
        </is>
      </c>
      <c r="P2721" s="33" t="inlineStr">
        <is>
          <t>100 Fly</t>
        </is>
      </c>
      <c r="Q2721" s="33" t="inlineStr">
        <is>
          <t>LCM_100_FLY</t>
        </is>
      </c>
      <c r="R2721" s="36" t="n">
        <v>59.89</v>
      </c>
      <c r="S2721" s="35">
        <f>IF(R2721="","",IF(R2721&gt;=60,INT(R2721/60)&amp;":"&amp;TEXT(MOD(R2721,60),"00.00"),TEXT(R2721,"0.00")))</f>
        <v/>
      </c>
      <c r="T2721" s="52">
        <f>IFERROR((G2721-INDEX('01_Swimmers'!$E$5:$E$22,MATCH(B2721,'01_Swimmers'!$A$5:$A$22,0)))/'00_Control'!$B$10,"")</f>
        <v/>
      </c>
      <c r="U2721" s="35">
        <f>IF(T2721="","",INT(T2721))</f>
        <v/>
      </c>
      <c r="V2721" s="33" t="inlineStr">
        <is>
          <t>NO</t>
        </is>
      </c>
      <c r="W2721" s="33" t="inlineStr">
        <is>
          <t>YES</t>
        </is>
      </c>
      <c r="X2721" s="33" t="inlineStr">
        <is>
          <t>NO</t>
        </is>
      </c>
      <c r="Y2721" s="33" t="n">
        <v>2</v>
      </c>
      <c r="Z2721" s="33" t="n">
        <v>4</v>
      </c>
      <c r="AA2721" s="33" t="inlineStr">
        <is>
          <t>1</t>
        </is>
      </c>
      <c r="AB2721" s="33" t="inlineStr">
        <is>
          <t>https://www.swimcloud.com/results/150355/event/24/?id=28422785#time28422785</t>
        </is>
      </c>
      <c r="AC2721" s="33" t="inlineStr">
        <is>
          <t>SwimCloud API v6 2026-10-08</t>
        </is>
      </c>
      <c r="AD2721" s="33" t="inlineStr">
        <is>
          <t>Thomas Heilman|2019-07-26|LCM|100|Fly|59.89|Virginia Senior Long Course Age Group Championships|FIN|False</t>
        </is>
      </c>
      <c r="AE2721" s="53">
        <f>G2721+L2721/1000+ROW()/1000000000</f>
        <v/>
      </c>
      <c r="AF2721" s="35">
        <f>IF(C2721&lt;&gt;"Grayson Coulter","",COUNTIFS($C$5:$C$2991,"Grayson Coulter",$Q$5:$Q$2991,Q2721,$AE$5:$AE$2991,"&lt;="&amp;AE2721,$R$5:$R$2991,"&lt;"&amp;R2721))</f>
        <v/>
      </c>
      <c r="AG2721" s="35">
        <f>IF(OR(C2721&lt;&gt;"Grayson Coulter",G2721&lt;'00_Control'!$B$7),"",--(AF2721&lt;5))</f>
        <v/>
      </c>
      <c r="AH2721" s="35">
        <f>IF(OR(C2721&lt;&gt;"Grayson Coulter",G2721&lt;'00_Control'!$B$7),"",--(AF2721&lt;10))</f>
        <v/>
      </c>
      <c r="AI2721" s="35">
        <f>IF(AND(C2721="Grayson Coulter",G2721&gt;='00_Control'!$B$7),"YES","NO")</f>
        <v/>
      </c>
      <c r="AJ2721" s="33" t="inlineStr">
        <is>
          <t>OK</t>
        </is>
      </c>
    </row>
    <row r="2722">
      <c r="A2722" s="33" t="inlineStr">
        <is>
          <t>SM002718</t>
        </is>
      </c>
      <c r="B2722" s="33" t="inlineStr">
        <is>
          <t>SW005</t>
        </is>
      </c>
      <c r="C2722" s="33" t="inlineStr">
        <is>
          <t>Thomas Heilman</t>
        </is>
      </c>
      <c r="D2722" s="33" t="inlineStr">
        <is>
          <t>SwimCloud</t>
        </is>
      </c>
      <c r="E2722" s="33" t="inlineStr">
        <is>
          <t>1336401</t>
        </is>
      </c>
      <c r="F2722" s="33" t="inlineStr">
        <is>
          <t>28422950</t>
        </is>
      </c>
      <c r="G2722" s="51" t="n">
        <v>43672</v>
      </c>
      <c r="H2722" s="33" t="inlineStr">
        <is>
          <t>Virginia Senior Long Course Age Group Championships</t>
        </is>
      </c>
      <c r="I2722" s="33" t="inlineStr">
        <is>
          <t>150355</t>
        </is>
      </c>
      <c r="J2722" s="33" t="inlineStr"/>
      <c r="K2722" s="33" t="inlineStr">
        <is>
          <t>PRE</t>
        </is>
      </c>
      <c r="L2722" s="35">
        <f>IF(K2722="FIN",3,IF(OR(K2722="SEM",K2722="SEMI"),2,IF(OR(K2722="PRE",K2722="HEAT"),1,IF(V2722="YES",4,2))))</f>
        <v/>
      </c>
      <c r="M2722" s="33" t="inlineStr">
        <is>
          <t>LCM</t>
        </is>
      </c>
      <c r="N2722" s="33" t="n">
        <v>200</v>
      </c>
      <c r="O2722" s="33" t="inlineStr">
        <is>
          <t>Free</t>
        </is>
      </c>
      <c r="P2722" s="33" t="inlineStr">
        <is>
          <t>200 Free</t>
        </is>
      </c>
      <c r="Q2722" s="33" t="inlineStr">
        <is>
          <t>LCM_200_FREE</t>
        </is>
      </c>
      <c r="R2722" s="36" t="n">
        <v>128.42</v>
      </c>
      <c r="S2722" s="35">
        <f>IF(R2722="","",IF(R2722&gt;=60,INT(R2722/60)&amp;":"&amp;TEXT(MOD(R2722,60),"00.00"),TEXT(R2722,"0.00")))</f>
        <v/>
      </c>
      <c r="T2722" s="52">
        <f>IFERROR((G2722-INDEX('01_Swimmers'!$E$5:$E$22,MATCH(B2722,'01_Swimmers'!$A$5:$A$22,0)))/'00_Control'!$B$10,"")</f>
        <v/>
      </c>
      <c r="U2722" s="35">
        <f>IF(T2722="","",INT(T2722))</f>
        <v/>
      </c>
      <c r="V2722" s="33" t="inlineStr">
        <is>
          <t>NO</t>
        </is>
      </c>
      <c r="W2722" s="33" t="inlineStr">
        <is>
          <t>YES</t>
        </is>
      </c>
      <c r="X2722" s="33" t="inlineStr">
        <is>
          <t>NO</t>
        </is>
      </c>
      <c r="Y2722" s="33" t="n">
        <v>5</v>
      </c>
      <c r="Z2722" s="33" t="n">
        <v>4</v>
      </c>
      <c r="AA2722" s="33" t="inlineStr">
        <is>
          <t>1</t>
        </is>
      </c>
      <c r="AB2722" s="33" t="inlineStr">
        <is>
          <t>https://www.swimcloud.com/results/150355/event/18/?id=28422950#time28422950</t>
        </is>
      </c>
      <c r="AC2722" s="33" t="inlineStr">
        <is>
          <t>SwimCloud API v6 2026-10-08</t>
        </is>
      </c>
      <c r="AD2722" s="33" t="inlineStr">
        <is>
          <t>Thomas Heilman|2019-07-26|LCM|200|Free|128.42|Virginia Senior Long Course Age Group Championships|PRE|False</t>
        </is>
      </c>
      <c r="AE2722" s="53">
        <f>G2722+L2722/1000+ROW()/1000000000</f>
        <v/>
      </c>
      <c r="AF2722" s="35">
        <f>IF(C2722&lt;&gt;"Grayson Coulter","",COUNTIFS($C$5:$C$2991,"Grayson Coulter",$Q$5:$Q$2991,Q2722,$AE$5:$AE$2991,"&lt;="&amp;AE2722,$R$5:$R$2991,"&lt;"&amp;R2722))</f>
        <v/>
      </c>
      <c r="AG2722" s="35">
        <f>IF(OR(C2722&lt;&gt;"Grayson Coulter",G2722&lt;'00_Control'!$B$7),"",--(AF2722&lt;5))</f>
        <v/>
      </c>
      <c r="AH2722" s="35">
        <f>IF(OR(C2722&lt;&gt;"Grayson Coulter",G2722&lt;'00_Control'!$B$7),"",--(AF2722&lt;10))</f>
        <v/>
      </c>
      <c r="AI2722" s="35">
        <f>IF(AND(C2722="Grayson Coulter",G2722&gt;='00_Control'!$B$7),"YES","NO")</f>
        <v/>
      </c>
      <c r="AJ2722" s="33" t="inlineStr">
        <is>
          <t>OK</t>
        </is>
      </c>
    </row>
    <row r="2723">
      <c r="A2723" s="33" t="inlineStr">
        <is>
          <t>SM002719</t>
        </is>
      </c>
      <c r="B2723" s="33" t="inlineStr">
        <is>
          <t>SW005</t>
        </is>
      </c>
      <c r="C2723" s="33" t="inlineStr">
        <is>
          <t>Thomas Heilman</t>
        </is>
      </c>
      <c r="D2723" s="33" t="inlineStr">
        <is>
          <t>SwimCloud</t>
        </is>
      </c>
      <c r="E2723" s="33" t="inlineStr">
        <is>
          <t>1336401</t>
        </is>
      </c>
      <c r="F2723" s="33" t="inlineStr">
        <is>
          <t>28422951</t>
        </is>
      </c>
      <c r="G2723" s="51" t="n">
        <v>43672</v>
      </c>
      <c r="H2723" s="33" t="inlineStr">
        <is>
          <t>Virginia Senior Long Course Age Group Championships</t>
        </is>
      </c>
      <c r="I2723" s="33" t="inlineStr">
        <is>
          <t>150355</t>
        </is>
      </c>
      <c r="J2723" s="33" t="inlineStr"/>
      <c r="K2723" s="33" t="inlineStr">
        <is>
          <t>FIN</t>
        </is>
      </c>
      <c r="L2723" s="35">
        <f>IF(K2723="FIN",3,IF(OR(K2723="SEM",K2723="SEMI"),2,IF(OR(K2723="PRE",K2723="HEAT"),1,IF(V2723="YES",4,2))))</f>
        <v/>
      </c>
      <c r="M2723" s="33" t="inlineStr">
        <is>
          <t>LCM</t>
        </is>
      </c>
      <c r="N2723" s="33" t="n">
        <v>200</v>
      </c>
      <c r="O2723" s="33" t="inlineStr">
        <is>
          <t>Free</t>
        </is>
      </c>
      <c r="P2723" s="33" t="inlineStr">
        <is>
          <t>200 Free</t>
        </is>
      </c>
      <c r="Q2723" s="33" t="inlineStr">
        <is>
          <t>LCM_200_FREE</t>
        </is>
      </c>
      <c r="R2723" s="36" t="n">
        <v>122.47</v>
      </c>
      <c r="S2723" s="35">
        <f>IF(R2723="","",IF(R2723&gt;=60,INT(R2723/60)&amp;":"&amp;TEXT(MOD(R2723,60),"00.00"),TEXT(R2723,"0.00")))</f>
        <v/>
      </c>
      <c r="T2723" s="52">
        <f>IFERROR((G2723-INDEX('01_Swimmers'!$E$5:$E$22,MATCH(B2723,'01_Swimmers'!$A$5:$A$22,0)))/'00_Control'!$B$10,"")</f>
        <v/>
      </c>
      <c r="U2723" s="35">
        <f>IF(T2723="","",INT(T2723))</f>
        <v/>
      </c>
      <c r="V2723" s="33" t="inlineStr">
        <is>
          <t>NO</t>
        </is>
      </c>
      <c r="W2723" s="33" t="inlineStr">
        <is>
          <t>YES</t>
        </is>
      </c>
      <c r="X2723" s="33" t="inlineStr">
        <is>
          <t>NO</t>
        </is>
      </c>
      <c r="Y2723" s="33" t="n">
        <v>2</v>
      </c>
      <c r="Z2723" s="33" t="n">
        <v>4</v>
      </c>
      <c r="AA2723" s="33" t="inlineStr">
        <is>
          <t>1</t>
        </is>
      </c>
      <c r="AB2723" s="33" t="inlineStr">
        <is>
          <t>https://www.swimcloud.com/results/150355/event/18/?id=28422951#time28422951</t>
        </is>
      </c>
      <c r="AC2723" s="33" t="inlineStr">
        <is>
          <t>SwimCloud API v6 2026-10-08</t>
        </is>
      </c>
      <c r="AD2723" s="33" t="inlineStr">
        <is>
          <t>Thomas Heilman|2019-07-26|LCM|200|Free|122.47|Virginia Senior Long Course Age Group Championships|FIN|False</t>
        </is>
      </c>
      <c r="AE2723" s="53">
        <f>G2723+L2723/1000+ROW()/1000000000</f>
        <v/>
      </c>
      <c r="AF2723" s="35">
        <f>IF(C2723&lt;&gt;"Grayson Coulter","",COUNTIFS($C$5:$C$2991,"Grayson Coulter",$Q$5:$Q$2991,Q2723,$AE$5:$AE$2991,"&lt;="&amp;AE2723,$R$5:$R$2991,"&lt;"&amp;R2723))</f>
        <v/>
      </c>
      <c r="AG2723" s="35">
        <f>IF(OR(C2723&lt;&gt;"Grayson Coulter",G2723&lt;'00_Control'!$B$7),"",--(AF2723&lt;5))</f>
        <v/>
      </c>
      <c r="AH2723" s="35">
        <f>IF(OR(C2723&lt;&gt;"Grayson Coulter",G2723&lt;'00_Control'!$B$7),"",--(AF2723&lt;10))</f>
        <v/>
      </c>
      <c r="AI2723" s="35">
        <f>IF(AND(C2723="Grayson Coulter",G2723&gt;='00_Control'!$B$7),"YES","NO")</f>
        <v/>
      </c>
      <c r="AJ2723" s="33" t="inlineStr">
        <is>
          <t>OK</t>
        </is>
      </c>
    </row>
    <row r="2724">
      <c r="A2724" s="33" t="inlineStr">
        <is>
          <t>SM002720</t>
        </is>
      </c>
      <c r="B2724" s="33" t="inlineStr">
        <is>
          <t>SW005</t>
        </is>
      </c>
      <c r="C2724" s="33" t="inlineStr">
        <is>
          <t>Thomas Heilman</t>
        </is>
      </c>
      <c r="D2724" s="33" t="inlineStr">
        <is>
          <t>SwimCloud</t>
        </is>
      </c>
      <c r="E2724" s="33" t="inlineStr">
        <is>
          <t>1336401</t>
        </is>
      </c>
      <c r="F2724" s="33" t="inlineStr">
        <is>
          <t>28421393</t>
        </is>
      </c>
      <c r="G2724" s="51" t="n">
        <v>43674</v>
      </c>
      <c r="H2724" s="33" t="inlineStr">
        <is>
          <t>Virginia Senior Long Course Age Group Championships</t>
        </is>
      </c>
      <c r="I2724" s="33" t="inlineStr">
        <is>
          <t>150355</t>
        </is>
      </c>
      <c r="J2724" s="33" t="inlineStr"/>
      <c r="K2724" s="33" t="inlineStr">
        <is>
          <t>PRE</t>
        </is>
      </c>
      <c r="L2724" s="35">
        <f>IF(K2724="FIN",3,IF(OR(K2724="SEM",K2724="SEMI"),2,IF(OR(K2724="PRE",K2724="HEAT"),1,IF(V2724="YES",4,2))))</f>
        <v/>
      </c>
      <c r="M2724" s="33" t="inlineStr">
        <is>
          <t>LCM</t>
        </is>
      </c>
      <c r="N2724" s="33" t="n">
        <v>100</v>
      </c>
      <c r="O2724" s="33" t="inlineStr">
        <is>
          <t>Free</t>
        </is>
      </c>
      <c r="P2724" s="33" t="inlineStr">
        <is>
          <t>100 Free</t>
        </is>
      </c>
      <c r="Q2724" s="33" t="inlineStr">
        <is>
          <t>LCM_100_FREE</t>
        </is>
      </c>
      <c r="R2724" s="36" t="n">
        <v>56.29</v>
      </c>
      <c r="S2724" s="35">
        <f>IF(R2724="","",IF(R2724&gt;=60,INT(R2724/60)&amp;":"&amp;TEXT(MOD(R2724,60),"00.00"),TEXT(R2724,"0.00")))</f>
        <v/>
      </c>
      <c r="T2724" s="52">
        <f>IFERROR((G2724-INDEX('01_Swimmers'!$E$5:$E$22,MATCH(B2724,'01_Swimmers'!$A$5:$A$22,0)))/'00_Control'!$B$10,"")</f>
        <v/>
      </c>
      <c r="U2724" s="35">
        <f>IF(T2724="","",INT(T2724))</f>
        <v/>
      </c>
      <c r="V2724" s="33" t="inlineStr">
        <is>
          <t>NO</t>
        </is>
      </c>
      <c r="W2724" s="33" t="inlineStr">
        <is>
          <t>YES</t>
        </is>
      </c>
      <c r="X2724" s="33" t="inlineStr">
        <is>
          <t>NO</t>
        </is>
      </c>
      <c r="Y2724" s="33" t="n">
        <v>6</v>
      </c>
      <c r="Z2724" s="33" t="n">
        <v>4</v>
      </c>
      <c r="AA2724" s="33" t="inlineStr">
        <is>
          <t>1</t>
        </is>
      </c>
      <c r="AB2724" s="33" t="inlineStr">
        <is>
          <t>https://www.swimcloud.com/results/150355/event/92/?id=28421393#time28421393</t>
        </is>
      </c>
      <c r="AC2724" s="33" t="inlineStr">
        <is>
          <t>SwimCloud API v6 2026-10-08</t>
        </is>
      </c>
      <c r="AD2724" s="33" t="inlineStr">
        <is>
          <t>Thomas Heilman|2019-07-28|LCM|100|Free|56.29|Virginia Senior Long Course Age Group Championships|PRE|False</t>
        </is>
      </c>
      <c r="AE2724" s="53">
        <f>G2724+L2724/1000+ROW()/1000000000</f>
        <v/>
      </c>
      <c r="AF2724" s="35">
        <f>IF(C2724&lt;&gt;"Grayson Coulter","",COUNTIFS($C$5:$C$2991,"Grayson Coulter",$Q$5:$Q$2991,Q2724,$AE$5:$AE$2991,"&lt;="&amp;AE2724,$R$5:$R$2991,"&lt;"&amp;R2724))</f>
        <v/>
      </c>
      <c r="AG2724" s="35">
        <f>IF(OR(C2724&lt;&gt;"Grayson Coulter",G2724&lt;'00_Control'!$B$7),"",--(AF2724&lt;5))</f>
        <v/>
      </c>
      <c r="AH2724" s="35">
        <f>IF(OR(C2724&lt;&gt;"Grayson Coulter",G2724&lt;'00_Control'!$B$7),"",--(AF2724&lt;10))</f>
        <v/>
      </c>
      <c r="AI2724" s="35">
        <f>IF(AND(C2724="Grayson Coulter",G2724&gt;='00_Control'!$B$7),"YES","NO")</f>
        <v/>
      </c>
      <c r="AJ2724" s="33" t="inlineStr">
        <is>
          <t>OK</t>
        </is>
      </c>
    </row>
    <row r="2725">
      <c r="A2725" s="33" t="inlineStr">
        <is>
          <t>SM002721</t>
        </is>
      </c>
      <c r="B2725" s="33" t="inlineStr">
        <is>
          <t>SW005</t>
        </is>
      </c>
      <c r="C2725" s="33" t="inlineStr">
        <is>
          <t>Thomas Heilman</t>
        </is>
      </c>
      <c r="D2725" s="33" t="inlineStr">
        <is>
          <t>SwimCloud</t>
        </is>
      </c>
      <c r="E2725" s="33" t="inlineStr">
        <is>
          <t>1336401</t>
        </is>
      </c>
      <c r="F2725" s="33" t="inlineStr">
        <is>
          <t>28421394</t>
        </is>
      </c>
      <c r="G2725" s="51" t="n">
        <v>43674</v>
      </c>
      <c r="H2725" s="33" t="inlineStr">
        <is>
          <t>Virginia Senior Long Course Age Group Championships</t>
        </is>
      </c>
      <c r="I2725" s="33" t="inlineStr">
        <is>
          <t>150355</t>
        </is>
      </c>
      <c r="J2725" s="33" t="inlineStr"/>
      <c r="K2725" s="33" t="inlineStr">
        <is>
          <t>FIN</t>
        </is>
      </c>
      <c r="L2725" s="35">
        <f>IF(K2725="FIN",3,IF(OR(K2725="SEM",K2725="SEMI"),2,IF(OR(K2725="PRE",K2725="HEAT"),1,IF(V2725="YES",4,2))))</f>
        <v/>
      </c>
      <c r="M2725" s="33" t="inlineStr">
        <is>
          <t>LCM</t>
        </is>
      </c>
      <c r="N2725" s="33" t="n">
        <v>100</v>
      </c>
      <c r="O2725" s="33" t="inlineStr">
        <is>
          <t>Free</t>
        </is>
      </c>
      <c r="P2725" s="33" t="inlineStr">
        <is>
          <t>100 Free</t>
        </is>
      </c>
      <c r="Q2725" s="33" t="inlineStr">
        <is>
          <t>LCM_100_FREE</t>
        </is>
      </c>
      <c r="R2725" s="36" t="n">
        <v>56.53</v>
      </c>
      <c r="S2725" s="35">
        <f>IF(R2725="","",IF(R2725&gt;=60,INT(R2725/60)&amp;":"&amp;TEXT(MOD(R2725,60),"00.00"),TEXT(R2725,"0.00")))</f>
        <v/>
      </c>
      <c r="T2725" s="52">
        <f>IFERROR((G2725-INDEX('01_Swimmers'!$E$5:$E$22,MATCH(B2725,'01_Swimmers'!$A$5:$A$22,0)))/'00_Control'!$B$10,"")</f>
        <v/>
      </c>
      <c r="U2725" s="35">
        <f>IF(T2725="","",INT(T2725))</f>
        <v/>
      </c>
      <c r="V2725" s="33" t="inlineStr">
        <is>
          <t>NO</t>
        </is>
      </c>
      <c r="W2725" s="33" t="inlineStr">
        <is>
          <t>YES</t>
        </is>
      </c>
      <c r="X2725" s="33" t="inlineStr">
        <is>
          <t>NO</t>
        </is>
      </c>
      <c r="Y2725" s="33" t="n">
        <v>2</v>
      </c>
      <c r="Z2725" s="33" t="n">
        <v>4</v>
      </c>
      <c r="AA2725" s="33" t="inlineStr">
        <is>
          <t>1</t>
        </is>
      </c>
      <c r="AB2725" s="33" t="inlineStr">
        <is>
          <t>https://www.swimcloud.com/results/150355/event/92/?id=28421394#time28421394</t>
        </is>
      </c>
      <c r="AC2725" s="33" t="inlineStr">
        <is>
          <t>SwimCloud API v6 2026-10-08</t>
        </is>
      </c>
      <c r="AD2725" s="33" t="inlineStr">
        <is>
          <t>Thomas Heilman|2019-07-28|LCM|100|Free|56.53|Virginia Senior Long Course Age Group Championships|FIN|False</t>
        </is>
      </c>
      <c r="AE2725" s="53">
        <f>G2725+L2725/1000+ROW()/1000000000</f>
        <v/>
      </c>
      <c r="AF2725" s="35">
        <f>IF(C2725&lt;&gt;"Grayson Coulter","",COUNTIFS($C$5:$C$2991,"Grayson Coulter",$Q$5:$Q$2991,Q2725,$AE$5:$AE$2991,"&lt;="&amp;AE2725,$R$5:$R$2991,"&lt;"&amp;R2725))</f>
        <v/>
      </c>
      <c r="AG2725" s="35">
        <f>IF(OR(C2725&lt;&gt;"Grayson Coulter",G2725&lt;'00_Control'!$B$7),"",--(AF2725&lt;5))</f>
        <v/>
      </c>
      <c r="AH2725" s="35">
        <f>IF(OR(C2725&lt;&gt;"Grayson Coulter",G2725&lt;'00_Control'!$B$7),"",--(AF2725&lt;10))</f>
        <v/>
      </c>
      <c r="AI2725" s="35">
        <f>IF(AND(C2725="Grayson Coulter",G2725&gt;='00_Control'!$B$7),"YES","NO")</f>
        <v/>
      </c>
      <c r="AJ2725" s="33" t="inlineStr">
        <is>
          <t>OK</t>
        </is>
      </c>
    </row>
    <row r="2726">
      <c r="A2726" s="33" t="inlineStr">
        <is>
          <t>SM002722</t>
        </is>
      </c>
      <c r="B2726" s="33" t="inlineStr">
        <is>
          <t>SW005</t>
        </is>
      </c>
      <c r="C2726" s="33" t="inlineStr">
        <is>
          <t>Thomas Heilman</t>
        </is>
      </c>
      <c r="D2726" s="33" t="inlineStr">
        <is>
          <t>SwimCloud</t>
        </is>
      </c>
      <c r="E2726" s="33" t="inlineStr">
        <is>
          <t>1336401</t>
        </is>
      </c>
      <c r="F2726" s="33" t="inlineStr">
        <is>
          <t>37387350</t>
        </is>
      </c>
      <c r="G2726" s="51" t="n">
        <v>44148</v>
      </c>
      <c r="H2726" s="33" t="inlineStr">
        <is>
          <t>Toyota US Open</t>
        </is>
      </c>
      <c r="I2726" s="33" t="inlineStr">
        <is>
          <t>184276</t>
        </is>
      </c>
      <c r="J2726" s="33" t="inlineStr"/>
      <c r="K2726" s="33" t="inlineStr">
        <is>
          <t>TIM</t>
        </is>
      </c>
      <c r="L2726" s="35">
        <f>IF(K2726="FIN",3,IF(OR(K2726="SEM",K2726="SEMI"),2,IF(OR(K2726="PRE",K2726="HEAT"),1,IF(V2726="YES",4,2))))</f>
        <v/>
      </c>
      <c r="M2726" s="33" t="inlineStr">
        <is>
          <t>LCM</t>
        </is>
      </c>
      <c r="N2726" s="33" t="n">
        <v>100</v>
      </c>
      <c r="O2726" s="33" t="inlineStr">
        <is>
          <t>Fly</t>
        </is>
      </c>
      <c r="P2726" s="33" t="inlineStr">
        <is>
          <t>100 Fly</t>
        </is>
      </c>
      <c r="Q2726" s="33" t="inlineStr">
        <is>
          <t>LCM_100_FLY</t>
        </is>
      </c>
      <c r="R2726" s="36" t="n">
        <v>54.45</v>
      </c>
      <c r="S2726" s="35">
        <f>IF(R2726="","",IF(R2726&gt;=60,INT(R2726/60)&amp;":"&amp;TEXT(MOD(R2726,60),"00.00"),TEXT(R2726,"0.00")))</f>
        <v/>
      </c>
      <c r="T2726" s="52">
        <f>IFERROR((G2726-INDEX('01_Swimmers'!$E$5:$E$22,MATCH(B2726,'01_Swimmers'!$A$5:$A$22,0)))/'00_Control'!$B$10,"")</f>
        <v/>
      </c>
      <c r="U2726" s="35">
        <f>IF(T2726="","",INT(T2726))</f>
        <v/>
      </c>
      <c r="V2726" s="33" t="inlineStr">
        <is>
          <t>NO</t>
        </is>
      </c>
      <c r="W2726" s="33" t="inlineStr">
        <is>
          <t>YES</t>
        </is>
      </c>
      <c r="X2726" s="33" t="inlineStr">
        <is>
          <t>NO</t>
        </is>
      </c>
      <c r="Y2726" s="33" t="n">
        <v>16</v>
      </c>
      <c r="Z2726" s="33" t="n">
        <v>5</v>
      </c>
      <c r="AA2726" s="33" t="inlineStr">
        <is>
          <t>28</t>
        </is>
      </c>
      <c r="AB2726" s="33" t="inlineStr">
        <is>
          <t>https://www.swimcloud.com/results/184276/event/12/?id=37387350#time37387350</t>
        </is>
      </c>
      <c r="AC2726" s="33" t="inlineStr">
        <is>
          <t>SwimCloud API v6 2026-10-08</t>
        </is>
      </c>
      <c r="AD2726" s="33" t="inlineStr">
        <is>
          <t>Thomas Heilman|2020-11-13|LCM|100|Fly|54.45|Toyota US Open|TIM|False</t>
        </is>
      </c>
      <c r="AE2726" s="53">
        <f>G2726+L2726/1000+ROW()/1000000000</f>
        <v/>
      </c>
      <c r="AF2726" s="35">
        <f>IF(C2726&lt;&gt;"Grayson Coulter","",COUNTIFS($C$5:$C$2991,"Grayson Coulter",$Q$5:$Q$2991,Q2726,$AE$5:$AE$2991,"&lt;="&amp;AE2726,$R$5:$R$2991,"&lt;"&amp;R2726))</f>
        <v/>
      </c>
      <c r="AG2726" s="35">
        <f>IF(OR(C2726&lt;&gt;"Grayson Coulter",G2726&lt;'00_Control'!$B$7),"",--(AF2726&lt;5))</f>
        <v/>
      </c>
      <c r="AH2726" s="35">
        <f>IF(OR(C2726&lt;&gt;"Grayson Coulter",G2726&lt;'00_Control'!$B$7),"",--(AF2726&lt;10))</f>
        <v/>
      </c>
      <c r="AI2726" s="35">
        <f>IF(AND(C2726="Grayson Coulter",G2726&gt;='00_Control'!$B$7),"YES","NO")</f>
        <v/>
      </c>
      <c r="AJ2726" s="33" t="inlineStr">
        <is>
          <t>OK</t>
        </is>
      </c>
    </row>
    <row r="2727">
      <c r="A2727" s="33" t="inlineStr">
        <is>
          <t>SM002723</t>
        </is>
      </c>
      <c r="B2727" s="33" t="inlineStr">
        <is>
          <t>SW005</t>
        </is>
      </c>
      <c r="C2727" s="33" t="inlineStr">
        <is>
          <t>Thomas Heilman</t>
        </is>
      </c>
      <c r="D2727" s="33" t="inlineStr">
        <is>
          <t>SwimCloud</t>
        </is>
      </c>
      <c r="E2727" s="33" t="inlineStr">
        <is>
          <t>1336401</t>
        </is>
      </c>
      <c r="F2727" s="33" t="inlineStr">
        <is>
          <t>37536859</t>
        </is>
      </c>
      <c r="G2727" s="51" t="n">
        <v>44148</v>
      </c>
      <c r="H2727" s="33" t="inlineStr">
        <is>
          <t>US Open - Richmond</t>
        </is>
      </c>
      <c r="I2727" s="33" t="inlineStr">
        <is>
          <t>187132</t>
        </is>
      </c>
      <c r="J2727" s="33" t="inlineStr"/>
      <c r="K2727" s="33" t="inlineStr">
        <is>
          <t>TIM</t>
        </is>
      </c>
      <c r="L2727" s="35">
        <f>IF(K2727="FIN",3,IF(OR(K2727="SEM",K2727="SEMI"),2,IF(OR(K2727="PRE",K2727="HEAT"),1,IF(V2727="YES",4,2))))</f>
        <v/>
      </c>
      <c r="M2727" s="33" t="inlineStr">
        <is>
          <t>LCM</t>
        </is>
      </c>
      <c r="N2727" s="33" t="n">
        <v>100</v>
      </c>
      <c r="O2727" s="33" t="inlineStr">
        <is>
          <t>Fly</t>
        </is>
      </c>
      <c r="P2727" s="33" t="inlineStr">
        <is>
          <t>100 Fly</t>
        </is>
      </c>
      <c r="Q2727" s="33" t="inlineStr">
        <is>
          <t>LCM_100_FLY</t>
        </is>
      </c>
      <c r="R2727" s="36" t="n">
        <v>54.45</v>
      </c>
      <c r="S2727" s="35">
        <f>IF(R2727="","",IF(R2727&gt;=60,INT(R2727/60)&amp;":"&amp;TEXT(MOD(R2727,60),"00.00"),TEXT(R2727,"0.00")))</f>
        <v/>
      </c>
      <c r="T2727" s="52">
        <f>IFERROR((G2727-INDEX('01_Swimmers'!$E$5:$E$22,MATCH(B2727,'01_Swimmers'!$A$5:$A$22,0)))/'00_Control'!$B$10,"")</f>
        <v/>
      </c>
      <c r="U2727" s="35">
        <f>IF(T2727="","",INT(T2727))</f>
        <v/>
      </c>
      <c r="V2727" s="33" t="inlineStr">
        <is>
          <t>NO</t>
        </is>
      </c>
      <c r="W2727" s="33" t="inlineStr">
        <is>
          <t>YES</t>
        </is>
      </c>
      <c r="X2727" s="33" t="inlineStr">
        <is>
          <t>NO</t>
        </is>
      </c>
      <c r="Y2727" s="33" t="n">
        <v>1</v>
      </c>
      <c r="Z2727" s="33" t="n">
        <v>5</v>
      </c>
      <c r="AA2727" s="33" t="inlineStr">
        <is>
          <t>4</t>
        </is>
      </c>
      <c r="AB2727" s="33" t="inlineStr">
        <is>
          <t>https://www.swimcloud.com/results/187132/event/12/?id=37536859#time37536859</t>
        </is>
      </c>
      <c r="AC2727" s="33" t="inlineStr">
        <is>
          <t>SwimCloud API v6 2026-10-08</t>
        </is>
      </c>
      <c r="AD2727" s="33" t="inlineStr">
        <is>
          <t>Thomas Heilman|2020-11-13|LCM|100|Fly|54.45|US Open - Richmond|TIM|False</t>
        </is>
      </c>
      <c r="AE2727" s="53">
        <f>G2727+L2727/1000+ROW()/1000000000</f>
        <v/>
      </c>
      <c r="AF2727" s="35">
        <f>IF(C2727&lt;&gt;"Grayson Coulter","",COUNTIFS($C$5:$C$2991,"Grayson Coulter",$Q$5:$Q$2991,Q2727,$AE$5:$AE$2991,"&lt;="&amp;AE2727,$R$5:$R$2991,"&lt;"&amp;R2727))</f>
        <v/>
      </c>
      <c r="AG2727" s="35">
        <f>IF(OR(C2727&lt;&gt;"Grayson Coulter",G2727&lt;'00_Control'!$B$7),"",--(AF2727&lt;5))</f>
        <v/>
      </c>
      <c r="AH2727" s="35">
        <f>IF(OR(C2727&lt;&gt;"Grayson Coulter",G2727&lt;'00_Control'!$B$7),"",--(AF2727&lt;10))</f>
        <v/>
      </c>
      <c r="AI2727" s="35">
        <f>IF(AND(C2727="Grayson Coulter",G2727&gt;='00_Control'!$B$7),"YES","NO")</f>
        <v/>
      </c>
      <c r="AJ2727" s="33" t="inlineStr">
        <is>
          <t>OK</t>
        </is>
      </c>
    </row>
    <row r="2728">
      <c r="A2728" s="33" t="inlineStr">
        <is>
          <t>SM002724</t>
        </is>
      </c>
      <c r="B2728" s="33" t="inlineStr">
        <is>
          <t>SW005</t>
        </is>
      </c>
      <c r="C2728" s="33" t="inlineStr">
        <is>
          <t>Thomas Heilman</t>
        </is>
      </c>
      <c r="D2728" s="33" t="inlineStr">
        <is>
          <t>SwimCloud</t>
        </is>
      </c>
      <c r="E2728" s="33" t="inlineStr">
        <is>
          <t>1336401</t>
        </is>
      </c>
      <c r="F2728" s="33" t="inlineStr">
        <is>
          <t>37388704</t>
        </is>
      </c>
      <c r="G2728" s="51" t="n">
        <v>44149</v>
      </c>
      <c r="H2728" s="33" t="inlineStr">
        <is>
          <t>Toyota US Open</t>
        </is>
      </c>
      <c r="I2728" s="33" t="inlineStr">
        <is>
          <t>184276</t>
        </is>
      </c>
      <c r="J2728" s="33" t="inlineStr"/>
      <c r="K2728" s="33" t="inlineStr">
        <is>
          <t>TIM</t>
        </is>
      </c>
      <c r="L2728" s="35">
        <f>IF(K2728="FIN",3,IF(OR(K2728="SEM",K2728="SEMI"),2,IF(OR(K2728="PRE",K2728="HEAT"),1,IF(V2728="YES",4,2))))</f>
        <v/>
      </c>
      <c r="M2728" s="33" t="inlineStr">
        <is>
          <t>LCM</t>
        </is>
      </c>
      <c r="N2728" s="33" t="n">
        <v>100</v>
      </c>
      <c r="O2728" s="33" t="inlineStr">
        <is>
          <t>Free</t>
        </is>
      </c>
      <c r="P2728" s="33" t="inlineStr">
        <is>
          <t>100 Free</t>
        </is>
      </c>
      <c r="Q2728" s="33" t="inlineStr">
        <is>
          <t>LCM_100_FREE</t>
        </is>
      </c>
      <c r="R2728" s="36" t="n">
        <v>51.2</v>
      </c>
      <c r="S2728" s="35">
        <f>IF(R2728="","",IF(R2728&gt;=60,INT(R2728/60)&amp;":"&amp;TEXT(MOD(R2728,60),"00.00"),TEXT(R2728,"0.00")))</f>
        <v/>
      </c>
      <c r="T2728" s="52">
        <f>IFERROR((G2728-INDEX('01_Swimmers'!$E$5:$E$22,MATCH(B2728,'01_Swimmers'!$A$5:$A$22,0)))/'00_Control'!$B$10,"")</f>
        <v/>
      </c>
      <c r="U2728" s="35">
        <f>IF(T2728="","",INT(T2728))</f>
        <v/>
      </c>
      <c r="V2728" s="33" t="inlineStr">
        <is>
          <t>NO</t>
        </is>
      </c>
      <c r="W2728" s="33" t="inlineStr">
        <is>
          <t>YES</t>
        </is>
      </c>
      <c r="X2728" s="33" t="inlineStr">
        <is>
          <t>NO</t>
        </is>
      </c>
      <c r="Y2728" s="33" t="n">
        <v>15</v>
      </c>
      <c r="Z2728" s="33" t="n">
        <v>6</v>
      </c>
      <c r="AA2728" s="33" t="inlineStr">
        <is>
          <t>48</t>
        </is>
      </c>
      <c r="AB2728" s="33" t="inlineStr">
        <is>
          <t>https://www.swimcloud.com/results/184276/event/24/?id=37388704#time37388704</t>
        </is>
      </c>
      <c r="AC2728" s="33" t="inlineStr">
        <is>
          <t>SwimCloud API v6 2026-10-08</t>
        </is>
      </c>
      <c r="AD2728" s="33" t="inlineStr">
        <is>
          <t>Thomas Heilman|2020-11-14|LCM|100|Free|51.2|Toyota US Open|TIM|False</t>
        </is>
      </c>
      <c r="AE2728" s="53">
        <f>G2728+L2728/1000+ROW()/1000000000</f>
        <v/>
      </c>
      <c r="AF2728" s="35">
        <f>IF(C2728&lt;&gt;"Grayson Coulter","",COUNTIFS($C$5:$C$2991,"Grayson Coulter",$Q$5:$Q$2991,Q2728,$AE$5:$AE$2991,"&lt;="&amp;AE2728,$R$5:$R$2991,"&lt;"&amp;R2728))</f>
        <v/>
      </c>
      <c r="AG2728" s="35">
        <f>IF(OR(C2728&lt;&gt;"Grayson Coulter",G2728&lt;'00_Control'!$B$7),"",--(AF2728&lt;5))</f>
        <v/>
      </c>
      <c r="AH2728" s="35">
        <f>IF(OR(C2728&lt;&gt;"Grayson Coulter",G2728&lt;'00_Control'!$B$7),"",--(AF2728&lt;10))</f>
        <v/>
      </c>
      <c r="AI2728" s="35">
        <f>IF(AND(C2728="Grayson Coulter",G2728&gt;='00_Control'!$B$7),"YES","NO")</f>
        <v/>
      </c>
      <c r="AJ2728" s="33" t="inlineStr">
        <is>
          <t>OK</t>
        </is>
      </c>
    </row>
    <row r="2729">
      <c r="A2729" s="33" t="inlineStr">
        <is>
          <t>SM002725</t>
        </is>
      </c>
      <c r="B2729" s="33" t="inlineStr">
        <is>
          <t>SW005</t>
        </is>
      </c>
      <c r="C2729" s="33" t="inlineStr">
        <is>
          <t>Thomas Heilman</t>
        </is>
      </c>
      <c r="D2729" s="33" t="inlineStr">
        <is>
          <t>SwimCloud</t>
        </is>
      </c>
      <c r="E2729" s="33" t="inlineStr">
        <is>
          <t>1336401</t>
        </is>
      </c>
      <c r="F2729" s="33" t="inlineStr">
        <is>
          <t>37537005</t>
        </is>
      </c>
      <c r="G2729" s="51" t="n">
        <v>44149</v>
      </c>
      <c r="H2729" s="33" t="inlineStr">
        <is>
          <t>US Open - Richmond</t>
        </is>
      </c>
      <c r="I2729" s="33" t="inlineStr">
        <is>
          <t>187132</t>
        </is>
      </c>
      <c r="J2729" s="33" t="inlineStr"/>
      <c r="K2729" s="33" t="inlineStr">
        <is>
          <t>TIM</t>
        </is>
      </c>
      <c r="L2729" s="35">
        <f>IF(K2729="FIN",3,IF(OR(K2729="SEM",K2729="SEMI"),2,IF(OR(K2729="PRE",K2729="HEAT"),1,IF(V2729="YES",4,2))))</f>
        <v/>
      </c>
      <c r="M2729" s="33" t="inlineStr">
        <is>
          <t>LCM</t>
        </is>
      </c>
      <c r="N2729" s="33" t="n">
        <v>100</v>
      </c>
      <c r="O2729" s="33" t="inlineStr">
        <is>
          <t>Free</t>
        </is>
      </c>
      <c r="P2729" s="33" t="inlineStr">
        <is>
          <t>100 Free</t>
        </is>
      </c>
      <c r="Q2729" s="33" t="inlineStr">
        <is>
          <t>LCM_100_FREE</t>
        </is>
      </c>
      <c r="R2729" s="36" t="n">
        <v>51.2</v>
      </c>
      <c r="S2729" s="35">
        <f>IF(R2729="","",IF(R2729&gt;=60,INT(R2729/60)&amp;":"&amp;TEXT(MOD(R2729,60),"00.00"),TEXT(R2729,"0.00")))</f>
        <v/>
      </c>
      <c r="T2729" s="52">
        <f>IFERROR((G2729-INDEX('01_Swimmers'!$E$5:$E$22,MATCH(B2729,'01_Swimmers'!$A$5:$A$22,0)))/'00_Control'!$B$10,"")</f>
        <v/>
      </c>
      <c r="U2729" s="35">
        <f>IF(T2729="","",INT(T2729))</f>
        <v/>
      </c>
      <c r="V2729" s="33" t="inlineStr">
        <is>
          <t>NO</t>
        </is>
      </c>
      <c r="W2729" s="33" t="inlineStr">
        <is>
          <t>YES</t>
        </is>
      </c>
      <c r="X2729" s="33" t="inlineStr">
        <is>
          <t>NO</t>
        </is>
      </c>
      <c r="Y2729" s="33" t="n">
        <v>1</v>
      </c>
      <c r="Z2729" s="33" t="n">
        <v>6</v>
      </c>
      <c r="AA2729" s="33" t="inlineStr">
        <is>
          <t>9</t>
        </is>
      </c>
      <c r="AB2729" s="33" t="inlineStr">
        <is>
          <t>https://www.swimcloud.com/results/187132/event/24/?id=37537005#time37537005</t>
        </is>
      </c>
      <c r="AC2729" s="33" t="inlineStr">
        <is>
          <t>SwimCloud API v6 2026-10-08</t>
        </is>
      </c>
      <c r="AD2729" s="33" t="inlineStr">
        <is>
          <t>Thomas Heilman|2020-11-14|LCM|100|Free|51.2|US Open - Richmond|TIM|False</t>
        </is>
      </c>
      <c r="AE2729" s="53">
        <f>G2729+L2729/1000+ROW()/1000000000</f>
        <v/>
      </c>
      <c r="AF2729" s="35">
        <f>IF(C2729&lt;&gt;"Grayson Coulter","",COUNTIFS($C$5:$C$2991,"Grayson Coulter",$Q$5:$Q$2991,Q2729,$AE$5:$AE$2991,"&lt;="&amp;AE2729,$R$5:$R$2991,"&lt;"&amp;R2729))</f>
        <v/>
      </c>
      <c r="AG2729" s="35">
        <f>IF(OR(C2729&lt;&gt;"Grayson Coulter",G2729&lt;'00_Control'!$B$7),"",--(AF2729&lt;5))</f>
        <v/>
      </c>
      <c r="AH2729" s="35">
        <f>IF(OR(C2729&lt;&gt;"Grayson Coulter",G2729&lt;'00_Control'!$B$7),"",--(AF2729&lt;10))</f>
        <v/>
      </c>
      <c r="AI2729" s="35">
        <f>IF(AND(C2729="Grayson Coulter",G2729&gt;='00_Control'!$B$7),"YES","NO")</f>
        <v/>
      </c>
      <c r="AJ2729" s="33" t="inlineStr">
        <is>
          <t>OK</t>
        </is>
      </c>
    </row>
    <row r="2730">
      <c r="A2730" s="33" t="inlineStr">
        <is>
          <t>SM002726</t>
        </is>
      </c>
      <c r="B2730" s="33" t="inlineStr">
        <is>
          <t>SW005</t>
        </is>
      </c>
      <c r="C2730" s="33" t="inlineStr">
        <is>
          <t>Thomas Heilman</t>
        </is>
      </c>
      <c r="D2730" s="33" t="inlineStr">
        <is>
          <t>SwimCloud</t>
        </is>
      </c>
      <c r="E2730" s="33" t="inlineStr">
        <is>
          <t>1336401</t>
        </is>
      </c>
      <c r="F2730" s="33" t="inlineStr">
        <is>
          <t>38625779</t>
        </is>
      </c>
      <c r="G2730" s="51" t="n">
        <v>44226</v>
      </c>
      <c r="H2730" s="33" t="inlineStr">
        <is>
          <t>VA NOVA LC Winter Invitat</t>
        </is>
      </c>
      <c r="I2730" s="33" t="inlineStr">
        <is>
          <t>191115</t>
        </is>
      </c>
      <c r="J2730" s="33" t="inlineStr"/>
      <c r="K2730" s="33" t="inlineStr">
        <is>
          <t>PRE</t>
        </is>
      </c>
      <c r="L2730" s="35">
        <f>IF(K2730="FIN",3,IF(OR(K2730="SEM",K2730="SEMI"),2,IF(OR(K2730="PRE",K2730="HEAT"),1,IF(V2730="YES",4,2))))</f>
        <v/>
      </c>
      <c r="M2730" s="33" t="inlineStr">
        <is>
          <t>LCM</t>
        </is>
      </c>
      <c r="N2730" s="33" t="n">
        <v>100</v>
      </c>
      <c r="O2730" s="33" t="inlineStr">
        <is>
          <t>Fly</t>
        </is>
      </c>
      <c r="P2730" s="33" t="inlineStr">
        <is>
          <t>100 Fly</t>
        </is>
      </c>
      <c r="Q2730" s="33" t="inlineStr">
        <is>
          <t>LCM_100_FLY</t>
        </is>
      </c>
      <c r="R2730" s="36" t="n">
        <v>54.72</v>
      </c>
      <c r="S2730" s="35">
        <f>IF(R2730="","",IF(R2730&gt;=60,INT(R2730/60)&amp;":"&amp;TEXT(MOD(R2730,60),"00.00"),TEXT(R2730,"0.00")))</f>
        <v/>
      </c>
      <c r="T2730" s="52">
        <f>IFERROR((G2730-INDEX('01_Swimmers'!$E$5:$E$22,MATCH(B2730,'01_Swimmers'!$A$5:$A$22,0)))/'00_Control'!$B$10,"")</f>
        <v/>
      </c>
      <c r="U2730" s="35">
        <f>IF(T2730="","",INT(T2730))</f>
        <v/>
      </c>
      <c r="V2730" s="33" t="inlineStr">
        <is>
          <t>NO</t>
        </is>
      </c>
      <c r="W2730" s="33" t="inlineStr">
        <is>
          <t>YES</t>
        </is>
      </c>
      <c r="X2730" s="33" t="inlineStr">
        <is>
          <t>NO</t>
        </is>
      </c>
      <c r="Y2730" s="33" t="n">
        <v>5</v>
      </c>
      <c r="Z2730" s="33" t="n">
        <v>5</v>
      </c>
      <c r="AA2730" s="33" t="inlineStr">
        <is>
          <t>1</t>
        </is>
      </c>
      <c r="AB2730" s="33" t="inlineStr">
        <is>
          <t>https://www.swimcloud.com/results/191115/event/12/?id=38625779#time38625779</t>
        </is>
      </c>
      <c r="AC2730" s="33" t="inlineStr">
        <is>
          <t>SwimCloud API v6 2026-10-08</t>
        </is>
      </c>
      <c r="AD2730" s="33" t="inlineStr">
        <is>
          <t>Thomas Heilman|2021-01-30|LCM|100|Fly|54.72|VA NOVA LC Winter Invitat|PRE|False</t>
        </is>
      </c>
      <c r="AE2730" s="53">
        <f>G2730+L2730/1000+ROW()/1000000000</f>
        <v/>
      </c>
      <c r="AF2730" s="35">
        <f>IF(C2730&lt;&gt;"Grayson Coulter","",COUNTIFS($C$5:$C$2991,"Grayson Coulter",$Q$5:$Q$2991,Q2730,$AE$5:$AE$2991,"&lt;="&amp;AE2730,$R$5:$R$2991,"&lt;"&amp;R2730))</f>
        <v/>
      </c>
      <c r="AG2730" s="35">
        <f>IF(OR(C2730&lt;&gt;"Grayson Coulter",G2730&lt;'00_Control'!$B$7),"",--(AF2730&lt;5))</f>
        <v/>
      </c>
      <c r="AH2730" s="35">
        <f>IF(OR(C2730&lt;&gt;"Grayson Coulter",G2730&lt;'00_Control'!$B$7),"",--(AF2730&lt;10))</f>
        <v/>
      </c>
      <c r="AI2730" s="35">
        <f>IF(AND(C2730="Grayson Coulter",G2730&gt;='00_Control'!$B$7),"YES","NO")</f>
        <v/>
      </c>
      <c r="AJ2730" s="33" t="inlineStr">
        <is>
          <t>OK</t>
        </is>
      </c>
    </row>
    <row r="2731">
      <c r="A2731" s="33" t="inlineStr">
        <is>
          <t>SM002727</t>
        </is>
      </c>
      <c r="B2731" s="33" t="inlineStr">
        <is>
          <t>SW005</t>
        </is>
      </c>
      <c r="C2731" s="33" t="inlineStr">
        <is>
          <t>Thomas Heilman</t>
        </is>
      </c>
      <c r="D2731" s="33" t="inlineStr">
        <is>
          <t>SwimCloud</t>
        </is>
      </c>
      <c r="E2731" s="33" t="inlineStr">
        <is>
          <t>1336401</t>
        </is>
      </c>
      <c r="F2731" s="33" t="inlineStr">
        <is>
          <t>38625780</t>
        </is>
      </c>
      <c r="G2731" s="51" t="n">
        <v>44226</v>
      </c>
      <c r="H2731" s="33" t="inlineStr">
        <is>
          <t>VA NOVA LC Winter Invitat</t>
        </is>
      </c>
      <c r="I2731" s="33" t="inlineStr">
        <is>
          <t>191115</t>
        </is>
      </c>
      <c r="J2731" s="33" t="inlineStr"/>
      <c r="K2731" s="33" t="inlineStr">
        <is>
          <t>FIN</t>
        </is>
      </c>
      <c r="L2731" s="35">
        <f>IF(K2731="FIN",3,IF(OR(K2731="SEM",K2731="SEMI"),2,IF(OR(K2731="PRE",K2731="HEAT"),1,IF(V2731="YES",4,2))))</f>
        <v/>
      </c>
      <c r="M2731" s="33" t="inlineStr">
        <is>
          <t>LCM</t>
        </is>
      </c>
      <c r="N2731" s="33" t="n">
        <v>100</v>
      </c>
      <c r="O2731" s="33" t="inlineStr">
        <is>
          <t>Fly</t>
        </is>
      </c>
      <c r="P2731" s="33" t="inlineStr">
        <is>
          <t>100 Fly</t>
        </is>
      </c>
      <c r="Q2731" s="33" t="inlineStr">
        <is>
          <t>LCM_100_FLY</t>
        </is>
      </c>
      <c r="R2731" s="36" t="n">
        <v>55.14</v>
      </c>
      <c r="S2731" s="35">
        <f>IF(R2731="","",IF(R2731&gt;=60,INT(R2731/60)&amp;":"&amp;TEXT(MOD(R2731,60),"00.00"),TEXT(R2731,"0.00")))</f>
        <v/>
      </c>
      <c r="T2731" s="52">
        <f>IFERROR((G2731-INDEX('01_Swimmers'!$E$5:$E$22,MATCH(B2731,'01_Swimmers'!$A$5:$A$22,0)))/'00_Control'!$B$10,"")</f>
        <v/>
      </c>
      <c r="U2731" s="35">
        <f>IF(T2731="","",INT(T2731))</f>
        <v/>
      </c>
      <c r="V2731" s="33" t="inlineStr">
        <is>
          <t>NO</t>
        </is>
      </c>
      <c r="W2731" s="33" t="inlineStr">
        <is>
          <t>YES</t>
        </is>
      </c>
      <c r="X2731" s="33" t="inlineStr">
        <is>
          <t>NO</t>
        </is>
      </c>
      <c r="Y2731" s="33" t="n">
        <v>2</v>
      </c>
      <c r="Z2731" s="33" t="n">
        <v>5</v>
      </c>
      <c r="AA2731" s="33" t="inlineStr">
        <is>
          <t>2</t>
        </is>
      </c>
      <c r="AB2731" s="33" t="inlineStr">
        <is>
          <t>https://www.swimcloud.com/results/191115/event/12/?id=38625780#time38625780</t>
        </is>
      </c>
      <c r="AC2731" s="33" t="inlineStr">
        <is>
          <t>SwimCloud API v6 2026-10-08</t>
        </is>
      </c>
      <c r="AD2731" s="33" t="inlineStr">
        <is>
          <t>Thomas Heilman|2021-01-30|LCM|100|Fly|55.14|VA NOVA LC Winter Invitat|FIN|False</t>
        </is>
      </c>
      <c r="AE2731" s="53">
        <f>G2731+L2731/1000+ROW()/1000000000</f>
        <v/>
      </c>
      <c r="AF2731" s="35">
        <f>IF(C2731&lt;&gt;"Grayson Coulter","",COUNTIFS($C$5:$C$2991,"Grayson Coulter",$Q$5:$Q$2991,Q2731,$AE$5:$AE$2991,"&lt;="&amp;AE2731,$R$5:$R$2991,"&lt;"&amp;R2731))</f>
        <v/>
      </c>
      <c r="AG2731" s="35">
        <f>IF(OR(C2731&lt;&gt;"Grayson Coulter",G2731&lt;'00_Control'!$B$7),"",--(AF2731&lt;5))</f>
        <v/>
      </c>
      <c r="AH2731" s="35">
        <f>IF(OR(C2731&lt;&gt;"Grayson Coulter",G2731&lt;'00_Control'!$B$7),"",--(AF2731&lt;10))</f>
        <v/>
      </c>
      <c r="AI2731" s="35">
        <f>IF(AND(C2731="Grayson Coulter",G2731&gt;='00_Control'!$B$7),"YES","NO")</f>
        <v/>
      </c>
      <c r="AJ2731" s="33" t="inlineStr">
        <is>
          <t>OK</t>
        </is>
      </c>
    </row>
    <row r="2732">
      <c r="A2732" s="33" t="inlineStr">
        <is>
          <t>SM002728</t>
        </is>
      </c>
      <c r="B2732" s="33" t="inlineStr">
        <is>
          <t>SW005</t>
        </is>
      </c>
      <c r="C2732" s="33" t="inlineStr">
        <is>
          <t>Thomas Heilman</t>
        </is>
      </c>
      <c r="D2732" s="33" t="inlineStr">
        <is>
          <t>SwimCloud</t>
        </is>
      </c>
      <c r="E2732" s="33" t="inlineStr">
        <is>
          <t>1336401</t>
        </is>
      </c>
      <c r="F2732" s="33" t="inlineStr">
        <is>
          <t>38625371</t>
        </is>
      </c>
      <c r="G2732" s="51" t="n">
        <v>44227</v>
      </c>
      <c r="H2732" s="33" t="inlineStr">
        <is>
          <t>VA NOVA LC Winter Invitat</t>
        </is>
      </c>
      <c r="I2732" s="33" t="inlineStr">
        <is>
          <t>191115</t>
        </is>
      </c>
      <c r="J2732" s="33" t="inlineStr"/>
      <c r="K2732" s="33" t="inlineStr">
        <is>
          <t>TIM</t>
        </is>
      </c>
      <c r="L2732" s="35">
        <f>IF(K2732="FIN",3,IF(OR(K2732="SEM",K2732="SEMI"),2,IF(OR(K2732="PRE",K2732="HEAT"),1,IF(V2732="YES",4,2))))</f>
        <v/>
      </c>
      <c r="M2732" s="33" t="inlineStr">
        <is>
          <t>LCM</t>
        </is>
      </c>
      <c r="N2732" s="33" t="n">
        <v>100</v>
      </c>
      <c r="O2732" s="33" t="inlineStr">
        <is>
          <t>Free</t>
        </is>
      </c>
      <c r="P2732" s="33" t="inlineStr">
        <is>
          <t>100 Free</t>
        </is>
      </c>
      <c r="Q2732" s="33" t="inlineStr">
        <is>
          <t>LCM_100_FREE</t>
        </is>
      </c>
      <c r="R2732" s="36" t="n">
        <v>51.74</v>
      </c>
      <c r="S2732" s="35">
        <f>IF(R2732="","",IF(R2732&gt;=60,INT(R2732/60)&amp;":"&amp;TEXT(MOD(R2732,60),"00.00"),TEXT(R2732,"0.00")))</f>
        <v/>
      </c>
      <c r="T2732" s="52">
        <f>IFERROR((G2732-INDEX('01_Swimmers'!$E$5:$E$22,MATCH(B2732,'01_Swimmers'!$A$5:$A$22,0)))/'00_Control'!$B$10,"")</f>
        <v/>
      </c>
      <c r="U2732" s="35">
        <f>IF(T2732="","",INT(T2732))</f>
        <v/>
      </c>
      <c r="V2732" s="33" t="inlineStr">
        <is>
          <t>NO</t>
        </is>
      </c>
      <c r="W2732" s="33" t="inlineStr">
        <is>
          <t>YES</t>
        </is>
      </c>
      <c r="X2732" s="33" t="inlineStr">
        <is>
          <t>NO</t>
        </is>
      </c>
      <c r="Y2732" s="33" t="n">
        <v>5</v>
      </c>
      <c r="Z2732" s="33" t="n">
        <v>5</v>
      </c>
      <c r="AA2732" s="33" t="inlineStr">
        <is>
          <t>1</t>
        </is>
      </c>
      <c r="AB2732" s="33" t="inlineStr">
        <is>
          <t>https://www.swimcloud.com/results/191115/event/30/?id=38625371#time38625371</t>
        </is>
      </c>
      <c r="AC2732" s="33" t="inlineStr">
        <is>
          <t>SwimCloud API v6 2026-10-08</t>
        </is>
      </c>
      <c r="AD2732" s="33" t="inlineStr">
        <is>
          <t>Thomas Heilman|2021-01-31|LCM|100|Free|51.74|VA NOVA LC Winter Invitat|TIM|False</t>
        </is>
      </c>
      <c r="AE2732" s="53">
        <f>G2732+L2732/1000+ROW()/1000000000</f>
        <v/>
      </c>
      <c r="AF2732" s="35">
        <f>IF(C2732&lt;&gt;"Grayson Coulter","",COUNTIFS($C$5:$C$2991,"Grayson Coulter",$Q$5:$Q$2991,Q2732,$AE$5:$AE$2991,"&lt;="&amp;AE2732,$R$5:$R$2991,"&lt;"&amp;R2732))</f>
        <v/>
      </c>
      <c r="AG2732" s="35">
        <f>IF(OR(C2732&lt;&gt;"Grayson Coulter",G2732&lt;'00_Control'!$B$7),"",--(AF2732&lt;5))</f>
        <v/>
      </c>
      <c r="AH2732" s="35">
        <f>IF(OR(C2732&lt;&gt;"Grayson Coulter",G2732&lt;'00_Control'!$B$7),"",--(AF2732&lt;10))</f>
        <v/>
      </c>
      <c r="AI2732" s="35">
        <f>IF(AND(C2732="Grayson Coulter",G2732&gt;='00_Control'!$B$7),"YES","NO")</f>
        <v/>
      </c>
      <c r="AJ2732" s="33" t="inlineStr">
        <is>
          <t>OK</t>
        </is>
      </c>
    </row>
    <row r="2733">
      <c r="A2733" s="33" t="inlineStr">
        <is>
          <t>SM002729</t>
        </is>
      </c>
      <c r="B2733" s="33" t="inlineStr">
        <is>
          <t>SW005</t>
        </is>
      </c>
      <c r="C2733" s="33" t="inlineStr">
        <is>
          <t>Thomas Heilman</t>
        </is>
      </c>
      <c r="D2733" s="33" t="inlineStr">
        <is>
          <t>SwimCloud</t>
        </is>
      </c>
      <c r="E2733" s="33" t="inlineStr">
        <is>
          <t>1336401</t>
        </is>
      </c>
      <c r="F2733" s="33" t="inlineStr">
        <is>
          <t>41644383</t>
        </is>
      </c>
      <c r="G2733" s="51" t="n">
        <v>44318</v>
      </c>
      <c r="H2733" s="33" t="inlineStr">
        <is>
          <t>TYR 18 &amp; Under Spring Cup - Richmond</t>
        </is>
      </c>
      <c r="I2733" s="33" t="inlineStr">
        <is>
          <t>195755</t>
        </is>
      </c>
      <c r="J2733" s="33" t="inlineStr"/>
      <c r="K2733" s="33" t="inlineStr">
        <is>
          <t>PRE</t>
        </is>
      </c>
      <c r="L2733" s="35">
        <f>IF(K2733="FIN",3,IF(OR(K2733="SEM",K2733="SEMI"),2,IF(OR(K2733="PRE",K2733="HEAT"),1,IF(V2733="YES",4,2))))</f>
        <v/>
      </c>
      <c r="M2733" s="33" t="inlineStr">
        <is>
          <t>LCM</t>
        </is>
      </c>
      <c r="N2733" s="33" t="n">
        <v>100</v>
      </c>
      <c r="O2733" s="33" t="inlineStr">
        <is>
          <t>Free</t>
        </is>
      </c>
      <c r="P2733" s="33" t="inlineStr">
        <is>
          <t>100 Free</t>
        </is>
      </c>
      <c r="Q2733" s="33" t="inlineStr">
        <is>
          <t>LCM_100_FREE</t>
        </is>
      </c>
      <c r="R2733" s="36" t="n">
        <v>51.35</v>
      </c>
      <c r="S2733" s="35">
        <f>IF(R2733="","",IF(R2733&gt;=60,INT(R2733/60)&amp;":"&amp;TEXT(MOD(R2733,60),"00.00"),TEXT(R2733,"0.00")))</f>
        <v/>
      </c>
      <c r="T2733" s="52">
        <f>IFERROR((G2733-INDEX('01_Swimmers'!$E$5:$E$22,MATCH(B2733,'01_Swimmers'!$A$5:$A$22,0)))/'00_Control'!$B$10,"")</f>
        <v/>
      </c>
      <c r="U2733" s="35">
        <f>IF(T2733="","",INT(T2733))</f>
        <v/>
      </c>
      <c r="V2733" s="33" t="inlineStr">
        <is>
          <t>NO</t>
        </is>
      </c>
      <c r="W2733" s="33" t="inlineStr">
        <is>
          <t>YES</t>
        </is>
      </c>
      <c r="X2733" s="33" t="inlineStr">
        <is>
          <t>NO</t>
        </is>
      </c>
      <c r="Y2733" s="33" t="n">
        <v>3</v>
      </c>
      <c r="Z2733" s="33" t="n">
        <v>4</v>
      </c>
      <c r="AA2733" s="33" t="inlineStr">
        <is>
          <t>1</t>
        </is>
      </c>
      <c r="AB2733" s="33" t="inlineStr">
        <is>
          <t>https://www.swimcloud.com/results/195755/event/22/?id=41644383#time41644383</t>
        </is>
      </c>
      <c r="AC2733" s="33" t="inlineStr">
        <is>
          <t>SwimCloud API v6 2026-10-08</t>
        </is>
      </c>
      <c r="AD2733" s="33" t="inlineStr">
        <is>
          <t>Thomas Heilman|2021-05-02|LCM|100|Free|51.35|TYR 18 &amp; Under Spring Cup - Richmond|PRE|False</t>
        </is>
      </c>
      <c r="AE2733" s="53">
        <f>G2733+L2733/1000+ROW()/1000000000</f>
        <v/>
      </c>
      <c r="AF2733" s="35">
        <f>IF(C2733&lt;&gt;"Grayson Coulter","",COUNTIFS($C$5:$C$2991,"Grayson Coulter",$Q$5:$Q$2991,Q2733,$AE$5:$AE$2991,"&lt;="&amp;AE2733,$R$5:$R$2991,"&lt;"&amp;R2733))</f>
        <v/>
      </c>
      <c r="AG2733" s="35">
        <f>IF(OR(C2733&lt;&gt;"Grayson Coulter",G2733&lt;'00_Control'!$B$7),"",--(AF2733&lt;5))</f>
        <v/>
      </c>
      <c r="AH2733" s="35">
        <f>IF(OR(C2733&lt;&gt;"Grayson Coulter",G2733&lt;'00_Control'!$B$7),"",--(AF2733&lt;10))</f>
        <v/>
      </c>
      <c r="AI2733" s="35">
        <f>IF(AND(C2733="Grayson Coulter",G2733&gt;='00_Control'!$B$7),"YES","NO")</f>
        <v/>
      </c>
      <c r="AJ2733" s="33" t="inlineStr">
        <is>
          <t>OK</t>
        </is>
      </c>
    </row>
    <row r="2734">
      <c r="A2734" s="33" t="inlineStr">
        <is>
          <t>SM002730</t>
        </is>
      </c>
      <c r="B2734" s="33" t="inlineStr">
        <is>
          <t>SW005</t>
        </is>
      </c>
      <c r="C2734" s="33" t="inlineStr">
        <is>
          <t>Thomas Heilman</t>
        </is>
      </c>
      <c r="D2734" s="33" t="inlineStr">
        <is>
          <t>SwimCloud</t>
        </is>
      </c>
      <c r="E2734" s="33" t="inlineStr">
        <is>
          <t>1336401</t>
        </is>
      </c>
      <c r="F2734" s="33" t="inlineStr">
        <is>
          <t>41644384</t>
        </is>
      </c>
      <c r="G2734" s="51" t="n">
        <v>44318</v>
      </c>
      <c r="H2734" s="33" t="inlineStr">
        <is>
          <t>TYR 18 &amp; Under Spring Cup - Richmond</t>
        </is>
      </c>
      <c r="I2734" s="33" t="inlineStr">
        <is>
          <t>195755</t>
        </is>
      </c>
      <c r="J2734" s="33" t="inlineStr"/>
      <c r="K2734" s="33" t="inlineStr">
        <is>
          <t>FIN</t>
        </is>
      </c>
      <c r="L2734" s="35">
        <f>IF(K2734="FIN",3,IF(OR(K2734="SEM",K2734="SEMI"),2,IF(OR(K2734="PRE",K2734="HEAT"),1,IF(V2734="YES",4,2))))</f>
        <v/>
      </c>
      <c r="M2734" s="33" t="inlineStr">
        <is>
          <t>LCM</t>
        </is>
      </c>
      <c r="N2734" s="33" t="n">
        <v>100</v>
      </c>
      <c r="O2734" s="33" t="inlineStr">
        <is>
          <t>Free</t>
        </is>
      </c>
      <c r="P2734" s="33" t="inlineStr">
        <is>
          <t>100 Free</t>
        </is>
      </c>
      <c r="Q2734" s="33" t="inlineStr">
        <is>
          <t>LCM_100_FREE</t>
        </is>
      </c>
      <c r="R2734" s="36" t="n">
        <v>51.37</v>
      </c>
      <c r="S2734" s="35">
        <f>IF(R2734="","",IF(R2734&gt;=60,INT(R2734/60)&amp;":"&amp;TEXT(MOD(R2734,60),"00.00"),TEXT(R2734,"0.00")))</f>
        <v/>
      </c>
      <c r="T2734" s="52">
        <f>IFERROR((G2734-INDEX('01_Swimmers'!$E$5:$E$22,MATCH(B2734,'01_Swimmers'!$A$5:$A$22,0)))/'00_Control'!$B$10,"")</f>
        <v/>
      </c>
      <c r="U2734" s="35">
        <f>IF(T2734="","",INT(T2734))</f>
        <v/>
      </c>
      <c r="V2734" s="33" t="inlineStr">
        <is>
          <t>NO</t>
        </is>
      </c>
      <c r="W2734" s="33" t="inlineStr">
        <is>
          <t>YES</t>
        </is>
      </c>
      <c r="X2734" s="33" t="inlineStr">
        <is>
          <t>NO</t>
        </is>
      </c>
      <c r="Y2734" s="33" t="n">
        <v>3</v>
      </c>
      <c r="Z2734" s="33" t="n">
        <v>4</v>
      </c>
      <c r="AA2734" s="33" t="inlineStr">
        <is>
          <t>3</t>
        </is>
      </c>
      <c r="AB2734" s="33" t="inlineStr">
        <is>
          <t>https://www.swimcloud.com/results/195755/event/22/?id=41644384#time41644384</t>
        </is>
      </c>
      <c r="AC2734" s="33" t="inlineStr">
        <is>
          <t>SwimCloud API v6 2026-10-08</t>
        </is>
      </c>
      <c r="AD2734" s="33" t="inlineStr">
        <is>
          <t>Thomas Heilman|2021-05-02|LCM|100|Free|51.37|TYR 18 &amp; Under Spring Cup - Richmond|FIN|False</t>
        </is>
      </c>
      <c r="AE2734" s="53">
        <f>G2734+L2734/1000+ROW()/1000000000</f>
        <v/>
      </c>
      <c r="AF2734" s="35">
        <f>IF(C2734&lt;&gt;"Grayson Coulter","",COUNTIFS($C$5:$C$2991,"Grayson Coulter",$Q$5:$Q$2991,Q2734,$AE$5:$AE$2991,"&lt;="&amp;AE2734,$R$5:$R$2991,"&lt;"&amp;R2734))</f>
        <v/>
      </c>
      <c r="AG2734" s="35">
        <f>IF(OR(C2734&lt;&gt;"Grayson Coulter",G2734&lt;'00_Control'!$B$7),"",--(AF2734&lt;5))</f>
        <v/>
      </c>
      <c r="AH2734" s="35">
        <f>IF(OR(C2734&lt;&gt;"Grayson Coulter",G2734&lt;'00_Control'!$B$7),"",--(AF2734&lt;10))</f>
        <v/>
      </c>
      <c r="AI2734" s="35">
        <f>IF(AND(C2734="Grayson Coulter",G2734&gt;='00_Control'!$B$7),"YES","NO")</f>
        <v/>
      </c>
      <c r="AJ2734" s="33" t="inlineStr">
        <is>
          <t>OK</t>
        </is>
      </c>
    </row>
    <row r="2735">
      <c r="A2735" s="33" t="inlineStr">
        <is>
          <t>SM002731</t>
        </is>
      </c>
      <c r="B2735" s="33" t="inlineStr">
        <is>
          <t>SW005</t>
        </is>
      </c>
      <c r="C2735" s="33" t="inlineStr">
        <is>
          <t>Thomas Heilman</t>
        </is>
      </c>
      <c r="D2735" s="33" t="inlineStr">
        <is>
          <t>SwimCloud</t>
        </is>
      </c>
      <c r="E2735" s="33" t="inlineStr">
        <is>
          <t>1336401</t>
        </is>
      </c>
      <c r="F2735" s="33" t="inlineStr">
        <is>
          <t>42084291</t>
        </is>
      </c>
      <c r="G2735" s="51" t="n">
        <v>44351</v>
      </c>
      <c r="H2735" s="33" t="inlineStr">
        <is>
          <t>VA HNVR Storm Surge Open</t>
        </is>
      </c>
      <c r="I2735" s="33" t="inlineStr">
        <is>
          <t>199186</t>
        </is>
      </c>
      <c r="J2735" s="33" t="inlineStr"/>
      <c r="K2735" s="33" t="inlineStr">
        <is>
          <t>PRE</t>
        </is>
      </c>
      <c r="L2735" s="35">
        <f>IF(K2735="FIN",3,IF(OR(K2735="SEM",K2735="SEMI"),2,IF(OR(K2735="PRE",K2735="HEAT"),1,IF(V2735="YES",4,2))))</f>
        <v/>
      </c>
      <c r="M2735" s="33" t="inlineStr">
        <is>
          <t>LCM</t>
        </is>
      </c>
      <c r="N2735" s="33" t="n">
        <v>200</v>
      </c>
      <c r="O2735" s="33" t="inlineStr">
        <is>
          <t>Free</t>
        </is>
      </c>
      <c r="P2735" s="33" t="inlineStr">
        <is>
          <t>200 Free</t>
        </is>
      </c>
      <c r="Q2735" s="33" t="inlineStr">
        <is>
          <t>LCM_200_FREE</t>
        </is>
      </c>
      <c r="R2735" s="36" t="n">
        <v>118.5</v>
      </c>
      <c r="S2735" s="35">
        <f>IF(R2735="","",IF(R2735&gt;=60,INT(R2735/60)&amp;":"&amp;TEXT(MOD(R2735,60),"00.00"),TEXT(R2735,"0.00")))</f>
        <v/>
      </c>
      <c r="T2735" s="52">
        <f>IFERROR((G2735-INDEX('01_Swimmers'!$E$5:$E$22,MATCH(B2735,'01_Swimmers'!$A$5:$A$22,0)))/'00_Control'!$B$10,"")</f>
        <v/>
      </c>
      <c r="U2735" s="35">
        <f>IF(T2735="","",INT(T2735))</f>
        <v/>
      </c>
      <c r="V2735" s="33" t="inlineStr">
        <is>
          <t>NO</t>
        </is>
      </c>
      <c r="W2735" s="33" t="inlineStr">
        <is>
          <t>YES</t>
        </is>
      </c>
      <c r="X2735" s="33" t="inlineStr">
        <is>
          <t>NO</t>
        </is>
      </c>
      <c r="Y2735" s="33" t="n">
        <v>9</v>
      </c>
      <c r="Z2735" s="33" t="n">
        <v>4</v>
      </c>
      <c r="AA2735" s="33" t="inlineStr">
        <is>
          <t>1</t>
        </is>
      </c>
      <c r="AB2735" s="33" t="inlineStr">
        <is>
          <t>https://www.swimcloud.com/results/199186/event/10/?id=42084291#time42084291</t>
        </is>
      </c>
      <c r="AC2735" s="33" t="inlineStr">
        <is>
          <t>SwimCloud API v6 2026-10-08</t>
        </is>
      </c>
      <c r="AD2735" s="33" t="inlineStr">
        <is>
          <t>Thomas Heilman|2021-06-04|LCM|200|Free|118.5|VA HNVR Storm Surge Open|PRE|False</t>
        </is>
      </c>
      <c r="AE2735" s="53">
        <f>G2735+L2735/1000+ROW()/1000000000</f>
        <v/>
      </c>
      <c r="AF2735" s="35">
        <f>IF(C2735&lt;&gt;"Grayson Coulter","",COUNTIFS($C$5:$C$2991,"Grayson Coulter",$Q$5:$Q$2991,Q2735,$AE$5:$AE$2991,"&lt;="&amp;AE2735,$R$5:$R$2991,"&lt;"&amp;R2735))</f>
        <v/>
      </c>
      <c r="AG2735" s="35">
        <f>IF(OR(C2735&lt;&gt;"Grayson Coulter",G2735&lt;'00_Control'!$B$7),"",--(AF2735&lt;5))</f>
        <v/>
      </c>
      <c r="AH2735" s="35">
        <f>IF(OR(C2735&lt;&gt;"Grayson Coulter",G2735&lt;'00_Control'!$B$7),"",--(AF2735&lt;10))</f>
        <v/>
      </c>
      <c r="AI2735" s="35">
        <f>IF(AND(C2735="Grayson Coulter",G2735&gt;='00_Control'!$B$7),"YES","NO")</f>
        <v/>
      </c>
      <c r="AJ2735" s="33" t="inlineStr">
        <is>
          <t>OK</t>
        </is>
      </c>
    </row>
    <row r="2736">
      <c r="A2736" s="33" t="inlineStr">
        <is>
          <t>SM002732</t>
        </is>
      </c>
      <c r="B2736" s="33" t="inlineStr">
        <is>
          <t>SW005</t>
        </is>
      </c>
      <c r="C2736" s="33" t="inlineStr">
        <is>
          <t>Thomas Heilman</t>
        </is>
      </c>
      <c r="D2736" s="33" t="inlineStr">
        <is>
          <t>SwimCloud</t>
        </is>
      </c>
      <c r="E2736" s="33" t="inlineStr">
        <is>
          <t>1336401</t>
        </is>
      </c>
      <c r="F2736" s="33" t="inlineStr">
        <is>
          <t>42084292</t>
        </is>
      </c>
      <c r="G2736" s="51" t="n">
        <v>44351</v>
      </c>
      <c r="H2736" s="33" t="inlineStr">
        <is>
          <t>VA HNVR Storm Surge Open</t>
        </is>
      </c>
      <c r="I2736" s="33" t="inlineStr">
        <is>
          <t>199186</t>
        </is>
      </c>
      <c r="J2736" s="33" t="inlineStr"/>
      <c r="K2736" s="33" t="inlineStr">
        <is>
          <t>FIN</t>
        </is>
      </c>
      <c r="L2736" s="35">
        <f>IF(K2736="FIN",3,IF(OR(K2736="SEM",K2736="SEMI"),2,IF(OR(K2736="PRE",K2736="HEAT"),1,IF(V2736="YES",4,2))))</f>
        <v/>
      </c>
      <c r="M2736" s="33" t="inlineStr">
        <is>
          <t>LCM</t>
        </is>
      </c>
      <c r="N2736" s="33" t="n">
        <v>200</v>
      </c>
      <c r="O2736" s="33" t="inlineStr">
        <is>
          <t>Free</t>
        </is>
      </c>
      <c r="P2736" s="33" t="inlineStr">
        <is>
          <t>200 Free</t>
        </is>
      </c>
      <c r="Q2736" s="33" t="inlineStr">
        <is>
          <t>LCM_200_FREE</t>
        </is>
      </c>
      <c r="R2736" s="36" t="n">
        <v>118.27</v>
      </c>
      <c r="S2736" s="35">
        <f>IF(R2736="","",IF(R2736&gt;=60,INT(R2736/60)&amp;":"&amp;TEXT(MOD(R2736,60),"00.00"),TEXT(R2736,"0.00")))</f>
        <v/>
      </c>
      <c r="T2736" s="52">
        <f>IFERROR((G2736-INDEX('01_Swimmers'!$E$5:$E$22,MATCH(B2736,'01_Swimmers'!$A$5:$A$22,0)))/'00_Control'!$B$10,"")</f>
        <v/>
      </c>
      <c r="U2736" s="35">
        <f>IF(T2736="","",INT(T2736))</f>
        <v/>
      </c>
      <c r="V2736" s="33" t="inlineStr">
        <is>
          <t>NO</t>
        </is>
      </c>
      <c r="W2736" s="33" t="inlineStr">
        <is>
          <t>YES</t>
        </is>
      </c>
      <c r="X2736" s="33" t="inlineStr">
        <is>
          <t>NO</t>
        </is>
      </c>
      <c r="Y2736" s="33" t="n">
        <v>2</v>
      </c>
      <c r="Z2736" s="33" t="n">
        <v>4</v>
      </c>
      <c r="AA2736" s="33" t="inlineStr">
        <is>
          <t>1</t>
        </is>
      </c>
      <c r="AB2736" s="33" t="inlineStr">
        <is>
          <t>https://www.swimcloud.com/results/199186/event/10/?id=42084292#time42084292</t>
        </is>
      </c>
      <c r="AC2736" s="33" t="inlineStr">
        <is>
          <t>SwimCloud API v6 2026-10-08</t>
        </is>
      </c>
      <c r="AD2736" s="33" t="inlineStr">
        <is>
          <t>Thomas Heilman|2021-06-04|LCM|200|Free|118.27|VA HNVR Storm Surge Open|FIN|False</t>
        </is>
      </c>
      <c r="AE2736" s="53">
        <f>G2736+L2736/1000+ROW()/1000000000</f>
        <v/>
      </c>
      <c r="AF2736" s="35">
        <f>IF(C2736&lt;&gt;"Grayson Coulter","",COUNTIFS($C$5:$C$2991,"Grayson Coulter",$Q$5:$Q$2991,Q2736,$AE$5:$AE$2991,"&lt;="&amp;AE2736,$R$5:$R$2991,"&lt;"&amp;R2736))</f>
        <v/>
      </c>
      <c r="AG2736" s="35">
        <f>IF(OR(C2736&lt;&gt;"Grayson Coulter",G2736&lt;'00_Control'!$B$7),"",--(AF2736&lt;5))</f>
        <v/>
      </c>
      <c r="AH2736" s="35">
        <f>IF(OR(C2736&lt;&gt;"Grayson Coulter",G2736&lt;'00_Control'!$B$7),"",--(AF2736&lt;10))</f>
        <v/>
      </c>
      <c r="AI2736" s="35">
        <f>IF(AND(C2736="Grayson Coulter",G2736&gt;='00_Control'!$B$7),"YES","NO")</f>
        <v/>
      </c>
      <c r="AJ2736" s="33" t="inlineStr">
        <is>
          <t>OK</t>
        </is>
      </c>
    </row>
    <row r="2737">
      <c r="A2737" s="33" t="inlineStr">
        <is>
          <t>SM002733</t>
        </is>
      </c>
      <c r="B2737" s="33" t="inlineStr">
        <is>
          <t>SW005</t>
        </is>
      </c>
      <c r="C2737" s="33" t="inlineStr">
        <is>
          <t>Thomas Heilman</t>
        </is>
      </c>
      <c r="D2737" s="33" t="inlineStr">
        <is>
          <t>SwimCloud</t>
        </is>
      </c>
      <c r="E2737" s="33" t="inlineStr">
        <is>
          <t>1336401</t>
        </is>
      </c>
      <c r="F2737" s="33" t="inlineStr">
        <is>
          <t>42086873</t>
        </is>
      </c>
      <c r="G2737" s="51" t="n">
        <v>44352</v>
      </c>
      <c r="H2737" s="33" t="inlineStr">
        <is>
          <t>VA HNVR Storm Surge Open</t>
        </is>
      </c>
      <c r="I2737" s="33" t="inlineStr">
        <is>
          <t>199186</t>
        </is>
      </c>
      <c r="J2737" s="33" t="inlineStr"/>
      <c r="K2737" s="33" t="inlineStr">
        <is>
          <t>TIM</t>
        </is>
      </c>
      <c r="L2737" s="35">
        <f>IF(K2737="FIN",3,IF(OR(K2737="SEM",K2737="SEMI"),2,IF(OR(K2737="PRE",K2737="HEAT"),1,IF(V2737="YES",4,2))))</f>
        <v/>
      </c>
      <c r="M2737" s="33" t="inlineStr">
        <is>
          <t>LCM</t>
        </is>
      </c>
      <c r="N2737" s="33" t="n">
        <v>400</v>
      </c>
      <c r="O2737" s="33" t="inlineStr">
        <is>
          <t>Free</t>
        </is>
      </c>
      <c r="P2737" s="33" t="inlineStr">
        <is>
          <t>400 Free</t>
        </is>
      </c>
      <c r="Q2737" s="33" t="inlineStr">
        <is>
          <t>LCM_400_FREE</t>
        </is>
      </c>
      <c r="R2737" s="36" t="n">
        <v>258.18</v>
      </c>
      <c r="S2737" s="35">
        <f>IF(R2737="","",IF(R2737&gt;=60,INT(R2737/60)&amp;":"&amp;TEXT(MOD(R2737,60),"00.00"),TEXT(R2737,"0.00")))</f>
        <v/>
      </c>
      <c r="T2737" s="52">
        <f>IFERROR((G2737-INDEX('01_Swimmers'!$E$5:$E$22,MATCH(B2737,'01_Swimmers'!$A$5:$A$22,0)))/'00_Control'!$B$10,"")</f>
        <v/>
      </c>
      <c r="U2737" s="35">
        <f>IF(T2737="","",INT(T2737))</f>
        <v/>
      </c>
      <c r="V2737" s="33" t="inlineStr">
        <is>
          <t>NO</t>
        </is>
      </c>
      <c r="W2737" s="33" t="inlineStr">
        <is>
          <t>YES</t>
        </is>
      </c>
      <c r="X2737" s="33" t="inlineStr">
        <is>
          <t>NO</t>
        </is>
      </c>
      <c r="Y2737" s="33" t="n">
        <v>3</v>
      </c>
      <c r="Z2737" s="33" t="n">
        <v>5</v>
      </c>
      <c r="AA2737" s="33" t="inlineStr">
        <is>
          <t>1</t>
        </is>
      </c>
      <c r="AB2737" s="33" t="inlineStr">
        <is>
          <t>https://www.swimcloud.com/results/199186/event/42/?id=42086873#time42086873</t>
        </is>
      </c>
      <c r="AC2737" s="33" t="inlineStr">
        <is>
          <t>SwimCloud API v6 2026-10-08</t>
        </is>
      </c>
      <c r="AD2737" s="33" t="inlineStr">
        <is>
          <t>Thomas Heilman|2021-06-05|LCM|400|Free|258.18|VA HNVR Storm Surge Open|TIM|False</t>
        </is>
      </c>
      <c r="AE2737" s="53">
        <f>G2737+L2737/1000+ROW()/1000000000</f>
        <v/>
      </c>
      <c r="AF2737" s="35">
        <f>IF(C2737&lt;&gt;"Grayson Coulter","",COUNTIFS($C$5:$C$2991,"Grayson Coulter",$Q$5:$Q$2991,Q2737,$AE$5:$AE$2991,"&lt;="&amp;AE2737,$R$5:$R$2991,"&lt;"&amp;R2737))</f>
        <v/>
      </c>
      <c r="AG2737" s="35">
        <f>IF(OR(C2737&lt;&gt;"Grayson Coulter",G2737&lt;'00_Control'!$B$7),"",--(AF2737&lt;5))</f>
        <v/>
      </c>
      <c r="AH2737" s="35">
        <f>IF(OR(C2737&lt;&gt;"Grayson Coulter",G2737&lt;'00_Control'!$B$7),"",--(AF2737&lt;10))</f>
        <v/>
      </c>
      <c r="AI2737" s="35">
        <f>IF(AND(C2737="Grayson Coulter",G2737&gt;='00_Control'!$B$7),"YES","NO")</f>
        <v/>
      </c>
      <c r="AJ2737" s="33" t="inlineStr">
        <is>
          <t>OK</t>
        </is>
      </c>
    </row>
    <row r="2738">
      <c r="A2738" s="33" t="inlineStr">
        <is>
          <t>SM002734</t>
        </is>
      </c>
      <c r="B2738" s="33" t="inlineStr">
        <is>
          <t>SW005</t>
        </is>
      </c>
      <c r="C2738" s="33" t="inlineStr">
        <is>
          <t>Thomas Heilman</t>
        </is>
      </c>
      <c r="D2738" s="33" t="inlineStr">
        <is>
          <t>SwimCloud</t>
        </is>
      </c>
      <c r="E2738" s="33" t="inlineStr">
        <is>
          <t>1336401</t>
        </is>
      </c>
      <c r="F2738" s="33" t="inlineStr">
        <is>
          <t>43369319</t>
        </is>
      </c>
      <c r="G2738" s="51" t="n">
        <v>44400</v>
      </c>
      <c r="H2738" s="33" t="inlineStr">
        <is>
          <t>YMCA Long Course Swimming Festival</t>
        </is>
      </c>
      <c r="I2738" s="33" t="inlineStr">
        <is>
          <t>201202</t>
        </is>
      </c>
      <c r="J2738" s="33" t="inlineStr"/>
      <c r="K2738" s="33" t="inlineStr">
        <is>
          <t>PRE</t>
        </is>
      </c>
      <c r="L2738" s="35">
        <f>IF(K2738="FIN",3,IF(OR(K2738="SEM",K2738="SEMI"),2,IF(OR(K2738="PRE",K2738="HEAT"),1,IF(V2738="YES",4,2))))</f>
        <v/>
      </c>
      <c r="M2738" s="33" t="inlineStr">
        <is>
          <t>LCM</t>
        </is>
      </c>
      <c r="N2738" s="33" t="n">
        <v>200</v>
      </c>
      <c r="O2738" s="33" t="inlineStr">
        <is>
          <t>Free</t>
        </is>
      </c>
      <c r="P2738" s="33" t="inlineStr">
        <is>
          <t>200 Free</t>
        </is>
      </c>
      <c r="Q2738" s="33" t="inlineStr">
        <is>
          <t>LCM_200_FREE</t>
        </is>
      </c>
      <c r="R2738" s="36" t="n">
        <v>113.82</v>
      </c>
      <c r="S2738" s="35">
        <f>IF(R2738="","",IF(R2738&gt;=60,INT(R2738/60)&amp;":"&amp;TEXT(MOD(R2738,60),"00.00"),TEXT(R2738,"0.00")))</f>
        <v/>
      </c>
      <c r="T2738" s="52">
        <f>IFERROR((G2738-INDEX('01_Swimmers'!$E$5:$E$22,MATCH(B2738,'01_Swimmers'!$A$5:$A$22,0)))/'00_Control'!$B$10,"")</f>
        <v/>
      </c>
      <c r="U2738" s="35">
        <f>IF(T2738="","",INT(T2738))</f>
        <v/>
      </c>
      <c r="V2738" s="33" t="inlineStr">
        <is>
          <t>NO</t>
        </is>
      </c>
      <c r="W2738" s="33" t="inlineStr">
        <is>
          <t>YES</t>
        </is>
      </c>
      <c r="X2738" s="33" t="inlineStr">
        <is>
          <t>NO</t>
        </is>
      </c>
      <c r="Y2738" s="33" t="n">
        <v>12</v>
      </c>
      <c r="Z2738" s="33" t="n">
        <v>6</v>
      </c>
      <c r="AA2738" s="33" t="inlineStr">
        <is>
          <t>1</t>
        </is>
      </c>
      <c r="AB2738" s="33" t="inlineStr">
        <is>
          <t>https://www.swimcloud.com/results/201202/event/204/?id=43369319#time43369319</t>
        </is>
      </c>
      <c r="AC2738" s="33" t="inlineStr">
        <is>
          <t>SwimCloud API v6 2026-10-08</t>
        </is>
      </c>
      <c r="AD2738" s="33" t="inlineStr">
        <is>
          <t>Thomas Heilman|2021-07-23|LCM|200|Free|113.82|YMCA Long Course Swimming Festival|PRE|False</t>
        </is>
      </c>
      <c r="AE2738" s="53">
        <f>G2738+L2738/1000+ROW()/1000000000</f>
        <v/>
      </c>
      <c r="AF2738" s="35">
        <f>IF(C2738&lt;&gt;"Grayson Coulter","",COUNTIFS($C$5:$C$2991,"Grayson Coulter",$Q$5:$Q$2991,Q2738,$AE$5:$AE$2991,"&lt;="&amp;AE2738,$R$5:$R$2991,"&lt;"&amp;R2738))</f>
        <v/>
      </c>
      <c r="AG2738" s="35">
        <f>IF(OR(C2738&lt;&gt;"Grayson Coulter",G2738&lt;'00_Control'!$B$7),"",--(AF2738&lt;5))</f>
        <v/>
      </c>
      <c r="AH2738" s="35">
        <f>IF(OR(C2738&lt;&gt;"Grayson Coulter",G2738&lt;'00_Control'!$B$7),"",--(AF2738&lt;10))</f>
        <v/>
      </c>
      <c r="AI2738" s="35">
        <f>IF(AND(C2738="Grayson Coulter",G2738&gt;='00_Control'!$B$7),"YES","NO")</f>
        <v/>
      </c>
      <c r="AJ2738" s="33" t="inlineStr">
        <is>
          <t>OK</t>
        </is>
      </c>
    </row>
    <row r="2739">
      <c r="A2739" s="33" t="inlineStr">
        <is>
          <t>SM002735</t>
        </is>
      </c>
      <c r="B2739" s="33" t="inlineStr">
        <is>
          <t>SW005</t>
        </is>
      </c>
      <c r="C2739" s="33" t="inlineStr">
        <is>
          <t>Thomas Heilman</t>
        </is>
      </c>
      <c r="D2739" s="33" t="inlineStr">
        <is>
          <t>SwimCloud</t>
        </is>
      </c>
      <c r="E2739" s="33" t="inlineStr">
        <is>
          <t>1336401</t>
        </is>
      </c>
      <c r="F2739" s="33" t="inlineStr">
        <is>
          <t>43369320</t>
        </is>
      </c>
      <c r="G2739" s="51" t="n">
        <v>44400</v>
      </c>
      <c r="H2739" s="33" t="inlineStr">
        <is>
          <t>YMCA Long Course Swimming Festival</t>
        </is>
      </c>
      <c r="I2739" s="33" t="inlineStr">
        <is>
          <t>201202</t>
        </is>
      </c>
      <c r="J2739" s="33" t="inlineStr"/>
      <c r="K2739" s="33" t="inlineStr">
        <is>
          <t>FIN</t>
        </is>
      </c>
      <c r="L2739" s="35">
        <f>IF(K2739="FIN",3,IF(OR(K2739="SEM",K2739="SEMI"),2,IF(OR(K2739="PRE",K2739="HEAT"),1,IF(V2739="YES",4,2))))</f>
        <v/>
      </c>
      <c r="M2739" s="33" t="inlineStr">
        <is>
          <t>LCM</t>
        </is>
      </c>
      <c r="N2739" s="33" t="n">
        <v>200</v>
      </c>
      <c r="O2739" s="33" t="inlineStr">
        <is>
          <t>Free</t>
        </is>
      </c>
      <c r="P2739" s="33" t="inlineStr">
        <is>
          <t>200 Free</t>
        </is>
      </c>
      <c r="Q2739" s="33" t="inlineStr">
        <is>
          <t>LCM_200_FREE</t>
        </is>
      </c>
      <c r="R2739" s="36" t="n">
        <v>113.54</v>
      </c>
      <c r="S2739" s="35">
        <f>IF(R2739="","",IF(R2739&gt;=60,INT(R2739/60)&amp;":"&amp;TEXT(MOD(R2739,60),"00.00"),TEXT(R2739,"0.00")))</f>
        <v/>
      </c>
      <c r="T2739" s="52">
        <f>IFERROR((G2739-INDEX('01_Swimmers'!$E$5:$E$22,MATCH(B2739,'01_Swimmers'!$A$5:$A$22,0)))/'00_Control'!$B$10,"")</f>
        <v/>
      </c>
      <c r="U2739" s="35">
        <f>IF(T2739="","",INT(T2739))</f>
        <v/>
      </c>
      <c r="V2739" s="33" t="inlineStr">
        <is>
          <t>NO</t>
        </is>
      </c>
      <c r="W2739" s="33" t="inlineStr">
        <is>
          <t>YES</t>
        </is>
      </c>
      <c r="X2739" s="33" t="inlineStr">
        <is>
          <t>NO</t>
        </is>
      </c>
      <c r="Y2739" s="33" t="n">
        <v>3</v>
      </c>
      <c r="Z2739" s="33" t="n">
        <v>4</v>
      </c>
      <c r="AA2739" s="33" t="inlineStr">
        <is>
          <t>1</t>
        </is>
      </c>
      <c r="AB2739" s="33" t="inlineStr">
        <is>
          <t>https://www.swimcloud.com/results/201202/event/204/?id=43369320#time43369320</t>
        </is>
      </c>
      <c r="AC2739" s="33" t="inlineStr">
        <is>
          <t>SwimCloud API v6 2026-10-08</t>
        </is>
      </c>
      <c r="AD2739" s="33" t="inlineStr">
        <is>
          <t>Thomas Heilman|2021-07-23|LCM|200|Free|113.54|YMCA Long Course Swimming Festival|FIN|False</t>
        </is>
      </c>
      <c r="AE2739" s="53">
        <f>G2739+L2739/1000+ROW()/1000000000</f>
        <v/>
      </c>
      <c r="AF2739" s="35">
        <f>IF(C2739&lt;&gt;"Grayson Coulter","",COUNTIFS($C$5:$C$2991,"Grayson Coulter",$Q$5:$Q$2991,Q2739,$AE$5:$AE$2991,"&lt;="&amp;AE2739,$R$5:$R$2991,"&lt;"&amp;R2739))</f>
        <v/>
      </c>
      <c r="AG2739" s="35">
        <f>IF(OR(C2739&lt;&gt;"Grayson Coulter",G2739&lt;'00_Control'!$B$7),"",--(AF2739&lt;5))</f>
        <v/>
      </c>
      <c r="AH2739" s="35">
        <f>IF(OR(C2739&lt;&gt;"Grayson Coulter",G2739&lt;'00_Control'!$B$7),"",--(AF2739&lt;10))</f>
        <v/>
      </c>
      <c r="AI2739" s="35">
        <f>IF(AND(C2739="Grayson Coulter",G2739&gt;='00_Control'!$B$7),"YES","NO")</f>
        <v/>
      </c>
      <c r="AJ2739" s="33" t="inlineStr">
        <is>
          <t>OK</t>
        </is>
      </c>
    </row>
    <row r="2740">
      <c r="A2740" s="33" t="inlineStr">
        <is>
          <t>SM002736</t>
        </is>
      </c>
      <c r="B2740" s="33" t="inlineStr">
        <is>
          <t>SW005</t>
        </is>
      </c>
      <c r="C2740" s="33" t="inlineStr">
        <is>
          <t>Thomas Heilman</t>
        </is>
      </c>
      <c r="D2740" s="33" t="inlineStr">
        <is>
          <t>SwimCloud</t>
        </is>
      </c>
      <c r="E2740" s="33" t="inlineStr">
        <is>
          <t>1336401</t>
        </is>
      </c>
      <c r="F2740" s="33" t="inlineStr">
        <is>
          <t>43369682</t>
        </is>
      </c>
      <c r="G2740" s="51" t="n">
        <v>44401</v>
      </c>
      <c r="H2740" s="33" t="inlineStr">
        <is>
          <t>YMCA Long Course Swimming Festival</t>
        </is>
      </c>
      <c r="I2740" s="33" t="inlineStr">
        <is>
          <t>201202</t>
        </is>
      </c>
      <c r="J2740" s="33" t="inlineStr"/>
      <c r="K2740" s="33" t="inlineStr">
        <is>
          <t>PRE</t>
        </is>
      </c>
      <c r="L2740" s="35">
        <f>IF(K2740="FIN",3,IF(OR(K2740="SEM",K2740="SEMI"),2,IF(OR(K2740="PRE",K2740="HEAT"),1,IF(V2740="YES",4,2))))</f>
        <v/>
      </c>
      <c r="M2740" s="33" t="inlineStr">
        <is>
          <t>LCM</t>
        </is>
      </c>
      <c r="N2740" s="33" t="n">
        <v>100</v>
      </c>
      <c r="O2740" s="33" t="inlineStr">
        <is>
          <t>Fly</t>
        </is>
      </c>
      <c r="P2740" s="33" t="inlineStr">
        <is>
          <t>100 Fly</t>
        </is>
      </c>
      <c r="Q2740" s="33" t="inlineStr">
        <is>
          <t>LCM_100_FLY</t>
        </is>
      </c>
      <c r="R2740" s="36" t="n">
        <v>54.72</v>
      </c>
      <c r="S2740" s="35">
        <f>IF(R2740="","",IF(R2740&gt;=60,INT(R2740/60)&amp;":"&amp;TEXT(MOD(R2740,60),"00.00"),TEXT(R2740,"0.00")))</f>
        <v/>
      </c>
      <c r="T2740" s="52">
        <f>IFERROR((G2740-INDEX('01_Swimmers'!$E$5:$E$22,MATCH(B2740,'01_Swimmers'!$A$5:$A$22,0)))/'00_Control'!$B$10,"")</f>
        <v/>
      </c>
      <c r="U2740" s="35">
        <f>IF(T2740="","",INT(T2740))</f>
        <v/>
      </c>
      <c r="V2740" s="33" t="inlineStr">
        <is>
          <t>NO</t>
        </is>
      </c>
      <c r="W2740" s="33" t="inlineStr">
        <is>
          <t>YES</t>
        </is>
      </c>
      <c r="X2740" s="33" t="inlineStr">
        <is>
          <t>NO</t>
        </is>
      </c>
      <c r="Y2740" s="33" t="n">
        <v>16</v>
      </c>
      <c r="Z2740" s="33" t="n">
        <v>4</v>
      </c>
      <c r="AA2740" s="33" t="inlineStr">
        <is>
          <t>1</t>
        </is>
      </c>
      <c r="AB2740" s="33" t="inlineStr">
        <is>
          <t>https://www.swimcloud.com/results/201202/event/304/?id=43369682#time43369682</t>
        </is>
      </c>
      <c r="AC2740" s="33" t="inlineStr">
        <is>
          <t>SwimCloud API v6 2026-10-08</t>
        </is>
      </c>
      <c r="AD2740" s="33" t="inlineStr">
        <is>
          <t>Thomas Heilman|2021-07-24|LCM|100|Fly|54.72|YMCA Long Course Swimming Festival|PRE|False</t>
        </is>
      </c>
      <c r="AE2740" s="53">
        <f>G2740+L2740/1000+ROW()/1000000000</f>
        <v/>
      </c>
      <c r="AF2740" s="35">
        <f>IF(C2740&lt;&gt;"Grayson Coulter","",COUNTIFS($C$5:$C$2991,"Grayson Coulter",$Q$5:$Q$2991,Q2740,$AE$5:$AE$2991,"&lt;="&amp;AE2740,$R$5:$R$2991,"&lt;"&amp;R2740))</f>
        <v/>
      </c>
      <c r="AG2740" s="35">
        <f>IF(OR(C2740&lt;&gt;"Grayson Coulter",G2740&lt;'00_Control'!$B$7),"",--(AF2740&lt;5))</f>
        <v/>
      </c>
      <c r="AH2740" s="35">
        <f>IF(OR(C2740&lt;&gt;"Grayson Coulter",G2740&lt;'00_Control'!$B$7),"",--(AF2740&lt;10))</f>
        <v/>
      </c>
      <c r="AI2740" s="35">
        <f>IF(AND(C2740="Grayson Coulter",G2740&gt;='00_Control'!$B$7),"YES","NO")</f>
        <v/>
      </c>
      <c r="AJ2740" s="33" t="inlineStr">
        <is>
          <t>OK</t>
        </is>
      </c>
    </row>
    <row r="2741">
      <c r="A2741" s="33" t="inlineStr">
        <is>
          <t>SM002737</t>
        </is>
      </c>
      <c r="B2741" s="33" t="inlineStr">
        <is>
          <t>SW005</t>
        </is>
      </c>
      <c r="C2741" s="33" t="inlineStr">
        <is>
          <t>Thomas Heilman</t>
        </is>
      </c>
      <c r="D2741" s="33" t="inlineStr">
        <is>
          <t>SwimCloud</t>
        </is>
      </c>
      <c r="E2741" s="33" t="inlineStr">
        <is>
          <t>1336401</t>
        </is>
      </c>
      <c r="F2741" s="33" t="inlineStr">
        <is>
          <t>43369683</t>
        </is>
      </c>
      <c r="G2741" s="51" t="n">
        <v>44401</v>
      </c>
      <c r="H2741" s="33" t="inlineStr">
        <is>
          <t>YMCA Long Course Swimming Festival</t>
        </is>
      </c>
      <c r="I2741" s="33" t="inlineStr">
        <is>
          <t>201202</t>
        </is>
      </c>
      <c r="J2741" s="33" t="inlineStr"/>
      <c r="K2741" s="33" t="inlineStr">
        <is>
          <t>FIN</t>
        </is>
      </c>
      <c r="L2741" s="35">
        <f>IF(K2741="FIN",3,IF(OR(K2741="SEM",K2741="SEMI"),2,IF(OR(K2741="PRE",K2741="HEAT"),1,IF(V2741="YES",4,2))))</f>
        <v/>
      </c>
      <c r="M2741" s="33" t="inlineStr">
        <is>
          <t>LCM</t>
        </is>
      </c>
      <c r="N2741" s="33" t="n">
        <v>100</v>
      </c>
      <c r="O2741" s="33" t="inlineStr">
        <is>
          <t>Fly</t>
        </is>
      </c>
      <c r="P2741" s="33" t="inlineStr">
        <is>
          <t>100 Fly</t>
        </is>
      </c>
      <c r="Q2741" s="33" t="inlineStr">
        <is>
          <t>LCM_100_FLY</t>
        </is>
      </c>
      <c r="R2741" s="36" t="n">
        <v>54.43</v>
      </c>
      <c r="S2741" s="35">
        <f>IF(R2741="","",IF(R2741&gt;=60,INT(R2741/60)&amp;":"&amp;TEXT(MOD(R2741,60),"00.00"),TEXT(R2741,"0.00")))</f>
        <v/>
      </c>
      <c r="T2741" s="52">
        <f>IFERROR((G2741-INDEX('01_Swimmers'!$E$5:$E$22,MATCH(B2741,'01_Swimmers'!$A$5:$A$22,0)))/'00_Control'!$B$10,"")</f>
        <v/>
      </c>
      <c r="U2741" s="35">
        <f>IF(T2741="","",INT(T2741))</f>
        <v/>
      </c>
      <c r="V2741" s="33" t="inlineStr">
        <is>
          <t>NO</t>
        </is>
      </c>
      <c r="W2741" s="33" t="inlineStr">
        <is>
          <t>YES</t>
        </is>
      </c>
      <c r="X2741" s="33" t="inlineStr">
        <is>
          <t>NO</t>
        </is>
      </c>
      <c r="Y2741" s="33" t="n">
        <v>3</v>
      </c>
      <c r="Z2741" s="33" t="n">
        <v>4</v>
      </c>
      <c r="AA2741" s="33" t="inlineStr">
        <is>
          <t>1</t>
        </is>
      </c>
      <c r="AB2741" s="33" t="inlineStr">
        <is>
          <t>https://www.swimcloud.com/results/201202/event/304/?id=43369683#time43369683</t>
        </is>
      </c>
      <c r="AC2741" s="33" t="inlineStr">
        <is>
          <t>SwimCloud API v6 2026-10-08</t>
        </is>
      </c>
      <c r="AD2741" s="33" t="inlineStr">
        <is>
          <t>Thomas Heilman|2021-07-24|LCM|100|Fly|54.43|YMCA Long Course Swimming Festival|FIN|False</t>
        </is>
      </c>
      <c r="AE2741" s="53">
        <f>G2741+L2741/1000+ROW()/1000000000</f>
        <v/>
      </c>
      <c r="AF2741" s="35">
        <f>IF(C2741&lt;&gt;"Grayson Coulter","",COUNTIFS($C$5:$C$2991,"Grayson Coulter",$Q$5:$Q$2991,Q2741,$AE$5:$AE$2991,"&lt;="&amp;AE2741,$R$5:$R$2991,"&lt;"&amp;R2741))</f>
        <v/>
      </c>
      <c r="AG2741" s="35">
        <f>IF(OR(C2741&lt;&gt;"Grayson Coulter",G2741&lt;'00_Control'!$B$7),"",--(AF2741&lt;5))</f>
        <v/>
      </c>
      <c r="AH2741" s="35">
        <f>IF(OR(C2741&lt;&gt;"Grayson Coulter",G2741&lt;'00_Control'!$B$7),"",--(AF2741&lt;10))</f>
        <v/>
      </c>
      <c r="AI2741" s="35">
        <f>IF(AND(C2741="Grayson Coulter",G2741&gt;='00_Control'!$B$7),"YES","NO")</f>
        <v/>
      </c>
      <c r="AJ2741" s="33" t="inlineStr">
        <is>
          <t>OK</t>
        </is>
      </c>
    </row>
    <row r="2742">
      <c r="A2742" s="33" t="inlineStr">
        <is>
          <t>SM002738</t>
        </is>
      </c>
      <c r="B2742" s="33" t="inlineStr">
        <is>
          <t>SW005</t>
        </is>
      </c>
      <c r="C2742" s="33" t="inlineStr">
        <is>
          <t>Thomas Heilman</t>
        </is>
      </c>
      <c r="D2742" s="33" t="inlineStr">
        <is>
          <t>SwimCloud</t>
        </is>
      </c>
      <c r="E2742" s="33" t="inlineStr">
        <is>
          <t>1336401</t>
        </is>
      </c>
      <c r="F2742" s="33" t="inlineStr">
        <is>
          <t>43371302</t>
        </is>
      </c>
      <c r="G2742" s="51" t="n">
        <v>44402</v>
      </c>
      <c r="H2742" s="33" t="inlineStr">
        <is>
          <t>YMCA Long Course Swimming Festival</t>
        </is>
      </c>
      <c r="I2742" s="33" t="inlineStr">
        <is>
          <t>201202</t>
        </is>
      </c>
      <c r="J2742" s="33" t="inlineStr"/>
      <c r="K2742" s="33" t="inlineStr">
        <is>
          <t>TIM</t>
        </is>
      </c>
      <c r="L2742" s="35">
        <f>IF(K2742="FIN",3,IF(OR(K2742="SEM",K2742="SEMI"),2,IF(OR(K2742="PRE",K2742="HEAT"),1,IF(V2742="YES",4,2))))</f>
        <v/>
      </c>
      <c r="M2742" s="33" t="inlineStr">
        <is>
          <t>LCM</t>
        </is>
      </c>
      <c r="N2742" s="33" t="n">
        <v>100</v>
      </c>
      <c r="O2742" s="33" t="inlineStr">
        <is>
          <t>Free</t>
        </is>
      </c>
      <c r="P2742" s="33" t="inlineStr">
        <is>
          <t>100 Free</t>
        </is>
      </c>
      <c r="Q2742" s="33" t="inlineStr">
        <is>
          <t>LCM_100_FREE</t>
        </is>
      </c>
      <c r="R2742" s="36" t="n">
        <v>51.92</v>
      </c>
      <c r="S2742" s="35">
        <f>IF(R2742="","",IF(R2742&gt;=60,INT(R2742/60)&amp;":"&amp;TEXT(MOD(R2742,60),"00.00"),TEXT(R2742,"0.00")))</f>
        <v/>
      </c>
      <c r="T2742" s="52">
        <f>IFERROR((G2742-INDEX('01_Swimmers'!$E$5:$E$22,MATCH(B2742,'01_Swimmers'!$A$5:$A$22,0)))/'00_Control'!$B$10,"")</f>
        <v/>
      </c>
      <c r="U2742" s="35">
        <f>IF(T2742="","",INT(T2742))</f>
        <v/>
      </c>
      <c r="V2742" s="33" t="inlineStr">
        <is>
          <t>YES</t>
        </is>
      </c>
      <c r="W2742" s="33" t="inlineStr">
        <is>
          <t>YES</t>
        </is>
      </c>
      <c r="X2742" s="33" t="inlineStr">
        <is>
          <t>NO</t>
        </is>
      </c>
      <c r="Y2742" s="33" t="n">
        <v>2</v>
      </c>
      <c r="Z2742" s="33" t="n">
        <v>3</v>
      </c>
      <c r="AA2742" s="33" t="inlineStr"/>
      <c r="AB2742" s="33" t="inlineStr">
        <is>
          <t>https://www.swimcloud.com/results/201202/event/410/?id=43370541#time43370541</t>
        </is>
      </c>
      <c r="AC2742" s="33" t="inlineStr">
        <is>
          <t>SwimCloud API v6 2026-10-08</t>
        </is>
      </c>
      <c r="AD2742" s="33" t="inlineStr">
        <is>
          <t>Thomas Heilman|2021-07-25|LCM|100|Free|51.92|YMCA Long Course Swimming Festival|TIM|True</t>
        </is>
      </c>
      <c r="AE2742" s="53">
        <f>G2742+L2742/1000+ROW()/1000000000</f>
        <v/>
      </c>
      <c r="AF2742" s="35">
        <f>IF(C2742&lt;&gt;"Grayson Coulter","",COUNTIFS($C$5:$C$2991,"Grayson Coulter",$Q$5:$Q$2991,Q2742,$AE$5:$AE$2991,"&lt;="&amp;AE2742,$R$5:$R$2991,"&lt;"&amp;R2742))</f>
        <v/>
      </c>
      <c r="AG2742" s="35">
        <f>IF(OR(C2742&lt;&gt;"Grayson Coulter",G2742&lt;'00_Control'!$B$7),"",--(AF2742&lt;5))</f>
        <v/>
      </c>
      <c r="AH2742" s="35">
        <f>IF(OR(C2742&lt;&gt;"Grayson Coulter",G2742&lt;'00_Control'!$B$7),"",--(AF2742&lt;10))</f>
        <v/>
      </c>
      <c r="AI2742" s="35">
        <f>IF(AND(C2742="Grayson Coulter",G2742&gt;='00_Control'!$B$7),"YES","NO")</f>
        <v/>
      </c>
      <c r="AJ2742" s="33" t="inlineStr">
        <is>
          <t>OK</t>
        </is>
      </c>
    </row>
    <row r="2743">
      <c r="A2743" s="33" t="inlineStr">
        <is>
          <t>SM002739</t>
        </is>
      </c>
      <c r="B2743" s="33" t="inlineStr">
        <is>
          <t>SW005</t>
        </is>
      </c>
      <c r="C2743" s="33" t="inlineStr">
        <is>
          <t>Thomas Heilman</t>
        </is>
      </c>
      <c r="D2743" s="33" t="inlineStr">
        <is>
          <t>SwimCloud</t>
        </is>
      </c>
      <c r="E2743" s="33" t="inlineStr">
        <is>
          <t>1336401</t>
        </is>
      </c>
      <c r="F2743" s="33" t="inlineStr">
        <is>
          <t>49023234</t>
        </is>
      </c>
      <c r="G2743" s="51" t="n">
        <v>44533</v>
      </c>
      <c r="H2743" s="33" t="inlineStr">
        <is>
          <t>Toyota US Open</t>
        </is>
      </c>
      <c r="I2743" s="33" t="inlineStr">
        <is>
          <t>203537</t>
        </is>
      </c>
      <c r="J2743" s="33" t="inlineStr"/>
      <c r="K2743" s="33" t="inlineStr">
        <is>
          <t>PRE</t>
        </is>
      </c>
      <c r="L2743" s="35">
        <f>IF(K2743="FIN",3,IF(OR(K2743="SEM",K2743="SEMI"),2,IF(OR(K2743="PRE",K2743="HEAT"),1,IF(V2743="YES",4,2))))</f>
        <v/>
      </c>
      <c r="M2743" s="33" t="inlineStr">
        <is>
          <t>LCM</t>
        </is>
      </c>
      <c r="N2743" s="33" t="n">
        <v>100</v>
      </c>
      <c r="O2743" s="33" t="inlineStr">
        <is>
          <t>Fly</t>
        </is>
      </c>
      <c r="P2743" s="33" t="inlineStr">
        <is>
          <t>100 Fly</t>
        </is>
      </c>
      <c r="Q2743" s="33" t="inlineStr">
        <is>
          <t>LCM_100_FLY</t>
        </is>
      </c>
      <c r="R2743" s="36" t="n">
        <v>53.43</v>
      </c>
      <c r="S2743" s="35">
        <f>IF(R2743="","",IF(R2743&gt;=60,INT(R2743/60)&amp;":"&amp;TEXT(MOD(R2743,60),"00.00"),TEXT(R2743,"0.00")))</f>
        <v/>
      </c>
      <c r="T2743" s="52">
        <f>IFERROR((G2743-INDEX('01_Swimmers'!$E$5:$E$22,MATCH(B2743,'01_Swimmers'!$A$5:$A$22,0)))/'00_Control'!$B$10,"")</f>
        <v/>
      </c>
      <c r="U2743" s="35">
        <f>IF(T2743="","",INT(T2743))</f>
        <v/>
      </c>
      <c r="V2743" s="33" t="inlineStr">
        <is>
          <t>NO</t>
        </is>
      </c>
      <c r="W2743" s="33" t="inlineStr">
        <is>
          <t>YES</t>
        </is>
      </c>
      <c r="X2743" s="33" t="inlineStr">
        <is>
          <t>NO</t>
        </is>
      </c>
      <c r="Y2743" s="33" t="n">
        <v>2</v>
      </c>
      <c r="Z2743" s="33" t="n">
        <v>6</v>
      </c>
      <c r="AA2743" s="33" t="inlineStr">
        <is>
          <t>1</t>
        </is>
      </c>
      <c r="AB2743" s="33" t="inlineStr">
        <is>
          <t>https://www.swimcloud.com/results/203537/event/12/?id=49023234#time49023234</t>
        </is>
      </c>
      <c r="AC2743" s="33" t="inlineStr">
        <is>
          <t>SwimCloud API v6 2026-10-08</t>
        </is>
      </c>
      <c r="AD2743" s="33" t="inlineStr">
        <is>
          <t>Thomas Heilman|2021-12-03|LCM|100|Fly|53.43|Toyota US Open|PRE|False</t>
        </is>
      </c>
      <c r="AE2743" s="53">
        <f>G2743+L2743/1000+ROW()/1000000000</f>
        <v/>
      </c>
      <c r="AF2743" s="35">
        <f>IF(C2743&lt;&gt;"Grayson Coulter","",COUNTIFS($C$5:$C$2991,"Grayson Coulter",$Q$5:$Q$2991,Q2743,$AE$5:$AE$2991,"&lt;="&amp;AE2743,$R$5:$R$2991,"&lt;"&amp;R2743))</f>
        <v/>
      </c>
      <c r="AG2743" s="35">
        <f>IF(OR(C2743&lt;&gt;"Grayson Coulter",G2743&lt;'00_Control'!$B$7),"",--(AF2743&lt;5))</f>
        <v/>
      </c>
      <c r="AH2743" s="35">
        <f>IF(OR(C2743&lt;&gt;"Grayson Coulter",G2743&lt;'00_Control'!$B$7),"",--(AF2743&lt;10))</f>
        <v/>
      </c>
      <c r="AI2743" s="35">
        <f>IF(AND(C2743="Grayson Coulter",G2743&gt;='00_Control'!$B$7),"YES","NO")</f>
        <v/>
      </c>
      <c r="AJ2743" s="33" t="inlineStr">
        <is>
          <t>OK</t>
        </is>
      </c>
    </row>
    <row r="2744">
      <c r="A2744" s="33" t="inlineStr">
        <is>
          <t>SM002740</t>
        </is>
      </c>
      <c r="B2744" s="33" t="inlineStr">
        <is>
          <t>SW005</t>
        </is>
      </c>
      <c r="C2744" s="33" t="inlineStr">
        <is>
          <t>Thomas Heilman</t>
        </is>
      </c>
      <c r="D2744" s="33" t="inlineStr">
        <is>
          <t>SwimCloud</t>
        </is>
      </c>
      <c r="E2744" s="33" t="inlineStr">
        <is>
          <t>1336401</t>
        </is>
      </c>
      <c r="F2744" s="33" t="inlineStr">
        <is>
          <t>49023235</t>
        </is>
      </c>
      <c r="G2744" s="51" t="n">
        <v>44533</v>
      </c>
      <c r="H2744" s="33" t="inlineStr">
        <is>
          <t>Toyota US Open</t>
        </is>
      </c>
      <c r="I2744" s="33" t="inlineStr">
        <is>
          <t>203537</t>
        </is>
      </c>
      <c r="J2744" s="33" t="inlineStr"/>
      <c r="K2744" s="33" t="inlineStr">
        <is>
          <t>FIN</t>
        </is>
      </c>
      <c r="L2744" s="35">
        <f>IF(K2744="FIN",3,IF(OR(K2744="SEM",K2744="SEMI"),2,IF(OR(K2744="PRE",K2744="HEAT"),1,IF(V2744="YES",4,2))))</f>
        <v/>
      </c>
      <c r="M2744" s="33" t="inlineStr">
        <is>
          <t>LCM</t>
        </is>
      </c>
      <c r="N2744" s="33" t="n">
        <v>100</v>
      </c>
      <c r="O2744" s="33" t="inlineStr">
        <is>
          <t>Fly</t>
        </is>
      </c>
      <c r="P2744" s="33" t="inlineStr">
        <is>
          <t>100 Fly</t>
        </is>
      </c>
      <c r="Q2744" s="33" t="inlineStr">
        <is>
          <t>LCM_100_FLY</t>
        </is>
      </c>
      <c r="R2744" s="36" t="n">
        <v>53.27</v>
      </c>
      <c r="S2744" s="35">
        <f>IF(R2744="","",IF(R2744&gt;=60,INT(R2744/60)&amp;":"&amp;TEXT(MOD(R2744,60),"00.00"),TEXT(R2744,"0.00")))</f>
        <v/>
      </c>
      <c r="T2744" s="52">
        <f>IFERROR((G2744-INDEX('01_Swimmers'!$E$5:$E$22,MATCH(B2744,'01_Swimmers'!$A$5:$A$22,0)))/'00_Control'!$B$10,"")</f>
        <v/>
      </c>
      <c r="U2744" s="35">
        <f>IF(T2744="","",INT(T2744))</f>
        <v/>
      </c>
      <c r="V2744" s="33" t="inlineStr">
        <is>
          <t>NO</t>
        </is>
      </c>
      <c r="W2744" s="33" t="inlineStr">
        <is>
          <t>YES</t>
        </is>
      </c>
      <c r="X2744" s="33" t="inlineStr">
        <is>
          <t>NO</t>
        </is>
      </c>
      <c r="Y2744" s="33" t="n">
        <v>2</v>
      </c>
      <c r="Z2744" s="33" t="n">
        <v>4</v>
      </c>
      <c r="AA2744" s="33" t="inlineStr">
        <is>
          <t>2</t>
        </is>
      </c>
      <c r="AB2744" s="33" t="inlineStr">
        <is>
          <t>https://www.swimcloud.com/results/203537/event/12/?id=49023235#time49023235</t>
        </is>
      </c>
      <c r="AC2744" s="33" t="inlineStr">
        <is>
          <t>SwimCloud API v6 2026-10-08</t>
        </is>
      </c>
      <c r="AD2744" s="33" t="inlineStr">
        <is>
          <t>Thomas Heilman|2021-12-03|LCM|100|Fly|53.27|Toyota US Open|FIN|False</t>
        </is>
      </c>
      <c r="AE2744" s="53">
        <f>G2744+L2744/1000+ROW()/1000000000</f>
        <v/>
      </c>
      <c r="AF2744" s="35">
        <f>IF(C2744&lt;&gt;"Grayson Coulter","",COUNTIFS($C$5:$C$2991,"Grayson Coulter",$Q$5:$Q$2991,Q2744,$AE$5:$AE$2991,"&lt;="&amp;AE2744,$R$5:$R$2991,"&lt;"&amp;R2744))</f>
        <v/>
      </c>
      <c r="AG2744" s="35">
        <f>IF(OR(C2744&lt;&gt;"Grayson Coulter",G2744&lt;'00_Control'!$B$7),"",--(AF2744&lt;5))</f>
        <v/>
      </c>
      <c r="AH2744" s="35">
        <f>IF(OR(C2744&lt;&gt;"Grayson Coulter",G2744&lt;'00_Control'!$B$7),"",--(AF2744&lt;10))</f>
        <v/>
      </c>
      <c r="AI2744" s="35">
        <f>IF(AND(C2744="Grayson Coulter",G2744&gt;='00_Control'!$B$7),"YES","NO")</f>
        <v/>
      </c>
      <c r="AJ2744" s="33" t="inlineStr">
        <is>
          <t>OK</t>
        </is>
      </c>
    </row>
    <row r="2745">
      <c r="A2745" s="33" t="inlineStr">
        <is>
          <t>SM002741</t>
        </is>
      </c>
      <c r="B2745" s="33" t="inlineStr">
        <is>
          <t>SW005</t>
        </is>
      </c>
      <c r="C2745" s="33" t="inlineStr">
        <is>
          <t>Thomas Heilman</t>
        </is>
      </c>
      <c r="D2745" s="33" t="inlineStr">
        <is>
          <t>SwimCloud</t>
        </is>
      </c>
      <c r="E2745" s="33" t="inlineStr">
        <is>
          <t>1336401</t>
        </is>
      </c>
      <c r="F2745" s="33" t="inlineStr">
        <is>
          <t>49023738</t>
        </is>
      </c>
      <c r="G2745" s="51" t="n">
        <v>44533</v>
      </c>
      <c r="H2745" s="33" t="inlineStr">
        <is>
          <t>Toyota US Open</t>
        </is>
      </c>
      <c r="I2745" s="33" t="inlineStr">
        <is>
          <t>203537</t>
        </is>
      </c>
      <c r="J2745" s="33" t="inlineStr"/>
      <c r="K2745" s="33" t="inlineStr">
        <is>
          <t>PRE</t>
        </is>
      </c>
      <c r="L2745" s="35">
        <f>IF(K2745="FIN",3,IF(OR(K2745="SEM",K2745="SEMI"),2,IF(OR(K2745="PRE",K2745="HEAT"),1,IF(V2745="YES",4,2))))</f>
        <v/>
      </c>
      <c r="M2745" s="33" t="inlineStr">
        <is>
          <t>LCM</t>
        </is>
      </c>
      <c r="N2745" s="33" t="n">
        <v>200</v>
      </c>
      <c r="O2745" s="33" t="inlineStr">
        <is>
          <t>Free</t>
        </is>
      </c>
      <c r="P2745" s="33" t="inlineStr">
        <is>
          <t>200 Free</t>
        </is>
      </c>
      <c r="Q2745" s="33" t="inlineStr">
        <is>
          <t>LCM_200_FREE</t>
        </is>
      </c>
      <c r="R2745" s="36" t="n">
        <v>111.27</v>
      </c>
      <c r="S2745" s="35">
        <f>IF(R2745="","",IF(R2745&gt;=60,INT(R2745/60)&amp;":"&amp;TEXT(MOD(R2745,60),"00.00"),TEXT(R2745,"0.00")))</f>
        <v/>
      </c>
      <c r="T2745" s="52">
        <f>IFERROR((G2745-INDEX('01_Swimmers'!$E$5:$E$22,MATCH(B2745,'01_Swimmers'!$A$5:$A$22,0)))/'00_Control'!$B$10,"")</f>
        <v/>
      </c>
      <c r="U2745" s="35">
        <f>IF(T2745="","",INT(T2745))</f>
        <v/>
      </c>
      <c r="V2745" s="33" t="inlineStr">
        <is>
          <t>NO</t>
        </is>
      </c>
      <c r="W2745" s="33" t="inlineStr">
        <is>
          <t>YES</t>
        </is>
      </c>
      <c r="X2745" s="33" t="inlineStr">
        <is>
          <t>NO</t>
        </is>
      </c>
      <c r="Y2745" s="33" t="n">
        <v>2</v>
      </c>
      <c r="Z2745" s="33" t="n">
        <v>7</v>
      </c>
      <c r="AA2745" s="33" t="inlineStr">
        <is>
          <t>4</t>
        </is>
      </c>
      <c r="AB2745" s="33" t="inlineStr">
        <is>
          <t>https://www.swimcloud.com/results/203537/event/14/?id=49023738#time49023738</t>
        </is>
      </c>
      <c r="AC2745" s="33" t="inlineStr">
        <is>
          <t>SwimCloud API v6 2026-10-08</t>
        </is>
      </c>
      <c r="AD2745" s="33" t="inlineStr">
        <is>
          <t>Thomas Heilman|2021-12-03|LCM|200|Free|111.27|Toyota US Open|PRE|False</t>
        </is>
      </c>
      <c r="AE2745" s="53">
        <f>G2745+L2745/1000+ROW()/1000000000</f>
        <v/>
      </c>
      <c r="AF2745" s="35">
        <f>IF(C2745&lt;&gt;"Grayson Coulter","",COUNTIFS($C$5:$C$2991,"Grayson Coulter",$Q$5:$Q$2991,Q2745,$AE$5:$AE$2991,"&lt;="&amp;AE2745,$R$5:$R$2991,"&lt;"&amp;R2745))</f>
        <v/>
      </c>
      <c r="AG2745" s="35">
        <f>IF(OR(C2745&lt;&gt;"Grayson Coulter",G2745&lt;'00_Control'!$B$7),"",--(AF2745&lt;5))</f>
        <v/>
      </c>
      <c r="AH2745" s="35">
        <f>IF(OR(C2745&lt;&gt;"Grayson Coulter",G2745&lt;'00_Control'!$B$7),"",--(AF2745&lt;10))</f>
        <v/>
      </c>
      <c r="AI2745" s="35">
        <f>IF(AND(C2745="Grayson Coulter",G2745&gt;='00_Control'!$B$7),"YES","NO")</f>
        <v/>
      </c>
      <c r="AJ2745" s="33" t="inlineStr">
        <is>
          <t>OK</t>
        </is>
      </c>
    </row>
    <row r="2746">
      <c r="A2746" s="33" t="inlineStr">
        <is>
          <t>SM002742</t>
        </is>
      </c>
      <c r="B2746" s="33" t="inlineStr">
        <is>
          <t>SW005</t>
        </is>
      </c>
      <c r="C2746" s="33" t="inlineStr">
        <is>
          <t>Thomas Heilman</t>
        </is>
      </c>
      <c r="D2746" s="33" t="inlineStr">
        <is>
          <t>SwimCloud</t>
        </is>
      </c>
      <c r="E2746" s="33" t="inlineStr">
        <is>
          <t>1336401</t>
        </is>
      </c>
      <c r="F2746" s="33" t="inlineStr">
        <is>
          <t>49023739</t>
        </is>
      </c>
      <c r="G2746" s="51" t="n">
        <v>44533</v>
      </c>
      <c r="H2746" s="33" t="inlineStr">
        <is>
          <t>Toyota US Open</t>
        </is>
      </c>
      <c r="I2746" s="33" t="inlineStr">
        <is>
          <t>203537</t>
        </is>
      </c>
      <c r="J2746" s="33" t="inlineStr"/>
      <c r="K2746" s="33" t="inlineStr">
        <is>
          <t>FIN</t>
        </is>
      </c>
      <c r="L2746" s="35">
        <f>IF(K2746="FIN",3,IF(OR(K2746="SEM",K2746="SEMI"),2,IF(OR(K2746="PRE",K2746="HEAT"),1,IF(V2746="YES",4,2))))</f>
        <v/>
      </c>
      <c r="M2746" s="33" t="inlineStr">
        <is>
          <t>LCM</t>
        </is>
      </c>
      <c r="N2746" s="33" t="n">
        <v>200</v>
      </c>
      <c r="O2746" s="33" t="inlineStr">
        <is>
          <t>Free</t>
        </is>
      </c>
      <c r="P2746" s="33" t="inlineStr">
        <is>
          <t>200 Free</t>
        </is>
      </c>
      <c r="Q2746" s="33" t="inlineStr">
        <is>
          <t>LCM_200_FREE</t>
        </is>
      </c>
      <c r="R2746" s="36" t="n">
        <v>111.47</v>
      </c>
      <c r="S2746" s="35">
        <f>IF(R2746="","",IF(R2746&gt;=60,INT(R2746/60)&amp;":"&amp;TEXT(MOD(R2746,60),"00.00"),TEXT(R2746,"0.00")))</f>
        <v/>
      </c>
      <c r="T2746" s="52">
        <f>IFERROR((G2746-INDEX('01_Swimmers'!$E$5:$E$22,MATCH(B2746,'01_Swimmers'!$A$5:$A$22,0)))/'00_Control'!$B$10,"")</f>
        <v/>
      </c>
      <c r="U2746" s="35">
        <f>IF(T2746="","",INT(T2746))</f>
        <v/>
      </c>
      <c r="V2746" s="33" t="inlineStr">
        <is>
          <t>NO</t>
        </is>
      </c>
      <c r="W2746" s="33" t="inlineStr">
        <is>
          <t>YES</t>
        </is>
      </c>
      <c r="X2746" s="33" t="inlineStr">
        <is>
          <t>NO</t>
        </is>
      </c>
      <c r="Y2746" s="33" t="n">
        <v>2</v>
      </c>
      <c r="Z2746" s="33" t="n">
        <v>3</v>
      </c>
      <c r="AA2746" s="33" t="inlineStr">
        <is>
          <t>4</t>
        </is>
      </c>
      <c r="AB2746" s="33" t="inlineStr">
        <is>
          <t>https://www.swimcloud.com/results/203537/event/14/?id=49023739#time49023739</t>
        </is>
      </c>
      <c r="AC2746" s="33" t="inlineStr">
        <is>
          <t>SwimCloud API v6 2026-10-08</t>
        </is>
      </c>
      <c r="AD2746" s="33" t="inlineStr">
        <is>
          <t>Thomas Heilman|2021-12-03|LCM|200|Free|111.47|Toyota US Open|FIN|False</t>
        </is>
      </c>
      <c r="AE2746" s="53">
        <f>G2746+L2746/1000+ROW()/1000000000</f>
        <v/>
      </c>
      <c r="AF2746" s="35">
        <f>IF(C2746&lt;&gt;"Grayson Coulter","",COUNTIFS($C$5:$C$2991,"Grayson Coulter",$Q$5:$Q$2991,Q2746,$AE$5:$AE$2991,"&lt;="&amp;AE2746,$R$5:$R$2991,"&lt;"&amp;R2746))</f>
        <v/>
      </c>
      <c r="AG2746" s="35">
        <f>IF(OR(C2746&lt;&gt;"Grayson Coulter",G2746&lt;'00_Control'!$B$7),"",--(AF2746&lt;5))</f>
        <v/>
      </c>
      <c r="AH2746" s="35">
        <f>IF(OR(C2746&lt;&gt;"Grayson Coulter",G2746&lt;'00_Control'!$B$7),"",--(AF2746&lt;10))</f>
        <v/>
      </c>
      <c r="AI2746" s="35">
        <f>IF(AND(C2746="Grayson Coulter",G2746&gt;='00_Control'!$B$7),"YES","NO")</f>
        <v/>
      </c>
      <c r="AJ2746" s="33" t="inlineStr">
        <is>
          <t>OK</t>
        </is>
      </c>
    </row>
    <row r="2747">
      <c r="A2747" s="33" t="inlineStr">
        <is>
          <t>SM002743</t>
        </is>
      </c>
      <c r="B2747" s="33" t="inlineStr">
        <is>
          <t>SW005</t>
        </is>
      </c>
      <c r="C2747" s="33" t="inlineStr">
        <is>
          <t>Thomas Heilman</t>
        </is>
      </c>
      <c r="D2747" s="33" t="inlineStr">
        <is>
          <t>SwimCloud</t>
        </is>
      </c>
      <c r="E2747" s="33" t="inlineStr">
        <is>
          <t>1336401</t>
        </is>
      </c>
      <c r="F2747" s="33" t="inlineStr">
        <is>
          <t>49023872</t>
        </is>
      </c>
      <c r="G2747" s="51" t="n">
        <v>44534</v>
      </c>
      <c r="H2747" s="33" t="inlineStr">
        <is>
          <t>Toyota US Open</t>
        </is>
      </c>
      <c r="I2747" s="33" t="inlineStr">
        <is>
          <t>203537</t>
        </is>
      </c>
      <c r="J2747" s="33" t="inlineStr"/>
      <c r="K2747" s="33" t="inlineStr">
        <is>
          <t>PRE</t>
        </is>
      </c>
      <c r="L2747" s="35">
        <f>IF(K2747="FIN",3,IF(OR(K2747="SEM",K2747="SEMI"),2,IF(OR(K2747="PRE",K2747="HEAT"),1,IF(V2747="YES",4,2))))</f>
        <v/>
      </c>
      <c r="M2747" s="33" t="inlineStr">
        <is>
          <t>LCM</t>
        </is>
      </c>
      <c r="N2747" s="33" t="n">
        <v>100</v>
      </c>
      <c r="O2747" s="33" t="inlineStr">
        <is>
          <t>Free</t>
        </is>
      </c>
      <c r="P2747" s="33" t="inlineStr">
        <is>
          <t>100 Free</t>
        </is>
      </c>
      <c r="Q2747" s="33" t="inlineStr">
        <is>
          <t>LCM_100_FREE</t>
        </is>
      </c>
      <c r="R2747" s="36" t="n">
        <v>51.12</v>
      </c>
      <c r="S2747" s="35">
        <f>IF(R2747="","",IF(R2747&gt;=60,INT(R2747/60)&amp;":"&amp;TEXT(MOD(R2747,60),"00.00"),TEXT(R2747,"0.00")))</f>
        <v/>
      </c>
      <c r="T2747" s="52">
        <f>IFERROR((G2747-INDEX('01_Swimmers'!$E$5:$E$22,MATCH(B2747,'01_Swimmers'!$A$5:$A$22,0)))/'00_Control'!$B$10,"")</f>
        <v/>
      </c>
      <c r="U2747" s="35">
        <f>IF(T2747="","",INT(T2747))</f>
        <v/>
      </c>
      <c r="V2747" s="33" t="inlineStr">
        <is>
          <t>NO</t>
        </is>
      </c>
      <c r="W2747" s="33" t="inlineStr">
        <is>
          <t>YES</t>
        </is>
      </c>
      <c r="X2747" s="33" t="inlineStr">
        <is>
          <t>NO</t>
        </is>
      </c>
      <c r="Y2747" s="33" t="n">
        <v>3</v>
      </c>
      <c r="Z2747" s="33" t="n">
        <v>1</v>
      </c>
      <c r="AA2747" s="33" t="inlineStr">
        <is>
          <t>14</t>
        </is>
      </c>
      <c r="AB2747" s="33" t="inlineStr">
        <is>
          <t>https://www.swimcloud.com/results/203537/event/24/?id=49023872#time49023872</t>
        </is>
      </c>
      <c r="AC2747" s="33" t="inlineStr">
        <is>
          <t>SwimCloud API v6 2026-10-08</t>
        </is>
      </c>
      <c r="AD2747" s="33" t="inlineStr">
        <is>
          <t>Thomas Heilman|2021-12-04|LCM|100|Free|51.12|Toyota US Open|PRE|False</t>
        </is>
      </c>
      <c r="AE2747" s="53">
        <f>G2747+L2747/1000+ROW()/1000000000</f>
        <v/>
      </c>
      <c r="AF2747" s="35">
        <f>IF(C2747&lt;&gt;"Grayson Coulter","",COUNTIFS($C$5:$C$2991,"Grayson Coulter",$Q$5:$Q$2991,Q2747,$AE$5:$AE$2991,"&lt;="&amp;AE2747,$R$5:$R$2991,"&lt;"&amp;R2747))</f>
        <v/>
      </c>
      <c r="AG2747" s="35">
        <f>IF(OR(C2747&lt;&gt;"Grayson Coulter",G2747&lt;'00_Control'!$B$7),"",--(AF2747&lt;5))</f>
        <v/>
      </c>
      <c r="AH2747" s="35">
        <f>IF(OR(C2747&lt;&gt;"Grayson Coulter",G2747&lt;'00_Control'!$B$7),"",--(AF2747&lt;10))</f>
        <v/>
      </c>
      <c r="AI2747" s="35">
        <f>IF(AND(C2747="Grayson Coulter",G2747&gt;='00_Control'!$B$7),"YES","NO")</f>
        <v/>
      </c>
      <c r="AJ2747" s="33" t="inlineStr">
        <is>
          <t>OK</t>
        </is>
      </c>
    </row>
    <row r="2748">
      <c r="A2748" s="33" t="inlineStr">
        <is>
          <t>SM002744</t>
        </is>
      </c>
      <c r="B2748" s="33" t="inlineStr">
        <is>
          <t>SW005</t>
        </is>
      </c>
      <c r="C2748" s="33" t="inlineStr">
        <is>
          <t>Thomas Heilman</t>
        </is>
      </c>
      <c r="D2748" s="33" t="inlineStr">
        <is>
          <t>SwimCloud</t>
        </is>
      </c>
      <c r="E2748" s="33" t="inlineStr">
        <is>
          <t>1336401</t>
        </is>
      </c>
      <c r="F2748" s="33" t="inlineStr">
        <is>
          <t>64633933</t>
        </is>
      </c>
      <c r="G2748" s="51" t="n">
        <v>44679</v>
      </c>
      <c r="H2748" s="33" t="inlineStr">
        <is>
          <t>Phillips 66 International Team Trials</t>
        </is>
      </c>
      <c r="I2748" s="33" t="inlineStr">
        <is>
          <t>203553</t>
        </is>
      </c>
      <c r="J2748" s="33" t="inlineStr"/>
      <c r="K2748" s="33" t="inlineStr">
        <is>
          <t>PRE</t>
        </is>
      </c>
      <c r="L2748" s="35">
        <f>IF(K2748="FIN",3,IF(OR(K2748="SEM",K2748="SEMI"),2,IF(OR(K2748="PRE",K2748="HEAT"),1,IF(V2748="YES",4,2))))</f>
        <v/>
      </c>
      <c r="M2748" s="33" t="inlineStr">
        <is>
          <t>LCM</t>
        </is>
      </c>
      <c r="N2748" s="33" t="n">
        <v>100</v>
      </c>
      <c r="O2748" s="33" t="inlineStr">
        <is>
          <t>Fly</t>
        </is>
      </c>
      <c r="P2748" s="33" t="inlineStr">
        <is>
          <t>100 Fly</t>
        </is>
      </c>
      <c r="Q2748" s="33" t="inlineStr">
        <is>
          <t>LCM_100_FLY</t>
        </is>
      </c>
      <c r="R2748" s="36" t="n">
        <v>52.87</v>
      </c>
      <c r="S2748" s="35">
        <f>IF(R2748="","",IF(R2748&gt;=60,INT(R2748/60)&amp;":"&amp;TEXT(MOD(R2748,60),"00.00"),TEXT(R2748,"0.00")))</f>
        <v/>
      </c>
      <c r="T2748" s="52">
        <f>IFERROR((G2748-INDEX('01_Swimmers'!$E$5:$E$22,MATCH(B2748,'01_Swimmers'!$A$5:$A$22,0)))/'00_Control'!$B$10,"")</f>
        <v/>
      </c>
      <c r="U2748" s="35">
        <f>IF(T2748="","",INT(T2748))</f>
        <v/>
      </c>
      <c r="V2748" s="33" t="inlineStr">
        <is>
          <t>NO</t>
        </is>
      </c>
      <c r="W2748" s="33" t="inlineStr">
        <is>
          <t>YES</t>
        </is>
      </c>
      <c r="X2748" s="33" t="inlineStr">
        <is>
          <t>NO</t>
        </is>
      </c>
      <c r="Y2748" s="33" t="n">
        <v>6</v>
      </c>
      <c r="Z2748" s="33" t="n">
        <v>8</v>
      </c>
      <c r="AA2748" s="33" t="inlineStr">
        <is>
          <t>12</t>
        </is>
      </c>
      <c r="AB2748" s="33" t="inlineStr">
        <is>
          <t>https://www.swimcloud.com/results/203553/event/18/?id=64633933#time64633933</t>
        </is>
      </c>
      <c r="AC2748" s="33" t="inlineStr">
        <is>
          <t>SwimCloud API v6 2026-10-08</t>
        </is>
      </c>
      <c r="AD2748" s="33" t="inlineStr">
        <is>
          <t>Thomas Heilman|2022-04-28|LCM|100|Fly|52.87|Phillips 66 International Team Trials|PRE|False</t>
        </is>
      </c>
      <c r="AE2748" s="53">
        <f>G2748+L2748/1000+ROW()/1000000000</f>
        <v/>
      </c>
      <c r="AF2748" s="35">
        <f>IF(C2748&lt;&gt;"Grayson Coulter","",COUNTIFS($C$5:$C$2991,"Grayson Coulter",$Q$5:$Q$2991,Q2748,$AE$5:$AE$2991,"&lt;="&amp;AE2748,$R$5:$R$2991,"&lt;"&amp;R2748))</f>
        <v/>
      </c>
      <c r="AG2748" s="35">
        <f>IF(OR(C2748&lt;&gt;"Grayson Coulter",G2748&lt;'00_Control'!$B$7),"",--(AF2748&lt;5))</f>
        <v/>
      </c>
      <c r="AH2748" s="35">
        <f>IF(OR(C2748&lt;&gt;"Grayson Coulter",G2748&lt;'00_Control'!$B$7),"",--(AF2748&lt;10))</f>
        <v/>
      </c>
      <c r="AI2748" s="35">
        <f>IF(AND(C2748="Grayson Coulter",G2748&gt;='00_Control'!$B$7),"YES","NO")</f>
        <v/>
      </c>
      <c r="AJ2748" s="33" t="inlineStr">
        <is>
          <t>OK</t>
        </is>
      </c>
    </row>
    <row r="2749">
      <c r="A2749" s="33" t="inlineStr">
        <is>
          <t>SM002745</t>
        </is>
      </c>
      <c r="B2749" s="33" t="inlineStr">
        <is>
          <t>SW005</t>
        </is>
      </c>
      <c r="C2749" s="33" t="inlineStr">
        <is>
          <t>Thomas Heilman</t>
        </is>
      </c>
      <c r="D2749" s="33" t="inlineStr">
        <is>
          <t>SwimCloud</t>
        </is>
      </c>
      <c r="E2749" s="33" t="inlineStr">
        <is>
          <t>1336401</t>
        </is>
      </c>
      <c r="F2749" s="33" t="inlineStr">
        <is>
          <t>64633932</t>
        </is>
      </c>
      <c r="G2749" s="51" t="n">
        <v>44679</v>
      </c>
      <c r="H2749" s="33" t="inlineStr">
        <is>
          <t>Phillips 66 International Team Trials</t>
        </is>
      </c>
      <c r="I2749" s="33" t="inlineStr">
        <is>
          <t>203553</t>
        </is>
      </c>
      <c r="J2749" s="33" t="inlineStr"/>
      <c r="K2749" s="33" t="inlineStr">
        <is>
          <t>FIN</t>
        </is>
      </c>
      <c r="L2749" s="35">
        <f>IF(K2749="FIN",3,IF(OR(K2749="SEM",K2749="SEMI"),2,IF(OR(K2749="PRE",K2749="HEAT"),1,IF(V2749="YES",4,2))))</f>
        <v/>
      </c>
      <c r="M2749" s="33" t="inlineStr">
        <is>
          <t>LCM</t>
        </is>
      </c>
      <c r="N2749" s="33" t="n">
        <v>100</v>
      </c>
      <c r="O2749" s="33" t="inlineStr">
        <is>
          <t>Fly</t>
        </is>
      </c>
      <c r="P2749" s="33" t="inlineStr">
        <is>
          <t>100 Fly</t>
        </is>
      </c>
      <c r="Q2749" s="33" t="inlineStr">
        <is>
          <t>LCM_100_FLY</t>
        </is>
      </c>
      <c r="R2749" s="36" t="n">
        <v>53.07</v>
      </c>
      <c r="S2749" s="35">
        <f>IF(R2749="","",IF(R2749&gt;=60,INT(R2749/60)&amp;":"&amp;TEXT(MOD(R2749,60),"00.00"),TEXT(R2749,"0.00")))</f>
        <v/>
      </c>
      <c r="T2749" s="52">
        <f>IFERROR((G2749-INDEX('01_Swimmers'!$E$5:$E$22,MATCH(B2749,'01_Swimmers'!$A$5:$A$22,0)))/'00_Control'!$B$10,"")</f>
        <v/>
      </c>
      <c r="U2749" s="35">
        <f>IF(T2749="","",INT(T2749))</f>
        <v/>
      </c>
      <c r="V2749" s="33" t="inlineStr">
        <is>
          <t>NO</t>
        </is>
      </c>
      <c r="W2749" s="33" t="inlineStr">
        <is>
          <t>YES</t>
        </is>
      </c>
      <c r="X2749" s="33" t="inlineStr">
        <is>
          <t>NO</t>
        </is>
      </c>
      <c r="Y2749" s="33" t="n">
        <v>2</v>
      </c>
      <c r="Z2749" s="33" t="n">
        <v>5</v>
      </c>
      <c r="AA2749" s="33" t="inlineStr">
        <is>
          <t>13</t>
        </is>
      </c>
      <c r="AB2749" s="33" t="inlineStr">
        <is>
          <t>https://www.swimcloud.com/results/203553/event/18/?id=64633932#time64633932</t>
        </is>
      </c>
      <c r="AC2749" s="33" t="inlineStr">
        <is>
          <t>SwimCloud API v6 2026-10-08</t>
        </is>
      </c>
      <c r="AD2749" s="33" t="inlineStr">
        <is>
          <t>Thomas Heilman|2022-04-28|LCM|100|Fly|53.07|Phillips 66 International Team Trials|FIN|False</t>
        </is>
      </c>
      <c r="AE2749" s="53">
        <f>G2749+L2749/1000+ROW()/1000000000</f>
        <v/>
      </c>
      <c r="AF2749" s="35">
        <f>IF(C2749&lt;&gt;"Grayson Coulter","",COUNTIFS($C$5:$C$2991,"Grayson Coulter",$Q$5:$Q$2991,Q2749,$AE$5:$AE$2991,"&lt;="&amp;AE2749,$R$5:$R$2991,"&lt;"&amp;R2749))</f>
        <v/>
      </c>
      <c r="AG2749" s="35">
        <f>IF(OR(C2749&lt;&gt;"Grayson Coulter",G2749&lt;'00_Control'!$B$7),"",--(AF2749&lt;5))</f>
        <v/>
      </c>
      <c r="AH2749" s="35">
        <f>IF(OR(C2749&lt;&gt;"Grayson Coulter",G2749&lt;'00_Control'!$B$7),"",--(AF2749&lt;10))</f>
        <v/>
      </c>
      <c r="AI2749" s="35">
        <f>IF(AND(C2749="Grayson Coulter",G2749&gt;='00_Control'!$B$7),"YES","NO")</f>
        <v/>
      </c>
      <c r="AJ2749" s="33" t="inlineStr">
        <is>
          <t>OK</t>
        </is>
      </c>
    </row>
    <row r="2750">
      <c r="A2750" s="33" t="inlineStr">
        <is>
          <t>SM002746</t>
        </is>
      </c>
      <c r="B2750" s="33" t="inlineStr">
        <is>
          <t>SW005</t>
        </is>
      </c>
      <c r="C2750" s="33" t="inlineStr">
        <is>
          <t>Thomas Heilman</t>
        </is>
      </c>
      <c r="D2750" s="33" t="inlineStr">
        <is>
          <t>SwimCloud</t>
        </is>
      </c>
      <c r="E2750" s="33" t="inlineStr">
        <is>
          <t>1336401</t>
        </is>
      </c>
      <c r="F2750" s="33" t="inlineStr">
        <is>
          <t>65174264</t>
        </is>
      </c>
      <c r="G2750" s="51" t="n">
        <v>44694</v>
      </c>
      <c r="H2750" s="33" t="inlineStr">
        <is>
          <t>Speedo Sectionals - Richmond</t>
        </is>
      </c>
      <c r="I2750" s="33" t="inlineStr">
        <is>
          <t>212652</t>
        </is>
      </c>
      <c r="J2750" s="33" t="inlineStr"/>
      <c r="K2750" s="33" t="inlineStr">
        <is>
          <t>TIM</t>
        </is>
      </c>
      <c r="L2750" s="35">
        <f>IF(K2750="FIN",3,IF(OR(K2750="SEM",K2750="SEMI"),2,IF(OR(K2750="PRE",K2750="HEAT"),1,IF(V2750="YES",4,2))))</f>
        <v/>
      </c>
      <c r="M2750" s="33" t="inlineStr">
        <is>
          <t>LCM</t>
        </is>
      </c>
      <c r="N2750" s="33" t="n">
        <v>100</v>
      </c>
      <c r="O2750" s="33" t="inlineStr">
        <is>
          <t>Free</t>
        </is>
      </c>
      <c r="P2750" s="33" t="inlineStr">
        <is>
          <t>100 Free</t>
        </is>
      </c>
      <c r="Q2750" s="33" t="inlineStr">
        <is>
          <t>LCM_100_FREE</t>
        </is>
      </c>
      <c r="R2750" s="36" t="n">
        <v>51.81</v>
      </c>
      <c r="S2750" s="35">
        <f>IF(R2750="","",IF(R2750&gt;=60,INT(R2750/60)&amp;":"&amp;TEXT(MOD(R2750,60),"00.00"),TEXT(R2750,"0.00")))</f>
        <v/>
      </c>
      <c r="T2750" s="52">
        <f>IFERROR((G2750-INDEX('01_Swimmers'!$E$5:$E$22,MATCH(B2750,'01_Swimmers'!$A$5:$A$22,0)))/'00_Control'!$B$10,"")</f>
        <v/>
      </c>
      <c r="U2750" s="35">
        <f>IF(T2750="","",INT(T2750))</f>
        <v/>
      </c>
      <c r="V2750" s="33" t="inlineStr">
        <is>
          <t>YES</t>
        </is>
      </c>
      <c r="W2750" s="33" t="inlineStr">
        <is>
          <t>YES</t>
        </is>
      </c>
      <c r="X2750" s="33" t="inlineStr">
        <is>
          <t>NO</t>
        </is>
      </c>
      <c r="Y2750" s="33" t="n">
        <v>1</v>
      </c>
      <c r="Z2750" s="33" t="n">
        <v>5</v>
      </c>
      <c r="AA2750" s="33" t="inlineStr"/>
      <c r="AB2750" s="33" t="inlineStr">
        <is>
          <t>https://www.swimcloud.com/results/212652/event/12/?id=65174131#time65174131</t>
        </is>
      </c>
      <c r="AC2750" s="33" t="inlineStr">
        <is>
          <t>SwimCloud API v6 2026-10-08</t>
        </is>
      </c>
      <c r="AD2750" s="33" t="inlineStr">
        <is>
          <t>Thomas Heilman|2022-05-13|LCM|100|Free|51.81|Speedo Sectionals - Richmond|TIM|True</t>
        </is>
      </c>
      <c r="AE2750" s="53">
        <f>G2750+L2750/1000+ROW()/1000000000</f>
        <v/>
      </c>
      <c r="AF2750" s="35">
        <f>IF(C2750&lt;&gt;"Grayson Coulter","",COUNTIFS($C$5:$C$2991,"Grayson Coulter",$Q$5:$Q$2991,Q2750,$AE$5:$AE$2991,"&lt;="&amp;AE2750,$R$5:$R$2991,"&lt;"&amp;R2750))</f>
        <v/>
      </c>
      <c r="AG2750" s="35">
        <f>IF(OR(C2750&lt;&gt;"Grayson Coulter",G2750&lt;'00_Control'!$B$7),"",--(AF2750&lt;5))</f>
        <v/>
      </c>
      <c r="AH2750" s="35">
        <f>IF(OR(C2750&lt;&gt;"Grayson Coulter",G2750&lt;'00_Control'!$B$7),"",--(AF2750&lt;10))</f>
        <v/>
      </c>
      <c r="AI2750" s="35">
        <f>IF(AND(C2750="Grayson Coulter",G2750&gt;='00_Control'!$B$7),"YES","NO")</f>
        <v/>
      </c>
      <c r="AJ2750" s="33" t="inlineStr">
        <is>
          <t>OK</t>
        </is>
      </c>
    </row>
    <row r="2751">
      <c r="A2751" s="33" t="inlineStr">
        <is>
          <t>SM002747</t>
        </is>
      </c>
      <c r="B2751" s="33" t="inlineStr">
        <is>
          <t>SW005</t>
        </is>
      </c>
      <c r="C2751" s="33" t="inlineStr">
        <is>
          <t>Thomas Heilman</t>
        </is>
      </c>
      <c r="D2751" s="33" t="inlineStr">
        <is>
          <t>SwimCloud</t>
        </is>
      </c>
      <c r="E2751" s="33" t="inlineStr">
        <is>
          <t>1336401</t>
        </is>
      </c>
      <c r="F2751" s="33" t="inlineStr">
        <is>
          <t>65172563</t>
        </is>
      </c>
      <c r="G2751" s="51" t="n">
        <v>44694</v>
      </c>
      <c r="H2751" s="33" t="inlineStr">
        <is>
          <t>Speedo Sectionals - Richmond</t>
        </is>
      </c>
      <c r="I2751" s="33" t="inlineStr">
        <is>
          <t>212652</t>
        </is>
      </c>
      <c r="J2751" s="33" t="inlineStr"/>
      <c r="K2751" s="33" t="inlineStr">
        <is>
          <t>PRE</t>
        </is>
      </c>
      <c r="L2751" s="35">
        <f>IF(K2751="FIN",3,IF(OR(K2751="SEM",K2751="SEMI"),2,IF(OR(K2751="PRE",K2751="HEAT"),1,IF(V2751="YES",4,2))))</f>
        <v/>
      </c>
      <c r="M2751" s="33" t="inlineStr">
        <is>
          <t>LCM</t>
        </is>
      </c>
      <c r="N2751" s="33" t="n">
        <v>200</v>
      </c>
      <c r="O2751" s="33" t="inlineStr">
        <is>
          <t>Free</t>
        </is>
      </c>
      <c r="P2751" s="33" t="inlineStr">
        <is>
          <t>200 Free</t>
        </is>
      </c>
      <c r="Q2751" s="33" t="inlineStr">
        <is>
          <t>LCM_200_FREE</t>
        </is>
      </c>
      <c r="R2751" s="36" t="n">
        <v>113.69</v>
      </c>
      <c r="S2751" s="35">
        <f>IF(R2751="","",IF(R2751&gt;=60,INT(R2751/60)&amp;":"&amp;TEXT(MOD(R2751,60),"00.00"),TEXT(R2751,"0.00")))</f>
        <v/>
      </c>
      <c r="T2751" s="52">
        <f>IFERROR((G2751-INDEX('01_Swimmers'!$E$5:$E$22,MATCH(B2751,'01_Swimmers'!$A$5:$A$22,0)))/'00_Control'!$B$10,"")</f>
        <v/>
      </c>
      <c r="U2751" s="35">
        <f>IF(T2751="","",INT(T2751))</f>
        <v/>
      </c>
      <c r="V2751" s="33" t="inlineStr">
        <is>
          <t>NO</t>
        </is>
      </c>
      <c r="W2751" s="33" t="inlineStr">
        <is>
          <t>YES</t>
        </is>
      </c>
      <c r="X2751" s="33" t="inlineStr">
        <is>
          <t>NO</t>
        </is>
      </c>
      <c r="Y2751" s="33" t="n">
        <v>10</v>
      </c>
      <c r="Z2751" s="33" t="n">
        <v>4</v>
      </c>
      <c r="AA2751" s="33" t="inlineStr">
        <is>
          <t>1</t>
        </is>
      </c>
      <c r="AB2751" s="33" t="inlineStr">
        <is>
          <t>https://www.swimcloud.com/results/212652/event/4/?id=65172563#time65172563</t>
        </is>
      </c>
      <c r="AC2751" s="33" t="inlineStr">
        <is>
          <t>SwimCloud API v6 2026-10-08</t>
        </is>
      </c>
      <c r="AD2751" s="33" t="inlineStr">
        <is>
          <t>Thomas Heilman|2022-05-13|LCM|200|Free|113.69|Speedo Sectionals - Richmond|PRE|False</t>
        </is>
      </c>
      <c r="AE2751" s="53">
        <f>G2751+L2751/1000+ROW()/1000000000</f>
        <v/>
      </c>
      <c r="AF2751" s="35">
        <f>IF(C2751&lt;&gt;"Grayson Coulter","",COUNTIFS($C$5:$C$2991,"Grayson Coulter",$Q$5:$Q$2991,Q2751,$AE$5:$AE$2991,"&lt;="&amp;AE2751,$R$5:$R$2991,"&lt;"&amp;R2751))</f>
        <v/>
      </c>
      <c r="AG2751" s="35">
        <f>IF(OR(C2751&lt;&gt;"Grayson Coulter",G2751&lt;'00_Control'!$B$7),"",--(AF2751&lt;5))</f>
        <v/>
      </c>
      <c r="AH2751" s="35">
        <f>IF(OR(C2751&lt;&gt;"Grayson Coulter",G2751&lt;'00_Control'!$B$7),"",--(AF2751&lt;10))</f>
        <v/>
      </c>
      <c r="AI2751" s="35">
        <f>IF(AND(C2751="Grayson Coulter",G2751&gt;='00_Control'!$B$7),"YES","NO")</f>
        <v/>
      </c>
      <c r="AJ2751" s="33" t="inlineStr">
        <is>
          <t>OK</t>
        </is>
      </c>
    </row>
    <row r="2752">
      <c r="A2752" s="33" t="inlineStr">
        <is>
          <t>SM002748</t>
        </is>
      </c>
      <c r="B2752" s="33" t="inlineStr">
        <is>
          <t>SW005</t>
        </is>
      </c>
      <c r="C2752" s="33" t="inlineStr">
        <is>
          <t>Thomas Heilman</t>
        </is>
      </c>
      <c r="D2752" s="33" t="inlineStr">
        <is>
          <t>SwimCloud</t>
        </is>
      </c>
      <c r="E2752" s="33" t="inlineStr">
        <is>
          <t>1336401</t>
        </is>
      </c>
      <c r="F2752" s="33" t="inlineStr">
        <is>
          <t>65172564</t>
        </is>
      </c>
      <c r="G2752" s="51" t="n">
        <v>44694</v>
      </c>
      <c r="H2752" s="33" t="inlineStr">
        <is>
          <t>Speedo Sectionals - Richmond</t>
        </is>
      </c>
      <c r="I2752" s="33" t="inlineStr">
        <is>
          <t>212652</t>
        </is>
      </c>
      <c r="J2752" s="33" t="inlineStr"/>
      <c r="K2752" s="33" t="inlineStr">
        <is>
          <t>FIN</t>
        </is>
      </c>
      <c r="L2752" s="35">
        <f>IF(K2752="FIN",3,IF(OR(K2752="SEM",K2752="SEMI"),2,IF(OR(K2752="PRE",K2752="HEAT"),1,IF(V2752="YES",4,2))))</f>
        <v/>
      </c>
      <c r="M2752" s="33" t="inlineStr">
        <is>
          <t>LCM</t>
        </is>
      </c>
      <c r="N2752" s="33" t="n">
        <v>200</v>
      </c>
      <c r="O2752" s="33" t="inlineStr">
        <is>
          <t>Free</t>
        </is>
      </c>
      <c r="P2752" s="33" t="inlineStr">
        <is>
          <t>200 Free</t>
        </is>
      </c>
      <c r="Q2752" s="33" t="inlineStr">
        <is>
          <t>LCM_200_FREE</t>
        </is>
      </c>
      <c r="R2752" s="36" t="n">
        <v>112.42</v>
      </c>
      <c r="S2752" s="35">
        <f>IF(R2752="","",IF(R2752&gt;=60,INT(R2752/60)&amp;":"&amp;TEXT(MOD(R2752,60),"00.00"),TEXT(R2752,"0.00")))</f>
        <v/>
      </c>
      <c r="T2752" s="52">
        <f>IFERROR((G2752-INDEX('01_Swimmers'!$E$5:$E$22,MATCH(B2752,'01_Swimmers'!$A$5:$A$22,0)))/'00_Control'!$B$10,"")</f>
        <v/>
      </c>
      <c r="U2752" s="35">
        <f>IF(T2752="","",INT(T2752))</f>
        <v/>
      </c>
      <c r="V2752" s="33" t="inlineStr">
        <is>
          <t>NO</t>
        </is>
      </c>
      <c r="W2752" s="33" t="inlineStr">
        <is>
          <t>YES</t>
        </is>
      </c>
      <c r="X2752" s="33" t="inlineStr">
        <is>
          <t>NO</t>
        </is>
      </c>
      <c r="Y2752" s="33" t="n">
        <v>3</v>
      </c>
      <c r="Z2752" s="33" t="n">
        <v>4</v>
      </c>
      <c r="AA2752" s="33" t="inlineStr">
        <is>
          <t>1</t>
        </is>
      </c>
      <c r="AB2752" s="33" t="inlineStr">
        <is>
          <t>https://www.swimcloud.com/results/212652/event/4/?id=65172564#time65172564</t>
        </is>
      </c>
      <c r="AC2752" s="33" t="inlineStr">
        <is>
          <t>SwimCloud API v6 2026-10-08</t>
        </is>
      </c>
      <c r="AD2752" s="33" t="inlineStr">
        <is>
          <t>Thomas Heilman|2022-05-13|LCM|200|Free|112.42|Speedo Sectionals - Richmond|FIN|False</t>
        </is>
      </c>
      <c r="AE2752" s="53">
        <f>G2752+L2752/1000+ROW()/1000000000</f>
        <v/>
      </c>
      <c r="AF2752" s="35">
        <f>IF(C2752&lt;&gt;"Grayson Coulter","",COUNTIFS($C$5:$C$2991,"Grayson Coulter",$Q$5:$Q$2991,Q2752,$AE$5:$AE$2991,"&lt;="&amp;AE2752,$R$5:$R$2991,"&lt;"&amp;R2752))</f>
        <v/>
      </c>
      <c r="AG2752" s="35">
        <f>IF(OR(C2752&lt;&gt;"Grayson Coulter",G2752&lt;'00_Control'!$B$7),"",--(AF2752&lt;5))</f>
        <v/>
      </c>
      <c r="AH2752" s="35">
        <f>IF(OR(C2752&lt;&gt;"Grayson Coulter",G2752&lt;'00_Control'!$B$7),"",--(AF2752&lt;10))</f>
        <v/>
      </c>
      <c r="AI2752" s="35">
        <f>IF(AND(C2752="Grayson Coulter",G2752&gt;='00_Control'!$B$7),"YES","NO")</f>
        <v/>
      </c>
      <c r="AJ2752" s="33" t="inlineStr">
        <is>
          <t>OK</t>
        </is>
      </c>
    </row>
    <row r="2753">
      <c r="A2753" s="33" t="inlineStr">
        <is>
          <t>SM002749</t>
        </is>
      </c>
      <c r="B2753" s="33" t="inlineStr">
        <is>
          <t>SW005</t>
        </is>
      </c>
      <c r="C2753" s="33" t="inlineStr">
        <is>
          <t>Thomas Heilman</t>
        </is>
      </c>
      <c r="D2753" s="33" t="inlineStr">
        <is>
          <t>SwimCloud</t>
        </is>
      </c>
      <c r="E2753" s="33" t="inlineStr">
        <is>
          <t>1336401</t>
        </is>
      </c>
      <c r="F2753" s="33" t="inlineStr">
        <is>
          <t>65173844</t>
        </is>
      </c>
      <c r="G2753" s="51" t="n">
        <v>44695</v>
      </c>
      <c r="H2753" s="33" t="inlineStr">
        <is>
          <t>Speedo Sectionals - Richmond</t>
        </is>
      </c>
      <c r="I2753" s="33" t="inlineStr">
        <is>
          <t>212652</t>
        </is>
      </c>
      <c r="J2753" s="33" t="inlineStr"/>
      <c r="K2753" s="33" t="inlineStr">
        <is>
          <t>PRE</t>
        </is>
      </c>
      <c r="L2753" s="35">
        <f>IF(K2753="FIN",3,IF(OR(K2753="SEM",K2753="SEMI"),2,IF(OR(K2753="PRE",K2753="HEAT"),1,IF(V2753="YES",4,2))))</f>
        <v/>
      </c>
      <c r="M2753" s="33" t="inlineStr">
        <is>
          <t>LCM</t>
        </is>
      </c>
      <c r="N2753" s="33" t="n">
        <v>400</v>
      </c>
      <c r="O2753" s="33" t="inlineStr">
        <is>
          <t>Free</t>
        </is>
      </c>
      <c r="P2753" s="33" t="inlineStr">
        <is>
          <t>400 Free</t>
        </is>
      </c>
      <c r="Q2753" s="33" t="inlineStr">
        <is>
          <t>LCM_400_FREE</t>
        </is>
      </c>
      <c r="R2753" s="36" t="n">
        <v>247.46</v>
      </c>
      <c r="S2753" s="35">
        <f>IF(R2753="","",IF(R2753&gt;=60,INT(R2753/60)&amp;":"&amp;TEXT(MOD(R2753,60),"00.00"),TEXT(R2753,"0.00")))</f>
        <v/>
      </c>
      <c r="T2753" s="52">
        <f>IFERROR((G2753-INDEX('01_Swimmers'!$E$5:$E$22,MATCH(B2753,'01_Swimmers'!$A$5:$A$22,0)))/'00_Control'!$B$10,"")</f>
        <v/>
      </c>
      <c r="U2753" s="35">
        <f>IF(T2753="","",INT(T2753))</f>
        <v/>
      </c>
      <c r="V2753" s="33" t="inlineStr">
        <is>
          <t>NO</t>
        </is>
      </c>
      <c r="W2753" s="33" t="inlineStr">
        <is>
          <t>YES</t>
        </is>
      </c>
      <c r="X2753" s="33" t="inlineStr">
        <is>
          <t>NO</t>
        </is>
      </c>
      <c r="Y2753" s="33" t="n">
        <v>6</v>
      </c>
      <c r="Z2753" s="33" t="n">
        <v>4</v>
      </c>
      <c r="AA2753" s="33" t="inlineStr">
        <is>
          <t>3</t>
        </is>
      </c>
      <c r="AB2753" s="33" t="inlineStr">
        <is>
          <t>https://www.swimcloud.com/results/212652/event/22/?id=65173844#time65173844</t>
        </is>
      </c>
      <c r="AC2753" s="33" t="inlineStr">
        <is>
          <t>SwimCloud API v6 2026-10-08</t>
        </is>
      </c>
      <c r="AD2753" s="33" t="inlineStr">
        <is>
          <t>Thomas Heilman|2022-05-14|LCM|400|Free|247.46|Speedo Sectionals - Richmond|PRE|False</t>
        </is>
      </c>
      <c r="AE2753" s="53">
        <f>G2753+L2753/1000+ROW()/1000000000</f>
        <v/>
      </c>
      <c r="AF2753" s="35">
        <f>IF(C2753&lt;&gt;"Grayson Coulter","",COUNTIFS($C$5:$C$2991,"Grayson Coulter",$Q$5:$Q$2991,Q2753,$AE$5:$AE$2991,"&lt;="&amp;AE2753,$R$5:$R$2991,"&lt;"&amp;R2753))</f>
        <v/>
      </c>
      <c r="AG2753" s="35">
        <f>IF(OR(C2753&lt;&gt;"Grayson Coulter",G2753&lt;'00_Control'!$B$7),"",--(AF2753&lt;5))</f>
        <v/>
      </c>
      <c r="AH2753" s="35">
        <f>IF(OR(C2753&lt;&gt;"Grayson Coulter",G2753&lt;'00_Control'!$B$7),"",--(AF2753&lt;10))</f>
        <v/>
      </c>
      <c r="AI2753" s="35">
        <f>IF(AND(C2753="Grayson Coulter",G2753&gt;='00_Control'!$B$7),"YES","NO")</f>
        <v/>
      </c>
      <c r="AJ2753" s="33" t="inlineStr">
        <is>
          <t>OK</t>
        </is>
      </c>
    </row>
    <row r="2754">
      <c r="A2754" s="33" t="inlineStr">
        <is>
          <t>SM002750</t>
        </is>
      </c>
      <c r="B2754" s="33" t="inlineStr">
        <is>
          <t>SW005</t>
        </is>
      </c>
      <c r="C2754" s="33" t="inlineStr">
        <is>
          <t>Thomas Heilman</t>
        </is>
      </c>
      <c r="D2754" s="33" t="inlineStr">
        <is>
          <t>SwimCloud</t>
        </is>
      </c>
      <c r="E2754" s="33" t="inlineStr">
        <is>
          <t>1336401</t>
        </is>
      </c>
      <c r="F2754" s="33" t="inlineStr">
        <is>
          <t>66663167</t>
        </is>
      </c>
      <c r="G2754" s="51" t="n">
        <v>44729</v>
      </c>
      <c r="H2754" s="33" t="inlineStr">
        <is>
          <t>NC SGSA Eastern Invitational</t>
        </is>
      </c>
      <c r="I2754" s="33" t="inlineStr">
        <is>
          <t>224918</t>
        </is>
      </c>
      <c r="J2754" s="33" t="inlineStr"/>
      <c r="K2754" s="33" t="inlineStr">
        <is>
          <t>PRE</t>
        </is>
      </c>
      <c r="L2754" s="35">
        <f>IF(K2754="FIN",3,IF(OR(K2754="SEM",K2754="SEMI"),2,IF(OR(K2754="PRE",K2754="HEAT"),1,IF(V2754="YES",4,2))))</f>
        <v/>
      </c>
      <c r="M2754" s="33" t="inlineStr">
        <is>
          <t>LCM</t>
        </is>
      </c>
      <c r="N2754" s="33" t="n">
        <v>100</v>
      </c>
      <c r="O2754" s="33" t="inlineStr">
        <is>
          <t>Fly</t>
        </is>
      </c>
      <c r="P2754" s="33" t="inlineStr">
        <is>
          <t>100 Fly</t>
        </is>
      </c>
      <c r="Q2754" s="33" t="inlineStr">
        <is>
          <t>LCM_100_FLY</t>
        </is>
      </c>
      <c r="R2754" s="36" t="n">
        <v>55.7</v>
      </c>
      <c r="S2754" s="35">
        <f>IF(R2754="","",IF(R2754&gt;=60,INT(R2754/60)&amp;":"&amp;TEXT(MOD(R2754,60),"00.00"),TEXT(R2754,"0.00")))</f>
        <v/>
      </c>
      <c r="T2754" s="52">
        <f>IFERROR((G2754-INDEX('01_Swimmers'!$E$5:$E$22,MATCH(B2754,'01_Swimmers'!$A$5:$A$22,0)))/'00_Control'!$B$10,"")</f>
        <v/>
      </c>
      <c r="U2754" s="35">
        <f>IF(T2754="","",INT(T2754))</f>
        <v/>
      </c>
      <c r="V2754" s="33" t="inlineStr">
        <is>
          <t>NO</t>
        </is>
      </c>
      <c r="W2754" s="33" t="inlineStr">
        <is>
          <t>YES</t>
        </is>
      </c>
      <c r="X2754" s="33" t="inlineStr">
        <is>
          <t>NO</t>
        </is>
      </c>
      <c r="Y2754" s="33" t="n">
        <v>1</v>
      </c>
      <c r="Z2754" s="33" t="n">
        <v>4</v>
      </c>
      <c r="AA2754" s="33" t="inlineStr">
        <is>
          <t>1</t>
        </is>
      </c>
      <c r="AB2754" s="33" t="inlineStr">
        <is>
          <t>https://www.swimcloud.com/results/224918/event/12/?id=66663167#time66663167</t>
        </is>
      </c>
      <c r="AC2754" s="33" t="inlineStr">
        <is>
          <t>SwimCloud API v6 2026-10-08</t>
        </is>
      </c>
      <c r="AD2754" s="33" t="inlineStr">
        <is>
          <t>Thomas Heilman|2022-06-17|LCM|100|Fly|55.7|NC SGSA Eastern Invitational|PRE|False</t>
        </is>
      </c>
      <c r="AE2754" s="53">
        <f>G2754+L2754/1000+ROW()/1000000000</f>
        <v/>
      </c>
      <c r="AF2754" s="35">
        <f>IF(C2754&lt;&gt;"Grayson Coulter","",COUNTIFS($C$5:$C$2991,"Grayson Coulter",$Q$5:$Q$2991,Q2754,$AE$5:$AE$2991,"&lt;="&amp;AE2754,$R$5:$R$2991,"&lt;"&amp;R2754))</f>
        <v/>
      </c>
      <c r="AG2754" s="35">
        <f>IF(OR(C2754&lt;&gt;"Grayson Coulter",G2754&lt;'00_Control'!$B$7),"",--(AF2754&lt;5))</f>
        <v/>
      </c>
      <c r="AH2754" s="35">
        <f>IF(OR(C2754&lt;&gt;"Grayson Coulter",G2754&lt;'00_Control'!$B$7),"",--(AF2754&lt;10))</f>
        <v/>
      </c>
      <c r="AI2754" s="35">
        <f>IF(AND(C2754="Grayson Coulter",G2754&gt;='00_Control'!$B$7),"YES","NO")</f>
        <v/>
      </c>
      <c r="AJ2754" s="33" t="inlineStr">
        <is>
          <t>OK</t>
        </is>
      </c>
    </row>
    <row r="2755">
      <c r="A2755" s="33" t="inlineStr">
        <is>
          <t>SM002751</t>
        </is>
      </c>
      <c r="B2755" s="33" t="inlineStr">
        <is>
          <t>SW005</t>
        </is>
      </c>
      <c r="C2755" s="33" t="inlineStr">
        <is>
          <t>Thomas Heilman</t>
        </is>
      </c>
      <c r="D2755" s="33" t="inlineStr">
        <is>
          <t>SwimCloud</t>
        </is>
      </c>
      <c r="E2755" s="33" t="inlineStr">
        <is>
          <t>1336401</t>
        </is>
      </c>
      <c r="F2755" s="33" t="inlineStr">
        <is>
          <t>66663168</t>
        </is>
      </c>
      <c r="G2755" s="51" t="n">
        <v>44729</v>
      </c>
      <c r="H2755" s="33" t="inlineStr">
        <is>
          <t>NC SGSA Eastern Invitational</t>
        </is>
      </c>
      <c r="I2755" s="33" t="inlineStr">
        <is>
          <t>224918</t>
        </is>
      </c>
      <c r="J2755" s="33" t="inlineStr"/>
      <c r="K2755" s="33" t="inlineStr">
        <is>
          <t>FIN</t>
        </is>
      </c>
      <c r="L2755" s="35">
        <f>IF(K2755="FIN",3,IF(OR(K2755="SEM",K2755="SEMI"),2,IF(OR(K2755="PRE",K2755="HEAT"),1,IF(V2755="YES",4,2))))</f>
        <v/>
      </c>
      <c r="M2755" s="33" t="inlineStr">
        <is>
          <t>LCM</t>
        </is>
      </c>
      <c r="N2755" s="33" t="n">
        <v>100</v>
      </c>
      <c r="O2755" s="33" t="inlineStr">
        <is>
          <t>Fly</t>
        </is>
      </c>
      <c r="P2755" s="33" t="inlineStr">
        <is>
          <t>100 Fly</t>
        </is>
      </c>
      <c r="Q2755" s="33" t="inlineStr">
        <is>
          <t>LCM_100_FLY</t>
        </is>
      </c>
      <c r="R2755" s="36" t="n">
        <v>54.24</v>
      </c>
      <c r="S2755" s="35">
        <f>IF(R2755="","",IF(R2755&gt;=60,INT(R2755/60)&amp;":"&amp;TEXT(MOD(R2755,60),"00.00"),TEXT(R2755,"0.00")))</f>
        <v/>
      </c>
      <c r="T2755" s="52">
        <f>IFERROR((G2755-INDEX('01_Swimmers'!$E$5:$E$22,MATCH(B2755,'01_Swimmers'!$A$5:$A$22,0)))/'00_Control'!$B$10,"")</f>
        <v/>
      </c>
      <c r="U2755" s="35">
        <f>IF(T2755="","",INT(T2755))</f>
        <v/>
      </c>
      <c r="V2755" s="33" t="inlineStr">
        <is>
          <t>NO</t>
        </is>
      </c>
      <c r="W2755" s="33" t="inlineStr">
        <is>
          <t>YES</t>
        </is>
      </c>
      <c r="X2755" s="33" t="inlineStr">
        <is>
          <t>NO</t>
        </is>
      </c>
      <c r="Y2755" s="33" t="n">
        <v>3</v>
      </c>
      <c r="Z2755" s="33" t="n">
        <v>4</v>
      </c>
      <c r="AA2755" s="33" t="inlineStr">
        <is>
          <t>1</t>
        </is>
      </c>
      <c r="AB2755" s="33" t="inlineStr">
        <is>
          <t>https://www.swimcloud.com/results/224918/event/12/?id=66663168#time66663168</t>
        </is>
      </c>
      <c r="AC2755" s="33" t="inlineStr">
        <is>
          <t>SwimCloud API v6 2026-10-08</t>
        </is>
      </c>
      <c r="AD2755" s="33" t="inlineStr">
        <is>
          <t>Thomas Heilman|2022-06-17|LCM|100|Fly|54.24|NC SGSA Eastern Invitational|FIN|False</t>
        </is>
      </c>
      <c r="AE2755" s="53">
        <f>G2755+L2755/1000+ROW()/1000000000</f>
        <v/>
      </c>
      <c r="AF2755" s="35">
        <f>IF(C2755&lt;&gt;"Grayson Coulter","",COUNTIFS($C$5:$C$2991,"Grayson Coulter",$Q$5:$Q$2991,Q2755,$AE$5:$AE$2991,"&lt;="&amp;AE2755,$R$5:$R$2991,"&lt;"&amp;R2755))</f>
        <v/>
      </c>
      <c r="AG2755" s="35">
        <f>IF(OR(C2755&lt;&gt;"Grayson Coulter",G2755&lt;'00_Control'!$B$7),"",--(AF2755&lt;5))</f>
        <v/>
      </c>
      <c r="AH2755" s="35">
        <f>IF(OR(C2755&lt;&gt;"Grayson Coulter",G2755&lt;'00_Control'!$B$7),"",--(AF2755&lt;10))</f>
        <v/>
      </c>
      <c r="AI2755" s="35">
        <f>IF(AND(C2755="Grayson Coulter",G2755&gt;='00_Control'!$B$7),"YES","NO")</f>
        <v/>
      </c>
      <c r="AJ2755" s="33" t="inlineStr">
        <is>
          <t>OK</t>
        </is>
      </c>
    </row>
    <row r="2756">
      <c r="A2756" s="33" t="inlineStr">
        <is>
          <t>SM002752</t>
        </is>
      </c>
      <c r="B2756" s="33" t="inlineStr">
        <is>
          <t>SW005</t>
        </is>
      </c>
      <c r="C2756" s="33" t="inlineStr">
        <is>
          <t>Thomas Heilman</t>
        </is>
      </c>
      <c r="D2756" s="33" t="inlineStr">
        <is>
          <t>SwimCloud</t>
        </is>
      </c>
      <c r="E2756" s="33" t="inlineStr">
        <is>
          <t>1336401</t>
        </is>
      </c>
      <c r="F2756" s="33" t="inlineStr">
        <is>
          <t>66662741</t>
        </is>
      </c>
      <c r="G2756" s="51" t="n">
        <v>44730</v>
      </c>
      <c r="H2756" s="33" t="inlineStr">
        <is>
          <t>NC SGSA Eastern Invitational</t>
        </is>
      </c>
      <c r="I2756" s="33" t="inlineStr">
        <is>
          <t>224918</t>
        </is>
      </c>
      <c r="J2756" s="33" t="inlineStr"/>
      <c r="K2756" s="33" t="inlineStr">
        <is>
          <t>TIM</t>
        </is>
      </c>
      <c r="L2756" s="35">
        <f>IF(K2756="FIN",3,IF(OR(K2756="SEM",K2756="SEMI"),2,IF(OR(K2756="PRE",K2756="HEAT"),1,IF(V2756="YES",4,2))))</f>
        <v/>
      </c>
      <c r="M2756" s="33" t="inlineStr">
        <is>
          <t>LCM</t>
        </is>
      </c>
      <c r="N2756" s="33" t="n">
        <v>400</v>
      </c>
      <c r="O2756" s="33" t="inlineStr">
        <is>
          <t>Free</t>
        </is>
      </c>
      <c r="P2756" s="33" t="inlineStr">
        <is>
          <t>400 Free</t>
        </is>
      </c>
      <c r="Q2756" s="33" t="inlineStr">
        <is>
          <t>LCM_400_FREE</t>
        </is>
      </c>
      <c r="R2756" s="36" t="n">
        <v>246.8</v>
      </c>
      <c r="S2756" s="35">
        <f>IF(R2756="","",IF(R2756&gt;=60,INT(R2756/60)&amp;":"&amp;TEXT(MOD(R2756,60),"00.00"),TEXT(R2756,"0.00")))</f>
        <v/>
      </c>
      <c r="T2756" s="52">
        <f>IFERROR((G2756-INDEX('01_Swimmers'!$E$5:$E$22,MATCH(B2756,'01_Swimmers'!$A$5:$A$22,0)))/'00_Control'!$B$10,"")</f>
        <v/>
      </c>
      <c r="U2756" s="35">
        <f>IF(T2756="","",INT(T2756))</f>
        <v/>
      </c>
      <c r="V2756" s="33" t="inlineStr">
        <is>
          <t>NO</t>
        </is>
      </c>
      <c r="W2756" s="33" t="inlineStr">
        <is>
          <t>YES</t>
        </is>
      </c>
      <c r="X2756" s="33" t="inlineStr">
        <is>
          <t>NO</t>
        </is>
      </c>
      <c r="Y2756" s="33" t="n">
        <v>1</v>
      </c>
      <c r="Z2756" s="33" t="n">
        <v>7</v>
      </c>
      <c r="AA2756" s="33" t="inlineStr">
        <is>
          <t>2</t>
        </is>
      </c>
      <c r="AB2756" s="33" t="inlineStr">
        <is>
          <t>https://www.swimcloud.com/results/224918/event/26/?id=66662741#time66662741</t>
        </is>
      </c>
      <c r="AC2756" s="33" t="inlineStr">
        <is>
          <t>SwimCloud API v6 2026-10-08</t>
        </is>
      </c>
      <c r="AD2756" s="33" t="inlineStr">
        <is>
          <t>Thomas Heilman|2022-06-18|LCM|400|Free|246.8|NC SGSA Eastern Invitational|TIM|False</t>
        </is>
      </c>
      <c r="AE2756" s="53">
        <f>G2756+L2756/1000+ROW()/1000000000</f>
        <v/>
      </c>
      <c r="AF2756" s="35">
        <f>IF(C2756&lt;&gt;"Grayson Coulter","",COUNTIFS($C$5:$C$2991,"Grayson Coulter",$Q$5:$Q$2991,Q2756,$AE$5:$AE$2991,"&lt;="&amp;AE2756,$R$5:$R$2991,"&lt;"&amp;R2756))</f>
        <v/>
      </c>
      <c r="AG2756" s="35">
        <f>IF(OR(C2756&lt;&gt;"Grayson Coulter",G2756&lt;'00_Control'!$B$7),"",--(AF2756&lt;5))</f>
        <v/>
      </c>
      <c r="AH2756" s="35">
        <f>IF(OR(C2756&lt;&gt;"Grayson Coulter",G2756&lt;'00_Control'!$B$7),"",--(AF2756&lt;10))</f>
        <v/>
      </c>
      <c r="AI2756" s="35">
        <f>IF(AND(C2756="Grayson Coulter",G2756&gt;='00_Control'!$B$7),"YES","NO")</f>
        <v/>
      </c>
      <c r="AJ2756" s="33" t="inlineStr">
        <is>
          <t>OK</t>
        </is>
      </c>
    </row>
    <row r="2757">
      <c r="A2757" s="33" t="inlineStr">
        <is>
          <t>SM002753</t>
        </is>
      </c>
      <c r="B2757" s="33" t="inlineStr">
        <is>
          <t>SW005</t>
        </is>
      </c>
      <c r="C2757" s="33" t="inlineStr">
        <is>
          <t>Thomas Heilman</t>
        </is>
      </c>
      <c r="D2757" s="33" t="inlineStr">
        <is>
          <t>SwimCloud</t>
        </is>
      </c>
      <c r="E2757" s="33" t="inlineStr">
        <is>
          <t>1336401</t>
        </is>
      </c>
      <c r="F2757" s="33" t="inlineStr">
        <is>
          <t>68794498</t>
        </is>
      </c>
      <c r="G2757" s="51" t="n">
        <v>44756</v>
      </c>
      <c r="H2757" s="33" t="inlineStr">
        <is>
          <t>Virginia Swimming Long Course Senior Championships</t>
        </is>
      </c>
      <c r="I2757" s="33" t="inlineStr">
        <is>
          <t>230982</t>
        </is>
      </c>
      <c r="J2757" s="33" t="inlineStr"/>
      <c r="K2757" s="33" t="inlineStr">
        <is>
          <t>PRE</t>
        </is>
      </c>
      <c r="L2757" s="35">
        <f>IF(K2757="FIN",3,IF(OR(K2757="SEM",K2757="SEMI"),2,IF(OR(K2757="PRE",K2757="HEAT"),1,IF(V2757="YES",4,2))))</f>
        <v/>
      </c>
      <c r="M2757" s="33" t="inlineStr">
        <is>
          <t>LCM</t>
        </is>
      </c>
      <c r="N2757" s="33" t="n">
        <v>100</v>
      </c>
      <c r="O2757" s="33" t="inlineStr">
        <is>
          <t>Free</t>
        </is>
      </c>
      <c r="P2757" s="33" t="inlineStr">
        <is>
          <t>100 Free</t>
        </is>
      </c>
      <c r="Q2757" s="33" t="inlineStr">
        <is>
          <t>LCM_100_FREE</t>
        </is>
      </c>
      <c r="R2757" s="36" t="n">
        <v>50.99</v>
      </c>
      <c r="S2757" s="35">
        <f>IF(R2757="","",IF(R2757&gt;=60,INT(R2757/60)&amp;":"&amp;TEXT(MOD(R2757,60),"00.00"),TEXT(R2757,"0.00")))</f>
        <v/>
      </c>
      <c r="T2757" s="52">
        <f>IFERROR((G2757-INDEX('01_Swimmers'!$E$5:$E$22,MATCH(B2757,'01_Swimmers'!$A$5:$A$22,0)))/'00_Control'!$B$10,"")</f>
        <v/>
      </c>
      <c r="U2757" s="35">
        <f>IF(T2757="","",INT(T2757))</f>
        <v/>
      </c>
      <c r="V2757" s="33" t="inlineStr">
        <is>
          <t>NO</t>
        </is>
      </c>
      <c r="W2757" s="33" t="inlineStr">
        <is>
          <t>YES</t>
        </is>
      </c>
      <c r="X2757" s="33" t="inlineStr">
        <is>
          <t>NO</t>
        </is>
      </c>
      <c r="Y2757" s="33" t="n">
        <v>14</v>
      </c>
      <c r="Z2757" s="33" t="n">
        <v>6</v>
      </c>
      <c r="AA2757" s="33" t="inlineStr">
        <is>
          <t>4</t>
        </is>
      </c>
      <c r="AB2757" s="33" t="inlineStr">
        <is>
          <t>https://www.swimcloud.com/results/230982/event/4/?id=68794498#time68794498</t>
        </is>
      </c>
      <c r="AC2757" s="33" t="inlineStr">
        <is>
          <t>SwimCloud API v6 2026-10-08</t>
        </is>
      </c>
      <c r="AD2757" s="33" t="inlineStr">
        <is>
          <t>Thomas Heilman|2022-07-14|LCM|100|Free|50.99|Virginia Swimming Long Course Senior Championships|PRE|False</t>
        </is>
      </c>
      <c r="AE2757" s="53">
        <f>G2757+L2757/1000+ROW()/1000000000</f>
        <v/>
      </c>
      <c r="AF2757" s="35">
        <f>IF(C2757&lt;&gt;"Grayson Coulter","",COUNTIFS($C$5:$C$2991,"Grayson Coulter",$Q$5:$Q$2991,Q2757,$AE$5:$AE$2991,"&lt;="&amp;AE2757,$R$5:$R$2991,"&lt;"&amp;R2757))</f>
        <v/>
      </c>
      <c r="AG2757" s="35">
        <f>IF(OR(C2757&lt;&gt;"Grayson Coulter",G2757&lt;'00_Control'!$B$7),"",--(AF2757&lt;5))</f>
        <v/>
      </c>
      <c r="AH2757" s="35">
        <f>IF(OR(C2757&lt;&gt;"Grayson Coulter",G2757&lt;'00_Control'!$B$7),"",--(AF2757&lt;10))</f>
        <v/>
      </c>
      <c r="AI2757" s="35">
        <f>IF(AND(C2757="Grayson Coulter",G2757&gt;='00_Control'!$B$7),"YES","NO")</f>
        <v/>
      </c>
      <c r="AJ2757" s="33" t="inlineStr">
        <is>
          <t>OK</t>
        </is>
      </c>
    </row>
    <row r="2758">
      <c r="A2758" s="33" t="inlineStr">
        <is>
          <t>SM002754</t>
        </is>
      </c>
      <c r="B2758" s="33" t="inlineStr">
        <is>
          <t>SW005</t>
        </is>
      </c>
      <c r="C2758" s="33" t="inlineStr">
        <is>
          <t>Thomas Heilman</t>
        </is>
      </c>
      <c r="D2758" s="33" t="inlineStr">
        <is>
          <t>SwimCloud</t>
        </is>
      </c>
      <c r="E2758" s="33" t="inlineStr">
        <is>
          <t>1336401</t>
        </is>
      </c>
      <c r="F2758" s="33" t="inlineStr">
        <is>
          <t>68794499</t>
        </is>
      </c>
      <c r="G2758" s="51" t="n">
        <v>44756</v>
      </c>
      <c r="H2758" s="33" t="inlineStr">
        <is>
          <t>Virginia Swimming Long Course Senior Championships</t>
        </is>
      </c>
      <c r="I2758" s="33" t="inlineStr">
        <is>
          <t>230982</t>
        </is>
      </c>
      <c r="J2758" s="33" t="inlineStr"/>
      <c r="K2758" s="33" t="inlineStr">
        <is>
          <t>FIN</t>
        </is>
      </c>
      <c r="L2758" s="35">
        <f>IF(K2758="FIN",3,IF(OR(K2758="SEM",K2758="SEMI"),2,IF(OR(K2758="PRE",K2758="HEAT"),1,IF(V2758="YES",4,2))))</f>
        <v/>
      </c>
      <c r="M2758" s="33" t="inlineStr">
        <is>
          <t>LCM</t>
        </is>
      </c>
      <c r="N2758" s="33" t="n">
        <v>100</v>
      </c>
      <c r="O2758" s="33" t="inlineStr">
        <is>
          <t>Free</t>
        </is>
      </c>
      <c r="P2758" s="33" t="inlineStr">
        <is>
          <t>100 Free</t>
        </is>
      </c>
      <c r="Q2758" s="33" t="inlineStr">
        <is>
          <t>LCM_100_FREE</t>
        </is>
      </c>
      <c r="R2758" s="36" t="n">
        <v>50.94</v>
      </c>
      <c r="S2758" s="35">
        <f>IF(R2758="","",IF(R2758&gt;=60,INT(R2758/60)&amp;":"&amp;TEXT(MOD(R2758,60),"00.00"),TEXT(R2758,"0.00")))</f>
        <v/>
      </c>
      <c r="T2758" s="52">
        <f>IFERROR((G2758-INDEX('01_Swimmers'!$E$5:$E$22,MATCH(B2758,'01_Swimmers'!$A$5:$A$22,0)))/'00_Control'!$B$10,"")</f>
        <v/>
      </c>
      <c r="U2758" s="35">
        <f>IF(T2758="","",INT(T2758))</f>
        <v/>
      </c>
      <c r="V2758" s="33" t="inlineStr">
        <is>
          <t>NO</t>
        </is>
      </c>
      <c r="W2758" s="33" t="inlineStr">
        <is>
          <t>YES</t>
        </is>
      </c>
      <c r="X2758" s="33" t="inlineStr">
        <is>
          <t>NO</t>
        </is>
      </c>
      <c r="Y2758" s="33" t="n">
        <v>4</v>
      </c>
      <c r="Z2758" s="33" t="n">
        <v>7</v>
      </c>
      <c r="AA2758" s="33" t="inlineStr">
        <is>
          <t>4</t>
        </is>
      </c>
      <c r="AB2758" s="33" t="inlineStr">
        <is>
          <t>https://www.swimcloud.com/results/230982/event/4/?id=68794499#time68794499</t>
        </is>
      </c>
      <c r="AC2758" s="33" t="inlineStr">
        <is>
          <t>SwimCloud API v6 2026-10-08</t>
        </is>
      </c>
      <c r="AD2758" s="33" t="inlineStr">
        <is>
          <t>Thomas Heilman|2022-07-14|LCM|100|Free|50.94|Virginia Swimming Long Course Senior Championships|FIN|False</t>
        </is>
      </c>
      <c r="AE2758" s="53">
        <f>G2758+L2758/1000+ROW()/1000000000</f>
        <v/>
      </c>
      <c r="AF2758" s="35">
        <f>IF(C2758&lt;&gt;"Grayson Coulter","",COUNTIFS($C$5:$C$2991,"Grayson Coulter",$Q$5:$Q$2991,Q2758,$AE$5:$AE$2991,"&lt;="&amp;AE2758,$R$5:$R$2991,"&lt;"&amp;R2758))</f>
        <v/>
      </c>
      <c r="AG2758" s="35">
        <f>IF(OR(C2758&lt;&gt;"Grayson Coulter",G2758&lt;'00_Control'!$B$7),"",--(AF2758&lt;5))</f>
        <v/>
      </c>
      <c r="AH2758" s="35">
        <f>IF(OR(C2758&lt;&gt;"Grayson Coulter",G2758&lt;'00_Control'!$B$7),"",--(AF2758&lt;10))</f>
        <v/>
      </c>
      <c r="AI2758" s="35">
        <f>IF(AND(C2758="Grayson Coulter",G2758&gt;='00_Control'!$B$7),"YES","NO")</f>
        <v/>
      </c>
      <c r="AJ2758" s="33" t="inlineStr">
        <is>
          <t>OK</t>
        </is>
      </c>
    </row>
    <row r="2759">
      <c r="A2759" s="33" t="inlineStr">
        <is>
          <t>SM002755</t>
        </is>
      </c>
      <c r="B2759" s="33" t="inlineStr">
        <is>
          <t>SW005</t>
        </is>
      </c>
      <c r="C2759" s="33" t="inlineStr">
        <is>
          <t>Thomas Heilman</t>
        </is>
      </c>
      <c r="D2759" s="33" t="inlineStr">
        <is>
          <t>SwimCloud</t>
        </is>
      </c>
      <c r="E2759" s="33" t="inlineStr">
        <is>
          <t>1336401</t>
        </is>
      </c>
      <c r="F2759" s="33" t="inlineStr">
        <is>
          <t>68798314</t>
        </is>
      </c>
      <c r="G2759" s="51" t="n">
        <v>44756</v>
      </c>
      <c r="H2759" s="33" t="inlineStr">
        <is>
          <t>Virginia Swimming Long Course Senior Championships</t>
        </is>
      </c>
      <c r="I2759" s="33" t="inlineStr">
        <is>
          <t>230982</t>
        </is>
      </c>
      <c r="J2759" s="33" t="inlineStr"/>
      <c r="K2759" s="33" t="inlineStr">
        <is>
          <t>TIM</t>
        </is>
      </c>
      <c r="L2759" s="35">
        <f>IF(K2759="FIN",3,IF(OR(K2759="SEM",K2759="SEMI"),2,IF(OR(K2759="PRE",K2759="HEAT"),1,IF(V2759="YES",4,2))))</f>
        <v/>
      </c>
      <c r="M2759" s="33" t="inlineStr">
        <is>
          <t>LCM</t>
        </is>
      </c>
      <c r="N2759" s="33" t="n">
        <v>200</v>
      </c>
      <c r="O2759" s="33" t="inlineStr">
        <is>
          <t>Free</t>
        </is>
      </c>
      <c r="P2759" s="33" t="inlineStr">
        <is>
          <t>200 Free</t>
        </is>
      </c>
      <c r="Q2759" s="33" t="inlineStr">
        <is>
          <t>LCM_200_FREE</t>
        </is>
      </c>
      <c r="R2759" s="36" t="n">
        <v>112.63</v>
      </c>
      <c r="S2759" s="35">
        <f>IF(R2759="","",IF(R2759&gt;=60,INT(R2759/60)&amp;":"&amp;TEXT(MOD(R2759,60),"00.00"),TEXT(R2759,"0.00")))</f>
        <v/>
      </c>
      <c r="T2759" s="52">
        <f>IFERROR((G2759-INDEX('01_Swimmers'!$E$5:$E$22,MATCH(B2759,'01_Swimmers'!$A$5:$A$22,0)))/'00_Control'!$B$10,"")</f>
        <v/>
      </c>
      <c r="U2759" s="35">
        <f>IF(T2759="","",INT(T2759))</f>
        <v/>
      </c>
      <c r="V2759" s="33" t="inlineStr">
        <is>
          <t>YES</t>
        </is>
      </c>
      <c r="W2759" s="33" t="inlineStr">
        <is>
          <t>YES</t>
        </is>
      </c>
      <c r="X2759" s="33" t="inlineStr">
        <is>
          <t>NO</t>
        </is>
      </c>
      <c r="Y2759" s="33" t="n">
        <v>3</v>
      </c>
      <c r="Z2759" s="33" t="n">
        <v>3</v>
      </c>
      <c r="AA2759" s="33" t="inlineStr"/>
      <c r="AB2759" s="33" t="inlineStr">
        <is>
          <t>https://www.swimcloud.com/results/230982/event/8/?id=68797375#time68797375</t>
        </is>
      </c>
      <c r="AC2759" s="33" t="inlineStr">
        <is>
          <t>SwimCloud API v6 2026-10-08</t>
        </is>
      </c>
      <c r="AD2759" s="33" t="inlineStr">
        <is>
          <t>Thomas Heilman|2022-07-14|LCM|200|Free|112.63|Virginia Swimming Long Course Senior Championships|TIM|True</t>
        </is>
      </c>
      <c r="AE2759" s="53">
        <f>G2759+L2759/1000+ROW()/1000000000</f>
        <v/>
      </c>
      <c r="AF2759" s="35">
        <f>IF(C2759&lt;&gt;"Grayson Coulter","",COUNTIFS($C$5:$C$2991,"Grayson Coulter",$Q$5:$Q$2991,Q2759,$AE$5:$AE$2991,"&lt;="&amp;AE2759,$R$5:$R$2991,"&lt;"&amp;R2759))</f>
        <v/>
      </c>
      <c r="AG2759" s="35">
        <f>IF(OR(C2759&lt;&gt;"Grayson Coulter",G2759&lt;'00_Control'!$B$7),"",--(AF2759&lt;5))</f>
        <v/>
      </c>
      <c r="AH2759" s="35">
        <f>IF(OR(C2759&lt;&gt;"Grayson Coulter",G2759&lt;'00_Control'!$B$7),"",--(AF2759&lt;10))</f>
        <v/>
      </c>
      <c r="AI2759" s="35">
        <f>IF(AND(C2759="Grayson Coulter",G2759&gt;='00_Control'!$B$7),"YES","NO")</f>
        <v/>
      </c>
      <c r="AJ2759" s="33" t="inlineStr">
        <is>
          <t>OK</t>
        </is>
      </c>
    </row>
    <row r="2760">
      <c r="A2760" s="33" t="inlineStr">
        <is>
          <t>SM002756</t>
        </is>
      </c>
      <c r="B2760" s="33" t="inlineStr">
        <is>
          <t>SW005</t>
        </is>
      </c>
      <c r="C2760" s="33" t="inlineStr">
        <is>
          <t>Thomas Heilman</t>
        </is>
      </c>
      <c r="D2760" s="33" t="inlineStr">
        <is>
          <t>SwimCloud</t>
        </is>
      </c>
      <c r="E2760" s="33" t="inlineStr">
        <is>
          <t>1336401</t>
        </is>
      </c>
      <c r="F2760" s="33" t="inlineStr">
        <is>
          <t>68794929</t>
        </is>
      </c>
      <c r="G2760" s="51" t="n">
        <v>44757</v>
      </c>
      <c r="H2760" s="33" t="inlineStr">
        <is>
          <t>Virginia Swimming Long Course Senior Championships</t>
        </is>
      </c>
      <c r="I2760" s="33" t="inlineStr">
        <is>
          <t>230982</t>
        </is>
      </c>
      <c r="J2760" s="33" t="inlineStr"/>
      <c r="K2760" s="33" t="inlineStr">
        <is>
          <t>PRE</t>
        </is>
      </c>
      <c r="L2760" s="35">
        <f>IF(K2760="FIN",3,IF(OR(K2760="SEM",K2760="SEMI"),2,IF(OR(K2760="PRE",K2760="HEAT"),1,IF(V2760="YES",4,2))))</f>
        <v/>
      </c>
      <c r="M2760" s="33" t="inlineStr">
        <is>
          <t>LCM</t>
        </is>
      </c>
      <c r="N2760" s="33" t="n">
        <v>100</v>
      </c>
      <c r="O2760" s="33" t="inlineStr">
        <is>
          <t>Fly</t>
        </is>
      </c>
      <c r="P2760" s="33" t="inlineStr">
        <is>
          <t>100 Fly</t>
        </is>
      </c>
      <c r="Q2760" s="33" t="inlineStr">
        <is>
          <t>LCM_100_FLY</t>
        </is>
      </c>
      <c r="R2760" s="36" t="n">
        <v>54.49</v>
      </c>
      <c r="S2760" s="35">
        <f>IF(R2760="","",IF(R2760&gt;=60,INT(R2760/60)&amp;":"&amp;TEXT(MOD(R2760,60),"00.00"),TEXT(R2760,"0.00")))</f>
        <v/>
      </c>
      <c r="T2760" s="52">
        <f>IFERROR((G2760-INDEX('01_Swimmers'!$E$5:$E$22,MATCH(B2760,'01_Swimmers'!$A$5:$A$22,0)))/'00_Control'!$B$10,"")</f>
        <v/>
      </c>
      <c r="U2760" s="35">
        <f>IF(T2760="","",INT(T2760))</f>
        <v/>
      </c>
      <c r="V2760" s="33" t="inlineStr">
        <is>
          <t>NO</t>
        </is>
      </c>
      <c r="W2760" s="33" t="inlineStr">
        <is>
          <t>YES</t>
        </is>
      </c>
      <c r="X2760" s="33" t="inlineStr">
        <is>
          <t>NO</t>
        </is>
      </c>
      <c r="Y2760" s="33" t="n">
        <v>14</v>
      </c>
      <c r="Z2760" s="33" t="n">
        <v>5</v>
      </c>
      <c r="AA2760" s="33" t="inlineStr">
        <is>
          <t>1</t>
        </is>
      </c>
      <c r="AB2760" s="33" t="inlineStr">
        <is>
          <t>https://www.swimcloud.com/results/230982/event/16/?id=68794929#time68794929</t>
        </is>
      </c>
      <c r="AC2760" s="33" t="inlineStr">
        <is>
          <t>SwimCloud API v6 2026-10-08</t>
        </is>
      </c>
      <c r="AD2760" s="33" t="inlineStr">
        <is>
          <t>Thomas Heilman|2022-07-15|LCM|100|Fly|54.49|Virginia Swimming Long Course Senior Championships|PRE|False</t>
        </is>
      </c>
      <c r="AE2760" s="53">
        <f>G2760+L2760/1000+ROW()/1000000000</f>
        <v/>
      </c>
      <c r="AF2760" s="35">
        <f>IF(C2760&lt;&gt;"Grayson Coulter","",COUNTIFS($C$5:$C$2991,"Grayson Coulter",$Q$5:$Q$2991,Q2760,$AE$5:$AE$2991,"&lt;="&amp;AE2760,$R$5:$R$2991,"&lt;"&amp;R2760))</f>
        <v/>
      </c>
      <c r="AG2760" s="35">
        <f>IF(OR(C2760&lt;&gt;"Grayson Coulter",G2760&lt;'00_Control'!$B$7),"",--(AF2760&lt;5))</f>
        <v/>
      </c>
      <c r="AH2760" s="35">
        <f>IF(OR(C2760&lt;&gt;"Grayson Coulter",G2760&lt;'00_Control'!$B$7),"",--(AF2760&lt;10))</f>
        <v/>
      </c>
      <c r="AI2760" s="35">
        <f>IF(AND(C2760="Grayson Coulter",G2760&gt;='00_Control'!$B$7),"YES","NO")</f>
        <v/>
      </c>
      <c r="AJ2760" s="33" t="inlineStr">
        <is>
          <t>OK</t>
        </is>
      </c>
    </row>
    <row r="2761">
      <c r="A2761" s="33" t="inlineStr">
        <is>
          <t>SM002757</t>
        </is>
      </c>
      <c r="B2761" s="33" t="inlineStr">
        <is>
          <t>SW005</t>
        </is>
      </c>
      <c r="C2761" s="33" t="inlineStr">
        <is>
          <t>Thomas Heilman</t>
        </is>
      </c>
      <c r="D2761" s="33" t="inlineStr">
        <is>
          <t>SwimCloud</t>
        </is>
      </c>
      <c r="E2761" s="33" t="inlineStr">
        <is>
          <t>1336401</t>
        </is>
      </c>
      <c r="F2761" s="33" t="inlineStr">
        <is>
          <t>68794930</t>
        </is>
      </c>
      <c r="G2761" s="51" t="n">
        <v>44757</v>
      </c>
      <c r="H2761" s="33" t="inlineStr">
        <is>
          <t>Virginia Swimming Long Course Senior Championships</t>
        </is>
      </c>
      <c r="I2761" s="33" t="inlineStr">
        <is>
          <t>230982</t>
        </is>
      </c>
      <c r="J2761" s="33" t="inlineStr"/>
      <c r="K2761" s="33" t="inlineStr">
        <is>
          <t>FIN</t>
        </is>
      </c>
      <c r="L2761" s="35">
        <f>IF(K2761="FIN",3,IF(OR(K2761="SEM",K2761="SEMI"),2,IF(OR(K2761="PRE",K2761="HEAT"),1,IF(V2761="YES",4,2))))</f>
        <v/>
      </c>
      <c r="M2761" s="33" t="inlineStr">
        <is>
          <t>LCM</t>
        </is>
      </c>
      <c r="N2761" s="33" t="n">
        <v>100</v>
      </c>
      <c r="O2761" s="33" t="inlineStr">
        <is>
          <t>Fly</t>
        </is>
      </c>
      <c r="P2761" s="33" t="inlineStr">
        <is>
          <t>100 Fly</t>
        </is>
      </c>
      <c r="Q2761" s="33" t="inlineStr">
        <is>
          <t>LCM_100_FLY</t>
        </is>
      </c>
      <c r="R2761" s="36" t="n">
        <v>53.69</v>
      </c>
      <c r="S2761" s="35">
        <f>IF(R2761="","",IF(R2761&gt;=60,INT(R2761/60)&amp;":"&amp;TEXT(MOD(R2761,60),"00.00"),TEXT(R2761,"0.00")))</f>
        <v/>
      </c>
      <c r="T2761" s="52">
        <f>IFERROR((G2761-INDEX('01_Swimmers'!$E$5:$E$22,MATCH(B2761,'01_Swimmers'!$A$5:$A$22,0)))/'00_Control'!$B$10,"")</f>
        <v/>
      </c>
      <c r="U2761" s="35">
        <f>IF(T2761="","",INT(T2761))</f>
        <v/>
      </c>
      <c r="V2761" s="33" t="inlineStr">
        <is>
          <t>NO</t>
        </is>
      </c>
      <c r="W2761" s="33" t="inlineStr">
        <is>
          <t>YES</t>
        </is>
      </c>
      <c r="X2761" s="33" t="inlineStr">
        <is>
          <t>NO</t>
        </is>
      </c>
      <c r="Y2761" s="33" t="n">
        <v>4</v>
      </c>
      <c r="Z2761" s="33" t="n">
        <v>5</v>
      </c>
      <c r="AA2761" s="33" t="inlineStr">
        <is>
          <t>1</t>
        </is>
      </c>
      <c r="AB2761" s="33" t="inlineStr">
        <is>
          <t>https://www.swimcloud.com/results/230982/event/16/?id=68794930#time68794930</t>
        </is>
      </c>
      <c r="AC2761" s="33" t="inlineStr">
        <is>
          <t>SwimCloud API v6 2026-10-08</t>
        </is>
      </c>
      <c r="AD2761" s="33" t="inlineStr">
        <is>
          <t>Thomas Heilman|2022-07-15|LCM|100|Fly|53.69|Virginia Swimming Long Course Senior Championships|FIN|False</t>
        </is>
      </c>
      <c r="AE2761" s="53">
        <f>G2761+L2761/1000+ROW()/1000000000</f>
        <v/>
      </c>
      <c r="AF2761" s="35">
        <f>IF(C2761&lt;&gt;"Grayson Coulter","",COUNTIFS($C$5:$C$2991,"Grayson Coulter",$Q$5:$Q$2991,Q2761,$AE$5:$AE$2991,"&lt;="&amp;AE2761,$R$5:$R$2991,"&lt;"&amp;R2761))</f>
        <v/>
      </c>
      <c r="AG2761" s="35">
        <f>IF(OR(C2761&lt;&gt;"Grayson Coulter",G2761&lt;'00_Control'!$B$7),"",--(AF2761&lt;5))</f>
        <v/>
      </c>
      <c r="AH2761" s="35">
        <f>IF(OR(C2761&lt;&gt;"Grayson Coulter",G2761&lt;'00_Control'!$B$7),"",--(AF2761&lt;10))</f>
        <v/>
      </c>
      <c r="AI2761" s="35">
        <f>IF(AND(C2761="Grayson Coulter",G2761&gt;='00_Control'!$B$7),"YES","NO")</f>
        <v/>
      </c>
      <c r="AJ2761" s="33" t="inlineStr">
        <is>
          <t>OK</t>
        </is>
      </c>
    </row>
    <row r="2762">
      <c r="A2762" s="33" t="inlineStr">
        <is>
          <t>SM002758</t>
        </is>
      </c>
      <c r="B2762" s="33" t="inlineStr">
        <is>
          <t>SW005</t>
        </is>
      </c>
      <c r="C2762" s="33" t="inlineStr">
        <is>
          <t>Thomas Heilman</t>
        </is>
      </c>
      <c r="D2762" s="33" t="inlineStr">
        <is>
          <t>SwimCloud</t>
        </is>
      </c>
      <c r="E2762" s="33" t="inlineStr">
        <is>
          <t>1336401</t>
        </is>
      </c>
      <c r="F2762" s="33" t="inlineStr">
        <is>
          <t>68794775</t>
        </is>
      </c>
      <c r="G2762" s="51" t="n">
        <v>44757</v>
      </c>
      <c r="H2762" s="33" t="inlineStr">
        <is>
          <t>Virginia Swimming Long Course Senior Championships</t>
        </is>
      </c>
      <c r="I2762" s="33" t="inlineStr">
        <is>
          <t>230982</t>
        </is>
      </c>
      <c r="J2762" s="33" t="inlineStr"/>
      <c r="K2762" s="33" t="inlineStr">
        <is>
          <t>PRE</t>
        </is>
      </c>
      <c r="L2762" s="35">
        <f>IF(K2762="FIN",3,IF(OR(K2762="SEM",K2762="SEMI"),2,IF(OR(K2762="PRE",K2762="HEAT"),1,IF(V2762="YES",4,2))))</f>
        <v/>
      </c>
      <c r="M2762" s="33" t="inlineStr">
        <is>
          <t>LCM</t>
        </is>
      </c>
      <c r="N2762" s="33" t="n">
        <v>200</v>
      </c>
      <c r="O2762" s="33" t="inlineStr">
        <is>
          <t>Free</t>
        </is>
      </c>
      <c r="P2762" s="33" t="inlineStr">
        <is>
          <t>200 Free</t>
        </is>
      </c>
      <c r="Q2762" s="33" t="inlineStr">
        <is>
          <t>LCM_200_FREE</t>
        </is>
      </c>
      <c r="R2762" s="36" t="n">
        <v>114.7</v>
      </c>
      <c r="S2762" s="35">
        <f>IF(R2762="","",IF(R2762&gt;=60,INT(R2762/60)&amp;":"&amp;TEXT(MOD(R2762,60),"00.00"),TEXT(R2762,"0.00")))</f>
        <v/>
      </c>
      <c r="T2762" s="52">
        <f>IFERROR((G2762-INDEX('01_Swimmers'!$E$5:$E$22,MATCH(B2762,'01_Swimmers'!$A$5:$A$22,0)))/'00_Control'!$B$10,"")</f>
        <v/>
      </c>
      <c r="U2762" s="35">
        <f>IF(T2762="","",INT(T2762))</f>
        <v/>
      </c>
      <c r="V2762" s="33" t="inlineStr">
        <is>
          <t>NO</t>
        </is>
      </c>
      <c r="W2762" s="33" t="inlineStr">
        <is>
          <t>YES</t>
        </is>
      </c>
      <c r="X2762" s="33" t="inlineStr">
        <is>
          <t>NO</t>
        </is>
      </c>
      <c r="Y2762" s="33" t="n">
        <v>14</v>
      </c>
      <c r="Z2762" s="33" t="n">
        <v>5</v>
      </c>
      <c r="AA2762" s="33" t="inlineStr">
        <is>
          <t>1</t>
        </is>
      </c>
      <c r="AB2762" s="33" t="inlineStr">
        <is>
          <t>https://www.swimcloud.com/results/230982/event/14/?id=68794775#time68794775</t>
        </is>
      </c>
      <c r="AC2762" s="33" t="inlineStr">
        <is>
          <t>SwimCloud API v6 2026-10-08</t>
        </is>
      </c>
      <c r="AD2762" s="33" t="inlineStr">
        <is>
          <t>Thomas Heilman|2022-07-15|LCM|200|Free|114.7|Virginia Swimming Long Course Senior Championships|PRE|False</t>
        </is>
      </c>
      <c r="AE2762" s="53">
        <f>G2762+L2762/1000+ROW()/1000000000</f>
        <v/>
      </c>
      <c r="AF2762" s="35">
        <f>IF(C2762&lt;&gt;"Grayson Coulter","",COUNTIFS($C$5:$C$2991,"Grayson Coulter",$Q$5:$Q$2991,Q2762,$AE$5:$AE$2991,"&lt;="&amp;AE2762,$R$5:$R$2991,"&lt;"&amp;R2762))</f>
        <v/>
      </c>
      <c r="AG2762" s="35">
        <f>IF(OR(C2762&lt;&gt;"Grayson Coulter",G2762&lt;'00_Control'!$B$7),"",--(AF2762&lt;5))</f>
        <v/>
      </c>
      <c r="AH2762" s="35">
        <f>IF(OR(C2762&lt;&gt;"Grayson Coulter",G2762&lt;'00_Control'!$B$7),"",--(AF2762&lt;10))</f>
        <v/>
      </c>
      <c r="AI2762" s="35">
        <f>IF(AND(C2762="Grayson Coulter",G2762&gt;='00_Control'!$B$7),"YES","NO")</f>
        <v/>
      </c>
      <c r="AJ2762" s="33" t="inlineStr">
        <is>
          <t>OK</t>
        </is>
      </c>
    </row>
    <row r="2763">
      <c r="A2763" s="33" t="inlineStr">
        <is>
          <t>SM002759</t>
        </is>
      </c>
      <c r="B2763" s="33" t="inlineStr">
        <is>
          <t>SW005</t>
        </is>
      </c>
      <c r="C2763" s="33" t="inlineStr">
        <is>
          <t>Thomas Heilman</t>
        </is>
      </c>
      <c r="D2763" s="33" t="inlineStr">
        <is>
          <t>SwimCloud</t>
        </is>
      </c>
      <c r="E2763" s="33" t="inlineStr">
        <is>
          <t>1336401</t>
        </is>
      </c>
      <c r="F2763" s="33" t="inlineStr">
        <is>
          <t>68794776</t>
        </is>
      </c>
      <c r="G2763" s="51" t="n">
        <v>44757</v>
      </c>
      <c r="H2763" s="33" t="inlineStr">
        <is>
          <t>Virginia Swimming Long Course Senior Championships</t>
        </is>
      </c>
      <c r="I2763" s="33" t="inlineStr">
        <is>
          <t>230982</t>
        </is>
      </c>
      <c r="J2763" s="33" t="inlineStr"/>
      <c r="K2763" s="33" t="inlineStr">
        <is>
          <t>FIN</t>
        </is>
      </c>
      <c r="L2763" s="35">
        <f>IF(K2763="FIN",3,IF(OR(K2763="SEM",K2763="SEMI"),2,IF(OR(K2763="PRE",K2763="HEAT"),1,IF(V2763="YES",4,2))))</f>
        <v/>
      </c>
      <c r="M2763" s="33" t="inlineStr">
        <is>
          <t>LCM</t>
        </is>
      </c>
      <c r="N2763" s="33" t="n">
        <v>200</v>
      </c>
      <c r="O2763" s="33" t="inlineStr">
        <is>
          <t>Free</t>
        </is>
      </c>
      <c r="P2763" s="33" t="inlineStr">
        <is>
          <t>200 Free</t>
        </is>
      </c>
      <c r="Q2763" s="33" t="inlineStr">
        <is>
          <t>LCM_200_FREE</t>
        </is>
      </c>
      <c r="R2763" s="36" t="n">
        <v>112.36</v>
      </c>
      <c r="S2763" s="35">
        <f>IF(R2763="","",IF(R2763&gt;=60,INT(R2763/60)&amp;":"&amp;TEXT(MOD(R2763,60),"00.00"),TEXT(R2763,"0.00")))</f>
        <v/>
      </c>
      <c r="T2763" s="52">
        <f>IFERROR((G2763-INDEX('01_Swimmers'!$E$5:$E$22,MATCH(B2763,'01_Swimmers'!$A$5:$A$22,0)))/'00_Control'!$B$10,"")</f>
        <v/>
      </c>
      <c r="U2763" s="35">
        <f>IF(T2763="","",INT(T2763))</f>
        <v/>
      </c>
      <c r="V2763" s="33" t="inlineStr">
        <is>
          <t>NO</t>
        </is>
      </c>
      <c r="W2763" s="33" t="inlineStr">
        <is>
          <t>YES</t>
        </is>
      </c>
      <c r="X2763" s="33" t="inlineStr">
        <is>
          <t>NO</t>
        </is>
      </c>
      <c r="Y2763" s="33" t="n">
        <v>4</v>
      </c>
      <c r="Z2763" s="33" t="n">
        <v>5</v>
      </c>
      <c r="AA2763" s="33" t="inlineStr">
        <is>
          <t>1</t>
        </is>
      </c>
      <c r="AB2763" s="33" t="inlineStr">
        <is>
          <t>https://www.swimcloud.com/results/230982/event/14/?id=68794776#time68794776</t>
        </is>
      </c>
      <c r="AC2763" s="33" t="inlineStr">
        <is>
          <t>SwimCloud API v6 2026-10-08</t>
        </is>
      </c>
      <c r="AD2763" s="33" t="inlineStr">
        <is>
          <t>Thomas Heilman|2022-07-15|LCM|200|Free|112.36|Virginia Swimming Long Course Senior Championships|FIN|False</t>
        </is>
      </c>
      <c r="AE2763" s="53">
        <f>G2763+L2763/1000+ROW()/1000000000</f>
        <v/>
      </c>
      <c r="AF2763" s="35">
        <f>IF(C2763&lt;&gt;"Grayson Coulter","",COUNTIFS($C$5:$C$2991,"Grayson Coulter",$Q$5:$Q$2991,Q2763,$AE$5:$AE$2991,"&lt;="&amp;AE2763,$R$5:$R$2991,"&lt;"&amp;R2763))</f>
        <v/>
      </c>
      <c r="AG2763" s="35">
        <f>IF(OR(C2763&lt;&gt;"Grayson Coulter",G2763&lt;'00_Control'!$B$7),"",--(AF2763&lt;5))</f>
        <v/>
      </c>
      <c r="AH2763" s="35">
        <f>IF(OR(C2763&lt;&gt;"Grayson Coulter",G2763&lt;'00_Control'!$B$7),"",--(AF2763&lt;10))</f>
        <v/>
      </c>
      <c r="AI2763" s="35">
        <f>IF(AND(C2763="Grayson Coulter",G2763&gt;='00_Control'!$B$7),"YES","NO")</f>
        <v/>
      </c>
      <c r="AJ2763" s="33" t="inlineStr">
        <is>
          <t>OK</t>
        </is>
      </c>
    </row>
    <row r="2764">
      <c r="A2764" s="33" t="inlineStr">
        <is>
          <t>SM002760</t>
        </is>
      </c>
      <c r="B2764" s="33" t="inlineStr">
        <is>
          <t>SW005</t>
        </is>
      </c>
      <c r="C2764" s="33" t="inlineStr">
        <is>
          <t>Thomas Heilman</t>
        </is>
      </c>
      <c r="D2764" s="33" t="inlineStr">
        <is>
          <t>SwimCloud</t>
        </is>
      </c>
      <c r="E2764" s="33" t="inlineStr">
        <is>
          <t>1336401</t>
        </is>
      </c>
      <c r="F2764" s="33" t="inlineStr">
        <is>
          <t>68797726</t>
        </is>
      </c>
      <c r="G2764" s="51" t="n">
        <v>44758</v>
      </c>
      <c r="H2764" s="33" t="inlineStr">
        <is>
          <t>Virginia Swimming Long Course Senior Championships</t>
        </is>
      </c>
      <c r="I2764" s="33" t="inlineStr">
        <is>
          <t>230982</t>
        </is>
      </c>
      <c r="J2764" s="33" t="inlineStr"/>
      <c r="K2764" s="33" t="inlineStr">
        <is>
          <t>TIM</t>
        </is>
      </c>
      <c r="L2764" s="35">
        <f>IF(K2764="FIN",3,IF(OR(K2764="SEM",K2764="SEMI"),2,IF(OR(K2764="PRE",K2764="HEAT"),1,IF(V2764="YES",4,2))))</f>
        <v/>
      </c>
      <c r="M2764" s="33" t="inlineStr">
        <is>
          <t>LCM</t>
        </is>
      </c>
      <c r="N2764" s="33" t="n">
        <v>100</v>
      </c>
      <c r="O2764" s="33" t="inlineStr">
        <is>
          <t>Free</t>
        </is>
      </c>
      <c r="P2764" s="33" t="inlineStr">
        <is>
          <t>100 Free</t>
        </is>
      </c>
      <c r="Q2764" s="33" t="inlineStr">
        <is>
          <t>LCM_100_FREE</t>
        </is>
      </c>
      <c r="R2764" s="36" t="n">
        <v>50.58</v>
      </c>
      <c r="S2764" s="35">
        <f>IF(R2764="","",IF(R2764&gt;=60,INT(R2764/60)&amp;":"&amp;TEXT(MOD(R2764,60),"00.00"),TEXT(R2764,"0.00")))</f>
        <v/>
      </c>
      <c r="T2764" s="52">
        <f>IFERROR((G2764-INDEX('01_Swimmers'!$E$5:$E$22,MATCH(B2764,'01_Swimmers'!$A$5:$A$22,0)))/'00_Control'!$B$10,"")</f>
        <v/>
      </c>
      <c r="U2764" s="35">
        <f>IF(T2764="","",INT(T2764))</f>
        <v/>
      </c>
      <c r="V2764" s="33" t="inlineStr">
        <is>
          <t>YES</t>
        </is>
      </c>
      <c r="W2764" s="33" t="inlineStr">
        <is>
          <t>YES</t>
        </is>
      </c>
      <c r="X2764" s="33" t="inlineStr">
        <is>
          <t>NO</t>
        </is>
      </c>
      <c r="Y2764" s="33" t="n">
        <v>3</v>
      </c>
      <c r="Z2764" s="33" t="n">
        <v>5</v>
      </c>
      <c r="AA2764" s="33" t="inlineStr"/>
      <c r="AB2764" s="33" t="inlineStr">
        <is>
          <t>https://www.swimcloud.com/results/230982/event/28/?id=68797122#time68797122</t>
        </is>
      </c>
      <c r="AC2764" s="33" t="inlineStr">
        <is>
          <t>SwimCloud API v6 2026-10-08</t>
        </is>
      </c>
      <c r="AD2764" s="33" t="inlineStr">
        <is>
          <t>Thomas Heilman|2022-07-16|LCM|100|Free|50.58|Virginia Swimming Long Course Senior Championships|TIM|True</t>
        </is>
      </c>
      <c r="AE2764" s="53">
        <f>G2764+L2764/1000+ROW()/1000000000</f>
        <v/>
      </c>
      <c r="AF2764" s="35">
        <f>IF(C2764&lt;&gt;"Grayson Coulter","",COUNTIFS($C$5:$C$2991,"Grayson Coulter",$Q$5:$Q$2991,Q2764,$AE$5:$AE$2991,"&lt;="&amp;AE2764,$R$5:$R$2991,"&lt;"&amp;R2764))</f>
        <v/>
      </c>
      <c r="AG2764" s="35">
        <f>IF(OR(C2764&lt;&gt;"Grayson Coulter",G2764&lt;'00_Control'!$B$7),"",--(AF2764&lt;5))</f>
        <v/>
      </c>
      <c r="AH2764" s="35">
        <f>IF(OR(C2764&lt;&gt;"Grayson Coulter",G2764&lt;'00_Control'!$B$7),"",--(AF2764&lt;10))</f>
        <v/>
      </c>
      <c r="AI2764" s="35">
        <f>IF(AND(C2764="Grayson Coulter",G2764&gt;='00_Control'!$B$7),"YES","NO")</f>
        <v/>
      </c>
      <c r="AJ2764" s="33" t="inlineStr">
        <is>
          <t>OK</t>
        </is>
      </c>
    </row>
    <row r="2765">
      <c r="A2765" s="33" t="inlineStr">
        <is>
          <t>SM002761</t>
        </is>
      </c>
      <c r="B2765" s="33" t="inlineStr">
        <is>
          <t>SW005</t>
        </is>
      </c>
      <c r="C2765" s="33" t="inlineStr">
        <is>
          <t>Thomas Heilman</t>
        </is>
      </c>
      <c r="D2765" s="33" t="inlineStr">
        <is>
          <t>SwimCloud</t>
        </is>
      </c>
      <c r="E2765" s="33" t="inlineStr">
        <is>
          <t>1336401</t>
        </is>
      </c>
      <c r="F2765" s="33" t="inlineStr">
        <is>
          <t>71107046</t>
        </is>
      </c>
      <c r="G2765" s="51" t="n">
        <v>44770</v>
      </c>
      <c r="H2765" s="33" t="inlineStr">
        <is>
          <t>Phillips 66 National Championships</t>
        </is>
      </c>
      <c r="I2765" s="33" t="inlineStr">
        <is>
          <t>203554</t>
        </is>
      </c>
      <c r="J2765" s="33" t="inlineStr"/>
      <c r="K2765" s="33" t="inlineStr">
        <is>
          <t>PRE</t>
        </is>
      </c>
      <c r="L2765" s="35">
        <f>IF(K2765="FIN",3,IF(OR(K2765="SEM",K2765="SEMI"),2,IF(OR(K2765="PRE",K2765="HEAT"),1,IF(V2765="YES",4,2))))</f>
        <v/>
      </c>
      <c r="M2765" s="33" t="inlineStr">
        <is>
          <t>LCM</t>
        </is>
      </c>
      <c r="N2765" s="33" t="n">
        <v>100</v>
      </c>
      <c r="O2765" s="33" t="inlineStr">
        <is>
          <t>Fly</t>
        </is>
      </c>
      <c r="P2765" s="33" t="inlineStr">
        <is>
          <t>100 Fly</t>
        </is>
      </c>
      <c r="Q2765" s="33" t="inlineStr">
        <is>
          <t>LCM_100_FLY</t>
        </is>
      </c>
      <c r="R2765" s="36" t="n">
        <v>53.4</v>
      </c>
      <c r="S2765" s="35">
        <f>IF(R2765="","",IF(R2765&gt;=60,INT(R2765/60)&amp;":"&amp;TEXT(MOD(R2765,60),"00.00"),TEXT(R2765,"0.00")))</f>
        <v/>
      </c>
      <c r="T2765" s="52">
        <f>IFERROR((G2765-INDEX('01_Swimmers'!$E$5:$E$22,MATCH(B2765,'01_Swimmers'!$A$5:$A$22,0)))/'00_Control'!$B$10,"")</f>
        <v/>
      </c>
      <c r="U2765" s="35">
        <f>IF(T2765="","",INT(T2765))</f>
        <v/>
      </c>
      <c r="V2765" s="33" t="inlineStr">
        <is>
          <t>NO</t>
        </is>
      </c>
      <c r="W2765" s="33" t="inlineStr">
        <is>
          <t>YES</t>
        </is>
      </c>
      <c r="X2765" s="33" t="inlineStr">
        <is>
          <t>NO</t>
        </is>
      </c>
      <c r="Y2765" s="33" t="n">
        <v>9</v>
      </c>
      <c r="Z2765" s="33" t="n">
        <v>2</v>
      </c>
      <c r="AA2765" s="33" t="inlineStr">
        <is>
          <t>18</t>
        </is>
      </c>
      <c r="AB2765" s="33" t="inlineStr">
        <is>
          <t>https://www.swimcloud.com/results/203554/event/16/?id=71107046#time71107046</t>
        </is>
      </c>
      <c r="AC2765" s="33" t="inlineStr">
        <is>
          <t>SwimCloud API v6 2026-10-08</t>
        </is>
      </c>
      <c r="AD2765" s="33" t="inlineStr">
        <is>
          <t>Thomas Heilman|2022-07-28|LCM|100|Fly|53.4|Phillips 66 National Championships|PRE|False</t>
        </is>
      </c>
      <c r="AE2765" s="53">
        <f>G2765+L2765/1000+ROW()/1000000000</f>
        <v/>
      </c>
      <c r="AF2765" s="35">
        <f>IF(C2765&lt;&gt;"Grayson Coulter","",COUNTIFS($C$5:$C$2991,"Grayson Coulter",$Q$5:$Q$2991,Q2765,$AE$5:$AE$2991,"&lt;="&amp;AE2765,$R$5:$R$2991,"&lt;"&amp;R2765))</f>
        <v/>
      </c>
      <c r="AG2765" s="35">
        <f>IF(OR(C2765&lt;&gt;"Grayson Coulter",G2765&lt;'00_Control'!$B$7),"",--(AF2765&lt;5))</f>
        <v/>
      </c>
      <c r="AH2765" s="35">
        <f>IF(OR(C2765&lt;&gt;"Grayson Coulter",G2765&lt;'00_Control'!$B$7),"",--(AF2765&lt;10))</f>
        <v/>
      </c>
      <c r="AI2765" s="35">
        <f>IF(AND(C2765="Grayson Coulter",G2765&gt;='00_Control'!$B$7),"YES","NO")</f>
        <v/>
      </c>
      <c r="AJ2765" s="33" t="inlineStr">
        <is>
          <t>OK</t>
        </is>
      </c>
    </row>
    <row r="2766">
      <c r="A2766" s="33" t="inlineStr">
        <is>
          <t>SM002762</t>
        </is>
      </c>
      <c r="B2766" s="33" t="inlineStr">
        <is>
          <t>SW005</t>
        </is>
      </c>
      <c r="C2766" s="33" t="inlineStr">
        <is>
          <t>Thomas Heilman</t>
        </is>
      </c>
      <c r="D2766" s="33" t="inlineStr">
        <is>
          <t>SwimCloud</t>
        </is>
      </c>
      <c r="E2766" s="33" t="inlineStr">
        <is>
          <t>1336401</t>
        </is>
      </c>
      <c r="F2766" s="33" t="inlineStr">
        <is>
          <t>71107045</t>
        </is>
      </c>
      <c r="G2766" s="51" t="n">
        <v>44770</v>
      </c>
      <c r="H2766" s="33" t="inlineStr">
        <is>
          <t>Phillips 66 National Championships</t>
        </is>
      </c>
      <c r="I2766" s="33" t="inlineStr">
        <is>
          <t>203554</t>
        </is>
      </c>
      <c r="J2766" s="33" t="inlineStr"/>
      <c r="K2766" s="33" t="inlineStr">
        <is>
          <t>FIN</t>
        </is>
      </c>
      <c r="L2766" s="35">
        <f>IF(K2766="FIN",3,IF(OR(K2766="SEM",K2766="SEMI"),2,IF(OR(K2766="PRE",K2766="HEAT"),1,IF(V2766="YES",4,2))))</f>
        <v/>
      </c>
      <c r="M2766" s="33" t="inlineStr">
        <is>
          <t>LCM</t>
        </is>
      </c>
      <c r="N2766" s="33" t="n">
        <v>100</v>
      </c>
      <c r="O2766" s="33" t="inlineStr">
        <is>
          <t>Fly</t>
        </is>
      </c>
      <c r="P2766" s="33" t="inlineStr">
        <is>
          <t>100 Fly</t>
        </is>
      </c>
      <c r="Q2766" s="33" t="inlineStr">
        <is>
          <t>LCM_100_FLY</t>
        </is>
      </c>
      <c r="R2766" s="36" t="n">
        <v>53.47</v>
      </c>
      <c r="S2766" s="35">
        <f>IF(R2766="","",IF(R2766&gt;=60,INT(R2766/60)&amp;":"&amp;TEXT(MOD(R2766,60),"00.00"),TEXT(R2766,"0.00")))</f>
        <v/>
      </c>
      <c r="T2766" s="52">
        <f>IFERROR((G2766-INDEX('01_Swimmers'!$E$5:$E$22,MATCH(B2766,'01_Swimmers'!$A$5:$A$22,0)))/'00_Control'!$B$10,"")</f>
        <v/>
      </c>
      <c r="U2766" s="35">
        <f>IF(T2766="","",INT(T2766))</f>
        <v/>
      </c>
      <c r="V2766" s="33" t="inlineStr">
        <is>
          <t>NO</t>
        </is>
      </c>
      <c r="W2766" s="33" t="inlineStr">
        <is>
          <t>YES</t>
        </is>
      </c>
      <c r="X2766" s="33" t="inlineStr">
        <is>
          <t>NO</t>
        </is>
      </c>
      <c r="Y2766" s="33" t="n">
        <v>3</v>
      </c>
      <c r="Z2766" s="33" t="n">
        <v>5</v>
      </c>
      <c r="AA2766" s="33" t="inlineStr">
        <is>
          <t>20</t>
        </is>
      </c>
      <c r="AB2766" s="33" t="inlineStr">
        <is>
          <t>https://www.swimcloud.com/results/203554/event/16/?id=71107045#time71107045</t>
        </is>
      </c>
      <c r="AC2766" s="33" t="inlineStr">
        <is>
          <t>SwimCloud API v6 2026-10-08</t>
        </is>
      </c>
      <c r="AD2766" s="33" t="inlineStr">
        <is>
          <t>Thomas Heilman|2022-07-28|LCM|100|Fly|53.47|Phillips 66 National Championships|FIN|False</t>
        </is>
      </c>
      <c r="AE2766" s="53">
        <f>G2766+L2766/1000+ROW()/1000000000</f>
        <v/>
      </c>
      <c r="AF2766" s="35">
        <f>IF(C2766&lt;&gt;"Grayson Coulter","",COUNTIFS($C$5:$C$2991,"Grayson Coulter",$Q$5:$Q$2991,Q2766,$AE$5:$AE$2991,"&lt;="&amp;AE2766,$R$5:$R$2991,"&lt;"&amp;R2766))</f>
        <v/>
      </c>
      <c r="AG2766" s="35">
        <f>IF(OR(C2766&lt;&gt;"Grayson Coulter",G2766&lt;'00_Control'!$B$7),"",--(AF2766&lt;5))</f>
        <v/>
      </c>
      <c r="AH2766" s="35">
        <f>IF(OR(C2766&lt;&gt;"Grayson Coulter",G2766&lt;'00_Control'!$B$7),"",--(AF2766&lt;10))</f>
        <v/>
      </c>
      <c r="AI2766" s="35">
        <f>IF(AND(C2766="Grayson Coulter",G2766&gt;='00_Control'!$B$7),"YES","NO")</f>
        <v/>
      </c>
      <c r="AJ2766" s="33" t="inlineStr">
        <is>
          <t>OK</t>
        </is>
      </c>
    </row>
    <row r="2767">
      <c r="A2767" s="33" t="inlineStr">
        <is>
          <t>SM002763</t>
        </is>
      </c>
      <c r="B2767" s="33" t="inlineStr">
        <is>
          <t>SW005</t>
        </is>
      </c>
      <c r="C2767" s="33" t="inlineStr">
        <is>
          <t>Thomas Heilman</t>
        </is>
      </c>
      <c r="D2767" s="33" t="inlineStr">
        <is>
          <t>SwimCloud</t>
        </is>
      </c>
      <c r="E2767" s="33" t="inlineStr">
        <is>
          <t>1336401</t>
        </is>
      </c>
      <c r="F2767" s="33" t="inlineStr">
        <is>
          <t>71967976</t>
        </is>
      </c>
      <c r="G2767" s="51" t="n">
        <v>44775</v>
      </c>
      <c r="H2767" s="33" t="inlineStr">
        <is>
          <t>Speedo Junior National Championships</t>
        </is>
      </c>
      <c r="I2767" s="33" t="inlineStr">
        <is>
          <t>203539</t>
        </is>
      </c>
      <c r="J2767" s="33" t="inlineStr"/>
      <c r="K2767" s="33" t="inlineStr">
        <is>
          <t>PRE</t>
        </is>
      </c>
      <c r="L2767" s="35">
        <f>IF(K2767="FIN",3,IF(OR(K2767="SEM",K2767="SEMI"),2,IF(OR(K2767="PRE",K2767="HEAT"),1,IF(V2767="YES",4,2))))</f>
        <v/>
      </c>
      <c r="M2767" s="33" t="inlineStr">
        <is>
          <t>LCM</t>
        </is>
      </c>
      <c r="N2767" s="33" t="n">
        <v>100</v>
      </c>
      <c r="O2767" s="33" t="inlineStr">
        <is>
          <t>Free</t>
        </is>
      </c>
      <c r="P2767" s="33" t="inlineStr">
        <is>
          <t>100 Free</t>
        </is>
      </c>
      <c r="Q2767" s="33" t="inlineStr">
        <is>
          <t>LCM_100_FREE</t>
        </is>
      </c>
      <c r="R2767" s="36" t="n">
        <v>50.34</v>
      </c>
      <c r="S2767" s="35">
        <f>IF(R2767="","",IF(R2767&gt;=60,INT(R2767/60)&amp;":"&amp;TEXT(MOD(R2767,60),"00.00"),TEXT(R2767,"0.00")))</f>
        <v/>
      </c>
      <c r="T2767" s="52">
        <f>IFERROR((G2767-INDEX('01_Swimmers'!$E$5:$E$22,MATCH(B2767,'01_Swimmers'!$A$5:$A$22,0)))/'00_Control'!$B$10,"")</f>
        <v/>
      </c>
      <c r="U2767" s="35">
        <f>IF(T2767="","",INT(T2767))</f>
        <v/>
      </c>
      <c r="V2767" s="33" t="inlineStr">
        <is>
          <t>NO</t>
        </is>
      </c>
      <c r="W2767" s="33" t="inlineStr">
        <is>
          <t>YES</t>
        </is>
      </c>
      <c r="X2767" s="33" t="inlineStr">
        <is>
          <t>NO</t>
        </is>
      </c>
      <c r="Y2767" s="33" t="n">
        <v>17</v>
      </c>
      <c r="Z2767" s="33" t="n">
        <v>5</v>
      </c>
      <c r="AA2767" s="33" t="inlineStr">
        <is>
          <t>3</t>
        </is>
      </c>
      <c r="AB2767" s="33" t="inlineStr">
        <is>
          <t>https://www.swimcloud.com/results/203539/event/10/?id=71967976#time71967976</t>
        </is>
      </c>
      <c r="AC2767" s="33" t="inlineStr">
        <is>
          <t>SwimCloud API v6 2026-10-08</t>
        </is>
      </c>
      <c r="AD2767" s="33" t="inlineStr">
        <is>
          <t>Thomas Heilman|2022-08-02|LCM|100|Free|50.34|Speedo Junior National Championships|PRE|False</t>
        </is>
      </c>
      <c r="AE2767" s="53">
        <f>G2767+L2767/1000+ROW()/1000000000</f>
        <v/>
      </c>
      <c r="AF2767" s="35">
        <f>IF(C2767&lt;&gt;"Grayson Coulter","",COUNTIFS($C$5:$C$2991,"Grayson Coulter",$Q$5:$Q$2991,Q2767,$AE$5:$AE$2991,"&lt;="&amp;AE2767,$R$5:$R$2991,"&lt;"&amp;R2767))</f>
        <v/>
      </c>
      <c r="AG2767" s="35">
        <f>IF(OR(C2767&lt;&gt;"Grayson Coulter",G2767&lt;'00_Control'!$B$7),"",--(AF2767&lt;5))</f>
        <v/>
      </c>
      <c r="AH2767" s="35">
        <f>IF(OR(C2767&lt;&gt;"Grayson Coulter",G2767&lt;'00_Control'!$B$7),"",--(AF2767&lt;10))</f>
        <v/>
      </c>
      <c r="AI2767" s="35">
        <f>IF(AND(C2767="Grayson Coulter",G2767&gt;='00_Control'!$B$7),"YES","NO")</f>
        <v/>
      </c>
      <c r="AJ2767" s="33" t="inlineStr">
        <is>
          <t>OK</t>
        </is>
      </c>
    </row>
    <row r="2768">
      <c r="A2768" s="33" t="inlineStr">
        <is>
          <t>SM002764</t>
        </is>
      </c>
      <c r="B2768" s="33" t="inlineStr">
        <is>
          <t>SW005</t>
        </is>
      </c>
      <c r="C2768" s="33" t="inlineStr">
        <is>
          <t>Thomas Heilman</t>
        </is>
      </c>
      <c r="D2768" s="33" t="inlineStr">
        <is>
          <t>SwimCloud</t>
        </is>
      </c>
      <c r="E2768" s="33" t="inlineStr">
        <is>
          <t>1336401</t>
        </is>
      </c>
      <c r="F2768" s="33" t="inlineStr">
        <is>
          <t>71967977</t>
        </is>
      </c>
      <c r="G2768" s="51" t="n">
        <v>44775</v>
      </c>
      <c r="H2768" s="33" t="inlineStr">
        <is>
          <t>Speedo Junior National Championships</t>
        </is>
      </c>
      <c r="I2768" s="33" t="inlineStr">
        <is>
          <t>203539</t>
        </is>
      </c>
      <c r="J2768" s="33" t="inlineStr"/>
      <c r="K2768" s="33" t="inlineStr">
        <is>
          <t>FIN</t>
        </is>
      </c>
      <c r="L2768" s="35">
        <f>IF(K2768="FIN",3,IF(OR(K2768="SEM",K2768="SEMI"),2,IF(OR(K2768="PRE",K2768="HEAT"),1,IF(V2768="YES",4,2))))</f>
        <v/>
      </c>
      <c r="M2768" s="33" t="inlineStr">
        <is>
          <t>LCM</t>
        </is>
      </c>
      <c r="N2768" s="33" t="n">
        <v>100</v>
      </c>
      <c r="O2768" s="33" t="inlineStr">
        <is>
          <t>Free</t>
        </is>
      </c>
      <c r="P2768" s="33" t="inlineStr">
        <is>
          <t>100 Free</t>
        </is>
      </c>
      <c r="Q2768" s="33" t="inlineStr">
        <is>
          <t>LCM_100_FREE</t>
        </is>
      </c>
      <c r="R2768" s="36" t="n">
        <v>49.67</v>
      </c>
      <c r="S2768" s="35">
        <f>IF(R2768="","",IF(R2768&gt;=60,INT(R2768/60)&amp;":"&amp;TEXT(MOD(R2768,60),"00.00"),TEXT(R2768,"0.00")))</f>
        <v/>
      </c>
      <c r="T2768" s="52">
        <f>IFERROR((G2768-INDEX('01_Swimmers'!$E$5:$E$22,MATCH(B2768,'01_Swimmers'!$A$5:$A$22,0)))/'00_Control'!$B$10,"")</f>
        <v/>
      </c>
      <c r="U2768" s="35">
        <f>IF(T2768="","",INT(T2768))</f>
        <v/>
      </c>
      <c r="V2768" s="33" t="inlineStr">
        <is>
          <t>NO</t>
        </is>
      </c>
      <c r="W2768" s="33" t="inlineStr">
        <is>
          <t>YES</t>
        </is>
      </c>
      <c r="X2768" s="33" t="inlineStr">
        <is>
          <t>NO</t>
        </is>
      </c>
      <c r="Y2768" s="33" t="n">
        <v>3</v>
      </c>
      <c r="Z2768" s="33" t="n">
        <v>3</v>
      </c>
      <c r="AA2768" s="33" t="inlineStr">
        <is>
          <t>1</t>
        </is>
      </c>
      <c r="AB2768" s="33" t="inlineStr">
        <is>
          <t>https://www.swimcloud.com/results/203539/event/10/?id=71967977#time71967977</t>
        </is>
      </c>
      <c r="AC2768" s="33" t="inlineStr">
        <is>
          <t>SwimCloud API v6 2026-10-08</t>
        </is>
      </c>
      <c r="AD2768" s="33" t="inlineStr">
        <is>
          <t>Thomas Heilman|2022-08-02|LCM|100|Free|49.67|Speedo Junior National Championships|FIN|False</t>
        </is>
      </c>
      <c r="AE2768" s="53">
        <f>G2768+L2768/1000+ROW()/1000000000</f>
        <v/>
      </c>
      <c r="AF2768" s="35">
        <f>IF(C2768&lt;&gt;"Grayson Coulter","",COUNTIFS($C$5:$C$2991,"Grayson Coulter",$Q$5:$Q$2991,Q2768,$AE$5:$AE$2991,"&lt;="&amp;AE2768,$R$5:$R$2991,"&lt;"&amp;R2768))</f>
        <v/>
      </c>
      <c r="AG2768" s="35">
        <f>IF(OR(C2768&lt;&gt;"Grayson Coulter",G2768&lt;'00_Control'!$B$7),"",--(AF2768&lt;5))</f>
        <v/>
      </c>
      <c r="AH2768" s="35">
        <f>IF(OR(C2768&lt;&gt;"Grayson Coulter",G2768&lt;'00_Control'!$B$7),"",--(AF2768&lt;10))</f>
        <v/>
      </c>
      <c r="AI2768" s="35">
        <f>IF(AND(C2768="Grayson Coulter",G2768&gt;='00_Control'!$B$7),"YES","NO")</f>
        <v/>
      </c>
      <c r="AJ2768" s="33" t="inlineStr">
        <is>
          <t>OK</t>
        </is>
      </c>
    </row>
    <row r="2769">
      <c r="A2769" s="33" t="inlineStr">
        <is>
          <t>SM002765</t>
        </is>
      </c>
      <c r="B2769" s="33" t="inlineStr">
        <is>
          <t>SW005</t>
        </is>
      </c>
      <c r="C2769" s="33" t="inlineStr">
        <is>
          <t>Thomas Heilman</t>
        </is>
      </c>
      <c r="D2769" s="33" t="inlineStr">
        <is>
          <t>SwimCloud</t>
        </is>
      </c>
      <c r="E2769" s="33" t="inlineStr">
        <is>
          <t>1336401</t>
        </is>
      </c>
      <c r="F2769" s="33" t="inlineStr">
        <is>
          <t>71970495</t>
        </is>
      </c>
      <c r="G2769" s="51" t="n">
        <v>44775</v>
      </c>
      <c r="H2769" s="33" t="inlineStr">
        <is>
          <t>Speedo Junior National Championships</t>
        </is>
      </c>
      <c r="I2769" s="33" t="inlineStr">
        <is>
          <t>203539</t>
        </is>
      </c>
      <c r="J2769" s="33" t="inlineStr"/>
      <c r="K2769" s="33" t="inlineStr">
        <is>
          <t>TIM</t>
        </is>
      </c>
      <c r="L2769" s="35">
        <f>IF(K2769="FIN",3,IF(OR(K2769="SEM",K2769="SEMI"),2,IF(OR(K2769="PRE",K2769="HEAT"),1,IF(V2769="YES",4,2))))</f>
        <v/>
      </c>
      <c r="M2769" s="33" t="inlineStr">
        <is>
          <t>LCM</t>
        </is>
      </c>
      <c r="N2769" s="33" t="n">
        <v>200</v>
      </c>
      <c r="O2769" s="33" t="inlineStr">
        <is>
          <t>Free</t>
        </is>
      </c>
      <c r="P2769" s="33" t="inlineStr">
        <is>
          <t>200 Free</t>
        </is>
      </c>
      <c r="Q2769" s="33" t="inlineStr">
        <is>
          <t>LCM_200_FREE</t>
        </is>
      </c>
      <c r="R2769" s="36" t="n">
        <v>111.78</v>
      </c>
      <c r="S2769" s="35">
        <f>IF(R2769="","",IF(R2769&gt;=60,INT(R2769/60)&amp;":"&amp;TEXT(MOD(R2769,60),"00.00"),TEXT(R2769,"0.00")))</f>
        <v/>
      </c>
      <c r="T2769" s="52">
        <f>IFERROR((G2769-INDEX('01_Swimmers'!$E$5:$E$22,MATCH(B2769,'01_Swimmers'!$A$5:$A$22,0)))/'00_Control'!$B$10,"")</f>
        <v/>
      </c>
      <c r="U2769" s="35">
        <f>IF(T2769="","",INT(T2769))</f>
        <v/>
      </c>
      <c r="V2769" s="33" t="inlineStr">
        <is>
          <t>YES</t>
        </is>
      </c>
      <c r="W2769" s="33" t="inlineStr">
        <is>
          <t>YES</t>
        </is>
      </c>
      <c r="X2769" s="33" t="inlineStr">
        <is>
          <t>NO</t>
        </is>
      </c>
      <c r="Y2769" s="33" t="n">
        <v>3</v>
      </c>
      <c r="Z2769" s="33" t="n">
        <v>5</v>
      </c>
      <c r="AA2769" s="33" t="inlineStr"/>
      <c r="AB2769" s="33" t="inlineStr">
        <is>
          <t>https://www.swimcloud.com/results/203539/event/14/?id=71969194#time71969194</t>
        </is>
      </c>
      <c r="AC2769" s="33" t="inlineStr">
        <is>
          <t>SwimCloud API v6 2026-10-08</t>
        </is>
      </c>
      <c r="AD2769" s="33" t="inlineStr">
        <is>
          <t>Thomas Heilman|2022-08-02|LCM|200|Free|111.78|Speedo Junior National Championships|TIM|True</t>
        </is>
      </c>
      <c r="AE2769" s="53">
        <f>G2769+L2769/1000+ROW()/1000000000</f>
        <v/>
      </c>
      <c r="AF2769" s="35">
        <f>IF(C2769&lt;&gt;"Grayson Coulter","",COUNTIFS($C$5:$C$2991,"Grayson Coulter",$Q$5:$Q$2991,Q2769,$AE$5:$AE$2991,"&lt;="&amp;AE2769,$R$5:$R$2991,"&lt;"&amp;R2769))</f>
        <v/>
      </c>
      <c r="AG2769" s="35">
        <f>IF(OR(C2769&lt;&gt;"Grayson Coulter",G2769&lt;'00_Control'!$B$7),"",--(AF2769&lt;5))</f>
        <v/>
      </c>
      <c r="AH2769" s="35">
        <f>IF(OR(C2769&lt;&gt;"Grayson Coulter",G2769&lt;'00_Control'!$B$7),"",--(AF2769&lt;10))</f>
        <v/>
      </c>
      <c r="AI2769" s="35">
        <f>IF(AND(C2769="Grayson Coulter",G2769&gt;='00_Control'!$B$7),"YES","NO")</f>
        <v/>
      </c>
      <c r="AJ2769" s="33" t="inlineStr">
        <is>
          <t>OK</t>
        </is>
      </c>
    </row>
    <row r="2770">
      <c r="A2770" s="33" t="inlineStr">
        <is>
          <t>SM002766</t>
        </is>
      </c>
      <c r="B2770" s="33" t="inlineStr">
        <is>
          <t>SW005</t>
        </is>
      </c>
      <c r="C2770" s="33" t="inlineStr">
        <is>
          <t>Thomas Heilman</t>
        </is>
      </c>
      <c r="D2770" s="33" t="inlineStr">
        <is>
          <t>SwimCloud</t>
        </is>
      </c>
      <c r="E2770" s="33" t="inlineStr">
        <is>
          <t>1336401</t>
        </is>
      </c>
      <c r="F2770" s="33" t="inlineStr">
        <is>
          <t>71968146</t>
        </is>
      </c>
      <c r="G2770" s="51" t="n">
        <v>44776</v>
      </c>
      <c r="H2770" s="33" t="inlineStr">
        <is>
          <t>Speedo Junior National Championships</t>
        </is>
      </c>
      <c r="I2770" s="33" t="inlineStr">
        <is>
          <t>203539</t>
        </is>
      </c>
      <c r="J2770" s="33" t="inlineStr"/>
      <c r="K2770" s="33" t="inlineStr">
        <is>
          <t>PRE</t>
        </is>
      </c>
      <c r="L2770" s="35">
        <f>IF(K2770="FIN",3,IF(OR(K2770="SEM",K2770="SEMI"),2,IF(OR(K2770="PRE",K2770="HEAT"),1,IF(V2770="YES",4,2))))</f>
        <v/>
      </c>
      <c r="M2770" s="33" t="inlineStr">
        <is>
          <t>LCM</t>
        </is>
      </c>
      <c r="N2770" s="33" t="n">
        <v>100</v>
      </c>
      <c r="O2770" s="33" t="inlineStr">
        <is>
          <t>Fly</t>
        </is>
      </c>
      <c r="P2770" s="33" t="inlineStr">
        <is>
          <t>100 Fly</t>
        </is>
      </c>
      <c r="Q2770" s="33" t="inlineStr">
        <is>
          <t>LCM_100_FLY</t>
        </is>
      </c>
      <c r="R2770" s="36" t="n">
        <v>53.36</v>
      </c>
      <c r="S2770" s="35">
        <f>IF(R2770="","",IF(R2770&gt;=60,INT(R2770/60)&amp;":"&amp;TEXT(MOD(R2770,60),"00.00"),TEXT(R2770,"0.00")))</f>
        <v/>
      </c>
      <c r="T2770" s="52">
        <f>IFERROR((G2770-INDEX('01_Swimmers'!$E$5:$E$22,MATCH(B2770,'01_Swimmers'!$A$5:$A$22,0)))/'00_Control'!$B$10,"")</f>
        <v/>
      </c>
      <c r="U2770" s="35">
        <f>IF(T2770="","",INT(T2770))</f>
        <v/>
      </c>
      <c r="V2770" s="33" t="inlineStr">
        <is>
          <t>NO</t>
        </is>
      </c>
      <c r="W2770" s="33" t="inlineStr">
        <is>
          <t>YES</t>
        </is>
      </c>
      <c r="X2770" s="33" t="inlineStr">
        <is>
          <t>NO</t>
        </is>
      </c>
      <c r="Y2770" s="33" t="n">
        <v>20</v>
      </c>
      <c r="Z2770" s="33" t="n">
        <v>4</v>
      </c>
      <c r="AA2770" s="33" t="inlineStr">
        <is>
          <t>3</t>
        </is>
      </c>
      <c r="AB2770" s="33" t="inlineStr">
        <is>
          <t>https://www.swimcloud.com/results/203539/event/18/?id=71968146#time71968146</t>
        </is>
      </c>
      <c r="AC2770" s="33" t="inlineStr">
        <is>
          <t>SwimCloud API v6 2026-10-08</t>
        </is>
      </c>
      <c r="AD2770" s="33" t="inlineStr">
        <is>
          <t>Thomas Heilman|2022-08-03|LCM|100|Fly|53.36|Speedo Junior National Championships|PRE|False</t>
        </is>
      </c>
      <c r="AE2770" s="53">
        <f>G2770+L2770/1000+ROW()/1000000000</f>
        <v/>
      </c>
      <c r="AF2770" s="35">
        <f>IF(C2770&lt;&gt;"Grayson Coulter","",COUNTIFS($C$5:$C$2991,"Grayson Coulter",$Q$5:$Q$2991,Q2770,$AE$5:$AE$2991,"&lt;="&amp;AE2770,$R$5:$R$2991,"&lt;"&amp;R2770))</f>
        <v/>
      </c>
      <c r="AG2770" s="35">
        <f>IF(OR(C2770&lt;&gt;"Grayson Coulter",G2770&lt;'00_Control'!$B$7),"",--(AF2770&lt;5))</f>
        <v/>
      </c>
      <c r="AH2770" s="35">
        <f>IF(OR(C2770&lt;&gt;"Grayson Coulter",G2770&lt;'00_Control'!$B$7),"",--(AF2770&lt;10))</f>
        <v/>
      </c>
      <c r="AI2770" s="35">
        <f>IF(AND(C2770="Grayson Coulter",G2770&gt;='00_Control'!$B$7),"YES","NO")</f>
        <v/>
      </c>
      <c r="AJ2770" s="33" t="inlineStr">
        <is>
          <t>OK</t>
        </is>
      </c>
    </row>
    <row r="2771">
      <c r="A2771" s="33" t="inlineStr">
        <is>
          <t>SM002767</t>
        </is>
      </c>
      <c r="B2771" s="33" t="inlineStr">
        <is>
          <t>SW005</t>
        </is>
      </c>
      <c r="C2771" s="33" t="inlineStr">
        <is>
          <t>Thomas Heilman</t>
        </is>
      </c>
      <c r="D2771" s="33" t="inlineStr">
        <is>
          <t>SwimCloud</t>
        </is>
      </c>
      <c r="E2771" s="33" t="inlineStr">
        <is>
          <t>1336401</t>
        </is>
      </c>
      <c r="F2771" s="33" t="inlineStr">
        <is>
          <t>71968147</t>
        </is>
      </c>
      <c r="G2771" s="51" t="n">
        <v>44776</v>
      </c>
      <c r="H2771" s="33" t="inlineStr">
        <is>
          <t>Speedo Junior National Championships</t>
        </is>
      </c>
      <c r="I2771" s="33" t="inlineStr">
        <is>
          <t>203539</t>
        </is>
      </c>
      <c r="J2771" s="33" t="inlineStr"/>
      <c r="K2771" s="33" t="inlineStr">
        <is>
          <t>FIN</t>
        </is>
      </c>
      <c r="L2771" s="35">
        <f>IF(K2771="FIN",3,IF(OR(K2771="SEM",K2771="SEMI"),2,IF(OR(K2771="PRE",K2771="HEAT"),1,IF(V2771="YES",4,2))))</f>
        <v/>
      </c>
      <c r="M2771" s="33" t="inlineStr">
        <is>
          <t>LCM</t>
        </is>
      </c>
      <c r="N2771" s="33" t="n">
        <v>100</v>
      </c>
      <c r="O2771" s="33" t="inlineStr">
        <is>
          <t>Fly</t>
        </is>
      </c>
      <c r="P2771" s="33" t="inlineStr">
        <is>
          <t>100 Fly</t>
        </is>
      </c>
      <c r="Q2771" s="33" t="inlineStr">
        <is>
          <t>LCM_100_FLY</t>
        </is>
      </c>
      <c r="R2771" s="36" t="n">
        <v>52.44</v>
      </c>
      <c r="S2771" s="35">
        <f>IF(R2771="","",IF(R2771&gt;=60,INT(R2771/60)&amp;":"&amp;TEXT(MOD(R2771,60),"00.00"),TEXT(R2771,"0.00")))</f>
        <v/>
      </c>
      <c r="T2771" s="52">
        <f>IFERROR((G2771-INDEX('01_Swimmers'!$E$5:$E$22,MATCH(B2771,'01_Swimmers'!$A$5:$A$22,0)))/'00_Control'!$B$10,"")</f>
        <v/>
      </c>
      <c r="U2771" s="35">
        <f>IF(T2771="","",INT(T2771))</f>
        <v/>
      </c>
      <c r="V2771" s="33" t="inlineStr">
        <is>
          <t>NO</t>
        </is>
      </c>
      <c r="W2771" s="33" t="inlineStr">
        <is>
          <t>YES</t>
        </is>
      </c>
      <c r="X2771" s="33" t="inlineStr">
        <is>
          <t>NO</t>
        </is>
      </c>
      <c r="Y2771" s="33" t="n">
        <v>3</v>
      </c>
      <c r="Z2771" s="33" t="n">
        <v>3</v>
      </c>
      <c r="AA2771" s="33" t="inlineStr">
        <is>
          <t>2</t>
        </is>
      </c>
      <c r="AB2771" s="33" t="inlineStr">
        <is>
          <t>https://www.swimcloud.com/results/203539/event/18/?id=71968147#time71968147</t>
        </is>
      </c>
      <c r="AC2771" s="33" t="inlineStr">
        <is>
          <t>SwimCloud API v6 2026-10-08</t>
        </is>
      </c>
      <c r="AD2771" s="33" t="inlineStr">
        <is>
          <t>Thomas Heilman|2022-08-03|LCM|100|Fly|52.44|Speedo Junior National Championships|FIN|False</t>
        </is>
      </c>
      <c r="AE2771" s="53">
        <f>G2771+L2771/1000+ROW()/1000000000</f>
        <v/>
      </c>
      <c r="AF2771" s="35">
        <f>IF(C2771&lt;&gt;"Grayson Coulter","",COUNTIFS($C$5:$C$2991,"Grayson Coulter",$Q$5:$Q$2991,Q2771,$AE$5:$AE$2991,"&lt;="&amp;AE2771,$R$5:$R$2991,"&lt;"&amp;R2771))</f>
        <v/>
      </c>
      <c r="AG2771" s="35">
        <f>IF(OR(C2771&lt;&gt;"Grayson Coulter",G2771&lt;'00_Control'!$B$7),"",--(AF2771&lt;5))</f>
        <v/>
      </c>
      <c r="AH2771" s="35">
        <f>IF(OR(C2771&lt;&gt;"Grayson Coulter",G2771&lt;'00_Control'!$B$7),"",--(AF2771&lt;10))</f>
        <v/>
      </c>
      <c r="AI2771" s="35">
        <f>IF(AND(C2771="Grayson Coulter",G2771&gt;='00_Control'!$B$7),"YES","NO")</f>
        <v/>
      </c>
      <c r="AJ2771" s="33" t="inlineStr">
        <is>
          <t>OK</t>
        </is>
      </c>
    </row>
    <row r="2772">
      <c r="A2772" s="33" t="inlineStr">
        <is>
          <t>SM002768</t>
        </is>
      </c>
      <c r="B2772" s="33" t="inlineStr">
        <is>
          <t>SW005</t>
        </is>
      </c>
      <c r="C2772" s="33" t="inlineStr">
        <is>
          <t>Thomas Heilman</t>
        </is>
      </c>
      <c r="D2772" s="33" t="inlineStr">
        <is>
          <t>SwimCloud</t>
        </is>
      </c>
      <c r="E2772" s="33" t="inlineStr">
        <is>
          <t>1336401</t>
        </is>
      </c>
      <c r="F2772" s="33" t="inlineStr">
        <is>
          <t>71970343</t>
        </is>
      </c>
      <c r="G2772" s="51" t="n">
        <v>44777</v>
      </c>
      <c r="H2772" s="33" t="inlineStr">
        <is>
          <t>Speedo Junior National Championships</t>
        </is>
      </c>
      <c r="I2772" s="33" t="inlineStr">
        <is>
          <t>203539</t>
        </is>
      </c>
      <c r="J2772" s="33" t="inlineStr"/>
      <c r="K2772" s="33" t="inlineStr">
        <is>
          <t>TIM</t>
        </is>
      </c>
      <c r="L2772" s="35">
        <f>IF(K2772="FIN",3,IF(OR(K2772="SEM",K2772="SEMI"),2,IF(OR(K2772="PRE",K2772="HEAT"),1,IF(V2772="YES",4,2))))</f>
        <v/>
      </c>
      <c r="M2772" s="33" t="inlineStr">
        <is>
          <t>LCM</t>
        </is>
      </c>
      <c r="N2772" s="33" t="n">
        <v>100</v>
      </c>
      <c r="O2772" s="33" t="inlineStr">
        <is>
          <t>Free</t>
        </is>
      </c>
      <c r="P2772" s="33" t="inlineStr">
        <is>
          <t>100 Free</t>
        </is>
      </c>
      <c r="Q2772" s="33" t="inlineStr">
        <is>
          <t>LCM_100_FREE</t>
        </is>
      </c>
      <c r="R2772" s="36" t="n">
        <v>50.51</v>
      </c>
      <c r="S2772" s="35">
        <f>IF(R2772="","",IF(R2772&gt;=60,INT(R2772/60)&amp;":"&amp;TEXT(MOD(R2772,60),"00.00"),TEXT(R2772,"0.00")))</f>
        <v/>
      </c>
      <c r="T2772" s="52">
        <f>IFERROR((G2772-INDEX('01_Swimmers'!$E$5:$E$22,MATCH(B2772,'01_Swimmers'!$A$5:$A$22,0)))/'00_Control'!$B$10,"")</f>
        <v/>
      </c>
      <c r="U2772" s="35">
        <f>IF(T2772="","",INT(T2772))</f>
        <v/>
      </c>
      <c r="V2772" s="33" t="inlineStr">
        <is>
          <t>YES</t>
        </is>
      </c>
      <c r="W2772" s="33" t="inlineStr">
        <is>
          <t>YES</t>
        </is>
      </c>
      <c r="X2772" s="33" t="inlineStr">
        <is>
          <t>NO</t>
        </is>
      </c>
      <c r="Y2772" s="33" t="n">
        <v>3</v>
      </c>
      <c r="Z2772" s="33" t="n">
        <v>3</v>
      </c>
      <c r="AA2772" s="33" t="inlineStr"/>
      <c r="AB2772" s="33" t="inlineStr">
        <is>
          <t>https://www.swimcloud.com/results/203539/event/30/?id=71969154#time71969154</t>
        </is>
      </c>
      <c r="AC2772" s="33" t="inlineStr">
        <is>
          <t>SwimCloud API v6 2026-10-08</t>
        </is>
      </c>
      <c r="AD2772" s="33" t="inlineStr">
        <is>
          <t>Thomas Heilman|2022-08-04|LCM|100|Free|50.51|Speedo Junior National Championships|TIM|True</t>
        </is>
      </c>
      <c r="AE2772" s="53">
        <f>G2772+L2772/1000+ROW()/1000000000</f>
        <v/>
      </c>
      <c r="AF2772" s="35">
        <f>IF(C2772&lt;&gt;"Grayson Coulter","",COUNTIFS($C$5:$C$2991,"Grayson Coulter",$Q$5:$Q$2991,Q2772,$AE$5:$AE$2991,"&lt;="&amp;AE2772,$R$5:$R$2991,"&lt;"&amp;R2772))</f>
        <v/>
      </c>
      <c r="AG2772" s="35">
        <f>IF(OR(C2772&lt;&gt;"Grayson Coulter",G2772&lt;'00_Control'!$B$7),"",--(AF2772&lt;5))</f>
        <v/>
      </c>
      <c r="AH2772" s="35">
        <f>IF(OR(C2772&lt;&gt;"Grayson Coulter",G2772&lt;'00_Control'!$B$7),"",--(AF2772&lt;10))</f>
        <v/>
      </c>
      <c r="AI2772" s="35">
        <f>IF(AND(C2772="Grayson Coulter",G2772&gt;='00_Control'!$B$7),"YES","NO")</f>
        <v/>
      </c>
      <c r="AJ2772" s="33" t="inlineStr">
        <is>
          <t>OK</t>
        </is>
      </c>
    </row>
    <row r="2773">
      <c r="A2773" s="33" t="inlineStr">
        <is>
          <t>SM002769</t>
        </is>
      </c>
      <c r="B2773" s="33" t="inlineStr">
        <is>
          <t>SW005</t>
        </is>
      </c>
      <c r="C2773" s="33" t="inlineStr">
        <is>
          <t>Thomas Heilman</t>
        </is>
      </c>
      <c r="D2773" s="33" t="inlineStr">
        <is>
          <t>SwimCloud</t>
        </is>
      </c>
      <c r="E2773" s="33" t="inlineStr">
        <is>
          <t>1336401</t>
        </is>
      </c>
      <c r="F2773" s="33" t="inlineStr">
        <is>
          <t>71968326</t>
        </is>
      </c>
      <c r="G2773" s="51" t="n">
        <v>44777</v>
      </c>
      <c r="H2773" s="33" t="inlineStr">
        <is>
          <t>Speedo Junior National Championships</t>
        </is>
      </c>
      <c r="I2773" s="33" t="inlineStr">
        <is>
          <t>203539</t>
        </is>
      </c>
      <c r="J2773" s="33" t="inlineStr"/>
      <c r="K2773" s="33" t="inlineStr">
        <is>
          <t>PRE</t>
        </is>
      </c>
      <c r="L2773" s="35">
        <f>IF(K2773="FIN",3,IF(OR(K2773="SEM",K2773="SEMI"),2,IF(OR(K2773="PRE",K2773="HEAT"),1,IF(V2773="YES",4,2))))</f>
        <v/>
      </c>
      <c r="M2773" s="33" t="inlineStr">
        <is>
          <t>LCM</t>
        </is>
      </c>
      <c r="N2773" s="33" t="n">
        <v>200</v>
      </c>
      <c r="O2773" s="33" t="inlineStr">
        <is>
          <t>Free</t>
        </is>
      </c>
      <c r="P2773" s="33" t="inlineStr">
        <is>
          <t>200 Free</t>
        </is>
      </c>
      <c r="Q2773" s="33" t="inlineStr">
        <is>
          <t>LCM_200_FREE</t>
        </is>
      </c>
      <c r="R2773" s="36" t="n">
        <v>110.97</v>
      </c>
      <c r="S2773" s="35">
        <f>IF(R2773="","",IF(R2773&gt;=60,INT(R2773/60)&amp;":"&amp;TEXT(MOD(R2773,60),"00.00"),TEXT(R2773,"0.00")))</f>
        <v/>
      </c>
      <c r="T2773" s="52">
        <f>IFERROR((G2773-INDEX('01_Swimmers'!$E$5:$E$22,MATCH(B2773,'01_Swimmers'!$A$5:$A$22,0)))/'00_Control'!$B$10,"")</f>
        <v/>
      </c>
      <c r="U2773" s="35">
        <f>IF(T2773="","",INT(T2773))</f>
        <v/>
      </c>
      <c r="V2773" s="33" t="inlineStr">
        <is>
          <t>NO</t>
        </is>
      </c>
      <c r="W2773" s="33" t="inlineStr">
        <is>
          <t>YES</t>
        </is>
      </c>
      <c r="X2773" s="33" t="inlineStr">
        <is>
          <t>NO</t>
        </is>
      </c>
      <c r="Y2773" s="33" t="n">
        <v>15</v>
      </c>
      <c r="Z2773" s="33" t="n">
        <v>5</v>
      </c>
      <c r="AA2773" s="33" t="inlineStr">
        <is>
          <t>2</t>
        </is>
      </c>
      <c r="AB2773" s="33" t="inlineStr">
        <is>
          <t>https://www.swimcloud.com/results/203539/event/24/?id=71968326#time71968326</t>
        </is>
      </c>
      <c r="AC2773" s="33" t="inlineStr">
        <is>
          <t>SwimCloud API v6 2026-10-08</t>
        </is>
      </c>
      <c r="AD2773" s="33" t="inlineStr">
        <is>
          <t>Thomas Heilman|2022-08-04|LCM|200|Free|110.97|Speedo Junior National Championships|PRE|False</t>
        </is>
      </c>
      <c r="AE2773" s="53">
        <f>G2773+L2773/1000+ROW()/1000000000</f>
        <v/>
      </c>
      <c r="AF2773" s="35">
        <f>IF(C2773&lt;&gt;"Grayson Coulter","",COUNTIFS($C$5:$C$2991,"Grayson Coulter",$Q$5:$Q$2991,Q2773,$AE$5:$AE$2991,"&lt;="&amp;AE2773,$R$5:$R$2991,"&lt;"&amp;R2773))</f>
        <v/>
      </c>
      <c r="AG2773" s="35">
        <f>IF(OR(C2773&lt;&gt;"Grayson Coulter",G2773&lt;'00_Control'!$B$7),"",--(AF2773&lt;5))</f>
        <v/>
      </c>
      <c r="AH2773" s="35">
        <f>IF(OR(C2773&lt;&gt;"Grayson Coulter",G2773&lt;'00_Control'!$B$7),"",--(AF2773&lt;10))</f>
        <v/>
      </c>
      <c r="AI2773" s="35">
        <f>IF(AND(C2773="Grayson Coulter",G2773&gt;='00_Control'!$B$7),"YES","NO")</f>
        <v/>
      </c>
      <c r="AJ2773" s="33" t="inlineStr">
        <is>
          <t>OK</t>
        </is>
      </c>
    </row>
    <row r="2774">
      <c r="A2774" s="33" t="inlineStr">
        <is>
          <t>SM002770</t>
        </is>
      </c>
      <c r="B2774" s="33" t="inlineStr">
        <is>
          <t>SW005</t>
        </is>
      </c>
      <c r="C2774" s="33" t="inlineStr">
        <is>
          <t>Thomas Heilman</t>
        </is>
      </c>
      <c r="D2774" s="33" t="inlineStr">
        <is>
          <t>SwimCloud</t>
        </is>
      </c>
      <c r="E2774" s="33" t="inlineStr">
        <is>
          <t>1336401</t>
        </is>
      </c>
      <c r="F2774" s="33" t="inlineStr">
        <is>
          <t>71968327</t>
        </is>
      </c>
      <c r="G2774" s="51" t="n">
        <v>44777</v>
      </c>
      <c r="H2774" s="33" t="inlineStr">
        <is>
          <t>Speedo Junior National Championships</t>
        </is>
      </c>
      <c r="I2774" s="33" t="inlineStr">
        <is>
          <t>203539</t>
        </is>
      </c>
      <c r="J2774" s="33" t="inlineStr"/>
      <c r="K2774" s="33" t="inlineStr">
        <is>
          <t>FIN</t>
        </is>
      </c>
      <c r="L2774" s="35">
        <f>IF(K2774="FIN",3,IF(OR(K2774="SEM",K2774="SEMI"),2,IF(OR(K2774="PRE",K2774="HEAT"),1,IF(V2774="YES",4,2))))</f>
        <v/>
      </c>
      <c r="M2774" s="33" t="inlineStr">
        <is>
          <t>LCM</t>
        </is>
      </c>
      <c r="N2774" s="33" t="n">
        <v>200</v>
      </c>
      <c r="O2774" s="33" t="inlineStr">
        <is>
          <t>Free</t>
        </is>
      </c>
      <c r="P2774" s="33" t="inlineStr">
        <is>
          <t>200 Free</t>
        </is>
      </c>
      <c r="Q2774" s="33" t="inlineStr">
        <is>
          <t>LCM_200_FREE</t>
        </is>
      </c>
      <c r="R2774" s="36" t="n">
        <v>110.34</v>
      </c>
      <c r="S2774" s="35">
        <f>IF(R2774="","",IF(R2774&gt;=60,INT(R2774/60)&amp;":"&amp;TEXT(MOD(R2774,60),"00.00"),TEXT(R2774,"0.00")))</f>
        <v/>
      </c>
      <c r="T2774" s="52">
        <f>IFERROR((G2774-INDEX('01_Swimmers'!$E$5:$E$22,MATCH(B2774,'01_Swimmers'!$A$5:$A$22,0)))/'00_Control'!$B$10,"")</f>
        <v/>
      </c>
      <c r="U2774" s="35">
        <f>IF(T2774="","",INT(T2774))</f>
        <v/>
      </c>
      <c r="V2774" s="33" t="inlineStr">
        <is>
          <t>NO</t>
        </is>
      </c>
      <c r="W2774" s="33" t="inlineStr">
        <is>
          <t>YES</t>
        </is>
      </c>
      <c r="X2774" s="33" t="inlineStr">
        <is>
          <t>NO</t>
        </is>
      </c>
      <c r="Y2774" s="33" t="n">
        <v>3</v>
      </c>
      <c r="Z2774" s="33" t="n">
        <v>5</v>
      </c>
      <c r="AA2774" s="33" t="inlineStr">
        <is>
          <t>3</t>
        </is>
      </c>
      <c r="AB2774" s="33" t="inlineStr">
        <is>
          <t>https://www.swimcloud.com/results/203539/event/24/?id=71968327#time71968327</t>
        </is>
      </c>
      <c r="AC2774" s="33" t="inlineStr">
        <is>
          <t>SwimCloud API v6 2026-10-08</t>
        </is>
      </c>
      <c r="AD2774" s="33" t="inlineStr">
        <is>
          <t>Thomas Heilman|2022-08-04|LCM|200|Free|110.34|Speedo Junior National Championships|FIN|False</t>
        </is>
      </c>
      <c r="AE2774" s="53">
        <f>G2774+L2774/1000+ROW()/1000000000</f>
        <v/>
      </c>
      <c r="AF2774" s="35">
        <f>IF(C2774&lt;&gt;"Grayson Coulter","",COUNTIFS($C$5:$C$2991,"Grayson Coulter",$Q$5:$Q$2991,Q2774,$AE$5:$AE$2991,"&lt;="&amp;AE2774,$R$5:$R$2991,"&lt;"&amp;R2774))</f>
        <v/>
      </c>
      <c r="AG2774" s="35">
        <f>IF(OR(C2774&lt;&gt;"Grayson Coulter",G2774&lt;'00_Control'!$B$7),"",--(AF2774&lt;5))</f>
        <v/>
      </c>
      <c r="AH2774" s="35">
        <f>IF(OR(C2774&lt;&gt;"Grayson Coulter",G2774&lt;'00_Control'!$B$7),"",--(AF2774&lt;10))</f>
        <v/>
      </c>
      <c r="AI2774" s="35">
        <f>IF(AND(C2774="Grayson Coulter",G2774&gt;='00_Control'!$B$7),"YES","NO")</f>
        <v/>
      </c>
      <c r="AJ2774" s="33" t="inlineStr">
        <is>
          <t>OK</t>
        </is>
      </c>
    </row>
    <row r="2775">
      <c r="A2775" s="33" t="inlineStr">
        <is>
          <t>SM002771</t>
        </is>
      </c>
      <c r="B2775" s="33" t="inlineStr">
        <is>
          <t>SW005</t>
        </is>
      </c>
      <c r="C2775" s="33" t="inlineStr">
        <is>
          <t>Thomas Heilman</t>
        </is>
      </c>
      <c r="D2775" s="33" t="inlineStr">
        <is>
          <t>SwimCloud</t>
        </is>
      </c>
      <c r="E2775" s="33" t="inlineStr">
        <is>
          <t>1336401</t>
        </is>
      </c>
      <c r="F2775" s="33" t="inlineStr">
        <is>
          <t>77083631</t>
        </is>
      </c>
      <c r="G2775" s="51" t="n">
        <v>44798</v>
      </c>
      <c r="H2775" s="33" t="inlineStr">
        <is>
          <t>Junior Pan Pacific Swimming Championships</t>
        </is>
      </c>
      <c r="I2775" s="33" t="inlineStr">
        <is>
          <t>238371</t>
        </is>
      </c>
      <c r="J2775" s="33" t="inlineStr"/>
      <c r="K2775" s="33" t="inlineStr">
        <is>
          <t>PRE</t>
        </is>
      </c>
      <c r="L2775" s="35">
        <f>IF(K2775="FIN",3,IF(OR(K2775="SEM",K2775="SEMI"),2,IF(OR(K2775="PRE",K2775="HEAT"),1,IF(V2775="YES",4,2))))</f>
        <v/>
      </c>
      <c r="M2775" s="33" t="inlineStr">
        <is>
          <t>LCM</t>
        </is>
      </c>
      <c r="N2775" s="33" t="n">
        <v>100</v>
      </c>
      <c r="O2775" s="33" t="inlineStr">
        <is>
          <t>Free</t>
        </is>
      </c>
      <c r="P2775" s="33" t="inlineStr">
        <is>
          <t>100 Free</t>
        </is>
      </c>
      <c r="Q2775" s="33" t="inlineStr">
        <is>
          <t>LCM_100_FREE</t>
        </is>
      </c>
      <c r="R2775" s="36" t="n">
        <v>49.06</v>
      </c>
      <c r="S2775" s="35">
        <f>IF(R2775="","",IF(R2775&gt;=60,INT(R2775/60)&amp;":"&amp;TEXT(MOD(R2775,60),"00.00"),TEXT(R2775,"0.00")))</f>
        <v/>
      </c>
      <c r="T2775" s="52">
        <f>IFERROR((G2775-INDEX('01_Swimmers'!$E$5:$E$22,MATCH(B2775,'01_Swimmers'!$A$5:$A$22,0)))/'00_Control'!$B$10,"")</f>
        <v/>
      </c>
      <c r="U2775" s="35">
        <f>IF(T2775="","",INT(T2775))</f>
        <v/>
      </c>
      <c r="V2775" s="33" t="inlineStr">
        <is>
          <t>NO</t>
        </is>
      </c>
      <c r="W2775" s="33" t="inlineStr">
        <is>
          <t>YES</t>
        </is>
      </c>
      <c r="X2775" s="33" t="inlineStr">
        <is>
          <t>NO</t>
        </is>
      </c>
      <c r="Y2775" s="33" t="n">
        <v>6</v>
      </c>
      <c r="Z2775" s="33" t="n">
        <v>5</v>
      </c>
      <c r="AA2775" s="33" t="inlineStr">
        <is>
          <t>1</t>
        </is>
      </c>
      <c r="AB2775" s="33" t="inlineStr">
        <is>
          <t>https://www.swimcloud.com/results/238371/event/11/?id=77083631#time77083631</t>
        </is>
      </c>
      <c r="AC2775" s="33" t="inlineStr">
        <is>
          <t>SwimCloud API v6 2026-10-08</t>
        </is>
      </c>
      <c r="AD2775" s="33" t="inlineStr">
        <is>
          <t>Thomas Heilman|2022-08-25|LCM|100|Free|49.06|Junior Pan Pacific Swimming Championships|PRE|False</t>
        </is>
      </c>
      <c r="AE2775" s="53">
        <f>G2775+L2775/1000+ROW()/1000000000</f>
        <v/>
      </c>
      <c r="AF2775" s="35">
        <f>IF(C2775&lt;&gt;"Grayson Coulter","",COUNTIFS($C$5:$C$2991,"Grayson Coulter",$Q$5:$Q$2991,Q2775,$AE$5:$AE$2991,"&lt;="&amp;AE2775,$R$5:$R$2991,"&lt;"&amp;R2775))</f>
        <v/>
      </c>
      <c r="AG2775" s="35">
        <f>IF(OR(C2775&lt;&gt;"Grayson Coulter",G2775&lt;'00_Control'!$B$7),"",--(AF2775&lt;5))</f>
        <v/>
      </c>
      <c r="AH2775" s="35">
        <f>IF(OR(C2775&lt;&gt;"Grayson Coulter",G2775&lt;'00_Control'!$B$7),"",--(AF2775&lt;10))</f>
        <v/>
      </c>
      <c r="AI2775" s="35">
        <f>IF(AND(C2775="Grayson Coulter",G2775&gt;='00_Control'!$B$7),"YES","NO")</f>
        <v/>
      </c>
      <c r="AJ2775" s="33" t="inlineStr">
        <is>
          <t>OK</t>
        </is>
      </c>
    </row>
    <row r="2776">
      <c r="A2776" s="33" t="inlineStr">
        <is>
          <t>SM002772</t>
        </is>
      </c>
      <c r="B2776" s="33" t="inlineStr">
        <is>
          <t>SW005</t>
        </is>
      </c>
      <c r="C2776" s="33" t="inlineStr">
        <is>
          <t>Thomas Heilman</t>
        </is>
      </c>
      <c r="D2776" s="33" t="inlineStr">
        <is>
          <t>SwimCloud</t>
        </is>
      </c>
      <c r="E2776" s="33" t="inlineStr">
        <is>
          <t>1336401</t>
        </is>
      </c>
      <c r="F2776" s="33" t="inlineStr">
        <is>
          <t>77083632</t>
        </is>
      </c>
      <c r="G2776" s="51" t="n">
        <v>44798</v>
      </c>
      <c r="H2776" s="33" t="inlineStr">
        <is>
          <t>Junior Pan Pacific Swimming Championships</t>
        </is>
      </c>
      <c r="I2776" s="33" t="inlineStr">
        <is>
          <t>238371</t>
        </is>
      </c>
      <c r="J2776" s="33" t="inlineStr"/>
      <c r="K2776" s="33" t="inlineStr">
        <is>
          <t>FIN</t>
        </is>
      </c>
      <c r="L2776" s="35">
        <f>IF(K2776="FIN",3,IF(OR(K2776="SEM",K2776="SEMI"),2,IF(OR(K2776="PRE",K2776="HEAT"),1,IF(V2776="YES",4,2))))</f>
        <v/>
      </c>
      <c r="M2776" s="33" t="inlineStr">
        <is>
          <t>LCM</t>
        </is>
      </c>
      <c r="N2776" s="33" t="n">
        <v>100</v>
      </c>
      <c r="O2776" s="33" t="inlineStr">
        <is>
          <t>Free</t>
        </is>
      </c>
      <c r="P2776" s="33" t="inlineStr">
        <is>
          <t>100 Free</t>
        </is>
      </c>
      <c r="Q2776" s="33" t="inlineStr">
        <is>
          <t>LCM_100_FREE</t>
        </is>
      </c>
      <c r="R2776" s="36" t="n">
        <v>49.34</v>
      </c>
      <c r="S2776" s="35">
        <f>IF(R2776="","",IF(R2776&gt;=60,INT(R2776/60)&amp;":"&amp;TEXT(MOD(R2776,60),"00.00"),TEXT(R2776,"0.00")))</f>
        <v/>
      </c>
      <c r="T2776" s="52">
        <f>IFERROR((G2776-INDEX('01_Swimmers'!$E$5:$E$22,MATCH(B2776,'01_Swimmers'!$A$5:$A$22,0)))/'00_Control'!$B$10,"")</f>
        <v/>
      </c>
      <c r="U2776" s="35">
        <f>IF(T2776="","",INT(T2776))</f>
        <v/>
      </c>
      <c r="V2776" s="33" t="inlineStr">
        <is>
          <t>NO</t>
        </is>
      </c>
      <c r="W2776" s="33" t="inlineStr">
        <is>
          <t>YES</t>
        </is>
      </c>
      <c r="X2776" s="33" t="inlineStr">
        <is>
          <t>NO</t>
        </is>
      </c>
      <c r="Y2776" s="33" t="n">
        <v>2</v>
      </c>
      <c r="Z2776" s="33" t="n">
        <v>5</v>
      </c>
      <c r="AA2776" s="33" t="inlineStr">
        <is>
          <t>2</t>
        </is>
      </c>
      <c r="AB2776" s="33" t="inlineStr">
        <is>
          <t>https://www.swimcloud.com/results/238371/event/11/?id=77083632#time77083632</t>
        </is>
      </c>
      <c r="AC2776" s="33" t="inlineStr">
        <is>
          <t>SwimCloud API v6 2026-10-08</t>
        </is>
      </c>
      <c r="AD2776" s="33" t="inlineStr">
        <is>
          <t>Thomas Heilman|2022-08-25|LCM|100|Free|49.34|Junior Pan Pacific Swimming Championships|FIN|False</t>
        </is>
      </c>
      <c r="AE2776" s="53">
        <f>G2776+L2776/1000+ROW()/1000000000</f>
        <v/>
      </c>
      <c r="AF2776" s="35">
        <f>IF(C2776&lt;&gt;"Grayson Coulter","",COUNTIFS($C$5:$C$2991,"Grayson Coulter",$Q$5:$Q$2991,Q2776,$AE$5:$AE$2991,"&lt;="&amp;AE2776,$R$5:$R$2991,"&lt;"&amp;R2776))</f>
        <v/>
      </c>
      <c r="AG2776" s="35">
        <f>IF(OR(C2776&lt;&gt;"Grayson Coulter",G2776&lt;'00_Control'!$B$7),"",--(AF2776&lt;5))</f>
        <v/>
      </c>
      <c r="AH2776" s="35">
        <f>IF(OR(C2776&lt;&gt;"Grayson Coulter",G2776&lt;'00_Control'!$B$7),"",--(AF2776&lt;10))</f>
        <v/>
      </c>
      <c r="AI2776" s="35">
        <f>IF(AND(C2776="Grayson Coulter",G2776&gt;='00_Control'!$B$7),"YES","NO")</f>
        <v/>
      </c>
      <c r="AJ2776" s="33" t="inlineStr">
        <is>
          <t>OK</t>
        </is>
      </c>
    </row>
    <row r="2777">
      <c r="A2777" s="33" t="inlineStr">
        <is>
          <t>SM002773</t>
        </is>
      </c>
      <c r="B2777" s="33" t="inlineStr">
        <is>
          <t>SW005</t>
        </is>
      </c>
      <c r="C2777" s="33" t="inlineStr">
        <is>
          <t>Thomas Heilman</t>
        </is>
      </c>
      <c r="D2777" s="33" t="inlineStr">
        <is>
          <t>SwimCloud</t>
        </is>
      </c>
      <c r="E2777" s="33" t="inlineStr">
        <is>
          <t>1336401</t>
        </is>
      </c>
      <c r="F2777" s="33" t="inlineStr">
        <is>
          <t>77084136</t>
        </is>
      </c>
      <c r="G2777" s="51" t="n">
        <v>44799</v>
      </c>
      <c r="H2777" s="33" t="inlineStr">
        <is>
          <t>Junior Pan Pacific Swimming Championships</t>
        </is>
      </c>
      <c r="I2777" s="33" t="inlineStr">
        <is>
          <t>238371</t>
        </is>
      </c>
      <c r="J2777" s="33" t="inlineStr"/>
      <c r="K2777" s="33" t="inlineStr">
        <is>
          <t>PRE</t>
        </is>
      </c>
      <c r="L2777" s="35">
        <f>IF(K2777="FIN",3,IF(OR(K2777="SEM",K2777="SEMI"),2,IF(OR(K2777="PRE",K2777="HEAT"),1,IF(V2777="YES",4,2))))</f>
        <v/>
      </c>
      <c r="M2777" s="33" t="inlineStr">
        <is>
          <t>LCM</t>
        </is>
      </c>
      <c r="N2777" s="33" t="n">
        <v>100</v>
      </c>
      <c r="O2777" s="33" t="inlineStr">
        <is>
          <t>Fly</t>
        </is>
      </c>
      <c r="P2777" s="33" t="inlineStr">
        <is>
          <t>100 Fly</t>
        </is>
      </c>
      <c r="Q2777" s="33" t="inlineStr">
        <is>
          <t>LCM_100_FLY</t>
        </is>
      </c>
      <c r="R2777" s="36" t="n">
        <v>52.75</v>
      </c>
      <c r="S2777" s="35">
        <f>IF(R2777="","",IF(R2777&gt;=60,INT(R2777/60)&amp;":"&amp;TEXT(MOD(R2777,60),"00.00"),TEXT(R2777,"0.00")))</f>
        <v/>
      </c>
      <c r="T2777" s="52">
        <f>IFERROR((G2777-INDEX('01_Swimmers'!$E$5:$E$22,MATCH(B2777,'01_Swimmers'!$A$5:$A$22,0)))/'00_Control'!$B$10,"")</f>
        <v/>
      </c>
      <c r="U2777" s="35">
        <f>IF(T2777="","",INT(T2777))</f>
        <v/>
      </c>
      <c r="V2777" s="33" t="inlineStr">
        <is>
          <t>NO</t>
        </is>
      </c>
      <c r="W2777" s="33" t="inlineStr">
        <is>
          <t>YES</t>
        </is>
      </c>
      <c r="X2777" s="33" t="inlineStr">
        <is>
          <t>NO</t>
        </is>
      </c>
      <c r="Y2777" s="33" t="n">
        <v>4</v>
      </c>
      <c r="Z2777" s="33" t="n">
        <v>5</v>
      </c>
      <c r="AA2777" s="33" t="inlineStr">
        <is>
          <t>2</t>
        </is>
      </c>
      <c r="AB2777" s="33" t="inlineStr">
        <is>
          <t>https://www.swimcloud.com/results/238371/event/21/?id=77084136#time77084136</t>
        </is>
      </c>
      <c r="AC2777" s="33" t="inlineStr">
        <is>
          <t>SwimCloud API v6 2026-10-08</t>
        </is>
      </c>
      <c r="AD2777" s="33" t="inlineStr">
        <is>
          <t>Thomas Heilman|2022-08-26|LCM|100|Fly|52.75|Junior Pan Pacific Swimming Championships|PRE|False</t>
        </is>
      </c>
      <c r="AE2777" s="53">
        <f>G2777+L2777/1000+ROW()/1000000000</f>
        <v/>
      </c>
      <c r="AF2777" s="35">
        <f>IF(C2777&lt;&gt;"Grayson Coulter","",COUNTIFS($C$5:$C$2991,"Grayson Coulter",$Q$5:$Q$2991,Q2777,$AE$5:$AE$2991,"&lt;="&amp;AE2777,$R$5:$R$2991,"&lt;"&amp;R2777))</f>
        <v/>
      </c>
      <c r="AG2777" s="35">
        <f>IF(OR(C2777&lt;&gt;"Grayson Coulter",G2777&lt;'00_Control'!$B$7),"",--(AF2777&lt;5))</f>
        <v/>
      </c>
      <c r="AH2777" s="35">
        <f>IF(OR(C2777&lt;&gt;"Grayson Coulter",G2777&lt;'00_Control'!$B$7),"",--(AF2777&lt;10))</f>
        <v/>
      </c>
      <c r="AI2777" s="35">
        <f>IF(AND(C2777="Grayson Coulter",G2777&gt;='00_Control'!$B$7),"YES","NO")</f>
        <v/>
      </c>
      <c r="AJ2777" s="33" t="inlineStr">
        <is>
          <t>OK</t>
        </is>
      </c>
    </row>
    <row r="2778">
      <c r="A2778" s="33" t="inlineStr">
        <is>
          <t>SM002774</t>
        </is>
      </c>
      <c r="B2778" s="33" t="inlineStr">
        <is>
          <t>SW005</t>
        </is>
      </c>
      <c r="C2778" s="33" t="inlineStr">
        <is>
          <t>Thomas Heilman</t>
        </is>
      </c>
      <c r="D2778" s="33" t="inlineStr">
        <is>
          <t>SwimCloud</t>
        </is>
      </c>
      <c r="E2778" s="33" t="inlineStr">
        <is>
          <t>1336401</t>
        </is>
      </c>
      <c r="F2778" s="33" t="inlineStr">
        <is>
          <t>77084137</t>
        </is>
      </c>
      <c r="G2778" s="51" t="n">
        <v>44799</v>
      </c>
      <c r="H2778" s="33" t="inlineStr">
        <is>
          <t>Junior Pan Pacific Swimming Championships</t>
        </is>
      </c>
      <c r="I2778" s="33" t="inlineStr">
        <is>
          <t>238371</t>
        </is>
      </c>
      <c r="J2778" s="33" t="inlineStr"/>
      <c r="K2778" s="33" t="inlineStr">
        <is>
          <t>FIN</t>
        </is>
      </c>
      <c r="L2778" s="35">
        <f>IF(K2778="FIN",3,IF(OR(K2778="SEM",K2778="SEMI"),2,IF(OR(K2778="PRE",K2778="HEAT"),1,IF(V2778="YES",4,2))))</f>
        <v/>
      </c>
      <c r="M2778" s="33" t="inlineStr">
        <is>
          <t>LCM</t>
        </is>
      </c>
      <c r="N2778" s="33" t="n">
        <v>100</v>
      </c>
      <c r="O2778" s="33" t="inlineStr">
        <is>
          <t>Fly</t>
        </is>
      </c>
      <c r="P2778" s="33" t="inlineStr">
        <is>
          <t>100 Fly</t>
        </is>
      </c>
      <c r="Q2778" s="33" t="inlineStr">
        <is>
          <t>LCM_100_FLY</t>
        </is>
      </c>
      <c r="R2778" s="36" t="n">
        <v>51.98</v>
      </c>
      <c r="S2778" s="35">
        <f>IF(R2778="","",IF(R2778&gt;=60,INT(R2778/60)&amp;":"&amp;TEXT(MOD(R2778,60),"00.00"),TEXT(R2778,"0.00")))</f>
        <v/>
      </c>
      <c r="T2778" s="52">
        <f>IFERROR((G2778-INDEX('01_Swimmers'!$E$5:$E$22,MATCH(B2778,'01_Swimmers'!$A$5:$A$22,0)))/'00_Control'!$B$10,"")</f>
        <v/>
      </c>
      <c r="U2778" s="35">
        <f>IF(T2778="","",INT(T2778))</f>
        <v/>
      </c>
      <c r="V2778" s="33" t="inlineStr">
        <is>
          <t>NO</t>
        </is>
      </c>
      <c r="W2778" s="33" t="inlineStr">
        <is>
          <t>YES</t>
        </is>
      </c>
      <c r="X2778" s="33" t="inlineStr">
        <is>
          <t>NO</t>
        </is>
      </c>
      <c r="Y2778" s="33" t="n">
        <v>2</v>
      </c>
      <c r="Z2778" s="33" t="n">
        <v>6</v>
      </c>
      <c r="AA2778" s="33" t="inlineStr">
        <is>
          <t>1</t>
        </is>
      </c>
      <c r="AB2778" s="33" t="inlineStr">
        <is>
          <t>https://www.swimcloud.com/results/238371/event/21/?id=77084137#time77084137</t>
        </is>
      </c>
      <c r="AC2778" s="33" t="inlineStr">
        <is>
          <t>SwimCloud API v6 2026-10-08</t>
        </is>
      </c>
      <c r="AD2778" s="33" t="inlineStr">
        <is>
          <t>Thomas Heilman|2022-08-26|LCM|100|Fly|51.98|Junior Pan Pacific Swimming Championships|FIN|False</t>
        </is>
      </c>
      <c r="AE2778" s="53">
        <f>G2778+L2778/1000+ROW()/1000000000</f>
        <v/>
      </c>
      <c r="AF2778" s="35">
        <f>IF(C2778&lt;&gt;"Grayson Coulter","",COUNTIFS($C$5:$C$2991,"Grayson Coulter",$Q$5:$Q$2991,Q2778,$AE$5:$AE$2991,"&lt;="&amp;AE2778,$R$5:$R$2991,"&lt;"&amp;R2778))</f>
        <v/>
      </c>
      <c r="AG2778" s="35">
        <f>IF(OR(C2778&lt;&gt;"Grayson Coulter",G2778&lt;'00_Control'!$B$7),"",--(AF2778&lt;5))</f>
        <v/>
      </c>
      <c r="AH2778" s="35">
        <f>IF(OR(C2778&lt;&gt;"Grayson Coulter",G2778&lt;'00_Control'!$B$7),"",--(AF2778&lt;10))</f>
        <v/>
      </c>
      <c r="AI2778" s="35">
        <f>IF(AND(C2778="Grayson Coulter",G2778&gt;='00_Control'!$B$7),"YES","NO")</f>
        <v/>
      </c>
      <c r="AJ2778" s="33" t="inlineStr">
        <is>
          <t>OK</t>
        </is>
      </c>
    </row>
    <row r="2779">
      <c r="A2779" s="33" t="inlineStr">
        <is>
          <t>SM002775</t>
        </is>
      </c>
      <c r="B2779" s="33" t="inlineStr">
        <is>
          <t>SW005</t>
        </is>
      </c>
      <c r="C2779" s="33" t="inlineStr">
        <is>
          <t>Thomas Heilman</t>
        </is>
      </c>
      <c r="D2779" s="33" t="inlineStr">
        <is>
          <t>SwimCloud</t>
        </is>
      </c>
      <c r="E2779" s="33" t="inlineStr">
        <is>
          <t>1336401</t>
        </is>
      </c>
      <c r="F2779" s="33" t="inlineStr">
        <is>
          <t>77084721</t>
        </is>
      </c>
      <c r="G2779" s="51" t="n">
        <v>44799</v>
      </c>
      <c r="H2779" s="33" t="inlineStr">
        <is>
          <t>Junior Pan Pacific Swimming Championships</t>
        </is>
      </c>
      <c r="I2779" s="33" t="inlineStr">
        <is>
          <t>238371</t>
        </is>
      </c>
      <c r="J2779" s="33" t="inlineStr"/>
      <c r="K2779" s="33" t="inlineStr">
        <is>
          <t>TIM</t>
        </is>
      </c>
      <c r="L2779" s="35">
        <f>IF(K2779="FIN",3,IF(OR(K2779="SEM",K2779="SEMI"),2,IF(OR(K2779="PRE",K2779="HEAT"),1,IF(V2779="YES",4,2))))</f>
        <v/>
      </c>
      <c r="M2779" s="33" t="inlineStr">
        <is>
          <t>LCM</t>
        </is>
      </c>
      <c r="N2779" s="33" t="n">
        <v>100</v>
      </c>
      <c r="O2779" s="33" t="inlineStr">
        <is>
          <t>Free</t>
        </is>
      </c>
      <c r="P2779" s="33" t="inlineStr">
        <is>
          <t>100 Free</t>
        </is>
      </c>
      <c r="Q2779" s="33" t="inlineStr">
        <is>
          <t>LCM_100_FREE</t>
        </is>
      </c>
      <c r="R2779" s="36" t="n">
        <v>49.14</v>
      </c>
      <c r="S2779" s="35">
        <f>IF(R2779="","",IF(R2779&gt;=60,INT(R2779/60)&amp;":"&amp;TEXT(MOD(R2779,60),"00.00"),TEXT(R2779,"0.00")))</f>
        <v/>
      </c>
      <c r="T2779" s="52">
        <f>IFERROR((G2779-INDEX('01_Swimmers'!$E$5:$E$22,MATCH(B2779,'01_Swimmers'!$A$5:$A$22,0)))/'00_Control'!$B$10,"")</f>
        <v/>
      </c>
      <c r="U2779" s="35">
        <f>IF(T2779="","",INT(T2779))</f>
        <v/>
      </c>
      <c r="V2779" s="33" t="inlineStr">
        <is>
          <t>YES</t>
        </is>
      </c>
      <c r="W2779" s="33" t="inlineStr">
        <is>
          <t>YES</t>
        </is>
      </c>
      <c r="X2779" s="33" t="inlineStr">
        <is>
          <t>NO</t>
        </is>
      </c>
      <c r="Y2779" s="33" t="n">
        <v>2</v>
      </c>
      <c r="Z2779" s="33" t="n">
        <v>6</v>
      </c>
      <c r="AA2779" s="33" t="inlineStr"/>
      <c r="AB2779" s="33" t="inlineStr">
        <is>
          <t>https://www.swimcloud.com/results/238371/event/25/?id=77084528#time77084528</t>
        </is>
      </c>
      <c r="AC2779" s="33" t="inlineStr">
        <is>
          <t>SwimCloud API v6 2026-10-08</t>
        </is>
      </c>
      <c r="AD2779" s="33" t="inlineStr">
        <is>
          <t>Thomas Heilman|2022-08-26|LCM|100|Free|49.14|Junior Pan Pacific Swimming Championships|TIM|True</t>
        </is>
      </c>
      <c r="AE2779" s="53">
        <f>G2779+L2779/1000+ROW()/1000000000</f>
        <v/>
      </c>
      <c r="AF2779" s="35">
        <f>IF(C2779&lt;&gt;"Grayson Coulter","",COUNTIFS($C$5:$C$2991,"Grayson Coulter",$Q$5:$Q$2991,Q2779,$AE$5:$AE$2991,"&lt;="&amp;AE2779,$R$5:$R$2991,"&lt;"&amp;R2779))</f>
        <v/>
      </c>
      <c r="AG2779" s="35">
        <f>IF(OR(C2779&lt;&gt;"Grayson Coulter",G2779&lt;'00_Control'!$B$7),"",--(AF2779&lt;5))</f>
        <v/>
      </c>
      <c r="AH2779" s="35">
        <f>IF(OR(C2779&lt;&gt;"Grayson Coulter",G2779&lt;'00_Control'!$B$7),"",--(AF2779&lt;10))</f>
        <v/>
      </c>
      <c r="AI2779" s="35">
        <f>IF(AND(C2779="Grayson Coulter",G2779&gt;='00_Control'!$B$7),"YES","NO")</f>
        <v/>
      </c>
      <c r="AJ2779" s="33" t="inlineStr">
        <is>
          <t>OK</t>
        </is>
      </c>
    </row>
    <row r="2780">
      <c r="A2780" s="33" t="inlineStr">
        <is>
          <t>SM002776</t>
        </is>
      </c>
      <c r="B2780" s="33" t="inlineStr">
        <is>
          <t>SW005</t>
        </is>
      </c>
      <c r="C2780" s="33" t="inlineStr">
        <is>
          <t>Thomas Heilman</t>
        </is>
      </c>
      <c r="D2780" s="33" t="inlineStr">
        <is>
          <t>SwimCloud</t>
        </is>
      </c>
      <c r="E2780" s="33" t="inlineStr">
        <is>
          <t>1336401</t>
        </is>
      </c>
      <c r="F2780" s="33" t="inlineStr">
        <is>
          <t>86731041</t>
        </is>
      </c>
      <c r="G2780" s="51" t="n">
        <v>44868</v>
      </c>
      <c r="H2780" s="33" t="inlineStr">
        <is>
          <t>FINA World Cup - Indianapolis</t>
        </is>
      </c>
      <c r="I2780" s="33" t="inlineStr">
        <is>
          <t>234876</t>
        </is>
      </c>
      <c r="J2780" s="33" t="inlineStr"/>
      <c r="K2780" s="33" t="inlineStr">
        <is>
          <t>PRE</t>
        </is>
      </c>
      <c r="L2780" s="35">
        <f>IF(K2780="FIN",3,IF(OR(K2780="SEM",K2780="SEMI"),2,IF(OR(K2780="PRE",K2780="HEAT"),1,IF(V2780="YES",4,2))))</f>
        <v/>
      </c>
      <c r="M2780" s="33" t="inlineStr">
        <is>
          <t>SCM</t>
        </is>
      </c>
      <c r="N2780" s="33" t="n">
        <v>100</v>
      </c>
      <c r="O2780" s="33" t="inlineStr">
        <is>
          <t>Fly</t>
        </is>
      </c>
      <c r="P2780" s="33" t="inlineStr">
        <is>
          <t>100 Fly</t>
        </is>
      </c>
      <c r="Q2780" s="33" t="inlineStr">
        <is>
          <t>SCM_100_FLY</t>
        </is>
      </c>
      <c r="R2780" s="36" t="n">
        <v>51.68</v>
      </c>
      <c r="S2780" s="35">
        <f>IF(R2780="","",IF(R2780&gt;=60,INT(R2780/60)&amp;":"&amp;TEXT(MOD(R2780,60),"00.00"),TEXT(R2780,"0.00")))</f>
        <v/>
      </c>
      <c r="T2780" s="52">
        <f>IFERROR((G2780-INDEX('01_Swimmers'!$E$5:$E$22,MATCH(B2780,'01_Swimmers'!$A$5:$A$22,0)))/'00_Control'!$B$10,"")</f>
        <v/>
      </c>
      <c r="U2780" s="35">
        <f>IF(T2780="","",INT(T2780))</f>
        <v/>
      </c>
      <c r="V2780" s="33" t="inlineStr">
        <is>
          <t>NO</t>
        </is>
      </c>
      <c r="W2780" s="33" t="inlineStr">
        <is>
          <t>YES</t>
        </is>
      </c>
      <c r="X2780" s="33" t="inlineStr">
        <is>
          <t>NO</t>
        </is>
      </c>
      <c r="Y2780" s="33" t="n">
        <v>6</v>
      </c>
      <c r="Z2780" s="33" t="n">
        <v>8</v>
      </c>
      <c r="AA2780" s="33" t="inlineStr">
        <is>
          <t>18</t>
        </is>
      </c>
      <c r="AB2780" s="33" t="inlineStr">
        <is>
          <t>https://www.swimcloud.com/results/234876/event/6/?id=86731041#time86731041</t>
        </is>
      </c>
      <c r="AC2780" s="33" t="inlineStr">
        <is>
          <t>SwimCloud API v6 2026-10-08</t>
        </is>
      </c>
      <c r="AD2780" s="33" t="inlineStr">
        <is>
          <t>Thomas Heilman|2022-11-03|SCM|100|Fly|51.68|FINA World Cup - Indianapolis|PRE|False</t>
        </is>
      </c>
      <c r="AE2780" s="53">
        <f>G2780+L2780/1000+ROW()/1000000000</f>
        <v/>
      </c>
      <c r="AF2780" s="35">
        <f>IF(C2780&lt;&gt;"Grayson Coulter","",COUNTIFS($C$5:$C$2991,"Grayson Coulter",$Q$5:$Q$2991,Q2780,$AE$5:$AE$2991,"&lt;="&amp;AE2780,$R$5:$R$2991,"&lt;"&amp;R2780))</f>
        <v/>
      </c>
      <c r="AG2780" s="35">
        <f>IF(OR(C2780&lt;&gt;"Grayson Coulter",G2780&lt;'00_Control'!$B$7),"",--(AF2780&lt;5))</f>
        <v/>
      </c>
      <c r="AH2780" s="35">
        <f>IF(OR(C2780&lt;&gt;"Grayson Coulter",G2780&lt;'00_Control'!$B$7),"",--(AF2780&lt;10))</f>
        <v/>
      </c>
      <c r="AI2780" s="35">
        <f>IF(AND(C2780="Grayson Coulter",G2780&gt;='00_Control'!$B$7),"YES","NO")</f>
        <v/>
      </c>
      <c r="AJ2780" s="33" t="inlineStr">
        <is>
          <t>OK</t>
        </is>
      </c>
    </row>
    <row r="2781">
      <c r="A2781" s="33" t="inlineStr">
        <is>
          <t>SM002777</t>
        </is>
      </c>
      <c r="B2781" s="33" t="inlineStr">
        <is>
          <t>SW005</t>
        </is>
      </c>
      <c r="C2781" s="33" t="inlineStr">
        <is>
          <t>Thomas Heilman</t>
        </is>
      </c>
      <c r="D2781" s="33" t="inlineStr">
        <is>
          <t>SwimCloud</t>
        </is>
      </c>
      <c r="E2781" s="33" t="inlineStr">
        <is>
          <t>1336401</t>
        </is>
      </c>
      <c r="F2781" s="33" t="inlineStr">
        <is>
          <t>86730548</t>
        </is>
      </c>
      <c r="G2781" s="51" t="n">
        <v>44869</v>
      </c>
      <c r="H2781" s="33" t="inlineStr">
        <is>
          <t>FINA World Cup - Indianapolis</t>
        </is>
      </c>
      <c r="I2781" s="33" t="inlineStr">
        <is>
          <t>234876</t>
        </is>
      </c>
      <c r="J2781" s="33" t="inlineStr"/>
      <c r="K2781" s="33" t="inlineStr">
        <is>
          <t>PRE</t>
        </is>
      </c>
      <c r="L2781" s="35">
        <f>IF(K2781="FIN",3,IF(OR(K2781="SEM",K2781="SEMI"),2,IF(OR(K2781="PRE",K2781="HEAT"),1,IF(V2781="YES",4,2))))</f>
        <v/>
      </c>
      <c r="M2781" s="33" t="inlineStr">
        <is>
          <t>SCM</t>
        </is>
      </c>
      <c r="N2781" s="33" t="n">
        <v>100</v>
      </c>
      <c r="O2781" s="33" t="inlineStr">
        <is>
          <t>Free</t>
        </is>
      </c>
      <c r="P2781" s="33" t="inlineStr">
        <is>
          <t>100 Free</t>
        </is>
      </c>
      <c r="Q2781" s="33" t="inlineStr">
        <is>
          <t>SCM_100_FREE</t>
        </is>
      </c>
      <c r="R2781" s="36" t="n">
        <v>48.32</v>
      </c>
      <c r="S2781" s="35">
        <f>IF(R2781="","",IF(R2781&gt;=60,INT(R2781/60)&amp;":"&amp;TEXT(MOD(R2781,60),"00.00"),TEXT(R2781,"0.00")))</f>
        <v/>
      </c>
      <c r="T2781" s="52">
        <f>IFERROR((G2781-INDEX('01_Swimmers'!$E$5:$E$22,MATCH(B2781,'01_Swimmers'!$A$5:$A$22,0)))/'00_Control'!$B$10,"")</f>
        <v/>
      </c>
      <c r="U2781" s="35">
        <f>IF(T2781="","",INT(T2781))</f>
        <v/>
      </c>
      <c r="V2781" s="33" t="inlineStr">
        <is>
          <t>NO</t>
        </is>
      </c>
      <c r="W2781" s="33" t="inlineStr">
        <is>
          <t>YES</t>
        </is>
      </c>
      <c r="X2781" s="33" t="inlineStr">
        <is>
          <t>NO</t>
        </is>
      </c>
      <c r="Y2781" s="33" t="n">
        <v>10</v>
      </c>
      <c r="Z2781" s="33" t="n">
        <v>8</v>
      </c>
      <c r="AA2781" s="33" t="inlineStr">
        <is>
          <t>22</t>
        </is>
      </c>
      <c r="AB2781" s="33" t="inlineStr">
        <is>
          <t>https://www.swimcloud.com/results/234876/event/20/?id=86730548#time86730548</t>
        </is>
      </c>
      <c r="AC2781" s="33" t="inlineStr">
        <is>
          <t>SwimCloud API v6 2026-10-08</t>
        </is>
      </c>
      <c r="AD2781" s="33" t="inlineStr">
        <is>
          <t>Thomas Heilman|2022-11-04|SCM|100|Free|48.32|FINA World Cup - Indianapolis|PRE|False</t>
        </is>
      </c>
      <c r="AE2781" s="53">
        <f>G2781+L2781/1000+ROW()/1000000000</f>
        <v/>
      </c>
      <c r="AF2781" s="35">
        <f>IF(C2781&lt;&gt;"Grayson Coulter","",COUNTIFS($C$5:$C$2991,"Grayson Coulter",$Q$5:$Q$2991,Q2781,$AE$5:$AE$2991,"&lt;="&amp;AE2781,$R$5:$R$2991,"&lt;"&amp;R2781))</f>
        <v/>
      </c>
      <c r="AG2781" s="35">
        <f>IF(OR(C2781&lt;&gt;"Grayson Coulter",G2781&lt;'00_Control'!$B$7),"",--(AF2781&lt;5))</f>
        <v/>
      </c>
      <c r="AH2781" s="35">
        <f>IF(OR(C2781&lt;&gt;"Grayson Coulter",G2781&lt;'00_Control'!$B$7),"",--(AF2781&lt;10))</f>
        <v/>
      </c>
      <c r="AI2781" s="35">
        <f>IF(AND(C2781="Grayson Coulter",G2781&gt;='00_Control'!$B$7),"YES","NO")</f>
        <v/>
      </c>
      <c r="AJ2781" s="33" t="inlineStr">
        <is>
          <t>OK</t>
        </is>
      </c>
    </row>
    <row r="2782">
      <c r="A2782" s="33" t="inlineStr">
        <is>
          <t>SM002778</t>
        </is>
      </c>
      <c r="B2782" s="33" t="inlineStr">
        <is>
          <t>SW005</t>
        </is>
      </c>
      <c r="C2782" s="33" t="inlineStr">
        <is>
          <t>Thomas Heilman</t>
        </is>
      </c>
      <c r="D2782" s="33" t="inlineStr">
        <is>
          <t>SwimCloud</t>
        </is>
      </c>
      <c r="E2782" s="33" t="inlineStr">
        <is>
          <t>1336401</t>
        </is>
      </c>
      <c r="F2782" s="33" t="inlineStr">
        <is>
          <t>86730688</t>
        </is>
      </c>
      <c r="G2782" s="51" t="n">
        <v>44870</v>
      </c>
      <c r="H2782" s="33" t="inlineStr">
        <is>
          <t>FINA World Cup - Indianapolis</t>
        </is>
      </c>
      <c r="I2782" s="33" t="inlineStr">
        <is>
          <t>234876</t>
        </is>
      </c>
      <c r="J2782" s="33" t="inlineStr"/>
      <c r="K2782" s="33" t="inlineStr">
        <is>
          <t>PRE</t>
        </is>
      </c>
      <c r="L2782" s="35">
        <f>IF(K2782="FIN",3,IF(OR(K2782="SEM",K2782="SEMI"),2,IF(OR(K2782="PRE",K2782="HEAT"),1,IF(V2782="YES",4,2))))</f>
        <v/>
      </c>
      <c r="M2782" s="33" t="inlineStr">
        <is>
          <t>SCM</t>
        </is>
      </c>
      <c r="N2782" s="33" t="n">
        <v>200</v>
      </c>
      <c r="O2782" s="33" t="inlineStr">
        <is>
          <t>Free</t>
        </is>
      </c>
      <c r="P2782" s="33" t="inlineStr">
        <is>
          <t>200 Free</t>
        </is>
      </c>
      <c r="Q2782" s="33" t="inlineStr">
        <is>
          <t>SCM_200_FREE</t>
        </is>
      </c>
      <c r="R2782" s="36" t="n">
        <v>108.75</v>
      </c>
      <c r="S2782" s="35">
        <f>IF(R2782="","",IF(R2782&gt;=60,INT(R2782/60)&amp;":"&amp;TEXT(MOD(R2782,60),"00.00"),TEXT(R2782,"0.00")))</f>
        <v/>
      </c>
      <c r="T2782" s="52">
        <f>IFERROR((G2782-INDEX('01_Swimmers'!$E$5:$E$22,MATCH(B2782,'01_Swimmers'!$A$5:$A$22,0)))/'00_Control'!$B$10,"")</f>
        <v/>
      </c>
      <c r="U2782" s="35">
        <f>IF(T2782="","",INT(T2782))</f>
        <v/>
      </c>
      <c r="V2782" s="33" t="inlineStr">
        <is>
          <t>NO</t>
        </is>
      </c>
      <c r="W2782" s="33" t="inlineStr">
        <is>
          <t>YES</t>
        </is>
      </c>
      <c r="X2782" s="33" t="inlineStr">
        <is>
          <t>NO</t>
        </is>
      </c>
      <c r="Y2782" s="33" t="n">
        <v>4</v>
      </c>
      <c r="Z2782" s="33" t="n">
        <v>5</v>
      </c>
      <c r="AA2782" s="33" t="inlineStr">
        <is>
          <t>32</t>
        </is>
      </c>
      <c r="AB2782" s="33" t="inlineStr">
        <is>
          <t>https://www.swimcloud.com/results/234876/event/32/?id=86730688#time86730688</t>
        </is>
      </c>
      <c r="AC2782" s="33" t="inlineStr">
        <is>
          <t>SwimCloud API v6 2026-10-08</t>
        </is>
      </c>
      <c r="AD2782" s="33" t="inlineStr">
        <is>
          <t>Thomas Heilman|2022-11-05|SCM|200|Free|108.75|FINA World Cup - Indianapolis|PRE|False</t>
        </is>
      </c>
      <c r="AE2782" s="53">
        <f>G2782+L2782/1000+ROW()/1000000000</f>
        <v/>
      </c>
      <c r="AF2782" s="35">
        <f>IF(C2782&lt;&gt;"Grayson Coulter","",COUNTIFS($C$5:$C$2991,"Grayson Coulter",$Q$5:$Q$2991,Q2782,$AE$5:$AE$2991,"&lt;="&amp;AE2782,$R$5:$R$2991,"&lt;"&amp;R2782))</f>
        <v/>
      </c>
      <c r="AG2782" s="35">
        <f>IF(OR(C2782&lt;&gt;"Grayson Coulter",G2782&lt;'00_Control'!$B$7),"",--(AF2782&lt;5))</f>
        <v/>
      </c>
      <c r="AH2782" s="35">
        <f>IF(OR(C2782&lt;&gt;"Grayson Coulter",G2782&lt;'00_Control'!$B$7),"",--(AF2782&lt;10))</f>
        <v/>
      </c>
      <c r="AI2782" s="35">
        <f>IF(AND(C2782="Grayson Coulter",G2782&gt;='00_Control'!$B$7),"YES","NO")</f>
        <v/>
      </c>
      <c r="AJ2782" s="33" t="inlineStr">
        <is>
          <t>OK</t>
        </is>
      </c>
    </row>
    <row r="2783">
      <c r="A2783" s="33" t="inlineStr">
        <is>
          <t>SM002779</t>
        </is>
      </c>
      <c r="B2783" s="33" t="inlineStr">
        <is>
          <t>SW005</t>
        </is>
      </c>
      <c r="C2783" s="33" t="inlineStr">
        <is>
          <t>Thomas Heilman</t>
        </is>
      </c>
      <c r="D2783" s="33" t="inlineStr">
        <is>
          <t>SwimCloud</t>
        </is>
      </c>
      <c r="E2783" s="33" t="inlineStr">
        <is>
          <t>1336401</t>
        </is>
      </c>
      <c r="F2783" s="33" t="inlineStr">
        <is>
          <t>100341277</t>
        </is>
      </c>
      <c r="G2783" s="51" t="n">
        <v>45029</v>
      </c>
      <c r="H2783" s="33" t="inlineStr">
        <is>
          <t>TYR Pro Swim Series - Westmont</t>
        </is>
      </c>
      <c r="I2783" s="33" t="inlineStr">
        <is>
          <t>253796</t>
        </is>
      </c>
      <c r="J2783" s="33" t="inlineStr"/>
      <c r="K2783" s="33" t="inlineStr">
        <is>
          <t>PRE</t>
        </is>
      </c>
      <c r="L2783" s="35">
        <f>IF(K2783="FIN",3,IF(OR(K2783="SEM",K2783="SEMI"),2,IF(OR(K2783="PRE",K2783="HEAT"),1,IF(V2783="YES",4,2))))</f>
        <v/>
      </c>
      <c r="M2783" s="33" t="inlineStr">
        <is>
          <t>LCM</t>
        </is>
      </c>
      <c r="N2783" s="33" t="n">
        <v>100</v>
      </c>
      <c r="O2783" s="33" t="inlineStr">
        <is>
          <t>Fly</t>
        </is>
      </c>
      <c r="P2783" s="33" t="inlineStr">
        <is>
          <t>100 Fly</t>
        </is>
      </c>
      <c r="Q2783" s="33" t="inlineStr">
        <is>
          <t>LCM_100_FLY</t>
        </is>
      </c>
      <c r="R2783" s="36" t="n">
        <v>53.26</v>
      </c>
      <c r="S2783" s="35">
        <f>IF(R2783="","",IF(R2783&gt;=60,INT(R2783/60)&amp;":"&amp;TEXT(MOD(R2783,60),"00.00"),TEXT(R2783,"0.00")))</f>
        <v/>
      </c>
      <c r="T2783" s="52">
        <f>IFERROR((G2783-INDEX('01_Swimmers'!$E$5:$E$22,MATCH(B2783,'01_Swimmers'!$A$5:$A$22,0)))/'00_Control'!$B$10,"")</f>
        <v/>
      </c>
      <c r="U2783" s="35">
        <f>IF(T2783="","",INT(T2783))</f>
        <v/>
      </c>
      <c r="V2783" s="33" t="inlineStr">
        <is>
          <t>NO</t>
        </is>
      </c>
      <c r="W2783" s="33" t="inlineStr">
        <is>
          <t>YES</t>
        </is>
      </c>
      <c r="X2783" s="33" t="inlineStr">
        <is>
          <t>NO</t>
        </is>
      </c>
      <c r="Y2783" s="33" t="n">
        <v>9</v>
      </c>
      <c r="Z2783" s="33" t="n">
        <v>7</v>
      </c>
      <c r="AA2783" s="33" t="inlineStr">
        <is>
          <t>13</t>
        </is>
      </c>
      <c r="AB2783" s="33" t="inlineStr">
        <is>
          <t>https://www.swimcloud.com/results/253796/event/10/?id=100341277#time100341277</t>
        </is>
      </c>
      <c r="AC2783" s="33" t="inlineStr">
        <is>
          <t>SwimCloud API v6 2026-10-08</t>
        </is>
      </c>
      <c r="AD2783" s="33" t="inlineStr">
        <is>
          <t>Thomas Heilman|2023-04-13|LCM|100|Fly|53.26|TYR Pro Swim Series - Westmont|PRE|False</t>
        </is>
      </c>
      <c r="AE2783" s="53">
        <f>G2783+L2783/1000+ROW()/1000000000</f>
        <v/>
      </c>
      <c r="AF2783" s="35">
        <f>IF(C2783&lt;&gt;"Grayson Coulter","",COUNTIFS($C$5:$C$2991,"Grayson Coulter",$Q$5:$Q$2991,Q2783,$AE$5:$AE$2991,"&lt;="&amp;AE2783,$R$5:$R$2991,"&lt;"&amp;R2783))</f>
        <v/>
      </c>
      <c r="AG2783" s="35">
        <f>IF(OR(C2783&lt;&gt;"Grayson Coulter",G2783&lt;'00_Control'!$B$7),"",--(AF2783&lt;5))</f>
        <v/>
      </c>
      <c r="AH2783" s="35">
        <f>IF(OR(C2783&lt;&gt;"Grayson Coulter",G2783&lt;'00_Control'!$B$7),"",--(AF2783&lt;10))</f>
        <v/>
      </c>
      <c r="AI2783" s="35">
        <f>IF(AND(C2783="Grayson Coulter",G2783&gt;='00_Control'!$B$7),"YES","NO")</f>
        <v/>
      </c>
      <c r="AJ2783" s="33" t="inlineStr">
        <is>
          <t>OK</t>
        </is>
      </c>
    </row>
    <row r="2784">
      <c r="A2784" s="33" t="inlineStr">
        <is>
          <t>SM002780</t>
        </is>
      </c>
      <c r="B2784" s="33" t="inlineStr">
        <is>
          <t>SW005</t>
        </is>
      </c>
      <c r="C2784" s="33" t="inlineStr">
        <is>
          <t>Thomas Heilman</t>
        </is>
      </c>
      <c r="D2784" s="33" t="inlineStr">
        <is>
          <t>SwimCloud</t>
        </is>
      </c>
      <c r="E2784" s="33" t="inlineStr">
        <is>
          <t>1336401</t>
        </is>
      </c>
      <c r="F2784" s="33" t="inlineStr">
        <is>
          <t>100341276</t>
        </is>
      </c>
      <c r="G2784" s="51" t="n">
        <v>45029</v>
      </c>
      <c r="H2784" s="33" t="inlineStr">
        <is>
          <t>TYR Pro Swim Series - Westmont</t>
        </is>
      </c>
      <c r="I2784" s="33" t="inlineStr">
        <is>
          <t>253796</t>
        </is>
      </c>
      <c r="J2784" s="33" t="inlineStr"/>
      <c r="K2784" s="33" t="inlineStr">
        <is>
          <t>FIN</t>
        </is>
      </c>
      <c r="L2784" s="35">
        <f>IF(K2784="FIN",3,IF(OR(K2784="SEM",K2784="SEMI"),2,IF(OR(K2784="PRE",K2784="HEAT"),1,IF(V2784="YES",4,2))))</f>
        <v/>
      </c>
      <c r="M2784" s="33" t="inlineStr">
        <is>
          <t>LCM</t>
        </is>
      </c>
      <c r="N2784" s="33" t="n">
        <v>100</v>
      </c>
      <c r="O2784" s="33" t="inlineStr">
        <is>
          <t>Fly</t>
        </is>
      </c>
      <c r="P2784" s="33" t="inlineStr">
        <is>
          <t>100 Fly</t>
        </is>
      </c>
      <c r="Q2784" s="33" t="inlineStr">
        <is>
          <t>LCM_100_FLY</t>
        </is>
      </c>
      <c r="R2784" s="36" t="n">
        <v>52.88</v>
      </c>
      <c r="S2784" s="35">
        <f>IF(R2784="","",IF(R2784&gt;=60,INT(R2784/60)&amp;":"&amp;TEXT(MOD(R2784,60),"00.00"),TEXT(R2784,"0.00")))</f>
        <v/>
      </c>
      <c r="T2784" s="52">
        <f>IFERROR((G2784-INDEX('01_Swimmers'!$E$5:$E$22,MATCH(B2784,'01_Swimmers'!$A$5:$A$22,0)))/'00_Control'!$B$10,"")</f>
        <v/>
      </c>
      <c r="U2784" s="35">
        <f>IF(T2784="","",INT(T2784))</f>
        <v/>
      </c>
      <c r="V2784" s="33" t="inlineStr">
        <is>
          <t>NO</t>
        </is>
      </c>
      <c r="W2784" s="33" t="inlineStr">
        <is>
          <t>YES</t>
        </is>
      </c>
      <c r="X2784" s="33" t="inlineStr">
        <is>
          <t>NO</t>
        </is>
      </c>
      <c r="Y2784" s="33" t="n">
        <v>2</v>
      </c>
      <c r="Z2784" s="33" t="n">
        <v>2</v>
      </c>
      <c r="AA2784" s="33" t="inlineStr">
        <is>
          <t>12</t>
        </is>
      </c>
      <c r="AB2784" s="33" t="inlineStr">
        <is>
          <t>https://www.swimcloud.com/results/253796/event/10/?id=100341276#time100341276</t>
        </is>
      </c>
      <c r="AC2784" s="33" t="inlineStr">
        <is>
          <t>SwimCloud API v6 2026-10-08</t>
        </is>
      </c>
      <c r="AD2784" s="33" t="inlineStr">
        <is>
          <t>Thomas Heilman|2023-04-13|LCM|100|Fly|52.88|TYR Pro Swim Series - Westmont|FIN|False</t>
        </is>
      </c>
      <c r="AE2784" s="53">
        <f>G2784+L2784/1000+ROW()/1000000000</f>
        <v/>
      </c>
      <c r="AF2784" s="35">
        <f>IF(C2784&lt;&gt;"Grayson Coulter","",COUNTIFS($C$5:$C$2991,"Grayson Coulter",$Q$5:$Q$2991,Q2784,$AE$5:$AE$2991,"&lt;="&amp;AE2784,$R$5:$R$2991,"&lt;"&amp;R2784))</f>
        <v/>
      </c>
      <c r="AG2784" s="35">
        <f>IF(OR(C2784&lt;&gt;"Grayson Coulter",G2784&lt;'00_Control'!$B$7),"",--(AF2784&lt;5))</f>
        <v/>
      </c>
      <c r="AH2784" s="35">
        <f>IF(OR(C2784&lt;&gt;"Grayson Coulter",G2784&lt;'00_Control'!$B$7),"",--(AF2784&lt;10))</f>
        <v/>
      </c>
      <c r="AI2784" s="35">
        <f>IF(AND(C2784="Grayson Coulter",G2784&gt;='00_Control'!$B$7),"YES","NO")</f>
        <v/>
      </c>
      <c r="AJ2784" s="33" t="inlineStr">
        <is>
          <t>OK</t>
        </is>
      </c>
    </row>
    <row r="2785">
      <c r="A2785" s="33" t="inlineStr">
        <is>
          <t>SM002781</t>
        </is>
      </c>
      <c r="B2785" s="33" t="inlineStr">
        <is>
          <t>SW005</t>
        </is>
      </c>
      <c r="C2785" s="33" t="inlineStr">
        <is>
          <t>Thomas Heilman</t>
        </is>
      </c>
      <c r="D2785" s="33" t="inlineStr">
        <is>
          <t>SwimCloud</t>
        </is>
      </c>
      <c r="E2785" s="33" t="inlineStr">
        <is>
          <t>1336401</t>
        </is>
      </c>
      <c r="F2785" s="33" t="inlineStr">
        <is>
          <t>100341283</t>
        </is>
      </c>
      <c r="G2785" s="51" t="n">
        <v>45029</v>
      </c>
      <c r="H2785" s="33" t="inlineStr">
        <is>
          <t>TYR Pro Swim Series - Westmont</t>
        </is>
      </c>
      <c r="I2785" s="33" t="inlineStr">
        <is>
          <t>253796</t>
        </is>
      </c>
      <c r="J2785" s="33" t="inlineStr"/>
      <c r="K2785" s="33" t="inlineStr">
        <is>
          <t>PRE</t>
        </is>
      </c>
      <c r="L2785" s="35">
        <f>IF(K2785="FIN",3,IF(OR(K2785="SEM",K2785="SEMI"),2,IF(OR(K2785="PRE",K2785="HEAT"),1,IF(V2785="YES",4,2))))</f>
        <v/>
      </c>
      <c r="M2785" s="33" t="inlineStr">
        <is>
          <t>LCM</t>
        </is>
      </c>
      <c r="N2785" s="33" t="n">
        <v>200</v>
      </c>
      <c r="O2785" s="33" t="inlineStr">
        <is>
          <t>Free</t>
        </is>
      </c>
      <c r="P2785" s="33" t="inlineStr">
        <is>
          <t>200 Free</t>
        </is>
      </c>
      <c r="Q2785" s="33" t="inlineStr">
        <is>
          <t>LCM_200_FREE</t>
        </is>
      </c>
      <c r="R2785" s="36" t="n">
        <v>111.03</v>
      </c>
      <c r="S2785" s="35">
        <f>IF(R2785="","",IF(R2785&gt;=60,INT(R2785/60)&amp;":"&amp;TEXT(MOD(R2785,60),"00.00"),TEXT(R2785,"0.00")))</f>
        <v/>
      </c>
      <c r="T2785" s="52">
        <f>IFERROR((G2785-INDEX('01_Swimmers'!$E$5:$E$22,MATCH(B2785,'01_Swimmers'!$A$5:$A$22,0)))/'00_Control'!$B$10,"")</f>
        <v/>
      </c>
      <c r="U2785" s="35">
        <f>IF(T2785="","",INT(T2785))</f>
        <v/>
      </c>
      <c r="V2785" s="33" t="inlineStr">
        <is>
          <t>NO</t>
        </is>
      </c>
      <c r="W2785" s="33" t="inlineStr">
        <is>
          <t>YES</t>
        </is>
      </c>
      <c r="X2785" s="33" t="inlineStr">
        <is>
          <t>NO</t>
        </is>
      </c>
      <c r="Y2785" s="33" t="n">
        <v>7</v>
      </c>
      <c r="Z2785" s="33" t="n">
        <v>9</v>
      </c>
      <c r="AA2785" s="33" t="inlineStr">
        <is>
          <t>17</t>
        </is>
      </c>
      <c r="AB2785" s="33" t="inlineStr">
        <is>
          <t>https://www.swimcloud.com/results/253796/event/4/?id=100341283#time100341283</t>
        </is>
      </c>
      <c r="AC2785" s="33" t="inlineStr">
        <is>
          <t>SwimCloud API v6 2026-10-08</t>
        </is>
      </c>
      <c r="AD2785" s="33" t="inlineStr">
        <is>
          <t>Thomas Heilman|2023-04-13|LCM|200|Free|111.03|TYR Pro Swim Series - Westmont|PRE|False</t>
        </is>
      </c>
      <c r="AE2785" s="53">
        <f>G2785+L2785/1000+ROW()/1000000000</f>
        <v/>
      </c>
      <c r="AF2785" s="35">
        <f>IF(C2785&lt;&gt;"Grayson Coulter","",COUNTIFS($C$5:$C$2991,"Grayson Coulter",$Q$5:$Q$2991,Q2785,$AE$5:$AE$2991,"&lt;="&amp;AE2785,$R$5:$R$2991,"&lt;"&amp;R2785))</f>
        <v/>
      </c>
      <c r="AG2785" s="35">
        <f>IF(OR(C2785&lt;&gt;"Grayson Coulter",G2785&lt;'00_Control'!$B$7),"",--(AF2785&lt;5))</f>
        <v/>
      </c>
      <c r="AH2785" s="35">
        <f>IF(OR(C2785&lt;&gt;"Grayson Coulter",G2785&lt;'00_Control'!$B$7),"",--(AF2785&lt;10))</f>
        <v/>
      </c>
      <c r="AI2785" s="35">
        <f>IF(AND(C2785="Grayson Coulter",G2785&gt;='00_Control'!$B$7),"YES","NO")</f>
        <v/>
      </c>
      <c r="AJ2785" s="33" t="inlineStr">
        <is>
          <t>OK</t>
        </is>
      </c>
    </row>
    <row r="2786">
      <c r="A2786" s="33" t="inlineStr">
        <is>
          <t>SM002782</t>
        </is>
      </c>
      <c r="B2786" s="33" t="inlineStr">
        <is>
          <t>SW005</t>
        </is>
      </c>
      <c r="C2786" s="33" t="inlineStr">
        <is>
          <t>Thomas Heilman</t>
        </is>
      </c>
      <c r="D2786" s="33" t="inlineStr">
        <is>
          <t>SwimCloud</t>
        </is>
      </c>
      <c r="E2786" s="33" t="inlineStr">
        <is>
          <t>1336401</t>
        </is>
      </c>
      <c r="F2786" s="33" t="inlineStr">
        <is>
          <t>100341282</t>
        </is>
      </c>
      <c r="G2786" s="51" t="n">
        <v>45029</v>
      </c>
      <c r="H2786" s="33" t="inlineStr">
        <is>
          <t>TYR Pro Swim Series - Westmont</t>
        </is>
      </c>
      <c r="I2786" s="33" t="inlineStr">
        <is>
          <t>253796</t>
        </is>
      </c>
      <c r="J2786" s="33" t="inlineStr"/>
      <c r="K2786" s="33" t="inlineStr">
        <is>
          <t>FIN</t>
        </is>
      </c>
      <c r="L2786" s="35">
        <f>IF(K2786="FIN",3,IF(OR(K2786="SEM",K2786="SEMI"),2,IF(OR(K2786="PRE",K2786="HEAT"),1,IF(V2786="YES",4,2))))</f>
        <v/>
      </c>
      <c r="M2786" s="33" t="inlineStr">
        <is>
          <t>LCM</t>
        </is>
      </c>
      <c r="N2786" s="33" t="n">
        <v>200</v>
      </c>
      <c r="O2786" s="33" t="inlineStr">
        <is>
          <t>Free</t>
        </is>
      </c>
      <c r="P2786" s="33" t="inlineStr">
        <is>
          <t>200 Free</t>
        </is>
      </c>
      <c r="Q2786" s="33" t="inlineStr">
        <is>
          <t>LCM_200_FREE</t>
        </is>
      </c>
      <c r="R2786" s="36" t="n">
        <v>110.51</v>
      </c>
      <c r="S2786" s="35">
        <f>IF(R2786="","",IF(R2786&gt;=60,INT(R2786/60)&amp;":"&amp;TEXT(MOD(R2786,60),"00.00"),TEXT(R2786,"0.00")))</f>
        <v/>
      </c>
      <c r="T2786" s="52">
        <f>IFERROR((G2786-INDEX('01_Swimmers'!$E$5:$E$22,MATCH(B2786,'01_Swimmers'!$A$5:$A$22,0)))/'00_Control'!$B$10,"")</f>
        <v/>
      </c>
      <c r="U2786" s="35">
        <f>IF(T2786="","",INT(T2786))</f>
        <v/>
      </c>
      <c r="V2786" s="33" t="inlineStr">
        <is>
          <t>NO</t>
        </is>
      </c>
      <c r="W2786" s="33" t="inlineStr">
        <is>
          <t>YES</t>
        </is>
      </c>
      <c r="X2786" s="33" t="inlineStr">
        <is>
          <t>NO</t>
        </is>
      </c>
      <c r="Y2786" s="33" t="n">
        <v>3</v>
      </c>
      <c r="Z2786" s="33" t="n">
        <v>4</v>
      </c>
      <c r="AA2786" s="33" t="inlineStr">
        <is>
          <t>17</t>
        </is>
      </c>
      <c r="AB2786" s="33" t="inlineStr">
        <is>
          <t>https://www.swimcloud.com/results/253796/event/4/?id=100341282#time100341282</t>
        </is>
      </c>
      <c r="AC2786" s="33" t="inlineStr">
        <is>
          <t>SwimCloud API v6 2026-10-08</t>
        </is>
      </c>
      <c r="AD2786" s="33" t="inlineStr">
        <is>
          <t>Thomas Heilman|2023-04-13|LCM|200|Free|110.51|TYR Pro Swim Series - Westmont|FIN|False</t>
        </is>
      </c>
      <c r="AE2786" s="53">
        <f>G2786+L2786/1000+ROW()/1000000000</f>
        <v/>
      </c>
      <c r="AF2786" s="35">
        <f>IF(C2786&lt;&gt;"Grayson Coulter","",COUNTIFS($C$5:$C$2991,"Grayson Coulter",$Q$5:$Q$2991,Q2786,$AE$5:$AE$2991,"&lt;="&amp;AE2786,$R$5:$R$2991,"&lt;"&amp;R2786))</f>
        <v/>
      </c>
      <c r="AG2786" s="35">
        <f>IF(OR(C2786&lt;&gt;"Grayson Coulter",G2786&lt;'00_Control'!$B$7),"",--(AF2786&lt;5))</f>
        <v/>
      </c>
      <c r="AH2786" s="35">
        <f>IF(OR(C2786&lt;&gt;"Grayson Coulter",G2786&lt;'00_Control'!$B$7),"",--(AF2786&lt;10))</f>
        <v/>
      </c>
      <c r="AI2786" s="35">
        <f>IF(AND(C2786="Grayson Coulter",G2786&gt;='00_Control'!$B$7),"YES","NO")</f>
        <v/>
      </c>
      <c r="AJ2786" s="33" t="inlineStr">
        <is>
          <t>OK</t>
        </is>
      </c>
    </row>
    <row r="2787">
      <c r="A2787" s="33" t="inlineStr">
        <is>
          <t>SM002783</t>
        </is>
      </c>
      <c r="B2787" s="33" t="inlineStr">
        <is>
          <t>SW005</t>
        </is>
      </c>
      <c r="C2787" s="33" t="inlineStr">
        <is>
          <t>Thomas Heilman</t>
        </is>
      </c>
      <c r="D2787" s="33" t="inlineStr">
        <is>
          <t>SwimCloud</t>
        </is>
      </c>
      <c r="E2787" s="33" t="inlineStr">
        <is>
          <t>1336401</t>
        </is>
      </c>
      <c r="F2787" s="33" t="inlineStr">
        <is>
          <t>100341279</t>
        </is>
      </c>
      <c r="G2787" s="51" t="n">
        <v>45031</v>
      </c>
      <c r="H2787" s="33" t="inlineStr">
        <is>
          <t>TYR Pro Swim Series - Westmont</t>
        </is>
      </c>
      <c r="I2787" s="33" t="inlineStr">
        <is>
          <t>253796</t>
        </is>
      </c>
      <c r="J2787" s="33" t="inlineStr"/>
      <c r="K2787" s="33" t="inlineStr">
        <is>
          <t>PRE</t>
        </is>
      </c>
      <c r="L2787" s="35">
        <f>IF(K2787="FIN",3,IF(OR(K2787="SEM",K2787="SEMI"),2,IF(OR(K2787="PRE",K2787="HEAT"),1,IF(V2787="YES",4,2))))</f>
        <v/>
      </c>
      <c r="M2787" s="33" t="inlineStr">
        <is>
          <t>LCM</t>
        </is>
      </c>
      <c r="N2787" s="33" t="n">
        <v>100</v>
      </c>
      <c r="O2787" s="33" t="inlineStr">
        <is>
          <t>Free</t>
        </is>
      </c>
      <c r="P2787" s="33" t="inlineStr">
        <is>
          <t>100 Free</t>
        </is>
      </c>
      <c r="Q2787" s="33" t="inlineStr">
        <is>
          <t>LCM_100_FREE</t>
        </is>
      </c>
      <c r="R2787" s="36" t="n">
        <v>50.27</v>
      </c>
      <c r="S2787" s="35">
        <f>IF(R2787="","",IF(R2787&gt;=60,INT(R2787/60)&amp;":"&amp;TEXT(MOD(R2787,60),"00.00"),TEXT(R2787,"0.00")))</f>
        <v/>
      </c>
      <c r="T2787" s="52">
        <f>IFERROR((G2787-INDEX('01_Swimmers'!$E$5:$E$22,MATCH(B2787,'01_Swimmers'!$A$5:$A$22,0)))/'00_Control'!$B$10,"")</f>
        <v/>
      </c>
      <c r="U2787" s="35">
        <f>IF(T2787="","",INT(T2787))</f>
        <v/>
      </c>
      <c r="V2787" s="33" t="inlineStr">
        <is>
          <t>NO</t>
        </is>
      </c>
      <c r="W2787" s="33" t="inlineStr">
        <is>
          <t>YES</t>
        </is>
      </c>
      <c r="X2787" s="33" t="inlineStr">
        <is>
          <t>NO</t>
        </is>
      </c>
      <c r="Y2787" s="33" t="n">
        <v>8</v>
      </c>
      <c r="Z2787" s="33" t="n">
        <v>2</v>
      </c>
      <c r="AA2787" s="33" t="inlineStr">
        <is>
          <t>24</t>
        </is>
      </c>
      <c r="AB2787" s="33" t="inlineStr">
        <is>
          <t>https://www.swimcloud.com/results/253796/event/34/?id=100341279#time100341279</t>
        </is>
      </c>
      <c r="AC2787" s="33" t="inlineStr">
        <is>
          <t>SwimCloud API v6 2026-10-08</t>
        </is>
      </c>
      <c r="AD2787" s="33" t="inlineStr">
        <is>
          <t>Thomas Heilman|2023-04-15|LCM|100|Free|50.27|TYR Pro Swim Series - Westmont|PRE|False</t>
        </is>
      </c>
      <c r="AE2787" s="53">
        <f>G2787+L2787/1000+ROW()/1000000000</f>
        <v/>
      </c>
      <c r="AF2787" s="35">
        <f>IF(C2787&lt;&gt;"Grayson Coulter","",COUNTIFS($C$5:$C$2991,"Grayson Coulter",$Q$5:$Q$2991,Q2787,$AE$5:$AE$2991,"&lt;="&amp;AE2787,$R$5:$R$2991,"&lt;"&amp;R2787))</f>
        <v/>
      </c>
      <c r="AG2787" s="35">
        <f>IF(OR(C2787&lt;&gt;"Grayson Coulter",G2787&lt;'00_Control'!$B$7),"",--(AF2787&lt;5))</f>
        <v/>
      </c>
      <c r="AH2787" s="35">
        <f>IF(OR(C2787&lt;&gt;"Grayson Coulter",G2787&lt;'00_Control'!$B$7),"",--(AF2787&lt;10))</f>
        <v/>
      </c>
      <c r="AI2787" s="35">
        <f>IF(AND(C2787="Grayson Coulter",G2787&gt;='00_Control'!$B$7),"YES","NO")</f>
        <v/>
      </c>
      <c r="AJ2787" s="33" t="inlineStr">
        <is>
          <t>OK</t>
        </is>
      </c>
    </row>
    <row r="2788">
      <c r="A2788" s="33" t="inlineStr">
        <is>
          <t>SM002784</t>
        </is>
      </c>
      <c r="B2788" s="33" t="inlineStr">
        <is>
          <t>SW005</t>
        </is>
      </c>
      <c r="C2788" s="33" t="inlineStr">
        <is>
          <t>Thomas Heilman</t>
        </is>
      </c>
      <c r="D2788" s="33" t="inlineStr">
        <is>
          <t>SwimCloud</t>
        </is>
      </c>
      <c r="E2788" s="33" t="inlineStr">
        <is>
          <t>1336401</t>
        </is>
      </c>
      <c r="F2788" s="33" t="inlineStr">
        <is>
          <t>100341278</t>
        </is>
      </c>
      <c r="G2788" s="51" t="n">
        <v>45031</v>
      </c>
      <c r="H2788" s="33" t="inlineStr">
        <is>
          <t>TYR Pro Swim Series - Westmont</t>
        </is>
      </c>
      <c r="I2788" s="33" t="inlineStr">
        <is>
          <t>253796</t>
        </is>
      </c>
      <c r="J2788" s="33" t="inlineStr"/>
      <c r="K2788" s="33" t="inlineStr">
        <is>
          <t>FIN</t>
        </is>
      </c>
      <c r="L2788" s="35">
        <f>IF(K2788="FIN",3,IF(OR(K2788="SEM",K2788="SEMI"),2,IF(OR(K2788="PRE",K2788="HEAT"),1,IF(V2788="YES",4,2))))</f>
        <v/>
      </c>
      <c r="M2788" s="33" t="inlineStr">
        <is>
          <t>LCM</t>
        </is>
      </c>
      <c r="N2788" s="33" t="n">
        <v>100</v>
      </c>
      <c r="O2788" s="33" t="inlineStr">
        <is>
          <t>Free</t>
        </is>
      </c>
      <c r="P2788" s="33" t="inlineStr">
        <is>
          <t>100 Free</t>
        </is>
      </c>
      <c r="Q2788" s="33" t="inlineStr">
        <is>
          <t>LCM_100_FREE</t>
        </is>
      </c>
      <c r="R2788" s="36" t="n">
        <v>51</v>
      </c>
      <c r="S2788" s="35">
        <f>IF(R2788="","",IF(R2788&gt;=60,INT(R2788/60)&amp;":"&amp;TEXT(MOD(R2788,60),"00.00"),TEXT(R2788,"0.00")))</f>
        <v/>
      </c>
      <c r="T2788" s="52">
        <f>IFERROR((G2788-INDEX('01_Swimmers'!$E$5:$E$22,MATCH(B2788,'01_Swimmers'!$A$5:$A$22,0)))/'00_Control'!$B$10,"")</f>
        <v/>
      </c>
      <c r="U2788" s="35">
        <f>IF(T2788="","",INT(T2788))</f>
        <v/>
      </c>
      <c r="V2788" s="33" t="inlineStr">
        <is>
          <t>NO</t>
        </is>
      </c>
      <c r="W2788" s="33" t="inlineStr">
        <is>
          <t>YES</t>
        </is>
      </c>
      <c r="X2788" s="33" t="inlineStr">
        <is>
          <t>NO</t>
        </is>
      </c>
      <c r="Y2788" s="33" t="n">
        <v>3</v>
      </c>
      <c r="Z2788" s="33" t="n">
        <v>1</v>
      </c>
      <c r="AA2788" s="33" t="inlineStr">
        <is>
          <t>24</t>
        </is>
      </c>
      <c r="AB2788" s="33" t="inlineStr">
        <is>
          <t>https://www.swimcloud.com/results/253796/event/34/?id=100341278#time100341278</t>
        </is>
      </c>
      <c r="AC2788" s="33" t="inlineStr">
        <is>
          <t>SwimCloud API v6 2026-10-08</t>
        </is>
      </c>
      <c r="AD2788" s="33" t="inlineStr">
        <is>
          <t>Thomas Heilman|2023-04-15|LCM|100|Free|51.0|TYR Pro Swim Series - Westmont|FIN|False</t>
        </is>
      </c>
      <c r="AE2788" s="53">
        <f>G2788+L2788/1000+ROW()/1000000000</f>
        <v/>
      </c>
      <c r="AF2788" s="35">
        <f>IF(C2788&lt;&gt;"Grayson Coulter","",COUNTIFS($C$5:$C$2991,"Grayson Coulter",$Q$5:$Q$2991,Q2788,$AE$5:$AE$2991,"&lt;="&amp;AE2788,$R$5:$R$2991,"&lt;"&amp;R2788))</f>
        <v/>
      </c>
      <c r="AG2788" s="35">
        <f>IF(OR(C2788&lt;&gt;"Grayson Coulter",G2788&lt;'00_Control'!$B$7),"",--(AF2788&lt;5))</f>
        <v/>
      </c>
      <c r="AH2788" s="35">
        <f>IF(OR(C2788&lt;&gt;"Grayson Coulter",G2788&lt;'00_Control'!$B$7),"",--(AF2788&lt;10))</f>
        <v/>
      </c>
      <c r="AI2788" s="35">
        <f>IF(AND(C2788="Grayson Coulter",G2788&gt;='00_Control'!$B$7),"YES","NO")</f>
        <v/>
      </c>
      <c r="AJ2788" s="33" t="inlineStr">
        <is>
          <t>OK</t>
        </is>
      </c>
    </row>
    <row r="2789">
      <c r="A2789" s="33" t="inlineStr">
        <is>
          <t>SM002785</t>
        </is>
      </c>
      <c r="B2789" s="33" t="inlineStr">
        <is>
          <t>SW005</t>
        </is>
      </c>
      <c r="C2789" s="33" t="inlineStr">
        <is>
          <t>Thomas Heilman</t>
        </is>
      </c>
      <c r="D2789" s="33" t="inlineStr">
        <is>
          <t>SwimCloud</t>
        </is>
      </c>
      <c r="E2789" s="33" t="inlineStr">
        <is>
          <t>1336401</t>
        </is>
      </c>
      <c r="F2789" s="33" t="inlineStr">
        <is>
          <t>101625821</t>
        </is>
      </c>
      <c r="G2789" s="51" t="n">
        <v>45065</v>
      </c>
      <c r="H2789" s="33" t="inlineStr">
        <is>
          <t>Speedo Sectionals - Richmond</t>
        </is>
      </c>
      <c r="I2789" s="33" t="inlineStr">
        <is>
          <t>262172</t>
        </is>
      </c>
      <c r="J2789" s="33" t="inlineStr"/>
      <c r="K2789" s="33" t="inlineStr">
        <is>
          <t>PRE</t>
        </is>
      </c>
      <c r="L2789" s="35">
        <f>IF(K2789="FIN",3,IF(OR(K2789="SEM",K2789="SEMI"),2,IF(OR(K2789="PRE",K2789="HEAT"),1,IF(V2789="YES",4,2))))</f>
        <v/>
      </c>
      <c r="M2789" s="33" t="inlineStr">
        <is>
          <t>LCM</t>
        </is>
      </c>
      <c r="N2789" s="33" t="n">
        <v>100</v>
      </c>
      <c r="O2789" s="33" t="inlineStr">
        <is>
          <t>Fly</t>
        </is>
      </c>
      <c r="P2789" s="33" t="inlineStr">
        <is>
          <t>100 Fly</t>
        </is>
      </c>
      <c r="Q2789" s="33" t="inlineStr">
        <is>
          <t>LCM_100_FLY</t>
        </is>
      </c>
      <c r="R2789" s="36" t="n">
        <v>53.43</v>
      </c>
      <c r="S2789" s="35">
        <f>IF(R2789="","",IF(R2789&gt;=60,INT(R2789/60)&amp;":"&amp;TEXT(MOD(R2789,60),"00.00"),TEXT(R2789,"0.00")))</f>
        <v/>
      </c>
      <c r="T2789" s="52">
        <f>IFERROR((G2789-INDEX('01_Swimmers'!$E$5:$E$22,MATCH(B2789,'01_Swimmers'!$A$5:$A$22,0)))/'00_Control'!$B$10,"")</f>
        <v/>
      </c>
      <c r="U2789" s="35">
        <f>IF(T2789="","",INT(T2789))</f>
        <v/>
      </c>
      <c r="V2789" s="33" t="inlineStr">
        <is>
          <t>NO</t>
        </is>
      </c>
      <c r="W2789" s="33" t="inlineStr">
        <is>
          <t>YES</t>
        </is>
      </c>
      <c r="X2789" s="33" t="inlineStr">
        <is>
          <t>NO</t>
        </is>
      </c>
      <c r="Y2789" s="33" t="n">
        <v>18</v>
      </c>
      <c r="Z2789" s="33" t="n">
        <v>4</v>
      </c>
      <c r="AA2789" s="33" t="inlineStr">
        <is>
          <t>1</t>
        </is>
      </c>
      <c r="AB2789" s="33" t="inlineStr">
        <is>
          <t>https://www.swimcloud.com/results/262172/event/8/?id=101625821#time101625821</t>
        </is>
      </c>
      <c r="AC2789" s="33" t="inlineStr">
        <is>
          <t>SwimCloud API v6 2026-10-08</t>
        </is>
      </c>
      <c r="AD2789" s="33" t="inlineStr">
        <is>
          <t>Thomas Heilman|2023-05-19|LCM|100|Fly|53.43|Speedo Sectionals - Richmond|PRE|False</t>
        </is>
      </c>
      <c r="AE2789" s="53">
        <f>G2789+L2789/1000+ROW()/1000000000</f>
        <v/>
      </c>
      <c r="AF2789" s="35">
        <f>IF(C2789&lt;&gt;"Grayson Coulter","",COUNTIFS($C$5:$C$2991,"Grayson Coulter",$Q$5:$Q$2991,Q2789,$AE$5:$AE$2991,"&lt;="&amp;AE2789,$R$5:$R$2991,"&lt;"&amp;R2789))</f>
        <v/>
      </c>
      <c r="AG2789" s="35">
        <f>IF(OR(C2789&lt;&gt;"Grayson Coulter",G2789&lt;'00_Control'!$B$7),"",--(AF2789&lt;5))</f>
        <v/>
      </c>
      <c r="AH2789" s="35">
        <f>IF(OR(C2789&lt;&gt;"Grayson Coulter",G2789&lt;'00_Control'!$B$7),"",--(AF2789&lt;10))</f>
        <v/>
      </c>
      <c r="AI2789" s="35">
        <f>IF(AND(C2789="Grayson Coulter",G2789&gt;='00_Control'!$B$7),"YES","NO")</f>
        <v/>
      </c>
      <c r="AJ2789" s="33" t="inlineStr">
        <is>
          <t>OK</t>
        </is>
      </c>
    </row>
    <row r="2790">
      <c r="A2790" s="33" t="inlineStr">
        <is>
          <t>SM002786</t>
        </is>
      </c>
      <c r="B2790" s="33" t="inlineStr">
        <is>
          <t>SW005</t>
        </is>
      </c>
      <c r="C2790" s="33" t="inlineStr">
        <is>
          <t>Thomas Heilman</t>
        </is>
      </c>
      <c r="D2790" s="33" t="inlineStr">
        <is>
          <t>SwimCloud</t>
        </is>
      </c>
      <c r="E2790" s="33" t="inlineStr">
        <is>
          <t>1336401</t>
        </is>
      </c>
      <c r="F2790" s="33" t="inlineStr">
        <is>
          <t>101625822</t>
        </is>
      </c>
      <c r="G2790" s="51" t="n">
        <v>45065</v>
      </c>
      <c r="H2790" s="33" t="inlineStr">
        <is>
          <t>Speedo Sectionals - Richmond</t>
        </is>
      </c>
      <c r="I2790" s="33" t="inlineStr">
        <is>
          <t>262172</t>
        </is>
      </c>
      <c r="J2790" s="33" t="inlineStr"/>
      <c r="K2790" s="33" t="inlineStr">
        <is>
          <t>FIN</t>
        </is>
      </c>
      <c r="L2790" s="35">
        <f>IF(K2790="FIN",3,IF(OR(K2790="SEM",K2790="SEMI"),2,IF(OR(K2790="PRE",K2790="HEAT"),1,IF(V2790="YES",4,2))))</f>
        <v/>
      </c>
      <c r="M2790" s="33" t="inlineStr">
        <is>
          <t>LCM</t>
        </is>
      </c>
      <c r="N2790" s="33" t="n">
        <v>100</v>
      </c>
      <c r="O2790" s="33" t="inlineStr">
        <is>
          <t>Fly</t>
        </is>
      </c>
      <c r="P2790" s="33" t="inlineStr">
        <is>
          <t>100 Fly</t>
        </is>
      </c>
      <c r="Q2790" s="33" t="inlineStr">
        <is>
          <t>LCM_100_FLY</t>
        </is>
      </c>
      <c r="R2790" s="36" t="n">
        <v>52.55</v>
      </c>
      <c r="S2790" s="35">
        <f>IF(R2790="","",IF(R2790&gt;=60,INT(R2790/60)&amp;":"&amp;TEXT(MOD(R2790,60),"00.00"),TEXT(R2790,"0.00")))</f>
        <v/>
      </c>
      <c r="T2790" s="52">
        <f>IFERROR((G2790-INDEX('01_Swimmers'!$E$5:$E$22,MATCH(B2790,'01_Swimmers'!$A$5:$A$22,0)))/'00_Control'!$B$10,"")</f>
        <v/>
      </c>
      <c r="U2790" s="35">
        <f>IF(T2790="","",INT(T2790))</f>
        <v/>
      </c>
      <c r="V2790" s="33" t="inlineStr">
        <is>
          <t>NO</t>
        </is>
      </c>
      <c r="W2790" s="33" t="inlineStr">
        <is>
          <t>YES</t>
        </is>
      </c>
      <c r="X2790" s="33" t="inlineStr">
        <is>
          <t>NO</t>
        </is>
      </c>
      <c r="Y2790" s="33" t="n">
        <v>4</v>
      </c>
      <c r="Z2790" s="33" t="n">
        <v>4</v>
      </c>
      <c r="AA2790" s="33" t="inlineStr">
        <is>
          <t>1</t>
        </is>
      </c>
      <c r="AB2790" s="33" t="inlineStr">
        <is>
          <t>https://www.swimcloud.com/results/262172/event/8/?id=101625822#time101625822</t>
        </is>
      </c>
      <c r="AC2790" s="33" t="inlineStr">
        <is>
          <t>SwimCloud API v6 2026-10-08</t>
        </is>
      </c>
      <c r="AD2790" s="33" t="inlineStr">
        <is>
          <t>Thomas Heilman|2023-05-19|LCM|100|Fly|52.55|Speedo Sectionals - Richmond|FIN|False</t>
        </is>
      </c>
      <c r="AE2790" s="53">
        <f>G2790+L2790/1000+ROW()/1000000000</f>
        <v/>
      </c>
      <c r="AF2790" s="35">
        <f>IF(C2790&lt;&gt;"Grayson Coulter","",COUNTIFS($C$5:$C$2991,"Grayson Coulter",$Q$5:$Q$2991,Q2790,$AE$5:$AE$2991,"&lt;="&amp;AE2790,$R$5:$R$2991,"&lt;"&amp;R2790))</f>
        <v/>
      </c>
      <c r="AG2790" s="35">
        <f>IF(OR(C2790&lt;&gt;"Grayson Coulter",G2790&lt;'00_Control'!$B$7),"",--(AF2790&lt;5))</f>
        <v/>
      </c>
      <c r="AH2790" s="35">
        <f>IF(OR(C2790&lt;&gt;"Grayson Coulter",G2790&lt;'00_Control'!$B$7),"",--(AF2790&lt;10))</f>
        <v/>
      </c>
      <c r="AI2790" s="35">
        <f>IF(AND(C2790="Grayson Coulter",G2790&gt;='00_Control'!$B$7),"YES","NO")</f>
        <v/>
      </c>
      <c r="AJ2790" s="33" t="inlineStr">
        <is>
          <t>OK</t>
        </is>
      </c>
    </row>
    <row r="2791">
      <c r="A2791" s="33" t="inlineStr">
        <is>
          <t>SM002787</t>
        </is>
      </c>
      <c r="B2791" s="33" t="inlineStr">
        <is>
          <t>SW005</t>
        </is>
      </c>
      <c r="C2791" s="33" t="inlineStr">
        <is>
          <t>Thomas Heilman</t>
        </is>
      </c>
      <c r="D2791" s="33" t="inlineStr">
        <is>
          <t>SwimCloud</t>
        </is>
      </c>
      <c r="E2791" s="33" t="inlineStr">
        <is>
          <t>1336401</t>
        </is>
      </c>
      <c r="F2791" s="33" t="inlineStr">
        <is>
          <t>101628532</t>
        </is>
      </c>
      <c r="G2791" s="51" t="n">
        <v>45065</v>
      </c>
      <c r="H2791" s="33" t="inlineStr">
        <is>
          <t>Speedo Sectionals - Richmond</t>
        </is>
      </c>
      <c r="I2791" s="33" t="inlineStr">
        <is>
          <t>262172</t>
        </is>
      </c>
      <c r="J2791" s="33" t="inlineStr"/>
      <c r="K2791" s="33" t="inlineStr">
        <is>
          <t>TIM</t>
        </is>
      </c>
      <c r="L2791" s="35">
        <f>IF(K2791="FIN",3,IF(OR(K2791="SEM",K2791="SEMI"),2,IF(OR(K2791="PRE",K2791="HEAT"),1,IF(V2791="YES",4,2))))</f>
        <v/>
      </c>
      <c r="M2791" s="33" t="inlineStr">
        <is>
          <t>LCM</t>
        </is>
      </c>
      <c r="N2791" s="33" t="n">
        <v>100</v>
      </c>
      <c r="O2791" s="33" t="inlineStr">
        <is>
          <t>Free</t>
        </is>
      </c>
      <c r="P2791" s="33" t="inlineStr">
        <is>
          <t>100 Free</t>
        </is>
      </c>
      <c r="Q2791" s="33" t="inlineStr">
        <is>
          <t>LCM_100_FREE</t>
        </is>
      </c>
      <c r="R2791" s="36" t="n">
        <v>50.66</v>
      </c>
      <c r="S2791" s="35">
        <f>IF(R2791="","",IF(R2791&gt;=60,INT(R2791/60)&amp;":"&amp;TEXT(MOD(R2791,60),"00.00"),TEXT(R2791,"0.00")))</f>
        <v/>
      </c>
      <c r="T2791" s="52">
        <f>IFERROR((G2791-INDEX('01_Swimmers'!$E$5:$E$22,MATCH(B2791,'01_Swimmers'!$A$5:$A$22,0)))/'00_Control'!$B$10,"")</f>
        <v/>
      </c>
      <c r="U2791" s="35">
        <f>IF(T2791="","",INT(T2791))</f>
        <v/>
      </c>
      <c r="V2791" s="33" t="inlineStr">
        <is>
          <t>YES</t>
        </is>
      </c>
      <c r="W2791" s="33" t="inlineStr">
        <is>
          <t>YES</t>
        </is>
      </c>
      <c r="X2791" s="33" t="inlineStr">
        <is>
          <t>NO</t>
        </is>
      </c>
      <c r="Y2791" s="33" t="n">
        <v>3</v>
      </c>
      <c r="Z2791" s="33" t="n">
        <v>3</v>
      </c>
      <c r="AA2791" s="33" t="inlineStr"/>
      <c r="AB2791" s="33" t="inlineStr">
        <is>
          <t>https://www.swimcloud.com/results/262172/event/12/?id=101628289#time101628289</t>
        </is>
      </c>
      <c r="AC2791" s="33" t="inlineStr">
        <is>
          <t>SwimCloud API v6 2026-10-08</t>
        </is>
      </c>
      <c r="AD2791" s="33" t="inlineStr">
        <is>
          <t>Thomas Heilman|2023-05-19|LCM|100|Free|50.66|Speedo Sectionals - Richmond|TIM|True</t>
        </is>
      </c>
      <c r="AE2791" s="53">
        <f>G2791+L2791/1000+ROW()/1000000000</f>
        <v/>
      </c>
      <c r="AF2791" s="35">
        <f>IF(C2791&lt;&gt;"Grayson Coulter","",COUNTIFS($C$5:$C$2991,"Grayson Coulter",$Q$5:$Q$2991,Q2791,$AE$5:$AE$2991,"&lt;="&amp;AE2791,$R$5:$R$2991,"&lt;"&amp;R2791))</f>
        <v/>
      </c>
      <c r="AG2791" s="35">
        <f>IF(OR(C2791&lt;&gt;"Grayson Coulter",G2791&lt;'00_Control'!$B$7),"",--(AF2791&lt;5))</f>
        <v/>
      </c>
      <c r="AH2791" s="35">
        <f>IF(OR(C2791&lt;&gt;"Grayson Coulter",G2791&lt;'00_Control'!$B$7),"",--(AF2791&lt;10))</f>
        <v/>
      </c>
      <c r="AI2791" s="35">
        <f>IF(AND(C2791="Grayson Coulter",G2791&gt;='00_Control'!$B$7),"YES","NO")</f>
        <v/>
      </c>
      <c r="AJ2791" s="33" t="inlineStr">
        <is>
          <t>OK</t>
        </is>
      </c>
    </row>
    <row r="2792">
      <c r="A2792" s="33" t="inlineStr">
        <is>
          <t>SM002788</t>
        </is>
      </c>
      <c r="B2792" s="33" t="inlineStr">
        <is>
          <t>SW005</t>
        </is>
      </c>
      <c r="C2792" s="33" t="inlineStr">
        <is>
          <t>Thomas Heilman</t>
        </is>
      </c>
      <c r="D2792" s="33" t="inlineStr">
        <is>
          <t>SwimCloud</t>
        </is>
      </c>
      <c r="E2792" s="33" t="inlineStr">
        <is>
          <t>1336401</t>
        </is>
      </c>
      <c r="F2792" s="33" t="inlineStr">
        <is>
          <t>101628796</t>
        </is>
      </c>
      <c r="G2792" s="51" t="n">
        <v>45066</v>
      </c>
      <c r="H2792" s="33" t="inlineStr">
        <is>
          <t>Speedo Sectionals - Richmond</t>
        </is>
      </c>
      <c r="I2792" s="33" t="inlineStr">
        <is>
          <t>262172</t>
        </is>
      </c>
      <c r="J2792" s="33" t="inlineStr"/>
      <c r="K2792" s="33" t="inlineStr">
        <is>
          <t>TIM</t>
        </is>
      </c>
      <c r="L2792" s="35">
        <f>IF(K2792="FIN",3,IF(OR(K2792="SEM",K2792="SEMI"),2,IF(OR(K2792="PRE",K2792="HEAT"),1,IF(V2792="YES",4,2))))</f>
        <v/>
      </c>
      <c r="M2792" s="33" t="inlineStr">
        <is>
          <t>LCM</t>
        </is>
      </c>
      <c r="N2792" s="33" t="n">
        <v>200</v>
      </c>
      <c r="O2792" s="33" t="inlineStr">
        <is>
          <t>Free</t>
        </is>
      </c>
      <c r="P2792" s="33" t="inlineStr">
        <is>
          <t>200 Free</t>
        </is>
      </c>
      <c r="Q2792" s="33" t="inlineStr">
        <is>
          <t>LCM_200_FREE</t>
        </is>
      </c>
      <c r="R2792" s="36" t="n">
        <v>111.03</v>
      </c>
      <c r="S2792" s="35">
        <f>IF(R2792="","",IF(R2792&gt;=60,INT(R2792/60)&amp;":"&amp;TEXT(MOD(R2792,60),"00.00"),TEXT(R2792,"0.00")))</f>
        <v/>
      </c>
      <c r="T2792" s="52">
        <f>IFERROR((G2792-INDEX('01_Swimmers'!$E$5:$E$22,MATCH(B2792,'01_Swimmers'!$A$5:$A$22,0)))/'00_Control'!$B$10,"")</f>
        <v/>
      </c>
      <c r="U2792" s="35">
        <f>IF(T2792="","",INT(T2792))</f>
        <v/>
      </c>
      <c r="V2792" s="33" t="inlineStr">
        <is>
          <t>YES</t>
        </is>
      </c>
      <c r="W2792" s="33" t="inlineStr">
        <is>
          <t>YES</t>
        </is>
      </c>
      <c r="X2792" s="33" t="inlineStr">
        <is>
          <t>NO</t>
        </is>
      </c>
      <c r="Y2792" s="33" t="n">
        <v>2</v>
      </c>
      <c r="Z2792" s="33" t="n">
        <v>4</v>
      </c>
      <c r="AA2792" s="33" t="inlineStr"/>
      <c r="AB2792" s="33" t="inlineStr">
        <is>
          <t>https://www.swimcloud.com/results/262172/event/24/?id=101628403#time101628403</t>
        </is>
      </c>
      <c r="AC2792" s="33" t="inlineStr">
        <is>
          <t>SwimCloud API v6 2026-10-08</t>
        </is>
      </c>
      <c r="AD2792" s="33" t="inlineStr">
        <is>
          <t>Thomas Heilman|2023-05-20|LCM|200|Free|111.03|Speedo Sectionals - Richmond|TIM|True</t>
        </is>
      </c>
      <c r="AE2792" s="53">
        <f>G2792+L2792/1000+ROW()/1000000000</f>
        <v/>
      </c>
      <c r="AF2792" s="35">
        <f>IF(C2792&lt;&gt;"Grayson Coulter","",COUNTIFS($C$5:$C$2991,"Grayson Coulter",$Q$5:$Q$2991,Q2792,$AE$5:$AE$2991,"&lt;="&amp;AE2792,$R$5:$R$2991,"&lt;"&amp;R2792))</f>
        <v/>
      </c>
      <c r="AG2792" s="35">
        <f>IF(OR(C2792&lt;&gt;"Grayson Coulter",G2792&lt;'00_Control'!$B$7),"",--(AF2792&lt;5))</f>
        <v/>
      </c>
      <c r="AH2792" s="35">
        <f>IF(OR(C2792&lt;&gt;"Grayson Coulter",G2792&lt;'00_Control'!$B$7),"",--(AF2792&lt;10))</f>
        <v/>
      </c>
      <c r="AI2792" s="35">
        <f>IF(AND(C2792="Grayson Coulter",G2792&gt;='00_Control'!$B$7),"YES","NO")</f>
        <v/>
      </c>
      <c r="AJ2792" s="33" t="inlineStr">
        <is>
          <t>OK</t>
        </is>
      </c>
    </row>
    <row r="2793">
      <c r="A2793" s="33" t="inlineStr">
        <is>
          <t>SM002789</t>
        </is>
      </c>
      <c r="B2793" s="33" t="inlineStr">
        <is>
          <t>SW005</t>
        </is>
      </c>
      <c r="C2793" s="33" t="inlineStr">
        <is>
          <t>Thomas Heilman</t>
        </is>
      </c>
      <c r="D2793" s="33" t="inlineStr">
        <is>
          <t>SwimCloud</t>
        </is>
      </c>
      <c r="E2793" s="33" t="inlineStr">
        <is>
          <t>1336401</t>
        </is>
      </c>
      <c r="F2793" s="33" t="inlineStr">
        <is>
          <t>101625996</t>
        </is>
      </c>
      <c r="G2793" s="51" t="n">
        <v>45067</v>
      </c>
      <c r="H2793" s="33" t="inlineStr">
        <is>
          <t>Speedo Sectionals - Richmond</t>
        </is>
      </c>
      <c r="I2793" s="33" t="inlineStr">
        <is>
          <t>262172</t>
        </is>
      </c>
      <c r="J2793" s="33" t="inlineStr"/>
      <c r="K2793" s="33" t="inlineStr">
        <is>
          <t>PRE</t>
        </is>
      </c>
      <c r="L2793" s="35">
        <f>IF(K2793="FIN",3,IF(OR(K2793="SEM",K2793="SEMI"),2,IF(OR(K2793="PRE",K2793="HEAT"),1,IF(V2793="YES",4,2))))</f>
        <v/>
      </c>
      <c r="M2793" s="33" t="inlineStr">
        <is>
          <t>LCM</t>
        </is>
      </c>
      <c r="N2793" s="33" t="n">
        <v>100</v>
      </c>
      <c r="O2793" s="33" t="inlineStr">
        <is>
          <t>Free</t>
        </is>
      </c>
      <c r="P2793" s="33" t="inlineStr">
        <is>
          <t>100 Free</t>
        </is>
      </c>
      <c r="Q2793" s="33" t="inlineStr">
        <is>
          <t>LCM_100_FREE</t>
        </is>
      </c>
      <c r="R2793" s="36" t="n">
        <v>51.65</v>
      </c>
      <c r="S2793" s="35">
        <f>IF(R2793="","",IF(R2793&gt;=60,INT(R2793/60)&amp;":"&amp;TEXT(MOD(R2793,60),"00.00"),TEXT(R2793,"0.00")))</f>
        <v/>
      </c>
      <c r="T2793" s="52">
        <f>IFERROR((G2793-INDEX('01_Swimmers'!$E$5:$E$22,MATCH(B2793,'01_Swimmers'!$A$5:$A$22,0)))/'00_Control'!$B$10,"")</f>
        <v/>
      </c>
      <c r="U2793" s="35">
        <f>IF(T2793="","",INT(T2793))</f>
        <v/>
      </c>
      <c r="V2793" s="33" t="inlineStr">
        <is>
          <t>NO</t>
        </is>
      </c>
      <c r="W2793" s="33" t="inlineStr">
        <is>
          <t>YES</t>
        </is>
      </c>
      <c r="X2793" s="33" t="inlineStr">
        <is>
          <t>NO</t>
        </is>
      </c>
      <c r="Y2793" s="33" t="n">
        <v>17</v>
      </c>
      <c r="Z2793" s="33" t="n">
        <v>4</v>
      </c>
      <c r="AA2793" s="33" t="inlineStr">
        <is>
          <t>2</t>
        </is>
      </c>
      <c r="AB2793" s="33" t="inlineStr">
        <is>
          <t>https://www.swimcloud.com/results/262172/event/30/?id=101625996#time101625996</t>
        </is>
      </c>
      <c r="AC2793" s="33" t="inlineStr">
        <is>
          <t>SwimCloud API v6 2026-10-08</t>
        </is>
      </c>
      <c r="AD2793" s="33" t="inlineStr">
        <is>
          <t>Thomas Heilman|2023-05-21|LCM|100|Free|51.65|Speedo Sectionals - Richmond|PRE|False</t>
        </is>
      </c>
      <c r="AE2793" s="53">
        <f>G2793+L2793/1000+ROW()/1000000000</f>
        <v/>
      </c>
      <c r="AF2793" s="35">
        <f>IF(C2793&lt;&gt;"Grayson Coulter","",COUNTIFS($C$5:$C$2991,"Grayson Coulter",$Q$5:$Q$2991,Q2793,$AE$5:$AE$2991,"&lt;="&amp;AE2793,$R$5:$R$2991,"&lt;"&amp;R2793))</f>
        <v/>
      </c>
      <c r="AG2793" s="35">
        <f>IF(OR(C2793&lt;&gt;"Grayson Coulter",G2793&lt;'00_Control'!$B$7),"",--(AF2793&lt;5))</f>
        <v/>
      </c>
      <c r="AH2793" s="35">
        <f>IF(OR(C2793&lt;&gt;"Grayson Coulter",G2793&lt;'00_Control'!$B$7),"",--(AF2793&lt;10))</f>
        <v/>
      </c>
      <c r="AI2793" s="35">
        <f>IF(AND(C2793="Grayson Coulter",G2793&gt;='00_Control'!$B$7),"YES","NO")</f>
        <v/>
      </c>
      <c r="AJ2793" s="33" t="inlineStr">
        <is>
          <t>OK</t>
        </is>
      </c>
    </row>
    <row r="2794">
      <c r="A2794" s="33" t="inlineStr">
        <is>
          <t>SM002790</t>
        </is>
      </c>
      <c r="B2794" s="33" t="inlineStr">
        <is>
          <t>SW005</t>
        </is>
      </c>
      <c r="C2794" s="33" t="inlineStr">
        <is>
          <t>Thomas Heilman</t>
        </is>
      </c>
      <c r="D2794" s="33" t="inlineStr">
        <is>
          <t>SwimCloud</t>
        </is>
      </c>
      <c r="E2794" s="33" t="inlineStr">
        <is>
          <t>1336401</t>
        </is>
      </c>
      <c r="F2794" s="33" t="inlineStr">
        <is>
          <t>101625997</t>
        </is>
      </c>
      <c r="G2794" s="51" t="n">
        <v>45067</v>
      </c>
      <c r="H2794" s="33" t="inlineStr">
        <is>
          <t>Speedo Sectionals - Richmond</t>
        </is>
      </c>
      <c r="I2794" s="33" t="inlineStr">
        <is>
          <t>262172</t>
        </is>
      </c>
      <c r="J2794" s="33" t="inlineStr"/>
      <c r="K2794" s="33" t="inlineStr">
        <is>
          <t>FIN</t>
        </is>
      </c>
      <c r="L2794" s="35">
        <f>IF(K2794="FIN",3,IF(OR(K2794="SEM",K2794="SEMI"),2,IF(OR(K2794="PRE",K2794="HEAT"),1,IF(V2794="YES",4,2))))</f>
        <v/>
      </c>
      <c r="M2794" s="33" t="inlineStr">
        <is>
          <t>LCM</t>
        </is>
      </c>
      <c r="N2794" s="33" t="n">
        <v>100</v>
      </c>
      <c r="O2794" s="33" t="inlineStr">
        <is>
          <t>Free</t>
        </is>
      </c>
      <c r="P2794" s="33" t="inlineStr">
        <is>
          <t>100 Free</t>
        </is>
      </c>
      <c r="Q2794" s="33" t="inlineStr">
        <is>
          <t>LCM_100_FREE</t>
        </is>
      </c>
      <c r="R2794" s="36" t="n">
        <v>50.05</v>
      </c>
      <c r="S2794" s="35">
        <f>IF(R2794="","",IF(R2794&gt;=60,INT(R2794/60)&amp;":"&amp;TEXT(MOD(R2794,60),"00.00"),TEXT(R2794,"0.00")))</f>
        <v/>
      </c>
      <c r="T2794" s="52">
        <f>IFERROR((G2794-INDEX('01_Swimmers'!$E$5:$E$22,MATCH(B2794,'01_Swimmers'!$A$5:$A$22,0)))/'00_Control'!$B$10,"")</f>
        <v/>
      </c>
      <c r="U2794" s="35">
        <f>IF(T2794="","",INT(T2794))</f>
        <v/>
      </c>
      <c r="V2794" s="33" t="inlineStr">
        <is>
          <t>NO</t>
        </is>
      </c>
      <c r="W2794" s="33" t="inlineStr">
        <is>
          <t>YES</t>
        </is>
      </c>
      <c r="X2794" s="33" t="inlineStr">
        <is>
          <t>NO</t>
        </is>
      </c>
      <c r="Y2794" s="33" t="n">
        <v>4</v>
      </c>
      <c r="Z2794" s="33" t="n">
        <v>5</v>
      </c>
      <c r="AA2794" s="33" t="inlineStr">
        <is>
          <t>1</t>
        </is>
      </c>
      <c r="AB2794" s="33" t="inlineStr">
        <is>
          <t>https://www.swimcloud.com/results/262172/event/30/?id=101625997#time101625997</t>
        </is>
      </c>
      <c r="AC2794" s="33" t="inlineStr">
        <is>
          <t>SwimCloud API v6 2026-10-08</t>
        </is>
      </c>
      <c r="AD2794" s="33" t="inlineStr">
        <is>
          <t>Thomas Heilman|2023-05-21|LCM|100|Free|50.05|Speedo Sectionals - Richmond|FIN|False</t>
        </is>
      </c>
      <c r="AE2794" s="53">
        <f>G2794+L2794/1000+ROW()/1000000000</f>
        <v/>
      </c>
      <c r="AF2794" s="35">
        <f>IF(C2794&lt;&gt;"Grayson Coulter","",COUNTIFS($C$5:$C$2991,"Grayson Coulter",$Q$5:$Q$2991,Q2794,$AE$5:$AE$2991,"&lt;="&amp;AE2794,$R$5:$R$2991,"&lt;"&amp;R2794))</f>
        <v/>
      </c>
      <c r="AG2794" s="35">
        <f>IF(OR(C2794&lt;&gt;"Grayson Coulter",G2794&lt;'00_Control'!$B$7),"",--(AF2794&lt;5))</f>
        <v/>
      </c>
      <c r="AH2794" s="35">
        <f>IF(OR(C2794&lt;&gt;"Grayson Coulter",G2794&lt;'00_Control'!$B$7),"",--(AF2794&lt;10))</f>
        <v/>
      </c>
      <c r="AI2794" s="35">
        <f>IF(AND(C2794="Grayson Coulter",G2794&gt;='00_Control'!$B$7),"YES","NO")</f>
        <v/>
      </c>
      <c r="AJ2794" s="33" t="inlineStr">
        <is>
          <t>OK</t>
        </is>
      </c>
    </row>
    <row r="2795">
      <c r="A2795" s="33" t="inlineStr">
        <is>
          <t>SM002791</t>
        </is>
      </c>
      <c r="B2795" s="33" t="inlineStr">
        <is>
          <t>SW005</t>
        </is>
      </c>
      <c r="C2795" s="33" t="inlineStr">
        <is>
          <t>Thomas Heilman</t>
        </is>
      </c>
      <c r="D2795" s="33" t="inlineStr">
        <is>
          <t>SwimCloud</t>
        </is>
      </c>
      <c r="E2795" s="33" t="inlineStr">
        <is>
          <t>1336401</t>
        </is>
      </c>
      <c r="F2795" s="33" t="inlineStr">
        <is>
          <t>102113908</t>
        </is>
      </c>
      <c r="G2795" s="51" t="n">
        <v>45079</v>
      </c>
      <c r="H2795" s="33" t="inlineStr">
        <is>
          <t>2023 PV NCAP Elite Qualifier</t>
        </is>
      </c>
      <c r="I2795" s="33" t="inlineStr">
        <is>
          <t>269377</t>
        </is>
      </c>
      <c r="J2795" s="33" t="inlineStr"/>
      <c r="K2795" s="33" t="inlineStr">
        <is>
          <t>PRE</t>
        </is>
      </c>
      <c r="L2795" s="35">
        <f>IF(K2795="FIN",3,IF(OR(K2795="SEM",K2795="SEMI"),2,IF(OR(K2795="PRE",K2795="HEAT"),1,IF(V2795="YES",4,2))))</f>
        <v/>
      </c>
      <c r="M2795" s="33" t="inlineStr">
        <is>
          <t>LCM</t>
        </is>
      </c>
      <c r="N2795" s="33" t="n">
        <v>100</v>
      </c>
      <c r="O2795" s="33" t="inlineStr">
        <is>
          <t>Fly</t>
        </is>
      </c>
      <c r="P2795" s="33" t="inlineStr">
        <is>
          <t>100 Fly</t>
        </is>
      </c>
      <c r="Q2795" s="33" t="inlineStr">
        <is>
          <t>LCM_100_FLY</t>
        </is>
      </c>
      <c r="R2795" s="36" t="n">
        <v>54.56</v>
      </c>
      <c r="S2795" s="35">
        <f>IF(R2795="","",IF(R2795&gt;=60,INT(R2795/60)&amp;":"&amp;TEXT(MOD(R2795,60),"00.00"),TEXT(R2795,"0.00")))</f>
        <v/>
      </c>
      <c r="T2795" s="52">
        <f>IFERROR((G2795-INDEX('01_Swimmers'!$E$5:$E$22,MATCH(B2795,'01_Swimmers'!$A$5:$A$22,0)))/'00_Control'!$B$10,"")</f>
        <v/>
      </c>
      <c r="U2795" s="35">
        <f>IF(T2795="","",INT(T2795))</f>
        <v/>
      </c>
      <c r="V2795" s="33" t="inlineStr">
        <is>
          <t>NO</t>
        </is>
      </c>
      <c r="W2795" s="33" t="inlineStr">
        <is>
          <t>YES</t>
        </is>
      </c>
      <c r="X2795" s="33" t="inlineStr">
        <is>
          <t>NO</t>
        </is>
      </c>
      <c r="Y2795" s="33" t="n">
        <v>7</v>
      </c>
      <c r="Z2795" s="33" t="n">
        <v>4</v>
      </c>
      <c r="AA2795" s="33" t="inlineStr">
        <is>
          <t>2</t>
        </is>
      </c>
      <c r="AB2795" s="33" t="inlineStr">
        <is>
          <t>https://www.swimcloud.com/results/269377/event/8/?id=102113908#time102113908</t>
        </is>
      </c>
      <c r="AC2795" s="33" t="inlineStr">
        <is>
          <t>SwimCloud API v6 2026-10-08</t>
        </is>
      </c>
      <c r="AD2795" s="33" t="inlineStr">
        <is>
          <t>Thomas Heilman|2023-06-02|LCM|100|Fly|54.56|2023 PV NCAP Elite Qualifier|PRE|False</t>
        </is>
      </c>
      <c r="AE2795" s="53">
        <f>G2795+L2795/1000+ROW()/1000000000</f>
        <v/>
      </c>
      <c r="AF2795" s="35">
        <f>IF(C2795&lt;&gt;"Grayson Coulter","",COUNTIFS($C$5:$C$2991,"Grayson Coulter",$Q$5:$Q$2991,Q2795,$AE$5:$AE$2991,"&lt;="&amp;AE2795,$R$5:$R$2991,"&lt;"&amp;R2795))</f>
        <v/>
      </c>
      <c r="AG2795" s="35">
        <f>IF(OR(C2795&lt;&gt;"Grayson Coulter",G2795&lt;'00_Control'!$B$7),"",--(AF2795&lt;5))</f>
        <v/>
      </c>
      <c r="AH2795" s="35">
        <f>IF(OR(C2795&lt;&gt;"Grayson Coulter",G2795&lt;'00_Control'!$B$7),"",--(AF2795&lt;10))</f>
        <v/>
      </c>
      <c r="AI2795" s="35">
        <f>IF(AND(C2795="Grayson Coulter",G2795&gt;='00_Control'!$B$7),"YES","NO")</f>
        <v/>
      </c>
      <c r="AJ2795" s="33" t="inlineStr">
        <is>
          <t>OK</t>
        </is>
      </c>
    </row>
    <row r="2796">
      <c r="A2796" s="33" t="inlineStr">
        <is>
          <t>SM002792</t>
        </is>
      </c>
      <c r="B2796" s="33" t="inlineStr">
        <is>
          <t>SW005</t>
        </is>
      </c>
      <c r="C2796" s="33" t="inlineStr">
        <is>
          <t>Thomas Heilman</t>
        </is>
      </c>
      <c r="D2796" s="33" t="inlineStr">
        <is>
          <t>SwimCloud</t>
        </is>
      </c>
      <c r="E2796" s="33" t="inlineStr">
        <is>
          <t>1336401</t>
        </is>
      </c>
      <c r="F2796" s="33" t="inlineStr">
        <is>
          <t>102113909</t>
        </is>
      </c>
      <c r="G2796" s="51" t="n">
        <v>45079</v>
      </c>
      <c r="H2796" s="33" t="inlineStr">
        <is>
          <t>2023 PV NCAP Elite Qualifier</t>
        </is>
      </c>
      <c r="I2796" s="33" t="inlineStr">
        <is>
          <t>269377</t>
        </is>
      </c>
      <c r="J2796" s="33" t="inlineStr"/>
      <c r="K2796" s="33" t="inlineStr">
        <is>
          <t>FIN</t>
        </is>
      </c>
      <c r="L2796" s="35">
        <f>IF(K2796="FIN",3,IF(OR(K2796="SEM",K2796="SEMI"),2,IF(OR(K2796="PRE",K2796="HEAT"),1,IF(V2796="YES",4,2))))</f>
        <v/>
      </c>
      <c r="M2796" s="33" t="inlineStr">
        <is>
          <t>LCM</t>
        </is>
      </c>
      <c r="N2796" s="33" t="n">
        <v>100</v>
      </c>
      <c r="O2796" s="33" t="inlineStr">
        <is>
          <t>Fly</t>
        </is>
      </c>
      <c r="P2796" s="33" t="inlineStr">
        <is>
          <t>100 Fly</t>
        </is>
      </c>
      <c r="Q2796" s="33" t="inlineStr">
        <is>
          <t>LCM_100_FLY</t>
        </is>
      </c>
      <c r="R2796" s="36" t="n">
        <v>52.71</v>
      </c>
      <c r="S2796" s="35">
        <f>IF(R2796="","",IF(R2796&gt;=60,INT(R2796/60)&amp;":"&amp;TEXT(MOD(R2796,60),"00.00"),TEXT(R2796,"0.00")))</f>
        <v/>
      </c>
      <c r="T2796" s="52">
        <f>IFERROR((G2796-INDEX('01_Swimmers'!$E$5:$E$22,MATCH(B2796,'01_Swimmers'!$A$5:$A$22,0)))/'00_Control'!$B$10,"")</f>
        <v/>
      </c>
      <c r="U2796" s="35">
        <f>IF(T2796="","",INT(T2796))</f>
        <v/>
      </c>
      <c r="V2796" s="33" t="inlineStr">
        <is>
          <t>NO</t>
        </is>
      </c>
      <c r="W2796" s="33" t="inlineStr">
        <is>
          <t>YES</t>
        </is>
      </c>
      <c r="X2796" s="33" t="inlineStr">
        <is>
          <t>NO</t>
        </is>
      </c>
      <c r="Y2796" s="33" t="n">
        <v>3</v>
      </c>
      <c r="Z2796" s="33" t="n">
        <v>5</v>
      </c>
      <c r="AA2796" s="33" t="inlineStr">
        <is>
          <t>1</t>
        </is>
      </c>
      <c r="AB2796" s="33" t="inlineStr">
        <is>
          <t>https://www.swimcloud.com/results/269377/event/8/?id=102113909#time102113909</t>
        </is>
      </c>
      <c r="AC2796" s="33" t="inlineStr">
        <is>
          <t>SwimCloud API v6 2026-10-08</t>
        </is>
      </c>
      <c r="AD2796" s="33" t="inlineStr">
        <is>
          <t>Thomas Heilman|2023-06-02|LCM|100|Fly|52.71|2023 PV NCAP Elite Qualifier|FIN|False</t>
        </is>
      </c>
      <c r="AE2796" s="53">
        <f>G2796+L2796/1000+ROW()/1000000000</f>
        <v/>
      </c>
      <c r="AF2796" s="35">
        <f>IF(C2796&lt;&gt;"Grayson Coulter","",COUNTIFS($C$5:$C$2991,"Grayson Coulter",$Q$5:$Q$2991,Q2796,$AE$5:$AE$2991,"&lt;="&amp;AE2796,$R$5:$R$2991,"&lt;"&amp;R2796))</f>
        <v/>
      </c>
      <c r="AG2796" s="35">
        <f>IF(OR(C2796&lt;&gt;"Grayson Coulter",G2796&lt;'00_Control'!$B$7),"",--(AF2796&lt;5))</f>
        <v/>
      </c>
      <c r="AH2796" s="35">
        <f>IF(OR(C2796&lt;&gt;"Grayson Coulter",G2796&lt;'00_Control'!$B$7),"",--(AF2796&lt;10))</f>
        <v/>
      </c>
      <c r="AI2796" s="35">
        <f>IF(AND(C2796="Grayson Coulter",G2796&gt;='00_Control'!$B$7),"YES","NO")</f>
        <v/>
      </c>
      <c r="AJ2796" s="33" t="inlineStr">
        <is>
          <t>OK</t>
        </is>
      </c>
    </row>
    <row r="2797">
      <c r="A2797" s="33" t="inlineStr">
        <is>
          <t>SM002793</t>
        </is>
      </c>
      <c r="B2797" s="33" t="inlineStr">
        <is>
          <t>SW005</t>
        </is>
      </c>
      <c r="C2797" s="33" t="inlineStr">
        <is>
          <t>Thomas Heilman</t>
        </is>
      </c>
      <c r="D2797" s="33" t="inlineStr">
        <is>
          <t>SwimCloud</t>
        </is>
      </c>
      <c r="E2797" s="33" t="inlineStr">
        <is>
          <t>1336401</t>
        </is>
      </c>
      <c r="F2797" s="33" t="inlineStr">
        <is>
          <t>102114256</t>
        </is>
      </c>
      <c r="G2797" s="51" t="n">
        <v>45079</v>
      </c>
      <c r="H2797" s="33" t="inlineStr">
        <is>
          <t>2023 PV NCAP Elite Qualifier</t>
        </is>
      </c>
      <c r="I2797" s="33" t="inlineStr">
        <is>
          <t>269377</t>
        </is>
      </c>
      <c r="J2797" s="33" t="inlineStr"/>
      <c r="K2797" s="33" t="inlineStr">
        <is>
          <t>PRE</t>
        </is>
      </c>
      <c r="L2797" s="35">
        <f>IF(K2797="FIN",3,IF(OR(K2797="SEM",K2797="SEMI"),2,IF(OR(K2797="PRE",K2797="HEAT"),1,IF(V2797="YES",4,2))))</f>
        <v/>
      </c>
      <c r="M2797" s="33" t="inlineStr">
        <is>
          <t>LCM</t>
        </is>
      </c>
      <c r="N2797" s="33" t="n">
        <v>200</v>
      </c>
      <c r="O2797" s="33" t="inlineStr">
        <is>
          <t>Free</t>
        </is>
      </c>
      <c r="P2797" s="33" t="inlineStr">
        <is>
          <t>200 Free</t>
        </is>
      </c>
      <c r="Q2797" s="33" t="inlineStr">
        <is>
          <t>LCM_200_FREE</t>
        </is>
      </c>
      <c r="R2797" s="36" t="n">
        <v>112.7</v>
      </c>
      <c r="S2797" s="35">
        <f>IF(R2797="","",IF(R2797&gt;=60,INT(R2797/60)&amp;":"&amp;TEXT(MOD(R2797,60),"00.00"),TEXT(R2797,"0.00")))</f>
        <v/>
      </c>
      <c r="T2797" s="52">
        <f>IFERROR((G2797-INDEX('01_Swimmers'!$E$5:$E$22,MATCH(B2797,'01_Swimmers'!$A$5:$A$22,0)))/'00_Control'!$B$10,"")</f>
        <v/>
      </c>
      <c r="U2797" s="35">
        <f>IF(T2797="","",INT(T2797))</f>
        <v/>
      </c>
      <c r="V2797" s="33" t="inlineStr">
        <is>
          <t>NO</t>
        </is>
      </c>
      <c r="W2797" s="33" t="inlineStr">
        <is>
          <t>YES</t>
        </is>
      </c>
      <c r="X2797" s="33" t="inlineStr">
        <is>
          <t>NO</t>
        </is>
      </c>
      <c r="Y2797" s="33" t="n">
        <v>7</v>
      </c>
      <c r="Z2797" s="33" t="n">
        <v>4</v>
      </c>
      <c r="AA2797" s="33" t="inlineStr">
        <is>
          <t>1</t>
        </is>
      </c>
      <c r="AB2797" s="33" t="inlineStr">
        <is>
          <t>https://www.swimcloud.com/results/269377/event/2/?id=102114256#time102114256</t>
        </is>
      </c>
      <c r="AC2797" s="33" t="inlineStr">
        <is>
          <t>SwimCloud API v6 2026-10-08</t>
        </is>
      </c>
      <c r="AD2797" s="33" t="inlineStr">
        <is>
          <t>Thomas Heilman|2023-06-02|LCM|200|Free|112.7|2023 PV NCAP Elite Qualifier|PRE|False</t>
        </is>
      </c>
      <c r="AE2797" s="53">
        <f>G2797+L2797/1000+ROW()/1000000000</f>
        <v/>
      </c>
      <c r="AF2797" s="35">
        <f>IF(C2797&lt;&gt;"Grayson Coulter","",COUNTIFS($C$5:$C$2991,"Grayson Coulter",$Q$5:$Q$2991,Q2797,$AE$5:$AE$2991,"&lt;="&amp;AE2797,$R$5:$R$2991,"&lt;"&amp;R2797))</f>
        <v/>
      </c>
      <c r="AG2797" s="35">
        <f>IF(OR(C2797&lt;&gt;"Grayson Coulter",G2797&lt;'00_Control'!$B$7),"",--(AF2797&lt;5))</f>
        <v/>
      </c>
      <c r="AH2797" s="35">
        <f>IF(OR(C2797&lt;&gt;"Grayson Coulter",G2797&lt;'00_Control'!$B$7),"",--(AF2797&lt;10))</f>
        <v/>
      </c>
      <c r="AI2797" s="35">
        <f>IF(AND(C2797="Grayson Coulter",G2797&gt;='00_Control'!$B$7),"YES","NO")</f>
        <v/>
      </c>
      <c r="AJ2797" s="33" t="inlineStr">
        <is>
          <t>OK</t>
        </is>
      </c>
    </row>
    <row r="2798">
      <c r="A2798" s="33" t="inlineStr">
        <is>
          <t>SM002794</t>
        </is>
      </c>
      <c r="B2798" s="33" t="inlineStr">
        <is>
          <t>SW005</t>
        </is>
      </c>
      <c r="C2798" s="33" t="inlineStr">
        <is>
          <t>Thomas Heilman</t>
        </is>
      </c>
      <c r="D2798" s="33" t="inlineStr">
        <is>
          <t>SwimCloud</t>
        </is>
      </c>
      <c r="E2798" s="33" t="inlineStr">
        <is>
          <t>1336401</t>
        </is>
      </c>
      <c r="F2798" s="33" t="inlineStr">
        <is>
          <t>102114257</t>
        </is>
      </c>
      <c r="G2798" s="51" t="n">
        <v>45079</v>
      </c>
      <c r="H2798" s="33" t="inlineStr">
        <is>
          <t>2023 PV NCAP Elite Qualifier</t>
        </is>
      </c>
      <c r="I2798" s="33" t="inlineStr">
        <is>
          <t>269377</t>
        </is>
      </c>
      <c r="J2798" s="33" t="inlineStr"/>
      <c r="K2798" s="33" t="inlineStr">
        <is>
          <t>FIN</t>
        </is>
      </c>
      <c r="L2798" s="35">
        <f>IF(K2798="FIN",3,IF(OR(K2798="SEM",K2798="SEMI"),2,IF(OR(K2798="PRE",K2798="HEAT"),1,IF(V2798="YES",4,2))))</f>
        <v/>
      </c>
      <c r="M2798" s="33" t="inlineStr">
        <is>
          <t>LCM</t>
        </is>
      </c>
      <c r="N2798" s="33" t="n">
        <v>200</v>
      </c>
      <c r="O2798" s="33" t="inlineStr">
        <is>
          <t>Free</t>
        </is>
      </c>
      <c r="P2798" s="33" t="inlineStr">
        <is>
          <t>200 Free</t>
        </is>
      </c>
      <c r="Q2798" s="33" t="inlineStr">
        <is>
          <t>LCM_200_FREE</t>
        </is>
      </c>
      <c r="R2798" s="36" t="n">
        <v>109.13</v>
      </c>
      <c r="S2798" s="35">
        <f>IF(R2798="","",IF(R2798&gt;=60,INT(R2798/60)&amp;":"&amp;TEXT(MOD(R2798,60),"00.00"),TEXT(R2798,"0.00")))</f>
        <v/>
      </c>
      <c r="T2798" s="52">
        <f>IFERROR((G2798-INDEX('01_Swimmers'!$E$5:$E$22,MATCH(B2798,'01_Swimmers'!$A$5:$A$22,0)))/'00_Control'!$B$10,"")</f>
        <v/>
      </c>
      <c r="U2798" s="35">
        <f>IF(T2798="","",INT(T2798))</f>
        <v/>
      </c>
      <c r="V2798" s="33" t="inlineStr">
        <is>
          <t>NO</t>
        </is>
      </c>
      <c r="W2798" s="33" t="inlineStr">
        <is>
          <t>YES</t>
        </is>
      </c>
      <c r="X2798" s="33" t="inlineStr">
        <is>
          <t>NO</t>
        </is>
      </c>
      <c r="Y2798" s="33" t="n">
        <v>3</v>
      </c>
      <c r="Z2798" s="33" t="n">
        <v>4</v>
      </c>
      <c r="AA2798" s="33" t="inlineStr">
        <is>
          <t>1</t>
        </is>
      </c>
      <c r="AB2798" s="33" t="inlineStr">
        <is>
          <t>https://www.swimcloud.com/results/269377/event/2/?id=102114257#time102114257</t>
        </is>
      </c>
      <c r="AC2798" s="33" t="inlineStr">
        <is>
          <t>SwimCloud API v6 2026-10-08</t>
        </is>
      </c>
      <c r="AD2798" s="33" t="inlineStr">
        <is>
          <t>Thomas Heilman|2023-06-02|LCM|200|Free|109.13|2023 PV NCAP Elite Qualifier|FIN|False</t>
        </is>
      </c>
      <c r="AE2798" s="53">
        <f>G2798+L2798/1000+ROW()/1000000000</f>
        <v/>
      </c>
      <c r="AF2798" s="35">
        <f>IF(C2798&lt;&gt;"Grayson Coulter","",COUNTIFS($C$5:$C$2991,"Grayson Coulter",$Q$5:$Q$2991,Q2798,$AE$5:$AE$2991,"&lt;="&amp;AE2798,$R$5:$R$2991,"&lt;"&amp;R2798))</f>
        <v/>
      </c>
      <c r="AG2798" s="35">
        <f>IF(OR(C2798&lt;&gt;"Grayson Coulter",G2798&lt;'00_Control'!$B$7),"",--(AF2798&lt;5))</f>
        <v/>
      </c>
      <c r="AH2798" s="35">
        <f>IF(OR(C2798&lt;&gt;"Grayson Coulter",G2798&lt;'00_Control'!$B$7),"",--(AF2798&lt;10))</f>
        <v/>
      </c>
      <c r="AI2798" s="35">
        <f>IF(AND(C2798="Grayson Coulter",G2798&gt;='00_Control'!$B$7),"YES","NO")</f>
        <v/>
      </c>
      <c r="AJ2798" s="33" t="inlineStr">
        <is>
          <t>OK</t>
        </is>
      </c>
    </row>
    <row r="2799">
      <c r="A2799" s="33" t="inlineStr">
        <is>
          <t>SM002795</t>
        </is>
      </c>
      <c r="B2799" s="33" t="inlineStr">
        <is>
          <t>SW005</t>
        </is>
      </c>
      <c r="C2799" s="33" t="inlineStr">
        <is>
          <t>Thomas Heilman</t>
        </is>
      </c>
      <c r="D2799" s="33" t="inlineStr">
        <is>
          <t>SwimCloud</t>
        </is>
      </c>
      <c r="E2799" s="33" t="inlineStr">
        <is>
          <t>1336401</t>
        </is>
      </c>
      <c r="F2799" s="33" t="inlineStr">
        <is>
          <t>102113585</t>
        </is>
      </c>
      <c r="G2799" s="51" t="n">
        <v>45081</v>
      </c>
      <c r="H2799" s="33" t="inlineStr">
        <is>
          <t>2023 PV NCAP Elite Qualifier</t>
        </is>
      </c>
      <c r="I2799" s="33" t="inlineStr">
        <is>
          <t>269377</t>
        </is>
      </c>
      <c r="J2799" s="33" t="inlineStr"/>
      <c r="K2799" s="33" t="inlineStr">
        <is>
          <t>PRE</t>
        </is>
      </c>
      <c r="L2799" s="35">
        <f>IF(K2799="FIN",3,IF(OR(K2799="SEM",K2799="SEMI"),2,IF(OR(K2799="PRE",K2799="HEAT"),1,IF(V2799="YES",4,2))))</f>
        <v/>
      </c>
      <c r="M2799" s="33" t="inlineStr">
        <is>
          <t>LCM</t>
        </is>
      </c>
      <c r="N2799" s="33" t="n">
        <v>100</v>
      </c>
      <c r="O2799" s="33" t="inlineStr">
        <is>
          <t>Free</t>
        </is>
      </c>
      <c r="P2799" s="33" t="inlineStr">
        <is>
          <t>100 Free</t>
        </is>
      </c>
      <c r="Q2799" s="33" t="inlineStr">
        <is>
          <t>LCM_100_FREE</t>
        </is>
      </c>
      <c r="R2799" s="36" t="n">
        <v>50.78</v>
      </c>
      <c r="S2799" s="35">
        <f>IF(R2799="","",IF(R2799&gt;=60,INT(R2799/60)&amp;":"&amp;TEXT(MOD(R2799,60),"00.00"),TEXT(R2799,"0.00")))</f>
        <v/>
      </c>
      <c r="T2799" s="52">
        <f>IFERROR((G2799-INDEX('01_Swimmers'!$E$5:$E$22,MATCH(B2799,'01_Swimmers'!$A$5:$A$22,0)))/'00_Control'!$B$10,"")</f>
        <v/>
      </c>
      <c r="U2799" s="35">
        <f>IF(T2799="","",INT(T2799))</f>
        <v/>
      </c>
      <c r="V2799" s="33" t="inlineStr">
        <is>
          <t>NO</t>
        </is>
      </c>
      <c r="W2799" s="33" t="inlineStr">
        <is>
          <t>YES</t>
        </is>
      </c>
      <c r="X2799" s="33" t="inlineStr">
        <is>
          <t>NO</t>
        </is>
      </c>
      <c r="Y2799" s="33" t="n">
        <v>9</v>
      </c>
      <c r="Z2799" s="33" t="n">
        <v>4</v>
      </c>
      <c r="AA2799" s="33" t="inlineStr">
        <is>
          <t>1</t>
        </is>
      </c>
      <c r="AB2799" s="33" t="inlineStr">
        <is>
          <t>https://www.swimcloud.com/results/269377/event/32/?id=102113585#time102113585</t>
        </is>
      </c>
      <c r="AC2799" s="33" t="inlineStr">
        <is>
          <t>SwimCloud API v6 2026-10-08</t>
        </is>
      </c>
      <c r="AD2799" s="33" t="inlineStr">
        <is>
          <t>Thomas Heilman|2023-06-04|LCM|100|Free|50.78|2023 PV NCAP Elite Qualifier|PRE|False</t>
        </is>
      </c>
      <c r="AE2799" s="53">
        <f>G2799+L2799/1000+ROW()/1000000000</f>
        <v/>
      </c>
      <c r="AF2799" s="35">
        <f>IF(C2799&lt;&gt;"Grayson Coulter","",COUNTIFS($C$5:$C$2991,"Grayson Coulter",$Q$5:$Q$2991,Q2799,$AE$5:$AE$2991,"&lt;="&amp;AE2799,$R$5:$R$2991,"&lt;"&amp;R2799))</f>
        <v/>
      </c>
      <c r="AG2799" s="35">
        <f>IF(OR(C2799&lt;&gt;"Grayson Coulter",G2799&lt;'00_Control'!$B$7),"",--(AF2799&lt;5))</f>
        <v/>
      </c>
      <c r="AH2799" s="35">
        <f>IF(OR(C2799&lt;&gt;"Grayson Coulter",G2799&lt;'00_Control'!$B$7),"",--(AF2799&lt;10))</f>
        <v/>
      </c>
      <c r="AI2799" s="35">
        <f>IF(AND(C2799="Grayson Coulter",G2799&gt;='00_Control'!$B$7),"YES","NO")</f>
        <v/>
      </c>
      <c r="AJ2799" s="33" t="inlineStr">
        <is>
          <t>OK</t>
        </is>
      </c>
    </row>
    <row r="2800">
      <c r="A2800" s="33" t="inlineStr">
        <is>
          <t>SM002796</t>
        </is>
      </c>
      <c r="B2800" s="33" t="inlineStr">
        <is>
          <t>SW005</t>
        </is>
      </c>
      <c r="C2800" s="33" t="inlineStr">
        <is>
          <t>Thomas Heilman</t>
        </is>
      </c>
      <c r="D2800" s="33" t="inlineStr">
        <is>
          <t>SwimCloud</t>
        </is>
      </c>
      <c r="E2800" s="33" t="inlineStr">
        <is>
          <t>1336401</t>
        </is>
      </c>
      <c r="F2800" s="33" t="inlineStr">
        <is>
          <t>102113586</t>
        </is>
      </c>
      <c r="G2800" s="51" t="n">
        <v>45081</v>
      </c>
      <c r="H2800" s="33" t="inlineStr">
        <is>
          <t>2023 PV NCAP Elite Qualifier</t>
        </is>
      </c>
      <c r="I2800" s="33" t="inlineStr">
        <is>
          <t>269377</t>
        </is>
      </c>
      <c r="J2800" s="33" t="inlineStr"/>
      <c r="K2800" s="33" t="inlineStr">
        <is>
          <t>FIN</t>
        </is>
      </c>
      <c r="L2800" s="35">
        <f>IF(K2800="FIN",3,IF(OR(K2800="SEM",K2800="SEMI"),2,IF(OR(K2800="PRE",K2800="HEAT"),1,IF(V2800="YES",4,2))))</f>
        <v/>
      </c>
      <c r="M2800" s="33" t="inlineStr">
        <is>
          <t>LCM</t>
        </is>
      </c>
      <c r="N2800" s="33" t="n">
        <v>100</v>
      </c>
      <c r="O2800" s="33" t="inlineStr">
        <is>
          <t>Free</t>
        </is>
      </c>
      <c r="P2800" s="33" t="inlineStr">
        <is>
          <t>100 Free</t>
        </is>
      </c>
      <c r="Q2800" s="33" t="inlineStr">
        <is>
          <t>LCM_100_FREE</t>
        </is>
      </c>
      <c r="R2800" s="36" t="n">
        <v>49.72</v>
      </c>
      <c r="S2800" s="35">
        <f>IF(R2800="","",IF(R2800&gt;=60,INT(R2800/60)&amp;":"&amp;TEXT(MOD(R2800,60),"00.00"),TEXT(R2800,"0.00")))</f>
        <v/>
      </c>
      <c r="T2800" s="52">
        <f>IFERROR((G2800-INDEX('01_Swimmers'!$E$5:$E$22,MATCH(B2800,'01_Swimmers'!$A$5:$A$22,0)))/'00_Control'!$B$10,"")</f>
        <v/>
      </c>
      <c r="U2800" s="35">
        <f>IF(T2800="","",INT(T2800))</f>
        <v/>
      </c>
      <c r="V2800" s="33" t="inlineStr">
        <is>
          <t>NO</t>
        </is>
      </c>
      <c r="W2800" s="33" t="inlineStr">
        <is>
          <t>YES</t>
        </is>
      </c>
      <c r="X2800" s="33" t="inlineStr">
        <is>
          <t>NO</t>
        </is>
      </c>
      <c r="Y2800" s="33" t="n">
        <v>3</v>
      </c>
      <c r="Z2800" s="33" t="n">
        <v>4</v>
      </c>
      <c r="AA2800" s="33" t="inlineStr">
        <is>
          <t>1</t>
        </is>
      </c>
      <c r="AB2800" s="33" t="inlineStr">
        <is>
          <t>https://www.swimcloud.com/results/269377/event/32/?id=102113586#time102113586</t>
        </is>
      </c>
      <c r="AC2800" s="33" t="inlineStr">
        <is>
          <t>SwimCloud API v6 2026-10-08</t>
        </is>
      </c>
      <c r="AD2800" s="33" t="inlineStr">
        <is>
          <t>Thomas Heilman|2023-06-04|LCM|100|Free|49.72|2023 PV NCAP Elite Qualifier|FIN|False</t>
        </is>
      </c>
      <c r="AE2800" s="53">
        <f>G2800+L2800/1000+ROW()/1000000000</f>
        <v/>
      </c>
      <c r="AF2800" s="35">
        <f>IF(C2800&lt;&gt;"Grayson Coulter","",COUNTIFS($C$5:$C$2991,"Grayson Coulter",$Q$5:$Q$2991,Q2800,$AE$5:$AE$2991,"&lt;="&amp;AE2800,$R$5:$R$2991,"&lt;"&amp;R2800))</f>
        <v/>
      </c>
      <c r="AG2800" s="35">
        <f>IF(OR(C2800&lt;&gt;"Grayson Coulter",G2800&lt;'00_Control'!$B$7),"",--(AF2800&lt;5))</f>
        <v/>
      </c>
      <c r="AH2800" s="35">
        <f>IF(OR(C2800&lt;&gt;"Grayson Coulter",G2800&lt;'00_Control'!$B$7),"",--(AF2800&lt;10))</f>
        <v/>
      </c>
      <c r="AI2800" s="35">
        <f>IF(AND(C2800="Grayson Coulter",G2800&gt;='00_Control'!$B$7),"YES","NO")</f>
        <v/>
      </c>
      <c r="AJ2800" s="33" t="inlineStr">
        <is>
          <t>OK</t>
        </is>
      </c>
    </row>
    <row r="2801">
      <c r="A2801" s="33" t="inlineStr">
        <is>
          <t>SM002797</t>
        </is>
      </c>
      <c r="B2801" s="33" t="inlineStr">
        <is>
          <t>SW005</t>
        </is>
      </c>
      <c r="C2801" s="33" t="inlineStr">
        <is>
          <t>Thomas Heilman</t>
        </is>
      </c>
      <c r="D2801" s="33" t="inlineStr">
        <is>
          <t>SwimCloud</t>
        </is>
      </c>
      <c r="E2801" s="33" t="inlineStr">
        <is>
          <t>1336401</t>
        </is>
      </c>
      <c r="F2801" s="33" t="inlineStr">
        <is>
          <t>103344254</t>
        </is>
      </c>
      <c r="G2801" s="51" t="n">
        <v>45104</v>
      </c>
      <c r="H2801" s="33" t="inlineStr">
        <is>
          <t>Phillips 66 USA National Championships</t>
        </is>
      </c>
      <c r="I2801" s="33" t="inlineStr">
        <is>
          <t>234779</t>
        </is>
      </c>
      <c r="J2801" s="33" t="inlineStr"/>
      <c r="K2801" s="33" t="inlineStr">
        <is>
          <t>PRE</t>
        </is>
      </c>
      <c r="L2801" s="35">
        <f>IF(K2801="FIN",3,IF(OR(K2801="SEM",K2801="SEMI"),2,IF(OR(K2801="PRE",K2801="HEAT"),1,IF(V2801="YES",4,2))))</f>
        <v/>
      </c>
      <c r="M2801" s="33" t="inlineStr">
        <is>
          <t>LCM</t>
        </is>
      </c>
      <c r="N2801" s="33" t="n">
        <v>100</v>
      </c>
      <c r="O2801" s="33" t="inlineStr">
        <is>
          <t>Free</t>
        </is>
      </c>
      <c r="P2801" s="33" t="inlineStr">
        <is>
          <t>100 Free</t>
        </is>
      </c>
      <c r="Q2801" s="33" t="inlineStr">
        <is>
          <t>LCM_100_FREE</t>
        </is>
      </c>
      <c r="R2801" s="36" t="n">
        <v>49.2</v>
      </c>
      <c r="S2801" s="35">
        <f>IF(R2801="","",IF(R2801&gt;=60,INT(R2801/60)&amp;":"&amp;TEXT(MOD(R2801,60),"00.00"),TEXT(R2801,"0.00")))</f>
        <v/>
      </c>
      <c r="T2801" s="52">
        <f>IFERROR((G2801-INDEX('01_Swimmers'!$E$5:$E$22,MATCH(B2801,'01_Swimmers'!$A$5:$A$22,0)))/'00_Control'!$B$10,"")</f>
        <v/>
      </c>
      <c r="U2801" s="35">
        <f>IF(T2801="","",INT(T2801))</f>
        <v/>
      </c>
      <c r="V2801" s="33" t="inlineStr">
        <is>
          <t>NO</t>
        </is>
      </c>
      <c r="W2801" s="33" t="inlineStr">
        <is>
          <t>YES</t>
        </is>
      </c>
      <c r="X2801" s="33" t="inlineStr">
        <is>
          <t>NO</t>
        </is>
      </c>
      <c r="Y2801" s="33" t="n">
        <v>7</v>
      </c>
      <c r="Z2801" s="33" t="n">
        <v>1</v>
      </c>
      <c r="AA2801" s="33" t="inlineStr">
        <is>
          <t>24</t>
        </is>
      </c>
      <c r="AB2801" s="33" t="inlineStr">
        <is>
          <t>https://www.swimcloud.com/results/234779/event/4/?id=103344254#time103344254</t>
        </is>
      </c>
      <c r="AC2801" s="33" t="inlineStr">
        <is>
          <t>SwimCloud API v6 2026-10-08</t>
        </is>
      </c>
      <c r="AD2801" s="33" t="inlineStr">
        <is>
          <t>Thomas Heilman|2023-06-27|LCM|100|Free|49.2|Phillips 66 USA National Championships|PRE|False</t>
        </is>
      </c>
      <c r="AE2801" s="53">
        <f>G2801+L2801/1000+ROW()/1000000000</f>
        <v/>
      </c>
      <c r="AF2801" s="35">
        <f>IF(C2801&lt;&gt;"Grayson Coulter","",COUNTIFS($C$5:$C$2991,"Grayson Coulter",$Q$5:$Q$2991,Q2801,$AE$5:$AE$2991,"&lt;="&amp;AE2801,$R$5:$R$2991,"&lt;"&amp;R2801))</f>
        <v/>
      </c>
      <c r="AG2801" s="35">
        <f>IF(OR(C2801&lt;&gt;"Grayson Coulter",G2801&lt;'00_Control'!$B$7),"",--(AF2801&lt;5))</f>
        <v/>
      </c>
      <c r="AH2801" s="35">
        <f>IF(OR(C2801&lt;&gt;"Grayson Coulter",G2801&lt;'00_Control'!$B$7),"",--(AF2801&lt;10))</f>
        <v/>
      </c>
      <c r="AI2801" s="35">
        <f>IF(AND(C2801="Grayson Coulter",G2801&gt;='00_Control'!$B$7),"YES","NO")</f>
        <v/>
      </c>
      <c r="AJ2801" s="33" t="inlineStr">
        <is>
          <t>OK</t>
        </is>
      </c>
    </row>
    <row r="2802">
      <c r="A2802" s="33" t="inlineStr">
        <is>
          <t>SM002798</t>
        </is>
      </c>
      <c r="B2802" s="33" t="inlineStr">
        <is>
          <t>SW005</t>
        </is>
      </c>
      <c r="C2802" s="33" t="inlineStr">
        <is>
          <t>Thomas Heilman</t>
        </is>
      </c>
      <c r="D2802" s="33" t="inlineStr">
        <is>
          <t>SwimCloud</t>
        </is>
      </c>
      <c r="E2802" s="33" t="inlineStr">
        <is>
          <t>1336401</t>
        </is>
      </c>
      <c r="F2802" s="33" t="inlineStr">
        <is>
          <t>103344257</t>
        </is>
      </c>
      <c r="G2802" s="51" t="n">
        <v>45105</v>
      </c>
      <c r="H2802" s="33" t="inlineStr">
        <is>
          <t>Phillips 66 USA National Championships</t>
        </is>
      </c>
      <c r="I2802" s="33" t="inlineStr">
        <is>
          <t>234779</t>
        </is>
      </c>
      <c r="J2802" s="33" t="inlineStr"/>
      <c r="K2802" s="33" t="inlineStr">
        <is>
          <t>PRE</t>
        </is>
      </c>
      <c r="L2802" s="35">
        <f>IF(K2802="FIN",3,IF(OR(K2802="SEM",K2802="SEMI"),2,IF(OR(K2802="PRE",K2802="HEAT"),1,IF(V2802="YES",4,2))))</f>
        <v/>
      </c>
      <c r="M2802" s="33" t="inlineStr">
        <is>
          <t>LCM</t>
        </is>
      </c>
      <c r="N2802" s="33" t="n">
        <v>200</v>
      </c>
      <c r="O2802" s="33" t="inlineStr">
        <is>
          <t>Free</t>
        </is>
      </c>
      <c r="P2802" s="33" t="inlineStr">
        <is>
          <t>200 Free</t>
        </is>
      </c>
      <c r="Q2802" s="33" t="inlineStr">
        <is>
          <t>LCM_200_FREE</t>
        </is>
      </c>
      <c r="R2802" s="36" t="n">
        <v>109.42</v>
      </c>
      <c r="S2802" s="35">
        <f>IF(R2802="","",IF(R2802&gt;=60,INT(R2802/60)&amp;":"&amp;TEXT(MOD(R2802,60),"00.00"),TEXT(R2802,"0.00")))</f>
        <v/>
      </c>
      <c r="T2802" s="52">
        <f>IFERROR((G2802-INDEX('01_Swimmers'!$E$5:$E$22,MATCH(B2802,'01_Swimmers'!$A$5:$A$22,0)))/'00_Control'!$B$10,"")</f>
        <v/>
      </c>
      <c r="U2802" s="35">
        <f>IF(T2802="","",INT(T2802))</f>
        <v/>
      </c>
      <c r="V2802" s="33" t="inlineStr">
        <is>
          <t>NO</t>
        </is>
      </c>
      <c r="W2802" s="33" t="inlineStr">
        <is>
          <t>YES</t>
        </is>
      </c>
      <c r="X2802" s="33" t="inlineStr">
        <is>
          <t>NO</t>
        </is>
      </c>
      <c r="Y2802" s="33" t="n">
        <v>6</v>
      </c>
      <c r="Z2802" s="33" t="n">
        <v>8</v>
      </c>
      <c r="AA2802" s="33" t="inlineStr">
        <is>
          <t>28</t>
        </is>
      </c>
      <c r="AB2802" s="33" t="inlineStr">
        <is>
          <t>https://www.swimcloud.com/results/234779/event/8/?id=103344257#time103344257</t>
        </is>
      </c>
      <c r="AC2802" s="33" t="inlineStr">
        <is>
          <t>SwimCloud API v6 2026-10-08</t>
        </is>
      </c>
      <c r="AD2802" s="33" t="inlineStr">
        <is>
          <t>Thomas Heilman|2023-06-28|LCM|200|Free|109.42|Phillips 66 USA National Championships|PRE|False</t>
        </is>
      </c>
      <c r="AE2802" s="53">
        <f>G2802+L2802/1000+ROW()/1000000000</f>
        <v/>
      </c>
      <c r="AF2802" s="35">
        <f>IF(C2802&lt;&gt;"Grayson Coulter","",COUNTIFS($C$5:$C$2991,"Grayson Coulter",$Q$5:$Q$2991,Q2802,$AE$5:$AE$2991,"&lt;="&amp;AE2802,$R$5:$R$2991,"&lt;"&amp;R2802))</f>
        <v/>
      </c>
      <c r="AG2802" s="35">
        <f>IF(OR(C2802&lt;&gt;"Grayson Coulter",G2802&lt;'00_Control'!$B$7),"",--(AF2802&lt;5))</f>
        <v/>
      </c>
      <c r="AH2802" s="35">
        <f>IF(OR(C2802&lt;&gt;"Grayson Coulter",G2802&lt;'00_Control'!$B$7),"",--(AF2802&lt;10))</f>
        <v/>
      </c>
      <c r="AI2802" s="35">
        <f>IF(AND(C2802="Grayson Coulter",G2802&gt;='00_Control'!$B$7),"YES","NO")</f>
        <v/>
      </c>
      <c r="AJ2802" s="33" t="inlineStr">
        <is>
          <t>OK</t>
        </is>
      </c>
    </row>
    <row r="2803">
      <c r="A2803" s="33" t="inlineStr">
        <is>
          <t>SM002799</t>
        </is>
      </c>
      <c r="B2803" s="33" t="inlineStr">
        <is>
          <t>SW005</t>
        </is>
      </c>
      <c r="C2803" s="33" t="inlineStr">
        <is>
          <t>Thomas Heilman</t>
        </is>
      </c>
      <c r="D2803" s="33" t="inlineStr">
        <is>
          <t>SwimCloud</t>
        </is>
      </c>
      <c r="E2803" s="33" t="inlineStr">
        <is>
          <t>1336401</t>
        </is>
      </c>
      <c r="F2803" s="33" t="inlineStr">
        <is>
          <t>103344253</t>
        </is>
      </c>
      <c r="G2803" s="51" t="n">
        <v>45106</v>
      </c>
      <c r="H2803" s="33" t="inlineStr">
        <is>
          <t>Phillips 66 USA National Championships</t>
        </is>
      </c>
      <c r="I2803" s="33" t="inlineStr">
        <is>
          <t>234779</t>
        </is>
      </c>
      <c r="J2803" s="33" t="inlineStr"/>
      <c r="K2803" s="33" t="inlineStr">
        <is>
          <t>PRE</t>
        </is>
      </c>
      <c r="L2803" s="35">
        <f>IF(K2803="FIN",3,IF(OR(K2803="SEM",K2803="SEMI"),2,IF(OR(K2803="PRE",K2803="HEAT"),1,IF(V2803="YES",4,2))))</f>
        <v/>
      </c>
      <c r="M2803" s="33" t="inlineStr">
        <is>
          <t>LCM</t>
        </is>
      </c>
      <c r="N2803" s="33" t="n">
        <v>100</v>
      </c>
      <c r="O2803" s="33" t="inlineStr">
        <is>
          <t>Fly</t>
        </is>
      </c>
      <c r="P2803" s="33" t="inlineStr">
        <is>
          <t>100 Fly</t>
        </is>
      </c>
      <c r="Q2803" s="33" t="inlineStr">
        <is>
          <t>LCM_100_FLY</t>
        </is>
      </c>
      <c r="R2803" s="36" t="n">
        <v>51.78</v>
      </c>
      <c r="S2803" s="35">
        <f>IF(R2803="","",IF(R2803&gt;=60,INT(R2803/60)&amp;":"&amp;TEXT(MOD(R2803,60),"00.00"),TEXT(R2803,"0.00")))</f>
        <v/>
      </c>
      <c r="T2803" s="52">
        <f>IFERROR((G2803-INDEX('01_Swimmers'!$E$5:$E$22,MATCH(B2803,'01_Swimmers'!$A$5:$A$22,0)))/'00_Control'!$B$10,"")</f>
        <v/>
      </c>
      <c r="U2803" s="35">
        <f>IF(T2803="","",INT(T2803))</f>
        <v/>
      </c>
      <c r="V2803" s="33" t="inlineStr">
        <is>
          <t>NO</t>
        </is>
      </c>
      <c r="W2803" s="33" t="inlineStr">
        <is>
          <t>YES</t>
        </is>
      </c>
      <c r="X2803" s="33" t="inlineStr">
        <is>
          <t>NO</t>
        </is>
      </c>
      <c r="Y2803" s="33" t="n">
        <v>5</v>
      </c>
      <c r="Z2803" s="33" t="n">
        <v>3</v>
      </c>
      <c r="AA2803" s="33" t="inlineStr">
        <is>
          <t>6</t>
        </is>
      </c>
      <c r="AB2803" s="33" t="inlineStr">
        <is>
          <t>https://www.swimcloud.com/results/234779/event/18/?id=103344253#time103344253</t>
        </is>
      </c>
      <c r="AC2803" s="33" t="inlineStr">
        <is>
          <t>SwimCloud API v6 2026-10-08</t>
        </is>
      </c>
      <c r="AD2803" s="33" t="inlineStr">
        <is>
          <t>Thomas Heilman|2023-06-29|LCM|100|Fly|51.78|Phillips 66 USA National Championships|PRE|False</t>
        </is>
      </c>
      <c r="AE2803" s="53">
        <f>G2803+L2803/1000+ROW()/1000000000</f>
        <v/>
      </c>
      <c r="AF2803" s="35">
        <f>IF(C2803&lt;&gt;"Grayson Coulter","",COUNTIFS($C$5:$C$2991,"Grayson Coulter",$Q$5:$Q$2991,Q2803,$AE$5:$AE$2991,"&lt;="&amp;AE2803,$R$5:$R$2991,"&lt;"&amp;R2803))</f>
        <v/>
      </c>
      <c r="AG2803" s="35">
        <f>IF(OR(C2803&lt;&gt;"Grayson Coulter",G2803&lt;'00_Control'!$B$7),"",--(AF2803&lt;5))</f>
        <v/>
      </c>
      <c r="AH2803" s="35">
        <f>IF(OR(C2803&lt;&gt;"Grayson Coulter",G2803&lt;'00_Control'!$B$7),"",--(AF2803&lt;10))</f>
        <v/>
      </c>
      <c r="AI2803" s="35">
        <f>IF(AND(C2803="Grayson Coulter",G2803&gt;='00_Control'!$B$7),"YES","NO")</f>
        <v/>
      </c>
      <c r="AJ2803" s="33" t="inlineStr">
        <is>
          <t>OK</t>
        </is>
      </c>
    </row>
    <row r="2804">
      <c r="A2804" s="33" t="inlineStr">
        <is>
          <t>SM002800</t>
        </is>
      </c>
      <c r="B2804" s="33" t="inlineStr">
        <is>
          <t>SW005</t>
        </is>
      </c>
      <c r="C2804" s="33" t="inlineStr">
        <is>
          <t>Thomas Heilman</t>
        </is>
      </c>
      <c r="D2804" s="33" t="inlineStr">
        <is>
          <t>SwimCloud</t>
        </is>
      </c>
      <c r="E2804" s="33" t="inlineStr">
        <is>
          <t>1336401</t>
        </is>
      </c>
      <c r="F2804" s="33" t="inlineStr">
        <is>
          <t>103344252</t>
        </is>
      </c>
      <c r="G2804" s="51" t="n">
        <v>45106</v>
      </c>
      <c r="H2804" s="33" t="inlineStr">
        <is>
          <t>Phillips 66 USA National Championships</t>
        </is>
      </c>
      <c r="I2804" s="33" t="inlineStr">
        <is>
          <t>234779</t>
        </is>
      </c>
      <c r="J2804" s="33" t="inlineStr"/>
      <c r="K2804" s="33" t="inlineStr">
        <is>
          <t>FIN</t>
        </is>
      </c>
      <c r="L2804" s="35">
        <f>IF(K2804="FIN",3,IF(OR(K2804="SEM",K2804="SEMI"),2,IF(OR(K2804="PRE",K2804="HEAT"),1,IF(V2804="YES",4,2))))</f>
        <v/>
      </c>
      <c r="M2804" s="33" t="inlineStr">
        <is>
          <t>LCM</t>
        </is>
      </c>
      <c r="N2804" s="33" t="n">
        <v>100</v>
      </c>
      <c r="O2804" s="33" t="inlineStr">
        <is>
          <t>Fly</t>
        </is>
      </c>
      <c r="P2804" s="33" t="inlineStr">
        <is>
          <t>100 Fly</t>
        </is>
      </c>
      <c r="Q2804" s="33" t="inlineStr">
        <is>
          <t>LCM_100_FLY</t>
        </is>
      </c>
      <c r="R2804" s="36" t="n">
        <v>51.19</v>
      </c>
      <c r="S2804" s="35">
        <f>IF(R2804="","",IF(R2804&gt;=60,INT(R2804/60)&amp;":"&amp;TEXT(MOD(R2804,60),"00.00"),TEXT(R2804,"0.00")))</f>
        <v/>
      </c>
      <c r="T2804" s="52">
        <f>IFERROR((G2804-INDEX('01_Swimmers'!$E$5:$E$22,MATCH(B2804,'01_Swimmers'!$A$5:$A$22,0)))/'00_Control'!$B$10,"")</f>
        <v/>
      </c>
      <c r="U2804" s="35">
        <f>IF(T2804="","",INT(T2804))</f>
        <v/>
      </c>
      <c r="V2804" s="33" t="inlineStr">
        <is>
          <t>NO</t>
        </is>
      </c>
      <c r="W2804" s="33" t="inlineStr">
        <is>
          <t>YES</t>
        </is>
      </c>
      <c r="X2804" s="33" t="inlineStr">
        <is>
          <t>NO</t>
        </is>
      </c>
      <c r="Y2804" s="33" t="n">
        <v>1</v>
      </c>
      <c r="Z2804" s="33" t="n">
        <v>7</v>
      </c>
      <c r="AA2804" s="33" t="inlineStr">
        <is>
          <t>2</t>
        </is>
      </c>
      <c r="AB2804" s="33" t="inlineStr">
        <is>
          <t>https://www.swimcloud.com/results/234779/event/18/?id=103344252#time103344252</t>
        </is>
      </c>
      <c r="AC2804" s="33" t="inlineStr">
        <is>
          <t>SwimCloud API v6 2026-10-08</t>
        </is>
      </c>
      <c r="AD2804" s="33" t="inlineStr">
        <is>
          <t>Thomas Heilman|2023-06-29|LCM|100|Fly|51.19|Phillips 66 USA National Championships|FIN|False</t>
        </is>
      </c>
      <c r="AE2804" s="53">
        <f>G2804+L2804/1000+ROW()/1000000000</f>
        <v/>
      </c>
      <c r="AF2804" s="35">
        <f>IF(C2804&lt;&gt;"Grayson Coulter","",COUNTIFS($C$5:$C$2991,"Grayson Coulter",$Q$5:$Q$2991,Q2804,$AE$5:$AE$2991,"&lt;="&amp;AE2804,$R$5:$R$2991,"&lt;"&amp;R2804))</f>
        <v/>
      </c>
      <c r="AG2804" s="35">
        <f>IF(OR(C2804&lt;&gt;"Grayson Coulter",G2804&lt;'00_Control'!$B$7),"",--(AF2804&lt;5))</f>
        <v/>
      </c>
      <c r="AH2804" s="35">
        <f>IF(OR(C2804&lt;&gt;"Grayson Coulter",G2804&lt;'00_Control'!$B$7),"",--(AF2804&lt;10))</f>
        <v/>
      </c>
      <c r="AI2804" s="35">
        <f>IF(AND(C2804="Grayson Coulter",G2804&gt;='00_Control'!$B$7),"YES","NO")</f>
        <v/>
      </c>
      <c r="AJ2804" s="33" t="inlineStr">
        <is>
          <t>OK</t>
        </is>
      </c>
    </row>
    <row r="2805">
      <c r="A2805" s="33" t="inlineStr">
        <is>
          <t>SM002801</t>
        </is>
      </c>
      <c r="B2805" s="33" t="inlineStr">
        <is>
          <t>SW005</t>
        </is>
      </c>
      <c r="C2805" s="33" t="inlineStr">
        <is>
          <t>Thomas Heilman</t>
        </is>
      </c>
      <c r="D2805" s="33" t="inlineStr">
        <is>
          <t>SwimCloud</t>
        </is>
      </c>
      <c r="E2805" s="33" t="inlineStr">
        <is>
          <t>1336401</t>
        </is>
      </c>
      <c r="F2805" s="33" t="inlineStr">
        <is>
          <t>104773033</t>
        </is>
      </c>
      <c r="G2805" s="51" t="n">
        <v>45135</v>
      </c>
      <c r="H2805" s="33" t="inlineStr">
        <is>
          <t>20th World Aquatics Championships</t>
        </is>
      </c>
      <c r="I2805" s="33" t="inlineStr">
        <is>
          <t>273652</t>
        </is>
      </c>
      <c r="J2805" s="33" t="inlineStr"/>
      <c r="K2805" s="33" t="inlineStr">
        <is>
          <t>PRE</t>
        </is>
      </c>
      <c r="L2805" s="35">
        <f>IF(K2805="FIN",3,IF(OR(K2805="SEM",K2805="SEMI"),2,IF(OR(K2805="PRE",K2805="HEAT"),1,IF(V2805="YES",4,2))))</f>
        <v/>
      </c>
      <c r="M2805" s="33" t="inlineStr">
        <is>
          <t>LCM</t>
        </is>
      </c>
      <c r="N2805" s="33" t="n">
        <v>100</v>
      </c>
      <c r="O2805" s="33" t="inlineStr">
        <is>
          <t>Fly</t>
        </is>
      </c>
      <c r="P2805" s="33" t="inlineStr">
        <is>
          <t>100 Fly</t>
        </is>
      </c>
      <c r="Q2805" s="33" t="inlineStr">
        <is>
          <t>LCM_100_FLY</t>
        </is>
      </c>
      <c r="R2805" s="36" t="n">
        <v>51.77</v>
      </c>
      <c r="S2805" s="35">
        <f>IF(R2805="","",IF(R2805&gt;=60,INT(R2805/60)&amp;":"&amp;TEXT(MOD(R2805,60),"00.00"),TEXT(R2805,"0.00")))</f>
        <v/>
      </c>
      <c r="T2805" s="52">
        <f>IFERROR((G2805-INDEX('01_Swimmers'!$E$5:$E$22,MATCH(B2805,'01_Swimmers'!$A$5:$A$22,0)))/'00_Control'!$B$10,"")</f>
        <v/>
      </c>
      <c r="U2805" s="35">
        <f>IF(T2805="","",INT(T2805))</f>
        <v/>
      </c>
      <c r="V2805" s="33" t="inlineStr">
        <is>
          <t>NO</t>
        </is>
      </c>
      <c r="W2805" s="33" t="inlineStr">
        <is>
          <t>YES</t>
        </is>
      </c>
      <c r="X2805" s="33" t="inlineStr">
        <is>
          <t>NO</t>
        </is>
      </c>
      <c r="Y2805" s="33" t="n">
        <v>7</v>
      </c>
      <c r="Z2805" s="33" t="n">
        <v>6</v>
      </c>
      <c r="AA2805" s="33" t="inlineStr">
        <is>
          <t>16</t>
        </is>
      </c>
      <c r="AB2805" s="33" t="inlineStr">
        <is>
          <t>https://www.swimcloud.com/results/273652/event/29/?id=104773033#time104773033</t>
        </is>
      </c>
      <c r="AC2805" s="33" t="inlineStr">
        <is>
          <t>SwimCloud API v6 2026-10-08</t>
        </is>
      </c>
      <c r="AD2805" s="33" t="inlineStr">
        <is>
          <t>Thomas Heilman|2023-07-28|LCM|100|Fly|51.77|20th World Aquatics Championships|PRE|False</t>
        </is>
      </c>
      <c r="AE2805" s="53">
        <f>G2805+L2805/1000+ROW()/1000000000</f>
        <v/>
      </c>
      <c r="AF2805" s="35">
        <f>IF(C2805&lt;&gt;"Grayson Coulter","",COUNTIFS($C$5:$C$2991,"Grayson Coulter",$Q$5:$Q$2991,Q2805,$AE$5:$AE$2991,"&lt;="&amp;AE2805,$R$5:$R$2991,"&lt;"&amp;R2805))</f>
        <v/>
      </c>
      <c r="AG2805" s="35">
        <f>IF(OR(C2805&lt;&gt;"Grayson Coulter",G2805&lt;'00_Control'!$B$7),"",--(AF2805&lt;5))</f>
        <v/>
      </c>
      <c r="AH2805" s="35">
        <f>IF(OR(C2805&lt;&gt;"Grayson Coulter",G2805&lt;'00_Control'!$B$7),"",--(AF2805&lt;10))</f>
        <v/>
      </c>
      <c r="AI2805" s="35">
        <f>IF(AND(C2805="Grayson Coulter",G2805&gt;='00_Control'!$B$7),"YES","NO")</f>
        <v/>
      </c>
      <c r="AJ2805" s="33" t="inlineStr">
        <is>
          <t>OK</t>
        </is>
      </c>
    </row>
    <row r="2806">
      <c r="A2806" s="33" t="inlineStr">
        <is>
          <t>SM002802</t>
        </is>
      </c>
      <c r="B2806" s="33" t="inlineStr">
        <is>
          <t>SW005</t>
        </is>
      </c>
      <c r="C2806" s="33" t="inlineStr">
        <is>
          <t>Thomas Heilman</t>
        </is>
      </c>
      <c r="D2806" s="33" t="inlineStr">
        <is>
          <t>SwimCloud</t>
        </is>
      </c>
      <c r="E2806" s="33" t="inlineStr">
        <is>
          <t>1336401</t>
        </is>
      </c>
      <c r="F2806" s="33" t="inlineStr">
        <is>
          <t>104773034</t>
        </is>
      </c>
      <c r="G2806" s="51" t="n">
        <v>45135</v>
      </c>
      <c r="H2806" s="33" t="inlineStr">
        <is>
          <t>20th World Aquatics Championships</t>
        </is>
      </c>
      <c r="I2806" s="33" t="inlineStr">
        <is>
          <t>273652</t>
        </is>
      </c>
      <c r="J2806" s="33" t="inlineStr"/>
      <c r="K2806" s="33" t="inlineStr">
        <is>
          <t>SOP</t>
        </is>
      </c>
      <c r="L2806" s="35">
        <f>IF(K2806="FIN",3,IF(OR(K2806="SEM",K2806="SEMI"),2,IF(OR(K2806="PRE",K2806="HEAT"),1,IF(V2806="YES",4,2))))</f>
        <v/>
      </c>
      <c r="M2806" s="33" t="inlineStr">
        <is>
          <t>LCM</t>
        </is>
      </c>
      <c r="N2806" s="33" t="n">
        <v>100</v>
      </c>
      <c r="O2806" s="33" t="inlineStr">
        <is>
          <t>Fly</t>
        </is>
      </c>
      <c r="P2806" s="33" t="inlineStr">
        <is>
          <t>100 Fly</t>
        </is>
      </c>
      <c r="Q2806" s="33" t="inlineStr">
        <is>
          <t>LCM_100_FLY</t>
        </is>
      </c>
      <c r="R2806" s="36" t="n">
        <v>51.66</v>
      </c>
      <c r="S2806" s="35">
        <f>IF(R2806="","",IF(R2806&gt;=60,INT(R2806/60)&amp;":"&amp;TEXT(MOD(R2806,60),"00.00"),TEXT(R2806,"0.00")))</f>
        <v/>
      </c>
      <c r="T2806" s="52">
        <f>IFERROR((G2806-INDEX('01_Swimmers'!$E$5:$E$22,MATCH(B2806,'01_Swimmers'!$A$5:$A$22,0)))/'00_Control'!$B$10,"")</f>
        <v/>
      </c>
      <c r="U2806" s="35">
        <f>IF(T2806="","",INT(T2806))</f>
        <v/>
      </c>
      <c r="V2806" s="33" t="inlineStr">
        <is>
          <t>NO</t>
        </is>
      </c>
      <c r="W2806" s="33" t="inlineStr">
        <is>
          <t>YES</t>
        </is>
      </c>
      <c r="X2806" s="33" t="inlineStr">
        <is>
          <t>NO</t>
        </is>
      </c>
      <c r="Y2806" s="33" t="n">
        <v>1</v>
      </c>
      <c r="Z2806" s="33" t="n">
        <v>5</v>
      </c>
      <c r="AA2806" s="33" t="inlineStr">
        <is>
          <t>2</t>
        </is>
      </c>
      <c r="AB2806" s="33" t="inlineStr">
        <is>
          <t>https://www.swimcloud.com/results/273652/event/29/?id=104773034#time104773034</t>
        </is>
      </c>
      <c r="AC2806" s="33" t="inlineStr">
        <is>
          <t>SwimCloud API v6 2026-10-08</t>
        </is>
      </c>
      <c r="AD2806" s="33" t="inlineStr">
        <is>
          <t>Thomas Heilman|2023-07-28|LCM|100|Fly|51.66|20th World Aquatics Championships|SOP|False</t>
        </is>
      </c>
      <c r="AE2806" s="53">
        <f>G2806+L2806/1000+ROW()/1000000000</f>
        <v/>
      </c>
      <c r="AF2806" s="35">
        <f>IF(C2806&lt;&gt;"Grayson Coulter","",COUNTIFS($C$5:$C$2991,"Grayson Coulter",$Q$5:$Q$2991,Q2806,$AE$5:$AE$2991,"&lt;="&amp;AE2806,$R$5:$R$2991,"&lt;"&amp;R2806))</f>
        <v/>
      </c>
      <c r="AG2806" s="35">
        <f>IF(OR(C2806&lt;&gt;"Grayson Coulter",G2806&lt;'00_Control'!$B$7),"",--(AF2806&lt;5))</f>
        <v/>
      </c>
      <c r="AH2806" s="35">
        <f>IF(OR(C2806&lt;&gt;"Grayson Coulter",G2806&lt;'00_Control'!$B$7),"",--(AF2806&lt;10))</f>
        <v/>
      </c>
      <c r="AI2806" s="35">
        <f>IF(AND(C2806="Grayson Coulter",G2806&gt;='00_Control'!$B$7),"YES","NO")</f>
        <v/>
      </c>
      <c r="AJ2806" s="33" t="inlineStr">
        <is>
          <t>OK</t>
        </is>
      </c>
    </row>
    <row r="2807">
      <c r="A2807" s="33" t="inlineStr">
        <is>
          <t>SM002803</t>
        </is>
      </c>
      <c r="B2807" s="33" t="inlineStr">
        <is>
          <t>SW005</t>
        </is>
      </c>
      <c r="C2807" s="33" t="inlineStr">
        <is>
          <t>Thomas Heilman</t>
        </is>
      </c>
      <c r="D2807" s="33" t="inlineStr">
        <is>
          <t>SwimCloud</t>
        </is>
      </c>
      <c r="E2807" s="33" t="inlineStr">
        <is>
          <t>1336401</t>
        </is>
      </c>
      <c r="F2807" s="33" t="inlineStr">
        <is>
          <t>116655333</t>
        </is>
      </c>
      <c r="G2807" s="51" t="n">
        <v>45302</v>
      </c>
      <c r="H2807" s="33" t="inlineStr">
        <is>
          <t>TYR Pro Swim Series - Knoxville</t>
        </is>
      </c>
      <c r="I2807" s="33" t="inlineStr">
        <is>
          <t>274519</t>
        </is>
      </c>
      <c r="J2807" s="33" t="inlineStr"/>
      <c r="K2807" s="33" t="inlineStr">
        <is>
          <t>PRE</t>
        </is>
      </c>
      <c r="L2807" s="35">
        <f>IF(K2807="FIN",3,IF(OR(K2807="SEM",K2807="SEMI"),2,IF(OR(K2807="PRE",K2807="HEAT"),1,IF(V2807="YES",4,2))))</f>
        <v/>
      </c>
      <c r="M2807" s="33" t="inlineStr">
        <is>
          <t>LCM</t>
        </is>
      </c>
      <c r="N2807" s="33" t="n">
        <v>100</v>
      </c>
      <c r="O2807" s="33" t="inlineStr">
        <is>
          <t>Free</t>
        </is>
      </c>
      <c r="P2807" s="33" t="inlineStr">
        <is>
          <t>100 Free</t>
        </is>
      </c>
      <c r="Q2807" s="33" t="inlineStr">
        <is>
          <t>LCM_100_FREE</t>
        </is>
      </c>
      <c r="R2807" s="36" t="n">
        <v>50.47</v>
      </c>
      <c r="S2807" s="35">
        <f>IF(R2807="","",IF(R2807&gt;=60,INT(R2807/60)&amp;":"&amp;TEXT(MOD(R2807,60),"00.00"),TEXT(R2807,"0.00")))</f>
        <v/>
      </c>
      <c r="T2807" s="52">
        <f>IFERROR((G2807-INDEX('01_Swimmers'!$E$5:$E$22,MATCH(B2807,'01_Swimmers'!$A$5:$A$22,0)))/'00_Control'!$B$10,"")</f>
        <v/>
      </c>
      <c r="U2807" s="35">
        <f>IF(T2807="","",INT(T2807))</f>
        <v/>
      </c>
      <c r="V2807" s="33" t="inlineStr">
        <is>
          <t>NO</t>
        </is>
      </c>
      <c r="W2807" s="33" t="inlineStr">
        <is>
          <t>YES</t>
        </is>
      </c>
      <c r="X2807" s="33" t="inlineStr">
        <is>
          <t>NO</t>
        </is>
      </c>
      <c r="Y2807" s="33" t="n">
        <v>12</v>
      </c>
      <c r="Z2807" s="33" t="n">
        <v>8</v>
      </c>
      <c r="AA2807" s="33" t="inlineStr">
        <is>
          <t>30</t>
        </is>
      </c>
      <c r="AB2807" s="33" t="inlineStr">
        <is>
          <t>https://www.swimcloud.com/results/274519/event/4/?id=116655333#time116655333</t>
        </is>
      </c>
      <c r="AC2807" s="33" t="inlineStr">
        <is>
          <t>SwimCloud API v6 2026-10-08</t>
        </is>
      </c>
      <c r="AD2807" s="33" t="inlineStr">
        <is>
          <t>Thomas Heilman|2024-01-11|LCM|100|Free|50.47|TYR Pro Swim Series - Knoxville|PRE|False</t>
        </is>
      </c>
      <c r="AE2807" s="53">
        <f>G2807+L2807/1000+ROW()/1000000000</f>
        <v/>
      </c>
      <c r="AF2807" s="35">
        <f>IF(C2807&lt;&gt;"Grayson Coulter","",COUNTIFS($C$5:$C$2991,"Grayson Coulter",$Q$5:$Q$2991,Q2807,$AE$5:$AE$2991,"&lt;="&amp;AE2807,$R$5:$R$2991,"&lt;"&amp;R2807))</f>
        <v/>
      </c>
      <c r="AG2807" s="35">
        <f>IF(OR(C2807&lt;&gt;"Grayson Coulter",G2807&lt;'00_Control'!$B$7),"",--(AF2807&lt;5))</f>
        <v/>
      </c>
      <c r="AH2807" s="35">
        <f>IF(OR(C2807&lt;&gt;"Grayson Coulter",G2807&lt;'00_Control'!$B$7),"",--(AF2807&lt;10))</f>
        <v/>
      </c>
      <c r="AI2807" s="35">
        <f>IF(AND(C2807="Grayson Coulter",G2807&gt;='00_Control'!$B$7),"YES","NO")</f>
        <v/>
      </c>
      <c r="AJ2807" s="33" t="inlineStr">
        <is>
          <t>OK</t>
        </is>
      </c>
    </row>
    <row r="2808">
      <c r="A2808" s="33" t="inlineStr">
        <is>
          <t>SM002804</t>
        </is>
      </c>
      <c r="B2808" s="33" t="inlineStr">
        <is>
          <t>SW005</t>
        </is>
      </c>
      <c r="C2808" s="33" t="inlineStr">
        <is>
          <t>Thomas Heilman</t>
        </is>
      </c>
      <c r="D2808" s="33" t="inlineStr">
        <is>
          <t>SwimCloud</t>
        </is>
      </c>
      <c r="E2808" s="33" t="inlineStr">
        <is>
          <t>1336401</t>
        </is>
      </c>
      <c r="F2808" s="33" t="inlineStr">
        <is>
          <t>116655208</t>
        </is>
      </c>
      <c r="G2808" s="51" t="n">
        <v>45303</v>
      </c>
      <c r="H2808" s="33" t="inlineStr">
        <is>
          <t>TYR Pro Swim Series - Knoxville</t>
        </is>
      </c>
      <c r="I2808" s="33" t="inlineStr">
        <is>
          <t>274519</t>
        </is>
      </c>
      <c r="J2808" s="33" t="inlineStr"/>
      <c r="K2808" s="33" t="inlineStr">
        <is>
          <t>PRE</t>
        </is>
      </c>
      <c r="L2808" s="35">
        <f>IF(K2808="FIN",3,IF(OR(K2808="SEM",K2808="SEMI"),2,IF(OR(K2808="PRE",K2808="HEAT"),1,IF(V2808="YES",4,2))))</f>
        <v/>
      </c>
      <c r="M2808" s="33" t="inlineStr">
        <is>
          <t>LCM</t>
        </is>
      </c>
      <c r="N2808" s="33" t="n">
        <v>100</v>
      </c>
      <c r="O2808" s="33" t="inlineStr">
        <is>
          <t>Fly</t>
        </is>
      </c>
      <c r="P2808" s="33" t="inlineStr">
        <is>
          <t>100 Fly</t>
        </is>
      </c>
      <c r="Q2808" s="33" t="inlineStr">
        <is>
          <t>LCM_100_FLY</t>
        </is>
      </c>
      <c r="R2808" s="36" t="n">
        <v>53.34</v>
      </c>
      <c r="S2808" s="35">
        <f>IF(R2808="","",IF(R2808&gt;=60,INT(R2808/60)&amp;":"&amp;TEXT(MOD(R2808,60),"00.00"),TEXT(R2808,"0.00")))</f>
        <v/>
      </c>
      <c r="T2808" s="52">
        <f>IFERROR((G2808-INDEX('01_Swimmers'!$E$5:$E$22,MATCH(B2808,'01_Swimmers'!$A$5:$A$22,0)))/'00_Control'!$B$10,"")</f>
        <v/>
      </c>
      <c r="U2808" s="35">
        <f>IF(T2808="","",INT(T2808))</f>
        <v/>
      </c>
      <c r="V2808" s="33" t="inlineStr">
        <is>
          <t>NO</t>
        </is>
      </c>
      <c r="W2808" s="33" t="inlineStr">
        <is>
          <t>YES</t>
        </is>
      </c>
      <c r="X2808" s="33" t="inlineStr">
        <is>
          <t>NO</t>
        </is>
      </c>
      <c r="Y2808" s="33" t="n">
        <v>10</v>
      </c>
      <c r="Z2808" s="33" t="n">
        <v>5</v>
      </c>
      <c r="AA2808" s="33" t="inlineStr">
        <is>
          <t>10</t>
        </is>
      </c>
      <c r="AB2808" s="33" t="inlineStr">
        <is>
          <t>https://www.swimcloud.com/results/274519/event/18/?id=116655208#time116655208</t>
        </is>
      </c>
      <c r="AC2808" s="33" t="inlineStr">
        <is>
          <t>SwimCloud API v6 2026-10-08</t>
        </is>
      </c>
      <c r="AD2808" s="33" t="inlineStr">
        <is>
          <t>Thomas Heilman|2024-01-12|LCM|100|Fly|53.34|TYR Pro Swim Series - Knoxville|PRE|False</t>
        </is>
      </c>
      <c r="AE2808" s="53">
        <f>G2808+L2808/1000+ROW()/1000000000</f>
        <v/>
      </c>
      <c r="AF2808" s="35">
        <f>IF(C2808&lt;&gt;"Grayson Coulter","",COUNTIFS($C$5:$C$2991,"Grayson Coulter",$Q$5:$Q$2991,Q2808,$AE$5:$AE$2991,"&lt;="&amp;AE2808,$R$5:$R$2991,"&lt;"&amp;R2808))</f>
        <v/>
      </c>
      <c r="AG2808" s="35">
        <f>IF(OR(C2808&lt;&gt;"Grayson Coulter",G2808&lt;'00_Control'!$B$7),"",--(AF2808&lt;5))</f>
        <v/>
      </c>
      <c r="AH2808" s="35">
        <f>IF(OR(C2808&lt;&gt;"Grayson Coulter",G2808&lt;'00_Control'!$B$7),"",--(AF2808&lt;10))</f>
        <v/>
      </c>
      <c r="AI2808" s="35">
        <f>IF(AND(C2808="Grayson Coulter",G2808&gt;='00_Control'!$B$7),"YES","NO")</f>
        <v/>
      </c>
      <c r="AJ2808" s="33" t="inlineStr">
        <is>
          <t>OK</t>
        </is>
      </c>
    </row>
    <row r="2809">
      <c r="A2809" s="33" t="inlineStr">
        <is>
          <t>SM002805</t>
        </is>
      </c>
      <c r="B2809" s="33" t="inlineStr">
        <is>
          <t>SW005</t>
        </is>
      </c>
      <c r="C2809" s="33" t="inlineStr">
        <is>
          <t>Thomas Heilman</t>
        </is>
      </c>
      <c r="D2809" s="33" t="inlineStr">
        <is>
          <t>SwimCloud</t>
        </is>
      </c>
      <c r="E2809" s="33" t="inlineStr">
        <is>
          <t>1336401</t>
        </is>
      </c>
      <c r="F2809" s="33" t="inlineStr">
        <is>
          <t>116655209</t>
        </is>
      </c>
      <c r="G2809" s="51" t="n">
        <v>45303</v>
      </c>
      <c r="H2809" s="33" t="inlineStr">
        <is>
          <t>TYR Pro Swim Series - Knoxville</t>
        </is>
      </c>
      <c r="I2809" s="33" t="inlineStr">
        <is>
          <t>274519</t>
        </is>
      </c>
      <c r="J2809" s="33" t="inlineStr"/>
      <c r="K2809" s="33" t="inlineStr">
        <is>
          <t>FIN</t>
        </is>
      </c>
      <c r="L2809" s="35">
        <f>IF(K2809="FIN",3,IF(OR(K2809="SEM",K2809="SEMI"),2,IF(OR(K2809="PRE",K2809="HEAT"),1,IF(V2809="YES",4,2))))</f>
        <v/>
      </c>
      <c r="M2809" s="33" t="inlineStr">
        <is>
          <t>LCM</t>
        </is>
      </c>
      <c r="N2809" s="33" t="n">
        <v>100</v>
      </c>
      <c r="O2809" s="33" t="inlineStr">
        <is>
          <t>Fly</t>
        </is>
      </c>
      <c r="P2809" s="33" t="inlineStr">
        <is>
          <t>100 Fly</t>
        </is>
      </c>
      <c r="Q2809" s="33" t="inlineStr">
        <is>
          <t>LCM_100_FLY</t>
        </is>
      </c>
      <c r="R2809" s="36" t="n">
        <v>53.36</v>
      </c>
      <c r="S2809" s="35">
        <f>IF(R2809="","",IF(R2809&gt;=60,INT(R2809/60)&amp;":"&amp;TEXT(MOD(R2809,60),"00.00"),TEXT(R2809,"0.00")))</f>
        <v/>
      </c>
      <c r="T2809" s="52">
        <f>IFERROR((G2809-INDEX('01_Swimmers'!$E$5:$E$22,MATCH(B2809,'01_Swimmers'!$A$5:$A$22,0)))/'00_Control'!$B$10,"")</f>
        <v/>
      </c>
      <c r="U2809" s="35">
        <f>IF(T2809="","",INT(T2809))</f>
        <v/>
      </c>
      <c r="V2809" s="33" t="inlineStr">
        <is>
          <t>NO</t>
        </is>
      </c>
      <c r="W2809" s="33" t="inlineStr">
        <is>
          <t>YES</t>
        </is>
      </c>
      <c r="X2809" s="33" t="inlineStr">
        <is>
          <t>NO</t>
        </is>
      </c>
      <c r="Y2809" s="33" t="n">
        <v>1</v>
      </c>
      <c r="Z2809" s="33" t="n">
        <v>5</v>
      </c>
      <c r="AA2809" s="33" t="inlineStr">
        <is>
          <t>10</t>
        </is>
      </c>
      <c r="AB2809" s="33" t="inlineStr">
        <is>
          <t>https://www.swimcloud.com/results/274519/event/18/?id=116655209#time116655209</t>
        </is>
      </c>
      <c r="AC2809" s="33" t="inlineStr">
        <is>
          <t>SwimCloud API v6 2026-10-08</t>
        </is>
      </c>
      <c r="AD2809" s="33" t="inlineStr">
        <is>
          <t>Thomas Heilman|2024-01-12|LCM|100|Fly|53.36|TYR Pro Swim Series - Knoxville|FIN|False</t>
        </is>
      </c>
      <c r="AE2809" s="53">
        <f>G2809+L2809/1000+ROW()/1000000000</f>
        <v/>
      </c>
      <c r="AF2809" s="35">
        <f>IF(C2809&lt;&gt;"Grayson Coulter","",COUNTIFS($C$5:$C$2991,"Grayson Coulter",$Q$5:$Q$2991,Q2809,$AE$5:$AE$2991,"&lt;="&amp;AE2809,$R$5:$R$2991,"&lt;"&amp;R2809))</f>
        <v/>
      </c>
      <c r="AG2809" s="35">
        <f>IF(OR(C2809&lt;&gt;"Grayson Coulter",G2809&lt;'00_Control'!$B$7),"",--(AF2809&lt;5))</f>
        <v/>
      </c>
      <c r="AH2809" s="35">
        <f>IF(OR(C2809&lt;&gt;"Grayson Coulter",G2809&lt;'00_Control'!$B$7),"",--(AF2809&lt;10))</f>
        <v/>
      </c>
      <c r="AI2809" s="35">
        <f>IF(AND(C2809="Grayson Coulter",G2809&gt;='00_Control'!$B$7),"YES","NO")</f>
        <v/>
      </c>
      <c r="AJ2809" s="33" t="inlineStr">
        <is>
          <t>OK</t>
        </is>
      </c>
    </row>
    <row r="2810">
      <c r="A2810" s="33" t="inlineStr">
        <is>
          <t>SM002806</t>
        </is>
      </c>
      <c r="B2810" s="33" t="inlineStr">
        <is>
          <t>SW005</t>
        </is>
      </c>
      <c r="C2810" s="33" t="inlineStr">
        <is>
          <t>Thomas Heilman</t>
        </is>
      </c>
      <c r="D2810" s="33" t="inlineStr">
        <is>
          <t>SwimCloud</t>
        </is>
      </c>
      <c r="E2810" s="33" t="inlineStr">
        <is>
          <t>1336401</t>
        </is>
      </c>
      <c r="F2810" s="33" t="inlineStr">
        <is>
          <t>116653773</t>
        </is>
      </c>
      <c r="G2810" s="51" t="n">
        <v>45303</v>
      </c>
      <c r="H2810" s="33" t="inlineStr">
        <is>
          <t>TYR Pro Swim Series - Knoxville</t>
        </is>
      </c>
      <c r="I2810" s="33" t="inlineStr">
        <is>
          <t>274519</t>
        </is>
      </c>
      <c r="J2810" s="33" t="inlineStr"/>
      <c r="K2810" s="33" t="inlineStr">
        <is>
          <t>PRE</t>
        </is>
      </c>
      <c r="L2810" s="35">
        <f>IF(K2810="FIN",3,IF(OR(K2810="SEM",K2810="SEMI"),2,IF(OR(K2810="PRE",K2810="HEAT"),1,IF(V2810="YES",4,2))))</f>
        <v/>
      </c>
      <c r="M2810" s="33" t="inlineStr">
        <is>
          <t>LCM</t>
        </is>
      </c>
      <c r="N2810" s="33" t="n">
        <v>200</v>
      </c>
      <c r="O2810" s="33" t="inlineStr">
        <is>
          <t>Free</t>
        </is>
      </c>
      <c r="P2810" s="33" t="inlineStr">
        <is>
          <t>200 Free</t>
        </is>
      </c>
      <c r="Q2810" s="33" t="inlineStr">
        <is>
          <t>LCM_200_FREE</t>
        </is>
      </c>
      <c r="R2810" s="36" t="n">
        <v>111.3</v>
      </c>
      <c r="S2810" s="35">
        <f>IF(R2810="","",IF(R2810&gt;=60,INT(R2810/60)&amp;":"&amp;TEXT(MOD(R2810,60),"00.00"),TEXT(R2810,"0.00")))</f>
        <v/>
      </c>
      <c r="T2810" s="52">
        <f>IFERROR((G2810-INDEX('01_Swimmers'!$E$5:$E$22,MATCH(B2810,'01_Swimmers'!$A$5:$A$22,0)))/'00_Control'!$B$10,"")</f>
        <v/>
      </c>
      <c r="U2810" s="35">
        <f>IF(T2810="","",INT(T2810))</f>
        <v/>
      </c>
      <c r="V2810" s="33" t="inlineStr">
        <is>
          <t>NO</t>
        </is>
      </c>
      <c r="W2810" s="33" t="inlineStr">
        <is>
          <t>YES</t>
        </is>
      </c>
      <c r="X2810" s="33" t="inlineStr">
        <is>
          <t>NO</t>
        </is>
      </c>
      <c r="Y2810" s="33" t="n">
        <v>9</v>
      </c>
      <c r="Z2810" s="33" t="n">
        <v>1</v>
      </c>
      <c r="AA2810" s="33" t="inlineStr">
        <is>
          <t>17</t>
        </is>
      </c>
      <c r="AB2810" s="33" t="inlineStr">
        <is>
          <t>https://www.swimcloud.com/results/274519/event/12/?id=116653773#time116653773</t>
        </is>
      </c>
      <c r="AC2810" s="33" t="inlineStr">
        <is>
          <t>SwimCloud API v6 2026-10-08</t>
        </is>
      </c>
      <c r="AD2810" s="33" t="inlineStr">
        <is>
          <t>Thomas Heilman|2024-01-12|LCM|200|Free|111.3|TYR Pro Swim Series - Knoxville|PRE|False</t>
        </is>
      </c>
      <c r="AE2810" s="53">
        <f>G2810+L2810/1000+ROW()/1000000000</f>
        <v/>
      </c>
      <c r="AF2810" s="35">
        <f>IF(C2810&lt;&gt;"Grayson Coulter","",COUNTIFS($C$5:$C$2991,"Grayson Coulter",$Q$5:$Q$2991,Q2810,$AE$5:$AE$2991,"&lt;="&amp;AE2810,$R$5:$R$2991,"&lt;"&amp;R2810))</f>
        <v/>
      </c>
      <c r="AG2810" s="35">
        <f>IF(OR(C2810&lt;&gt;"Grayson Coulter",G2810&lt;'00_Control'!$B$7),"",--(AF2810&lt;5))</f>
        <v/>
      </c>
      <c r="AH2810" s="35">
        <f>IF(OR(C2810&lt;&gt;"Grayson Coulter",G2810&lt;'00_Control'!$B$7),"",--(AF2810&lt;10))</f>
        <v/>
      </c>
      <c r="AI2810" s="35">
        <f>IF(AND(C2810="Grayson Coulter",G2810&gt;='00_Control'!$B$7),"YES","NO")</f>
        <v/>
      </c>
      <c r="AJ2810" s="33" t="inlineStr">
        <is>
          <t>OK</t>
        </is>
      </c>
    </row>
    <row r="2811">
      <c r="A2811" s="33" t="inlineStr">
        <is>
          <t>SM002807</t>
        </is>
      </c>
      <c r="B2811" s="33" t="inlineStr">
        <is>
          <t>SW005</t>
        </is>
      </c>
      <c r="C2811" s="33" t="inlineStr">
        <is>
          <t>Thomas Heilman</t>
        </is>
      </c>
      <c r="D2811" s="33" t="inlineStr">
        <is>
          <t>SwimCloud</t>
        </is>
      </c>
      <c r="E2811" s="33" t="inlineStr">
        <is>
          <t>1336401</t>
        </is>
      </c>
      <c r="F2811" s="33" t="inlineStr">
        <is>
          <t>116653774</t>
        </is>
      </c>
      <c r="G2811" s="51" t="n">
        <v>45303</v>
      </c>
      <c r="H2811" s="33" t="inlineStr">
        <is>
          <t>TYR Pro Swim Series - Knoxville</t>
        </is>
      </c>
      <c r="I2811" s="33" t="inlineStr">
        <is>
          <t>274519</t>
        </is>
      </c>
      <c r="J2811" s="33" t="inlineStr"/>
      <c r="K2811" s="33" t="inlineStr">
        <is>
          <t>FIN</t>
        </is>
      </c>
      <c r="L2811" s="35">
        <f>IF(K2811="FIN",3,IF(OR(K2811="SEM",K2811="SEMI"),2,IF(OR(K2811="PRE",K2811="HEAT"),1,IF(V2811="YES",4,2))))</f>
        <v/>
      </c>
      <c r="M2811" s="33" t="inlineStr">
        <is>
          <t>LCM</t>
        </is>
      </c>
      <c r="N2811" s="33" t="n">
        <v>200</v>
      </c>
      <c r="O2811" s="33" t="inlineStr">
        <is>
          <t>Free</t>
        </is>
      </c>
      <c r="P2811" s="33" t="inlineStr">
        <is>
          <t>200 Free</t>
        </is>
      </c>
      <c r="Q2811" s="33" t="inlineStr">
        <is>
          <t>LCM_200_FREE</t>
        </is>
      </c>
      <c r="R2811" s="36" t="n">
        <v>111.9</v>
      </c>
      <c r="S2811" s="35">
        <f>IF(R2811="","",IF(R2811&gt;=60,INT(R2811/60)&amp;":"&amp;TEXT(MOD(R2811,60),"00.00"),TEXT(R2811,"0.00")))</f>
        <v/>
      </c>
      <c r="T2811" s="52">
        <f>IFERROR((G2811-INDEX('01_Swimmers'!$E$5:$E$22,MATCH(B2811,'01_Swimmers'!$A$5:$A$22,0)))/'00_Control'!$B$10,"")</f>
        <v/>
      </c>
      <c r="U2811" s="35">
        <f>IF(T2811="","",INT(T2811))</f>
        <v/>
      </c>
      <c r="V2811" s="33" t="inlineStr">
        <is>
          <t>NO</t>
        </is>
      </c>
      <c r="W2811" s="33" t="inlineStr">
        <is>
          <t>YES</t>
        </is>
      </c>
      <c r="X2811" s="33" t="inlineStr">
        <is>
          <t>NO</t>
        </is>
      </c>
      <c r="Y2811" s="33" t="n">
        <v>1</v>
      </c>
      <c r="Z2811" s="33" t="n">
        <v>1</v>
      </c>
      <c r="AA2811" s="33" t="inlineStr">
        <is>
          <t>16</t>
        </is>
      </c>
      <c r="AB2811" s="33" t="inlineStr">
        <is>
          <t>https://www.swimcloud.com/results/274519/event/12/?id=116653774#time116653774</t>
        </is>
      </c>
      <c r="AC2811" s="33" t="inlineStr">
        <is>
          <t>SwimCloud API v6 2026-10-08</t>
        </is>
      </c>
      <c r="AD2811" s="33" t="inlineStr">
        <is>
          <t>Thomas Heilman|2024-01-12|LCM|200|Free|111.9|TYR Pro Swim Series - Knoxville|FIN|False</t>
        </is>
      </c>
      <c r="AE2811" s="53">
        <f>G2811+L2811/1000+ROW()/1000000000</f>
        <v/>
      </c>
      <c r="AF2811" s="35">
        <f>IF(C2811&lt;&gt;"Grayson Coulter","",COUNTIFS($C$5:$C$2991,"Grayson Coulter",$Q$5:$Q$2991,Q2811,$AE$5:$AE$2991,"&lt;="&amp;AE2811,$R$5:$R$2991,"&lt;"&amp;R2811))</f>
        <v/>
      </c>
      <c r="AG2811" s="35">
        <f>IF(OR(C2811&lt;&gt;"Grayson Coulter",G2811&lt;'00_Control'!$B$7),"",--(AF2811&lt;5))</f>
        <v/>
      </c>
      <c r="AH2811" s="35">
        <f>IF(OR(C2811&lt;&gt;"Grayson Coulter",G2811&lt;'00_Control'!$B$7),"",--(AF2811&lt;10))</f>
        <v/>
      </c>
      <c r="AI2811" s="35">
        <f>IF(AND(C2811="Grayson Coulter",G2811&gt;='00_Control'!$B$7),"YES","NO")</f>
        <v/>
      </c>
      <c r="AJ2811" s="33" t="inlineStr">
        <is>
          <t>OK</t>
        </is>
      </c>
    </row>
    <row r="2812">
      <c r="A2812" s="33" t="inlineStr">
        <is>
          <t>SM002808</t>
        </is>
      </c>
      <c r="B2812" s="33" t="inlineStr">
        <is>
          <t>SW005</t>
        </is>
      </c>
      <c r="C2812" s="33" t="inlineStr">
        <is>
          <t>Thomas Heilman</t>
        </is>
      </c>
      <c r="D2812" s="33" t="inlineStr">
        <is>
          <t>SwimCloud</t>
        </is>
      </c>
      <c r="E2812" s="33" t="inlineStr">
        <is>
          <t>1336401</t>
        </is>
      </c>
      <c r="F2812" s="33" t="inlineStr">
        <is>
          <t>122010241</t>
        </is>
      </c>
      <c r="G2812" s="51" t="n">
        <v>45358</v>
      </c>
      <c r="H2812" s="33" t="inlineStr">
        <is>
          <t>TYR Pro Swim Series - Westmont</t>
        </is>
      </c>
      <c r="I2812" s="33" t="inlineStr">
        <is>
          <t>274520</t>
        </is>
      </c>
      <c r="J2812" s="33" t="inlineStr"/>
      <c r="K2812" s="33" t="inlineStr">
        <is>
          <t>PRE</t>
        </is>
      </c>
      <c r="L2812" s="35">
        <f>IF(K2812="FIN",3,IF(OR(K2812="SEM",K2812="SEMI"),2,IF(OR(K2812="PRE",K2812="HEAT"),1,IF(V2812="YES",4,2))))</f>
        <v/>
      </c>
      <c r="M2812" s="33" t="inlineStr">
        <is>
          <t>LCM</t>
        </is>
      </c>
      <c r="N2812" s="33" t="n">
        <v>100</v>
      </c>
      <c r="O2812" s="33" t="inlineStr">
        <is>
          <t>Fly</t>
        </is>
      </c>
      <c r="P2812" s="33" t="inlineStr">
        <is>
          <t>100 Fly</t>
        </is>
      </c>
      <c r="Q2812" s="33" t="inlineStr">
        <is>
          <t>LCM_100_FLY</t>
        </is>
      </c>
      <c r="R2812" s="36" t="n">
        <v>53.92</v>
      </c>
      <c r="S2812" s="35">
        <f>IF(R2812="","",IF(R2812&gt;=60,INT(R2812/60)&amp;":"&amp;TEXT(MOD(R2812,60),"00.00"),TEXT(R2812,"0.00")))</f>
        <v/>
      </c>
      <c r="T2812" s="52">
        <f>IFERROR((G2812-INDEX('01_Swimmers'!$E$5:$E$22,MATCH(B2812,'01_Swimmers'!$A$5:$A$22,0)))/'00_Control'!$B$10,"")</f>
        <v/>
      </c>
      <c r="U2812" s="35">
        <f>IF(T2812="","",INT(T2812))</f>
        <v/>
      </c>
      <c r="V2812" s="33" t="inlineStr">
        <is>
          <t>NO</t>
        </is>
      </c>
      <c r="W2812" s="33" t="inlineStr">
        <is>
          <t>YES</t>
        </is>
      </c>
      <c r="X2812" s="33" t="inlineStr">
        <is>
          <t>NO</t>
        </is>
      </c>
      <c r="Y2812" s="33" t="n">
        <v>8</v>
      </c>
      <c r="Z2812" s="33" t="n">
        <v>5</v>
      </c>
      <c r="AA2812" s="33" t="inlineStr">
        <is>
          <t>16</t>
        </is>
      </c>
      <c r="AB2812" s="33" t="inlineStr">
        <is>
          <t>https://www.swimcloud.com/results/274520/event/8/?id=122010241#time122010241</t>
        </is>
      </c>
      <c r="AC2812" s="33" t="inlineStr">
        <is>
          <t>SwimCloud API v6 2026-10-08</t>
        </is>
      </c>
      <c r="AD2812" s="33" t="inlineStr">
        <is>
          <t>Thomas Heilman|2024-03-07|LCM|100|Fly|53.92|TYR Pro Swim Series - Westmont|PRE|False</t>
        </is>
      </c>
      <c r="AE2812" s="53">
        <f>G2812+L2812/1000+ROW()/1000000000</f>
        <v/>
      </c>
      <c r="AF2812" s="35">
        <f>IF(C2812&lt;&gt;"Grayson Coulter","",COUNTIFS($C$5:$C$2991,"Grayson Coulter",$Q$5:$Q$2991,Q2812,$AE$5:$AE$2991,"&lt;="&amp;AE2812,$R$5:$R$2991,"&lt;"&amp;R2812))</f>
        <v/>
      </c>
      <c r="AG2812" s="35">
        <f>IF(OR(C2812&lt;&gt;"Grayson Coulter",G2812&lt;'00_Control'!$B$7),"",--(AF2812&lt;5))</f>
        <v/>
      </c>
      <c r="AH2812" s="35">
        <f>IF(OR(C2812&lt;&gt;"Grayson Coulter",G2812&lt;'00_Control'!$B$7),"",--(AF2812&lt;10))</f>
        <v/>
      </c>
      <c r="AI2812" s="35">
        <f>IF(AND(C2812="Grayson Coulter",G2812&gt;='00_Control'!$B$7),"YES","NO")</f>
        <v/>
      </c>
      <c r="AJ2812" s="33" t="inlineStr">
        <is>
          <t>OK</t>
        </is>
      </c>
    </row>
    <row r="2813">
      <c r="A2813" s="33" t="inlineStr">
        <is>
          <t>SM002809</t>
        </is>
      </c>
      <c r="B2813" s="33" t="inlineStr">
        <is>
          <t>SW005</t>
        </is>
      </c>
      <c r="C2813" s="33" t="inlineStr">
        <is>
          <t>Thomas Heilman</t>
        </is>
      </c>
      <c r="D2813" s="33" t="inlineStr">
        <is>
          <t>SwimCloud</t>
        </is>
      </c>
      <c r="E2813" s="33" t="inlineStr">
        <is>
          <t>1336401</t>
        </is>
      </c>
      <c r="F2813" s="33" t="inlineStr">
        <is>
          <t>122010242</t>
        </is>
      </c>
      <c r="G2813" s="51" t="n">
        <v>45358</v>
      </c>
      <c r="H2813" s="33" t="inlineStr">
        <is>
          <t>TYR Pro Swim Series - Westmont</t>
        </is>
      </c>
      <c r="I2813" s="33" t="inlineStr">
        <is>
          <t>274520</t>
        </is>
      </c>
      <c r="J2813" s="33" t="inlineStr"/>
      <c r="K2813" s="33" t="inlineStr">
        <is>
          <t>SOP</t>
        </is>
      </c>
      <c r="L2813" s="35">
        <f>IF(K2813="FIN",3,IF(OR(K2813="SEM",K2813="SEMI"),2,IF(OR(K2813="PRE",K2813="HEAT"),1,IF(V2813="YES",4,2))))</f>
        <v/>
      </c>
      <c r="M2813" s="33" t="inlineStr">
        <is>
          <t>LCM</t>
        </is>
      </c>
      <c r="N2813" s="33" t="n">
        <v>100</v>
      </c>
      <c r="O2813" s="33" t="inlineStr">
        <is>
          <t>Fly</t>
        </is>
      </c>
      <c r="P2813" s="33" t="inlineStr">
        <is>
          <t>100 Fly</t>
        </is>
      </c>
      <c r="Q2813" s="33" t="inlineStr">
        <is>
          <t>LCM_100_FLY</t>
        </is>
      </c>
      <c r="R2813" s="36" t="n">
        <v>53.82</v>
      </c>
      <c r="S2813" s="35">
        <f>IF(R2813="","",IF(R2813&gt;=60,INT(R2813/60)&amp;":"&amp;TEXT(MOD(R2813,60),"00.00"),TEXT(R2813,"0.00")))</f>
        <v/>
      </c>
      <c r="T2813" s="52">
        <f>IFERROR((G2813-INDEX('01_Swimmers'!$E$5:$E$22,MATCH(B2813,'01_Swimmers'!$A$5:$A$22,0)))/'00_Control'!$B$10,"")</f>
        <v/>
      </c>
      <c r="U2813" s="35">
        <f>IF(T2813="","",INT(T2813))</f>
        <v/>
      </c>
      <c r="V2813" s="33" t="inlineStr">
        <is>
          <t>NO</t>
        </is>
      </c>
      <c r="W2813" s="33" t="inlineStr">
        <is>
          <t>YES</t>
        </is>
      </c>
      <c r="X2813" s="33" t="inlineStr">
        <is>
          <t>NO</t>
        </is>
      </c>
      <c r="Y2813" s="33" t="n">
        <v>1</v>
      </c>
      <c r="Z2813" s="33" t="n">
        <v>4</v>
      </c>
      <c r="AA2813" s="33" t="inlineStr">
        <is>
          <t>17</t>
        </is>
      </c>
      <c r="AB2813" s="33" t="inlineStr">
        <is>
          <t>https://www.swimcloud.com/results/274520/event/8/?id=122010242#time122010242</t>
        </is>
      </c>
      <c r="AC2813" s="33" t="inlineStr">
        <is>
          <t>SwimCloud API v6 2026-10-08</t>
        </is>
      </c>
      <c r="AD2813" s="33" t="inlineStr">
        <is>
          <t>Thomas Heilman|2024-03-07|LCM|100|Fly|53.82|TYR Pro Swim Series - Westmont|SOP|False</t>
        </is>
      </c>
      <c r="AE2813" s="53">
        <f>G2813+L2813/1000+ROW()/1000000000</f>
        <v/>
      </c>
      <c r="AF2813" s="35">
        <f>IF(C2813&lt;&gt;"Grayson Coulter","",COUNTIFS($C$5:$C$2991,"Grayson Coulter",$Q$5:$Q$2991,Q2813,$AE$5:$AE$2991,"&lt;="&amp;AE2813,$R$5:$R$2991,"&lt;"&amp;R2813))</f>
        <v/>
      </c>
      <c r="AG2813" s="35">
        <f>IF(OR(C2813&lt;&gt;"Grayson Coulter",G2813&lt;'00_Control'!$B$7),"",--(AF2813&lt;5))</f>
        <v/>
      </c>
      <c r="AH2813" s="35">
        <f>IF(OR(C2813&lt;&gt;"Grayson Coulter",G2813&lt;'00_Control'!$B$7),"",--(AF2813&lt;10))</f>
        <v/>
      </c>
      <c r="AI2813" s="35">
        <f>IF(AND(C2813="Grayson Coulter",G2813&gt;='00_Control'!$B$7),"YES","NO")</f>
        <v/>
      </c>
      <c r="AJ2813" s="33" t="inlineStr">
        <is>
          <t>OK</t>
        </is>
      </c>
    </row>
    <row r="2814">
      <c r="A2814" s="33" t="inlineStr">
        <is>
          <t>SM002810</t>
        </is>
      </c>
      <c r="B2814" s="33" t="inlineStr">
        <is>
          <t>SW005</t>
        </is>
      </c>
      <c r="C2814" s="33" t="inlineStr">
        <is>
          <t>Thomas Heilman</t>
        </is>
      </c>
      <c r="D2814" s="33" t="inlineStr">
        <is>
          <t>SwimCloud</t>
        </is>
      </c>
      <c r="E2814" s="33" t="inlineStr">
        <is>
          <t>1336401</t>
        </is>
      </c>
      <c r="F2814" s="33" t="inlineStr">
        <is>
          <t>122010240</t>
        </is>
      </c>
      <c r="G2814" s="51" t="n">
        <v>45358</v>
      </c>
      <c r="H2814" s="33" t="inlineStr">
        <is>
          <t>TYR Pro Swim Series - Westmont</t>
        </is>
      </c>
      <c r="I2814" s="33" t="inlineStr">
        <is>
          <t>274520</t>
        </is>
      </c>
      <c r="J2814" s="33" t="inlineStr"/>
      <c r="K2814" s="33" t="inlineStr">
        <is>
          <t>FIN</t>
        </is>
      </c>
      <c r="L2814" s="35">
        <f>IF(K2814="FIN",3,IF(OR(K2814="SEM",K2814="SEMI"),2,IF(OR(K2814="PRE",K2814="HEAT"),1,IF(V2814="YES",4,2))))</f>
        <v/>
      </c>
      <c r="M2814" s="33" t="inlineStr">
        <is>
          <t>LCM</t>
        </is>
      </c>
      <c r="N2814" s="33" t="n">
        <v>100</v>
      </c>
      <c r="O2814" s="33" t="inlineStr">
        <is>
          <t>Fly</t>
        </is>
      </c>
      <c r="P2814" s="33" t="inlineStr">
        <is>
          <t>100 Fly</t>
        </is>
      </c>
      <c r="Q2814" s="33" t="inlineStr">
        <is>
          <t>LCM_100_FLY</t>
        </is>
      </c>
      <c r="R2814" s="36" t="n">
        <v>53.48</v>
      </c>
      <c r="S2814" s="35">
        <f>IF(R2814="","",IF(R2814&gt;=60,INT(R2814/60)&amp;":"&amp;TEXT(MOD(R2814,60),"00.00"),TEXT(R2814,"0.00")))</f>
        <v/>
      </c>
      <c r="T2814" s="52">
        <f>IFERROR((G2814-INDEX('01_Swimmers'!$E$5:$E$22,MATCH(B2814,'01_Swimmers'!$A$5:$A$22,0)))/'00_Control'!$B$10,"")</f>
        <v/>
      </c>
      <c r="U2814" s="35">
        <f>IF(T2814="","",INT(T2814))</f>
        <v/>
      </c>
      <c r="V2814" s="33" t="inlineStr">
        <is>
          <t>NO</t>
        </is>
      </c>
      <c r="W2814" s="33" t="inlineStr">
        <is>
          <t>YES</t>
        </is>
      </c>
      <c r="X2814" s="33" t="inlineStr">
        <is>
          <t>NO</t>
        </is>
      </c>
      <c r="Y2814" s="33" t="n">
        <v>3</v>
      </c>
      <c r="Z2814" s="33" t="n">
        <v>4</v>
      </c>
      <c r="AA2814" s="33" t="inlineStr">
        <is>
          <t>17</t>
        </is>
      </c>
      <c r="AB2814" s="33" t="inlineStr">
        <is>
          <t>https://www.swimcloud.com/results/274520/event/8/?id=122010240#time122010240</t>
        </is>
      </c>
      <c r="AC2814" s="33" t="inlineStr">
        <is>
          <t>SwimCloud API v6 2026-10-08</t>
        </is>
      </c>
      <c r="AD2814" s="33" t="inlineStr">
        <is>
          <t>Thomas Heilman|2024-03-07|LCM|100|Fly|53.48|TYR Pro Swim Series - Westmont|FIN|False</t>
        </is>
      </c>
      <c r="AE2814" s="53">
        <f>G2814+L2814/1000+ROW()/1000000000</f>
        <v/>
      </c>
      <c r="AF2814" s="35">
        <f>IF(C2814&lt;&gt;"Grayson Coulter","",COUNTIFS($C$5:$C$2991,"Grayson Coulter",$Q$5:$Q$2991,Q2814,$AE$5:$AE$2991,"&lt;="&amp;AE2814,$R$5:$R$2991,"&lt;"&amp;R2814))</f>
        <v/>
      </c>
      <c r="AG2814" s="35">
        <f>IF(OR(C2814&lt;&gt;"Grayson Coulter",G2814&lt;'00_Control'!$B$7),"",--(AF2814&lt;5))</f>
        <v/>
      </c>
      <c r="AH2814" s="35">
        <f>IF(OR(C2814&lt;&gt;"Grayson Coulter",G2814&lt;'00_Control'!$B$7),"",--(AF2814&lt;10))</f>
        <v/>
      </c>
      <c r="AI2814" s="35">
        <f>IF(AND(C2814="Grayson Coulter",G2814&gt;='00_Control'!$B$7),"YES","NO")</f>
        <v/>
      </c>
      <c r="AJ2814" s="33" t="inlineStr">
        <is>
          <t>OK</t>
        </is>
      </c>
    </row>
    <row r="2815">
      <c r="A2815" s="33" t="inlineStr">
        <is>
          <t>SM002811</t>
        </is>
      </c>
      <c r="B2815" s="33" t="inlineStr">
        <is>
          <t>SW005</t>
        </is>
      </c>
      <c r="C2815" s="33" t="inlineStr">
        <is>
          <t>Thomas Heilman</t>
        </is>
      </c>
      <c r="D2815" s="33" t="inlineStr">
        <is>
          <t>SwimCloud</t>
        </is>
      </c>
      <c r="E2815" s="33" t="inlineStr">
        <is>
          <t>1336401</t>
        </is>
      </c>
      <c r="F2815" s="33" t="inlineStr">
        <is>
          <t>122010246</t>
        </is>
      </c>
      <c r="G2815" s="51" t="n">
        <v>45358</v>
      </c>
      <c r="H2815" s="33" t="inlineStr">
        <is>
          <t>TYR Pro Swim Series - Westmont</t>
        </is>
      </c>
      <c r="I2815" s="33" t="inlineStr">
        <is>
          <t>274520</t>
        </is>
      </c>
      <c r="J2815" s="33" t="inlineStr"/>
      <c r="K2815" s="33" t="inlineStr">
        <is>
          <t>PRE</t>
        </is>
      </c>
      <c r="L2815" s="35">
        <f>IF(K2815="FIN",3,IF(OR(K2815="SEM",K2815="SEMI"),2,IF(OR(K2815="PRE",K2815="HEAT"),1,IF(V2815="YES",4,2))))</f>
        <v/>
      </c>
      <c r="M2815" s="33" t="inlineStr">
        <is>
          <t>LCM</t>
        </is>
      </c>
      <c r="N2815" s="33" t="n">
        <v>200</v>
      </c>
      <c r="O2815" s="33" t="inlineStr">
        <is>
          <t>Free</t>
        </is>
      </c>
      <c r="P2815" s="33" t="inlineStr">
        <is>
          <t>200 Free</t>
        </is>
      </c>
      <c r="Q2815" s="33" t="inlineStr">
        <is>
          <t>LCM_200_FREE</t>
        </is>
      </c>
      <c r="R2815" s="36" t="n">
        <v>110.53</v>
      </c>
      <c r="S2815" s="35">
        <f>IF(R2815="","",IF(R2815&gt;=60,INT(R2815/60)&amp;":"&amp;TEXT(MOD(R2815,60),"00.00"),TEXT(R2815,"0.00")))</f>
        <v/>
      </c>
      <c r="T2815" s="52">
        <f>IFERROR((G2815-INDEX('01_Swimmers'!$E$5:$E$22,MATCH(B2815,'01_Swimmers'!$A$5:$A$22,0)))/'00_Control'!$B$10,"")</f>
        <v/>
      </c>
      <c r="U2815" s="35">
        <f>IF(T2815="","",INT(T2815))</f>
        <v/>
      </c>
      <c r="V2815" s="33" t="inlineStr">
        <is>
          <t>NO</t>
        </is>
      </c>
      <c r="W2815" s="33" t="inlineStr">
        <is>
          <t>YES</t>
        </is>
      </c>
      <c r="X2815" s="33" t="inlineStr">
        <is>
          <t>NO</t>
        </is>
      </c>
      <c r="Y2815" s="33" t="n">
        <v>8</v>
      </c>
      <c r="Z2815" s="33" t="n">
        <v>1</v>
      </c>
      <c r="AA2815" s="33" t="inlineStr">
        <is>
          <t>19</t>
        </is>
      </c>
      <c r="AB2815" s="33" t="inlineStr">
        <is>
          <t>https://www.swimcloud.com/results/274520/event/4/?id=122010246#time122010246</t>
        </is>
      </c>
      <c r="AC2815" s="33" t="inlineStr">
        <is>
          <t>SwimCloud API v6 2026-10-08</t>
        </is>
      </c>
      <c r="AD2815" s="33" t="inlineStr">
        <is>
          <t>Thomas Heilman|2024-03-07|LCM|200|Free|110.53|TYR Pro Swim Series - Westmont|PRE|False</t>
        </is>
      </c>
      <c r="AE2815" s="53">
        <f>G2815+L2815/1000+ROW()/1000000000</f>
        <v/>
      </c>
      <c r="AF2815" s="35">
        <f>IF(C2815&lt;&gt;"Grayson Coulter","",COUNTIFS($C$5:$C$2991,"Grayson Coulter",$Q$5:$Q$2991,Q2815,$AE$5:$AE$2991,"&lt;="&amp;AE2815,$R$5:$R$2991,"&lt;"&amp;R2815))</f>
        <v/>
      </c>
      <c r="AG2815" s="35">
        <f>IF(OR(C2815&lt;&gt;"Grayson Coulter",G2815&lt;'00_Control'!$B$7),"",--(AF2815&lt;5))</f>
        <v/>
      </c>
      <c r="AH2815" s="35">
        <f>IF(OR(C2815&lt;&gt;"Grayson Coulter",G2815&lt;'00_Control'!$B$7),"",--(AF2815&lt;10))</f>
        <v/>
      </c>
      <c r="AI2815" s="35">
        <f>IF(AND(C2815="Grayson Coulter",G2815&gt;='00_Control'!$B$7),"YES","NO")</f>
        <v/>
      </c>
      <c r="AJ2815" s="33" t="inlineStr">
        <is>
          <t>OK</t>
        </is>
      </c>
    </row>
    <row r="2816">
      <c r="A2816" s="33" t="inlineStr">
        <is>
          <t>SM002812</t>
        </is>
      </c>
      <c r="B2816" s="33" t="inlineStr">
        <is>
          <t>SW005</t>
        </is>
      </c>
      <c r="C2816" s="33" t="inlineStr">
        <is>
          <t>Thomas Heilman</t>
        </is>
      </c>
      <c r="D2816" s="33" t="inlineStr">
        <is>
          <t>SwimCloud</t>
        </is>
      </c>
      <c r="E2816" s="33" t="inlineStr">
        <is>
          <t>1336401</t>
        </is>
      </c>
      <c r="F2816" s="33" t="inlineStr">
        <is>
          <t>122010243</t>
        </is>
      </c>
      <c r="G2816" s="51" t="n">
        <v>45360</v>
      </c>
      <c r="H2816" s="33" t="inlineStr">
        <is>
          <t>TYR Pro Swim Series - Westmont</t>
        </is>
      </c>
      <c r="I2816" s="33" t="inlineStr">
        <is>
          <t>274520</t>
        </is>
      </c>
      <c r="J2816" s="33" t="inlineStr"/>
      <c r="K2816" s="33" t="inlineStr">
        <is>
          <t>PRE</t>
        </is>
      </c>
      <c r="L2816" s="35">
        <f>IF(K2816="FIN",3,IF(OR(K2816="SEM",K2816="SEMI"),2,IF(OR(K2816="PRE",K2816="HEAT"),1,IF(V2816="YES",4,2))))</f>
        <v/>
      </c>
      <c r="M2816" s="33" t="inlineStr">
        <is>
          <t>LCM</t>
        </is>
      </c>
      <c r="N2816" s="33" t="n">
        <v>100</v>
      </c>
      <c r="O2816" s="33" t="inlineStr">
        <is>
          <t>Free</t>
        </is>
      </c>
      <c r="P2816" s="33" t="inlineStr">
        <is>
          <t>100 Free</t>
        </is>
      </c>
      <c r="Q2816" s="33" t="inlineStr">
        <is>
          <t>LCM_100_FREE</t>
        </is>
      </c>
      <c r="R2816" s="36" t="n">
        <v>51.18</v>
      </c>
      <c r="S2816" s="35">
        <f>IF(R2816="","",IF(R2816&gt;=60,INT(R2816/60)&amp;":"&amp;TEXT(MOD(R2816,60),"00.00"),TEXT(R2816,"0.00")))</f>
        <v/>
      </c>
      <c r="T2816" s="52">
        <f>IFERROR((G2816-INDEX('01_Swimmers'!$E$5:$E$22,MATCH(B2816,'01_Swimmers'!$A$5:$A$22,0)))/'00_Control'!$B$10,"")</f>
        <v/>
      </c>
      <c r="U2816" s="35">
        <f>IF(T2816="","",INT(T2816))</f>
        <v/>
      </c>
      <c r="V2816" s="33" t="inlineStr">
        <is>
          <t>NO</t>
        </is>
      </c>
      <c r="W2816" s="33" t="inlineStr">
        <is>
          <t>YES</t>
        </is>
      </c>
      <c r="X2816" s="33" t="inlineStr">
        <is>
          <t>NO</t>
        </is>
      </c>
      <c r="Y2816" s="33" t="n">
        <v>8</v>
      </c>
      <c r="Z2816" s="33" t="n">
        <v>7</v>
      </c>
      <c r="AA2816" s="33" t="inlineStr">
        <is>
          <t>34</t>
        </is>
      </c>
      <c r="AB2816" s="33" t="inlineStr">
        <is>
          <t>https://www.swimcloud.com/results/274520/event/28/?id=122010243#time122010243</t>
        </is>
      </c>
      <c r="AC2816" s="33" t="inlineStr">
        <is>
          <t>SwimCloud API v6 2026-10-08</t>
        </is>
      </c>
      <c r="AD2816" s="33" t="inlineStr">
        <is>
          <t>Thomas Heilman|2024-03-09|LCM|100|Free|51.18|TYR Pro Swim Series - Westmont|PRE|False</t>
        </is>
      </c>
      <c r="AE2816" s="53">
        <f>G2816+L2816/1000+ROW()/1000000000</f>
        <v/>
      </c>
      <c r="AF2816" s="35">
        <f>IF(C2816&lt;&gt;"Grayson Coulter","",COUNTIFS($C$5:$C$2991,"Grayson Coulter",$Q$5:$Q$2991,Q2816,$AE$5:$AE$2991,"&lt;="&amp;AE2816,$R$5:$R$2991,"&lt;"&amp;R2816))</f>
        <v/>
      </c>
      <c r="AG2816" s="35">
        <f>IF(OR(C2816&lt;&gt;"Grayson Coulter",G2816&lt;'00_Control'!$B$7),"",--(AF2816&lt;5))</f>
        <v/>
      </c>
      <c r="AH2816" s="35">
        <f>IF(OR(C2816&lt;&gt;"Grayson Coulter",G2816&lt;'00_Control'!$B$7),"",--(AF2816&lt;10))</f>
        <v/>
      </c>
      <c r="AI2816" s="35">
        <f>IF(AND(C2816="Grayson Coulter",G2816&gt;='00_Control'!$B$7),"YES","NO")</f>
        <v/>
      </c>
      <c r="AJ2816" s="33" t="inlineStr">
        <is>
          <t>OK</t>
        </is>
      </c>
    </row>
    <row r="2817">
      <c r="A2817" s="33" t="inlineStr">
        <is>
          <t>SM002813</t>
        </is>
      </c>
      <c r="B2817" s="33" t="inlineStr">
        <is>
          <t>SW005</t>
        </is>
      </c>
      <c r="C2817" s="33" t="inlineStr">
        <is>
          <t>Thomas Heilman</t>
        </is>
      </c>
      <c r="D2817" s="33" t="inlineStr">
        <is>
          <t>SwimCloud</t>
        </is>
      </c>
      <c r="E2817" s="33" t="inlineStr">
        <is>
          <t>1336401</t>
        </is>
      </c>
      <c r="F2817" s="33" t="inlineStr">
        <is>
          <t>125919922</t>
        </is>
      </c>
      <c r="G2817" s="51" t="n">
        <v>45409</v>
      </c>
      <c r="H2817" s="33" t="inlineStr">
        <is>
          <t>VA RAYS Helen Wang Sunflower Classic</t>
        </is>
      </c>
      <c r="I2817" s="33" t="inlineStr">
        <is>
          <t>303026</t>
        </is>
      </c>
      <c r="J2817" s="33" t="inlineStr"/>
      <c r="K2817" s="33" t="inlineStr">
        <is>
          <t>TIM</t>
        </is>
      </c>
      <c r="L2817" s="35">
        <f>IF(K2817="FIN",3,IF(OR(K2817="SEM",K2817="SEMI"),2,IF(OR(K2817="PRE",K2817="HEAT"),1,IF(V2817="YES",4,2))))</f>
        <v/>
      </c>
      <c r="M2817" s="33" t="inlineStr">
        <is>
          <t>LCM</t>
        </is>
      </c>
      <c r="N2817" s="33" t="n">
        <v>200</v>
      </c>
      <c r="O2817" s="33" t="inlineStr">
        <is>
          <t>Free</t>
        </is>
      </c>
      <c r="P2817" s="33" t="inlineStr">
        <is>
          <t>200 Free</t>
        </is>
      </c>
      <c r="Q2817" s="33" t="inlineStr">
        <is>
          <t>LCM_200_FREE</t>
        </is>
      </c>
      <c r="R2817" s="36" t="n">
        <v>111.54</v>
      </c>
      <c r="S2817" s="35">
        <f>IF(R2817="","",IF(R2817&gt;=60,INT(R2817/60)&amp;":"&amp;TEXT(MOD(R2817,60),"00.00"),TEXT(R2817,"0.00")))</f>
        <v/>
      </c>
      <c r="T2817" s="52">
        <f>IFERROR((G2817-INDEX('01_Swimmers'!$E$5:$E$22,MATCH(B2817,'01_Swimmers'!$A$5:$A$22,0)))/'00_Control'!$B$10,"")</f>
        <v/>
      </c>
      <c r="U2817" s="35">
        <f>IF(T2817="","",INT(T2817))</f>
        <v/>
      </c>
      <c r="V2817" s="33" t="inlineStr">
        <is>
          <t>NO</t>
        </is>
      </c>
      <c r="W2817" s="33" t="inlineStr">
        <is>
          <t>YES</t>
        </is>
      </c>
      <c r="X2817" s="33" t="inlineStr">
        <is>
          <t>NO</t>
        </is>
      </c>
      <c r="Y2817" s="33" t="n">
        <v>15</v>
      </c>
      <c r="Z2817" s="33" t="n">
        <v>4</v>
      </c>
      <c r="AA2817" s="33" t="inlineStr">
        <is>
          <t>1</t>
        </is>
      </c>
      <c r="AB2817" s="33" t="inlineStr">
        <is>
          <t>https://www.swimcloud.com/results/303026/event/32/?id=125919922#time125919922</t>
        </is>
      </c>
      <c r="AC2817" s="33" t="inlineStr">
        <is>
          <t>SwimCloud API v6 2026-10-08</t>
        </is>
      </c>
      <c r="AD2817" s="33" t="inlineStr">
        <is>
          <t>Thomas Heilman|2024-04-27|LCM|200|Free|111.54|VA RAYS Helen Wang Sunflower Classic|TIM|False</t>
        </is>
      </c>
      <c r="AE2817" s="53">
        <f>G2817+L2817/1000+ROW()/1000000000</f>
        <v/>
      </c>
      <c r="AF2817" s="35">
        <f>IF(C2817&lt;&gt;"Grayson Coulter","",COUNTIFS($C$5:$C$2991,"Grayson Coulter",$Q$5:$Q$2991,Q2817,$AE$5:$AE$2991,"&lt;="&amp;AE2817,$R$5:$R$2991,"&lt;"&amp;R2817))</f>
        <v/>
      </c>
      <c r="AG2817" s="35">
        <f>IF(OR(C2817&lt;&gt;"Grayson Coulter",G2817&lt;'00_Control'!$B$7),"",--(AF2817&lt;5))</f>
        <v/>
      </c>
      <c r="AH2817" s="35">
        <f>IF(OR(C2817&lt;&gt;"Grayson Coulter",G2817&lt;'00_Control'!$B$7),"",--(AF2817&lt;10))</f>
        <v/>
      </c>
      <c r="AI2817" s="35">
        <f>IF(AND(C2817="Grayson Coulter",G2817&gt;='00_Control'!$B$7),"YES","NO")</f>
        <v/>
      </c>
      <c r="AJ2817" s="33" t="inlineStr">
        <is>
          <t>OK</t>
        </is>
      </c>
    </row>
    <row r="2818">
      <c r="A2818" s="33" t="inlineStr">
        <is>
          <t>SM002814</t>
        </is>
      </c>
      <c r="B2818" s="33" t="inlineStr">
        <is>
          <t>SW005</t>
        </is>
      </c>
      <c r="C2818" s="33" t="inlineStr">
        <is>
          <t>Thomas Heilman</t>
        </is>
      </c>
      <c r="D2818" s="33" t="inlineStr">
        <is>
          <t>SwimCloud</t>
        </is>
      </c>
      <c r="E2818" s="33" t="inlineStr">
        <is>
          <t>1336401</t>
        </is>
      </c>
      <c r="F2818" s="33" t="inlineStr">
        <is>
          <t>125920981</t>
        </is>
      </c>
      <c r="G2818" s="51" t="n">
        <v>45410</v>
      </c>
      <c r="H2818" s="33" t="inlineStr">
        <is>
          <t>VA RAYS Helen Wang Sunflower Classic</t>
        </is>
      </c>
      <c r="I2818" s="33" t="inlineStr">
        <is>
          <t>303026</t>
        </is>
      </c>
      <c r="J2818" s="33" t="inlineStr"/>
      <c r="K2818" s="33" t="inlineStr">
        <is>
          <t>TIM</t>
        </is>
      </c>
      <c r="L2818" s="35">
        <f>IF(K2818="FIN",3,IF(OR(K2818="SEM",K2818="SEMI"),2,IF(OR(K2818="PRE",K2818="HEAT"),1,IF(V2818="YES",4,2))))</f>
        <v/>
      </c>
      <c r="M2818" s="33" t="inlineStr">
        <is>
          <t>LCM</t>
        </is>
      </c>
      <c r="N2818" s="33" t="n">
        <v>100</v>
      </c>
      <c r="O2818" s="33" t="inlineStr">
        <is>
          <t>Fly</t>
        </is>
      </c>
      <c r="P2818" s="33" t="inlineStr">
        <is>
          <t>100 Fly</t>
        </is>
      </c>
      <c r="Q2818" s="33" t="inlineStr">
        <is>
          <t>LCM_100_FLY</t>
        </is>
      </c>
      <c r="R2818" s="36" t="n">
        <v>52.68</v>
      </c>
      <c r="S2818" s="35">
        <f>IF(R2818="","",IF(R2818&gt;=60,INT(R2818/60)&amp;":"&amp;TEXT(MOD(R2818,60),"00.00"),TEXT(R2818,"0.00")))</f>
        <v/>
      </c>
      <c r="T2818" s="52">
        <f>IFERROR((G2818-INDEX('01_Swimmers'!$E$5:$E$22,MATCH(B2818,'01_Swimmers'!$A$5:$A$22,0)))/'00_Control'!$B$10,"")</f>
        <v/>
      </c>
      <c r="U2818" s="35">
        <f>IF(T2818="","",INT(T2818))</f>
        <v/>
      </c>
      <c r="V2818" s="33" t="inlineStr">
        <is>
          <t>NO</t>
        </is>
      </c>
      <c r="W2818" s="33" t="inlineStr">
        <is>
          <t>YES</t>
        </is>
      </c>
      <c r="X2818" s="33" t="inlineStr">
        <is>
          <t>NO</t>
        </is>
      </c>
      <c r="Y2818" s="33" t="n">
        <v>16</v>
      </c>
      <c r="Z2818" s="33" t="n">
        <v>4</v>
      </c>
      <c r="AA2818" s="33" t="inlineStr">
        <is>
          <t>1</t>
        </is>
      </c>
      <c r="AB2818" s="33" t="inlineStr">
        <is>
          <t>https://www.swimcloud.com/results/303026/event/50/?id=125920981#time125920981</t>
        </is>
      </c>
      <c r="AC2818" s="33" t="inlineStr">
        <is>
          <t>SwimCloud API v6 2026-10-08</t>
        </is>
      </c>
      <c r="AD2818" s="33" t="inlineStr">
        <is>
          <t>Thomas Heilman|2024-04-28|LCM|100|Fly|52.68|VA RAYS Helen Wang Sunflower Classic|TIM|False</t>
        </is>
      </c>
      <c r="AE2818" s="53">
        <f>G2818+L2818/1000+ROW()/1000000000</f>
        <v/>
      </c>
      <c r="AF2818" s="35">
        <f>IF(C2818&lt;&gt;"Grayson Coulter","",COUNTIFS($C$5:$C$2991,"Grayson Coulter",$Q$5:$Q$2991,Q2818,$AE$5:$AE$2991,"&lt;="&amp;AE2818,$R$5:$R$2991,"&lt;"&amp;R2818))</f>
        <v/>
      </c>
      <c r="AG2818" s="35">
        <f>IF(OR(C2818&lt;&gt;"Grayson Coulter",G2818&lt;'00_Control'!$B$7),"",--(AF2818&lt;5))</f>
        <v/>
      </c>
      <c r="AH2818" s="35">
        <f>IF(OR(C2818&lt;&gt;"Grayson Coulter",G2818&lt;'00_Control'!$B$7),"",--(AF2818&lt;10))</f>
        <v/>
      </c>
      <c r="AI2818" s="35">
        <f>IF(AND(C2818="Grayson Coulter",G2818&gt;='00_Control'!$B$7),"YES","NO")</f>
        <v/>
      </c>
      <c r="AJ2818" s="33" t="inlineStr">
        <is>
          <t>OK</t>
        </is>
      </c>
    </row>
    <row r="2819">
      <c r="A2819" s="33" t="inlineStr">
        <is>
          <t>SM002815</t>
        </is>
      </c>
      <c r="B2819" s="33" t="inlineStr">
        <is>
          <t>SW005</t>
        </is>
      </c>
      <c r="C2819" s="33" t="inlineStr">
        <is>
          <t>Thomas Heilman</t>
        </is>
      </c>
      <c r="D2819" s="33" t="inlineStr">
        <is>
          <t>SwimCloud</t>
        </is>
      </c>
      <c r="E2819" s="33" t="inlineStr">
        <is>
          <t>1336401</t>
        </is>
      </c>
      <c r="F2819" s="33" t="inlineStr">
        <is>
          <t>125921055</t>
        </is>
      </c>
      <c r="G2819" s="51" t="n">
        <v>45410</v>
      </c>
      <c r="H2819" s="33" t="inlineStr">
        <is>
          <t>VA RAYS Helen Wang Sunflower Classic</t>
        </is>
      </c>
      <c r="I2819" s="33" t="inlineStr">
        <is>
          <t>303026</t>
        </is>
      </c>
      <c r="J2819" s="33" t="inlineStr"/>
      <c r="K2819" s="33" t="inlineStr">
        <is>
          <t>TIM</t>
        </is>
      </c>
      <c r="L2819" s="35">
        <f>IF(K2819="FIN",3,IF(OR(K2819="SEM",K2819="SEMI"),2,IF(OR(K2819="PRE",K2819="HEAT"),1,IF(V2819="YES",4,2))))</f>
        <v/>
      </c>
      <c r="M2819" s="33" t="inlineStr">
        <is>
          <t>LCM</t>
        </is>
      </c>
      <c r="N2819" s="33" t="n">
        <v>100</v>
      </c>
      <c r="O2819" s="33" t="inlineStr">
        <is>
          <t>Free</t>
        </is>
      </c>
      <c r="P2819" s="33" t="inlineStr">
        <is>
          <t>100 Free</t>
        </is>
      </c>
      <c r="Q2819" s="33" t="inlineStr">
        <is>
          <t>LCM_100_FREE</t>
        </is>
      </c>
      <c r="R2819" s="36" t="n">
        <v>50.66</v>
      </c>
      <c r="S2819" s="35">
        <f>IF(R2819="","",IF(R2819&gt;=60,INT(R2819/60)&amp;":"&amp;TEXT(MOD(R2819,60),"00.00"),TEXT(R2819,"0.00")))</f>
        <v/>
      </c>
      <c r="T2819" s="52">
        <f>IFERROR((G2819-INDEX('01_Swimmers'!$E$5:$E$22,MATCH(B2819,'01_Swimmers'!$A$5:$A$22,0)))/'00_Control'!$B$10,"")</f>
        <v/>
      </c>
      <c r="U2819" s="35">
        <f>IF(T2819="","",INT(T2819))</f>
        <v/>
      </c>
      <c r="V2819" s="33" t="inlineStr">
        <is>
          <t>NO</t>
        </is>
      </c>
      <c r="W2819" s="33" t="inlineStr">
        <is>
          <t>YES</t>
        </is>
      </c>
      <c r="X2819" s="33" t="inlineStr">
        <is>
          <t>NO</t>
        </is>
      </c>
      <c r="Y2819" s="33" t="n">
        <v>19</v>
      </c>
      <c r="Z2819" s="33" t="n">
        <v>4</v>
      </c>
      <c r="AA2819" s="33" t="inlineStr">
        <is>
          <t>1</t>
        </is>
      </c>
      <c r="AB2819" s="33" t="inlineStr">
        <is>
          <t>https://www.swimcloud.com/results/303026/event/52/?id=125921055#time125921055</t>
        </is>
      </c>
      <c r="AC2819" s="33" t="inlineStr">
        <is>
          <t>SwimCloud API v6 2026-10-08</t>
        </is>
      </c>
      <c r="AD2819" s="33" t="inlineStr">
        <is>
          <t>Thomas Heilman|2024-04-28|LCM|100|Free|50.66|VA RAYS Helen Wang Sunflower Classic|TIM|False</t>
        </is>
      </c>
      <c r="AE2819" s="53">
        <f>G2819+L2819/1000+ROW()/1000000000</f>
        <v/>
      </c>
      <c r="AF2819" s="35">
        <f>IF(C2819&lt;&gt;"Grayson Coulter","",COUNTIFS($C$5:$C$2991,"Grayson Coulter",$Q$5:$Q$2991,Q2819,$AE$5:$AE$2991,"&lt;="&amp;AE2819,$R$5:$R$2991,"&lt;"&amp;R2819))</f>
        <v/>
      </c>
      <c r="AG2819" s="35">
        <f>IF(OR(C2819&lt;&gt;"Grayson Coulter",G2819&lt;'00_Control'!$B$7),"",--(AF2819&lt;5))</f>
        <v/>
      </c>
      <c r="AH2819" s="35">
        <f>IF(OR(C2819&lt;&gt;"Grayson Coulter",G2819&lt;'00_Control'!$B$7),"",--(AF2819&lt;10))</f>
        <v/>
      </c>
      <c r="AI2819" s="35">
        <f>IF(AND(C2819="Grayson Coulter",G2819&gt;='00_Control'!$B$7),"YES","NO")</f>
        <v/>
      </c>
      <c r="AJ2819" s="33" t="inlineStr">
        <is>
          <t>OK</t>
        </is>
      </c>
    </row>
    <row r="2820">
      <c r="A2820" s="33" t="inlineStr">
        <is>
          <t>SM002816</t>
        </is>
      </c>
      <c r="B2820" s="33" t="inlineStr">
        <is>
          <t>SW005</t>
        </is>
      </c>
      <c r="C2820" s="33" t="inlineStr">
        <is>
          <t>Thomas Heilman</t>
        </is>
      </c>
      <c r="D2820" s="33" t="inlineStr">
        <is>
          <t>SwimCloud</t>
        </is>
      </c>
      <c r="E2820" s="33" t="inlineStr">
        <is>
          <t>1336401</t>
        </is>
      </c>
      <c r="F2820" s="33" t="inlineStr">
        <is>
          <t>126210543</t>
        </is>
      </c>
      <c r="G2820" s="51" t="n">
        <v>45428</v>
      </c>
      <c r="H2820" s="33" t="inlineStr">
        <is>
          <t>Eastern Zone Super Sectional</t>
        </is>
      </c>
      <c r="I2820" s="33" t="inlineStr">
        <is>
          <t>303567</t>
        </is>
      </c>
      <c r="J2820" s="33" t="inlineStr"/>
      <c r="K2820" s="33" t="inlineStr">
        <is>
          <t>PRE</t>
        </is>
      </c>
      <c r="L2820" s="35">
        <f>IF(K2820="FIN",3,IF(OR(K2820="SEM",K2820="SEMI"),2,IF(OR(K2820="PRE",K2820="HEAT"),1,IF(V2820="YES",4,2))))</f>
        <v/>
      </c>
      <c r="M2820" s="33" t="inlineStr">
        <is>
          <t>LCM</t>
        </is>
      </c>
      <c r="N2820" s="33" t="n">
        <v>100</v>
      </c>
      <c r="O2820" s="33" t="inlineStr">
        <is>
          <t>Free</t>
        </is>
      </c>
      <c r="P2820" s="33" t="inlineStr">
        <is>
          <t>100 Free</t>
        </is>
      </c>
      <c r="Q2820" s="33" t="inlineStr">
        <is>
          <t>LCM_100_FREE</t>
        </is>
      </c>
      <c r="R2820" s="36" t="n">
        <v>50.54</v>
      </c>
      <c r="S2820" s="35">
        <f>IF(R2820="","",IF(R2820&gt;=60,INT(R2820/60)&amp;":"&amp;TEXT(MOD(R2820,60),"00.00"),TEXT(R2820,"0.00")))</f>
        <v/>
      </c>
      <c r="T2820" s="52">
        <f>IFERROR((G2820-INDEX('01_Swimmers'!$E$5:$E$22,MATCH(B2820,'01_Swimmers'!$A$5:$A$22,0)))/'00_Control'!$B$10,"")</f>
        <v/>
      </c>
      <c r="U2820" s="35">
        <f>IF(T2820="","",INT(T2820))</f>
        <v/>
      </c>
      <c r="V2820" s="33" t="inlineStr">
        <is>
          <t>NO</t>
        </is>
      </c>
      <c r="W2820" s="33" t="inlineStr">
        <is>
          <t>YES</t>
        </is>
      </c>
      <c r="X2820" s="33" t="inlineStr">
        <is>
          <t>NO</t>
        </is>
      </c>
      <c r="Y2820" s="33" t="n">
        <v>17</v>
      </c>
      <c r="Z2820" s="33" t="n">
        <v>4</v>
      </c>
      <c r="AA2820" s="33" t="inlineStr">
        <is>
          <t>2</t>
        </is>
      </c>
      <c r="AB2820" s="33" t="inlineStr">
        <is>
          <t>https://www.swimcloud.com/results/303567/event/6/?id=126210543#time126210543</t>
        </is>
      </c>
      <c r="AC2820" s="33" t="inlineStr">
        <is>
          <t>SwimCloud API v6 2026-10-08</t>
        </is>
      </c>
      <c r="AD2820" s="33" t="inlineStr">
        <is>
          <t>Thomas Heilman|2024-05-16|LCM|100|Free|50.54|Eastern Zone Super Sectional|PRE|False</t>
        </is>
      </c>
      <c r="AE2820" s="53">
        <f>G2820+L2820/1000+ROW()/1000000000</f>
        <v/>
      </c>
      <c r="AF2820" s="35">
        <f>IF(C2820&lt;&gt;"Grayson Coulter","",COUNTIFS($C$5:$C$2991,"Grayson Coulter",$Q$5:$Q$2991,Q2820,$AE$5:$AE$2991,"&lt;="&amp;AE2820,$R$5:$R$2991,"&lt;"&amp;R2820))</f>
        <v/>
      </c>
      <c r="AG2820" s="35">
        <f>IF(OR(C2820&lt;&gt;"Grayson Coulter",G2820&lt;'00_Control'!$B$7),"",--(AF2820&lt;5))</f>
        <v/>
      </c>
      <c r="AH2820" s="35">
        <f>IF(OR(C2820&lt;&gt;"Grayson Coulter",G2820&lt;'00_Control'!$B$7),"",--(AF2820&lt;10))</f>
        <v/>
      </c>
      <c r="AI2820" s="35">
        <f>IF(AND(C2820="Grayson Coulter",G2820&gt;='00_Control'!$B$7),"YES","NO")</f>
        <v/>
      </c>
      <c r="AJ2820" s="33" t="inlineStr">
        <is>
          <t>OK</t>
        </is>
      </c>
    </row>
    <row r="2821">
      <c r="A2821" s="33" t="inlineStr">
        <is>
          <t>SM002817</t>
        </is>
      </c>
      <c r="B2821" s="33" t="inlineStr">
        <is>
          <t>SW005</t>
        </is>
      </c>
      <c r="C2821" s="33" t="inlineStr">
        <is>
          <t>Thomas Heilman</t>
        </is>
      </c>
      <c r="D2821" s="33" t="inlineStr">
        <is>
          <t>SwimCloud</t>
        </is>
      </c>
      <c r="E2821" s="33" t="inlineStr">
        <is>
          <t>1336401</t>
        </is>
      </c>
      <c r="F2821" s="33" t="inlineStr">
        <is>
          <t>126210544</t>
        </is>
      </c>
      <c r="G2821" s="51" t="n">
        <v>45428</v>
      </c>
      <c r="H2821" s="33" t="inlineStr">
        <is>
          <t>Eastern Zone Super Sectional</t>
        </is>
      </c>
      <c r="I2821" s="33" t="inlineStr">
        <is>
          <t>303567</t>
        </is>
      </c>
      <c r="J2821" s="33" t="inlineStr"/>
      <c r="K2821" s="33" t="inlineStr">
        <is>
          <t>FIN</t>
        </is>
      </c>
      <c r="L2821" s="35">
        <f>IF(K2821="FIN",3,IF(OR(K2821="SEM",K2821="SEMI"),2,IF(OR(K2821="PRE",K2821="HEAT"),1,IF(V2821="YES",4,2))))</f>
        <v/>
      </c>
      <c r="M2821" s="33" t="inlineStr">
        <is>
          <t>LCM</t>
        </is>
      </c>
      <c r="N2821" s="33" t="n">
        <v>100</v>
      </c>
      <c r="O2821" s="33" t="inlineStr">
        <is>
          <t>Free</t>
        </is>
      </c>
      <c r="P2821" s="33" t="inlineStr">
        <is>
          <t>100 Free</t>
        </is>
      </c>
      <c r="Q2821" s="33" t="inlineStr">
        <is>
          <t>LCM_100_FREE</t>
        </is>
      </c>
      <c r="R2821" s="36" t="n">
        <v>50.08</v>
      </c>
      <c r="S2821" s="35">
        <f>IF(R2821="","",IF(R2821&gt;=60,INT(R2821/60)&amp;":"&amp;TEXT(MOD(R2821,60),"00.00"),TEXT(R2821,"0.00")))</f>
        <v/>
      </c>
      <c r="T2821" s="52">
        <f>IFERROR((G2821-INDEX('01_Swimmers'!$E$5:$E$22,MATCH(B2821,'01_Swimmers'!$A$5:$A$22,0)))/'00_Control'!$B$10,"")</f>
        <v/>
      </c>
      <c r="U2821" s="35">
        <f>IF(T2821="","",INT(T2821))</f>
        <v/>
      </c>
      <c r="V2821" s="33" t="inlineStr">
        <is>
          <t>NO</t>
        </is>
      </c>
      <c r="W2821" s="33" t="inlineStr">
        <is>
          <t>YES</t>
        </is>
      </c>
      <c r="X2821" s="33" t="inlineStr">
        <is>
          <t>NO</t>
        </is>
      </c>
      <c r="Y2821" s="33" t="n">
        <v>4</v>
      </c>
      <c r="Z2821" s="33" t="n">
        <v>4</v>
      </c>
      <c r="AA2821" s="33" t="inlineStr">
        <is>
          <t>1</t>
        </is>
      </c>
      <c r="AB2821" s="33" t="inlineStr">
        <is>
          <t>https://www.swimcloud.com/results/303567/event/6/?id=126210544#time126210544</t>
        </is>
      </c>
      <c r="AC2821" s="33" t="inlineStr">
        <is>
          <t>SwimCloud API v6 2026-10-08</t>
        </is>
      </c>
      <c r="AD2821" s="33" t="inlineStr">
        <is>
          <t>Thomas Heilman|2024-05-16|LCM|100|Free|50.08|Eastern Zone Super Sectional|FIN|False</t>
        </is>
      </c>
      <c r="AE2821" s="53">
        <f>G2821+L2821/1000+ROW()/1000000000</f>
        <v/>
      </c>
      <c r="AF2821" s="35">
        <f>IF(C2821&lt;&gt;"Grayson Coulter","",COUNTIFS($C$5:$C$2991,"Grayson Coulter",$Q$5:$Q$2991,Q2821,$AE$5:$AE$2991,"&lt;="&amp;AE2821,$R$5:$R$2991,"&lt;"&amp;R2821))</f>
        <v/>
      </c>
      <c r="AG2821" s="35">
        <f>IF(OR(C2821&lt;&gt;"Grayson Coulter",G2821&lt;'00_Control'!$B$7),"",--(AF2821&lt;5))</f>
        <v/>
      </c>
      <c r="AH2821" s="35">
        <f>IF(OR(C2821&lt;&gt;"Grayson Coulter",G2821&lt;'00_Control'!$B$7),"",--(AF2821&lt;10))</f>
        <v/>
      </c>
      <c r="AI2821" s="35">
        <f>IF(AND(C2821="Grayson Coulter",G2821&gt;='00_Control'!$B$7),"YES","NO")</f>
        <v/>
      </c>
      <c r="AJ2821" s="33" t="inlineStr">
        <is>
          <t>OK</t>
        </is>
      </c>
    </row>
    <row r="2822">
      <c r="A2822" s="33" t="inlineStr">
        <is>
          <t>SM002818</t>
        </is>
      </c>
      <c r="B2822" s="33" t="inlineStr">
        <is>
          <t>SW005</t>
        </is>
      </c>
      <c r="C2822" s="33" t="inlineStr">
        <is>
          <t>Thomas Heilman</t>
        </is>
      </c>
      <c r="D2822" s="33" t="inlineStr">
        <is>
          <t>SwimCloud</t>
        </is>
      </c>
      <c r="E2822" s="33" t="inlineStr">
        <is>
          <t>1336401</t>
        </is>
      </c>
      <c r="F2822" s="33" t="inlineStr">
        <is>
          <t>126210350</t>
        </is>
      </c>
      <c r="G2822" s="51" t="n">
        <v>45429</v>
      </c>
      <c r="H2822" s="33" t="inlineStr">
        <is>
          <t>Eastern Zone Super Sectional</t>
        </is>
      </c>
      <c r="I2822" s="33" t="inlineStr">
        <is>
          <t>303567</t>
        </is>
      </c>
      <c r="J2822" s="33" t="inlineStr"/>
      <c r="K2822" s="33" t="inlineStr">
        <is>
          <t>PRE</t>
        </is>
      </c>
      <c r="L2822" s="35">
        <f>IF(K2822="FIN",3,IF(OR(K2822="SEM",K2822="SEMI"),2,IF(OR(K2822="PRE",K2822="HEAT"),1,IF(V2822="YES",4,2))))</f>
        <v/>
      </c>
      <c r="M2822" s="33" t="inlineStr">
        <is>
          <t>LCM</t>
        </is>
      </c>
      <c r="N2822" s="33" t="n">
        <v>100</v>
      </c>
      <c r="O2822" s="33" t="inlineStr">
        <is>
          <t>Fly</t>
        </is>
      </c>
      <c r="P2822" s="33" t="inlineStr">
        <is>
          <t>100 Fly</t>
        </is>
      </c>
      <c r="Q2822" s="33" t="inlineStr">
        <is>
          <t>LCM_100_FLY</t>
        </is>
      </c>
      <c r="R2822" s="36" t="n">
        <v>52.94</v>
      </c>
      <c r="S2822" s="35">
        <f>IF(R2822="","",IF(R2822&gt;=60,INT(R2822/60)&amp;":"&amp;TEXT(MOD(R2822,60),"00.00"),TEXT(R2822,"0.00")))</f>
        <v/>
      </c>
      <c r="T2822" s="52">
        <f>IFERROR((G2822-INDEX('01_Swimmers'!$E$5:$E$22,MATCH(B2822,'01_Swimmers'!$A$5:$A$22,0)))/'00_Control'!$B$10,"")</f>
        <v/>
      </c>
      <c r="U2822" s="35">
        <f>IF(T2822="","",INT(T2822))</f>
        <v/>
      </c>
      <c r="V2822" s="33" t="inlineStr">
        <is>
          <t>NO</t>
        </is>
      </c>
      <c r="W2822" s="33" t="inlineStr">
        <is>
          <t>YES</t>
        </is>
      </c>
      <c r="X2822" s="33" t="inlineStr">
        <is>
          <t>NO</t>
        </is>
      </c>
      <c r="Y2822" s="33" t="n">
        <v>21</v>
      </c>
      <c r="Z2822" s="33" t="n">
        <v>4</v>
      </c>
      <c r="AA2822" s="33" t="inlineStr">
        <is>
          <t>1</t>
        </is>
      </c>
      <c r="AB2822" s="33" t="inlineStr">
        <is>
          <t>https://www.swimcloud.com/results/303567/event/16/?id=126210350#time126210350</t>
        </is>
      </c>
      <c r="AC2822" s="33" t="inlineStr">
        <is>
          <t>SwimCloud API v6 2026-10-08</t>
        </is>
      </c>
      <c r="AD2822" s="33" t="inlineStr">
        <is>
          <t>Thomas Heilman|2024-05-17|LCM|100|Fly|52.94|Eastern Zone Super Sectional|PRE|False</t>
        </is>
      </c>
      <c r="AE2822" s="53">
        <f>G2822+L2822/1000+ROW()/1000000000</f>
        <v/>
      </c>
      <c r="AF2822" s="35">
        <f>IF(C2822&lt;&gt;"Grayson Coulter","",COUNTIFS($C$5:$C$2991,"Grayson Coulter",$Q$5:$Q$2991,Q2822,$AE$5:$AE$2991,"&lt;="&amp;AE2822,$R$5:$R$2991,"&lt;"&amp;R2822))</f>
        <v/>
      </c>
      <c r="AG2822" s="35">
        <f>IF(OR(C2822&lt;&gt;"Grayson Coulter",G2822&lt;'00_Control'!$B$7),"",--(AF2822&lt;5))</f>
        <v/>
      </c>
      <c r="AH2822" s="35">
        <f>IF(OR(C2822&lt;&gt;"Grayson Coulter",G2822&lt;'00_Control'!$B$7),"",--(AF2822&lt;10))</f>
        <v/>
      </c>
      <c r="AI2822" s="35">
        <f>IF(AND(C2822="Grayson Coulter",G2822&gt;='00_Control'!$B$7),"YES","NO")</f>
        <v/>
      </c>
      <c r="AJ2822" s="33" t="inlineStr">
        <is>
          <t>OK</t>
        </is>
      </c>
    </row>
    <row r="2823">
      <c r="A2823" s="33" t="inlineStr">
        <is>
          <t>SM002819</t>
        </is>
      </c>
      <c r="B2823" s="33" t="inlineStr">
        <is>
          <t>SW005</t>
        </is>
      </c>
      <c r="C2823" s="33" t="inlineStr">
        <is>
          <t>Thomas Heilman</t>
        </is>
      </c>
      <c r="D2823" s="33" t="inlineStr">
        <is>
          <t>SwimCloud</t>
        </is>
      </c>
      <c r="E2823" s="33" t="inlineStr">
        <is>
          <t>1336401</t>
        </is>
      </c>
      <c r="F2823" s="33" t="inlineStr">
        <is>
          <t>126210351</t>
        </is>
      </c>
      <c r="G2823" s="51" t="n">
        <v>45429</v>
      </c>
      <c r="H2823" s="33" t="inlineStr">
        <is>
          <t>Eastern Zone Super Sectional</t>
        </is>
      </c>
      <c r="I2823" s="33" t="inlineStr">
        <is>
          <t>303567</t>
        </is>
      </c>
      <c r="J2823" s="33" t="inlineStr"/>
      <c r="K2823" s="33" t="inlineStr">
        <is>
          <t>FIN</t>
        </is>
      </c>
      <c r="L2823" s="35">
        <f>IF(K2823="FIN",3,IF(OR(K2823="SEM",K2823="SEMI"),2,IF(OR(K2823="PRE",K2823="HEAT"),1,IF(V2823="YES",4,2))))</f>
        <v/>
      </c>
      <c r="M2823" s="33" t="inlineStr">
        <is>
          <t>LCM</t>
        </is>
      </c>
      <c r="N2823" s="33" t="n">
        <v>100</v>
      </c>
      <c r="O2823" s="33" t="inlineStr">
        <is>
          <t>Fly</t>
        </is>
      </c>
      <c r="P2823" s="33" t="inlineStr">
        <is>
          <t>100 Fly</t>
        </is>
      </c>
      <c r="Q2823" s="33" t="inlineStr">
        <is>
          <t>LCM_100_FLY</t>
        </is>
      </c>
      <c r="R2823" s="36" t="n">
        <v>52.67</v>
      </c>
      <c r="S2823" s="35">
        <f>IF(R2823="","",IF(R2823&gt;=60,INT(R2823/60)&amp;":"&amp;TEXT(MOD(R2823,60),"00.00"),TEXT(R2823,"0.00")))</f>
        <v/>
      </c>
      <c r="T2823" s="52">
        <f>IFERROR((G2823-INDEX('01_Swimmers'!$E$5:$E$22,MATCH(B2823,'01_Swimmers'!$A$5:$A$22,0)))/'00_Control'!$B$10,"")</f>
        <v/>
      </c>
      <c r="U2823" s="35">
        <f>IF(T2823="","",INT(T2823))</f>
        <v/>
      </c>
      <c r="V2823" s="33" t="inlineStr">
        <is>
          <t>NO</t>
        </is>
      </c>
      <c r="W2823" s="33" t="inlineStr">
        <is>
          <t>YES</t>
        </is>
      </c>
      <c r="X2823" s="33" t="inlineStr">
        <is>
          <t>NO</t>
        </is>
      </c>
      <c r="Y2823" s="33" t="n">
        <v>4</v>
      </c>
      <c r="Z2823" s="33" t="n">
        <v>4</v>
      </c>
      <c r="AA2823" s="33" t="inlineStr">
        <is>
          <t>1</t>
        </is>
      </c>
      <c r="AB2823" s="33" t="inlineStr">
        <is>
          <t>https://www.swimcloud.com/results/303567/event/16/?id=126210351#time126210351</t>
        </is>
      </c>
      <c r="AC2823" s="33" t="inlineStr">
        <is>
          <t>SwimCloud API v6 2026-10-08</t>
        </is>
      </c>
      <c r="AD2823" s="33" t="inlineStr">
        <is>
          <t>Thomas Heilman|2024-05-17|LCM|100|Fly|52.67|Eastern Zone Super Sectional|FIN|False</t>
        </is>
      </c>
      <c r="AE2823" s="53">
        <f>G2823+L2823/1000+ROW()/1000000000</f>
        <v/>
      </c>
      <c r="AF2823" s="35">
        <f>IF(C2823&lt;&gt;"Grayson Coulter","",COUNTIFS($C$5:$C$2991,"Grayson Coulter",$Q$5:$Q$2991,Q2823,$AE$5:$AE$2991,"&lt;="&amp;AE2823,$R$5:$R$2991,"&lt;"&amp;R2823))</f>
        <v/>
      </c>
      <c r="AG2823" s="35">
        <f>IF(OR(C2823&lt;&gt;"Grayson Coulter",G2823&lt;'00_Control'!$B$7),"",--(AF2823&lt;5))</f>
        <v/>
      </c>
      <c r="AH2823" s="35">
        <f>IF(OR(C2823&lt;&gt;"Grayson Coulter",G2823&lt;'00_Control'!$B$7),"",--(AF2823&lt;10))</f>
        <v/>
      </c>
      <c r="AI2823" s="35">
        <f>IF(AND(C2823="Grayson Coulter",G2823&gt;='00_Control'!$B$7),"YES","NO")</f>
        <v/>
      </c>
      <c r="AJ2823" s="33" t="inlineStr">
        <is>
          <t>OK</t>
        </is>
      </c>
    </row>
    <row r="2824">
      <c r="A2824" s="33" t="inlineStr">
        <is>
          <t>SM002820</t>
        </is>
      </c>
      <c r="B2824" s="33" t="inlineStr">
        <is>
          <t>SW005</t>
        </is>
      </c>
      <c r="C2824" s="33" t="inlineStr">
        <is>
          <t>Thomas Heilman</t>
        </is>
      </c>
      <c r="D2824" s="33" t="inlineStr">
        <is>
          <t>SwimCloud</t>
        </is>
      </c>
      <c r="E2824" s="33" t="inlineStr">
        <is>
          <t>1336401</t>
        </is>
      </c>
      <c r="F2824" s="33" t="inlineStr">
        <is>
          <t>126211637</t>
        </is>
      </c>
      <c r="G2824" s="51" t="n">
        <v>45430</v>
      </c>
      <c r="H2824" s="33" t="inlineStr">
        <is>
          <t>Eastern Zone Super Sectional</t>
        </is>
      </c>
      <c r="I2824" s="33" t="inlineStr">
        <is>
          <t>303567</t>
        </is>
      </c>
      <c r="J2824" s="33" t="inlineStr"/>
      <c r="K2824" s="33" t="inlineStr">
        <is>
          <t>TIM</t>
        </is>
      </c>
      <c r="L2824" s="35">
        <f>IF(K2824="FIN",3,IF(OR(K2824="SEM",K2824="SEMI"),2,IF(OR(K2824="PRE",K2824="HEAT"),1,IF(V2824="YES",4,2))))</f>
        <v/>
      </c>
      <c r="M2824" s="33" t="inlineStr">
        <is>
          <t>LCM</t>
        </is>
      </c>
      <c r="N2824" s="33" t="n">
        <v>200</v>
      </c>
      <c r="O2824" s="33" t="inlineStr">
        <is>
          <t>Free</t>
        </is>
      </c>
      <c r="P2824" s="33" t="inlineStr">
        <is>
          <t>200 Free</t>
        </is>
      </c>
      <c r="Q2824" s="33" t="inlineStr">
        <is>
          <t>LCM_200_FREE</t>
        </is>
      </c>
      <c r="R2824" s="36" t="n">
        <v>110.55</v>
      </c>
      <c r="S2824" s="35">
        <f>IF(R2824="","",IF(R2824&gt;=60,INT(R2824/60)&amp;":"&amp;TEXT(MOD(R2824,60),"00.00"),TEXT(R2824,"0.00")))</f>
        <v/>
      </c>
      <c r="T2824" s="52">
        <f>IFERROR((G2824-INDEX('01_Swimmers'!$E$5:$E$22,MATCH(B2824,'01_Swimmers'!$A$5:$A$22,0)))/'00_Control'!$B$10,"")</f>
        <v/>
      </c>
      <c r="U2824" s="35">
        <f>IF(T2824="","",INT(T2824))</f>
        <v/>
      </c>
      <c r="V2824" s="33" t="inlineStr">
        <is>
          <t>YES</t>
        </is>
      </c>
      <c r="W2824" s="33" t="inlineStr">
        <is>
          <t>YES</t>
        </is>
      </c>
      <c r="X2824" s="33" t="inlineStr">
        <is>
          <t>NO</t>
        </is>
      </c>
      <c r="Y2824" s="33" t="n">
        <v>2</v>
      </c>
      <c r="Z2824" s="33" t="n">
        <v>4</v>
      </c>
      <c r="AA2824" s="33" t="inlineStr"/>
      <c r="AB2824" s="33" t="inlineStr">
        <is>
          <t>https://www.swimcloud.com/results/303567/event/28/?id=126211491#time126211491</t>
        </is>
      </c>
      <c r="AC2824" s="33" t="inlineStr">
        <is>
          <t>SwimCloud API v6 2026-10-08</t>
        </is>
      </c>
      <c r="AD2824" s="33" t="inlineStr">
        <is>
          <t>Thomas Heilman|2024-05-18|LCM|200|Free|110.55|Eastern Zone Super Sectional|TIM|True</t>
        </is>
      </c>
      <c r="AE2824" s="53">
        <f>G2824+L2824/1000+ROW()/1000000000</f>
        <v/>
      </c>
      <c r="AF2824" s="35">
        <f>IF(C2824&lt;&gt;"Grayson Coulter","",COUNTIFS($C$5:$C$2991,"Grayson Coulter",$Q$5:$Q$2991,Q2824,$AE$5:$AE$2991,"&lt;="&amp;AE2824,$R$5:$R$2991,"&lt;"&amp;R2824))</f>
        <v/>
      </c>
      <c r="AG2824" s="35">
        <f>IF(OR(C2824&lt;&gt;"Grayson Coulter",G2824&lt;'00_Control'!$B$7),"",--(AF2824&lt;5))</f>
        <v/>
      </c>
      <c r="AH2824" s="35">
        <f>IF(OR(C2824&lt;&gt;"Grayson Coulter",G2824&lt;'00_Control'!$B$7),"",--(AF2824&lt;10))</f>
        <v/>
      </c>
      <c r="AI2824" s="35">
        <f>IF(AND(C2824="Grayson Coulter",G2824&gt;='00_Control'!$B$7),"YES","NO")</f>
        <v/>
      </c>
      <c r="AJ2824" s="33" t="inlineStr">
        <is>
          <t>OK</t>
        </is>
      </c>
    </row>
    <row r="2825">
      <c r="A2825" s="33" t="inlineStr">
        <is>
          <t>SM002821</t>
        </is>
      </c>
      <c r="B2825" s="33" t="inlineStr">
        <is>
          <t>SW005</t>
        </is>
      </c>
      <c r="C2825" s="33" t="inlineStr">
        <is>
          <t>Thomas Heilman</t>
        </is>
      </c>
      <c r="D2825" s="33" t="inlineStr">
        <is>
          <t>SwimCloud</t>
        </is>
      </c>
      <c r="E2825" s="33" t="inlineStr">
        <is>
          <t>1336401</t>
        </is>
      </c>
      <c r="F2825" s="33" t="inlineStr">
        <is>
          <t>126952702</t>
        </is>
      </c>
      <c r="G2825" s="51" t="n">
        <v>45443</v>
      </c>
      <c r="H2825" s="33" t="inlineStr">
        <is>
          <t>PV NCAP Elite Qualifier</t>
        </is>
      </c>
      <c r="I2825" s="33" t="inlineStr">
        <is>
          <t>304879</t>
        </is>
      </c>
      <c r="J2825" s="33" t="inlineStr"/>
      <c r="K2825" s="33" t="inlineStr">
        <is>
          <t>PRE</t>
        </is>
      </c>
      <c r="L2825" s="35">
        <f>IF(K2825="FIN",3,IF(OR(K2825="SEM",K2825="SEMI"),2,IF(OR(K2825="PRE",K2825="HEAT"),1,IF(V2825="YES",4,2))))</f>
        <v/>
      </c>
      <c r="M2825" s="33" t="inlineStr">
        <is>
          <t>LCM</t>
        </is>
      </c>
      <c r="N2825" s="33" t="n">
        <v>100</v>
      </c>
      <c r="O2825" s="33" t="inlineStr">
        <is>
          <t>Fly</t>
        </is>
      </c>
      <c r="P2825" s="33" t="inlineStr">
        <is>
          <t>100 Fly</t>
        </is>
      </c>
      <c r="Q2825" s="33" t="inlineStr">
        <is>
          <t>LCM_100_FLY</t>
        </is>
      </c>
      <c r="R2825" s="36" t="n">
        <v>53.06</v>
      </c>
      <c r="S2825" s="35">
        <f>IF(R2825="","",IF(R2825&gt;=60,INT(R2825/60)&amp;":"&amp;TEXT(MOD(R2825,60),"00.00"),TEXT(R2825,"0.00")))</f>
        <v/>
      </c>
      <c r="T2825" s="52">
        <f>IFERROR((G2825-INDEX('01_Swimmers'!$E$5:$E$22,MATCH(B2825,'01_Swimmers'!$A$5:$A$22,0)))/'00_Control'!$B$10,"")</f>
        <v/>
      </c>
      <c r="U2825" s="35">
        <f>IF(T2825="","",INT(T2825))</f>
        <v/>
      </c>
      <c r="V2825" s="33" t="inlineStr">
        <is>
          <t>NO</t>
        </is>
      </c>
      <c r="W2825" s="33" t="inlineStr">
        <is>
          <t>YES</t>
        </is>
      </c>
      <c r="X2825" s="33" t="inlineStr">
        <is>
          <t>NO</t>
        </is>
      </c>
      <c r="Y2825" s="33" t="n">
        <v>8</v>
      </c>
      <c r="Z2825" s="33" t="n">
        <v>4</v>
      </c>
      <c r="AA2825" s="33" t="inlineStr">
        <is>
          <t>1</t>
        </is>
      </c>
      <c r="AB2825" s="33" t="inlineStr">
        <is>
          <t>https://www.swimcloud.com/results/304879/event/6/?id=126952702#time126952702</t>
        </is>
      </c>
      <c r="AC2825" s="33" t="inlineStr">
        <is>
          <t>SwimCloud API v6 2026-10-08</t>
        </is>
      </c>
      <c r="AD2825" s="33" t="inlineStr">
        <is>
          <t>Thomas Heilman|2024-05-31|LCM|100|Fly|53.06|PV NCAP Elite Qualifier|PRE|False</t>
        </is>
      </c>
      <c r="AE2825" s="53">
        <f>G2825+L2825/1000+ROW()/1000000000</f>
        <v/>
      </c>
      <c r="AF2825" s="35">
        <f>IF(C2825&lt;&gt;"Grayson Coulter","",COUNTIFS($C$5:$C$2991,"Grayson Coulter",$Q$5:$Q$2991,Q2825,$AE$5:$AE$2991,"&lt;="&amp;AE2825,$R$5:$R$2991,"&lt;"&amp;R2825))</f>
        <v/>
      </c>
      <c r="AG2825" s="35">
        <f>IF(OR(C2825&lt;&gt;"Grayson Coulter",G2825&lt;'00_Control'!$B$7),"",--(AF2825&lt;5))</f>
        <v/>
      </c>
      <c r="AH2825" s="35">
        <f>IF(OR(C2825&lt;&gt;"Grayson Coulter",G2825&lt;'00_Control'!$B$7),"",--(AF2825&lt;10))</f>
        <v/>
      </c>
      <c r="AI2825" s="35">
        <f>IF(AND(C2825="Grayson Coulter",G2825&gt;='00_Control'!$B$7),"YES","NO")</f>
        <v/>
      </c>
      <c r="AJ2825" s="33" t="inlineStr">
        <is>
          <t>OK</t>
        </is>
      </c>
    </row>
    <row r="2826">
      <c r="A2826" s="33" t="inlineStr">
        <is>
          <t>SM002822</t>
        </is>
      </c>
      <c r="B2826" s="33" t="inlineStr">
        <is>
          <t>SW005</t>
        </is>
      </c>
      <c r="C2826" s="33" t="inlineStr">
        <is>
          <t>Thomas Heilman</t>
        </is>
      </c>
      <c r="D2826" s="33" t="inlineStr">
        <is>
          <t>SwimCloud</t>
        </is>
      </c>
      <c r="E2826" s="33" t="inlineStr">
        <is>
          <t>1336401</t>
        </is>
      </c>
      <c r="F2826" s="33" t="inlineStr">
        <is>
          <t>126952703</t>
        </is>
      </c>
      <c r="G2826" s="51" t="n">
        <v>45443</v>
      </c>
      <c r="H2826" s="33" t="inlineStr">
        <is>
          <t>PV NCAP Elite Qualifier</t>
        </is>
      </c>
      <c r="I2826" s="33" t="inlineStr">
        <is>
          <t>304879</t>
        </is>
      </c>
      <c r="J2826" s="33" t="inlineStr"/>
      <c r="K2826" s="33" t="inlineStr">
        <is>
          <t>FIN</t>
        </is>
      </c>
      <c r="L2826" s="35">
        <f>IF(K2826="FIN",3,IF(OR(K2826="SEM",K2826="SEMI"),2,IF(OR(K2826="PRE",K2826="HEAT"),1,IF(V2826="YES",4,2))))</f>
        <v/>
      </c>
      <c r="M2826" s="33" t="inlineStr">
        <is>
          <t>LCM</t>
        </is>
      </c>
      <c r="N2826" s="33" t="n">
        <v>100</v>
      </c>
      <c r="O2826" s="33" t="inlineStr">
        <is>
          <t>Fly</t>
        </is>
      </c>
      <c r="P2826" s="33" t="inlineStr">
        <is>
          <t>100 Fly</t>
        </is>
      </c>
      <c r="Q2826" s="33" t="inlineStr">
        <is>
          <t>LCM_100_FLY</t>
        </is>
      </c>
      <c r="R2826" s="36" t="n">
        <v>52.29</v>
      </c>
      <c r="S2826" s="35">
        <f>IF(R2826="","",IF(R2826&gt;=60,INT(R2826/60)&amp;":"&amp;TEXT(MOD(R2826,60),"00.00"),TEXT(R2826,"0.00")))</f>
        <v/>
      </c>
      <c r="T2826" s="52">
        <f>IFERROR((G2826-INDEX('01_Swimmers'!$E$5:$E$22,MATCH(B2826,'01_Swimmers'!$A$5:$A$22,0)))/'00_Control'!$B$10,"")</f>
        <v/>
      </c>
      <c r="U2826" s="35">
        <f>IF(T2826="","",INT(T2826))</f>
        <v/>
      </c>
      <c r="V2826" s="33" t="inlineStr">
        <is>
          <t>NO</t>
        </is>
      </c>
      <c r="W2826" s="33" t="inlineStr">
        <is>
          <t>YES</t>
        </is>
      </c>
      <c r="X2826" s="33" t="inlineStr">
        <is>
          <t>NO</t>
        </is>
      </c>
      <c r="Y2826" s="33" t="n">
        <v>3</v>
      </c>
      <c r="Z2826" s="33" t="n">
        <v>4</v>
      </c>
      <c r="AA2826" s="33" t="inlineStr">
        <is>
          <t>1</t>
        </is>
      </c>
      <c r="AB2826" s="33" t="inlineStr">
        <is>
          <t>https://www.swimcloud.com/results/304879/event/6/?id=126952703#time126952703</t>
        </is>
      </c>
      <c r="AC2826" s="33" t="inlineStr">
        <is>
          <t>SwimCloud API v6 2026-10-08</t>
        </is>
      </c>
      <c r="AD2826" s="33" t="inlineStr">
        <is>
          <t>Thomas Heilman|2024-05-31|LCM|100|Fly|52.29|PV NCAP Elite Qualifier|FIN|False</t>
        </is>
      </c>
      <c r="AE2826" s="53">
        <f>G2826+L2826/1000+ROW()/1000000000</f>
        <v/>
      </c>
      <c r="AF2826" s="35">
        <f>IF(C2826&lt;&gt;"Grayson Coulter","",COUNTIFS($C$5:$C$2991,"Grayson Coulter",$Q$5:$Q$2991,Q2826,$AE$5:$AE$2991,"&lt;="&amp;AE2826,$R$5:$R$2991,"&lt;"&amp;R2826))</f>
        <v/>
      </c>
      <c r="AG2826" s="35">
        <f>IF(OR(C2826&lt;&gt;"Grayson Coulter",G2826&lt;'00_Control'!$B$7),"",--(AF2826&lt;5))</f>
        <v/>
      </c>
      <c r="AH2826" s="35">
        <f>IF(OR(C2826&lt;&gt;"Grayson Coulter",G2826&lt;'00_Control'!$B$7),"",--(AF2826&lt;10))</f>
        <v/>
      </c>
      <c r="AI2826" s="35">
        <f>IF(AND(C2826="Grayson Coulter",G2826&gt;='00_Control'!$B$7),"YES","NO")</f>
        <v/>
      </c>
      <c r="AJ2826" s="33" t="inlineStr">
        <is>
          <t>OK</t>
        </is>
      </c>
    </row>
    <row r="2827">
      <c r="A2827" s="33" t="inlineStr">
        <is>
          <t>SM002823</t>
        </is>
      </c>
      <c r="B2827" s="33" t="inlineStr">
        <is>
          <t>SW005</t>
        </is>
      </c>
      <c r="C2827" s="33" t="inlineStr">
        <is>
          <t>Thomas Heilman</t>
        </is>
      </c>
      <c r="D2827" s="33" t="inlineStr">
        <is>
          <t>SwimCloud</t>
        </is>
      </c>
      <c r="E2827" s="33" t="inlineStr">
        <is>
          <t>1336401</t>
        </is>
      </c>
      <c r="F2827" s="33" t="inlineStr">
        <is>
          <t>126952383</t>
        </is>
      </c>
      <c r="G2827" s="51" t="n">
        <v>45443</v>
      </c>
      <c r="H2827" s="33" t="inlineStr">
        <is>
          <t>PV NCAP Elite Qualifier</t>
        </is>
      </c>
      <c r="I2827" s="33" t="inlineStr">
        <is>
          <t>304879</t>
        </is>
      </c>
      <c r="J2827" s="33" t="inlineStr"/>
      <c r="K2827" s="33" t="inlineStr">
        <is>
          <t>PRE</t>
        </is>
      </c>
      <c r="L2827" s="35">
        <f>IF(K2827="FIN",3,IF(OR(K2827="SEM",K2827="SEMI"),2,IF(OR(K2827="PRE",K2827="HEAT"),1,IF(V2827="YES",4,2))))</f>
        <v/>
      </c>
      <c r="M2827" s="33" t="inlineStr">
        <is>
          <t>LCM</t>
        </is>
      </c>
      <c r="N2827" s="33" t="n">
        <v>200</v>
      </c>
      <c r="O2827" s="33" t="inlineStr">
        <is>
          <t>Free</t>
        </is>
      </c>
      <c r="P2827" s="33" t="inlineStr">
        <is>
          <t>200 Free</t>
        </is>
      </c>
      <c r="Q2827" s="33" t="inlineStr">
        <is>
          <t>LCM_200_FREE</t>
        </is>
      </c>
      <c r="R2827" s="36" t="n">
        <v>109.61</v>
      </c>
      <c r="S2827" s="35">
        <f>IF(R2827="","",IF(R2827&gt;=60,INT(R2827/60)&amp;":"&amp;TEXT(MOD(R2827,60),"00.00"),TEXT(R2827,"0.00")))</f>
        <v/>
      </c>
      <c r="T2827" s="52">
        <f>IFERROR((G2827-INDEX('01_Swimmers'!$E$5:$E$22,MATCH(B2827,'01_Swimmers'!$A$5:$A$22,0)))/'00_Control'!$B$10,"")</f>
        <v/>
      </c>
      <c r="U2827" s="35">
        <f>IF(T2827="","",INT(T2827))</f>
        <v/>
      </c>
      <c r="V2827" s="33" t="inlineStr">
        <is>
          <t>NO</t>
        </is>
      </c>
      <c r="W2827" s="33" t="inlineStr">
        <is>
          <t>YES</t>
        </is>
      </c>
      <c r="X2827" s="33" t="inlineStr">
        <is>
          <t>NO</t>
        </is>
      </c>
      <c r="Y2827" s="33" t="n">
        <v>8</v>
      </c>
      <c r="Z2827" s="33" t="n">
        <v>4</v>
      </c>
      <c r="AA2827" s="33" t="inlineStr">
        <is>
          <t>1</t>
        </is>
      </c>
      <c r="AB2827" s="33" t="inlineStr">
        <is>
          <t>https://www.swimcloud.com/results/304879/event/2/?id=126952383#time126952383</t>
        </is>
      </c>
      <c r="AC2827" s="33" t="inlineStr">
        <is>
          <t>SwimCloud API v6 2026-10-08</t>
        </is>
      </c>
      <c r="AD2827" s="33" t="inlineStr">
        <is>
          <t>Thomas Heilman|2024-05-31|LCM|200|Free|109.61|PV NCAP Elite Qualifier|PRE|False</t>
        </is>
      </c>
      <c r="AE2827" s="53">
        <f>G2827+L2827/1000+ROW()/1000000000</f>
        <v/>
      </c>
      <c r="AF2827" s="35">
        <f>IF(C2827&lt;&gt;"Grayson Coulter","",COUNTIFS($C$5:$C$2991,"Grayson Coulter",$Q$5:$Q$2991,Q2827,$AE$5:$AE$2991,"&lt;="&amp;AE2827,$R$5:$R$2991,"&lt;"&amp;R2827))</f>
        <v/>
      </c>
      <c r="AG2827" s="35">
        <f>IF(OR(C2827&lt;&gt;"Grayson Coulter",G2827&lt;'00_Control'!$B$7),"",--(AF2827&lt;5))</f>
        <v/>
      </c>
      <c r="AH2827" s="35">
        <f>IF(OR(C2827&lt;&gt;"Grayson Coulter",G2827&lt;'00_Control'!$B$7),"",--(AF2827&lt;10))</f>
        <v/>
      </c>
      <c r="AI2827" s="35">
        <f>IF(AND(C2827="Grayson Coulter",G2827&gt;='00_Control'!$B$7),"YES","NO")</f>
        <v/>
      </c>
      <c r="AJ2827" s="33" t="inlineStr">
        <is>
          <t>OK</t>
        </is>
      </c>
    </row>
    <row r="2828">
      <c r="A2828" s="33" t="inlineStr">
        <is>
          <t>SM002824</t>
        </is>
      </c>
      <c r="B2828" s="33" t="inlineStr">
        <is>
          <t>SW005</t>
        </is>
      </c>
      <c r="C2828" s="33" t="inlineStr">
        <is>
          <t>Thomas Heilman</t>
        </is>
      </c>
      <c r="D2828" s="33" t="inlineStr">
        <is>
          <t>SwimCloud</t>
        </is>
      </c>
      <c r="E2828" s="33" t="inlineStr">
        <is>
          <t>1336401</t>
        </is>
      </c>
      <c r="F2828" s="33" t="inlineStr">
        <is>
          <t>128577843</t>
        </is>
      </c>
      <c r="G2828" s="51" t="n">
        <v>45459</v>
      </c>
      <c r="H2828" s="33" t="inlineStr">
        <is>
          <t>US Olympic Team Trials</t>
        </is>
      </c>
      <c r="I2828" s="33" t="inlineStr">
        <is>
          <t>302718</t>
        </is>
      </c>
      <c r="J2828" s="33" t="inlineStr"/>
      <c r="K2828" s="33" t="inlineStr">
        <is>
          <t>PRE</t>
        </is>
      </c>
      <c r="L2828" s="35">
        <f>IF(K2828="FIN",3,IF(OR(K2828="SEM",K2828="SEMI"),2,IF(OR(K2828="PRE",K2828="HEAT"),1,IF(V2828="YES",4,2))))</f>
        <v/>
      </c>
      <c r="M2828" s="33" t="inlineStr">
        <is>
          <t>LCM</t>
        </is>
      </c>
      <c r="N2828" s="33" t="n">
        <v>200</v>
      </c>
      <c r="O2828" s="33" t="inlineStr">
        <is>
          <t>Free</t>
        </is>
      </c>
      <c r="P2828" s="33" t="inlineStr">
        <is>
          <t>200 Free</t>
        </is>
      </c>
      <c r="Q2828" s="33" t="inlineStr">
        <is>
          <t>LCM_200_FREE</t>
        </is>
      </c>
      <c r="R2828" s="36" t="n">
        <v>109.25</v>
      </c>
      <c r="S2828" s="35">
        <f>IF(R2828="","",IF(R2828&gt;=60,INT(R2828/60)&amp;":"&amp;TEXT(MOD(R2828,60),"00.00"),TEXT(R2828,"0.00")))</f>
        <v/>
      </c>
      <c r="T2828" s="52">
        <f>IFERROR((G2828-INDEX('01_Swimmers'!$E$5:$E$22,MATCH(B2828,'01_Swimmers'!$A$5:$A$22,0)))/'00_Control'!$B$10,"")</f>
        <v/>
      </c>
      <c r="U2828" s="35">
        <f>IF(T2828="","",INT(T2828))</f>
        <v/>
      </c>
      <c r="V2828" s="33" t="inlineStr">
        <is>
          <t>NO</t>
        </is>
      </c>
      <c r="W2828" s="33" t="inlineStr">
        <is>
          <t>YES</t>
        </is>
      </c>
      <c r="X2828" s="33" t="inlineStr">
        <is>
          <t>NO</t>
        </is>
      </c>
      <c r="Y2828" s="33" t="n">
        <v>4</v>
      </c>
      <c r="Z2828" s="33" t="n">
        <v>1</v>
      </c>
      <c r="AA2828" s="33" t="inlineStr">
        <is>
          <t>34</t>
        </is>
      </c>
      <c r="AB2828" s="33" t="inlineStr">
        <is>
          <t>https://www.swimcloud.com/results/302718/event/5/?id=128577843#time128577843</t>
        </is>
      </c>
      <c r="AC2828" s="33" t="inlineStr">
        <is>
          <t>SwimCloud API v6 2026-10-08</t>
        </is>
      </c>
      <c r="AD2828" s="33" t="inlineStr">
        <is>
          <t>Thomas Heilman|2024-06-16|LCM|200|Free|109.25|US Olympic Team Trials|PRE|False</t>
        </is>
      </c>
      <c r="AE2828" s="53">
        <f>G2828+L2828/1000+ROW()/1000000000</f>
        <v/>
      </c>
      <c r="AF2828" s="35">
        <f>IF(C2828&lt;&gt;"Grayson Coulter","",COUNTIFS($C$5:$C$2991,"Grayson Coulter",$Q$5:$Q$2991,Q2828,$AE$5:$AE$2991,"&lt;="&amp;AE2828,$R$5:$R$2991,"&lt;"&amp;R2828))</f>
        <v/>
      </c>
      <c r="AG2828" s="35">
        <f>IF(OR(C2828&lt;&gt;"Grayson Coulter",G2828&lt;'00_Control'!$B$7),"",--(AF2828&lt;5))</f>
        <v/>
      </c>
      <c r="AH2828" s="35">
        <f>IF(OR(C2828&lt;&gt;"Grayson Coulter",G2828&lt;'00_Control'!$B$7),"",--(AF2828&lt;10))</f>
        <v/>
      </c>
      <c r="AI2828" s="35">
        <f>IF(AND(C2828="Grayson Coulter",G2828&gt;='00_Control'!$B$7),"YES","NO")</f>
        <v/>
      </c>
      <c r="AJ2828" s="33" t="inlineStr">
        <is>
          <t>OK</t>
        </is>
      </c>
    </row>
    <row r="2829">
      <c r="A2829" s="33" t="inlineStr">
        <is>
          <t>SM002825</t>
        </is>
      </c>
      <c r="B2829" s="33" t="inlineStr">
        <is>
          <t>SW005</t>
        </is>
      </c>
      <c r="C2829" s="33" t="inlineStr">
        <is>
          <t>Thomas Heilman</t>
        </is>
      </c>
      <c r="D2829" s="33" t="inlineStr">
        <is>
          <t>SwimCloud</t>
        </is>
      </c>
      <c r="E2829" s="33" t="inlineStr">
        <is>
          <t>1336401</t>
        </is>
      </c>
      <c r="F2829" s="33" t="inlineStr">
        <is>
          <t>128577838</t>
        </is>
      </c>
      <c r="G2829" s="51" t="n">
        <v>45464</v>
      </c>
      <c r="H2829" s="33" t="inlineStr">
        <is>
          <t>US Olympic Team Trials</t>
        </is>
      </c>
      <c r="I2829" s="33" t="inlineStr">
        <is>
          <t>302718</t>
        </is>
      </c>
      <c r="J2829" s="33" t="inlineStr"/>
      <c r="K2829" s="33" t="inlineStr">
        <is>
          <t>PRE</t>
        </is>
      </c>
      <c r="L2829" s="35">
        <f>IF(K2829="FIN",3,IF(OR(K2829="SEM",K2829="SEMI"),2,IF(OR(K2829="PRE",K2829="HEAT"),1,IF(V2829="YES",4,2))))</f>
        <v/>
      </c>
      <c r="M2829" s="33" t="inlineStr">
        <is>
          <t>LCM</t>
        </is>
      </c>
      <c r="N2829" s="33" t="n">
        <v>100</v>
      </c>
      <c r="O2829" s="33" t="inlineStr">
        <is>
          <t>Fly</t>
        </is>
      </c>
      <c r="P2829" s="33" t="inlineStr">
        <is>
          <t>100 Fly</t>
        </is>
      </c>
      <c r="Q2829" s="33" t="inlineStr">
        <is>
          <t>LCM_100_FLY</t>
        </is>
      </c>
      <c r="R2829" s="36" t="n">
        <v>52.3</v>
      </c>
      <c r="S2829" s="35">
        <f>IF(R2829="","",IF(R2829&gt;=60,INT(R2829/60)&amp;":"&amp;TEXT(MOD(R2829,60),"00.00"),TEXT(R2829,"0.00")))</f>
        <v/>
      </c>
      <c r="T2829" s="52">
        <f>IFERROR((G2829-INDEX('01_Swimmers'!$E$5:$E$22,MATCH(B2829,'01_Swimmers'!$A$5:$A$22,0)))/'00_Control'!$B$10,"")</f>
        <v/>
      </c>
      <c r="U2829" s="35">
        <f>IF(T2829="","",INT(T2829))</f>
        <v/>
      </c>
      <c r="V2829" s="33" t="inlineStr">
        <is>
          <t>NO</t>
        </is>
      </c>
      <c r="W2829" s="33" t="inlineStr">
        <is>
          <t>YES</t>
        </is>
      </c>
      <c r="X2829" s="33" t="inlineStr">
        <is>
          <t>NO</t>
        </is>
      </c>
      <c r="Y2829" s="33" t="n">
        <v>9</v>
      </c>
      <c r="Z2829" s="33" t="n">
        <v>5</v>
      </c>
      <c r="AA2829" s="33" t="inlineStr">
        <is>
          <t>11</t>
        </is>
      </c>
      <c r="AB2829" s="33" t="inlineStr">
        <is>
          <t>https://www.swimcloud.com/results/302718/event/24/?id=128577838#time128577838</t>
        </is>
      </c>
      <c r="AC2829" s="33" t="inlineStr">
        <is>
          <t>SwimCloud API v6 2026-10-08</t>
        </is>
      </c>
      <c r="AD2829" s="33" t="inlineStr">
        <is>
          <t>Thomas Heilman|2024-06-21|LCM|100|Fly|52.3|US Olympic Team Trials|PRE|False</t>
        </is>
      </c>
      <c r="AE2829" s="53">
        <f>G2829+L2829/1000+ROW()/1000000000</f>
        <v/>
      </c>
      <c r="AF2829" s="35">
        <f>IF(C2829&lt;&gt;"Grayson Coulter","",COUNTIFS($C$5:$C$2991,"Grayson Coulter",$Q$5:$Q$2991,Q2829,$AE$5:$AE$2991,"&lt;="&amp;AE2829,$R$5:$R$2991,"&lt;"&amp;R2829))</f>
        <v/>
      </c>
      <c r="AG2829" s="35">
        <f>IF(OR(C2829&lt;&gt;"Grayson Coulter",G2829&lt;'00_Control'!$B$7),"",--(AF2829&lt;5))</f>
        <v/>
      </c>
      <c r="AH2829" s="35">
        <f>IF(OR(C2829&lt;&gt;"Grayson Coulter",G2829&lt;'00_Control'!$B$7),"",--(AF2829&lt;10))</f>
        <v/>
      </c>
      <c r="AI2829" s="35">
        <f>IF(AND(C2829="Grayson Coulter",G2829&gt;='00_Control'!$B$7),"YES","NO")</f>
        <v/>
      </c>
      <c r="AJ2829" s="33" t="inlineStr">
        <is>
          <t>OK</t>
        </is>
      </c>
    </row>
    <row r="2830">
      <c r="A2830" s="33" t="inlineStr">
        <is>
          <t>SM002826</t>
        </is>
      </c>
      <c r="B2830" s="33" t="inlineStr">
        <is>
          <t>SW005</t>
        </is>
      </c>
      <c r="C2830" s="33" t="inlineStr">
        <is>
          <t>Thomas Heilman</t>
        </is>
      </c>
      <c r="D2830" s="33" t="inlineStr">
        <is>
          <t>SwimCloud</t>
        </is>
      </c>
      <c r="E2830" s="33" t="inlineStr">
        <is>
          <t>1336401</t>
        </is>
      </c>
      <c r="F2830" s="33" t="inlineStr">
        <is>
          <t>128577839</t>
        </is>
      </c>
      <c r="G2830" s="51" t="n">
        <v>45464</v>
      </c>
      <c r="H2830" s="33" t="inlineStr">
        <is>
          <t>US Olympic Team Trials</t>
        </is>
      </c>
      <c r="I2830" s="33" t="inlineStr">
        <is>
          <t>302718</t>
        </is>
      </c>
      <c r="J2830" s="33" t="inlineStr"/>
      <c r="K2830" s="33" t="inlineStr">
        <is>
          <t>SEM</t>
        </is>
      </c>
      <c r="L2830" s="35">
        <f>IF(K2830="FIN",3,IF(OR(K2830="SEM",K2830="SEMI"),2,IF(OR(K2830="PRE",K2830="HEAT"),1,IF(V2830="YES",4,2))))</f>
        <v/>
      </c>
      <c r="M2830" s="33" t="inlineStr">
        <is>
          <t>LCM</t>
        </is>
      </c>
      <c r="N2830" s="33" t="n">
        <v>100</v>
      </c>
      <c r="O2830" s="33" t="inlineStr">
        <is>
          <t>Fly</t>
        </is>
      </c>
      <c r="P2830" s="33" t="inlineStr">
        <is>
          <t>100 Fly</t>
        </is>
      </c>
      <c r="Q2830" s="33" t="inlineStr">
        <is>
          <t>LCM_100_FLY</t>
        </is>
      </c>
      <c r="R2830" s="36" t="n">
        <v>51.58</v>
      </c>
      <c r="S2830" s="35">
        <f>IF(R2830="","",IF(R2830&gt;=60,INT(R2830/60)&amp;":"&amp;TEXT(MOD(R2830,60),"00.00"),TEXT(R2830,"0.00")))</f>
        <v/>
      </c>
      <c r="T2830" s="52">
        <f>IFERROR((G2830-INDEX('01_Swimmers'!$E$5:$E$22,MATCH(B2830,'01_Swimmers'!$A$5:$A$22,0)))/'00_Control'!$B$10,"")</f>
        <v/>
      </c>
      <c r="U2830" s="35">
        <f>IF(T2830="","",INT(T2830))</f>
        <v/>
      </c>
      <c r="V2830" s="33" t="inlineStr">
        <is>
          <t>NO</t>
        </is>
      </c>
      <c r="W2830" s="33" t="inlineStr">
        <is>
          <t>YES</t>
        </is>
      </c>
      <c r="X2830" s="33" t="inlineStr">
        <is>
          <t>NO</t>
        </is>
      </c>
      <c r="Y2830" s="33" t="n">
        <v>2</v>
      </c>
      <c r="Z2830" s="33" t="n">
        <v>7</v>
      </c>
      <c r="AA2830" s="33" t="inlineStr">
        <is>
          <t>7</t>
        </is>
      </c>
      <c r="AB2830" s="33" t="inlineStr">
        <is>
          <t>https://www.swimcloud.com/results/302718/event/24/?id=128577839#time128577839</t>
        </is>
      </c>
      <c r="AC2830" s="33" t="inlineStr">
        <is>
          <t>SwimCloud API v6 2026-10-08</t>
        </is>
      </c>
      <c r="AD2830" s="33" t="inlineStr">
        <is>
          <t>Thomas Heilman|2024-06-21|LCM|100|Fly|51.58|US Olympic Team Trials|SEM|False</t>
        </is>
      </c>
      <c r="AE2830" s="53">
        <f>G2830+L2830/1000+ROW()/1000000000</f>
        <v/>
      </c>
      <c r="AF2830" s="35">
        <f>IF(C2830&lt;&gt;"Grayson Coulter","",COUNTIFS($C$5:$C$2991,"Grayson Coulter",$Q$5:$Q$2991,Q2830,$AE$5:$AE$2991,"&lt;="&amp;AE2830,$R$5:$R$2991,"&lt;"&amp;R2830))</f>
        <v/>
      </c>
      <c r="AG2830" s="35">
        <f>IF(OR(C2830&lt;&gt;"Grayson Coulter",G2830&lt;'00_Control'!$B$7),"",--(AF2830&lt;5))</f>
        <v/>
      </c>
      <c r="AH2830" s="35">
        <f>IF(OR(C2830&lt;&gt;"Grayson Coulter",G2830&lt;'00_Control'!$B$7),"",--(AF2830&lt;10))</f>
        <v/>
      </c>
      <c r="AI2830" s="35">
        <f>IF(AND(C2830="Grayson Coulter",G2830&gt;='00_Control'!$B$7),"YES","NO")</f>
        <v/>
      </c>
      <c r="AJ2830" s="33" t="inlineStr">
        <is>
          <t>OK</t>
        </is>
      </c>
    </row>
    <row r="2831">
      <c r="A2831" s="33" t="inlineStr">
        <is>
          <t>SM002827</t>
        </is>
      </c>
      <c r="B2831" s="33" t="inlineStr">
        <is>
          <t>SW005</t>
        </is>
      </c>
      <c r="C2831" s="33" t="inlineStr">
        <is>
          <t>Thomas Heilman</t>
        </is>
      </c>
      <c r="D2831" s="33" t="inlineStr">
        <is>
          <t>SwimCloud</t>
        </is>
      </c>
      <c r="E2831" s="33" t="inlineStr">
        <is>
          <t>1336401</t>
        </is>
      </c>
      <c r="F2831" s="33" t="inlineStr">
        <is>
          <t>128577837</t>
        </is>
      </c>
      <c r="G2831" s="51" t="n">
        <v>45465</v>
      </c>
      <c r="H2831" s="33" t="inlineStr">
        <is>
          <t>US Olympic Team Trials</t>
        </is>
      </c>
      <c r="I2831" s="33" t="inlineStr">
        <is>
          <t>302718</t>
        </is>
      </c>
      <c r="J2831" s="33" t="inlineStr"/>
      <c r="K2831" s="33" t="inlineStr">
        <is>
          <t>FIN</t>
        </is>
      </c>
      <c r="L2831" s="35">
        <f>IF(K2831="FIN",3,IF(OR(K2831="SEM",K2831="SEMI"),2,IF(OR(K2831="PRE",K2831="HEAT"),1,IF(V2831="YES",4,2))))</f>
        <v/>
      </c>
      <c r="M2831" s="33" t="inlineStr">
        <is>
          <t>LCM</t>
        </is>
      </c>
      <c r="N2831" s="33" t="n">
        <v>100</v>
      </c>
      <c r="O2831" s="33" t="inlineStr">
        <is>
          <t>Fly</t>
        </is>
      </c>
      <c r="P2831" s="33" t="inlineStr">
        <is>
          <t>100 Fly</t>
        </is>
      </c>
      <c r="Q2831" s="33" t="inlineStr">
        <is>
          <t>LCM_100_FLY</t>
        </is>
      </c>
      <c r="R2831" s="36" t="n">
        <v>50.8</v>
      </c>
      <c r="S2831" s="35">
        <f>IF(R2831="","",IF(R2831&gt;=60,INT(R2831/60)&amp;":"&amp;TEXT(MOD(R2831,60),"00.00"),TEXT(R2831,"0.00")))</f>
        <v/>
      </c>
      <c r="T2831" s="52">
        <f>IFERROR((G2831-INDEX('01_Swimmers'!$E$5:$E$22,MATCH(B2831,'01_Swimmers'!$A$5:$A$22,0)))/'00_Control'!$B$10,"")</f>
        <v/>
      </c>
      <c r="U2831" s="35">
        <f>IF(T2831="","",INT(T2831))</f>
        <v/>
      </c>
      <c r="V2831" s="33" t="inlineStr">
        <is>
          <t>NO</t>
        </is>
      </c>
      <c r="W2831" s="33" t="inlineStr">
        <is>
          <t>YES</t>
        </is>
      </c>
      <c r="X2831" s="33" t="inlineStr">
        <is>
          <t>NO</t>
        </is>
      </c>
      <c r="Y2831" s="33" t="n">
        <v>1</v>
      </c>
      <c r="Z2831" s="33" t="n">
        <v>1</v>
      </c>
      <c r="AA2831" s="33" t="inlineStr">
        <is>
          <t>2</t>
        </is>
      </c>
      <c r="AB2831" s="33" t="inlineStr">
        <is>
          <t>https://www.swimcloud.com/results/302718/event/24/?id=128577837#time128577837</t>
        </is>
      </c>
      <c r="AC2831" s="33" t="inlineStr">
        <is>
          <t>SwimCloud API v6 2026-10-08</t>
        </is>
      </c>
      <c r="AD2831" s="33" t="inlineStr">
        <is>
          <t>Thomas Heilman|2024-06-22|LCM|100|Fly|50.8|US Olympic Team Trials|FIN|False</t>
        </is>
      </c>
      <c r="AE2831" s="53">
        <f>G2831+L2831/1000+ROW()/1000000000</f>
        <v/>
      </c>
      <c r="AF2831" s="35">
        <f>IF(C2831&lt;&gt;"Grayson Coulter","",COUNTIFS($C$5:$C$2991,"Grayson Coulter",$Q$5:$Q$2991,Q2831,$AE$5:$AE$2991,"&lt;="&amp;AE2831,$R$5:$R$2991,"&lt;"&amp;R2831))</f>
        <v/>
      </c>
      <c r="AG2831" s="35">
        <f>IF(OR(C2831&lt;&gt;"Grayson Coulter",G2831&lt;'00_Control'!$B$7),"",--(AF2831&lt;5))</f>
        <v/>
      </c>
      <c r="AH2831" s="35">
        <f>IF(OR(C2831&lt;&gt;"Grayson Coulter",G2831&lt;'00_Control'!$B$7),"",--(AF2831&lt;10))</f>
        <v/>
      </c>
      <c r="AI2831" s="35">
        <f>IF(AND(C2831="Grayson Coulter",G2831&gt;='00_Control'!$B$7),"YES","NO")</f>
        <v/>
      </c>
      <c r="AJ2831" s="33" t="inlineStr">
        <is>
          <t>OK</t>
        </is>
      </c>
    </row>
    <row r="2832">
      <c r="A2832" s="33" t="inlineStr">
        <is>
          <t>SM002828</t>
        </is>
      </c>
      <c r="B2832" s="33" t="inlineStr">
        <is>
          <t>SW005</t>
        </is>
      </c>
      <c r="C2832" s="33" t="inlineStr">
        <is>
          <t>Thomas Heilman</t>
        </is>
      </c>
      <c r="D2832" s="33" t="inlineStr">
        <is>
          <t>SwimCloud</t>
        </is>
      </c>
      <c r="E2832" s="33" t="inlineStr">
        <is>
          <t>1336401</t>
        </is>
      </c>
      <c r="F2832" s="33" t="inlineStr">
        <is>
          <t>130573487</t>
        </is>
      </c>
      <c r="G2832" s="51" t="n">
        <v>45500</v>
      </c>
      <c r="H2832" s="33" t="inlineStr">
        <is>
          <t>Olympic Games</t>
        </is>
      </c>
      <c r="I2832" s="33" t="inlineStr">
        <is>
          <t>2424</t>
        </is>
      </c>
      <c r="J2832" s="33" t="inlineStr"/>
      <c r="K2832" s="33" t="inlineStr">
        <is>
          <t>PRE</t>
        </is>
      </c>
      <c r="L2832" s="35">
        <f>IF(K2832="FIN",3,IF(OR(K2832="SEM",K2832="SEMI"),2,IF(OR(K2832="PRE",K2832="HEAT"),1,IF(V2832="YES",4,2))))</f>
        <v/>
      </c>
      <c r="M2832" s="33" t="inlineStr">
        <is>
          <t>LCM</t>
        </is>
      </c>
      <c r="N2832" s="33" t="n">
        <v>100</v>
      </c>
      <c r="O2832" s="33" t="inlineStr">
        <is>
          <t>Fly</t>
        </is>
      </c>
      <c r="P2832" s="33" t="inlineStr">
        <is>
          <t>100 Fly</t>
        </is>
      </c>
      <c r="Q2832" s="33" t="inlineStr">
        <is>
          <t>LCM_100_FLY</t>
        </is>
      </c>
      <c r="R2832" s="36" t="n">
        <v>51.82</v>
      </c>
      <c r="S2832" s="35">
        <f>IF(R2832="","",IF(R2832&gt;=60,INT(R2832/60)&amp;":"&amp;TEXT(MOD(R2832,60),"00.00"),TEXT(R2832,"0.00")))</f>
        <v/>
      </c>
      <c r="T2832" s="52">
        <f>IFERROR((G2832-INDEX('01_Swimmers'!$E$5:$E$22,MATCH(B2832,'01_Swimmers'!$A$5:$A$22,0)))/'00_Control'!$B$10,"")</f>
        <v/>
      </c>
      <c r="U2832" s="35">
        <f>IF(T2832="","",INT(T2832))</f>
        <v/>
      </c>
      <c r="V2832" s="33" t="inlineStr">
        <is>
          <t>NO</t>
        </is>
      </c>
      <c r="W2832" s="33" t="inlineStr">
        <is>
          <t>YES</t>
        </is>
      </c>
      <c r="X2832" s="33" t="inlineStr">
        <is>
          <t>NO</t>
        </is>
      </c>
      <c r="Y2832" s="33" t="n">
        <v>3</v>
      </c>
      <c r="Z2832" s="33" t="n">
        <v>8</v>
      </c>
      <c r="AA2832" s="33" t="inlineStr">
        <is>
          <t>18</t>
        </is>
      </c>
      <c r="AB2832" s="33" t="inlineStr">
        <is>
          <t>https://www.swimcloud.com/results/2424/event/402/?id=130573487#time130573487</t>
        </is>
      </c>
      <c r="AC2832" s="33" t="inlineStr">
        <is>
          <t>SwimCloud API v6 2026-10-08</t>
        </is>
      </c>
      <c r="AD2832" s="33" t="inlineStr">
        <is>
          <t>Thomas Heilman|2024-07-27|LCM|100|Fly|51.82|Olympic Games|PRE|False</t>
        </is>
      </c>
      <c r="AE2832" s="53">
        <f>G2832+L2832/1000+ROW()/1000000000</f>
        <v/>
      </c>
      <c r="AF2832" s="35">
        <f>IF(C2832&lt;&gt;"Grayson Coulter","",COUNTIFS($C$5:$C$2991,"Grayson Coulter",$Q$5:$Q$2991,Q2832,$AE$5:$AE$2991,"&lt;="&amp;AE2832,$R$5:$R$2991,"&lt;"&amp;R2832))</f>
        <v/>
      </c>
      <c r="AG2832" s="35">
        <f>IF(OR(C2832&lt;&gt;"Grayson Coulter",G2832&lt;'00_Control'!$B$7),"",--(AF2832&lt;5))</f>
        <v/>
      </c>
      <c r="AH2832" s="35">
        <f>IF(OR(C2832&lt;&gt;"Grayson Coulter",G2832&lt;'00_Control'!$B$7),"",--(AF2832&lt;10))</f>
        <v/>
      </c>
      <c r="AI2832" s="35">
        <f>IF(AND(C2832="Grayson Coulter",G2832&gt;='00_Control'!$B$7),"YES","NO")</f>
        <v/>
      </c>
      <c r="AJ2832" s="33" t="inlineStr">
        <is>
          <t>OK</t>
        </is>
      </c>
    </row>
    <row r="2833">
      <c r="A2833" s="33" t="inlineStr">
        <is>
          <t>SM002829</t>
        </is>
      </c>
      <c r="B2833" s="33" t="inlineStr">
        <is>
          <t>SW005</t>
        </is>
      </c>
      <c r="C2833" s="33" t="inlineStr">
        <is>
          <t>Thomas Heilman</t>
        </is>
      </c>
      <c r="D2833" s="33" t="inlineStr">
        <is>
          <t>SwimCloud</t>
        </is>
      </c>
      <c r="E2833" s="33" t="inlineStr">
        <is>
          <t>1336401</t>
        </is>
      </c>
      <c r="F2833" s="33" t="inlineStr">
        <is>
          <t>153091229</t>
        </is>
      </c>
      <c r="G2833" s="51" t="n">
        <v>45813</v>
      </c>
      <c r="H2833" s="33" t="inlineStr">
        <is>
          <t>USA Swimming National Championships</t>
        </is>
      </c>
      <c r="I2833" s="33" t="inlineStr">
        <is>
          <t>321137</t>
        </is>
      </c>
      <c r="J2833" s="33" t="inlineStr"/>
      <c r="K2833" s="33" t="inlineStr">
        <is>
          <t>PRE</t>
        </is>
      </c>
      <c r="L2833" s="35">
        <f>IF(K2833="FIN",3,IF(OR(K2833="SEM",K2833="SEMI"),2,IF(OR(K2833="PRE",K2833="HEAT"),1,IF(V2833="YES",4,2))))</f>
        <v/>
      </c>
      <c r="M2833" s="33" t="inlineStr">
        <is>
          <t>LCM</t>
        </is>
      </c>
      <c r="N2833" s="33" t="n">
        <v>100</v>
      </c>
      <c r="O2833" s="33" t="inlineStr">
        <is>
          <t>Fly</t>
        </is>
      </c>
      <c r="P2833" s="33" t="inlineStr">
        <is>
          <t>100 Fly</t>
        </is>
      </c>
      <c r="Q2833" s="33" t="inlineStr">
        <is>
          <t>LCM_100_FLY</t>
        </is>
      </c>
      <c r="R2833" s="36" t="n">
        <v>50.78</v>
      </c>
      <c r="S2833" s="35">
        <f>IF(R2833="","",IF(R2833&gt;=60,INT(R2833/60)&amp;":"&amp;TEXT(MOD(R2833,60),"00.00"),TEXT(R2833,"0.00")))</f>
        <v/>
      </c>
      <c r="T2833" s="52">
        <f>IFERROR((G2833-INDEX('01_Swimmers'!$E$5:$E$22,MATCH(B2833,'01_Swimmers'!$A$5:$A$22,0)))/'00_Control'!$B$10,"")</f>
        <v/>
      </c>
      <c r="U2833" s="35">
        <f>IF(T2833="","",INT(T2833))</f>
        <v/>
      </c>
      <c r="V2833" s="33" t="inlineStr">
        <is>
          <t>NO</t>
        </is>
      </c>
      <c r="W2833" s="33" t="inlineStr">
        <is>
          <t>YES</t>
        </is>
      </c>
      <c r="X2833" s="33" t="inlineStr">
        <is>
          <t>NO</t>
        </is>
      </c>
      <c r="Y2833" s="33" t="n">
        <v>7</v>
      </c>
      <c r="Z2833" s="33" t="n">
        <v>4</v>
      </c>
      <c r="AA2833" s="33" t="inlineStr">
        <is>
          <t>1</t>
        </is>
      </c>
      <c r="AB2833" s="33" t="inlineStr">
        <is>
          <t>https://www.swimcloud.com/results/321137/event/18/?id=153091229#time153091229</t>
        </is>
      </c>
      <c r="AC2833" s="33" t="inlineStr">
        <is>
          <t>SwimCloud API v6 2026-10-08</t>
        </is>
      </c>
      <c r="AD2833" s="33" t="inlineStr">
        <is>
          <t>Thomas Heilman|2025-06-05|LCM|100|Fly|50.78|USA Swimming National Championships|PRE|False</t>
        </is>
      </c>
      <c r="AE2833" s="53">
        <f>G2833+L2833/1000+ROW()/1000000000</f>
        <v/>
      </c>
      <c r="AF2833" s="35">
        <f>IF(C2833&lt;&gt;"Grayson Coulter","",COUNTIFS($C$5:$C$2991,"Grayson Coulter",$Q$5:$Q$2991,Q2833,$AE$5:$AE$2991,"&lt;="&amp;AE2833,$R$5:$R$2991,"&lt;"&amp;R2833))</f>
        <v/>
      </c>
      <c r="AG2833" s="35">
        <f>IF(OR(C2833&lt;&gt;"Grayson Coulter",G2833&lt;'00_Control'!$B$7),"",--(AF2833&lt;5))</f>
        <v/>
      </c>
      <c r="AH2833" s="35">
        <f>IF(OR(C2833&lt;&gt;"Grayson Coulter",G2833&lt;'00_Control'!$B$7),"",--(AF2833&lt;10))</f>
        <v/>
      </c>
      <c r="AI2833" s="35">
        <f>IF(AND(C2833="Grayson Coulter",G2833&gt;='00_Control'!$B$7),"YES","NO")</f>
        <v/>
      </c>
      <c r="AJ2833" s="33" t="inlineStr">
        <is>
          <t>OK</t>
        </is>
      </c>
    </row>
    <row r="2834">
      <c r="A2834" s="33" t="inlineStr">
        <is>
          <t>SM002830</t>
        </is>
      </c>
      <c r="B2834" s="33" t="inlineStr">
        <is>
          <t>SW005</t>
        </is>
      </c>
      <c r="C2834" s="33" t="inlineStr">
        <is>
          <t>Thomas Heilman</t>
        </is>
      </c>
      <c r="D2834" s="33" t="inlineStr">
        <is>
          <t>SwimCloud</t>
        </is>
      </c>
      <c r="E2834" s="33" t="inlineStr">
        <is>
          <t>1336401</t>
        </is>
      </c>
      <c r="F2834" s="33" t="inlineStr">
        <is>
          <t>153091228</t>
        </is>
      </c>
      <c r="G2834" s="51" t="n">
        <v>45813</v>
      </c>
      <c r="H2834" s="33" t="inlineStr">
        <is>
          <t>USA Swimming National Championships</t>
        </is>
      </c>
      <c r="I2834" s="33" t="inlineStr">
        <is>
          <t>321137</t>
        </is>
      </c>
      <c r="J2834" s="33" t="inlineStr"/>
      <c r="K2834" s="33" t="inlineStr">
        <is>
          <t>FIN</t>
        </is>
      </c>
      <c r="L2834" s="35">
        <f>IF(K2834="FIN",3,IF(OR(K2834="SEM",K2834="SEMI"),2,IF(OR(K2834="PRE",K2834="HEAT"),1,IF(V2834="YES",4,2))))</f>
        <v/>
      </c>
      <c r="M2834" s="33" t="inlineStr">
        <is>
          <t>LCM</t>
        </is>
      </c>
      <c r="N2834" s="33" t="n">
        <v>100</v>
      </c>
      <c r="O2834" s="33" t="inlineStr">
        <is>
          <t>Fly</t>
        </is>
      </c>
      <c r="P2834" s="33" t="inlineStr">
        <is>
          <t>100 Fly</t>
        </is>
      </c>
      <c r="Q2834" s="33" t="inlineStr">
        <is>
          <t>LCM_100_FLY</t>
        </is>
      </c>
      <c r="R2834" s="36" t="n">
        <v>50.7</v>
      </c>
      <c r="S2834" s="35">
        <f>IF(R2834="","",IF(R2834&gt;=60,INT(R2834/60)&amp;":"&amp;TEXT(MOD(R2834,60),"00.00"),TEXT(R2834,"0.00")))</f>
        <v/>
      </c>
      <c r="T2834" s="52">
        <f>IFERROR((G2834-INDEX('01_Swimmers'!$E$5:$E$22,MATCH(B2834,'01_Swimmers'!$A$5:$A$22,0)))/'00_Control'!$B$10,"")</f>
        <v/>
      </c>
      <c r="U2834" s="35">
        <f>IF(T2834="","",INT(T2834))</f>
        <v/>
      </c>
      <c r="V2834" s="33" t="inlineStr">
        <is>
          <t>NO</t>
        </is>
      </c>
      <c r="W2834" s="33" t="inlineStr">
        <is>
          <t>YES</t>
        </is>
      </c>
      <c r="X2834" s="33" t="inlineStr">
        <is>
          <t>NO</t>
        </is>
      </c>
      <c r="Y2834" s="33" t="n">
        <v>1</v>
      </c>
      <c r="Z2834" s="33" t="n">
        <v>4</v>
      </c>
      <c r="AA2834" s="33" t="inlineStr">
        <is>
          <t>2</t>
        </is>
      </c>
      <c r="AB2834" s="33" t="inlineStr">
        <is>
          <t>https://www.swimcloud.com/results/321137/event/18/?id=153091228#time153091228</t>
        </is>
      </c>
      <c r="AC2834" s="33" t="inlineStr">
        <is>
          <t>SwimCloud API v6 2026-10-08</t>
        </is>
      </c>
      <c r="AD2834" s="33" t="inlineStr">
        <is>
          <t>Thomas Heilman|2025-06-05|LCM|100|Fly|50.7|USA Swimming National Championships|FIN|False</t>
        </is>
      </c>
      <c r="AE2834" s="53">
        <f>G2834+L2834/1000+ROW()/1000000000</f>
        <v/>
      </c>
      <c r="AF2834" s="35">
        <f>IF(C2834&lt;&gt;"Grayson Coulter","",COUNTIFS($C$5:$C$2991,"Grayson Coulter",$Q$5:$Q$2991,Q2834,$AE$5:$AE$2991,"&lt;="&amp;AE2834,$R$5:$R$2991,"&lt;"&amp;R2834))</f>
        <v/>
      </c>
      <c r="AG2834" s="35">
        <f>IF(OR(C2834&lt;&gt;"Grayson Coulter",G2834&lt;'00_Control'!$B$7),"",--(AF2834&lt;5))</f>
        <v/>
      </c>
      <c r="AH2834" s="35">
        <f>IF(OR(C2834&lt;&gt;"Grayson Coulter",G2834&lt;'00_Control'!$B$7),"",--(AF2834&lt;10))</f>
        <v/>
      </c>
      <c r="AI2834" s="35">
        <f>IF(AND(C2834="Grayson Coulter",G2834&gt;='00_Control'!$B$7),"YES","NO")</f>
        <v/>
      </c>
      <c r="AJ2834" s="33" t="inlineStr">
        <is>
          <t>OK</t>
        </is>
      </c>
    </row>
    <row r="2835">
      <c r="A2835" s="33" t="inlineStr">
        <is>
          <t>SM002831</t>
        </is>
      </c>
      <c r="B2835" s="33" t="inlineStr">
        <is>
          <t>SW005</t>
        </is>
      </c>
      <c r="C2835" s="33" t="inlineStr">
        <is>
          <t>Thomas Heilman</t>
        </is>
      </c>
      <c r="D2835" s="33" t="inlineStr">
        <is>
          <t>SwimCloud</t>
        </is>
      </c>
      <c r="E2835" s="33" t="inlineStr">
        <is>
          <t>1336401</t>
        </is>
      </c>
      <c r="F2835" s="33" t="inlineStr">
        <is>
          <t>153405355</t>
        </is>
      </c>
      <c r="G2835" s="51" t="n">
        <v>45814</v>
      </c>
      <c r="H2835" s="33" t="inlineStr">
        <is>
          <t>US National Championship TTs</t>
        </is>
      </c>
      <c r="I2835" s="33" t="inlineStr">
        <is>
          <t>345518</t>
        </is>
      </c>
      <c r="J2835" s="33" t="inlineStr"/>
      <c r="K2835" s="33" t="inlineStr">
        <is>
          <t>TIM</t>
        </is>
      </c>
      <c r="L2835" s="35">
        <f>IF(K2835="FIN",3,IF(OR(K2835="SEM",K2835="SEMI"),2,IF(OR(K2835="PRE",K2835="HEAT"),1,IF(V2835="YES",4,2))))</f>
        <v/>
      </c>
      <c r="M2835" s="33" t="inlineStr">
        <is>
          <t>LCM</t>
        </is>
      </c>
      <c r="N2835" s="33" t="n">
        <v>100</v>
      </c>
      <c r="O2835" s="33" t="inlineStr">
        <is>
          <t>Free</t>
        </is>
      </c>
      <c r="P2835" s="33" t="inlineStr">
        <is>
          <t>100 Free</t>
        </is>
      </c>
      <c r="Q2835" s="33" t="inlineStr">
        <is>
          <t>LCM_100_FREE</t>
        </is>
      </c>
      <c r="R2835" s="36" t="n">
        <v>49.26</v>
      </c>
      <c r="S2835" s="35">
        <f>IF(R2835="","",IF(R2835&gt;=60,INT(R2835/60)&amp;":"&amp;TEXT(MOD(R2835,60),"00.00"),TEXT(R2835,"0.00")))</f>
        <v/>
      </c>
      <c r="T2835" s="52">
        <f>IFERROR((G2835-INDEX('01_Swimmers'!$E$5:$E$22,MATCH(B2835,'01_Swimmers'!$A$5:$A$22,0)))/'00_Control'!$B$10,"")</f>
        <v/>
      </c>
      <c r="U2835" s="35">
        <f>IF(T2835="","",INT(T2835))</f>
        <v/>
      </c>
      <c r="V2835" s="33" t="inlineStr">
        <is>
          <t>NO</t>
        </is>
      </c>
      <c r="W2835" s="33" t="inlineStr">
        <is>
          <t>YES</t>
        </is>
      </c>
      <c r="X2835" s="33" t="inlineStr">
        <is>
          <t>NO</t>
        </is>
      </c>
      <c r="Y2835" s="33" t="n">
        <v>1</v>
      </c>
      <c r="Z2835" s="33" t="n">
        <v>4</v>
      </c>
      <c r="AA2835" s="33" t="inlineStr">
        <is>
          <t>1</t>
        </is>
      </c>
      <c r="AB2835" s="33" t="inlineStr">
        <is>
          <t>https://www.swimcloud.com/results/345518/event/404/?id=153405355#time153405355</t>
        </is>
      </c>
      <c r="AC2835" s="33" t="inlineStr">
        <is>
          <t>SwimCloud API v6 2026-10-08</t>
        </is>
      </c>
      <c r="AD2835" s="33" t="inlineStr">
        <is>
          <t>Thomas Heilman|2025-06-06|LCM|100|Free|49.26|US National Championship TTs|TIM|False</t>
        </is>
      </c>
      <c r="AE2835" s="53">
        <f>G2835+L2835/1000+ROW()/1000000000</f>
        <v/>
      </c>
      <c r="AF2835" s="35">
        <f>IF(C2835&lt;&gt;"Grayson Coulter","",COUNTIFS($C$5:$C$2991,"Grayson Coulter",$Q$5:$Q$2991,Q2835,$AE$5:$AE$2991,"&lt;="&amp;AE2835,$R$5:$R$2991,"&lt;"&amp;R2835))</f>
        <v/>
      </c>
      <c r="AG2835" s="35">
        <f>IF(OR(C2835&lt;&gt;"Grayson Coulter",G2835&lt;'00_Control'!$B$7),"",--(AF2835&lt;5))</f>
        <v/>
      </c>
      <c r="AH2835" s="35">
        <f>IF(OR(C2835&lt;&gt;"Grayson Coulter",G2835&lt;'00_Control'!$B$7),"",--(AF2835&lt;10))</f>
        <v/>
      </c>
      <c r="AI2835" s="35">
        <f>IF(AND(C2835="Grayson Coulter",G2835&gt;='00_Control'!$B$7),"YES","NO")</f>
        <v/>
      </c>
      <c r="AJ2835" s="33" t="inlineStr">
        <is>
          <t>OK</t>
        </is>
      </c>
    </row>
    <row r="2836">
      <c r="A2836" s="33" t="inlineStr">
        <is>
          <t>SM002832</t>
        </is>
      </c>
      <c r="B2836" s="33" t="inlineStr">
        <is>
          <t>SW005</t>
        </is>
      </c>
      <c r="C2836" s="33" t="inlineStr">
        <is>
          <t>Thomas Heilman</t>
        </is>
      </c>
      <c r="D2836" s="33" t="inlineStr">
        <is>
          <t>SwimCloud</t>
        </is>
      </c>
      <c r="E2836" s="33" t="inlineStr">
        <is>
          <t>1336401</t>
        </is>
      </c>
      <c r="F2836" s="33" t="inlineStr">
        <is>
          <t>153405331</t>
        </is>
      </c>
      <c r="G2836" s="51" t="n">
        <v>45815</v>
      </c>
      <c r="H2836" s="33" t="inlineStr">
        <is>
          <t>US National Championship TTs</t>
        </is>
      </c>
      <c r="I2836" s="33" t="inlineStr">
        <is>
          <t>345518</t>
        </is>
      </c>
      <c r="J2836" s="33" t="inlineStr"/>
      <c r="K2836" s="33" t="inlineStr">
        <is>
          <t>TIM</t>
        </is>
      </c>
      <c r="L2836" s="35">
        <f>IF(K2836="FIN",3,IF(OR(K2836="SEM",K2836="SEMI"),2,IF(OR(K2836="PRE",K2836="HEAT"),1,IF(V2836="YES",4,2))))</f>
        <v/>
      </c>
      <c r="M2836" s="33" t="inlineStr">
        <is>
          <t>LCM</t>
        </is>
      </c>
      <c r="N2836" s="33" t="n">
        <v>100</v>
      </c>
      <c r="O2836" s="33" t="inlineStr">
        <is>
          <t>Fly</t>
        </is>
      </c>
      <c r="P2836" s="33" t="inlineStr">
        <is>
          <t>100 Fly</t>
        </is>
      </c>
      <c r="Q2836" s="33" t="inlineStr">
        <is>
          <t>LCM_100_FLY</t>
        </is>
      </c>
      <c r="R2836" s="36" t="n">
        <v>51.56</v>
      </c>
      <c r="S2836" s="35">
        <f>IF(R2836="","",IF(R2836&gt;=60,INT(R2836/60)&amp;":"&amp;TEXT(MOD(R2836,60),"00.00"),TEXT(R2836,"0.00")))</f>
        <v/>
      </c>
      <c r="T2836" s="52">
        <f>IFERROR((G2836-INDEX('01_Swimmers'!$E$5:$E$22,MATCH(B2836,'01_Swimmers'!$A$5:$A$22,0)))/'00_Control'!$B$10,"")</f>
        <v/>
      </c>
      <c r="U2836" s="35">
        <f>IF(T2836="","",INT(T2836))</f>
        <v/>
      </c>
      <c r="V2836" s="33" t="inlineStr">
        <is>
          <t>NO</t>
        </is>
      </c>
      <c r="W2836" s="33" t="inlineStr">
        <is>
          <t>YES</t>
        </is>
      </c>
      <c r="X2836" s="33" t="inlineStr">
        <is>
          <t>NO</t>
        </is>
      </c>
      <c r="Y2836" s="33" t="n">
        <v>1</v>
      </c>
      <c r="Z2836" s="33" t="n">
        <v>3</v>
      </c>
      <c r="AA2836" s="33" t="inlineStr">
        <is>
          <t>1</t>
        </is>
      </c>
      <c r="AB2836" s="33" t="inlineStr">
        <is>
          <t>https://www.swimcloud.com/results/345518/event/518/?id=153405331#time153405331</t>
        </is>
      </c>
      <c r="AC2836" s="33" t="inlineStr">
        <is>
          <t>SwimCloud API v6 2026-10-08</t>
        </is>
      </c>
      <c r="AD2836" s="33" t="inlineStr">
        <is>
          <t>Thomas Heilman|2025-06-07|LCM|100|Fly|51.56|US National Championship TTs|TIM|False</t>
        </is>
      </c>
      <c r="AE2836" s="53">
        <f>G2836+L2836/1000+ROW()/1000000000</f>
        <v/>
      </c>
      <c r="AF2836" s="35">
        <f>IF(C2836&lt;&gt;"Grayson Coulter","",COUNTIFS($C$5:$C$2991,"Grayson Coulter",$Q$5:$Q$2991,Q2836,$AE$5:$AE$2991,"&lt;="&amp;AE2836,$R$5:$R$2991,"&lt;"&amp;R2836))</f>
        <v/>
      </c>
      <c r="AG2836" s="35">
        <f>IF(OR(C2836&lt;&gt;"Grayson Coulter",G2836&lt;'00_Control'!$B$7),"",--(AF2836&lt;5))</f>
        <v/>
      </c>
      <c r="AH2836" s="35">
        <f>IF(OR(C2836&lt;&gt;"Grayson Coulter",G2836&lt;'00_Control'!$B$7),"",--(AF2836&lt;10))</f>
        <v/>
      </c>
      <c r="AI2836" s="35">
        <f>IF(AND(C2836="Grayson Coulter",G2836&gt;='00_Control'!$B$7),"YES","NO")</f>
        <v/>
      </c>
      <c r="AJ2836" s="33" t="inlineStr">
        <is>
          <t>OK</t>
        </is>
      </c>
    </row>
    <row r="2837">
      <c r="A2837" s="33" t="inlineStr">
        <is>
          <t>SM002833</t>
        </is>
      </c>
      <c r="B2837" s="33" t="inlineStr">
        <is>
          <t>SW005</t>
        </is>
      </c>
      <c r="C2837" s="33" t="inlineStr">
        <is>
          <t>Thomas Heilman</t>
        </is>
      </c>
      <c r="D2837" s="33" t="inlineStr">
        <is>
          <t>SwimCloud</t>
        </is>
      </c>
      <c r="E2837" s="33" t="inlineStr">
        <is>
          <t>1336401</t>
        </is>
      </c>
      <c r="F2837" s="33" t="inlineStr">
        <is>
          <t>156828824</t>
        </is>
      </c>
      <c r="G2837" s="51" t="n">
        <v>45870</v>
      </c>
      <c r="H2837" s="33" t="inlineStr">
        <is>
          <t>22nd World Aquatics Championships</t>
        </is>
      </c>
      <c r="I2837" s="33" t="inlineStr">
        <is>
          <t>348385</t>
        </is>
      </c>
      <c r="J2837" s="33" t="inlineStr"/>
      <c r="K2837" s="33" t="inlineStr">
        <is>
          <t>PRE</t>
        </is>
      </c>
      <c r="L2837" s="35">
        <f>IF(K2837="FIN",3,IF(OR(K2837="SEM",K2837="SEMI"),2,IF(OR(K2837="PRE",K2837="HEAT"),1,IF(V2837="YES",4,2))))</f>
        <v/>
      </c>
      <c r="M2837" s="33" t="inlineStr">
        <is>
          <t>LCM</t>
        </is>
      </c>
      <c r="N2837" s="33" t="n">
        <v>100</v>
      </c>
      <c r="O2837" s="33" t="inlineStr">
        <is>
          <t>Fly</t>
        </is>
      </c>
      <c r="P2837" s="33" t="inlineStr">
        <is>
          <t>100 Fly</t>
        </is>
      </c>
      <c r="Q2837" s="33" t="inlineStr">
        <is>
          <t>LCM_100_FLY</t>
        </is>
      </c>
      <c r="R2837" s="36" t="n">
        <v>52.02</v>
      </c>
      <c r="S2837" s="35">
        <f>IF(R2837="","",IF(R2837&gt;=60,INT(R2837/60)&amp;":"&amp;TEXT(MOD(R2837,60),"00.00"),TEXT(R2837,"0.00")))</f>
        <v/>
      </c>
      <c r="T2837" s="52">
        <f>IFERROR((G2837-INDEX('01_Swimmers'!$E$5:$E$22,MATCH(B2837,'01_Swimmers'!$A$5:$A$22,0)))/'00_Control'!$B$10,"")</f>
        <v/>
      </c>
      <c r="U2837" s="35">
        <f>IF(T2837="","",INT(T2837))</f>
        <v/>
      </c>
      <c r="V2837" s="33" t="inlineStr">
        <is>
          <t>NO</t>
        </is>
      </c>
      <c r="W2837" s="33" t="inlineStr">
        <is>
          <t>YES</t>
        </is>
      </c>
      <c r="X2837" s="33" t="inlineStr">
        <is>
          <t>NO</t>
        </is>
      </c>
      <c r="Y2837" s="33" t="n">
        <v>6</v>
      </c>
      <c r="Z2837" s="33" t="n">
        <v>3</v>
      </c>
      <c r="AA2837" s="33" t="inlineStr">
        <is>
          <t>26</t>
        </is>
      </c>
      <c r="AB2837" s="33" t="inlineStr">
        <is>
          <t>https://www.swimcloud.com/results/348385/event/28/?id=156828824#time156828824</t>
        </is>
      </c>
      <c r="AC2837" s="33" t="inlineStr">
        <is>
          <t>SwimCloud API v6 2026-10-08</t>
        </is>
      </c>
      <c r="AD2837" s="33" t="inlineStr">
        <is>
          <t>Thomas Heilman|2025-08-01|LCM|100|Fly|52.02|22nd World Aquatics Championships|PRE|False</t>
        </is>
      </c>
      <c r="AE2837" s="53">
        <f>G2837+L2837/1000+ROW()/1000000000</f>
        <v/>
      </c>
      <c r="AF2837" s="35">
        <f>IF(C2837&lt;&gt;"Grayson Coulter","",COUNTIFS($C$5:$C$2991,"Grayson Coulter",$Q$5:$Q$2991,Q2837,$AE$5:$AE$2991,"&lt;="&amp;AE2837,$R$5:$R$2991,"&lt;"&amp;R2837))</f>
        <v/>
      </c>
      <c r="AG2837" s="35">
        <f>IF(OR(C2837&lt;&gt;"Grayson Coulter",G2837&lt;'00_Control'!$B$7),"",--(AF2837&lt;5))</f>
        <v/>
      </c>
      <c r="AH2837" s="35">
        <f>IF(OR(C2837&lt;&gt;"Grayson Coulter",G2837&lt;'00_Control'!$B$7),"",--(AF2837&lt;10))</f>
        <v/>
      </c>
      <c r="AI2837" s="35">
        <f>IF(AND(C2837="Grayson Coulter",G2837&gt;='00_Control'!$B$7),"YES","NO")</f>
        <v/>
      </c>
      <c r="AJ2837" s="33" t="inlineStr">
        <is>
          <t>OK</t>
        </is>
      </c>
    </row>
    <row r="2838">
      <c r="A2838" s="33" t="inlineStr">
        <is>
          <t>SM002834</t>
        </is>
      </c>
      <c r="B2838" s="33" t="inlineStr">
        <is>
          <t>SW005</t>
        </is>
      </c>
      <c r="C2838" s="33" t="inlineStr">
        <is>
          <t>Thomas Heilman</t>
        </is>
      </c>
      <c r="D2838" s="33" t="inlineStr">
        <is>
          <t>SwimCloud</t>
        </is>
      </c>
      <c r="E2838" s="33" t="inlineStr">
        <is>
          <t>1336401</t>
        </is>
      </c>
      <c r="F2838" s="33" t="inlineStr">
        <is>
          <t>179856930</t>
        </is>
      </c>
      <c r="G2838" s="51" t="n">
        <v>46190</v>
      </c>
      <c r="H2838" s="33" t="inlineStr">
        <is>
          <t>TYR Pro Swim Series - Indianapolis</t>
        </is>
      </c>
      <c r="I2838" s="33" t="inlineStr">
        <is>
          <t>351187</t>
        </is>
      </c>
      <c r="J2838" s="33" t="inlineStr"/>
      <c r="K2838" s="33" t="inlineStr">
        <is>
          <t>PRE</t>
        </is>
      </c>
      <c r="L2838" s="35">
        <f>IF(K2838="FIN",3,IF(OR(K2838="SEM",K2838="SEMI"),2,IF(OR(K2838="PRE",K2838="HEAT"),1,IF(V2838="YES",4,2))))</f>
        <v/>
      </c>
      <c r="M2838" s="33" t="inlineStr">
        <is>
          <t>LCM</t>
        </is>
      </c>
      <c r="N2838" s="33" t="n">
        <v>200</v>
      </c>
      <c r="O2838" s="33" t="inlineStr">
        <is>
          <t>Free</t>
        </is>
      </c>
      <c r="P2838" s="33" t="inlineStr">
        <is>
          <t>200 Free</t>
        </is>
      </c>
      <c r="Q2838" s="33" t="inlineStr">
        <is>
          <t>LCM_200_FREE</t>
        </is>
      </c>
      <c r="R2838" s="36" t="n">
        <v>112.23</v>
      </c>
      <c r="S2838" s="35">
        <f>IF(R2838="","",IF(R2838&gt;=60,INT(R2838/60)&amp;":"&amp;TEXT(MOD(R2838,60),"00.00"),TEXT(R2838,"0.00")))</f>
        <v/>
      </c>
      <c r="T2838" s="52">
        <f>IFERROR((G2838-INDEX('01_Swimmers'!$E$5:$E$22,MATCH(B2838,'01_Swimmers'!$A$5:$A$22,0)))/'00_Control'!$B$10,"")</f>
        <v/>
      </c>
      <c r="U2838" s="35">
        <f>IF(T2838="","",INT(T2838))</f>
        <v/>
      </c>
      <c r="V2838" s="33" t="inlineStr">
        <is>
          <t>NO</t>
        </is>
      </c>
      <c r="W2838" s="33" t="inlineStr">
        <is>
          <t>YES</t>
        </is>
      </c>
      <c r="X2838" s="33" t="inlineStr">
        <is>
          <t>NO</t>
        </is>
      </c>
      <c r="Y2838" s="33" t="n">
        <v>9</v>
      </c>
      <c r="Z2838" s="33" t="n">
        <v>7</v>
      </c>
      <c r="AA2838" s="33" t="inlineStr">
        <is>
          <t>29</t>
        </is>
      </c>
      <c r="AB2838" s="33" t="inlineStr">
        <is>
          <t>https://www.swimcloud.com/results/351187/event/8/?id=179856930#time179856930</t>
        </is>
      </c>
      <c r="AC2838" s="33" t="inlineStr">
        <is>
          <t>SwimCloud API v6 2026-10-08</t>
        </is>
      </c>
      <c r="AD2838" s="33" t="inlineStr">
        <is>
          <t>Thomas Heilman|2026-06-17|LCM|200|Free|112.23|TYR Pro Swim Series - Indianapolis|PRE|False</t>
        </is>
      </c>
      <c r="AE2838" s="53">
        <f>G2838+L2838/1000+ROW()/1000000000</f>
        <v/>
      </c>
      <c r="AF2838" s="35">
        <f>IF(C2838&lt;&gt;"Grayson Coulter","",COUNTIFS($C$5:$C$2991,"Grayson Coulter",$Q$5:$Q$2991,Q2838,$AE$5:$AE$2991,"&lt;="&amp;AE2838,$R$5:$R$2991,"&lt;"&amp;R2838))</f>
        <v/>
      </c>
      <c r="AG2838" s="35">
        <f>IF(OR(C2838&lt;&gt;"Grayson Coulter",G2838&lt;'00_Control'!$B$7),"",--(AF2838&lt;5))</f>
        <v/>
      </c>
      <c r="AH2838" s="35">
        <f>IF(OR(C2838&lt;&gt;"Grayson Coulter",G2838&lt;'00_Control'!$B$7),"",--(AF2838&lt;10))</f>
        <v/>
      </c>
      <c r="AI2838" s="35">
        <f>IF(AND(C2838="Grayson Coulter",G2838&gt;='00_Control'!$B$7),"YES","NO")</f>
        <v/>
      </c>
      <c r="AJ2838" s="33" t="inlineStr">
        <is>
          <t>OK</t>
        </is>
      </c>
    </row>
    <row r="2839">
      <c r="A2839" s="33" t="inlineStr">
        <is>
          <t>SM002835</t>
        </is>
      </c>
      <c r="B2839" s="33" t="inlineStr">
        <is>
          <t>SW005</t>
        </is>
      </c>
      <c r="C2839" s="33" t="inlineStr">
        <is>
          <t>Thomas Heilman</t>
        </is>
      </c>
      <c r="D2839" s="33" t="inlineStr">
        <is>
          <t>SwimCloud</t>
        </is>
      </c>
      <c r="E2839" s="33" t="inlineStr">
        <is>
          <t>1336401</t>
        </is>
      </c>
      <c r="F2839" s="33" t="inlineStr">
        <is>
          <t>179857030</t>
        </is>
      </c>
      <c r="G2839" s="51" t="n">
        <v>46191</v>
      </c>
      <c r="H2839" s="33" t="inlineStr">
        <is>
          <t>TYR Pro Swim Series - Indianapolis</t>
        </is>
      </c>
      <c r="I2839" s="33" t="inlineStr">
        <is>
          <t>351187</t>
        </is>
      </c>
      <c r="J2839" s="33" t="inlineStr"/>
      <c r="K2839" s="33" t="inlineStr">
        <is>
          <t>PRE</t>
        </is>
      </c>
      <c r="L2839" s="35">
        <f>IF(K2839="FIN",3,IF(OR(K2839="SEM",K2839="SEMI"),2,IF(OR(K2839="PRE",K2839="HEAT"),1,IF(V2839="YES",4,2))))</f>
        <v/>
      </c>
      <c r="M2839" s="33" t="inlineStr">
        <is>
          <t>LCM</t>
        </is>
      </c>
      <c r="N2839" s="33" t="n">
        <v>100</v>
      </c>
      <c r="O2839" s="33" t="inlineStr">
        <is>
          <t>Fly</t>
        </is>
      </c>
      <c r="P2839" s="33" t="inlineStr">
        <is>
          <t>100 Fly</t>
        </is>
      </c>
      <c r="Q2839" s="33" t="inlineStr">
        <is>
          <t>LCM_100_FLY</t>
        </is>
      </c>
      <c r="R2839" s="36" t="n">
        <v>52.54</v>
      </c>
      <c r="S2839" s="35">
        <f>IF(R2839="","",IF(R2839&gt;=60,INT(R2839/60)&amp;":"&amp;TEXT(MOD(R2839,60),"00.00"),TEXT(R2839,"0.00")))</f>
        <v/>
      </c>
      <c r="T2839" s="52">
        <f>IFERROR((G2839-INDEX('01_Swimmers'!$E$5:$E$22,MATCH(B2839,'01_Swimmers'!$A$5:$A$22,0)))/'00_Control'!$B$10,"")</f>
        <v/>
      </c>
      <c r="U2839" s="35">
        <f>IF(T2839="","",INT(T2839))</f>
        <v/>
      </c>
      <c r="V2839" s="33" t="inlineStr">
        <is>
          <t>NO</t>
        </is>
      </c>
      <c r="W2839" s="33" t="inlineStr">
        <is>
          <t>YES</t>
        </is>
      </c>
      <c r="X2839" s="33" t="inlineStr">
        <is>
          <t>NO</t>
        </is>
      </c>
      <c r="Y2839" s="33" t="n">
        <v>8</v>
      </c>
      <c r="Z2839" s="33" t="n">
        <v>4</v>
      </c>
      <c r="AA2839" s="33" t="inlineStr">
        <is>
          <t>4</t>
        </is>
      </c>
      <c r="AB2839" s="33" t="inlineStr">
        <is>
          <t>https://www.swimcloud.com/results/351187/event/12/?id=179857030#time179857030</t>
        </is>
      </c>
      <c r="AC2839" s="33" t="inlineStr">
        <is>
          <t>SwimCloud API v6 2026-10-08</t>
        </is>
      </c>
      <c r="AD2839" s="33" t="inlineStr">
        <is>
          <t>Thomas Heilman|2026-06-18|LCM|100|Fly|52.54|TYR Pro Swim Series - Indianapolis|PRE|False</t>
        </is>
      </c>
      <c r="AE2839" s="53">
        <f>G2839+L2839/1000+ROW()/1000000000</f>
        <v/>
      </c>
      <c r="AF2839" s="35">
        <f>IF(C2839&lt;&gt;"Grayson Coulter","",COUNTIFS($C$5:$C$2991,"Grayson Coulter",$Q$5:$Q$2991,Q2839,$AE$5:$AE$2991,"&lt;="&amp;AE2839,$R$5:$R$2991,"&lt;"&amp;R2839))</f>
        <v/>
      </c>
      <c r="AG2839" s="35">
        <f>IF(OR(C2839&lt;&gt;"Grayson Coulter",G2839&lt;'00_Control'!$B$7),"",--(AF2839&lt;5))</f>
        <v/>
      </c>
      <c r="AH2839" s="35">
        <f>IF(OR(C2839&lt;&gt;"Grayson Coulter",G2839&lt;'00_Control'!$B$7),"",--(AF2839&lt;10))</f>
        <v/>
      </c>
      <c r="AI2839" s="35">
        <f>IF(AND(C2839="Grayson Coulter",G2839&gt;='00_Control'!$B$7),"YES","NO")</f>
        <v/>
      </c>
      <c r="AJ2839" s="33" t="inlineStr">
        <is>
          <t>OK</t>
        </is>
      </c>
    </row>
    <row r="2840">
      <c r="A2840" s="33" t="inlineStr">
        <is>
          <t>SM002836</t>
        </is>
      </c>
      <c r="B2840" s="33" t="inlineStr">
        <is>
          <t>SW005</t>
        </is>
      </c>
      <c r="C2840" s="33" t="inlineStr">
        <is>
          <t>Thomas Heilman</t>
        </is>
      </c>
      <c r="D2840" s="33" t="inlineStr">
        <is>
          <t>SwimCloud</t>
        </is>
      </c>
      <c r="E2840" s="33" t="inlineStr">
        <is>
          <t>1336401</t>
        </is>
      </c>
      <c r="F2840" s="33" t="inlineStr">
        <is>
          <t>179857031</t>
        </is>
      </c>
      <c r="G2840" s="51" t="n">
        <v>46191</v>
      </c>
      <c r="H2840" s="33" t="inlineStr">
        <is>
          <t>TYR Pro Swim Series - Indianapolis</t>
        </is>
      </c>
      <c r="I2840" s="33" t="inlineStr">
        <is>
          <t>351187</t>
        </is>
      </c>
      <c r="J2840" s="33" t="inlineStr"/>
      <c r="K2840" s="33" t="inlineStr">
        <is>
          <t>FIN</t>
        </is>
      </c>
      <c r="L2840" s="35">
        <f>IF(K2840="FIN",3,IF(OR(K2840="SEM",K2840="SEMI"),2,IF(OR(K2840="PRE",K2840="HEAT"),1,IF(V2840="YES",4,2))))</f>
        <v/>
      </c>
      <c r="M2840" s="33" t="inlineStr">
        <is>
          <t>LCM</t>
        </is>
      </c>
      <c r="N2840" s="33" t="n">
        <v>100</v>
      </c>
      <c r="O2840" s="33" t="inlineStr">
        <is>
          <t>Fly</t>
        </is>
      </c>
      <c r="P2840" s="33" t="inlineStr">
        <is>
          <t>100 Fly</t>
        </is>
      </c>
      <c r="Q2840" s="33" t="inlineStr">
        <is>
          <t>LCM_100_FLY</t>
        </is>
      </c>
      <c r="R2840" s="36" t="n">
        <v>51.94</v>
      </c>
      <c r="S2840" s="35">
        <f>IF(R2840="","",IF(R2840&gt;=60,INT(R2840/60)&amp;":"&amp;TEXT(MOD(R2840,60),"00.00"),TEXT(R2840,"0.00")))</f>
        <v/>
      </c>
      <c r="T2840" s="52">
        <f>IFERROR((G2840-INDEX('01_Swimmers'!$E$5:$E$22,MATCH(B2840,'01_Swimmers'!$A$5:$A$22,0)))/'00_Control'!$B$10,"")</f>
        <v/>
      </c>
      <c r="U2840" s="35">
        <f>IF(T2840="","",INT(T2840))</f>
        <v/>
      </c>
      <c r="V2840" s="33" t="inlineStr">
        <is>
          <t>NO</t>
        </is>
      </c>
      <c r="W2840" s="33" t="inlineStr">
        <is>
          <t>YES</t>
        </is>
      </c>
      <c r="X2840" s="33" t="inlineStr">
        <is>
          <t>NO</t>
        </is>
      </c>
      <c r="Y2840" s="33" t="n">
        <v>2</v>
      </c>
      <c r="Z2840" s="33" t="n">
        <v>2</v>
      </c>
      <c r="AA2840" s="33" t="inlineStr">
        <is>
          <t>4</t>
        </is>
      </c>
      <c r="AB2840" s="33" t="inlineStr">
        <is>
          <t>https://www.swimcloud.com/results/351187/event/12/?id=179857031#time179857031</t>
        </is>
      </c>
      <c r="AC2840" s="33" t="inlineStr">
        <is>
          <t>SwimCloud API v6 2026-10-08</t>
        </is>
      </c>
      <c r="AD2840" s="33" t="inlineStr">
        <is>
          <t>Thomas Heilman|2026-06-18|LCM|100|Fly|51.94|TYR Pro Swim Series - Indianapolis|FIN|False</t>
        </is>
      </c>
      <c r="AE2840" s="53">
        <f>G2840+L2840/1000+ROW()/1000000000</f>
        <v/>
      </c>
      <c r="AF2840" s="35">
        <f>IF(C2840&lt;&gt;"Grayson Coulter","",COUNTIFS($C$5:$C$2991,"Grayson Coulter",$Q$5:$Q$2991,Q2840,$AE$5:$AE$2991,"&lt;="&amp;AE2840,$R$5:$R$2991,"&lt;"&amp;R2840))</f>
        <v/>
      </c>
      <c r="AG2840" s="35">
        <f>IF(OR(C2840&lt;&gt;"Grayson Coulter",G2840&lt;'00_Control'!$B$7),"",--(AF2840&lt;5))</f>
        <v/>
      </c>
      <c r="AH2840" s="35">
        <f>IF(OR(C2840&lt;&gt;"Grayson Coulter",G2840&lt;'00_Control'!$B$7),"",--(AF2840&lt;10))</f>
        <v/>
      </c>
      <c r="AI2840" s="35">
        <f>IF(AND(C2840="Grayson Coulter",G2840&gt;='00_Control'!$B$7),"YES","NO")</f>
        <v/>
      </c>
      <c r="AJ2840" s="33" t="inlineStr">
        <is>
          <t>OK</t>
        </is>
      </c>
    </row>
    <row r="2841">
      <c r="A2841" s="33" t="inlineStr">
        <is>
          <t>SM002837</t>
        </is>
      </c>
      <c r="B2841" s="33" t="inlineStr">
        <is>
          <t>SW005</t>
        </is>
      </c>
      <c r="C2841" s="33" t="inlineStr">
        <is>
          <t>Thomas Heilman</t>
        </is>
      </c>
      <c r="D2841" s="33" t="inlineStr">
        <is>
          <t>SwimCloud</t>
        </is>
      </c>
      <c r="E2841" s="33" t="inlineStr">
        <is>
          <t>1336401</t>
        </is>
      </c>
      <c r="F2841" s="33" t="inlineStr">
        <is>
          <t>179857326</t>
        </is>
      </c>
      <c r="G2841" s="51" t="n">
        <v>46193</v>
      </c>
      <c r="H2841" s="33" t="inlineStr">
        <is>
          <t>TYR Pro Swim Series - Indianapolis</t>
        </is>
      </c>
      <c r="I2841" s="33" t="inlineStr">
        <is>
          <t>351187</t>
        </is>
      </c>
      <c r="J2841" s="33" t="inlineStr"/>
      <c r="K2841" s="33" t="inlineStr">
        <is>
          <t>PRE</t>
        </is>
      </c>
      <c r="L2841" s="35">
        <f>IF(K2841="FIN",3,IF(OR(K2841="SEM",K2841="SEMI"),2,IF(OR(K2841="PRE",K2841="HEAT"),1,IF(V2841="YES",4,2))))</f>
        <v/>
      </c>
      <c r="M2841" s="33" t="inlineStr">
        <is>
          <t>LCM</t>
        </is>
      </c>
      <c r="N2841" s="33" t="n">
        <v>100</v>
      </c>
      <c r="O2841" s="33" t="inlineStr">
        <is>
          <t>Free</t>
        </is>
      </c>
      <c r="P2841" s="33" t="inlineStr">
        <is>
          <t>100 Free</t>
        </is>
      </c>
      <c r="Q2841" s="33" t="inlineStr">
        <is>
          <t>LCM_100_FREE</t>
        </is>
      </c>
      <c r="R2841" s="36" t="n">
        <v>50.71</v>
      </c>
      <c r="S2841" s="35">
        <f>IF(R2841="","",IF(R2841&gt;=60,INT(R2841/60)&amp;":"&amp;TEXT(MOD(R2841,60),"00.00"),TEXT(R2841,"0.00")))</f>
        <v/>
      </c>
      <c r="T2841" s="52">
        <f>IFERROR((G2841-INDEX('01_Swimmers'!$E$5:$E$22,MATCH(B2841,'01_Swimmers'!$A$5:$A$22,0)))/'00_Control'!$B$10,"")</f>
        <v/>
      </c>
      <c r="U2841" s="35">
        <f>IF(T2841="","",INT(T2841))</f>
        <v/>
      </c>
      <c r="V2841" s="33" t="inlineStr">
        <is>
          <t>NO</t>
        </is>
      </c>
      <c r="W2841" s="33" t="inlineStr">
        <is>
          <t>YES</t>
        </is>
      </c>
      <c r="X2841" s="33" t="inlineStr">
        <is>
          <t>NO</t>
        </is>
      </c>
      <c r="Y2841" s="33" t="n">
        <v>10</v>
      </c>
      <c r="Z2841" s="33" t="n">
        <v>1</v>
      </c>
      <c r="AA2841" s="33" t="inlineStr">
        <is>
          <t>35</t>
        </is>
      </c>
      <c r="AB2841" s="33" t="inlineStr">
        <is>
          <t>https://www.swimcloud.com/results/351187/event/32/?id=179857326#time179857326</t>
        </is>
      </c>
      <c r="AC2841" s="33" t="inlineStr">
        <is>
          <t>SwimCloud API v6 2026-10-08</t>
        </is>
      </c>
      <c r="AD2841" s="33" t="inlineStr">
        <is>
          <t>Thomas Heilman|2026-06-20|LCM|100|Free|50.71|TYR Pro Swim Series - Indianapolis|PRE|False</t>
        </is>
      </c>
      <c r="AE2841" s="53">
        <f>G2841+L2841/1000+ROW()/1000000000</f>
        <v/>
      </c>
      <c r="AF2841" s="35">
        <f>IF(C2841&lt;&gt;"Grayson Coulter","",COUNTIFS($C$5:$C$2991,"Grayson Coulter",$Q$5:$Q$2991,Q2841,$AE$5:$AE$2991,"&lt;="&amp;AE2841,$R$5:$R$2991,"&lt;"&amp;R2841))</f>
        <v/>
      </c>
      <c r="AG2841" s="35">
        <f>IF(OR(C2841&lt;&gt;"Grayson Coulter",G2841&lt;'00_Control'!$B$7),"",--(AF2841&lt;5))</f>
        <v/>
      </c>
      <c r="AH2841" s="35">
        <f>IF(OR(C2841&lt;&gt;"Grayson Coulter",G2841&lt;'00_Control'!$B$7),"",--(AF2841&lt;10))</f>
        <v/>
      </c>
      <c r="AI2841" s="35">
        <f>IF(AND(C2841="Grayson Coulter",G2841&gt;='00_Control'!$B$7),"YES","NO")</f>
        <v/>
      </c>
      <c r="AJ2841" s="33" t="inlineStr">
        <is>
          <t>OK</t>
        </is>
      </c>
    </row>
    <row r="2842">
      <c r="A2842" s="33" t="inlineStr">
        <is>
          <t>SM002838</t>
        </is>
      </c>
      <c r="B2842" s="33" t="inlineStr">
        <is>
          <t>SW005</t>
        </is>
      </c>
      <c r="C2842" s="33" t="inlineStr">
        <is>
          <t>Thomas Heilman</t>
        </is>
      </c>
      <c r="D2842" s="33" t="inlineStr">
        <is>
          <t>SwimCloud</t>
        </is>
      </c>
      <c r="E2842" s="33" t="inlineStr">
        <is>
          <t>1336401</t>
        </is>
      </c>
      <c r="F2842" s="33" t="inlineStr">
        <is>
          <t>179857327</t>
        </is>
      </c>
      <c r="G2842" s="51" t="n">
        <v>46193</v>
      </c>
      <c r="H2842" s="33" t="inlineStr">
        <is>
          <t>TYR Pro Swim Series - Indianapolis</t>
        </is>
      </c>
      <c r="I2842" s="33" t="inlineStr">
        <is>
          <t>351187</t>
        </is>
      </c>
      <c r="J2842" s="33" t="inlineStr"/>
      <c r="K2842" s="33" t="inlineStr">
        <is>
          <t>FIN</t>
        </is>
      </c>
      <c r="L2842" s="35">
        <f>IF(K2842="FIN",3,IF(OR(K2842="SEM",K2842="SEMI"),2,IF(OR(K2842="PRE",K2842="HEAT"),1,IF(V2842="YES",4,2))))</f>
        <v/>
      </c>
      <c r="M2842" s="33" t="inlineStr">
        <is>
          <t>LCM</t>
        </is>
      </c>
      <c r="N2842" s="33" t="n">
        <v>100</v>
      </c>
      <c r="O2842" s="33" t="inlineStr">
        <is>
          <t>Free</t>
        </is>
      </c>
      <c r="P2842" s="33" t="inlineStr">
        <is>
          <t>100 Free</t>
        </is>
      </c>
      <c r="Q2842" s="33" t="inlineStr">
        <is>
          <t>LCM_100_FREE</t>
        </is>
      </c>
      <c r="R2842" s="36" t="n">
        <v>50.41</v>
      </c>
      <c r="S2842" s="35">
        <f>IF(R2842="","",IF(R2842&gt;=60,INT(R2842/60)&amp;":"&amp;TEXT(MOD(R2842,60),"00.00"),TEXT(R2842,"0.00")))</f>
        <v/>
      </c>
      <c r="T2842" s="52">
        <f>IFERROR((G2842-INDEX('01_Swimmers'!$E$5:$E$22,MATCH(B2842,'01_Swimmers'!$A$5:$A$22,0)))/'00_Control'!$B$10,"")</f>
        <v/>
      </c>
      <c r="U2842" s="35">
        <f>IF(T2842="","",INT(T2842))</f>
        <v/>
      </c>
      <c r="V2842" s="33" t="inlineStr">
        <is>
          <t>NO</t>
        </is>
      </c>
      <c r="W2842" s="33" t="inlineStr">
        <is>
          <t>YES</t>
        </is>
      </c>
      <c r="X2842" s="33" t="inlineStr">
        <is>
          <t>NO</t>
        </is>
      </c>
      <c r="Y2842" s="33" t="n">
        <v>4</v>
      </c>
      <c r="Z2842" s="33" t="n">
        <v>7</v>
      </c>
      <c r="AA2842" s="33" t="inlineStr">
        <is>
          <t>26</t>
        </is>
      </c>
      <c r="AB2842" s="33" t="inlineStr">
        <is>
          <t>https://www.swimcloud.com/results/351187/event/32/?id=179857327#time179857327</t>
        </is>
      </c>
      <c r="AC2842" s="33" t="inlineStr">
        <is>
          <t>SwimCloud API v6 2026-10-08</t>
        </is>
      </c>
      <c r="AD2842" s="33" t="inlineStr">
        <is>
          <t>Thomas Heilman|2026-06-20|LCM|100|Free|50.41|TYR Pro Swim Series - Indianapolis|FIN|False</t>
        </is>
      </c>
      <c r="AE2842" s="53">
        <f>G2842+L2842/1000+ROW()/1000000000</f>
        <v/>
      </c>
      <c r="AF2842" s="35">
        <f>IF(C2842&lt;&gt;"Grayson Coulter","",COUNTIFS($C$5:$C$2991,"Grayson Coulter",$Q$5:$Q$2991,Q2842,$AE$5:$AE$2991,"&lt;="&amp;AE2842,$R$5:$R$2991,"&lt;"&amp;R2842))</f>
        <v/>
      </c>
      <c r="AG2842" s="35">
        <f>IF(OR(C2842&lt;&gt;"Grayson Coulter",G2842&lt;'00_Control'!$B$7),"",--(AF2842&lt;5))</f>
        <v/>
      </c>
      <c r="AH2842" s="35">
        <f>IF(OR(C2842&lt;&gt;"Grayson Coulter",G2842&lt;'00_Control'!$B$7),"",--(AF2842&lt;10))</f>
        <v/>
      </c>
      <c r="AI2842" s="35">
        <f>IF(AND(C2842="Grayson Coulter",G2842&gt;='00_Control'!$B$7),"YES","NO")</f>
        <v/>
      </c>
      <c r="AJ2842" s="33" t="inlineStr">
        <is>
          <t>OK</t>
        </is>
      </c>
    </row>
    <row r="2843">
      <c r="A2843" s="33" t="inlineStr">
        <is>
          <t>SM002839</t>
        </is>
      </c>
      <c r="B2843" s="33" t="inlineStr">
        <is>
          <t>SW005</t>
        </is>
      </c>
      <c r="C2843" s="33" t="inlineStr">
        <is>
          <t>Thomas Heilman</t>
        </is>
      </c>
      <c r="D2843" s="33" t="inlineStr">
        <is>
          <t>SwimCloud</t>
        </is>
      </c>
      <c r="E2843" s="33" t="inlineStr">
        <is>
          <t>1336401</t>
        </is>
      </c>
      <c r="F2843" s="33" t="inlineStr">
        <is>
          <t>184089784</t>
        </is>
      </c>
      <c r="G2843" s="51" t="n">
        <v>46247</v>
      </c>
      <c r="H2843" s="33" t="inlineStr">
        <is>
          <t>Pan Pacific Championships</t>
        </is>
      </c>
      <c r="I2843" s="33" t="inlineStr">
        <is>
          <t>377355</t>
        </is>
      </c>
      <c r="J2843" s="33" t="inlineStr"/>
      <c r="K2843" s="33" t="inlineStr">
        <is>
          <t>PRE</t>
        </is>
      </c>
      <c r="L2843" s="35">
        <f>IF(K2843="FIN",3,IF(OR(K2843="SEM",K2843="SEMI"),2,IF(OR(K2843="PRE",K2843="HEAT"),1,IF(V2843="YES",4,2))))</f>
        <v/>
      </c>
      <c r="M2843" s="33" t="inlineStr">
        <is>
          <t>LCM</t>
        </is>
      </c>
      <c r="N2843" s="33" t="n">
        <v>100</v>
      </c>
      <c r="O2843" s="33" t="inlineStr">
        <is>
          <t>Free</t>
        </is>
      </c>
      <c r="P2843" s="33" t="inlineStr">
        <is>
          <t>100 Free</t>
        </is>
      </c>
      <c r="Q2843" s="33" t="inlineStr">
        <is>
          <t>LCM_100_FREE</t>
        </is>
      </c>
      <c r="R2843" s="36" t="n">
        <v>49.32</v>
      </c>
      <c r="S2843" s="35">
        <f>IF(R2843="","",IF(R2843&gt;=60,INT(R2843/60)&amp;":"&amp;TEXT(MOD(R2843,60),"00.00"),TEXT(R2843,"0.00")))</f>
        <v/>
      </c>
      <c r="T2843" s="52">
        <f>IFERROR((G2843-INDEX('01_Swimmers'!$E$5:$E$22,MATCH(B2843,'01_Swimmers'!$A$5:$A$22,0)))/'00_Control'!$B$10,"")</f>
        <v/>
      </c>
      <c r="U2843" s="35">
        <f>IF(T2843="","",INT(T2843))</f>
        <v/>
      </c>
      <c r="V2843" s="33" t="inlineStr">
        <is>
          <t>NO</t>
        </is>
      </c>
      <c r="W2843" s="33" t="inlineStr">
        <is>
          <t>YES</t>
        </is>
      </c>
      <c r="X2843" s="33" t="inlineStr">
        <is>
          <t>NO</t>
        </is>
      </c>
      <c r="Y2843" s="33" t="n">
        <v>3</v>
      </c>
      <c r="Z2843" s="33" t="n">
        <v>5</v>
      </c>
      <c r="AA2843" s="33" t="inlineStr">
        <is>
          <t>23</t>
        </is>
      </c>
      <c r="AB2843" s="33" t="inlineStr">
        <is>
          <t>https://www.swimcloud.com/results/377355/event/15/?id=184089784#time184089784</t>
        </is>
      </c>
      <c r="AC2843" s="33" t="inlineStr">
        <is>
          <t>SwimCloud API v6 2026-10-08</t>
        </is>
      </c>
      <c r="AD2843" s="33" t="inlineStr">
        <is>
          <t>Thomas Heilman|2026-08-13|LCM|100|Free|49.32|Pan Pacific Championships|PRE|False</t>
        </is>
      </c>
      <c r="AE2843" s="53">
        <f>G2843+L2843/1000+ROW()/1000000000</f>
        <v/>
      </c>
      <c r="AF2843" s="35">
        <f>IF(C2843&lt;&gt;"Grayson Coulter","",COUNTIFS($C$5:$C$2991,"Grayson Coulter",$Q$5:$Q$2991,Q2843,$AE$5:$AE$2991,"&lt;="&amp;AE2843,$R$5:$R$2991,"&lt;"&amp;R2843))</f>
        <v/>
      </c>
      <c r="AG2843" s="35">
        <f>IF(OR(C2843&lt;&gt;"Grayson Coulter",G2843&lt;'00_Control'!$B$7),"",--(AF2843&lt;5))</f>
        <v/>
      </c>
      <c r="AH2843" s="35">
        <f>IF(OR(C2843&lt;&gt;"Grayson Coulter",G2843&lt;'00_Control'!$B$7),"",--(AF2843&lt;10))</f>
        <v/>
      </c>
      <c r="AI2843" s="35">
        <f>IF(AND(C2843="Grayson Coulter",G2843&gt;='00_Control'!$B$7),"YES","NO")</f>
        <v/>
      </c>
      <c r="AJ2843" s="33" t="inlineStr">
        <is>
          <t>OK</t>
        </is>
      </c>
    </row>
    <row r="2844">
      <c r="A2844" s="33" t="inlineStr">
        <is>
          <t>SM002840</t>
        </is>
      </c>
      <c r="B2844" s="33" t="inlineStr">
        <is>
          <t>SW005</t>
        </is>
      </c>
      <c r="C2844" s="33" t="inlineStr">
        <is>
          <t>Thomas Heilman</t>
        </is>
      </c>
      <c r="D2844" s="33" t="inlineStr">
        <is>
          <t>SwimCloud</t>
        </is>
      </c>
      <c r="E2844" s="33" t="inlineStr">
        <is>
          <t>1336401</t>
        </is>
      </c>
      <c r="F2844" s="33" t="inlineStr">
        <is>
          <t>184089783</t>
        </is>
      </c>
      <c r="G2844" s="51" t="n">
        <v>46248</v>
      </c>
      <c r="H2844" s="33" t="inlineStr">
        <is>
          <t>Pan Pacific Championships</t>
        </is>
      </c>
      <c r="I2844" s="33" t="inlineStr">
        <is>
          <t>377355</t>
        </is>
      </c>
      <c r="J2844" s="33" t="inlineStr"/>
      <c r="K2844" s="33" t="inlineStr">
        <is>
          <t>PRE</t>
        </is>
      </c>
      <c r="L2844" s="35">
        <f>IF(K2844="FIN",3,IF(OR(K2844="SEM",K2844="SEMI"),2,IF(OR(K2844="PRE",K2844="HEAT"),1,IF(V2844="YES",4,2))))</f>
        <v/>
      </c>
      <c r="M2844" s="33" t="inlineStr">
        <is>
          <t>LCM</t>
        </is>
      </c>
      <c r="N2844" s="33" t="n">
        <v>100</v>
      </c>
      <c r="O2844" s="33" t="inlineStr">
        <is>
          <t>Fly</t>
        </is>
      </c>
      <c r="P2844" s="33" t="inlineStr">
        <is>
          <t>100 Fly</t>
        </is>
      </c>
      <c r="Q2844" s="33" t="inlineStr">
        <is>
          <t>LCM_100_FLY</t>
        </is>
      </c>
      <c r="R2844" s="36" t="n">
        <v>51.45</v>
      </c>
      <c r="S2844" s="35">
        <f>IF(R2844="","",IF(R2844&gt;=60,INT(R2844/60)&amp;":"&amp;TEXT(MOD(R2844,60),"00.00"),TEXT(R2844,"0.00")))</f>
        <v/>
      </c>
      <c r="T2844" s="52">
        <f>IFERROR((G2844-INDEX('01_Swimmers'!$E$5:$E$22,MATCH(B2844,'01_Swimmers'!$A$5:$A$22,0)))/'00_Control'!$B$10,"")</f>
        <v/>
      </c>
      <c r="U2844" s="35">
        <f>IF(T2844="","",INT(T2844))</f>
        <v/>
      </c>
      <c r="V2844" s="33" t="inlineStr">
        <is>
          <t>NO</t>
        </is>
      </c>
      <c r="W2844" s="33" t="inlineStr">
        <is>
          <t>YES</t>
        </is>
      </c>
      <c r="X2844" s="33" t="inlineStr">
        <is>
          <t>NO</t>
        </is>
      </c>
      <c r="Y2844" s="33" t="n">
        <v>4</v>
      </c>
      <c r="Z2844" s="33" t="n">
        <v>5</v>
      </c>
      <c r="AA2844" s="33" t="inlineStr">
        <is>
          <t>6</t>
        </is>
      </c>
      <c r="AB2844" s="33" t="inlineStr">
        <is>
          <t>https://www.swimcloud.com/results/377355/event/25/?id=184089783#time184089783</t>
        </is>
      </c>
      <c r="AC2844" s="33" t="inlineStr">
        <is>
          <t>SwimCloud API v6 2026-10-08</t>
        </is>
      </c>
      <c r="AD2844" s="33" t="inlineStr">
        <is>
          <t>Thomas Heilman|2026-08-14|LCM|100|Fly|51.45|Pan Pacific Championships|PRE|False</t>
        </is>
      </c>
      <c r="AE2844" s="53">
        <f>G2844+L2844/1000+ROW()/1000000000</f>
        <v/>
      </c>
      <c r="AF2844" s="35">
        <f>IF(C2844&lt;&gt;"Grayson Coulter","",COUNTIFS($C$5:$C$2991,"Grayson Coulter",$Q$5:$Q$2991,Q2844,$AE$5:$AE$2991,"&lt;="&amp;AE2844,$R$5:$R$2991,"&lt;"&amp;R2844))</f>
        <v/>
      </c>
      <c r="AG2844" s="35">
        <f>IF(OR(C2844&lt;&gt;"Grayson Coulter",G2844&lt;'00_Control'!$B$7),"",--(AF2844&lt;5))</f>
        <v/>
      </c>
      <c r="AH2844" s="35">
        <f>IF(OR(C2844&lt;&gt;"Grayson Coulter",G2844&lt;'00_Control'!$B$7),"",--(AF2844&lt;10))</f>
        <v/>
      </c>
      <c r="AI2844" s="35">
        <f>IF(AND(C2844="Grayson Coulter",G2844&gt;='00_Control'!$B$7),"YES","NO")</f>
        <v/>
      </c>
      <c r="AJ2844" s="33" t="inlineStr">
        <is>
          <t>OK</t>
        </is>
      </c>
    </row>
    <row r="2845">
      <c r="A2845" s="33" t="inlineStr">
        <is>
          <t>SM002841</t>
        </is>
      </c>
      <c r="B2845" s="33" t="inlineStr">
        <is>
          <t>SW005</t>
        </is>
      </c>
      <c r="C2845" s="33" t="inlineStr">
        <is>
          <t>Thomas Heilman</t>
        </is>
      </c>
      <c r="D2845" s="33" t="inlineStr">
        <is>
          <t>SwimCloud</t>
        </is>
      </c>
      <c r="E2845" s="33" t="inlineStr">
        <is>
          <t>1336401</t>
        </is>
      </c>
      <c r="F2845" s="33" t="inlineStr">
        <is>
          <t>184089782</t>
        </is>
      </c>
      <c r="G2845" s="51" t="n">
        <v>46248</v>
      </c>
      <c r="H2845" s="33" t="inlineStr">
        <is>
          <t>Pan Pacific Championships</t>
        </is>
      </c>
      <c r="I2845" s="33" t="inlineStr">
        <is>
          <t>377355</t>
        </is>
      </c>
      <c r="J2845" s="33" t="inlineStr"/>
      <c r="K2845" s="33" t="inlineStr">
        <is>
          <t>FIN</t>
        </is>
      </c>
      <c r="L2845" s="35">
        <f>IF(K2845="FIN",3,IF(OR(K2845="SEM",K2845="SEMI"),2,IF(OR(K2845="PRE",K2845="HEAT"),1,IF(V2845="YES",4,2))))</f>
        <v/>
      </c>
      <c r="M2845" s="33" t="inlineStr">
        <is>
          <t>LCM</t>
        </is>
      </c>
      <c r="N2845" s="33" t="n">
        <v>100</v>
      </c>
      <c r="O2845" s="33" t="inlineStr">
        <is>
          <t>Fly</t>
        </is>
      </c>
      <c r="P2845" s="33" t="inlineStr">
        <is>
          <t>100 Fly</t>
        </is>
      </c>
      <c r="Q2845" s="33" t="inlineStr">
        <is>
          <t>LCM_100_FLY</t>
        </is>
      </c>
      <c r="R2845" s="36" t="n">
        <v>51.2</v>
      </c>
      <c r="S2845" s="35">
        <f>IF(R2845="","",IF(R2845&gt;=60,INT(R2845/60)&amp;":"&amp;TEXT(MOD(R2845,60),"00.00"),TEXT(R2845,"0.00")))</f>
        <v/>
      </c>
      <c r="T2845" s="52">
        <f>IFERROR((G2845-INDEX('01_Swimmers'!$E$5:$E$22,MATCH(B2845,'01_Swimmers'!$A$5:$A$22,0)))/'00_Control'!$B$10,"")</f>
        <v/>
      </c>
      <c r="U2845" s="35">
        <f>IF(T2845="","",INT(T2845))</f>
        <v/>
      </c>
      <c r="V2845" s="33" t="inlineStr">
        <is>
          <t>NO</t>
        </is>
      </c>
      <c r="W2845" s="33" t="inlineStr">
        <is>
          <t>YES</t>
        </is>
      </c>
      <c r="X2845" s="33" t="inlineStr">
        <is>
          <t>NO</t>
        </is>
      </c>
      <c r="Y2845" s="33" t="n">
        <v>2</v>
      </c>
      <c r="Z2845" s="33" t="n">
        <v>5</v>
      </c>
      <c r="AA2845" s="33" t="inlineStr">
        <is>
          <t>9</t>
        </is>
      </c>
      <c r="AB2845" s="33" t="inlineStr">
        <is>
          <t>https://www.swimcloud.com/results/377355/event/25/?id=184089782#time184089782</t>
        </is>
      </c>
      <c r="AC2845" s="33" t="inlineStr">
        <is>
          <t>SwimCloud API v6 2026-10-08</t>
        </is>
      </c>
      <c r="AD2845" s="33" t="inlineStr">
        <is>
          <t>Thomas Heilman|2026-08-14|LCM|100|Fly|51.2|Pan Pacific Championships|FIN|False</t>
        </is>
      </c>
      <c r="AE2845" s="53">
        <f>G2845+L2845/1000+ROW()/1000000000</f>
        <v/>
      </c>
      <c r="AF2845" s="35">
        <f>IF(C2845&lt;&gt;"Grayson Coulter","",COUNTIFS($C$5:$C$2991,"Grayson Coulter",$Q$5:$Q$2991,Q2845,$AE$5:$AE$2991,"&lt;="&amp;AE2845,$R$5:$R$2991,"&lt;"&amp;R2845))</f>
        <v/>
      </c>
      <c r="AG2845" s="35">
        <f>IF(OR(C2845&lt;&gt;"Grayson Coulter",G2845&lt;'00_Control'!$B$7),"",--(AF2845&lt;5))</f>
        <v/>
      </c>
      <c r="AH2845" s="35">
        <f>IF(OR(C2845&lt;&gt;"Grayson Coulter",G2845&lt;'00_Control'!$B$7),"",--(AF2845&lt;10))</f>
        <v/>
      </c>
      <c r="AI2845" s="35">
        <f>IF(AND(C2845="Grayson Coulter",G2845&gt;='00_Control'!$B$7),"YES","NO")</f>
        <v/>
      </c>
      <c r="AJ2845" s="33" t="inlineStr">
        <is>
          <t>OK</t>
        </is>
      </c>
    </row>
    <row r="2846">
      <c r="A2846" s="33" t="inlineStr">
        <is>
          <t>SM002842</t>
        </is>
      </c>
      <c r="B2846" s="33" t="inlineStr">
        <is>
          <t>SW001</t>
        </is>
      </c>
      <c r="C2846" s="33" t="inlineStr">
        <is>
          <t>Grayson Coulter</t>
        </is>
      </c>
      <c r="D2846" s="33" t="inlineStr">
        <is>
          <t>SwimCloud</t>
        </is>
      </c>
      <c r="E2846" s="33" t="inlineStr">
        <is>
          <t>3637780</t>
        </is>
      </c>
      <c r="F2846" s="33" t="inlineStr">
        <is>
          <t>184299959</t>
        </is>
      </c>
      <c r="G2846" s="51" t="n">
        <v>46251</v>
      </c>
      <c r="H2846" s="33" t="inlineStr">
        <is>
          <t>Junior Pan Pacific Championships</t>
        </is>
      </c>
      <c r="I2846" s="33" t="inlineStr">
        <is>
          <t>387116</t>
        </is>
      </c>
      <c r="J2846" s="33" t="n"/>
      <c r="K2846" s="33" t="inlineStr">
        <is>
          <t>TIM</t>
        </is>
      </c>
      <c r="L2846" s="35">
        <f>IF(K2846="FIN",3,IF(OR(K2846="SEM",K2846="SEMI"),2,IF(OR(K2846="PRE",K2846="HEAT"),1,IF(V2846="YES",4,2))))</f>
        <v/>
      </c>
      <c r="M2846" s="33" t="inlineStr">
        <is>
          <t>LCM</t>
        </is>
      </c>
      <c r="N2846" s="33" t="n">
        <v>50</v>
      </c>
      <c r="O2846" s="33" t="inlineStr">
        <is>
          <t>Free</t>
        </is>
      </c>
      <c r="P2846" s="33" t="inlineStr">
        <is>
          <t>50 Free</t>
        </is>
      </c>
      <c r="Q2846" s="33" t="inlineStr">
        <is>
          <t>LCM_50_FREE</t>
        </is>
      </c>
      <c r="R2846" s="36" t="n">
        <v>24.49</v>
      </c>
      <c r="S2846" s="35">
        <f>IF(R2846="","",IF(R2846&gt;=60,INT(R2846/60)&amp;":"&amp;TEXT(MOD(R2846,60),"00.00"),TEXT(R2846,"0.00")))</f>
        <v/>
      </c>
      <c r="T2846" s="52">
        <f>IFERROR((G2846-INDEX('01_Swimmers'!$E$5:$E$22,MATCH(B2846,'01_Swimmers'!$A$5:$A$22,0)))/'00_Control'!$B$10,"")</f>
        <v/>
      </c>
      <c r="U2846" s="35">
        <f>IF(T2846="","",INT(T2846))</f>
        <v/>
      </c>
      <c r="V2846" s="33" t="inlineStr">
        <is>
          <t>YES</t>
        </is>
      </c>
      <c r="W2846" s="33" t="inlineStr">
        <is>
          <t>YES</t>
        </is>
      </c>
      <c r="X2846" s="33" t="inlineStr">
        <is>
          <t>NO</t>
        </is>
      </c>
      <c r="Y2846" s="33" t="n"/>
      <c r="Z2846" s="33" t="n"/>
      <c r="AA2846" s="33" t="inlineStr"/>
      <c r="AB2846" s="33" t="inlineStr">
        <is>
          <t>https://www.swimcloud.com/results/387116/event/32/?id=184299431#time184299431</t>
        </is>
      </c>
      <c r="AC2846" s="33" t="inlineStr">
        <is>
          <t>SwimCloud all-event v8 2026-10-09</t>
        </is>
      </c>
      <c r="AD2846" s="33" t="inlineStr">
        <is>
          <t>Grayson Coulter|2026-08-17|LCM|50|Free|24.49|Junior Pan Pacific Championships|TIM|True</t>
        </is>
      </c>
      <c r="AE2846" s="53">
        <f>G2846+L2846/1000+ROW()/1000000000</f>
        <v/>
      </c>
      <c r="AF2846" s="35">
        <f>IF(C2846&lt;&gt;"Grayson Coulter","",COUNTIFS($C$5:$C$2991,"Grayson Coulter",$Q$5:$Q$2991,Q2846,$AE$5:$AE$2991,"&lt;="&amp;AE2846,$R$5:$R$2991,"&lt;"&amp;R2846))</f>
        <v/>
      </c>
      <c r="AG2846" s="35">
        <f>IF(OR(C2846&lt;&gt;"Grayson Coulter",G2846&lt;'00_Control'!$B$7),"",--(AF2846&lt;5))</f>
        <v/>
      </c>
      <c r="AH2846" s="35">
        <f>IF(OR(C2846&lt;&gt;"Grayson Coulter",G2846&lt;'00_Control'!$B$7),"",--(AF2846&lt;10))</f>
        <v/>
      </c>
      <c r="AI2846" s="35">
        <f>IF(AND(C2846="Grayson Coulter",G2846&gt;='00_Control'!$B$7),"YES","NO")</f>
        <v/>
      </c>
      <c r="AJ2846" s="33" t="inlineStr">
        <is>
          <t>OK</t>
        </is>
      </c>
    </row>
    <row r="2847">
      <c r="A2847" s="33" t="inlineStr">
        <is>
          <t>SM002843</t>
        </is>
      </c>
      <c r="B2847" s="33" t="inlineStr">
        <is>
          <t>SW001</t>
        </is>
      </c>
      <c r="C2847" s="33" t="inlineStr">
        <is>
          <t>Grayson Coulter</t>
        </is>
      </c>
      <c r="D2847" s="33" t="inlineStr">
        <is>
          <t>SwimCloud</t>
        </is>
      </c>
      <c r="E2847" s="33" t="inlineStr">
        <is>
          <t>3637780</t>
        </is>
      </c>
      <c r="F2847" s="33" t="inlineStr">
        <is>
          <t>184299926</t>
        </is>
      </c>
      <c r="G2847" s="51" t="n">
        <v>46251</v>
      </c>
      <c r="H2847" s="33" t="inlineStr">
        <is>
          <t>Junior Pan Pacific Championships</t>
        </is>
      </c>
      <c r="I2847" s="33" t="inlineStr">
        <is>
          <t>387116</t>
        </is>
      </c>
      <c r="J2847" s="33" t="n"/>
      <c r="K2847" s="33" t="inlineStr">
        <is>
          <t>FIN</t>
        </is>
      </c>
      <c r="L2847" s="35">
        <f>IF(K2847="FIN",3,IF(OR(K2847="SEM",K2847="SEMI"),2,IF(OR(K2847="PRE",K2847="HEAT"),1,IF(V2847="YES",4,2))))</f>
        <v/>
      </c>
      <c r="M2847" s="33" t="inlineStr">
        <is>
          <t>LCM</t>
        </is>
      </c>
      <c r="N2847" s="33" t="n">
        <v>50</v>
      </c>
      <c r="O2847" s="33" t="inlineStr">
        <is>
          <t>Free</t>
        </is>
      </c>
      <c r="P2847" s="33" t="inlineStr">
        <is>
          <t>50 Free</t>
        </is>
      </c>
      <c r="Q2847" s="33" t="inlineStr">
        <is>
          <t>LCM_50_FREE</t>
        </is>
      </c>
      <c r="R2847" s="36" t="n">
        <v>24.77</v>
      </c>
      <c r="S2847" s="35">
        <f>IF(R2847="","",IF(R2847&gt;=60,INT(R2847/60)&amp;":"&amp;TEXT(MOD(R2847,60),"00.00"),TEXT(R2847,"0.00")))</f>
        <v/>
      </c>
      <c r="T2847" s="52">
        <f>IFERROR((G2847-INDEX('01_Swimmers'!$E$5:$E$22,MATCH(B2847,'01_Swimmers'!$A$5:$A$22,0)))/'00_Control'!$B$10,"")</f>
        <v/>
      </c>
      <c r="U2847" s="35">
        <f>IF(T2847="","",INT(T2847))</f>
        <v/>
      </c>
      <c r="V2847" s="33" t="inlineStr">
        <is>
          <t>NO</t>
        </is>
      </c>
      <c r="W2847" s="33" t="inlineStr">
        <is>
          <t>YES</t>
        </is>
      </c>
      <c r="X2847" s="33" t="inlineStr">
        <is>
          <t>NO</t>
        </is>
      </c>
      <c r="Y2847" s="33" t="n">
        <v>1</v>
      </c>
      <c r="Z2847" s="33" t="n"/>
      <c r="AA2847" s="33" t="inlineStr"/>
      <c r="AB2847" s="33" t="inlineStr">
        <is>
          <t>https://www.swimcloud.com/results/387116/event/16/?id=184298257#time184298257</t>
        </is>
      </c>
      <c r="AC2847" s="33" t="inlineStr">
        <is>
          <t>SwimCloud all-event v8 2026-10-09</t>
        </is>
      </c>
      <c r="AD2847" s="33" t="inlineStr">
        <is>
          <t>Grayson Coulter|2026-08-17|LCM|50|Free|24.77|Junior Pan Pacific Championships|FIN|False</t>
        </is>
      </c>
      <c r="AE2847" s="53">
        <f>G2847+L2847/1000+ROW()/1000000000</f>
        <v/>
      </c>
      <c r="AF2847" s="35">
        <f>IF(C2847&lt;&gt;"Grayson Coulter","",COUNTIFS($C$5:$C$2991,"Grayson Coulter",$Q$5:$Q$2991,Q2847,$AE$5:$AE$2991,"&lt;="&amp;AE2847,$R$5:$R$2991,"&lt;"&amp;R2847))</f>
        <v/>
      </c>
      <c r="AG2847" s="35">
        <f>IF(OR(C2847&lt;&gt;"Grayson Coulter",G2847&lt;'00_Control'!$B$7),"",--(AF2847&lt;5))</f>
        <v/>
      </c>
      <c r="AH2847" s="35">
        <f>IF(OR(C2847&lt;&gt;"Grayson Coulter",G2847&lt;'00_Control'!$B$7),"",--(AF2847&lt;10))</f>
        <v/>
      </c>
      <c r="AI2847" s="35">
        <f>IF(AND(C2847="Grayson Coulter",G2847&gt;='00_Control'!$B$7),"YES","NO")</f>
        <v/>
      </c>
      <c r="AJ2847" s="33" t="inlineStr">
        <is>
          <t>OK</t>
        </is>
      </c>
    </row>
    <row r="2848">
      <c r="A2848" s="33" t="inlineStr">
        <is>
          <t>SM002844</t>
        </is>
      </c>
      <c r="B2848" s="33" t="inlineStr">
        <is>
          <t>SW001</t>
        </is>
      </c>
      <c r="C2848" s="33" t="inlineStr">
        <is>
          <t>Grayson Coulter</t>
        </is>
      </c>
      <c r="D2848" s="33" t="inlineStr">
        <is>
          <t>SwimCloud</t>
        </is>
      </c>
      <c r="E2848" s="33" t="inlineStr">
        <is>
          <t>3637780</t>
        </is>
      </c>
      <c r="F2848" s="33" t="inlineStr">
        <is>
          <t>184299917</t>
        </is>
      </c>
      <c r="G2848" s="51" t="n">
        <v>46251</v>
      </c>
      <c r="H2848" s="33" t="inlineStr">
        <is>
          <t>Junior Pan Pacific Championships</t>
        </is>
      </c>
      <c r="I2848" s="33" t="inlineStr">
        <is>
          <t>387116</t>
        </is>
      </c>
      <c r="J2848" s="33" t="n"/>
      <c r="K2848" s="33" t="inlineStr">
        <is>
          <t>PRE</t>
        </is>
      </c>
      <c r="L2848" s="35">
        <f>IF(K2848="FIN",3,IF(OR(K2848="SEM",K2848="SEMI"),2,IF(OR(K2848="PRE",K2848="HEAT"),1,IF(V2848="YES",4,2))))</f>
        <v/>
      </c>
      <c r="M2848" s="33" t="inlineStr">
        <is>
          <t>LCM</t>
        </is>
      </c>
      <c r="N2848" s="33" t="n">
        <v>50</v>
      </c>
      <c r="O2848" s="33" t="inlineStr">
        <is>
          <t>Free</t>
        </is>
      </c>
      <c r="P2848" s="33" t="inlineStr">
        <is>
          <t>50 Free</t>
        </is>
      </c>
      <c r="Q2848" s="33" t="inlineStr">
        <is>
          <t>LCM_50_FREE</t>
        </is>
      </c>
      <c r="R2848" s="36" t="n">
        <v>24.58</v>
      </c>
      <c r="S2848" s="35">
        <f>IF(R2848="","",IF(R2848&gt;=60,INT(R2848/60)&amp;":"&amp;TEXT(MOD(R2848,60),"00.00"),TEXT(R2848,"0.00")))</f>
        <v/>
      </c>
      <c r="T2848" s="52">
        <f>IFERROR((G2848-INDEX('01_Swimmers'!$E$5:$E$22,MATCH(B2848,'01_Swimmers'!$A$5:$A$22,0)))/'00_Control'!$B$10,"")</f>
        <v/>
      </c>
      <c r="U2848" s="35">
        <f>IF(T2848="","",INT(T2848))</f>
        <v/>
      </c>
      <c r="V2848" s="33" t="inlineStr">
        <is>
          <t>NO</t>
        </is>
      </c>
      <c r="W2848" s="33" t="inlineStr">
        <is>
          <t>YES</t>
        </is>
      </c>
      <c r="X2848" s="33" t="inlineStr">
        <is>
          <t>NO</t>
        </is>
      </c>
      <c r="Y2848" s="33" t="n">
        <v>1</v>
      </c>
      <c r="Z2848" s="33" t="n"/>
      <c r="AA2848" s="33" t="inlineStr"/>
      <c r="AB2848" s="33" t="inlineStr">
        <is>
          <t>https://www.swimcloud.com/results/387116/event/16/?id=184298256#time184298256</t>
        </is>
      </c>
      <c r="AC2848" s="33" t="inlineStr">
        <is>
          <t>SwimCloud all-event v8 2026-10-09</t>
        </is>
      </c>
      <c r="AD2848" s="33" t="inlineStr">
        <is>
          <t>Grayson Coulter|2026-08-17|LCM|50|Free|24.58|Junior Pan Pacific Championships|PRE|False</t>
        </is>
      </c>
      <c r="AE2848" s="53">
        <f>G2848+L2848/1000+ROW()/1000000000</f>
        <v/>
      </c>
      <c r="AF2848" s="35">
        <f>IF(C2848&lt;&gt;"Grayson Coulter","",COUNTIFS($C$5:$C$2991,"Grayson Coulter",$Q$5:$Q$2991,Q2848,$AE$5:$AE$2991,"&lt;="&amp;AE2848,$R$5:$R$2991,"&lt;"&amp;R2848))</f>
        <v/>
      </c>
      <c r="AG2848" s="35">
        <f>IF(OR(C2848&lt;&gt;"Grayson Coulter",G2848&lt;'00_Control'!$B$7),"",--(AF2848&lt;5))</f>
        <v/>
      </c>
      <c r="AH2848" s="35">
        <f>IF(OR(C2848&lt;&gt;"Grayson Coulter",G2848&lt;'00_Control'!$B$7),"",--(AF2848&lt;10))</f>
        <v/>
      </c>
      <c r="AI2848" s="35">
        <f>IF(AND(C2848="Grayson Coulter",G2848&gt;='00_Control'!$B$7),"YES","NO")</f>
        <v/>
      </c>
      <c r="AJ2848" s="33" t="inlineStr">
        <is>
          <t>OK</t>
        </is>
      </c>
    </row>
    <row r="2849">
      <c r="A2849" s="33" t="inlineStr">
        <is>
          <t>SM002845</t>
        </is>
      </c>
      <c r="B2849" s="33" t="inlineStr">
        <is>
          <t>SW001</t>
        </is>
      </c>
      <c r="C2849" s="33" t="inlineStr">
        <is>
          <t>Grayson Coulter</t>
        </is>
      </c>
      <c r="D2849" s="33" t="inlineStr">
        <is>
          <t>SwimCloud</t>
        </is>
      </c>
      <c r="E2849" s="33" t="inlineStr">
        <is>
          <t>3637780</t>
        </is>
      </c>
      <c r="F2849" s="33" t="inlineStr">
        <is>
          <t>184298609</t>
        </is>
      </c>
      <c r="G2849" s="51" t="n">
        <v>46251</v>
      </c>
      <c r="H2849" s="33" t="inlineStr">
        <is>
          <t>Junior Pan Pacific Championships</t>
        </is>
      </c>
      <c r="I2849" s="33" t="inlineStr">
        <is>
          <t>387116</t>
        </is>
      </c>
      <c r="J2849" s="33" t="n"/>
      <c r="K2849" s="33" t="inlineStr">
        <is>
          <t>PRE</t>
        </is>
      </c>
      <c r="L2849" s="35">
        <f>IF(K2849="FIN",3,IF(OR(K2849="SEM",K2849="SEMI"),2,IF(OR(K2849="PRE",K2849="HEAT"),1,IF(V2849="YES",4,2))))</f>
        <v/>
      </c>
      <c r="M2849" s="33" t="inlineStr">
        <is>
          <t>LCM</t>
        </is>
      </c>
      <c r="N2849" s="33" t="n">
        <v>50</v>
      </c>
      <c r="O2849" s="33" t="inlineStr">
        <is>
          <t>Free</t>
        </is>
      </c>
      <c r="P2849" s="33" t="inlineStr">
        <is>
          <t>50 Free</t>
        </is>
      </c>
      <c r="Q2849" s="33" t="inlineStr">
        <is>
          <t>LCM_50_FREE</t>
        </is>
      </c>
      <c r="R2849" s="36" t="n">
        <v>23.95</v>
      </c>
      <c r="S2849" s="35">
        <f>IF(R2849="","",IF(R2849&gt;=60,INT(R2849/60)&amp;":"&amp;TEXT(MOD(R2849,60),"00.00"),TEXT(R2849,"0.00")))</f>
        <v/>
      </c>
      <c r="T2849" s="52">
        <f>IFERROR((G2849-INDEX('01_Swimmers'!$E$5:$E$22,MATCH(B2849,'01_Swimmers'!$A$5:$A$22,0)))/'00_Control'!$B$10,"")</f>
        <v/>
      </c>
      <c r="U2849" s="35">
        <f>IF(T2849="","",INT(T2849))</f>
        <v/>
      </c>
      <c r="V2849" s="33" t="inlineStr">
        <is>
          <t>NO</t>
        </is>
      </c>
      <c r="W2849" s="33" t="inlineStr">
        <is>
          <t>YES</t>
        </is>
      </c>
      <c r="X2849" s="33" t="inlineStr">
        <is>
          <t>NO</t>
        </is>
      </c>
      <c r="Y2849" s="33" t="n">
        <v>1</v>
      </c>
      <c r="Z2849" s="33" t="n"/>
      <c r="AA2849" s="33" t="inlineStr">
        <is>
          <t>26</t>
        </is>
      </c>
      <c r="AB2849" s="33" t="inlineStr">
        <is>
          <t>https://www.swimcloud.com/results/387116/event/36/?id=184298609#time184298609</t>
        </is>
      </c>
      <c r="AC2849" s="33" t="inlineStr">
        <is>
          <t>SwimCloud all-event v8 2026-10-09</t>
        </is>
      </c>
      <c r="AD2849" s="33" t="inlineStr">
        <is>
          <t>Grayson Coulter|2026-08-17|LCM|50|Free|23.95|Junior Pan Pacific Championships|PRE|False</t>
        </is>
      </c>
      <c r="AE2849" s="53">
        <f>G2849+L2849/1000+ROW()/1000000000</f>
        <v/>
      </c>
      <c r="AF2849" s="35">
        <f>IF(C2849&lt;&gt;"Grayson Coulter","",COUNTIFS($C$5:$C$2991,"Grayson Coulter",$Q$5:$Q$2991,Q2849,$AE$5:$AE$2991,"&lt;="&amp;AE2849,$R$5:$R$2991,"&lt;"&amp;R2849))</f>
        <v/>
      </c>
      <c r="AG2849" s="35">
        <f>IF(OR(C2849&lt;&gt;"Grayson Coulter",G2849&lt;'00_Control'!$B$7),"",--(AF2849&lt;5))</f>
        <v/>
      </c>
      <c r="AH2849" s="35">
        <f>IF(OR(C2849&lt;&gt;"Grayson Coulter",G2849&lt;'00_Control'!$B$7),"",--(AF2849&lt;10))</f>
        <v/>
      </c>
      <c r="AI2849" s="35">
        <f>IF(AND(C2849="Grayson Coulter",G2849&gt;='00_Control'!$B$7),"YES","NO")</f>
        <v/>
      </c>
      <c r="AJ2849" s="33" t="inlineStr">
        <is>
          <t>OK</t>
        </is>
      </c>
    </row>
    <row r="2850">
      <c r="A2850" s="33" t="inlineStr">
        <is>
          <t>SM002846</t>
        </is>
      </c>
      <c r="B2850" s="33" t="inlineStr">
        <is>
          <t>SW001</t>
        </is>
      </c>
      <c r="C2850" s="33" t="inlineStr">
        <is>
          <t>Grayson Coulter</t>
        </is>
      </c>
      <c r="D2850" s="33" t="inlineStr">
        <is>
          <t>SwimCloud</t>
        </is>
      </c>
      <c r="E2850" s="33" t="inlineStr">
        <is>
          <t>3651023</t>
        </is>
      </c>
      <c r="F2850" s="33" t="inlineStr">
        <is>
          <t>149407265</t>
        </is>
      </c>
      <c r="G2850" s="51" t="n">
        <v>45732</v>
      </c>
      <c r="H2850" s="33" t="inlineStr">
        <is>
          <t>Swimming Auckland Age Group and Open Championships</t>
        </is>
      </c>
      <c r="I2850" s="33" t="inlineStr">
        <is>
          <t>340538</t>
        </is>
      </c>
      <c r="J2850" s="33" t="n"/>
      <c r="K2850" s="33" t="inlineStr">
        <is>
          <t>FIN</t>
        </is>
      </c>
      <c r="L2850" s="35">
        <f>IF(K2850="FIN",3,IF(OR(K2850="SEM",K2850="SEMI"),2,IF(OR(K2850="PRE",K2850="HEAT"),1,IF(V2850="YES",4,2))))</f>
        <v/>
      </c>
      <c r="M2850" s="33" t="inlineStr">
        <is>
          <t>LCM</t>
        </is>
      </c>
      <c r="N2850" s="33" t="n">
        <v>100</v>
      </c>
      <c r="O2850" s="33" t="inlineStr">
        <is>
          <t>Back</t>
        </is>
      </c>
      <c r="P2850" s="33" t="inlineStr">
        <is>
          <t>100 Back</t>
        </is>
      </c>
      <c r="Q2850" s="33" t="inlineStr">
        <is>
          <t>LCM_100_BACK</t>
        </is>
      </c>
      <c r="R2850" s="36" t="n">
        <v>62.01</v>
      </c>
      <c r="S2850" s="35">
        <f>IF(R2850="","",IF(R2850&gt;=60,INT(R2850/60)&amp;":"&amp;TEXT(MOD(R2850,60),"00.00"),TEXT(R2850,"0.00")))</f>
        <v/>
      </c>
      <c r="T2850" s="52">
        <f>IFERROR((G2850-INDEX('01_Swimmers'!$E$5:$E$22,MATCH(B2850,'01_Swimmers'!$A$5:$A$22,0)))/'00_Control'!$B$10,"")</f>
        <v/>
      </c>
      <c r="U2850" s="35">
        <f>IF(T2850="","",INT(T2850))</f>
        <v/>
      </c>
      <c r="V2850" s="33" t="inlineStr">
        <is>
          <t>NO</t>
        </is>
      </c>
      <c r="W2850" s="33" t="inlineStr">
        <is>
          <t>YES</t>
        </is>
      </c>
      <c r="X2850" s="33" t="inlineStr">
        <is>
          <t>NO</t>
        </is>
      </c>
      <c r="Y2850" s="33" t="n">
        <v>1</v>
      </c>
      <c r="Z2850" s="33" t="n">
        <v>4</v>
      </c>
      <c r="AA2850" s="33" t="inlineStr">
        <is>
          <t>1</t>
        </is>
      </c>
      <c r="AB2850" s="33" t="inlineStr">
        <is>
          <t>https://www.swimcloud.com/results/340538/event/28/?id=149407265#time149407265</t>
        </is>
      </c>
      <c r="AC2850" s="33" t="inlineStr">
        <is>
          <t>SwimCloud all-event v8 2026-10-09</t>
        </is>
      </c>
      <c r="AD2850" s="33" t="inlineStr">
        <is>
          <t>Grayson Coulter|2025-03-16|LCM|100|Back|62.01|Swimming Auckland Age Group and Open Championships|FIN|False</t>
        </is>
      </c>
      <c r="AE2850" s="53">
        <f>G2850+L2850/1000+ROW()/1000000000</f>
        <v/>
      </c>
      <c r="AF2850" s="35">
        <f>IF(C2850&lt;&gt;"Grayson Coulter","",COUNTIFS($C$5:$C$2991,"Grayson Coulter",$Q$5:$Q$2991,Q2850,$AE$5:$AE$2991,"&lt;="&amp;AE2850,$R$5:$R$2991,"&lt;"&amp;R2850))</f>
        <v/>
      </c>
      <c r="AG2850" s="35">
        <f>IF(OR(C2850&lt;&gt;"Grayson Coulter",G2850&lt;'00_Control'!$B$7),"",--(AF2850&lt;5))</f>
        <v/>
      </c>
      <c r="AH2850" s="35">
        <f>IF(OR(C2850&lt;&gt;"Grayson Coulter",G2850&lt;'00_Control'!$B$7),"",--(AF2850&lt;10))</f>
        <v/>
      </c>
      <c r="AI2850" s="35">
        <f>IF(AND(C2850="Grayson Coulter",G2850&gt;='00_Control'!$B$7),"YES","NO")</f>
        <v/>
      </c>
      <c r="AJ2850" s="33" t="inlineStr">
        <is>
          <t>OK</t>
        </is>
      </c>
    </row>
    <row r="2851">
      <c r="A2851" s="33" t="inlineStr">
        <is>
          <t>SM002847</t>
        </is>
      </c>
      <c r="B2851" s="33" t="inlineStr">
        <is>
          <t>SW001</t>
        </is>
      </c>
      <c r="C2851" s="33" t="inlineStr">
        <is>
          <t>Grayson Coulter</t>
        </is>
      </c>
      <c r="D2851" s="33" t="inlineStr">
        <is>
          <t>SwimCloud</t>
        </is>
      </c>
      <c r="E2851" s="33" t="inlineStr">
        <is>
          <t>3651023</t>
        </is>
      </c>
      <c r="F2851" s="33" t="inlineStr">
        <is>
          <t>149407264</t>
        </is>
      </c>
      <c r="G2851" s="51" t="n">
        <v>45732</v>
      </c>
      <c r="H2851" s="33" t="inlineStr">
        <is>
          <t>Swimming Auckland Age Group and Open Championships</t>
        </is>
      </c>
      <c r="I2851" s="33" t="inlineStr">
        <is>
          <t>340538</t>
        </is>
      </c>
      <c r="J2851" s="33" t="n"/>
      <c r="K2851" s="33" t="inlineStr">
        <is>
          <t>PRE</t>
        </is>
      </c>
      <c r="L2851" s="35">
        <f>IF(K2851="FIN",3,IF(OR(K2851="SEM",K2851="SEMI"),2,IF(OR(K2851="PRE",K2851="HEAT"),1,IF(V2851="YES",4,2))))</f>
        <v/>
      </c>
      <c r="M2851" s="33" t="inlineStr">
        <is>
          <t>LCM</t>
        </is>
      </c>
      <c r="N2851" s="33" t="n">
        <v>100</v>
      </c>
      <c r="O2851" s="33" t="inlineStr">
        <is>
          <t>Back</t>
        </is>
      </c>
      <c r="P2851" s="33" t="inlineStr">
        <is>
          <t>100 Back</t>
        </is>
      </c>
      <c r="Q2851" s="33" t="inlineStr">
        <is>
          <t>LCM_100_BACK</t>
        </is>
      </c>
      <c r="R2851" s="36" t="n">
        <v>61.88</v>
      </c>
      <c r="S2851" s="35">
        <f>IF(R2851="","",IF(R2851&gt;=60,INT(R2851/60)&amp;":"&amp;TEXT(MOD(R2851,60),"00.00"),TEXT(R2851,"0.00")))</f>
        <v/>
      </c>
      <c r="T2851" s="52">
        <f>IFERROR((G2851-INDEX('01_Swimmers'!$E$5:$E$22,MATCH(B2851,'01_Swimmers'!$A$5:$A$22,0)))/'00_Control'!$B$10,"")</f>
        <v/>
      </c>
      <c r="U2851" s="35">
        <f>IF(T2851="","",INT(T2851))</f>
        <v/>
      </c>
      <c r="V2851" s="33" t="inlineStr">
        <is>
          <t>NO</t>
        </is>
      </c>
      <c r="W2851" s="33" t="inlineStr">
        <is>
          <t>YES</t>
        </is>
      </c>
      <c r="X2851" s="33" t="inlineStr">
        <is>
          <t>NO</t>
        </is>
      </c>
      <c r="Y2851" s="33" t="n">
        <v>10</v>
      </c>
      <c r="Z2851" s="33" t="n">
        <v>8</v>
      </c>
      <c r="AA2851" s="33" t="inlineStr">
        <is>
          <t>1</t>
        </is>
      </c>
      <c r="AB2851" s="33" t="inlineStr">
        <is>
          <t>https://www.swimcloud.com/results/340538/event/28/?id=149407264#time149407264</t>
        </is>
      </c>
      <c r="AC2851" s="33" t="inlineStr">
        <is>
          <t>SwimCloud all-event v8 2026-10-09</t>
        </is>
      </c>
      <c r="AD2851" s="33" t="inlineStr">
        <is>
          <t>Grayson Coulter|2025-03-16|LCM|100|Back|61.88|Swimming Auckland Age Group and Open Championships|PRE|False</t>
        </is>
      </c>
      <c r="AE2851" s="53">
        <f>G2851+L2851/1000+ROW()/1000000000</f>
        <v/>
      </c>
      <c r="AF2851" s="35">
        <f>IF(C2851&lt;&gt;"Grayson Coulter","",COUNTIFS($C$5:$C$2991,"Grayson Coulter",$Q$5:$Q$2991,Q2851,$AE$5:$AE$2991,"&lt;="&amp;AE2851,$R$5:$R$2991,"&lt;"&amp;R2851))</f>
        <v/>
      </c>
      <c r="AG2851" s="35">
        <f>IF(OR(C2851&lt;&gt;"Grayson Coulter",G2851&lt;'00_Control'!$B$7),"",--(AF2851&lt;5))</f>
        <v/>
      </c>
      <c r="AH2851" s="35">
        <f>IF(OR(C2851&lt;&gt;"Grayson Coulter",G2851&lt;'00_Control'!$B$7),"",--(AF2851&lt;10))</f>
        <v/>
      </c>
      <c r="AI2851" s="35">
        <f>IF(AND(C2851="Grayson Coulter",G2851&gt;='00_Control'!$B$7),"YES","NO")</f>
        <v/>
      </c>
      <c r="AJ2851" s="33" t="inlineStr">
        <is>
          <t>OK</t>
        </is>
      </c>
    </row>
    <row r="2852">
      <c r="A2852" s="33" t="inlineStr">
        <is>
          <t>SM002848</t>
        </is>
      </c>
      <c r="B2852" s="33" t="inlineStr">
        <is>
          <t>SW001</t>
        </is>
      </c>
      <c r="C2852" s="33" t="inlineStr">
        <is>
          <t>Grayson Coulter</t>
        </is>
      </c>
      <c r="D2852" s="33" t="inlineStr">
        <is>
          <t>SwimCloud</t>
        </is>
      </c>
      <c r="E2852" s="33" t="inlineStr">
        <is>
          <t>3651023</t>
        </is>
      </c>
      <c r="F2852" s="33" t="inlineStr">
        <is>
          <t>159525622</t>
        </is>
      </c>
      <c r="G2852" s="51" t="n">
        <v>45863</v>
      </c>
      <c r="H2852" s="33" t="inlineStr">
        <is>
          <t>New Zealand Secondary School Swimming Championships</t>
        </is>
      </c>
      <c r="I2852" s="33" t="inlineStr">
        <is>
          <t>349742</t>
        </is>
      </c>
      <c r="J2852" s="33" t="n"/>
      <c r="K2852" s="33" t="inlineStr">
        <is>
          <t>TIM</t>
        </is>
      </c>
      <c r="L2852" s="35">
        <f>IF(K2852="FIN",3,IF(OR(K2852="SEM",K2852="SEMI"),2,IF(OR(K2852="PRE",K2852="HEAT"),1,IF(V2852="YES",4,2))))</f>
        <v/>
      </c>
      <c r="M2852" s="33" t="inlineStr">
        <is>
          <t>SCM</t>
        </is>
      </c>
      <c r="N2852" s="33" t="n">
        <v>100</v>
      </c>
      <c r="O2852" s="33" t="inlineStr">
        <is>
          <t>Back</t>
        </is>
      </c>
      <c r="P2852" s="33" t="inlineStr">
        <is>
          <t>100 Back</t>
        </is>
      </c>
      <c r="Q2852" s="33" t="inlineStr">
        <is>
          <t>SCM_100_BACK</t>
        </is>
      </c>
      <c r="R2852" s="36" t="n">
        <v>58.2</v>
      </c>
      <c r="S2852" s="35">
        <f>IF(R2852="","",IF(R2852&gt;=60,INT(R2852/60)&amp;":"&amp;TEXT(MOD(R2852,60),"00.00"),TEXT(R2852,"0.00")))</f>
        <v/>
      </c>
      <c r="T2852" s="52">
        <f>IFERROR((G2852-INDEX('01_Swimmers'!$E$5:$E$22,MATCH(B2852,'01_Swimmers'!$A$5:$A$22,0)))/'00_Control'!$B$10,"")</f>
        <v/>
      </c>
      <c r="U2852" s="35">
        <f>IF(T2852="","",INT(T2852))</f>
        <v/>
      </c>
      <c r="V2852" s="33" t="inlineStr">
        <is>
          <t>NO</t>
        </is>
      </c>
      <c r="W2852" s="33" t="inlineStr">
        <is>
          <t>YES</t>
        </is>
      </c>
      <c r="X2852" s="33" t="inlineStr">
        <is>
          <t>NO</t>
        </is>
      </c>
      <c r="Y2852" s="33" t="n">
        <v>11</v>
      </c>
      <c r="Z2852" s="33" t="n">
        <v>4</v>
      </c>
      <c r="AA2852" s="33" t="inlineStr">
        <is>
          <t>1</t>
        </is>
      </c>
      <c r="AB2852" s="33" t="inlineStr">
        <is>
          <t>https://www.swimcloud.com/results/349742/event/16/?id=159525622#time159525622</t>
        </is>
      </c>
      <c r="AC2852" s="33" t="inlineStr">
        <is>
          <t>SwimCloud all-event v8 2026-10-09</t>
        </is>
      </c>
      <c r="AD2852" s="33" t="inlineStr">
        <is>
          <t>Grayson Coulter|2025-07-25|SCM|100|Back|58.2|New Zealand Secondary School Swimming Championships|TIM|False</t>
        </is>
      </c>
      <c r="AE2852" s="53">
        <f>G2852+L2852/1000+ROW()/1000000000</f>
        <v/>
      </c>
      <c r="AF2852" s="35">
        <f>IF(C2852&lt;&gt;"Grayson Coulter","",COUNTIFS($C$5:$C$2991,"Grayson Coulter",$Q$5:$Q$2991,Q2852,$AE$5:$AE$2991,"&lt;="&amp;AE2852,$R$5:$R$2991,"&lt;"&amp;R2852))</f>
        <v/>
      </c>
      <c r="AG2852" s="35">
        <f>IF(OR(C2852&lt;&gt;"Grayson Coulter",G2852&lt;'00_Control'!$B$7),"",--(AF2852&lt;5))</f>
        <v/>
      </c>
      <c r="AH2852" s="35">
        <f>IF(OR(C2852&lt;&gt;"Grayson Coulter",G2852&lt;'00_Control'!$B$7),"",--(AF2852&lt;10))</f>
        <v/>
      </c>
      <c r="AI2852" s="35">
        <f>IF(AND(C2852="Grayson Coulter",G2852&gt;='00_Control'!$B$7),"YES","NO")</f>
        <v/>
      </c>
      <c r="AJ2852" s="33" t="inlineStr">
        <is>
          <t>OK</t>
        </is>
      </c>
    </row>
    <row r="2853">
      <c r="A2853" s="33" t="inlineStr">
        <is>
          <t>SM002849</t>
        </is>
      </c>
      <c r="B2853" s="33" t="inlineStr">
        <is>
          <t>SW001</t>
        </is>
      </c>
      <c r="C2853" s="33" t="inlineStr">
        <is>
          <t>Grayson Coulter</t>
        </is>
      </c>
      <c r="D2853" s="33" t="inlineStr">
        <is>
          <t>SwimCloud</t>
        </is>
      </c>
      <c r="E2853" s="33" t="inlineStr">
        <is>
          <t>3651023</t>
        </is>
      </c>
      <c r="F2853" s="33" t="inlineStr">
        <is>
          <t>159517694</t>
        </is>
      </c>
      <c r="G2853" s="51" t="n">
        <v>45921</v>
      </c>
      <c r="H2853" s="33" t="inlineStr">
        <is>
          <t>New Zealand Short Course Championships</t>
        </is>
      </c>
      <c r="I2853" s="33" t="inlineStr">
        <is>
          <t>355663</t>
        </is>
      </c>
      <c r="J2853" s="33" t="n"/>
      <c r="K2853" s="33" t="inlineStr">
        <is>
          <t>FIN</t>
        </is>
      </c>
      <c r="L2853" s="35">
        <f>IF(K2853="FIN",3,IF(OR(K2853="SEM",K2853="SEMI"),2,IF(OR(K2853="PRE",K2853="HEAT"),1,IF(V2853="YES",4,2))))</f>
        <v/>
      </c>
      <c r="M2853" s="33" t="inlineStr">
        <is>
          <t>SCM</t>
        </is>
      </c>
      <c r="N2853" s="33" t="n">
        <v>100</v>
      </c>
      <c r="O2853" s="33" t="inlineStr">
        <is>
          <t>IM</t>
        </is>
      </c>
      <c r="P2853" s="33" t="inlineStr">
        <is>
          <t>100 IM</t>
        </is>
      </c>
      <c r="Q2853" s="33" t="inlineStr">
        <is>
          <t>SCM_100_IM</t>
        </is>
      </c>
      <c r="R2853" s="36" t="n">
        <v>59.23</v>
      </c>
      <c r="S2853" s="35">
        <f>IF(R2853="","",IF(R2853&gt;=60,INT(R2853/60)&amp;":"&amp;TEXT(MOD(R2853,60),"00.00"),TEXT(R2853,"0.00")))</f>
        <v/>
      </c>
      <c r="T2853" s="52">
        <f>IFERROR((G2853-INDEX('01_Swimmers'!$E$5:$E$22,MATCH(B2853,'01_Swimmers'!$A$5:$A$22,0)))/'00_Control'!$B$10,"")</f>
        <v/>
      </c>
      <c r="U2853" s="35">
        <f>IF(T2853="","",INT(T2853))</f>
        <v/>
      </c>
      <c r="V2853" s="33" t="inlineStr">
        <is>
          <t>NO</t>
        </is>
      </c>
      <c r="W2853" s="33" t="inlineStr">
        <is>
          <t>YES</t>
        </is>
      </c>
      <c r="X2853" s="33" t="inlineStr">
        <is>
          <t>NO</t>
        </is>
      </c>
      <c r="Y2853" s="33" t="n">
        <v>2</v>
      </c>
      <c r="Z2853" s="33" t="n"/>
      <c r="AA2853" s="33" t="inlineStr">
        <is>
          <t>1</t>
        </is>
      </c>
      <c r="AB2853" s="33" t="inlineStr">
        <is>
          <t>https://www.swimcloud.com/results/355663/event/6/?id=159517694#time159517694</t>
        </is>
      </c>
      <c r="AC2853" s="33" t="inlineStr">
        <is>
          <t>SwimCloud all-event v8 2026-10-09</t>
        </is>
      </c>
      <c r="AD2853" s="33" t="inlineStr">
        <is>
          <t>Grayson Coulter|2025-09-21|SCM|100|IM|59.23|New Zealand Short Course Championships|FIN|False</t>
        </is>
      </c>
      <c r="AE2853" s="53">
        <f>G2853+L2853/1000+ROW()/1000000000</f>
        <v/>
      </c>
      <c r="AF2853" s="35">
        <f>IF(C2853&lt;&gt;"Grayson Coulter","",COUNTIFS($C$5:$C$2991,"Grayson Coulter",$Q$5:$Q$2991,Q2853,$AE$5:$AE$2991,"&lt;="&amp;AE2853,$R$5:$R$2991,"&lt;"&amp;R2853))</f>
        <v/>
      </c>
      <c r="AG2853" s="35">
        <f>IF(OR(C2853&lt;&gt;"Grayson Coulter",G2853&lt;'00_Control'!$B$7),"",--(AF2853&lt;5))</f>
        <v/>
      </c>
      <c r="AH2853" s="35">
        <f>IF(OR(C2853&lt;&gt;"Grayson Coulter",G2853&lt;'00_Control'!$B$7),"",--(AF2853&lt;10))</f>
        <v/>
      </c>
      <c r="AI2853" s="35">
        <f>IF(AND(C2853="Grayson Coulter",G2853&gt;='00_Control'!$B$7),"YES","NO")</f>
        <v/>
      </c>
      <c r="AJ2853" s="33" t="inlineStr">
        <is>
          <t>OK</t>
        </is>
      </c>
    </row>
    <row r="2854">
      <c r="A2854" s="33" t="inlineStr">
        <is>
          <t>SM002850</t>
        </is>
      </c>
      <c r="B2854" s="33" t="inlineStr">
        <is>
          <t>SW001</t>
        </is>
      </c>
      <c r="C2854" s="33" t="inlineStr">
        <is>
          <t>Grayson Coulter</t>
        </is>
      </c>
      <c r="D2854" s="33" t="inlineStr">
        <is>
          <t>SwimCloud</t>
        </is>
      </c>
      <c r="E2854" s="33" t="inlineStr">
        <is>
          <t>3651023</t>
        </is>
      </c>
      <c r="F2854" s="33" t="inlineStr">
        <is>
          <t>159517693</t>
        </is>
      </c>
      <c r="G2854" s="51" t="n">
        <v>45921</v>
      </c>
      <c r="H2854" s="33" t="inlineStr">
        <is>
          <t>New Zealand Short Course Championships</t>
        </is>
      </c>
      <c r="I2854" s="33" t="inlineStr">
        <is>
          <t>355663</t>
        </is>
      </c>
      <c r="J2854" s="33" t="n"/>
      <c r="K2854" s="33" t="inlineStr">
        <is>
          <t>PRE</t>
        </is>
      </c>
      <c r="L2854" s="35">
        <f>IF(K2854="FIN",3,IF(OR(K2854="SEM",K2854="SEMI"),2,IF(OR(K2854="PRE",K2854="HEAT"),1,IF(V2854="YES",4,2))))</f>
        <v/>
      </c>
      <c r="M2854" s="33" t="inlineStr">
        <is>
          <t>SCM</t>
        </is>
      </c>
      <c r="N2854" s="33" t="n">
        <v>100</v>
      </c>
      <c r="O2854" s="33" t="inlineStr">
        <is>
          <t>IM</t>
        </is>
      </c>
      <c r="P2854" s="33" t="inlineStr">
        <is>
          <t>100 IM</t>
        </is>
      </c>
      <c r="Q2854" s="33" t="inlineStr">
        <is>
          <t>SCM_100_IM</t>
        </is>
      </c>
      <c r="R2854" s="36" t="n">
        <v>58.42</v>
      </c>
      <c r="S2854" s="35">
        <f>IF(R2854="","",IF(R2854&gt;=60,INT(R2854/60)&amp;":"&amp;TEXT(MOD(R2854,60),"00.00"),TEXT(R2854,"0.00")))</f>
        <v/>
      </c>
      <c r="T2854" s="52">
        <f>IFERROR((G2854-INDEX('01_Swimmers'!$E$5:$E$22,MATCH(B2854,'01_Swimmers'!$A$5:$A$22,0)))/'00_Control'!$B$10,"")</f>
        <v/>
      </c>
      <c r="U2854" s="35">
        <f>IF(T2854="","",INT(T2854))</f>
        <v/>
      </c>
      <c r="V2854" s="33" t="inlineStr">
        <is>
          <t>NO</t>
        </is>
      </c>
      <c r="W2854" s="33" t="inlineStr">
        <is>
          <t>YES</t>
        </is>
      </c>
      <c r="X2854" s="33" t="inlineStr">
        <is>
          <t>NO</t>
        </is>
      </c>
      <c r="Y2854" s="33" t="n">
        <v>9</v>
      </c>
      <c r="Z2854" s="33" t="n">
        <v>4</v>
      </c>
      <c r="AA2854" s="33" t="inlineStr">
        <is>
          <t>1</t>
        </is>
      </c>
      <c r="AB2854" s="33" t="inlineStr">
        <is>
          <t>https://www.swimcloud.com/results/355663/event/6/?id=159517693#time159517693</t>
        </is>
      </c>
      <c r="AC2854" s="33" t="inlineStr">
        <is>
          <t>SwimCloud all-event v8 2026-10-09</t>
        </is>
      </c>
      <c r="AD2854" s="33" t="inlineStr">
        <is>
          <t>Grayson Coulter|2025-09-21|SCM|100|IM|58.42|New Zealand Short Course Championships|PRE|False</t>
        </is>
      </c>
      <c r="AE2854" s="53">
        <f>G2854+L2854/1000+ROW()/1000000000</f>
        <v/>
      </c>
      <c r="AF2854" s="35">
        <f>IF(C2854&lt;&gt;"Grayson Coulter","",COUNTIFS($C$5:$C$2991,"Grayson Coulter",$Q$5:$Q$2991,Q2854,$AE$5:$AE$2991,"&lt;="&amp;AE2854,$R$5:$R$2991,"&lt;"&amp;R2854))</f>
        <v/>
      </c>
      <c r="AG2854" s="35">
        <f>IF(OR(C2854&lt;&gt;"Grayson Coulter",G2854&lt;'00_Control'!$B$7),"",--(AF2854&lt;5))</f>
        <v/>
      </c>
      <c r="AH2854" s="35">
        <f>IF(OR(C2854&lt;&gt;"Grayson Coulter",G2854&lt;'00_Control'!$B$7),"",--(AF2854&lt;10))</f>
        <v/>
      </c>
      <c r="AI2854" s="35">
        <f>IF(AND(C2854="Grayson Coulter",G2854&gt;='00_Control'!$B$7),"YES","NO")</f>
        <v/>
      </c>
      <c r="AJ2854" s="33" t="inlineStr">
        <is>
          <t>OK</t>
        </is>
      </c>
    </row>
    <row r="2855">
      <c r="A2855" s="33" t="inlineStr">
        <is>
          <t>SM002851</t>
        </is>
      </c>
      <c r="B2855" s="33" t="inlineStr">
        <is>
          <t>SW001</t>
        </is>
      </c>
      <c r="C2855" s="33" t="inlineStr">
        <is>
          <t>Grayson Coulter</t>
        </is>
      </c>
      <c r="D2855" s="33" t="inlineStr">
        <is>
          <t>SwimCloud</t>
        </is>
      </c>
      <c r="E2855" s="33" t="inlineStr">
        <is>
          <t>3651023</t>
        </is>
      </c>
      <c r="F2855" s="33" t="inlineStr">
        <is>
          <t>159525621</t>
        </is>
      </c>
      <c r="G2855" s="51" t="n">
        <v>45863</v>
      </c>
      <c r="H2855" s="33" t="inlineStr">
        <is>
          <t>New Zealand Secondary School Swimming Championships</t>
        </is>
      </c>
      <c r="I2855" s="33" t="inlineStr">
        <is>
          <t>349742</t>
        </is>
      </c>
      <c r="J2855" s="33" t="n"/>
      <c r="K2855" s="33" t="inlineStr">
        <is>
          <t>TIM</t>
        </is>
      </c>
      <c r="L2855" s="35">
        <f>IF(K2855="FIN",3,IF(OR(K2855="SEM",K2855="SEMI"),2,IF(OR(K2855="PRE",K2855="HEAT"),1,IF(V2855="YES",4,2))))</f>
        <v/>
      </c>
      <c r="M2855" s="33" t="inlineStr">
        <is>
          <t>SCM</t>
        </is>
      </c>
      <c r="N2855" s="33" t="n">
        <v>100</v>
      </c>
      <c r="O2855" s="33" t="inlineStr">
        <is>
          <t>IM</t>
        </is>
      </c>
      <c r="P2855" s="33" t="inlineStr">
        <is>
          <t>100 IM</t>
        </is>
      </c>
      <c r="Q2855" s="33" t="inlineStr">
        <is>
          <t>SCM_100_IM</t>
        </is>
      </c>
      <c r="R2855" s="36" t="n">
        <v>59.38</v>
      </c>
      <c r="S2855" s="35">
        <f>IF(R2855="","",IF(R2855&gt;=60,INT(R2855/60)&amp;":"&amp;TEXT(MOD(R2855,60),"00.00"),TEXT(R2855,"0.00")))</f>
        <v/>
      </c>
      <c r="T2855" s="52">
        <f>IFERROR((G2855-INDEX('01_Swimmers'!$E$5:$E$22,MATCH(B2855,'01_Swimmers'!$A$5:$A$22,0)))/'00_Control'!$B$10,"")</f>
        <v/>
      </c>
      <c r="U2855" s="35">
        <f>IF(T2855="","",INT(T2855))</f>
        <v/>
      </c>
      <c r="V2855" s="33" t="inlineStr">
        <is>
          <t>NO</t>
        </is>
      </c>
      <c r="W2855" s="33" t="inlineStr">
        <is>
          <t>YES</t>
        </is>
      </c>
      <c r="X2855" s="33" t="inlineStr">
        <is>
          <t>NO</t>
        </is>
      </c>
      <c r="Y2855" s="33" t="n">
        <v>14</v>
      </c>
      <c r="Z2855" s="33" t="n">
        <v>4</v>
      </c>
      <c r="AA2855" s="33" t="inlineStr">
        <is>
          <t>1</t>
        </is>
      </c>
      <c r="AB2855" s="33" t="inlineStr">
        <is>
          <t>https://www.swimcloud.com/results/349742/event/12/?id=159525621#time159525621</t>
        </is>
      </c>
      <c r="AC2855" s="33" t="inlineStr">
        <is>
          <t>SwimCloud all-event v8 2026-10-09</t>
        </is>
      </c>
      <c r="AD2855" s="33" t="inlineStr">
        <is>
          <t>Grayson Coulter|2025-07-25|SCM|100|IM|59.38|New Zealand Secondary School Swimming Championships|TIM|False</t>
        </is>
      </c>
      <c r="AE2855" s="53">
        <f>G2855+L2855/1000+ROW()/1000000000</f>
        <v/>
      </c>
      <c r="AF2855" s="35">
        <f>IF(C2855&lt;&gt;"Grayson Coulter","",COUNTIFS($C$5:$C$2991,"Grayson Coulter",$Q$5:$Q$2991,Q2855,$AE$5:$AE$2991,"&lt;="&amp;AE2855,$R$5:$R$2991,"&lt;"&amp;R2855))</f>
        <v/>
      </c>
      <c r="AG2855" s="35">
        <f>IF(OR(C2855&lt;&gt;"Grayson Coulter",G2855&lt;'00_Control'!$B$7),"",--(AF2855&lt;5))</f>
        <v/>
      </c>
      <c r="AH2855" s="35">
        <f>IF(OR(C2855&lt;&gt;"Grayson Coulter",G2855&lt;'00_Control'!$B$7),"",--(AF2855&lt;10))</f>
        <v/>
      </c>
      <c r="AI2855" s="35">
        <f>IF(AND(C2855="Grayson Coulter",G2855&gt;='00_Control'!$B$7),"YES","NO")</f>
        <v/>
      </c>
      <c r="AJ2855" s="33" t="inlineStr">
        <is>
          <t>OK</t>
        </is>
      </c>
    </row>
    <row r="2856">
      <c r="A2856" s="33" t="inlineStr">
        <is>
          <t>SM002852</t>
        </is>
      </c>
      <c r="B2856" s="33" t="inlineStr">
        <is>
          <t>SW001</t>
        </is>
      </c>
      <c r="C2856" s="33" t="inlineStr">
        <is>
          <t>Grayson Coulter</t>
        </is>
      </c>
      <c r="D2856" s="33" t="inlineStr">
        <is>
          <t>SwimCloud</t>
        </is>
      </c>
      <c r="E2856" s="33" t="inlineStr">
        <is>
          <t>3651023</t>
        </is>
      </c>
      <c r="F2856" s="33" t="inlineStr">
        <is>
          <t>137772059</t>
        </is>
      </c>
      <c r="G2856" s="51" t="n">
        <v>45543</v>
      </c>
      <c r="H2856" s="33" t="inlineStr">
        <is>
          <t>Zespri AIMS Games - Kauh</t>
        </is>
      </c>
      <c r="I2856" s="33" t="inlineStr">
        <is>
          <t>323338</t>
        </is>
      </c>
      <c r="J2856" s="33" t="n"/>
      <c r="K2856" s="33" t="inlineStr">
        <is>
          <t>TIM</t>
        </is>
      </c>
      <c r="L2856" s="35">
        <f>IF(K2856="FIN",3,IF(OR(K2856="SEM",K2856="SEMI"),2,IF(OR(K2856="PRE",K2856="HEAT"),1,IF(V2856="YES",4,2))))</f>
        <v/>
      </c>
      <c r="M2856" s="33" t="inlineStr">
        <is>
          <t>SCM</t>
        </is>
      </c>
      <c r="N2856" s="33" t="n">
        <v>100</v>
      </c>
      <c r="O2856" s="33" t="inlineStr">
        <is>
          <t>IM</t>
        </is>
      </c>
      <c r="P2856" s="33" t="inlineStr">
        <is>
          <t>100 IM</t>
        </is>
      </c>
      <c r="Q2856" s="33" t="inlineStr">
        <is>
          <t>SCM_100_IM</t>
        </is>
      </c>
      <c r="R2856" s="36" t="n">
        <v>60.7</v>
      </c>
      <c r="S2856" s="35">
        <f>IF(R2856="","",IF(R2856&gt;=60,INT(R2856/60)&amp;":"&amp;TEXT(MOD(R2856,60),"00.00"),TEXT(R2856,"0.00")))</f>
        <v/>
      </c>
      <c r="T2856" s="52">
        <f>IFERROR((G2856-INDEX('01_Swimmers'!$E$5:$E$22,MATCH(B2856,'01_Swimmers'!$A$5:$A$22,0)))/'00_Control'!$B$10,"")</f>
        <v/>
      </c>
      <c r="U2856" s="35">
        <f>IF(T2856="","",INT(T2856))</f>
        <v/>
      </c>
      <c r="V2856" s="33" t="inlineStr">
        <is>
          <t>NO</t>
        </is>
      </c>
      <c r="W2856" s="33" t="inlineStr">
        <is>
          <t>YES</t>
        </is>
      </c>
      <c r="X2856" s="33" t="inlineStr">
        <is>
          <t>NO</t>
        </is>
      </c>
      <c r="Y2856" s="33" t="n">
        <v>8</v>
      </c>
      <c r="Z2856" s="33" t="n">
        <v>5</v>
      </c>
      <c r="AA2856" s="33" t="inlineStr">
        <is>
          <t>1</t>
        </is>
      </c>
      <c r="AB2856" s="33" t="inlineStr">
        <is>
          <t>https://www.swimcloud.com/results/323338/event/6/?id=137772059#time137772059</t>
        </is>
      </c>
      <c r="AC2856" s="33" t="inlineStr">
        <is>
          <t>SwimCloud all-event v8 2026-10-09</t>
        </is>
      </c>
      <c r="AD2856" s="33" t="inlineStr">
        <is>
          <t>Grayson Coulter|2024-09-08|SCM|100|IM|60.7|Zespri AIMS Games - Kauh|TIM|False</t>
        </is>
      </c>
      <c r="AE2856" s="53">
        <f>G2856+L2856/1000+ROW()/1000000000</f>
        <v/>
      </c>
      <c r="AF2856" s="35">
        <f>IF(C2856&lt;&gt;"Grayson Coulter","",COUNTIFS($C$5:$C$2991,"Grayson Coulter",$Q$5:$Q$2991,Q2856,$AE$5:$AE$2991,"&lt;="&amp;AE2856,$R$5:$R$2991,"&lt;"&amp;R2856))</f>
        <v/>
      </c>
      <c r="AG2856" s="35">
        <f>IF(OR(C2856&lt;&gt;"Grayson Coulter",G2856&lt;'00_Control'!$B$7),"",--(AF2856&lt;5))</f>
        <v/>
      </c>
      <c r="AH2856" s="35">
        <f>IF(OR(C2856&lt;&gt;"Grayson Coulter",G2856&lt;'00_Control'!$B$7),"",--(AF2856&lt;10))</f>
        <v/>
      </c>
      <c r="AI2856" s="35">
        <f>IF(AND(C2856="Grayson Coulter",G2856&gt;='00_Control'!$B$7),"YES","NO")</f>
        <v/>
      </c>
      <c r="AJ2856" s="33" t="inlineStr">
        <is>
          <t>OK</t>
        </is>
      </c>
    </row>
    <row r="2857">
      <c r="A2857" s="33" t="inlineStr">
        <is>
          <t>SM002853</t>
        </is>
      </c>
      <c r="B2857" s="33" t="inlineStr">
        <is>
          <t>SW001</t>
        </is>
      </c>
      <c r="C2857" s="33" t="inlineStr">
        <is>
          <t>Grayson Coulter</t>
        </is>
      </c>
      <c r="D2857" s="33" t="inlineStr">
        <is>
          <t>SwimCloud</t>
        </is>
      </c>
      <c r="E2857" s="33" t="inlineStr">
        <is>
          <t>3651023</t>
        </is>
      </c>
      <c r="F2857" s="33" t="inlineStr">
        <is>
          <t>124995288</t>
        </is>
      </c>
      <c r="G2857" s="51" t="n">
        <v>45234</v>
      </c>
      <c r="H2857" s="33" t="inlineStr">
        <is>
          <t>2023 NZ Junior Festival - Harlequins</t>
        </is>
      </c>
      <c r="I2857" s="33" t="inlineStr">
        <is>
          <t>302562</t>
        </is>
      </c>
      <c r="J2857" s="33" t="n"/>
      <c r="K2857" s="33" t="inlineStr">
        <is>
          <t>TIM</t>
        </is>
      </c>
      <c r="L2857" s="35">
        <f>IF(K2857="FIN",3,IF(OR(K2857="SEM",K2857="SEMI"),2,IF(OR(K2857="PRE",K2857="HEAT"),1,IF(V2857="YES",4,2))))</f>
        <v/>
      </c>
      <c r="M2857" s="33" t="inlineStr">
        <is>
          <t>SCM</t>
        </is>
      </c>
      <c r="N2857" s="33" t="n">
        <v>100</v>
      </c>
      <c r="O2857" s="33" t="inlineStr">
        <is>
          <t>IM</t>
        </is>
      </c>
      <c r="P2857" s="33" t="inlineStr">
        <is>
          <t>100 IM</t>
        </is>
      </c>
      <c r="Q2857" s="33" t="inlineStr">
        <is>
          <t>SCM_100_IM</t>
        </is>
      </c>
      <c r="R2857" s="36" t="n">
        <v>65.61</v>
      </c>
      <c r="S2857" s="35">
        <f>IF(R2857="","",IF(R2857&gt;=60,INT(R2857/60)&amp;":"&amp;TEXT(MOD(R2857,60),"00.00"),TEXT(R2857,"0.00")))</f>
        <v/>
      </c>
      <c r="T2857" s="52">
        <f>IFERROR((G2857-INDEX('01_Swimmers'!$E$5:$E$22,MATCH(B2857,'01_Swimmers'!$A$5:$A$22,0)))/'00_Control'!$B$10,"")</f>
        <v/>
      </c>
      <c r="U2857" s="35">
        <f>IF(T2857="","",INT(T2857))</f>
        <v/>
      </c>
      <c r="V2857" s="33" t="inlineStr">
        <is>
          <t>NO</t>
        </is>
      </c>
      <c r="W2857" s="33" t="inlineStr">
        <is>
          <t>YES</t>
        </is>
      </c>
      <c r="X2857" s="33" t="inlineStr">
        <is>
          <t>NO</t>
        </is>
      </c>
      <c r="Y2857" s="33" t="n">
        <v>4</v>
      </c>
      <c r="Z2857" s="33" t="n">
        <v>4</v>
      </c>
      <c r="AA2857" s="33" t="inlineStr">
        <is>
          <t>1</t>
        </is>
      </c>
      <c r="AB2857" s="33" t="inlineStr">
        <is>
          <t>https://www.swimcloud.com/results/302562/event/31/?id=124995288#time124995288</t>
        </is>
      </c>
      <c r="AC2857" s="33" t="inlineStr">
        <is>
          <t>SwimCloud all-event v8 2026-10-09</t>
        </is>
      </c>
      <c r="AD2857" s="33" t="inlineStr">
        <is>
          <t>Grayson Coulter|2023-11-04|SCM|100|IM|65.61|2023 NZ Junior Festival - Harlequins|TIM|False</t>
        </is>
      </c>
      <c r="AE2857" s="53">
        <f>G2857+L2857/1000+ROW()/1000000000</f>
        <v/>
      </c>
      <c r="AF2857" s="35">
        <f>IF(C2857&lt;&gt;"Grayson Coulter","",COUNTIFS($C$5:$C$2991,"Grayson Coulter",$Q$5:$Q$2991,Q2857,$AE$5:$AE$2991,"&lt;="&amp;AE2857,$R$5:$R$2991,"&lt;"&amp;R2857))</f>
        <v/>
      </c>
      <c r="AG2857" s="35">
        <f>IF(OR(C2857&lt;&gt;"Grayson Coulter",G2857&lt;'00_Control'!$B$7),"",--(AF2857&lt;5))</f>
        <v/>
      </c>
      <c r="AH2857" s="35">
        <f>IF(OR(C2857&lt;&gt;"Grayson Coulter",G2857&lt;'00_Control'!$B$7),"",--(AF2857&lt;10))</f>
        <v/>
      </c>
      <c r="AI2857" s="35">
        <f>IF(AND(C2857="Grayson Coulter",G2857&gt;='00_Control'!$B$7),"YES","NO")</f>
        <v/>
      </c>
      <c r="AJ2857" s="33" t="inlineStr">
        <is>
          <t>OK</t>
        </is>
      </c>
    </row>
    <row r="2858">
      <c r="A2858" s="33" t="inlineStr">
        <is>
          <t>SM002854</t>
        </is>
      </c>
      <c r="B2858" s="33" t="inlineStr">
        <is>
          <t>SW001</t>
        </is>
      </c>
      <c r="C2858" s="33" t="inlineStr">
        <is>
          <t>Grayson Coulter</t>
        </is>
      </c>
      <c r="D2858" s="33" t="inlineStr">
        <is>
          <t>SwimCloud</t>
        </is>
      </c>
      <c r="E2858" s="33" t="inlineStr">
        <is>
          <t>3651023</t>
        </is>
      </c>
      <c r="F2858" s="33" t="inlineStr">
        <is>
          <t>125063568</t>
        </is>
      </c>
      <c r="G2858" s="51" t="n">
        <v>45113</v>
      </c>
      <c r="H2858" s="33" t="inlineStr">
        <is>
          <t>2023 ASA Short Course Champs</t>
        </is>
      </c>
      <c r="I2858" s="33" t="inlineStr">
        <is>
          <t>302669</t>
        </is>
      </c>
      <c r="J2858" s="33" t="n"/>
      <c r="K2858" s="33" t="inlineStr">
        <is>
          <t>TIM</t>
        </is>
      </c>
      <c r="L2858" s="35">
        <f>IF(K2858="FIN",3,IF(OR(K2858="SEM",K2858="SEMI"),2,IF(OR(K2858="PRE",K2858="HEAT"),1,IF(V2858="YES",4,2))))</f>
        <v/>
      </c>
      <c r="M2858" s="33" t="inlineStr">
        <is>
          <t>SCM</t>
        </is>
      </c>
      <c r="N2858" s="33" t="n">
        <v>100</v>
      </c>
      <c r="O2858" s="33" t="inlineStr">
        <is>
          <t>IM</t>
        </is>
      </c>
      <c r="P2858" s="33" t="inlineStr">
        <is>
          <t>100 IM</t>
        </is>
      </c>
      <c r="Q2858" s="33" t="inlineStr">
        <is>
          <t>SCM_100_IM</t>
        </is>
      </c>
      <c r="R2858" s="36" t="n">
        <v>67.79000000000001</v>
      </c>
      <c r="S2858" s="35">
        <f>IF(R2858="","",IF(R2858&gt;=60,INT(R2858/60)&amp;":"&amp;TEXT(MOD(R2858,60),"00.00"),TEXT(R2858,"0.00")))</f>
        <v/>
      </c>
      <c r="T2858" s="52">
        <f>IFERROR((G2858-INDEX('01_Swimmers'!$E$5:$E$22,MATCH(B2858,'01_Swimmers'!$A$5:$A$22,0)))/'00_Control'!$B$10,"")</f>
        <v/>
      </c>
      <c r="U2858" s="35">
        <f>IF(T2858="","",INT(T2858))</f>
        <v/>
      </c>
      <c r="V2858" s="33" t="inlineStr">
        <is>
          <t>NO</t>
        </is>
      </c>
      <c r="W2858" s="33" t="inlineStr">
        <is>
          <t>YES</t>
        </is>
      </c>
      <c r="X2858" s="33" t="inlineStr">
        <is>
          <t>NO</t>
        </is>
      </c>
      <c r="Y2858" s="33" t="n">
        <v>4</v>
      </c>
      <c r="Z2858" s="33" t="n">
        <v>4</v>
      </c>
      <c r="AA2858" s="33" t="inlineStr">
        <is>
          <t>1</t>
        </is>
      </c>
      <c r="AB2858" s="33" t="inlineStr">
        <is>
          <t>https://www.swimcloud.com/results/302669/event/102/?id=125063568#time125063568</t>
        </is>
      </c>
      <c r="AC2858" s="33" t="inlineStr">
        <is>
          <t>SwimCloud all-event v8 2026-10-09</t>
        </is>
      </c>
      <c r="AD2858" s="33" t="inlineStr">
        <is>
          <t>Grayson Coulter|2023-07-06|SCM|100|IM|67.79|2023 ASA Short Course Champs|TIM|False</t>
        </is>
      </c>
      <c r="AE2858" s="53">
        <f>G2858+L2858/1000+ROW()/1000000000</f>
        <v/>
      </c>
      <c r="AF2858" s="35">
        <f>IF(C2858&lt;&gt;"Grayson Coulter","",COUNTIFS($C$5:$C$2991,"Grayson Coulter",$Q$5:$Q$2991,Q2858,$AE$5:$AE$2991,"&lt;="&amp;AE2858,$R$5:$R$2991,"&lt;"&amp;R2858))</f>
        <v/>
      </c>
      <c r="AG2858" s="35">
        <f>IF(OR(C2858&lt;&gt;"Grayson Coulter",G2858&lt;'00_Control'!$B$7),"",--(AF2858&lt;5))</f>
        <v/>
      </c>
      <c r="AH2858" s="35">
        <f>IF(OR(C2858&lt;&gt;"Grayson Coulter",G2858&lt;'00_Control'!$B$7),"",--(AF2858&lt;10))</f>
        <v/>
      </c>
      <c r="AI2858" s="35">
        <f>IF(AND(C2858="Grayson Coulter",G2858&gt;='00_Control'!$B$7),"YES","NO")</f>
        <v/>
      </c>
      <c r="AJ2858" s="33" t="inlineStr">
        <is>
          <t>OK</t>
        </is>
      </c>
    </row>
    <row r="2859">
      <c r="A2859" s="33" t="inlineStr">
        <is>
          <t>SM002855</t>
        </is>
      </c>
      <c r="B2859" s="33" t="inlineStr">
        <is>
          <t>SW001</t>
        </is>
      </c>
      <c r="C2859" s="33" t="inlineStr">
        <is>
          <t>Grayson Coulter</t>
        </is>
      </c>
      <c r="D2859" s="33" t="inlineStr">
        <is>
          <t>SwimCloud</t>
        </is>
      </c>
      <c r="E2859" s="33" t="inlineStr">
        <is>
          <t>3651023</t>
        </is>
      </c>
      <c r="F2859" s="33" t="inlineStr">
        <is>
          <t>125060788</t>
        </is>
      </c>
      <c r="G2859" s="51" t="n">
        <v>45074</v>
      </c>
      <c r="H2859" s="33" t="inlineStr">
        <is>
          <t>Waitakere Swimming Club Winter Meet 12U</t>
        </is>
      </c>
      <c r="I2859" s="33" t="inlineStr">
        <is>
          <t>302667</t>
        </is>
      </c>
      <c r="J2859" s="33" t="n"/>
      <c r="K2859" s="33" t="inlineStr">
        <is>
          <t>TIM</t>
        </is>
      </c>
      <c r="L2859" s="35">
        <f>IF(K2859="FIN",3,IF(OR(K2859="SEM",K2859="SEMI"),2,IF(OR(K2859="PRE",K2859="HEAT"),1,IF(V2859="YES",4,2))))</f>
        <v/>
      </c>
      <c r="M2859" s="33" t="inlineStr">
        <is>
          <t>SCM</t>
        </is>
      </c>
      <c r="N2859" s="33" t="n">
        <v>100</v>
      </c>
      <c r="O2859" s="33" t="inlineStr">
        <is>
          <t>IM</t>
        </is>
      </c>
      <c r="P2859" s="33" t="inlineStr">
        <is>
          <t>100 IM</t>
        </is>
      </c>
      <c r="Q2859" s="33" t="inlineStr">
        <is>
          <t>SCM_100_IM</t>
        </is>
      </c>
      <c r="R2859" s="36" t="n">
        <v>67.58</v>
      </c>
      <c r="S2859" s="35">
        <f>IF(R2859="","",IF(R2859&gt;=60,INT(R2859/60)&amp;":"&amp;TEXT(MOD(R2859,60),"00.00"),TEXT(R2859,"0.00")))</f>
        <v/>
      </c>
      <c r="T2859" s="52">
        <f>IFERROR((G2859-INDEX('01_Swimmers'!$E$5:$E$22,MATCH(B2859,'01_Swimmers'!$A$5:$A$22,0)))/'00_Control'!$B$10,"")</f>
        <v/>
      </c>
      <c r="U2859" s="35">
        <f>IF(T2859="","",INT(T2859))</f>
        <v/>
      </c>
      <c r="V2859" s="33" t="inlineStr">
        <is>
          <t>NO</t>
        </is>
      </c>
      <c r="W2859" s="33" t="inlineStr">
        <is>
          <t>YES</t>
        </is>
      </c>
      <c r="X2859" s="33" t="inlineStr">
        <is>
          <t>NO</t>
        </is>
      </c>
      <c r="Y2859" s="33" t="n">
        <v>19</v>
      </c>
      <c r="Z2859" s="33" t="n">
        <v>4</v>
      </c>
      <c r="AA2859" s="33" t="inlineStr">
        <is>
          <t>1</t>
        </is>
      </c>
      <c r="AB2859" s="33" t="inlineStr">
        <is>
          <t>https://www.swimcloud.com/results/302667/event/13/?id=125060788#time125060788</t>
        </is>
      </c>
      <c r="AC2859" s="33" t="inlineStr">
        <is>
          <t>SwimCloud all-event v8 2026-10-09</t>
        </is>
      </c>
      <c r="AD2859" s="33" t="inlineStr">
        <is>
          <t>Grayson Coulter|2023-05-28|SCM|100|IM|67.58|Waitakere Swimming Club Winter Meet 12U|TIM|False</t>
        </is>
      </c>
      <c r="AE2859" s="53">
        <f>G2859+L2859/1000+ROW()/1000000000</f>
        <v/>
      </c>
      <c r="AF2859" s="35">
        <f>IF(C2859&lt;&gt;"Grayson Coulter","",COUNTIFS($C$5:$C$2991,"Grayson Coulter",$Q$5:$Q$2991,Q2859,$AE$5:$AE$2991,"&lt;="&amp;AE2859,$R$5:$R$2991,"&lt;"&amp;R2859))</f>
        <v/>
      </c>
      <c r="AG2859" s="35">
        <f>IF(OR(C2859&lt;&gt;"Grayson Coulter",G2859&lt;'00_Control'!$B$7),"",--(AF2859&lt;5))</f>
        <v/>
      </c>
      <c r="AH2859" s="35">
        <f>IF(OR(C2859&lt;&gt;"Grayson Coulter",G2859&lt;'00_Control'!$B$7),"",--(AF2859&lt;10))</f>
        <v/>
      </c>
      <c r="AI2859" s="35">
        <f>IF(AND(C2859="Grayson Coulter",G2859&gt;='00_Control'!$B$7),"YES","NO")</f>
        <v/>
      </c>
      <c r="AJ2859" s="33" t="inlineStr">
        <is>
          <t>OK</t>
        </is>
      </c>
    </row>
    <row r="2860">
      <c r="A2860" s="33" t="inlineStr">
        <is>
          <t>SM002856</t>
        </is>
      </c>
      <c r="B2860" s="33" t="inlineStr">
        <is>
          <t>SW001</t>
        </is>
      </c>
      <c r="C2860" s="33" t="inlineStr">
        <is>
          <t>Grayson Coulter</t>
        </is>
      </c>
      <c r="D2860" s="33" t="inlineStr">
        <is>
          <t>SwimCloud</t>
        </is>
      </c>
      <c r="E2860" s="33" t="inlineStr">
        <is>
          <t>3651023</t>
        </is>
      </c>
      <c r="F2860" s="33" t="inlineStr">
        <is>
          <t>125055824</t>
        </is>
      </c>
      <c r="G2860" s="51" t="n">
        <v>45011</v>
      </c>
      <c r="H2860" s="33" t="inlineStr">
        <is>
          <t>2023 ASA Juniors</t>
        </is>
      </c>
      <c r="I2860" s="33" t="inlineStr">
        <is>
          <t>302652</t>
        </is>
      </c>
      <c r="J2860" s="33" t="n"/>
      <c r="K2860" s="33" t="inlineStr">
        <is>
          <t>TIM</t>
        </is>
      </c>
      <c r="L2860" s="35">
        <f>IF(K2860="FIN",3,IF(OR(K2860="SEM",K2860="SEMI"),2,IF(OR(K2860="PRE",K2860="HEAT"),1,IF(V2860="YES",4,2))))</f>
        <v/>
      </c>
      <c r="M2860" s="33" t="inlineStr">
        <is>
          <t>SCM</t>
        </is>
      </c>
      <c r="N2860" s="33" t="n">
        <v>100</v>
      </c>
      <c r="O2860" s="33" t="inlineStr">
        <is>
          <t>IM</t>
        </is>
      </c>
      <c r="P2860" s="33" t="inlineStr">
        <is>
          <t>100 IM</t>
        </is>
      </c>
      <c r="Q2860" s="33" t="inlineStr">
        <is>
          <t>SCM_100_IM</t>
        </is>
      </c>
      <c r="R2860" s="36" t="n">
        <v>70.31</v>
      </c>
      <c r="S2860" s="35">
        <f>IF(R2860="","",IF(R2860&gt;=60,INT(R2860/60)&amp;":"&amp;TEXT(MOD(R2860,60),"00.00"),TEXT(R2860,"0.00")))</f>
        <v/>
      </c>
      <c r="T2860" s="52">
        <f>IFERROR((G2860-INDEX('01_Swimmers'!$E$5:$E$22,MATCH(B2860,'01_Swimmers'!$A$5:$A$22,0)))/'00_Control'!$B$10,"")</f>
        <v/>
      </c>
      <c r="U2860" s="35">
        <f>IF(T2860="","",INT(T2860))</f>
        <v/>
      </c>
      <c r="V2860" s="33" t="inlineStr">
        <is>
          <t>NO</t>
        </is>
      </c>
      <c r="W2860" s="33" t="inlineStr">
        <is>
          <t>YES</t>
        </is>
      </c>
      <c r="X2860" s="33" t="inlineStr">
        <is>
          <t>NO</t>
        </is>
      </c>
      <c r="Y2860" s="33" t="n">
        <v>11</v>
      </c>
      <c r="Z2860" s="33" t="n">
        <v>5</v>
      </c>
      <c r="AA2860" s="33" t="inlineStr">
        <is>
          <t>1</t>
        </is>
      </c>
      <c r="AB2860" s="33" t="inlineStr">
        <is>
          <t>https://www.swimcloud.com/results/302652/event/21/?id=125055824#time125055824</t>
        </is>
      </c>
      <c r="AC2860" s="33" t="inlineStr">
        <is>
          <t>SwimCloud all-event v8 2026-10-09</t>
        </is>
      </c>
      <c r="AD2860" s="33" t="inlineStr">
        <is>
          <t>Grayson Coulter|2023-03-26|SCM|100|IM|70.31|2023 ASA Juniors|TIM|False</t>
        </is>
      </c>
      <c r="AE2860" s="53">
        <f>G2860+L2860/1000+ROW()/1000000000</f>
        <v/>
      </c>
      <c r="AF2860" s="35">
        <f>IF(C2860&lt;&gt;"Grayson Coulter","",COUNTIFS($C$5:$C$2991,"Grayson Coulter",$Q$5:$Q$2991,Q2860,$AE$5:$AE$2991,"&lt;="&amp;AE2860,$R$5:$R$2991,"&lt;"&amp;R2860))</f>
        <v/>
      </c>
      <c r="AG2860" s="35">
        <f>IF(OR(C2860&lt;&gt;"Grayson Coulter",G2860&lt;'00_Control'!$B$7),"",--(AF2860&lt;5))</f>
        <v/>
      </c>
      <c r="AH2860" s="35">
        <f>IF(OR(C2860&lt;&gt;"Grayson Coulter",G2860&lt;'00_Control'!$B$7),"",--(AF2860&lt;10))</f>
        <v/>
      </c>
      <c r="AI2860" s="35">
        <f>IF(AND(C2860="Grayson Coulter",G2860&gt;='00_Control'!$B$7),"YES","NO")</f>
        <v/>
      </c>
      <c r="AJ2860" s="33" t="inlineStr">
        <is>
          <t>OK</t>
        </is>
      </c>
    </row>
    <row r="2861">
      <c r="A2861" s="33" t="inlineStr">
        <is>
          <t>SM002857</t>
        </is>
      </c>
      <c r="B2861" s="33" t="inlineStr">
        <is>
          <t>SW001</t>
        </is>
      </c>
      <c r="C2861" s="33" t="inlineStr">
        <is>
          <t>Grayson Coulter</t>
        </is>
      </c>
      <c r="D2861" s="33" t="inlineStr">
        <is>
          <t>SwimCloud</t>
        </is>
      </c>
      <c r="E2861" s="33" t="inlineStr">
        <is>
          <t>3651023</t>
        </is>
      </c>
      <c r="F2861" s="33" t="inlineStr">
        <is>
          <t>175679348</t>
        </is>
      </c>
      <c r="G2861" s="51" t="n">
        <v>46095</v>
      </c>
      <c r="H2861" s="33" t="inlineStr">
        <is>
          <t>ASA Age Groups &amp; Open Championships</t>
        </is>
      </c>
      <c r="I2861" s="33" t="inlineStr">
        <is>
          <t>372749</t>
        </is>
      </c>
      <c r="J2861" s="33" t="n"/>
      <c r="K2861" s="33" t="inlineStr">
        <is>
          <t>PRE</t>
        </is>
      </c>
      <c r="L2861" s="35">
        <f>IF(K2861="FIN",3,IF(OR(K2861="SEM",K2861="SEMI"),2,IF(OR(K2861="PRE",K2861="HEAT"),1,IF(V2861="YES",4,2))))</f>
        <v/>
      </c>
      <c r="M2861" s="33" t="inlineStr">
        <is>
          <t>LCM</t>
        </is>
      </c>
      <c r="N2861" s="33" t="n">
        <v>200</v>
      </c>
      <c r="O2861" s="33" t="inlineStr">
        <is>
          <t>IM</t>
        </is>
      </c>
      <c r="P2861" s="33" t="inlineStr">
        <is>
          <t>200 IM</t>
        </is>
      </c>
      <c r="Q2861" s="33" t="inlineStr">
        <is>
          <t>LCM_200_IM</t>
        </is>
      </c>
      <c r="R2861" s="36" t="n">
        <v>139</v>
      </c>
      <c r="S2861" s="35">
        <f>IF(R2861="","",IF(R2861&gt;=60,INT(R2861/60)&amp;":"&amp;TEXT(MOD(R2861,60),"00.00"),TEXT(R2861,"0.00")))</f>
        <v/>
      </c>
      <c r="T2861" s="52">
        <f>IFERROR((G2861-INDEX('01_Swimmers'!$E$5:$E$22,MATCH(B2861,'01_Swimmers'!$A$5:$A$22,0)))/'00_Control'!$B$10,"")</f>
        <v/>
      </c>
      <c r="U2861" s="35">
        <f>IF(T2861="","",INT(T2861))</f>
        <v/>
      </c>
      <c r="V2861" s="33" t="inlineStr">
        <is>
          <t>NO</t>
        </is>
      </c>
      <c r="W2861" s="33" t="inlineStr">
        <is>
          <t>YES</t>
        </is>
      </c>
      <c r="X2861" s="33" t="inlineStr">
        <is>
          <t>NO</t>
        </is>
      </c>
      <c r="Y2861" s="33" t="n">
        <v>6</v>
      </c>
      <c r="Z2861" s="33" t="n">
        <v>5</v>
      </c>
      <c r="AA2861" s="33" t="inlineStr">
        <is>
          <t>6</t>
        </is>
      </c>
      <c r="AB2861" s="33" t="inlineStr">
        <is>
          <t>https://www.swimcloud.com/results/372749/event/16/?id=175679348#time175679348</t>
        </is>
      </c>
      <c r="AC2861" s="33" t="inlineStr">
        <is>
          <t>SwimCloud all-event v8 2026-10-09</t>
        </is>
      </c>
      <c r="AD2861" s="33" t="inlineStr">
        <is>
          <t>Grayson Coulter|2026-03-14|LCM|200|IM|139|ASA Age Groups &amp; Open Championships|PRE|False</t>
        </is>
      </c>
      <c r="AE2861" s="53">
        <f>G2861+L2861/1000+ROW()/1000000000</f>
        <v/>
      </c>
      <c r="AF2861" s="35">
        <f>IF(C2861&lt;&gt;"Grayson Coulter","",COUNTIFS($C$5:$C$2991,"Grayson Coulter",$Q$5:$Q$2991,Q2861,$AE$5:$AE$2991,"&lt;="&amp;AE2861,$R$5:$R$2991,"&lt;"&amp;R2861))</f>
        <v/>
      </c>
      <c r="AG2861" s="35">
        <f>IF(OR(C2861&lt;&gt;"Grayson Coulter",G2861&lt;'00_Control'!$B$7),"",--(AF2861&lt;5))</f>
        <v/>
      </c>
      <c r="AH2861" s="35">
        <f>IF(OR(C2861&lt;&gt;"Grayson Coulter",G2861&lt;'00_Control'!$B$7),"",--(AF2861&lt;10))</f>
        <v/>
      </c>
      <c r="AI2861" s="35">
        <f>IF(AND(C2861="Grayson Coulter",G2861&gt;='00_Control'!$B$7),"YES","NO")</f>
        <v/>
      </c>
      <c r="AJ2861" s="33" t="inlineStr">
        <is>
          <t>OK</t>
        </is>
      </c>
    </row>
    <row r="2862">
      <c r="A2862" s="33" t="inlineStr">
        <is>
          <t>SM002858</t>
        </is>
      </c>
      <c r="B2862" s="33" t="inlineStr">
        <is>
          <t>SW001</t>
        </is>
      </c>
      <c r="C2862" s="33" t="inlineStr">
        <is>
          <t>Grayson Coulter</t>
        </is>
      </c>
      <c r="D2862" s="33" t="inlineStr">
        <is>
          <t>SwimCloud</t>
        </is>
      </c>
      <c r="E2862" s="33" t="inlineStr">
        <is>
          <t>3651023</t>
        </is>
      </c>
      <c r="F2862" s="33" t="inlineStr">
        <is>
          <t>166762921</t>
        </is>
      </c>
      <c r="G2862" s="51" t="n">
        <v>46006</v>
      </c>
      <c r="H2862" s="33" t="inlineStr">
        <is>
          <t>Queensland Championships</t>
        </is>
      </c>
      <c r="I2862" s="33" t="inlineStr">
        <is>
          <t>367863</t>
        </is>
      </c>
      <c r="J2862" s="33" t="n"/>
      <c r="K2862" s="33" t="inlineStr">
        <is>
          <t>FIN</t>
        </is>
      </c>
      <c r="L2862" s="35">
        <f>IF(K2862="FIN",3,IF(OR(K2862="SEM",K2862="SEMI"),2,IF(OR(K2862="PRE",K2862="HEAT"),1,IF(V2862="YES",4,2))))</f>
        <v/>
      </c>
      <c r="M2862" s="33" t="inlineStr">
        <is>
          <t>LCM</t>
        </is>
      </c>
      <c r="N2862" s="33" t="n">
        <v>200</v>
      </c>
      <c r="O2862" s="33" t="inlineStr">
        <is>
          <t>IM</t>
        </is>
      </c>
      <c r="P2862" s="33" t="inlineStr">
        <is>
          <t>200 IM</t>
        </is>
      </c>
      <c r="Q2862" s="33" t="inlineStr">
        <is>
          <t>LCM_200_IM</t>
        </is>
      </c>
      <c r="R2862" s="36" t="n">
        <v>129.69</v>
      </c>
      <c r="S2862" s="35">
        <f>IF(R2862="","",IF(R2862&gt;=60,INT(R2862/60)&amp;":"&amp;TEXT(MOD(R2862,60),"00.00"),TEXT(R2862,"0.00")))</f>
        <v/>
      </c>
      <c r="T2862" s="52">
        <f>IFERROR((G2862-INDEX('01_Swimmers'!$E$5:$E$22,MATCH(B2862,'01_Swimmers'!$A$5:$A$22,0)))/'00_Control'!$B$10,"")</f>
        <v/>
      </c>
      <c r="U2862" s="35">
        <f>IF(T2862="","",INT(T2862))</f>
        <v/>
      </c>
      <c r="V2862" s="33" t="inlineStr">
        <is>
          <t>NO</t>
        </is>
      </c>
      <c r="W2862" s="33" t="inlineStr">
        <is>
          <t>YES</t>
        </is>
      </c>
      <c r="X2862" s="33" t="inlineStr">
        <is>
          <t>NO</t>
        </is>
      </c>
      <c r="Y2862" s="33" t="n">
        <v>1</v>
      </c>
      <c r="Z2862" s="33" t="n">
        <v>4</v>
      </c>
      <c r="AA2862" s="33" t="inlineStr">
        <is>
          <t>1</t>
        </is>
      </c>
      <c r="AB2862" s="33" t="inlineStr">
        <is>
          <t>https://www.swimcloud.com/results/367863/event/79/?id=166762921#time166762921</t>
        </is>
      </c>
      <c r="AC2862" s="33" t="inlineStr">
        <is>
          <t>SwimCloud all-event v8 2026-10-09</t>
        </is>
      </c>
      <c r="AD2862" s="33" t="inlineStr">
        <is>
          <t>Grayson Coulter|2025-12-15|LCM|200|IM|129.69|Queensland Championships|FIN|False</t>
        </is>
      </c>
      <c r="AE2862" s="53">
        <f>G2862+L2862/1000+ROW()/1000000000</f>
        <v/>
      </c>
      <c r="AF2862" s="35">
        <f>IF(C2862&lt;&gt;"Grayson Coulter","",COUNTIFS($C$5:$C$2991,"Grayson Coulter",$Q$5:$Q$2991,Q2862,$AE$5:$AE$2991,"&lt;="&amp;AE2862,$R$5:$R$2991,"&lt;"&amp;R2862))</f>
        <v/>
      </c>
      <c r="AG2862" s="35">
        <f>IF(OR(C2862&lt;&gt;"Grayson Coulter",G2862&lt;'00_Control'!$B$7),"",--(AF2862&lt;5))</f>
        <v/>
      </c>
      <c r="AH2862" s="35">
        <f>IF(OR(C2862&lt;&gt;"Grayson Coulter",G2862&lt;'00_Control'!$B$7),"",--(AF2862&lt;10))</f>
        <v/>
      </c>
      <c r="AI2862" s="35">
        <f>IF(AND(C2862="Grayson Coulter",G2862&gt;='00_Control'!$B$7),"YES","NO")</f>
        <v/>
      </c>
      <c r="AJ2862" s="33" t="inlineStr">
        <is>
          <t>OK</t>
        </is>
      </c>
    </row>
    <row r="2863">
      <c r="A2863" s="33" t="inlineStr">
        <is>
          <t>SM002859</t>
        </is>
      </c>
      <c r="B2863" s="33" t="inlineStr">
        <is>
          <t>SW001</t>
        </is>
      </c>
      <c r="C2863" s="33" t="inlineStr">
        <is>
          <t>Grayson Coulter</t>
        </is>
      </c>
      <c r="D2863" s="33" t="inlineStr">
        <is>
          <t>SwimCloud</t>
        </is>
      </c>
      <c r="E2863" s="33" t="inlineStr">
        <is>
          <t>3651023</t>
        </is>
      </c>
      <c r="F2863" s="33" t="inlineStr">
        <is>
          <t>166762920</t>
        </is>
      </c>
      <c r="G2863" s="51" t="n">
        <v>46006</v>
      </c>
      <c r="H2863" s="33" t="inlineStr">
        <is>
          <t>Queensland Championships</t>
        </is>
      </c>
      <c r="I2863" s="33" t="inlineStr">
        <is>
          <t>367863</t>
        </is>
      </c>
      <c r="J2863" s="33" t="n"/>
      <c r="K2863" s="33" t="inlineStr">
        <is>
          <t>PRE</t>
        </is>
      </c>
      <c r="L2863" s="35">
        <f>IF(K2863="FIN",3,IF(OR(K2863="SEM",K2863="SEMI"),2,IF(OR(K2863="PRE",K2863="HEAT"),1,IF(V2863="YES",4,2))))</f>
        <v/>
      </c>
      <c r="M2863" s="33" t="inlineStr">
        <is>
          <t>LCM</t>
        </is>
      </c>
      <c r="N2863" s="33" t="n">
        <v>200</v>
      </c>
      <c r="O2863" s="33" t="inlineStr">
        <is>
          <t>IM</t>
        </is>
      </c>
      <c r="P2863" s="33" t="inlineStr">
        <is>
          <t>200 IM</t>
        </is>
      </c>
      <c r="Q2863" s="33" t="inlineStr">
        <is>
          <t>LCM_200_IM</t>
        </is>
      </c>
      <c r="R2863" s="36" t="n">
        <v>132.12</v>
      </c>
      <c r="S2863" s="35">
        <f>IF(R2863="","",IF(R2863&gt;=60,INT(R2863/60)&amp;":"&amp;TEXT(MOD(R2863,60),"00.00"),TEXT(R2863,"0.00")))</f>
        <v/>
      </c>
      <c r="T2863" s="52">
        <f>IFERROR((G2863-INDEX('01_Swimmers'!$E$5:$E$22,MATCH(B2863,'01_Swimmers'!$A$5:$A$22,0)))/'00_Control'!$B$10,"")</f>
        <v/>
      </c>
      <c r="U2863" s="35">
        <f>IF(T2863="","",INT(T2863))</f>
        <v/>
      </c>
      <c r="V2863" s="33" t="inlineStr">
        <is>
          <t>NO</t>
        </is>
      </c>
      <c r="W2863" s="33" t="inlineStr">
        <is>
          <t>YES</t>
        </is>
      </c>
      <c r="X2863" s="33" t="inlineStr">
        <is>
          <t>NO</t>
        </is>
      </c>
      <c r="Y2863" s="33" t="n">
        <v>1</v>
      </c>
      <c r="Z2863" s="33" t="n">
        <v>4</v>
      </c>
      <c r="AA2863" s="33" t="inlineStr">
        <is>
          <t>1</t>
        </is>
      </c>
      <c r="AB2863" s="33" t="inlineStr">
        <is>
          <t>https://www.swimcloud.com/results/367863/event/79/?id=166762920#time166762920</t>
        </is>
      </c>
      <c r="AC2863" s="33" t="inlineStr">
        <is>
          <t>SwimCloud all-event v8 2026-10-09</t>
        </is>
      </c>
      <c r="AD2863" s="33" t="inlineStr">
        <is>
          <t>Grayson Coulter|2025-12-15|LCM|200|IM|132.12|Queensland Championships|PRE|False</t>
        </is>
      </c>
      <c r="AE2863" s="53">
        <f>G2863+L2863/1000+ROW()/1000000000</f>
        <v/>
      </c>
      <c r="AF2863" s="35">
        <f>IF(C2863&lt;&gt;"Grayson Coulter","",COUNTIFS($C$5:$C$2991,"Grayson Coulter",$Q$5:$Q$2991,Q2863,$AE$5:$AE$2991,"&lt;="&amp;AE2863,$R$5:$R$2991,"&lt;"&amp;R2863))</f>
        <v/>
      </c>
      <c r="AG2863" s="35">
        <f>IF(OR(C2863&lt;&gt;"Grayson Coulter",G2863&lt;'00_Control'!$B$7),"",--(AF2863&lt;5))</f>
        <v/>
      </c>
      <c r="AH2863" s="35">
        <f>IF(OR(C2863&lt;&gt;"Grayson Coulter",G2863&lt;'00_Control'!$B$7),"",--(AF2863&lt;10))</f>
        <v/>
      </c>
      <c r="AI2863" s="35">
        <f>IF(AND(C2863="Grayson Coulter",G2863&gt;='00_Control'!$B$7),"YES","NO")</f>
        <v/>
      </c>
      <c r="AJ2863" s="33" t="inlineStr">
        <is>
          <t>OK</t>
        </is>
      </c>
    </row>
    <row r="2864">
      <c r="A2864" s="33" t="inlineStr">
        <is>
          <t>SM002860</t>
        </is>
      </c>
      <c r="B2864" s="33" t="inlineStr">
        <is>
          <t>SW001</t>
        </is>
      </c>
      <c r="C2864" s="33" t="inlineStr">
        <is>
          <t>Grayson Coulter</t>
        </is>
      </c>
      <c r="D2864" s="33" t="inlineStr">
        <is>
          <t>SwimCloud</t>
        </is>
      </c>
      <c r="E2864" s="33" t="inlineStr">
        <is>
          <t>3651023</t>
        </is>
      </c>
      <c r="F2864" s="33" t="inlineStr">
        <is>
          <t>159513591</t>
        </is>
      </c>
      <c r="G2864" s="51" t="n">
        <v>45802</v>
      </c>
      <c r="H2864" s="33" t="inlineStr">
        <is>
          <t>2025 Apollo Projects New Zealand Swimming Championships</t>
        </is>
      </c>
      <c r="I2864" s="33" t="inlineStr">
        <is>
          <t>344530</t>
        </is>
      </c>
      <c r="J2864" s="33" t="n"/>
      <c r="K2864" s="33" t="inlineStr">
        <is>
          <t>FIN</t>
        </is>
      </c>
      <c r="L2864" s="35">
        <f>IF(K2864="FIN",3,IF(OR(K2864="SEM",K2864="SEMI"),2,IF(OR(K2864="PRE",K2864="HEAT"),1,IF(V2864="YES",4,2))))</f>
        <v/>
      </c>
      <c r="M2864" s="33" t="inlineStr">
        <is>
          <t>LCM</t>
        </is>
      </c>
      <c r="N2864" s="33" t="n">
        <v>200</v>
      </c>
      <c r="O2864" s="33" t="inlineStr">
        <is>
          <t>IM</t>
        </is>
      </c>
      <c r="P2864" s="33" t="inlineStr">
        <is>
          <t>200 IM</t>
        </is>
      </c>
      <c r="Q2864" s="33" t="inlineStr">
        <is>
          <t>LCM_200_IM</t>
        </is>
      </c>
      <c r="R2864" s="36" t="n">
        <v>131.86</v>
      </c>
      <c r="S2864" s="35">
        <f>IF(R2864="","",IF(R2864&gt;=60,INT(R2864/60)&amp;":"&amp;TEXT(MOD(R2864,60),"00.00"),TEXT(R2864,"0.00")))</f>
        <v/>
      </c>
      <c r="T2864" s="52">
        <f>IFERROR((G2864-INDEX('01_Swimmers'!$E$5:$E$22,MATCH(B2864,'01_Swimmers'!$A$5:$A$22,0)))/'00_Control'!$B$10,"")</f>
        <v/>
      </c>
      <c r="U2864" s="35">
        <f>IF(T2864="","",INT(T2864))</f>
        <v/>
      </c>
      <c r="V2864" s="33" t="inlineStr">
        <is>
          <t>NO</t>
        </is>
      </c>
      <c r="W2864" s="33" t="inlineStr">
        <is>
          <t>YES</t>
        </is>
      </c>
      <c r="X2864" s="33" t="inlineStr">
        <is>
          <t>NO</t>
        </is>
      </c>
      <c r="Y2864" s="33" t="n">
        <v>1</v>
      </c>
      <c r="Z2864" s="33" t="n">
        <v>4</v>
      </c>
      <c r="AA2864" s="33" t="inlineStr">
        <is>
          <t>9,10</t>
        </is>
      </c>
      <c r="AB2864" s="33" t="inlineStr">
        <is>
          <t>https://www.swimcloud.com/results/344530/event/36/?id=159513591#time159513591</t>
        </is>
      </c>
      <c r="AC2864" s="33" t="inlineStr">
        <is>
          <t>SwimCloud all-event v8 2026-10-09</t>
        </is>
      </c>
      <c r="AD2864" s="33" t="inlineStr">
        <is>
          <t>Grayson Coulter|2025-05-25|LCM|200|IM|131.86|2025 Apollo Projects New Zealand Swimming Championships|FIN|False</t>
        </is>
      </c>
      <c r="AE2864" s="53">
        <f>G2864+L2864/1000+ROW()/1000000000</f>
        <v/>
      </c>
      <c r="AF2864" s="35">
        <f>IF(C2864&lt;&gt;"Grayson Coulter","",COUNTIFS($C$5:$C$2991,"Grayson Coulter",$Q$5:$Q$2991,Q2864,$AE$5:$AE$2991,"&lt;="&amp;AE2864,$R$5:$R$2991,"&lt;"&amp;R2864))</f>
        <v/>
      </c>
      <c r="AG2864" s="35">
        <f>IF(OR(C2864&lt;&gt;"Grayson Coulter",G2864&lt;'00_Control'!$B$7),"",--(AF2864&lt;5))</f>
        <v/>
      </c>
      <c r="AH2864" s="35">
        <f>IF(OR(C2864&lt;&gt;"Grayson Coulter",G2864&lt;'00_Control'!$B$7),"",--(AF2864&lt;10))</f>
        <v/>
      </c>
      <c r="AI2864" s="35">
        <f>IF(AND(C2864="Grayson Coulter",G2864&gt;='00_Control'!$B$7),"YES","NO")</f>
        <v/>
      </c>
      <c r="AJ2864" s="33" t="inlineStr">
        <is>
          <t>OK</t>
        </is>
      </c>
    </row>
    <row r="2865">
      <c r="A2865" s="33" t="inlineStr">
        <is>
          <t>SM002861</t>
        </is>
      </c>
      <c r="B2865" s="33" t="inlineStr">
        <is>
          <t>SW001</t>
        </is>
      </c>
      <c r="C2865" s="33" t="inlineStr">
        <is>
          <t>Grayson Coulter</t>
        </is>
      </c>
      <c r="D2865" s="33" t="inlineStr">
        <is>
          <t>SwimCloud</t>
        </is>
      </c>
      <c r="E2865" s="33" t="inlineStr">
        <is>
          <t>3651023</t>
        </is>
      </c>
      <c r="F2865" s="33" t="inlineStr">
        <is>
          <t>159513588</t>
        </is>
      </c>
      <c r="G2865" s="51" t="n">
        <v>45802</v>
      </c>
      <c r="H2865" s="33" t="inlineStr">
        <is>
          <t>2025 Apollo Projects New Zealand Swimming Championships</t>
        </is>
      </c>
      <c r="I2865" s="33" t="inlineStr">
        <is>
          <t>344530</t>
        </is>
      </c>
      <c r="J2865" s="33" t="n"/>
      <c r="K2865" s="33" t="inlineStr">
        <is>
          <t>PRE</t>
        </is>
      </c>
      <c r="L2865" s="35">
        <f>IF(K2865="FIN",3,IF(OR(K2865="SEM",K2865="SEMI"),2,IF(OR(K2865="PRE",K2865="HEAT"),1,IF(V2865="YES",4,2))))</f>
        <v/>
      </c>
      <c r="M2865" s="33" t="inlineStr">
        <is>
          <t>LCM</t>
        </is>
      </c>
      <c r="N2865" s="33" t="n">
        <v>200</v>
      </c>
      <c r="O2865" s="33" t="inlineStr">
        <is>
          <t>IM</t>
        </is>
      </c>
      <c r="P2865" s="33" t="inlineStr">
        <is>
          <t>200 IM</t>
        </is>
      </c>
      <c r="Q2865" s="33" t="inlineStr">
        <is>
          <t>LCM_200_IM</t>
        </is>
      </c>
      <c r="R2865" s="36" t="n">
        <v>133.56</v>
      </c>
      <c r="S2865" s="35">
        <f>IF(R2865="","",IF(R2865&gt;=60,INT(R2865/60)&amp;":"&amp;TEXT(MOD(R2865,60),"00.00"),TEXT(R2865,"0.00")))</f>
        <v/>
      </c>
      <c r="T2865" s="52">
        <f>IFERROR((G2865-INDEX('01_Swimmers'!$E$5:$E$22,MATCH(B2865,'01_Swimmers'!$A$5:$A$22,0)))/'00_Control'!$B$10,"")</f>
        <v/>
      </c>
      <c r="U2865" s="35">
        <f>IF(T2865="","",INT(T2865))</f>
        <v/>
      </c>
      <c r="V2865" s="33" t="inlineStr">
        <is>
          <t>NO</t>
        </is>
      </c>
      <c r="W2865" s="33" t="inlineStr">
        <is>
          <t>YES</t>
        </is>
      </c>
      <c r="X2865" s="33" t="inlineStr">
        <is>
          <t>NO</t>
        </is>
      </c>
      <c r="Y2865" s="33" t="n">
        <v>3</v>
      </c>
      <c r="Z2865" s="33" t="n">
        <v>6</v>
      </c>
      <c r="AA2865" s="33" t="inlineStr">
        <is>
          <t>11,11</t>
        </is>
      </c>
      <c r="AB2865" s="33" t="inlineStr">
        <is>
          <t>https://www.swimcloud.com/results/344530/event/36/?id=159513588#time159513588</t>
        </is>
      </c>
      <c r="AC2865" s="33" t="inlineStr">
        <is>
          <t>SwimCloud all-event v8 2026-10-09</t>
        </is>
      </c>
      <c r="AD2865" s="33" t="inlineStr">
        <is>
          <t>Grayson Coulter|2025-05-25|LCM|200|IM|133.56|2025 Apollo Projects New Zealand Swimming Championships|PRE|False</t>
        </is>
      </c>
      <c r="AE2865" s="53">
        <f>G2865+L2865/1000+ROW()/1000000000</f>
        <v/>
      </c>
      <c r="AF2865" s="35">
        <f>IF(C2865&lt;&gt;"Grayson Coulter","",COUNTIFS($C$5:$C$2991,"Grayson Coulter",$Q$5:$Q$2991,Q2865,$AE$5:$AE$2991,"&lt;="&amp;AE2865,$R$5:$R$2991,"&lt;"&amp;R2865))</f>
        <v/>
      </c>
      <c r="AG2865" s="35">
        <f>IF(OR(C2865&lt;&gt;"Grayson Coulter",G2865&lt;'00_Control'!$B$7),"",--(AF2865&lt;5))</f>
        <v/>
      </c>
      <c r="AH2865" s="35">
        <f>IF(OR(C2865&lt;&gt;"Grayson Coulter",G2865&lt;'00_Control'!$B$7),"",--(AF2865&lt;10))</f>
        <v/>
      </c>
      <c r="AI2865" s="35">
        <f>IF(AND(C2865="Grayson Coulter",G2865&gt;='00_Control'!$B$7),"YES","NO")</f>
        <v/>
      </c>
      <c r="AJ2865" s="33" t="inlineStr">
        <is>
          <t>OK</t>
        </is>
      </c>
    </row>
    <row r="2866">
      <c r="A2866" s="33" t="inlineStr">
        <is>
          <t>SM002862</t>
        </is>
      </c>
      <c r="B2866" s="33" t="inlineStr">
        <is>
          <t>SW001</t>
        </is>
      </c>
      <c r="C2866" s="33" t="inlineStr">
        <is>
          <t>Grayson Coulter</t>
        </is>
      </c>
      <c r="D2866" s="33" t="inlineStr">
        <is>
          <t>SwimCloud</t>
        </is>
      </c>
      <c r="E2866" s="33" t="inlineStr">
        <is>
          <t>3651023</t>
        </is>
      </c>
      <c r="F2866" s="33" t="inlineStr">
        <is>
          <t>151360713</t>
        </is>
      </c>
      <c r="G2866" s="51" t="n">
        <v>45764</v>
      </c>
      <c r="H2866" s="33" t="inlineStr">
        <is>
          <t>Apollo Projects New Zealand Age Group Championships</t>
        </is>
      </c>
      <c r="I2866" s="33" t="inlineStr">
        <is>
          <t>342666</t>
        </is>
      </c>
      <c r="J2866" s="33" t="n"/>
      <c r="K2866" s="33" t="inlineStr">
        <is>
          <t>FIN</t>
        </is>
      </c>
      <c r="L2866" s="35">
        <f>IF(K2866="FIN",3,IF(OR(K2866="SEM",K2866="SEMI"),2,IF(OR(K2866="PRE",K2866="HEAT"),1,IF(V2866="YES",4,2))))</f>
        <v/>
      </c>
      <c r="M2866" s="33" t="inlineStr">
        <is>
          <t>LCM</t>
        </is>
      </c>
      <c r="N2866" s="33" t="n">
        <v>200</v>
      </c>
      <c r="O2866" s="33" t="inlineStr">
        <is>
          <t>IM</t>
        </is>
      </c>
      <c r="P2866" s="33" t="inlineStr">
        <is>
          <t>200 IM</t>
        </is>
      </c>
      <c r="Q2866" s="33" t="inlineStr">
        <is>
          <t>LCM_200_IM</t>
        </is>
      </c>
      <c r="R2866" s="36" t="n">
        <v>134.96</v>
      </c>
      <c r="S2866" s="35">
        <f>IF(R2866="","",IF(R2866&gt;=60,INT(R2866/60)&amp;":"&amp;TEXT(MOD(R2866,60),"00.00"),TEXT(R2866,"0.00")))</f>
        <v/>
      </c>
      <c r="T2866" s="52">
        <f>IFERROR((G2866-INDEX('01_Swimmers'!$E$5:$E$22,MATCH(B2866,'01_Swimmers'!$A$5:$A$22,0)))/'00_Control'!$B$10,"")</f>
        <v/>
      </c>
      <c r="U2866" s="35">
        <f>IF(T2866="","",INT(T2866))</f>
        <v/>
      </c>
      <c r="V2866" s="33" t="inlineStr">
        <is>
          <t>NO</t>
        </is>
      </c>
      <c r="W2866" s="33" t="inlineStr">
        <is>
          <t>YES</t>
        </is>
      </c>
      <c r="X2866" s="33" t="inlineStr">
        <is>
          <t>NO</t>
        </is>
      </c>
      <c r="Y2866" s="33" t="n">
        <v>1</v>
      </c>
      <c r="Z2866" s="33" t="n">
        <v>4</v>
      </c>
      <c r="AA2866" s="33" t="inlineStr">
        <is>
          <t>1</t>
        </is>
      </c>
      <c r="AB2866" s="33" t="inlineStr">
        <is>
          <t>https://www.swimcloud.com/results/342666/event/46/?id=151360713#time151360713</t>
        </is>
      </c>
      <c r="AC2866" s="33" t="inlineStr">
        <is>
          <t>SwimCloud all-event v8 2026-10-09</t>
        </is>
      </c>
      <c r="AD2866" s="33" t="inlineStr">
        <is>
          <t>Grayson Coulter|2025-04-17|LCM|200|IM|134.96|Apollo Projects New Zealand Age Group Championships|FIN|False</t>
        </is>
      </c>
      <c r="AE2866" s="53">
        <f>G2866+L2866/1000+ROW()/1000000000</f>
        <v/>
      </c>
      <c r="AF2866" s="35">
        <f>IF(C2866&lt;&gt;"Grayson Coulter","",COUNTIFS($C$5:$C$2991,"Grayson Coulter",$Q$5:$Q$2991,Q2866,$AE$5:$AE$2991,"&lt;="&amp;AE2866,$R$5:$R$2991,"&lt;"&amp;R2866))</f>
        <v/>
      </c>
      <c r="AG2866" s="35">
        <f>IF(OR(C2866&lt;&gt;"Grayson Coulter",G2866&lt;'00_Control'!$B$7),"",--(AF2866&lt;5))</f>
        <v/>
      </c>
      <c r="AH2866" s="35">
        <f>IF(OR(C2866&lt;&gt;"Grayson Coulter",G2866&lt;'00_Control'!$B$7),"",--(AF2866&lt;10))</f>
        <v/>
      </c>
      <c r="AI2866" s="35">
        <f>IF(AND(C2866="Grayson Coulter",G2866&gt;='00_Control'!$B$7),"YES","NO")</f>
        <v/>
      </c>
      <c r="AJ2866" s="33" t="inlineStr">
        <is>
          <t>OK</t>
        </is>
      </c>
    </row>
    <row r="2867">
      <c r="A2867" s="33" t="inlineStr">
        <is>
          <t>SM002863</t>
        </is>
      </c>
      <c r="B2867" s="33" t="inlineStr">
        <is>
          <t>SW001</t>
        </is>
      </c>
      <c r="C2867" s="33" t="inlineStr">
        <is>
          <t>Grayson Coulter</t>
        </is>
      </c>
      <c r="D2867" s="33" t="inlineStr">
        <is>
          <t>SwimCloud</t>
        </is>
      </c>
      <c r="E2867" s="33" t="inlineStr">
        <is>
          <t>3651023</t>
        </is>
      </c>
      <c r="F2867" s="33" t="inlineStr">
        <is>
          <t>151360704</t>
        </is>
      </c>
      <c r="G2867" s="51" t="n">
        <v>45764</v>
      </c>
      <c r="H2867" s="33" t="inlineStr">
        <is>
          <t>Apollo Projects New Zealand Age Group Championships</t>
        </is>
      </c>
      <c r="I2867" s="33" t="inlineStr">
        <is>
          <t>342666</t>
        </is>
      </c>
      <c r="J2867" s="33" t="n"/>
      <c r="K2867" s="33" t="inlineStr">
        <is>
          <t>PRE</t>
        </is>
      </c>
      <c r="L2867" s="35">
        <f>IF(K2867="FIN",3,IF(OR(K2867="SEM",K2867="SEMI"),2,IF(OR(K2867="PRE",K2867="HEAT"),1,IF(V2867="YES",4,2))))</f>
        <v/>
      </c>
      <c r="M2867" s="33" t="inlineStr">
        <is>
          <t>LCM</t>
        </is>
      </c>
      <c r="N2867" s="33" t="n">
        <v>200</v>
      </c>
      <c r="O2867" s="33" t="inlineStr">
        <is>
          <t>IM</t>
        </is>
      </c>
      <c r="P2867" s="33" t="inlineStr">
        <is>
          <t>200 IM</t>
        </is>
      </c>
      <c r="Q2867" s="33" t="inlineStr">
        <is>
          <t>LCM_200_IM</t>
        </is>
      </c>
      <c r="R2867" s="36" t="n">
        <v>135.1</v>
      </c>
      <c r="S2867" s="35">
        <f>IF(R2867="","",IF(R2867&gt;=60,INT(R2867/60)&amp;":"&amp;TEXT(MOD(R2867,60),"00.00"),TEXT(R2867,"0.00")))</f>
        <v/>
      </c>
      <c r="T2867" s="52">
        <f>IFERROR((G2867-INDEX('01_Swimmers'!$E$5:$E$22,MATCH(B2867,'01_Swimmers'!$A$5:$A$22,0)))/'00_Control'!$B$10,"")</f>
        <v/>
      </c>
      <c r="U2867" s="35">
        <f>IF(T2867="","",INT(T2867))</f>
        <v/>
      </c>
      <c r="V2867" s="33" t="inlineStr">
        <is>
          <t>NO</t>
        </is>
      </c>
      <c r="W2867" s="33" t="inlineStr">
        <is>
          <t>YES</t>
        </is>
      </c>
      <c r="X2867" s="33" t="inlineStr">
        <is>
          <t>NO</t>
        </is>
      </c>
      <c r="Y2867" s="33" t="n">
        <v>9</v>
      </c>
      <c r="Z2867" s="33" t="n">
        <v>3</v>
      </c>
      <c r="AA2867" s="33" t="inlineStr">
        <is>
          <t>1</t>
        </is>
      </c>
      <c r="AB2867" s="33" t="inlineStr">
        <is>
          <t>https://www.swimcloud.com/results/342666/event/46/?id=151360704#time151360704</t>
        </is>
      </c>
      <c r="AC2867" s="33" t="inlineStr">
        <is>
          <t>SwimCloud all-event v8 2026-10-09</t>
        </is>
      </c>
      <c r="AD2867" s="33" t="inlineStr">
        <is>
          <t>Grayson Coulter|2025-04-17|LCM|200|IM|135.1|Apollo Projects New Zealand Age Group Championships|PRE|False</t>
        </is>
      </c>
      <c r="AE2867" s="53">
        <f>G2867+L2867/1000+ROW()/1000000000</f>
        <v/>
      </c>
      <c r="AF2867" s="35">
        <f>IF(C2867&lt;&gt;"Grayson Coulter","",COUNTIFS($C$5:$C$2991,"Grayson Coulter",$Q$5:$Q$2991,Q2867,$AE$5:$AE$2991,"&lt;="&amp;AE2867,$R$5:$R$2991,"&lt;"&amp;R2867))</f>
        <v/>
      </c>
      <c r="AG2867" s="35">
        <f>IF(OR(C2867&lt;&gt;"Grayson Coulter",G2867&lt;'00_Control'!$B$7),"",--(AF2867&lt;5))</f>
        <v/>
      </c>
      <c r="AH2867" s="35">
        <f>IF(OR(C2867&lt;&gt;"Grayson Coulter",G2867&lt;'00_Control'!$B$7),"",--(AF2867&lt;10))</f>
        <v/>
      </c>
      <c r="AI2867" s="35">
        <f>IF(AND(C2867="Grayson Coulter",G2867&gt;='00_Control'!$B$7),"YES","NO")</f>
        <v/>
      </c>
      <c r="AJ2867" s="33" t="inlineStr">
        <is>
          <t>OK</t>
        </is>
      </c>
    </row>
    <row r="2868">
      <c r="A2868" s="33" t="inlineStr">
        <is>
          <t>SM002864</t>
        </is>
      </c>
      <c r="B2868" s="33" t="inlineStr">
        <is>
          <t>SW001</t>
        </is>
      </c>
      <c r="C2868" s="33" t="inlineStr">
        <is>
          <t>Grayson Coulter</t>
        </is>
      </c>
      <c r="D2868" s="33" t="inlineStr">
        <is>
          <t>SwimCloud</t>
        </is>
      </c>
      <c r="E2868" s="33" t="inlineStr">
        <is>
          <t>3651023</t>
        </is>
      </c>
      <c r="F2868" s="33" t="inlineStr">
        <is>
          <t>149407579</t>
        </is>
      </c>
      <c r="G2868" s="51" t="n">
        <v>45731</v>
      </c>
      <c r="H2868" s="33" t="inlineStr">
        <is>
          <t>Swimming Auckland Age Group and Open Championships</t>
        </is>
      </c>
      <c r="I2868" s="33" t="inlineStr">
        <is>
          <t>340538</t>
        </is>
      </c>
      <c r="J2868" s="33" t="n"/>
      <c r="K2868" s="33" t="inlineStr">
        <is>
          <t>FIN</t>
        </is>
      </c>
      <c r="L2868" s="35">
        <f>IF(K2868="FIN",3,IF(OR(K2868="SEM",K2868="SEMI"),2,IF(OR(K2868="PRE",K2868="HEAT"),1,IF(V2868="YES",4,2))))</f>
        <v/>
      </c>
      <c r="M2868" s="33" t="inlineStr">
        <is>
          <t>LCM</t>
        </is>
      </c>
      <c r="N2868" s="33" t="n">
        <v>200</v>
      </c>
      <c r="O2868" s="33" t="inlineStr">
        <is>
          <t>IM</t>
        </is>
      </c>
      <c r="P2868" s="33" t="inlineStr">
        <is>
          <t>200 IM</t>
        </is>
      </c>
      <c r="Q2868" s="33" t="inlineStr">
        <is>
          <t>LCM_200_IM</t>
        </is>
      </c>
      <c r="R2868" s="36" t="n">
        <v>135.57</v>
      </c>
      <c r="S2868" s="35">
        <f>IF(R2868="","",IF(R2868&gt;=60,INT(R2868/60)&amp;":"&amp;TEXT(MOD(R2868,60),"00.00"),TEXT(R2868,"0.00")))</f>
        <v/>
      </c>
      <c r="T2868" s="52">
        <f>IFERROR((G2868-INDEX('01_Swimmers'!$E$5:$E$22,MATCH(B2868,'01_Swimmers'!$A$5:$A$22,0)))/'00_Control'!$B$10,"")</f>
        <v/>
      </c>
      <c r="U2868" s="35">
        <f>IF(T2868="","",INT(T2868))</f>
        <v/>
      </c>
      <c r="V2868" s="33" t="inlineStr">
        <is>
          <t>NO</t>
        </is>
      </c>
      <c r="W2868" s="33" t="inlineStr">
        <is>
          <t>YES</t>
        </is>
      </c>
      <c r="X2868" s="33" t="inlineStr">
        <is>
          <t>NO</t>
        </is>
      </c>
      <c r="Y2868" s="33" t="n">
        <v>4</v>
      </c>
      <c r="Z2868" s="33" t="n">
        <v>1</v>
      </c>
      <c r="AA2868" s="33" t="inlineStr">
        <is>
          <t>7</t>
        </is>
      </c>
      <c r="AB2868" s="33" t="inlineStr">
        <is>
          <t>https://www.swimcloud.com/results/340538/event/16/?id=149407579#time149407579</t>
        </is>
      </c>
      <c r="AC2868" s="33" t="inlineStr">
        <is>
          <t>SwimCloud all-event v8 2026-10-09</t>
        </is>
      </c>
      <c r="AD2868" s="33" t="inlineStr">
        <is>
          <t>Grayson Coulter|2025-03-15|LCM|200|IM|135.57|Swimming Auckland Age Group and Open Championships|FIN|False</t>
        </is>
      </c>
      <c r="AE2868" s="53">
        <f>G2868+L2868/1000+ROW()/1000000000</f>
        <v/>
      </c>
      <c r="AF2868" s="35">
        <f>IF(C2868&lt;&gt;"Grayson Coulter","",COUNTIFS($C$5:$C$2991,"Grayson Coulter",$Q$5:$Q$2991,Q2868,$AE$5:$AE$2991,"&lt;="&amp;AE2868,$R$5:$R$2991,"&lt;"&amp;R2868))</f>
        <v/>
      </c>
      <c r="AG2868" s="35">
        <f>IF(OR(C2868&lt;&gt;"Grayson Coulter",G2868&lt;'00_Control'!$B$7),"",--(AF2868&lt;5))</f>
        <v/>
      </c>
      <c r="AH2868" s="35">
        <f>IF(OR(C2868&lt;&gt;"Grayson Coulter",G2868&lt;'00_Control'!$B$7),"",--(AF2868&lt;10))</f>
        <v/>
      </c>
      <c r="AI2868" s="35">
        <f>IF(AND(C2868="Grayson Coulter",G2868&gt;='00_Control'!$B$7),"YES","NO")</f>
        <v/>
      </c>
      <c r="AJ2868" s="33" t="inlineStr">
        <is>
          <t>OK</t>
        </is>
      </c>
    </row>
    <row r="2869">
      <c r="A2869" s="33" t="inlineStr">
        <is>
          <t>SM002865</t>
        </is>
      </c>
      <c r="B2869" s="33" t="inlineStr">
        <is>
          <t>SW001</t>
        </is>
      </c>
      <c r="C2869" s="33" t="inlineStr">
        <is>
          <t>Grayson Coulter</t>
        </is>
      </c>
      <c r="D2869" s="33" t="inlineStr">
        <is>
          <t>SwimCloud</t>
        </is>
      </c>
      <c r="E2869" s="33" t="inlineStr">
        <is>
          <t>3651023</t>
        </is>
      </c>
      <c r="F2869" s="33" t="inlineStr">
        <is>
          <t>149407578</t>
        </is>
      </c>
      <c r="G2869" s="51" t="n">
        <v>45731</v>
      </c>
      <c r="H2869" s="33" t="inlineStr">
        <is>
          <t>Swimming Auckland Age Group and Open Championships</t>
        </is>
      </c>
      <c r="I2869" s="33" t="inlineStr">
        <is>
          <t>340538</t>
        </is>
      </c>
      <c r="J2869" s="33" t="n"/>
      <c r="K2869" s="33" t="inlineStr">
        <is>
          <t>PRE</t>
        </is>
      </c>
      <c r="L2869" s="35">
        <f>IF(K2869="FIN",3,IF(OR(K2869="SEM",K2869="SEMI"),2,IF(OR(K2869="PRE",K2869="HEAT"),1,IF(V2869="YES",4,2))))</f>
        <v/>
      </c>
      <c r="M2869" s="33" t="inlineStr">
        <is>
          <t>LCM</t>
        </is>
      </c>
      <c r="N2869" s="33" t="n">
        <v>200</v>
      </c>
      <c r="O2869" s="33" t="inlineStr">
        <is>
          <t>IM</t>
        </is>
      </c>
      <c r="P2869" s="33" t="inlineStr">
        <is>
          <t>200 IM</t>
        </is>
      </c>
      <c r="Q2869" s="33" t="inlineStr">
        <is>
          <t>LCM_200_IM</t>
        </is>
      </c>
      <c r="R2869" s="36" t="n">
        <v>136.46</v>
      </c>
      <c r="S2869" s="35">
        <f>IF(R2869="","",IF(R2869&gt;=60,INT(R2869/60)&amp;":"&amp;TEXT(MOD(R2869,60),"00.00"),TEXT(R2869,"0.00")))</f>
        <v/>
      </c>
      <c r="T2869" s="52">
        <f>IFERROR((G2869-INDEX('01_Swimmers'!$E$5:$E$22,MATCH(B2869,'01_Swimmers'!$A$5:$A$22,0)))/'00_Control'!$B$10,"")</f>
        <v/>
      </c>
      <c r="U2869" s="35">
        <f>IF(T2869="","",INT(T2869))</f>
        <v/>
      </c>
      <c r="V2869" s="33" t="inlineStr">
        <is>
          <t>NO</t>
        </is>
      </c>
      <c r="W2869" s="33" t="inlineStr">
        <is>
          <t>YES</t>
        </is>
      </c>
      <c r="X2869" s="33" t="inlineStr">
        <is>
          <t>NO</t>
        </is>
      </c>
      <c r="Y2869" s="33" t="n">
        <v>8</v>
      </c>
      <c r="Z2869" s="33" t="n">
        <v>3</v>
      </c>
      <c r="AA2869" s="33" t="inlineStr">
        <is>
          <t>8</t>
        </is>
      </c>
      <c r="AB2869" s="33" t="inlineStr">
        <is>
          <t>https://www.swimcloud.com/results/340538/event/16/?id=149407578#time149407578</t>
        </is>
      </c>
      <c r="AC2869" s="33" t="inlineStr">
        <is>
          <t>SwimCloud all-event v8 2026-10-09</t>
        </is>
      </c>
      <c r="AD2869" s="33" t="inlineStr">
        <is>
          <t>Grayson Coulter|2025-03-15|LCM|200|IM|136.46|Swimming Auckland Age Group and Open Championships|PRE|False</t>
        </is>
      </c>
      <c r="AE2869" s="53">
        <f>G2869+L2869/1000+ROW()/1000000000</f>
        <v/>
      </c>
      <c r="AF2869" s="35">
        <f>IF(C2869&lt;&gt;"Grayson Coulter","",COUNTIFS($C$5:$C$2991,"Grayson Coulter",$Q$5:$Q$2991,Q2869,$AE$5:$AE$2991,"&lt;="&amp;AE2869,$R$5:$R$2991,"&lt;"&amp;R2869))</f>
        <v/>
      </c>
      <c r="AG2869" s="35">
        <f>IF(OR(C2869&lt;&gt;"Grayson Coulter",G2869&lt;'00_Control'!$B$7),"",--(AF2869&lt;5))</f>
        <v/>
      </c>
      <c r="AH2869" s="35">
        <f>IF(OR(C2869&lt;&gt;"Grayson Coulter",G2869&lt;'00_Control'!$B$7),"",--(AF2869&lt;10))</f>
        <v/>
      </c>
      <c r="AI2869" s="35">
        <f>IF(AND(C2869="Grayson Coulter",G2869&gt;='00_Control'!$B$7),"YES","NO")</f>
        <v/>
      </c>
      <c r="AJ2869" s="33" t="inlineStr">
        <is>
          <t>OK</t>
        </is>
      </c>
    </row>
    <row r="2870">
      <c r="A2870" s="33" t="inlineStr">
        <is>
          <t>SM002866</t>
        </is>
      </c>
      <c r="B2870" s="33" t="inlineStr">
        <is>
          <t>SW001</t>
        </is>
      </c>
      <c r="C2870" s="33" t="inlineStr">
        <is>
          <t>Grayson Coulter</t>
        </is>
      </c>
      <c r="D2870" s="33" t="inlineStr">
        <is>
          <t>SwimCloud</t>
        </is>
      </c>
      <c r="E2870" s="33" t="inlineStr">
        <is>
          <t>3651023</t>
        </is>
      </c>
      <c r="F2870" s="33" t="inlineStr">
        <is>
          <t>125073823</t>
        </is>
      </c>
      <c r="G2870" s="51" t="n">
        <v>45354</v>
      </c>
      <c r="H2870" s="33" t="inlineStr">
        <is>
          <t>2024 ASA Juniors</t>
        </is>
      </c>
      <c r="I2870" s="33" t="inlineStr">
        <is>
          <t>302675</t>
        </is>
      </c>
      <c r="J2870" s="33" t="n"/>
      <c r="K2870" s="33" t="inlineStr">
        <is>
          <t>TIM</t>
        </is>
      </c>
      <c r="L2870" s="35">
        <f>IF(K2870="FIN",3,IF(OR(K2870="SEM",K2870="SEMI"),2,IF(OR(K2870="PRE",K2870="HEAT"),1,IF(V2870="YES",4,2))))</f>
        <v/>
      </c>
      <c r="M2870" s="33" t="inlineStr">
        <is>
          <t>LCM</t>
        </is>
      </c>
      <c r="N2870" s="33" t="n">
        <v>200</v>
      </c>
      <c r="O2870" s="33" t="inlineStr">
        <is>
          <t>IM</t>
        </is>
      </c>
      <c r="P2870" s="33" t="inlineStr">
        <is>
          <t>200 IM</t>
        </is>
      </c>
      <c r="Q2870" s="33" t="inlineStr">
        <is>
          <t>LCM_200_IM</t>
        </is>
      </c>
      <c r="R2870" s="36" t="n">
        <v>147.19</v>
      </c>
      <c r="S2870" s="35">
        <f>IF(R2870="","",IF(R2870&gt;=60,INT(R2870/60)&amp;":"&amp;TEXT(MOD(R2870,60),"00.00"),TEXT(R2870,"0.00")))</f>
        <v/>
      </c>
      <c r="T2870" s="52">
        <f>IFERROR((G2870-INDEX('01_Swimmers'!$E$5:$E$22,MATCH(B2870,'01_Swimmers'!$A$5:$A$22,0)))/'00_Control'!$B$10,"")</f>
        <v/>
      </c>
      <c r="U2870" s="35">
        <f>IF(T2870="","",INT(T2870))</f>
        <v/>
      </c>
      <c r="V2870" s="33" t="inlineStr">
        <is>
          <t>NO</t>
        </is>
      </c>
      <c r="W2870" s="33" t="inlineStr">
        <is>
          <t>YES</t>
        </is>
      </c>
      <c r="X2870" s="33" t="inlineStr">
        <is>
          <t>NO</t>
        </is>
      </c>
      <c r="Y2870" s="33" t="n">
        <v>13</v>
      </c>
      <c r="Z2870" s="33" t="n">
        <v>4</v>
      </c>
      <c r="AA2870" s="33" t="inlineStr">
        <is>
          <t>1</t>
        </is>
      </c>
      <c r="AB2870" s="33" t="inlineStr">
        <is>
          <t>https://www.swimcloud.com/results/302675/event/17/?id=125073823#time125073823</t>
        </is>
      </c>
      <c r="AC2870" s="33" t="inlineStr">
        <is>
          <t>SwimCloud all-event v8 2026-10-09</t>
        </is>
      </c>
      <c r="AD2870" s="33" t="inlineStr">
        <is>
          <t>Grayson Coulter|2024-03-03|LCM|200|IM|147.19|2024 ASA Juniors|TIM|False</t>
        </is>
      </c>
      <c r="AE2870" s="53">
        <f>G2870+L2870/1000+ROW()/1000000000</f>
        <v/>
      </c>
      <c r="AF2870" s="35">
        <f>IF(C2870&lt;&gt;"Grayson Coulter","",COUNTIFS($C$5:$C$2991,"Grayson Coulter",$Q$5:$Q$2991,Q2870,$AE$5:$AE$2991,"&lt;="&amp;AE2870,$R$5:$R$2991,"&lt;"&amp;R2870))</f>
        <v/>
      </c>
      <c r="AG2870" s="35">
        <f>IF(OR(C2870&lt;&gt;"Grayson Coulter",G2870&lt;'00_Control'!$B$7),"",--(AF2870&lt;5))</f>
        <v/>
      </c>
      <c r="AH2870" s="35">
        <f>IF(OR(C2870&lt;&gt;"Grayson Coulter",G2870&lt;'00_Control'!$B$7),"",--(AF2870&lt;10))</f>
        <v/>
      </c>
      <c r="AI2870" s="35">
        <f>IF(AND(C2870="Grayson Coulter",G2870&gt;='00_Control'!$B$7),"YES","NO")</f>
        <v/>
      </c>
      <c r="AJ2870" s="33" t="inlineStr">
        <is>
          <t>OK</t>
        </is>
      </c>
    </row>
    <row r="2871">
      <c r="A2871" s="33" t="inlineStr">
        <is>
          <t>SM002867</t>
        </is>
      </c>
      <c r="B2871" s="33" t="inlineStr">
        <is>
          <t>SW001</t>
        </is>
      </c>
      <c r="C2871" s="33" t="inlineStr">
        <is>
          <t>Grayson Coulter</t>
        </is>
      </c>
      <c r="D2871" s="33" t="inlineStr">
        <is>
          <t>SwimCloud</t>
        </is>
      </c>
      <c r="E2871" s="33" t="inlineStr">
        <is>
          <t>3651023</t>
        </is>
      </c>
      <c r="F2871" s="33" t="inlineStr">
        <is>
          <t>159517700</t>
        </is>
      </c>
      <c r="G2871" s="51" t="n">
        <v>45925</v>
      </c>
      <c r="H2871" s="33" t="inlineStr">
        <is>
          <t>New Zealand Short Course Championships</t>
        </is>
      </c>
      <c r="I2871" s="33" t="inlineStr">
        <is>
          <t>355663</t>
        </is>
      </c>
      <c r="J2871" s="33" t="n"/>
      <c r="K2871" s="33" t="inlineStr">
        <is>
          <t>PRE</t>
        </is>
      </c>
      <c r="L2871" s="35">
        <f>IF(K2871="FIN",3,IF(OR(K2871="SEM",K2871="SEMI"),2,IF(OR(K2871="PRE",K2871="HEAT"),1,IF(V2871="YES",4,2))))</f>
        <v/>
      </c>
      <c r="M2871" s="33" t="inlineStr">
        <is>
          <t>SCM</t>
        </is>
      </c>
      <c r="N2871" s="33" t="n">
        <v>200</v>
      </c>
      <c r="O2871" s="33" t="inlineStr">
        <is>
          <t>IM</t>
        </is>
      </c>
      <c r="P2871" s="33" t="inlineStr">
        <is>
          <t>200 IM</t>
        </is>
      </c>
      <c r="Q2871" s="33" t="inlineStr">
        <is>
          <t>SCM_200_IM</t>
        </is>
      </c>
      <c r="R2871" s="36" t="n">
        <v>125.15</v>
      </c>
      <c r="S2871" s="35">
        <f>IF(R2871="","",IF(R2871&gt;=60,INT(R2871/60)&amp;":"&amp;TEXT(MOD(R2871,60),"00.00"),TEXT(R2871,"0.00")))</f>
        <v/>
      </c>
      <c r="T2871" s="52">
        <f>IFERROR((G2871-INDEX('01_Swimmers'!$E$5:$E$22,MATCH(B2871,'01_Swimmers'!$A$5:$A$22,0)))/'00_Control'!$B$10,"")</f>
        <v/>
      </c>
      <c r="U2871" s="35">
        <f>IF(T2871="","",INT(T2871))</f>
        <v/>
      </c>
      <c r="V2871" s="33" t="inlineStr">
        <is>
          <t>NO</t>
        </is>
      </c>
      <c r="W2871" s="33" t="inlineStr">
        <is>
          <t>YES</t>
        </is>
      </c>
      <c r="X2871" s="33" t="inlineStr">
        <is>
          <t>NO</t>
        </is>
      </c>
      <c r="Y2871" s="33" t="n">
        <v>7</v>
      </c>
      <c r="Z2871" s="33" t="n">
        <v>4</v>
      </c>
      <c r="AA2871" s="33" t="inlineStr">
        <is>
          <t>1</t>
        </is>
      </c>
      <c r="AB2871" s="33" t="inlineStr">
        <is>
          <t>https://www.swimcloud.com/results/355663/event/42/?id=159517700#time159517700</t>
        </is>
      </c>
      <c r="AC2871" s="33" t="inlineStr">
        <is>
          <t>SwimCloud all-event v8 2026-10-09</t>
        </is>
      </c>
      <c r="AD2871" s="33" t="inlineStr">
        <is>
          <t>Grayson Coulter|2025-09-25|SCM|200|IM|125.15|New Zealand Short Course Championships|PRE|False</t>
        </is>
      </c>
      <c r="AE2871" s="53">
        <f>G2871+L2871/1000+ROW()/1000000000</f>
        <v/>
      </c>
      <c r="AF2871" s="35">
        <f>IF(C2871&lt;&gt;"Grayson Coulter","",COUNTIFS($C$5:$C$2991,"Grayson Coulter",$Q$5:$Q$2991,Q2871,$AE$5:$AE$2991,"&lt;="&amp;AE2871,$R$5:$R$2991,"&lt;"&amp;R2871))</f>
        <v/>
      </c>
      <c r="AG2871" s="35">
        <f>IF(OR(C2871&lt;&gt;"Grayson Coulter",G2871&lt;'00_Control'!$B$7),"",--(AF2871&lt;5))</f>
        <v/>
      </c>
      <c r="AH2871" s="35">
        <f>IF(OR(C2871&lt;&gt;"Grayson Coulter",G2871&lt;'00_Control'!$B$7),"",--(AF2871&lt;10))</f>
        <v/>
      </c>
      <c r="AI2871" s="35">
        <f>IF(AND(C2871="Grayson Coulter",G2871&gt;='00_Control'!$B$7),"YES","NO")</f>
        <v/>
      </c>
      <c r="AJ2871" s="33" t="inlineStr">
        <is>
          <t>OK</t>
        </is>
      </c>
    </row>
    <row r="2872">
      <c r="A2872" s="33" t="inlineStr">
        <is>
          <t>SM002868</t>
        </is>
      </c>
      <c r="B2872" s="33" t="inlineStr">
        <is>
          <t>SW001</t>
        </is>
      </c>
      <c r="C2872" s="33" t="inlineStr">
        <is>
          <t>Grayson Coulter</t>
        </is>
      </c>
      <c r="D2872" s="33" t="inlineStr">
        <is>
          <t>SwimCloud</t>
        </is>
      </c>
      <c r="E2872" s="33" t="inlineStr">
        <is>
          <t>3651023</t>
        </is>
      </c>
      <c r="F2872" s="33" t="inlineStr">
        <is>
          <t>137761399</t>
        </is>
      </c>
      <c r="G2872" s="51" t="n">
        <v>45556</v>
      </c>
      <c r="H2872" s="33" t="inlineStr">
        <is>
          <t>SW Junior Champs</t>
        </is>
      </c>
      <c r="I2872" s="33" t="inlineStr">
        <is>
          <t>323327</t>
        </is>
      </c>
      <c r="J2872" s="33" t="n"/>
      <c r="K2872" s="33" t="inlineStr">
        <is>
          <t>TIM</t>
        </is>
      </c>
      <c r="L2872" s="35">
        <f>IF(K2872="FIN",3,IF(OR(K2872="SEM",K2872="SEMI"),2,IF(OR(K2872="PRE",K2872="HEAT"),1,IF(V2872="YES",4,2))))</f>
        <v/>
      </c>
      <c r="M2872" s="33" t="inlineStr">
        <is>
          <t>SCM</t>
        </is>
      </c>
      <c r="N2872" s="33" t="n">
        <v>200</v>
      </c>
      <c r="O2872" s="33" t="inlineStr">
        <is>
          <t>IM</t>
        </is>
      </c>
      <c r="P2872" s="33" t="inlineStr">
        <is>
          <t>200 IM</t>
        </is>
      </c>
      <c r="Q2872" s="33" t="inlineStr">
        <is>
          <t>SCM_200_IM</t>
        </is>
      </c>
      <c r="R2872" s="36" t="n">
        <v>131.54</v>
      </c>
      <c r="S2872" s="35">
        <f>IF(R2872="","",IF(R2872&gt;=60,INT(R2872/60)&amp;":"&amp;TEXT(MOD(R2872,60),"00.00"),TEXT(R2872,"0.00")))</f>
        <v/>
      </c>
      <c r="T2872" s="52">
        <f>IFERROR((G2872-INDEX('01_Swimmers'!$E$5:$E$22,MATCH(B2872,'01_Swimmers'!$A$5:$A$22,0)))/'00_Control'!$B$10,"")</f>
        <v/>
      </c>
      <c r="U2872" s="35">
        <f>IF(T2872="","",INT(T2872))</f>
        <v/>
      </c>
      <c r="V2872" s="33" t="inlineStr">
        <is>
          <t>NO</t>
        </is>
      </c>
      <c r="W2872" s="33" t="inlineStr">
        <is>
          <t>YES</t>
        </is>
      </c>
      <c r="X2872" s="33" t="inlineStr">
        <is>
          <t>NO</t>
        </is>
      </c>
      <c r="Y2872" s="33" t="n">
        <v>2</v>
      </c>
      <c r="Z2872" s="33" t="n">
        <v>4</v>
      </c>
      <c r="AA2872" s="33" t="inlineStr">
        <is>
          <t>1</t>
        </is>
      </c>
      <c r="AB2872" s="33" t="inlineStr">
        <is>
          <t>https://www.swimcloud.com/results/323327/event/3/?id=137761399#time137761399</t>
        </is>
      </c>
      <c r="AC2872" s="33" t="inlineStr">
        <is>
          <t>SwimCloud all-event v8 2026-10-09</t>
        </is>
      </c>
      <c r="AD2872" s="33" t="inlineStr">
        <is>
          <t>Grayson Coulter|2024-09-21|SCM|200|IM|131.54|SW Junior Champs|TIM|False</t>
        </is>
      </c>
      <c r="AE2872" s="53">
        <f>G2872+L2872/1000+ROW()/1000000000</f>
        <v/>
      </c>
      <c r="AF2872" s="35">
        <f>IF(C2872&lt;&gt;"Grayson Coulter","",COUNTIFS($C$5:$C$2991,"Grayson Coulter",$Q$5:$Q$2991,Q2872,$AE$5:$AE$2991,"&lt;="&amp;AE2872,$R$5:$R$2991,"&lt;"&amp;R2872))</f>
        <v/>
      </c>
      <c r="AG2872" s="35">
        <f>IF(OR(C2872&lt;&gt;"Grayson Coulter",G2872&lt;'00_Control'!$B$7),"",--(AF2872&lt;5))</f>
        <v/>
      </c>
      <c r="AH2872" s="35">
        <f>IF(OR(C2872&lt;&gt;"Grayson Coulter",G2872&lt;'00_Control'!$B$7),"",--(AF2872&lt;10))</f>
        <v/>
      </c>
      <c r="AI2872" s="35">
        <f>IF(AND(C2872="Grayson Coulter",G2872&gt;='00_Control'!$B$7),"YES","NO")</f>
        <v/>
      </c>
      <c r="AJ2872" s="33" t="inlineStr">
        <is>
          <t>OK</t>
        </is>
      </c>
    </row>
    <row r="2873">
      <c r="A2873" s="33" t="inlineStr">
        <is>
          <t>SM002869</t>
        </is>
      </c>
      <c r="B2873" s="33" t="inlineStr">
        <is>
          <t>SW001</t>
        </is>
      </c>
      <c r="C2873" s="33" t="inlineStr">
        <is>
          <t>Grayson Coulter</t>
        </is>
      </c>
      <c r="D2873" s="33" t="inlineStr">
        <is>
          <t>SwimCloud</t>
        </is>
      </c>
      <c r="E2873" s="33" t="inlineStr">
        <is>
          <t>3651023</t>
        </is>
      </c>
      <c r="F2873" s="33" t="inlineStr">
        <is>
          <t>137773158</t>
        </is>
      </c>
      <c r="G2873" s="51" t="n">
        <v>45545</v>
      </c>
      <c r="H2873" s="33" t="inlineStr">
        <is>
          <t>Zespri AIMS Games - Kauh</t>
        </is>
      </c>
      <c r="I2873" s="33" t="inlineStr">
        <is>
          <t>323338</t>
        </is>
      </c>
      <c r="J2873" s="33" t="n"/>
      <c r="K2873" s="33" t="inlineStr">
        <is>
          <t>TIM</t>
        </is>
      </c>
      <c r="L2873" s="35">
        <f>IF(K2873="FIN",3,IF(OR(K2873="SEM",K2873="SEMI"),2,IF(OR(K2873="PRE",K2873="HEAT"),1,IF(V2873="YES",4,2))))</f>
        <v/>
      </c>
      <c r="M2873" s="33" t="inlineStr">
        <is>
          <t>SCM</t>
        </is>
      </c>
      <c r="N2873" s="33" t="n">
        <v>200</v>
      </c>
      <c r="O2873" s="33" t="inlineStr">
        <is>
          <t>IM</t>
        </is>
      </c>
      <c r="P2873" s="33" t="inlineStr">
        <is>
          <t>200 IM</t>
        </is>
      </c>
      <c r="Q2873" s="33" t="inlineStr">
        <is>
          <t>SCM_200_IM</t>
        </is>
      </c>
      <c r="R2873" s="36" t="n">
        <v>130.82</v>
      </c>
      <c r="S2873" s="35">
        <f>IF(R2873="","",IF(R2873&gt;=60,INT(R2873/60)&amp;":"&amp;TEXT(MOD(R2873,60),"00.00"),TEXT(R2873,"0.00")))</f>
        <v/>
      </c>
      <c r="T2873" s="52">
        <f>IFERROR((G2873-INDEX('01_Swimmers'!$E$5:$E$22,MATCH(B2873,'01_Swimmers'!$A$5:$A$22,0)))/'00_Control'!$B$10,"")</f>
        <v/>
      </c>
      <c r="U2873" s="35">
        <f>IF(T2873="","",INT(T2873))</f>
        <v/>
      </c>
      <c r="V2873" s="33" t="inlineStr">
        <is>
          <t>NO</t>
        </is>
      </c>
      <c r="W2873" s="33" t="inlineStr">
        <is>
          <t>YES</t>
        </is>
      </c>
      <c r="X2873" s="33" t="inlineStr">
        <is>
          <t>NO</t>
        </is>
      </c>
      <c r="Y2873" s="33" t="n">
        <v>4</v>
      </c>
      <c r="Z2873" s="33" t="n">
        <v>5</v>
      </c>
      <c r="AA2873" s="33" t="inlineStr">
        <is>
          <t>1</t>
        </is>
      </c>
      <c r="AB2873" s="33" t="inlineStr">
        <is>
          <t>https://www.swimcloud.com/results/323338/event/66/?id=137773158#time137773158</t>
        </is>
      </c>
      <c r="AC2873" s="33" t="inlineStr">
        <is>
          <t>SwimCloud all-event v8 2026-10-09</t>
        </is>
      </c>
      <c r="AD2873" s="33" t="inlineStr">
        <is>
          <t>Grayson Coulter|2024-09-10|SCM|200|IM|130.82|Zespri AIMS Games - Kauh|TIM|False</t>
        </is>
      </c>
      <c r="AE2873" s="53">
        <f>G2873+L2873/1000+ROW()/1000000000</f>
        <v/>
      </c>
      <c r="AF2873" s="35">
        <f>IF(C2873&lt;&gt;"Grayson Coulter","",COUNTIFS($C$5:$C$2991,"Grayson Coulter",$Q$5:$Q$2991,Q2873,$AE$5:$AE$2991,"&lt;="&amp;AE2873,$R$5:$R$2991,"&lt;"&amp;R2873))</f>
        <v/>
      </c>
      <c r="AG2873" s="35">
        <f>IF(OR(C2873&lt;&gt;"Grayson Coulter",G2873&lt;'00_Control'!$B$7),"",--(AF2873&lt;5))</f>
        <v/>
      </c>
      <c r="AH2873" s="35">
        <f>IF(OR(C2873&lt;&gt;"Grayson Coulter",G2873&lt;'00_Control'!$B$7),"",--(AF2873&lt;10))</f>
        <v/>
      </c>
      <c r="AI2873" s="35">
        <f>IF(AND(C2873="Grayson Coulter",G2873&gt;='00_Control'!$B$7),"YES","NO")</f>
        <v/>
      </c>
      <c r="AJ2873" s="33" t="inlineStr">
        <is>
          <t>OK</t>
        </is>
      </c>
    </row>
    <row r="2874">
      <c r="A2874" s="33" t="inlineStr">
        <is>
          <t>SM002870</t>
        </is>
      </c>
      <c r="B2874" s="33" t="inlineStr">
        <is>
          <t>SW001</t>
        </is>
      </c>
      <c r="C2874" s="33" t="inlineStr">
        <is>
          <t>Grayson Coulter</t>
        </is>
      </c>
      <c r="D2874" s="33" t="inlineStr">
        <is>
          <t>SwimCloud</t>
        </is>
      </c>
      <c r="E2874" s="33" t="inlineStr">
        <is>
          <t>3651023</t>
        </is>
      </c>
      <c r="F2874" s="33" t="inlineStr">
        <is>
          <t>125055585</t>
        </is>
      </c>
      <c r="G2874" s="51" t="n">
        <v>45011</v>
      </c>
      <c r="H2874" s="33" t="inlineStr">
        <is>
          <t>2023 ASA Juniors</t>
        </is>
      </c>
      <c r="I2874" s="33" t="inlineStr">
        <is>
          <t>302652</t>
        </is>
      </c>
      <c r="J2874" s="33" t="n"/>
      <c r="K2874" s="33" t="inlineStr">
        <is>
          <t>TIM</t>
        </is>
      </c>
      <c r="L2874" s="35">
        <f>IF(K2874="FIN",3,IF(OR(K2874="SEM",K2874="SEMI"),2,IF(OR(K2874="PRE",K2874="HEAT"),1,IF(V2874="YES",4,2))))</f>
        <v/>
      </c>
      <c r="M2874" s="33" t="inlineStr">
        <is>
          <t>SCM</t>
        </is>
      </c>
      <c r="N2874" s="33" t="n">
        <v>200</v>
      </c>
      <c r="O2874" s="33" t="inlineStr">
        <is>
          <t>IM</t>
        </is>
      </c>
      <c r="P2874" s="33" t="inlineStr">
        <is>
          <t>200 IM</t>
        </is>
      </c>
      <c r="Q2874" s="33" t="inlineStr">
        <is>
          <t>SCM_200_IM</t>
        </is>
      </c>
      <c r="R2874" s="36" t="n">
        <v>149.19</v>
      </c>
      <c r="S2874" s="35">
        <f>IF(R2874="","",IF(R2874&gt;=60,INT(R2874/60)&amp;":"&amp;TEXT(MOD(R2874,60),"00.00"),TEXT(R2874,"0.00")))</f>
        <v/>
      </c>
      <c r="T2874" s="52">
        <f>IFERROR((G2874-INDEX('01_Swimmers'!$E$5:$E$22,MATCH(B2874,'01_Swimmers'!$A$5:$A$22,0)))/'00_Control'!$B$10,"")</f>
        <v/>
      </c>
      <c r="U2874" s="35">
        <f>IF(T2874="","",INT(T2874))</f>
        <v/>
      </c>
      <c r="V2874" s="33" t="inlineStr">
        <is>
          <t>NO</t>
        </is>
      </c>
      <c r="W2874" s="33" t="inlineStr">
        <is>
          <t>YES</t>
        </is>
      </c>
      <c r="X2874" s="33" t="inlineStr">
        <is>
          <t>NO</t>
        </is>
      </c>
      <c r="Y2874" s="33" t="n">
        <v>12</v>
      </c>
      <c r="Z2874" s="33" t="n">
        <v>6</v>
      </c>
      <c r="AA2874" s="33" t="inlineStr">
        <is>
          <t>1</t>
        </is>
      </c>
      <c r="AB2874" s="33" t="inlineStr">
        <is>
          <t>https://www.swimcloud.com/results/302652/event/16/?id=125055585#time125055585</t>
        </is>
      </c>
      <c r="AC2874" s="33" t="inlineStr">
        <is>
          <t>SwimCloud all-event v8 2026-10-09</t>
        </is>
      </c>
      <c r="AD2874" s="33" t="inlineStr">
        <is>
          <t>Grayson Coulter|2023-03-26|SCM|200|IM|149.19|2023 ASA Juniors|TIM|False</t>
        </is>
      </c>
      <c r="AE2874" s="53">
        <f>G2874+L2874/1000+ROW()/1000000000</f>
        <v/>
      </c>
      <c r="AF2874" s="35">
        <f>IF(C2874&lt;&gt;"Grayson Coulter","",COUNTIFS($C$5:$C$2991,"Grayson Coulter",$Q$5:$Q$2991,Q2874,$AE$5:$AE$2991,"&lt;="&amp;AE2874,$R$5:$R$2991,"&lt;"&amp;R2874))</f>
        <v/>
      </c>
      <c r="AG2874" s="35">
        <f>IF(OR(C2874&lt;&gt;"Grayson Coulter",G2874&lt;'00_Control'!$B$7),"",--(AF2874&lt;5))</f>
        <v/>
      </c>
      <c r="AH2874" s="35">
        <f>IF(OR(C2874&lt;&gt;"Grayson Coulter",G2874&lt;'00_Control'!$B$7),"",--(AF2874&lt;10))</f>
        <v/>
      </c>
      <c r="AI2874" s="35">
        <f>IF(AND(C2874="Grayson Coulter",G2874&gt;='00_Control'!$B$7),"YES","NO")</f>
        <v/>
      </c>
      <c r="AJ2874" s="33" t="inlineStr">
        <is>
          <t>OK</t>
        </is>
      </c>
    </row>
    <row r="2875">
      <c r="A2875" s="33" t="inlineStr">
        <is>
          <t>SM002871</t>
        </is>
      </c>
      <c r="B2875" s="33" t="inlineStr">
        <is>
          <t>SW001</t>
        </is>
      </c>
      <c r="C2875" s="33" t="inlineStr">
        <is>
          <t>Grayson Coulter</t>
        </is>
      </c>
      <c r="D2875" s="33" t="inlineStr">
        <is>
          <t>SwimCloud</t>
        </is>
      </c>
      <c r="E2875" s="33" t="inlineStr">
        <is>
          <t>3651023</t>
        </is>
      </c>
      <c r="F2875" s="33" t="inlineStr">
        <is>
          <t>185510952</t>
        </is>
      </c>
      <c r="G2875" s="51" t="n">
        <v>46220</v>
      </c>
      <c r="H2875" s="33" t="inlineStr">
        <is>
          <t>2026 Golden Homes Swimfest</t>
        </is>
      </c>
      <c r="I2875" s="33" t="inlineStr">
        <is>
          <t>391961</t>
        </is>
      </c>
      <c r="J2875" s="33" t="n"/>
      <c r="K2875" s="33" t="inlineStr">
        <is>
          <t>TIM</t>
        </is>
      </c>
      <c r="L2875" s="35">
        <f>IF(K2875="FIN",3,IF(OR(K2875="SEM",K2875="SEMI"),2,IF(OR(K2875="PRE",K2875="HEAT"),1,IF(V2875="YES",4,2))))</f>
        <v/>
      </c>
      <c r="M2875" s="33" t="inlineStr">
        <is>
          <t>LCM</t>
        </is>
      </c>
      <c r="N2875" s="33" t="n">
        <v>50</v>
      </c>
      <c r="O2875" s="33" t="inlineStr">
        <is>
          <t>Back</t>
        </is>
      </c>
      <c r="P2875" s="33" t="inlineStr">
        <is>
          <t>50 Back</t>
        </is>
      </c>
      <c r="Q2875" s="33" t="inlineStr">
        <is>
          <t>LCM_50_BACK</t>
        </is>
      </c>
      <c r="R2875" s="36" t="n">
        <v>28.29</v>
      </c>
      <c r="S2875" s="35">
        <f>IF(R2875="","",IF(R2875&gt;=60,INT(R2875/60)&amp;":"&amp;TEXT(MOD(R2875,60),"00.00"),TEXT(R2875,"0.00")))</f>
        <v/>
      </c>
      <c r="T2875" s="52">
        <f>IFERROR((G2875-INDEX('01_Swimmers'!$E$5:$E$22,MATCH(B2875,'01_Swimmers'!$A$5:$A$22,0)))/'00_Control'!$B$10,"")</f>
        <v/>
      </c>
      <c r="U2875" s="35">
        <f>IF(T2875="","",INT(T2875))</f>
        <v/>
      </c>
      <c r="V2875" s="33" t="inlineStr">
        <is>
          <t>NO</t>
        </is>
      </c>
      <c r="W2875" s="33" t="inlineStr">
        <is>
          <t>YES</t>
        </is>
      </c>
      <c r="X2875" s="33" t="inlineStr">
        <is>
          <t>NO</t>
        </is>
      </c>
      <c r="Y2875" s="33" t="n">
        <v>9</v>
      </c>
      <c r="Z2875" s="33" t="n">
        <v>1</v>
      </c>
      <c r="AA2875" s="33" t="inlineStr">
        <is>
          <t>1</t>
        </is>
      </c>
      <c r="AB2875" s="33" t="inlineStr">
        <is>
          <t>https://www.swimcloud.com/results/391961/event/12/?id=185510952#time185510952</t>
        </is>
      </c>
      <c r="AC2875" s="33" t="inlineStr">
        <is>
          <t>SwimCloud all-event v8 2026-10-09</t>
        </is>
      </c>
      <c r="AD2875" s="33" t="inlineStr">
        <is>
          <t>Grayson Coulter|2026-07-17|LCM|50|Back|28.29|2026 Golden Homes Swimfest|TIM|False</t>
        </is>
      </c>
      <c r="AE2875" s="53">
        <f>G2875+L2875/1000+ROW()/1000000000</f>
        <v/>
      </c>
      <c r="AF2875" s="35">
        <f>IF(C2875&lt;&gt;"Grayson Coulter","",COUNTIFS($C$5:$C$2991,"Grayson Coulter",$Q$5:$Q$2991,Q2875,$AE$5:$AE$2991,"&lt;="&amp;AE2875,$R$5:$R$2991,"&lt;"&amp;R2875))</f>
        <v/>
      </c>
      <c r="AG2875" s="35">
        <f>IF(OR(C2875&lt;&gt;"Grayson Coulter",G2875&lt;'00_Control'!$B$7),"",--(AF2875&lt;5))</f>
        <v/>
      </c>
      <c r="AH2875" s="35">
        <f>IF(OR(C2875&lt;&gt;"Grayson Coulter",G2875&lt;'00_Control'!$B$7),"",--(AF2875&lt;10))</f>
        <v/>
      </c>
      <c r="AI2875" s="35">
        <f>IF(AND(C2875="Grayson Coulter",G2875&gt;='00_Control'!$B$7),"YES","NO")</f>
        <v/>
      </c>
      <c r="AJ2875" s="33" t="inlineStr">
        <is>
          <t>OK</t>
        </is>
      </c>
    </row>
    <row r="2876">
      <c r="A2876" s="33" t="inlineStr">
        <is>
          <t>SM002872</t>
        </is>
      </c>
      <c r="B2876" s="33" t="inlineStr">
        <is>
          <t>SW001</t>
        </is>
      </c>
      <c r="C2876" s="33" t="inlineStr">
        <is>
          <t>Grayson Coulter</t>
        </is>
      </c>
      <c r="D2876" s="33" t="inlineStr">
        <is>
          <t>SwimCloud</t>
        </is>
      </c>
      <c r="E2876" s="33" t="inlineStr">
        <is>
          <t>3651023</t>
        </is>
      </c>
      <c r="F2876" s="33" t="inlineStr">
        <is>
          <t>176426175</t>
        </is>
      </c>
      <c r="G2876" s="51" t="n">
        <v>46122</v>
      </c>
      <c r="H2876" s="33" t="inlineStr">
        <is>
          <t>Apollo Projects New Zealand Age Group Championships</t>
        </is>
      </c>
      <c r="I2876" s="33" t="inlineStr">
        <is>
          <t>371122</t>
        </is>
      </c>
      <c r="J2876" s="33" t="n"/>
      <c r="K2876" s="33" t="inlineStr">
        <is>
          <t>TIM</t>
        </is>
      </c>
      <c r="L2876" s="35">
        <f>IF(K2876="FIN",3,IF(OR(K2876="SEM",K2876="SEMI"),2,IF(OR(K2876="PRE",K2876="HEAT"),1,IF(V2876="YES",4,2))))</f>
        <v/>
      </c>
      <c r="M2876" s="33" t="inlineStr">
        <is>
          <t>LCM</t>
        </is>
      </c>
      <c r="N2876" s="33" t="n">
        <v>50</v>
      </c>
      <c r="O2876" s="33" t="inlineStr">
        <is>
          <t>Back</t>
        </is>
      </c>
      <c r="P2876" s="33" t="inlineStr">
        <is>
          <t>50 Back</t>
        </is>
      </c>
      <c r="Q2876" s="33" t="inlineStr">
        <is>
          <t>LCM_50_BACK</t>
        </is>
      </c>
      <c r="R2876" s="36" t="n">
        <v>28.12</v>
      </c>
      <c r="S2876" s="35">
        <f>IF(R2876="","",IF(R2876&gt;=60,INT(R2876/60)&amp;":"&amp;TEXT(MOD(R2876,60),"00.00"),TEXT(R2876,"0.00")))</f>
        <v/>
      </c>
      <c r="T2876" s="52">
        <f>IFERROR((G2876-INDEX('01_Swimmers'!$E$5:$E$22,MATCH(B2876,'01_Swimmers'!$A$5:$A$22,0)))/'00_Control'!$B$10,"")</f>
        <v/>
      </c>
      <c r="U2876" s="35">
        <f>IF(T2876="","",INT(T2876))</f>
        <v/>
      </c>
      <c r="V2876" s="33" t="inlineStr">
        <is>
          <t>YES</t>
        </is>
      </c>
      <c r="W2876" s="33" t="inlineStr">
        <is>
          <t>YES</t>
        </is>
      </c>
      <c r="X2876" s="33" t="inlineStr">
        <is>
          <t>NO</t>
        </is>
      </c>
      <c r="Y2876" s="33" t="n"/>
      <c r="Z2876" s="33" t="n"/>
      <c r="AA2876" s="33" t="inlineStr"/>
      <c r="AB2876" s="33" t="inlineStr">
        <is>
          <t>https://www.swimcloud.com/results/371122/event/32/?id=176423800#time176423800</t>
        </is>
      </c>
      <c r="AC2876" s="33" t="inlineStr">
        <is>
          <t>SwimCloud all-event v8 2026-10-09</t>
        </is>
      </c>
      <c r="AD2876" s="33" t="inlineStr">
        <is>
          <t>Grayson Coulter|2026-04-10|LCM|50|Back|28.12|Apollo Projects New Zealand Age Group Championships|TIM|True</t>
        </is>
      </c>
      <c r="AE2876" s="53">
        <f>G2876+L2876/1000+ROW()/1000000000</f>
        <v/>
      </c>
      <c r="AF2876" s="35">
        <f>IF(C2876&lt;&gt;"Grayson Coulter","",COUNTIFS($C$5:$C$2991,"Grayson Coulter",$Q$5:$Q$2991,Q2876,$AE$5:$AE$2991,"&lt;="&amp;AE2876,$R$5:$R$2991,"&lt;"&amp;R2876))</f>
        <v/>
      </c>
      <c r="AG2876" s="35">
        <f>IF(OR(C2876&lt;&gt;"Grayson Coulter",G2876&lt;'00_Control'!$B$7),"",--(AF2876&lt;5))</f>
        <v/>
      </c>
      <c r="AH2876" s="35">
        <f>IF(OR(C2876&lt;&gt;"Grayson Coulter",G2876&lt;'00_Control'!$B$7),"",--(AF2876&lt;10))</f>
        <v/>
      </c>
      <c r="AI2876" s="35">
        <f>IF(AND(C2876="Grayson Coulter",G2876&gt;='00_Control'!$B$7),"YES","NO")</f>
        <v/>
      </c>
      <c r="AJ2876" s="33" t="inlineStr">
        <is>
          <t>OK</t>
        </is>
      </c>
    </row>
    <row r="2877">
      <c r="A2877" s="33" t="inlineStr">
        <is>
          <t>SM002873</t>
        </is>
      </c>
      <c r="B2877" s="33" t="inlineStr">
        <is>
          <t>SW001</t>
        </is>
      </c>
      <c r="C2877" s="33" t="inlineStr">
        <is>
          <t>Grayson Coulter</t>
        </is>
      </c>
      <c r="D2877" s="33" t="inlineStr">
        <is>
          <t>SwimCloud</t>
        </is>
      </c>
      <c r="E2877" s="33" t="inlineStr">
        <is>
          <t>3651023</t>
        </is>
      </c>
      <c r="F2877" s="33" t="inlineStr">
        <is>
          <t>175678356</t>
        </is>
      </c>
      <c r="G2877" s="51" t="n">
        <v>46094</v>
      </c>
      <c r="H2877" s="33" t="inlineStr">
        <is>
          <t>ASA Age Groups &amp; Open Championships</t>
        </is>
      </c>
      <c r="I2877" s="33" t="inlineStr">
        <is>
          <t>372749</t>
        </is>
      </c>
      <c r="J2877" s="33" t="n"/>
      <c r="K2877" s="33" t="inlineStr">
        <is>
          <t>FIN</t>
        </is>
      </c>
      <c r="L2877" s="35">
        <f>IF(K2877="FIN",3,IF(OR(K2877="SEM",K2877="SEMI"),2,IF(OR(K2877="PRE",K2877="HEAT"),1,IF(V2877="YES",4,2))))</f>
        <v/>
      </c>
      <c r="M2877" s="33" t="inlineStr">
        <is>
          <t>LCM</t>
        </is>
      </c>
      <c r="N2877" s="33" t="n">
        <v>50</v>
      </c>
      <c r="O2877" s="33" t="inlineStr">
        <is>
          <t>Back</t>
        </is>
      </c>
      <c r="P2877" s="33" t="inlineStr">
        <is>
          <t>50 Back</t>
        </is>
      </c>
      <c r="Q2877" s="33" t="inlineStr">
        <is>
          <t>LCM_50_BACK</t>
        </is>
      </c>
      <c r="R2877" s="36" t="n">
        <v>28.89</v>
      </c>
      <c r="S2877" s="35">
        <f>IF(R2877="","",IF(R2877&gt;=60,INT(R2877/60)&amp;":"&amp;TEXT(MOD(R2877,60),"00.00"),TEXT(R2877,"0.00")))</f>
        <v/>
      </c>
      <c r="T2877" s="52">
        <f>IFERROR((G2877-INDEX('01_Swimmers'!$E$5:$E$22,MATCH(B2877,'01_Swimmers'!$A$5:$A$22,0)))/'00_Control'!$B$10,"")</f>
        <v/>
      </c>
      <c r="U2877" s="35">
        <f>IF(T2877="","",INT(T2877))</f>
        <v/>
      </c>
      <c r="V2877" s="33" t="inlineStr">
        <is>
          <t>NO</t>
        </is>
      </c>
      <c r="W2877" s="33" t="inlineStr">
        <is>
          <t>YES</t>
        </is>
      </c>
      <c r="X2877" s="33" t="inlineStr">
        <is>
          <t>NO</t>
        </is>
      </c>
      <c r="Y2877" s="33" t="n">
        <v>2</v>
      </c>
      <c r="Z2877" s="33" t="n">
        <v>4</v>
      </c>
      <c r="AA2877" s="33" t="inlineStr">
        <is>
          <t>1</t>
        </is>
      </c>
      <c r="AB2877" s="33" t="inlineStr">
        <is>
          <t>https://www.swimcloud.com/results/372749/event/4/?id=175678356#time175678356</t>
        </is>
      </c>
      <c r="AC2877" s="33" t="inlineStr">
        <is>
          <t>SwimCloud all-event v8 2026-10-09</t>
        </is>
      </c>
      <c r="AD2877" s="33" t="inlineStr">
        <is>
          <t>Grayson Coulter|2026-03-13|LCM|50|Back|28.89|ASA Age Groups &amp; Open Championships|FIN|False</t>
        </is>
      </c>
      <c r="AE2877" s="53">
        <f>G2877+L2877/1000+ROW()/1000000000</f>
        <v/>
      </c>
      <c r="AF2877" s="35">
        <f>IF(C2877&lt;&gt;"Grayson Coulter","",COUNTIFS($C$5:$C$2991,"Grayson Coulter",$Q$5:$Q$2991,Q2877,$AE$5:$AE$2991,"&lt;="&amp;AE2877,$R$5:$R$2991,"&lt;"&amp;R2877))</f>
        <v/>
      </c>
      <c r="AG2877" s="35">
        <f>IF(OR(C2877&lt;&gt;"Grayson Coulter",G2877&lt;'00_Control'!$B$7),"",--(AF2877&lt;5))</f>
        <v/>
      </c>
      <c r="AH2877" s="35">
        <f>IF(OR(C2877&lt;&gt;"Grayson Coulter",G2877&lt;'00_Control'!$B$7),"",--(AF2877&lt;10))</f>
        <v/>
      </c>
      <c r="AI2877" s="35">
        <f>IF(AND(C2877="Grayson Coulter",G2877&gt;='00_Control'!$B$7),"YES","NO")</f>
        <v/>
      </c>
      <c r="AJ2877" s="33" t="inlineStr">
        <is>
          <t>OK</t>
        </is>
      </c>
    </row>
    <row r="2878">
      <c r="A2878" s="33" t="inlineStr">
        <is>
          <t>SM002874</t>
        </is>
      </c>
      <c r="B2878" s="33" t="inlineStr">
        <is>
          <t>SW001</t>
        </is>
      </c>
      <c r="C2878" s="33" t="inlineStr">
        <is>
          <t>Grayson Coulter</t>
        </is>
      </c>
      <c r="D2878" s="33" t="inlineStr">
        <is>
          <t>SwimCloud</t>
        </is>
      </c>
      <c r="E2878" s="33" t="inlineStr">
        <is>
          <t>3651023</t>
        </is>
      </c>
      <c r="F2878" s="33" t="inlineStr">
        <is>
          <t>175678355</t>
        </is>
      </c>
      <c r="G2878" s="51" t="n">
        <v>46094</v>
      </c>
      <c r="H2878" s="33" t="inlineStr">
        <is>
          <t>ASA Age Groups &amp; Open Championships</t>
        </is>
      </c>
      <c r="I2878" s="33" t="inlineStr">
        <is>
          <t>372749</t>
        </is>
      </c>
      <c r="J2878" s="33" t="n"/>
      <c r="K2878" s="33" t="inlineStr">
        <is>
          <t>PRE</t>
        </is>
      </c>
      <c r="L2878" s="35">
        <f>IF(K2878="FIN",3,IF(OR(K2878="SEM",K2878="SEMI"),2,IF(OR(K2878="PRE",K2878="HEAT"),1,IF(V2878="YES",4,2))))</f>
        <v/>
      </c>
      <c r="M2878" s="33" t="inlineStr">
        <is>
          <t>LCM</t>
        </is>
      </c>
      <c r="N2878" s="33" t="n">
        <v>50</v>
      </c>
      <c r="O2878" s="33" t="inlineStr">
        <is>
          <t>Back</t>
        </is>
      </c>
      <c r="P2878" s="33" t="inlineStr">
        <is>
          <t>50 Back</t>
        </is>
      </c>
      <c r="Q2878" s="33" t="inlineStr">
        <is>
          <t>LCM_50_BACK</t>
        </is>
      </c>
      <c r="R2878" s="36" t="n">
        <v>29.31</v>
      </c>
      <c r="S2878" s="35">
        <f>IF(R2878="","",IF(R2878&gt;=60,INT(R2878/60)&amp;":"&amp;TEXT(MOD(R2878,60),"00.00"),TEXT(R2878,"0.00")))</f>
        <v/>
      </c>
      <c r="T2878" s="52">
        <f>IFERROR((G2878-INDEX('01_Swimmers'!$E$5:$E$22,MATCH(B2878,'01_Swimmers'!$A$5:$A$22,0)))/'00_Control'!$B$10,"")</f>
        <v/>
      </c>
      <c r="U2878" s="35">
        <f>IF(T2878="","",INT(T2878))</f>
        <v/>
      </c>
      <c r="V2878" s="33" t="inlineStr">
        <is>
          <t>NO</t>
        </is>
      </c>
      <c r="W2878" s="33" t="inlineStr">
        <is>
          <t>YES</t>
        </is>
      </c>
      <c r="X2878" s="33" t="inlineStr">
        <is>
          <t>NO</t>
        </is>
      </c>
      <c r="Y2878" s="33" t="n">
        <v>8</v>
      </c>
      <c r="Z2878" s="33" t="n">
        <v>6</v>
      </c>
      <c r="AA2878" s="33" t="inlineStr">
        <is>
          <t>1</t>
        </is>
      </c>
      <c r="AB2878" s="33" t="inlineStr">
        <is>
          <t>https://www.swimcloud.com/results/372749/event/4/?id=175678355#time175678355</t>
        </is>
      </c>
      <c r="AC2878" s="33" t="inlineStr">
        <is>
          <t>SwimCloud all-event v8 2026-10-09</t>
        </is>
      </c>
      <c r="AD2878" s="33" t="inlineStr">
        <is>
          <t>Grayson Coulter|2026-03-13|LCM|50|Back|29.31|ASA Age Groups &amp; Open Championships|PRE|False</t>
        </is>
      </c>
      <c r="AE2878" s="53">
        <f>G2878+L2878/1000+ROW()/1000000000</f>
        <v/>
      </c>
      <c r="AF2878" s="35">
        <f>IF(C2878&lt;&gt;"Grayson Coulter","",COUNTIFS($C$5:$C$2991,"Grayson Coulter",$Q$5:$Q$2991,Q2878,$AE$5:$AE$2991,"&lt;="&amp;AE2878,$R$5:$R$2991,"&lt;"&amp;R2878))</f>
        <v/>
      </c>
      <c r="AG2878" s="35">
        <f>IF(OR(C2878&lt;&gt;"Grayson Coulter",G2878&lt;'00_Control'!$B$7),"",--(AF2878&lt;5))</f>
        <v/>
      </c>
      <c r="AH2878" s="35">
        <f>IF(OR(C2878&lt;&gt;"Grayson Coulter",G2878&lt;'00_Control'!$B$7),"",--(AF2878&lt;10))</f>
        <v/>
      </c>
      <c r="AI2878" s="35">
        <f>IF(AND(C2878="Grayson Coulter",G2878&gt;='00_Control'!$B$7),"YES","NO")</f>
        <v/>
      </c>
      <c r="AJ2878" s="33" t="inlineStr">
        <is>
          <t>OK</t>
        </is>
      </c>
    </row>
    <row r="2879">
      <c r="A2879" s="33" t="inlineStr">
        <is>
          <t>SM002875</t>
        </is>
      </c>
      <c r="B2879" s="33" t="inlineStr">
        <is>
          <t>SW001</t>
        </is>
      </c>
      <c r="C2879" s="33" t="inlineStr">
        <is>
          <t>Grayson Coulter</t>
        </is>
      </c>
      <c r="D2879" s="33" t="inlineStr">
        <is>
          <t>SwimCloud</t>
        </is>
      </c>
      <c r="E2879" s="33" t="inlineStr">
        <is>
          <t>3651023</t>
        </is>
      </c>
      <c r="F2879" s="33" t="inlineStr">
        <is>
          <t>166761614</t>
        </is>
      </c>
      <c r="G2879" s="51" t="n">
        <v>46008</v>
      </c>
      <c r="H2879" s="33" t="inlineStr">
        <is>
          <t>Queensland Championships</t>
        </is>
      </c>
      <c r="I2879" s="33" t="inlineStr">
        <is>
          <t>367863</t>
        </is>
      </c>
      <c r="J2879" s="33" t="n"/>
      <c r="K2879" s="33" t="inlineStr">
        <is>
          <t>FIN</t>
        </is>
      </c>
      <c r="L2879" s="35">
        <f>IF(K2879="FIN",3,IF(OR(K2879="SEM",K2879="SEMI"),2,IF(OR(K2879="PRE",K2879="HEAT"),1,IF(V2879="YES",4,2))))</f>
        <v/>
      </c>
      <c r="M2879" s="33" t="inlineStr">
        <is>
          <t>LCM</t>
        </is>
      </c>
      <c r="N2879" s="33" t="n">
        <v>50</v>
      </c>
      <c r="O2879" s="33" t="inlineStr">
        <is>
          <t>Back</t>
        </is>
      </c>
      <c r="P2879" s="33" t="inlineStr">
        <is>
          <t>50 Back</t>
        </is>
      </c>
      <c r="Q2879" s="33" t="inlineStr">
        <is>
          <t>LCM_50_BACK</t>
        </is>
      </c>
      <c r="R2879" s="36" t="n">
        <v>27.68</v>
      </c>
      <c r="S2879" s="35">
        <f>IF(R2879="","",IF(R2879&gt;=60,INT(R2879/60)&amp;":"&amp;TEXT(MOD(R2879,60),"00.00"),TEXT(R2879,"0.00")))</f>
        <v/>
      </c>
      <c r="T2879" s="52">
        <f>IFERROR((G2879-INDEX('01_Swimmers'!$E$5:$E$22,MATCH(B2879,'01_Swimmers'!$A$5:$A$22,0)))/'00_Control'!$B$10,"")</f>
        <v/>
      </c>
      <c r="U2879" s="35">
        <f>IF(T2879="","",INT(T2879))</f>
        <v/>
      </c>
      <c r="V2879" s="33" t="inlineStr">
        <is>
          <t>NO</t>
        </is>
      </c>
      <c r="W2879" s="33" t="inlineStr">
        <is>
          <t>YES</t>
        </is>
      </c>
      <c r="X2879" s="33" t="inlineStr">
        <is>
          <t>NO</t>
        </is>
      </c>
      <c r="Y2879" s="33" t="n">
        <v>2</v>
      </c>
      <c r="Z2879" s="33" t="n">
        <v>4</v>
      </c>
      <c r="AA2879" s="33" t="inlineStr">
        <is>
          <t>1</t>
        </is>
      </c>
      <c r="AB2879" s="33" t="inlineStr">
        <is>
          <t>https://www.swimcloud.com/results/367863/event/145/?id=166761614#time166761614</t>
        </is>
      </c>
      <c r="AC2879" s="33" t="inlineStr">
        <is>
          <t>SwimCloud all-event v8 2026-10-09</t>
        </is>
      </c>
      <c r="AD2879" s="33" t="inlineStr">
        <is>
          <t>Grayson Coulter|2025-12-17|LCM|50|Back|27.68|Queensland Championships|FIN|False</t>
        </is>
      </c>
      <c r="AE2879" s="53">
        <f>G2879+L2879/1000+ROW()/1000000000</f>
        <v/>
      </c>
      <c r="AF2879" s="35">
        <f>IF(C2879&lt;&gt;"Grayson Coulter","",COUNTIFS($C$5:$C$2991,"Grayson Coulter",$Q$5:$Q$2991,Q2879,$AE$5:$AE$2991,"&lt;="&amp;AE2879,$R$5:$R$2991,"&lt;"&amp;R2879))</f>
        <v/>
      </c>
      <c r="AG2879" s="35">
        <f>IF(OR(C2879&lt;&gt;"Grayson Coulter",G2879&lt;'00_Control'!$B$7),"",--(AF2879&lt;5))</f>
        <v/>
      </c>
      <c r="AH2879" s="35">
        <f>IF(OR(C2879&lt;&gt;"Grayson Coulter",G2879&lt;'00_Control'!$B$7),"",--(AF2879&lt;10))</f>
        <v/>
      </c>
      <c r="AI2879" s="35">
        <f>IF(AND(C2879="Grayson Coulter",G2879&gt;='00_Control'!$B$7),"YES","NO")</f>
        <v/>
      </c>
      <c r="AJ2879" s="33" t="inlineStr">
        <is>
          <t>OK</t>
        </is>
      </c>
    </row>
    <row r="2880">
      <c r="A2880" s="33" t="inlineStr">
        <is>
          <t>SM002876</t>
        </is>
      </c>
      <c r="B2880" s="33" t="inlineStr">
        <is>
          <t>SW001</t>
        </is>
      </c>
      <c r="C2880" s="33" t="inlineStr">
        <is>
          <t>Grayson Coulter</t>
        </is>
      </c>
      <c r="D2880" s="33" t="inlineStr">
        <is>
          <t>SwimCloud</t>
        </is>
      </c>
      <c r="E2880" s="33" t="inlineStr">
        <is>
          <t>3651023</t>
        </is>
      </c>
      <c r="F2880" s="33" t="inlineStr">
        <is>
          <t>166761613</t>
        </is>
      </c>
      <c r="G2880" s="51" t="n">
        <v>46008</v>
      </c>
      <c r="H2880" s="33" t="inlineStr">
        <is>
          <t>Queensland Championships</t>
        </is>
      </c>
      <c r="I2880" s="33" t="inlineStr">
        <is>
          <t>367863</t>
        </is>
      </c>
      <c r="J2880" s="33" t="n"/>
      <c r="K2880" s="33" t="inlineStr">
        <is>
          <t>PRE</t>
        </is>
      </c>
      <c r="L2880" s="35">
        <f>IF(K2880="FIN",3,IF(OR(K2880="SEM",K2880="SEMI"),2,IF(OR(K2880="PRE",K2880="HEAT"),1,IF(V2880="YES",4,2))))</f>
        <v/>
      </c>
      <c r="M2880" s="33" t="inlineStr">
        <is>
          <t>LCM</t>
        </is>
      </c>
      <c r="N2880" s="33" t="n">
        <v>50</v>
      </c>
      <c r="O2880" s="33" t="inlineStr">
        <is>
          <t>Back</t>
        </is>
      </c>
      <c r="P2880" s="33" t="inlineStr">
        <is>
          <t>50 Back</t>
        </is>
      </c>
      <c r="Q2880" s="33" t="inlineStr">
        <is>
          <t>LCM_50_BACK</t>
        </is>
      </c>
      <c r="R2880" s="36" t="n">
        <v>27.94</v>
      </c>
      <c r="S2880" s="35">
        <f>IF(R2880="","",IF(R2880&gt;=60,INT(R2880/60)&amp;":"&amp;TEXT(MOD(R2880,60),"00.00"),TEXT(R2880,"0.00")))</f>
        <v/>
      </c>
      <c r="T2880" s="52">
        <f>IFERROR((G2880-INDEX('01_Swimmers'!$E$5:$E$22,MATCH(B2880,'01_Swimmers'!$A$5:$A$22,0)))/'00_Control'!$B$10,"")</f>
        <v/>
      </c>
      <c r="U2880" s="35">
        <f>IF(T2880="","",INT(T2880))</f>
        <v/>
      </c>
      <c r="V2880" s="33" t="inlineStr">
        <is>
          <t>NO</t>
        </is>
      </c>
      <c r="W2880" s="33" t="inlineStr">
        <is>
          <t>YES</t>
        </is>
      </c>
      <c r="X2880" s="33" t="inlineStr">
        <is>
          <t>NO</t>
        </is>
      </c>
      <c r="Y2880" s="33" t="n">
        <v>2</v>
      </c>
      <c r="Z2880" s="33" t="n">
        <v>4</v>
      </c>
      <c r="AA2880" s="33" t="inlineStr">
        <is>
          <t>1</t>
        </is>
      </c>
      <c r="AB2880" s="33" t="inlineStr">
        <is>
          <t>https://www.swimcloud.com/results/367863/event/145/?id=166761613#time166761613</t>
        </is>
      </c>
      <c r="AC2880" s="33" t="inlineStr">
        <is>
          <t>SwimCloud all-event v8 2026-10-09</t>
        </is>
      </c>
      <c r="AD2880" s="33" t="inlineStr">
        <is>
          <t>Grayson Coulter|2025-12-17|LCM|50|Back|27.94|Queensland Championships|PRE|False</t>
        </is>
      </c>
      <c r="AE2880" s="53">
        <f>G2880+L2880/1000+ROW()/1000000000</f>
        <v/>
      </c>
      <c r="AF2880" s="35">
        <f>IF(C2880&lt;&gt;"Grayson Coulter","",COUNTIFS($C$5:$C$2991,"Grayson Coulter",$Q$5:$Q$2991,Q2880,$AE$5:$AE$2991,"&lt;="&amp;AE2880,$R$5:$R$2991,"&lt;"&amp;R2880))</f>
        <v/>
      </c>
      <c r="AG2880" s="35">
        <f>IF(OR(C2880&lt;&gt;"Grayson Coulter",G2880&lt;'00_Control'!$B$7),"",--(AF2880&lt;5))</f>
        <v/>
      </c>
      <c r="AH2880" s="35">
        <f>IF(OR(C2880&lt;&gt;"Grayson Coulter",G2880&lt;'00_Control'!$B$7),"",--(AF2880&lt;10))</f>
        <v/>
      </c>
      <c r="AI2880" s="35">
        <f>IF(AND(C2880="Grayson Coulter",G2880&gt;='00_Control'!$B$7),"YES","NO")</f>
        <v/>
      </c>
      <c r="AJ2880" s="33" t="inlineStr">
        <is>
          <t>OK</t>
        </is>
      </c>
    </row>
    <row r="2881">
      <c r="A2881" s="33" t="inlineStr">
        <is>
          <t>SM002877</t>
        </is>
      </c>
      <c r="B2881" s="33" t="inlineStr">
        <is>
          <t>SW001</t>
        </is>
      </c>
      <c r="C2881" s="33" t="inlineStr">
        <is>
          <t>Grayson Coulter</t>
        </is>
      </c>
      <c r="D2881" s="33" t="inlineStr">
        <is>
          <t>SwimCloud</t>
        </is>
      </c>
      <c r="E2881" s="33" t="inlineStr">
        <is>
          <t>3651023</t>
        </is>
      </c>
      <c r="F2881" s="33" t="inlineStr">
        <is>
          <t>159513589</t>
        </is>
      </c>
      <c r="G2881" s="51" t="n">
        <v>45802</v>
      </c>
      <c r="H2881" s="33" t="inlineStr">
        <is>
          <t>2025 Apollo Projects New Zealand Swimming Championships</t>
        </is>
      </c>
      <c r="I2881" s="33" t="inlineStr">
        <is>
          <t>344530</t>
        </is>
      </c>
      <c r="J2881" s="33" t="n"/>
      <c r="K2881" s="33" t="inlineStr">
        <is>
          <t>PRE</t>
        </is>
      </c>
      <c r="L2881" s="35">
        <f>IF(K2881="FIN",3,IF(OR(K2881="SEM",K2881="SEMI"),2,IF(OR(K2881="PRE",K2881="HEAT"),1,IF(V2881="YES",4,2))))</f>
        <v/>
      </c>
      <c r="M2881" s="33" t="inlineStr">
        <is>
          <t>LCM</t>
        </is>
      </c>
      <c r="N2881" s="33" t="n">
        <v>50</v>
      </c>
      <c r="O2881" s="33" t="inlineStr">
        <is>
          <t>Back</t>
        </is>
      </c>
      <c r="P2881" s="33" t="inlineStr">
        <is>
          <t>50 Back</t>
        </is>
      </c>
      <c r="Q2881" s="33" t="inlineStr">
        <is>
          <t>LCM_50_BACK</t>
        </is>
      </c>
      <c r="R2881" s="36" t="n">
        <v>28.49</v>
      </c>
      <c r="S2881" s="35">
        <f>IF(R2881="","",IF(R2881&gt;=60,INT(R2881/60)&amp;":"&amp;TEXT(MOD(R2881,60),"00.00"),TEXT(R2881,"0.00")))</f>
        <v/>
      </c>
      <c r="T2881" s="52">
        <f>IFERROR((G2881-INDEX('01_Swimmers'!$E$5:$E$22,MATCH(B2881,'01_Swimmers'!$A$5:$A$22,0)))/'00_Control'!$B$10,"")</f>
        <v/>
      </c>
      <c r="U2881" s="35">
        <f>IF(T2881="","",INT(T2881))</f>
        <v/>
      </c>
      <c r="V2881" s="33" t="inlineStr">
        <is>
          <t>NO</t>
        </is>
      </c>
      <c r="W2881" s="33" t="inlineStr">
        <is>
          <t>YES</t>
        </is>
      </c>
      <c r="X2881" s="33" t="inlineStr">
        <is>
          <t>NO</t>
        </is>
      </c>
      <c r="Y2881" s="33" t="n">
        <v>3</v>
      </c>
      <c r="Z2881" s="33" t="n">
        <v>6</v>
      </c>
      <c r="AA2881" s="33" t="inlineStr">
        <is>
          <t>32,32</t>
        </is>
      </c>
      <c r="AB2881" s="33" t="inlineStr">
        <is>
          <t>https://www.swimcloud.com/results/344530/event/38/?id=159513589#time159513589</t>
        </is>
      </c>
      <c r="AC2881" s="33" t="inlineStr">
        <is>
          <t>SwimCloud all-event v8 2026-10-09</t>
        </is>
      </c>
      <c r="AD2881" s="33" t="inlineStr">
        <is>
          <t>Grayson Coulter|2025-05-25|LCM|50|Back|28.49|2025 Apollo Projects New Zealand Swimming Championships|PRE|False</t>
        </is>
      </c>
      <c r="AE2881" s="53">
        <f>G2881+L2881/1000+ROW()/1000000000</f>
        <v/>
      </c>
      <c r="AF2881" s="35">
        <f>IF(C2881&lt;&gt;"Grayson Coulter","",COUNTIFS($C$5:$C$2991,"Grayson Coulter",$Q$5:$Q$2991,Q2881,$AE$5:$AE$2991,"&lt;="&amp;AE2881,$R$5:$R$2991,"&lt;"&amp;R2881))</f>
        <v/>
      </c>
      <c r="AG2881" s="35">
        <f>IF(OR(C2881&lt;&gt;"Grayson Coulter",G2881&lt;'00_Control'!$B$7),"",--(AF2881&lt;5))</f>
        <v/>
      </c>
      <c r="AH2881" s="35">
        <f>IF(OR(C2881&lt;&gt;"Grayson Coulter",G2881&lt;'00_Control'!$B$7),"",--(AF2881&lt;10))</f>
        <v/>
      </c>
      <c r="AI2881" s="35">
        <f>IF(AND(C2881="Grayson Coulter",G2881&gt;='00_Control'!$B$7),"YES","NO")</f>
        <v/>
      </c>
      <c r="AJ2881" s="33" t="inlineStr">
        <is>
          <t>OK</t>
        </is>
      </c>
    </row>
    <row r="2882">
      <c r="A2882" s="33" t="inlineStr">
        <is>
          <t>SM002878</t>
        </is>
      </c>
      <c r="B2882" s="33" t="inlineStr">
        <is>
          <t>SW001</t>
        </is>
      </c>
      <c r="C2882" s="33" t="inlineStr">
        <is>
          <t>Grayson Coulter</t>
        </is>
      </c>
      <c r="D2882" s="33" t="inlineStr">
        <is>
          <t>SwimCloud</t>
        </is>
      </c>
      <c r="E2882" s="33" t="inlineStr">
        <is>
          <t>3651023</t>
        </is>
      </c>
      <c r="F2882" s="33" t="inlineStr">
        <is>
          <t>151360714</t>
        </is>
      </c>
      <c r="G2882" s="51" t="n">
        <v>45764</v>
      </c>
      <c r="H2882" s="33" t="inlineStr">
        <is>
          <t>Apollo Projects New Zealand Age Group Championships</t>
        </is>
      </c>
      <c r="I2882" s="33" t="inlineStr">
        <is>
          <t>342666</t>
        </is>
      </c>
      <c r="J2882" s="33" t="n"/>
      <c r="K2882" s="33" t="inlineStr">
        <is>
          <t>FIN</t>
        </is>
      </c>
      <c r="L2882" s="35">
        <f>IF(K2882="FIN",3,IF(OR(K2882="SEM",K2882="SEMI"),2,IF(OR(K2882="PRE",K2882="HEAT"),1,IF(V2882="YES",4,2))))</f>
        <v/>
      </c>
      <c r="M2882" s="33" t="inlineStr">
        <is>
          <t>LCM</t>
        </is>
      </c>
      <c r="N2882" s="33" t="n">
        <v>50</v>
      </c>
      <c r="O2882" s="33" t="inlineStr">
        <is>
          <t>Back</t>
        </is>
      </c>
      <c r="P2882" s="33" t="inlineStr">
        <is>
          <t>50 Back</t>
        </is>
      </c>
      <c r="Q2882" s="33" t="inlineStr">
        <is>
          <t>LCM_50_BACK</t>
        </is>
      </c>
      <c r="R2882" s="36" t="n">
        <v>28.49</v>
      </c>
      <c r="S2882" s="35">
        <f>IF(R2882="","",IF(R2882&gt;=60,INT(R2882/60)&amp;":"&amp;TEXT(MOD(R2882,60),"00.00"),TEXT(R2882,"0.00")))</f>
        <v/>
      </c>
      <c r="T2882" s="52">
        <f>IFERROR((G2882-INDEX('01_Swimmers'!$E$5:$E$22,MATCH(B2882,'01_Swimmers'!$A$5:$A$22,0)))/'00_Control'!$B$10,"")</f>
        <v/>
      </c>
      <c r="U2882" s="35">
        <f>IF(T2882="","",INT(T2882))</f>
        <v/>
      </c>
      <c r="V2882" s="33" t="inlineStr">
        <is>
          <t>NO</t>
        </is>
      </c>
      <c r="W2882" s="33" t="inlineStr">
        <is>
          <t>YES</t>
        </is>
      </c>
      <c r="X2882" s="33" t="inlineStr">
        <is>
          <t>NO</t>
        </is>
      </c>
      <c r="Y2882" s="33" t="n">
        <v>1</v>
      </c>
      <c r="Z2882" s="33" t="n">
        <v>4</v>
      </c>
      <c r="AA2882" s="33" t="inlineStr">
        <is>
          <t>1</t>
        </is>
      </c>
      <c r="AB2882" s="33" t="inlineStr">
        <is>
          <t>https://www.swimcloud.com/results/342666/event/48/?id=151360714#time151360714</t>
        </is>
      </c>
      <c r="AC2882" s="33" t="inlineStr">
        <is>
          <t>SwimCloud all-event v8 2026-10-09</t>
        </is>
      </c>
      <c r="AD2882" s="33" t="inlineStr">
        <is>
          <t>Grayson Coulter|2025-04-17|LCM|50|Back|28.49|Apollo Projects New Zealand Age Group Championships|FIN|False</t>
        </is>
      </c>
      <c r="AE2882" s="53">
        <f>G2882+L2882/1000+ROW()/1000000000</f>
        <v/>
      </c>
      <c r="AF2882" s="35">
        <f>IF(C2882&lt;&gt;"Grayson Coulter","",COUNTIFS($C$5:$C$2991,"Grayson Coulter",$Q$5:$Q$2991,Q2882,$AE$5:$AE$2991,"&lt;="&amp;AE2882,$R$5:$R$2991,"&lt;"&amp;R2882))</f>
        <v/>
      </c>
      <c r="AG2882" s="35">
        <f>IF(OR(C2882&lt;&gt;"Grayson Coulter",G2882&lt;'00_Control'!$B$7),"",--(AF2882&lt;5))</f>
        <v/>
      </c>
      <c r="AH2882" s="35">
        <f>IF(OR(C2882&lt;&gt;"Grayson Coulter",G2882&lt;'00_Control'!$B$7),"",--(AF2882&lt;10))</f>
        <v/>
      </c>
      <c r="AI2882" s="35">
        <f>IF(AND(C2882="Grayson Coulter",G2882&gt;='00_Control'!$B$7),"YES","NO")</f>
        <v/>
      </c>
      <c r="AJ2882" s="33" t="inlineStr">
        <is>
          <t>OK</t>
        </is>
      </c>
    </row>
    <row r="2883">
      <c r="A2883" s="33" t="inlineStr">
        <is>
          <t>SM002879</t>
        </is>
      </c>
      <c r="B2883" s="33" t="inlineStr">
        <is>
          <t>SW001</t>
        </is>
      </c>
      <c r="C2883" s="33" t="inlineStr">
        <is>
          <t>Grayson Coulter</t>
        </is>
      </c>
      <c r="D2883" s="33" t="inlineStr">
        <is>
          <t>SwimCloud</t>
        </is>
      </c>
      <c r="E2883" s="33" t="inlineStr">
        <is>
          <t>3651023</t>
        </is>
      </c>
      <c r="F2883" s="33" t="inlineStr">
        <is>
          <t>151360705</t>
        </is>
      </c>
      <c r="G2883" s="51" t="n">
        <v>45764</v>
      </c>
      <c r="H2883" s="33" t="inlineStr">
        <is>
          <t>Apollo Projects New Zealand Age Group Championships</t>
        </is>
      </c>
      <c r="I2883" s="33" t="inlineStr">
        <is>
          <t>342666</t>
        </is>
      </c>
      <c r="J2883" s="33" t="n"/>
      <c r="K2883" s="33" t="inlineStr">
        <is>
          <t>PRE</t>
        </is>
      </c>
      <c r="L2883" s="35">
        <f>IF(K2883="FIN",3,IF(OR(K2883="SEM",K2883="SEMI"),2,IF(OR(K2883="PRE",K2883="HEAT"),1,IF(V2883="YES",4,2))))</f>
        <v/>
      </c>
      <c r="M2883" s="33" t="inlineStr">
        <is>
          <t>LCM</t>
        </is>
      </c>
      <c r="N2883" s="33" t="n">
        <v>50</v>
      </c>
      <c r="O2883" s="33" t="inlineStr">
        <is>
          <t>Back</t>
        </is>
      </c>
      <c r="P2883" s="33" t="inlineStr">
        <is>
          <t>50 Back</t>
        </is>
      </c>
      <c r="Q2883" s="33" t="inlineStr">
        <is>
          <t>LCM_50_BACK</t>
        </is>
      </c>
      <c r="R2883" s="36" t="n">
        <v>29.23</v>
      </c>
      <c r="S2883" s="35">
        <f>IF(R2883="","",IF(R2883&gt;=60,INT(R2883/60)&amp;":"&amp;TEXT(MOD(R2883,60),"00.00"),TEXT(R2883,"0.00")))</f>
        <v/>
      </c>
      <c r="T2883" s="52">
        <f>IFERROR((G2883-INDEX('01_Swimmers'!$E$5:$E$22,MATCH(B2883,'01_Swimmers'!$A$5:$A$22,0)))/'00_Control'!$B$10,"")</f>
        <v/>
      </c>
      <c r="U2883" s="35">
        <f>IF(T2883="","",INT(T2883))</f>
        <v/>
      </c>
      <c r="V2883" s="33" t="inlineStr">
        <is>
          <t>NO</t>
        </is>
      </c>
      <c r="W2883" s="33" t="inlineStr">
        <is>
          <t>YES</t>
        </is>
      </c>
      <c r="X2883" s="33" t="inlineStr">
        <is>
          <t>NO</t>
        </is>
      </c>
      <c r="Y2883" s="33" t="n">
        <v>7</v>
      </c>
      <c r="Z2883" s="33" t="n">
        <v>7</v>
      </c>
      <c r="AA2883" s="33" t="inlineStr">
        <is>
          <t>1</t>
        </is>
      </c>
      <c r="AB2883" s="33" t="inlineStr">
        <is>
          <t>https://www.swimcloud.com/results/342666/event/48/?id=151360705#time151360705</t>
        </is>
      </c>
      <c r="AC2883" s="33" t="inlineStr">
        <is>
          <t>SwimCloud all-event v8 2026-10-09</t>
        </is>
      </c>
      <c r="AD2883" s="33" t="inlineStr">
        <is>
          <t>Grayson Coulter|2025-04-17|LCM|50|Back|29.23|Apollo Projects New Zealand Age Group Championships|PRE|False</t>
        </is>
      </c>
      <c r="AE2883" s="53">
        <f>G2883+L2883/1000+ROW()/1000000000</f>
        <v/>
      </c>
      <c r="AF2883" s="35">
        <f>IF(C2883&lt;&gt;"Grayson Coulter","",COUNTIFS($C$5:$C$2991,"Grayson Coulter",$Q$5:$Q$2991,Q2883,$AE$5:$AE$2991,"&lt;="&amp;AE2883,$R$5:$R$2991,"&lt;"&amp;R2883))</f>
        <v/>
      </c>
      <c r="AG2883" s="35">
        <f>IF(OR(C2883&lt;&gt;"Grayson Coulter",G2883&lt;'00_Control'!$B$7),"",--(AF2883&lt;5))</f>
        <v/>
      </c>
      <c r="AH2883" s="35">
        <f>IF(OR(C2883&lt;&gt;"Grayson Coulter",G2883&lt;'00_Control'!$B$7),"",--(AF2883&lt;10))</f>
        <v/>
      </c>
      <c r="AI2883" s="35">
        <f>IF(AND(C2883="Grayson Coulter",G2883&gt;='00_Control'!$B$7),"YES","NO")</f>
        <v/>
      </c>
      <c r="AJ2883" s="33" t="inlineStr">
        <is>
          <t>OK</t>
        </is>
      </c>
    </row>
    <row r="2884">
      <c r="A2884" s="33" t="inlineStr">
        <is>
          <t>SM002880</t>
        </is>
      </c>
      <c r="B2884" s="33" t="inlineStr">
        <is>
          <t>SW001</t>
        </is>
      </c>
      <c r="C2884" s="33" t="inlineStr">
        <is>
          <t>Grayson Coulter</t>
        </is>
      </c>
      <c r="D2884" s="33" t="inlineStr">
        <is>
          <t>SwimCloud</t>
        </is>
      </c>
      <c r="E2884" s="33" t="inlineStr">
        <is>
          <t>3651023</t>
        </is>
      </c>
      <c r="F2884" s="33" t="inlineStr">
        <is>
          <t>149408426</t>
        </is>
      </c>
      <c r="G2884" s="51" t="n">
        <v>45732</v>
      </c>
      <c r="H2884" s="33" t="inlineStr">
        <is>
          <t>Swimming Auckland Age Group and Open Championships</t>
        </is>
      </c>
      <c r="I2884" s="33" t="inlineStr">
        <is>
          <t>340538</t>
        </is>
      </c>
      <c r="J2884" s="33" t="n"/>
      <c r="K2884" s="33" t="inlineStr">
        <is>
          <t>FIN</t>
        </is>
      </c>
      <c r="L2884" s="35">
        <f>IF(K2884="FIN",3,IF(OR(K2884="SEM",K2884="SEMI"),2,IF(OR(K2884="PRE",K2884="HEAT"),1,IF(V2884="YES",4,2))))</f>
        <v/>
      </c>
      <c r="M2884" s="33" t="inlineStr">
        <is>
          <t>LCM</t>
        </is>
      </c>
      <c r="N2884" s="33" t="n">
        <v>50</v>
      </c>
      <c r="O2884" s="33" t="inlineStr">
        <is>
          <t>Back</t>
        </is>
      </c>
      <c r="P2884" s="33" t="inlineStr">
        <is>
          <t>50 Back</t>
        </is>
      </c>
      <c r="Q2884" s="33" t="inlineStr">
        <is>
          <t>LCM_50_BACK</t>
        </is>
      </c>
      <c r="R2884" s="36" t="n">
        <v>29.92</v>
      </c>
      <c r="S2884" s="35">
        <f>IF(R2884="","",IF(R2884&gt;=60,INT(R2884/60)&amp;":"&amp;TEXT(MOD(R2884,60),"00.00"),TEXT(R2884,"0.00")))</f>
        <v/>
      </c>
      <c r="T2884" s="52">
        <f>IFERROR((G2884-INDEX('01_Swimmers'!$E$5:$E$22,MATCH(B2884,'01_Swimmers'!$A$5:$A$22,0)))/'00_Control'!$B$10,"")</f>
        <v/>
      </c>
      <c r="U2884" s="35">
        <f>IF(T2884="","",INT(T2884))</f>
        <v/>
      </c>
      <c r="V2884" s="33" t="inlineStr">
        <is>
          <t>NO</t>
        </is>
      </c>
      <c r="W2884" s="33" t="inlineStr">
        <is>
          <t>YES</t>
        </is>
      </c>
      <c r="X2884" s="33" t="inlineStr">
        <is>
          <t>NO</t>
        </is>
      </c>
      <c r="Y2884" s="33" t="n">
        <v>1</v>
      </c>
      <c r="Z2884" s="33" t="n">
        <v>4</v>
      </c>
      <c r="AA2884" s="33" t="inlineStr"/>
      <c r="AB2884" s="33" t="inlineStr">
        <is>
          <t>https://www.swimcloud.com/results/340538/event/28/?id=149407265#time149407265</t>
        </is>
      </c>
      <c r="AC2884" s="33" t="inlineStr">
        <is>
          <t>SwimCloud all-event v8 2026-10-09</t>
        </is>
      </c>
      <c r="AD2884" s="33" t="inlineStr">
        <is>
          <t>Grayson Coulter|2025-03-16|LCM|50|Back|29.92|Swimming Auckland Age Group and Open Championships|FIN|False</t>
        </is>
      </c>
      <c r="AE2884" s="53">
        <f>G2884+L2884/1000+ROW()/1000000000</f>
        <v/>
      </c>
      <c r="AF2884" s="35">
        <f>IF(C2884&lt;&gt;"Grayson Coulter","",COUNTIFS($C$5:$C$2991,"Grayson Coulter",$Q$5:$Q$2991,Q2884,$AE$5:$AE$2991,"&lt;="&amp;AE2884,$R$5:$R$2991,"&lt;"&amp;R2884))</f>
        <v/>
      </c>
      <c r="AG2884" s="35">
        <f>IF(OR(C2884&lt;&gt;"Grayson Coulter",G2884&lt;'00_Control'!$B$7),"",--(AF2884&lt;5))</f>
        <v/>
      </c>
      <c r="AH2884" s="35">
        <f>IF(OR(C2884&lt;&gt;"Grayson Coulter",G2884&lt;'00_Control'!$B$7),"",--(AF2884&lt;10))</f>
        <v/>
      </c>
      <c r="AI2884" s="35">
        <f>IF(AND(C2884="Grayson Coulter",G2884&gt;='00_Control'!$B$7),"YES","NO")</f>
        <v/>
      </c>
      <c r="AJ2884" s="33" t="inlineStr">
        <is>
          <t>OK</t>
        </is>
      </c>
    </row>
    <row r="2885">
      <c r="A2885" s="33" t="inlineStr">
        <is>
          <t>SM002881</t>
        </is>
      </c>
      <c r="B2885" s="33" t="inlineStr">
        <is>
          <t>SW001</t>
        </is>
      </c>
      <c r="C2885" s="33" t="inlineStr">
        <is>
          <t>Grayson Coulter</t>
        </is>
      </c>
      <c r="D2885" s="33" t="inlineStr">
        <is>
          <t>SwimCloud</t>
        </is>
      </c>
      <c r="E2885" s="33" t="inlineStr">
        <is>
          <t>3651023</t>
        </is>
      </c>
      <c r="F2885" s="33" t="inlineStr">
        <is>
          <t>149408425</t>
        </is>
      </c>
      <c r="G2885" s="51" t="n">
        <v>45732</v>
      </c>
      <c r="H2885" s="33" t="inlineStr">
        <is>
          <t>Swimming Auckland Age Group and Open Championships</t>
        </is>
      </c>
      <c r="I2885" s="33" t="inlineStr">
        <is>
          <t>340538</t>
        </is>
      </c>
      <c r="J2885" s="33" t="n"/>
      <c r="K2885" s="33" t="inlineStr">
        <is>
          <t>PRE</t>
        </is>
      </c>
      <c r="L2885" s="35">
        <f>IF(K2885="FIN",3,IF(OR(K2885="SEM",K2885="SEMI"),2,IF(OR(K2885="PRE",K2885="HEAT"),1,IF(V2885="YES",4,2))))</f>
        <v/>
      </c>
      <c r="M2885" s="33" t="inlineStr">
        <is>
          <t>LCM</t>
        </is>
      </c>
      <c r="N2885" s="33" t="n">
        <v>50</v>
      </c>
      <c r="O2885" s="33" t="inlineStr">
        <is>
          <t>Back</t>
        </is>
      </c>
      <c r="P2885" s="33" t="inlineStr">
        <is>
          <t>50 Back</t>
        </is>
      </c>
      <c r="Q2885" s="33" t="inlineStr">
        <is>
          <t>LCM_50_BACK</t>
        </is>
      </c>
      <c r="R2885" s="36" t="n">
        <v>29.43</v>
      </c>
      <c r="S2885" s="35">
        <f>IF(R2885="","",IF(R2885&gt;=60,INT(R2885/60)&amp;":"&amp;TEXT(MOD(R2885,60),"00.00"),TEXT(R2885,"0.00")))</f>
        <v/>
      </c>
      <c r="T2885" s="52">
        <f>IFERROR((G2885-INDEX('01_Swimmers'!$E$5:$E$22,MATCH(B2885,'01_Swimmers'!$A$5:$A$22,0)))/'00_Control'!$B$10,"")</f>
        <v/>
      </c>
      <c r="U2885" s="35">
        <f>IF(T2885="","",INT(T2885))</f>
        <v/>
      </c>
      <c r="V2885" s="33" t="inlineStr">
        <is>
          <t>NO</t>
        </is>
      </c>
      <c r="W2885" s="33" t="inlineStr">
        <is>
          <t>YES</t>
        </is>
      </c>
      <c r="X2885" s="33" t="inlineStr">
        <is>
          <t>NO</t>
        </is>
      </c>
      <c r="Y2885" s="33" t="n">
        <v>10</v>
      </c>
      <c r="Z2885" s="33" t="n">
        <v>8</v>
      </c>
      <c r="AA2885" s="33" t="inlineStr"/>
      <c r="AB2885" s="33" t="inlineStr">
        <is>
          <t>https://www.swimcloud.com/results/340538/event/28/?id=149407264#time149407264</t>
        </is>
      </c>
      <c r="AC2885" s="33" t="inlineStr">
        <is>
          <t>SwimCloud all-event v8 2026-10-09</t>
        </is>
      </c>
      <c r="AD2885" s="33" t="inlineStr">
        <is>
          <t>Grayson Coulter|2025-03-16|LCM|50|Back|29.43|Swimming Auckland Age Group and Open Championships|PRE|False</t>
        </is>
      </c>
      <c r="AE2885" s="53">
        <f>G2885+L2885/1000+ROW()/1000000000</f>
        <v/>
      </c>
      <c r="AF2885" s="35">
        <f>IF(C2885&lt;&gt;"Grayson Coulter","",COUNTIFS($C$5:$C$2991,"Grayson Coulter",$Q$5:$Q$2991,Q2885,$AE$5:$AE$2991,"&lt;="&amp;AE2885,$R$5:$R$2991,"&lt;"&amp;R2885))</f>
        <v/>
      </c>
      <c r="AG2885" s="35">
        <f>IF(OR(C2885&lt;&gt;"Grayson Coulter",G2885&lt;'00_Control'!$B$7),"",--(AF2885&lt;5))</f>
        <v/>
      </c>
      <c r="AH2885" s="35">
        <f>IF(OR(C2885&lt;&gt;"Grayson Coulter",G2885&lt;'00_Control'!$B$7),"",--(AF2885&lt;10))</f>
        <v/>
      </c>
      <c r="AI2885" s="35">
        <f>IF(AND(C2885="Grayson Coulter",G2885&gt;='00_Control'!$B$7),"YES","NO")</f>
        <v/>
      </c>
      <c r="AJ2885" s="33" t="inlineStr">
        <is>
          <t>OK</t>
        </is>
      </c>
    </row>
    <row r="2886">
      <c r="A2886" s="33" t="inlineStr">
        <is>
          <t>SM002882</t>
        </is>
      </c>
      <c r="B2886" s="33" t="inlineStr">
        <is>
          <t>SW001</t>
        </is>
      </c>
      <c r="C2886" s="33" t="inlineStr">
        <is>
          <t>Grayson Coulter</t>
        </is>
      </c>
      <c r="D2886" s="33" t="inlineStr">
        <is>
          <t>SwimCloud</t>
        </is>
      </c>
      <c r="E2886" s="33" t="inlineStr">
        <is>
          <t>3651023</t>
        </is>
      </c>
      <c r="F2886" s="33" t="inlineStr">
        <is>
          <t>127579667</t>
        </is>
      </c>
      <c r="G2886" s="51" t="n">
        <v>45436</v>
      </c>
      <c r="H2886" s="33" t="inlineStr">
        <is>
          <t>2024 Golden Homes Swimfest</t>
        </is>
      </c>
      <c r="I2886" s="33" t="inlineStr">
        <is>
          <t>305604</t>
        </is>
      </c>
      <c r="J2886" s="33" t="n"/>
      <c r="K2886" s="33" t="inlineStr">
        <is>
          <t>TIM</t>
        </is>
      </c>
      <c r="L2886" s="35">
        <f>IF(K2886="FIN",3,IF(OR(K2886="SEM",K2886="SEMI"),2,IF(OR(K2886="PRE",K2886="HEAT"),1,IF(V2886="YES",4,2))))</f>
        <v/>
      </c>
      <c r="M2886" s="33" t="inlineStr">
        <is>
          <t>LCM</t>
        </is>
      </c>
      <c r="N2886" s="33" t="n">
        <v>50</v>
      </c>
      <c r="O2886" s="33" t="inlineStr">
        <is>
          <t>Back</t>
        </is>
      </c>
      <c r="P2886" s="33" t="inlineStr">
        <is>
          <t>50 Back</t>
        </is>
      </c>
      <c r="Q2886" s="33" t="inlineStr">
        <is>
          <t>LCM_50_BACK</t>
        </is>
      </c>
      <c r="R2886" s="36" t="n">
        <v>30.44</v>
      </c>
      <c r="S2886" s="35">
        <f>IF(R2886="","",IF(R2886&gt;=60,INT(R2886/60)&amp;":"&amp;TEXT(MOD(R2886,60),"00.00"),TEXT(R2886,"0.00")))</f>
        <v/>
      </c>
      <c r="T2886" s="52">
        <f>IFERROR((G2886-INDEX('01_Swimmers'!$E$5:$E$22,MATCH(B2886,'01_Swimmers'!$A$5:$A$22,0)))/'00_Control'!$B$10,"")</f>
        <v/>
      </c>
      <c r="U2886" s="35">
        <f>IF(T2886="","",INT(T2886))</f>
        <v/>
      </c>
      <c r="V2886" s="33" t="inlineStr">
        <is>
          <t>NO</t>
        </is>
      </c>
      <c r="W2886" s="33" t="inlineStr">
        <is>
          <t>YES</t>
        </is>
      </c>
      <c r="X2886" s="33" t="inlineStr">
        <is>
          <t>NO</t>
        </is>
      </c>
      <c r="Y2886" s="33" t="n">
        <v>9</v>
      </c>
      <c r="Z2886" s="33" t="n">
        <v>4</v>
      </c>
      <c r="AA2886" s="33" t="inlineStr">
        <is>
          <t>1</t>
        </is>
      </c>
      <c r="AB2886" s="33" t="inlineStr">
        <is>
          <t>https://www.swimcloud.com/results/305604/event/4/?id=127579667#time127579667</t>
        </is>
      </c>
      <c r="AC2886" s="33" t="inlineStr">
        <is>
          <t>SwimCloud all-event v8 2026-10-09</t>
        </is>
      </c>
      <c r="AD2886" s="33" t="inlineStr">
        <is>
          <t>Grayson Coulter|2024-05-24|LCM|50|Back|30.44|2024 Golden Homes Swimfest|TIM|False</t>
        </is>
      </c>
      <c r="AE2886" s="53">
        <f>G2886+L2886/1000+ROW()/1000000000</f>
        <v/>
      </c>
      <c r="AF2886" s="35">
        <f>IF(C2886&lt;&gt;"Grayson Coulter","",COUNTIFS($C$5:$C$2991,"Grayson Coulter",$Q$5:$Q$2991,Q2886,$AE$5:$AE$2991,"&lt;="&amp;AE2886,$R$5:$R$2991,"&lt;"&amp;R2886))</f>
        <v/>
      </c>
      <c r="AG2886" s="35">
        <f>IF(OR(C2886&lt;&gt;"Grayson Coulter",G2886&lt;'00_Control'!$B$7),"",--(AF2886&lt;5))</f>
        <v/>
      </c>
      <c r="AH2886" s="35">
        <f>IF(OR(C2886&lt;&gt;"Grayson Coulter",G2886&lt;'00_Control'!$B$7),"",--(AF2886&lt;10))</f>
        <v/>
      </c>
      <c r="AI2886" s="35">
        <f>IF(AND(C2886="Grayson Coulter",G2886&gt;='00_Control'!$B$7),"YES","NO")</f>
        <v/>
      </c>
      <c r="AJ2886" s="33" t="inlineStr">
        <is>
          <t>OK</t>
        </is>
      </c>
    </row>
    <row r="2887">
      <c r="A2887" s="33" t="inlineStr">
        <is>
          <t>SM002883</t>
        </is>
      </c>
      <c r="B2887" s="33" t="inlineStr">
        <is>
          <t>SW001</t>
        </is>
      </c>
      <c r="C2887" s="33" t="inlineStr">
        <is>
          <t>Grayson Coulter</t>
        </is>
      </c>
      <c r="D2887" s="33" t="inlineStr">
        <is>
          <t>SwimCloud</t>
        </is>
      </c>
      <c r="E2887" s="33" t="inlineStr">
        <is>
          <t>3651023</t>
        </is>
      </c>
      <c r="F2887" s="33" t="inlineStr">
        <is>
          <t>109351167</t>
        </is>
      </c>
      <c r="G2887" s="51" t="n">
        <v>44715</v>
      </c>
      <c r="H2887" s="33" t="inlineStr">
        <is>
          <t>2022 Golden Homes Swimfest</t>
        </is>
      </c>
      <c r="I2887" s="33" t="inlineStr">
        <is>
          <t>267185</t>
        </is>
      </c>
      <c r="J2887" s="33" t="n"/>
      <c r="K2887" s="33" t="inlineStr">
        <is>
          <t>TIM</t>
        </is>
      </c>
      <c r="L2887" s="35">
        <f>IF(K2887="FIN",3,IF(OR(K2887="SEM",K2887="SEMI"),2,IF(OR(K2887="PRE",K2887="HEAT"),1,IF(V2887="YES",4,2))))</f>
        <v/>
      </c>
      <c r="M2887" s="33" t="inlineStr">
        <is>
          <t>LCM</t>
        </is>
      </c>
      <c r="N2887" s="33" t="n">
        <v>50</v>
      </c>
      <c r="O2887" s="33" t="inlineStr">
        <is>
          <t>Back</t>
        </is>
      </c>
      <c r="P2887" s="33" t="inlineStr">
        <is>
          <t>50 Back</t>
        </is>
      </c>
      <c r="Q2887" s="33" t="inlineStr">
        <is>
          <t>LCM_50_BACK</t>
        </is>
      </c>
      <c r="R2887" s="36" t="n">
        <v>36.77</v>
      </c>
      <c r="S2887" s="35">
        <f>IF(R2887="","",IF(R2887&gt;=60,INT(R2887/60)&amp;":"&amp;TEXT(MOD(R2887,60),"00.00"),TEXT(R2887,"0.00")))</f>
        <v/>
      </c>
      <c r="T2887" s="52">
        <f>IFERROR((G2887-INDEX('01_Swimmers'!$E$5:$E$22,MATCH(B2887,'01_Swimmers'!$A$5:$A$22,0)))/'00_Control'!$B$10,"")</f>
        <v/>
      </c>
      <c r="U2887" s="35">
        <f>IF(T2887="","",INT(T2887))</f>
        <v/>
      </c>
      <c r="V2887" s="33" t="inlineStr">
        <is>
          <t>NO</t>
        </is>
      </c>
      <c r="W2887" s="33" t="inlineStr">
        <is>
          <t>YES</t>
        </is>
      </c>
      <c r="X2887" s="33" t="inlineStr">
        <is>
          <t>NO</t>
        </is>
      </c>
      <c r="Y2887" s="33" t="n">
        <v>10</v>
      </c>
      <c r="Z2887" s="33" t="n">
        <v>2</v>
      </c>
      <c r="AA2887" s="33" t="inlineStr">
        <is>
          <t>27</t>
        </is>
      </c>
      <c r="AB2887" s="33" t="inlineStr">
        <is>
          <t>https://www.swimcloud.com/results/267185/event/4/?id=109351167#time109351167</t>
        </is>
      </c>
      <c r="AC2887" s="33" t="inlineStr">
        <is>
          <t>SwimCloud all-event v8 2026-10-09</t>
        </is>
      </c>
      <c r="AD2887" s="33" t="inlineStr">
        <is>
          <t>Grayson Coulter|2022-06-03|LCM|50|Back|36.77|2022 Golden Homes Swimfest|TIM|False</t>
        </is>
      </c>
      <c r="AE2887" s="53">
        <f>G2887+L2887/1000+ROW()/1000000000</f>
        <v/>
      </c>
      <c r="AF2887" s="35">
        <f>IF(C2887&lt;&gt;"Grayson Coulter","",COUNTIFS($C$5:$C$2991,"Grayson Coulter",$Q$5:$Q$2991,Q2887,$AE$5:$AE$2991,"&lt;="&amp;AE2887,$R$5:$R$2991,"&lt;"&amp;R2887))</f>
        <v/>
      </c>
      <c r="AG2887" s="35">
        <f>IF(OR(C2887&lt;&gt;"Grayson Coulter",G2887&lt;'00_Control'!$B$7),"",--(AF2887&lt;5))</f>
        <v/>
      </c>
      <c r="AH2887" s="35">
        <f>IF(OR(C2887&lt;&gt;"Grayson Coulter",G2887&lt;'00_Control'!$B$7),"",--(AF2887&lt;10))</f>
        <v/>
      </c>
      <c r="AI2887" s="35">
        <f>IF(AND(C2887="Grayson Coulter",G2887&gt;='00_Control'!$B$7),"YES","NO")</f>
        <v/>
      </c>
      <c r="AJ2887" s="33" t="inlineStr">
        <is>
          <t>OK</t>
        </is>
      </c>
    </row>
    <row r="2888">
      <c r="A2888" s="33" t="inlineStr">
        <is>
          <t>SM002884</t>
        </is>
      </c>
      <c r="B2888" s="33" t="inlineStr">
        <is>
          <t>SW001</t>
        </is>
      </c>
      <c r="C2888" s="33" t="inlineStr">
        <is>
          <t>Grayson Coulter</t>
        </is>
      </c>
      <c r="D2888" s="33" t="inlineStr">
        <is>
          <t>SwimCloud</t>
        </is>
      </c>
      <c r="E2888" s="33" t="inlineStr">
        <is>
          <t>3651023</t>
        </is>
      </c>
      <c r="F2888" s="33" t="inlineStr">
        <is>
          <t>137761437</t>
        </is>
      </c>
      <c r="G2888" s="51" t="n">
        <v>45556</v>
      </c>
      <c r="H2888" s="33" t="inlineStr">
        <is>
          <t>SW Junior Champs</t>
        </is>
      </c>
      <c r="I2888" s="33" t="inlineStr">
        <is>
          <t>323327</t>
        </is>
      </c>
      <c r="J2888" s="33" t="n"/>
      <c r="K2888" s="33" t="inlineStr">
        <is>
          <t>TIM</t>
        </is>
      </c>
      <c r="L2888" s="35">
        <f>IF(K2888="FIN",3,IF(OR(K2888="SEM",K2888="SEMI"),2,IF(OR(K2888="PRE",K2888="HEAT"),1,IF(V2888="YES",4,2))))</f>
        <v/>
      </c>
      <c r="M2888" s="33" t="inlineStr">
        <is>
          <t>SCM</t>
        </is>
      </c>
      <c r="N2888" s="33" t="n">
        <v>50</v>
      </c>
      <c r="O2888" s="33" t="inlineStr">
        <is>
          <t>Back</t>
        </is>
      </c>
      <c r="P2888" s="33" t="inlineStr">
        <is>
          <t>50 Back</t>
        </is>
      </c>
      <c r="Q2888" s="33" t="inlineStr">
        <is>
          <t>SCM_50_BACK</t>
        </is>
      </c>
      <c r="R2888" s="36" t="n">
        <v>28.81</v>
      </c>
      <c r="S2888" s="35">
        <f>IF(R2888="","",IF(R2888&gt;=60,INT(R2888/60)&amp;":"&amp;TEXT(MOD(R2888,60),"00.00"),TEXT(R2888,"0.00")))</f>
        <v/>
      </c>
      <c r="T2888" s="52">
        <f>IFERROR((G2888-INDEX('01_Swimmers'!$E$5:$E$22,MATCH(B2888,'01_Swimmers'!$A$5:$A$22,0)))/'00_Control'!$B$10,"")</f>
        <v/>
      </c>
      <c r="U2888" s="35">
        <f>IF(T2888="","",INT(T2888))</f>
        <v/>
      </c>
      <c r="V2888" s="33" t="inlineStr">
        <is>
          <t>NO</t>
        </is>
      </c>
      <c r="W2888" s="33" t="inlineStr">
        <is>
          <t>YES</t>
        </is>
      </c>
      <c r="X2888" s="33" t="inlineStr">
        <is>
          <t>NO</t>
        </is>
      </c>
      <c r="Y2888" s="33" t="n">
        <v>2</v>
      </c>
      <c r="Z2888" s="33" t="n">
        <v>4</v>
      </c>
      <c r="AA2888" s="33" t="inlineStr">
        <is>
          <t>1</t>
        </is>
      </c>
      <c r="AB2888" s="33" t="inlineStr">
        <is>
          <t>https://www.swimcloud.com/results/323327/event/5/?id=137761437#time137761437</t>
        </is>
      </c>
      <c r="AC2888" s="33" t="inlineStr">
        <is>
          <t>SwimCloud all-event v8 2026-10-09</t>
        </is>
      </c>
      <c r="AD2888" s="33" t="inlineStr">
        <is>
          <t>Grayson Coulter|2024-09-21|SCM|50|Back|28.81|SW Junior Champs|TIM|False</t>
        </is>
      </c>
      <c r="AE2888" s="53">
        <f>G2888+L2888/1000+ROW()/1000000000</f>
        <v/>
      </c>
      <c r="AF2888" s="35">
        <f>IF(C2888&lt;&gt;"Grayson Coulter","",COUNTIFS($C$5:$C$2991,"Grayson Coulter",$Q$5:$Q$2991,Q2888,$AE$5:$AE$2991,"&lt;="&amp;AE2888,$R$5:$R$2991,"&lt;"&amp;R2888))</f>
        <v/>
      </c>
      <c r="AG2888" s="35">
        <f>IF(OR(C2888&lt;&gt;"Grayson Coulter",G2888&lt;'00_Control'!$B$7),"",--(AF2888&lt;5))</f>
        <v/>
      </c>
      <c r="AH2888" s="35">
        <f>IF(OR(C2888&lt;&gt;"Grayson Coulter",G2888&lt;'00_Control'!$B$7),"",--(AF2888&lt;10))</f>
        <v/>
      </c>
      <c r="AI2888" s="35">
        <f>IF(AND(C2888="Grayson Coulter",G2888&gt;='00_Control'!$B$7),"YES","NO")</f>
        <v/>
      </c>
      <c r="AJ2888" s="33" t="inlineStr">
        <is>
          <t>OK</t>
        </is>
      </c>
    </row>
    <row r="2889">
      <c r="A2889" s="33" t="inlineStr">
        <is>
          <t>SM002885</t>
        </is>
      </c>
      <c r="B2889" s="33" t="inlineStr">
        <is>
          <t>SW001</t>
        </is>
      </c>
      <c r="C2889" s="33" t="inlineStr">
        <is>
          <t>Grayson Coulter</t>
        </is>
      </c>
      <c r="D2889" s="33" t="inlineStr">
        <is>
          <t>SwimCloud</t>
        </is>
      </c>
      <c r="E2889" s="33" t="inlineStr">
        <is>
          <t>3651023</t>
        </is>
      </c>
      <c r="F2889" s="33" t="inlineStr">
        <is>
          <t>137772218</t>
        </is>
      </c>
      <c r="G2889" s="51" t="n">
        <v>45545</v>
      </c>
      <c r="H2889" s="33" t="inlineStr">
        <is>
          <t>Zespri AIMS Games - Kauh</t>
        </is>
      </c>
      <c r="I2889" s="33" t="inlineStr">
        <is>
          <t>323338</t>
        </is>
      </c>
      <c r="J2889" s="33" t="n"/>
      <c r="K2889" s="33" t="inlineStr">
        <is>
          <t>TIM</t>
        </is>
      </c>
      <c r="L2889" s="35">
        <f>IF(K2889="FIN",3,IF(OR(K2889="SEM",K2889="SEMI"),2,IF(OR(K2889="PRE",K2889="HEAT"),1,IF(V2889="YES",4,2))))</f>
        <v/>
      </c>
      <c r="M2889" s="33" t="inlineStr">
        <is>
          <t>SCM</t>
        </is>
      </c>
      <c r="N2889" s="33" t="n">
        <v>50</v>
      </c>
      <c r="O2889" s="33" t="inlineStr">
        <is>
          <t>Back</t>
        </is>
      </c>
      <c r="P2889" s="33" t="inlineStr">
        <is>
          <t>50 Back</t>
        </is>
      </c>
      <c r="Q2889" s="33" t="inlineStr">
        <is>
          <t>SCM_50_BACK</t>
        </is>
      </c>
      <c r="R2889" s="36" t="n">
        <v>28.46</v>
      </c>
      <c r="S2889" s="35">
        <f>IF(R2889="","",IF(R2889&gt;=60,INT(R2889/60)&amp;":"&amp;TEXT(MOD(R2889,60),"00.00"),TEXT(R2889,"0.00")))</f>
        <v/>
      </c>
      <c r="T2889" s="52">
        <f>IFERROR((G2889-INDEX('01_Swimmers'!$E$5:$E$22,MATCH(B2889,'01_Swimmers'!$A$5:$A$22,0)))/'00_Control'!$B$10,"")</f>
        <v/>
      </c>
      <c r="U2889" s="35">
        <f>IF(T2889="","",INT(T2889))</f>
        <v/>
      </c>
      <c r="V2889" s="33" t="inlineStr">
        <is>
          <t>NO</t>
        </is>
      </c>
      <c r="W2889" s="33" t="inlineStr">
        <is>
          <t>YES</t>
        </is>
      </c>
      <c r="X2889" s="33" t="inlineStr">
        <is>
          <t>NO</t>
        </is>
      </c>
      <c r="Y2889" s="33" t="n">
        <v>7</v>
      </c>
      <c r="Z2889" s="33" t="n">
        <v>5</v>
      </c>
      <c r="AA2889" s="33" t="inlineStr">
        <is>
          <t>1</t>
        </is>
      </c>
      <c r="AB2889" s="33" t="inlineStr">
        <is>
          <t>https://www.swimcloud.com/results/323338/event/72/?id=137772218#time137772218</t>
        </is>
      </c>
      <c r="AC2889" s="33" t="inlineStr">
        <is>
          <t>SwimCloud all-event v8 2026-10-09</t>
        </is>
      </c>
      <c r="AD2889" s="33" t="inlineStr">
        <is>
          <t>Grayson Coulter|2024-09-10|SCM|50|Back|28.46|Zespri AIMS Games - Kauh|TIM|False</t>
        </is>
      </c>
      <c r="AE2889" s="53">
        <f>G2889+L2889/1000+ROW()/1000000000</f>
        <v/>
      </c>
      <c r="AF2889" s="35">
        <f>IF(C2889&lt;&gt;"Grayson Coulter","",COUNTIFS($C$5:$C$2991,"Grayson Coulter",$Q$5:$Q$2991,Q2889,$AE$5:$AE$2991,"&lt;="&amp;AE2889,$R$5:$R$2991,"&lt;"&amp;R2889))</f>
        <v/>
      </c>
      <c r="AG2889" s="35">
        <f>IF(OR(C2889&lt;&gt;"Grayson Coulter",G2889&lt;'00_Control'!$B$7),"",--(AF2889&lt;5))</f>
        <v/>
      </c>
      <c r="AH2889" s="35">
        <f>IF(OR(C2889&lt;&gt;"Grayson Coulter",G2889&lt;'00_Control'!$B$7),"",--(AF2889&lt;10))</f>
        <v/>
      </c>
      <c r="AI2889" s="35">
        <f>IF(AND(C2889="Grayson Coulter",G2889&gt;='00_Control'!$B$7),"YES","NO")</f>
        <v/>
      </c>
      <c r="AJ2889" s="33" t="inlineStr">
        <is>
          <t>OK</t>
        </is>
      </c>
    </row>
    <row r="2890">
      <c r="A2890" s="33" t="inlineStr">
        <is>
          <t>SM002886</t>
        </is>
      </c>
      <c r="B2890" s="33" t="inlineStr">
        <is>
          <t>SW001</t>
        </is>
      </c>
      <c r="C2890" s="33" t="inlineStr">
        <is>
          <t>Grayson Coulter</t>
        </is>
      </c>
      <c r="D2890" s="33" t="inlineStr">
        <is>
          <t>SwimCloud</t>
        </is>
      </c>
      <c r="E2890" s="33" t="inlineStr">
        <is>
          <t>3651023</t>
        </is>
      </c>
      <c r="F2890" s="33" t="inlineStr">
        <is>
          <t>124995204</t>
        </is>
      </c>
      <c r="G2890" s="51" t="n">
        <v>45234</v>
      </c>
      <c r="H2890" s="33" t="inlineStr">
        <is>
          <t>2023 NZ Junior Festival - Harlequins</t>
        </is>
      </c>
      <c r="I2890" s="33" t="inlineStr">
        <is>
          <t>302562</t>
        </is>
      </c>
      <c r="J2890" s="33" t="n"/>
      <c r="K2890" s="33" t="inlineStr">
        <is>
          <t>TIM</t>
        </is>
      </c>
      <c r="L2890" s="35">
        <f>IF(K2890="FIN",3,IF(OR(K2890="SEM",K2890="SEMI"),2,IF(OR(K2890="PRE",K2890="HEAT"),1,IF(V2890="YES",4,2))))</f>
        <v/>
      </c>
      <c r="M2890" s="33" t="inlineStr">
        <is>
          <t>SCM</t>
        </is>
      </c>
      <c r="N2890" s="33" t="n">
        <v>50</v>
      </c>
      <c r="O2890" s="33" t="inlineStr">
        <is>
          <t>Back</t>
        </is>
      </c>
      <c r="P2890" s="33" t="inlineStr">
        <is>
          <t>50 Back</t>
        </is>
      </c>
      <c r="Q2890" s="33" t="inlineStr">
        <is>
          <t>SCM_50_BACK</t>
        </is>
      </c>
      <c r="R2890" s="36" t="n">
        <v>30.27</v>
      </c>
      <c r="S2890" s="35">
        <f>IF(R2890="","",IF(R2890&gt;=60,INT(R2890/60)&amp;":"&amp;TEXT(MOD(R2890,60),"00.00"),TEXT(R2890,"0.00")))</f>
        <v/>
      </c>
      <c r="T2890" s="52">
        <f>IFERROR((G2890-INDEX('01_Swimmers'!$E$5:$E$22,MATCH(B2890,'01_Swimmers'!$A$5:$A$22,0)))/'00_Control'!$B$10,"")</f>
        <v/>
      </c>
      <c r="U2890" s="35">
        <f>IF(T2890="","",INT(T2890))</f>
        <v/>
      </c>
      <c r="V2890" s="33" t="inlineStr">
        <is>
          <t>NO</t>
        </is>
      </c>
      <c r="W2890" s="33" t="inlineStr">
        <is>
          <t>YES</t>
        </is>
      </c>
      <c r="X2890" s="33" t="inlineStr">
        <is>
          <t>NO</t>
        </is>
      </c>
      <c r="Y2890" s="33" t="n">
        <v>4</v>
      </c>
      <c r="Z2890" s="33" t="n">
        <v>4</v>
      </c>
      <c r="AA2890" s="33" t="inlineStr">
        <is>
          <t>1</t>
        </is>
      </c>
      <c r="AB2890" s="33" t="inlineStr">
        <is>
          <t>https://www.swimcloud.com/results/302562/event/37/?id=124995204#time124995204</t>
        </is>
      </c>
      <c r="AC2890" s="33" t="inlineStr">
        <is>
          <t>SwimCloud all-event v8 2026-10-09</t>
        </is>
      </c>
      <c r="AD2890" s="33" t="inlineStr">
        <is>
          <t>Grayson Coulter|2023-11-04|SCM|50|Back|30.27|2023 NZ Junior Festival - Harlequins|TIM|False</t>
        </is>
      </c>
      <c r="AE2890" s="53">
        <f>G2890+L2890/1000+ROW()/1000000000</f>
        <v/>
      </c>
      <c r="AF2890" s="35">
        <f>IF(C2890&lt;&gt;"Grayson Coulter","",COUNTIFS($C$5:$C$2991,"Grayson Coulter",$Q$5:$Q$2991,Q2890,$AE$5:$AE$2991,"&lt;="&amp;AE2890,$R$5:$R$2991,"&lt;"&amp;R2890))</f>
        <v/>
      </c>
      <c r="AG2890" s="35">
        <f>IF(OR(C2890&lt;&gt;"Grayson Coulter",G2890&lt;'00_Control'!$B$7),"",--(AF2890&lt;5))</f>
        <v/>
      </c>
      <c r="AH2890" s="35">
        <f>IF(OR(C2890&lt;&gt;"Grayson Coulter",G2890&lt;'00_Control'!$B$7),"",--(AF2890&lt;10))</f>
        <v/>
      </c>
      <c r="AI2890" s="35">
        <f>IF(AND(C2890="Grayson Coulter",G2890&gt;='00_Control'!$B$7),"YES","NO")</f>
        <v/>
      </c>
      <c r="AJ2890" s="33" t="inlineStr">
        <is>
          <t>OK</t>
        </is>
      </c>
    </row>
    <row r="2891">
      <c r="A2891" s="33" t="inlineStr">
        <is>
          <t>SM002887</t>
        </is>
      </c>
      <c r="B2891" s="33" t="inlineStr">
        <is>
          <t>SW001</t>
        </is>
      </c>
      <c r="C2891" s="33" t="inlineStr">
        <is>
          <t>Grayson Coulter</t>
        </is>
      </c>
      <c r="D2891" s="33" t="inlineStr">
        <is>
          <t>SwimCloud</t>
        </is>
      </c>
      <c r="E2891" s="33" t="inlineStr">
        <is>
          <t>3651023</t>
        </is>
      </c>
      <c r="F2891" s="33" t="inlineStr">
        <is>
          <t>125055431</t>
        </is>
      </c>
      <c r="G2891" s="51" t="n">
        <v>45011</v>
      </c>
      <c r="H2891" s="33" t="inlineStr">
        <is>
          <t>2023 ASA Juniors</t>
        </is>
      </c>
      <c r="I2891" s="33" t="inlineStr">
        <is>
          <t>302652</t>
        </is>
      </c>
      <c r="J2891" s="33" t="n"/>
      <c r="K2891" s="33" t="inlineStr">
        <is>
          <t>TIM</t>
        </is>
      </c>
      <c r="L2891" s="35">
        <f>IF(K2891="FIN",3,IF(OR(K2891="SEM",K2891="SEMI"),2,IF(OR(K2891="PRE",K2891="HEAT"),1,IF(V2891="YES",4,2))))</f>
        <v/>
      </c>
      <c r="M2891" s="33" t="inlineStr">
        <is>
          <t>SCM</t>
        </is>
      </c>
      <c r="N2891" s="33" t="n">
        <v>50</v>
      </c>
      <c r="O2891" s="33" t="inlineStr">
        <is>
          <t>Back</t>
        </is>
      </c>
      <c r="P2891" s="33" t="inlineStr">
        <is>
          <t>50 Back</t>
        </is>
      </c>
      <c r="Q2891" s="33" t="inlineStr">
        <is>
          <t>SCM_50_BACK</t>
        </is>
      </c>
      <c r="R2891" s="36" t="n">
        <v>32.28</v>
      </c>
      <c r="S2891" s="35">
        <f>IF(R2891="","",IF(R2891&gt;=60,INT(R2891/60)&amp;":"&amp;TEXT(MOD(R2891,60),"00.00"),TEXT(R2891,"0.00")))</f>
        <v/>
      </c>
      <c r="T2891" s="52">
        <f>IFERROR((G2891-INDEX('01_Swimmers'!$E$5:$E$22,MATCH(B2891,'01_Swimmers'!$A$5:$A$22,0)))/'00_Control'!$B$10,"")</f>
        <v/>
      </c>
      <c r="U2891" s="35">
        <f>IF(T2891="","",INT(T2891))</f>
        <v/>
      </c>
      <c r="V2891" s="33" t="inlineStr">
        <is>
          <t>NO</t>
        </is>
      </c>
      <c r="W2891" s="33" t="inlineStr">
        <is>
          <t>YES</t>
        </is>
      </c>
      <c r="X2891" s="33" t="inlineStr">
        <is>
          <t>NO</t>
        </is>
      </c>
      <c r="Y2891" s="33" t="n">
        <v>12</v>
      </c>
      <c r="Z2891" s="33" t="n">
        <v>5</v>
      </c>
      <c r="AA2891" s="33" t="inlineStr">
        <is>
          <t>1</t>
        </is>
      </c>
      <c r="AB2891" s="33" t="inlineStr">
        <is>
          <t>https://www.swimcloud.com/results/302652/event/15/?id=125055431#time125055431</t>
        </is>
      </c>
      <c r="AC2891" s="33" t="inlineStr">
        <is>
          <t>SwimCloud all-event v8 2026-10-09</t>
        </is>
      </c>
      <c r="AD2891" s="33" t="inlineStr">
        <is>
          <t>Grayson Coulter|2023-03-26|SCM|50|Back|32.28|2023 ASA Juniors|TIM|False</t>
        </is>
      </c>
      <c r="AE2891" s="53">
        <f>G2891+L2891/1000+ROW()/1000000000</f>
        <v/>
      </c>
      <c r="AF2891" s="35">
        <f>IF(C2891&lt;&gt;"Grayson Coulter","",COUNTIFS($C$5:$C$2991,"Grayson Coulter",$Q$5:$Q$2991,Q2891,$AE$5:$AE$2991,"&lt;="&amp;AE2891,$R$5:$R$2991,"&lt;"&amp;R2891))</f>
        <v/>
      </c>
      <c r="AG2891" s="35">
        <f>IF(OR(C2891&lt;&gt;"Grayson Coulter",G2891&lt;'00_Control'!$B$7),"",--(AF2891&lt;5))</f>
        <v/>
      </c>
      <c r="AH2891" s="35">
        <f>IF(OR(C2891&lt;&gt;"Grayson Coulter",G2891&lt;'00_Control'!$B$7),"",--(AF2891&lt;10))</f>
        <v/>
      </c>
      <c r="AI2891" s="35">
        <f>IF(AND(C2891="Grayson Coulter",G2891&gt;='00_Control'!$B$7),"YES","NO")</f>
        <v/>
      </c>
      <c r="AJ2891" s="33" t="inlineStr">
        <is>
          <t>OK</t>
        </is>
      </c>
    </row>
    <row r="2892">
      <c r="A2892" s="33" t="inlineStr">
        <is>
          <t>SM002888</t>
        </is>
      </c>
      <c r="B2892" s="33" t="inlineStr">
        <is>
          <t>SW001</t>
        </is>
      </c>
      <c r="C2892" s="33" t="inlineStr">
        <is>
          <t>Grayson Coulter</t>
        </is>
      </c>
      <c r="D2892" s="33" t="inlineStr">
        <is>
          <t>SwimCloud</t>
        </is>
      </c>
      <c r="E2892" s="33" t="inlineStr">
        <is>
          <t>3651023</t>
        </is>
      </c>
      <c r="F2892" s="33" t="inlineStr">
        <is>
          <t>185510973</t>
        </is>
      </c>
      <c r="G2892" s="51" t="n">
        <v>46220</v>
      </c>
      <c r="H2892" s="33" t="inlineStr">
        <is>
          <t>2026 Golden Homes Swimfest</t>
        </is>
      </c>
      <c r="I2892" s="33" t="inlineStr">
        <is>
          <t>391961</t>
        </is>
      </c>
      <c r="J2892" s="33" t="n"/>
      <c r="K2892" s="33" t="inlineStr">
        <is>
          <t>TIM</t>
        </is>
      </c>
      <c r="L2892" s="35">
        <f>IF(K2892="FIN",3,IF(OR(K2892="SEM",K2892="SEMI"),2,IF(OR(K2892="PRE",K2892="HEAT"),1,IF(V2892="YES",4,2))))</f>
        <v/>
      </c>
      <c r="M2892" s="33" t="inlineStr">
        <is>
          <t>LCM</t>
        </is>
      </c>
      <c r="N2892" s="33" t="n">
        <v>50</v>
      </c>
      <c r="O2892" s="33" t="inlineStr">
        <is>
          <t>Breast</t>
        </is>
      </c>
      <c r="P2892" s="33" t="inlineStr">
        <is>
          <t>50 Breast</t>
        </is>
      </c>
      <c r="Q2892" s="33" t="inlineStr">
        <is>
          <t>LCM_50_BREAST</t>
        </is>
      </c>
      <c r="R2892" s="36" t="n">
        <v>32.98</v>
      </c>
      <c r="S2892" s="35">
        <f>IF(R2892="","",IF(R2892&gt;=60,INT(R2892/60)&amp;":"&amp;TEXT(MOD(R2892,60),"00.00"),TEXT(R2892,"0.00")))</f>
        <v/>
      </c>
      <c r="T2892" s="52">
        <f>IFERROR((G2892-INDEX('01_Swimmers'!$E$5:$E$22,MATCH(B2892,'01_Swimmers'!$A$5:$A$22,0)))/'00_Control'!$B$10,"")</f>
        <v/>
      </c>
      <c r="U2892" s="35">
        <f>IF(T2892="","",INT(T2892))</f>
        <v/>
      </c>
      <c r="V2892" s="33" t="inlineStr">
        <is>
          <t>NO</t>
        </is>
      </c>
      <c r="W2892" s="33" t="inlineStr">
        <is>
          <t>YES</t>
        </is>
      </c>
      <c r="X2892" s="33" t="inlineStr">
        <is>
          <t>NO</t>
        </is>
      </c>
      <c r="Y2892" s="33" t="n">
        <v>5</v>
      </c>
      <c r="Z2892" s="33" t="n">
        <v>6</v>
      </c>
      <c r="AA2892" s="33" t="inlineStr">
        <is>
          <t>5</t>
        </is>
      </c>
      <c r="AB2892" s="33" t="inlineStr">
        <is>
          <t>https://www.swimcloud.com/results/391961/event/14/?id=185510973#time185510973</t>
        </is>
      </c>
      <c r="AC2892" s="33" t="inlineStr">
        <is>
          <t>SwimCloud all-event v8 2026-10-09</t>
        </is>
      </c>
      <c r="AD2892" s="33" t="inlineStr">
        <is>
          <t>Grayson Coulter|2026-07-17|LCM|50|Breast|32.98|2026 Golden Homes Swimfest|TIM|False</t>
        </is>
      </c>
      <c r="AE2892" s="53">
        <f>G2892+L2892/1000+ROW()/1000000000</f>
        <v/>
      </c>
      <c r="AF2892" s="35">
        <f>IF(C2892&lt;&gt;"Grayson Coulter","",COUNTIFS($C$5:$C$2991,"Grayson Coulter",$Q$5:$Q$2991,Q2892,$AE$5:$AE$2991,"&lt;="&amp;AE2892,$R$5:$R$2991,"&lt;"&amp;R2892))</f>
        <v/>
      </c>
      <c r="AG2892" s="35">
        <f>IF(OR(C2892&lt;&gt;"Grayson Coulter",G2892&lt;'00_Control'!$B$7),"",--(AF2892&lt;5))</f>
        <v/>
      </c>
      <c r="AH2892" s="35">
        <f>IF(OR(C2892&lt;&gt;"Grayson Coulter",G2892&lt;'00_Control'!$B$7),"",--(AF2892&lt;10))</f>
        <v/>
      </c>
      <c r="AI2892" s="35">
        <f>IF(AND(C2892="Grayson Coulter",G2892&gt;='00_Control'!$B$7),"YES","NO")</f>
        <v/>
      </c>
      <c r="AJ2892" s="33" t="inlineStr">
        <is>
          <t>OK</t>
        </is>
      </c>
    </row>
    <row r="2893">
      <c r="A2893" s="33" t="inlineStr">
        <is>
          <t>SM002889</t>
        </is>
      </c>
      <c r="B2893" s="33" t="inlineStr">
        <is>
          <t>SW001</t>
        </is>
      </c>
      <c r="C2893" s="33" t="inlineStr">
        <is>
          <t>Grayson Coulter</t>
        </is>
      </c>
      <c r="D2893" s="33" t="inlineStr">
        <is>
          <t>SwimCloud</t>
        </is>
      </c>
      <c r="E2893" s="33" t="inlineStr">
        <is>
          <t>3651023</t>
        </is>
      </c>
      <c r="F2893" s="33" t="inlineStr">
        <is>
          <t>151360709</t>
        </is>
      </c>
      <c r="G2893" s="51" t="n">
        <v>45761</v>
      </c>
      <c r="H2893" s="33" t="inlineStr">
        <is>
          <t>Apollo Projects New Zealand Age Group Championships</t>
        </is>
      </c>
      <c r="I2893" s="33" t="inlineStr">
        <is>
          <t>342666</t>
        </is>
      </c>
      <c r="J2893" s="33" t="n"/>
      <c r="K2893" s="33" t="inlineStr">
        <is>
          <t>FIN</t>
        </is>
      </c>
      <c r="L2893" s="35">
        <f>IF(K2893="FIN",3,IF(OR(K2893="SEM",K2893="SEMI"),2,IF(OR(K2893="PRE",K2893="HEAT"),1,IF(V2893="YES",4,2))))</f>
        <v/>
      </c>
      <c r="M2893" s="33" t="inlineStr">
        <is>
          <t>LCM</t>
        </is>
      </c>
      <c r="N2893" s="33" t="n">
        <v>50</v>
      </c>
      <c r="O2893" s="33" t="inlineStr">
        <is>
          <t>Breast</t>
        </is>
      </c>
      <c r="P2893" s="33" t="inlineStr">
        <is>
          <t>50 Breast</t>
        </is>
      </c>
      <c r="Q2893" s="33" t="inlineStr">
        <is>
          <t>LCM_50_BREAST</t>
        </is>
      </c>
      <c r="R2893" s="36" t="n">
        <v>34.8</v>
      </c>
      <c r="S2893" s="35">
        <f>IF(R2893="","",IF(R2893&gt;=60,INT(R2893/60)&amp;":"&amp;TEXT(MOD(R2893,60),"00.00"),TEXT(R2893,"0.00")))</f>
        <v/>
      </c>
      <c r="T2893" s="52">
        <f>IFERROR((G2893-INDEX('01_Swimmers'!$E$5:$E$22,MATCH(B2893,'01_Swimmers'!$A$5:$A$22,0)))/'00_Control'!$B$10,"")</f>
        <v/>
      </c>
      <c r="U2893" s="35">
        <f>IF(T2893="","",INT(T2893))</f>
        <v/>
      </c>
      <c r="V2893" s="33" t="inlineStr">
        <is>
          <t>NO</t>
        </is>
      </c>
      <c r="W2893" s="33" t="inlineStr">
        <is>
          <t>YES</t>
        </is>
      </c>
      <c r="X2893" s="33" t="inlineStr">
        <is>
          <t>NO</t>
        </is>
      </c>
      <c r="Y2893" s="33" t="n">
        <v>1</v>
      </c>
      <c r="Z2893" s="33" t="n">
        <v>1</v>
      </c>
      <c r="AA2893" s="33" t="inlineStr">
        <is>
          <t>7</t>
        </is>
      </c>
      <c r="AB2893" s="33" t="inlineStr">
        <is>
          <t>https://www.swimcloud.com/results/342666/event/18/?id=151360709#time151360709</t>
        </is>
      </c>
      <c r="AC2893" s="33" t="inlineStr">
        <is>
          <t>SwimCloud all-event v8 2026-10-09</t>
        </is>
      </c>
      <c r="AD2893" s="33" t="inlineStr">
        <is>
          <t>Grayson Coulter|2025-04-14|LCM|50|Breast|34.8|Apollo Projects New Zealand Age Group Championships|FIN|False</t>
        </is>
      </c>
      <c r="AE2893" s="53">
        <f>G2893+L2893/1000+ROW()/1000000000</f>
        <v/>
      </c>
      <c r="AF2893" s="35">
        <f>IF(C2893&lt;&gt;"Grayson Coulter","",COUNTIFS($C$5:$C$2991,"Grayson Coulter",$Q$5:$Q$2991,Q2893,$AE$5:$AE$2991,"&lt;="&amp;AE2893,$R$5:$R$2991,"&lt;"&amp;R2893))</f>
        <v/>
      </c>
      <c r="AG2893" s="35">
        <f>IF(OR(C2893&lt;&gt;"Grayson Coulter",G2893&lt;'00_Control'!$B$7),"",--(AF2893&lt;5))</f>
        <v/>
      </c>
      <c r="AH2893" s="35">
        <f>IF(OR(C2893&lt;&gt;"Grayson Coulter",G2893&lt;'00_Control'!$B$7),"",--(AF2893&lt;10))</f>
        <v/>
      </c>
      <c r="AI2893" s="35">
        <f>IF(AND(C2893="Grayson Coulter",G2893&gt;='00_Control'!$B$7),"YES","NO")</f>
        <v/>
      </c>
      <c r="AJ2893" s="33" t="inlineStr">
        <is>
          <t>OK</t>
        </is>
      </c>
    </row>
    <row r="2894">
      <c r="A2894" s="33" t="inlineStr">
        <is>
          <t>SM002890</t>
        </is>
      </c>
      <c r="B2894" s="33" t="inlineStr">
        <is>
          <t>SW001</t>
        </is>
      </c>
      <c r="C2894" s="33" t="inlineStr">
        <is>
          <t>Grayson Coulter</t>
        </is>
      </c>
      <c r="D2894" s="33" t="inlineStr">
        <is>
          <t>SwimCloud</t>
        </is>
      </c>
      <c r="E2894" s="33" t="inlineStr">
        <is>
          <t>3651023</t>
        </is>
      </c>
      <c r="F2894" s="33" t="inlineStr">
        <is>
          <t>151360700</t>
        </is>
      </c>
      <c r="G2894" s="51" t="n">
        <v>45761</v>
      </c>
      <c r="H2894" s="33" t="inlineStr">
        <is>
          <t>Apollo Projects New Zealand Age Group Championships</t>
        </is>
      </c>
      <c r="I2894" s="33" t="inlineStr">
        <is>
          <t>342666</t>
        </is>
      </c>
      <c r="J2894" s="33" t="n"/>
      <c r="K2894" s="33" t="inlineStr">
        <is>
          <t>PRE</t>
        </is>
      </c>
      <c r="L2894" s="35">
        <f>IF(K2894="FIN",3,IF(OR(K2894="SEM",K2894="SEMI"),2,IF(OR(K2894="PRE",K2894="HEAT"),1,IF(V2894="YES",4,2))))</f>
        <v/>
      </c>
      <c r="M2894" s="33" t="inlineStr">
        <is>
          <t>LCM</t>
        </is>
      </c>
      <c r="N2894" s="33" t="n">
        <v>50</v>
      </c>
      <c r="O2894" s="33" t="inlineStr">
        <is>
          <t>Breast</t>
        </is>
      </c>
      <c r="P2894" s="33" t="inlineStr">
        <is>
          <t>50 Breast</t>
        </is>
      </c>
      <c r="Q2894" s="33" t="inlineStr">
        <is>
          <t>LCM_50_BREAST</t>
        </is>
      </c>
      <c r="R2894" s="36" t="n">
        <v>35.18</v>
      </c>
      <c r="S2894" s="35">
        <f>IF(R2894="","",IF(R2894&gt;=60,INT(R2894/60)&amp;":"&amp;TEXT(MOD(R2894,60),"00.00"),TEXT(R2894,"0.00")))</f>
        <v/>
      </c>
      <c r="T2894" s="52">
        <f>IFERROR((G2894-INDEX('01_Swimmers'!$E$5:$E$22,MATCH(B2894,'01_Swimmers'!$A$5:$A$22,0)))/'00_Control'!$B$10,"")</f>
        <v/>
      </c>
      <c r="U2894" s="35">
        <f>IF(T2894="","",INT(T2894))</f>
        <v/>
      </c>
      <c r="V2894" s="33" t="inlineStr">
        <is>
          <t>NO</t>
        </is>
      </c>
      <c r="W2894" s="33" t="inlineStr">
        <is>
          <t>YES</t>
        </is>
      </c>
      <c r="X2894" s="33" t="inlineStr">
        <is>
          <t>NO</t>
        </is>
      </c>
      <c r="Y2894" s="33" t="n">
        <v>1</v>
      </c>
      <c r="Z2894" s="33" t="n">
        <v>9</v>
      </c>
      <c r="AA2894" s="33" t="inlineStr">
        <is>
          <t>7</t>
        </is>
      </c>
      <c r="AB2894" s="33" t="inlineStr">
        <is>
          <t>https://www.swimcloud.com/results/342666/event/18/?id=151360700#time151360700</t>
        </is>
      </c>
      <c r="AC2894" s="33" t="inlineStr">
        <is>
          <t>SwimCloud all-event v8 2026-10-09</t>
        </is>
      </c>
      <c r="AD2894" s="33" t="inlineStr">
        <is>
          <t>Grayson Coulter|2025-04-14|LCM|50|Breast|35.18|Apollo Projects New Zealand Age Group Championships|PRE|False</t>
        </is>
      </c>
      <c r="AE2894" s="53">
        <f>G2894+L2894/1000+ROW()/1000000000</f>
        <v/>
      </c>
      <c r="AF2894" s="35">
        <f>IF(C2894&lt;&gt;"Grayson Coulter","",COUNTIFS($C$5:$C$2991,"Grayson Coulter",$Q$5:$Q$2991,Q2894,$AE$5:$AE$2991,"&lt;="&amp;AE2894,$R$5:$R$2991,"&lt;"&amp;R2894))</f>
        <v/>
      </c>
      <c r="AG2894" s="35">
        <f>IF(OR(C2894&lt;&gt;"Grayson Coulter",G2894&lt;'00_Control'!$B$7),"",--(AF2894&lt;5))</f>
        <v/>
      </c>
      <c r="AH2894" s="35">
        <f>IF(OR(C2894&lt;&gt;"Grayson Coulter",G2894&lt;'00_Control'!$B$7),"",--(AF2894&lt;10))</f>
        <v/>
      </c>
      <c r="AI2894" s="35">
        <f>IF(AND(C2894="Grayson Coulter",G2894&gt;='00_Control'!$B$7),"YES","NO")</f>
        <v/>
      </c>
      <c r="AJ2894" s="33" t="inlineStr">
        <is>
          <t>OK</t>
        </is>
      </c>
    </row>
    <row r="2895">
      <c r="A2895" s="33" t="inlineStr">
        <is>
          <t>SM002891</t>
        </is>
      </c>
      <c r="B2895" s="33" t="inlineStr">
        <is>
          <t>SW001</t>
        </is>
      </c>
      <c r="C2895" s="33" t="inlineStr">
        <is>
          <t>Grayson Coulter</t>
        </is>
      </c>
      <c r="D2895" s="33" t="inlineStr">
        <is>
          <t>SwimCloud</t>
        </is>
      </c>
      <c r="E2895" s="33" t="inlineStr">
        <is>
          <t>3651023</t>
        </is>
      </c>
      <c r="F2895" s="33" t="inlineStr">
        <is>
          <t>127579722</t>
        </is>
      </c>
      <c r="G2895" s="51" t="n">
        <v>45436</v>
      </c>
      <c r="H2895" s="33" t="inlineStr">
        <is>
          <t>2024 Golden Homes Swimfest</t>
        </is>
      </c>
      <c r="I2895" s="33" t="inlineStr">
        <is>
          <t>305604</t>
        </is>
      </c>
      <c r="J2895" s="33" t="n"/>
      <c r="K2895" s="33" t="inlineStr">
        <is>
          <t>TIM</t>
        </is>
      </c>
      <c r="L2895" s="35">
        <f>IF(K2895="FIN",3,IF(OR(K2895="SEM",K2895="SEMI"),2,IF(OR(K2895="PRE",K2895="HEAT"),1,IF(V2895="YES",4,2))))</f>
        <v/>
      </c>
      <c r="M2895" s="33" t="inlineStr">
        <is>
          <t>LCM</t>
        </is>
      </c>
      <c r="N2895" s="33" t="n">
        <v>50</v>
      </c>
      <c r="O2895" s="33" t="inlineStr">
        <is>
          <t>Breast</t>
        </is>
      </c>
      <c r="P2895" s="33" t="inlineStr">
        <is>
          <t>50 Breast</t>
        </is>
      </c>
      <c r="Q2895" s="33" t="inlineStr">
        <is>
          <t>LCM_50_BREAST</t>
        </is>
      </c>
      <c r="R2895" s="36" t="n">
        <v>36.55</v>
      </c>
      <c r="S2895" s="35">
        <f>IF(R2895="","",IF(R2895&gt;=60,INT(R2895/60)&amp;":"&amp;TEXT(MOD(R2895,60),"00.00"),TEXT(R2895,"0.00")))</f>
        <v/>
      </c>
      <c r="T2895" s="52">
        <f>IFERROR((G2895-INDEX('01_Swimmers'!$E$5:$E$22,MATCH(B2895,'01_Swimmers'!$A$5:$A$22,0)))/'00_Control'!$B$10,"")</f>
        <v/>
      </c>
      <c r="U2895" s="35">
        <f>IF(T2895="","",INT(T2895))</f>
        <v/>
      </c>
      <c r="V2895" s="33" t="inlineStr">
        <is>
          <t>NO</t>
        </is>
      </c>
      <c r="W2895" s="33" t="inlineStr">
        <is>
          <t>YES</t>
        </is>
      </c>
      <c r="X2895" s="33" t="inlineStr">
        <is>
          <t>NO</t>
        </is>
      </c>
      <c r="Y2895" s="33" t="n">
        <v>9</v>
      </c>
      <c r="Z2895" s="33" t="n">
        <v>3</v>
      </c>
      <c r="AA2895" s="33" t="inlineStr">
        <is>
          <t>3</t>
        </is>
      </c>
      <c r="AB2895" s="33" t="inlineStr">
        <is>
          <t>https://www.swimcloud.com/results/305604/event/6/?id=127579722#time127579722</t>
        </is>
      </c>
      <c r="AC2895" s="33" t="inlineStr">
        <is>
          <t>SwimCloud all-event v8 2026-10-09</t>
        </is>
      </c>
      <c r="AD2895" s="33" t="inlineStr">
        <is>
          <t>Grayson Coulter|2024-05-24|LCM|50|Breast|36.55|2024 Golden Homes Swimfest|TIM|False</t>
        </is>
      </c>
      <c r="AE2895" s="53">
        <f>G2895+L2895/1000+ROW()/1000000000</f>
        <v/>
      </c>
      <c r="AF2895" s="35">
        <f>IF(C2895&lt;&gt;"Grayson Coulter","",COUNTIFS($C$5:$C$2991,"Grayson Coulter",$Q$5:$Q$2991,Q2895,$AE$5:$AE$2991,"&lt;="&amp;AE2895,$R$5:$R$2991,"&lt;"&amp;R2895))</f>
        <v/>
      </c>
      <c r="AG2895" s="35">
        <f>IF(OR(C2895&lt;&gt;"Grayson Coulter",G2895&lt;'00_Control'!$B$7),"",--(AF2895&lt;5))</f>
        <v/>
      </c>
      <c r="AH2895" s="35">
        <f>IF(OR(C2895&lt;&gt;"Grayson Coulter",G2895&lt;'00_Control'!$B$7),"",--(AF2895&lt;10))</f>
        <v/>
      </c>
      <c r="AI2895" s="35">
        <f>IF(AND(C2895="Grayson Coulter",G2895&gt;='00_Control'!$B$7),"YES","NO")</f>
        <v/>
      </c>
      <c r="AJ2895" s="33" t="inlineStr">
        <is>
          <t>OK</t>
        </is>
      </c>
    </row>
    <row r="2896">
      <c r="A2896" s="33" t="inlineStr">
        <is>
          <t>SM002892</t>
        </is>
      </c>
      <c r="B2896" s="33" t="inlineStr">
        <is>
          <t>SW001</t>
        </is>
      </c>
      <c r="C2896" s="33" t="inlineStr">
        <is>
          <t>Grayson Coulter</t>
        </is>
      </c>
      <c r="D2896" s="33" t="inlineStr">
        <is>
          <t>SwimCloud</t>
        </is>
      </c>
      <c r="E2896" s="33" t="inlineStr">
        <is>
          <t>3651023</t>
        </is>
      </c>
      <c r="F2896" s="33" t="inlineStr">
        <is>
          <t>185510710</t>
        </is>
      </c>
      <c r="G2896" s="51" t="n">
        <v>46220</v>
      </c>
      <c r="H2896" s="33" t="inlineStr">
        <is>
          <t>2026 Golden Homes Swimfest</t>
        </is>
      </c>
      <c r="I2896" s="33" t="inlineStr">
        <is>
          <t>391961</t>
        </is>
      </c>
      <c r="J2896" s="33" t="n"/>
      <c r="K2896" s="33" t="inlineStr">
        <is>
          <t>TIM</t>
        </is>
      </c>
      <c r="L2896" s="35">
        <f>IF(K2896="FIN",3,IF(OR(K2896="SEM",K2896="SEMI"),2,IF(OR(K2896="PRE",K2896="HEAT"),1,IF(V2896="YES",4,2))))</f>
        <v/>
      </c>
      <c r="M2896" s="33" t="inlineStr">
        <is>
          <t>LCM</t>
        </is>
      </c>
      <c r="N2896" s="33" t="n">
        <v>50</v>
      </c>
      <c r="O2896" s="33" t="inlineStr">
        <is>
          <t>Fly</t>
        </is>
      </c>
      <c r="P2896" s="33" t="inlineStr">
        <is>
          <t>50 Fly</t>
        </is>
      </c>
      <c r="Q2896" s="33" t="inlineStr">
        <is>
          <t>LCM_50_FLY</t>
        </is>
      </c>
      <c r="R2896" s="36" t="n">
        <v>26.17</v>
      </c>
      <c r="S2896" s="35">
        <f>IF(R2896="","",IF(R2896&gt;=60,INT(R2896/60)&amp;":"&amp;TEXT(MOD(R2896,60),"00.00"),TEXT(R2896,"0.00")))</f>
        <v/>
      </c>
      <c r="T2896" s="52">
        <f>IFERROR((G2896-INDEX('01_Swimmers'!$E$5:$E$22,MATCH(B2896,'01_Swimmers'!$A$5:$A$22,0)))/'00_Control'!$B$10,"")</f>
        <v/>
      </c>
      <c r="U2896" s="35">
        <f>IF(T2896="","",INT(T2896))</f>
        <v/>
      </c>
      <c r="V2896" s="33" t="inlineStr">
        <is>
          <t>NO</t>
        </is>
      </c>
      <c r="W2896" s="33" t="inlineStr">
        <is>
          <t>YES</t>
        </is>
      </c>
      <c r="X2896" s="33" t="inlineStr">
        <is>
          <t>NO</t>
        </is>
      </c>
      <c r="Y2896" s="33" t="n">
        <v>11</v>
      </c>
      <c r="Z2896" s="33" t="n">
        <v>9</v>
      </c>
      <c r="AA2896" s="33" t="inlineStr">
        <is>
          <t>2</t>
        </is>
      </c>
      <c r="AB2896" s="33" t="inlineStr">
        <is>
          <t>https://www.swimcloud.com/results/391961/event/10/?id=185510710#time185510710</t>
        </is>
      </c>
      <c r="AC2896" s="33" t="inlineStr">
        <is>
          <t>SwimCloud all-event v8 2026-10-09</t>
        </is>
      </c>
      <c r="AD2896" s="33" t="inlineStr">
        <is>
          <t>Grayson Coulter|2026-07-17|LCM|50|Fly|26.17|2026 Golden Homes Swimfest|TIM|False</t>
        </is>
      </c>
      <c r="AE2896" s="53">
        <f>G2896+L2896/1000+ROW()/1000000000</f>
        <v/>
      </c>
      <c r="AF2896" s="35">
        <f>IF(C2896&lt;&gt;"Grayson Coulter","",COUNTIFS($C$5:$C$2991,"Grayson Coulter",$Q$5:$Q$2991,Q2896,$AE$5:$AE$2991,"&lt;="&amp;AE2896,$R$5:$R$2991,"&lt;"&amp;R2896))</f>
        <v/>
      </c>
      <c r="AG2896" s="35">
        <f>IF(OR(C2896&lt;&gt;"Grayson Coulter",G2896&lt;'00_Control'!$B$7),"",--(AF2896&lt;5))</f>
        <v/>
      </c>
      <c r="AH2896" s="35">
        <f>IF(OR(C2896&lt;&gt;"Grayson Coulter",G2896&lt;'00_Control'!$B$7),"",--(AF2896&lt;10))</f>
        <v/>
      </c>
      <c r="AI2896" s="35">
        <f>IF(AND(C2896="Grayson Coulter",G2896&gt;='00_Control'!$B$7),"YES","NO")</f>
        <v/>
      </c>
      <c r="AJ2896" s="33" t="inlineStr">
        <is>
          <t>OK</t>
        </is>
      </c>
    </row>
    <row r="2897">
      <c r="A2897" s="33" t="inlineStr">
        <is>
          <t>SM002893</t>
        </is>
      </c>
      <c r="B2897" s="33" t="inlineStr">
        <is>
          <t>SW001</t>
        </is>
      </c>
      <c r="C2897" s="33" t="inlineStr">
        <is>
          <t>Grayson Coulter</t>
        </is>
      </c>
      <c r="D2897" s="33" t="inlineStr">
        <is>
          <t>SwimCloud</t>
        </is>
      </c>
      <c r="E2897" s="33" t="inlineStr">
        <is>
          <t>3651023</t>
        </is>
      </c>
      <c r="F2897" s="33" t="inlineStr">
        <is>
          <t>176423605</t>
        </is>
      </c>
      <c r="G2897" s="51" t="n">
        <v>46122</v>
      </c>
      <c r="H2897" s="33" t="inlineStr">
        <is>
          <t>Apollo Projects New Zealand Age Group Championships</t>
        </is>
      </c>
      <c r="I2897" s="33" t="inlineStr">
        <is>
          <t>371122</t>
        </is>
      </c>
      <c r="J2897" s="33" t="n"/>
      <c r="K2897" s="33" t="inlineStr">
        <is>
          <t>FIN</t>
        </is>
      </c>
      <c r="L2897" s="35">
        <f>IF(K2897="FIN",3,IF(OR(K2897="SEM",K2897="SEMI"),2,IF(OR(K2897="PRE",K2897="HEAT"),1,IF(V2897="YES",4,2))))</f>
        <v/>
      </c>
      <c r="M2897" s="33" t="inlineStr">
        <is>
          <t>LCM</t>
        </is>
      </c>
      <c r="N2897" s="33" t="n">
        <v>50</v>
      </c>
      <c r="O2897" s="33" t="inlineStr">
        <is>
          <t>Fly</t>
        </is>
      </c>
      <c r="P2897" s="33" t="inlineStr">
        <is>
          <t>50 Fly</t>
        </is>
      </c>
      <c r="Q2897" s="33" t="inlineStr">
        <is>
          <t>LCM_50_FLY</t>
        </is>
      </c>
      <c r="R2897" s="36" t="n">
        <v>25.71</v>
      </c>
      <c r="S2897" s="35">
        <f>IF(R2897="","",IF(R2897&gt;=60,INT(R2897/60)&amp;":"&amp;TEXT(MOD(R2897,60),"00.00"),TEXT(R2897,"0.00")))</f>
        <v/>
      </c>
      <c r="T2897" s="52">
        <f>IFERROR((G2897-INDEX('01_Swimmers'!$E$5:$E$22,MATCH(B2897,'01_Swimmers'!$A$5:$A$22,0)))/'00_Control'!$B$10,"")</f>
        <v/>
      </c>
      <c r="U2897" s="35">
        <f>IF(T2897="","",INT(T2897))</f>
        <v/>
      </c>
      <c r="V2897" s="33" t="inlineStr">
        <is>
          <t>NO</t>
        </is>
      </c>
      <c r="W2897" s="33" t="inlineStr">
        <is>
          <t>YES</t>
        </is>
      </c>
      <c r="X2897" s="33" t="inlineStr">
        <is>
          <t>NO</t>
        </is>
      </c>
      <c r="Y2897" s="33" t="n"/>
      <c r="Z2897" s="33" t="n"/>
      <c r="AA2897" s="33" t="inlineStr">
        <is>
          <t>1</t>
        </is>
      </c>
      <c r="AB2897" s="33" t="inlineStr">
        <is>
          <t>https://www.swimcloud.com/results/371122/event/26/?id=176423605#time176423605</t>
        </is>
      </c>
      <c r="AC2897" s="33" t="inlineStr">
        <is>
          <t>SwimCloud all-event v8 2026-10-09</t>
        </is>
      </c>
      <c r="AD2897" s="33" t="inlineStr">
        <is>
          <t>Grayson Coulter|2026-04-10|LCM|50|Fly|25.71|Apollo Projects New Zealand Age Group Championships|FIN|False</t>
        </is>
      </c>
      <c r="AE2897" s="53">
        <f>G2897+L2897/1000+ROW()/1000000000</f>
        <v/>
      </c>
      <c r="AF2897" s="35">
        <f>IF(C2897&lt;&gt;"Grayson Coulter","",COUNTIFS($C$5:$C$2991,"Grayson Coulter",$Q$5:$Q$2991,Q2897,$AE$5:$AE$2991,"&lt;="&amp;AE2897,$R$5:$R$2991,"&lt;"&amp;R2897))</f>
        <v/>
      </c>
      <c r="AG2897" s="35">
        <f>IF(OR(C2897&lt;&gt;"Grayson Coulter",G2897&lt;'00_Control'!$B$7),"",--(AF2897&lt;5))</f>
        <v/>
      </c>
      <c r="AH2897" s="35">
        <f>IF(OR(C2897&lt;&gt;"Grayson Coulter",G2897&lt;'00_Control'!$B$7),"",--(AF2897&lt;10))</f>
        <v/>
      </c>
      <c r="AI2897" s="35">
        <f>IF(AND(C2897="Grayson Coulter",G2897&gt;='00_Control'!$B$7),"YES","NO")</f>
        <v/>
      </c>
      <c r="AJ2897" s="33" t="inlineStr">
        <is>
          <t>OK</t>
        </is>
      </c>
    </row>
    <row r="2898">
      <c r="A2898" s="33" t="inlineStr">
        <is>
          <t>SM002894</t>
        </is>
      </c>
      <c r="B2898" s="33" t="inlineStr">
        <is>
          <t>SW001</t>
        </is>
      </c>
      <c r="C2898" s="33" t="inlineStr">
        <is>
          <t>Grayson Coulter</t>
        </is>
      </c>
      <c r="D2898" s="33" t="inlineStr">
        <is>
          <t>SwimCloud</t>
        </is>
      </c>
      <c r="E2898" s="33" t="inlineStr">
        <is>
          <t>3651023</t>
        </is>
      </c>
      <c r="F2898" s="33" t="inlineStr">
        <is>
          <t>176423600</t>
        </is>
      </c>
      <c r="G2898" s="51" t="n">
        <v>46122</v>
      </c>
      <c r="H2898" s="33" t="inlineStr">
        <is>
          <t>Apollo Projects New Zealand Age Group Championships</t>
        </is>
      </c>
      <c r="I2898" s="33" t="inlineStr">
        <is>
          <t>371122</t>
        </is>
      </c>
      <c r="J2898" s="33" t="n"/>
      <c r="K2898" s="33" t="inlineStr">
        <is>
          <t>PRE</t>
        </is>
      </c>
      <c r="L2898" s="35">
        <f>IF(K2898="FIN",3,IF(OR(K2898="SEM",K2898="SEMI"),2,IF(OR(K2898="PRE",K2898="HEAT"),1,IF(V2898="YES",4,2))))</f>
        <v/>
      </c>
      <c r="M2898" s="33" t="inlineStr">
        <is>
          <t>LCM</t>
        </is>
      </c>
      <c r="N2898" s="33" t="n">
        <v>50</v>
      </c>
      <c r="O2898" s="33" t="inlineStr">
        <is>
          <t>Fly</t>
        </is>
      </c>
      <c r="P2898" s="33" t="inlineStr">
        <is>
          <t>50 Fly</t>
        </is>
      </c>
      <c r="Q2898" s="33" t="inlineStr">
        <is>
          <t>LCM_50_FLY</t>
        </is>
      </c>
      <c r="R2898" s="36" t="n">
        <v>26.43</v>
      </c>
      <c r="S2898" s="35">
        <f>IF(R2898="","",IF(R2898&gt;=60,INT(R2898/60)&amp;":"&amp;TEXT(MOD(R2898,60),"00.00"),TEXT(R2898,"0.00")))</f>
        <v/>
      </c>
      <c r="T2898" s="52">
        <f>IFERROR((G2898-INDEX('01_Swimmers'!$E$5:$E$22,MATCH(B2898,'01_Swimmers'!$A$5:$A$22,0)))/'00_Control'!$B$10,"")</f>
        <v/>
      </c>
      <c r="U2898" s="35">
        <f>IF(T2898="","",INT(T2898))</f>
        <v/>
      </c>
      <c r="V2898" s="33" t="inlineStr">
        <is>
          <t>NO</t>
        </is>
      </c>
      <c r="W2898" s="33" t="inlineStr">
        <is>
          <t>YES</t>
        </is>
      </c>
      <c r="X2898" s="33" t="inlineStr">
        <is>
          <t>NO</t>
        </is>
      </c>
      <c r="Y2898" s="33" t="n"/>
      <c r="Z2898" s="33" t="n"/>
      <c r="AA2898" s="33" t="inlineStr">
        <is>
          <t>1</t>
        </is>
      </c>
      <c r="AB2898" s="33" t="inlineStr">
        <is>
          <t>https://www.swimcloud.com/results/371122/event/26/?id=176423600#time176423600</t>
        </is>
      </c>
      <c r="AC2898" s="33" t="inlineStr">
        <is>
          <t>SwimCloud all-event v8 2026-10-09</t>
        </is>
      </c>
      <c r="AD2898" s="33" t="inlineStr">
        <is>
          <t>Grayson Coulter|2026-04-10|LCM|50|Fly|26.43|Apollo Projects New Zealand Age Group Championships|PRE|False</t>
        </is>
      </c>
      <c r="AE2898" s="53">
        <f>G2898+L2898/1000+ROW()/1000000000</f>
        <v/>
      </c>
      <c r="AF2898" s="35">
        <f>IF(C2898&lt;&gt;"Grayson Coulter","",COUNTIFS($C$5:$C$2991,"Grayson Coulter",$Q$5:$Q$2991,Q2898,$AE$5:$AE$2991,"&lt;="&amp;AE2898,$R$5:$R$2991,"&lt;"&amp;R2898))</f>
        <v/>
      </c>
      <c r="AG2898" s="35">
        <f>IF(OR(C2898&lt;&gt;"Grayson Coulter",G2898&lt;'00_Control'!$B$7),"",--(AF2898&lt;5))</f>
        <v/>
      </c>
      <c r="AH2898" s="35">
        <f>IF(OR(C2898&lt;&gt;"Grayson Coulter",G2898&lt;'00_Control'!$B$7),"",--(AF2898&lt;10))</f>
        <v/>
      </c>
      <c r="AI2898" s="35">
        <f>IF(AND(C2898="Grayson Coulter",G2898&gt;='00_Control'!$B$7),"YES","NO")</f>
        <v/>
      </c>
      <c r="AJ2898" s="33" t="inlineStr">
        <is>
          <t>OK</t>
        </is>
      </c>
    </row>
    <row r="2899">
      <c r="A2899" s="33" t="inlineStr">
        <is>
          <t>SM002895</t>
        </is>
      </c>
      <c r="B2899" s="33" t="inlineStr">
        <is>
          <t>SW001</t>
        </is>
      </c>
      <c r="C2899" s="33" t="inlineStr">
        <is>
          <t>Grayson Coulter</t>
        </is>
      </c>
      <c r="D2899" s="33" t="inlineStr">
        <is>
          <t>SwimCloud</t>
        </is>
      </c>
      <c r="E2899" s="33" t="inlineStr">
        <is>
          <t>3651023</t>
        </is>
      </c>
      <c r="F2899" s="33" t="inlineStr">
        <is>
          <t>176427426</t>
        </is>
      </c>
      <c r="G2899" s="51" t="n">
        <v>46120</v>
      </c>
      <c r="H2899" s="33" t="inlineStr">
        <is>
          <t>Apollo Projects New Zealand Age Group Championships</t>
        </is>
      </c>
      <c r="I2899" s="33" t="inlineStr">
        <is>
          <t>371122</t>
        </is>
      </c>
      <c r="J2899" s="33" t="n"/>
      <c r="K2899" s="33" t="inlineStr">
        <is>
          <t>FIN</t>
        </is>
      </c>
      <c r="L2899" s="35">
        <f>IF(K2899="FIN",3,IF(OR(K2899="SEM",K2899="SEMI"),2,IF(OR(K2899="PRE",K2899="HEAT"),1,IF(V2899="YES",4,2))))</f>
        <v/>
      </c>
      <c r="M2899" s="33" t="inlineStr">
        <is>
          <t>LCM</t>
        </is>
      </c>
      <c r="N2899" s="33" t="n">
        <v>50</v>
      </c>
      <c r="O2899" s="33" t="inlineStr">
        <is>
          <t>Fly</t>
        </is>
      </c>
      <c r="P2899" s="33" t="inlineStr">
        <is>
          <t>50 Fly</t>
        </is>
      </c>
      <c r="Q2899" s="33" t="inlineStr">
        <is>
          <t>LCM_50_FLY</t>
        </is>
      </c>
      <c r="R2899" s="36" t="n">
        <v>26.51</v>
      </c>
      <c r="S2899" s="35">
        <f>IF(R2899="","",IF(R2899&gt;=60,INT(R2899/60)&amp;":"&amp;TEXT(MOD(R2899,60),"00.00"),TEXT(R2899,"0.00")))</f>
        <v/>
      </c>
      <c r="T2899" s="52">
        <f>IFERROR((G2899-INDEX('01_Swimmers'!$E$5:$E$22,MATCH(B2899,'01_Swimmers'!$A$5:$A$22,0)))/'00_Control'!$B$10,"")</f>
        <v/>
      </c>
      <c r="U2899" s="35">
        <f>IF(T2899="","",INT(T2899))</f>
        <v/>
      </c>
      <c r="V2899" s="33" t="inlineStr">
        <is>
          <t>NO</t>
        </is>
      </c>
      <c r="W2899" s="33" t="inlineStr">
        <is>
          <t>YES</t>
        </is>
      </c>
      <c r="X2899" s="33" t="inlineStr">
        <is>
          <t>NO</t>
        </is>
      </c>
      <c r="Y2899" s="33" t="n"/>
      <c r="Z2899" s="33" t="n"/>
      <c r="AA2899" s="33" t="inlineStr"/>
      <c r="AB2899" s="33" t="inlineStr">
        <is>
          <t>https://www.swimcloud.com/results/371122/event/2/?id=176423603#time176423603</t>
        </is>
      </c>
      <c r="AC2899" s="33" t="inlineStr">
        <is>
          <t>SwimCloud all-event v8 2026-10-09</t>
        </is>
      </c>
      <c r="AD2899" s="33" t="inlineStr">
        <is>
          <t>Grayson Coulter|2026-04-08|LCM|50|Fly|26.51|Apollo Projects New Zealand Age Group Championships|FIN|False</t>
        </is>
      </c>
      <c r="AE2899" s="53">
        <f>G2899+L2899/1000+ROW()/1000000000</f>
        <v/>
      </c>
      <c r="AF2899" s="35">
        <f>IF(C2899&lt;&gt;"Grayson Coulter","",COUNTIFS($C$5:$C$2991,"Grayson Coulter",$Q$5:$Q$2991,Q2899,$AE$5:$AE$2991,"&lt;="&amp;AE2899,$R$5:$R$2991,"&lt;"&amp;R2899))</f>
        <v/>
      </c>
      <c r="AG2899" s="35">
        <f>IF(OR(C2899&lt;&gt;"Grayson Coulter",G2899&lt;'00_Control'!$B$7),"",--(AF2899&lt;5))</f>
        <v/>
      </c>
      <c r="AH2899" s="35">
        <f>IF(OR(C2899&lt;&gt;"Grayson Coulter",G2899&lt;'00_Control'!$B$7),"",--(AF2899&lt;10))</f>
        <v/>
      </c>
      <c r="AI2899" s="35">
        <f>IF(AND(C2899="Grayson Coulter",G2899&gt;='00_Control'!$B$7),"YES","NO")</f>
        <v/>
      </c>
      <c r="AJ2899" s="33" t="inlineStr">
        <is>
          <t>OK</t>
        </is>
      </c>
    </row>
    <row r="2900">
      <c r="A2900" s="33" t="inlineStr">
        <is>
          <t>SM002896</t>
        </is>
      </c>
      <c r="B2900" s="33" t="inlineStr">
        <is>
          <t>SW001</t>
        </is>
      </c>
      <c r="C2900" s="33" t="inlineStr">
        <is>
          <t>Grayson Coulter</t>
        </is>
      </c>
      <c r="D2900" s="33" t="inlineStr">
        <is>
          <t>SwimCloud</t>
        </is>
      </c>
      <c r="E2900" s="33" t="inlineStr">
        <is>
          <t>3651023</t>
        </is>
      </c>
      <c r="F2900" s="33" t="inlineStr">
        <is>
          <t>175681021</t>
        </is>
      </c>
      <c r="G2900" s="51" t="n">
        <v>46095</v>
      </c>
      <c r="H2900" s="33" t="inlineStr">
        <is>
          <t>ASA Age Groups &amp; Open Championships</t>
        </is>
      </c>
      <c r="I2900" s="33" t="inlineStr">
        <is>
          <t>372749</t>
        </is>
      </c>
      <c r="J2900" s="33" t="n"/>
      <c r="K2900" s="33" t="inlineStr">
        <is>
          <t>FIN</t>
        </is>
      </c>
      <c r="L2900" s="35">
        <f>IF(K2900="FIN",3,IF(OR(K2900="SEM",K2900="SEMI"),2,IF(OR(K2900="PRE",K2900="HEAT"),1,IF(V2900="YES",4,2))))</f>
        <v/>
      </c>
      <c r="M2900" s="33" t="inlineStr">
        <is>
          <t>LCM</t>
        </is>
      </c>
      <c r="N2900" s="33" t="n">
        <v>50</v>
      </c>
      <c r="O2900" s="33" t="inlineStr">
        <is>
          <t>Fly</t>
        </is>
      </c>
      <c r="P2900" s="33" t="inlineStr">
        <is>
          <t>50 Fly</t>
        </is>
      </c>
      <c r="Q2900" s="33" t="inlineStr">
        <is>
          <t>LCM_50_FLY</t>
        </is>
      </c>
      <c r="R2900" s="36" t="n">
        <v>27.24</v>
      </c>
      <c r="S2900" s="35">
        <f>IF(R2900="","",IF(R2900&gt;=60,INT(R2900/60)&amp;":"&amp;TEXT(MOD(R2900,60),"00.00"),TEXT(R2900,"0.00")))</f>
        <v/>
      </c>
      <c r="T2900" s="52">
        <f>IFERROR((G2900-INDEX('01_Swimmers'!$E$5:$E$22,MATCH(B2900,'01_Swimmers'!$A$5:$A$22,0)))/'00_Control'!$B$10,"")</f>
        <v/>
      </c>
      <c r="U2900" s="35">
        <f>IF(T2900="","",INT(T2900))</f>
        <v/>
      </c>
      <c r="V2900" s="33" t="inlineStr">
        <is>
          <t>NO</t>
        </is>
      </c>
      <c r="W2900" s="33" t="inlineStr">
        <is>
          <t>YES</t>
        </is>
      </c>
      <c r="X2900" s="33" t="inlineStr">
        <is>
          <t>NO</t>
        </is>
      </c>
      <c r="Y2900" s="33" t="n">
        <v>4</v>
      </c>
      <c r="Z2900" s="33" t="n">
        <v>1</v>
      </c>
      <c r="AA2900" s="33" t="inlineStr"/>
      <c r="AB2900" s="33" t="inlineStr">
        <is>
          <t>https://www.swimcloud.com/results/372749/event/22/?id=175679536#time175679536</t>
        </is>
      </c>
      <c r="AC2900" s="33" t="inlineStr">
        <is>
          <t>SwimCloud all-event v8 2026-10-09</t>
        </is>
      </c>
      <c r="AD2900" s="33" t="inlineStr">
        <is>
          <t>Grayson Coulter|2026-03-14|LCM|50|Fly|27.24|ASA Age Groups &amp; Open Championships|FIN|False</t>
        </is>
      </c>
      <c r="AE2900" s="53">
        <f>G2900+L2900/1000+ROW()/1000000000</f>
        <v/>
      </c>
      <c r="AF2900" s="35">
        <f>IF(C2900&lt;&gt;"Grayson Coulter","",COUNTIFS($C$5:$C$2991,"Grayson Coulter",$Q$5:$Q$2991,Q2900,$AE$5:$AE$2991,"&lt;="&amp;AE2900,$R$5:$R$2991,"&lt;"&amp;R2900))</f>
        <v/>
      </c>
      <c r="AG2900" s="35">
        <f>IF(OR(C2900&lt;&gt;"Grayson Coulter",G2900&lt;'00_Control'!$B$7),"",--(AF2900&lt;5))</f>
        <v/>
      </c>
      <c r="AH2900" s="35">
        <f>IF(OR(C2900&lt;&gt;"Grayson Coulter",G2900&lt;'00_Control'!$B$7),"",--(AF2900&lt;10))</f>
        <v/>
      </c>
      <c r="AI2900" s="35">
        <f>IF(AND(C2900="Grayson Coulter",G2900&gt;='00_Control'!$B$7),"YES","NO")</f>
        <v/>
      </c>
      <c r="AJ2900" s="33" t="inlineStr">
        <is>
          <t>OK</t>
        </is>
      </c>
    </row>
    <row r="2901">
      <c r="A2901" s="33" t="inlineStr">
        <is>
          <t>SM002897</t>
        </is>
      </c>
      <c r="B2901" s="33" t="inlineStr">
        <is>
          <t>SW001</t>
        </is>
      </c>
      <c r="C2901" s="33" t="inlineStr">
        <is>
          <t>Grayson Coulter</t>
        </is>
      </c>
      <c r="D2901" s="33" t="inlineStr">
        <is>
          <t>SwimCloud</t>
        </is>
      </c>
      <c r="E2901" s="33" t="inlineStr">
        <is>
          <t>3651023</t>
        </is>
      </c>
      <c r="F2901" s="33" t="inlineStr">
        <is>
          <t>175681023</t>
        </is>
      </c>
      <c r="G2901" s="51" t="n">
        <v>46095</v>
      </c>
      <c r="H2901" s="33" t="inlineStr">
        <is>
          <t>ASA Age Groups &amp; Open Championships</t>
        </is>
      </c>
      <c r="I2901" s="33" t="inlineStr">
        <is>
          <t>372749</t>
        </is>
      </c>
      <c r="J2901" s="33" t="n"/>
      <c r="K2901" s="33" t="inlineStr">
        <is>
          <t>PRE</t>
        </is>
      </c>
      <c r="L2901" s="35">
        <f>IF(K2901="FIN",3,IF(OR(K2901="SEM",K2901="SEMI"),2,IF(OR(K2901="PRE",K2901="HEAT"),1,IF(V2901="YES",4,2))))</f>
        <v/>
      </c>
      <c r="M2901" s="33" t="inlineStr">
        <is>
          <t>LCM</t>
        </is>
      </c>
      <c r="N2901" s="33" t="n">
        <v>50</v>
      </c>
      <c r="O2901" s="33" t="inlineStr">
        <is>
          <t>Fly</t>
        </is>
      </c>
      <c r="P2901" s="33" t="inlineStr">
        <is>
          <t>50 Fly</t>
        </is>
      </c>
      <c r="Q2901" s="33" t="inlineStr">
        <is>
          <t>LCM_50_FLY</t>
        </is>
      </c>
      <c r="R2901" s="36" t="n">
        <v>27.72</v>
      </c>
      <c r="S2901" s="35">
        <f>IF(R2901="","",IF(R2901&gt;=60,INT(R2901/60)&amp;":"&amp;TEXT(MOD(R2901,60),"00.00"),TEXT(R2901,"0.00")))</f>
        <v/>
      </c>
      <c r="T2901" s="52">
        <f>IFERROR((G2901-INDEX('01_Swimmers'!$E$5:$E$22,MATCH(B2901,'01_Swimmers'!$A$5:$A$22,0)))/'00_Control'!$B$10,"")</f>
        <v/>
      </c>
      <c r="U2901" s="35">
        <f>IF(T2901="","",INT(T2901))</f>
        <v/>
      </c>
      <c r="V2901" s="33" t="inlineStr">
        <is>
          <t>NO</t>
        </is>
      </c>
      <c r="W2901" s="33" t="inlineStr">
        <is>
          <t>YES</t>
        </is>
      </c>
      <c r="X2901" s="33" t="inlineStr">
        <is>
          <t>NO</t>
        </is>
      </c>
      <c r="Y2901" s="33" t="n">
        <v>5</v>
      </c>
      <c r="Z2901" s="33" t="n">
        <v>3</v>
      </c>
      <c r="AA2901" s="33" t="inlineStr"/>
      <c r="AB2901" s="33" t="inlineStr">
        <is>
          <t>https://www.swimcloud.com/results/372749/event/22/?id=175679535#time175679535</t>
        </is>
      </c>
      <c r="AC2901" s="33" t="inlineStr">
        <is>
          <t>SwimCloud all-event v8 2026-10-09</t>
        </is>
      </c>
      <c r="AD2901" s="33" t="inlineStr">
        <is>
          <t>Grayson Coulter|2026-03-14|LCM|50|Fly|27.72|ASA Age Groups &amp; Open Championships|PRE|False</t>
        </is>
      </c>
      <c r="AE2901" s="53">
        <f>G2901+L2901/1000+ROW()/1000000000</f>
        <v/>
      </c>
      <c r="AF2901" s="35">
        <f>IF(C2901&lt;&gt;"Grayson Coulter","",COUNTIFS($C$5:$C$2991,"Grayson Coulter",$Q$5:$Q$2991,Q2901,$AE$5:$AE$2991,"&lt;="&amp;AE2901,$R$5:$R$2991,"&lt;"&amp;R2901))</f>
        <v/>
      </c>
      <c r="AG2901" s="35">
        <f>IF(OR(C2901&lt;&gt;"Grayson Coulter",G2901&lt;'00_Control'!$B$7),"",--(AF2901&lt;5))</f>
        <v/>
      </c>
      <c r="AH2901" s="35">
        <f>IF(OR(C2901&lt;&gt;"Grayson Coulter",G2901&lt;'00_Control'!$B$7),"",--(AF2901&lt;10))</f>
        <v/>
      </c>
      <c r="AI2901" s="35">
        <f>IF(AND(C2901="Grayson Coulter",G2901&gt;='00_Control'!$B$7),"YES","NO")</f>
        <v/>
      </c>
      <c r="AJ2901" s="33" t="inlineStr">
        <is>
          <t>OK</t>
        </is>
      </c>
    </row>
    <row r="2902">
      <c r="A2902" s="33" t="inlineStr">
        <is>
          <t>SM002898</t>
        </is>
      </c>
      <c r="B2902" s="33" t="inlineStr">
        <is>
          <t>SW001</t>
        </is>
      </c>
      <c r="C2902" s="33" t="inlineStr">
        <is>
          <t>Grayson Coulter</t>
        </is>
      </c>
      <c r="D2902" s="33" t="inlineStr">
        <is>
          <t>SwimCloud</t>
        </is>
      </c>
      <c r="E2902" s="33" t="inlineStr">
        <is>
          <t>3651023</t>
        </is>
      </c>
      <c r="F2902" s="33" t="inlineStr">
        <is>
          <t>175680947</t>
        </is>
      </c>
      <c r="G2902" s="51" t="n">
        <v>46095</v>
      </c>
      <c r="H2902" s="33" t="inlineStr">
        <is>
          <t>ASA Age Groups &amp; Open Championships</t>
        </is>
      </c>
      <c r="I2902" s="33" t="inlineStr">
        <is>
          <t>372749</t>
        </is>
      </c>
      <c r="J2902" s="33" t="n"/>
      <c r="K2902" s="33" t="inlineStr">
        <is>
          <t>PRE</t>
        </is>
      </c>
      <c r="L2902" s="35">
        <f>IF(K2902="FIN",3,IF(OR(K2902="SEM",K2902="SEMI"),2,IF(OR(K2902="PRE",K2902="HEAT"),1,IF(V2902="YES",4,2))))</f>
        <v/>
      </c>
      <c r="M2902" s="33" t="inlineStr">
        <is>
          <t>LCM</t>
        </is>
      </c>
      <c r="N2902" s="33" t="n">
        <v>50</v>
      </c>
      <c r="O2902" s="33" t="inlineStr">
        <is>
          <t>Fly</t>
        </is>
      </c>
      <c r="P2902" s="33" t="inlineStr">
        <is>
          <t>50 Fly</t>
        </is>
      </c>
      <c r="Q2902" s="33" t="inlineStr">
        <is>
          <t>LCM_50_FLY</t>
        </is>
      </c>
      <c r="R2902" s="36" t="n">
        <v>28.33</v>
      </c>
      <c r="S2902" s="35">
        <f>IF(R2902="","",IF(R2902&gt;=60,INT(R2902/60)&amp;":"&amp;TEXT(MOD(R2902,60),"00.00"),TEXT(R2902,"0.00")))</f>
        <v/>
      </c>
      <c r="T2902" s="52">
        <f>IFERROR((G2902-INDEX('01_Swimmers'!$E$5:$E$22,MATCH(B2902,'01_Swimmers'!$A$5:$A$22,0)))/'00_Control'!$B$10,"")</f>
        <v/>
      </c>
      <c r="U2902" s="35">
        <f>IF(T2902="","",INT(T2902))</f>
        <v/>
      </c>
      <c r="V2902" s="33" t="inlineStr">
        <is>
          <t>NO</t>
        </is>
      </c>
      <c r="W2902" s="33" t="inlineStr">
        <is>
          <t>YES</t>
        </is>
      </c>
      <c r="X2902" s="33" t="inlineStr">
        <is>
          <t>NO</t>
        </is>
      </c>
      <c r="Y2902" s="33" t="n">
        <v>6</v>
      </c>
      <c r="Z2902" s="33" t="n">
        <v>5</v>
      </c>
      <c r="AA2902" s="33" t="inlineStr"/>
      <c r="AB2902" s="33" t="inlineStr">
        <is>
          <t>https://www.swimcloud.com/results/372749/event/16/?id=175679348#time175679348</t>
        </is>
      </c>
      <c r="AC2902" s="33" t="inlineStr">
        <is>
          <t>SwimCloud all-event v8 2026-10-09</t>
        </is>
      </c>
      <c r="AD2902" s="33" t="inlineStr">
        <is>
          <t>Grayson Coulter|2026-03-14|LCM|50|Fly|28.33|ASA Age Groups &amp; Open Championships|PRE|False</t>
        </is>
      </c>
      <c r="AE2902" s="53">
        <f>G2902+L2902/1000+ROW()/1000000000</f>
        <v/>
      </c>
      <c r="AF2902" s="35">
        <f>IF(C2902&lt;&gt;"Grayson Coulter","",COUNTIFS($C$5:$C$2991,"Grayson Coulter",$Q$5:$Q$2991,Q2902,$AE$5:$AE$2991,"&lt;="&amp;AE2902,$R$5:$R$2991,"&lt;"&amp;R2902))</f>
        <v/>
      </c>
      <c r="AG2902" s="35">
        <f>IF(OR(C2902&lt;&gt;"Grayson Coulter",G2902&lt;'00_Control'!$B$7),"",--(AF2902&lt;5))</f>
        <v/>
      </c>
      <c r="AH2902" s="35">
        <f>IF(OR(C2902&lt;&gt;"Grayson Coulter",G2902&lt;'00_Control'!$B$7),"",--(AF2902&lt;10))</f>
        <v/>
      </c>
      <c r="AI2902" s="35">
        <f>IF(AND(C2902="Grayson Coulter",G2902&gt;='00_Control'!$B$7),"YES","NO")</f>
        <v/>
      </c>
      <c r="AJ2902" s="33" t="inlineStr">
        <is>
          <t>OK</t>
        </is>
      </c>
    </row>
    <row r="2903">
      <c r="A2903" s="33" t="inlineStr">
        <is>
          <t>SM002899</t>
        </is>
      </c>
      <c r="B2903" s="33" t="inlineStr">
        <is>
          <t>SW001</t>
        </is>
      </c>
      <c r="C2903" s="33" t="inlineStr">
        <is>
          <t>Grayson Coulter</t>
        </is>
      </c>
      <c r="D2903" s="33" t="inlineStr">
        <is>
          <t>SwimCloud</t>
        </is>
      </c>
      <c r="E2903" s="33" t="inlineStr">
        <is>
          <t>3651023</t>
        </is>
      </c>
      <c r="F2903" s="33" t="inlineStr">
        <is>
          <t>175679416</t>
        </is>
      </c>
      <c r="G2903" s="51" t="n">
        <v>46094</v>
      </c>
      <c r="H2903" s="33" t="inlineStr">
        <is>
          <t>ASA Age Groups &amp; Open Championships</t>
        </is>
      </c>
      <c r="I2903" s="33" t="inlineStr">
        <is>
          <t>372749</t>
        </is>
      </c>
      <c r="J2903" s="33" t="n"/>
      <c r="K2903" s="33" t="inlineStr">
        <is>
          <t>PRE</t>
        </is>
      </c>
      <c r="L2903" s="35">
        <f>IF(K2903="FIN",3,IF(OR(K2903="SEM",K2903="SEMI"),2,IF(OR(K2903="PRE",K2903="HEAT"),1,IF(V2903="YES",4,2))))</f>
        <v/>
      </c>
      <c r="M2903" s="33" t="inlineStr">
        <is>
          <t>LCM</t>
        </is>
      </c>
      <c r="N2903" s="33" t="n">
        <v>50</v>
      </c>
      <c r="O2903" s="33" t="inlineStr">
        <is>
          <t>Fly</t>
        </is>
      </c>
      <c r="P2903" s="33" t="inlineStr">
        <is>
          <t>50 Fly</t>
        </is>
      </c>
      <c r="Q2903" s="33" t="inlineStr">
        <is>
          <t>LCM_50_FLY</t>
        </is>
      </c>
      <c r="R2903" s="36" t="n">
        <v>27.97</v>
      </c>
      <c r="S2903" s="35">
        <f>IF(R2903="","",IF(R2903&gt;=60,INT(R2903/60)&amp;":"&amp;TEXT(MOD(R2903,60),"00.00"),TEXT(R2903,"0.00")))</f>
        <v/>
      </c>
      <c r="T2903" s="52">
        <f>IFERROR((G2903-INDEX('01_Swimmers'!$E$5:$E$22,MATCH(B2903,'01_Swimmers'!$A$5:$A$22,0)))/'00_Control'!$B$10,"")</f>
        <v/>
      </c>
      <c r="U2903" s="35">
        <f>IF(T2903="","",INT(T2903))</f>
        <v/>
      </c>
      <c r="V2903" s="33" t="inlineStr">
        <is>
          <t>NO</t>
        </is>
      </c>
      <c r="W2903" s="33" t="inlineStr">
        <is>
          <t>YES</t>
        </is>
      </c>
      <c r="X2903" s="33" t="inlineStr">
        <is>
          <t>NO</t>
        </is>
      </c>
      <c r="Y2903" s="33" t="n">
        <v>7</v>
      </c>
      <c r="Z2903" s="33" t="n">
        <v>3</v>
      </c>
      <c r="AA2903" s="33" t="inlineStr">
        <is>
          <t>3</t>
        </is>
      </c>
      <c r="AB2903" s="33" t="inlineStr">
        <is>
          <t>https://www.swimcloud.com/results/372749/event/8/?id=175679416#time175679416</t>
        </is>
      </c>
      <c r="AC2903" s="33" t="inlineStr">
        <is>
          <t>SwimCloud all-event v8 2026-10-09</t>
        </is>
      </c>
      <c r="AD2903" s="33" t="inlineStr">
        <is>
          <t>Grayson Coulter|2026-03-13|LCM|50|Fly|27.97|ASA Age Groups &amp; Open Championships|PRE|False</t>
        </is>
      </c>
      <c r="AE2903" s="53">
        <f>G2903+L2903/1000+ROW()/1000000000</f>
        <v/>
      </c>
      <c r="AF2903" s="35">
        <f>IF(C2903&lt;&gt;"Grayson Coulter","",COUNTIFS($C$5:$C$2991,"Grayson Coulter",$Q$5:$Q$2991,Q2903,$AE$5:$AE$2991,"&lt;="&amp;AE2903,$R$5:$R$2991,"&lt;"&amp;R2903))</f>
        <v/>
      </c>
      <c r="AG2903" s="35">
        <f>IF(OR(C2903&lt;&gt;"Grayson Coulter",G2903&lt;'00_Control'!$B$7),"",--(AF2903&lt;5))</f>
        <v/>
      </c>
      <c r="AH2903" s="35">
        <f>IF(OR(C2903&lt;&gt;"Grayson Coulter",G2903&lt;'00_Control'!$B$7),"",--(AF2903&lt;10))</f>
        <v/>
      </c>
      <c r="AI2903" s="35">
        <f>IF(AND(C2903="Grayson Coulter",G2903&gt;='00_Control'!$B$7),"YES","NO")</f>
        <v/>
      </c>
      <c r="AJ2903" s="33" t="inlineStr">
        <is>
          <t>OK</t>
        </is>
      </c>
    </row>
    <row r="2904">
      <c r="A2904" s="33" t="inlineStr">
        <is>
          <t>SM002900</t>
        </is>
      </c>
      <c r="B2904" s="33" t="inlineStr">
        <is>
          <t>SW001</t>
        </is>
      </c>
      <c r="C2904" s="33" t="inlineStr">
        <is>
          <t>Grayson Coulter</t>
        </is>
      </c>
      <c r="D2904" s="33" t="inlineStr">
        <is>
          <t>SwimCloud</t>
        </is>
      </c>
      <c r="E2904" s="33" t="inlineStr">
        <is>
          <t>3651023</t>
        </is>
      </c>
      <c r="F2904" s="33" t="inlineStr">
        <is>
          <t>166763562</t>
        </is>
      </c>
      <c r="G2904" s="51" t="n">
        <v>46009</v>
      </c>
      <c r="H2904" s="33" t="inlineStr">
        <is>
          <t>Queensland Championships</t>
        </is>
      </c>
      <c r="I2904" s="33" t="inlineStr">
        <is>
          <t>367863</t>
        </is>
      </c>
      <c r="J2904" s="33" t="n"/>
      <c r="K2904" s="33" t="inlineStr">
        <is>
          <t>FIN</t>
        </is>
      </c>
      <c r="L2904" s="35">
        <f>IF(K2904="FIN",3,IF(OR(K2904="SEM",K2904="SEMI"),2,IF(OR(K2904="PRE",K2904="HEAT"),1,IF(V2904="YES",4,2))))</f>
        <v/>
      </c>
      <c r="M2904" s="33" t="inlineStr">
        <is>
          <t>LCM</t>
        </is>
      </c>
      <c r="N2904" s="33" t="n">
        <v>50</v>
      </c>
      <c r="O2904" s="33" t="inlineStr">
        <is>
          <t>Fly</t>
        </is>
      </c>
      <c r="P2904" s="33" t="inlineStr">
        <is>
          <t>50 Fly</t>
        </is>
      </c>
      <c r="Q2904" s="33" t="inlineStr">
        <is>
          <t>LCM_50_FLY</t>
        </is>
      </c>
      <c r="R2904" s="36" t="n">
        <v>26.17</v>
      </c>
      <c r="S2904" s="35">
        <f>IF(R2904="","",IF(R2904&gt;=60,INT(R2904/60)&amp;":"&amp;TEXT(MOD(R2904,60),"00.00"),TEXT(R2904,"0.00")))</f>
        <v/>
      </c>
      <c r="T2904" s="52">
        <f>IFERROR((G2904-INDEX('01_Swimmers'!$E$5:$E$22,MATCH(B2904,'01_Swimmers'!$A$5:$A$22,0)))/'00_Control'!$B$10,"")</f>
        <v/>
      </c>
      <c r="U2904" s="35">
        <f>IF(T2904="","",INT(T2904))</f>
        <v/>
      </c>
      <c r="V2904" s="33" t="inlineStr">
        <is>
          <t>NO</t>
        </is>
      </c>
      <c r="W2904" s="33" t="inlineStr">
        <is>
          <t>YES</t>
        </is>
      </c>
      <c r="X2904" s="33" t="inlineStr">
        <is>
          <t>NO</t>
        </is>
      </c>
      <c r="Y2904" s="33" t="n">
        <v>2</v>
      </c>
      <c r="Z2904" s="33" t="n">
        <v>4</v>
      </c>
      <c r="AA2904" s="33" t="inlineStr">
        <is>
          <t>1</t>
        </is>
      </c>
      <c r="AB2904" s="33" t="inlineStr">
        <is>
          <t>https://www.swimcloud.com/results/367863/event/179/?id=166763562#time166763562</t>
        </is>
      </c>
      <c r="AC2904" s="33" t="inlineStr">
        <is>
          <t>SwimCloud all-event v8 2026-10-09</t>
        </is>
      </c>
      <c r="AD2904" s="33" t="inlineStr">
        <is>
          <t>Grayson Coulter|2025-12-18|LCM|50|Fly|26.17|Queensland Championships|FIN|False</t>
        </is>
      </c>
      <c r="AE2904" s="53">
        <f>G2904+L2904/1000+ROW()/1000000000</f>
        <v/>
      </c>
      <c r="AF2904" s="35">
        <f>IF(C2904&lt;&gt;"Grayson Coulter","",COUNTIFS($C$5:$C$2991,"Grayson Coulter",$Q$5:$Q$2991,Q2904,$AE$5:$AE$2991,"&lt;="&amp;AE2904,$R$5:$R$2991,"&lt;"&amp;R2904))</f>
        <v/>
      </c>
      <c r="AG2904" s="35">
        <f>IF(OR(C2904&lt;&gt;"Grayson Coulter",G2904&lt;'00_Control'!$B$7),"",--(AF2904&lt;5))</f>
        <v/>
      </c>
      <c r="AH2904" s="35">
        <f>IF(OR(C2904&lt;&gt;"Grayson Coulter",G2904&lt;'00_Control'!$B$7),"",--(AF2904&lt;10))</f>
        <v/>
      </c>
      <c r="AI2904" s="35">
        <f>IF(AND(C2904="Grayson Coulter",G2904&gt;='00_Control'!$B$7),"YES","NO")</f>
        <v/>
      </c>
      <c r="AJ2904" s="33" t="inlineStr">
        <is>
          <t>OK</t>
        </is>
      </c>
    </row>
    <row r="2905">
      <c r="A2905" s="33" t="inlineStr">
        <is>
          <t>SM002901</t>
        </is>
      </c>
      <c r="B2905" s="33" t="inlineStr">
        <is>
          <t>SW001</t>
        </is>
      </c>
      <c r="C2905" s="33" t="inlineStr">
        <is>
          <t>Grayson Coulter</t>
        </is>
      </c>
      <c r="D2905" s="33" t="inlineStr">
        <is>
          <t>SwimCloud</t>
        </is>
      </c>
      <c r="E2905" s="33" t="inlineStr">
        <is>
          <t>3651023</t>
        </is>
      </c>
      <c r="F2905" s="33" t="inlineStr">
        <is>
          <t>166763561</t>
        </is>
      </c>
      <c r="G2905" s="51" t="n">
        <v>46009</v>
      </c>
      <c r="H2905" s="33" t="inlineStr">
        <is>
          <t>Queensland Championships</t>
        </is>
      </c>
      <c r="I2905" s="33" t="inlineStr">
        <is>
          <t>367863</t>
        </is>
      </c>
      <c r="J2905" s="33" t="n"/>
      <c r="K2905" s="33" t="inlineStr">
        <is>
          <t>PRE</t>
        </is>
      </c>
      <c r="L2905" s="35">
        <f>IF(K2905="FIN",3,IF(OR(K2905="SEM",K2905="SEMI"),2,IF(OR(K2905="PRE",K2905="HEAT"),1,IF(V2905="YES",4,2))))</f>
        <v/>
      </c>
      <c r="M2905" s="33" t="inlineStr">
        <is>
          <t>LCM</t>
        </is>
      </c>
      <c r="N2905" s="33" t="n">
        <v>50</v>
      </c>
      <c r="O2905" s="33" t="inlineStr">
        <is>
          <t>Fly</t>
        </is>
      </c>
      <c r="P2905" s="33" t="inlineStr">
        <is>
          <t>50 Fly</t>
        </is>
      </c>
      <c r="Q2905" s="33" t="inlineStr">
        <is>
          <t>LCM_50_FLY</t>
        </is>
      </c>
      <c r="R2905" s="36" t="n">
        <v>26.24</v>
      </c>
      <c r="S2905" s="35">
        <f>IF(R2905="","",IF(R2905&gt;=60,INT(R2905/60)&amp;":"&amp;TEXT(MOD(R2905,60),"00.00"),TEXT(R2905,"0.00")))</f>
        <v/>
      </c>
      <c r="T2905" s="52">
        <f>IFERROR((G2905-INDEX('01_Swimmers'!$E$5:$E$22,MATCH(B2905,'01_Swimmers'!$A$5:$A$22,0)))/'00_Control'!$B$10,"")</f>
        <v/>
      </c>
      <c r="U2905" s="35">
        <f>IF(T2905="","",INT(T2905))</f>
        <v/>
      </c>
      <c r="V2905" s="33" t="inlineStr">
        <is>
          <t>NO</t>
        </is>
      </c>
      <c r="W2905" s="33" t="inlineStr">
        <is>
          <t>YES</t>
        </is>
      </c>
      <c r="X2905" s="33" t="inlineStr">
        <is>
          <t>NO</t>
        </is>
      </c>
      <c r="Y2905" s="33" t="n">
        <v>2</v>
      </c>
      <c r="Z2905" s="33" t="n">
        <v>4</v>
      </c>
      <c r="AA2905" s="33" t="inlineStr">
        <is>
          <t>1</t>
        </is>
      </c>
      <c r="AB2905" s="33" t="inlineStr">
        <is>
          <t>https://www.swimcloud.com/results/367863/event/179/?id=166763561#time166763561</t>
        </is>
      </c>
      <c r="AC2905" s="33" t="inlineStr">
        <is>
          <t>SwimCloud all-event v8 2026-10-09</t>
        </is>
      </c>
      <c r="AD2905" s="33" t="inlineStr">
        <is>
          <t>Grayson Coulter|2025-12-18|LCM|50|Fly|26.24|Queensland Championships|PRE|False</t>
        </is>
      </c>
      <c r="AE2905" s="53">
        <f>G2905+L2905/1000+ROW()/1000000000</f>
        <v/>
      </c>
      <c r="AF2905" s="35">
        <f>IF(C2905&lt;&gt;"Grayson Coulter","",COUNTIFS($C$5:$C$2991,"Grayson Coulter",$Q$5:$Q$2991,Q2905,$AE$5:$AE$2991,"&lt;="&amp;AE2905,$R$5:$R$2991,"&lt;"&amp;R2905))</f>
        <v/>
      </c>
      <c r="AG2905" s="35">
        <f>IF(OR(C2905&lt;&gt;"Grayson Coulter",G2905&lt;'00_Control'!$B$7),"",--(AF2905&lt;5))</f>
        <v/>
      </c>
      <c r="AH2905" s="35">
        <f>IF(OR(C2905&lt;&gt;"Grayson Coulter",G2905&lt;'00_Control'!$B$7),"",--(AF2905&lt;10))</f>
        <v/>
      </c>
      <c r="AI2905" s="35">
        <f>IF(AND(C2905="Grayson Coulter",G2905&gt;='00_Control'!$B$7),"YES","NO")</f>
        <v/>
      </c>
      <c r="AJ2905" s="33" t="inlineStr">
        <is>
          <t>OK</t>
        </is>
      </c>
    </row>
    <row r="2906">
      <c r="A2906" s="33" t="inlineStr">
        <is>
          <t>SM002902</t>
        </is>
      </c>
      <c r="B2906" s="33" t="inlineStr">
        <is>
          <t>SW001</t>
        </is>
      </c>
      <c r="C2906" s="33" t="inlineStr">
        <is>
          <t>Grayson Coulter</t>
        </is>
      </c>
      <c r="D2906" s="33" t="inlineStr">
        <is>
          <t>SwimCloud</t>
        </is>
      </c>
      <c r="E2906" s="33" t="inlineStr">
        <is>
          <t>3651023</t>
        </is>
      </c>
      <c r="F2906" s="33" t="inlineStr">
        <is>
          <t>166775118</t>
        </is>
      </c>
      <c r="G2906" s="51" t="n">
        <v>46006</v>
      </c>
      <c r="H2906" s="33" t="inlineStr">
        <is>
          <t>Queensland Championships</t>
        </is>
      </c>
      <c r="I2906" s="33" t="inlineStr">
        <is>
          <t>367863</t>
        </is>
      </c>
      <c r="J2906" s="33" t="n"/>
      <c r="K2906" s="33" t="inlineStr">
        <is>
          <t>FIN</t>
        </is>
      </c>
      <c r="L2906" s="35">
        <f>IF(K2906="FIN",3,IF(OR(K2906="SEM",K2906="SEMI"),2,IF(OR(K2906="PRE",K2906="HEAT"),1,IF(V2906="YES",4,2))))</f>
        <v/>
      </c>
      <c r="M2906" s="33" t="inlineStr">
        <is>
          <t>LCM</t>
        </is>
      </c>
      <c r="N2906" s="33" t="n">
        <v>50</v>
      </c>
      <c r="O2906" s="33" t="inlineStr">
        <is>
          <t>Fly</t>
        </is>
      </c>
      <c r="P2906" s="33" t="inlineStr">
        <is>
          <t>50 Fly</t>
        </is>
      </c>
      <c r="Q2906" s="33" t="inlineStr">
        <is>
          <t>LCM_50_FLY</t>
        </is>
      </c>
      <c r="R2906" s="36" t="n">
        <v>26.97</v>
      </c>
      <c r="S2906" s="35">
        <f>IF(R2906="","",IF(R2906&gt;=60,INT(R2906/60)&amp;":"&amp;TEXT(MOD(R2906,60),"00.00"),TEXT(R2906,"0.00")))</f>
        <v/>
      </c>
      <c r="T2906" s="52">
        <f>IFERROR((G2906-INDEX('01_Swimmers'!$E$5:$E$22,MATCH(B2906,'01_Swimmers'!$A$5:$A$22,0)))/'00_Control'!$B$10,"")</f>
        <v/>
      </c>
      <c r="U2906" s="35">
        <f>IF(T2906="","",INT(T2906))</f>
        <v/>
      </c>
      <c r="V2906" s="33" t="inlineStr">
        <is>
          <t>NO</t>
        </is>
      </c>
      <c r="W2906" s="33" t="inlineStr">
        <is>
          <t>YES</t>
        </is>
      </c>
      <c r="X2906" s="33" t="inlineStr">
        <is>
          <t>NO</t>
        </is>
      </c>
      <c r="Y2906" s="33" t="n">
        <v>1</v>
      </c>
      <c r="Z2906" s="33" t="n">
        <v>4</v>
      </c>
      <c r="AA2906" s="33" t="inlineStr"/>
      <c r="AB2906" s="33" t="inlineStr">
        <is>
          <t>https://www.swimcloud.com/results/367863/event/95/?id=166767533#time166767533</t>
        </is>
      </c>
      <c r="AC2906" s="33" t="inlineStr">
        <is>
          <t>SwimCloud all-event v8 2026-10-09</t>
        </is>
      </c>
      <c r="AD2906" s="33" t="inlineStr">
        <is>
          <t>Grayson Coulter|2025-12-15|LCM|50|Fly|26.97|Queensland Championships|FIN|False</t>
        </is>
      </c>
      <c r="AE2906" s="53">
        <f>G2906+L2906/1000+ROW()/1000000000</f>
        <v/>
      </c>
      <c r="AF2906" s="35">
        <f>IF(C2906&lt;&gt;"Grayson Coulter","",COUNTIFS($C$5:$C$2991,"Grayson Coulter",$Q$5:$Q$2991,Q2906,$AE$5:$AE$2991,"&lt;="&amp;AE2906,$R$5:$R$2991,"&lt;"&amp;R2906))</f>
        <v/>
      </c>
      <c r="AG2906" s="35">
        <f>IF(OR(C2906&lt;&gt;"Grayson Coulter",G2906&lt;'00_Control'!$B$7),"",--(AF2906&lt;5))</f>
        <v/>
      </c>
      <c r="AH2906" s="35">
        <f>IF(OR(C2906&lt;&gt;"Grayson Coulter",G2906&lt;'00_Control'!$B$7),"",--(AF2906&lt;10))</f>
        <v/>
      </c>
      <c r="AI2906" s="35">
        <f>IF(AND(C2906="Grayson Coulter",G2906&gt;='00_Control'!$B$7),"YES","NO")</f>
        <v/>
      </c>
      <c r="AJ2906" s="33" t="inlineStr">
        <is>
          <t>OK</t>
        </is>
      </c>
    </row>
    <row r="2907">
      <c r="A2907" s="33" t="inlineStr">
        <is>
          <t>SM002903</t>
        </is>
      </c>
      <c r="B2907" s="33" t="inlineStr">
        <is>
          <t>SW001</t>
        </is>
      </c>
      <c r="C2907" s="33" t="inlineStr">
        <is>
          <t>Grayson Coulter</t>
        </is>
      </c>
      <c r="D2907" s="33" t="inlineStr">
        <is>
          <t>SwimCloud</t>
        </is>
      </c>
      <c r="E2907" s="33" t="inlineStr">
        <is>
          <t>3651023</t>
        </is>
      </c>
      <c r="F2907" s="33" t="inlineStr">
        <is>
          <t>166775016</t>
        </is>
      </c>
      <c r="G2907" s="51" t="n">
        <v>46006</v>
      </c>
      <c r="H2907" s="33" t="inlineStr">
        <is>
          <t>Queensland Championships</t>
        </is>
      </c>
      <c r="I2907" s="33" t="inlineStr">
        <is>
          <t>367863</t>
        </is>
      </c>
      <c r="J2907" s="33" t="n"/>
      <c r="K2907" s="33" t="inlineStr">
        <is>
          <t>FIN</t>
        </is>
      </c>
      <c r="L2907" s="35">
        <f>IF(K2907="FIN",3,IF(OR(K2907="SEM",K2907="SEMI"),2,IF(OR(K2907="PRE",K2907="HEAT"),1,IF(V2907="YES",4,2))))</f>
        <v/>
      </c>
      <c r="M2907" s="33" t="inlineStr">
        <is>
          <t>LCM</t>
        </is>
      </c>
      <c r="N2907" s="33" t="n">
        <v>50</v>
      </c>
      <c r="O2907" s="33" t="inlineStr">
        <is>
          <t>Fly</t>
        </is>
      </c>
      <c r="P2907" s="33" t="inlineStr">
        <is>
          <t>50 Fly</t>
        </is>
      </c>
      <c r="Q2907" s="33" t="inlineStr">
        <is>
          <t>LCM_50_FLY</t>
        </is>
      </c>
      <c r="R2907" s="36" t="n">
        <v>27.1</v>
      </c>
      <c r="S2907" s="35">
        <f>IF(R2907="","",IF(R2907&gt;=60,INT(R2907/60)&amp;":"&amp;TEXT(MOD(R2907,60),"00.00"),TEXT(R2907,"0.00")))</f>
        <v/>
      </c>
      <c r="T2907" s="52">
        <f>IFERROR((G2907-INDEX('01_Swimmers'!$E$5:$E$22,MATCH(B2907,'01_Swimmers'!$A$5:$A$22,0)))/'00_Control'!$B$10,"")</f>
        <v/>
      </c>
      <c r="U2907" s="35">
        <f>IF(T2907="","",INT(T2907))</f>
        <v/>
      </c>
      <c r="V2907" s="33" t="inlineStr">
        <is>
          <t>NO</t>
        </is>
      </c>
      <c r="W2907" s="33" t="inlineStr">
        <is>
          <t>YES</t>
        </is>
      </c>
      <c r="X2907" s="33" t="inlineStr">
        <is>
          <t>NO</t>
        </is>
      </c>
      <c r="Y2907" s="33" t="n">
        <v>1</v>
      </c>
      <c r="Z2907" s="33" t="n">
        <v>4</v>
      </c>
      <c r="AA2907" s="33" t="inlineStr"/>
      <c r="AB2907" s="33" t="inlineStr">
        <is>
          <t>https://www.swimcloud.com/results/367863/event/79/?id=166762921#time166762921</t>
        </is>
      </c>
      <c r="AC2907" s="33" t="inlineStr">
        <is>
          <t>SwimCloud all-event v8 2026-10-09</t>
        </is>
      </c>
      <c r="AD2907" s="33" t="inlineStr">
        <is>
          <t>Grayson Coulter|2025-12-15|LCM|50|Fly|27.1|Queensland Championships|FIN|False</t>
        </is>
      </c>
      <c r="AE2907" s="53">
        <f>G2907+L2907/1000+ROW()/1000000000</f>
        <v/>
      </c>
      <c r="AF2907" s="35">
        <f>IF(C2907&lt;&gt;"Grayson Coulter","",COUNTIFS($C$5:$C$2991,"Grayson Coulter",$Q$5:$Q$2991,Q2907,$AE$5:$AE$2991,"&lt;="&amp;AE2907,$R$5:$R$2991,"&lt;"&amp;R2907))</f>
        <v/>
      </c>
      <c r="AG2907" s="35">
        <f>IF(OR(C2907&lt;&gt;"Grayson Coulter",G2907&lt;'00_Control'!$B$7),"",--(AF2907&lt;5))</f>
        <v/>
      </c>
      <c r="AH2907" s="35">
        <f>IF(OR(C2907&lt;&gt;"Grayson Coulter",G2907&lt;'00_Control'!$B$7),"",--(AF2907&lt;10))</f>
        <v/>
      </c>
      <c r="AI2907" s="35">
        <f>IF(AND(C2907="Grayson Coulter",G2907&gt;='00_Control'!$B$7),"YES","NO")</f>
        <v/>
      </c>
      <c r="AJ2907" s="33" t="inlineStr">
        <is>
          <t>OK</t>
        </is>
      </c>
    </row>
    <row r="2908">
      <c r="A2908" s="33" t="inlineStr">
        <is>
          <t>SM002904</t>
        </is>
      </c>
      <c r="B2908" s="33" t="inlineStr">
        <is>
          <t>SW001</t>
        </is>
      </c>
      <c r="C2908" s="33" t="inlineStr">
        <is>
          <t>Grayson Coulter</t>
        </is>
      </c>
      <c r="D2908" s="33" t="inlineStr">
        <is>
          <t>SwimCloud</t>
        </is>
      </c>
      <c r="E2908" s="33" t="inlineStr">
        <is>
          <t>3651023</t>
        </is>
      </c>
      <c r="F2908" s="33" t="inlineStr">
        <is>
          <t>166775119</t>
        </is>
      </c>
      <c r="G2908" s="51" t="n">
        <v>46006</v>
      </c>
      <c r="H2908" s="33" t="inlineStr">
        <is>
          <t>Queensland Championships</t>
        </is>
      </c>
      <c r="I2908" s="33" t="inlineStr">
        <is>
          <t>367863</t>
        </is>
      </c>
      <c r="J2908" s="33" t="n"/>
      <c r="K2908" s="33" t="inlineStr">
        <is>
          <t>PRE</t>
        </is>
      </c>
      <c r="L2908" s="35">
        <f>IF(K2908="FIN",3,IF(OR(K2908="SEM",K2908="SEMI"),2,IF(OR(K2908="PRE",K2908="HEAT"),1,IF(V2908="YES",4,2))))</f>
        <v/>
      </c>
      <c r="M2908" s="33" t="inlineStr">
        <is>
          <t>LCM</t>
        </is>
      </c>
      <c r="N2908" s="33" t="n">
        <v>50</v>
      </c>
      <c r="O2908" s="33" t="inlineStr">
        <is>
          <t>Fly</t>
        </is>
      </c>
      <c r="P2908" s="33" t="inlineStr">
        <is>
          <t>50 Fly</t>
        </is>
      </c>
      <c r="Q2908" s="33" t="inlineStr">
        <is>
          <t>LCM_50_FLY</t>
        </is>
      </c>
      <c r="R2908" s="36" t="n">
        <v>27.25</v>
      </c>
      <c r="S2908" s="35">
        <f>IF(R2908="","",IF(R2908&gt;=60,INT(R2908/60)&amp;":"&amp;TEXT(MOD(R2908,60),"00.00"),TEXT(R2908,"0.00")))</f>
        <v/>
      </c>
      <c r="T2908" s="52">
        <f>IFERROR((G2908-INDEX('01_Swimmers'!$E$5:$E$22,MATCH(B2908,'01_Swimmers'!$A$5:$A$22,0)))/'00_Control'!$B$10,"")</f>
        <v/>
      </c>
      <c r="U2908" s="35">
        <f>IF(T2908="","",INT(T2908))</f>
        <v/>
      </c>
      <c r="V2908" s="33" t="inlineStr">
        <is>
          <t>NO</t>
        </is>
      </c>
      <c r="W2908" s="33" t="inlineStr">
        <is>
          <t>YES</t>
        </is>
      </c>
      <c r="X2908" s="33" t="inlineStr">
        <is>
          <t>NO</t>
        </is>
      </c>
      <c r="Y2908" s="33" t="n">
        <v>1</v>
      </c>
      <c r="Z2908" s="33" t="n">
        <v>4</v>
      </c>
      <c r="AA2908" s="33" t="inlineStr"/>
      <c r="AB2908" s="33" t="inlineStr">
        <is>
          <t>https://www.swimcloud.com/results/367863/event/95/?id=166767532#time166767532</t>
        </is>
      </c>
      <c r="AC2908" s="33" t="inlineStr">
        <is>
          <t>SwimCloud all-event v8 2026-10-09</t>
        </is>
      </c>
      <c r="AD2908" s="33" t="inlineStr">
        <is>
          <t>Grayson Coulter|2025-12-15|LCM|50|Fly|27.25|Queensland Championships|PRE|False</t>
        </is>
      </c>
      <c r="AE2908" s="53">
        <f>G2908+L2908/1000+ROW()/1000000000</f>
        <v/>
      </c>
      <c r="AF2908" s="35">
        <f>IF(C2908&lt;&gt;"Grayson Coulter","",COUNTIFS($C$5:$C$2991,"Grayson Coulter",$Q$5:$Q$2991,Q2908,$AE$5:$AE$2991,"&lt;="&amp;AE2908,$R$5:$R$2991,"&lt;"&amp;R2908))</f>
        <v/>
      </c>
      <c r="AG2908" s="35">
        <f>IF(OR(C2908&lt;&gt;"Grayson Coulter",G2908&lt;'00_Control'!$B$7),"",--(AF2908&lt;5))</f>
        <v/>
      </c>
      <c r="AH2908" s="35">
        <f>IF(OR(C2908&lt;&gt;"Grayson Coulter",G2908&lt;'00_Control'!$B$7),"",--(AF2908&lt;10))</f>
        <v/>
      </c>
      <c r="AI2908" s="35">
        <f>IF(AND(C2908="Grayson Coulter",G2908&gt;='00_Control'!$B$7),"YES","NO")</f>
        <v/>
      </c>
      <c r="AJ2908" s="33" t="inlineStr">
        <is>
          <t>OK</t>
        </is>
      </c>
    </row>
    <row r="2909">
      <c r="A2909" s="33" t="inlineStr">
        <is>
          <t>SM002905</t>
        </is>
      </c>
      <c r="B2909" s="33" t="inlineStr">
        <is>
          <t>SW001</t>
        </is>
      </c>
      <c r="C2909" s="33" t="inlineStr">
        <is>
          <t>Grayson Coulter</t>
        </is>
      </c>
      <c r="D2909" s="33" t="inlineStr">
        <is>
          <t>SwimCloud</t>
        </is>
      </c>
      <c r="E2909" s="33" t="inlineStr">
        <is>
          <t>3651023</t>
        </is>
      </c>
      <c r="F2909" s="33" t="inlineStr">
        <is>
          <t>166775017</t>
        </is>
      </c>
      <c r="G2909" s="51" t="n">
        <v>46006</v>
      </c>
      <c r="H2909" s="33" t="inlineStr">
        <is>
          <t>Queensland Championships</t>
        </is>
      </c>
      <c r="I2909" s="33" t="inlineStr">
        <is>
          <t>367863</t>
        </is>
      </c>
      <c r="J2909" s="33" t="n"/>
      <c r="K2909" s="33" t="inlineStr">
        <is>
          <t>PRE</t>
        </is>
      </c>
      <c r="L2909" s="35">
        <f>IF(K2909="FIN",3,IF(OR(K2909="SEM",K2909="SEMI"),2,IF(OR(K2909="PRE",K2909="HEAT"),1,IF(V2909="YES",4,2))))</f>
        <v/>
      </c>
      <c r="M2909" s="33" t="inlineStr">
        <is>
          <t>LCM</t>
        </is>
      </c>
      <c r="N2909" s="33" t="n">
        <v>50</v>
      </c>
      <c r="O2909" s="33" t="inlineStr">
        <is>
          <t>Fly</t>
        </is>
      </c>
      <c r="P2909" s="33" t="inlineStr">
        <is>
          <t>50 Fly</t>
        </is>
      </c>
      <c r="Q2909" s="33" t="inlineStr">
        <is>
          <t>LCM_50_FLY</t>
        </is>
      </c>
      <c r="R2909" s="36" t="n">
        <v>27.32</v>
      </c>
      <c r="S2909" s="35">
        <f>IF(R2909="","",IF(R2909&gt;=60,INT(R2909/60)&amp;":"&amp;TEXT(MOD(R2909,60),"00.00"),TEXT(R2909,"0.00")))</f>
        <v/>
      </c>
      <c r="T2909" s="52">
        <f>IFERROR((G2909-INDEX('01_Swimmers'!$E$5:$E$22,MATCH(B2909,'01_Swimmers'!$A$5:$A$22,0)))/'00_Control'!$B$10,"")</f>
        <v/>
      </c>
      <c r="U2909" s="35">
        <f>IF(T2909="","",INT(T2909))</f>
        <v/>
      </c>
      <c r="V2909" s="33" t="inlineStr">
        <is>
          <t>NO</t>
        </is>
      </c>
      <c r="W2909" s="33" t="inlineStr">
        <is>
          <t>YES</t>
        </is>
      </c>
      <c r="X2909" s="33" t="inlineStr">
        <is>
          <t>NO</t>
        </is>
      </c>
      <c r="Y2909" s="33" t="n">
        <v>1</v>
      </c>
      <c r="Z2909" s="33" t="n">
        <v>4</v>
      </c>
      <c r="AA2909" s="33" t="inlineStr"/>
      <c r="AB2909" s="33" t="inlineStr">
        <is>
          <t>https://www.swimcloud.com/results/367863/event/79/?id=166762920#time166762920</t>
        </is>
      </c>
      <c r="AC2909" s="33" t="inlineStr">
        <is>
          <t>SwimCloud all-event v8 2026-10-09</t>
        </is>
      </c>
      <c r="AD2909" s="33" t="inlineStr">
        <is>
          <t>Grayson Coulter|2025-12-15|LCM|50|Fly|27.32|Queensland Championships|PRE|False</t>
        </is>
      </c>
      <c r="AE2909" s="53">
        <f>G2909+L2909/1000+ROW()/1000000000</f>
        <v/>
      </c>
      <c r="AF2909" s="35">
        <f>IF(C2909&lt;&gt;"Grayson Coulter","",COUNTIFS($C$5:$C$2991,"Grayson Coulter",$Q$5:$Q$2991,Q2909,$AE$5:$AE$2991,"&lt;="&amp;AE2909,$R$5:$R$2991,"&lt;"&amp;R2909))</f>
        <v/>
      </c>
      <c r="AG2909" s="35">
        <f>IF(OR(C2909&lt;&gt;"Grayson Coulter",G2909&lt;'00_Control'!$B$7),"",--(AF2909&lt;5))</f>
        <v/>
      </c>
      <c r="AH2909" s="35">
        <f>IF(OR(C2909&lt;&gt;"Grayson Coulter",G2909&lt;'00_Control'!$B$7),"",--(AF2909&lt;10))</f>
        <v/>
      </c>
      <c r="AI2909" s="35">
        <f>IF(AND(C2909="Grayson Coulter",G2909&gt;='00_Control'!$B$7),"YES","NO")</f>
        <v/>
      </c>
      <c r="AJ2909" s="33" t="inlineStr">
        <is>
          <t>OK</t>
        </is>
      </c>
    </row>
    <row r="2910">
      <c r="A2910" s="33" t="inlineStr">
        <is>
          <t>SM002906</t>
        </is>
      </c>
      <c r="B2910" s="33" t="inlineStr">
        <is>
          <t>SW001</t>
        </is>
      </c>
      <c r="C2910" s="33" t="inlineStr">
        <is>
          <t>Grayson Coulter</t>
        </is>
      </c>
      <c r="D2910" s="33" t="inlineStr">
        <is>
          <t>SwimCloud</t>
        </is>
      </c>
      <c r="E2910" s="33" t="inlineStr">
        <is>
          <t>3651023</t>
        </is>
      </c>
      <c r="F2910" s="33" t="inlineStr">
        <is>
          <t>151360711</t>
        </is>
      </c>
      <c r="G2910" s="51" t="n">
        <v>45762</v>
      </c>
      <c r="H2910" s="33" t="inlineStr">
        <is>
          <t>Apollo Projects New Zealand Age Group Championships</t>
        </is>
      </c>
      <c r="I2910" s="33" t="inlineStr">
        <is>
          <t>342666</t>
        </is>
      </c>
      <c r="J2910" s="33" t="n"/>
      <c r="K2910" s="33" t="inlineStr">
        <is>
          <t>FIN</t>
        </is>
      </c>
      <c r="L2910" s="35">
        <f>IF(K2910="FIN",3,IF(OR(K2910="SEM",K2910="SEMI"),2,IF(OR(K2910="PRE",K2910="HEAT"),1,IF(V2910="YES",4,2))))</f>
        <v/>
      </c>
      <c r="M2910" s="33" t="inlineStr">
        <is>
          <t>LCM</t>
        </is>
      </c>
      <c r="N2910" s="33" t="n">
        <v>50</v>
      </c>
      <c r="O2910" s="33" t="inlineStr">
        <is>
          <t>Fly</t>
        </is>
      </c>
      <c r="P2910" s="33" t="inlineStr">
        <is>
          <t>50 Fly</t>
        </is>
      </c>
      <c r="Q2910" s="33" t="inlineStr">
        <is>
          <t>LCM_50_FLY</t>
        </is>
      </c>
      <c r="R2910" s="36" t="n">
        <v>26.58</v>
      </c>
      <c r="S2910" s="35">
        <f>IF(R2910="","",IF(R2910&gt;=60,INT(R2910/60)&amp;":"&amp;TEXT(MOD(R2910,60),"00.00"),TEXT(R2910,"0.00")))</f>
        <v/>
      </c>
      <c r="T2910" s="52">
        <f>IFERROR((G2910-INDEX('01_Swimmers'!$E$5:$E$22,MATCH(B2910,'01_Swimmers'!$A$5:$A$22,0)))/'00_Control'!$B$10,"")</f>
        <v/>
      </c>
      <c r="U2910" s="35">
        <f>IF(T2910="","",INT(T2910))</f>
        <v/>
      </c>
      <c r="V2910" s="33" t="inlineStr">
        <is>
          <t>NO</t>
        </is>
      </c>
      <c r="W2910" s="33" t="inlineStr">
        <is>
          <t>YES</t>
        </is>
      </c>
      <c r="X2910" s="33" t="inlineStr">
        <is>
          <t>NO</t>
        </is>
      </c>
      <c r="Y2910" s="33" t="n">
        <v>1</v>
      </c>
      <c r="Z2910" s="33" t="n">
        <v>4</v>
      </c>
      <c r="AA2910" s="33" t="inlineStr">
        <is>
          <t>1</t>
        </is>
      </c>
      <c r="AB2910" s="33" t="inlineStr">
        <is>
          <t>https://www.swimcloud.com/results/342666/event/30/?id=151360711#time151360711</t>
        </is>
      </c>
      <c r="AC2910" s="33" t="inlineStr">
        <is>
          <t>SwimCloud all-event v8 2026-10-09</t>
        </is>
      </c>
      <c r="AD2910" s="33" t="inlineStr">
        <is>
          <t>Grayson Coulter|2025-04-15|LCM|50|Fly|26.58|Apollo Projects New Zealand Age Group Championships|FIN|False</t>
        </is>
      </c>
      <c r="AE2910" s="53">
        <f>G2910+L2910/1000+ROW()/1000000000</f>
        <v/>
      </c>
      <c r="AF2910" s="35">
        <f>IF(C2910&lt;&gt;"Grayson Coulter","",COUNTIFS($C$5:$C$2991,"Grayson Coulter",$Q$5:$Q$2991,Q2910,$AE$5:$AE$2991,"&lt;="&amp;AE2910,$R$5:$R$2991,"&lt;"&amp;R2910))</f>
        <v/>
      </c>
      <c r="AG2910" s="35">
        <f>IF(OR(C2910&lt;&gt;"Grayson Coulter",G2910&lt;'00_Control'!$B$7),"",--(AF2910&lt;5))</f>
        <v/>
      </c>
      <c r="AH2910" s="35">
        <f>IF(OR(C2910&lt;&gt;"Grayson Coulter",G2910&lt;'00_Control'!$B$7),"",--(AF2910&lt;10))</f>
        <v/>
      </c>
      <c r="AI2910" s="35">
        <f>IF(AND(C2910="Grayson Coulter",G2910&gt;='00_Control'!$B$7),"YES","NO")</f>
        <v/>
      </c>
      <c r="AJ2910" s="33" t="inlineStr">
        <is>
          <t>OK</t>
        </is>
      </c>
    </row>
    <row r="2911">
      <c r="A2911" s="33" t="inlineStr">
        <is>
          <t>SM002907</t>
        </is>
      </c>
      <c r="B2911" s="33" t="inlineStr">
        <is>
          <t>SW001</t>
        </is>
      </c>
      <c r="C2911" s="33" t="inlineStr">
        <is>
          <t>Grayson Coulter</t>
        </is>
      </c>
      <c r="D2911" s="33" t="inlineStr">
        <is>
          <t>SwimCloud</t>
        </is>
      </c>
      <c r="E2911" s="33" t="inlineStr">
        <is>
          <t>3651023</t>
        </is>
      </c>
      <c r="F2911" s="33" t="inlineStr">
        <is>
          <t>151360702</t>
        </is>
      </c>
      <c r="G2911" s="51" t="n">
        <v>45762</v>
      </c>
      <c r="H2911" s="33" t="inlineStr">
        <is>
          <t>Apollo Projects New Zealand Age Group Championships</t>
        </is>
      </c>
      <c r="I2911" s="33" t="inlineStr">
        <is>
          <t>342666</t>
        </is>
      </c>
      <c r="J2911" s="33" t="n"/>
      <c r="K2911" s="33" t="inlineStr">
        <is>
          <t>PRE</t>
        </is>
      </c>
      <c r="L2911" s="35">
        <f>IF(K2911="FIN",3,IF(OR(K2911="SEM",K2911="SEMI"),2,IF(OR(K2911="PRE",K2911="HEAT"),1,IF(V2911="YES",4,2))))</f>
        <v/>
      </c>
      <c r="M2911" s="33" t="inlineStr">
        <is>
          <t>LCM</t>
        </is>
      </c>
      <c r="N2911" s="33" t="n">
        <v>50</v>
      </c>
      <c r="O2911" s="33" t="inlineStr">
        <is>
          <t>Fly</t>
        </is>
      </c>
      <c r="P2911" s="33" t="inlineStr">
        <is>
          <t>50 Fly</t>
        </is>
      </c>
      <c r="Q2911" s="33" t="inlineStr">
        <is>
          <t>LCM_50_FLY</t>
        </is>
      </c>
      <c r="R2911" s="36" t="n">
        <v>26.94</v>
      </c>
      <c r="S2911" s="35">
        <f>IF(R2911="","",IF(R2911&gt;=60,INT(R2911/60)&amp;":"&amp;TEXT(MOD(R2911,60),"00.00"),TEXT(R2911,"0.00")))</f>
        <v/>
      </c>
      <c r="T2911" s="52">
        <f>IFERROR((G2911-INDEX('01_Swimmers'!$E$5:$E$22,MATCH(B2911,'01_Swimmers'!$A$5:$A$22,0)))/'00_Control'!$B$10,"")</f>
        <v/>
      </c>
      <c r="U2911" s="35">
        <f>IF(T2911="","",INT(T2911))</f>
        <v/>
      </c>
      <c r="V2911" s="33" t="inlineStr">
        <is>
          <t>NO</t>
        </is>
      </c>
      <c r="W2911" s="33" t="inlineStr">
        <is>
          <t>YES</t>
        </is>
      </c>
      <c r="X2911" s="33" t="inlineStr">
        <is>
          <t>NO</t>
        </is>
      </c>
      <c r="Y2911" s="33" t="n">
        <v>6</v>
      </c>
      <c r="Z2911" s="33" t="n">
        <v>9</v>
      </c>
      <c r="AA2911" s="33" t="inlineStr">
        <is>
          <t>1</t>
        </is>
      </c>
      <c r="AB2911" s="33" t="inlineStr">
        <is>
          <t>https://www.swimcloud.com/results/342666/event/30/?id=151360702#time151360702</t>
        </is>
      </c>
      <c r="AC2911" s="33" t="inlineStr">
        <is>
          <t>SwimCloud all-event v8 2026-10-09</t>
        </is>
      </c>
      <c r="AD2911" s="33" t="inlineStr">
        <is>
          <t>Grayson Coulter|2025-04-15|LCM|50|Fly|26.94|Apollo Projects New Zealand Age Group Championships|PRE|False</t>
        </is>
      </c>
      <c r="AE2911" s="53">
        <f>G2911+L2911/1000+ROW()/1000000000</f>
        <v/>
      </c>
      <c r="AF2911" s="35">
        <f>IF(C2911&lt;&gt;"Grayson Coulter","",COUNTIFS($C$5:$C$2991,"Grayson Coulter",$Q$5:$Q$2991,Q2911,$AE$5:$AE$2991,"&lt;="&amp;AE2911,$R$5:$R$2991,"&lt;"&amp;R2911))</f>
        <v/>
      </c>
      <c r="AG2911" s="35">
        <f>IF(OR(C2911&lt;&gt;"Grayson Coulter",G2911&lt;'00_Control'!$B$7),"",--(AF2911&lt;5))</f>
        <v/>
      </c>
      <c r="AH2911" s="35">
        <f>IF(OR(C2911&lt;&gt;"Grayson Coulter",G2911&lt;'00_Control'!$B$7),"",--(AF2911&lt;10))</f>
        <v/>
      </c>
      <c r="AI2911" s="35">
        <f>IF(AND(C2911="Grayson Coulter",G2911&gt;='00_Control'!$B$7),"YES","NO")</f>
        <v/>
      </c>
      <c r="AJ2911" s="33" t="inlineStr">
        <is>
          <t>OK</t>
        </is>
      </c>
    </row>
    <row r="2912">
      <c r="A2912" s="33" t="inlineStr">
        <is>
          <t>SM002908</t>
        </is>
      </c>
      <c r="B2912" s="33" t="inlineStr">
        <is>
          <t>SW001</t>
        </is>
      </c>
      <c r="C2912" s="33" t="inlineStr">
        <is>
          <t>Grayson Coulter</t>
        </is>
      </c>
      <c r="D2912" s="33" t="inlineStr">
        <is>
          <t>SwimCloud</t>
        </is>
      </c>
      <c r="E2912" s="33" t="inlineStr">
        <is>
          <t>3651023</t>
        </is>
      </c>
      <c r="F2912" s="33" t="inlineStr">
        <is>
          <t>151364541</t>
        </is>
      </c>
      <c r="G2912" s="51" t="n">
        <v>45760</v>
      </c>
      <c r="H2912" s="33" t="inlineStr">
        <is>
          <t>Apollo Projects New Zealand Age Group Championships</t>
        </is>
      </c>
      <c r="I2912" s="33" t="inlineStr">
        <is>
          <t>342666</t>
        </is>
      </c>
      <c r="J2912" s="33" t="n"/>
      <c r="K2912" s="33" t="inlineStr">
        <is>
          <t>FIN</t>
        </is>
      </c>
      <c r="L2912" s="35">
        <f>IF(K2912="FIN",3,IF(OR(K2912="SEM",K2912="SEMI"),2,IF(OR(K2912="PRE",K2912="HEAT"),1,IF(V2912="YES",4,2))))</f>
        <v/>
      </c>
      <c r="M2912" s="33" t="inlineStr">
        <is>
          <t>LCM</t>
        </is>
      </c>
      <c r="N2912" s="33" t="n">
        <v>50</v>
      </c>
      <c r="O2912" s="33" t="inlineStr">
        <is>
          <t>Fly</t>
        </is>
      </c>
      <c r="P2912" s="33" t="inlineStr">
        <is>
          <t>50 Fly</t>
        </is>
      </c>
      <c r="Q2912" s="33" t="inlineStr">
        <is>
          <t>LCM_50_FLY</t>
        </is>
      </c>
      <c r="R2912" s="36" t="n">
        <v>26.57</v>
      </c>
      <c r="S2912" s="35">
        <f>IF(R2912="","",IF(R2912&gt;=60,INT(R2912/60)&amp;":"&amp;TEXT(MOD(R2912,60),"00.00"),TEXT(R2912,"0.00")))</f>
        <v/>
      </c>
      <c r="T2912" s="52">
        <f>IFERROR((G2912-INDEX('01_Swimmers'!$E$5:$E$22,MATCH(B2912,'01_Swimmers'!$A$5:$A$22,0)))/'00_Control'!$B$10,"")</f>
        <v/>
      </c>
      <c r="U2912" s="35">
        <f>IF(T2912="","",INT(T2912))</f>
        <v/>
      </c>
      <c r="V2912" s="33" t="inlineStr">
        <is>
          <t>NO</t>
        </is>
      </c>
      <c r="W2912" s="33" t="inlineStr">
        <is>
          <t>YES</t>
        </is>
      </c>
      <c r="X2912" s="33" t="inlineStr">
        <is>
          <t>NO</t>
        </is>
      </c>
      <c r="Y2912" s="33" t="n">
        <v>1</v>
      </c>
      <c r="Z2912" s="33" t="n">
        <v>4</v>
      </c>
      <c r="AA2912" s="33" t="inlineStr"/>
      <c r="AB2912" s="33" t="inlineStr">
        <is>
          <t>https://www.swimcloud.com/results/342666/event/2/?id=151360707#time151360707</t>
        </is>
      </c>
      <c r="AC2912" s="33" t="inlineStr">
        <is>
          <t>SwimCloud all-event v8 2026-10-09</t>
        </is>
      </c>
      <c r="AD2912" s="33" t="inlineStr">
        <is>
          <t>Grayson Coulter|2025-04-13|LCM|50|Fly|26.57|Apollo Projects New Zealand Age Group Championships|FIN|False</t>
        </is>
      </c>
      <c r="AE2912" s="53">
        <f>G2912+L2912/1000+ROW()/1000000000</f>
        <v/>
      </c>
      <c r="AF2912" s="35">
        <f>IF(C2912&lt;&gt;"Grayson Coulter","",COUNTIFS($C$5:$C$2991,"Grayson Coulter",$Q$5:$Q$2991,Q2912,$AE$5:$AE$2991,"&lt;="&amp;AE2912,$R$5:$R$2991,"&lt;"&amp;R2912))</f>
        <v/>
      </c>
      <c r="AG2912" s="35">
        <f>IF(OR(C2912&lt;&gt;"Grayson Coulter",G2912&lt;'00_Control'!$B$7),"",--(AF2912&lt;5))</f>
        <v/>
      </c>
      <c r="AH2912" s="35">
        <f>IF(OR(C2912&lt;&gt;"Grayson Coulter",G2912&lt;'00_Control'!$B$7),"",--(AF2912&lt;10))</f>
        <v/>
      </c>
      <c r="AI2912" s="35">
        <f>IF(AND(C2912="Grayson Coulter",G2912&gt;='00_Control'!$B$7),"YES","NO")</f>
        <v/>
      </c>
      <c r="AJ2912" s="33" t="inlineStr">
        <is>
          <t>OK</t>
        </is>
      </c>
    </row>
    <row r="2913">
      <c r="A2913" s="33" t="inlineStr">
        <is>
          <t>SM002909</t>
        </is>
      </c>
      <c r="B2913" s="33" t="inlineStr">
        <is>
          <t>SW001</t>
        </is>
      </c>
      <c r="C2913" s="33" t="inlineStr">
        <is>
          <t>Grayson Coulter</t>
        </is>
      </c>
      <c r="D2913" s="33" t="inlineStr">
        <is>
          <t>SwimCloud</t>
        </is>
      </c>
      <c r="E2913" s="33" t="inlineStr">
        <is>
          <t>3651023</t>
        </is>
      </c>
      <c r="F2913" s="33" t="inlineStr">
        <is>
          <t>149408644</t>
        </is>
      </c>
      <c r="G2913" s="51" t="n">
        <v>45731</v>
      </c>
      <c r="H2913" s="33" t="inlineStr">
        <is>
          <t>Swimming Auckland Age Group and Open Championships</t>
        </is>
      </c>
      <c r="I2913" s="33" t="inlineStr">
        <is>
          <t>340538</t>
        </is>
      </c>
      <c r="J2913" s="33" t="n"/>
      <c r="K2913" s="33" t="inlineStr">
        <is>
          <t>FIN</t>
        </is>
      </c>
      <c r="L2913" s="35">
        <f>IF(K2913="FIN",3,IF(OR(K2913="SEM",K2913="SEMI"),2,IF(OR(K2913="PRE",K2913="HEAT"),1,IF(V2913="YES",4,2))))</f>
        <v/>
      </c>
      <c r="M2913" s="33" t="inlineStr">
        <is>
          <t>LCM</t>
        </is>
      </c>
      <c r="N2913" s="33" t="n">
        <v>50</v>
      </c>
      <c r="O2913" s="33" t="inlineStr">
        <is>
          <t>Fly</t>
        </is>
      </c>
      <c r="P2913" s="33" t="inlineStr">
        <is>
          <t>50 Fly</t>
        </is>
      </c>
      <c r="Q2913" s="33" t="inlineStr">
        <is>
          <t>LCM_50_FLY</t>
        </is>
      </c>
      <c r="R2913" s="36" t="n">
        <v>27.68</v>
      </c>
      <c r="S2913" s="35">
        <f>IF(R2913="","",IF(R2913&gt;=60,INT(R2913/60)&amp;":"&amp;TEXT(MOD(R2913,60),"00.00"),TEXT(R2913,"0.00")))</f>
        <v/>
      </c>
      <c r="T2913" s="52">
        <f>IFERROR((G2913-INDEX('01_Swimmers'!$E$5:$E$22,MATCH(B2913,'01_Swimmers'!$A$5:$A$22,0)))/'00_Control'!$B$10,"")</f>
        <v/>
      </c>
      <c r="U2913" s="35">
        <f>IF(T2913="","",INT(T2913))</f>
        <v/>
      </c>
      <c r="V2913" s="33" t="inlineStr">
        <is>
          <t>NO</t>
        </is>
      </c>
      <c r="W2913" s="33" t="inlineStr">
        <is>
          <t>YES</t>
        </is>
      </c>
      <c r="X2913" s="33" t="inlineStr">
        <is>
          <t>NO</t>
        </is>
      </c>
      <c r="Y2913" s="33" t="n">
        <v>4</v>
      </c>
      <c r="Z2913" s="33" t="n">
        <v>6</v>
      </c>
      <c r="AA2913" s="33" t="inlineStr"/>
      <c r="AB2913" s="33" t="inlineStr">
        <is>
          <t>https://www.swimcloud.com/results/340538/event/22/?id=149406603#time149406603</t>
        </is>
      </c>
      <c r="AC2913" s="33" t="inlineStr">
        <is>
          <t>SwimCloud all-event v8 2026-10-09</t>
        </is>
      </c>
      <c r="AD2913" s="33" t="inlineStr">
        <is>
          <t>Grayson Coulter|2025-03-15|LCM|50|Fly|27.68|Swimming Auckland Age Group and Open Championships|FIN|False</t>
        </is>
      </c>
      <c r="AE2913" s="53">
        <f>G2913+L2913/1000+ROW()/1000000000</f>
        <v/>
      </c>
      <c r="AF2913" s="35">
        <f>IF(C2913&lt;&gt;"Grayson Coulter","",COUNTIFS($C$5:$C$2991,"Grayson Coulter",$Q$5:$Q$2991,Q2913,$AE$5:$AE$2991,"&lt;="&amp;AE2913,$R$5:$R$2991,"&lt;"&amp;R2913))</f>
        <v/>
      </c>
      <c r="AG2913" s="35">
        <f>IF(OR(C2913&lt;&gt;"Grayson Coulter",G2913&lt;'00_Control'!$B$7),"",--(AF2913&lt;5))</f>
        <v/>
      </c>
      <c r="AH2913" s="35">
        <f>IF(OR(C2913&lt;&gt;"Grayson Coulter",G2913&lt;'00_Control'!$B$7),"",--(AF2913&lt;10))</f>
        <v/>
      </c>
      <c r="AI2913" s="35">
        <f>IF(AND(C2913="Grayson Coulter",G2913&gt;='00_Control'!$B$7),"YES","NO")</f>
        <v/>
      </c>
      <c r="AJ2913" s="33" t="inlineStr">
        <is>
          <t>OK</t>
        </is>
      </c>
    </row>
    <row r="2914">
      <c r="A2914" s="33" t="inlineStr">
        <is>
          <t>SM002910</t>
        </is>
      </c>
      <c r="B2914" s="33" t="inlineStr">
        <is>
          <t>SW001</t>
        </is>
      </c>
      <c r="C2914" s="33" t="inlineStr">
        <is>
          <t>Grayson Coulter</t>
        </is>
      </c>
      <c r="D2914" s="33" t="inlineStr">
        <is>
          <t>SwimCloud</t>
        </is>
      </c>
      <c r="E2914" s="33" t="inlineStr">
        <is>
          <t>3651023</t>
        </is>
      </c>
      <c r="F2914" s="33" t="inlineStr">
        <is>
          <t>149408568</t>
        </is>
      </c>
      <c r="G2914" s="51" t="n">
        <v>45731</v>
      </c>
      <c r="H2914" s="33" t="inlineStr">
        <is>
          <t>Swimming Auckland Age Group and Open Championships</t>
        </is>
      </c>
      <c r="I2914" s="33" t="inlineStr">
        <is>
          <t>340538</t>
        </is>
      </c>
      <c r="J2914" s="33" t="n"/>
      <c r="K2914" s="33" t="inlineStr">
        <is>
          <t>FIN</t>
        </is>
      </c>
      <c r="L2914" s="35">
        <f>IF(K2914="FIN",3,IF(OR(K2914="SEM",K2914="SEMI"),2,IF(OR(K2914="PRE",K2914="HEAT"),1,IF(V2914="YES",4,2))))</f>
        <v/>
      </c>
      <c r="M2914" s="33" t="inlineStr">
        <is>
          <t>LCM</t>
        </is>
      </c>
      <c r="N2914" s="33" t="n">
        <v>50</v>
      </c>
      <c r="O2914" s="33" t="inlineStr">
        <is>
          <t>Fly</t>
        </is>
      </c>
      <c r="P2914" s="33" t="inlineStr">
        <is>
          <t>50 Fly</t>
        </is>
      </c>
      <c r="Q2914" s="33" t="inlineStr">
        <is>
          <t>LCM_50_FLY</t>
        </is>
      </c>
      <c r="R2914" s="36" t="n">
        <v>28.44</v>
      </c>
      <c r="S2914" s="35">
        <f>IF(R2914="","",IF(R2914&gt;=60,INT(R2914/60)&amp;":"&amp;TEXT(MOD(R2914,60),"00.00"),TEXT(R2914,"0.00")))</f>
        <v/>
      </c>
      <c r="T2914" s="52">
        <f>IFERROR((G2914-INDEX('01_Swimmers'!$E$5:$E$22,MATCH(B2914,'01_Swimmers'!$A$5:$A$22,0)))/'00_Control'!$B$10,"")</f>
        <v/>
      </c>
      <c r="U2914" s="35">
        <f>IF(T2914="","",INT(T2914))</f>
        <v/>
      </c>
      <c r="V2914" s="33" t="inlineStr">
        <is>
          <t>NO</t>
        </is>
      </c>
      <c r="W2914" s="33" t="inlineStr">
        <is>
          <t>YES</t>
        </is>
      </c>
      <c r="X2914" s="33" t="inlineStr">
        <is>
          <t>NO</t>
        </is>
      </c>
      <c r="Y2914" s="33" t="n">
        <v>4</v>
      </c>
      <c r="Z2914" s="33" t="n">
        <v>1</v>
      </c>
      <c r="AA2914" s="33" t="inlineStr"/>
      <c r="AB2914" s="33" t="inlineStr">
        <is>
          <t>https://www.swimcloud.com/results/340538/event/16/?id=149407579#time149407579</t>
        </is>
      </c>
      <c r="AC2914" s="33" t="inlineStr">
        <is>
          <t>SwimCloud all-event v8 2026-10-09</t>
        </is>
      </c>
      <c r="AD2914" s="33" t="inlineStr">
        <is>
          <t>Grayson Coulter|2025-03-15|LCM|50|Fly|28.44|Swimming Auckland Age Group and Open Championships|FIN|False</t>
        </is>
      </c>
      <c r="AE2914" s="53">
        <f>G2914+L2914/1000+ROW()/1000000000</f>
        <v/>
      </c>
      <c r="AF2914" s="35">
        <f>IF(C2914&lt;&gt;"Grayson Coulter","",COUNTIFS($C$5:$C$2991,"Grayson Coulter",$Q$5:$Q$2991,Q2914,$AE$5:$AE$2991,"&lt;="&amp;AE2914,$R$5:$R$2991,"&lt;"&amp;R2914))</f>
        <v/>
      </c>
      <c r="AG2914" s="35">
        <f>IF(OR(C2914&lt;&gt;"Grayson Coulter",G2914&lt;'00_Control'!$B$7),"",--(AF2914&lt;5))</f>
        <v/>
      </c>
      <c r="AH2914" s="35">
        <f>IF(OR(C2914&lt;&gt;"Grayson Coulter",G2914&lt;'00_Control'!$B$7),"",--(AF2914&lt;10))</f>
        <v/>
      </c>
      <c r="AI2914" s="35">
        <f>IF(AND(C2914="Grayson Coulter",G2914&gt;='00_Control'!$B$7),"YES","NO")</f>
        <v/>
      </c>
      <c r="AJ2914" s="33" t="inlineStr">
        <is>
          <t>OK</t>
        </is>
      </c>
    </row>
    <row r="2915">
      <c r="A2915" s="33" t="inlineStr">
        <is>
          <t>SM002911</t>
        </is>
      </c>
      <c r="B2915" s="33" t="inlineStr">
        <is>
          <t>SW001</t>
        </is>
      </c>
      <c r="C2915" s="33" t="inlineStr">
        <is>
          <t>Grayson Coulter</t>
        </is>
      </c>
      <c r="D2915" s="33" t="inlineStr">
        <is>
          <t>SwimCloud</t>
        </is>
      </c>
      <c r="E2915" s="33" t="inlineStr">
        <is>
          <t>3651023</t>
        </is>
      </c>
      <c r="F2915" s="33" t="inlineStr">
        <is>
          <t>149408643</t>
        </is>
      </c>
      <c r="G2915" s="51" t="n">
        <v>45731</v>
      </c>
      <c r="H2915" s="33" t="inlineStr">
        <is>
          <t>Swimming Auckland Age Group and Open Championships</t>
        </is>
      </c>
      <c r="I2915" s="33" t="inlineStr">
        <is>
          <t>340538</t>
        </is>
      </c>
      <c r="J2915" s="33" t="n"/>
      <c r="K2915" s="33" t="inlineStr">
        <is>
          <t>PRE</t>
        </is>
      </c>
      <c r="L2915" s="35">
        <f>IF(K2915="FIN",3,IF(OR(K2915="SEM",K2915="SEMI"),2,IF(OR(K2915="PRE",K2915="HEAT"),1,IF(V2915="YES",4,2))))</f>
        <v/>
      </c>
      <c r="M2915" s="33" t="inlineStr">
        <is>
          <t>LCM</t>
        </is>
      </c>
      <c r="N2915" s="33" t="n">
        <v>50</v>
      </c>
      <c r="O2915" s="33" t="inlineStr">
        <is>
          <t>Fly</t>
        </is>
      </c>
      <c r="P2915" s="33" t="inlineStr">
        <is>
          <t>50 Fly</t>
        </is>
      </c>
      <c r="Q2915" s="33" t="inlineStr">
        <is>
          <t>LCM_50_FLY</t>
        </is>
      </c>
      <c r="R2915" s="36" t="n">
        <v>27.23</v>
      </c>
      <c r="S2915" s="35">
        <f>IF(R2915="","",IF(R2915&gt;=60,INT(R2915/60)&amp;":"&amp;TEXT(MOD(R2915,60),"00.00"),TEXT(R2915,"0.00")))</f>
        <v/>
      </c>
      <c r="T2915" s="52">
        <f>IFERROR((G2915-INDEX('01_Swimmers'!$E$5:$E$22,MATCH(B2915,'01_Swimmers'!$A$5:$A$22,0)))/'00_Control'!$B$10,"")</f>
        <v/>
      </c>
      <c r="U2915" s="35">
        <f>IF(T2915="","",INT(T2915))</f>
        <v/>
      </c>
      <c r="V2915" s="33" t="inlineStr">
        <is>
          <t>NO</t>
        </is>
      </c>
      <c r="W2915" s="33" t="inlineStr">
        <is>
          <t>YES</t>
        </is>
      </c>
      <c r="X2915" s="33" t="inlineStr">
        <is>
          <t>NO</t>
        </is>
      </c>
      <c r="Y2915" s="33" t="n">
        <v>8</v>
      </c>
      <c r="Z2915" s="33" t="n">
        <v>6</v>
      </c>
      <c r="AA2915" s="33" t="inlineStr"/>
      <c r="AB2915" s="33" t="inlineStr">
        <is>
          <t>https://www.swimcloud.com/results/340538/event/22/?id=149406602#time149406602</t>
        </is>
      </c>
      <c r="AC2915" s="33" t="inlineStr">
        <is>
          <t>SwimCloud all-event v8 2026-10-09</t>
        </is>
      </c>
      <c r="AD2915" s="33" t="inlineStr">
        <is>
          <t>Grayson Coulter|2025-03-15|LCM|50|Fly|27.23|Swimming Auckland Age Group and Open Championships|PRE|False</t>
        </is>
      </c>
      <c r="AE2915" s="53">
        <f>G2915+L2915/1000+ROW()/1000000000</f>
        <v/>
      </c>
      <c r="AF2915" s="35">
        <f>IF(C2915&lt;&gt;"Grayson Coulter","",COUNTIFS($C$5:$C$2991,"Grayson Coulter",$Q$5:$Q$2991,Q2915,$AE$5:$AE$2991,"&lt;="&amp;AE2915,$R$5:$R$2991,"&lt;"&amp;R2915))</f>
        <v/>
      </c>
      <c r="AG2915" s="35">
        <f>IF(OR(C2915&lt;&gt;"Grayson Coulter",G2915&lt;'00_Control'!$B$7),"",--(AF2915&lt;5))</f>
        <v/>
      </c>
      <c r="AH2915" s="35">
        <f>IF(OR(C2915&lt;&gt;"Grayson Coulter",G2915&lt;'00_Control'!$B$7),"",--(AF2915&lt;10))</f>
        <v/>
      </c>
      <c r="AI2915" s="35">
        <f>IF(AND(C2915="Grayson Coulter",G2915&gt;='00_Control'!$B$7),"YES","NO")</f>
        <v/>
      </c>
      <c r="AJ2915" s="33" t="inlineStr">
        <is>
          <t>OK</t>
        </is>
      </c>
    </row>
    <row r="2916">
      <c r="A2916" s="33" t="inlineStr">
        <is>
          <t>SM002912</t>
        </is>
      </c>
      <c r="B2916" s="33" t="inlineStr">
        <is>
          <t>SW001</t>
        </is>
      </c>
      <c r="C2916" s="33" t="inlineStr">
        <is>
          <t>Grayson Coulter</t>
        </is>
      </c>
      <c r="D2916" s="33" t="inlineStr">
        <is>
          <t>SwimCloud</t>
        </is>
      </c>
      <c r="E2916" s="33" t="inlineStr">
        <is>
          <t>3651023</t>
        </is>
      </c>
      <c r="F2916" s="33" t="inlineStr">
        <is>
          <t>149408567</t>
        </is>
      </c>
      <c r="G2916" s="51" t="n">
        <v>45731</v>
      </c>
      <c r="H2916" s="33" t="inlineStr">
        <is>
          <t>Swimming Auckland Age Group and Open Championships</t>
        </is>
      </c>
      <c r="I2916" s="33" t="inlineStr">
        <is>
          <t>340538</t>
        </is>
      </c>
      <c r="J2916" s="33" t="n"/>
      <c r="K2916" s="33" t="inlineStr">
        <is>
          <t>PRE</t>
        </is>
      </c>
      <c r="L2916" s="35">
        <f>IF(K2916="FIN",3,IF(OR(K2916="SEM",K2916="SEMI"),2,IF(OR(K2916="PRE",K2916="HEAT"),1,IF(V2916="YES",4,2))))</f>
        <v/>
      </c>
      <c r="M2916" s="33" t="inlineStr">
        <is>
          <t>LCM</t>
        </is>
      </c>
      <c r="N2916" s="33" t="n">
        <v>50</v>
      </c>
      <c r="O2916" s="33" t="inlineStr">
        <is>
          <t>Fly</t>
        </is>
      </c>
      <c r="P2916" s="33" t="inlineStr">
        <is>
          <t>50 Fly</t>
        </is>
      </c>
      <c r="Q2916" s="33" t="inlineStr">
        <is>
          <t>LCM_50_FLY</t>
        </is>
      </c>
      <c r="R2916" s="36" t="n">
        <v>27.83</v>
      </c>
      <c r="S2916" s="35">
        <f>IF(R2916="","",IF(R2916&gt;=60,INT(R2916/60)&amp;":"&amp;TEXT(MOD(R2916,60),"00.00"),TEXT(R2916,"0.00")))</f>
        <v/>
      </c>
      <c r="T2916" s="52">
        <f>IFERROR((G2916-INDEX('01_Swimmers'!$E$5:$E$22,MATCH(B2916,'01_Swimmers'!$A$5:$A$22,0)))/'00_Control'!$B$10,"")</f>
        <v/>
      </c>
      <c r="U2916" s="35">
        <f>IF(T2916="","",INT(T2916))</f>
        <v/>
      </c>
      <c r="V2916" s="33" t="inlineStr">
        <is>
          <t>NO</t>
        </is>
      </c>
      <c r="W2916" s="33" t="inlineStr">
        <is>
          <t>YES</t>
        </is>
      </c>
      <c r="X2916" s="33" t="inlineStr">
        <is>
          <t>NO</t>
        </is>
      </c>
      <c r="Y2916" s="33" t="n">
        <v>8</v>
      </c>
      <c r="Z2916" s="33" t="n">
        <v>3</v>
      </c>
      <c r="AA2916" s="33" t="inlineStr"/>
      <c r="AB2916" s="33" t="inlineStr">
        <is>
          <t>https://www.swimcloud.com/results/340538/event/16/?id=149407578#time149407578</t>
        </is>
      </c>
      <c r="AC2916" s="33" t="inlineStr">
        <is>
          <t>SwimCloud all-event v8 2026-10-09</t>
        </is>
      </c>
      <c r="AD2916" s="33" t="inlineStr">
        <is>
          <t>Grayson Coulter|2025-03-15|LCM|50|Fly|27.83|Swimming Auckland Age Group and Open Championships|PRE|False</t>
        </is>
      </c>
      <c r="AE2916" s="53">
        <f>G2916+L2916/1000+ROW()/1000000000</f>
        <v/>
      </c>
      <c r="AF2916" s="35">
        <f>IF(C2916&lt;&gt;"Grayson Coulter","",COUNTIFS($C$5:$C$2991,"Grayson Coulter",$Q$5:$Q$2991,Q2916,$AE$5:$AE$2991,"&lt;="&amp;AE2916,$R$5:$R$2991,"&lt;"&amp;R2916))</f>
        <v/>
      </c>
      <c r="AG2916" s="35">
        <f>IF(OR(C2916&lt;&gt;"Grayson Coulter",G2916&lt;'00_Control'!$B$7),"",--(AF2916&lt;5))</f>
        <v/>
      </c>
      <c r="AH2916" s="35">
        <f>IF(OR(C2916&lt;&gt;"Grayson Coulter",G2916&lt;'00_Control'!$B$7),"",--(AF2916&lt;10))</f>
        <v/>
      </c>
      <c r="AI2916" s="35">
        <f>IF(AND(C2916="Grayson Coulter",G2916&gt;='00_Control'!$B$7),"YES","NO")</f>
        <v/>
      </c>
      <c r="AJ2916" s="33" t="inlineStr">
        <is>
          <t>OK</t>
        </is>
      </c>
    </row>
    <row r="2917">
      <c r="A2917" s="33" t="inlineStr">
        <is>
          <t>SM002913</t>
        </is>
      </c>
      <c r="B2917" s="33" t="inlineStr">
        <is>
          <t>SW001</t>
        </is>
      </c>
      <c r="C2917" s="33" t="inlineStr">
        <is>
          <t>Grayson Coulter</t>
        </is>
      </c>
      <c r="D2917" s="33" t="inlineStr">
        <is>
          <t>SwimCloud</t>
        </is>
      </c>
      <c r="E2917" s="33" t="inlineStr">
        <is>
          <t>3651023</t>
        </is>
      </c>
      <c r="F2917" s="33" t="inlineStr">
        <is>
          <t>149406577</t>
        </is>
      </c>
      <c r="G2917" s="51" t="n">
        <v>45730</v>
      </c>
      <c r="H2917" s="33" t="inlineStr">
        <is>
          <t>Swimming Auckland Age Group and Open Championships</t>
        </is>
      </c>
      <c r="I2917" s="33" t="inlineStr">
        <is>
          <t>340538</t>
        </is>
      </c>
      <c r="J2917" s="33" t="n"/>
      <c r="K2917" s="33" t="inlineStr">
        <is>
          <t>FIN</t>
        </is>
      </c>
      <c r="L2917" s="35">
        <f>IF(K2917="FIN",3,IF(OR(K2917="SEM",K2917="SEMI"),2,IF(OR(K2917="PRE",K2917="HEAT"),1,IF(V2917="YES",4,2))))</f>
        <v/>
      </c>
      <c r="M2917" s="33" t="inlineStr">
        <is>
          <t>LCM</t>
        </is>
      </c>
      <c r="N2917" s="33" t="n">
        <v>50</v>
      </c>
      <c r="O2917" s="33" t="inlineStr">
        <is>
          <t>Fly</t>
        </is>
      </c>
      <c r="P2917" s="33" t="inlineStr">
        <is>
          <t>50 Fly</t>
        </is>
      </c>
      <c r="Q2917" s="33" t="inlineStr">
        <is>
          <t>LCM_50_FLY</t>
        </is>
      </c>
      <c r="R2917" s="36" t="n">
        <v>27.07</v>
      </c>
      <c r="S2917" s="35">
        <f>IF(R2917="","",IF(R2917&gt;=60,INT(R2917/60)&amp;":"&amp;TEXT(MOD(R2917,60),"00.00"),TEXT(R2917,"0.00")))</f>
        <v/>
      </c>
      <c r="T2917" s="52">
        <f>IFERROR((G2917-INDEX('01_Swimmers'!$E$5:$E$22,MATCH(B2917,'01_Swimmers'!$A$5:$A$22,0)))/'00_Control'!$B$10,"")</f>
        <v/>
      </c>
      <c r="U2917" s="35">
        <f>IF(T2917="","",INT(T2917))</f>
        <v/>
      </c>
      <c r="V2917" s="33" t="inlineStr">
        <is>
          <t>NO</t>
        </is>
      </c>
      <c r="W2917" s="33" t="inlineStr">
        <is>
          <t>YES</t>
        </is>
      </c>
      <c r="X2917" s="33" t="inlineStr">
        <is>
          <t>NO</t>
        </is>
      </c>
      <c r="Y2917" s="33" t="n">
        <v>4</v>
      </c>
      <c r="Z2917" s="33" t="n">
        <v>2</v>
      </c>
      <c r="AA2917" s="33" t="inlineStr">
        <is>
          <t>5</t>
        </is>
      </c>
      <c r="AB2917" s="33" t="inlineStr">
        <is>
          <t>https://www.swimcloud.com/results/340538/event/8/?id=149406577#time149406577</t>
        </is>
      </c>
      <c r="AC2917" s="33" t="inlineStr">
        <is>
          <t>SwimCloud all-event v8 2026-10-09</t>
        </is>
      </c>
      <c r="AD2917" s="33" t="inlineStr">
        <is>
          <t>Grayson Coulter|2025-03-14|LCM|50|Fly|27.07|Swimming Auckland Age Group and Open Championships|FIN|False</t>
        </is>
      </c>
      <c r="AE2917" s="53">
        <f>G2917+L2917/1000+ROW()/1000000000</f>
        <v/>
      </c>
      <c r="AF2917" s="35">
        <f>IF(C2917&lt;&gt;"Grayson Coulter","",COUNTIFS($C$5:$C$2991,"Grayson Coulter",$Q$5:$Q$2991,Q2917,$AE$5:$AE$2991,"&lt;="&amp;AE2917,$R$5:$R$2991,"&lt;"&amp;R2917))</f>
        <v/>
      </c>
      <c r="AG2917" s="35">
        <f>IF(OR(C2917&lt;&gt;"Grayson Coulter",G2917&lt;'00_Control'!$B$7),"",--(AF2917&lt;5))</f>
        <v/>
      </c>
      <c r="AH2917" s="35">
        <f>IF(OR(C2917&lt;&gt;"Grayson Coulter",G2917&lt;'00_Control'!$B$7),"",--(AF2917&lt;10))</f>
        <v/>
      </c>
      <c r="AI2917" s="35">
        <f>IF(AND(C2917="Grayson Coulter",G2917&gt;='00_Control'!$B$7),"YES","NO")</f>
        <v/>
      </c>
      <c r="AJ2917" s="33" t="inlineStr">
        <is>
          <t>OK</t>
        </is>
      </c>
    </row>
    <row r="2918">
      <c r="A2918" s="33" t="inlineStr">
        <is>
          <t>SM002914</t>
        </is>
      </c>
      <c r="B2918" s="33" t="inlineStr">
        <is>
          <t>SW001</t>
        </is>
      </c>
      <c r="C2918" s="33" t="inlineStr">
        <is>
          <t>Grayson Coulter</t>
        </is>
      </c>
      <c r="D2918" s="33" t="inlineStr">
        <is>
          <t>SwimCloud</t>
        </is>
      </c>
      <c r="E2918" s="33" t="inlineStr">
        <is>
          <t>3651023</t>
        </is>
      </c>
      <c r="F2918" s="33" t="inlineStr">
        <is>
          <t>149406576</t>
        </is>
      </c>
      <c r="G2918" s="51" t="n">
        <v>45730</v>
      </c>
      <c r="H2918" s="33" t="inlineStr">
        <is>
          <t>Swimming Auckland Age Group and Open Championships</t>
        </is>
      </c>
      <c r="I2918" s="33" t="inlineStr">
        <is>
          <t>340538</t>
        </is>
      </c>
      <c r="J2918" s="33" t="n"/>
      <c r="K2918" s="33" t="inlineStr">
        <is>
          <t>PRE</t>
        </is>
      </c>
      <c r="L2918" s="35">
        <f>IF(K2918="FIN",3,IF(OR(K2918="SEM",K2918="SEMI"),2,IF(OR(K2918="PRE",K2918="HEAT"),1,IF(V2918="YES",4,2))))</f>
        <v/>
      </c>
      <c r="M2918" s="33" t="inlineStr">
        <is>
          <t>LCM</t>
        </is>
      </c>
      <c r="N2918" s="33" t="n">
        <v>50</v>
      </c>
      <c r="O2918" s="33" t="inlineStr">
        <is>
          <t>Fly</t>
        </is>
      </c>
      <c r="P2918" s="33" t="inlineStr">
        <is>
          <t>50 Fly</t>
        </is>
      </c>
      <c r="Q2918" s="33" t="inlineStr">
        <is>
          <t>LCM_50_FLY</t>
        </is>
      </c>
      <c r="R2918" s="36" t="n">
        <v>27</v>
      </c>
      <c r="S2918" s="35">
        <f>IF(R2918="","",IF(R2918&gt;=60,INT(R2918/60)&amp;":"&amp;TEXT(MOD(R2918,60),"00.00"),TEXT(R2918,"0.00")))</f>
        <v/>
      </c>
      <c r="T2918" s="52">
        <f>IFERROR((G2918-INDEX('01_Swimmers'!$E$5:$E$22,MATCH(B2918,'01_Swimmers'!$A$5:$A$22,0)))/'00_Control'!$B$10,"")</f>
        <v/>
      </c>
      <c r="U2918" s="35">
        <f>IF(T2918="","",INT(T2918))</f>
        <v/>
      </c>
      <c r="V2918" s="33" t="inlineStr">
        <is>
          <t>NO</t>
        </is>
      </c>
      <c r="W2918" s="33" t="inlineStr">
        <is>
          <t>YES</t>
        </is>
      </c>
      <c r="X2918" s="33" t="inlineStr">
        <is>
          <t>NO</t>
        </is>
      </c>
      <c r="Y2918" s="33" t="n">
        <v>11</v>
      </c>
      <c r="Z2918" s="33" t="n">
        <v>6</v>
      </c>
      <c r="AA2918" s="33" t="inlineStr">
        <is>
          <t>8</t>
        </is>
      </c>
      <c r="AB2918" s="33" t="inlineStr">
        <is>
          <t>https://www.swimcloud.com/results/340538/event/8/?id=149406576#time149406576</t>
        </is>
      </c>
      <c r="AC2918" s="33" t="inlineStr">
        <is>
          <t>SwimCloud all-event v8 2026-10-09</t>
        </is>
      </c>
      <c r="AD2918" s="33" t="inlineStr">
        <is>
          <t>Grayson Coulter|2025-03-14|LCM|50|Fly|27|Swimming Auckland Age Group and Open Championships|PRE|False</t>
        </is>
      </c>
      <c r="AE2918" s="53">
        <f>G2918+L2918/1000+ROW()/1000000000</f>
        <v/>
      </c>
      <c r="AF2918" s="35">
        <f>IF(C2918&lt;&gt;"Grayson Coulter","",COUNTIFS($C$5:$C$2991,"Grayson Coulter",$Q$5:$Q$2991,Q2918,$AE$5:$AE$2991,"&lt;="&amp;AE2918,$R$5:$R$2991,"&lt;"&amp;R2918))</f>
        <v/>
      </c>
      <c r="AG2918" s="35">
        <f>IF(OR(C2918&lt;&gt;"Grayson Coulter",G2918&lt;'00_Control'!$B$7),"",--(AF2918&lt;5))</f>
        <v/>
      </c>
      <c r="AH2918" s="35">
        <f>IF(OR(C2918&lt;&gt;"Grayson Coulter",G2918&lt;'00_Control'!$B$7),"",--(AF2918&lt;10))</f>
        <v/>
      </c>
      <c r="AI2918" s="35">
        <f>IF(AND(C2918="Grayson Coulter",G2918&gt;='00_Control'!$B$7),"YES","NO")</f>
        <v/>
      </c>
      <c r="AJ2918" s="33" t="inlineStr">
        <is>
          <t>OK</t>
        </is>
      </c>
    </row>
    <row r="2919">
      <c r="A2919" s="33" t="inlineStr">
        <is>
          <t>SM002915</t>
        </is>
      </c>
      <c r="B2919" s="33" t="inlineStr">
        <is>
          <t>SW001</t>
        </is>
      </c>
      <c r="C2919" s="33" t="inlineStr">
        <is>
          <t>Grayson Coulter</t>
        </is>
      </c>
      <c r="D2919" s="33" t="inlineStr">
        <is>
          <t>SwimCloud</t>
        </is>
      </c>
      <c r="E2919" s="33" t="inlineStr">
        <is>
          <t>3651023</t>
        </is>
      </c>
      <c r="F2919" s="33" t="inlineStr">
        <is>
          <t>127579409</t>
        </is>
      </c>
      <c r="G2919" s="51" t="n">
        <v>45436</v>
      </c>
      <c r="H2919" s="33" t="inlineStr">
        <is>
          <t>2024 Golden Homes Swimfest</t>
        </is>
      </c>
      <c r="I2919" s="33" t="inlineStr">
        <is>
          <t>305604</t>
        </is>
      </c>
      <c r="J2919" s="33" t="n"/>
      <c r="K2919" s="33" t="inlineStr">
        <is>
          <t>TIM</t>
        </is>
      </c>
      <c r="L2919" s="35">
        <f>IF(K2919="FIN",3,IF(OR(K2919="SEM",K2919="SEMI"),2,IF(OR(K2919="PRE",K2919="HEAT"),1,IF(V2919="YES",4,2))))</f>
        <v/>
      </c>
      <c r="M2919" s="33" t="inlineStr">
        <is>
          <t>LCM</t>
        </is>
      </c>
      <c r="N2919" s="33" t="n">
        <v>50</v>
      </c>
      <c r="O2919" s="33" t="inlineStr">
        <is>
          <t>Fly</t>
        </is>
      </c>
      <c r="P2919" s="33" t="inlineStr">
        <is>
          <t>50 Fly</t>
        </is>
      </c>
      <c r="Q2919" s="33" t="inlineStr">
        <is>
          <t>LCM_50_FLY</t>
        </is>
      </c>
      <c r="R2919" s="36" t="n">
        <v>28.23</v>
      </c>
      <c r="S2919" s="35">
        <f>IF(R2919="","",IF(R2919&gt;=60,INT(R2919/60)&amp;":"&amp;TEXT(MOD(R2919,60),"00.00"),TEXT(R2919,"0.00")))</f>
        <v/>
      </c>
      <c r="T2919" s="52">
        <f>IFERROR((G2919-INDEX('01_Swimmers'!$E$5:$E$22,MATCH(B2919,'01_Swimmers'!$A$5:$A$22,0)))/'00_Control'!$B$10,"")</f>
        <v/>
      </c>
      <c r="U2919" s="35">
        <f>IF(T2919="","",INT(T2919))</f>
        <v/>
      </c>
      <c r="V2919" s="33" t="inlineStr">
        <is>
          <t>NO</t>
        </is>
      </c>
      <c r="W2919" s="33" t="inlineStr">
        <is>
          <t>YES</t>
        </is>
      </c>
      <c r="X2919" s="33" t="inlineStr">
        <is>
          <t>NO</t>
        </is>
      </c>
      <c r="Y2919" s="33" t="n">
        <v>9</v>
      </c>
      <c r="Z2919" s="33" t="n">
        <v>4</v>
      </c>
      <c r="AA2919" s="33" t="inlineStr">
        <is>
          <t>1</t>
        </is>
      </c>
      <c r="AB2919" s="33" t="inlineStr">
        <is>
          <t>https://www.swimcloud.com/results/305604/event/2/?id=127579409#time127579409</t>
        </is>
      </c>
      <c r="AC2919" s="33" t="inlineStr">
        <is>
          <t>SwimCloud all-event v8 2026-10-09</t>
        </is>
      </c>
      <c r="AD2919" s="33" t="inlineStr">
        <is>
          <t>Grayson Coulter|2024-05-24|LCM|50|Fly|28.23|2024 Golden Homes Swimfest|TIM|False</t>
        </is>
      </c>
      <c r="AE2919" s="53">
        <f>G2919+L2919/1000+ROW()/1000000000</f>
        <v/>
      </c>
      <c r="AF2919" s="35">
        <f>IF(C2919&lt;&gt;"Grayson Coulter","",COUNTIFS($C$5:$C$2991,"Grayson Coulter",$Q$5:$Q$2991,Q2919,$AE$5:$AE$2991,"&lt;="&amp;AE2919,$R$5:$R$2991,"&lt;"&amp;R2919))</f>
        <v/>
      </c>
      <c r="AG2919" s="35">
        <f>IF(OR(C2919&lt;&gt;"Grayson Coulter",G2919&lt;'00_Control'!$B$7),"",--(AF2919&lt;5))</f>
        <v/>
      </c>
      <c r="AH2919" s="35">
        <f>IF(OR(C2919&lt;&gt;"Grayson Coulter",G2919&lt;'00_Control'!$B$7),"",--(AF2919&lt;10))</f>
        <v/>
      </c>
      <c r="AI2919" s="35">
        <f>IF(AND(C2919="Grayson Coulter",G2919&gt;='00_Control'!$B$7),"YES","NO")</f>
        <v/>
      </c>
      <c r="AJ2919" s="33" t="inlineStr">
        <is>
          <t>OK</t>
        </is>
      </c>
    </row>
    <row r="2920">
      <c r="A2920" s="33" t="inlineStr">
        <is>
          <t>SM002916</t>
        </is>
      </c>
      <c r="B2920" s="33" t="inlineStr">
        <is>
          <t>SW001</t>
        </is>
      </c>
      <c r="C2920" s="33" t="inlineStr">
        <is>
          <t>Grayson Coulter</t>
        </is>
      </c>
      <c r="D2920" s="33" t="inlineStr">
        <is>
          <t>SwimCloud</t>
        </is>
      </c>
      <c r="E2920" s="33" t="inlineStr">
        <is>
          <t>3651023</t>
        </is>
      </c>
      <c r="F2920" s="33" t="inlineStr">
        <is>
          <t>125075780</t>
        </is>
      </c>
      <c r="G2920" s="51" t="n">
        <v>45366</v>
      </c>
      <c r="H2920" s="33" t="inlineStr">
        <is>
          <t>2024 Auckland Age Group &amp; Open</t>
        </is>
      </c>
      <c r="I2920" s="33" t="inlineStr">
        <is>
          <t>302676</t>
        </is>
      </c>
      <c r="J2920" s="33" t="n"/>
      <c r="K2920" s="33" t="inlineStr">
        <is>
          <t>FIN</t>
        </is>
      </c>
      <c r="L2920" s="35">
        <f>IF(K2920="FIN",3,IF(OR(K2920="SEM",K2920="SEMI"),2,IF(OR(K2920="PRE",K2920="HEAT"),1,IF(V2920="YES",4,2))))</f>
        <v/>
      </c>
      <c r="M2920" s="33" t="inlineStr">
        <is>
          <t>LCM</t>
        </is>
      </c>
      <c r="N2920" s="33" t="n">
        <v>50</v>
      </c>
      <c r="O2920" s="33" t="inlineStr">
        <is>
          <t>Fly</t>
        </is>
      </c>
      <c r="P2920" s="33" t="inlineStr">
        <is>
          <t>50 Fly</t>
        </is>
      </c>
      <c r="Q2920" s="33" t="inlineStr">
        <is>
          <t>LCM_50_FLY</t>
        </is>
      </c>
      <c r="R2920" s="36" t="n">
        <v>29.09</v>
      </c>
      <c r="S2920" s="35">
        <f>IF(R2920="","",IF(R2920&gt;=60,INT(R2920/60)&amp;":"&amp;TEXT(MOD(R2920,60),"00.00"),TEXT(R2920,"0.00")))</f>
        <v/>
      </c>
      <c r="T2920" s="52">
        <f>IFERROR((G2920-INDEX('01_Swimmers'!$E$5:$E$22,MATCH(B2920,'01_Swimmers'!$A$5:$A$22,0)))/'00_Control'!$B$10,"")</f>
        <v/>
      </c>
      <c r="U2920" s="35">
        <f>IF(T2920="","",INT(T2920))</f>
        <v/>
      </c>
      <c r="V2920" s="33" t="inlineStr">
        <is>
          <t>NO</t>
        </is>
      </c>
      <c r="W2920" s="33" t="inlineStr">
        <is>
          <t>YES</t>
        </is>
      </c>
      <c r="X2920" s="33" t="inlineStr">
        <is>
          <t>NO</t>
        </is>
      </c>
      <c r="Y2920" s="33" t="n">
        <v>1</v>
      </c>
      <c r="Z2920" s="33" t="n">
        <v>5</v>
      </c>
      <c r="AA2920" s="33" t="inlineStr">
        <is>
          <t>3</t>
        </is>
      </c>
      <c r="AB2920" s="33" t="inlineStr">
        <is>
          <t>https://www.swimcloud.com/results/302676/event/8/?id=125075780#time125075780</t>
        </is>
      </c>
      <c r="AC2920" s="33" t="inlineStr">
        <is>
          <t>SwimCloud all-event v8 2026-10-09</t>
        </is>
      </c>
      <c r="AD2920" s="33" t="inlineStr">
        <is>
          <t>Grayson Coulter|2024-03-15|LCM|50|Fly|29.09|2024 Auckland Age Group &amp; Open|FIN|False</t>
        </is>
      </c>
      <c r="AE2920" s="53">
        <f>G2920+L2920/1000+ROW()/1000000000</f>
        <v/>
      </c>
      <c r="AF2920" s="35">
        <f>IF(C2920&lt;&gt;"Grayson Coulter","",COUNTIFS($C$5:$C$2991,"Grayson Coulter",$Q$5:$Q$2991,Q2920,$AE$5:$AE$2991,"&lt;="&amp;AE2920,$R$5:$R$2991,"&lt;"&amp;R2920))</f>
        <v/>
      </c>
      <c r="AG2920" s="35">
        <f>IF(OR(C2920&lt;&gt;"Grayson Coulter",G2920&lt;'00_Control'!$B$7),"",--(AF2920&lt;5))</f>
        <v/>
      </c>
      <c r="AH2920" s="35">
        <f>IF(OR(C2920&lt;&gt;"Grayson Coulter",G2920&lt;'00_Control'!$B$7),"",--(AF2920&lt;10))</f>
        <v/>
      </c>
      <c r="AI2920" s="35">
        <f>IF(AND(C2920="Grayson Coulter",G2920&gt;='00_Control'!$B$7),"YES","NO")</f>
        <v/>
      </c>
      <c r="AJ2920" s="33" t="inlineStr">
        <is>
          <t>OK</t>
        </is>
      </c>
    </row>
    <row r="2921">
      <c r="A2921" s="33" t="inlineStr">
        <is>
          <t>SM002917</t>
        </is>
      </c>
      <c r="B2921" s="33" t="inlineStr">
        <is>
          <t>SW001</t>
        </is>
      </c>
      <c r="C2921" s="33" t="inlineStr">
        <is>
          <t>Grayson Coulter</t>
        </is>
      </c>
      <c r="D2921" s="33" t="inlineStr">
        <is>
          <t>SwimCloud</t>
        </is>
      </c>
      <c r="E2921" s="33" t="inlineStr">
        <is>
          <t>3651023</t>
        </is>
      </c>
      <c r="F2921" s="33" t="inlineStr">
        <is>
          <t>125075779</t>
        </is>
      </c>
      <c r="G2921" s="51" t="n">
        <v>45366</v>
      </c>
      <c r="H2921" s="33" t="inlineStr">
        <is>
          <t>2024 Auckland Age Group &amp; Open</t>
        </is>
      </c>
      <c r="I2921" s="33" t="inlineStr">
        <is>
          <t>302676</t>
        </is>
      </c>
      <c r="J2921" s="33" t="n"/>
      <c r="K2921" s="33" t="inlineStr">
        <is>
          <t>PRE</t>
        </is>
      </c>
      <c r="L2921" s="35">
        <f>IF(K2921="FIN",3,IF(OR(K2921="SEM",K2921="SEMI"),2,IF(OR(K2921="PRE",K2921="HEAT"),1,IF(V2921="YES",4,2))))</f>
        <v/>
      </c>
      <c r="M2921" s="33" t="inlineStr">
        <is>
          <t>LCM</t>
        </is>
      </c>
      <c r="N2921" s="33" t="n">
        <v>50</v>
      </c>
      <c r="O2921" s="33" t="inlineStr">
        <is>
          <t>Fly</t>
        </is>
      </c>
      <c r="P2921" s="33" t="inlineStr">
        <is>
          <t>50 Fly</t>
        </is>
      </c>
      <c r="Q2921" s="33" t="inlineStr">
        <is>
          <t>LCM_50_FLY</t>
        </is>
      </c>
      <c r="R2921" s="36" t="n">
        <v>28.99</v>
      </c>
      <c r="S2921" s="35">
        <f>IF(R2921="","",IF(R2921&gt;=60,INT(R2921/60)&amp;":"&amp;TEXT(MOD(R2921,60),"00.00"),TEXT(R2921,"0.00")))</f>
        <v/>
      </c>
      <c r="T2921" s="52">
        <f>IFERROR((G2921-INDEX('01_Swimmers'!$E$5:$E$22,MATCH(B2921,'01_Swimmers'!$A$5:$A$22,0)))/'00_Control'!$B$10,"")</f>
        <v/>
      </c>
      <c r="U2921" s="35">
        <f>IF(T2921="","",INT(T2921))</f>
        <v/>
      </c>
      <c r="V2921" s="33" t="inlineStr">
        <is>
          <t>NO</t>
        </is>
      </c>
      <c r="W2921" s="33" t="inlineStr">
        <is>
          <t>YES</t>
        </is>
      </c>
      <c r="X2921" s="33" t="inlineStr">
        <is>
          <t>NO</t>
        </is>
      </c>
      <c r="Y2921" s="33" t="n">
        <v>4</v>
      </c>
      <c r="Z2921" s="33" t="n">
        <v>5</v>
      </c>
      <c r="AA2921" s="33" t="inlineStr">
        <is>
          <t>2</t>
        </is>
      </c>
      <c r="AB2921" s="33" t="inlineStr">
        <is>
          <t>https://www.swimcloud.com/results/302676/event/8/?id=125075779#time125075779</t>
        </is>
      </c>
      <c r="AC2921" s="33" t="inlineStr">
        <is>
          <t>SwimCloud all-event v8 2026-10-09</t>
        </is>
      </c>
      <c r="AD2921" s="33" t="inlineStr">
        <is>
          <t>Grayson Coulter|2024-03-15|LCM|50|Fly|28.99|2024 Auckland Age Group &amp; Open|PRE|False</t>
        </is>
      </c>
      <c r="AE2921" s="53">
        <f>G2921+L2921/1000+ROW()/1000000000</f>
        <v/>
      </c>
      <c r="AF2921" s="35">
        <f>IF(C2921&lt;&gt;"Grayson Coulter","",COUNTIFS($C$5:$C$2991,"Grayson Coulter",$Q$5:$Q$2991,Q2921,$AE$5:$AE$2991,"&lt;="&amp;AE2921,$R$5:$R$2991,"&lt;"&amp;R2921))</f>
        <v/>
      </c>
      <c r="AG2921" s="35">
        <f>IF(OR(C2921&lt;&gt;"Grayson Coulter",G2921&lt;'00_Control'!$B$7),"",--(AF2921&lt;5))</f>
        <v/>
      </c>
      <c r="AH2921" s="35">
        <f>IF(OR(C2921&lt;&gt;"Grayson Coulter",G2921&lt;'00_Control'!$B$7),"",--(AF2921&lt;10))</f>
        <v/>
      </c>
      <c r="AI2921" s="35">
        <f>IF(AND(C2921="Grayson Coulter",G2921&gt;='00_Control'!$B$7),"YES","NO")</f>
        <v/>
      </c>
      <c r="AJ2921" s="33" t="inlineStr">
        <is>
          <t>OK</t>
        </is>
      </c>
    </row>
    <row r="2922">
      <c r="A2922" s="33" t="inlineStr">
        <is>
          <t>SM002918</t>
        </is>
      </c>
      <c r="B2922" s="33" t="inlineStr">
        <is>
          <t>SW001</t>
        </is>
      </c>
      <c r="C2922" s="33" t="inlineStr">
        <is>
          <t>Grayson Coulter</t>
        </is>
      </c>
      <c r="D2922" s="33" t="inlineStr">
        <is>
          <t>SwimCloud</t>
        </is>
      </c>
      <c r="E2922" s="33" t="inlineStr">
        <is>
          <t>3651023</t>
        </is>
      </c>
      <c r="F2922" s="33" t="inlineStr">
        <is>
          <t>125072085</t>
        </is>
      </c>
      <c r="G2922" s="51" t="n">
        <v>45332</v>
      </c>
      <c r="H2922" s="33" t="inlineStr">
        <is>
          <t>ROS Level 1&amp;2</t>
        </is>
      </c>
      <c r="I2922" s="33" t="inlineStr">
        <is>
          <t>302674</t>
        </is>
      </c>
      <c r="J2922" s="33" t="n"/>
      <c r="K2922" s="33" t="inlineStr">
        <is>
          <t>TIM</t>
        </is>
      </c>
      <c r="L2922" s="35">
        <f>IF(K2922="FIN",3,IF(OR(K2922="SEM",K2922="SEMI"),2,IF(OR(K2922="PRE",K2922="HEAT"),1,IF(V2922="YES",4,2))))</f>
        <v/>
      </c>
      <c r="M2922" s="33" t="inlineStr">
        <is>
          <t>LCM</t>
        </is>
      </c>
      <c r="N2922" s="33" t="n">
        <v>50</v>
      </c>
      <c r="O2922" s="33" t="inlineStr">
        <is>
          <t>Fly</t>
        </is>
      </c>
      <c r="P2922" s="33" t="inlineStr">
        <is>
          <t>50 Fly</t>
        </is>
      </c>
      <c r="Q2922" s="33" t="inlineStr">
        <is>
          <t>LCM_50_FLY</t>
        </is>
      </c>
      <c r="R2922" s="36" t="n">
        <v>28.74</v>
      </c>
      <c r="S2922" s="35">
        <f>IF(R2922="","",IF(R2922&gt;=60,INT(R2922/60)&amp;":"&amp;TEXT(MOD(R2922,60),"00.00"),TEXT(R2922,"0.00")))</f>
        <v/>
      </c>
      <c r="T2922" s="52">
        <f>IFERROR((G2922-INDEX('01_Swimmers'!$E$5:$E$22,MATCH(B2922,'01_Swimmers'!$A$5:$A$22,0)))/'00_Control'!$B$10,"")</f>
        <v/>
      </c>
      <c r="U2922" s="35">
        <f>IF(T2922="","",INT(T2922))</f>
        <v/>
      </c>
      <c r="V2922" s="33" t="inlineStr">
        <is>
          <t>NO</t>
        </is>
      </c>
      <c r="W2922" s="33" t="inlineStr">
        <is>
          <t>YES</t>
        </is>
      </c>
      <c r="X2922" s="33" t="inlineStr">
        <is>
          <t>NO</t>
        </is>
      </c>
      <c r="Y2922" s="33" t="n">
        <v>14</v>
      </c>
      <c r="Z2922" s="33" t="n">
        <v>3</v>
      </c>
      <c r="AA2922" s="33" t="inlineStr">
        <is>
          <t>17</t>
        </is>
      </c>
      <c r="AB2922" s="33" t="inlineStr">
        <is>
          <t>https://www.swimcloud.com/results/302674/event/10/?id=125072085#time125072085</t>
        </is>
      </c>
      <c r="AC2922" s="33" t="inlineStr">
        <is>
          <t>SwimCloud all-event v8 2026-10-09</t>
        </is>
      </c>
      <c r="AD2922" s="33" t="inlineStr">
        <is>
          <t>Grayson Coulter|2024-02-10|LCM|50|Fly|28.74|ROS Level 1&amp;2|TIM|False</t>
        </is>
      </c>
      <c r="AE2922" s="53">
        <f>G2922+L2922/1000+ROW()/1000000000</f>
        <v/>
      </c>
      <c r="AF2922" s="35">
        <f>IF(C2922&lt;&gt;"Grayson Coulter","",COUNTIFS($C$5:$C$2991,"Grayson Coulter",$Q$5:$Q$2991,Q2922,$AE$5:$AE$2991,"&lt;="&amp;AE2922,$R$5:$R$2991,"&lt;"&amp;R2922))</f>
        <v/>
      </c>
      <c r="AG2922" s="35">
        <f>IF(OR(C2922&lt;&gt;"Grayson Coulter",G2922&lt;'00_Control'!$B$7),"",--(AF2922&lt;5))</f>
        <v/>
      </c>
      <c r="AH2922" s="35">
        <f>IF(OR(C2922&lt;&gt;"Grayson Coulter",G2922&lt;'00_Control'!$B$7),"",--(AF2922&lt;10))</f>
        <v/>
      </c>
      <c r="AI2922" s="35">
        <f>IF(AND(C2922="Grayson Coulter",G2922&gt;='00_Control'!$B$7),"YES","NO")</f>
        <v/>
      </c>
      <c r="AJ2922" s="33" t="inlineStr">
        <is>
          <t>OK</t>
        </is>
      </c>
    </row>
    <row r="2923">
      <c r="A2923" s="33" t="inlineStr">
        <is>
          <t>SM002919</t>
        </is>
      </c>
      <c r="B2923" s="33" t="inlineStr">
        <is>
          <t>SW001</t>
        </is>
      </c>
      <c r="C2923" s="33" t="inlineStr">
        <is>
          <t>Grayson Coulter</t>
        </is>
      </c>
      <c r="D2923" s="33" t="inlineStr">
        <is>
          <t>SwimCloud</t>
        </is>
      </c>
      <c r="E2923" s="33" t="inlineStr">
        <is>
          <t>3651023</t>
        </is>
      </c>
      <c r="F2923" s="33" t="inlineStr">
        <is>
          <t>100466043</t>
        </is>
      </c>
      <c r="G2923" s="51" t="n">
        <v>44896</v>
      </c>
      <c r="H2923" s="33" t="inlineStr">
        <is>
          <t>2022 ASA Champion of Champions</t>
        </is>
      </c>
      <c r="I2923" s="33" t="inlineStr">
        <is>
          <t>267186</t>
        </is>
      </c>
      <c r="J2923" s="33" t="n"/>
      <c r="K2923" s="33" t="inlineStr">
        <is>
          <t>TIM</t>
        </is>
      </c>
      <c r="L2923" s="35">
        <f>IF(K2923="FIN",3,IF(OR(K2923="SEM",K2923="SEMI"),2,IF(OR(K2923="PRE",K2923="HEAT"),1,IF(V2923="YES",4,2))))</f>
        <v/>
      </c>
      <c r="M2923" s="33" t="inlineStr">
        <is>
          <t>LCM</t>
        </is>
      </c>
      <c r="N2923" s="33" t="n">
        <v>50</v>
      </c>
      <c r="O2923" s="33" t="inlineStr">
        <is>
          <t>Fly</t>
        </is>
      </c>
      <c r="P2923" s="33" t="inlineStr">
        <is>
          <t>50 Fly</t>
        </is>
      </c>
      <c r="Q2923" s="33" t="inlineStr">
        <is>
          <t>LCM_50_FLY</t>
        </is>
      </c>
      <c r="R2923" s="36" t="n">
        <v>33.18</v>
      </c>
      <c r="S2923" s="35">
        <f>IF(R2923="","",IF(R2923&gt;=60,INT(R2923/60)&amp;":"&amp;TEXT(MOD(R2923,60),"00.00"),TEXT(R2923,"0.00")))</f>
        <v/>
      </c>
      <c r="T2923" s="52">
        <f>IFERROR((G2923-INDEX('01_Swimmers'!$E$5:$E$22,MATCH(B2923,'01_Swimmers'!$A$5:$A$22,0)))/'00_Control'!$B$10,"")</f>
        <v/>
      </c>
      <c r="U2923" s="35">
        <f>IF(T2923="","",INT(T2923))</f>
        <v/>
      </c>
      <c r="V2923" s="33" t="inlineStr">
        <is>
          <t>NO</t>
        </is>
      </c>
      <c r="W2923" s="33" t="inlineStr">
        <is>
          <t>YES</t>
        </is>
      </c>
      <c r="X2923" s="33" t="inlineStr">
        <is>
          <t>NO</t>
        </is>
      </c>
      <c r="Y2923" s="33" t="n">
        <v>16</v>
      </c>
      <c r="Z2923" s="33" t="n">
        <v>1</v>
      </c>
      <c r="AA2923" s="33" t="inlineStr">
        <is>
          <t>1</t>
        </is>
      </c>
      <c r="AB2923" s="33" t="inlineStr">
        <is>
          <t>https://www.swimcloud.com/results/267186/event/2/?id=100466043#time100466043</t>
        </is>
      </c>
      <c r="AC2923" s="33" t="inlineStr">
        <is>
          <t>SwimCloud all-event v8 2026-10-09</t>
        </is>
      </c>
      <c r="AD2923" s="33" t="inlineStr">
        <is>
          <t>Grayson Coulter|2022-12-01|LCM|50|Fly|33.18|2022 ASA Champion of Champions|TIM|False</t>
        </is>
      </c>
      <c r="AE2923" s="53">
        <f>G2923+L2923/1000+ROW()/1000000000</f>
        <v/>
      </c>
      <c r="AF2923" s="35">
        <f>IF(C2923&lt;&gt;"Grayson Coulter","",COUNTIFS($C$5:$C$2991,"Grayson Coulter",$Q$5:$Q$2991,Q2923,$AE$5:$AE$2991,"&lt;="&amp;AE2923,$R$5:$R$2991,"&lt;"&amp;R2923))</f>
        <v/>
      </c>
      <c r="AG2923" s="35">
        <f>IF(OR(C2923&lt;&gt;"Grayson Coulter",G2923&lt;'00_Control'!$B$7),"",--(AF2923&lt;5))</f>
        <v/>
      </c>
      <c r="AH2923" s="35">
        <f>IF(OR(C2923&lt;&gt;"Grayson Coulter",G2923&lt;'00_Control'!$B$7),"",--(AF2923&lt;10))</f>
        <v/>
      </c>
      <c r="AI2923" s="35">
        <f>IF(AND(C2923="Grayson Coulter",G2923&gt;='00_Control'!$B$7),"YES","NO")</f>
        <v/>
      </c>
      <c r="AJ2923" s="33" t="inlineStr">
        <is>
          <t>OK</t>
        </is>
      </c>
    </row>
    <row r="2924">
      <c r="A2924" s="33" t="inlineStr">
        <is>
          <t>SM002920</t>
        </is>
      </c>
      <c r="B2924" s="33" t="inlineStr">
        <is>
          <t>SW001</t>
        </is>
      </c>
      <c r="C2924" s="33" t="inlineStr">
        <is>
          <t>Grayson Coulter</t>
        </is>
      </c>
      <c r="D2924" s="33" t="inlineStr">
        <is>
          <t>SwimCloud</t>
        </is>
      </c>
      <c r="E2924" s="33" t="inlineStr">
        <is>
          <t>3651023</t>
        </is>
      </c>
      <c r="F2924" s="33" t="inlineStr">
        <is>
          <t>109351540</t>
        </is>
      </c>
      <c r="G2924" s="51" t="n">
        <v>44715</v>
      </c>
      <c r="H2924" s="33" t="inlineStr">
        <is>
          <t>2022 Golden Homes Swimfest</t>
        </is>
      </c>
      <c r="I2924" s="33" t="inlineStr">
        <is>
          <t>267185</t>
        </is>
      </c>
      <c r="J2924" s="33" t="n"/>
      <c r="K2924" s="33" t="inlineStr">
        <is>
          <t>TIM</t>
        </is>
      </c>
      <c r="L2924" s="35">
        <f>IF(K2924="FIN",3,IF(OR(K2924="SEM",K2924="SEMI"),2,IF(OR(K2924="PRE",K2924="HEAT"),1,IF(V2924="YES",4,2))))</f>
        <v/>
      </c>
      <c r="M2924" s="33" t="inlineStr">
        <is>
          <t>LCM</t>
        </is>
      </c>
      <c r="N2924" s="33" t="n">
        <v>50</v>
      </c>
      <c r="O2924" s="33" t="inlineStr">
        <is>
          <t>Fly</t>
        </is>
      </c>
      <c r="P2924" s="33" t="inlineStr">
        <is>
          <t>50 Fly</t>
        </is>
      </c>
      <c r="Q2924" s="33" t="inlineStr">
        <is>
          <t>LCM_50_FLY</t>
        </is>
      </c>
      <c r="R2924" s="36" t="n">
        <v>34.45</v>
      </c>
      <c r="S2924" s="35">
        <f>IF(R2924="","",IF(R2924&gt;=60,INT(R2924/60)&amp;":"&amp;TEXT(MOD(R2924,60),"00.00"),TEXT(R2924,"0.00")))</f>
        <v/>
      </c>
      <c r="T2924" s="52">
        <f>IFERROR((G2924-INDEX('01_Swimmers'!$E$5:$E$22,MATCH(B2924,'01_Swimmers'!$A$5:$A$22,0)))/'00_Control'!$B$10,"")</f>
        <v/>
      </c>
      <c r="U2924" s="35">
        <f>IF(T2924="","",INT(T2924))</f>
        <v/>
      </c>
      <c r="V2924" s="33" t="inlineStr">
        <is>
          <t>NO</t>
        </is>
      </c>
      <c r="W2924" s="33" t="inlineStr">
        <is>
          <t>YES</t>
        </is>
      </c>
      <c r="X2924" s="33" t="inlineStr">
        <is>
          <t>NO</t>
        </is>
      </c>
      <c r="Y2924" s="33" t="n">
        <v>13</v>
      </c>
      <c r="Z2924" s="33" t="n">
        <v>6</v>
      </c>
      <c r="AA2924" s="33" t="inlineStr">
        <is>
          <t>20</t>
        </is>
      </c>
      <c r="AB2924" s="33" t="inlineStr">
        <is>
          <t>https://www.swimcloud.com/results/267185/event/6/?id=109351540#time109351540</t>
        </is>
      </c>
      <c r="AC2924" s="33" t="inlineStr">
        <is>
          <t>SwimCloud all-event v8 2026-10-09</t>
        </is>
      </c>
      <c r="AD2924" s="33" t="inlineStr">
        <is>
          <t>Grayson Coulter|2022-06-03|LCM|50|Fly|34.45|2022 Golden Homes Swimfest|TIM|False</t>
        </is>
      </c>
      <c r="AE2924" s="53">
        <f>G2924+L2924/1000+ROW()/1000000000</f>
        <v/>
      </c>
      <c r="AF2924" s="35">
        <f>IF(C2924&lt;&gt;"Grayson Coulter","",COUNTIFS($C$5:$C$2991,"Grayson Coulter",$Q$5:$Q$2991,Q2924,$AE$5:$AE$2991,"&lt;="&amp;AE2924,$R$5:$R$2991,"&lt;"&amp;R2924))</f>
        <v/>
      </c>
      <c r="AG2924" s="35">
        <f>IF(OR(C2924&lt;&gt;"Grayson Coulter",G2924&lt;'00_Control'!$B$7),"",--(AF2924&lt;5))</f>
        <v/>
      </c>
      <c r="AH2924" s="35">
        <f>IF(OR(C2924&lt;&gt;"Grayson Coulter",G2924&lt;'00_Control'!$B$7),"",--(AF2924&lt;10))</f>
        <v/>
      </c>
      <c r="AI2924" s="35">
        <f>IF(AND(C2924="Grayson Coulter",G2924&gt;='00_Control'!$B$7),"YES","NO")</f>
        <v/>
      </c>
      <c r="AJ2924" s="33" t="inlineStr">
        <is>
          <t>OK</t>
        </is>
      </c>
    </row>
    <row r="2925">
      <c r="A2925" s="33" t="inlineStr">
        <is>
          <t>SM002921</t>
        </is>
      </c>
      <c r="B2925" s="33" t="inlineStr">
        <is>
          <t>SW001</t>
        </is>
      </c>
      <c r="C2925" s="33" t="inlineStr">
        <is>
          <t>Grayson Coulter</t>
        </is>
      </c>
      <c r="D2925" s="33" t="inlineStr">
        <is>
          <t>SwimCloud</t>
        </is>
      </c>
      <c r="E2925" s="33" t="inlineStr">
        <is>
          <t>3651023</t>
        </is>
      </c>
      <c r="F2925" s="33" t="inlineStr">
        <is>
          <t>159517696</t>
        </is>
      </c>
      <c r="G2925" s="51" t="n">
        <v>45922</v>
      </c>
      <c r="H2925" s="33" t="inlineStr">
        <is>
          <t>New Zealand Short Course Championships</t>
        </is>
      </c>
      <c r="I2925" s="33" t="inlineStr">
        <is>
          <t>355663</t>
        </is>
      </c>
      <c r="J2925" s="33" t="n"/>
      <c r="K2925" s="33" t="inlineStr">
        <is>
          <t>PRE</t>
        </is>
      </c>
      <c r="L2925" s="35">
        <f>IF(K2925="FIN",3,IF(OR(K2925="SEM",K2925="SEMI"),2,IF(OR(K2925="PRE",K2925="HEAT"),1,IF(V2925="YES",4,2))))</f>
        <v/>
      </c>
      <c r="M2925" s="33" t="inlineStr">
        <is>
          <t>SCM</t>
        </is>
      </c>
      <c r="N2925" s="33" t="n">
        <v>50</v>
      </c>
      <c r="O2925" s="33" t="inlineStr">
        <is>
          <t>Fly</t>
        </is>
      </c>
      <c r="P2925" s="33" t="inlineStr">
        <is>
          <t>50 Fly</t>
        </is>
      </c>
      <c r="Q2925" s="33" t="inlineStr">
        <is>
          <t>SCM_50_FLY</t>
        </is>
      </c>
      <c r="R2925" s="36" t="n">
        <v>25.64</v>
      </c>
      <c r="S2925" s="35">
        <f>IF(R2925="","",IF(R2925&gt;=60,INT(R2925/60)&amp;":"&amp;TEXT(MOD(R2925,60),"00.00"),TEXT(R2925,"0.00")))</f>
        <v/>
      </c>
      <c r="T2925" s="52">
        <f>IFERROR((G2925-INDEX('01_Swimmers'!$E$5:$E$22,MATCH(B2925,'01_Swimmers'!$A$5:$A$22,0)))/'00_Control'!$B$10,"")</f>
        <v/>
      </c>
      <c r="U2925" s="35">
        <f>IF(T2925="","",INT(T2925))</f>
        <v/>
      </c>
      <c r="V2925" s="33" t="inlineStr">
        <is>
          <t>NO</t>
        </is>
      </c>
      <c r="W2925" s="33" t="inlineStr">
        <is>
          <t>YES</t>
        </is>
      </c>
      <c r="X2925" s="33" t="inlineStr">
        <is>
          <t>NO</t>
        </is>
      </c>
      <c r="Y2925" s="33" t="n">
        <v>5</v>
      </c>
      <c r="Z2925" s="33" t="n">
        <v>4</v>
      </c>
      <c r="AA2925" s="33" t="inlineStr">
        <is>
          <t>1</t>
        </is>
      </c>
      <c r="AB2925" s="33" t="inlineStr">
        <is>
          <t>https://www.swimcloud.com/results/355663/event/16/?id=159517696#time159517696</t>
        </is>
      </c>
      <c r="AC2925" s="33" t="inlineStr">
        <is>
          <t>SwimCloud all-event v8 2026-10-09</t>
        </is>
      </c>
      <c r="AD2925" s="33" t="inlineStr">
        <is>
          <t>Grayson Coulter|2025-09-22|SCM|50|Fly|25.64|New Zealand Short Course Championships|PRE|False</t>
        </is>
      </c>
      <c r="AE2925" s="53">
        <f>G2925+L2925/1000+ROW()/1000000000</f>
        <v/>
      </c>
      <c r="AF2925" s="35">
        <f>IF(C2925&lt;&gt;"Grayson Coulter","",COUNTIFS($C$5:$C$2991,"Grayson Coulter",$Q$5:$Q$2991,Q2925,$AE$5:$AE$2991,"&lt;="&amp;AE2925,$R$5:$R$2991,"&lt;"&amp;R2925))</f>
        <v/>
      </c>
      <c r="AG2925" s="35">
        <f>IF(OR(C2925&lt;&gt;"Grayson Coulter",G2925&lt;'00_Control'!$B$7),"",--(AF2925&lt;5))</f>
        <v/>
      </c>
      <c r="AH2925" s="35">
        <f>IF(OR(C2925&lt;&gt;"Grayson Coulter",G2925&lt;'00_Control'!$B$7),"",--(AF2925&lt;10))</f>
        <v/>
      </c>
      <c r="AI2925" s="35">
        <f>IF(AND(C2925="Grayson Coulter",G2925&gt;='00_Control'!$B$7),"YES","NO")</f>
        <v/>
      </c>
      <c r="AJ2925" s="33" t="inlineStr">
        <is>
          <t>OK</t>
        </is>
      </c>
    </row>
    <row r="2926">
      <c r="A2926" s="33" t="inlineStr">
        <is>
          <t>SM002922</t>
        </is>
      </c>
      <c r="B2926" s="33" t="inlineStr">
        <is>
          <t>SW001</t>
        </is>
      </c>
      <c r="C2926" s="33" t="inlineStr">
        <is>
          <t>Grayson Coulter</t>
        </is>
      </c>
      <c r="D2926" s="33" t="inlineStr">
        <is>
          <t>SwimCloud</t>
        </is>
      </c>
      <c r="E2926" s="33" t="inlineStr">
        <is>
          <t>3651023</t>
        </is>
      </c>
      <c r="F2926" s="33" t="inlineStr">
        <is>
          <t>157415663</t>
        </is>
      </c>
      <c r="G2926" s="51" t="n">
        <v>45892</v>
      </c>
      <c r="H2926" s="33" t="inlineStr">
        <is>
          <t>Auckland-Northland Short Course Championships</t>
        </is>
      </c>
      <c r="I2926" s="33" t="inlineStr">
        <is>
          <t>351357</t>
        </is>
      </c>
      <c r="J2926" s="33" t="n"/>
      <c r="K2926" s="33" t="inlineStr">
        <is>
          <t>PRE</t>
        </is>
      </c>
      <c r="L2926" s="35">
        <f>IF(K2926="FIN",3,IF(OR(K2926="SEM",K2926="SEMI"),2,IF(OR(K2926="PRE",K2926="HEAT"),1,IF(V2926="YES",4,2))))</f>
        <v/>
      </c>
      <c r="M2926" s="33" t="inlineStr">
        <is>
          <t>SCM</t>
        </is>
      </c>
      <c r="N2926" s="33" t="n">
        <v>50</v>
      </c>
      <c r="O2926" s="33" t="inlineStr">
        <is>
          <t>Fly</t>
        </is>
      </c>
      <c r="P2926" s="33" t="inlineStr">
        <is>
          <t>50 Fly</t>
        </is>
      </c>
      <c r="Q2926" s="33" t="inlineStr">
        <is>
          <t>SCM_50_FLY</t>
        </is>
      </c>
      <c r="R2926" s="36" t="n">
        <v>26.84</v>
      </c>
      <c r="S2926" s="35">
        <f>IF(R2926="","",IF(R2926&gt;=60,INT(R2926/60)&amp;":"&amp;TEXT(MOD(R2926,60),"00.00"),TEXT(R2926,"0.00")))</f>
        <v/>
      </c>
      <c r="T2926" s="52">
        <f>IFERROR((G2926-INDEX('01_Swimmers'!$E$5:$E$22,MATCH(B2926,'01_Swimmers'!$A$5:$A$22,0)))/'00_Control'!$B$10,"")</f>
        <v/>
      </c>
      <c r="U2926" s="35">
        <f>IF(T2926="","",INT(T2926))</f>
        <v/>
      </c>
      <c r="V2926" s="33" t="inlineStr">
        <is>
          <t>NO</t>
        </is>
      </c>
      <c r="W2926" s="33" t="inlineStr">
        <is>
          <t>YES</t>
        </is>
      </c>
      <c r="X2926" s="33" t="inlineStr">
        <is>
          <t>NO</t>
        </is>
      </c>
      <c r="Y2926" s="33" t="n">
        <v>6</v>
      </c>
      <c r="Z2926" s="33" t="n">
        <v>5</v>
      </c>
      <c r="AA2926" s="33" t="inlineStr"/>
      <c r="AB2926" s="33" t="inlineStr">
        <is>
          <t>https://www.swimcloud.com/results/351357/event/21/?id=157412778#time157412778</t>
        </is>
      </c>
      <c r="AC2926" s="33" t="inlineStr">
        <is>
          <t>SwimCloud all-event v8 2026-10-09</t>
        </is>
      </c>
      <c r="AD2926" s="33" t="inlineStr">
        <is>
          <t>Grayson Coulter|2025-08-23|SCM|50|Fly|26.84|Auckland-Northland Short Course Championships|PRE|False</t>
        </is>
      </c>
      <c r="AE2926" s="53">
        <f>G2926+L2926/1000+ROW()/1000000000</f>
        <v/>
      </c>
      <c r="AF2926" s="35">
        <f>IF(C2926&lt;&gt;"Grayson Coulter","",COUNTIFS($C$5:$C$2991,"Grayson Coulter",$Q$5:$Q$2991,Q2926,$AE$5:$AE$2991,"&lt;="&amp;AE2926,$R$5:$R$2991,"&lt;"&amp;R2926))</f>
        <v/>
      </c>
      <c r="AG2926" s="35">
        <f>IF(OR(C2926&lt;&gt;"Grayson Coulter",G2926&lt;'00_Control'!$B$7),"",--(AF2926&lt;5))</f>
        <v/>
      </c>
      <c r="AH2926" s="35">
        <f>IF(OR(C2926&lt;&gt;"Grayson Coulter",G2926&lt;'00_Control'!$B$7),"",--(AF2926&lt;10))</f>
        <v/>
      </c>
      <c r="AI2926" s="35">
        <f>IF(AND(C2926="Grayson Coulter",G2926&gt;='00_Control'!$B$7),"YES","NO")</f>
        <v/>
      </c>
      <c r="AJ2926" s="33" t="inlineStr">
        <is>
          <t>OK</t>
        </is>
      </c>
    </row>
    <row r="2927">
      <c r="A2927" s="33" t="inlineStr">
        <is>
          <t>SM002923</t>
        </is>
      </c>
      <c r="B2927" s="33" t="inlineStr">
        <is>
          <t>SW001</t>
        </is>
      </c>
      <c r="C2927" s="33" t="inlineStr">
        <is>
          <t>Grayson Coulter</t>
        </is>
      </c>
      <c r="D2927" s="33" t="inlineStr">
        <is>
          <t>SwimCloud</t>
        </is>
      </c>
      <c r="E2927" s="33" t="inlineStr">
        <is>
          <t>3651023</t>
        </is>
      </c>
      <c r="F2927" s="33" t="inlineStr">
        <is>
          <t>157412805</t>
        </is>
      </c>
      <c r="G2927" s="51" t="n">
        <v>45891</v>
      </c>
      <c r="H2927" s="33" t="inlineStr">
        <is>
          <t>Auckland-Northland Short Course Championships</t>
        </is>
      </c>
      <c r="I2927" s="33" t="inlineStr">
        <is>
          <t>351357</t>
        </is>
      </c>
      <c r="J2927" s="33" t="n"/>
      <c r="K2927" s="33" t="inlineStr">
        <is>
          <t>FIN</t>
        </is>
      </c>
      <c r="L2927" s="35">
        <f>IF(K2927="FIN",3,IF(OR(K2927="SEM",K2927="SEMI"),2,IF(OR(K2927="PRE",K2927="HEAT"),1,IF(V2927="YES",4,2))))</f>
        <v/>
      </c>
      <c r="M2927" s="33" t="inlineStr">
        <is>
          <t>SCM</t>
        </is>
      </c>
      <c r="N2927" s="33" t="n">
        <v>50</v>
      </c>
      <c r="O2927" s="33" t="inlineStr">
        <is>
          <t>Fly</t>
        </is>
      </c>
      <c r="P2927" s="33" t="inlineStr">
        <is>
          <t>50 Fly</t>
        </is>
      </c>
      <c r="Q2927" s="33" t="inlineStr">
        <is>
          <t>SCM_50_FLY</t>
        </is>
      </c>
      <c r="R2927" s="36" t="n">
        <v>26.11</v>
      </c>
      <c r="S2927" s="35">
        <f>IF(R2927="","",IF(R2927&gt;=60,INT(R2927/60)&amp;":"&amp;TEXT(MOD(R2927,60),"00.00"),TEXT(R2927,"0.00")))</f>
        <v/>
      </c>
      <c r="T2927" s="52">
        <f>IFERROR((G2927-INDEX('01_Swimmers'!$E$5:$E$22,MATCH(B2927,'01_Swimmers'!$A$5:$A$22,0)))/'00_Control'!$B$10,"")</f>
        <v/>
      </c>
      <c r="U2927" s="35">
        <f>IF(T2927="","",INT(T2927))</f>
        <v/>
      </c>
      <c r="V2927" s="33" t="inlineStr">
        <is>
          <t>NO</t>
        </is>
      </c>
      <c r="W2927" s="33" t="inlineStr">
        <is>
          <t>YES</t>
        </is>
      </c>
      <c r="X2927" s="33" t="inlineStr">
        <is>
          <t>NO</t>
        </is>
      </c>
      <c r="Y2927" s="33" t="n">
        <v>1</v>
      </c>
      <c r="Z2927" s="33" t="n">
        <v>4</v>
      </c>
      <c r="AA2927" s="33" t="inlineStr">
        <is>
          <t>1</t>
        </is>
      </c>
      <c r="AB2927" s="33" t="inlineStr">
        <is>
          <t>https://www.swimcloud.com/results/351357/event/7/?id=157412805#time157412805</t>
        </is>
      </c>
      <c r="AC2927" s="33" t="inlineStr">
        <is>
          <t>SwimCloud all-event v8 2026-10-09</t>
        </is>
      </c>
      <c r="AD2927" s="33" t="inlineStr">
        <is>
          <t>Grayson Coulter|2025-08-22|SCM|50|Fly|26.11|Auckland-Northland Short Course Championships|FIN|False</t>
        </is>
      </c>
      <c r="AE2927" s="53">
        <f>G2927+L2927/1000+ROW()/1000000000</f>
        <v/>
      </c>
      <c r="AF2927" s="35">
        <f>IF(C2927&lt;&gt;"Grayson Coulter","",COUNTIFS($C$5:$C$2991,"Grayson Coulter",$Q$5:$Q$2991,Q2927,$AE$5:$AE$2991,"&lt;="&amp;AE2927,$R$5:$R$2991,"&lt;"&amp;R2927))</f>
        <v/>
      </c>
      <c r="AG2927" s="35">
        <f>IF(OR(C2927&lt;&gt;"Grayson Coulter",G2927&lt;'00_Control'!$B$7),"",--(AF2927&lt;5))</f>
        <v/>
      </c>
      <c r="AH2927" s="35">
        <f>IF(OR(C2927&lt;&gt;"Grayson Coulter",G2927&lt;'00_Control'!$B$7),"",--(AF2927&lt;10))</f>
        <v/>
      </c>
      <c r="AI2927" s="35">
        <f>IF(AND(C2927="Grayson Coulter",G2927&gt;='00_Control'!$B$7),"YES","NO")</f>
        <v/>
      </c>
      <c r="AJ2927" s="33" t="inlineStr">
        <is>
          <t>OK</t>
        </is>
      </c>
    </row>
    <row r="2928">
      <c r="A2928" s="33" t="inlineStr">
        <is>
          <t>SM002924</t>
        </is>
      </c>
      <c r="B2928" s="33" t="inlineStr">
        <is>
          <t>SW001</t>
        </is>
      </c>
      <c r="C2928" s="33" t="inlineStr">
        <is>
          <t>Grayson Coulter</t>
        </is>
      </c>
      <c r="D2928" s="33" t="inlineStr">
        <is>
          <t>SwimCloud</t>
        </is>
      </c>
      <c r="E2928" s="33" t="inlineStr">
        <is>
          <t>3651023</t>
        </is>
      </c>
      <c r="F2928" s="33" t="inlineStr">
        <is>
          <t>157412804</t>
        </is>
      </c>
      <c r="G2928" s="51" t="n">
        <v>45891</v>
      </c>
      <c r="H2928" s="33" t="inlineStr">
        <is>
          <t>Auckland-Northland Short Course Championships</t>
        </is>
      </c>
      <c r="I2928" s="33" t="inlineStr">
        <is>
          <t>351357</t>
        </is>
      </c>
      <c r="J2928" s="33" t="n"/>
      <c r="K2928" s="33" t="inlineStr">
        <is>
          <t>PRE</t>
        </is>
      </c>
      <c r="L2928" s="35">
        <f>IF(K2928="FIN",3,IF(OR(K2928="SEM",K2928="SEMI"),2,IF(OR(K2928="PRE",K2928="HEAT"),1,IF(V2928="YES",4,2))))</f>
        <v/>
      </c>
      <c r="M2928" s="33" t="inlineStr">
        <is>
          <t>SCM</t>
        </is>
      </c>
      <c r="N2928" s="33" t="n">
        <v>50</v>
      </c>
      <c r="O2928" s="33" t="inlineStr">
        <is>
          <t>Fly</t>
        </is>
      </c>
      <c r="P2928" s="33" t="inlineStr">
        <is>
          <t>50 Fly</t>
        </is>
      </c>
      <c r="Q2928" s="33" t="inlineStr">
        <is>
          <t>SCM_50_FLY</t>
        </is>
      </c>
      <c r="R2928" s="36" t="n">
        <v>26.3</v>
      </c>
      <c r="S2928" s="35">
        <f>IF(R2928="","",IF(R2928&gt;=60,INT(R2928/60)&amp;":"&amp;TEXT(MOD(R2928,60),"00.00"),TEXT(R2928,"0.00")))</f>
        <v/>
      </c>
      <c r="T2928" s="52">
        <f>IFERROR((G2928-INDEX('01_Swimmers'!$E$5:$E$22,MATCH(B2928,'01_Swimmers'!$A$5:$A$22,0)))/'00_Control'!$B$10,"")</f>
        <v/>
      </c>
      <c r="U2928" s="35">
        <f>IF(T2928="","",INT(T2928))</f>
        <v/>
      </c>
      <c r="V2928" s="33" t="inlineStr">
        <is>
          <t>NO</t>
        </is>
      </c>
      <c r="W2928" s="33" t="inlineStr">
        <is>
          <t>YES</t>
        </is>
      </c>
      <c r="X2928" s="33" t="inlineStr">
        <is>
          <t>NO</t>
        </is>
      </c>
      <c r="Y2928" s="33" t="n">
        <v>10</v>
      </c>
      <c r="Z2928" s="33" t="n">
        <v>6</v>
      </c>
      <c r="AA2928" s="33" t="inlineStr">
        <is>
          <t>1</t>
        </is>
      </c>
      <c r="AB2928" s="33" t="inlineStr">
        <is>
          <t>https://www.swimcloud.com/results/351357/event/7/?id=157412804#time157412804</t>
        </is>
      </c>
      <c r="AC2928" s="33" t="inlineStr">
        <is>
          <t>SwimCloud all-event v8 2026-10-09</t>
        </is>
      </c>
      <c r="AD2928" s="33" t="inlineStr">
        <is>
          <t>Grayson Coulter|2025-08-22|SCM|50|Fly|26.3|Auckland-Northland Short Course Championships|PRE|False</t>
        </is>
      </c>
      <c r="AE2928" s="53">
        <f>G2928+L2928/1000+ROW()/1000000000</f>
        <v/>
      </c>
      <c r="AF2928" s="35">
        <f>IF(C2928&lt;&gt;"Grayson Coulter","",COUNTIFS($C$5:$C$2991,"Grayson Coulter",$Q$5:$Q$2991,Q2928,$AE$5:$AE$2991,"&lt;="&amp;AE2928,$R$5:$R$2991,"&lt;"&amp;R2928))</f>
        <v/>
      </c>
      <c r="AG2928" s="35">
        <f>IF(OR(C2928&lt;&gt;"Grayson Coulter",G2928&lt;'00_Control'!$B$7),"",--(AF2928&lt;5))</f>
        <v/>
      </c>
      <c r="AH2928" s="35">
        <f>IF(OR(C2928&lt;&gt;"Grayson Coulter",G2928&lt;'00_Control'!$B$7),"",--(AF2928&lt;10))</f>
        <v/>
      </c>
      <c r="AI2928" s="35">
        <f>IF(AND(C2928="Grayson Coulter",G2928&gt;='00_Control'!$B$7),"YES","NO")</f>
        <v/>
      </c>
      <c r="AJ2928" s="33" t="inlineStr">
        <is>
          <t>OK</t>
        </is>
      </c>
    </row>
    <row r="2929">
      <c r="A2929" s="33" t="inlineStr">
        <is>
          <t>SM002925</t>
        </is>
      </c>
      <c r="B2929" s="33" t="inlineStr">
        <is>
          <t>SW001</t>
        </is>
      </c>
      <c r="C2929" s="33" t="inlineStr">
        <is>
          <t>Grayson Coulter</t>
        </is>
      </c>
      <c r="D2929" s="33" t="inlineStr">
        <is>
          <t>SwimCloud</t>
        </is>
      </c>
      <c r="E2929" s="33" t="inlineStr">
        <is>
          <t>3651023</t>
        </is>
      </c>
      <c r="F2929" s="33" t="inlineStr">
        <is>
          <t>159525624</t>
        </is>
      </c>
      <c r="G2929" s="51" t="n">
        <v>45864</v>
      </c>
      <c r="H2929" s="33" t="inlineStr">
        <is>
          <t>New Zealand Secondary School Swimming Championships</t>
        </is>
      </c>
      <c r="I2929" s="33" t="inlineStr">
        <is>
          <t>349742</t>
        </is>
      </c>
      <c r="J2929" s="33" t="n"/>
      <c r="K2929" s="33" t="inlineStr">
        <is>
          <t>TIM</t>
        </is>
      </c>
      <c r="L2929" s="35">
        <f>IF(K2929="FIN",3,IF(OR(K2929="SEM",K2929="SEMI"),2,IF(OR(K2929="PRE",K2929="HEAT"),1,IF(V2929="YES",4,2))))</f>
        <v/>
      </c>
      <c r="M2929" s="33" t="inlineStr">
        <is>
          <t>SCM</t>
        </is>
      </c>
      <c r="N2929" s="33" t="n">
        <v>50</v>
      </c>
      <c r="O2929" s="33" t="inlineStr">
        <is>
          <t>Fly</t>
        </is>
      </c>
      <c r="P2929" s="33" t="inlineStr">
        <is>
          <t>50 Fly</t>
        </is>
      </c>
      <c r="Q2929" s="33" t="inlineStr">
        <is>
          <t>SCM_50_FLY</t>
        </is>
      </c>
      <c r="R2929" s="36" t="n">
        <v>25.96</v>
      </c>
      <c r="S2929" s="35">
        <f>IF(R2929="","",IF(R2929&gt;=60,INT(R2929/60)&amp;":"&amp;TEXT(MOD(R2929,60),"00.00"),TEXT(R2929,"0.00")))</f>
        <v/>
      </c>
      <c r="T2929" s="52">
        <f>IFERROR((G2929-INDEX('01_Swimmers'!$E$5:$E$22,MATCH(B2929,'01_Swimmers'!$A$5:$A$22,0)))/'00_Control'!$B$10,"")</f>
        <v/>
      </c>
      <c r="U2929" s="35">
        <f>IF(T2929="","",INT(T2929))</f>
        <v/>
      </c>
      <c r="V2929" s="33" t="inlineStr">
        <is>
          <t>NO</t>
        </is>
      </c>
      <c r="W2929" s="33" t="inlineStr">
        <is>
          <t>YES</t>
        </is>
      </c>
      <c r="X2929" s="33" t="inlineStr">
        <is>
          <t>NO</t>
        </is>
      </c>
      <c r="Y2929" s="33" t="n">
        <v>23</v>
      </c>
      <c r="Z2929" s="33" t="n">
        <v>4</v>
      </c>
      <c r="AA2929" s="33" t="inlineStr">
        <is>
          <t>1</t>
        </is>
      </c>
      <c r="AB2929" s="33" t="inlineStr">
        <is>
          <t>https://www.swimcloud.com/results/349742/event/33/?id=159525624#time159525624</t>
        </is>
      </c>
      <c r="AC2929" s="33" t="inlineStr">
        <is>
          <t>SwimCloud all-event v8 2026-10-09</t>
        </is>
      </c>
      <c r="AD2929" s="33" t="inlineStr">
        <is>
          <t>Grayson Coulter|2025-07-26|SCM|50|Fly|25.96|New Zealand Secondary School Swimming Championships|TIM|False</t>
        </is>
      </c>
      <c r="AE2929" s="53">
        <f>G2929+L2929/1000+ROW()/1000000000</f>
        <v/>
      </c>
      <c r="AF2929" s="35">
        <f>IF(C2929&lt;&gt;"Grayson Coulter","",COUNTIFS($C$5:$C$2991,"Grayson Coulter",$Q$5:$Q$2991,Q2929,$AE$5:$AE$2991,"&lt;="&amp;AE2929,$R$5:$R$2991,"&lt;"&amp;R2929))</f>
        <v/>
      </c>
      <c r="AG2929" s="35">
        <f>IF(OR(C2929&lt;&gt;"Grayson Coulter",G2929&lt;'00_Control'!$B$7),"",--(AF2929&lt;5))</f>
        <v/>
      </c>
      <c r="AH2929" s="35">
        <f>IF(OR(C2929&lt;&gt;"Grayson Coulter",G2929&lt;'00_Control'!$B$7),"",--(AF2929&lt;10))</f>
        <v/>
      </c>
      <c r="AI2929" s="35">
        <f>IF(AND(C2929="Grayson Coulter",G2929&gt;='00_Control'!$B$7),"YES","NO")</f>
        <v/>
      </c>
      <c r="AJ2929" s="33" t="inlineStr">
        <is>
          <t>OK</t>
        </is>
      </c>
    </row>
    <row r="2930">
      <c r="A2930" s="33" t="inlineStr">
        <is>
          <t>SM002926</t>
        </is>
      </c>
      <c r="B2930" s="33" t="inlineStr">
        <is>
          <t>SW001</t>
        </is>
      </c>
      <c r="C2930" s="33" t="inlineStr">
        <is>
          <t>Grayson Coulter</t>
        </is>
      </c>
      <c r="D2930" s="33" t="inlineStr">
        <is>
          <t>SwimCloud</t>
        </is>
      </c>
      <c r="E2930" s="33" t="inlineStr">
        <is>
          <t>3651023</t>
        </is>
      </c>
      <c r="F2930" s="33" t="inlineStr">
        <is>
          <t>137761652</t>
        </is>
      </c>
      <c r="G2930" s="51" t="n">
        <v>45556</v>
      </c>
      <c r="H2930" s="33" t="inlineStr">
        <is>
          <t>SW Junior Champs</t>
        </is>
      </c>
      <c r="I2930" s="33" t="inlineStr">
        <is>
          <t>323327</t>
        </is>
      </c>
      <c r="J2930" s="33" t="n"/>
      <c r="K2930" s="33" t="inlineStr">
        <is>
          <t>TIM</t>
        </is>
      </c>
      <c r="L2930" s="35">
        <f>IF(K2930="FIN",3,IF(OR(K2930="SEM",K2930="SEMI"),2,IF(OR(K2930="PRE",K2930="HEAT"),1,IF(V2930="YES",4,2))))</f>
        <v/>
      </c>
      <c r="M2930" s="33" t="inlineStr">
        <is>
          <t>SCM</t>
        </is>
      </c>
      <c r="N2930" s="33" t="n">
        <v>50</v>
      </c>
      <c r="O2930" s="33" t="inlineStr">
        <is>
          <t>Fly</t>
        </is>
      </c>
      <c r="P2930" s="33" t="inlineStr">
        <is>
          <t>50 Fly</t>
        </is>
      </c>
      <c r="Q2930" s="33" t="inlineStr">
        <is>
          <t>SCM_50_FLY</t>
        </is>
      </c>
      <c r="R2930" s="36" t="n">
        <v>27.29</v>
      </c>
      <c r="S2930" s="35">
        <f>IF(R2930="","",IF(R2930&gt;=60,INT(R2930/60)&amp;":"&amp;TEXT(MOD(R2930,60),"00.00"),TEXT(R2930,"0.00")))</f>
        <v/>
      </c>
      <c r="T2930" s="52">
        <f>IFERROR((G2930-INDEX('01_Swimmers'!$E$5:$E$22,MATCH(B2930,'01_Swimmers'!$A$5:$A$22,0)))/'00_Control'!$B$10,"")</f>
        <v/>
      </c>
      <c r="U2930" s="35">
        <f>IF(T2930="","",INT(T2930))</f>
        <v/>
      </c>
      <c r="V2930" s="33" t="inlineStr">
        <is>
          <t>NO</t>
        </is>
      </c>
      <c r="W2930" s="33" t="inlineStr">
        <is>
          <t>YES</t>
        </is>
      </c>
      <c r="X2930" s="33" t="inlineStr">
        <is>
          <t>NO</t>
        </is>
      </c>
      <c r="Y2930" s="33" t="n">
        <v>2</v>
      </c>
      <c r="Z2930" s="33" t="n">
        <v>4</v>
      </c>
      <c r="AA2930" s="33" t="inlineStr">
        <is>
          <t>1</t>
        </is>
      </c>
      <c r="AB2930" s="33" t="inlineStr">
        <is>
          <t>https://www.swimcloud.com/results/323327/event/1/?id=137761652#time137761652</t>
        </is>
      </c>
      <c r="AC2930" s="33" t="inlineStr">
        <is>
          <t>SwimCloud all-event v8 2026-10-09</t>
        </is>
      </c>
      <c r="AD2930" s="33" t="inlineStr">
        <is>
          <t>Grayson Coulter|2024-09-21|SCM|50|Fly|27.29|SW Junior Champs|TIM|False</t>
        </is>
      </c>
      <c r="AE2930" s="53">
        <f>G2930+L2930/1000+ROW()/1000000000</f>
        <v/>
      </c>
      <c r="AF2930" s="35">
        <f>IF(C2930&lt;&gt;"Grayson Coulter","",COUNTIFS($C$5:$C$2991,"Grayson Coulter",$Q$5:$Q$2991,Q2930,$AE$5:$AE$2991,"&lt;="&amp;AE2930,$R$5:$R$2991,"&lt;"&amp;R2930))</f>
        <v/>
      </c>
      <c r="AG2930" s="35">
        <f>IF(OR(C2930&lt;&gt;"Grayson Coulter",G2930&lt;'00_Control'!$B$7),"",--(AF2930&lt;5))</f>
        <v/>
      </c>
      <c r="AH2930" s="35">
        <f>IF(OR(C2930&lt;&gt;"Grayson Coulter",G2930&lt;'00_Control'!$B$7),"",--(AF2930&lt;10))</f>
        <v/>
      </c>
      <c r="AI2930" s="35">
        <f>IF(AND(C2930="Grayson Coulter",G2930&gt;='00_Control'!$B$7),"YES","NO")</f>
        <v/>
      </c>
      <c r="AJ2930" s="33" t="inlineStr">
        <is>
          <t>OK</t>
        </is>
      </c>
    </row>
    <row r="2931">
      <c r="A2931" s="33" t="inlineStr">
        <is>
          <t>SM002927</t>
        </is>
      </c>
      <c r="B2931" s="33" t="inlineStr">
        <is>
          <t>SW001</t>
        </is>
      </c>
      <c r="C2931" s="33" t="inlineStr">
        <is>
          <t>Grayson Coulter</t>
        </is>
      </c>
      <c r="D2931" s="33" t="inlineStr">
        <is>
          <t>SwimCloud</t>
        </is>
      </c>
      <c r="E2931" s="33" t="inlineStr">
        <is>
          <t>3651023</t>
        </is>
      </c>
      <c r="F2931" s="33" t="inlineStr">
        <is>
          <t>137774372</t>
        </is>
      </c>
      <c r="G2931" s="51" t="n">
        <v>45544</v>
      </c>
      <c r="H2931" s="33" t="inlineStr">
        <is>
          <t>Zespri AIMS Games - Kauh</t>
        </is>
      </c>
      <c r="I2931" s="33" t="inlineStr">
        <is>
          <t>323338</t>
        </is>
      </c>
      <c r="J2931" s="33" t="n"/>
      <c r="K2931" s="33" t="inlineStr">
        <is>
          <t>TIM</t>
        </is>
      </c>
      <c r="L2931" s="35">
        <f>IF(K2931="FIN",3,IF(OR(K2931="SEM",K2931="SEMI"),2,IF(OR(K2931="PRE",K2931="HEAT"),1,IF(V2931="YES",4,2))))</f>
        <v/>
      </c>
      <c r="M2931" s="33" t="inlineStr">
        <is>
          <t>SCM</t>
        </is>
      </c>
      <c r="N2931" s="33" t="n">
        <v>50</v>
      </c>
      <c r="O2931" s="33" t="inlineStr">
        <is>
          <t>Fly</t>
        </is>
      </c>
      <c r="P2931" s="33" t="inlineStr">
        <is>
          <t>50 Fly</t>
        </is>
      </c>
      <c r="Q2931" s="33" t="inlineStr">
        <is>
          <t>SCM_50_FLY</t>
        </is>
      </c>
      <c r="R2931" s="36" t="n">
        <v>27.71</v>
      </c>
      <c r="S2931" s="35">
        <f>IF(R2931="","",IF(R2931&gt;=60,INT(R2931/60)&amp;":"&amp;TEXT(MOD(R2931,60),"00.00"),TEXT(R2931,"0.00")))</f>
        <v/>
      </c>
      <c r="T2931" s="52">
        <f>IFERROR((G2931-INDEX('01_Swimmers'!$E$5:$E$22,MATCH(B2931,'01_Swimmers'!$A$5:$A$22,0)))/'00_Control'!$B$10,"")</f>
        <v/>
      </c>
      <c r="U2931" s="35">
        <f>IF(T2931="","",INT(T2931))</f>
        <v/>
      </c>
      <c r="V2931" s="33" t="inlineStr">
        <is>
          <t>NO</t>
        </is>
      </c>
      <c r="W2931" s="33" t="inlineStr">
        <is>
          <t>YES</t>
        </is>
      </c>
      <c r="X2931" s="33" t="inlineStr">
        <is>
          <t>NO</t>
        </is>
      </c>
      <c r="Y2931" s="33" t="n">
        <v>3</v>
      </c>
      <c r="Z2931" s="33" t="n">
        <v>5</v>
      </c>
      <c r="AA2931" s="33" t="inlineStr"/>
      <c r="AB2931" s="33" t="inlineStr">
        <is>
          <t>https://www.swimcloud.com/results/323338/event/39/?id=137772183#time137772183</t>
        </is>
      </c>
      <c r="AC2931" s="33" t="inlineStr">
        <is>
          <t>SwimCloud all-event v8 2026-10-09</t>
        </is>
      </c>
      <c r="AD2931" s="33" t="inlineStr">
        <is>
          <t>Grayson Coulter|2024-09-09|SCM|50|Fly|27.71|Zespri AIMS Games - Kauh|TIM|False</t>
        </is>
      </c>
      <c r="AE2931" s="53">
        <f>G2931+L2931/1000+ROW()/1000000000</f>
        <v/>
      </c>
      <c r="AF2931" s="35">
        <f>IF(C2931&lt;&gt;"Grayson Coulter","",COUNTIFS($C$5:$C$2991,"Grayson Coulter",$Q$5:$Q$2991,Q2931,$AE$5:$AE$2991,"&lt;="&amp;AE2931,$R$5:$R$2991,"&lt;"&amp;R2931))</f>
        <v/>
      </c>
      <c r="AG2931" s="35">
        <f>IF(OR(C2931&lt;&gt;"Grayson Coulter",G2931&lt;'00_Control'!$B$7),"",--(AF2931&lt;5))</f>
        <v/>
      </c>
      <c r="AH2931" s="35">
        <f>IF(OR(C2931&lt;&gt;"Grayson Coulter",G2931&lt;'00_Control'!$B$7),"",--(AF2931&lt;10))</f>
        <v/>
      </c>
      <c r="AI2931" s="35">
        <f>IF(AND(C2931="Grayson Coulter",G2931&gt;='00_Control'!$B$7),"YES","NO")</f>
        <v/>
      </c>
      <c r="AJ2931" s="33" t="inlineStr">
        <is>
          <t>OK</t>
        </is>
      </c>
    </row>
    <row r="2932">
      <c r="A2932" s="33" t="inlineStr">
        <is>
          <t>SM002928</t>
        </is>
      </c>
      <c r="B2932" s="33" t="inlineStr">
        <is>
          <t>SW001</t>
        </is>
      </c>
      <c r="C2932" s="33" t="inlineStr">
        <is>
          <t>Grayson Coulter</t>
        </is>
      </c>
      <c r="D2932" s="33" t="inlineStr">
        <is>
          <t>SwimCloud</t>
        </is>
      </c>
      <c r="E2932" s="33" t="inlineStr">
        <is>
          <t>3651023</t>
        </is>
      </c>
      <c r="F2932" s="33" t="inlineStr">
        <is>
          <t>137771834</t>
        </is>
      </c>
      <c r="G2932" s="51" t="n">
        <v>45543</v>
      </c>
      <c r="H2932" s="33" t="inlineStr">
        <is>
          <t>Zespri AIMS Games - Kauh</t>
        </is>
      </c>
      <c r="I2932" s="33" t="inlineStr">
        <is>
          <t>323338</t>
        </is>
      </c>
      <c r="J2932" s="33" t="n"/>
      <c r="K2932" s="33" t="inlineStr">
        <is>
          <t>TIM</t>
        </is>
      </c>
      <c r="L2932" s="35">
        <f>IF(K2932="FIN",3,IF(OR(K2932="SEM",K2932="SEMI"),2,IF(OR(K2932="PRE",K2932="HEAT"),1,IF(V2932="YES",4,2))))</f>
        <v/>
      </c>
      <c r="M2932" s="33" t="inlineStr">
        <is>
          <t>SCM</t>
        </is>
      </c>
      <c r="N2932" s="33" t="n">
        <v>50</v>
      </c>
      <c r="O2932" s="33" t="inlineStr">
        <is>
          <t>Fly</t>
        </is>
      </c>
      <c r="P2932" s="33" t="inlineStr">
        <is>
          <t>50 Fly</t>
        </is>
      </c>
      <c r="Q2932" s="33" t="inlineStr">
        <is>
          <t>SCM_50_FLY</t>
        </is>
      </c>
      <c r="R2932" s="36" t="n">
        <v>26.89</v>
      </c>
      <c r="S2932" s="35">
        <f>IF(R2932="","",IF(R2932&gt;=60,INT(R2932/60)&amp;":"&amp;TEXT(MOD(R2932,60),"00.00"),TEXT(R2932,"0.00")))</f>
        <v/>
      </c>
      <c r="T2932" s="52">
        <f>IFERROR((G2932-INDEX('01_Swimmers'!$E$5:$E$22,MATCH(B2932,'01_Swimmers'!$A$5:$A$22,0)))/'00_Control'!$B$10,"")</f>
        <v/>
      </c>
      <c r="U2932" s="35">
        <f>IF(T2932="","",INT(T2932))</f>
        <v/>
      </c>
      <c r="V2932" s="33" t="inlineStr">
        <is>
          <t>NO</t>
        </is>
      </c>
      <c r="W2932" s="33" t="inlineStr">
        <is>
          <t>YES</t>
        </is>
      </c>
      <c r="X2932" s="33" t="inlineStr">
        <is>
          <t>NO</t>
        </is>
      </c>
      <c r="Y2932" s="33" t="n">
        <v>5</v>
      </c>
      <c r="Z2932" s="33" t="n">
        <v>5</v>
      </c>
      <c r="AA2932" s="33" t="inlineStr">
        <is>
          <t>1</t>
        </is>
      </c>
      <c r="AB2932" s="33" t="inlineStr">
        <is>
          <t>https://www.swimcloud.com/results/323338/event/12/?id=137771834#time137771834</t>
        </is>
      </c>
      <c r="AC2932" s="33" t="inlineStr">
        <is>
          <t>SwimCloud all-event v8 2026-10-09</t>
        </is>
      </c>
      <c r="AD2932" s="33" t="inlineStr">
        <is>
          <t>Grayson Coulter|2024-09-08|SCM|50|Fly|26.89|Zespri AIMS Games - Kauh|TIM|False</t>
        </is>
      </c>
      <c r="AE2932" s="53">
        <f>G2932+L2932/1000+ROW()/1000000000</f>
        <v/>
      </c>
      <c r="AF2932" s="35">
        <f>IF(C2932&lt;&gt;"Grayson Coulter","",COUNTIFS($C$5:$C$2991,"Grayson Coulter",$Q$5:$Q$2991,Q2932,$AE$5:$AE$2991,"&lt;="&amp;AE2932,$R$5:$R$2991,"&lt;"&amp;R2932))</f>
        <v/>
      </c>
      <c r="AG2932" s="35">
        <f>IF(OR(C2932&lt;&gt;"Grayson Coulter",G2932&lt;'00_Control'!$B$7),"",--(AF2932&lt;5))</f>
        <v/>
      </c>
      <c r="AH2932" s="35">
        <f>IF(OR(C2932&lt;&gt;"Grayson Coulter",G2932&lt;'00_Control'!$B$7),"",--(AF2932&lt;10))</f>
        <v/>
      </c>
      <c r="AI2932" s="35">
        <f>IF(AND(C2932="Grayson Coulter",G2932&gt;='00_Control'!$B$7),"YES","NO")</f>
        <v/>
      </c>
      <c r="AJ2932" s="33" t="inlineStr">
        <is>
          <t>OK</t>
        </is>
      </c>
    </row>
    <row r="2933">
      <c r="A2933" s="33" t="inlineStr">
        <is>
          <t>SM002929</t>
        </is>
      </c>
      <c r="B2933" s="33" t="inlineStr">
        <is>
          <t>SW001</t>
        </is>
      </c>
      <c r="C2933" s="33" t="inlineStr">
        <is>
          <t>Grayson Coulter</t>
        </is>
      </c>
      <c r="D2933" s="33" t="inlineStr">
        <is>
          <t>SwimCloud</t>
        </is>
      </c>
      <c r="E2933" s="33" t="inlineStr">
        <is>
          <t>3651023</t>
        </is>
      </c>
      <c r="F2933" s="33" t="inlineStr">
        <is>
          <t>126597971</t>
        </is>
      </c>
      <c r="G2933" s="51" t="n">
        <v>45416</v>
      </c>
      <c r="H2933" s="33" t="inlineStr">
        <is>
          <t>Waterhole 12/over 400s &amp; 50s</t>
        </is>
      </c>
      <c r="I2933" s="33" t="inlineStr">
        <is>
          <t>303731</t>
        </is>
      </c>
      <c r="J2933" s="33" t="n"/>
      <c r="K2933" s="33" t="inlineStr">
        <is>
          <t>TIM</t>
        </is>
      </c>
      <c r="L2933" s="35">
        <f>IF(K2933="FIN",3,IF(OR(K2933="SEM",K2933="SEMI"),2,IF(OR(K2933="PRE",K2933="HEAT"),1,IF(V2933="YES",4,2))))</f>
        <v/>
      </c>
      <c r="M2933" s="33" t="inlineStr">
        <is>
          <t>SCM</t>
        </is>
      </c>
      <c r="N2933" s="33" t="n">
        <v>50</v>
      </c>
      <c r="O2933" s="33" t="inlineStr">
        <is>
          <t>Fly</t>
        </is>
      </c>
      <c r="P2933" s="33" t="inlineStr">
        <is>
          <t>50 Fly</t>
        </is>
      </c>
      <c r="Q2933" s="33" t="inlineStr">
        <is>
          <t>SCM_50_FLY</t>
        </is>
      </c>
      <c r="R2933" s="36" t="n">
        <v>28.04</v>
      </c>
      <c r="S2933" s="35">
        <f>IF(R2933="","",IF(R2933&gt;=60,INT(R2933/60)&amp;":"&amp;TEXT(MOD(R2933,60),"00.00"),TEXT(R2933,"0.00")))</f>
        <v/>
      </c>
      <c r="T2933" s="52">
        <f>IFERROR((G2933-INDEX('01_Swimmers'!$E$5:$E$22,MATCH(B2933,'01_Swimmers'!$A$5:$A$22,0)))/'00_Control'!$B$10,"")</f>
        <v/>
      </c>
      <c r="U2933" s="35">
        <f>IF(T2933="","",INT(T2933))</f>
        <v/>
      </c>
      <c r="V2933" s="33" t="inlineStr">
        <is>
          <t>NO</t>
        </is>
      </c>
      <c r="W2933" s="33" t="inlineStr">
        <is>
          <t>YES</t>
        </is>
      </c>
      <c r="X2933" s="33" t="inlineStr">
        <is>
          <t>NO</t>
        </is>
      </c>
      <c r="Y2933" s="33" t="n">
        <v>9</v>
      </c>
      <c r="Z2933" s="33" t="n">
        <v>3</v>
      </c>
      <c r="AA2933" s="33" t="inlineStr">
        <is>
          <t>1</t>
        </is>
      </c>
      <c r="AB2933" s="33" t="inlineStr">
        <is>
          <t>https://www.swimcloud.com/results/303731/event/6/?id=126597971#time126597971</t>
        </is>
      </c>
      <c r="AC2933" s="33" t="inlineStr">
        <is>
          <t>SwimCloud all-event v8 2026-10-09</t>
        </is>
      </c>
      <c r="AD2933" s="33" t="inlineStr">
        <is>
          <t>Grayson Coulter|2024-05-04|SCM|50|Fly|28.04|Waterhole 12/over 400s &amp; 50s|TIM|False</t>
        </is>
      </c>
      <c r="AE2933" s="53">
        <f>G2933+L2933/1000+ROW()/1000000000</f>
        <v/>
      </c>
      <c r="AF2933" s="35">
        <f>IF(C2933&lt;&gt;"Grayson Coulter","",COUNTIFS($C$5:$C$2991,"Grayson Coulter",$Q$5:$Q$2991,Q2933,$AE$5:$AE$2991,"&lt;="&amp;AE2933,$R$5:$R$2991,"&lt;"&amp;R2933))</f>
        <v/>
      </c>
      <c r="AG2933" s="35">
        <f>IF(OR(C2933&lt;&gt;"Grayson Coulter",G2933&lt;'00_Control'!$B$7),"",--(AF2933&lt;5))</f>
        <v/>
      </c>
      <c r="AH2933" s="35">
        <f>IF(OR(C2933&lt;&gt;"Grayson Coulter",G2933&lt;'00_Control'!$B$7),"",--(AF2933&lt;10))</f>
        <v/>
      </c>
      <c r="AI2933" s="35">
        <f>IF(AND(C2933="Grayson Coulter",G2933&gt;='00_Control'!$B$7),"YES","NO")</f>
        <v/>
      </c>
      <c r="AJ2933" s="33" t="inlineStr">
        <is>
          <t>OK</t>
        </is>
      </c>
    </row>
    <row r="2934">
      <c r="A2934" s="33" t="inlineStr">
        <is>
          <t>SM002930</t>
        </is>
      </c>
      <c r="B2934" s="33" t="inlineStr">
        <is>
          <t>SW001</t>
        </is>
      </c>
      <c r="C2934" s="33" t="inlineStr">
        <is>
          <t>Grayson Coulter</t>
        </is>
      </c>
      <c r="D2934" s="33" t="inlineStr">
        <is>
          <t>SwimCloud</t>
        </is>
      </c>
      <c r="E2934" s="33" t="inlineStr">
        <is>
          <t>3651023</t>
        </is>
      </c>
      <c r="F2934" s="33" t="inlineStr">
        <is>
          <t>125060348</t>
        </is>
      </c>
      <c r="G2934" s="51" t="n">
        <v>45074</v>
      </c>
      <c r="H2934" s="33" t="inlineStr">
        <is>
          <t>Waitakere Swimming Club Winter Meet 12U</t>
        </is>
      </c>
      <c r="I2934" s="33" t="inlineStr">
        <is>
          <t>302667</t>
        </is>
      </c>
      <c r="J2934" s="33" t="n"/>
      <c r="K2934" s="33" t="inlineStr">
        <is>
          <t>TIM</t>
        </is>
      </c>
      <c r="L2934" s="35">
        <f>IF(K2934="FIN",3,IF(OR(K2934="SEM",K2934="SEMI"),2,IF(OR(K2934="PRE",K2934="HEAT"),1,IF(V2934="YES",4,2))))</f>
        <v/>
      </c>
      <c r="M2934" s="33" t="inlineStr">
        <is>
          <t>SCM</t>
        </is>
      </c>
      <c r="N2934" s="33" t="n">
        <v>50</v>
      </c>
      <c r="O2934" s="33" t="inlineStr">
        <is>
          <t>Fly</t>
        </is>
      </c>
      <c r="P2934" s="33" t="inlineStr">
        <is>
          <t>50 Fly</t>
        </is>
      </c>
      <c r="Q2934" s="33" t="inlineStr">
        <is>
          <t>SCM_50_FLY</t>
        </is>
      </c>
      <c r="R2934" s="36" t="n">
        <v>30.05</v>
      </c>
      <c r="S2934" s="35">
        <f>IF(R2934="","",IF(R2934&gt;=60,INT(R2934/60)&amp;":"&amp;TEXT(MOD(R2934,60),"00.00"),TEXT(R2934,"0.00")))</f>
        <v/>
      </c>
      <c r="T2934" s="52">
        <f>IFERROR((G2934-INDEX('01_Swimmers'!$E$5:$E$22,MATCH(B2934,'01_Swimmers'!$A$5:$A$22,0)))/'00_Control'!$B$10,"")</f>
        <v/>
      </c>
      <c r="U2934" s="35">
        <f>IF(T2934="","",INT(T2934))</f>
        <v/>
      </c>
      <c r="V2934" s="33" t="inlineStr">
        <is>
          <t>NO</t>
        </is>
      </c>
      <c r="W2934" s="33" t="inlineStr">
        <is>
          <t>YES</t>
        </is>
      </c>
      <c r="X2934" s="33" t="inlineStr">
        <is>
          <t>NO</t>
        </is>
      </c>
      <c r="Y2934" s="33" t="n">
        <v>12</v>
      </c>
      <c r="Z2934" s="33" t="n">
        <v>4</v>
      </c>
      <c r="AA2934" s="33" t="inlineStr">
        <is>
          <t>1</t>
        </is>
      </c>
      <c r="AB2934" s="33" t="inlineStr">
        <is>
          <t>https://www.swimcloud.com/results/302667/event/8/?id=125060348#time125060348</t>
        </is>
      </c>
      <c r="AC2934" s="33" t="inlineStr">
        <is>
          <t>SwimCloud all-event v8 2026-10-09</t>
        </is>
      </c>
      <c r="AD2934" s="33" t="inlineStr">
        <is>
          <t>Grayson Coulter|2023-05-28|SCM|50|Fly|30.05|Waitakere Swimming Club Winter Meet 12U|TIM|False</t>
        </is>
      </c>
      <c r="AE2934" s="53">
        <f>G2934+L2934/1000+ROW()/1000000000</f>
        <v/>
      </c>
      <c r="AF2934" s="35">
        <f>IF(C2934&lt;&gt;"Grayson Coulter","",COUNTIFS($C$5:$C$2991,"Grayson Coulter",$Q$5:$Q$2991,Q2934,$AE$5:$AE$2991,"&lt;="&amp;AE2934,$R$5:$R$2991,"&lt;"&amp;R2934))</f>
        <v/>
      </c>
      <c r="AG2934" s="35">
        <f>IF(OR(C2934&lt;&gt;"Grayson Coulter",G2934&lt;'00_Control'!$B$7),"",--(AF2934&lt;5))</f>
        <v/>
      </c>
      <c r="AH2934" s="35">
        <f>IF(OR(C2934&lt;&gt;"Grayson Coulter",G2934&lt;'00_Control'!$B$7),"",--(AF2934&lt;10))</f>
        <v/>
      </c>
      <c r="AI2934" s="35">
        <f>IF(AND(C2934="Grayson Coulter",G2934&gt;='00_Control'!$B$7),"YES","NO")</f>
        <v/>
      </c>
      <c r="AJ2934" s="33" t="inlineStr">
        <is>
          <t>OK</t>
        </is>
      </c>
    </row>
    <row r="2935">
      <c r="A2935" s="33" t="inlineStr">
        <is>
          <t>SM002931</t>
        </is>
      </c>
      <c r="B2935" s="33" t="inlineStr">
        <is>
          <t>SW001</t>
        </is>
      </c>
      <c r="C2935" s="33" t="inlineStr">
        <is>
          <t>Grayson Coulter</t>
        </is>
      </c>
      <c r="D2935" s="33" t="inlineStr">
        <is>
          <t>SwimCloud</t>
        </is>
      </c>
      <c r="E2935" s="33" t="inlineStr">
        <is>
          <t>3651023</t>
        </is>
      </c>
      <c r="F2935" s="33" t="inlineStr">
        <is>
          <t>125055602</t>
        </is>
      </c>
      <c r="G2935" s="51" t="n">
        <v>45011</v>
      </c>
      <c r="H2935" s="33" t="inlineStr">
        <is>
          <t>2023 ASA Juniors</t>
        </is>
      </c>
      <c r="I2935" s="33" t="inlineStr">
        <is>
          <t>302652</t>
        </is>
      </c>
      <c r="J2935" s="33" t="n"/>
      <c r="K2935" s="33" t="inlineStr">
        <is>
          <t>TIM</t>
        </is>
      </c>
      <c r="L2935" s="35">
        <f>IF(K2935="FIN",3,IF(OR(K2935="SEM",K2935="SEMI"),2,IF(OR(K2935="PRE",K2935="HEAT"),1,IF(V2935="YES",4,2))))</f>
        <v/>
      </c>
      <c r="M2935" s="33" t="inlineStr">
        <is>
          <t>SCM</t>
        </is>
      </c>
      <c r="N2935" s="33" t="n">
        <v>50</v>
      </c>
      <c r="O2935" s="33" t="inlineStr">
        <is>
          <t>Fly</t>
        </is>
      </c>
      <c r="P2935" s="33" t="inlineStr">
        <is>
          <t>50 Fly</t>
        </is>
      </c>
      <c r="Q2935" s="33" t="inlineStr">
        <is>
          <t>SCM_50_FLY</t>
        </is>
      </c>
      <c r="R2935" s="36" t="n">
        <v>31.11</v>
      </c>
      <c r="S2935" s="35">
        <f>IF(R2935="","",IF(R2935&gt;=60,INT(R2935/60)&amp;":"&amp;TEXT(MOD(R2935,60),"00.00"),TEXT(R2935,"0.00")))</f>
        <v/>
      </c>
      <c r="T2935" s="52">
        <f>IFERROR((G2935-INDEX('01_Swimmers'!$E$5:$E$22,MATCH(B2935,'01_Swimmers'!$A$5:$A$22,0)))/'00_Control'!$B$10,"")</f>
        <v/>
      </c>
      <c r="U2935" s="35">
        <f>IF(T2935="","",INT(T2935))</f>
        <v/>
      </c>
      <c r="V2935" s="33" t="inlineStr">
        <is>
          <t>NO</t>
        </is>
      </c>
      <c r="W2935" s="33" t="inlineStr">
        <is>
          <t>YES</t>
        </is>
      </c>
      <c r="X2935" s="33" t="inlineStr">
        <is>
          <t>NO</t>
        </is>
      </c>
      <c r="Y2935" s="33" t="n">
        <v>15</v>
      </c>
      <c r="Z2935" s="33" t="n">
        <v>6</v>
      </c>
      <c r="AA2935" s="33" t="inlineStr">
        <is>
          <t>1</t>
        </is>
      </c>
      <c r="AB2935" s="33" t="inlineStr">
        <is>
          <t>https://www.swimcloud.com/results/302652/event/20/?id=125055602#time125055602</t>
        </is>
      </c>
      <c r="AC2935" s="33" t="inlineStr">
        <is>
          <t>SwimCloud all-event v8 2026-10-09</t>
        </is>
      </c>
      <c r="AD2935" s="33" t="inlineStr">
        <is>
          <t>Grayson Coulter|2023-03-26|SCM|50|Fly|31.11|2023 ASA Juniors|TIM|False</t>
        </is>
      </c>
      <c r="AE2935" s="53">
        <f>G2935+L2935/1000+ROW()/1000000000</f>
        <v/>
      </c>
      <c r="AF2935" s="35">
        <f>IF(C2935&lt;&gt;"Grayson Coulter","",COUNTIFS($C$5:$C$2991,"Grayson Coulter",$Q$5:$Q$2991,Q2935,$AE$5:$AE$2991,"&lt;="&amp;AE2935,$R$5:$R$2991,"&lt;"&amp;R2935))</f>
        <v/>
      </c>
      <c r="AG2935" s="35">
        <f>IF(OR(C2935&lt;&gt;"Grayson Coulter",G2935&lt;'00_Control'!$B$7),"",--(AF2935&lt;5))</f>
        <v/>
      </c>
      <c r="AH2935" s="35">
        <f>IF(OR(C2935&lt;&gt;"Grayson Coulter",G2935&lt;'00_Control'!$B$7),"",--(AF2935&lt;10))</f>
        <v/>
      </c>
      <c r="AI2935" s="35">
        <f>IF(AND(C2935="Grayson Coulter",G2935&gt;='00_Control'!$B$7),"YES","NO")</f>
        <v/>
      </c>
      <c r="AJ2935" s="33" t="inlineStr">
        <is>
          <t>OK</t>
        </is>
      </c>
    </row>
    <row r="2936">
      <c r="A2936" s="33" t="inlineStr">
        <is>
          <t>SM002932</t>
        </is>
      </c>
      <c r="B2936" s="33" t="inlineStr">
        <is>
          <t>SW001</t>
        </is>
      </c>
      <c r="C2936" s="33" t="inlineStr">
        <is>
          <t>Grayson Coulter</t>
        </is>
      </c>
      <c r="D2936" s="33" t="inlineStr">
        <is>
          <t>SwimCloud</t>
        </is>
      </c>
      <c r="E2936" s="33" t="inlineStr">
        <is>
          <t>3651023</t>
        </is>
      </c>
      <c r="F2936" s="33" t="inlineStr">
        <is>
          <t>185510996</t>
        </is>
      </c>
      <c r="G2936" s="51" t="n">
        <v>46220</v>
      </c>
      <c r="H2936" s="33" t="inlineStr">
        <is>
          <t>2026 Golden Homes Swimfest</t>
        </is>
      </c>
      <c r="I2936" s="33" t="inlineStr">
        <is>
          <t>391961</t>
        </is>
      </c>
      <c r="J2936" s="33" t="n"/>
      <c r="K2936" s="33" t="inlineStr">
        <is>
          <t>TIM</t>
        </is>
      </c>
      <c r="L2936" s="35">
        <f>IF(K2936="FIN",3,IF(OR(K2936="SEM",K2936="SEMI"),2,IF(OR(K2936="PRE",K2936="HEAT"),1,IF(V2936="YES",4,2))))</f>
        <v/>
      </c>
      <c r="M2936" s="33" t="inlineStr">
        <is>
          <t>LCM</t>
        </is>
      </c>
      <c r="N2936" s="33" t="n">
        <v>50</v>
      </c>
      <c r="O2936" s="33" t="inlineStr">
        <is>
          <t>Free</t>
        </is>
      </c>
      <c r="P2936" s="33" t="inlineStr">
        <is>
          <t>50 Free</t>
        </is>
      </c>
      <c r="Q2936" s="33" t="inlineStr">
        <is>
          <t>LCM_50_FREE</t>
        </is>
      </c>
      <c r="R2936" s="36" t="n">
        <v>24.5</v>
      </c>
      <c r="S2936" s="35">
        <f>IF(R2936="","",IF(R2936&gt;=60,INT(R2936/60)&amp;":"&amp;TEXT(MOD(R2936,60),"00.00"),TEXT(R2936,"0.00")))</f>
        <v/>
      </c>
      <c r="T2936" s="52">
        <f>IFERROR((G2936-INDEX('01_Swimmers'!$E$5:$E$22,MATCH(B2936,'01_Swimmers'!$A$5:$A$22,0)))/'00_Control'!$B$10,"")</f>
        <v/>
      </c>
      <c r="U2936" s="35">
        <f>IF(T2936="","",INT(T2936))</f>
        <v/>
      </c>
      <c r="V2936" s="33" t="inlineStr">
        <is>
          <t>NO</t>
        </is>
      </c>
      <c r="W2936" s="33" t="inlineStr">
        <is>
          <t>YES</t>
        </is>
      </c>
      <c r="X2936" s="33" t="inlineStr">
        <is>
          <t>NO</t>
        </is>
      </c>
      <c r="Y2936" s="33" t="n">
        <v>11</v>
      </c>
      <c r="Z2936" s="33" t="n">
        <v>2</v>
      </c>
      <c r="AA2936" s="33" t="inlineStr">
        <is>
          <t>1</t>
        </is>
      </c>
      <c r="AB2936" s="33" t="inlineStr">
        <is>
          <t>https://www.swimcloud.com/results/391961/event/16/?id=185510996#time185510996</t>
        </is>
      </c>
      <c r="AC2936" s="33" t="inlineStr">
        <is>
          <t>SwimCloud all-event v8 2026-10-09</t>
        </is>
      </c>
      <c r="AD2936" s="33" t="inlineStr">
        <is>
          <t>Grayson Coulter|2026-07-17|LCM|50|Free|24.5|2026 Golden Homes Swimfest|TIM|False</t>
        </is>
      </c>
      <c r="AE2936" s="53">
        <f>G2936+L2936/1000+ROW()/1000000000</f>
        <v/>
      </c>
      <c r="AF2936" s="35">
        <f>IF(C2936&lt;&gt;"Grayson Coulter","",COUNTIFS($C$5:$C$2991,"Grayson Coulter",$Q$5:$Q$2991,Q2936,$AE$5:$AE$2991,"&lt;="&amp;AE2936,$R$5:$R$2991,"&lt;"&amp;R2936))</f>
        <v/>
      </c>
      <c r="AG2936" s="35">
        <f>IF(OR(C2936&lt;&gt;"Grayson Coulter",G2936&lt;'00_Control'!$B$7),"",--(AF2936&lt;5))</f>
        <v/>
      </c>
      <c r="AH2936" s="35">
        <f>IF(OR(C2936&lt;&gt;"Grayson Coulter",G2936&lt;'00_Control'!$B$7),"",--(AF2936&lt;10))</f>
        <v/>
      </c>
      <c r="AI2936" s="35">
        <f>IF(AND(C2936="Grayson Coulter",G2936&gt;='00_Control'!$B$7),"YES","NO")</f>
        <v/>
      </c>
      <c r="AJ2936" s="33" t="inlineStr">
        <is>
          <t>OK</t>
        </is>
      </c>
    </row>
    <row r="2937">
      <c r="A2937" s="33" t="inlineStr">
        <is>
          <t>SM002933</t>
        </is>
      </c>
      <c r="B2937" s="33" t="inlineStr">
        <is>
          <t>SW001</t>
        </is>
      </c>
      <c r="C2937" s="33" t="inlineStr">
        <is>
          <t>Grayson Coulter</t>
        </is>
      </c>
      <c r="D2937" s="33" t="inlineStr">
        <is>
          <t>SwimCloud</t>
        </is>
      </c>
      <c r="E2937" s="33" t="inlineStr">
        <is>
          <t>3651023</t>
        </is>
      </c>
      <c r="F2937" s="33" t="inlineStr">
        <is>
          <t>176427248</t>
        </is>
      </c>
      <c r="G2937" s="51" t="n">
        <v>46121</v>
      </c>
      <c r="H2937" s="33" t="inlineStr">
        <is>
          <t>Apollo Projects New Zealand Age Group Championships</t>
        </is>
      </c>
      <c r="I2937" s="33" t="inlineStr">
        <is>
          <t>371122</t>
        </is>
      </c>
      <c r="J2937" s="33" t="n"/>
      <c r="K2937" s="33" t="inlineStr">
        <is>
          <t>FIN</t>
        </is>
      </c>
      <c r="L2937" s="35">
        <f>IF(K2937="FIN",3,IF(OR(K2937="SEM",K2937="SEMI"),2,IF(OR(K2937="PRE",K2937="HEAT"),1,IF(V2937="YES",4,2))))</f>
        <v/>
      </c>
      <c r="M2937" s="33" t="inlineStr">
        <is>
          <t>LCM</t>
        </is>
      </c>
      <c r="N2937" s="33" t="n">
        <v>50</v>
      </c>
      <c r="O2937" s="33" t="inlineStr">
        <is>
          <t>Free</t>
        </is>
      </c>
      <c r="P2937" s="33" t="inlineStr">
        <is>
          <t>50 Free</t>
        </is>
      </c>
      <c r="Q2937" s="33" t="inlineStr">
        <is>
          <t>LCM_50_FREE</t>
        </is>
      </c>
      <c r="R2937" s="36" t="n">
        <v>24.89</v>
      </c>
      <c r="S2937" s="35">
        <f>IF(R2937="","",IF(R2937&gt;=60,INT(R2937/60)&amp;":"&amp;TEXT(MOD(R2937,60),"00.00"),TEXT(R2937,"0.00")))</f>
        <v/>
      </c>
      <c r="T2937" s="52">
        <f>IFERROR((G2937-INDEX('01_Swimmers'!$E$5:$E$22,MATCH(B2937,'01_Swimmers'!$A$5:$A$22,0)))/'00_Control'!$B$10,"")</f>
        <v/>
      </c>
      <c r="U2937" s="35">
        <f>IF(T2937="","",INT(T2937))</f>
        <v/>
      </c>
      <c r="V2937" s="33" t="inlineStr">
        <is>
          <t>NO</t>
        </is>
      </c>
      <c r="W2937" s="33" t="inlineStr">
        <is>
          <t>YES</t>
        </is>
      </c>
      <c r="X2937" s="33" t="inlineStr">
        <is>
          <t>NO</t>
        </is>
      </c>
      <c r="Y2937" s="33" t="n"/>
      <c r="Z2937" s="33" t="n"/>
      <c r="AA2937" s="33" t="inlineStr"/>
      <c r="AB2937" s="33" t="inlineStr">
        <is>
          <t>https://www.swimcloud.com/results/371122/event/12/?id=176423604#time176423604</t>
        </is>
      </c>
      <c r="AC2937" s="33" t="inlineStr">
        <is>
          <t>SwimCloud all-event v8 2026-10-09</t>
        </is>
      </c>
      <c r="AD2937" s="33" t="inlineStr">
        <is>
          <t>Grayson Coulter|2026-04-09|LCM|50|Free|24.89|Apollo Projects New Zealand Age Group Championships|FIN|False</t>
        </is>
      </c>
      <c r="AE2937" s="53">
        <f>G2937+L2937/1000+ROW()/1000000000</f>
        <v/>
      </c>
      <c r="AF2937" s="35">
        <f>IF(C2937&lt;&gt;"Grayson Coulter","",COUNTIFS($C$5:$C$2991,"Grayson Coulter",$Q$5:$Q$2991,Q2937,$AE$5:$AE$2991,"&lt;="&amp;AE2937,$R$5:$R$2991,"&lt;"&amp;R2937))</f>
        <v/>
      </c>
      <c r="AG2937" s="35">
        <f>IF(OR(C2937&lt;&gt;"Grayson Coulter",G2937&lt;'00_Control'!$B$7),"",--(AF2937&lt;5))</f>
        <v/>
      </c>
      <c r="AH2937" s="35">
        <f>IF(OR(C2937&lt;&gt;"Grayson Coulter",G2937&lt;'00_Control'!$B$7),"",--(AF2937&lt;10))</f>
        <v/>
      </c>
      <c r="AI2937" s="35">
        <f>IF(AND(C2937="Grayson Coulter",G2937&gt;='00_Control'!$B$7),"YES","NO")</f>
        <v/>
      </c>
      <c r="AJ2937" s="33" t="inlineStr">
        <is>
          <t>OK</t>
        </is>
      </c>
    </row>
    <row r="2938">
      <c r="A2938" s="33" t="inlineStr">
        <is>
          <t>SM002934</t>
        </is>
      </c>
      <c r="B2938" s="33" t="inlineStr">
        <is>
          <t>SW001</t>
        </is>
      </c>
      <c r="C2938" s="33" t="inlineStr">
        <is>
          <t>Grayson Coulter</t>
        </is>
      </c>
      <c r="D2938" s="33" t="inlineStr">
        <is>
          <t>SwimCloud</t>
        </is>
      </c>
      <c r="E2938" s="33" t="inlineStr">
        <is>
          <t>3651023</t>
        </is>
      </c>
      <c r="F2938" s="33" t="inlineStr">
        <is>
          <t>176423602</t>
        </is>
      </c>
      <c r="G2938" s="51" t="n">
        <v>46120</v>
      </c>
      <c r="H2938" s="33" t="inlineStr">
        <is>
          <t>Apollo Projects New Zealand Age Group Championships</t>
        </is>
      </c>
      <c r="I2938" s="33" t="inlineStr">
        <is>
          <t>371122</t>
        </is>
      </c>
      <c r="J2938" s="33" t="n"/>
      <c r="K2938" s="33" t="inlineStr">
        <is>
          <t>FIN</t>
        </is>
      </c>
      <c r="L2938" s="35">
        <f>IF(K2938="FIN",3,IF(OR(K2938="SEM",K2938="SEMI"),2,IF(OR(K2938="PRE",K2938="HEAT"),1,IF(V2938="YES",4,2))))</f>
        <v/>
      </c>
      <c r="M2938" s="33" t="inlineStr">
        <is>
          <t>LCM</t>
        </is>
      </c>
      <c r="N2938" s="33" t="n">
        <v>50</v>
      </c>
      <c r="O2938" s="33" t="inlineStr">
        <is>
          <t>Free</t>
        </is>
      </c>
      <c r="P2938" s="33" t="inlineStr">
        <is>
          <t>50 Free</t>
        </is>
      </c>
      <c r="Q2938" s="33" t="inlineStr">
        <is>
          <t>LCM_50_FREE</t>
        </is>
      </c>
      <c r="R2938" s="36" t="n">
        <v>24.12</v>
      </c>
      <c r="S2938" s="35">
        <f>IF(R2938="","",IF(R2938&gt;=60,INT(R2938/60)&amp;":"&amp;TEXT(MOD(R2938,60),"00.00"),TEXT(R2938,"0.00")))</f>
        <v/>
      </c>
      <c r="T2938" s="52">
        <f>IFERROR((G2938-INDEX('01_Swimmers'!$E$5:$E$22,MATCH(B2938,'01_Swimmers'!$A$5:$A$22,0)))/'00_Control'!$B$10,"")</f>
        <v/>
      </c>
      <c r="U2938" s="35">
        <f>IF(T2938="","",INT(T2938))</f>
        <v/>
      </c>
      <c r="V2938" s="33" t="inlineStr">
        <is>
          <t>NO</t>
        </is>
      </c>
      <c r="W2938" s="33" t="inlineStr">
        <is>
          <t>YES</t>
        </is>
      </c>
      <c r="X2938" s="33" t="inlineStr">
        <is>
          <t>NO</t>
        </is>
      </c>
      <c r="Y2938" s="33" t="n"/>
      <c r="Z2938" s="33" t="n"/>
      <c r="AA2938" s="33" t="inlineStr">
        <is>
          <t>1</t>
        </is>
      </c>
      <c r="AB2938" s="33" t="inlineStr">
        <is>
          <t>https://www.swimcloud.com/results/371122/event/4/?id=176423602#time176423602</t>
        </is>
      </c>
      <c r="AC2938" s="33" t="inlineStr">
        <is>
          <t>SwimCloud all-event v8 2026-10-09</t>
        </is>
      </c>
      <c r="AD2938" s="33" t="inlineStr">
        <is>
          <t>Grayson Coulter|2026-04-08|LCM|50|Free|24.12|Apollo Projects New Zealand Age Group Championships|FIN|False</t>
        </is>
      </c>
      <c r="AE2938" s="53">
        <f>G2938+L2938/1000+ROW()/1000000000</f>
        <v/>
      </c>
      <c r="AF2938" s="35">
        <f>IF(C2938&lt;&gt;"Grayson Coulter","",COUNTIFS($C$5:$C$2991,"Grayson Coulter",$Q$5:$Q$2991,Q2938,$AE$5:$AE$2991,"&lt;="&amp;AE2938,$R$5:$R$2991,"&lt;"&amp;R2938))</f>
        <v/>
      </c>
      <c r="AG2938" s="35">
        <f>IF(OR(C2938&lt;&gt;"Grayson Coulter",G2938&lt;'00_Control'!$B$7),"",--(AF2938&lt;5))</f>
        <v/>
      </c>
      <c r="AH2938" s="35">
        <f>IF(OR(C2938&lt;&gt;"Grayson Coulter",G2938&lt;'00_Control'!$B$7),"",--(AF2938&lt;10))</f>
        <v/>
      </c>
      <c r="AI2938" s="35">
        <f>IF(AND(C2938="Grayson Coulter",G2938&gt;='00_Control'!$B$7),"YES","NO")</f>
        <v/>
      </c>
      <c r="AJ2938" s="33" t="inlineStr">
        <is>
          <t>OK</t>
        </is>
      </c>
    </row>
    <row r="2939">
      <c r="A2939" s="33" t="inlineStr">
        <is>
          <t>SM002935</t>
        </is>
      </c>
      <c r="B2939" s="33" t="inlineStr">
        <is>
          <t>SW001</t>
        </is>
      </c>
      <c r="C2939" s="33" t="inlineStr">
        <is>
          <t>Grayson Coulter</t>
        </is>
      </c>
      <c r="D2939" s="33" t="inlineStr">
        <is>
          <t>SwimCloud</t>
        </is>
      </c>
      <c r="E2939" s="33" t="inlineStr">
        <is>
          <t>3651023</t>
        </is>
      </c>
      <c r="F2939" s="33" t="inlineStr">
        <is>
          <t>176423598</t>
        </is>
      </c>
      <c r="G2939" s="51" t="n">
        <v>46120</v>
      </c>
      <c r="H2939" s="33" t="inlineStr">
        <is>
          <t>Apollo Projects New Zealand Age Group Championships</t>
        </is>
      </c>
      <c r="I2939" s="33" t="inlineStr">
        <is>
          <t>371122</t>
        </is>
      </c>
      <c r="J2939" s="33" t="n"/>
      <c r="K2939" s="33" t="inlineStr">
        <is>
          <t>PRE</t>
        </is>
      </c>
      <c r="L2939" s="35">
        <f>IF(K2939="FIN",3,IF(OR(K2939="SEM",K2939="SEMI"),2,IF(OR(K2939="PRE",K2939="HEAT"),1,IF(V2939="YES",4,2))))</f>
        <v/>
      </c>
      <c r="M2939" s="33" t="inlineStr">
        <is>
          <t>LCM</t>
        </is>
      </c>
      <c r="N2939" s="33" t="n">
        <v>50</v>
      </c>
      <c r="O2939" s="33" t="inlineStr">
        <is>
          <t>Free</t>
        </is>
      </c>
      <c r="P2939" s="33" t="inlineStr">
        <is>
          <t>50 Free</t>
        </is>
      </c>
      <c r="Q2939" s="33" t="inlineStr">
        <is>
          <t>LCM_50_FREE</t>
        </is>
      </c>
      <c r="R2939" s="36" t="n">
        <v>24.34</v>
      </c>
      <c r="S2939" s="35">
        <f>IF(R2939="","",IF(R2939&gt;=60,INT(R2939/60)&amp;":"&amp;TEXT(MOD(R2939,60),"00.00"),TEXT(R2939,"0.00")))</f>
        <v/>
      </c>
      <c r="T2939" s="52">
        <f>IFERROR((G2939-INDEX('01_Swimmers'!$E$5:$E$22,MATCH(B2939,'01_Swimmers'!$A$5:$A$22,0)))/'00_Control'!$B$10,"")</f>
        <v/>
      </c>
      <c r="U2939" s="35">
        <f>IF(T2939="","",INT(T2939))</f>
        <v/>
      </c>
      <c r="V2939" s="33" t="inlineStr">
        <is>
          <t>NO</t>
        </is>
      </c>
      <c r="W2939" s="33" t="inlineStr">
        <is>
          <t>YES</t>
        </is>
      </c>
      <c r="X2939" s="33" t="inlineStr">
        <is>
          <t>NO</t>
        </is>
      </c>
      <c r="Y2939" s="33" t="n"/>
      <c r="Z2939" s="33" t="n"/>
      <c r="AA2939" s="33" t="inlineStr">
        <is>
          <t>1</t>
        </is>
      </c>
      <c r="AB2939" s="33" t="inlineStr">
        <is>
          <t>https://www.swimcloud.com/results/371122/event/4/?id=176423598#time176423598</t>
        </is>
      </c>
      <c r="AC2939" s="33" t="inlineStr">
        <is>
          <t>SwimCloud all-event v8 2026-10-09</t>
        </is>
      </c>
      <c r="AD2939" s="33" t="inlineStr">
        <is>
          <t>Grayson Coulter|2026-04-08|LCM|50|Free|24.34|Apollo Projects New Zealand Age Group Championships|PRE|False</t>
        </is>
      </c>
      <c r="AE2939" s="53">
        <f>G2939+L2939/1000+ROW()/1000000000</f>
        <v/>
      </c>
      <c r="AF2939" s="35">
        <f>IF(C2939&lt;&gt;"Grayson Coulter","",COUNTIFS($C$5:$C$2991,"Grayson Coulter",$Q$5:$Q$2991,Q2939,$AE$5:$AE$2991,"&lt;="&amp;AE2939,$R$5:$R$2991,"&lt;"&amp;R2939))</f>
        <v/>
      </c>
      <c r="AG2939" s="35">
        <f>IF(OR(C2939&lt;&gt;"Grayson Coulter",G2939&lt;'00_Control'!$B$7),"",--(AF2939&lt;5))</f>
        <v/>
      </c>
      <c r="AH2939" s="35">
        <f>IF(OR(C2939&lt;&gt;"Grayson Coulter",G2939&lt;'00_Control'!$B$7),"",--(AF2939&lt;10))</f>
        <v/>
      </c>
      <c r="AI2939" s="35">
        <f>IF(AND(C2939="Grayson Coulter",G2939&gt;='00_Control'!$B$7),"YES","NO")</f>
        <v/>
      </c>
      <c r="AJ2939" s="33" t="inlineStr">
        <is>
          <t>OK</t>
        </is>
      </c>
    </row>
    <row r="2940">
      <c r="A2940" s="33" t="inlineStr">
        <is>
          <t>SM002936</t>
        </is>
      </c>
      <c r="B2940" s="33" t="inlineStr">
        <is>
          <t>SW001</t>
        </is>
      </c>
      <c r="C2940" s="33" t="inlineStr">
        <is>
          <t>Grayson Coulter</t>
        </is>
      </c>
      <c r="D2940" s="33" t="inlineStr">
        <is>
          <t>SwimCloud</t>
        </is>
      </c>
      <c r="E2940" s="33" t="inlineStr">
        <is>
          <t>3651023</t>
        </is>
      </c>
      <c r="F2940" s="33" t="inlineStr">
        <is>
          <t>175680645</t>
        </is>
      </c>
      <c r="G2940" s="51" t="n">
        <v>46095</v>
      </c>
      <c r="H2940" s="33" t="inlineStr">
        <is>
          <t>ASA Age Groups &amp; Open Championships</t>
        </is>
      </c>
      <c r="I2940" s="33" t="inlineStr">
        <is>
          <t>372749</t>
        </is>
      </c>
      <c r="J2940" s="33" t="n"/>
      <c r="K2940" s="33" t="inlineStr">
        <is>
          <t>FIN</t>
        </is>
      </c>
      <c r="L2940" s="35">
        <f>IF(K2940="FIN",3,IF(OR(K2940="SEM",K2940="SEMI"),2,IF(OR(K2940="PRE",K2940="HEAT"),1,IF(V2940="YES",4,2))))</f>
        <v/>
      </c>
      <c r="M2940" s="33" t="inlineStr">
        <is>
          <t>LCM</t>
        </is>
      </c>
      <c r="N2940" s="33" t="n">
        <v>50</v>
      </c>
      <c r="O2940" s="33" t="inlineStr">
        <is>
          <t>Free</t>
        </is>
      </c>
      <c r="P2940" s="33" t="inlineStr">
        <is>
          <t>50 Free</t>
        </is>
      </c>
      <c r="Q2940" s="33" t="inlineStr">
        <is>
          <t>LCM_50_FREE</t>
        </is>
      </c>
      <c r="R2940" s="36" t="n">
        <v>25.36</v>
      </c>
      <c r="S2940" s="35">
        <f>IF(R2940="","",IF(R2940&gt;=60,INT(R2940/60)&amp;":"&amp;TEXT(MOD(R2940,60),"00.00"),TEXT(R2940,"0.00")))</f>
        <v/>
      </c>
      <c r="T2940" s="52">
        <f>IFERROR((G2940-INDEX('01_Swimmers'!$E$5:$E$22,MATCH(B2940,'01_Swimmers'!$A$5:$A$22,0)))/'00_Control'!$B$10,"")</f>
        <v/>
      </c>
      <c r="U2940" s="35">
        <f>IF(T2940="","",INT(T2940))</f>
        <v/>
      </c>
      <c r="V2940" s="33" t="inlineStr">
        <is>
          <t>NO</t>
        </is>
      </c>
      <c r="W2940" s="33" t="inlineStr">
        <is>
          <t>YES</t>
        </is>
      </c>
      <c r="X2940" s="33" t="inlineStr">
        <is>
          <t>NO</t>
        </is>
      </c>
      <c r="Y2940" s="33" t="n">
        <v>2</v>
      </c>
      <c r="Z2940" s="33" t="n">
        <v>4</v>
      </c>
      <c r="AA2940" s="33" t="inlineStr"/>
      <c r="AB2940" s="33" t="inlineStr">
        <is>
          <t>https://www.swimcloud.com/results/372749/event/14/?id=175678154#time175678154</t>
        </is>
      </c>
      <c r="AC2940" s="33" t="inlineStr">
        <is>
          <t>SwimCloud all-event v8 2026-10-09</t>
        </is>
      </c>
      <c r="AD2940" s="33" t="inlineStr">
        <is>
          <t>Grayson Coulter|2026-03-14|LCM|50|Free|25.36|ASA Age Groups &amp; Open Championships|FIN|False</t>
        </is>
      </c>
      <c r="AE2940" s="53">
        <f>G2940+L2940/1000+ROW()/1000000000</f>
        <v/>
      </c>
      <c r="AF2940" s="35">
        <f>IF(C2940&lt;&gt;"Grayson Coulter","",COUNTIFS($C$5:$C$2991,"Grayson Coulter",$Q$5:$Q$2991,Q2940,$AE$5:$AE$2991,"&lt;="&amp;AE2940,$R$5:$R$2991,"&lt;"&amp;R2940))</f>
        <v/>
      </c>
      <c r="AG2940" s="35">
        <f>IF(OR(C2940&lt;&gt;"Grayson Coulter",G2940&lt;'00_Control'!$B$7),"",--(AF2940&lt;5))</f>
        <v/>
      </c>
      <c r="AH2940" s="35">
        <f>IF(OR(C2940&lt;&gt;"Grayson Coulter",G2940&lt;'00_Control'!$B$7),"",--(AF2940&lt;10))</f>
        <v/>
      </c>
      <c r="AI2940" s="35">
        <f>IF(AND(C2940="Grayson Coulter",G2940&gt;='00_Control'!$B$7),"YES","NO")</f>
        <v/>
      </c>
      <c r="AJ2940" s="33" t="inlineStr">
        <is>
          <t>OK</t>
        </is>
      </c>
    </row>
    <row r="2941">
      <c r="A2941" s="33" t="inlineStr">
        <is>
          <t>SM002937</t>
        </is>
      </c>
      <c r="B2941" s="33" t="inlineStr">
        <is>
          <t>SW001</t>
        </is>
      </c>
      <c r="C2941" s="33" t="inlineStr">
        <is>
          <t>Grayson Coulter</t>
        </is>
      </c>
      <c r="D2941" s="33" t="inlineStr">
        <is>
          <t>SwimCloud</t>
        </is>
      </c>
      <c r="E2941" s="33" t="inlineStr">
        <is>
          <t>3651023</t>
        </is>
      </c>
      <c r="F2941" s="33" t="inlineStr">
        <is>
          <t>175680647</t>
        </is>
      </c>
      <c r="G2941" s="51" t="n">
        <v>46095</v>
      </c>
      <c r="H2941" s="33" t="inlineStr">
        <is>
          <t>ASA Age Groups &amp; Open Championships</t>
        </is>
      </c>
      <c r="I2941" s="33" t="inlineStr">
        <is>
          <t>372749</t>
        </is>
      </c>
      <c r="J2941" s="33" t="n"/>
      <c r="K2941" s="33" t="inlineStr">
        <is>
          <t>PRE</t>
        </is>
      </c>
      <c r="L2941" s="35">
        <f>IF(K2941="FIN",3,IF(OR(K2941="SEM",K2941="SEMI"),2,IF(OR(K2941="PRE",K2941="HEAT"),1,IF(V2941="YES",4,2))))</f>
        <v/>
      </c>
      <c r="M2941" s="33" t="inlineStr">
        <is>
          <t>LCM</t>
        </is>
      </c>
      <c r="N2941" s="33" t="n">
        <v>50</v>
      </c>
      <c r="O2941" s="33" t="inlineStr">
        <is>
          <t>Free</t>
        </is>
      </c>
      <c r="P2941" s="33" t="inlineStr">
        <is>
          <t>50 Free</t>
        </is>
      </c>
      <c r="Q2941" s="33" t="inlineStr">
        <is>
          <t>LCM_50_FREE</t>
        </is>
      </c>
      <c r="R2941" s="36" t="n">
        <v>25.58</v>
      </c>
      <c r="S2941" s="35">
        <f>IF(R2941="","",IF(R2941&gt;=60,INT(R2941/60)&amp;":"&amp;TEXT(MOD(R2941,60),"00.00"),TEXT(R2941,"0.00")))</f>
        <v/>
      </c>
      <c r="T2941" s="52">
        <f>IFERROR((G2941-INDEX('01_Swimmers'!$E$5:$E$22,MATCH(B2941,'01_Swimmers'!$A$5:$A$22,0)))/'00_Control'!$B$10,"")</f>
        <v/>
      </c>
      <c r="U2941" s="35">
        <f>IF(T2941="","",INT(T2941))</f>
        <v/>
      </c>
      <c r="V2941" s="33" t="inlineStr">
        <is>
          <t>NO</t>
        </is>
      </c>
      <c r="W2941" s="33" t="inlineStr">
        <is>
          <t>YES</t>
        </is>
      </c>
      <c r="X2941" s="33" t="inlineStr">
        <is>
          <t>NO</t>
        </is>
      </c>
      <c r="Y2941" s="33" t="n">
        <v>14</v>
      </c>
      <c r="Z2941" s="33" t="n">
        <v>3</v>
      </c>
      <c r="AA2941" s="33" t="inlineStr"/>
      <c r="AB2941" s="33" t="inlineStr">
        <is>
          <t>https://www.swimcloud.com/results/372749/event/14/?id=175678153#time175678153</t>
        </is>
      </c>
      <c r="AC2941" s="33" t="inlineStr">
        <is>
          <t>SwimCloud all-event v8 2026-10-09</t>
        </is>
      </c>
      <c r="AD2941" s="33" t="inlineStr">
        <is>
          <t>Grayson Coulter|2026-03-14|LCM|50|Free|25.58|ASA Age Groups &amp; Open Championships|PRE|False</t>
        </is>
      </c>
      <c r="AE2941" s="53">
        <f>G2941+L2941/1000+ROW()/1000000000</f>
        <v/>
      </c>
      <c r="AF2941" s="35">
        <f>IF(C2941&lt;&gt;"Grayson Coulter","",COUNTIFS($C$5:$C$2991,"Grayson Coulter",$Q$5:$Q$2991,Q2941,$AE$5:$AE$2991,"&lt;="&amp;AE2941,$R$5:$R$2991,"&lt;"&amp;R2941))</f>
        <v/>
      </c>
      <c r="AG2941" s="35">
        <f>IF(OR(C2941&lt;&gt;"Grayson Coulter",G2941&lt;'00_Control'!$B$7),"",--(AF2941&lt;5))</f>
        <v/>
      </c>
      <c r="AH2941" s="35">
        <f>IF(OR(C2941&lt;&gt;"Grayson Coulter",G2941&lt;'00_Control'!$B$7),"",--(AF2941&lt;10))</f>
        <v/>
      </c>
      <c r="AI2941" s="35">
        <f>IF(AND(C2941="Grayson Coulter",G2941&gt;='00_Control'!$B$7),"YES","NO")</f>
        <v/>
      </c>
      <c r="AJ2941" s="33" t="inlineStr">
        <is>
          <t>OK</t>
        </is>
      </c>
    </row>
    <row r="2942">
      <c r="A2942" s="33" t="inlineStr">
        <is>
          <t>SM002938</t>
        </is>
      </c>
      <c r="B2942" s="33" t="inlineStr">
        <is>
          <t>SW001</t>
        </is>
      </c>
      <c r="C2942" s="33" t="inlineStr">
        <is>
          <t>Grayson Coulter</t>
        </is>
      </c>
      <c r="D2942" s="33" t="inlineStr">
        <is>
          <t>SwimCloud</t>
        </is>
      </c>
      <c r="E2942" s="33" t="inlineStr">
        <is>
          <t>3651023</t>
        </is>
      </c>
      <c r="F2942" s="33" t="inlineStr">
        <is>
          <t>166761539</t>
        </is>
      </c>
      <c r="G2942" s="51" t="n">
        <v>46007</v>
      </c>
      <c r="H2942" s="33" t="inlineStr">
        <is>
          <t>Queensland Championships</t>
        </is>
      </c>
      <c r="I2942" s="33" t="inlineStr">
        <is>
          <t>367863</t>
        </is>
      </c>
      <c r="J2942" s="33" t="n"/>
      <c r="K2942" s="33" t="inlineStr">
        <is>
          <t>FIN</t>
        </is>
      </c>
      <c r="L2942" s="35">
        <f>IF(K2942="FIN",3,IF(OR(K2942="SEM",K2942="SEMI"),2,IF(OR(K2942="PRE",K2942="HEAT"),1,IF(V2942="YES",4,2))))</f>
        <v/>
      </c>
      <c r="M2942" s="33" t="inlineStr">
        <is>
          <t>LCM</t>
        </is>
      </c>
      <c r="N2942" s="33" t="n">
        <v>50</v>
      </c>
      <c r="O2942" s="33" t="inlineStr">
        <is>
          <t>Free</t>
        </is>
      </c>
      <c r="P2942" s="33" t="inlineStr">
        <is>
          <t>50 Free</t>
        </is>
      </c>
      <c r="Q2942" s="33" t="inlineStr">
        <is>
          <t>LCM_50_FREE</t>
        </is>
      </c>
      <c r="R2942" s="36" t="n">
        <v>24.18</v>
      </c>
      <c r="S2942" s="35">
        <f>IF(R2942="","",IF(R2942&gt;=60,INT(R2942/60)&amp;":"&amp;TEXT(MOD(R2942,60),"00.00"),TEXT(R2942,"0.00")))</f>
        <v/>
      </c>
      <c r="T2942" s="52">
        <f>IFERROR((G2942-INDEX('01_Swimmers'!$E$5:$E$22,MATCH(B2942,'01_Swimmers'!$A$5:$A$22,0)))/'00_Control'!$B$10,"")</f>
        <v/>
      </c>
      <c r="U2942" s="35">
        <f>IF(T2942="","",INT(T2942))</f>
        <v/>
      </c>
      <c r="V2942" s="33" t="inlineStr">
        <is>
          <t>NO</t>
        </is>
      </c>
      <c r="W2942" s="33" t="inlineStr">
        <is>
          <t>YES</t>
        </is>
      </c>
      <c r="X2942" s="33" t="inlineStr">
        <is>
          <t>NO</t>
        </is>
      </c>
      <c r="Y2942" s="33" t="n">
        <v>2</v>
      </c>
      <c r="Z2942" s="33" t="n">
        <v>4</v>
      </c>
      <c r="AA2942" s="33" t="inlineStr">
        <is>
          <t>1</t>
        </is>
      </c>
      <c r="AB2942" s="33" t="inlineStr">
        <is>
          <t>https://www.swimcloud.com/results/367863/event/109/?id=166761539#time166761539</t>
        </is>
      </c>
      <c r="AC2942" s="33" t="inlineStr">
        <is>
          <t>SwimCloud all-event v8 2026-10-09</t>
        </is>
      </c>
      <c r="AD2942" s="33" t="inlineStr">
        <is>
          <t>Grayson Coulter|2025-12-16|LCM|50|Free|24.18|Queensland Championships|FIN|False</t>
        </is>
      </c>
      <c r="AE2942" s="53">
        <f>G2942+L2942/1000+ROW()/1000000000</f>
        <v/>
      </c>
      <c r="AF2942" s="35">
        <f>IF(C2942&lt;&gt;"Grayson Coulter","",COUNTIFS($C$5:$C$2991,"Grayson Coulter",$Q$5:$Q$2991,Q2942,$AE$5:$AE$2991,"&lt;="&amp;AE2942,$R$5:$R$2991,"&lt;"&amp;R2942))</f>
        <v/>
      </c>
      <c r="AG2942" s="35">
        <f>IF(OR(C2942&lt;&gt;"Grayson Coulter",G2942&lt;'00_Control'!$B$7),"",--(AF2942&lt;5))</f>
        <v/>
      </c>
      <c r="AH2942" s="35">
        <f>IF(OR(C2942&lt;&gt;"Grayson Coulter",G2942&lt;'00_Control'!$B$7),"",--(AF2942&lt;10))</f>
        <v/>
      </c>
      <c r="AI2942" s="35">
        <f>IF(AND(C2942="Grayson Coulter",G2942&gt;='00_Control'!$B$7),"YES","NO")</f>
        <v/>
      </c>
      <c r="AJ2942" s="33" t="inlineStr">
        <is>
          <t>OK</t>
        </is>
      </c>
    </row>
    <row r="2943">
      <c r="A2943" s="33" t="inlineStr">
        <is>
          <t>SM002939</t>
        </is>
      </c>
      <c r="B2943" s="33" t="inlineStr">
        <is>
          <t>SW001</t>
        </is>
      </c>
      <c r="C2943" s="33" t="inlineStr">
        <is>
          <t>Grayson Coulter</t>
        </is>
      </c>
      <c r="D2943" s="33" t="inlineStr">
        <is>
          <t>SwimCloud</t>
        </is>
      </c>
      <c r="E2943" s="33" t="inlineStr">
        <is>
          <t>3651023</t>
        </is>
      </c>
      <c r="F2943" s="33" t="inlineStr">
        <is>
          <t>166761538</t>
        </is>
      </c>
      <c r="G2943" s="51" t="n">
        <v>46007</v>
      </c>
      <c r="H2943" s="33" t="inlineStr">
        <is>
          <t>Queensland Championships</t>
        </is>
      </c>
      <c r="I2943" s="33" t="inlineStr">
        <is>
          <t>367863</t>
        </is>
      </c>
      <c r="J2943" s="33" t="n"/>
      <c r="K2943" s="33" t="inlineStr">
        <is>
          <t>PRE</t>
        </is>
      </c>
      <c r="L2943" s="35">
        <f>IF(K2943="FIN",3,IF(OR(K2943="SEM",K2943="SEMI"),2,IF(OR(K2943="PRE",K2943="HEAT"),1,IF(V2943="YES",4,2))))</f>
        <v/>
      </c>
      <c r="M2943" s="33" t="inlineStr">
        <is>
          <t>LCM</t>
        </is>
      </c>
      <c r="N2943" s="33" t="n">
        <v>50</v>
      </c>
      <c r="O2943" s="33" t="inlineStr">
        <is>
          <t>Free</t>
        </is>
      </c>
      <c r="P2943" s="33" t="inlineStr">
        <is>
          <t>50 Free</t>
        </is>
      </c>
      <c r="Q2943" s="33" t="inlineStr">
        <is>
          <t>LCM_50_FREE</t>
        </is>
      </c>
      <c r="R2943" s="36" t="n">
        <v>24.2</v>
      </c>
      <c r="S2943" s="35">
        <f>IF(R2943="","",IF(R2943&gt;=60,INT(R2943/60)&amp;":"&amp;TEXT(MOD(R2943,60),"00.00"),TEXT(R2943,"0.00")))</f>
        <v/>
      </c>
      <c r="T2943" s="52">
        <f>IFERROR((G2943-INDEX('01_Swimmers'!$E$5:$E$22,MATCH(B2943,'01_Swimmers'!$A$5:$A$22,0)))/'00_Control'!$B$10,"")</f>
        <v/>
      </c>
      <c r="U2943" s="35">
        <f>IF(T2943="","",INT(T2943))</f>
        <v/>
      </c>
      <c r="V2943" s="33" t="inlineStr">
        <is>
          <t>NO</t>
        </is>
      </c>
      <c r="W2943" s="33" t="inlineStr">
        <is>
          <t>YES</t>
        </is>
      </c>
      <c r="X2943" s="33" t="inlineStr">
        <is>
          <t>NO</t>
        </is>
      </c>
      <c r="Y2943" s="33" t="n">
        <v>1</v>
      </c>
      <c r="Z2943" s="33" t="n">
        <v>4</v>
      </c>
      <c r="AA2943" s="33" t="inlineStr">
        <is>
          <t>1</t>
        </is>
      </c>
      <c r="AB2943" s="33" t="inlineStr">
        <is>
          <t>https://www.swimcloud.com/results/367863/event/109/?id=166761538#time166761538</t>
        </is>
      </c>
      <c r="AC2943" s="33" t="inlineStr">
        <is>
          <t>SwimCloud all-event v8 2026-10-09</t>
        </is>
      </c>
      <c r="AD2943" s="33" t="inlineStr">
        <is>
          <t>Grayson Coulter|2025-12-16|LCM|50|Free|24.2|Queensland Championships|PRE|False</t>
        </is>
      </c>
      <c r="AE2943" s="53">
        <f>G2943+L2943/1000+ROW()/1000000000</f>
        <v/>
      </c>
      <c r="AF2943" s="35">
        <f>IF(C2943&lt;&gt;"Grayson Coulter","",COUNTIFS($C$5:$C$2991,"Grayson Coulter",$Q$5:$Q$2991,Q2943,$AE$5:$AE$2991,"&lt;="&amp;AE2943,$R$5:$R$2991,"&lt;"&amp;R2943))</f>
        <v/>
      </c>
      <c r="AG2943" s="35">
        <f>IF(OR(C2943&lt;&gt;"Grayson Coulter",G2943&lt;'00_Control'!$B$7),"",--(AF2943&lt;5))</f>
        <v/>
      </c>
      <c r="AH2943" s="35">
        <f>IF(OR(C2943&lt;&gt;"Grayson Coulter",G2943&lt;'00_Control'!$B$7),"",--(AF2943&lt;10))</f>
        <v/>
      </c>
      <c r="AI2943" s="35">
        <f>IF(AND(C2943="Grayson Coulter",G2943&gt;='00_Control'!$B$7),"YES","NO")</f>
        <v/>
      </c>
      <c r="AJ2943" s="33" t="inlineStr">
        <is>
          <t>OK</t>
        </is>
      </c>
    </row>
    <row r="2944">
      <c r="A2944" s="33" t="inlineStr">
        <is>
          <t>SM002940</t>
        </is>
      </c>
      <c r="B2944" s="33" t="inlineStr">
        <is>
          <t>SW001</t>
        </is>
      </c>
      <c r="C2944" s="33" t="inlineStr">
        <is>
          <t>Grayson Coulter</t>
        </is>
      </c>
      <c r="D2944" s="33" t="inlineStr">
        <is>
          <t>SwimCloud</t>
        </is>
      </c>
      <c r="E2944" s="33" t="inlineStr">
        <is>
          <t>3651023</t>
        </is>
      </c>
      <c r="F2944" s="33" t="inlineStr">
        <is>
          <t>166773694</t>
        </is>
      </c>
      <c r="G2944" s="51" t="n">
        <v>46005</v>
      </c>
      <c r="H2944" s="33" t="inlineStr">
        <is>
          <t>Queensland Championships</t>
        </is>
      </c>
      <c r="I2944" s="33" t="inlineStr">
        <is>
          <t>367863</t>
        </is>
      </c>
      <c r="J2944" s="33" t="n"/>
      <c r="K2944" s="33" t="inlineStr">
        <is>
          <t>FIN</t>
        </is>
      </c>
      <c r="L2944" s="35">
        <f>IF(K2944="FIN",3,IF(OR(K2944="SEM",K2944="SEMI"),2,IF(OR(K2944="PRE",K2944="HEAT"),1,IF(V2944="YES",4,2))))</f>
        <v/>
      </c>
      <c r="M2944" s="33" t="inlineStr">
        <is>
          <t>LCM</t>
        </is>
      </c>
      <c r="N2944" s="33" t="n">
        <v>50</v>
      </c>
      <c r="O2944" s="33" t="inlineStr">
        <is>
          <t>Free</t>
        </is>
      </c>
      <c r="P2944" s="33" t="inlineStr">
        <is>
          <t>50 Free</t>
        </is>
      </c>
      <c r="Q2944" s="33" t="inlineStr">
        <is>
          <t>LCM_50_FREE</t>
        </is>
      </c>
      <c r="R2944" s="36" t="n">
        <v>25</v>
      </c>
      <c r="S2944" s="35">
        <f>IF(R2944="","",IF(R2944&gt;=60,INT(R2944/60)&amp;":"&amp;TEXT(MOD(R2944,60),"00.00"),TEXT(R2944,"0.00")))</f>
        <v/>
      </c>
      <c r="T2944" s="52">
        <f>IFERROR((G2944-INDEX('01_Swimmers'!$E$5:$E$22,MATCH(B2944,'01_Swimmers'!$A$5:$A$22,0)))/'00_Control'!$B$10,"")</f>
        <v/>
      </c>
      <c r="U2944" s="35">
        <f>IF(T2944="","",INT(T2944))</f>
        <v/>
      </c>
      <c r="V2944" s="33" t="inlineStr">
        <is>
          <t>NO</t>
        </is>
      </c>
      <c r="W2944" s="33" t="inlineStr">
        <is>
          <t>YES</t>
        </is>
      </c>
      <c r="X2944" s="33" t="inlineStr">
        <is>
          <t>NO</t>
        </is>
      </c>
      <c r="Y2944" s="33" t="n">
        <v>1</v>
      </c>
      <c r="Z2944" s="33" t="n">
        <v>4</v>
      </c>
      <c r="AA2944" s="33" t="inlineStr"/>
      <c r="AB2944" s="33" t="inlineStr">
        <is>
          <t>https://www.swimcloud.com/results/367863/event/55/?id=166761446#time166761446</t>
        </is>
      </c>
      <c r="AC2944" s="33" t="inlineStr">
        <is>
          <t>SwimCloud all-event v8 2026-10-09</t>
        </is>
      </c>
      <c r="AD2944" s="33" t="inlineStr">
        <is>
          <t>Grayson Coulter|2025-12-14|LCM|50|Free|25|Queensland Championships|FIN|False</t>
        </is>
      </c>
      <c r="AE2944" s="53">
        <f>G2944+L2944/1000+ROW()/1000000000</f>
        <v/>
      </c>
      <c r="AF2944" s="35">
        <f>IF(C2944&lt;&gt;"Grayson Coulter","",COUNTIFS($C$5:$C$2991,"Grayson Coulter",$Q$5:$Q$2991,Q2944,$AE$5:$AE$2991,"&lt;="&amp;AE2944,$R$5:$R$2991,"&lt;"&amp;R2944))</f>
        <v/>
      </c>
      <c r="AG2944" s="35">
        <f>IF(OR(C2944&lt;&gt;"Grayson Coulter",G2944&lt;'00_Control'!$B$7),"",--(AF2944&lt;5))</f>
        <v/>
      </c>
      <c r="AH2944" s="35">
        <f>IF(OR(C2944&lt;&gt;"Grayson Coulter",G2944&lt;'00_Control'!$B$7),"",--(AF2944&lt;10))</f>
        <v/>
      </c>
      <c r="AI2944" s="35">
        <f>IF(AND(C2944="Grayson Coulter",G2944&gt;='00_Control'!$B$7),"YES","NO")</f>
        <v/>
      </c>
      <c r="AJ2944" s="33" t="inlineStr">
        <is>
          <t>OK</t>
        </is>
      </c>
    </row>
    <row r="2945">
      <c r="A2945" s="33" t="inlineStr">
        <is>
          <t>SM002941</t>
        </is>
      </c>
      <c r="B2945" s="33" t="inlineStr">
        <is>
          <t>SW001</t>
        </is>
      </c>
      <c r="C2945" s="33" t="inlineStr">
        <is>
          <t>Grayson Coulter</t>
        </is>
      </c>
      <c r="D2945" s="33" t="inlineStr">
        <is>
          <t>SwimCloud</t>
        </is>
      </c>
      <c r="E2945" s="33" t="inlineStr">
        <is>
          <t>3651023</t>
        </is>
      </c>
      <c r="F2945" s="33" t="inlineStr">
        <is>
          <t>166773695</t>
        </is>
      </c>
      <c r="G2945" s="51" t="n">
        <v>46005</v>
      </c>
      <c r="H2945" s="33" t="inlineStr">
        <is>
          <t>Queensland Championships</t>
        </is>
      </c>
      <c r="I2945" s="33" t="inlineStr">
        <is>
          <t>367863</t>
        </is>
      </c>
      <c r="J2945" s="33" t="n"/>
      <c r="K2945" s="33" t="inlineStr">
        <is>
          <t>PRE</t>
        </is>
      </c>
      <c r="L2945" s="35">
        <f>IF(K2945="FIN",3,IF(OR(K2945="SEM",K2945="SEMI"),2,IF(OR(K2945="PRE",K2945="HEAT"),1,IF(V2945="YES",4,2))))</f>
        <v/>
      </c>
      <c r="M2945" s="33" t="inlineStr">
        <is>
          <t>LCM</t>
        </is>
      </c>
      <c r="N2945" s="33" t="n">
        <v>50</v>
      </c>
      <c r="O2945" s="33" t="inlineStr">
        <is>
          <t>Free</t>
        </is>
      </c>
      <c r="P2945" s="33" t="inlineStr">
        <is>
          <t>50 Free</t>
        </is>
      </c>
      <c r="Q2945" s="33" t="inlineStr">
        <is>
          <t>LCM_50_FREE</t>
        </is>
      </c>
      <c r="R2945" s="36" t="n">
        <v>25.26</v>
      </c>
      <c r="S2945" s="35">
        <f>IF(R2945="","",IF(R2945&gt;=60,INT(R2945/60)&amp;":"&amp;TEXT(MOD(R2945,60),"00.00"),TEXT(R2945,"0.00")))</f>
        <v/>
      </c>
      <c r="T2945" s="52">
        <f>IFERROR((G2945-INDEX('01_Swimmers'!$E$5:$E$22,MATCH(B2945,'01_Swimmers'!$A$5:$A$22,0)))/'00_Control'!$B$10,"")</f>
        <v/>
      </c>
      <c r="U2945" s="35">
        <f>IF(T2945="","",INT(T2945))</f>
        <v/>
      </c>
      <c r="V2945" s="33" t="inlineStr">
        <is>
          <t>NO</t>
        </is>
      </c>
      <c r="W2945" s="33" t="inlineStr">
        <is>
          <t>YES</t>
        </is>
      </c>
      <c r="X2945" s="33" t="inlineStr">
        <is>
          <t>NO</t>
        </is>
      </c>
      <c r="Y2945" s="33" t="n">
        <v>1</v>
      </c>
      <c r="Z2945" s="33" t="n">
        <v>4</v>
      </c>
      <c r="AA2945" s="33" t="inlineStr"/>
      <c r="AB2945" s="33" t="inlineStr">
        <is>
          <t>https://www.swimcloud.com/results/367863/event/55/?id=166761445#time166761445</t>
        </is>
      </c>
      <c r="AC2945" s="33" t="inlineStr">
        <is>
          <t>SwimCloud all-event v8 2026-10-09</t>
        </is>
      </c>
      <c r="AD2945" s="33" t="inlineStr">
        <is>
          <t>Grayson Coulter|2025-12-14|LCM|50|Free|25.26|Queensland Championships|PRE|False</t>
        </is>
      </c>
      <c r="AE2945" s="53">
        <f>G2945+L2945/1000+ROW()/1000000000</f>
        <v/>
      </c>
      <c r="AF2945" s="35">
        <f>IF(C2945&lt;&gt;"Grayson Coulter","",COUNTIFS($C$5:$C$2991,"Grayson Coulter",$Q$5:$Q$2991,Q2945,$AE$5:$AE$2991,"&lt;="&amp;AE2945,$R$5:$R$2991,"&lt;"&amp;R2945))</f>
        <v/>
      </c>
      <c r="AG2945" s="35">
        <f>IF(OR(C2945&lt;&gt;"Grayson Coulter",G2945&lt;'00_Control'!$B$7),"",--(AF2945&lt;5))</f>
        <v/>
      </c>
      <c r="AH2945" s="35">
        <f>IF(OR(C2945&lt;&gt;"Grayson Coulter",G2945&lt;'00_Control'!$B$7),"",--(AF2945&lt;10))</f>
        <v/>
      </c>
      <c r="AI2945" s="35">
        <f>IF(AND(C2945="Grayson Coulter",G2945&gt;='00_Control'!$B$7),"YES","NO")</f>
        <v/>
      </c>
      <c r="AJ2945" s="33" t="inlineStr">
        <is>
          <t>OK</t>
        </is>
      </c>
    </row>
    <row r="2946">
      <c r="A2946" s="33" t="inlineStr">
        <is>
          <t>SM002942</t>
        </is>
      </c>
      <c r="B2946" s="33" t="inlineStr">
        <is>
          <t>SW001</t>
        </is>
      </c>
      <c r="C2946" s="33" t="inlineStr">
        <is>
          <t>Grayson Coulter</t>
        </is>
      </c>
      <c r="D2946" s="33" t="inlineStr">
        <is>
          <t>SwimCloud</t>
        </is>
      </c>
      <c r="E2946" s="33" t="inlineStr">
        <is>
          <t>3651023</t>
        </is>
      </c>
      <c r="F2946" s="33" t="inlineStr">
        <is>
          <t>151363314</t>
        </is>
      </c>
      <c r="G2946" s="51" t="n">
        <v>45761</v>
      </c>
      <c r="H2946" s="33" t="inlineStr">
        <is>
          <t>Apollo Projects New Zealand Age Group Championships</t>
        </is>
      </c>
      <c r="I2946" s="33" t="inlineStr">
        <is>
          <t>342666</t>
        </is>
      </c>
      <c r="J2946" s="33" t="n"/>
      <c r="K2946" s="33" t="inlineStr">
        <is>
          <t>TIM</t>
        </is>
      </c>
      <c r="L2946" s="35">
        <f>IF(K2946="FIN",3,IF(OR(K2946="SEM",K2946="SEMI"),2,IF(OR(K2946="PRE",K2946="HEAT"),1,IF(V2946="YES",4,2))))</f>
        <v/>
      </c>
      <c r="M2946" s="33" t="inlineStr">
        <is>
          <t>LCM</t>
        </is>
      </c>
      <c r="N2946" s="33" t="n">
        <v>50</v>
      </c>
      <c r="O2946" s="33" t="inlineStr">
        <is>
          <t>Free</t>
        </is>
      </c>
      <c r="P2946" s="33" t="inlineStr">
        <is>
          <t>50 Free</t>
        </is>
      </c>
      <c r="Q2946" s="33" t="inlineStr">
        <is>
          <t>LCM_50_FREE</t>
        </is>
      </c>
      <c r="R2946" s="36" t="n">
        <v>24.67</v>
      </c>
      <c r="S2946" s="35">
        <f>IF(R2946="","",IF(R2946&gt;=60,INT(R2946/60)&amp;":"&amp;TEXT(MOD(R2946,60),"00.00"),TEXT(R2946,"0.00")))</f>
        <v/>
      </c>
      <c r="T2946" s="52">
        <f>IFERROR((G2946-INDEX('01_Swimmers'!$E$5:$E$22,MATCH(B2946,'01_Swimmers'!$A$5:$A$22,0)))/'00_Control'!$B$10,"")</f>
        <v/>
      </c>
      <c r="U2946" s="35">
        <f>IF(T2946="","",INT(T2946))</f>
        <v/>
      </c>
      <c r="V2946" s="33" t="inlineStr">
        <is>
          <t>YES</t>
        </is>
      </c>
      <c r="W2946" s="33" t="inlineStr">
        <is>
          <t>YES</t>
        </is>
      </c>
      <c r="X2946" s="33" t="inlineStr">
        <is>
          <t>NO</t>
        </is>
      </c>
      <c r="Y2946" s="33" t="n">
        <v>2</v>
      </c>
      <c r="Z2946" s="33" t="n">
        <v>4</v>
      </c>
      <c r="AA2946" s="33" t="inlineStr"/>
      <c r="AB2946" s="33" t="inlineStr">
        <is>
          <t>https://www.swimcloud.com/results/342666/event/20/?id=151360924#time151360924</t>
        </is>
      </c>
      <c r="AC2946" s="33" t="inlineStr">
        <is>
          <t>SwimCloud all-event v8 2026-10-09</t>
        </is>
      </c>
      <c r="AD2946" s="33" t="inlineStr">
        <is>
          <t>Grayson Coulter|2025-04-14|LCM|50|Free|24.67|Apollo Projects New Zealand Age Group Championships|TIM|True</t>
        </is>
      </c>
      <c r="AE2946" s="53">
        <f>G2946+L2946/1000+ROW()/1000000000</f>
        <v/>
      </c>
      <c r="AF2946" s="35">
        <f>IF(C2946&lt;&gt;"Grayson Coulter","",COUNTIFS($C$5:$C$2991,"Grayson Coulter",$Q$5:$Q$2991,Q2946,$AE$5:$AE$2991,"&lt;="&amp;AE2946,$R$5:$R$2991,"&lt;"&amp;R2946))</f>
        <v/>
      </c>
      <c r="AG2946" s="35">
        <f>IF(OR(C2946&lt;&gt;"Grayson Coulter",G2946&lt;'00_Control'!$B$7),"",--(AF2946&lt;5))</f>
        <v/>
      </c>
      <c r="AH2946" s="35">
        <f>IF(OR(C2946&lt;&gt;"Grayson Coulter",G2946&lt;'00_Control'!$B$7),"",--(AF2946&lt;10))</f>
        <v/>
      </c>
      <c r="AI2946" s="35">
        <f>IF(AND(C2946="Grayson Coulter",G2946&gt;='00_Control'!$B$7),"YES","NO")</f>
        <v/>
      </c>
      <c r="AJ2946" s="33" t="inlineStr">
        <is>
          <t>OK</t>
        </is>
      </c>
    </row>
    <row r="2947">
      <c r="A2947" s="33" t="inlineStr">
        <is>
          <t>SM002943</t>
        </is>
      </c>
      <c r="B2947" s="33" t="inlineStr">
        <is>
          <t>SW001</t>
        </is>
      </c>
      <c r="C2947" s="33" t="inlineStr">
        <is>
          <t>Grayson Coulter</t>
        </is>
      </c>
      <c r="D2947" s="33" t="inlineStr">
        <is>
          <t>SwimCloud</t>
        </is>
      </c>
      <c r="E2947" s="33" t="inlineStr">
        <is>
          <t>3651023</t>
        </is>
      </c>
      <c r="F2947" s="33" t="inlineStr">
        <is>
          <t>151360706</t>
        </is>
      </c>
      <c r="G2947" s="51" t="n">
        <v>45760</v>
      </c>
      <c r="H2947" s="33" t="inlineStr">
        <is>
          <t>Apollo Projects New Zealand Age Group Championships</t>
        </is>
      </c>
      <c r="I2947" s="33" t="inlineStr">
        <is>
          <t>342666</t>
        </is>
      </c>
      <c r="J2947" s="33" t="n"/>
      <c r="K2947" s="33" t="inlineStr">
        <is>
          <t>FIN</t>
        </is>
      </c>
      <c r="L2947" s="35">
        <f>IF(K2947="FIN",3,IF(OR(K2947="SEM",K2947="SEMI"),2,IF(OR(K2947="PRE",K2947="HEAT"),1,IF(V2947="YES",4,2))))</f>
        <v/>
      </c>
      <c r="M2947" s="33" t="inlineStr">
        <is>
          <t>LCM</t>
        </is>
      </c>
      <c r="N2947" s="33" t="n">
        <v>50</v>
      </c>
      <c r="O2947" s="33" t="inlineStr">
        <is>
          <t>Free</t>
        </is>
      </c>
      <c r="P2947" s="33" t="inlineStr">
        <is>
          <t>50 Free</t>
        </is>
      </c>
      <c r="Q2947" s="33" t="inlineStr">
        <is>
          <t>LCM_50_FREE</t>
        </is>
      </c>
      <c r="R2947" s="36" t="n">
        <v>24.66</v>
      </c>
      <c r="S2947" s="35">
        <f>IF(R2947="","",IF(R2947&gt;=60,INT(R2947/60)&amp;":"&amp;TEXT(MOD(R2947,60),"00.00"),TEXT(R2947,"0.00")))</f>
        <v/>
      </c>
      <c r="T2947" s="52">
        <f>IFERROR((G2947-INDEX('01_Swimmers'!$E$5:$E$22,MATCH(B2947,'01_Swimmers'!$A$5:$A$22,0)))/'00_Control'!$B$10,"")</f>
        <v/>
      </c>
      <c r="U2947" s="35">
        <f>IF(T2947="","",INT(T2947))</f>
        <v/>
      </c>
      <c r="V2947" s="33" t="inlineStr">
        <is>
          <t>NO</t>
        </is>
      </c>
      <c r="W2947" s="33" t="inlineStr">
        <is>
          <t>YES</t>
        </is>
      </c>
      <c r="X2947" s="33" t="inlineStr">
        <is>
          <t>NO</t>
        </is>
      </c>
      <c r="Y2947" s="33" t="n">
        <v>1</v>
      </c>
      <c r="Z2947" s="33" t="n">
        <v>4</v>
      </c>
      <c r="AA2947" s="33" t="inlineStr">
        <is>
          <t>1</t>
        </is>
      </c>
      <c r="AB2947" s="33" t="inlineStr">
        <is>
          <t>https://www.swimcloud.com/results/342666/event/4/?id=151360706#time151360706</t>
        </is>
      </c>
      <c r="AC2947" s="33" t="inlineStr">
        <is>
          <t>SwimCloud all-event v8 2026-10-09</t>
        </is>
      </c>
      <c r="AD2947" s="33" t="inlineStr">
        <is>
          <t>Grayson Coulter|2025-04-13|LCM|50|Free|24.66|Apollo Projects New Zealand Age Group Championships|FIN|False</t>
        </is>
      </c>
      <c r="AE2947" s="53">
        <f>G2947+L2947/1000+ROW()/1000000000</f>
        <v/>
      </c>
      <c r="AF2947" s="35">
        <f>IF(C2947&lt;&gt;"Grayson Coulter","",COUNTIFS($C$5:$C$2991,"Grayson Coulter",$Q$5:$Q$2991,Q2947,$AE$5:$AE$2991,"&lt;="&amp;AE2947,$R$5:$R$2991,"&lt;"&amp;R2947))</f>
        <v/>
      </c>
      <c r="AG2947" s="35">
        <f>IF(OR(C2947&lt;&gt;"Grayson Coulter",G2947&lt;'00_Control'!$B$7),"",--(AF2947&lt;5))</f>
        <v/>
      </c>
      <c r="AH2947" s="35">
        <f>IF(OR(C2947&lt;&gt;"Grayson Coulter",G2947&lt;'00_Control'!$B$7),"",--(AF2947&lt;10))</f>
        <v/>
      </c>
      <c r="AI2947" s="35">
        <f>IF(AND(C2947="Grayson Coulter",G2947&gt;='00_Control'!$B$7),"YES","NO")</f>
        <v/>
      </c>
      <c r="AJ2947" s="33" t="inlineStr">
        <is>
          <t>OK</t>
        </is>
      </c>
    </row>
    <row r="2948">
      <c r="A2948" s="33" t="inlineStr">
        <is>
          <t>SM002944</t>
        </is>
      </c>
      <c r="B2948" s="33" t="inlineStr">
        <is>
          <t>SW001</t>
        </is>
      </c>
      <c r="C2948" s="33" t="inlineStr">
        <is>
          <t>Grayson Coulter</t>
        </is>
      </c>
      <c r="D2948" s="33" t="inlineStr">
        <is>
          <t>SwimCloud</t>
        </is>
      </c>
      <c r="E2948" s="33" t="inlineStr">
        <is>
          <t>3651023</t>
        </is>
      </c>
      <c r="F2948" s="33" t="inlineStr">
        <is>
          <t>151360698</t>
        </is>
      </c>
      <c r="G2948" s="51" t="n">
        <v>45760</v>
      </c>
      <c r="H2948" s="33" t="inlineStr">
        <is>
          <t>Apollo Projects New Zealand Age Group Championships</t>
        </is>
      </c>
      <c r="I2948" s="33" t="inlineStr">
        <is>
          <t>342666</t>
        </is>
      </c>
      <c r="J2948" s="33" t="n"/>
      <c r="K2948" s="33" t="inlineStr">
        <is>
          <t>PRE</t>
        </is>
      </c>
      <c r="L2948" s="35">
        <f>IF(K2948="FIN",3,IF(OR(K2948="SEM",K2948="SEMI"),2,IF(OR(K2948="PRE",K2948="HEAT"),1,IF(V2948="YES",4,2))))</f>
        <v/>
      </c>
      <c r="M2948" s="33" t="inlineStr">
        <is>
          <t>LCM</t>
        </is>
      </c>
      <c r="N2948" s="33" t="n">
        <v>50</v>
      </c>
      <c r="O2948" s="33" t="inlineStr">
        <is>
          <t>Free</t>
        </is>
      </c>
      <c r="P2948" s="33" t="inlineStr">
        <is>
          <t>50 Free</t>
        </is>
      </c>
      <c r="Q2948" s="33" t="inlineStr">
        <is>
          <t>LCM_50_FREE</t>
        </is>
      </c>
      <c r="R2948" s="36" t="n">
        <v>24.72</v>
      </c>
      <c r="S2948" s="35">
        <f>IF(R2948="","",IF(R2948&gt;=60,INT(R2948/60)&amp;":"&amp;TEXT(MOD(R2948,60),"00.00"),TEXT(R2948,"0.00")))</f>
        <v/>
      </c>
      <c r="T2948" s="52">
        <f>IFERROR((G2948-INDEX('01_Swimmers'!$E$5:$E$22,MATCH(B2948,'01_Swimmers'!$A$5:$A$22,0)))/'00_Control'!$B$10,"")</f>
        <v/>
      </c>
      <c r="U2948" s="35">
        <f>IF(T2948="","",INT(T2948))</f>
        <v/>
      </c>
      <c r="V2948" s="33" t="inlineStr">
        <is>
          <t>NO</t>
        </is>
      </c>
      <c r="W2948" s="33" t="inlineStr">
        <is>
          <t>YES</t>
        </is>
      </c>
      <c r="X2948" s="33" t="inlineStr">
        <is>
          <t>NO</t>
        </is>
      </c>
      <c r="Y2948" s="33" t="n">
        <v>10</v>
      </c>
      <c r="Z2948" s="33" t="n">
        <v>8</v>
      </c>
      <c r="AA2948" s="33" t="inlineStr">
        <is>
          <t>1</t>
        </is>
      </c>
      <c r="AB2948" s="33" t="inlineStr">
        <is>
          <t>https://www.swimcloud.com/results/342666/event/4/?id=151360698#time151360698</t>
        </is>
      </c>
      <c r="AC2948" s="33" t="inlineStr">
        <is>
          <t>SwimCloud all-event v8 2026-10-09</t>
        </is>
      </c>
      <c r="AD2948" s="33" t="inlineStr">
        <is>
          <t>Grayson Coulter|2025-04-13|LCM|50|Free|24.72|Apollo Projects New Zealand Age Group Championships|PRE|False</t>
        </is>
      </c>
      <c r="AE2948" s="53">
        <f>G2948+L2948/1000+ROW()/1000000000</f>
        <v/>
      </c>
      <c r="AF2948" s="35">
        <f>IF(C2948&lt;&gt;"Grayson Coulter","",COUNTIFS($C$5:$C$2991,"Grayson Coulter",$Q$5:$Q$2991,Q2948,$AE$5:$AE$2991,"&lt;="&amp;AE2948,$R$5:$R$2991,"&lt;"&amp;R2948))</f>
        <v/>
      </c>
      <c r="AG2948" s="35">
        <f>IF(OR(C2948&lt;&gt;"Grayson Coulter",G2948&lt;'00_Control'!$B$7),"",--(AF2948&lt;5))</f>
        <v/>
      </c>
      <c r="AH2948" s="35">
        <f>IF(OR(C2948&lt;&gt;"Grayson Coulter",G2948&lt;'00_Control'!$B$7),"",--(AF2948&lt;10))</f>
        <v/>
      </c>
      <c r="AI2948" s="35">
        <f>IF(AND(C2948="Grayson Coulter",G2948&gt;='00_Control'!$B$7),"YES","NO")</f>
        <v/>
      </c>
      <c r="AJ2948" s="33" t="inlineStr">
        <is>
          <t>OK</t>
        </is>
      </c>
    </row>
    <row r="2949">
      <c r="A2949" s="33" t="inlineStr">
        <is>
          <t>SM002945</t>
        </is>
      </c>
      <c r="B2949" s="33" t="inlineStr">
        <is>
          <t>SW001</t>
        </is>
      </c>
      <c r="C2949" s="33" t="inlineStr">
        <is>
          <t>Grayson Coulter</t>
        </is>
      </c>
      <c r="D2949" s="33" t="inlineStr">
        <is>
          <t>SwimCloud</t>
        </is>
      </c>
      <c r="E2949" s="33" t="inlineStr">
        <is>
          <t>3651023</t>
        </is>
      </c>
      <c r="F2949" s="33" t="inlineStr">
        <is>
          <t>149407208</t>
        </is>
      </c>
      <c r="G2949" s="51" t="n">
        <v>45732</v>
      </c>
      <c r="H2949" s="33" t="inlineStr">
        <is>
          <t>Swimming Auckland Age Group and Open Championships</t>
        </is>
      </c>
      <c r="I2949" s="33" t="inlineStr">
        <is>
          <t>340538</t>
        </is>
      </c>
      <c r="J2949" s="33" t="n"/>
      <c r="K2949" s="33" t="inlineStr">
        <is>
          <t>FIN</t>
        </is>
      </c>
      <c r="L2949" s="35">
        <f>IF(K2949="FIN",3,IF(OR(K2949="SEM",K2949="SEMI"),2,IF(OR(K2949="PRE",K2949="HEAT"),1,IF(V2949="YES",4,2))))</f>
        <v/>
      </c>
      <c r="M2949" s="33" t="inlineStr">
        <is>
          <t>LCM</t>
        </is>
      </c>
      <c r="N2949" s="33" t="n">
        <v>50</v>
      </c>
      <c r="O2949" s="33" t="inlineStr">
        <is>
          <t>Free</t>
        </is>
      </c>
      <c r="P2949" s="33" t="inlineStr">
        <is>
          <t>50 Free</t>
        </is>
      </c>
      <c r="Q2949" s="33" t="inlineStr">
        <is>
          <t>LCM_50_FREE</t>
        </is>
      </c>
      <c r="R2949" s="36" t="n">
        <v>24.66</v>
      </c>
      <c r="S2949" s="35">
        <f>IF(R2949="","",IF(R2949&gt;=60,INT(R2949/60)&amp;":"&amp;TEXT(MOD(R2949,60),"00.00"),TEXT(R2949,"0.00")))</f>
        <v/>
      </c>
      <c r="T2949" s="52">
        <f>IFERROR((G2949-INDEX('01_Swimmers'!$E$5:$E$22,MATCH(B2949,'01_Swimmers'!$A$5:$A$22,0)))/'00_Control'!$B$10,"")</f>
        <v/>
      </c>
      <c r="U2949" s="35">
        <f>IF(T2949="","",INT(T2949))</f>
        <v/>
      </c>
      <c r="V2949" s="33" t="inlineStr">
        <is>
          <t>NO</t>
        </is>
      </c>
      <c r="W2949" s="33" t="inlineStr">
        <is>
          <t>YES</t>
        </is>
      </c>
      <c r="X2949" s="33" t="inlineStr">
        <is>
          <t>NO</t>
        </is>
      </c>
      <c r="Y2949" s="33" t="n">
        <v>1</v>
      </c>
      <c r="Z2949" s="33" t="n">
        <v>4</v>
      </c>
      <c r="AA2949" s="33" t="inlineStr">
        <is>
          <t>1</t>
        </is>
      </c>
      <c r="AB2949" s="33" t="inlineStr">
        <is>
          <t>https://www.swimcloud.com/results/340538/event/34/?id=149407208#time149407208</t>
        </is>
      </c>
      <c r="AC2949" s="33" t="inlineStr">
        <is>
          <t>SwimCloud all-event v8 2026-10-09</t>
        </is>
      </c>
      <c r="AD2949" s="33" t="inlineStr">
        <is>
          <t>Grayson Coulter|2025-03-16|LCM|50|Free|24.66|Swimming Auckland Age Group and Open Championships|FIN|False</t>
        </is>
      </c>
      <c r="AE2949" s="53">
        <f>G2949+L2949/1000+ROW()/1000000000</f>
        <v/>
      </c>
      <c r="AF2949" s="35">
        <f>IF(C2949&lt;&gt;"Grayson Coulter","",COUNTIFS($C$5:$C$2991,"Grayson Coulter",$Q$5:$Q$2991,Q2949,$AE$5:$AE$2991,"&lt;="&amp;AE2949,$R$5:$R$2991,"&lt;"&amp;R2949))</f>
        <v/>
      </c>
      <c r="AG2949" s="35">
        <f>IF(OR(C2949&lt;&gt;"Grayson Coulter",G2949&lt;'00_Control'!$B$7),"",--(AF2949&lt;5))</f>
        <v/>
      </c>
      <c r="AH2949" s="35">
        <f>IF(OR(C2949&lt;&gt;"Grayson Coulter",G2949&lt;'00_Control'!$B$7),"",--(AF2949&lt;10))</f>
        <v/>
      </c>
      <c r="AI2949" s="35">
        <f>IF(AND(C2949="Grayson Coulter",G2949&gt;='00_Control'!$B$7),"YES","NO")</f>
        <v/>
      </c>
      <c r="AJ2949" s="33" t="inlineStr">
        <is>
          <t>OK</t>
        </is>
      </c>
    </row>
    <row r="2950">
      <c r="A2950" s="33" t="inlineStr">
        <is>
          <t>SM002946</t>
        </is>
      </c>
      <c r="B2950" s="33" t="inlineStr">
        <is>
          <t>SW001</t>
        </is>
      </c>
      <c r="C2950" s="33" t="inlineStr">
        <is>
          <t>Grayson Coulter</t>
        </is>
      </c>
      <c r="D2950" s="33" t="inlineStr">
        <is>
          <t>SwimCloud</t>
        </is>
      </c>
      <c r="E2950" s="33" t="inlineStr">
        <is>
          <t>3651023</t>
        </is>
      </c>
      <c r="F2950" s="33" t="inlineStr">
        <is>
          <t>149407207</t>
        </is>
      </c>
      <c r="G2950" s="51" t="n">
        <v>45732</v>
      </c>
      <c r="H2950" s="33" t="inlineStr">
        <is>
          <t>Swimming Auckland Age Group and Open Championships</t>
        </is>
      </c>
      <c r="I2950" s="33" t="inlineStr">
        <is>
          <t>340538</t>
        </is>
      </c>
      <c r="J2950" s="33" t="n"/>
      <c r="K2950" s="33" t="inlineStr">
        <is>
          <t>PRE</t>
        </is>
      </c>
      <c r="L2950" s="35">
        <f>IF(K2950="FIN",3,IF(OR(K2950="SEM",K2950="SEMI"),2,IF(OR(K2950="PRE",K2950="HEAT"),1,IF(V2950="YES",4,2))))</f>
        <v/>
      </c>
      <c r="M2950" s="33" t="inlineStr">
        <is>
          <t>LCM</t>
        </is>
      </c>
      <c r="N2950" s="33" t="n">
        <v>50</v>
      </c>
      <c r="O2950" s="33" t="inlineStr">
        <is>
          <t>Free</t>
        </is>
      </c>
      <c r="P2950" s="33" t="inlineStr">
        <is>
          <t>50 Free</t>
        </is>
      </c>
      <c r="Q2950" s="33" t="inlineStr">
        <is>
          <t>LCM_50_FREE</t>
        </is>
      </c>
      <c r="R2950" s="36" t="n">
        <v>24.88</v>
      </c>
      <c r="S2950" s="35">
        <f>IF(R2950="","",IF(R2950&gt;=60,INT(R2950/60)&amp;":"&amp;TEXT(MOD(R2950,60),"00.00"),TEXT(R2950,"0.00")))</f>
        <v/>
      </c>
      <c r="T2950" s="52">
        <f>IFERROR((G2950-INDEX('01_Swimmers'!$E$5:$E$22,MATCH(B2950,'01_Swimmers'!$A$5:$A$22,0)))/'00_Control'!$B$10,"")</f>
        <v/>
      </c>
      <c r="U2950" s="35">
        <f>IF(T2950="","",INT(T2950))</f>
        <v/>
      </c>
      <c r="V2950" s="33" t="inlineStr">
        <is>
          <t>NO</t>
        </is>
      </c>
      <c r="W2950" s="33" t="inlineStr">
        <is>
          <t>YES</t>
        </is>
      </c>
      <c r="X2950" s="33" t="inlineStr">
        <is>
          <t>NO</t>
        </is>
      </c>
      <c r="Y2950" s="33" t="n">
        <v>15</v>
      </c>
      <c r="Z2950" s="33" t="n">
        <v>7</v>
      </c>
      <c r="AA2950" s="33" t="inlineStr">
        <is>
          <t>1</t>
        </is>
      </c>
      <c r="AB2950" s="33" t="inlineStr">
        <is>
          <t>https://www.swimcloud.com/results/340538/event/34/?id=149407207#time149407207</t>
        </is>
      </c>
      <c r="AC2950" s="33" t="inlineStr">
        <is>
          <t>SwimCloud all-event v8 2026-10-09</t>
        </is>
      </c>
      <c r="AD2950" s="33" t="inlineStr">
        <is>
          <t>Grayson Coulter|2025-03-16|LCM|50|Free|24.88|Swimming Auckland Age Group and Open Championships|PRE|False</t>
        </is>
      </c>
      <c r="AE2950" s="53">
        <f>G2950+L2950/1000+ROW()/1000000000</f>
        <v/>
      </c>
      <c r="AF2950" s="35">
        <f>IF(C2950&lt;&gt;"Grayson Coulter","",COUNTIFS($C$5:$C$2991,"Grayson Coulter",$Q$5:$Q$2991,Q2950,$AE$5:$AE$2991,"&lt;="&amp;AE2950,$R$5:$R$2991,"&lt;"&amp;R2950))</f>
        <v/>
      </c>
      <c r="AG2950" s="35">
        <f>IF(OR(C2950&lt;&gt;"Grayson Coulter",G2950&lt;'00_Control'!$B$7),"",--(AF2950&lt;5))</f>
        <v/>
      </c>
      <c r="AH2950" s="35">
        <f>IF(OR(C2950&lt;&gt;"Grayson Coulter",G2950&lt;'00_Control'!$B$7),"",--(AF2950&lt;10))</f>
        <v/>
      </c>
      <c r="AI2950" s="35">
        <f>IF(AND(C2950="Grayson Coulter",G2950&gt;='00_Control'!$B$7),"YES","NO")</f>
        <v/>
      </c>
      <c r="AJ2950" s="33" t="inlineStr">
        <is>
          <t>OK</t>
        </is>
      </c>
    </row>
    <row r="2951">
      <c r="A2951" s="33" t="inlineStr">
        <is>
          <t>SM002947</t>
        </is>
      </c>
      <c r="B2951" s="33" t="inlineStr">
        <is>
          <t>SW001</t>
        </is>
      </c>
      <c r="C2951" s="33" t="inlineStr">
        <is>
          <t>Grayson Coulter</t>
        </is>
      </c>
      <c r="D2951" s="33" t="inlineStr">
        <is>
          <t>SwimCloud</t>
        </is>
      </c>
      <c r="E2951" s="33" t="inlineStr">
        <is>
          <t>3651023</t>
        </is>
      </c>
      <c r="F2951" s="33" t="inlineStr">
        <is>
          <t>149408322</t>
        </is>
      </c>
      <c r="G2951" s="51" t="n">
        <v>45731</v>
      </c>
      <c r="H2951" s="33" t="inlineStr">
        <is>
          <t>Swimming Auckland Age Group and Open Championships</t>
        </is>
      </c>
      <c r="I2951" s="33" t="inlineStr">
        <is>
          <t>340538</t>
        </is>
      </c>
      <c r="J2951" s="33" t="n"/>
      <c r="K2951" s="33" t="inlineStr">
        <is>
          <t>FIN</t>
        </is>
      </c>
      <c r="L2951" s="35">
        <f>IF(K2951="FIN",3,IF(OR(K2951="SEM",K2951="SEMI"),2,IF(OR(K2951="PRE",K2951="HEAT"),1,IF(V2951="YES",4,2))))</f>
        <v/>
      </c>
      <c r="M2951" s="33" t="inlineStr">
        <is>
          <t>LCM</t>
        </is>
      </c>
      <c r="N2951" s="33" t="n">
        <v>50</v>
      </c>
      <c r="O2951" s="33" t="inlineStr">
        <is>
          <t>Free</t>
        </is>
      </c>
      <c r="P2951" s="33" t="inlineStr">
        <is>
          <t>50 Free</t>
        </is>
      </c>
      <c r="Q2951" s="33" t="inlineStr">
        <is>
          <t>LCM_50_FREE</t>
        </is>
      </c>
      <c r="R2951" s="36" t="n">
        <v>26.01</v>
      </c>
      <c r="S2951" s="35">
        <f>IF(R2951="","",IF(R2951&gt;=60,INT(R2951/60)&amp;":"&amp;TEXT(MOD(R2951,60),"00.00"),TEXT(R2951,"0.00")))</f>
        <v/>
      </c>
      <c r="T2951" s="52">
        <f>IFERROR((G2951-INDEX('01_Swimmers'!$E$5:$E$22,MATCH(B2951,'01_Swimmers'!$A$5:$A$22,0)))/'00_Control'!$B$10,"")</f>
        <v/>
      </c>
      <c r="U2951" s="35">
        <f>IF(T2951="","",INT(T2951))</f>
        <v/>
      </c>
      <c r="V2951" s="33" t="inlineStr">
        <is>
          <t>NO</t>
        </is>
      </c>
      <c r="W2951" s="33" t="inlineStr">
        <is>
          <t>YES</t>
        </is>
      </c>
      <c r="X2951" s="33" t="inlineStr">
        <is>
          <t>NO</t>
        </is>
      </c>
      <c r="Y2951" s="33" t="n">
        <v>4</v>
      </c>
      <c r="Z2951" s="33" t="n">
        <v>8</v>
      </c>
      <c r="AA2951" s="33" t="inlineStr"/>
      <c r="AB2951" s="33" t="inlineStr">
        <is>
          <t>https://www.swimcloud.com/results/340538/event/14/?id=149407178#time149407178</t>
        </is>
      </c>
      <c r="AC2951" s="33" t="inlineStr">
        <is>
          <t>SwimCloud all-event v8 2026-10-09</t>
        </is>
      </c>
      <c r="AD2951" s="33" t="inlineStr">
        <is>
          <t>Grayson Coulter|2025-03-15|LCM|50|Free|26.01|Swimming Auckland Age Group and Open Championships|FIN|False</t>
        </is>
      </c>
      <c r="AE2951" s="53">
        <f>G2951+L2951/1000+ROW()/1000000000</f>
        <v/>
      </c>
      <c r="AF2951" s="35">
        <f>IF(C2951&lt;&gt;"Grayson Coulter","",COUNTIFS($C$5:$C$2991,"Grayson Coulter",$Q$5:$Q$2991,Q2951,$AE$5:$AE$2991,"&lt;="&amp;AE2951,$R$5:$R$2991,"&lt;"&amp;R2951))</f>
        <v/>
      </c>
      <c r="AG2951" s="35">
        <f>IF(OR(C2951&lt;&gt;"Grayson Coulter",G2951&lt;'00_Control'!$B$7),"",--(AF2951&lt;5))</f>
        <v/>
      </c>
      <c r="AH2951" s="35">
        <f>IF(OR(C2951&lt;&gt;"Grayson Coulter",G2951&lt;'00_Control'!$B$7),"",--(AF2951&lt;10))</f>
        <v/>
      </c>
      <c r="AI2951" s="35">
        <f>IF(AND(C2951="Grayson Coulter",G2951&gt;='00_Control'!$B$7),"YES","NO")</f>
        <v/>
      </c>
      <c r="AJ2951" s="33" t="inlineStr">
        <is>
          <t>OK</t>
        </is>
      </c>
    </row>
    <row r="2952">
      <c r="A2952" s="33" t="inlineStr">
        <is>
          <t>SM002948</t>
        </is>
      </c>
      <c r="B2952" s="33" t="inlineStr">
        <is>
          <t>SW001</t>
        </is>
      </c>
      <c r="C2952" s="33" t="inlineStr">
        <is>
          <t>Grayson Coulter</t>
        </is>
      </c>
      <c r="D2952" s="33" t="inlineStr">
        <is>
          <t>SwimCloud</t>
        </is>
      </c>
      <c r="E2952" s="33" t="inlineStr">
        <is>
          <t>3651023</t>
        </is>
      </c>
      <c r="F2952" s="33" t="inlineStr">
        <is>
          <t>149408321</t>
        </is>
      </c>
      <c r="G2952" s="51" t="n">
        <v>45731</v>
      </c>
      <c r="H2952" s="33" t="inlineStr">
        <is>
          <t>Swimming Auckland Age Group and Open Championships</t>
        </is>
      </c>
      <c r="I2952" s="33" t="inlineStr">
        <is>
          <t>340538</t>
        </is>
      </c>
      <c r="J2952" s="33" t="n"/>
      <c r="K2952" s="33" t="inlineStr">
        <is>
          <t>PRE</t>
        </is>
      </c>
      <c r="L2952" s="35">
        <f>IF(K2952="FIN",3,IF(OR(K2952="SEM",K2952="SEMI"),2,IF(OR(K2952="PRE",K2952="HEAT"),1,IF(V2952="YES",4,2))))</f>
        <v/>
      </c>
      <c r="M2952" s="33" t="inlineStr">
        <is>
          <t>LCM</t>
        </is>
      </c>
      <c r="N2952" s="33" t="n">
        <v>50</v>
      </c>
      <c r="O2952" s="33" t="inlineStr">
        <is>
          <t>Free</t>
        </is>
      </c>
      <c r="P2952" s="33" t="inlineStr">
        <is>
          <t>50 Free</t>
        </is>
      </c>
      <c r="Q2952" s="33" t="inlineStr">
        <is>
          <t>LCM_50_FREE</t>
        </is>
      </c>
      <c r="R2952" s="36" t="n">
        <v>25.95</v>
      </c>
      <c r="S2952" s="35">
        <f>IF(R2952="","",IF(R2952&gt;=60,INT(R2952/60)&amp;":"&amp;TEXT(MOD(R2952,60),"00.00"),TEXT(R2952,"0.00")))</f>
        <v/>
      </c>
      <c r="T2952" s="52">
        <f>IFERROR((G2952-INDEX('01_Swimmers'!$E$5:$E$22,MATCH(B2952,'01_Swimmers'!$A$5:$A$22,0)))/'00_Control'!$B$10,"")</f>
        <v/>
      </c>
      <c r="U2952" s="35">
        <f>IF(T2952="","",INT(T2952))</f>
        <v/>
      </c>
      <c r="V2952" s="33" t="inlineStr">
        <is>
          <t>NO</t>
        </is>
      </c>
      <c r="W2952" s="33" t="inlineStr">
        <is>
          <t>YES</t>
        </is>
      </c>
      <c r="X2952" s="33" t="inlineStr">
        <is>
          <t>NO</t>
        </is>
      </c>
      <c r="Y2952" s="33" t="n">
        <v>17</v>
      </c>
      <c r="Z2952" s="33" t="n">
        <v>7</v>
      </c>
      <c r="AA2952" s="33" t="inlineStr"/>
      <c r="AB2952" s="33" t="inlineStr">
        <is>
          <t>https://www.swimcloud.com/results/340538/event/14/?id=149407177#time149407177</t>
        </is>
      </c>
      <c r="AC2952" s="33" t="inlineStr">
        <is>
          <t>SwimCloud all-event v8 2026-10-09</t>
        </is>
      </c>
      <c r="AD2952" s="33" t="inlineStr">
        <is>
          <t>Grayson Coulter|2025-03-15|LCM|50|Free|25.95|Swimming Auckland Age Group and Open Championships|PRE|False</t>
        </is>
      </c>
      <c r="AE2952" s="53">
        <f>G2952+L2952/1000+ROW()/1000000000</f>
        <v/>
      </c>
      <c r="AF2952" s="35">
        <f>IF(C2952&lt;&gt;"Grayson Coulter","",COUNTIFS($C$5:$C$2991,"Grayson Coulter",$Q$5:$Q$2991,Q2952,$AE$5:$AE$2991,"&lt;="&amp;AE2952,$R$5:$R$2991,"&lt;"&amp;R2952))</f>
        <v/>
      </c>
      <c r="AG2952" s="35">
        <f>IF(OR(C2952&lt;&gt;"Grayson Coulter",G2952&lt;'00_Control'!$B$7),"",--(AF2952&lt;5))</f>
        <v/>
      </c>
      <c r="AH2952" s="35">
        <f>IF(OR(C2952&lt;&gt;"Grayson Coulter",G2952&lt;'00_Control'!$B$7),"",--(AF2952&lt;10))</f>
        <v/>
      </c>
      <c r="AI2952" s="35">
        <f>IF(AND(C2952="Grayson Coulter",G2952&gt;='00_Control'!$B$7),"YES","NO")</f>
        <v/>
      </c>
      <c r="AJ2952" s="33" t="inlineStr">
        <is>
          <t>OK</t>
        </is>
      </c>
    </row>
    <row r="2953">
      <c r="A2953" s="33" t="inlineStr">
        <is>
          <t>SM002949</t>
        </is>
      </c>
      <c r="B2953" s="33" t="inlineStr">
        <is>
          <t>SW001</t>
        </is>
      </c>
      <c r="C2953" s="33" t="inlineStr">
        <is>
          <t>Grayson Coulter</t>
        </is>
      </c>
      <c r="D2953" s="33" t="inlineStr">
        <is>
          <t>SwimCloud</t>
        </is>
      </c>
      <c r="E2953" s="33" t="inlineStr">
        <is>
          <t>3651023</t>
        </is>
      </c>
      <c r="F2953" s="33" t="inlineStr">
        <is>
          <t>127579345</t>
        </is>
      </c>
      <c r="G2953" s="51" t="n">
        <v>45436</v>
      </c>
      <c r="H2953" s="33" t="inlineStr">
        <is>
          <t>2024 Golden Homes Swimfest</t>
        </is>
      </c>
      <c r="I2953" s="33" t="inlineStr">
        <is>
          <t>305604</t>
        </is>
      </c>
      <c r="J2953" s="33" t="n"/>
      <c r="K2953" s="33" t="inlineStr">
        <is>
          <t>TIM</t>
        </is>
      </c>
      <c r="L2953" s="35">
        <f>IF(K2953="FIN",3,IF(OR(K2953="SEM",K2953="SEMI"),2,IF(OR(K2953="PRE",K2953="HEAT"),1,IF(V2953="YES",4,2))))</f>
        <v/>
      </c>
      <c r="M2953" s="33" t="inlineStr">
        <is>
          <t>LCM</t>
        </is>
      </c>
      <c r="N2953" s="33" t="n">
        <v>50</v>
      </c>
      <c r="O2953" s="33" t="inlineStr">
        <is>
          <t>Free</t>
        </is>
      </c>
      <c r="P2953" s="33" t="inlineStr">
        <is>
          <t>50 Free</t>
        </is>
      </c>
      <c r="Q2953" s="33" t="inlineStr">
        <is>
          <t>LCM_50_FREE</t>
        </is>
      </c>
      <c r="R2953" s="36" t="n">
        <v>25.77</v>
      </c>
      <c r="S2953" s="35">
        <f>IF(R2953="","",IF(R2953&gt;=60,INT(R2953/60)&amp;":"&amp;TEXT(MOD(R2953,60),"00.00"),TEXT(R2953,"0.00")))</f>
        <v/>
      </c>
      <c r="T2953" s="52">
        <f>IFERROR((G2953-INDEX('01_Swimmers'!$E$5:$E$22,MATCH(B2953,'01_Swimmers'!$A$5:$A$22,0)))/'00_Control'!$B$10,"")</f>
        <v/>
      </c>
      <c r="U2953" s="35">
        <f>IF(T2953="","",INT(T2953))</f>
        <v/>
      </c>
      <c r="V2953" s="33" t="inlineStr">
        <is>
          <t>NO</t>
        </is>
      </c>
      <c r="W2953" s="33" t="inlineStr">
        <is>
          <t>YES</t>
        </is>
      </c>
      <c r="X2953" s="33" t="inlineStr">
        <is>
          <t>NO</t>
        </is>
      </c>
      <c r="Y2953" s="33" t="n">
        <v>12</v>
      </c>
      <c r="Z2953" s="33" t="n">
        <v>4</v>
      </c>
      <c r="AA2953" s="33" t="inlineStr">
        <is>
          <t>1</t>
        </is>
      </c>
      <c r="AB2953" s="33" t="inlineStr">
        <is>
          <t>https://www.swimcloud.com/results/305604/event/8/?id=127579345#time127579345</t>
        </is>
      </c>
      <c r="AC2953" s="33" t="inlineStr">
        <is>
          <t>SwimCloud all-event v8 2026-10-09</t>
        </is>
      </c>
      <c r="AD2953" s="33" t="inlineStr">
        <is>
          <t>Grayson Coulter|2024-05-24|LCM|50|Free|25.77|2024 Golden Homes Swimfest|TIM|False</t>
        </is>
      </c>
      <c r="AE2953" s="53">
        <f>G2953+L2953/1000+ROW()/1000000000</f>
        <v/>
      </c>
      <c r="AF2953" s="35">
        <f>IF(C2953&lt;&gt;"Grayson Coulter","",COUNTIFS($C$5:$C$2991,"Grayson Coulter",$Q$5:$Q$2991,Q2953,$AE$5:$AE$2991,"&lt;="&amp;AE2953,$R$5:$R$2991,"&lt;"&amp;R2953))</f>
        <v/>
      </c>
      <c r="AG2953" s="35">
        <f>IF(OR(C2953&lt;&gt;"Grayson Coulter",G2953&lt;'00_Control'!$B$7),"",--(AF2953&lt;5))</f>
        <v/>
      </c>
      <c r="AH2953" s="35">
        <f>IF(OR(C2953&lt;&gt;"Grayson Coulter",G2953&lt;'00_Control'!$B$7),"",--(AF2953&lt;10))</f>
        <v/>
      </c>
      <c r="AI2953" s="35">
        <f>IF(AND(C2953="Grayson Coulter",G2953&gt;='00_Control'!$B$7),"YES","NO")</f>
        <v/>
      </c>
      <c r="AJ2953" s="33" t="inlineStr">
        <is>
          <t>OK</t>
        </is>
      </c>
    </row>
    <row r="2954">
      <c r="A2954" s="33" t="inlineStr">
        <is>
          <t>SM002950</t>
        </is>
      </c>
      <c r="B2954" s="33" t="inlineStr">
        <is>
          <t>SW001</t>
        </is>
      </c>
      <c r="C2954" s="33" t="inlineStr">
        <is>
          <t>Grayson Coulter</t>
        </is>
      </c>
      <c r="D2954" s="33" t="inlineStr">
        <is>
          <t>SwimCloud</t>
        </is>
      </c>
      <c r="E2954" s="33" t="inlineStr">
        <is>
          <t>3651023</t>
        </is>
      </c>
      <c r="F2954" s="33" t="inlineStr">
        <is>
          <t>125075712</t>
        </is>
      </c>
      <c r="G2954" s="51" t="n">
        <v>45368</v>
      </c>
      <c r="H2954" s="33" t="inlineStr">
        <is>
          <t>2024 Auckland Age Group &amp; Open</t>
        </is>
      </c>
      <c r="I2954" s="33" t="inlineStr">
        <is>
          <t>302676</t>
        </is>
      </c>
      <c r="J2954" s="33" t="n"/>
      <c r="K2954" s="33" t="inlineStr">
        <is>
          <t>FIN</t>
        </is>
      </c>
      <c r="L2954" s="35">
        <f>IF(K2954="FIN",3,IF(OR(K2954="SEM",K2954="SEMI"),2,IF(OR(K2954="PRE",K2954="HEAT"),1,IF(V2954="YES",4,2))))</f>
        <v/>
      </c>
      <c r="M2954" s="33" t="inlineStr">
        <is>
          <t>LCM</t>
        </is>
      </c>
      <c r="N2954" s="33" t="n">
        <v>50</v>
      </c>
      <c r="O2954" s="33" t="inlineStr">
        <is>
          <t>Free</t>
        </is>
      </c>
      <c r="P2954" s="33" t="inlineStr">
        <is>
          <t>50 Free</t>
        </is>
      </c>
      <c r="Q2954" s="33" t="inlineStr">
        <is>
          <t>LCM_50_FREE</t>
        </is>
      </c>
      <c r="R2954" s="36" t="n">
        <v>25.9</v>
      </c>
      <c r="S2954" s="35">
        <f>IF(R2954="","",IF(R2954&gt;=60,INT(R2954/60)&amp;":"&amp;TEXT(MOD(R2954,60),"00.00"),TEXT(R2954,"0.00")))</f>
        <v/>
      </c>
      <c r="T2954" s="52">
        <f>IFERROR((G2954-INDEX('01_Swimmers'!$E$5:$E$22,MATCH(B2954,'01_Swimmers'!$A$5:$A$22,0)))/'00_Control'!$B$10,"")</f>
        <v/>
      </c>
      <c r="U2954" s="35">
        <f>IF(T2954="","",INT(T2954))</f>
        <v/>
      </c>
      <c r="V2954" s="33" t="inlineStr">
        <is>
          <t>NO</t>
        </is>
      </c>
      <c r="W2954" s="33" t="inlineStr">
        <is>
          <t>YES</t>
        </is>
      </c>
      <c r="X2954" s="33" t="inlineStr">
        <is>
          <t>NO</t>
        </is>
      </c>
      <c r="Y2954" s="33" t="n">
        <v>1</v>
      </c>
      <c r="Z2954" s="33" t="n">
        <v>4</v>
      </c>
      <c r="AA2954" s="33" t="inlineStr">
        <is>
          <t>1</t>
        </is>
      </c>
      <c r="AB2954" s="33" t="inlineStr">
        <is>
          <t>https://www.swimcloud.com/results/302676/event/34/?id=125075712#time125075712</t>
        </is>
      </c>
      <c r="AC2954" s="33" t="inlineStr">
        <is>
          <t>SwimCloud all-event v8 2026-10-09</t>
        </is>
      </c>
      <c r="AD2954" s="33" t="inlineStr">
        <is>
          <t>Grayson Coulter|2024-03-17|LCM|50|Free|25.9|2024 Auckland Age Group &amp; Open|FIN|False</t>
        </is>
      </c>
      <c r="AE2954" s="53">
        <f>G2954+L2954/1000+ROW()/1000000000</f>
        <v/>
      </c>
      <c r="AF2954" s="35">
        <f>IF(C2954&lt;&gt;"Grayson Coulter","",COUNTIFS($C$5:$C$2991,"Grayson Coulter",$Q$5:$Q$2991,Q2954,$AE$5:$AE$2991,"&lt;="&amp;AE2954,$R$5:$R$2991,"&lt;"&amp;R2954))</f>
        <v/>
      </c>
      <c r="AG2954" s="35">
        <f>IF(OR(C2954&lt;&gt;"Grayson Coulter",G2954&lt;'00_Control'!$B$7),"",--(AF2954&lt;5))</f>
        <v/>
      </c>
      <c r="AH2954" s="35">
        <f>IF(OR(C2954&lt;&gt;"Grayson Coulter",G2954&lt;'00_Control'!$B$7),"",--(AF2954&lt;10))</f>
        <v/>
      </c>
      <c r="AI2954" s="35">
        <f>IF(AND(C2954="Grayson Coulter",G2954&gt;='00_Control'!$B$7),"YES","NO")</f>
        <v/>
      </c>
      <c r="AJ2954" s="33" t="inlineStr">
        <is>
          <t>OK</t>
        </is>
      </c>
    </row>
    <row r="2955">
      <c r="A2955" s="33" t="inlineStr">
        <is>
          <t>SM002951</t>
        </is>
      </c>
      <c r="B2955" s="33" t="inlineStr">
        <is>
          <t>SW001</t>
        </is>
      </c>
      <c r="C2955" s="33" t="inlineStr">
        <is>
          <t>Grayson Coulter</t>
        </is>
      </c>
      <c r="D2955" s="33" t="inlineStr">
        <is>
          <t>SwimCloud</t>
        </is>
      </c>
      <c r="E2955" s="33" t="inlineStr">
        <is>
          <t>3651023</t>
        </is>
      </c>
      <c r="F2955" s="33" t="inlineStr">
        <is>
          <t>125075711</t>
        </is>
      </c>
      <c r="G2955" s="51" t="n">
        <v>45368</v>
      </c>
      <c r="H2955" s="33" t="inlineStr">
        <is>
          <t>2024 Auckland Age Group &amp; Open</t>
        </is>
      </c>
      <c r="I2955" s="33" t="inlineStr">
        <is>
          <t>302676</t>
        </is>
      </c>
      <c r="J2955" s="33" t="n"/>
      <c r="K2955" s="33" t="inlineStr">
        <is>
          <t>PRE</t>
        </is>
      </c>
      <c r="L2955" s="35">
        <f>IF(K2955="FIN",3,IF(OR(K2955="SEM",K2955="SEMI"),2,IF(OR(K2955="PRE",K2955="HEAT"),1,IF(V2955="YES",4,2))))</f>
        <v/>
      </c>
      <c r="M2955" s="33" t="inlineStr">
        <is>
          <t>LCM</t>
        </is>
      </c>
      <c r="N2955" s="33" t="n">
        <v>50</v>
      </c>
      <c r="O2955" s="33" t="inlineStr">
        <is>
          <t>Free</t>
        </is>
      </c>
      <c r="P2955" s="33" t="inlineStr">
        <is>
          <t>50 Free</t>
        </is>
      </c>
      <c r="Q2955" s="33" t="inlineStr">
        <is>
          <t>LCM_50_FREE</t>
        </is>
      </c>
      <c r="R2955" s="36" t="n">
        <v>26.16</v>
      </c>
      <c r="S2955" s="35">
        <f>IF(R2955="","",IF(R2955&gt;=60,INT(R2955/60)&amp;":"&amp;TEXT(MOD(R2955,60),"00.00"),TEXT(R2955,"0.00")))</f>
        <v/>
      </c>
      <c r="T2955" s="52">
        <f>IFERROR((G2955-INDEX('01_Swimmers'!$E$5:$E$22,MATCH(B2955,'01_Swimmers'!$A$5:$A$22,0)))/'00_Control'!$B$10,"")</f>
        <v/>
      </c>
      <c r="U2955" s="35">
        <f>IF(T2955="","",INT(T2955))</f>
        <v/>
      </c>
      <c r="V2955" s="33" t="inlineStr">
        <is>
          <t>NO</t>
        </is>
      </c>
      <c r="W2955" s="33" t="inlineStr">
        <is>
          <t>YES</t>
        </is>
      </c>
      <c r="X2955" s="33" t="inlineStr">
        <is>
          <t>NO</t>
        </is>
      </c>
      <c r="Y2955" s="33" t="n">
        <v>8</v>
      </c>
      <c r="Z2955" s="33" t="n">
        <v>9</v>
      </c>
      <c r="AA2955" s="33" t="inlineStr">
        <is>
          <t>1</t>
        </is>
      </c>
      <c r="AB2955" s="33" t="inlineStr">
        <is>
          <t>https://www.swimcloud.com/results/302676/event/34/?id=125075711#time125075711</t>
        </is>
      </c>
      <c r="AC2955" s="33" t="inlineStr">
        <is>
          <t>SwimCloud all-event v8 2026-10-09</t>
        </is>
      </c>
      <c r="AD2955" s="33" t="inlineStr">
        <is>
          <t>Grayson Coulter|2024-03-17|LCM|50|Free|26.16|2024 Auckland Age Group &amp; Open|PRE|False</t>
        </is>
      </c>
      <c r="AE2955" s="53">
        <f>G2955+L2955/1000+ROW()/1000000000</f>
        <v/>
      </c>
      <c r="AF2955" s="35">
        <f>IF(C2955&lt;&gt;"Grayson Coulter","",COUNTIFS($C$5:$C$2991,"Grayson Coulter",$Q$5:$Q$2991,Q2955,$AE$5:$AE$2991,"&lt;="&amp;AE2955,$R$5:$R$2991,"&lt;"&amp;R2955))</f>
        <v/>
      </c>
      <c r="AG2955" s="35">
        <f>IF(OR(C2955&lt;&gt;"Grayson Coulter",G2955&lt;'00_Control'!$B$7),"",--(AF2955&lt;5))</f>
        <v/>
      </c>
      <c r="AH2955" s="35">
        <f>IF(OR(C2955&lt;&gt;"Grayson Coulter",G2955&lt;'00_Control'!$B$7),"",--(AF2955&lt;10))</f>
        <v/>
      </c>
      <c r="AI2955" s="35">
        <f>IF(AND(C2955="Grayson Coulter",G2955&gt;='00_Control'!$B$7),"YES","NO")</f>
        <v/>
      </c>
      <c r="AJ2955" s="33" t="inlineStr">
        <is>
          <t>OK</t>
        </is>
      </c>
    </row>
    <row r="2956">
      <c r="A2956" s="33" t="inlineStr">
        <is>
          <t>SM002952</t>
        </is>
      </c>
      <c r="B2956" s="33" t="inlineStr">
        <is>
          <t>SW001</t>
        </is>
      </c>
      <c r="C2956" s="33" t="inlineStr">
        <is>
          <t>Grayson Coulter</t>
        </is>
      </c>
      <c r="D2956" s="33" t="inlineStr">
        <is>
          <t>SwimCloud</t>
        </is>
      </c>
      <c r="E2956" s="33" t="inlineStr">
        <is>
          <t>3651023</t>
        </is>
      </c>
      <c r="F2956" s="33" t="inlineStr">
        <is>
          <t>125073340</t>
        </is>
      </c>
      <c r="G2956" s="51" t="n">
        <v>45353</v>
      </c>
      <c r="H2956" s="33" t="inlineStr">
        <is>
          <t>2024 ASA Juniors</t>
        </is>
      </c>
      <c r="I2956" s="33" t="inlineStr">
        <is>
          <t>302675</t>
        </is>
      </c>
      <c r="J2956" s="33" t="n"/>
      <c r="K2956" s="33" t="inlineStr">
        <is>
          <t>TIM</t>
        </is>
      </c>
      <c r="L2956" s="35">
        <f>IF(K2956="FIN",3,IF(OR(K2956="SEM",K2956="SEMI"),2,IF(OR(K2956="PRE",K2956="HEAT"),1,IF(V2956="YES",4,2))))</f>
        <v/>
      </c>
      <c r="M2956" s="33" t="inlineStr">
        <is>
          <t>LCM</t>
        </is>
      </c>
      <c r="N2956" s="33" t="n">
        <v>50</v>
      </c>
      <c r="O2956" s="33" t="inlineStr">
        <is>
          <t>Free</t>
        </is>
      </c>
      <c r="P2956" s="33" t="inlineStr">
        <is>
          <t>50 Free</t>
        </is>
      </c>
      <c r="Q2956" s="33" t="inlineStr">
        <is>
          <t>LCM_50_FREE</t>
        </is>
      </c>
      <c r="R2956" s="36" t="n">
        <v>26.13</v>
      </c>
      <c r="S2956" s="35">
        <f>IF(R2956="","",IF(R2956&gt;=60,INT(R2956/60)&amp;":"&amp;TEXT(MOD(R2956,60),"00.00"),TEXT(R2956,"0.00")))</f>
        <v/>
      </c>
      <c r="T2956" s="52">
        <f>IFERROR((G2956-INDEX('01_Swimmers'!$E$5:$E$22,MATCH(B2956,'01_Swimmers'!$A$5:$A$22,0)))/'00_Control'!$B$10,"")</f>
        <v/>
      </c>
      <c r="U2956" s="35">
        <f>IF(T2956="","",INT(T2956))</f>
        <v/>
      </c>
      <c r="V2956" s="33" t="inlineStr">
        <is>
          <t>NO</t>
        </is>
      </c>
      <c r="W2956" s="33" t="inlineStr">
        <is>
          <t>YES</t>
        </is>
      </c>
      <c r="X2956" s="33" t="inlineStr">
        <is>
          <t>NO</t>
        </is>
      </c>
      <c r="Y2956" s="33" t="n">
        <v>20</v>
      </c>
      <c r="Z2956" s="33" t="n">
        <v>4</v>
      </c>
      <c r="AA2956" s="33" t="inlineStr">
        <is>
          <t>1</t>
        </is>
      </c>
      <c r="AB2956" s="33" t="inlineStr">
        <is>
          <t>https://www.swimcloud.com/results/302675/event/8/?id=125073340#time125073340</t>
        </is>
      </c>
      <c r="AC2956" s="33" t="inlineStr">
        <is>
          <t>SwimCloud all-event v8 2026-10-09</t>
        </is>
      </c>
      <c r="AD2956" s="33" t="inlineStr">
        <is>
          <t>Grayson Coulter|2024-03-02|LCM|50|Free|26.13|2024 ASA Juniors|TIM|False</t>
        </is>
      </c>
      <c r="AE2956" s="53">
        <f>G2956+L2956/1000+ROW()/1000000000</f>
        <v/>
      </c>
      <c r="AF2956" s="35">
        <f>IF(C2956&lt;&gt;"Grayson Coulter","",COUNTIFS($C$5:$C$2991,"Grayson Coulter",$Q$5:$Q$2991,Q2956,$AE$5:$AE$2991,"&lt;="&amp;AE2956,$R$5:$R$2991,"&lt;"&amp;R2956))</f>
        <v/>
      </c>
      <c r="AG2956" s="35">
        <f>IF(OR(C2956&lt;&gt;"Grayson Coulter",G2956&lt;'00_Control'!$B$7),"",--(AF2956&lt;5))</f>
        <v/>
      </c>
      <c r="AH2956" s="35">
        <f>IF(OR(C2956&lt;&gt;"Grayson Coulter",G2956&lt;'00_Control'!$B$7),"",--(AF2956&lt;10))</f>
        <v/>
      </c>
      <c r="AI2956" s="35">
        <f>IF(AND(C2956="Grayson Coulter",G2956&gt;='00_Control'!$B$7),"YES","NO")</f>
        <v/>
      </c>
      <c r="AJ2956" s="33" t="inlineStr">
        <is>
          <t>OK</t>
        </is>
      </c>
    </row>
    <row r="2957">
      <c r="A2957" s="33" t="inlineStr">
        <is>
          <t>SM002953</t>
        </is>
      </c>
      <c r="B2957" s="33" t="inlineStr">
        <is>
          <t>SW001</t>
        </is>
      </c>
      <c r="C2957" s="33" t="inlineStr">
        <is>
          <t>Grayson Coulter</t>
        </is>
      </c>
      <c r="D2957" s="33" t="inlineStr">
        <is>
          <t>SwimCloud</t>
        </is>
      </c>
      <c r="E2957" s="33" t="inlineStr">
        <is>
          <t>3651023</t>
        </is>
      </c>
      <c r="F2957" s="33" t="inlineStr">
        <is>
          <t>125073982</t>
        </is>
      </c>
      <c r="G2957" s="51" t="n">
        <v>45352</v>
      </c>
      <c r="H2957" s="33" t="inlineStr">
        <is>
          <t>2024 ASA Juniors</t>
        </is>
      </c>
      <c r="I2957" s="33" t="inlineStr">
        <is>
          <t>302675</t>
        </is>
      </c>
      <c r="J2957" s="33" t="n"/>
      <c r="K2957" s="33" t="inlineStr">
        <is>
          <t>TIM</t>
        </is>
      </c>
      <c r="L2957" s="35">
        <f>IF(K2957="FIN",3,IF(OR(K2957="SEM",K2957="SEMI"),2,IF(OR(K2957="PRE",K2957="HEAT"),1,IF(V2957="YES",4,2))))</f>
        <v/>
      </c>
      <c r="M2957" s="33" t="inlineStr">
        <is>
          <t>LCM</t>
        </is>
      </c>
      <c r="N2957" s="33" t="n">
        <v>50</v>
      </c>
      <c r="O2957" s="33" t="inlineStr">
        <is>
          <t>Free</t>
        </is>
      </c>
      <c r="P2957" s="33" t="inlineStr">
        <is>
          <t>50 Free</t>
        </is>
      </c>
      <c r="Q2957" s="33" t="inlineStr">
        <is>
          <t>LCM_50_FREE</t>
        </is>
      </c>
      <c r="R2957" s="36" t="n">
        <v>27.58</v>
      </c>
      <c r="S2957" s="35">
        <f>IF(R2957="","",IF(R2957&gt;=60,INT(R2957/60)&amp;":"&amp;TEXT(MOD(R2957,60),"00.00"),TEXT(R2957,"0.00")))</f>
        <v/>
      </c>
      <c r="T2957" s="52">
        <f>IFERROR((G2957-INDEX('01_Swimmers'!$E$5:$E$22,MATCH(B2957,'01_Swimmers'!$A$5:$A$22,0)))/'00_Control'!$B$10,"")</f>
        <v/>
      </c>
      <c r="U2957" s="35">
        <f>IF(T2957="","",INT(T2957))</f>
        <v/>
      </c>
      <c r="V2957" s="33" t="inlineStr">
        <is>
          <t>YES</t>
        </is>
      </c>
      <c r="W2957" s="33" t="inlineStr">
        <is>
          <t>YES</t>
        </is>
      </c>
      <c r="X2957" s="33" t="inlineStr">
        <is>
          <t>NO</t>
        </is>
      </c>
      <c r="Y2957" s="33" t="n">
        <v>2</v>
      </c>
      <c r="Z2957" s="33" t="n">
        <v>5</v>
      </c>
      <c r="AA2957" s="33" t="inlineStr"/>
      <c r="AB2957" s="33" t="inlineStr">
        <is>
          <t>https://www.swimcloud.com/results/302675/event/2/?id=125073238#time125073238</t>
        </is>
      </c>
      <c r="AC2957" s="33" t="inlineStr">
        <is>
          <t>SwimCloud all-event v8 2026-10-09</t>
        </is>
      </c>
      <c r="AD2957" s="33" t="inlineStr">
        <is>
          <t>Grayson Coulter|2024-03-01|LCM|50|Free|27.58|2024 ASA Juniors|TIM|True</t>
        </is>
      </c>
      <c r="AE2957" s="53">
        <f>G2957+L2957/1000+ROW()/1000000000</f>
        <v/>
      </c>
      <c r="AF2957" s="35">
        <f>IF(C2957&lt;&gt;"Grayson Coulter","",COUNTIFS($C$5:$C$2991,"Grayson Coulter",$Q$5:$Q$2991,Q2957,$AE$5:$AE$2991,"&lt;="&amp;AE2957,$R$5:$R$2991,"&lt;"&amp;R2957))</f>
        <v/>
      </c>
      <c r="AG2957" s="35">
        <f>IF(OR(C2957&lt;&gt;"Grayson Coulter",G2957&lt;'00_Control'!$B$7),"",--(AF2957&lt;5))</f>
        <v/>
      </c>
      <c r="AH2957" s="35">
        <f>IF(OR(C2957&lt;&gt;"Grayson Coulter",G2957&lt;'00_Control'!$B$7),"",--(AF2957&lt;10))</f>
        <v/>
      </c>
      <c r="AI2957" s="35">
        <f>IF(AND(C2957="Grayson Coulter",G2957&gt;='00_Control'!$B$7),"YES","NO")</f>
        <v/>
      </c>
      <c r="AJ2957" s="33" t="inlineStr">
        <is>
          <t>OK</t>
        </is>
      </c>
    </row>
    <row r="2958">
      <c r="A2958" s="33" t="inlineStr">
        <is>
          <t>SM002954</t>
        </is>
      </c>
      <c r="B2958" s="33" t="inlineStr">
        <is>
          <t>SW001</t>
        </is>
      </c>
      <c r="C2958" s="33" t="inlineStr">
        <is>
          <t>Grayson Coulter</t>
        </is>
      </c>
      <c r="D2958" s="33" t="inlineStr">
        <is>
          <t>SwimCloud</t>
        </is>
      </c>
      <c r="E2958" s="33" t="inlineStr">
        <is>
          <t>3651023</t>
        </is>
      </c>
      <c r="F2958" s="33" t="inlineStr">
        <is>
          <t>125072256</t>
        </is>
      </c>
      <c r="G2958" s="51" t="n">
        <v>45333</v>
      </c>
      <c r="H2958" s="33" t="inlineStr">
        <is>
          <t>ROS Level 1&amp;2</t>
        </is>
      </c>
      <c r="I2958" s="33" t="inlineStr">
        <is>
          <t>302674</t>
        </is>
      </c>
      <c r="J2958" s="33" t="n"/>
      <c r="K2958" s="33" t="inlineStr">
        <is>
          <t>TIM</t>
        </is>
      </c>
      <c r="L2958" s="35">
        <f>IF(K2958="FIN",3,IF(OR(K2958="SEM",K2958="SEMI"),2,IF(OR(K2958="PRE",K2958="HEAT"),1,IF(V2958="YES",4,2))))</f>
        <v/>
      </c>
      <c r="M2958" s="33" t="inlineStr">
        <is>
          <t>LCM</t>
        </is>
      </c>
      <c r="N2958" s="33" t="n">
        <v>50</v>
      </c>
      <c r="O2958" s="33" t="inlineStr">
        <is>
          <t>Free</t>
        </is>
      </c>
      <c r="P2958" s="33" t="inlineStr">
        <is>
          <t>50 Free</t>
        </is>
      </c>
      <c r="Q2958" s="33" t="inlineStr">
        <is>
          <t>LCM_50_FREE</t>
        </is>
      </c>
      <c r="R2958" s="36" t="n">
        <v>27.57</v>
      </c>
      <c r="S2958" s="35">
        <f>IF(R2958="","",IF(R2958&gt;=60,INT(R2958/60)&amp;":"&amp;TEXT(MOD(R2958,60),"00.00"),TEXT(R2958,"0.00")))</f>
        <v/>
      </c>
      <c r="T2958" s="52">
        <f>IFERROR((G2958-INDEX('01_Swimmers'!$E$5:$E$22,MATCH(B2958,'01_Swimmers'!$A$5:$A$22,0)))/'00_Control'!$B$10,"")</f>
        <v/>
      </c>
      <c r="U2958" s="35">
        <f>IF(T2958="","",INT(T2958))</f>
        <v/>
      </c>
      <c r="V2958" s="33" t="inlineStr">
        <is>
          <t>NO</t>
        </is>
      </c>
      <c r="W2958" s="33" t="inlineStr">
        <is>
          <t>YES</t>
        </is>
      </c>
      <c r="X2958" s="33" t="inlineStr">
        <is>
          <t>NO</t>
        </is>
      </c>
      <c r="Y2958" s="33" t="n">
        <v>16</v>
      </c>
      <c r="Z2958" s="33" t="n">
        <v>6</v>
      </c>
      <c r="AA2958" s="33" t="inlineStr"/>
      <c r="AB2958" s="33" t="inlineStr">
        <is>
          <t>https://www.swimcloud.com/results/302674/event/16/?id=125070925#time125070925</t>
        </is>
      </c>
      <c r="AC2958" s="33" t="inlineStr">
        <is>
          <t>SwimCloud all-event v8 2026-10-09</t>
        </is>
      </c>
      <c r="AD2958" s="33" t="inlineStr">
        <is>
          <t>Grayson Coulter|2024-02-11|LCM|50|Free|27.57|ROS Level 1&amp;2|TIM|False</t>
        </is>
      </c>
      <c r="AE2958" s="53">
        <f>G2958+L2958/1000+ROW()/1000000000</f>
        <v/>
      </c>
      <c r="AF2958" s="35">
        <f>IF(C2958&lt;&gt;"Grayson Coulter","",COUNTIFS($C$5:$C$2991,"Grayson Coulter",$Q$5:$Q$2991,Q2958,$AE$5:$AE$2991,"&lt;="&amp;AE2958,$R$5:$R$2991,"&lt;"&amp;R2958))</f>
        <v/>
      </c>
      <c r="AG2958" s="35">
        <f>IF(OR(C2958&lt;&gt;"Grayson Coulter",G2958&lt;'00_Control'!$B$7),"",--(AF2958&lt;5))</f>
        <v/>
      </c>
      <c r="AH2958" s="35">
        <f>IF(OR(C2958&lt;&gt;"Grayson Coulter",G2958&lt;'00_Control'!$B$7),"",--(AF2958&lt;10))</f>
        <v/>
      </c>
      <c r="AI2958" s="35">
        <f>IF(AND(C2958="Grayson Coulter",G2958&gt;='00_Control'!$B$7),"YES","NO")</f>
        <v/>
      </c>
      <c r="AJ2958" s="33" t="inlineStr">
        <is>
          <t>OK</t>
        </is>
      </c>
    </row>
    <row r="2959">
      <c r="A2959" s="33" t="inlineStr">
        <is>
          <t>SM002955</t>
        </is>
      </c>
      <c r="B2959" s="33" t="inlineStr">
        <is>
          <t>SW001</t>
        </is>
      </c>
      <c r="C2959" s="33" t="inlineStr">
        <is>
          <t>Grayson Coulter</t>
        </is>
      </c>
      <c r="D2959" s="33" t="inlineStr">
        <is>
          <t>SwimCloud</t>
        </is>
      </c>
      <c r="E2959" s="33" t="inlineStr">
        <is>
          <t>3651023</t>
        </is>
      </c>
      <c r="F2959" s="33" t="inlineStr">
        <is>
          <t>100466022</t>
        </is>
      </c>
      <c r="G2959" s="51" t="n">
        <v>44896</v>
      </c>
      <c r="H2959" s="33" t="inlineStr">
        <is>
          <t>2022 ASA Champion of Champions</t>
        </is>
      </c>
      <c r="I2959" s="33" t="inlineStr">
        <is>
          <t>267186</t>
        </is>
      </c>
      <c r="J2959" s="33" t="n"/>
      <c r="K2959" s="33" t="inlineStr">
        <is>
          <t>TIM</t>
        </is>
      </c>
      <c r="L2959" s="35">
        <f>IF(K2959="FIN",3,IF(OR(K2959="SEM",K2959="SEMI"),2,IF(OR(K2959="PRE",K2959="HEAT"),1,IF(V2959="YES",4,2))))</f>
        <v/>
      </c>
      <c r="M2959" s="33" t="inlineStr">
        <is>
          <t>LCM</t>
        </is>
      </c>
      <c r="N2959" s="33" t="n">
        <v>50</v>
      </c>
      <c r="O2959" s="33" t="inlineStr">
        <is>
          <t>Free</t>
        </is>
      </c>
      <c r="P2959" s="33" t="inlineStr">
        <is>
          <t>50 Free</t>
        </is>
      </c>
      <c r="Q2959" s="33" t="inlineStr">
        <is>
          <t>LCM_50_FREE</t>
        </is>
      </c>
      <c r="R2959" s="36" t="n">
        <v>29.58</v>
      </c>
      <c r="S2959" s="35">
        <f>IF(R2959="","",IF(R2959&gt;=60,INT(R2959/60)&amp;":"&amp;TEXT(MOD(R2959,60),"00.00"),TEXT(R2959,"0.00")))</f>
        <v/>
      </c>
      <c r="T2959" s="52">
        <f>IFERROR((G2959-INDEX('01_Swimmers'!$E$5:$E$22,MATCH(B2959,'01_Swimmers'!$A$5:$A$22,0)))/'00_Control'!$B$10,"")</f>
        <v/>
      </c>
      <c r="U2959" s="35">
        <f>IF(T2959="","",INT(T2959))</f>
        <v/>
      </c>
      <c r="V2959" s="33" t="inlineStr">
        <is>
          <t>NO</t>
        </is>
      </c>
      <c r="W2959" s="33" t="inlineStr">
        <is>
          <t>YES</t>
        </is>
      </c>
      <c r="X2959" s="33" t="inlineStr">
        <is>
          <t>NO</t>
        </is>
      </c>
      <c r="Y2959" s="33" t="n">
        <v>18</v>
      </c>
      <c r="Z2959" s="33" t="n">
        <v>2</v>
      </c>
      <c r="AA2959" s="33" t="inlineStr">
        <is>
          <t>1</t>
        </is>
      </c>
      <c r="AB2959" s="33" t="inlineStr">
        <is>
          <t>https://www.swimcloud.com/results/267186/event/1/?id=100466022#time100466022</t>
        </is>
      </c>
      <c r="AC2959" s="33" t="inlineStr">
        <is>
          <t>SwimCloud all-event v8 2026-10-09</t>
        </is>
      </c>
      <c r="AD2959" s="33" t="inlineStr">
        <is>
          <t>Grayson Coulter|2022-12-01|LCM|50|Free|29.58|2022 ASA Champion of Champions|TIM|False</t>
        </is>
      </c>
      <c r="AE2959" s="53">
        <f>G2959+L2959/1000+ROW()/1000000000</f>
        <v/>
      </c>
      <c r="AF2959" s="35">
        <f>IF(C2959&lt;&gt;"Grayson Coulter","",COUNTIFS($C$5:$C$2991,"Grayson Coulter",$Q$5:$Q$2991,Q2959,$AE$5:$AE$2991,"&lt;="&amp;AE2959,$R$5:$R$2991,"&lt;"&amp;R2959))</f>
        <v/>
      </c>
      <c r="AG2959" s="35">
        <f>IF(OR(C2959&lt;&gt;"Grayson Coulter",G2959&lt;'00_Control'!$B$7),"",--(AF2959&lt;5))</f>
        <v/>
      </c>
      <c r="AH2959" s="35">
        <f>IF(OR(C2959&lt;&gt;"Grayson Coulter",G2959&lt;'00_Control'!$B$7),"",--(AF2959&lt;10))</f>
        <v/>
      </c>
      <c r="AI2959" s="35">
        <f>IF(AND(C2959="Grayson Coulter",G2959&gt;='00_Control'!$B$7),"YES","NO")</f>
        <v/>
      </c>
      <c r="AJ2959" s="33" t="inlineStr">
        <is>
          <t>OK</t>
        </is>
      </c>
    </row>
    <row r="2960">
      <c r="A2960" s="33" t="inlineStr">
        <is>
          <t>SM002956</t>
        </is>
      </c>
      <c r="B2960" s="33" t="inlineStr">
        <is>
          <t>SW001</t>
        </is>
      </c>
      <c r="C2960" s="33" t="inlineStr">
        <is>
          <t>Grayson Coulter</t>
        </is>
      </c>
      <c r="D2960" s="33" t="inlineStr">
        <is>
          <t>SwimCloud</t>
        </is>
      </c>
      <c r="E2960" s="33" t="inlineStr">
        <is>
          <t>3651023</t>
        </is>
      </c>
      <c r="F2960" s="33" t="inlineStr">
        <is>
          <t>109352631</t>
        </is>
      </c>
      <c r="G2960" s="51" t="n">
        <v>44717</v>
      </c>
      <c r="H2960" s="33" t="inlineStr">
        <is>
          <t>2022 Golden Homes Swimfest</t>
        </is>
      </c>
      <c r="I2960" s="33" t="inlineStr">
        <is>
          <t>267185</t>
        </is>
      </c>
      <c r="J2960" s="33" t="n"/>
      <c r="K2960" s="33" t="inlineStr">
        <is>
          <t>TIM</t>
        </is>
      </c>
      <c r="L2960" s="35">
        <f>IF(K2960="FIN",3,IF(OR(K2960="SEM",K2960="SEMI"),2,IF(OR(K2960="PRE",K2960="HEAT"),1,IF(V2960="YES",4,2))))</f>
        <v/>
      </c>
      <c r="M2960" s="33" t="inlineStr">
        <is>
          <t>LCM</t>
        </is>
      </c>
      <c r="N2960" s="33" t="n">
        <v>50</v>
      </c>
      <c r="O2960" s="33" t="inlineStr">
        <is>
          <t>Free</t>
        </is>
      </c>
      <c r="P2960" s="33" t="inlineStr">
        <is>
          <t>50 Free</t>
        </is>
      </c>
      <c r="Q2960" s="33" t="inlineStr">
        <is>
          <t>LCM_50_FREE</t>
        </is>
      </c>
      <c r="R2960" s="36" t="n">
        <v>31.83</v>
      </c>
      <c r="S2960" s="35">
        <f>IF(R2960="","",IF(R2960&gt;=60,INT(R2960/60)&amp;":"&amp;TEXT(MOD(R2960,60),"00.00"),TEXT(R2960,"0.00")))</f>
        <v/>
      </c>
      <c r="T2960" s="52">
        <f>IFERROR((G2960-INDEX('01_Swimmers'!$E$5:$E$22,MATCH(B2960,'01_Swimmers'!$A$5:$A$22,0)))/'00_Control'!$B$10,"")</f>
        <v/>
      </c>
      <c r="U2960" s="35">
        <f>IF(T2960="","",INT(T2960))</f>
        <v/>
      </c>
      <c r="V2960" s="33" t="inlineStr">
        <is>
          <t>NO</t>
        </is>
      </c>
      <c r="W2960" s="33" t="inlineStr">
        <is>
          <t>YES</t>
        </is>
      </c>
      <c r="X2960" s="33" t="inlineStr">
        <is>
          <t>NO</t>
        </is>
      </c>
      <c r="Y2960" s="33" t="n">
        <v>14</v>
      </c>
      <c r="Z2960" s="33" t="n">
        <v>5</v>
      </c>
      <c r="AA2960" s="33" t="inlineStr"/>
      <c r="AB2960" s="33" t="inlineStr">
        <is>
          <t>https://www.swimcloud.com/results/267185/event/40/?id=109351635#time109351635</t>
        </is>
      </c>
      <c r="AC2960" s="33" t="inlineStr">
        <is>
          <t>SwimCloud all-event v8 2026-10-09</t>
        </is>
      </c>
      <c r="AD2960" s="33" t="inlineStr">
        <is>
          <t>Grayson Coulter|2022-06-05|LCM|50|Free|31.83|2022 Golden Homes Swimfest|TIM|False</t>
        </is>
      </c>
      <c r="AE2960" s="53">
        <f>G2960+L2960/1000+ROW()/1000000000</f>
        <v/>
      </c>
      <c r="AF2960" s="35">
        <f>IF(C2960&lt;&gt;"Grayson Coulter","",COUNTIFS($C$5:$C$2991,"Grayson Coulter",$Q$5:$Q$2991,Q2960,$AE$5:$AE$2991,"&lt;="&amp;AE2960,$R$5:$R$2991,"&lt;"&amp;R2960))</f>
        <v/>
      </c>
      <c r="AG2960" s="35">
        <f>IF(OR(C2960&lt;&gt;"Grayson Coulter",G2960&lt;'00_Control'!$B$7),"",--(AF2960&lt;5))</f>
        <v/>
      </c>
      <c r="AH2960" s="35">
        <f>IF(OR(C2960&lt;&gt;"Grayson Coulter",G2960&lt;'00_Control'!$B$7),"",--(AF2960&lt;10))</f>
        <v/>
      </c>
      <c r="AI2960" s="35">
        <f>IF(AND(C2960="Grayson Coulter",G2960&gt;='00_Control'!$B$7),"YES","NO")</f>
        <v/>
      </c>
      <c r="AJ2960" s="33" t="inlineStr">
        <is>
          <t>OK</t>
        </is>
      </c>
    </row>
    <row r="2961">
      <c r="A2961" s="33" t="inlineStr">
        <is>
          <t>SM002957</t>
        </is>
      </c>
      <c r="B2961" s="33" t="inlineStr">
        <is>
          <t>SW001</t>
        </is>
      </c>
      <c r="C2961" s="33" t="inlineStr">
        <is>
          <t>Grayson Coulter</t>
        </is>
      </c>
      <c r="D2961" s="33" t="inlineStr">
        <is>
          <t>SwimCloud</t>
        </is>
      </c>
      <c r="E2961" s="33" t="inlineStr">
        <is>
          <t>3651023</t>
        </is>
      </c>
      <c r="F2961" s="33" t="inlineStr">
        <is>
          <t>109351004</t>
        </is>
      </c>
      <c r="G2961" s="51" t="n">
        <v>44715</v>
      </c>
      <c r="H2961" s="33" t="inlineStr">
        <is>
          <t>2022 Golden Homes Swimfest</t>
        </is>
      </c>
      <c r="I2961" s="33" t="inlineStr">
        <is>
          <t>267185</t>
        </is>
      </c>
      <c r="J2961" s="33" t="n"/>
      <c r="K2961" s="33" t="inlineStr">
        <is>
          <t>TIM</t>
        </is>
      </c>
      <c r="L2961" s="35">
        <f>IF(K2961="FIN",3,IF(OR(K2961="SEM",K2961="SEMI"),2,IF(OR(K2961="PRE",K2961="HEAT"),1,IF(V2961="YES",4,2))))</f>
        <v/>
      </c>
      <c r="M2961" s="33" t="inlineStr">
        <is>
          <t>LCM</t>
        </is>
      </c>
      <c r="N2961" s="33" t="n">
        <v>50</v>
      </c>
      <c r="O2961" s="33" t="inlineStr">
        <is>
          <t>Free</t>
        </is>
      </c>
      <c r="P2961" s="33" t="inlineStr">
        <is>
          <t>50 Free</t>
        </is>
      </c>
      <c r="Q2961" s="33" t="inlineStr">
        <is>
          <t>LCM_50_FREE</t>
        </is>
      </c>
      <c r="R2961" s="36" t="n">
        <v>30.91</v>
      </c>
      <c r="S2961" s="35">
        <f>IF(R2961="","",IF(R2961&gt;=60,INT(R2961/60)&amp;":"&amp;TEXT(MOD(R2961,60),"00.00"),TEXT(R2961,"0.00")))</f>
        <v/>
      </c>
      <c r="T2961" s="52">
        <f>IFERROR((G2961-INDEX('01_Swimmers'!$E$5:$E$22,MATCH(B2961,'01_Swimmers'!$A$5:$A$22,0)))/'00_Control'!$B$10,"")</f>
        <v/>
      </c>
      <c r="U2961" s="35">
        <f>IF(T2961="","",INT(T2961))</f>
        <v/>
      </c>
      <c r="V2961" s="33" t="inlineStr">
        <is>
          <t>NO</t>
        </is>
      </c>
      <c r="W2961" s="33" t="inlineStr">
        <is>
          <t>YES</t>
        </is>
      </c>
      <c r="X2961" s="33" t="inlineStr">
        <is>
          <t>NO</t>
        </is>
      </c>
      <c r="Y2961" s="33" t="n">
        <v>13</v>
      </c>
      <c r="Z2961" s="33" t="n">
        <v>5</v>
      </c>
      <c r="AA2961" s="33" t="inlineStr">
        <is>
          <t>17</t>
        </is>
      </c>
      <c r="AB2961" s="33" t="inlineStr">
        <is>
          <t>https://www.swimcloud.com/results/267185/event/3/?id=109351004#time109351004</t>
        </is>
      </c>
      <c r="AC2961" s="33" t="inlineStr">
        <is>
          <t>SwimCloud all-event v8 2026-10-09</t>
        </is>
      </c>
      <c r="AD2961" s="33" t="inlineStr">
        <is>
          <t>Grayson Coulter|2022-06-03|LCM|50|Free|30.91|2022 Golden Homes Swimfest|TIM|False</t>
        </is>
      </c>
      <c r="AE2961" s="53">
        <f>G2961+L2961/1000+ROW()/1000000000</f>
        <v/>
      </c>
      <c r="AF2961" s="35">
        <f>IF(C2961&lt;&gt;"Grayson Coulter","",COUNTIFS($C$5:$C$2991,"Grayson Coulter",$Q$5:$Q$2991,Q2961,$AE$5:$AE$2991,"&lt;="&amp;AE2961,$R$5:$R$2991,"&lt;"&amp;R2961))</f>
        <v/>
      </c>
      <c r="AG2961" s="35">
        <f>IF(OR(C2961&lt;&gt;"Grayson Coulter",G2961&lt;'00_Control'!$B$7),"",--(AF2961&lt;5))</f>
        <v/>
      </c>
      <c r="AH2961" s="35">
        <f>IF(OR(C2961&lt;&gt;"Grayson Coulter",G2961&lt;'00_Control'!$B$7),"",--(AF2961&lt;10))</f>
        <v/>
      </c>
      <c r="AI2961" s="35">
        <f>IF(AND(C2961="Grayson Coulter",G2961&gt;='00_Control'!$B$7),"YES","NO")</f>
        <v/>
      </c>
      <c r="AJ2961" s="33" t="inlineStr">
        <is>
          <t>OK</t>
        </is>
      </c>
    </row>
    <row r="2962">
      <c r="A2962" s="33" t="inlineStr">
        <is>
          <t>SM002958</t>
        </is>
      </c>
      <c r="B2962" s="33" t="inlineStr">
        <is>
          <t>SW001</t>
        </is>
      </c>
      <c r="C2962" s="33" t="inlineStr">
        <is>
          <t>Grayson Coulter</t>
        </is>
      </c>
      <c r="D2962" s="33" t="inlineStr">
        <is>
          <t>SwimCloud</t>
        </is>
      </c>
      <c r="E2962" s="33" t="inlineStr">
        <is>
          <t>3651023</t>
        </is>
      </c>
      <c r="F2962" s="33" t="inlineStr">
        <is>
          <t>169785592</t>
        </is>
      </c>
      <c r="G2962" s="51" t="n">
        <v>46054</v>
      </c>
      <c r="H2962" s="33" t="inlineStr">
        <is>
          <t>Anthony Mosse Classic</t>
        </is>
      </c>
      <c r="I2962" s="33" t="inlineStr">
        <is>
          <t>376629</t>
        </is>
      </c>
      <c r="J2962" s="33" t="n"/>
      <c r="K2962" s="33" t="inlineStr">
        <is>
          <t>FIN</t>
        </is>
      </c>
      <c r="L2962" s="35">
        <f>IF(K2962="FIN",3,IF(OR(K2962="SEM",K2962="SEMI"),2,IF(OR(K2962="PRE",K2962="HEAT"),1,IF(V2962="YES",4,2))))</f>
        <v/>
      </c>
      <c r="M2962" s="33" t="inlineStr">
        <is>
          <t>SCM</t>
        </is>
      </c>
      <c r="N2962" s="33" t="n">
        <v>50</v>
      </c>
      <c r="O2962" s="33" t="inlineStr">
        <is>
          <t>Free</t>
        </is>
      </c>
      <c r="P2962" s="33" t="inlineStr">
        <is>
          <t>50 Free</t>
        </is>
      </c>
      <c r="Q2962" s="33" t="inlineStr">
        <is>
          <t>SCM_50_FREE</t>
        </is>
      </c>
      <c r="R2962" s="36" t="n">
        <v>23.72</v>
      </c>
      <c r="S2962" s="35">
        <f>IF(R2962="","",IF(R2962&gt;=60,INT(R2962/60)&amp;":"&amp;TEXT(MOD(R2962,60),"00.00"),TEXT(R2962,"0.00")))</f>
        <v/>
      </c>
      <c r="T2962" s="52">
        <f>IFERROR((G2962-INDEX('01_Swimmers'!$E$5:$E$22,MATCH(B2962,'01_Swimmers'!$A$5:$A$22,0)))/'00_Control'!$B$10,"")</f>
        <v/>
      </c>
      <c r="U2962" s="35">
        <f>IF(T2962="","",INT(T2962))</f>
        <v/>
      </c>
      <c r="V2962" s="33" t="inlineStr">
        <is>
          <t>NO</t>
        </is>
      </c>
      <c r="W2962" s="33" t="inlineStr">
        <is>
          <t>YES</t>
        </is>
      </c>
      <c r="X2962" s="33" t="inlineStr">
        <is>
          <t>NO</t>
        </is>
      </c>
      <c r="Y2962" s="33" t="n">
        <v>4</v>
      </c>
      <c r="Z2962" s="33" t="n">
        <v>8</v>
      </c>
      <c r="AA2962" s="33" t="inlineStr">
        <is>
          <t>7</t>
        </is>
      </c>
      <c r="AB2962" s="33" t="inlineStr">
        <is>
          <t>https://www.swimcloud.com/results/376629/event/45/?id=169785592#time169785592</t>
        </is>
      </c>
      <c r="AC2962" s="33" t="inlineStr">
        <is>
          <t>SwimCloud all-event v8 2026-10-09</t>
        </is>
      </c>
      <c r="AD2962" s="33" t="inlineStr">
        <is>
          <t>Grayson Coulter|2026-02-01|SCM|50|Free|23.72|Anthony Mosse Classic|FIN|False</t>
        </is>
      </c>
      <c r="AE2962" s="53">
        <f>G2962+L2962/1000+ROW()/1000000000</f>
        <v/>
      </c>
      <c r="AF2962" s="35">
        <f>IF(C2962&lt;&gt;"Grayson Coulter","",COUNTIFS($C$5:$C$2991,"Grayson Coulter",$Q$5:$Q$2991,Q2962,$AE$5:$AE$2991,"&lt;="&amp;AE2962,$R$5:$R$2991,"&lt;"&amp;R2962))</f>
        <v/>
      </c>
      <c r="AG2962" s="35">
        <f>IF(OR(C2962&lt;&gt;"Grayson Coulter",G2962&lt;'00_Control'!$B$7),"",--(AF2962&lt;5))</f>
        <v/>
      </c>
      <c r="AH2962" s="35">
        <f>IF(OR(C2962&lt;&gt;"Grayson Coulter",G2962&lt;'00_Control'!$B$7),"",--(AF2962&lt;10))</f>
        <v/>
      </c>
      <c r="AI2962" s="35">
        <f>IF(AND(C2962="Grayson Coulter",G2962&gt;='00_Control'!$B$7),"YES","NO")</f>
        <v/>
      </c>
      <c r="AJ2962" s="33" t="inlineStr">
        <is>
          <t>OK</t>
        </is>
      </c>
    </row>
    <row r="2963">
      <c r="A2963" s="33" t="inlineStr">
        <is>
          <t>SM002959</t>
        </is>
      </c>
      <c r="B2963" s="33" t="inlineStr">
        <is>
          <t>SW001</t>
        </is>
      </c>
      <c r="C2963" s="33" t="inlineStr">
        <is>
          <t>Grayson Coulter</t>
        </is>
      </c>
      <c r="D2963" s="33" t="inlineStr">
        <is>
          <t>SwimCloud</t>
        </is>
      </c>
      <c r="E2963" s="33" t="inlineStr">
        <is>
          <t>3651023</t>
        </is>
      </c>
      <c r="F2963" s="33" t="inlineStr">
        <is>
          <t>169785591</t>
        </is>
      </c>
      <c r="G2963" s="51" t="n">
        <v>46054</v>
      </c>
      <c r="H2963" s="33" t="inlineStr">
        <is>
          <t>Anthony Mosse Classic</t>
        </is>
      </c>
      <c r="I2963" s="33" t="inlineStr">
        <is>
          <t>376629</t>
        </is>
      </c>
      <c r="J2963" s="33" t="n"/>
      <c r="K2963" s="33" t="inlineStr">
        <is>
          <t>PRE</t>
        </is>
      </c>
      <c r="L2963" s="35">
        <f>IF(K2963="FIN",3,IF(OR(K2963="SEM",K2963="SEMI"),2,IF(OR(K2963="PRE",K2963="HEAT"),1,IF(V2963="YES",4,2))))</f>
        <v/>
      </c>
      <c r="M2963" s="33" t="inlineStr">
        <is>
          <t>SCM</t>
        </is>
      </c>
      <c r="N2963" s="33" t="n">
        <v>50</v>
      </c>
      <c r="O2963" s="33" t="inlineStr">
        <is>
          <t>Free</t>
        </is>
      </c>
      <c r="P2963" s="33" t="inlineStr">
        <is>
          <t>50 Free</t>
        </is>
      </c>
      <c r="Q2963" s="33" t="inlineStr">
        <is>
          <t>SCM_50_FREE</t>
        </is>
      </c>
      <c r="R2963" s="36" t="n">
        <v>23.78</v>
      </c>
      <c r="S2963" s="35">
        <f>IF(R2963="","",IF(R2963&gt;=60,INT(R2963/60)&amp;":"&amp;TEXT(MOD(R2963,60),"00.00"),TEXT(R2963,"0.00")))</f>
        <v/>
      </c>
      <c r="T2963" s="52">
        <f>IFERROR((G2963-INDEX('01_Swimmers'!$E$5:$E$22,MATCH(B2963,'01_Swimmers'!$A$5:$A$22,0)))/'00_Control'!$B$10,"")</f>
        <v/>
      </c>
      <c r="U2963" s="35">
        <f>IF(T2963="","",INT(T2963))</f>
        <v/>
      </c>
      <c r="V2963" s="33" t="inlineStr">
        <is>
          <t>NO</t>
        </is>
      </c>
      <c r="W2963" s="33" t="inlineStr">
        <is>
          <t>YES</t>
        </is>
      </c>
      <c r="X2963" s="33" t="inlineStr">
        <is>
          <t>NO</t>
        </is>
      </c>
      <c r="Y2963" s="33" t="n">
        <v>15</v>
      </c>
      <c r="Z2963" s="33" t="n">
        <v>6</v>
      </c>
      <c r="AA2963" s="33" t="inlineStr">
        <is>
          <t>8</t>
        </is>
      </c>
      <c r="AB2963" s="33" t="inlineStr">
        <is>
          <t>https://www.swimcloud.com/results/376629/event/45/?id=169785591#time169785591</t>
        </is>
      </c>
      <c r="AC2963" s="33" t="inlineStr">
        <is>
          <t>SwimCloud all-event v8 2026-10-09</t>
        </is>
      </c>
      <c r="AD2963" s="33" t="inlineStr">
        <is>
          <t>Grayson Coulter|2026-02-01|SCM|50|Free|23.78|Anthony Mosse Classic|PRE|False</t>
        </is>
      </c>
      <c r="AE2963" s="53">
        <f>G2963+L2963/1000+ROW()/1000000000</f>
        <v/>
      </c>
      <c r="AF2963" s="35">
        <f>IF(C2963&lt;&gt;"Grayson Coulter","",COUNTIFS($C$5:$C$2991,"Grayson Coulter",$Q$5:$Q$2991,Q2963,$AE$5:$AE$2991,"&lt;="&amp;AE2963,$R$5:$R$2991,"&lt;"&amp;R2963))</f>
        <v/>
      </c>
      <c r="AG2963" s="35">
        <f>IF(OR(C2963&lt;&gt;"Grayson Coulter",G2963&lt;'00_Control'!$B$7),"",--(AF2963&lt;5))</f>
        <v/>
      </c>
      <c r="AH2963" s="35">
        <f>IF(OR(C2963&lt;&gt;"Grayson Coulter",G2963&lt;'00_Control'!$B$7),"",--(AF2963&lt;10))</f>
        <v/>
      </c>
      <c r="AI2963" s="35">
        <f>IF(AND(C2963="Grayson Coulter",G2963&gt;='00_Control'!$B$7),"YES","NO")</f>
        <v/>
      </c>
      <c r="AJ2963" s="33" t="inlineStr">
        <is>
          <t>OK</t>
        </is>
      </c>
    </row>
    <row r="2964">
      <c r="A2964" s="33" t="inlineStr">
        <is>
          <t>SM002960</t>
        </is>
      </c>
      <c r="B2964" s="33" t="inlineStr">
        <is>
          <t>SW001</t>
        </is>
      </c>
      <c r="C2964" s="33" t="inlineStr">
        <is>
          <t>Grayson Coulter</t>
        </is>
      </c>
      <c r="D2964" s="33" t="inlineStr">
        <is>
          <t>SwimCloud</t>
        </is>
      </c>
      <c r="E2964" s="33" t="inlineStr">
        <is>
          <t>3651023</t>
        </is>
      </c>
      <c r="F2964" s="33" t="inlineStr">
        <is>
          <t>159522838</t>
        </is>
      </c>
      <c r="G2964" s="51" t="n">
        <v>45925</v>
      </c>
      <c r="H2964" s="33" t="inlineStr">
        <is>
          <t>New Zealand Short Course Championships</t>
        </is>
      </c>
      <c r="I2964" s="33" t="inlineStr">
        <is>
          <t>355663</t>
        </is>
      </c>
      <c r="J2964" s="33" t="n"/>
      <c r="K2964" s="33" t="inlineStr">
        <is>
          <t>TIM</t>
        </is>
      </c>
      <c r="L2964" s="35">
        <f>IF(K2964="FIN",3,IF(OR(K2964="SEM",K2964="SEMI"),2,IF(OR(K2964="PRE",K2964="HEAT"),1,IF(V2964="YES",4,2))))</f>
        <v/>
      </c>
      <c r="M2964" s="33" t="inlineStr">
        <is>
          <t>SCM</t>
        </is>
      </c>
      <c r="N2964" s="33" t="n">
        <v>50</v>
      </c>
      <c r="O2964" s="33" t="inlineStr">
        <is>
          <t>Free</t>
        </is>
      </c>
      <c r="P2964" s="33" t="inlineStr">
        <is>
          <t>50 Free</t>
        </is>
      </c>
      <c r="Q2964" s="33" t="inlineStr">
        <is>
          <t>SCM_50_FREE</t>
        </is>
      </c>
      <c r="R2964" s="36" t="n">
        <v>24.02</v>
      </c>
      <c r="S2964" s="35">
        <f>IF(R2964="","",IF(R2964&gt;=60,INT(R2964/60)&amp;":"&amp;TEXT(MOD(R2964,60),"00.00"),TEXT(R2964,"0.00")))</f>
        <v/>
      </c>
      <c r="T2964" s="52">
        <f>IFERROR((G2964-INDEX('01_Swimmers'!$E$5:$E$22,MATCH(B2964,'01_Swimmers'!$A$5:$A$22,0)))/'00_Control'!$B$10,"")</f>
        <v/>
      </c>
      <c r="U2964" s="35">
        <f>IF(T2964="","",INT(T2964))</f>
        <v/>
      </c>
      <c r="V2964" s="33" t="inlineStr">
        <is>
          <t>YES</t>
        </is>
      </c>
      <c r="W2964" s="33" t="inlineStr">
        <is>
          <t>YES</t>
        </is>
      </c>
      <c r="X2964" s="33" t="inlineStr">
        <is>
          <t>NO</t>
        </is>
      </c>
      <c r="Y2964" s="33" t="n">
        <v>2</v>
      </c>
      <c r="Z2964" s="33" t="n">
        <v>5</v>
      </c>
      <c r="AA2964" s="33" t="inlineStr"/>
      <c r="AB2964" s="33" t="inlineStr">
        <is>
          <t>https://www.swimcloud.com/results/355663/event/45/?id=159518011#time159518011</t>
        </is>
      </c>
      <c r="AC2964" s="33" t="inlineStr">
        <is>
          <t>SwimCloud all-event v8 2026-10-09</t>
        </is>
      </c>
      <c r="AD2964" s="33" t="inlineStr">
        <is>
          <t>Grayson Coulter|2025-09-25|SCM|50|Free|24.02|New Zealand Short Course Championships|TIM|True</t>
        </is>
      </c>
      <c r="AE2964" s="53">
        <f>G2964+L2964/1000+ROW()/1000000000</f>
        <v/>
      </c>
      <c r="AF2964" s="35">
        <f>IF(C2964&lt;&gt;"Grayson Coulter","",COUNTIFS($C$5:$C$2991,"Grayson Coulter",$Q$5:$Q$2991,Q2964,$AE$5:$AE$2991,"&lt;="&amp;AE2964,$R$5:$R$2991,"&lt;"&amp;R2964))</f>
        <v/>
      </c>
      <c r="AG2964" s="35">
        <f>IF(OR(C2964&lt;&gt;"Grayson Coulter",G2964&lt;'00_Control'!$B$7),"",--(AF2964&lt;5))</f>
        <v/>
      </c>
      <c r="AH2964" s="35">
        <f>IF(OR(C2964&lt;&gt;"Grayson Coulter",G2964&lt;'00_Control'!$B$7),"",--(AF2964&lt;10))</f>
        <v/>
      </c>
      <c r="AI2964" s="35">
        <f>IF(AND(C2964="Grayson Coulter",G2964&gt;='00_Control'!$B$7),"YES","NO")</f>
        <v/>
      </c>
      <c r="AJ2964" s="33" t="inlineStr">
        <is>
          <t>OK</t>
        </is>
      </c>
    </row>
    <row r="2965">
      <c r="A2965" s="33" t="inlineStr">
        <is>
          <t>SM002961</t>
        </is>
      </c>
      <c r="B2965" s="33" t="inlineStr">
        <is>
          <t>SW001</t>
        </is>
      </c>
      <c r="C2965" s="33" t="inlineStr">
        <is>
          <t>Grayson Coulter</t>
        </is>
      </c>
      <c r="D2965" s="33" t="inlineStr">
        <is>
          <t>SwimCloud</t>
        </is>
      </c>
      <c r="E2965" s="33" t="inlineStr">
        <is>
          <t>3651023</t>
        </is>
      </c>
      <c r="F2965" s="33" t="inlineStr">
        <is>
          <t>159517701</t>
        </is>
      </c>
      <c r="G2965" s="51" t="n">
        <v>45925</v>
      </c>
      <c r="H2965" s="33" t="inlineStr">
        <is>
          <t>New Zealand Short Course Championships</t>
        </is>
      </c>
      <c r="I2965" s="33" t="inlineStr">
        <is>
          <t>355663</t>
        </is>
      </c>
      <c r="J2965" s="33" t="n"/>
      <c r="K2965" s="33" t="inlineStr">
        <is>
          <t>FIN</t>
        </is>
      </c>
      <c r="L2965" s="35">
        <f>IF(K2965="FIN",3,IF(OR(K2965="SEM",K2965="SEMI"),2,IF(OR(K2965="PRE",K2965="HEAT"),1,IF(V2965="YES",4,2))))</f>
        <v/>
      </c>
      <c r="M2965" s="33" t="inlineStr">
        <is>
          <t>SCM</t>
        </is>
      </c>
      <c r="N2965" s="33" t="n">
        <v>50</v>
      </c>
      <c r="O2965" s="33" t="inlineStr">
        <is>
          <t>Free</t>
        </is>
      </c>
      <c r="P2965" s="33" t="inlineStr">
        <is>
          <t>50 Free</t>
        </is>
      </c>
      <c r="Q2965" s="33" t="inlineStr">
        <is>
          <t>SCM_50_FREE</t>
        </is>
      </c>
      <c r="R2965" s="36" t="n">
        <v>23.7</v>
      </c>
      <c r="S2965" s="35">
        <f>IF(R2965="","",IF(R2965&gt;=60,INT(R2965/60)&amp;":"&amp;TEXT(MOD(R2965,60),"00.00"),TEXT(R2965,"0.00")))</f>
        <v/>
      </c>
      <c r="T2965" s="52">
        <f>IFERROR((G2965-INDEX('01_Swimmers'!$E$5:$E$22,MATCH(B2965,'01_Swimmers'!$A$5:$A$22,0)))/'00_Control'!$B$10,"")</f>
        <v/>
      </c>
      <c r="U2965" s="35">
        <f>IF(T2965="","",INT(T2965))</f>
        <v/>
      </c>
      <c r="V2965" s="33" t="inlineStr">
        <is>
          <t>NO</t>
        </is>
      </c>
      <c r="W2965" s="33" t="inlineStr">
        <is>
          <t>YES</t>
        </is>
      </c>
      <c r="X2965" s="33" t="inlineStr">
        <is>
          <t>NO</t>
        </is>
      </c>
      <c r="Y2965" s="33" t="n">
        <v>1</v>
      </c>
      <c r="Z2965" s="33" t="n"/>
      <c r="AA2965" s="33" t="inlineStr">
        <is>
          <t>1</t>
        </is>
      </c>
      <c r="AB2965" s="33" t="inlineStr">
        <is>
          <t>https://www.swimcloud.com/results/355663/event/40/?id=159517701#time159517701</t>
        </is>
      </c>
      <c r="AC2965" s="33" t="inlineStr">
        <is>
          <t>SwimCloud all-event v8 2026-10-09</t>
        </is>
      </c>
      <c r="AD2965" s="33" t="inlineStr">
        <is>
          <t>Grayson Coulter|2025-09-25|SCM|50|Free|23.7|New Zealand Short Course Championships|FIN|False</t>
        </is>
      </c>
      <c r="AE2965" s="53">
        <f>G2965+L2965/1000+ROW()/1000000000</f>
        <v/>
      </c>
      <c r="AF2965" s="35">
        <f>IF(C2965&lt;&gt;"Grayson Coulter","",COUNTIFS($C$5:$C$2991,"Grayson Coulter",$Q$5:$Q$2991,Q2965,$AE$5:$AE$2991,"&lt;="&amp;AE2965,$R$5:$R$2991,"&lt;"&amp;R2965))</f>
        <v/>
      </c>
      <c r="AG2965" s="35">
        <f>IF(OR(C2965&lt;&gt;"Grayson Coulter",G2965&lt;'00_Control'!$B$7),"",--(AF2965&lt;5))</f>
        <v/>
      </c>
      <c r="AH2965" s="35">
        <f>IF(OR(C2965&lt;&gt;"Grayson Coulter",G2965&lt;'00_Control'!$B$7),"",--(AF2965&lt;10))</f>
        <v/>
      </c>
      <c r="AI2965" s="35">
        <f>IF(AND(C2965="Grayson Coulter",G2965&gt;='00_Control'!$B$7),"YES","NO")</f>
        <v/>
      </c>
      <c r="AJ2965" s="33" t="inlineStr">
        <is>
          <t>OK</t>
        </is>
      </c>
    </row>
    <row r="2966">
      <c r="A2966" s="33" t="inlineStr">
        <is>
          <t>SM002962</t>
        </is>
      </c>
      <c r="B2966" s="33" t="inlineStr">
        <is>
          <t>SW001</t>
        </is>
      </c>
      <c r="C2966" s="33" t="inlineStr">
        <is>
          <t>Grayson Coulter</t>
        </is>
      </c>
      <c r="D2966" s="33" t="inlineStr">
        <is>
          <t>SwimCloud</t>
        </is>
      </c>
      <c r="E2966" s="33" t="inlineStr">
        <is>
          <t>3651023</t>
        </is>
      </c>
      <c r="F2966" s="33" t="inlineStr">
        <is>
          <t>159517699</t>
        </is>
      </c>
      <c r="G2966" s="51" t="n">
        <v>45925</v>
      </c>
      <c r="H2966" s="33" t="inlineStr">
        <is>
          <t>New Zealand Short Course Championships</t>
        </is>
      </c>
      <c r="I2966" s="33" t="inlineStr">
        <is>
          <t>355663</t>
        </is>
      </c>
      <c r="J2966" s="33" t="n"/>
      <c r="K2966" s="33" t="inlineStr">
        <is>
          <t>PRE</t>
        </is>
      </c>
      <c r="L2966" s="35">
        <f>IF(K2966="FIN",3,IF(OR(K2966="SEM",K2966="SEMI"),2,IF(OR(K2966="PRE",K2966="HEAT"),1,IF(V2966="YES",4,2))))</f>
        <v/>
      </c>
      <c r="M2966" s="33" t="inlineStr">
        <is>
          <t>SCM</t>
        </is>
      </c>
      <c r="N2966" s="33" t="n">
        <v>50</v>
      </c>
      <c r="O2966" s="33" t="inlineStr">
        <is>
          <t>Free</t>
        </is>
      </c>
      <c r="P2966" s="33" t="inlineStr">
        <is>
          <t>50 Free</t>
        </is>
      </c>
      <c r="Q2966" s="33" t="inlineStr">
        <is>
          <t>SCM_50_FREE</t>
        </is>
      </c>
      <c r="R2966" s="36" t="n">
        <v>23.61</v>
      </c>
      <c r="S2966" s="35">
        <f>IF(R2966="","",IF(R2966&gt;=60,INT(R2966/60)&amp;":"&amp;TEXT(MOD(R2966,60),"00.00"),TEXT(R2966,"0.00")))</f>
        <v/>
      </c>
      <c r="T2966" s="52">
        <f>IFERROR((G2966-INDEX('01_Swimmers'!$E$5:$E$22,MATCH(B2966,'01_Swimmers'!$A$5:$A$22,0)))/'00_Control'!$B$10,"")</f>
        <v/>
      </c>
      <c r="U2966" s="35">
        <f>IF(T2966="","",INT(T2966))</f>
        <v/>
      </c>
      <c r="V2966" s="33" t="inlineStr">
        <is>
          <t>NO</t>
        </is>
      </c>
      <c r="W2966" s="33" t="inlineStr">
        <is>
          <t>YES</t>
        </is>
      </c>
      <c r="X2966" s="33" t="inlineStr">
        <is>
          <t>NO</t>
        </is>
      </c>
      <c r="Y2966" s="33" t="n">
        <v>8</v>
      </c>
      <c r="Z2966" s="33" t="n">
        <v>4</v>
      </c>
      <c r="AA2966" s="33" t="inlineStr">
        <is>
          <t>1</t>
        </is>
      </c>
      <c r="AB2966" s="33" t="inlineStr">
        <is>
          <t>https://www.swimcloud.com/results/355663/event/40/?id=159517699#time159517699</t>
        </is>
      </c>
      <c r="AC2966" s="33" t="inlineStr">
        <is>
          <t>SwimCloud all-event v8 2026-10-09</t>
        </is>
      </c>
      <c r="AD2966" s="33" t="inlineStr">
        <is>
          <t>Grayson Coulter|2025-09-25|SCM|50|Free|23.61|New Zealand Short Course Championships|PRE|False</t>
        </is>
      </c>
      <c r="AE2966" s="53">
        <f>G2966+L2966/1000+ROW()/1000000000</f>
        <v/>
      </c>
      <c r="AF2966" s="35">
        <f>IF(C2966&lt;&gt;"Grayson Coulter","",COUNTIFS($C$5:$C$2991,"Grayson Coulter",$Q$5:$Q$2991,Q2966,$AE$5:$AE$2991,"&lt;="&amp;AE2966,$R$5:$R$2991,"&lt;"&amp;R2966))</f>
        <v/>
      </c>
      <c r="AG2966" s="35">
        <f>IF(OR(C2966&lt;&gt;"Grayson Coulter",G2966&lt;'00_Control'!$B$7),"",--(AF2966&lt;5))</f>
        <v/>
      </c>
      <c r="AH2966" s="35">
        <f>IF(OR(C2966&lt;&gt;"Grayson Coulter",G2966&lt;'00_Control'!$B$7),"",--(AF2966&lt;10))</f>
        <v/>
      </c>
      <c r="AI2966" s="35">
        <f>IF(AND(C2966="Grayson Coulter",G2966&gt;='00_Control'!$B$7),"YES","NO")</f>
        <v/>
      </c>
      <c r="AJ2966" s="33" t="inlineStr">
        <is>
          <t>OK</t>
        </is>
      </c>
    </row>
    <row r="2967">
      <c r="A2967" s="33" t="inlineStr">
        <is>
          <t>SM002963</t>
        </is>
      </c>
      <c r="B2967" s="33" t="inlineStr">
        <is>
          <t>SW001</t>
        </is>
      </c>
      <c r="C2967" s="33" t="inlineStr">
        <is>
          <t>Grayson Coulter</t>
        </is>
      </c>
      <c r="D2967" s="33" t="inlineStr">
        <is>
          <t>SwimCloud</t>
        </is>
      </c>
      <c r="E2967" s="33" t="inlineStr">
        <is>
          <t>3651023</t>
        </is>
      </c>
      <c r="F2967" s="33" t="inlineStr">
        <is>
          <t>159522148</t>
        </is>
      </c>
      <c r="G2967" s="51" t="n">
        <v>45922</v>
      </c>
      <c r="H2967" s="33" t="inlineStr">
        <is>
          <t>New Zealand Short Course Championships</t>
        </is>
      </c>
      <c r="I2967" s="33" t="inlineStr">
        <is>
          <t>355663</t>
        </is>
      </c>
      <c r="J2967" s="33" t="n"/>
      <c r="K2967" s="33" t="inlineStr">
        <is>
          <t>PRE</t>
        </is>
      </c>
      <c r="L2967" s="35">
        <f>IF(K2967="FIN",3,IF(OR(K2967="SEM",K2967="SEMI"),2,IF(OR(K2967="PRE",K2967="HEAT"),1,IF(V2967="YES",4,2))))</f>
        <v/>
      </c>
      <c r="M2967" s="33" t="inlineStr">
        <is>
          <t>SCM</t>
        </is>
      </c>
      <c r="N2967" s="33" t="n">
        <v>50</v>
      </c>
      <c r="O2967" s="33" t="inlineStr">
        <is>
          <t>Free</t>
        </is>
      </c>
      <c r="P2967" s="33" t="inlineStr">
        <is>
          <t>50 Free</t>
        </is>
      </c>
      <c r="Q2967" s="33" t="inlineStr">
        <is>
          <t>SCM_50_FREE</t>
        </is>
      </c>
      <c r="R2967" s="36" t="n">
        <v>24.26</v>
      </c>
      <c r="S2967" s="35">
        <f>IF(R2967="","",IF(R2967&gt;=60,INT(R2967/60)&amp;":"&amp;TEXT(MOD(R2967,60),"00.00"),TEXT(R2967,"0.00")))</f>
        <v/>
      </c>
      <c r="T2967" s="52">
        <f>IFERROR((G2967-INDEX('01_Swimmers'!$E$5:$E$22,MATCH(B2967,'01_Swimmers'!$A$5:$A$22,0)))/'00_Control'!$B$10,"")</f>
        <v/>
      </c>
      <c r="U2967" s="35">
        <f>IF(T2967="","",INT(T2967))</f>
        <v/>
      </c>
      <c r="V2967" s="33" t="inlineStr">
        <is>
          <t>NO</t>
        </is>
      </c>
      <c r="W2967" s="33" t="inlineStr">
        <is>
          <t>YES</t>
        </is>
      </c>
      <c r="X2967" s="33" t="inlineStr">
        <is>
          <t>NO</t>
        </is>
      </c>
      <c r="Y2967" s="33" t="n">
        <v>10</v>
      </c>
      <c r="Z2967" s="33" t="n">
        <v>4</v>
      </c>
      <c r="AA2967" s="33" t="inlineStr"/>
      <c r="AB2967" s="33" t="inlineStr">
        <is>
          <t>https://www.swimcloud.com/results/355663/event/12/?id=159517695#time159517695</t>
        </is>
      </c>
      <c r="AC2967" s="33" t="inlineStr">
        <is>
          <t>SwimCloud all-event v8 2026-10-09</t>
        </is>
      </c>
      <c r="AD2967" s="33" t="inlineStr">
        <is>
          <t>Grayson Coulter|2025-09-22|SCM|50|Free|24.26|New Zealand Short Course Championships|PRE|False</t>
        </is>
      </c>
      <c r="AE2967" s="53">
        <f>G2967+L2967/1000+ROW()/1000000000</f>
        <v/>
      </c>
      <c r="AF2967" s="35">
        <f>IF(C2967&lt;&gt;"Grayson Coulter","",COUNTIFS($C$5:$C$2991,"Grayson Coulter",$Q$5:$Q$2991,Q2967,$AE$5:$AE$2991,"&lt;="&amp;AE2967,$R$5:$R$2991,"&lt;"&amp;R2967))</f>
        <v/>
      </c>
      <c r="AG2967" s="35">
        <f>IF(OR(C2967&lt;&gt;"Grayson Coulter",G2967&lt;'00_Control'!$B$7),"",--(AF2967&lt;5))</f>
        <v/>
      </c>
      <c r="AH2967" s="35">
        <f>IF(OR(C2967&lt;&gt;"Grayson Coulter",G2967&lt;'00_Control'!$B$7),"",--(AF2967&lt;10))</f>
        <v/>
      </c>
      <c r="AI2967" s="35">
        <f>IF(AND(C2967="Grayson Coulter",G2967&gt;='00_Control'!$B$7),"YES","NO")</f>
        <v/>
      </c>
      <c r="AJ2967" s="33" t="inlineStr">
        <is>
          <t>OK</t>
        </is>
      </c>
    </row>
    <row r="2968">
      <c r="A2968" s="33" t="inlineStr">
        <is>
          <t>SM002964</t>
        </is>
      </c>
      <c r="B2968" s="33" t="inlineStr">
        <is>
          <t>SW001</t>
        </is>
      </c>
      <c r="C2968" s="33" t="inlineStr">
        <is>
          <t>Grayson Coulter</t>
        </is>
      </c>
      <c r="D2968" s="33" t="inlineStr">
        <is>
          <t>SwimCloud</t>
        </is>
      </c>
      <c r="E2968" s="33" t="inlineStr">
        <is>
          <t>3651023</t>
        </is>
      </c>
      <c r="F2968" s="33" t="inlineStr">
        <is>
          <t>159522123</t>
        </is>
      </c>
      <c r="G2968" s="51" t="n">
        <v>45921</v>
      </c>
      <c r="H2968" s="33" t="inlineStr">
        <is>
          <t>New Zealand Short Course Championships</t>
        </is>
      </c>
      <c r="I2968" s="33" t="inlineStr">
        <is>
          <t>355663</t>
        </is>
      </c>
      <c r="J2968" s="33" t="n"/>
      <c r="K2968" s="33" t="inlineStr">
        <is>
          <t>TIM</t>
        </is>
      </c>
      <c r="L2968" s="35">
        <f>IF(K2968="FIN",3,IF(OR(K2968="SEM",K2968="SEMI"),2,IF(OR(K2968="PRE",K2968="HEAT"),1,IF(V2968="YES",4,2))))</f>
        <v/>
      </c>
      <c r="M2968" s="33" t="inlineStr">
        <is>
          <t>SCM</t>
        </is>
      </c>
      <c r="N2968" s="33" t="n">
        <v>50</v>
      </c>
      <c r="O2968" s="33" t="inlineStr">
        <is>
          <t>Free</t>
        </is>
      </c>
      <c r="P2968" s="33" t="inlineStr">
        <is>
          <t>50 Free</t>
        </is>
      </c>
      <c r="Q2968" s="33" t="inlineStr">
        <is>
          <t>SCM_50_FREE</t>
        </is>
      </c>
      <c r="R2968" s="36" t="n">
        <v>24.3</v>
      </c>
      <c r="S2968" s="35">
        <f>IF(R2968="","",IF(R2968&gt;=60,INT(R2968/60)&amp;":"&amp;TEXT(MOD(R2968,60),"00.00"),TEXT(R2968,"0.00")))</f>
        <v/>
      </c>
      <c r="T2968" s="52">
        <f>IFERROR((G2968-INDEX('01_Swimmers'!$E$5:$E$22,MATCH(B2968,'01_Swimmers'!$A$5:$A$22,0)))/'00_Control'!$B$10,"")</f>
        <v/>
      </c>
      <c r="U2968" s="35">
        <f>IF(T2968="","",INT(T2968))</f>
        <v/>
      </c>
      <c r="V2968" s="33" t="inlineStr">
        <is>
          <t>YES</t>
        </is>
      </c>
      <c r="W2968" s="33" t="inlineStr">
        <is>
          <t>YES</t>
        </is>
      </c>
      <c r="X2968" s="33" t="inlineStr">
        <is>
          <t>NO</t>
        </is>
      </c>
      <c r="Y2968" s="33" t="n">
        <v>2</v>
      </c>
      <c r="Z2968" s="33" t="n">
        <v>7</v>
      </c>
      <c r="AA2968" s="33" t="inlineStr"/>
      <c r="AB2968" s="33" t="inlineStr">
        <is>
          <t>https://www.swimcloud.com/results/355663/event/10/?id=159518009#time159518009</t>
        </is>
      </c>
      <c r="AC2968" s="33" t="inlineStr">
        <is>
          <t>SwimCloud all-event v8 2026-10-09</t>
        </is>
      </c>
      <c r="AD2968" s="33" t="inlineStr">
        <is>
          <t>Grayson Coulter|2025-09-21|SCM|50|Free|24.3|New Zealand Short Course Championships|TIM|True</t>
        </is>
      </c>
      <c r="AE2968" s="53">
        <f>G2968+L2968/1000+ROW()/1000000000</f>
        <v/>
      </c>
      <c r="AF2968" s="35">
        <f>IF(C2968&lt;&gt;"Grayson Coulter","",COUNTIFS($C$5:$C$2991,"Grayson Coulter",$Q$5:$Q$2991,Q2968,$AE$5:$AE$2991,"&lt;="&amp;AE2968,$R$5:$R$2991,"&lt;"&amp;R2968))</f>
        <v/>
      </c>
      <c r="AG2968" s="35">
        <f>IF(OR(C2968&lt;&gt;"Grayson Coulter",G2968&lt;'00_Control'!$B$7),"",--(AF2968&lt;5))</f>
        <v/>
      </c>
      <c r="AH2968" s="35">
        <f>IF(OR(C2968&lt;&gt;"Grayson Coulter",G2968&lt;'00_Control'!$B$7),"",--(AF2968&lt;10))</f>
        <v/>
      </c>
      <c r="AI2968" s="35">
        <f>IF(AND(C2968="Grayson Coulter",G2968&gt;='00_Control'!$B$7),"YES","NO")</f>
        <v/>
      </c>
      <c r="AJ2968" s="33" t="inlineStr">
        <is>
          <t>OK</t>
        </is>
      </c>
    </row>
    <row r="2969">
      <c r="A2969" s="33" t="inlineStr">
        <is>
          <t>SM002965</t>
        </is>
      </c>
      <c r="B2969" s="33" t="inlineStr">
        <is>
          <t>SW001</t>
        </is>
      </c>
      <c r="C2969" s="33" t="inlineStr">
        <is>
          <t>Grayson Coulter</t>
        </is>
      </c>
      <c r="D2969" s="33" t="inlineStr">
        <is>
          <t>SwimCloud</t>
        </is>
      </c>
      <c r="E2969" s="33" t="inlineStr">
        <is>
          <t>3651023</t>
        </is>
      </c>
      <c r="F2969" s="33" t="inlineStr">
        <is>
          <t>157412752</t>
        </is>
      </c>
      <c r="G2969" s="51" t="n">
        <v>45893</v>
      </c>
      <c r="H2969" s="33" t="inlineStr">
        <is>
          <t>Auckland-Northland Short Course Championships</t>
        </is>
      </c>
      <c r="I2969" s="33" t="inlineStr">
        <is>
          <t>351357</t>
        </is>
      </c>
      <c r="J2969" s="33" t="n"/>
      <c r="K2969" s="33" t="inlineStr">
        <is>
          <t>FIN</t>
        </is>
      </c>
      <c r="L2969" s="35">
        <f>IF(K2969="FIN",3,IF(OR(K2969="SEM",K2969="SEMI"),2,IF(OR(K2969="PRE",K2969="HEAT"),1,IF(V2969="YES",4,2))))</f>
        <v/>
      </c>
      <c r="M2969" s="33" t="inlineStr">
        <is>
          <t>SCM</t>
        </is>
      </c>
      <c r="N2969" s="33" t="n">
        <v>50</v>
      </c>
      <c r="O2969" s="33" t="inlineStr">
        <is>
          <t>Free</t>
        </is>
      </c>
      <c r="P2969" s="33" t="inlineStr">
        <is>
          <t>50 Free</t>
        </is>
      </c>
      <c r="Q2969" s="33" t="inlineStr">
        <is>
          <t>SCM_50_FREE</t>
        </is>
      </c>
      <c r="R2969" s="36" t="n">
        <v>23.88</v>
      </c>
      <c r="S2969" s="35">
        <f>IF(R2969="","",IF(R2969&gt;=60,INT(R2969/60)&amp;":"&amp;TEXT(MOD(R2969,60),"00.00"),TEXT(R2969,"0.00")))</f>
        <v/>
      </c>
      <c r="T2969" s="52">
        <f>IFERROR((G2969-INDEX('01_Swimmers'!$E$5:$E$22,MATCH(B2969,'01_Swimmers'!$A$5:$A$22,0)))/'00_Control'!$B$10,"")</f>
        <v/>
      </c>
      <c r="U2969" s="35">
        <f>IF(T2969="","",INT(T2969))</f>
        <v/>
      </c>
      <c r="V2969" s="33" t="inlineStr">
        <is>
          <t>NO</t>
        </is>
      </c>
      <c r="W2969" s="33" t="inlineStr">
        <is>
          <t>YES</t>
        </is>
      </c>
      <c r="X2969" s="33" t="inlineStr">
        <is>
          <t>NO</t>
        </is>
      </c>
      <c r="Y2969" s="33" t="n">
        <v>4</v>
      </c>
      <c r="Z2969" s="33" t="n">
        <v>1</v>
      </c>
      <c r="AA2969" s="33" t="inlineStr">
        <is>
          <t>7</t>
        </is>
      </c>
      <c r="AB2969" s="33" t="inlineStr">
        <is>
          <t>https://www.swimcloud.com/results/351357/event/47/?id=157412752#time157412752</t>
        </is>
      </c>
      <c r="AC2969" s="33" t="inlineStr">
        <is>
          <t>SwimCloud all-event v8 2026-10-09</t>
        </is>
      </c>
      <c r="AD2969" s="33" t="inlineStr">
        <is>
          <t>Grayson Coulter|2025-08-24|SCM|50|Free|23.88|Auckland-Northland Short Course Championships|FIN|False</t>
        </is>
      </c>
      <c r="AE2969" s="53">
        <f>G2969+L2969/1000+ROW()/1000000000</f>
        <v/>
      </c>
      <c r="AF2969" s="35">
        <f>IF(C2969&lt;&gt;"Grayson Coulter","",COUNTIFS($C$5:$C$2991,"Grayson Coulter",$Q$5:$Q$2991,Q2969,$AE$5:$AE$2991,"&lt;="&amp;AE2969,$R$5:$R$2991,"&lt;"&amp;R2969))</f>
        <v/>
      </c>
      <c r="AG2969" s="35">
        <f>IF(OR(C2969&lt;&gt;"Grayson Coulter",G2969&lt;'00_Control'!$B$7),"",--(AF2969&lt;5))</f>
        <v/>
      </c>
      <c r="AH2969" s="35">
        <f>IF(OR(C2969&lt;&gt;"Grayson Coulter",G2969&lt;'00_Control'!$B$7),"",--(AF2969&lt;10))</f>
        <v/>
      </c>
      <c r="AI2969" s="35">
        <f>IF(AND(C2969="Grayson Coulter",G2969&gt;='00_Control'!$B$7),"YES","NO")</f>
        <v/>
      </c>
      <c r="AJ2969" s="33" t="inlineStr">
        <is>
          <t>OK</t>
        </is>
      </c>
    </row>
    <row r="2970">
      <c r="A2970" s="33" t="inlineStr">
        <is>
          <t>SM002966</t>
        </is>
      </c>
      <c r="B2970" s="33" t="inlineStr">
        <is>
          <t>SW001</t>
        </is>
      </c>
      <c r="C2970" s="33" t="inlineStr">
        <is>
          <t>Grayson Coulter</t>
        </is>
      </c>
      <c r="D2970" s="33" t="inlineStr">
        <is>
          <t>SwimCloud</t>
        </is>
      </c>
      <c r="E2970" s="33" t="inlineStr">
        <is>
          <t>3651023</t>
        </is>
      </c>
      <c r="F2970" s="33" t="inlineStr">
        <is>
          <t>157412751</t>
        </is>
      </c>
      <c r="G2970" s="51" t="n">
        <v>45893</v>
      </c>
      <c r="H2970" s="33" t="inlineStr">
        <is>
          <t>Auckland-Northland Short Course Championships</t>
        </is>
      </c>
      <c r="I2970" s="33" t="inlineStr">
        <is>
          <t>351357</t>
        </is>
      </c>
      <c r="J2970" s="33" t="n"/>
      <c r="K2970" s="33" t="inlineStr">
        <is>
          <t>PRE</t>
        </is>
      </c>
      <c r="L2970" s="35">
        <f>IF(K2970="FIN",3,IF(OR(K2970="SEM",K2970="SEMI"),2,IF(OR(K2970="PRE",K2970="HEAT"),1,IF(V2970="YES",4,2))))</f>
        <v/>
      </c>
      <c r="M2970" s="33" t="inlineStr">
        <is>
          <t>SCM</t>
        </is>
      </c>
      <c r="N2970" s="33" t="n">
        <v>50</v>
      </c>
      <c r="O2970" s="33" t="inlineStr">
        <is>
          <t>Free</t>
        </is>
      </c>
      <c r="P2970" s="33" t="inlineStr">
        <is>
          <t>50 Free</t>
        </is>
      </c>
      <c r="Q2970" s="33" t="inlineStr">
        <is>
          <t>SCM_50_FREE</t>
        </is>
      </c>
      <c r="R2970" s="36" t="n">
        <v>23.86</v>
      </c>
      <c r="S2970" s="35">
        <f>IF(R2970="","",IF(R2970&gt;=60,INT(R2970/60)&amp;":"&amp;TEXT(MOD(R2970,60),"00.00"),TEXT(R2970,"0.00")))</f>
        <v/>
      </c>
      <c r="T2970" s="52">
        <f>IFERROR((G2970-INDEX('01_Swimmers'!$E$5:$E$22,MATCH(B2970,'01_Swimmers'!$A$5:$A$22,0)))/'00_Control'!$B$10,"")</f>
        <v/>
      </c>
      <c r="U2970" s="35">
        <f>IF(T2970="","",INT(T2970))</f>
        <v/>
      </c>
      <c r="V2970" s="33" t="inlineStr">
        <is>
          <t>NO</t>
        </is>
      </c>
      <c r="W2970" s="33" t="inlineStr">
        <is>
          <t>YES</t>
        </is>
      </c>
      <c r="X2970" s="33" t="inlineStr">
        <is>
          <t>NO</t>
        </is>
      </c>
      <c r="Y2970" s="33" t="n">
        <v>12</v>
      </c>
      <c r="Z2970" s="33" t="n">
        <v>3</v>
      </c>
      <c r="AA2970" s="33" t="inlineStr">
        <is>
          <t>7</t>
        </is>
      </c>
      <c r="AB2970" s="33" t="inlineStr">
        <is>
          <t>https://www.swimcloud.com/results/351357/event/47/?id=157412751#time157412751</t>
        </is>
      </c>
      <c r="AC2970" s="33" t="inlineStr">
        <is>
          <t>SwimCloud all-event v8 2026-10-09</t>
        </is>
      </c>
      <c r="AD2970" s="33" t="inlineStr">
        <is>
          <t>Grayson Coulter|2025-08-24|SCM|50|Free|23.86|Auckland-Northland Short Course Championships|PRE|False</t>
        </is>
      </c>
      <c r="AE2970" s="53">
        <f>G2970+L2970/1000+ROW()/1000000000</f>
        <v/>
      </c>
      <c r="AF2970" s="35">
        <f>IF(C2970&lt;&gt;"Grayson Coulter","",COUNTIFS($C$5:$C$2991,"Grayson Coulter",$Q$5:$Q$2991,Q2970,$AE$5:$AE$2991,"&lt;="&amp;AE2970,$R$5:$R$2991,"&lt;"&amp;R2970))</f>
        <v/>
      </c>
      <c r="AG2970" s="35">
        <f>IF(OR(C2970&lt;&gt;"Grayson Coulter",G2970&lt;'00_Control'!$B$7),"",--(AF2970&lt;5))</f>
        <v/>
      </c>
      <c r="AH2970" s="35">
        <f>IF(OR(C2970&lt;&gt;"Grayson Coulter",G2970&lt;'00_Control'!$B$7),"",--(AF2970&lt;10))</f>
        <v/>
      </c>
      <c r="AI2970" s="35">
        <f>IF(AND(C2970="Grayson Coulter",G2970&gt;='00_Control'!$B$7),"YES","NO")</f>
        <v/>
      </c>
      <c r="AJ2970" s="33" t="inlineStr">
        <is>
          <t>OK</t>
        </is>
      </c>
    </row>
    <row r="2971">
      <c r="A2971" s="33" t="inlineStr">
        <is>
          <t>SM002967</t>
        </is>
      </c>
      <c r="B2971" s="33" t="inlineStr">
        <is>
          <t>SW001</t>
        </is>
      </c>
      <c r="C2971" s="33" t="inlineStr">
        <is>
          <t>Grayson Coulter</t>
        </is>
      </c>
      <c r="D2971" s="33" t="inlineStr">
        <is>
          <t>SwimCloud</t>
        </is>
      </c>
      <c r="E2971" s="33" t="inlineStr">
        <is>
          <t>3651023</t>
        </is>
      </c>
      <c r="F2971" s="33" t="inlineStr">
        <is>
          <t>157415410</t>
        </is>
      </c>
      <c r="G2971" s="51" t="n">
        <v>45892</v>
      </c>
      <c r="H2971" s="33" t="inlineStr">
        <is>
          <t>Auckland-Northland Short Course Championships</t>
        </is>
      </c>
      <c r="I2971" s="33" t="inlineStr">
        <is>
          <t>351357</t>
        </is>
      </c>
      <c r="J2971" s="33" t="n"/>
      <c r="K2971" s="33" t="inlineStr">
        <is>
          <t>FIN</t>
        </is>
      </c>
      <c r="L2971" s="35">
        <f>IF(K2971="FIN",3,IF(OR(K2971="SEM",K2971="SEMI"),2,IF(OR(K2971="PRE",K2971="HEAT"),1,IF(V2971="YES",4,2))))</f>
        <v/>
      </c>
      <c r="M2971" s="33" t="inlineStr">
        <is>
          <t>SCM</t>
        </is>
      </c>
      <c r="N2971" s="33" t="n">
        <v>50</v>
      </c>
      <c r="O2971" s="33" t="inlineStr">
        <is>
          <t>Free</t>
        </is>
      </c>
      <c r="P2971" s="33" t="inlineStr">
        <is>
          <t>50 Free</t>
        </is>
      </c>
      <c r="Q2971" s="33" t="inlineStr">
        <is>
          <t>SCM_50_FREE</t>
        </is>
      </c>
      <c r="R2971" s="36" t="n">
        <v>24.73</v>
      </c>
      <c r="S2971" s="35">
        <f>IF(R2971="","",IF(R2971&gt;=60,INT(R2971/60)&amp;":"&amp;TEXT(MOD(R2971,60),"00.00"),TEXT(R2971,"0.00")))</f>
        <v/>
      </c>
      <c r="T2971" s="52">
        <f>IFERROR((G2971-INDEX('01_Swimmers'!$E$5:$E$22,MATCH(B2971,'01_Swimmers'!$A$5:$A$22,0)))/'00_Control'!$B$10,"")</f>
        <v/>
      </c>
      <c r="U2971" s="35">
        <f>IF(T2971="","",INT(T2971))</f>
        <v/>
      </c>
      <c r="V2971" s="33" t="inlineStr">
        <is>
          <t>NO</t>
        </is>
      </c>
      <c r="W2971" s="33" t="inlineStr">
        <is>
          <t>YES</t>
        </is>
      </c>
      <c r="X2971" s="33" t="inlineStr">
        <is>
          <t>NO</t>
        </is>
      </c>
      <c r="Y2971" s="33" t="n">
        <v>4</v>
      </c>
      <c r="Z2971" s="33" t="n">
        <v>1</v>
      </c>
      <c r="AA2971" s="33" t="inlineStr"/>
      <c r="AB2971" s="33" t="inlineStr">
        <is>
          <t>https://www.swimcloud.com/results/351357/event/13/?id=157412843#time157412843</t>
        </is>
      </c>
      <c r="AC2971" s="33" t="inlineStr">
        <is>
          <t>SwimCloud all-event v8 2026-10-09</t>
        </is>
      </c>
      <c r="AD2971" s="33" t="inlineStr">
        <is>
          <t>Grayson Coulter|2025-08-23|SCM|50|Free|24.73|Auckland-Northland Short Course Championships|FIN|False</t>
        </is>
      </c>
      <c r="AE2971" s="53">
        <f>G2971+L2971/1000+ROW()/1000000000</f>
        <v/>
      </c>
      <c r="AF2971" s="35">
        <f>IF(C2971&lt;&gt;"Grayson Coulter","",COUNTIFS($C$5:$C$2991,"Grayson Coulter",$Q$5:$Q$2991,Q2971,$AE$5:$AE$2991,"&lt;="&amp;AE2971,$R$5:$R$2991,"&lt;"&amp;R2971))</f>
        <v/>
      </c>
      <c r="AG2971" s="35">
        <f>IF(OR(C2971&lt;&gt;"Grayson Coulter",G2971&lt;'00_Control'!$B$7),"",--(AF2971&lt;5))</f>
        <v/>
      </c>
      <c r="AH2971" s="35">
        <f>IF(OR(C2971&lt;&gt;"Grayson Coulter",G2971&lt;'00_Control'!$B$7),"",--(AF2971&lt;10))</f>
        <v/>
      </c>
      <c r="AI2971" s="35">
        <f>IF(AND(C2971="Grayson Coulter",G2971&gt;='00_Control'!$B$7),"YES","NO")</f>
        <v/>
      </c>
      <c r="AJ2971" s="33" t="inlineStr">
        <is>
          <t>OK</t>
        </is>
      </c>
    </row>
    <row r="2972">
      <c r="A2972" s="33" t="inlineStr">
        <is>
          <t>SM002968</t>
        </is>
      </c>
      <c r="B2972" s="33" t="inlineStr">
        <is>
          <t>SW001</t>
        </is>
      </c>
      <c r="C2972" s="33" t="inlineStr">
        <is>
          <t>Grayson Coulter</t>
        </is>
      </c>
      <c r="D2972" s="33" t="inlineStr">
        <is>
          <t>SwimCloud</t>
        </is>
      </c>
      <c r="E2972" s="33" t="inlineStr">
        <is>
          <t>3651023</t>
        </is>
      </c>
      <c r="F2972" s="33" t="inlineStr">
        <is>
          <t>157415409</t>
        </is>
      </c>
      <c r="G2972" s="51" t="n">
        <v>45892</v>
      </c>
      <c r="H2972" s="33" t="inlineStr">
        <is>
          <t>Auckland-Northland Short Course Championships</t>
        </is>
      </c>
      <c r="I2972" s="33" t="inlineStr">
        <is>
          <t>351357</t>
        </is>
      </c>
      <c r="J2972" s="33" t="n"/>
      <c r="K2972" s="33" t="inlineStr">
        <is>
          <t>PRE</t>
        </is>
      </c>
      <c r="L2972" s="35">
        <f>IF(K2972="FIN",3,IF(OR(K2972="SEM",K2972="SEMI"),2,IF(OR(K2972="PRE",K2972="HEAT"),1,IF(V2972="YES",4,2))))</f>
        <v/>
      </c>
      <c r="M2972" s="33" t="inlineStr">
        <is>
          <t>SCM</t>
        </is>
      </c>
      <c r="N2972" s="33" t="n">
        <v>50</v>
      </c>
      <c r="O2972" s="33" t="inlineStr">
        <is>
          <t>Free</t>
        </is>
      </c>
      <c r="P2972" s="33" t="inlineStr">
        <is>
          <t>50 Free</t>
        </is>
      </c>
      <c r="Q2972" s="33" t="inlineStr">
        <is>
          <t>SCM_50_FREE</t>
        </is>
      </c>
      <c r="R2972" s="36" t="n">
        <v>24.6</v>
      </c>
      <c r="S2972" s="35">
        <f>IF(R2972="","",IF(R2972&gt;=60,INT(R2972/60)&amp;":"&amp;TEXT(MOD(R2972,60),"00.00"),TEXT(R2972,"0.00")))</f>
        <v/>
      </c>
      <c r="T2972" s="52">
        <f>IFERROR((G2972-INDEX('01_Swimmers'!$E$5:$E$22,MATCH(B2972,'01_Swimmers'!$A$5:$A$22,0)))/'00_Control'!$B$10,"")</f>
        <v/>
      </c>
      <c r="U2972" s="35">
        <f>IF(T2972="","",INT(T2972))</f>
        <v/>
      </c>
      <c r="V2972" s="33" t="inlineStr">
        <is>
          <t>NO</t>
        </is>
      </c>
      <c r="W2972" s="33" t="inlineStr">
        <is>
          <t>YES</t>
        </is>
      </c>
      <c r="X2972" s="33" t="inlineStr">
        <is>
          <t>NO</t>
        </is>
      </c>
      <c r="Y2972" s="33" t="n">
        <v>10</v>
      </c>
      <c r="Z2972" s="33" t="n">
        <v>3</v>
      </c>
      <c r="AA2972" s="33" t="inlineStr"/>
      <c r="AB2972" s="33" t="inlineStr">
        <is>
          <t>https://www.swimcloud.com/results/351357/event/13/?id=157412842#time157412842</t>
        </is>
      </c>
      <c r="AC2972" s="33" t="inlineStr">
        <is>
          <t>SwimCloud all-event v8 2026-10-09</t>
        </is>
      </c>
      <c r="AD2972" s="33" t="inlineStr">
        <is>
          <t>Grayson Coulter|2025-08-23|SCM|50|Free|24.6|Auckland-Northland Short Course Championships|PRE|False</t>
        </is>
      </c>
      <c r="AE2972" s="53">
        <f>G2972+L2972/1000+ROW()/1000000000</f>
        <v/>
      </c>
      <c r="AF2972" s="35">
        <f>IF(C2972&lt;&gt;"Grayson Coulter","",COUNTIFS($C$5:$C$2991,"Grayson Coulter",$Q$5:$Q$2991,Q2972,$AE$5:$AE$2991,"&lt;="&amp;AE2972,$R$5:$R$2991,"&lt;"&amp;R2972))</f>
        <v/>
      </c>
      <c r="AG2972" s="35">
        <f>IF(OR(C2972&lt;&gt;"Grayson Coulter",G2972&lt;'00_Control'!$B$7),"",--(AF2972&lt;5))</f>
        <v/>
      </c>
      <c r="AH2972" s="35">
        <f>IF(OR(C2972&lt;&gt;"Grayson Coulter",G2972&lt;'00_Control'!$B$7),"",--(AF2972&lt;10))</f>
        <v/>
      </c>
      <c r="AI2972" s="35">
        <f>IF(AND(C2972="Grayson Coulter",G2972&gt;='00_Control'!$B$7),"YES","NO")</f>
        <v/>
      </c>
      <c r="AJ2972" s="33" t="inlineStr">
        <is>
          <t>OK</t>
        </is>
      </c>
    </row>
    <row r="2973">
      <c r="A2973" s="33" t="inlineStr">
        <is>
          <t>SM002969</t>
        </is>
      </c>
      <c r="B2973" s="33" t="inlineStr">
        <is>
          <t>SW001</t>
        </is>
      </c>
      <c r="C2973" s="33" t="inlineStr">
        <is>
          <t>Grayson Coulter</t>
        </is>
      </c>
      <c r="D2973" s="33" t="inlineStr">
        <is>
          <t>SwimCloud</t>
        </is>
      </c>
      <c r="E2973" s="33" t="inlineStr">
        <is>
          <t>3651023</t>
        </is>
      </c>
      <c r="F2973" s="33" t="inlineStr">
        <is>
          <t>159525627</t>
        </is>
      </c>
      <c r="G2973" s="51" t="n">
        <v>45865</v>
      </c>
      <c r="H2973" s="33" t="inlineStr">
        <is>
          <t>New Zealand Secondary School Swimming Championships</t>
        </is>
      </c>
      <c r="I2973" s="33" t="inlineStr">
        <is>
          <t>349742</t>
        </is>
      </c>
      <c r="J2973" s="33" t="n"/>
      <c r="K2973" s="33" t="inlineStr">
        <is>
          <t>TIM</t>
        </is>
      </c>
      <c r="L2973" s="35">
        <f>IF(K2973="FIN",3,IF(OR(K2973="SEM",K2973="SEMI"),2,IF(OR(K2973="PRE",K2973="HEAT"),1,IF(V2973="YES",4,2))))</f>
        <v/>
      </c>
      <c r="M2973" s="33" t="inlineStr">
        <is>
          <t>SCM</t>
        </is>
      </c>
      <c r="N2973" s="33" t="n">
        <v>50</v>
      </c>
      <c r="O2973" s="33" t="inlineStr">
        <is>
          <t>Free</t>
        </is>
      </c>
      <c r="P2973" s="33" t="inlineStr">
        <is>
          <t>50 Free</t>
        </is>
      </c>
      <c r="Q2973" s="33" t="inlineStr">
        <is>
          <t>SCM_50_FREE</t>
        </is>
      </c>
      <c r="R2973" s="36" t="n">
        <v>24.17</v>
      </c>
      <c r="S2973" s="35">
        <f>IF(R2973="","",IF(R2973&gt;=60,INT(R2973/60)&amp;":"&amp;TEXT(MOD(R2973,60),"00.00"),TEXT(R2973,"0.00")))</f>
        <v/>
      </c>
      <c r="T2973" s="52">
        <f>IFERROR((G2973-INDEX('01_Swimmers'!$E$5:$E$22,MATCH(B2973,'01_Swimmers'!$A$5:$A$22,0)))/'00_Control'!$B$10,"")</f>
        <v/>
      </c>
      <c r="U2973" s="35">
        <f>IF(T2973="","",INT(T2973))</f>
        <v/>
      </c>
      <c r="V2973" s="33" t="inlineStr">
        <is>
          <t>NO</t>
        </is>
      </c>
      <c r="W2973" s="33" t="inlineStr">
        <is>
          <t>YES</t>
        </is>
      </c>
      <c r="X2973" s="33" t="inlineStr">
        <is>
          <t>NO</t>
        </is>
      </c>
      <c r="Y2973" s="33" t="n">
        <v>26</v>
      </c>
      <c r="Z2973" s="33" t="n">
        <v>4</v>
      </c>
      <c r="AA2973" s="33" t="inlineStr">
        <is>
          <t>1</t>
        </is>
      </c>
      <c r="AB2973" s="33" t="inlineStr">
        <is>
          <t>https://www.swimcloud.com/results/349742/event/55/?id=159525627#time159525627</t>
        </is>
      </c>
      <c r="AC2973" s="33" t="inlineStr">
        <is>
          <t>SwimCloud all-event v8 2026-10-09</t>
        </is>
      </c>
      <c r="AD2973" s="33" t="inlineStr">
        <is>
          <t>Grayson Coulter|2025-07-27|SCM|50|Free|24.17|New Zealand Secondary School Swimming Championships|TIM|False</t>
        </is>
      </c>
      <c r="AE2973" s="53">
        <f>G2973+L2973/1000+ROW()/1000000000</f>
        <v/>
      </c>
      <c r="AF2973" s="35">
        <f>IF(C2973&lt;&gt;"Grayson Coulter","",COUNTIFS($C$5:$C$2991,"Grayson Coulter",$Q$5:$Q$2991,Q2973,$AE$5:$AE$2991,"&lt;="&amp;AE2973,$R$5:$R$2991,"&lt;"&amp;R2973))</f>
        <v/>
      </c>
      <c r="AG2973" s="35">
        <f>IF(OR(C2973&lt;&gt;"Grayson Coulter",G2973&lt;'00_Control'!$B$7),"",--(AF2973&lt;5))</f>
        <v/>
      </c>
      <c r="AH2973" s="35">
        <f>IF(OR(C2973&lt;&gt;"Grayson Coulter",G2973&lt;'00_Control'!$B$7),"",--(AF2973&lt;10))</f>
        <v/>
      </c>
      <c r="AI2973" s="35">
        <f>IF(AND(C2973="Grayson Coulter",G2973&gt;='00_Control'!$B$7),"YES","NO")</f>
        <v/>
      </c>
      <c r="AJ2973" s="33" t="inlineStr">
        <is>
          <t>OK</t>
        </is>
      </c>
    </row>
    <row r="2974">
      <c r="A2974" s="33" t="inlineStr">
        <is>
          <t>SM002970</t>
        </is>
      </c>
      <c r="B2974" s="33" t="inlineStr">
        <is>
          <t>SW001</t>
        </is>
      </c>
      <c r="C2974" s="33" t="inlineStr">
        <is>
          <t>Grayson Coulter</t>
        </is>
      </c>
      <c r="D2974" s="33" t="inlineStr">
        <is>
          <t>SwimCloud</t>
        </is>
      </c>
      <c r="E2974" s="33" t="inlineStr">
        <is>
          <t>3651023</t>
        </is>
      </c>
      <c r="F2974" s="33" t="inlineStr">
        <is>
          <t>137762168</t>
        </is>
      </c>
      <c r="G2974" s="51" t="n">
        <v>45557</v>
      </c>
      <c r="H2974" s="33" t="inlineStr">
        <is>
          <t>SW Junior Champs</t>
        </is>
      </c>
      <c r="I2974" s="33" t="inlineStr">
        <is>
          <t>323327</t>
        </is>
      </c>
      <c r="J2974" s="33" t="n"/>
      <c r="K2974" s="33" t="inlineStr">
        <is>
          <t>TIM</t>
        </is>
      </c>
      <c r="L2974" s="35">
        <f>IF(K2974="FIN",3,IF(OR(K2974="SEM",K2974="SEMI"),2,IF(OR(K2974="PRE",K2974="HEAT"),1,IF(V2974="YES",4,2))))</f>
        <v/>
      </c>
      <c r="M2974" s="33" t="inlineStr">
        <is>
          <t>SCM</t>
        </is>
      </c>
      <c r="N2974" s="33" t="n">
        <v>50</v>
      </c>
      <c r="O2974" s="33" t="inlineStr">
        <is>
          <t>Free</t>
        </is>
      </c>
      <c r="P2974" s="33" t="inlineStr">
        <is>
          <t>50 Free</t>
        </is>
      </c>
      <c r="Q2974" s="33" t="inlineStr">
        <is>
          <t>SCM_50_FREE</t>
        </is>
      </c>
      <c r="R2974" s="36" t="n">
        <v>25.77</v>
      </c>
      <c r="S2974" s="35">
        <f>IF(R2974="","",IF(R2974&gt;=60,INT(R2974/60)&amp;":"&amp;TEXT(MOD(R2974,60),"00.00"),TEXT(R2974,"0.00")))</f>
        <v/>
      </c>
      <c r="T2974" s="52">
        <f>IFERROR((G2974-INDEX('01_Swimmers'!$E$5:$E$22,MATCH(B2974,'01_Swimmers'!$A$5:$A$22,0)))/'00_Control'!$B$10,"")</f>
        <v/>
      </c>
      <c r="U2974" s="35">
        <f>IF(T2974="","",INT(T2974))</f>
        <v/>
      </c>
      <c r="V2974" s="33" t="inlineStr">
        <is>
          <t>NO</t>
        </is>
      </c>
      <c r="W2974" s="33" t="inlineStr">
        <is>
          <t>YES</t>
        </is>
      </c>
      <c r="X2974" s="33" t="inlineStr">
        <is>
          <t>NO</t>
        </is>
      </c>
      <c r="Y2974" s="33" t="n">
        <v>2</v>
      </c>
      <c r="Z2974" s="33" t="n">
        <v>4</v>
      </c>
      <c r="AA2974" s="33" t="inlineStr"/>
      <c r="AB2974" s="33" t="inlineStr">
        <is>
          <t>https://www.swimcloud.com/results/323327/event/11/?id=137761609#time137761609</t>
        </is>
      </c>
      <c r="AC2974" s="33" t="inlineStr">
        <is>
          <t>SwimCloud all-event v8 2026-10-09</t>
        </is>
      </c>
      <c r="AD2974" s="33" t="inlineStr">
        <is>
          <t>Grayson Coulter|2024-09-22|SCM|50|Free|25.77|SW Junior Champs|TIM|False</t>
        </is>
      </c>
      <c r="AE2974" s="53">
        <f>G2974+L2974/1000+ROW()/1000000000</f>
        <v/>
      </c>
      <c r="AF2974" s="35">
        <f>IF(C2974&lt;&gt;"Grayson Coulter","",COUNTIFS($C$5:$C$2991,"Grayson Coulter",$Q$5:$Q$2991,Q2974,$AE$5:$AE$2991,"&lt;="&amp;AE2974,$R$5:$R$2991,"&lt;"&amp;R2974))</f>
        <v/>
      </c>
      <c r="AG2974" s="35">
        <f>IF(OR(C2974&lt;&gt;"Grayson Coulter",G2974&lt;'00_Control'!$B$7),"",--(AF2974&lt;5))</f>
        <v/>
      </c>
      <c r="AH2974" s="35">
        <f>IF(OR(C2974&lt;&gt;"Grayson Coulter",G2974&lt;'00_Control'!$B$7),"",--(AF2974&lt;10))</f>
        <v/>
      </c>
      <c r="AI2974" s="35">
        <f>IF(AND(C2974="Grayson Coulter",G2974&gt;='00_Control'!$B$7),"YES","NO")</f>
        <v/>
      </c>
      <c r="AJ2974" s="33" t="inlineStr">
        <is>
          <t>OK</t>
        </is>
      </c>
    </row>
    <row r="2975">
      <c r="A2975" s="33" t="inlineStr">
        <is>
          <t>SM002971</t>
        </is>
      </c>
      <c r="B2975" s="33" t="inlineStr">
        <is>
          <t>SW001</t>
        </is>
      </c>
      <c r="C2975" s="33" t="inlineStr">
        <is>
          <t>Grayson Coulter</t>
        </is>
      </c>
      <c r="D2975" s="33" t="inlineStr">
        <is>
          <t>SwimCloud</t>
        </is>
      </c>
      <c r="E2975" s="33" t="inlineStr">
        <is>
          <t>3651023</t>
        </is>
      </c>
      <c r="F2975" s="33" t="inlineStr">
        <is>
          <t>137761628</t>
        </is>
      </c>
      <c r="G2975" s="51" t="n">
        <v>45557</v>
      </c>
      <c r="H2975" s="33" t="inlineStr">
        <is>
          <t>SW Junior Champs</t>
        </is>
      </c>
      <c r="I2975" s="33" t="inlineStr">
        <is>
          <t>323327</t>
        </is>
      </c>
      <c r="J2975" s="33" t="n"/>
      <c r="K2975" s="33" t="inlineStr">
        <is>
          <t>TIM</t>
        </is>
      </c>
      <c r="L2975" s="35">
        <f>IF(K2975="FIN",3,IF(OR(K2975="SEM",K2975="SEMI"),2,IF(OR(K2975="PRE",K2975="HEAT"),1,IF(V2975="YES",4,2))))</f>
        <v/>
      </c>
      <c r="M2975" s="33" t="inlineStr">
        <is>
          <t>SCM</t>
        </is>
      </c>
      <c r="N2975" s="33" t="n">
        <v>50</v>
      </c>
      <c r="O2975" s="33" t="inlineStr">
        <is>
          <t>Free</t>
        </is>
      </c>
      <c r="P2975" s="33" t="inlineStr">
        <is>
          <t>50 Free</t>
        </is>
      </c>
      <c r="Q2975" s="33" t="inlineStr">
        <is>
          <t>SCM_50_FREE</t>
        </is>
      </c>
      <c r="R2975" s="36" t="n">
        <v>24.96</v>
      </c>
      <c r="S2975" s="35">
        <f>IF(R2975="","",IF(R2975&gt;=60,INT(R2975/60)&amp;":"&amp;TEXT(MOD(R2975,60),"00.00"),TEXT(R2975,"0.00")))</f>
        <v/>
      </c>
      <c r="T2975" s="52">
        <f>IFERROR((G2975-INDEX('01_Swimmers'!$E$5:$E$22,MATCH(B2975,'01_Swimmers'!$A$5:$A$22,0)))/'00_Control'!$B$10,"")</f>
        <v/>
      </c>
      <c r="U2975" s="35">
        <f>IF(T2975="","",INT(T2975))</f>
        <v/>
      </c>
      <c r="V2975" s="33" t="inlineStr">
        <is>
          <t>NO</t>
        </is>
      </c>
      <c r="W2975" s="33" t="inlineStr">
        <is>
          <t>YES</t>
        </is>
      </c>
      <c r="X2975" s="33" t="inlineStr">
        <is>
          <t>NO</t>
        </is>
      </c>
      <c r="Y2975" s="33" t="n">
        <v>2</v>
      </c>
      <c r="Z2975" s="33" t="n">
        <v>4</v>
      </c>
      <c r="AA2975" s="33" t="inlineStr">
        <is>
          <t>1</t>
        </is>
      </c>
      <c r="AB2975" s="33" t="inlineStr">
        <is>
          <t>https://www.swimcloud.com/results/323327/event/23/?id=137761628#time137761628</t>
        </is>
      </c>
      <c r="AC2975" s="33" t="inlineStr">
        <is>
          <t>SwimCloud all-event v8 2026-10-09</t>
        </is>
      </c>
      <c r="AD2975" s="33" t="inlineStr">
        <is>
          <t>Grayson Coulter|2024-09-22|SCM|50|Free|24.96|SW Junior Champs|TIM|False</t>
        </is>
      </c>
      <c r="AE2975" s="53">
        <f>G2975+L2975/1000+ROW()/1000000000</f>
        <v/>
      </c>
      <c r="AF2975" s="35">
        <f>IF(C2975&lt;&gt;"Grayson Coulter","",COUNTIFS($C$5:$C$2991,"Grayson Coulter",$Q$5:$Q$2991,Q2975,$AE$5:$AE$2991,"&lt;="&amp;AE2975,$R$5:$R$2991,"&lt;"&amp;R2975))</f>
        <v/>
      </c>
      <c r="AG2975" s="35">
        <f>IF(OR(C2975&lt;&gt;"Grayson Coulter",G2975&lt;'00_Control'!$B$7),"",--(AF2975&lt;5))</f>
        <v/>
      </c>
      <c r="AH2975" s="35">
        <f>IF(OR(C2975&lt;&gt;"Grayson Coulter",G2975&lt;'00_Control'!$B$7),"",--(AF2975&lt;10))</f>
        <v/>
      </c>
      <c r="AI2975" s="35">
        <f>IF(AND(C2975="Grayson Coulter",G2975&gt;='00_Control'!$B$7),"YES","NO")</f>
        <v/>
      </c>
      <c r="AJ2975" s="33" t="inlineStr">
        <is>
          <t>OK</t>
        </is>
      </c>
    </row>
    <row r="2976">
      <c r="A2976" s="33" t="inlineStr">
        <is>
          <t>SM002972</t>
        </is>
      </c>
      <c r="B2976" s="33" t="inlineStr">
        <is>
          <t>SW001</t>
        </is>
      </c>
      <c r="C2976" s="33" t="inlineStr">
        <is>
          <t>Grayson Coulter</t>
        </is>
      </c>
      <c r="D2976" s="33" t="inlineStr">
        <is>
          <t>SwimCloud</t>
        </is>
      </c>
      <c r="E2976" s="33" t="inlineStr">
        <is>
          <t>3651023</t>
        </is>
      </c>
      <c r="F2976" s="33" t="inlineStr">
        <is>
          <t>137774076</t>
        </is>
      </c>
      <c r="G2976" s="51" t="n">
        <v>45545</v>
      </c>
      <c r="H2976" s="33" t="inlineStr">
        <is>
          <t>Zespri AIMS Games - Kauh</t>
        </is>
      </c>
      <c r="I2976" s="33" t="inlineStr">
        <is>
          <t>323338</t>
        </is>
      </c>
      <c r="J2976" s="33" t="n"/>
      <c r="K2976" s="33" t="inlineStr">
        <is>
          <t>TIM</t>
        </is>
      </c>
      <c r="L2976" s="35">
        <f>IF(K2976="FIN",3,IF(OR(K2976="SEM",K2976="SEMI"),2,IF(OR(K2976="PRE",K2976="HEAT"),1,IF(V2976="YES",4,2))))</f>
        <v/>
      </c>
      <c r="M2976" s="33" t="inlineStr">
        <is>
          <t>SCM</t>
        </is>
      </c>
      <c r="N2976" s="33" t="n">
        <v>50</v>
      </c>
      <c r="O2976" s="33" t="inlineStr">
        <is>
          <t>Free</t>
        </is>
      </c>
      <c r="P2976" s="33" t="inlineStr">
        <is>
          <t>50 Free</t>
        </is>
      </c>
      <c r="Q2976" s="33" t="inlineStr">
        <is>
          <t>SCM_50_FREE</t>
        </is>
      </c>
      <c r="R2976" s="36" t="n">
        <v>25.53</v>
      </c>
      <c r="S2976" s="35">
        <f>IF(R2976="","",IF(R2976&gt;=60,INT(R2976/60)&amp;":"&amp;TEXT(MOD(R2976,60),"00.00"),TEXT(R2976,"0.00")))</f>
        <v/>
      </c>
      <c r="T2976" s="52">
        <f>IFERROR((G2976-INDEX('01_Swimmers'!$E$5:$E$22,MATCH(B2976,'01_Swimmers'!$A$5:$A$22,0)))/'00_Control'!$B$10,"")</f>
        <v/>
      </c>
      <c r="U2976" s="35">
        <f>IF(T2976="","",INT(T2976))</f>
        <v/>
      </c>
      <c r="V2976" s="33" t="inlineStr">
        <is>
          <t>NO</t>
        </is>
      </c>
      <c r="W2976" s="33" t="inlineStr">
        <is>
          <t>YES</t>
        </is>
      </c>
      <c r="X2976" s="33" t="inlineStr">
        <is>
          <t>NO</t>
        </is>
      </c>
      <c r="Y2976" s="33" t="n">
        <v>7</v>
      </c>
      <c r="Z2976" s="33" t="n">
        <v>5</v>
      </c>
      <c r="AA2976" s="33" t="inlineStr"/>
      <c r="AB2976" s="33" t="inlineStr">
        <is>
          <t>https://www.swimcloud.com/results/323338/event/84/?id=137771996#time137771996</t>
        </is>
      </c>
      <c r="AC2976" s="33" t="inlineStr">
        <is>
          <t>SwimCloud all-event v8 2026-10-09</t>
        </is>
      </c>
      <c r="AD2976" s="33" t="inlineStr">
        <is>
          <t>Grayson Coulter|2024-09-10|SCM|50|Free|25.53|Zespri AIMS Games - Kauh|TIM|False</t>
        </is>
      </c>
      <c r="AE2976" s="53">
        <f>G2976+L2976/1000+ROW()/1000000000</f>
        <v/>
      </c>
      <c r="AF2976" s="35">
        <f>IF(C2976&lt;&gt;"Grayson Coulter","",COUNTIFS($C$5:$C$2991,"Grayson Coulter",$Q$5:$Q$2991,Q2976,$AE$5:$AE$2991,"&lt;="&amp;AE2976,$R$5:$R$2991,"&lt;"&amp;R2976))</f>
        <v/>
      </c>
      <c r="AG2976" s="35">
        <f>IF(OR(C2976&lt;&gt;"Grayson Coulter",G2976&lt;'00_Control'!$B$7),"",--(AF2976&lt;5))</f>
        <v/>
      </c>
      <c r="AH2976" s="35">
        <f>IF(OR(C2976&lt;&gt;"Grayson Coulter",G2976&lt;'00_Control'!$B$7),"",--(AF2976&lt;10))</f>
        <v/>
      </c>
      <c r="AI2976" s="35">
        <f>IF(AND(C2976="Grayson Coulter",G2976&gt;='00_Control'!$B$7),"YES","NO")</f>
        <v/>
      </c>
      <c r="AJ2976" s="33" t="inlineStr">
        <is>
          <t>OK</t>
        </is>
      </c>
    </row>
    <row r="2977">
      <c r="A2977" s="33" t="inlineStr">
        <is>
          <t>SM002973</t>
        </is>
      </c>
      <c r="B2977" s="33" t="inlineStr">
        <is>
          <t>SW001</t>
        </is>
      </c>
      <c r="C2977" s="33" t="inlineStr">
        <is>
          <t>Grayson Coulter</t>
        </is>
      </c>
      <c r="D2977" s="33" t="inlineStr">
        <is>
          <t>SwimCloud</t>
        </is>
      </c>
      <c r="E2977" s="33" t="inlineStr">
        <is>
          <t>3651023</t>
        </is>
      </c>
      <c r="F2977" s="33" t="inlineStr">
        <is>
          <t>137771933</t>
        </is>
      </c>
      <c r="G2977" s="51" t="n">
        <v>45544</v>
      </c>
      <c r="H2977" s="33" t="inlineStr">
        <is>
          <t>Zespri AIMS Games - Kauh</t>
        </is>
      </c>
      <c r="I2977" s="33" t="inlineStr">
        <is>
          <t>323338</t>
        </is>
      </c>
      <c r="J2977" s="33" t="n"/>
      <c r="K2977" s="33" t="inlineStr">
        <is>
          <t>TIM</t>
        </is>
      </c>
      <c r="L2977" s="35">
        <f>IF(K2977="FIN",3,IF(OR(K2977="SEM",K2977="SEMI"),2,IF(OR(K2977="PRE",K2977="HEAT"),1,IF(V2977="YES",4,2))))</f>
        <v/>
      </c>
      <c r="M2977" s="33" t="inlineStr">
        <is>
          <t>SCM</t>
        </is>
      </c>
      <c r="N2977" s="33" t="n">
        <v>50</v>
      </c>
      <c r="O2977" s="33" t="inlineStr">
        <is>
          <t>Free</t>
        </is>
      </c>
      <c r="P2977" s="33" t="inlineStr">
        <is>
          <t>50 Free</t>
        </is>
      </c>
      <c r="Q2977" s="33" t="inlineStr">
        <is>
          <t>SCM_50_FREE</t>
        </is>
      </c>
      <c r="R2977" s="36" t="n">
        <v>24.45</v>
      </c>
      <c r="S2977" s="35">
        <f>IF(R2977="","",IF(R2977&gt;=60,INT(R2977/60)&amp;":"&amp;TEXT(MOD(R2977,60),"00.00"),TEXT(R2977,"0.00")))</f>
        <v/>
      </c>
      <c r="T2977" s="52">
        <f>IFERROR((G2977-INDEX('01_Swimmers'!$E$5:$E$22,MATCH(B2977,'01_Swimmers'!$A$5:$A$22,0)))/'00_Control'!$B$10,"")</f>
        <v/>
      </c>
      <c r="U2977" s="35">
        <f>IF(T2977="","",INT(T2977))</f>
        <v/>
      </c>
      <c r="V2977" s="33" t="inlineStr">
        <is>
          <t>NO</t>
        </is>
      </c>
      <c r="W2977" s="33" t="inlineStr">
        <is>
          <t>YES</t>
        </is>
      </c>
      <c r="X2977" s="33" t="inlineStr">
        <is>
          <t>NO</t>
        </is>
      </c>
      <c r="Y2977" s="33" t="n">
        <v>7</v>
      </c>
      <c r="Z2977" s="33" t="n">
        <v>5</v>
      </c>
      <c r="AA2977" s="33" t="inlineStr">
        <is>
          <t>1</t>
        </is>
      </c>
      <c r="AB2977" s="33" t="inlineStr">
        <is>
          <t>https://www.swimcloud.com/results/323338/event/57/?id=137771933#time137771933</t>
        </is>
      </c>
      <c r="AC2977" s="33" t="inlineStr">
        <is>
          <t>SwimCloud all-event v8 2026-10-09</t>
        </is>
      </c>
      <c r="AD2977" s="33" t="inlineStr">
        <is>
          <t>Grayson Coulter|2024-09-09|SCM|50|Free|24.45|Zespri AIMS Games - Kauh|TIM|False</t>
        </is>
      </c>
      <c r="AE2977" s="53">
        <f>G2977+L2977/1000+ROW()/1000000000</f>
        <v/>
      </c>
      <c r="AF2977" s="35">
        <f>IF(C2977&lt;&gt;"Grayson Coulter","",COUNTIFS($C$5:$C$2991,"Grayson Coulter",$Q$5:$Q$2991,Q2977,$AE$5:$AE$2991,"&lt;="&amp;AE2977,$R$5:$R$2991,"&lt;"&amp;R2977))</f>
        <v/>
      </c>
      <c r="AG2977" s="35">
        <f>IF(OR(C2977&lt;&gt;"Grayson Coulter",G2977&lt;'00_Control'!$B$7),"",--(AF2977&lt;5))</f>
        <v/>
      </c>
      <c r="AH2977" s="35">
        <f>IF(OR(C2977&lt;&gt;"Grayson Coulter",G2977&lt;'00_Control'!$B$7),"",--(AF2977&lt;10))</f>
        <v/>
      </c>
      <c r="AI2977" s="35">
        <f>IF(AND(C2977="Grayson Coulter",G2977&gt;='00_Control'!$B$7),"YES","NO")</f>
        <v/>
      </c>
      <c r="AJ2977" s="33" t="inlineStr">
        <is>
          <t>OK</t>
        </is>
      </c>
    </row>
    <row r="2978">
      <c r="A2978" s="33" t="inlineStr">
        <is>
          <t>SM002974</t>
        </is>
      </c>
      <c r="B2978" s="33" t="inlineStr">
        <is>
          <t>SW001</t>
        </is>
      </c>
      <c r="C2978" s="33" t="inlineStr">
        <is>
          <t>Grayson Coulter</t>
        </is>
      </c>
      <c r="D2978" s="33" t="inlineStr">
        <is>
          <t>SwimCloud</t>
        </is>
      </c>
      <c r="E2978" s="33" t="inlineStr">
        <is>
          <t>3651023</t>
        </is>
      </c>
      <c r="F2978" s="33" t="inlineStr">
        <is>
          <t>126597792</t>
        </is>
      </c>
      <c r="G2978" s="51" t="n">
        <v>45416</v>
      </c>
      <c r="H2978" s="33" t="inlineStr">
        <is>
          <t>Waterhole 12/over 400s &amp; 50s</t>
        </is>
      </c>
      <c r="I2978" s="33" t="inlineStr">
        <is>
          <t>303731</t>
        </is>
      </c>
      <c r="J2978" s="33" t="n"/>
      <c r="K2978" s="33" t="inlineStr">
        <is>
          <t>TIM</t>
        </is>
      </c>
      <c r="L2978" s="35">
        <f>IF(K2978="FIN",3,IF(OR(K2978="SEM",K2978="SEMI"),2,IF(OR(K2978="PRE",K2978="HEAT"),1,IF(V2978="YES",4,2))))</f>
        <v/>
      </c>
      <c r="M2978" s="33" t="inlineStr">
        <is>
          <t>SCM</t>
        </is>
      </c>
      <c r="N2978" s="33" t="n">
        <v>50</v>
      </c>
      <c r="O2978" s="33" t="inlineStr">
        <is>
          <t>Free</t>
        </is>
      </c>
      <c r="P2978" s="33" t="inlineStr">
        <is>
          <t>50 Free</t>
        </is>
      </c>
      <c r="Q2978" s="33" t="inlineStr">
        <is>
          <t>SCM_50_FREE</t>
        </is>
      </c>
      <c r="R2978" s="36" t="n">
        <v>25.17</v>
      </c>
      <c r="S2978" s="35">
        <f>IF(R2978="","",IF(R2978&gt;=60,INT(R2978/60)&amp;":"&amp;TEXT(MOD(R2978,60),"00.00"),TEXT(R2978,"0.00")))</f>
        <v/>
      </c>
      <c r="T2978" s="52">
        <f>IFERROR((G2978-INDEX('01_Swimmers'!$E$5:$E$22,MATCH(B2978,'01_Swimmers'!$A$5:$A$22,0)))/'00_Control'!$B$10,"")</f>
        <v/>
      </c>
      <c r="U2978" s="35">
        <f>IF(T2978="","",INT(T2978))</f>
        <v/>
      </c>
      <c r="V2978" s="33" t="inlineStr">
        <is>
          <t>NO</t>
        </is>
      </c>
      <c r="W2978" s="33" t="inlineStr">
        <is>
          <t>YES</t>
        </is>
      </c>
      <c r="X2978" s="33" t="inlineStr">
        <is>
          <t>NO</t>
        </is>
      </c>
      <c r="Y2978" s="33" t="n">
        <v>12</v>
      </c>
      <c r="Z2978" s="33" t="n">
        <v>7</v>
      </c>
      <c r="AA2978" s="33" t="inlineStr">
        <is>
          <t>1</t>
        </is>
      </c>
      <c r="AB2978" s="33" t="inlineStr">
        <is>
          <t>https://www.swimcloud.com/results/303731/event/1/?id=126597792#time126597792</t>
        </is>
      </c>
      <c r="AC2978" s="33" t="inlineStr">
        <is>
          <t>SwimCloud all-event v8 2026-10-09</t>
        </is>
      </c>
      <c r="AD2978" s="33" t="inlineStr">
        <is>
          <t>Grayson Coulter|2024-05-04|SCM|50|Free|25.17|Waterhole 12/over 400s &amp; 50s|TIM|False</t>
        </is>
      </c>
      <c r="AE2978" s="53">
        <f>G2978+L2978/1000+ROW()/1000000000</f>
        <v/>
      </c>
      <c r="AF2978" s="35">
        <f>IF(C2978&lt;&gt;"Grayson Coulter","",COUNTIFS($C$5:$C$2991,"Grayson Coulter",$Q$5:$Q$2991,Q2978,$AE$5:$AE$2991,"&lt;="&amp;AE2978,$R$5:$R$2991,"&lt;"&amp;R2978))</f>
        <v/>
      </c>
      <c r="AG2978" s="35">
        <f>IF(OR(C2978&lt;&gt;"Grayson Coulter",G2978&lt;'00_Control'!$B$7),"",--(AF2978&lt;5))</f>
        <v/>
      </c>
      <c r="AH2978" s="35">
        <f>IF(OR(C2978&lt;&gt;"Grayson Coulter",G2978&lt;'00_Control'!$B$7),"",--(AF2978&lt;10))</f>
        <v/>
      </c>
      <c r="AI2978" s="35">
        <f>IF(AND(C2978="Grayson Coulter",G2978&gt;='00_Control'!$B$7),"YES","NO")</f>
        <v/>
      </c>
      <c r="AJ2978" s="33" t="inlineStr">
        <is>
          <t>OK</t>
        </is>
      </c>
    </row>
    <row r="2979">
      <c r="A2979" s="33" t="inlineStr">
        <is>
          <t>SM002975</t>
        </is>
      </c>
      <c r="B2979" s="33" t="inlineStr">
        <is>
          <t>SW001</t>
        </is>
      </c>
      <c r="C2979" s="33" t="inlineStr">
        <is>
          <t>Grayson Coulter</t>
        </is>
      </c>
      <c r="D2979" s="33" t="inlineStr">
        <is>
          <t>SwimCloud</t>
        </is>
      </c>
      <c r="E2979" s="33" t="inlineStr">
        <is>
          <t>3651023</t>
        </is>
      </c>
      <c r="F2979" s="33" t="inlineStr">
        <is>
          <t>124996187</t>
        </is>
      </c>
      <c r="G2979" s="51" t="n">
        <v>45235</v>
      </c>
      <c r="H2979" s="33" t="inlineStr">
        <is>
          <t>2023 NZ Junior Festival - Harlequins</t>
        </is>
      </c>
      <c r="I2979" s="33" t="inlineStr">
        <is>
          <t>302562</t>
        </is>
      </c>
      <c r="J2979" s="33" t="n"/>
      <c r="K2979" s="33" t="inlineStr">
        <is>
          <t>TIM</t>
        </is>
      </c>
      <c r="L2979" s="35">
        <f>IF(K2979="FIN",3,IF(OR(K2979="SEM",K2979="SEMI"),2,IF(OR(K2979="PRE",K2979="HEAT"),1,IF(V2979="YES",4,2))))</f>
        <v/>
      </c>
      <c r="M2979" s="33" t="inlineStr">
        <is>
          <t>SCM</t>
        </is>
      </c>
      <c r="N2979" s="33" t="n">
        <v>50</v>
      </c>
      <c r="O2979" s="33" t="inlineStr">
        <is>
          <t>Free</t>
        </is>
      </c>
      <c r="P2979" s="33" t="inlineStr">
        <is>
          <t>50 Free</t>
        </is>
      </c>
      <c r="Q2979" s="33" t="inlineStr">
        <is>
          <t>SCM_50_FREE</t>
        </is>
      </c>
      <c r="R2979" s="36" t="n">
        <v>26.56</v>
      </c>
      <c r="S2979" s="35">
        <f>IF(R2979="","",IF(R2979&gt;=60,INT(R2979/60)&amp;":"&amp;TEXT(MOD(R2979,60),"00.00"),TEXT(R2979,"0.00")))</f>
        <v/>
      </c>
      <c r="T2979" s="52">
        <f>IFERROR((G2979-INDEX('01_Swimmers'!$E$5:$E$22,MATCH(B2979,'01_Swimmers'!$A$5:$A$22,0)))/'00_Control'!$B$10,"")</f>
        <v/>
      </c>
      <c r="U2979" s="35">
        <f>IF(T2979="","",INT(T2979))</f>
        <v/>
      </c>
      <c r="V2979" s="33" t="inlineStr">
        <is>
          <t>YES</t>
        </is>
      </c>
      <c r="W2979" s="33" t="inlineStr">
        <is>
          <t>YES</t>
        </is>
      </c>
      <c r="X2979" s="33" t="inlineStr">
        <is>
          <t>NO</t>
        </is>
      </c>
      <c r="Y2979" s="33" t="n">
        <v>1</v>
      </c>
      <c r="Z2979" s="33" t="n">
        <v>5</v>
      </c>
      <c r="AA2979" s="33" t="inlineStr"/>
      <c r="AB2979" s="33" t="inlineStr">
        <is>
          <t>https://www.swimcloud.com/results/302562/event/66/?id=124995758#time124995758</t>
        </is>
      </c>
      <c r="AC2979" s="33" t="inlineStr">
        <is>
          <t>SwimCloud all-event v8 2026-10-09</t>
        </is>
      </c>
      <c r="AD2979" s="33" t="inlineStr">
        <is>
          <t>Grayson Coulter|2023-11-05|SCM|50|Free|26.56|2023 NZ Junior Festival - Harlequins|TIM|True</t>
        </is>
      </c>
      <c r="AE2979" s="53">
        <f>G2979+L2979/1000+ROW()/1000000000</f>
        <v/>
      </c>
      <c r="AF2979" s="35">
        <f>IF(C2979&lt;&gt;"Grayson Coulter","",COUNTIFS($C$5:$C$2991,"Grayson Coulter",$Q$5:$Q$2991,Q2979,$AE$5:$AE$2991,"&lt;="&amp;AE2979,$R$5:$R$2991,"&lt;"&amp;R2979))</f>
        <v/>
      </c>
      <c r="AG2979" s="35">
        <f>IF(OR(C2979&lt;&gt;"Grayson Coulter",G2979&lt;'00_Control'!$B$7),"",--(AF2979&lt;5))</f>
        <v/>
      </c>
      <c r="AH2979" s="35">
        <f>IF(OR(C2979&lt;&gt;"Grayson Coulter",G2979&lt;'00_Control'!$B$7),"",--(AF2979&lt;10))</f>
        <v/>
      </c>
      <c r="AI2979" s="35">
        <f>IF(AND(C2979="Grayson Coulter",G2979&gt;='00_Control'!$B$7),"YES","NO")</f>
        <v/>
      </c>
      <c r="AJ2979" s="33" t="inlineStr">
        <is>
          <t>OK</t>
        </is>
      </c>
    </row>
    <row r="2980">
      <c r="A2980" s="33" t="inlineStr">
        <is>
          <t>SM002976</t>
        </is>
      </c>
      <c r="B2980" s="33" t="inlineStr">
        <is>
          <t>SW001</t>
        </is>
      </c>
      <c r="C2980" s="33" t="inlineStr">
        <is>
          <t>Grayson Coulter</t>
        </is>
      </c>
      <c r="D2980" s="33" t="inlineStr">
        <is>
          <t>SwimCloud</t>
        </is>
      </c>
      <c r="E2980" s="33" t="inlineStr">
        <is>
          <t>3651023</t>
        </is>
      </c>
      <c r="F2980" s="33" t="inlineStr">
        <is>
          <t>124995943</t>
        </is>
      </c>
      <c r="G2980" s="51" t="n">
        <v>45235</v>
      </c>
      <c r="H2980" s="33" t="inlineStr">
        <is>
          <t>2023 NZ Junior Festival - Harlequins</t>
        </is>
      </c>
      <c r="I2980" s="33" t="inlineStr">
        <is>
          <t>302562</t>
        </is>
      </c>
      <c r="J2980" s="33" t="n"/>
      <c r="K2980" s="33" t="inlineStr">
        <is>
          <t>TIM</t>
        </is>
      </c>
      <c r="L2980" s="35">
        <f>IF(K2980="FIN",3,IF(OR(K2980="SEM",K2980="SEMI"),2,IF(OR(K2980="PRE",K2980="HEAT"),1,IF(V2980="YES",4,2))))</f>
        <v/>
      </c>
      <c r="M2980" s="33" t="inlineStr">
        <is>
          <t>SCM</t>
        </is>
      </c>
      <c r="N2980" s="33" t="n">
        <v>50</v>
      </c>
      <c r="O2980" s="33" t="inlineStr">
        <is>
          <t>Free</t>
        </is>
      </c>
      <c r="P2980" s="33" t="inlineStr">
        <is>
          <t>50 Free</t>
        </is>
      </c>
      <c r="Q2980" s="33" t="inlineStr">
        <is>
          <t>SCM_50_FREE</t>
        </is>
      </c>
      <c r="R2980" s="36" t="n">
        <v>26.37</v>
      </c>
      <c r="S2980" s="35">
        <f>IF(R2980="","",IF(R2980&gt;=60,INT(R2980/60)&amp;":"&amp;TEXT(MOD(R2980,60),"00.00"),TEXT(R2980,"0.00")))</f>
        <v/>
      </c>
      <c r="T2980" s="52">
        <f>IFERROR((G2980-INDEX('01_Swimmers'!$E$5:$E$22,MATCH(B2980,'01_Swimmers'!$A$5:$A$22,0)))/'00_Control'!$B$10,"")</f>
        <v/>
      </c>
      <c r="U2980" s="35">
        <f>IF(T2980="","",INT(T2980))</f>
        <v/>
      </c>
      <c r="V2980" s="33" t="inlineStr">
        <is>
          <t>YES</t>
        </is>
      </c>
      <c r="W2980" s="33" t="inlineStr">
        <is>
          <t>YES</t>
        </is>
      </c>
      <c r="X2980" s="33" t="inlineStr">
        <is>
          <t>NO</t>
        </is>
      </c>
      <c r="Y2980" s="33" t="n">
        <v>1</v>
      </c>
      <c r="Z2980" s="33" t="n">
        <v>4</v>
      </c>
      <c r="AA2980" s="33" t="inlineStr"/>
      <c r="AB2980" s="33" t="inlineStr">
        <is>
          <t>https://www.swimcloud.com/results/302562/event/85/?id=124995696#time124995696</t>
        </is>
      </c>
      <c r="AC2980" s="33" t="inlineStr">
        <is>
          <t>SwimCloud all-event v8 2026-10-09</t>
        </is>
      </c>
      <c r="AD2980" s="33" t="inlineStr">
        <is>
          <t>Grayson Coulter|2023-11-05|SCM|50|Free|26.37|2023 NZ Junior Festival - Harlequins|TIM|True</t>
        </is>
      </c>
      <c r="AE2980" s="53">
        <f>G2980+L2980/1000+ROW()/1000000000</f>
        <v/>
      </c>
      <c r="AF2980" s="35">
        <f>IF(C2980&lt;&gt;"Grayson Coulter","",COUNTIFS($C$5:$C$2991,"Grayson Coulter",$Q$5:$Q$2991,Q2980,$AE$5:$AE$2991,"&lt;="&amp;AE2980,$R$5:$R$2991,"&lt;"&amp;R2980))</f>
        <v/>
      </c>
      <c r="AG2980" s="35">
        <f>IF(OR(C2980&lt;&gt;"Grayson Coulter",G2980&lt;'00_Control'!$B$7),"",--(AF2980&lt;5))</f>
        <v/>
      </c>
      <c r="AH2980" s="35">
        <f>IF(OR(C2980&lt;&gt;"Grayson Coulter",G2980&lt;'00_Control'!$B$7),"",--(AF2980&lt;10))</f>
        <v/>
      </c>
      <c r="AI2980" s="35">
        <f>IF(AND(C2980="Grayson Coulter",G2980&gt;='00_Control'!$B$7),"YES","NO")</f>
        <v/>
      </c>
      <c r="AJ2980" s="33" t="inlineStr">
        <is>
          <t>OK</t>
        </is>
      </c>
    </row>
    <row r="2981">
      <c r="A2981" s="33" t="inlineStr">
        <is>
          <t>SM002977</t>
        </is>
      </c>
      <c r="B2981" s="33" t="inlineStr">
        <is>
          <t>SW001</t>
        </is>
      </c>
      <c r="C2981" s="33" t="inlineStr">
        <is>
          <t>Grayson Coulter</t>
        </is>
      </c>
      <c r="D2981" s="33" t="inlineStr">
        <is>
          <t>SwimCloud</t>
        </is>
      </c>
      <c r="E2981" s="33" t="inlineStr">
        <is>
          <t>3651023</t>
        </is>
      </c>
      <c r="F2981" s="33" t="inlineStr">
        <is>
          <t>124995167</t>
        </is>
      </c>
      <c r="G2981" s="51" t="n">
        <v>45234</v>
      </c>
      <c r="H2981" s="33" t="inlineStr">
        <is>
          <t>2023 NZ Junior Festival - Harlequins</t>
        </is>
      </c>
      <c r="I2981" s="33" t="inlineStr">
        <is>
          <t>302562</t>
        </is>
      </c>
      <c r="J2981" s="33" t="n"/>
      <c r="K2981" s="33" t="inlineStr">
        <is>
          <t>TIM</t>
        </is>
      </c>
      <c r="L2981" s="35">
        <f>IF(K2981="FIN",3,IF(OR(K2981="SEM",K2981="SEMI"),2,IF(OR(K2981="PRE",K2981="HEAT"),1,IF(V2981="YES",4,2))))</f>
        <v/>
      </c>
      <c r="M2981" s="33" t="inlineStr">
        <is>
          <t>SCM</t>
        </is>
      </c>
      <c r="N2981" s="33" t="n">
        <v>50</v>
      </c>
      <c r="O2981" s="33" t="inlineStr">
        <is>
          <t>Free</t>
        </is>
      </c>
      <c r="P2981" s="33" t="inlineStr">
        <is>
          <t>50 Free</t>
        </is>
      </c>
      <c r="Q2981" s="33" t="inlineStr">
        <is>
          <t>SCM_50_FREE</t>
        </is>
      </c>
      <c r="R2981" s="36" t="n">
        <v>26.09</v>
      </c>
      <c r="S2981" s="35">
        <f>IF(R2981="","",IF(R2981&gt;=60,INT(R2981/60)&amp;":"&amp;TEXT(MOD(R2981,60),"00.00"),TEXT(R2981,"0.00")))</f>
        <v/>
      </c>
      <c r="T2981" s="52">
        <f>IFERROR((G2981-INDEX('01_Swimmers'!$E$5:$E$22,MATCH(B2981,'01_Swimmers'!$A$5:$A$22,0)))/'00_Control'!$B$10,"")</f>
        <v/>
      </c>
      <c r="U2981" s="35">
        <f>IF(T2981="","",INT(T2981))</f>
        <v/>
      </c>
      <c r="V2981" s="33" t="inlineStr">
        <is>
          <t>NO</t>
        </is>
      </c>
      <c r="W2981" s="33" t="inlineStr">
        <is>
          <t>YES</t>
        </is>
      </c>
      <c r="X2981" s="33" t="inlineStr">
        <is>
          <t>NO</t>
        </is>
      </c>
      <c r="Y2981" s="33" t="n">
        <v>4</v>
      </c>
      <c r="Z2981" s="33" t="n">
        <v>4</v>
      </c>
      <c r="AA2981" s="33" t="inlineStr">
        <is>
          <t>1</t>
        </is>
      </c>
      <c r="AB2981" s="33" t="inlineStr">
        <is>
          <t>https://www.swimcloud.com/results/302562/event/43/?id=124995167#time124995167</t>
        </is>
      </c>
      <c r="AC2981" s="33" t="inlineStr">
        <is>
          <t>SwimCloud all-event v8 2026-10-09</t>
        </is>
      </c>
      <c r="AD2981" s="33" t="inlineStr">
        <is>
          <t>Grayson Coulter|2023-11-04|SCM|50|Free|26.09|2023 NZ Junior Festival - Harlequins|TIM|False</t>
        </is>
      </c>
      <c r="AE2981" s="53">
        <f>G2981+L2981/1000+ROW()/1000000000</f>
        <v/>
      </c>
      <c r="AF2981" s="35">
        <f>IF(C2981&lt;&gt;"Grayson Coulter","",COUNTIFS($C$5:$C$2991,"Grayson Coulter",$Q$5:$Q$2991,Q2981,$AE$5:$AE$2991,"&lt;="&amp;AE2981,$R$5:$R$2991,"&lt;"&amp;R2981))</f>
        <v/>
      </c>
      <c r="AG2981" s="35">
        <f>IF(OR(C2981&lt;&gt;"Grayson Coulter",G2981&lt;'00_Control'!$B$7),"",--(AF2981&lt;5))</f>
        <v/>
      </c>
      <c r="AH2981" s="35">
        <f>IF(OR(C2981&lt;&gt;"Grayson Coulter",G2981&lt;'00_Control'!$B$7),"",--(AF2981&lt;10))</f>
        <v/>
      </c>
      <c r="AI2981" s="35">
        <f>IF(AND(C2981="Grayson Coulter",G2981&gt;='00_Control'!$B$7),"YES","NO")</f>
        <v/>
      </c>
      <c r="AJ2981" s="33" t="inlineStr">
        <is>
          <t>OK</t>
        </is>
      </c>
    </row>
    <row r="2982">
      <c r="A2982" s="33" t="inlineStr">
        <is>
          <t>SM002978</t>
        </is>
      </c>
      <c r="B2982" s="33" t="inlineStr">
        <is>
          <t>SW001</t>
        </is>
      </c>
      <c r="C2982" s="33" t="inlineStr">
        <is>
          <t>Grayson Coulter</t>
        </is>
      </c>
      <c r="D2982" s="33" t="inlineStr">
        <is>
          <t>SwimCloud</t>
        </is>
      </c>
      <c r="E2982" s="33" t="inlineStr">
        <is>
          <t>3651023</t>
        </is>
      </c>
      <c r="F2982" s="33" t="inlineStr">
        <is>
          <t>125061419</t>
        </is>
      </c>
      <c r="G2982" s="51" t="n">
        <v>45074</v>
      </c>
      <c r="H2982" s="33" t="inlineStr">
        <is>
          <t>Waitakere Swimming Club Winter Meet 12U</t>
        </is>
      </c>
      <c r="I2982" s="33" t="inlineStr">
        <is>
          <t>302667</t>
        </is>
      </c>
      <c r="J2982" s="33" t="n"/>
      <c r="K2982" s="33" t="inlineStr">
        <is>
          <t>TIM</t>
        </is>
      </c>
      <c r="L2982" s="35">
        <f>IF(K2982="FIN",3,IF(OR(K2982="SEM",K2982="SEMI"),2,IF(OR(K2982="PRE",K2982="HEAT"),1,IF(V2982="YES",4,2))))</f>
        <v/>
      </c>
      <c r="M2982" s="33" t="inlineStr">
        <is>
          <t>SCM</t>
        </is>
      </c>
      <c r="N2982" s="33" t="n">
        <v>50</v>
      </c>
      <c r="O2982" s="33" t="inlineStr">
        <is>
          <t>Free</t>
        </is>
      </c>
      <c r="P2982" s="33" t="inlineStr">
        <is>
          <t>50 Free</t>
        </is>
      </c>
      <c r="Q2982" s="33" t="inlineStr">
        <is>
          <t>SCM_50_FREE</t>
        </is>
      </c>
      <c r="R2982" s="36" t="n">
        <v>26.61</v>
      </c>
      <c r="S2982" s="35">
        <f>IF(R2982="","",IF(R2982&gt;=60,INT(R2982/60)&amp;":"&amp;TEXT(MOD(R2982,60),"00.00"),TEXT(R2982,"0.00")))</f>
        <v/>
      </c>
      <c r="T2982" s="52">
        <f>IFERROR((G2982-INDEX('01_Swimmers'!$E$5:$E$22,MATCH(B2982,'01_Swimmers'!$A$5:$A$22,0)))/'00_Control'!$B$10,"")</f>
        <v/>
      </c>
      <c r="U2982" s="35">
        <f>IF(T2982="","",INT(T2982))</f>
        <v/>
      </c>
      <c r="V2982" s="33" t="inlineStr">
        <is>
          <t>YES</t>
        </is>
      </c>
      <c r="W2982" s="33" t="inlineStr">
        <is>
          <t>YES</t>
        </is>
      </c>
      <c r="X2982" s="33" t="inlineStr">
        <is>
          <t>NO</t>
        </is>
      </c>
      <c r="Y2982" s="33" t="n">
        <v>2</v>
      </c>
      <c r="Z2982" s="33" t="n">
        <v>4</v>
      </c>
      <c r="AA2982" s="33" t="inlineStr"/>
      <c r="AB2982" s="33" t="inlineStr">
        <is>
          <t>https://www.swimcloud.com/results/302667/event/17/?id=125061392#time125061392</t>
        </is>
      </c>
      <c r="AC2982" s="33" t="inlineStr">
        <is>
          <t>SwimCloud all-event v8 2026-10-09</t>
        </is>
      </c>
      <c r="AD2982" s="33" t="inlineStr">
        <is>
          <t>Grayson Coulter|2023-05-28|SCM|50|Free|26.61|Waitakere Swimming Club Winter Meet 12U|TIM|True</t>
        </is>
      </c>
      <c r="AE2982" s="53">
        <f>G2982+L2982/1000+ROW()/1000000000</f>
        <v/>
      </c>
      <c r="AF2982" s="35">
        <f>IF(C2982&lt;&gt;"Grayson Coulter","",COUNTIFS($C$5:$C$2991,"Grayson Coulter",$Q$5:$Q$2991,Q2982,$AE$5:$AE$2991,"&lt;="&amp;AE2982,$R$5:$R$2991,"&lt;"&amp;R2982))</f>
        <v/>
      </c>
      <c r="AG2982" s="35">
        <f>IF(OR(C2982&lt;&gt;"Grayson Coulter",G2982&lt;'00_Control'!$B$7),"",--(AF2982&lt;5))</f>
        <v/>
      </c>
      <c r="AH2982" s="35">
        <f>IF(OR(C2982&lt;&gt;"Grayson Coulter",G2982&lt;'00_Control'!$B$7),"",--(AF2982&lt;10))</f>
        <v/>
      </c>
      <c r="AI2982" s="35">
        <f>IF(AND(C2982="Grayson Coulter",G2982&gt;='00_Control'!$B$7),"YES","NO")</f>
        <v/>
      </c>
      <c r="AJ2982" s="33" t="inlineStr">
        <is>
          <t>OK</t>
        </is>
      </c>
    </row>
    <row r="2983">
      <c r="A2983" s="33" t="inlineStr">
        <is>
          <t>SM002979</t>
        </is>
      </c>
      <c r="B2983" s="33" t="inlineStr">
        <is>
          <t>SW001</t>
        </is>
      </c>
      <c r="C2983" s="33" t="inlineStr">
        <is>
          <t>Grayson Coulter</t>
        </is>
      </c>
      <c r="D2983" s="33" t="inlineStr">
        <is>
          <t>SwimCloud</t>
        </is>
      </c>
      <c r="E2983" s="33" t="inlineStr">
        <is>
          <t>3651023</t>
        </is>
      </c>
      <c r="F2983" s="33" t="inlineStr">
        <is>
          <t>125061041</t>
        </is>
      </c>
      <c r="G2983" s="51" t="n">
        <v>45074</v>
      </c>
      <c r="H2983" s="33" t="inlineStr">
        <is>
          <t>Waitakere Swimming Club Winter Meet 12U</t>
        </is>
      </c>
      <c r="I2983" s="33" t="inlineStr">
        <is>
          <t>302667</t>
        </is>
      </c>
      <c r="J2983" s="33" t="n"/>
      <c r="K2983" s="33" t="inlineStr">
        <is>
          <t>TIM</t>
        </is>
      </c>
      <c r="L2983" s="35">
        <f>IF(K2983="FIN",3,IF(OR(K2983="SEM",K2983="SEMI"),2,IF(OR(K2983="PRE",K2983="HEAT"),1,IF(V2983="YES",4,2))))</f>
        <v/>
      </c>
      <c r="M2983" s="33" t="inlineStr">
        <is>
          <t>SCM</t>
        </is>
      </c>
      <c r="N2983" s="33" t="n">
        <v>50</v>
      </c>
      <c r="O2983" s="33" t="inlineStr">
        <is>
          <t>Free</t>
        </is>
      </c>
      <c r="P2983" s="33" t="inlineStr">
        <is>
          <t>50 Free</t>
        </is>
      </c>
      <c r="Q2983" s="33" t="inlineStr">
        <is>
          <t>SCM_50_FREE</t>
        </is>
      </c>
      <c r="R2983" s="36" t="n">
        <v>27.23</v>
      </c>
      <c r="S2983" s="35">
        <f>IF(R2983="","",IF(R2983&gt;=60,INT(R2983/60)&amp;":"&amp;TEXT(MOD(R2983,60),"00.00"),TEXT(R2983,"0.00")))</f>
        <v/>
      </c>
      <c r="T2983" s="52">
        <f>IFERROR((G2983-INDEX('01_Swimmers'!$E$5:$E$22,MATCH(B2983,'01_Swimmers'!$A$5:$A$22,0)))/'00_Control'!$B$10,"")</f>
        <v/>
      </c>
      <c r="U2983" s="35">
        <f>IF(T2983="","",INT(T2983))</f>
        <v/>
      </c>
      <c r="V2983" s="33" t="inlineStr">
        <is>
          <t>NO</t>
        </is>
      </c>
      <c r="W2983" s="33" t="inlineStr">
        <is>
          <t>YES</t>
        </is>
      </c>
      <c r="X2983" s="33" t="inlineStr">
        <is>
          <t>NO</t>
        </is>
      </c>
      <c r="Y2983" s="33" t="n">
        <v>16</v>
      </c>
      <c r="Z2983" s="33" t="n">
        <v>4</v>
      </c>
      <c r="AA2983" s="33" t="inlineStr">
        <is>
          <t>1</t>
        </is>
      </c>
      <c r="AB2983" s="33" t="inlineStr">
        <is>
          <t>https://www.swimcloud.com/results/302667/event/5/?id=125061041#time125061041</t>
        </is>
      </c>
      <c r="AC2983" s="33" t="inlineStr">
        <is>
          <t>SwimCloud all-event v8 2026-10-09</t>
        </is>
      </c>
      <c r="AD2983" s="33" t="inlineStr">
        <is>
          <t>Grayson Coulter|2023-05-28|SCM|50|Free|27.23|Waitakere Swimming Club Winter Meet 12U|TIM|False</t>
        </is>
      </c>
      <c r="AE2983" s="53">
        <f>G2983+L2983/1000+ROW()/1000000000</f>
        <v/>
      </c>
      <c r="AF2983" s="35">
        <f>IF(C2983&lt;&gt;"Grayson Coulter","",COUNTIFS($C$5:$C$2991,"Grayson Coulter",$Q$5:$Q$2991,Q2983,$AE$5:$AE$2991,"&lt;="&amp;AE2983,$R$5:$R$2991,"&lt;"&amp;R2983))</f>
        <v/>
      </c>
      <c r="AG2983" s="35">
        <f>IF(OR(C2983&lt;&gt;"Grayson Coulter",G2983&lt;'00_Control'!$B$7),"",--(AF2983&lt;5))</f>
        <v/>
      </c>
      <c r="AH2983" s="35">
        <f>IF(OR(C2983&lt;&gt;"Grayson Coulter",G2983&lt;'00_Control'!$B$7),"",--(AF2983&lt;10))</f>
        <v/>
      </c>
      <c r="AI2983" s="35">
        <f>IF(AND(C2983="Grayson Coulter",G2983&gt;='00_Control'!$B$7),"YES","NO")</f>
        <v/>
      </c>
      <c r="AJ2983" s="33" t="inlineStr">
        <is>
          <t>OK</t>
        </is>
      </c>
    </row>
    <row r="2984">
      <c r="A2984" s="33" t="inlineStr">
        <is>
          <t>SM002980</t>
        </is>
      </c>
      <c r="B2984" s="33" t="inlineStr">
        <is>
          <t>SW001</t>
        </is>
      </c>
      <c r="C2984" s="33" t="inlineStr">
        <is>
          <t>Grayson Coulter</t>
        </is>
      </c>
      <c r="D2984" s="33" t="inlineStr">
        <is>
          <t>SwimCloud</t>
        </is>
      </c>
      <c r="E2984" s="33" t="inlineStr">
        <is>
          <t>3651023</t>
        </is>
      </c>
      <c r="F2984" s="33" t="inlineStr">
        <is>
          <t>125056475</t>
        </is>
      </c>
      <c r="G2984" s="51" t="n">
        <v>45011</v>
      </c>
      <c r="H2984" s="33" t="inlineStr">
        <is>
          <t>2023 ASA Juniors</t>
        </is>
      </c>
      <c r="I2984" s="33" t="inlineStr">
        <is>
          <t>302652</t>
        </is>
      </c>
      <c r="J2984" s="33" t="n"/>
      <c r="K2984" s="33" t="inlineStr">
        <is>
          <t>TIM</t>
        </is>
      </c>
      <c r="L2984" s="35">
        <f>IF(K2984="FIN",3,IF(OR(K2984="SEM",K2984="SEMI"),2,IF(OR(K2984="PRE",K2984="HEAT"),1,IF(V2984="YES",4,2))))</f>
        <v/>
      </c>
      <c r="M2984" s="33" t="inlineStr">
        <is>
          <t>SCM</t>
        </is>
      </c>
      <c r="N2984" s="33" t="n">
        <v>50</v>
      </c>
      <c r="O2984" s="33" t="inlineStr">
        <is>
          <t>Free</t>
        </is>
      </c>
      <c r="P2984" s="33" t="inlineStr">
        <is>
          <t>50 Free</t>
        </is>
      </c>
      <c r="Q2984" s="33" t="inlineStr">
        <is>
          <t>SCM_50_FREE</t>
        </is>
      </c>
      <c r="R2984" s="36" t="n">
        <v>29.56</v>
      </c>
      <c r="S2984" s="35">
        <f>IF(R2984="","",IF(R2984&gt;=60,INT(R2984/60)&amp;":"&amp;TEXT(MOD(R2984,60),"00.00"),TEXT(R2984,"0.00")))</f>
        <v/>
      </c>
      <c r="T2984" s="52">
        <f>IFERROR((G2984-INDEX('01_Swimmers'!$E$5:$E$22,MATCH(B2984,'01_Swimmers'!$A$5:$A$22,0)))/'00_Control'!$B$10,"")</f>
        <v/>
      </c>
      <c r="U2984" s="35">
        <f>IF(T2984="","",INT(T2984))</f>
        <v/>
      </c>
      <c r="V2984" s="33" t="inlineStr">
        <is>
          <t>YES</t>
        </is>
      </c>
      <c r="W2984" s="33" t="inlineStr">
        <is>
          <t>YES</t>
        </is>
      </c>
      <c r="X2984" s="33" t="inlineStr">
        <is>
          <t>NO</t>
        </is>
      </c>
      <c r="Y2984" s="33" t="n">
        <v>1</v>
      </c>
      <c r="Z2984" s="33" t="n">
        <v>2</v>
      </c>
      <c r="AA2984" s="33" t="inlineStr"/>
      <c r="AB2984" s="33" t="inlineStr">
        <is>
          <t>https://www.swimcloud.com/results/302652/event/17/?id=125055806#time125055806</t>
        </is>
      </c>
      <c r="AC2984" s="33" t="inlineStr">
        <is>
          <t>SwimCloud all-event v8 2026-10-09</t>
        </is>
      </c>
      <c r="AD2984" s="33" t="inlineStr">
        <is>
          <t>Grayson Coulter|2023-03-26|SCM|50|Free|29.56|2023 ASA Juniors|TIM|True</t>
        </is>
      </c>
      <c r="AE2984" s="53">
        <f>G2984+L2984/1000+ROW()/1000000000</f>
        <v/>
      </c>
      <c r="AF2984" s="35">
        <f>IF(C2984&lt;&gt;"Grayson Coulter","",COUNTIFS($C$5:$C$2991,"Grayson Coulter",$Q$5:$Q$2991,Q2984,$AE$5:$AE$2991,"&lt;="&amp;AE2984,$R$5:$R$2991,"&lt;"&amp;R2984))</f>
        <v/>
      </c>
      <c r="AG2984" s="35">
        <f>IF(OR(C2984&lt;&gt;"Grayson Coulter",G2984&lt;'00_Control'!$B$7),"",--(AF2984&lt;5))</f>
        <v/>
      </c>
      <c r="AH2984" s="35">
        <f>IF(OR(C2984&lt;&gt;"Grayson Coulter",G2984&lt;'00_Control'!$B$7),"",--(AF2984&lt;10))</f>
        <v/>
      </c>
      <c r="AI2984" s="35">
        <f>IF(AND(C2984="Grayson Coulter",G2984&gt;='00_Control'!$B$7),"YES","NO")</f>
        <v/>
      </c>
      <c r="AJ2984" s="33" t="inlineStr">
        <is>
          <t>OK</t>
        </is>
      </c>
    </row>
    <row r="2985">
      <c r="A2985" s="33" t="inlineStr">
        <is>
          <t>SM002981</t>
        </is>
      </c>
      <c r="B2985" s="33" t="inlineStr">
        <is>
          <t>SW001</t>
        </is>
      </c>
      <c r="C2985" s="33" t="inlineStr">
        <is>
          <t>Grayson Coulter</t>
        </is>
      </c>
      <c r="D2985" s="33" t="inlineStr">
        <is>
          <t>SwimCloud</t>
        </is>
      </c>
      <c r="E2985" s="33" t="inlineStr">
        <is>
          <t>3651023</t>
        </is>
      </c>
      <c r="F2985" s="33" t="inlineStr">
        <is>
          <t>125056223</t>
        </is>
      </c>
      <c r="G2985" s="51" t="n">
        <v>45011</v>
      </c>
      <c r="H2985" s="33" t="inlineStr">
        <is>
          <t>2023 ASA Juniors</t>
        </is>
      </c>
      <c r="I2985" s="33" t="inlineStr">
        <is>
          <t>302652</t>
        </is>
      </c>
      <c r="J2985" s="33" t="n"/>
      <c r="K2985" s="33" t="inlineStr">
        <is>
          <t>TIM</t>
        </is>
      </c>
      <c r="L2985" s="35">
        <f>IF(K2985="FIN",3,IF(OR(K2985="SEM",K2985="SEMI"),2,IF(OR(K2985="PRE",K2985="HEAT"),1,IF(V2985="YES",4,2))))</f>
        <v/>
      </c>
      <c r="M2985" s="33" t="inlineStr">
        <is>
          <t>SCM</t>
        </is>
      </c>
      <c r="N2985" s="33" t="n">
        <v>50</v>
      </c>
      <c r="O2985" s="33" t="inlineStr">
        <is>
          <t>Free</t>
        </is>
      </c>
      <c r="P2985" s="33" t="inlineStr">
        <is>
          <t>50 Free</t>
        </is>
      </c>
      <c r="Q2985" s="33" t="inlineStr">
        <is>
          <t>SCM_50_FREE</t>
        </is>
      </c>
      <c r="R2985" s="36" t="n">
        <v>29.11</v>
      </c>
      <c r="S2985" s="35">
        <f>IF(R2985="","",IF(R2985&gt;=60,INT(R2985/60)&amp;":"&amp;TEXT(MOD(R2985,60),"00.00"),TEXT(R2985,"0.00")))</f>
        <v/>
      </c>
      <c r="T2985" s="52">
        <f>IFERROR((G2985-INDEX('01_Swimmers'!$E$5:$E$22,MATCH(B2985,'01_Swimmers'!$A$5:$A$22,0)))/'00_Control'!$B$10,"")</f>
        <v/>
      </c>
      <c r="U2985" s="35">
        <f>IF(T2985="","",INT(T2985))</f>
        <v/>
      </c>
      <c r="V2985" s="33" t="inlineStr">
        <is>
          <t>NO</t>
        </is>
      </c>
      <c r="W2985" s="33" t="inlineStr">
        <is>
          <t>YES</t>
        </is>
      </c>
      <c r="X2985" s="33" t="inlineStr">
        <is>
          <t>NO</t>
        </is>
      </c>
      <c r="Y2985" s="33" t="n">
        <v>18</v>
      </c>
      <c r="Z2985" s="33" t="n">
        <v>5</v>
      </c>
      <c r="AA2985" s="33" t="inlineStr"/>
      <c r="AB2985" s="33" t="inlineStr">
        <is>
          <t>https://www.swimcloud.com/results/302652/event/18/?id=125055389#time125055389</t>
        </is>
      </c>
      <c r="AC2985" s="33" t="inlineStr">
        <is>
          <t>SwimCloud all-event v8 2026-10-09</t>
        </is>
      </c>
      <c r="AD2985" s="33" t="inlineStr">
        <is>
          <t>Grayson Coulter|2023-03-26|SCM|50|Free|29.11|2023 ASA Juniors|TIM|False</t>
        </is>
      </c>
      <c r="AE2985" s="53">
        <f>G2985+L2985/1000+ROW()/1000000000</f>
        <v/>
      </c>
      <c r="AF2985" s="35">
        <f>IF(C2985&lt;&gt;"Grayson Coulter","",COUNTIFS($C$5:$C$2991,"Grayson Coulter",$Q$5:$Q$2991,Q2985,$AE$5:$AE$2991,"&lt;="&amp;AE2985,$R$5:$R$2991,"&lt;"&amp;R2985))</f>
        <v/>
      </c>
      <c r="AG2985" s="35">
        <f>IF(OR(C2985&lt;&gt;"Grayson Coulter",G2985&lt;'00_Control'!$B$7),"",--(AF2985&lt;5))</f>
        <v/>
      </c>
      <c r="AH2985" s="35">
        <f>IF(OR(C2985&lt;&gt;"Grayson Coulter",G2985&lt;'00_Control'!$B$7),"",--(AF2985&lt;10))</f>
        <v/>
      </c>
      <c r="AI2985" s="35">
        <f>IF(AND(C2985="Grayson Coulter",G2985&gt;='00_Control'!$B$7),"YES","NO")</f>
        <v/>
      </c>
      <c r="AJ2985" s="33" t="inlineStr">
        <is>
          <t>OK</t>
        </is>
      </c>
    </row>
    <row r="2986">
      <c r="A2986" s="33" t="inlineStr">
        <is>
          <t>SM002982</t>
        </is>
      </c>
      <c r="B2986" s="33" t="inlineStr">
        <is>
          <t>SW001</t>
        </is>
      </c>
      <c r="C2986" s="33" t="inlineStr">
        <is>
          <t>Grayson Coulter</t>
        </is>
      </c>
      <c r="D2986" s="33" t="inlineStr">
        <is>
          <t>SwimCloud</t>
        </is>
      </c>
      <c r="E2986" s="33" t="inlineStr">
        <is>
          <t>3651023</t>
        </is>
      </c>
      <c r="F2986" s="33" t="inlineStr">
        <is>
          <t>125055755</t>
        </is>
      </c>
      <c r="G2986" s="51" t="n">
        <v>45010</v>
      </c>
      <c r="H2986" s="33" t="inlineStr">
        <is>
          <t>2023 ASA Juniors</t>
        </is>
      </c>
      <c r="I2986" s="33" t="inlineStr">
        <is>
          <t>302652</t>
        </is>
      </c>
      <c r="J2986" s="33" t="n"/>
      <c r="K2986" s="33" t="inlineStr">
        <is>
          <t>TIM</t>
        </is>
      </c>
      <c r="L2986" s="35">
        <f>IF(K2986="FIN",3,IF(OR(K2986="SEM",K2986="SEMI"),2,IF(OR(K2986="PRE",K2986="HEAT"),1,IF(V2986="YES",4,2))))</f>
        <v/>
      </c>
      <c r="M2986" s="33" t="inlineStr">
        <is>
          <t>SCM</t>
        </is>
      </c>
      <c r="N2986" s="33" t="n">
        <v>50</v>
      </c>
      <c r="O2986" s="33" t="inlineStr">
        <is>
          <t>Free</t>
        </is>
      </c>
      <c r="P2986" s="33" t="inlineStr">
        <is>
          <t>50 Free</t>
        </is>
      </c>
      <c r="Q2986" s="33" t="inlineStr">
        <is>
          <t>SCM_50_FREE</t>
        </is>
      </c>
      <c r="R2986" s="36" t="n">
        <v>27.54</v>
      </c>
      <c r="S2986" s="35">
        <f>IF(R2986="","",IF(R2986&gt;=60,INT(R2986/60)&amp;":"&amp;TEXT(MOD(R2986,60),"00.00"),TEXT(R2986,"0.00")))</f>
        <v/>
      </c>
      <c r="T2986" s="52">
        <f>IFERROR((G2986-INDEX('01_Swimmers'!$E$5:$E$22,MATCH(B2986,'01_Swimmers'!$A$5:$A$22,0)))/'00_Control'!$B$10,"")</f>
        <v/>
      </c>
      <c r="U2986" s="35">
        <f>IF(T2986="","",INT(T2986))</f>
        <v/>
      </c>
      <c r="V2986" s="33" t="inlineStr">
        <is>
          <t>NO</t>
        </is>
      </c>
      <c r="W2986" s="33" t="inlineStr">
        <is>
          <t>YES</t>
        </is>
      </c>
      <c r="X2986" s="33" t="inlineStr">
        <is>
          <t>NO</t>
        </is>
      </c>
      <c r="Y2986" s="33" t="n">
        <v>11</v>
      </c>
      <c r="Z2986" s="33" t="n">
        <v>4</v>
      </c>
      <c r="AA2986" s="33" t="inlineStr">
        <is>
          <t>1</t>
        </is>
      </c>
      <c r="AB2986" s="33" t="inlineStr">
        <is>
          <t>https://www.swimcloud.com/results/302652/event/8/?id=125055755#time125055755</t>
        </is>
      </c>
      <c r="AC2986" s="33" t="inlineStr">
        <is>
          <t>SwimCloud all-event v8 2026-10-09</t>
        </is>
      </c>
      <c r="AD2986" s="33" t="inlineStr">
        <is>
          <t>Grayson Coulter|2023-03-25|SCM|50|Free|27.54|2023 ASA Juniors|TIM|False</t>
        </is>
      </c>
      <c r="AE2986" s="53">
        <f>G2986+L2986/1000+ROW()/1000000000</f>
        <v/>
      </c>
      <c r="AF2986" s="35">
        <f>IF(C2986&lt;&gt;"Grayson Coulter","",COUNTIFS($C$5:$C$2991,"Grayson Coulter",$Q$5:$Q$2991,Q2986,$AE$5:$AE$2991,"&lt;="&amp;AE2986,$R$5:$R$2991,"&lt;"&amp;R2986))</f>
        <v/>
      </c>
      <c r="AG2986" s="35">
        <f>IF(OR(C2986&lt;&gt;"Grayson Coulter",G2986&lt;'00_Control'!$B$7),"",--(AF2986&lt;5))</f>
        <v/>
      </c>
      <c r="AH2986" s="35">
        <f>IF(OR(C2986&lt;&gt;"Grayson Coulter",G2986&lt;'00_Control'!$B$7),"",--(AF2986&lt;10))</f>
        <v/>
      </c>
      <c r="AI2986" s="35">
        <f>IF(AND(C2986="Grayson Coulter",G2986&gt;='00_Control'!$B$7),"YES","NO")</f>
        <v/>
      </c>
      <c r="AJ2986" s="33" t="inlineStr">
        <is>
          <t>OK</t>
        </is>
      </c>
    </row>
    <row r="2987">
      <c r="A2987" s="33" t="inlineStr">
        <is>
          <t>SM002983</t>
        </is>
      </c>
      <c r="B2987" s="33" t="inlineStr">
        <is>
          <t>SW001</t>
        </is>
      </c>
      <c r="C2987" s="33" t="inlineStr">
        <is>
          <t>Grayson Coulter</t>
        </is>
      </c>
      <c r="D2987" s="33" t="inlineStr">
        <is>
          <t>NZSC 2026 public report</t>
        </is>
      </c>
      <c r="E2987" s="33" t="n"/>
      <c r="F2987" s="33" t="inlineStr">
        <is>
          <t>NZSC2026-08</t>
        </is>
      </c>
      <c r="G2987" s="51" t="n">
        <v>46292</v>
      </c>
      <c r="H2987" s="33" t="inlineStr">
        <is>
          <t>2026 New Zealand Short Course Championships</t>
        </is>
      </c>
      <c r="I2987" s="33" t="inlineStr">
        <is>
          <t>NZSC2026</t>
        </is>
      </c>
      <c r="J2987" s="33" t="n"/>
      <c r="K2987" s="33" t="inlineStr">
        <is>
          <t>PRE</t>
        </is>
      </c>
      <c r="L2987" s="35">
        <f>IF(K2987="FIN",3,IF(OR(K2987="SEM",K2987="SEMI"),2,IF(OR(K2987="PRE",K2987="HEAT"),1,IF(V2987="YES",4,2))))</f>
        <v/>
      </c>
      <c r="M2987" s="33" t="inlineStr">
        <is>
          <t>SCM</t>
        </is>
      </c>
      <c r="N2987" s="33" t="n">
        <v>100</v>
      </c>
      <c r="O2987" s="33" t="inlineStr">
        <is>
          <t>IM</t>
        </is>
      </c>
      <c r="P2987" s="33" t="inlineStr">
        <is>
          <t>100 IM</t>
        </is>
      </c>
      <c r="Q2987" s="33" t="inlineStr">
        <is>
          <t>SCM_100_IM</t>
        </is>
      </c>
      <c r="R2987" s="36" t="n">
        <v>57.72</v>
      </c>
      <c r="S2987" s="35">
        <f>IF(R2987="","",IF(R2987&gt;=60,INT(R2987/60)&amp;":"&amp;TEXT(MOD(R2987,60),"00.00"),TEXT(R2987,"0.00")))</f>
        <v/>
      </c>
      <c r="T2987" s="52">
        <f>IFERROR((G2987-INDEX('01_Swimmers'!$E$5:$E$22,MATCH(B2987,'01_Swimmers'!$A$5:$A$22,0)))/'00_Control'!$B$10,"")</f>
        <v/>
      </c>
      <c r="U2987" s="35">
        <f>IF(T2987="","",INT(T2987))</f>
        <v/>
      </c>
      <c r="V2987" s="33" t="inlineStr">
        <is>
          <t>NO</t>
        </is>
      </c>
      <c r="W2987" s="33" t="inlineStr">
        <is>
          <t>YES</t>
        </is>
      </c>
      <c r="X2987" s="33" t="inlineStr">
        <is>
          <t>NO</t>
        </is>
      </c>
      <c r="Y2987" s="33" t="n"/>
      <c r="Z2987" s="33" t="n"/>
      <c r="AA2987" s="33" t="n"/>
      <c r="AB2987" s="33" t="inlineStr">
        <is>
          <t>https://swimdadnz.github.io/NZSC_2026/NZSC_2026_Day1_editorial_report_PB_corrected.html</t>
        </is>
      </c>
      <c r="AC2987" s="33" t="inlineStr">
        <is>
          <t>NZSC 2026 all-event supplement 2026-10-09</t>
        </is>
      </c>
      <c r="AD2987" s="33" t="inlineStr">
        <is>
          <t>Grayson Coulter|2026-09-27|SCM|100|IM|57.72|2026 New Zealand Short Course Championships|PRE|False</t>
        </is>
      </c>
      <c r="AE2987" s="53">
        <f>G2987+L2987/1000+ROW()/1000000000</f>
        <v/>
      </c>
      <c r="AF2987" s="35">
        <f>IF(C2987&lt;&gt;"Grayson Coulter","",COUNTIFS($C$5:$C$2991,"Grayson Coulter",$Q$5:$Q$2991,Q2987,$AE$5:$AE$2991,"&lt;="&amp;AE2987,$R$5:$R$2991,"&lt;"&amp;R2987))</f>
        <v/>
      </c>
      <c r="AG2987" s="35">
        <f>IF(OR(C2987&lt;&gt;"Grayson Coulter",G2987&lt;'00_Control'!$B$7),"",--(AF2987&lt;5))</f>
        <v/>
      </c>
      <c r="AH2987" s="35">
        <f>IF(OR(C2987&lt;&gt;"Grayson Coulter",G2987&lt;'00_Control'!$B$7),"",--(AF2987&lt;10))</f>
        <v/>
      </c>
      <c r="AI2987" s="35">
        <f>IF(AND(C2987="Grayson Coulter",G2987&gt;='00_Control'!$B$7),"YES","NO")</f>
        <v/>
      </c>
      <c r="AJ2987" s="33" t="inlineStr">
        <is>
          <t>OK - published meet report supplement</t>
        </is>
      </c>
    </row>
    <row r="2988">
      <c r="A2988" s="33" t="inlineStr">
        <is>
          <t>SM002984</t>
        </is>
      </c>
      <c r="B2988" s="33" t="inlineStr">
        <is>
          <t>SW001</t>
        </is>
      </c>
      <c r="C2988" s="33" t="inlineStr">
        <is>
          <t>Grayson Coulter</t>
        </is>
      </c>
      <c r="D2988" s="33" t="inlineStr">
        <is>
          <t>NZSC 2026 public report</t>
        </is>
      </c>
      <c r="E2988" s="33" t="n"/>
      <c r="F2988" s="33" t="inlineStr">
        <is>
          <t>NZSC2026-09</t>
        </is>
      </c>
      <c r="G2988" s="51" t="n">
        <v>46292</v>
      </c>
      <c r="H2988" s="33" t="inlineStr">
        <is>
          <t>2026 New Zealand Short Course Championships</t>
        </is>
      </c>
      <c r="I2988" s="33" t="inlineStr">
        <is>
          <t>NZSC2026</t>
        </is>
      </c>
      <c r="J2988" s="33" t="n"/>
      <c r="K2988" s="33" t="inlineStr">
        <is>
          <t>FIN</t>
        </is>
      </c>
      <c r="L2988" s="35">
        <f>IF(K2988="FIN",3,IF(OR(K2988="SEM",K2988="SEMI"),2,IF(OR(K2988="PRE",K2988="HEAT"),1,IF(V2988="YES",4,2))))</f>
        <v/>
      </c>
      <c r="M2988" s="33" t="inlineStr">
        <is>
          <t>SCM</t>
        </is>
      </c>
      <c r="N2988" s="33" t="n">
        <v>100</v>
      </c>
      <c r="O2988" s="33" t="inlineStr">
        <is>
          <t>IM</t>
        </is>
      </c>
      <c r="P2988" s="33" t="inlineStr">
        <is>
          <t>100 IM</t>
        </is>
      </c>
      <c r="Q2988" s="33" t="inlineStr">
        <is>
          <t>SCM_100_IM</t>
        </is>
      </c>
      <c r="R2988" s="36" t="n">
        <v>57.87</v>
      </c>
      <c r="S2988" s="35">
        <f>IF(R2988="","",IF(R2988&gt;=60,INT(R2988/60)&amp;":"&amp;TEXT(MOD(R2988,60),"00.00"),TEXT(R2988,"0.00")))</f>
        <v/>
      </c>
      <c r="T2988" s="52">
        <f>IFERROR((G2988-INDEX('01_Swimmers'!$E$5:$E$22,MATCH(B2988,'01_Swimmers'!$A$5:$A$22,0)))/'00_Control'!$B$10,"")</f>
        <v/>
      </c>
      <c r="U2988" s="35">
        <f>IF(T2988="","",INT(T2988))</f>
        <v/>
      </c>
      <c r="V2988" s="33" t="inlineStr">
        <is>
          <t>NO</t>
        </is>
      </c>
      <c r="W2988" s="33" t="inlineStr">
        <is>
          <t>YES</t>
        </is>
      </c>
      <c r="X2988" s="33" t="inlineStr">
        <is>
          <t>NO</t>
        </is>
      </c>
      <c r="Y2988" s="33" t="n"/>
      <c r="Z2988" s="33" t="n"/>
      <c r="AA2988" s="33" t="n"/>
      <c r="AB2988" s="33" t="inlineStr">
        <is>
          <t>https://swimdadnz.github.io/NZSC_2026/NZSC_2026_Day1_editorial_report_PB_corrected.html</t>
        </is>
      </c>
      <c r="AC2988" s="33" t="inlineStr">
        <is>
          <t>NZSC 2026 all-event supplement 2026-10-09</t>
        </is>
      </c>
      <c r="AD2988" s="33" t="inlineStr">
        <is>
          <t>Grayson Coulter|2026-09-27|SCM|100|IM|57.87|2026 New Zealand Short Course Championships|FIN|False</t>
        </is>
      </c>
      <c r="AE2988" s="53">
        <f>G2988+L2988/1000+ROW()/1000000000</f>
        <v/>
      </c>
      <c r="AF2988" s="35">
        <f>IF(C2988&lt;&gt;"Grayson Coulter","",COUNTIFS($C$5:$C$2991,"Grayson Coulter",$Q$5:$Q$2991,Q2988,$AE$5:$AE$2991,"&lt;="&amp;AE2988,$R$5:$R$2991,"&lt;"&amp;R2988))</f>
        <v/>
      </c>
      <c r="AG2988" s="35">
        <f>IF(OR(C2988&lt;&gt;"Grayson Coulter",G2988&lt;'00_Control'!$B$7),"",--(AF2988&lt;5))</f>
        <v/>
      </c>
      <c r="AH2988" s="35">
        <f>IF(OR(C2988&lt;&gt;"Grayson Coulter",G2988&lt;'00_Control'!$B$7),"",--(AF2988&lt;10))</f>
        <v/>
      </c>
      <c r="AI2988" s="35">
        <f>IF(AND(C2988="Grayson Coulter",G2988&gt;='00_Control'!$B$7),"YES","NO")</f>
        <v/>
      </c>
      <c r="AJ2988" s="33" t="inlineStr">
        <is>
          <t>OK - published meet report supplement</t>
        </is>
      </c>
    </row>
    <row r="2989">
      <c r="A2989" s="33" t="inlineStr">
        <is>
          <t>SM002985</t>
        </is>
      </c>
      <c r="B2989" s="33" t="inlineStr">
        <is>
          <t>SW001</t>
        </is>
      </c>
      <c r="C2989" s="33" t="inlineStr">
        <is>
          <t>Grayson Coulter</t>
        </is>
      </c>
      <c r="D2989" s="33" t="inlineStr">
        <is>
          <t>NZSC 2026 public report</t>
        </is>
      </c>
      <c r="E2989" s="33" t="n"/>
      <c r="F2989" s="33" t="inlineStr">
        <is>
          <t>NZSC2026-10</t>
        </is>
      </c>
      <c r="G2989" s="51" t="n">
        <v>46293</v>
      </c>
      <c r="H2989" s="33" t="inlineStr">
        <is>
          <t>2026 New Zealand Short Course Championships</t>
        </is>
      </c>
      <c r="I2989" s="33" t="inlineStr">
        <is>
          <t>NZSC2026</t>
        </is>
      </c>
      <c r="J2989" s="33" t="n"/>
      <c r="K2989" s="33" t="inlineStr">
        <is>
          <t>PRE</t>
        </is>
      </c>
      <c r="L2989" s="35">
        <f>IF(K2989="FIN",3,IF(OR(K2989="SEM",K2989="SEMI"),2,IF(OR(K2989="PRE",K2989="HEAT"),1,IF(V2989="YES",4,2))))</f>
        <v/>
      </c>
      <c r="M2989" s="33" t="inlineStr">
        <is>
          <t>SCM</t>
        </is>
      </c>
      <c r="N2989" s="33" t="n">
        <v>50</v>
      </c>
      <c r="O2989" s="33" t="inlineStr">
        <is>
          <t>Fly</t>
        </is>
      </c>
      <c r="P2989" s="33" t="inlineStr">
        <is>
          <t>50 Fly</t>
        </is>
      </c>
      <c r="Q2989" s="33" t="inlineStr">
        <is>
          <t>SCM_50_FLY</t>
        </is>
      </c>
      <c r="R2989" s="36" t="n">
        <v>25.06</v>
      </c>
      <c r="S2989" s="35">
        <f>IF(R2989="","",IF(R2989&gt;=60,INT(R2989/60)&amp;":"&amp;TEXT(MOD(R2989,60),"00.00"),TEXT(R2989,"0.00")))</f>
        <v/>
      </c>
      <c r="T2989" s="52">
        <f>IFERROR((G2989-INDEX('01_Swimmers'!$E$5:$E$22,MATCH(B2989,'01_Swimmers'!$A$5:$A$22,0)))/'00_Control'!$B$10,"")</f>
        <v/>
      </c>
      <c r="U2989" s="35">
        <f>IF(T2989="","",INT(T2989))</f>
        <v/>
      </c>
      <c r="V2989" s="33" t="inlineStr">
        <is>
          <t>NO</t>
        </is>
      </c>
      <c r="W2989" s="33" t="inlineStr">
        <is>
          <t>YES</t>
        </is>
      </c>
      <c r="X2989" s="33" t="inlineStr">
        <is>
          <t>NO</t>
        </is>
      </c>
      <c r="Y2989" s="33" t="n"/>
      <c r="Z2989" s="33" t="n"/>
      <c r="AA2989" s="33" t="n"/>
      <c r="AB2989" s="33" t="inlineStr">
        <is>
          <t>https://swimdadnz.github.io/NZSC_2026/NZSC_2026_Day2_editorial_report_PB_corrected.html</t>
        </is>
      </c>
      <c r="AC2989" s="33" t="inlineStr">
        <is>
          <t>NZSC 2026 all-event supplement 2026-10-09</t>
        </is>
      </c>
      <c r="AD2989" s="33" t="inlineStr">
        <is>
          <t>Grayson Coulter|2026-09-28|SCM|50|Fly|25.06|2026 New Zealand Short Course Championships|PRE|False</t>
        </is>
      </c>
      <c r="AE2989" s="53">
        <f>G2989+L2989/1000+ROW()/1000000000</f>
        <v/>
      </c>
      <c r="AF2989" s="35">
        <f>IF(C2989&lt;&gt;"Grayson Coulter","",COUNTIFS($C$5:$C$2991,"Grayson Coulter",$Q$5:$Q$2991,Q2989,$AE$5:$AE$2991,"&lt;="&amp;AE2989,$R$5:$R$2991,"&lt;"&amp;R2989))</f>
        <v/>
      </c>
      <c r="AG2989" s="35">
        <f>IF(OR(C2989&lt;&gt;"Grayson Coulter",G2989&lt;'00_Control'!$B$7),"",--(AF2989&lt;5))</f>
        <v/>
      </c>
      <c r="AH2989" s="35">
        <f>IF(OR(C2989&lt;&gt;"Grayson Coulter",G2989&lt;'00_Control'!$B$7),"",--(AF2989&lt;10))</f>
        <v/>
      </c>
      <c r="AI2989" s="35">
        <f>IF(AND(C2989="Grayson Coulter",G2989&gt;='00_Control'!$B$7),"YES","NO")</f>
        <v/>
      </c>
      <c r="AJ2989" s="33" t="inlineStr">
        <is>
          <t>OK - published meet report supplement</t>
        </is>
      </c>
    </row>
    <row r="2990">
      <c r="A2990" s="33" t="inlineStr">
        <is>
          <t>SM002986</t>
        </is>
      </c>
      <c r="B2990" s="33" t="inlineStr">
        <is>
          <t>SW001</t>
        </is>
      </c>
      <c r="C2990" s="33" t="inlineStr">
        <is>
          <t>Grayson Coulter</t>
        </is>
      </c>
      <c r="D2990" s="33" t="inlineStr">
        <is>
          <t>NZSC 2026 public report</t>
        </is>
      </c>
      <c r="E2990" s="33" t="n"/>
      <c r="F2990" s="33" t="inlineStr">
        <is>
          <t>NZSC2026-11</t>
        </is>
      </c>
      <c r="G2990" s="51" t="n">
        <v>46293</v>
      </c>
      <c r="H2990" s="33" t="inlineStr">
        <is>
          <t>2026 New Zealand Short Course Championships</t>
        </is>
      </c>
      <c r="I2990" s="33" t="inlineStr">
        <is>
          <t>NZSC2026</t>
        </is>
      </c>
      <c r="J2990" s="33" t="n"/>
      <c r="K2990" s="33" t="inlineStr">
        <is>
          <t>FIN</t>
        </is>
      </c>
      <c r="L2990" s="35">
        <f>IF(K2990="FIN",3,IF(OR(K2990="SEM",K2990="SEMI"),2,IF(OR(K2990="PRE",K2990="HEAT"),1,IF(V2990="YES",4,2))))</f>
        <v/>
      </c>
      <c r="M2990" s="33" t="inlineStr">
        <is>
          <t>SCM</t>
        </is>
      </c>
      <c r="N2990" s="33" t="n">
        <v>50</v>
      </c>
      <c r="O2990" s="33" t="inlineStr">
        <is>
          <t>Fly</t>
        </is>
      </c>
      <c r="P2990" s="33" t="inlineStr">
        <is>
          <t>50 Fly</t>
        </is>
      </c>
      <c r="Q2990" s="33" t="inlineStr">
        <is>
          <t>SCM_50_FLY</t>
        </is>
      </c>
      <c r="R2990" s="36" t="n">
        <v>25.34</v>
      </c>
      <c r="S2990" s="35">
        <f>IF(R2990="","",IF(R2990&gt;=60,INT(R2990/60)&amp;":"&amp;TEXT(MOD(R2990,60),"00.00"),TEXT(R2990,"0.00")))</f>
        <v/>
      </c>
      <c r="T2990" s="52">
        <f>IFERROR((G2990-INDEX('01_Swimmers'!$E$5:$E$22,MATCH(B2990,'01_Swimmers'!$A$5:$A$22,0)))/'00_Control'!$B$10,"")</f>
        <v/>
      </c>
      <c r="U2990" s="35">
        <f>IF(T2990="","",INT(T2990))</f>
        <v/>
      </c>
      <c r="V2990" s="33" t="inlineStr">
        <is>
          <t>NO</t>
        </is>
      </c>
      <c r="W2990" s="33" t="inlineStr">
        <is>
          <t>YES</t>
        </is>
      </c>
      <c r="X2990" s="33" t="inlineStr">
        <is>
          <t>NO</t>
        </is>
      </c>
      <c r="Y2990" s="33" t="n"/>
      <c r="Z2990" s="33" t="n"/>
      <c r="AA2990" s="33" t="n"/>
      <c r="AB2990" s="33" t="inlineStr">
        <is>
          <t>https://swimdadnz.github.io/NZSC_2026/NZSC_2026_Day2_editorial_report_PB_corrected.html</t>
        </is>
      </c>
      <c r="AC2990" s="33" t="inlineStr">
        <is>
          <t>NZSC 2026 all-event supplement 2026-10-09</t>
        </is>
      </c>
      <c r="AD2990" s="33" t="inlineStr">
        <is>
          <t>Grayson Coulter|2026-09-28|SCM|50|Fly|25.34|2026 New Zealand Short Course Championships|FIN|False</t>
        </is>
      </c>
      <c r="AE2990" s="53">
        <f>G2990+L2990/1000+ROW()/1000000000</f>
        <v/>
      </c>
      <c r="AF2990" s="35">
        <f>IF(C2990&lt;&gt;"Grayson Coulter","",COUNTIFS($C$5:$C$2991,"Grayson Coulter",$Q$5:$Q$2991,Q2990,$AE$5:$AE$2991,"&lt;="&amp;AE2990,$R$5:$R$2991,"&lt;"&amp;R2990))</f>
        <v/>
      </c>
      <c r="AG2990" s="35">
        <f>IF(OR(C2990&lt;&gt;"Grayson Coulter",G2990&lt;'00_Control'!$B$7),"",--(AF2990&lt;5))</f>
        <v/>
      </c>
      <c r="AH2990" s="35">
        <f>IF(OR(C2990&lt;&gt;"Grayson Coulter",G2990&lt;'00_Control'!$B$7),"",--(AF2990&lt;10))</f>
        <v/>
      </c>
      <c r="AI2990" s="35">
        <f>IF(AND(C2990="Grayson Coulter",G2990&gt;='00_Control'!$B$7),"YES","NO")</f>
        <v/>
      </c>
      <c r="AJ2990" s="33" t="inlineStr">
        <is>
          <t>OK - published meet report supplement</t>
        </is>
      </c>
    </row>
    <row r="2991">
      <c r="A2991" s="33" t="inlineStr">
        <is>
          <t>SM002987</t>
        </is>
      </c>
      <c r="B2991" s="33" t="inlineStr">
        <is>
          <t>SW001</t>
        </is>
      </c>
      <c r="C2991" s="33" t="inlineStr">
        <is>
          <t>Grayson Coulter</t>
        </is>
      </c>
      <c r="D2991" s="33" t="inlineStr">
        <is>
          <t>NZSC 2026 public report</t>
        </is>
      </c>
      <c r="E2991" s="33" t="n"/>
      <c r="F2991" s="33" t="inlineStr">
        <is>
          <t>NZSC2026-12</t>
        </is>
      </c>
      <c r="G2991" s="51" t="n">
        <v>46296</v>
      </c>
      <c r="H2991" s="33" t="inlineStr">
        <is>
          <t>2026 New Zealand Short Course Championships</t>
        </is>
      </c>
      <c r="I2991" s="33" t="inlineStr">
        <is>
          <t>NZSC2026</t>
        </is>
      </c>
      <c r="J2991" s="33" t="n"/>
      <c r="K2991" s="33" t="inlineStr">
        <is>
          <t>TIM</t>
        </is>
      </c>
      <c r="L2991" s="35">
        <f>IF(K2991="FIN",3,IF(OR(K2991="SEM",K2991="SEMI"),2,IF(OR(K2991="PRE",K2991="HEAT"),1,IF(V2991="YES",4,2))))</f>
        <v/>
      </c>
      <c r="M2991" s="33" t="inlineStr">
        <is>
          <t>SCM</t>
        </is>
      </c>
      <c r="N2991" s="33" t="n">
        <v>50</v>
      </c>
      <c r="O2991" s="33" t="inlineStr">
        <is>
          <t>Free</t>
        </is>
      </c>
      <c r="P2991" s="33" t="inlineStr">
        <is>
          <t>50 Free</t>
        </is>
      </c>
      <c r="Q2991" s="33" t="inlineStr">
        <is>
          <t>SCM_50_FREE</t>
        </is>
      </c>
      <c r="R2991" s="36" t="n">
        <v>23.11</v>
      </c>
      <c r="S2991" s="35">
        <f>IF(R2991="","",IF(R2991&gt;=60,INT(R2991/60)&amp;":"&amp;TEXT(MOD(R2991,60),"00.00"),TEXT(R2991,"0.00")))</f>
        <v/>
      </c>
      <c r="T2991" s="52">
        <f>IFERROR((G2991-INDEX('01_Swimmers'!$E$5:$E$22,MATCH(B2991,'01_Swimmers'!$A$5:$A$22,0)))/'00_Control'!$B$10,"")</f>
        <v/>
      </c>
      <c r="U2991" s="35">
        <f>IF(T2991="","",INT(T2991))</f>
        <v/>
      </c>
      <c r="V2991" s="33" t="inlineStr">
        <is>
          <t>NO</t>
        </is>
      </c>
      <c r="W2991" s="33" t="inlineStr">
        <is>
          <t>YES</t>
        </is>
      </c>
      <c r="X2991" s="33" t="inlineStr">
        <is>
          <t>NO</t>
        </is>
      </c>
      <c r="Y2991" s="33" t="n"/>
      <c r="Z2991" s="33" t="n"/>
      <c r="AA2991" s="33" t="n"/>
      <c r="AB2991" s="33" t="inlineStr">
        <is>
          <t>https://swimdadnz.github.io/NZSC_2026/NZSC_2026_Day5_editorial_final_v2.html</t>
        </is>
      </c>
      <c r="AC2991" s="33" t="inlineStr">
        <is>
          <t>NZSC 2026 all-event supplement 2026-10-09</t>
        </is>
      </c>
      <c r="AD2991" s="33" t="inlineStr">
        <is>
          <t>Grayson Coulter|2026-10-01|SCM|50|Free|23.11|2026 New Zealand Short Course Championships|TIM|False</t>
        </is>
      </c>
      <c r="AE2991" s="53">
        <f>G2991+L2991/1000+ROW()/1000000000</f>
        <v/>
      </c>
      <c r="AF2991" s="35">
        <f>IF(C2991&lt;&gt;"Grayson Coulter","",COUNTIFS($C$5:$C$2991,"Grayson Coulter",$Q$5:$Q$2991,Q2991,$AE$5:$AE$2991,"&lt;="&amp;AE2991,$R$5:$R$2991,"&lt;"&amp;R2991))</f>
        <v/>
      </c>
      <c r="AG2991" s="35">
        <f>IF(OR(C2991&lt;&gt;"Grayson Coulter",G2991&lt;'00_Control'!$B$7),"",--(AF2991&lt;5))</f>
        <v/>
      </c>
      <c r="AH2991" s="35">
        <f>IF(OR(C2991&lt;&gt;"Grayson Coulter",G2991&lt;'00_Control'!$B$7),"",--(AF2991&lt;10))</f>
        <v/>
      </c>
      <c r="AI2991" s="35">
        <f>IF(AND(C2991="Grayson Coulter",G2991&gt;='00_Control'!$B$7),"YES","NO")</f>
        <v/>
      </c>
      <c r="AJ2991" s="33" t="inlineStr">
        <is>
          <t>OK - published meet report supplement</t>
        </is>
      </c>
    </row>
  </sheetData>
  <autoFilter ref="A4:AJ2845"/>
  <mergeCells count="2">
    <mergeCell ref="A2:AJ2"/>
    <mergeCell ref="A1:A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X4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0" customWidth="1" style="16" min="1" max="1"/>
    <col width="9" customWidth="1" style="16" min="2" max="2"/>
    <col width="10" customWidth="1" style="16" min="3" max="3"/>
    <col width="7" customWidth="1" style="16" min="4" max="4"/>
    <col width="18" customWidth="1" style="16" min="5" max="5"/>
    <col width="30" customWidth="1" style="16" min="6" max="6"/>
    <col width="24" customWidth="1" style="16" min="7" max="8"/>
    <col width="14" customWidth="1" style="16" min="9" max="10"/>
    <col width="20" customWidth="1" style="16" min="11" max="11"/>
    <col width="42" customWidth="1" style="16" min="12" max="12"/>
    <col width="48" customWidth="1" style="16" min="13" max="13"/>
    <col width="13" customWidth="1" style="16" min="14" max="14"/>
    <col width="16" customWidth="1" style="16" min="15" max="15"/>
    <col width="28" customWidth="1" style="16" min="16" max="16"/>
    <col width="16" customWidth="1" style="16" min="17" max="17"/>
    <col width="18" customWidth="1" style="16" min="18" max="18"/>
    <col width="12" customWidth="1" style="16" min="19" max="19"/>
    <col width="17" customWidth="1" style="16" min="20" max="20"/>
    <col width="16" customWidth="1" style="16" min="21" max="21"/>
    <col width="20" customWidth="1" style="16" min="22" max="22"/>
    <col width="28" customWidth="1" style="16" min="23" max="23"/>
    <col width="52" customWidth="1" style="16" min="24" max="24"/>
  </cols>
  <sheetData>
    <row r="1" ht="25.5" customHeight="1" s="17">
      <c r="A1" s="18" t="inlineStr">
        <is>
          <t>NZ age-group record benchmarks</t>
        </is>
      </c>
    </row>
    <row r="2" ht="31.5" customHeight="1" s="17">
      <c r="A2" s="19" t="inlineStr">
        <is>
          <t>Current NZ individual age-group records, ages 13-18. Times are stored as display text plus formula-derived numeric seconds.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</row>
    <row r="4" ht="30" customHeight="1" s="17">
      <c r="A4" s="21" t="inlineStr">
        <is>
          <t>Record Key</t>
        </is>
      </c>
      <c r="B4" s="21" t="inlineStr">
        <is>
          <t>Course</t>
        </is>
      </c>
      <c r="C4" s="21" t="inlineStr">
        <is>
          <t>Sex</t>
        </is>
      </c>
      <c r="D4" s="21" t="inlineStr">
        <is>
          <t>Age</t>
        </is>
      </c>
      <c r="E4" s="21" t="inlineStr">
        <is>
          <t>Event</t>
        </is>
      </c>
      <c r="F4" s="21" t="inlineStr">
        <is>
          <t>Record Holder(s)</t>
        </is>
      </c>
      <c r="G4" s="21" t="inlineStr">
        <is>
          <t>Holder 1</t>
        </is>
      </c>
      <c r="H4" s="21" t="inlineStr">
        <is>
          <t>Holder 2</t>
        </is>
      </c>
      <c r="I4" s="21" t="inlineStr">
        <is>
          <t>Record Time</t>
        </is>
      </c>
      <c r="J4" s="21" t="inlineStr">
        <is>
          <t>Record Seconds</t>
        </is>
      </c>
      <c r="K4" s="21" t="inlineStr">
        <is>
          <t>Record Date(s)</t>
        </is>
      </c>
      <c r="L4" s="21" t="inlineStr">
        <is>
          <t>Record Basis</t>
        </is>
      </c>
      <c r="M4" s="21" t="inlineStr">
        <is>
          <t>Record Source URL</t>
        </is>
      </c>
      <c r="N4" s="21" t="inlineStr">
        <is>
          <t>Joint Record?</t>
        </is>
      </c>
      <c r="O4" s="21" t="inlineStr">
        <is>
          <t>Top 20 Eligible?</t>
        </is>
      </c>
      <c r="P4" s="21" t="inlineStr">
        <is>
          <t>Next Fastest Swimmer</t>
        </is>
      </c>
      <c r="Q4" s="21" t="inlineStr">
        <is>
          <t>Next Fastest Time</t>
        </is>
      </c>
      <c r="R4" s="21" t="inlineStr">
        <is>
          <t>Next Fastest Seconds</t>
        </is>
      </c>
      <c r="S4" s="21" t="inlineStr">
        <is>
          <t>Margin %</t>
        </is>
      </c>
      <c r="T4" s="21" t="inlineStr">
        <is>
          <t>Comparator Verified?</t>
        </is>
      </c>
      <c r="U4" s="21" t="inlineStr">
        <is>
          <t>Outstanding Rank</t>
        </is>
      </c>
      <c r="V4" s="21" t="inlineStr">
        <is>
          <t>Outstanding Key</t>
        </is>
      </c>
      <c r="W4" s="21" t="inlineStr">
        <is>
          <t>Review Notes</t>
        </is>
      </c>
      <c r="X4" s="21" t="inlineStr">
        <is>
          <t>Source Notes</t>
        </is>
      </c>
    </row>
    <row r="5" ht="15" customHeight="1" s="17">
      <c r="A5" s="30" t="inlineStr">
        <is>
          <t>NZ|SCM|M|13|50 Free</t>
        </is>
      </c>
      <c r="B5" s="30" t="inlineStr">
        <is>
          <t>SCM</t>
        </is>
      </c>
      <c r="C5" s="30" t="inlineStr">
        <is>
          <t>Male</t>
        </is>
      </c>
      <c r="D5" s="30" t="n">
        <v>13</v>
      </c>
      <c r="E5" s="30" t="inlineStr">
        <is>
          <t>50 Free</t>
        </is>
      </c>
      <c r="F5" s="30" t="inlineStr">
        <is>
          <t>Grayson Coulter</t>
        </is>
      </c>
      <c r="G5" s="22" t="inlineStr">
        <is>
          <t>Grayson Coulter</t>
        </is>
      </c>
      <c r="H5" s="22" t="n"/>
      <c r="I5" s="30" t="inlineStr">
        <is>
          <t>23.61</t>
        </is>
      </c>
      <c r="J5" s="22">
        <f>IF(I5="","",IF(ISNUMBER(SEARCH(":",I5)),VALUE(LEFT(I5,SEARCH(":",I5)-1))*60+VALUE(MID(I5,SEARCH(":",I5)+1,99)),VALUE(I5)))</f>
        <v/>
      </c>
      <c r="K5" s="30" t="inlineStr">
        <is>
          <t>25.09.25</t>
        </is>
      </c>
      <c r="L5" s="30" t="inlineStr">
        <is>
          <t>Swimming New Zealand Short Course Records by Age - user-supplied PDF</t>
        </is>
      </c>
      <c r="M5" s="30" t="n"/>
      <c r="N5" s="30" t="inlineStr">
        <is>
          <t>NO</t>
        </is>
      </c>
      <c r="O5" s="30" t="inlineStr">
        <is>
          <t>YES</t>
        </is>
      </c>
      <c r="P5" s="30" t="n"/>
      <c r="Q5" s="30" t="inlineStr">
        <is>
          <t>24.21</t>
        </is>
      </c>
      <c r="R5" s="22">
        <f>IF(Q5="","",IF(ISNUMBER(SEARCH(":",Q5)),VALUE(LEFT(Q5,SEARCH(":",Q5)-1))*60+VALUE(MID(Q5,SEARCH(":",Q5)+1,99)),VALUE(Q5)))</f>
        <v/>
      </c>
      <c r="S5" s="39">
        <f>IF(OR(J5="",R5=""),"",(R5-J5)/R5)</f>
        <v/>
      </c>
      <c r="T5" s="22">
        <f>IF(OR(P5&lt;&gt;"",N5="YES"),"YES","NO")</f>
        <v/>
      </c>
      <c r="U5" s="22">
        <f>IF(AND(O5="YES",T5="YES",S5&lt;&gt;""),COUNTIFS($C$5:$C$424,C5,$S$5:$S$424,"&gt;"&amp;S5)+COUNTIFS($C$5:C5,C5,$S$5:S5,S5),"")</f>
        <v/>
      </c>
      <c r="V5" s="22">
        <f>IF(U5="","",C5&amp;"|"&amp;U5)</f>
        <v/>
      </c>
      <c r="W5" s="30" t="n"/>
      <c r="X5" s="30" t="inlineStr">
        <is>
          <t>Next-fastest time supplied in user workbook; swimmer name not yet supplied.</t>
        </is>
      </c>
    </row>
    <row r="6" ht="15" customHeight="1" s="17">
      <c r="A6" s="30" t="inlineStr">
        <is>
          <t>NZ|SCM|M|13|100 Free</t>
        </is>
      </c>
      <c r="B6" s="30" t="inlineStr">
        <is>
          <t>SCM</t>
        </is>
      </c>
      <c r="C6" s="30" t="inlineStr">
        <is>
          <t>Male</t>
        </is>
      </c>
      <c r="D6" s="30" t="n">
        <v>13</v>
      </c>
      <c r="E6" s="30" t="inlineStr">
        <is>
          <t>100 Free</t>
        </is>
      </c>
      <c r="F6" s="30" t="inlineStr">
        <is>
          <t>Grayson Coulter</t>
        </is>
      </c>
      <c r="G6" s="22" t="inlineStr">
        <is>
          <t>Grayson Coulter</t>
        </is>
      </c>
      <c r="H6" s="22" t="n"/>
      <c r="I6" s="30" t="inlineStr">
        <is>
          <t>50.58</t>
        </is>
      </c>
      <c r="J6" s="22">
        <f>IF(I6="","",IF(ISNUMBER(SEARCH(":",I6)),VALUE(LEFT(I6,SEARCH(":",I6)-1))*60+VALUE(MID(I6,SEARCH(":",I6)+1,99)),VALUE(I6)))</f>
        <v/>
      </c>
      <c r="K6" s="30" t="inlineStr">
        <is>
          <t>22.09.25</t>
        </is>
      </c>
      <c r="L6" s="30" t="inlineStr">
        <is>
          <t>Swimming New Zealand Short Course Records by Age - user-supplied PDF</t>
        </is>
      </c>
      <c r="M6" s="30" t="n"/>
      <c r="N6" s="30" t="inlineStr">
        <is>
          <t>NO</t>
        </is>
      </c>
      <c r="O6" s="30" t="inlineStr">
        <is>
          <t>YES</t>
        </is>
      </c>
      <c r="P6" s="30" t="inlineStr">
        <is>
          <t>Hayden Church</t>
        </is>
      </c>
      <c r="Q6" s="30" t="inlineStr">
        <is>
          <t>53.40</t>
        </is>
      </c>
      <c r="R6" s="22">
        <f>IF(Q6="","",IF(ISNUMBER(SEARCH(":",Q6)),VALUE(LEFT(Q6,SEARCH(":",Q6)-1))*60+VALUE(MID(Q6,SEARCH(":",Q6)+1,99)),VALUE(Q6)))</f>
        <v/>
      </c>
      <c r="S6" s="39">
        <f>IF(OR(J6="",R6=""),"",(R6-J6)/R6)</f>
        <v/>
      </c>
      <c r="T6" s="22">
        <f>IF(OR(P6&lt;&gt;"",N6="YES"),"YES","NO")</f>
        <v/>
      </c>
      <c r="U6" s="22">
        <f>IF(AND(O6="YES",T6="YES",S6&lt;&gt;""),COUNTIFS($C$5:$C$424,C6,$S$5:$S$424,"&gt;"&amp;S6)+COUNTIFS($C$5:C6,C6,$S$5:S6,S6),"")</f>
        <v/>
      </c>
      <c r="V6" s="22">
        <f>IF(U6="","",C6&amp;"|"&amp;U6)</f>
        <v/>
      </c>
      <c r="W6" s="30" t="n"/>
      <c r="X6" s="30" t="inlineStr">
        <is>
          <t>Next-fastest time supplied in user workbook; swimmer name not yet supplied.</t>
        </is>
      </c>
    </row>
    <row r="7" ht="15" customHeight="1" s="17">
      <c r="A7" s="30" t="inlineStr">
        <is>
          <t>NZ|SCM|M|13|200 Free</t>
        </is>
      </c>
      <c r="B7" s="30" t="inlineStr">
        <is>
          <t>SCM</t>
        </is>
      </c>
      <c r="C7" s="30" t="inlineStr">
        <is>
          <t>Male</t>
        </is>
      </c>
      <c r="D7" s="30" t="n">
        <v>13</v>
      </c>
      <c r="E7" s="30" t="inlineStr">
        <is>
          <t>200 Free</t>
        </is>
      </c>
      <c r="F7" s="30" t="inlineStr">
        <is>
          <t>Grayson Coulter</t>
        </is>
      </c>
      <c r="G7" s="22" t="inlineStr">
        <is>
          <t>Grayson Coulter</t>
        </is>
      </c>
      <c r="H7" s="22" t="n"/>
      <c r="I7" s="30" t="inlineStr">
        <is>
          <t>1:49.18</t>
        </is>
      </c>
      <c r="J7" s="22">
        <f>IF(I7="","",IF(ISNUMBER(SEARCH(":",I7)),VALUE(LEFT(I7,SEARCH(":",I7)-1))*60+VALUE(MID(I7,SEARCH(":",I7)+1,99)),VALUE(I7)))</f>
        <v/>
      </c>
      <c r="K7" s="30" t="inlineStr">
        <is>
          <t>24.09.25</t>
        </is>
      </c>
      <c r="L7" s="30" t="inlineStr">
        <is>
          <t>Swimming New Zealand Short Course Records by Age - user-supplied PDF</t>
        </is>
      </c>
      <c r="M7" s="30" t="n"/>
      <c r="N7" s="30" t="inlineStr">
        <is>
          <t>NO</t>
        </is>
      </c>
      <c r="O7" s="30" t="inlineStr">
        <is>
          <t>YES</t>
        </is>
      </c>
      <c r="P7" s="30" t="inlineStr">
        <is>
          <t>Hayden Church</t>
        </is>
      </c>
      <c r="Q7" s="30" t="inlineStr">
        <is>
          <t>1:57.71</t>
        </is>
      </c>
      <c r="R7" s="22">
        <f>IF(Q7="","",IF(ISNUMBER(SEARCH(":",Q7)),VALUE(LEFT(Q7,SEARCH(":",Q7)-1))*60+VALUE(MID(Q7,SEARCH(":",Q7)+1,99)),VALUE(Q7)))</f>
        <v/>
      </c>
      <c r="S7" s="39">
        <f>IF(OR(J7="",R7=""),"",(R7-J7)/R7)</f>
        <v/>
      </c>
      <c r="T7" s="22">
        <f>IF(OR(P7&lt;&gt;"",N7="YES"),"YES","NO")</f>
        <v/>
      </c>
      <c r="U7" s="22">
        <f>IF(AND(O7="YES",T7="YES",S7&lt;&gt;""),COUNTIFS($C$5:$C$424,C7,$S$5:$S$424,"&gt;"&amp;S7)+COUNTIFS($C$5:C7,C7,$S$5:S7,S7),"")</f>
        <v/>
      </c>
      <c r="V7" s="22">
        <f>IF(U7="","",C7&amp;"|"&amp;U7)</f>
        <v/>
      </c>
      <c r="W7" s="30" t="n"/>
      <c r="X7" s="30" t="inlineStr">
        <is>
          <t>Next-fastest time supplied in user workbook; swimmer name not yet supplied.</t>
        </is>
      </c>
    </row>
    <row r="8" ht="15" customHeight="1" s="17">
      <c r="A8" s="30" t="inlineStr">
        <is>
          <t>NZ|SCM|M|13|400 Free</t>
        </is>
      </c>
      <c r="B8" s="30" t="inlineStr">
        <is>
          <t>SCM</t>
        </is>
      </c>
      <c r="C8" s="30" t="inlineStr">
        <is>
          <t>Male</t>
        </is>
      </c>
      <c r="D8" s="30" t="n">
        <v>13</v>
      </c>
      <c r="E8" s="30" t="inlineStr">
        <is>
          <t>400 Free</t>
        </is>
      </c>
      <c r="F8" s="30" t="inlineStr">
        <is>
          <t>Grayson Coulter</t>
        </is>
      </c>
      <c r="G8" s="22" t="inlineStr">
        <is>
          <t>Grayson Coulter</t>
        </is>
      </c>
      <c r="H8" s="22" t="n"/>
      <c r="I8" s="30" t="inlineStr">
        <is>
          <t>3:56.78</t>
        </is>
      </c>
      <c r="J8" s="22">
        <f>IF(I8="","",IF(ISNUMBER(SEARCH(":",I8)),VALUE(LEFT(I8,SEARCH(":",I8)-1))*60+VALUE(MID(I8,SEARCH(":",I8)+1,99)),VALUE(I8)))</f>
        <v/>
      </c>
      <c r="K8" s="30" t="inlineStr">
        <is>
          <t>24.07.25</t>
        </is>
      </c>
      <c r="L8" s="30" t="inlineStr">
        <is>
          <t>Swimming New Zealand Short Course Records by Age - user-supplied PDF</t>
        </is>
      </c>
      <c r="M8" s="30" t="n"/>
      <c r="N8" s="30" t="inlineStr">
        <is>
          <t>NO</t>
        </is>
      </c>
      <c r="O8" s="30" t="inlineStr">
        <is>
          <t>YES</t>
        </is>
      </c>
      <c r="P8" s="30" t="inlineStr">
        <is>
          <t>Michael Mincham</t>
        </is>
      </c>
      <c r="Q8" s="30" t="inlineStr">
        <is>
          <t>4:09.27</t>
        </is>
      </c>
      <c r="R8" s="22">
        <f>IF(Q8="","",IF(ISNUMBER(SEARCH(":",Q8)),VALUE(LEFT(Q8,SEARCH(":",Q8)-1))*60+VALUE(MID(Q8,SEARCH(":",Q8)+1,99)),VALUE(Q8)))</f>
        <v/>
      </c>
      <c r="S8" s="39">
        <f>IF(OR(J8="",R8=""),"",(R8-J8)/R8)</f>
        <v/>
      </c>
      <c r="T8" s="22">
        <f>IF(OR(P8&lt;&gt;"",N8="YES"),"YES","NO")</f>
        <v/>
      </c>
      <c r="U8" s="22">
        <f>IF(AND(O8="YES",T8="YES",S8&lt;&gt;""),COUNTIFS($C$5:$C$424,C8,$S$5:$S$424,"&gt;"&amp;S8)+COUNTIFS($C$5:C8,C8,$S$5:S8,S8),"")</f>
        <v/>
      </c>
      <c r="V8" s="22">
        <f>IF(U8="","",C8&amp;"|"&amp;U8)</f>
        <v/>
      </c>
      <c r="W8" s="30" t="n"/>
      <c r="X8" s="30" t="inlineStr">
        <is>
          <t>Next-fastest time supplied in user workbook; swimmer name not yet supplied.</t>
        </is>
      </c>
    </row>
    <row r="9" ht="15" customHeight="1" s="17">
      <c r="A9" s="30" t="inlineStr">
        <is>
          <t>NZ|SCM|M|13|800 Free</t>
        </is>
      </c>
      <c r="B9" s="30" t="inlineStr">
        <is>
          <t>SCM</t>
        </is>
      </c>
      <c r="C9" s="30" t="inlineStr">
        <is>
          <t>Male</t>
        </is>
      </c>
      <c r="D9" s="30" t="n">
        <v>13</v>
      </c>
      <c r="E9" s="30" t="inlineStr">
        <is>
          <t>800 Free</t>
        </is>
      </c>
      <c r="F9" s="30" t="inlineStr">
        <is>
          <t>Michael Mincham</t>
        </is>
      </c>
      <c r="G9" s="22" t="inlineStr">
        <is>
          <t>Michael Mincham</t>
        </is>
      </c>
      <c r="H9" s="22" t="n"/>
      <c r="I9" s="30" t="inlineStr">
        <is>
          <t>8:30.77</t>
        </is>
      </c>
      <c r="J9" s="22">
        <f>IF(I9="","",IF(ISNUMBER(SEARCH(":",I9)),VALUE(LEFT(I9,SEARCH(":",I9)-1))*60+VALUE(MID(I9,SEARCH(":",I9)+1,99)),VALUE(I9)))</f>
        <v/>
      </c>
      <c r="K9" s="30" t="inlineStr">
        <is>
          <t>29.05.10</t>
        </is>
      </c>
      <c r="L9" s="30" t="inlineStr">
        <is>
          <t>Swimming New Zealand Short Course Records by Age - user-supplied PDF</t>
        </is>
      </c>
      <c r="M9" s="30" t="n"/>
      <c r="N9" s="30" t="inlineStr">
        <is>
          <t>NO</t>
        </is>
      </c>
      <c r="O9" s="30" t="inlineStr">
        <is>
          <t>YES</t>
        </is>
      </c>
      <c r="P9" s="30" t="n"/>
      <c r="Q9" s="30" t="inlineStr">
        <is>
          <t>8:41.93</t>
        </is>
      </c>
      <c r="R9" s="22">
        <f>IF(Q9="","",IF(ISNUMBER(SEARCH(":",Q9)),VALUE(LEFT(Q9,SEARCH(":",Q9)-1))*60+VALUE(MID(Q9,SEARCH(":",Q9)+1,99)),VALUE(Q9)))</f>
        <v/>
      </c>
      <c r="S9" s="39">
        <f>IF(OR(J9="",R9=""),"",(R9-J9)/R9)</f>
        <v/>
      </c>
      <c r="T9" s="22">
        <f>IF(OR(P9&lt;&gt;"",N9="YES"),"YES","NO")</f>
        <v/>
      </c>
      <c r="U9" s="22">
        <f>IF(AND(O9="YES",T9="YES",S9&lt;&gt;""),COUNTIFS($C$5:$C$424,C9,$S$5:$S$424,"&gt;"&amp;S9)+COUNTIFS($C$5:C9,C9,$S$5:S9,S9),"")</f>
        <v/>
      </c>
      <c r="V9" s="22">
        <f>IF(U9="","",C9&amp;"|"&amp;U9)</f>
        <v/>
      </c>
      <c r="W9" s="30" t="n"/>
      <c r="X9" s="30" t="inlineStr">
        <is>
          <t>Next-fastest time supplied in user workbook; swimmer name not yet supplied.</t>
        </is>
      </c>
    </row>
    <row r="10" ht="15" customHeight="1" s="17">
      <c r="A10" s="30" t="inlineStr">
        <is>
          <t>NZ|SCM|M|13|1500 Free</t>
        </is>
      </c>
      <c r="B10" s="30" t="inlineStr">
        <is>
          <t>SCM</t>
        </is>
      </c>
      <c r="C10" s="30" t="inlineStr">
        <is>
          <t>Male</t>
        </is>
      </c>
      <c r="D10" s="30" t="n">
        <v>13</v>
      </c>
      <c r="E10" s="30" t="inlineStr">
        <is>
          <t>1500 Free</t>
        </is>
      </c>
      <c r="F10" s="30" t="inlineStr">
        <is>
          <t>Thomas Heaton</t>
        </is>
      </c>
      <c r="G10" s="22" t="inlineStr">
        <is>
          <t>Thomas Heaton</t>
        </is>
      </c>
      <c r="H10" s="22" t="n"/>
      <c r="I10" s="30" t="inlineStr">
        <is>
          <t>16:27.41</t>
        </is>
      </c>
      <c r="J10" s="22">
        <f>IF(I10="","",IF(ISNUMBER(SEARCH(":",I10)),VALUE(LEFT(I10,SEARCH(":",I10)-1))*60+VALUE(MID(I10,SEARCH(":",I10)+1,99)),VALUE(I10)))</f>
        <v/>
      </c>
      <c r="K10" s="30" t="inlineStr">
        <is>
          <t>04.10.12</t>
        </is>
      </c>
      <c r="L10" s="30" t="inlineStr">
        <is>
          <t>Swimming New Zealand Short Course Records by Age - user-supplied PDF</t>
        </is>
      </c>
      <c r="M10" s="30" t="n"/>
      <c r="N10" s="30" t="inlineStr">
        <is>
          <t>NO</t>
        </is>
      </c>
      <c r="O10" s="30" t="inlineStr">
        <is>
          <t>YES</t>
        </is>
      </c>
      <c r="P10" s="30" t="n"/>
      <c r="Q10" s="30" t="inlineStr">
        <is>
          <t>16:33.56</t>
        </is>
      </c>
      <c r="R10" s="22">
        <f>IF(Q10="","",IF(ISNUMBER(SEARCH(":",Q10)),VALUE(LEFT(Q10,SEARCH(":",Q10)-1))*60+VALUE(MID(Q10,SEARCH(":",Q10)+1,99)),VALUE(Q10)))</f>
        <v/>
      </c>
      <c r="S10" s="39">
        <f>IF(OR(J10="",R10=""),"",(R10-J10)/R10)</f>
        <v/>
      </c>
      <c r="T10" s="22">
        <f>IF(OR(P10&lt;&gt;"",N10="YES"),"YES","NO")</f>
        <v/>
      </c>
      <c r="U10" s="22">
        <f>IF(AND(O10="YES",T10="YES",S10&lt;&gt;""),COUNTIFS($C$5:$C$424,C10,$S$5:$S$424,"&gt;"&amp;S10)+COUNTIFS($C$5:C10,C10,$S$5:S10,S10),"")</f>
        <v/>
      </c>
      <c r="V10" s="22">
        <f>IF(U10="","",C10&amp;"|"&amp;U10)</f>
        <v/>
      </c>
      <c r="W10" s="30" t="n"/>
      <c r="X10" s="30" t="inlineStr">
        <is>
          <t>Next-fastest time supplied in user workbook; swimmer name not yet supplied.</t>
        </is>
      </c>
    </row>
    <row r="11" ht="15" customHeight="1" s="17">
      <c r="A11" s="30" t="inlineStr">
        <is>
          <t>NZ|SCM|M|13|50 Back</t>
        </is>
      </c>
      <c r="B11" s="30" t="inlineStr">
        <is>
          <t>SCM</t>
        </is>
      </c>
      <c r="C11" s="30" t="inlineStr">
        <is>
          <t>Male</t>
        </is>
      </c>
      <c r="D11" s="30" t="n">
        <v>13</v>
      </c>
      <c r="E11" s="30" t="inlineStr">
        <is>
          <t>50 Back</t>
        </is>
      </c>
      <c r="F11" s="30" t="inlineStr">
        <is>
          <t>Kase Glintmeyer</t>
        </is>
      </c>
      <c r="G11" s="22" t="inlineStr">
        <is>
          <t>Kase Glintmeyer</t>
        </is>
      </c>
      <c r="H11" s="22" t="n"/>
      <c r="I11" s="30" t="inlineStr">
        <is>
          <t>27.35</t>
        </is>
      </c>
      <c r="J11" s="22">
        <f>IF(I11="","",IF(ISNUMBER(SEARCH(":",I11)),VALUE(LEFT(I11,SEARCH(":",I11)-1))*60+VALUE(MID(I11,SEARCH(":",I11)+1,99)),VALUE(I11)))</f>
        <v/>
      </c>
      <c r="K11" s="30" t="inlineStr">
        <is>
          <t>23.08.24</t>
        </is>
      </c>
      <c r="L11" s="30" t="inlineStr">
        <is>
          <t>Swimming New Zealand Short Course Records by Age - user-supplied PDF</t>
        </is>
      </c>
      <c r="M11" s="30" t="n"/>
      <c r="N11" s="30" t="inlineStr">
        <is>
          <t>NO</t>
        </is>
      </c>
      <c r="O11" s="30" t="inlineStr">
        <is>
          <t>YES</t>
        </is>
      </c>
      <c r="P11" s="30" t="n"/>
      <c r="Q11" s="30" t="inlineStr">
        <is>
          <t>27.85</t>
        </is>
      </c>
      <c r="R11" s="22">
        <f>IF(Q11="","",IF(ISNUMBER(SEARCH(":",Q11)),VALUE(LEFT(Q11,SEARCH(":",Q11)-1))*60+VALUE(MID(Q11,SEARCH(":",Q11)+1,99)),VALUE(Q11)))</f>
        <v/>
      </c>
      <c r="S11" s="39">
        <f>IF(OR(J11="",R11=""),"",(R11-J11)/R11)</f>
        <v/>
      </c>
      <c r="T11" s="22">
        <f>IF(OR(P11&lt;&gt;"",N11="YES"),"YES","NO")</f>
        <v/>
      </c>
      <c r="U11" s="22">
        <f>IF(AND(O11="YES",T11="YES",S11&lt;&gt;""),COUNTIFS($C$5:$C$424,C11,$S$5:$S$424,"&gt;"&amp;S11)+COUNTIFS($C$5:C11,C11,$S$5:S11,S11),"")</f>
        <v/>
      </c>
      <c r="V11" s="22">
        <f>IF(U11="","",C11&amp;"|"&amp;U11)</f>
        <v/>
      </c>
      <c r="W11" s="30" t="n"/>
      <c r="X11" s="30" t="inlineStr">
        <is>
          <t>Next-fastest time supplied in user workbook; swimmer name not yet supplied.</t>
        </is>
      </c>
    </row>
    <row r="12" ht="15" customHeight="1" s="17">
      <c r="A12" s="30" t="inlineStr">
        <is>
          <t>NZ|SCM|M|13|100 Back</t>
        </is>
      </c>
      <c r="B12" s="30" t="inlineStr">
        <is>
          <t>SCM</t>
        </is>
      </c>
      <c r="C12" s="30" t="inlineStr">
        <is>
          <t>Male</t>
        </is>
      </c>
      <c r="D12" s="30" t="n">
        <v>13</v>
      </c>
      <c r="E12" s="30" t="inlineStr">
        <is>
          <t>100 Back</t>
        </is>
      </c>
      <c r="F12" s="30" t="inlineStr">
        <is>
          <t>Grayson Coulter</t>
        </is>
      </c>
      <c r="G12" s="22" t="inlineStr">
        <is>
          <t>Grayson Coulter</t>
        </is>
      </c>
      <c r="H12" s="22" t="n"/>
      <c r="I12" s="30" t="inlineStr">
        <is>
          <t>58.20</t>
        </is>
      </c>
      <c r="J12" s="22">
        <f>IF(I12="","",IF(ISNUMBER(SEARCH(":",I12)),VALUE(LEFT(I12,SEARCH(":",I12)-1))*60+VALUE(MID(I12,SEARCH(":",I12)+1,99)),VALUE(I12)))</f>
        <v/>
      </c>
      <c r="K12" s="30" t="inlineStr">
        <is>
          <t>25.07.25</t>
        </is>
      </c>
      <c r="L12" s="30" t="inlineStr">
        <is>
          <t>Swimming New Zealand Short Course Records by Age - user-supplied PDF</t>
        </is>
      </c>
      <c r="M12" s="30" t="n"/>
      <c r="N12" s="30" t="inlineStr">
        <is>
          <t>NO</t>
        </is>
      </c>
      <c r="O12" s="30" t="inlineStr">
        <is>
          <t>YES</t>
        </is>
      </c>
      <c r="P12" s="30" t="n"/>
      <c r="Q12" s="30" t="inlineStr">
        <is>
          <t>59.33</t>
        </is>
      </c>
      <c r="R12" s="22">
        <f>IF(Q12="","",IF(ISNUMBER(SEARCH(":",Q12)),VALUE(LEFT(Q12,SEARCH(":",Q12)-1))*60+VALUE(MID(Q12,SEARCH(":",Q12)+1,99)),VALUE(Q12)))</f>
        <v/>
      </c>
      <c r="S12" s="39">
        <f>IF(OR(J12="",R12=""),"",(R12-J12)/R12)</f>
        <v/>
      </c>
      <c r="T12" s="22">
        <f>IF(OR(P12&lt;&gt;"",N12="YES"),"YES","NO")</f>
        <v/>
      </c>
      <c r="U12" s="22">
        <f>IF(AND(O12="YES",T12="YES",S12&lt;&gt;""),COUNTIFS($C$5:$C$424,C12,$S$5:$S$424,"&gt;"&amp;S12)+COUNTIFS($C$5:C12,C12,$S$5:S12,S12),"")</f>
        <v/>
      </c>
      <c r="V12" s="22">
        <f>IF(U12="","",C12&amp;"|"&amp;U12)</f>
        <v/>
      </c>
      <c r="W12" s="30" t="n"/>
      <c r="X12" s="30" t="inlineStr">
        <is>
          <t>Next-fastest time supplied in user workbook; swimmer name not yet supplied.</t>
        </is>
      </c>
    </row>
    <row r="13" ht="15" customHeight="1" s="17">
      <c r="A13" s="30" t="inlineStr">
        <is>
          <t>NZ|SCM|M|13|200 Back</t>
        </is>
      </c>
      <c r="B13" s="30" t="inlineStr">
        <is>
          <t>SCM</t>
        </is>
      </c>
      <c r="C13" s="30" t="inlineStr">
        <is>
          <t>Male</t>
        </is>
      </c>
      <c r="D13" s="30" t="n">
        <v>13</v>
      </c>
      <c r="E13" s="30" t="inlineStr">
        <is>
          <t>200 Back</t>
        </is>
      </c>
      <c r="F13" s="30" t="inlineStr">
        <is>
          <t>Ariel Muchirahondo</t>
        </is>
      </c>
      <c r="G13" s="22" t="inlineStr">
        <is>
          <t>Ariel Muchirahondo</t>
        </is>
      </c>
      <c r="H13" s="22" t="n"/>
      <c r="I13" s="30" t="inlineStr">
        <is>
          <t>2:06.33</t>
        </is>
      </c>
      <c r="J13" s="22">
        <f>IF(I13="","",IF(ISNUMBER(SEARCH(":",I13)),VALUE(LEFT(I13,SEARCH(":",I13)-1))*60+VALUE(MID(I13,SEARCH(":",I13)+1,99)),VALUE(I13)))</f>
        <v/>
      </c>
      <c r="K13" s="30" t="inlineStr">
        <is>
          <t>22.10.22</t>
        </is>
      </c>
      <c r="L13" s="30" t="inlineStr">
        <is>
          <t>Swimming New Zealand Short Course Records by Age - user-supplied PDF</t>
        </is>
      </c>
      <c r="M13" s="30" t="n"/>
      <c r="N13" s="30" t="inlineStr">
        <is>
          <t>NO</t>
        </is>
      </c>
      <c r="O13" s="30" t="inlineStr">
        <is>
          <t>YES</t>
        </is>
      </c>
      <c r="P13" s="30" t="n"/>
      <c r="Q13" s="30" t="inlineStr">
        <is>
          <t>2:08.16</t>
        </is>
      </c>
      <c r="R13" s="22">
        <f>IF(Q13="","",IF(ISNUMBER(SEARCH(":",Q13)),VALUE(LEFT(Q13,SEARCH(":",Q13)-1))*60+VALUE(MID(Q13,SEARCH(":",Q13)+1,99)),VALUE(Q13)))</f>
        <v/>
      </c>
      <c r="S13" s="39">
        <f>IF(OR(J13="",R13=""),"",(R13-J13)/R13)</f>
        <v/>
      </c>
      <c r="T13" s="22">
        <f>IF(OR(P13&lt;&gt;"",N13="YES"),"YES","NO")</f>
        <v/>
      </c>
      <c r="U13" s="22">
        <f>IF(AND(O13="YES",T13="YES",S13&lt;&gt;""),COUNTIFS($C$5:$C$424,C13,$S$5:$S$424,"&gt;"&amp;S13)+COUNTIFS($C$5:C13,C13,$S$5:S13,S13),"")</f>
        <v/>
      </c>
      <c r="V13" s="22">
        <f>IF(U13="","",C13&amp;"|"&amp;U13)</f>
        <v/>
      </c>
      <c r="W13" s="30" t="n"/>
      <c r="X13" s="30" t="inlineStr">
        <is>
          <t>Next-fastest time supplied in user workbook; swimmer name not yet supplied.</t>
        </is>
      </c>
    </row>
    <row r="14" ht="15" customHeight="1" s="17">
      <c r="A14" s="30" t="inlineStr">
        <is>
          <t>NZ|SCM|M|13|50 Breast</t>
        </is>
      </c>
      <c r="B14" s="30" t="inlineStr">
        <is>
          <t>SCM</t>
        </is>
      </c>
      <c r="C14" s="30" t="inlineStr">
        <is>
          <t>Male</t>
        </is>
      </c>
      <c r="D14" s="30" t="n">
        <v>13</v>
      </c>
      <c r="E14" s="30" t="inlineStr">
        <is>
          <t>50 Breast</t>
        </is>
      </c>
      <c r="F14" s="30" t="inlineStr">
        <is>
          <t>Cameron Karpik</t>
        </is>
      </c>
      <c r="G14" s="22" t="inlineStr">
        <is>
          <t>Cameron Karpik</t>
        </is>
      </c>
      <c r="H14" s="22" t="n"/>
      <c r="I14" s="30" t="inlineStr">
        <is>
          <t>30.35</t>
        </is>
      </c>
      <c r="J14" s="22">
        <f>IF(I14="","",IF(ISNUMBER(SEARCH(":",I14)),VALUE(LEFT(I14,SEARCH(":",I14)-1))*60+VALUE(MID(I14,SEARCH(":",I14)+1,99)),VALUE(I14)))</f>
        <v/>
      </c>
      <c r="K14" s="30" t="inlineStr">
        <is>
          <t>25.08.22</t>
        </is>
      </c>
      <c r="L14" s="30" t="inlineStr">
        <is>
          <t>Swimming New Zealand Short Course Records by Age - user-supplied PDF</t>
        </is>
      </c>
      <c r="M14" s="30" t="n"/>
      <c r="N14" s="30" t="inlineStr">
        <is>
          <t>NO</t>
        </is>
      </c>
      <c r="O14" s="30" t="inlineStr">
        <is>
          <t>YES</t>
        </is>
      </c>
      <c r="P14" s="30" t="n"/>
      <c r="Q14" s="30" t="inlineStr">
        <is>
          <t>30.68</t>
        </is>
      </c>
      <c r="R14" s="22">
        <f>IF(Q14="","",IF(ISNUMBER(SEARCH(":",Q14)),VALUE(LEFT(Q14,SEARCH(":",Q14)-1))*60+VALUE(MID(Q14,SEARCH(":",Q14)+1,99)),VALUE(Q14)))</f>
        <v/>
      </c>
      <c r="S14" s="39">
        <f>IF(OR(J14="",R14=""),"",(R14-J14)/R14)</f>
        <v/>
      </c>
      <c r="T14" s="22">
        <f>IF(OR(P14&lt;&gt;"",N14="YES"),"YES","NO")</f>
        <v/>
      </c>
      <c r="U14" s="22">
        <f>IF(AND(O14="YES",T14="YES",S14&lt;&gt;""),COUNTIFS($C$5:$C$424,C14,$S$5:$S$424,"&gt;"&amp;S14)+COUNTIFS($C$5:C14,C14,$S$5:S14,S14),"")</f>
        <v/>
      </c>
      <c r="V14" s="22">
        <f>IF(U14="","",C14&amp;"|"&amp;U14)</f>
        <v/>
      </c>
      <c r="W14" s="30" t="n"/>
      <c r="X14" s="30" t="inlineStr">
        <is>
          <t>Next-fastest time supplied in user workbook; swimmer name not yet supplied.</t>
        </is>
      </c>
    </row>
    <row r="15" ht="15" customHeight="1" s="17">
      <c r="A15" s="30" t="inlineStr">
        <is>
          <t>NZ|SCM|M|13|100 Breast</t>
        </is>
      </c>
      <c r="B15" s="30" t="inlineStr">
        <is>
          <t>SCM</t>
        </is>
      </c>
      <c r="C15" s="30" t="inlineStr">
        <is>
          <t>Male</t>
        </is>
      </c>
      <c r="D15" s="30" t="n">
        <v>13</v>
      </c>
      <c r="E15" s="30" t="inlineStr">
        <is>
          <t>100 Breast</t>
        </is>
      </c>
      <c r="F15" s="30" t="inlineStr">
        <is>
          <t>Cameron Karpik</t>
        </is>
      </c>
      <c r="G15" s="22" t="inlineStr">
        <is>
          <t>Cameron Karpik</t>
        </is>
      </c>
      <c r="H15" s="22" t="n"/>
      <c r="I15" s="30" t="inlineStr">
        <is>
          <t>1:06.33</t>
        </is>
      </c>
      <c r="J15" s="22">
        <f>IF(I15="","",IF(ISNUMBER(SEARCH(":",I15)),VALUE(LEFT(I15,SEARCH(":",I15)-1))*60+VALUE(MID(I15,SEARCH(":",I15)+1,99)),VALUE(I15)))</f>
        <v/>
      </c>
      <c r="K15" s="30" t="inlineStr">
        <is>
          <t>26.08.22</t>
        </is>
      </c>
      <c r="L15" s="30" t="inlineStr">
        <is>
          <t>Swimming New Zealand Short Course Records by Age - user-supplied PDF</t>
        </is>
      </c>
      <c r="M15" s="30" t="n"/>
      <c r="N15" s="30" t="inlineStr">
        <is>
          <t>NO</t>
        </is>
      </c>
      <c r="O15" s="30" t="inlineStr">
        <is>
          <t>YES</t>
        </is>
      </c>
      <c r="P15" s="30" t="n"/>
      <c r="Q15" s="30" t="inlineStr">
        <is>
          <t>1:06.77</t>
        </is>
      </c>
      <c r="R15" s="22">
        <f>IF(Q15="","",IF(ISNUMBER(SEARCH(":",Q15)),VALUE(LEFT(Q15,SEARCH(":",Q15)-1))*60+VALUE(MID(Q15,SEARCH(":",Q15)+1,99)),VALUE(Q15)))</f>
        <v/>
      </c>
      <c r="S15" s="39">
        <f>IF(OR(J15="",R15=""),"",(R15-J15)/R15)</f>
        <v/>
      </c>
      <c r="T15" s="22">
        <f>IF(OR(P15&lt;&gt;"",N15="YES"),"YES","NO")</f>
        <v/>
      </c>
      <c r="U15" s="22">
        <f>IF(AND(O15="YES",T15="YES",S15&lt;&gt;""),COUNTIFS($C$5:$C$424,C15,$S$5:$S$424,"&gt;"&amp;S15)+COUNTIFS($C$5:C15,C15,$S$5:S15,S15),"")</f>
        <v/>
      </c>
      <c r="V15" s="22">
        <f>IF(U15="","",C15&amp;"|"&amp;U15)</f>
        <v/>
      </c>
      <c r="W15" s="30" t="n"/>
      <c r="X15" s="30" t="inlineStr">
        <is>
          <t>Next-fastest time supplied in user workbook; swimmer name not yet supplied.</t>
        </is>
      </c>
    </row>
    <row r="16" ht="15" customHeight="1" s="17">
      <c r="A16" s="30" t="inlineStr">
        <is>
          <t>NZ|SCM|M|13|200 Breast</t>
        </is>
      </c>
      <c r="B16" s="30" t="inlineStr">
        <is>
          <t>SCM</t>
        </is>
      </c>
      <c r="C16" s="30" t="inlineStr">
        <is>
          <t>Male</t>
        </is>
      </c>
      <c r="D16" s="30" t="n">
        <v>13</v>
      </c>
      <c r="E16" s="30" t="inlineStr">
        <is>
          <t>200 Breast</t>
        </is>
      </c>
      <c r="F16" s="30" t="inlineStr">
        <is>
          <t>Erik Kahr</t>
        </is>
      </c>
      <c r="G16" s="22" t="inlineStr">
        <is>
          <t>Erik Kahr</t>
        </is>
      </c>
      <c r="H16" s="22" t="n"/>
      <c r="I16" s="30" t="inlineStr">
        <is>
          <t>2:22.10</t>
        </is>
      </c>
      <c r="J16" s="22">
        <f>IF(I16="","",IF(ISNUMBER(SEARCH(":",I16)),VALUE(LEFT(I16,SEARCH(":",I16)-1))*60+VALUE(MID(I16,SEARCH(":",I16)+1,99)),VALUE(I16)))</f>
        <v/>
      </c>
      <c r="K16" s="30" t="inlineStr">
        <is>
          <t>29.09.09</t>
        </is>
      </c>
      <c r="L16" s="30" t="inlineStr">
        <is>
          <t>Swimming New Zealand Short Course Records by Age - user-supplied PDF</t>
        </is>
      </c>
      <c r="M16" s="30" t="n"/>
      <c r="N16" s="30" t="inlineStr">
        <is>
          <t>NO</t>
        </is>
      </c>
      <c r="O16" s="30" t="inlineStr">
        <is>
          <t>YES</t>
        </is>
      </c>
      <c r="P16" s="30" t="n"/>
      <c r="Q16" s="30" t="inlineStr">
        <is>
          <t>2:24.15</t>
        </is>
      </c>
      <c r="R16" s="22">
        <f>IF(Q16="","",IF(ISNUMBER(SEARCH(":",Q16)),VALUE(LEFT(Q16,SEARCH(":",Q16)-1))*60+VALUE(MID(Q16,SEARCH(":",Q16)+1,99)),VALUE(Q16)))</f>
        <v/>
      </c>
      <c r="S16" s="39">
        <f>IF(OR(J16="",R16=""),"",(R16-J16)/R16)</f>
        <v/>
      </c>
      <c r="T16" s="22">
        <f>IF(OR(P16&lt;&gt;"",N16="YES"),"YES","NO")</f>
        <v/>
      </c>
      <c r="U16" s="22">
        <f>IF(AND(O16="YES",T16="YES",S16&lt;&gt;""),COUNTIFS($C$5:$C$424,C16,$S$5:$S$424,"&gt;"&amp;S16)+COUNTIFS($C$5:C16,C16,$S$5:S16,S16),"")</f>
        <v/>
      </c>
      <c r="V16" s="22">
        <f>IF(U16="","",C16&amp;"|"&amp;U16)</f>
        <v/>
      </c>
      <c r="W16" s="30" t="n"/>
      <c r="X16" s="30" t="inlineStr">
        <is>
          <t>Next-fastest time supplied in user workbook; swimmer name not yet supplied.</t>
        </is>
      </c>
    </row>
    <row r="17" ht="15" customHeight="1" s="17">
      <c r="A17" s="30" t="inlineStr">
        <is>
          <t>NZ|SCM|M|13|50 Fly</t>
        </is>
      </c>
      <c r="B17" s="30" t="inlineStr">
        <is>
          <t>SCM</t>
        </is>
      </c>
      <c r="C17" s="30" t="inlineStr">
        <is>
          <t>Male</t>
        </is>
      </c>
      <c r="D17" s="30" t="n">
        <v>13</v>
      </c>
      <c r="E17" s="30" t="inlineStr">
        <is>
          <t>50 Fly</t>
        </is>
      </c>
      <c r="F17" s="30" t="inlineStr">
        <is>
          <t>Grayson Coulter</t>
        </is>
      </c>
      <c r="G17" s="22" t="inlineStr">
        <is>
          <t>Grayson Coulter</t>
        </is>
      </c>
      <c r="H17" s="22" t="n"/>
      <c r="I17" s="30" t="inlineStr">
        <is>
          <t>25.64</t>
        </is>
      </c>
      <c r="J17" s="22">
        <f>IF(I17="","",IF(ISNUMBER(SEARCH(":",I17)),VALUE(LEFT(I17,SEARCH(":",I17)-1))*60+VALUE(MID(I17,SEARCH(":",I17)+1,99)),VALUE(I17)))</f>
        <v/>
      </c>
      <c r="K17" s="30" t="inlineStr">
        <is>
          <t>22.09.25</t>
        </is>
      </c>
      <c r="L17" s="30" t="inlineStr">
        <is>
          <t>Swimming New Zealand Short Course Records by Age - user-supplied PDF</t>
        </is>
      </c>
      <c r="M17" s="30" t="n"/>
      <c r="N17" s="30" t="inlineStr">
        <is>
          <t>NO</t>
        </is>
      </c>
      <c r="O17" s="30" t="inlineStr">
        <is>
          <t>YES</t>
        </is>
      </c>
      <c r="P17" s="30" t="inlineStr">
        <is>
          <t>Taiko Torepe-Ormsby</t>
        </is>
      </c>
      <c r="Q17" s="30" t="inlineStr">
        <is>
          <t>26.42</t>
        </is>
      </c>
      <c r="R17" s="22">
        <f>IF(Q17="","",IF(ISNUMBER(SEARCH(":",Q17)),VALUE(LEFT(Q17,SEARCH(":",Q17)-1))*60+VALUE(MID(Q17,SEARCH(":",Q17)+1,99)),VALUE(Q17)))</f>
        <v/>
      </c>
      <c r="S17" s="39">
        <f>IF(OR(J17="",R17=""),"",(R17-J17)/R17)</f>
        <v/>
      </c>
      <c r="T17" s="22">
        <f>IF(OR(P17&lt;&gt;"",N17="YES"),"YES","NO")</f>
        <v/>
      </c>
      <c r="U17" s="22">
        <f>IF(AND(O17="YES",T17="YES",S17&lt;&gt;""),COUNTIFS($C$5:$C$424,C17,$S$5:$S$424,"&gt;"&amp;S17)+COUNTIFS($C$5:C17,C17,$S$5:S17,S17),"")</f>
        <v/>
      </c>
      <c r="V17" s="22">
        <f>IF(U17="","",C17&amp;"|"&amp;U17)</f>
        <v/>
      </c>
      <c r="W17" s="30" t="n"/>
      <c r="X17" s="30" t="inlineStr">
        <is>
          <t>Next-fastest time supplied in user workbook; swimmer name not yet supplied.</t>
        </is>
      </c>
    </row>
    <row r="18" ht="15" customHeight="1" s="17">
      <c r="A18" s="30" t="inlineStr">
        <is>
          <t>NZ|SCM|M|13|100 Fly</t>
        </is>
      </c>
      <c r="B18" s="30" t="inlineStr">
        <is>
          <t>SCM</t>
        </is>
      </c>
      <c r="C18" s="30" t="inlineStr">
        <is>
          <t>Male</t>
        </is>
      </c>
      <c r="D18" s="30" t="n">
        <v>13</v>
      </c>
      <c r="E18" s="30" t="inlineStr">
        <is>
          <t>100 Fly</t>
        </is>
      </c>
      <c r="F18" s="30" t="inlineStr">
        <is>
          <t>Grayson Coulter</t>
        </is>
      </c>
      <c r="G18" s="22" t="inlineStr">
        <is>
          <t>Grayson Coulter</t>
        </is>
      </c>
      <c r="H18" s="22" t="n"/>
      <c r="I18" s="30" t="inlineStr">
        <is>
          <t>56.90</t>
        </is>
      </c>
      <c r="J18" s="22">
        <f>IF(I18="","",IF(ISNUMBER(SEARCH(":",I18)),VALUE(LEFT(I18,SEARCH(":",I18)-1))*60+VALUE(MID(I18,SEARCH(":",I18)+1,99)),VALUE(I18)))</f>
        <v/>
      </c>
      <c r="K18" s="30" t="inlineStr">
        <is>
          <t>26.07.25</t>
        </is>
      </c>
      <c r="L18" s="30" t="inlineStr">
        <is>
          <t>Swimming New Zealand Short Course Records by Age - user-supplied PDF</t>
        </is>
      </c>
      <c r="M18" s="30" t="n"/>
      <c r="N18" s="30" t="inlineStr">
        <is>
          <t>NO</t>
        </is>
      </c>
      <c r="O18" s="30" t="inlineStr">
        <is>
          <t>YES</t>
        </is>
      </c>
      <c r="P18" s="30" t="inlineStr">
        <is>
          <t>Mason Wang</t>
        </is>
      </c>
      <c r="Q18" s="30" t="inlineStr">
        <is>
          <t>58.99</t>
        </is>
      </c>
      <c r="R18" s="22">
        <f>IF(Q18="","",IF(ISNUMBER(SEARCH(":",Q18)),VALUE(LEFT(Q18,SEARCH(":",Q18)-1))*60+VALUE(MID(Q18,SEARCH(":",Q18)+1,99)),VALUE(Q18)))</f>
        <v/>
      </c>
      <c r="S18" s="39">
        <f>IF(OR(J18="",R18=""),"",(R18-J18)/R18)</f>
        <v/>
      </c>
      <c r="T18" s="22">
        <f>IF(OR(P18&lt;&gt;"",N18="YES"),"YES","NO")</f>
        <v/>
      </c>
      <c r="U18" s="22">
        <f>IF(AND(O18="YES",T18="YES",S18&lt;&gt;""),COUNTIFS($C$5:$C$424,C18,$S$5:$S$424,"&gt;"&amp;S18)+COUNTIFS($C$5:C18,C18,$S$5:S18,S18),"")</f>
        <v/>
      </c>
      <c r="V18" s="22">
        <f>IF(U18="","",C18&amp;"|"&amp;U18)</f>
        <v/>
      </c>
      <c r="W18" s="30" t="n"/>
      <c r="X18" s="30" t="inlineStr">
        <is>
          <t>Next-fastest time supplied in user workbook; swimmer name not yet supplied.</t>
        </is>
      </c>
    </row>
    <row r="19" ht="15" customHeight="1" s="17">
      <c r="A19" s="30" t="inlineStr">
        <is>
          <t>NZ|SCM|M|13|200 Fly</t>
        </is>
      </c>
      <c r="B19" s="30" t="inlineStr">
        <is>
          <t>SCM</t>
        </is>
      </c>
      <c r="C19" s="30" t="inlineStr">
        <is>
          <t>Male</t>
        </is>
      </c>
      <c r="D19" s="30" t="n">
        <v>13</v>
      </c>
      <c r="E19" s="30" t="inlineStr">
        <is>
          <t>200 Fly</t>
        </is>
      </c>
      <c r="F19" s="30" t="inlineStr">
        <is>
          <t>Mitchell Donaldson</t>
        </is>
      </c>
      <c r="G19" s="22" t="inlineStr">
        <is>
          <t>Mitchell Donaldson</t>
        </is>
      </c>
      <c r="H19" s="22" t="n"/>
      <c r="I19" s="30" t="inlineStr">
        <is>
          <t>2:10.81</t>
        </is>
      </c>
      <c r="J19" s="22">
        <f>IF(I19="","",IF(ISNUMBER(SEARCH(":",I19)),VALUE(LEFT(I19,SEARCH(":",I19)-1))*60+VALUE(MID(I19,SEARCH(":",I19)+1,99)),VALUE(I19)))</f>
        <v/>
      </c>
      <c r="K19" s="30" t="inlineStr">
        <is>
          <t>27.09.06</t>
        </is>
      </c>
      <c r="L19" s="30" t="inlineStr">
        <is>
          <t>Swimming New Zealand Short Course Records by Age - user-supplied PDF</t>
        </is>
      </c>
      <c r="M19" s="30" t="n"/>
      <c r="N19" s="30" t="inlineStr">
        <is>
          <t>NO</t>
        </is>
      </c>
      <c r="O19" s="30" t="inlineStr">
        <is>
          <t>YES</t>
        </is>
      </c>
      <c r="P19" s="30" t="n"/>
      <c r="Q19" s="30" t="inlineStr">
        <is>
          <t>2:11.88</t>
        </is>
      </c>
      <c r="R19" s="22">
        <f>IF(Q19="","",IF(ISNUMBER(SEARCH(":",Q19)),VALUE(LEFT(Q19,SEARCH(":",Q19)-1))*60+VALUE(MID(Q19,SEARCH(":",Q19)+1,99)),VALUE(Q19)))</f>
        <v/>
      </c>
      <c r="S19" s="39">
        <f>IF(OR(J19="",R19=""),"",(R19-J19)/R19)</f>
        <v/>
      </c>
      <c r="T19" s="22">
        <f>IF(OR(P19&lt;&gt;"",N19="YES"),"YES","NO")</f>
        <v/>
      </c>
      <c r="U19" s="22">
        <f>IF(AND(O19="YES",T19="YES",S19&lt;&gt;""),COUNTIFS($C$5:$C$424,C19,$S$5:$S$424,"&gt;"&amp;S19)+COUNTIFS($C$5:C19,C19,$S$5:S19,S19),"")</f>
        <v/>
      </c>
      <c r="V19" s="22">
        <f>IF(U19="","",C19&amp;"|"&amp;U19)</f>
        <v/>
      </c>
      <c r="W19" s="30" t="n"/>
      <c r="X19" s="30" t="inlineStr">
        <is>
          <t>Next-fastest time supplied in user workbook; swimmer name not yet supplied.</t>
        </is>
      </c>
    </row>
    <row r="20" ht="15" customHeight="1" s="17">
      <c r="A20" s="30" t="inlineStr">
        <is>
          <t>NZ|SCM|M|13|100 IM</t>
        </is>
      </c>
      <c r="B20" s="30" t="inlineStr">
        <is>
          <t>SCM</t>
        </is>
      </c>
      <c r="C20" s="30" t="inlineStr">
        <is>
          <t>Male</t>
        </is>
      </c>
      <c r="D20" s="30" t="n">
        <v>13</v>
      </c>
      <c r="E20" s="30" t="inlineStr">
        <is>
          <t>100 IM</t>
        </is>
      </c>
      <c r="F20" s="30" t="inlineStr">
        <is>
          <t>Grayson Coulter</t>
        </is>
      </c>
      <c r="G20" s="22" t="inlineStr">
        <is>
          <t>Grayson Coulter</t>
        </is>
      </c>
      <c r="H20" s="22" t="n"/>
      <c r="I20" s="30" t="inlineStr">
        <is>
          <t>58.42</t>
        </is>
      </c>
      <c r="J20" s="22">
        <f>IF(I20="","",IF(ISNUMBER(SEARCH(":",I20)),VALUE(LEFT(I20,SEARCH(":",I20)-1))*60+VALUE(MID(I20,SEARCH(":",I20)+1,99)),VALUE(I20)))</f>
        <v/>
      </c>
      <c r="K20" s="30" t="inlineStr">
        <is>
          <t>21.09.25</t>
        </is>
      </c>
      <c r="L20" s="30" t="inlineStr">
        <is>
          <t>Swimming New Zealand Short Course Records by Age - user-supplied PDF</t>
        </is>
      </c>
      <c r="M20" s="30" t="n"/>
      <c r="N20" s="30" t="inlineStr">
        <is>
          <t>NO</t>
        </is>
      </c>
      <c r="O20" s="30" t="inlineStr">
        <is>
          <t>YES</t>
        </is>
      </c>
      <c r="P20" s="30" t="inlineStr">
        <is>
          <t>Mitchell Donaldson</t>
        </is>
      </c>
      <c r="Q20" s="30" t="inlineStr">
        <is>
          <t>1:01.46</t>
        </is>
      </c>
      <c r="R20" s="22">
        <f>IF(Q20="","",IF(ISNUMBER(SEARCH(":",Q20)),VALUE(LEFT(Q20,SEARCH(":",Q20)-1))*60+VALUE(MID(Q20,SEARCH(":",Q20)+1,99)),VALUE(Q20)))</f>
        <v/>
      </c>
      <c r="S20" s="39">
        <f>IF(OR(J20="",R20=""),"",(R20-J20)/R20)</f>
        <v/>
      </c>
      <c r="T20" s="22">
        <f>IF(OR(P20&lt;&gt;"",N20="YES"),"YES","NO")</f>
        <v/>
      </c>
      <c r="U20" s="22">
        <f>IF(AND(O20="YES",T20="YES",S20&lt;&gt;""),COUNTIFS($C$5:$C$424,C20,$S$5:$S$424,"&gt;"&amp;S20)+COUNTIFS($C$5:C20,C20,$S$5:S20,S20),"")</f>
        <v/>
      </c>
      <c r="V20" s="22">
        <f>IF(U20="","",C20&amp;"|"&amp;U20)</f>
        <v/>
      </c>
      <c r="W20" s="30" t="n"/>
      <c r="X20" s="30" t="inlineStr">
        <is>
          <t>Next-fastest time supplied in user workbook; swimmer name not yet supplied.</t>
        </is>
      </c>
    </row>
    <row r="21" ht="15" customHeight="1" s="17">
      <c r="A21" s="30" t="inlineStr">
        <is>
          <t>NZ|SCM|M|13|200 IM</t>
        </is>
      </c>
      <c r="B21" s="30" t="inlineStr">
        <is>
          <t>SCM</t>
        </is>
      </c>
      <c r="C21" s="30" t="inlineStr">
        <is>
          <t>Male</t>
        </is>
      </c>
      <c r="D21" s="30" t="n">
        <v>13</v>
      </c>
      <c r="E21" s="30" t="inlineStr">
        <is>
          <t>200 IM</t>
        </is>
      </c>
      <c r="F21" s="30" t="inlineStr">
        <is>
          <t>Grayson Coulter</t>
        </is>
      </c>
      <c r="G21" s="22" t="inlineStr">
        <is>
          <t>Grayson Coulter</t>
        </is>
      </c>
      <c r="H21" s="22" t="n"/>
      <c r="I21" s="30" t="inlineStr">
        <is>
          <t>2:05.15</t>
        </is>
      </c>
      <c r="J21" s="22">
        <f>IF(I21="","",IF(ISNUMBER(SEARCH(":",I21)),VALUE(LEFT(I21,SEARCH(":",I21)-1))*60+VALUE(MID(I21,SEARCH(":",I21)+1,99)),VALUE(I21)))</f>
        <v/>
      </c>
      <c r="K21" s="30" t="inlineStr">
        <is>
          <t>25.09.25</t>
        </is>
      </c>
      <c r="L21" s="30" t="inlineStr">
        <is>
          <t>Swimming New Zealand Short Course Records by Age - user-supplied PDF</t>
        </is>
      </c>
      <c r="M21" s="30" t="n"/>
      <c r="N21" s="30" t="inlineStr">
        <is>
          <t>NO</t>
        </is>
      </c>
      <c r="O21" s="30" t="inlineStr">
        <is>
          <t>YES</t>
        </is>
      </c>
      <c r="P21" s="30" t="inlineStr">
        <is>
          <t>Ariel Muchirahondo</t>
        </is>
      </c>
      <c r="Q21" s="30" t="inlineStr">
        <is>
          <t>2:12.85</t>
        </is>
      </c>
      <c r="R21" s="22">
        <f>IF(Q21="","",IF(ISNUMBER(SEARCH(":",Q21)),VALUE(LEFT(Q21,SEARCH(":",Q21)-1))*60+VALUE(MID(Q21,SEARCH(":",Q21)+1,99)),VALUE(Q21)))</f>
        <v/>
      </c>
      <c r="S21" s="39">
        <f>IF(OR(J21="",R21=""),"",(R21-J21)/R21)</f>
        <v/>
      </c>
      <c r="T21" s="22">
        <f>IF(OR(P21&lt;&gt;"",N21="YES"),"YES","NO")</f>
        <v/>
      </c>
      <c r="U21" s="22">
        <f>IF(AND(O21="YES",T21="YES",S21&lt;&gt;""),COUNTIFS($C$5:$C$424,C21,$S$5:$S$424,"&gt;"&amp;S21)+COUNTIFS($C$5:C21,C21,$S$5:S21,S21),"")</f>
        <v/>
      </c>
      <c r="V21" s="22">
        <f>IF(U21="","",C21&amp;"|"&amp;U21)</f>
        <v/>
      </c>
      <c r="W21" s="30" t="n"/>
      <c r="X21" s="30" t="inlineStr">
        <is>
          <t>Next-fastest time supplied in user workbook; swimmer name not yet supplied.</t>
        </is>
      </c>
    </row>
    <row r="22" ht="15" customHeight="1" s="17">
      <c r="A22" s="30" t="inlineStr">
        <is>
          <t>NZ|SCM|M|13|400 IM</t>
        </is>
      </c>
      <c r="B22" s="30" t="inlineStr">
        <is>
          <t>SCM</t>
        </is>
      </c>
      <c r="C22" s="30" t="inlineStr">
        <is>
          <t>Male</t>
        </is>
      </c>
      <c r="D22" s="30" t="n">
        <v>13</v>
      </c>
      <c r="E22" s="30" t="inlineStr">
        <is>
          <t>400 IM</t>
        </is>
      </c>
      <c r="F22" s="30" t="inlineStr">
        <is>
          <t>Mitchell Donaldson</t>
        </is>
      </c>
      <c r="G22" s="22" t="inlineStr">
        <is>
          <t>Mitchell Donaldson</t>
        </is>
      </c>
      <c r="H22" s="22" t="n"/>
      <c r="I22" s="30" t="inlineStr">
        <is>
          <t>4:35.84</t>
        </is>
      </c>
      <c r="J22" s="22">
        <f>IF(I22="","",IF(ISNUMBER(SEARCH(":",I22)),VALUE(LEFT(I22,SEARCH(":",I22)-1))*60+VALUE(MID(I22,SEARCH(":",I22)+1,99)),VALUE(I22)))</f>
        <v/>
      </c>
      <c r="K22" s="30" t="inlineStr">
        <is>
          <t>25.09.06</t>
        </is>
      </c>
      <c r="L22" s="30" t="inlineStr">
        <is>
          <t>Swimming New Zealand Short Course Records by Age - user-supplied PDF</t>
        </is>
      </c>
      <c r="M22" s="30" t="n"/>
      <c r="N22" s="30" t="inlineStr">
        <is>
          <t>NO</t>
        </is>
      </c>
      <c r="O22" s="30" t="inlineStr">
        <is>
          <t>YES</t>
        </is>
      </c>
      <c r="P22" s="30" t="n"/>
      <c r="Q22" s="30" t="inlineStr">
        <is>
          <t>4:40.81</t>
        </is>
      </c>
      <c r="R22" s="22">
        <f>IF(Q22="","",IF(ISNUMBER(SEARCH(":",Q22)),VALUE(LEFT(Q22,SEARCH(":",Q22)-1))*60+VALUE(MID(Q22,SEARCH(":",Q22)+1,99)),VALUE(Q22)))</f>
        <v/>
      </c>
      <c r="S22" s="39">
        <f>IF(OR(J22="",R22=""),"",(R22-J22)/R22)</f>
        <v/>
      </c>
      <c r="T22" s="22">
        <f>IF(OR(P22&lt;&gt;"",N22="YES"),"YES","NO")</f>
        <v/>
      </c>
      <c r="U22" s="22">
        <f>IF(AND(O22="YES",T22="YES",S22&lt;&gt;""),COUNTIFS($C$5:$C$424,C22,$S$5:$S$424,"&gt;"&amp;S22)+COUNTIFS($C$5:C22,C22,$S$5:S22,S22),"")</f>
        <v/>
      </c>
      <c r="V22" s="22">
        <f>IF(U22="","",C22&amp;"|"&amp;U22)</f>
        <v/>
      </c>
      <c r="W22" s="30" t="n"/>
      <c r="X22" s="30" t="inlineStr">
        <is>
          <t>Next-fastest time supplied in user workbook; swimmer name not yet supplied.</t>
        </is>
      </c>
    </row>
    <row r="23" ht="15" customHeight="1" s="17">
      <c r="A23" s="30" t="inlineStr">
        <is>
          <t>NZ|SCM|M|14|50 Free</t>
        </is>
      </c>
      <c r="B23" s="30" t="inlineStr">
        <is>
          <t>SCM</t>
        </is>
      </c>
      <c r="C23" s="30" t="inlineStr">
        <is>
          <t>Male</t>
        </is>
      </c>
      <c r="D23" s="30" t="n">
        <v>14</v>
      </c>
      <c r="E23" s="30" t="inlineStr">
        <is>
          <t>50 Free</t>
        </is>
      </c>
      <c r="F23" s="30" t="inlineStr">
        <is>
          <t>Grayson Coulter</t>
        </is>
      </c>
      <c r="G23" s="22" t="inlineStr">
        <is>
          <t>Grayson Coulter</t>
        </is>
      </c>
      <c r="H23" s="22" t="n"/>
      <c r="I23" s="30" t="inlineStr">
        <is>
          <t>23.11</t>
        </is>
      </c>
      <c r="J23" s="22">
        <f>IF(I23="","",IF(ISNUMBER(SEARCH(":",I23)),VALUE(LEFT(I23,SEARCH(":",I23)-1))*60+VALUE(MID(I23,SEARCH(":",I23)+1,99)),VALUE(I23)))</f>
        <v/>
      </c>
      <c r="K23" s="30" t="inlineStr">
        <is>
          <t>01.10.26</t>
        </is>
      </c>
      <c r="L23" s="30" t="inlineStr">
        <is>
          <t>Updated through 2026 NZ Short Course Championships</t>
        </is>
      </c>
      <c r="M23" s="30" t="inlineStr">
        <is>
          <t>https://swimdadnz.github.io/NZSC_2026/NZSC_2026_meet_editorial_summary_final.html</t>
        </is>
      </c>
      <c r="N23" s="30" t="inlineStr">
        <is>
          <t>NO</t>
        </is>
      </c>
      <c r="O23" s="30" t="inlineStr">
        <is>
          <t>YES</t>
        </is>
      </c>
      <c r="P23" s="30" t="n"/>
      <c r="Q23" s="30" t="inlineStr">
        <is>
          <t>23.55</t>
        </is>
      </c>
      <c r="R23" s="22">
        <f>IF(Q23="","",IF(ISNUMBER(SEARCH(":",Q23)),VALUE(LEFT(Q23,SEARCH(":",Q23)-1))*60+VALUE(MID(Q23,SEARCH(":",Q23)+1,99)),VALUE(Q23)))</f>
        <v/>
      </c>
      <c r="S23" s="39">
        <f>IF(OR(J23="",R23=""),"",(R23-J23)/R23)</f>
        <v/>
      </c>
      <c r="T23" s="22">
        <f>IF(OR(P23&lt;&gt;"",N23="YES"),"YES","NO")</f>
        <v/>
      </c>
      <c r="U23" s="22">
        <f>IF(AND(O23="YES",T23="YES",S23&lt;&gt;""),COUNTIFS($C$5:$C$424,C23,$S$5:$S$424,"&gt;"&amp;S23)+COUNTIFS($C$5:C23,C23,$S$5:S23,S23),"")</f>
        <v/>
      </c>
      <c r="V23" s="22">
        <f>IF(U23="","",C23&amp;"|"&amp;U23)</f>
        <v/>
      </c>
      <c r="W23" s="30" t="inlineStr">
        <is>
          <t>NZSC 2026: same swimmer improved own record; next-fastest different-swimmer time retained from supplied dataset.</t>
        </is>
      </c>
      <c r="X23" s="30" t="inlineStr">
        <is>
          <t>Next-fastest time supplied in user workbook; swimmer name not yet supplied.</t>
        </is>
      </c>
    </row>
    <row r="24" ht="15" customHeight="1" s="17">
      <c r="A24" s="30" t="inlineStr">
        <is>
          <t>NZ|SCM|M|14|100 Free</t>
        </is>
      </c>
      <c r="B24" s="30" t="inlineStr">
        <is>
          <t>SCM</t>
        </is>
      </c>
      <c r="C24" s="30" t="inlineStr">
        <is>
          <t>Male</t>
        </is>
      </c>
      <c r="D24" s="30" t="n">
        <v>14</v>
      </c>
      <c r="E24" s="30" t="inlineStr">
        <is>
          <t>100 Free</t>
        </is>
      </c>
      <c r="F24" s="30" t="inlineStr">
        <is>
          <t>Grayson Coulter</t>
        </is>
      </c>
      <c r="G24" s="22" t="inlineStr">
        <is>
          <t>Grayson Coulter</t>
        </is>
      </c>
      <c r="H24" s="22" t="n"/>
      <c r="I24" s="30" t="inlineStr">
        <is>
          <t>50.06</t>
        </is>
      </c>
      <c r="J24" s="22">
        <f>IF(I24="","",IF(ISNUMBER(SEARCH(":",I24)),VALUE(LEFT(I24,SEARCH(":",I24)-1))*60+VALUE(MID(I24,SEARCH(":",I24)+1,99)),VALUE(I24)))</f>
        <v/>
      </c>
      <c r="K24" s="30" t="inlineStr">
        <is>
          <t>01.10.26</t>
        </is>
      </c>
      <c r="L24" s="30" t="inlineStr">
        <is>
          <t>Updated through 2026 NZ Short Course Championships</t>
        </is>
      </c>
      <c r="M24" s="30" t="inlineStr">
        <is>
          <t>https://swimdadnz.github.io/NZSC_2026/NZSC_2026_meet_editorial_summary_final.html</t>
        </is>
      </c>
      <c r="N24" s="30" t="inlineStr">
        <is>
          <t>NO</t>
        </is>
      </c>
      <c r="O24" s="30" t="inlineStr">
        <is>
          <t>YES</t>
        </is>
      </c>
      <c r="P24" s="30" t="n"/>
      <c r="Q24" s="30" t="inlineStr">
        <is>
          <t>51.42</t>
        </is>
      </c>
      <c r="R24" s="22">
        <f>IF(Q24="","",IF(ISNUMBER(SEARCH(":",Q24)),VALUE(LEFT(Q24,SEARCH(":",Q24)-1))*60+VALUE(MID(Q24,SEARCH(":",Q24)+1,99)),VALUE(Q24)))</f>
        <v/>
      </c>
      <c r="S24" s="39">
        <f>IF(OR(J24="",R24=""),"",(R24-J24)/R24)</f>
        <v/>
      </c>
      <c r="T24" s="22">
        <f>IF(OR(P24&lt;&gt;"",N24="YES"),"YES","NO")</f>
        <v/>
      </c>
      <c r="U24" s="22">
        <f>IF(AND(O24="YES",T24="YES",S24&lt;&gt;""),COUNTIFS($C$5:$C$424,C24,$S$5:$S$424,"&gt;"&amp;S24)+COUNTIFS($C$5:C24,C24,$S$5:S24,S24),"")</f>
        <v/>
      </c>
      <c r="V24" s="22">
        <f>IF(U24="","",C24&amp;"|"&amp;U24)</f>
        <v/>
      </c>
      <c r="W24" s="30" t="inlineStr">
        <is>
          <t>NZSC 2026: same swimmer improved own record; next-fastest different-swimmer time retained from supplied dataset.</t>
        </is>
      </c>
      <c r="X24" s="30" t="inlineStr">
        <is>
          <t>Next-fastest time supplied in user workbook; swimmer name not yet supplied.</t>
        </is>
      </c>
    </row>
    <row r="25" ht="15" customHeight="1" s="17">
      <c r="A25" s="30" t="inlineStr">
        <is>
          <t>NZ|SCM|M|14|200 Free</t>
        </is>
      </c>
      <c r="B25" s="30" t="inlineStr">
        <is>
          <t>SCM</t>
        </is>
      </c>
      <c r="C25" s="30" t="inlineStr">
        <is>
          <t>Male</t>
        </is>
      </c>
      <c r="D25" s="30" t="n">
        <v>14</v>
      </c>
      <c r="E25" s="30" t="inlineStr">
        <is>
          <t>200 Free</t>
        </is>
      </c>
      <c r="F25" s="30" t="inlineStr">
        <is>
          <t>Grayson Coulter</t>
        </is>
      </c>
      <c r="G25" s="22" t="inlineStr">
        <is>
          <t>Grayson Coulter</t>
        </is>
      </c>
      <c r="H25" s="22" t="n"/>
      <c r="I25" s="30" t="inlineStr">
        <is>
          <t>1:48.13</t>
        </is>
      </c>
      <c r="J25" s="22">
        <f>IF(I25="","",IF(ISNUMBER(SEARCH(":",I25)),VALUE(LEFT(I25,SEARCH(":",I25)-1))*60+VALUE(MID(I25,SEARCH(":",I25)+1,99)),VALUE(I25)))</f>
        <v/>
      </c>
      <c r="K25" s="30" t="inlineStr">
        <is>
          <t>30.09.26</t>
        </is>
      </c>
      <c r="L25" s="30" t="inlineStr">
        <is>
          <t>Updated through 2026 NZ Short Course Championships</t>
        </is>
      </c>
      <c r="M25" s="30" t="inlineStr">
        <is>
          <t>https://swimdadnz.github.io/NZSC_2026/NZSC_2026_meet_editorial_summary_final.html</t>
        </is>
      </c>
      <c r="N25" s="30" t="inlineStr">
        <is>
          <t>NO</t>
        </is>
      </c>
      <c r="O25" s="30" t="inlineStr">
        <is>
          <t>YES</t>
        </is>
      </c>
      <c r="P25" s="30" t="inlineStr">
        <is>
          <t>Leo English</t>
        </is>
      </c>
      <c r="Q25" s="30" t="inlineStr">
        <is>
          <t>1:52.58</t>
        </is>
      </c>
      <c r="R25" s="22">
        <f>IF(Q25="","",IF(ISNUMBER(SEARCH(":",Q25)),VALUE(LEFT(Q25,SEARCH(":",Q25)-1))*60+VALUE(MID(Q25,SEARCH(":",Q25)+1,99)),VALUE(Q25)))</f>
        <v/>
      </c>
      <c r="S25" s="39">
        <f>IF(OR(J25="",R25=""),"",(R25-J25)/R25)</f>
        <v/>
      </c>
      <c r="T25" s="22">
        <f>IF(OR(P25&lt;&gt;"",N25="YES"),"YES","NO")</f>
        <v/>
      </c>
      <c r="U25" s="22">
        <f>IF(AND(O25="YES",T25="YES",S25&lt;&gt;""),COUNTIFS($C$5:$C$424,C25,$S$5:$S$424,"&gt;"&amp;S25)+COUNTIFS($C$5:C25,C25,$S$5:S25,S25),"")</f>
        <v/>
      </c>
      <c r="V25" s="22">
        <f>IF(U25="","",C25&amp;"|"&amp;U25)</f>
        <v/>
      </c>
      <c r="W25" s="30" t="inlineStr">
        <is>
          <t>NZSC 2026: same swimmer improved own record; next-fastest different-swimmer time retained from supplied dataset.</t>
        </is>
      </c>
      <c r="X25" s="30" t="inlineStr">
        <is>
          <t>Next-fastest time supplied in user workbook; swimmer name not yet supplied.</t>
        </is>
      </c>
    </row>
    <row r="26" ht="15" customHeight="1" s="17">
      <c r="A26" s="30" t="inlineStr">
        <is>
          <t>NZ|SCM|M|14|400 Free</t>
        </is>
      </c>
      <c r="B26" s="30" t="inlineStr">
        <is>
          <t>SCM</t>
        </is>
      </c>
      <c r="C26" s="30" t="inlineStr">
        <is>
          <t>Male</t>
        </is>
      </c>
      <c r="D26" s="30" t="n">
        <v>14</v>
      </c>
      <c r="E26" s="30" t="inlineStr">
        <is>
          <t>400 Free</t>
        </is>
      </c>
      <c r="F26" s="30" t="inlineStr">
        <is>
          <t>Leo English</t>
        </is>
      </c>
      <c r="G26" s="22" t="inlineStr">
        <is>
          <t>Leo English</t>
        </is>
      </c>
      <c r="H26" s="22" t="n"/>
      <c r="I26" s="30" t="inlineStr">
        <is>
          <t>3:57.62</t>
        </is>
      </c>
      <c r="J26" s="22">
        <f>IF(I26="","",IF(ISNUMBER(SEARCH(":",I26)),VALUE(LEFT(I26,SEARCH(":",I26)-1))*60+VALUE(MID(I26,SEARCH(":",I26)+1,99)),VALUE(I26)))</f>
        <v/>
      </c>
      <c r="K26" s="30" t="inlineStr">
        <is>
          <t>25.02.24</t>
        </is>
      </c>
      <c r="L26" s="30" t="inlineStr">
        <is>
          <t>Swimming New Zealand Short Course Records by Age - user-supplied PDF</t>
        </is>
      </c>
      <c r="M26" s="30" t="n"/>
      <c r="N26" s="30" t="inlineStr">
        <is>
          <t>NO</t>
        </is>
      </c>
      <c r="O26" s="30" t="inlineStr">
        <is>
          <t>YES</t>
        </is>
      </c>
      <c r="P26" s="30" t="n"/>
      <c r="Q26" s="30" t="inlineStr">
        <is>
          <t>3:59.92</t>
        </is>
      </c>
      <c r="R26" s="22">
        <f>IF(Q26="","",IF(ISNUMBER(SEARCH(":",Q26)),VALUE(LEFT(Q26,SEARCH(":",Q26)-1))*60+VALUE(MID(Q26,SEARCH(":",Q26)+1,99)),VALUE(Q26)))</f>
        <v/>
      </c>
      <c r="S26" s="39">
        <f>IF(OR(J26="",R26=""),"",(R26-J26)/R26)</f>
        <v/>
      </c>
      <c r="T26" s="22">
        <f>IF(OR(P26&lt;&gt;"",N26="YES"),"YES","NO")</f>
        <v/>
      </c>
      <c r="U26" s="22">
        <f>IF(AND(O26="YES",T26="YES",S26&lt;&gt;""),COUNTIFS($C$5:$C$424,C26,$S$5:$S$424,"&gt;"&amp;S26)+COUNTIFS($C$5:C26,C26,$S$5:S26,S26),"")</f>
        <v/>
      </c>
      <c r="V26" s="22">
        <f>IF(U26="","",C26&amp;"|"&amp;U26)</f>
        <v/>
      </c>
      <c r="W26" s="30" t="n"/>
      <c r="X26" s="30" t="inlineStr">
        <is>
          <t>Next-fastest time supplied in user workbook; swimmer name not yet supplied.</t>
        </is>
      </c>
    </row>
    <row r="27" ht="15" customHeight="1" s="17">
      <c r="A27" s="30" t="inlineStr">
        <is>
          <t>NZ|SCM|M|14|800 Free</t>
        </is>
      </c>
      <c r="B27" s="30" t="inlineStr">
        <is>
          <t>SCM</t>
        </is>
      </c>
      <c r="C27" s="30" t="inlineStr">
        <is>
          <t>Male</t>
        </is>
      </c>
      <c r="D27" s="30" t="n">
        <v>14</v>
      </c>
      <c r="E27" s="30" t="inlineStr">
        <is>
          <t>800 Free</t>
        </is>
      </c>
      <c r="F27" s="30" t="inlineStr">
        <is>
          <t>Cameron Burrows</t>
        </is>
      </c>
      <c r="G27" s="22" t="inlineStr">
        <is>
          <t>Cameron Burrows</t>
        </is>
      </c>
      <c r="H27" s="22" t="n"/>
      <c r="I27" s="30" t="inlineStr">
        <is>
          <t>8:19.31</t>
        </is>
      </c>
      <c r="J27" s="22">
        <f>IF(I27="","",IF(ISNUMBER(SEARCH(":",I27)),VALUE(LEFT(I27,SEARCH(":",I27)-1))*60+VALUE(MID(I27,SEARCH(":",I27)+1,99)),VALUE(I27)))</f>
        <v/>
      </c>
      <c r="K27" s="30" t="inlineStr">
        <is>
          <t>10.06.06</t>
        </is>
      </c>
      <c r="L27" s="30" t="inlineStr">
        <is>
          <t>Swimming New Zealand Short Course Records by Age - user-supplied PDF</t>
        </is>
      </c>
      <c r="M27" s="30" t="n"/>
      <c r="N27" s="30" t="inlineStr">
        <is>
          <t>NO</t>
        </is>
      </c>
      <c r="O27" s="30" t="inlineStr">
        <is>
          <t>YES</t>
        </is>
      </c>
      <c r="P27" s="30" t="n"/>
      <c r="Q27" s="30" t="inlineStr">
        <is>
          <t>8:21.35</t>
        </is>
      </c>
      <c r="R27" s="22">
        <f>IF(Q27="","",IF(ISNUMBER(SEARCH(":",Q27)),VALUE(LEFT(Q27,SEARCH(":",Q27)-1))*60+VALUE(MID(Q27,SEARCH(":",Q27)+1,99)),VALUE(Q27)))</f>
        <v/>
      </c>
      <c r="S27" s="39">
        <f>IF(OR(J27="",R27=""),"",(R27-J27)/R27)</f>
        <v/>
      </c>
      <c r="T27" s="22">
        <f>IF(OR(P27&lt;&gt;"",N27="YES"),"YES","NO")</f>
        <v/>
      </c>
      <c r="U27" s="22">
        <f>IF(AND(O27="YES",T27="YES",S27&lt;&gt;""),COUNTIFS($C$5:$C$424,C27,$S$5:$S$424,"&gt;"&amp;S27)+COUNTIFS($C$5:C27,C27,$S$5:S27,S27),"")</f>
        <v/>
      </c>
      <c r="V27" s="22">
        <f>IF(U27="","",C27&amp;"|"&amp;U27)</f>
        <v/>
      </c>
      <c r="W27" s="30" t="n"/>
      <c r="X27" s="30" t="inlineStr">
        <is>
          <t>Next-fastest time supplied in user workbook; swimmer name not yet supplied.</t>
        </is>
      </c>
    </row>
    <row r="28" ht="15" customHeight="1" s="17">
      <c r="A28" s="30" t="inlineStr">
        <is>
          <t>NZ|SCM|M|14|1500 Free</t>
        </is>
      </c>
      <c r="B28" s="30" t="inlineStr">
        <is>
          <t>SCM</t>
        </is>
      </c>
      <c r="C28" s="30" t="inlineStr">
        <is>
          <t>Male</t>
        </is>
      </c>
      <c r="D28" s="30" t="n">
        <v>14</v>
      </c>
      <c r="E28" s="30" t="inlineStr">
        <is>
          <t>1500 Free</t>
        </is>
      </c>
      <c r="F28" s="30" t="inlineStr">
        <is>
          <t>Michael Mincham</t>
        </is>
      </c>
      <c r="G28" s="22" t="inlineStr">
        <is>
          <t>Michael Mincham</t>
        </is>
      </c>
      <c r="H28" s="22" t="n"/>
      <c r="I28" s="30" t="inlineStr">
        <is>
          <t>15:38.51</t>
        </is>
      </c>
      <c r="J28" s="22">
        <f>IF(I28="","",IF(ISNUMBER(SEARCH(":",I28)),VALUE(LEFT(I28,SEARCH(":",I28)-1))*60+VALUE(MID(I28,SEARCH(":",I28)+1,99)),VALUE(I28)))</f>
        <v/>
      </c>
      <c r="K28" s="30" t="inlineStr">
        <is>
          <t>13.11.10</t>
        </is>
      </c>
      <c r="L28" s="30" t="inlineStr">
        <is>
          <t>Swimming New Zealand Short Course Records by Age - user-supplied PDF</t>
        </is>
      </c>
      <c r="M28" s="30" t="n"/>
      <c r="N28" s="30" t="inlineStr">
        <is>
          <t>NO</t>
        </is>
      </c>
      <c r="O28" s="30" t="inlineStr">
        <is>
          <t>YES</t>
        </is>
      </c>
      <c r="P28" s="30" t="n"/>
      <c r="Q28" s="30" t="inlineStr">
        <is>
          <t>15:47.26</t>
        </is>
      </c>
      <c r="R28" s="22">
        <f>IF(Q28="","",IF(ISNUMBER(SEARCH(":",Q28)),VALUE(LEFT(Q28,SEARCH(":",Q28)-1))*60+VALUE(MID(Q28,SEARCH(":",Q28)+1,99)),VALUE(Q28)))</f>
        <v/>
      </c>
      <c r="S28" s="39">
        <f>IF(OR(J28="",R28=""),"",(R28-J28)/R28)</f>
        <v/>
      </c>
      <c r="T28" s="22">
        <f>IF(OR(P28&lt;&gt;"",N28="YES"),"YES","NO")</f>
        <v/>
      </c>
      <c r="U28" s="22">
        <f>IF(AND(O28="YES",T28="YES",S28&lt;&gt;""),COUNTIFS($C$5:$C$424,C28,$S$5:$S$424,"&gt;"&amp;S28)+COUNTIFS($C$5:C28,C28,$S$5:S28,S28),"")</f>
        <v/>
      </c>
      <c r="V28" s="22">
        <f>IF(U28="","",C28&amp;"|"&amp;U28)</f>
        <v/>
      </c>
      <c r="W28" s="30" t="n"/>
      <c r="X28" s="30" t="inlineStr">
        <is>
          <t>Next-fastest time supplied in user workbook; swimmer name not yet supplied.</t>
        </is>
      </c>
    </row>
    <row r="29" ht="15" customHeight="1" s="17">
      <c r="A29" s="30" t="inlineStr">
        <is>
          <t>NZ|SCM|M|14|50 Back</t>
        </is>
      </c>
      <c r="B29" s="30" t="inlineStr">
        <is>
          <t>SCM</t>
        </is>
      </c>
      <c r="C29" s="30" t="inlineStr">
        <is>
          <t>Male</t>
        </is>
      </c>
      <c r="D29" s="30" t="n">
        <v>14</v>
      </c>
      <c r="E29" s="30" t="inlineStr">
        <is>
          <t>50 Back</t>
        </is>
      </c>
      <c r="F29" s="30" t="inlineStr">
        <is>
          <t>Donald Tian</t>
        </is>
      </c>
      <c r="G29" s="22" t="inlineStr">
        <is>
          <t>Donald Tian</t>
        </is>
      </c>
      <c r="H29" s="22" t="n"/>
      <c r="I29" s="30" t="inlineStr">
        <is>
          <t>26.20</t>
        </is>
      </c>
      <c r="J29" s="22">
        <f>IF(I29="","",IF(ISNUMBER(SEARCH(":",I29)),VALUE(LEFT(I29,SEARCH(":",I29)-1))*60+VALUE(MID(I29,SEARCH(":",I29)+1,99)),VALUE(I29)))</f>
        <v/>
      </c>
      <c r="K29" s="30" t="inlineStr">
        <is>
          <t>23.08.24</t>
        </is>
      </c>
      <c r="L29" s="30" t="inlineStr">
        <is>
          <t>Swimming New Zealand Short Course Records by Age - user-supplied PDF</t>
        </is>
      </c>
      <c r="M29" s="30" t="n"/>
      <c r="N29" s="30" t="inlineStr">
        <is>
          <t>NO</t>
        </is>
      </c>
      <c r="O29" s="30" t="inlineStr">
        <is>
          <t>YES</t>
        </is>
      </c>
      <c r="P29" s="30" t="n"/>
      <c r="Q29" s="30" t="inlineStr">
        <is>
          <t>26.44</t>
        </is>
      </c>
      <c r="R29" s="22">
        <f>IF(Q29="","",IF(ISNUMBER(SEARCH(":",Q29)),VALUE(LEFT(Q29,SEARCH(":",Q29)-1))*60+VALUE(MID(Q29,SEARCH(":",Q29)+1,99)),VALUE(Q29)))</f>
        <v/>
      </c>
      <c r="S29" s="39">
        <f>IF(OR(J29="",R29=""),"",(R29-J29)/R29)</f>
        <v/>
      </c>
      <c r="T29" s="22">
        <f>IF(OR(P29&lt;&gt;"",N29="YES"),"YES","NO")</f>
        <v/>
      </c>
      <c r="U29" s="22">
        <f>IF(AND(O29="YES",T29="YES",S29&lt;&gt;""),COUNTIFS($C$5:$C$424,C29,$S$5:$S$424,"&gt;"&amp;S29)+COUNTIFS($C$5:C29,C29,$S$5:S29,S29),"")</f>
        <v/>
      </c>
      <c r="V29" s="22">
        <f>IF(U29="","",C29&amp;"|"&amp;U29)</f>
        <v/>
      </c>
      <c r="W29" s="30" t="n"/>
      <c r="X29" s="30" t="inlineStr">
        <is>
          <t>Next-fastest time supplied in user workbook; swimmer name not yet supplied.</t>
        </is>
      </c>
    </row>
    <row r="30" ht="15" customHeight="1" s="17">
      <c r="A30" s="30" t="inlineStr">
        <is>
          <t>NZ|SCM|M|14|100 Back</t>
        </is>
      </c>
      <c r="B30" s="30" t="inlineStr">
        <is>
          <t>SCM</t>
        </is>
      </c>
      <c r="C30" s="30" t="inlineStr">
        <is>
          <t>Male</t>
        </is>
      </c>
      <c r="D30" s="30" t="n">
        <v>14</v>
      </c>
      <c r="E30" s="30" t="inlineStr">
        <is>
          <t>100 Back</t>
        </is>
      </c>
      <c r="F30" s="30" t="inlineStr">
        <is>
          <t>Corey Main</t>
        </is>
      </c>
      <c r="G30" s="22" t="inlineStr">
        <is>
          <t>Corey Main</t>
        </is>
      </c>
      <c r="H30" s="22" t="n"/>
      <c r="I30" s="30" t="inlineStr">
        <is>
          <t>56.48</t>
        </is>
      </c>
      <c r="J30" s="22">
        <f>IF(I30="","",IF(ISNUMBER(SEARCH(":",I30)),VALUE(LEFT(I30,SEARCH(":",I30)-1))*60+VALUE(MID(I30,SEARCH(":",I30)+1,99)),VALUE(I30)))</f>
        <v/>
      </c>
      <c r="K30" s="30" t="inlineStr">
        <is>
          <t>27.09.09</t>
        </is>
      </c>
      <c r="L30" s="30" t="inlineStr">
        <is>
          <t>Swimming New Zealand Short Course Records by Age - user-supplied PDF</t>
        </is>
      </c>
      <c r="M30" s="30" t="n"/>
      <c r="N30" s="30" t="inlineStr">
        <is>
          <t>NO</t>
        </is>
      </c>
      <c r="O30" s="30" t="inlineStr">
        <is>
          <t>YES</t>
        </is>
      </c>
      <c r="P30" s="30" t="n"/>
      <c r="Q30" s="30" t="inlineStr">
        <is>
          <t>56.57</t>
        </is>
      </c>
      <c r="R30" s="22">
        <f>IF(Q30="","",IF(ISNUMBER(SEARCH(":",Q30)),VALUE(LEFT(Q30,SEARCH(":",Q30)-1))*60+VALUE(MID(Q30,SEARCH(":",Q30)+1,99)),VALUE(Q30)))</f>
        <v/>
      </c>
      <c r="S30" s="39">
        <f>IF(OR(J30="",R30=""),"",(R30-J30)/R30)</f>
        <v/>
      </c>
      <c r="T30" s="22">
        <f>IF(OR(P30&lt;&gt;"",N30="YES"),"YES","NO")</f>
        <v/>
      </c>
      <c r="U30" s="22">
        <f>IF(AND(O30="YES",T30="YES",S30&lt;&gt;""),COUNTIFS($C$5:$C$424,C30,$S$5:$S$424,"&gt;"&amp;S30)+COUNTIFS($C$5:C30,C30,$S$5:S30,S30),"")</f>
        <v/>
      </c>
      <c r="V30" s="22">
        <f>IF(U30="","",C30&amp;"|"&amp;U30)</f>
        <v/>
      </c>
      <c r="W30" s="30" t="n"/>
      <c r="X30" s="30" t="inlineStr">
        <is>
          <t>Next-fastest time supplied in user workbook; swimmer name not yet supplied.</t>
        </is>
      </c>
    </row>
    <row r="31" ht="15" customHeight="1" s="17">
      <c r="A31" s="30" t="inlineStr">
        <is>
          <t>NZ|SCM|M|14|200 Back</t>
        </is>
      </c>
      <c r="B31" s="30" t="inlineStr">
        <is>
          <t>SCM</t>
        </is>
      </c>
      <c r="C31" s="30" t="inlineStr">
        <is>
          <t>Male</t>
        </is>
      </c>
      <c r="D31" s="30" t="n">
        <v>14</v>
      </c>
      <c r="E31" s="30" t="inlineStr">
        <is>
          <t>200 Back</t>
        </is>
      </c>
      <c r="F31" s="30" t="inlineStr">
        <is>
          <t>Corey Main</t>
        </is>
      </c>
      <c r="G31" s="22" t="inlineStr">
        <is>
          <t>Corey Main</t>
        </is>
      </c>
      <c r="H31" s="22" t="n"/>
      <c r="I31" s="30" t="inlineStr">
        <is>
          <t>2:00.71</t>
        </is>
      </c>
      <c r="J31" s="22">
        <f>IF(I31="","",IF(ISNUMBER(SEARCH(":",I31)),VALUE(LEFT(I31,SEARCH(":",I31)-1))*60+VALUE(MID(I31,SEARCH(":",I31)+1,99)),VALUE(I31)))</f>
        <v/>
      </c>
      <c r="K31" s="30" t="inlineStr">
        <is>
          <t>28.09.09</t>
        </is>
      </c>
      <c r="L31" s="30" t="inlineStr">
        <is>
          <t>Swimming New Zealand Short Course Records by Age - user-supplied PDF</t>
        </is>
      </c>
      <c r="M31" s="30" t="n"/>
      <c r="N31" s="30" t="inlineStr">
        <is>
          <t>NO</t>
        </is>
      </c>
      <c r="O31" s="30" t="inlineStr">
        <is>
          <t>YES</t>
        </is>
      </c>
      <c r="P31" s="30" t="n"/>
      <c r="Q31" s="30" t="inlineStr">
        <is>
          <t>2:03.18</t>
        </is>
      </c>
      <c r="R31" s="22">
        <f>IF(Q31="","",IF(ISNUMBER(SEARCH(":",Q31)),VALUE(LEFT(Q31,SEARCH(":",Q31)-1))*60+VALUE(MID(Q31,SEARCH(":",Q31)+1,99)),VALUE(Q31)))</f>
        <v/>
      </c>
      <c r="S31" s="39">
        <f>IF(OR(J31="",R31=""),"",(R31-J31)/R31)</f>
        <v/>
      </c>
      <c r="T31" s="22">
        <f>IF(OR(P31&lt;&gt;"",N31="YES"),"YES","NO")</f>
        <v/>
      </c>
      <c r="U31" s="22">
        <f>IF(AND(O31="YES",T31="YES",S31&lt;&gt;""),COUNTIFS($C$5:$C$424,C31,$S$5:$S$424,"&gt;"&amp;S31)+COUNTIFS($C$5:C31,C31,$S$5:S31,S31),"")</f>
        <v/>
      </c>
      <c r="V31" s="22">
        <f>IF(U31="","",C31&amp;"|"&amp;U31)</f>
        <v/>
      </c>
      <c r="W31" s="30" t="n"/>
      <c r="X31" s="30" t="inlineStr">
        <is>
          <t>Next-fastest time supplied in user workbook; swimmer name not yet supplied.</t>
        </is>
      </c>
    </row>
    <row r="32" ht="15" customHeight="1" s="17">
      <c r="A32" s="30" t="inlineStr">
        <is>
          <t>NZ|SCM|M|14|50 Breast</t>
        </is>
      </c>
      <c r="B32" s="30" t="inlineStr">
        <is>
          <t>SCM</t>
        </is>
      </c>
      <c r="C32" s="30" t="inlineStr">
        <is>
          <t>Male</t>
        </is>
      </c>
      <c r="D32" s="30" t="n">
        <v>14</v>
      </c>
      <c r="E32" s="30" t="inlineStr">
        <is>
          <t>50 Breast</t>
        </is>
      </c>
      <c r="F32" s="30" t="inlineStr">
        <is>
          <t>Jeffrey Arona-Tuifana'e</t>
        </is>
      </c>
      <c r="G32" s="22" t="inlineStr">
        <is>
          <t>Jeffrey Arona-Tuifana'e</t>
        </is>
      </c>
      <c r="H32" s="22" t="n"/>
      <c r="I32" s="30" t="inlineStr">
        <is>
          <t>29.54</t>
        </is>
      </c>
      <c r="J32" s="22">
        <f>IF(I32="","",IF(ISNUMBER(SEARCH(":",I32)),VALUE(LEFT(I32,SEARCH(":",I32)-1))*60+VALUE(MID(I32,SEARCH(":",I32)+1,99)),VALUE(I32)))</f>
        <v/>
      </c>
      <c r="K32" s="30" t="inlineStr">
        <is>
          <t>06.07.09</t>
        </is>
      </c>
      <c r="L32" s="30" t="inlineStr">
        <is>
          <t>Swimming New Zealand Short Course Records by Age - user-supplied PDF</t>
        </is>
      </c>
      <c r="M32" s="30" t="n"/>
      <c r="N32" s="30" t="inlineStr">
        <is>
          <t>NO</t>
        </is>
      </c>
      <c r="O32" s="30" t="inlineStr">
        <is>
          <t>YES</t>
        </is>
      </c>
      <c r="P32" s="30" t="n"/>
      <c r="Q32" s="30" t="inlineStr">
        <is>
          <t>29.60</t>
        </is>
      </c>
      <c r="R32" s="22">
        <f>IF(Q32="","",IF(ISNUMBER(SEARCH(":",Q32)),VALUE(LEFT(Q32,SEARCH(":",Q32)-1))*60+VALUE(MID(Q32,SEARCH(":",Q32)+1,99)),VALUE(Q32)))</f>
        <v/>
      </c>
      <c r="S32" s="39">
        <f>IF(OR(J32="",R32=""),"",(R32-J32)/R32)</f>
        <v/>
      </c>
      <c r="T32" s="22">
        <f>IF(OR(P32&lt;&gt;"",N32="YES"),"YES","NO")</f>
        <v/>
      </c>
      <c r="U32" s="22">
        <f>IF(AND(O32="YES",T32="YES",S32&lt;&gt;""),COUNTIFS($C$5:$C$424,C32,$S$5:$S$424,"&gt;"&amp;S32)+COUNTIFS($C$5:C32,C32,$S$5:S32,S32),"")</f>
        <v/>
      </c>
      <c r="V32" s="22">
        <f>IF(U32="","",C32&amp;"|"&amp;U32)</f>
        <v/>
      </c>
      <c r="W32" s="30" t="n"/>
      <c r="X32" s="30" t="inlineStr">
        <is>
          <t>Next-fastest time supplied in user workbook; swimmer name not yet supplied.</t>
        </is>
      </c>
    </row>
    <row r="33" ht="15" customHeight="1" s="17">
      <c r="A33" s="30" t="inlineStr">
        <is>
          <t>NZ|SCM|M|14|100 Breast</t>
        </is>
      </c>
      <c r="B33" s="30" t="inlineStr">
        <is>
          <t>SCM</t>
        </is>
      </c>
      <c r="C33" s="30" t="inlineStr">
        <is>
          <t>Male</t>
        </is>
      </c>
      <c r="D33" s="30" t="n">
        <v>14</v>
      </c>
      <c r="E33" s="30" t="inlineStr">
        <is>
          <t>100 Breast</t>
        </is>
      </c>
      <c r="F33" s="30" t="inlineStr">
        <is>
          <t>Cameron Karpik</t>
        </is>
      </c>
      <c r="G33" s="22" t="inlineStr">
        <is>
          <t>Cameron Karpik</t>
        </is>
      </c>
      <c r="H33" s="22" t="n"/>
      <c r="I33" s="30" t="inlineStr">
        <is>
          <t>1:04.11</t>
        </is>
      </c>
      <c r="J33" s="22">
        <f>IF(I33="","",IF(ISNUMBER(SEARCH(":",I33)),VALUE(LEFT(I33,SEARCH(":",I33)-1))*60+VALUE(MID(I33,SEARCH(":",I33)+1,99)),VALUE(I33)))</f>
        <v/>
      </c>
      <c r="K33" s="30" t="inlineStr">
        <is>
          <t>11.08.23</t>
        </is>
      </c>
      <c r="L33" s="30" t="inlineStr">
        <is>
          <t>Swimming New Zealand Short Course Records by Age - user-supplied PDF</t>
        </is>
      </c>
      <c r="M33" s="30" t="n"/>
      <c r="N33" s="30" t="inlineStr">
        <is>
          <t>NO</t>
        </is>
      </c>
      <c r="O33" s="30" t="inlineStr">
        <is>
          <t>YES</t>
        </is>
      </c>
      <c r="P33" s="30" t="n"/>
      <c r="Q33" s="30" t="inlineStr">
        <is>
          <t>1:04.92</t>
        </is>
      </c>
      <c r="R33" s="22">
        <f>IF(Q33="","",IF(ISNUMBER(SEARCH(":",Q33)),VALUE(LEFT(Q33,SEARCH(":",Q33)-1))*60+VALUE(MID(Q33,SEARCH(":",Q33)+1,99)),VALUE(Q33)))</f>
        <v/>
      </c>
      <c r="S33" s="39">
        <f>IF(OR(J33="",R33=""),"",(R33-J33)/R33)</f>
        <v/>
      </c>
      <c r="T33" s="22">
        <f>IF(OR(P33&lt;&gt;"",N33="YES"),"YES","NO")</f>
        <v/>
      </c>
      <c r="U33" s="22">
        <f>IF(AND(O33="YES",T33="YES",S33&lt;&gt;""),COUNTIFS($C$5:$C$424,C33,$S$5:$S$424,"&gt;"&amp;S33)+COUNTIFS($C$5:C33,C33,$S$5:S33,S33),"")</f>
        <v/>
      </c>
      <c r="V33" s="22">
        <f>IF(U33="","",C33&amp;"|"&amp;U33)</f>
        <v/>
      </c>
      <c r="W33" s="30" t="n"/>
      <c r="X33" s="30" t="inlineStr">
        <is>
          <t>Next-fastest time supplied in user workbook; swimmer name not yet supplied.</t>
        </is>
      </c>
    </row>
    <row r="34" ht="15" customHeight="1" s="17">
      <c r="A34" s="30" t="inlineStr">
        <is>
          <t>NZ|SCM|M|14|200 Breast</t>
        </is>
      </c>
      <c r="B34" s="30" t="inlineStr">
        <is>
          <t>SCM</t>
        </is>
      </c>
      <c r="C34" s="30" t="inlineStr">
        <is>
          <t>Male</t>
        </is>
      </c>
      <c r="D34" s="30" t="n">
        <v>14</v>
      </c>
      <c r="E34" s="30" t="inlineStr">
        <is>
          <t>200 Breast</t>
        </is>
      </c>
      <c r="F34" s="30" t="inlineStr">
        <is>
          <t>Cameron Karpik</t>
        </is>
      </c>
      <c r="G34" s="22" t="inlineStr">
        <is>
          <t>Cameron Karpik</t>
        </is>
      </c>
      <c r="H34" s="22" t="n"/>
      <c r="I34" s="30" t="inlineStr">
        <is>
          <t>2:20.58</t>
        </is>
      </c>
      <c r="J34" s="22">
        <f>IF(I34="","",IF(ISNUMBER(SEARCH(":",I34)),VALUE(LEFT(I34,SEARCH(":",I34)-1))*60+VALUE(MID(I34,SEARCH(":",I34)+1,99)),VALUE(I34)))</f>
        <v/>
      </c>
      <c r="K34" s="30" t="inlineStr">
        <is>
          <t>08.08.23</t>
        </is>
      </c>
      <c r="L34" s="30" t="inlineStr">
        <is>
          <t>Swimming New Zealand Short Course Records by Age - user-supplied PDF</t>
        </is>
      </c>
      <c r="M34" s="30" t="n"/>
      <c r="N34" s="30" t="inlineStr">
        <is>
          <t>NO</t>
        </is>
      </c>
      <c r="O34" s="30" t="inlineStr">
        <is>
          <t>YES</t>
        </is>
      </c>
      <c r="P34" s="30" t="n"/>
      <c r="Q34" s="30" t="inlineStr">
        <is>
          <t>2:20.67</t>
        </is>
      </c>
      <c r="R34" s="22">
        <f>IF(Q34="","",IF(ISNUMBER(SEARCH(":",Q34)),VALUE(LEFT(Q34,SEARCH(":",Q34)-1))*60+VALUE(MID(Q34,SEARCH(":",Q34)+1,99)),VALUE(Q34)))</f>
        <v/>
      </c>
      <c r="S34" s="39">
        <f>IF(OR(J34="",R34=""),"",(R34-J34)/R34)</f>
        <v/>
      </c>
      <c r="T34" s="22">
        <f>IF(OR(P34&lt;&gt;"",N34="YES"),"YES","NO")</f>
        <v/>
      </c>
      <c r="U34" s="22">
        <f>IF(AND(O34="YES",T34="YES",S34&lt;&gt;""),COUNTIFS($C$5:$C$424,C34,$S$5:$S$424,"&gt;"&amp;S34)+COUNTIFS($C$5:C34,C34,$S$5:S34,S34),"")</f>
        <v/>
      </c>
      <c r="V34" s="22">
        <f>IF(U34="","",C34&amp;"|"&amp;U34)</f>
        <v/>
      </c>
      <c r="W34" s="30" t="n"/>
      <c r="X34" s="30" t="inlineStr">
        <is>
          <t>Next-fastest time supplied in user workbook; swimmer name not yet supplied.</t>
        </is>
      </c>
    </row>
    <row r="35" ht="15" customHeight="1" s="17">
      <c r="A35" s="30" t="inlineStr">
        <is>
          <t>NZ|SCM|M|14|50 Fly</t>
        </is>
      </c>
      <c r="B35" s="30" t="inlineStr">
        <is>
          <t>SCM</t>
        </is>
      </c>
      <c r="C35" s="30" t="inlineStr">
        <is>
          <t>Male</t>
        </is>
      </c>
      <c r="D35" s="30" t="n">
        <v>14</v>
      </c>
      <c r="E35" s="30" t="inlineStr">
        <is>
          <t>50 Fly</t>
        </is>
      </c>
      <c r="F35" s="30" t="inlineStr">
        <is>
          <t>Grayson Coulter</t>
        </is>
      </c>
      <c r="G35" s="22" t="inlineStr">
        <is>
          <t>Grayson Coulter</t>
        </is>
      </c>
      <c r="H35" s="22" t="n"/>
      <c r="I35" s="30" t="inlineStr">
        <is>
          <t>25.06</t>
        </is>
      </c>
      <c r="J35" s="22">
        <f>IF(I35="","",IF(ISNUMBER(SEARCH(":",I35)),VALUE(LEFT(I35,SEARCH(":",I35)-1))*60+VALUE(MID(I35,SEARCH(":",I35)+1,99)),VALUE(I35)))</f>
        <v/>
      </c>
      <c r="K35" s="30" t="inlineStr">
        <is>
          <t>28.09.26</t>
        </is>
      </c>
      <c r="L35" s="30" t="inlineStr">
        <is>
          <t>Updated through 2026 NZ Short Course Championships</t>
        </is>
      </c>
      <c r="M35" s="30" t="inlineStr">
        <is>
          <t>https://swimdadnz.github.io/NZSC_2026/NZSC_2026_meet_editorial_summary_final.html</t>
        </is>
      </c>
      <c r="N35" s="30" t="inlineStr">
        <is>
          <t>NO</t>
        </is>
      </c>
      <c r="O35" s="30" t="inlineStr">
        <is>
          <t>YES</t>
        </is>
      </c>
      <c r="P35" s="30" t="inlineStr">
        <is>
          <t>Kento Wangford</t>
        </is>
      </c>
      <c r="Q35" s="30" t="inlineStr">
        <is>
          <t>25.60</t>
        </is>
      </c>
      <c r="R35" s="22">
        <f>IF(Q35="","",IF(ISNUMBER(SEARCH(":",Q35)),VALUE(LEFT(Q35,SEARCH(":",Q35)-1))*60+VALUE(MID(Q35,SEARCH(":",Q35)+1,99)),VALUE(Q35)))</f>
        <v/>
      </c>
      <c r="S35" s="39">
        <f>IF(OR(J35="",R35=""),"",(R35-J35)/R35)</f>
        <v/>
      </c>
      <c r="T35" s="22">
        <f>IF(OR(P35&lt;&gt;"",N35="YES"),"YES","NO")</f>
        <v/>
      </c>
      <c r="U35" s="22">
        <f>IF(AND(O35="YES",T35="YES",S35&lt;&gt;""),COUNTIFS($C$5:$C$424,C35,$S$5:$S$424,"&gt;"&amp;S35)+COUNTIFS($C$5:C35,C35,$S$5:S35,S35),"")</f>
        <v/>
      </c>
      <c r="V35" s="22">
        <f>IF(U35="","",C35&amp;"|"&amp;U35)</f>
        <v/>
      </c>
      <c r="W35" s="30" t="inlineStr">
        <is>
          <t>NZSC 2026 update: Kento Wangford 25.60 became next-fastest.</t>
        </is>
      </c>
      <c r="X35" s="30" t="inlineStr">
        <is>
          <t>Auto-set from displaced NZ record after NZSC 2026.</t>
        </is>
      </c>
    </row>
    <row r="36" ht="15" customHeight="1" s="17">
      <c r="A36" s="30" t="inlineStr">
        <is>
          <t>NZ|SCM|M|14|100 Fly</t>
        </is>
      </c>
      <c r="B36" s="30" t="inlineStr">
        <is>
          <t>SCM</t>
        </is>
      </c>
      <c r="C36" s="30" t="inlineStr">
        <is>
          <t>Male</t>
        </is>
      </c>
      <c r="D36" s="30" t="n">
        <v>14</v>
      </c>
      <c r="E36" s="30" t="inlineStr">
        <is>
          <t>100 Fly</t>
        </is>
      </c>
      <c r="F36" s="30" t="inlineStr">
        <is>
          <t>Grayson Coulter</t>
        </is>
      </c>
      <c r="G36" s="22" t="inlineStr">
        <is>
          <t>Grayson Coulter</t>
        </is>
      </c>
      <c r="H36" s="22" t="n"/>
      <c r="I36" s="30" t="inlineStr">
        <is>
          <t>54.92</t>
        </is>
      </c>
      <c r="J36" s="22">
        <f>IF(I36="","",IF(ISNUMBER(SEARCH(":",I36)),VALUE(LEFT(I36,SEARCH(":",I36)-1))*60+VALUE(MID(I36,SEARCH(":",I36)+1,99)),VALUE(I36)))</f>
        <v/>
      </c>
      <c r="K36" s="30" t="inlineStr">
        <is>
          <t>29.09.26</t>
        </is>
      </c>
      <c r="L36" s="30" t="inlineStr">
        <is>
          <t>Updated through 2026 NZ Short Course Championships</t>
        </is>
      </c>
      <c r="M36" s="30" t="inlineStr">
        <is>
          <t>https://swimdadnz.github.io/NZSC_2026/NZSC_2026_meet_editorial_summary_final.html</t>
        </is>
      </c>
      <c r="N36" s="30" t="inlineStr">
        <is>
          <t>NO</t>
        </is>
      </c>
      <c r="O36" s="30" t="inlineStr">
        <is>
          <t>YES</t>
        </is>
      </c>
      <c r="P36" s="30" t="inlineStr">
        <is>
          <t>Jacob Humphries</t>
        </is>
      </c>
      <c r="Q36" s="30" t="inlineStr">
        <is>
          <t>57.22</t>
        </is>
      </c>
      <c r="R36" s="22">
        <f>IF(Q36="","",IF(ISNUMBER(SEARCH(":",Q36)),VALUE(LEFT(Q36,SEARCH(":",Q36)-1))*60+VALUE(MID(Q36,SEARCH(":",Q36)+1,99)),VALUE(Q36)))</f>
        <v/>
      </c>
      <c r="S36" s="39">
        <f>IF(OR(J36="",R36=""),"",(R36-J36)/R36)</f>
        <v/>
      </c>
      <c r="T36" s="22">
        <f>IF(OR(P36&lt;&gt;"",N36="YES"),"YES","NO")</f>
        <v/>
      </c>
      <c r="U36" s="22">
        <f>IF(AND(O36="YES",T36="YES",S36&lt;&gt;""),COUNTIFS($C$5:$C$424,C36,$S$5:$S$424,"&gt;"&amp;S36)+COUNTIFS($C$5:C36,C36,$S$5:S36,S36),"")</f>
        <v/>
      </c>
      <c r="V36" s="22">
        <f>IF(U36="","",C36&amp;"|"&amp;U36)</f>
        <v/>
      </c>
      <c r="W36" s="30" t="inlineStr">
        <is>
          <t>NZSC 2026 update: Jacob Humphries 57.22 became next-fastest.</t>
        </is>
      </c>
      <c r="X36" s="30" t="inlineStr">
        <is>
          <t>Auto-set from displaced NZ record after NZSC 2026.</t>
        </is>
      </c>
    </row>
    <row r="37" ht="15" customHeight="1" s="17">
      <c r="A37" s="30" t="inlineStr">
        <is>
          <t>NZ|SCM|M|14|200 Fly</t>
        </is>
      </c>
      <c r="B37" s="30" t="inlineStr">
        <is>
          <t>SCM</t>
        </is>
      </c>
      <c r="C37" s="30" t="inlineStr">
        <is>
          <t>Male</t>
        </is>
      </c>
      <c r="D37" s="30" t="n">
        <v>14</v>
      </c>
      <c r="E37" s="30" t="inlineStr">
        <is>
          <t>200 Fly</t>
        </is>
      </c>
      <c r="F37" s="30" t="inlineStr">
        <is>
          <t>Kento Wangford</t>
        </is>
      </c>
      <c r="G37" s="22" t="inlineStr">
        <is>
          <t>Kento Wangford</t>
        </is>
      </c>
      <c r="H37" s="22" t="n"/>
      <c r="I37" s="30" t="inlineStr">
        <is>
          <t>2:03.00</t>
        </is>
      </c>
      <c r="J37" s="22">
        <f>IF(I37="","",IF(ISNUMBER(SEARCH(":",I37)),VALUE(LEFT(I37,SEARCH(":",I37)-1))*60+VALUE(MID(I37,SEARCH(":",I37)+1,99)),VALUE(I37)))</f>
        <v/>
      </c>
      <c r="K37" s="30" t="inlineStr">
        <is>
          <t>31.07.26</t>
        </is>
      </c>
      <c r="L37" s="30" t="inlineStr">
        <is>
          <t>Swimming New Zealand Short Course Records by Age - user-supplied PDF</t>
        </is>
      </c>
      <c r="M37" s="30" t="n"/>
      <c r="N37" s="30" t="inlineStr">
        <is>
          <t>NO</t>
        </is>
      </c>
      <c r="O37" s="30" t="inlineStr">
        <is>
          <t>YES</t>
        </is>
      </c>
      <c r="P37" s="30" t="n"/>
      <c r="Q37" s="30" t="inlineStr">
        <is>
          <t>2:05.29</t>
        </is>
      </c>
      <c r="R37" s="22">
        <f>IF(Q37="","",IF(ISNUMBER(SEARCH(":",Q37)),VALUE(LEFT(Q37,SEARCH(":",Q37)-1))*60+VALUE(MID(Q37,SEARCH(":",Q37)+1,99)),VALUE(Q37)))</f>
        <v/>
      </c>
      <c r="S37" s="39">
        <f>IF(OR(J37="",R37=""),"",(R37-J37)/R37)</f>
        <v/>
      </c>
      <c r="T37" s="22">
        <f>IF(OR(P37&lt;&gt;"",N37="YES"),"YES","NO")</f>
        <v/>
      </c>
      <c r="U37" s="22">
        <f>IF(AND(O37="YES",T37="YES",S37&lt;&gt;""),COUNTIFS($C$5:$C$424,C37,$S$5:$S$424,"&gt;"&amp;S37)+COUNTIFS($C$5:C37,C37,$S$5:S37,S37),"")</f>
        <v/>
      </c>
      <c r="V37" s="22">
        <f>IF(U37="","",C37&amp;"|"&amp;U37)</f>
        <v/>
      </c>
      <c r="W37" s="30" t="n"/>
      <c r="X37" s="30" t="inlineStr">
        <is>
          <t>Next-fastest time supplied in user workbook; swimmer name not yet supplied.</t>
        </is>
      </c>
    </row>
    <row r="38" ht="15" customHeight="1" s="17">
      <c r="A38" s="30" t="inlineStr">
        <is>
          <t>NZ|SCM|M|14|100 IM</t>
        </is>
      </c>
      <c r="B38" s="30" t="inlineStr">
        <is>
          <t>SCM</t>
        </is>
      </c>
      <c r="C38" s="30" t="inlineStr">
        <is>
          <t>Male</t>
        </is>
      </c>
      <c r="D38" s="30" t="n">
        <v>14</v>
      </c>
      <c r="E38" s="30" t="inlineStr">
        <is>
          <t>100 IM</t>
        </is>
      </c>
      <c r="F38" s="30" t="inlineStr">
        <is>
          <t>Grayson Coulter</t>
        </is>
      </c>
      <c r="G38" s="22" t="inlineStr">
        <is>
          <t>Grayson Coulter</t>
        </is>
      </c>
      <c r="H38" s="22" t="n"/>
      <c r="I38" s="30" t="inlineStr">
        <is>
          <t>57.72</t>
        </is>
      </c>
      <c r="J38" s="22">
        <f>IF(I38="","",IF(ISNUMBER(SEARCH(":",I38)),VALUE(LEFT(I38,SEARCH(":",I38)-1))*60+VALUE(MID(I38,SEARCH(":",I38)+1,99)),VALUE(I38)))</f>
        <v/>
      </c>
      <c r="K38" s="30" t="inlineStr">
        <is>
          <t>27.09.26</t>
        </is>
      </c>
      <c r="L38" s="30" t="inlineStr">
        <is>
          <t>Updated through 2026 NZ Short Course Championships</t>
        </is>
      </c>
      <c r="M38" s="30" t="inlineStr">
        <is>
          <t>https://swimdadnz.github.io/NZSC_2026/NZSC_2026_meet_editorial_summary_final.html</t>
        </is>
      </c>
      <c r="N38" s="30" t="inlineStr">
        <is>
          <t>NO</t>
        </is>
      </c>
      <c r="O38" s="30" t="inlineStr">
        <is>
          <t>YES</t>
        </is>
      </c>
      <c r="P38" s="30" t="inlineStr">
        <is>
          <t>Kevin Zhang</t>
        </is>
      </c>
      <c r="Q38" s="30" t="inlineStr">
        <is>
          <t>58.70</t>
        </is>
      </c>
      <c r="R38" s="22">
        <f>IF(Q38="","",IF(ISNUMBER(SEARCH(":",Q38)),VALUE(LEFT(Q38,SEARCH(":",Q38)-1))*60+VALUE(MID(Q38,SEARCH(":",Q38)+1,99)),VALUE(Q38)))</f>
        <v/>
      </c>
      <c r="S38" s="39">
        <f>IF(OR(J38="",R38=""),"",(R38-J38)/R38)</f>
        <v/>
      </c>
      <c r="T38" s="22">
        <f>IF(OR(P38&lt;&gt;"",N38="YES"),"YES","NO")</f>
        <v/>
      </c>
      <c r="U38" s="22">
        <f>IF(AND(O38="YES",T38="YES",S38&lt;&gt;""),COUNTIFS($C$5:$C$424,C38,$S$5:$S$424,"&gt;"&amp;S38)+COUNTIFS($C$5:C38,C38,$S$5:S38,S38),"")</f>
        <v/>
      </c>
      <c r="V38" s="22">
        <f>IF(U38="","",C38&amp;"|"&amp;U38)</f>
        <v/>
      </c>
      <c r="W38" s="30" t="inlineStr">
        <is>
          <t>NZSC 2026 update: Kevin Zhang 58.70 became next-fastest.</t>
        </is>
      </c>
      <c r="X38" s="30" t="inlineStr">
        <is>
          <t>Auto-set from displaced NZ record after NZSC 2026.</t>
        </is>
      </c>
    </row>
    <row r="39" ht="15" customHeight="1" s="17">
      <c r="A39" s="30" t="inlineStr">
        <is>
          <t>NZ|SCM|M|14|200 IM</t>
        </is>
      </c>
      <c r="B39" s="30" t="inlineStr">
        <is>
          <t>SCM</t>
        </is>
      </c>
      <c r="C39" s="30" t="inlineStr">
        <is>
          <t>Male</t>
        </is>
      </c>
      <c r="D39" s="30" t="n">
        <v>14</v>
      </c>
      <c r="E39" s="30" t="inlineStr">
        <is>
          <t>200 IM</t>
        </is>
      </c>
      <c r="F39" s="30" t="inlineStr">
        <is>
          <t>Ariel Muchirahondo</t>
        </is>
      </c>
      <c r="G39" s="22" t="inlineStr">
        <is>
          <t>Ariel Muchirahondo</t>
        </is>
      </c>
      <c r="H39" s="22" t="n"/>
      <c r="I39" s="30" t="inlineStr">
        <is>
          <t>2:07.42</t>
        </is>
      </c>
      <c r="J39" s="22">
        <f>IF(I39="","",IF(ISNUMBER(SEARCH(":",I39)),VALUE(LEFT(I39,SEARCH(":",I39)-1))*60+VALUE(MID(I39,SEARCH(":",I39)+1,99)),VALUE(I39)))</f>
        <v/>
      </c>
      <c r="K39" s="30" t="inlineStr">
        <is>
          <t>12.08.23</t>
        </is>
      </c>
      <c r="L39" s="30" t="inlineStr">
        <is>
          <t>Swimming New Zealand Short Course Records by Age - user-supplied PDF</t>
        </is>
      </c>
      <c r="M39" s="30" t="n"/>
      <c r="N39" s="30" t="inlineStr">
        <is>
          <t>NO</t>
        </is>
      </c>
      <c r="O39" s="30" t="inlineStr">
        <is>
          <t>YES</t>
        </is>
      </c>
      <c r="P39" s="30" t="n"/>
      <c r="Q39" s="30" t="inlineStr">
        <is>
          <t>2:08.37</t>
        </is>
      </c>
      <c r="R39" s="22">
        <f>IF(Q39="","",IF(ISNUMBER(SEARCH(":",Q39)),VALUE(LEFT(Q39,SEARCH(":",Q39)-1))*60+VALUE(MID(Q39,SEARCH(":",Q39)+1,99)),VALUE(Q39)))</f>
        <v/>
      </c>
      <c r="S39" s="39">
        <f>IF(OR(J39="",R39=""),"",(R39-J39)/R39)</f>
        <v/>
      </c>
      <c r="T39" s="22">
        <f>IF(OR(P39&lt;&gt;"",N39="YES"),"YES","NO")</f>
        <v/>
      </c>
      <c r="U39" s="22">
        <f>IF(AND(O39="YES",T39="YES",S39&lt;&gt;""),COUNTIFS($C$5:$C$424,C39,$S$5:$S$424,"&gt;"&amp;S39)+COUNTIFS($C$5:C39,C39,$S$5:S39,S39),"")</f>
        <v/>
      </c>
      <c r="V39" s="22">
        <f>IF(U39="","",C39&amp;"|"&amp;U39)</f>
        <v/>
      </c>
      <c r="W39" s="30" t="n"/>
      <c r="X39" s="30" t="inlineStr">
        <is>
          <t>Next-fastest time supplied in user workbook; swimmer name not yet supplied.</t>
        </is>
      </c>
    </row>
    <row r="40" ht="15" customHeight="1" s="17">
      <c r="A40" s="30" t="inlineStr">
        <is>
          <t>NZ|SCM|M|14|400 IM</t>
        </is>
      </c>
      <c r="B40" s="30" t="inlineStr">
        <is>
          <t>SCM</t>
        </is>
      </c>
      <c r="C40" s="30" t="inlineStr">
        <is>
          <t>Male</t>
        </is>
      </c>
      <c r="D40" s="30" t="n">
        <v>14</v>
      </c>
      <c r="E40" s="30" t="inlineStr">
        <is>
          <t>400 IM</t>
        </is>
      </c>
      <c r="F40" s="30" t="inlineStr">
        <is>
          <t>Ariel Muchirahondo</t>
        </is>
      </c>
      <c r="G40" s="22" t="inlineStr">
        <is>
          <t>Ariel Muchirahondo</t>
        </is>
      </c>
      <c r="H40" s="22" t="n"/>
      <c r="I40" s="30" t="inlineStr">
        <is>
          <t>4:28.23</t>
        </is>
      </c>
      <c r="J40" s="22">
        <f>IF(I40="","",IF(ISNUMBER(SEARCH(":",I40)),VALUE(LEFT(I40,SEARCH(":",I40)-1))*60+VALUE(MID(I40,SEARCH(":",I40)+1,99)),VALUE(I40)))</f>
        <v/>
      </c>
      <c r="K40" s="30" t="inlineStr">
        <is>
          <t>10.08.23</t>
        </is>
      </c>
      <c r="L40" s="30" t="inlineStr">
        <is>
          <t>Swimming New Zealand Short Course Records by Age - user-supplied PDF</t>
        </is>
      </c>
      <c r="M40" s="30" t="n"/>
      <c r="N40" s="30" t="inlineStr">
        <is>
          <t>NO</t>
        </is>
      </c>
      <c r="O40" s="30" t="inlineStr">
        <is>
          <t>YES</t>
        </is>
      </c>
      <c r="P40" s="30" t="n"/>
      <c r="Q40" s="30" t="inlineStr">
        <is>
          <t>4:30.48</t>
        </is>
      </c>
      <c r="R40" s="22">
        <f>IF(Q40="","",IF(ISNUMBER(SEARCH(":",Q40)),VALUE(LEFT(Q40,SEARCH(":",Q40)-1))*60+VALUE(MID(Q40,SEARCH(":",Q40)+1,99)),VALUE(Q40)))</f>
        <v/>
      </c>
      <c r="S40" s="39">
        <f>IF(OR(J40="",R40=""),"",(R40-J40)/R40)</f>
        <v/>
      </c>
      <c r="T40" s="22">
        <f>IF(OR(P40&lt;&gt;"",N40="YES"),"YES","NO")</f>
        <v/>
      </c>
      <c r="U40" s="22">
        <f>IF(AND(O40="YES",T40="YES",S40&lt;&gt;""),COUNTIFS($C$5:$C$424,C40,$S$5:$S$424,"&gt;"&amp;S40)+COUNTIFS($C$5:C40,C40,$S$5:S40,S40),"")</f>
        <v/>
      </c>
      <c r="V40" s="22">
        <f>IF(U40="","",C40&amp;"|"&amp;U40)</f>
        <v/>
      </c>
      <c r="W40" s="30" t="n"/>
      <c r="X40" s="30" t="inlineStr">
        <is>
          <t>Next-fastest time supplied in user workbook; swimmer name not yet supplied.</t>
        </is>
      </c>
    </row>
    <row r="41" ht="15" customHeight="1" s="17">
      <c r="A41" s="30" t="inlineStr">
        <is>
          <t>NZ|SCM|M|15|50 Free</t>
        </is>
      </c>
      <c r="B41" s="30" t="inlineStr">
        <is>
          <t>SCM</t>
        </is>
      </c>
      <c r="C41" s="30" t="inlineStr">
        <is>
          <t>Male</t>
        </is>
      </c>
      <c r="D41" s="30" t="n">
        <v>15</v>
      </c>
      <c r="E41" s="30" t="inlineStr">
        <is>
          <t>50 Free</t>
        </is>
      </c>
      <c r="F41" s="30" t="inlineStr">
        <is>
          <t>Charlie Dickison</t>
        </is>
      </c>
      <c r="G41" s="22" t="inlineStr">
        <is>
          <t>Charlie Dickison</t>
        </is>
      </c>
      <c r="H41" s="22" t="n"/>
      <c r="I41" s="30" t="inlineStr">
        <is>
          <t>22.77</t>
        </is>
      </c>
      <c r="J41" s="22">
        <f>IF(I41="","",IF(ISNUMBER(SEARCH(":",I41)),VALUE(LEFT(I41,SEARCH(":",I41)-1))*60+VALUE(MID(I41,SEARCH(":",I41)+1,99)),VALUE(I41)))</f>
        <v/>
      </c>
      <c r="K41" s="30" t="inlineStr">
        <is>
          <t>31.07.26</t>
        </is>
      </c>
      <c r="L41" s="30" t="inlineStr">
        <is>
          <t>Swimming New Zealand Short Course Records by Age - user-supplied PDF</t>
        </is>
      </c>
      <c r="M41" s="30" t="n"/>
      <c r="N41" s="30" t="inlineStr">
        <is>
          <t>NO</t>
        </is>
      </c>
      <c r="O41" s="30" t="inlineStr">
        <is>
          <t>YES</t>
        </is>
      </c>
      <c r="P41" s="30" t="n"/>
      <c r="Q41" s="30" t="inlineStr">
        <is>
          <t>23.15</t>
        </is>
      </c>
      <c r="R41" s="22">
        <f>IF(Q41="","",IF(ISNUMBER(SEARCH(":",Q41)),VALUE(LEFT(Q41,SEARCH(":",Q41)-1))*60+VALUE(MID(Q41,SEARCH(":",Q41)+1,99)),VALUE(Q41)))</f>
        <v/>
      </c>
      <c r="S41" s="39">
        <f>IF(OR(J41="",R41=""),"",(R41-J41)/R41)</f>
        <v/>
      </c>
      <c r="T41" s="22">
        <f>IF(OR(P41&lt;&gt;"",N41="YES"),"YES","NO")</f>
        <v/>
      </c>
      <c r="U41" s="22">
        <f>IF(AND(O41="YES",T41="YES",S41&lt;&gt;""),COUNTIFS($C$5:$C$424,C41,$S$5:$S$424,"&gt;"&amp;S41)+COUNTIFS($C$5:C41,C41,$S$5:S41,S41),"")</f>
        <v/>
      </c>
      <c r="V41" s="22">
        <f>IF(U41="","",C41&amp;"|"&amp;U41)</f>
        <v/>
      </c>
      <c r="W41" s="30" t="n"/>
      <c r="X41" s="30" t="inlineStr">
        <is>
          <t>Next-fastest time supplied in user workbook; swimmer name not yet supplied.</t>
        </is>
      </c>
    </row>
    <row r="42" ht="15" customHeight="1" s="17">
      <c r="A42" s="30" t="inlineStr">
        <is>
          <t>NZ|SCM|M|15|100 Free</t>
        </is>
      </c>
      <c r="B42" s="30" t="inlineStr">
        <is>
          <t>SCM</t>
        </is>
      </c>
      <c r="C42" s="30" t="inlineStr">
        <is>
          <t>Male</t>
        </is>
      </c>
      <c r="D42" s="30" t="n">
        <v>15</v>
      </c>
      <c r="E42" s="30" t="inlineStr">
        <is>
          <t>100 Free</t>
        </is>
      </c>
      <c r="F42" s="30" t="inlineStr">
        <is>
          <t>Charlie Dickison</t>
        </is>
      </c>
      <c r="G42" s="22" t="inlineStr">
        <is>
          <t>Charlie Dickison</t>
        </is>
      </c>
      <c r="H42" s="22" t="n"/>
      <c r="I42" s="30" t="inlineStr">
        <is>
          <t>49.98</t>
        </is>
      </c>
      <c r="J42" s="22">
        <f>IF(I42="","",IF(ISNUMBER(SEARCH(":",I42)),VALUE(LEFT(I42,SEARCH(":",I42)-1))*60+VALUE(MID(I42,SEARCH(":",I42)+1,99)),VALUE(I42)))</f>
        <v/>
      </c>
      <c r="K42" s="30" t="inlineStr">
        <is>
          <t>31.07.26</t>
        </is>
      </c>
      <c r="L42" s="30" t="inlineStr">
        <is>
          <t>Swimming New Zealand Short Course Records by Age - user-supplied PDF</t>
        </is>
      </c>
      <c r="M42" s="30" t="n"/>
      <c r="N42" s="30" t="inlineStr">
        <is>
          <t>NO</t>
        </is>
      </c>
      <c r="O42" s="30" t="inlineStr">
        <is>
          <t>YES</t>
        </is>
      </c>
      <c r="P42" s="30" t="n"/>
      <c r="Q42" s="30" t="inlineStr">
        <is>
          <t>50.29</t>
        </is>
      </c>
      <c r="R42" s="22">
        <f>IF(Q42="","",IF(ISNUMBER(SEARCH(":",Q42)),VALUE(LEFT(Q42,SEARCH(":",Q42)-1))*60+VALUE(MID(Q42,SEARCH(":",Q42)+1,99)),VALUE(Q42)))</f>
        <v/>
      </c>
      <c r="S42" s="39">
        <f>IF(OR(J42="",R42=""),"",(R42-J42)/R42)</f>
        <v/>
      </c>
      <c r="T42" s="22">
        <f>IF(OR(P42&lt;&gt;"",N42="YES"),"YES","NO")</f>
        <v/>
      </c>
      <c r="U42" s="22">
        <f>IF(AND(O42="YES",T42="YES",S42&lt;&gt;""),COUNTIFS($C$5:$C$424,C42,$S$5:$S$424,"&gt;"&amp;S42)+COUNTIFS($C$5:C42,C42,$S$5:S42,S42),"")</f>
        <v/>
      </c>
      <c r="V42" s="22">
        <f>IF(U42="","",C42&amp;"|"&amp;U42)</f>
        <v/>
      </c>
      <c r="W42" s="30" t="n"/>
      <c r="X42" s="30" t="inlineStr">
        <is>
          <t>Next-fastest time supplied in user workbook; swimmer name not yet supplied.</t>
        </is>
      </c>
    </row>
    <row r="43" ht="15" customHeight="1" s="17">
      <c r="A43" s="30" t="inlineStr">
        <is>
          <t>NZ|SCM|M|15|200 Free</t>
        </is>
      </c>
      <c r="B43" s="30" t="inlineStr">
        <is>
          <t>SCM</t>
        </is>
      </c>
      <c r="C43" s="30" t="inlineStr">
        <is>
          <t>Male</t>
        </is>
      </c>
      <c r="D43" s="30" t="n">
        <v>15</v>
      </c>
      <c r="E43" s="30" t="inlineStr">
        <is>
          <t>200 Free</t>
        </is>
      </c>
      <c r="F43" s="30" t="inlineStr">
        <is>
          <t>Charlie Dickison</t>
        </is>
      </c>
      <c r="G43" s="22" t="inlineStr">
        <is>
          <t>Charlie Dickison</t>
        </is>
      </c>
      <c r="H43" s="22" t="n"/>
      <c r="I43" s="30" t="inlineStr">
        <is>
          <t>1:50.08</t>
        </is>
      </c>
      <c r="J43" s="22">
        <f>IF(I43="","",IF(ISNUMBER(SEARCH(":",I43)),VALUE(LEFT(I43,SEARCH(":",I43)-1))*60+VALUE(MID(I43,SEARCH(":",I43)+1,99)),VALUE(I43)))</f>
        <v/>
      </c>
      <c r="K43" s="30" t="inlineStr">
        <is>
          <t>01.08.26</t>
        </is>
      </c>
      <c r="L43" s="30" t="inlineStr">
        <is>
          <t>Swimming New Zealand Short Course Records by Age - user-supplied PDF</t>
        </is>
      </c>
      <c r="M43" s="30" t="n"/>
      <c r="N43" s="30" t="inlineStr">
        <is>
          <t>NO</t>
        </is>
      </c>
      <c r="O43" s="30" t="inlineStr">
        <is>
          <t>YES</t>
        </is>
      </c>
      <c r="P43" s="30" t="n"/>
      <c r="Q43" s="30" t="inlineStr">
        <is>
          <t>1:50.39</t>
        </is>
      </c>
      <c r="R43" s="22">
        <f>IF(Q43="","",IF(ISNUMBER(SEARCH(":",Q43)),VALUE(LEFT(Q43,SEARCH(":",Q43)-1))*60+VALUE(MID(Q43,SEARCH(":",Q43)+1,99)),VALUE(Q43)))</f>
        <v/>
      </c>
      <c r="S43" s="39">
        <f>IF(OR(J43="",R43=""),"",(R43-J43)/R43)</f>
        <v/>
      </c>
      <c r="T43" s="22">
        <f>IF(OR(P43&lt;&gt;"",N43="YES"),"YES","NO")</f>
        <v/>
      </c>
      <c r="U43" s="22">
        <f>IF(AND(O43="YES",T43="YES",S43&lt;&gt;""),COUNTIFS($C$5:$C$424,C43,$S$5:$S$424,"&gt;"&amp;S43)+COUNTIFS($C$5:C43,C43,$S$5:S43,S43),"")</f>
        <v/>
      </c>
      <c r="V43" s="22">
        <f>IF(U43="","",C43&amp;"|"&amp;U43)</f>
        <v/>
      </c>
      <c r="W43" s="30" t="n"/>
      <c r="X43" s="30" t="inlineStr">
        <is>
          <t>Next-fastest time supplied in user workbook; swimmer name not yet supplied.</t>
        </is>
      </c>
    </row>
    <row r="44" ht="15" customHeight="1" s="17">
      <c r="A44" s="30" t="inlineStr">
        <is>
          <t>NZ|SCM|M|15|400 Free</t>
        </is>
      </c>
      <c r="B44" s="30" t="inlineStr">
        <is>
          <t>SCM</t>
        </is>
      </c>
      <c r="C44" s="30" t="inlineStr">
        <is>
          <t>Male</t>
        </is>
      </c>
      <c r="D44" s="30" t="n">
        <v>15</v>
      </c>
      <c r="E44" s="30" t="inlineStr">
        <is>
          <t>400 Free</t>
        </is>
      </c>
      <c r="F44" s="30" t="inlineStr">
        <is>
          <t>Matthew Hutchins</t>
        </is>
      </c>
      <c r="G44" s="22" t="inlineStr">
        <is>
          <t>Matthew Hutchins</t>
        </is>
      </c>
      <c r="H44" s="22" t="n"/>
      <c r="I44" s="30" t="inlineStr">
        <is>
          <t>3:54.19</t>
        </is>
      </c>
      <c r="J44" s="22">
        <f>IF(I44="","",IF(ISNUMBER(SEARCH(":",I44)),VALUE(LEFT(I44,SEARCH(":",I44)-1))*60+VALUE(MID(I44,SEARCH(":",I44)+1,99)),VALUE(I44)))</f>
        <v/>
      </c>
      <c r="K44" s="30" t="inlineStr">
        <is>
          <t>05.07.10</t>
        </is>
      </c>
      <c r="L44" s="30" t="inlineStr">
        <is>
          <t>Swimming New Zealand Short Course Records by Age - user-supplied PDF</t>
        </is>
      </c>
      <c r="M44" s="30" t="n"/>
      <c r="N44" s="30" t="inlineStr">
        <is>
          <t>NO</t>
        </is>
      </c>
      <c r="O44" s="30" t="inlineStr">
        <is>
          <t>YES</t>
        </is>
      </c>
      <c r="P44" s="30" t="n"/>
      <c r="Q44" s="30" t="inlineStr">
        <is>
          <t>3:55.42</t>
        </is>
      </c>
      <c r="R44" s="22">
        <f>IF(Q44="","",IF(ISNUMBER(SEARCH(":",Q44)),VALUE(LEFT(Q44,SEARCH(":",Q44)-1))*60+VALUE(MID(Q44,SEARCH(":",Q44)+1,99)),VALUE(Q44)))</f>
        <v/>
      </c>
      <c r="S44" s="39">
        <f>IF(OR(J44="",R44=""),"",(R44-J44)/R44)</f>
        <v/>
      </c>
      <c r="T44" s="22">
        <f>IF(OR(P44&lt;&gt;"",N44="YES"),"YES","NO")</f>
        <v/>
      </c>
      <c r="U44" s="22">
        <f>IF(AND(O44="YES",T44="YES",S44&lt;&gt;""),COUNTIFS($C$5:$C$424,C44,$S$5:$S$424,"&gt;"&amp;S44)+COUNTIFS($C$5:C44,C44,$S$5:S44,S44),"")</f>
        <v/>
      </c>
      <c r="V44" s="22">
        <f>IF(U44="","",C44&amp;"|"&amp;U44)</f>
        <v/>
      </c>
      <c r="W44" s="30" t="n"/>
      <c r="X44" s="30" t="inlineStr">
        <is>
          <t>Next-fastest time supplied in user workbook; swimmer name not yet supplied.</t>
        </is>
      </c>
    </row>
    <row r="45" ht="15" customHeight="1" s="17">
      <c r="A45" s="30" t="inlineStr">
        <is>
          <t>NZ|SCM|M|15|800 Free</t>
        </is>
      </c>
      <c r="B45" s="30" t="inlineStr">
        <is>
          <t>SCM</t>
        </is>
      </c>
      <c r="C45" s="30" t="inlineStr">
        <is>
          <t>Male</t>
        </is>
      </c>
      <c r="D45" s="30" t="n">
        <v>15</v>
      </c>
      <c r="E45" s="30" t="inlineStr">
        <is>
          <t>800 Free</t>
        </is>
      </c>
      <c r="F45" s="30" t="inlineStr">
        <is>
          <t>William Tye</t>
        </is>
      </c>
      <c r="G45" s="22" t="inlineStr">
        <is>
          <t>William Tye</t>
        </is>
      </c>
      <c r="H45" s="22" t="n"/>
      <c r="I45" s="30" t="inlineStr">
        <is>
          <t>8:07.90</t>
        </is>
      </c>
      <c r="J45" s="22">
        <f>IF(I45="","",IF(ISNUMBER(SEARCH(":",I45)),VALUE(LEFT(I45,SEARCH(":",I45)-1))*60+VALUE(MID(I45,SEARCH(":",I45)+1,99)),VALUE(I45)))</f>
        <v/>
      </c>
      <c r="K45" s="30" t="inlineStr">
        <is>
          <t>01.10.26</t>
        </is>
      </c>
      <c r="L45" s="30" t="inlineStr">
        <is>
          <t>Updated through 2026 NZ Short Course Championships</t>
        </is>
      </c>
      <c r="M45" s="30" t="inlineStr">
        <is>
          <t>https://swimdadnz.github.io/NZSC_2026/NZSC_2026_meet_editorial_summary_final.html</t>
        </is>
      </c>
      <c r="N45" s="30" t="inlineStr">
        <is>
          <t>NO</t>
        </is>
      </c>
      <c r="O45" s="30" t="inlineStr">
        <is>
          <t>YES</t>
        </is>
      </c>
      <c r="P45" s="30" t="inlineStr">
        <is>
          <t>Cameron Burrows</t>
        </is>
      </c>
      <c r="Q45" s="30" t="inlineStr">
        <is>
          <t>8:10.40</t>
        </is>
      </c>
      <c r="R45" s="22">
        <f>IF(Q45="","",IF(ISNUMBER(SEARCH(":",Q45)),VALUE(LEFT(Q45,SEARCH(":",Q45)-1))*60+VALUE(MID(Q45,SEARCH(":",Q45)+1,99)),VALUE(Q45)))</f>
        <v/>
      </c>
      <c r="S45" s="39">
        <f>IF(OR(J45="",R45=""),"",(R45-J45)/R45)</f>
        <v/>
      </c>
      <c r="T45" s="22">
        <f>IF(OR(P45&lt;&gt;"",N45="YES"),"YES","NO")</f>
        <v/>
      </c>
      <c r="U45" s="22">
        <f>IF(AND(O45="YES",T45="YES",S45&lt;&gt;""),COUNTIFS($C$5:$C$424,C45,$S$5:$S$424,"&gt;"&amp;S45)+COUNTIFS($C$5:C45,C45,$S$5:S45,S45),"")</f>
        <v/>
      </c>
      <c r="V45" s="22">
        <f>IF(U45="","",C45&amp;"|"&amp;U45)</f>
        <v/>
      </c>
      <c r="W45" s="30" t="inlineStr">
        <is>
          <t>NZSC 2026 update: Cameron Burrows 8:10.40 became next-fastest.</t>
        </is>
      </c>
      <c r="X45" s="30" t="inlineStr">
        <is>
          <t>Auto-set from displaced NZ record after NZSC 2026.</t>
        </is>
      </c>
    </row>
    <row r="46" ht="15" customHeight="1" s="17">
      <c r="A46" s="30" t="inlineStr">
        <is>
          <t>NZ|SCM|M|15|1500 Free</t>
        </is>
      </c>
      <c r="B46" s="30" t="inlineStr">
        <is>
          <t>SCM</t>
        </is>
      </c>
      <c r="C46" s="30" t="inlineStr">
        <is>
          <t>Male</t>
        </is>
      </c>
      <c r="D46" s="30" t="n">
        <v>15</v>
      </c>
      <c r="E46" s="30" t="inlineStr">
        <is>
          <t>1500 Free</t>
        </is>
      </c>
      <c r="F46" s="30" t="inlineStr">
        <is>
          <t>William Tye</t>
        </is>
      </c>
      <c r="G46" s="22" t="inlineStr">
        <is>
          <t>William Tye</t>
        </is>
      </c>
      <c r="H46" s="22" t="n"/>
      <c r="I46" s="30" t="inlineStr">
        <is>
          <t>15:26.42</t>
        </is>
      </c>
      <c r="J46" s="22">
        <f>IF(I46="","",IF(ISNUMBER(SEARCH(":",I46)),VALUE(LEFT(I46,SEARCH(":",I46)-1))*60+VALUE(MID(I46,SEARCH(":",I46)+1,99)),VALUE(I46)))</f>
        <v/>
      </c>
      <c r="K46" s="30" t="inlineStr">
        <is>
          <t>27.09.26</t>
        </is>
      </c>
      <c r="L46" s="30" t="inlineStr">
        <is>
          <t>Updated through 2026 NZ Short Course Championships</t>
        </is>
      </c>
      <c r="M46" s="30" t="inlineStr">
        <is>
          <t>https://swimdadnz.github.io/NZSC_2026/NZSC_2026_meet_editorial_summary_final.html</t>
        </is>
      </c>
      <c r="N46" s="30" t="inlineStr">
        <is>
          <t>NO</t>
        </is>
      </c>
      <c r="O46" s="30" t="inlineStr">
        <is>
          <t>YES</t>
        </is>
      </c>
      <c r="P46" s="30" t="inlineStr">
        <is>
          <t>Michael Mincham</t>
        </is>
      </c>
      <c r="Q46" s="30" t="inlineStr">
        <is>
          <t>15:34.56</t>
        </is>
      </c>
      <c r="R46" s="22">
        <f>IF(Q46="","",IF(ISNUMBER(SEARCH(":",Q46)),VALUE(LEFT(Q46,SEARCH(":",Q46)-1))*60+VALUE(MID(Q46,SEARCH(":",Q46)+1,99)),VALUE(Q46)))</f>
        <v/>
      </c>
      <c r="S46" s="39">
        <f>IF(OR(J46="",R46=""),"",(R46-J46)/R46)</f>
        <v/>
      </c>
      <c r="T46" s="22">
        <f>IF(OR(P46&lt;&gt;"",N46="YES"),"YES","NO")</f>
        <v/>
      </c>
      <c r="U46" s="22">
        <f>IF(AND(O46="YES",T46="YES",S46&lt;&gt;""),COUNTIFS($C$5:$C$424,C46,$S$5:$S$424,"&gt;"&amp;S46)+COUNTIFS($C$5:C46,C46,$S$5:S46,S46),"")</f>
        <v/>
      </c>
      <c r="V46" s="22">
        <f>IF(U46="","",C46&amp;"|"&amp;U46)</f>
        <v/>
      </c>
      <c r="W46" s="30" t="inlineStr">
        <is>
          <t>NZSC 2026 update: Michael Mincham 15:34.56 became next-fastest.</t>
        </is>
      </c>
      <c r="X46" s="30" t="inlineStr">
        <is>
          <t>Auto-set from displaced NZ record after NZSC 2026.</t>
        </is>
      </c>
    </row>
    <row r="47" ht="15" customHeight="1" s="17">
      <c r="A47" s="30" t="inlineStr">
        <is>
          <t>NZ|SCM|M|15|50 Back</t>
        </is>
      </c>
      <c r="B47" s="30" t="inlineStr">
        <is>
          <t>SCM</t>
        </is>
      </c>
      <c r="C47" s="30" t="inlineStr">
        <is>
          <t>Male</t>
        </is>
      </c>
      <c r="D47" s="30" t="n">
        <v>15</v>
      </c>
      <c r="E47" s="30" t="inlineStr">
        <is>
          <t>50 Back</t>
        </is>
      </c>
      <c r="F47" s="30" t="inlineStr">
        <is>
          <t>Cameron Gray</t>
        </is>
      </c>
      <c r="G47" s="22" t="inlineStr">
        <is>
          <t>Cameron Gray</t>
        </is>
      </c>
      <c r="H47" s="22" t="n"/>
      <c r="I47" s="30" t="inlineStr">
        <is>
          <t>25.33</t>
        </is>
      </c>
      <c r="J47" s="22">
        <f>IF(I47="","",IF(ISNUMBER(SEARCH(":",I47)),VALUE(LEFT(I47,SEARCH(":",I47)-1))*60+VALUE(MID(I47,SEARCH(":",I47)+1,99)),VALUE(I47)))</f>
        <v/>
      </c>
      <c r="K47" s="30" t="inlineStr">
        <is>
          <t>28.07.19</t>
        </is>
      </c>
      <c r="L47" s="30" t="inlineStr">
        <is>
          <t>Swimming New Zealand Short Course Records by Age - user-supplied PDF</t>
        </is>
      </c>
      <c r="M47" s="30" t="n"/>
      <c r="N47" s="30" t="inlineStr">
        <is>
          <t>NO</t>
        </is>
      </c>
      <c r="O47" s="30" t="inlineStr">
        <is>
          <t>YES</t>
        </is>
      </c>
      <c r="P47" s="30" t="n"/>
      <c r="Q47" s="30" t="inlineStr">
        <is>
          <t>25.67</t>
        </is>
      </c>
      <c r="R47" s="22">
        <f>IF(Q47="","",IF(ISNUMBER(SEARCH(":",Q47)),VALUE(LEFT(Q47,SEARCH(":",Q47)-1))*60+VALUE(MID(Q47,SEARCH(":",Q47)+1,99)),VALUE(Q47)))</f>
        <v/>
      </c>
      <c r="S47" s="39">
        <f>IF(OR(J47="",R47=""),"",(R47-J47)/R47)</f>
        <v/>
      </c>
      <c r="T47" s="22">
        <f>IF(OR(P47&lt;&gt;"",N47="YES"),"YES","NO")</f>
        <v/>
      </c>
      <c r="U47" s="22">
        <f>IF(AND(O47="YES",T47="YES",S47&lt;&gt;""),COUNTIFS($C$5:$C$424,C47,$S$5:$S$424,"&gt;"&amp;S47)+COUNTIFS($C$5:C47,C47,$S$5:S47,S47),"")</f>
        <v/>
      </c>
      <c r="V47" s="22">
        <f>IF(U47="","",C47&amp;"|"&amp;U47)</f>
        <v/>
      </c>
      <c r="W47" s="30" t="n"/>
      <c r="X47" s="30" t="inlineStr">
        <is>
          <t>Next-fastest time supplied in user workbook; swimmer name not yet supplied.</t>
        </is>
      </c>
    </row>
    <row r="48" ht="15" customHeight="1" s="17">
      <c r="A48" s="30" t="inlineStr">
        <is>
          <t>NZ|SCM|M|15|100 Back</t>
        </is>
      </c>
      <c r="B48" s="30" t="inlineStr">
        <is>
          <t>SCM</t>
        </is>
      </c>
      <c r="C48" s="30" t="inlineStr">
        <is>
          <t>Male</t>
        </is>
      </c>
      <c r="D48" s="30" t="n">
        <v>15</v>
      </c>
      <c r="E48" s="30" t="inlineStr">
        <is>
          <t>100 Back</t>
        </is>
      </c>
      <c r="F48" s="30" t="inlineStr">
        <is>
          <t>Te Rauroha Paki</t>
        </is>
      </c>
      <c r="G48" s="22" t="inlineStr">
        <is>
          <t>Te Rauroha Paki</t>
        </is>
      </c>
      <c r="H48" s="22" t="n"/>
      <c r="I48" s="30" t="inlineStr">
        <is>
          <t>54.74</t>
        </is>
      </c>
      <c r="J48" s="22">
        <f>IF(I48="","",IF(ISNUMBER(SEARCH(":",I48)),VALUE(LEFT(I48,SEARCH(":",I48)-1))*60+VALUE(MID(I48,SEARCH(":",I48)+1,99)),VALUE(I48)))</f>
        <v/>
      </c>
      <c r="K48" s="30" t="inlineStr">
        <is>
          <t>21.09.25</t>
        </is>
      </c>
      <c r="L48" s="30" t="inlineStr">
        <is>
          <t>Swimming New Zealand Short Course Records by Age - user-supplied PDF</t>
        </is>
      </c>
      <c r="M48" s="30" t="n"/>
      <c r="N48" s="30" t="inlineStr">
        <is>
          <t>NO</t>
        </is>
      </c>
      <c r="O48" s="30" t="inlineStr">
        <is>
          <t>YES</t>
        </is>
      </c>
      <c r="P48" s="30" t="n"/>
      <c r="Q48" s="30" t="inlineStr">
        <is>
          <t>54.91</t>
        </is>
      </c>
      <c r="R48" s="22">
        <f>IF(Q48="","",IF(ISNUMBER(SEARCH(":",Q48)),VALUE(LEFT(Q48,SEARCH(":",Q48)-1))*60+VALUE(MID(Q48,SEARCH(":",Q48)+1,99)),VALUE(Q48)))</f>
        <v/>
      </c>
      <c r="S48" s="39">
        <f>IF(OR(J48="",R48=""),"",(R48-J48)/R48)</f>
        <v/>
      </c>
      <c r="T48" s="22">
        <f>IF(OR(P48&lt;&gt;"",N48="YES"),"YES","NO")</f>
        <v/>
      </c>
      <c r="U48" s="22">
        <f>IF(AND(O48="YES",T48="YES",S48&lt;&gt;""),COUNTIFS($C$5:$C$424,C48,$S$5:$S$424,"&gt;"&amp;S48)+COUNTIFS($C$5:C48,C48,$S$5:S48,S48),"")</f>
        <v/>
      </c>
      <c r="V48" s="22">
        <f>IF(U48="","",C48&amp;"|"&amp;U48)</f>
        <v/>
      </c>
      <c r="W48" s="30" t="n"/>
      <c r="X48" s="30" t="inlineStr">
        <is>
          <t>Next-fastest time supplied in user workbook; swimmer name not yet supplied.</t>
        </is>
      </c>
    </row>
    <row r="49" ht="15" customHeight="1" s="17">
      <c r="A49" s="30" t="inlineStr">
        <is>
          <t>NZ|SCM|M|15|200 Back</t>
        </is>
      </c>
      <c r="B49" s="30" t="inlineStr">
        <is>
          <t>SCM</t>
        </is>
      </c>
      <c r="C49" s="30" t="inlineStr">
        <is>
          <t>Male</t>
        </is>
      </c>
      <c r="D49" s="30" t="n">
        <v>15</v>
      </c>
      <c r="E49" s="30" t="inlineStr">
        <is>
          <t>200 Back</t>
        </is>
      </c>
      <c r="F49" s="30" t="inlineStr">
        <is>
          <t>Ariel Muchirahondo</t>
        </is>
      </c>
      <c r="G49" s="22" t="inlineStr">
        <is>
          <t>Ariel Muchirahondo</t>
        </is>
      </c>
      <c r="H49" s="22" t="n"/>
      <c r="I49" s="30" t="inlineStr">
        <is>
          <t>1:57.69</t>
        </is>
      </c>
      <c r="J49" s="22">
        <f>IF(I49="","",IF(ISNUMBER(SEARCH(":",I49)),VALUE(LEFT(I49,SEARCH(":",I49)-1))*60+VALUE(MID(I49,SEARCH(":",I49)+1,99)),VALUE(I49)))</f>
        <v/>
      </c>
      <c r="K49" s="30" t="inlineStr">
        <is>
          <t>23.08.24</t>
        </is>
      </c>
      <c r="L49" s="30" t="inlineStr">
        <is>
          <t>Swimming New Zealand Short Course Records by Age - user-supplied PDF</t>
        </is>
      </c>
      <c r="M49" s="30" t="n"/>
      <c r="N49" s="30" t="inlineStr">
        <is>
          <t>NO</t>
        </is>
      </c>
      <c r="O49" s="30" t="inlineStr">
        <is>
          <t>YES</t>
        </is>
      </c>
      <c r="P49" s="30" t="n"/>
      <c r="Q49" s="30" t="inlineStr">
        <is>
          <t>1:58.58</t>
        </is>
      </c>
      <c r="R49" s="22">
        <f>IF(Q49="","",IF(ISNUMBER(SEARCH(":",Q49)),VALUE(LEFT(Q49,SEARCH(":",Q49)-1))*60+VALUE(MID(Q49,SEARCH(":",Q49)+1,99)),VALUE(Q49)))</f>
        <v/>
      </c>
      <c r="S49" s="39">
        <f>IF(OR(J49="",R49=""),"",(R49-J49)/R49)</f>
        <v/>
      </c>
      <c r="T49" s="22">
        <f>IF(OR(P49&lt;&gt;"",N49="YES"),"YES","NO")</f>
        <v/>
      </c>
      <c r="U49" s="22">
        <f>IF(AND(O49="YES",T49="YES",S49&lt;&gt;""),COUNTIFS($C$5:$C$424,C49,$S$5:$S$424,"&gt;"&amp;S49)+COUNTIFS($C$5:C49,C49,$S$5:S49,S49),"")</f>
        <v/>
      </c>
      <c r="V49" s="22">
        <f>IF(U49="","",C49&amp;"|"&amp;U49)</f>
        <v/>
      </c>
      <c r="W49" s="30" t="n"/>
      <c r="X49" s="30" t="inlineStr">
        <is>
          <t>Next-fastest time supplied in user workbook; swimmer name not yet supplied.</t>
        </is>
      </c>
    </row>
    <row r="50" ht="15" customHeight="1" s="17">
      <c r="A50" s="30" t="inlineStr">
        <is>
          <t>NZ|SCM|M|15|50 Breast</t>
        </is>
      </c>
      <c r="B50" s="30" t="inlineStr">
        <is>
          <t>SCM</t>
        </is>
      </c>
      <c r="C50" s="30" t="inlineStr">
        <is>
          <t>Male</t>
        </is>
      </c>
      <c r="D50" s="30" t="n">
        <v>15</v>
      </c>
      <c r="E50" s="30" t="inlineStr">
        <is>
          <t>50 Breast</t>
        </is>
      </c>
      <c r="F50" s="30" t="inlineStr">
        <is>
          <t>Jeffrey Arona-Tuifana'e</t>
        </is>
      </c>
      <c r="G50" s="22" t="inlineStr">
        <is>
          <t>Jeffrey Arona-Tuifana'e</t>
        </is>
      </c>
      <c r="H50" s="22" t="n"/>
      <c r="I50" s="30" t="inlineStr">
        <is>
          <t>28.72</t>
        </is>
      </c>
      <c r="J50" s="22">
        <f>IF(I50="","",IF(ISNUMBER(SEARCH(":",I50)),VALUE(LEFT(I50,SEARCH(":",I50)-1))*60+VALUE(MID(I50,SEARCH(":",I50)+1,99)),VALUE(I50)))</f>
        <v/>
      </c>
      <c r="K50" s="30" t="inlineStr">
        <is>
          <t>06.07.10</t>
        </is>
      </c>
      <c r="L50" s="30" t="inlineStr">
        <is>
          <t>Swimming New Zealand Short Course Records by Age - user-supplied PDF</t>
        </is>
      </c>
      <c r="M50" s="30" t="n"/>
      <c r="N50" s="30" t="inlineStr">
        <is>
          <t>NO</t>
        </is>
      </c>
      <c r="O50" s="30" t="inlineStr">
        <is>
          <t>YES</t>
        </is>
      </c>
      <c r="P50" s="30" t="n"/>
      <c r="Q50" s="30" t="inlineStr">
        <is>
          <t>28.94</t>
        </is>
      </c>
      <c r="R50" s="22">
        <f>IF(Q50="","",IF(ISNUMBER(SEARCH(":",Q50)),VALUE(LEFT(Q50,SEARCH(":",Q50)-1))*60+VALUE(MID(Q50,SEARCH(":",Q50)+1,99)),VALUE(Q50)))</f>
        <v/>
      </c>
      <c r="S50" s="39">
        <f>IF(OR(J50="",R50=""),"",(R50-J50)/R50)</f>
        <v/>
      </c>
      <c r="T50" s="22">
        <f>IF(OR(P50&lt;&gt;"",N50="YES"),"YES","NO")</f>
        <v/>
      </c>
      <c r="U50" s="22">
        <f>IF(AND(O50="YES",T50="YES",S50&lt;&gt;""),COUNTIFS($C$5:$C$424,C50,$S$5:$S$424,"&gt;"&amp;S50)+COUNTIFS($C$5:C50,C50,$S$5:S50,S50),"")</f>
        <v/>
      </c>
      <c r="V50" s="22">
        <f>IF(U50="","",C50&amp;"|"&amp;U50)</f>
        <v/>
      </c>
      <c r="W50" s="30" t="n"/>
      <c r="X50" s="30" t="inlineStr">
        <is>
          <t>Next-fastest time supplied in user workbook; swimmer name not yet supplied.</t>
        </is>
      </c>
    </row>
    <row r="51" ht="15" customHeight="1" s="17">
      <c r="A51" s="30" t="inlineStr">
        <is>
          <t>NZ|SCM|M|15|100 Breast</t>
        </is>
      </c>
      <c r="B51" s="30" t="inlineStr">
        <is>
          <t>SCM</t>
        </is>
      </c>
      <c r="C51" s="30" t="inlineStr">
        <is>
          <t>Male</t>
        </is>
      </c>
      <c r="D51" s="30" t="n">
        <v>15</v>
      </c>
      <c r="E51" s="30" t="inlineStr">
        <is>
          <t>100 Breast</t>
        </is>
      </c>
      <c r="F51" s="30" t="inlineStr">
        <is>
          <t>Erik Kahr</t>
        </is>
      </c>
      <c r="G51" s="22" t="inlineStr">
        <is>
          <t>Erik Kahr</t>
        </is>
      </c>
      <c r="H51" s="22" t="n"/>
      <c r="I51" s="30" t="inlineStr">
        <is>
          <t>1:01.86</t>
        </is>
      </c>
      <c r="J51" s="22">
        <f>IF(I51="","",IF(ISNUMBER(SEARCH(":",I51)),VALUE(LEFT(I51,SEARCH(":",I51)-1))*60+VALUE(MID(I51,SEARCH(":",I51)+1,99)),VALUE(I51)))</f>
        <v/>
      </c>
      <c r="K51" s="30" t="inlineStr">
        <is>
          <t>07.08.11</t>
        </is>
      </c>
      <c r="L51" s="30" t="inlineStr">
        <is>
          <t>Swimming New Zealand Short Course Records by Age - user-supplied PDF</t>
        </is>
      </c>
      <c r="M51" s="30" t="n"/>
      <c r="N51" s="30" t="inlineStr">
        <is>
          <t>NO</t>
        </is>
      </c>
      <c r="O51" s="30" t="inlineStr">
        <is>
          <t>YES</t>
        </is>
      </c>
      <c r="P51" s="30" t="n"/>
      <c r="Q51" s="30" t="inlineStr">
        <is>
          <t>1:02.23</t>
        </is>
      </c>
      <c r="R51" s="22">
        <f>IF(Q51="","",IF(ISNUMBER(SEARCH(":",Q51)),VALUE(LEFT(Q51,SEARCH(":",Q51)-1))*60+VALUE(MID(Q51,SEARCH(":",Q51)+1,99)),VALUE(Q51)))</f>
        <v/>
      </c>
      <c r="S51" s="39">
        <f>IF(OR(J51="",R51=""),"",(R51-J51)/R51)</f>
        <v/>
      </c>
      <c r="T51" s="22">
        <f>IF(OR(P51&lt;&gt;"",N51="YES"),"YES","NO")</f>
        <v/>
      </c>
      <c r="U51" s="22">
        <f>IF(AND(O51="YES",T51="YES",S51&lt;&gt;""),COUNTIFS($C$5:$C$424,C51,$S$5:$S$424,"&gt;"&amp;S51)+COUNTIFS($C$5:C51,C51,$S$5:S51,S51),"")</f>
        <v/>
      </c>
      <c r="V51" s="22">
        <f>IF(U51="","",C51&amp;"|"&amp;U51)</f>
        <v/>
      </c>
      <c r="W51" s="30" t="n"/>
      <c r="X51" s="30" t="inlineStr">
        <is>
          <t>Next-fastest time supplied in user workbook; swimmer name not yet supplied.</t>
        </is>
      </c>
    </row>
    <row r="52" ht="15" customHeight="1" s="17">
      <c r="A52" s="30" t="inlineStr">
        <is>
          <t>NZ|SCM|M|15|200 Breast</t>
        </is>
      </c>
      <c r="B52" s="30" t="inlineStr">
        <is>
          <t>SCM</t>
        </is>
      </c>
      <c r="C52" s="30" t="inlineStr">
        <is>
          <t>Male</t>
        </is>
      </c>
      <c r="D52" s="30" t="n">
        <v>15</v>
      </c>
      <c r="E52" s="30" t="inlineStr">
        <is>
          <t>200 Breast</t>
        </is>
      </c>
      <c r="F52" s="30" t="inlineStr">
        <is>
          <t>Jacob Story</t>
        </is>
      </c>
      <c r="G52" s="22" t="inlineStr">
        <is>
          <t>Jacob Story</t>
        </is>
      </c>
      <c r="H52" s="22" t="n"/>
      <c r="I52" s="30" t="inlineStr">
        <is>
          <t>2:14.31</t>
        </is>
      </c>
      <c r="J52" s="22">
        <f>IF(I52="","",IF(ISNUMBER(SEARCH(":",I52)),VALUE(LEFT(I52,SEARCH(":",I52)-1))*60+VALUE(MID(I52,SEARCH(":",I52)+1,99)),VALUE(I52)))</f>
        <v/>
      </c>
      <c r="K52" s="30" t="inlineStr">
        <is>
          <t>08.08.23</t>
        </is>
      </c>
      <c r="L52" s="30" t="inlineStr">
        <is>
          <t>Swimming New Zealand Short Course Records by Age - user-supplied PDF</t>
        </is>
      </c>
      <c r="M52" s="30" t="n"/>
      <c r="N52" s="30" t="inlineStr">
        <is>
          <t>NO</t>
        </is>
      </c>
      <c r="O52" s="30" t="inlineStr">
        <is>
          <t>YES</t>
        </is>
      </c>
      <c r="P52" s="30" t="n"/>
      <c r="Q52" s="30" t="inlineStr">
        <is>
          <t>2:14.60</t>
        </is>
      </c>
      <c r="R52" s="22">
        <f>IF(Q52="","",IF(ISNUMBER(SEARCH(":",Q52)),VALUE(LEFT(Q52,SEARCH(":",Q52)-1))*60+VALUE(MID(Q52,SEARCH(":",Q52)+1,99)),VALUE(Q52)))</f>
        <v/>
      </c>
      <c r="S52" s="39">
        <f>IF(OR(J52="",R52=""),"",(R52-J52)/R52)</f>
        <v/>
      </c>
      <c r="T52" s="22">
        <f>IF(OR(P52&lt;&gt;"",N52="YES"),"YES","NO")</f>
        <v/>
      </c>
      <c r="U52" s="22">
        <f>IF(AND(O52="YES",T52="YES",S52&lt;&gt;""),COUNTIFS($C$5:$C$424,C52,$S$5:$S$424,"&gt;"&amp;S52)+COUNTIFS($C$5:C52,C52,$S$5:S52,S52),"")</f>
        <v/>
      </c>
      <c r="V52" s="22">
        <f>IF(U52="","",C52&amp;"|"&amp;U52)</f>
        <v/>
      </c>
      <c r="W52" s="30" t="n"/>
      <c r="X52" s="30" t="inlineStr">
        <is>
          <t>Next-fastest time supplied in user workbook; swimmer name not yet supplied.</t>
        </is>
      </c>
    </row>
    <row r="53" ht="15" customHeight="1" s="17">
      <c r="A53" s="30" t="inlineStr">
        <is>
          <t>NZ|SCM|M|15|50 Fly</t>
        </is>
      </c>
      <c r="B53" s="30" t="inlineStr">
        <is>
          <t>SCM</t>
        </is>
      </c>
      <c r="C53" s="30" t="inlineStr">
        <is>
          <t>Male</t>
        </is>
      </c>
      <c r="D53" s="30" t="n">
        <v>15</v>
      </c>
      <c r="E53" s="30" t="inlineStr">
        <is>
          <t>50 Fly</t>
        </is>
      </c>
      <c r="F53" s="30" t="inlineStr">
        <is>
          <t>Jacob Story</t>
        </is>
      </c>
      <c r="G53" s="22" t="inlineStr">
        <is>
          <t>Jacob Story</t>
        </is>
      </c>
      <c r="H53" s="22" t="n"/>
      <c r="I53" s="30" t="inlineStr">
        <is>
          <t>24.84</t>
        </is>
      </c>
      <c r="J53" s="22">
        <f>IF(I53="","",IF(ISNUMBER(SEARCH(":",I53)),VALUE(LEFT(I53,SEARCH(":",I53)-1))*60+VALUE(MID(I53,SEARCH(":",I53)+1,99)),VALUE(I53)))</f>
        <v/>
      </c>
      <c r="K53" s="30" t="inlineStr">
        <is>
          <t>09.08.23</t>
        </is>
      </c>
      <c r="L53" s="30" t="inlineStr">
        <is>
          <t>Swimming New Zealand Short Course Records by Age - user-supplied PDF</t>
        </is>
      </c>
      <c r="M53" s="30" t="n"/>
      <c r="N53" s="30" t="inlineStr">
        <is>
          <t>NO</t>
        </is>
      </c>
      <c r="O53" s="30" t="inlineStr">
        <is>
          <t>YES</t>
        </is>
      </c>
      <c r="P53" s="30" t="n"/>
      <c r="Q53" s="30" t="inlineStr">
        <is>
          <t>25.10</t>
        </is>
      </c>
      <c r="R53" s="22">
        <f>IF(Q53="","",IF(ISNUMBER(SEARCH(":",Q53)),VALUE(LEFT(Q53,SEARCH(":",Q53)-1))*60+VALUE(MID(Q53,SEARCH(":",Q53)+1,99)),VALUE(Q53)))</f>
        <v/>
      </c>
      <c r="S53" s="39">
        <f>IF(OR(J53="",R53=""),"",(R53-J53)/R53)</f>
        <v/>
      </c>
      <c r="T53" s="22">
        <f>IF(OR(P53&lt;&gt;"",N53="YES"),"YES","NO")</f>
        <v/>
      </c>
      <c r="U53" s="22">
        <f>IF(AND(O53="YES",T53="YES",S53&lt;&gt;""),COUNTIFS($C$5:$C$424,C53,$S$5:$S$424,"&gt;"&amp;S53)+COUNTIFS($C$5:C53,C53,$S$5:S53,S53),"")</f>
        <v/>
      </c>
      <c r="V53" s="22">
        <f>IF(U53="","",C53&amp;"|"&amp;U53)</f>
        <v/>
      </c>
      <c r="W53" s="30" t="n"/>
      <c r="X53" s="30" t="inlineStr">
        <is>
          <t>Next-fastest time supplied in user workbook; swimmer name not yet supplied.</t>
        </is>
      </c>
    </row>
    <row r="54" ht="15" customHeight="1" s="17">
      <c r="A54" s="30" t="inlineStr">
        <is>
          <t>NZ|SCM|M|15|100 Fly</t>
        </is>
      </c>
      <c r="B54" s="30" t="inlineStr">
        <is>
          <t>SCM</t>
        </is>
      </c>
      <c r="C54" s="30" t="inlineStr">
        <is>
          <t>Male</t>
        </is>
      </c>
      <c r="D54" s="30" t="n">
        <v>15</v>
      </c>
      <c r="E54" s="30" t="inlineStr">
        <is>
          <t>100 Fly</t>
        </is>
      </c>
      <c r="F54" s="30" t="inlineStr">
        <is>
          <t>Michael Chen</t>
        </is>
      </c>
      <c r="G54" s="22" t="inlineStr">
        <is>
          <t>Michael Chen</t>
        </is>
      </c>
      <c r="H54" s="22" t="n"/>
      <c r="I54" s="30" t="inlineStr">
        <is>
          <t>54.70</t>
        </is>
      </c>
      <c r="J54" s="22">
        <f>IF(I54="","",IF(ISNUMBER(SEARCH(":",I54)),VALUE(LEFT(I54,SEARCH(":",I54)-1))*60+VALUE(MID(I54,SEARCH(":",I54)+1,99)),VALUE(I54)))</f>
        <v/>
      </c>
      <c r="K54" s="30" t="inlineStr">
        <is>
          <t>01.08.26</t>
        </is>
      </c>
      <c r="L54" s="30" t="inlineStr">
        <is>
          <t>Swimming New Zealand Short Course Records by Age - user-supplied PDF</t>
        </is>
      </c>
      <c r="M54" s="30" t="n"/>
      <c r="N54" s="30" t="inlineStr">
        <is>
          <t>NO</t>
        </is>
      </c>
      <c r="O54" s="30" t="inlineStr">
        <is>
          <t>YES</t>
        </is>
      </c>
      <c r="P54" s="30" t="n"/>
      <c r="Q54" s="30" t="inlineStr">
        <is>
          <t>55.75</t>
        </is>
      </c>
      <c r="R54" s="22">
        <f>IF(Q54="","",IF(ISNUMBER(SEARCH(":",Q54)),VALUE(LEFT(Q54,SEARCH(":",Q54)-1))*60+VALUE(MID(Q54,SEARCH(":",Q54)+1,99)),VALUE(Q54)))</f>
        <v/>
      </c>
      <c r="S54" s="39">
        <f>IF(OR(J54="",R54=""),"",(R54-J54)/R54)</f>
        <v/>
      </c>
      <c r="T54" s="22">
        <f>IF(OR(P54&lt;&gt;"",N54="YES"),"YES","NO")</f>
        <v/>
      </c>
      <c r="U54" s="22">
        <f>IF(AND(O54="YES",T54="YES",S54&lt;&gt;""),COUNTIFS($C$5:$C$424,C54,$S$5:$S$424,"&gt;"&amp;S54)+COUNTIFS($C$5:C54,C54,$S$5:S54,S54),"")</f>
        <v/>
      </c>
      <c r="V54" s="22">
        <f>IF(U54="","",C54&amp;"|"&amp;U54)</f>
        <v/>
      </c>
      <c r="W54" s="30" t="n"/>
      <c r="X54" s="30" t="inlineStr">
        <is>
          <t>Next-fastest time supplied in user workbook; swimmer name not yet supplied.</t>
        </is>
      </c>
    </row>
    <row r="55" ht="15" customHeight="1" s="17">
      <c r="A55" s="30" t="inlineStr">
        <is>
          <t>NZ|SCM|M|15|200 Fly</t>
        </is>
      </c>
      <c r="B55" s="30" t="inlineStr">
        <is>
          <t>SCM</t>
        </is>
      </c>
      <c r="C55" s="30" t="inlineStr">
        <is>
          <t>Male</t>
        </is>
      </c>
      <c r="D55" s="30" t="n">
        <v>15</v>
      </c>
      <c r="E55" s="30" t="inlineStr">
        <is>
          <t>200 Fly</t>
        </is>
      </c>
      <c r="F55" s="30" t="inlineStr">
        <is>
          <t>Ariel Muchirahondo</t>
        </is>
      </c>
      <c r="G55" s="22" t="inlineStr">
        <is>
          <t>Ariel Muchirahondo</t>
        </is>
      </c>
      <c r="H55" s="22" t="n"/>
      <c r="I55" s="30" t="inlineStr">
        <is>
          <t>1:58.61</t>
        </is>
      </c>
      <c r="J55" s="22">
        <f>IF(I55="","",IF(ISNUMBER(SEARCH(":",I55)),VALUE(LEFT(I55,SEARCH(":",I55)-1))*60+VALUE(MID(I55,SEARCH(":",I55)+1,99)),VALUE(I55)))</f>
        <v/>
      </c>
      <c r="K55" s="30" t="inlineStr">
        <is>
          <t>23.08.24</t>
        </is>
      </c>
      <c r="L55" s="30" t="inlineStr">
        <is>
          <t>Swimming New Zealand Short Course Records by Age - user-supplied PDF</t>
        </is>
      </c>
      <c r="M55" s="30" t="n"/>
      <c r="N55" s="30" t="inlineStr">
        <is>
          <t>NO</t>
        </is>
      </c>
      <c r="O55" s="30" t="inlineStr">
        <is>
          <t>YES</t>
        </is>
      </c>
      <c r="P55" s="30" t="inlineStr">
        <is>
          <t>Cameron Burrows</t>
        </is>
      </c>
      <c r="Q55" s="30" t="inlineStr">
        <is>
          <t>2:03.08</t>
        </is>
      </c>
      <c r="R55" s="22">
        <f>IF(Q55="","",IF(ISNUMBER(SEARCH(":",Q55)),VALUE(LEFT(Q55,SEARCH(":",Q55)-1))*60+VALUE(MID(Q55,SEARCH(":",Q55)+1,99)),VALUE(Q55)))</f>
        <v/>
      </c>
      <c r="S55" s="39">
        <f>IF(OR(J55="",R55=""),"",(R55-J55)/R55)</f>
        <v/>
      </c>
      <c r="T55" s="22">
        <f>IF(OR(P55&lt;&gt;"",N55="YES"),"YES","NO")</f>
        <v/>
      </c>
      <c r="U55" s="22">
        <f>IF(AND(O55="YES",T55="YES",S55&lt;&gt;""),COUNTIFS($C$5:$C$424,C55,$S$5:$S$424,"&gt;"&amp;S55)+COUNTIFS($C$5:C55,C55,$S$5:S55,S55),"")</f>
        <v/>
      </c>
      <c r="V55" s="22">
        <f>IF(U55="","",C55&amp;"|"&amp;U55)</f>
        <v/>
      </c>
      <c r="W55" s="30" t="n"/>
      <c r="X55" s="30" t="inlineStr">
        <is>
          <t>Next-fastest time supplied in user workbook; swimmer name not yet supplied.</t>
        </is>
      </c>
    </row>
    <row r="56" ht="15" customHeight="1" s="17">
      <c r="A56" s="30" t="inlineStr">
        <is>
          <t>NZ|SCM|M|15|100 IM</t>
        </is>
      </c>
      <c r="B56" s="30" t="inlineStr">
        <is>
          <t>SCM</t>
        </is>
      </c>
      <c r="C56" s="30" t="inlineStr">
        <is>
          <t>Male</t>
        </is>
      </c>
      <c r="D56" s="30" t="n">
        <v>15</v>
      </c>
      <c r="E56" s="30" t="inlineStr">
        <is>
          <t>100 IM</t>
        </is>
      </c>
      <c r="F56" s="30" t="inlineStr">
        <is>
          <t>Jacob Story</t>
        </is>
      </c>
      <c r="G56" s="22" t="inlineStr">
        <is>
          <t>Jacob Story</t>
        </is>
      </c>
      <c r="H56" s="22" t="n"/>
      <c r="I56" s="30" t="inlineStr">
        <is>
          <t>56.33</t>
        </is>
      </c>
      <c r="J56" s="22">
        <f>IF(I56="","",IF(ISNUMBER(SEARCH(":",I56)),VALUE(LEFT(I56,SEARCH(":",I56)-1))*60+VALUE(MID(I56,SEARCH(":",I56)+1,99)),VALUE(I56)))</f>
        <v/>
      </c>
      <c r="K56" s="30" t="inlineStr">
        <is>
          <t>08.08.23</t>
        </is>
      </c>
      <c r="L56" s="30" t="inlineStr">
        <is>
          <t>Swimming New Zealand Short Course Records by Age - user-supplied PDF</t>
        </is>
      </c>
      <c r="M56" s="30" t="n"/>
      <c r="N56" s="30" t="inlineStr">
        <is>
          <t>NO</t>
        </is>
      </c>
      <c r="O56" s="30" t="inlineStr">
        <is>
          <t>YES</t>
        </is>
      </c>
      <c r="P56" s="30" t="n"/>
      <c r="Q56" s="30" t="inlineStr">
        <is>
          <t>57.34</t>
        </is>
      </c>
      <c r="R56" s="22">
        <f>IF(Q56="","",IF(ISNUMBER(SEARCH(":",Q56)),VALUE(LEFT(Q56,SEARCH(":",Q56)-1))*60+VALUE(MID(Q56,SEARCH(":",Q56)+1,99)),VALUE(Q56)))</f>
        <v/>
      </c>
      <c r="S56" s="39">
        <f>IF(OR(J56="",R56=""),"",(R56-J56)/R56)</f>
        <v/>
      </c>
      <c r="T56" s="22">
        <f>IF(OR(P56&lt;&gt;"",N56="YES"),"YES","NO")</f>
        <v/>
      </c>
      <c r="U56" s="22">
        <f>IF(AND(O56="YES",T56="YES",S56&lt;&gt;""),COUNTIFS($C$5:$C$424,C56,$S$5:$S$424,"&gt;"&amp;S56)+COUNTIFS($C$5:C56,C56,$S$5:S56,S56),"")</f>
        <v/>
      </c>
      <c r="V56" s="22">
        <f>IF(U56="","",C56&amp;"|"&amp;U56)</f>
        <v/>
      </c>
      <c r="W56" s="30" t="n"/>
      <c r="X56" s="30" t="inlineStr">
        <is>
          <t>Next-fastest time supplied in user workbook; swimmer name not yet supplied.</t>
        </is>
      </c>
    </row>
    <row r="57" ht="15" customHeight="1" s="17">
      <c r="A57" s="30" t="inlineStr">
        <is>
          <t>NZ|SCM|M|15|200 IM</t>
        </is>
      </c>
      <c r="B57" s="30" t="inlineStr">
        <is>
          <t>SCM</t>
        </is>
      </c>
      <c r="C57" s="30" t="inlineStr">
        <is>
          <t>Male</t>
        </is>
      </c>
      <c r="D57" s="30" t="n">
        <v>15</v>
      </c>
      <c r="E57" s="30" t="inlineStr">
        <is>
          <t>200 IM</t>
        </is>
      </c>
      <c r="F57" s="30" t="inlineStr">
        <is>
          <t>Kevin Zhang</t>
        </is>
      </c>
      <c r="G57" s="22" t="inlineStr">
        <is>
          <t>Kevin Zhang</t>
        </is>
      </c>
      <c r="H57" s="22" t="n"/>
      <c r="I57" s="30" t="inlineStr">
        <is>
          <t>2:02.86</t>
        </is>
      </c>
      <c r="J57" s="22">
        <f>IF(I57="","",IF(ISNUMBER(SEARCH(":",I57)),VALUE(LEFT(I57,SEARCH(":",I57)-1))*60+VALUE(MID(I57,SEARCH(":",I57)+1,99)),VALUE(I57)))</f>
        <v/>
      </c>
      <c r="K57" s="30" t="inlineStr">
        <is>
          <t>26.08.22</t>
        </is>
      </c>
      <c r="L57" s="30" t="inlineStr">
        <is>
          <t>Swimming New Zealand Short Course Records by Age - user-supplied PDF</t>
        </is>
      </c>
      <c r="M57" s="30" t="n"/>
      <c r="N57" s="30" t="inlineStr">
        <is>
          <t>NO</t>
        </is>
      </c>
      <c r="O57" s="30" t="inlineStr">
        <is>
          <t>YES</t>
        </is>
      </c>
      <c r="P57" s="30" t="n"/>
      <c r="Q57" s="30" t="inlineStr">
        <is>
          <t>2:03.83</t>
        </is>
      </c>
      <c r="R57" s="22">
        <f>IF(Q57="","",IF(ISNUMBER(SEARCH(":",Q57)),VALUE(LEFT(Q57,SEARCH(":",Q57)-1))*60+VALUE(MID(Q57,SEARCH(":",Q57)+1,99)),VALUE(Q57)))</f>
        <v/>
      </c>
      <c r="S57" s="39">
        <f>IF(OR(J57="",R57=""),"",(R57-J57)/R57)</f>
        <v/>
      </c>
      <c r="T57" s="22">
        <f>IF(OR(P57&lt;&gt;"",N57="YES"),"YES","NO")</f>
        <v/>
      </c>
      <c r="U57" s="22">
        <f>IF(AND(O57="YES",T57="YES",S57&lt;&gt;""),COUNTIFS($C$5:$C$424,C57,$S$5:$S$424,"&gt;"&amp;S57)+COUNTIFS($C$5:C57,C57,$S$5:S57,S57),"")</f>
        <v/>
      </c>
      <c r="V57" s="22">
        <f>IF(U57="","",C57&amp;"|"&amp;U57)</f>
        <v/>
      </c>
      <c r="W57" s="30" t="n"/>
      <c r="X57" s="30" t="inlineStr">
        <is>
          <t>Next-fastest time supplied in user workbook; swimmer name not yet supplied.</t>
        </is>
      </c>
    </row>
    <row r="58" ht="15" customHeight="1" s="17">
      <c r="A58" s="30" t="inlineStr">
        <is>
          <t>NZ|SCM|M|15|400 IM</t>
        </is>
      </c>
      <c r="B58" s="30" t="inlineStr">
        <is>
          <t>SCM</t>
        </is>
      </c>
      <c r="C58" s="30" t="inlineStr">
        <is>
          <t>Male</t>
        </is>
      </c>
      <c r="D58" s="30" t="n">
        <v>15</v>
      </c>
      <c r="E58" s="30" t="inlineStr">
        <is>
          <t>400 IM</t>
        </is>
      </c>
      <c r="F58" s="30" t="inlineStr">
        <is>
          <t>Anthony van der Kraay</t>
        </is>
      </c>
      <c r="G58" s="22" t="inlineStr">
        <is>
          <t>Anthony van der Kraay</t>
        </is>
      </c>
      <c r="H58" s="22" t="n"/>
      <c r="I58" s="30" t="inlineStr">
        <is>
          <t>4:19.83</t>
        </is>
      </c>
      <c r="J58" s="22">
        <f>IF(I58="","",IF(ISNUMBER(SEARCH(":",I58)),VALUE(LEFT(I58,SEARCH(":",I58)-1))*60+VALUE(MID(I58,SEARCH(":",I58)+1,99)),VALUE(I58)))</f>
        <v/>
      </c>
      <c r="K58" s="30" t="inlineStr">
        <is>
          <t>19.09.96</t>
        </is>
      </c>
      <c r="L58" s="30" t="inlineStr">
        <is>
          <t>Swimming New Zealand Short Course Records by Age - user-supplied PDF</t>
        </is>
      </c>
      <c r="M58" s="30" t="n"/>
      <c r="N58" s="30" t="inlineStr">
        <is>
          <t>NO</t>
        </is>
      </c>
      <c r="O58" s="30" t="inlineStr">
        <is>
          <t>YES</t>
        </is>
      </c>
      <c r="P58" s="30" t="n"/>
      <c r="Q58" s="30" t="inlineStr">
        <is>
          <t>4:20.24</t>
        </is>
      </c>
      <c r="R58" s="22">
        <f>IF(Q58="","",IF(ISNUMBER(SEARCH(":",Q58)),VALUE(LEFT(Q58,SEARCH(":",Q58)-1))*60+VALUE(MID(Q58,SEARCH(":",Q58)+1,99)),VALUE(Q58)))</f>
        <v/>
      </c>
      <c r="S58" s="39">
        <f>IF(OR(J58="",R58=""),"",(R58-J58)/R58)</f>
        <v/>
      </c>
      <c r="T58" s="22">
        <f>IF(OR(P58&lt;&gt;"",N58="YES"),"YES","NO")</f>
        <v/>
      </c>
      <c r="U58" s="22">
        <f>IF(AND(O58="YES",T58="YES",S58&lt;&gt;""),COUNTIFS($C$5:$C$424,C58,$S$5:$S$424,"&gt;"&amp;S58)+COUNTIFS($C$5:C58,C58,$S$5:S58,S58),"")</f>
        <v/>
      </c>
      <c r="V58" s="22">
        <f>IF(U58="","",C58&amp;"|"&amp;U58)</f>
        <v/>
      </c>
      <c r="W58" s="30" t="n"/>
      <c r="X58" s="30" t="inlineStr">
        <is>
          <t>Next-fastest time supplied in user workbook; swimmer name not yet supplied.</t>
        </is>
      </c>
    </row>
    <row r="59" ht="15" customHeight="1" s="17">
      <c r="A59" s="30" t="inlineStr">
        <is>
          <t>NZ|SCM|M|16|50 Free</t>
        </is>
      </c>
      <c r="B59" s="30" t="inlineStr">
        <is>
          <t>SCM</t>
        </is>
      </c>
      <c r="C59" s="30" t="inlineStr">
        <is>
          <t>Male</t>
        </is>
      </c>
      <c r="D59" s="30" t="n">
        <v>16</v>
      </c>
      <c r="E59" s="30" t="inlineStr">
        <is>
          <t>50 Free</t>
        </is>
      </c>
      <c r="F59" s="30" t="inlineStr">
        <is>
          <t>Michael Pickett</t>
        </is>
      </c>
      <c r="G59" s="22" t="inlineStr">
        <is>
          <t>Michael Pickett</t>
        </is>
      </c>
      <c r="H59" s="22" t="n"/>
      <c r="I59" s="30" t="inlineStr">
        <is>
          <t>22.31</t>
        </is>
      </c>
      <c r="J59" s="22">
        <f>IF(I59="","",IF(ISNUMBER(SEARCH(":",I59)),VALUE(LEFT(I59,SEARCH(":",I59)-1))*60+VALUE(MID(I59,SEARCH(":",I59)+1,99)),VALUE(I59)))</f>
        <v/>
      </c>
      <c r="K59" s="30" t="inlineStr">
        <is>
          <t>17.08.18</t>
        </is>
      </c>
      <c r="L59" s="30" t="inlineStr">
        <is>
          <t>Swimming New Zealand Short Course Records by Age - user-supplied PDF</t>
        </is>
      </c>
      <c r="M59" s="30" t="n"/>
      <c r="N59" s="30" t="inlineStr">
        <is>
          <t>NO</t>
        </is>
      </c>
      <c r="O59" s="30" t="inlineStr">
        <is>
          <t>YES</t>
        </is>
      </c>
      <c r="P59" s="30" t="n"/>
      <c r="Q59" s="30" t="inlineStr">
        <is>
          <t>22.53</t>
        </is>
      </c>
      <c r="R59" s="22">
        <f>IF(Q59="","",IF(ISNUMBER(SEARCH(":",Q59)),VALUE(LEFT(Q59,SEARCH(":",Q59)-1))*60+VALUE(MID(Q59,SEARCH(":",Q59)+1,99)),VALUE(Q59)))</f>
        <v/>
      </c>
      <c r="S59" s="39">
        <f>IF(OR(J59="",R59=""),"",(R59-J59)/R59)</f>
        <v/>
      </c>
      <c r="T59" s="22">
        <f>IF(OR(P59&lt;&gt;"",N59="YES"),"YES","NO")</f>
        <v/>
      </c>
      <c r="U59" s="22">
        <f>IF(AND(O59="YES",T59="YES",S59&lt;&gt;""),COUNTIFS($C$5:$C$424,C59,$S$5:$S$424,"&gt;"&amp;S59)+COUNTIFS($C$5:C59,C59,$S$5:S59,S59),"")</f>
        <v/>
      </c>
      <c r="V59" s="22">
        <f>IF(U59="","",C59&amp;"|"&amp;U59)</f>
        <v/>
      </c>
      <c r="W59" s="30" t="n"/>
      <c r="X59" s="30" t="inlineStr">
        <is>
          <t>Next-fastest time supplied in user workbook; swimmer name not yet supplied.</t>
        </is>
      </c>
    </row>
    <row r="60" ht="15" customHeight="1" s="17">
      <c r="A60" s="30" t="inlineStr">
        <is>
          <t>NZ|SCM|M|16|100 Free</t>
        </is>
      </c>
      <c r="B60" s="30" t="inlineStr">
        <is>
          <t>SCM</t>
        </is>
      </c>
      <c r="C60" s="30" t="inlineStr">
        <is>
          <t>Male</t>
        </is>
      </c>
      <c r="D60" s="30" t="n">
        <v>16</v>
      </c>
      <c r="E60" s="30" t="inlineStr">
        <is>
          <t>100 Free</t>
        </is>
      </c>
      <c r="F60" s="30" t="inlineStr">
        <is>
          <t>Sam McKenzie</t>
        </is>
      </c>
      <c r="G60" s="22" t="inlineStr">
        <is>
          <t>Sam McKenzie</t>
        </is>
      </c>
      <c r="H60" s="22" t="n"/>
      <c r="I60" s="30" t="inlineStr">
        <is>
          <t>49.70</t>
        </is>
      </c>
      <c r="J60" s="22">
        <f>IF(I60="","",IF(ISNUMBER(SEARCH(":",I60)),VALUE(LEFT(I60,SEARCH(":",I60)-1))*60+VALUE(MID(I60,SEARCH(":",I60)+1,99)),VALUE(I60)))</f>
        <v/>
      </c>
      <c r="K60" s="30" t="inlineStr">
        <is>
          <t>26.09.15</t>
        </is>
      </c>
      <c r="L60" s="30" t="inlineStr">
        <is>
          <t>Swimming New Zealand Short Course Records by Age - user-supplied PDF</t>
        </is>
      </c>
      <c r="M60" s="30" t="n"/>
      <c r="N60" s="30" t="inlineStr">
        <is>
          <t>NO</t>
        </is>
      </c>
      <c r="O60" s="30" t="inlineStr">
        <is>
          <t>YES</t>
        </is>
      </c>
      <c r="P60" s="30" t="n"/>
      <c r="Q60" s="30" t="inlineStr">
        <is>
          <t>49.71</t>
        </is>
      </c>
      <c r="R60" s="22">
        <f>IF(Q60="","",IF(ISNUMBER(SEARCH(":",Q60)),VALUE(LEFT(Q60,SEARCH(":",Q60)-1))*60+VALUE(MID(Q60,SEARCH(":",Q60)+1,99)),VALUE(Q60)))</f>
        <v/>
      </c>
      <c r="S60" s="39">
        <f>IF(OR(J60="",R60=""),"",(R60-J60)/R60)</f>
        <v/>
      </c>
      <c r="T60" s="22">
        <f>IF(OR(P60&lt;&gt;"",N60="YES"),"YES","NO")</f>
        <v/>
      </c>
      <c r="U60" s="22">
        <f>IF(AND(O60="YES",T60="YES",S60&lt;&gt;""),COUNTIFS($C$5:$C$424,C60,$S$5:$S$424,"&gt;"&amp;S60)+COUNTIFS($C$5:C60,C60,$S$5:S60,S60),"")</f>
        <v/>
      </c>
      <c r="V60" s="22">
        <f>IF(U60="","",C60&amp;"|"&amp;U60)</f>
        <v/>
      </c>
      <c r="W60" s="30" t="n"/>
      <c r="X60" s="30" t="inlineStr">
        <is>
          <t>Next-fastest time supplied in user workbook; swimmer name not yet supplied.</t>
        </is>
      </c>
    </row>
    <row r="61" ht="15" customHeight="1" s="17">
      <c r="A61" s="30" t="inlineStr">
        <is>
          <t>NZ|SCM|M|16|200 Free</t>
        </is>
      </c>
      <c r="B61" s="30" t="inlineStr">
        <is>
          <t>SCM</t>
        </is>
      </c>
      <c r="C61" s="30" t="inlineStr">
        <is>
          <t>Male</t>
        </is>
      </c>
      <c r="D61" s="30" t="n">
        <v>16</v>
      </c>
      <c r="E61" s="30" t="inlineStr">
        <is>
          <t>200 Free</t>
        </is>
      </c>
      <c r="F61" s="30" t="inlineStr">
        <is>
          <t>Ariel Muchirahondo</t>
        </is>
      </c>
      <c r="G61" s="22" t="inlineStr">
        <is>
          <t>Ariel Muchirahondo</t>
        </is>
      </c>
      <c r="H61" s="22" t="n"/>
      <c r="I61" s="30" t="inlineStr">
        <is>
          <t>1:47.09</t>
        </is>
      </c>
      <c r="J61" s="22">
        <f>IF(I61="","",IF(ISNUMBER(SEARCH(":",I61)),VALUE(LEFT(I61,SEARCH(":",I61)-1))*60+VALUE(MID(I61,SEARCH(":",I61)+1,99)),VALUE(I61)))</f>
        <v/>
      </c>
      <c r="K61" s="30" t="inlineStr">
        <is>
          <t>30.01.26</t>
        </is>
      </c>
      <c r="L61" s="30" t="inlineStr">
        <is>
          <t>Swimming New Zealand Short Course Records by Age - user-supplied PDF</t>
        </is>
      </c>
      <c r="M61" s="30" t="n"/>
      <c r="N61" s="30" t="inlineStr">
        <is>
          <t>NO</t>
        </is>
      </c>
      <c r="O61" s="30" t="inlineStr">
        <is>
          <t>YES</t>
        </is>
      </c>
      <c r="P61" s="30" t="n"/>
      <c r="Q61" s="30" t="inlineStr">
        <is>
          <t>1:48.53</t>
        </is>
      </c>
      <c r="R61" s="22">
        <f>IF(Q61="","",IF(ISNUMBER(SEARCH(":",Q61)),VALUE(LEFT(Q61,SEARCH(":",Q61)-1))*60+VALUE(MID(Q61,SEARCH(":",Q61)+1,99)),VALUE(Q61)))</f>
        <v/>
      </c>
      <c r="S61" s="39">
        <f>IF(OR(J61="",R61=""),"",(R61-J61)/R61)</f>
        <v/>
      </c>
      <c r="T61" s="22">
        <f>IF(OR(P61&lt;&gt;"",N61="YES"),"YES","NO")</f>
        <v/>
      </c>
      <c r="U61" s="22">
        <f>IF(AND(O61="YES",T61="YES",S61&lt;&gt;""),COUNTIFS($C$5:$C$424,C61,$S$5:$S$424,"&gt;"&amp;S61)+COUNTIFS($C$5:C61,C61,$S$5:S61,S61),"")</f>
        <v/>
      </c>
      <c r="V61" s="22">
        <f>IF(U61="","",C61&amp;"|"&amp;U61)</f>
        <v/>
      </c>
      <c r="W61" s="30" t="n"/>
      <c r="X61" s="30" t="inlineStr">
        <is>
          <t>Next-fastest time supplied in user workbook; swimmer name not yet supplied.</t>
        </is>
      </c>
    </row>
    <row r="62" ht="15" customHeight="1" s="17">
      <c r="A62" s="30" t="inlineStr">
        <is>
          <t>NZ|SCM|M|16|400 Free</t>
        </is>
      </c>
      <c r="B62" s="30" t="inlineStr">
        <is>
          <t>SCM</t>
        </is>
      </c>
      <c r="C62" s="30" t="inlineStr">
        <is>
          <t>Male</t>
        </is>
      </c>
      <c r="D62" s="30" t="n">
        <v>16</v>
      </c>
      <c r="E62" s="30" t="inlineStr">
        <is>
          <t>400 Free</t>
        </is>
      </c>
      <c r="F62" s="30" t="inlineStr">
        <is>
          <t>Danyon Loader</t>
        </is>
      </c>
      <c r="G62" s="22" t="inlineStr">
        <is>
          <t>Danyon Loader</t>
        </is>
      </c>
      <c r="H62" s="22" t="n"/>
      <c r="I62" s="30" t="inlineStr">
        <is>
          <t>3:43.64</t>
        </is>
      </c>
      <c r="J62" s="22">
        <f>IF(I62="","",IF(ISNUMBER(SEARCH(":",I62)),VALUE(LEFT(I62,SEARCH(":",I62)-1))*60+VALUE(MID(I62,SEARCH(":",I62)+1,99)),VALUE(I62)))</f>
        <v/>
      </c>
      <c r="K62" s="30" t="inlineStr">
        <is>
          <t>01.02.92</t>
        </is>
      </c>
      <c r="L62" s="30" t="inlineStr">
        <is>
          <t>Swimming New Zealand Short Course Records by Age - user-supplied PDF</t>
        </is>
      </c>
      <c r="M62" s="30" t="n"/>
      <c r="N62" s="30" t="inlineStr">
        <is>
          <t>NO</t>
        </is>
      </c>
      <c r="O62" s="30" t="inlineStr">
        <is>
          <t>YES</t>
        </is>
      </c>
      <c r="P62" s="30" t="n"/>
      <c r="Q62" s="30" t="inlineStr">
        <is>
          <t>3:48.92</t>
        </is>
      </c>
      <c r="R62" s="22">
        <f>IF(Q62="","",IF(ISNUMBER(SEARCH(":",Q62)),VALUE(LEFT(Q62,SEARCH(":",Q62)-1))*60+VALUE(MID(Q62,SEARCH(":",Q62)+1,99)),VALUE(Q62)))</f>
        <v/>
      </c>
      <c r="S62" s="39">
        <f>IF(OR(J62="",R62=""),"",(R62-J62)/R62)</f>
        <v/>
      </c>
      <c r="T62" s="22">
        <f>IF(OR(P62&lt;&gt;"",N62="YES"),"YES","NO")</f>
        <v/>
      </c>
      <c r="U62" s="22">
        <f>IF(AND(O62="YES",T62="YES",S62&lt;&gt;""),COUNTIFS($C$5:$C$424,C62,$S$5:$S$424,"&gt;"&amp;S62)+COUNTIFS($C$5:C62,C62,$S$5:S62,S62),"")</f>
        <v/>
      </c>
      <c r="V62" s="22">
        <f>IF(U62="","",C62&amp;"|"&amp;U62)</f>
        <v/>
      </c>
      <c r="W62" s="30" t="n"/>
      <c r="X62" s="30" t="inlineStr">
        <is>
          <t>Next-fastest time supplied in user workbook; swimmer name not yet supplied.</t>
        </is>
      </c>
    </row>
    <row r="63" ht="15" customHeight="1" s="17">
      <c r="A63" s="30" t="inlineStr">
        <is>
          <t>NZ|SCM|M|16|800 Free</t>
        </is>
      </c>
      <c r="B63" s="30" t="inlineStr">
        <is>
          <t>SCM</t>
        </is>
      </c>
      <c r="C63" s="30" t="inlineStr">
        <is>
          <t>Male</t>
        </is>
      </c>
      <c r="D63" s="30" t="n">
        <v>16</v>
      </c>
      <c r="E63" s="30" t="inlineStr">
        <is>
          <t>800 Free</t>
        </is>
      </c>
      <c r="F63" s="30" t="inlineStr">
        <is>
          <t>Danyon Loader</t>
        </is>
      </c>
      <c r="G63" s="22" t="inlineStr">
        <is>
          <t>Danyon Loader</t>
        </is>
      </c>
      <c r="H63" s="22" t="n"/>
      <c r="I63" s="30" t="inlineStr">
        <is>
          <t>7:57.08</t>
        </is>
      </c>
      <c r="J63" s="22">
        <f>IF(I63="","",IF(ISNUMBER(SEARCH(":",I63)),VALUE(LEFT(I63,SEARCH(":",I63)-1))*60+VALUE(MID(I63,SEARCH(":",I63)+1,99)),VALUE(I63)))</f>
        <v/>
      </c>
      <c r="K63" s="30" t="inlineStr">
        <is>
          <t>02.02.92</t>
        </is>
      </c>
      <c r="L63" s="30" t="inlineStr">
        <is>
          <t>Swimming New Zealand Short Course Records by Age - user-supplied PDF</t>
        </is>
      </c>
      <c r="M63" s="30" t="n"/>
      <c r="N63" s="30" t="inlineStr">
        <is>
          <t>NO</t>
        </is>
      </c>
      <c r="O63" s="30" t="inlineStr">
        <is>
          <t>YES</t>
        </is>
      </c>
      <c r="P63" s="30" t="n"/>
      <c r="Q63" s="30" t="inlineStr">
        <is>
          <t>8:06.80</t>
        </is>
      </c>
      <c r="R63" s="22">
        <f>IF(Q63="","",IF(ISNUMBER(SEARCH(":",Q63)),VALUE(LEFT(Q63,SEARCH(":",Q63)-1))*60+VALUE(MID(Q63,SEARCH(":",Q63)+1,99)),VALUE(Q63)))</f>
        <v/>
      </c>
      <c r="S63" s="39">
        <f>IF(OR(J63="",R63=""),"",(R63-J63)/R63)</f>
        <v/>
      </c>
      <c r="T63" s="22">
        <f>IF(OR(P63&lt;&gt;"",N63="YES"),"YES","NO")</f>
        <v/>
      </c>
      <c r="U63" s="22">
        <f>IF(AND(O63="YES",T63="YES",S63&lt;&gt;""),COUNTIFS($C$5:$C$424,C63,$S$5:$S$424,"&gt;"&amp;S63)+COUNTIFS($C$5:C63,C63,$S$5:S63,S63),"")</f>
        <v/>
      </c>
      <c r="V63" s="22">
        <f>IF(U63="","",C63&amp;"|"&amp;U63)</f>
        <v/>
      </c>
      <c r="W63" s="30" t="n"/>
      <c r="X63" s="30" t="inlineStr">
        <is>
          <t>Next-fastest time supplied in user workbook; swimmer name not yet supplied.</t>
        </is>
      </c>
    </row>
    <row r="64" ht="15" customHeight="1" s="17">
      <c r="A64" s="30" t="inlineStr">
        <is>
          <t>NZ|SCM|M|16|1500 Free</t>
        </is>
      </c>
      <c r="B64" s="30" t="inlineStr">
        <is>
          <t>SCM</t>
        </is>
      </c>
      <c r="C64" s="30" t="inlineStr">
        <is>
          <t>Male</t>
        </is>
      </c>
      <c r="D64" s="30" t="n">
        <v>16</v>
      </c>
      <c r="E64" s="30" t="inlineStr">
        <is>
          <t>1500 Free</t>
        </is>
      </c>
      <c r="F64" s="30" t="inlineStr">
        <is>
          <t>Danyon Loader</t>
        </is>
      </c>
      <c r="G64" s="22" t="inlineStr">
        <is>
          <t>Danyon Loader</t>
        </is>
      </c>
      <c r="H64" s="22" t="n"/>
      <c r="I64" s="30" t="inlineStr">
        <is>
          <t>14:54.38</t>
        </is>
      </c>
      <c r="J64" s="22">
        <f>IF(I64="","",IF(ISNUMBER(SEARCH(":",I64)),VALUE(LEFT(I64,SEARCH(":",I64)-1))*60+VALUE(MID(I64,SEARCH(":",I64)+1,99)),VALUE(I64)))</f>
        <v/>
      </c>
      <c r="K64" s="30" t="inlineStr">
        <is>
          <t>02.02.92</t>
        </is>
      </c>
      <c r="L64" s="30" t="inlineStr">
        <is>
          <t>Swimming New Zealand Short Course Records by Age - user-supplied PDF</t>
        </is>
      </c>
      <c r="M64" s="30" t="n"/>
      <c r="N64" s="30" t="inlineStr">
        <is>
          <t>NO</t>
        </is>
      </c>
      <c r="O64" s="30" t="inlineStr">
        <is>
          <t>YES</t>
        </is>
      </c>
      <c r="P64" s="30" t="n"/>
      <c r="Q64" s="30" t="inlineStr">
        <is>
          <t>15:17.91</t>
        </is>
      </c>
      <c r="R64" s="22">
        <f>IF(Q64="","",IF(ISNUMBER(SEARCH(":",Q64)),VALUE(LEFT(Q64,SEARCH(":",Q64)-1))*60+VALUE(MID(Q64,SEARCH(":",Q64)+1,99)),VALUE(Q64)))</f>
        <v/>
      </c>
      <c r="S64" s="39">
        <f>IF(OR(J64="",R64=""),"",(R64-J64)/R64)</f>
        <v/>
      </c>
      <c r="T64" s="22">
        <f>IF(OR(P64&lt;&gt;"",N64="YES"),"YES","NO")</f>
        <v/>
      </c>
      <c r="U64" s="22">
        <f>IF(AND(O64="YES",T64="YES",S64&lt;&gt;""),COUNTIFS($C$5:$C$424,C64,$S$5:$S$424,"&gt;"&amp;S64)+COUNTIFS($C$5:C64,C64,$S$5:S64,S64),"")</f>
        <v/>
      </c>
      <c r="V64" s="22">
        <f>IF(U64="","",C64&amp;"|"&amp;U64)</f>
        <v/>
      </c>
      <c r="W64" s="30" t="n"/>
      <c r="X64" s="30" t="inlineStr">
        <is>
          <t>Next-fastest time supplied in user workbook; swimmer name not yet supplied.</t>
        </is>
      </c>
    </row>
    <row r="65" ht="15" customHeight="1" s="17">
      <c r="A65" s="30" t="inlineStr">
        <is>
          <t>NZ|SCM|M|16|50 Back</t>
        </is>
      </c>
      <c r="B65" s="30" t="inlineStr">
        <is>
          <t>SCM</t>
        </is>
      </c>
      <c r="C65" s="30" t="inlineStr">
        <is>
          <t>Male</t>
        </is>
      </c>
      <c r="D65" s="30" t="n">
        <v>16</v>
      </c>
      <c r="E65" s="30" t="inlineStr">
        <is>
          <t>50 Back</t>
        </is>
      </c>
      <c r="F65" s="30" t="inlineStr">
        <is>
          <t>Bruce Shen</t>
        </is>
      </c>
      <c r="G65" s="22" t="inlineStr">
        <is>
          <t>Bruce Shen</t>
        </is>
      </c>
      <c r="H65" s="22" t="n"/>
      <c r="I65" s="30" t="inlineStr">
        <is>
          <t>24.47</t>
        </is>
      </c>
      <c r="J65" s="22">
        <f>IF(I65="","",IF(ISNUMBER(SEARCH(":",I65)),VALUE(LEFT(I65,SEARCH(":",I65)-1))*60+VALUE(MID(I65,SEARCH(":",I65)+1,99)),VALUE(I65)))</f>
        <v/>
      </c>
      <c r="K65" s="30" t="inlineStr">
        <is>
          <t>24.09.25</t>
        </is>
      </c>
      <c r="L65" s="30" t="inlineStr">
        <is>
          <t>Swimming New Zealand Short Course Records by Age - user-supplied PDF</t>
        </is>
      </c>
      <c r="M65" s="30" t="n"/>
      <c r="N65" s="30" t="inlineStr">
        <is>
          <t>NO</t>
        </is>
      </c>
      <c r="O65" s="30" t="inlineStr">
        <is>
          <t>YES</t>
        </is>
      </c>
      <c r="P65" s="30" t="n"/>
      <c r="Q65" s="30" t="inlineStr">
        <is>
          <t>25.05</t>
        </is>
      </c>
      <c r="R65" s="22">
        <f>IF(Q65="","",IF(ISNUMBER(SEARCH(":",Q65)),VALUE(LEFT(Q65,SEARCH(":",Q65)-1))*60+VALUE(MID(Q65,SEARCH(":",Q65)+1,99)),VALUE(Q65)))</f>
        <v/>
      </c>
      <c r="S65" s="39">
        <f>IF(OR(J65="",R65=""),"",(R65-J65)/R65)</f>
        <v/>
      </c>
      <c r="T65" s="22">
        <f>IF(OR(P65&lt;&gt;"",N65="YES"),"YES","NO")</f>
        <v/>
      </c>
      <c r="U65" s="22">
        <f>IF(AND(O65="YES",T65="YES",S65&lt;&gt;""),COUNTIFS($C$5:$C$424,C65,$S$5:$S$424,"&gt;"&amp;S65)+COUNTIFS($C$5:C65,C65,$S$5:S65,S65),"")</f>
        <v/>
      </c>
      <c r="V65" s="22">
        <f>IF(U65="","",C65&amp;"|"&amp;U65)</f>
        <v/>
      </c>
      <c r="W65" s="30" t="n"/>
      <c r="X65" s="30" t="inlineStr">
        <is>
          <t>Next-fastest time supplied in user workbook; swimmer name not yet supplied.</t>
        </is>
      </c>
    </row>
    <row r="66" ht="15" customHeight="1" s="17">
      <c r="A66" s="30" t="inlineStr">
        <is>
          <t>NZ|SCM|M|16|100 Back</t>
        </is>
      </c>
      <c r="B66" s="30" t="inlineStr">
        <is>
          <t>SCM</t>
        </is>
      </c>
      <c r="C66" s="30" t="inlineStr">
        <is>
          <t>Male</t>
        </is>
      </c>
      <c r="D66" s="30" t="n">
        <v>16</v>
      </c>
      <c r="E66" s="30" t="inlineStr">
        <is>
          <t>100 Back</t>
        </is>
      </c>
      <c r="F66" s="30" t="inlineStr">
        <is>
          <t>Corey Main</t>
        </is>
      </c>
      <c r="G66" s="22" t="inlineStr">
        <is>
          <t>Corey Main</t>
        </is>
      </c>
      <c r="H66" s="22" t="n"/>
      <c r="I66" s="30" t="inlineStr">
        <is>
          <t>53.53</t>
        </is>
      </c>
      <c r="J66" s="22">
        <f>IF(I66="","",IF(ISNUMBER(SEARCH(":",I66)),VALUE(LEFT(I66,SEARCH(":",I66)-1))*60+VALUE(MID(I66,SEARCH(":",I66)+1,99)),VALUE(I66)))</f>
        <v/>
      </c>
      <c r="K66" s="30" t="inlineStr">
        <is>
          <t>11.09.11</t>
        </is>
      </c>
      <c r="L66" s="30" t="inlineStr">
        <is>
          <t>Swimming New Zealand Short Course Records by Age - user-supplied PDF</t>
        </is>
      </c>
      <c r="M66" s="30" t="n"/>
      <c r="N66" s="30" t="inlineStr">
        <is>
          <t>NO</t>
        </is>
      </c>
      <c r="O66" s="30" t="inlineStr">
        <is>
          <t>YES</t>
        </is>
      </c>
      <c r="P66" s="30" t="n"/>
      <c r="Q66" s="30" t="inlineStr">
        <is>
          <t>53.93</t>
        </is>
      </c>
      <c r="R66" s="22">
        <f>IF(Q66="","",IF(ISNUMBER(SEARCH(":",Q66)),VALUE(LEFT(Q66,SEARCH(":",Q66)-1))*60+VALUE(MID(Q66,SEARCH(":",Q66)+1,99)),VALUE(Q66)))</f>
        <v/>
      </c>
      <c r="S66" s="39">
        <f>IF(OR(J66="",R66=""),"",(R66-J66)/R66)</f>
        <v/>
      </c>
      <c r="T66" s="22">
        <f>IF(OR(P66&lt;&gt;"",N66="YES"),"YES","NO")</f>
        <v/>
      </c>
      <c r="U66" s="22">
        <f>IF(AND(O66="YES",T66="YES",S66&lt;&gt;""),COUNTIFS($C$5:$C$424,C66,$S$5:$S$424,"&gt;"&amp;S66)+COUNTIFS($C$5:C66,C66,$S$5:S66,S66),"")</f>
        <v/>
      </c>
      <c r="V66" s="22">
        <f>IF(U66="","",C66&amp;"|"&amp;U66)</f>
        <v/>
      </c>
      <c r="W66" s="30" t="n"/>
      <c r="X66" s="30" t="inlineStr">
        <is>
          <t>Next-fastest time supplied in user workbook; swimmer name not yet supplied.</t>
        </is>
      </c>
    </row>
    <row r="67" ht="15" customHeight="1" s="17">
      <c r="A67" s="30" t="inlineStr">
        <is>
          <t>NZ|SCM|M|16|200 Back</t>
        </is>
      </c>
      <c r="B67" s="30" t="inlineStr">
        <is>
          <t>SCM</t>
        </is>
      </c>
      <c r="C67" s="30" t="inlineStr">
        <is>
          <t>Male</t>
        </is>
      </c>
      <c r="D67" s="30" t="n">
        <v>16</v>
      </c>
      <c r="E67" s="30" t="inlineStr">
        <is>
          <t>200 Back</t>
        </is>
      </c>
      <c r="F67" s="30" t="inlineStr">
        <is>
          <t>Ariel Muchirahondo</t>
        </is>
      </c>
      <c r="G67" s="22" t="inlineStr">
        <is>
          <t>Ariel Muchirahondo</t>
        </is>
      </c>
      <c r="H67" s="22" t="n"/>
      <c r="I67" s="30" t="inlineStr">
        <is>
          <t>1:55.38</t>
        </is>
      </c>
      <c r="J67" s="22">
        <f>IF(I67="","",IF(ISNUMBER(SEARCH(":",I67)),VALUE(LEFT(I67,SEARCH(":",I67)-1))*60+VALUE(MID(I67,SEARCH(":",I67)+1,99)),VALUE(I67)))</f>
        <v/>
      </c>
      <c r="K67" s="30" t="inlineStr">
        <is>
          <t>26.07.25</t>
        </is>
      </c>
      <c r="L67" s="30" t="inlineStr">
        <is>
          <t>Swimming New Zealand Short Course Records by Age - user-supplied PDF</t>
        </is>
      </c>
      <c r="M67" s="30" t="n"/>
      <c r="N67" s="30" t="inlineStr">
        <is>
          <t>NO</t>
        </is>
      </c>
      <c r="O67" s="30" t="inlineStr">
        <is>
          <t>YES</t>
        </is>
      </c>
      <c r="P67" s="30" t="n"/>
      <c r="Q67" s="30" t="inlineStr">
        <is>
          <t>1:55.44</t>
        </is>
      </c>
      <c r="R67" s="22">
        <f>IF(Q67="","",IF(ISNUMBER(SEARCH(":",Q67)),VALUE(LEFT(Q67,SEARCH(":",Q67)-1))*60+VALUE(MID(Q67,SEARCH(":",Q67)+1,99)),VALUE(Q67)))</f>
        <v/>
      </c>
      <c r="S67" s="39">
        <f>IF(OR(J67="",R67=""),"",(R67-J67)/R67)</f>
        <v/>
      </c>
      <c r="T67" s="22">
        <f>IF(OR(P67&lt;&gt;"",N67="YES"),"YES","NO")</f>
        <v/>
      </c>
      <c r="U67" s="22">
        <f>IF(AND(O67="YES",T67="YES",S67&lt;&gt;""),COUNTIFS($C$5:$C$424,C67,$S$5:$S$424,"&gt;"&amp;S67)+COUNTIFS($C$5:C67,C67,$S$5:S67,S67),"")</f>
        <v/>
      </c>
      <c r="V67" s="22">
        <f>IF(U67="","",C67&amp;"|"&amp;U67)</f>
        <v/>
      </c>
      <c r="W67" s="30" t="n"/>
      <c r="X67" s="30" t="inlineStr">
        <is>
          <t>Next-fastest time supplied in user workbook; swimmer name not yet supplied.</t>
        </is>
      </c>
    </row>
    <row r="68" ht="15" customHeight="1" s="17">
      <c r="A68" s="30" t="inlineStr">
        <is>
          <t>NZ|SCM|M|16|50 Breast</t>
        </is>
      </c>
      <c r="B68" s="30" t="inlineStr">
        <is>
          <t>SCM</t>
        </is>
      </c>
      <c r="C68" s="30" t="inlineStr">
        <is>
          <t>Male</t>
        </is>
      </c>
      <c r="D68" s="30" t="n">
        <v>16</v>
      </c>
      <c r="E68" s="30" t="inlineStr">
        <is>
          <t>50 Breast</t>
        </is>
      </c>
      <c r="F68" s="30" t="inlineStr">
        <is>
          <t>Connor Jenkins</t>
        </is>
      </c>
      <c r="G68" s="22" t="inlineStr">
        <is>
          <t>Connor Jenkins</t>
        </is>
      </c>
      <c r="H68" s="22" t="n"/>
      <c r="I68" s="30" t="inlineStr">
        <is>
          <t>27.90</t>
        </is>
      </c>
      <c r="J68" s="22">
        <f>IF(I68="","",IF(ISNUMBER(SEARCH(":",I68)),VALUE(LEFT(I68,SEARCH(":",I68)-1))*60+VALUE(MID(I68,SEARCH(":",I68)+1,99)),VALUE(I68)))</f>
        <v/>
      </c>
      <c r="K68" s="30" t="inlineStr">
        <is>
          <t>13.09.26</t>
        </is>
      </c>
      <c r="L68" s="30" t="inlineStr">
        <is>
          <t>Swimming New Zealand Short Course Records by Age - user-supplied PDF</t>
        </is>
      </c>
      <c r="M68" s="30" t="n"/>
      <c r="N68" s="30" t="inlineStr">
        <is>
          <t>NO</t>
        </is>
      </c>
      <c r="O68" s="30" t="inlineStr">
        <is>
          <t>YES</t>
        </is>
      </c>
      <c r="P68" s="30" t="n"/>
      <c r="Q68" s="30" t="inlineStr">
        <is>
          <t>28.64</t>
        </is>
      </c>
      <c r="R68" s="22">
        <f>IF(Q68="","",IF(ISNUMBER(SEARCH(":",Q68)),VALUE(LEFT(Q68,SEARCH(":",Q68)-1))*60+VALUE(MID(Q68,SEARCH(":",Q68)+1,99)),VALUE(Q68)))</f>
        <v/>
      </c>
      <c r="S68" s="39">
        <f>IF(OR(J68="",R68=""),"",(R68-J68)/R68)</f>
        <v/>
      </c>
      <c r="T68" s="22">
        <f>IF(OR(P68&lt;&gt;"",N68="YES"),"YES","NO")</f>
        <v/>
      </c>
      <c r="U68" s="22">
        <f>IF(AND(O68="YES",T68="YES",S68&lt;&gt;""),COUNTIFS($C$5:$C$424,C68,$S$5:$S$424,"&gt;"&amp;S68)+COUNTIFS($C$5:C68,C68,$S$5:S68,S68),"")</f>
        <v/>
      </c>
      <c r="V68" s="22">
        <f>IF(U68="","",C68&amp;"|"&amp;U68)</f>
        <v/>
      </c>
      <c r="W68" s="30" t="n"/>
      <c r="X68" s="30" t="inlineStr">
        <is>
          <t>Next-fastest time supplied in user workbook; swimmer name not yet supplied.</t>
        </is>
      </c>
    </row>
    <row r="69" ht="15" customHeight="1" s="17">
      <c r="A69" s="30" t="inlineStr">
        <is>
          <t>NZ|SCM|M|16|100 Breast</t>
        </is>
      </c>
      <c r="B69" s="30" t="inlineStr">
        <is>
          <t>SCM</t>
        </is>
      </c>
      <c r="C69" s="30" t="inlineStr">
        <is>
          <t>Male</t>
        </is>
      </c>
      <c r="D69" s="30" t="n">
        <v>16</v>
      </c>
      <c r="E69" s="30" t="inlineStr">
        <is>
          <t>100 Breast</t>
        </is>
      </c>
      <c r="F69" s="30" t="inlineStr">
        <is>
          <t>Ben Walsh</t>
        </is>
      </c>
      <c r="G69" s="22" t="inlineStr">
        <is>
          <t>Ben Walsh</t>
        </is>
      </c>
      <c r="H69" s="22" t="n"/>
      <c r="I69" s="30" t="inlineStr">
        <is>
          <t>1:01.05</t>
        </is>
      </c>
      <c r="J69" s="22">
        <f>IF(I69="","",IF(ISNUMBER(SEARCH(":",I69)),VALUE(LEFT(I69,SEARCH(":",I69)-1))*60+VALUE(MID(I69,SEARCH(":",I69)+1,99)),VALUE(I69)))</f>
        <v/>
      </c>
      <c r="K69" s="30" t="inlineStr">
        <is>
          <t>29.09.13</t>
        </is>
      </c>
      <c r="L69" s="30" t="inlineStr">
        <is>
          <t>Swimming New Zealand Short Course Records by Age - user-supplied PDF</t>
        </is>
      </c>
      <c r="M69" s="30" t="n"/>
      <c r="N69" s="30" t="inlineStr">
        <is>
          <t>NO</t>
        </is>
      </c>
      <c r="O69" s="30" t="inlineStr">
        <is>
          <t>YES</t>
        </is>
      </c>
      <c r="P69" s="30" t="n"/>
      <c r="Q69" s="30" t="inlineStr">
        <is>
          <t>1:02.22</t>
        </is>
      </c>
      <c r="R69" s="22">
        <f>IF(Q69="","",IF(ISNUMBER(SEARCH(":",Q69)),VALUE(LEFT(Q69,SEARCH(":",Q69)-1))*60+VALUE(MID(Q69,SEARCH(":",Q69)+1,99)),VALUE(Q69)))</f>
        <v/>
      </c>
      <c r="S69" s="39">
        <f>IF(OR(J69="",R69=""),"",(R69-J69)/R69)</f>
        <v/>
      </c>
      <c r="T69" s="22">
        <f>IF(OR(P69&lt;&gt;"",N69="YES"),"YES","NO")</f>
        <v/>
      </c>
      <c r="U69" s="22">
        <f>IF(AND(O69="YES",T69="YES",S69&lt;&gt;""),COUNTIFS($C$5:$C$424,C69,$S$5:$S$424,"&gt;"&amp;S69)+COUNTIFS($C$5:C69,C69,$S$5:S69,S69),"")</f>
        <v/>
      </c>
      <c r="V69" s="22">
        <f>IF(U69="","",C69&amp;"|"&amp;U69)</f>
        <v/>
      </c>
      <c r="W69" s="30" t="n"/>
      <c r="X69" s="30" t="inlineStr">
        <is>
          <t>Next-fastest time supplied in user workbook; swimmer name not yet supplied.</t>
        </is>
      </c>
    </row>
    <row r="70" ht="15" customHeight="1" s="17">
      <c r="A70" s="30" t="inlineStr">
        <is>
          <t>NZ|SCM|M|16|200 Breast</t>
        </is>
      </c>
      <c r="B70" s="30" t="inlineStr">
        <is>
          <t>SCM</t>
        </is>
      </c>
      <c r="C70" s="30" t="inlineStr">
        <is>
          <t>Male</t>
        </is>
      </c>
      <c r="D70" s="30" t="n">
        <v>16</v>
      </c>
      <c r="E70" s="30" t="inlineStr">
        <is>
          <t>200 Breast</t>
        </is>
      </c>
      <c r="F70" s="30" t="inlineStr">
        <is>
          <t>Ben Walsh</t>
        </is>
      </c>
      <c r="G70" s="22" t="inlineStr">
        <is>
          <t>Ben Walsh</t>
        </is>
      </c>
      <c r="H70" s="22" t="n"/>
      <c r="I70" s="30" t="inlineStr">
        <is>
          <t>2:11.39</t>
        </is>
      </c>
      <c r="J70" s="22">
        <f>IF(I70="","",IF(ISNUMBER(SEARCH(":",I70)),VALUE(LEFT(I70,SEARCH(":",I70)-1))*60+VALUE(MID(I70,SEARCH(":",I70)+1,99)),VALUE(I70)))</f>
        <v/>
      </c>
      <c r="K70" s="30" t="inlineStr">
        <is>
          <t>01.10.13</t>
        </is>
      </c>
      <c r="L70" s="30" t="inlineStr">
        <is>
          <t>Swimming New Zealand Short Course Records by Age - user-supplied PDF</t>
        </is>
      </c>
      <c r="M70" s="30" t="n"/>
      <c r="N70" s="30" t="inlineStr">
        <is>
          <t>NO</t>
        </is>
      </c>
      <c r="O70" s="30" t="inlineStr">
        <is>
          <t>YES</t>
        </is>
      </c>
      <c r="P70" s="30" t="n"/>
      <c r="Q70" s="30" t="inlineStr">
        <is>
          <t>2:12.88</t>
        </is>
      </c>
      <c r="R70" s="22">
        <f>IF(Q70="","",IF(ISNUMBER(SEARCH(":",Q70)),VALUE(LEFT(Q70,SEARCH(":",Q70)-1))*60+VALUE(MID(Q70,SEARCH(":",Q70)+1,99)),VALUE(Q70)))</f>
        <v/>
      </c>
      <c r="S70" s="39">
        <f>IF(OR(J70="",R70=""),"",(R70-J70)/R70)</f>
        <v/>
      </c>
      <c r="T70" s="22">
        <f>IF(OR(P70&lt;&gt;"",N70="YES"),"YES","NO")</f>
        <v/>
      </c>
      <c r="U70" s="22">
        <f>IF(AND(O70="YES",T70="YES",S70&lt;&gt;""),COUNTIFS($C$5:$C$424,C70,$S$5:$S$424,"&gt;"&amp;S70)+COUNTIFS($C$5:C70,C70,$S$5:S70,S70),"")</f>
        <v/>
      </c>
      <c r="V70" s="22">
        <f>IF(U70="","",C70&amp;"|"&amp;U70)</f>
        <v/>
      </c>
      <c r="W70" s="30" t="n"/>
      <c r="X70" s="30" t="inlineStr">
        <is>
          <t>Next-fastest time supplied in user workbook; swimmer name not yet supplied.</t>
        </is>
      </c>
    </row>
    <row r="71" ht="15" customHeight="1" s="17">
      <c r="A71" s="30" t="inlineStr">
        <is>
          <t>NZ|SCM|M|16|50 Fly</t>
        </is>
      </c>
      <c r="B71" s="30" t="inlineStr">
        <is>
          <t>SCM</t>
        </is>
      </c>
      <c r="C71" s="30" t="inlineStr">
        <is>
          <t>Male</t>
        </is>
      </c>
      <c r="D71" s="30" t="n">
        <v>16</v>
      </c>
      <c r="E71" s="30" t="inlineStr">
        <is>
          <t>50 Fly</t>
        </is>
      </c>
      <c r="F71" s="30" t="inlineStr">
        <is>
          <t>Ben Littlejohn</t>
        </is>
      </c>
      <c r="G71" s="22" t="inlineStr">
        <is>
          <t>Ben Littlejohn</t>
        </is>
      </c>
      <c r="H71" s="22" t="n"/>
      <c r="I71" s="30" t="inlineStr">
        <is>
          <t>24.36</t>
        </is>
      </c>
      <c r="J71" s="22">
        <f>IF(I71="","",IF(ISNUMBER(SEARCH(":",I71)),VALUE(LEFT(I71,SEARCH(":",I71)-1))*60+VALUE(MID(I71,SEARCH(":",I71)+1,99)),VALUE(I71)))</f>
        <v/>
      </c>
      <c r="K71" s="30" t="inlineStr">
        <is>
          <t>02.04.19</t>
        </is>
      </c>
      <c r="L71" s="30" t="inlineStr">
        <is>
          <t>Swimming New Zealand Short Course Records by Age - user-supplied PDF</t>
        </is>
      </c>
      <c r="M71" s="30" t="n"/>
      <c r="N71" s="30" t="inlineStr">
        <is>
          <t>NO</t>
        </is>
      </c>
      <c r="O71" s="30" t="inlineStr">
        <is>
          <t>YES</t>
        </is>
      </c>
      <c r="P71" s="30" t="n"/>
      <c r="Q71" s="30" t="inlineStr">
        <is>
          <t>24.70</t>
        </is>
      </c>
      <c r="R71" s="22">
        <f>IF(Q71="","",IF(ISNUMBER(SEARCH(":",Q71)),VALUE(LEFT(Q71,SEARCH(":",Q71)-1))*60+VALUE(MID(Q71,SEARCH(":",Q71)+1,99)),VALUE(Q71)))</f>
        <v/>
      </c>
      <c r="S71" s="39">
        <f>IF(OR(J71="",R71=""),"",(R71-J71)/R71)</f>
        <v/>
      </c>
      <c r="T71" s="22">
        <f>IF(OR(P71&lt;&gt;"",N71="YES"),"YES","NO")</f>
        <v/>
      </c>
      <c r="U71" s="22">
        <f>IF(AND(O71="YES",T71="YES",S71&lt;&gt;""),COUNTIFS($C$5:$C$424,C71,$S$5:$S$424,"&gt;"&amp;S71)+COUNTIFS($C$5:C71,C71,$S$5:S71,S71),"")</f>
        <v/>
      </c>
      <c r="V71" s="22">
        <f>IF(U71="","",C71&amp;"|"&amp;U71)</f>
        <v/>
      </c>
      <c r="W71" s="30" t="n"/>
      <c r="X71" s="30" t="inlineStr">
        <is>
          <t>Next-fastest time supplied in user workbook; swimmer name not yet supplied.</t>
        </is>
      </c>
    </row>
    <row r="72" ht="15" customHeight="1" s="17">
      <c r="A72" s="30" t="inlineStr">
        <is>
          <t>NZ|SCM|M|16|100 Fly</t>
        </is>
      </c>
      <c r="B72" s="30" t="inlineStr">
        <is>
          <t>SCM</t>
        </is>
      </c>
      <c r="C72" s="30" t="inlineStr">
        <is>
          <t>Male</t>
        </is>
      </c>
      <c r="D72" s="30" t="n">
        <v>16</v>
      </c>
      <c r="E72" s="30" t="inlineStr">
        <is>
          <t>100 Fly</t>
        </is>
      </c>
      <c r="F72" s="30" t="inlineStr">
        <is>
          <t>Ariel Muchirahondo</t>
        </is>
      </c>
      <c r="G72" s="22" t="inlineStr">
        <is>
          <t>Ariel Muchirahondo</t>
        </is>
      </c>
      <c r="H72" s="22" t="n"/>
      <c r="I72" s="30" t="inlineStr">
        <is>
          <t>53.76</t>
        </is>
      </c>
      <c r="J72" s="22">
        <f>IF(I72="","",IF(ISNUMBER(SEARCH(":",I72)),VALUE(LEFT(I72,SEARCH(":",I72)-1))*60+VALUE(MID(I72,SEARCH(":",I72)+1,99)),VALUE(I72)))</f>
        <v/>
      </c>
      <c r="K72" s="30" t="inlineStr">
        <is>
          <t>31.01.26</t>
        </is>
      </c>
      <c r="L72" s="30" t="inlineStr">
        <is>
          <t>Swimming New Zealand Short Course Records by Age - user-supplied PDF</t>
        </is>
      </c>
      <c r="M72" s="30" t="n"/>
      <c r="N72" s="30" t="inlineStr">
        <is>
          <t>NO</t>
        </is>
      </c>
      <c r="O72" s="30" t="inlineStr">
        <is>
          <t>YES</t>
        </is>
      </c>
      <c r="P72" s="30" t="n"/>
      <c r="Q72" s="30" t="inlineStr">
        <is>
          <t>53.96</t>
        </is>
      </c>
      <c r="R72" s="22">
        <f>IF(Q72="","",IF(ISNUMBER(SEARCH(":",Q72)),VALUE(LEFT(Q72,SEARCH(":",Q72)-1))*60+VALUE(MID(Q72,SEARCH(":",Q72)+1,99)),VALUE(Q72)))</f>
        <v/>
      </c>
      <c r="S72" s="39">
        <f>IF(OR(J72="",R72=""),"",(R72-J72)/R72)</f>
        <v/>
      </c>
      <c r="T72" s="22">
        <f>IF(OR(P72&lt;&gt;"",N72="YES"),"YES","NO")</f>
        <v/>
      </c>
      <c r="U72" s="22">
        <f>IF(AND(O72="YES",T72="YES",S72&lt;&gt;""),COUNTIFS($C$5:$C$424,C72,$S$5:$S$424,"&gt;"&amp;S72)+COUNTIFS($C$5:C72,C72,$S$5:S72,S72),"")</f>
        <v/>
      </c>
      <c r="V72" s="22">
        <f>IF(U72="","",C72&amp;"|"&amp;U72)</f>
        <v/>
      </c>
      <c r="W72" s="30" t="n"/>
      <c r="X72" s="30" t="inlineStr">
        <is>
          <t>Next-fastest time supplied in user workbook; swimmer name not yet supplied.</t>
        </is>
      </c>
    </row>
    <row r="73" ht="15" customHeight="1" s="17">
      <c r="A73" s="30" t="inlineStr">
        <is>
          <t>NZ|SCM|M|16|200 Fly</t>
        </is>
      </c>
      <c r="B73" s="30" t="inlineStr">
        <is>
          <t>SCM</t>
        </is>
      </c>
      <c r="C73" s="30" t="inlineStr">
        <is>
          <t>Male</t>
        </is>
      </c>
      <c r="D73" s="30" t="n">
        <v>16</v>
      </c>
      <c r="E73" s="30" t="inlineStr">
        <is>
          <t>200 Fly</t>
        </is>
      </c>
      <c r="F73" s="30" t="inlineStr">
        <is>
          <t>Ariel Muchirahondo</t>
        </is>
      </c>
      <c r="G73" s="22" t="inlineStr">
        <is>
          <t>Ariel Muchirahondo</t>
        </is>
      </c>
      <c r="H73" s="22" t="n"/>
      <c r="I73" s="30" t="inlineStr">
        <is>
          <t>1:56.39</t>
        </is>
      </c>
      <c r="J73" s="22">
        <f>IF(I73="","",IF(ISNUMBER(SEARCH(":",I73)),VALUE(LEFT(I73,SEARCH(":",I73)-1))*60+VALUE(MID(I73,SEARCH(":",I73)+1,99)),VALUE(I73)))</f>
        <v/>
      </c>
      <c r="K73" s="30" t="inlineStr">
        <is>
          <t>01.02.26</t>
        </is>
      </c>
      <c r="L73" s="30" t="inlineStr">
        <is>
          <t>Swimming New Zealand Short Course Records by Age - user-supplied PDF</t>
        </is>
      </c>
      <c r="M73" s="30" t="n"/>
      <c r="N73" s="30" t="inlineStr">
        <is>
          <t>NO</t>
        </is>
      </c>
      <c r="O73" s="30" t="inlineStr">
        <is>
          <t>YES</t>
        </is>
      </c>
      <c r="P73" s="30" t="n"/>
      <c r="Q73" s="30" t="inlineStr">
        <is>
          <t>1:59.19</t>
        </is>
      </c>
      <c r="R73" s="22">
        <f>IF(Q73="","",IF(ISNUMBER(SEARCH(":",Q73)),VALUE(LEFT(Q73,SEARCH(":",Q73)-1))*60+VALUE(MID(Q73,SEARCH(":",Q73)+1,99)),VALUE(Q73)))</f>
        <v/>
      </c>
      <c r="S73" s="39">
        <f>IF(OR(J73="",R73=""),"",(R73-J73)/R73)</f>
        <v/>
      </c>
      <c r="T73" s="22">
        <f>IF(OR(P73&lt;&gt;"",N73="YES"),"YES","NO")</f>
        <v/>
      </c>
      <c r="U73" s="22">
        <f>IF(AND(O73="YES",T73="YES",S73&lt;&gt;""),COUNTIFS($C$5:$C$424,C73,$S$5:$S$424,"&gt;"&amp;S73)+COUNTIFS($C$5:C73,C73,$S$5:S73,S73),"")</f>
        <v/>
      </c>
      <c r="V73" s="22">
        <f>IF(U73="","",C73&amp;"|"&amp;U73)</f>
        <v/>
      </c>
      <c r="W73" s="30" t="n"/>
      <c r="X73" s="30" t="inlineStr">
        <is>
          <t>Next-fastest time supplied in user workbook; swimmer name not yet supplied.</t>
        </is>
      </c>
    </row>
    <row r="74" ht="15" customHeight="1" s="17">
      <c r="A74" s="30" t="inlineStr">
        <is>
          <t>NZ|SCM|M|16|100 IM</t>
        </is>
      </c>
      <c r="B74" s="30" t="inlineStr">
        <is>
          <t>SCM</t>
        </is>
      </c>
      <c r="C74" s="30" t="inlineStr">
        <is>
          <t>Male</t>
        </is>
      </c>
      <c r="D74" s="30" t="n">
        <v>16</v>
      </c>
      <c r="E74" s="30" t="inlineStr">
        <is>
          <t>100 IM</t>
        </is>
      </c>
      <c r="F74" s="30" t="inlineStr">
        <is>
          <t>Ariel Muchirahondo</t>
        </is>
      </c>
      <c r="G74" s="22" t="inlineStr">
        <is>
          <t>Ariel Muchirahondo</t>
        </is>
      </c>
      <c r="H74" s="22" t="n"/>
      <c r="I74" s="30" t="inlineStr">
        <is>
          <t>56.28</t>
        </is>
      </c>
      <c r="J74" s="22">
        <f>IF(I74="","",IF(ISNUMBER(SEARCH(":",I74)),VALUE(LEFT(I74,SEARCH(":",I74)-1))*60+VALUE(MID(I74,SEARCH(":",I74)+1,99)),VALUE(I74)))</f>
        <v/>
      </c>
      <c r="K74" s="30" t="inlineStr">
        <is>
          <t>25.07.25</t>
        </is>
      </c>
      <c r="L74" s="30" t="inlineStr">
        <is>
          <t>Swimming New Zealand Short Course Records by Age - user-supplied PDF</t>
        </is>
      </c>
      <c r="M74" s="30" t="n"/>
      <c r="N74" s="30" t="inlineStr">
        <is>
          <t>NO</t>
        </is>
      </c>
      <c r="O74" s="30" t="inlineStr">
        <is>
          <t>YES</t>
        </is>
      </c>
      <c r="P74" s="30" t="n"/>
      <c r="Q74" s="30" t="inlineStr">
        <is>
          <t>56.31</t>
        </is>
      </c>
      <c r="R74" s="22">
        <f>IF(Q74="","",IF(ISNUMBER(SEARCH(":",Q74)),VALUE(LEFT(Q74,SEARCH(":",Q74)-1))*60+VALUE(MID(Q74,SEARCH(":",Q74)+1,99)),VALUE(Q74)))</f>
        <v/>
      </c>
      <c r="S74" s="39">
        <f>IF(OR(J74="",R74=""),"",(R74-J74)/R74)</f>
        <v/>
      </c>
      <c r="T74" s="22">
        <f>IF(OR(P74&lt;&gt;"",N74="YES"),"YES","NO")</f>
        <v/>
      </c>
      <c r="U74" s="22">
        <f>IF(AND(O74="YES",T74="YES",S74&lt;&gt;""),COUNTIFS($C$5:$C$424,C74,$S$5:$S$424,"&gt;"&amp;S74)+COUNTIFS($C$5:C74,C74,$S$5:S74,S74),"")</f>
        <v/>
      </c>
      <c r="V74" s="22">
        <f>IF(U74="","",C74&amp;"|"&amp;U74)</f>
        <v/>
      </c>
      <c r="W74" s="30" t="n"/>
      <c r="X74" s="30" t="inlineStr">
        <is>
          <t>Next-fastest time supplied in user workbook; swimmer name not yet supplied.</t>
        </is>
      </c>
    </row>
    <row r="75" ht="15" customHeight="1" s="17">
      <c r="A75" s="30" t="inlineStr">
        <is>
          <t>NZ|SCM|M|16|200 IM</t>
        </is>
      </c>
      <c r="B75" s="30" t="inlineStr">
        <is>
          <t>SCM</t>
        </is>
      </c>
      <c r="C75" s="30" t="inlineStr">
        <is>
          <t>Male</t>
        </is>
      </c>
      <c r="D75" s="30" t="n">
        <v>16</v>
      </c>
      <c r="E75" s="30" t="inlineStr">
        <is>
          <t>200 IM</t>
        </is>
      </c>
      <c r="F75" s="30" t="inlineStr">
        <is>
          <t>Ariel Muchirahondo</t>
        </is>
      </c>
      <c r="G75" s="22" t="inlineStr">
        <is>
          <t>Ariel Muchirahondo</t>
        </is>
      </c>
      <c r="H75" s="22" t="n"/>
      <c r="I75" s="30" t="inlineStr">
        <is>
          <t>1:59.03</t>
        </is>
      </c>
      <c r="J75" s="22">
        <f>IF(I75="","",IF(ISNUMBER(SEARCH(":",I75)),VALUE(LEFT(I75,SEARCH(":",I75)-1))*60+VALUE(MID(I75,SEARCH(":",I75)+1,99)),VALUE(I75)))</f>
        <v/>
      </c>
      <c r="K75" s="30" t="inlineStr">
        <is>
          <t>27.07.25</t>
        </is>
      </c>
      <c r="L75" s="30" t="inlineStr">
        <is>
          <t>Swimming New Zealand Short Course Records by Age - user-supplied PDF</t>
        </is>
      </c>
      <c r="M75" s="30" t="n"/>
      <c r="N75" s="30" t="inlineStr">
        <is>
          <t>NO</t>
        </is>
      </c>
      <c r="O75" s="30" t="inlineStr">
        <is>
          <t>YES</t>
        </is>
      </c>
      <c r="P75" s="30" t="n"/>
      <c r="Q75" s="30" t="inlineStr">
        <is>
          <t>2:00.66</t>
        </is>
      </c>
      <c r="R75" s="22">
        <f>IF(Q75="","",IF(ISNUMBER(SEARCH(":",Q75)),VALUE(LEFT(Q75,SEARCH(":",Q75)-1))*60+VALUE(MID(Q75,SEARCH(":",Q75)+1,99)),VALUE(Q75)))</f>
        <v/>
      </c>
      <c r="S75" s="39">
        <f>IF(OR(J75="",R75=""),"",(R75-J75)/R75)</f>
        <v/>
      </c>
      <c r="T75" s="22">
        <f>IF(OR(P75&lt;&gt;"",N75="YES"),"YES","NO")</f>
        <v/>
      </c>
      <c r="U75" s="22">
        <f>IF(AND(O75="YES",T75="YES",S75&lt;&gt;""),COUNTIFS($C$5:$C$424,C75,$S$5:$S$424,"&gt;"&amp;S75)+COUNTIFS($C$5:C75,C75,$S$5:S75,S75),"")</f>
        <v/>
      </c>
      <c r="V75" s="22">
        <f>IF(U75="","",C75&amp;"|"&amp;U75)</f>
        <v/>
      </c>
      <c r="W75" s="30" t="n"/>
      <c r="X75" s="30" t="inlineStr">
        <is>
          <t>Next-fastest time supplied in user workbook; swimmer name not yet supplied.</t>
        </is>
      </c>
    </row>
    <row r="76" ht="15" customHeight="1" s="17">
      <c r="A76" s="30" t="inlineStr">
        <is>
          <t>NZ|SCM|M|16|400 IM</t>
        </is>
      </c>
      <c r="B76" s="30" t="inlineStr">
        <is>
          <t>SCM</t>
        </is>
      </c>
      <c r="C76" s="30" t="inlineStr">
        <is>
          <t>Male</t>
        </is>
      </c>
      <c r="D76" s="30" t="n">
        <v>16</v>
      </c>
      <c r="E76" s="30" t="inlineStr">
        <is>
          <t>400 IM</t>
        </is>
      </c>
      <c r="F76" s="30" t="inlineStr">
        <is>
          <t>Sam Brown</t>
        </is>
      </c>
      <c r="G76" s="22" t="inlineStr">
        <is>
          <t>Sam Brown</t>
        </is>
      </c>
      <c r="H76" s="22" t="n"/>
      <c r="I76" s="30" t="inlineStr">
        <is>
          <t>4:14.87</t>
        </is>
      </c>
      <c r="J76" s="22">
        <f>IF(I76="","",IF(ISNUMBER(SEARCH(":",I76)),VALUE(LEFT(I76,SEARCH(":",I76)-1))*60+VALUE(MID(I76,SEARCH(":",I76)+1,99)),VALUE(I76)))</f>
        <v/>
      </c>
      <c r="K76" s="30" t="inlineStr">
        <is>
          <t>07.10.20</t>
        </is>
      </c>
      <c r="L76" s="30" t="inlineStr">
        <is>
          <t>Swimming New Zealand Short Course Records by Age - user-supplied PDF</t>
        </is>
      </c>
      <c r="M76" s="30" t="n"/>
      <c r="N76" s="30" t="inlineStr">
        <is>
          <t>NO</t>
        </is>
      </c>
      <c r="O76" s="30" t="inlineStr">
        <is>
          <t>YES</t>
        </is>
      </c>
      <c r="P76" s="30" t="n"/>
      <c r="Q76" s="30" t="inlineStr">
        <is>
          <t>4:17.94</t>
        </is>
      </c>
      <c r="R76" s="22">
        <f>IF(Q76="","",IF(ISNUMBER(SEARCH(":",Q76)),VALUE(LEFT(Q76,SEARCH(":",Q76)-1))*60+VALUE(MID(Q76,SEARCH(":",Q76)+1,99)),VALUE(Q76)))</f>
        <v/>
      </c>
      <c r="S76" s="39">
        <f>IF(OR(J76="",R76=""),"",(R76-J76)/R76)</f>
        <v/>
      </c>
      <c r="T76" s="22">
        <f>IF(OR(P76&lt;&gt;"",N76="YES"),"YES","NO")</f>
        <v/>
      </c>
      <c r="U76" s="22">
        <f>IF(AND(O76="YES",T76="YES",S76&lt;&gt;""),COUNTIFS($C$5:$C$424,C76,$S$5:$S$424,"&gt;"&amp;S76)+COUNTIFS($C$5:C76,C76,$S$5:S76,S76),"")</f>
        <v/>
      </c>
      <c r="V76" s="22">
        <f>IF(U76="","",C76&amp;"|"&amp;U76)</f>
        <v/>
      </c>
      <c r="W76" s="30" t="n"/>
      <c r="X76" s="30" t="inlineStr">
        <is>
          <t>Next-fastest time supplied in user workbook; swimmer name not yet supplied.</t>
        </is>
      </c>
    </row>
    <row r="77" ht="15" customHeight="1" s="17">
      <c r="A77" s="30" t="inlineStr">
        <is>
          <t>NZ|SCM|M|17|50 Free</t>
        </is>
      </c>
      <c r="B77" s="30" t="inlineStr">
        <is>
          <t>SCM</t>
        </is>
      </c>
      <c r="C77" s="30" t="inlineStr">
        <is>
          <t>Male</t>
        </is>
      </c>
      <c r="D77" s="30" t="n">
        <v>17</v>
      </c>
      <c r="E77" s="30" t="inlineStr">
        <is>
          <t>50 Free</t>
        </is>
      </c>
      <c r="F77" s="30" t="inlineStr">
        <is>
          <t>Rui Hou</t>
        </is>
      </c>
      <c r="G77" s="22" t="inlineStr">
        <is>
          <t>Rui Hou</t>
        </is>
      </c>
      <c r="H77" s="22" t="n"/>
      <c r="I77" s="30" t="inlineStr">
        <is>
          <t>22.17</t>
        </is>
      </c>
      <c r="J77" s="22">
        <f>IF(I77="","",IF(ISNUMBER(SEARCH(":",I77)),VALUE(LEFT(I77,SEARCH(":",I77)-1))*60+VALUE(MID(I77,SEARCH(":",I77)+1,99)),VALUE(I77)))</f>
        <v/>
      </c>
      <c r="K77" s="30" t="inlineStr">
        <is>
          <t>02.08.26</t>
        </is>
      </c>
      <c r="L77" s="30" t="inlineStr">
        <is>
          <t>Swimming New Zealand Short Course Records by Age - user-supplied PDF</t>
        </is>
      </c>
      <c r="M77" s="30" t="n"/>
      <c r="N77" s="30" t="inlineStr">
        <is>
          <t>NO</t>
        </is>
      </c>
      <c r="O77" s="30" t="inlineStr">
        <is>
          <t>YES</t>
        </is>
      </c>
      <c r="P77" s="30" t="n"/>
      <c r="Q77" s="30" t="inlineStr">
        <is>
          <t>22.33</t>
        </is>
      </c>
      <c r="R77" s="22">
        <f>IF(Q77="","",IF(ISNUMBER(SEARCH(":",Q77)),VALUE(LEFT(Q77,SEARCH(":",Q77)-1))*60+VALUE(MID(Q77,SEARCH(":",Q77)+1,99)),VALUE(Q77)))</f>
        <v/>
      </c>
      <c r="S77" s="39">
        <f>IF(OR(J77="",R77=""),"",(R77-J77)/R77)</f>
        <v/>
      </c>
      <c r="T77" s="22">
        <f>IF(OR(P77&lt;&gt;"",N77="YES"),"YES","NO")</f>
        <v/>
      </c>
      <c r="U77" s="22">
        <f>IF(AND(O77="YES",T77="YES",S77&lt;&gt;""),COUNTIFS($C$5:$C$424,C77,$S$5:$S$424,"&gt;"&amp;S77)+COUNTIFS($C$5:C77,C77,$S$5:S77,S77),"")</f>
        <v/>
      </c>
      <c r="V77" s="22">
        <f>IF(U77="","",C77&amp;"|"&amp;U77)</f>
        <v/>
      </c>
      <c r="W77" s="30" t="n"/>
      <c r="X77" s="30" t="inlineStr">
        <is>
          <t>Next-fastest time supplied in user workbook; swimmer name not yet supplied.</t>
        </is>
      </c>
    </row>
    <row r="78" ht="15" customHeight="1" s="17">
      <c r="A78" s="30" t="inlineStr">
        <is>
          <t>NZ|SCM|M|17|100 Free</t>
        </is>
      </c>
      <c r="B78" s="30" t="inlineStr">
        <is>
          <t>SCM</t>
        </is>
      </c>
      <c r="C78" s="30" t="inlineStr">
        <is>
          <t>Male</t>
        </is>
      </c>
      <c r="D78" s="30" t="n">
        <v>17</v>
      </c>
      <c r="E78" s="30" t="inlineStr">
        <is>
          <t>100 Free</t>
        </is>
      </c>
      <c r="F78" s="30" t="inlineStr">
        <is>
          <t>Rui Hou</t>
        </is>
      </c>
      <c r="G78" s="22" t="inlineStr">
        <is>
          <t>Rui Hou</t>
        </is>
      </c>
      <c r="H78" s="22" t="n"/>
      <c r="I78" s="30" t="inlineStr">
        <is>
          <t>48.74</t>
        </is>
      </c>
      <c r="J78" s="22">
        <f>IF(I78="","",IF(ISNUMBER(SEARCH(":",I78)),VALUE(LEFT(I78,SEARCH(":",I78)-1))*60+VALUE(MID(I78,SEARCH(":",I78)+1,99)),VALUE(I78)))</f>
        <v/>
      </c>
      <c r="K78" s="30" t="inlineStr">
        <is>
          <t>31.07.26</t>
        </is>
      </c>
      <c r="L78" s="30" t="inlineStr">
        <is>
          <t>Swimming New Zealand Short Course Records by Age - user-supplied PDF</t>
        </is>
      </c>
      <c r="M78" s="30" t="n"/>
      <c r="N78" s="30" t="inlineStr">
        <is>
          <t>NO</t>
        </is>
      </c>
      <c r="O78" s="30" t="inlineStr">
        <is>
          <t>YES</t>
        </is>
      </c>
      <c r="P78" s="30" t="n"/>
      <c r="Q78" s="30" t="inlineStr">
        <is>
          <t>48.97</t>
        </is>
      </c>
      <c r="R78" s="22">
        <f>IF(Q78="","",IF(ISNUMBER(SEARCH(":",Q78)),VALUE(LEFT(Q78,SEARCH(":",Q78)-1))*60+VALUE(MID(Q78,SEARCH(":",Q78)+1,99)),VALUE(Q78)))</f>
        <v/>
      </c>
      <c r="S78" s="39">
        <f>IF(OR(J78="",R78=""),"",(R78-J78)/R78)</f>
        <v/>
      </c>
      <c r="T78" s="22">
        <f>IF(OR(P78&lt;&gt;"",N78="YES"),"YES","NO")</f>
        <v/>
      </c>
      <c r="U78" s="22">
        <f>IF(AND(O78="YES",T78="YES",S78&lt;&gt;""),COUNTIFS($C$5:$C$424,C78,$S$5:$S$424,"&gt;"&amp;S78)+COUNTIFS($C$5:C78,C78,$S$5:S78,S78),"")</f>
        <v/>
      </c>
      <c r="V78" s="22">
        <f>IF(U78="","",C78&amp;"|"&amp;U78)</f>
        <v/>
      </c>
      <c r="W78" s="30" t="n"/>
      <c r="X78" s="30" t="inlineStr">
        <is>
          <t>Next-fastest time supplied in user workbook; swimmer name not yet supplied.</t>
        </is>
      </c>
    </row>
    <row r="79" ht="15" customHeight="1" s="17">
      <c r="A79" s="30" t="inlineStr">
        <is>
          <t>NZ|SCM|M|17|200 Free</t>
        </is>
      </c>
      <c r="B79" s="30" t="inlineStr">
        <is>
          <t>SCM</t>
        </is>
      </c>
      <c r="C79" s="30" t="inlineStr">
        <is>
          <t>Male</t>
        </is>
      </c>
      <c r="D79" s="30" t="n">
        <v>17</v>
      </c>
      <c r="E79" s="30" t="inlineStr">
        <is>
          <t>200 Free</t>
        </is>
      </c>
      <c r="F79" s="30" t="inlineStr">
        <is>
          <t>Danyon Loader</t>
        </is>
      </c>
      <c r="G79" s="22" t="inlineStr">
        <is>
          <t>Danyon Loader</t>
        </is>
      </c>
      <c r="H79" s="22" t="n"/>
      <c r="I79" s="30" t="inlineStr">
        <is>
          <t>1:46.63</t>
        </is>
      </c>
      <c r="J79" s="22">
        <f>IF(I79="","",IF(ISNUMBER(SEARCH(":",I79)),VALUE(LEFT(I79,SEARCH(":",I79)-1))*60+VALUE(MID(I79,SEARCH(":",I79)+1,99)),VALUE(I79)))</f>
        <v/>
      </c>
      <c r="K79" s="30" t="inlineStr">
        <is>
          <t>06.01.93</t>
        </is>
      </c>
      <c r="L79" s="30" t="inlineStr">
        <is>
          <t>Swimming New Zealand Short Course Records by Age - user-supplied PDF</t>
        </is>
      </c>
      <c r="M79" s="30" t="n"/>
      <c r="N79" s="30" t="inlineStr">
        <is>
          <t>NO</t>
        </is>
      </c>
      <c r="O79" s="30" t="inlineStr">
        <is>
          <t>YES</t>
        </is>
      </c>
      <c r="P79" s="30" t="n"/>
      <c r="Q79" s="30" t="inlineStr">
        <is>
          <t>1:47.40</t>
        </is>
      </c>
      <c r="R79" s="22">
        <f>IF(Q79="","",IF(ISNUMBER(SEARCH(":",Q79)),VALUE(LEFT(Q79,SEARCH(":",Q79)-1))*60+VALUE(MID(Q79,SEARCH(":",Q79)+1,99)),VALUE(Q79)))</f>
        <v/>
      </c>
      <c r="S79" s="39">
        <f>IF(OR(J79="",R79=""),"",(R79-J79)/R79)</f>
        <v/>
      </c>
      <c r="T79" s="22">
        <f>IF(OR(P79&lt;&gt;"",N79="YES"),"YES","NO")</f>
        <v/>
      </c>
      <c r="U79" s="22">
        <f>IF(AND(O79="YES",T79="YES",S79&lt;&gt;""),COUNTIFS($C$5:$C$424,C79,$S$5:$S$424,"&gt;"&amp;S79)+COUNTIFS($C$5:C79,C79,$S$5:S79,S79),"")</f>
        <v/>
      </c>
      <c r="V79" s="22">
        <f>IF(U79="","",C79&amp;"|"&amp;U79)</f>
        <v/>
      </c>
      <c r="W79" s="30" t="n"/>
      <c r="X79" s="30" t="inlineStr">
        <is>
          <t>Next-fastest time supplied in user workbook; swimmer name not yet supplied.</t>
        </is>
      </c>
    </row>
    <row r="80" ht="15" customHeight="1" s="17">
      <c r="A80" s="30" t="inlineStr">
        <is>
          <t>NZ|SCM|M|17|400 Free</t>
        </is>
      </c>
      <c r="B80" s="30" t="inlineStr">
        <is>
          <t>SCM</t>
        </is>
      </c>
      <c r="C80" s="30" t="inlineStr">
        <is>
          <t>Male</t>
        </is>
      </c>
      <c r="D80" s="30" t="n">
        <v>17</v>
      </c>
      <c r="E80" s="30" t="inlineStr">
        <is>
          <t>400 Free</t>
        </is>
      </c>
      <c r="F80" s="30" t="inlineStr">
        <is>
          <t>Zac Reid</t>
        </is>
      </c>
      <c r="G80" s="22" t="inlineStr">
        <is>
          <t>Zac Reid</t>
        </is>
      </c>
      <c r="H80" s="22" t="n"/>
      <c r="I80" s="30" t="inlineStr">
        <is>
          <t>3:46.11</t>
        </is>
      </c>
      <c r="J80" s="22">
        <f>IF(I80="","",IF(ISNUMBER(SEARCH(":",I80)),VALUE(LEFT(I80,SEARCH(":",I80)-1))*60+VALUE(MID(I80,SEARCH(":",I80)+1,99)),VALUE(I80)))</f>
        <v/>
      </c>
      <c r="K80" s="30" t="inlineStr">
        <is>
          <t>05.10.17</t>
        </is>
      </c>
      <c r="L80" s="30" t="inlineStr">
        <is>
          <t>Swimming New Zealand Short Course Records by Age - user-supplied PDF</t>
        </is>
      </c>
      <c r="M80" s="30" t="n"/>
      <c r="N80" s="30" t="inlineStr">
        <is>
          <t>NO</t>
        </is>
      </c>
      <c r="O80" s="30" t="inlineStr">
        <is>
          <t>YES</t>
        </is>
      </c>
      <c r="P80" s="30" t="n"/>
      <c r="Q80" s="30" t="inlineStr">
        <is>
          <t>3:48.44</t>
        </is>
      </c>
      <c r="R80" s="22">
        <f>IF(Q80="","",IF(ISNUMBER(SEARCH(":",Q80)),VALUE(LEFT(Q80,SEARCH(":",Q80)-1))*60+VALUE(MID(Q80,SEARCH(":",Q80)+1,99)),VALUE(Q80)))</f>
        <v/>
      </c>
      <c r="S80" s="39">
        <f>IF(OR(J80="",R80=""),"",(R80-J80)/R80)</f>
        <v/>
      </c>
      <c r="T80" s="22">
        <f>IF(OR(P80&lt;&gt;"",N80="YES"),"YES","NO")</f>
        <v/>
      </c>
      <c r="U80" s="22">
        <f>IF(AND(O80="YES",T80="YES",S80&lt;&gt;""),COUNTIFS($C$5:$C$424,C80,$S$5:$S$424,"&gt;"&amp;S80)+COUNTIFS($C$5:C80,C80,$S$5:S80,S80),"")</f>
        <v/>
      </c>
      <c r="V80" s="22">
        <f>IF(U80="","",C80&amp;"|"&amp;U80)</f>
        <v/>
      </c>
      <c r="W80" s="30" t="n"/>
      <c r="X80" s="30" t="inlineStr">
        <is>
          <t>Next-fastest time supplied in user workbook; swimmer name not yet supplied.</t>
        </is>
      </c>
    </row>
    <row r="81" ht="15" customHeight="1" s="17">
      <c r="A81" s="30" t="inlineStr">
        <is>
          <t>NZ|SCM|M|17|800 Free</t>
        </is>
      </c>
      <c r="B81" s="30" t="inlineStr">
        <is>
          <t>SCM</t>
        </is>
      </c>
      <c r="C81" s="30" t="inlineStr">
        <is>
          <t>Male</t>
        </is>
      </c>
      <c r="D81" s="30" t="n">
        <v>17</v>
      </c>
      <c r="E81" s="30" t="inlineStr">
        <is>
          <t>800 Free</t>
        </is>
      </c>
      <c r="F81" s="30" t="inlineStr">
        <is>
          <t>Zac Reid</t>
        </is>
      </c>
      <c r="G81" s="22" t="inlineStr">
        <is>
          <t>Zac Reid</t>
        </is>
      </c>
      <c r="H81" s="22" t="n"/>
      <c r="I81" s="30" t="inlineStr">
        <is>
          <t>7:54.53</t>
        </is>
      </c>
      <c r="J81" s="22">
        <f>IF(I81="","",IF(ISNUMBER(SEARCH(":",I81)),VALUE(LEFT(I81,SEARCH(":",I81)-1))*60+VALUE(MID(I81,SEARCH(":",I81)+1,99)),VALUE(I81)))</f>
        <v/>
      </c>
      <c r="K81" s="30" t="inlineStr">
        <is>
          <t>11.08.17</t>
        </is>
      </c>
      <c r="L81" s="30" t="inlineStr">
        <is>
          <t>Swimming New Zealand Short Course Records by Age - user-supplied PDF</t>
        </is>
      </c>
      <c r="M81" s="30" t="n"/>
      <c r="N81" s="30" t="inlineStr">
        <is>
          <t>NO</t>
        </is>
      </c>
      <c r="O81" s="30" t="inlineStr">
        <is>
          <t>YES</t>
        </is>
      </c>
      <c r="P81" s="30" t="n"/>
      <c r="Q81" s="30" t="inlineStr">
        <is>
          <t>7:55.74</t>
        </is>
      </c>
      <c r="R81" s="22">
        <f>IF(Q81="","",IF(ISNUMBER(SEARCH(":",Q81)),VALUE(LEFT(Q81,SEARCH(":",Q81)-1))*60+VALUE(MID(Q81,SEARCH(":",Q81)+1,99)),VALUE(Q81)))</f>
        <v/>
      </c>
      <c r="S81" s="39">
        <f>IF(OR(J81="",R81=""),"",(R81-J81)/R81)</f>
        <v/>
      </c>
      <c r="T81" s="22">
        <f>IF(OR(P81&lt;&gt;"",N81="YES"),"YES","NO")</f>
        <v/>
      </c>
      <c r="U81" s="22">
        <f>IF(AND(O81="YES",T81="YES",S81&lt;&gt;""),COUNTIFS($C$5:$C$424,C81,$S$5:$S$424,"&gt;"&amp;S81)+COUNTIFS($C$5:C81,C81,$S$5:S81,S81),"")</f>
        <v/>
      </c>
      <c r="V81" s="22">
        <f>IF(U81="","",C81&amp;"|"&amp;U81)</f>
        <v/>
      </c>
      <c r="W81" s="30" t="n"/>
      <c r="X81" s="30" t="inlineStr">
        <is>
          <t>Next-fastest time supplied in user workbook; swimmer name not yet supplied.</t>
        </is>
      </c>
    </row>
    <row r="82" ht="15" customHeight="1" s="17">
      <c r="A82" s="30" t="inlineStr">
        <is>
          <t>NZ|SCM|M|17|1500 Free</t>
        </is>
      </c>
      <c r="B82" s="30" t="inlineStr">
        <is>
          <t>SCM</t>
        </is>
      </c>
      <c r="C82" s="30" t="inlineStr">
        <is>
          <t>Male</t>
        </is>
      </c>
      <c r="D82" s="30" t="n">
        <v>17</v>
      </c>
      <c r="E82" s="30" t="inlineStr">
        <is>
          <t>1500 Free</t>
        </is>
      </c>
      <c r="F82" s="30" t="inlineStr">
        <is>
          <t>Dylan Dunlop-Barrett</t>
        </is>
      </c>
      <c r="G82" s="22" t="inlineStr">
        <is>
          <t>Dylan Dunlop-Barrett</t>
        </is>
      </c>
      <c r="H82" s="22" t="n"/>
      <c r="I82" s="30" t="inlineStr">
        <is>
          <t>15:07.95</t>
        </is>
      </c>
      <c r="J82" s="22">
        <f>IF(I82="","",IF(ISNUMBER(SEARCH(":",I82)),VALUE(LEFT(I82,SEARCH(":",I82)-1))*60+VALUE(MID(I82,SEARCH(":",I82)+1,99)),VALUE(I82)))</f>
        <v/>
      </c>
      <c r="K82" s="30" t="inlineStr">
        <is>
          <t>13.12.07</t>
        </is>
      </c>
      <c r="L82" s="30" t="inlineStr">
        <is>
          <t>Swimming New Zealand Short Course Records by Age - user-supplied PDF</t>
        </is>
      </c>
      <c r="M82" s="30" t="n"/>
      <c r="N82" s="30" t="inlineStr">
        <is>
          <t>NO</t>
        </is>
      </c>
      <c r="O82" s="30" t="inlineStr">
        <is>
          <t>YES</t>
        </is>
      </c>
      <c r="P82" s="30" t="n"/>
      <c r="Q82" s="30" t="inlineStr">
        <is>
          <t>15:10.72</t>
        </is>
      </c>
      <c r="R82" s="22">
        <f>IF(Q82="","",IF(ISNUMBER(SEARCH(":",Q82)),VALUE(LEFT(Q82,SEARCH(":",Q82)-1))*60+VALUE(MID(Q82,SEARCH(":",Q82)+1,99)),VALUE(Q82)))</f>
        <v/>
      </c>
      <c r="S82" s="39">
        <f>IF(OR(J82="",R82=""),"",(R82-J82)/R82)</f>
        <v/>
      </c>
      <c r="T82" s="22">
        <f>IF(OR(P82&lt;&gt;"",N82="YES"),"YES","NO")</f>
        <v/>
      </c>
      <c r="U82" s="22">
        <f>IF(AND(O82="YES",T82="YES",S82&lt;&gt;""),COUNTIFS($C$5:$C$424,C82,$S$5:$S$424,"&gt;"&amp;S82)+COUNTIFS($C$5:C82,C82,$S$5:S82,S82),"")</f>
        <v/>
      </c>
      <c r="V82" s="22">
        <f>IF(U82="","",C82&amp;"|"&amp;U82)</f>
        <v/>
      </c>
      <c r="W82" s="30" t="n"/>
      <c r="X82" s="30" t="inlineStr">
        <is>
          <t>Next-fastest time supplied in user workbook; swimmer name not yet supplied.</t>
        </is>
      </c>
    </row>
    <row r="83" ht="15" customHeight="1" s="17">
      <c r="A83" s="30" t="inlineStr">
        <is>
          <t>NZ|SCM|M|17|50 Back</t>
        </is>
      </c>
      <c r="B83" s="30" t="inlineStr">
        <is>
          <t>SCM</t>
        </is>
      </c>
      <c r="C83" s="30" t="inlineStr">
        <is>
          <t>Male</t>
        </is>
      </c>
      <c r="D83" s="30" t="n">
        <v>17</v>
      </c>
      <c r="E83" s="30" t="inlineStr">
        <is>
          <t>50 Back</t>
        </is>
      </c>
      <c r="F83" s="30" t="inlineStr">
        <is>
          <t>Cameron Gray</t>
        </is>
      </c>
      <c r="G83" s="22" t="inlineStr">
        <is>
          <t>Cameron Gray</t>
        </is>
      </c>
      <c r="H83" s="22" t="n"/>
      <c r="I83" s="30" t="inlineStr">
        <is>
          <t>24.44</t>
        </is>
      </c>
      <c r="J83" s="22">
        <f>IF(I83="","",IF(ISNUMBER(SEARCH(":",I83)),VALUE(LEFT(I83,SEARCH(":",I83)-1))*60+VALUE(MID(I83,SEARCH(":",I83)+1,99)),VALUE(I83)))</f>
        <v/>
      </c>
      <c r="K83" s="30" t="inlineStr">
        <is>
          <t>24.07.21</t>
        </is>
      </c>
      <c r="L83" s="30" t="inlineStr">
        <is>
          <t>Swimming New Zealand Short Course Records by Age - user-supplied PDF</t>
        </is>
      </c>
      <c r="M83" s="30" t="n"/>
      <c r="N83" s="30" t="inlineStr">
        <is>
          <t>NO</t>
        </is>
      </c>
      <c r="O83" s="30" t="inlineStr">
        <is>
          <t>YES</t>
        </is>
      </c>
      <c r="P83" s="30" t="n"/>
      <c r="Q83" s="30" t="inlineStr">
        <is>
          <t>24.61</t>
        </is>
      </c>
      <c r="R83" s="22">
        <f>IF(Q83="","",IF(ISNUMBER(SEARCH(":",Q83)),VALUE(LEFT(Q83,SEARCH(":",Q83)-1))*60+VALUE(MID(Q83,SEARCH(":",Q83)+1,99)),VALUE(Q83)))</f>
        <v/>
      </c>
      <c r="S83" s="39">
        <f>IF(OR(J83="",R83=""),"",(R83-J83)/R83)</f>
        <v/>
      </c>
      <c r="T83" s="22">
        <f>IF(OR(P83&lt;&gt;"",N83="YES"),"YES","NO")</f>
        <v/>
      </c>
      <c r="U83" s="22">
        <f>IF(AND(O83="YES",T83="YES",S83&lt;&gt;""),COUNTIFS($C$5:$C$424,C83,$S$5:$S$424,"&gt;"&amp;S83)+COUNTIFS($C$5:C83,C83,$S$5:S83,S83),"")</f>
        <v/>
      </c>
      <c r="V83" s="22">
        <f>IF(U83="","",C83&amp;"|"&amp;U83)</f>
        <v/>
      </c>
      <c r="W83" s="30" t="n"/>
      <c r="X83" s="30" t="inlineStr">
        <is>
          <t>Next-fastest time supplied in user workbook; swimmer name not yet supplied.</t>
        </is>
      </c>
    </row>
    <row r="84" ht="15" customHeight="1" s="17">
      <c r="A84" s="30" t="inlineStr">
        <is>
          <t>NZ|SCM|M|17|100 Back</t>
        </is>
      </c>
      <c r="B84" s="30" t="inlineStr">
        <is>
          <t>SCM</t>
        </is>
      </c>
      <c r="C84" s="30" t="inlineStr">
        <is>
          <t>Male</t>
        </is>
      </c>
      <c r="D84" s="30" t="n">
        <v>17</v>
      </c>
      <c r="E84" s="30" t="inlineStr">
        <is>
          <t>100 Back</t>
        </is>
      </c>
      <c r="F84" s="30" t="inlineStr">
        <is>
          <t>Daniel Bell</t>
        </is>
      </c>
      <c r="G84" s="22" t="inlineStr">
        <is>
          <t>Daniel Bell</t>
        </is>
      </c>
      <c r="H84" s="22" t="n"/>
      <c r="I84" s="30" t="inlineStr">
        <is>
          <t>51.84</t>
        </is>
      </c>
      <c r="J84" s="22">
        <f>IF(I84="","",IF(ISNUMBER(SEARCH(":",I84)),VALUE(LEFT(I84,SEARCH(":",I84)-1))*60+VALUE(MID(I84,SEARCH(":",I84)+1,99)),VALUE(I84)))</f>
        <v/>
      </c>
      <c r="K84" s="30" t="inlineStr">
        <is>
          <t>13.04.08</t>
        </is>
      </c>
      <c r="L84" s="30" t="inlineStr">
        <is>
          <t>Swimming New Zealand Short Course Records by Age - user-supplied PDF</t>
        </is>
      </c>
      <c r="M84" s="30" t="n"/>
      <c r="N84" s="30" t="inlineStr">
        <is>
          <t>NO</t>
        </is>
      </c>
      <c r="O84" s="30" t="inlineStr">
        <is>
          <t>YES</t>
        </is>
      </c>
      <c r="P84" s="30" t="n"/>
      <c r="Q84" s="30" t="inlineStr">
        <is>
          <t>52.45</t>
        </is>
      </c>
      <c r="R84" s="22">
        <f>IF(Q84="","",IF(ISNUMBER(SEARCH(":",Q84)),VALUE(LEFT(Q84,SEARCH(":",Q84)-1))*60+VALUE(MID(Q84,SEARCH(":",Q84)+1,99)),VALUE(Q84)))</f>
        <v/>
      </c>
      <c r="S84" s="39">
        <f>IF(OR(J84="",R84=""),"",(R84-J84)/R84)</f>
        <v/>
      </c>
      <c r="T84" s="22">
        <f>IF(OR(P84&lt;&gt;"",N84="YES"),"YES","NO")</f>
        <v/>
      </c>
      <c r="U84" s="22">
        <f>IF(AND(O84="YES",T84="YES",S84&lt;&gt;""),COUNTIFS($C$5:$C$424,C84,$S$5:$S$424,"&gt;"&amp;S84)+COUNTIFS($C$5:C84,C84,$S$5:S84,S84),"")</f>
        <v/>
      </c>
      <c r="V84" s="22">
        <f>IF(U84="","",C84&amp;"|"&amp;U84)</f>
        <v/>
      </c>
      <c r="W84" s="30" t="n"/>
      <c r="X84" s="30" t="inlineStr">
        <is>
          <t>Next-fastest time supplied in user workbook; swimmer name not yet supplied.</t>
        </is>
      </c>
    </row>
    <row r="85" ht="15" customHeight="1" s="17">
      <c r="A85" s="30" t="inlineStr">
        <is>
          <t>NZ|SCM|M|17|200 Back</t>
        </is>
      </c>
      <c r="B85" s="30" t="inlineStr">
        <is>
          <t>SCM</t>
        </is>
      </c>
      <c r="C85" s="30" t="inlineStr">
        <is>
          <t>Male</t>
        </is>
      </c>
      <c r="D85" s="30" t="n">
        <v>17</v>
      </c>
      <c r="E85" s="30" t="inlineStr">
        <is>
          <t>200 Back</t>
        </is>
      </c>
      <c r="F85" s="30" t="inlineStr">
        <is>
          <t>Corey Main</t>
        </is>
      </c>
      <c r="G85" s="22" t="inlineStr">
        <is>
          <t>Corey Main</t>
        </is>
      </c>
      <c r="H85" s="22" t="n"/>
      <c r="I85" s="30" t="inlineStr">
        <is>
          <t>1:54.39</t>
        </is>
      </c>
      <c r="J85" s="22">
        <f>IF(I85="","",IF(ISNUMBER(SEARCH(":",I85)),VALUE(LEFT(I85,SEARCH(":",I85)-1))*60+VALUE(MID(I85,SEARCH(":",I85)+1,99)),VALUE(I85)))</f>
        <v/>
      </c>
      <c r="K85" s="30" t="inlineStr">
        <is>
          <t>04.10.12</t>
        </is>
      </c>
      <c r="L85" s="30" t="inlineStr">
        <is>
          <t>Swimming New Zealand Short Course Records by Age - user-supplied PDF</t>
        </is>
      </c>
      <c r="M85" s="30" t="n"/>
      <c r="N85" s="30" t="inlineStr">
        <is>
          <t>NO</t>
        </is>
      </c>
      <c r="O85" s="30" t="inlineStr">
        <is>
          <t>YES</t>
        </is>
      </c>
      <c r="P85" s="30" t="n"/>
      <c r="Q85" s="30" t="inlineStr">
        <is>
          <t>1:55.95</t>
        </is>
      </c>
      <c r="R85" s="22">
        <f>IF(Q85="","",IF(ISNUMBER(SEARCH(":",Q85)),VALUE(LEFT(Q85,SEARCH(":",Q85)-1))*60+VALUE(MID(Q85,SEARCH(":",Q85)+1,99)),VALUE(Q85)))</f>
        <v/>
      </c>
      <c r="S85" s="39">
        <f>IF(OR(J85="",R85=""),"",(R85-J85)/R85)</f>
        <v/>
      </c>
      <c r="T85" s="22">
        <f>IF(OR(P85&lt;&gt;"",N85="YES"),"YES","NO")</f>
        <v/>
      </c>
      <c r="U85" s="22">
        <f>IF(AND(O85="YES",T85="YES",S85&lt;&gt;""),COUNTIFS($C$5:$C$424,C85,$S$5:$S$424,"&gt;"&amp;S85)+COUNTIFS($C$5:C85,C85,$S$5:S85,S85),"")</f>
        <v/>
      </c>
      <c r="V85" s="22">
        <f>IF(U85="","",C85&amp;"|"&amp;U85)</f>
        <v/>
      </c>
      <c r="W85" s="30" t="n"/>
      <c r="X85" s="30" t="inlineStr">
        <is>
          <t>Next-fastest time supplied in user workbook; swimmer name not yet supplied.</t>
        </is>
      </c>
    </row>
    <row r="86" ht="15" customHeight="1" s="17">
      <c r="A86" s="30" t="inlineStr">
        <is>
          <t>NZ|SCM|M|17|50 Breast</t>
        </is>
      </c>
      <c r="B86" s="30" t="inlineStr">
        <is>
          <t>SCM</t>
        </is>
      </c>
      <c r="C86" s="30" t="inlineStr">
        <is>
          <t>Male</t>
        </is>
      </c>
      <c r="D86" s="30" t="n">
        <v>17</v>
      </c>
      <c r="E86" s="30" t="inlineStr">
        <is>
          <t>50 Breast</t>
        </is>
      </c>
      <c r="F86" s="30" t="inlineStr">
        <is>
          <t>Roman Anderson</t>
        </is>
      </c>
      <c r="G86" s="22" t="inlineStr">
        <is>
          <t>Roman Anderson</t>
        </is>
      </c>
      <c r="H86" s="22" t="n"/>
      <c r="I86" s="30" t="inlineStr">
        <is>
          <t>27.14</t>
        </is>
      </c>
      <c r="J86" s="22">
        <f>IF(I86="","",IF(ISNUMBER(SEARCH(":",I86)),VALUE(LEFT(I86,SEARCH(":",I86)-1))*60+VALUE(MID(I86,SEARCH(":",I86)+1,99)),VALUE(I86)))</f>
        <v/>
      </c>
      <c r="K86" s="30" t="inlineStr">
        <is>
          <t>29.09.26</t>
        </is>
      </c>
      <c r="L86" s="30" t="inlineStr">
        <is>
          <t>Updated through 2026 NZ Short Course Championships</t>
        </is>
      </c>
      <c r="M86" s="30" t="inlineStr">
        <is>
          <t>https://swimdadnz.github.io/NZSC_2026/NZSC_2026_meet_editorial_summary_final.html</t>
        </is>
      </c>
      <c r="N86" s="30" t="inlineStr">
        <is>
          <t>NO</t>
        </is>
      </c>
      <c r="O86" s="30" t="inlineStr">
        <is>
          <t>YES</t>
        </is>
      </c>
      <c r="P86" s="30" t="n"/>
      <c r="Q86" s="30" t="inlineStr">
        <is>
          <t>27.90</t>
        </is>
      </c>
      <c r="R86" s="22">
        <f>IF(Q86="","",IF(ISNUMBER(SEARCH(":",Q86)),VALUE(LEFT(Q86,SEARCH(":",Q86)-1))*60+VALUE(MID(Q86,SEARCH(":",Q86)+1,99)),VALUE(Q86)))</f>
        <v/>
      </c>
      <c r="S86" s="39">
        <f>IF(OR(J86="",R86=""),"",(R86-J86)/R86)</f>
        <v/>
      </c>
      <c r="T86" s="22">
        <f>IF(OR(P86&lt;&gt;"",N86="YES"),"YES","NO")</f>
        <v/>
      </c>
      <c r="U86" s="22">
        <f>IF(AND(O86="YES",T86="YES",S86&lt;&gt;""),COUNTIFS($C$5:$C$424,C86,$S$5:$S$424,"&gt;"&amp;S86)+COUNTIFS($C$5:C86,C86,$S$5:S86,S86),"")</f>
        <v/>
      </c>
      <c r="V86" s="22">
        <f>IF(U86="","",C86&amp;"|"&amp;U86)</f>
        <v/>
      </c>
      <c r="W86" s="30" t="inlineStr">
        <is>
          <t>NZSC 2026: same swimmer improved own record; next-fastest different-swimmer time retained from supplied dataset.</t>
        </is>
      </c>
      <c r="X86" s="30" t="inlineStr">
        <is>
          <t>Next-fastest time supplied in user workbook; swimmer name not yet supplied.</t>
        </is>
      </c>
    </row>
    <row r="87" ht="15" customHeight="1" s="17">
      <c r="A87" s="30" t="inlineStr">
        <is>
          <t>NZ|SCM|M|17|100 Breast</t>
        </is>
      </c>
      <c r="B87" s="30" t="inlineStr">
        <is>
          <t>SCM</t>
        </is>
      </c>
      <c r="C87" s="30" t="inlineStr">
        <is>
          <t>Male</t>
        </is>
      </c>
      <c r="D87" s="30" t="n">
        <v>17</v>
      </c>
      <c r="E87" s="30" t="inlineStr">
        <is>
          <t>100 Breast</t>
        </is>
      </c>
      <c r="F87" s="30" t="inlineStr">
        <is>
          <t>Roman Anderson</t>
        </is>
      </c>
      <c r="G87" s="22" t="inlineStr">
        <is>
          <t>Roman Anderson</t>
        </is>
      </c>
      <c r="H87" s="22" t="n"/>
      <c r="I87" s="30" t="inlineStr">
        <is>
          <t>1:00.01</t>
        </is>
      </c>
      <c r="J87" s="22">
        <f>IF(I87="","",IF(ISNUMBER(SEARCH(":",I87)),VALUE(LEFT(I87,SEARCH(":",I87)-1))*60+VALUE(MID(I87,SEARCH(":",I87)+1,99)),VALUE(I87)))</f>
        <v/>
      </c>
      <c r="K87" s="30" t="inlineStr">
        <is>
          <t>30.09.26</t>
        </is>
      </c>
      <c r="L87" s="30" t="inlineStr">
        <is>
          <t>Updated through 2026 NZ Short Course Championships</t>
        </is>
      </c>
      <c r="M87" s="30" t="inlineStr">
        <is>
          <t>https://swimdadnz.github.io/NZSC_2026/NZSC_2026_meet_editorial_summary_final.html</t>
        </is>
      </c>
      <c r="N87" s="30" t="inlineStr">
        <is>
          <t>NO</t>
        </is>
      </c>
      <c r="O87" s="30" t="inlineStr">
        <is>
          <t>YES</t>
        </is>
      </c>
      <c r="P87" s="30" t="inlineStr">
        <is>
          <t>Erik Kahr</t>
        </is>
      </c>
      <c r="Q87" s="30" t="inlineStr">
        <is>
          <t>1:00.77</t>
        </is>
      </c>
      <c r="R87" s="22">
        <f>IF(Q87="","",IF(ISNUMBER(SEARCH(":",Q87)),VALUE(LEFT(Q87,SEARCH(":",Q87)-1))*60+VALUE(MID(Q87,SEARCH(":",Q87)+1,99)),VALUE(Q87)))</f>
        <v/>
      </c>
      <c r="S87" s="39">
        <f>IF(OR(J87="",R87=""),"",(R87-J87)/R87)</f>
        <v/>
      </c>
      <c r="T87" s="22">
        <f>IF(OR(P87&lt;&gt;"",N87="YES"),"YES","NO")</f>
        <v/>
      </c>
      <c r="U87" s="22">
        <f>IF(AND(O87="YES",T87="YES",S87&lt;&gt;""),COUNTIFS($C$5:$C$424,C87,$S$5:$S$424,"&gt;"&amp;S87)+COUNTIFS($C$5:C87,C87,$S$5:S87,S87),"")</f>
        <v/>
      </c>
      <c r="V87" s="22">
        <f>IF(U87="","",C87&amp;"|"&amp;U87)</f>
        <v/>
      </c>
      <c r="W87" s="30" t="inlineStr">
        <is>
          <t>NZSC 2026 update: Erik Kahr 1:00.77 became next-fastest.</t>
        </is>
      </c>
      <c r="X87" s="30" t="inlineStr">
        <is>
          <t>Auto-set from displaced NZ record after NZSC 2026.</t>
        </is>
      </c>
    </row>
    <row r="88" ht="15" customHeight="1" s="17">
      <c r="A88" s="30" t="inlineStr">
        <is>
          <t>NZ|SCM|M|17|200 Breast</t>
        </is>
      </c>
      <c r="B88" s="30" t="inlineStr">
        <is>
          <t>SCM</t>
        </is>
      </c>
      <c r="C88" s="30" t="inlineStr">
        <is>
          <t>Male</t>
        </is>
      </c>
      <c r="D88" s="30" t="n">
        <v>17</v>
      </c>
      <c r="E88" s="30" t="inlineStr">
        <is>
          <t>200 Breast</t>
        </is>
      </c>
      <c r="F88" s="30" t="inlineStr">
        <is>
          <t>Jackson Kennard</t>
        </is>
      </c>
      <c r="G88" s="22" t="inlineStr">
        <is>
          <t>Jackson Kennard</t>
        </is>
      </c>
      <c r="H88" s="22" t="n"/>
      <c r="I88" s="30" t="inlineStr">
        <is>
          <t>2:11.88</t>
        </is>
      </c>
      <c r="J88" s="22">
        <f>IF(I88="","",IF(ISNUMBER(SEARCH(":",I88)),VALUE(LEFT(I88,SEARCH(":",I88)-1))*60+VALUE(MID(I88,SEARCH(":",I88)+1,99)),VALUE(I88)))</f>
        <v/>
      </c>
      <c r="K88" s="30" t="inlineStr">
        <is>
          <t>08.08.23</t>
        </is>
      </c>
      <c r="L88" s="30" t="inlineStr">
        <is>
          <t>Swimming New Zealand Short Course Records by Age - user-supplied PDF</t>
        </is>
      </c>
      <c r="M88" s="30" t="n"/>
      <c r="N88" s="30" t="inlineStr">
        <is>
          <t>NO</t>
        </is>
      </c>
      <c r="O88" s="30" t="inlineStr">
        <is>
          <t>YES</t>
        </is>
      </c>
      <c r="P88" s="30" t="n"/>
      <c r="Q88" s="30" t="inlineStr">
        <is>
          <t>2:13.09</t>
        </is>
      </c>
      <c r="R88" s="22">
        <f>IF(Q88="","",IF(ISNUMBER(SEARCH(":",Q88)),VALUE(LEFT(Q88,SEARCH(":",Q88)-1))*60+VALUE(MID(Q88,SEARCH(":",Q88)+1,99)),VALUE(Q88)))</f>
        <v/>
      </c>
      <c r="S88" s="39">
        <f>IF(OR(J88="",R88=""),"",(R88-J88)/R88)</f>
        <v/>
      </c>
      <c r="T88" s="22">
        <f>IF(OR(P88&lt;&gt;"",N88="YES"),"YES","NO")</f>
        <v/>
      </c>
      <c r="U88" s="22">
        <f>IF(AND(O88="YES",T88="YES",S88&lt;&gt;""),COUNTIFS($C$5:$C$424,C88,$S$5:$S$424,"&gt;"&amp;S88)+COUNTIFS($C$5:C88,C88,$S$5:S88,S88),"")</f>
        <v/>
      </c>
      <c r="V88" s="22">
        <f>IF(U88="","",C88&amp;"|"&amp;U88)</f>
        <v/>
      </c>
      <c r="W88" s="30" t="n"/>
      <c r="X88" s="30" t="inlineStr">
        <is>
          <t>Next-fastest time supplied in user workbook; swimmer name not yet supplied.</t>
        </is>
      </c>
    </row>
    <row r="89" ht="15" customHeight="1" s="17">
      <c r="A89" s="30" t="inlineStr">
        <is>
          <t>NZ|SCM|M|17|50 Fly</t>
        </is>
      </c>
      <c r="B89" s="30" t="inlineStr">
        <is>
          <t>SCM</t>
        </is>
      </c>
      <c r="C89" s="30" t="inlineStr">
        <is>
          <t>Male</t>
        </is>
      </c>
      <c r="D89" s="30" t="n">
        <v>17</v>
      </c>
      <c r="E89" s="30" t="inlineStr">
        <is>
          <t>50 Fly</t>
        </is>
      </c>
      <c r="F89" s="30" t="inlineStr">
        <is>
          <t>Ben Littlejohn</t>
        </is>
      </c>
      <c r="G89" s="22" t="inlineStr">
        <is>
          <t>Ben Littlejohn</t>
        </is>
      </c>
      <c r="H89" s="22" t="n"/>
      <c r="I89" s="30" t="inlineStr">
        <is>
          <t>23.91</t>
        </is>
      </c>
      <c r="J89" s="22">
        <f>IF(I89="","",IF(ISNUMBER(SEARCH(":",I89)),VALUE(LEFT(I89,SEARCH(":",I89)-1))*60+VALUE(MID(I89,SEARCH(":",I89)+1,99)),VALUE(I89)))</f>
        <v/>
      </c>
      <c r="K89" s="30" t="inlineStr">
        <is>
          <t>04.10.19</t>
        </is>
      </c>
      <c r="L89" s="30" t="inlineStr">
        <is>
          <t>Swimming New Zealand Short Course Records by Age - user-supplied PDF</t>
        </is>
      </c>
      <c r="M89" s="30" t="n"/>
      <c r="N89" s="30" t="inlineStr">
        <is>
          <t>NO</t>
        </is>
      </c>
      <c r="O89" s="30" t="inlineStr">
        <is>
          <t>YES</t>
        </is>
      </c>
      <c r="P89" s="30" t="n"/>
      <c r="Q89" s="30" t="inlineStr">
        <is>
          <t>24.08</t>
        </is>
      </c>
      <c r="R89" s="22">
        <f>IF(Q89="","",IF(ISNUMBER(SEARCH(":",Q89)),VALUE(LEFT(Q89,SEARCH(":",Q89)-1))*60+VALUE(MID(Q89,SEARCH(":",Q89)+1,99)),VALUE(Q89)))</f>
        <v/>
      </c>
      <c r="S89" s="39">
        <f>IF(OR(J89="",R89=""),"",(R89-J89)/R89)</f>
        <v/>
      </c>
      <c r="T89" s="22">
        <f>IF(OR(P89&lt;&gt;"",N89="YES"),"YES","NO")</f>
        <v/>
      </c>
      <c r="U89" s="22">
        <f>IF(AND(O89="YES",T89="YES",S89&lt;&gt;""),COUNTIFS($C$5:$C$424,C89,$S$5:$S$424,"&gt;"&amp;S89)+COUNTIFS($C$5:C89,C89,$S$5:S89,S89),"")</f>
        <v/>
      </c>
      <c r="V89" s="22">
        <f>IF(U89="","",C89&amp;"|"&amp;U89)</f>
        <v/>
      </c>
      <c r="W89" s="30" t="n"/>
      <c r="X89" s="30" t="inlineStr">
        <is>
          <t>Next-fastest time supplied in user workbook; swimmer name not yet supplied.</t>
        </is>
      </c>
    </row>
    <row r="90" ht="15" customHeight="1" s="17">
      <c r="A90" s="30" t="inlineStr">
        <is>
          <t>NZ|SCM|M|17|100 Fly</t>
        </is>
      </c>
      <c r="B90" s="30" t="inlineStr">
        <is>
          <t>SCM</t>
        </is>
      </c>
      <c r="C90" s="30" t="inlineStr">
        <is>
          <t>Male</t>
        </is>
      </c>
      <c r="D90" s="30" t="n">
        <v>17</v>
      </c>
      <c r="E90" s="30" t="inlineStr">
        <is>
          <t>100 Fly</t>
        </is>
      </c>
      <c r="F90" s="30" t="inlineStr">
        <is>
          <t>Danyon Loader</t>
        </is>
      </c>
      <c r="G90" s="22" t="inlineStr">
        <is>
          <t>Danyon Loader</t>
        </is>
      </c>
      <c r="H90" s="22" t="n"/>
      <c r="I90" s="30" t="inlineStr">
        <is>
          <t>52.78</t>
        </is>
      </c>
      <c r="J90" s="22">
        <f>IF(I90="","",IF(ISNUMBER(SEARCH(":",I90)),VALUE(LEFT(I90,SEARCH(":",I90)-1))*60+VALUE(MID(I90,SEARCH(":",I90)+1,99)),VALUE(I90)))</f>
        <v/>
      </c>
      <c r="K90" s="30" t="inlineStr">
        <is>
          <t>07.02.93</t>
        </is>
      </c>
      <c r="L90" s="30" t="inlineStr">
        <is>
          <t>Swimming New Zealand Short Course Records by Age - user-supplied PDF</t>
        </is>
      </c>
      <c r="M90" s="30" t="n"/>
      <c r="N90" s="30" t="inlineStr">
        <is>
          <t>NO</t>
        </is>
      </c>
      <c r="O90" s="30" t="inlineStr">
        <is>
          <t>YES</t>
        </is>
      </c>
      <c r="P90" s="30" t="n"/>
      <c r="Q90" s="30" t="inlineStr">
        <is>
          <t>53.13</t>
        </is>
      </c>
      <c r="R90" s="22">
        <f>IF(Q90="","",IF(ISNUMBER(SEARCH(":",Q90)),VALUE(LEFT(Q90,SEARCH(":",Q90)-1))*60+VALUE(MID(Q90,SEARCH(":",Q90)+1,99)),VALUE(Q90)))</f>
        <v/>
      </c>
      <c r="S90" s="39">
        <f>IF(OR(J90="",R90=""),"",(R90-J90)/R90)</f>
        <v/>
      </c>
      <c r="T90" s="22">
        <f>IF(OR(P90&lt;&gt;"",N90="YES"),"YES","NO")</f>
        <v/>
      </c>
      <c r="U90" s="22">
        <f>IF(AND(O90="YES",T90="YES",S90&lt;&gt;""),COUNTIFS($C$5:$C$424,C90,$S$5:$S$424,"&gt;"&amp;S90)+COUNTIFS($C$5:C90,C90,$S$5:S90,S90),"")</f>
        <v/>
      </c>
      <c r="V90" s="22">
        <f>IF(U90="","",C90&amp;"|"&amp;U90)</f>
        <v/>
      </c>
      <c r="W90" s="30" t="n"/>
      <c r="X90" s="30" t="inlineStr">
        <is>
          <t>Next-fastest time supplied in user workbook; swimmer name not yet supplied.</t>
        </is>
      </c>
    </row>
    <row r="91" ht="15" customHeight="1" s="17">
      <c r="A91" s="30" t="inlineStr">
        <is>
          <t>NZ|SCM|M|17|200 Fly</t>
        </is>
      </c>
      <c r="B91" s="30" t="inlineStr">
        <is>
          <t>SCM</t>
        </is>
      </c>
      <c r="C91" s="30" t="inlineStr">
        <is>
          <t>Male</t>
        </is>
      </c>
      <c r="D91" s="30" t="n">
        <v>17</v>
      </c>
      <c r="E91" s="30" t="inlineStr">
        <is>
          <t>200 Fly</t>
        </is>
      </c>
      <c r="F91" s="30" t="inlineStr">
        <is>
          <t>Danyon Loader</t>
        </is>
      </c>
      <c r="G91" s="22" t="inlineStr">
        <is>
          <t>Danyon Loader</t>
        </is>
      </c>
      <c r="H91" s="22" t="n"/>
      <c r="I91" s="30" t="inlineStr">
        <is>
          <t>1:54.21</t>
        </is>
      </c>
      <c r="J91" s="22">
        <f>IF(I91="","",IF(ISNUMBER(SEARCH(":",I91)),VALUE(LEFT(I91,SEARCH(":",I91)-1))*60+VALUE(MID(I91,SEARCH(":",I91)+1,99)),VALUE(I91)))</f>
        <v/>
      </c>
      <c r="K91" s="30" t="inlineStr">
        <is>
          <t>13.02.93</t>
        </is>
      </c>
      <c r="L91" s="30" t="inlineStr">
        <is>
          <t>Swimming New Zealand Short Course Records by Age - user-supplied PDF</t>
        </is>
      </c>
      <c r="M91" s="30" t="n"/>
      <c r="N91" s="30" t="inlineStr">
        <is>
          <t>NO</t>
        </is>
      </c>
      <c r="O91" s="30" t="inlineStr">
        <is>
          <t>YES</t>
        </is>
      </c>
      <c r="P91" s="30" t="inlineStr">
        <is>
          <t>Wilrich Coetzee</t>
        </is>
      </c>
      <c r="Q91" s="30" t="inlineStr">
        <is>
          <t>1:58.50</t>
        </is>
      </c>
      <c r="R91" s="22">
        <f>IF(Q91="","",IF(ISNUMBER(SEARCH(":",Q91)),VALUE(LEFT(Q91,SEARCH(":",Q91)-1))*60+VALUE(MID(Q91,SEARCH(":",Q91)+1,99)),VALUE(Q91)))</f>
        <v/>
      </c>
      <c r="S91" s="39">
        <f>IF(OR(J91="",R91=""),"",(R91-J91)/R91)</f>
        <v/>
      </c>
      <c r="T91" s="22">
        <f>IF(OR(P91&lt;&gt;"",N91="YES"),"YES","NO")</f>
        <v/>
      </c>
      <c r="U91" s="22">
        <f>IF(AND(O91="YES",T91="YES",S91&lt;&gt;""),COUNTIFS($C$5:$C$424,C91,$S$5:$S$424,"&gt;"&amp;S91)+COUNTIFS($C$5:C91,C91,$S$5:S91,S91),"")</f>
        <v/>
      </c>
      <c r="V91" s="22">
        <f>IF(U91="","",C91&amp;"|"&amp;U91)</f>
        <v/>
      </c>
      <c r="W91" s="30" t="n"/>
      <c r="X91" s="30" t="inlineStr">
        <is>
          <t>Next-fastest time supplied in user workbook; swimmer name not yet supplied.</t>
        </is>
      </c>
    </row>
    <row r="92" ht="15" customHeight="1" s="17">
      <c r="A92" s="30" t="inlineStr">
        <is>
          <t>NZ|SCM|M|17|100 IM</t>
        </is>
      </c>
      <c r="B92" s="30" t="inlineStr">
        <is>
          <t>SCM</t>
        </is>
      </c>
      <c r="C92" s="30" t="inlineStr">
        <is>
          <t>Male</t>
        </is>
      </c>
      <c r="D92" s="30" t="n">
        <v>17</v>
      </c>
      <c r="E92" s="30" t="inlineStr">
        <is>
          <t>100 IM</t>
        </is>
      </c>
      <c r="F92" s="30" t="inlineStr">
        <is>
          <t>Daniel Bell</t>
        </is>
      </c>
      <c r="G92" s="22" t="inlineStr">
        <is>
          <t>Daniel Bell</t>
        </is>
      </c>
      <c r="H92" s="22" t="n"/>
      <c r="I92" s="30" t="inlineStr">
        <is>
          <t>54.61</t>
        </is>
      </c>
      <c r="J92" s="22">
        <f>IF(I92="","",IF(ISNUMBER(SEARCH(":",I92)),VALUE(LEFT(I92,SEARCH(":",I92)-1))*60+VALUE(MID(I92,SEARCH(":",I92)+1,99)),VALUE(I92)))</f>
        <v/>
      </c>
      <c r="K92" s="30" t="inlineStr">
        <is>
          <t>12.04.08</t>
        </is>
      </c>
      <c r="L92" s="30" t="inlineStr">
        <is>
          <t>Swimming New Zealand Short Course Records by Age - user-supplied PDF</t>
        </is>
      </c>
      <c r="M92" s="30" t="n"/>
      <c r="N92" s="30" t="inlineStr">
        <is>
          <t>NO</t>
        </is>
      </c>
      <c r="O92" s="30" t="inlineStr">
        <is>
          <t>YES</t>
        </is>
      </c>
      <c r="P92" s="30" t="n"/>
      <c r="Q92" s="30" t="inlineStr">
        <is>
          <t>55.37</t>
        </is>
      </c>
      <c r="R92" s="22">
        <f>IF(Q92="","",IF(ISNUMBER(SEARCH(":",Q92)),VALUE(LEFT(Q92,SEARCH(":",Q92)-1))*60+VALUE(MID(Q92,SEARCH(":",Q92)+1,99)),VALUE(Q92)))</f>
        <v/>
      </c>
      <c r="S92" s="39">
        <f>IF(OR(J92="",R92=""),"",(R92-J92)/R92)</f>
        <v/>
      </c>
      <c r="T92" s="22">
        <f>IF(OR(P92&lt;&gt;"",N92="YES"),"YES","NO")</f>
        <v/>
      </c>
      <c r="U92" s="22">
        <f>IF(AND(O92="YES",T92="YES",S92&lt;&gt;""),COUNTIFS($C$5:$C$424,C92,$S$5:$S$424,"&gt;"&amp;S92)+COUNTIFS($C$5:C92,C92,$S$5:S92,S92),"")</f>
        <v/>
      </c>
      <c r="V92" s="22">
        <f>IF(U92="","",C92&amp;"|"&amp;U92)</f>
        <v/>
      </c>
      <c r="W92" s="30" t="n"/>
      <c r="X92" s="30" t="inlineStr">
        <is>
          <t>Next-fastest time supplied in user workbook; swimmer name not yet supplied.</t>
        </is>
      </c>
    </row>
    <row r="93" ht="15" customHeight="1" s="17">
      <c r="A93" s="30" t="inlineStr">
        <is>
          <t>NZ|SCM|M|17|200 IM</t>
        </is>
      </c>
      <c r="B93" s="30" t="inlineStr">
        <is>
          <t>SCM</t>
        </is>
      </c>
      <c r="C93" s="30" t="inlineStr">
        <is>
          <t>Male</t>
        </is>
      </c>
      <c r="D93" s="30" t="n">
        <v>17</v>
      </c>
      <c r="E93" s="30" t="inlineStr">
        <is>
          <t>200 IM</t>
        </is>
      </c>
      <c r="F93" s="30" t="inlineStr">
        <is>
          <t>Kevin Zhang</t>
        </is>
      </c>
      <c r="G93" s="22" t="inlineStr">
        <is>
          <t>Kevin Zhang</t>
        </is>
      </c>
      <c r="H93" s="22" t="n"/>
      <c r="I93" s="30" t="inlineStr">
        <is>
          <t>1:58.52</t>
        </is>
      </c>
      <c r="J93" s="22">
        <f>IF(I93="","",IF(ISNUMBER(SEARCH(":",I93)),VALUE(LEFT(I93,SEARCH(":",I93)-1))*60+VALUE(MID(I93,SEARCH(":",I93)+1,99)),VALUE(I93)))</f>
        <v/>
      </c>
      <c r="K93" s="30" t="inlineStr">
        <is>
          <t>24.08.24</t>
        </is>
      </c>
      <c r="L93" s="30" t="inlineStr">
        <is>
          <t>Swimming New Zealand Short Course Records by Age - user-supplied PDF</t>
        </is>
      </c>
      <c r="M93" s="30" t="n"/>
      <c r="N93" s="30" t="inlineStr">
        <is>
          <t>NO</t>
        </is>
      </c>
      <c r="O93" s="30" t="inlineStr">
        <is>
          <t>YES</t>
        </is>
      </c>
      <c r="P93" s="30" t="n"/>
      <c r="Q93" s="30" t="inlineStr">
        <is>
          <t>1:58.70</t>
        </is>
      </c>
      <c r="R93" s="22">
        <f>IF(Q93="","",IF(ISNUMBER(SEARCH(":",Q93)),VALUE(LEFT(Q93,SEARCH(":",Q93)-1))*60+VALUE(MID(Q93,SEARCH(":",Q93)+1,99)),VALUE(Q93)))</f>
        <v/>
      </c>
      <c r="S93" s="39">
        <f>IF(OR(J93="",R93=""),"",(R93-J93)/R93)</f>
        <v/>
      </c>
      <c r="T93" s="22">
        <f>IF(OR(P93&lt;&gt;"",N93="YES"),"YES","NO")</f>
        <v/>
      </c>
      <c r="U93" s="22">
        <f>IF(AND(O93="YES",T93="YES",S93&lt;&gt;""),COUNTIFS($C$5:$C$424,C93,$S$5:$S$424,"&gt;"&amp;S93)+COUNTIFS($C$5:C93,C93,$S$5:S93,S93),"")</f>
        <v/>
      </c>
      <c r="V93" s="22">
        <f>IF(U93="","",C93&amp;"|"&amp;U93)</f>
        <v/>
      </c>
      <c r="W93" s="30" t="n"/>
      <c r="X93" s="30" t="inlineStr">
        <is>
          <t>Next-fastest time supplied in user workbook; swimmer name not yet supplied.</t>
        </is>
      </c>
    </row>
    <row r="94" ht="15" customHeight="1" s="17">
      <c r="A94" s="30" t="inlineStr">
        <is>
          <t>NZ|SCM|M|17|400 IM</t>
        </is>
      </c>
      <c r="B94" s="30" t="inlineStr">
        <is>
          <t>SCM</t>
        </is>
      </c>
      <c r="C94" s="30" t="inlineStr">
        <is>
          <t>Male</t>
        </is>
      </c>
      <c r="D94" s="30" t="n">
        <v>17</v>
      </c>
      <c r="E94" s="30" t="inlineStr">
        <is>
          <t>400 IM</t>
        </is>
      </c>
      <c r="F94" s="30" t="inlineStr">
        <is>
          <t>Bradlee Ashby</t>
        </is>
      </c>
      <c r="G94" s="22" t="inlineStr">
        <is>
          <t>Bradlee Ashby</t>
        </is>
      </c>
      <c r="H94" s="22" t="n"/>
      <c r="I94" s="30" t="inlineStr">
        <is>
          <t>4:14.15</t>
        </is>
      </c>
      <c r="J94" s="22">
        <f>IF(I94="","",IF(ISNUMBER(SEARCH(":",I94)),VALUE(LEFT(I94,SEARCH(":",I94)-1))*60+VALUE(MID(I94,SEARCH(":",I94)+1,99)),VALUE(I94)))</f>
        <v/>
      </c>
      <c r="K94" s="30" t="inlineStr">
        <is>
          <t>30.09.13</t>
        </is>
      </c>
      <c r="L94" s="30" t="inlineStr">
        <is>
          <t>Swimming New Zealand Short Course Records by Age - user-supplied PDF</t>
        </is>
      </c>
      <c r="M94" s="30" t="n"/>
      <c r="N94" s="30" t="inlineStr">
        <is>
          <t>NO</t>
        </is>
      </c>
      <c r="O94" s="30" t="inlineStr">
        <is>
          <t>YES</t>
        </is>
      </c>
      <c r="P94" s="30" t="n"/>
      <c r="Q94" s="30" t="inlineStr">
        <is>
          <t>4:17.65</t>
        </is>
      </c>
      <c r="R94" s="22">
        <f>IF(Q94="","",IF(ISNUMBER(SEARCH(":",Q94)),VALUE(LEFT(Q94,SEARCH(":",Q94)-1))*60+VALUE(MID(Q94,SEARCH(":",Q94)+1,99)),VALUE(Q94)))</f>
        <v/>
      </c>
      <c r="S94" s="39">
        <f>IF(OR(J94="",R94=""),"",(R94-J94)/R94)</f>
        <v/>
      </c>
      <c r="T94" s="22">
        <f>IF(OR(P94&lt;&gt;"",N94="YES"),"YES","NO")</f>
        <v/>
      </c>
      <c r="U94" s="22">
        <f>IF(AND(O94="YES",T94="YES",S94&lt;&gt;""),COUNTIFS($C$5:$C$424,C94,$S$5:$S$424,"&gt;"&amp;S94)+COUNTIFS($C$5:C94,C94,$S$5:S94,S94),"")</f>
        <v/>
      </c>
      <c r="V94" s="22">
        <f>IF(U94="","",C94&amp;"|"&amp;U94)</f>
        <v/>
      </c>
      <c r="W94" s="30" t="n"/>
      <c r="X94" s="30" t="inlineStr">
        <is>
          <t>Next-fastest time supplied in user workbook; swimmer name not yet supplied.</t>
        </is>
      </c>
    </row>
    <row r="95" ht="15" customHeight="1" s="17">
      <c r="A95" s="30" t="inlineStr">
        <is>
          <t>NZ|SCM|M|18|50 Free</t>
        </is>
      </c>
      <c r="B95" s="30" t="inlineStr">
        <is>
          <t>SCM</t>
        </is>
      </c>
      <c r="C95" s="30" t="inlineStr">
        <is>
          <t>Male</t>
        </is>
      </c>
      <c r="D95" s="30" t="n">
        <v>18</v>
      </c>
      <c r="E95" s="30" t="inlineStr">
        <is>
          <t>50 Free</t>
        </is>
      </c>
      <c r="F95" s="30" t="inlineStr">
        <is>
          <t>Igor Russanov</t>
        </is>
      </c>
      <c r="G95" s="22" t="inlineStr">
        <is>
          <t>Igor Russanov</t>
        </is>
      </c>
      <c r="H95" s="22" t="n"/>
      <c r="I95" s="30" t="inlineStr">
        <is>
          <t>22.13</t>
        </is>
      </c>
      <c r="J95" s="22">
        <f>IF(I95="","",IF(ISNUMBER(SEARCH(":",I95)),VALUE(LEFT(I95,SEARCH(":",I95)-1))*60+VALUE(MID(I95,SEARCH(":",I95)+1,99)),VALUE(I95)))</f>
        <v/>
      </c>
      <c r="K95" s="30" t="inlineStr">
        <is>
          <t>25.09.25</t>
        </is>
      </c>
      <c r="L95" s="30" t="inlineStr">
        <is>
          <t>Swimming New Zealand Short Course Records by Age - user-supplied PDF</t>
        </is>
      </c>
      <c r="M95" s="30" t="n"/>
      <c r="N95" s="30" t="inlineStr">
        <is>
          <t>NO</t>
        </is>
      </c>
      <c r="O95" s="30" t="inlineStr">
        <is>
          <t>YES</t>
        </is>
      </c>
      <c r="P95" s="30" t="n"/>
      <c r="Q95" s="30" t="inlineStr">
        <is>
          <t>22.24</t>
        </is>
      </c>
      <c r="R95" s="22">
        <f>IF(Q95="","",IF(ISNUMBER(SEARCH(":",Q95)),VALUE(LEFT(Q95,SEARCH(":",Q95)-1))*60+VALUE(MID(Q95,SEARCH(":",Q95)+1,99)),VALUE(Q95)))</f>
        <v/>
      </c>
      <c r="S95" s="39">
        <f>IF(OR(J95="",R95=""),"",(R95-J95)/R95)</f>
        <v/>
      </c>
      <c r="T95" s="22">
        <f>IF(OR(P95&lt;&gt;"",N95="YES"),"YES","NO")</f>
        <v/>
      </c>
      <c r="U95" s="22">
        <f>IF(AND(O95="YES",T95="YES",S95&lt;&gt;""),COUNTIFS($C$5:$C$424,C95,$S$5:$S$424,"&gt;"&amp;S95)+COUNTIFS($C$5:C95,C95,$S$5:S95,S95),"")</f>
        <v/>
      </c>
      <c r="V95" s="22">
        <f>IF(U95="","",C95&amp;"|"&amp;U95)</f>
        <v/>
      </c>
      <c r="W95" s="30" t="n"/>
      <c r="X95" s="30" t="inlineStr">
        <is>
          <t>Next-fastest time supplied in user workbook; swimmer name not yet supplied.</t>
        </is>
      </c>
    </row>
    <row r="96" ht="15" customHeight="1" s="17">
      <c r="A96" s="30" t="inlineStr">
        <is>
          <t>NZ|SCM|M|18|100 Free</t>
        </is>
      </c>
      <c r="B96" s="30" t="inlineStr">
        <is>
          <t>SCM</t>
        </is>
      </c>
      <c r="C96" s="30" t="inlineStr">
        <is>
          <t>Male</t>
        </is>
      </c>
      <c r="D96" s="30" t="n">
        <v>18</v>
      </c>
      <c r="E96" s="30" t="inlineStr">
        <is>
          <t>100 Free</t>
        </is>
      </c>
      <c r="F96" s="30" t="inlineStr">
        <is>
          <t>Fraser Walker</t>
        </is>
      </c>
      <c r="G96" s="22" t="inlineStr">
        <is>
          <t>Fraser Walker</t>
        </is>
      </c>
      <c r="H96" s="22" t="n"/>
      <c r="I96" s="30" t="inlineStr">
        <is>
          <t>48.17</t>
        </is>
      </c>
      <c r="J96" s="22">
        <f>IF(I96="","",IF(ISNUMBER(SEARCH(":",I96)),VALUE(LEFT(I96,SEARCH(":",I96)-1))*60+VALUE(MID(I96,SEARCH(":",I96)+1,99)),VALUE(I96)))</f>
        <v/>
      </c>
      <c r="K96" s="30" t="inlineStr">
        <is>
          <t>28.09.26</t>
        </is>
      </c>
      <c r="L96" s="30" t="inlineStr">
        <is>
          <t>Updated through 2026 NZ Short Course Championships</t>
        </is>
      </c>
      <c r="M96" s="30" t="inlineStr">
        <is>
          <t>https://swimdadnz.github.io/NZSC_2026/NZSC_2026_meet_editorial_summary_final.html</t>
        </is>
      </c>
      <c r="N96" s="30" t="inlineStr">
        <is>
          <t>NO</t>
        </is>
      </c>
      <c r="O96" s="30" t="inlineStr">
        <is>
          <t>YES</t>
        </is>
      </c>
      <c r="P96" s="30" t="inlineStr">
        <is>
          <t>Michael Pickett</t>
        </is>
      </c>
      <c r="Q96" s="30" t="inlineStr">
        <is>
          <t>48.61</t>
        </is>
      </c>
      <c r="R96" s="22">
        <f>IF(Q96="","",IF(ISNUMBER(SEARCH(":",Q96)),VALUE(LEFT(Q96,SEARCH(":",Q96)-1))*60+VALUE(MID(Q96,SEARCH(":",Q96)+1,99)),VALUE(Q96)))</f>
        <v/>
      </c>
      <c r="S96" s="39">
        <f>IF(OR(J96="",R96=""),"",(R96-J96)/R96)</f>
        <v/>
      </c>
      <c r="T96" s="22">
        <f>IF(OR(P96&lt;&gt;"",N96="YES"),"YES","NO")</f>
        <v/>
      </c>
      <c r="U96" s="22">
        <f>IF(AND(O96="YES",T96="YES",S96&lt;&gt;""),COUNTIFS($C$5:$C$424,C96,$S$5:$S$424,"&gt;"&amp;S96)+COUNTIFS($C$5:C96,C96,$S$5:S96,S96),"")</f>
        <v/>
      </c>
      <c r="V96" s="22">
        <f>IF(U96="","",C96&amp;"|"&amp;U96)</f>
        <v/>
      </c>
      <c r="W96" s="30" t="inlineStr">
        <is>
          <t>NZSC 2026 update: Michael Pickett 48.61 became next-fastest.</t>
        </is>
      </c>
      <c r="X96" s="30" t="inlineStr">
        <is>
          <t>Auto-set from displaced NZ record after NZSC 2026.</t>
        </is>
      </c>
    </row>
    <row r="97" ht="15" customHeight="1" s="17">
      <c r="A97" s="30" t="inlineStr">
        <is>
          <t>NZ|SCM|M|18|200 Free</t>
        </is>
      </c>
      <c r="B97" s="30" t="inlineStr">
        <is>
          <t>SCM</t>
        </is>
      </c>
      <c r="C97" s="30" t="inlineStr">
        <is>
          <t>Male</t>
        </is>
      </c>
      <c r="D97" s="30" t="n">
        <v>18</v>
      </c>
      <c r="E97" s="30" t="inlineStr">
        <is>
          <t>200 Free</t>
        </is>
      </c>
      <c r="F97" s="30" t="inlineStr">
        <is>
          <t>Fraser Walker</t>
        </is>
      </c>
      <c r="G97" s="22" t="inlineStr">
        <is>
          <t>Fraser Walker</t>
        </is>
      </c>
      <c r="H97" s="22" t="n"/>
      <c r="I97" s="30" t="inlineStr">
        <is>
          <t>1:45.25</t>
        </is>
      </c>
      <c r="J97" s="22">
        <f>IF(I97="","",IF(ISNUMBER(SEARCH(":",I97)),VALUE(LEFT(I97,SEARCH(":",I97)-1))*60+VALUE(MID(I97,SEARCH(":",I97)+1,99)),VALUE(I97)))</f>
        <v/>
      </c>
      <c r="K97" s="30" t="inlineStr">
        <is>
          <t>30.09.26</t>
        </is>
      </c>
      <c r="L97" s="30" t="inlineStr">
        <is>
          <t>Updated through 2026 NZ Short Course Championships</t>
        </is>
      </c>
      <c r="M97" s="30" t="inlineStr">
        <is>
          <t>https://swimdadnz.github.io/NZSC_2026/NZSC_2026_meet_editorial_summary_final.html</t>
        </is>
      </c>
      <c r="N97" s="30" t="inlineStr">
        <is>
          <t>NO</t>
        </is>
      </c>
      <c r="O97" s="30" t="inlineStr">
        <is>
          <t>YES</t>
        </is>
      </c>
      <c r="P97" s="30" t="inlineStr">
        <is>
          <t>Matthew Huchins</t>
        </is>
      </c>
      <c r="Q97" s="30" t="inlineStr">
        <is>
          <t>1:46.47</t>
        </is>
      </c>
      <c r="R97" s="22">
        <f>IF(Q97="","",IF(ISNUMBER(SEARCH(":",Q97)),VALUE(LEFT(Q97,SEARCH(":",Q97)-1))*60+VALUE(MID(Q97,SEARCH(":",Q97)+1,99)),VALUE(Q97)))</f>
        <v/>
      </c>
      <c r="S97" s="39">
        <f>IF(OR(J97="",R97=""),"",(R97-J97)/R97)</f>
        <v/>
      </c>
      <c r="T97" s="22">
        <f>IF(OR(P97&lt;&gt;"",N97="YES"),"YES","NO")</f>
        <v/>
      </c>
      <c r="U97" s="22">
        <f>IF(AND(O97="YES",T97="YES",S97&lt;&gt;""),COUNTIFS($C$5:$C$424,C97,$S$5:$S$424,"&gt;"&amp;S97)+COUNTIFS($C$5:C97,C97,$S$5:S97,S97),"")</f>
        <v/>
      </c>
      <c r="V97" s="22">
        <f>IF(U97="","",C97&amp;"|"&amp;U97)</f>
        <v/>
      </c>
      <c r="W97" s="30" t="inlineStr">
        <is>
          <t>NZSC 2026 update: Matthew Huchins 1:46.47 became next-fastest.</t>
        </is>
      </c>
      <c r="X97" s="30" t="inlineStr">
        <is>
          <t>Auto-set from displaced NZ record after NZSC 2026.</t>
        </is>
      </c>
    </row>
    <row r="98" ht="15" customHeight="1" s="17">
      <c r="A98" s="30" t="inlineStr">
        <is>
          <t>NZ|SCM|M|18|400 Free</t>
        </is>
      </c>
      <c r="B98" s="30" t="inlineStr">
        <is>
          <t>SCM</t>
        </is>
      </c>
      <c r="C98" s="30" t="inlineStr">
        <is>
          <t>Male</t>
        </is>
      </c>
      <c r="D98" s="30" t="n">
        <v>18</v>
      </c>
      <c r="E98" s="30" t="inlineStr">
        <is>
          <t>400 Free</t>
        </is>
      </c>
      <c r="F98" s="30" t="inlineStr">
        <is>
          <t>Standard</t>
        </is>
      </c>
      <c r="G98" s="22" t="n"/>
      <c r="H98" s="22" t="n"/>
      <c r="I98" s="30" t="inlineStr">
        <is>
          <t>3:42.70</t>
        </is>
      </c>
      <c r="J98" s="22">
        <f>IF(I98="","",IF(ISNUMBER(SEARCH(":",I98)),VALUE(LEFT(I98,SEARCH(":",I98)-1))*60+VALUE(MID(I98,SEARCH(":",I98)+1,99)),VALUE(I98)))</f>
        <v/>
      </c>
      <c r="K98" s="30" t="n"/>
      <c r="L98" s="30" t="inlineStr">
        <is>
          <t>Swimming New Zealand Short Course Records by Age - user-supplied PDF</t>
        </is>
      </c>
      <c r="M98" s="30" t="n"/>
      <c r="N98" s="30" t="inlineStr">
        <is>
          <t>NO</t>
        </is>
      </c>
      <c r="O98" s="30" t="inlineStr">
        <is>
          <t>NO - Standard</t>
        </is>
      </c>
      <c r="P98" s="30" t="n"/>
      <c r="Q98" s="30" t="inlineStr">
        <is>
          <t>3:45.65</t>
        </is>
      </c>
      <c r="R98" s="22">
        <f>IF(Q98="","",IF(ISNUMBER(SEARCH(":",Q98)),VALUE(LEFT(Q98,SEARCH(":",Q98)-1))*60+VALUE(MID(Q98,SEARCH(":",Q98)+1,99)),VALUE(Q98)))</f>
        <v/>
      </c>
      <c r="S98" s="39">
        <f>IF(OR(J98="",R98=""),"",(R98-J98)/R98)</f>
        <v/>
      </c>
      <c r="T98" s="22">
        <f>IF(OR(P98&lt;&gt;"",N98="YES"),"YES","NO")</f>
        <v/>
      </c>
      <c r="U98" s="22">
        <f>IF(AND(O98="YES",T98="YES",S98&lt;&gt;""),COUNTIFS($C$5:$C$424,C98,$S$5:$S$424,"&gt;"&amp;S98)+COUNTIFS($C$5:C98,C98,$S$5:S98,S98),"")</f>
        <v/>
      </c>
      <c r="V98" s="22">
        <f>IF(U98="","",C98&amp;"|"&amp;U98)</f>
        <v/>
      </c>
      <c r="W98" s="30" t="inlineStr">
        <is>
          <t>Excluded from record-holder rankings. Margin retained for reference only.</t>
        </is>
      </c>
      <c r="X98" s="30" t="inlineStr">
        <is>
          <t>User-supplied next-fastest time; Standard has no swimmer record holder.</t>
        </is>
      </c>
    </row>
    <row r="99" ht="15" customHeight="1" s="17">
      <c r="A99" s="30" t="inlineStr">
        <is>
          <t>NZ|SCM|M|18|800 Free</t>
        </is>
      </c>
      <c r="B99" s="30" t="inlineStr">
        <is>
          <t>SCM</t>
        </is>
      </c>
      <c r="C99" s="30" t="inlineStr">
        <is>
          <t>Male</t>
        </is>
      </c>
      <c r="D99" s="30" t="n">
        <v>18</v>
      </c>
      <c r="E99" s="30" t="inlineStr">
        <is>
          <t>800 Free</t>
        </is>
      </c>
      <c r="F99" s="30" t="inlineStr">
        <is>
          <t>Zac Reid</t>
        </is>
      </c>
      <c r="G99" s="22" t="inlineStr">
        <is>
          <t>Zac Reid</t>
        </is>
      </c>
      <c r="H99" s="22" t="n"/>
      <c r="I99" s="30" t="inlineStr">
        <is>
          <t>7:44.53</t>
        </is>
      </c>
      <c r="J99" s="22">
        <f>IF(I99="","",IF(ISNUMBER(SEARCH(":",I99)),VALUE(LEFT(I99,SEARCH(":",I99)-1))*60+VALUE(MID(I99,SEARCH(":",I99)+1,99)),VALUE(I99)))</f>
        <v/>
      </c>
      <c r="K99" s="30" t="inlineStr">
        <is>
          <t>03.08.18</t>
        </is>
      </c>
      <c r="L99" s="30" t="inlineStr">
        <is>
          <t>Swimming New Zealand Short Course Records by Age - user-supplied PDF</t>
        </is>
      </c>
      <c r="M99" s="30" t="n"/>
      <c r="N99" s="30" t="inlineStr">
        <is>
          <t>NO</t>
        </is>
      </c>
      <c r="O99" s="30" t="inlineStr">
        <is>
          <t>YES</t>
        </is>
      </c>
      <c r="P99" s="30" t="n"/>
      <c r="Q99" s="30" t="inlineStr">
        <is>
          <t>7:57.76</t>
        </is>
      </c>
      <c r="R99" s="22">
        <f>IF(Q99="","",IF(ISNUMBER(SEARCH(":",Q99)),VALUE(LEFT(Q99,SEARCH(":",Q99)-1))*60+VALUE(MID(Q99,SEARCH(":",Q99)+1,99)),VALUE(Q99)))</f>
        <v/>
      </c>
      <c r="S99" s="39">
        <f>IF(OR(J99="",R99=""),"",(R99-J99)/R99)</f>
        <v/>
      </c>
      <c r="T99" s="22">
        <f>IF(OR(P99&lt;&gt;"",N99="YES"),"YES","NO")</f>
        <v/>
      </c>
      <c r="U99" s="22">
        <f>IF(AND(O99="YES",T99="YES",S99&lt;&gt;""),COUNTIFS($C$5:$C$424,C99,$S$5:$S$424,"&gt;"&amp;S99)+COUNTIFS($C$5:C99,C99,$S$5:S99,S99),"")</f>
        <v/>
      </c>
      <c r="V99" s="22">
        <f>IF(U99="","",C99&amp;"|"&amp;U99)</f>
        <v/>
      </c>
      <c r="W99" s="30" t="n"/>
      <c r="X99" s="30" t="inlineStr">
        <is>
          <t>Next-fastest time supplied in user workbook; swimmer name not yet supplied.</t>
        </is>
      </c>
    </row>
    <row r="100" ht="15" customHeight="1" s="17">
      <c r="A100" s="30" t="inlineStr">
        <is>
          <t>NZ|SCM|M|18|1500 Free</t>
        </is>
      </c>
      <c r="B100" s="30" t="inlineStr">
        <is>
          <t>SCM</t>
        </is>
      </c>
      <c r="C100" s="30" t="inlineStr">
        <is>
          <t>Male</t>
        </is>
      </c>
      <c r="D100" s="30" t="n">
        <v>18</v>
      </c>
      <c r="E100" s="30" t="inlineStr">
        <is>
          <t>1500 Free</t>
        </is>
      </c>
      <c r="F100" s="30" t="inlineStr">
        <is>
          <t>Standard</t>
        </is>
      </c>
      <c r="G100" s="22" t="n"/>
      <c r="H100" s="22" t="n"/>
      <c r="I100" s="30" t="inlineStr">
        <is>
          <t>14:54.38</t>
        </is>
      </c>
      <c r="J100" s="22">
        <f>IF(I100="","",IF(ISNUMBER(SEARCH(":",I100)),VALUE(LEFT(I100,SEARCH(":",I100)-1))*60+VALUE(MID(I100,SEARCH(":",I100)+1,99)),VALUE(I100)))</f>
        <v/>
      </c>
      <c r="K100" s="30" t="n"/>
      <c r="L100" s="30" t="inlineStr">
        <is>
          <t>Swimming New Zealand Short Course Records by Age - user-supplied PDF</t>
        </is>
      </c>
      <c r="M100" s="30" t="n"/>
      <c r="N100" s="30" t="inlineStr">
        <is>
          <t>NO</t>
        </is>
      </c>
      <c r="O100" s="30" t="inlineStr">
        <is>
          <t>NO - Standard</t>
        </is>
      </c>
      <c r="P100" s="30" t="n"/>
      <c r="Q100" s="30" t="inlineStr">
        <is>
          <t>15:02.32</t>
        </is>
      </c>
      <c r="R100" s="22">
        <f>IF(Q100="","",IF(ISNUMBER(SEARCH(":",Q100)),VALUE(LEFT(Q100,SEARCH(":",Q100)-1))*60+VALUE(MID(Q100,SEARCH(":",Q100)+1,99)),VALUE(Q100)))</f>
        <v/>
      </c>
      <c r="S100" s="39">
        <f>IF(OR(J100="",R100=""),"",(R100-J100)/R100)</f>
        <v/>
      </c>
      <c r="T100" s="22">
        <f>IF(OR(P100&lt;&gt;"",N100="YES"),"YES","NO")</f>
        <v/>
      </c>
      <c r="U100" s="22">
        <f>IF(AND(O100="YES",T100="YES",S100&lt;&gt;""),COUNTIFS($C$5:$C$424,C100,$S$5:$S$424,"&gt;"&amp;S100)+COUNTIFS($C$5:C100,C100,$S$5:S100,S100),"")</f>
        <v/>
      </c>
      <c r="V100" s="22">
        <f>IF(U100="","",C100&amp;"|"&amp;U100)</f>
        <v/>
      </c>
      <c r="W100" s="30" t="inlineStr">
        <is>
          <t>Excluded from record-holder rankings. Margin retained for reference only.</t>
        </is>
      </c>
      <c r="X100" s="30" t="inlineStr">
        <is>
          <t>User-supplied next-fastest time; Standard has no swimmer record holder.</t>
        </is>
      </c>
    </row>
    <row r="101" ht="15" customHeight="1" s="17">
      <c r="A101" s="30" t="inlineStr">
        <is>
          <t>NZ|SCM|M|18|50 Back</t>
        </is>
      </c>
      <c r="B101" s="30" t="inlineStr">
        <is>
          <t>SCM</t>
        </is>
      </c>
      <c r="C101" s="30" t="inlineStr">
        <is>
          <t>Male</t>
        </is>
      </c>
      <c r="D101" s="30" t="n">
        <v>18</v>
      </c>
      <c r="E101" s="30" t="inlineStr">
        <is>
          <t>50 Back</t>
        </is>
      </c>
      <c r="F101" s="30" t="inlineStr">
        <is>
          <t>Cooper Morley</t>
        </is>
      </c>
      <c r="G101" s="22" t="inlineStr">
        <is>
          <t>Cooper Morley</t>
        </is>
      </c>
      <c r="H101" s="22" t="n"/>
      <c r="I101" s="30" t="inlineStr">
        <is>
          <t>23.90</t>
        </is>
      </c>
      <c r="J101" s="22">
        <f>IF(I101="","",IF(ISNUMBER(SEARCH(":",I101)),VALUE(LEFT(I101,SEARCH(":",I101)-1))*60+VALUE(MID(I101,SEARCH(":",I101)+1,99)),VALUE(I101)))</f>
        <v/>
      </c>
      <c r="K101" s="30" t="inlineStr">
        <is>
          <t>26.08.22</t>
        </is>
      </c>
      <c r="L101" s="30" t="inlineStr">
        <is>
          <t>Swimming New Zealand Short Course Records by Age - user-supplied PDF</t>
        </is>
      </c>
      <c r="M101" s="30" t="n"/>
      <c r="N101" s="30" t="inlineStr">
        <is>
          <t>NO</t>
        </is>
      </c>
      <c r="O101" s="30" t="inlineStr">
        <is>
          <t>YES</t>
        </is>
      </c>
      <c r="P101" s="30" t="n"/>
      <c r="Q101" s="30" t="inlineStr">
        <is>
          <t>24.62</t>
        </is>
      </c>
      <c r="R101" s="22">
        <f>IF(Q101="","",IF(ISNUMBER(SEARCH(":",Q101)),VALUE(LEFT(Q101,SEARCH(":",Q101)-1))*60+VALUE(MID(Q101,SEARCH(":",Q101)+1,99)),VALUE(Q101)))</f>
        <v/>
      </c>
      <c r="S101" s="39">
        <f>IF(OR(J101="",R101=""),"",(R101-J101)/R101)</f>
        <v/>
      </c>
      <c r="T101" s="22">
        <f>IF(OR(P101&lt;&gt;"",N101="YES"),"YES","NO")</f>
        <v/>
      </c>
      <c r="U101" s="22">
        <f>IF(AND(O101="YES",T101="YES",S101&lt;&gt;""),COUNTIFS($C$5:$C$424,C101,$S$5:$S$424,"&gt;"&amp;S101)+COUNTIFS($C$5:C101,C101,$S$5:S101,S101),"")</f>
        <v/>
      </c>
      <c r="V101" s="22">
        <f>IF(U101="","",C101&amp;"|"&amp;U101)</f>
        <v/>
      </c>
      <c r="W101" s="30" t="n"/>
      <c r="X101" s="30" t="inlineStr">
        <is>
          <t>Next-fastest time supplied in user workbook; swimmer name not yet supplied.</t>
        </is>
      </c>
    </row>
    <row r="102" ht="15" customHeight="1" s="17">
      <c r="A102" s="30" t="inlineStr">
        <is>
          <t>NZ|SCM|M|18|100 Back</t>
        </is>
      </c>
      <c r="B102" s="30" t="inlineStr">
        <is>
          <t>SCM</t>
        </is>
      </c>
      <c r="C102" s="30" t="inlineStr">
        <is>
          <t>Male</t>
        </is>
      </c>
      <c r="D102" s="30" t="n">
        <v>18</v>
      </c>
      <c r="E102" s="30" t="inlineStr">
        <is>
          <t>100 Back</t>
        </is>
      </c>
      <c r="F102" s="30" t="inlineStr">
        <is>
          <t>Cooper Morley</t>
        </is>
      </c>
      <c r="G102" s="22" t="inlineStr">
        <is>
          <t>Cooper Morley</t>
        </is>
      </c>
      <c r="H102" s="22" t="n"/>
      <c r="I102" s="30" t="inlineStr">
        <is>
          <t>51.62</t>
        </is>
      </c>
      <c r="J102" s="22">
        <f>IF(I102="","",IF(ISNUMBER(SEARCH(":",I102)),VALUE(LEFT(I102,SEARCH(":",I102)-1))*60+VALUE(MID(I102,SEARCH(":",I102)+1,99)),VALUE(I102)))</f>
        <v/>
      </c>
      <c r="K102" s="30" t="inlineStr">
        <is>
          <t>23.08.22</t>
        </is>
      </c>
      <c r="L102" s="30" t="inlineStr">
        <is>
          <t>Swimming New Zealand Short Course Records by Age - user-supplied PDF</t>
        </is>
      </c>
      <c r="M102" s="30" t="n"/>
      <c r="N102" s="30" t="inlineStr">
        <is>
          <t>NO</t>
        </is>
      </c>
      <c r="O102" s="30" t="inlineStr">
        <is>
          <t>YES</t>
        </is>
      </c>
      <c r="P102" s="30" t="n"/>
      <c r="Q102" s="30" t="inlineStr">
        <is>
          <t>52.30</t>
        </is>
      </c>
      <c r="R102" s="22">
        <f>IF(Q102="","",IF(ISNUMBER(SEARCH(":",Q102)),VALUE(LEFT(Q102,SEARCH(":",Q102)-1))*60+VALUE(MID(Q102,SEARCH(":",Q102)+1,99)),VALUE(Q102)))</f>
        <v/>
      </c>
      <c r="S102" s="39">
        <f>IF(OR(J102="",R102=""),"",(R102-J102)/R102)</f>
        <v/>
      </c>
      <c r="T102" s="22">
        <f>IF(OR(P102&lt;&gt;"",N102="YES"),"YES","NO")</f>
        <v/>
      </c>
      <c r="U102" s="22">
        <f>IF(AND(O102="YES",T102="YES",S102&lt;&gt;""),COUNTIFS($C$5:$C$424,C102,$S$5:$S$424,"&gt;"&amp;S102)+COUNTIFS($C$5:C102,C102,$S$5:S102,S102),"")</f>
        <v/>
      </c>
      <c r="V102" s="22">
        <f>IF(U102="","",C102&amp;"|"&amp;U102)</f>
        <v/>
      </c>
      <c r="W102" s="30" t="n"/>
      <c r="X102" s="30" t="inlineStr">
        <is>
          <t>Next-fastest time supplied in user workbook; swimmer name not yet supplied.</t>
        </is>
      </c>
    </row>
    <row r="103" ht="15" customHeight="1" s="17">
      <c r="A103" s="30" t="inlineStr">
        <is>
          <t>NZ|SCM|M|18|200 Back</t>
        </is>
      </c>
      <c r="B103" s="30" t="inlineStr">
        <is>
          <t>SCM</t>
        </is>
      </c>
      <c r="C103" s="30" t="inlineStr">
        <is>
          <t>Male</t>
        </is>
      </c>
      <c r="D103" s="30" t="n">
        <v>18</v>
      </c>
      <c r="E103" s="30" t="inlineStr">
        <is>
          <t>200 Back</t>
        </is>
      </c>
      <c r="F103" s="30" t="inlineStr">
        <is>
          <t>Sam Brown</t>
        </is>
      </c>
      <c r="G103" s="22" t="inlineStr">
        <is>
          <t>Sam Brown</t>
        </is>
      </c>
      <c r="H103" s="22" t="n"/>
      <c r="I103" s="30" t="inlineStr">
        <is>
          <t>1:54.61</t>
        </is>
      </c>
      <c r="J103" s="22">
        <f>IF(I103="","",IF(ISNUMBER(SEARCH(":",I103)),VALUE(LEFT(I103,SEARCH(":",I103)-1))*60+VALUE(MID(I103,SEARCH(":",I103)+1,99)),VALUE(I103)))</f>
        <v/>
      </c>
      <c r="K103" s="30" t="inlineStr">
        <is>
          <t>25.08.22</t>
        </is>
      </c>
      <c r="L103" s="30" t="inlineStr">
        <is>
          <t>Swimming New Zealand Short Course Records by Age - user-supplied PDF</t>
        </is>
      </c>
      <c r="M103" s="30" t="n"/>
      <c r="N103" s="30" t="inlineStr">
        <is>
          <t>NO</t>
        </is>
      </c>
      <c r="O103" s="30" t="inlineStr">
        <is>
          <t>YES</t>
        </is>
      </c>
      <c r="P103" s="30" t="n"/>
      <c r="Q103" s="30" t="inlineStr">
        <is>
          <t>1:55.05</t>
        </is>
      </c>
      <c r="R103" s="22">
        <f>IF(Q103="","",IF(ISNUMBER(SEARCH(":",Q103)),VALUE(LEFT(Q103,SEARCH(":",Q103)-1))*60+VALUE(MID(Q103,SEARCH(":",Q103)+1,99)),VALUE(Q103)))</f>
        <v/>
      </c>
      <c r="S103" s="39">
        <f>IF(OR(J103="",R103=""),"",(R103-J103)/R103)</f>
        <v/>
      </c>
      <c r="T103" s="22">
        <f>IF(OR(P103&lt;&gt;"",N103="YES"),"YES","NO")</f>
        <v/>
      </c>
      <c r="U103" s="22">
        <f>IF(AND(O103="YES",T103="YES",S103&lt;&gt;""),COUNTIFS($C$5:$C$424,C103,$S$5:$S$424,"&gt;"&amp;S103)+COUNTIFS($C$5:C103,C103,$S$5:S103,S103),"")</f>
        <v/>
      </c>
      <c r="V103" s="22">
        <f>IF(U103="","",C103&amp;"|"&amp;U103)</f>
        <v/>
      </c>
      <c r="W103" s="30" t="n"/>
      <c r="X103" s="30" t="inlineStr">
        <is>
          <t>Next-fastest time supplied in user workbook; swimmer name not yet supplied.</t>
        </is>
      </c>
    </row>
    <row r="104" ht="15" customHeight="1" s="17">
      <c r="A104" s="30" t="inlineStr">
        <is>
          <t>NZ|SCM|M|18|50 Breast</t>
        </is>
      </c>
      <c r="B104" s="30" t="inlineStr">
        <is>
          <t>SCM</t>
        </is>
      </c>
      <c r="C104" s="30" t="inlineStr">
        <is>
          <t>Male</t>
        </is>
      </c>
      <c r="D104" s="30" t="n">
        <v>18</v>
      </c>
      <c r="E104" s="30" t="inlineStr">
        <is>
          <t>50 Breast</t>
        </is>
      </c>
      <c r="F104" s="30" t="inlineStr">
        <is>
          <t>Jeffrey Arona-Tuifana'e</t>
        </is>
      </c>
      <c r="G104" s="22" t="inlineStr">
        <is>
          <t>Jeffrey Arona-Tuifana'e</t>
        </is>
      </c>
      <c r="H104" s="22" t="n"/>
      <c r="I104" s="30" t="inlineStr">
        <is>
          <t>27.68</t>
        </is>
      </c>
      <c r="J104" s="22">
        <f>IF(I104="","",IF(ISNUMBER(SEARCH(":",I104)),VALUE(LEFT(I104,SEARCH(":",I104)-1))*60+VALUE(MID(I104,SEARCH(":",I104)+1,99)),VALUE(I104)))</f>
        <v/>
      </c>
      <c r="K104" s="30" t="inlineStr">
        <is>
          <t>03.10.12</t>
        </is>
      </c>
      <c r="L104" s="30" t="inlineStr">
        <is>
          <t>Swimming New Zealand Short Course Records by Age - user-supplied PDF</t>
        </is>
      </c>
      <c r="M104" s="30" t="n"/>
      <c r="N104" s="30" t="inlineStr">
        <is>
          <t>NO</t>
        </is>
      </c>
      <c r="O104" s="30" t="inlineStr">
        <is>
          <t>YES</t>
        </is>
      </c>
      <c r="P104" s="30" t="n"/>
      <c r="Q104" s="30" t="inlineStr">
        <is>
          <t>28.12</t>
        </is>
      </c>
      <c r="R104" s="22">
        <f>IF(Q104="","",IF(ISNUMBER(SEARCH(":",Q104)),VALUE(LEFT(Q104,SEARCH(":",Q104)-1))*60+VALUE(MID(Q104,SEARCH(":",Q104)+1,99)),VALUE(Q104)))</f>
        <v/>
      </c>
      <c r="S104" s="39">
        <f>IF(OR(J104="",R104=""),"",(R104-J104)/R104)</f>
        <v/>
      </c>
      <c r="T104" s="22">
        <f>IF(OR(P104&lt;&gt;"",N104="YES"),"YES","NO")</f>
        <v/>
      </c>
      <c r="U104" s="22">
        <f>IF(AND(O104="YES",T104="YES",S104&lt;&gt;""),COUNTIFS($C$5:$C$424,C104,$S$5:$S$424,"&gt;"&amp;S104)+COUNTIFS($C$5:C104,C104,$S$5:S104,S104),"")</f>
        <v/>
      </c>
      <c r="V104" s="22">
        <f>IF(U104="","",C104&amp;"|"&amp;U104)</f>
        <v/>
      </c>
      <c r="W104" s="30" t="n"/>
      <c r="X104" s="30" t="inlineStr">
        <is>
          <t>Next-fastest time supplied in user workbook; swimmer name not yet supplied.</t>
        </is>
      </c>
    </row>
    <row r="105" ht="15" customHeight="1" s="17">
      <c r="A105" s="30" t="inlineStr">
        <is>
          <t>NZ|SCM|M|18|100 Breast</t>
        </is>
      </c>
      <c r="B105" s="30" t="inlineStr">
        <is>
          <t>SCM</t>
        </is>
      </c>
      <c r="C105" s="30" t="inlineStr">
        <is>
          <t>Male</t>
        </is>
      </c>
      <c r="D105" s="30" t="n">
        <v>18</v>
      </c>
      <c r="E105" s="30" t="inlineStr">
        <is>
          <t>100 Breast</t>
        </is>
      </c>
      <c r="F105" s="30" t="inlineStr">
        <is>
          <t>Jeffrey Arona-Tuifana'e</t>
        </is>
      </c>
      <c r="G105" s="22" t="inlineStr">
        <is>
          <t>Jeffrey Arona-Tuifana'e</t>
        </is>
      </c>
      <c r="H105" s="22" t="n"/>
      <c r="I105" s="30" t="inlineStr">
        <is>
          <t>1:00.49</t>
        </is>
      </c>
      <c r="J105" s="22">
        <f>IF(I105="","",IF(ISNUMBER(SEARCH(":",I105)),VALUE(LEFT(I105,SEARCH(":",I105)-1))*60+VALUE(MID(I105,SEARCH(":",I105)+1,99)),VALUE(I105)))</f>
        <v/>
      </c>
      <c r="K105" s="30" t="inlineStr">
        <is>
          <t>30.09.12</t>
        </is>
      </c>
      <c r="L105" s="30" t="inlineStr">
        <is>
          <t>Swimming New Zealand Short Course Records by Age - user-supplied PDF</t>
        </is>
      </c>
      <c r="M105" s="30" t="n"/>
      <c r="N105" s="30" t="inlineStr">
        <is>
          <t>NO</t>
        </is>
      </c>
      <c r="O105" s="30" t="inlineStr">
        <is>
          <t>YES</t>
        </is>
      </c>
      <c r="P105" s="30" t="n"/>
      <c r="Q105" s="30" t="inlineStr">
        <is>
          <t>1:00.99</t>
        </is>
      </c>
      <c r="R105" s="22">
        <f>IF(Q105="","",IF(ISNUMBER(SEARCH(":",Q105)),VALUE(LEFT(Q105,SEARCH(":",Q105)-1))*60+VALUE(MID(Q105,SEARCH(":",Q105)+1,99)),VALUE(Q105)))</f>
        <v/>
      </c>
      <c r="S105" s="39">
        <f>IF(OR(J105="",R105=""),"",(R105-J105)/R105)</f>
        <v/>
      </c>
      <c r="T105" s="22">
        <f>IF(OR(P105&lt;&gt;"",N105="YES"),"YES","NO")</f>
        <v/>
      </c>
      <c r="U105" s="22">
        <f>IF(AND(O105="YES",T105="YES",S105&lt;&gt;""),COUNTIFS($C$5:$C$424,C105,$S$5:$S$424,"&gt;"&amp;S105)+COUNTIFS($C$5:C105,C105,$S$5:S105,S105),"")</f>
        <v/>
      </c>
      <c r="V105" s="22">
        <f>IF(U105="","",C105&amp;"|"&amp;U105)</f>
        <v/>
      </c>
      <c r="W105" s="30" t="n"/>
      <c r="X105" s="30" t="inlineStr">
        <is>
          <t>Next-fastest time supplied in user workbook; swimmer name not yet supplied.</t>
        </is>
      </c>
    </row>
    <row r="106" ht="15" customHeight="1" s="17">
      <c r="A106" s="30" t="inlineStr">
        <is>
          <t>NZ|SCM|M|18|200 Breast</t>
        </is>
      </c>
      <c r="B106" s="30" t="inlineStr">
        <is>
          <t>SCM</t>
        </is>
      </c>
      <c r="C106" s="30" t="inlineStr">
        <is>
          <t>Male</t>
        </is>
      </c>
      <c r="D106" s="30" t="n">
        <v>18</v>
      </c>
      <c r="E106" s="30" t="inlineStr">
        <is>
          <t>200 Breast</t>
        </is>
      </c>
      <c r="F106" s="30" t="inlineStr">
        <is>
          <t>Luan Grobbelaar</t>
        </is>
      </c>
      <c r="G106" s="22" t="inlineStr">
        <is>
          <t>Luan Grobbelaar</t>
        </is>
      </c>
      <c r="H106" s="22" t="n"/>
      <c r="I106" s="30" t="inlineStr">
        <is>
          <t>2:11.17</t>
        </is>
      </c>
      <c r="J106" s="22">
        <f>IF(I106="","",IF(ISNUMBER(SEARCH(":",I106)),VALUE(LEFT(I106,SEARCH(":",I106)-1))*60+VALUE(MID(I106,SEARCH(":",I106)+1,99)),VALUE(I106)))</f>
        <v/>
      </c>
      <c r="K106" s="30" t="inlineStr">
        <is>
          <t>08.10.20</t>
        </is>
      </c>
      <c r="L106" s="30" t="inlineStr">
        <is>
          <t>Swimming New Zealand Short Course Records by Age - user-supplied PDF</t>
        </is>
      </c>
      <c r="M106" s="30" t="n"/>
      <c r="N106" s="30" t="inlineStr">
        <is>
          <t>NO</t>
        </is>
      </c>
      <c r="O106" s="30" t="inlineStr">
        <is>
          <t>YES</t>
        </is>
      </c>
      <c r="P106" s="30" t="n"/>
      <c r="Q106" s="30" t="inlineStr">
        <is>
          <t>2:11.19</t>
        </is>
      </c>
      <c r="R106" s="22">
        <f>IF(Q106="","",IF(ISNUMBER(SEARCH(":",Q106)),VALUE(LEFT(Q106,SEARCH(":",Q106)-1))*60+VALUE(MID(Q106,SEARCH(":",Q106)+1,99)),VALUE(Q106)))</f>
        <v/>
      </c>
      <c r="S106" s="39">
        <f>IF(OR(J106="",R106=""),"",(R106-J106)/R106)</f>
        <v/>
      </c>
      <c r="T106" s="22">
        <f>IF(OR(P106&lt;&gt;"",N106="YES"),"YES","NO")</f>
        <v/>
      </c>
      <c r="U106" s="22">
        <f>IF(AND(O106="YES",T106="YES",S106&lt;&gt;""),COUNTIFS($C$5:$C$424,C106,$S$5:$S$424,"&gt;"&amp;S106)+COUNTIFS($C$5:C106,C106,$S$5:S106,S106),"")</f>
        <v/>
      </c>
      <c r="V106" s="22">
        <f>IF(U106="","",C106&amp;"|"&amp;U106)</f>
        <v/>
      </c>
      <c r="W106" s="30" t="n"/>
      <c r="X106" s="30" t="inlineStr">
        <is>
          <t>Next-fastest time supplied in user workbook; swimmer name not yet supplied.</t>
        </is>
      </c>
    </row>
    <row r="107" ht="15" customHeight="1" s="17">
      <c r="A107" s="30" t="inlineStr">
        <is>
          <t>NZ|SCM|M|18|50 Fly</t>
        </is>
      </c>
      <c r="B107" s="30" t="inlineStr">
        <is>
          <t>SCM</t>
        </is>
      </c>
      <c r="C107" s="30" t="inlineStr">
        <is>
          <t>Male</t>
        </is>
      </c>
      <c r="D107" s="30" t="n">
        <v>18</v>
      </c>
      <c r="E107" s="30" t="inlineStr">
        <is>
          <t>50 Fly</t>
        </is>
      </c>
      <c r="F107" s="30" t="inlineStr">
        <is>
          <t>Daniel Bell</t>
        </is>
      </c>
      <c r="G107" s="22" t="inlineStr">
        <is>
          <t>Daniel Bell</t>
        </is>
      </c>
      <c r="H107" s="22" t="n"/>
      <c r="I107" s="30" t="inlineStr">
        <is>
          <t>23.36</t>
        </is>
      </c>
      <c r="J107" s="22">
        <f>IF(I107="","",IF(ISNUMBER(SEARCH(":",I107)),VALUE(LEFT(I107,SEARCH(":",I107)-1))*60+VALUE(MID(I107,SEARCH(":",I107)+1,99)),VALUE(I107)))</f>
        <v/>
      </c>
      <c r="K107" s="30" t="inlineStr">
        <is>
          <t>12.12.08</t>
        </is>
      </c>
      <c r="L107" s="30" t="inlineStr">
        <is>
          <t>Swimming New Zealand Short Course Records by Age - user-supplied PDF</t>
        </is>
      </c>
      <c r="M107" s="30" t="n"/>
      <c r="N107" s="30" t="inlineStr">
        <is>
          <t>NO</t>
        </is>
      </c>
      <c r="O107" s="30" t="inlineStr">
        <is>
          <t>YES</t>
        </is>
      </c>
      <c r="P107" s="30" t="n"/>
      <c r="Q107" s="30" t="inlineStr">
        <is>
          <t>23.81</t>
        </is>
      </c>
      <c r="R107" s="22">
        <f>IF(Q107="","",IF(ISNUMBER(SEARCH(":",Q107)),VALUE(LEFT(Q107,SEARCH(":",Q107)-1))*60+VALUE(MID(Q107,SEARCH(":",Q107)+1,99)),VALUE(Q107)))</f>
        <v/>
      </c>
      <c r="S107" s="39">
        <f>IF(OR(J107="",R107=""),"",(R107-J107)/R107)</f>
        <v/>
      </c>
      <c r="T107" s="22">
        <f>IF(OR(P107&lt;&gt;"",N107="YES"),"YES","NO")</f>
        <v/>
      </c>
      <c r="U107" s="22">
        <f>IF(AND(O107="YES",T107="YES",S107&lt;&gt;""),COUNTIFS($C$5:$C$424,C107,$S$5:$S$424,"&gt;"&amp;S107)+COUNTIFS($C$5:C107,C107,$S$5:S107,S107),"")</f>
        <v/>
      </c>
      <c r="V107" s="22">
        <f>IF(U107="","",C107&amp;"|"&amp;U107)</f>
        <v/>
      </c>
      <c r="W107" s="30" t="n"/>
      <c r="X107" s="30" t="inlineStr">
        <is>
          <t>Next-fastest time supplied in user workbook; swimmer name not yet supplied.</t>
        </is>
      </c>
    </row>
    <row r="108" ht="15" customHeight="1" s="17">
      <c r="A108" s="30" t="inlineStr">
        <is>
          <t>NZ|SCM|M|18|100 Fly</t>
        </is>
      </c>
      <c r="B108" s="30" t="inlineStr">
        <is>
          <t>SCM</t>
        </is>
      </c>
      <c r="C108" s="30" t="inlineStr">
        <is>
          <t>Male</t>
        </is>
      </c>
      <c r="D108" s="30" t="n">
        <v>18</v>
      </c>
      <c r="E108" s="30" t="inlineStr">
        <is>
          <t>100 Fly</t>
        </is>
      </c>
      <c r="F108" s="30" t="inlineStr">
        <is>
          <t>Corney Swanepoel</t>
        </is>
      </c>
      <c r="G108" s="22" t="inlineStr">
        <is>
          <t>Corney Swanepoel</t>
        </is>
      </c>
      <c r="H108" s="22" t="n"/>
      <c r="I108" s="30" t="inlineStr">
        <is>
          <t>51.67</t>
        </is>
      </c>
      <c r="J108" s="22">
        <f>IF(I108="","",IF(ISNUMBER(SEARCH(":",I108)),VALUE(LEFT(I108,SEARCH(":",I108)-1))*60+VALUE(MID(I108,SEARCH(":",I108)+1,99)),VALUE(I108)))</f>
        <v/>
      </c>
      <c r="K108" s="30" t="inlineStr">
        <is>
          <t>28.11.04</t>
        </is>
      </c>
      <c r="L108" s="30" t="inlineStr">
        <is>
          <t>Swimming New Zealand Short Course Records by Age - user-supplied PDF</t>
        </is>
      </c>
      <c r="M108" s="30" t="n"/>
      <c r="N108" s="30" t="inlineStr">
        <is>
          <t>NO</t>
        </is>
      </c>
      <c r="O108" s="30" t="inlineStr">
        <is>
          <t>YES</t>
        </is>
      </c>
      <c r="P108" s="30" t="n"/>
      <c r="Q108" s="30" t="inlineStr">
        <is>
          <t>51.75</t>
        </is>
      </c>
      <c r="R108" s="22">
        <f>IF(Q108="","",IF(ISNUMBER(SEARCH(":",Q108)),VALUE(LEFT(Q108,SEARCH(":",Q108)-1))*60+VALUE(MID(Q108,SEARCH(":",Q108)+1,99)),VALUE(Q108)))</f>
        <v/>
      </c>
      <c r="S108" s="39">
        <f>IF(OR(J108="",R108=""),"",(R108-J108)/R108)</f>
        <v/>
      </c>
      <c r="T108" s="22">
        <f>IF(OR(P108&lt;&gt;"",N108="YES"),"YES","NO")</f>
        <v/>
      </c>
      <c r="U108" s="22">
        <f>IF(AND(O108="YES",T108="YES",S108&lt;&gt;""),COUNTIFS($C$5:$C$424,C108,$S$5:$S$424,"&gt;"&amp;S108)+COUNTIFS($C$5:C108,C108,$S$5:S108,S108),"")</f>
        <v/>
      </c>
      <c r="V108" s="22">
        <f>IF(U108="","",C108&amp;"|"&amp;U108)</f>
        <v/>
      </c>
      <c r="W108" s="30" t="n"/>
      <c r="X108" s="30" t="inlineStr">
        <is>
          <t>Next-fastest time supplied in user workbook; swimmer name not yet supplied.</t>
        </is>
      </c>
    </row>
    <row r="109" ht="15" customHeight="1" s="17">
      <c r="A109" s="30" t="inlineStr">
        <is>
          <t>NZ|SCM|M|18|200 Fly</t>
        </is>
      </c>
      <c r="B109" s="30" t="inlineStr">
        <is>
          <t>SCM</t>
        </is>
      </c>
      <c r="C109" s="30" t="inlineStr">
        <is>
          <t>Male</t>
        </is>
      </c>
      <c r="D109" s="30" t="n">
        <v>18</v>
      </c>
      <c r="E109" s="30" t="inlineStr">
        <is>
          <t>200 Fly</t>
        </is>
      </c>
      <c r="F109" s="30" t="inlineStr">
        <is>
          <t>Standard</t>
        </is>
      </c>
      <c r="G109" s="22" t="n"/>
      <c r="H109" s="22" t="n"/>
      <c r="I109" s="30" t="inlineStr">
        <is>
          <t>1:54.21</t>
        </is>
      </c>
      <c r="J109" s="22">
        <f>IF(I109="","",IF(ISNUMBER(SEARCH(":",I109)),VALUE(LEFT(I109,SEARCH(":",I109)-1))*60+VALUE(MID(I109,SEARCH(":",I109)+1,99)),VALUE(I109)))</f>
        <v/>
      </c>
      <c r="K109" s="30" t="n"/>
      <c r="L109" s="30" t="inlineStr">
        <is>
          <t>Swimming New Zealand Short Course Records by Age - user-supplied PDF</t>
        </is>
      </c>
      <c r="M109" s="30" t="n"/>
      <c r="N109" s="30" t="inlineStr">
        <is>
          <t>NO</t>
        </is>
      </c>
      <c r="O109" s="30" t="inlineStr">
        <is>
          <t>NO - Standard</t>
        </is>
      </c>
      <c r="P109" s="30" t="n"/>
      <c r="Q109" s="30" t="inlineStr">
        <is>
          <t>1:56.73</t>
        </is>
      </c>
      <c r="R109" s="22">
        <f>IF(Q109="","",IF(ISNUMBER(SEARCH(":",Q109)),VALUE(LEFT(Q109,SEARCH(":",Q109)-1))*60+VALUE(MID(Q109,SEARCH(":",Q109)+1,99)),VALUE(Q109)))</f>
        <v/>
      </c>
      <c r="S109" s="39">
        <f>IF(OR(J109="",R109=""),"",(R109-J109)/R109)</f>
        <v/>
      </c>
      <c r="T109" s="22">
        <f>IF(OR(P109&lt;&gt;"",N109="YES"),"YES","NO")</f>
        <v/>
      </c>
      <c r="U109" s="22">
        <f>IF(AND(O109="YES",T109="YES",S109&lt;&gt;""),COUNTIFS($C$5:$C$424,C109,$S$5:$S$424,"&gt;"&amp;S109)+COUNTIFS($C$5:C109,C109,$S$5:S109,S109),"")</f>
        <v/>
      </c>
      <c r="V109" s="22">
        <f>IF(U109="","",C109&amp;"|"&amp;U109)</f>
        <v/>
      </c>
      <c r="W109" s="30" t="inlineStr">
        <is>
          <t>Excluded from record-holder rankings. Margin retained for reference only.</t>
        </is>
      </c>
      <c r="X109" s="30" t="inlineStr">
        <is>
          <t>User-supplied next-fastest time; Standard has no swimmer record holder.</t>
        </is>
      </c>
    </row>
    <row r="110" ht="15" customHeight="1" s="17">
      <c r="A110" s="30" t="inlineStr">
        <is>
          <t>NZ|SCM|M|18|100 IM</t>
        </is>
      </c>
      <c r="B110" s="30" t="inlineStr">
        <is>
          <t>SCM</t>
        </is>
      </c>
      <c r="C110" s="30" t="inlineStr">
        <is>
          <t>Male</t>
        </is>
      </c>
      <c r="D110" s="30" t="n">
        <v>18</v>
      </c>
      <c r="E110" s="30" t="inlineStr">
        <is>
          <t>100 IM</t>
        </is>
      </c>
      <c r="F110" s="30" t="inlineStr">
        <is>
          <t>Daniel Bell</t>
        </is>
      </c>
      <c r="G110" s="22" t="inlineStr">
        <is>
          <t>Daniel Bell</t>
        </is>
      </c>
      <c r="H110" s="22" t="n"/>
      <c r="I110" s="30" t="inlineStr">
        <is>
          <t>54.20</t>
        </is>
      </c>
      <c r="J110" s="22">
        <f>IF(I110="","",IF(ISNUMBER(SEARCH(":",I110)),VALUE(LEFT(I110,SEARCH(":",I110)-1))*60+VALUE(MID(I110,SEARCH(":",I110)+1,99)),VALUE(I110)))</f>
        <v/>
      </c>
      <c r="K110" s="30" t="inlineStr">
        <is>
          <t>11.12.08</t>
        </is>
      </c>
      <c r="L110" s="30" t="inlineStr">
        <is>
          <t>Swimming New Zealand Short Course Records by Age - user-supplied PDF</t>
        </is>
      </c>
      <c r="M110" s="30" t="n"/>
      <c r="N110" s="30" t="inlineStr">
        <is>
          <t>NO</t>
        </is>
      </c>
      <c r="O110" s="30" t="inlineStr">
        <is>
          <t>YES</t>
        </is>
      </c>
      <c r="P110" s="30" t="n"/>
      <c r="Q110" s="30" t="inlineStr">
        <is>
          <t>55.05</t>
        </is>
      </c>
      <c r="R110" s="22">
        <f>IF(Q110="","",IF(ISNUMBER(SEARCH(":",Q110)),VALUE(LEFT(Q110,SEARCH(":",Q110)-1))*60+VALUE(MID(Q110,SEARCH(":",Q110)+1,99)),VALUE(Q110)))</f>
        <v/>
      </c>
      <c r="S110" s="39">
        <f>IF(OR(J110="",R110=""),"",(R110-J110)/R110)</f>
        <v/>
      </c>
      <c r="T110" s="22">
        <f>IF(OR(P110&lt;&gt;"",N110="YES"),"YES","NO")</f>
        <v/>
      </c>
      <c r="U110" s="22">
        <f>IF(AND(O110="YES",T110="YES",S110&lt;&gt;""),COUNTIFS($C$5:$C$424,C110,$S$5:$S$424,"&gt;"&amp;S110)+COUNTIFS($C$5:C110,C110,$S$5:S110,S110),"")</f>
        <v/>
      </c>
      <c r="V110" s="22">
        <f>IF(U110="","",C110&amp;"|"&amp;U110)</f>
        <v/>
      </c>
      <c r="W110" s="30" t="n"/>
      <c r="X110" s="30" t="inlineStr">
        <is>
          <t>Next-fastest time supplied in user workbook; swimmer name not yet supplied.</t>
        </is>
      </c>
    </row>
    <row r="111" ht="15" customHeight="1" s="17">
      <c r="A111" s="30" t="inlineStr">
        <is>
          <t>NZ|SCM|M|18|200 IM</t>
        </is>
      </c>
      <c r="B111" s="30" t="inlineStr">
        <is>
          <t>SCM</t>
        </is>
      </c>
      <c r="C111" s="30" t="inlineStr">
        <is>
          <t>Male</t>
        </is>
      </c>
      <c r="D111" s="30" t="n">
        <v>18</v>
      </c>
      <c r="E111" s="30" t="inlineStr">
        <is>
          <t>200 IM</t>
        </is>
      </c>
      <c r="F111" s="30" t="inlineStr">
        <is>
          <t>Daniel Bell</t>
        </is>
      </c>
      <c r="G111" s="22" t="inlineStr">
        <is>
          <t>Daniel Bell</t>
        </is>
      </c>
      <c r="H111" s="22" t="n"/>
      <c r="I111" s="30" t="inlineStr">
        <is>
          <t>1:57.84</t>
        </is>
      </c>
      <c r="J111" s="22">
        <f>IF(I111="","",IF(ISNUMBER(SEARCH(":",I111)),VALUE(LEFT(I111,SEARCH(":",I111)-1))*60+VALUE(MID(I111,SEARCH(":",I111)+1,99)),VALUE(I111)))</f>
        <v/>
      </c>
      <c r="K111" s="30" t="inlineStr">
        <is>
          <t>12.12.08</t>
        </is>
      </c>
      <c r="L111" s="30" t="inlineStr">
        <is>
          <t>Swimming New Zealand Short Course Records by Age - user-supplied PDF</t>
        </is>
      </c>
      <c r="M111" s="30" t="n"/>
      <c r="N111" s="30" t="inlineStr">
        <is>
          <t>NO</t>
        </is>
      </c>
      <c r="O111" s="30" t="inlineStr">
        <is>
          <t>YES</t>
        </is>
      </c>
      <c r="P111" s="30" t="n"/>
      <c r="Q111" s="30" t="inlineStr">
        <is>
          <t>1:57.91</t>
        </is>
      </c>
      <c r="R111" s="22">
        <f>IF(Q111="","",IF(ISNUMBER(SEARCH(":",Q111)),VALUE(LEFT(Q111,SEARCH(":",Q111)-1))*60+VALUE(MID(Q111,SEARCH(":",Q111)+1,99)),VALUE(Q111)))</f>
        <v/>
      </c>
      <c r="S111" s="39">
        <f>IF(OR(J111="",R111=""),"",(R111-J111)/R111)</f>
        <v/>
      </c>
      <c r="T111" s="22">
        <f>IF(OR(P111&lt;&gt;"",N111="YES"),"YES","NO")</f>
        <v/>
      </c>
      <c r="U111" s="22">
        <f>IF(AND(O111="YES",T111="YES",S111&lt;&gt;""),COUNTIFS($C$5:$C$424,C111,$S$5:$S$424,"&gt;"&amp;S111)+COUNTIFS($C$5:C111,C111,$S$5:S111,S111),"")</f>
        <v/>
      </c>
      <c r="V111" s="22">
        <f>IF(U111="","",C111&amp;"|"&amp;U111)</f>
        <v/>
      </c>
      <c r="W111" s="30" t="n"/>
      <c r="X111" s="30" t="inlineStr">
        <is>
          <t>Next-fastest time supplied in user workbook; swimmer name not yet supplied.</t>
        </is>
      </c>
    </row>
    <row r="112" ht="15" customHeight="1" s="17">
      <c r="A112" s="30" t="inlineStr">
        <is>
          <t>NZ|SCM|M|18|400 IM</t>
        </is>
      </c>
      <c r="B112" s="30" t="inlineStr">
        <is>
          <t>SCM</t>
        </is>
      </c>
      <c r="C112" s="30" t="inlineStr">
        <is>
          <t>Male</t>
        </is>
      </c>
      <c r="D112" s="30" t="n">
        <v>18</v>
      </c>
      <c r="E112" s="30" t="inlineStr">
        <is>
          <t>400 IM</t>
        </is>
      </c>
      <c r="F112" s="30" t="inlineStr">
        <is>
          <t>Sam Brown</t>
        </is>
      </c>
      <c r="G112" s="22" t="inlineStr">
        <is>
          <t>Sam Brown</t>
        </is>
      </c>
      <c r="H112" s="22" t="n"/>
      <c r="I112" s="30" t="inlineStr">
        <is>
          <t>4:11.85</t>
        </is>
      </c>
      <c r="J112" s="22">
        <f>IF(I112="","",IF(ISNUMBER(SEARCH(":",I112)),VALUE(LEFT(I112,SEARCH(":",I112)-1))*60+VALUE(MID(I112,SEARCH(":",I112)+1,99)),VALUE(I112)))</f>
        <v/>
      </c>
      <c r="K112" s="30" t="inlineStr">
        <is>
          <t>24.08.22</t>
        </is>
      </c>
      <c r="L112" s="30" t="inlineStr">
        <is>
          <t>Swimming New Zealand Short Course Records by Age - user-supplied PDF</t>
        </is>
      </c>
      <c r="M112" s="30" t="n"/>
      <c r="N112" s="30" t="inlineStr">
        <is>
          <t>NO</t>
        </is>
      </c>
      <c r="O112" s="30" t="inlineStr">
        <is>
          <t>YES</t>
        </is>
      </c>
      <c r="P112" s="30" t="n"/>
      <c r="Q112" s="30" t="inlineStr">
        <is>
          <t>4:16.12</t>
        </is>
      </c>
      <c r="R112" s="22">
        <f>IF(Q112="","",IF(ISNUMBER(SEARCH(":",Q112)),VALUE(LEFT(Q112,SEARCH(":",Q112)-1))*60+VALUE(MID(Q112,SEARCH(":",Q112)+1,99)),VALUE(Q112)))</f>
        <v/>
      </c>
      <c r="S112" s="39">
        <f>IF(OR(J112="",R112=""),"",(R112-J112)/R112)</f>
        <v/>
      </c>
      <c r="T112" s="22">
        <f>IF(OR(P112&lt;&gt;"",N112="YES"),"YES","NO")</f>
        <v/>
      </c>
      <c r="U112" s="22">
        <f>IF(AND(O112="YES",T112="YES",S112&lt;&gt;""),COUNTIFS($C$5:$C$424,C112,$S$5:$S$424,"&gt;"&amp;S112)+COUNTIFS($C$5:C112,C112,$S$5:S112,S112),"")</f>
        <v/>
      </c>
      <c r="V112" s="22">
        <f>IF(U112="","",C112&amp;"|"&amp;U112)</f>
        <v/>
      </c>
      <c r="W112" s="30" t="n"/>
      <c r="X112" s="30" t="inlineStr">
        <is>
          <t>Next-fastest time supplied in user workbook; swimmer name not yet supplied.</t>
        </is>
      </c>
    </row>
    <row r="113" ht="15" customHeight="1" s="17">
      <c r="A113" s="30" t="inlineStr">
        <is>
          <t>NZ|SCM|F|13|50 Free</t>
        </is>
      </c>
      <c r="B113" s="30" t="inlineStr">
        <is>
          <t>SCM</t>
        </is>
      </c>
      <c r="C113" s="30" t="inlineStr">
        <is>
          <t>Female</t>
        </is>
      </c>
      <c r="D113" s="30" t="n">
        <v>13</v>
      </c>
      <c r="E113" s="30" t="inlineStr">
        <is>
          <t>50 Free</t>
        </is>
      </c>
      <c r="F113" s="30" t="inlineStr">
        <is>
          <t>Gabrielle Fa'amausili</t>
        </is>
      </c>
      <c r="G113" s="22" t="inlineStr">
        <is>
          <t>Gabrielle Fa'amausili</t>
        </is>
      </c>
      <c r="H113" s="22" t="n"/>
      <c r="I113" s="30" t="inlineStr">
        <is>
          <t>25.33</t>
        </is>
      </c>
      <c r="J113" s="22">
        <f>IF(I113="","",IF(ISNUMBER(SEARCH(":",I113)),VALUE(LEFT(I113,SEARCH(":",I113)-1))*60+VALUE(MID(I113,SEARCH(":",I113)+1,99)),VALUE(I113)))</f>
        <v/>
      </c>
      <c r="K113" s="30" t="inlineStr">
        <is>
          <t>01.10.13</t>
        </is>
      </c>
      <c r="L113" s="30" t="inlineStr">
        <is>
          <t>Swimming New Zealand Short Course Records by Age - user-supplied PDF</t>
        </is>
      </c>
      <c r="M113" s="30" t="n"/>
      <c r="N113" s="30" t="inlineStr">
        <is>
          <t>NO</t>
        </is>
      </c>
      <c r="O113" s="30" t="inlineStr">
        <is>
          <t>YES</t>
        </is>
      </c>
      <c r="P113" s="30" t="inlineStr">
        <is>
          <t>Alyssa Lawson</t>
        </is>
      </c>
      <c r="Q113" s="30" t="inlineStr">
        <is>
          <t>26.16</t>
        </is>
      </c>
      <c r="R113" s="22">
        <f>IF(Q113="","",IF(ISNUMBER(SEARCH(":",Q113)),VALUE(LEFT(Q113,SEARCH(":",Q113)-1))*60+VALUE(MID(Q113,SEARCH(":",Q113)+1,99)),VALUE(Q113)))</f>
        <v/>
      </c>
      <c r="S113" s="39">
        <f>IF(OR(J113="",R113=""),"",(R113-J113)/R113)</f>
        <v/>
      </c>
      <c r="T113" s="22">
        <f>IF(OR(P113&lt;&gt;"",N113="YES"),"YES","NO")</f>
        <v/>
      </c>
      <c r="U113" s="22">
        <f>IF(AND(O113="YES",T113="YES",S113&lt;&gt;""),COUNTIFS($C$5:$C$424,C113,$S$5:$S$424,"&gt;"&amp;S113)+COUNTIFS($C$5:C113,C113,$S$5:S113,S113),"")</f>
        <v/>
      </c>
      <c r="V113" s="22">
        <f>IF(U113="","",C113&amp;"|"&amp;U113)</f>
        <v/>
      </c>
      <c r="W113" s="30" t="n"/>
      <c r="X113" s="30" t="inlineStr">
        <is>
          <t>Next-fastest time supplied in user workbook; swimmer name not yet supplied.</t>
        </is>
      </c>
    </row>
    <row r="114" ht="15" customHeight="1" s="17">
      <c r="A114" s="30" t="inlineStr">
        <is>
          <t>NZ|SCM|F|13|100 Free</t>
        </is>
      </c>
      <c r="B114" s="30" t="inlineStr">
        <is>
          <t>SCM</t>
        </is>
      </c>
      <c r="C114" s="30" t="inlineStr">
        <is>
          <t>Female</t>
        </is>
      </c>
      <c r="D114" s="30" t="n">
        <v>13</v>
      </c>
      <c r="E114" s="30" t="inlineStr">
        <is>
          <t>100 Free</t>
        </is>
      </c>
      <c r="F114" s="30" t="inlineStr">
        <is>
          <t>Gabrielle Fa'amausili</t>
        </is>
      </c>
      <c r="G114" s="22" t="inlineStr">
        <is>
          <t>Gabrielle Fa'amausili</t>
        </is>
      </c>
      <c r="H114" s="22" t="n"/>
      <c r="I114" s="30" t="inlineStr">
        <is>
          <t>56.36</t>
        </is>
      </c>
      <c r="J114" s="22">
        <f>IF(I114="","",IF(ISNUMBER(SEARCH(":",I114)),VALUE(LEFT(I114,SEARCH(":",I114)-1))*60+VALUE(MID(I114,SEARCH(":",I114)+1,99)),VALUE(I114)))</f>
        <v/>
      </c>
      <c r="K114" s="30" t="inlineStr">
        <is>
          <t>30.09.13</t>
        </is>
      </c>
      <c r="L114" s="30" t="inlineStr">
        <is>
          <t>Swimming New Zealand Short Course Records by Age - user-supplied PDF</t>
        </is>
      </c>
      <c r="M114" s="30" t="n"/>
      <c r="N114" s="30" t="inlineStr">
        <is>
          <t>NO</t>
        </is>
      </c>
      <c r="O114" s="30" t="inlineStr">
        <is>
          <t>YES</t>
        </is>
      </c>
      <c r="P114" s="30" t="n"/>
      <c r="Q114" s="30" t="inlineStr">
        <is>
          <t>57.36</t>
        </is>
      </c>
      <c r="R114" s="22">
        <f>IF(Q114="","",IF(ISNUMBER(SEARCH(":",Q114)),VALUE(LEFT(Q114,SEARCH(":",Q114)-1))*60+VALUE(MID(Q114,SEARCH(":",Q114)+1,99)),VALUE(Q114)))</f>
        <v/>
      </c>
      <c r="S114" s="39">
        <f>IF(OR(J114="",R114=""),"",(R114-J114)/R114)</f>
        <v/>
      </c>
      <c r="T114" s="22">
        <f>IF(OR(P114&lt;&gt;"",N114="YES"),"YES","NO")</f>
        <v/>
      </c>
      <c r="U114" s="22">
        <f>IF(AND(O114="YES",T114="YES",S114&lt;&gt;""),COUNTIFS($C$5:$C$424,C114,$S$5:$S$424,"&gt;"&amp;S114)+COUNTIFS($C$5:C114,C114,$S$5:S114,S114),"")</f>
        <v/>
      </c>
      <c r="V114" s="22">
        <f>IF(U114="","",C114&amp;"|"&amp;U114)</f>
        <v/>
      </c>
      <c r="W114" s="30" t="n"/>
      <c r="X114" s="30" t="inlineStr">
        <is>
          <t>Next-fastest time supplied in user workbook; swimmer name not yet supplied.</t>
        </is>
      </c>
    </row>
    <row r="115" ht="15" customHeight="1" s="17">
      <c r="A115" s="30" t="inlineStr">
        <is>
          <t>NZ|SCM|F|13|200 Free</t>
        </is>
      </c>
      <c r="B115" s="30" t="inlineStr">
        <is>
          <t>SCM</t>
        </is>
      </c>
      <c r="C115" s="30" t="inlineStr">
        <is>
          <t>Female</t>
        </is>
      </c>
      <c r="D115" s="30" t="n">
        <v>13</v>
      </c>
      <c r="E115" s="30" t="inlineStr">
        <is>
          <t>200 Free</t>
        </is>
      </c>
      <c r="F115" s="30" t="inlineStr">
        <is>
          <t>Erika Fairweather</t>
        </is>
      </c>
      <c r="G115" s="22" t="inlineStr">
        <is>
          <t>Erika Fairweather</t>
        </is>
      </c>
      <c r="H115" s="22" t="n"/>
      <c r="I115" s="30" t="inlineStr">
        <is>
          <t>2:03.57</t>
        </is>
      </c>
      <c r="J115" s="22">
        <f>IF(I115="","",IF(ISNUMBER(SEARCH(":",I115)),VALUE(LEFT(I115,SEARCH(":",I115)-1))*60+VALUE(MID(I115,SEARCH(":",I115)+1,99)),VALUE(I115)))</f>
        <v/>
      </c>
      <c r="K115" s="30" t="inlineStr">
        <is>
          <t>03.10.17</t>
        </is>
      </c>
      <c r="L115" s="30" t="inlineStr">
        <is>
          <t>Swimming New Zealand Short Course Records by Age - user-supplied PDF</t>
        </is>
      </c>
      <c r="M115" s="30" t="n"/>
      <c r="N115" s="30" t="inlineStr">
        <is>
          <t>NO</t>
        </is>
      </c>
      <c r="O115" s="30" t="inlineStr">
        <is>
          <t>YES</t>
        </is>
      </c>
      <c r="P115" s="30" t="n"/>
      <c r="Q115" s="30" t="inlineStr">
        <is>
          <t>2:05.60</t>
        </is>
      </c>
      <c r="R115" s="22">
        <f>IF(Q115="","",IF(ISNUMBER(SEARCH(":",Q115)),VALUE(LEFT(Q115,SEARCH(":",Q115)-1))*60+VALUE(MID(Q115,SEARCH(":",Q115)+1,99)),VALUE(Q115)))</f>
        <v/>
      </c>
      <c r="S115" s="39">
        <f>IF(OR(J115="",R115=""),"",(R115-J115)/R115)</f>
        <v/>
      </c>
      <c r="T115" s="22">
        <f>IF(OR(P115&lt;&gt;"",N115="YES"),"YES","NO")</f>
        <v/>
      </c>
      <c r="U115" s="22">
        <f>IF(AND(O115="YES",T115="YES",S115&lt;&gt;""),COUNTIFS($C$5:$C$424,C115,$S$5:$S$424,"&gt;"&amp;S115)+COUNTIFS($C$5:C115,C115,$S$5:S115,S115),"")</f>
        <v/>
      </c>
      <c r="V115" s="22">
        <f>IF(U115="","",C115&amp;"|"&amp;U115)</f>
        <v/>
      </c>
      <c r="W115" s="30" t="n"/>
      <c r="X115" s="30" t="inlineStr">
        <is>
          <t>Next-fastest time supplied in user workbook; swimmer name not yet supplied.</t>
        </is>
      </c>
    </row>
    <row r="116" ht="15" customHeight="1" s="17">
      <c r="A116" s="30" t="inlineStr">
        <is>
          <t>NZ|SCM|F|13|400 Free</t>
        </is>
      </c>
      <c r="B116" s="30" t="inlineStr">
        <is>
          <t>SCM</t>
        </is>
      </c>
      <c r="C116" s="30" t="inlineStr">
        <is>
          <t>Female</t>
        </is>
      </c>
      <c r="D116" s="30" t="n">
        <v>13</v>
      </c>
      <c r="E116" s="30" t="inlineStr">
        <is>
          <t>400 Free</t>
        </is>
      </c>
      <c r="F116" s="30" t="inlineStr">
        <is>
          <t>Erika Fairweather</t>
        </is>
      </c>
      <c r="G116" s="22" t="inlineStr">
        <is>
          <t>Erika Fairweather</t>
        </is>
      </c>
      <c r="H116" s="22" t="n"/>
      <c r="I116" s="30" t="inlineStr">
        <is>
          <t>4:22.52</t>
        </is>
      </c>
      <c r="J116" s="22">
        <f>IF(I116="","",IF(ISNUMBER(SEARCH(":",I116)),VALUE(LEFT(I116,SEARCH(":",I116)-1))*60+VALUE(MID(I116,SEARCH(":",I116)+1,99)),VALUE(I116)))</f>
        <v/>
      </c>
      <c r="K116" s="30" t="inlineStr">
        <is>
          <t>04.10.17</t>
        </is>
      </c>
      <c r="L116" s="30" t="inlineStr">
        <is>
          <t>Swimming New Zealand Short Course Records by Age - user-supplied PDF</t>
        </is>
      </c>
      <c r="M116" s="30" t="n"/>
      <c r="N116" s="30" t="inlineStr">
        <is>
          <t>NO</t>
        </is>
      </c>
      <c r="O116" s="30" t="inlineStr">
        <is>
          <t>YES</t>
        </is>
      </c>
      <c r="P116" s="30" t="n"/>
      <c r="Q116" s="30" t="inlineStr">
        <is>
          <t>4:23.40</t>
        </is>
      </c>
      <c r="R116" s="22">
        <f>IF(Q116="","",IF(ISNUMBER(SEARCH(":",Q116)),VALUE(LEFT(Q116,SEARCH(":",Q116)-1))*60+VALUE(MID(Q116,SEARCH(":",Q116)+1,99)),VALUE(Q116)))</f>
        <v/>
      </c>
      <c r="S116" s="39">
        <f>IF(OR(J116="",R116=""),"",(R116-J116)/R116)</f>
        <v/>
      </c>
      <c r="T116" s="22">
        <f>IF(OR(P116&lt;&gt;"",N116="YES"),"YES","NO")</f>
        <v/>
      </c>
      <c r="U116" s="22">
        <f>IF(AND(O116="YES",T116="YES",S116&lt;&gt;""),COUNTIFS($C$5:$C$424,C116,$S$5:$S$424,"&gt;"&amp;S116)+COUNTIFS($C$5:C116,C116,$S$5:S116,S116),"")</f>
        <v/>
      </c>
      <c r="V116" s="22">
        <f>IF(U116="","",C116&amp;"|"&amp;U116)</f>
        <v/>
      </c>
      <c r="W116" s="30" t="n"/>
      <c r="X116" s="30" t="inlineStr">
        <is>
          <t>Next-fastest time supplied in user workbook; swimmer name not yet supplied.</t>
        </is>
      </c>
    </row>
    <row r="117" ht="15" customHeight="1" s="17">
      <c r="A117" s="30" t="inlineStr">
        <is>
          <t>NZ|SCM|F|13|800 Free</t>
        </is>
      </c>
      <c r="B117" s="30" t="inlineStr">
        <is>
          <t>SCM</t>
        </is>
      </c>
      <c r="C117" s="30" t="inlineStr">
        <is>
          <t>Female</t>
        </is>
      </c>
      <c r="D117" s="30" t="n">
        <v>13</v>
      </c>
      <c r="E117" s="30" t="inlineStr">
        <is>
          <t>800 Free</t>
        </is>
      </c>
      <c r="F117" s="30" t="inlineStr">
        <is>
          <t>Erika Fairweather</t>
        </is>
      </c>
      <c r="G117" s="22" t="inlineStr">
        <is>
          <t>Erika Fairweather</t>
        </is>
      </c>
      <c r="H117" s="22" t="n"/>
      <c r="I117" s="30" t="inlineStr">
        <is>
          <t>8:58.05</t>
        </is>
      </c>
      <c r="J117" s="22">
        <f>IF(I117="","",IF(ISNUMBER(SEARCH(":",I117)),VALUE(LEFT(I117,SEARCH(":",I117)-1))*60+VALUE(MID(I117,SEARCH(":",I117)+1,99)),VALUE(I117)))</f>
        <v/>
      </c>
      <c r="K117" s="30" t="inlineStr">
        <is>
          <t>06.10.17</t>
        </is>
      </c>
      <c r="L117" s="30" t="inlineStr">
        <is>
          <t>Swimming New Zealand Short Course Records by Age - user-supplied PDF</t>
        </is>
      </c>
      <c r="M117" s="30" t="n"/>
      <c r="N117" s="30" t="inlineStr">
        <is>
          <t>NO</t>
        </is>
      </c>
      <c r="O117" s="30" t="inlineStr">
        <is>
          <t>YES</t>
        </is>
      </c>
      <c r="P117" s="30" t="n"/>
      <c r="Q117" s="30" t="inlineStr">
        <is>
          <t>9:03.54</t>
        </is>
      </c>
      <c r="R117" s="22">
        <f>IF(Q117="","",IF(ISNUMBER(SEARCH(":",Q117)),VALUE(LEFT(Q117,SEARCH(":",Q117)-1))*60+VALUE(MID(Q117,SEARCH(":",Q117)+1,99)),VALUE(Q117)))</f>
        <v/>
      </c>
      <c r="S117" s="39">
        <f>IF(OR(J117="",R117=""),"",(R117-J117)/R117)</f>
        <v/>
      </c>
      <c r="T117" s="22">
        <f>IF(OR(P117&lt;&gt;"",N117="YES"),"YES","NO")</f>
        <v/>
      </c>
      <c r="U117" s="22">
        <f>IF(AND(O117="YES",T117="YES",S117&lt;&gt;""),COUNTIFS($C$5:$C$424,C117,$S$5:$S$424,"&gt;"&amp;S117)+COUNTIFS($C$5:C117,C117,$S$5:S117,S117),"")</f>
        <v/>
      </c>
      <c r="V117" s="22">
        <f>IF(U117="","",C117&amp;"|"&amp;U117)</f>
        <v/>
      </c>
      <c r="W117" s="30" t="n"/>
      <c r="X117" s="30" t="inlineStr">
        <is>
          <t>Next-fastest time supplied in user workbook; swimmer name not yet supplied.</t>
        </is>
      </c>
    </row>
    <row r="118" ht="15" customHeight="1" s="17">
      <c r="A118" s="30" t="inlineStr">
        <is>
          <t>NZ|SCM|F|13|1500 Free</t>
        </is>
      </c>
      <c r="B118" s="30" t="inlineStr">
        <is>
          <t>SCM</t>
        </is>
      </c>
      <c r="C118" s="30" t="inlineStr">
        <is>
          <t>Female</t>
        </is>
      </c>
      <c r="D118" s="30" t="n">
        <v>13</v>
      </c>
      <c r="E118" s="30" t="inlineStr">
        <is>
          <t>1500 Free</t>
        </is>
      </c>
      <c r="F118" s="30" t="inlineStr">
        <is>
          <t>Erika Fairweather</t>
        </is>
      </c>
      <c r="G118" s="22" t="inlineStr">
        <is>
          <t>Erika Fairweather</t>
        </is>
      </c>
      <c r="H118" s="22" t="n"/>
      <c r="I118" s="30" t="inlineStr">
        <is>
          <t>17:15.28</t>
        </is>
      </c>
      <c r="J118" s="22">
        <f>IF(I118="","",IF(ISNUMBER(SEARCH(":",I118)),VALUE(LEFT(I118,SEARCH(":",I118)-1))*60+VALUE(MID(I118,SEARCH(":",I118)+1,99)),VALUE(I118)))</f>
        <v/>
      </c>
      <c r="K118" s="30" t="inlineStr">
        <is>
          <t>06.08.17</t>
        </is>
      </c>
      <c r="L118" s="30" t="inlineStr">
        <is>
          <t>Swimming New Zealand Short Course Records by Age - user-supplied PDF</t>
        </is>
      </c>
      <c r="M118" s="30" t="n"/>
      <c r="N118" s="30" t="inlineStr">
        <is>
          <t>NO</t>
        </is>
      </c>
      <c r="O118" s="30" t="inlineStr">
        <is>
          <t>YES</t>
        </is>
      </c>
      <c r="P118" s="30" t="n"/>
      <c r="Q118" s="30" t="inlineStr">
        <is>
          <t>17:21.79</t>
        </is>
      </c>
      <c r="R118" s="22">
        <f>IF(Q118="","",IF(ISNUMBER(SEARCH(":",Q118)),VALUE(LEFT(Q118,SEARCH(":",Q118)-1))*60+VALUE(MID(Q118,SEARCH(":",Q118)+1,99)),VALUE(Q118)))</f>
        <v/>
      </c>
      <c r="S118" s="39">
        <f>IF(OR(J118="",R118=""),"",(R118-J118)/R118)</f>
        <v/>
      </c>
      <c r="T118" s="22">
        <f>IF(OR(P118&lt;&gt;"",N118="YES"),"YES","NO")</f>
        <v/>
      </c>
      <c r="U118" s="22">
        <f>IF(AND(O118="YES",T118="YES",S118&lt;&gt;""),COUNTIFS($C$5:$C$424,C118,$S$5:$S$424,"&gt;"&amp;S118)+COUNTIFS($C$5:C118,C118,$S$5:S118,S118),"")</f>
        <v/>
      </c>
      <c r="V118" s="22">
        <f>IF(U118="","",C118&amp;"|"&amp;U118)</f>
        <v/>
      </c>
      <c r="W118" s="30" t="n"/>
      <c r="X118" s="30" t="inlineStr">
        <is>
          <t>Next-fastest time supplied in user workbook; swimmer name not yet supplied.</t>
        </is>
      </c>
    </row>
    <row r="119" ht="15" customHeight="1" s="17">
      <c r="A119" s="30" t="inlineStr">
        <is>
          <t>NZ|SCM|F|13|50 Back</t>
        </is>
      </c>
      <c r="B119" s="30" t="inlineStr">
        <is>
          <t>SCM</t>
        </is>
      </c>
      <c r="C119" s="30" t="inlineStr">
        <is>
          <t>Female</t>
        </is>
      </c>
      <c r="D119" s="30" t="n">
        <v>13</v>
      </c>
      <c r="E119" s="30" t="inlineStr">
        <is>
          <t>50 Back</t>
        </is>
      </c>
      <c r="F119" s="30" t="inlineStr">
        <is>
          <t>Gabrielle Fa'amausili</t>
        </is>
      </c>
      <c r="G119" s="22" t="inlineStr">
        <is>
          <t>Gabrielle Fa'amausili</t>
        </is>
      </c>
      <c r="H119" s="22" t="n"/>
      <c r="I119" s="30" t="inlineStr">
        <is>
          <t>27.93</t>
        </is>
      </c>
      <c r="J119" s="22">
        <f>IF(I119="","",IF(ISNUMBER(SEARCH(":",I119)),VALUE(LEFT(I119,SEARCH(":",I119)-1))*60+VALUE(MID(I119,SEARCH(":",I119)+1,99)),VALUE(I119)))</f>
        <v/>
      </c>
      <c r="K119" s="30" t="inlineStr">
        <is>
          <t>02.10.13</t>
        </is>
      </c>
      <c r="L119" s="30" t="inlineStr">
        <is>
          <t>Swimming New Zealand Short Course Records by Age - user-supplied PDF</t>
        </is>
      </c>
      <c r="M119" s="30" t="n"/>
      <c r="N119" s="30" t="inlineStr">
        <is>
          <t>NO</t>
        </is>
      </c>
      <c r="O119" s="30" t="inlineStr">
        <is>
          <t>YES</t>
        </is>
      </c>
      <c r="P119" s="30" t="n"/>
      <c r="Q119" s="30" t="inlineStr">
        <is>
          <t>28.48</t>
        </is>
      </c>
      <c r="R119" s="22">
        <f>IF(Q119="","",IF(ISNUMBER(SEARCH(":",Q119)),VALUE(LEFT(Q119,SEARCH(":",Q119)-1))*60+VALUE(MID(Q119,SEARCH(":",Q119)+1,99)),VALUE(Q119)))</f>
        <v/>
      </c>
      <c r="S119" s="39">
        <f>IF(OR(J119="",R119=""),"",(R119-J119)/R119)</f>
        <v/>
      </c>
      <c r="T119" s="22">
        <f>IF(OR(P119&lt;&gt;"",N119="YES"),"YES","NO")</f>
        <v/>
      </c>
      <c r="U119" s="22">
        <f>IF(AND(O119="YES",T119="YES",S119&lt;&gt;""),COUNTIFS($C$5:$C$424,C119,$S$5:$S$424,"&gt;"&amp;S119)+COUNTIFS($C$5:C119,C119,$S$5:S119,S119),"")</f>
        <v/>
      </c>
      <c r="V119" s="22">
        <f>IF(U119="","",C119&amp;"|"&amp;U119)</f>
        <v/>
      </c>
      <c r="W119" s="30" t="n"/>
      <c r="X119" s="30" t="inlineStr">
        <is>
          <t>Next-fastest time supplied in user workbook; swimmer name not yet supplied.</t>
        </is>
      </c>
    </row>
    <row r="120" ht="15" customHeight="1" s="17">
      <c r="A120" s="30" t="inlineStr">
        <is>
          <t>NZ|SCM|F|13|100 Back</t>
        </is>
      </c>
      <c r="B120" s="30" t="inlineStr">
        <is>
          <t>SCM</t>
        </is>
      </c>
      <c r="C120" s="30" t="inlineStr">
        <is>
          <t>Female</t>
        </is>
      </c>
      <c r="D120" s="30" t="n">
        <v>13</v>
      </c>
      <c r="E120" s="30" t="inlineStr">
        <is>
          <t>100 Back</t>
        </is>
      </c>
      <c r="F120" s="30" t="inlineStr">
        <is>
          <t>Gabrielle Fa'amausili</t>
        </is>
      </c>
      <c r="G120" s="22" t="inlineStr">
        <is>
          <t>Gabrielle Fa'amausili</t>
        </is>
      </c>
      <c r="H120" s="22" t="n"/>
      <c r="I120" s="30" t="inlineStr">
        <is>
          <t>59.92</t>
        </is>
      </c>
      <c r="J120" s="22">
        <f>IF(I120="","",IF(ISNUMBER(SEARCH(":",I120)),VALUE(LEFT(I120,SEARCH(":",I120)-1))*60+VALUE(MID(I120,SEARCH(":",I120)+1,99)),VALUE(I120)))</f>
        <v/>
      </c>
      <c r="K120" s="30" t="inlineStr">
        <is>
          <t>29.09.13</t>
        </is>
      </c>
      <c r="L120" s="30" t="inlineStr">
        <is>
          <t>Swimming New Zealand Short Course Records by Age - user-supplied PDF</t>
        </is>
      </c>
      <c r="M120" s="30" t="n"/>
      <c r="N120" s="30" t="inlineStr">
        <is>
          <t>NO</t>
        </is>
      </c>
      <c r="O120" s="30" t="inlineStr">
        <is>
          <t>YES</t>
        </is>
      </c>
      <c r="P120" s="30" t="inlineStr">
        <is>
          <t>Milan Glintmeyer</t>
        </is>
      </c>
      <c r="Q120" s="30" t="inlineStr">
        <is>
          <t>1:02.17</t>
        </is>
      </c>
      <c r="R120" s="22">
        <f>IF(Q120="","",IF(ISNUMBER(SEARCH(":",Q120)),VALUE(LEFT(Q120,SEARCH(":",Q120)-1))*60+VALUE(MID(Q120,SEARCH(":",Q120)+1,99)),VALUE(Q120)))</f>
        <v/>
      </c>
      <c r="S120" s="39">
        <f>IF(OR(J120="",R120=""),"",(R120-J120)/R120)</f>
        <v/>
      </c>
      <c r="T120" s="22">
        <f>IF(OR(P120&lt;&gt;"",N120="YES"),"YES","NO")</f>
        <v/>
      </c>
      <c r="U120" s="22">
        <f>IF(AND(O120="YES",T120="YES",S120&lt;&gt;""),COUNTIFS($C$5:$C$424,C120,$S$5:$S$424,"&gt;"&amp;S120)+COUNTIFS($C$5:C120,C120,$S$5:S120,S120),"")</f>
        <v/>
      </c>
      <c r="V120" s="22">
        <f>IF(U120="","",C120&amp;"|"&amp;U120)</f>
        <v/>
      </c>
      <c r="W120" s="30" t="n"/>
      <c r="X120" s="30" t="inlineStr">
        <is>
          <t>Next-fastest time supplied in user workbook; swimmer name not yet supplied.</t>
        </is>
      </c>
    </row>
    <row r="121" ht="15" customHeight="1" s="17">
      <c r="A121" s="30" t="inlineStr">
        <is>
          <t>NZ|SCM|F|13|200 Back</t>
        </is>
      </c>
      <c r="B121" s="30" t="inlineStr">
        <is>
          <t>SCM</t>
        </is>
      </c>
      <c r="C121" s="30" t="inlineStr">
        <is>
          <t>Female</t>
        </is>
      </c>
      <c r="D121" s="30" t="n">
        <v>13</v>
      </c>
      <c r="E121" s="30" t="inlineStr">
        <is>
          <t>200 Back</t>
        </is>
      </c>
      <c r="F121" s="30" t="inlineStr">
        <is>
          <t>Bobbi Gichard</t>
        </is>
      </c>
      <c r="G121" s="22" t="inlineStr">
        <is>
          <t>Bobbi Gichard</t>
        </is>
      </c>
      <c r="H121" s="22" t="n"/>
      <c r="I121" s="30" t="inlineStr">
        <is>
          <t>2:13.15</t>
        </is>
      </c>
      <c r="J121" s="22">
        <f>IF(I121="","",IF(ISNUMBER(SEARCH(":",I121)),VALUE(LEFT(I121,SEARCH(":",I121)-1))*60+VALUE(MID(I121,SEARCH(":",I121)+1,99)),VALUE(I121)))</f>
        <v/>
      </c>
      <c r="K121" s="30" t="inlineStr">
        <is>
          <t>01.10.13</t>
        </is>
      </c>
      <c r="L121" s="30" t="inlineStr">
        <is>
          <t>Swimming New Zealand Short Course Records by Age - user-supplied PDF</t>
        </is>
      </c>
      <c r="M121" s="30" t="n"/>
      <c r="N121" s="30" t="inlineStr">
        <is>
          <t>NO</t>
        </is>
      </c>
      <c r="O121" s="30" t="inlineStr">
        <is>
          <t>YES</t>
        </is>
      </c>
      <c r="P121" s="30" t="n"/>
      <c r="Q121" s="30" t="inlineStr">
        <is>
          <t>2:15.48</t>
        </is>
      </c>
      <c r="R121" s="22">
        <f>IF(Q121="","",IF(ISNUMBER(SEARCH(":",Q121)),VALUE(LEFT(Q121,SEARCH(":",Q121)-1))*60+VALUE(MID(Q121,SEARCH(":",Q121)+1,99)),VALUE(Q121)))</f>
        <v/>
      </c>
      <c r="S121" s="39">
        <f>IF(OR(J121="",R121=""),"",(R121-J121)/R121)</f>
        <v/>
      </c>
      <c r="T121" s="22">
        <f>IF(OR(P121&lt;&gt;"",N121="YES"),"YES","NO")</f>
        <v/>
      </c>
      <c r="U121" s="22">
        <f>IF(AND(O121="YES",T121="YES",S121&lt;&gt;""),COUNTIFS($C$5:$C$424,C121,$S$5:$S$424,"&gt;"&amp;S121)+COUNTIFS($C$5:C121,C121,$S$5:S121,S121),"")</f>
        <v/>
      </c>
      <c r="V121" s="22">
        <f>IF(U121="","",C121&amp;"|"&amp;U121)</f>
        <v/>
      </c>
      <c r="W121" s="30" t="n"/>
      <c r="X121" s="30" t="inlineStr">
        <is>
          <t>Next-fastest time supplied in user workbook; swimmer name not yet supplied.</t>
        </is>
      </c>
    </row>
    <row r="122" ht="15" customHeight="1" s="17">
      <c r="A122" s="30" t="inlineStr">
        <is>
          <t>NZ|SCM|F|13|50 Breast</t>
        </is>
      </c>
      <c r="B122" s="30" t="inlineStr">
        <is>
          <t>SCM</t>
        </is>
      </c>
      <c r="C122" s="30" t="inlineStr">
        <is>
          <t>Female</t>
        </is>
      </c>
      <c r="D122" s="30" t="n">
        <v>13</v>
      </c>
      <c r="E122" s="30" t="inlineStr">
        <is>
          <t>50 Breast</t>
        </is>
      </c>
      <c r="F122" s="30" t="inlineStr">
        <is>
          <t>Mulan Chan See</t>
        </is>
      </c>
      <c r="G122" s="22" t="inlineStr">
        <is>
          <t>Mulan Chan See</t>
        </is>
      </c>
      <c r="H122" s="22" t="n"/>
      <c r="I122" s="30" t="inlineStr">
        <is>
          <t>32.75</t>
        </is>
      </c>
      <c r="J122" s="22">
        <f>IF(I122="","",IF(ISNUMBER(SEARCH(":",I122)),VALUE(LEFT(I122,SEARCH(":",I122)-1))*60+VALUE(MID(I122,SEARCH(":",I122)+1,99)),VALUE(I122)))</f>
        <v/>
      </c>
      <c r="K122" s="30" t="inlineStr">
        <is>
          <t>07.10.20</t>
        </is>
      </c>
      <c r="L122" s="30" t="inlineStr">
        <is>
          <t>Swimming New Zealand Short Course Records by Age - user-supplied PDF</t>
        </is>
      </c>
      <c r="M122" s="30" t="n"/>
      <c r="N122" s="30" t="inlineStr">
        <is>
          <t>NO</t>
        </is>
      </c>
      <c r="O122" s="30" t="inlineStr">
        <is>
          <t>YES</t>
        </is>
      </c>
      <c r="P122" s="30" t="n"/>
      <c r="Q122" s="30" t="inlineStr">
        <is>
          <t>32.93</t>
        </is>
      </c>
      <c r="R122" s="22">
        <f>IF(Q122="","",IF(ISNUMBER(SEARCH(":",Q122)),VALUE(LEFT(Q122,SEARCH(":",Q122)-1))*60+VALUE(MID(Q122,SEARCH(":",Q122)+1,99)),VALUE(Q122)))</f>
        <v/>
      </c>
      <c r="S122" s="39">
        <f>IF(OR(J122="",R122=""),"",(R122-J122)/R122)</f>
        <v/>
      </c>
      <c r="T122" s="22">
        <f>IF(OR(P122&lt;&gt;"",N122="YES"),"YES","NO")</f>
        <v/>
      </c>
      <c r="U122" s="22">
        <f>IF(AND(O122="YES",T122="YES",S122&lt;&gt;""),COUNTIFS($C$5:$C$424,C122,$S$5:$S$424,"&gt;"&amp;S122)+COUNTIFS($C$5:C122,C122,$S$5:S122,S122),"")</f>
        <v/>
      </c>
      <c r="V122" s="22">
        <f>IF(U122="","",C122&amp;"|"&amp;U122)</f>
        <v/>
      </c>
      <c r="W122" s="30" t="n"/>
      <c r="X122" s="30" t="inlineStr">
        <is>
          <t>Next-fastest time supplied in user workbook; swimmer name not yet supplied.</t>
        </is>
      </c>
    </row>
    <row r="123" ht="15" customHeight="1" s="17">
      <c r="A123" s="30" t="inlineStr">
        <is>
          <t>NZ|SCM|F|13|100 Breast</t>
        </is>
      </c>
      <c r="B123" s="30" t="inlineStr">
        <is>
          <t>SCM</t>
        </is>
      </c>
      <c r="C123" s="30" t="inlineStr">
        <is>
          <t>Female</t>
        </is>
      </c>
      <c r="D123" s="30" t="n">
        <v>13</v>
      </c>
      <c r="E123" s="30" t="inlineStr">
        <is>
          <t>100 Breast</t>
        </is>
      </c>
      <c r="F123" s="30" t="inlineStr">
        <is>
          <t>April Lin</t>
        </is>
      </c>
      <c r="G123" s="22" t="inlineStr">
        <is>
          <t>April Lin</t>
        </is>
      </c>
      <c r="H123" s="22" t="n"/>
      <c r="I123" s="30" t="inlineStr">
        <is>
          <t>1:11.16</t>
        </is>
      </c>
      <c r="J123" s="22">
        <f>IF(I123="","",IF(ISNUMBER(SEARCH(":",I123)),VALUE(LEFT(I123,SEARCH(":",I123)-1))*60+VALUE(MID(I123,SEARCH(":",I123)+1,99)),VALUE(I123)))</f>
        <v/>
      </c>
      <c r="K123" s="30" t="inlineStr">
        <is>
          <t>30.09.26</t>
        </is>
      </c>
      <c r="L123" s="30" t="inlineStr">
        <is>
          <t>Updated through 2026 NZ Short Course Championships</t>
        </is>
      </c>
      <c r="M123" s="30" t="inlineStr">
        <is>
          <t>https://swimdadnz.github.io/NZSC_2026/NZSC_2026_meet_editorial_summary_final.html</t>
        </is>
      </c>
      <c r="N123" s="30" t="inlineStr">
        <is>
          <t>NO</t>
        </is>
      </c>
      <c r="O123" s="30" t="inlineStr">
        <is>
          <t>YES</t>
        </is>
      </c>
      <c r="P123" s="30" t="inlineStr">
        <is>
          <t>Natasha Lloyd</t>
        </is>
      </c>
      <c r="Q123" s="30" t="inlineStr">
        <is>
          <t>1:11.52</t>
        </is>
      </c>
      <c r="R123" s="22">
        <f>IF(Q123="","",IF(ISNUMBER(SEARCH(":",Q123)),VALUE(LEFT(Q123,SEARCH(":",Q123)-1))*60+VALUE(MID(Q123,SEARCH(":",Q123)+1,99)),VALUE(Q123)))</f>
        <v/>
      </c>
      <c r="S123" s="39">
        <f>IF(OR(J123="",R123=""),"",(R123-J123)/R123)</f>
        <v/>
      </c>
      <c r="T123" s="22">
        <f>IF(OR(P123&lt;&gt;"",N123="YES"),"YES","NO")</f>
        <v/>
      </c>
      <c r="U123" s="22">
        <f>IF(AND(O123="YES",T123="YES",S123&lt;&gt;""),COUNTIFS($C$5:$C$424,C123,$S$5:$S$424,"&gt;"&amp;S123)+COUNTIFS($C$5:C123,C123,$S$5:S123,S123),"")</f>
        <v/>
      </c>
      <c r="V123" s="22">
        <f>IF(U123="","",C123&amp;"|"&amp;U123)</f>
        <v/>
      </c>
      <c r="W123" s="30" t="inlineStr">
        <is>
          <t>NZSC 2026 update: Natasha Lloyd 1:11.52 became next-fastest.</t>
        </is>
      </c>
      <c r="X123" s="30" t="inlineStr">
        <is>
          <t>Auto-set from displaced NZ record after NZSC 2026.</t>
        </is>
      </c>
    </row>
    <row r="124" ht="15" customHeight="1" s="17">
      <c r="A124" s="30" t="inlineStr">
        <is>
          <t>NZ|SCM|F|13|200 Breast</t>
        </is>
      </c>
      <c r="B124" s="30" t="inlineStr">
        <is>
          <t>SCM</t>
        </is>
      </c>
      <c r="C124" s="30" t="inlineStr">
        <is>
          <t>Female</t>
        </is>
      </c>
      <c r="D124" s="30" t="n">
        <v>13</v>
      </c>
      <c r="E124" s="30" t="inlineStr">
        <is>
          <t>200 Breast</t>
        </is>
      </c>
      <c r="F124" s="30" t="inlineStr">
        <is>
          <t>April Lin</t>
        </is>
      </c>
      <c r="G124" s="22" t="inlineStr">
        <is>
          <t>April Lin</t>
        </is>
      </c>
      <c r="H124" s="22" t="n"/>
      <c r="I124" s="30" t="inlineStr">
        <is>
          <t>2:28.90</t>
        </is>
      </c>
      <c r="J124" s="22">
        <f>IF(I124="","",IF(ISNUMBER(SEARCH(":",I124)),VALUE(LEFT(I124,SEARCH(":",I124)-1))*60+VALUE(MID(I124,SEARCH(":",I124)+1,99)),VALUE(I124)))</f>
        <v/>
      </c>
      <c r="K124" s="30" t="inlineStr">
        <is>
          <t>27.09.26</t>
        </is>
      </c>
      <c r="L124" s="30" t="inlineStr">
        <is>
          <t>Updated through 2026 NZ Short Course Championships</t>
        </is>
      </c>
      <c r="M124" s="30" t="inlineStr">
        <is>
          <t>https://swimdadnz.github.io/NZSC_2026/NZSC_2026_meet_editorial_summary_final.html</t>
        </is>
      </c>
      <c r="N124" s="30" t="inlineStr">
        <is>
          <t>NO</t>
        </is>
      </c>
      <c r="O124" s="30" t="inlineStr">
        <is>
          <t>YES</t>
        </is>
      </c>
      <c r="P124" s="30" t="inlineStr">
        <is>
          <t>Brearna Crawford</t>
        </is>
      </c>
      <c r="Q124" s="30" t="inlineStr">
        <is>
          <t>2:32.93</t>
        </is>
      </c>
      <c r="R124" s="22">
        <f>IF(Q124="","",IF(ISNUMBER(SEARCH(":",Q124)),VALUE(LEFT(Q124,SEARCH(":",Q124)-1))*60+VALUE(MID(Q124,SEARCH(":",Q124)+1,99)),VALUE(Q124)))</f>
        <v/>
      </c>
      <c r="S124" s="39">
        <f>IF(OR(J124="",R124=""),"",(R124-J124)/R124)</f>
        <v/>
      </c>
      <c r="T124" s="22">
        <f>IF(OR(P124&lt;&gt;"",N124="YES"),"YES","NO")</f>
        <v/>
      </c>
      <c r="U124" s="22">
        <f>IF(AND(O124="YES",T124="YES",S124&lt;&gt;""),COUNTIFS($C$5:$C$424,C124,$S$5:$S$424,"&gt;"&amp;S124)+COUNTIFS($C$5:C124,C124,$S$5:S124,S124),"")</f>
        <v/>
      </c>
      <c r="V124" s="22">
        <f>IF(U124="","",C124&amp;"|"&amp;U124)</f>
        <v/>
      </c>
      <c r="W124" s="30" t="inlineStr">
        <is>
          <t>NZSC 2026 update: Brearna Crawford 2:32.93 became next-fastest.</t>
        </is>
      </c>
      <c r="X124" s="30" t="inlineStr">
        <is>
          <t>Auto-set from displaced NZ record after NZSC 2026.</t>
        </is>
      </c>
    </row>
    <row r="125" ht="15" customHeight="1" s="17">
      <c r="A125" s="30" t="inlineStr">
        <is>
          <t>NZ|SCM|F|13|50 Fly</t>
        </is>
      </c>
      <c r="B125" s="30" t="inlineStr">
        <is>
          <t>SCM</t>
        </is>
      </c>
      <c r="C125" s="30" t="inlineStr">
        <is>
          <t>Female</t>
        </is>
      </c>
      <c r="D125" s="30" t="n">
        <v>13</v>
      </c>
      <c r="E125" s="30" t="inlineStr">
        <is>
          <t>50 Fly</t>
        </is>
      </c>
      <c r="F125" s="30" t="inlineStr">
        <is>
          <t>Milan Glintmeyer</t>
        </is>
      </c>
      <c r="G125" s="22" t="inlineStr">
        <is>
          <t>Milan Glintmeyer</t>
        </is>
      </c>
      <c r="H125" s="22" t="n"/>
      <c r="I125" s="30" t="inlineStr">
        <is>
          <t>27.89</t>
        </is>
      </c>
      <c r="J125" s="22">
        <f>IF(I125="","",IF(ISNUMBER(SEARCH(":",I125)),VALUE(LEFT(I125,SEARCH(":",I125)-1))*60+VALUE(MID(I125,SEARCH(":",I125)+1,99)),VALUE(I125)))</f>
        <v/>
      </c>
      <c r="K125" s="30" t="inlineStr">
        <is>
          <t>11.06.22</t>
        </is>
      </c>
      <c r="L125" s="30" t="inlineStr">
        <is>
          <t>Swimming New Zealand Short Course Records by Age - user-supplied PDF</t>
        </is>
      </c>
      <c r="M125" s="30" t="n"/>
      <c r="N125" s="30" t="inlineStr">
        <is>
          <t>NO</t>
        </is>
      </c>
      <c r="O125" s="30" t="inlineStr">
        <is>
          <t>YES</t>
        </is>
      </c>
      <c r="P125" s="30" t="n"/>
      <c r="Q125" s="30" t="inlineStr">
        <is>
          <t>28.37</t>
        </is>
      </c>
      <c r="R125" s="22">
        <f>IF(Q125="","",IF(ISNUMBER(SEARCH(":",Q125)),VALUE(LEFT(Q125,SEARCH(":",Q125)-1))*60+VALUE(MID(Q125,SEARCH(":",Q125)+1,99)),VALUE(Q125)))</f>
        <v/>
      </c>
      <c r="S125" s="39">
        <f>IF(OR(J125="",R125=""),"",(R125-J125)/R125)</f>
        <v/>
      </c>
      <c r="T125" s="22">
        <f>IF(OR(P125&lt;&gt;"",N125="YES"),"YES","NO")</f>
        <v/>
      </c>
      <c r="U125" s="22">
        <f>IF(AND(O125="YES",T125="YES",S125&lt;&gt;""),COUNTIFS($C$5:$C$424,C125,$S$5:$S$424,"&gt;"&amp;S125)+COUNTIFS($C$5:C125,C125,$S$5:S125,S125),"")</f>
        <v/>
      </c>
      <c r="V125" s="22">
        <f>IF(U125="","",C125&amp;"|"&amp;U125)</f>
        <v/>
      </c>
      <c r="W125" s="30" t="n"/>
      <c r="X125" s="30" t="inlineStr">
        <is>
          <t>Next-fastest time supplied in user workbook; swimmer name not yet supplied.</t>
        </is>
      </c>
    </row>
    <row r="126" ht="15" customHeight="1" s="17">
      <c r="A126" s="30" t="inlineStr">
        <is>
          <t>NZ|SCM|F|13|100 Fly</t>
        </is>
      </c>
      <c r="B126" s="30" t="inlineStr">
        <is>
          <t>SCM</t>
        </is>
      </c>
      <c r="C126" s="30" t="inlineStr">
        <is>
          <t>Female</t>
        </is>
      </c>
      <c r="D126" s="30" t="n">
        <v>13</v>
      </c>
      <c r="E126" s="30" t="inlineStr">
        <is>
          <t>100 Fly</t>
        </is>
      </c>
      <c r="F126" s="30" t="inlineStr">
        <is>
          <t>Milan Glintmeyer</t>
        </is>
      </c>
      <c r="G126" s="22" t="inlineStr">
        <is>
          <t>Milan Glintmeyer</t>
        </is>
      </c>
      <c r="H126" s="22" t="n"/>
      <c r="I126" s="30" t="inlineStr">
        <is>
          <t>1:02.02</t>
        </is>
      </c>
      <c r="J126" s="22">
        <f>IF(I126="","",IF(ISNUMBER(SEARCH(":",I126)),VALUE(LEFT(I126,SEARCH(":",I126)-1))*60+VALUE(MID(I126,SEARCH(":",I126)+1,99)),VALUE(I126)))</f>
        <v/>
      </c>
      <c r="K126" s="30" t="inlineStr">
        <is>
          <t>30.07.22</t>
        </is>
      </c>
      <c r="L126" s="30" t="inlineStr">
        <is>
          <t>Swimming New Zealand Short Course Records by Age - user-supplied PDF</t>
        </is>
      </c>
      <c r="M126" s="30" t="n"/>
      <c r="N126" s="30" t="inlineStr">
        <is>
          <t>NO</t>
        </is>
      </c>
      <c r="O126" s="30" t="inlineStr">
        <is>
          <t>YES</t>
        </is>
      </c>
      <c r="P126" s="30" t="n"/>
      <c r="Q126" s="30" t="inlineStr">
        <is>
          <t>1:02.96</t>
        </is>
      </c>
      <c r="R126" s="22">
        <f>IF(Q126="","",IF(ISNUMBER(SEARCH(":",Q126)),VALUE(LEFT(Q126,SEARCH(":",Q126)-1))*60+VALUE(MID(Q126,SEARCH(":",Q126)+1,99)),VALUE(Q126)))</f>
        <v/>
      </c>
      <c r="S126" s="39">
        <f>IF(OR(J126="",R126=""),"",(R126-J126)/R126)</f>
        <v/>
      </c>
      <c r="T126" s="22">
        <f>IF(OR(P126&lt;&gt;"",N126="YES"),"YES","NO")</f>
        <v/>
      </c>
      <c r="U126" s="22">
        <f>IF(AND(O126="YES",T126="YES",S126&lt;&gt;""),COUNTIFS($C$5:$C$424,C126,$S$5:$S$424,"&gt;"&amp;S126)+COUNTIFS($C$5:C126,C126,$S$5:S126,S126),"")</f>
        <v/>
      </c>
      <c r="V126" s="22">
        <f>IF(U126="","",C126&amp;"|"&amp;U126)</f>
        <v/>
      </c>
      <c r="W126" s="30" t="n"/>
      <c r="X126" s="30" t="inlineStr">
        <is>
          <t>Next-fastest time supplied in user workbook; swimmer name not yet supplied.</t>
        </is>
      </c>
    </row>
    <row r="127" ht="15" customHeight="1" s="17">
      <c r="A127" s="30" t="inlineStr">
        <is>
          <t>NZ|SCM|F|13|200 Fly</t>
        </is>
      </c>
      <c r="B127" s="30" t="inlineStr">
        <is>
          <t>SCM</t>
        </is>
      </c>
      <c r="C127" s="30" t="inlineStr">
        <is>
          <t>Female</t>
        </is>
      </c>
      <c r="D127" s="30" t="n">
        <v>13</v>
      </c>
      <c r="E127" s="30" t="inlineStr">
        <is>
          <t>200 Fly</t>
        </is>
      </c>
      <c r="F127" s="30" t="inlineStr">
        <is>
          <t>Paige Schendelaar-Kemp</t>
        </is>
      </c>
      <c r="G127" s="22" t="inlineStr">
        <is>
          <t>Paige Schendelaar-Kemp</t>
        </is>
      </c>
      <c r="H127" s="22" t="n"/>
      <c r="I127" s="30" t="inlineStr">
        <is>
          <t>2:17.80</t>
        </is>
      </c>
      <c r="J127" s="22">
        <f>IF(I127="","",IF(ISNUMBER(SEARCH(":",I127)),VALUE(LEFT(I127,SEARCH(":",I127)-1))*60+VALUE(MID(I127,SEARCH(":",I127)+1,99)),VALUE(I127)))</f>
        <v/>
      </c>
      <c r="K127" s="30" t="inlineStr">
        <is>
          <t>01.07.12</t>
        </is>
      </c>
      <c r="L127" s="30" t="inlineStr">
        <is>
          <t>Swimming New Zealand Short Course Records by Age - user-supplied PDF</t>
        </is>
      </c>
      <c r="M127" s="30" t="n"/>
      <c r="N127" s="30" t="inlineStr">
        <is>
          <t>NO</t>
        </is>
      </c>
      <c r="O127" s="30" t="inlineStr">
        <is>
          <t>YES</t>
        </is>
      </c>
      <c r="P127" s="30" t="n"/>
      <c r="Q127" s="30" t="inlineStr">
        <is>
          <t>2:18.28</t>
        </is>
      </c>
      <c r="R127" s="22">
        <f>IF(Q127="","",IF(ISNUMBER(SEARCH(":",Q127)),VALUE(LEFT(Q127,SEARCH(":",Q127)-1))*60+VALUE(MID(Q127,SEARCH(":",Q127)+1,99)),VALUE(Q127)))</f>
        <v/>
      </c>
      <c r="S127" s="39">
        <f>IF(OR(J127="",R127=""),"",(R127-J127)/R127)</f>
        <v/>
      </c>
      <c r="T127" s="22">
        <f>IF(OR(P127&lt;&gt;"",N127="YES"),"YES","NO")</f>
        <v/>
      </c>
      <c r="U127" s="22">
        <f>IF(AND(O127="YES",T127="YES",S127&lt;&gt;""),COUNTIFS($C$5:$C$424,C127,$S$5:$S$424,"&gt;"&amp;S127)+COUNTIFS($C$5:C127,C127,$S$5:S127,S127),"")</f>
        <v/>
      </c>
      <c r="V127" s="22">
        <f>IF(U127="","",C127&amp;"|"&amp;U127)</f>
        <v/>
      </c>
      <c r="W127" s="30" t="n"/>
      <c r="X127" s="30" t="inlineStr">
        <is>
          <t>Next-fastest time supplied in user workbook; swimmer name not yet supplied.</t>
        </is>
      </c>
    </row>
    <row r="128" ht="15" customHeight="1" s="17">
      <c r="A128" s="30" t="inlineStr">
        <is>
          <t>NZ|SCM|F|13|100 IM</t>
        </is>
      </c>
      <c r="B128" s="30" t="inlineStr">
        <is>
          <t>SCM</t>
        </is>
      </c>
      <c r="C128" s="30" t="inlineStr">
        <is>
          <t>Female</t>
        </is>
      </c>
      <c r="D128" s="30" t="n">
        <v>13</v>
      </c>
      <c r="E128" s="30" t="inlineStr">
        <is>
          <t>100 IM</t>
        </is>
      </c>
      <c r="F128" s="30" t="inlineStr">
        <is>
          <t>April Lin</t>
        </is>
      </c>
      <c r="G128" s="22" t="inlineStr">
        <is>
          <t>April Lin</t>
        </is>
      </c>
      <c r="H128" s="22" t="n"/>
      <c r="I128" s="30" t="inlineStr">
        <is>
          <t>1:04.71</t>
        </is>
      </c>
      <c r="J128" s="22">
        <f>IF(I128="","",IF(ISNUMBER(SEARCH(":",I128)),VALUE(LEFT(I128,SEARCH(":",I128)-1))*60+VALUE(MID(I128,SEARCH(":",I128)+1,99)),VALUE(I128)))</f>
        <v/>
      </c>
      <c r="K128" s="30" t="inlineStr">
        <is>
          <t>27.09.26</t>
        </is>
      </c>
      <c r="L128" s="30" t="inlineStr">
        <is>
          <t>Updated through 2026 NZ Short Course Championships</t>
        </is>
      </c>
      <c r="M128" s="30" t="inlineStr">
        <is>
          <t>https://swimdadnz.github.io/NZSC_2026/NZSC_2026_meet_editorial_summary_final.html</t>
        </is>
      </c>
      <c r="N128" s="30" t="inlineStr">
        <is>
          <t>NO</t>
        </is>
      </c>
      <c r="O128" s="30" t="inlineStr">
        <is>
          <t>YES</t>
        </is>
      </c>
      <c r="P128" s="30" t="inlineStr">
        <is>
          <t>Milan Glintmeyer</t>
        </is>
      </c>
      <c r="Q128" s="30" t="inlineStr">
        <is>
          <t>1:05.08</t>
        </is>
      </c>
      <c r="R128" s="22">
        <f>IF(Q128="","",IF(ISNUMBER(SEARCH(":",Q128)),VALUE(LEFT(Q128,SEARCH(":",Q128)-1))*60+VALUE(MID(Q128,SEARCH(":",Q128)+1,99)),VALUE(Q128)))</f>
        <v/>
      </c>
      <c r="S128" s="39">
        <f>IF(OR(J128="",R128=""),"",(R128-J128)/R128)</f>
        <v/>
      </c>
      <c r="T128" s="22">
        <f>IF(OR(P128&lt;&gt;"",N128="YES"),"YES","NO")</f>
        <v/>
      </c>
      <c r="U128" s="22">
        <f>IF(AND(O128="YES",T128="YES",S128&lt;&gt;""),COUNTIFS($C$5:$C$424,C128,$S$5:$S$424,"&gt;"&amp;S128)+COUNTIFS($C$5:C128,C128,$S$5:S128,S128),"")</f>
        <v/>
      </c>
      <c r="V128" s="22">
        <f>IF(U128="","",C128&amp;"|"&amp;U128)</f>
        <v/>
      </c>
      <c r="W128" s="30" t="inlineStr">
        <is>
          <t>NZSC 2026 update: Milan Glintmeyer 1:05.08 became next-fastest.</t>
        </is>
      </c>
      <c r="X128" s="30" t="inlineStr">
        <is>
          <t>Auto-set from displaced NZ record after NZSC 2026.</t>
        </is>
      </c>
    </row>
    <row r="129" ht="15" customHeight="1" s="17">
      <c r="A129" s="30" t="inlineStr">
        <is>
          <t>NZ|SCM|F|13|200 IM</t>
        </is>
      </c>
      <c r="B129" s="30" t="inlineStr">
        <is>
          <t>SCM</t>
        </is>
      </c>
      <c r="C129" s="30" t="inlineStr">
        <is>
          <t>Female</t>
        </is>
      </c>
      <c r="D129" s="30" t="n">
        <v>13</v>
      </c>
      <c r="E129" s="30" t="inlineStr">
        <is>
          <t>200 IM</t>
        </is>
      </c>
      <c r="F129" s="30" t="inlineStr">
        <is>
          <t>Mya Rasmussen</t>
        </is>
      </c>
      <c r="G129" s="22" t="inlineStr">
        <is>
          <t>Mya Rasmussen</t>
        </is>
      </c>
      <c r="H129" s="22" t="n"/>
      <c r="I129" s="30" t="inlineStr">
        <is>
          <t>2:20.37</t>
        </is>
      </c>
      <c r="J129" s="22">
        <f>IF(I129="","",IF(ISNUMBER(SEARCH(":",I129)),VALUE(LEFT(I129,SEARCH(":",I129)-1))*60+VALUE(MID(I129,SEARCH(":",I129)+1,99)),VALUE(I129)))</f>
        <v/>
      </c>
      <c r="K129" s="30" t="inlineStr">
        <is>
          <t>02.10.13</t>
        </is>
      </c>
      <c r="L129" s="30" t="inlineStr">
        <is>
          <t>Swimming New Zealand Short Course Records by Age - user-supplied PDF</t>
        </is>
      </c>
      <c r="M129" s="30" t="n"/>
      <c r="N129" s="30" t="inlineStr">
        <is>
          <t>NO</t>
        </is>
      </c>
      <c r="O129" s="30" t="inlineStr">
        <is>
          <t>YES</t>
        </is>
      </c>
      <c r="P129" s="30" t="n"/>
      <c r="Q129" s="30" t="inlineStr">
        <is>
          <t>2:21.09</t>
        </is>
      </c>
      <c r="R129" s="22">
        <f>IF(Q129="","",IF(ISNUMBER(SEARCH(":",Q129)),VALUE(LEFT(Q129,SEARCH(":",Q129)-1))*60+VALUE(MID(Q129,SEARCH(":",Q129)+1,99)),VALUE(Q129)))</f>
        <v/>
      </c>
      <c r="S129" s="39">
        <f>IF(OR(J129="",R129=""),"",(R129-J129)/R129)</f>
        <v/>
      </c>
      <c r="T129" s="22">
        <f>IF(OR(P129&lt;&gt;"",N129="YES"),"YES","NO")</f>
        <v/>
      </c>
      <c r="U129" s="22">
        <f>IF(AND(O129="YES",T129="YES",S129&lt;&gt;""),COUNTIFS($C$5:$C$424,C129,$S$5:$S$424,"&gt;"&amp;S129)+COUNTIFS($C$5:C129,C129,$S$5:S129,S129),"")</f>
        <v/>
      </c>
      <c r="V129" s="22">
        <f>IF(U129="","",C129&amp;"|"&amp;U129)</f>
        <v/>
      </c>
      <c r="W129" s="30" t="n"/>
      <c r="X129" s="30" t="inlineStr">
        <is>
          <t>Next-fastest time supplied in user workbook; swimmer name not yet supplied.</t>
        </is>
      </c>
    </row>
    <row r="130" ht="15" customHeight="1" s="17">
      <c r="A130" s="30" t="inlineStr">
        <is>
          <t>NZ|SCM|F|13|400 IM</t>
        </is>
      </c>
      <c r="B130" s="30" t="inlineStr">
        <is>
          <t>SCM</t>
        </is>
      </c>
      <c r="C130" s="30" t="inlineStr">
        <is>
          <t>Female</t>
        </is>
      </c>
      <c r="D130" s="30" t="n">
        <v>13</v>
      </c>
      <c r="E130" s="30" t="inlineStr">
        <is>
          <t>400 IM</t>
        </is>
      </c>
      <c r="F130" s="30" t="inlineStr">
        <is>
          <t>Erika Fairweather</t>
        </is>
      </c>
      <c r="G130" s="22" t="inlineStr">
        <is>
          <t>Erika Fairweather</t>
        </is>
      </c>
      <c r="H130" s="22" t="n"/>
      <c r="I130" s="30" t="inlineStr">
        <is>
          <t>4:55.18</t>
        </is>
      </c>
      <c r="J130" s="22">
        <f>IF(I130="","",IF(ISNUMBER(SEARCH(":",I130)),VALUE(LEFT(I130,SEARCH(":",I130)-1))*60+VALUE(MID(I130,SEARCH(":",I130)+1,99)),VALUE(I130)))</f>
        <v/>
      </c>
      <c r="K130" s="30" t="inlineStr">
        <is>
          <t>06.10.17</t>
        </is>
      </c>
      <c r="L130" s="30" t="inlineStr">
        <is>
          <t>Swimming New Zealand Short Course Records by Age - user-supplied PDF</t>
        </is>
      </c>
      <c r="M130" s="30" t="n"/>
      <c r="N130" s="30" t="inlineStr">
        <is>
          <t>NO</t>
        </is>
      </c>
      <c r="O130" s="30" t="inlineStr">
        <is>
          <t>YES</t>
        </is>
      </c>
      <c r="P130" s="30" t="n"/>
      <c r="Q130" s="30" t="inlineStr">
        <is>
          <t>4:58.09</t>
        </is>
      </c>
      <c r="R130" s="22">
        <f>IF(Q130="","",IF(ISNUMBER(SEARCH(":",Q130)),VALUE(LEFT(Q130,SEARCH(":",Q130)-1))*60+VALUE(MID(Q130,SEARCH(":",Q130)+1,99)),VALUE(Q130)))</f>
        <v/>
      </c>
      <c r="S130" s="39">
        <f>IF(OR(J130="",R130=""),"",(R130-J130)/R130)</f>
        <v/>
      </c>
      <c r="T130" s="22">
        <f>IF(OR(P130&lt;&gt;"",N130="YES"),"YES","NO")</f>
        <v/>
      </c>
      <c r="U130" s="22">
        <f>IF(AND(O130="YES",T130="YES",S130&lt;&gt;""),COUNTIFS($C$5:$C$424,C130,$S$5:$S$424,"&gt;"&amp;S130)+COUNTIFS($C$5:C130,C130,$S$5:S130,S130),"")</f>
        <v/>
      </c>
      <c r="V130" s="22">
        <f>IF(U130="","",C130&amp;"|"&amp;U130)</f>
        <v/>
      </c>
      <c r="W130" s="30" t="n"/>
      <c r="X130" s="30" t="inlineStr">
        <is>
          <t>Next-fastest time supplied in user workbook; swimmer name not yet supplied.</t>
        </is>
      </c>
    </row>
    <row r="131" ht="15" customHeight="1" s="17">
      <c r="A131" s="30" t="inlineStr">
        <is>
          <t>NZ|SCM|F|14|50 Free</t>
        </is>
      </c>
      <c r="B131" s="30" t="inlineStr">
        <is>
          <t>SCM</t>
        </is>
      </c>
      <c r="C131" s="30" t="inlineStr">
        <is>
          <t>Female</t>
        </is>
      </c>
      <c r="D131" s="30" t="n">
        <v>14</v>
      </c>
      <c r="E131" s="30" t="inlineStr">
        <is>
          <t>50 Free</t>
        </is>
      </c>
      <c r="F131" s="30" t="inlineStr">
        <is>
          <t>Gabrielle Fa'amausili</t>
        </is>
      </c>
      <c r="G131" s="22" t="inlineStr">
        <is>
          <t>Gabrielle Fa'amausili</t>
        </is>
      </c>
      <c r="H131" s="22" t="n"/>
      <c r="I131" s="30" t="inlineStr">
        <is>
          <t>25.08</t>
        </is>
      </c>
      <c r="J131" s="22">
        <f>IF(I131="","",IF(ISNUMBER(SEARCH(":",I131)),VALUE(LEFT(I131,SEARCH(":",I131)-1))*60+VALUE(MID(I131,SEARCH(":",I131)+1,99)),VALUE(I131)))</f>
        <v/>
      </c>
      <c r="K131" s="30" t="inlineStr">
        <is>
          <t>04.09.14</t>
        </is>
      </c>
      <c r="L131" s="30" t="inlineStr">
        <is>
          <t>Swimming New Zealand Short Course Records by Age - user-supplied PDF</t>
        </is>
      </c>
      <c r="M131" s="30" t="n"/>
      <c r="N131" s="30" t="inlineStr">
        <is>
          <t>NO</t>
        </is>
      </c>
      <c r="O131" s="30" t="inlineStr">
        <is>
          <t>YES</t>
        </is>
      </c>
      <c r="P131" s="30" t="n"/>
      <c r="Q131" s="30" t="inlineStr">
        <is>
          <t>25.78</t>
        </is>
      </c>
      <c r="R131" s="22">
        <f>IF(Q131="","",IF(ISNUMBER(SEARCH(":",Q131)),VALUE(LEFT(Q131,SEARCH(":",Q131)-1))*60+VALUE(MID(Q131,SEARCH(":",Q131)+1,99)),VALUE(Q131)))</f>
        <v/>
      </c>
      <c r="S131" s="39">
        <f>IF(OR(J131="",R131=""),"",(R131-J131)/R131)</f>
        <v/>
      </c>
      <c r="T131" s="22">
        <f>IF(OR(P131&lt;&gt;"",N131="YES"),"YES","NO")</f>
        <v/>
      </c>
      <c r="U131" s="22">
        <f>IF(AND(O131="YES",T131="YES",S131&lt;&gt;""),COUNTIFS($C$5:$C$424,C131,$S$5:$S$424,"&gt;"&amp;S131)+COUNTIFS($C$5:C131,C131,$S$5:S131,S131),"")</f>
        <v/>
      </c>
      <c r="V131" s="22">
        <f>IF(U131="","",C131&amp;"|"&amp;U131)</f>
        <v/>
      </c>
      <c r="W131" s="30" t="n"/>
      <c r="X131" s="30" t="inlineStr">
        <is>
          <t>Next-fastest time supplied in user workbook; swimmer name not yet supplied.</t>
        </is>
      </c>
    </row>
    <row r="132" ht="15" customHeight="1" s="17">
      <c r="A132" s="30" t="inlineStr">
        <is>
          <t>NZ|SCM|F|14|100 Free</t>
        </is>
      </c>
      <c r="B132" s="30" t="inlineStr">
        <is>
          <t>SCM</t>
        </is>
      </c>
      <c r="C132" s="30" t="inlineStr">
        <is>
          <t>Female</t>
        </is>
      </c>
      <c r="D132" s="30" t="n">
        <v>14</v>
      </c>
      <c r="E132" s="30" t="inlineStr">
        <is>
          <t>100 Free</t>
        </is>
      </c>
      <c r="F132" s="30" t="inlineStr">
        <is>
          <t>Laura Littlejohn</t>
        </is>
      </c>
      <c r="G132" s="22" t="inlineStr">
        <is>
          <t>Laura Littlejohn</t>
        </is>
      </c>
      <c r="H132" s="22" t="n"/>
      <c r="I132" s="30" t="inlineStr">
        <is>
          <t>55.80</t>
        </is>
      </c>
      <c r="J132" s="22">
        <f>IF(I132="","",IF(ISNUMBER(SEARCH(":",I132)),VALUE(LEFT(I132,SEARCH(":",I132)-1))*60+VALUE(MID(I132,SEARCH(":",I132)+1,99)),VALUE(I132)))</f>
        <v/>
      </c>
      <c r="K132" s="30" t="inlineStr">
        <is>
          <t>06.07.19</t>
        </is>
      </c>
      <c r="L132" s="30" t="inlineStr">
        <is>
          <t>Swimming New Zealand Short Course Records by Age - user-supplied PDF</t>
        </is>
      </c>
      <c r="M132" s="30" t="n"/>
      <c r="N132" s="30" t="inlineStr">
        <is>
          <t>NO</t>
        </is>
      </c>
      <c r="O132" s="30" t="inlineStr">
        <is>
          <t>YES</t>
        </is>
      </c>
      <c r="P132" s="30" t="n"/>
      <c r="Q132" s="30" t="inlineStr">
        <is>
          <t>56.05</t>
        </is>
      </c>
      <c r="R132" s="22">
        <f>IF(Q132="","",IF(ISNUMBER(SEARCH(":",Q132)),VALUE(LEFT(Q132,SEARCH(":",Q132)-1))*60+VALUE(MID(Q132,SEARCH(":",Q132)+1,99)),VALUE(Q132)))</f>
        <v/>
      </c>
      <c r="S132" s="39">
        <f>IF(OR(J132="",R132=""),"",(R132-J132)/R132)</f>
        <v/>
      </c>
      <c r="T132" s="22">
        <f>IF(OR(P132&lt;&gt;"",N132="YES"),"YES","NO")</f>
        <v/>
      </c>
      <c r="U132" s="22">
        <f>IF(AND(O132="YES",T132="YES",S132&lt;&gt;""),COUNTIFS($C$5:$C$424,C132,$S$5:$S$424,"&gt;"&amp;S132)+COUNTIFS($C$5:C132,C132,$S$5:S132,S132),"")</f>
        <v/>
      </c>
      <c r="V132" s="22">
        <f>IF(U132="","",C132&amp;"|"&amp;U132)</f>
        <v/>
      </c>
      <c r="W132" s="30" t="n"/>
      <c r="X132" s="30" t="inlineStr">
        <is>
          <t>Next-fastest time supplied in user workbook; swimmer name not yet supplied.</t>
        </is>
      </c>
    </row>
    <row r="133" ht="15" customHeight="1" s="17">
      <c r="A133" s="30" t="inlineStr">
        <is>
          <t>NZ|SCM|F|14|200 Free</t>
        </is>
      </c>
      <c r="B133" s="30" t="inlineStr">
        <is>
          <t>SCM</t>
        </is>
      </c>
      <c r="C133" s="30" t="inlineStr">
        <is>
          <t>Female</t>
        </is>
      </c>
      <c r="D133" s="30" t="n">
        <v>14</v>
      </c>
      <c r="E133" s="30" t="inlineStr">
        <is>
          <t>200 Free</t>
        </is>
      </c>
      <c r="F133" s="30" t="inlineStr">
        <is>
          <t>Sophia Batchelor</t>
        </is>
      </c>
      <c r="G133" s="22" t="inlineStr">
        <is>
          <t>Sophia Batchelor</t>
        </is>
      </c>
      <c r="H133" s="22" t="n"/>
      <c r="I133" s="30" t="inlineStr">
        <is>
          <t>2:01.94</t>
        </is>
      </c>
      <c r="J133" s="22">
        <f>IF(I133="","",IF(ISNUMBER(SEARCH(":",I133)),VALUE(LEFT(I133,SEARCH(":",I133)-1))*60+VALUE(MID(I133,SEARCH(":",I133)+1,99)),VALUE(I133)))</f>
        <v/>
      </c>
      <c r="K133" s="30" t="inlineStr">
        <is>
          <t>30.09.09</t>
        </is>
      </c>
      <c r="L133" s="30" t="inlineStr">
        <is>
          <t>Swimming New Zealand Short Course Records by Age - user-supplied PDF</t>
        </is>
      </c>
      <c r="M133" s="30" t="n"/>
      <c r="N133" s="30" t="inlineStr">
        <is>
          <t>NO</t>
        </is>
      </c>
      <c r="O133" s="30" t="inlineStr">
        <is>
          <t>YES</t>
        </is>
      </c>
      <c r="P133" s="30" t="n"/>
      <c r="Q133" s="30" t="inlineStr">
        <is>
          <t>2:02.00</t>
        </is>
      </c>
      <c r="R133" s="22">
        <f>IF(Q133="","",IF(ISNUMBER(SEARCH(":",Q133)),VALUE(LEFT(Q133,SEARCH(":",Q133)-1))*60+VALUE(MID(Q133,SEARCH(":",Q133)+1,99)),VALUE(Q133)))</f>
        <v/>
      </c>
      <c r="S133" s="39">
        <f>IF(OR(J133="",R133=""),"",(R133-J133)/R133)</f>
        <v/>
      </c>
      <c r="T133" s="22">
        <f>IF(OR(P133&lt;&gt;"",N133="YES"),"YES","NO")</f>
        <v/>
      </c>
      <c r="U133" s="22">
        <f>IF(AND(O133="YES",T133="YES",S133&lt;&gt;""),COUNTIFS($C$5:$C$424,C133,$S$5:$S$424,"&gt;"&amp;S133)+COUNTIFS($C$5:C133,C133,$S$5:S133,S133),"")</f>
        <v/>
      </c>
      <c r="V133" s="22">
        <f>IF(U133="","",C133&amp;"|"&amp;U133)</f>
        <v/>
      </c>
      <c r="W133" s="30" t="n"/>
      <c r="X133" s="30" t="inlineStr">
        <is>
          <t>Next-fastest time supplied in user workbook; swimmer name not yet supplied.</t>
        </is>
      </c>
    </row>
    <row r="134" ht="15" customHeight="1" s="17">
      <c r="A134" s="30" t="inlineStr">
        <is>
          <t>NZ|SCM|F|14|400 Free</t>
        </is>
      </c>
      <c r="B134" s="30" t="inlineStr">
        <is>
          <t>SCM</t>
        </is>
      </c>
      <c r="C134" s="30" t="inlineStr">
        <is>
          <t>Female</t>
        </is>
      </c>
      <c r="D134" s="30" t="n">
        <v>14</v>
      </c>
      <c r="E134" s="30" t="inlineStr">
        <is>
          <t>400 Free</t>
        </is>
      </c>
      <c r="F134" s="30" t="inlineStr">
        <is>
          <t>Erika Fairweather</t>
        </is>
      </c>
      <c r="G134" s="22" t="inlineStr">
        <is>
          <t>Erika Fairweather</t>
        </is>
      </c>
      <c r="H134" s="22" t="n"/>
      <c r="I134" s="30" t="inlineStr">
        <is>
          <t>4:14.76</t>
        </is>
      </c>
      <c r="J134" s="22">
        <f>IF(I134="","",IF(ISNUMBER(SEARCH(":",I134)),VALUE(LEFT(I134,SEARCH(":",I134)-1))*60+VALUE(MID(I134,SEARCH(":",I134)+1,99)),VALUE(I134)))</f>
        <v/>
      </c>
      <c r="K134" s="30" t="inlineStr">
        <is>
          <t>11.08.18</t>
        </is>
      </c>
      <c r="L134" s="30" t="inlineStr">
        <is>
          <t>Swimming New Zealand Short Course Records by Age - user-supplied PDF</t>
        </is>
      </c>
      <c r="M134" s="30" t="n"/>
      <c r="N134" s="30" t="inlineStr">
        <is>
          <t>NO</t>
        </is>
      </c>
      <c r="O134" s="30" t="inlineStr">
        <is>
          <t>YES</t>
        </is>
      </c>
      <c r="P134" s="30" t="n"/>
      <c r="Q134" s="30" t="inlineStr">
        <is>
          <t>4:15.38</t>
        </is>
      </c>
      <c r="R134" s="22">
        <f>IF(Q134="","",IF(ISNUMBER(SEARCH(":",Q134)),VALUE(LEFT(Q134,SEARCH(":",Q134)-1))*60+VALUE(MID(Q134,SEARCH(":",Q134)+1,99)),VALUE(Q134)))</f>
        <v/>
      </c>
      <c r="S134" s="39">
        <f>IF(OR(J134="",R134=""),"",(R134-J134)/R134)</f>
        <v/>
      </c>
      <c r="T134" s="22">
        <f>IF(OR(P134&lt;&gt;"",N134="YES"),"YES","NO")</f>
        <v/>
      </c>
      <c r="U134" s="22">
        <f>IF(AND(O134="YES",T134="YES",S134&lt;&gt;""),COUNTIFS($C$5:$C$424,C134,$S$5:$S$424,"&gt;"&amp;S134)+COUNTIFS($C$5:C134,C134,$S$5:S134,S134),"")</f>
        <v/>
      </c>
      <c r="V134" s="22">
        <f>IF(U134="","",C134&amp;"|"&amp;U134)</f>
        <v/>
      </c>
      <c r="W134" s="30" t="n"/>
      <c r="X134" s="30" t="inlineStr">
        <is>
          <t>Next-fastest time supplied in user workbook; swimmer name not yet supplied.</t>
        </is>
      </c>
    </row>
    <row r="135" ht="15" customHeight="1" s="17">
      <c r="A135" s="30" t="inlineStr">
        <is>
          <t>NZ|SCM|F|14|800 Free</t>
        </is>
      </c>
      <c r="B135" s="30" t="inlineStr">
        <is>
          <t>SCM</t>
        </is>
      </c>
      <c r="C135" s="30" t="inlineStr">
        <is>
          <t>Female</t>
        </is>
      </c>
      <c r="D135" s="30" t="n">
        <v>14</v>
      </c>
      <c r="E135" s="30" t="inlineStr">
        <is>
          <t>800 Free</t>
        </is>
      </c>
      <c r="F135" s="30" t="inlineStr">
        <is>
          <t>Laura Baker</t>
        </is>
      </c>
      <c r="G135" s="22" t="inlineStr">
        <is>
          <t>Laura Baker</t>
        </is>
      </c>
      <c r="H135" s="22" t="n"/>
      <c r="I135" s="30" t="inlineStr">
        <is>
          <t>8:46.24</t>
        </is>
      </c>
      <c r="J135" s="22">
        <f>IF(I135="","",IF(ISNUMBER(SEARCH(":",I135)),VALUE(LEFT(I135,SEARCH(":",I135)-1))*60+VALUE(MID(I135,SEARCH(":",I135)+1,99)),VALUE(I135)))</f>
        <v/>
      </c>
      <c r="K135" s="30" t="inlineStr">
        <is>
          <t>11.07.08</t>
        </is>
      </c>
      <c r="L135" s="30" t="inlineStr">
        <is>
          <t>Swimming New Zealand Short Course Records by Age - user-supplied PDF</t>
        </is>
      </c>
      <c r="M135" s="30" t="n"/>
      <c r="N135" s="30" t="inlineStr">
        <is>
          <t>NO</t>
        </is>
      </c>
      <c r="O135" s="30" t="inlineStr">
        <is>
          <t>YES</t>
        </is>
      </c>
      <c r="P135" s="30" t="n"/>
      <c r="Q135" s="30" t="inlineStr">
        <is>
          <t>8:54.70</t>
        </is>
      </c>
      <c r="R135" s="22">
        <f>IF(Q135="","",IF(ISNUMBER(SEARCH(":",Q135)),VALUE(LEFT(Q135,SEARCH(":",Q135)-1))*60+VALUE(MID(Q135,SEARCH(":",Q135)+1,99)),VALUE(Q135)))</f>
        <v/>
      </c>
      <c r="S135" s="39">
        <f>IF(OR(J135="",R135=""),"",(R135-J135)/R135)</f>
        <v/>
      </c>
      <c r="T135" s="22">
        <f>IF(OR(P135&lt;&gt;"",N135="YES"),"YES","NO")</f>
        <v/>
      </c>
      <c r="U135" s="22">
        <f>IF(AND(O135="YES",T135="YES",S135&lt;&gt;""),COUNTIFS($C$5:$C$424,C135,$S$5:$S$424,"&gt;"&amp;S135)+COUNTIFS($C$5:C135,C135,$S$5:S135,S135),"")</f>
        <v/>
      </c>
      <c r="V135" s="22">
        <f>IF(U135="","",C135&amp;"|"&amp;U135)</f>
        <v/>
      </c>
      <c r="W135" s="30" t="n"/>
      <c r="X135" s="30" t="inlineStr">
        <is>
          <t>Next-fastest time supplied in user workbook; swimmer name not yet supplied.</t>
        </is>
      </c>
    </row>
    <row r="136" ht="15" customHeight="1" s="17">
      <c r="A136" s="30" t="inlineStr">
        <is>
          <t>NZ|SCM|F|14|1500 Free</t>
        </is>
      </c>
      <c r="B136" s="30" t="inlineStr">
        <is>
          <t>SCM</t>
        </is>
      </c>
      <c r="C136" s="30" t="inlineStr">
        <is>
          <t>Female</t>
        </is>
      </c>
      <c r="D136" s="30" t="n">
        <v>14</v>
      </c>
      <c r="E136" s="30" t="inlineStr">
        <is>
          <t>1500 Free</t>
        </is>
      </c>
      <c r="F136" s="30" t="inlineStr">
        <is>
          <t>Nicole Goldsmid</t>
        </is>
      </c>
      <c r="G136" s="22" t="inlineStr">
        <is>
          <t>Nicole Goldsmid</t>
        </is>
      </c>
      <c r="H136" s="22" t="n"/>
      <c r="I136" s="30" t="inlineStr">
        <is>
          <t>17:05.16</t>
        </is>
      </c>
      <c r="J136" s="22">
        <f>IF(I136="","",IF(ISNUMBER(SEARCH(":",I136)),VALUE(LEFT(I136,SEARCH(":",I136)-1))*60+VALUE(MID(I136,SEARCH(":",I136)+1,99)),VALUE(I136)))</f>
        <v/>
      </c>
      <c r="K136" s="30" t="inlineStr">
        <is>
          <t>25.09.03</t>
        </is>
      </c>
      <c r="L136" s="30" t="inlineStr">
        <is>
          <t>Swimming New Zealand Short Course Records by Age - user-supplied PDF</t>
        </is>
      </c>
      <c r="M136" s="30" t="n"/>
      <c r="N136" s="30" t="inlineStr">
        <is>
          <t>NO</t>
        </is>
      </c>
      <c r="O136" s="30" t="inlineStr">
        <is>
          <t>YES</t>
        </is>
      </c>
      <c r="P136" s="30" t="n"/>
      <c r="Q136" s="30" t="inlineStr">
        <is>
          <t>17:08.01</t>
        </is>
      </c>
      <c r="R136" s="22">
        <f>IF(Q136="","",IF(ISNUMBER(SEARCH(":",Q136)),VALUE(LEFT(Q136,SEARCH(":",Q136)-1))*60+VALUE(MID(Q136,SEARCH(":",Q136)+1,99)),VALUE(Q136)))</f>
        <v/>
      </c>
      <c r="S136" s="39">
        <f>IF(OR(J136="",R136=""),"",(R136-J136)/R136)</f>
        <v/>
      </c>
      <c r="T136" s="22">
        <f>IF(OR(P136&lt;&gt;"",N136="YES"),"YES","NO")</f>
        <v/>
      </c>
      <c r="U136" s="22">
        <f>IF(AND(O136="YES",T136="YES",S136&lt;&gt;""),COUNTIFS($C$5:$C$424,C136,$S$5:$S$424,"&gt;"&amp;S136)+COUNTIFS($C$5:C136,C136,$S$5:S136,S136),"")</f>
        <v/>
      </c>
      <c r="V136" s="22">
        <f>IF(U136="","",C136&amp;"|"&amp;U136)</f>
        <v/>
      </c>
      <c r="W136" s="30" t="n"/>
      <c r="X136" s="30" t="inlineStr">
        <is>
          <t>Next-fastest time supplied in user workbook; swimmer name not yet supplied.</t>
        </is>
      </c>
    </row>
    <row r="137" ht="15" customHeight="1" s="17">
      <c r="A137" s="30" t="inlineStr">
        <is>
          <t>NZ|SCM|F|14|50 Back</t>
        </is>
      </c>
      <c r="B137" s="30" t="inlineStr">
        <is>
          <t>SCM</t>
        </is>
      </c>
      <c r="C137" s="30" t="inlineStr">
        <is>
          <t>Female</t>
        </is>
      </c>
      <c r="D137" s="30" t="n">
        <v>14</v>
      </c>
      <c r="E137" s="30" t="inlineStr">
        <is>
          <t>50 Back</t>
        </is>
      </c>
      <c r="F137" s="30" t="inlineStr">
        <is>
          <t>Gabrielle Fa'amausili</t>
        </is>
      </c>
      <c r="G137" s="22" t="inlineStr">
        <is>
          <t>Gabrielle Fa'amausili</t>
        </is>
      </c>
      <c r="H137" s="22" t="n"/>
      <c r="I137" s="30" t="inlineStr">
        <is>
          <t>27.95</t>
        </is>
      </c>
      <c r="J137" s="22">
        <f>IF(I137="","",IF(ISNUMBER(SEARCH(":",I137)),VALUE(LEFT(I137,SEARCH(":",I137)-1))*60+VALUE(MID(I137,SEARCH(":",I137)+1,99)),VALUE(I137)))</f>
        <v/>
      </c>
      <c r="K137" s="30" t="inlineStr">
        <is>
          <t>06.09.14</t>
        </is>
      </c>
      <c r="L137" s="30" t="inlineStr">
        <is>
          <t>Swimming New Zealand Short Course Records by Age - user-supplied PDF</t>
        </is>
      </c>
      <c r="M137" s="30" t="n"/>
      <c r="N137" s="30" t="inlineStr">
        <is>
          <t>NO</t>
        </is>
      </c>
      <c r="O137" s="30" t="inlineStr">
        <is>
          <t>YES</t>
        </is>
      </c>
      <c r="P137" s="30" t="n"/>
      <c r="Q137" s="30" t="inlineStr">
        <is>
          <t>28.10</t>
        </is>
      </c>
      <c r="R137" s="22">
        <f>IF(Q137="","",IF(ISNUMBER(SEARCH(":",Q137)),VALUE(LEFT(Q137,SEARCH(":",Q137)-1))*60+VALUE(MID(Q137,SEARCH(":",Q137)+1,99)),VALUE(Q137)))</f>
        <v/>
      </c>
      <c r="S137" s="39">
        <f>IF(OR(J137="",R137=""),"",(R137-J137)/R137)</f>
        <v/>
      </c>
      <c r="T137" s="22">
        <f>IF(OR(P137&lt;&gt;"",N137="YES"),"YES","NO")</f>
        <v/>
      </c>
      <c r="U137" s="22">
        <f>IF(AND(O137="YES",T137="YES",S137&lt;&gt;""),COUNTIFS($C$5:$C$424,C137,$S$5:$S$424,"&gt;"&amp;S137)+COUNTIFS($C$5:C137,C137,$S$5:S137,S137),"")</f>
        <v/>
      </c>
      <c r="V137" s="22">
        <f>IF(U137="","",C137&amp;"|"&amp;U137)</f>
        <v/>
      </c>
      <c r="W137" s="30" t="n"/>
      <c r="X137" s="30" t="inlineStr">
        <is>
          <t>Next-fastest time supplied in user workbook; swimmer name not yet supplied.</t>
        </is>
      </c>
    </row>
    <row r="138" ht="15" customHeight="1" s="17">
      <c r="A138" s="30" t="inlineStr">
        <is>
          <t>NZ|SCM|F|14|100 Back</t>
        </is>
      </c>
      <c r="B138" s="30" t="inlineStr">
        <is>
          <t>SCM</t>
        </is>
      </c>
      <c r="C138" s="30" t="inlineStr">
        <is>
          <t>Female</t>
        </is>
      </c>
      <c r="D138" s="30" t="n">
        <v>14</v>
      </c>
      <c r="E138" s="30" t="inlineStr">
        <is>
          <t>100 Back</t>
        </is>
      </c>
      <c r="F138" s="30" t="inlineStr">
        <is>
          <t>Gabrielle Fa'amausili</t>
        </is>
      </c>
      <c r="G138" s="22" t="inlineStr">
        <is>
          <t>Gabrielle Fa'amausili</t>
        </is>
      </c>
      <c r="H138" s="22" t="n"/>
      <c r="I138" s="30" t="inlineStr">
        <is>
          <t>59.73</t>
        </is>
      </c>
      <c r="J138" s="22">
        <f>IF(I138="","",IF(ISNUMBER(SEARCH(":",I138)),VALUE(LEFT(I138,SEARCH(":",I138)-1))*60+VALUE(MID(I138,SEARCH(":",I138)+1,99)),VALUE(I138)))</f>
        <v/>
      </c>
      <c r="K138" s="30" t="inlineStr">
        <is>
          <t>03.09.14</t>
        </is>
      </c>
      <c r="L138" s="30" t="inlineStr">
        <is>
          <t>Swimming New Zealand Short Course Records by Age - user-supplied PDF</t>
        </is>
      </c>
      <c r="M138" s="30" t="n"/>
      <c r="N138" s="30" t="inlineStr">
        <is>
          <t>NO</t>
        </is>
      </c>
      <c r="O138" s="30" t="inlineStr">
        <is>
          <t>YES</t>
        </is>
      </c>
      <c r="P138" s="30" t="n"/>
      <c r="Q138" s="30" t="inlineStr">
        <is>
          <t>1:00.32</t>
        </is>
      </c>
      <c r="R138" s="22">
        <f>IF(Q138="","",IF(ISNUMBER(SEARCH(":",Q138)),VALUE(LEFT(Q138,SEARCH(":",Q138)-1))*60+VALUE(MID(Q138,SEARCH(":",Q138)+1,99)),VALUE(Q138)))</f>
        <v/>
      </c>
      <c r="S138" s="39">
        <f>IF(OR(J138="",R138=""),"",(R138-J138)/R138)</f>
        <v/>
      </c>
      <c r="T138" s="22">
        <f>IF(OR(P138&lt;&gt;"",N138="YES"),"YES","NO")</f>
        <v/>
      </c>
      <c r="U138" s="22">
        <f>IF(AND(O138="YES",T138="YES",S138&lt;&gt;""),COUNTIFS($C$5:$C$424,C138,$S$5:$S$424,"&gt;"&amp;S138)+COUNTIFS($C$5:C138,C138,$S$5:S138,S138),"")</f>
        <v/>
      </c>
      <c r="V138" s="22">
        <f>IF(U138="","",C138&amp;"|"&amp;U138)</f>
        <v/>
      </c>
      <c r="W138" s="30" t="n"/>
      <c r="X138" s="30" t="inlineStr">
        <is>
          <t>Next-fastest time supplied in user workbook; swimmer name not yet supplied.</t>
        </is>
      </c>
    </row>
    <row r="139" ht="15" customHeight="1" s="17">
      <c r="A139" s="30" t="inlineStr">
        <is>
          <t>NZ|SCM|F|14|200 Back</t>
        </is>
      </c>
      <c r="B139" s="30" t="inlineStr">
        <is>
          <t>SCM</t>
        </is>
      </c>
      <c r="C139" s="30" t="inlineStr">
        <is>
          <t>Female</t>
        </is>
      </c>
      <c r="D139" s="30" t="n">
        <v>14</v>
      </c>
      <c r="E139" s="30" t="inlineStr">
        <is>
          <t>200 Back</t>
        </is>
      </c>
      <c r="F139" s="30" t="inlineStr">
        <is>
          <t>Bobbi Gichard</t>
        </is>
      </c>
      <c r="G139" s="22" t="inlineStr">
        <is>
          <t>Bobbi Gichard</t>
        </is>
      </c>
      <c r="H139" s="22" t="n"/>
      <c r="I139" s="30" t="inlineStr">
        <is>
          <t>2:07.38</t>
        </is>
      </c>
      <c r="J139" s="22">
        <f>IF(I139="","",IF(ISNUMBER(SEARCH(":",I139)),VALUE(LEFT(I139,SEARCH(":",I139)-1))*60+VALUE(MID(I139,SEARCH(":",I139)+1,99)),VALUE(I139)))</f>
        <v/>
      </c>
      <c r="K139" s="30" t="inlineStr">
        <is>
          <t>05.09.14</t>
        </is>
      </c>
      <c r="L139" s="30" t="inlineStr">
        <is>
          <t>Swimming New Zealand Short Course Records by Age - user-supplied PDF</t>
        </is>
      </c>
      <c r="M139" s="30" t="n"/>
      <c r="N139" s="30" t="inlineStr">
        <is>
          <t>NO</t>
        </is>
      </c>
      <c r="O139" s="30" t="inlineStr">
        <is>
          <t>YES</t>
        </is>
      </c>
      <c r="P139" s="30" t="n"/>
      <c r="Q139" s="30" t="inlineStr">
        <is>
          <t>2:10.68</t>
        </is>
      </c>
      <c r="R139" s="22">
        <f>IF(Q139="","",IF(ISNUMBER(SEARCH(":",Q139)),VALUE(LEFT(Q139,SEARCH(":",Q139)-1))*60+VALUE(MID(Q139,SEARCH(":",Q139)+1,99)),VALUE(Q139)))</f>
        <v/>
      </c>
      <c r="S139" s="39">
        <f>IF(OR(J139="",R139=""),"",(R139-J139)/R139)</f>
        <v/>
      </c>
      <c r="T139" s="22">
        <f>IF(OR(P139&lt;&gt;"",N139="YES"),"YES","NO")</f>
        <v/>
      </c>
      <c r="U139" s="22">
        <f>IF(AND(O139="YES",T139="YES",S139&lt;&gt;""),COUNTIFS($C$5:$C$424,C139,$S$5:$S$424,"&gt;"&amp;S139)+COUNTIFS($C$5:C139,C139,$S$5:S139,S139),"")</f>
        <v/>
      </c>
      <c r="V139" s="22">
        <f>IF(U139="","",C139&amp;"|"&amp;U139)</f>
        <v/>
      </c>
      <c r="W139" s="30" t="n"/>
      <c r="X139" s="30" t="inlineStr">
        <is>
          <t>Next-fastest time supplied in user workbook; swimmer name not yet supplied.</t>
        </is>
      </c>
    </row>
    <row r="140" ht="15" customHeight="1" s="17">
      <c r="A140" s="30" t="inlineStr">
        <is>
          <t>NZ|SCM|F|14|50 Breast</t>
        </is>
      </c>
      <c r="B140" s="30" t="inlineStr">
        <is>
          <t>SCM</t>
        </is>
      </c>
      <c r="C140" s="30" t="inlineStr">
        <is>
          <t>Female</t>
        </is>
      </c>
      <c r="D140" s="30" t="n">
        <v>14</v>
      </c>
      <c r="E140" s="30" t="inlineStr">
        <is>
          <t>50 Breast</t>
        </is>
      </c>
      <c r="F140" s="30" t="inlineStr">
        <is>
          <t>Natasha Lloyd</t>
        </is>
      </c>
      <c r="G140" s="22" t="inlineStr">
        <is>
          <t>Natasha Lloyd</t>
        </is>
      </c>
      <c r="H140" s="22" t="n"/>
      <c r="I140" s="30" t="inlineStr">
        <is>
          <t>32.09</t>
        </is>
      </c>
      <c r="J140" s="22">
        <f>IF(I140="","",IF(ISNUMBER(SEARCH(":",I140)),VALUE(LEFT(I140,SEARCH(":",I140)-1))*60+VALUE(MID(I140,SEARCH(":",I140)+1,99)),VALUE(I140)))</f>
        <v/>
      </c>
      <c r="K140" s="30" t="inlineStr">
        <is>
          <t>14.11.10</t>
        </is>
      </c>
      <c r="L140" s="30" t="inlineStr">
        <is>
          <t>Swimming New Zealand Short Course Records by Age - user-supplied PDF</t>
        </is>
      </c>
      <c r="M140" s="30" t="n"/>
      <c r="N140" s="30" t="inlineStr">
        <is>
          <t>NO</t>
        </is>
      </c>
      <c r="O140" s="30" t="inlineStr">
        <is>
          <t>YES</t>
        </is>
      </c>
      <c r="P140" s="30" t="n"/>
      <c r="Q140" s="30" t="inlineStr">
        <is>
          <t>32.28</t>
        </is>
      </c>
      <c r="R140" s="22">
        <f>IF(Q140="","",IF(ISNUMBER(SEARCH(":",Q140)),VALUE(LEFT(Q140,SEARCH(":",Q140)-1))*60+VALUE(MID(Q140,SEARCH(":",Q140)+1,99)),VALUE(Q140)))</f>
        <v/>
      </c>
      <c r="S140" s="39">
        <f>IF(OR(J140="",R140=""),"",(R140-J140)/R140)</f>
        <v/>
      </c>
      <c r="T140" s="22">
        <f>IF(OR(P140&lt;&gt;"",N140="YES"),"YES","NO")</f>
        <v/>
      </c>
      <c r="U140" s="22">
        <f>IF(AND(O140="YES",T140="YES",S140&lt;&gt;""),COUNTIFS($C$5:$C$424,C140,$S$5:$S$424,"&gt;"&amp;S140)+COUNTIFS($C$5:C140,C140,$S$5:S140,S140),"")</f>
        <v/>
      </c>
      <c r="V140" s="22">
        <f>IF(U140="","",C140&amp;"|"&amp;U140)</f>
        <v/>
      </c>
      <c r="W140" s="30" t="n"/>
      <c r="X140" s="30" t="inlineStr">
        <is>
          <t>Next-fastest time supplied in user workbook; swimmer name not yet supplied.</t>
        </is>
      </c>
    </row>
    <row r="141" ht="15" customHeight="1" s="17">
      <c r="A141" s="30" t="inlineStr">
        <is>
          <t>NZ|SCM|F|14|100 Breast</t>
        </is>
      </c>
      <c r="B141" s="30" t="inlineStr">
        <is>
          <t>SCM</t>
        </is>
      </c>
      <c r="C141" s="30" t="inlineStr">
        <is>
          <t>Female</t>
        </is>
      </c>
      <c r="D141" s="30" t="n">
        <v>14</v>
      </c>
      <c r="E141" s="30" t="inlineStr">
        <is>
          <t>100 Breast</t>
        </is>
      </c>
      <c r="F141" s="30" t="inlineStr">
        <is>
          <t>Natasha Lloyd</t>
        </is>
      </c>
      <c r="G141" s="22" t="inlineStr">
        <is>
          <t>Natasha Lloyd</t>
        </is>
      </c>
      <c r="H141" s="22" t="n"/>
      <c r="I141" s="30" t="inlineStr">
        <is>
          <t>1:09.97</t>
        </is>
      </c>
      <c r="J141" s="22">
        <f>IF(I141="","",IF(ISNUMBER(SEARCH(":",I141)),VALUE(LEFT(I141,SEARCH(":",I141)-1))*60+VALUE(MID(I141,SEARCH(":",I141)+1,99)),VALUE(I141)))</f>
        <v/>
      </c>
      <c r="K141" s="30" t="inlineStr">
        <is>
          <t>09.07.10</t>
        </is>
      </c>
      <c r="L141" s="30" t="inlineStr">
        <is>
          <t>Swimming New Zealand Short Course Records by Age - user-supplied PDF</t>
        </is>
      </c>
      <c r="M141" s="30" t="n"/>
      <c r="N141" s="30" t="inlineStr">
        <is>
          <t>NO</t>
        </is>
      </c>
      <c r="O141" s="30" t="inlineStr">
        <is>
          <t>YES</t>
        </is>
      </c>
      <c r="P141" s="30" t="n"/>
      <c r="Q141" s="30" t="inlineStr">
        <is>
          <t>1:10.27</t>
        </is>
      </c>
      <c r="R141" s="22">
        <f>IF(Q141="","",IF(ISNUMBER(SEARCH(":",Q141)),VALUE(LEFT(Q141,SEARCH(":",Q141)-1))*60+VALUE(MID(Q141,SEARCH(":",Q141)+1,99)),VALUE(Q141)))</f>
        <v/>
      </c>
      <c r="S141" s="39">
        <f>IF(OR(J141="",R141=""),"",(R141-J141)/R141)</f>
        <v/>
      </c>
      <c r="T141" s="22">
        <f>IF(OR(P141&lt;&gt;"",N141="YES"),"YES","NO")</f>
        <v/>
      </c>
      <c r="U141" s="22">
        <f>IF(AND(O141="YES",T141="YES",S141&lt;&gt;""),COUNTIFS($C$5:$C$424,C141,$S$5:$S$424,"&gt;"&amp;S141)+COUNTIFS($C$5:C141,C141,$S$5:S141,S141),"")</f>
        <v/>
      </c>
      <c r="V141" s="22">
        <f>IF(U141="","",C141&amp;"|"&amp;U141)</f>
        <v/>
      </c>
      <c r="W141" s="30" t="n"/>
      <c r="X141" s="30" t="inlineStr">
        <is>
          <t>Next-fastest time supplied in user workbook; swimmer name not yet supplied.</t>
        </is>
      </c>
    </row>
    <row r="142" ht="15" customHeight="1" s="17">
      <c r="A142" s="30" t="inlineStr">
        <is>
          <t>NZ|SCM|F|14|200 Breast</t>
        </is>
      </c>
      <c r="B142" s="30" t="inlineStr">
        <is>
          <t>SCM</t>
        </is>
      </c>
      <c r="C142" s="30" t="inlineStr">
        <is>
          <t>Female</t>
        </is>
      </c>
      <c r="D142" s="30" t="n">
        <v>14</v>
      </c>
      <c r="E142" s="30" t="inlineStr">
        <is>
          <t>200 Breast</t>
        </is>
      </c>
      <c r="F142" s="30" t="inlineStr">
        <is>
          <t>Jenna Borea</t>
        </is>
      </c>
      <c r="G142" s="22" t="inlineStr">
        <is>
          <t>Jenna Borea</t>
        </is>
      </c>
      <c r="H142" s="22" t="n"/>
      <c r="I142" s="30" t="inlineStr">
        <is>
          <t>2:29.83</t>
        </is>
      </c>
      <c r="J142" s="22">
        <f>IF(I142="","",IF(ISNUMBER(SEARCH(":",I142)),VALUE(LEFT(I142,SEARCH(":",I142)-1))*60+VALUE(MID(I142,SEARCH(":",I142)+1,99)),VALUE(I142)))</f>
        <v/>
      </c>
      <c r="K142" s="30" t="inlineStr">
        <is>
          <t>27.09.26</t>
        </is>
      </c>
      <c r="L142" s="30" t="inlineStr">
        <is>
          <t>Updated through 2026 NZ Short Course Championships</t>
        </is>
      </c>
      <c r="M142" s="30" t="inlineStr">
        <is>
          <t>https://swimdadnz.github.io/NZSC_2026/NZSC_2026_meet_editorial_summary_final.html</t>
        </is>
      </c>
      <c r="N142" s="30" t="inlineStr">
        <is>
          <t>NO</t>
        </is>
      </c>
      <c r="O142" s="30" t="inlineStr">
        <is>
          <t>YES</t>
        </is>
      </c>
      <c r="P142" s="30" t="inlineStr">
        <is>
          <t>Melissa Cowen</t>
        </is>
      </c>
      <c r="Q142" s="30" t="inlineStr">
        <is>
          <t>2:29.95</t>
        </is>
      </c>
      <c r="R142" s="22">
        <f>IF(Q142="","",IF(ISNUMBER(SEARCH(":",Q142)),VALUE(LEFT(Q142,SEARCH(":",Q142)-1))*60+VALUE(MID(Q142,SEARCH(":",Q142)+1,99)),VALUE(Q142)))</f>
        <v/>
      </c>
      <c r="S142" s="39">
        <f>IF(OR(J142="",R142=""),"",(R142-J142)/R142)</f>
        <v/>
      </c>
      <c r="T142" s="22">
        <f>IF(OR(P142&lt;&gt;"",N142="YES"),"YES","NO")</f>
        <v/>
      </c>
      <c r="U142" s="22">
        <f>IF(AND(O142="YES",T142="YES",S142&lt;&gt;""),COUNTIFS($C$5:$C$424,C142,$S$5:$S$424,"&gt;"&amp;S142)+COUNTIFS($C$5:C142,C142,$S$5:S142,S142),"")</f>
        <v/>
      </c>
      <c r="V142" s="22">
        <f>IF(U142="","",C142&amp;"|"&amp;U142)</f>
        <v/>
      </c>
      <c r="W142" s="30" t="inlineStr">
        <is>
          <t>NZSC 2026 update: Melissa Cowen 2:29.95 became next-fastest.</t>
        </is>
      </c>
      <c r="X142" s="30" t="inlineStr">
        <is>
          <t>Auto-set from displaced NZ record after NZSC 2026.</t>
        </is>
      </c>
    </row>
    <row r="143" ht="15" customHeight="1" s="17">
      <c r="A143" s="30" t="inlineStr">
        <is>
          <t>NZ|SCM|F|14|50 Fly</t>
        </is>
      </c>
      <c r="B143" s="30" t="inlineStr">
        <is>
          <t>SCM</t>
        </is>
      </c>
      <c r="C143" s="30" t="inlineStr">
        <is>
          <t>Female</t>
        </is>
      </c>
      <c r="D143" s="30" t="n">
        <v>14</v>
      </c>
      <c r="E143" s="30" t="inlineStr">
        <is>
          <t>50 Fly</t>
        </is>
      </c>
      <c r="F143" s="30" t="inlineStr">
        <is>
          <t>Milan Glintmeyer</t>
        </is>
      </c>
      <c r="G143" s="22" t="inlineStr">
        <is>
          <t>Milan Glintmeyer</t>
        </is>
      </c>
      <c r="H143" s="22" t="n"/>
      <c r="I143" s="30" t="inlineStr">
        <is>
          <t>27.45</t>
        </is>
      </c>
      <c r="J143" s="22">
        <f>IF(I143="","",IF(ISNUMBER(SEARCH(":",I143)),VALUE(LEFT(I143,SEARCH(":",I143)-1))*60+VALUE(MID(I143,SEARCH(":",I143)+1,99)),VALUE(I143)))</f>
        <v/>
      </c>
      <c r="K143" s="30" t="inlineStr">
        <is>
          <t>24.08.22</t>
        </is>
      </c>
      <c r="L143" s="30" t="inlineStr">
        <is>
          <t>Swimming New Zealand Short Course Records by Age - user-supplied PDF</t>
        </is>
      </c>
      <c r="M143" s="30" t="n"/>
      <c r="N143" s="30" t="inlineStr">
        <is>
          <t>NO</t>
        </is>
      </c>
      <c r="O143" s="30" t="inlineStr">
        <is>
          <t>YES</t>
        </is>
      </c>
      <c r="P143" s="30" t="n"/>
      <c r="Q143" s="30" t="inlineStr">
        <is>
          <t>27.61</t>
        </is>
      </c>
      <c r="R143" s="22">
        <f>IF(Q143="","",IF(ISNUMBER(SEARCH(":",Q143)),VALUE(LEFT(Q143,SEARCH(":",Q143)-1))*60+VALUE(MID(Q143,SEARCH(":",Q143)+1,99)),VALUE(Q143)))</f>
        <v/>
      </c>
      <c r="S143" s="39">
        <f>IF(OR(J143="",R143=""),"",(R143-J143)/R143)</f>
        <v/>
      </c>
      <c r="T143" s="22">
        <f>IF(OR(P143&lt;&gt;"",N143="YES"),"YES","NO")</f>
        <v/>
      </c>
      <c r="U143" s="22">
        <f>IF(AND(O143="YES",T143="YES",S143&lt;&gt;""),COUNTIFS($C$5:$C$424,C143,$S$5:$S$424,"&gt;"&amp;S143)+COUNTIFS($C$5:C143,C143,$S$5:S143,S143),"")</f>
        <v/>
      </c>
      <c r="V143" s="22">
        <f>IF(U143="","",C143&amp;"|"&amp;U143)</f>
        <v/>
      </c>
      <c r="W143" s="30" t="n"/>
      <c r="X143" s="30" t="inlineStr">
        <is>
          <t>Next-fastest time supplied in user workbook; swimmer name not yet supplied.</t>
        </is>
      </c>
    </row>
    <row r="144" ht="15" customHeight="1" s="17">
      <c r="A144" s="30" t="inlineStr">
        <is>
          <t>NZ|SCM|F|14|100 Fly</t>
        </is>
      </c>
      <c r="B144" s="30" t="inlineStr">
        <is>
          <t>SCM</t>
        </is>
      </c>
      <c r="C144" s="30" t="inlineStr">
        <is>
          <t>Female</t>
        </is>
      </c>
      <c r="D144" s="30" t="n">
        <v>14</v>
      </c>
      <c r="E144" s="30" t="inlineStr">
        <is>
          <t>100 Fly</t>
        </is>
      </c>
      <c r="F144" s="30" t="inlineStr">
        <is>
          <t>Brearna Crawford</t>
        </is>
      </c>
      <c r="G144" s="22" t="inlineStr">
        <is>
          <t>Brearna Crawford</t>
        </is>
      </c>
      <c r="H144" s="22" t="n"/>
      <c r="I144" s="30" t="inlineStr">
        <is>
          <t>1:00.88</t>
        </is>
      </c>
      <c r="J144" s="22">
        <f>IF(I144="","",IF(ISNUMBER(SEARCH(":",I144)),VALUE(LEFT(I144,SEARCH(":",I144)-1))*60+VALUE(MID(I144,SEARCH(":",I144)+1,99)),VALUE(I144)))</f>
        <v/>
      </c>
      <c r="K144" s="30" t="inlineStr">
        <is>
          <t>06.10.17</t>
        </is>
      </c>
      <c r="L144" s="30" t="inlineStr">
        <is>
          <t>Swimming New Zealand Short Course Records by Age - user-supplied PDF</t>
        </is>
      </c>
      <c r="M144" s="30" t="n"/>
      <c r="N144" s="30" t="inlineStr">
        <is>
          <t>NO</t>
        </is>
      </c>
      <c r="O144" s="30" t="inlineStr">
        <is>
          <t>YES</t>
        </is>
      </c>
      <c r="P144" s="30" t="n"/>
      <c r="Q144" s="30" t="inlineStr">
        <is>
          <t>1:01.14</t>
        </is>
      </c>
      <c r="R144" s="22">
        <f>IF(Q144="","",IF(ISNUMBER(SEARCH(":",Q144)),VALUE(LEFT(Q144,SEARCH(":",Q144)-1))*60+VALUE(MID(Q144,SEARCH(":",Q144)+1,99)),VALUE(Q144)))</f>
        <v/>
      </c>
      <c r="S144" s="39">
        <f>IF(OR(J144="",R144=""),"",(R144-J144)/R144)</f>
        <v/>
      </c>
      <c r="T144" s="22">
        <f>IF(OR(P144&lt;&gt;"",N144="YES"),"YES","NO")</f>
        <v/>
      </c>
      <c r="U144" s="22">
        <f>IF(AND(O144="YES",T144="YES",S144&lt;&gt;""),COUNTIFS($C$5:$C$424,C144,$S$5:$S$424,"&gt;"&amp;S144)+COUNTIFS($C$5:C144,C144,$S$5:S144,S144),"")</f>
        <v/>
      </c>
      <c r="V144" s="22">
        <f>IF(U144="","",C144&amp;"|"&amp;U144)</f>
        <v/>
      </c>
      <c r="W144" s="30" t="n"/>
      <c r="X144" s="30" t="inlineStr">
        <is>
          <t>Next-fastest time supplied in user workbook; swimmer name not yet supplied.</t>
        </is>
      </c>
    </row>
    <row r="145" ht="15" customHeight="1" s="17">
      <c r="A145" s="30" t="inlineStr">
        <is>
          <t>NZ|SCM|F|14|200 Fly</t>
        </is>
      </c>
      <c r="B145" s="30" t="inlineStr">
        <is>
          <t>SCM</t>
        </is>
      </c>
      <c r="C145" s="30" t="inlineStr">
        <is>
          <t>Female</t>
        </is>
      </c>
      <c r="D145" s="30" t="n">
        <v>14</v>
      </c>
      <c r="E145" s="30" t="inlineStr">
        <is>
          <t>200 Fly</t>
        </is>
      </c>
      <c r="F145" s="30" t="inlineStr">
        <is>
          <t>Elizabeth Brown</t>
        </is>
      </c>
      <c r="G145" s="22" t="inlineStr">
        <is>
          <t>Elizabeth Brown</t>
        </is>
      </c>
      <c r="H145" s="22" t="n"/>
      <c r="I145" s="30" t="inlineStr">
        <is>
          <t>2:16.16</t>
        </is>
      </c>
      <c r="J145" s="22">
        <f>IF(I145="","",IF(ISNUMBER(SEARCH(":",I145)),VALUE(LEFT(I145,SEARCH(":",I145)-1))*60+VALUE(MID(I145,SEARCH(":",I145)+1,99)),VALUE(I145)))</f>
        <v/>
      </c>
      <c r="K145" s="30" t="inlineStr">
        <is>
          <t>23.09.07</t>
        </is>
      </c>
      <c r="L145" s="30" t="inlineStr">
        <is>
          <t>Swimming New Zealand Short Course Records by Age - user-supplied PDF</t>
        </is>
      </c>
      <c r="M145" s="30" t="n"/>
      <c r="N145" s="30" t="inlineStr">
        <is>
          <t>NO</t>
        </is>
      </c>
      <c r="O145" s="30" t="inlineStr">
        <is>
          <t>YES</t>
        </is>
      </c>
      <c r="P145" s="30" t="n"/>
      <c r="Q145" s="30" t="inlineStr">
        <is>
          <t>2:16.52</t>
        </is>
      </c>
      <c r="R145" s="22">
        <f>IF(Q145="","",IF(ISNUMBER(SEARCH(":",Q145)),VALUE(LEFT(Q145,SEARCH(":",Q145)-1))*60+VALUE(MID(Q145,SEARCH(":",Q145)+1,99)),VALUE(Q145)))</f>
        <v/>
      </c>
      <c r="S145" s="39">
        <f>IF(OR(J145="",R145=""),"",(R145-J145)/R145)</f>
        <v/>
      </c>
      <c r="T145" s="22">
        <f>IF(OR(P145&lt;&gt;"",N145="YES"),"YES","NO")</f>
        <v/>
      </c>
      <c r="U145" s="22">
        <f>IF(AND(O145="YES",T145="YES",S145&lt;&gt;""),COUNTIFS($C$5:$C$424,C145,$S$5:$S$424,"&gt;"&amp;S145)+COUNTIFS($C$5:C145,C145,$S$5:S145,S145),"")</f>
        <v/>
      </c>
      <c r="V145" s="22">
        <f>IF(U145="","",C145&amp;"|"&amp;U145)</f>
        <v/>
      </c>
      <c r="W145" s="30" t="n"/>
      <c r="X145" s="30" t="inlineStr">
        <is>
          <t>Next-fastest time supplied in user workbook; swimmer name not yet supplied.</t>
        </is>
      </c>
    </row>
    <row r="146" ht="15" customHeight="1" s="17">
      <c r="A146" s="30" t="inlineStr">
        <is>
          <t>NZ|SCM|F|14|100 IM</t>
        </is>
      </c>
      <c r="B146" s="30" t="inlineStr">
        <is>
          <t>SCM</t>
        </is>
      </c>
      <c r="C146" s="30" t="inlineStr">
        <is>
          <t>Female</t>
        </is>
      </c>
      <c r="D146" s="30" t="n">
        <v>14</v>
      </c>
      <c r="E146" s="30" t="inlineStr">
        <is>
          <t>100 IM</t>
        </is>
      </c>
      <c r="F146" s="30" t="inlineStr">
        <is>
          <t>Gabrielle Fa'amausili</t>
        </is>
      </c>
      <c r="G146" s="22" t="inlineStr">
        <is>
          <t>Gabrielle Fa'amausili</t>
        </is>
      </c>
      <c r="H146" s="22" t="n"/>
      <c r="I146" s="30" t="inlineStr">
        <is>
          <t>1:03.31</t>
        </is>
      </c>
      <c r="J146" s="22">
        <f>IF(I146="","",IF(ISNUMBER(SEARCH(":",I146)),VALUE(LEFT(I146,SEARCH(":",I146)-1))*60+VALUE(MID(I146,SEARCH(":",I146)+1,99)),VALUE(I146)))</f>
        <v/>
      </c>
      <c r="K146" s="30" t="inlineStr">
        <is>
          <t>1.08.14</t>
        </is>
      </c>
      <c r="L146" s="30" t="inlineStr">
        <is>
          <t>Swimming New Zealand Short Course Records by Age - user-supplied PDF</t>
        </is>
      </c>
      <c r="M146" s="30" t="n"/>
      <c r="N146" s="30" t="inlineStr">
        <is>
          <t>NO</t>
        </is>
      </c>
      <c r="O146" s="30" t="inlineStr">
        <is>
          <t>YES</t>
        </is>
      </c>
      <c r="P146" s="30" t="n"/>
      <c r="Q146" s="30" t="inlineStr">
        <is>
          <t>1:03.81</t>
        </is>
      </c>
      <c r="R146" s="22">
        <f>IF(Q146="","",IF(ISNUMBER(SEARCH(":",Q146)),VALUE(LEFT(Q146,SEARCH(":",Q146)-1))*60+VALUE(MID(Q146,SEARCH(":",Q146)+1,99)),VALUE(Q146)))</f>
        <v/>
      </c>
      <c r="S146" s="39">
        <f>IF(OR(J146="",R146=""),"",(R146-J146)/R146)</f>
        <v/>
      </c>
      <c r="T146" s="22">
        <f>IF(OR(P146&lt;&gt;"",N146="YES"),"YES","NO")</f>
        <v/>
      </c>
      <c r="U146" s="22">
        <f>IF(AND(O146="YES",T146="YES",S146&lt;&gt;""),COUNTIFS($C$5:$C$424,C146,$S$5:$S$424,"&gt;"&amp;S146)+COUNTIFS($C$5:C146,C146,$S$5:S146,S146),"")</f>
        <v/>
      </c>
      <c r="V146" s="22">
        <f>IF(U146="","",C146&amp;"|"&amp;U146)</f>
        <v/>
      </c>
      <c r="W146" s="30" t="n"/>
      <c r="X146" s="30" t="inlineStr">
        <is>
          <t>Next-fastest time supplied in user workbook; swimmer name not yet supplied.</t>
        </is>
      </c>
    </row>
    <row r="147" ht="15" customHeight="1" s="17">
      <c r="A147" s="30" t="inlineStr">
        <is>
          <t>NZ|SCM|F|14|200 IM</t>
        </is>
      </c>
      <c r="B147" s="30" t="inlineStr">
        <is>
          <t>SCM</t>
        </is>
      </c>
      <c r="C147" s="30" t="inlineStr">
        <is>
          <t>Female</t>
        </is>
      </c>
      <c r="D147" s="30" t="n">
        <v>14</v>
      </c>
      <c r="E147" s="30" t="inlineStr">
        <is>
          <t>200 IM</t>
        </is>
      </c>
      <c r="F147" s="30" t="inlineStr">
        <is>
          <t>Brearna Crawford</t>
        </is>
      </c>
      <c r="G147" s="22" t="inlineStr">
        <is>
          <t>Brearna Crawford</t>
        </is>
      </c>
      <c r="H147" s="22" t="n"/>
      <c r="I147" s="30" t="inlineStr">
        <is>
          <t>2:16.15</t>
        </is>
      </c>
      <c r="J147" s="22">
        <f>IF(I147="","",IF(ISNUMBER(SEARCH(":",I147)),VALUE(LEFT(I147,SEARCH(":",I147)-1))*60+VALUE(MID(I147,SEARCH(":",I147)+1,99)),VALUE(I147)))</f>
        <v/>
      </c>
      <c r="K147" s="30" t="inlineStr">
        <is>
          <t>04.10.17</t>
        </is>
      </c>
      <c r="L147" s="30" t="inlineStr">
        <is>
          <t>Swimming New Zealand Short Course Records by Age - user-supplied PDF</t>
        </is>
      </c>
      <c r="M147" s="30" t="n"/>
      <c r="N147" s="30" t="inlineStr">
        <is>
          <t>NO</t>
        </is>
      </c>
      <c r="O147" s="30" t="inlineStr">
        <is>
          <t>YES</t>
        </is>
      </c>
      <c r="P147" s="30" t="n"/>
      <c r="Q147" s="30" t="inlineStr">
        <is>
          <t>2:17.58</t>
        </is>
      </c>
      <c r="R147" s="22">
        <f>IF(Q147="","",IF(ISNUMBER(SEARCH(":",Q147)),VALUE(LEFT(Q147,SEARCH(":",Q147)-1))*60+VALUE(MID(Q147,SEARCH(":",Q147)+1,99)),VALUE(Q147)))</f>
        <v/>
      </c>
      <c r="S147" s="39">
        <f>IF(OR(J147="",R147=""),"",(R147-J147)/R147)</f>
        <v/>
      </c>
      <c r="T147" s="22">
        <f>IF(OR(P147&lt;&gt;"",N147="YES"),"YES","NO")</f>
        <v/>
      </c>
      <c r="U147" s="22">
        <f>IF(AND(O147="YES",T147="YES",S147&lt;&gt;""),COUNTIFS($C$5:$C$424,C147,$S$5:$S$424,"&gt;"&amp;S147)+COUNTIFS($C$5:C147,C147,$S$5:S147,S147),"")</f>
        <v/>
      </c>
      <c r="V147" s="22">
        <f>IF(U147="","",C147&amp;"|"&amp;U147)</f>
        <v/>
      </c>
      <c r="W147" s="30" t="n"/>
      <c r="X147" s="30" t="inlineStr">
        <is>
          <t>Next-fastest time supplied in user workbook; swimmer name not yet supplied.</t>
        </is>
      </c>
    </row>
    <row r="148" ht="15" customHeight="1" s="17">
      <c r="A148" s="30" t="inlineStr">
        <is>
          <t>NZ|SCM|F|14|400 IM</t>
        </is>
      </c>
      <c r="B148" s="30" t="inlineStr">
        <is>
          <t>SCM</t>
        </is>
      </c>
      <c r="C148" s="30" t="inlineStr">
        <is>
          <t>Female</t>
        </is>
      </c>
      <c r="D148" s="30" t="n">
        <v>14</v>
      </c>
      <c r="E148" s="30" t="inlineStr">
        <is>
          <t>400 IM</t>
        </is>
      </c>
      <c r="F148" s="30" t="inlineStr">
        <is>
          <t>Mya Rasmussen</t>
        </is>
      </c>
      <c r="G148" s="22" t="inlineStr">
        <is>
          <t>Mya Rasmussen</t>
        </is>
      </c>
      <c r="H148" s="22" t="n"/>
      <c r="I148" s="30" t="inlineStr">
        <is>
          <t>4:49.05</t>
        </is>
      </c>
      <c r="J148" s="22">
        <f>IF(I148="","",IF(ISNUMBER(SEARCH(":",I148)),VALUE(LEFT(I148,SEARCH(":",I148)-1))*60+VALUE(MID(I148,SEARCH(":",I148)+1,99)),VALUE(I148)))</f>
        <v/>
      </c>
      <c r="K148" s="30" t="inlineStr">
        <is>
          <t>05.09.14</t>
        </is>
      </c>
      <c r="L148" s="30" t="inlineStr">
        <is>
          <t>Swimming New Zealand Short Course Records by Age - user-supplied PDF</t>
        </is>
      </c>
      <c r="M148" s="30" t="n"/>
      <c r="N148" s="30" t="inlineStr">
        <is>
          <t>NO</t>
        </is>
      </c>
      <c r="O148" s="30" t="inlineStr">
        <is>
          <t>YES</t>
        </is>
      </c>
      <c r="P148" s="30" t="n"/>
      <c r="Q148" s="30" t="inlineStr">
        <is>
          <t>4:49.80</t>
        </is>
      </c>
      <c r="R148" s="22">
        <f>IF(Q148="","",IF(ISNUMBER(SEARCH(":",Q148)),VALUE(LEFT(Q148,SEARCH(":",Q148)-1))*60+VALUE(MID(Q148,SEARCH(":",Q148)+1,99)),VALUE(Q148)))</f>
        <v/>
      </c>
      <c r="S148" s="39">
        <f>IF(OR(J148="",R148=""),"",(R148-J148)/R148)</f>
        <v/>
      </c>
      <c r="T148" s="22">
        <f>IF(OR(P148&lt;&gt;"",N148="YES"),"YES","NO")</f>
        <v/>
      </c>
      <c r="U148" s="22">
        <f>IF(AND(O148="YES",T148="YES",S148&lt;&gt;""),COUNTIFS($C$5:$C$424,C148,$S$5:$S$424,"&gt;"&amp;S148)+COUNTIFS($C$5:C148,C148,$S$5:S148,S148),"")</f>
        <v/>
      </c>
      <c r="V148" s="22">
        <f>IF(U148="","",C148&amp;"|"&amp;U148)</f>
        <v/>
      </c>
      <c r="W148" s="30" t="n"/>
      <c r="X148" s="30" t="inlineStr">
        <is>
          <t>Next-fastest time supplied in user workbook; swimmer name not yet supplied.</t>
        </is>
      </c>
    </row>
    <row r="149" ht="15" customHeight="1" s="17">
      <c r="A149" s="30" t="inlineStr">
        <is>
          <t>NZ|SCM|F|15|50 Free</t>
        </is>
      </c>
      <c r="B149" s="30" t="inlineStr">
        <is>
          <t>SCM</t>
        </is>
      </c>
      <c r="C149" s="30" t="inlineStr">
        <is>
          <t>Female</t>
        </is>
      </c>
      <c r="D149" s="30" t="n">
        <v>15</v>
      </c>
      <c r="E149" s="30" t="inlineStr">
        <is>
          <t>50 Free</t>
        </is>
      </c>
      <c r="F149" s="30" t="inlineStr">
        <is>
          <t>Gabrielle Fa'amausili</t>
        </is>
      </c>
      <c r="G149" s="22" t="inlineStr">
        <is>
          <t>Gabrielle Fa'amausili</t>
        </is>
      </c>
      <c r="H149" s="22" t="n"/>
      <c r="I149" s="30" t="inlineStr">
        <is>
          <t>24.83</t>
        </is>
      </c>
      <c r="J149" s="22">
        <f>IF(I149="","",IF(ISNUMBER(SEARCH(":",I149)),VALUE(LEFT(I149,SEARCH(":",I149)-1))*60+VALUE(MID(I149,SEARCH(":",I149)+1,99)),VALUE(I149)))</f>
        <v/>
      </c>
      <c r="K149" s="30" t="inlineStr">
        <is>
          <t>13.08.15</t>
        </is>
      </c>
      <c r="L149" s="30" t="inlineStr">
        <is>
          <t>Swimming New Zealand Short Course Records by Age - user-supplied PDF</t>
        </is>
      </c>
      <c r="M149" s="30" t="n"/>
      <c r="N149" s="30" t="inlineStr">
        <is>
          <t>NO</t>
        </is>
      </c>
      <c r="O149" s="30" t="inlineStr">
        <is>
          <t>YES</t>
        </is>
      </c>
      <c r="P149" s="30" t="inlineStr">
        <is>
          <t>Madeleine Wilson</t>
        </is>
      </c>
      <c r="Q149" s="30" t="inlineStr">
        <is>
          <t>25.42</t>
        </is>
      </c>
      <c r="R149" s="22">
        <f>IF(Q149="","",IF(ISNUMBER(SEARCH(":",Q149)),VALUE(LEFT(Q149,SEARCH(":",Q149)-1))*60+VALUE(MID(Q149,SEARCH(":",Q149)+1,99)),VALUE(Q149)))</f>
        <v/>
      </c>
      <c r="S149" s="39">
        <f>IF(OR(J149="",R149=""),"",(R149-J149)/R149)</f>
        <v/>
      </c>
      <c r="T149" s="22">
        <f>IF(OR(P149&lt;&gt;"",N149="YES"),"YES","NO")</f>
        <v/>
      </c>
      <c r="U149" s="22">
        <f>IF(AND(O149="YES",T149="YES",S149&lt;&gt;""),COUNTIFS($C$5:$C$424,C149,$S$5:$S$424,"&gt;"&amp;S149)+COUNTIFS($C$5:C149,C149,$S$5:S149,S149),"")</f>
        <v/>
      </c>
      <c r="V149" s="22">
        <f>IF(U149="","",C149&amp;"|"&amp;U149)</f>
        <v/>
      </c>
      <c r="W149" s="30" t="n"/>
      <c r="X149" s="30" t="inlineStr">
        <is>
          <t>Next-fastest time supplied in user workbook; swimmer name not yet supplied.</t>
        </is>
      </c>
    </row>
    <row r="150" ht="15" customHeight="1" s="17">
      <c r="A150" s="30" t="inlineStr">
        <is>
          <t>NZ|SCM|F|15|100 Free</t>
        </is>
      </c>
      <c r="B150" s="30" t="inlineStr">
        <is>
          <t>SCM</t>
        </is>
      </c>
      <c r="C150" s="30" t="inlineStr">
        <is>
          <t>Female</t>
        </is>
      </c>
      <c r="D150" s="30" t="n">
        <v>15</v>
      </c>
      <c r="E150" s="30" t="inlineStr">
        <is>
          <t>100 Free</t>
        </is>
      </c>
      <c r="F150" s="30" t="inlineStr">
        <is>
          <t>Gabrielle Fa'amausili</t>
        </is>
      </c>
      <c r="G150" s="22" t="inlineStr">
        <is>
          <t>Gabrielle Fa'amausili</t>
        </is>
      </c>
      <c r="H150" s="22" t="n"/>
      <c r="I150" s="30" t="inlineStr">
        <is>
          <t>55.14</t>
        </is>
      </c>
      <c r="J150" s="22">
        <f>IF(I150="","",IF(ISNUMBER(SEARCH(":",I150)),VALUE(LEFT(I150,SEARCH(":",I150)-1))*60+VALUE(MID(I150,SEARCH(":",I150)+1,99)),VALUE(I150)))</f>
        <v/>
      </c>
      <c r="K150" s="30" t="inlineStr">
        <is>
          <t>15.08.15</t>
        </is>
      </c>
      <c r="L150" s="30" t="inlineStr">
        <is>
          <t>Swimming New Zealand Short Course Records by Age - user-supplied PDF</t>
        </is>
      </c>
      <c r="M150" s="30" t="n"/>
      <c r="N150" s="30" t="inlineStr">
        <is>
          <t>NO</t>
        </is>
      </c>
      <c r="O150" s="30" t="inlineStr">
        <is>
          <t>YES</t>
        </is>
      </c>
      <c r="P150" s="30" t="n"/>
      <c r="Q150" s="30" t="inlineStr">
        <is>
          <t>55.35</t>
        </is>
      </c>
      <c r="R150" s="22">
        <f>IF(Q150="","",IF(ISNUMBER(SEARCH(":",Q150)),VALUE(LEFT(Q150,SEARCH(":",Q150)-1))*60+VALUE(MID(Q150,SEARCH(":",Q150)+1,99)),VALUE(Q150)))</f>
        <v/>
      </c>
      <c r="S150" s="39">
        <f>IF(OR(J150="",R150=""),"",(R150-J150)/R150)</f>
        <v/>
      </c>
      <c r="T150" s="22">
        <f>IF(OR(P150&lt;&gt;"",N150="YES"),"YES","NO")</f>
        <v/>
      </c>
      <c r="U150" s="22">
        <f>IF(AND(O150="YES",T150="YES",S150&lt;&gt;""),COUNTIFS($C$5:$C$424,C150,$S$5:$S$424,"&gt;"&amp;S150)+COUNTIFS($C$5:C150,C150,$S$5:S150,S150),"")</f>
        <v/>
      </c>
      <c r="V150" s="22">
        <f>IF(U150="","",C150&amp;"|"&amp;U150)</f>
        <v/>
      </c>
      <c r="W150" s="30" t="n"/>
      <c r="X150" s="30" t="inlineStr">
        <is>
          <t>Next-fastest time supplied in user workbook; swimmer name not yet supplied.</t>
        </is>
      </c>
    </row>
    <row r="151" ht="15" customHeight="1" s="17">
      <c r="A151" s="30" t="inlineStr">
        <is>
          <t>NZ|SCM|F|15|200 Free</t>
        </is>
      </c>
      <c r="B151" s="30" t="inlineStr">
        <is>
          <t>SCM</t>
        </is>
      </c>
      <c r="C151" s="30" t="inlineStr">
        <is>
          <t>Female</t>
        </is>
      </c>
      <c r="D151" s="30" t="n">
        <v>15</v>
      </c>
      <c r="E151" s="30" t="inlineStr">
        <is>
          <t>200 Free</t>
        </is>
      </c>
      <c r="F151" s="30" t="inlineStr">
        <is>
          <t>Erika Fairweather</t>
        </is>
      </c>
      <c r="G151" s="22" t="inlineStr">
        <is>
          <t>Erika Fairweather</t>
        </is>
      </c>
      <c r="H151" s="22" t="n"/>
      <c r="I151" s="30" t="inlineStr">
        <is>
          <t>1:57.88</t>
        </is>
      </c>
      <c r="J151" s="22">
        <f>IF(I151="","",IF(ISNUMBER(SEARCH(":",I151)),VALUE(LEFT(I151,SEARCH(":",I151)-1))*60+VALUE(MID(I151,SEARCH(":",I151)+1,99)),VALUE(I151)))</f>
        <v/>
      </c>
      <c r="K151" s="30" t="inlineStr">
        <is>
          <t>17.11.19</t>
        </is>
      </c>
      <c r="L151" s="30" t="inlineStr">
        <is>
          <t>Swimming New Zealand Short Course Records by Age - user-supplied PDF</t>
        </is>
      </c>
      <c r="M151" s="30" t="n"/>
      <c r="N151" s="30" t="inlineStr">
        <is>
          <t>NO</t>
        </is>
      </c>
      <c r="O151" s="30" t="inlineStr">
        <is>
          <t>YES</t>
        </is>
      </c>
      <c r="P151" s="30" t="n"/>
      <c r="Q151" s="30" t="inlineStr">
        <is>
          <t>1:58.25</t>
        </is>
      </c>
      <c r="R151" s="22">
        <f>IF(Q151="","",IF(ISNUMBER(SEARCH(":",Q151)),VALUE(LEFT(Q151,SEARCH(":",Q151)-1))*60+VALUE(MID(Q151,SEARCH(":",Q151)+1,99)),VALUE(Q151)))</f>
        <v/>
      </c>
      <c r="S151" s="39">
        <f>IF(OR(J151="",R151=""),"",(R151-J151)/R151)</f>
        <v/>
      </c>
      <c r="T151" s="22">
        <f>IF(OR(P151&lt;&gt;"",N151="YES"),"YES","NO")</f>
        <v/>
      </c>
      <c r="U151" s="22">
        <f>IF(AND(O151="YES",T151="YES",S151&lt;&gt;""),COUNTIFS($C$5:$C$424,C151,$S$5:$S$424,"&gt;"&amp;S151)+COUNTIFS($C$5:C151,C151,$S$5:S151,S151),"")</f>
        <v/>
      </c>
      <c r="V151" s="22">
        <f>IF(U151="","",C151&amp;"|"&amp;U151)</f>
        <v/>
      </c>
      <c r="W151" s="30" t="n"/>
      <c r="X151" s="30" t="inlineStr">
        <is>
          <t>Next-fastest time supplied in user workbook; swimmer name not yet supplied.</t>
        </is>
      </c>
    </row>
    <row r="152" ht="15" customHeight="1" s="17">
      <c r="A152" s="30" t="inlineStr">
        <is>
          <t>NZ|SCM|F|15|400 Free</t>
        </is>
      </c>
      <c r="B152" s="30" t="inlineStr">
        <is>
          <t>SCM</t>
        </is>
      </c>
      <c r="C152" s="30" t="inlineStr">
        <is>
          <t>Female</t>
        </is>
      </c>
      <c r="D152" s="30" t="n">
        <v>15</v>
      </c>
      <c r="E152" s="30" t="inlineStr">
        <is>
          <t>400 Free</t>
        </is>
      </c>
      <c r="F152" s="30" t="inlineStr">
        <is>
          <t>Chloe Francis</t>
        </is>
      </c>
      <c r="G152" s="22" t="inlineStr">
        <is>
          <t>Chloe Francis</t>
        </is>
      </c>
      <c r="H152" s="22" t="n"/>
      <c r="I152" s="30" t="inlineStr">
        <is>
          <t>4:11.11</t>
        </is>
      </c>
      <c r="J152" s="22">
        <f>IF(I152="","",IF(ISNUMBER(SEARCH(":",I152)),VALUE(LEFT(I152,SEARCH(":",I152)-1))*60+VALUE(MID(I152,SEARCH(":",I152)+1,99)),VALUE(I152)))</f>
        <v/>
      </c>
      <c r="K152" s="30" t="inlineStr">
        <is>
          <t>12.12.08</t>
        </is>
      </c>
      <c r="L152" s="30" t="inlineStr">
        <is>
          <t>Swimming New Zealand Short Course Records by Age - user-supplied PDF</t>
        </is>
      </c>
      <c r="M152" s="30" t="n"/>
      <c r="N152" s="30" t="inlineStr">
        <is>
          <t>NO</t>
        </is>
      </c>
      <c r="O152" s="30" t="inlineStr">
        <is>
          <t>YES</t>
        </is>
      </c>
      <c r="P152" s="30" t="n"/>
      <c r="Q152" s="30" t="inlineStr">
        <is>
          <t>4:14.24</t>
        </is>
      </c>
      <c r="R152" s="22">
        <f>IF(Q152="","",IF(ISNUMBER(SEARCH(":",Q152)),VALUE(LEFT(Q152,SEARCH(":",Q152)-1))*60+VALUE(MID(Q152,SEARCH(":",Q152)+1,99)),VALUE(Q152)))</f>
        <v/>
      </c>
      <c r="S152" s="39">
        <f>IF(OR(J152="",R152=""),"",(R152-J152)/R152)</f>
        <v/>
      </c>
      <c r="T152" s="22">
        <f>IF(OR(P152&lt;&gt;"",N152="YES"),"YES","NO")</f>
        <v/>
      </c>
      <c r="U152" s="22">
        <f>IF(AND(O152="YES",T152="YES",S152&lt;&gt;""),COUNTIFS($C$5:$C$424,C152,$S$5:$S$424,"&gt;"&amp;S152)+COUNTIFS($C$5:C152,C152,$S$5:S152,S152),"")</f>
        <v/>
      </c>
      <c r="V152" s="22">
        <f>IF(U152="","",C152&amp;"|"&amp;U152)</f>
        <v/>
      </c>
      <c r="W152" s="30" t="n"/>
      <c r="X152" s="30" t="inlineStr">
        <is>
          <t>Next-fastest time supplied in user workbook; swimmer name not yet supplied.</t>
        </is>
      </c>
    </row>
    <row r="153" ht="15" customHeight="1" s="17">
      <c r="A153" s="30" t="inlineStr">
        <is>
          <t>NZ|SCM|F|15|800 Free</t>
        </is>
      </c>
      <c r="B153" s="30" t="inlineStr">
        <is>
          <t>SCM</t>
        </is>
      </c>
      <c r="C153" s="30" t="inlineStr">
        <is>
          <t>Female</t>
        </is>
      </c>
      <c r="D153" s="30" t="n">
        <v>15</v>
      </c>
      <c r="E153" s="30" t="inlineStr">
        <is>
          <t>800 Free</t>
        </is>
      </c>
      <c r="F153" s="30" t="inlineStr">
        <is>
          <t>Laura Baker</t>
        </is>
      </c>
      <c r="G153" s="22" t="inlineStr">
        <is>
          <t>Laura Baker</t>
        </is>
      </c>
      <c r="H153" s="22" t="n"/>
      <c r="I153" s="30" t="inlineStr">
        <is>
          <t>8:37.06</t>
        </is>
      </c>
      <c r="J153" s="22">
        <f>IF(I153="","",IF(ISNUMBER(SEARCH(":",I153)),VALUE(LEFT(I153,SEARCH(":",I153)-1))*60+VALUE(MID(I153,SEARCH(":",I153)+1,99)),VALUE(I153)))</f>
        <v/>
      </c>
      <c r="K153" s="30" t="inlineStr">
        <is>
          <t>25.07.09</t>
        </is>
      </c>
      <c r="L153" s="30" t="inlineStr">
        <is>
          <t>Swimming New Zealand Short Course Records by Age - user-supplied PDF</t>
        </is>
      </c>
      <c r="M153" s="30" t="n"/>
      <c r="N153" s="30" t="inlineStr">
        <is>
          <t>NO</t>
        </is>
      </c>
      <c r="O153" s="30" t="inlineStr">
        <is>
          <t>YES</t>
        </is>
      </c>
      <c r="P153" s="30" t="n"/>
      <c r="Q153" s="30" t="inlineStr">
        <is>
          <t>8:37.54</t>
        </is>
      </c>
      <c r="R153" s="22">
        <f>IF(Q153="","",IF(ISNUMBER(SEARCH(":",Q153)),VALUE(LEFT(Q153,SEARCH(":",Q153)-1))*60+VALUE(MID(Q153,SEARCH(":",Q153)+1,99)),VALUE(Q153)))</f>
        <v/>
      </c>
      <c r="S153" s="39">
        <f>IF(OR(J153="",R153=""),"",(R153-J153)/R153)</f>
        <v/>
      </c>
      <c r="T153" s="22">
        <f>IF(OR(P153&lt;&gt;"",N153="YES"),"YES","NO")</f>
        <v/>
      </c>
      <c r="U153" s="22">
        <f>IF(AND(O153="YES",T153="YES",S153&lt;&gt;""),COUNTIFS($C$5:$C$424,C153,$S$5:$S$424,"&gt;"&amp;S153)+COUNTIFS($C$5:C153,C153,$S$5:S153,S153),"")</f>
        <v/>
      </c>
      <c r="V153" s="22">
        <f>IF(U153="","",C153&amp;"|"&amp;U153)</f>
        <v/>
      </c>
      <c r="W153" s="30" t="n"/>
      <c r="X153" s="30" t="inlineStr">
        <is>
          <t>Next-fastest time supplied in user workbook; swimmer name not yet supplied.</t>
        </is>
      </c>
    </row>
    <row r="154" ht="15" customHeight="1" s="17">
      <c r="A154" s="30" t="inlineStr">
        <is>
          <t>NZ|SCM|F|15|1500 Free</t>
        </is>
      </c>
      <c r="B154" s="30" t="inlineStr">
        <is>
          <t>SCM</t>
        </is>
      </c>
      <c r="C154" s="30" t="inlineStr">
        <is>
          <t>Female</t>
        </is>
      </c>
      <c r="D154" s="30" t="n">
        <v>15</v>
      </c>
      <c r="E154" s="30" t="inlineStr">
        <is>
          <t>1500 Free</t>
        </is>
      </c>
      <c r="F154" s="30" t="inlineStr">
        <is>
          <t>Olivia Emmett</t>
        </is>
      </c>
      <c r="G154" s="22" t="inlineStr">
        <is>
          <t>Olivia Emmett</t>
        </is>
      </c>
      <c r="H154" s="22" t="n"/>
      <c r="I154" s="30" t="inlineStr">
        <is>
          <t>16:50.03</t>
        </is>
      </c>
      <c r="J154" s="22">
        <f>IF(I154="","",IF(ISNUMBER(SEARCH(":",I154)),VALUE(LEFT(I154,SEARCH(":",I154)-1))*60+VALUE(MID(I154,SEARCH(":",I154)+1,99)),VALUE(I154)))</f>
        <v/>
      </c>
      <c r="K154" s="30" t="inlineStr">
        <is>
          <t>09.03.24</t>
        </is>
      </c>
      <c r="L154" s="30" t="inlineStr">
        <is>
          <t>Swimming New Zealand Short Course Records by Age - user-supplied PDF</t>
        </is>
      </c>
      <c r="M154" s="30" t="n"/>
      <c r="N154" s="30" t="inlineStr">
        <is>
          <t>NO</t>
        </is>
      </c>
      <c r="O154" s="30" t="inlineStr">
        <is>
          <t>YES</t>
        </is>
      </c>
      <c r="P154" s="30" t="n"/>
      <c r="Q154" s="30" t="inlineStr">
        <is>
          <t>16:58.01</t>
        </is>
      </c>
      <c r="R154" s="22">
        <f>IF(Q154="","",IF(ISNUMBER(SEARCH(":",Q154)),VALUE(LEFT(Q154,SEARCH(":",Q154)-1))*60+VALUE(MID(Q154,SEARCH(":",Q154)+1,99)),VALUE(Q154)))</f>
        <v/>
      </c>
      <c r="S154" s="39">
        <f>IF(OR(J154="",R154=""),"",(R154-J154)/R154)</f>
        <v/>
      </c>
      <c r="T154" s="22">
        <f>IF(OR(P154&lt;&gt;"",N154="YES"),"YES","NO")</f>
        <v/>
      </c>
      <c r="U154" s="22">
        <f>IF(AND(O154="YES",T154="YES",S154&lt;&gt;""),COUNTIFS($C$5:$C$424,C154,$S$5:$S$424,"&gt;"&amp;S154)+COUNTIFS($C$5:C154,C154,$S$5:S154,S154),"")</f>
        <v/>
      </c>
      <c r="V154" s="22">
        <f>IF(U154="","",C154&amp;"|"&amp;U154)</f>
        <v/>
      </c>
      <c r="W154" s="30" t="n"/>
      <c r="X154" s="30" t="inlineStr">
        <is>
          <t>Next-fastest time supplied in user workbook; swimmer name not yet supplied.</t>
        </is>
      </c>
    </row>
    <row r="155" ht="15" customHeight="1" s="17">
      <c r="A155" s="30" t="inlineStr">
        <is>
          <t>NZ|SCM|F|15|50 Back</t>
        </is>
      </c>
      <c r="B155" s="30" t="inlineStr">
        <is>
          <t>SCM</t>
        </is>
      </c>
      <c r="C155" s="30" t="inlineStr">
        <is>
          <t>Female</t>
        </is>
      </c>
      <c r="D155" s="30" t="n">
        <v>15</v>
      </c>
      <c r="E155" s="30" t="inlineStr">
        <is>
          <t>50 Back</t>
        </is>
      </c>
      <c r="F155" s="30" t="inlineStr">
        <is>
          <t>Gabrielle Fa'amausili</t>
        </is>
      </c>
      <c r="G155" s="22" t="inlineStr">
        <is>
          <t>Gabrielle Fa'amausili</t>
        </is>
      </c>
      <c r="H155" s="22" t="n"/>
      <c r="I155" s="30" t="inlineStr">
        <is>
          <t>27.04</t>
        </is>
      </c>
      <c r="J155" s="22">
        <f>IF(I155="","",IF(ISNUMBER(SEARCH(":",I155)),VALUE(LEFT(I155,SEARCH(":",I155)-1))*60+VALUE(MID(I155,SEARCH(":",I155)+1,99)),VALUE(I155)))</f>
        <v/>
      </c>
      <c r="K155" s="30" t="inlineStr">
        <is>
          <t>26.09.15</t>
        </is>
      </c>
      <c r="L155" s="30" t="inlineStr">
        <is>
          <t>Swimming New Zealand Short Course Records by Age - user-supplied PDF</t>
        </is>
      </c>
      <c r="M155" s="30" t="n"/>
      <c r="N155" s="30" t="inlineStr">
        <is>
          <t>NO</t>
        </is>
      </c>
      <c r="O155" s="30" t="inlineStr">
        <is>
          <t>YES</t>
        </is>
      </c>
      <c r="P155" s="30" t="inlineStr">
        <is>
          <t>Sophia Batchelor</t>
        </is>
      </c>
      <c r="Q155" s="30" t="inlineStr">
        <is>
          <t>27.89</t>
        </is>
      </c>
      <c r="R155" s="22">
        <f>IF(Q155="","",IF(ISNUMBER(SEARCH(":",Q155)),VALUE(LEFT(Q155,SEARCH(":",Q155)-1))*60+VALUE(MID(Q155,SEARCH(":",Q155)+1,99)),VALUE(Q155)))</f>
        <v/>
      </c>
      <c r="S155" s="39">
        <f>IF(OR(J155="",R155=""),"",(R155-J155)/R155)</f>
        <v/>
      </c>
      <c r="T155" s="22">
        <f>IF(OR(P155&lt;&gt;"",N155="YES"),"YES","NO")</f>
        <v/>
      </c>
      <c r="U155" s="22">
        <f>IF(AND(O155="YES",T155="YES",S155&lt;&gt;""),COUNTIFS($C$5:$C$424,C155,$S$5:$S$424,"&gt;"&amp;S155)+COUNTIFS($C$5:C155,C155,$S$5:S155,S155),"")</f>
        <v/>
      </c>
      <c r="V155" s="22">
        <f>IF(U155="","",C155&amp;"|"&amp;U155)</f>
        <v/>
      </c>
      <c r="W155" s="30" t="n"/>
      <c r="X155" s="30" t="inlineStr">
        <is>
          <t>Next-fastest time supplied in user workbook; swimmer name not yet supplied.</t>
        </is>
      </c>
    </row>
    <row r="156" ht="15" customHeight="1" s="17">
      <c r="A156" s="30" t="inlineStr">
        <is>
          <t>NZ|SCM|F|15|100 Back</t>
        </is>
      </c>
      <c r="B156" s="30" t="inlineStr">
        <is>
          <t>SCM</t>
        </is>
      </c>
      <c r="C156" s="30" t="inlineStr">
        <is>
          <t>Female</t>
        </is>
      </c>
      <c r="D156" s="30" t="n">
        <v>15</v>
      </c>
      <c r="E156" s="30" t="inlineStr">
        <is>
          <t>100 Back</t>
        </is>
      </c>
      <c r="F156" s="30" t="inlineStr">
        <is>
          <t>Gabrielle Fa'amausili</t>
        </is>
      </c>
      <c r="G156" s="22" t="inlineStr">
        <is>
          <t>Gabrielle Fa'amausili</t>
        </is>
      </c>
      <c r="H156" s="22" t="n"/>
      <c r="I156" s="30" t="inlineStr">
        <is>
          <t>58.64</t>
        </is>
      </c>
      <c r="J156" s="22">
        <f>IF(I156="","",IF(ISNUMBER(SEARCH(":",I156)),VALUE(LEFT(I156,SEARCH(":",I156)-1))*60+VALUE(MID(I156,SEARCH(":",I156)+1,99)),VALUE(I156)))</f>
        <v/>
      </c>
      <c r="K156" s="30" t="inlineStr">
        <is>
          <t>12.08.15</t>
        </is>
      </c>
      <c r="L156" s="30" t="inlineStr">
        <is>
          <t>Swimming New Zealand Short Course Records by Age - user-supplied PDF</t>
        </is>
      </c>
      <c r="M156" s="30" t="n"/>
      <c r="N156" s="30" t="inlineStr">
        <is>
          <t>NO</t>
        </is>
      </c>
      <c r="O156" s="30" t="inlineStr">
        <is>
          <t>YES</t>
        </is>
      </c>
      <c r="P156" s="30" t="n"/>
      <c r="Q156" s="30" t="inlineStr">
        <is>
          <t>59.05</t>
        </is>
      </c>
      <c r="R156" s="22">
        <f>IF(Q156="","",IF(ISNUMBER(SEARCH(":",Q156)),VALUE(LEFT(Q156,SEARCH(":",Q156)-1))*60+VALUE(MID(Q156,SEARCH(":",Q156)+1,99)),VALUE(Q156)))</f>
        <v/>
      </c>
      <c r="S156" s="39">
        <f>IF(OR(J156="",R156=""),"",(R156-J156)/R156)</f>
        <v/>
      </c>
      <c r="T156" s="22">
        <f>IF(OR(P156&lt;&gt;"",N156="YES"),"YES","NO")</f>
        <v/>
      </c>
      <c r="U156" s="22">
        <f>IF(AND(O156="YES",T156="YES",S156&lt;&gt;""),COUNTIFS($C$5:$C$424,C156,$S$5:$S$424,"&gt;"&amp;S156)+COUNTIFS($C$5:C156,C156,$S$5:S156,S156),"")</f>
        <v/>
      </c>
      <c r="V156" s="22">
        <f>IF(U156="","",C156&amp;"|"&amp;U156)</f>
        <v/>
      </c>
      <c r="W156" s="30" t="n"/>
      <c r="X156" s="30" t="inlineStr">
        <is>
          <t>Next-fastest time supplied in user workbook; swimmer name not yet supplied.</t>
        </is>
      </c>
    </row>
    <row r="157" ht="15" customHeight="1" s="17">
      <c r="A157" s="30" t="inlineStr">
        <is>
          <t>NZ|SCM|F|15|200 Back</t>
        </is>
      </c>
      <c r="B157" s="30" t="inlineStr">
        <is>
          <t>SCM</t>
        </is>
      </c>
      <c r="C157" s="30" t="inlineStr">
        <is>
          <t>Female</t>
        </is>
      </c>
      <c r="D157" s="30" t="n">
        <v>15</v>
      </c>
      <c r="E157" s="30" t="inlineStr">
        <is>
          <t>200 Back</t>
        </is>
      </c>
      <c r="F157" s="30" t="inlineStr">
        <is>
          <t>Sophia Batchelor</t>
        </is>
      </c>
      <c r="G157" s="22" t="inlineStr">
        <is>
          <t>Sophia Batchelor</t>
        </is>
      </c>
      <c r="H157" s="22" t="n"/>
      <c r="I157" s="30" t="inlineStr">
        <is>
          <t>2:05.52</t>
        </is>
      </c>
      <c r="J157" s="22">
        <f>IF(I157="","",IF(ISNUMBER(SEARCH(":",I157)),VALUE(LEFT(I157,SEARCH(":",I157)-1))*60+VALUE(MID(I157,SEARCH(":",I157)+1,99)),VALUE(I157)))</f>
        <v/>
      </c>
      <c r="K157" s="30" t="inlineStr">
        <is>
          <t>26.09.10</t>
        </is>
      </c>
      <c r="L157" s="30" t="inlineStr">
        <is>
          <t>Swimming New Zealand Short Course Records by Age - user-supplied PDF</t>
        </is>
      </c>
      <c r="M157" s="30" t="n"/>
      <c r="N157" s="30" t="inlineStr">
        <is>
          <t>NO</t>
        </is>
      </c>
      <c r="O157" s="30" t="inlineStr">
        <is>
          <t>YES</t>
        </is>
      </c>
      <c r="P157" s="30" t="inlineStr">
        <is>
          <t>Brydie Whitehead</t>
        </is>
      </c>
      <c r="Q157" s="30" t="inlineStr">
        <is>
          <t>2:12.04</t>
        </is>
      </c>
      <c r="R157" s="22">
        <f>IF(Q157="","",IF(ISNUMBER(SEARCH(":",Q157)),VALUE(LEFT(Q157,SEARCH(":",Q157)-1))*60+VALUE(MID(Q157,SEARCH(":",Q157)+1,99)),VALUE(Q157)))</f>
        <v/>
      </c>
      <c r="S157" s="39">
        <f>IF(OR(J157="",R157=""),"",(R157-J157)/R157)</f>
        <v/>
      </c>
      <c r="T157" s="22">
        <f>IF(OR(P157&lt;&gt;"",N157="YES"),"YES","NO")</f>
        <v/>
      </c>
      <c r="U157" s="22">
        <f>IF(AND(O157="YES",T157="YES",S157&lt;&gt;""),COUNTIFS($C$5:$C$424,C157,$S$5:$S$424,"&gt;"&amp;S157)+COUNTIFS($C$5:C157,C157,$S$5:S157,S157),"")</f>
        <v/>
      </c>
      <c r="V157" s="22">
        <f>IF(U157="","",C157&amp;"|"&amp;U157)</f>
        <v/>
      </c>
      <c r="W157" s="30" t="n"/>
      <c r="X157" s="30" t="inlineStr">
        <is>
          <t>Next-fastest time supplied in user workbook; swimmer name not yet supplied.</t>
        </is>
      </c>
    </row>
    <row r="158" ht="15" customHeight="1" s="17">
      <c r="A158" s="30" t="inlineStr">
        <is>
          <t>NZ|SCM|F|15|50 Breast</t>
        </is>
      </c>
      <c r="B158" s="30" t="inlineStr">
        <is>
          <t>SCM</t>
        </is>
      </c>
      <c r="C158" s="30" t="inlineStr">
        <is>
          <t>Female</t>
        </is>
      </c>
      <c r="D158" s="30" t="n">
        <v>15</v>
      </c>
      <c r="E158" s="30" t="inlineStr">
        <is>
          <t>50 Breast</t>
        </is>
      </c>
      <c r="F158" s="30" t="inlineStr">
        <is>
          <t>Monique Wieruszowski</t>
        </is>
      </c>
      <c r="G158" s="22" t="inlineStr">
        <is>
          <t>Monique Wieruszowski</t>
        </is>
      </c>
      <c r="H158" s="22" t="n"/>
      <c r="I158" s="30" t="inlineStr">
        <is>
          <t>30.97</t>
        </is>
      </c>
      <c r="J158" s="22">
        <f>IF(I158="","",IF(ISNUMBER(SEARCH(":",I158)),VALUE(LEFT(I158,SEARCH(":",I158)-1))*60+VALUE(MID(I158,SEARCH(":",I158)+1,99)),VALUE(I158)))</f>
        <v/>
      </c>
      <c r="K158" s="30" t="inlineStr">
        <is>
          <t>07.07.23</t>
        </is>
      </c>
      <c r="L158" s="30" t="inlineStr">
        <is>
          <t>Swimming New Zealand Short Course Records by Age - user-supplied PDF</t>
        </is>
      </c>
      <c r="M158" s="30" t="n"/>
      <c r="N158" s="30" t="inlineStr">
        <is>
          <t>NO</t>
        </is>
      </c>
      <c r="O158" s="30" t="inlineStr">
        <is>
          <t>YES</t>
        </is>
      </c>
      <c r="P158" s="30" t="n"/>
      <c r="Q158" s="30" t="inlineStr">
        <is>
          <t>31.37</t>
        </is>
      </c>
      <c r="R158" s="22">
        <f>IF(Q158="","",IF(ISNUMBER(SEARCH(":",Q158)),VALUE(LEFT(Q158,SEARCH(":",Q158)-1))*60+VALUE(MID(Q158,SEARCH(":",Q158)+1,99)),VALUE(Q158)))</f>
        <v/>
      </c>
      <c r="S158" s="39">
        <f>IF(OR(J158="",R158=""),"",(R158-J158)/R158)</f>
        <v/>
      </c>
      <c r="T158" s="22">
        <f>IF(OR(P158&lt;&gt;"",N158="YES"),"YES","NO")</f>
        <v/>
      </c>
      <c r="U158" s="22">
        <f>IF(AND(O158="YES",T158="YES",S158&lt;&gt;""),COUNTIFS($C$5:$C$424,C158,$S$5:$S$424,"&gt;"&amp;S158)+COUNTIFS($C$5:C158,C158,$S$5:S158,S158),"")</f>
        <v/>
      </c>
      <c r="V158" s="22">
        <f>IF(U158="","",C158&amp;"|"&amp;U158)</f>
        <v/>
      </c>
      <c r="W158" s="30" t="n"/>
      <c r="X158" s="30" t="inlineStr">
        <is>
          <t>Next-fastest time supplied in user workbook; swimmer name not yet supplied.</t>
        </is>
      </c>
    </row>
    <row r="159" ht="15" customHeight="1" s="17">
      <c r="A159" s="30" t="inlineStr">
        <is>
          <t>NZ|SCM|F|15|100 Breast</t>
        </is>
      </c>
      <c r="B159" s="30" t="inlineStr">
        <is>
          <t>SCM</t>
        </is>
      </c>
      <c r="C159" s="30" t="inlineStr">
        <is>
          <t>Female</t>
        </is>
      </c>
      <c r="D159" s="30" t="n">
        <v>15</v>
      </c>
      <c r="E159" s="30" t="inlineStr">
        <is>
          <t>100 Breast</t>
        </is>
      </c>
      <c r="F159" s="30" t="inlineStr">
        <is>
          <t>Melissa Cowen</t>
        </is>
      </c>
      <c r="G159" s="22" t="inlineStr">
        <is>
          <t>Melissa Cowen</t>
        </is>
      </c>
      <c r="H159" s="22" t="n"/>
      <c r="I159" s="30" t="inlineStr">
        <is>
          <t>1:06.72</t>
        </is>
      </c>
      <c r="J159" s="22">
        <f>IF(I159="","",IF(ISNUMBER(SEARCH(":",I159)),VALUE(LEFT(I159,SEARCH(":",I159)-1))*60+VALUE(MID(I159,SEARCH(":",I159)+1,99)),VALUE(I159)))</f>
        <v/>
      </c>
      <c r="K159" s="30" t="inlineStr">
        <is>
          <t>06.10.20</t>
        </is>
      </c>
      <c r="L159" s="30" t="inlineStr">
        <is>
          <t>Swimming New Zealand Short Course Records by Age - user-supplied PDF</t>
        </is>
      </c>
      <c r="M159" s="30" t="n"/>
      <c r="N159" s="30" t="inlineStr">
        <is>
          <t>NO</t>
        </is>
      </c>
      <c r="O159" s="30" t="inlineStr">
        <is>
          <t>YES</t>
        </is>
      </c>
      <c r="P159" s="30" t="inlineStr">
        <is>
          <t>Chloe Francis</t>
        </is>
      </c>
      <c r="Q159" s="30" t="inlineStr">
        <is>
          <t>1:08.76</t>
        </is>
      </c>
      <c r="R159" s="22">
        <f>IF(Q159="","",IF(ISNUMBER(SEARCH(":",Q159)),VALUE(LEFT(Q159,SEARCH(":",Q159)-1))*60+VALUE(MID(Q159,SEARCH(":",Q159)+1,99)),VALUE(Q159)))</f>
        <v/>
      </c>
      <c r="S159" s="39">
        <f>IF(OR(J159="",R159=""),"",(R159-J159)/R159)</f>
        <v/>
      </c>
      <c r="T159" s="22">
        <f>IF(OR(P159&lt;&gt;"",N159="YES"),"YES","NO")</f>
        <v/>
      </c>
      <c r="U159" s="22">
        <f>IF(AND(O159="YES",T159="YES",S159&lt;&gt;""),COUNTIFS($C$5:$C$424,C159,$S$5:$S$424,"&gt;"&amp;S159)+COUNTIFS($C$5:C159,C159,$S$5:S159,S159),"")</f>
        <v/>
      </c>
      <c r="V159" s="22">
        <f>IF(U159="","",C159&amp;"|"&amp;U159)</f>
        <v/>
      </c>
      <c r="W159" s="30" t="n"/>
      <c r="X159" s="30" t="inlineStr">
        <is>
          <t>Next-fastest time supplied in user workbook; swimmer name not yet supplied.</t>
        </is>
      </c>
    </row>
    <row r="160" ht="15" customHeight="1" s="17">
      <c r="A160" s="30" t="inlineStr">
        <is>
          <t>NZ|SCM|F|15|200 Breast</t>
        </is>
      </c>
      <c r="B160" s="30" t="inlineStr">
        <is>
          <t>SCM</t>
        </is>
      </c>
      <c r="C160" s="30" t="inlineStr">
        <is>
          <t>Female</t>
        </is>
      </c>
      <c r="D160" s="30" t="n">
        <v>15</v>
      </c>
      <c r="E160" s="30" t="inlineStr">
        <is>
          <t>200 Breast</t>
        </is>
      </c>
      <c r="F160" s="30" t="inlineStr">
        <is>
          <t>Melissa Cowen</t>
        </is>
      </c>
      <c r="G160" s="22" t="inlineStr">
        <is>
          <t>Melissa Cowen</t>
        </is>
      </c>
      <c r="H160" s="22" t="n"/>
      <c r="I160" s="30" t="inlineStr">
        <is>
          <t>2:23.47</t>
        </is>
      </c>
      <c r="J160" s="22">
        <f>IF(I160="","",IF(ISNUMBER(SEARCH(":",I160)),VALUE(LEFT(I160,SEARCH(":",I160)-1))*60+VALUE(MID(I160,SEARCH(":",I160)+1,99)),VALUE(I160)))</f>
        <v/>
      </c>
      <c r="K160" s="30" t="inlineStr">
        <is>
          <t>8.10.20</t>
        </is>
      </c>
      <c r="L160" s="30" t="inlineStr">
        <is>
          <t>Swimming New Zealand Short Course Records by Age - user-supplied PDF</t>
        </is>
      </c>
      <c r="M160" s="30" t="n"/>
      <c r="N160" s="30" t="inlineStr">
        <is>
          <t>NO</t>
        </is>
      </c>
      <c r="O160" s="30" t="inlineStr">
        <is>
          <t>YES</t>
        </is>
      </c>
      <c r="P160" s="30" t="n"/>
      <c r="Q160" s="30" t="inlineStr">
        <is>
          <t>2:27.37</t>
        </is>
      </c>
      <c r="R160" s="22">
        <f>IF(Q160="","",IF(ISNUMBER(SEARCH(":",Q160)),VALUE(LEFT(Q160,SEARCH(":",Q160)-1))*60+VALUE(MID(Q160,SEARCH(":",Q160)+1,99)),VALUE(Q160)))</f>
        <v/>
      </c>
      <c r="S160" s="39">
        <f>IF(OR(J160="",R160=""),"",(R160-J160)/R160)</f>
        <v/>
      </c>
      <c r="T160" s="22">
        <f>IF(OR(P160&lt;&gt;"",N160="YES"),"YES","NO")</f>
        <v/>
      </c>
      <c r="U160" s="22">
        <f>IF(AND(O160="YES",T160="YES",S160&lt;&gt;""),COUNTIFS($C$5:$C$424,C160,$S$5:$S$424,"&gt;"&amp;S160)+COUNTIFS($C$5:C160,C160,$S$5:S160,S160),"")</f>
        <v/>
      </c>
      <c r="V160" s="22">
        <f>IF(U160="","",C160&amp;"|"&amp;U160)</f>
        <v/>
      </c>
      <c r="W160" s="30" t="n"/>
      <c r="X160" s="30" t="inlineStr">
        <is>
          <t>Next-fastest time supplied in user workbook; swimmer name not yet supplied.</t>
        </is>
      </c>
    </row>
    <row r="161" ht="15" customHeight="1" s="17">
      <c r="A161" s="30" t="inlineStr">
        <is>
          <t>NZ|SCM|F|15|50 Fly</t>
        </is>
      </c>
      <c r="B161" s="30" t="inlineStr">
        <is>
          <t>SCM</t>
        </is>
      </c>
      <c r="C161" s="30" t="inlineStr">
        <is>
          <t>Female</t>
        </is>
      </c>
      <c r="D161" s="30" t="n">
        <v>15</v>
      </c>
      <c r="E161" s="30" t="inlineStr">
        <is>
          <t>50 Fly</t>
        </is>
      </c>
      <c r="F161" s="30" t="inlineStr">
        <is>
          <t>Brearna Crawford</t>
        </is>
      </c>
      <c r="G161" s="22" t="inlineStr">
        <is>
          <t>Brearna Crawford</t>
        </is>
      </c>
      <c r="H161" s="22" t="n"/>
      <c r="I161" s="30" t="inlineStr">
        <is>
          <t>26.86</t>
        </is>
      </c>
      <c r="J161" s="22">
        <f>IF(I161="","",IF(ISNUMBER(SEARCH(":",I161)),VALUE(LEFT(I161,SEARCH(":",I161)-1))*60+VALUE(MID(I161,SEARCH(":",I161)+1,99)),VALUE(I161)))</f>
        <v/>
      </c>
      <c r="K161" s="30" t="inlineStr">
        <is>
          <t>03.10.18</t>
        </is>
      </c>
      <c r="L161" s="30" t="inlineStr">
        <is>
          <t>Swimming New Zealand Short Course Records by Age - user-supplied PDF</t>
        </is>
      </c>
      <c r="M161" s="30" t="n"/>
      <c r="N161" s="30" t="inlineStr">
        <is>
          <t>NO</t>
        </is>
      </c>
      <c r="O161" s="30" t="inlineStr">
        <is>
          <t>YES</t>
        </is>
      </c>
      <c r="P161" s="30" t="n"/>
      <c r="Q161" s="30" t="inlineStr">
        <is>
          <t>27.09</t>
        </is>
      </c>
      <c r="R161" s="22">
        <f>IF(Q161="","",IF(ISNUMBER(SEARCH(":",Q161)),VALUE(LEFT(Q161,SEARCH(":",Q161)-1))*60+VALUE(MID(Q161,SEARCH(":",Q161)+1,99)),VALUE(Q161)))</f>
        <v/>
      </c>
      <c r="S161" s="39">
        <f>IF(OR(J161="",R161=""),"",(R161-J161)/R161)</f>
        <v/>
      </c>
      <c r="T161" s="22">
        <f>IF(OR(P161&lt;&gt;"",N161="YES"),"YES","NO")</f>
        <v/>
      </c>
      <c r="U161" s="22">
        <f>IF(AND(O161="YES",T161="YES",S161&lt;&gt;""),COUNTIFS($C$5:$C$424,C161,$S$5:$S$424,"&gt;"&amp;S161)+COUNTIFS($C$5:C161,C161,$S$5:S161,S161),"")</f>
        <v/>
      </c>
      <c r="V161" s="22">
        <f>IF(U161="","",C161&amp;"|"&amp;U161)</f>
        <v/>
      </c>
      <c r="W161" s="30" t="n"/>
      <c r="X161" s="30" t="inlineStr">
        <is>
          <t>Next-fastest time supplied in user workbook; swimmer name not yet supplied.</t>
        </is>
      </c>
    </row>
    <row r="162" ht="15" customHeight="1" s="17">
      <c r="A162" s="30" t="inlineStr">
        <is>
          <t>NZ|SCM|F|15|100 Fly</t>
        </is>
      </c>
      <c r="B162" s="30" t="inlineStr">
        <is>
          <t>SCM</t>
        </is>
      </c>
      <c r="C162" s="30" t="inlineStr">
        <is>
          <t>Female</t>
        </is>
      </c>
      <c r="D162" s="30" t="n">
        <v>15</v>
      </c>
      <c r="E162" s="30" t="inlineStr">
        <is>
          <t>100 Fly</t>
        </is>
      </c>
      <c r="F162" s="30" t="inlineStr">
        <is>
          <t>Sophia Batchelor</t>
        </is>
      </c>
      <c r="G162" s="22" t="inlineStr">
        <is>
          <t>Sophia Batchelor</t>
        </is>
      </c>
      <c r="H162" s="22" t="n"/>
      <c r="I162" s="30" t="inlineStr">
        <is>
          <t>59.20</t>
        </is>
      </c>
      <c r="J162" s="22">
        <f>IF(I162="","",IF(ISNUMBER(SEARCH(":",I162)),VALUE(LEFT(I162,SEARCH(":",I162)-1))*60+VALUE(MID(I162,SEARCH(":",I162)+1,99)),VALUE(I162)))</f>
        <v/>
      </c>
      <c r="K162" s="30" t="inlineStr">
        <is>
          <t>29.09.10</t>
        </is>
      </c>
      <c r="L162" s="30" t="inlineStr">
        <is>
          <t>Swimming New Zealand Short Course Records by Age - user-supplied PDF</t>
        </is>
      </c>
      <c r="M162" s="30" t="n"/>
      <c r="N162" s="30" t="inlineStr">
        <is>
          <t>NO</t>
        </is>
      </c>
      <c r="O162" s="30" t="inlineStr">
        <is>
          <t>YES</t>
        </is>
      </c>
      <c r="P162" s="30" t="n"/>
      <c r="Q162" s="30" t="inlineStr">
        <is>
          <t>1:00.41</t>
        </is>
      </c>
      <c r="R162" s="22">
        <f>IF(Q162="","",IF(ISNUMBER(SEARCH(":",Q162)),VALUE(LEFT(Q162,SEARCH(":",Q162)-1))*60+VALUE(MID(Q162,SEARCH(":",Q162)+1,99)),VALUE(Q162)))</f>
        <v/>
      </c>
      <c r="S162" s="39">
        <f>IF(OR(J162="",R162=""),"",(R162-J162)/R162)</f>
        <v/>
      </c>
      <c r="T162" s="22">
        <f>IF(OR(P162&lt;&gt;"",N162="YES"),"YES","NO")</f>
        <v/>
      </c>
      <c r="U162" s="22">
        <f>IF(AND(O162="YES",T162="YES",S162&lt;&gt;""),COUNTIFS($C$5:$C$424,C162,$S$5:$S$424,"&gt;"&amp;S162)+COUNTIFS($C$5:C162,C162,$S$5:S162,S162),"")</f>
        <v/>
      </c>
      <c r="V162" s="22">
        <f>IF(U162="","",C162&amp;"|"&amp;U162)</f>
        <v/>
      </c>
      <c r="W162" s="30" t="n"/>
      <c r="X162" s="30" t="inlineStr">
        <is>
          <t>Next-fastest time supplied in user workbook; swimmer name not yet supplied.</t>
        </is>
      </c>
    </row>
    <row r="163" ht="15" customHeight="1" s="17">
      <c r="A163" s="30" t="inlineStr">
        <is>
          <t>NZ|SCM|F|15|200 Fly</t>
        </is>
      </c>
      <c r="B163" s="30" t="inlineStr">
        <is>
          <t>SCM</t>
        </is>
      </c>
      <c r="C163" s="30" t="inlineStr">
        <is>
          <t>Female</t>
        </is>
      </c>
      <c r="D163" s="30" t="n">
        <v>15</v>
      </c>
      <c r="E163" s="30" t="inlineStr">
        <is>
          <t>200 Fly</t>
        </is>
      </c>
      <c r="F163" s="30" t="inlineStr">
        <is>
          <t>Yeonsu Lee</t>
        </is>
      </c>
      <c r="G163" s="22" t="inlineStr">
        <is>
          <t>Yeonsu Lee</t>
        </is>
      </c>
      <c r="H163" s="22" t="n"/>
      <c r="I163" s="30" t="inlineStr">
        <is>
          <t>2:13.72</t>
        </is>
      </c>
      <c r="J163" s="22">
        <f>IF(I163="","",IF(ISNUMBER(SEARCH(":",I163)),VALUE(LEFT(I163,SEARCH(":",I163)-1))*60+VALUE(MID(I163,SEARCH(":",I163)+1,99)),VALUE(I163)))</f>
        <v/>
      </c>
      <c r="K163" s="30" t="inlineStr">
        <is>
          <t>06.09.14</t>
        </is>
      </c>
      <c r="L163" s="30" t="inlineStr">
        <is>
          <t>Swimming New Zealand Short Course Records by Age - user-supplied PDF</t>
        </is>
      </c>
      <c r="M163" s="30" t="n"/>
      <c r="N163" s="30" t="inlineStr">
        <is>
          <t>NO</t>
        </is>
      </c>
      <c r="O163" s="30" t="inlineStr">
        <is>
          <t>YES</t>
        </is>
      </c>
      <c r="P163" s="30" t="n"/>
      <c r="Q163" s="30" t="inlineStr">
        <is>
          <t>2:15.16</t>
        </is>
      </c>
      <c r="R163" s="22">
        <f>IF(Q163="","",IF(ISNUMBER(SEARCH(":",Q163)),VALUE(LEFT(Q163,SEARCH(":",Q163)-1))*60+VALUE(MID(Q163,SEARCH(":",Q163)+1,99)),VALUE(Q163)))</f>
        <v/>
      </c>
      <c r="S163" s="39">
        <f>IF(OR(J163="",R163=""),"",(R163-J163)/R163)</f>
        <v/>
      </c>
      <c r="T163" s="22">
        <f>IF(OR(P163&lt;&gt;"",N163="YES"),"YES","NO")</f>
        <v/>
      </c>
      <c r="U163" s="22">
        <f>IF(AND(O163="YES",T163="YES",S163&lt;&gt;""),COUNTIFS($C$5:$C$424,C163,$S$5:$S$424,"&gt;"&amp;S163)+COUNTIFS($C$5:C163,C163,$S$5:S163,S163),"")</f>
        <v/>
      </c>
      <c r="V163" s="22">
        <f>IF(U163="","",C163&amp;"|"&amp;U163)</f>
        <v/>
      </c>
      <c r="W163" s="30" t="n"/>
      <c r="X163" s="30" t="inlineStr">
        <is>
          <t>Next-fastest time supplied in user workbook; swimmer name not yet supplied.</t>
        </is>
      </c>
    </row>
    <row r="164" ht="15" customHeight="1" s="17">
      <c r="A164" s="30" t="inlineStr">
        <is>
          <t>NZ|SCM|F|15|100 IM</t>
        </is>
      </c>
      <c r="B164" s="30" t="inlineStr">
        <is>
          <t>SCM</t>
        </is>
      </c>
      <c r="C164" s="30" t="inlineStr">
        <is>
          <t>Female</t>
        </is>
      </c>
      <c r="D164" s="30" t="n">
        <v>15</v>
      </c>
      <c r="E164" s="30" t="inlineStr">
        <is>
          <t>100 IM</t>
        </is>
      </c>
      <c r="F164" s="30" t="inlineStr">
        <is>
          <t>Gabrielle Fa'amausili</t>
        </is>
      </c>
      <c r="G164" s="22" t="inlineStr">
        <is>
          <t>Gabrielle Fa'amausili</t>
        </is>
      </c>
      <c r="H164" s="22" t="n"/>
      <c r="I164" s="30" t="inlineStr">
        <is>
          <t>1:01.39</t>
        </is>
      </c>
      <c r="J164" s="22">
        <f>IF(I164="","",IF(ISNUMBER(SEARCH(":",I164)),VALUE(LEFT(I164,SEARCH(":",I164)-1))*60+VALUE(MID(I164,SEARCH(":",I164)+1,99)),VALUE(I164)))</f>
        <v/>
      </c>
      <c r="K164" s="30" t="inlineStr">
        <is>
          <t>13.08.15</t>
        </is>
      </c>
      <c r="L164" s="30" t="inlineStr">
        <is>
          <t>Swimming New Zealand Short Course Records by Age - user-supplied PDF</t>
        </is>
      </c>
      <c r="M164" s="30" t="n"/>
      <c r="N164" s="30" t="inlineStr">
        <is>
          <t>NO</t>
        </is>
      </c>
      <c r="O164" s="30" t="inlineStr">
        <is>
          <t>YES</t>
        </is>
      </c>
      <c r="P164" s="30" t="n"/>
      <c r="Q164" s="30" t="inlineStr">
        <is>
          <t>1:02.89</t>
        </is>
      </c>
      <c r="R164" s="22">
        <f>IF(Q164="","",IF(ISNUMBER(SEARCH(":",Q164)),VALUE(LEFT(Q164,SEARCH(":",Q164)-1))*60+VALUE(MID(Q164,SEARCH(":",Q164)+1,99)),VALUE(Q164)))</f>
        <v/>
      </c>
      <c r="S164" s="39">
        <f>IF(OR(J164="",R164=""),"",(R164-J164)/R164)</f>
        <v/>
      </c>
      <c r="T164" s="22">
        <f>IF(OR(P164&lt;&gt;"",N164="YES"),"YES","NO")</f>
        <v/>
      </c>
      <c r="U164" s="22">
        <f>IF(AND(O164="YES",T164="YES",S164&lt;&gt;""),COUNTIFS($C$5:$C$424,C164,$S$5:$S$424,"&gt;"&amp;S164)+COUNTIFS($C$5:C164,C164,$S$5:S164,S164),"")</f>
        <v/>
      </c>
      <c r="V164" s="22">
        <f>IF(U164="","",C164&amp;"|"&amp;U164)</f>
        <v/>
      </c>
      <c r="W164" s="30" t="n"/>
      <c r="X164" s="30" t="inlineStr">
        <is>
          <t>Next-fastest time supplied in user workbook; swimmer name not yet supplied.</t>
        </is>
      </c>
    </row>
    <row r="165" ht="15" customHeight="1" s="17">
      <c r="A165" s="30" t="inlineStr">
        <is>
          <t>NZ|SCM|F|15|200 IM</t>
        </is>
      </c>
      <c r="B165" s="30" t="inlineStr">
        <is>
          <t>SCM</t>
        </is>
      </c>
      <c r="C165" s="30" t="inlineStr">
        <is>
          <t>Female</t>
        </is>
      </c>
      <c r="D165" s="30" t="n">
        <v>15</v>
      </c>
      <c r="E165" s="30" t="inlineStr">
        <is>
          <t>200 IM</t>
        </is>
      </c>
      <c r="F165" s="30" t="inlineStr">
        <is>
          <t>Sophia Batchelor</t>
        </is>
      </c>
      <c r="G165" s="22" t="inlineStr">
        <is>
          <t>Sophia Batchelor</t>
        </is>
      </c>
      <c r="H165" s="22" t="n"/>
      <c r="I165" s="30" t="inlineStr">
        <is>
          <t>2:14.77</t>
        </is>
      </c>
      <c r="J165" s="22">
        <f>IF(I165="","",IF(ISNUMBER(SEARCH(":",I165)),VALUE(LEFT(I165,SEARCH(":",I165)-1))*60+VALUE(MID(I165,SEARCH(":",I165)+1,99)),VALUE(I165)))</f>
        <v/>
      </c>
      <c r="K165" s="30" t="inlineStr">
        <is>
          <t>30.09.10</t>
        </is>
      </c>
      <c r="L165" s="30" t="inlineStr">
        <is>
          <t>Swimming New Zealand Short Course Records by Age - user-supplied PDF</t>
        </is>
      </c>
      <c r="M165" s="30" t="n"/>
      <c r="N165" s="30" t="inlineStr">
        <is>
          <t>NO</t>
        </is>
      </c>
      <c r="O165" s="30" t="inlineStr">
        <is>
          <t>YES</t>
        </is>
      </c>
      <c r="P165" s="30" t="n"/>
      <c r="Q165" s="30" t="inlineStr">
        <is>
          <t>2:15.00</t>
        </is>
      </c>
      <c r="R165" s="22">
        <f>IF(Q165="","",IF(ISNUMBER(SEARCH(":",Q165)),VALUE(LEFT(Q165,SEARCH(":",Q165)-1))*60+VALUE(MID(Q165,SEARCH(":",Q165)+1,99)),VALUE(Q165)))</f>
        <v/>
      </c>
      <c r="S165" s="39">
        <f>IF(OR(J165="",R165=""),"",(R165-J165)/R165)</f>
        <v/>
      </c>
      <c r="T165" s="22">
        <f>IF(OR(P165&lt;&gt;"",N165="YES"),"YES","NO")</f>
        <v/>
      </c>
      <c r="U165" s="22">
        <f>IF(AND(O165="YES",T165="YES",S165&lt;&gt;""),COUNTIFS($C$5:$C$424,C165,$S$5:$S$424,"&gt;"&amp;S165)+COUNTIFS($C$5:C165,C165,$S$5:S165,S165),"")</f>
        <v/>
      </c>
      <c r="V165" s="22">
        <f>IF(U165="","",C165&amp;"|"&amp;U165)</f>
        <v/>
      </c>
      <c r="W165" s="30" t="n"/>
      <c r="X165" s="30" t="inlineStr">
        <is>
          <t>Next-fastest time supplied in user workbook; swimmer name not yet supplied.</t>
        </is>
      </c>
    </row>
    <row r="166" ht="15" customHeight="1" s="17">
      <c r="A166" s="30" t="inlineStr">
        <is>
          <t>NZ|SCM|F|15|400 IM</t>
        </is>
      </c>
      <c r="B166" s="30" t="inlineStr">
        <is>
          <t>SCM</t>
        </is>
      </c>
      <c r="C166" s="30" t="inlineStr">
        <is>
          <t>Female</t>
        </is>
      </c>
      <c r="D166" s="30" t="n">
        <v>15</v>
      </c>
      <c r="E166" s="30" t="inlineStr">
        <is>
          <t>400 IM</t>
        </is>
      </c>
      <c r="F166" s="30" t="inlineStr">
        <is>
          <t>Chloe Francis</t>
        </is>
      </c>
      <c r="G166" s="22" t="inlineStr">
        <is>
          <t>Chloe Francis</t>
        </is>
      </c>
      <c r="H166" s="22" t="n"/>
      <c r="I166" s="30" t="inlineStr">
        <is>
          <t>4:46.99</t>
        </is>
      </c>
      <c r="J166" s="22">
        <f>IF(I166="","",IF(ISNUMBER(SEARCH(":",I166)),VALUE(LEFT(I166,SEARCH(":",I166)-1))*60+VALUE(MID(I166,SEARCH(":",I166)+1,99)),VALUE(I166)))</f>
        <v/>
      </c>
      <c r="K166" s="30" t="inlineStr">
        <is>
          <t>30.09.08</t>
        </is>
      </c>
      <c r="L166" s="30" t="inlineStr">
        <is>
          <t>Swimming New Zealand Short Course Records by Age - user-supplied PDF</t>
        </is>
      </c>
      <c r="M166" s="30" t="n"/>
      <c r="N166" s="30" t="inlineStr">
        <is>
          <t>NO</t>
        </is>
      </c>
      <c r="O166" s="30" t="inlineStr">
        <is>
          <t>YES</t>
        </is>
      </c>
      <c r="P166" s="30" t="n"/>
      <c r="Q166" s="30" t="inlineStr">
        <is>
          <t>4:48.47</t>
        </is>
      </c>
      <c r="R166" s="22">
        <f>IF(Q166="","",IF(ISNUMBER(SEARCH(":",Q166)),VALUE(LEFT(Q166,SEARCH(":",Q166)-1))*60+VALUE(MID(Q166,SEARCH(":",Q166)+1,99)),VALUE(Q166)))</f>
        <v/>
      </c>
      <c r="S166" s="39">
        <f>IF(OR(J166="",R166=""),"",(R166-J166)/R166)</f>
        <v/>
      </c>
      <c r="T166" s="22">
        <f>IF(OR(P166&lt;&gt;"",N166="YES"),"YES","NO")</f>
        <v/>
      </c>
      <c r="U166" s="22">
        <f>IF(AND(O166="YES",T166="YES",S166&lt;&gt;""),COUNTIFS($C$5:$C$424,C166,$S$5:$S$424,"&gt;"&amp;S166)+COUNTIFS($C$5:C166,C166,$S$5:S166,S166),"")</f>
        <v/>
      </c>
      <c r="V166" s="22">
        <f>IF(U166="","",C166&amp;"|"&amp;U166)</f>
        <v/>
      </c>
      <c r="W166" s="30" t="n"/>
      <c r="X166" s="30" t="inlineStr">
        <is>
          <t>Next-fastest time supplied in user workbook; swimmer name not yet supplied.</t>
        </is>
      </c>
    </row>
    <row r="167" ht="15" customHeight="1" s="17">
      <c r="A167" s="30" t="inlineStr">
        <is>
          <t>NZ|SCM|F|16|50 Free</t>
        </is>
      </c>
      <c r="B167" s="30" t="inlineStr">
        <is>
          <t>SCM</t>
        </is>
      </c>
      <c r="C167" s="30" t="inlineStr">
        <is>
          <t>Female</t>
        </is>
      </c>
      <c r="D167" s="30" t="n">
        <v>16</v>
      </c>
      <c r="E167" s="30" t="inlineStr">
        <is>
          <t>50 Free</t>
        </is>
      </c>
      <c r="F167" s="30" t="inlineStr">
        <is>
          <t>Gabrielle Fa'amausili / Laura Littlejohn</t>
        </is>
      </c>
      <c r="G167" s="22" t="inlineStr">
        <is>
          <t>Gabrielle Fa'amausili</t>
        </is>
      </c>
      <c r="H167" s="22" t="inlineStr">
        <is>
          <t>Laura Littlejohn</t>
        </is>
      </c>
      <c r="I167" s="30" t="inlineStr">
        <is>
          <t>24.85</t>
        </is>
      </c>
      <c r="J167" s="22">
        <f>IF(I167="","",IF(ISNUMBER(SEARCH(":",I167)),VALUE(LEFT(I167,SEARCH(":",I167)-1))*60+VALUE(MID(I167,SEARCH(":",I167)+1,99)),VALUE(I167)))</f>
        <v/>
      </c>
      <c r="K167" s="30" t="inlineStr">
        <is>
          <t>04.10.16 / 08.10.20</t>
        </is>
      </c>
      <c r="L167" s="30" t="inlineStr">
        <is>
          <t>Swimming New Zealand Short Course Records by Age - user-supplied PDF</t>
        </is>
      </c>
      <c r="M167" s="30" t="n"/>
      <c r="N167" s="30" t="inlineStr">
        <is>
          <t>YES</t>
        </is>
      </c>
      <c r="O167" s="30" t="inlineStr">
        <is>
          <t>NO - joint record</t>
        </is>
      </c>
      <c r="P167" s="30" t="n"/>
      <c r="Q167" s="30" t="inlineStr">
        <is>
          <t>24.85</t>
        </is>
      </c>
      <c r="R167" s="22">
        <f>IF(Q167="","",IF(ISNUMBER(SEARCH(":",Q167)),VALUE(LEFT(Q167,SEARCH(":",Q167)-1))*60+VALUE(MID(Q167,SEARCH(":",Q167)+1,99)),VALUE(Q167)))</f>
        <v/>
      </c>
      <c r="S167" s="39">
        <f>IF(OR(J167="",R167=""),"",(R167-J167)/R167)</f>
        <v/>
      </c>
      <c r="T167" s="22">
        <f>IF(OR(P167&lt;&gt;"",N167="YES"),"YES","NO")</f>
        <v/>
      </c>
      <c r="U167" s="22">
        <f>IF(AND(O167="YES",T167="YES",S167&lt;&gt;""),COUNTIFS($C$5:$C$424,C167,$S$5:$S$424,"&gt;"&amp;S167)+COUNTIFS($C$5:C167,C167,$S$5:S167,S167),"")</f>
        <v/>
      </c>
      <c r="V167" s="22">
        <f>IF(U167="","",C167&amp;"|"&amp;U167)</f>
        <v/>
      </c>
      <c r="W167" s="30" t="inlineStr">
        <is>
          <t>Joint record: margin fixed at 0.0% under the agreed methodology.</t>
        </is>
      </c>
      <c r="X167" s="30" t="inlineStr">
        <is>
          <t>Comparator is the other joint record holder at the same time.</t>
        </is>
      </c>
    </row>
    <row r="168" ht="15" customHeight="1" s="17">
      <c r="A168" s="30" t="inlineStr">
        <is>
          <t>NZ|SCM|F|16|100 Free</t>
        </is>
      </c>
      <c r="B168" s="30" t="inlineStr">
        <is>
          <t>SCM</t>
        </is>
      </c>
      <c r="C168" s="30" t="inlineStr">
        <is>
          <t>Female</t>
        </is>
      </c>
      <c r="D168" s="30" t="n">
        <v>16</v>
      </c>
      <c r="E168" s="30" t="inlineStr">
        <is>
          <t>100 Free</t>
        </is>
      </c>
      <c r="F168" s="30" t="inlineStr">
        <is>
          <t>Laura Littlejohn</t>
        </is>
      </c>
      <c r="G168" s="22" t="inlineStr">
        <is>
          <t>Laura Littlejohn</t>
        </is>
      </c>
      <c r="H168" s="22" t="n"/>
      <c r="I168" s="30" t="inlineStr">
        <is>
          <t>53.92</t>
        </is>
      </c>
      <c r="J168" s="22">
        <f>IF(I168="","",IF(ISNUMBER(SEARCH(":",I168)),VALUE(LEFT(I168,SEARCH(":",I168)-1))*60+VALUE(MID(I168,SEARCH(":",I168)+1,99)),VALUE(I168)))</f>
        <v/>
      </c>
      <c r="K168" s="30" t="inlineStr">
        <is>
          <t>15.10.20</t>
        </is>
      </c>
      <c r="L168" s="30" t="inlineStr">
        <is>
          <t>Swimming New Zealand Short Course Records by Age - user-supplied PDF</t>
        </is>
      </c>
      <c r="M168" s="30" t="n"/>
      <c r="N168" s="30" t="inlineStr">
        <is>
          <t>NO</t>
        </is>
      </c>
      <c r="O168" s="30" t="inlineStr">
        <is>
          <t>YES</t>
        </is>
      </c>
      <c r="P168" s="30" t="n"/>
      <c r="Q168" s="30" t="inlineStr">
        <is>
          <t>54.28</t>
        </is>
      </c>
      <c r="R168" s="22">
        <f>IF(Q168="","",IF(ISNUMBER(SEARCH(":",Q168)),VALUE(LEFT(Q168,SEARCH(":",Q168)-1))*60+VALUE(MID(Q168,SEARCH(":",Q168)+1,99)),VALUE(Q168)))</f>
        <v/>
      </c>
      <c r="S168" s="39">
        <f>IF(OR(J168="",R168=""),"",(R168-J168)/R168)</f>
        <v/>
      </c>
      <c r="T168" s="22">
        <f>IF(OR(P168&lt;&gt;"",N168="YES"),"YES","NO")</f>
        <v/>
      </c>
      <c r="U168" s="22">
        <f>IF(AND(O168="YES",T168="YES",S168&lt;&gt;""),COUNTIFS($C$5:$C$424,C168,$S$5:$S$424,"&gt;"&amp;S168)+COUNTIFS($C$5:C168,C168,$S$5:S168,S168),"")</f>
        <v/>
      </c>
      <c r="V168" s="22">
        <f>IF(U168="","",C168&amp;"|"&amp;U168)</f>
        <v/>
      </c>
      <c r="W168" s="30" t="n"/>
      <c r="X168" s="30" t="inlineStr">
        <is>
          <t>Next-fastest time supplied in user workbook; swimmer name not yet supplied.</t>
        </is>
      </c>
    </row>
    <row r="169" ht="15" customHeight="1" s="17">
      <c r="A169" s="30" t="inlineStr">
        <is>
          <t>NZ|SCM|F|16|200 Free</t>
        </is>
      </c>
      <c r="B169" s="30" t="inlineStr">
        <is>
          <t>SCM</t>
        </is>
      </c>
      <c r="C169" s="30" t="inlineStr">
        <is>
          <t>Female</t>
        </is>
      </c>
      <c r="D169" s="30" t="n">
        <v>16</v>
      </c>
      <c r="E169" s="30" t="inlineStr">
        <is>
          <t>200 Free</t>
        </is>
      </c>
      <c r="F169" s="30" t="inlineStr">
        <is>
          <t>Erika Fairweather</t>
        </is>
      </c>
      <c r="G169" s="22" t="inlineStr">
        <is>
          <t>Erika Fairweather</t>
        </is>
      </c>
      <c r="H169" s="22" t="n"/>
      <c r="I169" s="30" t="inlineStr">
        <is>
          <t>1:55.23</t>
        </is>
      </c>
      <c r="J169" s="22">
        <f>IF(I169="","",IF(ISNUMBER(SEARCH(":",I169)),VALUE(LEFT(I169,SEARCH(":",I169)-1))*60+VALUE(MID(I169,SEARCH(":",I169)+1,99)),VALUE(I169)))</f>
        <v/>
      </c>
      <c r="K169" s="30" t="inlineStr">
        <is>
          <t>09.10.20</t>
        </is>
      </c>
      <c r="L169" s="30" t="inlineStr">
        <is>
          <t>Swimming New Zealand Short Course Records by Age - user-supplied PDF</t>
        </is>
      </c>
      <c r="M169" s="30" t="n"/>
      <c r="N169" s="30" t="inlineStr">
        <is>
          <t>NO</t>
        </is>
      </c>
      <c r="O169" s="30" t="inlineStr">
        <is>
          <t>YES</t>
        </is>
      </c>
      <c r="P169" s="30" t="inlineStr">
        <is>
          <t>Laura Littlejohn</t>
        </is>
      </c>
      <c r="Q169" s="30" t="inlineStr">
        <is>
          <t>1:58.90</t>
        </is>
      </c>
      <c r="R169" s="22">
        <f>IF(Q169="","",IF(ISNUMBER(SEARCH(":",Q169)),VALUE(LEFT(Q169,SEARCH(":",Q169)-1))*60+VALUE(MID(Q169,SEARCH(":",Q169)+1,99)),VALUE(Q169)))</f>
        <v/>
      </c>
      <c r="S169" s="39">
        <f>IF(OR(J169="",R169=""),"",(R169-J169)/R169)</f>
        <v/>
      </c>
      <c r="T169" s="22">
        <f>IF(OR(P169&lt;&gt;"",N169="YES"),"YES","NO")</f>
        <v/>
      </c>
      <c r="U169" s="22">
        <f>IF(AND(O169="YES",T169="YES",S169&lt;&gt;""),COUNTIFS($C$5:$C$424,C169,$S$5:$S$424,"&gt;"&amp;S169)+COUNTIFS($C$5:C169,C169,$S$5:S169,S169),"")</f>
        <v/>
      </c>
      <c r="V169" s="22">
        <f>IF(U169="","",C169&amp;"|"&amp;U169)</f>
        <v/>
      </c>
      <c r="W169" s="30" t="n"/>
      <c r="X169" s="30" t="inlineStr">
        <is>
          <t>Next-fastest time supplied in user workbook; swimmer name not yet supplied.</t>
        </is>
      </c>
    </row>
    <row r="170" ht="15" customHeight="1" s="17">
      <c r="A170" s="30" t="inlineStr">
        <is>
          <t>NZ|SCM|F|16|400 Free</t>
        </is>
      </c>
      <c r="B170" s="30" t="inlineStr">
        <is>
          <t>SCM</t>
        </is>
      </c>
      <c r="C170" s="30" t="inlineStr">
        <is>
          <t>Female</t>
        </is>
      </c>
      <c r="D170" s="30" t="n">
        <v>16</v>
      </c>
      <c r="E170" s="30" t="inlineStr">
        <is>
          <t>400 Free</t>
        </is>
      </c>
      <c r="F170" s="30" t="inlineStr">
        <is>
          <t>Erika Fairweather</t>
        </is>
      </c>
      <c r="G170" s="22" t="inlineStr">
        <is>
          <t>Erika Fairweather</t>
        </is>
      </c>
      <c r="H170" s="22" t="n"/>
      <c r="I170" s="30" t="inlineStr">
        <is>
          <t>4:02.62</t>
        </is>
      </c>
      <c r="J170" s="22">
        <f>IF(I170="","",IF(ISNUMBER(SEARCH(":",I170)),VALUE(LEFT(I170,SEARCH(":",I170)-1))*60+VALUE(MID(I170,SEARCH(":",I170)+1,99)),VALUE(I170)))</f>
        <v/>
      </c>
      <c r="K170" s="30" t="inlineStr">
        <is>
          <t>15.10.20</t>
        </is>
      </c>
      <c r="L170" s="30" t="inlineStr">
        <is>
          <t>Swimming New Zealand Short Course Records by Age - user-supplied PDF</t>
        </is>
      </c>
      <c r="M170" s="30" t="n"/>
      <c r="N170" s="30" t="inlineStr">
        <is>
          <t>NO</t>
        </is>
      </c>
      <c r="O170" s="30" t="inlineStr">
        <is>
          <t>YES</t>
        </is>
      </c>
      <c r="P170" s="30" t="inlineStr">
        <is>
          <t>Samantha Lucie-Smith</t>
        </is>
      </c>
      <c r="Q170" s="30" t="inlineStr">
        <is>
          <t>4:11.24</t>
        </is>
      </c>
      <c r="R170" s="22">
        <f>IF(Q170="","",IF(ISNUMBER(SEARCH(":",Q170)),VALUE(LEFT(Q170,SEARCH(":",Q170)-1))*60+VALUE(MID(Q170,SEARCH(":",Q170)+1,99)),VALUE(Q170)))</f>
        <v/>
      </c>
      <c r="S170" s="39">
        <f>IF(OR(J170="",R170=""),"",(R170-J170)/R170)</f>
        <v/>
      </c>
      <c r="T170" s="22">
        <f>IF(OR(P170&lt;&gt;"",N170="YES"),"YES","NO")</f>
        <v/>
      </c>
      <c r="U170" s="22">
        <f>IF(AND(O170="YES",T170="YES",S170&lt;&gt;""),COUNTIFS($C$5:$C$424,C170,$S$5:$S$424,"&gt;"&amp;S170)+COUNTIFS($C$5:C170,C170,$S$5:S170,S170),"")</f>
        <v/>
      </c>
      <c r="V170" s="22">
        <f>IF(U170="","",C170&amp;"|"&amp;U170)</f>
        <v/>
      </c>
      <c r="W170" s="30" t="n"/>
      <c r="X170" s="30" t="inlineStr">
        <is>
          <t>Next-fastest time supplied in user workbook; swimmer name not yet supplied.</t>
        </is>
      </c>
    </row>
    <row r="171" ht="15" customHeight="1" s="17">
      <c r="A171" s="30" t="inlineStr">
        <is>
          <t>NZ|SCM|F|16|800 Free</t>
        </is>
      </c>
      <c r="B171" s="30" t="inlineStr">
        <is>
          <t>SCM</t>
        </is>
      </c>
      <c r="C171" s="30" t="inlineStr">
        <is>
          <t>Female</t>
        </is>
      </c>
      <c r="D171" s="30" t="n">
        <v>16</v>
      </c>
      <c r="E171" s="30" t="inlineStr">
        <is>
          <t>800 Free</t>
        </is>
      </c>
      <c r="F171" s="30" t="inlineStr">
        <is>
          <t>Erika Fairweather</t>
        </is>
      </c>
      <c r="G171" s="22" t="inlineStr">
        <is>
          <t>Erika Fairweather</t>
        </is>
      </c>
      <c r="H171" s="22" t="n"/>
      <c r="I171" s="30" t="inlineStr">
        <is>
          <t>8:25.61</t>
        </is>
      </c>
      <c r="J171" s="22">
        <f>IF(I171="","",IF(ISNUMBER(SEARCH(":",I171)),VALUE(LEFT(I171,SEARCH(":",I171)-1))*60+VALUE(MID(I171,SEARCH(":",I171)+1,99)),VALUE(I171)))</f>
        <v/>
      </c>
      <c r="K171" s="30" t="inlineStr">
        <is>
          <t>10.10.20</t>
        </is>
      </c>
      <c r="L171" s="30" t="inlineStr">
        <is>
          <t>Swimming New Zealand Short Course Records by Age - user-supplied PDF</t>
        </is>
      </c>
      <c r="M171" s="30" t="n"/>
      <c r="N171" s="30" t="inlineStr">
        <is>
          <t>NO</t>
        </is>
      </c>
      <c r="O171" s="30" t="inlineStr">
        <is>
          <t>YES</t>
        </is>
      </c>
      <c r="P171" s="30" t="n"/>
      <c r="Q171" s="30" t="inlineStr">
        <is>
          <t>8:39.77</t>
        </is>
      </c>
      <c r="R171" s="22">
        <f>IF(Q171="","",IF(ISNUMBER(SEARCH(":",Q171)),VALUE(LEFT(Q171,SEARCH(":",Q171)-1))*60+VALUE(MID(Q171,SEARCH(":",Q171)+1,99)),VALUE(Q171)))</f>
        <v/>
      </c>
      <c r="S171" s="39">
        <f>IF(OR(J171="",R171=""),"",(R171-J171)/R171)</f>
        <v/>
      </c>
      <c r="T171" s="22">
        <f>IF(OR(P171&lt;&gt;"",N171="YES"),"YES","NO")</f>
        <v/>
      </c>
      <c r="U171" s="22">
        <f>IF(AND(O171="YES",T171="YES",S171&lt;&gt;""),COUNTIFS($C$5:$C$424,C171,$S$5:$S$424,"&gt;"&amp;S171)+COUNTIFS($C$5:C171,C171,$S$5:S171,S171),"")</f>
        <v/>
      </c>
      <c r="V171" s="22">
        <f>IF(U171="","",C171&amp;"|"&amp;U171)</f>
        <v/>
      </c>
      <c r="W171" s="30" t="n"/>
      <c r="X171" s="30" t="inlineStr">
        <is>
          <t>Next-fastest time supplied in user workbook; swimmer name not yet supplied.</t>
        </is>
      </c>
    </row>
    <row r="172" ht="15" customHeight="1" s="17">
      <c r="A172" s="30" t="inlineStr">
        <is>
          <t>NZ|SCM|F|16|1500 Free</t>
        </is>
      </c>
      <c r="B172" s="30" t="inlineStr">
        <is>
          <t>SCM</t>
        </is>
      </c>
      <c r="C172" s="30" t="inlineStr">
        <is>
          <t>Female</t>
        </is>
      </c>
      <c r="D172" s="30" t="n">
        <v>16</v>
      </c>
      <c r="E172" s="30" t="inlineStr">
        <is>
          <t>1500 Free</t>
        </is>
      </c>
      <c r="F172" s="30" t="inlineStr">
        <is>
          <t>Keira-Lee Allott</t>
        </is>
      </c>
      <c r="G172" s="22" t="inlineStr">
        <is>
          <t>Keira-Lee Allott</t>
        </is>
      </c>
      <c r="H172" s="22" t="n"/>
      <c r="I172" s="30" t="inlineStr">
        <is>
          <t>16:33.67</t>
        </is>
      </c>
      <c r="J172" s="22">
        <f>IF(I172="","",IF(ISNUMBER(SEARCH(":",I172)),VALUE(LEFT(I172,SEARCH(":",I172)-1))*60+VALUE(MID(I172,SEARCH(":",I172)+1,99)),VALUE(I172)))</f>
        <v/>
      </c>
      <c r="K172" s="30" t="inlineStr">
        <is>
          <t>11.07.21</t>
        </is>
      </c>
      <c r="L172" s="30" t="inlineStr">
        <is>
          <t>Swimming New Zealand Short Course Records by Age - user-supplied PDF</t>
        </is>
      </c>
      <c r="M172" s="30" t="n"/>
      <c r="N172" s="30" t="inlineStr">
        <is>
          <t>NO</t>
        </is>
      </c>
      <c r="O172" s="30" t="inlineStr">
        <is>
          <t>YES</t>
        </is>
      </c>
      <c r="P172" s="30" t="n"/>
      <c r="Q172" s="30" t="inlineStr">
        <is>
          <t>16:48.46</t>
        </is>
      </c>
      <c r="R172" s="22">
        <f>IF(Q172="","",IF(ISNUMBER(SEARCH(":",Q172)),VALUE(LEFT(Q172,SEARCH(":",Q172)-1))*60+VALUE(MID(Q172,SEARCH(":",Q172)+1,99)),VALUE(Q172)))</f>
        <v/>
      </c>
      <c r="S172" s="39">
        <f>IF(OR(J172="",R172=""),"",(R172-J172)/R172)</f>
        <v/>
      </c>
      <c r="T172" s="22">
        <f>IF(OR(P172&lt;&gt;"",N172="YES"),"YES","NO")</f>
        <v/>
      </c>
      <c r="U172" s="22">
        <f>IF(AND(O172="YES",T172="YES",S172&lt;&gt;""),COUNTIFS($C$5:$C$424,C172,$S$5:$S$424,"&gt;"&amp;S172)+COUNTIFS($C$5:C172,C172,$S$5:S172,S172),"")</f>
        <v/>
      </c>
      <c r="V172" s="22">
        <f>IF(U172="","",C172&amp;"|"&amp;U172)</f>
        <v/>
      </c>
      <c r="W172" s="30" t="n"/>
      <c r="X172" s="30" t="inlineStr">
        <is>
          <t>Next-fastest time supplied in user workbook; swimmer name not yet supplied.</t>
        </is>
      </c>
    </row>
    <row r="173" ht="15" customHeight="1" s="17">
      <c r="A173" s="30" t="inlineStr">
        <is>
          <t>NZ|SCM|F|16|50 Back</t>
        </is>
      </c>
      <c r="B173" s="30" t="inlineStr">
        <is>
          <t>SCM</t>
        </is>
      </c>
      <c r="C173" s="30" t="inlineStr">
        <is>
          <t>Female</t>
        </is>
      </c>
      <c r="D173" s="30" t="n">
        <v>16</v>
      </c>
      <c r="E173" s="30" t="inlineStr">
        <is>
          <t>50 Back</t>
        </is>
      </c>
      <c r="F173" s="30" t="inlineStr">
        <is>
          <t>Milan Glintmeyer</t>
        </is>
      </c>
      <c r="G173" s="22" t="inlineStr">
        <is>
          <t>Milan Glintmeyer</t>
        </is>
      </c>
      <c r="H173" s="22" t="n"/>
      <c r="I173" s="30" t="inlineStr">
        <is>
          <t>27.58</t>
        </is>
      </c>
      <c r="J173" s="22">
        <f>IF(I173="","",IF(ISNUMBER(SEARCH(":",I173)),VALUE(LEFT(I173,SEARCH(":",I173)-1))*60+VALUE(MID(I173,SEARCH(":",I173)+1,99)),VALUE(I173)))</f>
        <v/>
      </c>
      <c r="K173" s="30" t="inlineStr">
        <is>
          <t>26.07.25</t>
        </is>
      </c>
      <c r="L173" s="30" t="inlineStr">
        <is>
          <t>Swimming New Zealand Short Course Records by Age - user-supplied PDF</t>
        </is>
      </c>
      <c r="M173" s="30" t="n"/>
      <c r="N173" s="30" t="inlineStr">
        <is>
          <t>NO</t>
        </is>
      </c>
      <c r="O173" s="30" t="inlineStr">
        <is>
          <t>YES</t>
        </is>
      </c>
      <c r="P173" s="30" t="n"/>
      <c r="Q173" s="30" t="inlineStr">
        <is>
          <t>27.71</t>
        </is>
      </c>
      <c r="R173" s="22">
        <f>IF(Q173="","",IF(ISNUMBER(SEARCH(":",Q173)),VALUE(LEFT(Q173,SEARCH(":",Q173)-1))*60+VALUE(MID(Q173,SEARCH(":",Q173)+1,99)),VALUE(Q173)))</f>
        <v/>
      </c>
      <c r="S173" s="39">
        <f>IF(OR(J173="",R173=""),"",(R173-J173)/R173)</f>
        <v/>
      </c>
      <c r="T173" s="22">
        <f>IF(OR(P173&lt;&gt;"",N173="YES"),"YES","NO")</f>
        <v/>
      </c>
      <c r="U173" s="22">
        <f>IF(AND(O173="YES",T173="YES",S173&lt;&gt;""),COUNTIFS($C$5:$C$424,C173,$S$5:$S$424,"&gt;"&amp;S173)+COUNTIFS($C$5:C173,C173,$S$5:S173,S173),"")</f>
        <v/>
      </c>
      <c r="V173" s="22">
        <f>IF(U173="","",C173&amp;"|"&amp;U173)</f>
        <v/>
      </c>
      <c r="W173" s="30" t="n"/>
      <c r="X173" s="30" t="inlineStr">
        <is>
          <t>Next-fastest time supplied in user workbook; swimmer name not yet supplied.</t>
        </is>
      </c>
    </row>
    <row r="174" ht="15" customHeight="1" s="17">
      <c r="A174" s="30" t="inlineStr">
        <is>
          <t>NZ|SCM|F|16|100 Back</t>
        </is>
      </c>
      <c r="B174" s="30" t="inlineStr">
        <is>
          <t>SCM</t>
        </is>
      </c>
      <c r="C174" s="30" t="inlineStr">
        <is>
          <t>Female</t>
        </is>
      </c>
      <c r="D174" s="30" t="n">
        <v>16</v>
      </c>
      <c r="E174" s="30" t="inlineStr">
        <is>
          <t>100 Back</t>
        </is>
      </c>
      <c r="F174" s="30" t="inlineStr">
        <is>
          <t>Milan Glintmeyer</t>
        </is>
      </c>
      <c r="G174" s="22" t="inlineStr">
        <is>
          <t>Milan Glintmeyer</t>
        </is>
      </c>
      <c r="H174" s="22" t="n"/>
      <c r="I174" s="30" t="inlineStr">
        <is>
          <t>59.38</t>
        </is>
      </c>
      <c r="J174" s="22">
        <f>IF(I174="","",IF(ISNUMBER(SEARCH(":",I174)),VALUE(LEFT(I174,SEARCH(":",I174)-1))*60+VALUE(MID(I174,SEARCH(":",I174)+1,99)),VALUE(I174)))</f>
        <v/>
      </c>
      <c r="K174" s="30" t="inlineStr">
        <is>
          <t>25.07.25</t>
        </is>
      </c>
      <c r="L174" s="30" t="inlineStr">
        <is>
          <t>Swimming New Zealand Short Course Records by Age - user-supplied PDF</t>
        </is>
      </c>
      <c r="M174" s="30" t="n"/>
      <c r="N174" s="30" t="inlineStr">
        <is>
          <t>NO</t>
        </is>
      </c>
      <c r="O174" s="30" t="inlineStr">
        <is>
          <t>YES</t>
        </is>
      </c>
      <c r="P174" s="30" t="n"/>
      <c r="Q174" s="30" t="inlineStr">
        <is>
          <t>59.54</t>
        </is>
      </c>
      <c r="R174" s="22">
        <f>IF(Q174="","",IF(ISNUMBER(SEARCH(":",Q174)),VALUE(LEFT(Q174,SEARCH(":",Q174)-1))*60+VALUE(MID(Q174,SEARCH(":",Q174)+1,99)),VALUE(Q174)))</f>
        <v/>
      </c>
      <c r="S174" s="39">
        <f>IF(OR(J174="",R174=""),"",(R174-J174)/R174)</f>
        <v/>
      </c>
      <c r="T174" s="22">
        <f>IF(OR(P174&lt;&gt;"",N174="YES"),"YES","NO")</f>
        <v/>
      </c>
      <c r="U174" s="22">
        <f>IF(AND(O174="YES",T174="YES",S174&lt;&gt;""),COUNTIFS($C$5:$C$424,C174,$S$5:$S$424,"&gt;"&amp;S174)+COUNTIFS($C$5:C174,C174,$S$5:S174,S174),"")</f>
        <v/>
      </c>
      <c r="V174" s="22">
        <f>IF(U174="","",C174&amp;"|"&amp;U174)</f>
        <v/>
      </c>
      <c r="W174" s="30" t="n"/>
      <c r="X174" s="30" t="inlineStr">
        <is>
          <t>Next-fastest time supplied in user workbook; swimmer name not yet supplied.</t>
        </is>
      </c>
    </row>
    <row r="175" ht="15" customHeight="1" s="17">
      <c r="A175" s="30" t="inlineStr">
        <is>
          <t>NZ|SCM|F|16|200 Back</t>
        </is>
      </c>
      <c r="B175" s="30" t="inlineStr">
        <is>
          <t>SCM</t>
        </is>
      </c>
      <c r="C175" s="30" t="inlineStr">
        <is>
          <t>Female</t>
        </is>
      </c>
      <c r="D175" s="30" t="n">
        <v>16</v>
      </c>
      <c r="E175" s="30" t="inlineStr">
        <is>
          <t>200 Back</t>
        </is>
      </c>
      <c r="F175" s="30" t="inlineStr">
        <is>
          <t>Sophia Batchelor</t>
        </is>
      </c>
      <c r="G175" s="22" t="inlineStr">
        <is>
          <t>Sophia Batchelor</t>
        </is>
      </c>
      <c r="H175" s="22" t="n"/>
      <c r="I175" s="30" t="inlineStr">
        <is>
          <t>2:07.53</t>
        </is>
      </c>
      <c r="J175" s="22">
        <f>IF(I175="","",IF(ISNUMBER(SEARCH(":",I175)),VALUE(LEFT(I175,SEARCH(":",I175)-1))*60+VALUE(MID(I175,SEARCH(":",I175)+1,99)),VALUE(I175)))</f>
        <v/>
      </c>
      <c r="K175" s="30" t="inlineStr">
        <is>
          <t>09.08.11</t>
        </is>
      </c>
      <c r="L175" s="30" t="inlineStr">
        <is>
          <t>Swimming New Zealand Short Course Records by Age - user-supplied PDF</t>
        </is>
      </c>
      <c r="M175" s="30" t="n"/>
      <c r="N175" s="30" t="inlineStr">
        <is>
          <t>NO</t>
        </is>
      </c>
      <c r="O175" s="30" t="inlineStr">
        <is>
          <t>YES</t>
        </is>
      </c>
      <c r="P175" s="30" t="n"/>
      <c r="Q175" s="30" t="inlineStr">
        <is>
          <t>2:09.70</t>
        </is>
      </c>
      <c r="R175" s="22">
        <f>IF(Q175="","",IF(ISNUMBER(SEARCH(":",Q175)),VALUE(LEFT(Q175,SEARCH(":",Q175)-1))*60+VALUE(MID(Q175,SEARCH(":",Q175)+1,99)),VALUE(Q175)))</f>
        <v/>
      </c>
      <c r="S175" s="39">
        <f>IF(OR(J175="",R175=""),"",(R175-J175)/R175)</f>
        <v/>
      </c>
      <c r="T175" s="22">
        <f>IF(OR(P175&lt;&gt;"",N175="YES"),"YES","NO")</f>
        <v/>
      </c>
      <c r="U175" s="22">
        <f>IF(AND(O175="YES",T175="YES",S175&lt;&gt;""),COUNTIFS($C$5:$C$424,C175,$S$5:$S$424,"&gt;"&amp;S175)+COUNTIFS($C$5:C175,C175,$S$5:S175,S175),"")</f>
        <v/>
      </c>
      <c r="V175" s="22">
        <f>IF(U175="","",C175&amp;"|"&amp;U175)</f>
        <v/>
      </c>
      <c r="W175" s="30" t="n"/>
      <c r="X175" s="30" t="inlineStr">
        <is>
          <t>Next-fastest time supplied in user workbook; swimmer name not yet supplied.</t>
        </is>
      </c>
    </row>
    <row r="176" ht="15" customHeight="1" s="17">
      <c r="A176" s="30" t="inlineStr">
        <is>
          <t>NZ|SCM|F|16|50 Breast</t>
        </is>
      </c>
      <c r="B176" s="30" t="inlineStr">
        <is>
          <t>SCM</t>
        </is>
      </c>
      <c r="C176" s="30" t="inlineStr">
        <is>
          <t>Female</t>
        </is>
      </c>
      <c r="D176" s="30" t="n">
        <v>16</v>
      </c>
      <c r="E176" s="30" t="inlineStr">
        <is>
          <t>50 Breast</t>
        </is>
      </c>
      <c r="F176" s="30" t="inlineStr">
        <is>
          <t>Monique Wieruszowski</t>
        </is>
      </c>
      <c r="G176" s="22" t="inlineStr">
        <is>
          <t>Monique Wieruszowski</t>
        </is>
      </c>
      <c r="H176" s="22" t="n"/>
      <c r="I176" s="30" t="inlineStr">
        <is>
          <t>30.69</t>
        </is>
      </c>
      <c r="J176" s="22">
        <f>IF(I176="","",IF(ISNUMBER(SEARCH(":",I176)),VALUE(LEFT(I176,SEARCH(":",I176)-1))*60+VALUE(MID(I176,SEARCH(":",I176)+1,99)),VALUE(I176)))</f>
        <v/>
      </c>
      <c r="K176" s="30" t="inlineStr">
        <is>
          <t>10.08.23</t>
        </is>
      </c>
      <c r="L176" s="30" t="inlineStr">
        <is>
          <t>Swimming New Zealand Short Course Records by Age - user-supplied PDF</t>
        </is>
      </c>
      <c r="M176" s="30" t="n"/>
      <c r="N176" s="30" t="inlineStr">
        <is>
          <t>NO</t>
        </is>
      </c>
      <c r="O176" s="30" t="inlineStr">
        <is>
          <t>YES</t>
        </is>
      </c>
      <c r="P176" s="30" t="n"/>
      <c r="Q176" s="30" t="inlineStr">
        <is>
          <t>30.90</t>
        </is>
      </c>
      <c r="R176" s="22">
        <f>IF(Q176="","",IF(ISNUMBER(SEARCH(":",Q176)),VALUE(LEFT(Q176,SEARCH(":",Q176)-1))*60+VALUE(MID(Q176,SEARCH(":",Q176)+1,99)),VALUE(Q176)))</f>
        <v/>
      </c>
      <c r="S176" s="39">
        <f>IF(OR(J176="",R176=""),"",(R176-J176)/R176)</f>
        <v/>
      </c>
      <c r="T176" s="22">
        <f>IF(OR(P176&lt;&gt;"",N176="YES"),"YES","NO")</f>
        <v/>
      </c>
      <c r="U176" s="22">
        <f>IF(AND(O176="YES",T176="YES",S176&lt;&gt;""),COUNTIFS($C$5:$C$424,C176,$S$5:$S$424,"&gt;"&amp;S176)+COUNTIFS($C$5:C176,C176,$S$5:S176,S176),"")</f>
        <v/>
      </c>
      <c r="V176" s="22">
        <f>IF(U176="","",C176&amp;"|"&amp;U176)</f>
        <v/>
      </c>
      <c r="W176" s="30" t="n"/>
      <c r="X176" s="30" t="inlineStr">
        <is>
          <t>Next-fastest time supplied in user workbook; swimmer name not yet supplied.</t>
        </is>
      </c>
    </row>
    <row r="177" ht="15" customHeight="1" s="17">
      <c r="A177" s="30" t="inlineStr">
        <is>
          <t>NZ|SCM|F|16|100 Breast</t>
        </is>
      </c>
      <c r="B177" s="30" t="inlineStr">
        <is>
          <t>SCM</t>
        </is>
      </c>
      <c r="C177" s="30" t="inlineStr">
        <is>
          <t>Female</t>
        </is>
      </c>
      <c r="D177" s="30" t="n">
        <v>16</v>
      </c>
      <c r="E177" s="30" t="inlineStr">
        <is>
          <t>100 Breast</t>
        </is>
      </c>
      <c r="F177" s="30" t="inlineStr">
        <is>
          <t>Brearna Crawford</t>
        </is>
      </c>
      <c r="G177" s="22" t="inlineStr">
        <is>
          <t>Brearna Crawford</t>
        </is>
      </c>
      <c r="H177" s="22" t="n"/>
      <c r="I177" s="30" t="inlineStr">
        <is>
          <t>1:07.14</t>
        </is>
      </c>
      <c r="J177" s="22">
        <f>IF(I177="","",IF(ISNUMBER(SEARCH(":",I177)),VALUE(LEFT(I177,SEARCH(":",I177)-1))*60+VALUE(MID(I177,SEARCH(":",I177)+1,99)),VALUE(I177)))</f>
        <v/>
      </c>
      <c r="K177" s="30" t="inlineStr">
        <is>
          <t>06.07.19</t>
        </is>
      </c>
      <c r="L177" s="30" t="inlineStr">
        <is>
          <t>Swimming New Zealand Short Course Records by Age - user-supplied PDF</t>
        </is>
      </c>
      <c r="M177" s="30" t="n"/>
      <c r="N177" s="30" t="inlineStr">
        <is>
          <t>NO</t>
        </is>
      </c>
      <c r="O177" s="30" t="inlineStr">
        <is>
          <t>YES</t>
        </is>
      </c>
      <c r="P177" s="30" t="n"/>
      <c r="Q177" s="30" t="inlineStr">
        <is>
          <t>1:07.92</t>
        </is>
      </c>
      <c r="R177" s="22">
        <f>IF(Q177="","",IF(ISNUMBER(SEARCH(":",Q177)),VALUE(LEFT(Q177,SEARCH(":",Q177)-1))*60+VALUE(MID(Q177,SEARCH(":",Q177)+1,99)),VALUE(Q177)))</f>
        <v/>
      </c>
      <c r="S177" s="39">
        <f>IF(OR(J177="",R177=""),"",(R177-J177)/R177)</f>
        <v/>
      </c>
      <c r="T177" s="22">
        <f>IF(OR(P177&lt;&gt;"",N177="YES"),"YES","NO")</f>
        <v/>
      </c>
      <c r="U177" s="22">
        <f>IF(AND(O177="YES",T177="YES",S177&lt;&gt;""),COUNTIFS($C$5:$C$424,C177,$S$5:$S$424,"&gt;"&amp;S177)+COUNTIFS($C$5:C177,C177,$S$5:S177,S177),"")</f>
        <v/>
      </c>
      <c r="V177" s="22">
        <f>IF(U177="","",C177&amp;"|"&amp;U177)</f>
        <v/>
      </c>
      <c r="W177" s="30" t="n"/>
      <c r="X177" s="30" t="inlineStr">
        <is>
          <t>Next-fastest time supplied in user workbook; swimmer name not yet supplied.</t>
        </is>
      </c>
    </row>
    <row r="178" ht="15" customHeight="1" s="17">
      <c r="A178" s="30" t="inlineStr">
        <is>
          <t>NZ|SCM|F|16|200 Breast</t>
        </is>
      </c>
      <c r="B178" s="30" t="inlineStr">
        <is>
          <t>SCM</t>
        </is>
      </c>
      <c r="C178" s="30" t="inlineStr">
        <is>
          <t>Female</t>
        </is>
      </c>
      <c r="D178" s="30" t="n">
        <v>16</v>
      </c>
      <c r="E178" s="30" t="inlineStr">
        <is>
          <t>200 Breast</t>
        </is>
      </c>
      <c r="F178" s="30" t="inlineStr">
        <is>
          <t>Ciara Smith</t>
        </is>
      </c>
      <c r="G178" s="22" t="inlineStr">
        <is>
          <t>Ciara Smith</t>
        </is>
      </c>
      <c r="H178" s="22" t="n"/>
      <c r="I178" s="30" t="inlineStr">
        <is>
          <t>2:25.82</t>
        </is>
      </c>
      <c r="J178" s="22">
        <f>IF(I178="","",IF(ISNUMBER(SEARCH(":",I178)),VALUE(LEFT(I178,SEARCH(":",I178)-1))*60+VALUE(MID(I178,SEARCH(":",I178)+1,99)),VALUE(I178)))</f>
        <v/>
      </c>
      <c r="K178" s="30" t="inlineStr">
        <is>
          <t>05.10.17</t>
        </is>
      </c>
      <c r="L178" s="30" t="inlineStr">
        <is>
          <t>Swimming New Zealand Short Course Records by Age - user-supplied PDF</t>
        </is>
      </c>
      <c r="M178" s="30" t="n"/>
      <c r="N178" s="30" t="inlineStr">
        <is>
          <t>NO</t>
        </is>
      </c>
      <c r="O178" s="30" t="inlineStr">
        <is>
          <t>YES</t>
        </is>
      </c>
      <c r="P178" s="30" t="n"/>
      <c r="Q178" s="30" t="inlineStr">
        <is>
          <t>2:26.60</t>
        </is>
      </c>
      <c r="R178" s="22">
        <f>IF(Q178="","",IF(ISNUMBER(SEARCH(":",Q178)),VALUE(LEFT(Q178,SEARCH(":",Q178)-1))*60+VALUE(MID(Q178,SEARCH(":",Q178)+1,99)),VALUE(Q178)))</f>
        <v/>
      </c>
      <c r="S178" s="39">
        <f>IF(OR(J178="",R178=""),"",(R178-J178)/R178)</f>
        <v/>
      </c>
      <c r="T178" s="22">
        <f>IF(OR(P178&lt;&gt;"",N178="YES"),"YES","NO")</f>
        <v/>
      </c>
      <c r="U178" s="22">
        <f>IF(AND(O178="YES",T178="YES",S178&lt;&gt;""),COUNTIFS($C$5:$C$424,C178,$S$5:$S$424,"&gt;"&amp;S178)+COUNTIFS($C$5:C178,C178,$S$5:S178,S178),"")</f>
        <v/>
      </c>
      <c r="V178" s="22">
        <f>IF(U178="","",C178&amp;"|"&amp;U178)</f>
        <v/>
      </c>
      <c r="W178" s="30" t="n"/>
      <c r="X178" s="30" t="inlineStr">
        <is>
          <t>Next-fastest time supplied in user workbook; swimmer name not yet supplied.</t>
        </is>
      </c>
    </row>
    <row r="179" ht="15" customHeight="1" s="17">
      <c r="A179" s="30" t="inlineStr">
        <is>
          <t>NZ|SCM|F|16|50 Fly</t>
        </is>
      </c>
      <c r="B179" s="30" t="inlineStr">
        <is>
          <t>SCM</t>
        </is>
      </c>
      <c r="C179" s="30" t="inlineStr">
        <is>
          <t>Female</t>
        </is>
      </c>
      <c r="D179" s="30" t="n">
        <v>16</v>
      </c>
      <c r="E179" s="30" t="inlineStr">
        <is>
          <t>50 Fly</t>
        </is>
      </c>
      <c r="F179" s="30" t="inlineStr">
        <is>
          <t>Brearna Crawford</t>
        </is>
      </c>
      <c r="G179" s="22" t="inlineStr">
        <is>
          <t>Brearna Crawford</t>
        </is>
      </c>
      <c r="H179" s="22" t="n"/>
      <c r="I179" s="30" t="inlineStr">
        <is>
          <t>26.43</t>
        </is>
      </c>
      <c r="J179" s="22">
        <f>IF(I179="","",IF(ISNUMBER(SEARCH(":",I179)),VALUE(LEFT(I179,SEARCH(":",I179)-1))*60+VALUE(MID(I179,SEARCH(":",I179)+1,99)),VALUE(I179)))</f>
        <v/>
      </c>
      <c r="K179" s="30" t="inlineStr">
        <is>
          <t>01.10.19</t>
        </is>
      </c>
      <c r="L179" s="30" t="inlineStr">
        <is>
          <t>Swimming New Zealand Short Course Records by Age - user-supplied PDF</t>
        </is>
      </c>
      <c r="M179" s="30" t="n"/>
      <c r="N179" s="30" t="inlineStr">
        <is>
          <t>NO</t>
        </is>
      </c>
      <c r="O179" s="30" t="inlineStr">
        <is>
          <t>YES</t>
        </is>
      </c>
      <c r="P179" s="30" t="n"/>
      <c r="Q179" s="30" t="inlineStr">
        <is>
          <t>26.82</t>
        </is>
      </c>
      <c r="R179" s="22">
        <f>IF(Q179="","",IF(ISNUMBER(SEARCH(":",Q179)),VALUE(LEFT(Q179,SEARCH(":",Q179)-1))*60+VALUE(MID(Q179,SEARCH(":",Q179)+1,99)),VALUE(Q179)))</f>
        <v/>
      </c>
      <c r="S179" s="39">
        <f>IF(OR(J179="",R179=""),"",(R179-J179)/R179)</f>
        <v/>
      </c>
      <c r="T179" s="22">
        <f>IF(OR(P179&lt;&gt;"",N179="YES"),"YES","NO")</f>
        <v/>
      </c>
      <c r="U179" s="22">
        <f>IF(AND(O179="YES",T179="YES",S179&lt;&gt;""),COUNTIFS($C$5:$C$424,C179,$S$5:$S$424,"&gt;"&amp;S179)+COUNTIFS($C$5:C179,C179,$S$5:S179,S179),"")</f>
        <v/>
      </c>
      <c r="V179" s="22">
        <f>IF(U179="","",C179&amp;"|"&amp;U179)</f>
        <v/>
      </c>
      <c r="W179" s="30" t="n"/>
      <c r="X179" s="30" t="inlineStr">
        <is>
          <t>Next-fastest time supplied in user workbook; swimmer name not yet supplied.</t>
        </is>
      </c>
    </row>
    <row r="180" ht="15" customHeight="1" s="17">
      <c r="A180" s="30" t="inlineStr">
        <is>
          <t>NZ|SCM|F|16|100 Fly</t>
        </is>
      </c>
      <c r="B180" s="30" t="inlineStr">
        <is>
          <t>SCM</t>
        </is>
      </c>
      <c r="C180" s="30" t="inlineStr">
        <is>
          <t>Female</t>
        </is>
      </c>
      <c r="D180" s="30" t="n">
        <v>16</v>
      </c>
      <c r="E180" s="30" t="inlineStr">
        <is>
          <t>100 Fly</t>
        </is>
      </c>
      <c r="F180" s="30" t="inlineStr">
        <is>
          <t>Sophia Batchelor</t>
        </is>
      </c>
      <c r="G180" s="22" t="inlineStr">
        <is>
          <t>Sophia Batchelor</t>
        </is>
      </c>
      <c r="H180" s="22" t="n"/>
      <c r="I180" s="30" t="inlineStr">
        <is>
          <t>58.63</t>
        </is>
      </c>
      <c r="J180" s="22">
        <f>IF(I180="","",IF(ISNUMBER(SEARCH(":",I180)),VALUE(LEFT(I180,SEARCH(":",I180)-1))*60+VALUE(MID(I180,SEARCH(":",I180)+1,99)),VALUE(I180)))</f>
        <v/>
      </c>
      <c r="K180" s="30" t="inlineStr">
        <is>
          <t>11.09.11</t>
        </is>
      </c>
      <c r="L180" s="30" t="inlineStr">
        <is>
          <t>Swimming New Zealand Short Course Records by Age - user-supplied PDF</t>
        </is>
      </c>
      <c r="M180" s="30" t="n"/>
      <c r="N180" s="30" t="inlineStr">
        <is>
          <t>NO</t>
        </is>
      </c>
      <c r="O180" s="30" t="inlineStr">
        <is>
          <t>YES</t>
        </is>
      </c>
      <c r="P180" s="30" t="n"/>
      <c r="Q180" s="30" t="inlineStr">
        <is>
          <t>59.46</t>
        </is>
      </c>
      <c r="R180" s="22">
        <f>IF(Q180="","",IF(ISNUMBER(SEARCH(":",Q180)),VALUE(LEFT(Q180,SEARCH(":",Q180)-1))*60+VALUE(MID(Q180,SEARCH(":",Q180)+1,99)),VALUE(Q180)))</f>
        <v/>
      </c>
      <c r="S180" s="39">
        <f>IF(OR(J180="",R180=""),"",(R180-J180)/R180)</f>
        <v/>
      </c>
      <c r="T180" s="22">
        <f>IF(OR(P180&lt;&gt;"",N180="YES"),"YES","NO")</f>
        <v/>
      </c>
      <c r="U180" s="22">
        <f>IF(AND(O180="YES",T180="YES",S180&lt;&gt;""),COUNTIFS($C$5:$C$424,C180,$S$5:$S$424,"&gt;"&amp;S180)+COUNTIFS($C$5:C180,C180,$S$5:S180,S180),"")</f>
        <v/>
      </c>
      <c r="V180" s="22">
        <f>IF(U180="","",C180&amp;"|"&amp;U180)</f>
        <v/>
      </c>
      <c r="W180" s="30" t="n"/>
      <c r="X180" s="30" t="inlineStr">
        <is>
          <t>Next-fastest time supplied in user workbook; swimmer name not yet supplied.</t>
        </is>
      </c>
    </row>
    <row r="181" ht="15" customHeight="1" s="17">
      <c r="A181" s="30" t="inlineStr">
        <is>
          <t>NZ|SCM|F|16|200 Fly</t>
        </is>
      </c>
      <c r="B181" s="30" t="inlineStr">
        <is>
          <t>SCM</t>
        </is>
      </c>
      <c r="C181" s="30" t="inlineStr">
        <is>
          <t>Female</t>
        </is>
      </c>
      <c r="D181" s="30" t="n">
        <v>16</v>
      </c>
      <c r="E181" s="30" t="inlineStr">
        <is>
          <t>200 Fly</t>
        </is>
      </c>
      <c r="F181" s="30" t="inlineStr">
        <is>
          <t>Samantha Lee</t>
        </is>
      </c>
      <c r="G181" s="22" t="inlineStr">
        <is>
          <t>Samantha Lee</t>
        </is>
      </c>
      <c r="H181" s="22" t="n"/>
      <c r="I181" s="30" t="inlineStr">
        <is>
          <t>2:12.58</t>
        </is>
      </c>
      <c r="J181" s="22">
        <f>IF(I181="","",IF(ISNUMBER(SEARCH(":",I181)),VALUE(LEFT(I181,SEARCH(":",I181)-1))*60+VALUE(MID(I181,SEARCH(":",I181)+1,99)),VALUE(I181)))</f>
        <v/>
      </c>
      <c r="K181" s="30" t="inlineStr">
        <is>
          <t>28.09.08</t>
        </is>
      </c>
      <c r="L181" s="30" t="inlineStr">
        <is>
          <t>Swimming New Zealand Short Course Records by Age - user-supplied PDF</t>
        </is>
      </c>
      <c r="M181" s="30" t="n"/>
      <c r="N181" s="30" t="inlineStr">
        <is>
          <t>NO</t>
        </is>
      </c>
      <c r="O181" s="30" t="inlineStr">
        <is>
          <t>YES</t>
        </is>
      </c>
      <c r="P181" s="30" t="n"/>
      <c r="Q181" s="30" t="inlineStr">
        <is>
          <t>2:13.51</t>
        </is>
      </c>
      <c r="R181" s="22">
        <f>IF(Q181="","",IF(ISNUMBER(SEARCH(":",Q181)),VALUE(LEFT(Q181,SEARCH(":",Q181)-1))*60+VALUE(MID(Q181,SEARCH(":",Q181)+1,99)),VALUE(Q181)))</f>
        <v/>
      </c>
      <c r="S181" s="39">
        <f>IF(OR(J181="",R181=""),"",(R181-J181)/R181)</f>
        <v/>
      </c>
      <c r="T181" s="22">
        <f>IF(OR(P181&lt;&gt;"",N181="YES"),"YES","NO")</f>
        <v/>
      </c>
      <c r="U181" s="22">
        <f>IF(AND(O181="YES",T181="YES",S181&lt;&gt;""),COUNTIFS($C$5:$C$424,C181,$S$5:$S$424,"&gt;"&amp;S181)+COUNTIFS($C$5:C181,C181,$S$5:S181,S181),"")</f>
        <v/>
      </c>
      <c r="V181" s="22">
        <f>IF(U181="","",C181&amp;"|"&amp;U181)</f>
        <v/>
      </c>
      <c r="W181" s="30" t="n"/>
      <c r="X181" s="30" t="inlineStr">
        <is>
          <t>Next-fastest time supplied in user workbook; swimmer name not yet supplied.</t>
        </is>
      </c>
    </row>
    <row r="182" ht="15" customHeight="1" s="17">
      <c r="A182" s="30" t="inlineStr">
        <is>
          <t>NZ|SCM|F|16|100 IM</t>
        </is>
      </c>
      <c r="B182" s="30" t="inlineStr">
        <is>
          <t>SCM</t>
        </is>
      </c>
      <c r="C182" s="30" t="inlineStr">
        <is>
          <t>Female</t>
        </is>
      </c>
      <c r="D182" s="30" t="n">
        <v>16</v>
      </c>
      <c r="E182" s="30" t="inlineStr">
        <is>
          <t>100 IM</t>
        </is>
      </c>
      <c r="F182" s="30" t="inlineStr">
        <is>
          <t>Laura Littlejohn</t>
        </is>
      </c>
      <c r="G182" s="22" t="inlineStr">
        <is>
          <t>Laura Littlejohn</t>
        </is>
      </c>
      <c r="H182" s="22" t="n"/>
      <c r="I182" s="30" t="inlineStr">
        <is>
          <t>1:01.04</t>
        </is>
      </c>
      <c r="J182" s="22">
        <f>IF(I182="","",IF(ISNUMBER(SEARCH(":",I182)),VALUE(LEFT(I182,SEARCH(":",I182)-1))*60+VALUE(MID(I182,SEARCH(":",I182)+1,99)),VALUE(I182)))</f>
        <v/>
      </c>
      <c r="K182" s="30" t="inlineStr">
        <is>
          <t>08.10.20</t>
        </is>
      </c>
      <c r="L182" s="30" t="inlineStr">
        <is>
          <t>Swimming New Zealand Short Course Records by Age - user-supplied PDF</t>
        </is>
      </c>
      <c r="M182" s="30" t="n"/>
      <c r="N182" s="30" t="inlineStr">
        <is>
          <t>NO</t>
        </is>
      </c>
      <c r="O182" s="30" t="inlineStr">
        <is>
          <t>YES</t>
        </is>
      </c>
      <c r="P182" s="30" t="n"/>
      <c r="Q182" s="30" t="inlineStr">
        <is>
          <t>1:01.34</t>
        </is>
      </c>
      <c r="R182" s="22">
        <f>IF(Q182="","",IF(ISNUMBER(SEARCH(":",Q182)),VALUE(LEFT(Q182,SEARCH(":",Q182)-1))*60+VALUE(MID(Q182,SEARCH(":",Q182)+1,99)),VALUE(Q182)))</f>
        <v/>
      </c>
      <c r="S182" s="39">
        <f>IF(OR(J182="",R182=""),"",(R182-J182)/R182)</f>
        <v/>
      </c>
      <c r="T182" s="22">
        <f>IF(OR(P182&lt;&gt;"",N182="YES"),"YES","NO")</f>
        <v/>
      </c>
      <c r="U182" s="22">
        <f>IF(AND(O182="YES",T182="YES",S182&lt;&gt;""),COUNTIFS($C$5:$C$424,C182,$S$5:$S$424,"&gt;"&amp;S182)+COUNTIFS($C$5:C182,C182,$S$5:S182,S182),"")</f>
        <v/>
      </c>
      <c r="V182" s="22">
        <f>IF(U182="","",C182&amp;"|"&amp;U182)</f>
        <v/>
      </c>
      <c r="W182" s="30" t="n"/>
      <c r="X182" s="30" t="inlineStr">
        <is>
          <t>Next-fastest time supplied in user workbook; swimmer name not yet supplied.</t>
        </is>
      </c>
    </row>
    <row r="183" ht="15" customHeight="1" s="17">
      <c r="A183" s="30" t="inlineStr">
        <is>
          <t>NZ|SCM|F|16|200 IM</t>
        </is>
      </c>
      <c r="B183" s="30" t="inlineStr">
        <is>
          <t>SCM</t>
        </is>
      </c>
      <c r="C183" s="30" t="inlineStr">
        <is>
          <t>Female</t>
        </is>
      </c>
      <c r="D183" s="30" t="n">
        <v>16</v>
      </c>
      <c r="E183" s="30" t="inlineStr">
        <is>
          <t>200 IM</t>
        </is>
      </c>
      <c r="F183" s="30" t="inlineStr">
        <is>
          <t>Laura Littlejohn</t>
        </is>
      </c>
      <c r="G183" s="22" t="inlineStr">
        <is>
          <t>Laura Littlejohn</t>
        </is>
      </c>
      <c r="H183" s="22" t="n"/>
      <c r="I183" s="30" t="inlineStr">
        <is>
          <t>2:12.85</t>
        </is>
      </c>
      <c r="J183" s="22">
        <f>IF(I183="","",IF(ISNUMBER(SEARCH(":",I183)),VALUE(LEFT(I183,SEARCH(":",I183)-1))*60+VALUE(MID(I183,SEARCH(":",I183)+1,99)),VALUE(I183)))</f>
        <v/>
      </c>
      <c r="K183" s="30" t="inlineStr">
        <is>
          <t>03.07.21</t>
        </is>
      </c>
      <c r="L183" s="30" t="inlineStr">
        <is>
          <t>Swimming New Zealand Short Course Records by Age - user-supplied PDF</t>
        </is>
      </c>
      <c r="M183" s="30" t="n"/>
      <c r="N183" s="30" t="inlineStr">
        <is>
          <t>NO</t>
        </is>
      </c>
      <c r="O183" s="30" t="inlineStr">
        <is>
          <t>YES</t>
        </is>
      </c>
      <c r="P183" s="30" t="n"/>
      <c r="Q183" s="30" t="inlineStr">
        <is>
          <t>2:13.40</t>
        </is>
      </c>
      <c r="R183" s="22">
        <f>IF(Q183="","",IF(ISNUMBER(SEARCH(":",Q183)),VALUE(LEFT(Q183,SEARCH(":",Q183)-1))*60+VALUE(MID(Q183,SEARCH(":",Q183)+1,99)),VALUE(Q183)))</f>
        <v/>
      </c>
      <c r="S183" s="39">
        <f>IF(OR(J183="",R183=""),"",(R183-J183)/R183)</f>
        <v/>
      </c>
      <c r="T183" s="22">
        <f>IF(OR(P183&lt;&gt;"",N183="YES"),"YES","NO")</f>
        <v/>
      </c>
      <c r="U183" s="22">
        <f>IF(AND(O183="YES",T183="YES",S183&lt;&gt;""),COUNTIFS($C$5:$C$424,C183,$S$5:$S$424,"&gt;"&amp;S183)+COUNTIFS($C$5:C183,C183,$S$5:S183,S183),"")</f>
        <v/>
      </c>
      <c r="V183" s="22">
        <f>IF(U183="","",C183&amp;"|"&amp;U183)</f>
        <v/>
      </c>
      <c r="W183" s="30" t="n"/>
      <c r="X183" s="30" t="inlineStr">
        <is>
          <t>Next-fastest time supplied in user workbook; swimmer name not yet supplied.</t>
        </is>
      </c>
    </row>
    <row r="184" ht="15" customHeight="1" s="17">
      <c r="A184" s="30" t="inlineStr">
        <is>
          <t>NZ|SCM|F|16|400 IM</t>
        </is>
      </c>
      <c r="B184" s="30" t="inlineStr">
        <is>
          <t>SCM</t>
        </is>
      </c>
      <c r="C184" s="30" t="inlineStr">
        <is>
          <t>Female</t>
        </is>
      </c>
      <c r="D184" s="30" t="n">
        <v>16</v>
      </c>
      <c r="E184" s="30" t="inlineStr">
        <is>
          <t>400 IM</t>
        </is>
      </c>
      <c r="F184" s="30" t="inlineStr">
        <is>
          <t>Mya Rasmussen</t>
        </is>
      </c>
      <c r="G184" s="22" t="inlineStr">
        <is>
          <t>Mya Rasmussen</t>
        </is>
      </c>
      <c r="H184" s="22" t="n"/>
      <c r="I184" s="30" t="inlineStr">
        <is>
          <t>4:39.95</t>
        </is>
      </c>
      <c r="J184" s="22">
        <f>IF(I184="","",IF(ISNUMBER(SEARCH(":",I184)),VALUE(LEFT(I184,SEARCH(":",I184)-1))*60+VALUE(MID(I184,SEARCH(":",I184)+1,99)),VALUE(I184)))</f>
        <v/>
      </c>
      <c r="K184" s="30" t="inlineStr">
        <is>
          <t>14.08.16</t>
        </is>
      </c>
      <c r="L184" s="30" t="inlineStr">
        <is>
          <t>Swimming New Zealand Short Course Records by Age - user-supplied PDF</t>
        </is>
      </c>
      <c r="M184" s="30" t="n"/>
      <c r="N184" s="30" t="inlineStr">
        <is>
          <t>NO</t>
        </is>
      </c>
      <c r="O184" s="30" t="inlineStr">
        <is>
          <t>YES</t>
        </is>
      </c>
      <c r="P184" s="30" t="n"/>
      <c r="Q184" s="30" t="inlineStr">
        <is>
          <t>4:47.62</t>
        </is>
      </c>
      <c r="R184" s="22">
        <f>IF(Q184="","",IF(ISNUMBER(SEARCH(":",Q184)),VALUE(LEFT(Q184,SEARCH(":",Q184)-1))*60+VALUE(MID(Q184,SEARCH(":",Q184)+1,99)),VALUE(Q184)))</f>
        <v/>
      </c>
      <c r="S184" s="39">
        <f>IF(OR(J184="",R184=""),"",(R184-J184)/R184)</f>
        <v/>
      </c>
      <c r="T184" s="22">
        <f>IF(OR(P184&lt;&gt;"",N184="YES"),"YES","NO")</f>
        <v/>
      </c>
      <c r="U184" s="22">
        <f>IF(AND(O184="YES",T184="YES",S184&lt;&gt;""),COUNTIFS($C$5:$C$424,C184,$S$5:$S$424,"&gt;"&amp;S184)+COUNTIFS($C$5:C184,C184,$S$5:S184,S184),"")</f>
        <v/>
      </c>
      <c r="V184" s="22">
        <f>IF(U184="","",C184&amp;"|"&amp;U184)</f>
        <v/>
      </c>
      <c r="W184" s="30" t="n"/>
      <c r="X184" s="30" t="inlineStr">
        <is>
          <t>Next-fastest time supplied in user workbook; swimmer name not yet supplied.</t>
        </is>
      </c>
    </row>
    <row r="185" ht="15" customHeight="1" s="17">
      <c r="A185" s="30" t="inlineStr">
        <is>
          <t>NZ|SCM|F|17|50 Free</t>
        </is>
      </c>
      <c r="B185" s="30" t="inlineStr">
        <is>
          <t>SCM</t>
        </is>
      </c>
      <c r="C185" s="30" t="inlineStr">
        <is>
          <t>Female</t>
        </is>
      </c>
      <c r="D185" s="30" t="n">
        <v>17</v>
      </c>
      <c r="E185" s="30" t="inlineStr">
        <is>
          <t>50 Free</t>
        </is>
      </c>
      <c r="F185" s="30" t="inlineStr">
        <is>
          <t>Zoe Pedersen</t>
        </is>
      </c>
      <c r="G185" s="22" t="inlineStr">
        <is>
          <t>Zoe Pedersen</t>
        </is>
      </c>
      <c r="H185" s="22" t="n"/>
      <c r="I185" s="30" t="inlineStr">
        <is>
          <t>24.80</t>
        </is>
      </c>
      <c r="J185" s="22">
        <f>IF(I185="","",IF(ISNUMBER(SEARCH(":",I185)),VALUE(LEFT(I185,SEARCH(":",I185)-1))*60+VALUE(MID(I185,SEARCH(":",I185)+1,99)),VALUE(I185)))</f>
        <v/>
      </c>
      <c r="K185" s="30" t="inlineStr">
        <is>
          <t>14.12.24</t>
        </is>
      </c>
      <c r="L185" s="30" t="inlineStr">
        <is>
          <t>Swimming New Zealand Short Course Records by Age - user-supplied PDF</t>
        </is>
      </c>
      <c r="M185" s="30" t="n"/>
      <c r="N185" s="30" t="inlineStr">
        <is>
          <t>NO</t>
        </is>
      </c>
      <c r="O185" s="30" t="inlineStr">
        <is>
          <t>YES</t>
        </is>
      </c>
      <c r="P185" s="30" t="n"/>
      <c r="Q185" s="30" t="inlineStr">
        <is>
          <t>24.87</t>
        </is>
      </c>
      <c r="R185" s="22">
        <f>IF(Q185="","",IF(ISNUMBER(SEARCH(":",Q185)),VALUE(LEFT(Q185,SEARCH(":",Q185)-1))*60+VALUE(MID(Q185,SEARCH(":",Q185)+1,99)),VALUE(Q185)))</f>
        <v/>
      </c>
      <c r="S185" s="39">
        <f>IF(OR(J185="",R185=""),"",(R185-J185)/R185)</f>
        <v/>
      </c>
      <c r="T185" s="22">
        <f>IF(OR(P185&lt;&gt;"",N185="YES"),"YES","NO")</f>
        <v/>
      </c>
      <c r="U185" s="22">
        <f>IF(AND(O185="YES",T185="YES",S185&lt;&gt;""),COUNTIFS($C$5:$C$424,C185,$S$5:$S$424,"&gt;"&amp;S185)+COUNTIFS($C$5:C185,C185,$S$5:S185,S185),"")</f>
        <v/>
      </c>
      <c r="V185" s="22">
        <f>IF(U185="","",C185&amp;"|"&amp;U185)</f>
        <v/>
      </c>
      <c r="W185" s="30" t="n"/>
      <c r="X185" s="30" t="inlineStr">
        <is>
          <t>Next-fastest time supplied in user workbook; swimmer name not yet supplied.</t>
        </is>
      </c>
    </row>
    <row r="186" ht="15" customHeight="1" s="17">
      <c r="A186" s="30" t="inlineStr">
        <is>
          <t>NZ|SCM|F|17|100 Free</t>
        </is>
      </c>
      <c r="B186" s="30" t="inlineStr">
        <is>
          <t>SCM</t>
        </is>
      </c>
      <c r="C186" s="30" t="inlineStr">
        <is>
          <t>Female</t>
        </is>
      </c>
      <c r="D186" s="30" t="n">
        <v>17</v>
      </c>
      <c r="E186" s="30" t="inlineStr">
        <is>
          <t>100 Free</t>
        </is>
      </c>
      <c r="F186" s="30" t="inlineStr">
        <is>
          <t>Zoe Pedersen</t>
        </is>
      </c>
      <c r="G186" s="22" t="inlineStr">
        <is>
          <t>Zoe Pedersen</t>
        </is>
      </c>
      <c r="H186" s="22" t="n"/>
      <c r="I186" s="30" t="inlineStr">
        <is>
          <t>53.86</t>
        </is>
      </c>
      <c r="J186" s="22">
        <f>IF(I186="","",IF(ISNUMBER(SEARCH(":",I186)),VALUE(LEFT(I186,SEARCH(":",I186)-1))*60+VALUE(MID(I186,SEARCH(":",I186)+1,99)),VALUE(I186)))</f>
        <v/>
      </c>
      <c r="K186" s="30" t="inlineStr">
        <is>
          <t>11.12.24</t>
        </is>
      </c>
      <c r="L186" s="30" t="inlineStr">
        <is>
          <t>Swimming New Zealand Short Course Records by Age - user-supplied PDF</t>
        </is>
      </c>
      <c r="M186" s="30" t="n"/>
      <c r="N186" s="30" t="inlineStr">
        <is>
          <t>NO</t>
        </is>
      </c>
      <c r="O186" s="30" t="inlineStr">
        <is>
          <t>YES</t>
        </is>
      </c>
      <c r="P186" s="30" t="n"/>
      <c r="Q186" s="30" t="inlineStr">
        <is>
          <t>53.96</t>
        </is>
      </c>
      <c r="R186" s="22">
        <f>IF(Q186="","",IF(ISNUMBER(SEARCH(":",Q186)),VALUE(LEFT(Q186,SEARCH(":",Q186)-1))*60+VALUE(MID(Q186,SEARCH(":",Q186)+1,99)),VALUE(Q186)))</f>
        <v/>
      </c>
      <c r="S186" s="39">
        <f>IF(OR(J186="",R186=""),"",(R186-J186)/R186)</f>
        <v/>
      </c>
      <c r="T186" s="22">
        <f>IF(OR(P186&lt;&gt;"",N186="YES"),"YES","NO")</f>
        <v/>
      </c>
      <c r="U186" s="22">
        <f>IF(AND(O186="YES",T186="YES",S186&lt;&gt;""),COUNTIFS($C$5:$C$424,C186,$S$5:$S$424,"&gt;"&amp;S186)+COUNTIFS($C$5:C186,C186,$S$5:S186,S186),"")</f>
        <v/>
      </c>
      <c r="V186" s="22">
        <f>IF(U186="","",C186&amp;"|"&amp;U186)</f>
        <v/>
      </c>
      <c r="W186" s="30" t="n"/>
      <c r="X186" s="30" t="inlineStr">
        <is>
          <t>Next-fastest time supplied in user workbook; swimmer name not yet supplied.</t>
        </is>
      </c>
    </row>
    <row r="187" ht="15" customHeight="1" s="17">
      <c r="A187" s="30" t="inlineStr">
        <is>
          <t>NZ|SCM|F|17|200 Free</t>
        </is>
      </c>
      <c r="B187" s="30" t="inlineStr">
        <is>
          <t>SCM</t>
        </is>
      </c>
      <c r="C187" s="30" t="inlineStr">
        <is>
          <t>Female</t>
        </is>
      </c>
      <c r="D187" s="30" t="n">
        <v>17</v>
      </c>
      <c r="E187" s="30" t="inlineStr">
        <is>
          <t>200 Free</t>
        </is>
      </c>
      <c r="F187" s="30" t="inlineStr">
        <is>
          <t>Erika Fairweather</t>
        </is>
      </c>
      <c r="G187" s="22" t="inlineStr">
        <is>
          <t>Erika Fairweather</t>
        </is>
      </c>
      <c r="H187" s="22" t="n"/>
      <c r="I187" s="30" t="inlineStr">
        <is>
          <t>1:55.66</t>
        </is>
      </c>
      <c r="J187" s="22">
        <f>IF(I187="","",IF(ISNUMBER(SEARCH(":",I187)),VALUE(LEFT(I187,SEARCH(":",I187)-1))*60+VALUE(MID(I187,SEARCH(":",I187)+1,99)),VALUE(I187)))</f>
        <v/>
      </c>
      <c r="K187" s="30" t="inlineStr">
        <is>
          <t>04.07.21</t>
        </is>
      </c>
      <c r="L187" s="30" t="inlineStr">
        <is>
          <t>Swimming New Zealand Short Course Records by Age - user-supplied PDF</t>
        </is>
      </c>
      <c r="M187" s="30" t="n"/>
      <c r="N187" s="30" t="inlineStr">
        <is>
          <t>NO</t>
        </is>
      </c>
      <c r="O187" s="30" t="inlineStr">
        <is>
          <t>YES</t>
        </is>
      </c>
      <c r="P187" s="30" t="n"/>
      <c r="Q187" s="30" t="inlineStr">
        <is>
          <t>1:57.63</t>
        </is>
      </c>
      <c r="R187" s="22">
        <f>IF(Q187="","",IF(ISNUMBER(SEARCH(":",Q187)),VALUE(LEFT(Q187,SEARCH(":",Q187)-1))*60+VALUE(MID(Q187,SEARCH(":",Q187)+1,99)),VALUE(Q187)))</f>
        <v/>
      </c>
      <c r="S187" s="39">
        <f>IF(OR(J187="",R187=""),"",(R187-J187)/R187)</f>
        <v/>
      </c>
      <c r="T187" s="22">
        <f>IF(OR(P187&lt;&gt;"",N187="YES"),"YES","NO")</f>
        <v/>
      </c>
      <c r="U187" s="22">
        <f>IF(AND(O187="YES",T187="YES",S187&lt;&gt;""),COUNTIFS($C$5:$C$424,C187,$S$5:$S$424,"&gt;"&amp;S187)+COUNTIFS($C$5:C187,C187,$S$5:S187,S187),"")</f>
        <v/>
      </c>
      <c r="V187" s="22">
        <f>IF(U187="","",C187&amp;"|"&amp;U187)</f>
        <v/>
      </c>
      <c r="W187" s="30" t="n"/>
      <c r="X187" s="30" t="inlineStr">
        <is>
          <t>Next-fastest time supplied in user workbook; swimmer name not yet supplied.</t>
        </is>
      </c>
    </row>
    <row r="188" ht="15" customHeight="1" s="17">
      <c r="A188" s="30" t="inlineStr">
        <is>
          <t>NZ|SCM|F|17|400 Free</t>
        </is>
      </c>
      <c r="B188" s="30" t="inlineStr">
        <is>
          <t>SCM</t>
        </is>
      </c>
      <c r="C188" s="30" t="inlineStr">
        <is>
          <t>Female</t>
        </is>
      </c>
      <c r="D188" s="30" t="n">
        <v>17</v>
      </c>
      <c r="E188" s="30" t="inlineStr">
        <is>
          <t>400 Free</t>
        </is>
      </c>
      <c r="F188" s="30" t="inlineStr">
        <is>
          <t>Erika Fairweather</t>
        </is>
      </c>
      <c r="G188" s="22" t="inlineStr">
        <is>
          <t>Erika Fairweather</t>
        </is>
      </c>
      <c r="H188" s="22" t="n"/>
      <c r="I188" s="30" t="inlineStr">
        <is>
          <t>4:02.01</t>
        </is>
      </c>
      <c r="J188" s="22">
        <f>IF(I188="","",IF(ISNUMBER(SEARCH(":",I188)),VALUE(LEFT(I188,SEARCH(":",I188)-1))*60+VALUE(MID(I188,SEARCH(":",I188)+1,99)),VALUE(I188)))</f>
        <v/>
      </c>
      <c r="K188" s="30" t="inlineStr">
        <is>
          <t>03.07.21</t>
        </is>
      </c>
      <c r="L188" s="30" t="inlineStr">
        <is>
          <t>Swimming New Zealand Short Course Records by Age - user-supplied PDF</t>
        </is>
      </c>
      <c r="M188" s="30" t="n"/>
      <c r="N188" s="30" t="inlineStr">
        <is>
          <t>NO</t>
        </is>
      </c>
      <c r="O188" s="30" t="inlineStr">
        <is>
          <t>YES</t>
        </is>
      </c>
      <c r="P188" s="30" t="n"/>
      <c r="Q188" s="30" t="inlineStr">
        <is>
          <t>4:07.03</t>
        </is>
      </c>
      <c r="R188" s="22">
        <f>IF(Q188="","",IF(ISNUMBER(SEARCH(":",Q188)),VALUE(LEFT(Q188,SEARCH(":",Q188)-1))*60+VALUE(MID(Q188,SEARCH(":",Q188)+1,99)),VALUE(Q188)))</f>
        <v/>
      </c>
      <c r="S188" s="39">
        <f>IF(OR(J188="",R188=""),"",(R188-J188)/R188)</f>
        <v/>
      </c>
      <c r="T188" s="22">
        <f>IF(OR(P188&lt;&gt;"",N188="YES"),"YES","NO")</f>
        <v/>
      </c>
      <c r="U188" s="22">
        <f>IF(AND(O188="YES",T188="YES",S188&lt;&gt;""),COUNTIFS($C$5:$C$424,C188,$S$5:$S$424,"&gt;"&amp;S188)+COUNTIFS($C$5:C188,C188,$S$5:S188,S188),"")</f>
        <v/>
      </c>
      <c r="V188" s="22">
        <f>IF(U188="","",C188&amp;"|"&amp;U188)</f>
        <v/>
      </c>
      <c r="W188" s="30" t="n"/>
      <c r="X188" s="30" t="inlineStr">
        <is>
          <t>Next-fastest time supplied in user workbook; swimmer name not yet supplied.</t>
        </is>
      </c>
    </row>
    <row r="189" ht="15" customHeight="1" s="17">
      <c r="A189" s="30" t="inlineStr">
        <is>
          <t>NZ|SCM|F|17|800 Free</t>
        </is>
      </c>
      <c r="B189" s="30" t="inlineStr">
        <is>
          <t>SCM</t>
        </is>
      </c>
      <c r="C189" s="30" t="inlineStr">
        <is>
          <t>Female</t>
        </is>
      </c>
      <c r="D189" s="30" t="n">
        <v>17</v>
      </c>
      <c r="E189" s="30" t="inlineStr">
        <is>
          <t>800 Free</t>
        </is>
      </c>
      <c r="F189" s="30" t="inlineStr">
        <is>
          <t>Tabitha Baumann</t>
        </is>
      </c>
      <c r="G189" s="22" t="inlineStr">
        <is>
          <t>Tabitha Baumann</t>
        </is>
      </c>
      <c r="H189" s="22" t="n"/>
      <c r="I189" s="30" t="inlineStr">
        <is>
          <t>8:30.22</t>
        </is>
      </c>
      <c r="J189" s="22">
        <f>IF(I189="","",IF(ISNUMBER(SEARCH(":",I189)),VALUE(LEFT(I189,SEARCH(":",I189)-1))*60+VALUE(MID(I189,SEARCH(":",I189)+1,99)),VALUE(I189)))</f>
        <v/>
      </c>
      <c r="K189" s="30" t="inlineStr">
        <is>
          <t>01.10.12</t>
        </is>
      </c>
      <c r="L189" s="30" t="inlineStr">
        <is>
          <t>Swimming New Zealand Short Course Records by Age - user-supplied PDF</t>
        </is>
      </c>
      <c r="M189" s="30" t="n"/>
      <c r="N189" s="30" t="inlineStr">
        <is>
          <t>NO</t>
        </is>
      </c>
      <c r="O189" s="30" t="inlineStr">
        <is>
          <t>YES</t>
        </is>
      </c>
      <c r="P189" s="30" t="n"/>
      <c r="Q189" s="30" t="inlineStr">
        <is>
          <t>8:36.24</t>
        </is>
      </c>
      <c r="R189" s="22">
        <f>IF(Q189="","",IF(ISNUMBER(SEARCH(":",Q189)),VALUE(LEFT(Q189,SEARCH(":",Q189)-1))*60+VALUE(MID(Q189,SEARCH(":",Q189)+1,99)),VALUE(Q189)))</f>
        <v/>
      </c>
      <c r="S189" s="39">
        <f>IF(OR(J189="",R189=""),"",(R189-J189)/R189)</f>
        <v/>
      </c>
      <c r="T189" s="22">
        <f>IF(OR(P189&lt;&gt;"",N189="YES"),"YES","NO")</f>
        <v/>
      </c>
      <c r="U189" s="22">
        <f>IF(AND(O189="YES",T189="YES",S189&lt;&gt;""),COUNTIFS($C$5:$C$424,C189,$S$5:$S$424,"&gt;"&amp;S189)+COUNTIFS($C$5:C189,C189,$S$5:S189,S189),"")</f>
        <v/>
      </c>
      <c r="V189" s="22">
        <f>IF(U189="","",C189&amp;"|"&amp;U189)</f>
        <v/>
      </c>
      <c r="W189" s="30" t="n"/>
      <c r="X189" s="30" t="inlineStr">
        <is>
          <t>Next-fastest time supplied in user workbook; swimmer name not yet supplied.</t>
        </is>
      </c>
    </row>
    <row r="190" ht="15" customHeight="1" s="17">
      <c r="A190" s="30" t="inlineStr">
        <is>
          <t>NZ|SCM|F|17|1500 Free</t>
        </is>
      </c>
      <c r="B190" s="30" t="inlineStr">
        <is>
          <t>SCM</t>
        </is>
      </c>
      <c r="C190" s="30" t="inlineStr">
        <is>
          <t>Female</t>
        </is>
      </c>
      <c r="D190" s="30" t="n">
        <v>17</v>
      </c>
      <c r="E190" s="30" t="inlineStr">
        <is>
          <t>1500 Free</t>
        </is>
      </c>
      <c r="F190" s="30" t="inlineStr">
        <is>
          <t>Tabitha Baumann</t>
        </is>
      </c>
      <c r="G190" s="22" t="inlineStr">
        <is>
          <t>Tabitha Baumann</t>
        </is>
      </c>
      <c r="H190" s="22" t="n"/>
      <c r="I190" s="30" t="inlineStr">
        <is>
          <t>16:09.14</t>
        </is>
      </c>
      <c r="J190" s="22">
        <f>IF(I190="","",IF(ISNUMBER(SEARCH(":",I190)),VALUE(LEFT(I190,SEARCH(":",I190)-1))*60+VALUE(MID(I190,SEARCH(":",I190)+1,99)),VALUE(I190)))</f>
        <v/>
      </c>
      <c r="K190" s="30" t="inlineStr">
        <is>
          <t>02.09.12</t>
        </is>
      </c>
      <c r="L190" s="30" t="inlineStr">
        <is>
          <t>Swimming New Zealand Short Course Records by Age - user-supplied PDF</t>
        </is>
      </c>
      <c r="M190" s="30" t="n"/>
      <c r="N190" s="30" t="inlineStr">
        <is>
          <t>NO</t>
        </is>
      </c>
      <c r="O190" s="30" t="inlineStr">
        <is>
          <t>YES</t>
        </is>
      </c>
      <c r="P190" s="30" t="n"/>
      <c r="Q190" s="30" t="inlineStr">
        <is>
          <t>16:34.32</t>
        </is>
      </c>
      <c r="R190" s="22">
        <f>IF(Q190="","",IF(ISNUMBER(SEARCH(":",Q190)),VALUE(LEFT(Q190,SEARCH(":",Q190)-1))*60+VALUE(MID(Q190,SEARCH(":",Q190)+1,99)),VALUE(Q190)))</f>
        <v/>
      </c>
      <c r="S190" s="39">
        <f>IF(OR(J190="",R190=""),"",(R190-J190)/R190)</f>
        <v/>
      </c>
      <c r="T190" s="22">
        <f>IF(OR(P190&lt;&gt;"",N190="YES"),"YES","NO")</f>
        <v/>
      </c>
      <c r="U190" s="22">
        <f>IF(AND(O190="YES",T190="YES",S190&lt;&gt;""),COUNTIFS($C$5:$C$424,C190,$S$5:$S$424,"&gt;"&amp;S190)+COUNTIFS($C$5:C190,C190,$S$5:S190,S190),"")</f>
        <v/>
      </c>
      <c r="V190" s="22">
        <f>IF(U190="","",C190&amp;"|"&amp;U190)</f>
        <v/>
      </c>
      <c r="W190" s="30" t="n"/>
      <c r="X190" s="30" t="inlineStr">
        <is>
          <t>Next-fastest time supplied in user workbook; swimmer name not yet supplied.</t>
        </is>
      </c>
    </row>
    <row r="191" ht="15" customHeight="1" s="17">
      <c r="A191" s="30" t="inlineStr">
        <is>
          <t>NZ|SCM|F|17|50 Back</t>
        </is>
      </c>
      <c r="B191" s="30" t="inlineStr">
        <is>
          <t>SCM</t>
        </is>
      </c>
      <c r="C191" s="30" t="inlineStr">
        <is>
          <t>Female</t>
        </is>
      </c>
      <c r="D191" s="30" t="n">
        <v>17</v>
      </c>
      <c r="E191" s="30" t="inlineStr">
        <is>
          <t>50 Back</t>
        </is>
      </c>
      <c r="F191" s="30" t="inlineStr">
        <is>
          <t>Milan Glintmeyer</t>
        </is>
      </c>
      <c r="G191" s="22" t="inlineStr">
        <is>
          <t>Milan Glintmeyer</t>
        </is>
      </c>
      <c r="H191" s="22" t="n"/>
      <c r="I191" s="30" t="inlineStr">
        <is>
          <t>27.43</t>
        </is>
      </c>
      <c r="J191" s="22">
        <f>IF(I191="","",IF(ISNUMBER(SEARCH(":",I191)),VALUE(LEFT(I191,SEARCH(":",I191)-1))*60+VALUE(MID(I191,SEARCH(":",I191)+1,99)),VALUE(I191)))</f>
        <v/>
      </c>
      <c r="K191" s="30" t="inlineStr">
        <is>
          <t>24.09.25</t>
        </is>
      </c>
      <c r="L191" s="30" t="inlineStr">
        <is>
          <t>Swimming New Zealand Short Course Records by Age - user-supplied PDF</t>
        </is>
      </c>
      <c r="M191" s="30" t="n"/>
      <c r="N191" s="30" t="inlineStr">
        <is>
          <t>NO</t>
        </is>
      </c>
      <c r="O191" s="30" t="inlineStr">
        <is>
          <t>YES</t>
        </is>
      </c>
      <c r="P191" s="30" t="n"/>
      <c r="Q191" s="30" t="inlineStr">
        <is>
          <t>27.60</t>
        </is>
      </c>
      <c r="R191" s="22">
        <f>IF(Q191="","",IF(ISNUMBER(SEARCH(":",Q191)),VALUE(LEFT(Q191,SEARCH(":",Q191)-1))*60+VALUE(MID(Q191,SEARCH(":",Q191)+1,99)),VALUE(Q191)))</f>
        <v/>
      </c>
      <c r="S191" s="39">
        <f>IF(OR(J191="",R191=""),"",(R191-J191)/R191)</f>
        <v/>
      </c>
      <c r="T191" s="22">
        <f>IF(OR(P191&lt;&gt;"",N191="YES"),"YES","NO")</f>
        <v/>
      </c>
      <c r="U191" s="22">
        <f>IF(AND(O191="YES",T191="YES",S191&lt;&gt;""),COUNTIFS($C$5:$C$424,C191,$S$5:$S$424,"&gt;"&amp;S191)+COUNTIFS($C$5:C191,C191,$S$5:S191,S191),"")</f>
        <v/>
      </c>
      <c r="V191" s="22">
        <f>IF(U191="","",C191&amp;"|"&amp;U191)</f>
        <v/>
      </c>
      <c r="W191" s="30" t="n"/>
      <c r="X191" s="30" t="inlineStr">
        <is>
          <t>Next-fastest time supplied in user workbook; swimmer name not yet supplied.</t>
        </is>
      </c>
    </row>
    <row r="192" ht="15" customHeight="1" s="17">
      <c r="A192" s="30" t="inlineStr">
        <is>
          <t>NZ|SCM|F|17|100 Back</t>
        </is>
      </c>
      <c r="B192" s="30" t="inlineStr">
        <is>
          <t>SCM</t>
        </is>
      </c>
      <c r="C192" s="30" t="inlineStr">
        <is>
          <t>Female</t>
        </is>
      </c>
      <c r="D192" s="30" t="n">
        <v>17</v>
      </c>
      <c r="E192" s="30" t="inlineStr">
        <is>
          <t>100 Back</t>
        </is>
      </c>
      <c r="F192" s="30" t="inlineStr">
        <is>
          <t>Milan Glintmeyer</t>
        </is>
      </c>
      <c r="G192" s="22" t="inlineStr">
        <is>
          <t>Milan Glintmeyer</t>
        </is>
      </c>
      <c r="H192" s="22" t="n"/>
      <c r="I192" s="30" t="inlineStr">
        <is>
          <t>57.92</t>
        </is>
      </c>
      <c r="J192" s="22">
        <f>IF(I192="","",IF(ISNUMBER(SEARCH(":",I192)),VALUE(LEFT(I192,SEARCH(":",I192)-1))*60+VALUE(MID(I192,SEARCH(":",I192)+1,99)),VALUE(I192)))</f>
        <v/>
      </c>
      <c r="K192" s="30" t="inlineStr">
        <is>
          <t>31.07.26</t>
        </is>
      </c>
      <c r="L192" s="30" t="inlineStr">
        <is>
          <t>Swimming New Zealand Short Course Records by Age - user-supplied PDF</t>
        </is>
      </c>
      <c r="M192" s="30" t="n"/>
      <c r="N192" s="30" t="inlineStr">
        <is>
          <t>NO</t>
        </is>
      </c>
      <c r="O192" s="30" t="inlineStr">
        <is>
          <t>YES</t>
        </is>
      </c>
      <c r="P192" s="30" t="inlineStr">
        <is>
          <t>Hanna Abdou</t>
        </is>
      </c>
      <c r="Q192" s="30" t="inlineStr">
        <is>
          <t>58.16</t>
        </is>
      </c>
      <c r="R192" s="22">
        <f>IF(Q192="","",IF(ISNUMBER(SEARCH(":",Q192)),VALUE(LEFT(Q192,SEARCH(":",Q192)-1))*60+VALUE(MID(Q192,SEARCH(":",Q192)+1,99)),VALUE(Q192)))</f>
        <v/>
      </c>
      <c r="S192" s="39">
        <f>IF(OR(J192="",R192=""),"",(R192-J192)/R192)</f>
        <v/>
      </c>
      <c r="T192" s="22">
        <f>IF(OR(P192&lt;&gt;"",N192="YES"),"YES","NO")</f>
        <v/>
      </c>
      <c r="U192" s="22">
        <f>IF(AND(O192="YES",T192="YES",S192&lt;&gt;""),COUNTIFS($C$5:$C$424,C192,$S$5:$S$424,"&gt;"&amp;S192)+COUNTIFS($C$5:C192,C192,$S$5:S192,S192),"")</f>
        <v/>
      </c>
      <c r="V192" s="22">
        <f>IF(U192="","",C192&amp;"|"&amp;U192)</f>
        <v/>
      </c>
      <c r="W192" s="30" t="n"/>
      <c r="X192" s="30" t="inlineStr">
        <is>
          <t>Next-fastest time supplied in user workbook; swimmer name not yet supplied.</t>
        </is>
      </c>
    </row>
    <row r="193" ht="15" customHeight="1" s="17">
      <c r="A193" s="30" t="inlineStr">
        <is>
          <t>NZ|SCM|F|17|200 Back</t>
        </is>
      </c>
      <c r="B193" s="30" t="inlineStr">
        <is>
          <t>SCM</t>
        </is>
      </c>
      <c r="C193" s="30" t="inlineStr">
        <is>
          <t>Female</t>
        </is>
      </c>
      <c r="D193" s="30" t="n">
        <v>17</v>
      </c>
      <c r="E193" s="30" t="inlineStr">
        <is>
          <t>200 Back</t>
        </is>
      </c>
      <c r="F193" s="30" t="inlineStr">
        <is>
          <t>Sophia Batchelor</t>
        </is>
      </c>
      <c r="G193" s="22" t="inlineStr">
        <is>
          <t>Sophia Batchelor</t>
        </is>
      </c>
      <c r="H193" s="22" t="n"/>
      <c r="I193" s="30" t="inlineStr">
        <is>
          <t>2:04.13</t>
        </is>
      </c>
      <c r="J193" s="22">
        <f>IF(I193="","",IF(ISNUMBER(SEARCH(":",I193)),VALUE(LEFT(I193,SEARCH(":",I193)-1))*60+VALUE(MID(I193,SEARCH(":",I193)+1,99)),VALUE(I193)))</f>
        <v/>
      </c>
      <c r="K193" s="30" t="inlineStr">
        <is>
          <t>02.10.12</t>
        </is>
      </c>
      <c r="L193" s="30" t="inlineStr">
        <is>
          <t>Swimming New Zealand Short Course Records by Age - user-supplied PDF</t>
        </is>
      </c>
      <c r="M193" s="30" t="n"/>
      <c r="N193" s="30" t="inlineStr">
        <is>
          <t>NO</t>
        </is>
      </c>
      <c r="O193" s="30" t="inlineStr">
        <is>
          <t>YES</t>
        </is>
      </c>
      <c r="P193" s="30" t="inlineStr">
        <is>
          <t>Milan Glintmeyer</t>
        </is>
      </c>
      <c r="Q193" s="30" t="inlineStr">
        <is>
          <t>2:06.82</t>
        </is>
      </c>
      <c r="R193" s="22">
        <f>IF(Q193="","",IF(ISNUMBER(SEARCH(":",Q193)),VALUE(LEFT(Q193,SEARCH(":",Q193)-1))*60+VALUE(MID(Q193,SEARCH(":",Q193)+1,99)),VALUE(Q193)))</f>
        <v/>
      </c>
      <c r="S193" s="39">
        <f>IF(OR(J193="",R193=""),"",(R193-J193)/R193)</f>
        <v/>
      </c>
      <c r="T193" s="22">
        <f>IF(OR(P193&lt;&gt;"",N193="YES"),"YES","NO")</f>
        <v/>
      </c>
      <c r="U193" s="22">
        <f>IF(AND(O193="YES",T193="YES",S193&lt;&gt;""),COUNTIFS($C$5:$C$424,C193,$S$5:$S$424,"&gt;"&amp;S193)+COUNTIFS($C$5:C193,C193,$S$5:S193,S193),"")</f>
        <v/>
      </c>
      <c r="V193" s="22">
        <f>IF(U193="","",C193&amp;"|"&amp;U193)</f>
        <v/>
      </c>
      <c r="W193" s="30" t="n"/>
      <c r="X193" s="30" t="inlineStr">
        <is>
          <t>Next-fastest time supplied in user workbook; swimmer name not yet supplied.</t>
        </is>
      </c>
    </row>
    <row r="194" ht="15" customHeight="1" s="17">
      <c r="A194" s="30" t="inlineStr">
        <is>
          <t>NZ|SCM|F|17|50 Breast</t>
        </is>
      </c>
      <c r="B194" s="30" t="inlineStr">
        <is>
          <t>SCM</t>
        </is>
      </c>
      <c r="C194" s="30" t="inlineStr">
        <is>
          <t>Female</t>
        </is>
      </c>
      <c r="D194" s="30" t="n">
        <v>17</v>
      </c>
      <c r="E194" s="30" t="inlineStr">
        <is>
          <t>50 Breast</t>
        </is>
      </c>
      <c r="F194" s="30" t="inlineStr">
        <is>
          <t>Monique Wieruszowski</t>
        </is>
      </c>
      <c r="G194" s="22" t="inlineStr">
        <is>
          <t>Monique Wieruszowski</t>
        </is>
      </c>
      <c r="H194" s="22" t="n"/>
      <c r="I194" s="30" t="inlineStr">
        <is>
          <t>30.44</t>
        </is>
      </c>
      <c r="J194" s="22">
        <f>IF(I194="","",IF(ISNUMBER(SEARCH(":",I194)),VALUE(LEFT(I194,SEARCH(":",I194)-1))*60+VALUE(MID(I194,SEARCH(":",I194)+1,99)),VALUE(I194)))</f>
        <v/>
      </c>
      <c r="K194" s="30" t="inlineStr">
        <is>
          <t>26.07.24</t>
        </is>
      </c>
      <c r="L194" s="30" t="inlineStr">
        <is>
          <t>Swimming New Zealand Short Course Records by Age - user-supplied PDF</t>
        </is>
      </c>
      <c r="M194" s="30" t="n"/>
      <c r="N194" s="30" t="inlineStr">
        <is>
          <t>NO</t>
        </is>
      </c>
      <c r="O194" s="30" t="inlineStr">
        <is>
          <t>YES</t>
        </is>
      </c>
      <c r="P194" s="30" t="n"/>
      <c r="Q194" s="30" t="inlineStr">
        <is>
          <t>31.31</t>
        </is>
      </c>
      <c r="R194" s="22">
        <f>IF(Q194="","",IF(ISNUMBER(SEARCH(":",Q194)),VALUE(LEFT(Q194,SEARCH(":",Q194)-1))*60+VALUE(MID(Q194,SEARCH(":",Q194)+1,99)),VALUE(Q194)))</f>
        <v/>
      </c>
      <c r="S194" s="39">
        <f>IF(OR(J194="",R194=""),"",(R194-J194)/R194)</f>
        <v/>
      </c>
      <c r="T194" s="22">
        <f>IF(OR(P194&lt;&gt;"",N194="YES"),"YES","NO")</f>
        <v/>
      </c>
      <c r="U194" s="22">
        <f>IF(AND(O194="YES",T194="YES",S194&lt;&gt;""),COUNTIFS($C$5:$C$424,C194,$S$5:$S$424,"&gt;"&amp;S194)+COUNTIFS($C$5:C194,C194,$S$5:S194,S194),"")</f>
        <v/>
      </c>
      <c r="V194" s="22">
        <f>IF(U194="","",C194&amp;"|"&amp;U194)</f>
        <v/>
      </c>
      <c r="W194" s="30" t="n"/>
      <c r="X194" s="30" t="inlineStr">
        <is>
          <t>Next-fastest time supplied in user workbook; swimmer name not yet supplied.</t>
        </is>
      </c>
    </row>
    <row r="195" ht="15" customHeight="1" s="17">
      <c r="A195" s="30" t="inlineStr">
        <is>
          <t>NZ|SCM|F|17|100 Breast</t>
        </is>
      </c>
      <c r="B195" s="30" t="inlineStr">
        <is>
          <t>SCM</t>
        </is>
      </c>
      <c r="C195" s="30" t="inlineStr">
        <is>
          <t>Female</t>
        </is>
      </c>
      <c r="D195" s="30" t="n">
        <v>17</v>
      </c>
      <c r="E195" s="30" t="inlineStr">
        <is>
          <t>100 Breast</t>
        </is>
      </c>
      <c r="F195" s="30" t="inlineStr">
        <is>
          <t>Brearna Crawford</t>
        </is>
      </c>
      <c r="G195" s="22" t="inlineStr">
        <is>
          <t>Brearna Crawford</t>
        </is>
      </c>
      <c r="H195" s="22" t="n"/>
      <c r="I195" s="30" t="inlineStr">
        <is>
          <t>1:06.60</t>
        </is>
      </c>
      <c r="J195" s="22">
        <f>IF(I195="","",IF(ISNUMBER(SEARCH(":",I195)),VALUE(LEFT(I195,SEARCH(":",I195)-1))*60+VALUE(MID(I195,SEARCH(":",I195)+1,99)),VALUE(I195)))</f>
        <v/>
      </c>
      <c r="K195" s="30" t="inlineStr">
        <is>
          <t>06.10.20</t>
        </is>
      </c>
      <c r="L195" s="30" t="inlineStr">
        <is>
          <t>Swimming New Zealand Short Course Records by Age - user-supplied PDF</t>
        </is>
      </c>
      <c r="M195" s="30" t="n"/>
      <c r="N195" s="30" t="inlineStr">
        <is>
          <t>NO</t>
        </is>
      </c>
      <c r="O195" s="30" t="inlineStr">
        <is>
          <t>YES</t>
        </is>
      </c>
      <c r="P195" s="30" t="n"/>
      <c r="Q195" s="30" t="inlineStr">
        <is>
          <t>1:06.72</t>
        </is>
      </c>
      <c r="R195" s="22">
        <f>IF(Q195="","",IF(ISNUMBER(SEARCH(":",Q195)),VALUE(LEFT(Q195,SEARCH(":",Q195)-1))*60+VALUE(MID(Q195,SEARCH(":",Q195)+1,99)),VALUE(Q195)))</f>
        <v/>
      </c>
      <c r="S195" s="39">
        <f>IF(OR(J195="",R195=""),"",(R195-J195)/R195)</f>
        <v/>
      </c>
      <c r="T195" s="22">
        <f>IF(OR(P195&lt;&gt;"",N195="YES"),"YES","NO")</f>
        <v/>
      </c>
      <c r="U195" s="22">
        <f>IF(AND(O195="YES",T195="YES",S195&lt;&gt;""),COUNTIFS($C$5:$C$424,C195,$S$5:$S$424,"&gt;"&amp;S195)+COUNTIFS($C$5:C195,C195,$S$5:S195,S195),"")</f>
        <v/>
      </c>
      <c r="V195" s="22">
        <f>IF(U195="","",C195&amp;"|"&amp;U195)</f>
        <v/>
      </c>
      <c r="W195" s="30" t="n"/>
      <c r="X195" s="30" t="inlineStr">
        <is>
          <t>Next-fastest time supplied in user workbook; swimmer name not yet supplied.</t>
        </is>
      </c>
    </row>
    <row r="196" ht="15" customHeight="1" s="17">
      <c r="A196" s="30" t="inlineStr">
        <is>
          <t>NZ|SCM|F|17|200 Breast</t>
        </is>
      </c>
      <c r="B196" s="30" t="inlineStr">
        <is>
          <t>SCM</t>
        </is>
      </c>
      <c r="C196" s="30" t="inlineStr">
        <is>
          <t>Female</t>
        </is>
      </c>
      <c r="D196" s="30" t="n">
        <v>17</v>
      </c>
      <c r="E196" s="30" t="inlineStr">
        <is>
          <t>200 Breast</t>
        </is>
      </c>
      <c r="F196" s="30" t="inlineStr">
        <is>
          <t>Ciara Smith</t>
        </is>
      </c>
      <c r="G196" s="22" t="inlineStr">
        <is>
          <t>Ciara Smith</t>
        </is>
      </c>
      <c r="H196" s="22" t="n"/>
      <c r="I196" s="30" t="inlineStr">
        <is>
          <t>2:25.17</t>
        </is>
      </c>
      <c r="J196" s="22">
        <f>IF(I196="","",IF(ISNUMBER(SEARCH(":",I196)),VALUE(LEFT(I196,SEARCH(":",I196)-1))*60+VALUE(MID(I196,SEARCH(":",I196)+1,99)),VALUE(I196)))</f>
        <v/>
      </c>
      <c r="K196" s="30" t="inlineStr">
        <is>
          <t>04.10.18</t>
        </is>
      </c>
      <c r="L196" s="30" t="inlineStr">
        <is>
          <t>Swimming New Zealand Short Course Records by Age - user-supplied PDF</t>
        </is>
      </c>
      <c r="M196" s="30" t="n"/>
      <c r="N196" s="30" t="inlineStr">
        <is>
          <t>NO</t>
        </is>
      </c>
      <c r="O196" s="30" t="inlineStr">
        <is>
          <t>YES</t>
        </is>
      </c>
      <c r="P196" s="30" t="n"/>
      <c r="Q196" s="30" t="inlineStr">
        <is>
          <t>2:25.29</t>
        </is>
      </c>
      <c r="R196" s="22">
        <f>IF(Q196="","",IF(ISNUMBER(SEARCH(":",Q196)),VALUE(LEFT(Q196,SEARCH(":",Q196)-1))*60+VALUE(MID(Q196,SEARCH(":",Q196)+1,99)),VALUE(Q196)))</f>
        <v/>
      </c>
      <c r="S196" s="39">
        <f>IF(OR(J196="",R196=""),"",(R196-J196)/R196)</f>
        <v/>
      </c>
      <c r="T196" s="22">
        <f>IF(OR(P196&lt;&gt;"",N196="YES"),"YES","NO")</f>
        <v/>
      </c>
      <c r="U196" s="22">
        <f>IF(AND(O196="YES",T196="YES",S196&lt;&gt;""),COUNTIFS($C$5:$C$424,C196,$S$5:$S$424,"&gt;"&amp;S196)+COUNTIFS($C$5:C196,C196,$S$5:S196,S196),"")</f>
        <v/>
      </c>
      <c r="V196" s="22">
        <f>IF(U196="","",C196&amp;"|"&amp;U196)</f>
        <v/>
      </c>
      <c r="W196" s="30" t="n"/>
      <c r="X196" s="30" t="inlineStr">
        <is>
          <t>Next-fastest time supplied in user workbook; swimmer name not yet supplied.</t>
        </is>
      </c>
    </row>
    <row r="197" ht="15" customHeight="1" s="17">
      <c r="A197" s="30" t="inlineStr">
        <is>
          <t>NZ|SCM|F|17|50 Fly</t>
        </is>
      </c>
      <c r="B197" s="30" t="inlineStr">
        <is>
          <t>SCM</t>
        </is>
      </c>
      <c r="C197" s="30" t="inlineStr">
        <is>
          <t>Female</t>
        </is>
      </c>
      <c r="D197" s="30" t="n">
        <v>17</v>
      </c>
      <c r="E197" s="30" t="inlineStr">
        <is>
          <t>50 Fly</t>
        </is>
      </c>
      <c r="F197" s="30" t="inlineStr">
        <is>
          <t>Laura Littlejohn</t>
        </is>
      </c>
      <c r="G197" s="22" t="inlineStr">
        <is>
          <t>Laura Littlejohn</t>
        </is>
      </c>
      <c r="H197" s="22" t="n"/>
      <c r="I197" s="30" t="inlineStr">
        <is>
          <t>26.53</t>
        </is>
      </c>
      <c r="J197" s="22">
        <f>IF(I197="","",IF(ISNUMBER(SEARCH(":",I197)),VALUE(LEFT(I197,SEARCH(":",I197)-1))*60+VALUE(MID(I197,SEARCH(":",I197)+1,99)),VALUE(I197)))</f>
        <v/>
      </c>
      <c r="K197" s="30" t="inlineStr">
        <is>
          <t>11.12.21</t>
        </is>
      </c>
      <c r="L197" s="30" t="inlineStr">
        <is>
          <t>Swimming New Zealand Short Course Records by Age - user-supplied PDF</t>
        </is>
      </c>
      <c r="M197" s="30" t="n"/>
      <c r="N197" s="30" t="inlineStr">
        <is>
          <t>NO</t>
        </is>
      </c>
      <c r="O197" s="30" t="inlineStr">
        <is>
          <t>YES</t>
        </is>
      </c>
      <c r="P197" s="30" t="n"/>
      <c r="Q197" s="30" t="inlineStr">
        <is>
          <t>26.82</t>
        </is>
      </c>
      <c r="R197" s="22">
        <f>IF(Q197="","",IF(ISNUMBER(SEARCH(":",Q197)),VALUE(LEFT(Q197,SEARCH(":",Q197)-1))*60+VALUE(MID(Q197,SEARCH(":",Q197)+1,99)),VALUE(Q197)))</f>
        <v/>
      </c>
      <c r="S197" s="39">
        <f>IF(OR(J197="",R197=""),"",(R197-J197)/R197)</f>
        <v/>
      </c>
      <c r="T197" s="22">
        <f>IF(OR(P197&lt;&gt;"",N197="YES"),"YES","NO")</f>
        <v/>
      </c>
      <c r="U197" s="22">
        <f>IF(AND(O197="YES",T197="YES",S197&lt;&gt;""),COUNTIFS($C$5:$C$424,C197,$S$5:$S$424,"&gt;"&amp;S197)+COUNTIFS($C$5:C197,C197,$S$5:S197,S197),"")</f>
        <v/>
      </c>
      <c r="V197" s="22">
        <f>IF(U197="","",C197&amp;"|"&amp;U197)</f>
        <v/>
      </c>
      <c r="W197" s="30" t="n"/>
      <c r="X197" s="30" t="inlineStr">
        <is>
          <t>Next-fastest time supplied in user workbook; swimmer name not yet supplied.</t>
        </is>
      </c>
    </row>
    <row r="198" ht="15" customHeight="1" s="17">
      <c r="A198" s="30" t="inlineStr">
        <is>
          <t>NZ|SCM|F|17|100 Fly</t>
        </is>
      </c>
      <c r="B198" s="30" t="inlineStr">
        <is>
          <t>SCM</t>
        </is>
      </c>
      <c r="C198" s="30" t="inlineStr">
        <is>
          <t>Female</t>
        </is>
      </c>
      <c r="D198" s="30" t="n">
        <v>17</v>
      </c>
      <c r="E198" s="30" t="inlineStr">
        <is>
          <t>100 Fly</t>
        </is>
      </c>
      <c r="F198" s="30" t="inlineStr">
        <is>
          <t>Sophia Batchelor</t>
        </is>
      </c>
      <c r="G198" s="22" t="inlineStr">
        <is>
          <t>Sophia Batchelor</t>
        </is>
      </c>
      <c r="H198" s="22" t="n"/>
      <c r="I198" s="30" t="inlineStr">
        <is>
          <t>58.24</t>
        </is>
      </c>
      <c r="J198" s="22">
        <f>IF(I198="","",IF(ISNUMBER(SEARCH(":",I198)),VALUE(LEFT(I198,SEARCH(":",I198)-1))*60+VALUE(MID(I198,SEARCH(":",I198)+1,99)),VALUE(I198)))</f>
        <v/>
      </c>
      <c r="K198" s="30" t="inlineStr">
        <is>
          <t>03.10.12</t>
        </is>
      </c>
      <c r="L198" s="30" t="inlineStr">
        <is>
          <t>Swimming New Zealand Short Course Records by Age - user-supplied PDF</t>
        </is>
      </c>
      <c r="M198" s="30" t="n"/>
      <c r="N198" s="30" t="inlineStr">
        <is>
          <t>NO</t>
        </is>
      </c>
      <c r="O198" s="30" t="inlineStr">
        <is>
          <t>YES</t>
        </is>
      </c>
      <c r="P198" s="30" t="n"/>
      <c r="Q198" s="30" t="inlineStr">
        <is>
          <t>59.02</t>
        </is>
      </c>
      <c r="R198" s="22">
        <f>IF(Q198="","",IF(ISNUMBER(SEARCH(":",Q198)),VALUE(LEFT(Q198,SEARCH(":",Q198)-1))*60+VALUE(MID(Q198,SEARCH(":",Q198)+1,99)),VALUE(Q198)))</f>
        <v/>
      </c>
      <c r="S198" s="39">
        <f>IF(OR(J198="",R198=""),"",(R198-J198)/R198)</f>
        <v/>
      </c>
      <c r="T198" s="22">
        <f>IF(OR(P198&lt;&gt;"",N198="YES"),"YES","NO")</f>
        <v/>
      </c>
      <c r="U198" s="22">
        <f>IF(AND(O198="YES",T198="YES",S198&lt;&gt;""),COUNTIFS($C$5:$C$424,C198,$S$5:$S$424,"&gt;"&amp;S198)+COUNTIFS($C$5:C198,C198,$S$5:S198,S198),"")</f>
        <v/>
      </c>
      <c r="V198" s="22">
        <f>IF(U198="","",C198&amp;"|"&amp;U198)</f>
        <v/>
      </c>
      <c r="W198" s="30" t="n"/>
      <c r="X198" s="30" t="inlineStr">
        <is>
          <t>Next-fastest time supplied in user workbook; swimmer name not yet supplied.</t>
        </is>
      </c>
    </row>
    <row r="199" ht="15" customHeight="1" s="17">
      <c r="A199" s="30" t="inlineStr">
        <is>
          <t>NZ|SCM|F|17|200 Fly</t>
        </is>
      </c>
      <c r="B199" s="30" t="inlineStr">
        <is>
          <t>SCM</t>
        </is>
      </c>
      <c r="C199" s="30" t="inlineStr">
        <is>
          <t>Female</t>
        </is>
      </c>
      <c r="D199" s="30" t="n">
        <v>17</v>
      </c>
      <c r="E199" s="30" t="inlineStr">
        <is>
          <t>200 Fly</t>
        </is>
      </c>
      <c r="F199" s="30" t="inlineStr">
        <is>
          <t>Samantha Lee</t>
        </is>
      </c>
      <c r="G199" s="22" t="inlineStr">
        <is>
          <t>Samantha Lee</t>
        </is>
      </c>
      <c r="H199" s="22" t="n"/>
      <c r="I199" s="30" t="inlineStr">
        <is>
          <t>2:11.49</t>
        </is>
      </c>
      <c r="J199" s="22">
        <f>IF(I199="","",IF(ISNUMBER(SEARCH(":",I199)),VALUE(LEFT(I199,SEARCH(":",I199)-1))*60+VALUE(MID(I199,SEARCH(":",I199)+1,99)),VALUE(I199)))</f>
        <v/>
      </c>
      <c r="K199" s="30" t="inlineStr">
        <is>
          <t>27.09.09</t>
        </is>
      </c>
      <c r="L199" s="30" t="inlineStr">
        <is>
          <t>Swimming New Zealand Short Course Records by Age - user-supplied PDF</t>
        </is>
      </c>
      <c r="M199" s="30" t="n"/>
      <c r="N199" s="30" t="inlineStr">
        <is>
          <t>NO</t>
        </is>
      </c>
      <c r="O199" s="30" t="inlineStr">
        <is>
          <t>YES</t>
        </is>
      </c>
      <c r="P199" s="30" t="n"/>
      <c r="Q199" s="30" t="inlineStr">
        <is>
          <t>2:11.81</t>
        </is>
      </c>
      <c r="R199" s="22">
        <f>IF(Q199="","",IF(ISNUMBER(SEARCH(":",Q199)),VALUE(LEFT(Q199,SEARCH(":",Q199)-1))*60+VALUE(MID(Q199,SEARCH(":",Q199)+1,99)),VALUE(Q199)))</f>
        <v/>
      </c>
      <c r="S199" s="39">
        <f>IF(OR(J199="",R199=""),"",(R199-J199)/R199)</f>
        <v/>
      </c>
      <c r="T199" s="22">
        <f>IF(OR(P199&lt;&gt;"",N199="YES"),"YES","NO")</f>
        <v/>
      </c>
      <c r="U199" s="22">
        <f>IF(AND(O199="YES",T199="YES",S199&lt;&gt;""),COUNTIFS($C$5:$C$424,C199,$S$5:$S$424,"&gt;"&amp;S199)+COUNTIFS($C$5:C199,C199,$S$5:S199,S199),"")</f>
        <v/>
      </c>
      <c r="V199" s="22">
        <f>IF(U199="","",C199&amp;"|"&amp;U199)</f>
        <v/>
      </c>
      <c r="W199" s="30" t="n"/>
      <c r="X199" s="30" t="inlineStr">
        <is>
          <t>Next-fastest time supplied in user workbook; swimmer name not yet supplied.</t>
        </is>
      </c>
    </row>
    <row r="200" ht="15" customHeight="1" s="17">
      <c r="A200" s="30" t="inlineStr">
        <is>
          <t>NZ|SCM|F|17|100 IM</t>
        </is>
      </c>
      <c r="B200" s="30" t="inlineStr">
        <is>
          <t>SCM</t>
        </is>
      </c>
      <c r="C200" s="30" t="inlineStr">
        <is>
          <t>Female</t>
        </is>
      </c>
      <c r="D200" s="30" t="n">
        <v>17</v>
      </c>
      <c r="E200" s="30" t="inlineStr">
        <is>
          <t>100 IM</t>
        </is>
      </c>
      <c r="F200" s="30" t="inlineStr">
        <is>
          <t>Laura Littlejohn</t>
        </is>
      </c>
      <c r="G200" s="22" t="inlineStr">
        <is>
          <t>Laura Littlejohn</t>
        </is>
      </c>
      <c r="H200" s="22" t="n"/>
      <c r="I200" s="30" t="inlineStr">
        <is>
          <t>1:00.43</t>
        </is>
      </c>
      <c r="J200" s="22">
        <f>IF(I200="","",IF(ISNUMBER(SEARCH(":",I200)),VALUE(LEFT(I200,SEARCH(":",I200)-1))*60+VALUE(MID(I200,SEARCH(":",I200)+1,99)),VALUE(I200)))</f>
        <v/>
      </c>
      <c r="K200" s="30" t="inlineStr">
        <is>
          <t>18.12.21</t>
        </is>
      </c>
      <c r="L200" s="30" t="inlineStr">
        <is>
          <t>Swimming New Zealand Short Course Records by Age - user-supplied PDF</t>
        </is>
      </c>
      <c r="M200" s="30" t="n"/>
      <c r="N200" s="30" t="inlineStr">
        <is>
          <t>NO</t>
        </is>
      </c>
      <c r="O200" s="30" t="inlineStr">
        <is>
          <t>YES</t>
        </is>
      </c>
      <c r="P200" s="30" t="n"/>
      <c r="Q200" s="30" t="inlineStr">
        <is>
          <t>1:02.04</t>
        </is>
      </c>
      <c r="R200" s="22">
        <f>IF(Q200="","",IF(ISNUMBER(SEARCH(":",Q200)),VALUE(LEFT(Q200,SEARCH(":",Q200)-1))*60+VALUE(MID(Q200,SEARCH(":",Q200)+1,99)),VALUE(Q200)))</f>
        <v/>
      </c>
      <c r="S200" s="39">
        <f>IF(OR(J200="",R200=""),"",(R200-J200)/R200)</f>
        <v/>
      </c>
      <c r="T200" s="22">
        <f>IF(OR(P200&lt;&gt;"",N200="YES"),"YES","NO")</f>
        <v/>
      </c>
      <c r="U200" s="22">
        <f>IF(AND(O200="YES",T200="YES",S200&lt;&gt;""),COUNTIFS($C$5:$C$424,C200,$S$5:$S$424,"&gt;"&amp;S200)+COUNTIFS($C$5:C200,C200,$S$5:S200,S200),"")</f>
        <v/>
      </c>
      <c r="V200" s="22">
        <f>IF(U200="","",C200&amp;"|"&amp;U200)</f>
        <v/>
      </c>
      <c r="W200" s="30" t="n"/>
      <c r="X200" s="30" t="inlineStr">
        <is>
          <t>Next-fastest time supplied in user workbook; swimmer name not yet supplied.</t>
        </is>
      </c>
    </row>
    <row r="201" ht="15" customHeight="1" s="17">
      <c r="A201" s="30" t="inlineStr">
        <is>
          <t>NZ|SCM|F|17|200 IM</t>
        </is>
      </c>
      <c r="B201" s="30" t="inlineStr">
        <is>
          <t>SCM</t>
        </is>
      </c>
      <c r="C201" s="30" t="inlineStr">
        <is>
          <t>Female</t>
        </is>
      </c>
      <c r="D201" s="30" t="n">
        <v>17</v>
      </c>
      <c r="E201" s="30" t="inlineStr">
        <is>
          <t>200 IM</t>
        </is>
      </c>
      <c r="F201" s="30" t="inlineStr">
        <is>
          <t>Laura Littlejohn</t>
        </is>
      </c>
      <c r="G201" s="22" t="inlineStr">
        <is>
          <t>Laura Littlejohn</t>
        </is>
      </c>
      <c r="H201" s="22" t="n"/>
      <c r="I201" s="30" t="inlineStr">
        <is>
          <t>2:10.61</t>
        </is>
      </c>
      <c r="J201" s="22">
        <f>IF(I201="","",IF(ISNUMBER(SEARCH(":",I201)),VALUE(LEFT(I201,SEARCH(":",I201)-1))*60+VALUE(MID(I201,SEARCH(":",I201)+1,99)),VALUE(I201)))</f>
        <v/>
      </c>
      <c r="K201" s="30" t="inlineStr">
        <is>
          <t>11.12.21</t>
        </is>
      </c>
      <c r="L201" s="30" t="inlineStr">
        <is>
          <t>Swimming New Zealand Short Course Records by Age - user-supplied PDF</t>
        </is>
      </c>
      <c r="M201" s="30" t="n"/>
      <c r="N201" s="30" t="inlineStr">
        <is>
          <t>NO</t>
        </is>
      </c>
      <c r="O201" s="30" t="inlineStr">
        <is>
          <t>YES</t>
        </is>
      </c>
      <c r="P201" s="30" t="n"/>
      <c r="Q201" s="30" t="inlineStr">
        <is>
          <t>2:12.77</t>
        </is>
      </c>
      <c r="R201" s="22">
        <f>IF(Q201="","",IF(ISNUMBER(SEARCH(":",Q201)),VALUE(LEFT(Q201,SEARCH(":",Q201)-1))*60+VALUE(MID(Q201,SEARCH(":",Q201)+1,99)),VALUE(Q201)))</f>
        <v/>
      </c>
      <c r="S201" s="39">
        <f>IF(OR(J201="",R201=""),"",(R201-J201)/R201)</f>
        <v/>
      </c>
      <c r="T201" s="22">
        <f>IF(OR(P201&lt;&gt;"",N201="YES"),"YES","NO")</f>
        <v/>
      </c>
      <c r="U201" s="22">
        <f>IF(AND(O201="YES",T201="YES",S201&lt;&gt;""),COUNTIFS($C$5:$C$424,C201,$S$5:$S$424,"&gt;"&amp;S201)+COUNTIFS($C$5:C201,C201,$S$5:S201,S201),"")</f>
        <v/>
      </c>
      <c r="V201" s="22">
        <f>IF(U201="","",C201&amp;"|"&amp;U201)</f>
        <v/>
      </c>
      <c r="W201" s="30" t="n"/>
      <c r="X201" s="30" t="inlineStr">
        <is>
          <t>Next-fastest time supplied in user workbook; swimmer name not yet supplied.</t>
        </is>
      </c>
    </row>
    <row r="202" ht="15" customHeight="1" s="17">
      <c r="A202" s="30" t="inlineStr">
        <is>
          <t>NZ|SCM|F|17|400 IM</t>
        </is>
      </c>
      <c r="B202" s="30" t="inlineStr">
        <is>
          <t>SCM</t>
        </is>
      </c>
      <c r="C202" s="30" t="inlineStr">
        <is>
          <t>Female</t>
        </is>
      </c>
      <c r="D202" s="30" t="n">
        <v>17</v>
      </c>
      <c r="E202" s="30" t="inlineStr">
        <is>
          <t>400 IM</t>
        </is>
      </c>
      <c r="F202" s="30" t="inlineStr">
        <is>
          <t>Anna Wilson</t>
        </is>
      </c>
      <c r="G202" s="22" t="inlineStr">
        <is>
          <t>Anna Wilson</t>
        </is>
      </c>
      <c r="H202" s="22" t="n"/>
      <c r="I202" s="30" t="inlineStr">
        <is>
          <t>4:36.84</t>
        </is>
      </c>
      <c r="J202" s="22">
        <f>IF(I202="","",IF(ISNUMBER(SEARCH(":",I202)),VALUE(LEFT(I202,SEARCH(":",I202)-1))*60+VALUE(MID(I202,SEARCH(":",I202)+1,99)),VALUE(I202)))</f>
        <v/>
      </c>
      <c r="K202" s="30" t="inlineStr">
        <is>
          <t>15.02.95</t>
        </is>
      </c>
      <c r="L202" s="30" t="inlineStr">
        <is>
          <t>Swimming New Zealand Short Course Records by Age - user-supplied PDF</t>
        </is>
      </c>
      <c r="M202" s="30" t="n"/>
      <c r="N202" s="30" t="inlineStr">
        <is>
          <t>NO</t>
        </is>
      </c>
      <c r="O202" s="30" t="inlineStr">
        <is>
          <t>YES</t>
        </is>
      </c>
      <c r="P202" s="30" t="n"/>
      <c r="Q202" s="30" t="inlineStr">
        <is>
          <t>4:40.76</t>
        </is>
      </c>
      <c r="R202" s="22">
        <f>IF(Q202="","",IF(ISNUMBER(SEARCH(":",Q202)),VALUE(LEFT(Q202,SEARCH(":",Q202)-1))*60+VALUE(MID(Q202,SEARCH(":",Q202)+1,99)),VALUE(Q202)))</f>
        <v/>
      </c>
      <c r="S202" s="39">
        <f>IF(OR(J202="",R202=""),"",(R202-J202)/R202)</f>
        <v/>
      </c>
      <c r="T202" s="22">
        <f>IF(OR(P202&lt;&gt;"",N202="YES"),"YES","NO")</f>
        <v/>
      </c>
      <c r="U202" s="22">
        <f>IF(AND(O202="YES",T202="YES",S202&lt;&gt;""),COUNTIFS($C$5:$C$424,C202,$S$5:$S$424,"&gt;"&amp;S202)+COUNTIFS($C$5:C202,C202,$S$5:S202,S202),"")</f>
        <v/>
      </c>
      <c r="V202" s="22">
        <f>IF(U202="","",C202&amp;"|"&amp;U202)</f>
        <v/>
      </c>
      <c r="W202" s="30" t="n"/>
      <c r="X202" s="30" t="inlineStr">
        <is>
          <t>Next-fastest time supplied in user workbook; swimmer name not yet supplied.</t>
        </is>
      </c>
    </row>
    <row r="203" ht="15" customHeight="1" s="17">
      <c r="A203" s="30" t="inlineStr">
        <is>
          <t>NZ|SCM|F|18|50 Free</t>
        </is>
      </c>
      <c r="B203" s="30" t="inlineStr">
        <is>
          <t>SCM</t>
        </is>
      </c>
      <c r="C203" s="30" t="inlineStr">
        <is>
          <t>Female</t>
        </is>
      </c>
      <c r="D203" s="30" t="n">
        <v>18</v>
      </c>
      <c r="E203" s="30" t="inlineStr">
        <is>
          <t>50 Free</t>
        </is>
      </c>
      <c r="F203" s="30" t="inlineStr">
        <is>
          <t>Zoe Pedersen</t>
        </is>
      </c>
      <c r="G203" s="22" t="inlineStr">
        <is>
          <t>Zoe Pedersen</t>
        </is>
      </c>
      <c r="H203" s="22" t="n"/>
      <c r="I203" s="30" t="inlineStr">
        <is>
          <t>24.99</t>
        </is>
      </c>
      <c r="J203" s="22">
        <f>IF(I203="","",IF(ISNUMBER(SEARCH(":",I203)),VALUE(LEFT(I203,SEARCH(":",I203)-1))*60+VALUE(MID(I203,SEARCH(":",I203)+1,99)),VALUE(I203)))</f>
        <v/>
      </c>
      <c r="K203" s="30" t="inlineStr">
        <is>
          <t>25.09.25</t>
        </is>
      </c>
      <c r="L203" s="30" t="inlineStr">
        <is>
          <t>Swimming New Zealand Short Course Records by Age - user-supplied PDF</t>
        </is>
      </c>
      <c r="M203" s="30" t="n"/>
      <c r="N203" s="30" t="inlineStr">
        <is>
          <t>NO</t>
        </is>
      </c>
      <c r="O203" s="30" t="inlineStr">
        <is>
          <t>YES</t>
        </is>
      </c>
      <c r="P203" s="30" t="n"/>
      <c r="Q203" s="30" t="inlineStr">
        <is>
          <t>25.05</t>
        </is>
      </c>
      <c r="R203" s="22">
        <f>IF(Q203="","",IF(ISNUMBER(SEARCH(":",Q203)),VALUE(LEFT(Q203,SEARCH(":",Q203)-1))*60+VALUE(MID(Q203,SEARCH(":",Q203)+1,99)),VALUE(Q203)))</f>
        <v/>
      </c>
      <c r="S203" s="39">
        <f>IF(OR(J203="",R203=""),"",(R203-J203)/R203)</f>
        <v/>
      </c>
      <c r="T203" s="22">
        <f>IF(OR(P203&lt;&gt;"",N203="YES"),"YES","NO")</f>
        <v/>
      </c>
      <c r="U203" s="22">
        <f>IF(AND(O203="YES",T203="YES",S203&lt;&gt;""),COUNTIFS($C$5:$C$424,C203,$S$5:$S$424,"&gt;"&amp;S203)+COUNTIFS($C$5:C203,C203,$S$5:S203,S203),"")</f>
        <v/>
      </c>
      <c r="V203" s="22">
        <f>IF(U203="","",C203&amp;"|"&amp;U203)</f>
        <v/>
      </c>
      <c r="W203" s="30" t="n"/>
      <c r="X203" s="30" t="inlineStr">
        <is>
          <t>Next-fastest time supplied in user workbook; swimmer name not yet supplied.</t>
        </is>
      </c>
    </row>
    <row r="204" ht="15" customHeight="1" s="17">
      <c r="A204" s="30" t="inlineStr">
        <is>
          <t>NZ|SCM|F|18|100 Free</t>
        </is>
      </c>
      <c r="B204" s="30" t="inlineStr">
        <is>
          <t>SCM</t>
        </is>
      </c>
      <c r="C204" s="30" t="inlineStr">
        <is>
          <t>Female</t>
        </is>
      </c>
      <c r="D204" s="30" t="n">
        <v>18</v>
      </c>
      <c r="E204" s="30" t="inlineStr">
        <is>
          <t>100 Free</t>
        </is>
      </c>
      <c r="F204" s="30" t="inlineStr">
        <is>
          <t>Zoe Pedersen</t>
        </is>
      </c>
      <c r="G204" s="22" t="inlineStr">
        <is>
          <t>Zoe Pedersen</t>
        </is>
      </c>
      <c r="H204" s="22" t="n"/>
      <c r="I204" s="30" t="inlineStr">
        <is>
          <t>53.68</t>
        </is>
      </c>
      <c r="J204" s="22">
        <f>IF(I204="","",IF(ISNUMBER(SEARCH(":",I204)),VALUE(LEFT(I204,SEARCH(":",I204)-1))*60+VALUE(MID(I204,SEARCH(":",I204)+1,99)),VALUE(I204)))</f>
        <v/>
      </c>
      <c r="K204" s="30" t="inlineStr">
        <is>
          <t>22.09.25</t>
        </is>
      </c>
      <c r="L204" s="30" t="inlineStr">
        <is>
          <t>Swimming New Zealand Short Course Records by Age - user-supplied PDF</t>
        </is>
      </c>
      <c r="M204" s="30" t="n"/>
      <c r="N204" s="30" t="inlineStr">
        <is>
          <t>NO</t>
        </is>
      </c>
      <c r="O204" s="30" t="inlineStr">
        <is>
          <t>YES</t>
        </is>
      </c>
      <c r="P204" s="30" t="n"/>
      <c r="Q204" s="30" t="inlineStr">
        <is>
          <t>53.85</t>
        </is>
      </c>
      <c r="R204" s="22">
        <f>IF(Q204="","",IF(ISNUMBER(SEARCH(":",Q204)),VALUE(LEFT(Q204,SEARCH(":",Q204)-1))*60+VALUE(MID(Q204,SEARCH(":",Q204)+1,99)),VALUE(Q204)))</f>
        <v/>
      </c>
      <c r="S204" s="39">
        <f>IF(OR(J204="",R204=""),"",(R204-J204)/R204)</f>
        <v/>
      </c>
      <c r="T204" s="22">
        <f>IF(OR(P204&lt;&gt;"",N204="YES"),"YES","NO")</f>
        <v/>
      </c>
      <c r="U204" s="22">
        <f>IF(AND(O204="YES",T204="YES",S204&lt;&gt;""),COUNTIFS($C$5:$C$424,C204,$S$5:$S$424,"&gt;"&amp;S204)+COUNTIFS($C$5:C204,C204,$S$5:S204,S204),"")</f>
        <v/>
      </c>
      <c r="V204" s="22">
        <f>IF(U204="","",C204&amp;"|"&amp;U204)</f>
        <v/>
      </c>
      <c r="W204" s="30" t="n"/>
      <c r="X204" s="30" t="inlineStr">
        <is>
          <t>Next-fastest time supplied in user workbook; swimmer name not yet supplied.</t>
        </is>
      </c>
    </row>
    <row r="205" ht="15" customHeight="1" s="17">
      <c r="A205" s="30" t="inlineStr">
        <is>
          <t>NZ|SCM|F|18|200 Free</t>
        </is>
      </c>
      <c r="B205" s="30" t="inlineStr">
        <is>
          <t>SCM</t>
        </is>
      </c>
      <c r="C205" s="30" t="inlineStr">
        <is>
          <t>Female</t>
        </is>
      </c>
      <c r="D205" s="30" t="n">
        <v>18</v>
      </c>
      <c r="E205" s="30" t="inlineStr">
        <is>
          <t>200 Free</t>
        </is>
      </c>
      <c r="F205" s="30" t="inlineStr">
        <is>
          <t>Erika Fairweather</t>
        </is>
      </c>
      <c r="G205" s="22" t="inlineStr">
        <is>
          <t>Erika Fairweather</t>
        </is>
      </c>
      <c r="H205" s="22" t="n"/>
      <c r="I205" s="30" t="inlineStr">
        <is>
          <t>1:54.24</t>
        </is>
      </c>
      <c r="J205" s="22">
        <f>IF(I205="","",IF(ISNUMBER(SEARCH(":",I205)),VALUE(LEFT(I205,SEARCH(":",I205)-1))*60+VALUE(MID(I205,SEARCH(":",I205)+1,99)),VALUE(I205)))</f>
        <v/>
      </c>
      <c r="K205" s="30" t="inlineStr">
        <is>
          <t>14.12.22</t>
        </is>
      </c>
      <c r="L205" s="30" t="inlineStr">
        <is>
          <t>Swimming New Zealand Short Course Records by Age - user-supplied PDF</t>
        </is>
      </c>
      <c r="M205" s="30" t="n"/>
      <c r="N205" s="30" t="inlineStr">
        <is>
          <t>NO</t>
        </is>
      </c>
      <c r="O205" s="30" t="inlineStr">
        <is>
          <t>YES</t>
        </is>
      </c>
      <c r="P205" s="30" t="n"/>
      <c r="Q205" s="30" t="inlineStr">
        <is>
          <t>1:57.05</t>
        </is>
      </c>
      <c r="R205" s="22">
        <f>IF(Q205="","",IF(ISNUMBER(SEARCH(":",Q205)),VALUE(LEFT(Q205,SEARCH(":",Q205)-1))*60+VALUE(MID(Q205,SEARCH(":",Q205)+1,99)),VALUE(Q205)))</f>
        <v/>
      </c>
      <c r="S205" s="39">
        <f>IF(OR(J205="",R205=""),"",(R205-J205)/R205)</f>
        <v/>
      </c>
      <c r="T205" s="22">
        <f>IF(OR(P205&lt;&gt;"",N205="YES"),"YES","NO")</f>
        <v/>
      </c>
      <c r="U205" s="22">
        <f>IF(AND(O205="YES",T205="YES",S205&lt;&gt;""),COUNTIFS($C$5:$C$424,C205,$S$5:$S$424,"&gt;"&amp;S205)+COUNTIFS($C$5:C205,C205,$S$5:S205,S205),"")</f>
        <v/>
      </c>
      <c r="V205" s="22">
        <f>IF(U205="","",C205&amp;"|"&amp;U205)</f>
        <v/>
      </c>
      <c r="W205" s="30" t="n"/>
      <c r="X205" s="30" t="inlineStr">
        <is>
          <t>Next-fastest time supplied in user workbook; swimmer name not yet supplied.</t>
        </is>
      </c>
    </row>
    <row r="206" ht="15" customHeight="1" s="17">
      <c r="A206" s="30" t="inlineStr">
        <is>
          <t>NZ|SCM|F|18|400 Free</t>
        </is>
      </c>
      <c r="B206" s="30" t="inlineStr">
        <is>
          <t>SCM</t>
        </is>
      </c>
      <c r="C206" s="30" t="inlineStr">
        <is>
          <t>Female</t>
        </is>
      </c>
      <c r="D206" s="30" t="n">
        <v>18</v>
      </c>
      <c r="E206" s="30" t="inlineStr">
        <is>
          <t>400 Free</t>
        </is>
      </c>
      <c r="F206" s="30" t="inlineStr">
        <is>
          <t>Erika Fairweather</t>
        </is>
      </c>
      <c r="G206" s="22" t="inlineStr">
        <is>
          <t>Erika Fairweather</t>
        </is>
      </c>
      <c r="H206" s="22" t="n"/>
      <c r="I206" s="30" t="inlineStr">
        <is>
          <t>3:56.00</t>
        </is>
      </c>
      <c r="J206" s="22">
        <f>IF(I206="","",IF(ISNUMBER(SEARCH(":",I206)),VALUE(LEFT(I206,SEARCH(":",I206)-1))*60+VALUE(MID(I206,SEARCH(":",I206)+1,99)),VALUE(I206)))</f>
        <v/>
      </c>
      <c r="K206" s="30" t="inlineStr">
        <is>
          <t>13.12.22</t>
        </is>
      </c>
      <c r="L206" s="30" t="inlineStr">
        <is>
          <t>Swimming New Zealand Short Course Records by Age - user-supplied PDF</t>
        </is>
      </c>
      <c r="M206" s="30" t="n"/>
      <c r="N206" s="30" t="inlineStr">
        <is>
          <t>NO</t>
        </is>
      </c>
      <c r="O206" s="30" t="inlineStr">
        <is>
          <t>YES</t>
        </is>
      </c>
      <c r="P206" s="30" t="inlineStr">
        <is>
          <t>Tabitha Baumann</t>
        </is>
      </c>
      <c r="Q206" s="30" t="inlineStr">
        <is>
          <t>4:07.51</t>
        </is>
      </c>
      <c r="R206" s="22">
        <f>IF(Q206="","",IF(ISNUMBER(SEARCH(":",Q206)),VALUE(LEFT(Q206,SEARCH(":",Q206)-1))*60+VALUE(MID(Q206,SEARCH(":",Q206)+1,99)),VALUE(Q206)))</f>
        <v/>
      </c>
      <c r="S206" s="39">
        <f>IF(OR(J206="",R206=""),"",(R206-J206)/R206)</f>
        <v/>
      </c>
      <c r="T206" s="22">
        <f>IF(OR(P206&lt;&gt;"",N206="YES"),"YES","NO")</f>
        <v/>
      </c>
      <c r="U206" s="22">
        <f>IF(AND(O206="YES",T206="YES",S206&lt;&gt;""),COUNTIFS($C$5:$C$424,C206,$S$5:$S$424,"&gt;"&amp;S206)+COUNTIFS($C$5:C206,C206,$S$5:S206,S206),"")</f>
        <v/>
      </c>
      <c r="V206" s="22">
        <f>IF(U206="","",C206&amp;"|"&amp;U206)</f>
        <v/>
      </c>
      <c r="W206" s="30" t="n"/>
      <c r="X206" s="30" t="inlineStr">
        <is>
          <t>Next-fastest time supplied in user workbook; swimmer name not yet supplied.</t>
        </is>
      </c>
    </row>
    <row r="207" ht="15" customHeight="1" s="17">
      <c r="A207" s="30" t="inlineStr">
        <is>
          <t>NZ|SCM|F|18|800 Free</t>
        </is>
      </c>
      <c r="B207" s="30" t="inlineStr">
        <is>
          <t>SCM</t>
        </is>
      </c>
      <c r="C207" s="30" t="inlineStr">
        <is>
          <t>Female</t>
        </is>
      </c>
      <c r="D207" s="30" t="n">
        <v>18</v>
      </c>
      <c r="E207" s="30" t="inlineStr">
        <is>
          <t>800 Free</t>
        </is>
      </c>
      <c r="F207" s="30" t="inlineStr">
        <is>
          <t>Erika Fairweather</t>
        </is>
      </c>
      <c r="G207" s="22" t="inlineStr">
        <is>
          <t>Erika Fairweather</t>
        </is>
      </c>
      <c r="H207" s="22" t="n"/>
      <c r="I207" s="30" t="inlineStr">
        <is>
          <t>8:18.63</t>
        </is>
      </c>
      <c r="J207" s="22">
        <f>IF(I207="","",IF(ISNUMBER(SEARCH(":",I207)),VALUE(LEFT(I207,SEARCH(":",I207)-1))*60+VALUE(MID(I207,SEARCH(":",I207)+1,99)),VALUE(I207)))</f>
        <v/>
      </c>
      <c r="K207" s="30" t="inlineStr">
        <is>
          <t>27.08.22</t>
        </is>
      </c>
      <c r="L207" s="30" t="inlineStr">
        <is>
          <t>Swimming New Zealand Short Course Records by Age - user-supplied PDF</t>
        </is>
      </c>
      <c r="M207" s="30" t="n"/>
      <c r="N207" s="30" t="inlineStr">
        <is>
          <t>NO</t>
        </is>
      </c>
      <c r="O207" s="30" t="inlineStr">
        <is>
          <t>YES</t>
        </is>
      </c>
      <c r="P207" s="30" t="n"/>
      <c r="Q207" s="30" t="inlineStr">
        <is>
          <t>8:26.20</t>
        </is>
      </c>
      <c r="R207" s="22">
        <f>IF(Q207="","",IF(ISNUMBER(SEARCH(":",Q207)),VALUE(LEFT(Q207,SEARCH(":",Q207)-1))*60+VALUE(MID(Q207,SEARCH(":",Q207)+1,99)),VALUE(Q207)))</f>
        <v/>
      </c>
      <c r="S207" s="39">
        <f>IF(OR(J207="",R207=""),"",(R207-J207)/R207)</f>
        <v/>
      </c>
      <c r="T207" s="22">
        <f>IF(OR(P207&lt;&gt;"",N207="YES"),"YES","NO")</f>
        <v/>
      </c>
      <c r="U207" s="22">
        <f>IF(AND(O207="YES",T207="YES",S207&lt;&gt;""),COUNTIFS($C$5:$C$424,C207,$S$5:$S$424,"&gt;"&amp;S207)+COUNTIFS($C$5:C207,C207,$S$5:S207,S207),"")</f>
        <v/>
      </c>
      <c r="V207" s="22">
        <f>IF(U207="","",C207&amp;"|"&amp;U207)</f>
        <v/>
      </c>
      <c r="W207" s="30" t="n"/>
      <c r="X207" s="30" t="inlineStr">
        <is>
          <t>Next-fastest time supplied in user workbook; swimmer name not yet supplied.</t>
        </is>
      </c>
    </row>
    <row r="208" ht="15" customHeight="1" s="17">
      <c r="A208" s="30" t="inlineStr">
        <is>
          <t>NZ|SCM|F|18|1500 Free</t>
        </is>
      </c>
      <c r="B208" s="30" t="inlineStr">
        <is>
          <t>SCM</t>
        </is>
      </c>
      <c r="C208" s="30" t="inlineStr">
        <is>
          <t>Female</t>
        </is>
      </c>
      <c r="D208" s="30" t="n">
        <v>18</v>
      </c>
      <c r="E208" s="30" t="inlineStr">
        <is>
          <t>1500 Free</t>
        </is>
      </c>
      <c r="F208" s="30" t="inlineStr">
        <is>
          <t>Caitlin Deans</t>
        </is>
      </c>
      <c r="G208" s="22" t="inlineStr">
        <is>
          <t>Caitlin Deans</t>
        </is>
      </c>
      <c r="H208" s="22" t="n"/>
      <c r="I208" s="30" t="inlineStr">
        <is>
          <t>16:25.17</t>
        </is>
      </c>
      <c r="J208" s="22">
        <f>IF(I208="","",IF(ISNUMBER(SEARCH(":",I208)),VALUE(LEFT(I208,SEARCH(":",I208)-1))*60+VALUE(MID(I208,SEARCH(":",I208)+1,99)),VALUE(I208)))</f>
        <v/>
      </c>
      <c r="K208" s="30" t="inlineStr">
        <is>
          <t>06.10.18</t>
        </is>
      </c>
      <c r="L208" s="30" t="inlineStr">
        <is>
          <t>Swimming New Zealand Short Course Records by Age - user-supplied PDF</t>
        </is>
      </c>
      <c r="M208" s="30" t="n"/>
      <c r="N208" s="30" t="inlineStr">
        <is>
          <t>NO</t>
        </is>
      </c>
      <c r="O208" s="30" t="inlineStr">
        <is>
          <t>YES</t>
        </is>
      </c>
      <c r="P208" s="30" t="n"/>
      <c r="Q208" s="30" t="inlineStr">
        <is>
          <t>16:31.23</t>
        </is>
      </c>
      <c r="R208" s="22">
        <f>IF(Q208="","",IF(ISNUMBER(SEARCH(":",Q208)),VALUE(LEFT(Q208,SEARCH(":",Q208)-1))*60+VALUE(MID(Q208,SEARCH(":",Q208)+1,99)),VALUE(Q208)))</f>
        <v/>
      </c>
      <c r="S208" s="39">
        <f>IF(OR(J208="",R208=""),"",(R208-J208)/R208)</f>
        <v/>
      </c>
      <c r="T208" s="22">
        <f>IF(OR(P208&lt;&gt;"",N208="YES"),"YES","NO")</f>
        <v/>
      </c>
      <c r="U208" s="22">
        <f>IF(AND(O208="YES",T208="YES",S208&lt;&gt;""),COUNTIFS($C$5:$C$424,C208,$S$5:$S$424,"&gt;"&amp;S208)+COUNTIFS($C$5:C208,C208,$S$5:S208,S208),"")</f>
        <v/>
      </c>
      <c r="V208" s="22">
        <f>IF(U208="","",C208&amp;"|"&amp;U208)</f>
        <v/>
      </c>
      <c r="W208" s="30" t="n"/>
      <c r="X208" s="30" t="inlineStr">
        <is>
          <t>Next-fastest time supplied in user workbook; swimmer name not yet supplied.</t>
        </is>
      </c>
    </row>
    <row r="209" ht="15" customHeight="1" s="17">
      <c r="A209" s="30" t="inlineStr">
        <is>
          <t>NZ|SCM|F|18|50 Back</t>
        </is>
      </c>
      <c r="B209" s="30" t="inlineStr">
        <is>
          <t>SCM</t>
        </is>
      </c>
      <c r="C209" s="30" t="inlineStr">
        <is>
          <t>Female</t>
        </is>
      </c>
      <c r="D209" s="30" t="n">
        <v>18</v>
      </c>
      <c r="E209" s="30" t="inlineStr">
        <is>
          <t>50 Back</t>
        </is>
      </c>
      <c r="F209" s="30" t="inlineStr">
        <is>
          <t>Savannah-Eve Martin</t>
        </is>
      </c>
      <c r="G209" s="22" t="inlineStr">
        <is>
          <t>Savannah-Eve Martin</t>
        </is>
      </c>
      <c r="H209" s="22" t="n"/>
      <c r="I209" s="30" t="inlineStr">
        <is>
          <t>26.98</t>
        </is>
      </c>
      <c r="J209" s="22">
        <f>IF(I209="","",IF(ISNUMBER(SEARCH(":",I209)),VALUE(LEFT(I209,SEARCH(":",I209)-1))*60+VALUE(MID(I209,SEARCH(":",I209)+1,99)),VALUE(I209)))</f>
        <v/>
      </c>
      <c r="K209" s="30" t="inlineStr">
        <is>
          <t>12.12.24</t>
        </is>
      </c>
      <c r="L209" s="30" t="inlineStr">
        <is>
          <t>Swimming New Zealand Short Course Records by Age - user-supplied PDF</t>
        </is>
      </c>
      <c r="M209" s="30" t="n"/>
      <c r="N209" s="30" t="inlineStr">
        <is>
          <t>NO</t>
        </is>
      </c>
      <c r="O209" s="30" t="inlineStr">
        <is>
          <t>YES</t>
        </is>
      </c>
      <c r="P209" s="30" t="n"/>
      <c r="Q209" s="30" t="inlineStr">
        <is>
          <t>27.37</t>
        </is>
      </c>
      <c r="R209" s="22">
        <f>IF(Q209="","",IF(ISNUMBER(SEARCH(":",Q209)),VALUE(LEFT(Q209,SEARCH(":",Q209)-1))*60+VALUE(MID(Q209,SEARCH(":",Q209)+1,99)),VALUE(Q209)))</f>
        <v/>
      </c>
      <c r="S209" s="39">
        <f>IF(OR(J209="",R209=""),"",(R209-J209)/R209)</f>
        <v/>
      </c>
      <c r="T209" s="22">
        <f>IF(OR(P209&lt;&gt;"",N209="YES"),"YES","NO")</f>
        <v/>
      </c>
      <c r="U209" s="22">
        <f>IF(AND(O209="YES",T209="YES",S209&lt;&gt;""),COUNTIFS($C$5:$C$424,C209,$S$5:$S$424,"&gt;"&amp;S209)+COUNTIFS($C$5:C209,C209,$S$5:S209,S209),"")</f>
        <v/>
      </c>
      <c r="V209" s="22">
        <f>IF(U209="","",C209&amp;"|"&amp;U209)</f>
        <v/>
      </c>
      <c r="W209" s="30" t="n"/>
      <c r="X209" s="30" t="inlineStr">
        <is>
          <t>Next-fastest time supplied in user workbook; swimmer name not yet supplied.</t>
        </is>
      </c>
    </row>
    <row r="210" ht="15" customHeight="1" s="17">
      <c r="A210" s="30" t="inlineStr">
        <is>
          <t>NZ|SCM|F|18|100 Back</t>
        </is>
      </c>
      <c r="B210" s="30" t="inlineStr">
        <is>
          <t>SCM</t>
        </is>
      </c>
      <c r="C210" s="30" t="inlineStr">
        <is>
          <t>Female</t>
        </is>
      </c>
      <c r="D210" s="30" t="n">
        <v>18</v>
      </c>
      <c r="E210" s="30" t="inlineStr">
        <is>
          <t>100 Back</t>
        </is>
      </c>
      <c r="F210" s="30" t="inlineStr">
        <is>
          <t>Milan Glintmeyer</t>
        </is>
      </c>
      <c r="G210" s="22" t="inlineStr">
        <is>
          <t>Milan Glintmeyer</t>
        </is>
      </c>
      <c r="H210" s="22" t="n"/>
      <c r="I210" s="30" t="inlineStr">
        <is>
          <t>57.35</t>
        </is>
      </c>
      <c r="J210" s="22">
        <f>IF(I210="","",IF(ISNUMBER(SEARCH(":",I210)),VALUE(LEFT(I210,SEARCH(":",I210)-1))*60+VALUE(MID(I210,SEARCH(":",I210)+1,99)),VALUE(I210)))</f>
        <v/>
      </c>
      <c r="K210" s="30" t="inlineStr">
        <is>
          <t>27.09.26</t>
        </is>
      </c>
      <c r="L210" s="30" t="inlineStr">
        <is>
          <t>Updated through 2026 NZ Short Course Championships</t>
        </is>
      </c>
      <c r="M210" s="30" t="inlineStr">
        <is>
          <t>https://swimdadnz.github.io/NZSC_2026/NZSC_2026_meet_editorial_summary_final.html</t>
        </is>
      </c>
      <c r="N210" s="30" t="inlineStr">
        <is>
          <t>NO</t>
        </is>
      </c>
      <c r="O210" s="30" t="inlineStr">
        <is>
          <t>YES</t>
        </is>
      </c>
      <c r="P210" s="30" t="inlineStr">
        <is>
          <t>Emily Thomas</t>
        </is>
      </c>
      <c r="Q210" s="30" t="inlineStr">
        <is>
          <t>58.02</t>
        </is>
      </c>
      <c r="R210" s="22">
        <f>IF(Q210="","",IF(ISNUMBER(SEARCH(":",Q210)),VALUE(LEFT(Q210,SEARCH(":",Q210)-1))*60+VALUE(MID(Q210,SEARCH(":",Q210)+1,99)),VALUE(Q210)))</f>
        <v/>
      </c>
      <c r="S210" s="39">
        <f>IF(OR(J210="",R210=""),"",(R210-J210)/R210)</f>
        <v/>
      </c>
      <c r="T210" s="22">
        <f>IF(OR(P210&lt;&gt;"",N210="YES"),"YES","NO")</f>
        <v/>
      </c>
      <c r="U210" s="22">
        <f>IF(AND(O210="YES",T210="YES",S210&lt;&gt;""),COUNTIFS($C$5:$C$424,C210,$S$5:$S$424,"&gt;"&amp;S210)+COUNTIFS($C$5:C210,C210,$S$5:S210,S210),"")</f>
        <v/>
      </c>
      <c r="V210" s="22">
        <f>IF(U210="","",C210&amp;"|"&amp;U210)</f>
        <v/>
      </c>
      <c r="W210" s="30" t="inlineStr">
        <is>
          <t>NZSC 2026 update: Emily Thomas 58.02 became next-fastest.</t>
        </is>
      </c>
      <c r="X210" s="30" t="inlineStr">
        <is>
          <t>Auto-set from displaced NZ record after NZSC 2026.</t>
        </is>
      </c>
    </row>
    <row r="211" ht="15" customHeight="1" s="17">
      <c r="A211" s="30" t="inlineStr">
        <is>
          <t>NZ|SCM|F|18|200 Back</t>
        </is>
      </c>
      <c r="B211" s="30" t="inlineStr">
        <is>
          <t>SCM</t>
        </is>
      </c>
      <c r="C211" s="30" t="inlineStr">
        <is>
          <t>Female</t>
        </is>
      </c>
      <c r="D211" s="30" t="n">
        <v>18</v>
      </c>
      <c r="E211" s="30" t="inlineStr">
        <is>
          <t>200 Back</t>
        </is>
      </c>
      <c r="F211" s="30" t="inlineStr">
        <is>
          <t>Milan Glintmeyer</t>
        </is>
      </c>
      <c r="G211" s="22" t="inlineStr">
        <is>
          <t>Milan Glintmeyer</t>
        </is>
      </c>
      <c r="H211" s="22" t="n"/>
      <c r="I211" s="30" t="inlineStr">
        <is>
          <t>2:05.69</t>
        </is>
      </c>
      <c r="J211" s="22">
        <f>IF(I211="","",IF(ISNUMBER(SEARCH(":",I211)),VALUE(LEFT(I211,SEARCH(":",I211)-1))*60+VALUE(MID(I211,SEARCH(":",I211)+1,99)),VALUE(I211)))</f>
        <v/>
      </c>
      <c r="K211" s="30" t="inlineStr">
        <is>
          <t>29.09.26</t>
        </is>
      </c>
      <c r="L211" s="30" t="inlineStr">
        <is>
          <t>Updated through 2026 NZ Short Course Championships</t>
        </is>
      </c>
      <c r="M211" s="30" t="inlineStr">
        <is>
          <t>https://swimdadnz.github.io/NZSC_2026/NZSC_2026_meet_editorial_summary_final.html</t>
        </is>
      </c>
      <c r="N211" s="30" t="inlineStr">
        <is>
          <t>NO</t>
        </is>
      </c>
      <c r="O211" s="30" t="inlineStr">
        <is>
          <t>YES</t>
        </is>
      </c>
      <c r="P211" s="30" t="inlineStr">
        <is>
          <t>Caroline Baddock</t>
        </is>
      </c>
      <c r="Q211" s="30" t="inlineStr">
        <is>
          <t>2:06.76</t>
        </is>
      </c>
      <c r="R211" s="22">
        <f>IF(Q211="","",IF(ISNUMBER(SEARCH(":",Q211)),VALUE(LEFT(Q211,SEARCH(":",Q211)-1))*60+VALUE(MID(Q211,SEARCH(":",Q211)+1,99)),VALUE(Q211)))</f>
        <v/>
      </c>
      <c r="S211" s="39">
        <f>IF(OR(J211="",R211=""),"",(R211-J211)/R211)</f>
        <v/>
      </c>
      <c r="T211" s="22">
        <f>IF(OR(P211&lt;&gt;"",N211="YES"),"YES","NO")</f>
        <v/>
      </c>
      <c r="U211" s="22">
        <f>IF(AND(O211="YES",T211="YES",S211&lt;&gt;""),COUNTIFS($C$5:$C$424,C211,$S$5:$S$424,"&gt;"&amp;S211)+COUNTIFS($C$5:C211,C211,$S$5:S211,S211),"")</f>
        <v/>
      </c>
      <c r="V211" s="22">
        <f>IF(U211="","",C211&amp;"|"&amp;U211)</f>
        <v/>
      </c>
      <c r="W211" s="30" t="inlineStr">
        <is>
          <t>NZSC 2026 update: Caroline Baddock 2:06.76 became next-fastest.</t>
        </is>
      </c>
      <c r="X211" s="30" t="inlineStr">
        <is>
          <t>Auto-set from displaced NZ record after NZSC 2026.</t>
        </is>
      </c>
    </row>
    <row r="212" ht="15" customHeight="1" s="17">
      <c r="A212" s="30" t="inlineStr">
        <is>
          <t>NZ|SCM|F|18|50 Breast</t>
        </is>
      </c>
      <c r="B212" s="30" t="inlineStr">
        <is>
          <t>SCM</t>
        </is>
      </c>
      <c r="C212" s="30" t="inlineStr">
        <is>
          <t>Female</t>
        </is>
      </c>
      <c r="D212" s="30" t="n">
        <v>18</v>
      </c>
      <c r="E212" s="30" t="inlineStr">
        <is>
          <t>50 Breast</t>
        </is>
      </c>
      <c r="F212" s="30" t="inlineStr">
        <is>
          <t>Monique Wieruszowski</t>
        </is>
      </c>
      <c r="G212" s="22" t="inlineStr">
        <is>
          <t>Monique Wieruszowski</t>
        </is>
      </c>
      <c r="H212" s="22" t="n"/>
      <c r="I212" s="30" t="inlineStr">
        <is>
          <t>30.68</t>
        </is>
      </c>
      <c r="J212" s="22">
        <f>IF(I212="","",IF(ISNUMBER(SEARCH(":",I212)),VALUE(LEFT(I212,SEARCH(":",I212)-1))*60+VALUE(MID(I212,SEARCH(":",I212)+1,99)),VALUE(I212)))</f>
        <v/>
      </c>
      <c r="K212" s="30" t="inlineStr">
        <is>
          <t>23.09.25</t>
        </is>
      </c>
      <c r="L212" s="30" t="inlineStr">
        <is>
          <t>Swimming New Zealand Short Course Records by Age - user-supplied PDF</t>
        </is>
      </c>
      <c r="M212" s="30" t="n"/>
      <c r="N212" s="30" t="inlineStr">
        <is>
          <t>NO</t>
        </is>
      </c>
      <c r="O212" s="30" t="inlineStr">
        <is>
          <t>YES</t>
        </is>
      </c>
      <c r="P212" s="30" t="n"/>
      <c r="Q212" s="30" t="inlineStr">
        <is>
          <t>31.41</t>
        </is>
      </c>
      <c r="R212" s="22">
        <f>IF(Q212="","",IF(ISNUMBER(SEARCH(":",Q212)),VALUE(LEFT(Q212,SEARCH(":",Q212)-1))*60+VALUE(MID(Q212,SEARCH(":",Q212)+1,99)),VALUE(Q212)))</f>
        <v/>
      </c>
      <c r="S212" s="39">
        <f>IF(OR(J212="",R212=""),"",(R212-J212)/R212)</f>
        <v/>
      </c>
      <c r="T212" s="22">
        <f>IF(OR(P212&lt;&gt;"",N212="YES"),"YES","NO")</f>
        <v/>
      </c>
      <c r="U212" s="22">
        <f>IF(AND(O212="YES",T212="YES",S212&lt;&gt;""),COUNTIFS($C$5:$C$424,C212,$S$5:$S$424,"&gt;"&amp;S212)+COUNTIFS($C$5:C212,C212,$S$5:S212,S212),"")</f>
        <v/>
      </c>
      <c r="V212" s="22">
        <f>IF(U212="","",C212&amp;"|"&amp;U212)</f>
        <v/>
      </c>
      <c r="W212" s="30" t="n"/>
      <c r="X212" s="30" t="inlineStr">
        <is>
          <t>Next-fastest time supplied in user workbook; swimmer name not yet supplied.</t>
        </is>
      </c>
    </row>
    <row r="213" ht="15" customHeight="1" s="17">
      <c r="A213" s="30" t="inlineStr">
        <is>
          <t>NZ|SCM|F|18|100 Breast</t>
        </is>
      </c>
      <c r="B213" s="30" t="inlineStr">
        <is>
          <t>SCM</t>
        </is>
      </c>
      <c r="C213" s="30" t="inlineStr">
        <is>
          <t>Female</t>
        </is>
      </c>
      <c r="D213" s="30" t="n">
        <v>18</v>
      </c>
      <c r="E213" s="30" t="inlineStr">
        <is>
          <t>100 Breast</t>
        </is>
      </c>
      <c r="F213" s="30" t="inlineStr">
        <is>
          <t>Monique Wieruszowski</t>
        </is>
      </c>
      <c r="G213" s="22" t="inlineStr">
        <is>
          <t>Monique Wieruszowski</t>
        </is>
      </c>
      <c r="H213" s="22" t="n"/>
      <c r="I213" s="30" t="inlineStr">
        <is>
          <t>1:06.60</t>
        </is>
      </c>
      <c r="J213" s="22">
        <f>IF(I213="","",IF(ISNUMBER(SEARCH(":",I213)),VALUE(LEFT(I213,SEARCH(":",I213)-1))*60+VALUE(MID(I213,SEARCH(":",I213)+1,99)),VALUE(I213)))</f>
        <v/>
      </c>
      <c r="K213" s="30" t="inlineStr">
        <is>
          <t>24.09.25</t>
        </is>
      </c>
      <c r="L213" s="30" t="inlineStr">
        <is>
          <t>Swimming New Zealand Short Course Records by Age - user-supplied PDF</t>
        </is>
      </c>
      <c r="M213" s="30" t="n"/>
      <c r="N213" s="30" t="inlineStr">
        <is>
          <t>NO</t>
        </is>
      </c>
      <c r="O213" s="30" t="inlineStr">
        <is>
          <t>YES</t>
        </is>
      </c>
      <c r="P213" s="30" t="inlineStr">
        <is>
          <t>Lanihei Connolly</t>
        </is>
      </c>
      <c r="Q213" s="30" t="inlineStr">
        <is>
          <t>1:07.36</t>
        </is>
      </c>
      <c r="R213" s="22">
        <f>IF(Q213="","",IF(ISNUMBER(SEARCH(":",Q213)),VALUE(LEFT(Q213,SEARCH(":",Q213)-1))*60+VALUE(MID(Q213,SEARCH(":",Q213)+1,99)),VALUE(Q213)))</f>
        <v/>
      </c>
      <c r="S213" s="39">
        <f>IF(OR(J213="",R213=""),"",(R213-J213)/R213)</f>
        <v/>
      </c>
      <c r="T213" s="22">
        <f>IF(OR(P213&lt;&gt;"",N213="YES"),"YES","NO")</f>
        <v/>
      </c>
      <c r="U213" s="22">
        <f>IF(AND(O213="YES",T213="YES",S213&lt;&gt;""),COUNTIFS($C$5:$C$424,C213,$S$5:$S$424,"&gt;"&amp;S213)+COUNTIFS($C$5:C213,C213,$S$5:S213,S213),"")</f>
        <v/>
      </c>
      <c r="V213" s="22">
        <f>IF(U213="","",C213&amp;"|"&amp;U213)</f>
        <v/>
      </c>
      <c r="W213" s="30" t="n"/>
      <c r="X213" s="30" t="inlineStr">
        <is>
          <t>Next-fastest time supplied in user workbook; swimmer name not yet supplied.</t>
        </is>
      </c>
    </row>
    <row r="214" ht="15" customHeight="1" s="17">
      <c r="A214" s="30" t="inlineStr">
        <is>
          <t>NZ|SCM|F|18|200 Breast</t>
        </is>
      </c>
      <c r="B214" s="30" t="inlineStr">
        <is>
          <t>SCM</t>
        </is>
      </c>
      <c r="C214" s="30" t="inlineStr">
        <is>
          <t>Female</t>
        </is>
      </c>
      <c r="D214" s="30" t="n">
        <v>18</v>
      </c>
      <c r="E214" s="30" t="inlineStr">
        <is>
          <t>200 Breast</t>
        </is>
      </c>
      <c r="F214" s="30" t="inlineStr">
        <is>
          <t>Brearna Crawford</t>
        </is>
      </c>
      <c r="G214" s="22" t="inlineStr">
        <is>
          <t>Brearna Crawford</t>
        </is>
      </c>
      <c r="H214" s="22" t="n"/>
      <c r="I214" s="30" t="inlineStr">
        <is>
          <t>2:25.36</t>
        </is>
      </c>
      <c r="J214" s="22">
        <f>IF(I214="","",IF(ISNUMBER(SEARCH(":",I214)),VALUE(LEFT(I214,SEARCH(":",I214)-1))*60+VALUE(MID(I214,SEARCH(":",I214)+1,99)),VALUE(I214)))</f>
        <v/>
      </c>
      <c r="K214" s="30" t="inlineStr">
        <is>
          <t>31.07.21</t>
        </is>
      </c>
      <c r="L214" s="30" t="inlineStr">
        <is>
          <t>Swimming New Zealand Short Course Records by Age - user-supplied PDF</t>
        </is>
      </c>
      <c r="M214" s="30" t="n"/>
      <c r="N214" s="30" t="inlineStr">
        <is>
          <t>NO</t>
        </is>
      </c>
      <c r="O214" s="30" t="inlineStr">
        <is>
          <t>YES</t>
        </is>
      </c>
      <c r="P214" s="30" t="n"/>
      <c r="Q214" s="30" t="inlineStr">
        <is>
          <t>2:28.12</t>
        </is>
      </c>
      <c r="R214" s="22">
        <f>IF(Q214="","",IF(ISNUMBER(SEARCH(":",Q214)),VALUE(LEFT(Q214,SEARCH(":",Q214)-1))*60+VALUE(MID(Q214,SEARCH(":",Q214)+1,99)),VALUE(Q214)))</f>
        <v/>
      </c>
      <c r="S214" s="39">
        <f>IF(OR(J214="",R214=""),"",(R214-J214)/R214)</f>
        <v/>
      </c>
      <c r="T214" s="22">
        <f>IF(OR(P214&lt;&gt;"",N214="YES"),"YES","NO")</f>
        <v/>
      </c>
      <c r="U214" s="22">
        <f>IF(AND(O214="YES",T214="YES",S214&lt;&gt;""),COUNTIFS($C$5:$C$424,C214,$S$5:$S$424,"&gt;"&amp;S214)+COUNTIFS($C$5:C214,C214,$S$5:S214,S214),"")</f>
        <v/>
      </c>
      <c r="V214" s="22">
        <f>IF(U214="","",C214&amp;"|"&amp;U214)</f>
        <v/>
      </c>
      <c r="W214" s="30" t="n"/>
      <c r="X214" s="30" t="inlineStr">
        <is>
          <t>Next-fastest time supplied in user workbook; swimmer name not yet supplied.</t>
        </is>
      </c>
    </row>
    <row r="215" ht="15" customHeight="1" s="17">
      <c r="A215" s="30" t="inlineStr">
        <is>
          <t>NZ|SCM|F|18|50 Fly</t>
        </is>
      </c>
      <c r="B215" s="30" t="inlineStr">
        <is>
          <t>SCM</t>
        </is>
      </c>
      <c r="C215" s="30" t="inlineStr">
        <is>
          <t>Female</t>
        </is>
      </c>
      <c r="D215" s="30" t="n">
        <v>18</v>
      </c>
      <c r="E215" s="30" t="inlineStr">
        <is>
          <t>50 Fly</t>
        </is>
      </c>
      <c r="F215" s="30" t="inlineStr">
        <is>
          <t>Zoe Pedersen</t>
        </is>
      </c>
      <c r="G215" s="22" t="inlineStr">
        <is>
          <t>Zoe Pedersen</t>
        </is>
      </c>
      <c r="H215" s="22" t="n"/>
      <c r="I215" s="30" t="inlineStr">
        <is>
          <t>25.96</t>
        </is>
      </c>
      <c r="J215" s="22">
        <f>IF(I215="","",IF(ISNUMBER(SEARCH(":",I215)),VALUE(LEFT(I215,SEARCH(":",I215)-1))*60+VALUE(MID(I215,SEARCH(":",I215)+1,99)),VALUE(I215)))</f>
        <v/>
      </c>
      <c r="K215" s="30" t="inlineStr">
        <is>
          <t>22.09.25</t>
        </is>
      </c>
      <c r="L215" s="30" t="inlineStr">
        <is>
          <t>Swimming New Zealand Short Course Records by Age - user-supplied PDF</t>
        </is>
      </c>
      <c r="M215" s="30" t="n"/>
      <c r="N215" s="30" t="inlineStr">
        <is>
          <t>NO</t>
        </is>
      </c>
      <c r="O215" s="30" t="inlineStr">
        <is>
          <t>YES</t>
        </is>
      </c>
      <c r="P215" s="30" t="n"/>
      <c r="Q215" s="30" t="inlineStr">
        <is>
          <t>26.53</t>
        </is>
      </c>
      <c r="R215" s="22">
        <f>IF(Q215="","",IF(ISNUMBER(SEARCH(":",Q215)),VALUE(LEFT(Q215,SEARCH(":",Q215)-1))*60+VALUE(MID(Q215,SEARCH(":",Q215)+1,99)),VALUE(Q215)))</f>
        <v/>
      </c>
      <c r="S215" s="39">
        <f>IF(OR(J215="",R215=""),"",(R215-J215)/R215)</f>
        <v/>
      </c>
      <c r="T215" s="22">
        <f>IF(OR(P215&lt;&gt;"",N215="YES"),"YES","NO")</f>
        <v/>
      </c>
      <c r="U215" s="22">
        <f>IF(AND(O215="YES",T215="YES",S215&lt;&gt;""),COUNTIFS($C$5:$C$424,C215,$S$5:$S$424,"&gt;"&amp;S215)+COUNTIFS($C$5:C215,C215,$S$5:S215,S215),"")</f>
        <v/>
      </c>
      <c r="V215" s="22">
        <f>IF(U215="","",C215&amp;"|"&amp;U215)</f>
        <v/>
      </c>
      <c r="W215" s="30" t="n"/>
      <c r="X215" s="30" t="inlineStr">
        <is>
          <t>Next-fastest time supplied in user workbook; swimmer name not yet supplied.</t>
        </is>
      </c>
    </row>
    <row r="216" ht="15" customHeight="1" s="17">
      <c r="A216" s="30" t="inlineStr">
        <is>
          <t>NZ|SCM|F|18|100 Fly</t>
        </is>
      </c>
      <c r="B216" s="30" t="inlineStr">
        <is>
          <t>SCM</t>
        </is>
      </c>
      <c r="C216" s="30" t="inlineStr">
        <is>
          <t>Female</t>
        </is>
      </c>
      <c r="D216" s="30" t="n">
        <v>18</v>
      </c>
      <c r="E216" s="30" t="inlineStr">
        <is>
          <t>100 Fly</t>
        </is>
      </c>
      <c r="F216" s="30" t="inlineStr">
        <is>
          <t>Caroline Baddock</t>
        </is>
      </c>
      <c r="G216" s="22" t="inlineStr">
        <is>
          <t>Caroline Baddock</t>
        </is>
      </c>
      <c r="H216" s="22" t="n"/>
      <c r="I216" s="30" t="inlineStr">
        <is>
          <t>59.12</t>
        </is>
      </c>
      <c r="J216" s="22">
        <f>IF(I216="","",IF(ISNUMBER(SEARCH(":",I216)),VALUE(LEFT(I216,SEARCH(":",I216)-1))*60+VALUE(MID(I216,SEARCH(":",I216)+1,99)),VALUE(I216)))</f>
        <v/>
      </c>
      <c r="K216" s="30" t="inlineStr">
        <is>
          <t>02.10.13</t>
        </is>
      </c>
      <c r="L216" s="30" t="inlineStr">
        <is>
          <t>Swimming New Zealand Short Course Records by Age - user-supplied PDF</t>
        </is>
      </c>
      <c r="M216" s="30" t="n"/>
      <c r="N216" s="30" t="inlineStr">
        <is>
          <t>NO</t>
        </is>
      </c>
      <c r="O216" s="30" t="inlineStr">
        <is>
          <t>YES</t>
        </is>
      </c>
      <c r="P216" s="30" t="n"/>
      <c r="Q216" s="30" t="inlineStr">
        <is>
          <t>59.74</t>
        </is>
      </c>
      <c r="R216" s="22">
        <f>IF(Q216="","",IF(ISNUMBER(SEARCH(":",Q216)),VALUE(LEFT(Q216,SEARCH(":",Q216)-1))*60+VALUE(MID(Q216,SEARCH(":",Q216)+1,99)),VALUE(Q216)))</f>
        <v/>
      </c>
      <c r="S216" s="39">
        <f>IF(OR(J216="",R216=""),"",(R216-J216)/R216)</f>
        <v/>
      </c>
      <c r="T216" s="22">
        <f>IF(OR(P216&lt;&gt;"",N216="YES"),"YES","NO")</f>
        <v/>
      </c>
      <c r="U216" s="22">
        <f>IF(AND(O216="YES",T216="YES",S216&lt;&gt;""),COUNTIFS($C$5:$C$424,C216,$S$5:$S$424,"&gt;"&amp;S216)+COUNTIFS($C$5:C216,C216,$S$5:S216,S216),"")</f>
        <v/>
      </c>
      <c r="V216" s="22">
        <f>IF(U216="","",C216&amp;"|"&amp;U216)</f>
        <v/>
      </c>
      <c r="W216" s="30" t="n"/>
      <c r="X216" s="30" t="inlineStr">
        <is>
          <t>Next-fastest time supplied in user workbook; swimmer name not yet supplied.</t>
        </is>
      </c>
    </row>
    <row r="217" ht="15" customHeight="1" s="17">
      <c r="A217" s="30" t="inlineStr">
        <is>
          <t>NZ|SCM|F|18|200 Fly</t>
        </is>
      </c>
      <c r="B217" s="30" t="inlineStr">
        <is>
          <t>SCM</t>
        </is>
      </c>
      <c r="C217" s="30" t="inlineStr">
        <is>
          <t>Female</t>
        </is>
      </c>
      <c r="D217" s="30" t="n">
        <v>18</v>
      </c>
      <c r="E217" s="30" t="inlineStr">
        <is>
          <t>200 Fly</t>
        </is>
      </c>
      <c r="F217" s="30" t="inlineStr">
        <is>
          <t>Neve Tassicker</t>
        </is>
      </c>
      <c r="G217" s="22" t="inlineStr">
        <is>
          <t>Neve Tassicker</t>
        </is>
      </c>
      <c r="H217" s="22" t="n"/>
      <c r="I217" s="30" t="inlineStr">
        <is>
          <t>2:12.24</t>
        </is>
      </c>
      <c r="J217" s="22">
        <f>IF(I217="","",IF(ISNUMBER(SEARCH(":",I217)),VALUE(LEFT(I217,SEARCH(":",I217)-1))*60+VALUE(MID(I217,SEARCH(":",I217)+1,99)),VALUE(I217)))</f>
        <v/>
      </c>
      <c r="K217" s="30" t="inlineStr">
        <is>
          <t>29.09.24</t>
        </is>
      </c>
      <c r="L217" s="30" t="inlineStr">
        <is>
          <t>Swimming New Zealand Short Course Records by Age - user-supplied PDF</t>
        </is>
      </c>
      <c r="M217" s="30" t="n"/>
      <c r="N217" s="30" t="inlineStr">
        <is>
          <t>NO</t>
        </is>
      </c>
      <c r="O217" s="30" t="inlineStr">
        <is>
          <t>YES</t>
        </is>
      </c>
      <c r="P217" s="30" t="n"/>
      <c r="Q217" s="30" t="inlineStr">
        <is>
          <t>2:13.01</t>
        </is>
      </c>
      <c r="R217" s="22">
        <f>IF(Q217="","",IF(ISNUMBER(SEARCH(":",Q217)),VALUE(LEFT(Q217,SEARCH(":",Q217)-1))*60+VALUE(MID(Q217,SEARCH(":",Q217)+1,99)),VALUE(Q217)))</f>
        <v/>
      </c>
      <c r="S217" s="39">
        <f>IF(OR(J217="",R217=""),"",(R217-J217)/R217)</f>
        <v/>
      </c>
      <c r="T217" s="22">
        <f>IF(OR(P217&lt;&gt;"",N217="YES"),"YES","NO")</f>
        <v/>
      </c>
      <c r="U217" s="22">
        <f>IF(AND(O217="YES",T217="YES",S217&lt;&gt;""),COUNTIFS($C$5:$C$424,C217,$S$5:$S$424,"&gt;"&amp;S217)+COUNTIFS($C$5:C217,C217,$S$5:S217,S217),"")</f>
        <v/>
      </c>
      <c r="V217" s="22">
        <f>IF(U217="","",C217&amp;"|"&amp;U217)</f>
        <v/>
      </c>
      <c r="W217" s="30" t="n"/>
      <c r="X217" s="30" t="inlineStr">
        <is>
          <t>Next-fastest time supplied in user workbook; swimmer name not yet supplied.</t>
        </is>
      </c>
    </row>
    <row r="218" ht="15" customHeight="1" s="17">
      <c r="A218" s="30" t="inlineStr">
        <is>
          <t>NZ|SCM|F|18|100 IM</t>
        </is>
      </c>
      <c r="B218" s="30" t="inlineStr">
        <is>
          <t>SCM</t>
        </is>
      </c>
      <c r="C218" s="30" t="inlineStr">
        <is>
          <t>Female</t>
        </is>
      </c>
      <c r="D218" s="30" t="n">
        <v>18</v>
      </c>
      <c r="E218" s="30" t="inlineStr">
        <is>
          <t>100 IM</t>
        </is>
      </c>
      <c r="F218" s="30" t="inlineStr">
        <is>
          <t>Milan Glintmeyer</t>
        </is>
      </c>
      <c r="G218" s="22" t="inlineStr">
        <is>
          <t>Milan Glintmeyer</t>
        </is>
      </c>
      <c r="H218" s="22" t="n"/>
      <c r="I218" s="30" t="inlineStr">
        <is>
          <t>1:01.02</t>
        </is>
      </c>
      <c r="J218" s="22">
        <f>IF(I218="","",IF(ISNUMBER(SEARCH(":",I218)),VALUE(LEFT(I218,SEARCH(":",I218)-1))*60+VALUE(MID(I218,SEARCH(":",I218)+1,99)),VALUE(I218)))</f>
        <v/>
      </c>
      <c r="K218" s="30" t="inlineStr">
        <is>
          <t>27.09.26</t>
        </is>
      </c>
      <c r="L218" s="30" t="inlineStr">
        <is>
          <t>Updated through 2026 NZ Short Course Championships</t>
        </is>
      </c>
      <c r="M218" s="30" t="inlineStr">
        <is>
          <t>https://swimdadnz.github.io/NZSC_2026/NZSC_2026_meet_editorial_summary_final.html</t>
        </is>
      </c>
      <c r="N218" s="30" t="inlineStr">
        <is>
          <t>NO</t>
        </is>
      </c>
      <c r="O218" s="30" t="inlineStr">
        <is>
          <t>YES</t>
        </is>
      </c>
      <c r="P218" s="30" t="inlineStr">
        <is>
          <t>Caroline Baddock</t>
        </is>
      </c>
      <c r="Q218" s="30" t="inlineStr">
        <is>
          <t>1:01.39</t>
        </is>
      </c>
      <c r="R218" s="22">
        <f>IF(Q218="","",IF(ISNUMBER(SEARCH(":",Q218)),VALUE(LEFT(Q218,SEARCH(":",Q218)-1))*60+VALUE(MID(Q218,SEARCH(":",Q218)+1,99)),VALUE(Q218)))</f>
        <v/>
      </c>
      <c r="S218" s="39">
        <f>IF(OR(J218="",R218=""),"",(R218-J218)/R218)</f>
        <v/>
      </c>
      <c r="T218" s="22">
        <f>IF(OR(P218&lt;&gt;"",N218="YES"),"YES","NO")</f>
        <v/>
      </c>
      <c r="U218" s="22">
        <f>IF(AND(O218="YES",T218="YES",S218&lt;&gt;""),COUNTIFS($C$5:$C$424,C218,$S$5:$S$424,"&gt;"&amp;S218)+COUNTIFS($C$5:C218,C218,$S$5:S218,S218),"")</f>
        <v/>
      </c>
      <c r="V218" s="22">
        <f>IF(U218="","",C218&amp;"|"&amp;U218)</f>
        <v/>
      </c>
      <c r="W218" s="30" t="inlineStr">
        <is>
          <t>NZSC 2026 update: Caroline Baddock 1:01.39 became next-fastest.</t>
        </is>
      </c>
      <c r="X218" s="30" t="inlineStr">
        <is>
          <t>Auto-set from displaced NZ record after NZSC 2026.</t>
        </is>
      </c>
    </row>
    <row r="219" ht="15" customHeight="1" s="17">
      <c r="A219" s="30" t="inlineStr">
        <is>
          <t>NZ|SCM|F|18|200 IM</t>
        </is>
      </c>
      <c r="B219" s="30" t="inlineStr">
        <is>
          <t>SCM</t>
        </is>
      </c>
      <c r="C219" s="30" t="inlineStr">
        <is>
          <t>Female</t>
        </is>
      </c>
      <c r="D219" s="30" t="n">
        <v>18</v>
      </c>
      <c r="E219" s="30" t="inlineStr">
        <is>
          <t>200 IM</t>
        </is>
      </c>
      <c r="F219" s="30" t="inlineStr">
        <is>
          <t>Natalie Wiegersma</t>
        </is>
      </c>
      <c r="G219" s="22" t="inlineStr">
        <is>
          <t>Natalie Wiegersma</t>
        </is>
      </c>
      <c r="H219" s="22" t="n"/>
      <c r="I219" s="30" t="inlineStr">
        <is>
          <t>2:11.93</t>
        </is>
      </c>
      <c r="J219" s="22">
        <f>IF(I219="","",IF(ISNUMBER(SEARCH(":",I219)),VALUE(LEFT(I219,SEARCH(":",I219)-1))*60+VALUE(MID(I219,SEARCH(":",I219)+1,99)),VALUE(I219)))</f>
        <v/>
      </c>
      <c r="K219" s="30" t="inlineStr">
        <is>
          <t>13.12.08</t>
        </is>
      </c>
      <c r="L219" s="30" t="inlineStr">
        <is>
          <t>Swimming New Zealand Short Course Records by Age - user-supplied PDF</t>
        </is>
      </c>
      <c r="M219" s="30" t="n"/>
      <c r="N219" s="30" t="inlineStr">
        <is>
          <t>NO</t>
        </is>
      </c>
      <c r="O219" s="30" t="inlineStr">
        <is>
          <t>YES</t>
        </is>
      </c>
      <c r="P219" s="30" t="n"/>
      <c r="Q219" s="30" t="inlineStr">
        <is>
          <t>2:13.61</t>
        </is>
      </c>
      <c r="R219" s="22">
        <f>IF(Q219="","",IF(ISNUMBER(SEARCH(":",Q219)),VALUE(LEFT(Q219,SEARCH(":",Q219)-1))*60+VALUE(MID(Q219,SEARCH(":",Q219)+1,99)),VALUE(Q219)))</f>
        <v/>
      </c>
      <c r="S219" s="39">
        <f>IF(OR(J219="",R219=""),"",(R219-J219)/R219)</f>
        <v/>
      </c>
      <c r="T219" s="22">
        <f>IF(OR(P219&lt;&gt;"",N219="YES"),"YES","NO")</f>
        <v/>
      </c>
      <c r="U219" s="22">
        <f>IF(AND(O219="YES",T219="YES",S219&lt;&gt;""),COUNTIFS($C$5:$C$424,C219,$S$5:$S$424,"&gt;"&amp;S219)+COUNTIFS($C$5:C219,C219,$S$5:S219,S219),"")</f>
        <v/>
      </c>
      <c r="V219" s="22">
        <f>IF(U219="","",C219&amp;"|"&amp;U219)</f>
        <v/>
      </c>
      <c r="W219" s="30" t="n"/>
      <c r="X219" s="30" t="inlineStr">
        <is>
          <t>Next-fastest time supplied in user workbook; swimmer name not yet supplied.</t>
        </is>
      </c>
    </row>
    <row r="220" ht="15" customHeight="1" s="17">
      <c r="A220" s="30" t="inlineStr">
        <is>
          <t>NZ|SCM|F|18|400 IM</t>
        </is>
      </c>
      <c r="B220" s="30" t="inlineStr">
        <is>
          <t>SCM</t>
        </is>
      </c>
      <c r="C220" s="30" t="inlineStr">
        <is>
          <t>Female</t>
        </is>
      </c>
      <c r="D220" s="30" t="n">
        <v>18</v>
      </c>
      <c r="E220" s="30" t="inlineStr">
        <is>
          <t>400 IM</t>
        </is>
      </c>
      <c r="F220" s="30" t="inlineStr">
        <is>
          <t>Standard</t>
        </is>
      </c>
      <c r="G220" s="22" t="n"/>
      <c r="H220" s="22" t="n"/>
      <c r="I220" s="30" t="inlineStr">
        <is>
          <t>4:36.84</t>
        </is>
      </c>
      <c r="J220" s="22">
        <f>IF(I220="","",IF(ISNUMBER(SEARCH(":",I220)),VALUE(LEFT(I220,SEARCH(":",I220)-1))*60+VALUE(MID(I220,SEARCH(":",I220)+1,99)),VALUE(I220)))</f>
        <v/>
      </c>
      <c r="K220" s="30" t="n"/>
      <c r="L220" s="30" t="inlineStr">
        <is>
          <t>Swimming New Zealand Short Course Records by Age - user-supplied PDF</t>
        </is>
      </c>
      <c r="M220" s="30" t="n"/>
      <c r="N220" s="30" t="inlineStr">
        <is>
          <t>NO</t>
        </is>
      </c>
      <c r="O220" s="30" t="inlineStr">
        <is>
          <t>NO - Standard</t>
        </is>
      </c>
      <c r="P220" s="30" t="n"/>
      <c r="Q220" s="30" t="inlineStr">
        <is>
          <t>4:37.61</t>
        </is>
      </c>
      <c r="R220" s="22">
        <f>IF(Q220="","",IF(ISNUMBER(SEARCH(":",Q220)),VALUE(LEFT(Q220,SEARCH(":",Q220)-1))*60+VALUE(MID(Q220,SEARCH(":",Q220)+1,99)),VALUE(Q220)))</f>
        <v/>
      </c>
      <c r="S220" s="39">
        <f>IF(OR(J220="",R220=""),"",(R220-J220)/R220)</f>
        <v/>
      </c>
      <c r="T220" s="22">
        <f>IF(OR(P220&lt;&gt;"",N220="YES"),"YES","NO")</f>
        <v/>
      </c>
      <c r="U220" s="22">
        <f>IF(AND(O220="YES",T220="YES",S220&lt;&gt;""),COUNTIFS($C$5:$C$424,C220,$S$5:$S$424,"&gt;"&amp;S220)+COUNTIFS($C$5:C220,C220,$S$5:S220,S220),"")</f>
        <v/>
      </c>
      <c r="V220" s="22">
        <f>IF(U220="","",C220&amp;"|"&amp;U220)</f>
        <v/>
      </c>
      <c r="W220" s="30" t="inlineStr">
        <is>
          <t>Excluded from record-holder rankings. Margin retained for reference only.</t>
        </is>
      </c>
      <c r="X220" s="30" t="inlineStr">
        <is>
          <t>User-supplied next-fastest time; Standard has no swimmer record holder.</t>
        </is>
      </c>
    </row>
    <row r="221" ht="15" customHeight="1" s="17">
      <c r="A221" s="30" t="inlineStr">
        <is>
          <t>NZ|LCM|M|13|50 Free</t>
        </is>
      </c>
      <c r="B221" s="30" t="inlineStr">
        <is>
          <t>LCM</t>
        </is>
      </c>
      <c r="C221" s="30" t="inlineStr">
        <is>
          <t>Male</t>
        </is>
      </c>
      <c r="D221" s="30" t="n">
        <v>13</v>
      </c>
      <c r="E221" s="30" t="inlineStr">
        <is>
          <t>50 Free</t>
        </is>
      </c>
      <c r="F221" s="30" t="inlineStr">
        <is>
          <t>Grayson Coulter</t>
        </is>
      </c>
      <c r="G221" s="22" t="inlineStr">
        <is>
          <t>Grayson Coulter</t>
        </is>
      </c>
      <c r="H221" s="22" t="n"/>
      <c r="I221" s="30" t="inlineStr">
        <is>
          <t>24.18</t>
        </is>
      </c>
      <c r="J221" s="22">
        <f>IF(I221="","",IF(ISNUMBER(SEARCH(":",I221)),VALUE(LEFT(I221,SEARCH(":",I221)-1))*60+VALUE(MID(I221,SEARCH(":",I221)+1,99)),VALUE(I221)))</f>
        <v/>
      </c>
      <c r="K221" s="30" t="inlineStr">
        <is>
          <t>16.12.25</t>
        </is>
      </c>
      <c r="L221" s="30" t="inlineStr">
        <is>
          <t>Swimming New Zealand Long Course Records by Age - user-supplied PDF</t>
        </is>
      </c>
      <c r="M221" s="30" t="n"/>
      <c r="N221" s="30" t="inlineStr">
        <is>
          <t>NO</t>
        </is>
      </c>
      <c r="O221" s="30" t="inlineStr">
        <is>
          <t>YES</t>
        </is>
      </c>
      <c r="P221" s="30" t="inlineStr">
        <is>
          <t>Michael Pickett</t>
        </is>
      </c>
      <c r="Q221" s="30" t="inlineStr">
        <is>
          <t>25.00</t>
        </is>
      </c>
      <c r="R221" s="22">
        <f>IF(Q221="","",IF(ISNUMBER(SEARCH(":",Q221)),VALUE(LEFT(Q221,SEARCH(":",Q221)-1))*60+VALUE(MID(Q221,SEARCH(":",Q221)+1,99)),VALUE(Q221)))</f>
        <v/>
      </c>
      <c r="S221" s="39">
        <f>IF(OR(J221="",R221=""),"",(R221-J221)/R221)</f>
        <v/>
      </c>
      <c r="T221" s="22">
        <f>IF(OR(P221&lt;&gt;"",N221="YES"),"YES","NO")</f>
        <v/>
      </c>
      <c r="U221" s="22">
        <f>IF(AND(O221="YES",T221="YES",S221&lt;&gt;""),COUNTIFS($C$5:$C$424,C221,$S$5:$S$424,"&gt;"&amp;S221)+COUNTIFS($C$5:C221,C221,$S$5:S221,S221),"")</f>
        <v/>
      </c>
      <c r="V221" s="22">
        <f>IF(U221="","",C221&amp;"|"&amp;U221)</f>
        <v/>
      </c>
      <c r="W221" s="30" t="n"/>
      <c r="X221" s="30" t="inlineStr">
        <is>
          <t>Next-fastest time supplied in user workbook; swimmer name not yet supplied.</t>
        </is>
      </c>
    </row>
    <row r="222" ht="15" customHeight="1" s="17">
      <c r="A222" s="30" t="inlineStr">
        <is>
          <t>NZ|LCM|M|13|100 Free</t>
        </is>
      </c>
      <c r="B222" s="30" t="inlineStr">
        <is>
          <t>LCM</t>
        </is>
      </c>
      <c r="C222" s="30" t="inlineStr">
        <is>
          <t>Male</t>
        </is>
      </c>
      <c r="D222" s="30" t="n">
        <v>13</v>
      </c>
      <c r="E222" s="30" t="inlineStr">
        <is>
          <t>100 Free</t>
        </is>
      </c>
      <c r="F222" s="30" t="inlineStr">
        <is>
          <t>Grayson Coulter</t>
        </is>
      </c>
      <c r="G222" s="22" t="inlineStr">
        <is>
          <t>Grayson Coulter</t>
        </is>
      </c>
      <c r="H222" s="22" t="n"/>
      <c r="I222" s="30" t="inlineStr">
        <is>
          <t>51.63</t>
        </is>
      </c>
      <c r="J222" s="22">
        <f>IF(I222="","",IF(ISNUMBER(SEARCH(":",I222)),VALUE(LEFT(I222,SEARCH(":",I222)-1))*60+VALUE(MID(I222,SEARCH(":",I222)+1,99)),VALUE(I222)))</f>
        <v/>
      </c>
      <c r="K222" s="30" t="inlineStr">
        <is>
          <t>14.12.25</t>
        </is>
      </c>
      <c r="L222" s="30" t="inlineStr">
        <is>
          <t>Swimming New Zealand Long Course Records by Age - user-supplied PDF</t>
        </is>
      </c>
      <c r="M222" s="30" t="n"/>
      <c r="N222" s="30" t="inlineStr">
        <is>
          <t>NO</t>
        </is>
      </c>
      <c r="O222" s="30" t="inlineStr">
        <is>
          <t>YES</t>
        </is>
      </c>
      <c r="P222" s="30" t="inlineStr">
        <is>
          <t>Donald Tian</t>
        </is>
      </c>
      <c r="Q222" s="30" t="inlineStr">
        <is>
          <t>55.33</t>
        </is>
      </c>
      <c r="R222" s="22">
        <f>IF(Q222="","",IF(ISNUMBER(SEARCH(":",Q222)),VALUE(LEFT(Q222,SEARCH(":",Q222)-1))*60+VALUE(MID(Q222,SEARCH(":",Q222)+1,99)),VALUE(Q222)))</f>
        <v/>
      </c>
      <c r="S222" s="39">
        <f>IF(OR(J222="",R222=""),"",(R222-J222)/R222)</f>
        <v/>
      </c>
      <c r="T222" s="22">
        <f>IF(OR(P222&lt;&gt;"",N222="YES"),"YES","NO")</f>
        <v/>
      </c>
      <c r="U222" s="22">
        <f>IF(AND(O222="YES",T222="YES",S222&lt;&gt;""),COUNTIFS($C$5:$C$424,C222,$S$5:$S$424,"&gt;"&amp;S222)+COUNTIFS($C$5:C222,C222,$S$5:S222,S222),"")</f>
        <v/>
      </c>
      <c r="V222" s="22">
        <f>IF(U222="","",C222&amp;"|"&amp;U222)</f>
        <v/>
      </c>
      <c r="W222" s="30" t="n"/>
      <c r="X222" s="30" t="inlineStr">
        <is>
          <t>Next-fastest time supplied in user workbook; swimmer name not yet supplied.</t>
        </is>
      </c>
    </row>
    <row r="223" ht="15" customHeight="1" s="17">
      <c r="A223" s="30" t="inlineStr">
        <is>
          <t>NZ|LCM|M|13|200 Free</t>
        </is>
      </c>
      <c r="B223" s="30" t="inlineStr">
        <is>
          <t>LCM</t>
        </is>
      </c>
      <c r="C223" s="30" t="inlineStr">
        <is>
          <t>Male</t>
        </is>
      </c>
      <c r="D223" s="30" t="n">
        <v>13</v>
      </c>
      <c r="E223" s="30" t="inlineStr">
        <is>
          <t>200 Free</t>
        </is>
      </c>
      <c r="F223" s="30" t="inlineStr">
        <is>
          <t>Grayson Coulter</t>
        </is>
      </c>
      <c r="G223" s="22" t="inlineStr">
        <is>
          <t>Grayson Coulter</t>
        </is>
      </c>
      <c r="H223" s="22" t="n"/>
      <c r="I223" s="30" t="inlineStr">
        <is>
          <t>1:52.13</t>
        </is>
      </c>
      <c r="J223" s="22">
        <f>IF(I223="","",IF(ISNUMBER(SEARCH(":",I223)),VALUE(LEFT(I223,SEARCH(":",I223)-1))*60+VALUE(MID(I223,SEARCH(":",I223)+1,99)),VALUE(I223)))</f>
        <v/>
      </c>
      <c r="K223" s="30" t="inlineStr">
        <is>
          <t>18.12.25</t>
        </is>
      </c>
      <c r="L223" s="30" t="inlineStr">
        <is>
          <t>Swimming New Zealand Long Course Records by Age - user-supplied PDF</t>
        </is>
      </c>
      <c r="M223" s="30" t="n"/>
      <c r="N223" s="30" t="inlineStr">
        <is>
          <t>NO</t>
        </is>
      </c>
      <c r="O223" s="30" t="inlineStr">
        <is>
          <t>YES</t>
        </is>
      </c>
      <c r="P223" s="30" t="inlineStr">
        <is>
          <t>Michael Mincham</t>
        </is>
      </c>
      <c r="Q223" s="30" t="inlineStr">
        <is>
          <t>2:00.40</t>
        </is>
      </c>
      <c r="R223" s="22">
        <f>IF(Q223="","",IF(ISNUMBER(SEARCH(":",Q223)),VALUE(LEFT(Q223,SEARCH(":",Q223)-1))*60+VALUE(MID(Q223,SEARCH(":",Q223)+1,99)),VALUE(Q223)))</f>
        <v/>
      </c>
      <c r="S223" s="39">
        <f>IF(OR(J223="",R223=""),"",(R223-J223)/R223)</f>
        <v/>
      </c>
      <c r="T223" s="22">
        <f>IF(OR(P223&lt;&gt;"",N223="YES"),"YES","NO")</f>
        <v/>
      </c>
      <c r="U223" s="22">
        <f>IF(AND(O223="YES",T223="YES",S223&lt;&gt;""),COUNTIFS($C$5:$C$424,C223,$S$5:$S$424,"&gt;"&amp;S223)+COUNTIFS($C$5:C223,C223,$S$5:S223,S223),"")</f>
        <v/>
      </c>
      <c r="V223" s="22">
        <f>IF(U223="","",C223&amp;"|"&amp;U223)</f>
        <v/>
      </c>
      <c r="W223" s="30" t="n"/>
      <c r="X223" s="30" t="inlineStr">
        <is>
          <t>Next-fastest time supplied in user workbook; swimmer name not yet supplied.</t>
        </is>
      </c>
    </row>
    <row r="224" ht="15" customHeight="1" s="17">
      <c r="A224" s="30" t="inlineStr">
        <is>
          <t>NZ|LCM|M|13|400 Free</t>
        </is>
      </c>
      <c r="B224" s="30" t="inlineStr">
        <is>
          <t>LCM</t>
        </is>
      </c>
      <c r="C224" s="30" t="inlineStr">
        <is>
          <t>Male</t>
        </is>
      </c>
      <c r="D224" s="30" t="n">
        <v>13</v>
      </c>
      <c r="E224" s="30" t="inlineStr">
        <is>
          <t>400 Free</t>
        </is>
      </c>
      <c r="F224" s="30" t="inlineStr">
        <is>
          <t>Grayson Coulter</t>
        </is>
      </c>
      <c r="G224" s="22" t="inlineStr">
        <is>
          <t>Grayson Coulter</t>
        </is>
      </c>
      <c r="H224" s="22" t="n"/>
      <c r="I224" s="30" t="inlineStr">
        <is>
          <t>3:59.40</t>
        </is>
      </c>
      <c r="J224" s="22">
        <f>IF(I224="","",IF(ISNUMBER(SEARCH(":",I224)),VALUE(LEFT(I224,SEARCH(":",I224)-1))*60+VALUE(MID(I224,SEARCH(":",I224)+1,99)),VALUE(I224)))</f>
        <v/>
      </c>
      <c r="K224" s="30" t="inlineStr">
        <is>
          <t>17.12.25</t>
        </is>
      </c>
      <c r="L224" s="30" t="inlineStr">
        <is>
          <t>Swimming New Zealand Long Course Records by Age - user-supplied PDF</t>
        </is>
      </c>
      <c r="M224" s="30" t="n"/>
      <c r="N224" s="30" t="inlineStr">
        <is>
          <t>NO</t>
        </is>
      </c>
      <c r="O224" s="30" t="inlineStr">
        <is>
          <t>YES</t>
        </is>
      </c>
      <c r="P224" s="30" t="inlineStr">
        <is>
          <t>Michael Mincham</t>
        </is>
      </c>
      <c r="Q224" s="30" t="inlineStr">
        <is>
          <t>4:12.69</t>
        </is>
      </c>
      <c r="R224" s="22">
        <f>IF(Q224="","",IF(ISNUMBER(SEARCH(":",Q224)),VALUE(LEFT(Q224,SEARCH(":",Q224)-1))*60+VALUE(MID(Q224,SEARCH(":",Q224)+1,99)),VALUE(Q224)))</f>
        <v/>
      </c>
      <c r="S224" s="39">
        <f>IF(OR(J224="",R224=""),"",(R224-J224)/R224)</f>
        <v/>
      </c>
      <c r="T224" s="22">
        <f>IF(OR(P224&lt;&gt;"",N224="YES"),"YES","NO")</f>
        <v/>
      </c>
      <c r="U224" s="22">
        <f>IF(AND(O224="YES",T224="YES",S224&lt;&gt;""),COUNTIFS($C$5:$C$424,C224,$S$5:$S$424,"&gt;"&amp;S224)+COUNTIFS($C$5:C224,C224,$S$5:S224,S224),"")</f>
        <v/>
      </c>
      <c r="V224" s="22">
        <f>IF(U224="","",C224&amp;"|"&amp;U224)</f>
        <v/>
      </c>
      <c r="W224" s="30" t="n"/>
      <c r="X224" s="30" t="inlineStr">
        <is>
          <t>Next-fastest time supplied in user workbook; swimmer name not yet supplied.</t>
        </is>
      </c>
    </row>
    <row r="225" ht="15" customHeight="1" s="17">
      <c r="A225" s="30" t="inlineStr">
        <is>
          <t>NZ|LCM|M|13|800 Free</t>
        </is>
      </c>
      <c r="B225" s="30" t="inlineStr">
        <is>
          <t>LCM</t>
        </is>
      </c>
      <c r="C225" s="30" t="inlineStr">
        <is>
          <t>Male</t>
        </is>
      </c>
      <c r="D225" s="30" t="n">
        <v>13</v>
      </c>
      <c r="E225" s="30" t="inlineStr">
        <is>
          <t>800 Free</t>
        </is>
      </c>
      <c r="F225" s="30" t="inlineStr">
        <is>
          <t>Michael Mincham</t>
        </is>
      </c>
      <c r="G225" s="22" t="inlineStr">
        <is>
          <t>Michael Mincham</t>
        </is>
      </c>
      <c r="H225" s="22" t="n"/>
      <c r="I225" s="30" t="inlineStr">
        <is>
          <t>8:39.78</t>
        </is>
      </c>
      <c r="J225" s="22">
        <f>IF(I225="","",IF(ISNUMBER(SEARCH(":",I225)),VALUE(LEFT(I225,SEARCH(":",I225)-1))*60+VALUE(MID(I225,SEARCH(":",I225)+1,99)),VALUE(I225)))</f>
        <v/>
      </c>
      <c r="K225" s="30" t="inlineStr">
        <is>
          <t>07.04.10</t>
        </is>
      </c>
      <c r="L225" s="30" t="inlineStr">
        <is>
          <t>Swimming New Zealand Long Course Records by Age - user-supplied PDF</t>
        </is>
      </c>
      <c r="M225" s="30" t="n"/>
      <c r="N225" s="30" t="inlineStr">
        <is>
          <t>NO</t>
        </is>
      </c>
      <c r="O225" s="30" t="inlineStr">
        <is>
          <t>YES</t>
        </is>
      </c>
      <c r="P225" s="30" t="n"/>
      <c r="Q225" s="30" t="inlineStr">
        <is>
          <t>8:54.94</t>
        </is>
      </c>
      <c r="R225" s="22">
        <f>IF(Q225="","",IF(ISNUMBER(SEARCH(":",Q225)),VALUE(LEFT(Q225,SEARCH(":",Q225)-1))*60+VALUE(MID(Q225,SEARCH(":",Q225)+1,99)),VALUE(Q225)))</f>
        <v/>
      </c>
      <c r="S225" s="39">
        <f>IF(OR(J225="",R225=""),"",(R225-J225)/R225)</f>
        <v/>
      </c>
      <c r="T225" s="22">
        <f>IF(OR(P225&lt;&gt;"",N225="YES"),"YES","NO")</f>
        <v/>
      </c>
      <c r="U225" s="22">
        <f>IF(AND(O225="YES",T225="YES",S225&lt;&gt;""),COUNTIFS($C$5:$C$424,C225,$S$5:$S$424,"&gt;"&amp;S225)+COUNTIFS($C$5:C225,C225,$S$5:S225,S225),"")</f>
        <v/>
      </c>
      <c r="V225" s="22">
        <f>IF(U225="","",C225&amp;"|"&amp;U225)</f>
        <v/>
      </c>
      <c r="W225" s="30" t="n"/>
      <c r="X225" s="30" t="inlineStr">
        <is>
          <t>Next-fastest time supplied in user workbook; swimmer name not yet supplied.</t>
        </is>
      </c>
    </row>
    <row r="226" ht="15" customHeight="1" s="17">
      <c r="A226" s="30" t="inlineStr">
        <is>
          <t>NZ|LCM|M|13|1500 Free</t>
        </is>
      </c>
      <c r="B226" s="30" t="inlineStr">
        <is>
          <t>LCM</t>
        </is>
      </c>
      <c r="C226" s="30" t="inlineStr">
        <is>
          <t>Male</t>
        </is>
      </c>
      <c r="D226" s="30" t="n">
        <v>13</v>
      </c>
      <c r="E226" s="30" t="inlineStr">
        <is>
          <t>1500 Free</t>
        </is>
      </c>
      <c r="F226" s="30" t="inlineStr">
        <is>
          <t>Michael Mincham</t>
        </is>
      </c>
      <c r="G226" s="22" t="inlineStr">
        <is>
          <t>Michael Mincham</t>
        </is>
      </c>
      <c r="H226" s="22" t="n"/>
      <c r="I226" s="30" t="inlineStr">
        <is>
          <t>16:39.49</t>
        </is>
      </c>
      <c r="J226" s="22">
        <f>IF(I226="","",IF(ISNUMBER(SEARCH(":",I226)),VALUE(LEFT(I226,SEARCH(":",I226)-1))*60+VALUE(MID(I226,SEARCH(":",I226)+1,99)),VALUE(I226)))</f>
        <v/>
      </c>
      <c r="K226" s="30" t="inlineStr">
        <is>
          <t>06.03.10</t>
        </is>
      </c>
      <c r="L226" s="30" t="inlineStr">
        <is>
          <t>Swimming New Zealand Long Course Records by Age - user-supplied PDF</t>
        </is>
      </c>
      <c r="M226" s="30" t="n"/>
      <c r="N226" s="30" t="inlineStr">
        <is>
          <t>NO</t>
        </is>
      </c>
      <c r="O226" s="30" t="inlineStr">
        <is>
          <t>YES</t>
        </is>
      </c>
      <c r="P226" s="30" t="n"/>
      <c r="Q226" s="30" t="inlineStr">
        <is>
          <t>17:01.85</t>
        </is>
      </c>
      <c r="R226" s="22">
        <f>IF(Q226="","",IF(ISNUMBER(SEARCH(":",Q226)),VALUE(LEFT(Q226,SEARCH(":",Q226)-1))*60+VALUE(MID(Q226,SEARCH(":",Q226)+1,99)),VALUE(Q226)))</f>
        <v/>
      </c>
      <c r="S226" s="39">
        <f>IF(OR(J226="",R226=""),"",(R226-J226)/R226)</f>
        <v/>
      </c>
      <c r="T226" s="22">
        <f>IF(OR(P226&lt;&gt;"",N226="YES"),"YES","NO")</f>
        <v/>
      </c>
      <c r="U226" s="22">
        <f>IF(AND(O226="YES",T226="YES",S226&lt;&gt;""),COUNTIFS($C$5:$C$424,C226,$S$5:$S$424,"&gt;"&amp;S226)+COUNTIFS($C$5:C226,C226,$S$5:S226,S226),"")</f>
        <v/>
      </c>
      <c r="V226" s="22">
        <f>IF(U226="","",C226&amp;"|"&amp;U226)</f>
        <v/>
      </c>
      <c r="W226" s="30" t="n"/>
      <c r="X226" s="30" t="inlineStr">
        <is>
          <t>Next-fastest time supplied in user workbook; swimmer name not yet supplied.</t>
        </is>
      </c>
    </row>
    <row r="227" ht="15" customHeight="1" s="17">
      <c r="A227" s="30" t="inlineStr">
        <is>
          <t>NZ|LCM|M|13|50 Back</t>
        </is>
      </c>
      <c r="B227" s="30" t="inlineStr">
        <is>
          <t>LCM</t>
        </is>
      </c>
      <c r="C227" s="30" t="inlineStr">
        <is>
          <t>Male</t>
        </is>
      </c>
      <c r="D227" s="30" t="n">
        <v>13</v>
      </c>
      <c r="E227" s="30" t="inlineStr">
        <is>
          <t>50 Back</t>
        </is>
      </c>
      <c r="F227" s="30" t="inlineStr">
        <is>
          <t>Grayson Coulter</t>
        </is>
      </c>
      <c r="G227" s="22" t="inlineStr">
        <is>
          <t>Grayson Coulter</t>
        </is>
      </c>
      <c r="H227" s="22" t="n"/>
      <c r="I227" s="30" t="inlineStr">
        <is>
          <t>27.68</t>
        </is>
      </c>
      <c r="J227" s="22">
        <f>IF(I227="","",IF(ISNUMBER(SEARCH(":",I227)),VALUE(LEFT(I227,SEARCH(":",I227)-1))*60+VALUE(MID(I227,SEARCH(":",I227)+1,99)),VALUE(I227)))</f>
        <v/>
      </c>
      <c r="K227" s="30" t="inlineStr">
        <is>
          <t>17.12.25</t>
        </is>
      </c>
      <c r="L227" s="30" t="inlineStr">
        <is>
          <t>Swimming New Zealand Long Course Records by Age - user-supplied PDF</t>
        </is>
      </c>
      <c r="M227" s="30" t="n"/>
      <c r="N227" s="30" t="inlineStr">
        <is>
          <t>NO</t>
        </is>
      </c>
      <c r="O227" s="30" t="inlineStr">
        <is>
          <t>YES</t>
        </is>
      </c>
      <c r="P227" s="30" t="n"/>
      <c r="Q227" s="30" t="inlineStr">
        <is>
          <t>28.08</t>
        </is>
      </c>
      <c r="R227" s="22">
        <f>IF(Q227="","",IF(ISNUMBER(SEARCH(":",Q227)),VALUE(LEFT(Q227,SEARCH(":",Q227)-1))*60+VALUE(MID(Q227,SEARCH(":",Q227)+1,99)),VALUE(Q227)))</f>
        <v/>
      </c>
      <c r="S227" s="39">
        <f>IF(OR(J227="",R227=""),"",(R227-J227)/R227)</f>
        <v/>
      </c>
      <c r="T227" s="22">
        <f>IF(OR(P227&lt;&gt;"",N227="YES"),"YES","NO")</f>
        <v/>
      </c>
      <c r="U227" s="22">
        <f>IF(AND(O227="YES",T227="YES",S227&lt;&gt;""),COUNTIFS($C$5:$C$424,C227,$S$5:$S$424,"&gt;"&amp;S227)+COUNTIFS($C$5:C227,C227,$S$5:S227,S227),"")</f>
        <v/>
      </c>
      <c r="V227" s="22">
        <f>IF(U227="","",C227&amp;"|"&amp;U227)</f>
        <v/>
      </c>
      <c r="W227" s="30" t="n"/>
      <c r="X227" s="30" t="inlineStr">
        <is>
          <t>Next-fastest time supplied in user workbook; swimmer name not yet supplied.</t>
        </is>
      </c>
    </row>
    <row r="228" ht="15" customHeight="1" s="17">
      <c r="A228" s="30" t="inlineStr">
        <is>
          <t>NZ|LCM|M|13|100 Back</t>
        </is>
      </c>
      <c r="B228" s="30" t="inlineStr">
        <is>
          <t>LCM</t>
        </is>
      </c>
      <c r="C228" s="30" t="inlineStr">
        <is>
          <t>Male</t>
        </is>
      </c>
      <c r="D228" s="30" t="n">
        <v>13</v>
      </c>
      <c r="E228" s="30" t="inlineStr">
        <is>
          <t>100 Back</t>
        </is>
      </c>
      <c r="F228" s="30" t="inlineStr">
        <is>
          <t>Te Rauroha Paki</t>
        </is>
      </c>
      <c r="G228" s="22" t="inlineStr">
        <is>
          <t>Te Rauroha Paki</t>
        </is>
      </c>
      <c r="H228" s="22" t="n"/>
      <c r="I228" s="30" t="inlineStr">
        <is>
          <t>1:00.32</t>
        </is>
      </c>
      <c r="J228" s="22">
        <f>IF(I228="","",IF(ISNUMBER(SEARCH(":",I228)),VALUE(LEFT(I228,SEARCH(":",I228)-1))*60+VALUE(MID(I228,SEARCH(":",I228)+1,99)),VALUE(I228)))</f>
        <v/>
      </c>
      <c r="K228" s="30" t="inlineStr">
        <is>
          <t>19.04.24</t>
        </is>
      </c>
      <c r="L228" s="30" t="inlineStr">
        <is>
          <t>Swimming New Zealand Long Course Records by Age - user-supplied PDF</t>
        </is>
      </c>
      <c r="M228" s="30" t="n"/>
      <c r="N228" s="30" t="inlineStr">
        <is>
          <t>NO</t>
        </is>
      </c>
      <c r="O228" s="30" t="inlineStr">
        <is>
          <t>YES</t>
        </is>
      </c>
      <c r="P228" s="30" t="n"/>
      <c r="Q228" s="30" t="inlineStr">
        <is>
          <t>1:00.80</t>
        </is>
      </c>
      <c r="R228" s="22">
        <f>IF(Q228="","",IF(ISNUMBER(SEARCH(":",Q228)),VALUE(LEFT(Q228,SEARCH(":",Q228)-1))*60+VALUE(MID(Q228,SEARCH(":",Q228)+1,99)),VALUE(Q228)))</f>
        <v/>
      </c>
      <c r="S228" s="39">
        <f>IF(OR(J228="",R228=""),"",(R228-J228)/R228)</f>
        <v/>
      </c>
      <c r="T228" s="22">
        <f>IF(OR(P228&lt;&gt;"",N228="YES"),"YES","NO")</f>
        <v/>
      </c>
      <c r="U228" s="22">
        <f>IF(AND(O228="YES",T228="YES",S228&lt;&gt;""),COUNTIFS($C$5:$C$424,C228,$S$5:$S$424,"&gt;"&amp;S228)+COUNTIFS($C$5:C228,C228,$S$5:S228,S228),"")</f>
        <v/>
      </c>
      <c r="V228" s="22">
        <f>IF(U228="","",C228&amp;"|"&amp;U228)</f>
        <v/>
      </c>
      <c r="W228" s="30" t="n"/>
      <c r="X228" s="30" t="inlineStr">
        <is>
          <t>Next-fastest time supplied in user workbook; swimmer name not yet supplied.</t>
        </is>
      </c>
    </row>
    <row r="229" ht="15" customHeight="1" s="17">
      <c r="A229" s="30" t="inlineStr">
        <is>
          <t>NZ|LCM|M|13|200 Back</t>
        </is>
      </c>
      <c r="B229" s="30" t="inlineStr">
        <is>
          <t>LCM</t>
        </is>
      </c>
      <c r="C229" s="30" t="inlineStr">
        <is>
          <t>Male</t>
        </is>
      </c>
      <c r="D229" s="30" t="n">
        <v>13</v>
      </c>
      <c r="E229" s="30" t="inlineStr">
        <is>
          <t>200 Back</t>
        </is>
      </c>
      <c r="F229" s="30" t="inlineStr">
        <is>
          <t>Ross Dunwoody</t>
        </is>
      </c>
      <c r="G229" s="22" t="inlineStr">
        <is>
          <t>Ross Dunwoody</t>
        </is>
      </c>
      <c r="H229" s="22" t="n"/>
      <c r="I229" s="30" t="inlineStr">
        <is>
          <t>2:11.57</t>
        </is>
      </c>
      <c r="J229" s="22">
        <f>IF(I229="","",IF(ISNUMBER(SEARCH(":",I229)),VALUE(LEFT(I229,SEARCH(":",I229)-1))*60+VALUE(MID(I229,SEARCH(":",I229)+1,99)),VALUE(I229)))</f>
        <v/>
      </c>
      <c r="K229" s="30" t="inlineStr">
        <is>
          <t>22.03.95</t>
        </is>
      </c>
      <c r="L229" s="30" t="inlineStr">
        <is>
          <t>Swimming New Zealand Long Course Records by Age - user-supplied PDF</t>
        </is>
      </c>
      <c r="M229" s="30" t="n"/>
      <c r="N229" s="30" t="inlineStr">
        <is>
          <t>NO</t>
        </is>
      </c>
      <c r="O229" s="30" t="inlineStr">
        <is>
          <t>YES</t>
        </is>
      </c>
      <c r="P229" s="30" t="n"/>
      <c r="Q229" s="30" t="inlineStr">
        <is>
          <t>2:12.68</t>
        </is>
      </c>
      <c r="R229" s="22">
        <f>IF(Q229="","",IF(ISNUMBER(SEARCH(":",Q229)),VALUE(LEFT(Q229,SEARCH(":",Q229)-1))*60+VALUE(MID(Q229,SEARCH(":",Q229)+1,99)),VALUE(Q229)))</f>
        <v/>
      </c>
      <c r="S229" s="39">
        <f>IF(OR(J229="",R229=""),"",(R229-J229)/R229)</f>
        <v/>
      </c>
      <c r="T229" s="22">
        <f>IF(OR(P229&lt;&gt;"",N229="YES"),"YES","NO")</f>
        <v/>
      </c>
      <c r="U229" s="22">
        <f>IF(AND(O229="YES",T229="YES",S229&lt;&gt;""),COUNTIFS($C$5:$C$424,C229,$S$5:$S$424,"&gt;"&amp;S229)+COUNTIFS($C$5:C229,C229,$S$5:S229,S229),"")</f>
        <v/>
      </c>
      <c r="V229" s="22">
        <f>IF(U229="","",C229&amp;"|"&amp;U229)</f>
        <v/>
      </c>
      <c r="W229" s="30" t="n"/>
      <c r="X229" s="30" t="inlineStr">
        <is>
          <t>Next-fastest time supplied in user workbook; swimmer name not yet supplied.</t>
        </is>
      </c>
    </row>
    <row r="230" ht="15" customHeight="1" s="17">
      <c r="A230" s="30" t="inlineStr">
        <is>
          <t>NZ|LCM|M|13|50 Breast</t>
        </is>
      </c>
      <c r="B230" s="30" t="inlineStr">
        <is>
          <t>LCM</t>
        </is>
      </c>
      <c r="C230" s="30" t="inlineStr">
        <is>
          <t>Male</t>
        </is>
      </c>
      <c r="D230" s="30" t="n">
        <v>13</v>
      </c>
      <c r="E230" s="30" t="inlineStr">
        <is>
          <t>50 Breast</t>
        </is>
      </c>
      <c r="F230" s="30" t="inlineStr">
        <is>
          <t>Michael Yang</t>
        </is>
      </c>
      <c r="G230" s="22" t="inlineStr">
        <is>
          <t>Michael Yang</t>
        </is>
      </c>
      <c r="H230" s="22" t="n"/>
      <c r="I230" s="30" t="inlineStr">
        <is>
          <t>31.14</t>
        </is>
      </c>
      <c r="J230" s="22">
        <f>IF(I230="","",IF(ISNUMBER(SEARCH(":",I230)),VALUE(LEFT(I230,SEARCH(":",I230)-1))*60+VALUE(MID(I230,SEARCH(":",I230)+1,99)),VALUE(I230)))</f>
        <v/>
      </c>
      <c r="K230" s="30" t="inlineStr">
        <is>
          <t>14.04.25</t>
        </is>
      </c>
      <c r="L230" s="30" t="inlineStr">
        <is>
          <t>Swimming New Zealand Long Course Records by Age - user-supplied PDF</t>
        </is>
      </c>
      <c r="M230" s="30" t="n"/>
      <c r="N230" s="30" t="inlineStr">
        <is>
          <t>NO</t>
        </is>
      </c>
      <c r="O230" s="30" t="inlineStr">
        <is>
          <t>YES</t>
        </is>
      </c>
      <c r="P230" s="30" t="n"/>
      <c r="Q230" s="30" t="inlineStr">
        <is>
          <t>31.38</t>
        </is>
      </c>
      <c r="R230" s="22">
        <f>IF(Q230="","",IF(ISNUMBER(SEARCH(":",Q230)),VALUE(LEFT(Q230,SEARCH(":",Q230)-1))*60+VALUE(MID(Q230,SEARCH(":",Q230)+1,99)),VALUE(Q230)))</f>
        <v/>
      </c>
      <c r="S230" s="39">
        <f>IF(OR(J230="",R230=""),"",(R230-J230)/R230)</f>
        <v/>
      </c>
      <c r="T230" s="22">
        <f>IF(OR(P230&lt;&gt;"",N230="YES"),"YES","NO")</f>
        <v/>
      </c>
      <c r="U230" s="22">
        <f>IF(AND(O230="YES",T230="YES",S230&lt;&gt;""),COUNTIFS($C$5:$C$424,C230,$S$5:$S$424,"&gt;"&amp;S230)+COUNTIFS($C$5:C230,C230,$S$5:S230,S230),"")</f>
        <v/>
      </c>
      <c r="V230" s="22">
        <f>IF(U230="","",C230&amp;"|"&amp;U230)</f>
        <v/>
      </c>
      <c r="W230" s="30" t="n"/>
      <c r="X230" s="30" t="inlineStr">
        <is>
          <t>Next-fastest time supplied in user workbook; swimmer name not yet supplied.</t>
        </is>
      </c>
    </row>
    <row r="231" ht="15" customHeight="1" s="17">
      <c r="A231" s="30" t="inlineStr">
        <is>
          <t>NZ|LCM|M|13|100 Breast</t>
        </is>
      </c>
      <c r="B231" s="30" t="inlineStr">
        <is>
          <t>LCM</t>
        </is>
      </c>
      <c r="C231" s="30" t="inlineStr">
        <is>
          <t>Male</t>
        </is>
      </c>
      <c r="D231" s="30" t="n">
        <v>13</v>
      </c>
      <c r="E231" s="30" t="inlineStr">
        <is>
          <t>100 Breast</t>
        </is>
      </c>
      <c r="F231" s="30" t="inlineStr">
        <is>
          <t>Michael Yang</t>
        </is>
      </c>
      <c r="G231" s="22" t="inlineStr">
        <is>
          <t>Michael Yang</t>
        </is>
      </c>
      <c r="H231" s="22" t="n"/>
      <c r="I231" s="30" t="inlineStr">
        <is>
          <t>1:06.54</t>
        </is>
      </c>
      <c r="J231" s="22">
        <f>IF(I231="","",IF(ISNUMBER(SEARCH(":",I231)),VALUE(LEFT(I231,SEARCH(":",I231)-1))*60+VALUE(MID(I231,SEARCH(":",I231)+1,99)),VALUE(I231)))</f>
        <v/>
      </c>
      <c r="K231" s="30" t="inlineStr">
        <is>
          <t>24.05.25</t>
        </is>
      </c>
      <c r="L231" s="30" t="inlineStr">
        <is>
          <t>Swimming New Zealand Long Course Records by Age - user-supplied PDF</t>
        </is>
      </c>
      <c r="M231" s="30" t="n"/>
      <c r="N231" s="30" t="inlineStr">
        <is>
          <t>NO</t>
        </is>
      </c>
      <c r="O231" s="30" t="inlineStr">
        <is>
          <t>YES</t>
        </is>
      </c>
      <c r="P231" s="30" t="inlineStr">
        <is>
          <t>Joshua Gilbert</t>
        </is>
      </c>
      <c r="Q231" s="30" t="inlineStr">
        <is>
          <t>1:08.71</t>
        </is>
      </c>
      <c r="R231" s="22">
        <f>IF(Q231="","",IF(ISNUMBER(SEARCH(":",Q231)),VALUE(LEFT(Q231,SEARCH(":",Q231)-1))*60+VALUE(MID(Q231,SEARCH(":",Q231)+1,99)),VALUE(Q231)))</f>
        <v/>
      </c>
      <c r="S231" s="39">
        <f>IF(OR(J231="",R231=""),"",(R231-J231)/R231)</f>
        <v/>
      </c>
      <c r="T231" s="22">
        <f>IF(OR(P231&lt;&gt;"",N231="YES"),"YES","NO")</f>
        <v/>
      </c>
      <c r="U231" s="22">
        <f>IF(AND(O231="YES",T231="YES",S231&lt;&gt;""),COUNTIFS($C$5:$C$424,C231,$S$5:$S$424,"&gt;"&amp;S231)+COUNTIFS($C$5:C231,C231,$S$5:S231,S231),"")</f>
        <v/>
      </c>
      <c r="V231" s="22">
        <f>IF(U231="","",C231&amp;"|"&amp;U231)</f>
        <v/>
      </c>
      <c r="W231" s="30" t="n"/>
      <c r="X231" s="30" t="inlineStr">
        <is>
          <t>Next-fastest time supplied in user workbook; swimmer name not yet supplied.</t>
        </is>
      </c>
    </row>
    <row r="232" ht="15" customHeight="1" s="17">
      <c r="A232" s="30" t="inlineStr">
        <is>
          <t>NZ|LCM|M|13|200 Breast</t>
        </is>
      </c>
      <c r="B232" s="30" t="inlineStr">
        <is>
          <t>LCM</t>
        </is>
      </c>
      <c r="C232" s="30" t="inlineStr">
        <is>
          <t>Male</t>
        </is>
      </c>
      <c r="D232" s="30" t="n">
        <v>13</v>
      </c>
      <c r="E232" s="30" t="inlineStr">
        <is>
          <t>200 Breast</t>
        </is>
      </c>
      <c r="F232" s="30" t="inlineStr">
        <is>
          <t>Michael Yang</t>
        </is>
      </c>
      <c r="G232" s="22" t="inlineStr">
        <is>
          <t>Michael Yang</t>
        </is>
      </c>
      <c r="H232" s="22" t="n"/>
      <c r="I232" s="30" t="inlineStr">
        <is>
          <t>2:25.85</t>
        </is>
      </c>
      <c r="J232" s="22">
        <f>IF(I232="","",IF(ISNUMBER(SEARCH(":",I232)),VALUE(LEFT(I232,SEARCH(":",I232)-1))*60+VALUE(MID(I232,SEARCH(":",I232)+1,99)),VALUE(I232)))</f>
        <v/>
      </c>
      <c r="K232" s="30" t="inlineStr">
        <is>
          <t>15.04.25</t>
        </is>
      </c>
      <c r="L232" s="30" t="inlineStr">
        <is>
          <t>Swimming New Zealand Long Course Records by Age - user-supplied PDF</t>
        </is>
      </c>
      <c r="M232" s="30" t="n"/>
      <c r="N232" s="30" t="inlineStr">
        <is>
          <t>NO</t>
        </is>
      </c>
      <c r="O232" s="30" t="inlineStr">
        <is>
          <t>YES</t>
        </is>
      </c>
      <c r="P232" s="30" t="n"/>
      <c r="Q232" s="30" t="inlineStr">
        <is>
          <t>2:28.54</t>
        </is>
      </c>
      <c r="R232" s="22">
        <f>IF(Q232="","",IF(ISNUMBER(SEARCH(":",Q232)),VALUE(LEFT(Q232,SEARCH(":",Q232)-1))*60+VALUE(MID(Q232,SEARCH(":",Q232)+1,99)),VALUE(Q232)))</f>
        <v/>
      </c>
      <c r="S232" s="39">
        <f>IF(OR(J232="",R232=""),"",(R232-J232)/R232)</f>
        <v/>
      </c>
      <c r="T232" s="22">
        <f>IF(OR(P232&lt;&gt;"",N232="YES"),"YES","NO")</f>
        <v/>
      </c>
      <c r="U232" s="22">
        <f>IF(AND(O232="YES",T232="YES",S232&lt;&gt;""),COUNTIFS($C$5:$C$424,C232,$S$5:$S$424,"&gt;"&amp;S232)+COUNTIFS($C$5:C232,C232,$S$5:S232,S232),"")</f>
        <v/>
      </c>
      <c r="V232" s="22">
        <f>IF(U232="","",C232&amp;"|"&amp;U232)</f>
        <v/>
      </c>
      <c r="W232" s="30" t="n"/>
      <c r="X232" s="30" t="inlineStr">
        <is>
          <t>Next-fastest time supplied in user workbook; swimmer name not yet supplied.</t>
        </is>
      </c>
    </row>
    <row r="233" ht="15" customHeight="1" s="17">
      <c r="A233" s="30" t="inlineStr">
        <is>
          <t>NZ|LCM|M|13|50 Fly</t>
        </is>
      </c>
      <c r="B233" s="30" t="inlineStr">
        <is>
          <t>LCM</t>
        </is>
      </c>
      <c r="C233" s="30" t="inlineStr">
        <is>
          <t>Male</t>
        </is>
      </c>
      <c r="D233" s="30" t="n">
        <v>13</v>
      </c>
      <c r="E233" s="30" t="inlineStr">
        <is>
          <t>50 Fly</t>
        </is>
      </c>
      <c r="F233" s="30" t="inlineStr">
        <is>
          <t>Grayson Coulter</t>
        </is>
      </c>
      <c r="G233" s="22" t="inlineStr">
        <is>
          <t>Grayson Coulter</t>
        </is>
      </c>
      <c r="H233" s="22" t="n"/>
      <c r="I233" s="30" t="inlineStr">
        <is>
          <t>26.17</t>
        </is>
      </c>
      <c r="J233" s="22">
        <f>IF(I233="","",IF(ISNUMBER(SEARCH(":",I233)),VALUE(LEFT(I233,SEARCH(":",I233)-1))*60+VALUE(MID(I233,SEARCH(":",I233)+1,99)),VALUE(I233)))</f>
        <v/>
      </c>
      <c r="K233" s="30" t="inlineStr">
        <is>
          <t>18.12.25</t>
        </is>
      </c>
      <c r="L233" s="30" t="inlineStr">
        <is>
          <t>Swimming New Zealand Long Course Records by Age - user-supplied PDF</t>
        </is>
      </c>
      <c r="M233" s="30" t="n"/>
      <c r="N233" s="30" t="inlineStr">
        <is>
          <t>NO</t>
        </is>
      </c>
      <c r="O233" s="30" t="inlineStr">
        <is>
          <t>YES</t>
        </is>
      </c>
      <c r="P233" s="30" t="inlineStr">
        <is>
          <t>Mason Wang</t>
        </is>
      </c>
      <c r="Q233" s="30" t="inlineStr">
        <is>
          <t>27.23</t>
        </is>
      </c>
      <c r="R233" s="22">
        <f>IF(Q233="","",IF(ISNUMBER(SEARCH(":",Q233)),VALUE(LEFT(Q233,SEARCH(":",Q233)-1))*60+VALUE(MID(Q233,SEARCH(":",Q233)+1,99)),VALUE(Q233)))</f>
        <v/>
      </c>
      <c r="S233" s="39">
        <f>IF(OR(J233="",R233=""),"",(R233-J233)/R233)</f>
        <v/>
      </c>
      <c r="T233" s="22">
        <f>IF(OR(P233&lt;&gt;"",N233="YES"),"YES","NO")</f>
        <v/>
      </c>
      <c r="U233" s="22">
        <f>IF(AND(O233="YES",T233="YES",S233&lt;&gt;""),COUNTIFS($C$5:$C$424,C233,$S$5:$S$424,"&gt;"&amp;S233)+COUNTIFS($C$5:C233,C233,$S$5:S233,S233),"")</f>
        <v/>
      </c>
      <c r="V233" s="22">
        <f>IF(U233="","",C233&amp;"|"&amp;U233)</f>
        <v/>
      </c>
      <c r="W233" s="30" t="n"/>
      <c r="X233" s="30" t="inlineStr">
        <is>
          <t>Next-fastest time supplied in user workbook; swimmer name not yet supplied.</t>
        </is>
      </c>
    </row>
    <row r="234" ht="15" customHeight="1" s="17">
      <c r="A234" s="30" t="inlineStr">
        <is>
          <t>NZ|LCM|M|13|100 Fly</t>
        </is>
      </c>
      <c r="B234" s="30" t="inlineStr">
        <is>
          <t>LCM</t>
        </is>
      </c>
      <c r="C234" s="30" t="inlineStr">
        <is>
          <t>Male</t>
        </is>
      </c>
      <c r="D234" s="30" t="n">
        <v>13</v>
      </c>
      <c r="E234" s="30" t="inlineStr">
        <is>
          <t>100 Fly</t>
        </is>
      </c>
      <c r="F234" s="30" t="inlineStr">
        <is>
          <t>Grayson Coulter</t>
        </is>
      </c>
      <c r="G234" s="22" t="inlineStr">
        <is>
          <t>Grayson Coulter</t>
        </is>
      </c>
      <c r="H234" s="22" t="n"/>
      <c r="I234" s="30" t="inlineStr">
        <is>
          <t>56.85</t>
        </is>
      </c>
      <c r="J234" s="22">
        <f>IF(I234="","",IF(ISNUMBER(SEARCH(":",I234)),VALUE(LEFT(I234,SEARCH(":",I234)-1))*60+VALUE(MID(I234,SEARCH(":",I234)+1,99)),VALUE(I234)))</f>
        <v/>
      </c>
      <c r="K234" s="30" t="inlineStr">
        <is>
          <t>15.12.25</t>
        </is>
      </c>
      <c r="L234" s="30" t="inlineStr">
        <is>
          <t>Swimming New Zealand Long Course Records by Age - user-supplied PDF</t>
        </is>
      </c>
      <c r="M234" s="30" t="n"/>
      <c r="N234" s="30" t="inlineStr">
        <is>
          <t>NO</t>
        </is>
      </c>
      <c r="O234" s="30" t="inlineStr">
        <is>
          <t>YES</t>
        </is>
      </c>
      <c r="P234" s="30" t="inlineStr">
        <is>
          <t>Kase Glintmeyer</t>
        </is>
      </c>
      <c r="Q234" s="30" t="inlineStr">
        <is>
          <t>1:00.04</t>
        </is>
      </c>
      <c r="R234" s="22">
        <f>IF(Q234="","",IF(ISNUMBER(SEARCH(":",Q234)),VALUE(LEFT(Q234,SEARCH(":",Q234)-1))*60+VALUE(MID(Q234,SEARCH(":",Q234)+1,99)),VALUE(Q234)))</f>
        <v/>
      </c>
      <c r="S234" s="39">
        <f>IF(OR(J234="",R234=""),"",(R234-J234)/R234)</f>
        <v/>
      </c>
      <c r="T234" s="22">
        <f>IF(OR(P234&lt;&gt;"",N234="YES"),"YES","NO")</f>
        <v/>
      </c>
      <c r="U234" s="22">
        <f>IF(AND(O234="YES",T234="YES",S234&lt;&gt;""),COUNTIFS($C$5:$C$424,C234,$S$5:$S$424,"&gt;"&amp;S234)+COUNTIFS($C$5:C234,C234,$S$5:S234,S234),"")</f>
        <v/>
      </c>
      <c r="V234" s="22">
        <f>IF(U234="","",C234&amp;"|"&amp;U234)</f>
        <v/>
      </c>
      <c r="W234" s="30" t="n"/>
      <c r="X234" s="30" t="inlineStr">
        <is>
          <t>Next-fastest time supplied in user workbook; swimmer name not yet supplied.</t>
        </is>
      </c>
    </row>
    <row r="235" ht="15" customHeight="1" s="17">
      <c r="A235" s="30" t="inlineStr">
        <is>
          <t>NZ|LCM|M|13|200 Fly</t>
        </is>
      </c>
      <c r="B235" s="30" t="inlineStr">
        <is>
          <t>LCM</t>
        </is>
      </c>
      <c r="C235" s="30" t="inlineStr">
        <is>
          <t>Male</t>
        </is>
      </c>
      <c r="D235" s="30" t="n">
        <v>13</v>
      </c>
      <c r="E235" s="30" t="inlineStr">
        <is>
          <t>200 Fly</t>
        </is>
      </c>
      <c r="F235" s="30" t="inlineStr">
        <is>
          <t>Pierce Collins</t>
        </is>
      </c>
      <c r="G235" s="22" t="inlineStr">
        <is>
          <t>Pierce Collins</t>
        </is>
      </c>
      <c r="H235" s="22" t="n"/>
      <c r="I235" s="30" t="inlineStr">
        <is>
          <t>2:13.92</t>
        </is>
      </c>
      <c r="J235" s="22">
        <f>IF(I235="","",IF(ISNUMBER(SEARCH(":",I235)),VALUE(LEFT(I235,SEARCH(":",I235)-1))*60+VALUE(MID(I235,SEARCH(":",I235)+1,99)),VALUE(I235)))</f>
        <v/>
      </c>
      <c r="K235" s="30" t="inlineStr">
        <is>
          <t>17.04.18</t>
        </is>
      </c>
      <c r="L235" s="30" t="inlineStr">
        <is>
          <t>Swimming New Zealand Long Course Records by Age - user-supplied PDF</t>
        </is>
      </c>
      <c r="M235" s="30" t="n"/>
      <c r="N235" s="30" t="inlineStr">
        <is>
          <t>NO</t>
        </is>
      </c>
      <c r="O235" s="30" t="inlineStr">
        <is>
          <t>YES</t>
        </is>
      </c>
      <c r="P235" s="30" t="n"/>
      <c r="Q235" s="30" t="inlineStr">
        <is>
          <t>2:14.85</t>
        </is>
      </c>
      <c r="R235" s="22">
        <f>IF(Q235="","",IF(ISNUMBER(SEARCH(":",Q235)),VALUE(LEFT(Q235,SEARCH(":",Q235)-1))*60+VALUE(MID(Q235,SEARCH(":",Q235)+1,99)),VALUE(Q235)))</f>
        <v/>
      </c>
      <c r="S235" s="39">
        <f>IF(OR(J235="",R235=""),"",(R235-J235)/R235)</f>
        <v/>
      </c>
      <c r="T235" s="22">
        <f>IF(OR(P235&lt;&gt;"",N235="YES"),"YES","NO")</f>
        <v/>
      </c>
      <c r="U235" s="22">
        <f>IF(AND(O235="YES",T235="YES",S235&lt;&gt;""),COUNTIFS($C$5:$C$424,C235,$S$5:$S$424,"&gt;"&amp;S235)+COUNTIFS($C$5:C235,C235,$S$5:S235,S235),"")</f>
        <v/>
      </c>
      <c r="V235" s="22">
        <f>IF(U235="","",C235&amp;"|"&amp;U235)</f>
        <v/>
      </c>
      <c r="W235" s="30" t="n"/>
      <c r="X235" s="30" t="inlineStr">
        <is>
          <t>Next-fastest time supplied in user workbook; swimmer name not yet supplied.</t>
        </is>
      </c>
    </row>
    <row r="236" ht="15" customHeight="1" s="17">
      <c r="A236" s="30" t="inlineStr">
        <is>
          <t>NZ|LCM|M|13|200 IM</t>
        </is>
      </c>
      <c r="B236" s="30" t="inlineStr">
        <is>
          <t>LCM</t>
        </is>
      </c>
      <c r="C236" s="30" t="inlineStr">
        <is>
          <t>Male</t>
        </is>
      </c>
      <c r="D236" s="30" t="n">
        <v>13</v>
      </c>
      <c r="E236" s="30" t="inlineStr">
        <is>
          <t>200 IM</t>
        </is>
      </c>
      <c r="F236" s="30" t="inlineStr">
        <is>
          <t>Grayson Coulter</t>
        </is>
      </c>
      <c r="G236" s="22" t="inlineStr">
        <is>
          <t>Grayson Coulter</t>
        </is>
      </c>
      <c r="H236" s="22" t="n"/>
      <c r="I236" s="30" t="inlineStr">
        <is>
          <t>2:09.69</t>
        </is>
      </c>
      <c r="J236" s="22">
        <f>IF(I236="","",IF(ISNUMBER(SEARCH(":",I236)),VALUE(LEFT(I236,SEARCH(":",I236)-1))*60+VALUE(MID(I236,SEARCH(":",I236)+1,99)),VALUE(I236)))</f>
        <v/>
      </c>
      <c r="K236" s="30" t="inlineStr">
        <is>
          <t>15.12.25</t>
        </is>
      </c>
      <c r="L236" s="30" t="inlineStr">
        <is>
          <t>Swimming New Zealand Long Course Records by Age - user-supplied PDF</t>
        </is>
      </c>
      <c r="M236" s="30" t="n"/>
      <c r="N236" s="30" t="inlineStr">
        <is>
          <t>NO</t>
        </is>
      </c>
      <c r="O236" s="30" t="inlineStr">
        <is>
          <t>YES</t>
        </is>
      </c>
      <c r="P236" s="30" t="inlineStr">
        <is>
          <t>Joshua Gilbert</t>
        </is>
      </c>
      <c r="Q236" s="30" t="inlineStr">
        <is>
          <t>2:16.41</t>
        </is>
      </c>
      <c r="R236" s="22">
        <f>IF(Q236="","",IF(ISNUMBER(SEARCH(":",Q236)),VALUE(LEFT(Q236,SEARCH(":",Q236)-1))*60+VALUE(MID(Q236,SEARCH(":",Q236)+1,99)),VALUE(Q236)))</f>
        <v/>
      </c>
      <c r="S236" s="39">
        <f>IF(OR(J236="",R236=""),"",(R236-J236)/R236)</f>
        <v/>
      </c>
      <c r="T236" s="22">
        <f>IF(OR(P236&lt;&gt;"",N236="YES"),"YES","NO")</f>
        <v/>
      </c>
      <c r="U236" s="22">
        <f>IF(AND(O236="YES",T236="YES",S236&lt;&gt;""),COUNTIFS($C$5:$C$424,C236,$S$5:$S$424,"&gt;"&amp;S236)+COUNTIFS($C$5:C236,C236,$S$5:S236,S236),"")</f>
        <v/>
      </c>
      <c r="V236" s="22">
        <f>IF(U236="","",C236&amp;"|"&amp;U236)</f>
        <v/>
      </c>
      <c r="W236" s="30" t="n"/>
      <c r="X236" s="30" t="inlineStr">
        <is>
          <t>Next-fastest time supplied in user workbook; swimmer name not yet supplied.</t>
        </is>
      </c>
    </row>
    <row r="237" ht="15" customHeight="1" s="17">
      <c r="A237" s="30" t="inlineStr">
        <is>
          <t>NZ|LCM|M|13|400 IM</t>
        </is>
      </c>
      <c r="B237" s="30" t="inlineStr">
        <is>
          <t>LCM</t>
        </is>
      </c>
      <c r="C237" s="30" t="inlineStr">
        <is>
          <t>Male</t>
        </is>
      </c>
      <c r="D237" s="30" t="n">
        <v>13</v>
      </c>
      <c r="E237" s="30" t="inlineStr">
        <is>
          <t>400 IM</t>
        </is>
      </c>
      <c r="F237" s="30" t="inlineStr">
        <is>
          <t>Mitchell Donaldson</t>
        </is>
      </c>
      <c r="G237" s="22" t="inlineStr">
        <is>
          <t>Mitchell Donaldson</t>
        </is>
      </c>
      <c r="H237" s="22" t="n"/>
      <c r="I237" s="30" t="inlineStr">
        <is>
          <t>4:46.89</t>
        </is>
      </c>
      <c r="J237" s="22">
        <f>IF(I237="","",IF(ISNUMBER(SEARCH(":",I237)),VALUE(LEFT(I237,SEARCH(":",I237)-1))*60+VALUE(MID(I237,SEARCH(":",I237)+1,99)),VALUE(I237)))</f>
        <v/>
      </c>
      <c r="K237" s="30" t="inlineStr">
        <is>
          <t>01.12.06</t>
        </is>
      </c>
      <c r="L237" s="30" t="inlineStr">
        <is>
          <t>Swimming New Zealand Long Course Records by Age - user-supplied PDF</t>
        </is>
      </c>
      <c r="M237" s="30" t="n"/>
      <c r="N237" s="30" t="inlineStr">
        <is>
          <t>NO</t>
        </is>
      </c>
      <c r="O237" s="30" t="inlineStr">
        <is>
          <t>YES</t>
        </is>
      </c>
      <c r="P237" s="30" t="n"/>
      <c r="Q237" s="30" t="inlineStr">
        <is>
          <t>4:47.83</t>
        </is>
      </c>
      <c r="R237" s="22">
        <f>IF(Q237="","",IF(ISNUMBER(SEARCH(":",Q237)),VALUE(LEFT(Q237,SEARCH(":",Q237)-1))*60+VALUE(MID(Q237,SEARCH(":",Q237)+1,99)),VALUE(Q237)))</f>
        <v/>
      </c>
      <c r="S237" s="39">
        <f>IF(OR(J237="",R237=""),"",(R237-J237)/R237)</f>
        <v/>
      </c>
      <c r="T237" s="22">
        <f>IF(OR(P237&lt;&gt;"",N237="YES"),"YES","NO")</f>
        <v/>
      </c>
      <c r="U237" s="22">
        <f>IF(AND(O237="YES",T237="YES",S237&lt;&gt;""),COUNTIFS($C$5:$C$424,C237,$S$5:$S$424,"&gt;"&amp;S237)+COUNTIFS($C$5:C237,C237,$S$5:S237,S237),"")</f>
        <v/>
      </c>
      <c r="V237" s="22">
        <f>IF(U237="","",C237&amp;"|"&amp;U237)</f>
        <v/>
      </c>
      <c r="W237" s="30" t="n"/>
      <c r="X237" s="30" t="inlineStr">
        <is>
          <t>Next-fastest time supplied in user workbook; swimmer name not yet supplied.</t>
        </is>
      </c>
    </row>
    <row r="238" ht="15" customHeight="1" s="17">
      <c r="A238" s="30" t="inlineStr">
        <is>
          <t>NZ|LCM|M|14|50 Free</t>
        </is>
      </c>
      <c r="B238" s="30" t="inlineStr">
        <is>
          <t>LCM</t>
        </is>
      </c>
      <c r="C238" s="30" t="inlineStr">
        <is>
          <t>Male</t>
        </is>
      </c>
      <c r="D238" s="30" t="n">
        <v>14</v>
      </c>
      <c r="E238" s="30" t="inlineStr">
        <is>
          <t>50 Free</t>
        </is>
      </c>
      <c r="F238" s="30" t="inlineStr">
        <is>
          <t>Grayson Coulter</t>
        </is>
      </c>
      <c r="G238" s="22" t="inlineStr">
        <is>
          <t>Grayson Coulter</t>
        </is>
      </c>
      <c r="H238" s="22" t="n"/>
      <c r="I238" s="30" t="inlineStr">
        <is>
          <t>23.95</t>
        </is>
      </c>
      <c r="J238" s="22">
        <f>IF(I238="","",IF(ISNUMBER(SEARCH(":",I238)),VALUE(LEFT(I238,SEARCH(":",I238)-1))*60+VALUE(MID(I238,SEARCH(":",I238)+1,99)),VALUE(I238)))</f>
        <v/>
      </c>
      <c r="K238" s="30" t="inlineStr">
        <is>
          <t>20.08.26</t>
        </is>
      </c>
      <c r="L238" s="30" t="inlineStr">
        <is>
          <t>Swimming New Zealand Long Course Records by Age - user-supplied PDF</t>
        </is>
      </c>
      <c r="M238" s="30" t="n"/>
      <c r="N238" s="30" t="inlineStr">
        <is>
          <t>NO</t>
        </is>
      </c>
      <c r="O238" s="30" t="inlineStr">
        <is>
          <t>YES</t>
        </is>
      </c>
      <c r="P238" s="30" t="n"/>
      <c r="Q238" s="30" t="inlineStr">
        <is>
          <t>23.96</t>
        </is>
      </c>
      <c r="R238" s="22">
        <f>IF(Q238="","",IF(ISNUMBER(SEARCH(":",Q238)),VALUE(LEFT(Q238,SEARCH(":",Q238)-1))*60+VALUE(MID(Q238,SEARCH(":",Q238)+1,99)),VALUE(Q238)))</f>
        <v/>
      </c>
      <c r="S238" s="39">
        <f>IF(OR(J238="",R238=""),"",(R238-J238)/R238)</f>
        <v/>
      </c>
      <c r="T238" s="22">
        <f>IF(OR(P238&lt;&gt;"",N238="YES"),"YES","NO")</f>
        <v/>
      </c>
      <c r="U238" s="22">
        <f>IF(AND(O238="YES",T238="YES",S238&lt;&gt;""),COUNTIFS($C$5:$C$424,C238,$S$5:$S$424,"&gt;"&amp;S238)+COUNTIFS($C$5:C238,C238,$S$5:S238,S238),"")</f>
        <v/>
      </c>
      <c r="V238" s="22">
        <f>IF(U238="","",C238&amp;"|"&amp;U238)</f>
        <v/>
      </c>
      <c r="W238" s="30" t="n"/>
      <c r="X238" s="30" t="inlineStr">
        <is>
          <t>Next-fastest time supplied in user workbook; swimmer name not yet supplied.</t>
        </is>
      </c>
    </row>
    <row r="239" ht="15" customHeight="1" s="17">
      <c r="A239" s="30" t="inlineStr">
        <is>
          <t>NZ|LCM|M|14|100 Free</t>
        </is>
      </c>
      <c r="B239" s="30" t="inlineStr">
        <is>
          <t>LCM</t>
        </is>
      </c>
      <c r="C239" s="30" t="inlineStr">
        <is>
          <t>Male</t>
        </is>
      </c>
      <c r="D239" s="30" t="n">
        <v>14</v>
      </c>
      <c r="E239" s="30" t="inlineStr">
        <is>
          <t>100 Free</t>
        </is>
      </c>
      <c r="F239" s="30" t="inlineStr">
        <is>
          <t>Grayson Coulter</t>
        </is>
      </c>
      <c r="G239" s="22" t="inlineStr">
        <is>
          <t>Grayson Coulter</t>
        </is>
      </c>
      <c r="H239" s="22" t="n"/>
      <c r="I239" s="30" t="inlineStr">
        <is>
          <t>51.04</t>
        </is>
      </c>
      <c r="J239" s="22">
        <f>IF(I239="","",IF(ISNUMBER(SEARCH(":",I239)),VALUE(LEFT(I239,SEARCH(":",I239)-1))*60+VALUE(MID(I239,SEARCH(":",I239)+1,99)),VALUE(I239)))</f>
        <v/>
      </c>
      <c r="K239" s="30" t="inlineStr">
        <is>
          <t>19.08.26</t>
        </is>
      </c>
      <c r="L239" s="30" t="inlineStr">
        <is>
          <t>Swimming New Zealand Long Course Records by Age - user-supplied PDF</t>
        </is>
      </c>
      <c r="M239" s="30" t="n"/>
      <c r="N239" s="30" t="inlineStr">
        <is>
          <t>NO</t>
        </is>
      </c>
      <c r="O239" s="30" t="inlineStr">
        <is>
          <t>YES</t>
        </is>
      </c>
      <c r="P239" s="30" t="n"/>
      <c r="Q239" s="30" t="inlineStr">
        <is>
          <t>52.42</t>
        </is>
      </c>
      <c r="R239" s="22">
        <f>IF(Q239="","",IF(ISNUMBER(SEARCH(":",Q239)),VALUE(LEFT(Q239,SEARCH(":",Q239)-1))*60+VALUE(MID(Q239,SEARCH(":",Q239)+1,99)),VALUE(Q239)))</f>
        <v/>
      </c>
      <c r="S239" s="39">
        <f>IF(OR(J239="",R239=""),"",(R239-J239)/R239)</f>
        <v/>
      </c>
      <c r="T239" s="22">
        <f>IF(OR(P239&lt;&gt;"",N239="YES"),"YES","NO")</f>
        <v/>
      </c>
      <c r="U239" s="22">
        <f>IF(AND(O239="YES",T239="YES",S239&lt;&gt;""),COUNTIFS($C$5:$C$424,C239,$S$5:$S$424,"&gt;"&amp;S239)+COUNTIFS($C$5:C239,C239,$S$5:S239,S239),"")</f>
        <v/>
      </c>
      <c r="V239" s="22">
        <f>IF(U239="","",C239&amp;"|"&amp;U239)</f>
        <v/>
      </c>
      <c r="W239" s="30" t="n"/>
      <c r="X239" s="30" t="inlineStr">
        <is>
          <t>Next-fastest time supplied in user workbook; swimmer name not yet supplied.</t>
        </is>
      </c>
    </row>
    <row r="240" ht="15" customHeight="1" s="17">
      <c r="A240" s="30" t="inlineStr">
        <is>
          <t>NZ|LCM|M|14|200 Free</t>
        </is>
      </c>
      <c r="B240" s="30" t="inlineStr">
        <is>
          <t>LCM</t>
        </is>
      </c>
      <c r="C240" s="30" t="inlineStr">
        <is>
          <t>Male</t>
        </is>
      </c>
      <c r="D240" s="30" t="n">
        <v>14</v>
      </c>
      <c r="E240" s="30" t="inlineStr">
        <is>
          <t>200 Free</t>
        </is>
      </c>
      <c r="F240" s="30" t="inlineStr">
        <is>
          <t>Grayson Coulter</t>
        </is>
      </c>
      <c r="G240" s="22" t="inlineStr">
        <is>
          <t>Grayson Coulter</t>
        </is>
      </c>
      <c r="H240" s="22" t="n"/>
      <c r="I240" s="30" t="inlineStr">
        <is>
          <t>1:51.50</t>
        </is>
      </c>
      <c r="J240" s="22">
        <f>IF(I240="","",IF(ISNUMBER(SEARCH(":",I240)),VALUE(LEFT(I240,SEARCH(":",I240)-1))*60+VALUE(MID(I240,SEARCH(":",I240)+1,99)),VALUE(I240)))</f>
        <v/>
      </c>
      <c r="K240" s="30" t="inlineStr">
        <is>
          <t>17.08.26</t>
        </is>
      </c>
      <c r="L240" s="30" t="inlineStr">
        <is>
          <t>Swimming New Zealand Long Course Records by Age - user-supplied PDF</t>
        </is>
      </c>
      <c r="M240" s="30" t="n"/>
      <c r="N240" s="30" t="inlineStr">
        <is>
          <t>NO</t>
        </is>
      </c>
      <c r="O240" s="30" t="inlineStr">
        <is>
          <t>YES</t>
        </is>
      </c>
      <c r="P240" s="30" t="inlineStr">
        <is>
          <t>Michael Mincham</t>
        </is>
      </c>
      <c r="Q240" s="30" t="inlineStr">
        <is>
          <t>1:55.78</t>
        </is>
      </c>
      <c r="R240" s="22">
        <f>IF(Q240="","",IF(ISNUMBER(SEARCH(":",Q240)),VALUE(LEFT(Q240,SEARCH(":",Q240)-1))*60+VALUE(MID(Q240,SEARCH(":",Q240)+1,99)),VALUE(Q240)))</f>
        <v/>
      </c>
      <c r="S240" s="39">
        <f>IF(OR(J240="",R240=""),"",(R240-J240)/R240)</f>
        <v/>
      </c>
      <c r="T240" s="22">
        <f>IF(OR(P240&lt;&gt;"",N240="YES"),"YES","NO")</f>
        <v/>
      </c>
      <c r="U240" s="22">
        <f>IF(AND(O240="YES",T240="YES",S240&lt;&gt;""),COUNTIFS($C$5:$C$424,C240,$S$5:$S$424,"&gt;"&amp;S240)+COUNTIFS($C$5:C240,C240,$S$5:S240,S240),"")</f>
        <v/>
      </c>
      <c r="V240" s="22">
        <f>IF(U240="","",C240&amp;"|"&amp;U240)</f>
        <v/>
      </c>
      <c r="W240" s="30" t="n"/>
      <c r="X240" s="30" t="inlineStr">
        <is>
          <t>Next-fastest time supplied in user workbook; swimmer name not yet supplied.</t>
        </is>
      </c>
    </row>
    <row r="241" ht="15" customHeight="1" s="17">
      <c r="A241" s="30" t="inlineStr">
        <is>
          <t>NZ|LCM|M|14|400 Free</t>
        </is>
      </c>
      <c r="B241" s="30" t="inlineStr">
        <is>
          <t>LCM</t>
        </is>
      </c>
      <c r="C241" s="30" t="inlineStr">
        <is>
          <t>Male</t>
        </is>
      </c>
      <c r="D241" s="30" t="n">
        <v>14</v>
      </c>
      <c r="E241" s="30" t="inlineStr">
        <is>
          <t>400 Free</t>
        </is>
      </c>
      <c r="F241" s="30" t="inlineStr">
        <is>
          <t>Grayson Coulter</t>
        </is>
      </c>
      <c r="G241" s="22" t="inlineStr">
        <is>
          <t>Grayson Coulter</t>
        </is>
      </c>
      <c r="H241" s="22" t="n"/>
      <c r="I241" s="30" t="inlineStr">
        <is>
          <t>4:02.64</t>
        </is>
      </c>
      <c r="J241" s="22">
        <f>IF(I241="","",IF(ISNUMBER(SEARCH(":",I241)),VALUE(LEFT(I241,SEARCH(":",I241)-1))*60+VALUE(MID(I241,SEARCH(":",I241)+1,99)),VALUE(I241)))</f>
        <v/>
      </c>
      <c r="K241" s="30" t="inlineStr">
        <is>
          <t>11.04.26</t>
        </is>
      </c>
      <c r="L241" s="30" t="inlineStr">
        <is>
          <t>Swimming New Zealand Long Course Records by Age - user-supplied PDF</t>
        </is>
      </c>
      <c r="M241" s="30" t="n"/>
      <c r="N241" s="30" t="inlineStr">
        <is>
          <t>NO</t>
        </is>
      </c>
      <c r="O241" s="30" t="inlineStr">
        <is>
          <t>YES</t>
        </is>
      </c>
      <c r="P241" s="30" t="n"/>
      <c r="Q241" s="30" t="inlineStr">
        <is>
          <t>4:03.94</t>
        </is>
      </c>
      <c r="R241" s="22">
        <f>IF(Q241="","",IF(ISNUMBER(SEARCH(":",Q241)),VALUE(LEFT(Q241,SEARCH(":",Q241)-1))*60+VALUE(MID(Q241,SEARCH(":",Q241)+1,99)),VALUE(Q241)))</f>
        <v/>
      </c>
      <c r="S241" s="39">
        <f>IF(OR(J241="",R241=""),"",(R241-J241)/R241)</f>
        <v/>
      </c>
      <c r="T241" s="22">
        <f>IF(OR(P241&lt;&gt;"",N241="YES"),"YES","NO")</f>
        <v/>
      </c>
      <c r="U241" s="22">
        <f>IF(AND(O241="YES",T241="YES",S241&lt;&gt;""),COUNTIFS($C$5:$C$424,C241,$S$5:$S$424,"&gt;"&amp;S241)+COUNTIFS($C$5:C241,C241,$S$5:S241,S241),"")</f>
        <v/>
      </c>
      <c r="V241" s="22">
        <f>IF(U241="","",C241&amp;"|"&amp;U241)</f>
        <v/>
      </c>
      <c r="W241" s="30" t="n"/>
      <c r="X241" s="30" t="inlineStr">
        <is>
          <t>Next-fastest time supplied in user workbook; swimmer name not yet supplied.</t>
        </is>
      </c>
    </row>
    <row r="242" ht="15" customHeight="1" s="17">
      <c r="A242" s="30" t="inlineStr">
        <is>
          <t>NZ|LCM|M|14|800 Free</t>
        </is>
      </c>
      <c r="B242" s="30" t="inlineStr">
        <is>
          <t>LCM</t>
        </is>
      </c>
      <c r="C242" s="30" t="inlineStr">
        <is>
          <t>Male</t>
        </is>
      </c>
      <c r="D242" s="30" t="n">
        <v>14</v>
      </c>
      <c r="E242" s="30" t="inlineStr">
        <is>
          <t>800 Free</t>
        </is>
      </c>
      <c r="F242" s="30" t="inlineStr">
        <is>
          <t>Michael Mincham</t>
        </is>
      </c>
      <c r="G242" s="22" t="inlineStr">
        <is>
          <t>Michael Mincham</t>
        </is>
      </c>
      <c r="H242" s="22" t="n"/>
      <c r="I242" s="30" t="inlineStr">
        <is>
          <t>8:23.63</t>
        </is>
      </c>
      <c r="J242" s="22">
        <f>IF(I242="","",IF(ISNUMBER(SEARCH(":",I242)),VALUE(LEFT(I242,SEARCH(":",I242)-1))*60+VALUE(MID(I242,SEARCH(":",I242)+1,99)),VALUE(I242)))</f>
        <v/>
      </c>
      <c r="K242" s="30" t="inlineStr">
        <is>
          <t>05.04.11</t>
        </is>
      </c>
      <c r="L242" s="30" t="inlineStr">
        <is>
          <t>Swimming New Zealand Long Course Records by Age - user-supplied PDF</t>
        </is>
      </c>
      <c r="M242" s="30" t="n"/>
      <c r="N242" s="30" t="inlineStr">
        <is>
          <t>NO</t>
        </is>
      </c>
      <c r="O242" s="30" t="inlineStr">
        <is>
          <t>YES</t>
        </is>
      </c>
      <c r="P242" s="30" t="n"/>
      <c r="Q242" s="30" t="inlineStr">
        <is>
          <t>8:38.31</t>
        </is>
      </c>
      <c r="R242" s="22">
        <f>IF(Q242="","",IF(ISNUMBER(SEARCH(":",Q242)),VALUE(LEFT(Q242,SEARCH(":",Q242)-1))*60+VALUE(MID(Q242,SEARCH(":",Q242)+1,99)),VALUE(Q242)))</f>
        <v/>
      </c>
      <c r="S242" s="39">
        <f>IF(OR(J242="",R242=""),"",(R242-J242)/R242)</f>
        <v/>
      </c>
      <c r="T242" s="22">
        <f>IF(OR(P242&lt;&gt;"",N242="YES"),"YES","NO")</f>
        <v/>
      </c>
      <c r="U242" s="22">
        <f>IF(AND(O242="YES",T242="YES",S242&lt;&gt;""),COUNTIFS($C$5:$C$424,C242,$S$5:$S$424,"&gt;"&amp;S242)+COUNTIFS($C$5:C242,C242,$S$5:S242,S242),"")</f>
        <v/>
      </c>
      <c r="V242" s="22">
        <f>IF(U242="","",C242&amp;"|"&amp;U242)</f>
        <v/>
      </c>
      <c r="W242" s="30" t="n"/>
      <c r="X242" s="30" t="inlineStr">
        <is>
          <t>Next-fastest time supplied in user workbook; swimmer name not yet supplied.</t>
        </is>
      </c>
    </row>
    <row r="243" ht="15" customHeight="1" s="17">
      <c r="A243" s="30" t="inlineStr">
        <is>
          <t>NZ|LCM|M|14|1500 Free</t>
        </is>
      </c>
      <c r="B243" s="30" t="inlineStr">
        <is>
          <t>LCM</t>
        </is>
      </c>
      <c r="C243" s="30" t="inlineStr">
        <is>
          <t>Male</t>
        </is>
      </c>
      <c r="D243" s="30" t="n">
        <v>14</v>
      </c>
      <c r="E243" s="30" t="inlineStr">
        <is>
          <t>1500 Free</t>
        </is>
      </c>
      <c r="F243" s="30" t="inlineStr">
        <is>
          <t>Michael Mincham</t>
        </is>
      </c>
      <c r="G243" s="22" t="inlineStr">
        <is>
          <t>Michael Mincham</t>
        </is>
      </c>
      <c r="H243" s="22" t="n"/>
      <c r="I243" s="30" t="inlineStr">
        <is>
          <t>15:50.69</t>
        </is>
      </c>
      <c r="J243" s="22">
        <f>IF(I243="","",IF(ISNUMBER(SEARCH(":",I243)),VALUE(LEFT(I243,SEARCH(":",I243)-1))*60+VALUE(MID(I243,SEARCH(":",I243)+1,99)),VALUE(I243)))</f>
        <v/>
      </c>
      <c r="K243" s="30" t="inlineStr">
        <is>
          <t>08.04.11</t>
        </is>
      </c>
      <c r="L243" s="30" t="inlineStr">
        <is>
          <t>Swimming New Zealand Long Course Records by Age - user-supplied PDF</t>
        </is>
      </c>
      <c r="M243" s="30" t="n"/>
      <c r="N243" s="30" t="inlineStr">
        <is>
          <t>NO</t>
        </is>
      </c>
      <c r="O243" s="30" t="inlineStr">
        <is>
          <t>YES</t>
        </is>
      </c>
      <c r="P243" s="30" t="inlineStr">
        <is>
          <t>Jonathan Duncan</t>
        </is>
      </c>
      <c r="Q243" s="30" t="inlineStr">
        <is>
          <t>16:20.19</t>
        </is>
      </c>
      <c r="R243" s="22">
        <f>IF(Q243="","",IF(ISNUMBER(SEARCH(":",Q243)),VALUE(LEFT(Q243,SEARCH(":",Q243)-1))*60+VALUE(MID(Q243,SEARCH(":",Q243)+1,99)),VALUE(Q243)))</f>
        <v/>
      </c>
      <c r="S243" s="39">
        <f>IF(OR(J243="",R243=""),"",(R243-J243)/R243)</f>
        <v/>
      </c>
      <c r="T243" s="22">
        <f>IF(OR(P243&lt;&gt;"",N243="YES"),"YES","NO")</f>
        <v/>
      </c>
      <c r="U243" s="22">
        <f>IF(AND(O243="YES",T243="YES",S243&lt;&gt;""),COUNTIFS($C$5:$C$424,C243,$S$5:$S$424,"&gt;"&amp;S243)+COUNTIFS($C$5:C243,C243,$S$5:S243,S243),"")</f>
        <v/>
      </c>
      <c r="V243" s="22">
        <f>IF(U243="","",C243&amp;"|"&amp;U243)</f>
        <v/>
      </c>
      <c r="W243" s="30" t="n"/>
      <c r="X243" s="30" t="inlineStr">
        <is>
          <t>Next-fastest time supplied in user workbook; swimmer name not yet supplied.</t>
        </is>
      </c>
    </row>
    <row r="244" ht="15" customHeight="1" s="17">
      <c r="A244" s="30" t="inlineStr">
        <is>
          <t>NZ|LCM|M|14|50 Back</t>
        </is>
      </c>
      <c r="B244" s="30" t="inlineStr">
        <is>
          <t>LCM</t>
        </is>
      </c>
      <c r="C244" s="30" t="inlineStr">
        <is>
          <t>Male</t>
        </is>
      </c>
      <c r="D244" s="30" t="n">
        <v>14</v>
      </c>
      <c r="E244" s="30" t="inlineStr">
        <is>
          <t>50 Back</t>
        </is>
      </c>
      <c r="F244" s="30" t="inlineStr">
        <is>
          <t>Te Rauroha Paki</t>
        </is>
      </c>
      <c r="G244" s="22" t="inlineStr">
        <is>
          <t>Te Rauroha Paki</t>
        </is>
      </c>
      <c r="H244" s="22" t="n"/>
      <c r="I244" s="30" t="inlineStr">
        <is>
          <t>27.05</t>
        </is>
      </c>
      <c r="J244" s="22">
        <f>IF(I244="","",IF(ISNUMBER(SEARCH(":",I244)),VALUE(LEFT(I244,SEARCH(":",I244)-1))*60+VALUE(MID(I244,SEARCH(":",I244)+1,99)),VALUE(I244)))</f>
        <v/>
      </c>
      <c r="K244" s="30" t="inlineStr">
        <is>
          <t>04.06.25</t>
        </is>
      </c>
      <c r="L244" s="30" t="inlineStr">
        <is>
          <t>Swimming New Zealand Long Course Records by Age - user-supplied PDF</t>
        </is>
      </c>
      <c r="M244" s="30" t="n"/>
      <c r="N244" s="30" t="inlineStr">
        <is>
          <t>NO</t>
        </is>
      </c>
      <c r="O244" s="30" t="inlineStr">
        <is>
          <t>YES</t>
        </is>
      </c>
      <c r="P244" s="30" t="n"/>
      <c r="Q244" s="30" t="inlineStr">
        <is>
          <t>27.11</t>
        </is>
      </c>
      <c r="R244" s="22">
        <f>IF(Q244="","",IF(ISNUMBER(SEARCH(":",Q244)),VALUE(LEFT(Q244,SEARCH(":",Q244)-1))*60+VALUE(MID(Q244,SEARCH(":",Q244)+1,99)),VALUE(Q244)))</f>
        <v/>
      </c>
      <c r="S244" s="39">
        <f>IF(OR(J244="",R244=""),"",(R244-J244)/R244)</f>
        <v/>
      </c>
      <c r="T244" s="22">
        <f>IF(OR(P244&lt;&gt;"",N244="YES"),"YES","NO")</f>
        <v/>
      </c>
      <c r="U244" s="22">
        <f>IF(AND(O244="YES",T244="YES",S244&lt;&gt;""),COUNTIFS($C$5:$C$424,C244,$S$5:$S$424,"&gt;"&amp;S244)+COUNTIFS($C$5:C244,C244,$S$5:S244,S244),"")</f>
        <v/>
      </c>
      <c r="V244" s="22">
        <f>IF(U244="","",C244&amp;"|"&amp;U244)</f>
        <v/>
      </c>
      <c r="W244" s="30" t="n"/>
      <c r="X244" s="30" t="inlineStr">
        <is>
          <t>Next-fastest time supplied in user workbook; swimmer name not yet supplied.</t>
        </is>
      </c>
    </row>
    <row r="245" ht="15" customHeight="1" s="17">
      <c r="A245" s="30" t="inlineStr">
        <is>
          <t>NZ|LCM|M|14|100 Back</t>
        </is>
      </c>
      <c r="B245" s="30" t="inlineStr">
        <is>
          <t>LCM</t>
        </is>
      </c>
      <c r="C245" s="30" t="inlineStr">
        <is>
          <t>Male</t>
        </is>
      </c>
      <c r="D245" s="30" t="n">
        <v>14</v>
      </c>
      <c r="E245" s="30" t="inlineStr">
        <is>
          <t>100 Back</t>
        </is>
      </c>
      <c r="F245" s="30" t="inlineStr">
        <is>
          <t>Te Rauroha Paki</t>
        </is>
      </c>
      <c r="G245" s="22" t="inlineStr">
        <is>
          <t>Te Rauroha Paki</t>
        </is>
      </c>
      <c r="H245" s="22" t="n"/>
      <c r="I245" s="30" t="inlineStr">
        <is>
          <t>57.34</t>
        </is>
      </c>
      <c r="J245" s="22">
        <f>IF(I245="","",IF(ISNUMBER(SEARCH(":",I245)),VALUE(LEFT(I245,SEARCH(":",I245)-1))*60+VALUE(MID(I245,SEARCH(":",I245)+1,99)),VALUE(I245)))</f>
        <v/>
      </c>
      <c r="K245" s="30" t="inlineStr">
        <is>
          <t>23.05.25</t>
        </is>
      </c>
      <c r="L245" s="30" t="inlineStr">
        <is>
          <t>Swimming New Zealand Long Course Records by Age - user-supplied PDF</t>
        </is>
      </c>
      <c r="M245" s="30" t="n"/>
      <c r="N245" s="30" t="inlineStr">
        <is>
          <t>NO</t>
        </is>
      </c>
      <c r="O245" s="30" t="inlineStr">
        <is>
          <t>YES</t>
        </is>
      </c>
      <c r="P245" s="30" t="inlineStr">
        <is>
          <t>Matthew Holder</t>
        </is>
      </c>
      <c r="Q245" s="30" t="inlineStr">
        <is>
          <t>59.26</t>
        </is>
      </c>
      <c r="R245" s="22">
        <f>IF(Q245="","",IF(ISNUMBER(SEARCH(":",Q245)),VALUE(LEFT(Q245,SEARCH(":",Q245)-1))*60+VALUE(MID(Q245,SEARCH(":",Q245)+1,99)),VALUE(Q245)))</f>
        <v/>
      </c>
      <c r="S245" s="39">
        <f>IF(OR(J245="",R245=""),"",(R245-J245)/R245)</f>
        <v/>
      </c>
      <c r="T245" s="22">
        <f>IF(OR(P245&lt;&gt;"",N245="YES"),"YES","NO")</f>
        <v/>
      </c>
      <c r="U245" s="22">
        <f>IF(AND(O245="YES",T245="YES",S245&lt;&gt;""),COUNTIFS($C$5:$C$424,C245,$S$5:$S$424,"&gt;"&amp;S245)+COUNTIFS($C$5:C245,C245,$S$5:S245,S245),"")</f>
        <v/>
      </c>
      <c r="V245" s="22">
        <f>IF(U245="","",C245&amp;"|"&amp;U245)</f>
        <v/>
      </c>
      <c r="W245" s="30" t="n"/>
      <c r="X245" s="30" t="inlineStr">
        <is>
          <t>Next-fastest time supplied in user workbook; swimmer name not yet supplied.</t>
        </is>
      </c>
    </row>
    <row r="246" ht="15" customHeight="1" s="17">
      <c r="A246" s="30" t="inlineStr">
        <is>
          <t>NZ|LCM|M|14|200 Back</t>
        </is>
      </c>
      <c r="B246" s="30" t="inlineStr">
        <is>
          <t>LCM</t>
        </is>
      </c>
      <c r="C246" s="30" t="inlineStr">
        <is>
          <t>Male</t>
        </is>
      </c>
      <c r="D246" s="30" t="n">
        <v>14</v>
      </c>
      <c r="E246" s="30" t="inlineStr">
        <is>
          <t>200 Back</t>
        </is>
      </c>
      <c r="F246" s="30" t="inlineStr">
        <is>
          <t>Te Rauroha Paki</t>
        </is>
      </c>
      <c r="G246" s="22" t="inlineStr">
        <is>
          <t>Te Rauroha Paki</t>
        </is>
      </c>
      <c r="H246" s="22" t="n"/>
      <c r="I246" s="30" t="inlineStr">
        <is>
          <t>2:06.70</t>
        </is>
      </c>
      <c r="J246" s="22">
        <f>IF(I246="","",IF(ISNUMBER(SEARCH(":",I246)),VALUE(LEFT(I246,SEARCH(":",I246)-1))*60+VALUE(MID(I246,SEARCH(":",I246)+1,99)),VALUE(I246)))</f>
        <v/>
      </c>
      <c r="K246" s="30" t="inlineStr">
        <is>
          <t>22.05.25</t>
        </is>
      </c>
      <c r="L246" s="30" t="inlineStr">
        <is>
          <t>Swimming New Zealand Long Course Records by Age - user-supplied PDF</t>
        </is>
      </c>
      <c r="M246" s="30" t="n"/>
      <c r="N246" s="30" t="inlineStr">
        <is>
          <t>NO</t>
        </is>
      </c>
      <c r="O246" s="30" t="inlineStr">
        <is>
          <t>YES</t>
        </is>
      </c>
      <c r="P246" s="30" t="n"/>
      <c r="Q246" s="30" t="inlineStr">
        <is>
          <t>2:07.54</t>
        </is>
      </c>
      <c r="R246" s="22">
        <f>IF(Q246="","",IF(ISNUMBER(SEARCH(":",Q246)),VALUE(LEFT(Q246,SEARCH(":",Q246)-1))*60+VALUE(MID(Q246,SEARCH(":",Q246)+1,99)),VALUE(Q246)))</f>
        <v/>
      </c>
      <c r="S246" s="39">
        <f>IF(OR(J246="",R246=""),"",(R246-J246)/R246)</f>
        <v/>
      </c>
      <c r="T246" s="22">
        <f>IF(OR(P246&lt;&gt;"",N246="YES"),"YES","NO")</f>
        <v/>
      </c>
      <c r="U246" s="22">
        <f>IF(AND(O246="YES",T246="YES",S246&lt;&gt;""),COUNTIFS($C$5:$C$424,C246,$S$5:$S$424,"&gt;"&amp;S246)+COUNTIFS($C$5:C246,C246,$S$5:S246,S246),"")</f>
        <v/>
      </c>
      <c r="V246" s="22">
        <f>IF(U246="","",C246&amp;"|"&amp;U246)</f>
        <v/>
      </c>
      <c r="W246" s="30" t="n"/>
      <c r="X246" s="30" t="inlineStr">
        <is>
          <t>Next-fastest time supplied in user workbook; swimmer name not yet supplied.</t>
        </is>
      </c>
    </row>
    <row r="247" ht="15" customHeight="1" s="17">
      <c r="A247" s="30" t="inlineStr">
        <is>
          <t>NZ|LCM|M|14|50 Breast</t>
        </is>
      </c>
      <c r="B247" s="30" t="inlineStr">
        <is>
          <t>LCM</t>
        </is>
      </c>
      <c r="C247" s="30" t="inlineStr">
        <is>
          <t>Male</t>
        </is>
      </c>
      <c r="D247" s="30" t="n">
        <v>14</v>
      </c>
      <c r="E247" s="30" t="inlineStr">
        <is>
          <t>50 Breast</t>
        </is>
      </c>
      <c r="F247" s="30" t="inlineStr">
        <is>
          <t>Michael Yang</t>
        </is>
      </c>
      <c r="G247" s="22" t="inlineStr">
        <is>
          <t>Michael Yang</t>
        </is>
      </c>
      <c r="H247" s="22" t="n"/>
      <c r="I247" s="30" t="inlineStr">
        <is>
          <t>29.73</t>
        </is>
      </c>
      <c r="J247" s="22">
        <f>IF(I247="","",IF(ISNUMBER(SEARCH(":",I247)),VALUE(LEFT(I247,SEARCH(":",I247)-1))*60+VALUE(MID(I247,SEARCH(":",I247)+1,99)),VALUE(I247)))</f>
        <v/>
      </c>
      <c r="K247" s="30" t="inlineStr">
        <is>
          <t>09.04.26</t>
        </is>
      </c>
      <c r="L247" s="30" t="inlineStr">
        <is>
          <t>Swimming New Zealand Long Course Records by Age - user-supplied PDF</t>
        </is>
      </c>
      <c r="M247" s="30" t="n"/>
      <c r="N247" s="30" t="inlineStr">
        <is>
          <t>NO</t>
        </is>
      </c>
      <c r="O247" s="30" t="inlineStr">
        <is>
          <t>YES</t>
        </is>
      </c>
      <c r="P247" s="30" t="n"/>
      <c r="Q247" s="30" t="inlineStr">
        <is>
          <t>30.38</t>
        </is>
      </c>
      <c r="R247" s="22">
        <f>IF(Q247="","",IF(ISNUMBER(SEARCH(":",Q247)),VALUE(LEFT(Q247,SEARCH(":",Q247)-1))*60+VALUE(MID(Q247,SEARCH(":",Q247)+1,99)),VALUE(Q247)))</f>
        <v/>
      </c>
      <c r="S247" s="39">
        <f>IF(OR(J247="",R247=""),"",(R247-J247)/R247)</f>
        <v/>
      </c>
      <c r="T247" s="22">
        <f>IF(OR(P247&lt;&gt;"",N247="YES"),"YES","NO")</f>
        <v/>
      </c>
      <c r="U247" s="22">
        <f>IF(AND(O247="YES",T247="YES",S247&lt;&gt;""),COUNTIFS($C$5:$C$424,C247,$S$5:$S$424,"&gt;"&amp;S247)+COUNTIFS($C$5:C247,C247,$S$5:S247,S247),"")</f>
        <v/>
      </c>
      <c r="V247" s="22">
        <f>IF(U247="","",C247&amp;"|"&amp;U247)</f>
        <v/>
      </c>
      <c r="W247" s="30" t="n"/>
      <c r="X247" s="30" t="inlineStr">
        <is>
          <t>Next-fastest time supplied in user workbook; swimmer name not yet supplied.</t>
        </is>
      </c>
    </row>
    <row r="248" ht="15" customHeight="1" s="17">
      <c r="A248" s="30" t="inlineStr">
        <is>
          <t>NZ|LCM|M|14|100 Breast</t>
        </is>
      </c>
      <c r="B248" s="30" t="inlineStr">
        <is>
          <t>LCM</t>
        </is>
      </c>
      <c r="C248" s="30" t="inlineStr">
        <is>
          <t>Male</t>
        </is>
      </c>
      <c r="D248" s="30" t="n">
        <v>14</v>
      </c>
      <c r="E248" s="30" t="inlineStr">
        <is>
          <t>100 Breast</t>
        </is>
      </c>
      <c r="F248" s="30" t="inlineStr">
        <is>
          <t>Michael Yang</t>
        </is>
      </c>
      <c r="G248" s="22" t="inlineStr">
        <is>
          <t>Michael Yang</t>
        </is>
      </c>
      <c r="H248" s="22" t="n"/>
      <c r="I248" s="30" t="inlineStr">
        <is>
          <t>1:06.02</t>
        </is>
      </c>
      <c r="J248" s="22">
        <f>IF(I248="","",IF(ISNUMBER(SEARCH(":",I248)),VALUE(LEFT(I248,SEARCH(":",I248)-1))*60+VALUE(MID(I248,SEARCH(":",I248)+1,99)),VALUE(I248)))</f>
        <v/>
      </c>
      <c r="K248" s="30" t="inlineStr">
        <is>
          <t>13.03.26</t>
        </is>
      </c>
      <c r="L248" s="30" t="inlineStr">
        <is>
          <t>Swimming New Zealand Long Course Records by Age - user-supplied PDF</t>
        </is>
      </c>
      <c r="M248" s="30" t="n"/>
      <c r="N248" s="30" t="inlineStr">
        <is>
          <t>NO</t>
        </is>
      </c>
      <c r="O248" s="30" t="inlineStr">
        <is>
          <t>YES</t>
        </is>
      </c>
      <c r="P248" s="30" t="n"/>
      <c r="Q248" s="30" t="inlineStr">
        <is>
          <t>1:06.16</t>
        </is>
      </c>
      <c r="R248" s="22">
        <f>IF(Q248="","",IF(ISNUMBER(SEARCH(":",Q248)),VALUE(LEFT(Q248,SEARCH(":",Q248)-1))*60+VALUE(MID(Q248,SEARCH(":",Q248)+1,99)),VALUE(Q248)))</f>
        <v/>
      </c>
      <c r="S248" s="39">
        <f>IF(OR(J248="",R248=""),"",(R248-J248)/R248)</f>
        <v/>
      </c>
      <c r="T248" s="22">
        <f>IF(OR(P248&lt;&gt;"",N248="YES"),"YES","NO")</f>
        <v/>
      </c>
      <c r="U248" s="22">
        <f>IF(AND(O248="YES",T248="YES",S248&lt;&gt;""),COUNTIFS($C$5:$C$424,C248,$S$5:$S$424,"&gt;"&amp;S248)+COUNTIFS($C$5:C248,C248,$S$5:S248,S248),"")</f>
        <v/>
      </c>
      <c r="V248" s="22">
        <f>IF(U248="","",C248&amp;"|"&amp;U248)</f>
        <v/>
      </c>
      <c r="W248" s="30" t="n"/>
      <c r="X248" s="30" t="inlineStr">
        <is>
          <t>Next-fastest time supplied in user workbook; swimmer name not yet supplied.</t>
        </is>
      </c>
    </row>
    <row r="249" ht="15" customHeight="1" s="17">
      <c r="A249" s="30" t="inlineStr">
        <is>
          <t>NZ|LCM|M|14|200 Breast</t>
        </is>
      </c>
      <c r="B249" s="30" t="inlineStr">
        <is>
          <t>LCM</t>
        </is>
      </c>
      <c r="C249" s="30" t="inlineStr">
        <is>
          <t>Male</t>
        </is>
      </c>
      <c r="D249" s="30" t="n">
        <v>14</v>
      </c>
      <c r="E249" s="30" t="inlineStr">
        <is>
          <t>200 Breast</t>
        </is>
      </c>
      <c r="F249" s="30" t="inlineStr">
        <is>
          <t>Joshua Gilbert</t>
        </is>
      </c>
      <c r="G249" s="22" t="inlineStr">
        <is>
          <t>Joshua Gilbert</t>
        </is>
      </c>
      <c r="H249" s="22" t="n"/>
      <c r="I249" s="30" t="inlineStr">
        <is>
          <t>2:23.64</t>
        </is>
      </c>
      <c r="J249" s="22">
        <f>IF(I249="","",IF(ISNUMBER(SEARCH(":",I249)),VALUE(LEFT(I249,SEARCH(":",I249)-1))*60+VALUE(MID(I249,SEARCH(":",I249)+1,99)),VALUE(I249)))</f>
        <v/>
      </c>
      <c r="K249" s="30" t="inlineStr">
        <is>
          <t>20.04.16</t>
        </is>
      </c>
      <c r="L249" s="30" t="inlineStr">
        <is>
          <t>Swimming New Zealand Long Course Records by Age - user-supplied PDF</t>
        </is>
      </c>
      <c r="M249" s="30" t="n"/>
      <c r="N249" s="30" t="inlineStr">
        <is>
          <t>NO</t>
        </is>
      </c>
      <c r="O249" s="30" t="inlineStr">
        <is>
          <t>YES</t>
        </is>
      </c>
      <c r="P249" s="30" t="n"/>
      <c r="Q249" s="30" t="inlineStr">
        <is>
          <t>2:25.11</t>
        </is>
      </c>
      <c r="R249" s="22">
        <f>IF(Q249="","",IF(ISNUMBER(SEARCH(":",Q249)),VALUE(LEFT(Q249,SEARCH(":",Q249)-1))*60+VALUE(MID(Q249,SEARCH(":",Q249)+1,99)),VALUE(Q249)))</f>
        <v/>
      </c>
      <c r="S249" s="39">
        <f>IF(OR(J249="",R249=""),"",(R249-J249)/R249)</f>
        <v/>
      </c>
      <c r="T249" s="22">
        <f>IF(OR(P249&lt;&gt;"",N249="YES"),"YES","NO")</f>
        <v/>
      </c>
      <c r="U249" s="22">
        <f>IF(AND(O249="YES",T249="YES",S249&lt;&gt;""),COUNTIFS($C$5:$C$424,C249,$S$5:$S$424,"&gt;"&amp;S249)+COUNTIFS($C$5:C249,C249,$S$5:S249,S249),"")</f>
        <v/>
      </c>
      <c r="V249" s="22">
        <f>IF(U249="","",C249&amp;"|"&amp;U249)</f>
        <v/>
      </c>
      <c r="W249" s="30" t="n"/>
      <c r="X249" s="30" t="inlineStr">
        <is>
          <t>Next-fastest time supplied in user workbook; swimmer name not yet supplied.</t>
        </is>
      </c>
    </row>
    <row r="250" ht="15" customHeight="1" s="17">
      <c r="A250" s="30" t="inlineStr">
        <is>
          <t>NZ|LCM|M|14|50 Fly</t>
        </is>
      </c>
      <c r="B250" s="30" t="inlineStr">
        <is>
          <t>LCM</t>
        </is>
      </c>
      <c r="C250" s="30" t="inlineStr">
        <is>
          <t>Male</t>
        </is>
      </c>
      <c r="D250" s="30" t="n">
        <v>14</v>
      </c>
      <c r="E250" s="30" t="inlineStr">
        <is>
          <t>50 Fly</t>
        </is>
      </c>
      <c r="F250" s="30" t="inlineStr">
        <is>
          <t>Grayson Coulter</t>
        </is>
      </c>
      <c r="G250" s="22" t="inlineStr">
        <is>
          <t>Grayson Coulter</t>
        </is>
      </c>
      <c r="H250" s="22" t="n"/>
      <c r="I250" s="30" t="inlineStr">
        <is>
          <t>25.71</t>
        </is>
      </c>
      <c r="J250" s="22">
        <f>IF(I250="","",IF(ISNUMBER(SEARCH(":",I250)),VALUE(LEFT(I250,SEARCH(":",I250)-1))*60+VALUE(MID(I250,SEARCH(":",I250)+1,99)),VALUE(I250)))</f>
        <v/>
      </c>
      <c r="K250" s="30" t="inlineStr">
        <is>
          <t>10.04.26 / 17.05.26</t>
        </is>
      </c>
      <c r="L250" s="30" t="inlineStr">
        <is>
          <t>Swimming New Zealand Long Course Records by Age - user-supplied PDF</t>
        </is>
      </c>
      <c r="M250" s="30" t="n"/>
      <c r="N250" s="30" t="inlineStr">
        <is>
          <t>NO</t>
        </is>
      </c>
      <c r="O250" s="30" t="inlineStr">
        <is>
          <t>YES</t>
        </is>
      </c>
      <c r="P250" s="30" t="n"/>
      <c r="Q250" s="30" t="inlineStr">
        <is>
          <t>26.06</t>
        </is>
      </c>
      <c r="R250" s="22">
        <f>IF(Q250="","",IF(ISNUMBER(SEARCH(":",Q250)),VALUE(LEFT(Q250,SEARCH(":",Q250)-1))*60+VALUE(MID(Q250,SEARCH(":",Q250)+1,99)),VALUE(Q250)))</f>
        <v/>
      </c>
      <c r="S250" s="39">
        <f>IF(OR(J250="",R250=""),"",(R250-J250)/R250)</f>
        <v/>
      </c>
      <c r="T250" s="22">
        <f>IF(OR(P250&lt;&gt;"",N250="YES"),"YES","NO")</f>
        <v/>
      </c>
      <c r="U250" s="22">
        <f>IF(AND(O250="YES",T250="YES",S250&lt;&gt;""),COUNTIFS($C$5:$C$424,C250,$S$5:$S$424,"&gt;"&amp;S250)+COUNTIFS($C$5:C250,C250,$S$5:S250,S250),"")</f>
        <v/>
      </c>
      <c r="V250" s="22">
        <f>IF(U250="","",C250&amp;"|"&amp;U250)</f>
        <v/>
      </c>
      <c r="W250" s="30" t="n"/>
      <c r="X250" s="30" t="inlineStr">
        <is>
          <t>Next-fastest time supplied in user workbook; swimmer name not yet supplied.</t>
        </is>
      </c>
    </row>
    <row r="251" ht="15" customHeight="1" s="17">
      <c r="A251" s="30" t="inlineStr">
        <is>
          <t>NZ|LCM|M|14|100 Fly</t>
        </is>
      </c>
      <c r="B251" s="30" t="inlineStr">
        <is>
          <t>LCM</t>
        </is>
      </c>
      <c r="C251" s="30" t="inlineStr">
        <is>
          <t>Male</t>
        </is>
      </c>
      <c r="D251" s="30" t="n">
        <v>14</v>
      </c>
      <c r="E251" s="30" t="inlineStr">
        <is>
          <t>100 Fly</t>
        </is>
      </c>
      <c r="F251" s="30" t="inlineStr">
        <is>
          <t>Grayson Coulter</t>
        </is>
      </c>
      <c r="G251" s="22" t="inlineStr">
        <is>
          <t>Grayson Coulter</t>
        </is>
      </c>
      <c r="H251" s="22" t="n"/>
      <c r="I251" s="30" t="inlineStr">
        <is>
          <t>56.09</t>
        </is>
      </c>
      <c r="J251" s="22">
        <f>IF(I251="","",IF(ISNUMBER(SEARCH(":",I251)),VALUE(LEFT(I251,SEARCH(":",I251)-1))*60+VALUE(MID(I251,SEARCH(":",I251)+1,99)),VALUE(I251)))</f>
        <v/>
      </c>
      <c r="K251" s="30" t="inlineStr">
        <is>
          <t>08.04.26</t>
        </is>
      </c>
      <c r="L251" s="30" t="inlineStr">
        <is>
          <t>Swimming New Zealand Long Course Records by Age - user-supplied PDF</t>
        </is>
      </c>
      <c r="M251" s="30" t="n"/>
      <c r="N251" s="30" t="inlineStr">
        <is>
          <t>NO</t>
        </is>
      </c>
      <c r="O251" s="30" t="inlineStr">
        <is>
          <t>YES</t>
        </is>
      </c>
      <c r="P251" s="30" t="n"/>
      <c r="Q251" s="30" t="inlineStr">
        <is>
          <t>57.50</t>
        </is>
      </c>
      <c r="R251" s="22">
        <f>IF(Q251="","",IF(ISNUMBER(SEARCH(":",Q251)),VALUE(LEFT(Q251,SEARCH(":",Q251)-1))*60+VALUE(MID(Q251,SEARCH(":",Q251)+1,99)),VALUE(Q251)))</f>
        <v/>
      </c>
      <c r="S251" s="39">
        <f>IF(OR(J251="",R251=""),"",(R251-J251)/R251)</f>
        <v/>
      </c>
      <c r="T251" s="22">
        <f>IF(OR(P251&lt;&gt;"",N251="YES"),"YES","NO")</f>
        <v/>
      </c>
      <c r="U251" s="22">
        <f>IF(AND(O251="YES",T251="YES",S251&lt;&gt;""),COUNTIFS($C$5:$C$424,C251,$S$5:$S$424,"&gt;"&amp;S251)+COUNTIFS($C$5:C251,C251,$S$5:S251,S251),"")</f>
        <v/>
      </c>
      <c r="V251" s="22">
        <f>IF(U251="","",C251&amp;"|"&amp;U251)</f>
        <v/>
      </c>
      <c r="W251" s="30" t="n"/>
      <c r="X251" s="30" t="inlineStr">
        <is>
          <t>Next-fastest time supplied in user workbook; swimmer name not yet supplied.</t>
        </is>
      </c>
    </row>
    <row r="252" ht="15" customHeight="1" s="17">
      <c r="A252" s="30" t="inlineStr">
        <is>
          <t>NZ|LCM|M|14|200 Fly</t>
        </is>
      </c>
      <c r="B252" s="30" t="inlineStr">
        <is>
          <t>LCM</t>
        </is>
      </c>
      <c r="C252" s="30" t="inlineStr">
        <is>
          <t>Male</t>
        </is>
      </c>
      <c r="D252" s="30" t="n">
        <v>14</v>
      </c>
      <c r="E252" s="30" t="inlineStr">
        <is>
          <t>200 Fly</t>
        </is>
      </c>
      <c r="F252" s="30" t="inlineStr">
        <is>
          <t>Cameron Burrows</t>
        </is>
      </c>
      <c r="G252" s="22" t="inlineStr">
        <is>
          <t>Cameron Burrows</t>
        </is>
      </c>
      <c r="H252" s="22" t="n"/>
      <c r="I252" s="30" t="inlineStr">
        <is>
          <t>2:07.99</t>
        </is>
      </c>
      <c r="J252" s="22">
        <f>IF(I252="","",IF(ISNUMBER(SEARCH(":",I252)),VALUE(LEFT(I252,SEARCH(":",I252)-1))*60+VALUE(MID(I252,SEARCH(":",I252)+1,99)),VALUE(I252)))</f>
        <v/>
      </c>
      <c r="K252" s="30" t="inlineStr">
        <is>
          <t>20.04.06</t>
        </is>
      </c>
      <c r="L252" s="30" t="inlineStr">
        <is>
          <t>Swimming New Zealand Long Course Records by Age - user-supplied PDF</t>
        </is>
      </c>
      <c r="M252" s="30" t="n"/>
      <c r="N252" s="30" t="inlineStr">
        <is>
          <t>NO</t>
        </is>
      </c>
      <c r="O252" s="30" t="inlineStr">
        <is>
          <t>YES</t>
        </is>
      </c>
      <c r="P252" s="30" t="n"/>
      <c r="Q252" s="30" t="inlineStr">
        <is>
          <t>2:08.51</t>
        </is>
      </c>
      <c r="R252" s="22">
        <f>IF(Q252="","",IF(ISNUMBER(SEARCH(":",Q252)),VALUE(LEFT(Q252,SEARCH(":",Q252)-1))*60+VALUE(MID(Q252,SEARCH(":",Q252)+1,99)),VALUE(Q252)))</f>
        <v/>
      </c>
      <c r="S252" s="39">
        <f>IF(OR(J252="",R252=""),"",(R252-J252)/R252)</f>
        <v/>
      </c>
      <c r="T252" s="22">
        <f>IF(OR(P252&lt;&gt;"",N252="YES"),"YES","NO")</f>
        <v/>
      </c>
      <c r="U252" s="22">
        <f>IF(AND(O252="YES",T252="YES",S252&lt;&gt;""),COUNTIFS($C$5:$C$424,C252,$S$5:$S$424,"&gt;"&amp;S252)+COUNTIFS($C$5:C252,C252,$S$5:S252,S252),"")</f>
        <v/>
      </c>
      <c r="V252" s="22">
        <f>IF(U252="","",C252&amp;"|"&amp;U252)</f>
        <v/>
      </c>
      <c r="W252" s="30" t="n"/>
      <c r="X252" s="30" t="inlineStr">
        <is>
          <t>Next-fastest time supplied in user workbook; swimmer name not yet supplied.</t>
        </is>
      </c>
    </row>
    <row r="253" ht="15" customHeight="1" s="17">
      <c r="A253" s="30" t="inlineStr">
        <is>
          <t>NZ|LCM|M|14|200 IM</t>
        </is>
      </c>
      <c r="B253" s="30" t="inlineStr">
        <is>
          <t>LCM</t>
        </is>
      </c>
      <c r="C253" s="30" t="inlineStr">
        <is>
          <t>Male</t>
        </is>
      </c>
      <c r="D253" s="30" t="n">
        <v>14</v>
      </c>
      <c r="E253" s="30" t="inlineStr">
        <is>
          <t>200 IM</t>
        </is>
      </c>
      <c r="F253" s="30" t="inlineStr">
        <is>
          <t>Joshua Taylor-Martin</t>
        </is>
      </c>
      <c r="G253" s="22" t="inlineStr">
        <is>
          <t>Joshua Taylor-Martin</t>
        </is>
      </c>
      <c r="H253" s="22" t="n"/>
      <c r="I253" s="30" t="inlineStr">
        <is>
          <t>2:10.56</t>
        </is>
      </c>
      <c r="J253" s="22">
        <f>IF(I253="","",IF(ISNUMBER(SEARCH(":",I253)),VALUE(LEFT(I253,SEARCH(":",I253)-1))*60+VALUE(MID(I253,SEARCH(":",I253)+1,99)),VALUE(I253)))</f>
        <v/>
      </c>
      <c r="K253" s="30" t="inlineStr">
        <is>
          <t>14.12.13</t>
        </is>
      </c>
      <c r="L253" s="30" t="inlineStr">
        <is>
          <t>Swimming New Zealand Long Course Records by Age - user-supplied PDF</t>
        </is>
      </c>
      <c r="M253" s="30" t="n"/>
      <c r="N253" s="30" t="inlineStr">
        <is>
          <t>NO</t>
        </is>
      </c>
      <c r="O253" s="30" t="inlineStr">
        <is>
          <t>YES</t>
        </is>
      </c>
      <c r="P253" s="30" t="n"/>
      <c r="Q253" s="30" t="inlineStr">
        <is>
          <t>2:10.97</t>
        </is>
      </c>
      <c r="R253" s="22">
        <f>IF(Q253="","",IF(ISNUMBER(SEARCH(":",Q253)),VALUE(LEFT(Q253,SEARCH(":",Q253)-1))*60+VALUE(MID(Q253,SEARCH(":",Q253)+1,99)),VALUE(Q253)))</f>
        <v/>
      </c>
      <c r="S253" s="39">
        <f>IF(OR(J253="",R253=""),"",(R253-J253)/R253)</f>
        <v/>
      </c>
      <c r="T253" s="22">
        <f>IF(OR(P253&lt;&gt;"",N253="YES"),"YES","NO")</f>
        <v/>
      </c>
      <c r="U253" s="22">
        <f>IF(AND(O253="YES",T253="YES",S253&lt;&gt;""),COUNTIFS($C$5:$C$424,C253,$S$5:$S$424,"&gt;"&amp;S253)+COUNTIFS($C$5:C253,C253,$S$5:S253,S253),"")</f>
        <v/>
      </c>
      <c r="V253" s="22">
        <f>IF(U253="","",C253&amp;"|"&amp;U253)</f>
        <v/>
      </c>
      <c r="W253" s="30" t="n"/>
      <c r="X253" s="30" t="inlineStr">
        <is>
          <t>Next-fastest time supplied in user workbook; swimmer name not yet supplied.</t>
        </is>
      </c>
    </row>
    <row r="254" ht="15" customHeight="1" s="17">
      <c r="A254" s="30" t="inlineStr">
        <is>
          <t>NZ|LCM|M|14|400 IM</t>
        </is>
      </c>
      <c r="B254" s="30" t="inlineStr">
        <is>
          <t>LCM</t>
        </is>
      </c>
      <c r="C254" s="30" t="inlineStr">
        <is>
          <t>Male</t>
        </is>
      </c>
      <c r="D254" s="30" t="n">
        <v>14</v>
      </c>
      <c r="E254" s="30" t="inlineStr">
        <is>
          <t>400 IM</t>
        </is>
      </c>
      <c r="F254" s="30" t="inlineStr">
        <is>
          <t>Mitchell Donaldson</t>
        </is>
      </c>
      <c r="G254" s="22" t="inlineStr">
        <is>
          <t>Mitchell Donaldson</t>
        </is>
      </c>
      <c r="H254" s="22" t="n"/>
      <c r="I254" s="30" t="inlineStr">
        <is>
          <t>4:38.15</t>
        </is>
      </c>
      <c r="J254" s="22">
        <f>IF(I254="","",IF(ISNUMBER(SEARCH(":",I254)),VALUE(LEFT(I254,SEARCH(":",I254)-1))*60+VALUE(MID(I254,SEARCH(":",I254)+1,99)),VALUE(I254)))</f>
        <v/>
      </c>
      <c r="K254" s="30" t="inlineStr">
        <is>
          <t>07.12.07</t>
        </is>
      </c>
      <c r="L254" s="30" t="inlineStr">
        <is>
          <t>Swimming New Zealand Long Course Records by Age - user-supplied PDF</t>
        </is>
      </c>
      <c r="M254" s="30" t="n"/>
      <c r="N254" s="30" t="inlineStr">
        <is>
          <t>NO</t>
        </is>
      </c>
      <c r="O254" s="30" t="inlineStr">
        <is>
          <t>YES</t>
        </is>
      </c>
      <c r="P254" s="30" t="n"/>
      <c r="Q254" s="30" t="inlineStr">
        <is>
          <t>4:39.99</t>
        </is>
      </c>
      <c r="R254" s="22">
        <f>IF(Q254="","",IF(ISNUMBER(SEARCH(":",Q254)),VALUE(LEFT(Q254,SEARCH(":",Q254)-1))*60+VALUE(MID(Q254,SEARCH(":",Q254)+1,99)),VALUE(Q254)))</f>
        <v/>
      </c>
      <c r="S254" s="39">
        <f>IF(OR(J254="",R254=""),"",(R254-J254)/R254)</f>
        <v/>
      </c>
      <c r="T254" s="22">
        <f>IF(OR(P254&lt;&gt;"",N254="YES"),"YES","NO")</f>
        <v/>
      </c>
      <c r="U254" s="22">
        <f>IF(AND(O254="YES",T254="YES",S254&lt;&gt;""),COUNTIFS($C$5:$C$424,C254,$S$5:$S$424,"&gt;"&amp;S254)+COUNTIFS($C$5:C254,C254,$S$5:S254,S254),"")</f>
        <v/>
      </c>
      <c r="V254" s="22">
        <f>IF(U254="","",C254&amp;"|"&amp;U254)</f>
        <v/>
      </c>
      <c r="W254" s="30" t="n"/>
      <c r="X254" s="30" t="inlineStr">
        <is>
          <t>Next-fastest time supplied in user workbook; swimmer name not yet supplied.</t>
        </is>
      </c>
    </row>
    <row r="255" ht="15" customHeight="1" s="17">
      <c r="A255" s="30" t="inlineStr">
        <is>
          <t>NZ|LCM|M|15|50 Free</t>
        </is>
      </c>
      <c r="B255" s="30" t="inlineStr">
        <is>
          <t>LCM</t>
        </is>
      </c>
      <c r="C255" s="30" t="inlineStr">
        <is>
          <t>Male</t>
        </is>
      </c>
      <c r="D255" s="30" t="n">
        <v>15</v>
      </c>
      <c r="E255" s="30" t="inlineStr">
        <is>
          <t>50 Free</t>
        </is>
      </c>
      <c r="F255" s="30" t="inlineStr">
        <is>
          <t>Michael Pickett</t>
        </is>
      </c>
      <c r="G255" s="22" t="inlineStr">
        <is>
          <t>Michael Pickett</t>
        </is>
      </c>
      <c r="H255" s="22" t="n"/>
      <c r="I255" s="30" t="inlineStr">
        <is>
          <t>23.08</t>
        </is>
      </c>
      <c r="J255" s="22">
        <f>IF(I255="","",IF(ISNUMBER(SEARCH(":",I255)),VALUE(LEFT(I255,SEARCH(":",I255)-1))*60+VALUE(MID(I255,SEARCH(":",I255)+1,99)),VALUE(I255)))</f>
        <v/>
      </c>
      <c r="K255" s="30" t="inlineStr">
        <is>
          <t>04.07.18</t>
        </is>
      </c>
      <c r="L255" s="30" t="inlineStr">
        <is>
          <t>Swimming New Zealand Long Course Records by Age - user-supplied PDF</t>
        </is>
      </c>
      <c r="M255" s="30" t="n"/>
      <c r="N255" s="30" t="inlineStr">
        <is>
          <t>NO</t>
        </is>
      </c>
      <c r="O255" s="30" t="inlineStr">
        <is>
          <t>YES</t>
        </is>
      </c>
      <c r="P255" s="30" t="n"/>
      <c r="Q255" s="30" t="inlineStr">
        <is>
          <t>23.60</t>
        </is>
      </c>
      <c r="R255" s="22">
        <f>IF(Q255="","",IF(ISNUMBER(SEARCH(":",Q255)),VALUE(LEFT(Q255,SEARCH(":",Q255)-1))*60+VALUE(MID(Q255,SEARCH(":",Q255)+1,99)),VALUE(Q255)))</f>
        <v/>
      </c>
      <c r="S255" s="39">
        <f>IF(OR(J255="",R255=""),"",(R255-J255)/R255)</f>
        <v/>
      </c>
      <c r="T255" s="22">
        <f>IF(OR(P255&lt;&gt;"",N255="YES"),"YES","NO")</f>
        <v/>
      </c>
      <c r="U255" s="22">
        <f>IF(AND(O255="YES",T255="YES",S255&lt;&gt;""),COUNTIFS($C$5:$C$424,C255,$S$5:$S$424,"&gt;"&amp;S255)+COUNTIFS($C$5:C255,C255,$S$5:S255,S255),"")</f>
        <v/>
      </c>
      <c r="V255" s="22">
        <f>IF(U255="","",C255&amp;"|"&amp;U255)</f>
        <v/>
      </c>
      <c r="W255" s="30" t="n"/>
      <c r="X255" s="30" t="inlineStr">
        <is>
          <t>Next-fastest time supplied in user workbook; swimmer name not yet supplied.</t>
        </is>
      </c>
    </row>
    <row r="256" ht="15" customHeight="1" s="17">
      <c r="A256" s="30" t="inlineStr">
        <is>
          <t>NZ|LCM|M|15|100 Free</t>
        </is>
      </c>
      <c r="B256" s="30" t="inlineStr">
        <is>
          <t>LCM</t>
        </is>
      </c>
      <c r="C256" s="30" t="inlineStr">
        <is>
          <t>Male</t>
        </is>
      </c>
      <c r="D256" s="30" t="n">
        <v>15</v>
      </c>
      <c r="E256" s="30" t="inlineStr">
        <is>
          <t>100 Free</t>
        </is>
      </c>
      <c r="F256" s="30" t="inlineStr">
        <is>
          <t>Michael Pickett</t>
        </is>
      </c>
      <c r="G256" s="22" t="inlineStr">
        <is>
          <t>Michael Pickett</t>
        </is>
      </c>
      <c r="H256" s="22" t="n"/>
      <c r="I256" s="30" t="inlineStr">
        <is>
          <t>50.61</t>
        </is>
      </c>
      <c r="J256" s="22">
        <f>IF(I256="","",IF(ISNUMBER(SEARCH(":",I256)),VALUE(LEFT(I256,SEARCH(":",I256)-1))*60+VALUE(MID(I256,SEARCH(":",I256)+1,99)),VALUE(I256)))</f>
        <v/>
      </c>
      <c r="K256" s="30" t="inlineStr">
        <is>
          <t>06.07.18</t>
        </is>
      </c>
      <c r="L256" s="30" t="inlineStr">
        <is>
          <t>Swimming New Zealand Long Course Records by Age - user-supplied PDF</t>
        </is>
      </c>
      <c r="M256" s="30" t="n"/>
      <c r="N256" s="30" t="inlineStr">
        <is>
          <t>NO</t>
        </is>
      </c>
      <c r="O256" s="30" t="inlineStr">
        <is>
          <t>YES</t>
        </is>
      </c>
      <c r="P256" s="30" t="n"/>
      <c r="Q256" s="30" t="inlineStr">
        <is>
          <t>51.93</t>
        </is>
      </c>
      <c r="R256" s="22">
        <f>IF(Q256="","",IF(ISNUMBER(SEARCH(":",Q256)),VALUE(LEFT(Q256,SEARCH(":",Q256)-1))*60+VALUE(MID(Q256,SEARCH(":",Q256)+1,99)),VALUE(Q256)))</f>
        <v/>
      </c>
      <c r="S256" s="39">
        <f>IF(OR(J256="",R256=""),"",(R256-J256)/R256)</f>
        <v/>
      </c>
      <c r="T256" s="22">
        <f>IF(OR(P256&lt;&gt;"",N256="YES"),"YES","NO")</f>
        <v/>
      </c>
      <c r="U256" s="22">
        <f>IF(AND(O256="YES",T256="YES",S256&lt;&gt;""),COUNTIFS($C$5:$C$424,C256,$S$5:$S$424,"&gt;"&amp;S256)+COUNTIFS($C$5:C256,C256,$S$5:S256,S256),"")</f>
        <v/>
      </c>
      <c r="V256" s="22">
        <f>IF(U256="","",C256&amp;"|"&amp;U256)</f>
        <v/>
      </c>
      <c r="W256" s="30" t="n"/>
      <c r="X256" s="30" t="inlineStr">
        <is>
          <t>Next-fastest time supplied in user workbook; swimmer name not yet supplied.</t>
        </is>
      </c>
    </row>
    <row r="257" ht="15" customHeight="1" s="17">
      <c r="A257" s="30" t="inlineStr">
        <is>
          <t>NZ|LCM|M|15|200 Free</t>
        </is>
      </c>
      <c r="B257" s="30" t="inlineStr">
        <is>
          <t>LCM</t>
        </is>
      </c>
      <c r="C257" s="30" t="inlineStr">
        <is>
          <t>Male</t>
        </is>
      </c>
      <c r="D257" s="30" t="n">
        <v>15</v>
      </c>
      <c r="E257" s="30" t="inlineStr">
        <is>
          <t>200 Free</t>
        </is>
      </c>
      <c r="F257" s="30" t="inlineStr">
        <is>
          <t>Danyon Loader</t>
        </is>
      </c>
      <c r="G257" s="22" t="inlineStr">
        <is>
          <t>Danyon Loader</t>
        </is>
      </c>
      <c r="H257" s="22" t="n"/>
      <c r="I257" s="30" t="inlineStr">
        <is>
          <t>1:53.64</t>
        </is>
      </c>
      <c r="J257" s="22">
        <f>IF(I257="","",IF(ISNUMBER(SEARCH(":",I257)),VALUE(LEFT(I257,SEARCH(":",I257)-1))*60+VALUE(MID(I257,SEARCH(":",I257)+1,99)),VALUE(I257)))</f>
        <v/>
      </c>
      <c r="K257" s="30" t="inlineStr">
        <is>
          <t>15.03.91</t>
        </is>
      </c>
      <c r="L257" s="30" t="inlineStr">
        <is>
          <t>Swimming New Zealand Long Course Records by Age - user-supplied PDF</t>
        </is>
      </c>
      <c r="M257" s="30" t="n"/>
      <c r="N257" s="30" t="inlineStr">
        <is>
          <t>NO</t>
        </is>
      </c>
      <c r="O257" s="30" t="inlineStr">
        <is>
          <t>YES</t>
        </is>
      </c>
      <c r="P257" s="30" t="n"/>
      <c r="Q257" s="30" t="inlineStr">
        <is>
          <t>1:53.90</t>
        </is>
      </c>
      <c r="R257" s="22">
        <f>IF(Q257="","",IF(ISNUMBER(SEARCH(":",Q257)),VALUE(LEFT(Q257,SEARCH(":",Q257)-1))*60+VALUE(MID(Q257,SEARCH(":",Q257)+1,99)),VALUE(Q257)))</f>
        <v/>
      </c>
      <c r="S257" s="39">
        <f>IF(OR(J257="",R257=""),"",(R257-J257)/R257)</f>
        <v/>
      </c>
      <c r="T257" s="22">
        <f>IF(OR(P257&lt;&gt;"",N257="YES"),"YES","NO")</f>
        <v/>
      </c>
      <c r="U257" s="22">
        <f>IF(AND(O257="YES",T257="YES",S257&lt;&gt;""),COUNTIFS($C$5:$C$424,C257,$S$5:$S$424,"&gt;"&amp;S257)+COUNTIFS($C$5:C257,C257,$S$5:S257,S257),"")</f>
        <v/>
      </c>
      <c r="V257" s="22">
        <f>IF(U257="","",C257&amp;"|"&amp;U257)</f>
        <v/>
      </c>
      <c r="W257" s="30" t="n"/>
      <c r="X257" s="30" t="inlineStr">
        <is>
          <t>Next-fastest time supplied in user workbook; swimmer name not yet supplied.</t>
        </is>
      </c>
    </row>
    <row r="258" ht="15" customHeight="1" s="17">
      <c r="A258" s="30" t="inlineStr">
        <is>
          <t>NZ|LCM|M|15|400 Free</t>
        </is>
      </c>
      <c r="B258" s="30" t="inlineStr">
        <is>
          <t>LCM</t>
        </is>
      </c>
      <c r="C258" s="30" t="inlineStr">
        <is>
          <t>Male</t>
        </is>
      </c>
      <c r="D258" s="30" t="n">
        <v>15</v>
      </c>
      <c r="E258" s="30" t="inlineStr">
        <is>
          <t>400 Free</t>
        </is>
      </c>
      <c r="F258" s="30" t="inlineStr">
        <is>
          <t>Danyon Loader</t>
        </is>
      </c>
      <c r="G258" s="22" t="inlineStr">
        <is>
          <t>Danyon Loader</t>
        </is>
      </c>
      <c r="H258" s="22" t="n"/>
      <c r="I258" s="30" t="inlineStr">
        <is>
          <t>3:55.98</t>
        </is>
      </c>
      <c r="J258" s="22">
        <f>IF(I258="","",IF(ISNUMBER(SEARCH(":",I258)),VALUE(LEFT(I258,SEARCH(":",I258)-1))*60+VALUE(MID(I258,SEARCH(":",I258)+1,99)),VALUE(I258)))</f>
        <v/>
      </c>
      <c r="K258" s="30" t="inlineStr">
        <is>
          <t>22.09.90</t>
        </is>
      </c>
      <c r="L258" s="30" t="inlineStr">
        <is>
          <t>Swimming New Zealand Long Course Records by Age - user-supplied PDF</t>
        </is>
      </c>
      <c r="M258" s="30" t="n"/>
      <c r="N258" s="30" t="inlineStr">
        <is>
          <t>NO</t>
        </is>
      </c>
      <c r="O258" s="30" t="inlineStr">
        <is>
          <t>YES</t>
        </is>
      </c>
      <c r="P258" s="30" t="n"/>
      <c r="Q258" s="30" t="inlineStr">
        <is>
          <t>3:58.07</t>
        </is>
      </c>
      <c r="R258" s="22">
        <f>IF(Q258="","",IF(ISNUMBER(SEARCH(":",Q258)),VALUE(LEFT(Q258,SEARCH(":",Q258)-1))*60+VALUE(MID(Q258,SEARCH(":",Q258)+1,99)),VALUE(Q258)))</f>
        <v/>
      </c>
      <c r="S258" s="39">
        <f>IF(OR(J258="",R258=""),"",(R258-J258)/R258)</f>
        <v/>
      </c>
      <c r="T258" s="22">
        <f>IF(OR(P258&lt;&gt;"",N258="YES"),"YES","NO")</f>
        <v/>
      </c>
      <c r="U258" s="22">
        <f>IF(AND(O258="YES",T258="YES",S258&lt;&gt;""),COUNTIFS($C$5:$C$424,C258,$S$5:$S$424,"&gt;"&amp;S258)+COUNTIFS($C$5:C258,C258,$S$5:S258,S258),"")</f>
        <v/>
      </c>
      <c r="V258" s="22">
        <f>IF(U258="","",C258&amp;"|"&amp;U258)</f>
        <v/>
      </c>
      <c r="W258" s="30" t="n"/>
      <c r="X258" s="30" t="inlineStr">
        <is>
          <t>Next-fastest time supplied in user workbook; swimmer name not yet supplied.</t>
        </is>
      </c>
    </row>
    <row r="259" ht="15" customHeight="1" s="17">
      <c r="A259" s="30" t="inlineStr">
        <is>
          <t>NZ|LCM|M|15|800 Free</t>
        </is>
      </c>
      <c r="B259" s="30" t="inlineStr">
        <is>
          <t>LCM</t>
        </is>
      </c>
      <c r="C259" s="30" t="inlineStr">
        <is>
          <t>Male</t>
        </is>
      </c>
      <c r="D259" s="30" t="n">
        <v>15</v>
      </c>
      <c r="E259" s="30" t="inlineStr">
        <is>
          <t>800 Free</t>
        </is>
      </c>
      <c r="F259" s="30" t="inlineStr">
        <is>
          <t>Danyon Loader</t>
        </is>
      </c>
      <c r="G259" s="22" t="inlineStr">
        <is>
          <t>Danyon Loader</t>
        </is>
      </c>
      <c r="H259" s="22" t="n"/>
      <c r="I259" s="30" t="inlineStr">
        <is>
          <t>8:05.32</t>
        </is>
      </c>
      <c r="J259" s="22">
        <f>IF(I259="","",IF(ISNUMBER(SEARCH(":",I259)),VALUE(LEFT(I259,SEARCH(":",I259)-1))*60+VALUE(MID(I259,SEARCH(":",I259)+1,99)),VALUE(I259)))</f>
        <v/>
      </c>
      <c r="K259" s="30" t="inlineStr">
        <is>
          <t>13.03.91</t>
        </is>
      </c>
      <c r="L259" s="30" t="inlineStr">
        <is>
          <t>Swimming New Zealand Long Course Records by Age - user-supplied PDF</t>
        </is>
      </c>
      <c r="M259" s="30" t="n"/>
      <c r="N259" s="30" t="inlineStr">
        <is>
          <t>NO</t>
        </is>
      </c>
      <c r="O259" s="30" t="inlineStr">
        <is>
          <t>YES</t>
        </is>
      </c>
      <c r="P259" s="30" t="inlineStr">
        <is>
          <t>Jonathan Duncan</t>
        </is>
      </c>
      <c r="Q259" s="30" t="inlineStr">
        <is>
          <t>8:32.41</t>
        </is>
      </c>
      <c r="R259" s="22">
        <f>IF(Q259="","",IF(ISNUMBER(SEARCH(":",Q259)),VALUE(LEFT(Q259,SEARCH(":",Q259)-1))*60+VALUE(MID(Q259,SEARCH(":",Q259)+1,99)),VALUE(Q259)))</f>
        <v/>
      </c>
      <c r="S259" s="39">
        <f>IF(OR(J259="",R259=""),"",(R259-J259)/R259)</f>
        <v/>
      </c>
      <c r="T259" s="22">
        <f>IF(OR(P259&lt;&gt;"",N259="YES"),"YES","NO")</f>
        <v/>
      </c>
      <c r="U259" s="22">
        <f>IF(AND(O259="YES",T259="YES",S259&lt;&gt;""),COUNTIFS($C$5:$C$424,C259,$S$5:$S$424,"&gt;"&amp;S259)+COUNTIFS($C$5:C259,C259,$S$5:S259,S259),"")</f>
        <v/>
      </c>
      <c r="V259" s="22">
        <f>IF(U259="","",C259&amp;"|"&amp;U259)</f>
        <v/>
      </c>
      <c r="W259" s="30" t="n"/>
      <c r="X259" s="30" t="inlineStr">
        <is>
          <t>Next-fastest time supplied in user workbook; swimmer name not yet supplied.</t>
        </is>
      </c>
    </row>
    <row r="260" ht="15" customHeight="1" s="17">
      <c r="A260" s="30" t="inlineStr">
        <is>
          <t>NZ|LCM|M|15|1500 Free</t>
        </is>
      </c>
      <c r="B260" s="30" t="inlineStr">
        <is>
          <t>LCM</t>
        </is>
      </c>
      <c r="C260" s="30" t="inlineStr">
        <is>
          <t>Male</t>
        </is>
      </c>
      <c r="D260" s="30" t="n">
        <v>15</v>
      </c>
      <c r="E260" s="30" t="inlineStr">
        <is>
          <t>1500 Free</t>
        </is>
      </c>
      <c r="F260" s="30" t="inlineStr">
        <is>
          <t>Michael Mincham</t>
        </is>
      </c>
      <c r="G260" s="22" t="inlineStr">
        <is>
          <t>Michael Mincham</t>
        </is>
      </c>
      <c r="H260" s="22" t="n"/>
      <c r="I260" s="30" t="inlineStr">
        <is>
          <t>15:33.59</t>
        </is>
      </c>
      <c r="J260" s="22">
        <f>IF(I260="","",IF(ISNUMBER(SEARCH(":",I260)),VALUE(LEFT(I260,SEARCH(":",I260)-1))*60+VALUE(MID(I260,SEARCH(":",I260)+1,99)),VALUE(I260)))</f>
        <v/>
      </c>
      <c r="K260" s="30" t="inlineStr">
        <is>
          <t>31.03.12</t>
        </is>
      </c>
      <c r="L260" s="30" t="inlineStr">
        <is>
          <t>Swimming New Zealand Long Course Records by Age - user-supplied PDF</t>
        </is>
      </c>
      <c r="M260" s="30" t="n"/>
      <c r="N260" s="30" t="inlineStr">
        <is>
          <t>NO</t>
        </is>
      </c>
      <c r="O260" s="30" t="inlineStr">
        <is>
          <t>YES</t>
        </is>
      </c>
      <c r="P260" s="30" t="n"/>
      <c r="Q260" s="30" t="inlineStr">
        <is>
          <t>15:44.65</t>
        </is>
      </c>
      <c r="R260" s="22">
        <f>IF(Q260="","",IF(ISNUMBER(SEARCH(":",Q260)),VALUE(LEFT(Q260,SEARCH(":",Q260)-1))*60+VALUE(MID(Q260,SEARCH(":",Q260)+1,99)),VALUE(Q260)))</f>
        <v/>
      </c>
      <c r="S260" s="39">
        <f>IF(OR(J260="",R260=""),"",(R260-J260)/R260)</f>
        <v/>
      </c>
      <c r="T260" s="22">
        <f>IF(OR(P260&lt;&gt;"",N260="YES"),"YES","NO")</f>
        <v/>
      </c>
      <c r="U260" s="22">
        <f>IF(AND(O260="YES",T260="YES",S260&lt;&gt;""),COUNTIFS($C$5:$C$424,C260,$S$5:$S$424,"&gt;"&amp;S260)+COUNTIFS($C$5:C260,C260,$S$5:S260,S260),"")</f>
        <v/>
      </c>
      <c r="V260" s="22">
        <f>IF(U260="","",C260&amp;"|"&amp;U260)</f>
        <v/>
      </c>
      <c r="W260" s="30" t="n"/>
      <c r="X260" s="30" t="inlineStr">
        <is>
          <t>Next-fastest time supplied in user workbook; swimmer name not yet supplied.</t>
        </is>
      </c>
    </row>
    <row r="261" ht="15" customHeight="1" s="17">
      <c r="A261" s="30" t="inlineStr">
        <is>
          <t>NZ|LCM|M|15|50 Back</t>
        </is>
      </c>
      <c r="B261" s="30" t="inlineStr">
        <is>
          <t>LCM</t>
        </is>
      </c>
      <c r="C261" s="30" t="inlineStr">
        <is>
          <t>Male</t>
        </is>
      </c>
      <c r="D261" s="30" t="n">
        <v>15</v>
      </c>
      <c r="E261" s="30" t="inlineStr">
        <is>
          <t>50 Back</t>
        </is>
      </c>
      <c r="F261" s="30" t="inlineStr">
        <is>
          <t>Taiko Torepe-Ormsby</t>
        </is>
      </c>
      <c r="G261" s="22" t="inlineStr">
        <is>
          <t>Taiko Torepe-Ormsby</t>
        </is>
      </c>
      <c r="H261" s="22" t="n"/>
      <c r="I261" s="30" t="inlineStr">
        <is>
          <t>26.43</t>
        </is>
      </c>
      <c r="J261" s="22">
        <f>IF(I261="","",IF(ISNUMBER(SEARCH(":",I261)),VALUE(LEFT(I261,SEARCH(":",I261)-1))*60+VALUE(MID(I261,SEARCH(":",I261)+1,99)),VALUE(I261)))</f>
        <v/>
      </c>
      <c r="K261" s="30" t="inlineStr">
        <is>
          <t>20.06.19</t>
        </is>
      </c>
      <c r="L261" s="30" t="inlineStr">
        <is>
          <t>Swimming New Zealand Long Course Records by Age - user-supplied PDF</t>
        </is>
      </c>
      <c r="M261" s="30" t="n"/>
      <c r="N261" s="30" t="inlineStr">
        <is>
          <t>NO</t>
        </is>
      </c>
      <c r="O261" s="30" t="inlineStr">
        <is>
          <t>YES</t>
        </is>
      </c>
      <c r="P261" s="30" t="n"/>
      <c r="Q261" s="30" t="inlineStr">
        <is>
          <t>26.57</t>
        </is>
      </c>
      <c r="R261" s="22">
        <f>IF(Q261="","",IF(ISNUMBER(SEARCH(":",Q261)),VALUE(LEFT(Q261,SEARCH(":",Q261)-1))*60+VALUE(MID(Q261,SEARCH(":",Q261)+1,99)),VALUE(Q261)))</f>
        <v/>
      </c>
      <c r="S261" s="39">
        <f>IF(OR(J261="",R261=""),"",(R261-J261)/R261)</f>
        <v/>
      </c>
      <c r="T261" s="22">
        <f>IF(OR(P261&lt;&gt;"",N261="YES"),"YES","NO")</f>
        <v/>
      </c>
      <c r="U261" s="22">
        <f>IF(AND(O261="YES",T261="YES",S261&lt;&gt;""),COUNTIFS($C$5:$C$424,C261,$S$5:$S$424,"&gt;"&amp;S261)+COUNTIFS($C$5:C261,C261,$S$5:S261,S261),"")</f>
        <v/>
      </c>
      <c r="V261" s="22">
        <f>IF(U261="","",C261&amp;"|"&amp;U261)</f>
        <v/>
      </c>
      <c r="W261" s="30" t="n"/>
      <c r="X261" s="30" t="inlineStr">
        <is>
          <t>Next-fastest time supplied in user workbook; swimmer name not yet supplied.</t>
        </is>
      </c>
    </row>
    <row r="262" ht="15" customHeight="1" s="17">
      <c r="A262" s="30" t="inlineStr">
        <is>
          <t>NZ|LCM|M|15|100 Back</t>
        </is>
      </c>
      <c r="B262" s="30" t="inlineStr">
        <is>
          <t>LCM</t>
        </is>
      </c>
      <c r="C262" s="30" t="inlineStr">
        <is>
          <t>Male</t>
        </is>
      </c>
      <c r="D262" s="30" t="n">
        <v>15</v>
      </c>
      <c r="E262" s="30" t="inlineStr">
        <is>
          <t>100 Back</t>
        </is>
      </c>
      <c r="F262" s="30" t="inlineStr">
        <is>
          <t>Cameron Gray</t>
        </is>
      </c>
      <c r="G262" s="22" t="inlineStr">
        <is>
          <t>Cameron Gray</t>
        </is>
      </c>
      <c r="H262" s="22" t="n"/>
      <c r="I262" s="30" t="inlineStr">
        <is>
          <t>57.12</t>
        </is>
      </c>
      <c r="J262" s="22">
        <f>IF(I262="","",IF(ISNUMBER(SEARCH(":",I262)),VALUE(LEFT(I262,SEARCH(":",I262)-1))*60+VALUE(MID(I262,SEARCH(":",I262)+1,99)),VALUE(I262)))</f>
        <v/>
      </c>
      <c r="K262" s="30" t="inlineStr">
        <is>
          <t>17.06.19</t>
        </is>
      </c>
      <c r="L262" s="30" t="inlineStr">
        <is>
          <t>Swimming New Zealand Long Course Records by Age - user-supplied PDF</t>
        </is>
      </c>
      <c r="M262" s="30" t="n"/>
      <c r="N262" s="30" t="inlineStr">
        <is>
          <t>NO</t>
        </is>
      </c>
      <c r="O262" s="30" t="inlineStr">
        <is>
          <t>YES</t>
        </is>
      </c>
      <c r="P262" s="30" t="n"/>
      <c r="Q262" s="30" t="inlineStr">
        <is>
          <t>57.30</t>
        </is>
      </c>
      <c r="R262" s="22">
        <f>IF(Q262="","",IF(ISNUMBER(SEARCH(":",Q262)),VALUE(LEFT(Q262,SEARCH(":",Q262)-1))*60+VALUE(MID(Q262,SEARCH(":",Q262)+1,99)),VALUE(Q262)))</f>
        <v/>
      </c>
      <c r="S262" s="39">
        <f>IF(OR(J262="",R262=""),"",(R262-J262)/R262)</f>
        <v/>
      </c>
      <c r="T262" s="22">
        <f>IF(OR(P262&lt;&gt;"",N262="YES"),"YES","NO")</f>
        <v/>
      </c>
      <c r="U262" s="22">
        <f>IF(AND(O262="YES",T262="YES",S262&lt;&gt;""),COUNTIFS($C$5:$C$424,C262,$S$5:$S$424,"&gt;"&amp;S262)+COUNTIFS($C$5:C262,C262,$S$5:S262,S262),"")</f>
        <v/>
      </c>
      <c r="V262" s="22">
        <f>IF(U262="","",C262&amp;"|"&amp;U262)</f>
        <v/>
      </c>
      <c r="W262" s="30" t="n"/>
      <c r="X262" s="30" t="inlineStr">
        <is>
          <t>Next-fastest time supplied in user workbook; swimmer name not yet supplied.</t>
        </is>
      </c>
    </row>
    <row r="263" ht="15" customHeight="1" s="17">
      <c r="A263" s="30" t="inlineStr">
        <is>
          <t>NZ|LCM|M|15|200 Back</t>
        </is>
      </c>
      <c r="B263" s="30" t="inlineStr">
        <is>
          <t>LCM</t>
        </is>
      </c>
      <c r="C263" s="30" t="inlineStr">
        <is>
          <t>Male</t>
        </is>
      </c>
      <c r="D263" s="30" t="n">
        <v>15</v>
      </c>
      <c r="E263" s="30" t="inlineStr">
        <is>
          <t>200 Back</t>
        </is>
      </c>
      <c r="F263" s="30" t="inlineStr">
        <is>
          <t>Te Rauroha Paki</t>
        </is>
      </c>
      <c r="G263" s="22" t="inlineStr">
        <is>
          <t>Te Rauroha Paki</t>
        </is>
      </c>
      <c r="H263" s="22" t="n"/>
      <c r="I263" s="30" t="inlineStr">
        <is>
          <t>2:02.91</t>
        </is>
      </c>
      <c r="J263" s="22">
        <f>IF(I263="","",IF(ISNUMBER(SEARCH(":",I263)),VALUE(LEFT(I263,SEARCH(":",I263)-1))*60+VALUE(MID(I263,SEARCH(":",I263)+1,99)),VALUE(I263)))</f>
        <v/>
      </c>
      <c r="K263" s="30" t="inlineStr">
        <is>
          <t>09.04.26</t>
        </is>
      </c>
      <c r="L263" s="30" t="inlineStr">
        <is>
          <t>Swimming New Zealand Long Course Records by Age - user-supplied PDF</t>
        </is>
      </c>
      <c r="M263" s="30" t="n"/>
      <c r="N263" s="30" t="inlineStr">
        <is>
          <t>NO</t>
        </is>
      </c>
      <c r="O263" s="30" t="inlineStr">
        <is>
          <t>YES</t>
        </is>
      </c>
      <c r="P263" s="30" t="n"/>
      <c r="Q263" s="30" t="inlineStr">
        <is>
          <t>2:03.39</t>
        </is>
      </c>
      <c r="R263" s="22">
        <f>IF(Q263="","",IF(ISNUMBER(SEARCH(":",Q263)),VALUE(LEFT(Q263,SEARCH(":",Q263)-1))*60+VALUE(MID(Q263,SEARCH(":",Q263)+1,99)),VALUE(Q263)))</f>
        <v/>
      </c>
      <c r="S263" s="39">
        <f>IF(OR(J263="",R263=""),"",(R263-J263)/R263)</f>
        <v/>
      </c>
      <c r="T263" s="22">
        <f>IF(OR(P263&lt;&gt;"",N263="YES"),"YES","NO")</f>
        <v/>
      </c>
      <c r="U263" s="22">
        <f>IF(AND(O263="YES",T263="YES",S263&lt;&gt;""),COUNTIFS($C$5:$C$424,C263,$S$5:$S$424,"&gt;"&amp;S263)+COUNTIFS($C$5:C263,C263,$S$5:S263,S263),"")</f>
        <v/>
      </c>
      <c r="V263" s="22">
        <f>IF(U263="","",C263&amp;"|"&amp;U263)</f>
        <v/>
      </c>
      <c r="W263" s="30" t="n"/>
      <c r="X263" s="30" t="inlineStr">
        <is>
          <t>Next-fastest time supplied in user workbook; swimmer name not yet supplied.</t>
        </is>
      </c>
    </row>
    <row r="264" ht="15" customHeight="1" s="17">
      <c r="A264" s="30" t="inlineStr">
        <is>
          <t>NZ|LCM|M|15|50 Breast</t>
        </is>
      </c>
      <c r="B264" s="30" t="inlineStr">
        <is>
          <t>LCM</t>
        </is>
      </c>
      <c r="C264" s="30" t="inlineStr">
        <is>
          <t>Male</t>
        </is>
      </c>
      <c r="D264" s="30" t="n">
        <v>15</v>
      </c>
      <c r="E264" s="30" t="inlineStr">
        <is>
          <t>50 Breast</t>
        </is>
      </c>
      <c r="F264" s="30" t="inlineStr">
        <is>
          <t>Charles Hames</t>
        </is>
      </c>
      <c r="G264" s="22" t="inlineStr">
        <is>
          <t>Charles Hames</t>
        </is>
      </c>
      <c r="H264" s="22" t="n"/>
      <c r="I264" s="30" t="inlineStr">
        <is>
          <t>29.49</t>
        </is>
      </c>
      <c r="J264" s="22">
        <f>IF(I264="","",IF(ISNUMBER(SEARCH(":",I264)),VALUE(LEFT(I264,SEARCH(":",I264)-1))*60+VALUE(MID(I264,SEARCH(":",I264)+1,99)),VALUE(I264)))</f>
        <v/>
      </c>
      <c r="K264" s="30" t="inlineStr">
        <is>
          <t>21.06.26</t>
        </is>
      </c>
      <c r="L264" s="30" t="inlineStr">
        <is>
          <t>Swimming New Zealand Long Course Records by Age - user-supplied PDF</t>
        </is>
      </c>
      <c r="M264" s="30" t="n"/>
      <c r="N264" s="30" t="inlineStr">
        <is>
          <t>NO</t>
        </is>
      </c>
      <c r="O264" s="30" t="inlineStr">
        <is>
          <t>YES</t>
        </is>
      </c>
      <c r="P264" s="30" t="n"/>
      <c r="Q264" s="30" t="inlineStr">
        <is>
          <t>29.59</t>
        </is>
      </c>
      <c r="R264" s="22">
        <f>IF(Q264="","",IF(ISNUMBER(SEARCH(":",Q264)),VALUE(LEFT(Q264,SEARCH(":",Q264)-1))*60+VALUE(MID(Q264,SEARCH(":",Q264)+1,99)),VALUE(Q264)))</f>
        <v/>
      </c>
      <c r="S264" s="39">
        <f>IF(OR(J264="",R264=""),"",(R264-J264)/R264)</f>
        <v/>
      </c>
      <c r="T264" s="22">
        <f>IF(OR(P264&lt;&gt;"",N264="YES"),"YES","NO")</f>
        <v/>
      </c>
      <c r="U264" s="22">
        <f>IF(AND(O264="YES",T264="YES",S264&lt;&gt;""),COUNTIFS($C$5:$C$424,C264,$S$5:$S$424,"&gt;"&amp;S264)+COUNTIFS($C$5:C264,C264,$S$5:S264,S264),"")</f>
        <v/>
      </c>
      <c r="V264" s="22">
        <f>IF(U264="","",C264&amp;"|"&amp;U264)</f>
        <v/>
      </c>
      <c r="W264" s="30" t="n"/>
      <c r="X264" s="30" t="inlineStr">
        <is>
          <t>Next-fastest time supplied in user workbook; swimmer name not yet supplied.</t>
        </is>
      </c>
    </row>
    <row r="265" ht="15" customHeight="1" s="17">
      <c r="A265" s="30" t="inlineStr">
        <is>
          <t>NZ|LCM|M|15|100 Breast</t>
        </is>
      </c>
      <c r="B265" s="30" t="inlineStr">
        <is>
          <t>LCM</t>
        </is>
      </c>
      <c r="C265" s="30" t="inlineStr">
        <is>
          <t>Male</t>
        </is>
      </c>
      <c r="D265" s="30" t="n">
        <v>15</v>
      </c>
      <c r="E265" s="30" t="inlineStr">
        <is>
          <t>100 Breast</t>
        </is>
      </c>
      <c r="F265" s="30" t="inlineStr">
        <is>
          <t>Jeffrey Arona-Tuifana'e</t>
        </is>
      </c>
      <c r="G265" s="22" t="inlineStr">
        <is>
          <t>Jeffrey Arona-Tuifana'e</t>
        </is>
      </c>
      <c r="H265" s="22" t="n"/>
      <c r="I265" s="30" t="inlineStr">
        <is>
          <t>1:04.53</t>
        </is>
      </c>
      <c r="J265" s="22">
        <f>IF(I265="","",IF(ISNUMBER(SEARCH(":",I265)),VALUE(LEFT(I265,SEARCH(":",I265)-1))*60+VALUE(MID(I265,SEARCH(":",I265)+1,99)),VALUE(I265)))</f>
        <v/>
      </c>
      <c r="K265" s="30" t="inlineStr">
        <is>
          <t>07.04.10</t>
        </is>
      </c>
      <c r="L265" s="30" t="inlineStr">
        <is>
          <t>Swimming New Zealand Long Course Records by Age - user-supplied PDF</t>
        </is>
      </c>
      <c r="M265" s="30" t="n"/>
      <c r="N265" s="30" t="inlineStr">
        <is>
          <t>NO</t>
        </is>
      </c>
      <c r="O265" s="30" t="inlineStr">
        <is>
          <t>YES</t>
        </is>
      </c>
      <c r="P265" s="30" t="n"/>
      <c r="Q265" s="30" t="inlineStr">
        <is>
          <t>1:04.62</t>
        </is>
      </c>
      <c r="R265" s="22">
        <f>IF(Q265="","",IF(ISNUMBER(SEARCH(":",Q265)),VALUE(LEFT(Q265,SEARCH(":",Q265)-1))*60+VALUE(MID(Q265,SEARCH(":",Q265)+1,99)),VALUE(Q265)))</f>
        <v/>
      </c>
      <c r="S265" s="39">
        <f>IF(OR(J265="",R265=""),"",(R265-J265)/R265)</f>
        <v/>
      </c>
      <c r="T265" s="22">
        <f>IF(OR(P265&lt;&gt;"",N265="YES"),"YES","NO")</f>
        <v/>
      </c>
      <c r="U265" s="22">
        <f>IF(AND(O265="YES",T265="YES",S265&lt;&gt;""),COUNTIFS($C$5:$C$424,C265,$S$5:$S$424,"&gt;"&amp;S265)+COUNTIFS($C$5:C265,C265,$S$5:S265,S265),"")</f>
        <v/>
      </c>
      <c r="V265" s="22">
        <f>IF(U265="","",C265&amp;"|"&amp;U265)</f>
        <v/>
      </c>
      <c r="W265" s="30" t="n"/>
      <c r="X265" s="30" t="inlineStr">
        <is>
          <t>Next-fastest time supplied in user workbook; swimmer name not yet supplied.</t>
        </is>
      </c>
    </row>
    <row r="266" ht="15" customHeight="1" s="17">
      <c r="A266" s="30" t="inlineStr">
        <is>
          <t>NZ|LCM|M|15|200 Breast</t>
        </is>
      </c>
      <c r="B266" s="30" t="inlineStr">
        <is>
          <t>LCM</t>
        </is>
      </c>
      <c r="C266" s="30" t="inlineStr">
        <is>
          <t>Male</t>
        </is>
      </c>
      <c r="D266" s="30" t="n">
        <v>15</v>
      </c>
      <c r="E266" s="30" t="inlineStr">
        <is>
          <t>200 Breast</t>
        </is>
      </c>
      <c r="F266" s="30" t="inlineStr">
        <is>
          <t>Jacob Story</t>
        </is>
      </c>
      <c r="G266" s="22" t="inlineStr">
        <is>
          <t>Jacob Story</t>
        </is>
      </c>
      <c r="H266" s="22" t="n"/>
      <c r="I266" s="30" t="inlineStr">
        <is>
          <t>2:21.39</t>
        </is>
      </c>
      <c r="J266" s="22">
        <f>IF(I266="","",IF(ISNUMBER(SEARCH(":",I266)),VALUE(LEFT(I266,SEARCH(":",I266)-1))*60+VALUE(MID(I266,SEARCH(":",I266)+1,99)),VALUE(I266)))</f>
        <v/>
      </c>
      <c r="K266" s="30" t="inlineStr">
        <is>
          <t>12.11.23</t>
        </is>
      </c>
      <c r="L266" s="30" t="inlineStr">
        <is>
          <t>Swimming New Zealand Long Course Records by Age - user-supplied PDF</t>
        </is>
      </c>
      <c r="M266" s="30" t="n"/>
      <c r="N266" s="30" t="inlineStr">
        <is>
          <t>NO</t>
        </is>
      </c>
      <c r="O266" s="30" t="inlineStr">
        <is>
          <t>YES</t>
        </is>
      </c>
      <c r="P266" s="30" t="n"/>
      <c r="Q266" s="30" t="inlineStr">
        <is>
          <t>2:21.79</t>
        </is>
      </c>
      <c r="R266" s="22">
        <f>IF(Q266="","",IF(ISNUMBER(SEARCH(":",Q266)),VALUE(LEFT(Q266,SEARCH(":",Q266)-1))*60+VALUE(MID(Q266,SEARCH(":",Q266)+1,99)),VALUE(Q266)))</f>
        <v/>
      </c>
      <c r="S266" s="39">
        <f>IF(OR(J266="",R266=""),"",(R266-J266)/R266)</f>
        <v/>
      </c>
      <c r="T266" s="22">
        <f>IF(OR(P266&lt;&gt;"",N266="YES"),"YES","NO")</f>
        <v/>
      </c>
      <c r="U266" s="22">
        <f>IF(AND(O266="YES",T266="YES",S266&lt;&gt;""),COUNTIFS($C$5:$C$424,C266,$S$5:$S$424,"&gt;"&amp;S266)+COUNTIFS($C$5:C266,C266,$S$5:S266,S266),"")</f>
        <v/>
      </c>
      <c r="V266" s="22">
        <f>IF(U266="","",C266&amp;"|"&amp;U266)</f>
        <v/>
      </c>
      <c r="W266" s="30" t="n"/>
      <c r="X266" s="30" t="inlineStr">
        <is>
          <t>Next-fastest time supplied in user workbook; swimmer name not yet supplied.</t>
        </is>
      </c>
    </row>
    <row r="267" ht="15" customHeight="1" s="17">
      <c r="A267" s="30" t="inlineStr">
        <is>
          <t>NZ|LCM|M|15|50 Fly</t>
        </is>
      </c>
      <c r="B267" s="30" t="inlineStr">
        <is>
          <t>LCM</t>
        </is>
      </c>
      <c r="C267" s="30" t="inlineStr">
        <is>
          <t>Male</t>
        </is>
      </c>
      <c r="D267" s="30" t="n">
        <v>15</v>
      </c>
      <c r="E267" s="30" t="inlineStr">
        <is>
          <t>50 Fly</t>
        </is>
      </c>
      <c r="F267" s="30" t="inlineStr">
        <is>
          <t>Cameron Gray</t>
        </is>
      </c>
      <c r="G267" s="22" t="inlineStr">
        <is>
          <t>Cameron Gray</t>
        </is>
      </c>
      <c r="H267" s="22" t="n"/>
      <c r="I267" s="30" t="inlineStr">
        <is>
          <t>25.09</t>
        </is>
      </c>
      <c r="J267" s="22">
        <f>IF(I267="","",IF(ISNUMBER(SEARCH(":",I267)),VALUE(LEFT(I267,SEARCH(":",I267)-1))*60+VALUE(MID(I267,SEARCH(":",I267)+1,99)),VALUE(I267)))</f>
        <v/>
      </c>
      <c r="K267" s="30" t="inlineStr">
        <is>
          <t>17.06.19</t>
        </is>
      </c>
      <c r="L267" s="30" t="inlineStr">
        <is>
          <t>Swimming New Zealand Long Course Records by Age - user-supplied PDF</t>
        </is>
      </c>
      <c r="M267" s="30" t="n"/>
      <c r="N267" s="30" t="inlineStr">
        <is>
          <t>NO</t>
        </is>
      </c>
      <c r="O267" s="30" t="inlineStr">
        <is>
          <t>YES</t>
        </is>
      </c>
      <c r="P267" s="30" t="n"/>
      <c r="Q267" s="30" t="inlineStr">
        <is>
          <t>25.21</t>
        </is>
      </c>
      <c r="R267" s="22">
        <f>IF(Q267="","",IF(ISNUMBER(SEARCH(":",Q267)),VALUE(LEFT(Q267,SEARCH(":",Q267)-1))*60+VALUE(MID(Q267,SEARCH(":",Q267)+1,99)),VALUE(Q267)))</f>
        <v/>
      </c>
      <c r="S267" s="39">
        <f>IF(OR(J267="",R267=""),"",(R267-J267)/R267)</f>
        <v/>
      </c>
      <c r="T267" s="22">
        <f>IF(OR(P267&lt;&gt;"",N267="YES"),"YES","NO")</f>
        <v/>
      </c>
      <c r="U267" s="22">
        <f>IF(AND(O267="YES",T267="YES",S267&lt;&gt;""),COUNTIFS($C$5:$C$424,C267,$S$5:$S$424,"&gt;"&amp;S267)+COUNTIFS($C$5:C267,C267,$S$5:S267,S267),"")</f>
        <v/>
      </c>
      <c r="V267" s="22">
        <f>IF(U267="","",C267&amp;"|"&amp;U267)</f>
        <v/>
      </c>
      <c r="W267" s="30" t="n"/>
      <c r="X267" s="30" t="inlineStr">
        <is>
          <t>Next-fastest time supplied in user workbook; swimmer name not yet supplied.</t>
        </is>
      </c>
    </row>
    <row r="268" ht="15" customHeight="1" s="17">
      <c r="A268" s="30" t="inlineStr">
        <is>
          <t>NZ|LCM|M|15|100 Fly</t>
        </is>
      </c>
      <c r="B268" s="30" t="inlineStr">
        <is>
          <t>LCM</t>
        </is>
      </c>
      <c r="C268" s="30" t="inlineStr">
        <is>
          <t>Male</t>
        </is>
      </c>
      <c r="D268" s="30" t="n">
        <v>15</v>
      </c>
      <c r="E268" s="30" t="inlineStr">
        <is>
          <t>100 Fly</t>
        </is>
      </c>
      <c r="F268" s="30" t="inlineStr">
        <is>
          <t>Danyon Loader</t>
        </is>
      </c>
      <c r="G268" s="22" t="inlineStr">
        <is>
          <t>Danyon Loader</t>
        </is>
      </c>
      <c r="H268" s="22" t="n"/>
      <c r="I268" s="30" t="inlineStr">
        <is>
          <t>56.38</t>
        </is>
      </c>
      <c r="J268" s="22">
        <f>IF(I268="","",IF(ISNUMBER(SEARCH(":",I268)),VALUE(LEFT(I268,SEARCH(":",I268)-1))*60+VALUE(MID(I268,SEARCH(":",I268)+1,99)),VALUE(I268)))</f>
        <v/>
      </c>
      <c r="K268" s="30" t="inlineStr">
        <is>
          <t>15.03.91</t>
        </is>
      </c>
      <c r="L268" s="30" t="inlineStr">
        <is>
          <t>Swimming New Zealand Long Course Records by Age - user-supplied PDF</t>
        </is>
      </c>
      <c r="M268" s="30" t="n"/>
      <c r="N268" s="30" t="inlineStr">
        <is>
          <t>NO</t>
        </is>
      </c>
      <c r="O268" s="30" t="inlineStr">
        <is>
          <t>YES</t>
        </is>
      </c>
      <c r="P268" s="30" t="n"/>
      <c r="Q268" s="30" t="inlineStr">
        <is>
          <t>56.68</t>
        </is>
      </c>
      <c r="R268" s="22">
        <f>IF(Q268="","",IF(ISNUMBER(SEARCH(":",Q268)),VALUE(LEFT(Q268,SEARCH(":",Q268)-1))*60+VALUE(MID(Q268,SEARCH(":",Q268)+1,99)),VALUE(Q268)))</f>
        <v/>
      </c>
      <c r="S268" s="39">
        <f>IF(OR(J268="",R268=""),"",(R268-J268)/R268)</f>
        <v/>
      </c>
      <c r="T268" s="22">
        <f>IF(OR(P268&lt;&gt;"",N268="YES"),"YES","NO")</f>
        <v/>
      </c>
      <c r="U268" s="22">
        <f>IF(AND(O268="YES",T268="YES",S268&lt;&gt;""),COUNTIFS($C$5:$C$424,C268,$S$5:$S$424,"&gt;"&amp;S268)+COUNTIFS($C$5:C268,C268,$S$5:S268,S268),"")</f>
        <v/>
      </c>
      <c r="V268" s="22">
        <f>IF(U268="","",C268&amp;"|"&amp;U268)</f>
        <v/>
      </c>
      <c r="W268" s="30" t="n"/>
      <c r="X268" s="30" t="inlineStr">
        <is>
          <t>Next-fastest time supplied in user workbook; swimmer name not yet supplied.</t>
        </is>
      </c>
    </row>
    <row r="269" ht="15" customHeight="1" s="17">
      <c r="A269" s="30" t="inlineStr">
        <is>
          <t>NZ|LCM|M|15|200 Fly</t>
        </is>
      </c>
      <c r="B269" s="30" t="inlineStr">
        <is>
          <t>LCM</t>
        </is>
      </c>
      <c r="C269" s="30" t="inlineStr">
        <is>
          <t>Male</t>
        </is>
      </c>
      <c r="D269" s="30" t="n">
        <v>15</v>
      </c>
      <c r="E269" s="30" t="inlineStr">
        <is>
          <t>200 Fly</t>
        </is>
      </c>
      <c r="F269" s="30" t="inlineStr">
        <is>
          <t>Ariel Muchirahondo</t>
        </is>
      </c>
      <c r="G269" s="22" t="inlineStr">
        <is>
          <t>Ariel Muchirahondo</t>
        </is>
      </c>
      <c r="H269" s="22" t="n"/>
      <c r="I269" s="30" t="inlineStr">
        <is>
          <t>2:02.94</t>
        </is>
      </c>
      <c r="J269" s="22">
        <f>IF(I269="","",IF(ISNUMBER(SEARCH(":",I269)),VALUE(LEFT(I269,SEARCH(":",I269)-1))*60+VALUE(MID(I269,SEARCH(":",I269)+1,99)),VALUE(I269)))</f>
        <v/>
      </c>
      <c r="K269" s="30" t="inlineStr">
        <is>
          <t>23.02.25</t>
        </is>
      </c>
      <c r="L269" s="30" t="inlineStr">
        <is>
          <t>Swimming New Zealand Long Course Records by Age - user-supplied PDF</t>
        </is>
      </c>
      <c r="M269" s="30" t="n"/>
      <c r="N269" s="30" t="inlineStr">
        <is>
          <t>NO</t>
        </is>
      </c>
      <c r="O269" s="30" t="inlineStr">
        <is>
          <t>YES</t>
        </is>
      </c>
      <c r="P269" s="30" t="n"/>
      <c r="Q269" s="30" t="inlineStr">
        <is>
          <t>2:05.55</t>
        </is>
      </c>
      <c r="R269" s="22">
        <f>IF(Q269="","",IF(ISNUMBER(SEARCH(":",Q269)),VALUE(LEFT(Q269,SEARCH(":",Q269)-1))*60+VALUE(MID(Q269,SEARCH(":",Q269)+1,99)),VALUE(Q269)))</f>
        <v/>
      </c>
      <c r="S269" s="39">
        <f>IF(OR(J269="",R269=""),"",(R269-J269)/R269)</f>
        <v/>
      </c>
      <c r="T269" s="22">
        <f>IF(OR(P269&lt;&gt;"",N269="YES"),"YES","NO")</f>
        <v/>
      </c>
      <c r="U269" s="22">
        <f>IF(AND(O269="YES",T269="YES",S269&lt;&gt;""),COUNTIFS($C$5:$C$424,C269,$S$5:$S$424,"&gt;"&amp;S269)+COUNTIFS($C$5:C269,C269,$S$5:S269,S269),"")</f>
        <v/>
      </c>
      <c r="V269" s="22">
        <f>IF(U269="","",C269&amp;"|"&amp;U269)</f>
        <v/>
      </c>
      <c r="W269" s="30" t="n"/>
      <c r="X269" s="30" t="inlineStr">
        <is>
          <t>Next-fastest time supplied in user workbook; swimmer name not yet supplied.</t>
        </is>
      </c>
    </row>
    <row r="270" ht="15" customHeight="1" s="17">
      <c r="A270" s="30" t="inlineStr">
        <is>
          <t>NZ|LCM|M|15|200 IM</t>
        </is>
      </c>
      <c r="B270" s="30" t="inlineStr">
        <is>
          <t>LCM</t>
        </is>
      </c>
      <c r="C270" s="30" t="inlineStr">
        <is>
          <t>Male</t>
        </is>
      </c>
      <c r="D270" s="30" t="n">
        <v>15</v>
      </c>
      <c r="E270" s="30" t="inlineStr">
        <is>
          <t>200 IM</t>
        </is>
      </c>
      <c r="F270" s="30" t="inlineStr">
        <is>
          <t>Ariel Muchirahondo</t>
        </is>
      </c>
      <c r="G270" s="22" t="inlineStr">
        <is>
          <t>Ariel Muchirahondo</t>
        </is>
      </c>
      <c r="H270" s="22" t="n"/>
      <c r="I270" s="30" t="inlineStr">
        <is>
          <t>2:07.99</t>
        </is>
      </c>
      <c r="J270" s="22">
        <f>IF(I270="","",IF(ISNUMBER(SEARCH(":",I270)),VALUE(LEFT(I270,SEARCH(":",I270)-1))*60+VALUE(MID(I270,SEARCH(":",I270)+1,99)),VALUE(I270)))</f>
        <v/>
      </c>
      <c r="K270" s="30" t="inlineStr">
        <is>
          <t>20.12.24</t>
        </is>
      </c>
      <c r="L270" s="30" t="inlineStr">
        <is>
          <t>Swimming New Zealand Long Course Records by Age - user-supplied PDF</t>
        </is>
      </c>
      <c r="M270" s="30" t="n"/>
      <c r="N270" s="30" t="inlineStr">
        <is>
          <t>NO</t>
        </is>
      </c>
      <c r="O270" s="30" t="inlineStr">
        <is>
          <t>YES</t>
        </is>
      </c>
      <c r="P270" s="30" t="n"/>
      <c r="Q270" s="30" t="inlineStr">
        <is>
          <t>2:08.07</t>
        </is>
      </c>
      <c r="R270" s="22">
        <f>IF(Q270="","",IF(ISNUMBER(SEARCH(":",Q270)),VALUE(LEFT(Q270,SEARCH(":",Q270)-1))*60+VALUE(MID(Q270,SEARCH(":",Q270)+1,99)),VALUE(Q270)))</f>
        <v/>
      </c>
      <c r="S270" s="39">
        <f>IF(OR(J270="",R270=""),"",(R270-J270)/R270)</f>
        <v/>
      </c>
      <c r="T270" s="22">
        <f>IF(OR(P270&lt;&gt;"",N270="YES"),"YES","NO")</f>
        <v/>
      </c>
      <c r="U270" s="22">
        <f>IF(AND(O270="YES",T270="YES",S270&lt;&gt;""),COUNTIFS($C$5:$C$424,C270,$S$5:$S$424,"&gt;"&amp;S270)+COUNTIFS($C$5:C270,C270,$S$5:S270,S270),"")</f>
        <v/>
      </c>
      <c r="V270" s="22">
        <f>IF(U270="","",C270&amp;"|"&amp;U270)</f>
        <v/>
      </c>
      <c r="W270" s="30" t="n"/>
      <c r="X270" s="30" t="inlineStr">
        <is>
          <t>Next-fastest time supplied in user workbook; swimmer name not yet supplied.</t>
        </is>
      </c>
    </row>
    <row r="271" ht="15" customHeight="1" s="17">
      <c r="A271" s="30" t="inlineStr">
        <is>
          <t>NZ|LCM|M|15|400 IM</t>
        </is>
      </c>
      <c r="B271" s="30" t="inlineStr">
        <is>
          <t>LCM</t>
        </is>
      </c>
      <c r="C271" s="30" t="inlineStr">
        <is>
          <t>Male</t>
        </is>
      </c>
      <c r="D271" s="30" t="n">
        <v>15</v>
      </c>
      <c r="E271" s="30" t="inlineStr">
        <is>
          <t>400 IM</t>
        </is>
      </c>
      <c r="F271" s="30" t="inlineStr">
        <is>
          <t>Ariel Muchirahondo</t>
        </is>
      </c>
      <c r="G271" s="22" t="inlineStr">
        <is>
          <t>Ariel Muchirahondo</t>
        </is>
      </c>
      <c r="H271" s="22" t="n"/>
      <c r="I271" s="30" t="inlineStr">
        <is>
          <t>4:28.71</t>
        </is>
      </c>
      <c r="J271" s="22">
        <f>IF(I271="","",IF(ISNUMBER(SEARCH(":",I271)),VALUE(LEFT(I271,SEARCH(":",I271)-1))*60+VALUE(MID(I271,SEARCH(":",I271)+1,99)),VALUE(I271)))</f>
        <v/>
      </c>
      <c r="K271" s="30" t="inlineStr">
        <is>
          <t>01.12.24</t>
        </is>
      </c>
      <c r="L271" s="30" t="inlineStr">
        <is>
          <t>Swimming New Zealand Long Course Records by Age - user-supplied PDF</t>
        </is>
      </c>
      <c r="M271" s="30" t="n"/>
      <c r="N271" s="30" t="inlineStr">
        <is>
          <t>NO</t>
        </is>
      </c>
      <c r="O271" s="30" t="inlineStr">
        <is>
          <t>YES</t>
        </is>
      </c>
      <c r="P271" s="30" t="n"/>
      <c r="Q271" s="30" t="inlineStr">
        <is>
          <t>4:33.10</t>
        </is>
      </c>
      <c r="R271" s="22">
        <f>IF(Q271="","",IF(ISNUMBER(SEARCH(":",Q271)),VALUE(LEFT(Q271,SEARCH(":",Q271)-1))*60+VALUE(MID(Q271,SEARCH(":",Q271)+1,99)),VALUE(Q271)))</f>
        <v/>
      </c>
      <c r="S271" s="39">
        <f>IF(OR(J271="",R271=""),"",(R271-J271)/R271)</f>
        <v/>
      </c>
      <c r="T271" s="22">
        <f>IF(OR(P271&lt;&gt;"",N271="YES"),"YES","NO")</f>
        <v/>
      </c>
      <c r="U271" s="22">
        <f>IF(AND(O271="YES",T271="YES",S271&lt;&gt;""),COUNTIFS($C$5:$C$424,C271,$S$5:$S$424,"&gt;"&amp;S271)+COUNTIFS($C$5:C271,C271,$S$5:S271,S271),"")</f>
        <v/>
      </c>
      <c r="V271" s="22">
        <f>IF(U271="","",C271&amp;"|"&amp;U271)</f>
        <v/>
      </c>
      <c r="W271" s="30" t="n"/>
      <c r="X271" s="30" t="inlineStr">
        <is>
          <t>Next-fastest time supplied in user workbook; swimmer name not yet supplied.</t>
        </is>
      </c>
    </row>
    <row r="272" ht="15" customHeight="1" s="17">
      <c r="A272" s="30" t="inlineStr">
        <is>
          <t>NZ|LCM|M|16|50 Free</t>
        </is>
      </c>
      <c r="B272" s="30" t="inlineStr">
        <is>
          <t>LCM</t>
        </is>
      </c>
      <c r="C272" s="30" t="inlineStr">
        <is>
          <t>Male</t>
        </is>
      </c>
      <c r="D272" s="30" t="n">
        <v>16</v>
      </c>
      <c r="E272" s="30" t="inlineStr">
        <is>
          <t>50 Free</t>
        </is>
      </c>
      <c r="F272" s="30" t="inlineStr">
        <is>
          <t>Michael Pickett</t>
        </is>
      </c>
      <c r="G272" s="22" t="inlineStr">
        <is>
          <t>Michael Pickett</t>
        </is>
      </c>
      <c r="H272" s="22" t="n"/>
      <c r="I272" s="30" t="inlineStr">
        <is>
          <t>22.34</t>
        </is>
      </c>
      <c r="J272" s="22">
        <f>IF(I272="","",IF(ISNUMBER(SEARCH(":",I272)),VALUE(LEFT(I272,SEARCH(":",I272)-1))*60+VALUE(MID(I272,SEARCH(":",I272)+1,99)),VALUE(I272)))</f>
        <v/>
      </c>
      <c r="K272" s="30" t="inlineStr">
        <is>
          <t>20.06.19</t>
        </is>
      </c>
      <c r="L272" s="30" t="inlineStr">
        <is>
          <t>Swimming New Zealand Long Course Records by Age - user-supplied PDF</t>
        </is>
      </c>
      <c r="M272" s="30" t="n"/>
      <c r="N272" s="30" t="inlineStr">
        <is>
          <t>NO</t>
        </is>
      </c>
      <c r="O272" s="30" t="inlineStr">
        <is>
          <t>YES</t>
        </is>
      </c>
      <c r="P272" s="30" t="n"/>
      <c r="Q272" s="30" t="inlineStr">
        <is>
          <t>22.98</t>
        </is>
      </c>
      <c r="R272" s="22">
        <f>IF(Q272="","",IF(ISNUMBER(SEARCH(":",Q272)),VALUE(LEFT(Q272,SEARCH(":",Q272)-1))*60+VALUE(MID(Q272,SEARCH(":",Q272)+1,99)),VALUE(Q272)))</f>
        <v/>
      </c>
      <c r="S272" s="39">
        <f>IF(OR(J272="",R272=""),"",(R272-J272)/R272)</f>
        <v/>
      </c>
      <c r="T272" s="22">
        <f>IF(OR(P272&lt;&gt;"",N272="YES"),"YES","NO")</f>
        <v/>
      </c>
      <c r="U272" s="22">
        <f>IF(AND(O272="YES",T272="YES",S272&lt;&gt;""),COUNTIFS($C$5:$C$424,C272,$S$5:$S$424,"&gt;"&amp;S272)+COUNTIFS($C$5:C272,C272,$S$5:S272,S272),"")</f>
        <v/>
      </c>
      <c r="V272" s="22">
        <f>IF(U272="","",C272&amp;"|"&amp;U272)</f>
        <v/>
      </c>
      <c r="W272" s="30" t="n"/>
      <c r="X272" s="30" t="inlineStr">
        <is>
          <t>Next-fastest time supplied in user workbook; swimmer name not yet supplied.</t>
        </is>
      </c>
    </row>
    <row r="273" ht="15" customHeight="1" s="17">
      <c r="A273" s="30" t="inlineStr">
        <is>
          <t>NZ|LCM|M|16|100 Free</t>
        </is>
      </c>
      <c r="B273" s="30" t="inlineStr">
        <is>
          <t>LCM</t>
        </is>
      </c>
      <c r="C273" s="30" t="inlineStr">
        <is>
          <t>Male</t>
        </is>
      </c>
      <c r="D273" s="30" t="n">
        <v>16</v>
      </c>
      <c r="E273" s="30" t="inlineStr">
        <is>
          <t>100 Free</t>
        </is>
      </c>
      <c r="F273" s="30" t="inlineStr">
        <is>
          <t>Michael Pickett</t>
        </is>
      </c>
      <c r="G273" s="22" t="inlineStr">
        <is>
          <t>Michael Pickett</t>
        </is>
      </c>
      <c r="H273" s="22" t="n"/>
      <c r="I273" s="30" t="inlineStr">
        <is>
          <t>50.39</t>
        </is>
      </c>
      <c r="J273" s="22">
        <f>IF(I273="","",IF(ISNUMBER(SEARCH(":",I273)),VALUE(LEFT(I273,SEARCH(":",I273)-1))*60+VALUE(MID(I273,SEARCH(":",I273)+1,99)),VALUE(I273)))</f>
        <v/>
      </c>
      <c r="K273" s="30" t="inlineStr">
        <is>
          <t>20.04.19</t>
        </is>
      </c>
      <c r="L273" s="30" t="inlineStr">
        <is>
          <t>Swimming New Zealand Long Course Records by Age - user-supplied PDF</t>
        </is>
      </c>
      <c r="M273" s="30" t="n"/>
      <c r="N273" s="30" t="inlineStr">
        <is>
          <t>NO</t>
        </is>
      </c>
      <c r="O273" s="30" t="inlineStr">
        <is>
          <t>YES</t>
        </is>
      </c>
      <c r="P273" s="30" t="n"/>
      <c r="Q273" s="30" t="inlineStr">
        <is>
          <t>50.69</t>
        </is>
      </c>
      <c r="R273" s="22">
        <f>IF(Q273="","",IF(ISNUMBER(SEARCH(":",Q273)),VALUE(LEFT(Q273,SEARCH(":",Q273)-1))*60+VALUE(MID(Q273,SEARCH(":",Q273)+1,99)),VALUE(Q273)))</f>
        <v/>
      </c>
      <c r="S273" s="39">
        <f>IF(OR(J273="",R273=""),"",(R273-J273)/R273)</f>
        <v/>
      </c>
      <c r="T273" s="22">
        <f>IF(OR(P273&lt;&gt;"",N273="YES"),"YES","NO")</f>
        <v/>
      </c>
      <c r="U273" s="22">
        <f>IF(AND(O273="YES",T273="YES",S273&lt;&gt;""),COUNTIFS($C$5:$C$424,C273,$S$5:$S$424,"&gt;"&amp;S273)+COUNTIFS($C$5:C273,C273,$S$5:S273,S273),"")</f>
        <v/>
      </c>
      <c r="V273" s="22">
        <f>IF(U273="","",C273&amp;"|"&amp;U273)</f>
        <v/>
      </c>
      <c r="W273" s="30" t="n"/>
      <c r="X273" s="30" t="inlineStr">
        <is>
          <t>Next-fastest time supplied in user workbook; swimmer name not yet supplied.</t>
        </is>
      </c>
    </row>
    <row r="274" ht="15" customHeight="1" s="17">
      <c r="A274" s="30" t="inlineStr">
        <is>
          <t>NZ|LCM|M|16|200 Free</t>
        </is>
      </c>
      <c r="B274" s="30" t="inlineStr">
        <is>
          <t>LCM</t>
        </is>
      </c>
      <c r="C274" s="30" t="inlineStr">
        <is>
          <t>Male</t>
        </is>
      </c>
      <c r="D274" s="30" t="n">
        <v>16</v>
      </c>
      <c r="E274" s="30" t="inlineStr">
        <is>
          <t>200 Free</t>
        </is>
      </c>
      <c r="F274" s="30" t="inlineStr">
        <is>
          <t>Corey Main</t>
        </is>
      </c>
      <c r="G274" s="22" t="inlineStr">
        <is>
          <t>Corey Main</t>
        </is>
      </c>
      <c r="H274" s="22" t="n"/>
      <c r="I274" s="30" t="inlineStr">
        <is>
          <t>1:51.35</t>
        </is>
      </c>
      <c r="J274" s="22">
        <f>IF(I274="","",IF(ISNUMBER(SEARCH(":",I274)),VALUE(LEFT(I274,SEARCH(":",I274)-1))*60+VALUE(MID(I274,SEARCH(":",I274)+1,99)),VALUE(I274)))</f>
        <v/>
      </c>
      <c r="K274" s="30" t="inlineStr">
        <is>
          <t>14.12.11</t>
        </is>
      </c>
      <c r="L274" s="30" t="inlineStr">
        <is>
          <t>Swimming New Zealand Long Course Records by Age - user-supplied PDF</t>
        </is>
      </c>
      <c r="M274" s="30" t="n"/>
      <c r="N274" s="30" t="inlineStr">
        <is>
          <t>NO</t>
        </is>
      </c>
      <c r="O274" s="30" t="inlineStr">
        <is>
          <t>YES</t>
        </is>
      </c>
      <c r="P274" s="30" t="n"/>
      <c r="Q274" s="30" t="inlineStr">
        <is>
          <t>1:52.25</t>
        </is>
      </c>
      <c r="R274" s="22">
        <f>IF(Q274="","",IF(ISNUMBER(SEARCH(":",Q274)),VALUE(LEFT(Q274,SEARCH(":",Q274)-1))*60+VALUE(MID(Q274,SEARCH(":",Q274)+1,99)),VALUE(Q274)))</f>
        <v/>
      </c>
      <c r="S274" s="39">
        <f>IF(OR(J274="",R274=""),"",(R274-J274)/R274)</f>
        <v/>
      </c>
      <c r="T274" s="22">
        <f>IF(OR(P274&lt;&gt;"",N274="YES"),"YES","NO")</f>
        <v/>
      </c>
      <c r="U274" s="22">
        <f>IF(AND(O274="YES",T274="YES",S274&lt;&gt;""),COUNTIFS($C$5:$C$424,C274,$S$5:$S$424,"&gt;"&amp;S274)+COUNTIFS($C$5:C274,C274,$S$5:S274,S274),"")</f>
        <v/>
      </c>
      <c r="V274" s="22">
        <f>IF(U274="","",C274&amp;"|"&amp;U274)</f>
        <v/>
      </c>
      <c r="W274" s="30" t="n"/>
      <c r="X274" s="30" t="inlineStr">
        <is>
          <t>Next-fastest time supplied in user workbook; swimmer name not yet supplied.</t>
        </is>
      </c>
    </row>
    <row r="275" ht="15" customHeight="1" s="17">
      <c r="A275" s="30" t="inlineStr">
        <is>
          <t>NZ|LCM|M|16|400 Free</t>
        </is>
      </c>
      <c r="B275" s="30" t="inlineStr">
        <is>
          <t>LCM</t>
        </is>
      </c>
      <c r="C275" s="30" t="inlineStr">
        <is>
          <t>Male</t>
        </is>
      </c>
      <c r="D275" s="30" t="n">
        <v>16</v>
      </c>
      <c r="E275" s="30" t="inlineStr">
        <is>
          <t>400 Free</t>
        </is>
      </c>
      <c r="F275" s="30" t="inlineStr">
        <is>
          <t>Danyon Loader</t>
        </is>
      </c>
      <c r="G275" s="22" t="inlineStr">
        <is>
          <t>Danyon Loader</t>
        </is>
      </c>
      <c r="H275" s="22" t="n"/>
      <c r="I275" s="30" t="inlineStr">
        <is>
          <t>3:55.15</t>
        </is>
      </c>
      <c r="J275" s="22">
        <f>IF(I275="","",IF(ISNUMBER(SEARCH(":",I275)),VALUE(LEFT(I275,SEARCH(":",I275)-1))*60+VALUE(MID(I275,SEARCH(":",I275)+1,99)),VALUE(I275)))</f>
        <v/>
      </c>
      <c r="K275" s="30" t="inlineStr">
        <is>
          <t>28.10.91</t>
        </is>
      </c>
      <c r="L275" s="30" t="inlineStr">
        <is>
          <t>Swimming New Zealand Long Course Records by Age - user-supplied PDF</t>
        </is>
      </c>
      <c r="M275" s="30" t="n"/>
      <c r="N275" s="30" t="inlineStr">
        <is>
          <t>NO</t>
        </is>
      </c>
      <c r="O275" s="30" t="inlineStr">
        <is>
          <t>YES</t>
        </is>
      </c>
      <c r="P275" s="30" t="n"/>
      <c r="Q275" s="30" t="inlineStr">
        <is>
          <t>3:58.60</t>
        </is>
      </c>
      <c r="R275" s="22">
        <f>IF(Q275="","",IF(ISNUMBER(SEARCH(":",Q275)),VALUE(LEFT(Q275,SEARCH(":",Q275)-1))*60+VALUE(MID(Q275,SEARCH(":",Q275)+1,99)),VALUE(Q275)))</f>
        <v/>
      </c>
      <c r="S275" s="39">
        <f>IF(OR(J275="",R275=""),"",(R275-J275)/R275)</f>
        <v/>
      </c>
      <c r="T275" s="22">
        <f>IF(OR(P275&lt;&gt;"",N275="YES"),"YES","NO")</f>
        <v/>
      </c>
      <c r="U275" s="22">
        <f>IF(AND(O275="YES",T275="YES",S275&lt;&gt;""),COUNTIFS($C$5:$C$424,C275,$S$5:$S$424,"&gt;"&amp;S275)+COUNTIFS($C$5:C275,C275,$S$5:S275,S275),"")</f>
        <v/>
      </c>
      <c r="V275" s="22">
        <f>IF(U275="","",C275&amp;"|"&amp;U275)</f>
        <v/>
      </c>
      <c r="W275" s="30" t="n"/>
      <c r="X275" s="30" t="inlineStr">
        <is>
          <t>Next-fastest time supplied in user workbook; swimmer name not yet supplied.</t>
        </is>
      </c>
    </row>
    <row r="276" ht="15" customHeight="1" s="17">
      <c r="A276" s="30" t="inlineStr">
        <is>
          <t>NZ|LCM|M|16|800 Free</t>
        </is>
      </c>
      <c r="B276" s="30" t="inlineStr">
        <is>
          <t>LCM</t>
        </is>
      </c>
      <c r="C276" s="30" t="inlineStr">
        <is>
          <t>Male</t>
        </is>
      </c>
      <c r="D276" s="30" t="n">
        <v>16</v>
      </c>
      <c r="E276" s="30" t="inlineStr">
        <is>
          <t>800 Free</t>
        </is>
      </c>
      <c r="F276" s="30" t="inlineStr">
        <is>
          <t>Standard</t>
        </is>
      </c>
      <c r="G276" s="22" t="n"/>
      <c r="H276" s="22" t="n"/>
      <c r="I276" s="30" t="inlineStr">
        <is>
          <t>8:05.32</t>
        </is>
      </c>
      <c r="J276" s="22">
        <f>IF(I276="","",IF(ISNUMBER(SEARCH(":",I276)),VALUE(LEFT(I276,SEARCH(":",I276)-1))*60+VALUE(MID(I276,SEARCH(":",I276)+1,99)),VALUE(I276)))</f>
        <v/>
      </c>
      <c r="K276" s="30" t="n"/>
      <c r="L276" s="30" t="inlineStr">
        <is>
          <t>Swimming New Zealand Long Course Records by Age - user-supplied PDF</t>
        </is>
      </c>
      <c r="M276" s="30" t="n"/>
      <c r="N276" s="30" t="inlineStr">
        <is>
          <t>NO</t>
        </is>
      </c>
      <c r="O276" s="30" t="inlineStr">
        <is>
          <t>NO - Standard</t>
        </is>
      </c>
      <c r="P276" s="30" t="n"/>
      <c r="Q276" s="30" t="inlineStr">
        <is>
          <t>8:11.25</t>
        </is>
      </c>
      <c r="R276" s="22">
        <f>IF(Q276="","",IF(ISNUMBER(SEARCH(":",Q276)),VALUE(LEFT(Q276,SEARCH(":",Q276)-1))*60+VALUE(MID(Q276,SEARCH(":",Q276)+1,99)),VALUE(Q276)))</f>
        <v/>
      </c>
      <c r="S276" s="39">
        <f>IF(OR(J276="",R276=""),"",(R276-J276)/R276)</f>
        <v/>
      </c>
      <c r="T276" s="22">
        <f>IF(OR(P276&lt;&gt;"",N276="YES"),"YES","NO")</f>
        <v/>
      </c>
      <c r="U276" s="22">
        <f>IF(AND(O276="YES",T276="YES",S276&lt;&gt;""),COUNTIFS($C$5:$C$424,C276,$S$5:$S$424,"&gt;"&amp;S276)+COUNTIFS($C$5:C276,C276,$S$5:S276,S276),"")</f>
        <v/>
      </c>
      <c r="V276" s="22">
        <f>IF(U276="","",C276&amp;"|"&amp;U276)</f>
        <v/>
      </c>
      <c r="W276" s="30" t="inlineStr">
        <is>
          <t>Excluded from record-holder rankings. Margin retained for reference only.</t>
        </is>
      </c>
      <c r="X276" s="30" t="inlineStr">
        <is>
          <t>User-supplied next-fastest time; Standard has no swimmer record holder.</t>
        </is>
      </c>
    </row>
    <row r="277" ht="15" customHeight="1" s="17">
      <c r="A277" s="30" t="inlineStr">
        <is>
          <t>NZ|LCM|M|16|1500 Free</t>
        </is>
      </c>
      <c r="B277" s="30" t="inlineStr">
        <is>
          <t>LCM</t>
        </is>
      </c>
      <c r="C277" s="30" t="inlineStr">
        <is>
          <t>Male</t>
        </is>
      </c>
      <c r="D277" s="30" t="n">
        <v>16</v>
      </c>
      <c r="E277" s="30" t="inlineStr">
        <is>
          <t>1500 Free</t>
        </is>
      </c>
      <c r="F277" s="30" t="inlineStr">
        <is>
          <t>Michael Mincham</t>
        </is>
      </c>
      <c r="G277" s="22" t="inlineStr">
        <is>
          <t>Michael Mincham</t>
        </is>
      </c>
      <c r="H277" s="22" t="n"/>
      <c r="I277" s="30" t="inlineStr">
        <is>
          <t>15:32.13</t>
        </is>
      </c>
      <c r="J277" s="22">
        <f>IF(I277="","",IF(ISNUMBER(SEARCH(":",I277)),VALUE(LEFT(I277,SEARCH(":",I277)-1))*60+VALUE(MID(I277,SEARCH(":",I277)+1,99)),VALUE(I277)))</f>
        <v/>
      </c>
      <c r="K277" s="30" t="inlineStr">
        <is>
          <t>22.03.13</t>
        </is>
      </c>
      <c r="L277" s="30" t="inlineStr">
        <is>
          <t>Swimming New Zealand Long Course Records by Age - user-supplied PDF</t>
        </is>
      </c>
      <c r="M277" s="30" t="n"/>
      <c r="N277" s="30" t="inlineStr">
        <is>
          <t>NO</t>
        </is>
      </c>
      <c r="O277" s="30" t="inlineStr">
        <is>
          <t>YES</t>
        </is>
      </c>
      <c r="P277" s="30" t="n"/>
      <c r="Q277" s="30" t="inlineStr">
        <is>
          <t>15:38.39</t>
        </is>
      </c>
      <c r="R277" s="22">
        <f>IF(Q277="","",IF(ISNUMBER(SEARCH(":",Q277)),VALUE(LEFT(Q277,SEARCH(":",Q277)-1))*60+VALUE(MID(Q277,SEARCH(":",Q277)+1,99)),VALUE(Q277)))</f>
        <v/>
      </c>
      <c r="S277" s="39">
        <f>IF(OR(J277="",R277=""),"",(R277-J277)/R277)</f>
        <v/>
      </c>
      <c r="T277" s="22">
        <f>IF(OR(P277&lt;&gt;"",N277="YES"),"YES","NO")</f>
        <v/>
      </c>
      <c r="U277" s="22">
        <f>IF(AND(O277="YES",T277="YES",S277&lt;&gt;""),COUNTIFS($C$5:$C$424,C277,$S$5:$S$424,"&gt;"&amp;S277)+COUNTIFS($C$5:C277,C277,$S$5:S277,S277),"")</f>
        <v/>
      </c>
      <c r="V277" s="22">
        <f>IF(U277="","",C277&amp;"|"&amp;U277)</f>
        <v/>
      </c>
      <c r="W277" s="30" t="n"/>
      <c r="X277" s="30" t="inlineStr">
        <is>
          <t>Next-fastest time supplied in user workbook; swimmer name not yet supplied.</t>
        </is>
      </c>
    </row>
    <row r="278" ht="15" customHeight="1" s="17">
      <c r="A278" s="30" t="inlineStr">
        <is>
          <t>NZ|LCM|M|16|50 Back</t>
        </is>
      </c>
      <c r="B278" s="30" t="inlineStr">
        <is>
          <t>LCM</t>
        </is>
      </c>
      <c r="C278" s="30" t="inlineStr">
        <is>
          <t>Male</t>
        </is>
      </c>
      <c r="D278" s="30" t="n">
        <v>16</v>
      </c>
      <c r="E278" s="30" t="inlineStr">
        <is>
          <t>50 Back</t>
        </is>
      </c>
      <c r="F278" s="30" t="inlineStr">
        <is>
          <t>Bruce Shen</t>
        </is>
      </c>
      <c r="G278" s="22" t="inlineStr">
        <is>
          <t>Bruce Shen</t>
        </is>
      </c>
      <c r="H278" s="22" t="n"/>
      <c r="I278" s="30" t="inlineStr">
        <is>
          <t>25.90</t>
        </is>
      </c>
      <c r="J278" s="22">
        <f>IF(I278="","",IF(ISNUMBER(SEARCH(":",I278)),VALUE(LEFT(I278,SEARCH(":",I278)-1))*60+VALUE(MID(I278,SEARCH(":",I278)+1,99)),VALUE(I278)))</f>
        <v/>
      </c>
      <c r="K278" s="30" t="inlineStr">
        <is>
          <t>25.05.25</t>
        </is>
      </c>
      <c r="L278" s="30" t="inlineStr">
        <is>
          <t>Swimming New Zealand Long Course Records by Age - user-supplied PDF</t>
        </is>
      </c>
      <c r="M278" s="30" t="n"/>
      <c r="N278" s="30" t="inlineStr">
        <is>
          <t>NO</t>
        </is>
      </c>
      <c r="O278" s="30" t="inlineStr">
        <is>
          <t>YES</t>
        </is>
      </c>
      <c r="P278" s="30" t="n"/>
      <c r="Q278" s="30" t="inlineStr">
        <is>
          <t>26.33</t>
        </is>
      </c>
      <c r="R278" s="22">
        <f>IF(Q278="","",IF(ISNUMBER(SEARCH(":",Q278)),VALUE(LEFT(Q278,SEARCH(":",Q278)-1))*60+VALUE(MID(Q278,SEARCH(":",Q278)+1,99)),VALUE(Q278)))</f>
        <v/>
      </c>
      <c r="S278" s="39">
        <f>IF(OR(J278="",R278=""),"",(R278-J278)/R278)</f>
        <v/>
      </c>
      <c r="T278" s="22">
        <f>IF(OR(P278&lt;&gt;"",N278="YES"),"YES","NO")</f>
        <v/>
      </c>
      <c r="U278" s="22">
        <f>IF(AND(O278="YES",T278="YES",S278&lt;&gt;""),COUNTIFS($C$5:$C$424,C278,$S$5:$S$424,"&gt;"&amp;S278)+COUNTIFS($C$5:C278,C278,$S$5:S278,S278),"")</f>
        <v/>
      </c>
      <c r="V278" s="22">
        <f>IF(U278="","",C278&amp;"|"&amp;U278)</f>
        <v/>
      </c>
      <c r="W278" s="30" t="n"/>
      <c r="X278" s="30" t="inlineStr">
        <is>
          <t>Next-fastest time supplied in user workbook; swimmer name not yet supplied.</t>
        </is>
      </c>
    </row>
    <row r="279" ht="15" customHeight="1" s="17">
      <c r="A279" s="30" t="inlineStr">
        <is>
          <t>NZ|LCM|M|16|100 Back</t>
        </is>
      </c>
      <c r="B279" s="30" t="inlineStr">
        <is>
          <t>LCM</t>
        </is>
      </c>
      <c r="C279" s="30" t="inlineStr">
        <is>
          <t>Male</t>
        </is>
      </c>
      <c r="D279" s="30" t="n">
        <v>16</v>
      </c>
      <c r="E279" s="30" t="inlineStr">
        <is>
          <t>100 Back</t>
        </is>
      </c>
      <c r="F279" s="30" t="inlineStr">
        <is>
          <t>Lucas Bell</t>
        </is>
      </c>
      <c r="G279" s="22" t="inlineStr">
        <is>
          <t>Lucas Bell</t>
        </is>
      </c>
      <c r="H279" s="22" t="n"/>
      <c r="I279" s="30" t="inlineStr">
        <is>
          <t>56.49</t>
        </is>
      </c>
      <c r="J279" s="22">
        <f>IF(I279="","",IF(ISNUMBER(SEARCH(":",I279)),VALUE(LEFT(I279,SEARCH(":",I279)-1))*60+VALUE(MID(I279,SEARCH(":",I279)+1,99)),VALUE(I279)))</f>
        <v/>
      </c>
      <c r="K279" s="30" t="inlineStr">
        <is>
          <t>10.04.26</t>
        </is>
      </c>
      <c r="L279" s="30" t="inlineStr">
        <is>
          <t>Swimming New Zealand Long Course Records by Age - user-supplied PDF</t>
        </is>
      </c>
      <c r="M279" s="30" t="n"/>
      <c r="N279" s="30" t="inlineStr">
        <is>
          <t>NO</t>
        </is>
      </c>
      <c r="O279" s="30" t="inlineStr">
        <is>
          <t>YES</t>
        </is>
      </c>
      <c r="P279" s="30" t="n"/>
      <c r="Q279" s="30" t="inlineStr">
        <is>
          <t>56.51</t>
        </is>
      </c>
      <c r="R279" s="22">
        <f>IF(Q279="","",IF(ISNUMBER(SEARCH(":",Q279)),VALUE(LEFT(Q279,SEARCH(":",Q279)-1))*60+VALUE(MID(Q279,SEARCH(":",Q279)+1,99)),VALUE(Q279)))</f>
        <v/>
      </c>
      <c r="S279" s="39">
        <f>IF(OR(J279="",R279=""),"",(R279-J279)/R279)</f>
        <v/>
      </c>
      <c r="T279" s="22">
        <f>IF(OR(P279&lt;&gt;"",N279="YES"),"YES","NO")</f>
        <v/>
      </c>
      <c r="U279" s="22">
        <f>IF(AND(O279="YES",T279="YES",S279&lt;&gt;""),COUNTIFS($C$5:$C$424,C279,$S$5:$S$424,"&gt;"&amp;S279)+COUNTIFS($C$5:C279,C279,$S$5:S279,S279),"")</f>
        <v/>
      </c>
      <c r="V279" s="22">
        <f>IF(U279="","",C279&amp;"|"&amp;U279)</f>
        <v/>
      </c>
      <c r="W279" s="30" t="n"/>
      <c r="X279" s="30" t="inlineStr">
        <is>
          <t>Next-fastest time supplied in user workbook; swimmer name not yet supplied.</t>
        </is>
      </c>
    </row>
    <row r="280" ht="15" customHeight="1" s="17">
      <c r="A280" s="30" t="inlineStr">
        <is>
          <t>NZ|LCM|M|16|200 Back</t>
        </is>
      </c>
      <c r="B280" s="30" t="inlineStr">
        <is>
          <t>LCM</t>
        </is>
      </c>
      <c r="C280" s="30" t="inlineStr">
        <is>
          <t>Male</t>
        </is>
      </c>
      <c r="D280" s="30" t="n">
        <v>16</v>
      </c>
      <c r="E280" s="30" t="inlineStr">
        <is>
          <t>200 Back</t>
        </is>
      </c>
      <c r="F280" s="30" t="inlineStr">
        <is>
          <t>Ariel Muchirahondo</t>
        </is>
      </c>
      <c r="G280" s="22" t="inlineStr">
        <is>
          <t>Ariel Muchirahondo</t>
        </is>
      </c>
      <c r="H280" s="22" t="n"/>
      <c r="I280" s="30" t="inlineStr">
        <is>
          <t>2:00.56</t>
        </is>
      </c>
      <c r="J280" s="22">
        <f>IF(I280="","",IF(ISNUMBER(SEARCH(":",I280)),VALUE(LEFT(I280,SEARCH(":",I280)-1))*60+VALUE(MID(I280,SEARCH(":",I280)+1,99)),VALUE(I280)))</f>
        <v/>
      </c>
      <c r="K280" s="30" t="inlineStr">
        <is>
          <t>29.11.25</t>
        </is>
      </c>
      <c r="L280" s="30" t="inlineStr">
        <is>
          <t>Swimming New Zealand Long Course Records by Age - user-supplied PDF</t>
        </is>
      </c>
      <c r="M280" s="30" t="n"/>
      <c r="N280" s="30" t="inlineStr">
        <is>
          <t>NO</t>
        </is>
      </c>
      <c r="O280" s="30" t="inlineStr">
        <is>
          <t>YES</t>
        </is>
      </c>
      <c r="P280" s="30" t="n"/>
      <c r="Q280" s="30" t="inlineStr">
        <is>
          <t>2:02.93</t>
        </is>
      </c>
      <c r="R280" s="22">
        <f>IF(Q280="","",IF(ISNUMBER(SEARCH(":",Q280)),VALUE(LEFT(Q280,SEARCH(":",Q280)-1))*60+VALUE(MID(Q280,SEARCH(":",Q280)+1,99)),VALUE(Q280)))</f>
        <v/>
      </c>
      <c r="S280" s="39">
        <f>IF(OR(J280="",R280=""),"",(R280-J280)/R280)</f>
        <v/>
      </c>
      <c r="T280" s="22">
        <f>IF(OR(P280&lt;&gt;"",N280="YES"),"YES","NO")</f>
        <v/>
      </c>
      <c r="U280" s="22">
        <f>IF(AND(O280="YES",T280="YES",S280&lt;&gt;""),COUNTIFS($C$5:$C$424,C280,$S$5:$S$424,"&gt;"&amp;S280)+COUNTIFS($C$5:C280,C280,$S$5:S280,S280),"")</f>
        <v/>
      </c>
      <c r="V280" s="22">
        <f>IF(U280="","",C280&amp;"|"&amp;U280)</f>
        <v/>
      </c>
      <c r="W280" s="30" t="n"/>
      <c r="X280" s="30" t="inlineStr">
        <is>
          <t>Next-fastest time supplied in user workbook; swimmer name not yet supplied.</t>
        </is>
      </c>
    </row>
    <row r="281" ht="15" customHeight="1" s="17">
      <c r="A281" s="30" t="inlineStr">
        <is>
          <t>NZ|LCM|M|16|50 Breast</t>
        </is>
      </c>
      <c r="B281" s="30" t="inlineStr">
        <is>
          <t>LCM</t>
        </is>
      </c>
      <c r="C281" s="30" t="inlineStr">
        <is>
          <t>Male</t>
        </is>
      </c>
      <c r="D281" s="30" t="n">
        <v>16</v>
      </c>
      <c r="E281" s="30" t="inlineStr">
        <is>
          <t>50 Breast</t>
        </is>
      </c>
      <c r="F281" s="30" t="inlineStr">
        <is>
          <t>Jeffrey Arona-Tuifana'e</t>
        </is>
      </c>
      <c r="G281" s="22" t="inlineStr">
        <is>
          <t>Jeffrey Arona-Tuifana'e</t>
        </is>
      </c>
      <c r="H281" s="22" t="n"/>
      <c r="I281" s="30" t="inlineStr">
        <is>
          <t>28.65</t>
        </is>
      </c>
      <c r="J281" s="22">
        <f>IF(I281="","",IF(ISNUMBER(SEARCH(":",I281)),VALUE(LEFT(I281,SEARCH(":",I281)-1))*60+VALUE(MID(I281,SEARCH(":",I281)+1,99)),VALUE(I281)))</f>
        <v/>
      </c>
      <c r="K281" s="30" t="inlineStr">
        <is>
          <t>02.03.11</t>
        </is>
      </c>
      <c r="L281" s="30" t="inlineStr">
        <is>
          <t>Swimming New Zealand Long Course Records by Age - user-supplied PDF</t>
        </is>
      </c>
      <c r="M281" s="30" t="n"/>
      <c r="N281" s="30" t="inlineStr">
        <is>
          <t>NO</t>
        </is>
      </c>
      <c r="O281" s="30" t="inlineStr">
        <is>
          <t>YES</t>
        </is>
      </c>
      <c r="P281" s="30" t="n"/>
      <c r="Q281" s="30" t="inlineStr">
        <is>
          <t>28.74</t>
        </is>
      </c>
      <c r="R281" s="22">
        <f>IF(Q281="","",IF(ISNUMBER(SEARCH(":",Q281)),VALUE(LEFT(Q281,SEARCH(":",Q281)-1))*60+VALUE(MID(Q281,SEARCH(":",Q281)+1,99)),VALUE(Q281)))</f>
        <v/>
      </c>
      <c r="S281" s="39">
        <f>IF(OR(J281="",R281=""),"",(R281-J281)/R281)</f>
        <v/>
      </c>
      <c r="T281" s="22">
        <f>IF(OR(P281&lt;&gt;"",N281="YES"),"YES","NO")</f>
        <v/>
      </c>
      <c r="U281" s="22">
        <f>IF(AND(O281="YES",T281="YES",S281&lt;&gt;""),COUNTIFS($C$5:$C$424,C281,$S$5:$S$424,"&gt;"&amp;S281)+COUNTIFS($C$5:C281,C281,$S$5:S281,S281),"")</f>
        <v/>
      </c>
      <c r="V281" s="22">
        <f>IF(U281="","",C281&amp;"|"&amp;U281)</f>
        <v/>
      </c>
      <c r="W281" s="30" t="n"/>
      <c r="X281" s="30" t="inlineStr">
        <is>
          <t>Next-fastest time supplied in user workbook; swimmer name not yet supplied.</t>
        </is>
      </c>
    </row>
    <row r="282" ht="15" customHeight="1" s="17">
      <c r="A282" s="30" t="inlineStr">
        <is>
          <t>NZ|LCM|M|16|100 Breast</t>
        </is>
      </c>
      <c r="B282" s="30" t="inlineStr">
        <is>
          <t>LCM</t>
        </is>
      </c>
      <c r="C282" s="30" t="inlineStr">
        <is>
          <t>Male</t>
        </is>
      </c>
      <c r="D282" s="30" t="n">
        <v>16</v>
      </c>
      <c r="E282" s="30" t="inlineStr">
        <is>
          <t>100 Breast</t>
        </is>
      </c>
      <c r="F282" s="30" t="inlineStr">
        <is>
          <t>Jeffrey Arona-Tuifana'e</t>
        </is>
      </c>
      <c r="G282" s="22" t="inlineStr">
        <is>
          <t>Jeffrey Arona-Tuifana'e</t>
        </is>
      </c>
      <c r="H282" s="22" t="n"/>
      <c r="I282" s="30" t="inlineStr">
        <is>
          <t>1:03.60</t>
        </is>
      </c>
      <c r="J282" s="22">
        <f>IF(I282="","",IF(ISNUMBER(SEARCH(":",I282)),VALUE(LEFT(I282,SEARCH(":",I282)-1))*60+VALUE(MID(I282,SEARCH(":",I282)+1,99)),VALUE(I282)))</f>
        <v/>
      </c>
      <c r="K282" s="30" t="inlineStr">
        <is>
          <t>19.04.11</t>
        </is>
      </c>
      <c r="L282" s="30" t="inlineStr">
        <is>
          <t>Swimming New Zealand Long Course Records by Age - user-supplied PDF</t>
        </is>
      </c>
      <c r="M282" s="30" t="n"/>
      <c r="N282" s="30" t="inlineStr">
        <is>
          <t>NO</t>
        </is>
      </c>
      <c r="O282" s="30" t="inlineStr">
        <is>
          <t>YES</t>
        </is>
      </c>
      <c r="P282" s="30" t="n"/>
      <c r="Q282" s="30" t="inlineStr">
        <is>
          <t>1:04.04</t>
        </is>
      </c>
      <c r="R282" s="22">
        <f>IF(Q282="","",IF(ISNUMBER(SEARCH(":",Q282)),VALUE(LEFT(Q282,SEARCH(":",Q282)-1))*60+VALUE(MID(Q282,SEARCH(":",Q282)+1,99)),VALUE(Q282)))</f>
        <v/>
      </c>
      <c r="S282" s="39">
        <f>IF(OR(J282="",R282=""),"",(R282-J282)/R282)</f>
        <v/>
      </c>
      <c r="T282" s="22">
        <f>IF(OR(P282&lt;&gt;"",N282="YES"),"YES","NO")</f>
        <v/>
      </c>
      <c r="U282" s="22">
        <f>IF(AND(O282="YES",T282="YES",S282&lt;&gt;""),COUNTIFS($C$5:$C$424,C282,$S$5:$S$424,"&gt;"&amp;S282)+COUNTIFS($C$5:C282,C282,$S$5:S282,S282),"")</f>
        <v/>
      </c>
      <c r="V282" s="22">
        <f>IF(U282="","",C282&amp;"|"&amp;U282)</f>
        <v/>
      </c>
      <c r="W282" s="30" t="n"/>
      <c r="X282" s="30" t="inlineStr">
        <is>
          <t>Next-fastest time supplied in user workbook; swimmer name not yet supplied.</t>
        </is>
      </c>
    </row>
    <row r="283" ht="15" customHeight="1" s="17">
      <c r="A283" s="30" t="inlineStr">
        <is>
          <t>NZ|LCM|M|16|200 Breast</t>
        </is>
      </c>
      <c r="B283" s="30" t="inlineStr">
        <is>
          <t>LCM</t>
        </is>
      </c>
      <c r="C283" s="30" t="inlineStr">
        <is>
          <t>Male</t>
        </is>
      </c>
      <c r="D283" s="30" t="n">
        <v>16</v>
      </c>
      <c r="E283" s="30" t="inlineStr">
        <is>
          <t>200 Breast</t>
        </is>
      </c>
      <c r="F283" s="30" t="inlineStr">
        <is>
          <t>Luan Grobbelaar</t>
        </is>
      </c>
      <c r="G283" s="22" t="inlineStr">
        <is>
          <t>Luan Grobbelaar</t>
        </is>
      </c>
      <c r="H283" s="22" t="n"/>
      <c r="I283" s="30" t="inlineStr">
        <is>
          <t>2:17.65</t>
        </is>
      </c>
      <c r="J283" s="22">
        <f>IF(I283="","",IF(ISNUMBER(SEARCH(":",I283)),VALUE(LEFT(I283,SEARCH(":",I283)-1))*60+VALUE(MID(I283,SEARCH(":",I283)+1,99)),VALUE(I283)))</f>
        <v/>
      </c>
      <c r="K283" s="30" t="inlineStr">
        <is>
          <t>10.12.18</t>
        </is>
      </c>
      <c r="L283" s="30" t="inlineStr">
        <is>
          <t>Swimming New Zealand Long Course Records by Age - user-supplied PDF</t>
        </is>
      </c>
      <c r="M283" s="30" t="n"/>
      <c r="N283" s="30" t="inlineStr">
        <is>
          <t>NO</t>
        </is>
      </c>
      <c r="O283" s="30" t="inlineStr">
        <is>
          <t>YES</t>
        </is>
      </c>
      <c r="P283" s="30" t="n"/>
      <c r="Q283" s="30" t="inlineStr">
        <is>
          <t>2:19.87</t>
        </is>
      </c>
      <c r="R283" s="22">
        <f>IF(Q283="","",IF(ISNUMBER(SEARCH(":",Q283)),VALUE(LEFT(Q283,SEARCH(":",Q283)-1))*60+VALUE(MID(Q283,SEARCH(":",Q283)+1,99)),VALUE(Q283)))</f>
        <v/>
      </c>
      <c r="S283" s="39">
        <f>IF(OR(J283="",R283=""),"",(R283-J283)/R283)</f>
        <v/>
      </c>
      <c r="T283" s="22">
        <f>IF(OR(P283&lt;&gt;"",N283="YES"),"YES","NO")</f>
        <v/>
      </c>
      <c r="U283" s="22">
        <f>IF(AND(O283="YES",T283="YES",S283&lt;&gt;""),COUNTIFS($C$5:$C$424,C283,$S$5:$S$424,"&gt;"&amp;S283)+COUNTIFS($C$5:C283,C283,$S$5:S283,S283),"")</f>
        <v/>
      </c>
      <c r="V283" s="22">
        <f>IF(U283="","",C283&amp;"|"&amp;U283)</f>
        <v/>
      </c>
      <c r="W283" s="30" t="n"/>
      <c r="X283" s="30" t="inlineStr">
        <is>
          <t>Next-fastest time supplied in user workbook; swimmer name not yet supplied.</t>
        </is>
      </c>
    </row>
    <row r="284" ht="15" customHeight="1" s="17">
      <c r="A284" s="30" t="inlineStr">
        <is>
          <t>NZ|LCM|M|16|50 Fly</t>
        </is>
      </c>
      <c r="B284" s="30" t="inlineStr">
        <is>
          <t>LCM</t>
        </is>
      </c>
      <c r="C284" s="30" t="inlineStr">
        <is>
          <t>Male</t>
        </is>
      </c>
      <c r="D284" s="30" t="n">
        <v>16</v>
      </c>
      <c r="E284" s="30" t="inlineStr">
        <is>
          <t>50 Fly</t>
        </is>
      </c>
      <c r="F284" s="30" t="inlineStr">
        <is>
          <t>Corney Swanepoel</t>
        </is>
      </c>
      <c r="G284" s="22" t="inlineStr">
        <is>
          <t>Corney Swanepoel</t>
        </is>
      </c>
      <c r="H284" s="22" t="n"/>
      <c r="I284" s="30" t="inlineStr">
        <is>
          <t>24.21</t>
        </is>
      </c>
      <c r="J284" s="22">
        <f>IF(I284="","",IF(ISNUMBER(SEARCH(":",I284)),VALUE(LEFT(I284,SEARCH(":",I284)-1))*60+VALUE(MID(I284,SEARCH(":",I284)+1,99)),VALUE(I284)))</f>
        <v/>
      </c>
      <c r="K284" s="30" t="inlineStr">
        <is>
          <t>04.03.03</t>
        </is>
      </c>
      <c r="L284" s="30" t="inlineStr">
        <is>
          <t>Swimming New Zealand Long Course Records by Age - user-supplied PDF</t>
        </is>
      </c>
      <c r="M284" s="30" t="n"/>
      <c r="N284" s="30" t="inlineStr">
        <is>
          <t>NO</t>
        </is>
      </c>
      <c r="O284" s="30" t="inlineStr">
        <is>
          <t>YES</t>
        </is>
      </c>
      <c r="P284" s="30" t="inlineStr">
        <is>
          <t>Kayne Howat</t>
        </is>
      </c>
      <c r="Q284" s="30" t="inlineStr">
        <is>
          <t>24.95</t>
        </is>
      </c>
      <c r="R284" s="22">
        <f>IF(Q284="","",IF(ISNUMBER(SEARCH(":",Q284)),VALUE(LEFT(Q284,SEARCH(":",Q284)-1))*60+VALUE(MID(Q284,SEARCH(":",Q284)+1,99)),VALUE(Q284)))</f>
        <v/>
      </c>
      <c r="S284" s="39">
        <f>IF(OR(J284="",R284=""),"",(R284-J284)/R284)</f>
        <v/>
      </c>
      <c r="T284" s="22">
        <f>IF(OR(P284&lt;&gt;"",N284="YES"),"YES","NO")</f>
        <v/>
      </c>
      <c r="U284" s="22">
        <f>IF(AND(O284="YES",T284="YES",S284&lt;&gt;""),COUNTIFS($C$5:$C$424,C284,$S$5:$S$424,"&gt;"&amp;S284)+COUNTIFS($C$5:C284,C284,$S$5:S284,S284),"")</f>
        <v/>
      </c>
      <c r="V284" s="22">
        <f>IF(U284="","",C284&amp;"|"&amp;U284)</f>
        <v/>
      </c>
      <c r="W284" s="30" t="n"/>
      <c r="X284" s="30" t="inlineStr">
        <is>
          <t>Next-fastest time supplied in user workbook; swimmer name not yet supplied.</t>
        </is>
      </c>
    </row>
    <row r="285" ht="15" customHeight="1" s="17">
      <c r="A285" s="30" t="inlineStr">
        <is>
          <t>NZ|LCM|M|16|100 Fly</t>
        </is>
      </c>
      <c r="B285" s="30" t="inlineStr">
        <is>
          <t>LCM</t>
        </is>
      </c>
      <c r="C285" s="30" t="inlineStr">
        <is>
          <t>Male</t>
        </is>
      </c>
      <c r="D285" s="30" t="n">
        <v>16</v>
      </c>
      <c r="E285" s="30" t="inlineStr">
        <is>
          <t>100 Fly</t>
        </is>
      </c>
      <c r="F285" s="30" t="inlineStr">
        <is>
          <t>Corney Swanepoel</t>
        </is>
      </c>
      <c r="G285" s="22" t="inlineStr">
        <is>
          <t>Corney Swanepoel</t>
        </is>
      </c>
      <c r="H285" s="22" t="n"/>
      <c r="I285" s="30" t="inlineStr">
        <is>
          <t>53.49</t>
        </is>
      </c>
      <c r="J285" s="22">
        <f>IF(I285="","",IF(ISNUMBER(SEARCH(":",I285)),VALUE(LEFT(I285,SEARCH(":",I285)-1))*60+VALUE(MID(I285,SEARCH(":",I285)+1,99)),VALUE(I285)))</f>
        <v/>
      </c>
      <c r="K285" s="30" t="inlineStr">
        <is>
          <t>06.03.03</t>
        </is>
      </c>
      <c r="L285" s="30" t="inlineStr">
        <is>
          <t>Swimming New Zealand Long Course Records by Age - user-supplied PDF</t>
        </is>
      </c>
      <c r="M285" s="30" t="n"/>
      <c r="N285" s="30" t="inlineStr">
        <is>
          <t>NO</t>
        </is>
      </c>
      <c r="O285" s="30" t="inlineStr">
        <is>
          <t>YES</t>
        </is>
      </c>
      <c r="P285" s="30" t="n"/>
      <c r="Q285" s="30" t="inlineStr">
        <is>
          <t>55.04</t>
        </is>
      </c>
      <c r="R285" s="22">
        <f>IF(Q285="","",IF(ISNUMBER(SEARCH(":",Q285)),VALUE(LEFT(Q285,SEARCH(":",Q285)-1))*60+VALUE(MID(Q285,SEARCH(":",Q285)+1,99)),VALUE(Q285)))</f>
        <v/>
      </c>
      <c r="S285" s="39">
        <f>IF(OR(J285="",R285=""),"",(R285-J285)/R285)</f>
        <v/>
      </c>
      <c r="T285" s="22">
        <f>IF(OR(P285&lt;&gt;"",N285="YES"),"YES","NO")</f>
        <v/>
      </c>
      <c r="U285" s="22">
        <f>IF(AND(O285="YES",T285="YES",S285&lt;&gt;""),COUNTIFS($C$5:$C$424,C285,$S$5:$S$424,"&gt;"&amp;S285)+COUNTIFS($C$5:C285,C285,$S$5:S285,S285),"")</f>
        <v/>
      </c>
      <c r="V285" s="22">
        <f>IF(U285="","",C285&amp;"|"&amp;U285)</f>
        <v/>
      </c>
      <c r="W285" s="30" t="n"/>
      <c r="X285" s="30" t="inlineStr">
        <is>
          <t>Next-fastest time supplied in user workbook; swimmer name not yet supplied.</t>
        </is>
      </c>
    </row>
    <row r="286" ht="15" customHeight="1" s="17">
      <c r="A286" s="30" t="inlineStr">
        <is>
          <t>NZ|LCM|M|16|200 Fly</t>
        </is>
      </c>
      <c r="B286" s="30" t="inlineStr">
        <is>
          <t>LCM</t>
        </is>
      </c>
      <c r="C286" s="30" t="inlineStr">
        <is>
          <t>Male</t>
        </is>
      </c>
      <c r="D286" s="30" t="n">
        <v>16</v>
      </c>
      <c r="E286" s="30" t="inlineStr">
        <is>
          <t>200 Fly</t>
        </is>
      </c>
      <c r="F286" s="30" t="inlineStr">
        <is>
          <t>Ariel Muchirahondo</t>
        </is>
      </c>
      <c r="G286" s="22" t="inlineStr">
        <is>
          <t>Ariel Muchirahondo</t>
        </is>
      </c>
      <c r="H286" s="22" t="n"/>
      <c r="I286" s="30" t="inlineStr">
        <is>
          <t>2:00.02</t>
        </is>
      </c>
      <c r="J286" s="22">
        <f>IF(I286="","",IF(ISNUMBER(SEARCH(":",I286)),VALUE(LEFT(I286,SEARCH(":",I286)-1))*60+VALUE(MID(I286,SEARCH(":",I286)+1,99)),VALUE(I286)))</f>
        <v/>
      </c>
      <c r="K286" s="30" t="inlineStr">
        <is>
          <t>16.04.25</t>
        </is>
      </c>
      <c r="L286" s="30" t="inlineStr">
        <is>
          <t>Swimming New Zealand Long Course Records by Age - user-supplied PDF</t>
        </is>
      </c>
      <c r="M286" s="30" t="n"/>
      <c r="N286" s="30" t="inlineStr">
        <is>
          <t>NO</t>
        </is>
      </c>
      <c r="O286" s="30" t="inlineStr">
        <is>
          <t>YES</t>
        </is>
      </c>
      <c r="P286" s="30" t="n"/>
      <c r="Q286" s="30" t="inlineStr">
        <is>
          <t>2:01.33</t>
        </is>
      </c>
      <c r="R286" s="22">
        <f>IF(Q286="","",IF(ISNUMBER(SEARCH(":",Q286)),VALUE(LEFT(Q286,SEARCH(":",Q286)-1))*60+VALUE(MID(Q286,SEARCH(":",Q286)+1,99)),VALUE(Q286)))</f>
        <v/>
      </c>
      <c r="S286" s="39">
        <f>IF(OR(J286="",R286=""),"",(R286-J286)/R286)</f>
        <v/>
      </c>
      <c r="T286" s="22">
        <f>IF(OR(P286&lt;&gt;"",N286="YES"),"YES","NO")</f>
        <v/>
      </c>
      <c r="U286" s="22">
        <f>IF(AND(O286="YES",T286="YES",S286&lt;&gt;""),COUNTIFS($C$5:$C$424,C286,$S$5:$S$424,"&gt;"&amp;S286)+COUNTIFS($C$5:C286,C286,$S$5:S286,S286),"")</f>
        <v/>
      </c>
      <c r="V286" s="22">
        <f>IF(U286="","",C286&amp;"|"&amp;U286)</f>
        <v/>
      </c>
      <c r="W286" s="30" t="n"/>
      <c r="X286" s="30" t="inlineStr">
        <is>
          <t>Next-fastest time supplied in user workbook; swimmer name not yet supplied.</t>
        </is>
      </c>
    </row>
    <row r="287" ht="15" customHeight="1" s="17">
      <c r="A287" s="30" t="inlineStr">
        <is>
          <t>NZ|LCM|M|16|200 IM</t>
        </is>
      </c>
      <c r="B287" s="30" t="inlineStr">
        <is>
          <t>LCM</t>
        </is>
      </c>
      <c r="C287" s="30" t="inlineStr">
        <is>
          <t>Male</t>
        </is>
      </c>
      <c r="D287" s="30" t="n">
        <v>16</v>
      </c>
      <c r="E287" s="30" t="inlineStr">
        <is>
          <t>200 IM</t>
        </is>
      </c>
      <c r="F287" s="30" t="inlineStr">
        <is>
          <t>Ariel Muchirahondo</t>
        </is>
      </c>
      <c r="G287" s="22" t="inlineStr">
        <is>
          <t>Ariel Muchirahondo</t>
        </is>
      </c>
      <c r="H287" s="22" t="n"/>
      <c r="I287" s="30" t="inlineStr">
        <is>
          <t>2:02.54</t>
        </is>
      </c>
      <c r="J287" s="22">
        <f>IF(I287="","",IF(ISNUMBER(SEARCH(":",I287)),VALUE(LEFT(I287,SEARCH(":",I287)-1))*60+VALUE(MID(I287,SEARCH(":",I287)+1,99)),VALUE(I287)))</f>
        <v/>
      </c>
      <c r="K287" s="30" t="inlineStr">
        <is>
          <t>07.02.26</t>
        </is>
      </c>
      <c r="L287" s="30" t="inlineStr">
        <is>
          <t>Swimming New Zealand Long Course Records by Age - user-supplied PDF</t>
        </is>
      </c>
      <c r="M287" s="30" t="n"/>
      <c r="N287" s="30" t="inlineStr">
        <is>
          <t>NO</t>
        </is>
      </c>
      <c r="O287" s="30" t="inlineStr">
        <is>
          <t>YES</t>
        </is>
      </c>
      <c r="P287" s="30" t="n"/>
      <c r="Q287" s="30" t="inlineStr">
        <is>
          <t>2:04.35</t>
        </is>
      </c>
      <c r="R287" s="22">
        <f>IF(Q287="","",IF(ISNUMBER(SEARCH(":",Q287)),VALUE(LEFT(Q287,SEARCH(":",Q287)-1))*60+VALUE(MID(Q287,SEARCH(":",Q287)+1,99)),VALUE(Q287)))</f>
        <v/>
      </c>
      <c r="S287" s="39">
        <f>IF(OR(J287="",R287=""),"",(R287-J287)/R287)</f>
        <v/>
      </c>
      <c r="T287" s="22">
        <f>IF(OR(P287&lt;&gt;"",N287="YES"),"YES","NO")</f>
        <v/>
      </c>
      <c r="U287" s="22">
        <f>IF(AND(O287="YES",T287="YES",S287&lt;&gt;""),COUNTIFS($C$5:$C$424,C287,$S$5:$S$424,"&gt;"&amp;S287)+COUNTIFS($C$5:C287,C287,$S$5:S287,S287),"")</f>
        <v/>
      </c>
      <c r="V287" s="22">
        <f>IF(U287="","",C287&amp;"|"&amp;U287)</f>
        <v/>
      </c>
      <c r="W287" s="30" t="n"/>
      <c r="X287" s="30" t="inlineStr">
        <is>
          <t>Next-fastest time supplied in user workbook; swimmer name not yet supplied.</t>
        </is>
      </c>
    </row>
    <row r="288" ht="15" customHeight="1" s="17">
      <c r="A288" s="30" t="inlineStr">
        <is>
          <t>NZ|LCM|M|16|400 IM</t>
        </is>
      </c>
      <c r="B288" s="30" t="inlineStr">
        <is>
          <t>LCM</t>
        </is>
      </c>
      <c r="C288" s="30" t="inlineStr">
        <is>
          <t>Male</t>
        </is>
      </c>
      <c r="D288" s="30" t="n">
        <v>16</v>
      </c>
      <c r="E288" s="30" t="inlineStr">
        <is>
          <t>400 IM</t>
        </is>
      </c>
      <c r="F288" s="30" t="inlineStr">
        <is>
          <t>Ariel Muchirahondo</t>
        </is>
      </c>
      <c r="G288" s="22" t="inlineStr">
        <is>
          <t>Ariel Muchirahondo</t>
        </is>
      </c>
      <c r="H288" s="22" t="n"/>
      <c r="I288" s="30" t="inlineStr">
        <is>
          <t>4:19.17</t>
        </is>
      </c>
      <c r="J288" s="22">
        <f>IF(I288="","",IF(ISNUMBER(SEARCH(":",I288)),VALUE(LEFT(I288,SEARCH(":",I288)-1))*60+VALUE(MID(I288,SEARCH(":",I288)+1,99)),VALUE(I288)))</f>
        <v/>
      </c>
      <c r="K288" s="30" t="inlineStr">
        <is>
          <t>22.02.26</t>
        </is>
      </c>
      <c r="L288" s="30" t="inlineStr">
        <is>
          <t>Swimming New Zealand Long Course Records by Age - user-supplied PDF</t>
        </is>
      </c>
      <c r="M288" s="30" t="n"/>
      <c r="N288" s="30" t="inlineStr">
        <is>
          <t>NO</t>
        </is>
      </c>
      <c r="O288" s="30" t="inlineStr">
        <is>
          <t>YES</t>
        </is>
      </c>
      <c r="P288" s="30" t="n"/>
      <c r="Q288" s="30" t="inlineStr">
        <is>
          <t>4:23.95</t>
        </is>
      </c>
      <c r="R288" s="22">
        <f>IF(Q288="","",IF(ISNUMBER(SEARCH(":",Q288)),VALUE(LEFT(Q288,SEARCH(":",Q288)-1))*60+VALUE(MID(Q288,SEARCH(":",Q288)+1,99)),VALUE(Q288)))</f>
        <v/>
      </c>
      <c r="S288" s="39">
        <f>IF(OR(J288="",R288=""),"",(R288-J288)/R288)</f>
        <v/>
      </c>
      <c r="T288" s="22">
        <f>IF(OR(P288&lt;&gt;"",N288="YES"),"YES","NO")</f>
        <v/>
      </c>
      <c r="U288" s="22">
        <f>IF(AND(O288="YES",T288="YES",S288&lt;&gt;""),COUNTIFS($C$5:$C$424,C288,$S$5:$S$424,"&gt;"&amp;S288)+COUNTIFS($C$5:C288,C288,$S$5:S288,S288),"")</f>
        <v/>
      </c>
      <c r="V288" s="22">
        <f>IF(U288="","",C288&amp;"|"&amp;U288)</f>
        <v/>
      </c>
      <c r="W288" s="30" t="n"/>
      <c r="X288" s="30" t="inlineStr">
        <is>
          <t>Next-fastest time supplied in user workbook; swimmer name not yet supplied.</t>
        </is>
      </c>
    </row>
    <row r="289" ht="15" customHeight="1" s="17">
      <c r="A289" s="30" t="inlineStr">
        <is>
          <t>NZ|LCM|M|17|50 Free</t>
        </is>
      </c>
      <c r="B289" s="30" t="inlineStr">
        <is>
          <t>LCM</t>
        </is>
      </c>
      <c r="C289" s="30" t="inlineStr">
        <is>
          <t>Male</t>
        </is>
      </c>
      <c r="D289" s="30" t="n">
        <v>17</v>
      </c>
      <c r="E289" s="30" t="inlineStr">
        <is>
          <t>50 Free</t>
        </is>
      </c>
      <c r="F289" s="30" t="inlineStr">
        <is>
          <t>Orinoco Faamausili-Banse-Prince</t>
        </is>
      </c>
      <c r="G289" s="22" t="inlineStr">
        <is>
          <t>Orinoco Faamausili-Banse-Prince</t>
        </is>
      </c>
      <c r="H289" s="22" t="n"/>
      <c r="I289" s="30" t="inlineStr">
        <is>
          <t>22.37</t>
        </is>
      </c>
      <c r="J289" s="22">
        <f>IF(I289="","",IF(ISNUMBER(SEARCH(":",I289)),VALUE(LEFT(I289,SEARCH(":",I289)-1))*60+VALUE(MID(I289,SEARCH(":",I289)+1,99)),VALUE(I289)))</f>
        <v/>
      </c>
      <c r="K289" s="30" t="inlineStr">
        <is>
          <t>11.07.08</t>
        </is>
      </c>
      <c r="L289" s="30" t="inlineStr">
        <is>
          <t>Swimming New Zealand Long Course Records by Age - user-supplied PDF</t>
        </is>
      </c>
      <c r="M289" s="30" t="n"/>
      <c r="N289" s="30" t="inlineStr">
        <is>
          <t>NO</t>
        </is>
      </c>
      <c r="O289" s="30" t="inlineStr">
        <is>
          <t>YES</t>
        </is>
      </c>
      <c r="P289" s="30" t="n"/>
      <c r="Q289" s="30" t="inlineStr">
        <is>
          <t>22.46</t>
        </is>
      </c>
      <c r="R289" s="22">
        <f>IF(Q289="","",IF(ISNUMBER(SEARCH(":",Q289)),VALUE(LEFT(Q289,SEARCH(":",Q289)-1))*60+VALUE(MID(Q289,SEARCH(":",Q289)+1,99)),VALUE(Q289)))</f>
        <v/>
      </c>
      <c r="S289" s="39">
        <f>IF(OR(J289="",R289=""),"",(R289-J289)/R289)</f>
        <v/>
      </c>
      <c r="T289" s="22">
        <f>IF(OR(P289&lt;&gt;"",N289="YES"),"YES","NO")</f>
        <v/>
      </c>
      <c r="U289" s="22">
        <f>IF(AND(O289="YES",T289="YES",S289&lt;&gt;""),COUNTIFS($C$5:$C$424,C289,$S$5:$S$424,"&gt;"&amp;S289)+COUNTIFS($C$5:C289,C289,$S$5:S289,S289),"")</f>
        <v/>
      </c>
      <c r="V289" s="22">
        <f>IF(U289="","",C289&amp;"|"&amp;U289)</f>
        <v/>
      </c>
      <c r="W289" s="30" t="n"/>
      <c r="X289" s="30" t="inlineStr">
        <is>
          <t>Next-fastest time supplied in user workbook; swimmer name not yet supplied.</t>
        </is>
      </c>
    </row>
    <row r="290" ht="15" customHeight="1" s="17">
      <c r="A290" s="30" t="inlineStr">
        <is>
          <t>NZ|LCM|M|17|100 Free</t>
        </is>
      </c>
      <c r="B290" s="30" t="inlineStr">
        <is>
          <t>LCM</t>
        </is>
      </c>
      <c r="C290" s="30" t="inlineStr">
        <is>
          <t>Male</t>
        </is>
      </c>
      <c r="D290" s="30" t="n">
        <v>17</v>
      </c>
      <c r="E290" s="30" t="inlineStr">
        <is>
          <t>100 Free</t>
        </is>
      </c>
      <c r="F290" s="30" t="inlineStr">
        <is>
          <t>Tyron Henry</t>
        </is>
      </c>
      <c r="G290" s="22" t="inlineStr">
        <is>
          <t>Tyron Henry</t>
        </is>
      </c>
      <c r="H290" s="22" t="n"/>
      <c r="I290" s="30" t="inlineStr">
        <is>
          <t>50.12</t>
        </is>
      </c>
      <c r="J290" s="22">
        <f>IF(I290="","",IF(ISNUMBER(SEARCH(":",I290)),VALUE(LEFT(I290,SEARCH(":",I290)-1))*60+VALUE(MID(I290,SEARCH(":",I290)+1,99)),VALUE(I290)))</f>
        <v/>
      </c>
      <c r="K290" s="30" t="inlineStr">
        <is>
          <t>21.06.19</t>
        </is>
      </c>
      <c r="L290" s="30" t="inlineStr">
        <is>
          <t>Swimming New Zealand Long Course Records by Age - user-supplied PDF</t>
        </is>
      </c>
      <c r="M290" s="30" t="n"/>
      <c r="N290" s="30" t="inlineStr">
        <is>
          <t>NO</t>
        </is>
      </c>
      <c r="O290" s="30" t="inlineStr">
        <is>
          <t>YES</t>
        </is>
      </c>
      <c r="P290" s="30" t="n"/>
      <c r="Q290" s="30" t="inlineStr">
        <is>
          <t>50.29</t>
        </is>
      </c>
      <c r="R290" s="22">
        <f>IF(Q290="","",IF(ISNUMBER(SEARCH(":",Q290)),VALUE(LEFT(Q290,SEARCH(":",Q290)-1))*60+VALUE(MID(Q290,SEARCH(":",Q290)+1,99)),VALUE(Q290)))</f>
        <v/>
      </c>
      <c r="S290" s="39">
        <f>IF(OR(J290="",R290=""),"",(R290-J290)/R290)</f>
        <v/>
      </c>
      <c r="T290" s="22">
        <f>IF(OR(P290&lt;&gt;"",N290="YES"),"YES","NO")</f>
        <v/>
      </c>
      <c r="U290" s="22">
        <f>IF(AND(O290="YES",T290="YES",S290&lt;&gt;""),COUNTIFS($C$5:$C$424,C290,$S$5:$S$424,"&gt;"&amp;S290)+COUNTIFS($C$5:C290,C290,$S$5:S290,S290),"")</f>
        <v/>
      </c>
      <c r="V290" s="22">
        <f>IF(U290="","",C290&amp;"|"&amp;U290)</f>
        <v/>
      </c>
      <c r="W290" s="30" t="n"/>
      <c r="X290" s="30" t="inlineStr">
        <is>
          <t>Next-fastest time supplied in user workbook; swimmer name not yet supplied.</t>
        </is>
      </c>
    </row>
    <row r="291" ht="15" customHeight="1" s="17">
      <c r="A291" s="30" t="inlineStr">
        <is>
          <t>NZ|LCM|M|17|200 Free</t>
        </is>
      </c>
      <c r="B291" s="30" t="inlineStr">
        <is>
          <t>LCM</t>
        </is>
      </c>
      <c r="C291" s="30" t="inlineStr">
        <is>
          <t>Male</t>
        </is>
      </c>
      <c r="D291" s="30" t="n">
        <v>17</v>
      </c>
      <c r="E291" s="30" t="inlineStr">
        <is>
          <t>200 Free</t>
        </is>
      </c>
      <c r="F291" s="30" t="inlineStr">
        <is>
          <t>Ariel Muchirahondo</t>
        </is>
      </c>
      <c r="G291" s="22" t="inlineStr">
        <is>
          <t>Ariel Muchirahondo</t>
        </is>
      </c>
      <c r="H291" s="22" t="n"/>
      <c r="I291" s="30" t="inlineStr">
        <is>
          <t>1:50.84</t>
        </is>
      </c>
      <c r="J291" s="22">
        <f>IF(I291="","",IF(ISNUMBER(SEARCH(":",I291)),VALUE(LEFT(I291,SEARCH(":",I291)-1))*60+VALUE(MID(I291,SEARCH(":",I291)+1,99)),VALUE(I291)))</f>
        <v/>
      </c>
      <c r="K291" s="30" t="inlineStr">
        <is>
          <t>12.04.26</t>
        </is>
      </c>
      <c r="L291" s="30" t="inlineStr">
        <is>
          <t>Swimming New Zealand Long Course Records by Age - user-supplied PDF</t>
        </is>
      </c>
      <c r="M291" s="30" t="n"/>
      <c r="N291" s="30" t="inlineStr">
        <is>
          <t>NO</t>
        </is>
      </c>
      <c r="O291" s="30" t="inlineStr">
        <is>
          <t>YES</t>
        </is>
      </c>
      <c r="P291" s="30" t="n"/>
      <c r="Q291" s="30" t="inlineStr">
        <is>
          <t>1:51.20</t>
        </is>
      </c>
      <c r="R291" s="22">
        <f>IF(Q291="","",IF(ISNUMBER(SEARCH(":",Q291)),VALUE(LEFT(Q291,SEARCH(":",Q291)-1))*60+VALUE(MID(Q291,SEARCH(":",Q291)+1,99)),VALUE(Q291)))</f>
        <v/>
      </c>
      <c r="S291" s="39">
        <f>IF(OR(J291="",R291=""),"",(R291-J291)/R291)</f>
        <v/>
      </c>
      <c r="T291" s="22">
        <f>IF(OR(P291&lt;&gt;"",N291="YES"),"YES","NO")</f>
        <v/>
      </c>
      <c r="U291" s="22">
        <f>IF(AND(O291="YES",T291="YES",S291&lt;&gt;""),COUNTIFS($C$5:$C$424,C291,$S$5:$S$424,"&gt;"&amp;S291)+COUNTIFS($C$5:C291,C291,$S$5:S291,S291),"")</f>
        <v/>
      </c>
      <c r="V291" s="22">
        <f>IF(U291="","",C291&amp;"|"&amp;U291)</f>
        <v/>
      </c>
      <c r="W291" s="30" t="n"/>
      <c r="X291" s="30" t="inlineStr">
        <is>
          <t>Next-fastest time supplied in user workbook; swimmer name not yet supplied.</t>
        </is>
      </c>
    </row>
    <row r="292" ht="15" customHeight="1" s="17">
      <c r="A292" s="30" t="inlineStr">
        <is>
          <t>NZ|LCM|M|17|400 Free</t>
        </is>
      </c>
      <c r="B292" s="30" t="inlineStr">
        <is>
          <t>LCM</t>
        </is>
      </c>
      <c r="C292" s="30" t="inlineStr">
        <is>
          <t>Male</t>
        </is>
      </c>
      <c r="D292" s="30" t="n">
        <v>17</v>
      </c>
      <c r="E292" s="30" t="inlineStr">
        <is>
          <t>400 Free</t>
        </is>
      </c>
      <c r="F292" s="30" t="inlineStr">
        <is>
          <t>Danyon Loader</t>
        </is>
      </c>
      <c r="G292" s="22" t="inlineStr">
        <is>
          <t>Danyon Loader</t>
        </is>
      </c>
      <c r="H292" s="22" t="n"/>
      <c r="I292" s="30" t="inlineStr">
        <is>
          <t>3:49.97</t>
        </is>
      </c>
      <c r="J292" s="22">
        <f>IF(I292="","",IF(ISNUMBER(SEARCH(":",I292)),VALUE(LEFT(I292,SEARCH(":",I292)-1))*60+VALUE(MID(I292,SEARCH(":",I292)+1,99)),VALUE(I292)))</f>
        <v/>
      </c>
      <c r="K292" s="30" t="inlineStr">
        <is>
          <t>29.07.92</t>
        </is>
      </c>
      <c r="L292" s="30" t="inlineStr">
        <is>
          <t>Swimming New Zealand Long Course Records by Age - user-supplied PDF</t>
        </is>
      </c>
      <c r="M292" s="30" t="n"/>
      <c r="N292" s="30" t="inlineStr">
        <is>
          <t>NO</t>
        </is>
      </c>
      <c r="O292" s="30" t="inlineStr">
        <is>
          <t>YES</t>
        </is>
      </c>
      <c r="P292" s="30" t="n"/>
      <c r="Q292" s="30" t="inlineStr">
        <is>
          <t>3:52.15</t>
        </is>
      </c>
      <c r="R292" s="22">
        <f>IF(Q292="","",IF(ISNUMBER(SEARCH(":",Q292)),VALUE(LEFT(Q292,SEARCH(":",Q292)-1))*60+VALUE(MID(Q292,SEARCH(":",Q292)+1,99)),VALUE(Q292)))</f>
        <v/>
      </c>
      <c r="S292" s="39">
        <f>IF(OR(J292="",R292=""),"",(R292-J292)/R292)</f>
        <v/>
      </c>
      <c r="T292" s="22">
        <f>IF(OR(P292&lt;&gt;"",N292="YES"),"YES","NO")</f>
        <v/>
      </c>
      <c r="U292" s="22">
        <f>IF(AND(O292="YES",T292="YES",S292&lt;&gt;""),COUNTIFS($C$5:$C$424,C292,$S$5:$S$424,"&gt;"&amp;S292)+COUNTIFS($C$5:C292,C292,$S$5:S292,S292),"")</f>
        <v/>
      </c>
      <c r="V292" s="22">
        <f>IF(U292="","",C292&amp;"|"&amp;U292)</f>
        <v/>
      </c>
      <c r="W292" s="30" t="n"/>
      <c r="X292" s="30" t="inlineStr">
        <is>
          <t>Next-fastest time supplied in user workbook; swimmer name not yet supplied.</t>
        </is>
      </c>
    </row>
    <row r="293" ht="15" customHeight="1" s="17">
      <c r="A293" s="30" t="inlineStr">
        <is>
          <t>NZ|LCM|M|17|800 Free</t>
        </is>
      </c>
      <c r="B293" s="30" t="inlineStr">
        <is>
          <t>LCM</t>
        </is>
      </c>
      <c r="C293" s="30" t="inlineStr">
        <is>
          <t>Male</t>
        </is>
      </c>
      <c r="D293" s="30" t="n">
        <v>17</v>
      </c>
      <c r="E293" s="30" t="inlineStr">
        <is>
          <t>800 Free</t>
        </is>
      </c>
      <c r="F293" s="30" t="inlineStr">
        <is>
          <t>Standard</t>
        </is>
      </c>
      <c r="G293" s="22" t="n"/>
      <c r="H293" s="22" t="n"/>
      <c r="I293" s="30" t="inlineStr">
        <is>
          <t>8:05.32</t>
        </is>
      </c>
      <c r="J293" s="22">
        <f>IF(I293="","",IF(ISNUMBER(SEARCH(":",I293)),VALUE(LEFT(I293,SEARCH(":",I293)-1))*60+VALUE(MID(I293,SEARCH(":",I293)+1,99)),VALUE(I293)))</f>
        <v/>
      </c>
      <c r="K293" s="30" t="inlineStr">
        <is>
          <t>0</t>
        </is>
      </c>
      <c r="L293" s="30" t="inlineStr">
        <is>
          <t>Swimming New Zealand Long Course Records by Age - user-supplied PDF</t>
        </is>
      </c>
      <c r="M293" s="30" t="n"/>
      <c r="N293" s="30" t="inlineStr">
        <is>
          <t>NO</t>
        </is>
      </c>
      <c r="O293" s="30" t="inlineStr">
        <is>
          <t>NO - Standard</t>
        </is>
      </c>
      <c r="P293" s="30" t="n"/>
      <c r="Q293" s="30" t="inlineStr">
        <is>
          <t>8:07.37</t>
        </is>
      </c>
      <c r="R293" s="22">
        <f>IF(Q293="","",IF(ISNUMBER(SEARCH(":",Q293)),VALUE(LEFT(Q293,SEARCH(":",Q293)-1))*60+VALUE(MID(Q293,SEARCH(":",Q293)+1,99)),VALUE(Q293)))</f>
        <v/>
      </c>
      <c r="S293" s="39">
        <f>IF(OR(J293="",R293=""),"",(R293-J293)/R293)</f>
        <v/>
      </c>
      <c r="T293" s="22">
        <f>IF(OR(P293&lt;&gt;"",N293="YES"),"YES","NO")</f>
        <v/>
      </c>
      <c r="U293" s="22">
        <f>IF(AND(O293="YES",T293="YES",S293&lt;&gt;""),COUNTIFS($C$5:$C$424,C293,$S$5:$S$424,"&gt;"&amp;S293)+COUNTIFS($C$5:C293,C293,$S$5:S293,S293),"")</f>
        <v/>
      </c>
      <c r="V293" s="22">
        <f>IF(U293="","",C293&amp;"|"&amp;U293)</f>
        <v/>
      </c>
      <c r="W293" s="30" t="inlineStr">
        <is>
          <t>Excluded from record-holder rankings. Margin retained for reference only.</t>
        </is>
      </c>
      <c r="X293" s="30" t="inlineStr">
        <is>
          <t>User-supplied next-fastest time; Standard has no swimmer record holder.</t>
        </is>
      </c>
    </row>
    <row r="294" ht="15" customHeight="1" s="17">
      <c r="A294" s="30" t="inlineStr">
        <is>
          <t>NZ|LCM|M|17|1500 Free</t>
        </is>
      </c>
      <c r="B294" s="30" t="inlineStr">
        <is>
          <t>LCM</t>
        </is>
      </c>
      <c r="C294" s="30" t="inlineStr">
        <is>
          <t>Male</t>
        </is>
      </c>
      <c r="D294" s="30" t="n">
        <v>17</v>
      </c>
      <c r="E294" s="30" t="inlineStr">
        <is>
          <t>1500 Free</t>
        </is>
      </c>
      <c r="F294" s="30" t="inlineStr">
        <is>
          <t>Michael Mincham</t>
        </is>
      </c>
      <c r="G294" s="22" t="inlineStr">
        <is>
          <t>Michael Mincham</t>
        </is>
      </c>
      <c r="H294" s="22" t="n"/>
      <c r="I294" s="30" t="inlineStr">
        <is>
          <t>15:31.53</t>
        </is>
      </c>
      <c r="J294" s="22">
        <f>IF(I294="","",IF(ISNUMBER(SEARCH(":",I294)),VALUE(LEFT(I294,SEARCH(":",I294)-1))*60+VALUE(MID(I294,SEARCH(":",I294)+1,99)),VALUE(I294)))</f>
        <v/>
      </c>
      <c r="K294" s="30" t="inlineStr">
        <is>
          <t>31.08.13</t>
        </is>
      </c>
      <c r="L294" s="30" t="inlineStr">
        <is>
          <t>Swimming New Zealand Long Course Records by Age - user-supplied PDF</t>
        </is>
      </c>
      <c r="M294" s="30" t="n"/>
      <c r="N294" s="30" t="inlineStr">
        <is>
          <t>NO</t>
        </is>
      </c>
      <c r="O294" s="30" t="inlineStr">
        <is>
          <t>YES</t>
        </is>
      </c>
      <c r="P294" s="30" t="n"/>
      <c r="Q294" s="30" t="inlineStr">
        <is>
          <t>15:36.82</t>
        </is>
      </c>
      <c r="R294" s="22">
        <f>IF(Q294="","",IF(ISNUMBER(SEARCH(":",Q294)),VALUE(LEFT(Q294,SEARCH(":",Q294)-1))*60+VALUE(MID(Q294,SEARCH(":",Q294)+1,99)),VALUE(Q294)))</f>
        <v/>
      </c>
      <c r="S294" s="39">
        <f>IF(OR(J294="",R294=""),"",(R294-J294)/R294)</f>
        <v/>
      </c>
      <c r="T294" s="22">
        <f>IF(OR(P294&lt;&gt;"",N294="YES"),"YES","NO")</f>
        <v/>
      </c>
      <c r="U294" s="22">
        <f>IF(AND(O294="YES",T294="YES",S294&lt;&gt;""),COUNTIFS($C$5:$C$424,C294,$S$5:$S$424,"&gt;"&amp;S294)+COUNTIFS($C$5:C294,C294,$S$5:S294,S294),"")</f>
        <v/>
      </c>
      <c r="V294" s="22">
        <f>IF(U294="","",C294&amp;"|"&amp;U294)</f>
        <v/>
      </c>
      <c r="W294" s="30" t="n"/>
      <c r="X294" s="30" t="inlineStr">
        <is>
          <t>Next-fastest time supplied in user workbook; swimmer name not yet supplied.</t>
        </is>
      </c>
    </row>
    <row r="295" ht="15" customHeight="1" s="17">
      <c r="A295" s="30" t="inlineStr">
        <is>
          <t>NZ|LCM|M|17|50 Back</t>
        </is>
      </c>
      <c r="B295" s="30" t="inlineStr">
        <is>
          <t>LCM</t>
        </is>
      </c>
      <c r="C295" s="30" t="inlineStr">
        <is>
          <t>Male</t>
        </is>
      </c>
      <c r="D295" s="30" t="n">
        <v>17</v>
      </c>
      <c r="E295" s="30" t="inlineStr">
        <is>
          <t>50 Back</t>
        </is>
      </c>
      <c r="F295" s="30" t="inlineStr">
        <is>
          <t>Finn Harland</t>
        </is>
      </c>
      <c r="G295" s="22" t="inlineStr">
        <is>
          <t>Finn Harland</t>
        </is>
      </c>
      <c r="H295" s="22" t="n"/>
      <c r="I295" s="30" t="inlineStr">
        <is>
          <t>25.60</t>
        </is>
      </c>
      <c r="J295" s="22">
        <f>IF(I295="","",IF(ISNUMBER(SEARCH(":",I295)),VALUE(LEFT(I295,SEARCH(":",I295)-1))*60+VALUE(MID(I295,SEARCH(":",I295)+1,99)),VALUE(I295)))</f>
        <v/>
      </c>
      <c r="K295" s="30" t="inlineStr">
        <is>
          <t>09.09.23</t>
        </is>
      </c>
      <c r="L295" s="30" t="inlineStr">
        <is>
          <t>Swimming New Zealand Long Course Records by Age - user-supplied PDF</t>
        </is>
      </c>
      <c r="M295" s="30" t="n"/>
      <c r="N295" s="30" t="inlineStr">
        <is>
          <t>NO</t>
        </is>
      </c>
      <c r="O295" s="30" t="inlineStr">
        <is>
          <t>YES</t>
        </is>
      </c>
      <c r="P295" s="30" t="n"/>
      <c r="Q295" s="30" t="inlineStr">
        <is>
          <t>25.66</t>
        </is>
      </c>
      <c r="R295" s="22">
        <f>IF(Q295="","",IF(ISNUMBER(SEARCH(":",Q295)),VALUE(LEFT(Q295,SEARCH(":",Q295)-1))*60+VALUE(MID(Q295,SEARCH(":",Q295)+1,99)),VALUE(Q295)))</f>
        <v/>
      </c>
      <c r="S295" s="39">
        <f>IF(OR(J295="",R295=""),"",(R295-J295)/R295)</f>
        <v/>
      </c>
      <c r="T295" s="22">
        <f>IF(OR(P295&lt;&gt;"",N295="YES"),"YES","NO")</f>
        <v/>
      </c>
      <c r="U295" s="22">
        <f>IF(AND(O295="YES",T295="YES",S295&lt;&gt;""),COUNTIFS($C$5:$C$424,C295,$S$5:$S$424,"&gt;"&amp;S295)+COUNTIFS($C$5:C295,C295,$S$5:S295,S295),"")</f>
        <v/>
      </c>
      <c r="V295" s="22">
        <f>IF(U295="","",C295&amp;"|"&amp;U295)</f>
        <v/>
      </c>
      <c r="W295" s="30" t="n"/>
      <c r="X295" s="30" t="inlineStr">
        <is>
          <t>Next-fastest time supplied in user workbook; swimmer name not yet supplied.</t>
        </is>
      </c>
    </row>
    <row r="296" ht="15" customHeight="1" s="17">
      <c r="A296" s="30" t="inlineStr">
        <is>
          <t>NZ|LCM|M|17|100 Back</t>
        </is>
      </c>
      <c r="B296" s="30" t="inlineStr">
        <is>
          <t>LCM</t>
        </is>
      </c>
      <c r="C296" s="30" t="inlineStr">
        <is>
          <t>Male</t>
        </is>
      </c>
      <c r="D296" s="30" t="n">
        <v>17</v>
      </c>
      <c r="E296" s="30" t="inlineStr">
        <is>
          <t>100 Back</t>
        </is>
      </c>
      <c r="F296" s="30" t="inlineStr">
        <is>
          <t>Ariel Muchirahondo</t>
        </is>
      </c>
      <c r="G296" s="22" t="inlineStr">
        <is>
          <t>Ariel Muchirahondo</t>
        </is>
      </c>
      <c r="H296" s="22" t="n"/>
      <c r="I296" s="30" t="inlineStr">
        <is>
          <t>54.63</t>
        </is>
      </c>
      <c r="J296" s="22">
        <f>IF(I296="","",IF(ISNUMBER(SEARCH(":",I296)),VALUE(LEFT(I296,SEARCH(":",I296)-1))*60+VALUE(MID(I296,SEARCH(":",I296)+1,99)),VALUE(I296)))</f>
        <v/>
      </c>
      <c r="K296" s="30" t="inlineStr">
        <is>
          <t>17.08.26</t>
        </is>
      </c>
      <c r="L296" s="30" t="inlineStr">
        <is>
          <t>Swimming New Zealand Long Course Records by Age - user-supplied PDF</t>
        </is>
      </c>
      <c r="M296" s="30" t="n"/>
      <c r="N296" s="30" t="inlineStr">
        <is>
          <t>NO</t>
        </is>
      </c>
      <c r="O296" s="30" t="inlineStr">
        <is>
          <t>YES</t>
        </is>
      </c>
      <c r="P296" s="30" t="n"/>
      <c r="Q296" s="30" t="inlineStr">
        <is>
          <t>54.96</t>
        </is>
      </c>
      <c r="R296" s="22">
        <f>IF(Q296="","",IF(ISNUMBER(SEARCH(":",Q296)),VALUE(LEFT(Q296,SEARCH(":",Q296)-1))*60+VALUE(MID(Q296,SEARCH(":",Q296)+1,99)),VALUE(Q296)))</f>
        <v/>
      </c>
      <c r="S296" s="39">
        <f>IF(OR(J296="",R296=""),"",(R296-J296)/R296)</f>
        <v/>
      </c>
      <c r="T296" s="22">
        <f>IF(OR(P296&lt;&gt;"",N296="YES"),"YES","NO")</f>
        <v/>
      </c>
      <c r="U296" s="22">
        <f>IF(AND(O296="YES",T296="YES",S296&lt;&gt;""),COUNTIFS($C$5:$C$424,C296,$S$5:$S$424,"&gt;"&amp;S296)+COUNTIFS($C$5:C296,C296,$S$5:S296,S296),"")</f>
        <v/>
      </c>
      <c r="V296" s="22">
        <f>IF(U296="","",C296&amp;"|"&amp;U296)</f>
        <v/>
      </c>
      <c r="W296" s="30" t="n"/>
      <c r="X296" s="30" t="inlineStr">
        <is>
          <t>Next-fastest time supplied in user workbook; swimmer name not yet supplied.</t>
        </is>
      </c>
    </row>
    <row r="297" ht="15" customHeight="1" s="17">
      <c r="A297" s="30" t="inlineStr">
        <is>
          <t>NZ|LCM|M|17|200 Back</t>
        </is>
      </c>
      <c r="B297" s="30" t="inlineStr">
        <is>
          <t>LCM</t>
        </is>
      </c>
      <c r="C297" s="30" t="inlineStr">
        <is>
          <t>Male</t>
        </is>
      </c>
      <c r="D297" s="30" t="n">
        <v>17</v>
      </c>
      <c r="E297" s="30" t="inlineStr">
        <is>
          <t>200 Back</t>
        </is>
      </c>
      <c r="F297" s="30" t="inlineStr">
        <is>
          <t>Ariel Muchirahondo</t>
        </is>
      </c>
      <c r="G297" s="22" t="inlineStr">
        <is>
          <t>Ariel Muchirahondo</t>
        </is>
      </c>
      <c r="H297" s="22" t="n"/>
      <c r="I297" s="30" t="inlineStr">
        <is>
          <t>1:59.07</t>
        </is>
      </c>
      <c r="J297" s="22">
        <f>IF(I297="","",IF(ISNUMBER(SEARCH(":",I297)),VALUE(LEFT(I297,SEARCH(":",I297)-1))*60+VALUE(MID(I297,SEARCH(":",I297)+1,99)),VALUE(I297)))</f>
        <v/>
      </c>
      <c r="K297" s="30" t="inlineStr">
        <is>
          <t>15.05.26</t>
        </is>
      </c>
      <c r="L297" s="30" t="inlineStr">
        <is>
          <t>Swimming New Zealand Long Course Records by Age - user-supplied PDF</t>
        </is>
      </c>
      <c r="M297" s="30" t="n"/>
      <c r="N297" s="30" t="inlineStr">
        <is>
          <t>NO</t>
        </is>
      </c>
      <c r="O297" s="30" t="inlineStr">
        <is>
          <t>YES</t>
        </is>
      </c>
      <c r="P297" s="30" t="n"/>
      <c r="Q297" s="30" t="inlineStr">
        <is>
          <t>1:59.52</t>
        </is>
      </c>
      <c r="R297" s="22">
        <f>IF(Q297="","",IF(ISNUMBER(SEARCH(":",Q297)),VALUE(LEFT(Q297,SEARCH(":",Q297)-1))*60+VALUE(MID(Q297,SEARCH(":",Q297)+1,99)),VALUE(Q297)))</f>
        <v/>
      </c>
      <c r="S297" s="39">
        <f>IF(OR(J297="",R297=""),"",(R297-J297)/R297)</f>
        <v/>
      </c>
      <c r="T297" s="22">
        <f>IF(OR(P297&lt;&gt;"",N297="YES"),"YES","NO")</f>
        <v/>
      </c>
      <c r="U297" s="22">
        <f>IF(AND(O297="YES",T297="YES",S297&lt;&gt;""),COUNTIFS($C$5:$C$424,C297,$S$5:$S$424,"&gt;"&amp;S297)+COUNTIFS($C$5:C297,C297,$S$5:S297,S297),"")</f>
        <v/>
      </c>
      <c r="V297" s="22">
        <f>IF(U297="","",C297&amp;"|"&amp;U297)</f>
        <v/>
      </c>
      <c r="W297" s="30" t="n"/>
      <c r="X297" s="30" t="inlineStr">
        <is>
          <t>Next-fastest time supplied in user workbook; swimmer name not yet supplied.</t>
        </is>
      </c>
    </row>
    <row r="298" ht="15" customHeight="1" s="17">
      <c r="A298" s="30" t="inlineStr">
        <is>
          <t>NZ|LCM|M|17|50 Breast</t>
        </is>
      </c>
      <c r="B298" s="30" t="inlineStr">
        <is>
          <t>LCM</t>
        </is>
      </c>
      <c r="C298" s="30" t="inlineStr">
        <is>
          <t>Male</t>
        </is>
      </c>
      <c r="D298" s="30" t="n">
        <v>17</v>
      </c>
      <c r="E298" s="30" t="inlineStr">
        <is>
          <t>50 Breast</t>
        </is>
      </c>
      <c r="F298" s="30" t="inlineStr">
        <is>
          <t>Jeffrey Arona-Tuifana'e</t>
        </is>
      </c>
      <c r="G298" s="22" t="inlineStr">
        <is>
          <t>Jeffrey Arona-Tuifana'e</t>
        </is>
      </c>
      <c r="H298" s="22" t="n"/>
      <c r="I298" s="30" t="inlineStr">
        <is>
          <t>28.44</t>
        </is>
      </c>
      <c r="J298" s="22">
        <f>IF(I298="","",IF(ISNUMBER(SEARCH(":",I298)),VALUE(LEFT(I298,SEARCH(":",I298)-1))*60+VALUE(MID(I298,SEARCH(":",I298)+1,99)),VALUE(I298)))</f>
        <v/>
      </c>
      <c r="K298" s="30" t="inlineStr">
        <is>
          <t>27.03.12</t>
        </is>
      </c>
      <c r="L298" s="30" t="inlineStr">
        <is>
          <t>Swimming New Zealand Long Course Records by Age - user-supplied PDF</t>
        </is>
      </c>
      <c r="M298" s="30" t="n"/>
      <c r="N298" s="30" t="inlineStr">
        <is>
          <t>NO</t>
        </is>
      </c>
      <c r="O298" s="30" t="inlineStr">
        <is>
          <t>YES</t>
        </is>
      </c>
      <c r="P298" s="30" t="n"/>
      <c r="Q298" s="30" t="inlineStr">
        <is>
          <t>29.00</t>
        </is>
      </c>
      <c r="R298" s="22">
        <f>IF(Q298="","",IF(ISNUMBER(SEARCH(":",Q298)),VALUE(LEFT(Q298,SEARCH(":",Q298)-1))*60+VALUE(MID(Q298,SEARCH(":",Q298)+1,99)),VALUE(Q298)))</f>
        <v/>
      </c>
      <c r="S298" s="39">
        <f>IF(OR(J298="",R298=""),"",(R298-J298)/R298)</f>
        <v/>
      </c>
      <c r="T298" s="22">
        <f>IF(OR(P298&lt;&gt;"",N298="YES"),"YES","NO")</f>
        <v/>
      </c>
      <c r="U298" s="22">
        <f>IF(AND(O298="YES",T298="YES",S298&lt;&gt;""),COUNTIFS($C$5:$C$424,C298,$S$5:$S$424,"&gt;"&amp;S298)+COUNTIFS($C$5:C298,C298,$S$5:S298,S298),"")</f>
        <v/>
      </c>
      <c r="V298" s="22">
        <f>IF(U298="","",C298&amp;"|"&amp;U298)</f>
        <v/>
      </c>
      <c r="W298" s="30" t="n"/>
      <c r="X298" s="30" t="inlineStr">
        <is>
          <t>Next-fastest time supplied in user workbook; swimmer name not yet supplied.</t>
        </is>
      </c>
    </row>
    <row r="299" ht="15" customHeight="1" s="17">
      <c r="A299" s="30" t="inlineStr">
        <is>
          <t>NZ|LCM|M|17|100 Breast</t>
        </is>
      </c>
      <c r="B299" s="30" t="inlineStr">
        <is>
          <t>LCM</t>
        </is>
      </c>
      <c r="C299" s="30" t="inlineStr">
        <is>
          <t>Male</t>
        </is>
      </c>
      <c r="D299" s="30" t="n">
        <v>17</v>
      </c>
      <c r="E299" s="30" t="inlineStr">
        <is>
          <t>100 Breast</t>
        </is>
      </c>
      <c r="F299" s="30" t="inlineStr">
        <is>
          <t>Ben Walsh</t>
        </is>
      </c>
      <c r="G299" s="22" t="inlineStr">
        <is>
          <t>Ben Walsh</t>
        </is>
      </c>
      <c r="H299" s="22" t="n"/>
      <c r="I299" s="30" t="inlineStr">
        <is>
          <t>1:02.61</t>
        </is>
      </c>
      <c r="J299" s="22">
        <f>IF(I299="","",IF(ISNUMBER(SEARCH(":",I299)),VALUE(LEFT(I299,SEARCH(":",I299)-1))*60+VALUE(MID(I299,SEARCH(":",I299)+1,99)),VALUE(I299)))</f>
        <v/>
      </c>
      <c r="K299" s="30" t="inlineStr">
        <is>
          <t>02.05.14</t>
        </is>
      </c>
      <c r="L299" s="30" t="inlineStr">
        <is>
          <t>Swimming New Zealand Long Course Records by Age - user-supplied PDF</t>
        </is>
      </c>
      <c r="M299" s="30" t="n"/>
      <c r="N299" s="30" t="inlineStr">
        <is>
          <t>NO</t>
        </is>
      </c>
      <c r="O299" s="30" t="inlineStr">
        <is>
          <t>YES</t>
        </is>
      </c>
      <c r="P299" s="30" t="n"/>
      <c r="Q299" s="30" t="inlineStr">
        <is>
          <t>1:03.11</t>
        </is>
      </c>
      <c r="R299" s="22">
        <f>IF(Q299="","",IF(ISNUMBER(SEARCH(":",Q299)),VALUE(LEFT(Q299,SEARCH(":",Q299)-1))*60+VALUE(MID(Q299,SEARCH(":",Q299)+1,99)),VALUE(Q299)))</f>
        <v/>
      </c>
      <c r="S299" s="39">
        <f>IF(OR(J299="",R299=""),"",(R299-J299)/R299)</f>
        <v/>
      </c>
      <c r="T299" s="22">
        <f>IF(OR(P299&lt;&gt;"",N299="YES"),"YES","NO")</f>
        <v/>
      </c>
      <c r="U299" s="22">
        <f>IF(AND(O299="YES",T299="YES",S299&lt;&gt;""),COUNTIFS($C$5:$C$424,C299,$S$5:$S$424,"&gt;"&amp;S299)+COUNTIFS($C$5:C299,C299,$S$5:S299,S299),"")</f>
        <v/>
      </c>
      <c r="V299" s="22">
        <f>IF(U299="","",C299&amp;"|"&amp;U299)</f>
        <v/>
      </c>
      <c r="W299" s="30" t="n"/>
      <c r="X299" s="30" t="inlineStr">
        <is>
          <t>Next-fastest time supplied in user workbook; swimmer name not yet supplied.</t>
        </is>
      </c>
    </row>
    <row r="300" ht="15" customHeight="1" s="17">
      <c r="A300" s="30" t="inlineStr">
        <is>
          <t>NZ|LCM|M|17|200 Breast</t>
        </is>
      </c>
      <c r="B300" s="30" t="inlineStr">
        <is>
          <t>LCM</t>
        </is>
      </c>
      <c r="C300" s="30" t="inlineStr">
        <is>
          <t>Male</t>
        </is>
      </c>
      <c r="D300" s="30" t="n">
        <v>17</v>
      </c>
      <c r="E300" s="30" t="inlineStr">
        <is>
          <t>200 Breast</t>
        </is>
      </c>
      <c r="F300" s="30" t="inlineStr">
        <is>
          <t>Luan Grobbelaar</t>
        </is>
      </c>
      <c r="G300" s="22" t="inlineStr">
        <is>
          <t>Luan Grobbelaar</t>
        </is>
      </c>
      <c r="H300" s="22" t="n"/>
      <c r="I300" s="30" t="inlineStr">
        <is>
          <t>2:15.72</t>
        </is>
      </c>
      <c r="J300" s="22">
        <f>IF(I300="","",IF(ISNUMBER(SEARCH(":",I300)),VALUE(LEFT(I300,SEARCH(":",I300)-1))*60+VALUE(MID(I300,SEARCH(":",I300)+1,99)),VALUE(I300)))</f>
        <v/>
      </c>
      <c r="K300" s="30" t="inlineStr">
        <is>
          <t>17.12.19</t>
        </is>
      </c>
      <c r="L300" s="30" t="inlineStr">
        <is>
          <t>Swimming New Zealand Long Course Records by Age - user-supplied PDF</t>
        </is>
      </c>
      <c r="M300" s="30" t="n"/>
      <c r="N300" s="30" t="inlineStr">
        <is>
          <t>NO</t>
        </is>
      </c>
      <c r="O300" s="30" t="inlineStr">
        <is>
          <t>YES</t>
        </is>
      </c>
      <c r="P300" s="30" t="n"/>
      <c r="Q300" s="30" t="inlineStr">
        <is>
          <t>2:17.02</t>
        </is>
      </c>
      <c r="R300" s="22">
        <f>IF(Q300="","",IF(ISNUMBER(SEARCH(":",Q300)),VALUE(LEFT(Q300,SEARCH(":",Q300)-1))*60+VALUE(MID(Q300,SEARCH(":",Q300)+1,99)),VALUE(Q300)))</f>
        <v/>
      </c>
      <c r="S300" s="39">
        <f>IF(OR(J300="",R300=""),"",(R300-J300)/R300)</f>
        <v/>
      </c>
      <c r="T300" s="22">
        <f>IF(OR(P300&lt;&gt;"",N300="YES"),"YES","NO")</f>
        <v/>
      </c>
      <c r="U300" s="22">
        <f>IF(AND(O300="YES",T300="YES",S300&lt;&gt;""),COUNTIFS($C$5:$C$424,C300,$S$5:$S$424,"&gt;"&amp;S300)+COUNTIFS($C$5:C300,C300,$S$5:S300,S300),"")</f>
        <v/>
      </c>
      <c r="V300" s="22">
        <f>IF(U300="","",C300&amp;"|"&amp;U300)</f>
        <v/>
      </c>
      <c r="W300" s="30" t="n"/>
      <c r="X300" s="30" t="inlineStr">
        <is>
          <t>Next-fastest time supplied in user workbook; swimmer name not yet supplied.</t>
        </is>
      </c>
    </row>
    <row r="301" ht="15" customHeight="1" s="17">
      <c r="A301" s="30" t="inlineStr">
        <is>
          <t>NZ|LCM|M|17|50 Fly</t>
        </is>
      </c>
      <c r="B301" s="30" t="inlineStr">
        <is>
          <t>LCM</t>
        </is>
      </c>
      <c r="C301" s="30" t="inlineStr">
        <is>
          <t>Male</t>
        </is>
      </c>
      <c r="D301" s="30" t="n">
        <v>17</v>
      </c>
      <c r="E301" s="30" t="inlineStr">
        <is>
          <t>50 Fly</t>
        </is>
      </c>
      <c r="F301" s="30" t="inlineStr">
        <is>
          <t>Corney Swanepoel</t>
        </is>
      </c>
      <c r="G301" s="22" t="inlineStr">
        <is>
          <t>Corney Swanepoel</t>
        </is>
      </c>
      <c r="H301" s="22" t="n"/>
      <c r="I301" s="30" t="inlineStr">
        <is>
          <t>23.99</t>
        </is>
      </c>
      <c r="J301" s="22">
        <f>IF(I301="","",IF(ISNUMBER(SEARCH(":",I301)),VALUE(LEFT(I301,SEARCH(":",I301)-1))*60+VALUE(MID(I301,SEARCH(":",I301)+1,99)),VALUE(I301)))</f>
        <v/>
      </c>
      <c r="K301" s="30" t="inlineStr">
        <is>
          <t>04.03.04</t>
        </is>
      </c>
      <c r="L301" s="30" t="inlineStr">
        <is>
          <t>Swimming New Zealand Long Course Records by Age - user-supplied PDF</t>
        </is>
      </c>
      <c r="M301" s="30" t="n"/>
      <c r="N301" s="30" t="inlineStr">
        <is>
          <t>NO</t>
        </is>
      </c>
      <c r="O301" s="30" t="inlineStr">
        <is>
          <t>YES</t>
        </is>
      </c>
      <c r="P301" s="30" t="n"/>
      <c r="Q301" s="30" t="inlineStr">
        <is>
          <t>24.62</t>
        </is>
      </c>
      <c r="R301" s="22">
        <f>IF(Q301="","",IF(ISNUMBER(SEARCH(":",Q301)),VALUE(LEFT(Q301,SEARCH(":",Q301)-1))*60+VALUE(MID(Q301,SEARCH(":",Q301)+1,99)),VALUE(Q301)))</f>
        <v/>
      </c>
      <c r="S301" s="39">
        <f>IF(OR(J301="",R301=""),"",(R301-J301)/R301)</f>
        <v/>
      </c>
      <c r="T301" s="22">
        <f>IF(OR(P301&lt;&gt;"",N301="YES"),"YES","NO")</f>
        <v/>
      </c>
      <c r="U301" s="22">
        <f>IF(AND(O301="YES",T301="YES",S301&lt;&gt;""),COUNTIFS($C$5:$C$424,C301,$S$5:$S$424,"&gt;"&amp;S301)+COUNTIFS($C$5:C301,C301,$S$5:S301,S301),"")</f>
        <v/>
      </c>
      <c r="V301" s="22">
        <f>IF(U301="","",C301&amp;"|"&amp;U301)</f>
        <v/>
      </c>
      <c r="W301" s="30" t="n"/>
      <c r="X301" s="30" t="inlineStr">
        <is>
          <t>Next-fastest time supplied in user workbook; swimmer name not yet supplied.</t>
        </is>
      </c>
    </row>
    <row r="302" ht="15" customHeight="1" s="17">
      <c r="A302" s="30" t="inlineStr">
        <is>
          <t>NZ|LCM|M|17|100 Fly</t>
        </is>
      </c>
      <c r="B302" s="30" t="inlineStr">
        <is>
          <t>LCM</t>
        </is>
      </c>
      <c r="C302" s="30" t="inlineStr">
        <is>
          <t>Male</t>
        </is>
      </c>
      <c r="D302" s="30" t="n">
        <v>17</v>
      </c>
      <c r="E302" s="30" t="inlineStr">
        <is>
          <t>100 Fly</t>
        </is>
      </c>
      <c r="F302" s="30" t="inlineStr">
        <is>
          <t>Corney Swanepoel</t>
        </is>
      </c>
      <c r="G302" s="22" t="inlineStr">
        <is>
          <t>Corney Swanepoel</t>
        </is>
      </c>
      <c r="H302" s="22" t="n"/>
      <c r="I302" s="30" t="inlineStr">
        <is>
          <t>53.76</t>
        </is>
      </c>
      <c r="J302" s="22">
        <f>IF(I302="","",IF(ISNUMBER(SEARCH(":",I302)),VALUE(LEFT(I302,SEARCH(":",I302)-1))*60+VALUE(MID(I302,SEARCH(":",I302)+1,99)),VALUE(I302)))</f>
        <v/>
      </c>
      <c r="K302" s="30" t="inlineStr">
        <is>
          <t>06.03.04</t>
        </is>
      </c>
      <c r="L302" s="30" t="inlineStr">
        <is>
          <t>Swimming New Zealand Long Course Records by Age - user-supplied PDF</t>
        </is>
      </c>
      <c r="M302" s="30" t="n"/>
      <c r="N302" s="30" t="inlineStr">
        <is>
          <t>NO</t>
        </is>
      </c>
      <c r="O302" s="30" t="inlineStr">
        <is>
          <t>YES</t>
        </is>
      </c>
      <c r="P302" s="30" t="n"/>
      <c r="Q302" s="30" t="inlineStr">
        <is>
          <t>54.58</t>
        </is>
      </c>
      <c r="R302" s="22">
        <f>IF(Q302="","",IF(ISNUMBER(SEARCH(":",Q302)),VALUE(LEFT(Q302,SEARCH(":",Q302)-1))*60+VALUE(MID(Q302,SEARCH(":",Q302)+1,99)),VALUE(Q302)))</f>
        <v/>
      </c>
      <c r="S302" s="39">
        <f>IF(OR(J302="",R302=""),"",(R302-J302)/R302)</f>
        <v/>
      </c>
      <c r="T302" s="22">
        <f>IF(OR(P302&lt;&gt;"",N302="YES"),"YES","NO")</f>
        <v/>
      </c>
      <c r="U302" s="22">
        <f>IF(AND(O302="YES",T302="YES",S302&lt;&gt;""),COUNTIFS($C$5:$C$424,C302,$S$5:$S$424,"&gt;"&amp;S302)+COUNTIFS($C$5:C302,C302,$S$5:S302,S302),"")</f>
        <v/>
      </c>
      <c r="V302" s="22">
        <f>IF(U302="","",C302&amp;"|"&amp;U302)</f>
        <v/>
      </c>
      <c r="W302" s="30" t="n"/>
      <c r="X302" s="30" t="inlineStr">
        <is>
          <t>Next-fastest time supplied in user workbook; swimmer name not yet supplied.</t>
        </is>
      </c>
    </row>
    <row r="303" ht="15" customHeight="1" s="17">
      <c r="A303" s="30" t="inlineStr">
        <is>
          <t>NZ|LCM|M|17|200 Fly</t>
        </is>
      </c>
      <c r="B303" s="30" t="inlineStr">
        <is>
          <t>LCM</t>
        </is>
      </c>
      <c r="C303" s="30" t="inlineStr">
        <is>
          <t>Male</t>
        </is>
      </c>
      <c r="D303" s="30" t="n">
        <v>17</v>
      </c>
      <c r="E303" s="30" t="inlineStr">
        <is>
          <t>200 Fly</t>
        </is>
      </c>
      <c r="F303" s="30" t="inlineStr">
        <is>
          <t>Danyon Loader</t>
        </is>
      </c>
      <c r="G303" s="22" t="inlineStr">
        <is>
          <t>Danyon Loader</t>
        </is>
      </c>
      <c r="H303" s="22" t="n"/>
      <c r="I303" s="30" t="inlineStr">
        <is>
          <t>1:57.93</t>
        </is>
      </c>
      <c r="J303" s="22">
        <f>IF(I303="","",IF(ISNUMBER(SEARCH(":",I303)),VALUE(LEFT(I303,SEARCH(":",I303)-1))*60+VALUE(MID(I303,SEARCH(":",I303)+1,99)),VALUE(I303)))</f>
        <v/>
      </c>
      <c r="K303" s="30" t="inlineStr">
        <is>
          <t>30.07.92</t>
        </is>
      </c>
      <c r="L303" s="30" t="inlineStr">
        <is>
          <t>Swimming New Zealand Long Course Records by Age - user-supplied PDF</t>
        </is>
      </c>
      <c r="M303" s="30" t="n"/>
      <c r="N303" s="30" t="inlineStr">
        <is>
          <t>NO</t>
        </is>
      </c>
      <c r="O303" s="30" t="inlineStr">
        <is>
          <t>YES</t>
        </is>
      </c>
      <c r="P303" s="30" t="n"/>
      <c r="Q303" s="30" t="inlineStr">
        <is>
          <t>1:59.27</t>
        </is>
      </c>
      <c r="R303" s="22">
        <f>IF(Q303="","",IF(ISNUMBER(SEARCH(":",Q303)),VALUE(LEFT(Q303,SEARCH(":",Q303)-1))*60+VALUE(MID(Q303,SEARCH(":",Q303)+1,99)),VALUE(Q303)))</f>
        <v/>
      </c>
      <c r="S303" s="39">
        <f>IF(OR(J303="",R303=""),"",(R303-J303)/R303)</f>
        <v/>
      </c>
      <c r="T303" s="22">
        <f>IF(OR(P303&lt;&gt;"",N303="YES"),"YES","NO")</f>
        <v/>
      </c>
      <c r="U303" s="22">
        <f>IF(AND(O303="YES",T303="YES",S303&lt;&gt;""),COUNTIFS($C$5:$C$424,C303,$S$5:$S$424,"&gt;"&amp;S303)+COUNTIFS($C$5:C303,C303,$S$5:S303,S303),"")</f>
        <v/>
      </c>
      <c r="V303" s="22">
        <f>IF(U303="","",C303&amp;"|"&amp;U303)</f>
        <v/>
      </c>
      <c r="W303" s="30" t="n"/>
      <c r="X303" s="30" t="inlineStr">
        <is>
          <t>Next-fastest time supplied in user workbook; swimmer name not yet supplied.</t>
        </is>
      </c>
    </row>
    <row r="304" ht="15" customHeight="1" s="17">
      <c r="A304" s="30" t="inlineStr">
        <is>
          <t>NZ|LCM|M|17|200 IM</t>
        </is>
      </c>
      <c r="B304" s="30" t="inlineStr">
        <is>
          <t>LCM</t>
        </is>
      </c>
      <c r="C304" s="30" t="inlineStr">
        <is>
          <t>Male</t>
        </is>
      </c>
      <c r="D304" s="30" t="n">
        <v>17</v>
      </c>
      <c r="E304" s="30" t="inlineStr">
        <is>
          <t>200 IM</t>
        </is>
      </c>
      <c r="F304" s="30" t="inlineStr">
        <is>
          <t>Ariel Muchirahondo</t>
        </is>
      </c>
      <c r="G304" s="22" t="inlineStr">
        <is>
          <t>Ariel Muchirahondo</t>
        </is>
      </c>
      <c r="H304" s="22" t="n"/>
      <c r="I304" s="30" t="inlineStr">
        <is>
          <t>2:00.12</t>
        </is>
      </c>
      <c r="J304" s="22">
        <f>IF(I304="","",IF(ISNUMBER(SEARCH(":",I304)),VALUE(LEFT(I304,SEARCH(":",I304)-1))*60+VALUE(MID(I304,SEARCH(":",I304)+1,99)),VALUE(I304)))</f>
        <v/>
      </c>
      <c r="K304" s="30" t="inlineStr">
        <is>
          <t>13.05.26</t>
        </is>
      </c>
      <c r="L304" s="30" t="inlineStr">
        <is>
          <t>Swimming New Zealand Long Course Records by Age - user-supplied PDF</t>
        </is>
      </c>
      <c r="M304" s="30" t="n"/>
      <c r="N304" s="30" t="inlineStr">
        <is>
          <t>NO</t>
        </is>
      </c>
      <c r="O304" s="30" t="inlineStr">
        <is>
          <t>YES</t>
        </is>
      </c>
      <c r="P304" s="30" t="n"/>
      <c r="Q304" s="30" t="inlineStr">
        <is>
          <t>2:02.44</t>
        </is>
      </c>
      <c r="R304" s="22">
        <f>IF(Q304="","",IF(ISNUMBER(SEARCH(":",Q304)),VALUE(LEFT(Q304,SEARCH(":",Q304)-1))*60+VALUE(MID(Q304,SEARCH(":",Q304)+1,99)),VALUE(Q304)))</f>
        <v/>
      </c>
      <c r="S304" s="39">
        <f>IF(OR(J304="",R304=""),"",(R304-J304)/R304)</f>
        <v/>
      </c>
      <c r="T304" s="22">
        <f>IF(OR(P304&lt;&gt;"",N304="YES"),"YES","NO")</f>
        <v/>
      </c>
      <c r="U304" s="22">
        <f>IF(AND(O304="YES",T304="YES",S304&lt;&gt;""),COUNTIFS($C$5:$C$424,C304,$S$5:$S$424,"&gt;"&amp;S304)+COUNTIFS($C$5:C304,C304,$S$5:S304,S304),"")</f>
        <v/>
      </c>
      <c r="V304" s="22">
        <f>IF(U304="","",C304&amp;"|"&amp;U304)</f>
        <v/>
      </c>
      <c r="W304" s="30" t="n"/>
      <c r="X304" s="30" t="inlineStr">
        <is>
          <t>Next-fastest time supplied in user workbook; swimmer name not yet supplied.</t>
        </is>
      </c>
    </row>
    <row r="305" ht="15" customHeight="1" s="17">
      <c r="A305" s="30" t="inlineStr">
        <is>
          <t>NZ|LCM|M|17|400 IM</t>
        </is>
      </c>
      <c r="B305" s="30" t="inlineStr">
        <is>
          <t>LCM</t>
        </is>
      </c>
      <c r="C305" s="30" t="inlineStr">
        <is>
          <t>Male</t>
        </is>
      </c>
      <c r="D305" s="30" t="n">
        <v>17</v>
      </c>
      <c r="E305" s="30" t="inlineStr">
        <is>
          <t>400 IM</t>
        </is>
      </c>
      <c r="F305" s="30" t="inlineStr">
        <is>
          <t>Ariel Muchirahondo</t>
        </is>
      </c>
      <c r="G305" s="22" t="inlineStr">
        <is>
          <t>Ariel Muchirahondo</t>
        </is>
      </c>
      <c r="H305" s="22" t="n"/>
      <c r="I305" s="30" t="inlineStr">
        <is>
          <t>4:17.62</t>
        </is>
      </c>
      <c r="J305" s="22">
        <f>IF(I305="","",IF(ISNUMBER(SEARCH(":",I305)),VALUE(LEFT(I305,SEARCH(":",I305)-1))*60+VALUE(MID(I305,SEARCH(":",I305)+1,99)),VALUE(I305)))</f>
        <v/>
      </c>
      <c r="K305" s="30" t="inlineStr">
        <is>
          <t>11.04.26</t>
        </is>
      </c>
      <c r="L305" s="30" t="inlineStr">
        <is>
          <t>Swimming New Zealand Long Course Records by Age - user-supplied PDF</t>
        </is>
      </c>
      <c r="M305" s="30" t="n"/>
      <c r="N305" s="30" t="inlineStr">
        <is>
          <t>NO</t>
        </is>
      </c>
      <c r="O305" s="30" t="inlineStr">
        <is>
          <t>YES</t>
        </is>
      </c>
      <c r="P305" s="30" t="n"/>
      <c r="Q305" s="30" t="inlineStr">
        <is>
          <t>4:21.05</t>
        </is>
      </c>
      <c r="R305" s="22">
        <f>IF(Q305="","",IF(ISNUMBER(SEARCH(":",Q305)),VALUE(LEFT(Q305,SEARCH(":",Q305)-1))*60+VALUE(MID(Q305,SEARCH(":",Q305)+1,99)),VALUE(Q305)))</f>
        <v/>
      </c>
      <c r="S305" s="39">
        <f>IF(OR(J305="",R305=""),"",(R305-J305)/R305)</f>
        <v/>
      </c>
      <c r="T305" s="22">
        <f>IF(OR(P305&lt;&gt;"",N305="YES"),"YES","NO")</f>
        <v/>
      </c>
      <c r="U305" s="22">
        <f>IF(AND(O305="YES",T305="YES",S305&lt;&gt;""),COUNTIFS($C$5:$C$424,C305,$S$5:$S$424,"&gt;"&amp;S305)+COUNTIFS($C$5:C305,C305,$S$5:S305,S305),"")</f>
        <v/>
      </c>
      <c r="V305" s="22">
        <f>IF(U305="","",C305&amp;"|"&amp;U305)</f>
        <v/>
      </c>
      <c r="W305" s="30" t="n"/>
      <c r="X305" s="30" t="inlineStr">
        <is>
          <t>Next-fastest time supplied in user workbook; swimmer name not yet supplied.</t>
        </is>
      </c>
    </row>
    <row r="306" ht="15" customHeight="1" s="17">
      <c r="A306" s="30" t="inlineStr">
        <is>
          <t>NZ|LCM|M|18|50 Free</t>
        </is>
      </c>
      <c r="B306" s="30" t="inlineStr">
        <is>
          <t>LCM</t>
        </is>
      </c>
      <c r="C306" s="30" t="inlineStr">
        <is>
          <t>Male</t>
        </is>
      </c>
      <c r="D306" s="30" t="n">
        <v>18</v>
      </c>
      <c r="E306" s="30" t="inlineStr">
        <is>
          <t>50 Free</t>
        </is>
      </c>
      <c r="F306" s="30" t="inlineStr">
        <is>
          <t>Michael Pickett</t>
        </is>
      </c>
      <c r="G306" s="22" t="inlineStr">
        <is>
          <t>Michael Pickett</t>
        </is>
      </c>
      <c r="H306" s="22" t="n"/>
      <c r="I306" s="30" t="inlineStr">
        <is>
          <t>22.31</t>
        </is>
      </c>
      <c r="J306" s="22">
        <f>IF(I306="","",IF(ISNUMBER(SEARCH(":",I306)),VALUE(LEFT(I306,SEARCH(":",I306)-1))*60+VALUE(MID(I306,SEARCH(":",I306)+1,99)),VALUE(I306)))</f>
        <v/>
      </c>
      <c r="K306" s="30" t="inlineStr">
        <is>
          <t>15.12.20</t>
        </is>
      </c>
      <c r="L306" s="30" t="inlineStr">
        <is>
          <t>Swimming New Zealand Long Course Records by Age - user-supplied PDF</t>
        </is>
      </c>
      <c r="M306" s="30" t="n"/>
      <c r="N306" s="30" t="inlineStr">
        <is>
          <t>NO</t>
        </is>
      </c>
      <c r="O306" s="30" t="inlineStr">
        <is>
          <t>YES</t>
        </is>
      </c>
      <c r="P306" s="30" t="n"/>
      <c r="Q306" s="30" t="inlineStr">
        <is>
          <t>22.42</t>
        </is>
      </c>
      <c r="R306" s="22">
        <f>IF(Q306="","",IF(ISNUMBER(SEARCH(":",Q306)),VALUE(LEFT(Q306,SEARCH(":",Q306)-1))*60+VALUE(MID(Q306,SEARCH(":",Q306)+1,99)),VALUE(Q306)))</f>
        <v/>
      </c>
      <c r="S306" s="39">
        <f>IF(OR(J306="",R306=""),"",(R306-J306)/R306)</f>
        <v/>
      </c>
      <c r="T306" s="22">
        <f>IF(OR(P306&lt;&gt;"",N306="YES"),"YES","NO")</f>
        <v/>
      </c>
      <c r="U306" s="22">
        <f>IF(AND(O306="YES",T306="YES",S306&lt;&gt;""),COUNTIFS($C$5:$C$424,C306,$S$5:$S$424,"&gt;"&amp;S306)+COUNTIFS($C$5:C306,C306,$S$5:S306,S306),"")</f>
        <v/>
      </c>
      <c r="V306" s="22">
        <f>IF(U306="","",C306&amp;"|"&amp;U306)</f>
        <v/>
      </c>
      <c r="W306" s="30" t="n"/>
      <c r="X306" s="30" t="inlineStr">
        <is>
          <t>Next-fastest time supplied in user workbook; swimmer name not yet supplied.</t>
        </is>
      </c>
    </row>
    <row r="307" ht="15" customHeight="1" s="17">
      <c r="A307" s="30" t="inlineStr">
        <is>
          <t>NZ|LCM|M|18|100 Free</t>
        </is>
      </c>
      <c r="B307" s="30" t="inlineStr">
        <is>
          <t>LCM</t>
        </is>
      </c>
      <c r="C307" s="30" t="inlineStr">
        <is>
          <t>Male</t>
        </is>
      </c>
      <c r="D307" s="30" t="n">
        <v>18</v>
      </c>
      <c r="E307" s="30" t="inlineStr">
        <is>
          <t>100 Free</t>
        </is>
      </c>
      <c r="F307" s="30" t="inlineStr">
        <is>
          <t>Michael Pickett / Cameron Gray</t>
        </is>
      </c>
      <c r="G307" s="22" t="inlineStr">
        <is>
          <t>Michael Pickett</t>
        </is>
      </c>
      <c r="H307" s="22" t="inlineStr">
        <is>
          <t>Cameron Gray</t>
        </is>
      </c>
      <c r="I307" s="30" t="inlineStr">
        <is>
          <t>49.77</t>
        </is>
      </c>
      <c r="J307" s="22">
        <f>IF(I307="","",IF(ISNUMBER(SEARCH(":",I307)),VALUE(LEFT(I307,SEARCH(":",I307)-1))*60+VALUE(MID(I307,SEARCH(":",I307)+1,99)),VALUE(I307)))</f>
        <v/>
      </c>
      <c r="K307" s="30" t="inlineStr">
        <is>
          <t>13.05.21 / 08.04.22</t>
        </is>
      </c>
      <c r="L307" s="30" t="inlineStr">
        <is>
          <t>Swimming New Zealand Long Course Records by Age - user-supplied PDF</t>
        </is>
      </c>
      <c r="M307" s="30" t="n"/>
      <c r="N307" s="30" t="inlineStr">
        <is>
          <t>YES</t>
        </is>
      </c>
      <c r="O307" s="30" t="inlineStr">
        <is>
          <t>NO - joint record</t>
        </is>
      </c>
      <c r="P307" s="30" t="n"/>
      <c r="Q307" s="30" t="inlineStr">
        <is>
          <t>49.77</t>
        </is>
      </c>
      <c r="R307" s="22">
        <f>IF(Q307="","",IF(ISNUMBER(SEARCH(":",Q307)),VALUE(LEFT(Q307,SEARCH(":",Q307)-1))*60+VALUE(MID(Q307,SEARCH(":",Q307)+1,99)),VALUE(Q307)))</f>
        <v/>
      </c>
      <c r="S307" s="39">
        <f>IF(OR(J307="",R307=""),"",(R307-J307)/R307)</f>
        <v/>
      </c>
      <c r="T307" s="22">
        <f>IF(OR(P307&lt;&gt;"",N307="YES"),"YES","NO")</f>
        <v/>
      </c>
      <c r="U307" s="22">
        <f>IF(AND(O307="YES",T307="YES",S307&lt;&gt;""),COUNTIFS($C$5:$C$424,C307,$S$5:$S$424,"&gt;"&amp;S307)+COUNTIFS($C$5:C307,C307,$S$5:S307,S307),"")</f>
        <v/>
      </c>
      <c r="V307" s="22">
        <f>IF(U307="","",C307&amp;"|"&amp;U307)</f>
        <v/>
      </c>
      <c r="W307" s="30" t="inlineStr">
        <is>
          <t>Joint record: margin fixed at 0.0% under the agreed methodology.</t>
        </is>
      </c>
      <c r="X307" s="30" t="inlineStr">
        <is>
          <t>Comparator is the other joint record holder at the same time.</t>
        </is>
      </c>
    </row>
    <row r="308" ht="15" customHeight="1" s="17">
      <c r="A308" s="30" t="inlineStr">
        <is>
          <t>NZ|LCM|M|18|200 Free</t>
        </is>
      </c>
      <c r="B308" s="30" t="inlineStr">
        <is>
          <t>LCM</t>
        </is>
      </c>
      <c r="C308" s="30" t="inlineStr">
        <is>
          <t>Male</t>
        </is>
      </c>
      <c r="D308" s="30" t="n">
        <v>18</v>
      </c>
      <c r="E308" s="30" t="inlineStr">
        <is>
          <t>200 Free</t>
        </is>
      </c>
      <c r="F308" s="30" t="inlineStr">
        <is>
          <t>Lewis Clareburt</t>
        </is>
      </c>
      <c r="G308" s="22" t="inlineStr">
        <is>
          <t>Lewis Clareburt</t>
        </is>
      </c>
      <c r="H308" s="22" t="n"/>
      <c r="I308" s="30" t="inlineStr">
        <is>
          <t>1:48.32</t>
        </is>
      </c>
      <c r="J308" s="22">
        <f>IF(I308="","",IF(ISNUMBER(SEARCH(":",I308)),VALUE(LEFT(I308,SEARCH(":",I308)-1))*60+VALUE(MID(I308,SEARCH(":",I308)+1,99)),VALUE(I308)))</f>
        <v/>
      </c>
      <c r="K308" s="30" t="inlineStr">
        <is>
          <t>19.04.18</t>
        </is>
      </c>
      <c r="L308" s="30" t="inlineStr">
        <is>
          <t>Swimming New Zealand Long Course Records by Age - user-supplied PDF</t>
        </is>
      </c>
      <c r="M308" s="30" t="n"/>
      <c r="N308" s="30" t="inlineStr">
        <is>
          <t>NO</t>
        </is>
      </c>
      <c r="O308" s="30" t="inlineStr">
        <is>
          <t>YES</t>
        </is>
      </c>
      <c r="P308" s="30" t="n"/>
      <c r="Q308" s="30" t="inlineStr">
        <is>
          <t>1:48.94</t>
        </is>
      </c>
      <c r="R308" s="22">
        <f>IF(Q308="","",IF(ISNUMBER(SEARCH(":",Q308)),VALUE(LEFT(Q308,SEARCH(":",Q308)-1))*60+VALUE(MID(Q308,SEARCH(":",Q308)+1,99)),VALUE(Q308)))</f>
        <v/>
      </c>
      <c r="S308" s="39">
        <f>IF(OR(J308="",R308=""),"",(R308-J308)/R308)</f>
        <v/>
      </c>
      <c r="T308" s="22">
        <f>IF(OR(P308&lt;&gt;"",N308="YES"),"YES","NO")</f>
        <v/>
      </c>
      <c r="U308" s="22">
        <f>IF(AND(O308="YES",T308="YES",S308&lt;&gt;""),COUNTIFS($C$5:$C$424,C308,$S$5:$S$424,"&gt;"&amp;S308)+COUNTIFS($C$5:C308,C308,$S$5:S308,S308),"")</f>
        <v/>
      </c>
      <c r="V308" s="22">
        <f>IF(U308="","",C308&amp;"|"&amp;U308)</f>
        <v/>
      </c>
      <c r="W308" s="30" t="n"/>
      <c r="X308" s="30" t="inlineStr">
        <is>
          <t>Next-fastest time supplied in user workbook; swimmer name not yet supplied.</t>
        </is>
      </c>
    </row>
    <row r="309" ht="15" customHeight="1" s="17">
      <c r="A309" s="30" t="inlineStr">
        <is>
          <t>NZ|LCM|M|18|400 Free</t>
        </is>
      </c>
      <c r="B309" s="30" t="inlineStr">
        <is>
          <t>LCM</t>
        </is>
      </c>
      <c r="C309" s="30" t="inlineStr">
        <is>
          <t>Male</t>
        </is>
      </c>
      <c r="D309" s="30" t="n">
        <v>18</v>
      </c>
      <c r="E309" s="30" t="inlineStr">
        <is>
          <t>400 Free</t>
        </is>
      </c>
      <c r="F309" s="30" t="inlineStr">
        <is>
          <t>Standard</t>
        </is>
      </c>
      <c r="G309" s="22" t="n"/>
      <c r="H309" s="22" t="n"/>
      <c r="I309" s="30" t="inlineStr">
        <is>
          <t>3:49.50</t>
        </is>
      </c>
      <c r="J309" s="22">
        <f>IF(I309="","",IF(ISNUMBER(SEARCH(":",I309)),VALUE(LEFT(I309,SEARCH(":",I309)-1))*60+VALUE(MID(I309,SEARCH(":",I309)+1,99)),VALUE(I309)))</f>
        <v/>
      </c>
      <c r="K309" s="30" t="inlineStr">
        <is>
          <t>0.01.00</t>
        </is>
      </c>
      <c r="L309" s="30" t="inlineStr">
        <is>
          <t>Swimming New Zealand Long Course Records by Age - user-supplied PDF</t>
        </is>
      </c>
      <c r="M309" s="30" t="n"/>
      <c r="N309" s="30" t="inlineStr">
        <is>
          <t>NO</t>
        </is>
      </c>
      <c r="O309" s="30" t="inlineStr">
        <is>
          <t>NO - Standard</t>
        </is>
      </c>
      <c r="P309" s="30" t="n"/>
      <c r="Q309" s="30" t="inlineStr">
        <is>
          <t>3:51.10</t>
        </is>
      </c>
      <c r="R309" s="22">
        <f>IF(Q309="","",IF(ISNUMBER(SEARCH(":",Q309)),VALUE(LEFT(Q309,SEARCH(":",Q309)-1))*60+VALUE(MID(Q309,SEARCH(":",Q309)+1,99)),VALUE(Q309)))</f>
        <v/>
      </c>
      <c r="S309" s="39">
        <f>IF(OR(J309="",R309=""),"",(R309-J309)/R309)</f>
        <v/>
      </c>
      <c r="T309" s="22">
        <f>IF(OR(P309&lt;&gt;"",N309="YES"),"YES","NO")</f>
        <v/>
      </c>
      <c r="U309" s="22">
        <f>IF(AND(O309="YES",T309="YES",S309&lt;&gt;""),COUNTIFS($C$5:$C$424,C309,$S$5:$S$424,"&gt;"&amp;S309)+COUNTIFS($C$5:C309,C309,$S$5:S309,S309),"")</f>
        <v/>
      </c>
      <c r="V309" s="22">
        <f>IF(U309="","",C309&amp;"|"&amp;U309)</f>
        <v/>
      </c>
      <c r="W309" s="30" t="inlineStr">
        <is>
          <t>Excluded from record-holder rankings. Margin retained for reference only.</t>
        </is>
      </c>
      <c r="X309" s="30" t="inlineStr">
        <is>
          <t>User-supplied next-fastest time; Standard has no swimmer record holder.</t>
        </is>
      </c>
    </row>
    <row r="310" ht="15" customHeight="1" s="17">
      <c r="A310" s="30" t="inlineStr">
        <is>
          <t>NZ|LCM|M|18|800 Free</t>
        </is>
      </c>
      <c r="B310" s="30" t="inlineStr">
        <is>
          <t>LCM</t>
        </is>
      </c>
      <c r="C310" s="30" t="inlineStr">
        <is>
          <t>Male</t>
        </is>
      </c>
      <c r="D310" s="30" t="n">
        <v>18</v>
      </c>
      <c r="E310" s="30" t="inlineStr">
        <is>
          <t>800 Free</t>
        </is>
      </c>
      <c r="F310" s="30" t="inlineStr">
        <is>
          <t>Zac Reid</t>
        </is>
      </c>
      <c r="G310" s="22" t="inlineStr">
        <is>
          <t>Zac Reid</t>
        </is>
      </c>
      <c r="H310" s="22" t="n"/>
      <c r="I310" s="30" t="inlineStr">
        <is>
          <t>8:01.87</t>
        </is>
      </c>
      <c r="J310" s="22">
        <f>IF(I310="","",IF(ISNUMBER(SEARCH(":",I310)),VALUE(LEFT(I310,SEARCH(":",I310)-1))*60+VALUE(MID(I310,SEARCH(":",I310)+1,99)),VALUE(I310)))</f>
        <v/>
      </c>
      <c r="K310" s="30" t="inlineStr">
        <is>
          <t>04.07.18</t>
        </is>
      </c>
      <c r="L310" s="30" t="inlineStr">
        <is>
          <t>Swimming New Zealand Long Course Records by Age - user-supplied PDF</t>
        </is>
      </c>
      <c r="M310" s="30" t="n"/>
      <c r="N310" s="30" t="inlineStr">
        <is>
          <t>NO</t>
        </is>
      </c>
      <c r="O310" s="30" t="inlineStr">
        <is>
          <t>YES</t>
        </is>
      </c>
      <c r="P310" s="30" t="n"/>
      <c r="Q310" s="30" t="inlineStr">
        <is>
          <t>8:06.39</t>
        </is>
      </c>
      <c r="R310" s="22">
        <f>IF(Q310="","",IF(ISNUMBER(SEARCH(":",Q310)),VALUE(LEFT(Q310,SEARCH(":",Q310)-1))*60+VALUE(MID(Q310,SEARCH(":",Q310)+1,99)),VALUE(Q310)))</f>
        <v/>
      </c>
      <c r="S310" s="39">
        <f>IF(OR(J310="",R310=""),"",(R310-J310)/R310)</f>
        <v/>
      </c>
      <c r="T310" s="22">
        <f>IF(OR(P310&lt;&gt;"",N310="YES"),"YES","NO")</f>
        <v/>
      </c>
      <c r="U310" s="22">
        <f>IF(AND(O310="YES",T310="YES",S310&lt;&gt;""),COUNTIFS($C$5:$C$424,C310,$S$5:$S$424,"&gt;"&amp;S310)+COUNTIFS($C$5:C310,C310,$S$5:S310,S310),"")</f>
        <v/>
      </c>
      <c r="V310" s="22">
        <f>IF(U310="","",C310&amp;"|"&amp;U310)</f>
        <v/>
      </c>
      <c r="W310" s="30" t="n"/>
      <c r="X310" s="30" t="inlineStr">
        <is>
          <t>Next-fastest time supplied in user workbook; swimmer name not yet supplied.</t>
        </is>
      </c>
    </row>
    <row r="311" ht="15" customHeight="1" s="17">
      <c r="A311" s="30" t="inlineStr">
        <is>
          <t>NZ|LCM|M|18|1500 Free</t>
        </is>
      </c>
      <c r="B311" s="30" t="inlineStr">
        <is>
          <t>LCM</t>
        </is>
      </c>
      <c r="C311" s="30" t="inlineStr">
        <is>
          <t>Male</t>
        </is>
      </c>
      <c r="D311" s="30" t="n">
        <v>18</v>
      </c>
      <c r="E311" s="30" t="inlineStr">
        <is>
          <t>1500 Free</t>
        </is>
      </c>
      <c r="F311" s="30" t="inlineStr">
        <is>
          <t>Zac Reid</t>
        </is>
      </c>
      <c r="G311" s="22" t="inlineStr">
        <is>
          <t>Zac Reid</t>
        </is>
      </c>
      <c r="H311" s="22" t="n"/>
      <c r="I311" s="30" t="inlineStr">
        <is>
          <t>15:25.64</t>
        </is>
      </c>
      <c r="J311" s="22">
        <f>IF(I311="","",IF(ISNUMBER(SEARCH(":",I311)),VALUE(LEFT(I311,SEARCH(":",I311)-1))*60+VALUE(MID(I311,SEARCH(":",I311)+1,99)),VALUE(I311)))</f>
        <v/>
      </c>
      <c r="K311" s="30" t="inlineStr">
        <is>
          <t>06.07.18</t>
        </is>
      </c>
      <c r="L311" s="30" t="inlineStr">
        <is>
          <t>Swimming New Zealand Long Course Records by Age - user-supplied PDF</t>
        </is>
      </c>
      <c r="M311" s="30" t="n"/>
      <c r="N311" s="30" t="inlineStr">
        <is>
          <t>NO</t>
        </is>
      </c>
      <c r="O311" s="30" t="inlineStr">
        <is>
          <t>YES</t>
        </is>
      </c>
      <c r="P311" s="30" t="n"/>
      <c r="Q311" s="30" t="inlineStr">
        <is>
          <t>15:30.74</t>
        </is>
      </c>
      <c r="R311" s="22">
        <f>IF(Q311="","",IF(ISNUMBER(SEARCH(":",Q311)),VALUE(LEFT(Q311,SEARCH(":",Q311)-1))*60+VALUE(MID(Q311,SEARCH(":",Q311)+1,99)),VALUE(Q311)))</f>
        <v/>
      </c>
      <c r="S311" s="39">
        <f>IF(OR(J311="",R311=""),"",(R311-J311)/R311)</f>
        <v/>
      </c>
      <c r="T311" s="22">
        <f>IF(OR(P311&lt;&gt;"",N311="YES"),"YES","NO")</f>
        <v/>
      </c>
      <c r="U311" s="22">
        <f>IF(AND(O311="YES",T311="YES",S311&lt;&gt;""),COUNTIFS($C$5:$C$424,C311,$S$5:$S$424,"&gt;"&amp;S311)+COUNTIFS($C$5:C311,C311,$S$5:S311,S311),"")</f>
        <v/>
      </c>
      <c r="V311" s="22">
        <f>IF(U311="","",C311&amp;"|"&amp;U311)</f>
        <v/>
      </c>
      <c r="W311" s="30" t="n"/>
      <c r="X311" s="30" t="inlineStr">
        <is>
          <t>Next-fastest time supplied in user workbook; swimmer name not yet supplied.</t>
        </is>
      </c>
    </row>
    <row r="312" ht="15" customHeight="1" s="17">
      <c r="A312" s="30" t="inlineStr">
        <is>
          <t>NZ|LCM|M|18|50 Back</t>
        </is>
      </c>
      <c r="B312" s="30" t="inlineStr">
        <is>
          <t>LCM</t>
        </is>
      </c>
      <c r="C312" s="30" t="inlineStr">
        <is>
          <t>Male</t>
        </is>
      </c>
      <c r="D312" s="30" t="n">
        <v>18</v>
      </c>
      <c r="E312" s="30" t="inlineStr">
        <is>
          <t>50 Back</t>
        </is>
      </c>
      <c r="F312" s="30" t="inlineStr">
        <is>
          <t>Finn Harland</t>
        </is>
      </c>
      <c r="G312" s="22" t="inlineStr">
        <is>
          <t>Finn Harland</t>
        </is>
      </c>
      <c r="H312" s="22" t="n"/>
      <c r="I312" s="30" t="inlineStr">
        <is>
          <t>24.97</t>
        </is>
      </c>
      <c r="J312" s="22">
        <f>IF(I312="","",IF(ISNUMBER(SEARCH(":",I312)),VALUE(LEFT(I312,SEARCH(":",I312)-1))*60+VALUE(MID(I312,SEARCH(":",I312)+1,99)),VALUE(I312)))</f>
        <v/>
      </c>
      <c r="K312" s="30" t="inlineStr">
        <is>
          <t>11.04.24</t>
        </is>
      </c>
      <c r="L312" s="30" t="inlineStr">
        <is>
          <t>Swimming New Zealand Long Course Records by Age - user-supplied PDF</t>
        </is>
      </c>
      <c r="M312" s="30" t="n"/>
      <c r="N312" s="30" t="inlineStr">
        <is>
          <t>NO</t>
        </is>
      </c>
      <c r="O312" s="30" t="inlineStr">
        <is>
          <t>YES</t>
        </is>
      </c>
      <c r="P312" s="30" t="n"/>
      <c r="Q312" s="30" t="inlineStr">
        <is>
          <t>25.27</t>
        </is>
      </c>
      <c r="R312" s="22">
        <f>IF(Q312="","",IF(ISNUMBER(SEARCH(":",Q312)),VALUE(LEFT(Q312,SEARCH(":",Q312)-1))*60+VALUE(MID(Q312,SEARCH(":",Q312)+1,99)),VALUE(Q312)))</f>
        <v/>
      </c>
      <c r="S312" s="39">
        <f>IF(OR(J312="",R312=""),"",(R312-J312)/R312)</f>
        <v/>
      </c>
      <c r="T312" s="22">
        <f>IF(OR(P312&lt;&gt;"",N312="YES"),"YES","NO")</f>
        <v/>
      </c>
      <c r="U312" s="22">
        <f>IF(AND(O312="YES",T312="YES",S312&lt;&gt;""),COUNTIFS($C$5:$C$424,C312,$S$5:$S$424,"&gt;"&amp;S312)+COUNTIFS($C$5:C312,C312,$S$5:S312,S312),"")</f>
        <v/>
      </c>
      <c r="V312" s="22">
        <f>IF(U312="","",C312&amp;"|"&amp;U312)</f>
        <v/>
      </c>
      <c r="W312" s="30" t="n"/>
      <c r="X312" s="30" t="inlineStr">
        <is>
          <t>Next-fastest time supplied in user workbook; swimmer name not yet supplied.</t>
        </is>
      </c>
    </row>
    <row r="313" ht="15" customHeight="1" s="17">
      <c r="A313" s="30" t="inlineStr">
        <is>
          <t>NZ|LCM|M|18|100 Back</t>
        </is>
      </c>
      <c r="B313" s="30" t="inlineStr">
        <is>
          <t>LCM</t>
        </is>
      </c>
      <c r="C313" s="30" t="inlineStr">
        <is>
          <t>Male</t>
        </is>
      </c>
      <c r="D313" s="30" t="n">
        <v>18</v>
      </c>
      <c r="E313" s="30" t="inlineStr">
        <is>
          <t>100 Back</t>
        </is>
      </c>
      <c r="F313" s="30" t="inlineStr">
        <is>
          <t>Daniel Bell</t>
        </is>
      </c>
      <c r="G313" s="22" t="inlineStr">
        <is>
          <t>Daniel Bell</t>
        </is>
      </c>
      <c r="H313" s="22" t="n"/>
      <c r="I313" s="30" t="inlineStr">
        <is>
          <t>54.52</t>
        </is>
      </c>
      <c r="J313" s="22">
        <f>IF(I313="","",IF(ISNUMBER(SEARCH(":",I313)),VALUE(LEFT(I313,SEARCH(":",I313)-1))*60+VALUE(MID(I313,SEARCH(":",I313)+1,99)),VALUE(I313)))</f>
        <v/>
      </c>
      <c r="K313" s="30" t="inlineStr">
        <is>
          <t>15.08.08</t>
        </is>
      </c>
      <c r="L313" s="30" t="inlineStr">
        <is>
          <t>Swimming New Zealand Long Course Records by Age - user-supplied PDF</t>
        </is>
      </c>
      <c r="M313" s="30" t="n"/>
      <c r="N313" s="30" t="inlineStr">
        <is>
          <t>NO</t>
        </is>
      </c>
      <c r="O313" s="30" t="inlineStr">
        <is>
          <t>YES</t>
        </is>
      </c>
      <c r="P313" s="30" t="n"/>
      <c r="Q313" s="30" t="inlineStr">
        <is>
          <t>54.57</t>
        </is>
      </c>
      <c r="R313" s="22">
        <f>IF(Q313="","",IF(ISNUMBER(SEARCH(":",Q313)),VALUE(LEFT(Q313,SEARCH(":",Q313)-1))*60+VALUE(MID(Q313,SEARCH(":",Q313)+1,99)),VALUE(Q313)))</f>
        <v/>
      </c>
      <c r="S313" s="39">
        <f>IF(OR(J313="",R313=""),"",(R313-J313)/R313)</f>
        <v/>
      </c>
      <c r="T313" s="22">
        <f>IF(OR(P313&lt;&gt;"",N313="YES"),"YES","NO")</f>
        <v/>
      </c>
      <c r="U313" s="22">
        <f>IF(AND(O313="YES",T313="YES",S313&lt;&gt;""),COUNTIFS($C$5:$C$424,C313,$S$5:$S$424,"&gt;"&amp;S313)+COUNTIFS($C$5:C313,C313,$S$5:S313,S313),"")</f>
        <v/>
      </c>
      <c r="V313" s="22">
        <f>IF(U313="","",C313&amp;"|"&amp;U313)</f>
        <v/>
      </c>
      <c r="W313" s="30" t="n"/>
      <c r="X313" s="30" t="inlineStr">
        <is>
          <t>Next-fastest time supplied in user workbook; swimmer name not yet supplied.</t>
        </is>
      </c>
    </row>
    <row r="314" ht="15" customHeight="1" s="17">
      <c r="A314" s="30" t="inlineStr">
        <is>
          <t>NZ|LCM|M|18|200 Back</t>
        </is>
      </c>
      <c r="B314" s="30" t="inlineStr">
        <is>
          <t>LCM</t>
        </is>
      </c>
      <c r="C314" s="30" t="inlineStr">
        <is>
          <t>Male</t>
        </is>
      </c>
      <c r="D314" s="30" t="n">
        <v>18</v>
      </c>
      <c r="E314" s="30" t="inlineStr">
        <is>
          <t>200 Back</t>
        </is>
      </c>
      <c r="F314" s="30" t="inlineStr">
        <is>
          <t>Gareth Kean</t>
        </is>
      </c>
      <c r="G314" s="22" t="inlineStr">
        <is>
          <t>Gareth Kean</t>
        </is>
      </c>
      <c r="H314" s="22" t="n"/>
      <c r="I314" s="30" t="inlineStr">
        <is>
          <t>1:57.78</t>
        </is>
      </c>
      <c r="J314" s="22">
        <f>IF(I314="","",IF(ISNUMBER(SEARCH(":",I314)),VALUE(LEFT(I314,SEARCH(":",I314)-1))*60+VALUE(MID(I314,SEARCH(":",I314)+1,99)),VALUE(I314)))</f>
        <v/>
      </c>
      <c r="K314" s="30" t="inlineStr">
        <is>
          <t>29.08.10</t>
        </is>
      </c>
      <c r="L314" s="30" t="inlineStr">
        <is>
          <t>Swimming New Zealand Long Course Records by Age - user-supplied PDF</t>
        </is>
      </c>
      <c r="M314" s="30" t="n"/>
      <c r="N314" s="30" t="inlineStr">
        <is>
          <t>NO</t>
        </is>
      </c>
      <c r="O314" s="30" t="inlineStr">
        <is>
          <t>YES</t>
        </is>
      </c>
      <c r="P314" s="30" t="n"/>
      <c r="Q314" s="30" t="inlineStr">
        <is>
          <t>1:59.67</t>
        </is>
      </c>
      <c r="R314" s="22">
        <f>IF(Q314="","",IF(ISNUMBER(SEARCH(":",Q314)),VALUE(LEFT(Q314,SEARCH(":",Q314)-1))*60+VALUE(MID(Q314,SEARCH(":",Q314)+1,99)),VALUE(Q314)))</f>
        <v/>
      </c>
      <c r="S314" s="39">
        <f>IF(OR(J314="",R314=""),"",(R314-J314)/R314)</f>
        <v/>
      </c>
      <c r="T314" s="22">
        <f>IF(OR(P314&lt;&gt;"",N314="YES"),"YES","NO")</f>
        <v/>
      </c>
      <c r="U314" s="22">
        <f>IF(AND(O314="YES",T314="YES",S314&lt;&gt;""),COUNTIFS($C$5:$C$424,C314,$S$5:$S$424,"&gt;"&amp;S314)+COUNTIFS($C$5:C314,C314,$S$5:S314,S314),"")</f>
        <v/>
      </c>
      <c r="V314" s="22">
        <f>IF(U314="","",C314&amp;"|"&amp;U314)</f>
        <v/>
      </c>
      <c r="W314" s="30" t="n"/>
      <c r="X314" s="30" t="inlineStr">
        <is>
          <t>Next-fastest time supplied in user workbook; swimmer name not yet supplied.</t>
        </is>
      </c>
    </row>
    <row r="315" ht="15" customHeight="1" s="17">
      <c r="A315" s="30" t="inlineStr">
        <is>
          <t>NZ|LCM|M|18|50 Breast</t>
        </is>
      </c>
      <c r="B315" s="30" t="inlineStr">
        <is>
          <t>LCM</t>
        </is>
      </c>
      <c r="C315" s="30" t="inlineStr">
        <is>
          <t>Male</t>
        </is>
      </c>
      <c r="D315" s="30" t="n">
        <v>18</v>
      </c>
      <c r="E315" s="30" t="inlineStr">
        <is>
          <t>50 Breast</t>
        </is>
      </c>
      <c r="F315" s="30" t="inlineStr">
        <is>
          <t>Matthew Holder</t>
        </is>
      </c>
      <c r="G315" s="22" t="inlineStr">
        <is>
          <t>Matthew Holder</t>
        </is>
      </c>
      <c r="H315" s="22" t="n"/>
      <c r="I315" s="30" t="inlineStr">
        <is>
          <t>28.67</t>
        </is>
      </c>
      <c r="J315" s="22">
        <f>IF(I315="","",IF(ISNUMBER(SEARCH(":",I315)),VALUE(LEFT(I315,SEARCH(":",I315)-1))*60+VALUE(MID(I315,SEARCH(":",I315)+1,99)),VALUE(I315)))</f>
        <v/>
      </c>
      <c r="K315" s="30" t="inlineStr">
        <is>
          <t>19.06.19</t>
        </is>
      </c>
      <c r="L315" s="30" t="inlineStr">
        <is>
          <t>Swimming New Zealand Long Course Records by Age - user-supplied PDF</t>
        </is>
      </c>
      <c r="M315" s="30" t="n"/>
      <c r="N315" s="30" t="inlineStr">
        <is>
          <t>NO</t>
        </is>
      </c>
      <c r="O315" s="30" t="inlineStr">
        <is>
          <t>YES</t>
        </is>
      </c>
      <c r="P315" s="30" t="n"/>
      <c r="Q315" s="30" t="inlineStr">
        <is>
          <t>28.68</t>
        </is>
      </c>
      <c r="R315" s="22">
        <f>IF(Q315="","",IF(ISNUMBER(SEARCH(":",Q315)),VALUE(LEFT(Q315,SEARCH(":",Q315)-1))*60+VALUE(MID(Q315,SEARCH(":",Q315)+1,99)),VALUE(Q315)))</f>
        <v/>
      </c>
      <c r="S315" s="39">
        <f>IF(OR(J315="",R315=""),"",(R315-J315)/R315)</f>
        <v/>
      </c>
      <c r="T315" s="22">
        <f>IF(OR(P315&lt;&gt;"",N315="YES"),"YES","NO")</f>
        <v/>
      </c>
      <c r="U315" s="22">
        <f>IF(AND(O315="YES",T315="YES",S315&lt;&gt;""),COUNTIFS($C$5:$C$424,C315,$S$5:$S$424,"&gt;"&amp;S315)+COUNTIFS($C$5:C315,C315,$S$5:S315,S315),"")</f>
        <v/>
      </c>
      <c r="V315" s="22">
        <f>IF(U315="","",C315&amp;"|"&amp;U315)</f>
        <v/>
      </c>
      <c r="W315" s="30" t="n"/>
      <c r="X315" s="30" t="inlineStr">
        <is>
          <t>Next-fastest time supplied in user workbook; swimmer name not yet supplied.</t>
        </is>
      </c>
    </row>
    <row r="316" ht="15" customHeight="1" s="17">
      <c r="A316" s="30" t="inlineStr">
        <is>
          <t>NZ|LCM|M|18|100 Breast</t>
        </is>
      </c>
      <c r="B316" s="30" t="inlineStr">
        <is>
          <t>LCM</t>
        </is>
      </c>
      <c r="C316" s="30" t="inlineStr">
        <is>
          <t>Male</t>
        </is>
      </c>
      <c r="D316" s="30" t="n">
        <v>18</v>
      </c>
      <c r="E316" s="30" t="inlineStr">
        <is>
          <t>100 Breast</t>
        </is>
      </c>
      <c r="F316" s="30" t="inlineStr">
        <is>
          <t>Mario Koenigsperger</t>
        </is>
      </c>
      <c r="G316" s="22" t="inlineStr">
        <is>
          <t>Mario Koenigsperger</t>
        </is>
      </c>
      <c r="H316" s="22" t="n"/>
      <c r="I316" s="30" t="inlineStr">
        <is>
          <t>1:01.80</t>
        </is>
      </c>
      <c r="J316" s="22">
        <f>IF(I316="","",IF(ISNUMBER(SEARCH(":",I316)),VALUE(LEFT(I316,SEARCH(":",I316)-1))*60+VALUE(MID(I316,SEARCH(":",I316)+1,99)),VALUE(I316)))</f>
        <v/>
      </c>
      <c r="K316" s="30" t="inlineStr">
        <is>
          <t>18.04.16</t>
        </is>
      </c>
      <c r="L316" s="30" t="inlineStr">
        <is>
          <t>Swimming New Zealand Long Course Records by Age - user-supplied PDF</t>
        </is>
      </c>
      <c r="M316" s="30" t="n"/>
      <c r="N316" s="30" t="inlineStr">
        <is>
          <t>NO</t>
        </is>
      </c>
      <c r="O316" s="30" t="inlineStr">
        <is>
          <t>YES</t>
        </is>
      </c>
      <c r="P316" s="30" t="n"/>
      <c r="Q316" s="30" t="inlineStr">
        <is>
          <t>1:02.90</t>
        </is>
      </c>
      <c r="R316" s="22">
        <f>IF(Q316="","",IF(ISNUMBER(SEARCH(":",Q316)),VALUE(LEFT(Q316,SEARCH(":",Q316)-1))*60+VALUE(MID(Q316,SEARCH(":",Q316)+1,99)),VALUE(Q316)))</f>
        <v/>
      </c>
      <c r="S316" s="39">
        <f>IF(OR(J316="",R316=""),"",(R316-J316)/R316)</f>
        <v/>
      </c>
      <c r="T316" s="22">
        <f>IF(OR(P316&lt;&gt;"",N316="YES"),"YES","NO")</f>
        <v/>
      </c>
      <c r="U316" s="22">
        <f>IF(AND(O316="YES",T316="YES",S316&lt;&gt;""),COUNTIFS($C$5:$C$424,C316,$S$5:$S$424,"&gt;"&amp;S316)+COUNTIFS($C$5:C316,C316,$S$5:S316,S316),"")</f>
        <v/>
      </c>
      <c r="V316" s="22">
        <f>IF(U316="","",C316&amp;"|"&amp;U316)</f>
        <v/>
      </c>
      <c r="W316" s="30" t="n"/>
      <c r="X316" s="30" t="inlineStr">
        <is>
          <t>Next-fastest time supplied in user workbook; swimmer name not yet supplied.</t>
        </is>
      </c>
    </row>
    <row r="317" ht="15" customHeight="1" s="17">
      <c r="A317" s="30" t="inlineStr">
        <is>
          <t>NZ|LCM|M|18|200 Breast</t>
        </is>
      </c>
      <c r="B317" s="30" t="inlineStr">
        <is>
          <t>LCM</t>
        </is>
      </c>
      <c r="C317" s="30" t="inlineStr">
        <is>
          <t>Male</t>
        </is>
      </c>
      <c r="D317" s="30" t="n">
        <v>18</v>
      </c>
      <c r="E317" s="30" t="inlineStr">
        <is>
          <t>200 Breast</t>
        </is>
      </c>
      <c r="F317" s="30" t="inlineStr">
        <is>
          <t>George Schroder</t>
        </is>
      </c>
      <c r="G317" s="22" t="inlineStr">
        <is>
          <t>George Schroder</t>
        </is>
      </c>
      <c r="H317" s="22" t="n"/>
      <c r="I317" s="30" t="inlineStr">
        <is>
          <t>2:14.95</t>
        </is>
      </c>
      <c r="J317" s="22">
        <f>IF(I317="","",IF(ISNUMBER(SEARCH(":",I317)),VALUE(LEFT(I317,SEARCH(":",I317)-1))*60+VALUE(MID(I317,SEARCH(":",I317)+1,99)),VALUE(I317)))</f>
        <v/>
      </c>
      <c r="K317" s="30" t="inlineStr">
        <is>
          <t>30.08.14</t>
        </is>
      </c>
      <c r="L317" s="30" t="inlineStr">
        <is>
          <t>Swimming New Zealand Long Course Records by Age - user-supplied PDF</t>
        </is>
      </c>
      <c r="M317" s="30" t="n"/>
      <c r="N317" s="30" t="inlineStr">
        <is>
          <t>NO</t>
        </is>
      </c>
      <c r="O317" s="30" t="inlineStr">
        <is>
          <t>YES</t>
        </is>
      </c>
      <c r="P317" s="30" t="n"/>
      <c r="Q317" s="30" t="inlineStr">
        <is>
          <t>2:16.37</t>
        </is>
      </c>
      <c r="R317" s="22">
        <f>IF(Q317="","",IF(ISNUMBER(SEARCH(":",Q317)),VALUE(LEFT(Q317,SEARCH(":",Q317)-1))*60+VALUE(MID(Q317,SEARCH(":",Q317)+1,99)),VALUE(Q317)))</f>
        <v/>
      </c>
      <c r="S317" s="39">
        <f>IF(OR(J317="",R317=""),"",(R317-J317)/R317)</f>
        <v/>
      </c>
      <c r="T317" s="22">
        <f>IF(OR(P317&lt;&gt;"",N317="YES"),"YES","NO")</f>
        <v/>
      </c>
      <c r="U317" s="22">
        <f>IF(AND(O317="YES",T317="YES",S317&lt;&gt;""),COUNTIFS($C$5:$C$424,C317,$S$5:$S$424,"&gt;"&amp;S317)+COUNTIFS($C$5:C317,C317,$S$5:S317,S317),"")</f>
        <v/>
      </c>
      <c r="V317" s="22">
        <f>IF(U317="","",C317&amp;"|"&amp;U317)</f>
        <v/>
      </c>
      <c r="W317" s="30" t="n"/>
      <c r="X317" s="30" t="inlineStr">
        <is>
          <t>Next-fastest time supplied in user workbook; swimmer name not yet supplied.</t>
        </is>
      </c>
    </row>
    <row r="318" ht="15" customHeight="1" s="17">
      <c r="A318" s="30" t="inlineStr">
        <is>
          <t>NZ|LCM|M|18|50 Fly</t>
        </is>
      </c>
      <c r="B318" s="30" t="inlineStr">
        <is>
          <t>LCM</t>
        </is>
      </c>
      <c r="C318" s="30" t="inlineStr">
        <is>
          <t>Male</t>
        </is>
      </c>
      <c r="D318" s="30" t="n">
        <v>18</v>
      </c>
      <c r="E318" s="30" t="inlineStr">
        <is>
          <t>50 Fly</t>
        </is>
      </c>
      <c r="F318" s="30" t="inlineStr">
        <is>
          <t>Cameron Gray</t>
        </is>
      </c>
      <c r="G318" s="22" t="inlineStr">
        <is>
          <t>Cameron Gray</t>
        </is>
      </c>
      <c r="H318" s="22" t="n"/>
      <c r="I318" s="30" t="inlineStr">
        <is>
          <t>23.27</t>
        </is>
      </c>
      <c r="J318" s="22">
        <f>IF(I318="","",IF(ISNUMBER(SEARCH(":",I318)),VALUE(LEFT(I318,SEARCH(":",I318)-1))*60+VALUE(MID(I318,SEARCH(":",I318)+1,99)),VALUE(I318)))</f>
        <v/>
      </c>
      <c r="K318" s="30" t="inlineStr">
        <is>
          <t>30.07.22</t>
        </is>
      </c>
      <c r="L318" s="30" t="inlineStr">
        <is>
          <t>Swimming New Zealand Long Course Records by Age - user-supplied PDF</t>
        </is>
      </c>
      <c r="M318" s="30" t="n"/>
      <c r="N318" s="30" t="inlineStr">
        <is>
          <t>NO</t>
        </is>
      </c>
      <c r="O318" s="30" t="inlineStr">
        <is>
          <t>YES</t>
        </is>
      </c>
      <c r="P318" s="30" t="n"/>
      <c r="Q318" s="30" t="inlineStr">
        <is>
          <t>23.51</t>
        </is>
      </c>
      <c r="R318" s="22">
        <f>IF(Q318="","",IF(ISNUMBER(SEARCH(":",Q318)),VALUE(LEFT(Q318,SEARCH(":",Q318)-1))*60+VALUE(MID(Q318,SEARCH(":",Q318)+1,99)),VALUE(Q318)))</f>
        <v/>
      </c>
      <c r="S318" s="39">
        <f>IF(OR(J318="",R318=""),"",(R318-J318)/R318)</f>
        <v/>
      </c>
      <c r="T318" s="22">
        <f>IF(OR(P318&lt;&gt;"",N318="YES"),"YES","NO")</f>
        <v/>
      </c>
      <c r="U318" s="22">
        <f>IF(AND(O318="YES",T318="YES",S318&lt;&gt;""),COUNTIFS($C$5:$C$424,C318,$S$5:$S$424,"&gt;"&amp;S318)+COUNTIFS($C$5:C318,C318,$S$5:S318,S318),"")</f>
        <v/>
      </c>
      <c r="V318" s="22">
        <f>IF(U318="","",C318&amp;"|"&amp;U318)</f>
        <v/>
      </c>
      <c r="W318" s="30" t="n"/>
      <c r="X318" s="30" t="inlineStr">
        <is>
          <t>Next-fastest time supplied in user workbook; swimmer name not yet supplied.</t>
        </is>
      </c>
    </row>
    <row r="319" ht="15" customHeight="1" s="17">
      <c r="A319" s="30" t="inlineStr">
        <is>
          <t>NZ|LCM|M|18|100 Fly</t>
        </is>
      </c>
      <c r="B319" s="30" t="inlineStr">
        <is>
          <t>LCM</t>
        </is>
      </c>
      <c r="C319" s="30" t="inlineStr">
        <is>
          <t>Male</t>
        </is>
      </c>
      <c r="D319" s="30" t="n">
        <v>18</v>
      </c>
      <c r="E319" s="30" t="inlineStr">
        <is>
          <t>100 Fly</t>
        </is>
      </c>
      <c r="F319" s="30" t="inlineStr">
        <is>
          <t>Daniel Bell</t>
        </is>
      </c>
      <c r="G319" s="22" t="inlineStr">
        <is>
          <t>Daniel Bell</t>
        </is>
      </c>
      <c r="H319" s="22" t="n"/>
      <c r="I319" s="30" t="inlineStr">
        <is>
          <t>52.28</t>
        </is>
      </c>
      <c r="J319" s="22">
        <f>IF(I319="","",IF(ISNUMBER(SEARCH(":",I319)),VALUE(LEFT(I319,SEARCH(":",I319)-1))*60+VALUE(MID(I319,SEARCH(":",I319)+1,99)),VALUE(I319)))</f>
        <v/>
      </c>
      <c r="K319" s="30" t="inlineStr">
        <is>
          <t>1.04.09</t>
        </is>
      </c>
      <c r="L319" s="30" t="inlineStr">
        <is>
          <t>Swimming New Zealand Long Course Records by Age - user-supplied PDF</t>
        </is>
      </c>
      <c r="M319" s="30" t="n"/>
      <c r="N319" s="30" t="inlineStr">
        <is>
          <t>NO</t>
        </is>
      </c>
      <c r="O319" s="30" t="inlineStr">
        <is>
          <t>YES</t>
        </is>
      </c>
      <c r="P319" s="30" t="n"/>
      <c r="Q319" s="30" t="inlineStr">
        <is>
          <t>52.50</t>
        </is>
      </c>
      <c r="R319" s="22">
        <f>IF(Q319="","",IF(ISNUMBER(SEARCH(":",Q319)),VALUE(LEFT(Q319,SEARCH(":",Q319)-1))*60+VALUE(MID(Q319,SEARCH(":",Q319)+1,99)),VALUE(Q319)))</f>
        <v/>
      </c>
      <c r="S319" s="39">
        <f>IF(OR(J319="",R319=""),"",(R319-J319)/R319)</f>
        <v/>
      </c>
      <c r="T319" s="22">
        <f>IF(OR(P319&lt;&gt;"",N319="YES"),"YES","NO")</f>
        <v/>
      </c>
      <c r="U319" s="22">
        <f>IF(AND(O319="YES",T319="YES",S319&lt;&gt;""),COUNTIFS($C$5:$C$424,C319,$S$5:$S$424,"&gt;"&amp;S319)+COUNTIFS($C$5:C319,C319,$S$5:S319,S319),"")</f>
        <v/>
      </c>
      <c r="V319" s="22">
        <f>IF(U319="","",C319&amp;"|"&amp;U319)</f>
        <v/>
      </c>
      <c r="W319" s="30" t="n"/>
      <c r="X319" s="30" t="inlineStr">
        <is>
          <t>Next-fastest time supplied in user workbook; swimmer name not yet supplied.</t>
        </is>
      </c>
    </row>
    <row r="320" ht="15" customHeight="1" s="17">
      <c r="A320" s="30" t="inlineStr">
        <is>
          <t>NZ|LCM|M|18|200 Fly</t>
        </is>
      </c>
      <c r="B320" s="30" t="inlineStr">
        <is>
          <t>LCM</t>
        </is>
      </c>
      <c r="C320" s="30" t="inlineStr">
        <is>
          <t>Male</t>
        </is>
      </c>
      <c r="D320" s="30" t="n">
        <v>18</v>
      </c>
      <c r="E320" s="30" t="inlineStr">
        <is>
          <t>200 Fly</t>
        </is>
      </c>
      <c r="F320" s="30" t="inlineStr">
        <is>
          <t>Standard</t>
        </is>
      </c>
      <c r="G320" s="22" t="n"/>
      <c r="H320" s="22" t="n"/>
      <c r="I320" s="30" t="inlineStr">
        <is>
          <t>1:57.75</t>
        </is>
      </c>
      <c r="J320" s="22">
        <f>IF(I320="","",IF(ISNUMBER(SEARCH(":",I320)),VALUE(LEFT(I320,SEARCH(":",I320)-1))*60+VALUE(MID(I320,SEARCH(":",I320)+1,99)),VALUE(I320)))</f>
        <v/>
      </c>
      <c r="K320" s="30" t="inlineStr">
        <is>
          <t>0.01.00</t>
        </is>
      </c>
      <c r="L320" s="30" t="inlineStr">
        <is>
          <t>Swimming New Zealand Long Course Records by Age - user-supplied PDF</t>
        </is>
      </c>
      <c r="M320" s="30" t="n"/>
      <c r="N320" s="30" t="inlineStr">
        <is>
          <t>NO</t>
        </is>
      </c>
      <c r="O320" s="30" t="inlineStr">
        <is>
          <t>NO - Standard</t>
        </is>
      </c>
      <c r="P320" s="30" t="n"/>
      <c r="Q320" s="30" t="inlineStr">
        <is>
          <t>1:59.42</t>
        </is>
      </c>
      <c r="R320" s="22">
        <f>IF(Q320="","",IF(ISNUMBER(SEARCH(":",Q320)),VALUE(LEFT(Q320,SEARCH(":",Q320)-1))*60+VALUE(MID(Q320,SEARCH(":",Q320)+1,99)),VALUE(Q320)))</f>
        <v/>
      </c>
      <c r="S320" s="39">
        <f>IF(OR(J320="",R320=""),"",(R320-J320)/R320)</f>
        <v/>
      </c>
      <c r="T320" s="22">
        <f>IF(OR(P320&lt;&gt;"",N320="YES"),"YES","NO")</f>
        <v/>
      </c>
      <c r="U320" s="22">
        <f>IF(AND(O320="YES",T320="YES",S320&lt;&gt;""),COUNTIFS($C$5:$C$424,C320,$S$5:$S$424,"&gt;"&amp;S320)+COUNTIFS($C$5:C320,C320,$S$5:S320,S320),"")</f>
        <v/>
      </c>
      <c r="V320" s="22">
        <f>IF(U320="","",C320&amp;"|"&amp;U320)</f>
        <v/>
      </c>
      <c r="W320" s="30" t="inlineStr">
        <is>
          <t>Excluded from record-holder rankings. Margin retained for reference only.</t>
        </is>
      </c>
      <c r="X320" s="30" t="inlineStr">
        <is>
          <t>User-supplied next-fastest time; Standard has no swimmer record holder.</t>
        </is>
      </c>
    </row>
    <row r="321" ht="15" customHeight="1" s="17">
      <c r="A321" s="30" t="inlineStr">
        <is>
          <t>NZ|LCM|M|18|200 IM</t>
        </is>
      </c>
      <c r="B321" s="30" t="inlineStr">
        <is>
          <t>LCM</t>
        </is>
      </c>
      <c r="C321" s="30" t="inlineStr">
        <is>
          <t>Male</t>
        </is>
      </c>
      <c r="D321" s="30" t="n">
        <v>18</v>
      </c>
      <c r="E321" s="30" t="inlineStr">
        <is>
          <t>200 IM</t>
        </is>
      </c>
      <c r="F321" s="30" t="inlineStr">
        <is>
          <t>Lewis Clareburt</t>
        </is>
      </c>
      <c r="G321" s="22" t="inlineStr">
        <is>
          <t>Lewis Clareburt</t>
        </is>
      </c>
      <c r="H321" s="22" t="n"/>
      <c r="I321" s="30" t="inlineStr">
        <is>
          <t>2:01.13</t>
        </is>
      </c>
      <c r="J321" s="22">
        <f>IF(I321="","",IF(ISNUMBER(SEARCH(":",I321)),VALUE(LEFT(I321,SEARCH(":",I321)-1))*60+VALUE(MID(I321,SEARCH(":",I321)+1,99)),VALUE(I321)))</f>
        <v/>
      </c>
      <c r="K321" s="30" t="inlineStr">
        <is>
          <t>10.04.18</t>
        </is>
      </c>
      <c r="L321" s="30" t="inlineStr">
        <is>
          <t>Swimming New Zealand Long Course Records by Age - user-supplied PDF</t>
        </is>
      </c>
      <c r="M321" s="30" t="n"/>
      <c r="N321" s="30" t="inlineStr">
        <is>
          <t>NO</t>
        </is>
      </c>
      <c r="O321" s="30" t="inlineStr">
        <is>
          <t>YES</t>
        </is>
      </c>
      <c r="P321" s="30" t="n"/>
      <c r="Q321" s="30" t="inlineStr">
        <is>
          <t>2:02.86</t>
        </is>
      </c>
      <c r="R321" s="22">
        <f>IF(Q321="","",IF(ISNUMBER(SEARCH(":",Q321)),VALUE(LEFT(Q321,SEARCH(":",Q321)-1))*60+VALUE(MID(Q321,SEARCH(":",Q321)+1,99)),VALUE(Q321)))</f>
        <v/>
      </c>
      <c r="S321" s="39">
        <f>IF(OR(J321="",R321=""),"",(R321-J321)/R321)</f>
        <v/>
      </c>
      <c r="T321" s="22">
        <f>IF(OR(P321&lt;&gt;"",N321="YES"),"YES","NO")</f>
        <v/>
      </c>
      <c r="U321" s="22">
        <f>IF(AND(O321="YES",T321="YES",S321&lt;&gt;""),COUNTIFS($C$5:$C$424,C321,$S$5:$S$424,"&gt;"&amp;S321)+COUNTIFS($C$5:C321,C321,$S$5:S321,S321),"")</f>
        <v/>
      </c>
      <c r="V321" s="22">
        <f>IF(U321="","",C321&amp;"|"&amp;U321)</f>
        <v/>
      </c>
      <c r="W321" s="30" t="n"/>
      <c r="X321" s="30" t="inlineStr">
        <is>
          <t>Next-fastest time supplied in user workbook; swimmer name not yet supplied.</t>
        </is>
      </c>
    </row>
    <row r="322" ht="15" customHeight="1" s="17">
      <c r="A322" s="30" t="inlineStr">
        <is>
          <t>NZ|LCM|M|18|400 IM</t>
        </is>
      </c>
      <c r="B322" s="30" t="inlineStr">
        <is>
          <t>LCM</t>
        </is>
      </c>
      <c r="C322" s="30" t="inlineStr">
        <is>
          <t>Male</t>
        </is>
      </c>
      <c r="D322" s="30" t="n">
        <v>18</v>
      </c>
      <c r="E322" s="30" t="inlineStr">
        <is>
          <t>400 IM</t>
        </is>
      </c>
      <c r="F322" s="30" t="inlineStr">
        <is>
          <t>Lewis Clareburt</t>
        </is>
      </c>
      <c r="G322" s="22" t="inlineStr">
        <is>
          <t>Lewis Clareburt</t>
        </is>
      </c>
      <c r="H322" s="22" t="n"/>
      <c r="I322" s="30" t="inlineStr">
        <is>
          <t>4:14.42</t>
        </is>
      </c>
      <c r="J322" s="22">
        <f>IF(I322="","",IF(ISNUMBER(SEARCH(":",I322)),VALUE(LEFT(I322,SEARCH(":",I322)-1))*60+VALUE(MID(I322,SEARCH(":",I322)+1,99)),VALUE(I322)))</f>
        <v/>
      </c>
      <c r="K322" s="30" t="inlineStr">
        <is>
          <t>6.04.18</t>
        </is>
      </c>
      <c r="L322" s="30" t="inlineStr">
        <is>
          <t>Swimming New Zealand Long Course Records by Age - user-supplied PDF</t>
        </is>
      </c>
      <c r="M322" s="30" t="n"/>
      <c r="N322" s="30" t="inlineStr">
        <is>
          <t>NO</t>
        </is>
      </c>
      <c r="O322" s="30" t="inlineStr">
        <is>
          <t>YES</t>
        </is>
      </c>
      <c r="P322" s="30" t="inlineStr">
        <is>
          <t>Kevin Litherland</t>
        </is>
      </c>
      <c r="Q322" s="30" t="inlineStr">
        <is>
          <t>4:23.06</t>
        </is>
      </c>
      <c r="R322" s="22">
        <f>IF(Q322="","",IF(ISNUMBER(SEARCH(":",Q322)),VALUE(LEFT(Q322,SEARCH(":",Q322)-1))*60+VALUE(MID(Q322,SEARCH(":",Q322)+1,99)),VALUE(Q322)))</f>
        <v/>
      </c>
      <c r="S322" s="39">
        <f>IF(OR(J322="",R322=""),"",(R322-J322)/R322)</f>
        <v/>
      </c>
      <c r="T322" s="22">
        <f>IF(OR(P322&lt;&gt;"",N322="YES"),"YES","NO")</f>
        <v/>
      </c>
      <c r="U322" s="22">
        <f>IF(AND(O322="YES",T322="YES",S322&lt;&gt;""),COUNTIFS($C$5:$C$424,C322,$S$5:$S$424,"&gt;"&amp;S322)+COUNTIFS($C$5:C322,C322,$S$5:S322,S322),"")</f>
        <v/>
      </c>
      <c r="V322" s="22">
        <f>IF(U322="","",C322&amp;"|"&amp;U322)</f>
        <v/>
      </c>
      <c r="W322" s="30" t="n"/>
      <c r="X322" s="30" t="inlineStr">
        <is>
          <t>Next-fastest time supplied in user workbook; swimmer name not yet supplied.</t>
        </is>
      </c>
    </row>
    <row r="323" ht="15" customHeight="1" s="17">
      <c r="A323" s="30" t="inlineStr">
        <is>
          <t>NZ|LCM|F|13|50 Free</t>
        </is>
      </c>
      <c r="B323" s="30" t="inlineStr">
        <is>
          <t>LCM</t>
        </is>
      </c>
      <c r="C323" s="30" t="inlineStr">
        <is>
          <t>Female</t>
        </is>
      </c>
      <c r="D323" s="30" t="n">
        <v>13</v>
      </c>
      <c r="E323" s="30" t="inlineStr">
        <is>
          <t>50 Free</t>
        </is>
      </c>
      <c r="F323" s="30" t="inlineStr">
        <is>
          <t>Gabrielle Fa'amausili</t>
        </is>
      </c>
      <c r="G323" s="22" t="inlineStr">
        <is>
          <t>Gabrielle Fa'amausili</t>
        </is>
      </c>
      <c r="H323" s="22" t="n"/>
      <c r="I323" s="30" t="inlineStr">
        <is>
          <t>26.10</t>
        </is>
      </c>
      <c r="J323" s="22">
        <f>IF(I323="","",IF(ISNUMBER(SEARCH(":",I323)),VALUE(LEFT(I323,SEARCH(":",I323)-1))*60+VALUE(MID(I323,SEARCH(":",I323)+1,99)),VALUE(I323)))</f>
        <v/>
      </c>
      <c r="K323" s="30" t="inlineStr">
        <is>
          <t>30.08.13</t>
        </is>
      </c>
      <c r="L323" s="30" t="inlineStr">
        <is>
          <t>Swimming New Zealand Long Course Records by Age - user-supplied PDF</t>
        </is>
      </c>
      <c r="M323" s="30" t="n"/>
      <c r="N323" s="30" t="inlineStr">
        <is>
          <t>NO</t>
        </is>
      </c>
      <c r="O323" s="30" t="inlineStr">
        <is>
          <t>YES</t>
        </is>
      </c>
      <c r="P323" s="30" t="n"/>
      <c r="Q323" s="30" t="inlineStr">
        <is>
          <t>26.40</t>
        </is>
      </c>
      <c r="R323" s="22">
        <f>IF(Q323="","",IF(ISNUMBER(SEARCH(":",Q323)),VALUE(LEFT(Q323,SEARCH(":",Q323)-1))*60+VALUE(MID(Q323,SEARCH(":",Q323)+1,99)),VALUE(Q323)))</f>
        <v/>
      </c>
      <c r="S323" s="39">
        <f>IF(OR(J323="",R323=""),"",(R323-J323)/R323)</f>
        <v/>
      </c>
      <c r="T323" s="22">
        <f>IF(OR(P323&lt;&gt;"",N323="YES"),"YES","NO")</f>
        <v/>
      </c>
      <c r="U323" s="22">
        <f>IF(AND(O323="YES",T323="YES",S323&lt;&gt;""),COUNTIFS($C$5:$C$424,C323,$S$5:$S$424,"&gt;"&amp;S323)+COUNTIFS($C$5:C323,C323,$S$5:S323,S323),"")</f>
        <v/>
      </c>
      <c r="V323" s="22">
        <f>IF(U323="","",C323&amp;"|"&amp;U323)</f>
        <v/>
      </c>
      <c r="W323" s="30" t="n"/>
      <c r="X323" s="30" t="inlineStr">
        <is>
          <t>Next-fastest time supplied in user workbook; swimmer name not yet supplied.</t>
        </is>
      </c>
    </row>
    <row r="324" ht="15" customHeight="1" s="17">
      <c r="A324" s="30" t="inlineStr">
        <is>
          <t>NZ|LCM|F|13|100 Free</t>
        </is>
      </c>
      <c r="B324" s="30" t="inlineStr">
        <is>
          <t>LCM</t>
        </is>
      </c>
      <c r="C324" s="30" t="inlineStr">
        <is>
          <t>Female</t>
        </is>
      </c>
      <c r="D324" s="30" t="n">
        <v>13</v>
      </c>
      <c r="E324" s="30" t="inlineStr">
        <is>
          <t>100 Free</t>
        </is>
      </c>
      <c r="F324" s="30" t="inlineStr">
        <is>
          <t>Gabrielle Fa'amausili</t>
        </is>
      </c>
      <c r="G324" s="22" t="inlineStr">
        <is>
          <t>Gabrielle Fa'amausili</t>
        </is>
      </c>
      <c r="H324" s="22" t="n"/>
      <c r="I324" s="30" t="inlineStr">
        <is>
          <t>57.72</t>
        </is>
      </c>
      <c r="J324" s="22">
        <f>IF(I324="","",IF(ISNUMBER(SEARCH(":",I324)),VALUE(LEFT(I324,SEARCH(":",I324)-1))*60+VALUE(MID(I324,SEARCH(":",I324)+1,99)),VALUE(I324)))</f>
        <v/>
      </c>
      <c r="K324" s="30" t="inlineStr">
        <is>
          <t>21.03.13</t>
        </is>
      </c>
      <c r="L324" s="30" t="inlineStr">
        <is>
          <t>Swimming New Zealand Long Course Records by Age - user-supplied PDF</t>
        </is>
      </c>
      <c r="M324" s="30" t="n"/>
      <c r="N324" s="30" t="inlineStr">
        <is>
          <t>NO</t>
        </is>
      </c>
      <c r="O324" s="30" t="inlineStr">
        <is>
          <t>YES</t>
        </is>
      </c>
      <c r="P324" s="30" t="n"/>
      <c r="Q324" s="30" t="inlineStr">
        <is>
          <t>58.94</t>
        </is>
      </c>
      <c r="R324" s="22">
        <f>IF(Q324="","",IF(ISNUMBER(SEARCH(":",Q324)),VALUE(LEFT(Q324,SEARCH(":",Q324)-1))*60+VALUE(MID(Q324,SEARCH(":",Q324)+1,99)),VALUE(Q324)))</f>
        <v/>
      </c>
      <c r="S324" s="39">
        <f>IF(OR(J324="",R324=""),"",(R324-J324)/R324)</f>
        <v/>
      </c>
      <c r="T324" s="22">
        <f>IF(OR(P324&lt;&gt;"",N324="YES"),"YES","NO")</f>
        <v/>
      </c>
      <c r="U324" s="22">
        <f>IF(AND(O324="YES",T324="YES",S324&lt;&gt;""),COUNTIFS($C$5:$C$424,C324,$S$5:$S$424,"&gt;"&amp;S324)+COUNTIFS($C$5:C324,C324,$S$5:S324,S324),"")</f>
        <v/>
      </c>
      <c r="V324" s="22">
        <f>IF(U324="","",C324&amp;"|"&amp;U324)</f>
        <v/>
      </c>
      <c r="W324" s="30" t="n"/>
      <c r="X324" s="30" t="inlineStr">
        <is>
          <t>Next-fastest time supplied in user workbook; swimmer name not yet supplied.</t>
        </is>
      </c>
    </row>
    <row r="325" ht="15" customHeight="1" s="17">
      <c r="A325" s="30" t="inlineStr">
        <is>
          <t>NZ|LCM|F|13|200 Free</t>
        </is>
      </c>
      <c r="B325" s="30" t="inlineStr">
        <is>
          <t>LCM</t>
        </is>
      </c>
      <c r="C325" s="30" t="inlineStr">
        <is>
          <t>Female</t>
        </is>
      </c>
      <c r="D325" s="30" t="n">
        <v>13</v>
      </c>
      <c r="E325" s="30" t="inlineStr">
        <is>
          <t>200 Free</t>
        </is>
      </c>
      <c r="F325" s="30" t="inlineStr">
        <is>
          <t>Erika Fairweather</t>
        </is>
      </c>
      <c r="G325" s="22" t="inlineStr">
        <is>
          <t>Erika Fairweather</t>
        </is>
      </c>
      <c r="H325" s="22" t="n"/>
      <c r="I325" s="30" t="inlineStr">
        <is>
          <t>2:06.89</t>
        </is>
      </c>
      <c r="J325" s="22">
        <f>IF(I325="","",IF(ISNUMBER(SEARCH(":",I325)),VALUE(LEFT(I325,SEARCH(":",I325)-1))*60+VALUE(MID(I325,SEARCH(":",I325)+1,99)),VALUE(I325)))</f>
        <v/>
      </c>
      <c r="K325" s="30" t="inlineStr">
        <is>
          <t>23.03.17</t>
        </is>
      </c>
      <c r="L325" s="30" t="inlineStr">
        <is>
          <t>Swimming New Zealand Long Course Records by Age - user-supplied PDF</t>
        </is>
      </c>
      <c r="M325" s="30" t="n"/>
      <c r="N325" s="30" t="inlineStr">
        <is>
          <t>NO</t>
        </is>
      </c>
      <c r="O325" s="30" t="inlineStr">
        <is>
          <t>YES</t>
        </is>
      </c>
      <c r="P325" s="30" t="n"/>
      <c r="Q325" s="30" t="inlineStr">
        <is>
          <t>2:07.11</t>
        </is>
      </c>
      <c r="R325" s="22">
        <f>IF(Q325="","",IF(ISNUMBER(SEARCH(":",Q325)),VALUE(LEFT(Q325,SEARCH(":",Q325)-1))*60+VALUE(MID(Q325,SEARCH(":",Q325)+1,99)),VALUE(Q325)))</f>
        <v/>
      </c>
      <c r="S325" s="39">
        <f>IF(OR(J325="",R325=""),"",(R325-J325)/R325)</f>
        <v/>
      </c>
      <c r="T325" s="22">
        <f>IF(OR(P325&lt;&gt;"",N325="YES"),"YES","NO")</f>
        <v/>
      </c>
      <c r="U325" s="22">
        <f>IF(AND(O325="YES",T325="YES",S325&lt;&gt;""),COUNTIFS($C$5:$C$424,C325,$S$5:$S$424,"&gt;"&amp;S325)+COUNTIFS($C$5:C325,C325,$S$5:S325,S325),"")</f>
        <v/>
      </c>
      <c r="V325" s="22">
        <f>IF(U325="","",C325&amp;"|"&amp;U325)</f>
        <v/>
      </c>
      <c r="W325" s="30" t="n"/>
      <c r="X325" s="30" t="inlineStr">
        <is>
          <t>Next-fastest time supplied in user workbook; swimmer name not yet supplied.</t>
        </is>
      </c>
    </row>
    <row r="326" ht="15" customHeight="1" s="17">
      <c r="A326" s="30" t="inlineStr">
        <is>
          <t>NZ|LCM|F|13|400 Free</t>
        </is>
      </c>
      <c r="B326" s="30" t="inlineStr">
        <is>
          <t>LCM</t>
        </is>
      </c>
      <c r="C326" s="30" t="inlineStr">
        <is>
          <t>Female</t>
        </is>
      </c>
      <c r="D326" s="30" t="n">
        <v>13</v>
      </c>
      <c r="E326" s="30" t="inlineStr">
        <is>
          <t>400 Free</t>
        </is>
      </c>
      <c r="F326" s="30" t="inlineStr">
        <is>
          <t>Verity Hicks</t>
        </is>
      </c>
      <c r="G326" s="22" t="inlineStr">
        <is>
          <t>Verity Hicks</t>
        </is>
      </c>
      <c r="H326" s="22" t="n"/>
      <c r="I326" s="30" t="inlineStr">
        <is>
          <t>4:27.27</t>
        </is>
      </c>
      <c r="J326" s="22">
        <f>IF(I326="","",IF(ISNUMBER(SEARCH(":",I326)),VALUE(LEFT(I326,SEARCH(":",I326)-1))*60+VALUE(MID(I326,SEARCH(":",I326)+1,99)),VALUE(I326)))</f>
        <v/>
      </c>
      <c r="K326" s="30" t="inlineStr">
        <is>
          <t>11.04.02</t>
        </is>
      </c>
      <c r="L326" s="30" t="inlineStr">
        <is>
          <t>Swimming New Zealand Long Course Records by Age - user-supplied PDF</t>
        </is>
      </c>
      <c r="M326" s="30" t="n"/>
      <c r="N326" s="30" t="inlineStr">
        <is>
          <t>NO</t>
        </is>
      </c>
      <c r="O326" s="30" t="inlineStr">
        <is>
          <t>YES</t>
        </is>
      </c>
      <c r="P326" s="30" t="n"/>
      <c r="Q326" s="30" t="inlineStr">
        <is>
          <t>4:28.57</t>
        </is>
      </c>
      <c r="R326" s="22">
        <f>IF(Q326="","",IF(ISNUMBER(SEARCH(":",Q326)),VALUE(LEFT(Q326,SEARCH(":",Q326)-1))*60+VALUE(MID(Q326,SEARCH(":",Q326)+1,99)),VALUE(Q326)))</f>
        <v/>
      </c>
      <c r="S326" s="39">
        <f>IF(OR(J326="",R326=""),"",(R326-J326)/R326)</f>
        <v/>
      </c>
      <c r="T326" s="22">
        <f>IF(OR(P326&lt;&gt;"",N326="YES"),"YES","NO")</f>
        <v/>
      </c>
      <c r="U326" s="22">
        <f>IF(AND(O326="YES",T326="YES",S326&lt;&gt;""),COUNTIFS($C$5:$C$424,C326,$S$5:$S$424,"&gt;"&amp;S326)+COUNTIFS($C$5:C326,C326,$S$5:S326,S326),"")</f>
        <v/>
      </c>
      <c r="V326" s="22">
        <f>IF(U326="","",C326&amp;"|"&amp;U326)</f>
        <v/>
      </c>
      <c r="W326" s="30" t="n"/>
      <c r="X326" s="30" t="inlineStr">
        <is>
          <t>Next-fastest time supplied in user workbook; swimmer name not yet supplied.</t>
        </is>
      </c>
    </row>
    <row r="327" ht="15" customHeight="1" s="17">
      <c r="A327" s="30" t="inlineStr">
        <is>
          <t>NZ|LCM|F|13|800 Free</t>
        </is>
      </c>
      <c r="B327" s="30" t="inlineStr">
        <is>
          <t>LCM</t>
        </is>
      </c>
      <c r="C327" s="30" t="inlineStr">
        <is>
          <t>Female</t>
        </is>
      </c>
      <c r="D327" s="30" t="n">
        <v>13</v>
      </c>
      <c r="E327" s="30" t="inlineStr">
        <is>
          <t>800 Free</t>
        </is>
      </c>
      <c r="F327" s="30" t="inlineStr">
        <is>
          <t>Laura Baker</t>
        </is>
      </c>
      <c r="G327" s="22" t="inlineStr">
        <is>
          <t>Laura Baker</t>
        </is>
      </c>
      <c r="H327" s="22" t="n"/>
      <c r="I327" s="30" t="inlineStr">
        <is>
          <t>9:08.20</t>
        </is>
      </c>
      <c r="J327" s="22">
        <f>IF(I327="","",IF(ISNUMBER(SEARCH(":",I327)),VALUE(LEFT(I327,SEARCH(":",I327)-1))*60+VALUE(MID(I327,SEARCH(":",I327)+1,99)),VALUE(I327)))</f>
        <v/>
      </c>
      <c r="K327" s="30" t="inlineStr">
        <is>
          <t>20.10.07</t>
        </is>
      </c>
      <c r="L327" s="30" t="inlineStr">
        <is>
          <t>Swimming New Zealand Long Course Records by Age - user-supplied PDF</t>
        </is>
      </c>
      <c r="M327" s="30" t="n"/>
      <c r="N327" s="30" t="inlineStr">
        <is>
          <t>NO</t>
        </is>
      </c>
      <c r="O327" s="30" t="inlineStr">
        <is>
          <t>YES</t>
        </is>
      </c>
      <c r="P327" s="30" t="n"/>
      <c r="Q327" s="30" t="inlineStr">
        <is>
          <t>9:12.80</t>
        </is>
      </c>
      <c r="R327" s="22">
        <f>IF(Q327="","",IF(ISNUMBER(SEARCH(":",Q327)),VALUE(LEFT(Q327,SEARCH(":",Q327)-1))*60+VALUE(MID(Q327,SEARCH(":",Q327)+1,99)),VALUE(Q327)))</f>
        <v/>
      </c>
      <c r="S327" s="39">
        <f>IF(OR(J327="",R327=""),"",(R327-J327)/R327)</f>
        <v/>
      </c>
      <c r="T327" s="22">
        <f>IF(OR(P327&lt;&gt;"",N327="YES"),"YES","NO")</f>
        <v/>
      </c>
      <c r="U327" s="22">
        <f>IF(AND(O327="YES",T327="YES",S327&lt;&gt;""),COUNTIFS($C$5:$C$424,C327,$S$5:$S$424,"&gt;"&amp;S327)+COUNTIFS($C$5:C327,C327,$S$5:S327,S327),"")</f>
        <v/>
      </c>
      <c r="V327" s="22">
        <f>IF(U327="","",C327&amp;"|"&amp;U327)</f>
        <v/>
      </c>
      <c r="W327" s="30" t="n"/>
      <c r="X327" s="30" t="inlineStr">
        <is>
          <t>Next-fastest time supplied in user workbook; swimmer name not yet supplied.</t>
        </is>
      </c>
    </row>
    <row r="328" ht="15" customHeight="1" s="17">
      <c r="A328" s="30" t="inlineStr">
        <is>
          <t>NZ|LCM|F|13|1500 Free</t>
        </is>
      </c>
      <c r="B328" s="30" t="inlineStr">
        <is>
          <t>LCM</t>
        </is>
      </c>
      <c r="C328" s="30" t="inlineStr">
        <is>
          <t>Female</t>
        </is>
      </c>
      <c r="D328" s="30" t="n">
        <v>13</v>
      </c>
      <c r="E328" s="30" t="inlineStr">
        <is>
          <t>1500 Free</t>
        </is>
      </c>
      <c r="F328" s="30" t="inlineStr">
        <is>
          <t>Carmen Ooi</t>
        </is>
      </c>
      <c r="G328" s="22" t="inlineStr">
        <is>
          <t>Carmen Ooi</t>
        </is>
      </c>
      <c r="H328" s="22" t="n"/>
      <c r="I328" s="30" t="inlineStr">
        <is>
          <t>17:45.23</t>
        </is>
      </c>
      <c r="J328" s="22">
        <f>IF(I328="","",IF(ISNUMBER(SEARCH(":",I328)),VALUE(LEFT(I328,SEARCH(":",I328)-1))*60+VALUE(MID(I328,SEARCH(":",I328)+1,99)),VALUE(I328)))</f>
        <v/>
      </c>
      <c r="K328" s="30" t="inlineStr">
        <is>
          <t>03.04.04</t>
        </is>
      </c>
      <c r="L328" s="30" t="inlineStr">
        <is>
          <t>Swimming New Zealand Long Course Records by Age - user-supplied PDF</t>
        </is>
      </c>
      <c r="M328" s="30" t="n"/>
      <c r="N328" s="30" t="inlineStr">
        <is>
          <t>NO</t>
        </is>
      </c>
      <c r="O328" s="30" t="inlineStr">
        <is>
          <t>YES</t>
        </is>
      </c>
      <c r="P328" s="30" t="n"/>
      <c r="Q328" s="30" t="inlineStr">
        <is>
          <t>17:48.73</t>
        </is>
      </c>
      <c r="R328" s="22">
        <f>IF(Q328="","",IF(ISNUMBER(SEARCH(":",Q328)),VALUE(LEFT(Q328,SEARCH(":",Q328)-1))*60+VALUE(MID(Q328,SEARCH(":",Q328)+1,99)),VALUE(Q328)))</f>
        <v/>
      </c>
      <c r="S328" s="39">
        <f>IF(OR(J328="",R328=""),"",(R328-J328)/R328)</f>
        <v/>
      </c>
      <c r="T328" s="22">
        <f>IF(OR(P328&lt;&gt;"",N328="YES"),"YES","NO")</f>
        <v/>
      </c>
      <c r="U328" s="22">
        <f>IF(AND(O328="YES",T328="YES",S328&lt;&gt;""),COUNTIFS($C$5:$C$424,C328,$S$5:$S$424,"&gt;"&amp;S328)+COUNTIFS($C$5:C328,C328,$S$5:S328,S328),"")</f>
        <v/>
      </c>
      <c r="V328" s="22">
        <f>IF(U328="","",C328&amp;"|"&amp;U328)</f>
        <v/>
      </c>
      <c r="W328" s="30" t="n"/>
      <c r="X328" s="30" t="inlineStr">
        <is>
          <t>Next-fastest time supplied in user workbook; swimmer name not yet supplied.</t>
        </is>
      </c>
    </row>
    <row r="329" ht="15" customHeight="1" s="17">
      <c r="A329" s="30" t="inlineStr">
        <is>
          <t>NZ|LCM|F|13|50 Back</t>
        </is>
      </c>
      <c r="B329" s="30" t="inlineStr">
        <is>
          <t>LCM</t>
        </is>
      </c>
      <c r="C329" s="30" t="inlineStr">
        <is>
          <t>Female</t>
        </is>
      </c>
      <c r="D329" s="30" t="n">
        <v>13</v>
      </c>
      <c r="E329" s="30" t="inlineStr">
        <is>
          <t>50 Back</t>
        </is>
      </c>
      <c r="F329" s="30" t="inlineStr">
        <is>
          <t>Gabrielle Fa'amausili</t>
        </is>
      </c>
      <c r="G329" s="22" t="inlineStr">
        <is>
          <t>Gabrielle Fa'amausili</t>
        </is>
      </c>
      <c r="H329" s="22" t="n"/>
      <c r="I329" s="30" t="inlineStr">
        <is>
          <t>28.14</t>
        </is>
      </c>
      <c r="J329" s="22">
        <f>IF(I329="","",IF(ISNUMBER(SEARCH(":",I329)),VALUE(LEFT(I329,SEARCH(":",I329)-1))*60+VALUE(MID(I329,SEARCH(":",I329)+1,99)),VALUE(I329)))</f>
        <v/>
      </c>
      <c r="K329" s="30" t="inlineStr">
        <is>
          <t>30.08.13</t>
        </is>
      </c>
      <c r="L329" s="30" t="inlineStr">
        <is>
          <t>Swimming New Zealand Long Course Records by Age - user-supplied PDF</t>
        </is>
      </c>
      <c r="M329" s="30" t="n"/>
      <c r="N329" s="30" t="inlineStr">
        <is>
          <t>NO</t>
        </is>
      </c>
      <c r="O329" s="30" t="inlineStr">
        <is>
          <t>YES</t>
        </is>
      </c>
      <c r="P329" s="30" t="inlineStr">
        <is>
          <t>Bobbi Gichard</t>
        </is>
      </c>
      <c r="Q329" s="30" t="inlineStr">
        <is>
          <t>29.14</t>
        </is>
      </c>
      <c r="R329" s="22">
        <f>IF(Q329="","",IF(ISNUMBER(SEARCH(":",Q329)),VALUE(LEFT(Q329,SEARCH(":",Q329)-1))*60+VALUE(MID(Q329,SEARCH(":",Q329)+1,99)),VALUE(Q329)))</f>
        <v/>
      </c>
      <c r="S329" s="39">
        <f>IF(OR(J329="",R329=""),"",(R329-J329)/R329)</f>
        <v/>
      </c>
      <c r="T329" s="22">
        <f>IF(OR(P329&lt;&gt;"",N329="YES"),"YES","NO")</f>
        <v/>
      </c>
      <c r="U329" s="22">
        <f>IF(AND(O329="YES",T329="YES",S329&lt;&gt;""),COUNTIFS($C$5:$C$424,C329,$S$5:$S$424,"&gt;"&amp;S329)+COUNTIFS($C$5:C329,C329,$S$5:S329,S329),"")</f>
        <v/>
      </c>
      <c r="V329" s="22">
        <f>IF(U329="","",C329&amp;"|"&amp;U329)</f>
        <v/>
      </c>
      <c r="W329" s="30" t="n"/>
      <c r="X329" s="30" t="inlineStr">
        <is>
          <t>Next-fastest time supplied in user workbook; swimmer name not yet supplied.</t>
        </is>
      </c>
    </row>
    <row r="330" ht="15" customHeight="1" s="17">
      <c r="A330" s="30" t="inlineStr">
        <is>
          <t>NZ|LCM|F|13|100 Back</t>
        </is>
      </c>
      <c r="B330" s="30" t="inlineStr">
        <is>
          <t>LCM</t>
        </is>
      </c>
      <c r="C330" s="30" t="inlineStr">
        <is>
          <t>Female</t>
        </is>
      </c>
      <c r="D330" s="30" t="n">
        <v>13</v>
      </c>
      <c r="E330" s="30" t="inlineStr">
        <is>
          <t>100 Back</t>
        </is>
      </c>
      <c r="F330" s="30" t="inlineStr">
        <is>
          <t>Bobbi Gichard</t>
        </is>
      </c>
      <c r="G330" s="22" t="inlineStr">
        <is>
          <t>Bobbi Gichard</t>
        </is>
      </c>
      <c r="H330" s="22" t="n"/>
      <c r="I330" s="30" t="inlineStr">
        <is>
          <t>1:02.49</t>
        </is>
      </c>
      <c r="J330" s="22">
        <f>IF(I330="","",IF(ISNUMBER(SEARCH(":",I330)),VALUE(LEFT(I330,SEARCH(":",I330)-1))*60+VALUE(MID(I330,SEARCH(":",I330)+1,99)),VALUE(I330)))</f>
        <v/>
      </c>
      <c r="K330" s="30" t="inlineStr">
        <is>
          <t>28.02.13</t>
        </is>
      </c>
      <c r="L330" s="30" t="inlineStr">
        <is>
          <t>Swimming New Zealand Long Course Records by Age - user-supplied PDF</t>
        </is>
      </c>
      <c r="M330" s="30" t="n"/>
      <c r="N330" s="30" t="inlineStr">
        <is>
          <t>NO</t>
        </is>
      </c>
      <c r="O330" s="30" t="inlineStr">
        <is>
          <t>YES</t>
        </is>
      </c>
      <c r="P330" s="30" t="n"/>
      <c r="Q330" s="30" t="inlineStr">
        <is>
          <t>1:03.01</t>
        </is>
      </c>
      <c r="R330" s="22">
        <f>IF(Q330="","",IF(ISNUMBER(SEARCH(":",Q330)),VALUE(LEFT(Q330,SEARCH(":",Q330)-1))*60+VALUE(MID(Q330,SEARCH(":",Q330)+1,99)),VALUE(Q330)))</f>
        <v/>
      </c>
      <c r="S330" s="39">
        <f>IF(OR(J330="",R330=""),"",(R330-J330)/R330)</f>
        <v/>
      </c>
      <c r="T330" s="22">
        <f>IF(OR(P330&lt;&gt;"",N330="YES"),"YES","NO")</f>
        <v/>
      </c>
      <c r="U330" s="22">
        <f>IF(AND(O330="YES",T330="YES",S330&lt;&gt;""),COUNTIFS($C$5:$C$424,C330,$S$5:$S$424,"&gt;"&amp;S330)+COUNTIFS($C$5:C330,C330,$S$5:S330,S330),"")</f>
        <v/>
      </c>
      <c r="V330" s="22">
        <f>IF(U330="","",C330&amp;"|"&amp;U330)</f>
        <v/>
      </c>
      <c r="W330" s="30" t="n"/>
      <c r="X330" s="30" t="inlineStr">
        <is>
          <t>Next-fastest time supplied in user workbook; swimmer name not yet supplied.</t>
        </is>
      </c>
    </row>
    <row r="331" ht="15" customHeight="1" s="17">
      <c r="A331" s="30" t="inlineStr">
        <is>
          <t>NZ|LCM|F|13|200 Back</t>
        </is>
      </c>
      <c r="B331" s="30" t="inlineStr">
        <is>
          <t>LCM</t>
        </is>
      </c>
      <c r="C331" s="30" t="inlineStr">
        <is>
          <t>Female</t>
        </is>
      </c>
      <c r="D331" s="30" t="n">
        <v>13</v>
      </c>
      <c r="E331" s="30" t="inlineStr">
        <is>
          <t>200 Back</t>
        </is>
      </c>
      <c r="F331" s="30" t="inlineStr">
        <is>
          <t>Bobbi Gichard</t>
        </is>
      </c>
      <c r="G331" s="22" t="inlineStr">
        <is>
          <t>Bobbi Gichard</t>
        </is>
      </c>
      <c r="H331" s="22" t="n"/>
      <c r="I331" s="30" t="inlineStr">
        <is>
          <t>2:15.61</t>
        </is>
      </c>
      <c r="J331" s="22">
        <f>IF(I331="","",IF(ISNUMBER(SEARCH(":",I331)),VALUE(LEFT(I331,SEARCH(":",I331)-1))*60+VALUE(MID(I331,SEARCH(":",I331)+1,99)),VALUE(I331)))</f>
        <v/>
      </c>
      <c r="K331" s="30" t="inlineStr">
        <is>
          <t>26.02.13</t>
        </is>
      </c>
      <c r="L331" s="30" t="inlineStr">
        <is>
          <t>Swimming New Zealand Long Course Records by Age - user-supplied PDF</t>
        </is>
      </c>
      <c r="M331" s="30" t="n"/>
      <c r="N331" s="30" t="inlineStr">
        <is>
          <t>NO</t>
        </is>
      </c>
      <c r="O331" s="30" t="inlineStr">
        <is>
          <t>YES</t>
        </is>
      </c>
      <c r="P331" s="30" t="n"/>
      <c r="Q331" s="30" t="inlineStr">
        <is>
          <t>2:19.18</t>
        </is>
      </c>
      <c r="R331" s="22">
        <f>IF(Q331="","",IF(ISNUMBER(SEARCH(":",Q331)),VALUE(LEFT(Q331,SEARCH(":",Q331)-1))*60+VALUE(MID(Q331,SEARCH(":",Q331)+1,99)),VALUE(Q331)))</f>
        <v/>
      </c>
      <c r="S331" s="39">
        <f>IF(OR(J331="",R331=""),"",(R331-J331)/R331)</f>
        <v/>
      </c>
      <c r="T331" s="22">
        <f>IF(OR(P331&lt;&gt;"",N331="YES"),"YES","NO")</f>
        <v/>
      </c>
      <c r="U331" s="22">
        <f>IF(AND(O331="YES",T331="YES",S331&lt;&gt;""),COUNTIFS($C$5:$C$424,C331,$S$5:$S$424,"&gt;"&amp;S331)+COUNTIFS($C$5:C331,C331,$S$5:S331,S331),"")</f>
        <v/>
      </c>
      <c r="V331" s="22">
        <f>IF(U331="","",C331&amp;"|"&amp;U331)</f>
        <v/>
      </c>
      <c r="W331" s="30" t="n"/>
      <c r="X331" s="30" t="inlineStr">
        <is>
          <t>Next-fastest time supplied in user workbook; swimmer name not yet supplied.</t>
        </is>
      </c>
    </row>
    <row r="332" ht="15" customHeight="1" s="17">
      <c r="A332" s="30" t="inlineStr">
        <is>
          <t>NZ|LCM|F|13|50 Breast</t>
        </is>
      </c>
      <c r="B332" s="30" t="inlineStr">
        <is>
          <t>LCM</t>
        </is>
      </c>
      <c r="C332" s="30" t="inlineStr">
        <is>
          <t>Female</t>
        </is>
      </c>
      <c r="D332" s="30" t="n">
        <v>13</v>
      </c>
      <c r="E332" s="30" t="inlineStr">
        <is>
          <t>50 Breast</t>
        </is>
      </c>
      <c r="F332" s="30" t="inlineStr">
        <is>
          <t>Abbie Johnston</t>
        </is>
      </c>
      <c r="G332" s="22" t="inlineStr">
        <is>
          <t>Abbie Johnston</t>
        </is>
      </c>
      <c r="H332" s="22" t="n"/>
      <c r="I332" s="30" t="inlineStr">
        <is>
          <t>33.36</t>
        </is>
      </c>
      <c r="J332" s="22">
        <f>IF(I332="","",IF(ISNUMBER(SEARCH(":",I332)),VALUE(LEFT(I332,SEARCH(":",I332)-1))*60+VALUE(MID(I332,SEARCH(":",I332)+1,99)),VALUE(I332)))</f>
        <v/>
      </c>
      <c r="K332" s="30" t="inlineStr">
        <is>
          <t>05.04.10</t>
        </is>
      </c>
      <c r="L332" s="30" t="inlineStr">
        <is>
          <t>Swimming New Zealand Long Course Records by Age - user-supplied PDF</t>
        </is>
      </c>
      <c r="M332" s="30" t="n"/>
      <c r="N332" s="30" t="inlineStr">
        <is>
          <t>NO</t>
        </is>
      </c>
      <c r="O332" s="30" t="inlineStr">
        <is>
          <t>YES</t>
        </is>
      </c>
      <c r="P332" s="30" t="n"/>
      <c r="Q332" s="30" t="inlineStr">
        <is>
          <t>33.69</t>
        </is>
      </c>
      <c r="R332" s="22">
        <f>IF(Q332="","",IF(ISNUMBER(SEARCH(":",Q332)),VALUE(LEFT(Q332,SEARCH(":",Q332)-1))*60+VALUE(MID(Q332,SEARCH(":",Q332)+1,99)),VALUE(Q332)))</f>
        <v/>
      </c>
      <c r="S332" s="39">
        <f>IF(OR(J332="",R332=""),"",(R332-J332)/R332)</f>
        <v/>
      </c>
      <c r="T332" s="22">
        <f>IF(OR(P332&lt;&gt;"",N332="YES"),"YES","NO")</f>
        <v/>
      </c>
      <c r="U332" s="22">
        <f>IF(AND(O332="YES",T332="YES",S332&lt;&gt;""),COUNTIFS($C$5:$C$424,C332,$S$5:$S$424,"&gt;"&amp;S332)+COUNTIFS($C$5:C332,C332,$S$5:S332,S332),"")</f>
        <v/>
      </c>
      <c r="V332" s="22">
        <f>IF(U332="","",C332&amp;"|"&amp;U332)</f>
        <v/>
      </c>
      <c r="W332" s="30" t="n"/>
      <c r="X332" s="30" t="inlineStr">
        <is>
          <t>Next-fastest time supplied in user workbook; swimmer name not yet supplied.</t>
        </is>
      </c>
    </row>
    <row r="333" ht="15" customHeight="1" s="17">
      <c r="A333" s="30" t="inlineStr">
        <is>
          <t>NZ|LCM|F|13|100 Breast</t>
        </is>
      </c>
      <c r="B333" s="30" t="inlineStr">
        <is>
          <t>LCM</t>
        </is>
      </c>
      <c r="C333" s="30" t="inlineStr">
        <is>
          <t>Female</t>
        </is>
      </c>
      <c r="D333" s="30" t="n">
        <v>13</v>
      </c>
      <c r="E333" s="30" t="inlineStr">
        <is>
          <t>100 Breast</t>
        </is>
      </c>
      <c r="F333" s="30" t="inlineStr">
        <is>
          <t>April Lin</t>
        </is>
      </c>
      <c r="G333" s="22" t="inlineStr">
        <is>
          <t>April Lin</t>
        </is>
      </c>
      <c r="H333" s="22" t="n"/>
      <c r="I333" s="30" t="inlineStr">
        <is>
          <t>1:13.11</t>
        </is>
      </c>
      <c r="J333" s="22">
        <f>IF(I333="","",IF(ISNUMBER(SEARCH(":",I333)),VALUE(LEFT(I333,SEARCH(":",I333)-1))*60+VALUE(MID(I333,SEARCH(":",I333)+1,99)),VALUE(I333)))</f>
        <v/>
      </c>
      <c r="K333" s="30" t="inlineStr">
        <is>
          <t>14.05.26</t>
        </is>
      </c>
      <c r="L333" s="30" t="inlineStr">
        <is>
          <t>Swimming New Zealand Long Course Records by Age - user-supplied PDF</t>
        </is>
      </c>
      <c r="M333" s="30" t="n"/>
      <c r="N333" s="30" t="inlineStr">
        <is>
          <t>NO</t>
        </is>
      </c>
      <c r="O333" s="30" t="inlineStr">
        <is>
          <t>YES</t>
        </is>
      </c>
      <c r="P333" s="30" t="n"/>
      <c r="Q333" s="30" t="inlineStr">
        <is>
          <t>1:13.91</t>
        </is>
      </c>
      <c r="R333" s="22">
        <f>IF(Q333="","",IF(ISNUMBER(SEARCH(":",Q333)),VALUE(LEFT(Q333,SEARCH(":",Q333)-1))*60+VALUE(MID(Q333,SEARCH(":",Q333)+1,99)),VALUE(Q333)))</f>
        <v/>
      </c>
      <c r="S333" s="39">
        <f>IF(OR(J333="",R333=""),"",(R333-J333)/R333)</f>
        <v/>
      </c>
      <c r="T333" s="22">
        <f>IF(OR(P333&lt;&gt;"",N333="YES"),"YES","NO")</f>
        <v/>
      </c>
      <c r="U333" s="22">
        <f>IF(AND(O333="YES",T333="YES",S333&lt;&gt;""),COUNTIFS($C$5:$C$424,C333,$S$5:$S$424,"&gt;"&amp;S333)+COUNTIFS($C$5:C333,C333,$S$5:S333,S333),"")</f>
        <v/>
      </c>
      <c r="V333" s="22">
        <f>IF(U333="","",C333&amp;"|"&amp;U333)</f>
        <v/>
      </c>
      <c r="W333" s="30" t="n"/>
      <c r="X333" s="30" t="inlineStr">
        <is>
          <t>Next-fastest time supplied in user workbook; swimmer name not yet supplied.</t>
        </is>
      </c>
    </row>
    <row r="334" ht="15" customHeight="1" s="17">
      <c r="A334" s="30" t="inlineStr">
        <is>
          <t>NZ|LCM|F|13|200 Breast</t>
        </is>
      </c>
      <c r="B334" s="30" t="inlineStr">
        <is>
          <t>LCM</t>
        </is>
      </c>
      <c r="C334" s="30" t="inlineStr">
        <is>
          <t>Female</t>
        </is>
      </c>
      <c r="D334" s="30" t="n">
        <v>13</v>
      </c>
      <c r="E334" s="30" t="inlineStr">
        <is>
          <t>200 Breast</t>
        </is>
      </c>
      <c r="F334" s="30" t="inlineStr">
        <is>
          <t>April Lin</t>
        </is>
      </c>
      <c r="G334" s="22" t="inlineStr">
        <is>
          <t>April Lin</t>
        </is>
      </c>
      <c r="H334" s="22" t="n"/>
      <c r="I334" s="30" t="inlineStr">
        <is>
          <t>2:36.70</t>
        </is>
      </c>
      <c r="J334" s="22">
        <f>IF(I334="","",IF(ISNUMBER(SEARCH(":",I334)),VALUE(LEFT(I334,SEARCH(":",I334)-1))*60+VALUE(MID(I334,SEARCH(":",I334)+1,99)),VALUE(I334)))</f>
        <v/>
      </c>
      <c r="K334" s="30" t="inlineStr">
        <is>
          <t>17.05.26</t>
        </is>
      </c>
      <c r="L334" s="30" t="inlineStr">
        <is>
          <t>Swimming New Zealand Long Course Records by Age - user-supplied PDF</t>
        </is>
      </c>
      <c r="M334" s="30" t="n"/>
      <c r="N334" s="30" t="inlineStr">
        <is>
          <t>NO</t>
        </is>
      </c>
      <c r="O334" s="30" t="inlineStr">
        <is>
          <t>YES</t>
        </is>
      </c>
      <c r="P334" s="30" t="n"/>
      <c r="Q334" s="30" t="inlineStr">
        <is>
          <t>2:39.14</t>
        </is>
      </c>
      <c r="R334" s="22">
        <f>IF(Q334="","",IF(ISNUMBER(SEARCH(":",Q334)),VALUE(LEFT(Q334,SEARCH(":",Q334)-1))*60+VALUE(MID(Q334,SEARCH(":",Q334)+1,99)),VALUE(Q334)))</f>
        <v/>
      </c>
      <c r="S334" s="39">
        <f>IF(OR(J334="",R334=""),"",(R334-J334)/R334)</f>
        <v/>
      </c>
      <c r="T334" s="22">
        <f>IF(OR(P334&lt;&gt;"",N334="YES"),"YES","NO")</f>
        <v/>
      </c>
      <c r="U334" s="22">
        <f>IF(AND(O334="YES",T334="YES",S334&lt;&gt;""),COUNTIFS($C$5:$C$424,C334,$S$5:$S$424,"&gt;"&amp;S334)+COUNTIFS($C$5:C334,C334,$S$5:S334,S334),"")</f>
        <v/>
      </c>
      <c r="V334" s="22">
        <f>IF(U334="","",C334&amp;"|"&amp;U334)</f>
        <v/>
      </c>
      <c r="W334" s="30" t="n"/>
      <c r="X334" s="30" t="inlineStr">
        <is>
          <t>Next-fastest time supplied in user workbook; swimmer name not yet supplied.</t>
        </is>
      </c>
    </row>
    <row r="335" ht="15" customHeight="1" s="17">
      <c r="A335" s="30" t="inlineStr">
        <is>
          <t>NZ|LCM|F|13|50 Fly</t>
        </is>
      </c>
      <c r="B335" s="30" t="inlineStr">
        <is>
          <t>LCM</t>
        </is>
      </c>
      <c r="C335" s="30" t="inlineStr">
        <is>
          <t>Female</t>
        </is>
      </c>
      <c r="D335" s="30" t="n">
        <v>13</v>
      </c>
      <c r="E335" s="30" t="inlineStr">
        <is>
          <t>50 Fly</t>
        </is>
      </c>
      <c r="F335" s="30" t="inlineStr">
        <is>
          <t>Indie Herbert</t>
        </is>
      </c>
      <c r="G335" s="22" t="inlineStr">
        <is>
          <t>Indie Herbert</t>
        </is>
      </c>
      <c r="H335" s="22" t="n"/>
      <c r="I335" s="30" t="inlineStr">
        <is>
          <t>28.36</t>
        </is>
      </c>
      <c r="J335" s="22">
        <f>IF(I335="","",IF(ISNUMBER(SEARCH(":",I335)),VALUE(LEFT(I335,SEARCH(":",I335)-1))*60+VALUE(MID(I335,SEARCH(":",I335)+1,99)),VALUE(I335)))</f>
        <v/>
      </c>
      <c r="K335" s="30" t="inlineStr">
        <is>
          <t>10.04.26</t>
        </is>
      </c>
      <c r="L335" s="30" t="inlineStr">
        <is>
          <t>Swimming New Zealand Long Course Records by Age - user-supplied PDF</t>
        </is>
      </c>
      <c r="M335" s="30" t="n"/>
      <c r="N335" s="30" t="inlineStr">
        <is>
          <t>NO</t>
        </is>
      </c>
      <c r="O335" s="30" t="inlineStr">
        <is>
          <t>YES</t>
        </is>
      </c>
      <c r="P335" s="30" t="n"/>
      <c r="Q335" s="30" t="inlineStr">
        <is>
          <t>28.40</t>
        </is>
      </c>
      <c r="R335" s="22">
        <f>IF(Q335="","",IF(ISNUMBER(SEARCH(":",Q335)),VALUE(LEFT(Q335,SEARCH(":",Q335)-1))*60+VALUE(MID(Q335,SEARCH(":",Q335)+1,99)),VALUE(Q335)))</f>
        <v/>
      </c>
      <c r="S335" s="39">
        <f>IF(OR(J335="",R335=""),"",(R335-J335)/R335)</f>
        <v/>
      </c>
      <c r="T335" s="22">
        <f>IF(OR(P335&lt;&gt;"",N335="YES"),"YES","NO")</f>
        <v/>
      </c>
      <c r="U335" s="22">
        <f>IF(AND(O335="YES",T335="YES",S335&lt;&gt;""),COUNTIFS($C$5:$C$424,C335,$S$5:$S$424,"&gt;"&amp;S335)+COUNTIFS($C$5:C335,C335,$S$5:S335,S335),"")</f>
        <v/>
      </c>
      <c r="V335" s="22">
        <f>IF(U335="","",C335&amp;"|"&amp;U335)</f>
        <v/>
      </c>
      <c r="W335" s="30" t="n"/>
      <c r="X335" s="30" t="inlineStr">
        <is>
          <t>Next-fastest time supplied in user workbook; swimmer name not yet supplied.</t>
        </is>
      </c>
    </row>
    <row r="336" ht="15" customHeight="1" s="17">
      <c r="A336" s="30" t="inlineStr">
        <is>
          <t>NZ|LCM|F|13|100 Fly</t>
        </is>
      </c>
      <c r="B336" s="30" t="inlineStr">
        <is>
          <t>LCM</t>
        </is>
      </c>
      <c r="C336" s="30" t="inlineStr">
        <is>
          <t>Female</t>
        </is>
      </c>
      <c r="D336" s="30" t="n">
        <v>13</v>
      </c>
      <c r="E336" s="30" t="inlineStr">
        <is>
          <t>100 Fly</t>
        </is>
      </c>
      <c r="F336" s="30" t="inlineStr">
        <is>
          <t>Sophia Batchelor</t>
        </is>
      </c>
      <c r="G336" s="22" t="inlineStr">
        <is>
          <t>Sophia Batchelor</t>
        </is>
      </c>
      <c r="H336" s="22" t="n"/>
      <c r="I336" s="30" t="inlineStr">
        <is>
          <t>1:02.11</t>
        </is>
      </c>
      <c r="J336" s="22">
        <f>IF(I336="","",IF(ISNUMBER(SEARCH(":",I336)),VALUE(LEFT(I336,SEARCH(":",I336)-1))*60+VALUE(MID(I336,SEARCH(":",I336)+1,99)),VALUE(I336)))</f>
        <v/>
      </c>
      <c r="K336" s="30" t="inlineStr">
        <is>
          <t>06.03.09</t>
        </is>
      </c>
      <c r="L336" s="30" t="inlineStr">
        <is>
          <t>Swimming New Zealand Long Course Records by Age - user-supplied PDF</t>
        </is>
      </c>
      <c r="M336" s="30" t="n"/>
      <c r="N336" s="30" t="inlineStr">
        <is>
          <t>NO</t>
        </is>
      </c>
      <c r="O336" s="30" t="inlineStr">
        <is>
          <t>YES</t>
        </is>
      </c>
      <c r="P336" s="30" t="n"/>
      <c r="Q336" s="30" t="inlineStr">
        <is>
          <t>1:02.68</t>
        </is>
      </c>
      <c r="R336" s="22">
        <f>IF(Q336="","",IF(ISNUMBER(SEARCH(":",Q336)),VALUE(LEFT(Q336,SEARCH(":",Q336)-1))*60+VALUE(MID(Q336,SEARCH(":",Q336)+1,99)),VALUE(Q336)))</f>
        <v/>
      </c>
      <c r="S336" s="39">
        <f>IF(OR(J336="",R336=""),"",(R336-J336)/R336)</f>
        <v/>
      </c>
      <c r="T336" s="22">
        <f>IF(OR(P336&lt;&gt;"",N336="YES"),"YES","NO")</f>
        <v/>
      </c>
      <c r="U336" s="22">
        <f>IF(AND(O336="YES",T336="YES",S336&lt;&gt;""),COUNTIFS($C$5:$C$424,C336,$S$5:$S$424,"&gt;"&amp;S336)+COUNTIFS($C$5:C336,C336,$S$5:S336,S336),"")</f>
        <v/>
      </c>
      <c r="V336" s="22">
        <f>IF(U336="","",C336&amp;"|"&amp;U336)</f>
        <v/>
      </c>
      <c r="W336" s="30" t="n"/>
      <c r="X336" s="30" t="inlineStr">
        <is>
          <t>Next-fastest time supplied in user workbook; swimmer name not yet supplied.</t>
        </is>
      </c>
    </row>
    <row r="337" ht="15" customHeight="1" s="17">
      <c r="A337" s="30" t="inlineStr">
        <is>
          <t>NZ|LCM|F|13|200 Fly</t>
        </is>
      </c>
      <c r="B337" s="30" t="inlineStr">
        <is>
          <t>LCM</t>
        </is>
      </c>
      <c r="C337" s="30" t="inlineStr">
        <is>
          <t>Female</t>
        </is>
      </c>
      <c r="D337" s="30" t="n">
        <v>13</v>
      </c>
      <c r="E337" s="30" t="inlineStr">
        <is>
          <t>200 Fly</t>
        </is>
      </c>
      <c r="F337" s="30" t="inlineStr">
        <is>
          <t>Nichola West</t>
        </is>
      </c>
      <c r="G337" s="22" t="inlineStr">
        <is>
          <t>Nichola West</t>
        </is>
      </c>
      <c r="H337" s="22" t="n"/>
      <c r="I337" s="30" t="inlineStr">
        <is>
          <t>2:21.75</t>
        </is>
      </c>
      <c r="J337" s="22">
        <f>IF(I337="","",IF(ISNUMBER(SEARCH(":",I337)),VALUE(LEFT(I337,SEARCH(":",I337)-1))*60+VALUE(MID(I337,SEARCH(":",I337)+1,99)),VALUE(I337)))</f>
        <v/>
      </c>
      <c r="K337" s="30" t="inlineStr">
        <is>
          <t>01.01.89</t>
        </is>
      </c>
      <c r="L337" s="30" t="inlineStr">
        <is>
          <t>Swimming New Zealand Long Course Records by Age - user-supplied PDF</t>
        </is>
      </c>
      <c r="M337" s="30" t="n"/>
      <c r="N337" s="30" t="inlineStr">
        <is>
          <t>NO</t>
        </is>
      </c>
      <c r="O337" s="30" t="inlineStr">
        <is>
          <t>YES</t>
        </is>
      </c>
      <c r="P337" s="30" t="n"/>
      <c r="Q337" s="30" t="inlineStr">
        <is>
          <t>2:23.22</t>
        </is>
      </c>
      <c r="R337" s="22">
        <f>IF(Q337="","",IF(ISNUMBER(SEARCH(":",Q337)),VALUE(LEFT(Q337,SEARCH(":",Q337)-1))*60+VALUE(MID(Q337,SEARCH(":",Q337)+1,99)),VALUE(Q337)))</f>
        <v/>
      </c>
      <c r="S337" s="39">
        <f>IF(OR(J337="",R337=""),"",(R337-J337)/R337)</f>
        <v/>
      </c>
      <c r="T337" s="22">
        <f>IF(OR(P337&lt;&gt;"",N337="YES"),"YES","NO")</f>
        <v/>
      </c>
      <c r="U337" s="22">
        <f>IF(AND(O337="YES",T337="YES",S337&lt;&gt;""),COUNTIFS($C$5:$C$424,C337,$S$5:$S$424,"&gt;"&amp;S337)+COUNTIFS($C$5:C337,C337,$S$5:S337,S337),"")</f>
        <v/>
      </c>
      <c r="V337" s="22">
        <f>IF(U337="","",C337&amp;"|"&amp;U337)</f>
        <v/>
      </c>
      <c r="W337" s="30" t="n"/>
      <c r="X337" s="30" t="inlineStr">
        <is>
          <t>Next-fastest time supplied in user workbook; swimmer name not yet supplied.</t>
        </is>
      </c>
    </row>
    <row r="338" ht="15" customHeight="1" s="17">
      <c r="A338" s="30" t="inlineStr">
        <is>
          <t>NZ|LCM|F|13|200 IM</t>
        </is>
      </c>
      <c r="B338" s="30" t="inlineStr">
        <is>
          <t>LCM</t>
        </is>
      </c>
      <c r="C338" s="30" t="inlineStr">
        <is>
          <t>Female</t>
        </is>
      </c>
      <c r="D338" s="30" t="n">
        <v>13</v>
      </c>
      <c r="E338" s="30" t="inlineStr">
        <is>
          <t>200 IM</t>
        </is>
      </c>
      <c r="F338" s="30" t="inlineStr">
        <is>
          <t>Carissa Thompson</t>
        </is>
      </c>
      <c r="G338" s="22" t="inlineStr">
        <is>
          <t>Carissa Thompson</t>
        </is>
      </c>
      <c r="H338" s="22" t="n"/>
      <c r="I338" s="30" t="inlineStr">
        <is>
          <t>2:22.00</t>
        </is>
      </c>
      <c r="J338" s="22">
        <f>IF(I338="","",IF(ISNUMBER(SEARCH(":",I338)),VALUE(LEFT(I338,SEARCH(":",I338)-1))*60+VALUE(MID(I338,SEARCH(":",I338)+1,99)),VALUE(I338)))</f>
        <v/>
      </c>
      <c r="K338" s="30" t="inlineStr">
        <is>
          <t>08.04.99</t>
        </is>
      </c>
      <c r="L338" s="30" t="inlineStr">
        <is>
          <t>Swimming New Zealand Long Course Records by Age - user-supplied PDF</t>
        </is>
      </c>
      <c r="M338" s="30" t="n"/>
      <c r="N338" s="30" t="inlineStr">
        <is>
          <t>NO</t>
        </is>
      </c>
      <c r="O338" s="30" t="inlineStr">
        <is>
          <t>YES</t>
        </is>
      </c>
      <c r="P338" s="30" t="n"/>
      <c r="Q338" s="30" t="inlineStr">
        <is>
          <t>2:22.50</t>
        </is>
      </c>
      <c r="R338" s="22">
        <f>IF(Q338="","",IF(ISNUMBER(SEARCH(":",Q338)),VALUE(LEFT(Q338,SEARCH(":",Q338)-1))*60+VALUE(MID(Q338,SEARCH(":",Q338)+1,99)),VALUE(Q338)))</f>
        <v/>
      </c>
      <c r="S338" s="39">
        <f>IF(OR(J338="",R338=""),"",(R338-J338)/R338)</f>
        <v/>
      </c>
      <c r="T338" s="22">
        <f>IF(OR(P338&lt;&gt;"",N338="YES"),"YES","NO")</f>
        <v/>
      </c>
      <c r="U338" s="22">
        <f>IF(AND(O338="YES",T338="YES",S338&lt;&gt;""),COUNTIFS($C$5:$C$424,C338,$S$5:$S$424,"&gt;"&amp;S338)+COUNTIFS($C$5:C338,C338,$S$5:S338,S338),"")</f>
        <v/>
      </c>
      <c r="V338" s="22">
        <f>IF(U338="","",C338&amp;"|"&amp;U338)</f>
        <v/>
      </c>
      <c r="W338" s="30" t="n"/>
      <c r="X338" s="30" t="inlineStr">
        <is>
          <t>Next-fastest time supplied in user workbook; swimmer name not yet supplied.</t>
        </is>
      </c>
    </row>
    <row r="339" ht="15" customHeight="1" s="17">
      <c r="A339" s="30" t="inlineStr">
        <is>
          <t>NZ|LCM|F|13|400 IM</t>
        </is>
      </c>
      <c r="B339" s="30" t="inlineStr">
        <is>
          <t>LCM</t>
        </is>
      </c>
      <c r="C339" s="30" t="inlineStr">
        <is>
          <t>Female</t>
        </is>
      </c>
      <c r="D339" s="30" t="n">
        <v>13</v>
      </c>
      <c r="E339" s="30" t="inlineStr">
        <is>
          <t>400 IM</t>
        </is>
      </c>
      <c r="F339" s="30" t="inlineStr">
        <is>
          <t>Mya Rasmussen</t>
        </is>
      </c>
      <c r="G339" s="22" t="inlineStr">
        <is>
          <t>Mya Rasmussen</t>
        </is>
      </c>
      <c r="H339" s="22" t="n"/>
      <c r="I339" s="30" t="inlineStr">
        <is>
          <t>4:59.78</t>
        </is>
      </c>
      <c r="J339" s="22">
        <f>IF(I339="","",IF(ISNUMBER(SEARCH(":",I339)),VALUE(LEFT(I339,SEARCH(":",I339)-1))*60+VALUE(MID(I339,SEARCH(":",I339)+1,99)),VALUE(I339)))</f>
        <v/>
      </c>
      <c r="K339" s="30" t="inlineStr">
        <is>
          <t>14.04.14</t>
        </is>
      </c>
      <c r="L339" s="30" t="inlineStr">
        <is>
          <t>Swimming New Zealand Long Course Records by Age - user-supplied PDF</t>
        </is>
      </c>
      <c r="M339" s="30" t="n"/>
      <c r="N339" s="30" t="inlineStr">
        <is>
          <t>NO</t>
        </is>
      </c>
      <c r="O339" s="30" t="inlineStr">
        <is>
          <t>YES</t>
        </is>
      </c>
      <c r="P339" s="30" t="n"/>
      <c r="Q339" s="30" t="inlineStr">
        <is>
          <t>5:01.07</t>
        </is>
      </c>
      <c r="R339" s="22">
        <f>IF(Q339="","",IF(ISNUMBER(SEARCH(":",Q339)),VALUE(LEFT(Q339,SEARCH(":",Q339)-1))*60+VALUE(MID(Q339,SEARCH(":",Q339)+1,99)),VALUE(Q339)))</f>
        <v/>
      </c>
      <c r="S339" s="39">
        <f>IF(OR(J339="",R339=""),"",(R339-J339)/R339)</f>
        <v/>
      </c>
      <c r="T339" s="22">
        <f>IF(OR(P339&lt;&gt;"",N339="YES"),"YES","NO")</f>
        <v/>
      </c>
      <c r="U339" s="22">
        <f>IF(AND(O339="YES",T339="YES",S339&lt;&gt;""),COUNTIFS($C$5:$C$424,C339,$S$5:$S$424,"&gt;"&amp;S339)+COUNTIFS($C$5:C339,C339,$S$5:S339,S339),"")</f>
        <v/>
      </c>
      <c r="V339" s="22">
        <f>IF(U339="","",C339&amp;"|"&amp;U339)</f>
        <v/>
      </c>
      <c r="W339" s="30" t="n"/>
      <c r="X339" s="30" t="inlineStr">
        <is>
          <t>Next-fastest time supplied in user workbook; swimmer name not yet supplied.</t>
        </is>
      </c>
    </row>
    <row r="340" ht="15" customHeight="1" s="17">
      <c r="A340" s="30" t="inlineStr">
        <is>
          <t>NZ|LCM|F|14|50 Free</t>
        </is>
      </c>
      <c r="B340" s="30" t="inlineStr">
        <is>
          <t>LCM</t>
        </is>
      </c>
      <c r="C340" s="30" t="inlineStr">
        <is>
          <t>Female</t>
        </is>
      </c>
      <c r="D340" s="30" t="n">
        <v>14</v>
      </c>
      <c r="E340" s="30" t="inlineStr">
        <is>
          <t>50 Free</t>
        </is>
      </c>
      <c r="F340" s="30" t="inlineStr">
        <is>
          <t>Gabrielle Fa'amausili</t>
        </is>
      </c>
      <c r="G340" s="22" t="inlineStr">
        <is>
          <t>Gabrielle Fa'amausili</t>
        </is>
      </c>
      <c r="H340" s="22" t="n"/>
      <c r="I340" s="30" t="inlineStr">
        <is>
          <t>25.86</t>
        </is>
      </c>
      <c r="J340" s="22">
        <f>IF(I340="","",IF(ISNUMBER(SEARCH(":",I340)),VALUE(LEFT(I340,SEARCH(":",I340)-1))*60+VALUE(MID(I340,SEARCH(":",I340)+1,99)),VALUE(I340)))</f>
        <v/>
      </c>
      <c r="K340" s="30" t="inlineStr">
        <is>
          <t>23.05.14</t>
        </is>
      </c>
      <c r="L340" s="30" t="inlineStr">
        <is>
          <t>Swimming New Zealand Long Course Records by Age - user-supplied PDF</t>
        </is>
      </c>
      <c r="M340" s="30" t="n"/>
      <c r="N340" s="30" t="inlineStr">
        <is>
          <t>NO</t>
        </is>
      </c>
      <c r="O340" s="30" t="inlineStr">
        <is>
          <t>YES</t>
        </is>
      </c>
      <c r="P340" s="30" t="n"/>
      <c r="Q340" s="30" t="inlineStr">
        <is>
          <t>26.15</t>
        </is>
      </c>
      <c r="R340" s="22">
        <f>IF(Q340="","",IF(ISNUMBER(SEARCH(":",Q340)),VALUE(LEFT(Q340,SEARCH(":",Q340)-1))*60+VALUE(MID(Q340,SEARCH(":",Q340)+1,99)),VALUE(Q340)))</f>
        <v/>
      </c>
      <c r="S340" s="39">
        <f>IF(OR(J340="",R340=""),"",(R340-J340)/R340)</f>
        <v/>
      </c>
      <c r="T340" s="22">
        <f>IF(OR(P340&lt;&gt;"",N340="YES"),"YES","NO")</f>
        <v/>
      </c>
      <c r="U340" s="22">
        <f>IF(AND(O340="YES",T340="YES",S340&lt;&gt;""),COUNTIFS($C$5:$C$424,C340,$S$5:$S$424,"&gt;"&amp;S340)+COUNTIFS($C$5:C340,C340,$S$5:S340,S340),"")</f>
        <v/>
      </c>
      <c r="V340" s="22">
        <f>IF(U340="","",C340&amp;"|"&amp;U340)</f>
        <v/>
      </c>
      <c r="W340" s="30" t="n"/>
      <c r="X340" s="30" t="inlineStr">
        <is>
          <t>Next-fastest time supplied in user workbook; swimmer name not yet supplied.</t>
        </is>
      </c>
    </row>
    <row r="341" ht="15" customHeight="1" s="17">
      <c r="A341" s="30" t="inlineStr">
        <is>
          <t>NZ|LCM|F|14|100 Free</t>
        </is>
      </c>
      <c r="B341" s="30" t="inlineStr">
        <is>
          <t>LCM</t>
        </is>
      </c>
      <c r="C341" s="30" t="inlineStr">
        <is>
          <t>Female</t>
        </is>
      </c>
      <c r="D341" s="30" t="n">
        <v>14</v>
      </c>
      <c r="E341" s="30" t="inlineStr">
        <is>
          <t>100 Free</t>
        </is>
      </c>
      <c r="F341" s="30" t="inlineStr">
        <is>
          <t>Erika Fairweather</t>
        </is>
      </c>
      <c r="G341" s="22" t="inlineStr">
        <is>
          <t>Erika Fairweather</t>
        </is>
      </c>
      <c r="H341" s="22" t="n"/>
      <c r="I341" s="30" t="inlineStr">
        <is>
          <t>57.16</t>
        </is>
      </c>
      <c r="J341" s="22">
        <f>IF(I341="","",IF(ISNUMBER(SEARCH(":",I341)),VALUE(LEFT(I341,SEARCH(":",I341)-1))*60+VALUE(MID(I341,SEARCH(":",I341)+1,99)),VALUE(I341)))</f>
        <v/>
      </c>
      <c r="K341" s="30" t="inlineStr">
        <is>
          <t>08.10.18</t>
        </is>
      </c>
      <c r="L341" s="30" t="inlineStr">
        <is>
          <t>Swimming New Zealand Long Course Records by Age - user-supplied PDF</t>
        </is>
      </c>
      <c r="M341" s="30" t="n"/>
      <c r="N341" s="30" t="inlineStr">
        <is>
          <t>NO</t>
        </is>
      </c>
      <c r="O341" s="30" t="inlineStr">
        <is>
          <t>YES</t>
        </is>
      </c>
      <c r="P341" s="30" t="n"/>
      <c r="Q341" s="30" t="inlineStr">
        <is>
          <t>57.25</t>
        </is>
      </c>
      <c r="R341" s="22">
        <f>IF(Q341="","",IF(ISNUMBER(SEARCH(":",Q341)),VALUE(LEFT(Q341,SEARCH(":",Q341)-1))*60+VALUE(MID(Q341,SEARCH(":",Q341)+1,99)),VALUE(Q341)))</f>
        <v/>
      </c>
      <c r="S341" s="39">
        <f>IF(OR(J341="",R341=""),"",(R341-J341)/R341)</f>
        <v/>
      </c>
      <c r="T341" s="22">
        <f>IF(OR(P341&lt;&gt;"",N341="YES"),"YES","NO")</f>
        <v/>
      </c>
      <c r="U341" s="22">
        <f>IF(AND(O341="YES",T341="YES",S341&lt;&gt;""),COUNTIFS($C$5:$C$424,C341,$S$5:$S$424,"&gt;"&amp;S341)+COUNTIFS($C$5:C341,C341,$S$5:S341,S341),"")</f>
        <v/>
      </c>
      <c r="V341" s="22">
        <f>IF(U341="","",C341&amp;"|"&amp;U341)</f>
        <v/>
      </c>
      <c r="W341" s="30" t="n"/>
      <c r="X341" s="30" t="inlineStr">
        <is>
          <t>Next-fastest time supplied in user workbook; swimmer name not yet supplied.</t>
        </is>
      </c>
    </row>
    <row r="342" ht="15" customHeight="1" s="17">
      <c r="A342" s="30" t="inlineStr">
        <is>
          <t>NZ|LCM|F|14|200 Free</t>
        </is>
      </c>
      <c r="B342" s="30" t="inlineStr">
        <is>
          <t>LCM</t>
        </is>
      </c>
      <c r="C342" s="30" t="inlineStr">
        <is>
          <t>Female</t>
        </is>
      </c>
      <c r="D342" s="30" t="n">
        <v>14</v>
      </c>
      <c r="E342" s="30" t="inlineStr">
        <is>
          <t>200 Free</t>
        </is>
      </c>
      <c r="F342" s="30" t="inlineStr">
        <is>
          <t>Erika Fairweather</t>
        </is>
      </c>
      <c r="G342" s="22" t="inlineStr">
        <is>
          <t>Erika Fairweather</t>
        </is>
      </c>
      <c r="H342" s="22" t="n"/>
      <c r="I342" s="30" t="inlineStr">
        <is>
          <t>2:02.11</t>
        </is>
      </c>
      <c r="J342" s="22">
        <f>IF(I342="","",IF(ISNUMBER(SEARCH(":",I342)),VALUE(LEFT(I342,SEARCH(":",I342)-1))*60+VALUE(MID(I342,SEARCH(":",I342)+1,99)),VALUE(I342)))</f>
        <v/>
      </c>
      <c r="K342" s="30" t="inlineStr">
        <is>
          <t>23.08.18</t>
        </is>
      </c>
      <c r="L342" s="30" t="inlineStr">
        <is>
          <t>Swimming New Zealand Long Course Records by Age - user-supplied PDF</t>
        </is>
      </c>
      <c r="M342" s="30" t="n"/>
      <c r="N342" s="30" t="inlineStr">
        <is>
          <t>NO</t>
        </is>
      </c>
      <c r="O342" s="30" t="inlineStr">
        <is>
          <t>YES</t>
        </is>
      </c>
      <c r="P342" s="30" t="n"/>
      <c r="Q342" s="30" t="inlineStr">
        <is>
          <t>2:02.91</t>
        </is>
      </c>
      <c r="R342" s="22">
        <f>IF(Q342="","",IF(ISNUMBER(SEARCH(":",Q342)),VALUE(LEFT(Q342,SEARCH(":",Q342)-1))*60+VALUE(MID(Q342,SEARCH(":",Q342)+1,99)),VALUE(Q342)))</f>
        <v/>
      </c>
      <c r="S342" s="39">
        <f>IF(OR(J342="",R342=""),"",(R342-J342)/R342)</f>
        <v/>
      </c>
      <c r="T342" s="22">
        <f>IF(OR(P342&lt;&gt;"",N342="YES"),"YES","NO")</f>
        <v/>
      </c>
      <c r="U342" s="22">
        <f>IF(AND(O342="YES",T342="YES",S342&lt;&gt;""),COUNTIFS($C$5:$C$424,C342,$S$5:$S$424,"&gt;"&amp;S342)+COUNTIFS($C$5:C342,C342,$S$5:S342,S342),"")</f>
        <v/>
      </c>
      <c r="V342" s="22">
        <f>IF(U342="","",C342&amp;"|"&amp;U342)</f>
        <v/>
      </c>
      <c r="W342" s="30" t="n"/>
      <c r="X342" s="30" t="inlineStr">
        <is>
          <t>Next-fastest time supplied in user workbook; swimmer name not yet supplied.</t>
        </is>
      </c>
    </row>
    <row r="343" ht="15" customHeight="1" s="17">
      <c r="A343" s="30" t="inlineStr">
        <is>
          <t>NZ|LCM|F|14|400 Free</t>
        </is>
      </c>
      <c r="B343" s="30" t="inlineStr">
        <is>
          <t>LCM</t>
        </is>
      </c>
      <c r="C343" s="30" t="inlineStr">
        <is>
          <t>Female</t>
        </is>
      </c>
      <c r="D343" s="30" t="n">
        <v>14</v>
      </c>
      <c r="E343" s="30" t="inlineStr">
        <is>
          <t>400 Free</t>
        </is>
      </c>
      <c r="F343" s="30" t="inlineStr">
        <is>
          <t>Erika Fairweather</t>
        </is>
      </c>
      <c r="G343" s="22" t="inlineStr">
        <is>
          <t>Erika Fairweather</t>
        </is>
      </c>
      <c r="H343" s="22" t="n"/>
      <c r="I343" s="30" t="inlineStr">
        <is>
          <t>4:13.55</t>
        </is>
      </c>
      <c r="J343" s="22">
        <f>IF(I343="","",IF(ISNUMBER(SEARCH(":",I343)),VALUE(LEFT(I343,SEARCH(":",I343)-1))*60+VALUE(MID(I343,SEARCH(":",I343)+1,99)),VALUE(I343)))</f>
        <v/>
      </c>
      <c r="K343" s="30" t="inlineStr">
        <is>
          <t>25.08.18</t>
        </is>
      </c>
      <c r="L343" s="30" t="inlineStr">
        <is>
          <t>Swimming New Zealand Long Course Records by Age - user-supplied PDF</t>
        </is>
      </c>
      <c r="M343" s="30" t="n"/>
      <c r="N343" s="30" t="inlineStr">
        <is>
          <t>NO</t>
        </is>
      </c>
      <c r="O343" s="30" t="inlineStr">
        <is>
          <t>YES</t>
        </is>
      </c>
      <c r="P343" s="30" t="inlineStr">
        <is>
          <t>Laticia-Leigh Transom</t>
        </is>
      </c>
      <c r="Q343" s="30" t="inlineStr">
        <is>
          <t>4:21.35</t>
        </is>
      </c>
      <c r="R343" s="22">
        <f>IF(Q343="","",IF(ISNUMBER(SEARCH(":",Q343)),VALUE(LEFT(Q343,SEARCH(":",Q343)-1))*60+VALUE(MID(Q343,SEARCH(":",Q343)+1,99)),VALUE(Q343)))</f>
        <v/>
      </c>
      <c r="S343" s="39">
        <f>IF(OR(J343="",R343=""),"",(R343-J343)/R343)</f>
        <v/>
      </c>
      <c r="T343" s="22">
        <f>IF(OR(P343&lt;&gt;"",N343="YES"),"YES","NO")</f>
        <v/>
      </c>
      <c r="U343" s="22">
        <f>IF(AND(O343="YES",T343="YES",S343&lt;&gt;""),COUNTIFS($C$5:$C$424,C343,$S$5:$S$424,"&gt;"&amp;S343)+COUNTIFS($C$5:C343,C343,$S$5:S343,S343),"")</f>
        <v/>
      </c>
      <c r="V343" s="22">
        <f>IF(U343="","",C343&amp;"|"&amp;U343)</f>
        <v/>
      </c>
      <c r="W343" s="30" t="n"/>
      <c r="X343" s="30" t="inlineStr">
        <is>
          <t>Next-fastest time supplied in user workbook; swimmer name not yet supplied.</t>
        </is>
      </c>
    </row>
    <row r="344" ht="15" customHeight="1" s="17">
      <c r="A344" s="30" t="inlineStr">
        <is>
          <t>NZ|LCM|F|14|800 Free</t>
        </is>
      </c>
      <c r="B344" s="30" t="inlineStr">
        <is>
          <t>LCM</t>
        </is>
      </c>
      <c r="C344" s="30" t="inlineStr">
        <is>
          <t>Female</t>
        </is>
      </c>
      <c r="D344" s="30" t="n">
        <v>14</v>
      </c>
      <c r="E344" s="30" t="inlineStr">
        <is>
          <t>800 Free</t>
        </is>
      </c>
      <c r="F344" s="30" t="inlineStr">
        <is>
          <t>Erika Fairweather</t>
        </is>
      </c>
      <c r="G344" s="22" t="inlineStr">
        <is>
          <t>Erika Fairweather</t>
        </is>
      </c>
      <c r="H344" s="22" t="n"/>
      <c r="I344" s="30" t="inlineStr">
        <is>
          <t>8:56.14</t>
        </is>
      </c>
      <c r="J344" s="22">
        <f>IF(I344="","",IF(ISNUMBER(SEARCH(":",I344)),VALUE(LEFT(I344,SEARCH(":",I344)-1))*60+VALUE(MID(I344,SEARCH(":",I344)+1,99)),VALUE(I344)))</f>
        <v/>
      </c>
      <c r="K344" s="30" t="inlineStr">
        <is>
          <t>09.10.18</t>
        </is>
      </c>
      <c r="L344" s="30" t="inlineStr">
        <is>
          <t>Swimming New Zealand Long Course Records by Age - user-supplied PDF</t>
        </is>
      </c>
      <c r="M344" s="30" t="n"/>
      <c r="N344" s="30" t="inlineStr">
        <is>
          <t>NO</t>
        </is>
      </c>
      <c r="O344" s="30" t="inlineStr">
        <is>
          <t>YES</t>
        </is>
      </c>
      <c r="P344" s="30" t="n"/>
      <c r="Q344" s="30" t="inlineStr">
        <is>
          <t>8:56.96</t>
        </is>
      </c>
      <c r="R344" s="22">
        <f>IF(Q344="","",IF(ISNUMBER(SEARCH(":",Q344)),VALUE(LEFT(Q344,SEARCH(":",Q344)-1))*60+VALUE(MID(Q344,SEARCH(":",Q344)+1,99)),VALUE(Q344)))</f>
        <v/>
      </c>
      <c r="S344" s="39">
        <f>IF(OR(J344="",R344=""),"",(R344-J344)/R344)</f>
        <v/>
      </c>
      <c r="T344" s="22">
        <f>IF(OR(P344&lt;&gt;"",N344="YES"),"YES","NO")</f>
        <v/>
      </c>
      <c r="U344" s="22">
        <f>IF(AND(O344="YES",T344="YES",S344&lt;&gt;""),COUNTIFS($C$5:$C$424,C344,$S$5:$S$424,"&gt;"&amp;S344)+COUNTIFS($C$5:C344,C344,$S$5:S344,S344),"")</f>
        <v/>
      </c>
      <c r="V344" s="22">
        <f>IF(U344="","",C344&amp;"|"&amp;U344)</f>
        <v/>
      </c>
      <c r="W344" s="30" t="n"/>
      <c r="X344" s="30" t="inlineStr">
        <is>
          <t>Next-fastest time supplied in user workbook; swimmer name not yet supplied.</t>
        </is>
      </c>
    </row>
    <row r="345" ht="15" customHeight="1" s="17">
      <c r="A345" s="30" t="inlineStr">
        <is>
          <t>NZ|LCM|F|14|1500 Free</t>
        </is>
      </c>
      <c r="B345" s="30" t="inlineStr">
        <is>
          <t>LCM</t>
        </is>
      </c>
      <c r="C345" s="30" t="inlineStr">
        <is>
          <t>Female</t>
        </is>
      </c>
      <c r="D345" s="30" t="n">
        <v>14</v>
      </c>
      <c r="E345" s="30" t="inlineStr">
        <is>
          <t>1500 Free</t>
        </is>
      </c>
      <c r="F345" s="30" t="inlineStr">
        <is>
          <t>Verity Hicks</t>
        </is>
      </c>
      <c r="G345" s="22" t="inlineStr">
        <is>
          <t>Verity Hicks</t>
        </is>
      </c>
      <c r="H345" s="22" t="n"/>
      <c r="I345" s="30" t="inlineStr">
        <is>
          <t>17:21.76</t>
        </is>
      </c>
      <c r="J345" s="22">
        <f>IF(I345="","",IF(ISNUMBER(SEARCH(":",I345)),VALUE(LEFT(I345,SEARCH(":",I345)-1))*60+VALUE(MID(I345,SEARCH(":",I345)+1,99)),VALUE(I345)))</f>
        <v/>
      </c>
      <c r="K345" s="30" t="inlineStr">
        <is>
          <t>17.04.03</t>
        </is>
      </c>
      <c r="L345" s="30" t="inlineStr">
        <is>
          <t>Swimming New Zealand Long Course Records by Age - user-supplied PDF</t>
        </is>
      </c>
      <c r="M345" s="30" t="n"/>
      <c r="N345" s="30" t="inlineStr">
        <is>
          <t>NO</t>
        </is>
      </c>
      <c r="O345" s="30" t="inlineStr">
        <is>
          <t>YES</t>
        </is>
      </c>
      <c r="P345" s="30" t="n"/>
      <c r="Q345" s="30" t="inlineStr">
        <is>
          <t>17:29.74</t>
        </is>
      </c>
      <c r="R345" s="22">
        <f>IF(Q345="","",IF(ISNUMBER(SEARCH(":",Q345)),VALUE(LEFT(Q345,SEARCH(":",Q345)-1))*60+VALUE(MID(Q345,SEARCH(":",Q345)+1,99)),VALUE(Q345)))</f>
        <v/>
      </c>
      <c r="S345" s="39">
        <f>IF(OR(J345="",R345=""),"",(R345-J345)/R345)</f>
        <v/>
      </c>
      <c r="T345" s="22">
        <f>IF(OR(P345&lt;&gt;"",N345="YES"),"YES","NO")</f>
        <v/>
      </c>
      <c r="U345" s="22">
        <f>IF(AND(O345="YES",T345="YES",S345&lt;&gt;""),COUNTIFS($C$5:$C$424,C345,$S$5:$S$424,"&gt;"&amp;S345)+COUNTIFS($C$5:C345,C345,$S$5:S345,S345),"")</f>
        <v/>
      </c>
      <c r="V345" s="22">
        <f>IF(U345="","",C345&amp;"|"&amp;U345)</f>
        <v/>
      </c>
      <c r="W345" s="30" t="n"/>
      <c r="X345" s="30" t="inlineStr">
        <is>
          <t>Next-fastest time supplied in user workbook; swimmer name not yet supplied.</t>
        </is>
      </c>
    </row>
    <row r="346" ht="15" customHeight="1" s="17">
      <c r="A346" s="30" t="inlineStr">
        <is>
          <t>NZ|LCM|F|14|50 Back</t>
        </is>
      </c>
      <c r="B346" s="30" t="inlineStr">
        <is>
          <t>LCM</t>
        </is>
      </c>
      <c r="C346" s="30" t="inlineStr">
        <is>
          <t>Female</t>
        </is>
      </c>
      <c r="D346" s="30" t="n">
        <v>14</v>
      </c>
      <c r="E346" s="30" t="inlineStr">
        <is>
          <t>50 Back</t>
        </is>
      </c>
      <c r="F346" s="30" t="inlineStr">
        <is>
          <t>Gabrielle Fa'amausili</t>
        </is>
      </c>
      <c r="G346" s="22" t="inlineStr">
        <is>
          <t>Gabrielle Fa'amausili</t>
        </is>
      </c>
      <c r="H346" s="22" t="n"/>
      <c r="I346" s="30" t="inlineStr">
        <is>
          <t>28.53</t>
        </is>
      </c>
      <c r="J346" s="22">
        <f>IF(I346="","",IF(ISNUMBER(SEARCH(":",I346)),VALUE(LEFT(I346,SEARCH(":",I346)-1))*60+VALUE(MID(I346,SEARCH(":",I346)+1,99)),VALUE(I346)))</f>
        <v/>
      </c>
      <c r="K346" s="30" t="inlineStr">
        <is>
          <t>01.05.14</t>
        </is>
      </c>
      <c r="L346" s="30" t="inlineStr">
        <is>
          <t>Swimming New Zealand Long Course Records by Age - user-supplied PDF</t>
        </is>
      </c>
      <c r="M346" s="30" t="n"/>
      <c r="N346" s="30" t="inlineStr">
        <is>
          <t>NO</t>
        </is>
      </c>
      <c r="O346" s="30" t="inlineStr">
        <is>
          <t>YES</t>
        </is>
      </c>
      <c r="P346" s="30" t="n"/>
      <c r="Q346" s="30" t="inlineStr">
        <is>
          <t>28.98</t>
        </is>
      </c>
      <c r="R346" s="22">
        <f>IF(Q346="","",IF(ISNUMBER(SEARCH(":",Q346)),VALUE(LEFT(Q346,SEARCH(":",Q346)-1))*60+VALUE(MID(Q346,SEARCH(":",Q346)+1,99)),VALUE(Q346)))</f>
        <v/>
      </c>
      <c r="S346" s="39">
        <f>IF(OR(J346="",R346=""),"",(R346-J346)/R346)</f>
        <v/>
      </c>
      <c r="T346" s="22">
        <f>IF(OR(P346&lt;&gt;"",N346="YES"),"YES","NO")</f>
        <v/>
      </c>
      <c r="U346" s="22">
        <f>IF(AND(O346="YES",T346="YES",S346&lt;&gt;""),COUNTIFS($C$5:$C$424,C346,$S$5:$S$424,"&gt;"&amp;S346)+COUNTIFS($C$5:C346,C346,$S$5:S346,S346),"")</f>
        <v/>
      </c>
      <c r="V346" s="22">
        <f>IF(U346="","",C346&amp;"|"&amp;U346)</f>
        <v/>
      </c>
      <c r="W346" s="30" t="n"/>
      <c r="X346" s="30" t="inlineStr">
        <is>
          <t>Next-fastest time supplied in user workbook; swimmer name not yet supplied.</t>
        </is>
      </c>
    </row>
    <row r="347" ht="15" customHeight="1" s="17">
      <c r="A347" s="30" t="inlineStr">
        <is>
          <t>NZ|LCM|F|14|100 Back</t>
        </is>
      </c>
      <c r="B347" s="30" t="inlineStr">
        <is>
          <t>LCM</t>
        </is>
      </c>
      <c r="C347" s="30" t="inlineStr">
        <is>
          <t>Female</t>
        </is>
      </c>
      <c r="D347" s="30" t="n">
        <v>14</v>
      </c>
      <c r="E347" s="30" t="inlineStr">
        <is>
          <t>100 Back</t>
        </is>
      </c>
      <c r="F347" s="30" t="inlineStr">
        <is>
          <t>Bobbi Gichard</t>
        </is>
      </c>
      <c r="G347" s="22" t="inlineStr">
        <is>
          <t>Bobbi Gichard</t>
        </is>
      </c>
      <c r="H347" s="22" t="n"/>
      <c r="I347" s="30" t="inlineStr">
        <is>
          <t>1:01.25</t>
        </is>
      </c>
      <c r="J347" s="22">
        <f>IF(I347="","",IF(ISNUMBER(SEARCH(":",I347)),VALUE(LEFT(I347,SEARCH(":",I347)-1))*60+VALUE(MID(I347,SEARCH(":",I347)+1,99)),VALUE(I347)))</f>
        <v/>
      </c>
      <c r="K347" s="30" t="inlineStr">
        <is>
          <t>18.08.14</t>
        </is>
      </c>
      <c r="L347" s="30" t="inlineStr">
        <is>
          <t>Swimming New Zealand Long Course Records by Age - user-supplied PDF</t>
        </is>
      </c>
      <c r="M347" s="30" t="n"/>
      <c r="N347" s="30" t="inlineStr">
        <is>
          <t>NO</t>
        </is>
      </c>
      <c r="O347" s="30" t="inlineStr">
        <is>
          <t>YES</t>
        </is>
      </c>
      <c r="P347" s="30" t="n"/>
      <c r="Q347" s="30" t="inlineStr">
        <is>
          <t>1:01.32</t>
        </is>
      </c>
      <c r="R347" s="22">
        <f>IF(Q347="","",IF(ISNUMBER(SEARCH(":",Q347)),VALUE(LEFT(Q347,SEARCH(":",Q347)-1))*60+VALUE(MID(Q347,SEARCH(":",Q347)+1,99)),VALUE(Q347)))</f>
        <v/>
      </c>
      <c r="S347" s="39">
        <f>IF(OR(J347="",R347=""),"",(R347-J347)/R347)</f>
        <v/>
      </c>
      <c r="T347" s="22">
        <f>IF(OR(P347&lt;&gt;"",N347="YES"),"YES","NO")</f>
        <v/>
      </c>
      <c r="U347" s="22">
        <f>IF(AND(O347="YES",T347="YES",S347&lt;&gt;""),COUNTIFS($C$5:$C$424,C347,$S$5:$S$424,"&gt;"&amp;S347)+COUNTIFS($C$5:C347,C347,$S$5:S347,S347),"")</f>
        <v/>
      </c>
      <c r="V347" s="22">
        <f>IF(U347="","",C347&amp;"|"&amp;U347)</f>
        <v/>
      </c>
      <c r="W347" s="30" t="n"/>
      <c r="X347" s="30" t="inlineStr">
        <is>
          <t>Next-fastest time supplied in user workbook; swimmer name not yet supplied.</t>
        </is>
      </c>
    </row>
    <row r="348" ht="15" customHeight="1" s="17">
      <c r="A348" s="30" t="inlineStr">
        <is>
          <t>NZ|LCM|F|14|200 Back</t>
        </is>
      </c>
      <c r="B348" s="30" t="inlineStr">
        <is>
          <t>LCM</t>
        </is>
      </c>
      <c r="C348" s="30" t="inlineStr">
        <is>
          <t>Female</t>
        </is>
      </c>
      <c r="D348" s="30" t="n">
        <v>14</v>
      </c>
      <c r="E348" s="30" t="inlineStr">
        <is>
          <t>200 Back</t>
        </is>
      </c>
      <c r="F348" s="30" t="inlineStr">
        <is>
          <t>Sophia Batchelor</t>
        </is>
      </c>
      <c r="G348" s="22" t="inlineStr">
        <is>
          <t>Sophia Batchelor</t>
        </is>
      </c>
      <c r="H348" s="22" t="n"/>
      <c r="I348" s="30" t="inlineStr">
        <is>
          <t>2:13.60</t>
        </is>
      </c>
      <c r="J348" s="22">
        <f>IF(I348="","",IF(ISNUMBER(SEARCH(":",I348)),VALUE(LEFT(I348,SEARCH(":",I348)-1))*60+VALUE(MID(I348,SEARCH(":",I348)+1,99)),VALUE(I348)))</f>
        <v/>
      </c>
      <c r="K348" s="30" t="inlineStr">
        <is>
          <t>08.04.10</t>
        </is>
      </c>
      <c r="L348" s="30" t="inlineStr">
        <is>
          <t>Swimming New Zealand Long Course Records by Age - user-supplied PDF</t>
        </is>
      </c>
      <c r="M348" s="30" t="n"/>
      <c r="N348" s="30" t="inlineStr">
        <is>
          <t>NO</t>
        </is>
      </c>
      <c r="O348" s="30" t="inlineStr">
        <is>
          <t>YES</t>
        </is>
      </c>
      <c r="P348" s="30" t="n"/>
      <c r="Q348" s="30" t="inlineStr">
        <is>
          <t>2:15.52</t>
        </is>
      </c>
      <c r="R348" s="22">
        <f>IF(Q348="","",IF(ISNUMBER(SEARCH(":",Q348)),VALUE(LEFT(Q348,SEARCH(":",Q348)-1))*60+VALUE(MID(Q348,SEARCH(":",Q348)+1,99)),VALUE(Q348)))</f>
        <v/>
      </c>
      <c r="S348" s="39">
        <f>IF(OR(J348="",R348=""),"",(R348-J348)/R348)</f>
        <v/>
      </c>
      <c r="T348" s="22">
        <f>IF(OR(P348&lt;&gt;"",N348="YES"),"YES","NO")</f>
        <v/>
      </c>
      <c r="U348" s="22">
        <f>IF(AND(O348="YES",T348="YES",S348&lt;&gt;""),COUNTIFS($C$5:$C$424,C348,$S$5:$S$424,"&gt;"&amp;S348)+COUNTIFS($C$5:C348,C348,$S$5:S348,S348),"")</f>
        <v/>
      </c>
      <c r="V348" s="22">
        <f>IF(U348="","",C348&amp;"|"&amp;U348)</f>
        <v/>
      </c>
      <c r="W348" s="30" t="n"/>
      <c r="X348" s="30" t="inlineStr">
        <is>
          <t>Next-fastest time supplied in user workbook; swimmer name not yet supplied.</t>
        </is>
      </c>
    </row>
    <row r="349" ht="15" customHeight="1" s="17">
      <c r="A349" s="30" t="inlineStr">
        <is>
          <t>NZ|LCM|F|14|50 Breast</t>
        </is>
      </c>
      <c r="B349" s="30" t="inlineStr">
        <is>
          <t>LCM</t>
        </is>
      </c>
      <c r="C349" s="30" t="inlineStr">
        <is>
          <t>Female</t>
        </is>
      </c>
      <c r="D349" s="30" t="n">
        <v>14</v>
      </c>
      <c r="E349" s="30" t="inlineStr">
        <is>
          <t>50 Breast</t>
        </is>
      </c>
      <c r="F349" s="30" t="inlineStr">
        <is>
          <t>Annabelle Carey</t>
        </is>
      </c>
      <c r="G349" s="22" t="inlineStr">
        <is>
          <t>Annabelle Carey</t>
        </is>
      </c>
      <c r="H349" s="22" t="n"/>
      <c r="I349" s="30" t="inlineStr">
        <is>
          <t>32.74</t>
        </is>
      </c>
      <c r="J349" s="22">
        <f>IF(I349="","",IF(ISNUMBER(SEARCH(":",I349)),VALUE(LEFT(I349,SEARCH(":",I349)-1))*60+VALUE(MID(I349,SEARCH(":",I349)+1,99)),VALUE(I349)))</f>
        <v/>
      </c>
      <c r="K349" s="30" t="inlineStr">
        <is>
          <t>02.03.04</t>
        </is>
      </c>
      <c r="L349" s="30" t="inlineStr">
        <is>
          <t>Swimming New Zealand Long Course Records by Age - user-supplied PDF</t>
        </is>
      </c>
      <c r="M349" s="30" t="n"/>
      <c r="N349" s="30" t="inlineStr">
        <is>
          <t>NO</t>
        </is>
      </c>
      <c r="O349" s="30" t="inlineStr">
        <is>
          <t>YES</t>
        </is>
      </c>
      <c r="P349" s="30" t="n"/>
      <c r="Q349" s="30" t="inlineStr">
        <is>
          <t>32.83</t>
        </is>
      </c>
      <c r="R349" s="22">
        <f>IF(Q349="","",IF(ISNUMBER(SEARCH(":",Q349)),VALUE(LEFT(Q349,SEARCH(":",Q349)-1))*60+VALUE(MID(Q349,SEARCH(":",Q349)+1,99)),VALUE(Q349)))</f>
        <v/>
      </c>
      <c r="S349" s="39">
        <f>IF(OR(J349="",R349=""),"",(R349-J349)/R349)</f>
        <v/>
      </c>
      <c r="T349" s="22">
        <f>IF(OR(P349&lt;&gt;"",N349="YES"),"YES","NO")</f>
        <v/>
      </c>
      <c r="U349" s="22">
        <f>IF(AND(O349="YES",T349="YES",S349&lt;&gt;""),COUNTIFS($C$5:$C$424,C349,$S$5:$S$424,"&gt;"&amp;S349)+COUNTIFS($C$5:C349,C349,$S$5:S349,S349),"")</f>
        <v/>
      </c>
      <c r="V349" s="22">
        <f>IF(U349="","",C349&amp;"|"&amp;U349)</f>
        <v/>
      </c>
      <c r="W349" s="30" t="n"/>
      <c r="X349" s="30" t="inlineStr">
        <is>
          <t>Next-fastest time supplied in user workbook; swimmer name not yet supplied.</t>
        </is>
      </c>
    </row>
    <row r="350" ht="15" customHeight="1" s="17">
      <c r="A350" s="30" t="inlineStr">
        <is>
          <t>NZ|LCM|F|14|100 Breast</t>
        </is>
      </c>
      <c r="B350" s="30" t="inlineStr">
        <is>
          <t>LCM</t>
        </is>
      </c>
      <c r="C350" s="30" t="inlineStr">
        <is>
          <t>Female</t>
        </is>
      </c>
      <c r="D350" s="30" t="n">
        <v>14</v>
      </c>
      <c r="E350" s="30" t="inlineStr">
        <is>
          <t>100 Breast</t>
        </is>
      </c>
      <c r="F350" s="30" t="inlineStr">
        <is>
          <t>Melissa Cowen</t>
        </is>
      </c>
      <c r="G350" s="22" t="inlineStr">
        <is>
          <t>Melissa Cowen</t>
        </is>
      </c>
      <c r="H350" s="22" t="n"/>
      <c r="I350" s="30" t="inlineStr">
        <is>
          <t>1:11.28</t>
        </is>
      </c>
      <c r="J350" s="22">
        <f>IF(I350="","",IF(ISNUMBER(SEARCH(":",I350)),VALUE(LEFT(I350,SEARCH(":",I350)-1))*60+VALUE(MID(I350,SEARCH(":",I350)+1,99)),VALUE(I350)))</f>
        <v/>
      </c>
      <c r="K350" s="30" t="inlineStr">
        <is>
          <t>21.06.19</t>
        </is>
      </c>
      <c r="L350" s="30" t="inlineStr">
        <is>
          <t>Swimming New Zealand Long Course Records by Age - user-supplied PDF</t>
        </is>
      </c>
      <c r="M350" s="30" t="n"/>
      <c r="N350" s="30" t="inlineStr">
        <is>
          <t>NO</t>
        </is>
      </c>
      <c r="O350" s="30" t="inlineStr">
        <is>
          <t>YES</t>
        </is>
      </c>
      <c r="P350" s="30" t="n"/>
      <c r="Q350" s="30" t="inlineStr">
        <is>
          <t>1:12.17</t>
        </is>
      </c>
      <c r="R350" s="22">
        <f>IF(Q350="","",IF(ISNUMBER(SEARCH(":",Q350)),VALUE(LEFT(Q350,SEARCH(":",Q350)-1))*60+VALUE(MID(Q350,SEARCH(":",Q350)+1,99)),VALUE(Q350)))</f>
        <v/>
      </c>
      <c r="S350" s="39">
        <f>IF(OR(J350="",R350=""),"",(R350-J350)/R350)</f>
        <v/>
      </c>
      <c r="T350" s="22">
        <f>IF(OR(P350&lt;&gt;"",N350="YES"),"YES","NO")</f>
        <v/>
      </c>
      <c r="U350" s="22">
        <f>IF(AND(O350="YES",T350="YES",S350&lt;&gt;""),COUNTIFS($C$5:$C$424,C350,$S$5:$S$424,"&gt;"&amp;S350)+COUNTIFS($C$5:C350,C350,$S$5:S350,S350),"")</f>
        <v/>
      </c>
      <c r="V350" s="22">
        <f>IF(U350="","",C350&amp;"|"&amp;U350)</f>
        <v/>
      </c>
      <c r="W350" s="30" t="n"/>
      <c r="X350" s="30" t="inlineStr">
        <is>
          <t>Next-fastest time supplied in user workbook; swimmer name not yet supplied.</t>
        </is>
      </c>
    </row>
    <row r="351" ht="15" customHeight="1" s="17">
      <c r="A351" s="30" t="inlineStr">
        <is>
          <t>NZ|LCM|F|14|200 Breast</t>
        </is>
      </c>
      <c r="B351" s="30" t="inlineStr">
        <is>
          <t>LCM</t>
        </is>
      </c>
      <c r="C351" s="30" t="inlineStr">
        <is>
          <t>Female</t>
        </is>
      </c>
      <c r="D351" s="30" t="n">
        <v>14</v>
      </c>
      <c r="E351" s="30" t="inlineStr">
        <is>
          <t>200 Breast</t>
        </is>
      </c>
      <c r="F351" s="30" t="inlineStr">
        <is>
          <t>Brearna Crawford</t>
        </is>
      </c>
      <c r="G351" s="22" t="inlineStr">
        <is>
          <t>Brearna Crawford</t>
        </is>
      </c>
      <c r="H351" s="22" t="n"/>
      <c r="I351" s="30" t="inlineStr">
        <is>
          <t>2:33.74</t>
        </is>
      </c>
      <c r="J351" s="22">
        <f>IF(I351="","",IF(ISNUMBER(SEARCH(":",I351)),VALUE(LEFT(I351,SEARCH(":",I351)-1))*60+VALUE(MID(I351,SEARCH(":",I351)+1,99)),VALUE(I351)))</f>
        <v/>
      </c>
      <c r="K351" s="30" t="inlineStr">
        <is>
          <t>21.04.17</t>
        </is>
      </c>
      <c r="L351" s="30" t="inlineStr">
        <is>
          <t>Swimming New Zealand Long Course Records by Age - user-supplied PDF</t>
        </is>
      </c>
      <c r="M351" s="30" t="n"/>
      <c r="N351" s="30" t="inlineStr">
        <is>
          <t>NO</t>
        </is>
      </c>
      <c r="O351" s="30" t="inlineStr">
        <is>
          <t>YES</t>
        </is>
      </c>
      <c r="P351" s="30" t="n"/>
      <c r="Q351" s="30" t="inlineStr">
        <is>
          <t>2:34.54</t>
        </is>
      </c>
      <c r="R351" s="22">
        <f>IF(Q351="","",IF(ISNUMBER(SEARCH(":",Q351)),VALUE(LEFT(Q351,SEARCH(":",Q351)-1))*60+VALUE(MID(Q351,SEARCH(":",Q351)+1,99)),VALUE(Q351)))</f>
        <v/>
      </c>
      <c r="S351" s="39">
        <f>IF(OR(J351="",R351=""),"",(R351-J351)/R351)</f>
        <v/>
      </c>
      <c r="T351" s="22">
        <f>IF(OR(P351&lt;&gt;"",N351="YES"),"YES","NO")</f>
        <v/>
      </c>
      <c r="U351" s="22">
        <f>IF(AND(O351="YES",T351="YES",S351&lt;&gt;""),COUNTIFS($C$5:$C$424,C351,$S$5:$S$424,"&gt;"&amp;S351)+COUNTIFS($C$5:C351,C351,$S$5:S351,S351),"")</f>
        <v/>
      </c>
      <c r="V351" s="22">
        <f>IF(U351="","",C351&amp;"|"&amp;U351)</f>
        <v/>
      </c>
      <c r="W351" s="30" t="n"/>
      <c r="X351" s="30" t="inlineStr">
        <is>
          <t>Next-fastest time supplied in user workbook; swimmer name not yet supplied.</t>
        </is>
      </c>
    </row>
    <row r="352" ht="15" customHeight="1" s="17">
      <c r="A352" s="30" t="inlineStr">
        <is>
          <t>NZ|LCM|F|14|50 Fly</t>
        </is>
      </c>
      <c r="B352" s="30" t="inlineStr">
        <is>
          <t>LCM</t>
        </is>
      </c>
      <c r="C352" s="30" t="inlineStr">
        <is>
          <t>Female</t>
        </is>
      </c>
      <c r="D352" s="30" t="n">
        <v>14</v>
      </c>
      <c r="E352" s="30" t="inlineStr">
        <is>
          <t>50 Fly</t>
        </is>
      </c>
      <c r="F352" s="30" t="inlineStr">
        <is>
          <t>Kendall Cochrane</t>
        </is>
      </c>
      <c r="G352" s="22" t="inlineStr">
        <is>
          <t>Kendall Cochrane</t>
        </is>
      </c>
      <c r="H352" s="22" t="n"/>
      <c r="I352" s="30" t="inlineStr">
        <is>
          <t>27.86</t>
        </is>
      </c>
      <c r="J352" s="22">
        <f>IF(I352="","",IF(ISNUMBER(SEARCH(":",I352)),VALUE(LEFT(I352,SEARCH(":",I352)-1))*60+VALUE(MID(I352,SEARCH(":",I352)+1,99)),VALUE(I352)))</f>
        <v/>
      </c>
      <c r="K352" s="30" t="inlineStr">
        <is>
          <t>01.04.04</t>
        </is>
      </c>
      <c r="L352" s="30" t="inlineStr">
        <is>
          <t>Swimming New Zealand Long Course Records by Age - user-supplied PDF</t>
        </is>
      </c>
      <c r="M352" s="30" t="n"/>
      <c r="N352" s="30" t="inlineStr">
        <is>
          <t>NO</t>
        </is>
      </c>
      <c r="O352" s="30" t="inlineStr">
        <is>
          <t>YES</t>
        </is>
      </c>
      <c r="P352" s="30" t="n"/>
      <c r="Q352" s="30" t="inlineStr">
        <is>
          <t>27.99</t>
        </is>
      </c>
      <c r="R352" s="22">
        <f>IF(Q352="","",IF(ISNUMBER(SEARCH(":",Q352)),VALUE(LEFT(Q352,SEARCH(":",Q352)-1))*60+VALUE(MID(Q352,SEARCH(":",Q352)+1,99)),VALUE(Q352)))</f>
        <v/>
      </c>
      <c r="S352" s="39">
        <f>IF(OR(J352="",R352=""),"",(R352-J352)/R352)</f>
        <v/>
      </c>
      <c r="T352" s="22">
        <f>IF(OR(P352&lt;&gt;"",N352="YES"),"YES","NO")</f>
        <v/>
      </c>
      <c r="U352" s="22">
        <f>IF(AND(O352="YES",T352="YES",S352&lt;&gt;""),COUNTIFS($C$5:$C$424,C352,$S$5:$S$424,"&gt;"&amp;S352)+COUNTIFS($C$5:C352,C352,$S$5:S352,S352),"")</f>
        <v/>
      </c>
      <c r="V352" s="22">
        <f>IF(U352="","",C352&amp;"|"&amp;U352)</f>
        <v/>
      </c>
      <c r="W352" s="30" t="n"/>
      <c r="X352" s="30" t="inlineStr">
        <is>
          <t>Next-fastest time supplied in user workbook; swimmer name not yet supplied.</t>
        </is>
      </c>
    </row>
    <row r="353" ht="15" customHeight="1" s="17">
      <c r="A353" s="30" t="inlineStr">
        <is>
          <t>NZ|LCM|F|14|100 Fly</t>
        </is>
      </c>
      <c r="B353" s="30" t="inlineStr">
        <is>
          <t>LCM</t>
        </is>
      </c>
      <c r="C353" s="30" t="inlineStr">
        <is>
          <t>Female</t>
        </is>
      </c>
      <c r="D353" s="30" t="n">
        <v>14</v>
      </c>
      <c r="E353" s="30" t="inlineStr">
        <is>
          <t>100 Fly</t>
        </is>
      </c>
      <c r="F353" s="30" t="inlineStr">
        <is>
          <t>Milan Glintmeyer</t>
        </is>
      </c>
      <c r="G353" s="22" t="inlineStr">
        <is>
          <t>Milan Glintmeyer</t>
        </is>
      </c>
      <c r="H353" s="22" t="n"/>
      <c r="I353" s="30" t="inlineStr">
        <is>
          <t>1:01.72</t>
        </is>
      </c>
      <c r="J353" s="22">
        <f>IF(I353="","",IF(ISNUMBER(SEARCH(":",I353)),VALUE(LEFT(I353,SEARCH(":",I353)-1))*60+VALUE(MID(I353,SEARCH(":",I353)+1,99)),VALUE(I353)))</f>
        <v/>
      </c>
      <c r="K353" s="30" t="inlineStr">
        <is>
          <t>03.04.23</t>
        </is>
      </c>
      <c r="L353" s="30" t="inlineStr">
        <is>
          <t>Swimming New Zealand Long Course Records by Age - user-supplied PDF</t>
        </is>
      </c>
      <c r="M353" s="30" t="n"/>
      <c r="N353" s="30" t="inlineStr">
        <is>
          <t>NO</t>
        </is>
      </c>
      <c r="O353" s="30" t="inlineStr">
        <is>
          <t>YES</t>
        </is>
      </c>
      <c r="P353" s="30" t="n"/>
      <c r="Q353" s="30" t="inlineStr">
        <is>
          <t>1:02.60</t>
        </is>
      </c>
      <c r="R353" s="22">
        <f>IF(Q353="","",IF(ISNUMBER(SEARCH(":",Q353)),VALUE(LEFT(Q353,SEARCH(":",Q353)-1))*60+VALUE(MID(Q353,SEARCH(":",Q353)+1,99)),VALUE(Q353)))</f>
        <v/>
      </c>
      <c r="S353" s="39">
        <f>IF(OR(J353="",R353=""),"",(R353-J353)/R353)</f>
        <v/>
      </c>
      <c r="T353" s="22">
        <f>IF(OR(P353&lt;&gt;"",N353="YES"),"YES","NO")</f>
        <v/>
      </c>
      <c r="U353" s="22">
        <f>IF(AND(O353="YES",T353="YES",S353&lt;&gt;""),COUNTIFS($C$5:$C$424,C353,$S$5:$S$424,"&gt;"&amp;S353)+COUNTIFS($C$5:C353,C353,$S$5:S353,S353),"")</f>
        <v/>
      </c>
      <c r="V353" s="22">
        <f>IF(U353="","",C353&amp;"|"&amp;U353)</f>
        <v/>
      </c>
      <c r="W353" s="30" t="n"/>
      <c r="X353" s="30" t="inlineStr">
        <is>
          <t>Next-fastest time supplied in user workbook; swimmer name not yet supplied.</t>
        </is>
      </c>
    </row>
    <row r="354" ht="15" customHeight="1" s="17">
      <c r="A354" s="30" t="inlineStr">
        <is>
          <t>NZ|LCM|F|14|200 Fly</t>
        </is>
      </c>
      <c r="B354" s="30" t="inlineStr">
        <is>
          <t>LCM</t>
        </is>
      </c>
      <c r="C354" s="30" t="inlineStr">
        <is>
          <t>Female</t>
        </is>
      </c>
      <c r="D354" s="30" t="n">
        <v>14</v>
      </c>
      <c r="E354" s="30" t="inlineStr">
        <is>
          <t>200 Fly</t>
        </is>
      </c>
      <c r="F354" s="30" t="inlineStr">
        <is>
          <t>Elizabeth Brown</t>
        </is>
      </c>
      <c r="G354" s="22" t="inlineStr">
        <is>
          <t>Elizabeth Brown</t>
        </is>
      </c>
      <c r="H354" s="22" t="n"/>
      <c r="I354" s="30" t="inlineStr">
        <is>
          <t>2:18.27</t>
        </is>
      </c>
      <c r="J354" s="22">
        <f>IF(I354="","",IF(ISNUMBER(SEARCH(":",I354)),VALUE(LEFT(I354,SEARCH(":",I354)-1))*60+VALUE(MID(I354,SEARCH(":",I354)+1,99)),VALUE(I354)))</f>
        <v/>
      </c>
      <c r="K354" s="30" t="inlineStr">
        <is>
          <t>27.03.08</t>
        </is>
      </c>
      <c r="L354" s="30" t="inlineStr">
        <is>
          <t>Swimming New Zealand Long Course Records by Age - user-supplied PDF</t>
        </is>
      </c>
      <c r="M354" s="30" t="n"/>
      <c r="N354" s="30" t="inlineStr">
        <is>
          <t>NO</t>
        </is>
      </c>
      <c r="O354" s="30" t="inlineStr">
        <is>
          <t>YES</t>
        </is>
      </c>
      <c r="P354" s="30" t="n"/>
      <c r="Q354" s="30" t="inlineStr">
        <is>
          <t>2:19.12</t>
        </is>
      </c>
      <c r="R354" s="22">
        <f>IF(Q354="","",IF(ISNUMBER(SEARCH(":",Q354)),VALUE(LEFT(Q354,SEARCH(":",Q354)-1))*60+VALUE(MID(Q354,SEARCH(":",Q354)+1,99)),VALUE(Q354)))</f>
        <v/>
      </c>
      <c r="S354" s="39">
        <f>IF(OR(J354="",R354=""),"",(R354-J354)/R354)</f>
        <v/>
      </c>
      <c r="T354" s="22">
        <f>IF(OR(P354&lt;&gt;"",N354="YES"),"YES","NO")</f>
        <v/>
      </c>
      <c r="U354" s="22">
        <f>IF(AND(O354="YES",T354="YES",S354&lt;&gt;""),COUNTIFS($C$5:$C$424,C354,$S$5:$S$424,"&gt;"&amp;S354)+COUNTIFS($C$5:C354,C354,$S$5:S354,S354),"")</f>
        <v/>
      </c>
      <c r="V354" s="22">
        <f>IF(U354="","",C354&amp;"|"&amp;U354)</f>
        <v/>
      </c>
      <c r="W354" s="30" t="n"/>
      <c r="X354" s="30" t="inlineStr">
        <is>
          <t>Next-fastest time supplied in user workbook; swimmer name not yet supplied.</t>
        </is>
      </c>
    </row>
    <row r="355" ht="15" customHeight="1" s="17">
      <c r="A355" s="30" t="inlineStr">
        <is>
          <t>NZ|LCM|F|14|200 IM</t>
        </is>
      </c>
      <c r="B355" s="30" t="inlineStr">
        <is>
          <t>LCM</t>
        </is>
      </c>
      <c r="C355" s="30" t="inlineStr">
        <is>
          <t>Female</t>
        </is>
      </c>
      <c r="D355" s="30" t="n">
        <v>14</v>
      </c>
      <c r="E355" s="30" t="inlineStr">
        <is>
          <t>200 IM</t>
        </is>
      </c>
      <c r="F355" s="30" t="inlineStr">
        <is>
          <t>Gina McCarthy</t>
        </is>
      </c>
      <c r="G355" s="22" t="inlineStr">
        <is>
          <t>Gina McCarthy</t>
        </is>
      </c>
      <c r="H355" s="22" t="n"/>
      <c r="I355" s="30" t="inlineStr">
        <is>
          <t>2:20.30</t>
        </is>
      </c>
      <c r="J355" s="22">
        <f>IF(I355="","",IF(ISNUMBER(SEARCH(":",I355)),VALUE(LEFT(I355,SEARCH(":",I355)-1))*60+VALUE(MID(I355,SEARCH(":",I355)+1,99)),VALUE(I355)))</f>
        <v/>
      </c>
      <c r="K355" s="30" t="inlineStr">
        <is>
          <t>16.04.17</t>
        </is>
      </c>
      <c r="L355" s="30" t="inlineStr">
        <is>
          <t>Swimming New Zealand Long Course Records by Age - user-supplied PDF</t>
        </is>
      </c>
      <c r="M355" s="30" t="n"/>
      <c r="N355" s="30" t="inlineStr">
        <is>
          <t>NO</t>
        </is>
      </c>
      <c r="O355" s="30" t="inlineStr">
        <is>
          <t>YES</t>
        </is>
      </c>
      <c r="P355" s="30" t="n"/>
      <c r="Q355" s="30" t="inlineStr">
        <is>
          <t>2:21.70</t>
        </is>
      </c>
      <c r="R355" s="22">
        <f>IF(Q355="","",IF(ISNUMBER(SEARCH(":",Q355)),VALUE(LEFT(Q355,SEARCH(":",Q355)-1))*60+VALUE(MID(Q355,SEARCH(":",Q355)+1,99)),VALUE(Q355)))</f>
        <v/>
      </c>
      <c r="S355" s="39">
        <f>IF(OR(J355="",R355=""),"",(R355-J355)/R355)</f>
        <v/>
      </c>
      <c r="T355" s="22">
        <f>IF(OR(P355&lt;&gt;"",N355="YES"),"YES","NO")</f>
        <v/>
      </c>
      <c r="U355" s="22">
        <f>IF(AND(O355="YES",T355="YES",S355&lt;&gt;""),COUNTIFS($C$5:$C$424,C355,$S$5:$S$424,"&gt;"&amp;S355)+COUNTIFS($C$5:C355,C355,$S$5:S355,S355),"")</f>
        <v/>
      </c>
      <c r="V355" s="22">
        <f>IF(U355="","",C355&amp;"|"&amp;U355)</f>
        <v/>
      </c>
      <c r="W355" s="30" t="n"/>
      <c r="X355" s="30" t="inlineStr">
        <is>
          <t>Next-fastest time supplied in user workbook; swimmer name not yet supplied.</t>
        </is>
      </c>
    </row>
    <row r="356" ht="15" customHeight="1" s="17">
      <c r="A356" s="30" t="inlineStr">
        <is>
          <t>NZ|LCM|F|14|400 IM</t>
        </is>
      </c>
      <c r="B356" s="30" t="inlineStr">
        <is>
          <t>LCM</t>
        </is>
      </c>
      <c r="C356" s="30" t="inlineStr">
        <is>
          <t>Female</t>
        </is>
      </c>
      <c r="D356" s="30" t="n">
        <v>14</v>
      </c>
      <c r="E356" s="30" t="inlineStr">
        <is>
          <t>400 IM</t>
        </is>
      </c>
      <c r="F356" s="30" t="inlineStr">
        <is>
          <t>Mya Rasmussen</t>
        </is>
      </c>
      <c r="G356" s="22" t="inlineStr">
        <is>
          <t>Mya Rasmussen</t>
        </is>
      </c>
      <c r="H356" s="22" t="n"/>
      <c r="I356" s="30" t="inlineStr">
        <is>
          <t>4:51.85</t>
        </is>
      </c>
      <c r="J356" s="22">
        <f>IF(I356="","",IF(ISNUMBER(SEARCH(":",I356)),VALUE(LEFT(I356,SEARCH(":",I356)-1))*60+VALUE(MID(I356,SEARCH(":",I356)+1,99)),VALUE(I356)))</f>
        <v/>
      </c>
      <c r="K356" s="30" t="inlineStr">
        <is>
          <t>08.02.15</t>
        </is>
      </c>
      <c r="L356" s="30" t="inlineStr">
        <is>
          <t>Swimming New Zealand Long Course Records by Age - user-supplied PDF</t>
        </is>
      </c>
      <c r="M356" s="30" t="n"/>
      <c r="N356" s="30" t="inlineStr">
        <is>
          <t>NO</t>
        </is>
      </c>
      <c r="O356" s="30" t="inlineStr">
        <is>
          <t>YES</t>
        </is>
      </c>
      <c r="P356" s="30" t="n"/>
      <c r="Q356" s="30" t="inlineStr">
        <is>
          <t>4:55.68</t>
        </is>
      </c>
      <c r="R356" s="22">
        <f>IF(Q356="","",IF(ISNUMBER(SEARCH(":",Q356)),VALUE(LEFT(Q356,SEARCH(":",Q356)-1))*60+VALUE(MID(Q356,SEARCH(":",Q356)+1,99)),VALUE(Q356)))</f>
        <v/>
      </c>
      <c r="S356" s="39">
        <f>IF(OR(J356="",R356=""),"",(R356-J356)/R356)</f>
        <v/>
      </c>
      <c r="T356" s="22">
        <f>IF(OR(P356&lt;&gt;"",N356="YES"),"YES","NO")</f>
        <v/>
      </c>
      <c r="U356" s="22">
        <f>IF(AND(O356="YES",T356="YES",S356&lt;&gt;""),COUNTIFS($C$5:$C$424,C356,$S$5:$S$424,"&gt;"&amp;S356)+COUNTIFS($C$5:C356,C356,$S$5:S356,S356),"")</f>
        <v/>
      </c>
      <c r="V356" s="22">
        <f>IF(U356="","",C356&amp;"|"&amp;U356)</f>
        <v/>
      </c>
      <c r="W356" s="30" t="n"/>
      <c r="X356" s="30" t="inlineStr">
        <is>
          <t>Next-fastest time supplied in user workbook; swimmer name not yet supplied.</t>
        </is>
      </c>
    </row>
    <row r="357" ht="15" customHeight="1" s="17">
      <c r="A357" s="30" t="inlineStr">
        <is>
          <t>NZ|LCM|F|15|50 Free</t>
        </is>
      </c>
      <c r="B357" s="30" t="inlineStr">
        <is>
          <t>LCM</t>
        </is>
      </c>
      <c r="C357" s="30" t="inlineStr">
        <is>
          <t>Female</t>
        </is>
      </c>
      <c r="D357" s="30" t="n">
        <v>15</v>
      </c>
      <c r="E357" s="30" t="inlineStr">
        <is>
          <t>50 Free</t>
        </is>
      </c>
      <c r="F357" s="30" t="inlineStr">
        <is>
          <t>Zoe Pedersen</t>
        </is>
      </c>
      <c r="G357" s="22" t="inlineStr">
        <is>
          <t>Zoe Pedersen</t>
        </is>
      </c>
      <c r="H357" s="22" t="n"/>
      <c r="I357" s="30" t="inlineStr">
        <is>
          <t>25.63</t>
        </is>
      </c>
      <c r="J357" s="22">
        <f>IF(I357="","",IF(ISNUMBER(SEARCH(":",I357)),VALUE(LEFT(I357,SEARCH(":",I357)-1))*60+VALUE(MID(I357,SEARCH(":",I357)+1,99)),VALUE(I357)))</f>
        <v/>
      </c>
      <c r="K357" s="30" t="inlineStr">
        <is>
          <t>13.04.23</t>
        </is>
      </c>
      <c r="L357" s="30" t="inlineStr">
        <is>
          <t>Swimming New Zealand Long Course Records by Age - user-supplied PDF</t>
        </is>
      </c>
      <c r="M357" s="30" t="n"/>
      <c r="N357" s="30" t="inlineStr">
        <is>
          <t>NO</t>
        </is>
      </c>
      <c r="O357" s="30" t="inlineStr">
        <is>
          <t>YES</t>
        </is>
      </c>
      <c r="P357" s="30" t="n"/>
      <c r="Q357" s="30" t="inlineStr">
        <is>
          <t>25.65</t>
        </is>
      </c>
      <c r="R357" s="22">
        <f>IF(Q357="","",IF(ISNUMBER(SEARCH(":",Q357)),VALUE(LEFT(Q357,SEARCH(":",Q357)-1))*60+VALUE(MID(Q357,SEARCH(":",Q357)+1,99)),VALUE(Q357)))</f>
        <v/>
      </c>
      <c r="S357" s="39">
        <f>IF(OR(J357="",R357=""),"",(R357-J357)/R357)</f>
        <v/>
      </c>
      <c r="T357" s="22">
        <f>IF(OR(P357&lt;&gt;"",N357="YES"),"YES","NO")</f>
        <v/>
      </c>
      <c r="U357" s="22">
        <f>IF(AND(O357="YES",T357="YES",S357&lt;&gt;""),COUNTIFS($C$5:$C$424,C357,$S$5:$S$424,"&gt;"&amp;S357)+COUNTIFS($C$5:C357,C357,$S$5:S357,S357),"")</f>
        <v/>
      </c>
      <c r="V357" s="22">
        <f>IF(U357="","",C357&amp;"|"&amp;U357)</f>
        <v/>
      </c>
      <c r="W357" s="30" t="n"/>
      <c r="X357" s="30" t="inlineStr">
        <is>
          <t>Next-fastest time supplied in user workbook; swimmer name not yet supplied.</t>
        </is>
      </c>
    </row>
    <row r="358" ht="15" customHeight="1" s="17">
      <c r="A358" s="30" t="inlineStr">
        <is>
          <t>NZ|LCM|F|15|100 Free</t>
        </is>
      </c>
      <c r="B358" s="30" t="inlineStr">
        <is>
          <t>LCM</t>
        </is>
      </c>
      <c r="C358" s="30" t="inlineStr">
        <is>
          <t>Female</t>
        </is>
      </c>
      <c r="D358" s="30" t="n">
        <v>15</v>
      </c>
      <c r="E358" s="30" t="inlineStr">
        <is>
          <t>100 Free</t>
        </is>
      </c>
      <c r="F358" s="30" t="inlineStr">
        <is>
          <t>Erika Fairweather</t>
        </is>
      </c>
      <c r="G358" s="22" t="inlineStr">
        <is>
          <t>Erika Fairweather</t>
        </is>
      </c>
      <c r="H358" s="22" t="n"/>
      <c r="I358" s="30" t="inlineStr">
        <is>
          <t>55.60</t>
        </is>
      </c>
      <c r="J358" s="22">
        <f>IF(I358="","",IF(ISNUMBER(SEARCH(":",I358)),VALUE(LEFT(I358,SEARCH(":",I358)-1))*60+VALUE(MID(I358,SEARCH(":",I358)+1,99)),VALUE(I358)))</f>
        <v/>
      </c>
      <c r="K358" s="30" t="inlineStr">
        <is>
          <t>16.04.19</t>
        </is>
      </c>
      <c r="L358" s="30" t="inlineStr">
        <is>
          <t>Swimming New Zealand Long Course Records by Age - user-supplied PDF</t>
        </is>
      </c>
      <c r="M358" s="30" t="n"/>
      <c r="N358" s="30" t="inlineStr">
        <is>
          <t>NO</t>
        </is>
      </c>
      <c r="O358" s="30" t="inlineStr">
        <is>
          <t>YES</t>
        </is>
      </c>
      <c r="P358" s="30" t="n"/>
      <c r="Q358" s="30" t="inlineStr">
        <is>
          <t>55.98</t>
        </is>
      </c>
      <c r="R358" s="22">
        <f>IF(Q358="","",IF(ISNUMBER(SEARCH(":",Q358)),VALUE(LEFT(Q358,SEARCH(":",Q358)-1))*60+VALUE(MID(Q358,SEARCH(":",Q358)+1,99)),VALUE(Q358)))</f>
        <v/>
      </c>
      <c r="S358" s="39">
        <f>IF(OR(J358="",R358=""),"",(R358-J358)/R358)</f>
        <v/>
      </c>
      <c r="T358" s="22">
        <f>IF(OR(P358&lt;&gt;"",N358="YES"),"YES","NO")</f>
        <v/>
      </c>
      <c r="U358" s="22">
        <f>IF(AND(O358="YES",T358="YES",S358&lt;&gt;""),COUNTIFS($C$5:$C$424,C358,$S$5:$S$424,"&gt;"&amp;S358)+COUNTIFS($C$5:C358,C358,$S$5:S358,S358),"")</f>
        <v/>
      </c>
      <c r="V358" s="22">
        <f>IF(U358="","",C358&amp;"|"&amp;U358)</f>
        <v/>
      </c>
      <c r="W358" s="30" t="n"/>
      <c r="X358" s="30" t="inlineStr">
        <is>
          <t>Next-fastest time supplied in user workbook; swimmer name not yet supplied.</t>
        </is>
      </c>
    </row>
    <row r="359" ht="15" customHeight="1" s="17">
      <c r="A359" s="30" t="inlineStr">
        <is>
          <t>NZ|LCM|F|15|200 Free</t>
        </is>
      </c>
      <c r="B359" s="30" t="inlineStr">
        <is>
          <t>LCM</t>
        </is>
      </c>
      <c r="C359" s="30" t="inlineStr">
        <is>
          <t>Female</t>
        </is>
      </c>
      <c r="D359" s="30" t="n">
        <v>15</v>
      </c>
      <c r="E359" s="30" t="inlineStr">
        <is>
          <t>200 Free</t>
        </is>
      </c>
      <c r="F359" s="30" t="inlineStr">
        <is>
          <t>Erika Fairweather</t>
        </is>
      </c>
      <c r="G359" s="22" t="inlineStr">
        <is>
          <t>Erika Fairweather</t>
        </is>
      </c>
      <c r="H359" s="22" t="n"/>
      <c r="I359" s="30" t="inlineStr">
        <is>
          <t>1:57.96</t>
        </is>
      </c>
      <c r="J359" s="22">
        <f>IF(I359="","",IF(ISNUMBER(SEARCH(":",I359)),VALUE(LEFT(I359,SEARCH(":",I359)-1))*60+VALUE(MID(I359,SEARCH(":",I359)+1,99)),VALUE(I359)))</f>
        <v/>
      </c>
      <c r="K359" s="30" t="inlineStr">
        <is>
          <t>25.08.19</t>
        </is>
      </c>
      <c r="L359" s="30" t="inlineStr">
        <is>
          <t>Swimming New Zealand Long Course Records by Age - user-supplied PDF</t>
        </is>
      </c>
      <c r="M359" s="30" t="n"/>
      <c r="N359" s="30" t="inlineStr">
        <is>
          <t>NO</t>
        </is>
      </c>
      <c r="O359" s="30" t="inlineStr">
        <is>
          <t>YES</t>
        </is>
      </c>
      <c r="P359" s="30" t="inlineStr">
        <is>
          <t>Amadika Atkinson</t>
        </is>
      </c>
      <c r="Q359" s="30" t="inlineStr">
        <is>
          <t>2:02.20</t>
        </is>
      </c>
      <c r="R359" s="22">
        <f>IF(Q359="","",IF(ISNUMBER(SEARCH(":",Q359)),VALUE(LEFT(Q359,SEARCH(":",Q359)-1))*60+VALUE(MID(Q359,SEARCH(":",Q359)+1,99)),VALUE(Q359)))</f>
        <v/>
      </c>
      <c r="S359" s="39">
        <f>IF(OR(J359="",R359=""),"",(R359-J359)/R359)</f>
        <v/>
      </c>
      <c r="T359" s="22">
        <f>IF(OR(P359&lt;&gt;"",N359="YES"),"YES","NO")</f>
        <v/>
      </c>
      <c r="U359" s="22">
        <f>IF(AND(O359="YES",T359="YES",S359&lt;&gt;""),COUNTIFS($C$5:$C$424,C359,$S$5:$S$424,"&gt;"&amp;S359)+COUNTIFS($C$5:C359,C359,$S$5:S359,S359),"")</f>
        <v/>
      </c>
      <c r="V359" s="22">
        <f>IF(U359="","",C359&amp;"|"&amp;U359)</f>
        <v/>
      </c>
      <c r="W359" s="30" t="n"/>
      <c r="X359" s="30" t="inlineStr">
        <is>
          <t>Next-fastest time supplied in user workbook; swimmer name not yet supplied.</t>
        </is>
      </c>
    </row>
    <row r="360" ht="15" customHeight="1" s="17">
      <c r="A360" s="30" t="inlineStr">
        <is>
          <t>NZ|LCM|F|15|400 Free</t>
        </is>
      </c>
      <c r="B360" s="30" t="inlineStr">
        <is>
          <t>LCM</t>
        </is>
      </c>
      <c r="C360" s="30" t="inlineStr">
        <is>
          <t>Female</t>
        </is>
      </c>
      <c r="D360" s="30" t="n">
        <v>15</v>
      </c>
      <c r="E360" s="30" t="inlineStr">
        <is>
          <t>400 Free</t>
        </is>
      </c>
      <c r="F360" s="30" t="inlineStr">
        <is>
          <t>Erika Fairweather</t>
        </is>
      </c>
      <c r="G360" s="22" t="inlineStr">
        <is>
          <t>Erika Fairweather</t>
        </is>
      </c>
      <c r="H360" s="22" t="n"/>
      <c r="I360" s="30" t="inlineStr">
        <is>
          <t>4:08.78</t>
        </is>
      </c>
      <c r="J360" s="22">
        <f>IF(I360="","",IF(ISNUMBER(SEARCH(":",I360)),VALUE(LEFT(I360,SEARCH(":",I360)-1))*60+VALUE(MID(I360,SEARCH(":",I360)+1,99)),VALUE(I360)))</f>
        <v/>
      </c>
      <c r="K360" s="30" t="inlineStr">
        <is>
          <t>23.08.19</t>
        </is>
      </c>
      <c r="L360" s="30" t="inlineStr">
        <is>
          <t>Swimming New Zealand Long Course Records by Age - user-supplied PDF</t>
        </is>
      </c>
      <c r="M360" s="30" t="n"/>
      <c r="N360" s="30" t="inlineStr">
        <is>
          <t>NO</t>
        </is>
      </c>
      <c r="O360" s="30" t="inlineStr">
        <is>
          <t>YES</t>
        </is>
      </c>
      <c r="P360" s="30" t="n"/>
      <c r="Q360" s="30" t="inlineStr">
        <is>
          <t>4:14.76</t>
        </is>
      </c>
      <c r="R360" s="22">
        <f>IF(Q360="","",IF(ISNUMBER(SEARCH(":",Q360)),VALUE(LEFT(Q360,SEARCH(":",Q360)-1))*60+VALUE(MID(Q360,SEARCH(":",Q360)+1,99)),VALUE(Q360)))</f>
        <v/>
      </c>
      <c r="S360" s="39">
        <f>IF(OR(J360="",R360=""),"",(R360-J360)/R360)</f>
        <v/>
      </c>
      <c r="T360" s="22">
        <f>IF(OR(P360&lt;&gt;"",N360="YES"),"YES","NO")</f>
        <v/>
      </c>
      <c r="U360" s="22">
        <f>IF(AND(O360="YES",T360="YES",S360&lt;&gt;""),COUNTIFS($C$5:$C$424,C360,$S$5:$S$424,"&gt;"&amp;S360)+COUNTIFS($C$5:C360,C360,$S$5:S360,S360),"")</f>
        <v/>
      </c>
      <c r="V360" s="22">
        <f>IF(U360="","",C360&amp;"|"&amp;U360)</f>
        <v/>
      </c>
      <c r="W360" s="30" t="n"/>
      <c r="X360" s="30" t="inlineStr">
        <is>
          <t>Next-fastest time supplied in user workbook; swimmer name not yet supplied.</t>
        </is>
      </c>
    </row>
    <row r="361" ht="15" customHeight="1" s="17">
      <c r="A361" s="30" t="inlineStr">
        <is>
          <t>NZ|LCM|F|15|800 Free</t>
        </is>
      </c>
      <c r="B361" s="30" t="inlineStr">
        <is>
          <t>LCM</t>
        </is>
      </c>
      <c r="C361" s="30" t="inlineStr">
        <is>
          <t>Female</t>
        </is>
      </c>
      <c r="D361" s="30" t="n">
        <v>15</v>
      </c>
      <c r="E361" s="30" t="inlineStr">
        <is>
          <t>800 Free</t>
        </is>
      </c>
      <c r="F361" s="30" t="inlineStr">
        <is>
          <t>Erika Fairweather</t>
        </is>
      </c>
      <c r="G361" s="22" t="inlineStr">
        <is>
          <t>Erika Fairweather</t>
        </is>
      </c>
      <c r="H361" s="22" t="n"/>
      <c r="I361" s="30" t="inlineStr">
        <is>
          <t>8:45.91</t>
        </is>
      </c>
      <c r="J361" s="22">
        <f>IF(I361="","",IF(ISNUMBER(SEARCH(":",I361)),VALUE(LEFT(I361,SEARCH(":",I361)-1))*60+VALUE(MID(I361,SEARCH(":",I361)+1,99)),VALUE(I361)))</f>
        <v/>
      </c>
      <c r="K361" s="30" t="inlineStr">
        <is>
          <t>17.04.19</t>
        </is>
      </c>
      <c r="L361" s="30" t="inlineStr">
        <is>
          <t>Swimming New Zealand Long Course Records by Age - user-supplied PDF</t>
        </is>
      </c>
      <c r="M361" s="30" t="n"/>
      <c r="N361" s="30" t="inlineStr">
        <is>
          <t>NO</t>
        </is>
      </c>
      <c r="O361" s="30" t="inlineStr">
        <is>
          <t>YES</t>
        </is>
      </c>
      <c r="P361" s="30" t="n"/>
      <c r="Q361" s="30" t="inlineStr">
        <is>
          <t>8:54.83</t>
        </is>
      </c>
      <c r="R361" s="22">
        <f>IF(Q361="","",IF(ISNUMBER(SEARCH(":",Q361)),VALUE(LEFT(Q361,SEARCH(":",Q361)-1))*60+VALUE(MID(Q361,SEARCH(":",Q361)+1,99)),VALUE(Q361)))</f>
        <v/>
      </c>
      <c r="S361" s="39">
        <f>IF(OR(J361="",R361=""),"",(R361-J361)/R361)</f>
        <v/>
      </c>
      <c r="T361" s="22">
        <f>IF(OR(P361&lt;&gt;"",N361="YES"),"YES","NO")</f>
        <v/>
      </c>
      <c r="U361" s="22">
        <f>IF(AND(O361="YES",T361="YES",S361&lt;&gt;""),COUNTIFS($C$5:$C$424,C361,$S$5:$S$424,"&gt;"&amp;S361)+COUNTIFS($C$5:C361,C361,$S$5:S361,S361),"")</f>
        <v/>
      </c>
      <c r="V361" s="22">
        <f>IF(U361="","",C361&amp;"|"&amp;U361)</f>
        <v/>
      </c>
      <c r="W361" s="30" t="n"/>
      <c r="X361" s="30" t="inlineStr">
        <is>
          <t>Next-fastest time supplied in user workbook; swimmer name not yet supplied.</t>
        </is>
      </c>
    </row>
    <row r="362" ht="15" customHeight="1" s="17">
      <c r="A362" s="30" t="inlineStr">
        <is>
          <t>NZ|LCM|F|15|1500 Free</t>
        </is>
      </c>
      <c r="B362" s="30" t="inlineStr">
        <is>
          <t>LCM</t>
        </is>
      </c>
      <c r="C362" s="30" t="inlineStr">
        <is>
          <t>Female</t>
        </is>
      </c>
      <c r="D362" s="30" t="n">
        <v>15</v>
      </c>
      <c r="E362" s="30" t="inlineStr">
        <is>
          <t>1500 Free</t>
        </is>
      </c>
      <c r="F362" s="30" t="inlineStr">
        <is>
          <t>Anna Wilson</t>
        </is>
      </c>
      <c r="G362" s="22" t="inlineStr">
        <is>
          <t>Anna Wilson</t>
        </is>
      </c>
      <c r="H362" s="22" t="n"/>
      <c r="I362" s="30" t="inlineStr">
        <is>
          <t>17:03.95</t>
        </is>
      </c>
      <c r="J362" s="22">
        <f>IF(I362="","",IF(ISNUMBER(SEARCH(":",I362)),VALUE(LEFT(I362,SEARCH(":",I362)-1))*60+VALUE(MID(I362,SEARCH(":",I362)+1,99)),VALUE(I362)))</f>
        <v/>
      </c>
      <c r="K362" s="30" t="inlineStr">
        <is>
          <t>28.01.93</t>
        </is>
      </c>
      <c r="L362" s="30" t="inlineStr">
        <is>
          <t>Swimming New Zealand Long Course Records by Age - user-supplied PDF</t>
        </is>
      </c>
      <c r="M362" s="30" t="n"/>
      <c r="N362" s="30" t="inlineStr">
        <is>
          <t>NO</t>
        </is>
      </c>
      <c r="O362" s="30" t="inlineStr">
        <is>
          <t>YES</t>
        </is>
      </c>
      <c r="P362" s="30" t="n"/>
      <c r="Q362" s="30" t="inlineStr">
        <is>
          <t>17:19.22</t>
        </is>
      </c>
      <c r="R362" s="22">
        <f>IF(Q362="","",IF(ISNUMBER(SEARCH(":",Q362)),VALUE(LEFT(Q362,SEARCH(":",Q362)-1))*60+VALUE(MID(Q362,SEARCH(":",Q362)+1,99)),VALUE(Q362)))</f>
        <v/>
      </c>
      <c r="S362" s="39">
        <f>IF(OR(J362="",R362=""),"",(R362-J362)/R362)</f>
        <v/>
      </c>
      <c r="T362" s="22">
        <f>IF(OR(P362&lt;&gt;"",N362="YES"),"YES","NO")</f>
        <v/>
      </c>
      <c r="U362" s="22">
        <f>IF(AND(O362="YES",T362="YES",S362&lt;&gt;""),COUNTIFS($C$5:$C$424,C362,$S$5:$S$424,"&gt;"&amp;S362)+COUNTIFS($C$5:C362,C362,$S$5:S362,S362),"")</f>
        <v/>
      </c>
      <c r="V362" s="22">
        <f>IF(U362="","",C362&amp;"|"&amp;U362)</f>
        <v/>
      </c>
      <c r="W362" s="30" t="n"/>
      <c r="X362" s="30" t="inlineStr">
        <is>
          <t>Next-fastest time supplied in user workbook; swimmer name not yet supplied.</t>
        </is>
      </c>
    </row>
    <row r="363" ht="15" customHeight="1" s="17">
      <c r="A363" s="30" t="inlineStr">
        <is>
          <t>NZ|LCM|F|15|50 Back</t>
        </is>
      </c>
      <c r="B363" s="30" t="inlineStr">
        <is>
          <t>LCM</t>
        </is>
      </c>
      <c r="C363" s="30" t="inlineStr">
        <is>
          <t>Female</t>
        </is>
      </c>
      <c r="D363" s="30" t="n">
        <v>15</v>
      </c>
      <c r="E363" s="30" t="inlineStr">
        <is>
          <t>50 Back</t>
        </is>
      </c>
      <c r="F363" s="30" t="inlineStr">
        <is>
          <t>Gabrielle Fa'amausili</t>
        </is>
      </c>
      <c r="G363" s="22" t="inlineStr">
        <is>
          <t>Gabrielle Fa'amausili</t>
        </is>
      </c>
      <c r="H363" s="22" t="n"/>
      <c r="I363" s="30" t="inlineStr">
        <is>
          <t>27.81</t>
        </is>
      </c>
      <c r="J363" s="22">
        <f>IF(I363="","",IF(ISNUMBER(SEARCH(":",I363)),VALUE(LEFT(I363,SEARCH(":",I363)-1))*60+VALUE(MID(I363,SEARCH(":",I363)+1,99)),VALUE(I363)))</f>
        <v/>
      </c>
      <c r="K363" s="30" t="inlineStr">
        <is>
          <t>29.08.15</t>
        </is>
      </c>
      <c r="L363" s="30" t="inlineStr">
        <is>
          <t>Swimming New Zealand Long Course Records by Age - user-supplied PDF</t>
        </is>
      </c>
      <c r="M363" s="30" t="n"/>
      <c r="N363" s="30" t="inlineStr">
        <is>
          <t>NO</t>
        </is>
      </c>
      <c r="O363" s="30" t="inlineStr">
        <is>
          <t>YES</t>
        </is>
      </c>
      <c r="P363" s="30" t="n"/>
      <c r="Q363" s="30" t="inlineStr">
        <is>
          <t>28.40</t>
        </is>
      </c>
      <c r="R363" s="22">
        <f>IF(Q363="","",IF(ISNUMBER(SEARCH(":",Q363)),VALUE(LEFT(Q363,SEARCH(":",Q363)-1))*60+VALUE(MID(Q363,SEARCH(":",Q363)+1,99)),VALUE(Q363)))</f>
        <v/>
      </c>
      <c r="S363" s="39">
        <f>IF(OR(J363="",R363=""),"",(R363-J363)/R363)</f>
        <v/>
      </c>
      <c r="T363" s="22">
        <f>IF(OR(P363&lt;&gt;"",N363="YES"),"YES","NO")</f>
        <v/>
      </c>
      <c r="U363" s="22">
        <f>IF(AND(O363="YES",T363="YES",S363&lt;&gt;""),COUNTIFS($C$5:$C$424,C363,$S$5:$S$424,"&gt;"&amp;S363)+COUNTIFS($C$5:C363,C363,$S$5:S363,S363),"")</f>
        <v/>
      </c>
      <c r="V363" s="22">
        <f>IF(U363="","",C363&amp;"|"&amp;U363)</f>
        <v/>
      </c>
      <c r="W363" s="30" t="n"/>
      <c r="X363" s="30" t="inlineStr">
        <is>
          <t>Next-fastest time supplied in user workbook; swimmer name not yet supplied.</t>
        </is>
      </c>
    </row>
    <row r="364" ht="15" customHeight="1" s="17">
      <c r="A364" s="30" t="inlineStr">
        <is>
          <t>NZ|LCM|F|15|100 Back</t>
        </is>
      </c>
      <c r="B364" s="30" t="inlineStr">
        <is>
          <t>LCM</t>
        </is>
      </c>
      <c r="C364" s="30" t="inlineStr">
        <is>
          <t>Female</t>
        </is>
      </c>
      <c r="D364" s="30" t="n">
        <v>15</v>
      </c>
      <c r="E364" s="30" t="inlineStr">
        <is>
          <t>100 Back</t>
        </is>
      </c>
      <c r="F364" s="30" t="inlineStr">
        <is>
          <t>Bobbi Gichard</t>
        </is>
      </c>
      <c r="G364" s="22" t="inlineStr">
        <is>
          <t>Bobbi Gichard</t>
        </is>
      </c>
      <c r="H364" s="22" t="n"/>
      <c r="I364" s="30" t="inlineStr">
        <is>
          <t>1:00.42</t>
        </is>
      </c>
      <c r="J364" s="22">
        <f>IF(I364="","",IF(ISNUMBER(SEARCH(":",I364)),VALUE(LEFT(I364,SEARCH(":",I364)-1))*60+VALUE(MID(I364,SEARCH(":",I364)+1,99)),VALUE(I364)))</f>
        <v/>
      </c>
      <c r="K364" s="30" t="inlineStr">
        <is>
          <t>26.08.15</t>
        </is>
      </c>
      <c r="L364" s="30" t="inlineStr">
        <is>
          <t>Swimming New Zealand Long Course Records by Age - user-supplied PDF</t>
        </is>
      </c>
      <c r="M364" s="30" t="n"/>
      <c r="N364" s="30" t="inlineStr">
        <is>
          <t>NO</t>
        </is>
      </c>
      <c r="O364" s="30" t="inlineStr">
        <is>
          <t>YES</t>
        </is>
      </c>
      <c r="P364" s="30" t="n"/>
      <c r="Q364" s="30" t="inlineStr">
        <is>
          <t>1:00.74</t>
        </is>
      </c>
      <c r="R364" s="22">
        <f>IF(Q364="","",IF(ISNUMBER(SEARCH(":",Q364)),VALUE(LEFT(Q364,SEARCH(":",Q364)-1))*60+VALUE(MID(Q364,SEARCH(":",Q364)+1,99)),VALUE(Q364)))</f>
        <v/>
      </c>
      <c r="S364" s="39">
        <f>IF(OR(J364="",R364=""),"",(R364-J364)/R364)</f>
        <v/>
      </c>
      <c r="T364" s="22">
        <f>IF(OR(P364&lt;&gt;"",N364="YES"),"YES","NO")</f>
        <v/>
      </c>
      <c r="U364" s="22">
        <f>IF(AND(O364="YES",T364="YES",S364&lt;&gt;""),COUNTIFS($C$5:$C$424,C364,$S$5:$S$424,"&gt;"&amp;S364)+COUNTIFS($C$5:C364,C364,$S$5:S364,S364),"")</f>
        <v/>
      </c>
      <c r="V364" s="22">
        <f>IF(U364="","",C364&amp;"|"&amp;U364)</f>
        <v/>
      </c>
      <c r="W364" s="30" t="n"/>
      <c r="X364" s="30" t="inlineStr">
        <is>
          <t>Next-fastest time supplied in user workbook; swimmer name not yet supplied.</t>
        </is>
      </c>
    </row>
    <row r="365" ht="15" customHeight="1" s="17">
      <c r="A365" s="30" t="inlineStr">
        <is>
          <t>NZ|LCM|F|15|200 Back</t>
        </is>
      </c>
      <c r="B365" s="30" t="inlineStr">
        <is>
          <t>LCM</t>
        </is>
      </c>
      <c r="C365" s="30" t="inlineStr">
        <is>
          <t>Female</t>
        </is>
      </c>
      <c r="D365" s="30" t="n">
        <v>15</v>
      </c>
      <c r="E365" s="30" t="inlineStr">
        <is>
          <t>200 Back</t>
        </is>
      </c>
      <c r="F365" s="30" t="inlineStr">
        <is>
          <t>Bobbi Gichard</t>
        </is>
      </c>
      <c r="G365" s="22" t="inlineStr">
        <is>
          <t>Bobbi Gichard</t>
        </is>
      </c>
      <c r="H365" s="22" t="n"/>
      <c r="I365" s="30" t="inlineStr">
        <is>
          <t>2:10.87</t>
        </is>
      </c>
      <c r="J365" s="22">
        <f>IF(I365="","",IF(ISNUMBER(SEARCH(":",I365)),VALUE(LEFT(I365,SEARCH(":",I365)-1))*60+VALUE(MID(I365,SEARCH(":",I365)+1,99)),VALUE(I365)))</f>
        <v/>
      </c>
      <c r="K365" s="30" t="inlineStr">
        <is>
          <t>09.09.15</t>
        </is>
      </c>
      <c r="L365" s="30" t="inlineStr">
        <is>
          <t>Swimming New Zealand Long Course Records by Age - user-supplied PDF</t>
        </is>
      </c>
      <c r="M365" s="30" t="n"/>
      <c r="N365" s="30" t="inlineStr">
        <is>
          <t>NO</t>
        </is>
      </c>
      <c r="O365" s="30" t="inlineStr">
        <is>
          <t>YES</t>
        </is>
      </c>
      <c r="P365" s="30" t="n"/>
      <c r="Q365" s="30" t="inlineStr">
        <is>
          <t>2:11.72</t>
        </is>
      </c>
      <c r="R365" s="22">
        <f>IF(Q365="","",IF(ISNUMBER(SEARCH(":",Q365)),VALUE(LEFT(Q365,SEARCH(":",Q365)-1))*60+VALUE(MID(Q365,SEARCH(":",Q365)+1,99)),VALUE(Q365)))</f>
        <v/>
      </c>
      <c r="S365" s="39">
        <f>IF(OR(J365="",R365=""),"",(R365-J365)/R365)</f>
        <v/>
      </c>
      <c r="T365" s="22">
        <f>IF(OR(P365&lt;&gt;"",N365="YES"),"YES","NO")</f>
        <v/>
      </c>
      <c r="U365" s="22">
        <f>IF(AND(O365="YES",T365="YES",S365&lt;&gt;""),COUNTIFS($C$5:$C$424,C365,$S$5:$S$424,"&gt;"&amp;S365)+COUNTIFS($C$5:C365,C365,$S$5:S365,S365),"")</f>
        <v/>
      </c>
      <c r="V365" s="22">
        <f>IF(U365="","",C365&amp;"|"&amp;U365)</f>
        <v/>
      </c>
      <c r="W365" s="30" t="n"/>
      <c r="X365" s="30" t="inlineStr">
        <is>
          <t>Next-fastest time supplied in user workbook; swimmer name not yet supplied.</t>
        </is>
      </c>
    </row>
    <row r="366" ht="15" customHeight="1" s="17">
      <c r="A366" s="30" t="inlineStr">
        <is>
          <t>NZ|LCM|F|15|50 Breast</t>
        </is>
      </c>
      <c r="B366" s="30" t="inlineStr">
        <is>
          <t>LCM</t>
        </is>
      </c>
      <c r="C366" s="30" t="inlineStr">
        <is>
          <t>Female</t>
        </is>
      </c>
      <c r="D366" s="30" t="n">
        <v>15</v>
      </c>
      <c r="E366" s="30" t="inlineStr">
        <is>
          <t>50 Breast</t>
        </is>
      </c>
      <c r="F366" s="30" t="inlineStr">
        <is>
          <t>Monique Wieruszowski</t>
        </is>
      </c>
      <c r="G366" s="22" t="inlineStr">
        <is>
          <t>Monique Wieruszowski</t>
        </is>
      </c>
      <c r="H366" s="22" t="n"/>
      <c r="I366" s="30" t="inlineStr">
        <is>
          <t>30.67</t>
        </is>
      </c>
      <c r="J366" s="22">
        <f>IF(I366="","",IF(ISNUMBER(SEARCH(":",I366)),VALUE(LEFT(I366,SEARCH(":",I366)-1))*60+VALUE(MID(I366,SEARCH(":",I366)+1,99)),VALUE(I366)))</f>
        <v/>
      </c>
      <c r="K366" s="30" t="inlineStr">
        <is>
          <t>16.04.23</t>
        </is>
      </c>
      <c r="L366" s="30" t="inlineStr">
        <is>
          <t>Swimming New Zealand Long Course Records by Age - user-supplied PDF</t>
        </is>
      </c>
      <c r="M366" s="30" t="n"/>
      <c r="N366" s="30" t="inlineStr">
        <is>
          <t>NO</t>
        </is>
      </c>
      <c r="O366" s="30" t="inlineStr">
        <is>
          <t>YES</t>
        </is>
      </c>
      <c r="P366" s="30" t="inlineStr">
        <is>
          <t>Chloe Francis</t>
        </is>
      </c>
      <c r="Q366" s="30" t="inlineStr">
        <is>
          <t>32.23</t>
        </is>
      </c>
      <c r="R366" s="22">
        <f>IF(Q366="","",IF(ISNUMBER(SEARCH(":",Q366)),VALUE(LEFT(Q366,SEARCH(":",Q366)-1))*60+VALUE(MID(Q366,SEARCH(":",Q366)+1,99)),VALUE(Q366)))</f>
        <v/>
      </c>
      <c r="S366" s="39">
        <f>IF(OR(J366="",R366=""),"",(R366-J366)/R366)</f>
        <v/>
      </c>
      <c r="T366" s="22">
        <f>IF(OR(P366&lt;&gt;"",N366="YES"),"YES","NO")</f>
        <v/>
      </c>
      <c r="U366" s="22">
        <f>IF(AND(O366="YES",T366="YES",S366&lt;&gt;""),COUNTIFS($C$5:$C$424,C366,$S$5:$S$424,"&gt;"&amp;S366)+COUNTIFS($C$5:C366,C366,$S$5:S366,S366),"")</f>
        <v/>
      </c>
      <c r="V366" s="22">
        <f>IF(U366="","",C366&amp;"|"&amp;U366)</f>
        <v/>
      </c>
      <c r="W366" s="30" t="n"/>
      <c r="X366" s="30" t="inlineStr">
        <is>
          <t>Next-fastest time supplied in user workbook; swimmer name not yet supplied.</t>
        </is>
      </c>
    </row>
    <row r="367" ht="15" customHeight="1" s="17">
      <c r="A367" s="30" t="inlineStr">
        <is>
          <t>NZ|LCM|F|15|100 Breast</t>
        </is>
      </c>
      <c r="B367" s="30" t="inlineStr">
        <is>
          <t>LCM</t>
        </is>
      </c>
      <c r="C367" s="30" t="inlineStr">
        <is>
          <t>Female</t>
        </is>
      </c>
      <c r="D367" s="30" t="n">
        <v>15</v>
      </c>
      <c r="E367" s="30" t="inlineStr">
        <is>
          <t>100 Breast</t>
        </is>
      </c>
      <c r="F367" s="30" t="inlineStr">
        <is>
          <t>Monique Wieruszowski</t>
        </is>
      </c>
      <c r="G367" s="22" t="inlineStr">
        <is>
          <t>Monique Wieruszowski</t>
        </is>
      </c>
      <c r="H367" s="22" t="n"/>
      <c r="I367" s="30" t="inlineStr">
        <is>
          <t>1:09.06</t>
        </is>
      </c>
      <c r="J367" s="22">
        <f>IF(I367="","",IF(ISNUMBER(SEARCH(":",I367)),VALUE(LEFT(I367,SEARCH(":",I367)-1))*60+VALUE(MID(I367,SEARCH(":",I367)+1,99)),VALUE(I367)))</f>
        <v/>
      </c>
      <c r="K367" s="30" t="inlineStr">
        <is>
          <t>02.04.23</t>
        </is>
      </c>
      <c r="L367" s="30" t="inlineStr">
        <is>
          <t>Swimming New Zealand Long Course Records by Age - user-supplied PDF</t>
        </is>
      </c>
      <c r="M367" s="30" t="n"/>
      <c r="N367" s="30" t="inlineStr">
        <is>
          <t>NO</t>
        </is>
      </c>
      <c r="O367" s="30" t="inlineStr">
        <is>
          <t>YES</t>
        </is>
      </c>
      <c r="P367" s="30" t="n"/>
      <c r="Q367" s="30" t="inlineStr">
        <is>
          <t>1:10.81</t>
        </is>
      </c>
      <c r="R367" s="22">
        <f>IF(Q367="","",IF(ISNUMBER(SEARCH(":",Q367)),VALUE(LEFT(Q367,SEARCH(":",Q367)-1))*60+VALUE(MID(Q367,SEARCH(":",Q367)+1,99)),VALUE(Q367)))</f>
        <v/>
      </c>
      <c r="S367" s="39">
        <f>IF(OR(J367="",R367=""),"",(R367-J367)/R367)</f>
        <v/>
      </c>
      <c r="T367" s="22">
        <f>IF(OR(P367&lt;&gt;"",N367="YES"),"YES","NO")</f>
        <v/>
      </c>
      <c r="U367" s="22">
        <f>IF(AND(O367="YES",T367="YES",S367&lt;&gt;""),COUNTIFS($C$5:$C$424,C367,$S$5:$S$424,"&gt;"&amp;S367)+COUNTIFS($C$5:C367,C367,$S$5:S367,S367),"")</f>
        <v/>
      </c>
      <c r="V367" s="22">
        <f>IF(U367="","",C367&amp;"|"&amp;U367)</f>
        <v/>
      </c>
      <c r="W367" s="30" t="n"/>
      <c r="X367" s="30" t="inlineStr">
        <is>
          <t>Next-fastest time supplied in user workbook; swimmer name not yet supplied.</t>
        </is>
      </c>
    </row>
    <row r="368" ht="15" customHeight="1" s="17">
      <c r="A368" s="30" t="inlineStr">
        <is>
          <t>NZ|LCM|F|15|200 Breast</t>
        </is>
      </c>
      <c r="B368" s="30" t="inlineStr">
        <is>
          <t>LCM</t>
        </is>
      </c>
      <c r="C368" s="30" t="inlineStr">
        <is>
          <t>Female</t>
        </is>
      </c>
      <c r="D368" s="30" t="n">
        <v>15</v>
      </c>
      <c r="E368" s="30" t="inlineStr">
        <is>
          <t>200 Breast</t>
        </is>
      </c>
      <c r="F368" s="30" t="inlineStr">
        <is>
          <t>Natasha Lloyd</t>
        </is>
      </c>
      <c r="G368" s="22" t="inlineStr">
        <is>
          <t>Natasha Lloyd</t>
        </is>
      </c>
      <c r="H368" s="22" t="n"/>
      <c r="I368" s="30" t="inlineStr">
        <is>
          <t>2:31.57</t>
        </is>
      </c>
      <c r="J368" s="22">
        <f>IF(I368="","",IF(ISNUMBER(SEARCH(":",I368)),VALUE(LEFT(I368,SEARCH(":",I368)-1))*60+VALUE(MID(I368,SEARCH(":",I368)+1,99)),VALUE(I368)))</f>
        <v/>
      </c>
      <c r="K368" s="30" t="inlineStr">
        <is>
          <t>22.04.11</t>
        </is>
      </c>
      <c r="L368" s="30" t="inlineStr">
        <is>
          <t>Swimming New Zealand Long Course Records by Age - user-supplied PDF</t>
        </is>
      </c>
      <c r="M368" s="30" t="n"/>
      <c r="N368" s="30" t="inlineStr">
        <is>
          <t>NO</t>
        </is>
      </c>
      <c r="O368" s="30" t="inlineStr">
        <is>
          <t>YES</t>
        </is>
      </c>
      <c r="P368" s="30" t="n"/>
      <c r="Q368" s="30" t="inlineStr">
        <is>
          <t>2:31.83</t>
        </is>
      </c>
      <c r="R368" s="22">
        <f>IF(Q368="","",IF(ISNUMBER(SEARCH(":",Q368)),VALUE(LEFT(Q368,SEARCH(":",Q368)-1))*60+VALUE(MID(Q368,SEARCH(":",Q368)+1,99)),VALUE(Q368)))</f>
        <v/>
      </c>
      <c r="S368" s="39">
        <f>IF(OR(J368="",R368=""),"",(R368-J368)/R368)</f>
        <v/>
      </c>
      <c r="T368" s="22">
        <f>IF(OR(P368&lt;&gt;"",N368="YES"),"YES","NO")</f>
        <v/>
      </c>
      <c r="U368" s="22">
        <f>IF(AND(O368="YES",T368="YES",S368&lt;&gt;""),COUNTIFS($C$5:$C$424,C368,$S$5:$S$424,"&gt;"&amp;S368)+COUNTIFS($C$5:C368,C368,$S$5:S368,S368),"")</f>
        <v/>
      </c>
      <c r="V368" s="22">
        <f>IF(U368="","",C368&amp;"|"&amp;U368)</f>
        <v/>
      </c>
      <c r="W368" s="30" t="n"/>
      <c r="X368" s="30" t="inlineStr">
        <is>
          <t>Next-fastest time supplied in user workbook; swimmer name not yet supplied.</t>
        </is>
      </c>
    </row>
    <row r="369" ht="15" customHeight="1" s="17">
      <c r="A369" s="30" t="inlineStr">
        <is>
          <t>NZ|LCM|F|15|50 Fly</t>
        </is>
      </c>
      <c r="B369" s="30" t="inlineStr">
        <is>
          <t>LCM</t>
        </is>
      </c>
      <c r="C369" s="30" t="inlineStr">
        <is>
          <t>Female</t>
        </is>
      </c>
      <c r="D369" s="30" t="n">
        <v>15</v>
      </c>
      <c r="E369" s="30" t="inlineStr">
        <is>
          <t>50 Fly</t>
        </is>
      </c>
      <c r="F369" s="30" t="inlineStr">
        <is>
          <t>Zoe Pedersen</t>
        </is>
      </c>
      <c r="G369" s="22" t="inlineStr">
        <is>
          <t>Zoe Pedersen</t>
        </is>
      </c>
      <c r="H369" s="22" t="n"/>
      <c r="I369" s="30" t="inlineStr">
        <is>
          <t>27.22</t>
        </is>
      </c>
      <c r="J369" s="22">
        <f>IF(I369="","",IF(ISNUMBER(SEARCH(":",I369)),VALUE(LEFT(I369,SEARCH(":",I369)-1))*60+VALUE(MID(I369,SEARCH(":",I369)+1,99)),VALUE(I369)))</f>
        <v/>
      </c>
      <c r="K369" s="30" t="inlineStr">
        <is>
          <t>02.04.23</t>
        </is>
      </c>
      <c r="L369" s="30" t="inlineStr">
        <is>
          <t>Swimming New Zealand Long Course Records by Age - user-supplied PDF</t>
        </is>
      </c>
      <c r="M369" s="30" t="n"/>
      <c r="N369" s="30" t="inlineStr">
        <is>
          <t>NO</t>
        </is>
      </c>
      <c r="O369" s="30" t="inlineStr">
        <is>
          <t>YES</t>
        </is>
      </c>
      <c r="P369" s="30" t="n"/>
      <c r="Q369" s="30" t="inlineStr">
        <is>
          <t>27.37</t>
        </is>
      </c>
      <c r="R369" s="22">
        <f>IF(Q369="","",IF(ISNUMBER(SEARCH(":",Q369)),VALUE(LEFT(Q369,SEARCH(":",Q369)-1))*60+VALUE(MID(Q369,SEARCH(":",Q369)+1,99)),VALUE(Q369)))</f>
        <v/>
      </c>
      <c r="S369" s="39">
        <f>IF(OR(J369="",R369=""),"",(R369-J369)/R369)</f>
        <v/>
      </c>
      <c r="T369" s="22">
        <f>IF(OR(P369&lt;&gt;"",N369="YES"),"YES","NO")</f>
        <v/>
      </c>
      <c r="U369" s="22">
        <f>IF(AND(O369="YES",T369="YES",S369&lt;&gt;""),COUNTIFS($C$5:$C$424,C369,$S$5:$S$424,"&gt;"&amp;S369)+COUNTIFS($C$5:C369,C369,$S$5:S369,S369),"")</f>
        <v/>
      </c>
      <c r="V369" s="22">
        <f>IF(U369="","",C369&amp;"|"&amp;U369)</f>
        <v/>
      </c>
      <c r="W369" s="30" t="n"/>
      <c r="X369" s="30" t="inlineStr">
        <is>
          <t>Next-fastest time supplied in user workbook; swimmer name not yet supplied.</t>
        </is>
      </c>
    </row>
    <row r="370" ht="15" customHeight="1" s="17">
      <c r="A370" s="30" t="inlineStr">
        <is>
          <t>NZ|LCM|F|15|100 Fly</t>
        </is>
      </c>
      <c r="B370" s="30" t="inlineStr">
        <is>
          <t>LCM</t>
        </is>
      </c>
      <c r="C370" s="30" t="inlineStr">
        <is>
          <t>Female</t>
        </is>
      </c>
      <c r="D370" s="30" t="n">
        <v>15</v>
      </c>
      <c r="E370" s="30" t="inlineStr">
        <is>
          <t>100 Fly</t>
        </is>
      </c>
      <c r="F370" s="30" t="inlineStr">
        <is>
          <t>Sophia Batchelor</t>
        </is>
      </c>
      <c r="G370" s="22" t="inlineStr">
        <is>
          <t>Sophia Batchelor</t>
        </is>
      </c>
      <c r="H370" s="22" t="n"/>
      <c r="I370" s="30" t="inlineStr">
        <is>
          <t>59.54</t>
        </is>
      </c>
      <c r="J370" s="22">
        <f>IF(I370="","",IF(ISNUMBER(SEARCH(":",I370)),VALUE(LEFT(I370,SEARCH(":",I370)-1))*60+VALUE(MID(I370,SEARCH(":",I370)+1,99)),VALUE(I370)))</f>
        <v/>
      </c>
      <c r="K370" s="30" t="inlineStr">
        <is>
          <t>03.04.11</t>
        </is>
      </c>
      <c r="L370" s="30" t="inlineStr">
        <is>
          <t>Swimming New Zealand Long Course Records by Age - user-supplied PDF</t>
        </is>
      </c>
      <c r="M370" s="30" t="n"/>
      <c r="N370" s="30" t="inlineStr">
        <is>
          <t>NO</t>
        </is>
      </c>
      <c r="O370" s="30" t="inlineStr">
        <is>
          <t>YES</t>
        </is>
      </c>
      <c r="P370" s="30" t="n"/>
      <c r="Q370" s="30" t="inlineStr">
        <is>
          <t>1:01.21</t>
        </is>
      </c>
      <c r="R370" s="22">
        <f>IF(Q370="","",IF(ISNUMBER(SEARCH(":",Q370)),VALUE(LEFT(Q370,SEARCH(":",Q370)-1))*60+VALUE(MID(Q370,SEARCH(":",Q370)+1,99)),VALUE(Q370)))</f>
        <v/>
      </c>
      <c r="S370" s="39">
        <f>IF(OR(J370="",R370=""),"",(R370-J370)/R370)</f>
        <v/>
      </c>
      <c r="T370" s="22">
        <f>IF(OR(P370&lt;&gt;"",N370="YES"),"YES","NO")</f>
        <v/>
      </c>
      <c r="U370" s="22">
        <f>IF(AND(O370="YES",T370="YES",S370&lt;&gt;""),COUNTIFS($C$5:$C$424,C370,$S$5:$S$424,"&gt;"&amp;S370)+COUNTIFS($C$5:C370,C370,$S$5:S370,S370),"")</f>
        <v/>
      </c>
      <c r="V370" s="22">
        <f>IF(U370="","",C370&amp;"|"&amp;U370)</f>
        <v/>
      </c>
      <c r="W370" s="30" t="n"/>
      <c r="X370" s="30" t="inlineStr">
        <is>
          <t>Next-fastest time supplied in user workbook; swimmer name not yet supplied.</t>
        </is>
      </c>
    </row>
    <row r="371" ht="15" customHeight="1" s="17">
      <c r="A371" s="30" t="inlineStr">
        <is>
          <t>NZ|LCM|F|15|200 Fly</t>
        </is>
      </c>
      <c r="B371" s="30" t="inlineStr">
        <is>
          <t>LCM</t>
        </is>
      </c>
      <c r="C371" s="30" t="inlineStr">
        <is>
          <t>Female</t>
        </is>
      </c>
      <c r="D371" s="30" t="n">
        <v>15</v>
      </c>
      <c r="E371" s="30" t="inlineStr">
        <is>
          <t>200 Fly</t>
        </is>
      </c>
      <c r="F371" s="30" t="inlineStr">
        <is>
          <t>Yeonsu Lee</t>
        </is>
      </c>
      <c r="G371" s="22" t="inlineStr">
        <is>
          <t>Yeonsu Lee</t>
        </is>
      </c>
      <c r="H371" s="22" t="n"/>
      <c r="I371" s="30" t="inlineStr">
        <is>
          <t>2:15.13</t>
        </is>
      </c>
      <c r="J371" s="22">
        <f>IF(I371="","",IF(ISNUMBER(SEARCH(":",I371)),VALUE(LEFT(I371,SEARCH(":",I371)-1))*60+VALUE(MID(I371,SEARCH(":",I371)+1,99)),VALUE(I371)))</f>
        <v/>
      </c>
      <c r="K371" s="30" t="inlineStr">
        <is>
          <t>08.02.15</t>
        </is>
      </c>
      <c r="L371" s="30" t="inlineStr">
        <is>
          <t>Swimming New Zealand Long Course Records by Age - user-supplied PDF</t>
        </is>
      </c>
      <c r="M371" s="30" t="n"/>
      <c r="N371" s="30" t="inlineStr">
        <is>
          <t>NO</t>
        </is>
      </c>
      <c r="O371" s="30" t="inlineStr">
        <is>
          <t>YES</t>
        </is>
      </c>
      <c r="P371" s="30" t="n"/>
      <c r="Q371" s="30" t="inlineStr">
        <is>
          <t>2:15.40</t>
        </is>
      </c>
      <c r="R371" s="22">
        <f>IF(Q371="","",IF(ISNUMBER(SEARCH(":",Q371)),VALUE(LEFT(Q371,SEARCH(":",Q371)-1))*60+VALUE(MID(Q371,SEARCH(":",Q371)+1,99)),VALUE(Q371)))</f>
        <v/>
      </c>
      <c r="S371" s="39">
        <f>IF(OR(J371="",R371=""),"",(R371-J371)/R371)</f>
        <v/>
      </c>
      <c r="T371" s="22">
        <f>IF(OR(P371&lt;&gt;"",N371="YES"),"YES","NO")</f>
        <v/>
      </c>
      <c r="U371" s="22">
        <f>IF(AND(O371="YES",T371="YES",S371&lt;&gt;""),COUNTIFS($C$5:$C$424,C371,$S$5:$S$424,"&gt;"&amp;S371)+COUNTIFS($C$5:C371,C371,$S$5:S371,S371),"")</f>
        <v/>
      </c>
      <c r="V371" s="22">
        <f>IF(U371="","",C371&amp;"|"&amp;U371)</f>
        <v/>
      </c>
      <c r="W371" s="30" t="n"/>
      <c r="X371" s="30" t="inlineStr">
        <is>
          <t>Next-fastest time supplied in user workbook; swimmer name not yet supplied.</t>
        </is>
      </c>
    </row>
    <row r="372" ht="15" customHeight="1" s="17">
      <c r="A372" s="30" t="inlineStr">
        <is>
          <t>NZ|LCM|F|15|200 IM</t>
        </is>
      </c>
      <c r="B372" s="30" t="inlineStr">
        <is>
          <t>LCM</t>
        </is>
      </c>
      <c r="C372" s="30" t="inlineStr">
        <is>
          <t>Female</t>
        </is>
      </c>
      <c r="D372" s="30" t="n">
        <v>15</v>
      </c>
      <c r="E372" s="30" t="inlineStr">
        <is>
          <t>200 IM</t>
        </is>
      </c>
      <c r="F372" s="30" t="inlineStr">
        <is>
          <t>Mya Rasmussen</t>
        </is>
      </c>
      <c r="G372" s="22" t="inlineStr">
        <is>
          <t>Mya Rasmussen</t>
        </is>
      </c>
      <c r="H372" s="22" t="n"/>
      <c r="I372" s="30" t="inlineStr">
        <is>
          <t>2:18.61</t>
        </is>
      </c>
      <c r="J372" s="22">
        <f>IF(I372="","",IF(ISNUMBER(SEARCH(":",I372)),VALUE(LEFT(I372,SEARCH(":",I372)-1))*60+VALUE(MID(I372,SEARCH(":",I372)+1,99)),VALUE(I372)))</f>
        <v/>
      </c>
      <c r="K372" s="30" t="inlineStr">
        <is>
          <t>02.04.16</t>
        </is>
      </c>
      <c r="L372" s="30" t="inlineStr">
        <is>
          <t>Swimming New Zealand Long Course Records by Age - user-supplied PDF</t>
        </is>
      </c>
      <c r="M372" s="30" t="n"/>
      <c r="N372" s="30" t="inlineStr">
        <is>
          <t>NO</t>
        </is>
      </c>
      <c r="O372" s="30" t="inlineStr">
        <is>
          <t>YES</t>
        </is>
      </c>
      <c r="P372" s="30" t="n"/>
      <c r="Q372" s="30" t="inlineStr">
        <is>
          <t>2:19.38</t>
        </is>
      </c>
      <c r="R372" s="22">
        <f>IF(Q372="","",IF(ISNUMBER(SEARCH(":",Q372)),VALUE(LEFT(Q372,SEARCH(":",Q372)-1))*60+VALUE(MID(Q372,SEARCH(":",Q372)+1,99)),VALUE(Q372)))</f>
        <v/>
      </c>
      <c r="S372" s="39">
        <f>IF(OR(J372="",R372=""),"",(R372-J372)/R372)</f>
        <v/>
      </c>
      <c r="T372" s="22">
        <f>IF(OR(P372&lt;&gt;"",N372="YES"),"YES","NO")</f>
        <v/>
      </c>
      <c r="U372" s="22">
        <f>IF(AND(O372="YES",T372="YES",S372&lt;&gt;""),COUNTIFS($C$5:$C$424,C372,$S$5:$S$424,"&gt;"&amp;S372)+COUNTIFS($C$5:C372,C372,$S$5:S372,S372),"")</f>
        <v/>
      </c>
      <c r="V372" s="22">
        <f>IF(U372="","",C372&amp;"|"&amp;U372)</f>
        <v/>
      </c>
      <c r="W372" s="30" t="n"/>
      <c r="X372" s="30" t="inlineStr">
        <is>
          <t>Next-fastest time supplied in user workbook; swimmer name not yet supplied.</t>
        </is>
      </c>
    </row>
    <row r="373" ht="15" customHeight="1" s="17">
      <c r="A373" s="30" t="inlineStr">
        <is>
          <t>NZ|LCM|F|15|400 IM</t>
        </is>
      </c>
      <c r="B373" s="30" t="inlineStr">
        <is>
          <t>LCM</t>
        </is>
      </c>
      <c r="C373" s="30" t="inlineStr">
        <is>
          <t>Female</t>
        </is>
      </c>
      <c r="D373" s="30" t="n">
        <v>15</v>
      </c>
      <c r="E373" s="30" t="inlineStr">
        <is>
          <t>400 IM</t>
        </is>
      </c>
      <c r="F373" s="30" t="inlineStr">
        <is>
          <t>Mya Rasmussen</t>
        </is>
      </c>
      <c r="G373" s="22" t="inlineStr">
        <is>
          <t>Mya Rasmussen</t>
        </is>
      </c>
      <c r="H373" s="22" t="n"/>
      <c r="I373" s="30" t="inlineStr">
        <is>
          <t>4:46.87</t>
        </is>
      </c>
      <c r="J373" s="22">
        <f>IF(I373="","",IF(ISNUMBER(SEARCH(":",I373)),VALUE(LEFT(I373,SEARCH(":",I373)-1))*60+VALUE(MID(I373,SEARCH(":",I373)+1,99)),VALUE(I373)))</f>
        <v/>
      </c>
      <c r="K373" s="30" t="inlineStr">
        <is>
          <t>31.03.16</t>
        </is>
      </c>
      <c r="L373" s="30" t="inlineStr">
        <is>
          <t>Swimming New Zealand Long Course Records by Age - user-supplied PDF</t>
        </is>
      </c>
      <c r="M373" s="30" t="n"/>
      <c r="N373" s="30" t="inlineStr">
        <is>
          <t>NO</t>
        </is>
      </c>
      <c r="O373" s="30" t="inlineStr">
        <is>
          <t>YES</t>
        </is>
      </c>
      <c r="P373" s="30" t="n"/>
      <c r="Q373" s="30" t="inlineStr">
        <is>
          <t>4:54.67</t>
        </is>
      </c>
      <c r="R373" s="22">
        <f>IF(Q373="","",IF(ISNUMBER(SEARCH(":",Q373)),VALUE(LEFT(Q373,SEARCH(":",Q373)-1))*60+VALUE(MID(Q373,SEARCH(":",Q373)+1,99)),VALUE(Q373)))</f>
        <v/>
      </c>
      <c r="S373" s="39">
        <f>IF(OR(J373="",R373=""),"",(R373-J373)/R373)</f>
        <v/>
      </c>
      <c r="T373" s="22">
        <f>IF(OR(P373&lt;&gt;"",N373="YES"),"YES","NO")</f>
        <v/>
      </c>
      <c r="U373" s="22">
        <f>IF(AND(O373="YES",T373="YES",S373&lt;&gt;""),COUNTIFS($C$5:$C$424,C373,$S$5:$S$424,"&gt;"&amp;S373)+COUNTIFS($C$5:C373,C373,$S$5:S373,S373),"")</f>
        <v/>
      </c>
      <c r="V373" s="22">
        <f>IF(U373="","",C373&amp;"|"&amp;U373)</f>
        <v/>
      </c>
      <c r="W373" s="30" t="n"/>
      <c r="X373" s="30" t="inlineStr">
        <is>
          <t>Next-fastest time supplied in user workbook; swimmer name not yet supplied.</t>
        </is>
      </c>
    </row>
    <row r="374" ht="15" customHeight="1" s="17">
      <c r="A374" s="30" t="inlineStr">
        <is>
          <t>NZ|LCM|F|16|50 Free</t>
        </is>
      </c>
      <c r="B374" s="30" t="inlineStr">
        <is>
          <t>LCM</t>
        </is>
      </c>
      <c r="C374" s="30" t="inlineStr">
        <is>
          <t>Female</t>
        </is>
      </c>
      <c r="D374" s="30" t="n">
        <v>16</v>
      </c>
      <c r="E374" s="30" t="inlineStr">
        <is>
          <t>50 Free</t>
        </is>
      </c>
      <c r="F374" s="30" t="inlineStr">
        <is>
          <t>Gabrielle Fa'amausili</t>
        </is>
      </c>
      <c r="G374" s="22" t="inlineStr">
        <is>
          <t>Gabrielle Fa'amausili</t>
        </is>
      </c>
      <c r="H374" s="22" t="n"/>
      <c r="I374" s="30" t="inlineStr">
        <is>
          <t>25.26</t>
        </is>
      </c>
      <c r="J374" s="22">
        <f>IF(I374="","",IF(ISNUMBER(SEARCH(":",I374)),VALUE(LEFT(I374,SEARCH(":",I374)-1))*60+VALUE(MID(I374,SEARCH(":",I374)+1,99)),VALUE(I374)))</f>
        <v/>
      </c>
      <c r="K374" s="30" t="inlineStr">
        <is>
          <t>24.08.16</t>
        </is>
      </c>
      <c r="L374" s="30" t="inlineStr">
        <is>
          <t>Swimming New Zealand Long Course Records by Age - user-supplied PDF</t>
        </is>
      </c>
      <c r="M374" s="30" t="n"/>
      <c r="N374" s="30" t="inlineStr">
        <is>
          <t>NO</t>
        </is>
      </c>
      <c r="O374" s="30" t="inlineStr">
        <is>
          <t>YES</t>
        </is>
      </c>
      <c r="P374" s="30" t="n"/>
      <c r="Q374" s="30" t="inlineStr">
        <is>
          <t>25.59</t>
        </is>
      </c>
      <c r="R374" s="22">
        <f>IF(Q374="","",IF(ISNUMBER(SEARCH(":",Q374)),VALUE(LEFT(Q374,SEARCH(":",Q374)-1))*60+VALUE(MID(Q374,SEARCH(":",Q374)+1,99)),VALUE(Q374)))</f>
        <v/>
      </c>
      <c r="S374" s="39">
        <f>IF(OR(J374="",R374=""),"",(R374-J374)/R374)</f>
        <v/>
      </c>
      <c r="T374" s="22">
        <f>IF(OR(P374&lt;&gt;"",N374="YES"),"YES","NO")</f>
        <v/>
      </c>
      <c r="U374" s="22">
        <f>IF(AND(O374="YES",T374="YES",S374&lt;&gt;""),COUNTIFS($C$5:$C$424,C374,$S$5:$S$424,"&gt;"&amp;S374)+COUNTIFS($C$5:C374,C374,$S$5:S374,S374),"")</f>
        <v/>
      </c>
      <c r="V374" s="22">
        <f>IF(U374="","",C374&amp;"|"&amp;U374)</f>
        <v/>
      </c>
      <c r="W374" s="30" t="n"/>
      <c r="X374" s="30" t="inlineStr">
        <is>
          <t>Next-fastest time supplied in user workbook; swimmer name not yet supplied.</t>
        </is>
      </c>
    </row>
    <row r="375" ht="15" customHeight="1" s="17">
      <c r="A375" s="30" t="inlineStr">
        <is>
          <t>NZ|LCM|F|16|100 Free</t>
        </is>
      </c>
      <c r="B375" s="30" t="inlineStr">
        <is>
          <t>LCM</t>
        </is>
      </c>
      <c r="C375" s="30" t="inlineStr">
        <is>
          <t>Female</t>
        </is>
      </c>
      <c r="D375" s="30" t="n">
        <v>16</v>
      </c>
      <c r="E375" s="30" t="inlineStr">
        <is>
          <t>100 Free</t>
        </is>
      </c>
      <c r="F375" s="30" t="inlineStr">
        <is>
          <t>Zoe Pedersen</t>
        </is>
      </c>
      <c r="G375" s="22" t="inlineStr">
        <is>
          <t>Zoe Pedersen</t>
        </is>
      </c>
      <c r="H375" s="22" t="n"/>
      <c r="I375" s="30" t="inlineStr">
        <is>
          <t>55.69</t>
        </is>
      </c>
      <c r="J375" s="22">
        <f>IF(I375="","",IF(ISNUMBER(SEARCH(":",I375)),VALUE(LEFT(I375,SEARCH(":",I375)-1))*60+VALUE(MID(I375,SEARCH(":",I375)+1,99)),VALUE(I375)))</f>
        <v/>
      </c>
      <c r="K375" s="30" t="inlineStr">
        <is>
          <t>05.09.23</t>
        </is>
      </c>
      <c r="L375" s="30" t="inlineStr">
        <is>
          <t>Swimming New Zealand Long Course Records by Age - user-supplied PDF</t>
        </is>
      </c>
      <c r="M375" s="30" t="n"/>
      <c r="N375" s="30" t="inlineStr">
        <is>
          <t>NO</t>
        </is>
      </c>
      <c r="O375" s="30" t="inlineStr">
        <is>
          <t>YES</t>
        </is>
      </c>
      <c r="P375" s="30" t="n"/>
      <c r="Q375" s="30" t="inlineStr">
        <is>
          <t>55.84</t>
        </is>
      </c>
      <c r="R375" s="22">
        <f>IF(Q375="","",IF(ISNUMBER(SEARCH(":",Q375)),VALUE(LEFT(Q375,SEARCH(":",Q375)-1))*60+VALUE(MID(Q375,SEARCH(":",Q375)+1,99)),VALUE(Q375)))</f>
        <v/>
      </c>
      <c r="S375" s="39">
        <f>IF(OR(J375="",R375=""),"",(R375-J375)/R375)</f>
        <v/>
      </c>
      <c r="T375" s="22">
        <f>IF(OR(P375&lt;&gt;"",N375="YES"),"YES","NO")</f>
        <v/>
      </c>
      <c r="U375" s="22">
        <f>IF(AND(O375="YES",T375="YES",S375&lt;&gt;""),COUNTIFS($C$5:$C$424,C375,$S$5:$S$424,"&gt;"&amp;S375)+COUNTIFS($C$5:C375,C375,$S$5:S375,S375),"")</f>
        <v/>
      </c>
      <c r="V375" s="22">
        <f>IF(U375="","",C375&amp;"|"&amp;U375)</f>
        <v/>
      </c>
      <c r="W375" s="30" t="n"/>
      <c r="X375" s="30" t="inlineStr">
        <is>
          <t>Next-fastest time supplied in user workbook; swimmer name not yet supplied.</t>
        </is>
      </c>
    </row>
    <row r="376" ht="15" customHeight="1" s="17">
      <c r="A376" s="30" t="inlineStr">
        <is>
          <t>NZ|LCM|F|16|200 Free</t>
        </is>
      </c>
      <c r="B376" s="30" t="inlineStr">
        <is>
          <t>LCM</t>
        </is>
      </c>
      <c r="C376" s="30" t="inlineStr">
        <is>
          <t>Female</t>
        </is>
      </c>
      <c r="D376" s="30" t="n">
        <v>16</v>
      </c>
      <c r="E376" s="30" t="inlineStr">
        <is>
          <t>200 Free</t>
        </is>
      </c>
      <c r="F376" s="30" t="inlineStr">
        <is>
          <t>Erika Fairweather</t>
        </is>
      </c>
      <c r="G376" s="22" t="inlineStr">
        <is>
          <t>Erika Fairweather</t>
        </is>
      </c>
      <c r="H376" s="22" t="n"/>
      <c r="I376" s="30" t="inlineStr">
        <is>
          <t>1:57.38</t>
        </is>
      </c>
      <c r="J376" s="22">
        <f>IF(I376="","",IF(ISNUMBER(SEARCH(":",I376)),VALUE(LEFT(I376,SEARCH(":",I376)-1))*60+VALUE(MID(I376,SEARCH(":",I376)+1,99)),VALUE(I376)))</f>
        <v/>
      </c>
      <c r="K376" s="30" t="inlineStr">
        <is>
          <t>11.12.20</t>
        </is>
      </c>
      <c r="L376" s="30" t="inlineStr">
        <is>
          <t>Swimming New Zealand Long Course Records by Age - user-supplied PDF</t>
        </is>
      </c>
      <c r="M376" s="30" t="n"/>
      <c r="N376" s="30" t="inlineStr">
        <is>
          <t>NO</t>
        </is>
      </c>
      <c r="O376" s="30" t="inlineStr">
        <is>
          <t>YES</t>
        </is>
      </c>
      <c r="P376" s="30" t="inlineStr">
        <is>
          <t>Chloe Francis</t>
        </is>
      </c>
      <c r="Q376" s="30" t="inlineStr">
        <is>
          <t>2:01.26</t>
        </is>
      </c>
      <c r="R376" s="22">
        <f>IF(Q376="","",IF(ISNUMBER(SEARCH(":",Q376)),VALUE(LEFT(Q376,SEARCH(":",Q376)-1))*60+VALUE(MID(Q376,SEARCH(":",Q376)+1,99)),VALUE(Q376)))</f>
        <v/>
      </c>
      <c r="S376" s="39">
        <f>IF(OR(J376="",R376=""),"",(R376-J376)/R376)</f>
        <v/>
      </c>
      <c r="T376" s="22">
        <f>IF(OR(P376&lt;&gt;"",N376="YES"),"YES","NO")</f>
        <v/>
      </c>
      <c r="U376" s="22">
        <f>IF(AND(O376="YES",T376="YES",S376&lt;&gt;""),COUNTIFS($C$5:$C$424,C376,$S$5:$S$424,"&gt;"&amp;S376)+COUNTIFS($C$5:C376,C376,$S$5:S376,S376),"")</f>
        <v/>
      </c>
      <c r="V376" s="22">
        <f>IF(U376="","",C376&amp;"|"&amp;U376)</f>
        <v/>
      </c>
      <c r="W376" s="30" t="n"/>
      <c r="X376" s="30" t="inlineStr">
        <is>
          <t>Next-fastest time supplied in user workbook; swimmer name not yet supplied.</t>
        </is>
      </c>
    </row>
    <row r="377" ht="15" customHeight="1" s="17">
      <c r="A377" s="30" t="inlineStr">
        <is>
          <t>NZ|LCM|F|16|400 Free</t>
        </is>
      </c>
      <c r="B377" s="30" t="inlineStr">
        <is>
          <t>LCM</t>
        </is>
      </c>
      <c r="C377" s="30" t="inlineStr">
        <is>
          <t>Female</t>
        </is>
      </c>
      <c r="D377" s="30" t="n">
        <v>16</v>
      </c>
      <c r="E377" s="30" t="inlineStr">
        <is>
          <t>400 Free</t>
        </is>
      </c>
      <c r="F377" s="30" t="inlineStr">
        <is>
          <t>Erika Fairweather</t>
        </is>
      </c>
      <c r="G377" s="22" t="inlineStr">
        <is>
          <t>Erika Fairweather</t>
        </is>
      </c>
      <c r="H377" s="22" t="n"/>
      <c r="I377" s="30" t="inlineStr">
        <is>
          <t>4:07.23</t>
        </is>
      </c>
      <c r="J377" s="22">
        <f>IF(I377="","",IF(ISNUMBER(SEARCH(":",I377)),VALUE(LEFT(I377,SEARCH(":",I377)-1))*60+VALUE(MID(I377,SEARCH(":",I377)+1,99)),VALUE(I377)))</f>
        <v/>
      </c>
      <c r="K377" s="30" t="inlineStr">
        <is>
          <t>15.02.20</t>
        </is>
      </c>
      <c r="L377" s="30" t="inlineStr">
        <is>
          <t>Swimming New Zealand Long Course Records by Age - user-supplied PDF</t>
        </is>
      </c>
      <c r="M377" s="30" t="n"/>
      <c r="N377" s="30" t="inlineStr">
        <is>
          <t>NO</t>
        </is>
      </c>
      <c r="O377" s="30" t="inlineStr">
        <is>
          <t>YES</t>
        </is>
      </c>
      <c r="P377" s="30" t="inlineStr">
        <is>
          <t>Chloe Francis</t>
        </is>
      </c>
      <c r="Q377" s="30" t="inlineStr">
        <is>
          <t>4:14.45</t>
        </is>
      </c>
      <c r="R377" s="22">
        <f>IF(Q377="","",IF(ISNUMBER(SEARCH(":",Q377)),VALUE(LEFT(Q377,SEARCH(":",Q377)-1))*60+VALUE(MID(Q377,SEARCH(":",Q377)+1,99)),VALUE(Q377)))</f>
        <v/>
      </c>
      <c r="S377" s="39">
        <f>IF(OR(J377="",R377=""),"",(R377-J377)/R377)</f>
        <v/>
      </c>
      <c r="T377" s="22">
        <f>IF(OR(P377&lt;&gt;"",N377="YES"),"YES","NO")</f>
        <v/>
      </c>
      <c r="U377" s="22">
        <f>IF(AND(O377="YES",T377="YES",S377&lt;&gt;""),COUNTIFS($C$5:$C$424,C377,$S$5:$S$424,"&gt;"&amp;S377)+COUNTIFS($C$5:C377,C377,$S$5:S377,S377),"")</f>
        <v/>
      </c>
      <c r="V377" s="22">
        <f>IF(U377="","",C377&amp;"|"&amp;U377)</f>
        <v/>
      </c>
      <c r="W377" s="30" t="n"/>
      <c r="X377" s="30" t="inlineStr">
        <is>
          <t>Next-fastest time supplied in user workbook; swimmer name not yet supplied.</t>
        </is>
      </c>
    </row>
    <row r="378" ht="15" customHeight="1" s="17">
      <c r="A378" s="30" t="inlineStr">
        <is>
          <t>NZ|LCM|F|16|800 Free</t>
        </is>
      </c>
      <c r="B378" s="30" t="inlineStr">
        <is>
          <t>LCM</t>
        </is>
      </c>
      <c r="C378" s="30" t="inlineStr">
        <is>
          <t>Female</t>
        </is>
      </c>
      <c r="D378" s="30" t="n">
        <v>16</v>
      </c>
      <c r="E378" s="30" t="inlineStr">
        <is>
          <t>800 Free</t>
        </is>
      </c>
      <c r="F378" s="30" t="inlineStr">
        <is>
          <t>Cara Baker</t>
        </is>
      </c>
      <c r="G378" s="22" t="inlineStr">
        <is>
          <t>Cara Baker</t>
        </is>
      </c>
      <c r="H378" s="22" t="n"/>
      <c r="I378" s="30" t="inlineStr">
        <is>
          <t>8:48.07</t>
        </is>
      </c>
      <c r="J378" s="22">
        <f>IF(I378="","",IF(ISNUMBER(SEARCH(":",I378)),VALUE(LEFT(I378,SEARCH(":",I378)-1))*60+VALUE(MID(I378,SEARCH(":",I378)+1,99)),VALUE(I378)))</f>
        <v/>
      </c>
      <c r="K378" s="30" t="inlineStr">
        <is>
          <t>03.04.07</t>
        </is>
      </c>
      <c r="L378" s="30" t="inlineStr">
        <is>
          <t>Swimming New Zealand Long Course Records by Age - user-supplied PDF</t>
        </is>
      </c>
      <c r="M378" s="30" t="n"/>
      <c r="N378" s="30" t="inlineStr">
        <is>
          <t>NO</t>
        </is>
      </c>
      <c r="O378" s="30" t="inlineStr">
        <is>
          <t>YES</t>
        </is>
      </c>
      <c r="P378" s="30" t="n"/>
      <c r="Q378" s="30" t="inlineStr">
        <is>
          <t>8:50.12</t>
        </is>
      </c>
      <c r="R378" s="22">
        <f>IF(Q378="","",IF(ISNUMBER(SEARCH(":",Q378)),VALUE(LEFT(Q378,SEARCH(":",Q378)-1))*60+VALUE(MID(Q378,SEARCH(":",Q378)+1,99)),VALUE(Q378)))</f>
        <v/>
      </c>
      <c r="S378" s="39">
        <f>IF(OR(J378="",R378=""),"",(R378-J378)/R378)</f>
        <v/>
      </c>
      <c r="T378" s="22">
        <f>IF(OR(P378&lt;&gt;"",N378="YES"),"YES","NO")</f>
        <v/>
      </c>
      <c r="U378" s="22">
        <f>IF(AND(O378="YES",T378="YES",S378&lt;&gt;""),COUNTIFS($C$5:$C$424,C378,$S$5:$S$424,"&gt;"&amp;S378)+COUNTIFS($C$5:C378,C378,$S$5:S378,S378),"")</f>
        <v/>
      </c>
      <c r="V378" s="22">
        <f>IF(U378="","",C378&amp;"|"&amp;U378)</f>
        <v/>
      </c>
      <c r="W378" s="30" t="n"/>
      <c r="X378" s="30" t="inlineStr">
        <is>
          <t>Next-fastest time supplied in user workbook; swimmer name not yet supplied.</t>
        </is>
      </c>
    </row>
    <row r="379" ht="15" customHeight="1" s="17">
      <c r="A379" s="30" t="inlineStr">
        <is>
          <t>NZ|LCM|F|16|1500 Free</t>
        </is>
      </c>
      <c r="B379" s="30" t="inlineStr">
        <is>
          <t>LCM</t>
        </is>
      </c>
      <c r="C379" s="30" t="inlineStr">
        <is>
          <t>Female</t>
        </is>
      </c>
      <c r="D379" s="30" t="n">
        <v>16</v>
      </c>
      <c r="E379" s="30" t="inlineStr">
        <is>
          <t>1500 Free</t>
        </is>
      </c>
      <c r="F379" s="30" t="inlineStr">
        <is>
          <t>Phoebe Williams</t>
        </is>
      </c>
      <c r="G379" s="22" t="inlineStr">
        <is>
          <t>Phoebe Williams</t>
        </is>
      </c>
      <c r="H379" s="22" t="n"/>
      <c r="I379" s="30" t="inlineStr">
        <is>
          <t>17:03.12</t>
        </is>
      </c>
      <c r="J379" s="22">
        <f>IF(I379="","",IF(ISNUMBER(SEARCH(":",I379)),VALUE(LEFT(I379,SEARCH(":",I379)-1))*60+VALUE(MID(I379,SEARCH(":",I379)+1,99)),VALUE(I379)))</f>
        <v/>
      </c>
      <c r="K379" s="30" t="inlineStr">
        <is>
          <t>13.08.09</t>
        </is>
      </c>
      <c r="L379" s="30" t="inlineStr">
        <is>
          <t>Swimming New Zealand Long Course Records by Age - user-supplied PDF</t>
        </is>
      </c>
      <c r="M379" s="30" t="n"/>
      <c r="N379" s="30" t="inlineStr">
        <is>
          <t>NO</t>
        </is>
      </c>
      <c r="O379" s="30" t="inlineStr">
        <is>
          <t>YES</t>
        </is>
      </c>
      <c r="P379" s="30" t="n"/>
      <c r="Q379" s="30" t="inlineStr">
        <is>
          <t>17:07.21</t>
        </is>
      </c>
      <c r="R379" s="22">
        <f>IF(Q379="","",IF(ISNUMBER(SEARCH(":",Q379)),VALUE(LEFT(Q379,SEARCH(":",Q379)-1))*60+VALUE(MID(Q379,SEARCH(":",Q379)+1,99)),VALUE(Q379)))</f>
        <v/>
      </c>
      <c r="S379" s="39">
        <f>IF(OR(J379="",R379=""),"",(R379-J379)/R379)</f>
        <v/>
      </c>
      <c r="T379" s="22">
        <f>IF(OR(P379&lt;&gt;"",N379="YES"),"YES","NO")</f>
        <v/>
      </c>
      <c r="U379" s="22">
        <f>IF(AND(O379="YES",T379="YES",S379&lt;&gt;""),COUNTIFS($C$5:$C$424,C379,$S$5:$S$424,"&gt;"&amp;S379)+COUNTIFS($C$5:C379,C379,$S$5:S379,S379),"")</f>
        <v/>
      </c>
      <c r="V379" s="22">
        <f>IF(U379="","",C379&amp;"|"&amp;U379)</f>
        <v/>
      </c>
      <c r="W379" s="30" t="n"/>
      <c r="X379" s="30" t="inlineStr">
        <is>
          <t>Next-fastest time supplied in user workbook; swimmer name not yet supplied.</t>
        </is>
      </c>
    </row>
    <row r="380" ht="15" customHeight="1" s="17">
      <c r="A380" s="30" t="inlineStr">
        <is>
          <t>NZ|LCM|F|16|50 Back</t>
        </is>
      </c>
      <c r="B380" s="30" t="inlineStr">
        <is>
          <t>LCM</t>
        </is>
      </c>
      <c r="C380" s="30" t="inlineStr">
        <is>
          <t>Female</t>
        </is>
      </c>
      <c r="D380" s="30" t="n">
        <v>16</v>
      </c>
      <c r="E380" s="30" t="inlineStr">
        <is>
          <t>50 Back</t>
        </is>
      </c>
      <c r="F380" s="30" t="inlineStr">
        <is>
          <t>Gabrielle Fa'amausili</t>
        </is>
      </c>
      <c r="G380" s="22" t="inlineStr">
        <is>
          <t>Gabrielle Fa'amausili</t>
        </is>
      </c>
      <c r="H380" s="22" t="n"/>
      <c r="I380" s="30" t="inlineStr">
        <is>
          <t>27.97</t>
        </is>
      </c>
      <c r="J380" s="22">
        <f>IF(I380="","",IF(ISNUMBER(SEARCH(":",I380)),VALUE(LEFT(I380,SEARCH(":",I380)-1))*60+VALUE(MID(I380,SEARCH(":",I380)+1,99)),VALUE(I380)))</f>
        <v/>
      </c>
      <c r="K380" s="30" t="inlineStr">
        <is>
          <t>29.03.16</t>
        </is>
      </c>
      <c r="L380" s="30" t="inlineStr">
        <is>
          <t>Swimming New Zealand Long Course Records by Age - user-supplied PDF</t>
        </is>
      </c>
      <c r="M380" s="30" t="n"/>
      <c r="N380" s="30" t="inlineStr">
        <is>
          <t>NO</t>
        </is>
      </c>
      <c r="O380" s="30" t="inlineStr">
        <is>
          <t>YES</t>
        </is>
      </c>
      <c r="P380" s="30" t="inlineStr">
        <is>
          <t>Milan Glintmeyer</t>
        </is>
      </c>
      <c r="Q380" s="30" t="inlineStr">
        <is>
          <t>28.56</t>
        </is>
      </c>
      <c r="R380" s="22">
        <f>IF(Q380="","",IF(ISNUMBER(SEARCH(":",Q380)),VALUE(LEFT(Q380,SEARCH(":",Q380)-1))*60+VALUE(MID(Q380,SEARCH(":",Q380)+1,99)),VALUE(Q380)))</f>
        <v/>
      </c>
      <c r="S380" s="39">
        <f>IF(OR(J380="",R380=""),"",(R380-J380)/R380)</f>
        <v/>
      </c>
      <c r="T380" s="22">
        <f>IF(OR(P380&lt;&gt;"",N380="YES"),"YES","NO")</f>
        <v/>
      </c>
      <c r="U380" s="22">
        <f>IF(AND(O380="YES",T380="YES",S380&lt;&gt;""),COUNTIFS($C$5:$C$424,C380,$S$5:$S$424,"&gt;"&amp;S380)+COUNTIFS($C$5:C380,C380,$S$5:S380,S380),"")</f>
        <v/>
      </c>
      <c r="V380" s="22">
        <f>IF(U380="","",C380&amp;"|"&amp;U380)</f>
        <v/>
      </c>
      <c r="W380" s="30" t="n"/>
      <c r="X380" s="30" t="inlineStr">
        <is>
          <t>Next-fastest time supplied in user workbook; swimmer name not yet supplied.</t>
        </is>
      </c>
    </row>
    <row r="381" ht="15" customHeight="1" s="17">
      <c r="A381" s="30" t="inlineStr">
        <is>
          <t>NZ|LCM|F|16|100 Back</t>
        </is>
      </c>
      <c r="B381" s="30" t="inlineStr">
        <is>
          <t>LCM</t>
        </is>
      </c>
      <c r="C381" s="30" t="inlineStr">
        <is>
          <t>Female</t>
        </is>
      </c>
      <c r="D381" s="30" t="n">
        <v>16</v>
      </c>
      <c r="E381" s="30" t="inlineStr">
        <is>
          <t>100 Back</t>
        </is>
      </c>
      <c r="F381" s="30" t="inlineStr">
        <is>
          <t>Gabrielle Fa'amausili</t>
        </is>
      </c>
      <c r="G381" s="22" t="inlineStr">
        <is>
          <t>Gabrielle Fa'amausili</t>
        </is>
      </c>
      <c r="H381" s="22" t="n"/>
      <c r="I381" s="30" t="inlineStr">
        <is>
          <t>1:00.76</t>
        </is>
      </c>
      <c r="J381" s="22">
        <f>IF(I381="","",IF(ISNUMBER(SEARCH(":",I381)),VALUE(LEFT(I381,SEARCH(":",I381)-1))*60+VALUE(MID(I381,SEARCH(":",I381)+1,99)),VALUE(I381)))</f>
        <v/>
      </c>
      <c r="K381" s="30" t="inlineStr">
        <is>
          <t>19.04.16</t>
        </is>
      </c>
      <c r="L381" s="30" t="inlineStr">
        <is>
          <t>Swimming New Zealand Long Course Records by Age - user-supplied PDF</t>
        </is>
      </c>
      <c r="M381" s="30" t="n"/>
      <c r="N381" s="30" t="inlineStr">
        <is>
          <t>NO</t>
        </is>
      </c>
      <c r="O381" s="30" t="inlineStr">
        <is>
          <t>YES</t>
        </is>
      </c>
      <c r="P381" s="30" t="n"/>
      <c r="Q381" s="30" t="inlineStr">
        <is>
          <t>1:00.82</t>
        </is>
      </c>
      <c r="R381" s="22">
        <f>IF(Q381="","",IF(ISNUMBER(SEARCH(":",Q381)),VALUE(LEFT(Q381,SEARCH(":",Q381)-1))*60+VALUE(MID(Q381,SEARCH(":",Q381)+1,99)),VALUE(Q381)))</f>
        <v/>
      </c>
      <c r="S381" s="39">
        <f>IF(OR(J381="",R381=""),"",(R381-J381)/R381)</f>
        <v/>
      </c>
      <c r="T381" s="22">
        <f>IF(OR(P381&lt;&gt;"",N381="YES"),"YES","NO")</f>
        <v/>
      </c>
      <c r="U381" s="22">
        <f>IF(AND(O381="YES",T381="YES",S381&lt;&gt;""),COUNTIFS($C$5:$C$424,C381,$S$5:$S$424,"&gt;"&amp;S381)+COUNTIFS($C$5:C381,C381,$S$5:S381,S381),"")</f>
        <v/>
      </c>
      <c r="V381" s="22">
        <f>IF(U381="","",C381&amp;"|"&amp;U381)</f>
        <v/>
      </c>
      <c r="W381" s="30" t="n"/>
      <c r="X381" s="30" t="inlineStr">
        <is>
          <t>Next-fastest time supplied in user workbook; swimmer name not yet supplied.</t>
        </is>
      </c>
    </row>
    <row r="382" ht="15" customHeight="1" s="17">
      <c r="A382" s="30" t="inlineStr">
        <is>
          <t>NZ|LCM|F|16|200 Back</t>
        </is>
      </c>
      <c r="B382" s="30" t="inlineStr">
        <is>
          <t>LCM</t>
        </is>
      </c>
      <c r="C382" s="30" t="inlineStr">
        <is>
          <t>Female</t>
        </is>
      </c>
      <c r="D382" s="30" t="n">
        <v>16</v>
      </c>
      <c r="E382" s="30" t="inlineStr">
        <is>
          <t>200 Back</t>
        </is>
      </c>
      <c r="F382" s="30" t="inlineStr">
        <is>
          <t>Bobbi Gichard</t>
        </is>
      </c>
      <c r="G382" s="22" t="inlineStr">
        <is>
          <t>Bobbi Gichard</t>
        </is>
      </c>
      <c r="H382" s="22" t="n"/>
      <c r="I382" s="30" t="inlineStr">
        <is>
          <t>2:11.93</t>
        </is>
      </c>
      <c r="J382" s="22">
        <f>IF(I382="","",IF(ISNUMBER(SEARCH(":",I382)),VALUE(LEFT(I382,SEARCH(":",I382)-1))*60+VALUE(MID(I382,SEARCH(":",I382)+1,99)),VALUE(I382)))</f>
        <v/>
      </c>
      <c r="K382" s="30" t="inlineStr">
        <is>
          <t>01.04.16</t>
        </is>
      </c>
      <c r="L382" s="30" t="inlineStr">
        <is>
          <t>Swimming New Zealand Long Course Records by Age - user-supplied PDF</t>
        </is>
      </c>
      <c r="M382" s="30" t="n"/>
      <c r="N382" s="30" t="inlineStr">
        <is>
          <t>NO</t>
        </is>
      </c>
      <c r="O382" s="30" t="inlineStr">
        <is>
          <t>YES</t>
        </is>
      </c>
      <c r="P382" s="30" t="n"/>
      <c r="Q382" s="30" t="inlineStr">
        <is>
          <t>2:12.31</t>
        </is>
      </c>
      <c r="R382" s="22">
        <f>IF(Q382="","",IF(ISNUMBER(SEARCH(":",Q382)),VALUE(LEFT(Q382,SEARCH(":",Q382)-1))*60+VALUE(MID(Q382,SEARCH(":",Q382)+1,99)),VALUE(Q382)))</f>
        <v/>
      </c>
      <c r="S382" s="39">
        <f>IF(OR(J382="",R382=""),"",(R382-J382)/R382)</f>
        <v/>
      </c>
      <c r="T382" s="22">
        <f>IF(OR(P382&lt;&gt;"",N382="YES"),"YES","NO")</f>
        <v/>
      </c>
      <c r="U382" s="22">
        <f>IF(AND(O382="YES",T382="YES",S382&lt;&gt;""),COUNTIFS($C$5:$C$424,C382,$S$5:$S$424,"&gt;"&amp;S382)+COUNTIFS($C$5:C382,C382,$S$5:S382,S382),"")</f>
        <v/>
      </c>
      <c r="V382" s="22">
        <f>IF(U382="","",C382&amp;"|"&amp;U382)</f>
        <v/>
      </c>
      <c r="W382" s="30" t="n"/>
      <c r="X382" s="30" t="inlineStr">
        <is>
          <t>Next-fastest time supplied in user workbook; swimmer name not yet supplied.</t>
        </is>
      </c>
    </row>
    <row r="383" ht="15" customHeight="1" s="17">
      <c r="A383" s="30" t="inlineStr">
        <is>
          <t>NZ|LCM|F|16|50 Breast</t>
        </is>
      </c>
      <c r="B383" s="30" t="inlineStr">
        <is>
          <t>LCM</t>
        </is>
      </c>
      <c r="C383" s="30" t="inlineStr">
        <is>
          <t>Female</t>
        </is>
      </c>
      <c r="D383" s="30" t="n">
        <v>16</v>
      </c>
      <c r="E383" s="30" t="inlineStr">
        <is>
          <t>50 Breast</t>
        </is>
      </c>
      <c r="F383" s="30" t="inlineStr">
        <is>
          <t>Monique Wieruszowski</t>
        </is>
      </c>
      <c r="G383" s="22" t="inlineStr">
        <is>
          <t>Monique Wieruszowski</t>
        </is>
      </c>
      <c r="H383" s="22" t="n"/>
      <c r="I383" s="30" t="inlineStr">
        <is>
          <t>30.38</t>
        </is>
      </c>
      <c r="J383" s="22">
        <f>IF(I383="","",IF(ISNUMBER(SEARCH(":",I383)),VALUE(LEFT(I383,SEARCH(":",I383)-1))*60+VALUE(MID(I383,SEARCH(":",I383)+1,99)),VALUE(I383)))</f>
        <v/>
      </c>
      <c r="K383" s="30" t="inlineStr">
        <is>
          <t>13.04.24</t>
        </is>
      </c>
      <c r="L383" s="30" t="inlineStr">
        <is>
          <t>Swimming New Zealand Long Course Records by Age - user-supplied PDF</t>
        </is>
      </c>
      <c r="M383" s="30" t="n"/>
      <c r="N383" s="30" t="inlineStr">
        <is>
          <t>NO</t>
        </is>
      </c>
      <c r="O383" s="30" t="inlineStr">
        <is>
          <t>YES</t>
        </is>
      </c>
      <c r="P383" s="30" t="inlineStr">
        <is>
          <t>Brearna Crawford</t>
        </is>
      </c>
      <c r="Q383" s="30" t="inlineStr">
        <is>
          <t>32.23</t>
        </is>
      </c>
      <c r="R383" s="22">
        <f>IF(Q383="","",IF(ISNUMBER(SEARCH(":",Q383)),VALUE(LEFT(Q383,SEARCH(":",Q383)-1))*60+VALUE(MID(Q383,SEARCH(":",Q383)+1,99)),VALUE(Q383)))</f>
        <v/>
      </c>
      <c r="S383" s="39">
        <f>IF(OR(J383="",R383=""),"",(R383-J383)/R383)</f>
        <v/>
      </c>
      <c r="T383" s="22">
        <f>IF(OR(P383&lt;&gt;"",N383="YES"),"YES","NO")</f>
        <v/>
      </c>
      <c r="U383" s="22">
        <f>IF(AND(O383="YES",T383="YES",S383&lt;&gt;""),COUNTIFS($C$5:$C$424,C383,$S$5:$S$424,"&gt;"&amp;S383)+COUNTIFS($C$5:C383,C383,$S$5:S383,S383),"")</f>
        <v/>
      </c>
      <c r="V383" s="22">
        <f>IF(U383="","",C383&amp;"|"&amp;U383)</f>
        <v/>
      </c>
      <c r="W383" s="30" t="n"/>
      <c r="X383" s="30" t="inlineStr">
        <is>
          <t>Next-fastest time supplied in user workbook; swimmer name not yet supplied.</t>
        </is>
      </c>
    </row>
    <row r="384" ht="15" customHeight="1" s="17">
      <c r="A384" s="30" t="inlineStr">
        <is>
          <t>NZ|LCM|F|16|100 Breast</t>
        </is>
      </c>
      <c r="B384" s="30" t="inlineStr">
        <is>
          <t>LCM</t>
        </is>
      </c>
      <c r="C384" s="30" t="inlineStr">
        <is>
          <t>Female</t>
        </is>
      </c>
      <c r="D384" s="30" t="n">
        <v>16</v>
      </c>
      <c r="E384" s="30" t="inlineStr">
        <is>
          <t>100 Breast</t>
        </is>
      </c>
      <c r="F384" s="30" t="inlineStr">
        <is>
          <t>Monique Wieruszowski</t>
        </is>
      </c>
      <c r="G384" s="22" t="inlineStr">
        <is>
          <t>Monique Wieruszowski</t>
        </is>
      </c>
      <c r="H384" s="22" t="n"/>
      <c r="I384" s="30" t="inlineStr">
        <is>
          <t>1:07.67</t>
        </is>
      </c>
      <c r="J384" s="22">
        <f>IF(I384="","",IF(ISNUMBER(SEARCH(":",I384)),VALUE(LEFT(I384,SEARCH(":",I384)-1))*60+VALUE(MID(I384,SEARCH(":",I384)+1,99)),VALUE(I384)))</f>
        <v/>
      </c>
      <c r="K384" s="30" t="inlineStr">
        <is>
          <t>15.03.24</t>
        </is>
      </c>
      <c r="L384" s="30" t="inlineStr">
        <is>
          <t>Swimming New Zealand Long Course Records by Age - user-supplied PDF</t>
        </is>
      </c>
      <c r="M384" s="30" t="n"/>
      <c r="N384" s="30" t="inlineStr">
        <is>
          <t>NO</t>
        </is>
      </c>
      <c r="O384" s="30" t="inlineStr">
        <is>
          <t>YES</t>
        </is>
      </c>
      <c r="P384" s="30" t="inlineStr">
        <is>
          <t>Brearna Crawford</t>
        </is>
      </c>
      <c r="Q384" s="30" t="inlineStr">
        <is>
          <t>1:09.98</t>
        </is>
      </c>
      <c r="R384" s="22">
        <f>IF(Q384="","",IF(ISNUMBER(SEARCH(":",Q384)),VALUE(LEFT(Q384,SEARCH(":",Q384)-1))*60+VALUE(MID(Q384,SEARCH(":",Q384)+1,99)),VALUE(Q384)))</f>
        <v/>
      </c>
      <c r="S384" s="39">
        <f>IF(OR(J384="",R384=""),"",(R384-J384)/R384)</f>
        <v/>
      </c>
      <c r="T384" s="22">
        <f>IF(OR(P384&lt;&gt;"",N384="YES"),"YES","NO")</f>
        <v/>
      </c>
      <c r="U384" s="22">
        <f>IF(AND(O384="YES",T384="YES",S384&lt;&gt;""),COUNTIFS($C$5:$C$424,C384,$S$5:$S$424,"&gt;"&amp;S384)+COUNTIFS($C$5:C384,C384,$S$5:S384,S384),"")</f>
        <v/>
      </c>
      <c r="V384" s="22">
        <f>IF(U384="","",C384&amp;"|"&amp;U384)</f>
        <v/>
      </c>
      <c r="W384" s="30" t="n"/>
      <c r="X384" s="30" t="inlineStr">
        <is>
          <t>Next-fastest time supplied in user workbook; swimmer name not yet supplied.</t>
        </is>
      </c>
    </row>
    <row r="385" ht="15" customHeight="1" s="17">
      <c r="A385" s="30" t="inlineStr">
        <is>
          <t>NZ|LCM|F|16|200 Breast</t>
        </is>
      </c>
      <c r="B385" s="30" t="inlineStr">
        <is>
          <t>LCM</t>
        </is>
      </c>
      <c r="C385" s="30" t="inlineStr">
        <is>
          <t>Female</t>
        </is>
      </c>
      <c r="D385" s="30" t="n">
        <v>16</v>
      </c>
      <c r="E385" s="30" t="inlineStr">
        <is>
          <t>200 Breast</t>
        </is>
      </c>
      <c r="F385" s="30" t="inlineStr">
        <is>
          <t>Brearna Crawford</t>
        </is>
      </c>
      <c r="G385" s="22" t="inlineStr">
        <is>
          <t>Brearna Crawford</t>
        </is>
      </c>
      <c r="H385" s="22" t="n"/>
      <c r="I385" s="30" t="inlineStr">
        <is>
          <t>2:30.05</t>
        </is>
      </c>
      <c r="J385" s="22">
        <f>IF(I385="","",IF(ISNUMBER(SEARCH(":",I385)),VALUE(LEFT(I385,SEARCH(":",I385)-1))*60+VALUE(MID(I385,SEARCH(":",I385)+1,99)),VALUE(I385)))</f>
        <v/>
      </c>
      <c r="K385" s="30" t="inlineStr">
        <is>
          <t>17.04.19</t>
        </is>
      </c>
      <c r="L385" s="30" t="inlineStr">
        <is>
          <t>Swimming New Zealand Long Course Records by Age - user-supplied PDF</t>
        </is>
      </c>
      <c r="M385" s="30" t="n"/>
      <c r="N385" s="30" t="inlineStr">
        <is>
          <t>NO</t>
        </is>
      </c>
      <c r="O385" s="30" t="inlineStr">
        <is>
          <t>YES</t>
        </is>
      </c>
      <c r="P385" s="30" t="n"/>
      <c r="Q385" s="30" t="inlineStr">
        <is>
          <t>2:30.54</t>
        </is>
      </c>
      <c r="R385" s="22">
        <f>IF(Q385="","",IF(ISNUMBER(SEARCH(":",Q385)),VALUE(LEFT(Q385,SEARCH(":",Q385)-1))*60+VALUE(MID(Q385,SEARCH(":",Q385)+1,99)),VALUE(Q385)))</f>
        <v/>
      </c>
      <c r="S385" s="39">
        <f>IF(OR(J385="",R385=""),"",(R385-J385)/R385)</f>
        <v/>
      </c>
      <c r="T385" s="22">
        <f>IF(OR(P385&lt;&gt;"",N385="YES"),"YES","NO")</f>
        <v/>
      </c>
      <c r="U385" s="22">
        <f>IF(AND(O385="YES",T385="YES",S385&lt;&gt;""),COUNTIFS($C$5:$C$424,C385,$S$5:$S$424,"&gt;"&amp;S385)+COUNTIFS($C$5:C385,C385,$S$5:S385,S385),"")</f>
        <v/>
      </c>
      <c r="V385" s="22">
        <f>IF(U385="","",C385&amp;"|"&amp;U385)</f>
        <v/>
      </c>
      <c r="W385" s="30" t="n"/>
      <c r="X385" s="30" t="inlineStr">
        <is>
          <t>Next-fastest time supplied in user workbook; swimmer name not yet supplied.</t>
        </is>
      </c>
    </row>
    <row r="386" ht="15" customHeight="1" s="17">
      <c r="A386" s="30" t="inlineStr">
        <is>
          <t>NZ|LCM|F|16|50 Fly</t>
        </is>
      </c>
      <c r="B386" s="30" t="inlineStr">
        <is>
          <t>LCM</t>
        </is>
      </c>
      <c r="C386" s="30" t="inlineStr">
        <is>
          <t>Female</t>
        </is>
      </c>
      <c r="D386" s="30" t="n">
        <v>16</v>
      </c>
      <c r="E386" s="30" t="inlineStr">
        <is>
          <t>50 Fly</t>
        </is>
      </c>
      <c r="F386" s="30" t="inlineStr">
        <is>
          <t>Zoe Pedersen</t>
        </is>
      </c>
      <c r="G386" s="22" t="inlineStr">
        <is>
          <t>Zoe Pedersen</t>
        </is>
      </c>
      <c r="H386" s="22" t="n"/>
      <c r="I386" s="30" t="inlineStr">
        <is>
          <t>26.61</t>
        </is>
      </c>
      <c r="J386" s="22">
        <f>IF(I386="","",IF(ISNUMBER(SEARCH(":",I386)),VALUE(LEFT(I386,SEARCH(":",I386)-1))*60+VALUE(MID(I386,SEARCH(":",I386)+1,99)),VALUE(I386)))</f>
        <v/>
      </c>
      <c r="K386" s="30" t="inlineStr">
        <is>
          <t>10.04.24</t>
        </is>
      </c>
      <c r="L386" s="30" t="inlineStr">
        <is>
          <t>Swimming New Zealand Long Course Records by Age - user-supplied PDF</t>
        </is>
      </c>
      <c r="M386" s="30" t="n"/>
      <c r="N386" s="30" t="inlineStr">
        <is>
          <t>NO</t>
        </is>
      </c>
      <c r="O386" s="30" t="inlineStr">
        <is>
          <t>YES</t>
        </is>
      </c>
      <c r="P386" s="30" t="n"/>
      <c r="Q386" s="30" t="inlineStr">
        <is>
          <t>26.92</t>
        </is>
      </c>
      <c r="R386" s="22">
        <f>IF(Q386="","",IF(ISNUMBER(SEARCH(":",Q386)),VALUE(LEFT(Q386,SEARCH(":",Q386)-1))*60+VALUE(MID(Q386,SEARCH(":",Q386)+1,99)),VALUE(Q386)))</f>
        <v/>
      </c>
      <c r="S386" s="39">
        <f>IF(OR(J386="",R386=""),"",(R386-J386)/R386)</f>
        <v/>
      </c>
      <c r="T386" s="22">
        <f>IF(OR(P386&lt;&gt;"",N386="YES"),"YES","NO")</f>
        <v/>
      </c>
      <c r="U386" s="22">
        <f>IF(AND(O386="YES",T386="YES",S386&lt;&gt;""),COUNTIFS($C$5:$C$424,C386,$S$5:$S$424,"&gt;"&amp;S386)+COUNTIFS($C$5:C386,C386,$S$5:S386,S386),"")</f>
        <v/>
      </c>
      <c r="V386" s="22">
        <f>IF(U386="","",C386&amp;"|"&amp;U386)</f>
        <v/>
      </c>
      <c r="W386" s="30" t="n"/>
      <c r="X386" s="30" t="inlineStr">
        <is>
          <t>Next-fastest time supplied in user workbook; swimmer name not yet supplied.</t>
        </is>
      </c>
    </row>
    <row r="387" ht="15" customHeight="1" s="17">
      <c r="A387" s="30" t="inlineStr">
        <is>
          <t>NZ|LCM|F|16|100 Fly</t>
        </is>
      </c>
      <c r="B387" s="30" t="inlineStr">
        <is>
          <t>LCM</t>
        </is>
      </c>
      <c r="C387" s="30" t="inlineStr">
        <is>
          <t>Female</t>
        </is>
      </c>
      <c r="D387" s="30" t="n">
        <v>16</v>
      </c>
      <c r="E387" s="30" t="inlineStr">
        <is>
          <t>100 Fly</t>
        </is>
      </c>
      <c r="F387" s="30" t="inlineStr">
        <is>
          <t>Sophia Batchelor</t>
        </is>
      </c>
      <c r="G387" s="22" t="inlineStr">
        <is>
          <t>Sophia Batchelor</t>
        </is>
      </c>
      <c r="H387" s="22" t="n"/>
      <c r="I387" s="30" t="inlineStr">
        <is>
          <t>58.71</t>
        </is>
      </c>
      <c r="J387" s="22">
        <f>IF(I387="","",IF(ISNUMBER(SEARCH(":",I387)),VALUE(LEFT(I387,SEARCH(":",I387)-1))*60+VALUE(MID(I387,SEARCH(":",I387)+1,99)),VALUE(I387)))</f>
        <v/>
      </c>
      <c r="K387" s="30" t="inlineStr">
        <is>
          <t>25.03.12</t>
        </is>
      </c>
      <c r="L387" s="30" t="inlineStr">
        <is>
          <t>Swimming New Zealand Long Course Records by Age - user-supplied PDF</t>
        </is>
      </c>
      <c r="M387" s="30" t="n"/>
      <c r="N387" s="30" t="inlineStr">
        <is>
          <t>NO</t>
        </is>
      </c>
      <c r="O387" s="30" t="inlineStr">
        <is>
          <t>YES</t>
        </is>
      </c>
      <c r="P387" s="30" t="inlineStr">
        <is>
          <t>Milan Glintmeyer</t>
        </is>
      </c>
      <c r="Q387" s="30" t="inlineStr">
        <is>
          <t>59.99</t>
        </is>
      </c>
      <c r="R387" s="22">
        <f>IF(Q387="","",IF(ISNUMBER(SEARCH(":",Q387)),VALUE(LEFT(Q387,SEARCH(":",Q387)-1))*60+VALUE(MID(Q387,SEARCH(":",Q387)+1,99)),VALUE(Q387)))</f>
        <v/>
      </c>
      <c r="S387" s="39">
        <f>IF(OR(J387="",R387=""),"",(R387-J387)/R387)</f>
        <v/>
      </c>
      <c r="T387" s="22">
        <f>IF(OR(P387&lt;&gt;"",N387="YES"),"YES","NO")</f>
        <v/>
      </c>
      <c r="U387" s="22">
        <f>IF(AND(O387="YES",T387="YES",S387&lt;&gt;""),COUNTIFS($C$5:$C$424,C387,$S$5:$S$424,"&gt;"&amp;S387)+COUNTIFS($C$5:C387,C387,$S$5:S387,S387),"")</f>
        <v/>
      </c>
      <c r="V387" s="22">
        <f>IF(U387="","",C387&amp;"|"&amp;U387)</f>
        <v/>
      </c>
      <c r="W387" s="30" t="n"/>
      <c r="X387" s="30" t="inlineStr">
        <is>
          <t>Next-fastest time supplied in user workbook; swimmer name not yet supplied.</t>
        </is>
      </c>
    </row>
    <row r="388" ht="15" customHeight="1" s="17">
      <c r="A388" s="30" t="inlineStr">
        <is>
          <t>NZ|LCM|F|16|200 Fly</t>
        </is>
      </c>
      <c r="B388" s="30" t="inlineStr">
        <is>
          <t>LCM</t>
        </is>
      </c>
      <c r="C388" s="30" t="inlineStr">
        <is>
          <t>Female</t>
        </is>
      </c>
      <c r="D388" s="30" t="n">
        <v>16</v>
      </c>
      <c r="E388" s="30" t="inlineStr">
        <is>
          <t>200 Fly</t>
        </is>
      </c>
      <c r="F388" s="30" t="inlineStr">
        <is>
          <t>Sophia Batchelor</t>
        </is>
      </c>
      <c r="G388" s="22" t="inlineStr">
        <is>
          <t>Sophia Batchelor</t>
        </is>
      </c>
      <c r="H388" s="22" t="n"/>
      <c r="I388" s="30" t="inlineStr">
        <is>
          <t>2:14.03</t>
        </is>
      </c>
      <c r="J388" s="22">
        <f>IF(I388="","",IF(ISNUMBER(SEARCH(":",I388)),VALUE(LEFT(I388,SEARCH(":",I388)-1))*60+VALUE(MID(I388,SEARCH(":",I388)+1,99)),VALUE(I388)))</f>
        <v/>
      </c>
      <c r="K388" s="30" t="inlineStr">
        <is>
          <t>10.03.12</t>
        </is>
      </c>
      <c r="L388" s="30" t="inlineStr">
        <is>
          <t>Swimming New Zealand Long Course Records by Age - user-supplied PDF</t>
        </is>
      </c>
      <c r="M388" s="30" t="n"/>
      <c r="N388" s="30" t="inlineStr">
        <is>
          <t>NO</t>
        </is>
      </c>
      <c r="O388" s="30" t="inlineStr">
        <is>
          <t>YES</t>
        </is>
      </c>
      <c r="P388" s="30" t="n"/>
      <c r="Q388" s="30" t="inlineStr">
        <is>
          <t>2:16.41</t>
        </is>
      </c>
      <c r="R388" s="22">
        <f>IF(Q388="","",IF(ISNUMBER(SEARCH(":",Q388)),VALUE(LEFT(Q388,SEARCH(":",Q388)-1))*60+VALUE(MID(Q388,SEARCH(":",Q388)+1,99)),VALUE(Q388)))</f>
        <v/>
      </c>
      <c r="S388" s="39">
        <f>IF(OR(J388="",R388=""),"",(R388-J388)/R388)</f>
        <v/>
      </c>
      <c r="T388" s="22">
        <f>IF(OR(P388&lt;&gt;"",N388="YES"),"YES","NO")</f>
        <v/>
      </c>
      <c r="U388" s="22">
        <f>IF(AND(O388="YES",T388="YES",S388&lt;&gt;""),COUNTIFS($C$5:$C$424,C388,$S$5:$S$424,"&gt;"&amp;S388)+COUNTIFS($C$5:C388,C388,$S$5:S388,S388),"")</f>
        <v/>
      </c>
      <c r="V388" s="22">
        <f>IF(U388="","",C388&amp;"|"&amp;U388)</f>
        <v/>
      </c>
      <c r="W388" s="30" t="n"/>
      <c r="X388" s="30" t="inlineStr">
        <is>
          <t>Next-fastest time supplied in user workbook; swimmer name not yet supplied.</t>
        </is>
      </c>
    </row>
    <row r="389" ht="15" customHeight="1" s="17">
      <c r="A389" s="30" t="inlineStr">
        <is>
          <t>NZ|LCM|F|16|200 IM</t>
        </is>
      </c>
      <c r="B389" s="30" t="inlineStr">
        <is>
          <t>LCM</t>
        </is>
      </c>
      <c r="C389" s="30" t="inlineStr">
        <is>
          <t>Female</t>
        </is>
      </c>
      <c r="D389" s="30" t="n">
        <v>16</v>
      </c>
      <c r="E389" s="30" t="inlineStr">
        <is>
          <t>200 IM</t>
        </is>
      </c>
      <c r="F389" s="30" t="inlineStr">
        <is>
          <t>Chloe Francis</t>
        </is>
      </c>
      <c r="G389" s="22" t="inlineStr">
        <is>
          <t>Chloe Francis</t>
        </is>
      </c>
      <c r="H389" s="22" t="n"/>
      <c r="I389" s="30" t="inlineStr">
        <is>
          <t>2:16.99</t>
        </is>
      </c>
      <c r="J389" s="22">
        <f>IF(I389="","",IF(ISNUMBER(SEARCH(":",I389)),VALUE(LEFT(I389,SEARCH(":",I389)-1))*60+VALUE(MID(I389,SEARCH(":",I389)+1,99)),VALUE(I389)))</f>
        <v/>
      </c>
      <c r="K389" s="30" t="inlineStr">
        <is>
          <t>06.03.10</t>
        </is>
      </c>
      <c r="L389" s="30" t="inlineStr">
        <is>
          <t>Swimming New Zealand Long Course Records by Age - user-supplied PDF</t>
        </is>
      </c>
      <c r="M389" s="30" t="n"/>
      <c r="N389" s="30" t="inlineStr">
        <is>
          <t>NO</t>
        </is>
      </c>
      <c r="O389" s="30" t="inlineStr">
        <is>
          <t>YES</t>
        </is>
      </c>
      <c r="P389" s="30" t="n"/>
      <c r="Q389" s="30" t="inlineStr">
        <is>
          <t>2:18.46</t>
        </is>
      </c>
      <c r="R389" s="22">
        <f>IF(Q389="","",IF(ISNUMBER(SEARCH(":",Q389)),VALUE(LEFT(Q389,SEARCH(":",Q389)-1))*60+VALUE(MID(Q389,SEARCH(":",Q389)+1,99)),VALUE(Q389)))</f>
        <v/>
      </c>
      <c r="S389" s="39">
        <f>IF(OR(J389="",R389=""),"",(R389-J389)/R389)</f>
        <v/>
      </c>
      <c r="T389" s="22">
        <f>IF(OR(P389&lt;&gt;"",N389="YES"),"YES","NO")</f>
        <v/>
      </c>
      <c r="U389" s="22">
        <f>IF(AND(O389="YES",T389="YES",S389&lt;&gt;""),COUNTIFS($C$5:$C$424,C389,$S$5:$S$424,"&gt;"&amp;S389)+COUNTIFS($C$5:C389,C389,$S$5:S389,S389),"")</f>
        <v/>
      </c>
      <c r="V389" s="22">
        <f>IF(U389="","",C389&amp;"|"&amp;U389)</f>
        <v/>
      </c>
      <c r="W389" s="30" t="n"/>
      <c r="X389" s="30" t="inlineStr">
        <is>
          <t>Next-fastest time supplied in user workbook; swimmer name not yet supplied.</t>
        </is>
      </c>
    </row>
    <row r="390" ht="15" customHeight="1" s="17">
      <c r="A390" s="30" t="inlineStr">
        <is>
          <t>NZ|LCM|F|16|400 IM</t>
        </is>
      </c>
      <c r="B390" s="30" t="inlineStr">
        <is>
          <t>LCM</t>
        </is>
      </c>
      <c r="C390" s="30" t="inlineStr">
        <is>
          <t>Female</t>
        </is>
      </c>
      <c r="D390" s="30" t="n">
        <v>16</v>
      </c>
      <c r="E390" s="30" t="inlineStr">
        <is>
          <t>400 IM</t>
        </is>
      </c>
      <c r="F390" s="30" t="inlineStr">
        <is>
          <t>Mya Rasmussen</t>
        </is>
      </c>
      <c r="G390" s="22" t="inlineStr">
        <is>
          <t>Mya Rasmussen</t>
        </is>
      </c>
      <c r="H390" s="22" t="n"/>
      <c r="I390" s="30" t="inlineStr">
        <is>
          <t>4:44.89</t>
        </is>
      </c>
      <c r="J390" s="22">
        <f>IF(I390="","",IF(ISNUMBER(SEARCH(":",I390)),VALUE(LEFT(I390,SEARCH(":",I390)-1))*60+VALUE(MID(I390,SEARCH(":",I390)+1,99)),VALUE(I390)))</f>
        <v/>
      </c>
      <c r="K390" s="30" t="inlineStr">
        <is>
          <t>24.03.17</t>
        </is>
      </c>
      <c r="L390" s="30" t="inlineStr">
        <is>
          <t>Swimming New Zealand Long Course Records by Age - user-supplied PDF</t>
        </is>
      </c>
      <c r="M390" s="30" t="n"/>
      <c r="N390" s="30" t="inlineStr">
        <is>
          <t>NO</t>
        </is>
      </c>
      <c r="O390" s="30" t="inlineStr">
        <is>
          <t>YES</t>
        </is>
      </c>
      <c r="P390" s="30" t="n"/>
      <c r="Q390" s="30" t="inlineStr">
        <is>
          <t>4:50.59</t>
        </is>
      </c>
      <c r="R390" s="22">
        <f>IF(Q390="","",IF(ISNUMBER(SEARCH(":",Q390)),VALUE(LEFT(Q390,SEARCH(":",Q390)-1))*60+VALUE(MID(Q390,SEARCH(":",Q390)+1,99)),VALUE(Q390)))</f>
        <v/>
      </c>
      <c r="S390" s="39">
        <f>IF(OR(J390="",R390=""),"",(R390-J390)/R390)</f>
        <v/>
      </c>
      <c r="T390" s="22">
        <f>IF(OR(P390&lt;&gt;"",N390="YES"),"YES","NO")</f>
        <v/>
      </c>
      <c r="U390" s="22">
        <f>IF(AND(O390="YES",T390="YES",S390&lt;&gt;""),COUNTIFS($C$5:$C$424,C390,$S$5:$S$424,"&gt;"&amp;S390)+COUNTIFS($C$5:C390,C390,$S$5:S390,S390),"")</f>
        <v/>
      </c>
      <c r="V390" s="22">
        <f>IF(U390="","",C390&amp;"|"&amp;U390)</f>
        <v/>
      </c>
      <c r="W390" s="30" t="n"/>
      <c r="X390" s="30" t="inlineStr">
        <is>
          <t>Next-fastest time supplied in user workbook; swimmer name not yet supplied.</t>
        </is>
      </c>
    </row>
    <row r="391" ht="15" customHeight="1" s="17">
      <c r="A391" s="30" t="inlineStr">
        <is>
          <t>NZ|LCM|F|17|50 Free</t>
        </is>
      </c>
      <c r="B391" s="30" t="inlineStr">
        <is>
          <t>LCM</t>
        </is>
      </c>
      <c r="C391" s="30" t="inlineStr">
        <is>
          <t>Female</t>
        </is>
      </c>
      <c r="D391" s="30" t="n">
        <v>17</v>
      </c>
      <c r="E391" s="30" t="inlineStr">
        <is>
          <t>50 Free</t>
        </is>
      </c>
      <c r="F391" s="30" t="inlineStr">
        <is>
          <t>Gabrielle Fa'amausili</t>
        </is>
      </c>
      <c r="G391" s="22" t="inlineStr">
        <is>
          <t>Gabrielle Fa'amausili</t>
        </is>
      </c>
      <c r="H391" s="22" t="n"/>
      <c r="I391" s="30" t="inlineStr">
        <is>
          <t>25.02</t>
        </is>
      </c>
      <c r="J391" s="22">
        <f>IF(I391="","",IF(ISNUMBER(SEARCH(":",I391)),VALUE(LEFT(I391,SEARCH(":",I391)-1))*60+VALUE(MID(I391,SEARCH(":",I391)+1,99)),VALUE(I391)))</f>
        <v/>
      </c>
      <c r="K391" s="30" t="inlineStr">
        <is>
          <t>05.04.17</t>
        </is>
      </c>
      <c r="L391" s="30" t="inlineStr">
        <is>
          <t>Swimming New Zealand Long Course Records by Age - user-supplied PDF</t>
        </is>
      </c>
      <c r="M391" s="30" t="n"/>
      <c r="N391" s="30" t="inlineStr">
        <is>
          <t>NO</t>
        </is>
      </c>
      <c r="O391" s="30" t="inlineStr">
        <is>
          <t>YES</t>
        </is>
      </c>
      <c r="P391" s="30" t="n"/>
      <c r="Q391" s="30" t="inlineStr">
        <is>
          <t>25.43</t>
        </is>
      </c>
      <c r="R391" s="22">
        <f>IF(Q391="","",IF(ISNUMBER(SEARCH(":",Q391)),VALUE(LEFT(Q391,SEARCH(":",Q391)-1))*60+VALUE(MID(Q391,SEARCH(":",Q391)+1,99)),VALUE(Q391)))</f>
        <v/>
      </c>
      <c r="S391" s="39">
        <f>IF(OR(J391="",R391=""),"",(R391-J391)/R391)</f>
        <v/>
      </c>
      <c r="T391" s="22">
        <f>IF(OR(P391&lt;&gt;"",N391="YES"),"YES","NO")</f>
        <v/>
      </c>
      <c r="U391" s="22">
        <f>IF(AND(O391="YES",T391="YES",S391&lt;&gt;""),COUNTIFS($C$5:$C$424,C391,$S$5:$S$424,"&gt;"&amp;S391)+COUNTIFS($C$5:C391,C391,$S$5:S391,S391),"")</f>
        <v/>
      </c>
      <c r="V391" s="22">
        <f>IF(U391="","",C391&amp;"|"&amp;U391)</f>
        <v/>
      </c>
      <c r="W391" s="30" t="n"/>
      <c r="X391" s="30" t="inlineStr">
        <is>
          <t>Next-fastest time supplied in user workbook; swimmer name not yet supplied.</t>
        </is>
      </c>
    </row>
    <row r="392" ht="15" customHeight="1" s="17">
      <c r="A392" s="30" t="inlineStr">
        <is>
          <t>NZ|LCM|F|17|100 Free</t>
        </is>
      </c>
      <c r="B392" s="30" t="inlineStr">
        <is>
          <t>LCM</t>
        </is>
      </c>
      <c r="C392" s="30" t="inlineStr">
        <is>
          <t>Female</t>
        </is>
      </c>
      <c r="D392" s="30" t="n">
        <v>17</v>
      </c>
      <c r="E392" s="30" t="inlineStr">
        <is>
          <t>100 Free</t>
        </is>
      </c>
      <c r="F392" s="30" t="inlineStr">
        <is>
          <t>Laura Littlejohn / Zoe Pedersen</t>
        </is>
      </c>
      <c r="G392" s="22" t="inlineStr">
        <is>
          <t>Laura Littlejohn</t>
        </is>
      </c>
      <c r="H392" s="22" t="inlineStr">
        <is>
          <t>Zoe Pedersen</t>
        </is>
      </c>
      <c r="I392" s="30" t="inlineStr">
        <is>
          <t>55.43</t>
        </is>
      </c>
      <c r="J392" s="22">
        <f>IF(I392="","",IF(ISNUMBER(SEARCH(":",I392)),VALUE(LEFT(I392,SEARCH(":",I392)-1))*60+VALUE(MID(I392,SEARCH(":",I392)+1,99)),VALUE(I392)))</f>
        <v/>
      </c>
      <c r="K392" s="30" t="inlineStr">
        <is>
          <t>08.04.22</t>
        </is>
      </c>
      <c r="L392" s="30" t="inlineStr">
        <is>
          <t>Swimming New Zealand Long Course Records by Age - user-supplied PDF</t>
        </is>
      </c>
      <c r="M392" s="30" t="n"/>
      <c r="N392" s="30" t="inlineStr">
        <is>
          <t>YES</t>
        </is>
      </c>
      <c r="O392" s="30" t="inlineStr">
        <is>
          <t>NO - joint record</t>
        </is>
      </c>
      <c r="P392" s="30" t="n"/>
      <c r="Q392" s="30" t="inlineStr">
        <is>
          <t>55.43</t>
        </is>
      </c>
      <c r="R392" s="22">
        <f>IF(Q392="","",IF(ISNUMBER(SEARCH(":",Q392)),VALUE(LEFT(Q392,SEARCH(":",Q392)-1))*60+VALUE(MID(Q392,SEARCH(":",Q392)+1,99)),VALUE(Q392)))</f>
        <v/>
      </c>
      <c r="S392" s="39">
        <f>IF(OR(J392="",R392=""),"",(R392-J392)/R392)</f>
        <v/>
      </c>
      <c r="T392" s="22">
        <f>IF(OR(P392&lt;&gt;"",N392="YES"),"YES","NO")</f>
        <v/>
      </c>
      <c r="U392" s="22">
        <f>IF(AND(O392="YES",T392="YES",S392&lt;&gt;""),COUNTIFS($C$5:$C$424,C392,$S$5:$S$424,"&gt;"&amp;S392)+COUNTIFS($C$5:C392,C392,$S$5:S392,S392),"")</f>
        <v/>
      </c>
      <c r="V392" s="22">
        <f>IF(U392="","",C392&amp;"|"&amp;U392)</f>
        <v/>
      </c>
      <c r="W392" s="30" t="inlineStr">
        <is>
          <t>Joint record: margin fixed at 0.0% under the agreed methodology.</t>
        </is>
      </c>
      <c r="X392" s="30" t="inlineStr">
        <is>
          <t>Comparator is the other joint record holder at the same time.</t>
        </is>
      </c>
    </row>
    <row r="393" ht="15" customHeight="1" s="17">
      <c r="A393" s="30" t="inlineStr">
        <is>
          <t>NZ|LCM|F|17|200 Free</t>
        </is>
      </c>
      <c r="B393" s="30" t="inlineStr">
        <is>
          <t>LCM</t>
        </is>
      </c>
      <c r="C393" s="30" t="inlineStr">
        <is>
          <t>Female</t>
        </is>
      </c>
      <c r="D393" s="30" t="n">
        <v>17</v>
      </c>
      <c r="E393" s="30" t="inlineStr">
        <is>
          <t>200 Free</t>
        </is>
      </c>
      <c r="F393" s="30" t="inlineStr">
        <is>
          <t>Erika Fairweather</t>
        </is>
      </c>
      <c r="G393" s="22" t="inlineStr">
        <is>
          <t>Erika Fairweather</t>
        </is>
      </c>
      <c r="H393" s="22" t="n"/>
      <c r="I393" s="30" t="inlineStr">
        <is>
          <t>1:57.26</t>
        </is>
      </c>
      <c r="J393" s="22">
        <f>IF(I393="","",IF(ISNUMBER(SEARCH(":",I393)),VALUE(LEFT(I393,SEARCH(":",I393)-1))*60+VALUE(MID(I393,SEARCH(":",I393)+1,99)),VALUE(I393)))</f>
        <v/>
      </c>
      <c r="K393" s="30" t="inlineStr">
        <is>
          <t>26.07.21</t>
        </is>
      </c>
      <c r="L393" s="30" t="inlineStr">
        <is>
          <t>Swimming New Zealand Long Course Records by Age - user-supplied PDF</t>
        </is>
      </c>
      <c r="M393" s="30" t="n"/>
      <c r="N393" s="30" t="inlineStr">
        <is>
          <t>NO</t>
        </is>
      </c>
      <c r="O393" s="30" t="inlineStr">
        <is>
          <t>YES</t>
        </is>
      </c>
      <c r="P393" s="30" t="inlineStr">
        <is>
          <t>Laura Littlejohn</t>
        </is>
      </c>
      <c r="Q393" s="30" t="inlineStr">
        <is>
          <t>2:01.68</t>
        </is>
      </c>
      <c r="R393" s="22">
        <f>IF(Q393="","",IF(ISNUMBER(SEARCH(":",Q393)),VALUE(LEFT(Q393,SEARCH(":",Q393)-1))*60+VALUE(MID(Q393,SEARCH(":",Q393)+1,99)),VALUE(Q393)))</f>
        <v/>
      </c>
      <c r="S393" s="39">
        <f>IF(OR(J393="",R393=""),"",(R393-J393)/R393)</f>
        <v/>
      </c>
      <c r="T393" s="22">
        <f>IF(OR(P393&lt;&gt;"",N393="YES"),"YES","NO")</f>
        <v/>
      </c>
      <c r="U393" s="22">
        <f>IF(AND(O393="YES",T393="YES",S393&lt;&gt;""),COUNTIFS($C$5:$C$424,C393,$S$5:$S$424,"&gt;"&amp;S393)+COUNTIFS($C$5:C393,C393,$S$5:S393,S393),"")</f>
        <v/>
      </c>
      <c r="V393" s="22">
        <f>IF(U393="","",C393&amp;"|"&amp;U393)</f>
        <v/>
      </c>
      <c r="W393" s="30" t="n"/>
      <c r="X393" s="30" t="inlineStr">
        <is>
          <t>Next-fastest time supplied in user workbook; swimmer name not yet supplied.</t>
        </is>
      </c>
    </row>
    <row r="394" ht="15" customHeight="1" s="17">
      <c r="A394" s="30" t="inlineStr">
        <is>
          <t>NZ|LCM|F|17|400 Free</t>
        </is>
      </c>
      <c r="B394" s="30" t="inlineStr">
        <is>
          <t>LCM</t>
        </is>
      </c>
      <c r="C394" s="30" t="inlineStr">
        <is>
          <t>Female</t>
        </is>
      </c>
      <c r="D394" s="30" t="n">
        <v>17</v>
      </c>
      <c r="E394" s="30" t="inlineStr">
        <is>
          <t>400 Free</t>
        </is>
      </c>
      <c r="F394" s="30" t="inlineStr">
        <is>
          <t>Erika Fairweather</t>
        </is>
      </c>
      <c r="G394" s="22" t="inlineStr">
        <is>
          <t>Erika Fairweather</t>
        </is>
      </c>
      <c r="H394" s="22" t="n"/>
      <c r="I394" s="30" t="inlineStr">
        <is>
          <t>4:02.28</t>
        </is>
      </c>
      <c r="J394" s="22">
        <f>IF(I394="","",IF(ISNUMBER(SEARCH(":",I394)),VALUE(LEFT(I394,SEARCH(":",I394)-1))*60+VALUE(MID(I394,SEARCH(":",I394)+1,99)),VALUE(I394)))</f>
        <v/>
      </c>
      <c r="K394" s="30" t="inlineStr">
        <is>
          <t>25.07.21</t>
        </is>
      </c>
      <c r="L394" s="30" t="inlineStr">
        <is>
          <t>Swimming New Zealand Long Course Records by Age - user-supplied PDF</t>
        </is>
      </c>
      <c r="M394" s="30" t="n"/>
      <c r="N394" s="30" t="inlineStr">
        <is>
          <t>NO</t>
        </is>
      </c>
      <c r="O394" s="30" t="inlineStr">
        <is>
          <t>YES</t>
        </is>
      </c>
      <c r="P394" s="30" t="inlineStr">
        <is>
          <t>Tabitha Baumann</t>
        </is>
      </c>
      <c r="Q394" s="30" t="inlineStr">
        <is>
          <t>4:12.99</t>
        </is>
      </c>
      <c r="R394" s="22">
        <f>IF(Q394="","",IF(ISNUMBER(SEARCH(":",Q394)),VALUE(LEFT(Q394,SEARCH(":",Q394)-1))*60+VALUE(MID(Q394,SEARCH(":",Q394)+1,99)),VALUE(Q394)))</f>
        <v/>
      </c>
      <c r="S394" s="39">
        <f>IF(OR(J394="",R394=""),"",(R394-J394)/R394)</f>
        <v/>
      </c>
      <c r="T394" s="22">
        <f>IF(OR(P394&lt;&gt;"",N394="YES"),"YES","NO")</f>
        <v/>
      </c>
      <c r="U394" s="22">
        <f>IF(AND(O394="YES",T394="YES",S394&lt;&gt;""),COUNTIFS($C$5:$C$424,C394,$S$5:$S$424,"&gt;"&amp;S394)+COUNTIFS($C$5:C394,C394,$S$5:S394,S394),"")</f>
        <v/>
      </c>
      <c r="V394" s="22">
        <f>IF(U394="","",C394&amp;"|"&amp;U394)</f>
        <v/>
      </c>
      <c r="W394" s="30" t="n"/>
      <c r="X394" s="30" t="inlineStr">
        <is>
          <t>Next-fastest time supplied in user workbook; swimmer name not yet supplied.</t>
        </is>
      </c>
    </row>
    <row r="395" ht="15" customHeight="1" s="17">
      <c r="A395" s="30" t="inlineStr">
        <is>
          <t>NZ|LCM|F|17|800 Free</t>
        </is>
      </c>
      <c r="B395" s="30" t="inlineStr">
        <is>
          <t>LCM</t>
        </is>
      </c>
      <c r="C395" s="30" t="inlineStr">
        <is>
          <t>Female</t>
        </is>
      </c>
      <c r="D395" s="30" t="n">
        <v>17</v>
      </c>
      <c r="E395" s="30" t="inlineStr">
        <is>
          <t>800 Free</t>
        </is>
      </c>
      <c r="F395" s="30" t="inlineStr">
        <is>
          <t>Hayley McIntosh</t>
        </is>
      </c>
      <c r="G395" s="22" t="inlineStr">
        <is>
          <t>Hayley McIntosh</t>
        </is>
      </c>
      <c r="H395" s="22" t="n"/>
      <c r="I395" s="30" t="inlineStr">
        <is>
          <t>8:41.87</t>
        </is>
      </c>
      <c r="J395" s="22">
        <f>IF(I395="","",IF(ISNUMBER(SEARCH(":",I395)),VALUE(LEFT(I395,SEARCH(":",I395)-1))*60+VALUE(MID(I395,SEARCH(":",I395)+1,99)),VALUE(I395)))</f>
        <v/>
      </c>
      <c r="K395" s="30" t="inlineStr">
        <is>
          <t>03.04.17</t>
        </is>
      </c>
      <c r="L395" s="30" t="inlineStr">
        <is>
          <t>Swimming New Zealand Long Course Records by Age - user-supplied PDF</t>
        </is>
      </c>
      <c r="M395" s="30" t="n"/>
      <c r="N395" s="30" t="inlineStr">
        <is>
          <t>NO</t>
        </is>
      </c>
      <c r="O395" s="30" t="inlineStr">
        <is>
          <t>YES</t>
        </is>
      </c>
      <c r="P395" s="30" t="n"/>
      <c r="Q395" s="30" t="inlineStr">
        <is>
          <t>8:44.92</t>
        </is>
      </c>
      <c r="R395" s="22">
        <f>IF(Q395="","",IF(ISNUMBER(SEARCH(":",Q395)),VALUE(LEFT(Q395,SEARCH(":",Q395)-1))*60+VALUE(MID(Q395,SEARCH(":",Q395)+1,99)),VALUE(Q395)))</f>
        <v/>
      </c>
      <c r="S395" s="39">
        <f>IF(OR(J395="",R395=""),"",(R395-J395)/R395)</f>
        <v/>
      </c>
      <c r="T395" s="22">
        <f>IF(OR(P395&lt;&gt;"",N395="YES"),"YES","NO")</f>
        <v/>
      </c>
      <c r="U395" s="22">
        <f>IF(AND(O395="YES",T395="YES",S395&lt;&gt;""),COUNTIFS($C$5:$C$424,C395,$S$5:$S$424,"&gt;"&amp;S395)+COUNTIFS($C$5:C395,C395,$S$5:S395,S395),"")</f>
        <v/>
      </c>
      <c r="V395" s="22">
        <f>IF(U395="","",C395&amp;"|"&amp;U395)</f>
        <v/>
      </c>
      <c r="W395" s="30" t="n"/>
      <c r="X395" s="30" t="inlineStr">
        <is>
          <t>Next-fastest time supplied in user workbook; swimmer name not yet supplied.</t>
        </is>
      </c>
    </row>
    <row r="396" ht="15" customHeight="1" s="17">
      <c r="A396" s="30" t="inlineStr">
        <is>
          <t>NZ|LCM|F|17|1500 Free</t>
        </is>
      </c>
      <c r="B396" s="30" t="inlineStr">
        <is>
          <t>LCM</t>
        </is>
      </c>
      <c r="C396" s="30" t="inlineStr">
        <is>
          <t>Female</t>
        </is>
      </c>
      <c r="D396" s="30" t="n">
        <v>17</v>
      </c>
      <c r="E396" s="30" t="inlineStr">
        <is>
          <t>1500 Free</t>
        </is>
      </c>
      <c r="F396" s="30" t="inlineStr">
        <is>
          <t>Tabitha Baumann</t>
        </is>
      </c>
      <c r="G396" s="22" t="inlineStr">
        <is>
          <t>Tabitha Baumann</t>
        </is>
      </c>
      <c r="H396" s="22" t="n"/>
      <c r="I396" s="30" t="inlineStr">
        <is>
          <t>16:46.83</t>
        </is>
      </c>
      <c r="J396" s="22">
        <f>IF(I396="","",IF(ISNUMBER(SEARCH(":",I396)),VALUE(LEFT(I396,SEARCH(":",I396)-1))*60+VALUE(MID(I396,SEARCH(":",I396)+1,99)),VALUE(I396)))</f>
        <v/>
      </c>
      <c r="K396" s="30" t="inlineStr">
        <is>
          <t>18.03.13</t>
        </is>
      </c>
      <c r="L396" s="30" t="inlineStr">
        <is>
          <t>Swimming New Zealand Long Course Records by Age - user-supplied PDF</t>
        </is>
      </c>
      <c r="M396" s="30" t="n"/>
      <c r="N396" s="30" t="inlineStr">
        <is>
          <t>NO</t>
        </is>
      </c>
      <c r="O396" s="30" t="inlineStr">
        <is>
          <t>YES</t>
        </is>
      </c>
      <c r="P396" s="30" t="n"/>
      <c r="Q396" s="30" t="inlineStr">
        <is>
          <t>16:51.72</t>
        </is>
      </c>
      <c r="R396" s="22">
        <f>IF(Q396="","",IF(ISNUMBER(SEARCH(":",Q396)),VALUE(LEFT(Q396,SEARCH(":",Q396)-1))*60+VALUE(MID(Q396,SEARCH(":",Q396)+1,99)),VALUE(Q396)))</f>
        <v/>
      </c>
      <c r="S396" s="39">
        <f>IF(OR(J396="",R396=""),"",(R396-J396)/R396)</f>
        <v/>
      </c>
      <c r="T396" s="22">
        <f>IF(OR(P396&lt;&gt;"",N396="YES"),"YES","NO")</f>
        <v/>
      </c>
      <c r="U396" s="22">
        <f>IF(AND(O396="YES",T396="YES",S396&lt;&gt;""),COUNTIFS($C$5:$C$424,C396,$S$5:$S$424,"&gt;"&amp;S396)+COUNTIFS($C$5:C396,C396,$S$5:S396,S396),"")</f>
        <v/>
      </c>
      <c r="V396" s="22">
        <f>IF(U396="","",C396&amp;"|"&amp;U396)</f>
        <v/>
      </c>
      <c r="W396" s="30" t="n"/>
      <c r="X396" s="30" t="inlineStr">
        <is>
          <t>Next-fastest time supplied in user workbook; swimmer name not yet supplied.</t>
        </is>
      </c>
    </row>
    <row r="397" ht="15" customHeight="1" s="17">
      <c r="A397" s="30" t="inlineStr">
        <is>
          <t>NZ|LCM|F|17|50 Back</t>
        </is>
      </c>
      <c r="B397" s="30" t="inlineStr">
        <is>
          <t>LCM</t>
        </is>
      </c>
      <c r="C397" s="30" t="inlineStr">
        <is>
          <t>Female</t>
        </is>
      </c>
      <c r="D397" s="30" t="n">
        <v>17</v>
      </c>
      <c r="E397" s="30" t="inlineStr">
        <is>
          <t>50 Back</t>
        </is>
      </c>
      <c r="F397" s="30" t="inlineStr">
        <is>
          <t>Milan Glintmeyer</t>
        </is>
      </c>
      <c r="G397" s="22" t="inlineStr">
        <is>
          <t>Milan Glintmeyer</t>
        </is>
      </c>
      <c r="H397" s="22" t="n"/>
      <c r="I397" s="30" t="inlineStr">
        <is>
          <t>28.06</t>
        </is>
      </c>
      <c r="J397" s="22">
        <f>IF(I397="","",IF(ISNUMBER(SEARCH(":",I397)),VALUE(LEFT(I397,SEARCH(":",I397)-1))*60+VALUE(MID(I397,SEARCH(":",I397)+1,99)),VALUE(I397)))</f>
        <v/>
      </c>
      <c r="K397" s="30" t="inlineStr">
        <is>
          <t>17.07.26</t>
        </is>
      </c>
      <c r="L397" s="30" t="inlineStr">
        <is>
          <t>Swimming New Zealand Long Course Records by Age - user-supplied PDF</t>
        </is>
      </c>
      <c r="M397" s="30" t="n"/>
      <c r="N397" s="30" t="inlineStr">
        <is>
          <t>NO</t>
        </is>
      </c>
      <c r="O397" s="30" t="inlineStr">
        <is>
          <t>YES</t>
        </is>
      </c>
      <c r="P397" s="30" t="n"/>
      <c r="Q397" s="30" t="inlineStr">
        <is>
          <t>28.60</t>
        </is>
      </c>
      <c r="R397" s="22">
        <f>IF(Q397="","",IF(ISNUMBER(SEARCH(":",Q397)),VALUE(LEFT(Q397,SEARCH(":",Q397)-1))*60+VALUE(MID(Q397,SEARCH(":",Q397)+1,99)),VALUE(Q397)))</f>
        <v/>
      </c>
      <c r="S397" s="39">
        <f>IF(OR(J397="",R397=""),"",(R397-J397)/R397)</f>
        <v/>
      </c>
      <c r="T397" s="22">
        <f>IF(OR(P397&lt;&gt;"",N397="YES"),"YES","NO")</f>
        <v/>
      </c>
      <c r="U397" s="22">
        <f>IF(AND(O397="YES",T397="YES",S397&lt;&gt;""),COUNTIFS($C$5:$C$424,C397,$S$5:$S$424,"&gt;"&amp;S397)+COUNTIFS($C$5:C397,C397,$S$5:S397,S397),"")</f>
        <v/>
      </c>
      <c r="V397" s="22">
        <f>IF(U397="","",C397&amp;"|"&amp;U397)</f>
        <v/>
      </c>
      <c r="W397" s="30" t="n"/>
      <c r="X397" s="30" t="inlineStr">
        <is>
          <t>Next-fastest time supplied in user workbook; swimmer name not yet supplied.</t>
        </is>
      </c>
    </row>
    <row r="398" ht="15" customHeight="1" s="17">
      <c r="A398" s="30" t="inlineStr">
        <is>
          <t>NZ|LCM|F|17|100 Back</t>
        </is>
      </c>
      <c r="B398" s="30" t="inlineStr">
        <is>
          <t>LCM</t>
        </is>
      </c>
      <c r="C398" s="30" t="inlineStr">
        <is>
          <t>Female</t>
        </is>
      </c>
      <c r="D398" s="30" t="n">
        <v>17</v>
      </c>
      <c r="E398" s="30" t="inlineStr">
        <is>
          <t>100 Back</t>
        </is>
      </c>
      <c r="F398" s="30" t="inlineStr">
        <is>
          <t>Milan Glintmeyer</t>
        </is>
      </c>
      <c r="G398" s="22" t="inlineStr">
        <is>
          <t>Milan Glintmeyer</t>
        </is>
      </c>
      <c r="H398" s="22" t="n"/>
      <c r="I398" s="30" t="inlineStr">
        <is>
          <t>1:00.22</t>
        </is>
      </c>
      <c r="J398" s="22">
        <f>IF(I398="","",IF(ISNUMBER(SEARCH(":",I398)),VALUE(LEFT(I398,SEARCH(":",I398)-1))*60+VALUE(MID(I398,SEARCH(":",I398)+1,99)),VALUE(I398)))</f>
        <v/>
      </c>
      <c r="K398" s="30" t="inlineStr">
        <is>
          <t>14.05.26</t>
        </is>
      </c>
      <c r="L398" s="30" t="inlineStr">
        <is>
          <t>Swimming New Zealand Long Course Records by Age - user-supplied PDF</t>
        </is>
      </c>
      <c r="M398" s="30" t="n"/>
      <c r="N398" s="30" t="inlineStr">
        <is>
          <t>NO</t>
        </is>
      </c>
      <c r="O398" s="30" t="inlineStr">
        <is>
          <t>YES</t>
        </is>
      </c>
      <c r="P398" s="30" t="n"/>
      <c r="Q398" s="30" t="inlineStr">
        <is>
          <t>1:01.21</t>
        </is>
      </c>
      <c r="R398" s="22">
        <f>IF(Q398="","",IF(ISNUMBER(SEARCH(":",Q398)),VALUE(LEFT(Q398,SEARCH(":",Q398)-1))*60+VALUE(MID(Q398,SEARCH(":",Q398)+1,99)),VALUE(Q398)))</f>
        <v/>
      </c>
      <c r="S398" s="39">
        <f>IF(OR(J398="",R398=""),"",(R398-J398)/R398)</f>
        <v/>
      </c>
      <c r="T398" s="22">
        <f>IF(OR(P398&lt;&gt;"",N398="YES"),"YES","NO")</f>
        <v/>
      </c>
      <c r="U398" s="22">
        <f>IF(AND(O398="YES",T398="YES",S398&lt;&gt;""),COUNTIFS($C$5:$C$424,C398,$S$5:$S$424,"&gt;"&amp;S398)+COUNTIFS($C$5:C398,C398,$S$5:S398,S398),"")</f>
        <v/>
      </c>
      <c r="V398" s="22">
        <f>IF(U398="","",C398&amp;"|"&amp;U398)</f>
        <v/>
      </c>
      <c r="W398" s="30" t="n"/>
      <c r="X398" s="30" t="inlineStr">
        <is>
          <t>Next-fastest time supplied in user workbook; swimmer name not yet supplied.</t>
        </is>
      </c>
    </row>
    <row r="399" ht="15" customHeight="1" s="17">
      <c r="A399" s="30" t="inlineStr">
        <is>
          <t>NZ|LCM|F|17|200 Back</t>
        </is>
      </c>
      <c r="B399" s="30" t="inlineStr">
        <is>
          <t>LCM</t>
        </is>
      </c>
      <c r="C399" s="30" t="inlineStr">
        <is>
          <t>Female</t>
        </is>
      </c>
      <c r="D399" s="30" t="n">
        <v>17</v>
      </c>
      <c r="E399" s="30" t="inlineStr">
        <is>
          <t>200 Back</t>
        </is>
      </c>
      <c r="F399" s="30" t="inlineStr">
        <is>
          <t>Milan Glintmeyer</t>
        </is>
      </c>
      <c r="G399" s="22" t="inlineStr">
        <is>
          <t>Milan Glintmeyer</t>
        </is>
      </c>
      <c r="H399" s="22" t="n"/>
      <c r="I399" s="30" t="inlineStr">
        <is>
          <t>2:12.17</t>
        </is>
      </c>
      <c r="J399" s="22">
        <f>IF(I399="","",IF(ISNUMBER(SEARCH(":",I399)),VALUE(LEFT(I399,SEARCH(":",I399)-1))*60+VALUE(MID(I399,SEARCH(":",I399)+1,99)),VALUE(I399)))</f>
        <v/>
      </c>
      <c r="K399" s="30" t="inlineStr">
        <is>
          <t>13.05.26</t>
        </is>
      </c>
      <c r="L399" s="30" t="inlineStr">
        <is>
          <t>Swimming New Zealand Long Course Records by Age - user-supplied PDF</t>
        </is>
      </c>
      <c r="M399" s="30" t="n"/>
      <c r="N399" s="30" t="inlineStr">
        <is>
          <t>NO</t>
        </is>
      </c>
      <c r="O399" s="30" t="inlineStr">
        <is>
          <t>YES</t>
        </is>
      </c>
      <c r="P399" s="30" t="n"/>
      <c r="Q399" s="30" t="inlineStr">
        <is>
          <t>2:12.31</t>
        </is>
      </c>
      <c r="R399" s="22">
        <f>IF(Q399="","",IF(ISNUMBER(SEARCH(":",Q399)),VALUE(LEFT(Q399,SEARCH(":",Q399)-1))*60+VALUE(MID(Q399,SEARCH(":",Q399)+1,99)),VALUE(Q399)))</f>
        <v/>
      </c>
      <c r="S399" s="39">
        <f>IF(OR(J399="",R399=""),"",(R399-J399)/R399)</f>
        <v/>
      </c>
      <c r="T399" s="22">
        <f>IF(OR(P399&lt;&gt;"",N399="YES"),"YES","NO")</f>
        <v/>
      </c>
      <c r="U399" s="22">
        <f>IF(AND(O399="YES",T399="YES",S399&lt;&gt;""),COUNTIFS($C$5:$C$424,C399,$S$5:$S$424,"&gt;"&amp;S399)+COUNTIFS($C$5:C399,C399,$S$5:S399,S399),"")</f>
        <v/>
      </c>
      <c r="V399" s="22">
        <f>IF(U399="","",C399&amp;"|"&amp;U399)</f>
        <v/>
      </c>
      <c r="W399" s="30" t="n"/>
      <c r="X399" s="30" t="inlineStr">
        <is>
          <t>Next-fastest time supplied in user workbook; swimmer name not yet supplied.</t>
        </is>
      </c>
    </row>
    <row r="400" ht="15" customHeight="1" s="17">
      <c r="A400" s="30" t="inlineStr">
        <is>
          <t>NZ|LCM|F|17|50 Breast</t>
        </is>
      </c>
      <c r="B400" s="30" t="inlineStr">
        <is>
          <t>LCM</t>
        </is>
      </c>
      <c r="C400" s="30" t="inlineStr">
        <is>
          <t>Female</t>
        </is>
      </c>
      <c r="D400" s="30" t="n">
        <v>17</v>
      </c>
      <c r="E400" s="30" t="inlineStr">
        <is>
          <t>50 Breast</t>
        </is>
      </c>
      <c r="F400" s="30" t="inlineStr">
        <is>
          <t>Monique Wieruszowski</t>
        </is>
      </c>
      <c r="G400" s="22" t="inlineStr">
        <is>
          <t>Monique Wieruszowski</t>
        </is>
      </c>
      <c r="H400" s="22" t="n"/>
      <c r="I400" s="30" t="inlineStr">
        <is>
          <t>31.24</t>
        </is>
      </c>
      <c r="J400" s="22">
        <f>IF(I400="","",IF(ISNUMBER(SEARCH(":",I400)),VALUE(LEFT(I400,SEARCH(":",I400)-1))*60+VALUE(MID(I400,SEARCH(":",I400)+1,99)),VALUE(I400)))</f>
        <v/>
      </c>
      <c r="K400" s="30" t="inlineStr">
        <is>
          <t>22.05.25</t>
        </is>
      </c>
      <c r="L400" s="30" t="inlineStr">
        <is>
          <t>Swimming New Zealand Long Course Records by Age - user-supplied PDF</t>
        </is>
      </c>
      <c r="M400" s="30" t="n"/>
      <c r="N400" s="30" t="inlineStr">
        <is>
          <t>NO</t>
        </is>
      </c>
      <c r="O400" s="30" t="inlineStr">
        <is>
          <t>YES</t>
        </is>
      </c>
      <c r="P400" s="30" t="inlineStr">
        <is>
          <t>Ciara Smith</t>
        </is>
      </c>
      <c r="Q400" s="30" t="inlineStr">
        <is>
          <t>32.21</t>
        </is>
      </c>
      <c r="R400" s="22">
        <f>IF(Q400="","",IF(ISNUMBER(SEARCH(":",Q400)),VALUE(LEFT(Q400,SEARCH(":",Q400)-1))*60+VALUE(MID(Q400,SEARCH(":",Q400)+1,99)),VALUE(Q400)))</f>
        <v/>
      </c>
      <c r="S400" s="39">
        <f>IF(OR(J400="",R400=""),"",(R400-J400)/R400)</f>
        <v/>
      </c>
      <c r="T400" s="22">
        <f>IF(OR(P400&lt;&gt;"",N400="YES"),"YES","NO")</f>
        <v/>
      </c>
      <c r="U400" s="22">
        <f>IF(AND(O400="YES",T400="YES",S400&lt;&gt;""),COUNTIFS($C$5:$C$424,C400,$S$5:$S$424,"&gt;"&amp;S400)+COUNTIFS($C$5:C400,C400,$S$5:S400,S400),"")</f>
        <v/>
      </c>
      <c r="V400" s="22">
        <f>IF(U400="","",C400&amp;"|"&amp;U400)</f>
        <v/>
      </c>
      <c r="W400" s="30" t="n"/>
      <c r="X400" s="30" t="inlineStr">
        <is>
          <t>Next-fastest time supplied in user workbook; swimmer name not yet supplied.</t>
        </is>
      </c>
    </row>
    <row r="401" ht="15" customHeight="1" s="17">
      <c r="A401" s="30" t="inlineStr">
        <is>
          <t>NZ|LCM|F|17|100 Breast</t>
        </is>
      </c>
      <c r="B401" s="30" t="inlineStr">
        <is>
          <t>LCM</t>
        </is>
      </c>
      <c r="C401" s="30" t="inlineStr">
        <is>
          <t>Female</t>
        </is>
      </c>
      <c r="D401" s="30" t="n">
        <v>17</v>
      </c>
      <c r="E401" s="30" t="inlineStr">
        <is>
          <t>100 Breast</t>
        </is>
      </c>
      <c r="F401" s="30" t="inlineStr">
        <is>
          <t>Annabelle Carey</t>
        </is>
      </c>
      <c r="G401" s="22" t="inlineStr">
        <is>
          <t>Annabelle Carey</t>
        </is>
      </c>
      <c r="H401" s="22" t="n"/>
      <c r="I401" s="30" t="inlineStr">
        <is>
          <t>1:09.26</t>
        </is>
      </c>
      <c r="J401" s="22">
        <f>IF(I401="","",IF(ISNUMBER(SEARCH(":",I401)),VALUE(LEFT(I401,SEARCH(":",I401)-1))*60+VALUE(MID(I401,SEARCH(":",I401)+1,99)),VALUE(I401)))</f>
        <v/>
      </c>
      <c r="K401" s="30" t="inlineStr">
        <is>
          <t>15.12.06</t>
        </is>
      </c>
      <c r="L401" s="30" t="inlineStr">
        <is>
          <t>Swimming New Zealand Long Course Records by Age - user-supplied PDF</t>
        </is>
      </c>
      <c r="M401" s="30" t="n"/>
      <c r="N401" s="30" t="inlineStr">
        <is>
          <t>NO</t>
        </is>
      </c>
      <c r="O401" s="30" t="inlineStr">
        <is>
          <t>YES</t>
        </is>
      </c>
      <c r="P401" s="30" t="n"/>
      <c r="Q401" s="30" t="inlineStr">
        <is>
          <t>1:09.49</t>
        </is>
      </c>
      <c r="R401" s="22">
        <f>IF(Q401="","",IF(ISNUMBER(SEARCH(":",Q401)),VALUE(LEFT(Q401,SEARCH(":",Q401)-1))*60+VALUE(MID(Q401,SEARCH(":",Q401)+1,99)),VALUE(Q401)))</f>
        <v/>
      </c>
      <c r="S401" s="39">
        <f>IF(OR(J401="",R401=""),"",(R401-J401)/R401)</f>
        <v/>
      </c>
      <c r="T401" s="22">
        <f>IF(OR(P401&lt;&gt;"",N401="YES"),"YES","NO")</f>
        <v/>
      </c>
      <c r="U401" s="22">
        <f>IF(AND(O401="YES",T401="YES",S401&lt;&gt;""),COUNTIFS($C$5:$C$424,C401,$S$5:$S$424,"&gt;"&amp;S401)+COUNTIFS($C$5:C401,C401,$S$5:S401,S401),"")</f>
        <v/>
      </c>
      <c r="V401" s="22">
        <f>IF(U401="","",C401&amp;"|"&amp;U401)</f>
        <v/>
      </c>
      <c r="W401" s="30" t="n"/>
      <c r="X401" s="30" t="inlineStr">
        <is>
          <t>Next-fastest time supplied in user workbook; swimmer name not yet supplied.</t>
        </is>
      </c>
    </row>
    <row r="402" ht="15" customHeight="1" s="17">
      <c r="A402" s="30" t="inlineStr">
        <is>
          <t>NZ|LCM|F|17|200 Breast</t>
        </is>
      </c>
      <c r="B402" s="30" t="inlineStr">
        <is>
          <t>LCM</t>
        </is>
      </c>
      <c r="C402" s="30" t="inlineStr">
        <is>
          <t>Female</t>
        </is>
      </c>
      <c r="D402" s="30" t="n">
        <v>17</v>
      </c>
      <c r="E402" s="30" t="inlineStr">
        <is>
          <t>200 Breast</t>
        </is>
      </c>
      <c r="F402" s="30" t="inlineStr">
        <is>
          <t>Natasha Lloyd</t>
        </is>
      </c>
      <c r="G402" s="22" t="inlineStr">
        <is>
          <t>Natasha Lloyd</t>
        </is>
      </c>
      <c r="H402" s="22" t="n"/>
      <c r="I402" s="30" t="inlineStr">
        <is>
          <t>2:31.36</t>
        </is>
      </c>
      <c r="J402" s="22">
        <f>IF(I402="","",IF(ISNUMBER(SEARCH(":",I402)),VALUE(LEFT(I402,SEARCH(":",I402)-1))*60+VALUE(MID(I402,SEARCH(":",I402)+1,99)),VALUE(I402)))</f>
        <v/>
      </c>
      <c r="K402" s="30" t="inlineStr">
        <is>
          <t>20.01.13</t>
        </is>
      </c>
      <c r="L402" s="30" t="inlineStr">
        <is>
          <t>Swimming New Zealand Long Course Records by Age - user-supplied PDF</t>
        </is>
      </c>
      <c r="M402" s="30" t="n"/>
      <c r="N402" s="30" t="inlineStr">
        <is>
          <t>NO</t>
        </is>
      </c>
      <c r="O402" s="30" t="inlineStr">
        <is>
          <t>YES</t>
        </is>
      </c>
      <c r="P402" s="30" t="n"/>
      <c r="Q402" s="30" t="inlineStr">
        <is>
          <t>2:31.49</t>
        </is>
      </c>
      <c r="R402" s="22">
        <f>IF(Q402="","",IF(ISNUMBER(SEARCH(":",Q402)),VALUE(LEFT(Q402,SEARCH(":",Q402)-1))*60+VALUE(MID(Q402,SEARCH(":",Q402)+1,99)),VALUE(Q402)))</f>
        <v/>
      </c>
      <c r="S402" s="39">
        <f>IF(OR(J402="",R402=""),"",(R402-J402)/R402)</f>
        <v/>
      </c>
      <c r="T402" s="22">
        <f>IF(OR(P402&lt;&gt;"",N402="YES"),"YES","NO")</f>
        <v/>
      </c>
      <c r="U402" s="22">
        <f>IF(AND(O402="YES",T402="YES",S402&lt;&gt;""),COUNTIFS($C$5:$C$424,C402,$S$5:$S$424,"&gt;"&amp;S402)+COUNTIFS($C$5:C402,C402,$S$5:S402,S402),"")</f>
        <v/>
      </c>
      <c r="V402" s="22">
        <f>IF(U402="","",C402&amp;"|"&amp;U402)</f>
        <v/>
      </c>
      <c r="W402" s="30" t="n"/>
      <c r="X402" s="30" t="inlineStr">
        <is>
          <t>Next-fastest time supplied in user workbook; swimmer name not yet supplied.</t>
        </is>
      </c>
    </row>
    <row r="403" ht="15" customHeight="1" s="17">
      <c r="A403" s="30" t="inlineStr">
        <is>
          <t>NZ|LCM|F|17|50 Fly</t>
        </is>
      </c>
      <c r="B403" s="30" t="inlineStr">
        <is>
          <t>LCM</t>
        </is>
      </c>
      <c r="C403" s="30" t="inlineStr">
        <is>
          <t>Female</t>
        </is>
      </c>
      <c r="D403" s="30" t="n">
        <v>17</v>
      </c>
      <c r="E403" s="30" t="inlineStr">
        <is>
          <t>50 Fly</t>
        </is>
      </c>
      <c r="F403" s="30" t="inlineStr">
        <is>
          <t>Sophia Batchelor</t>
        </is>
      </c>
      <c r="G403" s="22" t="inlineStr">
        <is>
          <t>Sophia Batchelor</t>
        </is>
      </c>
      <c r="H403" s="22" t="n"/>
      <c r="I403" s="30" t="inlineStr">
        <is>
          <t>26.30</t>
        </is>
      </c>
      <c r="J403" s="22">
        <f>IF(I403="","",IF(ISNUMBER(SEARCH(":",I403)),VALUE(LEFT(I403,SEARCH(":",I403)-1))*60+VALUE(MID(I403,SEARCH(":",I403)+1,99)),VALUE(I403)))</f>
        <v/>
      </c>
      <c r="K403" s="30" t="inlineStr">
        <is>
          <t>22.03.13</t>
        </is>
      </c>
      <c r="L403" s="30" t="inlineStr">
        <is>
          <t>Swimming New Zealand Long Course Records by Age - user-supplied PDF</t>
        </is>
      </c>
      <c r="M403" s="30" t="n"/>
      <c r="N403" s="30" t="inlineStr">
        <is>
          <t>NO</t>
        </is>
      </c>
      <c r="O403" s="30" t="inlineStr">
        <is>
          <t>YES</t>
        </is>
      </c>
      <c r="P403" s="30" t="n"/>
      <c r="Q403" s="30" t="inlineStr">
        <is>
          <t>26.61</t>
        </is>
      </c>
      <c r="R403" s="22">
        <f>IF(Q403="","",IF(ISNUMBER(SEARCH(":",Q403)),VALUE(LEFT(Q403,SEARCH(":",Q403)-1))*60+VALUE(MID(Q403,SEARCH(":",Q403)+1,99)),VALUE(Q403)))</f>
        <v/>
      </c>
      <c r="S403" s="39">
        <f>IF(OR(J403="",R403=""),"",(R403-J403)/R403)</f>
        <v/>
      </c>
      <c r="T403" s="22">
        <f>IF(OR(P403&lt;&gt;"",N403="YES"),"YES","NO")</f>
        <v/>
      </c>
      <c r="U403" s="22">
        <f>IF(AND(O403="YES",T403="YES",S403&lt;&gt;""),COUNTIFS($C$5:$C$424,C403,$S$5:$S$424,"&gt;"&amp;S403)+COUNTIFS($C$5:C403,C403,$S$5:S403,S403),"")</f>
        <v/>
      </c>
      <c r="V403" s="22">
        <f>IF(U403="","",C403&amp;"|"&amp;U403)</f>
        <v/>
      </c>
      <c r="W403" s="30" t="n"/>
      <c r="X403" s="30" t="inlineStr">
        <is>
          <t>Next-fastest time supplied in user workbook; swimmer name not yet supplied.</t>
        </is>
      </c>
    </row>
    <row r="404" ht="15" customHeight="1" s="17">
      <c r="A404" s="30" t="inlineStr">
        <is>
          <t>NZ|LCM|F|17|100 Fly</t>
        </is>
      </c>
      <c r="B404" s="30" t="inlineStr">
        <is>
          <t>LCM</t>
        </is>
      </c>
      <c r="C404" s="30" t="inlineStr">
        <is>
          <t>Female</t>
        </is>
      </c>
      <c r="D404" s="30" t="n">
        <v>17</v>
      </c>
      <c r="E404" s="30" t="inlineStr">
        <is>
          <t>100 Fly</t>
        </is>
      </c>
      <c r="F404" s="30" t="inlineStr">
        <is>
          <t>Sophia Batchelor</t>
        </is>
      </c>
      <c r="G404" s="22" t="inlineStr">
        <is>
          <t>Sophia Batchelor</t>
        </is>
      </c>
      <c r="H404" s="22" t="n"/>
      <c r="I404" s="30" t="inlineStr">
        <is>
          <t>58.84</t>
        </is>
      </c>
      <c r="J404" s="22">
        <f>IF(I404="","",IF(ISNUMBER(SEARCH(":",I404)),VALUE(LEFT(I404,SEARCH(":",I404)-1))*60+VALUE(MID(I404,SEARCH(":",I404)+1,99)),VALUE(I404)))</f>
        <v/>
      </c>
      <c r="K404" s="30" t="inlineStr">
        <is>
          <t>17.03.13</t>
        </is>
      </c>
      <c r="L404" s="30" t="inlineStr">
        <is>
          <t>Swimming New Zealand Long Course Records by Age - user-supplied PDF</t>
        </is>
      </c>
      <c r="M404" s="30" t="n"/>
      <c r="N404" s="30" t="inlineStr">
        <is>
          <t>NO</t>
        </is>
      </c>
      <c r="O404" s="30" t="inlineStr">
        <is>
          <t>YES</t>
        </is>
      </c>
      <c r="P404" s="30" t="inlineStr">
        <is>
          <t>Milan Glintmeyer</t>
        </is>
      </c>
      <c r="Q404" s="30" t="inlineStr">
        <is>
          <t>1:00.27</t>
        </is>
      </c>
      <c r="R404" s="22">
        <f>IF(Q404="","",IF(ISNUMBER(SEARCH(":",Q404)),VALUE(LEFT(Q404,SEARCH(":",Q404)-1))*60+VALUE(MID(Q404,SEARCH(":",Q404)+1,99)),VALUE(Q404)))</f>
        <v/>
      </c>
      <c r="S404" s="39">
        <f>IF(OR(J404="",R404=""),"",(R404-J404)/R404)</f>
        <v/>
      </c>
      <c r="T404" s="22">
        <f>IF(OR(P404&lt;&gt;"",N404="YES"),"YES","NO")</f>
        <v/>
      </c>
      <c r="U404" s="22">
        <f>IF(AND(O404="YES",T404="YES",S404&lt;&gt;""),COUNTIFS($C$5:$C$424,C404,$S$5:$S$424,"&gt;"&amp;S404)+COUNTIFS($C$5:C404,C404,$S$5:S404,S404),"")</f>
        <v/>
      </c>
      <c r="V404" s="22">
        <f>IF(U404="","",C404&amp;"|"&amp;U404)</f>
        <v/>
      </c>
      <c r="W404" s="30" t="n"/>
      <c r="X404" s="30" t="inlineStr">
        <is>
          <t>Next-fastest time supplied in user workbook; swimmer name not yet supplied.</t>
        </is>
      </c>
    </row>
    <row r="405" ht="15" customHeight="1" s="17">
      <c r="A405" s="30" t="inlineStr">
        <is>
          <t>NZ|LCM|F|17|200 Fly</t>
        </is>
      </c>
      <c r="B405" s="30" t="inlineStr">
        <is>
          <t>LCM</t>
        </is>
      </c>
      <c r="C405" s="30" t="inlineStr">
        <is>
          <t>Female</t>
        </is>
      </c>
      <c r="D405" s="30" t="n">
        <v>17</v>
      </c>
      <c r="E405" s="30" t="inlineStr">
        <is>
          <t>200 Fly</t>
        </is>
      </c>
      <c r="F405" s="30" t="inlineStr">
        <is>
          <t>Yeonsu Lee</t>
        </is>
      </c>
      <c r="G405" s="22" t="inlineStr">
        <is>
          <t>Yeonsu Lee</t>
        </is>
      </c>
      <c r="H405" s="22" t="n"/>
      <c r="I405" s="30" t="inlineStr">
        <is>
          <t>2:14.39</t>
        </is>
      </c>
      <c r="J405" s="22">
        <f>IF(I405="","",IF(ISNUMBER(SEARCH(":",I405)),VALUE(LEFT(I405,SEARCH(":",I405)-1))*60+VALUE(MID(I405,SEARCH(":",I405)+1,99)),VALUE(I405)))</f>
        <v/>
      </c>
      <c r="K405" s="30" t="inlineStr">
        <is>
          <t>21.03.17</t>
        </is>
      </c>
      <c r="L405" s="30" t="inlineStr">
        <is>
          <t>Swimming New Zealand Long Course Records by Age - user-supplied PDF</t>
        </is>
      </c>
      <c r="M405" s="30" t="n"/>
      <c r="N405" s="30" t="inlineStr">
        <is>
          <t>NO</t>
        </is>
      </c>
      <c r="O405" s="30" t="inlineStr">
        <is>
          <t>YES</t>
        </is>
      </c>
      <c r="P405" s="30" t="n"/>
      <c r="Q405" s="30" t="inlineStr">
        <is>
          <t>2:15.70</t>
        </is>
      </c>
      <c r="R405" s="22">
        <f>IF(Q405="","",IF(ISNUMBER(SEARCH(":",Q405)),VALUE(LEFT(Q405,SEARCH(":",Q405)-1))*60+VALUE(MID(Q405,SEARCH(":",Q405)+1,99)),VALUE(Q405)))</f>
        <v/>
      </c>
      <c r="S405" s="39">
        <f>IF(OR(J405="",R405=""),"",(R405-J405)/R405)</f>
        <v/>
      </c>
      <c r="T405" s="22">
        <f>IF(OR(P405&lt;&gt;"",N405="YES"),"YES","NO")</f>
        <v/>
      </c>
      <c r="U405" s="22">
        <f>IF(AND(O405="YES",T405="YES",S405&lt;&gt;""),COUNTIFS($C$5:$C$424,C405,$S$5:$S$424,"&gt;"&amp;S405)+COUNTIFS($C$5:C405,C405,$S$5:S405,S405),"")</f>
        <v/>
      </c>
      <c r="V405" s="22">
        <f>IF(U405="","",C405&amp;"|"&amp;U405)</f>
        <v/>
      </c>
      <c r="W405" s="30" t="n"/>
      <c r="X405" s="30" t="inlineStr">
        <is>
          <t>Next-fastest time supplied in user workbook; swimmer name not yet supplied.</t>
        </is>
      </c>
    </row>
    <row r="406" ht="15" customHeight="1" s="17">
      <c r="A406" s="30" t="inlineStr">
        <is>
          <t>NZ|LCM|F|17|200 IM</t>
        </is>
      </c>
      <c r="B406" s="30" t="inlineStr">
        <is>
          <t>LCM</t>
        </is>
      </c>
      <c r="C406" s="30" t="inlineStr">
        <is>
          <t>Female</t>
        </is>
      </c>
      <c r="D406" s="30" t="n">
        <v>17</v>
      </c>
      <c r="E406" s="30" t="inlineStr">
        <is>
          <t>200 IM</t>
        </is>
      </c>
      <c r="F406" s="30" t="inlineStr">
        <is>
          <t>Natalie Wiegersma</t>
        </is>
      </c>
      <c r="G406" s="22" t="inlineStr">
        <is>
          <t>Natalie Wiegersma</t>
        </is>
      </c>
      <c r="H406" s="22" t="n"/>
      <c r="I406" s="30" t="inlineStr">
        <is>
          <t>2:15.10</t>
        </is>
      </c>
      <c r="J406" s="22">
        <f>IF(I406="","",IF(ISNUMBER(SEARCH(":",I406)),VALUE(LEFT(I406,SEARCH(":",I406)-1))*60+VALUE(MID(I406,SEARCH(":",I406)+1,99)),VALUE(I406)))</f>
        <v/>
      </c>
      <c r="K406" s="30" t="inlineStr">
        <is>
          <t>01.07.07</t>
        </is>
      </c>
      <c r="L406" s="30" t="inlineStr">
        <is>
          <t>Swimming New Zealand Long Course Records by Age - user-supplied PDF</t>
        </is>
      </c>
      <c r="M406" s="30" t="n"/>
      <c r="N406" s="30" t="inlineStr">
        <is>
          <t>NO</t>
        </is>
      </c>
      <c r="O406" s="30" t="inlineStr">
        <is>
          <t>YES</t>
        </is>
      </c>
      <c r="P406" s="30" t="n"/>
      <c r="Q406" s="30" t="inlineStr">
        <is>
          <t>2:16.55</t>
        </is>
      </c>
      <c r="R406" s="22">
        <f>IF(Q406="","",IF(ISNUMBER(SEARCH(":",Q406)),VALUE(LEFT(Q406,SEARCH(":",Q406)-1))*60+VALUE(MID(Q406,SEARCH(":",Q406)+1,99)),VALUE(Q406)))</f>
        <v/>
      </c>
      <c r="S406" s="39">
        <f>IF(OR(J406="",R406=""),"",(R406-J406)/R406)</f>
        <v/>
      </c>
      <c r="T406" s="22">
        <f>IF(OR(P406&lt;&gt;"",N406="YES"),"YES","NO")</f>
        <v/>
      </c>
      <c r="U406" s="22">
        <f>IF(AND(O406="YES",T406="YES",S406&lt;&gt;""),COUNTIFS($C$5:$C$424,C406,$S$5:$S$424,"&gt;"&amp;S406)+COUNTIFS($C$5:C406,C406,$S$5:S406,S406),"")</f>
        <v/>
      </c>
      <c r="V406" s="22">
        <f>IF(U406="","",C406&amp;"|"&amp;U406)</f>
        <v/>
      </c>
      <c r="W406" s="30" t="n"/>
      <c r="X406" s="30" t="inlineStr">
        <is>
          <t>Next-fastest time supplied in user workbook; swimmer name not yet supplied.</t>
        </is>
      </c>
    </row>
    <row r="407" ht="15" customHeight="1" s="17">
      <c r="A407" s="30" t="inlineStr">
        <is>
          <t>NZ|LCM|F|17|400 IM</t>
        </is>
      </c>
      <c r="B407" s="30" t="inlineStr">
        <is>
          <t>LCM</t>
        </is>
      </c>
      <c r="C407" s="30" t="inlineStr">
        <is>
          <t>Female</t>
        </is>
      </c>
      <c r="D407" s="30" t="n">
        <v>17</v>
      </c>
      <c r="E407" s="30" t="inlineStr">
        <is>
          <t>400 IM</t>
        </is>
      </c>
      <c r="F407" s="30" t="inlineStr">
        <is>
          <t>Mya Rasmussen</t>
        </is>
      </c>
      <c r="G407" s="22" t="inlineStr">
        <is>
          <t>Mya Rasmussen</t>
        </is>
      </c>
      <c r="H407" s="22" t="n"/>
      <c r="I407" s="30" t="inlineStr">
        <is>
          <t>4:42.19</t>
        </is>
      </c>
      <c r="J407" s="22">
        <f>IF(I407="","",IF(ISNUMBER(SEARCH(":",I407)),VALUE(LEFT(I407,SEARCH(":",I407)-1))*60+VALUE(MID(I407,SEARCH(":",I407)+1,99)),VALUE(I407)))</f>
        <v/>
      </c>
      <c r="K407" s="30" t="inlineStr">
        <is>
          <t>20.07.17</t>
        </is>
      </c>
      <c r="L407" s="30" t="inlineStr">
        <is>
          <t>Swimming New Zealand Long Course Records by Age - user-supplied PDF</t>
        </is>
      </c>
      <c r="M407" s="30" t="n"/>
      <c r="N407" s="30" t="inlineStr">
        <is>
          <t>NO</t>
        </is>
      </c>
      <c r="O407" s="30" t="inlineStr">
        <is>
          <t>YES</t>
        </is>
      </c>
      <c r="P407" s="30" t="n"/>
      <c r="Q407" s="30" t="inlineStr">
        <is>
          <t>4:45.19</t>
        </is>
      </c>
      <c r="R407" s="22">
        <f>IF(Q407="","",IF(ISNUMBER(SEARCH(":",Q407)),VALUE(LEFT(Q407,SEARCH(":",Q407)-1))*60+VALUE(MID(Q407,SEARCH(":",Q407)+1,99)),VALUE(Q407)))</f>
        <v/>
      </c>
      <c r="S407" s="39">
        <f>IF(OR(J407="",R407=""),"",(R407-J407)/R407)</f>
        <v/>
      </c>
      <c r="T407" s="22">
        <f>IF(OR(P407&lt;&gt;"",N407="YES"),"YES","NO")</f>
        <v/>
      </c>
      <c r="U407" s="22">
        <f>IF(AND(O407="YES",T407="YES",S407&lt;&gt;""),COUNTIFS($C$5:$C$424,C407,$S$5:$S$424,"&gt;"&amp;S407)+COUNTIFS($C$5:C407,C407,$S$5:S407,S407),"")</f>
        <v/>
      </c>
      <c r="V407" s="22">
        <f>IF(U407="","",C407&amp;"|"&amp;U407)</f>
        <v/>
      </c>
      <c r="W407" s="30" t="n"/>
      <c r="X407" s="30" t="inlineStr">
        <is>
          <t>Next-fastest time supplied in user workbook; swimmer name not yet supplied.</t>
        </is>
      </c>
    </row>
    <row r="408" ht="15" customHeight="1" s="17">
      <c r="A408" s="30" t="inlineStr">
        <is>
          <t>NZ|LCM|F|18|50 Free</t>
        </is>
      </c>
      <c r="B408" s="30" t="inlineStr">
        <is>
          <t>LCM</t>
        </is>
      </c>
      <c r="C408" s="30" t="inlineStr">
        <is>
          <t>Female</t>
        </is>
      </c>
      <c r="D408" s="30" t="n">
        <v>18</v>
      </c>
      <c r="E408" s="30" t="inlineStr">
        <is>
          <t>50 Free</t>
        </is>
      </c>
      <c r="F408" s="30" t="inlineStr">
        <is>
          <t>Zoe Pedersen</t>
        </is>
      </c>
      <c r="G408" s="22" t="inlineStr">
        <is>
          <t>Zoe Pedersen</t>
        </is>
      </c>
      <c r="H408" s="22" t="n"/>
      <c r="I408" s="30" t="inlineStr">
        <is>
          <t>25.43</t>
        </is>
      </c>
      <c r="J408" s="22">
        <f>IF(I408="","",IF(ISNUMBER(SEARCH(":",I408)),VALUE(LEFT(I408,SEARCH(":",I408)-1))*60+VALUE(MID(I408,SEARCH(":",I408)+1,99)),VALUE(I408)))</f>
        <v/>
      </c>
      <c r="K408" s="30" t="inlineStr">
        <is>
          <t>23.08.25</t>
        </is>
      </c>
      <c r="L408" s="30" t="inlineStr">
        <is>
          <t>Swimming New Zealand Long Course Records by Age - user-supplied PDF</t>
        </is>
      </c>
      <c r="M408" s="30" t="n"/>
      <c r="N408" s="30" t="inlineStr">
        <is>
          <t>NO</t>
        </is>
      </c>
      <c r="O408" s="30" t="inlineStr">
        <is>
          <t>YES</t>
        </is>
      </c>
      <c r="P408" s="30" t="n"/>
      <c r="Q408" s="30" t="inlineStr">
        <is>
          <t>25.64</t>
        </is>
      </c>
      <c r="R408" s="22">
        <f>IF(Q408="","",IF(ISNUMBER(SEARCH(":",Q408)),VALUE(LEFT(Q408,SEARCH(":",Q408)-1))*60+VALUE(MID(Q408,SEARCH(":",Q408)+1,99)),VALUE(Q408)))</f>
        <v/>
      </c>
      <c r="S408" s="39">
        <f>IF(OR(J408="",R408=""),"",(R408-J408)/R408)</f>
        <v/>
      </c>
      <c r="T408" s="22">
        <f>IF(OR(P408&lt;&gt;"",N408="YES"),"YES","NO")</f>
        <v/>
      </c>
      <c r="U408" s="22">
        <f>IF(AND(O408="YES",T408="YES",S408&lt;&gt;""),COUNTIFS($C$5:$C$424,C408,$S$5:$S$424,"&gt;"&amp;S408)+COUNTIFS($C$5:C408,C408,$S$5:S408,S408),"")</f>
        <v/>
      </c>
      <c r="V408" s="22">
        <f>IF(U408="","",C408&amp;"|"&amp;U408)</f>
        <v/>
      </c>
      <c r="W408" s="30" t="n"/>
      <c r="X408" s="30" t="inlineStr">
        <is>
          <t>Next-fastest time supplied in user workbook; swimmer name not yet supplied.</t>
        </is>
      </c>
    </row>
    <row r="409" ht="15" customHeight="1" s="17">
      <c r="A409" s="30" t="inlineStr">
        <is>
          <t>NZ|LCM|F|18|100 Free</t>
        </is>
      </c>
      <c r="B409" s="30" t="inlineStr">
        <is>
          <t>LCM</t>
        </is>
      </c>
      <c r="C409" s="30" t="inlineStr">
        <is>
          <t>Female</t>
        </is>
      </c>
      <c r="D409" s="30" t="n">
        <v>18</v>
      </c>
      <c r="E409" s="30" t="inlineStr">
        <is>
          <t>100 Free</t>
        </is>
      </c>
      <c r="F409" s="30" t="inlineStr">
        <is>
          <t>Zoe Pedersen</t>
        </is>
      </c>
      <c r="G409" s="22" t="inlineStr">
        <is>
          <t>Zoe Pedersen</t>
        </is>
      </c>
      <c r="H409" s="22" t="n"/>
      <c r="I409" s="30" t="inlineStr">
        <is>
          <t>55.03</t>
        </is>
      </c>
      <c r="J409" s="22">
        <f>IF(I409="","",IF(ISNUMBER(SEARCH(":",I409)),VALUE(LEFT(I409,SEARCH(":",I409)-1))*60+VALUE(MID(I409,SEARCH(":",I409)+1,99)),VALUE(I409)))</f>
        <v/>
      </c>
      <c r="K409" s="30" t="inlineStr">
        <is>
          <t>20.08.25</t>
        </is>
      </c>
      <c r="L409" s="30" t="inlineStr">
        <is>
          <t>Swimming New Zealand Long Course Records by Age - user-supplied PDF</t>
        </is>
      </c>
      <c r="M409" s="30" t="n"/>
      <c r="N409" s="30" t="inlineStr">
        <is>
          <t>NO</t>
        </is>
      </c>
      <c r="O409" s="30" t="inlineStr">
        <is>
          <t>YES</t>
        </is>
      </c>
      <c r="P409" s="30" t="n"/>
      <c r="Q409" s="30" t="inlineStr">
        <is>
          <t>55.30</t>
        </is>
      </c>
      <c r="R409" s="22">
        <f>IF(Q409="","",IF(ISNUMBER(SEARCH(":",Q409)),VALUE(LEFT(Q409,SEARCH(":",Q409)-1))*60+VALUE(MID(Q409,SEARCH(":",Q409)+1,99)),VALUE(Q409)))</f>
        <v/>
      </c>
      <c r="S409" s="39">
        <f>IF(OR(J409="",R409=""),"",(R409-J409)/R409)</f>
        <v/>
      </c>
      <c r="T409" s="22">
        <f>IF(OR(P409&lt;&gt;"",N409="YES"),"YES","NO")</f>
        <v/>
      </c>
      <c r="U409" s="22">
        <f>IF(AND(O409="YES",T409="YES",S409&lt;&gt;""),COUNTIFS($C$5:$C$424,C409,$S$5:$S$424,"&gt;"&amp;S409)+COUNTIFS($C$5:C409,C409,$S$5:S409,S409),"")</f>
        <v/>
      </c>
      <c r="V409" s="22">
        <f>IF(U409="","",C409&amp;"|"&amp;U409)</f>
        <v/>
      </c>
      <c r="W409" s="30" t="n"/>
      <c r="X409" s="30" t="inlineStr">
        <is>
          <t>Next-fastest time supplied in user workbook; swimmer name not yet supplied.</t>
        </is>
      </c>
    </row>
    <row r="410" ht="15" customHeight="1" s="17">
      <c r="A410" s="30" t="inlineStr">
        <is>
          <t>NZ|LCM|F|18|200 Free</t>
        </is>
      </c>
      <c r="B410" s="30" t="inlineStr">
        <is>
          <t>LCM</t>
        </is>
      </c>
      <c r="C410" s="30" t="inlineStr">
        <is>
          <t>Female</t>
        </is>
      </c>
      <c r="D410" s="30" t="n">
        <v>18</v>
      </c>
      <c r="E410" s="30" t="inlineStr">
        <is>
          <t>200 Free</t>
        </is>
      </c>
      <c r="F410" s="30" t="inlineStr">
        <is>
          <t>Erika Fairweather</t>
        </is>
      </c>
      <c r="G410" s="22" t="inlineStr">
        <is>
          <t>Erika Fairweather</t>
        </is>
      </c>
      <c r="H410" s="22" t="n"/>
      <c r="I410" s="30" t="inlineStr">
        <is>
          <t>1:57.08</t>
        </is>
      </c>
      <c r="J410" s="22">
        <f>IF(I410="","",IF(ISNUMBER(SEARCH(":",I410)),VALUE(LEFT(I410,SEARCH(":",I410)-1))*60+VALUE(MID(I410,SEARCH(":",I410)+1,99)),VALUE(I410)))</f>
        <v/>
      </c>
      <c r="K410" s="30" t="inlineStr">
        <is>
          <t>29.07.22</t>
        </is>
      </c>
      <c r="L410" s="30" t="inlineStr">
        <is>
          <t>Swimming New Zealand Long Course Records by Age - user-supplied PDF</t>
        </is>
      </c>
      <c r="M410" s="30" t="n"/>
      <c r="N410" s="30" t="inlineStr">
        <is>
          <t>NO</t>
        </is>
      </c>
      <c r="O410" s="30" t="inlineStr">
        <is>
          <t>YES</t>
        </is>
      </c>
      <c r="P410" s="30" t="n"/>
      <c r="Q410" s="30" t="inlineStr">
        <is>
          <t>2:00.06</t>
        </is>
      </c>
      <c r="R410" s="22">
        <f>IF(Q410="","",IF(ISNUMBER(SEARCH(":",Q410)),VALUE(LEFT(Q410,SEARCH(":",Q410)-1))*60+VALUE(MID(Q410,SEARCH(":",Q410)+1,99)),VALUE(Q410)))</f>
        <v/>
      </c>
      <c r="S410" s="39">
        <f>IF(OR(J410="",R410=""),"",(R410-J410)/R410)</f>
        <v/>
      </c>
      <c r="T410" s="22">
        <f>IF(OR(P410&lt;&gt;"",N410="YES"),"YES","NO")</f>
        <v/>
      </c>
      <c r="U410" s="22">
        <f>IF(AND(O410="YES",T410="YES",S410&lt;&gt;""),COUNTIFS($C$5:$C$424,C410,$S$5:$S$424,"&gt;"&amp;S410)+COUNTIFS($C$5:C410,C410,$S$5:S410,S410),"")</f>
        <v/>
      </c>
      <c r="V410" s="22">
        <f>IF(U410="","",C410&amp;"|"&amp;U410)</f>
        <v/>
      </c>
      <c r="W410" s="30" t="n"/>
      <c r="X410" s="30" t="inlineStr">
        <is>
          <t>Next-fastest time supplied in user workbook; swimmer name not yet supplied.</t>
        </is>
      </c>
    </row>
    <row r="411" ht="15" customHeight="1" s="17">
      <c r="A411" s="30" t="inlineStr">
        <is>
          <t>NZ|LCM|F|18|400 Free</t>
        </is>
      </c>
      <c r="B411" s="30" t="inlineStr">
        <is>
          <t>LCM</t>
        </is>
      </c>
      <c r="C411" s="30" t="inlineStr">
        <is>
          <t>Female</t>
        </is>
      </c>
      <c r="D411" s="30" t="n">
        <v>18</v>
      </c>
      <c r="E411" s="30" t="inlineStr">
        <is>
          <t>400 Free</t>
        </is>
      </c>
      <c r="F411" s="30" t="inlineStr">
        <is>
          <t>Erika Fairweather</t>
        </is>
      </c>
      <c r="G411" s="22" t="inlineStr">
        <is>
          <t>Erika Fairweather</t>
        </is>
      </c>
      <c r="H411" s="22" t="n"/>
      <c r="I411" s="30" t="inlineStr">
        <is>
          <t>4:03.84</t>
        </is>
      </c>
      <c r="J411" s="22">
        <f>IF(I411="","",IF(ISNUMBER(SEARCH(":",I411)),VALUE(LEFT(I411,SEARCH(":",I411)-1))*60+VALUE(MID(I411,SEARCH(":",I411)+1,99)),VALUE(I411)))</f>
        <v/>
      </c>
      <c r="K411" s="30" t="inlineStr">
        <is>
          <t>03.08.22</t>
        </is>
      </c>
      <c r="L411" s="30" t="inlineStr">
        <is>
          <t>Swimming New Zealand Long Course Records by Age - user-supplied PDF</t>
        </is>
      </c>
      <c r="M411" s="30" t="n"/>
      <c r="N411" s="30" t="inlineStr">
        <is>
          <t>NO</t>
        </is>
      </c>
      <c r="O411" s="30" t="inlineStr">
        <is>
          <t>YES</t>
        </is>
      </c>
      <c r="P411" s="30" t="inlineStr">
        <is>
          <t>Eve Thomas</t>
        </is>
      </c>
      <c r="Q411" s="30" t="inlineStr">
        <is>
          <t>4:11.74</t>
        </is>
      </c>
      <c r="R411" s="22">
        <f>IF(Q411="","",IF(ISNUMBER(SEARCH(":",Q411)),VALUE(LEFT(Q411,SEARCH(":",Q411)-1))*60+VALUE(MID(Q411,SEARCH(":",Q411)+1,99)),VALUE(Q411)))</f>
        <v/>
      </c>
      <c r="S411" s="39">
        <f>IF(OR(J411="",R411=""),"",(R411-J411)/R411)</f>
        <v/>
      </c>
      <c r="T411" s="22">
        <f>IF(OR(P411&lt;&gt;"",N411="YES"),"YES","NO")</f>
        <v/>
      </c>
      <c r="U411" s="22">
        <f>IF(AND(O411="YES",T411="YES",S411&lt;&gt;""),COUNTIFS($C$5:$C$424,C411,$S$5:$S$424,"&gt;"&amp;S411)+COUNTIFS($C$5:C411,C411,$S$5:S411,S411),"")</f>
        <v/>
      </c>
      <c r="V411" s="22">
        <f>IF(U411="","",C411&amp;"|"&amp;U411)</f>
        <v/>
      </c>
      <c r="W411" s="30" t="n"/>
      <c r="X411" s="30" t="inlineStr">
        <is>
          <t>Next-fastest time supplied in user workbook; swimmer name not yet supplied.</t>
        </is>
      </c>
    </row>
    <row r="412" ht="15" customHeight="1" s="17">
      <c r="A412" s="30" t="inlineStr">
        <is>
          <t>NZ|LCM|F|18|800 Free</t>
        </is>
      </c>
      <c r="B412" s="30" t="inlineStr">
        <is>
          <t>LCM</t>
        </is>
      </c>
      <c r="C412" s="30" t="inlineStr">
        <is>
          <t>Female</t>
        </is>
      </c>
      <c r="D412" s="30" t="n">
        <v>18</v>
      </c>
      <c r="E412" s="30" t="inlineStr">
        <is>
          <t>800 Free</t>
        </is>
      </c>
      <c r="F412" s="30" t="inlineStr">
        <is>
          <t>Eve Thomas</t>
        </is>
      </c>
      <c r="G412" s="22" t="inlineStr">
        <is>
          <t>Eve Thomas</t>
        </is>
      </c>
      <c r="H412" s="22" t="n"/>
      <c r="I412" s="30" t="inlineStr">
        <is>
          <t>8:37.75</t>
        </is>
      </c>
      <c r="J412" s="22">
        <f>IF(I412="","",IF(ISNUMBER(SEARCH(":",I412)),VALUE(LEFT(I412,SEARCH(":",I412)-1))*60+VALUE(MID(I412,SEARCH(":",I412)+1,99)),VALUE(I412)))</f>
        <v/>
      </c>
      <c r="K412" s="30" t="inlineStr">
        <is>
          <t>17.12.19</t>
        </is>
      </c>
      <c r="L412" s="30" t="inlineStr">
        <is>
          <t>Swimming New Zealand Long Course Records by Age - user-supplied PDF</t>
        </is>
      </c>
      <c r="M412" s="30" t="n"/>
      <c r="N412" s="30" t="inlineStr">
        <is>
          <t>NO</t>
        </is>
      </c>
      <c r="O412" s="30" t="inlineStr">
        <is>
          <t>YES</t>
        </is>
      </c>
      <c r="P412" s="30" t="n"/>
      <c r="Q412" s="30" t="inlineStr">
        <is>
          <t>8:42.01</t>
        </is>
      </c>
      <c r="R412" s="22">
        <f>IF(Q412="","",IF(ISNUMBER(SEARCH(":",Q412)),VALUE(LEFT(Q412,SEARCH(":",Q412)-1))*60+VALUE(MID(Q412,SEARCH(":",Q412)+1,99)),VALUE(Q412)))</f>
        <v/>
      </c>
      <c r="S412" s="39">
        <f>IF(OR(J412="",R412=""),"",(R412-J412)/R412)</f>
        <v/>
      </c>
      <c r="T412" s="22">
        <f>IF(OR(P412&lt;&gt;"",N412="YES"),"YES","NO")</f>
        <v/>
      </c>
      <c r="U412" s="22">
        <f>IF(AND(O412="YES",T412="YES",S412&lt;&gt;""),COUNTIFS($C$5:$C$424,C412,$S$5:$S$424,"&gt;"&amp;S412)+COUNTIFS($C$5:C412,C412,$S$5:S412,S412),"")</f>
        <v/>
      </c>
      <c r="V412" s="22">
        <f>IF(U412="","",C412&amp;"|"&amp;U412)</f>
        <v/>
      </c>
      <c r="W412" s="30" t="n"/>
      <c r="X412" s="30" t="inlineStr">
        <is>
          <t>Next-fastest time supplied in user workbook; swimmer name not yet supplied.</t>
        </is>
      </c>
    </row>
    <row r="413" ht="15" customHeight="1" s="17">
      <c r="A413" s="30" t="inlineStr">
        <is>
          <t>NZ|LCM|F|18|1500 Free</t>
        </is>
      </c>
      <c r="B413" s="30" t="inlineStr">
        <is>
          <t>LCM</t>
        </is>
      </c>
      <c r="C413" s="30" t="inlineStr">
        <is>
          <t>Female</t>
        </is>
      </c>
      <c r="D413" s="30" t="n">
        <v>18</v>
      </c>
      <c r="E413" s="30" t="inlineStr">
        <is>
          <t>1500 Free</t>
        </is>
      </c>
      <c r="F413" s="30" t="inlineStr">
        <is>
          <t>Eve Thomas</t>
        </is>
      </c>
      <c r="G413" s="22" t="inlineStr">
        <is>
          <t>Eve Thomas</t>
        </is>
      </c>
      <c r="H413" s="22" t="n"/>
      <c r="I413" s="30" t="inlineStr">
        <is>
          <t>16:28.57</t>
        </is>
      </c>
      <c r="J413" s="22">
        <f>IF(I413="","",IF(ISNUMBER(SEARCH(":",I413)),VALUE(LEFT(I413,SEARCH(":",I413)-1))*60+VALUE(MID(I413,SEARCH(":",I413)+1,99)),VALUE(I413)))</f>
        <v/>
      </c>
      <c r="K413" s="30" t="inlineStr">
        <is>
          <t>18.12.19</t>
        </is>
      </c>
      <c r="L413" s="30" t="inlineStr">
        <is>
          <t>Swimming New Zealand Long Course Records by Age - user-supplied PDF</t>
        </is>
      </c>
      <c r="M413" s="30" t="n"/>
      <c r="N413" s="30" t="inlineStr">
        <is>
          <t>NO</t>
        </is>
      </c>
      <c r="O413" s="30" t="inlineStr">
        <is>
          <t>YES</t>
        </is>
      </c>
      <c r="P413" s="30" t="n"/>
      <c r="Q413" s="30" t="inlineStr">
        <is>
          <t>16:37.30</t>
        </is>
      </c>
      <c r="R413" s="22">
        <f>IF(Q413="","",IF(ISNUMBER(SEARCH(":",Q413)),VALUE(LEFT(Q413,SEARCH(":",Q413)-1))*60+VALUE(MID(Q413,SEARCH(":",Q413)+1,99)),VALUE(Q413)))</f>
        <v/>
      </c>
      <c r="S413" s="39">
        <f>IF(OR(J413="",R413=""),"",(R413-J413)/R413)</f>
        <v/>
      </c>
      <c r="T413" s="22">
        <f>IF(OR(P413&lt;&gt;"",N413="YES"),"YES","NO")</f>
        <v/>
      </c>
      <c r="U413" s="22">
        <f>IF(AND(O413="YES",T413="YES",S413&lt;&gt;""),COUNTIFS($C$5:$C$424,C413,$S$5:$S$424,"&gt;"&amp;S413)+COUNTIFS($C$5:C413,C413,$S$5:S413,S413),"")</f>
        <v/>
      </c>
      <c r="V413" s="22">
        <f>IF(U413="","",C413&amp;"|"&amp;U413)</f>
        <v/>
      </c>
      <c r="W413" s="30" t="n"/>
      <c r="X413" s="30" t="inlineStr">
        <is>
          <t>Next-fastest time supplied in user workbook; swimmer name not yet supplied.</t>
        </is>
      </c>
    </row>
    <row r="414" ht="15" customHeight="1" s="17">
      <c r="A414" s="30" t="inlineStr">
        <is>
          <t>NZ|LCM|F|18|50 Back</t>
        </is>
      </c>
      <c r="B414" s="30" t="inlineStr">
        <is>
          <t>LCM</t>
        </is>
      </c>
      <c r="C414" s="30" t="inlineStr">
        <is>
          <t>Female</t>
        </is>
      </c>
      <c r="D414" s="30" t="n">
        <v>18</v>
      </c>
      <c r="E414" s="30" t="inlineStr">
        <is>
          <t>50 Back</t>
        </is>
      </c>
      <c r="F414" s="30" t="inlineStr">
        <is>
          <t>Milan Glintmeyer</t>
        </is>
      </c>
      <c r="G414" s="22" t="inlineStr">
        <is>
          <t>Milan Glintmeyer</t>
        </is>
      </c>
      <c r="H414" s="22" t="n"/>
      <c r="I414" s="30" t="inlineStr">
        <is>
          <t>28.25</t>
        </is>
      </c>
      <c r="J414" s="22">
        <f>IF(I414="","",IF(ISNUMBER(SEARCH(":",I414)),VALUE(LEFT(I414,SEARCH(":",I414)-1))*60+VALUE(MID(I414,SEARCH(":",I414)+1,99)),VALUE(I414)))</f>
        <v/>
      </c>
      <c r="K414" s="30" t="inlineStr">
        <is>
          <t>13.08.26</t>
        </is>
      </c>
      <c r="L414" s="30" t="inlineStr">
        <is>
          <t>Swimming New Zealand Long Course Records by Age - user-supplied PDF</t>
        </is>
      </c>
      <c r="M414" s="30" t="n"/>
      <c r="N414" s="30" t="inlineStr">
        <is>
          <t>NO</t>
        </is>
      </c>
      <c r="O414" s="30" t="inlineStr">
        <is>
          <t>YES</t>
        </is>
      </c>
      <c r="P414" s="30" t="n"/>
      <c r="Q414" s="30" t="inlineStr">
        <is>
          <t>28.47</t>
        </is>
      </c>
      <c r="R414" s="22">
        <f>IF(Q414="","",IF(ISNUMBER(SEARCH(":",Q414)),VALUE(LEFT(Q414,SEARCH(":",Q414)-1))*60+VALUE(MID(Q414,SEARCH(":",Q414)+1,99)),VALUE(Q414)))</f>
        <v/>
      </c>
      <c r="S414" s="39">
        <f>IF(OR(J414="",R414=""),"",(R414-J414)/R414)</f>
        <v/>
      </c>
      <c r="T414" s="22">
        <f>IF(OR(P414&lt;&gt;"",N414="YES"),"YES","NO")</f>
        <v/>
      </c>
      <c r="U414" s="22">
        <f>IF(AND(O414="YES",T414="YES",S414&lt;&gt;""),COUNTIFS($C$5:$C$424,C414,$S$5:$S$424,"&gt;"&amp;S414)+COUNTIFS($C$5:C414,C414,$S$5:S414,S414),"")</f>
        <v/>
      </c>
      <c r="V414" s="22">
        <f>IF(U414="","",C414&amp;"|"&amp;U414)</f>
        <v/>
      </c>
      <c r="W414" s="30" t="n"/>
      <c r="X414" s="30" t="inlineStr">
        <is>
          <t>Next-fastest time supplied in user workbook; swimmer name not yet supplied.</t>
        </is>
      </c>
    </row>
    <row r="415" ht="15" customHeight="1" s="17">
      <c r="A415" s="30" t="inlineStr">
        <is>
          <t>NZ|LCM|F|18|100 Back</t>
        </is>
      </c>
      <c r="B415" s="30" t="inlineStr">
        <is>
          <t>LCM</t>
        </is>
      </c>
      <c r="C415" s="30" t="inlineStr">
        <is>
          <t>Female</t>
        </is>
      </c>
      <c r="D415" s="30" t="n">
        <v>18</v>
      </c>
      <c r="E415" s="30" t="inlineStr">
        <is>
          <t>100 Back</t>
        </is>
      </c>
      <c r="F415" s="30" t="inlineStr">
        <is>
          <t>Milan Glintmeyer</t>
        </is>
      </c>
      <c r="G415" s="22" t="inlineStr">
        <is>
          <t>Milan Glintmeyer</t>
        </is>
      </c>
      <c r="H415" s="22" t="n"/>
      <c r="I415" s="30" t="inlineStr">
        <is>
          <t>1:00.34</t>
        </is>
      </c>
      <c r="J415" s="22">
        <f>IF(I415="","",IF(ISNUMBER(SEARCH(":",I415)),VALUE(LEFT(I415,SEARCH(":",I415)-1))*60+VALUE(MID(I415,SEARCH(":",I415)+1,99)),VALUE(I415)))</f>
        <v/>
      </c>
      <c r="K415" s="30" t="inlineStr">
        <is>
          <t>12.08.26</t>
        </is>
      </c>
      <c r="L415" s="30" t="inlineStr">
        <is>
          <t>Swimming New Zealand Long Course Records by Age - user-supplied PDF</t>
        </is>
      </c>
      <c r="M415" s="30" t="n"/>
      <c r="N415" s="30" t="inlineStr">
        <is>
          <t>NO</t>
        </is>
      </c>
      <c r="O415" s="30" t="inlineStr">
        <is>
          <t>YES</t>
        </is>
      </c>
      <c r="P415" s="30" t="n"/>
      <c r="Q415" s="30" t="inlineStr">
        <is>
          <t>1:01.64</t>
        </is>
      </c>
      <c r="R415" s="22">
        <f>IF(Q415="","",IF(ISNUMBER(SEARCH(":",Q415)),VALUE(LEFT(Q415,SEARCH(":",Q415)-1))*60+VALUE(MID(Q415,SEARCH(":",Q415)+1,99)),VALUE(Q415)))</f>
        <v/>
      </c>
      <c r="S415" s="39">
        <f>IF(OR(J415="",R415=""),"",(R415-J415)/R415)</f>
        <v/>
      </c>
      <c r="T415" s="22">
        <f>IF(OR(P415&lt;&gt;"",N415="YES"),"YES","NO")</f>
        <v/>
      </c>
      <c r="U415" s="22">
        <f>IF(AND(O415="YES",T415="YES",S415&lt;&gt;""),COUNTIFS($C$5:$C$424,C415,$S$5:$S$424,"&gt;"&amp;S415)+COUNTIFS($C$5:C415,C415,$S$5:S415,S415),"")</f>
        <v/>
      </c>
      <c r="V415" s="22">
        <f>IF(U415="","",C415&amp;"|"&amp;U415)</f>
        <v/>
      </c>
      <c r="W415" s="30" t="n"/>
      <c r="X415" s="30" t="inlineStr">
        <is>
          <t>Next-fastest time supplied in user workbook; swimmer name not yet supplied.</t>
        </is>
      </c>
    </row>
    <row r="416" ht="15" customHeight="1" s="17">
      <c r="A416" s="30" t="inlineStr">
        <is>
          <t>NZ|LCM|F|18|200 Back</t>
        </is>
      </c>
      <c r="B416" s="30" t="inlineStr">
        <is>
          <t>LCM</t>
        </is>
      </c>
      <c r="C416" s="30" t="inlineStr">
        <is>
          <t>Female</t>
        </is>
      </c>
      <c r="D416" s="30" t="n">
        <v>18</v>
      </c>
      <c r="E416" s="30" t="inlineStr">
        <is>
          <t>200 Back</t>
        </is>
      </c>
      <c r="F416" s="30" t="inlineStr">
        <is>
          <t>Penelope Marshall</t>
        </is>
      </c>
      <c r="G416" s="22" t="inlineStr">
        <is>
          <t>Penelope Marshall</t>
        </is>
      </c>
      <c r="H416" s="22" t="n"/>
      <c r="I416" s="30" t="inlineStr">
        <is>
          <t>2:12.65</t>
        </is>
      </c>
      <c r="J416" s="22">
        <f>IF(I416="","",IF(ISNUMBER(SEARCH(":",I416)),VALUE(LEFT(I416,SEARCH(":",I416)-1))*60+VALUE(MID(I416,SEARCH(":",I416)+1,99)),VALUE(I416)))</f>
        <v/>
      </c>
      <c r="K416" s="30" t="inlineStr">
        <is>
          <t>04.07.08</t>
        </is>
      </c>
      <c r="L416" s="30" t="inlineStr">
        <is>
          <t>Swimming New Zealand Long Course Records by Age - user-supplied PDF</t>
        </is>
      </c>
      <c r="M416" s="30" t="n"/>
      <c r="N416" s="30" t="inlineStr">
        <is>
          <t>NO</t>
        </is>
      </c>
      <c r="O416" s="30" t="inlineStr">
        <is>
          <t>YES</t>
        </is>
      </c>
      <c r="P416" s="30" t="n"/>
      <c r="Q416" s="30" t="inlineStr">
        <is>
          <t>2:12.69</t>
        </is>
      </c>
      <c r="R416" s="22">
        <f>IF(Q416="","",IF(ISNUMBER(SEARCH(":",Q416)),VALUE(LEFT(Q416,SEARCH(":",Q416)-1))*60+VALUE(MID(Q416,SEARCH(":",Q416)+1,99)),VALUE(Q416)))</f>
        <v/>
      </c>
      <c r="S416" s="39">
        <f>IF(OR(J416="",R416=""),"",(R416-J416)/R416)</f>
        <v/>
      </c>
      <c r="T416" s="22">
        <f>IF(OR(P416&lt;&gt;"",N416="YES"),"YES","NO")</f>
        <v/>
      </c>
      <c r="U416" s="22">
        <f>IF(AND(O416="YES",T416="YES",S416&lt;&gt;""),COUNTIFS($C$5:$C$424,C416,$S$5:$S$424,"&gt;"&amp;S416)+COUNTIFS($C$5:C416,C416,$S$5:S416,S416),"")</f>
        <v/>
      </c>
      <c r="V416" s="22">
        <f>IF(U416="","",C416&amp;"|"&amp;U416)</f>
        <v/>
      </c>
      <c r="W416" s="30" t="n"/>
      <c r="X416" s="30" t="inlineStr">
        <is>
          <t>Next-fastest time supplied in user workbook; swimmer name not yet supplied.</t>
        </is>
      </c>
    </row>
    <row r="417" ht="15" customHeight="1" s="17">
      <c r="A417" s="30" t="inlineStr">
        <is>
          <t>NZ|LCM|F|18|50 Breast</t>
        </is>
      </c>
      <c r="B417" s="30" t="inlineStr">
        <is>
          <t>LCM</t>
        </is>
      </c>
      <c r="C417" s="30" t="inlineStr">
        <is>
          <t>Female</t>
        </is>
      </c>
      <c r="D417" s="30" t="n">
        <v>18</v>
      </c>
      <c r="E417" s="30" t="inlineStr">
        <is>
          <t>50 Breast</t>
        </is>
      </c>
      <c r="F417" s="30" t="inlineStr">
        <is>
          <t>Monique Wieruszowski</t>
        </is>
      </c>
      <c r="G417" s="22" t="inlineStr">
        <is>
          <t>Monique Wieruszowski</t>
        </is>
      </c>
      <c r="H417" s="22" t="n"/>
      <c r="I417" s="30" t="inlineStr">
        <is>
          <t>31.80</t>
        </is>
      </c>
      <c r="J417" s="22">
        <f>IF(I417="","",IF(ISNUMBER(SEARCH(":",I417)),VALUE(LEFT(I417,SEARCH(":",I417)-1))*60+VALUE(MID(I417,SEARCH(":",I417)+1,99)),VALUE(I417)))</f>
        <v/>
      </c>
      <c r="K417" s="30" t="inlineStr">
        <is>
          <t>21.08.25</t>
        </is>
      </c>
      <c r="L417" s="30" t="inlineStr">
        <is>
          <t>Swimming New Zealand Long Course Records by Age - user-supplied PDF</t>
        </is>
      </c>
      <c r="M417" s="30" t="n"/>
      <c r="N417" s="30" t="inlineStr">
        <is>
          <t>NO</t>
        </is>
      </c>
      <c r="O417" s="30" t="inlineStr">
        <is>
          <t>YES</t>
        </is>
      </c>
      <c r="P417" s="30" t="n"/>
      <c r="Q417" s="30" t="inlineStr">
        <is>
          <t>32.33</t>
        </is>
      </c>
      <c r="R417" s="22">
        <f>IF(Q417="","",IF(ISNUMBER(SEARCH(":",Q417)),VALUE(LEFT(Q417,SEARCH(":",Q417)-1))*60+VALUE(MID(Q417,SEARCH(":",Q417)+1,99)),VALUE(Q417)))</f>
        <v/>
      </c>
      <c r="S417" s="39">
        <f>IF(OR(J417="",R417=""),"",(R417-J417)/R417)</f>
        <v/>
      </c>
      <c r="T417" s="22">
        <f>IF(OR(P417&lt;&gt;"",N417="YES"),"YES","NO")</f>
        <v/>
      </c>
      <c r="U417" s="22">
        <f>IF(AND(O417="YES",T417="YES",S417&lt;&gt;""),COUNTIFS($C$5:$C$424,C417,$S$5:$S$424,"&gt;"&amp;S417)+COUNTIFS($C$5:C417,C417,$S$5:S417,S417),"")</f>
        <v/>
      </c>
      <c r="V417" s="22">
        <f>IF(U417="","",C417&amp;"|"&amp;U417)</f>
        <v/>
      </c>
      <c r="W417" s="30" t="n"/>
      <c r="X417" s="30" t="inlineStr">
        <is>
          <t>Next-fastest time supplied in user workbook; swimmer name not yet supplied.</t>
        </is>
      </c>
    </row>
    <row r="418" ht="15" customHeight="1" s="17">
      <c r="A418" s="30" t="inlineStr">
        <is>
          <t>NZ|LCM|F|18|100 Breast</t>
        </is>
      </c>
      <c r="B418" s="30" t="inlineStr">
        <is>
          <t>LCM</t>
        </is>
      </c>
      <c r="C418" s="30" t="inlineStr">
        <is>
          <t>Female</t>
        </is>
      </c>
      <c r="D418" s="30" t="n">
        <v>18</v>
      </c>
      <c r="E418" s="30" t="inlineStr">
        <is>
          <t>100 Breast</t>
        </is>
      </c>
      <c r="F418" s="30" t="inlineStr">
        <is>
          <t>Monique Wieruszowski</t>
        </is>
      </c>
      <c r="G418" s="22" t="inlineStr">
        <is>
          <t>Monique Wieruszowski</t>
        </is>
      </c>
      <c r="H418" s="22" t="n"/>
      <c r="I418" s="30" t="inlineStr">
        <is>
          <t>1:08.65</t>
        </is>
      </c>
      <c r="J418" s="22">
        <f>IF(I418="","",IF(ISNUMBER(SEARCH(":",I418)),VALUE(LEFT(I418,SEARCH(":",I418)-1))*60+VALUE(MID(I418,SEARCH(":",I418)+1,99)),VALUE(I418)))</f>
        <v/>
      </c>
      <c r="K418" s="30" t="inlineStr">
        <is>
          <t>22.08.25</t>
        </is>
      </c>
      <c r="L418" s="30" t="inlineStr">
        <is>
          <t>Swimming New Zealand Long Course Records by Age - user-supplied PDF</t>
        </is>
      </c>
      <c r="M418" s="30" t="n"/>
      <c r="N418" s="30" t="inlineStr">
        <is>
          <t>NO</t>
        </is>
      </c>
      <c r="O418" s="30" t="inlineStr">
        <is>
          <t>YES</t>
        </is>
      </c>
      <c r="P418" s="30" t="n"/>
      <c r="Q418" s="30" t="inlineStr">
        <is>
          <t>1:09.06</t>
        </is>
      </c>
      <c r="R418" s="22">
        <f>IF(Q418="","",IF(ISNUMBER(SEARCH(":",Q418)),VALUE(LEFT(Q418,SEARCH(":",Q418)-1))*60+VALUE(MID(Q418,SEARCH(":",Q418)+1,99)),VALUE(Q418)))</f>
        <v/>
      </c>
      <c r="S418" s="39">
        <f>IF(OR(J418="",R418=""),"",(R418-J418)/R418)</f>
        <v/>
      </c>
      <c r="T418" s="22">
        <f>IF(OR(P418&lt;&gt;"",N418="YES"),"YES","NO")</f>
        <v/>
      </c>
      <c r="U418" s="22">
        <f>IF(AND(O418="YES",T418="YES",S418&lt;&gt;""),COUNTIFS($C$5:$C$424,C418,$S$5:$S$424,"&gt;"&amp;S418)+COUNTIFS($C$5:C418,C418,$S$5:S418,S418),"")</f>
        <v/>
      </c>
      <c r="V418" s="22">
        <f>IF(U418="","",C418&amp;"|"&amp;U418)</f>
        <v/>
      </c>
      <c r="W418" s="30" t="n"/>
      <c r="X418" s="30" t="inlineStr">
        <is>
          <t>Next-fastest time supplied in user workbook; swimmer name not yet supplied.</t>
        </is>
      </c>
    </row>
    <row r="419" ht="15" customHeight="1" s="17">
      <c r="A419" s="30" t="inlineStr">
        <is>
          <t>NZ|LCM|F|18|200 Breast</t>
        </is>
      </c>
      <c r="B419" s="30" t="inlineStr">
        <is>
          <t>LCM</t>
        </is>
      </c>
      <c r="C419" s="30" t="inlineStr">
        <is>
          <t>Female</t>
        </is>
      </c>
      <c r="D419" s="30" t="n">
        <v>18</v>
      </c>
      <c r="E419" s="30" t="inlineStr">
        <is>
          <t>200 Breast</t>
        </is>
      </c>
      <c r="F419" s="30" t="inlineStr">
        <is>
          <t>Melissa Cowen</t>
        </is>
      </c>
      <c r="G419" s="22" t="inlineStr">
        <is>
          <t>Melissa Cowen</t>
        </is>
      </c>
      <c r="H419" s="22" t="n"/>
      <c r="I419" s="30" t="inlineStr">
        <is>
          <t>2:31.16</t>
        </is>
      </c>
      <c r="J419" s="22">
        <f>IF(I419="","",IF(ISNUMBER(SEARCH(":",I419)),VALUE(LEFT(I419,SEARCH(":",I419)-1))*60+VALUE(MID(I419,SEARCH(":",I419)+1,99)),VALUE(I419)))</f>
        <v/>
      </c>
      <c r="K419" s="30" t="inlineStr">
        <is>
          <t>03.04.23</t>
        </is>
      </c>
      <c r="L419" s="30" t="inlineStr">
        <is>
          <t>Swimming New Zealand Long Course Records by Age - user-supplied PDF</t>
        </is>
      </c>
      <c r="M419" s="30" t="n"/>
      <c r="N419" s="30" t="inlineStr">
        <is>
          <t>NO</t>
        </is>
      </c>
      <c r="O419" s="30" t="inlineStr">
        <is>
          <t>YES</t>
        </is>
      </c>
      <c r="P419" s="30" t="n"/>
      <c r="Q419" s="30" t="inlineStr">
        <is>
          <t>2:32.03</t>
        </is>
      </c>
      <c r="R419" s="22">
        <f>IF(Q419="","",IF(ISNUMBER(SEARCH(":",Q419)),VALUE(LEFT(Q419,SEARCH(":",Q419)-1))*60+VALUE(MID(Q419,SEARCH(":",Q419)+1,99)),VALUE(Q419)))</f>
        <v/>
      </c>
      <c r="S419" s="39">
        <f>IF(OR(J419="",R419=""),"",(R419-J419)/R419)</f>
        <v/>
      </c>
      <c r="T419" s="22">
        <f>IF(OR(P419&lt;&gt;"",N419="YES"),"YES","NO")</f>
        <v/>
      </c>
      <c r="U419" s="22">
        <f>IF(AND(O419="YES",T419="YES",S419&lt;&gt;""),COUNTIFS($C$5:$C$424,C419,$S$5:$S$424,"&gt;"&amp;S419)+COUNTIFS($C$5:C419,C419,$S$5:S419,S419),"")</f>
        <v/>
      </c>
      <c r="V419" s="22">
        <f>IF(U419="","",C419&amp;"|"&amp;U419)</f>
        <v/>
      </c>
      <c r="W419" s="30" t="n"/>
      <c r="X419" s="30" t="inlineStr">
        <is>
          <t>Next-fastest time supplied in user workbook; swimmer name not yet supplied.</t>
        </is>
      </c>
    </row>
    <row r="420" ht="15" customHeight="1" s="17">
      <c r="A420" s="30" t="inlineStr">
        <is>
          <t>NZ|LCM|F|18|50 Fly</t>
        </is>
      </c>
      <c r="B420" s="30" t="inlineStr">
        <is>
          <t>LCM</t>
        </is>
      </c>
      <c r="C420" s="30" t="inlineStr">
        <is>
          <t>Female</t>
        </is>
      </c>
      <c r="D420" s="30" t="n">
        <v>18</v>
      </c>
      <c r="E420" s="30" t="inlineStr">
        <is>
          <t>50 Fly</t>
        </is>
      </c>
      <c r="F420" s="30" t="inlineStr">
        <is>
          <t>Zoe Pedersen</t>
        </is>
      </c>
      <c r="G420" s="22" t="inlineStr">
        <is>
          <t>Zoe Pedersen</t>
        </is>
      </c>
      <c r="H420" s="22" t="n"/>
      <c r="I420" s="30" t="inlineStr">
        <is>
          <t>25.63</t>
        </is>
      </c>
      <c r="J420" s="22">
        <f>IF(I420="","",IF(ISNUMBER(SEARCH(":",I420)),VALUE(LEFT(I420,SEARCH(":",I420)-1))*60+VALUE(MID(I420,SEARCH(":",I420)+1,99)),VALUE(I420)))</f>
        <v/>
      </c>
      <c r="K420" s="30" t="inlineStr">
        <is>
          <t>22.08.25</t>
        </is>
      </c>
      <c r="L420" s="30" t="inlineStr">
        <is>
          <t>Swimming New Zealand Long Course Records by Age - user-supplied PDF</t>
        </is>
      </c>
      <c r="M420" s="30" t="n"/>
      <c r="N420" s="30" t="inlineStr">
        <is>
          <t>NO</t>
        </is>
      </c>
      <c r="O420" s="30" t="inlineStr">
        <is>
          <t>YES</t>
        </is>
      </c>
      <c r="P420" s="30" t="n"/>
      <c r="Q420" s="30" t="inlineStr">
        <is>
          <t>26.34</t>
        </is>
      </c>
      <c r="R420" s="22">
        <f>IF(Q420="","",IF(ISNUMBER(SEARCH(":",Q420)),VALUE(LEFT(Q420,SEARCH(":",Q420)-1))*60+VALUE(MID(Q420,SEARCH(":",Q420)+1,99)),VALUE(Q420)))</f>
        <v/>
      </c>
      <c r="S420" s="39">
        <f>IF(OR(J420="",R420=""),"",(R420-J420)/R420)</f>
        <v/>
      </c>
      <c r="T420" s="22">
        <f>IF(OR(P420&lt;&gt;"",N420="YES"),"YES","NO")</f>
        <v/>
      </c>
      <c r="U420" s="22">
        <f>IF(AND(O420="YES",T420="YES",S420&lt;&gt;""),COUNTIFS($C$5:$C$424,C420,$S$5:$S$424,"&gt;"&amp;S420)+COUNTIFS($C$5:C420,C420,$S$5:S420,S420),"")</f>
        <v/>
      </c>
      <c r="V420" s="22">
        <f>IF(U420="","",C420&amp;"|"&amp;U420)</f>
        <v/>
      </c>
      <c r="W420" s="30" t="n"/>
      <c r="X420" s="30" t="inlineStr">
        <is>
          <t>Next-fastest time supplied in user workbook; swimmer name not yet supplied.</t>
        </is>
      </c>
    </row>
    <row r="421" ht="15" customHeight="1" s="17">
      <c r="A421" s="30" t="inlineStr">
        <is>
          <t>NZ|LCM|F|18|100 Fly</t>
        </is>
      </c>
      <c r="B421" s="30" t="inlineStr">
        <is>
          <t>LCM</t>
        </is>
      </c>
      <c r="C421" s="30" t="inlineStr">
        <is>
          <t>Female</t>
        </is>
      </c>
      <c r="D421" s="30" t="n">
        <v>18</v>
      </c>
      <c r="E421" s="30" t="inlineStr">
        <is>
          <t>100 Fly</t>
        </is>
      </c>
      <c r="F421" s="30" t="inlineStr">
        <is>
          <t>Sophia Batchelor</t>
        </is>
      </c>
      <c r="G421" s="22" t="inlineStr">
        <is>
          <t>Sophia Batchelor</t>
        </is>
      </c>
      <c r="H421" s="22" t="n"/>
      <c r="I421" s="30" t="inlineStr">
        <is>
          <t>59.46</t>
        </is>
      </c>
      <c r="J421" s="22">
        <f>IF(I421="","",IF(ISNUMBER(SEARCH(":",I421)),VALUE(LEFT(I421,SEARCH(":",I421)-1))*60+VALUE(MID(I421,SEARCH(":",I421)+1,99)),VALUE(I421)))</f>
        <v/>
      </c>
      <c r="K421" s="30" t="inlineStr">
        <is>
          <t>28.07.13</t>
        </is>
      </c>
      <c r="L421" s="30" t="inlineStr">
        <is>
          <t>Swimming New Zealand Long Course Records by Age - user-supplied PDF</t>
        </is>
      </c>
      <c r="M421" s="30" t="n"/>
      <c r="N421" s="30" t="inlineStr">
        <is>
          <t>NO</t>
        </is>
      </c>
      <c r="O421" s="30" t="inlineStr">
        <is>
          <t>YES</t>
        </is>
      </c>
      <c r="P421" s="30" t="n"/>
      <c r="Q421" s="30" t="inlineStr">
        <is>
          <t>1:00.98</t>
        </is>
      </c>
      <c r="R421" s="22">
        <f>IF(Q421="","",IF(ISNUMBER(SEARCH(":",Q421)),VALUE(LEFT(Q421,SEARCH(":",Q421)-1))*60+VALUE(MID(Q421,SEARCH(":",Q421)+1,99)),VALUE(Q421)))</f>
        <v/>
      </c>
      <c r="S421" s="39">
        <f>IF(OR(J421="",R421=""),"",(R421-J421)/R421)</f>
        <v/>
      </c>
      <c r="T421" s="22">
        <f>IF(OR(P421&lt;&gt;"",N421="YES"),"YES","NO")</f>
        <v/>
      </c>
      <c r="U421" s="22">
        <f>IF(AND(O421="YES",T421="YES",S421&lt;&gt;""),COUNTIFS($C$5:$C$424,C421,$S$5:$S$424,"&gt;"&amp;S421)+COUNTIFS($C$5:C421,C421,$S$5:S421,S421),"")</f>
        <v/>
      </c>
      <c r="V421" s="22">
        <f>IF(U421="","",C421&amp;"|"&amp;U421)</f>
        <v/>
      </c>
      <c r="W421" s="30" t="n"/>
      <c r="X421" s="30" t="inlineStr">
        <is>
          <t>Next-fastest time supplied in user workbook; swimmer name not yet supplied.</t>
        </is>
      </c>
    </row>
    <row r="422" ht="15" customHeight="1" s="17">
      <c r="A422" s="30" t="inlineStr">
        <is>
          <t>NZ|LCM|F|18|200 Fly</t>
        </is>
      </c>
      <c r="B422" s="30" t="inlineStr">
        <is>
          <t>LCM</t>
        </is>
      </c>
      <c r="C422" s="30" t="inlineStr">
        <is>
          <t>Female</t>
        </is>
      </c>
      <c r="D422" s="30" t="n">
        <v>18</v>
      </c>
      <c r="E422" s="30" t="inlineStr">
        <is>
          <t>200 Fly</t>
        </is>
      </c>
      <c r="F422" s="30" t="inlineStr">
        <is>
          <t>Megan Allan</t>
        </is>
      </c>
      <c r="G422" s="22" t="inlineStr">
        <is>
          <t>Megan Allan</t>
        </is>
      </c>
      <c r="H422" s="22" t="n"/>
      <c r="I422" s="30" t="inlineStr">
        <is>
          <t>2:15.67</t>
        </is>
      </c>
      <c r="J422" s="22">
        <f>IF(I422="","",IF(ISNUMBER(SEARCH(":",I422)),VALUE(LEFT(I422,SEARCH(":",I422)-1))*60+VALUE(MID(I422,SEARCH(":",I422)+1,99)),VALUE(I422)))</f>
        <v/>
      </c>
      <c r="K422" s="30" t="inlineStr">
        <is>
          <t>23.04.01</t>
        </is>
      </c>
      <c r="L422" s="30" t="inlineStr">
        <is>
          <t>Swimming New Zealand Long Course Records by Age - user-supplied PDF</t>
        </is>
      </c>
      <c r="M422" s="30" t="n"/>
      <c r="N422" s="30" t="inlineStr">
        <is>
          <t>NO</t>
        </is>
      </c>
      <c r="O422" s="30" t="inlineStr">
        <is>
          <t>YES</t>
        </is>
      </c>
      <c r="P422" s="30" t="n"/>
      <c r="Q422" s="30" t="inlineStr">
        <is>
          <t>2:16.18</t>
        </is>
      </c>
      <c r="R422" s="22">
        <f>IF(Q422="","",IF(ISNUMBER(SEARCH(":",Q422)),VALUE(LEFT(Q422,SEARCH(":",Q422)-1))*60+VALUE(MID(Q422,SEARCH(":",Q422)+1,99)),VALUE(Q422)))</f>
        <v/>
      </c>
      <c r="S422" s="39">
        <f>IF(OR(J422="",R422=""),"",(R422-J422)/R422)</f>
        <v/>
      </c>
      <c r="T422" s="22">
        <f>IF(OR(P422&lt;&gt;"",N422="YES"),"YES","NO")</f>
        <v/>
      </c>
      <c r="U422" s="22">
        <f>IF(AND(O422="YES",T422="YES",S422&lt;&gt;""),COUNTIFS($C$5:$C$424,C422,$S$5:$S$424,"&gt;"&amp;S422)+COUNTIFS($C$5:C422,C422,$S$5:S422,S422),"")</f>
        <v/>
      </c>
      <c r="V422" s="22">
        <f>IF(U422="","",C422&amp;"|"&amp;U422)</f>
        <v/>
      </c>
      <c r="W422" s="30" t="n"/>
      <c r="X422" s="30" t="inlineStr">
        <is>
          <t>Next-fastest time supplied in user workbook; swimmer name not yet supplied.</t>
        </is>
      </c>
    </row>
    <row r="423" ht="15" customHeight="1" s="17">
      <c r="A423" s="30" t="inlineStr">
        <is>
          <t>NZ|LCM|F|18|200 IM</t>
        </is>
      </c>
      <c r="B423" s="30" t="inlineStr">
        <is>
          <t>LCM</t>
        </is>
      </c>
      <c r="C423" s="30" t="inlineStr">
        <is>
          <t>Female</t>
        </is>
      </c>
      <c r="D423" s="30" t="n">
        <v>18</v>
      </c>
      <c r="E423" s="30" t="inlineStr">
        <is>
          <t>200 IM</t>
        </is>
      </c>
      <c r="F423" s="30" t="inlineStr">
        <is>
          <t>Gina McCarthy</t>
        </is>
      </c>
      <c r="G423" s="22" t="inlineStr">
        <is>
          <t>Gina McCarthy</t>
        </is>
      </c>
      <c r="H423" s="22" t="n"/>
      <c r="I423" s="30" t="inlineStr">
        <is>
          <t>2:15.68</t>
        </is>
      </c>
      <c r="J423" s="22">
        <f>IF(I423="","",IF(ISNUMBER(SEARCH(":",I423)),VALUE(LEFT(I423,SEARCH(":",I423)-1))*60+VALUE(MID(I423,SEARCH(":",I423)+1,99)),VALUE(I423)))</f>
        <v/>
      </c>
      <c r="K423" s="30" t="inlineStr">
        <is>
          <t>10.04.21</t>
        </is>
      </c>
      <c r="L423" s="30" t="inlineStr">
        <is>
          <t>Swimming New Zealand Long Course Records by Age - user-supplied PDF</t>
        </is>
      </c>
      <c r="M423" s="30" t="n"/>
      <c r="N423" s="30" t="inlineStr">
        <is>
          <t>NO</t>
        </is>
      </c>
      <c r="O423" s="30" t="inlineStr">
        <is>
          <t>YES</t>
        </is>
      </c>
      <c r="P423" s="30" t="n"/>
      <c r="Q423" s="30" t="inlineStr">
        <is>
          <t>2:17.00</t>
        </is>
      </c>
      <c r="R423" s="22">
        <f>IF(Q423="","",IF(ISNUMBER(SEARCH(":",Q423)),VALUE(LEFT(Q423,SEARCH(":",Q423)-1))*60+VALUE(MID(Q423,SEARCH(":",Q423)+1,99)),VALUE(Q423)))</f>
        <v/>
      </c>
      <c r="S423" s="39">
        <f>IF(OR(J423="",R423=""),"",(R423-J423)/R423)</f>
        <v/>
      </c>
      <c r="T423" s="22">
        <f>IF(OR(P423&lt;&gt;"",N423="YES"),"YES","NO")</f>
        <v/>
      </c>
      <c r="U423" s="22">
        <f>IF(AND(O423="YES",T423="YES",S423&lt;&gt;""),COUNTIFS($C$5:$C$424,C423,$S$5:$S$424,"&gt;"&amp;S423)+COUNTIFS($C$5:C423,C423,$S$5:S423,S423),"")</f>
        <v/>
      </c>
      <c r="V423" s="22">
        <f>IF(U423="","",C423&amp;"|"&amp;U423)</f>
        <v/>
      </c>
      <c r="W423" s="30" t="n"/>
      <c r="X423" s="30" t="inlineStr">
        <is>
          <t>Next-fastest time supplied in user workbook; swimmer name not yet supplied.</t>
        </is>
      </c>
    </row>
    <row r="424" ht="15" customHeight="1" s="17">
      <c r="A424" s="30" t="inlineStr">
        <is>
          <t>NZ|LCM|F|18|400 IM</t>
        </is>
      </c>
      <c r="B424" s="30" t="inlineStr">
        <is>
          <t>LCM</t>
        </is>
      </c>
      <c r="C424" s="30" t="inlineStr">
        <is>
          <t>Female</t>
        </is>
      </c>
      <c r="D424" s="30" t="n">
        <v>18</v>
      </c>
      <c r="E424" s="30" t="inlineStr">
        <is>
          <t>400 IM</t>
        </is>
      </c>
      <c r="F424" s="30" t="inlineStr">
        <is>
          <t>Gina McCarthy</t>
        </is>
      </c>
      <c r="G424" s="22" t="inlineStr">
        <is>
          <t>Gina McCarthy</t>
        </is>
      </c>
      <c r="H424" s="22" t="n"/>
      <c r="I424" s="30" t="inlineStr">
        <is>
          <t>4:47.19</t>
        </is>
      </c>
      <c r="J424" s="22">
        <f>IF(I424="","",IF(ISNUMBER(SEARCH(":",I424)),VALUE(LEFT(I424,SEARCH(":",I424)-1))*60+VALUE(MID(I424,SEARCH(":",I424)+1,99)),VALUE(I424)))</f>
        <v/>
      </c>
      <c r="K424" s="30" t="inlineStr">
        <is>
          <t>06.04.21</t>
        </is>
      </c>
      <c r="L424" s="30" t="inlineStr">
        <is>
          <t>Swimming New Zealand Long Course Records by Age - user-supplied PDF</t>
        </is>
      </c>
      <c r="M424" s="30" t="n"/>
      <c r="N424" s="30" t="inlineStr">
        <is>
          <t>NO</t>
        </is>
      </c>
      <c r="O424" s="30" t="inlineStr">
        <is>
          <t>YES</t>
        </is>
      </c>
      <c r="P424" s="30" t="n"/>
      <c r="Q424" s="30" t="inlineStr">
        <is>
          <t>4:47.53</t>
        </is>
      </c>
      <c r="R424" s="22">
        <f>IF(Q424="","",IF(ISNUMBER(SEARCH(":",Q424)),VALUE(LEFT(Q424,SEARCH(":",Q424)-1))*60+VALUE(MID(Q424,SEARCH(":",Q424)+1,99)),VALUE(Q424)))</f>
        <v/>
      </c>
      <c r="S424" s="39">
        <f>IF(OR(J424="",R424=""),"",(R424-J424)/R424)</f>
        <v/>
      </c>
      <c r="T424" s="22">
        <f>IF(OR(P424&lt;&gt;"",N424="YES"),"YES","NO")</f>
        <v/>
      </c>
      <c r="U424" s="22">
        <f>IF(AND(O424="YES",T424="YES",S424&lt;&gt;""),COUNTIFS($C$5:$C$424,C424,$S$5:$S$424,"&gt;"&amp;S424)+COUNTIFS($C$5:C424,C424,$S$5:S424,S424),"")</f>
        <v/>
      </c>
      <c r="V424" s="22">
        <f>IF(U424="","",C424&amp;"|"&amp;U424)</f>
        <v/>
      </c>
      <c r="W424" s="30" t="n"/>
      <c r="X424" s="30" t="inlineStr">
        <is>
          <t>Next-fastest time supplied in user workbook; swimmer name not yet supplied.</t>
        </is>
      </c>
    </row>
  </sheetData>
  <mergeCells count="2">
    <mergeCell ref="A2:X2"/>
    <mergeCell ref="A1:X1"/>
  </mergeCells>
  <conditionalFormatting sqref="S5:S424">
    <cfRule type="colorScale" priority="2">
      <colorScale>
        <cfvo type="min" val="0"/>
        <cfvo type="percentile" val="50"/>
        <cfvo type="max" val="0"/>
        <color rgb="FFFFFFFF"/>
        <color rgb="FFFFF2CC"/>
        <color rgb="FFF3D52E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4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6" min="1" max="1"/>
    <col width="30" customWidth="1" style="16" min="2" max="2"/>
    <col width="9" customWidth="1" style="16" min="3" max="3"/>
    <col width="10" customWidth="1" style="16" min="4" max="4"/>
    <col width="7" customWidth="1" style="16" min="5" max="5"/>
    <col width="18" customWidth="1" style="16" min="6" max="6"/>
    <col width="30" customWidth="1" style="16" min="7" max="7"/>
    <col width="14" customWidth="1" style="16" min="8" max="8"/>
    <col width="18" customWidth="1" style="16" min="9" max="10"/>
    <col width="12" customWidth="1" style="16" min="11" max="11"/>
    <col width="55" customWidth="1" style="16" min="12" max="12"/>
  </cols>
  <sheetData>
    <row r="1" ht="25.5" customHeight="1" s="17">
      <c r="A1" s="18" t="inlineStr">
        <is>
          <t>Record history</t>
        </is>
      </c>
    </row>
    <row r="2" ht="31.5" customHeight="1" s="17">
      <c r="A2" s="19" t="inlineStr">
        <is>
          <t>Effective-dated record history. The first build includes current records and displaced pre-NZSC 2026 records where known.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 ht="30" customHeight="1" s="17">
      <c r="A4" s="21" t="inlineStr">
        <is>
          <t>HistoryID</t>
        </is>
      </c>
      <c r="B4" s="21" t="inlineStr">
        <is>
          <t>Record Key</t>
        </is>
      </c>
      <c r="C4" s="21" t="inlineStr">
        <is>
          <t>Course</t>
        </is>
      </c>
      <c r="D4" s="21" t="inlineStr">
        <is>
          <t>Sex</t>
        </is>
      </c>
      <c r="E4" s="21" t="inlineStr">
        <is>
          <t>Age</t>
        </is>
      </c>
      <c r="F4" s="21" t="inlineStr">
        <is>
          <t>Event</t>
        </is>
      </c>
      <c r="G4" s="21" t="inlineStr">
        <is>
          <t>Holder</t>
        </is>
      </c>
      <c r="H4" s="21" t="inlineStr">
        <is>
          <t>Time</t>
        </is>
      </c>
      <c r="I4" s="21" t="inlineStr">
        <is>
          <t>Effective From</t>
        </is>
      </c>
      <c r="J4" s="21" t="inlineStr">
        <is>
          <t>Effective To</t>
        </is>
      </c>
      <c r="K4" s="21" t="inlineStr">
        <is>
          <t>Current Flag</t>
        </is>
      </c>
      <c r="L4" s="21" t="inlineStr">
        <is>
          <t>Source URL</t>
        </is>
      </c>
    </row>
    <row r="5" ht="15" customHeight="1" s="17">
      <c r="A5" s="20" t="inlineStr">
        <is>
          <t>H0001</t>
        </is>
      </c>
      <c r="B5" s="20" t="inlineStr">
        <is>
          <t>NZ|SCM|F|13|100 Breast</t>
        </is>
      </c>
      <c r="C5" s="20" t="inlineStr">
        <is>
          <t>SCM</t>
        </is>
      </c>
      <c r="D5" s="20" t="inlineStr">
        <is>
          <t>Female</t>
        </is>
      </c>
      <c r="E5" s="20" t="n">
        <v>13</v>
      </c>
      <c r="F5" s="20" t="inlineStr">
        <is>
          <t>100 Breast</t>
        </is>
      </c>
      <c r="G5" s="20" t="inlineStr">
        <is>
          <t>Natasha Lloyd</t>
        </is>
      </c>
      <c r="H5" s="20" t="inlineStr">
        <is>
          <t>1:11.52</t>
        </is>
      </c>
      <c r="I5" s="20" t="n"/>
      <c r="J5" s="20" t="inlineStr">
        <is>
          <t>30.09.26</t>
        </is>
      </c>
      <c r="K5" s="20" t="inlineStr">
        <is>
          <t>NO</t>
        </is>
      </c>
      <c r="L5" s="20" t="inlineStr">
        <is>
          <t>https://swimdadnz.github.io/NZSC_2026/NZSC_2026_meet_editorial_summary_final.html</t>
        </is>
      </c>
    </row>
    <row r="6" ht="15" customHeight="1" s="17">
      <c r="A6" s="20" t="inlineStr">
        <is>
          <t>H0002</t>
        </is>
      </c>
      <c r="B6" s="20" t="inlineStr">
        <is>
          <t>NZ|SCM|F|13|100 IM</t>
        </is>
      </c>
      <c r="C6" s="20" t="inlineStr">
        <is>
          <t>SCM</t>
        </is>
      </c>
      <c r="D6" s="20" t="inlineStr">
        <is>
          <t>Female</t>
        </is>
      </c>
      <c r="E6" s="20" t="n">
        <v>13</v>
      </c>
      <c r="F6" s="20" t="inlineStr">
        <is>
          <t>100 IM</t>
        </is>
      </c>
      <c r="G6" s="20" t="inlineStr">
        <is>
          <t>Milan Glintmeyer</t>
        </is>
      </c>
      <c r="H6" s="20" t="inlineStr">
        <is>
          <t>1:05.08</t>
        </is>
      </c>
      <c r="I6" s="20" t="n"/>
      <c r="J6" s="20" t="inlineStr">
        <is>
          <t>27.09.26</t>
        </is>
      </c>
      <c r="K6" s="20" t="inlineStr">
        <is>
          <t>NO</t>
        </is>
      </c>
      <c r="L6" s="20" t="inlineStr">
        <is>
          <t>https://swimdadnz.github.io/NZSC_2026/NZSC_2026_meet_editorial_summary_final.html</t>
        </is>
      </c>
    </row>
    <row r="7" ht="15" customHeight="1" s="17">
      <c r="A7" s="20" t="inlineStr">
        <is>
          <t>H0003</t>
        </is>
      </c>
      <c r="B7" s="20" t="inlineStr">
        <is>
          <t>NZ|SCM|F|13|200 Breast</t>
        </is>
      </c>
      <c r="C7" s="20" t="inlineStr">
        <is>
          <t>SCM</t>
        </is>
      </c>
      <c r="D7" s="20" t="inlineStr">
        <is>
          <t>Female</t>
        </is>
      </c>
      <c r="E7" s="20" t="n">
        <v>13</v>
      </c>
      <c r="F7" s="20" t="inlineStr">
        <is>
          <t>200 Breast</t>
        </is>
      </c>
      <c r="G7" s="20" t="inlineStr">
        <is>
          <t>Brearna Crawford</t>
        </is>
      </c>
      <c r="H7" s="20" t="inlineStr">
        <is>
          <t>2:32.93</t>
        </is>
      </c>
      <c r="I7" s="20" t="n"/>
      <c r="J7" s="20" t="inlineStr">
        <is>
          <t>27.09.26</t>
        </is>
      </c>
      <c r="K7" s="20" t="inlineStr">
        <is>
          <t>NO</t>
        </is>
      </c>
      <c r="L7" s="20" t="inlineStr">
        <is>
          <t>https://swimdadnz.github.io/NZSC_2026/NZSC_2026_meet_editorial_summary_final.html</t>
        </is>
      </c>
    </row>
    <row r="8" ht="15" customHeight="1" s="17">
      <c r="A8" s="20" t="inlineStr">
        <is>
          <t>H0004</t>
        </is>
      </c>
      <c r="B8" s="20" t="inlineStr">
        <is>
          <t>NZ|SCM|F|14|200 Breast</t>
        </is>
      </c>
      <c r="C8" s="20" t="inlineStr">
        <is>
          <t>SCM</t>
        </is>
      </c>
      <c r="D8" s="20" t="inlineStr">
        <is>
          <t>Female</t>
        </is>
      </c>
      <c r="E8" s="20" t="n">
        <v>14</v>
      </c>
      <c r="F8" s="20" t="inlineStr">
        <is>
          <t>200 Breast</t>
        </is>
      </c>
      <c r="G8" s="20" t="inlineStr">
        <is>
          <t>Melissa Cowen</t>
        </is>
      </c>
      <c r="H8" s="20" t="inlineStr">
        <is>
          <t>2:29.95</t>
        </is>
      </c>
      <c r="I8" s="20" t="n"/>
      <c r="J8" s="20" t="inlineStr">
        <is>
          <t>27.09.26</t>
        </is>
      </c>
      <c r="K8" s="20" t="inlineStr">
        <is>
          <t>NO</t>
        </is>
      </c>
      <c r="L8" s="20" t="inlineStr">
        <is>
          <t>https://swimdadnz.github.io/NZSC_2026/NZSC_2026_meet_editorial_summary_final.html</t>
        </is>
      </c>
    </row>
    <row r="9" ht="15" customHeight="1" s="17">
      <c r="A9" s="20" t="inlineStr">
        <is>
          <t>H0005</t>
        </is>
      </c>
      <c r="B9" s="20" t="inlineStr">
        <is>
          <t>NZ|SCM|M|14|100 Fly</t>
        </is>
      </c>
      <c r="C9" s="20" t="inlineStr">
        <is>
          <t>SCM</t>
        </is>
      </c>
      <c r="D9" s="20" t="inlineStr">
        <is>
          <t>Male</t>
        </is>
      </c>
      <c r="E9" s="20" t="n">
        <v>14</v>
      </c>
      <c r="F9" s="20" t="inlineStr">
        <is>
          <t>100 Fly</t>
        </is>
      </c>
      <c r="G9" s="20" t="inlineStr">
        <is>
          <t>Jacob Humphries</t>
        </is>
      </c>
      <c r="H9" s="20" t="inlineStr">
        <is>
          <t>57.22</t>
        </is>
      </c>
      <c r="I9" s="20" t="n"/>
      <c r="J9" s="20" t="inlineStr">
        <is>
          <t>29.09.26</t>
        </is>
      </c>
      <c r="K9" s="20" t="inlineStr">
        <is>
          <t>NO</t>
        </is>
      </c>
      <c r="L9" s="20" t="inlineStr">
        <is>
          <t>https://swimdadnz.github.io/NZSC_2026/NZSC_2026_meet_editorial_summary_final.html</t>
        </is>
      </c>
    </row>
    <row r="10" ht="15" customHeight="1" s="17">
      <c r="A10" s="20" t="inlineStr">
        <is>
          <t>H0006</t>
        </is>
      </c>
      <c r="B10" s="20" t="inlineStr">
        <is>
          <t>NZ|SCM|M|14|100 Free</t>
        </is>
      </c>
      <c r="C10" s="20" t="inlineStr">
        <is>
          <t>SCM</t>
        </is>
      </c>
      <c r="D10" s="20" t="inlineStr">
        <is>
          <t>Male</t>
        </is>
      </c>
      <c r="E10" s="20" t="n">
        <v>14</v>
      </c>
      <c r="F10" s="20" t="inlineStr">
        <is>
          <t>100 Free</t>
        </is>
      </c>
      <c r="G10" s="20" t="inlineStr">
        <is>
          <t>Grayson Coulter</t>
        </is>
      </c>
      <c r="H10" s="20" t="inlineStr">
        <is>
          <t>51.29</t>
        </is>
      </c>
      <c r="I10" s="20" t="n"/>
      <c r="J10" s="20" t="inlineStr">
        <is>
          <t>01.10.26</t>
        </is>
      </c>
      <c r="K10" s="20" t="inlineStr">
        <is>
          <t>NO</t>
        </is>
      </c>
      <c r="L10" s="20" t="inlineStr">
        <is>
          <t>https://swimdadnz.github.io/NZSC_2026/NZSC_2026_meet_editorial_summary_final.html</t>
        </is>
      </c>
    </row>
    <row r="11" ht="15" customHeight="1" s="17">
      <c r="A11" s="20" t="inlineStr">
        <is>
          <t>H0007</t>
        </is>
      </c>
      <c r="B11" s="20" t="inlineStr">
        <is>
          <t>NZ|SCM|M|14|100 IM</t>
        </is>
      </c>
      <c r="C11" s="20" t="inlineStr">
        <is>
          <t>SCM</t>
        </is>
      </c>
      <c r="D11" s="20" t="inlineStr">
        <is>
          <t>Male</t>
        </is>
      </c>
      <c r="E11" s="20" t="n">
        <v>14</v>
      </c>
      <c r="F11" s="20" t="inlineStr">
        <is>
          <t>100 IM</t>
        </is>
      </c>
      <c r="G11" s="20" t="inlineStr">
        <is>
          <t>Kevin Zhang</t>
        </is>
      </c>
      <c r="H11" s="20" t="inlineStr">
        <is>
          <t>58.70</t>
        </is>
      </c>
      <c r="I11" s="20" t="n"/>
      <c r="J11" s="20" t="inlineStr">
        <is>
          <t>27.09.26</t>
        </is>
      </c>
      <c r="K11" s="20" t="inlineStr">
        <is>
          <t>NO</t>
        </is>
      </c>
      <c r="L11" s="20" t="inlineStr">
        <is>
          <t>https://swimdadnz.github.io/NZSC_2026/NZSC_2026_meet_editorial_summary_final.html</t>
        </is>
      </c>
    </row>
    <row r="12" ht="15" customHeight="1" s="17">
      <c r="A12" s="20" t="inlineStr">
        <is>
          <t>H0008</t>
        </is>
      </c>
      <c r="B12" s="20" t="inlineStr">
        <is>
          <t>NZ|SCM|M|14|200 Free</t>
        </is>
      </c>
      <c r="C12" s="20" t="inlineStr">
        <is>
          <t>SCM</t>
        </is>
      </c>
      <c r="D12" s="20" t="inlineStr">
        <is>
          <t>Male</t>
        </is>
      </c>
      <c r="E12" s="20" t="n">
        <v>14</v>
      </c>
      <c r="F12" s="20" t="inlineStr">
        <is>
          <t>200 Free</t>
        </is>
      </c>
      <c r="G12" s="20" t="inlineStr">
        <is>
          <t>Grayson Coulter</t>
        </is>
      </c>
      <c r="H12" s="20" t="inlineStr">
        <is>
          <t>1:50.14</t>
        </is>
      </c>
      <c r="I12" s="20" t="n"/>
      <c r="J12" s="20" t="inlineStr">
        <is>
          <t>30.09.26</t>
        </is>
      </c>
      <c r="K12" s="20" t="inlineStr">
        <is>
          <t>NO</t>
        </is>
      </c>
      <c r="L12" s="20" t="inlineStr">
        <is>
          <t>https://swimdadnz.github.io/NZSC_2026/NZSC_2026_meet_editorial_summary_final.html</t>
        </is>
      </c>
    </row>
    <row r="13" ht="15" customHeight="1" s="17">
      <c r="A13" s="20" t="inlineStr">
        <is>
          <t>H0009</t>
        </is>
      </c>
      <c r="B13" s="20" t="inlineStr">
        <is>
          <t>NZ|SCM|M|14|50 Fly</t>
        </is>
      </c>
      <c r="C13" s="20" t="inlineStr">
        <is>
          <t>SCM</t>
        </is>
      </c>
      <c r="D13" s="20" t="inlineStr">
        <is>
          <t>Male</t>
        </is>
      </c>
      <c r="E13" s="20" t="n">
        <v>14</v>
      </c>
      <c r="F13" s="20" t="inlineStr">
        <is>
          <t>50 Fly</t>
        </is>
      </c>
      <c r="G13" s="20" t="inlineStr">
        <is>
          <t>Kento Wangford</t>
        </is>
      </c>
      <c r="H13" s="20" t="inlineStr">
        <is>
          <t>25.60</t>
        </is>
      </c>
      <c r="I13" s="20" t="n"/>
      <c r="J13" s="20" t="inlineStr">
        <is>
          <t>28.09.26</t>
        </is>
      </c>
      <c r="K13" s="20" t="inlineStr">
        <is>
          <t>NO</t>
        </is>
      </c>
      <c r="L13" s="20" t="inlineStr">
        <is>
          <t>https://swimdadnz.github.io/NZSC_2026/NZSC_2026_meet_editorial_summary_final.html</t>
        </is>
      </c>
    </row>
    <row r="14" ht="15" customHeight="1" s="17">
      <c r="A14" s="20" t="inlineStr">
        <is>
          <t>H0010</t>
        </is>
      </c>
      <c r="B14" s="20" t="inlineStr">
        <is>
          <t>NZ|SCM|M|14|50 Free</t>
        </is>
      </c>
      <c r="C14" s="20" t="inlineStr">
        <is>
          <t>SCM</t>
        </is>
      </c>
      <c r="D14" s="20" t="inlineStr">
        <is>
          <t>Male</t>
        </is>
      </c>
      <c r="E14" s="20" t="n">
        <v>14</v>
      </c>
      <c r="F14" s="20" t="inlineStr">
        <is>
          <t>50 Free</t>
        </is>
      </c>
      <c r="G14" s="20" t="inlineStr">
        <is>
          <t>Grayson Coulter</t>
        </is>
      </c>
      <c r="H14" s="20" t="inlineStr">
        <is>
          <t>23.45</t>
        </is>
      </c>
      <c r="I14" s="20" t="n"/>
      <c r="J14" s="20" t="inlineStr">
        <is>
          <t>01.10.26</t>
        </is>
      </c>
      <c r="K14" s="20" t="inlineStr">
        <is>
          <t>NO</t>
        </is>
      </c>
      <c r="L14" s="20" t="inlineStr">
        <is>
          <t>https://swimdadnz.github.io/NZSC_2026/NZSC_2026_meet_editorial_summary_final.html</t>
        </is>
      </c>
    </row>
    <row r="15" ht="15" customHeight="1" s="17">
      <c r="A15" s="20" t="inlineStr">
        <is>
          <t>H0011</t>
        </is>
      </c>
      <c r="B15" s="20" t="inlineStr">
        <is>
          <t>NZ|SCM|M|15|1500 Free</t>
        </is>
      </c>
      <c r="C15" s="20" t="inlineStr">
        <is>
          <t>SCM</t>
        </is>
      </c>
      <c r="D15" s="20" t="inlineStr">
        <is>
          <t>Male</t>
        </is>
      </c>
      <c r="E15" s="20" t="n">
        <v>15</v>
      </c>
      <c r="F15" s="20" t="inlineStr">
        <is>
          <t>1500 Free</t>
        </is>
      </c>
      <c r="G15" s="20" t="inlineStr">
        <is>
          <t>Michael Mincham</t>
        </is>
      </c>
      <c r="H15" s="20" t="inlineStr">
        <is>
          <t>15:34.56</t>
        </is>
      </c>
      <c r="I15" s="20" t="n"/>
      <c r="J15" s="20" t="inlineStr">
        <is>
          <t>27.09.26</t>
        </is>
      </c>
      <c r="K15" s="20" t="inlineStr">
        <is>
          <t>NO</t>
        </is>
      </c>
      <c r="L15" s="20" t="inlineStr">
        <is>
          <t>https://swimdadnz.github.io/NZSC_2026/NZSC_2026_meet_editorial_summary_final.html</t>
        </is>
      </c>
    </row>
    <row r="16" ht="15" customHeight="1" s="17">
      <c r="A16" s="20" t="inlineStr">
        <is>
          <t>H0012</t>
        </is>
      </c>
      <c r="B16" s="20" t="inlineStr">
        <is>
          <t>NZ|SCM|M|15|800 Free</t>
        </is>
      </c>
      <c r="C16" s="20" t="inlineStr">
        <is>
          <t>SCM</t>
        </is>
      </c>
      <c r="D16" s="20" t="inlineStr">
        <is>
          <t>Male</t>
        </is>
      </c>
      <c r="E16" s="20" t="n">
        <v>15</v>
      </c>
      <c r="F16" s="20" t="inlineStr">
        <is>
          <t>800 Free</t>
        </is>
      </c>
      <c r="G16" s="20" t="inlineStr">
        <is>
          <t>Cameron Burrows</t>
        </is>
      </c>
      <c r="H16" s="20" t="inlineStr">
        <is>
          <t>8:10.40</t>
        </is>
      </c>
      <c r="I16" s="20" t="n"/>
      <c r="J16" s="20" t="inlineStr">
        <is>
          <t>01.10.26</t>
        </is>
      </c>
      <c r="K16" s="20" t="inlineStr">
        <is>
          <t>NO</t>
        </is>
      </c>
      <c r="L16" s="20" t="inlineStr">
        <is>
          <t>https://swimdadnz.github.io/NZSC_2026/NZSC_2026_meet_editorial_summary_final.html</t>
        </is>
      </c>
    </row>
    <row r="17" ht="15" customHeight="1" s="17">
      <c r="A17" s="20" t="inlineStr">
        <is>
          <t>H0013</t>
        </is>
      </c>
      <c r="B17" s="20" t="inlineStr">
        <is>
          <t>NZ|SCM|M|17|100 Breast</t>
        </is>
      </c>
      <c r="C17" s="20" t="inlineStr">
        <is>
          <t>SCM</t>
        </is>
      </c>
      <c r="D17" s="20" t="inlineStr">
        <is>
          <t>Male</t>
        </is>
      </c>
      <c r="E17" s="20" t="n">
        <v>17</v>
      </c>
      <c r="F17" s="20" t="inlineStr">
        <is>
          <t>100 Breast</t>
        </is>
      </c>
      <c r="G17" s="20" t="inlineStr">
        <is>
          <t>Erik Kahr</t>
        </is>
      </c>
      <c r="H17" s="20" t="inlineStr">
        <is>
          <t>1:00.77</t>
        </is>
      </c>
      <c r="I17" s="20" t="n"/>
      <c r="J17" s="20" t="inlineStr">
        <is>
          <t>30.09.26</t>
        </is>
      </c>
      <c r="K17" s="20" t="inlineStr">
        <is>
          <t>NO</t>
        </is>
      </c>
      <c r="L17" s="20" t="inlineStr">
        <is>
          <t>https://swimdadnz.github.io/NZSC_2026/NZSC_2026_meet_editorial_summary_final.html</t>
        </is>
      </c>
    </row>
    <row r="18" ht="15" customHeight="1" s="17">
      <c r="A18" s="20" t="inlineStr">
        <is>
          <t>H0014</t>
        </is>
      </c>
      <c r="B18" s="20" t="inlineStr">
        <is>
          <t>NZ|SCM|M|17|50 Breast</t>
        </is>
      </c>
      <c r="C18" s="20" t="inlineStr">
        <is>
          <t>SCM</t>
        </is>
      </c>
      <c r="D18" s="20" t="inlineStr">
        <is>
          <t>Male</t>
        </is>
      </c>
      <c r="E18" s="20" t="n">
        <v>17</v>
      </c>
      <c r="F18" s="20" t="inlineStr">
        <is>
          <t>50 Breast</t>
        </is>
      </c>
      <c r="G18" s="20" t="inlineStr">
        <is>
          <t>Roman Anderson</t>
        </is>
      </c>
      <c r="H18" s="20" t="inlineStr">
        <is>
          <t>27.80</t>
        </is>
      </c>
      <c r="I18" s="20" t="n"/>
      <c r="J18" s="20" t="inlineStr">
        <is>
          <t>29.09.26</t>
        </is>
      </c>
      <c r="K18" s="20" t="inlineStr">
        <is>
          <t>NO</t>
        </is>
      </c>
      <c r="L18" s="20" t="inlineStr">
        <is>
          <t>https://swimdadnz.github.io/NZSC_2026/NZSC_2026_meet_editorial_summary_final.html</t>
        </is>
      </c>
    </row>
    <row r="19" ht="15" customHeight="1" s="17">
      <c r="A19" s="20" t="inlineStr">
        <is>
          <t>H0015</t>
        </is>
      </c>
      <c r="B19" s="20" t="inlineStr">
        <is>
          <t>NZ|SCM|F|18|100 Back</t>
        </is>
      </c>
      <c r="C19" s="20" t="inlineStr">
        <is>
          <t>SCM</t>
        </is>
      </c>
      <c r="D19" s="20" t="inlineStr">
        <is>
          <t>Female</t>
        </is>
      </c>
      <c r="E19" s="20" t="n">
        <v>18</v>
      </c>
      <c r="F19" s="20" t="inlineStr">
        <is>
          <t>100 Back</t>
        </is>
      </c>
      <c r="G19" s="20" t="inlineStr">
        <is>
          <t>Emily Thomas</t>
        </is>
      </c>
      <c r="H19" s="20" t="inlineStr">
        <is>
          <t>58.02</t>
        </is>
      </c>
      <c r="I19" s="20" t="n"/>
      <c r="J19" s="20" t="inlineStr">
        <is>
          <t>27.09.26</t>
        </is>
      </c>
      <c r="K19" s="20" t="inlineStr">
        <is>
          <t>NO</t>
        </is>
      </c>
      <c r="L19" s="20" t="inlineStr">
        <is>
          <t>https://swimdadnz.github.io/NZSC_2026/NZSC_2026_meet_editorial_summary_final.html</t>
        </is>
      </c>
    </row>
    <row r="20" ht="15" customHeight="1" s="17">
      <c r="A20" s="20" t="inlineStr">
        <is>
          <t>H0016</t>
        </is>
      </c>
      <c r="B20" s="20" t="inlineStr">
        <is>
          <t>NZ|SCM|F|18|100 IM</t>
        </is>
      </c>
      <c r="C20" s="20" t="inlineStr">
        <is>
          <t>SCM</t>
        </is>
      </c>
      <c r="D20" s="20" t="inlineStr">
        <is>
          <t>Female</t>
        </is>
      </c>
      <c r="E20" s="20" t="n">
        <v>18</v>
      </c>
      <c r="F20" s="20" t="inlineStr">
        <is>
          <t>100 IM</t>
        </is>
      </c>
      <c r="G20" s="20" t="inlineStr">
        <is>
          <t>Caroline Baddock</t>
        </is>
      </c>
      <c r="H20" s="20" t="inlineStr">
        <is>
          <t>1:01.39</t>
        </is>
      </c>
      <c r="I20" s="20" t="n"/>
      <c r="J20" s="20" t="inlineStr">
        <is>
          <t>27.09.26</t>
        </is>
      </c>
      <c r="K20" s="20" t="inlineStr">
        <is>
          <t>NO</t>
        </is>
      </c>
      <c r="L20" s="20" t="inlineStr">
        <is>
          <t>https://swimdadnz.github.io/NZSC_2026/NZSC_2026_meet_editorial_summary_final.html</t>
        </is>
      </c>
    </row>
    <row r="21" ht="15" customHeight="1" s="17">
      <c r="A21" s="20" t="inlineStr">
        <is>
          <t>H0017</t>
        </is>
      </c>
      <c r="B21" s="20" t="inlineStr">
        <is>
          <t>NZ|SCM|F|18|200 Back</t>
        </is>
      </c>
      <c r="C21" s="20" t="inlineStr">
        <is>
          <t>SCM</t>
        </is>
      </c>
      <c r="D21" s="20" t="inlineStr">
        <is>
          <t>Female</t>
        </is>
      </c>
      <c r="E21" s="20" t="n">
        <v>18</v>
      </c>
      <c r="F21" s="20" t="inlineStr">
        <is>
          <t>200 Back</t>
        </is>
      </c>
      <c r="G21" s="20" t="inlineStr">
        <is>
          <t>Caroline Baddock</t>
        </is>
      </c>
      <c r="H21" s="20" t="inlineStr">
        <is>
          <t>2:06.76</t>
        </is>
      </c>
      <c r="I21" s="20" t="n"/>
      <c r="J21" s="20" t="inlineStr">
        <is>
          <t>29.09.26</t>
        </is>
      </c>
      <c r="K21" s="20" t="inlineStr">
        <is>
          <t>NO</t>
        </is>
      </c>
      <c r="L21" s="20" t="inlineStr">
        <is>
          <t>https://swimdadnz.github.io/NZSC_2026/NZSC_2026_meet_editorial_summary_final.html</t>
        </is>
      </c>
    </row>
    <row r="22" ht="15" customHeight="1" s="17">
      <c r="A22" s="20" t="inlineStr">
        <is>
          <t>H0018</t>
        </is>
      </c>
      <c r="B22" s="20" t="inlineStr">
        <is>
          <t>NZ|SCM|M|18|100 Free</t>
        </is>
      </c>
      <c r="C22" s="20" t="inlineStr">
        <is>
          <t>SCM</t>
        </is>
      </c>
      <c r="D22" s="20" t="inlineStr">
        <is>
          <t>Male</t>
        </is>
      </c>
      <c r="E22" s="20" t="n">
        <v>18</v>
      </c>
      <c r="F22" s="20" t="inlineStr">
        <is>
          <t>100 Free</t>
        </is>
      </c>
      <c r="G22" s="20" t="inlineStr">
        <is>
          <t>Michael Pickett</t>
        </is>
      </c>
      <c r="H22" s="20" t="inlineStr">
        <is>
          <t>48.61</t>
        </is>
      </c>
      <c r="I22" s="20" t="n"/>
      <c r="J22" s="20" t="inlineStr">
        <is>
          <t>28.09.26</t>
        </is>
      </c>
      <c r="K22" s="20" t="inlineStr">
        <is>
          <t>NO</t>
        </is>
      </c>
      <c r="L22" s="20" t="inlineStr">
        <is>
          <t>https://swimdadnz.github.io/NZSC_2026/NZSC_2026_meet_editorial_summary_final.html</t>
        </is>
      </c>
    </row>
    <row r="23" ht="15" customHeight="1" s="17">
      <c r="A23" s="20" t="inlineStr">
        <is>
          <t>H0019</t>
        </is>
      </c>
      <c r="B23" s="20" t="inlineStr">
        <is>
          <t>NZ|SCM|M|18|200 Free</t>
        </is>
      </c>
      <c r="C23" s="20" t="inlineStr">
        <is>
          <t>SCM</t>
        </is>
      </c>
      <c r="D23" s="20" t="inlineStr">
        <is>
          <t>Male</t>
        </is>
      </c>
      <c r="E23" s="20" t="n">
        <v>18</v>
      </c>
      <c r="F23" s="20" t="inlineStr">
        <is>
          <t>200 Free</t>
        </is>
      </c>
      <c r="G23" s="20" t="inlineStr">
        <is>
          <t>Matthew Huchins</t>
        </is>
      </c>
      <c r="H23" s="20" t="inlineStr">
        <is>
          <t>1:46.47</t>
        </is>
      </c>
      <c r="I23" s="20" t="n"/>
      <c r="J23" s="20" t="inlineStr">
        <is>
          <t>30.09.26</t>
        </is>
      </c>
      <c r="K23" s="20" t="inlineStr">
        <is>
          <t>NO</t>
        </is>
      </c>
      <c r="L23" s="20" t="inlineStr">
        <is>
          <t>https://swimdadnz.github.io/NZSC_2026/NZSC_2026_meet_editorial_summary_final.html</t>
        </is>
      </c>
    </row>
    <row r="24" ht="15" customHeight="1" s="17">
      <c r="A24" s="20" t="inlineStr">
        <is>
          <t>H0020</t>
        </is>
      </c>
      <c r="B24" s="20" t="inlineStr">
        <is>
          <t>NZ|SCM|M|13|50 Free</t>
        </is>
      </c>
      <c r="C24" s="20" t="inlineStr">
        <is>
          <t>SCM</t>
        </is>
      </c>
      <c r="D24" s="20" t="inlineStr">
        <is>
          <t>Male</t>
        </is>
      </c>
      <c r="E24" s="20" t="n">
        <v>13</v>
      </c>
      <c r="F24" s="20" t="inlineStr">
        <is>
          <t>50 Free</t>
        </is>
      </c>
      <c r="G24" s="20" t="inlineStr">
        <is>
          <t>Grayson Coulter</t>
        </is>
      </c>
      <c r="H24" s="20" t="inlineStr">
        <is>
          <t>23.61</t>
        </is>
      </c>
      <c r="I24" s="20" t="inlineStr">
        <is>
          <t>25.09.25</t>
        </is>
      </c>
      <c r="J24" s="20" t="n"/>
      <c r="K24" s="20" t="inlineStr">
        <is>
          <t>YES</t>
        </is>
      </c>
      <c r="L24" s="20" t="n"/>
    </row>
    <row r="25" ht="15" customHeight="1" s="17">
      <c r="A25" s="20" t="inlineStr">
        <is>
          <t>H0021</t>
        </is>
      </c>
      <c r="B25" s="20" t="inlineStr">
        <is>
          <t>NZ|SCM|M|13|100 Free</t>
        </is>
      </c>
      <c r="C25" s="20" t="inlineStr">
        <is>
          <t>SCM</t>
        </is>
      </c>
      <c r="D25" s="20" t="inlineStr">
        <is>
          <t>Male</t>
        </is>
      </c>
      <c r="E25" s="20" t="n">
        <v>13</v>
      </c>
      <c r="F25" s="20" t="inlineStr">
        <is>
          <t>100 Free</t>
        </is>
      </c>
      <c r="G25" s="20" t="inlineStr">
        <is>
          <t>Grayson Coulter</t>
        </is>
      </c>
      <c r="H25" s="20" t="inlineStr">
        <is>
          <t>50.58</t>
        </is>
      </c>
      <c r="I25" s="20" t="inlineStr">
        <is>
          <t>22.09.25</t>
        </is>
      </c>
      <c r="J25" s="20" t="n"/>
      <c r="K25" s="20" t="inlineStr">
        <is>
          <t>YES</t>
        </is>
      </c>
      <c r="L25" s="20" t="n"/>
    </row>
    <row r="26" ht="15" customHeight="1" s="17">
      <c r="A26" s="20" t="inlineStr">
        <is>
          <t>H0022</t>
        </is>
      </c>
      <c r="B26" s="20" t="inlineStr">
        <is>
          <t>NZ|SCM|M|13|200 Free</t>
        </is>
      </c>
      <c r="C26" s="20" t="inlineStr">
        <is>
          <t>SCM</t>
        </is>
      </c>
      <c r="D26" s="20" t="inlineStr">
        <is>
          <t>Male</t>
        </is>
      </c>
      <c r="E26" s="20" t="n">
        <v>13</v>
      </c>
      <c r="F26" s="20" t="inlineStr">
        <is>
          <t>200 Free</t>
        </is>
      </c>
      <c r="G26" s="20" t="inlineStr">
        <is>
          <t>Grayson Coulter</t>
        </is>
      </c>
      <c r="H26" s="20" t="inlineStr">
        <is>
          <t>1:49.18</t>
        </is>
      </c>
      <c r="I26" s="20" t="inlineStr">
        <is>
          <t>24.09.25</t>
        </is>
      </c>
      <c r="J26" s="20" t="n"/>
      <c r="K26" s="20" t="inlineStr">
        <is>
          <t>YES</t>
        </is>
      </c>
      <c r="L26" s="20" t="n"/>
    </row>
    <row r="27" ht="15" customHeight="1" s="17">
      <c r="A27" s="20" t="inlineStr">
        <is>
          <t>H0023</t>
        </is>
      </c>
      <c r="B27" s="20" t="inlineStr">
        <is>
          <t>NZ|SCM|M|13|400 Free</t>
        </is>
      </c>
      <c r="C27" s="20" t="inlineStr">
        <is>
          <t>SCM</t>
        </is>
      </c>
      <c r="D27" s="20" t="inlineStr">
        <is>
          <t>Male</t>
        </is>
      </c>
      <c r="E27" s="20" t="n">
        <v>13</v>
      </c>
      <c r="F27" s="20" t="inlineStr">
        <is>
          <t>400 Free</t>
        </is>
      </c>
      <c r="G27" s="20" t="inlineStr">
        <is>
          <t>Grayson Coulter</t>
        </is>
      </c>
      <c r="H27" s="20" t="inlineStr">
        <is>
          <t>3:56.78</t>
        </is>
      </c>
      <c r="I27" s="20" t="inlineStr">
        <is>
          <t>24.07.25</t>
        </is>
      </c>
      <c r="J27" s="20" t="n"/>
      <c r="K27" s="20" t="inlineStr">
        <is>
          <t>YES</t>
        </is>
      </c>
      <c r="L27" s="20" t="n"/>
    </row>
    <row r="28" ht="15" customHeight="1" s="17">
      <c r="A28" s="20" t="inlineStr">
        <is>
          <t>H0024</t>
        </is>
      </c>
      <c r="B28" s="20" t="inlineStr">
        <is>
          <t>NZ|SCM|M|13|800 Free</t>
        </is>
      </c>
      <c r="C28" s="20" t="inlineStr">
        <is>
          <t>SCM</t>
        </is>
      </c>
      <c r="D28" s="20" t="inlineStr">
        <is>
          <t>Male</t>
        </is>
      </c>
      <c r="E28" s="20" t="n">
        <v>13</v>
      </c>
      <c r="F28" s="20" t="inlineStr">
        <is>
          <t>800 Free</t>
        </is>
      </c>
      <c r="G28" s="20" t="inlineStr">
        <is>
          <t>Michael Mincham</t>
        </is>
      </c>
      <c r="H28" s="20" t="inlineStr">
        <is>
          <t>8:30.77</t>
        </is>
      </c>
      <c r="I28" s="20" t="inlineStr">
        <is>
          <t>29.05.10</t>
        </is>
      </c>
      <c r="J28" s="20" t="n"/>
      <c r="K28" s="20" t="inlineStr">
        <is>
          <t>YES</t>
        </is>
      </c>
      <c r="L28" s="20" t="n"/>
    </row>
    <row r="29" ht="15" customHeight="1" s="17">
      <c r="A29" s="20" t="inlineStr">
        <is>
          <t>H0025</t>
        </is>
      </c>
      <c r="B29" s="20" t="inlineStr">
        <is>
          <t>NZ|SCM|M|13|1500 Free</t>
        </is>
      </c>
      <c r="C29" s="20" t="inlineStr">
        <is>
          <t>SCM</t>
        </is>
      </c>
      <c r="D29" s="20" t="inlineStr">
        <is>
          <t>Male</t>
        </is>
      </c>
      <c r="E29" s="20" t="n">
        <v>13</v>
      </c>
      <c r="F29" s="20" t="inlineStr">
        <is>
          <t>1500 Free</t>
        </is>
      </c>
      <c r="G29" s="20" t="inlineStr">
        <is>
          <t>Thomas Heaton</t>
        </is>
      </c>
      <c r="H29" s="20" t="inlineStr">
        <is>
          <t>16:27.41</t>
        </is>
      </c>
      <c r="I29" s="20" t="inlineStr">
        <is>
          <t>04.10.12</t>
        </is>
      </c>
      <c r="J29" s="20" t="n"/>
      <c r="K29" s="20" t="inlineStr">
        <is>
          <t>YES</t>
        </is>
      </c>
      <c r="L29" s="20" t="n"/>
    </row>
    <row r="30" ht="15" customHeight="1" s="17">
      <c r="A30" s="20" t="inlineStr">
        <is>
          <t>H0026</t>
        </is>
      </c>
      <c r="B30" s="20" t="inlineStr">
        <is>
          <t>NZ|SCM|M|13|50 Back</t>
        </is>
      </c>
      <c r="C30" s="20" t="inlineStr">
        <is>
          <t>SCM</t>
        </is>
      </c>
      <c r="D30" s="20" t="inlineStr">
        <is>
          <t>Male</t>
        </is>
      </c>
      <c r="E30" s="20" t="n">
        <v>13</v>
      </c>
      <c r="F30" s="20" t="inlineStr">
        <is>
          <t>50 Back</t>
        </is>
      </c>
      <c r="G30" s="20" t="inlineStr">
        <is>
          <t>Kase Glintmeyer</t>
        </is>
      </c>
      <c r="H30" s="20" t="inlineStr">
        <is>
          <t>27.35</t>
        </is>
      </c>
      <c r="I30" s="20" t="inlineStr">
        <is>
          <t>23.08.24</t>
        </is>
      </c>
      <c r="J30" s="20" t="n"/>
      <c r="K30" s="20" t="inlineStr">
        <is>
          <t>YES</t>
        </is>
      </c>
      <c r="L30" s="20" t="n"/>
    </row>
    <row r="31" ht="15" customHeight="1" s="17">
      <c r="A31" s="20" t="inlineStr">
        <is>
          <t>H0027</t>
        </is>
      </c>
      <c r="B31" s="20" t="inlineStr">
        <is>
          <t>NZ|SCM|M|13|100 Back</t>
        </is>
      </c>
      <c r="C31" s="20" t="inlineStr">
        <is>
          <t>SCM</t>
        </is>
      </c>
      <c r="D31" s="20" t="inlineStr">
        <is>
          <t>Male</t>
        </is>
      </c>
      <c r="E31" s="20" t="n">
        <v>13</v>
      </c>
      <c r="F31" s="20" t="inlineStr">
        <is>
          <t>100 Back</t>
        </is>
      </c>
      <c r="G31" s="20" t="inlineStr">
        <is>
          <t>Grayson Coulter</t>
        </is>
      </c>
      <c r="H31" s="20" t="inlineStr">
        <is>
          <t>58.20</t>
        </is>
      </c>
      <c r="I31" s="20" t="inlineStr">
        <is>
          <t>25.07.25</t>
        </is>
      </c>
      <c r="J31" s="20" t="n"/>
      <c r="K31" s="20" t="inlineStr">
        <is>
          <t>YES</t>
        </is>
      </c>
      <c r="L31" s="20" t="n"/>
    </row>
    <row r="32" ht="15" customHeight="1" s="17">
      <c r="A32" s="20" t="inlineStr">
        <is>
          <t>H0028</t>
        </is>
      </c>
      <c r="B32" s="20" t="inlineStr">
        <is>
          <t>NZ|SCM|M|13|200 Back</t>
        </is>
      </c>
      <c r="C32" s="20" t="inlineStr">
        <is>
          <t>SCM</t>
        </is>
      </c>
      <c r="D32" s="20" t="inlineStr">
        <is>
          <t>Male</t>
        </is>
      </c>
      <c r="E32" s="20" t="n">
        <v>13</v>
      </c>
      <c r="F32" s="20" t="inlineStr">
        <is>
          <t>200 Back</t>
        </is>
      </c>
      <c r="G32" s="20" t="inlineStr">
        <is>
          <t>Ariel Muchirahondo</t>
        </is>
      </c>
      <c r="H32" s="20" t="inlineStr">
        <is>
          <t>2:06.33</t>
        </is>
      </c>
      <c r="I32" s="20" t="inlineStr">
        <is>
          <t>22.10.22</t>
        </is>
      </c>
      <c r="J32" s="20" t="n"/>
      <c r="K32" s="20" t="inlineStr">
        <is>
          <t>YES</t>
        </is>
      </c>
      <c r="L32" s="20" t="n"/>
    </row>
    <row r="33" ht="15" customHeight="1" s="17">
      <c r="A33" s="20" t="inlineStr">
        <is>
          <t>H0029</t>
        </is>
      </c>
      <c r="B33" s="20" t="inlineStr">
        <is>
          <t>NZ|SCM|M|13|50 Breast</t>
        </is>
      </c>
      <c r="C33" s="20" t="inlineStr">
        <is>
          <t>SCM</t>
        </is>
      </c>
      <c r="D33" s="20" t="inlineStr">
        <is>
          <t>Male</t>
        </is>
      </c>
      <c r="E33" s="20" t="n">
        <v>13</v>
      </c>
      <c r="F33" s="20" t="inlineStr">
        <is>
          <t>50 Breast</t>
        </is>
      </c>
      <c r="G33" s="20" t="inlineStr">
        <is>
          <t>Cameron Karpik</t>
        </is>
      </c>
      <c r="H33" s="20" t="inlineStr">
        <is>
          <t>30.35</t>
        </is>
      </c>
      <c r="I33" s="20" t="inlineStr">
        <is>
          <t>25.08.22</t>
        </is>
      </c>
      <c r="J33" s="20" t="n"/>
      <c r="K33" s="20" t="inlineStr">
        <is>
          <t>YES</t>
        </is>
      </c>
      <c r="L33" s="20" t="n"/>
    </row>
    <row r="34" ht="15" customHeight="1" s="17">
      <c r="A34" s="20" t="inlineStr">
        <is>
          <t>H0030</t>
        </is>
      </c>
      <c r="B34" s="20" t="inlineStr">
        <is>
          <t>NZ|SCM|M|13|100 Breast</t>
        </is>
      </c>
      <c r="C34" s="20" t="inlineStr">
        <is>
          <t>SCM</t>
        </is>
      </c>
      <c r="D34" s="20" t="inlineStr">
        <is>
          <t>Male</t>
        </is>
      </c>
      <c r="E34" s="20" t="n">
        <v>13</v>
      </c>
      <c r="F34" s="20" t="inlineStr">
        <is>
          <t>100 Breast</t>
        </is>
      </c>
      <c r="G34" s="20" t="inlineStr">
        <is>
          <t>Cameron Karpik</t>
        </is>
      </c>
      <c r="H34" s="20" t="inlineStr">
        <is>
          <t>1:06.33</t>
        </is>
      </c>
      <c r="I34" s="20" t="inlineStr">
        <is>
          <t>26.08.22</t>
        </is>
      </c>
      <c r="J34" s="20" t="n"/>
      <c r="K34" s="20" t="inlineStr">
        <is>
          <t>YES</t>
        </is>
      </c>
      <c r="L34" s="20" t="n"/>
    </row>
    <row r="35" ht="15" customHeight="1" s="17">
      <c r="A35" s="20" t="inlineStr">
        <is>
          <t>H0031</t>
        </is>
      </c>
      <c r="B35" s="20" t="inlineStr">
        <is>
          <t>NZ|SCM|M|13|200 Breast</t>
        </is>
      </c>
      <c r="C35" s="20" t="inlineStr">
        <is>
          <t>SCM</t>
        </is>
      </c>
      <c r="D35" s="20" t="inlineStr">
        <is>
          <t>Male</t>
        </is>
      </c>
      <c r="E35" s="20" t="n">
        <v>13</v>
      </c>
      <c r="F35" s="20" t="inlineStr">
        <is>
          <t>200 Breast</t>
        </is>
      </c>
      <c r="G35" s="20" t="inlineStr">
        <is>
          <t>Erik Kahr</t>
        </is>
      </c>
      <c r="H35" s="20" t="inlineStr">
        <is>
          <t>2:22.10</t>
        </is>
      </c>
      <c r="I35" s="20" t="inlineStr">
        <is>
          <t>29.09.09</t>
        </is>
      </c>
      <c r="J35" s="20" t="n"/>
      <c r="K35" s="20" t="inlineStr">
        <is>
          <t>YES</t>
        </is>
      </c>
      <c r="L35" s="20" t="n"/>
    </row>
    <row r="36" ht="15" customHeight="1" s="17">
      <c r="A36" s="20" t="inlineStr">
        <is>
          <t>H0032</t>
        </is>
      </c>
      <c r="B36" s="20" t="inlineStr">
        <is>
          <t>NZ|SCM|M|13|50 Fly</t>
        </is>
      </c>
      <c r="C36" s="20" t="inlineStr">
        <is>
          <t>SCM</t>
        </is>
      </c>
      <c r="D36" s="20" t="inlineStr">
        <is>
          <t>Male</t>
        </is>
      </c>
      <c r="E36" s="20" t="n">
        <v>13</v>
      </c>
      <c r="F36" s="20" t="inlineStr">
        <is>
          <t>50 Fly</t>
        </is>
      </c>
      <c r="G36" s="20" t="inlineStr">
        <is>
          <t>Grayson Coulter</t>
        </is>
      </c>
      <c r="H36" s="20" t="inlineStr">
        <is>
          <t>25.64</t>
        </is>
      </c>
      <c r="I36" s="20" t="inlineStr">
        <is>
          <t>22.09.25</t>
        </is>
      </c>
      <c r="J36" s="20" t="n"/>
      <c r="K36" s="20" t="inlineStr">
        <is>
          <t>YES</t>
        </is>
      </c>
      <c r="L36" s="20" t="n"/>
    </row>
    <row r="37" ht="15" customHeight="1" s="17">
      <c r="A37" s="20" t="inlineStr">
        <is>
          <t>H0033</t>
        </is>
      </c>
      <c r="B37" s="20" t="inlineStr">
        <is>
          <t>NZ|SCM|M|13|100 Fly</t>
        </is>
      </c>
      <c r="C37" s="20" t="inlineStr">
        <is>
          <t>SCM</t>
        </is>
      </c>
      <c r="D37" s="20" t="inlineStr">
        <is>
          <t>Male</t>
        </is>
      </c>
      <c r="E37" s="20" t="n">
        <v>13</v>
      </c>
      <c r="F37" s="20" t="inlineStr">
        <is>
          <t>100 Fly</t>
        </is>
      </c>
      <c r="G37" s="20" t="inlineStr">
        <is>
          <t>Grayson Coulter</t>
        </is>
      </c>
      <c r="H37" s="20" t="inlineStr">
        <is>
          <t>56.90</t>
        </is>
      </c>
      <c r="I37" s="20" t="inlineStr">
        <is>
          <t>26.07.25</t>
        </is>
      </c>
      <c r="J37" s="20" t="n"/>
      <c r="K37" s="20" t="inlineStr">
        <is>
          <t>YES</t>
        </is>
      </c>
      <c r="L37" s="20" t="n"/>
    </row>
    <row r="38" ht="15" customHeight="1" s="17">
      <c r="A38" s="20" t="inlineStr">
        <is>
          <t>H0034</t>
        </is>
      </c>
      <c r="B38" s="20" t="inlineStr">
        <is>
          <t>NZ|SCM|M|13|200 Fly</t>
        </is>
      </c>
      <c r="C38" s="20" t="inlineStr">
        <is>
          <t>SCM</t>
        </is>
      </c>
      <c r="D38" s="20" t="inlineStr">
        <is>
          <t>Male</t>
        </is>
      </c>
      <c r="E38" s="20" t="n">
        <v>13</v>
      </c>
      <c r="F38" s="20" t="inlineStr">
        <is>
          <t>200 Fly</t>
        </is>
      </c>
      <c r="G38" s="20" t="inlineStr">
        <is>
          <t>Mitchell Donaldson</t>
        </is>
      </c>
      <c r="H38" s="20" t="inlineStr">
        <is>
          <t>2:10.81</t>
        </is>
      </c>
      <c r="I38" s="20" t="inlineStr">
        <is>
          <t>27.09.06</t>
        </is>
      </c>
      <c r="J38" s="20" t="n"/>
      <c r="K38" s="20" t="inlineStr">
        <is>
          <t>YES</t>
        </is>
      </c>
      <c r="L38" s="20" t="n"/>
    </row>
    <row r="39" ht="15" customHeight="1" s="17">
      <c r="A39" s="20" t="inlineStr">
        <is>
          <t>H0035</t>
        </is>
      </c>
      <c r="B39" s="20" t="inlineStr">
        <is>
          <t>NZ|SCM|M|13|100 IM</t>
        </is>
      </c>
      <c r="C39" s="20" t="inlineStr">
        <is>
          <t>SCM</t>
        </is>
      </c>
      <c r="D39" s="20" t="inlineStr">
        <is>
          <t>Male</t>
        </is>
      </c>
      <c r="E39" s="20" t="n">
        <v>13</v>
      </c>
      <c r="F39" s="20" t="inlineStr">
        <is>
          <t>100 IM</t>
        </is>
      </c>
      <c r="G39" s="20" t="inlineStr">
        <is>
          <t>Grayson Coulter</t>
        </is>
      </c>
      <c r="H39" s="20" t="inlineStr">
        <is>
          <t>58.42</t>
        </is>
      </c>
      <c r="I39" s="20" t="inlineStr">
        <is>
          <t>21.09.25</t>
        </is>
      </c>
      <c r="J39" s="20" t="n"/>
      <c r="K39" s="20" t="inlineStr">
        <is>
          <t>YES</t>
        </is>
      </c>
      <c r="L39" s="20" t="n"/>
    </row>
    <row r="40" ht="15" customHeight="1" s="17">
      <c r="A40" s="20" t="inlineStr">
        <is>
          <t>H0036</t>
        </is>
      </c>
      <c r="B40" s="20" t="inlineStr">
        <is>
          <t>NZ|SCM|M|13|200 IM</t>
        </is>
      </c>
      <c r="C40" s="20" t="inlineStr">
        <is>
          <t>SCM</t>
        </is>
      </c>
      <c r="D40" s="20" t="inlineStr">
        <is>
          <t>Male</t>
        </is>
      </c>
      <c r="E40" s="20" t="n">
        <v>13</v>
      </c>
      <c r="F40" s="20" t="inlineStr">
        <is>
          <t>200 IM</t>
        </is>
      </c>
      <c r="G40" s="20" t="inlineStr">
        <is>
          <t>Grayson Coulter</t>
        </is>
      </c>
      <c r="H40" s="20" t="inlineStr">
        <is>
          <t>2:05.15</t>
        </is>
      </c>
      <c r="I40" s="20" t="inlineStr">
        <is>
          <t>25.09.25</t>
        </is>
      </c>
      <c r="J40" s="20" t="n"/>
      <c r="K40" s="20" t="inlineStr">
        <is>
          <t>YES</t>
        </is>
      </c>
      <c r="L40" s="20" t="n"/>
    </row>
    <row r="41" ht="15" customHeight="1" s="17">
      <c r="A41" s="20" t="inlineStr">
        <is>
          <t>H0037</t>
        </is>
      </c>
      <c r="B41" s="20" t="inlineStr">
        <is>
          <t>NZ|SCM|M|13|400 IM</t>
        </is>
      </c>
      <c r="C41" s="20" t="inlineStr">
        <is>
          <t>SCM</t>
        </is>
      </c>
      <c r="D41" s="20" t="inlineStr">
        <is>
          <t>Male</t>
        </is>
      </c>
      <c r="E41" s="20" t="n">
        <v>13</v>
      </c>
      <c r="F41" s="20" t="inlineStr">
        <is>
          <t>400 IM</t>
        </is>
      </c>
      <c r="G41" s="20" t="inlineStr">
        <is>
          <t>Mitchell Donaldson</t>
        </is>
      </c>
      <c r="H41" s="20" t="inlineStr">
        <is>
          <t>4:35.84</t>
        </is>
      </c>
      <c r="I41" s="20" t="inlineStr">
        <is>
          <t>25.09.06</t>
        </is>
      </c>
      <c r="J41" s="20" t="n"/>
      <c r="K41" s="20" t="inlineStr">
        <is>
          <t>YES</t>
        </is>
      </c>
      <c r="L41" s="20" t="n"/>
    </row>
    <row r="42" ht="15" customHeight="1" s="17">
      <c r="A42" s="20" t="inlineStr">
        <is>
          <t>H0038</t>
        </is>
      </c>
      <c r="B42" s="20" t="inlineStr">
        <is>
          <t>NZ|SCM|M|14|50 Free</t>
        </is>
      </c>
      <c r="C42" s="20" t="inlineStr">
        <is>
          <t>SCM</t>
        </is>
      </c>
      <c r="D42" s="20" t="inlineStr">
        <is>
          <t>Male</t>
        </is>
      </c>
      <c r="E42" s="20" t="n">
        <v>14</v>
      </c>
      <c r="F42" s="20" t="inlineStr">
        <is>
          <t>50 Free</t>
        </is>
      </c>
      <c r="G42" s="20" t="inlineStr">
        <is>
          <t>Grayson Coulter</t>
        </is>
      </c>
      <c r="H42" s="20" t="inlineStr">
        <is>
          <t>23.11</t>
        </is>
      </c>
      <c r="I42" s="20" t="inlineStr">
        <is>
          <t>01.10.26</t>
        </is>
      </c>
      <c r="J42" s="20" t="n"/>
      <c r="K42" s="20" t="inlineStr">
        <is>
          <t>YES</t>
        </is>
      </c>
      <c r="L42" s="20" t="inlineStr">
        <is>
          <t>https://swimdadnz.github.io/NZSC_2026/NZSC_2026_meet_editorial_summary_final.html</t>
        </is>
      </c>
    </row>
    <row r="43" ht="15" customHeight="1" s="17">
      <c r="A43" s="20" t="inlineStr">
        <is>
          <t>H0039</t>
        </is>
      </c>
      <c r="B43" s="20" t="inlineStr">
        <is>
          <t>NZ|SCM|M|14|100 Free</t>
        </is>
      </c>
      <c r="C43" s="20" t="inlineStr">
        <is>
          <t>SCM</t>
        </is>
      </c>
      <c r="D43" s="20" t="inlineStr">
        <is>
          <t>Male</t>
        </is>
      </c>
      <c r="E43" s="20" t="n">
        <v>14</v>
      </c>
      <c r="F43" s="20" t="inlineStr">
        <is>
          <t>100 Free</t>
        </is>
      </c>
      <c r="G43" s="20" t="inlineStr">
        <is>
          <t>Grayson Coulter</t>
        </is>
      </c>
      <c r="H43" s="20" t="inlineStr">
        <is>
          <t>50.06</t>
        </is>
      </c>
      <c r="I43" s="20" t="inlineStr">
        <is>
          <t>01.10.26</t>
        </is>
      </c>
      <c r="J43" s="20" t="n"/>
      <c r="K43" s="20" t="inlineStr">
        <is>
          <t>YES</t>
        </is>
      </c>
      <c r="L43" s="20" t="inlineStr">
        <is>
          <t>https://swimdadnz.github.io/NZSC_2026/NZSC_2026_meet_editorial_summary_final.html</t>
        </is>
      </c>
    </row>
    <row r="44" ht="15" customHeight="1" s="17">
      <c r="A44" s="20" t="inlineStr">
        <is>
          <t>H0040</t>
        </is>
      </c>
      <c r="B44" s="20" t="inlineStr">
        <is>
          <t>NZ|SCM|M|14|200 Free</t>
        </is>
      </c>
      <c r="C44" s="20" t="inlineStr">
        <is>
          <t>SCM</t>
        </is>
      </c>
      <c r="D44" s="20" t="inlineStr">
        <is>
          <t>Male</t>
        </is>
      </c>
      <c r="E44" s="20" t="n">
        <v>14</v>
      </c>
      <c r="F44" s="20" t="inlineStr">
        <is>
          <t>200 Free</t>
        </is>
      </c>
      <c r="G44" s="20" t="inlineStr">
        <is>
          <t>Grayson Coulter</t>
        </is>
      </c>
      <c r="H44" s="20" t="inlineStr">
        <is>
          <t>1:48.13</t>
        </is>
      </c>
      <c r="I44" s="20" t="inlineStr">
        <is>
          <t>30.09.26</t>
        </is>
      </c>
      <c r="J44" s="20" t="n"/>
      <c r="K44" s="20" t="inlineStr">
        <is>
          <t>YES</t>
        </is>
      </c>
      <c r="L44" s="20" t="inlineStr">
        <is>
          <t>https://swimdadnz.github.io/NZSC_2026/NZSC_2026_meet_editorial_summary_final.html</t>
        </is>
      </c>
    </row>
    <row r="45" ht="15" customHeight="1" s="17">
      <c r="A45" s="20" t="inlineStr">
        <is>
          <t>H0041</t>
        </is>
      </c>
      <c r="B45" s="20" t="inlineStr">
        <is>
          <t>NZ|SCM|M|14|400 Free</t>
        </is>
      </c>
      <c r="C45" s="20" t="inlineStr">
        <is>
          <t>SCM</t>
        </is>
      </c>
      <c r="D45" s="20" t="inlineStr">
        <is>
          <t>Male</t>
        </is>
      </c>
      <c r="E45" s="20" t="n">
        <v>14</v>
      </c>
      <c r="F45" s="20" t="inlineStr">
        <is>
          <t>400 Free</t>
        </is>
      </c>
      <c r="G45" s="20" t="inlineStr">
        <is>
          <t>Leo English</t>
        </is>
      </c>
      <c r="H45" s="20" t="inlineStr">
        <is>
          <t>3:57.62</t>
        </is>
      </c>
      <c r="I45" s="20" t="inlineStr">
        <is>
          <t>25.02.24</t>
        </is>
      </c>
      <c r="J45" s="20" t="n"/>
      <c r="K45" s="20" t="inlineStr">
        <is>
          <t>YES</t>
        </is>
      </c>
      <c r="L45" s="20" t="n"/>
    </row>
    <row r="46" ht="15" customHeight="1" s="17">
      <c r="A46" s="20" t="inlineStr">
        <is>
          <t>H0042</t>
        </is>
      </c>
      <c r="B46" s="20" t="inlineStr">
        <is>
          <t>NZ|SCM|M|14|800 Free</t>
        </is>
      </c>
      <c r="C46" s="20" t="inlineStr">
        <is>
          <t>SCM</t>
        </is>
      </c>
      <c r="D46" s="20" t="inlineStr">
        <is>
          <t>Male</t>
        </is>
      </c>
      <c r="E46" s="20" t="n">
        <v>14</v>
      </c>
      <c r="F46" s="20" t="inlineStr">
        <is>
          <t>800 Free</t>
        </is>
      </c>
      <c r="G46" s="20" t="inlineStr">
        <is>
          <t>Cameron Burrows</t>
        </is>
      </c>
      <c r="H46" s="20" t="inlineStr">
        <is>
          <t>8:19.31</t>
        </is>
      </c>
      <c r="I46" s="20" t="inlineStr">
        <is>
          <t>10.06.06</t>
        </is>
      </c>
      <c r="J46" s="20" t="n"/>
      <c r="K46" s="20" t="inlineStr">
        <is>
          <t>YES</t>
        </is>
      </c>
      <c r="L46" s="20" t="n"/>
    </row>
    <row r="47" ht="15" customHeight="1" s="17">
      <c r="A47" s="20" t="inlineStr">
        <is>
          <t>H0043</t>
        </is>
      </c>
      <c r="B47" s="20" t="inlineStr">
        <is>
          <t>NZ|SCM|M|14|1500 Free</t>
        </is>
      </c>
      <c r="C47" s="20" t="inlineStr">
        <is>
          <t>SCM</t>
        </is>
      </c>
      <c r="D47" s="20" t="inlineStr">
        <is>
          <t>Male</t>
        </is>
      </c>
      <c r="E47" s="20" t="n">
        <v>14</v>
      </c>
      <c r="F47" s="20" t="inlineStr">
        <is>
          <t>1500 Free</t>
        </is>
      </c>
      <c r="G47" s="20" t="inlineStr">
        <is>
          <t>Michael Mincham</t>
        </is>
      </c>
      <c r="H47" s="20" t="inlineStr">
        <is>
          <t>15:38.51</t>
        </is>
      </c>
      <c r="I47" s="20" t="inlineStr">
        <is>
          <t>13.11.10</t>
        </is>
      </c>
      <c r="J47" s="20" t="n"/>
      <c r="K47" s="20" t="inlineStr">
        <is>
          <t>YES</t>
        </is>
      </c>
      <c r="L47" s="20" t="n"/>
    </row>
    <row r="48" ht="15" customHeight="1" s="17">
      <c r="A48" s="20" t="inlineStr">
        <is>
          <t>H0044</t>
        </is>
      </c>
      <c r="B48" s="20" t="inlineStr">
        <is>
          <t>NZ|SCM|M|14|50 Back</t>
        </is>
      </c>
      <c r="C48" s="20" t="inlineStr">
        <is>
          <t>SCM</t>
        </is>
      </c>
      <c r="D48" s="20" t="inlineStr">
        <is>
          <t>Male</t>
        </is>
      </c>
      <c r="E48" s="20" t="n">
        <v>14</v>
      </c>
      <c r="F48" s="20" t="inlineStr">
        <is>
          <t>50 Back</t>
        </is>
      </c>
      <c r="G48" s="20" t="inlineStr">
        <is>
          <t>Donald Tian</t>
        </is>
      </c>
      <c r="H48" s="20" t="inlineStr">
        <is>
          <t>26.20</t>
        </is>
      </c>
      <c r="I48" s="20" t="inlineStr">
        <is>
          <t>23.08.24</t>
        </is>
      </c>
      <c r="J48" s="20" t="n"/>
      <c r="K48" s="20" t="inlineStr">
        <is>
          <t>YES</t>
        </is>
      </c>
      <c r="L48" s="20" t="n"/>
    </row>
    <row r="49" ht="15" customHeight="1" s="17">
      <c r="A49" s="20" t="inlineStr">
        <is>
          <t>H0045</t>
        </is>
      </c>
      <c r="B49" s="20" t="inlineStr">
        <is>
          <t>NZ|SCM|M|14|100 Back</t>
        </is>
      </c>
      <c r="C49" s="20" t="inlineStr">
        <is>
          <t>SCM</t>
        </is>
      </c>
      <c r="D49" s="20" t="inlineStr">
        <is>
          <t>Male</t>
        </is>
      </c>
      <c r="E49" s="20" t="n">
        <v>14</v>
      </c>
      <c r="F49" s="20" t="inlineStr">
        <is>
          <t>100 Back</t>
        </is>
      </c>
      <c r="G49" s="20" t="inlineStr">
        <is>
          <t>Corey Main</t>
        </is>
      </c>
      <c r="H49" s="20" t="inlineStr">
        <is>
          <t>56.48</t>
        </is>
      </c>
      <c r="I49" s="20" t="inlineStr">
        <is>
          <t>27.09.09</t>
        </is>
      </c>
      <c r="J49" s="20" t="n"/>
      <c r="K49" s="20" t="inlineStr">
        <is>
          <t>YES</t>
        </is>
      </c>
      <c r="L49" s="20" t="n"/>
    </row>
    <row r="50" ht="15" customHeight="1" s="17">
      <c r="A50" s="20" t="inlineStr">
        <is>
          <t>H0046</t>
        </is>
      </c>
      <c r="B50" s="20" t="inlineStr">
        <is>
          <t>NZ|SCM|M|14|200 Back</t>
        </is>
      </c>
      <c r="C50" s="20" t="inlineStr">
        <is>
          <t>SCM</t>
        </is>
      </c>
      <c r="D50" s="20" t="inlineStr">
        <is>
          <t>Male</t>
        </is>
      </c>
      <c r="E50" s="20" t="n">
        <v>14</v>
      </c>
      <c r="F50" s="20" t="inlineStr">
        <is>
          <t>200 Back</t>
        </is>
      </c>
      <c r="G50" s="20" t="inlineStr">
        <is>
          <t>Corey Main</t>
        </is>
      </c>
      <c r="H50" s="20" t="inlineStr">
        <is>
          <t>2:00.71</t>
        </is>
      </c>
      <c r="I50" s="20" t="inlineStr">
        <is>
          <t>28.09.09</t>
        </is>
      </c>
      <c r="J50" s="20" t="n"/>
      <c r="K50" s="20" t="inlineStr">
        <is>
          <t>YES</t>
        </is>
      </c>
      <c r="L50" s="20" t="n"/>
    </row>
    <row r="51" ht="15" customHeight="1" s="17">
      <c r="A51" s="20" t="inlineStr">
        <is>
          <t>H0047</t>
        </is>
      </c>
      <c r="B51" s="20" t="inlineStr">
        <is>
          <t>NZ|SCM|M|14|50 Breast</t>
        </is>
      </c>
      <c r="C51" s="20" t="inlineStr">
        <is>
          <t>SCM</t>
        </is>
      </c>
      <c r="D51" s="20" t="inlineStr">
        <is>
          <t>Male</t>
        </is>
      </c>
      <c r="E51" s="20" t="n">
        <v>14</v>
      </c>
      <c r="F51" s="20" t="inlineStr">
        <is>
          <t>50 Breast</t>
        </is>
      </c>
      <c r="G51" s="20" t="inlineStr">
        <is>
          <t>Jeffrey Arona-Tuifana'e</t>
        </is>
      </c>
      <c r="H51" s="20" t="inlineStr">
        <is>
          <t>29.54</t>
        </is>
      </c>
      <c r="I51" s="20" t="inlineStr">
        <is>
          <t>06.07.09</t>
        </is>
      </c>
      <c r="J51" s="20" t="n"/>
      <c r="K51" s="20" t="inlineStr">
        <is>
          <t>YES</t>
        </is>
      </c>
      <c r="L51" s="20" t="n"/>
    </row>
    <row r="52" ht="15" customHeight="1" s="17">
      <c r="A52" s="20" t="inlineStr">
        <is>
          <t>H0048</t>
        </is>
      </c>
      <c r="B52" s="20" t="inlineStr">
        <is>
          <t>NZ|SCM|M|14|100 Breast</t>
        </is>
      </c>
      <c r="C52" s="20" t="inlineStr">
        <is>
          <t>SCM</t>
        </is>
      </c>
      <c r="D52" s="20" t="inlineStr">
        <is>
          <t>Male</t>
        </is>
      </c>
      <c r="E52" s="20" t="n">
        <v>14</v>
      </c>
      <c r="F52" s="20" t="inlineStr">
        <is>
          <t>100 Breast</t>
        </is>
      </c>
      <c r="G52" s="20" t="inlineStr">
        <is>
          <t>Cameron Karpik</t>
        </is>
      </c>
      <c r="H52" s="20" t="inlineStr">
        <is>
          <t>1:04.11</t>
        </is>
      </c>
      <c r="I52" s="20" t="inlineStr">
        <is>
          <t>11.08.23</t>
        </is>
      </c>
      <c r="J52" s="20" t="n"/>
      <c r="K52" s="20" t="inlineStr">
        <is>
          <t>YES</t>
        </is>
      </c>
      <c r="L52" s="20" t="n"/>
    </row>
    <row r="53" ht="15" customHeight="1" s="17">
      <c r="A53" s="20" t="inlineStr">
        <is>
          <t>H0049</t>
        </is>
      </c>
      <c r="B53" s="20" t="inlineStr">
        <is>
          <t>NZ|SCM|M|14|200 Breast</t>
        </is>
      </c>
      <c r="C53" s="20" t="inlineStr">
        <is>
          <t>SCM</t>
        </is>
      </c>
      <c r="D53" s="20" t="inlineStr">
        <is>
          <t>Male</t>
        </is>
      </c>
      <c r="E53" s="20" t="n">
        <v>14</v>
      </c>
      <c r="F53" s="20" t="inlineStr">
        <is>
          <t>200 Breast</t>
        </is>
      </c>
      <c r="G53" s="20" t="inlineStr">
        <is>
          <t>Cameron Karpik</t>
        </is>
      </c>
      <c r="H53" s="20" t="inlineStr">
        <is>
          <t>2:20.58</t>
        </is>
      </c>
      <c r="I53" s="20" t="inlineStr">
        <is>
          <t>08.08.23</t>
        </is>
      </c>
      <c r="J53" s="20" t="n"/>
      <c r="K53" s="20" t="inlineStr">
        <is>
          <t>YES</t>
        </is>
      </c>
      <c r="L53" s="20" t="n"/>
    </row>
    <row r="54" ht="15" customHeight="1" s="17">
      <c r="A54" s="20" t="inlineStr">
        <is>
          <t>H0050</t>
        </is>
      </c>
      <c r="B54" s="20" t="inlineStr">
        <is>
          <t>NZ|SCM|M|14|50 Fly</t>
        </is>
      </c>
      <c r="C54" s="20" t="inlineStr">
        <is>
          <t>SCM</t>
        </is>
      </c>
      <c r="D54" s="20" t="inlineStr">
        <is>
          <t>Male</t>
        </is>
      </c>
      <c r="E54" s="20" t="n">
        <v>14</v>
      </c>
      <c r="F54" s="20" t="inlineStr">
        <is>
          <t>50 Fly</t>
        </is>
      </c>
      <c r="G54" s="20" t="inlineStr">
        <is>
          <t>Grayson Coulter</t>
        </is>
      </c>
      <c r="H54" s="20" t="inlineStr">
        <is>
          <t>25.06</t>
        </is>
      </c>
      <c r="I54" s="20" t="inlineStr">
        <is>
          <t>28.09.26</t>
        </is>
      </c>
      <c r="J54" s="20" t="n"/>
      <c r="K54" s="20" t="inlineStr">
        <is>
          <t>YES</t>
        </is>
      </c>
      <c r="L54" s="20" t="inlineStr">
        <is>
          <t>https://swimdadnz.github.io/NZSC_2026/NZSC_2026_meet_editorial_summary_final.html</t>
        </is>
      </c>
    </row>
    <row r="55" ht="15" customHeight="1" s="17">
      <c r="A55" s="20" t="inlineStr">
        <is>
          <t>H0051</t>
        </is>
      </c>
      <c r="B55" s="20" t="inlineStr">
        <is>
          <t>NZ|SCM|M|14|100 Fly</t>
        </is>
      </c>
      <c r="C55" s="20" t="inlineStr">
        <is>
          <t>SCM</t>
        </is>
      </c>
      <c r="D55" s="20" t="inlineStr">
        <is>
          <t>Male</t>
        </is>
      </c>
      <c r="E55" s="20" t="n">
        <v>14</v>
      </c>
      <c r="F55" s="20" t="inlineStr">
        <is>
          <t>100 Fly</t>
        </is>
      </c>
      <c r="G55" s="20" t="inlineStr">
        <is>
          <t>Grayson Coulter</t>
        </is>
      </c>
      <c r="H55" s="20" t="inlineStr">
        <is>
          <t>54.92</t>
        </is>
      </c>
      <c r="I55" s="20" t="inlineStr">
        <is>
          <t>29.09.26</t>
        </is>
      </c>
      <c r="J55" s="20" t="n"/>
      <c r="K55" s="20" t="inlineStr">
        <is>
          <t>YES</t>
        </is>
      </c>
      <c r="L55" s="20" t="inlineStr">
        <is>
          <t>https://swimdadnz.github.io/NZSC_2026/NZSC_2026_meet_editorial_summary_final.html</t>
        </is>
      </c>
    </row>
    <row r="56" ht="15" customHeight="1" s="17">
      <c r="A56" s="20" t="inlineStr">
        <is>
          <t>H0052</t>
        </is>
      </c>
      <c r="B56" s="20" t="inlineStr">
        <is>
          <t>NZ|SCM|M|14|200 Fly</t>
        </is>
      </c>
      <c r="C56" s="20" t="inlineStr">
        <is>
          <t>SCM</t>
        </is>
      </c>
      <c r="D56" s="20" t="inlineStr">
        <is>
          <t>Male</t>
        </is>
      </c>
      <c r="E56" s="20" t="n">
        <v>14</v>
      </c>
      <c r="F56" s="20" t="inlineStr">
        <is>
          <t>200 Fly</t>
        </is>
      </c>
      <c r="G56" s="20" t="inlineStr">
        <is>
          <t>Kento Wangford</t>
        </is>
      </c>
      <c r="H56" s="20" t="inlineStr">
        <is>
          <t>2:03.00</t>
        </is>
      </c>
      <c r="I56" s="20" t="inlineStr">
        <is>
          <t>31.07.26</t>
        </is>
      </c>
      <c r="J56" s="20" t="n"/>
      <c r="K56" s="20" t="inlineStr">
        <is>
          <t>YES</t>
        </is>
      </c>
      <c r="L56" s="20" t="n"/>
    </row>
    <row r="57" ht="15" customHeight="1" s="17">
      <c r="A57" s="20" t="inlineStr">
        <is>
          <t>H0053</t>
        </is>
      </c>
      <c r="B57" s="20" t="inlineStr">
        <is>
          <t>NZ|SCM|M|14|100 IM</t>
        </is>
      </c>
      <c r="C57" s="20" t="inlineStr">
        <is>
          <t>SCM</t>
        </is>
      </c>
      <c r="D57" s="20" t="inlineStr">
        <is>
          <t>Male</t>
        </is>
      </c>
      <c r="E57" s="20" t="n">
        <v>14</v>
      </c>
      <c r="F57" s="20" t="inlineStr">
        <is>
          <t>100 IM</t>
        </is>
      </c>
      <c r="G57" s="20" t="inlineStr">
        <is>
          <t>Grayson Coulter</t>
        </is>
      </c>
      <c r="H57" s="20" t="inlineStr">
        <is>
          <t>57.72</t>
        </is>
      </c>
      <c r="I57" s="20" t="inlineStr">
        <is>
          <t>27.09.26</t>
        </is>
      </c>
      <c r="J57" s="20" t="n"/>
      <c r="K57" s="20" t="inlineStr">
        <is>
          <t>YES</t>
        </is>
      </c>
      <c r="L57" s="20" t="inlineStr">
        <is>
          <t>https://swimdadnz.github.io/NZSC_2026/NZSC_2026_meet_editorial_summary_final.html</t>
        </is>
      </c>
    </row>
    <row r="58" ht="15" customHeight="1" s="17">
      <c r="A58" s="20" t="inlineStr">
        <is>
          <t>H0054</t>
        </is>
      </c>
      <c r="B58" s="20" t="inlineStr">
        <is>
          <t>NZ|SCM|M|14|200 IM</t>
        </is>
      </c>
      <c r="C58" s="20" t="inlineStr">
        <is>
          <t>SCM</t>
        </is>
      </c>
      <c r="D58" s="20" t="inlineStr">
        <is>
          <t>Male</t>
        </is>
      </c>
      <c r="E58" s="20" t="n">
        <v>14</v>
      </c>
      <c r="F58" s="20" t="inlineStr">
        <is>
          <t>200 IM</t>
        </is>
      </c>
      <c r="G58" s="20" t="inlineStr">
        <is>
          <t>Ariel Muchirahondo</t>
        </is>
      </c>
      <c r="H58" s="20" t="inlineStr">
        <is>
          <t>2:07.42</t>
        </is>
      </c>
      <c r="I58" s="20" t="inlineStr">
        <is>
          <t>12.08.23</t>
        </is>
      </c>
      <c r="J58" s="20" t="n"/>
      <c r="K58" s="20" t="inlineStr">
        <is>
          <t>YES</t>
        </is>
      </c>
      <c r="L58" s="20" t="n"/>
    </row>
    <row r="59" ht="15" customHeight="1" s="17">
      <c r="A59" s="20" t="inlineStr">
        <is>
          <t>H0055</t>
        </is>
      </c>
      <c r="B59" s="20" t="inlineStr">
        <is>
          <t>NZ|SCM|M|14|400 IM</t>
        </is>
      </c>
      <c r="C59" s="20" t="inlineStr">
        <is>
          <t>SCM</t>
        </is>
      </c>
      <c r="D59" s="20" t="inlineStr">
        <is>
          <t>Male</t>
        </is>
      </c>
      <c r="E59" s="20" t="n">
        <v>14</v>
      </c>
      <c r="F59" s="20" t="inlineStr">
        <is>
          <t>400 IM</t>
        </is>
      </c>
      <c r="G59" s="20" t="inlineStr">
        <is>
          <t>Ariel Muchirahondo</t>
        </is>
      </c>
      <c r="H59" s="20" t="inlineStr">
        <is>
          <t>4:28.23</t>
        </is>
      </c>
      <c r="I59" s="20" t="inlineStr">
        <is>
          <t>10.08.23</t>
        </is>
      </c>
      <c r="J59" s="20" t="n"/>
      <c r="K59" s="20" t="inlineStr">
        <is>
          <t>YES</t>
        </is>
      </c>
      <c r="L59" s="20" t="n"/>
    </row>
    <row r="60" ht="15" customHeight="1" s="17">
      <c r="A60" s="20" t="inlineStr">
        <is>
          <t>H0056</t>
        </is>
      </c>
      <c r="B60" s="20" t="inlineStr">
        <is>
          <t>NZ|SCM|M|15|50 Free</t>
        </is>
      </c>
      <c r="C60" s="20" t="inlineStr">
        <is>
          <t>SCM</t>
        </is>
      </c>
      <c r="D60" s="20" t="inlineStr">
        <is>
          <t>Male</t>
        </is>
      </c>
      <c r="E60" s="20" t="n">
        <v>15</v>
      </c>
      <c r="F60" s="20" t="inlineStr">
        <is>
          <t>50 Free</t>
        </is>
      </c>
      <c r="G60" s="20" t="inlineStr">
        <is>
          <t>Charlie Dickison</t>
        </is>
      </c>
      <c r="H60" s="20" t="inlineStr">
        <is>
          <t>22.77</t>
        </is>
      </c>
      <c r="I60" s="20" t="inlineStr">
        <is>
          <t>31.07.26</t>
        </is>
      </c>
      <c r="J60" s="20" t="n"/>
      <c r="K60" s="20" t="inlineStr">
        <is>
          <t>YES</t>
        </is>
      </c>
      <c r="L60" s="20" t="n"/>
    </row>
    <row r="61" ht="15" customHeight="1" s="17">
      <c r="A61" s="20" t="inlineStr">
        <is>
          <t>H0057</t>
        </is>
      </c>
      <c r="B61" s="20" t="inlineStr">
        <is>
          <t>NZ|SCM|M|15|100 Free</t>
        </is>
      </c>
      <c r="C61" s="20" t="inlineStr">
        <is>
          <t>SCM</t>
        </is>
      </c>
      <c r="D61" s="20" t="inlineStr">
        <is>
          <t>Male</t>
        </is>
      </c>
      <c r="E61" s="20" t="n">
        <v>15</v>
      </c>
      <c r="F61" s="20" t="inlineStr">
        <is>
          <t>100 Free</t>
        </is>
      </c>
      <c r="G61" s="20" t="inlineStr">
        <is>
          <t>Charlie Dickison</t>
        </is>
      </c>
      <c r="H61" s="20" t="inlineStr">
        <is>
          <t>49.98</t>
        </is>
      </c>
      <c r="I61" s="20" t="inlineStr">
        <is>
          <t>31.07.26</t>
        </is>
      </c>
      <c r="J61" s="20" t="n"/>
      <c r="K61" s="20" t="inlineStr">
        <is>
          <t>YES</t>
        </is>
      </c>
      <c r="L61" s="20" t="n"/>
    </row>
    <row r="62" ht="15" customHeight="1" s="17">
      <c r="A62" s="20" t="inlineStr">
        <is>
          <t>H0058</t>
        </is>
      </c>
      <c r="B62" s="20" t="inlineStr">
        <is>
          <t>NZ|SCM|M|15|200 Free</t>
        </is>
      </c>
      <c r="C62" s="20" t="inlineStr">
        <is>
          <t>SCM</t>
        </is>
      </c>
      <c r="D62" s="20" t="inlineStr">
        <is>
          <t>Male</t>
        </is>
      </c>
      <c r="E62" s="20" t="n">
        <v>15</v>
      </c>
      <c r="F62" s="20" t="inlineStr">
        <is>
          <t>200 Free</t>
        </is>
      </c>
      <c r="G62" s="20" t="inlineStr">
        <is>
          <t>Charlie Dickison</t>
        </is>
      </c>
      <c r="H62" s="20" t="inlineStr">
        <is>
          <t>1:50.08</t>
        </is>
      </c>
      <c r="I62" s="20" t="inlineStr">
        <is>
          <t>01.08.26</t>
        </is>
      </c>
      <c r="J62" s="20" t="n"/>
      <c r="K62" s="20" t="inlineStr">
        <is>
          <t>YES</t>
        </is>
      </c>
      <c r="L62" s="20" t="n"/>
    </row>
    <row r="63" ht="15" customHeight="1" s="17">
      <c r="A63" s="20" t="inlineStr">
        <is>
          <t>H0059</t>
        </is>
      </c>
      <c r="B63" s="20" t="inlineStr">
        <is>
          <t>NZ|SCM|M|15|400 Free</t>
        </is>
      </c>
      <c r="C63" s="20" t="inlineStr">
        <is>
          <t>SCM</t>
        </is>
      </c>
      <c r="D63" s="20" t="inlineStr">
        <is>
          <t>Male</t>
        </is>
      </c>
      <c r="E63" s="20" t="n">
        <v>15</v>
      </c>
      <c r="F63" s="20" t="inlineStr">
        <is>
          <t>400 Free</t>
        </is>
      </c>
      <c r="G63" s="20" t="inlineStr">
        <is>
          <t>Matthew Hutchins</t>
        </is>
      </c>
      <c r="H63" s="20" t="inlineStr">
        <is>
          <t>3:54.19</t>
        </is>
      </c>
      <c r="I63" s="20" t="inlineStr">
        <is>
          <t>05.07.10</t>
        </is>
      </c>
      <c r="J63" s="20" t="n"/>
      <c r="K63" s="20" t="inlineStr">
        <is>
          <t>YES</t>
        </is>
      </c>
      <c r="L63" s="20" t="n"/>
    </row>
    <row r="64" ht="15" customHeight="1" s="17">
      <c r="A64" s="20" t="inlineStr">
        <is>
          <t>H0060</t>
        </is>
      </c>
      <c r="B64" s="20" t="inlineStr">
        <is>
          <t>NZ|SCM|M|15|800 Free</t>
        </is>
      </c>
      <c r="C64" s="20" t="inlineStr">
        <is>
          <t>SCM</t>
        </is>
      </c>
      <c r="D64" s="20" t="inlineStr">
        <is>
          <t>Male</t>
        </is>
      </c>
      <c r="E64" s="20" t="n">
        <v>15</v>
      </c>
      <c r="F64" s="20" t="inlineStr">
        <is>
          <t>800 Free</t>
        </is>
      </c>
      <c r="G64" s="20" t="inlineStr">
        <is>
          <t>William Tye</t>
        </is>
      </c>
      <c r="H64" s="20" t="inlineStr">
        <is>
          <t>8:07.90</t>
        </is>
      </c>
      <c r="I64" s="20" t="inlineStr">
        <is>
          <t>01.10.26</t>
        </is>
      </c>
      <c r="J64" s="20" t="n"/>
      <c r="K64" s="20" t="inlineStr">
        <is>
          <t>YES</t>
        </is>
      </c>
      <c r="L64" s="20" t="inlineStr">
        <is>
          <t>https://swimdadnz.github.io/NZSC_2026/NZSC_2026_meet_editorial_summary_final.html</t>
        </is>
      </c>
    </row>
    <row r="65" ht="15" customHeight="1" s="17">
      <c r="A65" s="20" t="inlineStr">
        <is>
          <t>H0061</t>
        </is>
      </c>
      <c r="B65" s="20" t="inlineStr">
        <is>
          <t>NZ|SCM|M|15|1500 Free</t>
        </is>
      </c>
      <c r="C65" s="20" t="inlineStr">
        <is>
          <t>SCM</t>
        </is>
      </c>
      <c r="D65" s="20" t="inlineStr">
        <is>
          <t>Male</t>
        </is>
      </c>
      <c r="E65" s="20" t="n">
        <v>15</v>
      </c>
      <c r="F65" s="20" t="inlineStr">
        <is>
          <t>1500 Free</t>
        </is>
      </c>
      <c r="G65" s="20" t="inlineStr">
        <is>
          <t>William Tye</t>
        </is>
      </c>
      <c r="H65" s="20" t="inlineStr">
        <is>
          <t>15:26.42</t>
        </is>
      </c>
      <c r="I65" s="20" t="inlineStr">
        <is>
          <t>27.09.26</t>
        </is>
      </c>
      <c r="J65" s="20" t="n"/>
      <c r="K65" s="20" t="inlineStr">
        <is>
          <t>YES</t>
        </is>
      </c>
      <c r="L65" s="20" t="inlineStr">
        <is>
          <t>https://swimdadnz.github.io/NZSC_2026/NZSC_2026_meet_editorial_summary_final.html</t>
        </is>
      </c>
    </row>
    <row r="66" ht="15" customHeight="1" s="17">
      <c r="A66" s="20" t="inlineStr">
        <is>
          <t>H0062</t>
        </is>
      </c>
      <c r="B66" s="20" t="inlineStr">
        <is>
          <t>NZ|SCM|M|15|50 Back</t>
        </is>
      </c>
      <c r="C66" s="20" t="inlineStr">
        <is>
          <t>SCM</t>
        </is>
      </c>
      <c r="D66" s="20" t="inlineStr">
        <is>
          <t>Male</t>
        </is>
      </c>
      <c r="E66" s="20" t="n">
        <v>15</v>
      </c>
      <c r="F66" s="20" t="inlineStr">
        <is>
          <t>50 Back</t>
        </is>
      </c>
      <c r="G66" s="20" t="inlineStr">
        <is>
          <t>Cameron Gray</t>
        </is>
      </c>
      <c r="H66" s="20" t="inlineStr">
        <is>
          <t>25.33</t>
        </is>
      </c>
      <c r="I66" s="20" t="inlineStr">
        <is>
          <t>28.07.19</t>
        </is>
      </c>
      <c r="J66" s="20" t="n"/>
      <c r="K66" s="20" t="inlineStr">
        <is>
          <t>YES</t>
        </is>
      </c>
      <c r="L66" s="20" t="n"/>
    </row>
    <row r="67" ht="15" customHeight="1" s="17">
      <c r="A67" s="20" t="inlineStr">
        <is>
          <t>H0063</t>
        </is>
      </c>
      <c r="B67" s="20" t="inlineStr">
        <is>
          <t>NZ|SCM|M|15|100 Back</t>
        </is>
      </c>
      <c r="C67" s="20" t="inlineStr">
        <is>
          <t>SCM</t>
        </is>
      </c>
      <c r="D67" s="20" t="inlineStr">
        <is>
          <t>Male</t>
        </is>
      </c>
      <c r="E67" s="20" t="n">
        <v>15</v>
      </c>
      <c r="F67" s="20" t="inlineStr">
        <is>
          <t>100 Back</t>
        </is>
      </c>
      <c r="G67" s="20" t="inlineStr">
        <is>
          <t>Te Rauroha Paki</t>
        </is>
      </c>
      <c r="H67" s="20" t="inlineStr">
        <is>
          <t>54.74</t>
        </is>
      </c>
      <c r="I67" s="20" t="inlineStr">
        <is>
          <t>21.09.25</t>
        </is>
      </c>
      <c r="J67" s="20" t="n"/>
      <c r="K67" s="20" t="inlineStr">
        <is>
          <t>YES</t>
        </is>
      </c>
      <c r="L67" s="20" t="n"/>
    </row>
    <row r="68" ht="15" customHeight="1" s="17">
      <c r="A68" s="20" t="inlineStr">
        <is>
          <t>H0064</t>
        </is>
      </c>
      <c r="B68" s="20" t="inlineStr">
        <is>
          <t>NZ|SCM|M|15|200 Back</t>
        </is>
      </c>
      <c r="C68" s="20" t="inlineStr">
        <is>
          <t>SCM</t>
        </is>
      </c>
      <c r="D68" s="20" t="inlineStr">
        <is>
          <t>Male</t>
        </is>
      </c>
      <c r="E68" s="20" t="n">
        <v>15</v>
      </c>
      <c r="F68" s="20" t="inlineStr">
        <is>
          <t>200 Back</t>
        </is>
      </c>
      <c r="G68" s="20" t="inlineStr">
        <is>
          <t>Ariel Muchirahondo</t>
        </is>
      </c>
      <c r="H68" s="20" t="inlineStr">
        <is>
          <t>1:57.69</t>
        </is>
      </c>
      <c r="I68" s="20" t="inlineStr">
        <is>
          <t>23.08.24</t>
        </is>
      </c>
      <c r="J68" s="20" t="n"/>
      <c r="K68" s="20" t="inlineStr">
        <is>
          <t>YES</t>
        </is>
      </c>
      <c r="L68" s="20" t="n"/>
    </row>
    <row r="69" ht="15" customHeight="1" s="17">
      <c r="A69" s="20" t="inlineStr">
        <is>
          <t>H0065</t>
        </is>
      </c>
      <c r="B69" s="20" t="inlineStr">
        <is>
          <t>NZ|SCM|M|15|50 Breast</t>
        </is>
      </c>
      <c r="C69" s="20" t="inlineStr">
        <is>
          <t>SCM</t>
        </is>
      </c>
      <c r="D69" s="20" t="inlineStr">
        <is>
          <t>Male</t>
        </is>
      </c>
      <c r="E69" s="20" t="n">
        <v>15</v>
      </c>
      <c r="F69" s="20" t="inlineStr">
        <is>
          <t>50 Breast</t>
        </is>
      </c>
      <c r="G69" s="20" t="inlineStr">
        <is>
          <t>Jeffrey Arona-Tuifana'e</t>
        </is>
      </c>
      <c r="H69" s="20" t="inlineStr">
        <is>
          <t>28.72</t>
        </is>
      </c>
      <c r="I69" s="20" t="inlineStr">
        <is>
          <t>06.07.10</t>
        </is>
      </c>
      <c r="J69" s="20" t="n"/>
      <c r="K69" s="20" t="inlineStr">
        <is>
          <t>YES</t>
        </is>
      </c>
      <c r="L69" s="20" t="n"/>
    </row>
    <row r="70" ht="15" customHeight="1" s="17">
      <c r="A70" s="20" t="inlineStr">
        <is>
          <t>H0066</t>
        </is>
      </c>
      <c r="B70" s="20" t="inlineStr">
        <is>
          <t>NZ|SCM|M|15|100 Breast</t>
        </is>
      </c>
      <c r="C70" s="20" t="inlineStr">
        <is>
          <t>SCM</t>
        </is>
      </c>
      <c r="D70" s="20" t="inlineStr">
        <is>
          <t>Male</t>
        </is>
      </c>
      <c r="E70" s="20" t="n">
        <v>15</v>
      </c>
      <c r="F70" s="20" t="inlineStr">
        <is>
          <t>100 Breast</t>
        </is>
      </c>
      <c r="G70" s="20" t="inlineStr">
        <is>
          <t>Erik Kahr</t>
        </is>
      </c>
      <c r="H70" s="20" t="inlineStr">
        <is>
          <t>1:01.86</t>
        </is>
      </c>
      <c r="I70" s="20" t="inlineStr">
        <is>
          <t>07.08.11</t>
        </is>
      </c>
      <c r="J70" s="20" t="n"/>
      <c r="K70" s="20" t="inlineStr">
        <is>
          <t>YES</t>
        </is>
      </c>
      <c r="L70" s="20" t="n"/>
    </row>
    <row r="71" ht="15" customHeight="1" s="17">
      <c r="A71" s="20" t="inlineStr">
        <is>
          <t>H0067</t>
        </is>
      </c>
      <c r="B71" s="20" t="inlineStr">
        <is>
          <t>NZ|SCM|M|15|200 Breast</t>
        </is>
      </c>
      <c r="C71" s="20" t="inlineStr">
        <is>
          <t>SCM</t>
        </is>
      </c>
      <c r="D71" s="20" t="inlineStr">
        <is>
          <t>Male</t>
        </is>
      </c>
      <c r="E71" s="20" t="n">
        <v>15</v>
      </c>
      <c r="F71" s="20" t="inlineStr">
        <is>
          <t>200 Breast</t>
        </is>
      </c>
      <c r="G71" s="20" t="inlineStr">
        <is>
          <t>Jacob Story</t>
        </is>
      </c>
      <c r="H71" s="20" t="inlineStr">
        <is>
          <t>2:14.31</t>
        </is>
      </c>
      <c r="I71" s="20" t="inlineStr">
        <is>
          <t>08.08.23</t>
        </is>
      </c>
      <c r="J71" s="20" t="n"/>
      <c r="K71" s="20" t="inlineStr">
        <is>
          <t>YES</t>
        </is>
      </c>
      <c r="L71" s="20" t="n"/>
    </row>
    <row r="72" ht="15" customHeight="1" s="17">
      <c r="A72" s="20" t="inlineStr">
        <is>
          <t>H0068</t>
        </is>
      </c>
      <c r="B72" s="20" t="inlineStr">
        <is>
          <t>NZ|SCM|M|15|50 Fly</t>
        </is>
      </c>
      <c r="C72" s="20" t="inlineStr">
        <is>
          <t>SCM</t>
        </is>
      </c>
      <c r="D72" s="20" t="inlineStr">
        <is>
          <t>Male</t>
        </is>
      </c>
      <c r="E72" s="20" t="n">
        <v>15</v>
      </c>
      <c r="F72" s="20" t="inlineStr">
        <is>
          <t>50 Fly</t>
        </is>
      </c>
      <c r="G72" s="20" t="inlineStr">
        <is>
          <t>Jacob Story</t>
        </is>
      </c>
      <c r="H72" s="20" t="inlineStr">
        <is>
          <t>24.84</t>
        </is>
      </c>
      <c r="I72" s="20" t="inlineStr">
        <is>
          <t>09.08.23</t>
        </is>
      </c>
      <c r="J72" s="20" t="n"/>
      <c r="K72" s="20" t="inlineStr">
        <is>
          <t>YES</t>
        </is>
      </c>
      <c r="L72" s="20" t="n"/>
    </row>
    <row r="73" ht="15" customHeight="1" s="17">
      <c r="A73" s="20" t="inlineStr">
        <is>
          <t>H0069</t>
        </is>
      </c>
      <c r="B73" s="20" t="inlineStr">
        <is>
          <t>NZ|SCM|M|15|100 Fly</t>
        </is>
      </c>
      <c r="C73" s="20" t="inlineStr">
        <is>
          <t>SCM</t>
        </is>
      </c>
      <c r="D73" s="20" t="inlineStr">
        <is>
          <t>Male</t>
        </is>
      </c>
      <c r="E73" s="20" t="n">
        <v>15</v>
      </c>
      <c r="F73" s="20" t="inlineStr">
        <is>
          <t>100 Fly</t>
        </is>
      </c>
      <c r="G73" s="20" t="inlineStr">
        <is>
          <t>Michael Chen</t>
        </is>
      </c>
      <c r="H73" s="20" t="inlineStr">
        <is>
          <t>54.70</t>
        </is>
      </c>
      <c r="I73" s="20" t="inlineStr">
        <is>
          <t>01.08.26</t>
        </is>
      </c>
      <c r="J73" s="20" t="n"/>
      <c r="K73" s="20" t="inlineStr">
        <is>
          <t>YES</t>
        </is>
      </c>
      <c r="L73" s="20" t="n"/>
    </row>
    <row r="74" ht="15" customHeight="1" s="17">
      <c r="A74" s="20" t="inlineStr">
        <is>
          <t>H0070</t>
        </is>
      </c>
      <c r="B74" s="20" t="inlineStr">
        <is>
          <t>NZ|SCM|M|15|200 Fly</t>
        </is>
      </c>
      <c r="C74" s="20" t="inlineStr">
        <is>
          <t>SCM</t>
        </is>
      </c>
      <c r="D74" s="20" t="inlineStr">
        <is>
          <t>Male</t>
        </is>
      </c>
      <c r="E74" s="20" t="n">
        <v>15</v>
      </c>
      <c r="F74" s="20" t="inlineStr">
        <is>
          <t>200 Fly</t>
        </is>
      </c>
      <c r="G74" s="20" t="inlineStr">
        <is>
          <t>Ariel Muchirahondo</t>
        </is>
      </c>
      <c r="H74" s="20" t="inlineStr">
        <is>
          <t>1:58.61</t>
        </is>
      </c>
      <c r="I74" s="20" t="inlineStr">
        <is>
          <t>23.08.24</t>
        </is>
      </c>
      <c r="J74" s="20" t="n"/>
      <c r="K74" s="20" t="inlineStr">
        <is>
          <t>YES</t>
        </is>
      </c>
      <c r="L74" s="20" t="n"/>
    </row>
    <row r="75" ht="15" customHeight="1" s="17">
      <c r="A75" s="20" t="inlineStr">
        <is>
          <t>H0071</t>
        </is>
      </c>
      <c r="B75" s="20" t="inlineStr">
        <is>
          <t>NZ|SCM|M|15|100 IM</t>
        </is>
      </c>
      <c r="C75" s="20" t="inlineStr">
        <is>
          <t>SCM</t>
        </is>
      </c>
      <c r="D75" s="20" t="inlineStr">
        <is>
          <t>Male</t>
        </is>
      </c>
      <c r="E75" s="20" t="n">
        <v>15</v>
      </c>
      <c r="F75" s="20" t="inlineStr">
        <is>
          <t>100 IM</t>
        </is>
      </c>
      <c r="G75" s="20" t="inlineStr">
        <is>
          <t>Jacob Story</t>
        </is>
      </c>
      <c r="H75" s="20" t="inlineStr">
        <is>
          <t>56.33</t>
        </is>
      </c>
      <c r="I75" s="20" t="inlineStr">
        <is>
          <t>08.08.23</t>
        </is>
      </c>
      <c r="J75" s="20" t="n"/>
      <c r="K75" s="20" t="inlineStr">
        <is>
          <t>YES</t>
        </is>
      </c>
      <c r="L75" s="20" t="n"/>
    </row>
    <row r="76" ht="15" customHeight="1" s="17">
      <c r="A76" s="20" t="inlineStr">
        <is>
          <t>H0072</t>
        </is>
      </c>
      <c r="B76" s="20" t="inlineStr">
        <is>
          <t>NZ|SCM|M|15|200 IM</t>
        </is>
      </c>
      <c r="C76" s="20" t="inlineStr">
        <is>
          <t>SCM</t>
        </is>
      </c>
      <c r="D76" s="20" t="inlineStr">
        <is>
          <t>Male</t>
        </is>
      </c>
      <c r="E76" s="20" t="n">
        <v>15</v>
      </c>
      <c r="F76" s="20" t="inlineStr">
        <is>
          <t>200 IM</t>
        </is>
      </c>
      <c r="G76" s="20" t="inlineStr">
        <is>
          <t>Kevin Zhang</t>
        </is>
      </c>
      <c r="H76" s="20" t="inlineStr">
        <is>
          <t>2:02.86</t>
        </is>
      </c>
      <c r="I76" s="20" t="inlineStr">
        <is>
          <t>26.08.22</t>
        </is>
      </c>
      <c r="J76" s="20" t="n"/>
      <c r="K76" s="20" t="inlineStr">
        <is>
          <t>YES</t>
        </is>
      </c>
      <c r="L76" s="20" t="n"/>
    </row>
    <row r="77" ht="15" customHeight="1" s="17">
      <c r="A77" s="20" t="inlineStr">
        <is>
          <t>H0073</t>
        </is>
      </c>
      <c r="B77" s="20" t="inlineStr">
        <is>
          <t>NZ|SCM|M|15|400 IM</t>
        </is>
      </c>
      <c r="C77" s="20" t="inlineStr">
        <is>
          <t>SCM</t>
        </is>
      </c>
      <c r="D77" s="20" t="inlineStr">
        <is>
          <t>Male</t>
        </is>
      </c>
      <c r="E77" s="20" t="n">
        <v>15</v>
      </c>
      <c r="F77" s="20" t="inlineStr">
        <is>
          <t>400 IM</t>
        </is>
      </c>
      <c r="G77" s="20" t="inlineStr">
        <is>
          <t>Anthony van der Kraay</t>
        </is>
      </c>
      <c r="H77" s="20" t="inlineStr">
        <is>
          <t>4:19.83</t>
        </is>
      </c>
      <c r="I77" s="20" t="inlineStr">
        <is>
          <t>19.09.96</t>
        </is>
      </c>
      <c r="J77" s="20" t="n"/>
      <c r="K77" s="20" t="inlineStr">
        <is>
          <t>YES</t>
        </is>
      </c>
      <c r="L77" s="20" t="n"/>
    </row>
    <row r="78" ht="15" customHeight="1" s="17">
      <c r="A78" s="20" t="inlineStr">
        <is>
          <t>H0074</t>
        </is>
      </c>
      <c r="B78" s="20" t="inlineStr">
        <is>
          <t>NZ|SCM|M|16|50 Free</t>
        </is>
      </c>
      <c r="C78" s="20" t="inlineStr">
        <is>
          <t>SCM</t>
        </is>
      </c>
      <c r="D78" s="20" t="inlineStr">
        <is>
          <t>Male</t>
        </is>
      </c>
      <c r="E78" s="20" t="n">
        <v>16</v>
      </c>
      <c r="F78" s="20" t="inlineStr">
        <is>
          <t>50 Free</t>
        </is>
      </c>
      <c r="G78" s="20" t="inlineStr">
        <is>
          <t>Michael Pickett</t>
        </is>
      </c>
      <c r="H78" s="20" t="inlineStr">
        <is>
          <t>22.31</t>
        </is>
      </c>
      <c r="I78" s="20" t="inlineStr">
        <is>
          <t>17.08.18</t>
        </is>
      </c>
      <c r="J78" s="20" t="n"/>
      <c r="K78" s="20" t="inlineStr">
        <is>
          <t>YES</t>
        </is>
      </c>
      <c r="L78" s="20" t="n"/>
    </row>
    <row r="79" ht="15" customHeight="1" s="17">
      <c r="A79" s="20" t="inlineStr">
        <is>
          <t>H0075</t>
        </is>
      </c>
      <c r="B79" s="20" t="inlineStr">
        <is>
          <t>NZ|SCM|M|16|100 Free</t>
        </is>
      </c>
      <c r="C79" s="20" t="inlineStr">
        <is>
          <t>SCM</t>
        </is>
      </c>
      <c r="D79" s="20" t="inlineStr">
        <is>
          <t>Male</t>
        </is>
      </c>
      <c r="E79" s="20" t="n">
        <v>16</v>
      </c>
      <c r="F79" s="20" t="inlineStr">
        <is>
          <t>100 Free</t>
        </is>
      </c>
      <c r="G79" s="20" t="inlineStr">
        <is>
          <t>Sam McKenzie</t>
        </is>
      </c>
      <c r="H79" s="20" t="inlineStr">
        <is>
          <t>49.70</t>
        </is>
      </c>
      <c r="I79" s="20" t="inlineStr">
        <is>
          <t>26.09.15</t>
        </is>
      </c>
      <c r="J79" s="20" t="n"/>
      <c r="K79" s="20" t="inlineStr">
        <is>
          <t>YES</t>
        </is>
      </c>
      <c r="L79" s="20" t="n"/>
    </row>
    <row r="80" ht="15" customHeight="1" s="17">
      <c r="A80" s="20" t="inlineStr">
        <is>
          <t>H0076</t>
        </is>
      </c>
      <c r="B80" s="20" t="inlineStr">
        <is>
          <t>NZ|SCM|M|16|200 Free</t>
        </is>
      </c>
      <c r="C80" s="20" t="inlineStr">
        <is>
          <t>SCM</t>
        </is>
      </c>
      <c r="D80" s="20" t="inlineStr">
        <is>
          <t>Male</t>
        </is>
      </c>
      <c r="E80" s="20" t="n">
        <v>16</v>
      </c>
      <c r="F80" s="20" t="inlineStr">
        <is>
          <t>200 Free</t>
        </is>
      </c>
      <c r="G80" s="20" t="inlineStr">
        <is>
          <t>Ariel Muchirahondo</t>
        </is>
      </c>
      <c r="H80" s="20" t="inlineStr">
        <is>
          <t>1:47.09</t>
        </is>
      </c>
      <c r="I80" s="20" t="inlineStr">
        <is>
          <t>30.01.26</t>
        </is>
      </c>
      <c r="J80" s="20" t="n"/>
      <c r="K80" s="20" t="inlineStr">
        <is>
          <t>YES</t>
        </is>
      </c>
      <c r="L80" s="20" t="n"/>
    </row>
    <row r="81" ht="15" customHeight="1" s="17">
      <c r="A81" s="20" t="inlineStr">
        <is>
          <t>H0077</t>
        </is>
      </c>
      <c r="B81" s="20" t="inlineStr">
        <is>
          <t>NZ|SCM|M|16|400 Free</t>
        </is>
      </c>
      <c r="C81" s="20" t="inlineStr">
        <is>
          <t>SCM</t>
        </is>
      </c>
      <c r="D81" s="20" t="inlineStr">
        <is>
          <t>Male</t>
        </is>
      </c>
      <c r="E81" s="20" t="n">
        <v>16</v>
      </c>
      <c r="F81" s="20" t="inlineStr">
        <is>
          <t>400 Free</t>
        </is>
      </c>
      <c r="G81" s="20" t="inlineStr">
        <is>
          <t>Danyon Loader</t>
        </is>
      </c>
      <c r="H81" s="20" t="inlineStr">
        <is>
          <t>3:43.64</t>
        </is>
      </c>
      <c r="I81" s="20" t="inlineStr">
        <is>
          <t>01.02.92</t>
        </is>
      </c>
      <c r="J81" s="20" t="n"/>
      <c r="K81" s="20" t="inlineStr">
        <is>
          <t>YES</t>
        </is>
      </c>
      <c r="L81" s="20" t="n"/>
    </row>
    <row r="82" ht="15" customHeight="1" s="17">
      <c r="A82" s="20" t="inlineStr">
        <is>
          <t>H0078</t>
        </is>
      </c>
      <c r="B82" s="20" t="inlineStr">
        <is>
          <t>NZ|SCM|M|16|800 Free</t>
        </is>
      </c>
      <c r="C82" s="20" t="inlineStr">
        <is>
          <t>SCM</t>
        </is>
      </c>
      <c r="D82" s="20" t="inlineStr">
        <is>
          <t>Male</t>
        </is>
      </c>
      <c r="E82" s="20" t="n">
        <v>16</v>
      </c>
      <c r="F82" s="20" t="inlineStr">
        <is>
          <t>800 Free</t>
        </is>
      </c>
      <c r="G82" s="20" t="inlineStr">
        <is>
          <t>Danyon Loader</t>
        </is>
      </c>
      <c r="H82" s="20" t="inlineStr">
        <is>
          <t>7:57.08</t>
        </is>
      </c>
      <c r="I82" s="20" t="inlineStr">
        <is>
          <t>02.02.92</t>
        </is>
      </c>
      <c r="J82" s="20" t="n"/>
      <c r="K82" s="20" t="inlineStr">
        <is>
          <t>YES</t>
        </is>
      </c>
      <c r="L82" s="20" t="n"/>
    </row>
    <row r="83" ht="15" customHeight="1" s="17">
      <c r="A83" s="20" t="inlineStr">
        <is>
          <t>H0079</t>
        </is>
      </c>
      <c r="B83" s="20" t="inlineStr">
        <is>
          <t>NZ|SCM|M|16|1500 Free</t>
        </is>
      </c>
      <c r="C83" s="20" t="inlineStr">
        <is>
          <t>SCM</t>
        </is>
      </c>
      <c r="D83" s="20" t="inlineStr">
        <is>
          <t>Male</t>
        </is>
      </c>
      <c r="E83" s="20" t="n">
        <v>16</v>
      </c>
      <c r="F83" s="20" t="inlineStr">
        <is>
          <t>1500 Free</t>
        </is>
      </c>
      <c r="G83" s="20" t="inlineStr">
        <is>
          <t>Danyon Loader</t>
        </is>
      </c>
      <c r="H83" s="20" t="inlineStr">
        <is>
          <t>14:54.38</t>
        </is>
      </c>
      <c r="I83" s="20" t="inlineStr">
        <is>
          <t>02.02.92</t>
        </is>
      </c>
      <c r="J83" s="20" t="n"/>
      <c r="K83" s="20" t="inlineStr">
        <is>
          <t>YES</t>
        </is>
      </c>
      <c r="L83" s="20" t="n"/>
    </row>
    <row r="84" ht="15" customHeight="1" s="17">
      <c r="A84" s="20" t="inlineStr">
        <is>
          <t>H0080</t>
        </is>
      </c>
      <c r="B84" s="20" t="inlineStr">
        <is>
          <t>NZ|SCM|M|16|50 Back</t>
        </is>
      </c>
      <c r="C84" s="20" t="inlineStr">
        <is>
          <t>SCM</t>
        </is>
      </c>
      <c r="D84" s="20" t="inlineStr">
        <is>
          <t>Male</t>
        </is>
      </c>
      <c r="E84" s="20" t="n">
        <v>16</v>
      </c>
      <c r="F84" s="20" t="inlineStr">
        <is>
          <t>50 Back</t>
        </is>
      </c>
      <c r="G84" s="20" t="inlineStr">
        <is>
          <t>Bruce Shen</t>
        </is>
      </c>
      <c r="H84" s="20" t="inlineStr">
        <is>
          <t>24.47</t>
        </is>
      </c>
      <c r="I84" s="20" t="inlineStr">
        <is>
          <t>24.09.25</t>
        </is>
      </c>
      <c r="J84" s="20" t="n"/>
      <c r="K84" s="20" t="inlineStr">
        <is>
          <t>YES</t>
        </is>
      </c>
      <c r="L84" s="20" t="n"/>
    </row>
    <row r="85" ht="15" customHeight="1" s="17">
      <c r="A85" s="20" t="inlineStr">
        <is>
          <t>H0081</t>
        </is>
      </c>
      <c r="B85" s="20" t="inlineStr">
        <is>
          <t>NZ|SCM|M|16|100 Back</t>
        </is>
      </c>
      <c r="C85" s="20" t="inlineStr">
        <is>
          <t>SCM</t>
        </is>
      </c>
      <c r="D85" s="20" t="inlineStr">
        <is>
          <t>Male</t>
        </is>
      </c>
      <c r="E85" s="20" t="n">
        <v>16</v>
      </c>
      <c r="F85" s="20" t="inlineStr">
        <is>
          <t>100 Back</t>
        </is>
      </c>
      <c r="G85" s="20" t="inlineStr">
        <is>
          <t>Corey Main</t>
        </is>
      </c>
      <c r="H85" s="20" t="inlineStr">
        <is>
          <t>53.53</t>
        </is>
      </c>
      <c r="I85" s="20" t="inlineStr">
        <is>
          <t>11.09.11</t>
        </is>
      </c>
      <c r="J85" s="20" t="n"/>
      <c r="K85" s="20" t="inlineStr">
        <is>
          <t>YES</t>
        </is>
      </c>
      <c r="L85" s="20" t="n"/>
    </row>
    <row r="86" ht="15" customHeight="1" s="17">
      <c r="A86" s="20" t="inlineStr">
        <is>
          <t>H0082</t>
        </is>
      </c>
      <c r="B86" s="20" t="inlineStr">
        <is>
          <t>NZ|SCM|M|16|200 Back</t>
        </is>
      </c>
      <c r="C86" s="20" t="inlineStr">
        <is>
          <t>SCM</t>
        </is>
      </c>
      <c r="D86" s="20" t="inlineStr">
        <is>
          <t>Male</t>
        </is>
      </c>
      <c r="E86" s="20" t="n">
        <v>16</v>
      </c>
      <c r="F86" s="20" t="inlineStr">
        <is>
          <t>200 Back</t>
        </is>
      </c>
      <c r="G86" s="20" t="inlineStr">
        <is>
          <t>Ariel Muchirahondo</t>
        </is>
      </c>
      <c r="H86" s="20" t="inlineStr">
        <is>
          <t>1:55.38</t>
        </is>
      </c>
      <c r="I86" s="20" t="inlineStr">
        <is>
          <t>26.07.25</t>
        </is>
      </c>
      <c r="J86" s="20" t="n"/>
      <c r="K86" s="20" t="inlineStr">
        <is>
          <t>YES</t>
        </is>
      </c>
      <c r="L86" s="20" t="n"/>
    </row>
    <row r="87" ht="15" customHeight="1" s="17">
      <c r="A87" s="20" t="inlineStr">
        <is>
          <t>H0083</t>
        </is>
      </c>
      <c r="B87" s="20" t="inlineStr">
        <is>
          <t>NZ|SCM|M|16|50 Breast</t>
        </is>
      </c>
      <c r="C87" s="20" t="inlineStr">
        <is>
          <t>SCM</t>
        </is>
      </c>
      <c r="D87" s="20" t="inlineStr">
        <is>
          <t>Male</t>
        </is>
      </c>
      <c r="E87" s="20" t="n">
        <v>16</v>
      </c>
      <c r="F87" s="20" t="inlineStr">
        <is>
          <t>50 Breast</t>
        </is>
      </c>
      <c r="G87" s="20" t="inlineStr">
        <is>
          <t>Connor Jenkins</t>
        </is>
      </c>
      <c r="H87" s="20" t="inlineStr">
        <is>
          <t>27.90</t>
        </is>
      </c>
      <c r="I87" s="20" t="inlineStr">
        <is>
          <t>13.09.26</t>
        </is>
      </c>
      <c r="J87" s="20" t="n"/>
      <c r="K87" s="20" t="inlineStr">
        <is>
          <t>YES</t>
        </is>
      </c>
      <c r="L87" s="20" t="n"/>
    </row>
    <row r="88" ht="15" customHeight="1" s="17">
      <c r="A88" s="20" t="inlineStr">
        <is>
          <t>H0084</t>
        </is>
      </c>
      <c r="B88" s="20" t="inlineStr">
        <is>
          <t>NZ|SCM|M|16|100 Breast</t>
        </is>
      </c>
      <c r="C88" s="20" t="inlineStr">
        <is>
          <t>SCM</t>
        </is>
      </c>
      <c r="D88" s="20" t="inlineStr">
        <is>
          <t>Male</t>
        </is>
      </c>
      <c r="E88" s="20" t="n">
        <v>16</v>
      </c>
      <c r="F88" s="20" t="inlineStr">
        <is>
          <t>100 Breast</t>
        </is>
      </c>
      <c r="G88" s="20" t="inlineStr">
        <is>
          <t>Ben Walsh</t>
        </is>
      </c>
      <c r="H88" s="20" t="inlineStr">
        <is>
          <t>1:01.05</t>
        </is>
      </c>
      <c r="I88" s="20" t="inlineStr">
        <is>
          <t>29.09.13</t>
        </is>
      </c>
      <c r="J88" s="20" t="n"/>
      <c r="K88" s="20" t="inlineStr">
        <is>
          <t>YES</t>
        </is>
      </c>
      <c r="L88" s="20" t="n"/>
    </row>
    <row r="89" ht="15" customHeight="1" s="17">
      <c r="A89" s="20" t="inlineStr">
        <is>
          <t>H0085</t>
        </is>
      </c>
      <c r="B89" s="20" t="inlineStr">
        <is>
          <t>NZ|SCM|M|16|200 Breast</t>
        </is>
      </c>
      <c r="C89" s="20" t="inlineStr">
        <is>
          <t>SCM</t>
        </is>
      </c>
      <c r="D89" s="20" t="inlineStr">
        <is>
          <t>Male</t>
        </is>
      </c>
      <c r="E89" s="20" t="n">
        <v>16</v>
      </c>
      <c r="F89" s="20" t="inlineStr">
        <is>
          <t>200 Breast</t>
        </is>
      </c>
      <c r="G89" s="20" t="inlineStr">
        <is>
          <t>Ben Walsh</t>
        </is>
      </c>
      <c r="H89" s="20" t="inlineStr">
        <is>
          <t>2:11.39</t>
        </is>
      </c>
      <c r="I89" s="20" t="inlineStr">
        <is>
          <t>01.10.13</t>
        </is>
      </c>
      <c r="J89" s="20" t="n"/>
      <c r="K89" s="20" t="inlineStr">
        <is>
          <t>YES</t>
        </is>
      </c>
      <c r="L89" s="20" t="n"/>
    </row>
    <row r="90" ht="15" customHeight="1" s="17">
      <c r="A90" s="20" t="inlineStr">
        <is>
          <t>H0086</t>
        </is>
      </c>
      <c r="B90" s="20" t="inlineStr">
        <is>
          <t>NZ|SCM|M|16|50 Fly</t>
        </is>
      </c>
      <c r="C90" s="20" t="inlineStr">
        <is>
          <t>SCM</t>
        </is>
      </c>
      <c r="D90" s="20" t="inlineStr">
        <is>
          <t>Male</t>
        </is>
      </c>
      <c r="E90" s="20" t="n">
        <v>16</v>
      </c>
      <c r="F90" s="20" t="inlineStr">
        <is>
          <t>50 Fly</t>
        </is>
      </c>
      <c r="G90" s="20" t="inlineStr">
        <is>
          <t>Ben Littlejohn</t>
        </is>
      </c>
      <c r="H90" s="20" t="inlineStr">
        <is>
          <t>24.36</t>
        </is>
      </c>
      <c r="I90" s="20" t="inlineStr">
        <is>
          <t>02.04.19</t>
        </is>
      </c>
      <c r="J90" s="20" t="n"/>
      <c r="K90" s="20" t="inlineStr">
        <is>
          <t>YES</t>
        </is>
      </c>
      <c r="L90" s="20" t="n"/>
    </row>
    <row r="91" ht="15" customHeight="1" s="17">
      <c r="A91" s="20" t="inlineStr">
        <is>
          <t>H0087</t>
        </is>
      </c>
      <c r="B91" s="20" t="inlineStr">
        <is>
          <t>NZ|SCM|M|16|100 Fly</t>
        </is>
      </c>
      <c r="C91" s="20" t="inlineStr">
        <is>
          <t>SCM</t>
        </is>
      </c>
      <c r="D91" s="20" t="inlineStr">
        <is>
          <t>Male</t>
        </is>
      </c>
      <c r="E91" s="20" t="n">
        <v>16</v>
      </c>
      <c r="F91" s="20" t="inlineStr">
        <is>
          <t>100 Fly</t>
        </is>
      </c>
      <c r="G91" s="20" t="inlineStr">
        <is>
          <t>Ariel Muchirahondo</t>
        </is>
      </c>
      <c r="H91" s="20" t="inlineStr">
        <is>
          <t>53.76</t>
        </is>
      </c>
      <c r="I91" s="20" t="inlineStr">
        <is>
          <t>31.01.26</t>
        </is>
      </c>
      <c r="J91" s="20" t="n"/>
      <c r="K91" s="20" t="inlineStr">
        <is>
          <t>YES</t>
        </is>
      </c>
      <c r="L91" s="20" t="n"/>
    </row>
    <row r="92" ht="15" customHeight="1" s="17">
      <c r="A92" s="20" t="inlineStr">
        <is>
          <t>H0088</t>
        </is>
      </c>
      <c r="B92" s="20" t="inlineStr">
        <is>
          <t>NZ|SCM|M|16|200 Fly</t>
        </is>
      </c>
      <c r="C92" s="20" t="inlineStr">
        <is>
          <t>SCM</t>
        </is>
      </c>
      <c r="D92" s="20" t="inlineStr">
        <is>
          <t>Male</t>
        </is>
      </c>
      <c r="E92" s="20" t="n">
        <v>16</v>
      </c>
      <c r="F92" s="20" t="inlineStr">
        <is>
          <t>200 Fly</t>
        </is>
      </c>
      <c r="G92" s="20" t="inlineStr">
        <is>
          <t>Ariel Muchirahondo</t>
        </is>
      </c>
      <c r="H92" s="20" t="inlineStr">
        <is>
          <t>1:56.39</t>
        </is>
      </c>
      <c r="I92" s="20" t="inlineStr">
        <is>
          <t>01.02.26</t>
        </is>
      </c>
      <c r="J92" s="20" t="n"/>
      <c r="K92" s="20" t="inlineStr">
        <is>
          <t>YES</t>
        </is>
      </c>
      <c r="L92" s="20" t="n"/>
    </row>
    <row r="93" ht="15" customHeight="1" s="17">
      <c r="A93" s="20" t="inlineStr">
        <is>
          <t>H0089</t>
        </is>
      </c>
      <c r="B93" s="20" t="inlineStr">
        <is>
          <t>NZ|SCM|M|16|100 IM</t>
        </is>
      </c>
      <c r="C93" s="20" t="inlineStr">
        <is>
          <t>SCM</t>
        </is>
      </c>
      <c r="D93" s="20" t="inlineStr">
        <is>
          <t>Male</t>
        </is>
      </c>
      <c r="E93" s="20" t="n">
        <v>16</v>
      </c>
      <c r="F93" s="20" t="inlineStr">
        <is>
          <t>100 IM</t>
        </is>
      </c>
      <c r="G93" s="20" t="inlineStr">
        <is>
          <t>Ariel Muchirahondo</t>
        </is>
      </c>
      <c r="H93" s="20" t="inlineStr">
        <is>
          <t>56.28</t>
        </is>
      </c>
      <c r="I93" s="20" t="inlineStr">
        <is>
          <t>25.07.25</t>
        </is>
      </c>
      <c r="J93" s="20" t="n"/>
      <c r="K93" s="20" t="inlineStr">
        <is>
          <t>YES</t>
        </is>
      </c>
      <c r="L93" s="20" t="n"/>
    </row>
    <row r="94" ht="15" customHeight="1" s="17">
      <c r="A94" s="20" t="inlineStr">
        <is>
          <t>H0090</t>
        </is>
      </c>
      <c r="B94" s="20" t="inlineStr">
        <is>
          <t>NZ|SCM|M|16|200 IM</t>
        </is>
      </c>
      <c r="C94" s="20" t="inlineStr">
        <is>
          <t>SCM</t>
        </is>
      </c>
      <c r="D94" s="20" t="inlineStr">
        <is>
          <t>Male</t>
        </is>
      </c>
      <c r="E94" s="20" t="n">
        <v>16</v>
      </c>
      <c r="F94" s="20" t="inlineStr">
        <is>
          <t>200 IM</t>
        </is>
      </c>
      <c r="G94" s="20" t="inlineStr">
        <is>
          <t>Ariel Muchirahondo</t>
        </is>
      </c>
      <c r="H94" s="20" t="inlineStr">
        <is>
          <t>1:59.03</t>
        </is>
      </c>
      <c r="I94" s="20" t="inlineStr">
        <is>
          <t>27.07.25</t>
        </is>
      </c>
      <c r="J94" s="20" t="n"/>
      <c r="K94" s="20" t="inlineStr">
        <is>
          <t>YES</t>
        </is>
      </c>
      <c r="L94" s="20" t="n"/>
    </row>
    <row r="95" ht="15" customHeight="1" s="17">
      <c r="A95" s="20" t="inlineStr">
        <is>
          <t>H0091</t>
        </is>
      </c>
      <c r="B95" s="20" t="inlineStr">
        <is>
          <t>NZ|SCM|M|16|400 IM</t>
        </is>
      </c>
      <c r="C95" s="20" t="inlineStr">
        <is>
          <t>SCM</t>
        </is>
      </c>
      <c r="D95" s="20" t="inlineStr">
        <is>
          <t>Male</t>
        </is>
      </c>
      <c r="E95" s="20" t="n">
        <v>16</v>
      </c>
      <c r="F95" s="20" t="inlineStr">
        <is>
          <t>400 IM</t>
        </is>
      </c>
      <c r="G95" s="20" t="inlineStr">
        <is>
          <t>Sam Brown</t>
        </is>
      </c>
      <c r="H95" s="20" t="inlineStr">
        <is>
          <t>4:14.87</t>
        </is>
      </c>
      <c r="I95" s="20" t="inlineStr">
        <is>
          <t>07.10.20</t>
        </is>
      </c>
      <c r="J95" s="20" t="n"/>
      <c r="K95" s="20" t="inlineStr">
        <is>
          <t>YES</t>
        </is>
      </c>
      <c r="L95" s="20" t="n"/>
    </row>
    <row r="96" ht="15" customHeight="1" s="17">
      <c r="A96" s="20" t="inlineStr">
        <is>
          <t>H0092</t>
        </is>
      </c>
      <c r="B96" s="20" t="inlineStr">
        <is>
          <t>NZ|SCM|M|17|50 Free</t>
        </is>
      </c>
      <c r="C96" s="20" t="inlineStr">
        <is>
          <t>SCM</t>
        </is>
      </c>
      <c r="D96" s="20" t="inlineStr">
        <is>
          <t>Male</t>
        </is>
      </c>
      <c r="E96" s="20" t="n">
        <v>17</v>
      </c>
      <c r="F96" s="20" t="inlineStr">
        <is>
          <t>50 Free</t>
        </is>
      </c>
      <c r="G96" s="20" t="inlineStr">
        <is>
          <t>Rui Hou</t>
        </is>
      </c>
      <c r="H96" s="20" t="inlineStr">
        <is>
          <t>22.17</t>
        </is>
      </c>
      <c r="I96" s="20" t="inlineStr">
        <is>
          <t>02.08.26</t>
        </is>
      </c>
      <c r="J96" s="20" t="n"/>
      <c r="K96" s="20" t="inlineStr">
        <is>
          <t>YES</t>
        </is>
      </c>
      <c r="L96" s="20" t="n"/>
    </row>
    <row r="97" ht="15" customHeight="1" s="17">
      <c r="A97" s="20" t="inlineStr">
        <is>
          <t>H0093</t>
        </is>
      </c>
      <c r="B97" s="20" t="inlineStr">
        <is>
          <t>NZ|SCM|M|17|100 Free</t>
        </is>
      </c>
      <c r="C97" s="20" t="inlineStr">
        <is>
          <t>SCM</t>
        </is>
      </c>
      <c r="D97" s="20" t="inlineStr">
        <is>
          <t>Male</t>
        </is>
      </c>
      <c r="E97" s="20" t="n">
        <v>17</v>
      </c>
      <c r="F97" s="20" t="inlineStr">
        <is>
          <t>100 Free</t>
        </is>
      </c>
      <c r="G97" s="20" t="inlineStr">
        <is>
          <t>Rui Hou</t>
        </is>
      </c>
      <c r="H97" s="20" t="inlineStr">
        <is>
          <t>48.74</t>
        </is>
      </c>
      <c r="I97" s="20" t="inlineStr">
        <is>
          <t>31.07.26</t>
        </is>
      </c>
      <c r="J97" s="20" t="n"/>
      <c r="K97" s="20" t="inlineStr">
        <is>
          <t>YES</t>
        </is>
      </c>
      <c r="L97" s="20" t="n"/>
    </row>
    <row r="98" ht="15" customHeight="1" s="17">
      <c r="A98" s="20" t="inlineStr">
        <is>
          <t>H0094</t>
        </is>
      </c>
      <c r="B98" s="20" t="inlineStr">
        <is>
          <t>NZ|SCM|M|17|200 Free</t>
        </is>
      </c>
      <c r="C98" s="20" t="inlineStr">
        <is>
          <t>SCM</t>
        </is>
      </c>
      <c r="D98" s="20" t="inlineStr">
        <is>
          <t>Male</t>
        </is>
      </c>
      <c r="E98" s="20" t="n">
        <v>17</v>
      </c>
      <c r="F98" s="20" t="inlineStr">
        <is>
          <t>200 Free</t>
        </is>
      </c>
      <c r="G98" s="20" t="inlineStr">
        <is>
          <t>Danyon Loader</t>
        </is>
      </c>
      <c r="H98" s="20" t="inlineStr">
        <is>
          <t>1:46.63</t>
        </is>
      </c>
      <c r="I98" s="20" t="inlineStr">
        <is>
          <t>06.01.93</t>
        </is>
      </c>
      <c r="J98" s="20" t="n"/>
      <c r="K98" s="20" t="inlineStr">
        <is>
          <t>YES</t>
        </is>
      </c>
      <c r="L98" s="20" t="n"/>
    </row>
    <row r="99" ht="15" customHeight="1" s="17">
      <c r="A99" s="20" t="inlineStr">
        <is>
          <t>H0095</t>
        </is>
      </c>
      <c r="B99" s="20" t="inlineStr">
        <is>
          <t>NZ|SCM|M|17|400 Free</t>
        </is>
      </c>
      <c r="C99" s="20" t="inlineStr">
        <is>
          <t>SCM</t>
        </is>
      </c>
      <c r="D99" s="20" t="inlineStr">
        <is>
          <t>Male</t>
        </is>
      </c>
      <c r="E99" s="20" t="n">
        <v>17</v>
      </c>
      <c r="F99" s="20" t="inlineStr">
        <is>
          <t>400 Free</t>
        </is>
      </c>
      <c r="G99" s="20" t="inlineStr">
        <is>
          <t>Zac Reid</t>
        </is>
      </c>
      <c r="H99" s="20" t="inlineStr">
        <is>
          <t>3:46.11</t>
        </is>
      </c>
      <c r="I99" s="20" t="inlineStr">
        <is>
          <t>05.10.17</t>
        </is>
      </c>
      <c r="J99" s="20" t="n"/>
      <c r="K99" s="20" t="inlineStr">
        <is>
          <t>YES</t>
        </is>
      </c>
      <c r="L99" s="20" t="n"/>
    </row>
    <row r="100" ht="15" customHeight="1" s="17">
      <c r="A100" s="20" t="inlineStr">
        <is>
          <t>H0096</t>
        </is>
      </c>
      <c r="B100" s="20" t="inlineStr">
        <is>
          <t>NZ|SCM|M|17|800 Free</t>
        </is>
      </c>
      <c r="C100" s="20" t="inlineStr">
        <is>
          <t>SCM</t>
        </is>
      </c>
      <c r="D100" s="20" t="inlineStr">
        <is>
          <t>Male</t>
        </is>
      </c>
      <c r="E100" s="20" t="n">
        <v>17</v>
      </c>
      <c r="F100" s="20" t="inlineStr">
        <is>
          <t>800 Free</t>
        </is>
      </c>
      <c r="G100" s="20" t="inlineStr">
        <is>
          <t>Zac Reid</t>
        </is>
      </c>
      <c r="H100" s="20" t="inlineStr">
        <is>
          <t>7:54.53</t>
        </is>
      </c>
      <c r="I100" s="20" t="inlineStr">
        <is>
          <t>11.08.17</t>
        </is>
      </c>
      <c r="J100" s="20" t="n"/>
      <c r="K100" s="20" t="inlineStr">
        <is>
          <t>YES</t>
        </is>
      </c>
      <c r="L100" s="20" t="n"/>
    </row>
    <row r="101" ht="15" customHeight="1" s="17">
      <c r="A101" s="20" t="inlineStr">
        <is>
          <t>H0097</t>
        </is>
      </c>
      <c r="B101" s="20" t="inlineStr">
        <is>
          <t>NZ|SCM|M|17|1500 Free</t>
        </is>
      </c>
      <c r="C101" s="20" t="inlineStr">
        <is>
          <t>SCM</t>
        </is>
      </c>
      <c r="D101" s="20" t="inlineStr">
        <is>
          <t>Male</t>
        </is>
      </c>
      <c r="E101" s="20" t="n">
        <v>17</v>
      </c>
      <c r="F101" s="20" t="inlineStr">
        <is>
          <t>1500 Free</t>
        </is>
      </c>
      <c r="G101" s="20" t="inlineStr">
        <is>
          <t>Dylan Dunlop-Barrett</t>
        </is>
      </c>
      <c r="H101" s="20" t="inlineStr">
        <is>
          <t>15:07.95</t>
        </is>
      </c>
      <c r="I101" s="20" t="inlineStr">
        <is>
          <t>13.12.07</t>
        </is>
      </c>
      <c r="J101" s="20" t="n"/>
      <c r="K101" s="20" t="inlineStr">
        <is>
          <t>YES</t>
        </is>
      </c>
      <c r="L101" s="20" t="n"/>
    </row>
    <row r="102" ht="15" customHeight="1" s="17">
      <c r="A102" s="20" t="inlineStr">
        <is>
          <t>H0098</t>
        </is>
      </c>
      <c r="B102" s="20" t="inlineStr">
        <is>
          <t>NZ|SCM|M|17|50 Back</t>
        </is>
      </c>
      <c r="C102" s="20" t="inlineStr">
        <is>
          <t>SCM</t>
        </is>
      </c>
      <c r="D102" s="20" t="inlineStr">
        <is>
          <t>Male</t>
        </is>
      </c>
      <c r="E102" s="20" t="n">
        <v>17</v>
      </c>
      <c r="F102" s="20" t="inlineStr">
        <is>
          <t>50 Back</t>
        </is>
      </c>
      <c r="G102" s="20" t="inlineStr">
        <is>
          <t>Cameron Gray</t>
        </is>
      </c>
      <c r="H102" s="20" t="inlineStr">
        <is>
          <t>24.44</t>
        </is>
      </c>
      <c r="I102" s="20" t="inlineStr">
        <is>
          <t>24.07.21</t>
        </is>
      </c>
      <c r="J102" s="20" t="n"/>
      <c r="K102" s="20" t="inlineStr">
        <is>
          <t>YES</t>
        </is>
      </c>
      <c r="L102" s="20" t="n"/>
    </row>
    <row r="103" ht="15" customHeight="1" s="17">
      <c r="A103" s="20" t="inlineStr">
        <is>
          <t>H0099</t>
        </is>
      </c>
      <c r="B103" s="20" t="inlineStr">
        <is>
          <t>NZ|SCM|M|17|100 Back</t>
        </is>
      </c>
      <c r="C103" s="20" t="inlineStr">
        <is>
          <t>SCM</t>
        </is>
      </c>
      <c r="D103" s="20" t="inlineStr">
        <is>
          <t>Male</t>
        </is>
      </c>
      <c r="E103" s="20" t="n">
        <v>17</v>
      </c>
      <c r="F103" s="20" t="inlineStr">
        <is>
          <t>100 Back</t>
        </is>
      </c>
      <c r="G103" s="20" t="inlineStr">
        <is>
          <t>Daniel Bell</t>
        </is>
      </c>
      <c r="H103" s="20" t="inlineStr">
        <is>
          <t>51.84</t>
        </is>
      </c>
      <c r="I103" s="20" t="inlineStr">
        <is>
          <t>13.04.08</t>
        </is>
      </c>
      <c r="J103" s="20" t="n"/>
      <c r="K103" s="20" t="inlineStr">
        <is>
          <t>YES</t>
        </is>
      </c>
      <c r="L103" s="20" t="n"/>
    </row>
    <row r="104" ht="15" customHeight="1" s="17">
      <c r="A104" s="20" t="inlineStr">
        <is>
          <t>H0100</t>
        </is>
      </c>
      <c r="B104" s="20" t="inlineStr">
        <is>
          <t>NZ|SCM|M|17|200 Back</t>
        </is>
      </c>
      <c r="C104" s="20" t="inlineStr">
        <is>
          <t>SCM</t>
        </is>
      </c>
      <c r="D104" s="20" t="inlineStr">
        <is>
          <t>Male</t>
        </is>
      </c>
      <c r="E104" s="20" t="n">
        <v>17</v>
      </c>
      <c r="F104" s="20" t="inlineStr">
        <is>
          <t>200 Back</t>
        </is>
      </c>
      <c r="G104" s="20" t="inlineStr">
        <is>
          <t>Corey Main</t>
        </is>
      </c>
      <c r="H104" s="20" t="inlineStr">
        <is>
          <t>1:54.39</t>
        </is>
      </c>
      <c r="I104" s="20" t="inlineStr">
        <is>
          <t>04.10.12</t>
        </is>
      </c>
      <c r="J104" s="20" t="n"/>
      <c r="K104" s="20" t="inlineStr">
        <is>
          <t>YES</t>
        </is>
      </c>
      <c r="L104" s="20" t="n"/>
    </row>
    <row r="105" ht="15" customHeight="1" s="17">
      <c r="A105" s="20" t="inlineStr">
        <is>
          <t>H0101</t>
        </is>
      </c>
      <c r="B105" s="20" t="inlineStr">
        <is>
          <t>NZ|SCM|M|17|50 Breast</t>
        </is>
      </c>
      <c r="C105" s="20" t="inlineStr">
        <is>
          <t>SCM</t>
        </is>
      </c>
      <c r="D105" s="20" t="inlineStr">
        <is>
          <t>Male</t>
        </is>
      </c>
      <c r="E105" s="20" t="n">
        <v>17</v>
      </c>
      <c r="F105" s="20" t="inlineStr">
        <is>
          <t>50 Breast</t>
        </is>
      </c>
      <c r="G105" s="20" t="inlineStr">
        <is>
          <t>Roman Anderson</t>
        </is>
      </c>
      <c r="H105" s="20" t="inlineStr">
        <is>
          <t>27.14</t>
        </is>
      </c>
      <c r="I105" s="20" t="inlineStr">
        <is>
          <t>29.09.26</t>
        </is>
      </c>
      <c r="J105" s="20" t="n"/>
      <c r="K105" s="20" t="inlineStr">
        <is>
          <t>YES</t>
        </is>
      </c>
      <c r="L105" s="20" t="inlineStr">
        <is>
          <t>https://swimdadnz.github.io/NZSC_2026/NZSC_2026_meet_editorial_summary_final.html</t>
        </is>
      </c>
    </row>
    <row r="106" ht="15" customHeight="1" s="17">
      <c r="A106" s="20" t="inlineStr">
        <is>
          <t>H0102</t>
        </is>
      </c>
      <c r="B106" s="20" t="inlineStr">
        <is>
          <t>NZ|SCM|M|17|100 Breast</t>
        </is>
      </c>
      <c r="C106" s="20" t="inlineStr">
        <is>
          <t>SCM</t>
        </is>
      </c>
      <c r="D106" s="20" t="inlineStr">
        <is>
          <t>Male</t>
        </is>
      </c>
      <c r="E106" s="20" t="n">
        <v>17</v>
      </c>
      <c r="F106" s="20" t="inlineStr">
        <is>
          <t>100 Breast</t>
        </is>
      </c>
      <c r="G106" s="20" t="inlineStr">
        <is>
          <t>Roman Anderson</t>
        </is>
      </c>
      <c r="H106" s="20" t="inlineStr">
        <is>
          <t>1:00.01</t>
        </is>
      </c>
      <c r="I106" s="20" t="inlineStr">
        <is>
          <t>30.09.26</t>
        </is>
      </c>
      <c r="J106" s="20" t="n"/>
      <c r="K106" s="20" t="inlineStr">
        <is>
          <t>YES</t>
        </is>
      </c>
      <c r="L106" s="20" t="inlineStr">
        <is>
          <t>https://swimdadnz.github.io/NZSC_2026/NZSC_2026_meet_editorial_summary_final.html</t>
        </is>
      </c>
    </row>
    <row r="107" ht="15" customHeight="1" s="17">
      <c r="A107" s="20" t="inlineStr">
        <is>
          <t>H0103</t>
        </is>
      </c>
      <c r="B107" s="20" t="inlineStr">
        <is>
          <t>NZ|SCM|M|17|200 Breast</t>
        </is>
      </c>
      <c r="C107" s="20" t="inlineStr">
        <is>
          <t>SCM</t>
        </is>
      </c>
      <c r="D107" s="20" t="inlineStr">
        <is>
          <t>Male</t>
        </is>
      </c>
      <c r="E107" s="20" t="n">
        <v>17</v>
      </c>
      <c r="F107" s="20" t="inlineStr">
        <is>
          <t>200 Breast</t>
        </is>
      </c>
      <c r="G107" s="20" t="inlineStr">
        <is>
          <t>Jackson Kennard</t>
        </is>
      </c>
      <c r="H107" s="20" t="inlineStr">
        <is>
          <t>2:11.88</t>
        </is>
      </c>
      <c r="I107" s="20" t="inlineStr">
        <is>
          <t>08.08.23</t>
        </is>
      </c>
      <c r="J107" s="20" t="n"/>
      <c r="K107" s="20" t="inlineStr">
        <is>
          <t>YES</t>
        </is>
      </c>
      <c r="L107" s="20" t="n"/>
    </row>
    <row r="108" ht="15" customHeight="1" s="17">
      <c r="A108" s="20" t="inlineStr">
        <is>
          <t>H0104</t>
        </is>
      </c>
      <c r="B108" s="20" t="inlineStr">
        <is>
          <t>NZ|SCM|M|17|50 Fly</t>
        </is>
      </c>
      <c r="C108" s="20" t="inlineStr">
        <is>
          <t>SCM</t>
        </is>
      </c>
      <c r="D108" s="20" t="inlineStr">
        <is>
          <t>Male</t>
        </is>
      </c>
      <c r="E108" s="20" t="n">
        <v>17</v>
      </c>
      <c r="F108" s="20" t="inlineStr">
        <is>
          <t>50 Fly</t>
        </is>
      </c>
      <c r="G108" s="20" t="inlineStr">
        <is>
          <t>Ben Littlejohn</t>
        </is>
      </c>
      <c r="H108" s="20" t="inlineStr">
        <is>
          <t>23.91</t>
        </is>
      </c>
      <c r="I108" s="20" t="inlineStr">
        <is>
          <t>04.10.19</t>
        </is>
      </c>
      <c r="J108" s="20" t="n"/>
      <c r="K108" s="20" t="inlineStr">
        <is>
          <t>YES</t>
        </is>
      </c>
      <c r="L108" s="20" t="n"/>
    </row>
    <row r="109" ht="15" customHeight="1" s="17">
      <c r="A109" s="20" t="inlineStr">
        <is>
          <t>H0105</t>
        </is>
      </c>
      <c r="B109" s="20" t="inlineStr">
        <is>
          <t>NZ|SCM|M|17|100 Fly</t>
        </is>
      </c>
      <c r="C109" s="20" t="inlineStr">
        <is>
          <t>SCM</t>
        </is>
      </c>
      <c r="D109" s="20" t="inlineStr">
        <is>
          <t>Male</t>
        </is>
      </c>
      <c r="E109" s="20" t="n">
        <v>17</v>
      </c>
      <c r="F109" s="20" t="inlineStr">
        <is>
          <t>100 Fly</t>
        </is>
      </c>
      <c r="G109" s="20" t="inlineStr">
        <is>
          <t>Danyon Loader</t>
        </is>
      </c>
      <c r="H109" s="20" t="inlineStr">
        <is>
          <t>52.78</t>
        </is>
      </c>
      <c r="I109" s="20" t="inlineStr">
        <is>
          <t>07.02.93</t>
        </is>
      </c>
      <c r="J109" s="20" t="n"/>
      <c r="K109" s="20" t="inlineStr">
        <is>
          <t>YES</t>
        </is>
      </c>
      <c r="L109" s="20" t="n"/>
    </row>
    <row r="110" ht="15" customHeight="1" s="17">
      <c r="A110" s="20" t="inlineStr">
        <is>
          <t>H0106</t>
        </is>
      </c>
      <c r="B110" s="20" t="inlineStr">
        <is>
          <t>NZ|SCM|M|17|200 Fly</t>
        </is>
      </c>
      <c r="C110" s="20" t="inlineStr">
        <is>
          <t>SCM</t>
        </is>
      </c>
      <c r="D110" s="20" t="inlineStr">
        <is>
          <t>Male</t>
        </is>
      </c>
      <c r="E110" s="20" t="n">
        <v>17</v>
      </c>
      <c r="F110" s="20" t="inlineStr">
        <is>
          <t>200 Fly</t>
        </is>
      </c>
      <c r="G110" s="20" t="inlineStr">
        <is>
          <t>Danyon Loader</t>
        </is>
      </c>
      <c r="H110" s="20" t="inlineStr">
        <is>
          <t>1:54.21</t>
        </is>
      </c>
      <c r="I110" s="20" t="inlineStr">
        <is>
          <t>13.02.93</t>
        </is>
      </c>
      <c r="J110" s="20" t="n"/>
      <c r="K110" s="20" t="inlineStr">
        <is>
          <t>YES</t>
        </is>
      </c>
      <c r="L110" s="20" t="n"/>
    </row>
    <row r="111" ht="15" customHeight="1" s="17">
      <c r="A111" s="20" t="inlineStr">
        <is>
          <t>H0107</t>
        </is>
      </c>
      <c r="B111" s="20" t="inlineStr">
        <is>
          <t>NZ|SCM|M|17|100 IM</t>
        </is>
      </c>
      <c r="C111" s="20" t="inlineStr">
        <is>
          <t>SCM</t>
        </is>
      </c>
      <c r="D111" s="20" t="inlineStr">
        <is>
          <t>Male</t>
        </is>
      </c>
      <c r="E111" s="20" t="n">
        <v>17</v>
      </c>
      <c r="F111" s="20" t="inlineStr">
        <is>
          <t>100 IM</t>
        </is>
      </c>
      <c r="G111" s="20" t="inlineStr">
        <is>
          <t>Daniel Bell</t>
        </is>
      </c>
      <c r="H111" s="20" t="inlineStr">
        <is>
          <t>54.61</t>
        </is>
      </c>
      <c r="I111" s="20" t="inlineStr">
        <is>
          <t>12.04.08</t>
        </is>
      </c>
      <c r="J111" s="20" t="n"/>
      <c r="K111" s="20" t="inlineStr">
        <is>
          <t>YES</t>
        </is>
      </c>
      <c r="L111" s="20" t="n"/>
    </row>
    <row r="112" ht="15" customHeight="1" s="17">
      <c r="A112" s="20" t="inlineStr">
        <is>
          <t>H0108</t>
        </is>
      </c>
      <c r="B112" s="20" t="inlineStr">
        <is>
          <t>NZ|SCM|M|17|200 IM</t>
        </is>
      </c>
      <c r="C112" s="20" t="inlineStr">
        <is>
          <t>SCM</t>
        </is>
      </c>
      <c r="D112" s="20" t="inlineStr">
        <is>
          <t>Male</t>
        </is>
      </c>
      <c r="E112" s="20" t="n">
        <v>17</v>
      </c>
      <c r="F112" s="20" t="inlineStr">
        <is>
          <t>200 IM</t>
        </is>
      </c>
      <c r="G112" s="20" t="inlineStr">
        <is>
          <t>Kevin Zhang</t>
        </is>
      </c>
      <c r="H112" s="20" t="inlineStr">
        <is>
          <t>1:58.52</t>
        </is>
      </c>
      <c r="I112" s="20" t="inlineStr">
        <is>
          <t>24.08.24</t>
        </is>
      </c>
      <c r="J112" s="20" t="n"/>
      <c r="K112" s="20" t="inlineStr">
        <is>
          <t>YES</t>
        </is>
      </c>
      <c r="L112" s="20" t="n"/>
    </row>
    <row r="113" ht="15" customHeight="1" s="17">
      <c r="A113" s="20" t="inlineStr">
        <is>
          <t>H0109</t>
        </is>
      </c>
      <c r="B113" s="20" t="inlineStr">
        <is>
          <t>NZ|SCM|M|17|400 IM</t>
        </is>
      </c>
      <c r="C113" s="20" t="inlineStr">
        <is>
          <t>SCM</t>
        </is>
      </c>
      <c r="D113" s="20" t="inlineStr">
        <is>
          <t>Male</t>
        </is>
      </c>
      <c r="E113" s="20" t="n">
        <v>17</v>
      </c>
      <c r="F113" s="20" t="inlineStr">
        <is>
          <t>400 IM</t>
        </is>
      </c>
      <c r="G113" s="20" t="inlineStr">
        <is>
          <t>Bradlee Ashby</t>
        </is>
      </c>
      <c r="H113" s="20" t="inlineStr">
        <is>
          <t>4:14.15</t>
        </is>
      </c>
      <c r="I113" s="20" t="inlineStr">
        <is>
          <t>30.09.13</t>
        </is>
      </c>
      <c r="J113" s="20" t="n"/>
      <c r="K113" s="20" t="inlineStr">
        <is>
          <t>YES</t>
        </is>
      </c>
      <c r="L113" s="20" t="n"/>
    </row>
    <row r="114" ht="15" customHeight="1" s="17">
      <c r="A114" s="20" t="inlineStr">
        <is>
          <t>H0110</t>
        </is>
      </c>
      <c r="B114" s="20" t="inlineStr">
        <is>
          <t>NZ|SCM|M|18|50 Free</t>
        </is>
      </c>
      <c r="C114" s="20" t="inlineStr">
        <is>
          <t>SCM</t>
        </is>
      </c>
      <c r="D114" s="20" t="inlineStr">
        <is>
          <t>Male</t>
        </is>
      </c>
      <c r="E114" s="20" t="n">
        <v>18</v>
      </c>
      <c r="F114" s="20" t="inlineStr">
        <is>
          <t>50 Free</t>
        </is>
      </c>
      <c r="G114" s="20" t="inlineStr">
        <is>
          <t>Igor Russanov</t>
        </is>
      </c>
      <c r="H114" s="20" t="inlineStr">
        <is>
          <t>22.13</t>
        </is>
      </c>
      <c r="I114" s="20" t="inlineStr">
        <is>
          <t>25.09.25</t>
        </is>
      </c>
      <c r="J114" s="20" t="n"/>
      <c r="K114" s="20" t="inlineStr">
        <is>
          <t>YES</t>
        </is>
      </c>
      <c r="L114" s="20" t="n"/>
    </row>
    <row r="115" ht="15" customHeight="1" s="17">
      <c r="A115" s="20" t="inlineStr">
        <is>
          <t>H0111</t>
        </is>
      </c>
      <c r="B115" s="20" t="inlineStr">
        <is>
          <t>NZ|SCM|M|18|100 Free</t>
        </is>
      </c>
      <c r="C115" s="20" t="inlineStr">
        <is>
          <t>SCM</t>
        </is>
      </c>
      <c r="D115" s="20" t="inlineStr">
        <is>
          <t>Male</t>
        </is>
      </c>
      <c r="E115" s="20" t="n">
        <v>18</v>
      </c>
      <c r="F115" s="20" t="inlineStr">
        <is>
          <t>100 Free</t>
        </is>
      </c>
      <c r="G115" s="20" t="inlineStr">
        <is>
          <t>Fraser Walker</t>
        </is>
      </c>
      <c r="H115" s="20" t="inlineStr">
        <is>
          <t>48.17</t>
        </is>
      </c>
      <c r="I115" s="20" t="inlineStr">
        <is>
          <t>28.09.26</t>
        </is>
      </c>
      <c r="J115" s="20" t="n"/>
      <c r="K115" s="20" t="inlineStr">
        <is>
          <t>YES</t>
        </is>
      </c>
      <c r="L115" s="20" t="inlineStr">
        <is>
          <t>https://swimdadnz.github.io/NZSC_2026/NZSC_2026_meet_editorial_summary_final.html</t>
        </is>
      </c>
    </row>
    <row r="116" ht="15" customHeight="1" s="17">
      <c r="A116" s="20" t="inlineStr">
        <is>
          <t>H0112</t>
        </is>
      </c>
      <c r="B116" s="20" t="inlineStr">
        <is>
          <t>NZ|SCM|M|18|200 Free</t>
        </is>
      </c>
      <c r="C116" s="20" t="inlineStr">
        <is>
          <t>SCM</t>
        </is>
      </c>
      <c r="D116" s="20" t="inlineStr">
        <is>
          <t>Male</t>
        </is>
      </c>
      <c r="E116" s="20" t="n">
        <v>18</v>
      </c>
      <c r="F116" s="20" t="inlineStr">
        <is>
          <t>200 Free</t>
        </is>
      </c>
      <c r="G116" s="20" t="inlineStr">
        <is>
          <t>Fraser Walker</t>
        </is>
      </c>
      <c r="H116" s="20" t="inlineStr">
        <is>
          <t>1:45.25</t>
        </is>
      </c>
      <c r="I116" s="20" t="inlineStr">
        <is>
          <t>30.09.26</t>
        </is>
      </c>
      <c r="J116" s="20" t="n"/>
      <c r="K116" s="20" t="inlineStr">
        <is>
          <t>YES</t>
        </is>
      </c>
      <c r="L116" s="20" t="inlineStr">
        <is>
          <t>https://swimdadnz.github.io/NZSC_2026/NZSC_2026_meet_editorial_summary_final.html</t>
        </is>
      </c>
    </row>
    <row r="117" ht="15" customHeight="1" s="17">
      <c r="A117" s="20" t="inlineStr">
        <is>
          <t>H0113</t>
        </is>
      </c>
      <c r="B117" s="20" t="inlineStr">
        <is>
          <t>NZ|SCM|M|18|400 Free</t>
        </is>
      </c>
      <c r="C117" s="20" t="inlineStr">
        <is>
          <t>SCM</t>
        </is>
      </c>
      <c r="D117" s="20" t="inlineStr">
        <is>
          <t>Male</t>
        </is>
      </c>
      <c r="E117" s="20" t="n">
        <v>18</v>
      </c>
      <c r="F117" s="20" t="inlineStr">
        <is>
          <t>400 Free</t>
        </is>
      </c>
      <c r="G117" s="20" t="inlineStr">
        <is>
          <t>Standard</t>
        </is>
      </c>
      <c r="H117" s="20" t="inlineStr">
        <is>
          <t>3:42.70</t>
        </is>
      </c>
      <c r="I117" s="20" t="n"/>
      <c r="J117" s="20" t="n"/>
      <c r="K117" s="20" t="inlineStr">
        <is>
          <t>YES</t>
        </is>
      </c>
      <c r="L117" s="20" t="n"/>
    </row>
    <row r="118" ht="15" customHeight="1" s="17">
      <c r="A118" s="20" t="inlineStr">
        <is>
          <t>H0114</t>
        </is>
      </c>
      <c r="B118" s="20" t="inlineStr">
        <is>
          <t>NZ|SCM|M|18|800 Free</t>
        </is>
      </c>
      <c r="C118" s="20" t="inlineStr">
        <is>
          <t>SCM</t>
        </is>
      </c>
      <c r="D118" s="20" t="inlineStr">
        <is>
          <t>Male</t>
        </is>
      </c>
      <c r="E118" s="20" t="n">
        <v>18</v>
      </c>
      <c r="F118" s="20" t="inlineStr">
        <is>
          <t>800 Free</t>
        </is>
      </c>
      <c r="G118" s="20" t="inlineStr">
        <is>
          <t>Zac Reid</t>
        </is>
      </c>
      <c r="H118" s="20" t="inlineStr">
        <is>
          <t>7:44.53</t>
        </is>
      </c>
      <c r="I118" s="20" t="inlineStr">
        <is>
          <t>03.08.18</t>
        </is>
      </c>
      <c r="J118" s="20" t="n"/>
      <c r="K118" s="20" t="inlineStr">
        <is>
          <t>YES</t>
        </is>
      </c>
      <c r="L118" s="20" t="n"/>
    </row>
    <row r="119" ht="15" customHeight="1" s="17">
      <c r="A119" s="20" t="inlineStr">
        <is>
          <t>H0115</t>
        </is>
      </c>
      <c r="B119" s="20" t="inlineStr">
        <is>
          <t>NZ|SCM|M|18|1500 Free</t>
        </is>
      </c>
      <c r="C119" s="20" t="inlineStr">
        <is>
          <t>SCM</t>
        </is>
      </c>
      <c r="D119" s="20" t="inlineStr">
        <is>
          <t>Male</t>
        </is>
      </c>
      <c r="E119" s="20" t="n">
        <v>18</v>
      </c>
      <c r="F119" s="20" t="inlineStr">
        <is>
          <t>1500 Free</t>
        </is>
      </c>
      <c r="G119" s="20" t="inlineStr">
        <is>
          <t>Standard</t>
        </is>
      </c>
      <c r="H119" s="20" t="inlineStr">
        <is>
          <t>14:54.38</t>
        </is>
      </c>
      <c r="I119" s="20" t="n"/>
      <c r="J119" s="20" t="n"/>
      <c r="K119" s="20" t="inlineStr">
        <is>
          <t>YES</t>
        </is>
      </c>
      <c r="L119" s="20" t="n"/>
    </row>
    <row r="120" ht="15" customHeight="1" s="17">
      <c r="A120" s="20" t="inlineStr">
        <is>
          <t>H0116</t>
        </is>
      </c>
      <c r="B120" s="20" t="inlineStr">
        <is>
          <t>NZ|SCM|M|18|50 Back</t>
        </is>
      </c>
      <c r="C120" s="20" t="inlineStr">
        <is>
          <t>SCM</t>
        </is>
      </c>
      <c r="D120" s="20" t="inlineStr">
        <is>
          <t>Male</t>
        </is>
      </c>
      <c r="E120" s="20" t="n">
        <v>18</v>
      </c>
      <c r="F120" s="20" t="inlineStr">
        <is>
          <t>50 Back</t>
        </is>
      </c>
      <c r="G120" s="20" t="inlineStr">
        <is>
          <t>Cooper Morley</t>
        </is>
      </c>
      <c r="H120" s="20" t="inlineStr">
        <is>
          <t>23.90</t>
        </is>
      </c>
      <c r="I120" s="20" t="inlineStr">
        <is>
          <t>26.08.22</t>
        </is>
      </c>
      <c r="J120" s="20" t="n"/>
      <c r="K120" s="20" t="inlineStr">
        <is>
          <t>YES</t>
        </is>
      </c>
      <c r="L120" s="20" t="n"/>
    </row>
    <row r="121" ht="15" customHeight="1" s="17">
      <c r="A121" s="20" t="inlineStr">
        <is>
          <t>H0117</t>
        </is>
      </c>
      <c r="B121" s="20" t="inlineStr">
        <is>
          <t>NZ|SCM|M|18|100 Back</t>
        </is>
      </c>
      <c r="C121" s="20" t="inlineStr">
        <is>
          <t>SCM</t>
        </is>
      </c>
      <c r="D121" s="20" t="inlineStr">
        <is>
          <t>Male</t>
        </is>
      </c>
      <c r="E121" s="20" t="n">
        <v>18</v>
      </c>
      <c r="F121" s="20" t="inlineStr">
        <is>
          <t>100 Back</t>
        </is>
      </c>
      <c r="G121" s="20" t="inlineStr">
        <is>
          <t>Cooper Morley</t>
        </is>
      </c>
      <c r="H121" s="20" t="inlineStr">
        <is>
          <t>51.62</t>
        </is>
      </c>
      <c r="I121" s="20" t="inlineStr">
        <is>
          <t>23.08.22</t>
        </is>
      </c>
      <c r="J121" s="20" t="n"/>
      <c r="K121" s="20" t="inlineStr">
        <is>
          <t>YES</t>
        </is>
      </c>
      <c r="L121" s="20" t="n"/>
    </row>
    <row r="122" ht="15" customHeight="1" s="17">
      <c r="A122" s="20" t="inlineStr">
        <is>
          <t>H0118</t>
        </is>
      </c>
      <c r="B122" s="20" t="inlineStr">
        <is>
          <t>NZ|SCM|M|18|200 Back</t>
        </is>
      </c>
      <c r="C122" s="20" t="inlineStr">
        <is>
          <t>SCM</t>
        </is>
      </c>
      <c r="D122" s="20" t="inlineStr">
        <is>
          <t>Male</t>
        </is>
      </c>
      <c r="E122" s="20" t="n">
        <v>18</v>
      </c>
      <c r="F122" s="20" t="inlineStr">
        <is>
          <t>200 Back</t>
        </is>
      </c>
      <c r="G122" s="20" t="inlineStr">
        <is>
          <t>Sam Brown</t>
        </is>
      </c>
      <c r="H122" s="20" t="inlineStr">
        <is>
          <t>1:54.61</t>
        </is>
      </c>
      <c r="I122" s="20" t="inlineStr">
        <is>
          <t>25.08.22</t>
        </is>
      </c>
      <c r="J122" s="20" t="n"/>
      <c r="K122" s="20" t="inlineStr">
        <is>
          <t>YES</t>
        </is>
      </c>
      <c r="L122" s="20" t="n"/>
    </row>
    <row r="123" ht="15" customHeight="1" s="17">
      <c r="A123" s="20" t="inlineStr">
        <is>
          <t>H0119</t>
        </is>
      </c>
      <c r="B123" s="20" t="inlineStr">
        <is>
          <t>NZ|SCM|M|18|50 Breast</t>
        </is>
      </c>
      <c r="C123" s="20" t="inlineStr">
        <is>
          <t>SCM</t>
        </is>
      </c>
      <c r="D123" s="20" t="inlineStr">
        <is>
          <t>Male</t>
        </is>
      </c>
      <c r="E123" s="20" t="n">
        <v>18</v>
      </c>
      <c r="F123" s="20" t="inlineStr">
        <is>
          <t>50 Breast</t>
        </is>
      </c>
      <c r="G123" s="20" t="inlineStr">
        <is>
          <t>Jeffrey Arona-Tuifana'e</t>
        </is>
      </c>
      <c r="H123" s="20" t="inlineStr">
        <is>
          <t>27.68</t>
        </is>
      </c>
      <c r="I123" s="20" t="inlineStr">
        <is>
          <t>03.10.12</t>
        </is>
      </c>
      <c r="J123" s="20" t="n"/>
      <c r="K123" s="20" t="inlineStr">
        <is>
          <t>YES</t>
        </is>
      </c>
      <c r="L123" s="20" t="n"/>
    </row>
    <row r="124" ht="15" customHeight="1" s="17">
      <c r="A124" s="20" t="inlineStr">
        <is>
          <t>H0120</t>
        </is>
      </c>
      <c r="B124" s="20" t="inlineStr">
        <is>
          <t>NZ|SCM|M|18|100 Breast</t>
        </is>
      </c>
      <c r="C124" s="20" t="inlineStr">
        <is>
          <t>SCM</t>
        </is>
      </c>
      <c r="D124" s="20" t="inlineStr">
        <is>
          <t>Male</t>
        </is>
      </c>
      <c r="E124" s="20" t="n">
        <v>18</v>
      </c>
      <c r="F124" s="20" t="inlineStr">
        <is>
          <t>100 Breast</t>
        </is>
      </c>
      <c r="G124" s="20" t="inlineStr">
        <is>
          <t>Jeffrey Arona-Tuifana'e</t>
        </is>
      </c>
      <c r="H124" s="20" t="inlineStr">
        <is>
          <t>1:00.49</t>
        </is>
      </c>
      <c r="I124" s="20" t="inlineStr">
        <is>
          <t>30.09.12</t>
        </is>
      </c>
      <c r="J124" s="20" t="n"/>
      <c r="K124" s="20" t="inlineStr">
        <is>
          <t>YES</t>
        </is>
      </c>
      <c r="L124" s="20" t="n"/>
    </row>
    <row r="125" ht="15" customHeight="1" s="17">
      <c r="A125" s="20" t="inlineStr">
        <is>
          <t>H0121</t>
        </is>
      </c>
      <c r="B125" s="20" t="inlineStr">
        <is>
          <t>NZ|SCM|M|18|200 Breast</t>
        </is>
      </c>
      <c r="C125" s="20" t="inlineStr">
        <is>
          <t>SCM</t>
        </is>
      </c>
      <c r="D125" s="20" t="inlineStr">
        <is>
          <t>Male</t>
        </is>
      </c>
      <c r="E125" s="20" t="n">
        <v>18</v>
      </c>
      <c r="F125" s="20" t="inlineStr">
        <is>
          <t>200 Breast</t>
        </is>
      </c>
      <c r="G125" s="20" t="inlineStr">
        <is>
          <t>Luan Grobbelaar</t>
        </is>
      </c>
      <c r="H125" s="20" t="inlineStr">
        <is>
          <t>2:11.17</t>
        </is>
      </c>
      <c r="I125" s="20" t="inlineStr">
        <is>
          <t>08.10.20</t>
        </is>
      </c>
      <c r="J125" s="20" t="n"/>
      <c r="K125" s="20" t="inlineStr">
        <is>
          <t>YES</t>
        </is>
      </c>
      <c r="L125" s="20" t="n"/>
    </row>
    <row r="126" ht="15" customHeight="1" s="17">
      <c r="A126" s="20" t="inlineStr">
        <is>
          <t>H0122</t>
        </is>
      </c>
      <c r="B126" s="20" t="inlineStr">
        <is>
          <t>NZ|SCM|M|18|50 Fly</t>
        </is>
      </c>
      <c r="C126" s="20" t="inlineStr">
        <is>
          <t>SCM</t>
        </is>
      </c>
      <c r="D126" s="20" t="inlineStr">
        <is>
          <t>Male</t>
        </is>
      </c>
      <c r="E126" s="20" t="n">
        <v>18</v>
      </c>
      <c r="F126" s="20" t="inlineStr">
        <is>
          <t>50 Fly</t>
        </is>
      </c>
      <c r="G126" s="20" t="inlineStr">
        <is>
          <t>Daniel Bell</t>
        </is>
      </c>
      <c r="H126" s="20" t="inlineStr">
        <is>
          <t>23.36</t>
        </is>
      </c>
      <c r="I126" s="20" t="inlineStr">
        <is>
          <t>12.12.08</t>
        </is>
      </c>
      <c r="J126" s="20" t="n"/>
      <c r="K126" s="20" t="inlineStr">
        <is>
          <t>YES</t>
        </is>
      </c>
      <c r="L126" s="20" t="n"/>
    </row>
    <row r="127" ht="15" customHeight="1" s="17">
      <c r="A127" s="20" t="inlineStr">
        <is>
          <t>H0123</t>
        </is>
      </c>
      <c r="B127" s="20" t="inlineStr">
        <is>
          <t>NZ|SCM|M|18|100 Fly</t>
        </is>
      </c>
      <c r="C127" s="20" t="inlineStr">
        <is>
          <t>SCM</t>
        </is>
      </c>
      <c r="D127" s="20" t="inlineStr">
        <is>
          <t>Male</t>
        </is>
      </c>
      <c r="E127" s="20" t="n">
        <v>18</v>
      </c>
      <c r="F127" s="20" t="inlineStr">
        <is>
          <t>100 Fly</t>
        </is>
      </c>
      <c r="G127" s="20" t="inlineStr">
        <is>
          <t>Corney Swanepoel</t>
        </is>
      </c>
      <c r="H127" s="20" t="inlineStr">
        <is>
          <t>51.67</t>
        </is>
      </c>
      <c r="I127" s="20" t="inlineStr">
        <is>
          <t>28.11.04</t>
        </is>
      </c>
      <c r="J127" s="20" t="n"/>
      <c r="K127" s="20" t="inlineStr">
        <is>
          <t>YES</t>
        </is>
      </c>
      <c r="L127" s="20" t="n"/>
    </row>
    <row r="128" ht="15" customHeight="1" s="17">
      <c r="A128" s="20" t="inlineStr">
        <is>
          <t>H0124</t>
        </is>
      </c>
      <c r="B128" s="20" t="inlineStr">
        <is>
          <t>NZ|SCM|M|18|200 Fly</t>
        </is>
      </c>
      <c r="C128" s="20" t="inlineStr">
        <is>
          <t>SCM</t>
        </is>
      </c>
      <c r="D128" s="20" t="inlineStr">
        <is>
          <t>Male</t>
        </is>
      </c>
      <c r="E128" s="20" t="n">
        <v>18</v>
      </c>
      <c r="F128" s="20" t="inlineStr">
        <is>
          <t>200 Fly</t>
        </is>
      </c>
      <c r="G128" s="20" t="inlineStr">
        <is>
          <t>Standard</t>
        </is>
      </c>
      <c r="H128" s="20" t="inlineStr">
        <is>
          <t>1:54.21</t>
        </is>
      </c>
      <c r="I128" s="20" t="n"/>
      <c r="J128" s="20" t="n"/>
      <c r="K128" s="20" t="inlineStr">
        <is>
          <t>YES</t>
        </is>
      </c>
      <c r="L128" s="20" t="n"/>
    </row>
    <row r="129" ht="15" customHeight="1" s="17">
      <c r="A129" s="20" t="inlineStr">
        <is>
          <t>H0125</t>
        </is>
      </c>
      <c r="B129" s="20" t="inlineStr">
        <is>
          <t>NZ|SCM|M|18|100 IM</t>
        </is>
      </c>
      <c r="C129" s="20" t="inlineStr">
        <is>
          <t>SCM</t>
        </is>
      </c>
      <c r="D129" s="20" t="inlineStr">
        <is>
          <t>Male</t>
        </is>
      </c>
      <c r="E129" s="20" t="n">
        <v>18</v>
      </c>
      <c r="F129" s="20" t="inlineStr">
        <is>
          <t>100 IM</t>
        </is>
      </c>
      <c r="G129" s="20" t="inlineStr">
        <is>
          <t>Daniel Bell</t>
        </is>
      </c>
      <c r="H129" s="20" t="inlineStr">
        <is>
          <t>54.20</t>
        </is>
      </c>
      <c r="I129" s="20" t="inlineStr">
        <is>
          <t>11.12.08</t>
        </is>
      </c>
      <c r="J129" s="20" t="n"/>
      <c r="K129" s="20" t="inlineStr">
        <is>
          <t>YES</t>
        </is>
      </c>
      <c r="L129" s="20" t="n"/>
    </row>
    <row r="130" ht="15" customHeight="1" s="17">
      <c r="A130" s="20" t="inlineStr">
        <is>
          <t>H0126</t>
        </is>
      </c>
      <c r="B130" s="20" t="inlineStr">
        <is>
          <t>NZ|SCM|M|18|200 IM</t>
        </is>
      </c>
      <c r="C130" s="20" t="inlineStr">
        <is>
          <t>SCM</t>
        </is>
      </c>
      <c r="D130" s="20" t="inlineStr">
        <is>
          <t>Male</t>
        </is>
      </c>
      <c r="E130" s="20" t="n">
        <v>18</v>
      </c>
      <c r="F130" s="20" t="inlineStr">
        <is>
          <t>200 IM</t>
        </is>
      </c>
      <c r="G130" s="20" t="inlineStr">
        <is>
          <t>Daniel Bell</t>
        </is>
      </c>
      <c r="H130" s="20" t="inlineStr">
        <is>
          <t>1:57.84</t>
        </is>
      </c>
      <c r="I130" s="20" t="inlineStr">
        <is>
          <t>12.12.08</t>
        </is>
      </c>
      <c r="J130" s="20" t="n"/>
      <c r="K130" s="20" t="inlineStr">
        <is>
          <t>YES</t>
        </is>
      </c>
      <c r="L130" s="20" t="n"/>
    </row>
    <row r="131" ht="15" customHeight="1" s="17">
      <c r="A131" s="20" t="inlineStr">
        <is>
          <t>H0127</t>
        </is>
      </c>
      <c r="B131" s="20" t="inlineStr">
        <is>
          <t>NZ|SCM|M|18|400 IM</t>
        </is>
      </c>
      <c r="C131" s="20" t="inlineStr">
        <is>
          <t>SCM</t>
        </is>
      </c>
      <c r="D131" s="20" t="inlineStr">
        <is>
          <t>Male</t>
        </is>
      </c>
      <c r="E131" s="20" t="n">
        <v>18</v>
      </c>
      <c r="F131" s="20" t="inlineStr">
        <is>
          <t>400 IM</t>
        </is>
      </c>
      <c r="G131" s="20" t="inlineStr">
        <is>
          <t>Sam Brown</t>
        </is>
      </c>
      <c r="H131" s="20" t="inlineStr">
        <is>
          <t>4:11.85</t>
        </is>
      </c>
      <c r="I131" s="20" t="inlineStr">
        <is>
          <t>24.08.22</t>
        </is>
      </c>
      <c r="J131" s="20" t="n"/>
      <c r="K131" s="20" t="inlineStr">
        <is>
          <t>YES</t>
        </is>
      </c>
      <c r="L131" s="20" t="n"/>
    </row>
    <row r="132" ht="15" customHeight="1" s="17">
      <c r="A132" s="20" t="inlineStr">
        <is>
          <t>H0128</t>
        </is>
      </c>
      <c r="B132" s="20" t="inlineStr">
        <is>
          <t>NZ|SCM|F|13|50 Free</t>
        </is>
      </c>
      <c r="C132" s="20" t="inlineStr">
        <is>
          <t>SCM</t>
        </is>
      </c>
      <c r="D132" s="20" t="inlineStr">
        <is>
          <t>Female</t>
        </is>
      </c>
      <c r="E132" s="20" t="n">
        <v>13</v>
      </c>
      <c r="F132" s="20" t="inlineStr">
        <is>
          <t>50 Free</t>
        </is>
      </c>
      <c r="G132" s="20" t="inlineStr">
        <is>
          <t>Gabrielle Fa'amausili</t>
        </is>
      </c>
      <c r="H132" s="20" t="inlineStr">
        <is>
          <t>25.33</t>
        </is>
      </c>
      <c r="I132" s="20" t="inlineStr">
        <is>
          <t>01.10.13</t>
        </is>
      </c>
      <c r="J132" s="20" t="n"/>
      <c r="K132" s="20" t="inlineStr">
        <is>
          <t>YES</t>
        </is>
      </c>
      <c r="L132" s="20" t="n"/>
    </row>
    <row r="133" ht="15" customHeight="1" s="17">
      <c r="A133" s="20" t="inlineStr">
        <is>
          <t>H0129</t>
        </is>
      </c>
      <c r="B133" s="20" t="inlineStr">
        <is>
          <t>NZ|SCM|F|13|100 Free</t>
        </is>
      </c>
      <c r="C133" s="20" t="inlineStr">
        <is>
          <t>SCM</t>
        </is>
      </c>
      <c r="D133" s="20" t="inlineStr">
        <is>
          <t>Female</t>
        </is>
      </c>
      <c r="E133" s="20" t="n">
        <v>13</v>
      </c>
      <c r="F133" s="20" t="inlineStr">
        <is>
          <t>100 Free</t>
        </is>
      </c>
      <c r="G133" s="20" t="inlineStr">
        <is>
          <t>Gabrielle Fa'amausili</t>
        </is>
      </c>
      <c r="H133" s="20" t="inlineStr">
        <is>
          <t>56.36</t>
        </is>
      </c>
      <c r="I133" s="20" t="inlineStr">
        <is>
          <t>30.09.13</t>
        </is>
      </c>
      <c r="J133" s="20" t="n"/>
      <c r="K133" s="20" t="inlineStr">
        <is>
          <t>YES</t>
        </is>
      </c>
      <c r="L133" s="20" t="n"/>
    </row>
    <row r="134" ht="15" customHeight="1" s="17">
      <c r="A134" s="20" t="inlineStr">
        <is>
          <t>H0130</t>
        </is>
      </c>
      <c r="B134" s="20" t="inlineStr">
        <is>
          <t>NZ|SCM|F|13|200 Free</t>
        </is>
      </c>
      <c r="C134" s="20" t="inlineStr">
        <is>
          <t>SCM</t>
        </is>
      </c>
      <c r="D134" s="20" t="inlineStr">
        <is>
          <t>Female</t>
        </is>
      </c>
      <c r="E134" s="20" t="n">
        <v>13</v>
      </c>
      <c r="F134" s="20" t="inlineStr">
        <is>
          <t>200 Free</t>
        </is>
      </c>
      <c r="G134" s="20" t="inlineStr">
        <is>
          <t>Erika Fairweather</t>
        </is>
      </c>
      <c r="H134" s="20" t="inlineStr">
        <is>
          <t>2:03.57</t>
        </is>
      </c>
      <c r="I134" s="20" t="inlineStr">
        <is>
          <t>03.10.17</t>
        </is>
      </c>
      <c r="J134" s="20" t="n"/>
      <c r="K134" s="20" t="inlineStr">
        <is>
          <t>YES</t>
        </is>
      </c>
      <c r="L134" s="20" t="n"/>
    </row>
    <row r="135" ht="15" customHeight="1" s="17">
      <c r="A135" s="20" t="inlineStr">
        <is>
          <t>H0131</t>
        </is>
      </c>
      <c r="B135" s="20" t="inlineStr">
        <is>
          <t>NZ|SCM|F|13|400 Free</t>
        </is>
      </c>
      <c r="C135" s="20" t="inlineStr">
        <is>
          <t>SCM</t>
        </is>
      </c>
      <c r="D135" s="20" t="inlineStr">
        <is>
          <t>Female</t>
        </is>
      </c>
      <c r="E135" s="20" t="n">
        <v>13</v>
      </c>
      <c r="F135" s="20" t="inlineStr">
        <is>
          <t>400 Free</t>
        </is>
      </c>
      <c r="G135" s="20" t="inlineStr">
        <is>
          <t>Erika Fairweather</t>
        </is>
      </c>
      <c r="H135" s="20" t="inlineStr">
        <is>
          <t>4:22.52</t>
        </is>
      </c>
      <c r="I135" s="20" t="inlineStr">
        <is>
          <t>04.10.17</t>
        </is>
      </c>
      <c r="J135" s="20" t="n"/>
      <c r="K135" s="20" t="inlineStr">
        <is>
          <t>YES</t>
        </is>
      </c>
      <c r="L135" s="20" t="n"/>
    </row>
    <row r="136" ht="15" customHeight="1" s="17">
      <c r="A136" s="20" t="inlineStr">
        <is>
          <t>H0132</t>
        </is>
      </c>
      <c r="B136" s="20" t="inlineStr">
        <is>
          <t>NZ|SCM|F|13|800 Free</t>
        </is>
      </c>
      <c r="C136" s="20" t="inlineStr">
        <is>
          <t>SCM</t>
        </is>
      </c>
      <c r="D136" s="20" t="inlineStr">
        <is>
          <t>Female</t>
        </is>
      </c>
      <c r="E136" s="20" t="n">
        <v>13</v>
      </c>
      <c r="F136" s="20" t="inlineStr">
        <is>
          <t>800 Free</t>
        </is>
      </c>
      <c r="G136" s="20" t="inlineStr">
        <is>
          <t>Erika Fairweather</t>
        </is>
      </c>
      <c r="H136" s="20" t="inlineStr">
        <is>
          <t>8:58.05</t>
        </is>
      </c>
      <c r="I136" s="20" t="inlineStr">
        <is>
          <t>06.10.17</t>
        </is>
      </c>
      <c r="J136" s="20" t="n"/>
      <c r="K136" s="20" t="inlineStr">
        <is>
          <t>YES</t>
        </is>
      </c>
      <c r="L136" s="20" t="n"/>
    </row>
    <row r="137" ht="15" customHeight="1" s="17">
      <c r="A137" s="20" t="inlineStr">
        <is>
          <t>H0133</t>
        </is>
      </c>
      <c r="B137" s="20" t="inlineStr">
        <is>
          <t>NZ|SCM|F|13|1500 Free</t>
        </is>
      </c>
      <c r="C137" s="20" t="inlineStr">
        <is>
          <t>SCM</t>
        </is>
      </c>
      <c r="D137" s="20" t="inlineStr">
        <is>
          <t>Female</t>
        </is>
      </c>
      <c r="E137" s="20" t="n">
        <v>13</v>
      </c>
      <c r="F137" s="20" t="inlineStr">
        <is>
          <t>1500 Free</t>
        </is>
      </c>
      <c r="G137" s="20" t="inlineStr">
        <is>
          <t>Erika Fairweather</t>
        </is>
      </c>
      <c r="H137" s="20" t="inlineStr">
        <is>
          <t>17:15.28</t>
        </is>
      </c>
      <c r="I137" s="20" t="inlineStr">
        <is>
          <t>06.08.17</t>
        </is>
      </c>
      <c r="J137" s="20" t="n"/>
      <c r="K137" s="20" t="inlineStr">
        <is>
          <t>YES</t>
        </is>
      </c>
      <c r="L137" s="20" t="n"/>
    </row>
    <row r="138" ht="15" customHeight="1" s="17">
      <c r="A138" s="20" t="inlineStr">
        <is>
          <t>H0134</t>
        </is>
      </c>
      <c r="B138" s="20" t="inlineStr">
        <is>
          <t>NZ|SCM|F|13|50 Back</t>
        </is>
      </c>
      <c r="C138" s="20" t="inlineStr">
        <is>
          <t>SCM</t>
        </is>
      </c>
      <c r="D138" s="20" t="inlineStr">
        <is>
          <t>Female</t>
        </is>
      </c>
      <c r="E138" s="20" t="n">
        <v>13</v>
      </c>
      <c r="F138" s="20" t="inlineStr">
        <is>
          <t>50 Back</t>
        </is>
      </c>
      <c r="G138" s="20" t="inlineStr">
        <is>
          <t>Gabrielle Fa'amausili</t>
        </is>
      </c>
      <c r="H138" s="20" t="inlineStr">
        <is>
          <t>27.93</t>
        </is>
      </c>
      <c r="I138" s="20" t="inlineStr">
        <is>
          <t>02.10.13</t>
        </is>
      </c>
      <c r="J138" s="20" t="n"/>
      <c r="K138" s="20" t="inlineStr">
        <is>
          <t>YES</t>
        </is>
      </c>
      <c r="L138" s="20" t="n"/>
    </row>
    <row r="139" ht="15" customHeight="1" s="17">
      <c r="A139" s="20" t="inlineStr">
        <is>
          <t>H0135</t>
        </is>
      </c>
      <c r="B139" s="20" t="inlineStr">
        <is>
          <t>NZ|SCM|F|13|100 Back</t>
        </is>
      </c>
      <c r="C139" s="20" t="inlineStr">
        <is>
          <t>SCM</t>
        </is>
      </c>
      <c r="D139" s="20" t="inlineStr">
        <is>
          <t>Female</t>
        </is>
      </c>
      <c r="E139" s="20" t="n">
        <v>13</v>
      </c>
      <c r="F139" s="20" t="inlineStr">
        <is>
          <t>100 Back</t>
        </is>
      </c>
      <c r="G139" s="20" t="inlineStr">
        <is>
          <t>Gabrielle Fa'amausili</t>
        </is>
      </c>
      <c r="H139" s="20" t="inlineStr">
        <is>
          <t>59.92</t>
        </is>
      </c>
      <c r="I139" s="20" t="inlineStr">
        <is>
          <t>29.09.13</t>
        </is>
      </c>
      <c r="J139" s="20" t="n"/>
      <c r="K139" s="20" t="inlineStr">
        <is>
          <t>YES</t>
        </is>
      </c>
      <c r="L139" s="20" t="n"/>
    </row>
    <row r="140" ht="15" customHeight="1" s="17">
      <c r="A140" s="20" t="inlineStr">
        <is>
          <t>H0136</t>
        </is>
      </c>
      <c r="B140" s="20" t="inlineStr">
        <is>
          <t>NZ|SCM|F|13|200 Back</t>
        </is>
      </c>
      <c r="C140" s="20" t="inlineStr">
        <is>
          <t>SCM</t>
        </is>
      </c>
      <c r="D140" s="20" t="inlineStr">
        <is>
          <t>Female</t>
        </is>
      </c>
      <c r="E140" s="20" t="n">
        <v>13</v>
      </c>
      <c r="F140" s="20" t="inlineStr">
        <is>
          <t>200 Back</t>
        </is>
      </c>
      <c r="G140" s="20" t="inlineStr">
        <is>
          <t>Bobbi Gichard</t>
        </is>
      </c>
      <c r="H140" s="20" t="inlineStr">
        <is>
          <t>2:13.15</t>
        </is>
      </c>
      <c r="I140" s="20" t="inlineStr">
        <is>
          <t>01.10.13</t>
        </is>
      </c>
      <c r="J140" s="20" t="n"/>
      <c r="K140" s="20" t="inlineStr">
        <is>
          <t>YES</t>
        </is>
      </c>
      <c r="L140" s="20" t="n"/>
    </row>
    <row r="141" ht="15" customHeight="1" s="17">
      <c r="A141" s="20" t="inlineStr">
        <is>
          <t>H0137</t>
        </is>
      </c>
      <c r="B141" s="20" t="inlineStr">
        <is>
          <t>NZ|SCM|F|13|50 Breast</t>
        </is>
      </c>
      <c r="C141" s="20" t="inlineStr">
        <is>
          <t>SCM</t>
        </is>
      </c>
      <c r="D141" s="20" t="inlineStr">
        <is>
          <t>Female</t>
        </is>
      </c>
      <c r="E141" s="20" t="n">
        <v>13</v>
      </c>
      <c r="F141" s="20" t="inlineStr">
        <is>
          <t>50 Breast</t>
        </is>
      </c>
      <c r="G141" s="20" t="inlineStr">
        <is>
          <t>Mulan Chan See</t>
        </is>
      </c>
      <c r="H141" s="20" t="inlineStr">
        <is>
          <t>32.75</t>
        </is>
      </c>
      <c r="I141" s="20" t="inlineStr">
        <is>
          <t>07.10.20</t>
        </is>
      </c>
      <c r="J141" s="20" t="n"/>
      <c r="K141" s="20" t="inlineStr">
        <is>
          <t>YES</t>
        </is>
      </c>
      <c r="L141" s="20" t="n"/>
    </row>
    <row r="142" ht="15" customHeight="1" s="17">
      <c r="A142" s="20" t="inlineStr">
        <is>
          <t>H0138</t>
        </is>
      </c>
      <c r="B142" s="20" t="inlineStr">
        <is>
          <t>NZ|SCM|F|13|100 Breast</t>
        </is>
      </c>
      <c r="C142" s="20" t="inlineStr">
        <is>
          <t>SCM</t>
        </is>
      </c>
      <c r="D142" s="20" t="inlineStr">
        <is>
          <t>Female</t>
        </is>
      </c>
      <c r="E142" s="20" t="n">
        <v>13</v>
      </c>
      <c r="F142" s="20" t="inlineStr">
        <is>
          <t>100 Breast</t>
        </is>
      </c>
      <c r="G142" s="20" t="inlineStr">
        <is>
          <t>April Lin</t>
        </is>
      </c>
      <c r="H142" s="20" t="inlineStr">
        <is>
          <t>1:11.16</t>
        </is>
      </c>
      <c r="I142" s="20" t="inlineStr">
        <is>
          <t>30.09.26</t>
        </is>
      </c>
      <c r="J142" s="20" t="n"/>
      <c r="K142" s="20" t="inlineStr">
        <is>
          <t>YES</t>
        </is>
      </c>
      <c r="L142" s="20" t="inlineStr">
        <is>
          <t>https://swimdadnz.github.io/NZSC_2026/NZSC_2026_meet_editorial_summary_final.html</t>
        </is>
      </c>
    </row>
    <row r="143" ht="15" customHeight="1" s="17">
      <c r="A143" s="20" t="inlineStr">
        <is>
          <t>H0139</t>
        </is>
      </c>
      <c r="B143" s="20" t="inlineStr">
        <is>
          <t>NZ|SCM|F|13|200 Breast</t>
        </is>
      </c>
      <c r="C143" s="20" t="inlineStr">
        <is>
          <t>SCM</t>
        </is>
      </c>
      <c r="D143" s="20" t="inlineStr">
        <is>
          <t>Female</t>
        </is>
      </c>
      <c r="E143" s="20" t="n">
        <v>13</v>
      </c>
      <c r="F143" s="20" t="inlineStr">
        <is>
          <t>200 Breast</t>
        </is>
      </c>
      <c r="G143" s="20" t="inlineStr">
        <is>
          <t>April Lin</t>
        </is>
      </c>
      <c r="H143" s="20" t="inlineStr">
        <is>
          <t>2:28.90</t>
        </is>
      </c>
      <c r="I143" s="20" t="inlineStr">
        <is>
          <t>27.09.26</t>
        </is>
      </c>
      <c r="J143" s="20" t="n"/>
      <c r="K143" s="20" t="inlineStr">
        <is>
          <t>YES</t>
        </is>
      </c>
      <c r="L143" s="20" t="inlineStr">
        <is>
          <t>https://swimdadnz.github.io/NZSC_2026/NZSC_2026_meet_editorial_summary_final.html</t>
        </is>
      </c>
    </row>
    <row r="144" ht="15" customHeight="1" s="17">
      <c r="A144" s="20" t="inlineStr">
        <is>
          <t>H0140</t>
        </is>
      </c>
      <c r="B144" s="20" t="inlineStr">
        <is>
          <t>NZ|SCM|F|13|50 Fly</t>
        </is>
      </c>
      <c r="C144" s="20" t="inlineStr">
        <is>
          <t>SCM</t>
        </is>
      </c>
      <c r="D144" s="20" t="inlineStr">
        <is>
          <t>Female</t>
        </is>
      </c>
      <c r="E144" s="20" t="n">
        <v>13</v>
      </c>
      <c r="F144" s="20" t="inlineStr">
        <is>
          <t>50 Fly</t>
        </is>
      </c>
      <c r="G144" s="20" t="inlineStr">
        <is>
          <t>Milan Glintmeyer</t>
        </is>
      </c>
      <c r="H144" s="20" t="inlineStr">
        <is>
          <t>27.89</t>
        </is>
      </c>
      <c r="I144" s="20" t="inlineStr">
        <is>
          <t>11.06.22</t>
        </is>
      </c>
      <c r="J144" s="20" t="n"/>
      <c r="K144" s="20" t="inlineStr">
        <is>
          <t>YES</t>
        </is>
      </c>
      <c r="L144" s="20" t="n"/>
    </row>
    <row r="145" ht="15" customHeight="1" s="17">
      <c r="A145" s="20" t="inlineStr">
        <is>
          <t>H0141</t>
        </is>
      </c>
      <c r="B145" s="20" t="inlineStr">
        <is>
          <t>NZ|SCM|F|13|100 Fly</t>
        </is>
      </c>
      <c r="C145" s="20" t="inlineStr">
        <is>
          <t>SCM</t>
        </is>
      </c>
      <c r="D145" s="20" t="inlineStr">
        <is>
          <t>Female</t>
        </is>
      </c>
      <c r="E145" s="20" t="n">
        <v>13</v>
      </c>
      <c r="F145" s="20" t="inlineStr">
        <is>
          <t>100 Fly</t>
        </is>
      </c>
      <c r="G145" s="20" t="inlineStr">
        <is>
          <t>Milan Glintmeyer</t>
        </is>
      </c>
      <c r="H145" s="20" t="inlineStr">
        <is>
          <t>1:02.02</t>
        </is>
      </c>
      <c r="I145" s="20" t="inlineStr">
        <is>
          <t>30.07.22</t>
        </is>
      </c>
      <c r="J145" s="20" t="n"/>
      <c r="K145" s="20" t="inlineStr">
        <is>
          <t>YES</t>
        </is>
      </c>
      <c r="L145" s="20" t="n"/>
    </row>
    <row r="146" ht="15" customHeight="1" s="17">
      <c r="A146" s="20" t="inlineStr">
        <is>
          <t>H0142</t>
        </is>
      </c>
      <c r="B146" s="20" t="inlineStr">
        <is>
          <t>NZ|SCM|F|13|200 Fly</t>
        </is>
      </c>
      <c r="C146" s="20" t="inlineStr">
        <is>
          <t>SCM</t>
        </is>
      </c>
      <c r="D146" s="20" t="inlineStr">
        <is>
          <t>Female</t>
        </is>
      </c>
      <c r="E146" s="20" t="n">
        <v>13</v>
      </c>
      <c r="F146" s="20" t="inlineStr">
        <is>
          <t>200 Fly</t>
        </is>
      </c>
      <c r="G146" s="20" t="inlineStr">
        <is>
          <t>Paige Schendelaar-Kemp</t>
        </is>
      </c>
      <c r="H146" s="20" t="inlineStr">
        <is>
          <t>2:17.80</t>
        </is>
      </c>
      <c r="I146" s="20" t="inlineStr">
        <is>
          <t>01.07.12</t>
        </is>
      </c>
      <c r="J146" s="20" t="n"/>
      <c r="K146" s="20" t="inlineStr">
        <is>
          <t>YES</t>
        </is>
      </c>
      <c r="L146" s="20" t="n"/>
    </row>
    <row r="147" ht="15" customHeight="1" s="17">
      <c r="A147" s="20" t="inlineStr">
        <is>
          <t>H0143</t>
        </is>
      </c>
      <c r="B147" s="20" t="inlineStr">
        <is>
          <t>NZ|SCM|F|13|100 IM</t>
        </is>
      </c>
      <c r="C147" s="20" t="inlineStr">
        <is>
          <t>SCM</t>
        </is>
      </c>
      <c r="D147" s="20" t="inlineStr">
        <is>
          <t>Female</t>
        </is>
      </c>
      <c r="E147" s="20" t="n">
        <v>13</v>
      </c>
      <c r="F147" s="20" t="inlineStr">
        <is>
          <t>100 IM</t>
        </is>
      </c>
      <c r="G147" s="20" t="inlineStr">
        <is>
          <t>April Lin</t>
        </is>
      </c>
      <c r="H147" s="20" t="inlineStr">
        <is>
          <t>1:04.71</t>
        </is>
      </c>
      <c r="I147" s="20" t="inlineStr">
        <is>
          <t>27.09.26</t>
        </is>
      </c>
      <c r="J147" s="20" t="n"/>
      <c r="K147" s="20" t="inlineStr">
        <is>
          <t>YES</t>
        </is>
      </c>
      <c r="L147" s="20" t="inlineStr">
        <is>
          <t>https://swimdadnz.github.io/NZSC_2026/NZSC_2026_meet_editorial_summary_final.html</t>
        </is>
      </c>
    </row>
    <row r="148" ht="15" customHeight="1" s="17">
      <c r="A148" s="20" t="inlineStr">
        <is>
          <t>H0144</t>
        </is>
      </c>
      <c r="B148" s="20" t="inlineStr">
        <is>
          <t>NZ|SCM|F|13|200 IM</t>
        </is>
      </c>
      <c r="C148" s="20" t="inlineStr">
        <is>
          <t>SCM</t>
        </is>
      </c>
      <c r="D148" s="20" t="inlineStr">
        <is>
          <t>Female</t>
        </is>
      </c>
      <c r="E148" s="20" t="n">
        <v>13</v>
      </c>
      <c r="F148" s="20" t="inlineStr">
        <is>
          <t>200 IM</t>
        </is>
      </c>
      <c r="G148" s="20" t="inlineStr">
        <is>
          <t>Mya Rasmussen</t>
        </is>
      </c>
      <c r="H148" s="20" t="inlineStr">
        <is>
          <t>2:20.37</t>
        </is>
      </c>
      <c r="I148" s="20" t="inlineStr">
        <is>
          <t>02.10.13</t>
        </is>
      </c>
      <c r="J148" s="20" t="n"/>
      <c r="K148" s="20" t="inlineStr">
        <is>
          <t>YES</t>
        </is>
      </c>
      <c r="L148" s="20" t="n"/>
    </row>
    <row r="149" ht="15" customHeight="1" s="17">
      <c r="A149" s="20" t="inlineStr">
        <is>
          <t>H0145</t>
        </is>
      </c>
      <c r="B149" s="20" t="inlineStr">
        <is>
          <t>NZ|SCM|F|13|400 IM</t>
        </is>
      </c>
      <c r="C149" s="20" t="inlineStr">
        <is>
          <t>SCM</t>
        </is>
      </c>
      <c r="D149" s="20" t="inlineStr">
        <is>
          <t>Female</t>
        </is>
      </c>
      <c r="E149" s="20" t="n">
        <v>13</v>
      </c>
      <c r="F149" s="20" t="inlineStr">
        <is>
          <t>400 IM</t>
        </is>
      </c>
      <c r="G149" s="20" t="inlineStr">
        <is>
          <t>Erika Fairweather</t>
        </is>
      </c>
      <c r="H149" s="20" t="inlineStr">
        <is>
          <t>4:55.18</t>
        </is>
      </c>
      <c r="I149" s="20" t="inlineStr">
        <is>
          <t>06.10.17</t>
        </is>
      </c>
      <c r="J149" s="20" t="n"/>
      <c r="K149" s="20" t="inlineStr">
        <is>
          <t>YES</t>
        </is>
      </c>
      <c r="L149" s="20" t="n"/>
    </row>
    <row r="150" ht="15" customHeight="1" s="17">
      <c r="A150" s="20" t="inlineStr">
        <is>
          <t>H0146</t>
        </is>
      </c>
      <c r="B150" s="20" t="inlineStr">
        <is>
          <t>NZ|SCM|F|14|50 Free</t>
        </is>
      </c>
      <c r="C150" s="20" t="inlineStr">
        <is>
          <t>SCM</t>
        </is>
      </c>
      <c r="D150" s="20" t="inlineStr">
        <is>
          <t>Female</t>
        </is>
      </c>
      <c r="E150" s="20" t="n">
        <v>14</v>
      </c>
      <c r="F150" s="20" t="inlineStr">
        <is>
          <t>50 Free</t>
        </is>
      </c>
      <c r="G150" s="20" t="inlineStr">
        <is>
          <t>Gabrielle Fa'amausili</t>
        </is>
      </c>
      <c r="H150" s="20" t="inlineStr">
        <is>
          <t>25.08</t>
        </is>
      </c>
      <c r="I150" s="20" t="inlineStr">
        <is>
          <t>04.09.14</t>
        </is>
      </c>
      <c r="J150" s="20" t="n"/>
      <c r="K150" s="20" t="inlineStr">
        <is>
          <t>YES</t>
        </is>
      </c>
      <c r="L150" s="20" t="n"/>
    </row>
    <row r="151" ht="15" customHeight="1" s="17">
      <c r="A151" s="20" t="inlineStr">
        <is>
          <t>H0147</t>
        </is>
      </c>
      <c r="B151" s="20" t="inlineStr">
        <is>
          <t>NZ|SCM|F|14|100 Free</t>
        </is>
      </c>
      <c r="C151" s="20" t="inlineStr">
        <is>
          <t>SCM</t>
        </is>
      </c>
      <c r="D151" s="20" t="inlineStr">
        <is>
          <t>Female</t>
        </is>
      </c>
      <c r="E151" s="20" t="n">
        <v>14</v>
      </c>
      <c r="F151" s="20" t="inlineStr">
        <is>
          <t>100 Free</t>
        </is>
      </c>
      <c r="G151" s="20" t="inlineStr">
        <is>
          <t>Laura Littlejohn</t>
        </is>
      </c>
      <c r="H151" s="20" t="inlineStr">
        <is>
          <t>55.80</t>
        </is>
      </c>
      <c r="I151" s="20" t="inlineStr">
        <is>
          <t>06.07.19</t>
        </is>
      </c>
      <c r="J151" s="20" t="n"/>
      <c r="K151" s="20" t="inlineStr">
        <is>
          <t>YES</t>
        </is>
      </c>
      <c r="L151" s="20" t="n"/>
    </row>
    <row r="152" ht="15" customHeight="1" s="17">
      <c r="A152" s="20" t="inlineStr">
        <is>
          <t>H0148</t>
        </is>
      </c>
      <c r="B152" s="20" t="inlineStr">
        <is>
          <t>NZ|SCM|F|14|200 Free</t>
        </is>
      </c>
      <c r="C152" s="20" t="inlineStr">
        <is>
          <t>SCM</t>
        </is>
      </c>
      <c r="D152" s="20" t="inlineStr">
        <is>
          <t>Female</t>
        </is>
      </c>
      <c r="E152" s="20" t="n">
        <v>14</v>
      </c>
      <c r="F152" s="20" t="inlineStr">
        <is>
          <t>200 Free</t>
        </is>
      </c>
      <c r="G152" s="20" t="inlineStr">
        <is>
          <t>Sophia Batchelor</t>
        </is>
      </c>
      <c r="H152" s="20" t="inlineStr">
        <is>
          <t>2:01.94</t>
        </is>
      </c>
      <c r="I152" s="20" t="inlineStr">
        <is>
          <t>30.09.09</t>
        </is>
      </c>
      <c r="J152" s="20" t="n"/>
      <c r="K152" s="20" t="inlineStr">
        <is>
          <t>YES</t>
        </is>
      </c>
      <c r="L152" s="20" t="n"/>
    </row>
    <row r="153" ht="15" customHeight="1" s="17">
      <c r="A153" s="20" t="inlineStr">
        <is>
          <t>H0149</t>
        </is>
      </c>
      <c r="B153" s="20" t="inlineStr">
        <is>
          <t>NZ|SCM|F|14|400 Free</t>
        </is>
      </c>
      <c r="C153" s="20" t="inlineStr">
        <is>
          <t>SCM</t>
        </is>
      </c>
      <c r="D153" s="20" t="inlineStr">
        <is>
          <t>Female</t>
        </is>
      </c>
      <c r="E153" s="20" t="n">
        <v>14</v>
      </c>
      <c r="F153" s="20" t="inlineStr">
        <is>
          <t>400 Free</t>
        </is>
      </c>
      <c r="G153" s="20" t="inlineStr">
        <is>
          <t>Erika Fairweather</t>
        </is>
      </c>
      <c r="H153" s="20" t="inlineStr">
        <is>
          <t>4:14.76</t>
        </is>
      </c>
      <c r="I153" s="20" t="inlineStr">
        <is>
          <t>11.08.18</t>
        </is>
      </c>
      <c r="J153" s="20" t="n"/>
      <c r="K153" s="20" t="inlineStr">
        <is>
          <t>YES</t>
        </is>
      </c>
      <c r="L153" s="20" t="n"/>
    </row>
    <row r="154" ht="15" customHeight="1" s="17">
      <c r="A154" s="20" t="inlineStr">
        <is>
          <t>H0150</t>
        </is>
      </c>
      <c r="B154" s="20" t="inlineStr">
        <is>
          <t>NZ|SCM|F|14|800 Free</t>
        </is>
      </c>
      <c r="C154" s="20" t="inlineStr">
        <is>
          <t>SCM</t>
        </is>
      </c>
      <c r="D154" s="20" t="inlineStr">
        <is>
          <t>Female</t>
        </is>
      </c>
      <c r="E154" s="20" t="n">
        <v>14</v>
      </c>
      <c r="F154" s="20" t="inlineStr">
        <is>
          <t>800 Free</t>
        </is>
      </c>
      <c r="G154" s="20" t="inlineStr">
        <is>
          <t>Laura Baker</t>
        </is>
      </c>
      <c r="H154" s="20" t="inlineStr">
        <is>
          <t>8:46.24</t>
        </is>
      </c>
      <c r="I154" s="20" t="inlineStr">
        <is>
          <t>11.07.08</t>
        </is>
      </c>
      <c r="J154" s="20" t="n"/>
      <c r="K154" s="20" t="inlineStr">
        <is>
          <t>YES</t>
        </is>
      </c>
      <c r="L154" s="20" t="n"/>
    </row>
    <row r="155" ht="15" customHeight="1" s="17">
      <c r="A155" s="20" t="inlineStr">
        <is>
          <t>H0151</t>
        </is>
      </c>
      <c r="B155" s="20" t="inlineStr">
        <is>
          <t>NZ|SCM|F|14|1500 Free</t>
        </is>
      </c>
      <c r="C155" s="20" t="inlineStr">
        <is>
          <t>SCM</t>
        </is>
      </c>
      <c r="D155" s="20" t="inlineStr">
        <is>
          <t>Female</t>
        </is>
      </c>
      <c r="E155" s="20" t="n">
        <v>14</v>
      </c>
      <c r="F155" s="20" t="inlineStr">
        <is>
          <t>1500 Free</t>
        </is>
      </c>
      <c r="G155" s="20" t="inlineStr">
        <is>
          <t>Nicole Goldsmid</t>
        </is>
      </c>
      <c r="H155" s="20" t="inlineStr">
        <is>
          <t>17:05.16</t>
        </is>
      </c>
      <c r="I155" s="20" t="inlineStr">
        <is>
          <t>25.09.03</t>
        </is>
      </c>
      <c r="J155" s="20" t="n"/>
      <c r="K155" s="20" t="inlineStr">
        <is>
          <t>YES</t>
        </is>
      </c>
      <c r="L155" s="20" t="n"/>
    </row>
    <row r="156" ht="15" customHeight="1" s="17">
      <c r="A156" s="20" t="inlineStr">
        <is>
          <t>H0152</t>
        </is>
      </c>
      <c r="B156" s="20" t="inlineStr">
        <is>
          <t>NZ|SCM|F|14|50 Back</t>
        </is>
      </c>
      <c r="C156" s="20" t="inlineStr">
        <is>
          <t>SCM</t>
        </is>
      </c>
      <c r="D156" s="20" t="inlineStr">
        <is>
          <t>Female</t>
        </is>
      </c>
      <c r="E156" s="20" t="n">
        <v>14</v>
      </c>
      <c r="F156" s="20" t="inlineStr">
        <is>
          <t>50 Back</t>
        </is>
      </c>
      <c r="G156" s="20" t="inlineStr">
        <is>
          <t>Gabrielle Fa'amausili</t>
        </is>
      </c>
      <c r="H156" s="20" t="inlineStr">
        <is>
          <t>27.95</t>
        </is>
      </c>
      <c r="I156" s="20" t="inlineStr">
        <is>
          <t>06.09.14</t>
        </is>
      </c>
      <c r="J156" s="20" t="n"/>
      <c r="K156" s="20" t="inlineStr">
        <is>
          <t>YES</t>
        </is>
      </c>
      <c r="L156" s="20" t="n"/>
    </row>
    <row r="157" ht="15" customHeight="1" s="17">
      <c r="A157" s="20" t="inlineStr">
        <is>
          <t>H0153</t>
        </is>
      </c>
      <c r="B157" s="20" t="inlineStr">
        <is>
          <t>NZ|SCM|F|14|100 Back</t>
        </is>
      </c>
      <c r="C157" s="20" t="inlineStr">
        <is>
          <t>SCM</t>
        </is>
      </c>
      <c r="D157" s="20" t="inlineStr">
        <is>
          <t>Female</t>
        </is>
      </c>
      <c r="E157" s="20" t="n">
        <v>14</v>
      </c>
      <c r="F157" s="20" t="inlineStr">
        <is>
          <t>100 Back</t>
        </is>
      </c>
      <c r="G157" s="20" t="inlineStr">
        <is>
          <t>Gabrielle Fa'amausili</t>
        </is>
      </c>
      <c r="H157" s="20" t="inlineStr">
        <is>
          <t>59.73</t>
        </is>
      </c>
      <c r="I157" s="20" t="inlineStr">
        <is>
          <t>03.09.14</t>
        </is>
      </c>
      <c r="J157" s="20" t="n"/>
      <c r="K157" s="20" t="inlineStr">
        <is>
          <t>YES</t>
        </is>
      </c>
      <c r="L157" s="20" t="n"/>
    </row>
    <row r="158" ht="15" customHeight="1" s="17">
      <c r="A158" s="20" t="inlineStr">
        <is>
          <t>H0154</t>
        </is>
      </c>
      <c r="B158" s="20" t="inlineStr">
        <is>
          <t>NZ|SCM|F|14|200 Back</t>
        </is>
      </c>
      <c r="C158" s="20" t="inlineStr">
        <is>
          <t>SCM</t>
        </is>
      </c>
      <c r="D158" s="20" t="inlineStr">
        <is>
          <t>Female</t>
        </is>
      </c>
      <c r="E158" s="20" t="n">
        <v>14</v>
      </c>
      <c r="F158" s="20" t="inlineStr">
        <is>
          <t>200 Back</t>
        </is>
      </c>
      <c r="G158" s="20" t="inlineStr">
        <is>
          <t>Bobbi Gichard</t>
        </is>
      </c>
      <c r="H158" s="20" t="inlineStr">
        <is>
          <t>2:07.38</t>
        </is>
      </c>
      <c r="I158" s="20" t="inlineStr">
        <is>
          <t>05.09.14</t>
        </is>
      </c>
      <c r="J158" s="20" t="n"/>
      <c r="K158" s="20" t="inlineStr">
        <is>
          <t>YES</t>
        </is>
      </c>
      <c r="L158" s="20" t="n"/>
    </row>
    <row r="159" ht="15" customHeight="1" s="17">
      <c r="A159" s="20" t="inlineStr">
        <is>
          <t>H0155</t>
        </is>
      </c>
      <c r="B159" s="20" t="inlineStr">
        <is>
          <t>NZ|SCM|F|14|50 Breast</t>
        </is>
      </c>
      <c r="C159" s="20" t="inlineStr">
        <is>
          <t>SCM</t>
        </is>
      </c>
      <c r="D159" s="20" t="inlineStr">
        <is>
          <t>Female</t>
        </is>
      </c>
      <c r="E159" s="20" t="n">
        <v>14</v>
      </c>
      <c r="F159" s="20" t="inlineStr">
        <is>
          <t>50 Breast</t>
        </is>
      </c>
      <c r="G159" s="20" t="inlineStr">
        <is>
          <t>Natasha Lloyd</t>
        </is>
      </c>
      <c r="H159" s="20" t="inlineStr">
        <is>
          <t>32.09</t>
        </is>
      </c>
      <c r="I159" s="20" t="inlineStr">
        <is>
          <t>14.11.10</t>
        </is>
      </c>
      <c r="J159" s="20" t="n"/>
      <c r="K159" s="20" t="inlineStr">
        <is>
          <t>YES</t>
        </is>
      </c>
      <c r="L159" s="20" t="n"/>
    </row>
    <row r="160" ht="15" customHeight="1" s="17">
      <c r="A160" s="20" t="inlineStr">
        <is>
          <t>H0156</t>
        </is>
      </c>
      <c r="B160" s="20" t="inlineStr">
        <is>
          <t>NZ|SCM|F|14|100 Breast</t>
        </is>
      </c>
      <c r="C160" s="20" t="inlineStr">
        <is>
          <t>SCM</t>
        </is>
      </c>
      <c r="D160" s="20" t="inlineStr">
        <is>
          <t>Female</t>
        </is>
      </c>
      <c r="E160" s="20" t="n">
        <v>14</v>
      </c>
      <c r="F160" s="20" t="inlineStr">
        <is>
          <t>100 Breast</t>
        </is>
      </c>
      <c r="G160" s="20" t="inlineStr">
        <is>
          <t>Natasha Lloyd</t>
        </is>
      </c>
      <c r="H160" s="20" t="inlineStr">
        <is>
          <t>1:09.97</t>
        </is>
      </c>
      <c r="I160" s="20" t="inlineStr">
        <is>
          <t>09.07.10</t>
        </is>
      </c>
      <c r="J160" s="20" t="n"/>
      <c r="K160" s="20" t="inlineStr">
        <is>
          <t>YES</t>
        </is>
      </c>
      <c r="L160" s="20" t="n"/>
    </row>
    <row r="161" ht="15" customHeight="1" s="17">
      <c r="A161" s="20" t="inlineStr">
        <is>
          <t>H0157</t>
        </is>
      </c>
      <c r="B161" s="20" t="inlineStr">
        <is>
          <t>NZ|SCM|F|14|200 Breast</t>
        </is>
      </c>
      <c r="C161" s="20" t="inlineStr">
        <is>
          <t>SCM</t>
        </is>
      </c>
      <c r="D161" s="20" t="inlineStr">
        <is>
          <t>Female</t>
        </is>
      </c>
      <c r="E161" s="20" t="n">
        <v>14</v>
      </c>
      <c r="F161" s="20" t="inlineStr">
        <is>
          <t>200 Breast</t>
        </is>
      </c>
      <c r="G161" s="20" t="inlineStr">
        <is>
          <t>Jenna Borea</t>
        </is>
      </c>
      <c r="H161" s="20" t="inlineStr">
        <is>
          <t>2:29.83</t>
        </is>
      </c>
      <c r="I161" s="20" t="inlineStr">
        <is>
          <t>27.09.26</t>
        </is>
      </c>
      <c r="J161" s="20" t="n"/>
      <c r="K161" s="20" t="inlineStr">
        <is>
          <t>YES</t>
        </is>
      </c>
      <c r="L161" s="20" t="inlineStr">
        <is>
          <t>https://swimdadnz.github.io/NZSC_2026/NZSC_2026_meet_editorial_summary_final.html</t>
        </is>
      </c>
    </row>
    <row r="162" ht="15" customHeight="1" s="17">
      <c r="A162" s="20" t="inlineStr">
        <is>
          <t>H0158</t>
        </is>
      </c>
      <c r="B162" s="20" t="inlineStr">
        <is>
          <t>NZ|SCM|F|14|50 Fly</t>
        </is>
      </c>
      <c r="C162" s="20" t="inlineStr">
        <is>
          <t>SCM</t>
        </is>
      </c>
      <c r="D162" s="20" t="inlineStr">
        <is>
          <t>Female</t>
        </is>
      </c>
      <c r="E162" s="20" t="n">
        <v>14</v>
      </c>
      <c r="F162" s="20" t="inlineStr">
        <is>
          <t>50 Fly</t>
        </is>
      </c>
      <c r="G162" s="20" t="inlineStr">
        <is>
          <t>Milan Glintmeyer</t>
        </is>
      </c>
      <c r="H162" s="20" t="inlineStr">
        <is>
          <t>27.45</t>
        </is>
      </c>
      <c r="I162" s="20" t="inlineStr">
        <is>
          <t>24.08.22</t>
        </is>
      </c>
      <c r="J162" s="20" t="n"/>
      <c r="K162" s="20" t="inlineStr">
        <is>
          <t>YES</t>
        </is>
      </c>
      <c r="L162" s="20" t="n"/>
    </row>
    <row r="163" ht="15" customHeight="1" s="17">
      <c r="A163" s="20" t="inlineStr">
        <is>
          <t>H0159</t>
        </is>
      </c>
      <c r="B163" s="20" t="inlineStr">
        <is>
          <t>NZ|SCM|F|14|100 Fly</t>
        </is>
      </c>
      <c r="C163" s="20" t="inlineStr">
        <is>
          <t>SCM</t>
        </is>
      </c>
      <c r="D163" s="20" t="inlineStr">
        <is>
          <t>Female</t>
        </is>
      </c>
      <c r="E163" s="20" t="n">
        <v>14</v>
      </c>
      <c r="F163" s="20" t="inlineStr">
        <is>
          <t>100 Fly</t>
        </is>
      </c>
      <c r="G163" s="20" t="inlineStr">
        <is>
          <t>Brearna Crawford</t>
        </is>
      </c>
      <c r="H163" s="20" t="inlineStr">
        <is>
          <t>1:00.88</t>
        </is>
      </c>
      <c r="I163" s="20" t="inlineStr">
        <is>
          <t>06.10.17</t>
        </is>
      </c>
      <c r="J163" s="20" t="n"/>
      <c r="K163" s="20" t="inlineStr">
        <is>
          <t>YES</t>
        </is>
      </c>
      <c r="L163" s="20" t="n"/>
    </row>
    <row r="164" ht="15" customHeight="1" s="17">
      <c r="A164" s="20" t="inlineStr">
        <is>
          <t>H0160</t>
        </is>
      </c>
      <c r="B164" s="20" t="inlineStr">
        <is>
          <t>NZ|SCM|F|14|200 Fly</t>
        </is>
      </c>
      <c r="C164" s="20" t="inlineStr">
        <is>
          <t>SCM</t>
        </is>
      </c>
      <c r="D164" s="20" t="inlineStr">
        <is>
          <t>Female</t>
        </is>
      </c>
      <c r="E164" s="20" t="n">
        <v>14</v>
      </c>
      <c r="F164" s="20" t="inlineStr">
        <is>
          <t>200 Fly</t>
        </is>
      </c>
      <c r="G164" s="20" t="inlineStr">
        <is>
          <t>Elizabeth Brown</t>
        </is>
      </c>
      <c r="H164" s="20" t="inlineStr">
        <is>
          <t>2:16.16</t>
        </is>
      </c>
      <c r="I164" s="20" t="inlineStr">
        <is>
          <t>23.09.07</t>
        </is>
      </c>
      <c r="J164" s="20" t="n"/>
      <c r="K164" s="20" t="inlineStr">
        <is>
          <t>YES</t>
        </is>
      </c>
      <c r="L164" s="20" t="n"/>
    </row>
    <row r="165" ht="15" customHeight="1" s="17">
      <c r="A165" s="20" t="inlineStr">
        <is>
          <t>H0161</t>
        </is>
      </c>
      <c r="B165" s="20" t="inlineStr">
        <is>
          <t>NZ|SCM|F|14|100 IM</t>
        </is>
      </c>
      <c r="C165" s="20" t="inlineStr">
        <is>
          <t>SCM</t>
        </is>
      </c>
      <c r="D165" s="20" t="inlineStr">
        <is>
          <t>Female</t>
        </is>
      </c>
      <c r="E165" s="20" t="n">
        <v>14</v>
      </c>
      <c r="F165" s="20" t="inlineStr">
        <is>
          <t>100 IM</t>
        </is>
      </c>
      <c r="G165" s="20" t="inlineStr">
        <is>
          <t>Gabrielle Fa'amausili</t>
        </is>
      </c>
      <c r="H165" s="20" t="inlineStr">
        <is>
          <t>1:03.31</t>
        </is>
      </c>
      <c r="I165" s="20" t="inlineStr">
        <is>
          <t>1.08.14</t>
        </is>
      </c>
      <c r="J165" s="20" t="n"/>
      <c r="K165" s="20" t="inlineStr">
        <is>
          <t>YES</t>
        </is>
      </c>
      <c r="L165" s="20" t="n"/>
    </row>
    <row r="166" ht="15" customHeight="1" s="17">
      <c r="A166" s="20" t="inlineStr">
        <is>
          <t>H0162</t>
        </is>
      </c>
      <c r="B166" s="20" t="inlineStr">
        <is>
          <t>NZ|SCM|F|14|200 IM</t>
        </is>
      </c>
      <c r="C166" s="20" t="inlineStr">
        <is>
          <t>SCM</t>
        </is>
      </c>
      <c r="D166" s="20" t="inlineStr">
        <is>
          <t>Female</t>
        </is>
      </c>
      <c r="E166" s="20" t="n">
        <v>14</v>
      </c>
      <c r="F166" s="20" t="inlineStr">
        <is>
          <t>200 IM</t>
        </is>
      </c>
      <c r="G166" s="20" t="inlineStr">
        <is>
          <t>Brearna Crawford</t>
        </is>
      </c>
      <c r="H166" s="20" t="inlineStr">
        <is>
          <t>2:16.15</t>
        </is>
      </c>
      <c r="I166" s="20" t="inlineStr">
        <is>
          <t>04.10.17</t>
        </is>
      </c>
      <c r="J166" s="20" t="n"/>
      <c r="K166" s="20" t="inlineStr">
        <is>
          <t>YES</t>
        </is>
      </c>
      <c r="L166" s="20" t="n"/>
    </row>
    <row r="167" ht="15" customHeight="1" s="17">
      <c r="A167" s="20" t="inlineStr">
        <is>
          <t>H0163</t>
        </is>
      </c>
      <c r="B167" s="20" t="inlineStr">
        <is>
          <t>NZ|SCM|F|14|400 IM</t>
        </is>
      </c>
      <c r="C167" s="20" t="inlineStr">
        <is>
          <t>SCM</t>
        </is>
      </c>
      <c r="D167" s="20" t="inlineStr">
        <is>
          <t>Female</t>
        </is>
      </c>
      <c r="E167" s="20" t="n">
        <v>14</v>
      </c>
      <c r="F167" s="20" t="inlineStr">
        <is>
          <t>400 IM</t>
        </is>
      </c>
      <c r="G167" s="20" t="inlineStr">
        <is>
          <t>Mya Rasmussen</t>
        </is>
      </c>
      <c r="H167" s="20" t="inlineStr">
        <is>
          <t>4:49.05</t>
        </is>
      </c>
      <c r="I167" s="20" t="inlineStr">
        <is>
          <t>05.09.14</t>
        </is>
      </c>
      <c r="J167" s="20" t="n"/>
      <c r="K167" s="20" t="inlineStr">
        <is>
          <t>YES</t>
        </is>
      </c>
      <c r="L167" s="20" t="n"/>
    </row>
    <row r="168" ht="15" customHeight="1" s="17">
      <c r="A168" s="20" t="inlineStr">
        <is>
          <t>H0164</t>
        </is>
      </c>
      <c r="B168" s="20" t="inlineStr">
        <is>
          <t>NZ|SCM|F|15|50 Free</t>
        </is>
      </c>
      <c r="C168" s="20" t="inlineStr">
        <is>
          <t>SCM</t>
        </is>
      </c>
      <c r="D168" s="20" t="inlineStr">
        <is>
          <t>Female</t>
        </is>
      </c>
      <c r="E168" s="20" t="n">
        <v>15</v>
      </c>
      <c r="F168" s="20" t="inlineStr">
        <is>
          <t>50 Free</t>
        </is>
      </c>
      <c r="G168" s="20" t="inlineStr">
        <is>
          <t>Gabrielle Fa'amausili</t>
        </is>
      </c>
      <c r="H168" s="20" t="inlineStr">
        <is>
          <t>24.83</t>
        </is>
      </c>
      <c r="I168" s="20" t="inlineStr">
        <is>
          <t>13.08.15</t>
        </is>
      </c>
      <c r="J168" s="20" t="n"/>
      <c r="K168" s="20" t="inlineStr">
        <is>
          <t>YES</t>
        </is>
      </c>
      <c r="L168" s="20" t="n"/>
    </row>
    <row r="169" ht="15" customHeight="1" s="17">
      <c r="A169" s="20" t="inlineStr">
        <is>
          <t>H0165</t>
        </is>
      </c>
      <c r="B169" s="20" t="inlineStr">
        <is>
          <t>NZ|SCM|F|15|100 Free</t>
        </is>
      </c>
      <c r="C169" s="20" t="inlineStr">
        <is>
          <t>SCM</t>
        </is>
      </c>
      <c r="D169" s="20" t="inlineStr">
        <is>
          <t>Female</t>
        </is>
      </c>
      <c r="E169" s="20" t="n">
        <v>15</v>
      </c>
      <c r="F169" s="20" t="inlineStr">
        <is>
          <t>100 Free</t>
        </is>
      </c>
      <c r="G169" s="20" t="inlineStr">
        <is>
          <t>Gabrielle Fa'amausili</t>
        </is>
      </c>
      <c r="H169" s="20" t="inlineStr">
        <is>
          <t>55.14</t>
        </is>
      </c>
      <c r="I169" s="20" t="inlineStr">
        <is>
          <t>15.08.15</t>
        </is>
      </c>
      <c r="J169" s="20" t="n"/>
      <c r="K169" s="20" t="inlineStr">
        <is>
          <t>YES</t>
        </is>
      </c>
      <c r="L169" s="20" t="n"/>
    </row>
    <row r="170" ht="15" customHeight="1" s="17">
      <c r="A170" s="20" t="inlineStr">
        <is>
          <t>H0166</t>
        </is>
      </c>
      <c r="B170" s="20" t="inlineStr">
        <is>
          <t>NZ|SCM|F|15|200 Free</t>
        </is>
      </c>
      <c r="C170" s="20" t="inlineStr">
        <is>
          <t>SCM</t>
        </is>
      </c>
      <c r="D170" s="20" t="inlineStr">
        <is>
          <t>Female</t>
        </is>
      </c>
      <c r="E170" s="20" t="n">
        <v>15</v>
      </c>
      <c r="F170" s="20" t="inlineStr">
        <is>
          <t>200 Free</t>
        </is>
      </c>
      <c r="G170" s="20" t="inlineStr">
        <is>
          <t>Erika Fairweather</t>
        </is>
      </c>
      <c r="H170" s="20" t="inlineStr">
        <is>
          <t>1:57.88</t>
        </is>
      </c>
      <c r="I170" s="20" t="inlineStr">
        <is>
          <t>17.11.19</t>
        </is>
      </c>
      <c r="J170" s="20" t="n"/>
      <c r="K170" s="20" t="inlineStr">
        <is>
          <t>YES</t>
        </is>
      </c>
      <c r="L170" s="20" t="n"/>
    </row>
    <row r="171" ht="15" customHeight="1" s="17">
      <c r="A171" s="20" t="inlineStr">
        <is>
          <t>H0167</t>
        </is>
      </c>
      <c r="B171" s="20" t="inlineStr">
        <is>
          <t>NZ|SCM|F|15|400 Free</t>
        </is>
      </c>
      <c r="C171" s="20" t="inlineStr">
        <is>
          <t>SCM</t>
        </is>
      </c>
      <c r="D171" s="20" t="inlineStr">
        <is>
          <t>Female</t>
        </is>
      </c>
      <c r="E171" s="20" t="n">
        <v>15</v>
      </c>
      <c r="F171" s="20" t="inlineStr">
        <is>
          <t>400 Free</t>
        </is>
      </c>
      <c r="G171" s="20" t="inlineStr">
        <is>
          <t>Chloe Francis</t>
        </is>
      </c>
      <c r="H171" s="20" t="inlineStr">
        <is>
          <t>4:11.11</t>
        </is>
      </c>
      <c r="I171" s="20" t="inlineStr">
        <is>
          <t>12.12.08</t>
        </is>
      </c>
      <c r="J171" s="20" t="n"/>
      <c r="K171" s="20" t="inlineStr">
        <is>
          <t>YES</t>
        </is>
      </c>
      <c r="L171" s="20" t="n"/>
    </row>
    <row r="172" ht="15" customHeight="1" s="17">
      <c r="A172" s="20" t="inlineStr">
        <is>
          <t>H0168</t>
        </is>
      </c>
      <c r="B172" s="20" t="inlineStr">
        <is>
          <t>NZ|SCM|F|15|800 Free</t>
        </is>
      </c>
      <c r="C172" s="20" t="inlineStr">
        <is>
          <t>SCM</t>
        </is>
      </c>
      <c r="D172" s="20" t="inlineStr">
        <is>
          <t>Female</t>
        </is>
      </c>
      <c r="E172" s="20" t="n">
        <v>15</v>
      </c>
      <c r="F172" s="20" t="inlineStr">
        <is>
          <t>800 Free</t>
        </is>
      </c>
      <c r="G172" s="20" t="inlineStr">
        <is>
          <t>Laura Baker</t>
        </is>
      </c>
      <c r="H172" s="20" t="inlineStr">
        <is>
          <t>8:37.06</t>
        </is>
      </c>
      <c r="I172" s="20" t="inlineStr">
        <is>
          <t>25.07.09</t>
        </is>
      </c>
      <c r="J172" s="20" t="n"/>
      <c r="K172" s="20" t="inlineStr">
        <is>
          <t>YES</t>
        </is>
      </c>
      <c r="L172" s="20" t="n"/>
    </row>
    <row r="173" ht="15" customHeight="1" s="17">
      <c r="A173" s="20" t="inlineStr">
        <is>
          <t>H0169</t>
        </is>
      </c>
      <c r="B173" s="20" t="inlineStr">
        <is>
          <t>NZ|SCM|F|15|1500 Free</t>
        </is>
      </c>
      <c r="C173" s="20" t="inlineStr">
        <is>
          <t>SCM</t>
        </is>
      </c>
      <c r="D173" s="20" t="inlineStr">
        <is>
          <t>Female</t>
        </is>
      </c>
      <c r="E173" s="20" t="n">
        <v>15</v>
      </c>
      <c r="F173" s="20" t="inlineStr">
        <is>
          <t>1500 Free</t>
        </is>
      </c>
      <c r="G173" s="20" t="inlineStr">
        <is>
          <t>Olivia Emmett</t>
        </is>
      </c>
      <c r="H173" s="20" t="inlineStr">
        <is>
          <t>16:50.03</t>
        </is>
      </c>
      <c r="I173" s="20" t="inlineStr">
        <is>
          <t>09.03.24</t>
        </is>
      </c>
      <c r="J173" s="20" t="n"/>
      <c r="K173" s="20" t="inlineStr">
        <is>
          <t>YES</t>
        </is>
      </c>
      <c r="L173" s="20" t="n"/>
    </row>
    <row r="174" ht="15" customHeight="1" s="17">
      <c r="A174" s="20" t="inlineStr">
        <is>
          <t>H0170</t>
        </is>
      </c>
      <c r="B174" s="20" t="inlineStr">
        <is>
          <t>NZ|SCM|F|15|50 Back</t>
        </is>
      </c>
      <c r="C174" s="20" t="inlineStr">
        <is>
          <t>SCM</t>
        </is>
      </c>
      <c r="D174" s="20" t="inlineStr">
        <is>
          <t>Female</t>
        </is>
      </c>
      <c r="E174" s="20" t="n">
        <v>15</v>
      </c>
      <c r="F174" s="20" t="inlineStr">
        <is>
          <t>50 Back</t>
        </is>
      </c>
      <c r="G174" s="20" t="inlineStr">
        <is>
          <t>Gabrielle Fa'amausili</t>
        </is>
      </c>
      <c r="H174" s="20" t="inlineStr">
        <is>
          <t>27.04</t>
        </is>
      </c>
      <c r="I174" s="20" t="inlineStr">
        <is>
          <t>26.09.15</t>
        </is>
      </c>
      <c r="J174" s="20" t="n"/>
      <c r="K174" s="20" t="inlineStr">
        <is>
          <t>YES</t>
        </is>
      </c>
      <c r="L174" s="20" t="n"/>
    </row>
    <row r="175" ht="15" customHeight="1" s="17">
      <c r="A175" s="20" t="inlineStr">
        <is>
          <t>H0171</t>
        </is>
      </c>
      <c r="B175" s="20" t="inlineStr">
        <is>
          <t>NZ|SCM|F|15|100 Back</t>
        </is>
      </c>
      <c r="C175" s="20" t="inlineStr">
        <is>
          <t>SCM</t>
        </is>
      </c>
      <c r="D175" s="20" t="inlineStr">
        <is>
          <t>Female</t>
        </is>
      </c>
      <c r="E175" s="20" t="n">
        <v>15</v>
      </c>
      <c r="F175" s="20" t="inlineStr">
        <is>
          <t>100 Back</t>
        </is>
      </c>
      <c r="G175" s="20" t="inlineStr">
        <is>
          <t>Gabrielle Fa'amausili</t>
        </is>
      </c>
      <c r="H175" s="20" t="inlineStr">
        <is>
          <t>58.64</t>
        </is>
      </c>
      <c r="I175" s="20" t="inlineStr">
        <is>
          <t>12.08.15</t>
        </is>
      </c>
      <c r="J175" s="20" t="n"/>
      <c r="K175" s="20" t="inlineStr">
        <is>
          <t>YES</t>
        </is>
      </c>
      <c r="L175" s="20" t="n"/>
    </row>
    <row r="176" ht="15" customHeight="1" s="17">
      <c r="A176" s="20" t="inlineStr">
        <is>
          <t>H0172</t>
        </is>
      </c>
      <c r="B176" s="20" t="inlineStr">
        <is>
          <t>NZ|SCM|F|15|200 Back</t>
        </is>
      </c>
      <c r="C176" s="20" t="inlineStr">
        <is>
          <t>SCM</t>
        </is>
      </c>
      <c r="D176" s="20" t="inlineStr">
        <is>
          <t>Female</t>
        </is>
      </c>
      <c r="E176" s="20" t="n">
        <v>15</v>
      </c>
      <c r="F176" s="20" t="inlineStr">
        <is>
          <t>200 Back</t>
        </is>
      </c>
      <c r="G176" s="20" t="inlineStr">
        <is>
          <t>Sophia Batchelor</t>
        </is>
      </c>
      <c r="H176" s="20" t="inlineStr">
        <is>
          <t>2:05.52</t>
        </is>
      </c>
      <c r="I176" s="20" t="inlineStr">
        <is>
          <t>26.09.10</t>
        </is>
      </c>
      <c r="J176" s="20" t="n"/>
      <c r="K176" s="20" t="inlineStr">
        <is>
          <t>YES</t>
        </is>
      </c>
      <c r="L176" s="20" t="n"/>
    </row>
    <row r="177" ht="15" customHeight="1" s="17">
      <c r="A177" s="20" t="inlineStr">
        <is>
          <t>H0173</t>
        </is>
      </c>
      <c r="B177" s="20" t="inlineStr">
        <is>
          <t>NZ|SCM|F|15|50 Breast</t>
        </is>
      </c>
      <c r="C177" s="20" t="inlineStr">
        <is>
          <t>SCM</t>
        </is>
      </c>
      <c r="D177" s="20" t="inlineStr">
        <is>
          <t>Female</t>
        </is>
      </c>
      <c r="E177" s="20" t="n">
        <v>15</v>
      </c>
      <c r="F177" s="20" t="inlineStr">
        <is>
          <t>50 Breast</t>
        </is>
      </c>
      <c r="G177" s="20" t="inlineStr">
        <is>
          <t>Monique Wieruszowski</t>
        </is>
      </c>
      <c r="H177" s="20" t="inlineStr">
        <is>
          <t>30.97</t>
        </is>
      </c>
      <c r="I177" s="20" t="inlineStr">
        <is>
          <t>07.07.23</t>
        </is>
      </c>
      <c r="J177" s="20" t="n"/>
      <c r="K177" s="20" t="inlineStr">
        <is>
          <t>YES</t>
        </is>
      </c>
      <c r="L177" s="20" t="n"/>
    </row>
    <row r="178" ht="15" customHeight="1" s="17">
      <c r="A178" s="20" t="inlineStr">
        <is>
          <t>H0174</t>
        </is>
      </c>
      <c r="B178" s="20" t="inlineStr">
        <is>
          <t>NZ|SCM|F|15|100 Breast</t>
        </is>
      </c>
      <c r="C178" s="20" t="inlineStr">
        <is>
          <t>SCM</t>
        </is>
      </c>
      <c r="D178" s="20" t="inlineStr">
        <is>
          <t>Female</t>
        </is>
      </c>
      <c r="E178" s="20" t="n">
        <v>15</v>
      </c>
      <c r="F178" s="20" t="inlineStr">
        <is>
          <t>100 Breast</t>
        </is>
      </c>
      <c r="G178" s="20" t="inlineStr">
        <is>
          <t>Melissa Cowen</t>
        </is>
      </c>
      <c r="H178" s="20" t="inlineStr">
        <is>
          <t>1:06.72</t>
        </is>
      </c>
      <c r="I178" s="20" t="inlineStr">
        <is>
          <t>06.10.20</t>
        </is>
      </c>
      <c r="J178" s="20" t="n"/>
      <c r="K178" s="20" t="inlineStr">
        <is>
          <t>YES</t>
        </is>
      </c>
      <c r="L178" s="20" t="n"/>
    </row>
    <row r="179" ht="15" customHeight="1" s="17">
      <c r="A179" s="20" t="inlineStr">
        <is>
          <t>H0175</t>
        </is>
      </c>
      <c r="B179" s="20" t="inlineStr">
        <is>
          <t>NZ|SCM|F|15|200 Breast</t>
        </is>
      </c>
      <c r="C179" s="20" t="inlineStr">
        <is>
          <t>SCM</t>
        </is>
      </c>
      <c r="D179" s="20" t="inlineStr">
        <is>
          <t>Female</t>
        </is>
      </c>
      <c r="E179" s="20" t="n">
        <v>15</v>
      </c>
      <c r="F179" s="20" t="inlineStr">
        <is>
          <t>200 Breast</t>
        </is>
      </c>
      <c r="G179" s="20" t="inlineStr">
        <is>
          <t>Melissa Cowen</t>
        </is>
      </c>
      <c r="H179" s="20" t="inlineStr">
        <is>
          <t>2:23.47</t>
        </is>
      </c>
      <c r="I179" s="20" t="inlineStr">
        <is>
          <t>8.10.20</t>
        </is>
      </c>
      <c r="J179" s="20" t="n"/>
      <c r="K179" s="20" t="inlineStr">
        <is>
          <t>YES</t>
        </is>
      </c>
      <c r="L179" s="20" t="n"/>
    </row>
    <row r="180" ht="15" customHeight="1" s="17">
      <c r="A180" s="20" t="inlineStr">
        <is>
          <t>H0176</t>
        </is>
      </c>
      <c r="B180" s="20" t="inlineStr">
        <is>
          <t>NZ|SCM|F|15|50 Fly</t>
        </is>
      </c>
      <c r="C180" s="20" t="inlineStr">
        <is>
          <t>SCM</t>
        </is>
      </c>
      <c r="D180" s="20" t="inlineStr">
        <is>
          <t>Female</t>
        </is>
      </c>
      <c r="E180" s="20" t="n">
        <v>15</v>
      </c>
      <c r="F180" s="20" t="inlineStr">
        <is>
          <t>50 Fly</t>
        </is>
      </c>
      <c r="G180" s="20" t="inlineStr">
        <is>
          <t>Brearna Crawford</t>
        </is>
      </c>
      <c r="H180" s="20" t="inlineStr">
        <is>
          <t>26.86</t>
        </is>
      </c>
      <c r="I180" s="20" t="inlineStr">
        <is>
          <t>03.10.18</t>
        </is>
      </c>
      <c r="J180" s="20" t="n"/>
      <c r="K180" s="20" t="inlineStr">
        <is>
          <t>YES</t>
        </is>
      </c>
      <c r="L180" s="20" t="n"/>
    </row>
    <row r="181" ht="15" customHeight="1" s="17">
      <c r="A181" s="20" t="inlineStr">
        <is>
          <t>H0177</t>
        </is>
      </c>
      <c r="B181" s="20" t="inlineStr">
        <is>
          <t>NZ|SCM|F|15|100 Fly</t>
        </is>
      </c>
      <c r="C181" s="20" t="inlineStr">
        <is>
          <t>SCM</t>
        </is>
      </c>
      <c r="D181" s="20" t="inlineStr">
        <is>
          <t>Female</t>
        </is>
      </c>
      <c r="E181" s="20" t="n">
        <v>15</v>
      </c>
      <c r="F181" s="20" t="inlineStr">
        <is>
          <t>100 Fly</t>
        </is>
      </c>
      <c r="G181" s="20" t="inlineStr">
        <is>
          <t>Sophia Batchelor</t>
        </is>
      </c>
      <c r="H181" s="20" t="inlineStr">
        <is>
          <t>59.20</t>
        </is>
      </c>
      <c r="I181" s="20" t="inlineStr">
        <is>
          <t>29.09.10</t>
        </is>
      </c>
      <c r="J181" s="20" t="n"/>
      <c r="K181" s="20" t="inlineStr">
        <is>
          <t>YES</t>
        </is>
      </c>
      <c r="L181" s="20" t="n"/>
    </row>
    <row r="182" ht="15" customHeight="1" s="17">
      <c r="A182" s="20" t="inlineStr">
        <is>
          <t>H0178</t>
        </is>
      </c>
      <c r="B182" s="20" t="inlineStr">
        <is>
          <t>NZ|SCM|F|15|200 Fly</t>
        </is>
      </c>
      <c r="C182" s="20" t="inlineStr">
        <is>
          <t>SCM</t>
        </is>
      </c>
      <c r="D182" s="20" t="inlineStr">
        <is>
          <t>Female</t>
        </is>
      </c>
      <c r="E182" s="20" t="n">
        <v>15</v>
      </c>
      <c r="F182" s="20" t="inlineStr">
        <is>
          <t>200 Fly</t>
        </is>
      </c>
      <c r="G182" s="20" t="inlineStr">
        <is>
          <t>Yeonsu Lee</t>
        </is>
      </c>
      <c r="H182" s="20" t="inlineStr">
        <is>
          <t>2:13.72</t>
        </is>
      </c>
      <c r="I182" s="20" t="inlineStr">
        <is>
          <t>06.09.14</t>
        </is>
      </c>
      <c r="J182" s="20" t="n"/>
      <c r="K182" s="20" t="inlineStr">
        <is>
          <t>YES</t>
        </is>
      </c>
      <c r="L182" s="20" t="n"/>
    </row>
    <row r="183" ht="15" customHeight="1" s="17">
      <c r="A183" s="20" t="inlineStr">
        <is>
          <t>H0179</t>
        </is>
      </c>
      <c r="B183" s="20" t="inlineStr">
        <is>
          <t>NZ|SCM|F|15|100 IM</t>
        </is>
      </c>
      <c r="C183" s="20" t="inlineStr">
        <is>
          <t>SCM</t>
        </is>
      </c>
      <c r="D183" s="20" t="inlineStr">
        <is>
          <t>Female</t>
        </is>
      </c>
      <c r="E183" s="20" t="n">
        <v>15</v>
      </c>
      <c r="F183" s="20" t="inlineStr">
        <is>
          <t>100 IM</t>
        </is>
      </c>
      <c r="G183" s="20" t="inlineStr">
        <is>
          <t>Gabrielle Fa'amausili</t>
        </is>
      </c>
      <c r="H183" s="20" t="inlineStr">
        <is>
          <t>1:01.39</t>
        </is>
      </c>
      <c r="I183" s="20" t="inlineStr">
        <is>
          <t>13.08.15</t>
        </is>
      </c>
      <c r="J183" s="20" t="n"/>
      <c r="K183" s="20" t="inlineStr">
        <is>
          <t>YES</t>
        </is>
      </c>
      <c r="L183" s="20" t="n"/>
    </row>
    <row r="184" ht="15" customHeight="1" s="17">
      <c r="A184" s="20" t="inlineStr">
        <is>
          <t>H0180</t>
        </is>
      </c>
      <c r="B184" s="20" t="inlineStr">
        <is>
          <t>NZ|SCM|F|15|200 IM</t>
        </is>
      </c>
      <c r="C184" s="20" t="inlineStr">
        <is>
          <t>SCM</t>
        </is>
      </c>
      <c r="D184" s="20" t="inlineStr">
        <is>
          <t>Female</t>
        </is>
      </c>
      <c r="E184" s="20" t="n">
        <v>15</v>
      </c>
      <c r="F184" s="20" t="inlineStr">
        <is>
          <t>200 IM</t>
        </is>
      </c>
      <c r="G184" s="20" t="inlineStr">
        <is>
          <t>Sophia Batchelor</t>
        </is>
      </c>
      <c r="H184" s="20" t="inlineStr">
        <is>
          <t>2:14.77</t>
        </is>
      </c>
      <c r="I184" s="20" t="inlineStr">
        <is>
          <t>30.09.10</t>
        </is>
      </c>
      <c r="J184" s="20" t="n"/>
      <c r="K184" s="20" t="inlineStr">
        <is>
          <t>YES</t>
        </is>
      </c>
      <c r="L184" s="20" t="n"/>
    </row>
    <row r="185" ht="15" customHeight="1" s="17">
      <c r="A185" s="20" t="inlineStr">
        <is>
          <t>H0181</t>
        </is>
      </c>
      <c r="B185" s="20" t="inlineStr">
        <is>
          <t>NZ|SCM|F|15|400 IM</t>
        </is>
      </c>
      <c r="C185" s="20" t="inlineStr">
        <is>
          <t>SCM</t>
        </is>
      </c>
      <c r="D185" s="20" t="inlineStr">
        <is>
          <t>Female</t>
        </is>
      </c>
      <c r="E185" s="20" t="n">
        <v>15</v>
      </c>
      <c r="F185" s="20" t="inlineStr">
        <is>
          <t>400 IM</t>
        </is>
      </c>
      <c r="G185" s="20" t="inlineStr">
        <is>
          <t>Chloe Francis</t>
        </is>
      </c>
      <c r="H185" s="20" t="inlineStr">
        <is>
          <t>4:46.99</t>
        </is>
      </c>
      <c r="I185" s="20" t="inlineStr">
        <is>
          <t>30.09.08</t>
        </is>
      </c>
      <c r="J185" s="20" t="n"/>
      <c r="K185" s="20" t="inlineStr">
        <is>
          <t>YES</t>
        </is>
      </c>
      <c r="L185" s="20" t="n"/>
    </row>
    <row r="186" ht="15" customHeight="1" s="17">
      <c r="A186" s="20" t="inlineStr">
        <is>
          <t>H0182</t>
        </is>
      </c>
      <c r="B186" s="20" t="inlineStr">
        <is>
          <t>NZ|SCM|F|16|50 Free</t>
        </is>
      </c>
      <c r="C186" s="20" t="inlineStr">
        <is>
          <t>SCM</t>
        </is>
      </c>
      <c r="D186" s="20" t="inlineStr">
        <is>
          <t>Female</t>
        </is>
      </c>
      <c r="E186" s="20" t="n">
        <v>16</v>
      </c>
      <c r="F186" s="20" t="inlineStr">
        <is>
          <t>50 Free</t>
        </is>
      </c>
      <c r="G186" s="20" t="inlineStr">
        <is>
          <t>Gabrielle Fa'amausili / Laura Littlejohn</t>
        </is>
      </c>
      <c r="H186" s="20" t="inlineStr">
        <is>
          <t>24.85</t>
        </is>
      </c>
      <c r="I186" s="20" t="inlineStr">
        <is>
          <t>04.10.16 / 08.10.20</t>
        </is>
      </c>
      <c r="J186" s="20" t="n"/>
      <c r="K186" s="20" t="inlineStr">
        <is>
          <t>YES</t>
        </is>
      </c>
      <c r="L186" s="20" t="n"/>
    </row>
    <row r="187" ht="15" customHeight="1" s="17">
      <c r="A187" s="20" t="inlineStr">
        <is>
          <t>H0183</t>
        </is>
      </c>
      <c r="B187" s="20" t="inlineStr">
        <is>
          <t>NZ|SCM|F|16|100 Free</t>
        </is>
      </c>
      <c r="C187" s="20" t="inlineStr">
        <is>
          <t>SCM</t>
        </is>
      </c>
      <c r="D187" s="20" t="inlineStr">
        <is>
          <t>Female</t>
        </is>
      </c>
      <c r="E187" s="20" t="n">
        <v>16</v>
      </c>
      <c r="F187" s="20" t="inlineStr">
        <is>
          <t>100 Free</t>
        </is>
      </c>
      <c r="G187" s="20" t="inlineStr">
        <is>
          <t>Laura Littlejohn</t>
        </is>
      </c>
      <c r="H187" s="20" t="inlineStr">
        <is>
          <t>53.92</t>
        </is>
      </c>
      <c r="I187" s="20" t="inlineStr">
        <is>
          <t>15.10.20</t>
        </is>
      </c>
      <c r="J187" s="20" t="n"/>
      <c r="K187" s="20" t="inlineStr">
        <is>
          <t>YES</t>
        </is>
      </c>
      <c r="L187" s="20" t="n"/>
    </row>
    <row r="188" ht="15" customHeight="1" s="17">
      <c r="A188" s="20" t="inlineStr">
        <is>
          <t>H0184</t>
        </is>
      </c>
      <c r="B188" s="20" t="inlineStr">
        <is>
          <t>NZ|SCM|F|16|200 Free</t>
        </is>
      </c>
      <c r="C188" s="20" t="inlineStr">
        <is>
          <t>SCM</t>
        </is>
      </c>
      <c r="D188" s="20" t="inlineStr">
        <is>
          <t>Female</t>
        </is>
      </c>
      <c r="E188" s="20" t="n">
        <v>16</v>
      </c>
      <c r="F188" s="20" t="inlineStr">
        <is>
          <t>200 Free</t>
        </is>
      </c>
      <c r="G188" s="20" t="inlineStr">
        <is>
          <t>Erika Fairweather</t>
        </is>
      </c>
      <c r="H188" s="20" t="inlineStr">
        <is>
          <t>1:55.23</t>
        </is>
      </c>
      <c r="I188" s="20" t="inlineStr">
        <is>
          <t>09.10.20</t>
        </is>
      </c>
      <c r="J188" s="20" t="n"/>
      <c r="K188" s="20" t="inlineStr">
        <is>
          <t>YES</t>
        </is>
      </c>
      <c r="L188" s="20" t="n"/>
    </row>
    <row r="189" ht="15" customHeight="1" s="17">
      <c r="A189" s="20" t="inlineStr">
        <is>
          <t>H0185</t>
        </is>
      </c>
      <c r="B189" s="20" t="inlineStr">
        <is>
          <t>NZ|SCM|F|16|400 Free</t>
        </is>
      </c>
      <c r="C189" s="20" t="inlineStr">
        <is>
          <t>SCM</t>
        </is>
      </c>
      <c r="D189" s="20" t="inlineStr">
        <is>
          <t>Female</t>
        </is>
      </c>
      <c r="E189" s="20" t="n">
        <v>16</v>
      </c>
      <c r="F189" s="20" t="inlineStr">
        <is>
          <t>400 Free</t>
        </is>
      </c>
      <c r="G189" s="20" t="inlineStr">
        <is>
          <t>Erika Fairweather</t>
        </is>
      </c>
      <c r="H189" s="20" t="inlineStr">
        <is>
          <t>4:02.62</t>
        </is>
      </c>
      <c r="I189" s="20" t="inlineStr">
        <is>
          <t>15.10.20</t>
        </is>
      </c>
      <c r="J189" s="20" t="n"/>
      <c r="K189" s="20" t="inlineStr">
        <is>
          <t>YES</t>
        </is>
      </c>
      <c r="L189" s="20" t="n"/>
    </row>
    <row r="190" ht="15" customHeight="1" s="17">
      <c r="A190" s="20" t="inlineStr">
        <is>
          <t>H0186</t>
        </is>
      </c>
      <c r="B190" s="20" t="inlineStr">
        <is>
          <t>NZ|SCM|F|16|800 Free</t>
        </is>
      </c>
      <c r="C190" s="20" t="inlineStr">
        <is>
          <t>SCM</t>
        </is>
      </c>
      <c r="D190" s="20" t="inlineStr">
        <is>
          <t>Female</t>
        </is>
      </c>
      <c r="E190" s="20" t="n">
        <v>16</v>
      </c>
      <c r="F190" s="20" t="inlineStr">
        <is>
          <t>800 Free</t>
        </is>
      </c>
      <c r="G190" s="20" t="inlineStr">
        <is>
          <t>Erika Fairweather</t>
        </is>
      </c>
      <c r="H190" s="20" t="inlineStr">
        <is>
          <t>8:25.61</t>
        </is>
      </c>
      <c r="I190" s="20" t="inlineStr">
        <is>
          <t>10.10.20</t>
        </is>
      </c>
      <c r="J190" s="20" t="n"/>
      <c r="K190" s="20" t="inlineStr">
        <is>
          <t>YES</t>
        </is>
      </c>
      <c r="L190" s="20" t="n"/>
    </row>
    <row r="191" ht="15" customHeight="1" s="17">
      <c r="A191" s="20" t="inlineStr">
        <is>
          <t>H0187</t>
        </is>
      </c>
      <c r="B191" s="20" t="inlineStr">
        <is>
          <t>NZ|SCM|F|16|1500 Free</t>
        </is>
      </c>
      <c r="C191" s="20" t="inlineStr">
        <is>
          <t>SCM</t>
        </is>
      </c>
      <c r="D191" s="20" t="inlineStr">
        <is>
          <t>Female</t>
        </is>
      </c>
      <c r="E191" s="20" t="n">
        <v>16</v>
      </c>
      <c r="F191" s="20" t="inlineStr">
        <is>
          <t>1500 Free</t>
        </is>
      </c>
      <c r="G191" s="20" t="inlineStr">
        <is>
          <t>Keira-Lee Allott</t>
        </is>
      </c>
      <c r="H191" s="20" t="inlineStr">
        <is>
          <t>16:33.67</t>
        </is>
      </c>
      <c r="I191" s="20" t="inlineStr">
        <is>
          <t>11.07.21</t>
        </is>
      </c>
      <c r="J191" s="20" t="n"/>
      <c r="K191" s="20" t="inlineStr">
        <is>
          <t>YES</t>
        </is>
      </c>
      <c r="L191" s="20" t="n"/>
    </row>
    <row r="192" ht="15" customHeight="1" s="17">
      <c r="A192" s="20" t="inlineStr">
        <is>
          <t>H0188</t>
        </is>
      </c>
      <c r="B192" s="20" t="inlineStr">
        <is>
          <t>NZ|SCM|F|16|50 Back</t>
        </is>
      </c>
      <c r="C192" s="20" t="inlineStr">
        <is>
          <t>SCM</t>
        </is>
      </c>
      <c r="D192" s="20" t="inlineStr">
        <is>
          <t>Female</t>
        </is>
      </c>
      <c r="E192" s="20" t="n">
        <v>16</v>
      </c>
      <c r="F192" s="20" t="inlineStr">
        <is>
          <t>50 Back</t>
        </is>
      </c>
      <c r="G192" s="20" t="inlineStr">
        <is>
          <t>Milan Glintmeyer</t>
        </is>
      </c>
      <c r="H192" s="20" t="inlineStr">
        <is>
          <t>27.58</t>
        </is>
      </c>
      <c r="I192" s="20" t="inlineStr">
        <is>
          <t>26.07.25</t>
        </is>
      </c>
      <c r="J192" s="20" t="n"/>
      <c r="K192" s="20" t="inlineStr">
        <is>
          <t>YES</t>
        </is>
      </c>
      <c r="L192" s="20" t="n"/>
    </row>
    <row r="193" ht="15" customHeight="1" s="17">
      <c r="A193" s="20" t="inlineStr">
        <is>
          <t>H0189</t>
        </is>
      </c>
      <c r="B193" s="20" t="inlineStr">
        <is>
          <t>NZ|SCM|F|16|100 Back</t>
        </is>
      </c>
      <c r="C193" s="20" t="inlineStr">
        <is>
          <t>SCM</t>
        </is>
      </c>
      <c r="D193" s="20" t="inlineStr">
        <is>
          <t>Female</t>
        </is>
      </c>
      <c r="E193" s="20" t="n">
        <v>16</v>
      </c>
      <c r="F193" s="20" t="inlineStr">
        <is>
          <t>100 Back</t>
        </is>
      </c>
      <c r="G193" s="20" t="inlineStr">
        <is>
          <t>Milan Glintmeyer</t>
        </is>
      </c>
      <c r="H193" s="20" t="inlineStr">
        <is>
          <t>59.38</t>
        </is>
      </c>
      <c r="I193" s="20" t="inlineStr">
        <is>
          <t>25.07.25</t>
        </is>
      </c>
      <c r="J193" s="20" t="n"/>
      <c r="K193" s="20" t="inlineStr">
        <is>
          <t>YES</t>
        </is>
      </c>
      <c r="L193" s="20" t="n"/>
    </row>
    <row r="194" ht="15" customHeight="1" s="17">
      <c r="A194" s="20" t="inlineStr">
        <is>
          <t>H0190</t>
        </is>
      </c>
      <c r="B194" s="20" t="inlineStr">
        <is>
          <t>NZ|SCM|F|16|200 Back</t>
        </is>
      </c>
      <c r="C194" s="20" t="inlineStr">
        <is>
          <t>SCM</t>
        </is>
      </c>
      <c r="D194" s="20" t="inlineStr">
        <is>
          <t>Female</t>
        </is>
      </c>
      <c r="E194" s="20" t="n">
        <v>16</v>
      </c>
      <c r="F194" s="20" t="inlineStr">
        <is>
          <t>200 Back</t>
        </is>
      </c>
      <c r="G194" s="20" t="inlineStr">
        <is>
          <t>Sophia Batchelor</t>
        </is>
      </c>
      <c r="H194" s="20" t="inlineStr">
        <is>
          <t>2:07.53</t>
        </is>
      </c>
      <c r="I194" s="20" t="inlineStr">
        <is>
          <t>09.08.11</t>
        </is>
      </c>
      <c r="J194" s="20" t="n"/>
      <c r="K194" s="20" t="inlineStr">
        <is>
          <t>YES</t>
        </is>
      </c>
      <c r="L194" s="20" t="n"/>
    </row>
    <row r="195" ht="15" customHeight="1" s="17">
      <c r="A195" s="20" t="inlineStr">
        <is>
          <t>H0191</t>
        </is>
      </c>
      <c r="B195" s="20" t="inlineStr">
        <is>
          <t>NZ|SCM|F|16|50 Breast</t>
        </is>
      </c>
      <c r="C195" s="20" t="inlineStr">
        <is>
          <t>SCM</t>
        </is>
      </c>
      <c r="D195" s="20" t="inlineStr">
        <is>
          <t>Female</t>
        </is>
      </c>
      <c r="E195" s="20" t="n">
        <v>16</v>
      </c>
      <c r="F195" s="20" t="inlineStr">
        <is>
          <t>50 Breast</t>
        </is>
      </c>
      <c r="G195" s="20" t="inlineStr">
        <is>
          <t>Monique Wieruszowski</t>
        </is>
      </c>
      <c r="H195" s="20" t="inlineStr">
        <is>
          <t>30.69</t>
        </is>
      </c>
      <c r="I195" s="20" t="inlineStr">
        <is>
          <t>10.08.23</t>
        </is>
      </c>
      <c r="J195" s="20" t="n"/>
      <c r="K195" s="20" t="inlineStr">
        <is>
          <t>YES</t>
        </is>
      </c>
      <c r="L195" s="20" t="n"/>
    </row>
    <row r="196" ht="15" customHeight="1" s="17">
      <c r="A196" s="20" t="inlineStr">
        <is>
          <t>H0192</t>
        </is>
      </c>
      <c r="B196" s="20" t="inlineStr">
        <is>
          <t>NZ|SCM|F|16|100 Breast</t>
        </is>
      </c>
      <c r="C196" s="20" t="inlineStr">
        <is>
          <t>SCM</t>
        </is>
      </c>
      <c r="D196" s="20" t="inlineStr">
        <is>
          <t>Female</t>
        </is>
      </c>
      <c r="E196" s="20" t="n">
        <v>16</v>
      </c>
      <c r="F196" s="20" t="inlineStr">
        <is>
          <t>100 Breast</t>
        </is>
      </c>
      <c r="G196" s="20" t="inlineStr">
        <is>
          <t>Brearna Crawford</t>
        </is>
      </c>
      <c r="H196" s="20" t="inlineStr">
        <is>
          <t>1:07.14</t>
        </is>
      </c>
      <c r="I196" s="20" t="inlineStr">
        <is>
          <t>06.07.19</t>
        </is>
      </c>
      <c r="J196" s="20" t="n"/>
      <c r="K196" s="20" t="inlineStr">
        <is>
          <t>YES</t>
        </is>
      </c>
      <c r="L196" s="20" t="n"/>
    </row>
    <row r="197" ht="15" customHeight="1" s="17">
      <c r="A197" s="20" t="inlineStr">
        <is>
          <t>H0193</t>
        </is>
      </c>
      <c r="B197" s="20" t="inlineStr">
        <is>
          <t>NZ|SCM|F|16|200 Breast</t>
        </is>
      </c>
      <c r="C197" s="20" t="inlineStr">
        <is>
          <t>SCM</t>
        </is>
      </c>
      <c r="D197" s="20" t="inlineStr">
        <is>
          <t>Female</t>
        </is>
      </c>
      <c r="E197" s="20" t="n">
        <v>16</v>
      </c>
      <c r="F197" s="20" t="inlineStr">
        <is>
          <t>200 Breast</t>
        </is>
      </c>
      <c r="G197" s="20" t="inlineStr">
        <is>
          <t>Ciara Smith</t>
        </is>
      </c>
      <c r="H197" s="20" t="inlineStr">
        <is>
          <t>2:25.82</t>
        </is>
      </c>
      <c r="I197" s="20" t="inlineStr">
        <is>
          <t>05.10.17</t>
        </is>
      </c>
      <c r="J197" s="20" t="n"/>
      <c r="K197" s="20" t="inlineStr">
        <is>
          <t>YES</t>
        </is>
      </c>
      <c r="L197" s="20" t="n"/>
    </row>
    <row r="198" ht="15" customHeight="1" s="17">
      <c r="A198" s="20" t="inlineStr">
        <is>
          <t>H0194</t>
        </is>
      </c>
      <c r="B198" s="20" t="inlineStr">
        <is>
          <t>NZ|SCM|F|16|50 Fly</t>
        </is>
      </c>
      <c r="C198" s="20" t="inlineStr">
        <is>
          <t>SCM</t>
        </is>
      </c>
      <c r="D198" s="20" t="inlineStr">
        <is>
          <t>Female</t>
        </is>
      </c>
      <c r="E198" s="20" t="n">
        <v>16</v>
      </c>
      <c r="F198" s="20" t="inlineStr">
        <is>
          <t>50 Fly</t>
        </is>
      </c>
      <c r="G198" s="20" t="inlineStr">
        <is>
          <t>Brearna Crawford</t>
        </is>
      </c>
      <c r="H198" s="20" t="inlineStr">
        <is>
          <t>26.43</t>
        </is>
      </c>
      <c r="I198" s="20" t="inlineStr">
        <is>
          <t>01.10.19</t>
        </is>
      </c>
      <c r="J198" s="20" t="n"/>
      <c r="K198" s="20" t="inlineStr">
        <is>
          <t>YES</t>
        </is>
      </c>
      <c r="L198" s="20" t="n"/>
    </row>
    <row r="199" ht="15" customHeight="1" s="17">
      <c r="A199" s="20" t="inlineStr">
        <is>
          <t>H0195</t>
        </is>
      </c>
      <c r="B199" s="20" t="inlineStr">
        <is>
          <t>NZ|SCM|F|16|100 Fly</t>
        </is>
      </c>
      <c r="C199" s="20" t="inlineStr">
        <is>
          <t>SCM</t>
        </is>
      </c>
      <c r="D199" s="20" t="inlineStr">
        <is>
          <t>Female</t>
        </is>
      </c>
      <c r="E199" s="20" t="n">
        <v>16</v>
      </c>
      <c r="F199" s="20" t="inlineStr">
        <is>
          <t>100 Fly</t>
        </is>
      </c>
      <c r="G199" s="20" t="inlineStr">
        <is>
          <t>Sophia Batchelor</t>
        </is>
      </c>
      <c r="H199" s="20" t="inlineStr">
        <is>
          <t>58.63</t>
        </is>
      </c>
      <c r="I199" s="20" t="inlineStr">
        <is>
          <t>11.09.11</t>
        </is>
      </c>
      <c r="J199" s="20" t="n"/>
      <c r="K199" s="20" t="inlineStr">
        <is>
          <t>YES</t>
        </is>
      </c>
      <c r="L199" s="20" t="n"/>
    </row>
    <row r="200" ht="15" customHeight="1" s="17">
      <c r="A200" s="20" t="inlineStr">
        <is>
          <t>H0196</t>
        </is>
      </c>
      <c r="B200" s="20" t="inlineStr">
        <is>
          <t>NZ|SCM|F|16|200 Fly</t>
        </is>
      </c>
      <c r="C200" s="20" t="inlineStr">
        <is>
          <t>SCM</t>
        </is>
      </c>
      <c r="D200" s="20" t="inlineStr">
        <is>
          <t>Female</t>
        </is>
      </c>
      <c r="E200" s="20" t="n">
        <v>16</v>
      </c>
      <c r="F200" s="20" t="inlineStr">
        <is>
          <t>200 Fly</t>
        </is>
      </c>
      <c r="G200" s="20" t="inlineStr">
        <is>
          <t>Samantha Lee</t>
        </is>
      </c>
      <c r="H200" s="20" t="inlineStr">
        <is>
          <t>2:12.58</t>
        </is>
      </c>
      <c r="I200" s="20" t="inlineStr">
        <is>
          <t>28.09.08</t>
        </is>
      </c>
      <c r="J200" s="20" t="n"/>
      <c r="K200" s="20" t="inlineStr">
        <is>
          <t>YES</t>
        </is>
      </c>
      <c r="L200" s="20" t="n"/>
    </row>
    <row r="201" ht="15" customHeight="1" s="17">
      <c r="A201" s="20" t="inlineStr">
        <is>
          <t>H0197</t>
        </is>
      </c>
      <c r="B201" s="20" t="inlineStr">
        <is>
          <t>NZ|SCM|F|16|100 IM</t>
        </is>
      </c>
      <c r="C201" s="20" t="inlineStr">
        <is>
          <t>SCM</t>
        </is>
      </c>
      <c r="D201" s="20" t="inlineStr">
        <is>
          <t>Female</t>
        </is>
      </c>
      <c r="E201" s="20" t="n">
        <v>16</v>
      </c>
      <c r="F201" s="20" t="inlineStr">
        <is>
          <t>100 IM</t>
        </is>
      </c>
      <c r="G201" s="20" t="inlineStr">
        <is>
          <t>Laura Littlejohn</t>
        </is>
      </c>
      <c r="H201" s="20" t="inlineStr">
        <is>
          <t>1:01.04</t>
        </is>
      </c>
      <c r="I201" s="20" t="inlineStr">
        <is>
          <t>08.10.20</t>
        </is>
      </c>
      <c r="J201" s="20" t="n"/>
      <c r="K201" s="20" t="inlineStr">
        <is>
          <t>YES</t>
        </is>
      </c>
      <c r="L201" s="20" t="n"/>
    </row>
    <row r="202" ht="15" customHeight="1" s="17">
      <c r="A202" s="20" t="inlineStr">
        <is>
          <t>H0198</t>
        </is>
      </c>
      <c r="B202" s="20" t="inlineStr">
        <is>
          <t>NZ|SCM|F|16|200 IM</t>
        </is>
      </c>
      <c r="C202" s="20" t="inlineStr">
        <is>
          <t>SCM</t>
        </is>
      </c>
      <c r="D202" s="20" t="inlineStr">
        <is>
          <t>Female</t>
        </is>
      </c>
      <c r="E202" s="20" t="n">
        <v>16</v>
      </c>
      <c r="F202" s="20" t="inlineStr">
        <is>
          <t>200 IM</t>
        </is>
      </c>
      <c r="G202" s="20" t="inlineStr">
        <is>
          <t>Laura Littlejohn</t>
        </is>
      </c>
      <c r="H202" s="20" t="inlineStr">
        <is>
          <t>2:12.85</t>
        </is>
      </c>
      <c r="I202" s="20" t="inlineStr">
        <is>
          <t>03.07.21</t>
        </is>
      </c>
      <c r="J202" s="20" t="n"/>
      <c r="K202" s="20" t="inlineStr">
        <is>
          <t>YES</t>
        </is>
      </c>
      <c r="L202" s="20" t="n"/>
    </row>
    <row r="203" ht="15" customHeight="1" s="17">
      <c r="A203" s="20" t="inlineStr">
        <is>
          <t>H0199</t>
        </is>
      </c>
      <c r="B203" s="20" t="inlineStr">
        <is>
          <t>NZ|SCM|F|16|400 IM</t>
        </is>
      </c>
      <c r="C203" s="20" t="inlineStr">
        <is>
          <t>SCM</t>
        </is>
      </c>
      <c r="D203" s="20" t="inlineStr">
        <is>
          <t>Female</t>
        </is>
      </c>
      <c r="E203" s="20" t="n">
        <v>16</v>
      </c>
      <c r="F203" s="20" t="inlineStr">
        <is>
          <t>400 IM</t>
        </is>
      </c>
      <c r="G203" s="20" t="inlineStr">
        <is>
          <t>Mya Rasmussen</t>
        </is>
      </c>
      <c r="H203" s="20" t="inlineStr">
        <is>
          <t>4:39.95</t>
        </is>
      </c>
      <c r="I203" s="20" t="inlineStr">
        <is>
          <t>14.08.16</t>
        </is>
      </c>
      <c r="J203" s="20" t="n"/>
      <c r="K203" s="20" t="inlineStr">
        <is>
          <t>YES</t>
        </is>
      </c>
      <c r="L203" s="20" t="n"/>
    </row>
    <row r="204" ht="15" customHeight="1" s="17">
      <c r="A204" s="20" t="inlineStr">
        <is>
          <t>H0200</t>
        </is>
      </c>
      <c r="B204" s="20" t="inlineStr">
        <is>
          <t>NZ|SCM|F|17|50 Free</t>
        </is>
      </c>
      <c r="C204" s="20" t="inlineStr">
        <is>
          <t>SCM</t>
        </is>
      </c>
      <c r="D204" s="20" t="inlineStr">
        <is>
          <t>Female</t>
        </is>
      </c>
      <c r="E204" s="20" t="n">
        <v>17</v>
      </c>
      <c r="F204" s="20" t="inlineStr">
        <is>
          <t>50 Free</t>
        </is>
      </c>
      <c r="G204" s="20" t="inlineStr">
        <is>
          <t>Zoe Pedersen</t>
        </is>
      </c>
      <c r="H204" s="20" t="inlineStr">
        <is>
          <t>24.80</t>
        </is>
      </c>
      <c r="I204" s="20" t="inlineStr">
        <is>
          <t>14.12.24</t>
        </is>
      </c>
      <c r="J204" s="20" t="n"/>
      <c r="K204" s="20" t="inlineStr">
        <is>
          <t>YES</t>
        </is>
      </c>
      <c r="L204" s="20" t="n"/>
    </row>
    <row r="205" ht="15" customHeight="1" s="17">
      <c r="A205" s="20" t="inlineStr">
        <is>
          <t>H0201</t>
        </is>
      </c>
      <c r="B205" s="20" t="inlineStr">
        <is>
          <t>NZ|SCM|F|17|100 Free</t>
        </is>
      </c>
      <c r="C205" s="20" t="inlineStr">
        <is>
          <t>SCM</t>
        </is>
      </c>
      <c r="D205" s="20" t="inlineStr">
        <is>
          <t>Female</t>
        </is>
      </c>
      <c r="E205" s="20" t="n">
        <v>17</v>
      </c>
      <c r="F205" s="20" t="inlineStr">
        <is>
          <t>100 Free</t>
        </is>
      </c>
      <c r="G205" s="20" t="inlineStr">
        <is>
          <t>Zoe Pedersen</t>
        </is>
      </c>
      <c r="H205" s="20" t="inlineStr">
        <is>
          <t>53.86</t>
        </is>
      </c>
      <c r="I205" s="20" t="inlineStr">
        <is>
          <t>11.12.24</t>
        </is>
      </c>
      <c r="J205" s="20" t="n"/>
      <c r="K205" s="20" t="inlineStr">
        <is>
          <t>YES</t>
        </is>
      </c>
      <c r="L205" s="20" t="n"/>
    </row>
    <row r="206" ht="15" customHeight="1" s="17">
      <c r="A206" s="20" t="inlineStr">
        <is>
          <t>H0202</t>
        </is>
      </c>
      <c r="B206" s="20" t="inlineStr">
        <is>
          <t>NZ|SCM|F|17|200 Free</t>
        </is>
      </c>
      <c r="C206" s="20" t="inlineStr">
        <is>
          <t>SCM</t>
        </is>
      </c>
      <c r="D206" s="20" t="inlineStr">
        <is>
          <t>Female</t>
        </is>
      </c>
      <c r="E206" s="20" t="n">
        <v>17</v>
      </c>
      <c r="F206" s="20" t="inlineStr">
        <is>
          <t>200 Free</t>
        </is>
      </c>
      <c r="G206" s="20" t="inlineStr">
        <is>
          <t>Erika Fairweather</t>
        </is>
      </c>
      <c r="H206" s="20" t="inlineStr">
        <is>
          <t>1:55.66</t>
        </is>
      </c>
      <c r="I206" s="20" t="inlineStr">
        <is>
          <t>04.07.21</t>
        </is>
      </c>
      <c r="J206" s="20" t="n"/>
      <c r="K206" s="20" t="inlineStr">
        <is>
          <t>YES</t>
        </is>
      </c>
      <c r="L206" s="20" t="n"/>
    </row>
    <row r="207" ht="15" customHeight="1" s="17">
      <c r="A207" s="20" t="inlineStr">
        <is>
          <t>H0203</t>
        </is>
      </c>
      <c r="B207" s="20" t="inlineStr">
        <is>
          <t>NZ|SCM|F|17|400 Free</t>
        </is>
      </c>
      <c r="C207" s="20" t="inlineStr">
        <is>
          <t>SCM</t>
        </is>
      </c>
      <c r="D207" s="20" t="inlineStr">
        <is>
          <t>Female</t>
        </is>
      </c>
      <c r="E207" s="20" t="n">
        <v>17</v>
      </c>
      <c r="F207" s="20" t="inlineStr">
        <is>
          <t>400 Free</t>
        </is>
      </c>
      <c r="G207" s="20" t="inlineStr">
        <is>
          <t>Erika Fairweather</t>
        </is>
      </c>
      <c r="H207" s="20" t="inlineStr">
        <is>
          <t>4:02.01</t>
        </is>
      </c>
      <c r="I207" s="20" t="inlineStr">
        <is>
          <t>03.07.21</t>
        </is>
      </c>
      <c r="J207" s="20" t="n"/>
      <c r="K207" s="20" t="inlineStr">
        <is>
          <t>YES</t>
        </is>
      </c>
      <c r="L207" s="20" t="n"/>
    </row>
    <row r="208" ht="15" customHeight="1" s="17">
      <c r="A208" s="20" t="inlineStr">
        <is>
          <t>H0204</t>
        </is>
      </c>
      <c r="B208" s="20" t="inlineStr">
        <is>
          <t>NZ|SCM|F|17|800 Free</t>
        </is>
      </c>
      <c r="C208" s="20" t="inlineStr">
        <is>
          <t>SCM</t>
        </is>
      </c>
      <c r="D208" s="20" t="inlineStr">
        <is>
          <t>Female</t>
        </is>
      </c>
      <c r="E208" s="20" t="n">
        <v>17</v>
      </c>
      <c r="F208" s="20" t="inlineStr">
        <is>
          <t>800 Free</t>
        </is>
      </c>
      <c r="G208" s="20" t="inlineStr">
        <is>
          <t>Tabitha Baumann</t>
        </is>
      </c>
      <c r="H208" s="20" t="inlineStr">
        <is>
          <t>8:30.22</t>
        </is>
      </c>
      <c r="I208" s="20" t="inlineStr">
        <is>
          <t>01.10.12</t>
        </is>
      </c>
      <c r="J208" s="20" t="n"/>
      <c r="K208" s="20" t="inlineStr">
        <is>
          <t>YES</t>
        </is>
      </c>
      <c r="L208" s="20" t="n"/>
    </row>
    <row r="209" ht="15" customHeight="1" s="17">
      <c r="A209" s="20" t="inlineStr">
        <is>
          <t>H0205</t>
        </is>
      </c>
      <c r="B209" s="20" t="inlineStr">
        <is>
          <t>NZ|SCM|F|17|1500 Free</t>
        </is>
      </c>
      <c r="C209" s="20" t="inlineStr">
        <is>
          <t>SCM</t>
        </is>
      </c>
      <c r="D209" s="20" t="inlineStr">
        <is>
          <t>Female</t>
        </is>
      </c>
      <c r="E209" s="20" t="n">
        <v>17</v>
      </c>
      <c r="F209" s="20" t="inlineStr">
        <is>
          <t>1500 Free</t>
        </is>
      </c>
      <c r="G209" s="20" t="inlineStr">
        <is>
          <t>Tabitha Baumann</t>
        </is>
      </c>
      <c r="H209" s="20" t="inlineStr">
        <is>
          <t>16:09.14</t>
        </is>
      </c>
      <c r="I209" s="20" t="inlineStr">
        <is>
          <t>02.09.12</t>
        </is>
      </c>
      <c r="J209" s="20" t="n"/>
      <c r="K209" s="20" t="inlineStr">
        <is>
          <t>YES</t>
        </is>
      </c>
      <c r="L209" s="20" t="n"/>
    </row>
    <row r="210" ht="15" customHeight="1" s="17">
      <c r="A210" s="20" t="inlineStr">
        <is>
          <t>H0206</t>
        </is>
      </c>
      <c r="B210" s="20" t="inlineStr">
        <is>
          <t>NZ|SCM|F|17|50 Back</t>
        </is>
      </c>
      <c r="C210" s="20" t="inlineStr">
        <is>
          <t>SCM</t>
        </is>
      </c>
      <c r="D210" s="20" t="inlineStr">
        <is>
          <t>Female</t>
        </is>
      </c>
      <c r="E210" s="20" t="n">
        <v>17</v>
      </c>
      <c r="F210" s="20" t="inlineStr">
        <is>
          <t>50 Back</t>
        </is>
      </c>
      <c r="G210" s="20" t="inlineStr">
        <is>
          <t>Milan Glintmeyer</t>
        </is>
      </c>
      <c r="H210" s="20" t="inlineStr">
        <is>
          <t>27.43</t>
        </is>
      </c>
      <c r="I210" s="20" t="inlineStr">
        <is>
          <t>24.09.25</t>
        </is>
      </c>
      <c r="J210" s="20" t="n"/>
      <c r="K210" s="20" t="inlineStr">
        <is>
          <t>YES</t>
        </is>
      </c>
      <c r="L210" s="20" t="n"/>
    </row>
    <row r="211" ht="15" customHeight="1" s="17">
      <c r="A211" s="20" t="inlineStr">
        <is>
          <t>H0207</t>
        </is>
      </c>
      <c r="B211" s="20" t="inlineStr">
        <is>
          <t>NZ|SCM|F|17|100 Back</t>
        </is>
      </c>
      <c r="C211" s="20" t="inlineStr">
        <is>
          <t>SCM</t>
        </is>
      </c>
      <c r="D211" s="20" t="inlineStr">
        <is>
          <t>Female</t>
        </is>
      </c>
      <c r="E211" s="20" t="n">
        <v>17</v>
      </c>
      <c r="F211" s="20" t="inlineStr">
        <is>
          <t>100 Back</t>
        </is>
      </c>
      <c r="G211" s="20" t="inlineStr">
        <is>
          <t>Milan Glintmeyer</t>
        </is>
      </c>
      <c r="H211" s="20" t="inlineStr">
        <is>
          <t>57.92</t>
        </is>
      </c>
      <c r="I211" s="20" t="inlineStr">
        <is>
          <t>31.07.26</t>
        </is>
      </c>
      <c r="J211" s="20" t="n"/>
      <c r="K211" s="20" t="inlineStr">
        <is>
          <t>YES</t>
        </is>
      </c>
      <c r="L211" s="20" t="n"/>
    </row>
    <row r="212" ht="15" customHeight="1" s="17">
      <c r="A212" s="20" t="inlineStr">
        <is>
          <t>H0208</t>
        </is>
      </c>
      <c r="B212" s="20" t="inlineStr">
        <is>
          <t>NZ|SCM|F|17|200 Back</t>
        </is>
      </c>
      <c r="C212" s="20" t="inlineStr">
        <is>
          <t>SCM</t>
        </is>
      </c>
      <c r="D212" s="20" t="inlineStr">
        <is>
          <t>Female</t>
        </is>
      </c>
      <c r="E212" s="20" t="n">
        <v>17</v>
      </c>
      <c r="F212" s="20" t="inlineStr">
        <is>
          <t>200 Back</t>
        </is>
      </c>
      <c r="G212" s="20" t="inlineStr">
        <is>
          <t>Sophia Batchelor</t>
        </is>
      </c>
      <c r="H212" s="20" t="inlineStr">
        <is>
          <t>2:04.13</t>
        </is>
      </c>
      <c r="I212" s="20" t="inlineStr">
        <is>
          <t>02.10.12</t>
        </is>
      </c>
      <c r="J212" s="20" t="n"/>
      <c r="K212" s="20" t="inlineStr">
        <is>
          <t>YES</t>
        </is>
      </c>
      <c r="L212" s="20" t="n"/>
    </row>
    <row r="213" ht="15" customHeight="1" s="17">
      <c r="A213" s="20" t="inlineStr">
        <is>
          <t>H0209</t>
        </is>
      </c>
      <c r="B213" s="20" t="inlineStr">
        <is>
          <t>NZ|SCM|F|17|50 Breast</t>
        </is>
      </c>
      <c r="C213" s="20" t="inlineStr">
        <is>
          <t>SCM</t>
        </is>
      </c>
      <c r="D213" s="20" t="inlineStr">
        <is>
          <t>Female</t>
        </is>
      </c>
      <c r="E213" s="20" t="n">
        <v>17</v>
      </c>
      <c r="F213" s="20" t="inlineStr">
        <is>
          <t>50 Breast</t>
        </is>
      </c>
      <c r="G213" s="20" t="inlineStr">
        <is>
          <t>Monique Wieruszowski</t>
        </is>
      </c>
      <c r="H213" s="20" t="inlineStr">
        <is>
          <t>30.44</t>
        </is>
      </c>
      <c r="I213" s="20" t="inlineStr">
        <is>
          <t>26.07.24</t>
        </is>
      </c>
      <c r="J213" s="20" t="n"/>
      <c r="K213" s="20" t="inlineStr">
        <is>
          <t>YES</t>
        </is>
      </c>
      <c r="L213" s="20" t="n"/>
    </row>
    <row r="214" ht="15" customHeight="1" s="17">
      <c r="A214" s="20" t="inlineStr">
        <is>
          <t>H0210</t>
        </is>
      </c>
      <c r="B214" s="20" t="inlineStr">
        <is>
          <t>NZ|SCM|F|17|100 Breast</t>
        </is>
      </c>
      <c r="C214" s="20" t="inlineStr">
        <is>
          <t>SCM</t>
        </is>
      </c>
      <c r="D214" s="20" t="inlineStr">
        <is>
          <t>Female</t>
        </is>
      </c>
      <c r="E214" s="20" t="n">
        <v>17</v>
      </c>
      <c r="F214" s="20" t="inlineStr">
        <is>
          <t>100 Breast</t>
        </is>
      </c>
      <c r="G214" s="20" t="inlineStr">
        <is>
          <t>Brearna Crawford</t>
        </is>
      </c>
      <c r="H214" s="20" t="inlineStr">
        <is>
          <t>1:06.60</t>
        </is>
      </c>
      <c r="I214" s="20" t="inlineStr">
        <is>
          <t>06.10.20</t>
        </is>
      </c>
      <c r="J214" s="20" t="n"/>
      <c r="K214" s="20" t="inlineStr">
        <is>
          <t>YES</t>
        </is>
      </c>
      <c r="L214" s="20" t="n"/>
    </row>
    <row r="215" ht="15" customHeight="1" s="17">
      <c r="A215" s="20" t="inlineStr">
        <is>
          <t>H0211</t>
        </is>
      </c>
      <c r="B215" s="20" t="inlineStr">
        <is>
          <t>NZ|SCM|F|17|200 Breast</t>
        </is>
      </c>
      <c r="C215" s="20" t="inlineStr">
        <is>
          <t>SCM</t>
        </is>
      </c>
      <c r="D215" s="20" t="inlineStr">
        <is>
          <t>Female</t>
        </is>
      </c>
      <c r="E215" s="20" t="n">
        <v>17</v>
      </c>
      <c r="F215" s="20" t="inlineStr">
        <is>
          <t>200 Breast</t>
        </is>
      </c>
      <c r="G215" s="20" t="inlineStr">
        <is>
          <t>Ciara Smith</t>
        </is>
      </c>
      <c r="H215" s="20" t="inlineStr">
        <is>
          <t>2:25.17</t>
        </is>
      </c>
      <c r="I215" s="20" t="inlineStr">
        <is>
          <t>04.10.18</t>
        </is>
      </c>
      <c r="J215" s="20" t="n"/>
      <c r="K215" s="20" t="inlineStr">
        <is>
          <t>YES</t>
        </is>
      </c>
      <c r="L215" s="20" t="n"/>
    </row>
    <row r="216" ht="15" customHeight="1" s="17">
      <c r="A216" s="20" t="inlineStr">
        <is>
          <t>H0212</t>
        </is>
      </c>
      <c r="B216" s="20" t="inlineStr">
        <is>
          <t>NZ|SCM|F|17|50 Fly</t>
        </is>
      </c>
      <c r="C216" s="20" t="inlineStr">
        <is>
          <t>SCM</t>
        </is>
      </c>
      <c r="D216" s="20" t="inlineStr">
        <is>
          <t>Female</t>
        </is>
      </c>
      <c r="E216" s="20" t="n">
        <v>17</v>
      </c>
      <c r="F216" s="20" t="inlineStr">
        <is>
          <t>50 Fly</t>
        </is>
      </c>
      <c r="G216" s="20" t="inlineStr">
        <is>
          <t>Laura Littlejohn</t>
        </is>
      </c>
      <c r="H216" s="20" t="inlineStr">
        <is>
          <t>26.53</t>
        </is>
      </c>
      <c r="I216" s="20" t="inlineStr">
        <is>
          <t>11.12.21</t>
        </is>
      </c>
      <c r="J216" s="20" t="n"/>
      <c r="K216" s="20" t="inlineStr">
        <is>
          <t>YES</t>
        </is>
      </c>
      <c r="L216" s="20" t="n"/>
    </row>
    <row r="217" ht="15" customHeight="1" s="17">
      <c r="A217" s="20" t="inlineStr">
        <is>
          <t>H0213</t>
        </is>
      </c>
      <c r="B217" s="20" t="inlineStr">
        <is>
          <t>NZ|SCM|F|17|100 Fly</t>
        </is>
      </c>
      <c r="C217" s="20" t="inlineStr">
        <is>
          <t>SCM</t>
        </is>
      </c>
      <c r="D217" s="20" t="inlineStr">
        <is>
          <t>Female</t>
        </is>
      </c>
      <c r="E217" s="20" t="n">
        <v>17</v>
      </c>
      <c r="F217" s="20" t="inlineStr">
        <is>
          <t>100 Fly</t>
        </is>
      </c>
      <c r="G217" s="20" t="inlineStr">
        <is>
          <t>Sophia Batchelor</t>
        </is>
      </c>
      <c r="H217" s="20" t="inlineStr">
        <is>
          <t>58.24</t>
        </is>
      </c>
      <c r="I217" s="20" t="inlineStr">
        <is>
          <t>03.10.12</t>
        </is>
      </c>
      <c r="J217" s="20" t="n"/>
      <c r="K217" s="20" t="inlineStr">
        <is>
          <t>YES</t>
        </is>
      </c>
      <c r="L217" s="20" t="n"/>
    </row>
    <row r="218" ht="15" customHeight="1" s="17">
      <c r="A218" s="20" t="inlineStr">
        <is>
          <t>H0214</t>
        </is>
      </c>
      <c r="B218" s="20" t="inlineStr">
        <is>
          <t>NZ|SCM|F|17|200 Fly</t>
        </is>
      </c>
      <c r="C218" s="20" t="inlineStr">
        <is>
          <t>SCM</t>
        </is>
      </c>
      <c r="D218" s="20" t="inlineStr">
        <is>
          <t>Female</t>
        </is>
      </c>
      <c r="E218" s="20" t="n">
        <v>17</v>
      </c>
      <c r="F218" s="20" t="inlineStr">
        <is>
          <t>200 Fly</t>
        </is>
      </c>
      <c r="G218" s="20" t="inlineStr">
        <is>
          <t>Samantha Lee</t>
        </is>
      </c>
      <c r="H218" s="20" t="inlineStr">
        <is>
          <t>2:11.49</t>
        </is>
      </c>
      <c r="I218" s="20" t="inlineStr">
        <is>
          <t>27.09.09</t>
        </is>
      </c>
      <c r="J218" s="20" t="n"/>
      <c r="K218" s="20" t="inlineStr">
        <is>
          <t>YES</t>
        </is>
      </c>
      <c r="L218" s="20" t="n"/>
    </row>
    <row r="219" ht="15" customHeight="1" s="17">
      <c r="A219" s="20" t="inlineStr">
        <is>
          <t>H0215</t>
        </is>
      </c>
      <c r="B219" s="20" t="inlineStr">
        <is>
          <t>NZ|SCM|F|17|100 IM</t>
        </is>
      </c>
      <c r="C219" s="20" t="inlineStr">
        <is>
          <t>SCM</t>
        </is>
      </c>
      <c r="D219" s="20" t="inlineStr">
        <is>
          <t>Female</t>
        </is>
      </c>
      <c r="E219" s="20" t="n">
        <v>17</v>
      </c>
      <c r="F219" s="20" t="inlineStr">
        <is>
          <t>100 IM</t>
        </is>
      </c>
      <c r="G219" s="20" t="inlineStr">
        <is>
          <t>Laura Littlejohn</t>
        </is>
      </c>
      <c r="H219" s="20" t="inlineStr">
        <is>
          <t>1:00.43</t>
        </is>
      </c>
      <c r="I219" s="20" t="inlineStr">
        <is>
          <t>18.12.21</t>
        </is>
      </c>
      <c r="J219" s="20" t="n"/>
      <c r="K219" s="20" t="inlineStr">
        <is>
          <t>YES</t>
        </is>
      </c>
      <c r="L219" s="20" t="n"/>
    </row>
    <row r="220" ht="15" customHeight="1" s="17">
      <c r="A220" s="20" t="inlineStr">
        <is>
          <t>H0216</t>
        </is>
      </c>
      <c r="B220" s="20" t="inlineStr">
        <is>
          <t>NZ|SCM|F|17|200 IM</t>
        </is>
      </c>
      <c r="C220" s="20" t="inlineStr">
        <is>
          <t>SCM</t>
        </is>
      </c>
      <c r="D220" s="20" t="inlineStr">
        <is>
          <t>Female</t>
        </is>
      </c>
      <c r="E220" s="20" t="n">
        <v>17</v>
      </c>
      <c r="F220" s="20" t="inlineStr">
        <is>
          <t>200 IM</t>
        </is>
      </c>
      <c r="G220" s="20" t="inlineStr">
        <is>
          <t>Laura Littlejohn</t>
        </is>
      </c>
      <c r="H220" s="20" t="inlineStr">
        <is>
          <t>2:10.61</t>
        </is>
      </c>
      <c r="I220" s="20" t="inlineStr">
        <is>
          <t>11.12.21</t>
        </is>
      </c>
      <c r="J220" s="20" t="n"/>
      <c r="K220" s="20" t="inlineStr">
        <is>
          <t>YES</t>
        </is>
      </c>
      <c r="L220" s="20" t="n"/>
    </row>
    <row r="221" ht="15" customHeight="1" s="17">
      <c r="A221" s="20" t="inlineStr">
        <is>
          <t>H0217</t>
        </is>
      </c>
      <c r="B221" s="20" t="inlineStr">
        <is>
          <t>NZ|SCM|F|17|400 IM</t>
        </is>
      </c>
      <c r="C221" s="20" t="inlineStr">
        <is>
          <t>SCM</t>
        </is>
      </c>
      <c r="D221" s="20" t="inlineStr">
        <is>
          <t>Female</t>
        </is>
      </c>
      <c r="E221" s="20" t="n">
        <v>17</v>
      </c>
      <c r="F221" s="20" t="inlineStr">
        <is>
          <t>400 IM</t>
        </is>
      </c>
      <c r="G221" s="20" t="inlineStr">
        <is>
          <t>Anna Wilson</t>
        </is>
      </c>
      <c r="H221" s="20" t="inlineStr">
        <is>
          <t>4:36.84</t>
        </is>
      </c>
      <c r="I221" s="20" t="inlineStr">
        <is>
          <t>15.02.95</t>
        </is>
      </c>
      <c r="J221" s="20" t="n"/>
      <c r="K221" s="20" t="inlineStr">
        <is>
          <t>YES</t>
        </is>
      </c>
      <c r="L221" s="20" t="n"/>
    </row>
    <row r="222" ht="15" customHeight="1" s="17">
      <c r="A222" s="20" t="inlineStr">
        <is>
          <t>H0218</t>
        </is>
      </c>
      <c r="B222" s="20" t="inlineStr">
        <is>
          <t>NZ|SCM|F|18|50 Free</t>
        </is>
      </c>
      <c r="C222" s="20" t="inlineStr">
        <is>
          <t>SCM</t>
        </is>
      </c>
      <c r="D222" s="20" t="inlineStr">
        <is>
          <t>Female</t>
        </is>
      </c>
      <c r="E222" s="20" t="n">
        <v>18</v>
      </c>
      <c r="F222" s="20" t="inlineStr">
        <is>
          <t>50 Free</t>
        </is>
      </c>
      <c r="G222" s="20" t="inlineStr">
        <is>
          <t>Zoe Pedersen</t>
        </is>
      </c>
      <c r="H222" s="20" t="inlineStr">
        <is>
          <t>24.99</t>
        </is>
      </c>
      <c r="I222" s="20" t="inlineStr">
        <is>
          <t>25.09.25</t>
        </is>
      </c>
      <c r="J222" s="20" t="n"/>
      <c r="K222" s="20" t="inlineStr">
        <is>
          <t>YES</t>
        </is>
      </c>
      <c r="L222" s="20" t="n"/>
    </row>
    <row r="223" ht="15" customHeight="1" s="17">
      <c r="A223" s="20" t="inlineStr">
        <is>
          <t>H0219</t>
        </is>
      </c>
      <c r="B223" s="20" t="inlineStr">
        <is>
          <t>NZ|SCM|F|18|100 Free</t>
        </is>
      </c>
      <c r="C223" s="20" t="inlineStr">
        <is>
          <t>SCM</t>
        </is>
      </c>
      <c r="D223" s="20" t="inlineStr">
        <is>
          <t>Female</t>
        </is>
      </c>
      <c r="E223" s="20" t="n">
        <v>18</v>
      </c>
      <c r="F223" s="20" t="inlineStr">
        <is>
          <t>100 Free</t>
        </is>
      </c>
      <c r="G223" s="20" t="inlineStr">
        <is>
          <t>Zoe Pedersen</t>
        </is>
      </c>
      <c r="H223" s="20" t="inlineStr">
        <is>
          <t>53.68</t>
        </is>
      </c>
      <c r="I223" s="20" t="inlineStr">
        <is>
          <t>22.09.25</t>
        </is>
      </c>
      <c r="J223" s="20" t="n"/>
      <c r="K223" s="20" t="inlineStr">
        <is>
          <t>YES</t>
        </is>
      </c>
      <c r="L223" s="20" t="n"/>
    </row>
    <row r="224" ht="15" customHeight="1" s="17">
      <c r="A224" s="20" t="inlineStr">
        <is>
          <t>H0220</t>
        </is>
      </c>
      <c r="B224" s="20" t="inlineStr">
        <is>
          <t>NZ|SCM|F|18|200 Free</t>
        </is>
      </c>
      <c r="C224" s="20" t="inlineStr">
        <is>
          <t>SCM</t>
        </is>
      </c>
      <c r="D224" s="20" t="inlineStr">
        <is>
          <t>Female</t>
        </is>
      </c>
      <c r="E224" s="20" t="n">
        <v>18</v>
      </c>
      <c r="F224" s="20" t="inlineStr">
        <is>
          <t>200 Free</t>
        </is>
      </c>
      <c r="G224" s="20" t="inlineStr">
        <is>
          <t>Erika Fairweather</t>
        </is>
      </c>
      <c r="H224" s="20" t="inlineStr">
        <is>
          <t>1:54.24</t>
        </is>
      </c>
      <c r="I224" s="20" t="inlineStr">
        <is>
          <t>14.12.22</t>
        </is>
      </c>
      <c r="J224" s="20" t="n"/>
      <c r="K224" s="20" t="inlineStr">
        <is>
          <t>YES</t>
        </is>
      </c>
      <c r="L224" s="20" t="n"/>
    </row>
    <row r="225" ht="15" customHeight="1" s="17">
      <c r="A225" s="20" t="inlineStr">
        <is>
          <t>H0221</t>
        </is>
      </c>
      <c r="B225" s="20" t="inlineStr">
        <is>
          <t>NZ|SCM|F|18|400 Free</t>
        </is>
      </c>
      <c r="C225" s="20" t="inlineStr">
        <is>
          <t>SCM</t>
        </is>
      </c>
      <c r="D225" s="20" t="inlineStr">
        <is>
          <t>Female</t>
        </is>
      </c>
      <c r="E225" s="20" t="n">
        <v>18</v>
      </c>
      <c r="F225" s="20" t="inlineStr">
        <is>
          <t>400 Free</t>
        </is>
      </c>
      <c r="G225" s="20" t="inlineStr">
        <is>
          <t>Erika Fairweather</t>
        </is>
      </c>
      <c r="H225" s="20" t="inlineStr">
        <is>
          <t>3:56.00</t>
        </is>
      </c>
      <c r="I225" s="20" t="inlineStr">
        <is>
          <t>13.12.22</t>
        </is>
      </c>
      <c r="J225" s="20" t="n"/>
      <c r="K225" s="20" t="inlineStr">
        <is>
          <t>YES</t>
        </is>
      </c>
      <c r="L225" s="20" t="n"/>
    </row>
    <row r="226" ht="15" customHeight="1" s="17">
      <c r="A226" s="20" t="inlineStr">
        <is>
          <t>H0222</t>
        </is>
      </c>
      <c r="B226" s="20" t="inlineStr">
        <is>
          <t>NZ|SCM|F|18|800 Free</t>
        </is>
      </c>
      <c r="C226" s="20" t="inlineStr">
        <is>
          <t>SCM</t>
        </is>
      </c>
      <c r="D226" s="20" t="inlineStr">
        <is>
          <t>Female</t>
        </is>
      </c>
      <c r="E226" s="20" t="n">
        <v>18</v>
      </c>
      <c r="F226" s="20" t="inlineStr">
        <is>
          <t>800 Free</t>
        </is>
      </c>
      <c r="G226" s="20" t="inlineStr">
        <is>
          <t>Erika Fairweather</t>
        </is>
      </c>
      <c r="H226" s="20" t="inlineStr">
        <is>
          <t>8:18.63</t>
        </is>
      </c>
      <c r="I226" s="20" t="inlineStr">
        <is>
          <t>27.08.22</t>
        </is>
      </c>
      <c r="J226" s="20" t="n"/>
      <c r="K226" s="20" t="inlineStr">
        <is>
          <t>YES</t>
        </is>
      </c>
      <c r="L226" s="20" t="n"/>
    </row>
    <row r="227" ht="15" customHeight="1" s="17">
      <c r="A227" s="20" t="inlineStr">
        <is>
          <t>H0223</t>
        </is>
      </c>
      <c r="B227" s="20" t="inlineStr">
        <is>
          <t>NZ|SCM|F|18|1500 Free</t>
        </is>
      </c>
      <c r="C227" s="20" t="inlineStr">
        <is>
          <t>SCM</t>
        </is>
      </c>
      <c r="D227" s="20" t="inlineStr">
        <is>
          <t>Female</t>
        </is>
      </c>
      <c r="E227" s="20" t="n">
        <v>18</v>
      </c>
      <c r="F227" s="20" t="inlineStr">
        <is>
          <t>1500 Free</t>
        </is>
      </c>
      <c r="G227" s="20" t="inlineStr">
        <is>
          <t>Caitlin Deans</t>
        </is>
      </c>
      <c r="H227" s="20" t="inlineStr">
        <is>
          <t>16:25.17</t>
        </is>
      </c>
      <c r="I227" s="20" t="inlineStr">
        <is>
          <t>06.10.18</t>
        </is>
      </c>
      <c r="J227" s="20" t="n"/>
      <c r="K227" s="20" t="inlineStr">
        <is>
          <t>YES</t>
        </is>
      </c>
      <c r="L227" s="20" t="n"/>
    </row>
    <row r="228" ht="15" customHeight="1" s="17">
      <c r="A228" s="20" t="inlineStr">
        <is>
          <t>H0224</t>
        </is>
      </c>
      <c r="B228" s="20" t="inlineStr">
        <is>
          <t>NZ|SCM|F|18|50 Back</t>
        </is>
      </c>
      <c r="C228" s="20" t="inlineStr">
        <is>
          <t>SCM</t>
        </is>
      </c>
      <c r="D228" s="20" t="inlineStr">
        <is>
          <t>Female</t>
        </is>
      </c>
      <c r="E228" s="20" t="n">
        <v>18</v>
      </c>
      <c r="F228" s="20" t="inlineStr">
        <is>
          <t>50 Back</t>
        </is>
      </c>
      <c r="G228" s="20" t="inlineStr">
        <is>
          <t>Savannah-Eve Martin</t>
        </is>
      </c>
      <c r="H228" s="20" t="inlineStr">
        <is>
          <t>26.98</t>
        </is>
      </c>
      <c r="I228" s="20" t="inlineStr">
        <is>
          <t>12.12.24</t>
        </is>
      </c>
      <c r="J228" s="20" t="n"/>
      <c r="K228" s="20" t="inlineStr">
        <is>
          <t>YES</t>
        </is>
      </c>
      <c r="L228" s="20" t="n"/>
    </row>
    <row r="229" ht="15" customHeight="1" s="17">
      <c r="A229" s="20" t="inlineStr">
        <is>
          <t>H0225</t>
        </is>
      </c>
      <c r="B229" s="20" t="inlineStr">
        <is>
          <t>NZ|SCM|F|18|100 Back</t>
        </is>
      </c>
      <c r="C229" s="20" t="inlineStr">
        <is>
          <t>SCM</t>
        </is>
      </c>
      <c r="D229" s="20" t="inlineStr">
        <is>
          <t>Female</t>
        </is>
      </c>
      <c r="E229" s="20" t="n">
        <v>18</v>
      </c>
      <c r="F229" s="20" t="inlineStr">
        <is>
          <t>100 Back</t>
        </is>
      </c>
      <c r="G229" s="20" t="inlineStr">
        <is>
          <t>Milan Glintmeyer</t>
        </is>
      </c>
      <c r="H229" s="20" t="inlineStr">
        <is>
          <t>57.35</t>
        </is>
      </c>
      <c r="I229" s="20" t="inlineStr">
        <is>
          <t>27.09.26</t>
        </is>
      </c>
      <c r="J229" s="20" t="n"/>
      <c r="K229" s="20" t="inlineStr">
        <is>
          <t>YES</t>
        </is>
      </c>
      <c r="L229" s="20" t="inlineStr">
        <is>
          <t>https://swimdadnz.github.io/NZSC_2026/NZSC_2026_meet_editorial_summary_final.html</t>
        </is>
      </c>
    </row>
    <row r="230" ht="15" customHeight="1" s="17">
      <c r="A230" s="20" t="inlineStr">
        <is>
          <t>H0226</t>
        </is>
      </c>
      <c r="B230" s="20" t="inlineStr">
        <is>
          <t>NZ|SCM|F|18|200 Back</t>
        </is>
      </c>
      <c r="C230" s="20" t="inlineStr">
        <is>
          <t>SCM</t>
        </is>
      </c>
      <c r="D230" s="20" t="inlineStr">
        <is>
          <t>Female</t>
        </is>
      </c>
      <c r="E230" s="20" t="n">
        <v>18</v>
      </c>
      <c r="F230" s="20" t="inlineStr">
        <is>
          <t>200 Back</t>
        </is>
      </c>
      <c r="G230" s="20" t="inlineStr">
        <is>
          <t>Milan Glintmeyer</t>
        </is>
      </c>
      <c r="H230" s="20" t="inlineStr">
        <is>
          <t>2:05.69</t>
        </is>
      </c>
      <c r="I230" s="20" t="inlineStr">
        <is>
          <t>29.09.26</t>
        </is>
      </c>
      <c r="J230" s="20" t="n"/>
      <c r="K230" s="20" t="inlineStr">
        <is>
          <t>YES</t>
        </is>
      </c>
      <c r="L230" s="20" t="inlineStr">
        <is>
          <t>https://swimdadnz.github.io/NZSC_2026/NZSC_2026_meet_editorial_summary_final.html</t>
        </is>
      </c>
    </row>
    <row r="231" ht="15" customHeight="1" s="17">
      <c r="A231" s="20" t="inlineStr">
        <is>
          <t>H0227</t>
        </is>
      </c>
      <c r="B231" s="20" t="inlineStr">
        <is>
          <t>NZ|SCM|F|18|50 Breast</t>
        </is>
      </c>
      <c r="C231" s="20" t="inlineStr">
        <is>
          <t>SCM</t>
        </is>
      </c>
      <c r="D231" s="20" t="inlineStr">
        <is>
          <t>Female</t>
        </is>
      </c>
      <c r="E231" s="20" t="n">
        <v>18</v>
      </c>
      <c r="F231" s="20" t="inlineStr">
        <is>
          <t>50 Breast</t>
        </is>
      </c>
      <c r="G231" s="20" t="inlineStr">
        <is>
          <t>Monique Wieruszowski</t>
        </is>
      </c>
      <c r="H231" s="20" t="inlineStr">
        <is>
          <t>30.68</t>
        </is>
      </c>
      <c r="I231" s="20" t="inlineStr">
        <is>
          <t>23.09.25</t>
        </is>
      </c>
      <c r="J231" s="20" t="n"/>
      <c r="K231" s="20" t="inlineStr">
        <is>
          <t>YES</t>
        </is>
      </c>
      <c r="L231" s="20" t="n"/>
    </row>
    <row r="232" ht="15" customHeight="1" s="17">
      <c r="A232" s="20" t="inlineStr">
        <is>
          <t>H0228</t>
        </is>
      </c>
      <c r="B232" s="20" t="inlineStr">
        <is>
          <t>NZ|SCM|F|18|100 Breast</t>
        </is>
      </c>
      <c r="C232" s="20" t="inlineStr">
        <is>
          <t>SCM</t>
        </is>
      </c>
      <c r="D232" s="20" t="inlineStr">
        <is>
          <t>Female</t>
        </is>
      </c>
      <c r="E232" s="20" t="n">
        <v>18</v>
      </c>
      <c r="F232" s="20" t="inlineStr">
        <is>
          <t>100 Breast</t>
        </is>
      </c>
      <c r="G232" s="20" t="inlineStr">
        <is>
          <t>Monique Wieruszowski</t>
        </is>
      </c>
      <c r="H232" s="20" t="inlineStr">
        <is>
          <t>1:06.60</t>
        </is>
      </c>
      <c r="I232" s="20" t="inlineStr">
        <is>
          <t>24.09.25</t>
        </is>
      </c>
      <c r="J232" s="20" t="n"/>
      <c r="K232" s="20" t="inlineStr">
        <is>
          <t>YES</t>
        </is>
      </c>
      <c r="L232" s="20" t="n"/>
    </row>
    <row r="233" ht="15" customHeight="1" s="17">
      <c r="A233" s="20" t="inlineStr">
        <is>
          <t>H0229</t>
        </is>
      </c>
      <c r="B233" s="20" t="inlineStr">
        <is>
          <t>NZ|SCM|F|18|200 Breast</t>
        </is>
      </c>
      <c r="C233" s="20" t="inlineStr">
        <is>
          <t>SCM</t>
        </is>
      </c>
      <c r="D233" s="20" t="inlineStr">
        <is>
          <t>Female</t>
        </is>
      </c>
      <c r="E233" s="20" t="n">
        <v>18</v>
      </c>
      <c r="F233" s="20" t="inlineStr">
        <is>
          <t>200 Breast</t>
        </is>
      </c>
      <c r="G233" s="20" t="inlineStr">
        <is>
          <t>Brearna Crawford</t>
        </is>
      </c>
      <c r="H233" s="20" t="inlineStr">
        <is>
          <t>2:25.36</t>
        </is>
      </c>
      <c r="I233" s="20" t="inlineStr">
        <is>
          <t>31.07.21</t>
        </is>
      </c>
      <c r="J233" s="20" t="n"/>
      <c r="K233" s="20" t="inlineStr">
        <is>
          <t>YES</t>
        </is>
      </c>
      <c r="L233" s="20" t="n"/>
    </row>
    <row r="234" ht="15" customHeight="1" s="17">
      <c r="A234" s="20" t="inlineStr">
        <is>
          <t>H0230</t>
        </is>
      </c>
      <c r="B234" s="20" t="inlineStr">
        <is>
          <t>NZ|SCM|F|18|50 Fly</t>
        </is>
      </c>
      <c r="C234" s="20" t="inlineStr">
        <is>
          <t>SCM</t>
        </is>
      </c>
      <c r="D234" s="20" t="inlineStr">
        <is>
          <t>Female</t>
        </is>
      </c>
      <c r="E234" s="20" t="n">
        <v>18</v>
      </c>
      <c r="F234" s="20" t="inlineStr">
        <is>
          <t>50 Fly</t>
        </is>
      </c>
      <c r="G234" s="20" t="inlineStr">
        <is>
          <t>Zoe Pedersen</t>
        </is>
      </c>
      <c r="H234" s="20" t="inlineStr">
        <is>
          <t>25.96</t>
        </is>
      </c>
      <c r="I234" s="20" t="inlineStr">
        <is>
          <t>22.09.25</t>
        </is>
      </c>
      <c r="J234" s="20" t="n"/>
      <c r="K234" s="20" t="inlineStr">
        <is>
          <t>YES</t>
        </is>
      </c>
      <c r="L234" s="20" t="n"/>
    </row>
    <row r="235" ht="15" customHeight="1" s="17">
      <c r="A235" s="20" t="inlineStr">
        <is>
          <t>H0231</t>
        </is>
      </c>
      <c r="B235" s="20" t="inlineStr">
        <is>
          <t>NZ|SCM|F|18|100 Fly</t>
        </is>
      </c>
      <c r="C235" s="20" t="inlineStr">
        <is>
          <t>SCM</t>
        </is>
      </c>
      <c r="D235" s="20" t="inlineStr">
        <is>
          <t>Female</t>
        </is>
      </c>
      <c r="E235" s="20" t="n">
        <v>18</v>
      </c>
      <c r="F235" s="20" t="inlineStr">
        <is>
          <t>100 Fly</t>
        </is>
      </c>
      <c r="G235" s="20" t="inlineStr">
        <is>
          <t>Caroline Baddock</t>
        </is>
      </c>
      <c r="H235" s="20" t="inlineStr">
        <is>
          <t>59.12</t>
        </is>
      </c>
      <c r="I235" s="20" t="inlineStr">
        <is>
          <t>02.10.13</t>
        </is>
      </c>
      <c r="J235" s="20" t="n"/>
      <c r="K235" s="20" t="inlineStr">
        <is>
          <t>YES</t>
        </is>
      </c>
      <c r="L235" s="20" t="n"/>
    </row>
    <row r="236" ht="15" customHeight="1" s="17">
      <c r="A236" s="20" t="inlineStr">
        <is>
          <t>H0232</t>
        </is>
      </c>
      <c r="B236" s="20" t="inlineStr">
        <is>
          <t>NZ|SCM|F|18|200 Fly</t>
        </is>
      </c>
      <c r="C236" s="20" t="inlineStr">
        <is>
          <t>SCM</t>
        </is>
      </c>
      <c r="D236" s="20" t="inlineStr">
        <is>
          <t>Female</t>
        </is>
      </c>
      <c r="E236" s="20" t="n">
        <v>18</v>
      </c>
      <c r="F236" s="20" t="inlineStr">
        <is>
          <t>200 Fly</t>
        </is>
      </c>
      <c r="G236" s="20" t="inlineStr">
        <is>
          <t>Neve Tassicker</t>
        </is>
      </c>
      <c r="H236" s="20" t="inlineStr">
        <is>
          <t>2:12.24</t>
        </is>
      </c>
      <c r="I236" s="20" t="inlineStr">
        <is>
          <t>29.09.24</t>
        </is>
      </c>
      <c r="J236" s="20" t="n"/>
      <c r="K236" s="20" t="inlineStr">
        <is>
          <t>YES</t>
        </is>
      </c>
      <c r="L236" s="20" t="n"/>
    </row>
    <row r="237" ht="15" customHeight="1" s="17">
      <c r="A237" s="20" t="inlineStr">
        <is>
          <t>H0233</t>
        </is>
      </c>
      <c r="B237" s="20" t="inlineStr">
        <is>
          <t>NZ|SCM|F|18|100 IM</t>
        </is>
      </c>
      <c r="C237" s="20" t="inlineStr">
        <is>
          <t>SCM</t>
        </is>
      </c>
      <c r="D237" s="20" t="inlineStr">
        <is>
          <t>Female</t>
        </is>
      </c>
      <c r="E237" s="20" t="n">
        <v>18</v>
      </c>
      <c r="F237" s="20" t="inlineStr">
        <is>
          <t>100 IM</t>
        </is>
      </c>
      <c r="G237" s="20" t="inlineStr">
        <is>
          <t>Milan Glintmeyer</t>
        </is>
      </c>
      <c r="H237" s="20" t="inlineStr">
        <is>
          <t>1:01.02</t>
        </is>
      </c>
      <c r="I237" s="20" t="inlineStr">
        <is>
          <t>27.09.26</t>
        </is>
      </c>
      <c r="J237" s="20" t="n"/>
      <c r="K237" s="20" t="inlineStr">
        <is>
          <t>YES</t>
        </is>
      </c>
      <c r="L237" s="20" t="inlineStr">
        <is>
          <t>https://swimdadnz.github.io/NZSC_2026/NZSC_2026_meet_editorial_summary_final.html</t>
        </is>
      </c>
    </row>
    <row r="238" ht="15" customHeight="1" s="17">
      <c r="A238" s="20" t="inlineStr">
        <is>
          <t>H0234</t>
        </is>
      </c>
      <c r="B238" s="20" t="inlineStr">
        <is>
          <t>NZ|SCM|F|18|200 IM</t>
        </is>
      </c>
      <c r="C238" s="20" t="inlineStr">
        <is>
          <t>SCM</t>
        </is>
      </c>
      <c r="D238" s="20" t="inlineStr">
        <is>
          <t>Female</t>
        </is>
      </c>
      <c r="E238" s="20" t="n">
        <v>18</v>
      </c>
      <c r="F238" s="20" t="inlineStr">
        <is>
          <t>200 IM</t>
        </is>
      </c>
      <c r="G238" s="20" t="inlineStr">
        <is>
          <t>Natalie Wiegersma</t>
        </is>
      </c>
      <c r="H238" s="20" t="inlineStr">
        <is>
          <t>2:11.93</t>
        </is>
      </c>
      <c r="I238" s="20" t="inlineStr">
        <is>
          <t>13.12.08</t>
        </is>
      </c>
      <c r="J238" s="20" t="n"/>
      <c r="K238" s="20" t="inlineStr">
        <is>
          <t>YES</t>
        </is>
      </c>
      <c r="L238" s="20" t="n"/>
    </row>
    <row r="239" ht="15" customHeight="1" s="17">
      <c r="A239" s="20" t="inlineStr">
        <is>
          <t>H0235</t>
        </is>
      </c>
      <c r="B239" s="20" t="inlineStr">
        <is>
          <t>NZ|SCM|F|18|400 IM</t>
        </is>
      </c>
      <c r="C239" s="20" t="inlineStr">
        <is>
          <t>SCM</t>
        </is>
      </c>
      <c r="D239" s="20" t="inlineStr">
        <is>
          <t>Female</t>
        </is>
      </c>
      <c r="E239" s="20" t="n">
        <v>18</v>
      </c>
      <c r="F239" s="20" t="inlineStr">
        <is>
          <t>400 IM</t>
        </is>
      </c>
      <c r="G239" s="20" t="inlineStr">
        <is>
          <t>Standard</t>
        </is>
      </c>
      <c r="H239" s="20" t="inlineStr">
        <is>
          <t>4:36.84</t>
        </is>
      </c>
      <c r="I239" s="20" t="n"/>
      <c r="J239" s="20" t="n"/>
      <c r="K239" s="20" t="inlineStr">
        <is>
          <t>YES</t>
        </is>
      </c>
      <c r="L239" s="20" t="n"/>
    </row>
    <row r="240" ht="15" customHeight="1" s="17">
      <c r="A240" s="20" t="inlineStr">
        <is>
          <t>H0236</t>
        </is>
      </c>
      <c r="B240" s="20" t="inlineStr">
        <is>
          <t>NZ|LCM|M|13|50 Free</t>
        </is>
      </c>
      <c r="C240" s="20" t="inlineStr">
        <is>
          <t>LCM</t>
        </is>
      </c>
      <c r="D240" s="20" t="inlineStr">
        <is>
          <t>Male</t>
        </is>
      </c>
      <c r="E240" s="20" t="n">
        <v>13</v>
      </c>
      <c r="F240" s="20" t="inlineStr">
        <is>
          <t>50 Free</t>
        </is>
      </c>
      <c r="G240" s="20" t="inlineStr">
        <is>
          <t>Grayson Coulter</t>
        </is>
      </c>
      <c r="H240" s="20" t="inlineStr">
        <is>
          <t>24.18</t>
        </is>
      </c>
      <c r="I240" s="20" t="inlineStr">
        <is>
          <t>16.12.25</t>
        </is>
      </c>
      <c r="J240" s="20" t="n"/>
      <c r="K240" s="20" t="inlineStr">
        <is>
          <t>YES</t>
        </is>
      </c>
      <c r="L240" s="20" t="n"/>
    </row>
    <row r="241" ht="15" customHeight="1" s="17">
      <c r="A241" s="20" t="inlineStr">
        <is>
          <t>H0237</t>
        </is>
      </c>
      <c r="B241" s="20" t="inlineStr">
        <is>
          <t>NZ|LCM|M|13|100 Free</t>
        </is>
      </c>
      <c r="C241" s="20" t="inlineStr">
        <is>
          <t>LCM</t>
        </is>
      </c>
      <c r="D241" s="20" t="inlineStr">
        <is>
          <t>Male</t>
        </is>
      </c>
      <c r="E241" s="20" t="n">
        <v>13</v>
      </c>
      <c r="F241" s="20" t="inlineStr">
        <is>
          <t>100 Free</t>
        </is>
      </c>
      <c r="G241" s="20" t="inlineStr">
        <is>
          <t>Grayson Coulter</t>
        </is>
      </c>
      <c r="H241" s="20" t="inlineStr">
        <is>
          <t>51.63</t>
        </is>
      </c>
      <c r="I241" s="20" t="inlineStr">
        <is>
          <t>14.12.25</t>
        </is>
      </c>
      <c r="J241" s="20" t="n"/>
      <c r="K241" s="20" t="inlineStr">
        <is>
          <t>YES</t>
        </is>
      </c>
      <c r="L241" s="20" t="n"/>
    </row>
    <row r="242" ht="15" customHeight="1" s="17">
      <c r="A242" s="20" t="inlineStr">
        <is>
          <t>H0238</t>
        </is>
      </c>
      <c r="B242" s="20" t="inlineStr">
        <is>
          <t>NZ|LCM|M|13|200 Free</t>
        </is>
      </c>
      <c r="C242" s="20" t="inlineStr">
        <is>
          <t>LCM</t>
        </is>
      </c>
      <c r="D242" s="20" t="inlineStr">
        <is>
          <t>Male</t>
        </is>
      </c>
      <c r="E242" s="20" t="n">
        <v>13</v>
      </c>
      <c r="F242" s="20" t="inlineStr">
        <is>
          <t>200 Free</t>
        </is>
      </c>
      <c r="G242" s="20" t="inlineStr">
        <is>
          <t>Grayson Coulter</t>
        </is>
      </c>
      <c r="H242" s="20" t="inlineStr">
        <is>
          <t>1:52.13</t>
        </is>
      </c>
      <c r="I242" s="20" t="inlineStr">
        <is>
          <t>18.12.25</t>
        </is>
      </c>
      <c r="J242" s="20" t="n"/>
      <c r="K242" s="20" t="inlineStr">
        <is>
          <t>YES</t>
        </is>
      </c>
      <c r="L242" s="20" t="n"/>
    </row>
    <row r="243" ht="15" customHeight="1" s="17">
      <c r="A243" s="20" t="inlineStr">
        <is>
          <t>H0239</t>
        </is>
      </c>
      <c r="B243" s="20" t="inlineStr">
        <is>
          <t>NZ|LCM|M|13|400 Free</t>
        </is>
      </c>
      <c r="C243" s="20" t="inlineStr">
        <is>
          <t>LCM</t>
        </is>
      </c>
      <c r="D243" s="20" t="inlineStr">
        <is>
          <t>Male</t>
        </is>
      </c>
      <c r="E243" s="20" t="n">
        <v>13</v>
      </c>
      <c r="F243" s="20" t="inlineStr">
        <is>
          <t>400 Free</t>
        </is>
      </c>
      <c r="G243" s="20" t="inlineStr">
        <is>
          <t>Grayson Coulter</t>
        </is>
      </c>
      <c r="H243" s="20" t="inlineStr">
        <is>
          <t>3:59.40</t>
        </is>
      </c>
      <c r="I243" s="20" t="inlineStr">
        <is>
          <t>17.12.25</t>
        </is>
      </c>
      <c r="J243" s="20" t="n"/>
      <c r="K243" s="20" t="inlineStr">
        <is>
          <t>YES</t>
        </is>
      </c>
      <c r="L243" s="20" t="n"/>
    </row>
    <row r="244" ht="15" customHeight="1" s="17">
      <c r="A244" s="20" t="inlineStr">
        <is>
          <t>H0240</t>
        </is>
      </c>
      <c r="B244" s="20" t="inlineStr">
        <is>
          <t>NZ|LCM|M|13|800 Free</t>
        </is>
      </c>
      <c r="C244" s="20" t="inlineStr">
        <is>
          <t>LCM</t>
        </is>
      </c>
      <c r="D244" s="20" t="inlineStr">
        <is>
          <t>Male</t>
        </is>
      </c>
      <c r="E244" s="20" t="n">
        <v>13</v>
      </c>
      <c r="F244" s="20" t="inlineStr">
        <is>
          <t>800 Free</t>
        </is>
      </c>
      <c r="G244" s="20" t="inlineStr">
        <is>
          <t>Michael Mincham</t>
        </is>
      </c>
      <c r="H244" s="20" t="inlineStr">
        <is>
          <t>8:39.78</t>
        </is>
      </c>
      <c r="I244" s="20" t="inlineStr">
        <is>
          <t>07.04.10</t>
        </is>
      </c>
      <c r="J244" s="20" t="n"/>
      <c r="K244" s="20" t="inlineStr">
        <is>
          <t>YES</t>
        </is>
      </c>
      <c r="L244" s="20" t="n"/>
    </row>
    <row r="245" ht="15" customHeight="1" s="17">
      <c r="A245" s="20" t="inlineStr">
        <is>
          <t>H0241</t>
        </is>
      </c>
      <c r="B245" s="20" t="inlineStr">
        <is>
          <t>NZ|LCM|M|13|1500 Free</t>
        </is>
      </c>
      <c r="C245" s="20" t="inlineStr">
        <is>
          <t>LCM</t>
        </is>
      </c>
      <c r="D245" s="20" t="inlineStr">
        <is>
          <t>Male</t>
        </is>
      </c>
      <c r="E245" s="20" t="n">
        <v>13</v>
      </c>
      <c r="F245" s="20" t="inlineStr">
        <is>
          <t>1500 Free</t>
        </is>
      </c>
      <c r="G245" s="20" t="inlineStr">
        <is>
          <t>Michael Mincham</t>
        </is>
      </c>
      <c r="H245" s="20" t="inlineStr">
        <is>
          <t>16:39.49</t>
        </is>
      </c>
      <c r="I245" s="20" t="inlineStr">
        <is>
          <t>06.03.10</t>
        </is>
      </c>
      <c r="J245" s="20" t="n"/>
      <c r="K245" s="20" t="inlineStr">
        <is>
          <t>YES</t>
        </is>
      </c>
      <c r="L245" s="20" t="n"/>
    </row>
    <row r="246" ht="15" customHeight="1" s="17">
      <c r="A246" s="20" t="inlineStr">
        <is>
          <t>H0242</t>
        </is>
      </c>
      <c r="B246" s="20" t="inlineStr">
        <is>
          <t>NZ|LCM|M|13|50 Back</t>
        </is>
      </c>
      <c r="C246" s="20" t="inlineStr">
        <is>
          <t>LCM</t>
        </is>
      </c>
      <c r="D246" s="20" t="inlineStr">
        <is>
          <t>Male</t>
        </is>
      </c>
      <c r="E246" s="20" t="n">
        <v>13</v>
      </c>
      <c r="F246" s="20" t="inlineStr">
        <is>
          <t>50 Back</t>
        </is>
      </c>
      <c r="G246" s="20" t="inlineStr">
        <is>
          <t>Grayson Coulter</t>
        </is>
      </c>
      <c r="H246" s="20" t="inlineStr">
        <is>
          <t>27.68</t>
        </is>
      </c>
      <c r="I246" s="20" t="inlineStr">
        <is>
          <t>17.12.25</t>
        </is>
      </c>
      <c r="J246" s="20" t="n"/>
      <c r="K246" s="20" t="inlineStr">
        <is>
          <t>YES</t>
        </is>
      </c>
      <c r="L246" s="20" t="n"/>
    </row>
    <row r="247" ht="15" customHeight="1" s="17">
      <c r="A247" s="20" t="inlineStr">
        <is>
          <t>H0243</t>
        </is>
      </c>
      <c r="B247" s="20" t="inlineStr">
        <is>
          <t>NZ|LCM|M|13|100 Back</t>
        </is>
      </c>
      <c r="C247" s="20" t="inlineStr">
        <is>
          <t>LCM</t>
        </is>
      </c>
      <c r="D247" s="20" t="inlineStr">
        <is>
          <t>Male</t>
        </is>
      </c>
      <c r="E247" s="20" t="n">
        <v>13</v>
      </c>
      <c r="F247" s="20" t="inlineStr">
        <is>
          <t>100 Back</t>
        </is>
      </c>
      <c r="G247" s="20" t="inlineStr">
        <is>
          <t>Te Rauroha Paki</t>
        </is>
      </c>
      <c r="H247" s="20" t="inlineStr">
        <is>
          <t>1:00.32</t>
        </is>
      </c>
      <c r="I247" s="20" t="inlineStr">
        <is>
          <t>19.04.24</t>
        </is>
      </c>
      <c r="J247" s="20" t="n"/>
      <c r="K247" s="20" t="inlineStr">
        <is>
          <t>YES</t>
        </is>
      </c>
      <c r="L247" s="20" t="n"/>
    </row>
    <row r="248" ht="15" customHeight="1" s="17">
      <c r="A248" s="20" t="inlineStr">
        <is>
          <t>H0244</t>
        </is>
      </c>
      <c r="B248" s="20" t="inlineStr">
        <is>
          <t>NZ|LCM|M|13|200 Back</t>
        </is>
      </c>
      <c r="C248" s="20" t="inlineStr">
        <is>
          <t>LCM</t>
        </is>
      </c>
      <c r="D248" s="20" t="inlineStr">
        <is>
          <t>Male</t>
        </is>
      </c>
      <c r="E248" s="20" t="n">
        <v>13</v>
      </c>
      <c r="F248" s="20" t="inlineStr">
        <is>
          <t>200 Back</t>
        </is>
      </c>
      <c r="G248" s="20" t="inlineStr">
        <is>
          <t>Ross Dunwoody</t>
        </is>
      </c>
      <c r="H248" s="20" t="inlineStr">
        <is>
          <t>2:11.57</t>
        </is>
      </c>
      <c r="I248" s="20" t="inlineStr">
        <is>
          <t>22.03.95</t>
        </is>
      </c>
      <c r="J248" s="20" t="n"/>
      <c r="K248" s="20" t="inlineStr">
        <is>
          <t>YES</t>
        </is>
      </c>
      <c r="L248" s="20" t="n"/>
    </row>
    <row r="249" ht="15" customHeight="1" s="17">
      <c r="A249" s="20" t="inlineStr">
        <is>
          <t>H0245</t>
        </is>
      </c>
      <c r="B249" s="20" t="inlineStr">
        <is>
          <t>NZ|LCM|M|13|50 Breast</t>
        </is>
      </c>
      <c r="C249" s="20" t="inlineStr">
        <is>
          <t>LCM</t>
        </is>
      </c>
      <c r="D249" s="20" t="inlineStr">
        <is>
          <t>Male</t>
        </is>
      </c>
      <c r="E249" s="20" t="n">
        <v>13</v>
      </c>
      <c r="F249" s="20" t="inlineStr">
        <is>
          <t>50 Breast</t>
        </is>
      </c>
      <c r="G249" s="20" t="inlineStr">
        <is>
          <t>Michael Yang</t>
        </is>
      </c>
      <c r="H249" s="20" t="inlineStr">
        <is>
          <t>31.14</t>
        </is>
      </c>
      <c r="I249" s="20" t="inlineStr">
        <is>
          <t>14.04.25</t>
        </is>
      </c>
      <c r="J249" s="20" t="n"/>
      <c r="K249" s="20" t="inlineStr">
        <is>
          <t>YES</t>
        </is>
      </c>
      <c r="L249" s="20" t="n"/>
    </row>
    <row r="250" ht="15" customHeight="1" s="17">
      <c r="A250" s="20" t="inlineStr">
        <is>
          <t>H0246</t>
        </is>
      </c>
      <c r="B250" s="20" t="inlineStr">
        <is>
          <t>NZ|LCM|M|13|100 Breast</t>
        </is>
      </c>
      <c r="C250" s="20" t="inlineStr">
        <is>
          <t>LCM</t>
        </is>
      </c>
      <c r="D250" s="20" t="inlineStr">
        <is>
          <t>Male</t>
        </is>
      </c>
      <c r="E250" s="20" t="n">
        <v>13</v>
      </c>
      <c r="F250" s="20" t="inlineStr">
        <is>
          <t>100 Breast</t>
        </is>
      </c>
      <c r="G250" s="20" t="inlineStr">
        <is>
          <t>Michael Yang</t>
        </is>
      </c>
      <c r="H250" s="20" t="inlineStr">
        <is>
          <t>1:06.54</t>
        </is>
      </c>
      <c r="I250" s="20" t="inlineStr">
        <is>
          <t>24.05.25</t>
        </is>
      </c>
      <c r="J250" s="20" t="n"/>
      <c r="K250" s="20" t="inlineStr">
        <is>
          <t>YES</t>
        </is>
      </c>
      <c r="L250" s="20" t="n"/>
    </row>
    <row r="251" ht="15" customHeight="1" s="17">
      <c r="A251" s="20" t="inlineStr">
        <is>
          <t>H0247</t>
        </is>
      </c>
      <c r="B251" s="20" t="inlineStr">
        <is>
          <t>NZ|LCM|M|13|200 Breast</t>
        </is>
      </c>
      <c r="C251" s="20" t="inlineStr">
        <is>
          <t>LCM</t>
        </is>
      </c>
      <c r="D251" s="20" t="inlineStr">
        <is>
          <t>Male</t>
        </is>
      </c>
      <c r="E251" s="20" t="n">
        <v>13</v>
      </c>
      <c r="F251" s="20" t="inlineStr">
        <is>
          <t>200 Breast</t>
        </is>
      </c>
      <c r="G251" s="20" t="inlineStr">
        <is>
          <t>Michael Yang</t>
        </is>
      </c>
      <c r="H251" s="20" t="inlineStr">
        <is>
          <t>2:25.85</t>
        </is>
      </c>
      <c r="I251" s="20" t="inlineStr">
        <is>
          <t>15.04.25</t>
        </is>
      </c>
      <c r="J251" s="20" t="n"/>
      <c r="K251" s="20" t="inlineStr">
        <is>
          <t>YES</t>
        </is>
      </c>
      <c r="L251" s="20" t="n"/>
    </row>
    <row r="252" ht="15" customHeight="1" s="17">
      <c r="A252" s="20" t="inlineStr">
        <is>
          <t>H0248</t>
        </is>
      </c>
      <c r="B252" s="20" t="inlineStr">
        <is>
          <t>NZ|LCM|M|13|50 Fly</t>
        </is>
      </c>
      <c r="C252" s="20" t="inlineStr">
        <is>
          <t>LCM</t>
        </is>
      </c>
      <c r="D252" s="20" t="inlineStr">
        <is>
          <t>Male</t>
        </is>
      </c>
      <c r="E252" s="20" t="n">
        <v>13</v>
      </c>
      <c r="F252" s="20" t="inlineStr">
        <is>
          <t>50 Fly</t>
        </is>
      </c>
      <c r="G252" s="20" t="inlineStr">
        <is>
          <t>Grayson Coulter</t>
        </is>
      </c>
      <c r="H252" s="20" t="inlineStr">
        <is>
          <t>26.17</t>
        </is>
      </c>
      <c r="I252" s="20" t="inlineStr">
        <is>
          <t>18.12.25</t>
        </is>
      </c>
      <c r="J252" s="20" t="n"/>
      <c r="K252" s="20" t="inlineStr">
        <is>
          <t>YES</t>
        </is>
      </c>
      <c r="L252" s="20" t="n"/>
    </row>
    <row r="253" ht="15" customHeight="1" s="17">
      <c r="A253" s="20" t="inlineStr">
        <is>
          <t>H0249</t>
        </is>
      </c>
      <c r="B253" s="20" t="inlineStr">
        <is>
          <t>NZ|LCM|M|13|100 Fly</t>
        </is>
      </c>
      <c r="C253" s="20" t="inlineStr">
        <is>
          <t>LCM</t>
        </is>
      </c>
      <c r="D253" s="20" t="inlineStr">
        <is>
          <t>Male</t>
        </is>
      </c>
      <c r="E253" s="20" t="n">
        <v>13</v>
      </c>
      <c r="F253" s="20" t="inlineStr">
        <is>
          <t>100 Fly</t>
        </is>
      </c>
      <c r="G253" s="20" t="inlineStr">
        <is>
          <t>Grayson Coulter</t>
        </is>
      </c>
      <c r="H253" s="20" t="inlineStr">
        <is>
          <t>56.85</t>
        </is>
      </c>
      <c r="I253" s="20" t="inlineStr">
        <is>
          <t>15.12.25</t>
        </is>
      </c>
      <c r="J253" s="20" t="n"/>
      <c r="K253" s="20" t="inlineStr">
        <is>
          <t>YES</t>
        </is>
      </c>
      <c r="L253" s="20" t="n"/>
    </row>
    <row r="254" ht="15" customHeight="1" s="17">
      <c r="A254" s="20" t="inlineStr">
        <is>
          <t>H0250</t>
        </is>
      </c>
      <c r="B254" s="20" t="inlineStr">
        <is>
          <t>NZ|LCM|M|13|200 Fly</t>
        </is>
      </c>
      <c r="C254" s="20" t="inlineStr">
        <is>
          <t>LCM</t>
        </is>
      </c>
      <c r="D254" s="20" t="inlineStr">
        <is>
          <t>Male</t>
        </is>
      </c>
      <c r="E254" s="20" t="n">
        <v>13</v>
      </c>
      <c r="F254" s="20" t="inlineStr">
        <is>
          <t>200 Fly</t>
        </is>
      </c>
      <c r="G254" s="20" t="inlineStr">
        <is>
          <t>Pierce Collins</t>
        </is>
      </c>
      <c r="H254" s="20" t="inlineStr">
        <is>
          <t>2:13.92</t>
        </is>
      </c>
      <c r="I254" s="20" t="inlineStr">
        <is>
          <t>17.04.18</t>
        </is>
      </c>
      <c r="J254" s="20" t="n"/>
      <c r="K254" s="20" t="inlineStr">
        <is>
          <t>YES</t>
        </is>
      </c>
      <c r="L254" s="20" t="n"/>
    </row>
    <row r="255" ht="15" customHeight="1" s="17">
      <c r="A255" s="20" t="inlineStr">
        <is>
          <t>H0251</t>
        </is>
      </c>
      <c r="B255" s="20" t="inlineStr">
        <is>
          <t>NZ|LCM|M|13|200 IM</t>
        </is>
      </c>
      <c r="C255" s="20" t="inlineStr">
        <is>
          <t>LCM</t>
        </is>
      </c>
      <c r="D255" s="20" t="inlineStr">
        <is>
          <t>Male</t>
        </is>
      </c>
      <c r="E255" s="20" t="n">
        <v>13</v>
      </c>
      <c r="F255" s="20" t="inlineStr">
        <is>
          <t>200 IM</t>
        </is>
      </c>
      <c r="G255" s="20" t="inlineStr">
        <is>
          <t>Grayson Coulter</t>
        </is>
      </c>
      <c r="H255" s="20" t="inlineStr">
        <is>
          <t>2:09.69</t>
        </is>
      </c>
      <c r="I255" s="20" t="inlineStr">
        <is>
          <t>15.12.25</t>
        </is>
      </c>
      <c r="J255" s="20" t="n"/>
      <c r="K255" s="20" t="inlineStr">
        <is>
          <t>YES</t>
        </is>
      </c>
      <c r="L255" s="20" t="n"/>
    </row>
    <row r="256" ht="15" customHeight="1" s="17">
      <c r="A256" s="20" t="inlineStr">
        <is>
          <t>H0252</t>
        </is>
      </c>
      <c r="B256" s="20" t="inlineStr">
        <is>
          <t>NZ|LCM|M|13|400 IM</t>
        </is>
      </c>
      <c r="C256" s="20" t="inlineStr">
        <is>
          <t>LCM</t>
        </is>
      </c>
      <c r="D256" s="20" t="inlineStr">
        <is>
          <t>Male</t>
        </is>
      </c>
      <c r="E256" s="20" t="n">
        <v>13</v>
      </c>
      <c r="F256" s="20" t="inlineStr">
        <is>
          <t>400 IM</t>
        </is>
      </c>
      <c r="G256" s="20" t="inlineStr">
        <is>
          <t>Mitchell Donaldson</t>
        </is>
      </c>
      <c r="H256" s="20" t="inlineStr">
        <is>
          <t>4:46.89</t>
        </is>
      </c>
      <c r="I256" s="20" t="inlineStr">
        <is>
          <t>01.12.06</t>
        </is>
      </c>
      <c r="J256" s="20" t="n"/>
      <c r="K256" s="20" t="inlineStr">
        <is>
          <t>YES</t>
        </is>
      </c>
      <c r="L256" s="20" t="n"/>
    </row>
    <row r="257" ht="15" customHeight="1" s="17">
      <c r="A257" s="20" t="inlineStr">
        <is>
          <t>H0253</t>
        </is>
      </c>
      <c r="B257" s="20" t="inlineStr">
        <is>
          <t>NZ|LCM|M|14|50 Free</t>
        </is>
      </c>
      <c r="C257" s="20" t="inlineStr">
        <is>
          <t>LCM</t>
        </is>
      </c>
      <c r="D257" s="20" t="inlineStr">
        <is>
          <t>Male</t>
        </is>
      </c>
      <c r="E257" s="20" t="n">
        <v>14</v>
      </c>
      <c r="F257" s="20" t="inlineStr">
        <is>
          <t>50 Free</t>
        </is>
      </c>
      <c r="G257" s="20" t="inlineStr">
        <is>
          <t>Grayson Coulter</t>
        </is>
      </c>
      <c r="H257" s="20" t="inlineStr">
        <is>
          <t>23.95</t>
        </is>
      </c>
      <c r="I257" s="20" t="inlineStr">
        <is>
          <t>20.08.26</t>
        </is>
      </c>
      <c r="J257" s="20" t="n"/>
      <c r="K257" s="20" t="inlineStr">
        <is>
          <t>YES</t>
        </is>
      </c>
      <c r="L257" s="20" t="n"/>
    </row>
    <row r="258" ht="15" customHeight="1" s="17">
      <c r="A258" s="20" t="inlineStr">
        <is>
          <t>H0254</t>
        </is>
      </c>
      <c r="B258" s="20" t="inlineStr">
        <is>
          <t>NZ|LCM|M|14|100 Free</t>
        </is>
      </c>
      <c r="C258" s="20" t="inlineStr">
        <is>
          <t>LCM</t>
        </is>
      </c>
      <c r="D258" s="20" t="inlineStr">
        <is>
          <t>Male</t>
        </is>
      </c>
      <c r="E258" s="20" t="n">
        <v>14</v>
      </c>
      <c r="F258" s="20" t="inlineStr">
        <is>
          <t>100 Free</t>
        </is>
      </c>
      <c r="G258" s="20" t="inlineStr">
        <is>
          <t>Grayson Coulter</t>
        </is>
      </c>
      <c r="H258" s="20" t="inlineStr">
        <is>
          <t>51.04</t>
        </is>
      </c>
      <c r="I258" s="20" t="inlineStr">
        <is>
          <t>19.08.26</t>
        </is>
      </c>
      <c r="J258" s="20" t="n"/>
      <c r="K258" s="20" t="inlineStr">
        <is>
          <t>YES</t>
        </is>
      </c>
      <c r="L258" s="20" t="n"/>
    </row>
    <row r="259" ht="15" customHeight="1" s="17">
      <c r="A259" s="20" t="inlineStr">
        <is>
          <t>H0255</t>
        </is>
      </c>
      <c r="B259" s="20" t="inlineStr">
        <is>
          <t>NZ|LCM|M|14|200 Free</t>
        </is>
      </c>
      <c r="C259" s="20" t="inlineStr">
        <is>
          <t>LCM</t>
        </is>
      </c>
      <c r="D259" s="20" t="inlineStr">
        <is>
          <t>Male</t>
        </is>
      </c>
      <c r="E259" s="20" t="n">
        <v>14</v>
      </c>
      <c r="F259" s="20" t="inlineStr">
        <is>
          <t>200 Free</t>
        </is>
      </c>
      <c r="G259" s="20" t="inlineStr">
        <is>
          <t>Grayson Coulter</t>
        </is>
      </c>
      <c r="H259" s="20" t="inlineStr">
        <is>
          <t>1:51.50</t>
        </is>
      </c>
      <c r="I259" s="20" t="inlineStr">
        <is>
          <t>17.08.26</t>
        </is>
      </c>
      <c r="J259" s="20" t="n"/>
      <c r="K259" s="20" t="inlineStr">
        <is>
          <t>YES</t>
        </is>
      </c>
      <c r="L259" s="20" t="n"/>
    </row>
    <row r="260" ht="15" customHeight="1" s="17">
      <c r="A260" s="20" t="inlineStr">
        <is>
          <t>H0256</t>
        </is>
      </c>
      <c r="B260" s="20" t="inlineStr">
        <is>
          <t>NZ|LCM|M|14|400 Free</t>
        </is>
      </c>
      <c r="C260" s="20" t="inlineStr">
        <is>
          <t>LCM</t>
        </is>
      </c>
      <c r="D260" s="20" t="inlineStr">
        <is>
          <t>Male</t>
        </is>
      </c>
      <c r="E260" s="20" t="n">
        <v>14</v>
      </c>
      <c r="F260" s="20" t="inlineStr">
        <is>
          <t>400 Free</t>
        </is>
      </c>
      <c r="G260" s="20" t="inlineStr">
        <is>
          <t>Grayson Coulter</t>
        </is>
      </c>
      <c r="H260" s="20" t="inlineStr">
        <is>
          <t>4:02.64</t>
        </is>
      </c>
      <c r="I260" s="20" t="inlineStr">
        <is>
          <t>11.04.26</t>
        </is>
      </c>
      <c r="J260" s="20" t="n"/>
      <c r="K260" s="20" t="inlineStr">
        <is>
          <t>YES</t>
        </is>
      </c>
      <c r="L260" s="20" t="n"/>
    </row>
    <row r="261" ht="15" customHeight="1" s="17">
      <c r="A261" s="20" t="inlineStr">
        <is>
          <t>H0257</t>
        </is>
      </c>
      <c r="B261" s="20" t="inlineStr">
        <is>
          <t>NZ|LCM|M|14|800 Free</t>
        </is>
      </c>
      <c r="C261" s="20" t="inlineStr">
        <is>
          <t>LCM</t>
        </is>
      </c>
      <c r="D261" s="20" t="inlineStr">
        <is>
          <t>Male</t>
        </is>
      </c>
      <c r="E261" s="20" t="n">
        <v>14</v>
      </c>
      <c r="F261" s="20" t="inlineStr">
        <is>
          <t>800 Free</t>
        </is>
      </c>
      <c r="G261" s="20" t="inlineStr">
        <is>
          <t>Michael Mincham</t>
        </is>
      </c>
      <c r="H261" s="20" t="inlineStr">
        <is>
          <t>8:23.63</t>
        </is>
      </c>
      <c r="I261" s="20" t="inlineStr">
        <is>
          <t>05.04.11</t>
        </is>
      </c>
      <c r="J261" s="20" t="n"/>
      <c r="K261" s="20" t="inlineStr">
        <is>
          <t>YES</t>
        </is>
      </c>
      <c r="L261" s="20" t="n"/>
    </row>
    <row r="262" ht="15" customHeight="1" s="17">
      <c r="A262" s="20" t="inlineStr">
        <is>
          <t>H0258</t>
        </is>
      </c>
      <c r="B262" s="20" t="inlineStr">
        <is>
          <t>NZ|LCM|M|14|1500 Free</t>
        </is>
      </c>
      <c r="C262" s="20" t="inlineStr">
        <is>
          <t>LCM</t>
        </is>
      </c>
      <c r="D262" s="20" t="inlineStr">
        <is>
          <t>Male</t>
        </is>
      </c>
      <c r="E262" s="20" t="n">
        <v>14</v>
      </c>
      <c r="F262" s="20" t="inlineStr">
        <is>
          <t>1500 Free</t>
        </is>
      </c>
      <c r="G262" s="20" t="inlineStr">
        <is>
          <t>Michael Mincham</t>
        </is>
      </c>
      <c r="H262" s="20" t="inlineStr">
        <is>
          <t>15:50.69</t>
        </is>
      </c>
      <c r="I262" s="20" t="inlineStr">
        <is>
          <t>08.04.11</t>
        </is>
      </c>
      <c r="J262" s="20" t="n"/>
      <c r="K262" s="20" t="inlineStr">
        <is>
          <t>YES</t>
        </is>
      </c>
      <c r="L262" s="20" t="n"/>
    </row>
    <row r="263" ht="15" customHeight="1" s="17">
      <c r="A263" s="20" t="inlineStr">
        <is>
          <t>H0259</t>
        </is>
      </c>
      <c r="B263" s="20" t="inlineStr">
        <is>
          <t>NZ|LCM|M|14|50 Back</t>
        </is>
      </c>
      <c r="C263" s="20" t="inlineStr">
        <is>
          <t>LCM</t>
        </is>
      </c>
      <c r="D263" s="20" t="inlineStr">
        <is>
          <t>Male</t>
        </is>
      </c>
      <c r="E263" s="20" t="n">
        <v>14</v>
      </c>
      <c r="F263" s="20" t="inlineStr">
        <is>
          <t>50 Back</t>
        </is>
      </c>
      <c r="G263" s="20" t="inlineStr">
        <is>
          <t>Te Rauroha Paki</t>
        </is>
      </c>
      <c r="H263" s="20" t="inlineStr">
        <is>
          <t>27.05</t>
        </is>
      </c>
      <c r="I263" s="20" t="inlineStr">
        <is>
          <t>04.06.25</t>
        </is>
      </c>
      <c r="J263" s="20" t="n"/>
      <c r="K263" s="20" t="inlineStr">
        <is>
          <t>YES</t>
        </is>
      </c>
      <c r="L263" s="20" t="n"/>
    </row>
    <row r="264" ht="15" customHeight="1" s="17">
      <c r="A264" s="20" t="inlineStr">
        <is>
          <t>H0260</t>
        </is>
      </c>
      <c r="B264" s="20" t="inlineStr">
        <is>
          <t>NZ|LCM|M|14|100 Back</t>
        </is>
      </c>
      <c r="C264" s="20" t="inlineStr">
        <is>
          <t>LCM</t>
        </is>
      </c>
      <c r="D264" s="20" t="inlineStr">
        <is>
          <t>Male</t>
        </is>
      </c>
      <c r="E264" s="20" t="n">
        <v>14</v>
      </c>
      <c r="F264" s="20" t="inlineStr">
        <is>
          <t>100 Back</t>
        </is>
      </c>
      <c r="G264" s="20" t="inlineStr">
        <is>
          <t>Te Rauroha Paki</t>
        </is>
      </c>
      <c r="H264" s="20" t="inlineStr">
        <is>
          <t>57.34</t>
        </is>
      </c>
      <c r="I264" s="20" t="inlineStr">
        <is>
          <t>23.05.25</t>
        </is>
      </c>
      <c r="J264" s="20" t="n"/>
      <c r="K264" s="20" t="inlineStr">
        <is>
          <t>YES</t>
        </is>
      </c>
      <c r="L264" s="20" t="n"/>
    </row>
    <row r="265" ht="15" customHeight="1" s="17">
      <c r="A265" s="20" t="inlineStr">
        <is>
          <t>H0261</t>
        </is>
      </c>
      <c r="B265" s="20" t="inlineStr">
        <is>
          <t>NZ|LCM|M|14|200 Back</t>
        </is>
      </c>
      <c r="C265" s="20" t="inlineStr">
        <is>
          <t>LCM</t>
        </is>
      </c>
      <c r="D265" s="20" t="inlineStr">
        <is>
          <t>Male</t>
        </is>
      </c>
      <c r="E265" s="20" t="n">
        <v>14</v>
      </c>
      <c r="F265" s="20" t="inlineStr">
        <is>
          <t>200 Back</t>
        </is>
      </c>
      <c r="G265" s="20" t="inlineStr">
        <is>
          <t>Te Rauroha Paki</t>
        </is>
      </c>
      <c r="H265" s="20" t="inlineStr">
        <is>
          <t>2:06.70</t>
        </is>
      </c>
      <c r="I265" s="20" t="inlineStr">
        <is>
          <t>22.05.25</t>
        </is>
      </c>
      <c r="J265" s="20" t="n"/>
      <c r="K265" s="20" t="inlineStr">
        <is>
          <t>YES</t>
        </is>
      </c>
      <c r="L265" s="20" t="n"/>
    </row>
    <row r="266" ht="15" customHeight="1" s="17">
      <c r="A266" s="20" t="inlineStr">
        <is>
          <t>H0262</t>
        </is>
      </c>
      <c r="B266" s="20" t="inlineStr">
        <is>
          <t>NZ|LCM|M|14|50 Breast</t>
        </is>
      </c>
      <c r="C266" s="20" t="inlineStr">
        <is>
          <t>LCM</t>
        </is>
      </c>
      <c r="D266" s="20" t="inlineStr">
        <is>
          <t>Male</t>
        </is>
      </c>
      <c r="E266" s="20" t="n">
        <v>14</v>
      </c>
      <c r="F266" s="20" t="inlineStr">
        <is>
          <t>50 Breast</t>
        </is>
      </c>
      <c r="G266" s="20" t="inlineStr">
        <is>
          <t>Michael Yang</t>
        </is>
      </c>
      <c r="H266" s="20" t="inlineStr">
        <is>
          <t>29.73</t>
        </is>
      </c>
      <c r="I266" s="20" t="inlineStr">
        <is>
          <t>09.04.26</t>
        </is>
      </c>
      <c r="J266" s="20" t="n"/>
      <c r="K266" s="20" t="inlineStr">
        <is>
          <t>YES</t>
        </is>
      </c>
      <c r="L266" s="20" t="n"/>
    </row>
    <row r="267" ht="15" customHeight="1" s="17">
      <c r="A267" s="20" t="inlineStr">
        <is>
          <t>H0263</t>
        </is>
      </c>
      <c r="B267" s="20" t="inlineStr">
        <is>
          <t>NZ|LCM|M|14|100 Breast</t>
        </is>
      </c>
      <c r="C267" s="20" t="inlineStr">
        <is>
          <t>LCM</t>
        </is>
      </c>
      <c r="D267" s="20" t="inlineStr">
        <is>
          <t>Male</t>
        </is>
      </c>
      <c r="E267" s="20" t="n">
        <v>14</v>
      </c>
      <c r="F267" s="20" t="inlineStr">
        <is>
          <t>100 Breast</t>
        </is>
      </c>
      <c r="G267" s="20" t="inlineStr">
        <is>
          <t>Michael Yang</t>
        </is>
      </c>
      <c r="H267" s="20" t="inlineStr">
        <is>
          <t>1:06.02</t>
        </is>
      </c>
      <c r="I267" s="20" t="inlineStr">
        <is>
          <t>13.03.26</t>
        </is>
      </c>
      <c r="J267" s="20" t="n"/>
      <c r="K267" s="20" t="inlineStr">
        <is>
          <t>YES</t>
        </is>
      </c>
      <c r="L267" s="20" t="n"/>
    </row>
    <row r="268" ht="15" customHeight="1" s="17">
      <c r="A268" s="20" t="inlineStr">
        <is>
          <t>H0264</t>
        </is>
      </c>
      <c r="B268" s="20" t="inlineStr">
        <is>
          <t>NZ|LCM|M|14|200 Breast</t>
        </is>
      </c>
      <c r="C268" s="20" t="inlineStr">
        <is>
          <t>LCM</t>
        </is>
      </c>
      <c r="D268" s="20" t="inlineStr">
        <is>
          <t>Male</t>
        </is>
      </c>
      <c r="E268" s="20" t="n">
        <v>14</v>
      </c>
      <c r="F268" s="20" t="inlineStr">
        <is>
          <t>200 Breast</t>
        </is>
      </c>
      <c r="G268" s="20" t="inlineStr">
        <is>
          <t>Joshua Gilbert</t>
        </is>
      </c>
      <c r="H268" s="20" t="inlineStr">
        <is>
          <t>2:23.64</t>
        </is>
      </c>
      <c r="I268" s="20" t="inlineStr">
        <is>
          <t>20.04.16</t>
        </is>
      </c>
      <c r="J268" s="20" t="n"/>
      <c r="K268" s="20" t="inlineStr">
        <is>
          <t>YES</t>
        </is>
      </c>
      <c r="L268" s="20" t="n"/>
    </row>
    <row r="269" ht="15" customHeight="1" s="17">
      <c r="A269" s="20" t="inlineStr">
        <is>
          <t>H0265</t>
        </is>
      </c>
      <c r="B269" s="20" t="inlineStr">
        <is>
          <t>NZ|LCM|M|14|50 Fly</t>
        </is>
      </c>
      <c r="C269" s="20" t="inlineStr">
        <is>
          <t>LCM</t>
        </is>
      </c>
      <c r="D269" s="20" t="inlineStr">
        <is>
          <t>Male</t>
        </is>
      </c>
      <c r="E269" s="20" t="n">
        <v>14</v>
      </c>
      <c r="F269" s="20" t="inlineStr">
        <is>
          <t>50 Fly</t>
        </is>
      </c>
      <c r="G269" s="20" t="inlineStr">
        <is>
          <t>Grayson Coulter</t>
        </is>
      </c>
      <c r="H269" s="20" t="inlineStr">
        <is>
          <t>25.71</t>
        </is>
      </c>
      <c r="I269" s="20" t="inlineStr">
        <is>
          <t>10.04.26 / 17.05.26</t>
        </is>
      </c>
      <c r="J269" s="20" t="n"/>
      <c r="K269" s="20" t="inlineStr">
        <is>
          <t>YES</t>
        </is>
      </c>
      <c r="L269" s="20" t="n"/>
    </row>
    <row r="270" ht="15" customHeight="1" s="17">
      <c r="A270" s="20" t="inlineStr">
        <is>
          <t>H0266</t>
        </is>
      </c>
      <c r="B270" s="20" t="inlineStr">
        <is>
          <t>NZ|LCM|M|14|100 Fly</t>
        </is>
      </c>
      <c r="C270" s="20" t="inlineStr">
        <is>
          <t>LCM</t>
        </is>
      </c>
      <c r="D270" s="20" t="inlineStr">
        <is>
          <t>Male</t>
        </is>
      </c>
      <c r="E270" s="20" t="n">
        <v>14</v>
      </c>
      <c r="F270" s="20" t="inlineStr">
        <is>
          <t>100 Fly</t>
        </is>
      </c>
      <c r="G270" s="20" t="inlineStr">
        <is>
          <t>Grayson Coulter</t>
        </is>
      </c>
      <c r="H270" s="20" t="inlineStr">
        <is>
          <t>56.09</t>
        </is>
      </c>
      <c r="I270" s="20" t="inlineStr">
        <is>
          <t>08.04.26</t>
        </is>
      </c>
      <c r="J270" s="20" t="n"/>
      <c r="K270" s="20" t="inlineStr">
        <is>
          <t>YES</t>
        </is>
      </c>
      <c r="L270" s="20" t="n"/>
    </row>
    <row r="271" ht="15" customHeight="1" s="17">
      <c r="A271" s="20" t="inlineStr">
        <is>
          <t>H0267</t>
        </is>
      </c>
      <c r="B271" s="20" t="inlineStr">
        <is>
          <t>NZ|LCM|M|14|200 Fly</t>
        </is>
      </c>
      <c r="C271" s="20" t="inlineStr">
        <is>
          <t>LCM</t>
        </is>
      </c>
      <c r="D271" s="20" t="inlineStr">
        <is>
          <t>Male</t>
        </is>
      </c>
      <c r="E271" s="20" t="n">
        <v>14</v>
      </c>
      <c r="F271" s="20" t="inlineStr">
        <is>
          <t>200 Fly</t>
        </is>
      </c>
      <c r="G271" s="20" t="inlineStr">
        <is>
          <t>Cameron Burrows</t>
        </is>
      </c>
      <c r="H271" s="20" t="inlineStr">
        <is>
          <t>2:07.99</t>
        </is>
      </c>
      <c r="I271" s="20" t="inlineStr">
        <is>
          <t>20.04.06</t>
        </is>
      </c>
      <c r="J271" s="20" t="n"/>
      <c r="K271" s="20" t="inlineStr">
        <is>
          <t>YES</t>
        </is>
      </c>
      <c r="L271" s="20" t="n"/>
    </row>
    <row r="272" ht="15" customHeight="1" s="17">
      <c r="A272" s="20" t="inlineStr">
        <is>
          <t>H0268</t>
        </is>
      </c>
      <c r="B272" s="20" t="inlineStr">
        <is>
          <t>NZ|LCM|M|14|200 IM</t>
        </is>
      </c>
      <c r="C272" s="20" t="inlineStr">
        <is>
          <t>LCM</t>
        </is>
      </c>
      <c r="D272" s="20" t="inlineStr">
        <is>
          <t>Male</t>
        </is>
      </c>
      <c r="E272" s="20" t="n">
        <v>14</v>
      </c>
      <c r="F272" s="20" t="inlineStr">
        <is>
          <t>200 IM</t>
        </is>
      </c>
      <c r="G272" s="20" t="inlineStr">
        <is>
          <t>Joshua Taylor-Martin</t>
        </is>
      </c>
      <c r="H272" s="20" t="inlineStr">
        <is>
          <t>2:10.56</t>
        </is>
      </c>
      <c r="I272" s="20" t="inlineStr">
        <is>
          <t>14.12.13</t>
        </is>
      </c>
      <c r="J272" s="20" t="n"/>
      <c r="K272" s="20" t="inlineStr">
        <is>
          <t>YES</t>
        </is>
      </c>
      <c r="L272" s="20" t="n"/>
    </row>
    <row r="273" ht="15" customHeight="1" s="17">
      <c r="A273" s="20" t="inlineStr">
        <is>
          <t>H0269</t>
        </is>
      </c>
      <c r="B273" s="20" t="inlineStr">
        <is>
          <t>NZ|LCM|M|14|400 IM</t>
        </is>
      </c>
      <c r="C273" s="20" t="inlineStr">
        <is>
          <t>LCM</t>
        </is>
      </c>
      <c r="D273" s="20" t="inlineStr">
        <is>
          <t>Male</t>
        </is>
      </c>
      <c r="E273" s="20" t="n">
        <v>14</v>
      </c>
      <c r="F273" s="20" t="inlineStr">
        <is>
          <t>400 IM</t>
        </is>
      </c>
      <c r="G273" s="20" t="inlineStr">
        <is>
          <t>Mitchell Donaldson</t>
        </is>
      </c>
      <c r="H273" s="20" t="inlineStr">
        <is>
          <t>4:38.15</t>
        </is>
      </c>
      <c r="I273" s="20" t="inlineStr">
        <is>
          <t>07.12.07</t>
        </is>
      </c>
      <c r="J273" s="20" t="n"/>
      <c r="K273" s="20" t="inlineStr">
        <is>
          <t>YES</t>
        </is>
      </c>
      <c r="L273" s="20" t="n"/>
    </row>
    <row r="274" ht="15" customHeight="1" s="17">
      <c r="A274" s="20" t="inlineStr">
        <is>
          <t>H0270</t>
        </is>
      </c>
      <c r="B274" s="20" t="inlineStr">
        <is>
          <t>NZ|LCM|M|15|50 Free</t>
        </is>
      </c>
      <c r="C274" s="20" t="inlineStr">
        <is>
          <t>LCM</t>
        </is>
      </c>
      <c r="D274" s="20" t="inlineStr">
        <is>
          <t>Male</t>
        </is>
      </c>
      <c r="E274" s="20" t="n">
        <v>15</v>
      </c>
      <c r="F274" s="20" t="inlineStr">
        <is>
          <t>50 Free</t>
        </is>
      </c>
      <c r="G274" s="20" t="inlineStr">
        <is>
          <t>Michael Pickett</t>
        </is>
      </c>
      <c r="H274" s="20" t="inlineStr">
        <is>
          <t>23.08</t>
        </is>
      </c>
      <c r="I274" s="20" t="inlineStr">
        <is>
          <t>04.07.18</t>
        </is>
      </c>
      <c r="J274" s="20" t="n"/>
      <c r="K274" s="20" t="inlineStr">
        <is>
          <t>YES</t>
        </is>
      </c>
      <c r="L274" s="20" t="n"/>
    </row>
    <row r="275" ht="15" customHeight="1" s="17">
      <c r="A275" s="20" t="inlineStr">
        <is>
          <t>H0271</t>
        </is>
      </c>
      <c r="B275" s="20" t="inlineStr">
        <is>
          <t>NZ|LCM|M|15|100 Free</t>
        </is>
      </c>
      <c r="C275" s="20" t="inlineStr">
        <is>
          <t>LCM</t>
        </is>
      </c>
      <c r="D275" s="20" t="inlineStr">
        <is>
          <t>Male</t>
        </is>
      </c>
      <c r="E275" s="20" t="n">
        <v>15</v>
      </c>
      <c r="F275" s="20" t="inlineStr">
        <is>
          <t>100 Free</t>
        </is>
      </c>
      <c r="G275" s="20" t="inlineStr">
        <is>
          <t>Michael Pickett</t>
        </is>
      </c>
      <c r="H275" s="20" t="inlineStr">
        <is>
          <t>50.61</t>
        </is>
      </c>
      <c r="I275" s="20" t="inlineStr">
        <is>
          <t>06.07.18</t>
        </is>
      </c>
      <c r="J275" s="20" t="n"/>
      <c r="K275" s="20" t="inlineStr">
        <is>
          <t>YES</t>
        </is>
      </c>
      <c r="L275" s="20" t="n"/>
    </row>
    <row r="276" ht="15" customHeight="1" s="17">
      <c r="A276" s="20" t="inlineStr">
        <is>
          <t>H0272</t>
        </is>
      </c>
      <c r="B276" s="20" t="inlineStr">
        <is>
          <t>NZ|LCM|M|15|200 Free</t>
        </is>
      </c>
      <c r="C276" s="20" t="inlineStr">
        <is>
          <t>LCM</t>
        </is>
      </c>
      <c r="D276" s="20" t="inlineStr">
        <is>
          <t>Male</t>
        </is>
      </c>
      <c r="E276" s="20" t="n">
        <v>15</v>
      </c>
      <c r="F276" s="20" t="inlineStr">
        <is>
          <t>200 Free</t>
        </is>
      </c>
      <c r="G276" s="20" t="inlineStr">
        <is>
          <t>Danyon Loader</t>
        </is>
      </c>
      <c r="H276" s="20" t="inlineStr">
        <is>
          <t>1:53.64</t>
        </is>
      </c>
      <c r="I276" s="20" t="inlineStr">
        <is>
          <t>15.03.91</t>
        </is>
      </c>
      <c r="J276" s="20" t="n"/>
      <c r="K276" s="20" t="inlineStr">
        <is>
          <t>YES</t>
        </is>
      </c>
      <c r="L276" s="20" t="n"/>
    </row>
    <row r="277" ht="15" customHeight="1" s="17">
      <c r="A277" s="20" t="inlineStr">
        <is>
          <t>H0273</t>
        </is>
      </c>
      <c r="B277" s="20" t="inlineStr">
        <is>
          <t>NZ|LCM|M|15|400 Free</t>
        </is>
      </c>
      <c r="C277" s="20" t="inlineStr">
        <is>
          <t>LCM</t>
        </is>
      </c>
      <c r="D277" s="20" t="inlineStr">
        <is>
          <t>Male</t>
        </is>
      </c>
      <c r="E277" s="20" t="n">
        <v>15</v>
      </c>
      <c r="F277" s="20" t="inlineStr">
        <is>
          <t>400 Free</t>
        </is>
      </c>
      <c r="G277" s="20" t="inlineStr">
        <is>
          <t>Danyon Loader</t>
        </is>
      </c>
      <c r="H277" s="20" t="inlineStr">
        <is>
          <t>3:55.98</t>
        </is>
      </c>
      <c r="I277" s="20" t="inlineStr">
        <is>
          <t>22.09.90</t>
        </is>
      </c>
      <c r="J277" s="20" t="n"/>
      <c r="K277" s="20" t="inlineStr">
        <is>
          <t>YES</t>
        </is>
      </c>
      <c r="L277" s="20" t="n"/>
    </row>
    <row r="278" ht="15" customHeight="1" s="17">
      <c r="A278" s="20" t="inlineStr">
        <is>
          <t>H0274</t>
        </is>
      </c>
      <c r="B278" s="20" t="inlineStr">
        <is>
          <t>NZ|LCM|M|15|800 Free</t>
        </is>
      </c>
      <c r="C278" s="20" t="inlineStr">
        <is>
          <t>LCM</t>
        </is>
      </c>
      <c r="D278" s="20" t="inlineStr">
        <is>
          <t>Male</t>
        </is>
      </c>
      <c r="E278" s="20" t="n">
        <v>15</v>
      </c>
      <c r="F278" s="20" t="inlineStr">
        <is>
          <t>800 Free</t>
        </is>
      </c>
      <c r="G278" s="20" t="inlineStr">
        <is>
          <t>Danyon Loader</t>
        </is>
      </c>
      <c r="H278" s="20" t="inlineStr">
        <is>
          <t>8:05.32</t>
        </is>
      </c>
      <c r="I278" s="20" t="inlineStr">
        <is>
          <t>13.03.91</t>
        </is>
      </c>
      <c r="J278" s="20" t="n"/>
      <c r="K278" s="20" t="inlineStr">
        <is>
          <t>YES</t>
        </is>
      </c>
      <c r="L278" s="20" t="n"/>
    </row>
    <row r="279" ht="15" customHeight="1" s="17">
      <c r="A279" s="20" t="inlineStr">
        <is>
          <t>H0275</t>
        </is>
      </c>
      <c r="B279" s="20" t="inlineStr">
        <is>
          <t>NZ|LCM|M|15|1500 Free</t>
        </is>
      </c>
      <c r="C279" s="20" t="inlineStr">
        <is>
          <t>LCM</t>
        </is>
      </c>
      <c r="D279" s="20" t="inlineStr">
        <is>
          <t>Male</t>
        </is>
      </c>
      <c r="E279" s="20" t="n">
        <v>15</v>
      </c>
      <c r="F279" s="20" t="inlineStr">
        <is>
          <t>1500 Free</t>
        </is>
      </c>
      <c r="G279" s="20" t="inlineStr">
        <is>
          <t>Michael Mincham</t>
        </is>
      </c>
      <c r="H279" s="20" t="inlineStr">
        <is>
          <t>15:33.59</t>
        </is>
      </c>
      <c r="I279" s="20" t="inlineStr">
        <is>
          <t>31.03.12</t>
        </is>
      </c>
      <c r="J279" s="20" t="n"/>
      <c r="K279" s="20" t="inlineStr">
        <is>
          <t>YES</t>
        </is>
      </c>
      <c r="L279" s="20" t="n"/>
    </row>
    <row r="280" ht="15" customHeight="1" s="17">
      <c r="A280" s="20" t="inlineStr">
        <is>
          <t>H0276</t>
        </is>
      </c>
      <c r="B280" s="20" t="inlineStr">
        <is>
          <t>NZ|LCM|M|15|50 Back</t>
        </is>
      </c>
      <c r="C280" s="20" t="inlineStr">
        <is>
          <t>LCM</t>
        </is>
      </c>
      <c r="D280" s="20" t="inlineStr">
        <is>
          <t>Male</t>
        </is>
      </c>
      <c r="E280" s="20" t="n">
        <v>15</v>
      </c>
      <c r="F280" s="20" t="inlineStr">
        <is>
          <t>50 Back</t>
        </is>
      </c>
      <c r="G280" s="20" t="inlineStr">
        <is>
          <t>Taiko Torepe-Ormsby</t>
        </is>
      </c>
      <c r="H280" s="20" t="inlineStr">
        <is>
          <t>26.43</t>
        </is>
      </c>
      <c r="I280" s="20" t="inlineStr">
        <is>
          <t>20.06.19</t>
        </is>
      </c>
      <c r="J280" s="20" t="n"/>
      <c r="K280" s="20" t="inlineStr">
        <is>
          <t>YES</t>
        </is>
      </c>
      <c r="L280" s="20" t="n"/>
    </row>
    <row r="281" ht="15" customHeight="1" s="17">
      <c r="A281" s="20" t="inlineStr">
        <is>
          <t>H0277</t>
        </is>
      </c>
      <c r="B281" s="20" t="inlineStr">
        <is>
          <t>NZ|LCM|M|15|100 Back</t>
        </is>
      </c>
      <c r="C281" s="20" t="inlineStr">
        <is>
          <t>LCM</t>
        </is>
      </c>
      <c r="D281" s="20" t="inlineStr">
        <is>
          <t>Male</t>
        </is>
      </c>
      <c r="E281" s="20" t="n">
        <v>15</v>
      </c>
      <c r="F281" s="20" t="inlineStr">
        <is>
          <t>100 Back</t>
        </is>
      </c>
      <c r="G281" s="20" t="inlineStr">
        <is>
          <t>Cameron Gray</t>
        </is>
      </c>
      <c r="H281" s="20" t="inlineStr">
        <is>
          <t>57.12</t>
        </is>
      </c>
      <c r="I281" s="20" t="inlineStr">
        <is>
          <t>17.06.19</t>
        </is>
      </c>
      <c r="J281" s="20" t="n"/>
      <c r="K281" s="20" t="inlineStr">
        <is>
          <t>YES</t>
        </is>
      </c>
      <c r="L281" s="20" t="n"/>
    </row>
    <row r="282" ht="15" customHeight="1" s="17">
      <c r="A282" s="20" t="inlineStr">
        <is>
          <t>H0278</t>
        </is>
      </c>
      <c r="B282" s="20" t="inlineStr">
        <is>
          <t>NZ|LCM|M|15|200 Back</t>
        </is>
      </c>
      <c r="C282" s="20" t="inlineStr">
        <is>
          <t>LCM</t>
        </is>
      </c>
      <c r="D282" s="20" t="inlineStr">
        <is>
          <t>Male</t>
        </is>
      </c>
      <c r="E282" s="20" t="n">
        <v>15</v>
      </c>
      <c r="F282" s="20" t="inlineStr">
        <is>
          <t>200 Back</t>
        </is>
      </c>
      <c r="G282" s="20" t="inlineStr">
        <is>
          <t>Te Rauroha Paki</t>
        </is>
      </c>
      <c r="H282" s="20" t="inlineStr">
        <is>
          <t>2:02.91</t>
        </is>
      </c>
      <c r="I282" s="20" t="inlineStr">
        <is>
          <t>09.04.26</t>
        </is>
      </c>
      <c r="J282" s="20" t="n"/>
      <c r="K282" s="20" t="inlineStr">
        <is>
          <t>YES</t>
        </is>
      </c>
      <c r="L282" s="20" t="n"/>
    </row>
    <row r="283" ht="15" customHeight="1" s="17">
      <c r="A283" s="20" t="inlineStr">
        <is>
          <t>H0279</t>
        </is>
      </c>
      <c r="B283" s="20" t="inlineStr">
        <is>
          <t>NZ|LCM|M|15|50 Breast</t>
        </is>
      </c>
      <c r="C283" s="20" t="inlineStr">
        <is>
          <t>LCM</t>
        </is>
      </c>
      <c r="D283" s="20" t="inlineStr">
        <is>
          <t>Male</t>
        </is>
      </c>
      <c r="E283" s="20" t="n">
        <v>15</v>
      </c>
      <c r="F283" s="20" t="inlineStr">
        <is>
          <t>50 Breast</t>
        </is>
      </c>
      <c r="G283" s="20" t="inlineStr">
        <is>
          <t>Charles Hames</t>
        </is>
      </c>
      <c r="H283" s="20" t="inlineStr">
        <is>
          <t>29.49</t>
        </is>
      </c>
      <c r="I283" s="20" t="inlineStr">
        <is>
          <t>21.06.26</t>
        </is>
      </c>
      <c r="J283" s="20" t="n"/>
      <c r="K283" s="20" t="inlineStr">
        <is>
          <t>YES</t>
        </is>
      </c>
      <c r="L283" s="20" t="n"/>
    </row>
    <row r="284" ht="15" customHeight="1" s="17">
      <c r="A284" s="20" t="inlineStr">
        <is>
          <t>H0280</t>
        </is>
      </c>
      <c r="B284" s="20" t="inlineStr">
        <is>
          <t>NZ|LCM|M|15|100 Breast</t>
        </is>
      </c>
      <c r="C284" s="20" t="inlineStr">
        <is>
          <t>LCM</t>
        </is>
      </c>
      <c r="D284" s="20" t="inlineStr">
        <is>
          <t>Male</t>
        </is>
      </c>
      <c r="E284" s="20" t="n">
        <v>15</v>
      </c>
      <c r="F284" s="20" t="inlineStr">
        <is>
          <t>100 Breast</t>
        </is>
      </c>
      <c r="G284" s="20" t="inlineStr">
        <is>
          <t>Jeffrey Arona-Tuifana'e</t>
        </is>
      </c>
      <c r="H284" s="20" t="inlineStr">
        <is>
          <t>1:04.53</t>
        </is>
      </c>
      <c r="I284" s="20" t="inlineStr">
        <is>
          <t>07.04.10</t>
        </is>
      </c>
      <c r="J284" s="20" t="n"/>
      <c r="K284" s="20" t="inlineStr">
        <is>
          <t>YES</t>
        </is>
      </c>
      <c r="L284" s="20" t="n"/>
    </row>
    <row r="285" ht="15" customHeight="1" s="17">
      <c r="A285" s="20" t="inlineStr">
        <is>
          <t>H0281</t>
        </is>
      </c>
      <c r="B285" s="20" t="inlineStr">
        <is>
          <t>NZ|LCM|M|15|200 Breast</t>
        </is>
      </c>
      <c r="C285" s="20" t="inlineStr">
        <is>
          <t>LCM</t>
        </is>
      </c>
      <c r="D285" s="20" t="inlineStr">
        <is>
          <t>Male</t>
        </is>
      </c>
      <c r="E285" s="20" t="n">
        <v>15</v>
      </c>
      <c r="F285" s="20" t="inlineStr">
        <is>
          <t>200 Breast</t>
        </is>
      </c>
      <c r="G285" s="20" t="inlineStr">
        <is>
          <t>Jacob Story</t>
        </is>
      </c>
      <c r="H285" s="20" t="inlineStr">
        <is>
          <t>2:21.39</t>
        </is>
      </c>
      <c r="I285" s="20" t="inlineStr">
        <is>
          <t>12.11.23</t>
        </is>
      </c>
      <c r="J285" s="20" t="n"/>
      <c r="K285" s="20" t="inlineStr">
        <is>
          <t>YES</t>
        </is>
      </c>
      <c r="L285" s="20" t="n"/>
    </row>
    <row r="286" ht="15" customHeight="1" s="17">
      <c r="A286" s="20" t="inlineStr">
        <is>
          <t>H0282</t>
        </is>
      </c>
      <c r="B286" s="20" t="inlineStr">
        <is>
          <t>NZ|LCM|M|15|50 Fly</t>
        </is>
      </c>
      <c r="C286" s="20" t="inlineStr">
        <is>
          <t>LCM</t>
        </is>
      </c>
      <c r="D286" s="20" t="inlineStr">
        <is>
          <t>Male</t>
        </is>
      </c>
      <c r="E286" s="20" t="n">
        <v>15</v>
      </c>
      <c r="F286" s="20" t="inlineStr">
        <is>
          <t>50 Fly</t>
        </is>
      </c>
      <c r="G286" s="20" t="inlineStr">
        <is>
          <t>Cameron Gray</t>
        </is>
      </c>
      <c r="H286" s="20" t="inlineStr">
        <is>
          <t>25.09</t>
        </is>
      </c>
      <c r="I286" s="20" t="inlineStr">
        <is>
          <t>17.06.19</t>
        </is>
      </c>
      <c r="J286" s="20" t="n"/>
      <c r="K286" s="20" t="inlineStr">
        <is>
          <t>YES</t>
        </is>
      </c>
      <c r="L286" s="20" t="n"/>
    </row>
    <row r="287" ht="15" customHeight="1" s="17">
      <c r="A287" s="20" t="inlineStr">
        <is>
          <t>H0283</t>
        </is>
      </c>
      <c r="B287" s="20" t="inlineStr">
        <is>
          <t>NZ|LCM|M|15|100 Fly</t>
        </is>
      </c>
      <c r="C287" s="20" t="inlineStr">
        <is>
          <t>LCM</t>
        </is>
      </c>
      <c r="D287" s="20" t="inlineStr">
        <is>
          <t>Male</t>
        </is>
      </c>
      <c r="E287" s="20" t="n">
        <v>15</v>
      </c>
      <c r="F287" s="20" t="inlineStr">
        <is>
          <t>100 Fly</t>
        </is>
      </c>
      <c r="G287" s="20" t="inlineStr">
        <is>
          <t>Danyon Loader</t>
        </is>
      </c>
      <c r="H287" s="20" t="inlineStr">
        <is>
          <t>56.38</t>
        </is>
      </c>
      <c r="I287" s="20" t="inlineStr">
        <is>
          <t>15.03.91</t>
        </is>
      </c>
      <c r="J287" s="20" t="n"/>
      <c r="K287" s="20" t="inlineStr">
        <is>
          <t>YES</t>
        </is>
      </c>
      <c r="L287" s="20" t="n"/>
    </row>
    <row r="288" ht="15" customHeight="1" s="17">
      <c r="A288" s="20" t="inlineStr">
        <is>
          <t>H0284</t>
        </is>
      </c>
      <c r="B288" s="20" t="inlineStr">
        <is>
          <t>NZ|LCM|M|15|200 Fly</t>
        </is>
      </c>
      <c r="C288" s="20" t="inlineStr">
        <is>
          <t>LCM</t>
        </is>
      </c>
      <c r="D288" s="20" t="inlineStr">
        <is>
          <t>Male</t>
        </is>
      </c>
      <c r="E288" s="20" t="n">
        <v>15</v>
      </c>
      <c r="F288" s="20" t="inlineStr">
        <is>
          <t>200 Fly</t>
        </is>
      </c>
      <c r="G288" s="20" t="inlineStr">
        <is>
          <t>Ariel Muchirahondo</t>
        </is>
      </c>
      <c r="H288" s="20" t="inlineStr">
        <is>
          <t>2:02.94</t>
        </is>
      </c>
      <c r="I288" s="20" t="inlineStr">
        <is>
          <t>23.02.25</t>
        </is>
      </c>
      <c r="J288" s="20" t="n"/>
      <c r="K288" s="20" t="inlineStr">
        <is>
          <t>YES</t>
        </is>
      </c>
      <c r="L288" s="20" t="n"/>
    </row>
    <row r="289" ht="15" customHeight="1" s="17">
      <c r="A289" s="20" t="inlineStr">
        <is>
          <t>H0285</t>
        </is>
      </c>
      <c r="B289" s="20" t="inlineStr">
        <is>
          <t>NZ|LCM|M|15|200 IM</t>
        </is>
      </c>
      <c r="C289" s="20" t="inlineStr">
        <is>
          <t>LCM</t>
        </is>
      </c>
      <c r="D289" s="20" t="inlineStr">
        <is>
          <t>Male</t>
        </is>
      </c>
      <c r="E289" s="20" t="n">
        <v>15</v>
      </c>
      <c r="F289" s="20" t="inlineStr">
        <is>
          <t>200 IM</t>
        </is>
      </c>
      <c r="G289" s="20" t="inlineStr">
        <is>
          <t>Ariel Muchirahondo</t>
        </is>
      </c>
      <c r="H289" s="20" t="inlineStr">
        <is>
          <t>2:07.99</t>
        </is>
      </c>
      <c r="I289" s="20" t="inlineStr">
        <is>
          <t>20.12.24</t>
        </is>
      </c>
      <c r="J289" s="20" t="n"/>
      <c r="K289" s="20" t="inlineStr">
        <is>
          <t>YES</t>
        </is>
      </c>
      <c r="L289" s="20" t="n"/>
    </row>
    <row r="290" ht="15" customHeight="1" s="17">
      <c r="A290" s="20" t="inlineStr">
        <is>
          <t>H0286</t>
        </is>
      </c>
      <c r="B290" s="20" t="inlineStr">
        <is>
          <t>NZ|LCM|M|15|400 IM</t>
        </is>
      </c>
      <c r="C290" s="20" t="inlineStr">
        <is>
          <t>LCM</t>
        </is>
      </c>
      <c r="D290" s="20" t="inlineStr">
        <is>
          <t>Male</t>
        </is>
      </c>
      <c r="E290" s="20" t="n">
        <v>15</v>
      </c>
      <c r="F290" s="20" t="inlineStr">
        <is>
          <t>400 IM</t>
        </is>
      </c>
      <c r="G290" s="20" t="inlineStr">
        <is>
          <t>Ariel Muchirahondo</t>
        </is>
      </c>
      <c r="H290" s="20" t="inlineStr">
        <is>
          <t>4:28.71</t>
        </is>
      </c>
      <c r="I290" s="20" t="inlineStr">
        <is>
          <t>01.12.24</t>
        </is>
      </c>
      <c r="J290" s="20" t="n"/>
      <c r="K290" s="20" t="inlineStr">
        <is>
          <t>YES</t>
        </is>
      </c>
      <c r="L290" s="20" t="n"/>
    </row>
    <row r="291" ht="15" customHeight="1" s="17">
      <c r="A291" s="20" t="inlineStr">
        <is>
          <t>H0287</t>
        </is>
      </c>
      <c r="B291" s="20" t="inlineStr">
        <is>
          <t>NZ|LCM|M|16|50 Free</t>
        </is>
      </c>
      <c r="C291" s="20" t="inlineStr">
        <is>
          <t>LCM</t>
        </is>
      </c>
      <c r="D291" s="20" t="inlineStr">
        <is>
          <t>Male</t>
        </is>
      </c>
      <c r="E291" s="20" t="n">
        <v>16</v>
      </c>
      <c r="F291" s="20" t="inlineStr">
        <is>
          <t>50 Free</t>
        </is>
      </c>
      <c r="G291" s="20" t="inlineStr">
        <is>
          <t>Michael Pickett</t>
        </is>
      </c>
      <c r="H291" s="20" t="inlineStr">
        <is>
          <t>22.34</t>
        </is>
      </c>
      <c r="I291" s="20" t="inlineStr">
        <is>
          <t>20.06.19</t>
        </is>
      </c>
      <c r="J291" s="20" t="n"/>
      <c r="K291" s="20" t="inlineStr">
        <is>
          <t>YES</t>
        </is>
      </c>
      <c r="L291" s="20" t="n"/>
    </row>
    <row r="292" ht="15" customHeight="1" s="17">
      <c r="A292" s="20" t="inlineStr">
        <is>
          <t>H0288</t>
        </is>
      </c>
      <c r="B292" s="20" t="inlineStr">
        <is>
          <t>NZ|LCM|M|16|100 Free</t>
        </is>
      </c>
      <c r="C292" s="20" t="inlineStr">
        <is>
          <t>LCM</t>
        </is>
      </c>
      <c r="D292" s="20" t="inlineStr">
        <is>
          <t>Male</t>
        </is>
      </c>
      <c r="E292" s="20" t="n">
        <v>16</v>
      </c>
      <c r="F292" s="20" t="inlineStr">
        <is>
          <t>100 Free</t>
        </is>
      </c>
      <c r="G292" s="20" t="inlineStr">
        <is>
          <t>Michael Pickett</t>
        </is>
      </c>
      <c r="H292" s="20" t="inlineStr">
        <is>
          <t>50.39</t>
        </is>
      </c>
      <c r="I292" s="20" t="inlineStr">
        <is>
          <t>20.04.19</t>
        </is>
      </c>
      <c r="J292" s="20" t="n"/>
      <c r="K292" s="20" t="inlineStr">
        <is>
          <t>YES</t>
        </is>
      </c>
      <c r="L292" s="20" t="n"/>
    </row>
    <row r="293" ht="15" customHeight="1" s="17">
      <c r="A293" s="20" t="inlineStr">
        <is>
          <t>H0289</t>
        </is>
      </c>
      <c r="B293" s="20" t="inlineStr">
        <is>
          <t>NZ|LCM|M|16|200 Free</t>
        </is>
      </c>
      <c r="C293" s="20" t="inlineStr">
        <is>
          <t>LCM</t>
        </is>
      </c>
      <c r="D293" s="20" t="inlineStr">
        <is>
          <t>Male</t>
        </is>
      </c>
      <c r="E293" s="20" t="n">
        <v>16</v>
      </c>
      <c r="F293" s="20" t="inlineStr">
        <is>
          <t>200 Free</t>
        </is>
      </c>
      <c r="G293" s="20" t="inlineStr">
        <is>
          <t>Corey Main</t>
        </is>
      </c>
      <c r="H293" s="20" t="inlineStr">
        <is>
          <t>1:51.35</t>
        </is>
      </c>
      <c r="I293" s="20" t="inlineStr">
        <is>
          <t>14.12.11</t>
        </is>
      </c>
      <c r="J293" s="20" t="n"/>
      <c r="K293" s="20" t="inlineStr">
        <is>
          <t>YES</t>
        </is>
      </c>
      <c r="L293" s="20" t="n"/>
    </row>
    <row r="294" ht="15" customHeight="1" s="17">
      <c r="A294" s="20" t="inlineStr">
        <is>
          <t>H0290</t>
        </is>
      </c>
      <c r="B294" s="20" t="inlineStr">
        <is>
          <t>NZ|LCM|M|16|400 Free</t>
        </is>
      </c>
      <c r="C294" s="20" t="inlineStr">
        <is>
          <t>LCM</t>
        </is>
      </c>
      <c r="D294" s="20" t="inlineStr">
        <is>
          <t>Male</t>
        </is>
      </c>
      <c r="E294" s="20" t="n">
        <v>16</v>
      </c>
      <c r="F294" s="20" t="inlineStr">
        <is>
          <t>400 Free</t>
        </is>
      </c>
      <c r="G294" s="20" t="inlineStr">
        <is>
          <t>Danyon Loader</t>
        </is>
      </c>
      <c r="H294" s="20" t="inlineStr">
        <is>
          <t>3:55.15</t>
        </is>
      </c>
      <c r="I294" s="20" t="inlineStr">
        <is>
          <t>28.10.91</t>
        </is>
      </c>
      <c r="J294" s="20" t="n"/>
      <c r="K294" s="20" t="inlineStr">
        <is>
          <t>YES</t>
        </is>
      </c>
      <c r="L294" s="20" t="n"/>
    </row>
    <row r="295" ht="15" customHeight="1" s="17">
      <c r="A295" s="20" t="inlineStr">
        <is>
          <t>H0291</t>
        </is>
      </c>
      <c r="B295" s="20" t="inlineStr">
        <is>
          <t>NZ|LCM|M|16|800 Free</t>
        </is>
      </c>
      <c r="C295" s="20" t="inlineStr">
        <is>
          <t>LCM</t>
        </is>
      </c>
      <c r="D295" s="20" t="inlineStr">
        <is>
          <t>Male</t>
        </is>
      </c>
      <c r="E295" s="20" t="n">
        <v>16</v>
      </c>
      <c r="F295" s="20" t="inlineStr">
        <is>
          <t>800 Free</t>
        </is>
      </c>
      <c r="G295" s="20" t="inlineStr">
        <is>
          <t>Standard</t>
        </is>
      </c>
      <c r="H295" s="20" t="inlineStr">
        <is>
          <t>8:05.32</t>
        </is>
      </c>
      <c r="I295" s="20" t="n"/>
      <c r="J295" s="20" t="n"/>
      <c r="K295" s="20" t="inlineStr">
        <is>
          <t>YES</t>
        </is>
      </c>
      <c r="L295" s="20" t="n"/>
    </row>
    <row r="296" ht="15" customHeight="1" s="17">
      <c r="A296" s="20" t="inlineStr">
        <is>
          <t>H0292</t>
        </is>
      </c>
      <c r="B296" s="20" t="inlineStr">
        <is>
          <t>NZ|LCM|M|16|1500 Free</t>
        </is>
      </c>
      <c r="C296" s="20" t="inlineStr">
        <is>
          <t>LCM</t>
        </is>
      </c>
      <c r="D296" s="20" t="inlineStr">
        <is>
          <t>Male</t>
        </is>
      </c>
      <c r="E296" s="20" t="n">
        <v>16</v>
      </c>
      <c r="F296" s="20" t="inlineStr">
        <is>
          <t>1500 Free</t>
        </is>
      </c>
      <c r="G296" s="20" t="inlineStr">
        <is>
          <t>Michael Mincham</t>
        </is>
      </c>
      <c r="H296" s="20" t="inlineStr">
        <is>
          <t>15:32.13</t>
        </is>
      </c>
      <c r="I296" s="20" t="inlineStr">
        <is>
          <t>22.03.13</t>
        </is>
      </c>
      <c r="J296" s="20" t="n"/>
      <c r="K296" s="20" t="inlineStr">
        <is>
          <t>YES</t>
        </is>
      </c>
      <c r="L296" s="20" t="n"/>
    </row>
    <row r="297" ht="15" customHeight="1" s="17">
      <c r="A297" s="20" t="inlineStr">
        <is>
          <t>H0293</t>
        </is>
      </c>
      <c r="B297" s="20" t="inlineStr">
        <is>
          <t>NZ|LCM|M|16|50 Back</t>
        </is>
      </c>
      <c r="C297" s="20" t="inlineStr">
        <is>
          <t>LCM</t>
        </is>
      </c>
      <c r="D297" s="20" t="inlineStr">
        <is>
          <t>Male</t>
        </is>
      </c>
      <c r="E297" s="20" t="n">
        <v>16</v>
      </c>
      <c r="F297" s="20" t="inlineStr">
        <is>
          <t>50 Back</t>
        </is>
      </c>
      <c r="G297" s="20" t="inlineStr">
        <is>
          <t>Bruce Shen</t>
        </is>
      </c>
      <c r="H297" s="20" t="inlineStr">
        <is>
          <t>25.90</t>
        </is>
      </c>
      <c r="I297" s="20" t="inlineStr">
        <is>
          <t>25.05.25</t>
        </is>
      </c>
      <c r="J297" s="20" t="n"/>
      <c r="K297" s="20" t="inlineStr">
        <is>
          <t>YES</t>
        </is>
      </c>
      <c r="L297" s="20" t="n"/>
    </row>
    <row r="298" ht="15" customHeight="1" s="17">
      <c r="A298" s="20" t="inlineStr">
        <is>
          <t>H0294</t>
        </is>
      </c>
      <c r="B298" s="20" t="inlineStr">
        <is>
          <t>NZ|LCM|M|16|100 Back</t>
        </is>
      </c>
      <c r="C298" s="20" t="inlineStr">
        <is>
          <t>LCM</t>
        </is>
      </c>
      <c r="D298" s="20" t="inlineStr">
        <is>
          <t>Male</t>
        </is>
      </c>
      <c r="E298" s="20" t="n">
        <v>16</v>
      </c>
      <c r="F298" s="20" t="inlineStr">
        <is>
          <t>100 Back</t>
        </is>
      </c>
      <c r="G298" s="20" t="inlineStr">
        <is>
          <t>Lucas Bell</t>
        </is>
      </c>
      <c r="H298" s="20" t="inlineStr">
        <is>
          <t>56.49</t>
        </is>
      </c>
      <c r="I298" s="20" t="inlineStr">
        <is>
          <t>10.04.26</t>
        </is>
      </c>
      <c r="J298" s="20" t="n"/>
      <c r="K298" s="20" t="inlineStr">
        <is>
          <t>YES</t>
        </is>
      </c>
      <c r="L298" s="20" t="n"/>
    </row>
    <row r="299" ht="15" customHeight="1" s="17">
      <c r="A299" s="20" t="inlineStr">
        <is>
          <t>H0295</t>
        </is>
      </c>
      <c r="B299" s="20" t="inlineStr">
        <is>
          <t>NZ|LCM|M|16|200 Back</t>
        </is>
      </c>
      <c r="C299" s="20" t="inlineStr">
        <is>
          <t>LCM</t>
        </is>
      </c>
      <c r="D299" s="20" t="inlineStr">
        <is>
          <t>Male</t>
        </is>
      </c>
      <c r="E299" s="20" t="n">
        <v>16</v>
      </c>
      <c r="F299" s="20" t="inlineStr">
        <is>
          <t>200 Back</t>
        </is>
      </c>
      <c r="G299" s="20" t="inlineStr">
        <is>
          <t>Ariel Muchirahondo</t>
        </is>
      </c>
      <c r="H299" s="20" t="inlineStr">
        <is>
          <t>2:00.56</t>
        </is>
      </c>
      <c r="I299" s="20" t="inlineStr">
        <is>
          <t>29.11.25</t>
        </is>
      </c>
      <c r="J299" s="20" t="n"/>
      <c r="K299" s="20" t="inlineStr">
        <is>
          <t>YES</t>
        </is>
      </c>
      <c r="L299" s="20" t="n"/>
    </row>
    <row r="300" ht="15" customHeight="1" s="17">
      <c r="A300" s="20" t="inlineStr">
        <is>
          <t>H0296</t>
        </is>
      </c>
      <c r="B300" s="20" t="inlineStr">
        <is>
          <t>NZ|LCM|M|16|50 Breast</t>
        </is>
      </c>
      <c r="C300" s="20" t="inlineStr">
        <is>
          <t>LCM</t>
        </is>
      </c>
      <c r="D300" s="20" t="inlineStr">
        <is>
          <t>Male</t>
        </is>
      </c>
      <c r="E300" s="20" t="n">
        <v>16</v>
      </c>
      <c r="F300" s="20" t="inlineStr">
        <is>
          <t>50 Breast</t>
        </is>
      </c>
      <c r="G300" s="20" t="inlineStr">
        <is>
          <t>Jeffrey Arona-Tuifana'e</t>
        </is>
      </c>
      <c r="H300" s="20" t="inlineStr">
        <is>
          <t>28.65</t>
        </is>
      </c>
      <c r="I300" s="20" t="inlineStr">
        <is>
          <t>02.03.11</t>
        </is>
      </c>
      <c r="J300" s="20" t="n"/>
      <c r="K300" s="20" t="inlineStr">
        <is>
          <t>YES</t>
        </is>
      </c>
      <c r="L300" s="20" t="n"/>
    </row>
    <row r="301" ht="15" customHeight="1" s="17">
      <c r="A301" s="20" t="inlineStr">
        <is>
          <t>H0297</t>
        </is>
      </c>
      <c r="B301" s="20" t="inlineStr">
        <is>
          <t>NZ|LCM|M|16|100 Breast</t>
        </is>
      </c>
      <c r="C301" s="20" t="inlineStr">
        <is>
          <t>LCM</t>
        </is>
      </c>
      <c r="D301" s="20" t="inlineStr">
        <is>
          <t>Male</t>
        </is>
      </c>
      <c r="E301" s="20" t="n">
        <v>16</v>
      </c>
      <c r="F301" s="20" t="inlineStr">
        <is>
          <t>100 Breast</t>
        </is>
      </c>
      <c r="G301" s="20" t="inlineStr">
        <is>
          <t>Jeffrey Arona-Tuifana'e</t>
        </is>
      </c>
      <c r="H301" s="20" t="inlineStr">
        <is>
          <t>1:03.60</t>
        </is>
      </c>
      <c r="I301" s="20" t="inlineStr">
        <is>
          <t>19.04.11</t>
        </is>
      </c>
      <c r="J301" s="20" t="n"/>
      <c r="K301" s="20" t="inlineStr">
        <is>
          <t>YES</t>
        </is>
      </c>
      <c r="L301" s="20" t="n"/>
    </row>
    <row r="302" ht="15" customHeight="1" s="17">
      <c r="A302" s="20" t="inlineStr">
        <is>
          <t>H0298</t>
        </is>
      </c>
      <c r="B302" s="20" t="inlineStr">
        <is>
          <t>NZ|LCM|M|16|200 Breast</t>
        </is>
      </c>
      <c r="C302" s="20" t="inlineStr">
        <is>
          <t>LCM</t>
        </is>
      </c>
      <c r="D302" s="20" t="inlineStr">
        <is>
          <t>Male</t>
        </is>
      </c>
      <c r="E302" s="20" t="n">
        <v>16</v>
      </c>
      <c r="F302" s="20" t="inlineStr">
        <is>
          <t>200 Breast</t>
        </is>
      </c>
      <c r="G302" s="20" t="inlineStr">
        <is>
          <t>Luan Grobbelaar</t>
        </is>
      </c>
      <c r="H302" s="20" t="inlineStr">
        <is>
          <t>2:17.65</t>
        </is>
      </c>
      <c r="I302" s="20" t="inlineStr">
        <is>
          <t>10.12.18</t>
        </is>
      </c>
      <c r="J302" s="20" t="n"/>
      <c r="K302" s="20" t="inlineStr">
        <is>
          <t>YES</t>
        </is>
      </c>
      <c r="L302" s="20" t="n"/>
    </row>
    <row r="303" ht="15" customHeight="1" s="17">
      <c r="A303" s="20" t="inlineStr">
        <is>
          <t>H0299</t>
        </is>
      </c>
      <c r="B303" s="20" t="inlineStr">
        <is>
          <t>NZ|LCM|M|16|50 Fly</t>
        </is>
      </c>
      <c r="C303" s="20" t="inlineStr">
        <is>
          <t>LCM</t>
        </is>
      </c>
      <c r="D303" s="20" t="inlineStr">
        <is>
          <t>Male</t>
        </is>
      </c>
      <c r="E303" s="20" t="n">
        <v>16</v>
      </c>
      <c r="F303" s="20" t="inlineStr">
        <is>
          <t>50 Fly</t>
        </is>
      </c>
      <c r="G303" s="20" t="inlineStr">
        <is>
          <t>Corney Swanepoel</t>
        </is>
      </c>
      <c r="H303" s="20" t="inlineStr">
        <is>
          <t>24.21</t>
        </is>
      </c>
      <c r="I303" s="20" t="inlineStr">
        <is>
          <t>04.03.03</t>
        </is>
      </c>
      <c r="J303" s="20" t="n"/>
      <c r="K303" s="20" t="inlineStr">
        <is>
          <t>YES</t>
        </is>
      </c>
      <c r="L303" s="20" t="n"/>
    </row>
    <row r="304" ht="15" customHeight="1" s="17">
      <c r="A304" s="20" t="inlineStr">
        <is>
          <t>H0300</t>
        </is>
      </c>
      <c r="B304" s="20" t="inlineStr">
        <is>
          <t>NZ|LCM|M|16|100 Fly</t>
        </is>
      </c>
      <c r="C304" s="20" t="inlineStr">
        <is>
          <t>LCM</t>
        </is>
      </c>
      <c r="D304" s="20" t="inlineStr">
        <is>
          <t>Male</t>
        </is>
      </c>
      <c r="E304" s="20" t="n">
        <v>16</v>
      </c>
      <c r="F304" s="20" t="inlineStr">
        <is>
          <t>100 Fly</t>
        </is>
      </c>
      <c r="G304" s="20" t="inlineStr">
        <is>
          <t>Corney Swanepoel</t>
        </is>
      </c>
      <c r="H304" s="20" t="inlineStr">
        <is>
          <t>53.49</t>
        </is>
      </c>
      <c r="I304" s="20" t="inlineStr">
        <is>
          <t>06.03.03</t>
        </is>
      </c>
      <c r="J304" s="20" t="n"/>
      <c r="K304" s="20" t="inlineStr">
        <is>
          <t>YES</t>
        </is>
      </c>
      <c r="L304" s="20" t="n"/>
    </row>
    <row r="305" ht="15" customHeight="1" s="17">
      <c r="A305" s="20" t="inlineStr">
        <is>
          <t>H0301</t>
        </is>
      </c>
      <c r="B305" s="20" t="inlineStr">
        <is>
          <t>NZ|LCM|M|16|200 Fly</t>
        </is>
      </c>
      <c r="C305" s="20" t="inlineStr">
        <is>
          <t>LCM</t>
        </is>
      </c>
      <c r="D305" s="20" t="inlineStr">
        <is>
          <t>Male</t>
        </is>
      </c>
      <c r="E305" s="20" t="n">
        <v>16</v>
      </c>
      <c r="F305" s="20" t="inlineStr">
        <is>
          <t>200 Fly</t>
        </is>
      </c>
      <c r="G305" s="20" t="inlineStr">
        <is>
          <t>Ariel Muchirahondo</t>
        </is>
      </c>
      <c r="H305" s="20" t="inlineStr">
        <is>
          <t>2:00.02</t>
        </is>
      </c>
      <c r="I305" s="20" t="inlineStr">
        <is>
          <t>16.04.25</t>
        </is>
      </c>
      <c r="J305" s="20" t="n"/>
      <c r="K305" s="20" t="inlineStr">
        <is>
          <t>YES</t>
        </is>
      </c>
      <c r="L305" s="20" t="n"/>
    </row>
    <row r="306" ht="15" customHeight="1" s="17">
      <c r="A306" s="20" t="inlineStr">
        <is>
          <t>H0302</t>
        </is>
      </c>
      <c r="B306" s="20" t="inlineStr">
        <is>
          <t>NZ|LCM|M|16|200 IM</t>
        </is>
      </c>
      <c r="C306" s="20" t="inlineStr">
        <is>
          <t>LCM</t>
        </is>
      </c>
      <c r="D306" s="20" t="inlineStr">
        <is>
          <t>Male</t>
        </is>
      </c>
      <c r="E306" s="20" t="n">
        <v>16</v>
      </c>
      <c r="F306" s="20" t="inlineStr">
        <is>
          <t>200 IM</t>
        </is>
      </c>
      <c r="G306" s="20" t="inlineStr">
        <is>
          <t>Ariel Muchirahondo</t>
        </is>
      </c>
      <c r="H306" s="20" t="inlineStr">
        <is>
          <t>2:02.54</t>
        </is>
      </c>
      <c r="I306" s="20" t="inlineStr">
        <is>
          <t>07.02.26</t>
        </is>
      </c>
      <c r="J306" s="20" t="n"/>
      <c r="K306" s="20" t="inlineStr">
        <is>
          <t>YES</t>
        </is>
      </c>
      <c r="L306" s="20" t="n"/>
    </row>
    <row r="307" ht="15" customHeight="1" s="17">
      <c r="A307" s="20" t="inlineStr">
        <is>
          <t>H0303</t>
        </is>
      </c>
      <c r="B307" s="20" t="inlineStr">
        <is>
          <t>NZ|LCM|M|16|400 IM</t>
        </is>
      </c>
      <c r="C307" s="20" t="inlineStr">
        <is>
          <t>LCM</t>
        </is>
      </c>
      <c r="D307" s="20" t="inlineStr">
        <is>
          <t>Male</t>
        </is>
      </c>
      <c r="E307" s="20" t="n">
        <v>16</v>
      </c>
      <c r="F307" s="20" t="inlineStr">
        <is>
          <t>400 IM</t>
        </is>
      </c>
      <c r="G307" s="20" t="inlineStr">
        <is>
          <t>Ariel Muchirahondo</t>
        </is>
      </c>
      <c r="H307" s="20" t="inlineStr">
        <is>
          <t>4:19.17</t>
        </is>
      </c>
      <c r="I307" s="20" t="inlineStr">
        <is>
          <t>22.02.26</t>
        </is>
      </c>
      <c r="J307" s="20" t="n"/>
      <c r="K307" s="20" t="inlineStr">
        <is>
          <t>YES</t>
        </is>
      </c>
      <c r="L307" s="20" t="n"/>
    </row>
    <row r="308" ht="15" customHeight="1" s="17">
      <c r="A308" s="20" t="inlineStr">
        <is>
          <t>H0304</t>
        </is>
      </c>
      <c r="B308" s="20" t="inlineStr">
        <is>
          <t>NZ|LCM|M|17|50 Free</t>
        </is>
      </c>
      <c r="C308" s="20" t="inlineStr">
        <is>
          <t>LCM</t>
        </is>
      </c>
      <c r="D308" s="20" t="inlineStr">
        <is>
          <t>Male</t>
        </is>
      </c>
      <c r="E308" s="20" t="n">
        <v>17</v>
      </c>
      <c r="F308" s="20" t="inlineStr">
        <is>
          <t>50 Free</t>
        </is>
      </c>
      <c r="G308" s="20" t="inlineStr">
        <is>
          <t>Orinoco Faamausili-Banse-Prince</t>
        </is>
      </c>
      <c r="H308" s="20" t="inlineStr">
        <is>
          <t>22.37</t>
        </is>
      </c>
      <c r="I308" s="20" t="inlineStr">
        <is>
          <t>11.07.08</t>
        </is>
      </c>
      <c r="J308" s="20" t="n"/>
      <c r="K308" s="20" t="inlineStr">
        <is>
          <t>YES</t>
        </is>
      </c>
      <c r="L308" s="20" t="n"/>
    </row>
    <row r="309" ht="15" customHeight="1" s="17">
      <c r="A309" s="20" t="inlineStr">
        <is>
          <t>H0305</t>
        </is>
      </c>
      <c r="B309" s="20" t="inlineStr">
        <is>
          <t>NZ|LCM|M|17|100 Free</t>
        </is>
      </c>
      <c r="C309" s="20" t="inlineStr">
        <is>
          <t>LCM</t>
        </is>
      </c>
      <c r="D309" s="20" t="inlineStr">
        <is>
          <t>Male</t>
        </is>
      </c>
      <c r="E309" s="20" t="n">
        <v>17</v>
      </c>
      <c r="F309" s="20" t="inlineStr">
        <is>
          <t>100 Free</t>
        </is>
      </c>
      <c r="G309" s="20" t="inlineStr">
        <is>
          <t>Tyron Henry</t>
        </is>
      </c>
      <c r="H309" s="20" t="inlineStr">
        <is>
          <t>50.12</t>
        </is>
      </c>
      <c r="I309" s="20" t="inlineStr">
        <is>
          <t>21.06.19</t>
        </is>
      </c>
      <c r="J309" s="20" t="n"/>
      <c r="K309" s="20" t="inlineStr">
        <is>
          <t>YES</t>
        </is>
      </c>
      <c r="L309" s="20" t="n"/>
    </row>
    <row r="310" ht="15" customHeight="1" s="17">
      <c r="A310" s="20" t="inlineStr">
        <is>
          <t>H0306</t>
        </is>
      </c>
      <c r="B310" s="20" t="inlineStr">
        <is>
          <t>NZ|LCM|M|17|200 Free</t>
        </is>
      </c>
      <c r="C310" s="20" t="inlineStr">
        <is>
          <t>LCM</t>
        </is>
      </c>
      <c r="D310" s="20" t="inlineStr">
        <is>
          <t>Male</t>
        </is>
      </c>
      <c r="E310" s="20" t="n">
        <v>17</v>
      </c>
      <c r="F310" s="20" t="inlineStr">
        <is>
          <t>200 Free</t>
        </is>
      </c>
      <c r="G310" s="20" t="inlineStr">
        <is>
          <t>Ariel Muchirahondo</t>
        </is>
      </c>
      <c r="H310" s="20" t="inlineStr">
        <is>
          <t>1:50.84</t>
        </is>
      </c>
      <c r="I310" s="20" t="inlineStr">
        <is>
          <t>12.04.26</t>
        </is>
      </c>
      <c r="J310" s="20" t="n"/>
      <c r="K310" s="20" t="inlineStr">
        <is>
          <t>YES</t>
        </is>
      </c>
      <c r="L310" s="20" t="n"/>
    </row>
    <row r="311" ht="15" customHeight="1" s="17">
      <c r="A311" s="20" t="inlineStr">
        <is>
          <t>H0307</t>
        </is>
      </c>
      <c r="B311" s="20" t="inlineStr">
        <is>
          <t>NZ|LCM|M|17|400 Free</t>
        </is>
      </c>
      <c r="C311" s="20" t="inlineStr">
        <is>
          <t>LCM</t>
        </is>
      </c>
      <c r="D311" s="20" t="inlineStr">
        <is>
          <t>Male</t>
        </is>
      </c>
      <c r="E311" s="20" t="n">
        <v>17</v>
      </c>
      <c r="F311" s="20" t="inlineStr">
        <is>
          <t>400 Free</t>
        </is>
      </c>
      <c r="G311" s="20" t="inlineStr">
        <is>
          <t>Danyon Loader</t>
        </is>
      </c>
      <c r="H311" s="20" t="inlineStr">
        <is>
          <t>3:49.97</t>
        </is>
      </c>
      <c r="I311" s="20" t="inlineStr">
        <is>
          <t>29.07.92</t>
        </is>
      </c>
      <c r="J311" s="20" t="n"/>
      <c r="K311" s="20" t="inlineStr">
        <is>
          <t>YES</t>
        </is>
      </c>
      <c r="L311" s="20" t="n"/>
    </row>
    <row r="312" ht="15" customHeight="1" s="17">
      <c r="A312" s="20" t="inlineStr">
        <is>
          <t>H0308</t>
        </is>
      </c>
      <c r="B312" s="20" t="inlineStr">
        <is>
          <t>NZ|LCM|M|17|800 Free</t>
        </is>
      </c>
      <c r="C312" s="20" t="inlineStr">
        <is>
          <t>LCM</t>
        </is>
      </c>
      <c r="D312" s="20" t="inlineStr">
        <is>
          <t>Male</t>
        </is>
      </c>
      <c r="E312" s="20" t="n">
        <v>17</v>
      </c>
      <c r="F312" s="20" t="inlineStr">
        <is>
          <t>800 Free</t>
        </is>
      </c>
      <c r="G312" s="20" t="inlineStr">
        <is>
          <t>Standard</t>
        </is>
      </c>
      <c r="H312" s="20" t="inlineStr">
        <is>
          <t>8:05.32</t>
        </is>
      </c>
      <c r="I312" s="20" t="inlineStr">
        <is>
          <t>0</t>
        </is>
      </c>
      <c r="J312" s="20" t="n"/>
      <c r="K312" s="20" t="inlineStr">
        <is>
          <t>YES</t>
        </is>
      </c>
      <c r="L312" s="20" t="n"/>
    </row>
    <row r="313" ht="15" customHeight="1" s="17">
      <c r="A313" s="20" t="inlineStr">
        <is>
          <t>H0309</t>
        </is>
      </c>
      <c r="B313" s="20" t="inlineStr">
        <is>
          <t>NZ|LCM|M|17|1500 Free</t>
        </is>
      </c>
      <c r="C313" s="20" t="inlineStr">
        <is>
          <t>LCM</t>
        </is>
      </c>
      <c r="D313" s="20" t="inlineStr">
        <is>
          <t>Male</t>
        </is>
      </c>
      <c r="E313" s="20" t="n">
        <v>17</v>
      </c>
      <c r="F313" s="20" t="inlineStr">
        <is>
          <t>1500 Free</t>
        </is>
      </c>
      <c r="G313" s="20" t="inlineStr">
        <is>
          <t>Michael Mincham</t>
        </is>
      </c>
      <c r="H313" s="20" t="inlineStr">
        <is>
          <t>15:31.53</t>
        </is>
      </c>
      <c r="I313" s="20" t="inlineStr">
        <is>
          <t>31.08.13</t>
        </is>
      </c>
      <c r="J313" s="20" t="n"/>
      <c r="K313" s="20" t="inlineStr">
        <is>
          <t>YES</t>
        </is>
      </c>
      <c r="L313" s="20" t="n"/>
    </row>
    <row r="314" ht="15" customHeight="1" s="17">
      <c r="A314" s="20" t="inlineStr">
        <is>
          <t>H0310</t>
        </is>
      </c>
      <c r="B314" s="20" t="inlineStr">
        <is>
          <t>NZ|LCM|M|17|50 Back</t>
        </is>
      </c>
      <c r="C314" s="20" t="inlineStr">
        <is>
          <t>LCM</t>
        </is>
      </c>
      <c r="D314" s="20" t="inlineStr">
        <is>
          <t>Male</t>
        </is>
      </c>
      <c r="E314" s="20" t="n">
        <v>17</v>
      </c>
      <c r="F314" s="20" t="inlineStr">
        <is>
          <t>50 Back</t>
        </is>
      </c>
      <c r="G314" s="20" t="inlineStr">
        <is>
          <t>Finn Harland</t>
        </is>
      </c>
      <c r="H314" s="20" t="inlineStr">
        <is>
          <t>25.60</t>
        </is>
      </c>
      <c r="I314" s="20" t="inlineStr">
        <is>
          <t>09.09.23</t>
        </is>
      </c>
      <c r="J314" s="20" t="n"/>
      <c r="K314" s="20" t="inlineStr">
        <is>
          <t>YES</t>
        </is>
      </c>
      <c r="L314" s="20" t="n"/>
    </row>
    <row r="315" ht="15" customHeight="1" s="17">
      <c r="A315" s="20" t="inlineStr">
        <is>
          <t>H0311</t>
        </is>
      </c>
      <c r="B315" s="20" t="inlineStr">
        <is>
          <t>NZ|LCM|M|17|100 Back</t>
        </is>
      </c>
      <c r="C315" s="20" t="inlineStr">
        <is>
          <t>LCM</t>
        </is>
      </c>
      <c r="D315" s="20" t="inlineStr">
        <is>
          <t>Male</t>
        </is>
      </c>
      <c r="E315" s="20" t="n">
        <v>17</v>
      </c>
      <c r="F315" s="20" t="inlineStr">
        <is>
          <t>100 Back</t>
        </is>
      </c>
      <c r="G315" s="20" t="inlineStr">
        <is>
          <t>Ariel Muchirahondo</t>
        </is>
      </c>
      <c r="H315" s="20" t="inlineStr">
        <is>
          <t>54.63</t>
        </is>
      </c>
      <c r="I315" s="20" t="inlineStr">
        <is>
          <t>17.08.26</t>
        </is>
      </c>
      <c r="J315" s="20" t="n"/>
      <c r="K315" s="20" t="inlineStr">
        <is>
          <t>YES</t>
        </is>
      </c>
      <c r="L315" s="20" t="n"/>
    </row>
    <row r="316" ht="15" customHeight="1" s="17">
      <c r="A316" s="20" t="inlineStr">
        <is>
          <t>H0312</t>
        </is>
      </c>
      <c r="B316" s="20" t="inlineStr">
        <is>
          <t>NZ|LCM|M|17|200 Back</t>
        </is>
      </c>
      <c r="C316" s="20" t="inlineStr">
        <is>
          <t>LCM</t>
        </is>
      </c>
      <c r="D316" s="20" t="inlineStr">
        <is>
          <t>Male</t>
        </is>
      </c>
      <c r="E316" s="20" t="n">
        <v>17</v>
      </c>
      <c r="F316" s="20" t="inlineStr">
        <is>
          <t>200 Back</t>
        </is>
      </c>
      <c r="G316" s="20" t="inlineStr">
        <is>
          <t>Ariel Muchirahondo</t>
        </is>
      </c>
      <c r="H316" s="20" t="inlineStr">
        <is>
          <t>1:59.07</t>
        </is>
      </c>
      <c r="I316" s="20" t="inlineStr">
        <is>
          <t>15.05.26</t>
        </is>
      </c>
      <c r="J316" s="20" t="n"/>
      <c r="K316" s="20" t="inlineStr">
        <is>
          <t>YES</t>
        </is>
      </c>
      <c r="L316" s="20" t="n"/>
    </row>
    <row r="317" ht="15" customHeight="1" s="17">
      <c r="A317" s="20" t="inlineStr">
        <is>
          <t>H0313</t>
        </is>
      </c>
      <c r="B317" s="20" t="inlineStr">
        <is>
          <t>NZ|LCM|M|17|50 Breast</t>
        </is>
      </c>
      <c r="C317" s="20" t="inlineStr">
        <is>
          <t>LCM</t>
        </is>
      </c>
      <c r="D317" s="20" t="inlineStr">
        <is>
          <t>Male</t>
        </is>
      </c>
      <c r="E317" s="20" t="n">
        <v>17</v>
      </c>
      <c r="F317" s="20" t="inlineStr">
        <is>
          <t>50 Breast</t>
        </is>
      </c>
      <c r="G317" s="20" t="inlineStr">
        <is>
          <t>Jeffrey Arona-Tuifana'e</t>
        </is>
      </c>
      <c r="H317" s="20" t="inlineStr">
        <is>
          <t>28.44</t>
        </is>
      </c>
      <c r="I317" s="20" t="inlineStr">
        <is>
          <t>27.03.12</t>
        </is>
      </c>
      <c r="J317" s="20" t="n"/>
      <c r="K317" s="20" t="inlineStr">
        <is>
          <t>YES</t>
        </is>
      </c>
      <c r="L317" s="20" t="n"/>
    </row>
    <row r="318" ht="15" customHeight="1" s="17">
      <c r="A318" s="20" t="inlineStr">
        <is>
          <t>H0314</t>
        </is>
      </c>
      <c r="B318" s="20" t="inlineStr">
        <is>
          <t>NZ|LCM|M|17|100 Breast</t>
        </is>
      </c>
      <c r="C318" s="20" t="inlineStr">
        <is>
          <t>LCM</t>
        </is>
      </c>
      <c r="D318" s="20" t="inlineStr">
        <is>
          <t>Male</t>
        </is>
      </c>
      <c r="E318" s="20" t="n">
        <v>17</v>
      </c>
      <c r="F318" s="20" t="inlineStr">
        <is>
          <t>100 Breast</t>
        </is>
      </c>
      <c r="G318" s="20" t="inlineStr">
        <is>
          <t>Ben Walsh</t>
        </is>
      </c>
      <c r="H318" s="20" t="inlineStr">
        <is>
          <t>1:02.61</t>
        </is>
      </c>
      <c r="I318" s="20" t="inlineStr">
        <is>
          <t>02.05.14</t>
        </is>
      </c>
      <c r="J318" s="20" t="n"/>
      <c r="K318" s="20" t="inlineStr">
        <is>
          <t>YES</t>
        </is>
      </c>
      <c r="L318" s="20" t="n"/>
    </row>
    <row r="319" ht="15" customHeight="1" s="17">
      <c r="A319" s="20" t="inlineStr">
        <is>
          <t>H0315</t>
        </is>
      </c>
      <c r="B319" s="20" t="inlineStr">
        <is>
          <t>NZ|LCM|M|17|200 Breast</t>
        </is>
      </c>
      <c r="C319" s="20" t="inlineStr">
        <is>
          <t>LCM</t>
        </is>
      </c>
      <c r="D319" s="20" t="inlineStr">
        <is>
          <t>Male</t>
        </is>
      </c>
      <c r="E319" s="20" t="n">
        <v>17</v>
      </c>
      <c r="F319" s="20" t="inlineStr">
        <is>
          <t>200 Breast</t>
        </is>
      </c>
      <c r="G319" s="20" t="inlineStr">
        <is>
          <t>Luan Grobbelaar</t>
        </is>
      </c>
      <c r="H319" s="20" t="inlineStr">
        <is>
          <t>2:15.72</t>
        </is>
      </c>
      <c r="I319" s="20" t="inlineStr">
        <is>
          <t>17.12.19</t>
        </is>
      </c>
      <c r="J319" s="20" t="n"/>
      <c r="K319" s="20" t="inlineStr">
        <is>
          <t>YES</t>
        </is>
      </c>
      <c r="L319" s="20" t="n"/>
    </row>
    <row r="320" ht="15" customHeight="1" s="17">
      <c r="A320" s="20" t="inlineStr">
        <is>
          <t>H0316</t>
        </is>
      </c>
      <c r="B320" s="20" t="inlineStr">
        <is>
          <t>NZ|LCM|M|17|50 Fly</t>
        </is>
      </c>
      <c r="C320" s="20" t="inlineStr">
        <is>
          <t>LCM</t>
        </is>
      </c>
      <c r="D320" s="20" t="inlineStr">
        <is>
          <t>Male</t>
        </is>
      </c>
      <c r="E320" s="20" t="n">
        <v>17</v>
      </c>
      <c r="F320" s="20" t="inlineStr">
        <is>
          <t>50 Fly</t>
        </is>
      </c>
      <c r="G320" s="20" t="inlineStr">
        <is>
          <t>Corney Swanepoel</t>
        </is>
      </c>
      <c r="H320" s="20" t="inlineStr">
        <is>
          <t>23.99</t>
        </is>
      </c>
      <c r="I320" s="20" t="inlineStr">
        <is>
          <t>04.03.04</t>
        </is>
      </c>
      <c r="J320" s="20" t="n"/>
      <c r="K320" s="20" t="inlineStr">
        <is>
          <t>YES</t>
        </is>
      </c>
      <c r="L320" s="20" t="n"/>
    </row>
    <row r="321" ht="15" customHeight="1" s="17">
      <c r="A321" s="20" t="inlineStr">
        <is>
          <t>H0317</t>
        </is>
      </c>
      <c r="B321" s="20" t="inlineStr">
        <is>
          <t>NZ|LCM|M|17|100 Fly</t>
        </is>
      </c>
      <c r="C321" s="20" t="inlineStr">
        <is>
          <t>LCM</t>
        </is>
      </c>
      <c r="D321" s="20" t="inlineStr">
        <is>
          <t>Male</t>
        </is>
      </c>
      <c r="E321" s="20" t="n">
        <v>17</v>
      </c>
      <c r="F321" s="20" t="inlineStr">
        <is>
          <t>100 Fly</t>
        </is>
      </c>
      <c r="G321" s="20" t="inlineStr">
        <is>
          <t>Corney Swanepoel</t>
        </is>
      </c>
      <c r="H321" s="20" t="inlineStr">
        <is>
          <t>53.76</t>
        </is>
      </c>
      <c r="I321" s="20" t="inlineStr">
        <is>
          <t>06.03.04</t>
        </is>
      </c>
      <c r="J321" s="20" t="n"/>
      <c r="K321" s="20" t="inlineStr">
        <is>
          <t>YES</t>
        </is>
      </c>
      <c r="L321" s="20" t="n"/>
    </row>
    <row r="322" ht="15" customHeight="1" s="17">
      <c r="A322" s="20" t="inlineStr">
        <is>
          <t>H0318</t>
        </is>
      </c>
      <c r="B322" s="20" t="inlineStr">
        <is>
          <t>NZ|LCM|M|17|200 Fly</t>
        </is>
      </c>
      <c r="C322" s="20" t="inlineStr">
        <is>
          <t>LCM</t>
        </is>
      </c>
      <c r="D322" s="20" t="inlineStr">
        <is>
          <t>Male</t>
        </is>
      </c>
      <c r="E322" s="20" t="n">
        <v>17</v>
      </c>
      <c r="F322" s="20" t="inlineStr">
        <is>
          <t>200 Fly</t>
        </is>
      </c>
      <c r="G322" s="20" t="inlineStr">
        <is>
          <t>Danyon Loader</t>
        </is>
      </c>
      <c r="H322" s="20" t="inlineStr">
        <is>
          <t>1:57.93</t>
        </is>
      </c>
      <c r="I322" s="20" t="inlineStr">
        <is>
          <t>30.07.92</t>
        </is>
      </c>
      <c r="J322" s="20" t="n"/>
      <c r="K322" s="20" t="inlineStr">
        <is>
          <t>YES</t>
        </is>
      </c>
      <c r="L322" s="20" t="n"/>
    </row>
    <row r="323" ht="15" customHeight="1" s="17">
      <c r="A323" s="20" t="inlineStr">
        <is>
          <t>H0319</t>
        </is>
      </c>
      <c r="B323" s="20" t="inlineStr">
        <is>
          <t>NZ|LCM|M|17|200 IM</t>
        </is>
      </c>
      <c r="C323" s="20" t="inlineStr">
        <is>
          <t>LCM</t>
        </is>
      </c>
      <c r="D323" s="20" t="inlineStr">
        <is>
          <t>Male</t>
        </is>
      </c>
      <c r="E323" s="20" t="n">
        <v>17</v>
      </c>
      <c r="F323" s="20" t="inlineStr">
        <is>
          <t>200 IM</t>
        </is>
      </c>
      <c r="G323" s="20" t="inlineStr">
        <is>
          <t>Ariel Muchirahondo</t>
        </is>
      </c>
      <c r="H323" s="20" t="inlineStr">
        <is>
          <t>2:00.12</t>
        </is>
      </c>
      <c r="I323" s="20" t="inlineStr">
        <is>
          <t>13.05.26</t>
        </is>
      </c>
      <c r="J323" s="20" t="n"/>
      <c r="K323" s="20" t="inlineStr">
        <is>
          <t>YES</t>
        </is>
      </c>
      <c r="L323" s="20" t="n"/>
    </row>
    <row r="324" ht="15" customHeight="1" s="17">
      <c r="A324" s="20" t="inlineStr">
        <is>
          <t>H0320</t>
        </is>
      </c>
      <c r="B324" s="20" t="inlineStr">
        <is>
          <t>NZ|LCM|M|17|400 IM</t>
        </is>
      </c>
      <c r="C324" s="20" t="inlineStr">
        <is>
          <t>LCM</t>
        </is>
      </c>
      <c r="D324" s="20" t="inlineStr">
        <is>
          <t>Male</t>
        </is>
      </c>
      <c r="E324" s="20" t="n">
        <v>17</v>
      </c>
      <c r="F324" s="20" t="inlineStr">
        <is>
          <t>400 IM</t>
        </is>
      </c>
      <c r="G324" s="20" t="inlineStr">
        <is>
          <t>Ariel Muchirahondo</t>
        </is>
      </c>
      <c r="H324" s="20" t="inlineStr">
        <is>
          <t>4:17.62</t>
        </is>
      </c>
      <c r="I324" s="20" t="inlineStr">
        <is>
          <t>11.04.26</t>
        </is>
      </c>
      <c r="J324" s="20" t="n"/>
      <c r="K324" s="20" t="inlineStr">
        <is>
          <t>YES</t>
        </is>
      </c>
      <c r="L324" s="20" t="n"/>
    </row>
    <row r="325" ht="15" customHeight="1" s="17">
      <c r="A325" s="20" t="inlineStr">
        <is>
          <t>H0321</t>
        </is>
      </c>
      <c r="B325" s="20" t="inlineStr">
        <is>
          <t>NZ|LCM|M|18|50 Free</t>
        </is>
      </c>
      <c r="C325" s="20" t="inlineStr">
        <is>
          <t>LCM</t>
        </is>
      </c>
      <c r="D325" s="20" t="inlineStr">
        <is>
          <t>Male</t>
        </is>
      </c>
      <c r="E325" s="20" t="n">
        <v>18</v>
      </c>
      <c r="F325" s="20" t="inlineStr">
        <is>
          <t>50 Free</t>
        </is>
      </c>
      <c r="G325" s="20" t="inlineStr">
        <is>
          <t>Michael Pickett</t>
        </is>
      </c>
      <c r="H325" s="20" t="inlineStr">
        <is>
          <t>22.31</t>
        </is>
      </c>
      <c r="I325" s="20" t="inlineStr">
        <is>
          <t>15.12.20</t>
        </is>
      </c>
      <c r="J325" s="20" t="n"/>
      <c r="K325" s="20" t="inlineStr">
        <is>
          <t>YES</t>
        </is>
      </c>
      <c r="L325" s="20" t="n"/>
    </row>
    <row r="326" ht="15" customHeight="1" s="17">
      <c r="A326" s="20" t="inlineStr">
        <is>
          <t>H0322</t>
        </is>
      </c>
      <c r="B326" s="20" t="inlineStr">
        <is>
          <t>NZ|LCM|M|18|100 Free</t>
        </is>
      </c>
      <c r="C326" s="20" t="inlineStr">
        <is>
          <t>LCM</t>
        </is>
      </c>
      <c r="D326" s="20" t="inlineStr">
        <is>
          <t>Male</t>
        </is>
      </c>
      <c r="E326" s="20" t="n">
        <v>18</v>
      </c>
      <c r="F326" s="20" t="inlineStr">
        <is>
          <t>100 Free</t>
        </is>
      </c>
      <c r="G326" s="20" t="inlineStr">
        <is>
          <t>Michael Pickett / Cameron Gray</t>
        </is>
      </c>
      <c r="H326" s="20" t="inlineStr">
        <is>
          <t>49.77</t>
        </is>
      </c>
      <c r="I326" s="20" t="inlineStr">
        <is>
          <t>13.05.21 / 08.04.22</t>
        </is>
      </c>
      <c r="J326" s="20" t="n"/>
      <c r="K326" s="20" t="inlineStr">
        <is>
          <t>YES</t>
        </is>
      </c>
      <c r="L326" s="20" t="n"/>
    </row>
    <row r="327" ht="15" customHeight="1" s="17">
      <c r="A327" s="20" t="inlineStr">
        <is>
          <t>H0323</t>
        </is>
      </c>
      <c r="B327" s="20" t="inlineStr">
        <is>
          <t>NZ|LCM|M|18|200 Free</t>
        </is>
      </c>
      <c r="C327" s="20" t="inlineStr">
        <is>
          <t>LCM</t>
        </is>
      </c>
      <c r="D327" s="20" t="inlineStr">
        <is>
          <t>Male</t>
        </is>
      </c>
      <c r="E327" s="20" t="n">
        <v>18</v>
      </c>
      <c r="F327" s="20" t="inlineStr">
        <is>
          <t>200 Free</t>
        </is>
      </c>
      <c r="G327" s="20" t="inlineStr">
        <is>
          <t>Lewis Clareburt</t>
        </is>
      </c>
      <c r="H327" s="20" t="inlineStr">
        <is>
          <t>1:48.32</t>
        </is>
      </c>
      <c r="I327" s="20" t="inlineStr">
        <is>
          <t>19.04.18</t>
        </is>
      </c>
      <c r="J327" s="20" t="n"/>
      <c r="K327" s="20" t="inlineStr">
        <is>
          <t>YES</t>
        </is>
      </c>
      <c r="L327" s="20" t="n"/>
    </row>
    <row r="328" ht="15" customHeight="1" s="17">
      <c r="A328" s="20" t="inlineStr">
        <is>
          <t>H0324</t>
        </is>
      </c>
      <c r="B328" s="20" t="inlineStr">
        <is>
          <t>NZ|LCM|M|18|400 Free</t>
        </is>
      </c>
      <c r="C328" s="20" t="inlineStr">
        <is>
          <t>LCM</t>
        </is>
      </c>
      <c r="D328" s="20" t="inlineStr">
        <is>
          <t>Male</t>
        </is>
      </c>
      <c r="E328" s="20" t="n">
        <v>18</v>
      </c>
      <c r="F328" s="20" t="inlineStr">
        <is>
          <t>400 Free</t>
        </is>
      </c>
      <c r="G328" s="20" t="inlineStr">
        <is>
          <t>Standard</t>
        </is>
      </c>
      <c r="H328" s="20" t="inlineStr">
        <is>
          <t>3:49.50</t>
        </is>
      </c>
      <c r="I328" s="20" t="inlineStr">
        <is>
          <t>0.01.00</t>
        </is>
      </c>
      <c r="J328" s="20" t="n"/>
      <c r="K328" s="20" t="inlineStr">
        <is>
          <t>YES</t>
        </is>
      </c>
      <c r="L328" s="20" t="n"/>
    </row>
    <row r="329" ht="15" customHeight="1" s="17">
      <c r="A329" s="20" t="inlineStr">
        <is>
          <t>H0325</t>
        </is>
      </c>
      <c r="B329" s="20" t="inlineStr">
        <is>
          <t>NZ|LCM|M|18|800 Free</t>
        </is>
      </c>
      <c r="C329" s="20" t="inlineStr">
        <is>
          <t>LCM</t>
        </is>
      </c>
      <c r="D329" s="20" t="inlineStr">
        <is>
          <t>Male</t>
        </is>
      </c>
      <c r="E329" s="20" t="n">
        <v>18</v>
      </c>
      <c r="F329" s="20" t="inlineStr">
        <is>
          <t>800 Free</t>
        </is>
      </c>
      <c r="G329" s="20" t="inlineStr">
        <is>
          <t>Zac Reid</t>
        </is>
      </c>
      <c r="H329" s="20" t="inlineStr">
        <is>
          <t>8:01.87</t>
        </is>
      </c>
      <c r="I329" s="20" t="inlineStr">
        <is>
          <t>04.07.18</t>
        </is>
      </c>
      <c r="J329" s="20" t="n"/>
      <c r="K329" s="20" t="inlineStr">
        <is>
          <t>YES</t>
        </is>
      </c>
      <c r="L329" s="20" t="n"/>
    </row>
    <row r="330" ht="15" customHeight="1" s="17">
      <c r="A330" s="20" t="inlineStr">
        <is>
          <t>H0326</t>
        </is>
      </c>
      <c r="B330" s="20" t="inlineStr">
        <is>
          <t>NZ|LCM|M|18|1500 Free</t>
        </is>
      </c>
      <c r="C330" s="20" t="inlineStr">
        <is>
          <t>LCM</t>
        </is>
      </c>
      <c r="D330" s="20" t="inlineStr">
        <is>
          <t>Male</t>
        </is>
      </c>
      <c r="E330" s="20" t="n">
        <v>18</v>
      </c>
      <c r="F330" s="20" t="inlineStr">
        <is>
          <t>1500 Free</t>
        </is>
      </c>
      <c r="G330" s="20" t="inlineStr">
        <is>
          <t>Zac Reid</t>
        </is>
      </c>
      <c r="H330" s="20" t="inlineStr">
        <is>
          <t>15:25.64</t>
        </is>
      </c>
      <c r="I330" s="20" t="inlineStr">
        <is>
          <t>06.07.18</t>
        </is>
      </c>
      <c r="J330" s="20" t="n"/>
      <c r="K330" s="20" t="inlineStr">
        <is>
          <t>YES</t>
        </is>
      </c>
      <c r="L330" s="20" t="n"/>
    </row>
    <row r="331" ht="15" customHeight="1" s="17">
      <c r="A331" s="20" t="inlineStr">
        <is>
          <t>H0327</t>
        </is>
      </c>
      <c r="B331" s="20" t="inlineStr">
        <is>
          <t>NZ|LCM|M|18|50 Back</t>
        </is>
      </c>
      <c r="C331" s="20" t="inlineStr">
        <is>
          <t>LCM</t>
        </is>
      </c>
      <c r="D331" s="20" t="inlineStr">
        <is>
          <t>Male</t>
        </is>
      </c>
      <c r="E331" s="20" t="n">
        <v>18</v>
      </c>
      <c r="F331" s="20" t="inlineStr">
        <is>
          <t>50 Back</t>
        </is>
      </c>
      <c r="G331" s="20" t="inlineStr">
        <is>
          <t>Finn Harland</t>
        </is>
      </c>
      <c r="H331" s="20" t="inlineStr">
        <is>
          <t>24.97</t>
        </is>
      </c>
      <c r="I331" s="20" t="inlineStr">
        <is>
          <t>11.04.24</t>
        </is>
      </c>
      <c r="J331" s="20" t="n"/>
      <c r="K331" s="20" t="inlineStr">
        <is>
          <t>YES</t>
        </is>
      </c>
      <c r="L331" s="20" t="n"/>
    </row>
    <row r="332" ht="15" customHeight="1" s="17">
      <c r="A332" s="20" t="inlineStr">
        <is>
          <t>H0328</t>
        </is>
      </c>
      <c r="B332" s="20" t="inlineStr">
        <is>
          <t>NZ|LCM|M|18|100 Back</t>
        </is>
      </c>
      <c r="C332" s="20" t="inlineStr">
        <is>
          <t>LCM</t>
        </is>
      </c>
      <c r="D332" s="20" t="inlineStr">
        <is>
          <t>Male</t>
        </is>
      </c>
      <c r="E332" s="20" t="n">
        <v>18</v>
      </c>
      <c r="F332" s="20" t="inlineStr">
        <is>
          <t>100 Back</t>
        </is>
      </c>
      <c r="G332" s="20" t="inlineStr">
        <is>
          <t>Daniel Bell</t>
        </is>
      </c>
      <c r="H332" s="20" t="inlineStr">
        <is>
          <t>54.52</t>
        </is>
      </c>
      <c r="I332" s="20" t="inlineStr">
        <is>
          <t>15.08.08</t>
        </is>
      </c>
      <c r="J332" s="20" t="n"/>
      <c r="K332" s="20" t="inlineStr">
        <is>
          <t>YES</t>
        </is>
      </c>
      <c r="L332" s="20" t="n"/>
    </row>
    <row r="333" ht="15" customHeight="1" s="17">
      <c r="A333" s="20" t="inlineStr">
        <is>
          <t>H0329</t>
        </is>
      </c>
      <c r="B333" s="20" t="inlineStr">
        <is>
          <t>NZ|LCM|M|18|200 Back</t>
        </is>
      </c>
      <c r="C333" s="20" t="inlineStr">
        <is>
          <t>LCM</t>
        </is>
      </c>
      <c r="D333" s="20" t="inlineStr">
        <is>
          <t>Male</t>
        </is>
      </c>
      <c r="E333" s="20" t="n">
        <v>18</v>
      </c>
      <c r="F333" s="20" t="inlineStr">
        <is>
          <t>200 Back</t>
        </is>
      </c>
      <c r="G333" s="20" t="inlineStr">
        <is>
          <t>Gareth Kean</t>
        </is>
      </c>
      <c r="H333" s="20" t="inlineStr">
        <is>
          <t>1:57.78</t>
        </is>
      </c>
      <c r="I333" s="20" t="inlineStr">
        <is>
          <t>29.08.10</t>
        </is>
      </c>
      <c r="J333" s="20" t="n"/>
      <c r="K333" s="20" t="inlineStr">
        <is>
          <t>YES</t>
        </is>
      </c>
      <c r="L333" s="20" t="n"/>
    </row>
    <row r="334" ht="15" customHeight="1" s="17">
      <c r="A334" s="20" t="inlineStr">
        <is>
          <t>H0330</t>
        </is>
      </c>
      <c r="B334" s="20" t="inlineStr">
        <is>
          <t>NZ|LCM|M|18|50 Breast</t>
        </is>
      </c>
      <c r="C334" s="20" t="inlineStr">
        <is>
          <t>LCM</t>
        </is>
      </c>
      <c r="D334" s="20" t="inlineStr">
        <is>
          <t>Male</t>
        </is>
      </c>
      <c r="E334" s="20" t="n">
        <v>18</v>
      </c>
      <c r="F334" s="20" t="inlineStr">
        <is>
          <t>50 Breast</t>
        </is>
      </c>
      <c r="G334" s="20" t="inlineStr">
        <is>
          <t>Matthew Holder</t>
        </is>
      </c>
      <c r="H334" s="20" t="inlineStr">
        <is>
          <t>28.67</t>
        </is>
      </c>
      <c r="I334" s="20" t="inlineStr">
        <is>
          <t>19.06.19</t>
        </is>
      </c>
      <c r="J334" s="20" t="n"/>
      <c r="K334" s="20" t="inlineStr">
        <is>
          <t>YES</t>
        </is>
      </c>
      <c r="L334" s="20" t="n"/>
    </row>
    <row r="335" ht="15" customHeight="1" s="17">
      <c r="A335" s="20" t="inlineStr">
        <is>
          <t>H0331</t>
        </is>
      </c>
      <c r="B335" s="20" t="inlineStr">
        <is>
          <t>NZ|LCM|M|18|100 Breast</t>
        </is>
      </c>
      <c r="C335" s="20" t="inlineStr">
        <is>
          <t>LCM</t>
        </is>
      </c>
      <c r="D335" s="20" t="inlineStr">
        <is>
          <t>Male</t>
        </is>
      </c>
      <c r="E335" s="20" t="n">
        <v>18</v>
      </c>
      <c r="F335" s="20" t="inlineStr">
        <is>
          <t>100 Breast</t>
        </is>
      </c>
      <c r="G335" s="20" t="inlineStr">
        <is>
          <t>Mario Koenigsperger</t>
        </is>
      </c>
      <c r="H335" s="20" t="inlineStr">
        <is>
          <t>1:01.80</t>
        </is>
      </c>
      <c r="I335" s="20" t="inlineStr">
        <is>
          <t>18.04.16</t>
        </is>
      </c>
      <c r="J335" s="20" t="n"/>
      <c r="K335" s="20" t="inlineStr">
        <is>
          <t>YES</t>
        </is>
      </c>
      <c r="L335" s="20" t="n"/>
    </row>
    <row r="336" ht="15" customHeight="1" s="17">
      <c r="A336" s="20" t="inlineStr">
        <is>
          <t>H0332</t>
        </is>
      </c>
      <c r="B336" s="20" t="inlineStr">
        <is>
          <t>NZ|LCM|M|18|200 Breast</t>
        </is>
      </c>
      <c r="C336" s="20" t="inlineStr">
        <is>
          <t>LCM</t>
        </is>
      </c>
      <c r="D336" s="20" t="inlineStr">
        <is>
          <t>Male</t>
        </is>
      </c>
      <c r="E336" s="20" t="n">
        <v>18</v>
      </c>
      <c r="F336" s="20" t="inlineStr">
        <is>
          <t>200 Breast</t>
        </is>
      </c>
      <c r="G336" s="20" t="inlineStr">
        <is>
          <t>George Schroder</t>
        </is>
      </c>
      <c r="H336" s="20" t="inlineStr">
        <is>
          <t>2:14.95</t>
        </is>
      </c>
      <c r="I336" s="20" t="inlineStr">
        <is>
          <t>30.08.14</t>
        </is>
      </c>
      <c r="J336" s="20" t="n"/>
      <c r="K336" s="20" t="inlineStr">
        <is>
          <t>YES</t>
        </is>
      </c>
      <c r="L336" s="20" t="n"/>
    </row>
    <row r="337" ht="15" customHeight="1" s="17">
      <c r="A337" s="20" t="inlineStr">
        <is>
          <t>H0333</t>
        </is>
      </c>
      <c r="B337" s="20" t="inlineStr">
        <is>
          <t>NZ|LCM|M|18|50 Fly</t>
        </is>
      </c>
      <c r="C337" s="20" t="inlineStr">
        <is>
          <t>LCM</t>
        </is>
      </c>
      <c r="D337" s="20" t="inlineStr">
        <is>
          <t>Male</t>
        </is>
      </c>
      <c r="E337" s="20" t="n">
        <v>18</v>
      </c>
      <c r="F337" s="20" t="inlineStr">
        <is>
          <t>50 Fly</t>
        </is>
      </c>
      <c r="G337" s="20" t="inlineStr">
        <is>
          <t>Cameron Gray</t>
        </is>
      </c>
      <c r="H337" s="20" t="inlineStr">
        <is>
          <t>23.27</t>
        </is>
      </c>
      <c r="I337" s="20" t="inlineStr">
        <is>
          <t>30.07.22</t>
        </is>
      </c>
      <c r="J337" s="20" t="n"/>
      <c r="K337" s="20" t="inlineStr">
        <is>
          <t>YES</t>
        </is>
      </c>
      <c r="L337" s="20" t="n"/>
    </row>
    <row r="338" ht="15" customHeight="1" s="17">
      <c r="A338" s="20" t="inlineStr">
        <is>
          <t>H0334</t>
        </is>
      </c>
      <c r="B338" s="20" t="inlineStr">
        <is>
          <t>NZ|LCM|M|18|100 Fly</t>
        </is>
      </c>
      <c r="C338" s="20" t="inlineStr">
        <is>
          <t>LCM</t>
        </is>
      </c>
      <c r="D338" s="20" t="inlineStr">
        <is>
          <t>Male</t>
        </is>
      </c>
      <c r="E338" s="20" t="n">
        <v>18</v>
      </c>
      <c r="F338" s="20" t="inlineStr">
        <is>
          <t>100 Fly</t>
        </is>
      </c>
      <c r="G338" s="20" t="inlineStr">
        <is>
          <t>Daniel Bell</t>
        </is>
      </c>
      <c r="H338" s="20" t="inlineStr">
        <is>
          <t>52.28</t>
        </is>
      </c>
      <c r="I338" s="20" t="inlineStr">
        <is>
          <t>1.04.09</t>
        </is>
      </c>
      <c r="J338" s="20" t="n"/>
      <c r="K338" s="20" t="inlineStr">
        <is>
          <t>YES</t>
        </is>
      </c>
      <c r="L338" s="20" t="n"/>
    </row>
    <row r="339" ht="15" customHeight="1" s="17">
      <c r="A339" s="20" t="inlineStr">
        <is>
          <t>H0335</t>
        </is>
      </c>
      <c r="B339" s="20" t="inlineStr">
        <is>
          <t>NZ|LCM|M|18|200 Fly</t>
        </is>
      </c>
      <c r="C339" s="20" t="inlineStr">
        <is>
          <t>LCM</t>
        </is>
      </c>
      <c r="D339" s="20" t="inlineStr">
        <is>
          <t>Male</t>
        </is>
      </c>
      <c r="E339" s="20" t="n">
        <v>18</v>
      </c>
      <c r="F339" s="20" t="inlineStr">
        <is>
          <t>200 Fly</t>
        </is>
      </c>
      <c r="G339" s="20" t="inlineStr">
        <is>
          <t>Standard</t>
        </is>
      </c>
      <c r="H339" s="20" t="inlineStr">
        <is>
          <t>1:57.75</t>
        </is>
      </c>
      <c r="I339" s="20" t="inlineStr">
        <is>
          <t>0.01.00</t>
        </is>
      </c>
      <c r="J339" s="20" t="n"/>
      <c r="K339" s="20" t="inlineStr">
        <is>
          <t>YES</t>
        </is>
      </c>
      <c r="L339" s="20" t="n"/>
    </row>
    <row r="340" ht="15" customHeight="1" s="17">
      <c r="A340" s="20" t="inlineStr">
        <is>
          <t>H0336</t>
        </is>
      </c>
      <c r="B340" s="20" t="inlineStr">
        <is>
          <t>NZ|LCM|M|18|200 IM</t>
        </is>
      </c>
      <c r="C340" s="20" t="inlineStr">
        <is>
          <t>LCM</t>
        </is>
      </c>
      <c r="D340" s="20" t="inlineStr">
        <is>
          <t>Male</t>
        </is>
      </c>
      <c r="E340" s="20" t="n">
        <v>18</v>
      </c>
      <c r="F340" s="20" t="inlineStr">
        <is>
          <t>200 IM</t>
        </is>
      </c>
      <c r="G340" s="20" t="inlineStr">
        <is>
          <t>Lewis Clareburt</t>
        </is>
      </c>
      <c r="H340" s="20" t="inlineStr">
        <is>
          <t>2:01.13</t>
        </is>
      </c>
      <c r="I340" s="20" t="inlineStr">
        <is>
          <t>10.04.18</t>
        </is>
      </c>
      <c r="J340" s="20" t="n"/>
      <c r="K340" s="20" t="inlineStr">
        <is>
          <t>YES</t>
        </is>
      </c>
      <c r="L340" s="20" t="n"/>
    </row>
    <row r="341" ht="15" customHeight="1" s="17">
      <c r="A341" s="20" t="inlineStr">
        <is>
          <t>H0337</t>
        </is>
      </c>
      <c r="B341" s="20" t="inlineStr">
        <is>
          <t>NZ|LCM|M|18|400 IM</t>
        </is>
      </c>
      <c r="C341" s="20" t="inlineStr">
        <is>
          <t>LCM</t>
        </is>
      </c>
      <c r="D341" s="20" t="inlineStr">
        <is>
          <t>Male</t>
        </is>
      </c>
      <c r="E341" s="20" t="n">
        <v>18</v>
      </c>
      <c r="F341" s="20" t="inlineStr">
        <is>
          <t>400 IM</t>
        </is>
      </c>
      <c r="G341" s="20" t="inlineStr">
        <is>
          <t>Lewis Clareburt</t>
        </is>
      </c>
      <c r="H341" s="20" t="inlineStr">
        <is>
          <t>4:14.42</t>
        </is>
      </c>
      <c r="I341" s="20" t="inlineStr">
        <is>
          <t>6.04.18</t>
        </is>
      </c>
      <c r="J341" s="20" t="n"/>
      <c r="K341" s="20" t="inlineStr">
        <is>
          <t>YES</t>
        </is>
      </c>
      <c r="L341" s="20" t="n"/>
    </row>
    <row r="342" ht="15" customHeight="1" s="17">
      <c r="A342" s="20" t="inlineStr">
        <is>
          <t>H0338</t>
        </is>
      </c>
      <c r="B342" s="20" t="inlineStr">
        <is>
          <t>NZ|LCM|F|13|50 Free</t>
        </is>
      </c>
      <c r="C342" s="20" t="inlineStr">
        <is>
          <t>LCM</t>
        </is>
      </c>
      <c r="D342" s="20" t="inlineStr">
        <is>
          <t>Female</t>
        </is>
      </c>
      <c r="E342" s="20" t="n">
        <v>13</v>
      </c>
      <c r="F342" s="20" t="inlineStr">
        <is>
          <t>50 Free</t>
        </is>
      </c>
      <c r="G342" s="20" t="inlineStr">
        <is>
          <t>Gabrielle Fa'amausili</t>
        </is>
      </c>
      <c r="H342" s="20" t="inlineStr">
        <is>
          <t>26.10</t>
        </is>
      </c>
      <c r="I342" s="20" t="inlineStr">
        <is>
          <t>30.08.13</t>
        </is>
      </c>
      <c r="J342" s="20" t="n"/>
      <c r="K342" s="20" t="inlineStr">
        <is>
          <t>YES</t>
        </is>
      </c>
      <c r="L342" s="20" t="n"/>
    </row>
    <row r="343" ht="15" customHeight="1" s="17">
      <c r="A343" s="20" t="inlineStr">
        <is>
          <t>H0339</t>
        </is>
      </c>
      <c r="B343" s="20" t="inlineStr">
        <is>
          <t>NZ|LCM|F|13|100 Free</t>
        </is>
      </c>
      <c r="C343" s="20" t="inlineStr">
        <is>
          <t>LCM</t>
        </is>
      </c>
      <c r="D343" s="20" t="inlineStr">
        <is>
          <t>Female</t>
        </is>
      </c>
      <c r="E343" s="20" t="n">
        <v>13</v>
      </c>
      <c r="F343" s="20" t="inlineStr">
        <is>
          <t>100 Free</t>
        </is>
      </c>
      <c r="G343" s="20" t="inlineStr">
        <is>
          <t>Gabrielle Fa'amausili</t>
        </is>
      </c>
      <c r="H343" s="20" t="inlineStr">
        <is>
          <t>57.72</t>
        </is>
      </c>
      <c r="I343" s="20" t="inlineStr">
        <is>
          <t>21.03.13</t>
        </is>
      </c>
      <c r="J343" s="20" t="n"/>
      <c r="K343" s="20" t="inlineStr">
        <is>
          <t>YES</t>
        </is>
      </c>
      <c r="L343" s="20" t="n"/>
    </row>
    <row r="344" ht="15" customHeight="1" s="17">
      <c r="A344" s="20" t="inlineStr">
        <is>
          <t>H0340</t>
        </is>
      </c>
      <c r="B344" s="20" t="inlineStr">
        <is>
          <t>NZ|LCM|F|13|200 Free</t>
        </is>
      </c>
      <c r="C344" s="20" t="inlineStr">
        <is>
          <t>LCM</t>
        </is>
      </c>
      <c r="D344" s="20" t="inlineStr">
        <is>
          <t>Female</t>
        </is>
      </c>
      <c r="E344" s="20" t="n">
        <v>13</v>
      </c>
      <c r="F344" s="20" t="inlineStr">
        <is>
          <t>200 Free</t>
        </is>
      </c>
      <c r="G344" s="20" t="inlineStr">
        <is>
          <t>Erika Fairweather</t>
        </is>
      </c>
      <c r="H344" s="20" t="inlineStr">
        <is>
          <t>2:06.89</t>
        </is>
      </c>
      <c r="I344" s="20" t="inlineStr">
        <is>
          <t>23.03.17</t>
        </is>
      </c>
      <c r="J344" s="20" t="n"/>
      <c r="K344" s="20" t="inlineStr">
        <is>
          <t>YES</t>
        </is>
      </c>
      <c r="L344" s="20" t="n"/>
    </row>
    <row r="345" ht="15" customHeight="1" s="17">
      <c r="A345" s="20" t="inlineStr">
        <is>
          <t>H0341</t>
        </is>
      </c>
      <c r="B345" s="20" t="inlineStr">
        <is>
          <t>NZ|LCM|F|13|400 Free</t>
        </is>
      </c>
      <c r="C345" s="20" t="inlineStr">
        <is>
          <t>LCM</t>
        </is>
      </c>
      <c r="D345" s="20" t="inlineStr">
        <is>
          <t>Female</t>
        </is>
      </c>
      <c r="E345" s="20" t="n">
        <v>13</v>
      </c>
      <c r="F345" s="20" t="inlineStr">
        <is>
          <t>400 Free</t>
        </is>
      </c>
      <c r="G345" s="20" t="inlineStr">
        <is>
          <t>Verity Hicks</t>
        </is>
      </c>
      <c r="H345" s="20" t="inlineStr">
        <is>
          <t>4:27.27</t>
        </is>
      </c>
      <c r="I345" s="20" t="inlineStr">
        <is>
          <t>11.04.02</t>
        </is>
      </c>
      <c r="J345" s="20" t="n"/>
      <c r="K345" s="20" t="inlineStr">
        <is>
          <t>YES</t>
        </is>
      </c>
      <c r="L345" s="20" t="n"/>
    </row>
    <row r="346" ht="15" customHeight="1" s="17">
      <c r="A346" s="20" t="inlineStr">
        <is>
          <t>H0342</t>
        </is>
      </c>
      <c r="B346" s="20" t="inlineStr">
        <is>
          <t>NZ|LCM|F|13|800 Free</t>
        </is>
      </c>
      <c r="C346" s="20" t="inlineStr">
        <is>
          <t>LCM</t>
        </is>
      </c>
      <c r="D346" s="20" t="inlineStr">
        <is>
          <t>Female</t>
        </is>
      </c>
      <c r="E346" s="20" t="n">
        <v>13</v>
      </c>
      <c r="F346" s="20" t="inlineStr">
        <is>
          <t>800 Free</t>
        </is>
      </c>
      <c r="G346" s="20" t="inlineStr">
        <is>
          <t>Laura Baker</t>
        </is>
      </c>
      <c r="H346" s="20" t="inlineStr">
        <is>
          <t>9:08.20</t>
        </is>
      </c>
      <c r="I346" s="20" t="inlineStr">
        <is>
          <t>20.10.07</t>
        </is>
      </c>
      <c r="J346" s="20" t="n"/>
      <c r="K346" s="20" t="inlineStr">
        <is>
          <t>YES</t>
        </is>
      </c>
      <c r="L346" s="20" t="n"/>
    </row>
    <row r="347" ht="15" customHeight="1" s="17">
      <c r="A347" s="20" t="inlineStr">
        <is>
          <t>H0343</t>
        </is>
      </c>
      <c r="B347" s="20" t="inlineStr">
        <is>
          <t>NZ|LCM|F|13|1500 Free</t>
        </is>
      </c>
      <c r="C347" s="20" t="inlineStr">
        <is>
          <t>LCM</t>
        </is>
      </c>
      <c r="D347" s="20" t="inlineStr">
        <is>
          <t>Female</t>
        </is>
      </c>
      <c r="E347" s="20" t="n">
        <v>13</v>
      </c>
      <c r="F347" s="20" t="inlineStr">
        <is>
          <t>1500 Free</t>
        </is>
      </c>
      <c r="G347" s="20" t="inlineStr">
        <is>
          <t>Carmen Ooi</t>
        </is>
      </c>
      <c r="H347" s="20" t="inlineStr">
        <is>
          <t>17:45.23</t>
        </is>
      </c>
      <c r="I347" s="20" t="inlineStr">
        <is>
          <t>03.04.04</t>
        </is>
      </c>
      <c r="J347" s="20" t="n"/>
      <c r="K347" s="20" t="inlineStr">
        <is>
          <t>YES</t>
        </is>
      </c>
      <c r="L347" s="20" t="n"/>
    </row>
    <row r="348" ht="15" customHeight="1" s="17">
      <c r="A348" s="20" t="inlineStr">
        <is>
          <t>H0344</t>
        </is>
      </c>
      <c r="B348" s="20" t="inlineStr">
        <is>
          <t>NZ|LCM|F|13|50 Back</t>
        </is>
      </c>
      <c r="C348" s="20" t="inlineStr">
        <is>
          <t>LCM</t>
        </is>
      </c>
      <c r="D348" s="20" t="inlineStr">
        <is>
          <t>Female</t>
        </is>
      </c>
      <c r="E348" s="20" t="n">
        <v>13</v>
      </c>
      <c r="F348" s="20" t="inlineStr">
        <is>
          <t>50 Back</t>
        </is>
      </c>
      <c r="G348" s="20" t="inlineStr">
        <is>
          <t>Gabrielle Fa'amausili</t>
        </is>
      </c>
      <c r="H348" s="20" t="inlineStr">
        <is>
          <t>28.14</t>
        </is>
      </c>
      <c r="I348" s="20" t="inlineStr">
        <is>
          <t>30.08.13</t>
        </is>
      </c>
      <c r="J348" s="20" t="n"/>
      <c r="K348" s="20" t="inlineStr">
        <is>
          <t>YES</t>
        </is>
      </c>
      <c r="L348" s="20" t="n"/>
    </row>
    <row r="349" ht="15" customHeight="1" s="17">
      <c r="A349" s="20" t="inlineStr">
        <is>
          <t>H0345</t>
        </is>
      </c>
      <c r="B349" s="20" t="inlineStr">
        <is>
          <t>NZ|LCM|F|13|100 Back</t>
        </is>
      </c>
      <c r="C349" s="20" t="inlineStr">
        <is>
          <t>LCM</t>
        </is>
      </c>
      <c r="D349" s="20" t="inlineStr">
        <is>
          <t>Female</t>
        </is>
      </c>
      <c r="E349" s="20" t="n">
        <v>13</v>
      </c>
      <c r="F349" s="20" t="inlineStr">
        <is>
          <t>100 Back</t>
        </is>
      </c>
      <c r="G349" s="20" t="inlineStr">
        <is>
          <t>Bobbi Gichard</t>
        </is>
      </c>
      <c r="H349" s="20" t="inlineStr">
        <is>
          <t>1:02.49</t>
        </is>
      </c>
      <c r="I349" s="20" t="inlineStr">
        <is>
          <t>28.02.13</t>
        </is>
      </c>
      <c r="J349" s="20" t="n"/>
      <c r="K349" s="20" t="inlineStr">
        <is>
          <t>YES</t>
        </is>
      </c>
      <c r="L349" s="20" t="n"/>
    </row>
    <row r="350" ht="15" customHeight="1" s="17">
      <c r="A350" s="20" t="inlineStr">
        <is>
          <t>H0346</t>
        </is>
      </c>
      <c r="B350" s="20" t="inlineStr">
        <is>
          <t>NZ|LCM|F|13|200 Back</t>
        </is>
      </c>
      <c r="C350" s="20" t="inlineStr">
        <is>
          <t>LCM</t>
        </is>
      </c>
      <c r="D350" s="20" t="inlineStr">
        <is>
          <t>Female</t>
        </is>
      </c>
      <c r="E350" s="20" t="n">
        <v>13</v>
      </c>
      <c r="F350" s="20" t="inlineStr">
        <is>
          <t>200 Back</t>
        </is>
      </c>
      <c r="G350" s="20" t="inlineStr">
        <is>
          <t>Bobbi Gichard</t>
        </is>
      </c>
      <c r="H350" s="20" t="inlineStr">
        <is>
          <t>2:15.61</t>
        </is>
      </c>
      <c r="I350" s="20" t="inlineStr">
        <is>
          <t>26.02.13</t>
        </is>
      </c>
      <c r="J350" s="20" t="n"/>
      <c r="K350" s="20" t="inlineStr">
        <is>
          <t>YES</t>
        </is>
      </c>
      <c r="L350" s="20" t="n"/>
    </row>
    <row r="351" ht="15" customHeight="1" s="17">
      <c r="A351" s="20" t="inlineStr">
        <is>
          <t>H0347</t>
        </is>
      </c>
      <c r="B351" s="20" t="inlineStr">
        <is>
          <t>NZ|LCM|F|13|50 Breast</t>
        </is>
      </c>
      <c r="C351" s="20" t="inlineStr">
        <is>
          <t>LCM</t>
        </is>
      </c>
      <c r="D351" s="20" t="inlineStr">
        <is>
          <t>Female</t>
        </is>
      </c>
      <c r="E351" s="20" t="n">
        <v>13</v>
      </c>
      <c r="F351" s="20" t="inlineStr">
        <is>
          <t>50 Breast</t>
        </is>
      </c>
      <c r="G351" s="20" t="inlineStr">
        <is>
          <t>Abbie Johnston</t>
        </is>
      </c>
      <c r="H351" s="20" t="inlineStr">
        <is>
          <t>33.36</t>
        </is>
      </c>
      <c r="I351" s="20" t="inlineStr">
        <is>
          <t>05.04.10</t>
        </is>
      </c>
      <c r="J351" s="20" t="n"/>
      <c r="K351" s="20" t="inlineStr">
        <is>
          <t>YES</t>
        </is>
      </c>
      <c r="L351" s="20" t="n"/>
    </row>
    <row r="352" ht="15" customHeight="1" s="17">
      <c r="A352" s="20" t="inlineStr">
        <is>
          <t>H0348</t>
        </is>
      </c>
      <c r="B352" s="20" t="inlineStr">
        <is>
          <t>NZ|LCM|F|13|100 Breast</t>
        </is>
      </c>
      <c r="C352" s="20" t="inlineStr">
        <is>
          <t>LCM</t>
        </is>
      </c>
      <c r="D352" s="20" t="inlineStr">
        <is>
          <t>Female</t>
        </is>
      </c>
      <c r="E352" s="20" t="n">
        <v>13</v>
      </c>
      <c r="F352" s="20" t="inlineStr">
        <is>
          <t>100 Breast</t>
        </is>
      </c>
      <c r="G352" s="20" t="inlineStr">
        <is>
          <t>April Lin</t>
        </is>
      </c>
      <c r="H352" s="20" t="inlineStr">
        <is>
          <t>1:13.11</t>
        </is>
      </c>
      <c r="I352" s="20" t="inlineStr">
        <is>
          <t>14.05.26</t>
        </is>
      </c>
      <c r="J352" s="20" t="n"/>
      <c r="K352" s="20" t="inlineStr">
        <is>
          <t>YES</t>
        </is>
      </c>
      <c r="L352" s="20" t="n"/>
    </row>
    <row r="353" ht="15" customHeight="1" s="17">
      <c r="A353" s="20" t="inlineStr">
        <is>
          <t>H0349</t>
        </is>
      </c>
      <c r="B353" s="20" t="inlineStr">
        <is>
          <t>NZ|LCM|F|13|200 Breast</t>
        </is>
      </c>
      <c r="C353" s="20" t="inlineStr">
        <is>
          <t>LCM</t>
        </is>
      </c>
      <c r="D353" s="20" t="inlineStr">
        <is>
          <t>Female</t>
        </is>
      </c>
      <c r="E353" s="20" t="n">
        <v>13</v>
      </c>
      <c r="F353" s="20" t="inlineStr">
        <is>
          <t>200 Breast</t>
        </is>
      </c>
      <c r="G353" s="20" t="inlineStr">
        <is>
          <t>April Lin</t>
        </is>
      </c>
      <c r="H353" s="20" t="inlineStr">
        <is>
          <t>2:36.70</t>
        </is>
      </c>
      <c r="I353" s="20" t="inlineStr">
        <is>
          <t>17.05.26</t>
        </is>
      </c>
      <c r="J353" s="20" t="n"/>
      <c r="K353" s="20" t="inlineStr">
        <is>
          <t>YES</t>
        </is>
      </c>
      <c r="L353" s="20" t="n"/>
    </row>
    <row r="354" ht="15" customHeight="1" s="17">
      <c r="A354" s="20" t="inlineStr">
        <is>
          <t>H0350</t>
        </is>
      </c>
      <c r="B354" s="20" t="inlineStr">
        <is>
          <t>NZ|LCM|F|13|50 Fly</t>
        </is>
      </c>
      <c r="C354" s="20" t="inlineStr">
        <is>
          <t>LCM</t>
        </is>
      </c>
      <c r="D354" s="20" t="inlineStr">
        <is>
          <t>Female</t>
        </is>
      </c>
      <c r="E354" s="20" t="n">
        <v>13</v>
      </c>
      <c r="F354" s="20" t="inlineStr">
        <is>
          <t>50 Fly</t>
        </is>
      </c>
      <c r="G354" s="20" t="inlineStr">
        <is>
          <t>Indie Herbert</t>
        </is>
      </c>
      <c r="H354" s="20" t="inlineStr">
        <is>
          <t>28.36</t>
        </is>
      </c>
      <c r="I354" s="20" t="inlineStr">
        <is>
          <t>10.04.26</t>
        </is>
      </c>
      <c r="J354" s="20" t="n"/>
      <c r="K354" s="20" t="inlineStr">
        <is>
          <t>YES</t>
        </is>
      </c>
      <c r="L354" s="20" t="n"/>
    </row>
    <row r="355" ht="15" customHeight="1" s="17">
      <c r="A355" s="20" t="inlineStr">
        <is>
          <t>H0351</t>
        </is>
      </c>
      <c r="B355" s="20" t="inlineStr">
        <is>
          <t>NZ|LCM|F|13|100 Fly</t>
        </is>
      </c>
      <c r="C355" s="20" t="inlineStr">
        <is>
          <t>LCM</t>
        </is>
      </c>
      <c r="D355" s="20" t="inlineStr">
        <is>
          <t>Female</t>
        </is>
      </c>
      <c r="E355" s="20" t="n">
        <v>13</v>
      </c>
      <c r="F355" s="20" t="inlineStr">
        <is>
          <t>100 Fly</t>
        </is>
      </c>
      <c r="G355" s="20" t="inlineStr">
        <is>
          <t>Sophia Batchelor</t>
        </is>
      </c>
      <c r="H355" s="20" t="inlineStr">
        <is>
          <t>1:02.11</t>
        </is>
      </c>
      <c r="I355" s="20" t="inlineStr">
        <is>
          <t>06.03.09</t>
        </is>
      </c>
      <c r="J355" s="20" t="n"/>
      <c r="K355" s="20" t="inlineStr">
        <is>
          <t>YES</t>
        </is>
      </c>
      <c r="L355" s="20" t="n"/>
    </row>
    <row r="356" ht="15" customHeight="1" s="17">
      <c r="A356" s="20" t="inlineStr">
        <is>
          <t>H0352</t>
        </is>
      </c>
      <c r="B356" s="20" t="inlineStr">
        <is>
          <t>NZ|LCM|F|13|200 Fly</t>
        </is>
      </c>
      <c r="C356" s="20" t="inlineStr">
        <is>
          <t>LCM</t>
        </is>
      </c>
      <c r="D356" s="20" t="inlineStr">
        <is>
          <t>Female</t>
        </is>
      </c>
      <c r="E356" s="20" t="n">
        <v>13</v>
      </c>
      <c r="F356" s="20" t="inlineStr">
        <is>
          <t>200 Fly</t>
        </is>
      </c>
      <c r="G356" s="20" t="inlineStr">
        <is>
          <t>Nichola West</t>
        </is>
      </c>
      <c r="H356" s="20" t="inlineStr">
        <is>
          <t>2:21.75</t>
        </is>
      </c>
      <c r="I356" s="20" t="inlineStr">
        <is>
          <t>01.01.89</t>
        </is>
      </c>
      <c r="J356" s="20" t="n"/>
      <c r="K356" s="20" t="inlineStr">
        <is>
          <t>YES</t>
        </is>
      </c>
      <c r="L356" s="20" t="n"/>
    </row>
    <row r="357" ht="15" customHeight="1" s="17">
      <c r="A357" s="20" t="inlineStr">
        <is>
          <t>H0353</t>
        </is>
      </c>
      <c r="B357" s="20" t="inlineStr">
        <is>
          <t>NZ|LCM|F|13|200 IM</t>
        </is>
      </c>
      <c r="C357" s="20" t="inlineStr">
        <is>
          <t>LCM</t>
        </is>
      </c>
      <c r="D357" s="20" t="inlineStr">
        <is>
          <t>Female</t>
        </is>
      </c>
      <c r="E357" s="20" t="n">
        <v>13</v>
      </c>
      <c r="F357" s="20" t="inlineStr">
        <is>
          <t>200 IM</t>
        </is>
      </c>
      <c r="G357" s="20" t="inlineStr">
        <is>
          <t>Carissa Thompson</t>
        </is>
      </c>
      <c r="H357" s="20" t="inlineStr">
        <is>
          <t>2:22.00</t>
        </is>
      </c>
      <c r="I357" s="20" t="inlineStr">
        <is>
          <t>08.04.99</t>
        </is>
      </c>
      <c r="J357" s="20" t="n"/>
      <c r="K357" s="20" t="inlineStr">
        <is>
          <t>YES</t>
        </is>
      </c>
      <c r="L357" s="20" t="n"/>
    </row>
    <row r="358" ht="15" customHeight="1" s="17">
      <c r="A358" s="20" t="inlineStr">
        <is>
          <t>H0354</t>
        </is>
      </c>
      <c r="B358" s="20" t="inlineStr">
        <is>
          <t>NZ|LCM|F|13|400 IM</t>
        </is>
      </c>
      <c r="C358" s="20" t="inlineStr">
        <is>
          <t>LCM</t>
        </is>
      </c>
      <c r="D358" s="20" t="inlineStr">
        <is>
          <t>Female</t>
        </is>
      </c>
      <c r="E358" s="20" t="n">
        <v>13</v>
      </c>
      <c r="F358" s="20" t="inlineStr">
        <is>
          <t>400 IM</t>
        </is>
      </c>
      <c r="G358" s="20" t="inlineStr">
        <is>
          <t>Mya Rasmussen</t>
        </is>
      </c>
      <c r="H358" s="20" t="inlineStr">
        <is>
          <t>4:59.78</t>
        </is>
      </c>
      <c r="I358" s="20" t="inlineStr">
        <is>
          <t>14.04.14</t>
        </is>
      </c>
      <c r="J358" s="20" t="n"/>
      <c r="K358" s="20" t="inlineStr">
        <is>
          <t>YES</t>
        </is>
      </c>
      <c r="L358" s="20" t="n"/>
    </row>
    <row r="359" ht="15" customHeight="1" s="17">
      <c r="A359" s="20" t="inlineStr">
        <is>
          <t>H0355</t>
        </is>
      </c>
      <c r="B359" s="20" t="inlineStr">
        <is>
          <t>NZ|LCM|F|14|50 Free</t>
        </is>
      </c>
      <c r="C359" s="20" t="inlineStr">
        <is>
          <t>LCM</t>
        </is>
      </c>
      <c r="D359" s="20" t="inlineStr">
        <is>
          <t>Female</t>
        </is>
      </c>
      <c r="E359" s="20" t="n">
        <v>14</v>
      </c>
      <c r="F359" s="20" t="inlineStr">
        <is>
          <t>50 Free</t>
        </is>
      </c>
      <c r="G359" s="20" t="inlineStr">
        <is>
          <t>Gabrielle Fa'amausili</t>
        </is>
      </c>
      <c r="H359" s="20" t="inlineStr">
        <is>
          <t>25.86</t>
        </is>
      </c>
      <c r="I359" s="20" t="inlineStr">
        <is>
          <t>23.05.14</t>
        </is>
      </c>
      <c r="J359" s="20" t="n"/>
      <c r="K359" s="20" t="inlineStr">
        <is>
          <t>YES</t>
        </is>
      </c>
      <c r="L359" s="20" t="n"/>
    </row>
    <row r="360" ht="15" customHeight="1" s="17">
      <c r="A360" s="20" t="inlineStr">
        <is>
          <t>H0356</t>
        </is>
      </c>
      <c r="B360" s="20" t="inlineStr">
        <is>
          <t>NZ|LCM|F|14|100 Free</t>
        </is>
      </c>
      <c r="C360" s="20" t="inlineStr">
        <is>
          <t>LCM</t>
        </is>
      </c>
      <c r="D360" s="20" t="inlineStr">
        <is>
          <t>Female</t>
        </is>
      </c>
      <c r="E360" s="20" t="n">
        <v>14</v>
      </c>
      <c r="F360" s="20" t="inlineStr">
        <is>
          <t>100 Free</t>
        </is>
      </c>
      <c r="G360" s="20" t="inlineStr">
        <is>
          <t>Erika Fairweather</t>
        </is>
      </c>
      <c r="H360" s="20" t="inlineStr">
        <is>
          <t>57.16</t>
        </is>
      </c>
      <c r="I360" s="20" t="inlineStr">
        <is>
          <t>08.10.18</t>
        </is>
      </c>
      <c r="J360" s="20" t="n"/>
      <c r="K360" s="20" t="inlineStr">
        <is>
          <t>YES</t>
        </is>
      </c>
      <c r="L360" s="20" t="n"/>
    </row>
    <row r="361" ht="15" customHeight="1" s="17">
      <c r="A361" s="20" t="inlineStr">
        <is>
          <t>H0357</t>
        </is>
      </c>
      <c r="B361" s="20" t="inlineStr">
        <is>
          <t>NZ|LCM|F|14|200 Free</t>
        </is>
      </c>
      <c r="C361" s="20" t="inlineStr">
        <is>
          <t>LCM</t>
        </is>
      </c>
      <c r="D361" s="20" t="inlineStr">
        <is>
          <t>Female</t>
        </is>
      </c>
      <c r="E361" s="20" t="n">
        <v>14</v>
      </c>
      <c r="F361" s="20" t="inlineStr">
        <is>
          <t>200 Free</t>
        </is>
      </c>
      <c r="G361" s="20" t="inlineStr">
        <is>
          <t>Erika Fairweather</t>
        </is>
      </c>
      <c r="H361" s="20" t="inlineStr">
        <is>
          <t>2:02.11</t>
        </is>
      </c>
      <c r="I361" s="20" t="inlineStr">
        <is>
          <t>23.08.18</t>
        </is>
      </c>
      <c r="J361" s="20" t="n"/>
      <c r="K361" s="20" t="inlineStr">
        <is>
          <t>YES</t>
        </is>
      </c>
      <c r="L361" s="20" t="n"/>
    </row>
    <row r="362" ht="15" customHeight="1" s="17">
      <c r="A362" s="20" t="inlineStr">
        <is>
          <t>H0358</t>
        </is>
      </c>
      <c r="B362" s="20" t="inlineStr">
        <is>
          <t>NZ|LCM|F|14|400 Free</t>
        </is>
      </c>
      <c r="C362" s="20" t="inlineStr">
        <is>
          <t>LCM</t>
        </is>
      </c>
      <c r="D362" s="20" t="inlineStr">
        <is>
          <t>Female</t>
        </is>
      </c>
      <c r="E362" s="20" t="n">
        <v>14</v>
      </c>
      <c r="F362" s="20" t="inlineStr">
        <is>
          <t>400 Free</t>
        </is>
      </c>
      <c r="G362" s="20" t="inlineStr">
        <is>
          <t>Erika Fairweather</t>
        </is>
      </c>
      <c r="H362" s="20" t="inlineStr">
        <is>
          <t>4:13.55</t>
        </is>
      </c>
      <c r="I362" s="20" t="inlineStr">
        <is>
          <t>25.08.18</t>
        </is>
      </c>
      <c r="J362" s="20" t="n"/>
      <c r="K362" s="20" t="inlineStr">
        <is>
          <t>YES</t>
        </is>
      </c>
      <c r="L362" s="20" t="n"/>
    </row>
    <row r="363" ht="15" customHeight="1" s="17">
      <c r="A363" s="20" t="inlineStr">
        <is>
          <t>H0359</t>
        </is>
      </c>
      <c r="B363" s="20" t="inlineStr">
        <is>
          <t>NZ|LCM|F|14|800 Free</t>
        </is>
      </c>
      <c r="C363" s="20" t="inlineStr">
        <is>
          <t>LCM</t>
        </is>
      </c>
      <c r="D363" s="20" t="inlineStr">
        <is>
          <t>Female</t>
        </is>
      </c>
      <c r="E363" s="20" t="n">
        <v>14</v>
      </c>
      <c r="F363" s="20" t="inlineStr">
        <is>
          <t>800 Free</t>
        </is>
      </c>
      <c r="G363" s="20" t="inlineStr">
        <is>
          <t>Erika Fairweather</t>
        </is>
      </c>
      <c r="H363" s="20" t="inlineStr">
        <is>
          <t>8:56.14</t>
        </is>
      </c>
      <c r="I363" s="20" t="inlineStr">
        <is>
          <t>09.10.18</t>
        </is>
      </c>
      <c r="J363" s="20" t="n"/>
      <c r="K363" s="20" t="inlineStr">
        <is>
          <t>YES</t>
        </is>
      </c>
      <c r="L363" s="20" t="n"/>
    </row>
    <row r="364" ht="15" customHeight="1" s="17">
      <c r="A364" s="20" t="inlineStr">
        <is>
          <t>H0360</t>
        </is>
      </c>
      <c r="B364" s="20" t="inlineStr">
        <is>
          <t>NZ|LCM|F|14|1500 Free</t>
        </is>
      </c>
      <c r="C364" s="20" t="inlineStr">
        <is>
          <t>LCM</t>
        </is>
      </c>
      <c r="D364" s="20" t="inlineStr">
        <is>
          <t>Female</t>
        </is>
      </c>
      <c r="E364" s="20" t="n">
        <v>14</v>
      </c>
      <c r="F364" s="20" t="inlineStr">
        <is>
          <t>1500 Free</t>
        </is>
      </c>
      <c r="G364" s="20" t="inlineStr">
        <is>
          <t>Verity Hicks</t>
        </is>
      </c>
      <c r="H364" s="20" t="inlineStr">
        <is>
          <t>17:21.76</t>
        </is>
      </c>
      <c r="I364" s="20" t="inlineStr">
        <is>
          <t>17.04.03</t>
        </is>
      </c>
      <c r="J364" s="20" t="n"/>
      <c r="K364" s="20" t="inlineStr">
        <is>
          <t>YES</t>
        </is>
      </c>
      <c r="L364" s="20" t="n"/>
    </row>
    <row r="365" ht="15" customHeight="1" s="17">
      <c r="A365" s="20" t="inlineStr">
        <is>
          <t>H0361</t>
        </is>
      </c>
      <c r="B365" s="20" t="inlineStr">
        <is>
          <t>NZ|LCM|F|14|50 Back</t>
        </is>
      </c>
      <c r="C365" s="20" t="inlineStr">
        <is>
          <t>LCM</t>
        </is>
      </c>
      <c r="D365" s="20" t="inlineStr">
        <is>
          <t>Female</t>
        </is>
      </c>
      <c r="E365" s="20" t="n">
        <v>14</v>
      </c>
      <c r="F365" s="20" t="inlineStr">
        <is>
          <t>50 Back</t>
        </is>
      </c>
      <c r="G365" s="20" t="inlineStr">
        <is>
          <t>Gabrielle Fa'amausili</t>
        </is>
      </c>
      <c r="H365" s="20" t="inlineStr">
        <is>
          <t>28.53</t>
        </is>
      </c>
      <c r="I365" s="20" t="inlineStr">
        <is>
          <t>01.05.14</t>
        </is>
      </c>
      <c r="J365" s="20" t="n"/>
      <c r="K365" s="20" t="inlineStr">
        <is>
          <t>YES</t>
        </is>
      </c>
      <c r="L365" s="20" t="n"/>
    </row>
    <row r="366" ht="15" customHeight="1" s="17">
      <c r="A366" s="20" t="inlineStr">
        <is>
          <t>H0362</t>
        </is>
      </c>
      <c r="B366" s="20" t="inlineStr">
        <is>
          <t>NZ|LCM|F|14|100 Back</t>
        </is>
      </c>
      <c r="C366" s="20" t="inlineStr">
        <is>
          <t>LCM</t>
        </is>
      </c>
      <c r="D366" s="20" t="inlineStr">
        <is>
          <t>Female</t>
        </is>
      </c>
      <c r="E366" s="20" t="n">
        <v>14</v>
      </c>
      <c r="F366" s="20" t="inlineStr">
        <is>
          <t>100 Back</t>
        </is>
      </c>
      <c r="G366" s="20" t="inlineStr">
        <is>
          <t>Bobbi Gichard</t>
        </is>
      </c>
      <c r="H366" s="20" t="inlineStr">
        <is>
          <t>1:01.25</t>
        </is>
      </c>
      <c r="I366" s="20" t="inlineStr">
        <is>
          <t>18.08.14</t>
        </is>
      </c>
      <c r="J366" s="20" t="n"/>
      <c r="K366" s="20" t="inlineStr">
        <is>
          <t>YES</t>
        </is>
      </c>
      <c r="L366" s="20" t="n"/>
    </row>
    <row r="367" ht="15" customHeight="1" s="17">
      <c r="A367" s="20" t="inlineStr">
        <is>
          <t>H0363</t>
        </is>
      </c>
      <c r="B367" s="20" t="inlineStr">
        <is>
          <t>NZ|LCM|F|14|200 Back</t>
        </is>
      </c>
      <c r="C367" s="20" t="inlineStr">
        <is>
          <t>LCM</t>
        </is>
      </c>
      <c r="D367" s="20" t="inlineStr">
        <is>
          <t>Female</t>
        </is>
      </c>
      <c r="E367" s="20" t="n">
        <v>14</v>
      </c>
      <c r="F367" s="20" t="inlineStr">
        <is>
          <t>200 Back</t>
        </is>
      </c>
      <c r="G367" s="20" t="inlineStr">
        <is>
          <t>Sophia Batchelor</t>
        </is>
      </c>
      <c r="H367" s="20" t="inlineStr">
        <is>
          <t>2:13.60</t>
        </is>
      </c>
      <c r="I367" s="20" t="inlineStr">
        <is>
          <t>08.04.10</t>
        </is>
      </c>
      <c r="J367" s="20" t="n"/>
      <c r="K367" s="20" t="inlineStr">
        <is>
          <t>YES</t>
        </is>
      </c>
      <c r="L367" s="20" t="n"/>
    </row>
    <row r="368" ht="15" customHeight="1" s="17">
      <c r="A368" s="20" t="inlineStr">
        <is>
          <t>H0364</t>
        </is>
      </c>
      <c r="B368" s="20" t="inlineStr">
        <is>
          <t>NZ|LCM|F|14|50 Breast</t>
        </is>
      </c>
      <c r="C368" s="20" t="inlineStr">
        <is>
          <t>LCM</t>
        </is>
      </c>
      <c r="D368" s="20" t="inlineStr">
        <is>
          <t>Female</t>
        </is>
      </c>
      <c r="E368" s="20" t="n">
        <v>14</v>
      </c>
      <c r="F368" s="20" t="inlineStr">
        <is>
          <t>50 Breast</t>
        </is>
      </c>
      <c r="G368" s="20" t="inlineStr">
        <is>
          <t>Annabelle Carey</t>
        </is>
      </c>
      <c r="H368" s="20" t="inlineStr">
        <is>
          <t>32.74</t>
        </is>
      </c>
      <c r="I368" s="20" t="inlineStr">
        <is>
          <t>02.03.04</t>
        </is>
      </c>
      <c r="J368" s="20" t="n"/>
      <c r="K368" s="20" t="inlineStr">
        <is>
          <t>YES</t>
        </is>
      </c>
      <c r="L368" s="20" t="n"/>
    </row>
    <row r="369" ht="15" customHeight="1" s="17">
      <c r="A369" s="20" t="inlineStr">
        <is>
          <t>H0365</t>
        </is>
      </c>
      <c r="B369" s="20" t="inlineStr">
        <is>
          <t>NZ|LCM|F|14|100 Breast</t>
        </is>
      </c>
      <c r="C369" s="20" t="inlineStr">
        <is>
          <t>LCM</t>
        </is>
      </c>
      <c r="D369" s="20" t="inlineStr">
        <is>
          <t>Female</t>
        </is>
      </c>
      <c r="E369" s="20" t="n">
        <v>14</v>
      </c>
      <c r="F369" s="20" t="inlineStr">
        <is>
          <t>100 Breast</t>
        </is>
      </c>
      <c r="G369" s="20" t="inlineStr">
        <is>
          <t>Melissa Cowen</t>
        </is>
      </c>
      <c r="H369" s="20" t="inlineStr">
        <is>
          <t>1:11.28</t>
        </is>
      </c>
      <c r="I369" s="20" t="inlineStr">
        <is>
          <t>21.06.19</t>
        </is>
      </c>
      <c r="J369" s="20" t="n"/>
      <c r="K369" s="20" t="inlineStr">
        <is>
          <t>YES</t>
        </is>
      </c>
      <c r="L369" s="20" t="n"/>
    </row>
    <row r="370" ht="15" customHeight="1" s="17">
      <c r="A370" s="20" t="inlineStr">
        <is>
          <t>H0366</t>
        </is>
      </c>
      <c r="B370" s="20" t="inlineStr">
        <is>
          <t>NZ|LCM|F|14|200 Breast</t>
        </is>
      </c>
      <c r="C370" s="20" t="inlineStr">
        <is>
          <t>LCM</t>
        </is>
      </c>
      <c r="D370" s="20" t="inlineStr">
        <is>
          <t>Female</t>
        </is>
      </c>
      <c r="E370" s="20" t="n">
        <v>14</v>
      </c>
      <c r="F370" s="20" t="inlineStr">
        <is>
          <t>200 Breast</t>
        </is>
      </c>
      <c r="G370" s="20" t="inlineStr">
        <is>
          <t>Brearna Crawford</t>
        </is>
      </c>
      <c r="H370" s="20" t="inlineStr">
        <is>
          <t>2:33.74</t>
        </is>
      </c>
      <c r="I370" s="20" t="inlineStr">
        <is>
          <t>21.04.17</t>
        </is>
      </c>
      <c r="J370" s="20" t="n"/>
      <c r="K370" s="20" t="inlineStr">
        <is>
          <t>YES</t>
        </is>
      </c>
      <c r="L370" s="20" t="n"/>
    </row>
    <row r="371" ht="15" customHeight="1" s="17">
      <c r="A371" s="20" t="inlineStr">
        <is>
          <t>H0367</t>
        </is>
      </c>
      <c r="B371" s="20" t="inlineStr">
        <is>
          <t>NZ|LCM|F|14|50 Fly</t>
        </is>
      </c>
      <c r="C371" s="20" t="inlineStr">
        <is>
          <t>LCM</t>
        </is>
      </c>
      <c r="D371" s="20" t="inlineStr">
        <is>
          <t>Female</t>
        </is>
      </c>
      <c r="E371" s="20" t="n">
        <v>14</v>
      </c>
      <c r="F371" s="20" t="inlineStr">
        <is>
          <t>50 Fly</t>
        </is>
      </c>
      <c r="G371" s="20" t="inlineStr">
        <is>
          <t>Kendall Cochrane</t>
        </is>
      </c>
      <c r="H371" s="20" t="inlineStr">
        <is>
          <t>27.86</t>
        </is>
      </c>
      <c r="I371" s="20" t="inlineStr">
        <is>
          <t>01.04.04</t>
        </is>
      </c>
      <c r="J371" s="20" t="n"/>
      <c r="K371" s="20" t="inlineStr">
        <is>
          <t>YES</t>
        </is>
      </c>
      <c r="L371" s="20" t="n"/>
    </row>
    <row r="372" ht="15" customHeight="1" s="17">
      <c r="A372" s="20" t="inlineStr">
        <is>
          <t>H0368</t>
        </is>
      </c>
      <c r="B372" s="20" t="inlineStr">
        <is>
          <t>NZ|LCM|F|14|100 Fly</t>
        </is>
      </c>
      <c r="C372" s="20" t="inlineStr">
        <is>
          <t>LCM</t>
        </is>
      </c>
      <c r="D372" s="20" t="inlineStr">
        <is>
          <t>Female</t>
        </is>
      </c>
      <c r="E372" s="20" t="n">
        <v>14</v>
      </c>
      <c r="F372" s="20" t="inlineStr">
        <is>
          <t>100 Fly</t>
        </is>
      </c>
      <c r="G372" s="20" t="inlineStr">
        <is>
          <t>Milan Glintmeyer</t>
        </is>
      </c>
      <c r="H372" s="20" t="inlineStr">
        <is>
          <t>1:01.72</t>
        </is>
      </c>
      <c r="I372" s="20" t="inlineStr">
        <is>
          <t>03.04.23</t>
        </is>
      </c>
      <c r="J372" s="20" t="n"/>
      <c r="K372" s="20" t="inlineStr">
        <is>
          <t>YES</t>
        </is>
      </c>
      <c r="L372" s="20" t="n"/>
    </row>
    <row r="373" ht="15" customHeight="1" s="17">
      <c r="A373" s="20" t="inlineStr">
        <is>
          <t>H0369</t>
        </is>
      </c>
      <c r="B373" s="20" t="inlineStr">
        <is>
          <t>NZ|LCM|F|14|200 Fly</t>
        </is>
      </c>
      <c r="C373" s="20" t="inlineStr">
        <is>
          <t>LCM</t>
        </is>
      </c>
      <c r="D373" s="20" t="inlineStr">
        <is>
          <t>Female</t>
        </is>
      </c>
      <c r="E373" s="20" t="n">
        <v>14</v>
      </c>
      <c r="F373" s="20" t="inlineStr">
        <is>
          <t>200 Fly</t>
        </is>
      </c>
      <c r="G373" s="20" t="inlineStr">
        <is>
          <t>Elizabeth Brown</t>
        </is>
      </c>
      <c r="H373" s="20" t="inlineStr">
        <is>
          <t>2:18.27</t>
        </is>
      </c>
      <c r="I373" s="20" t="inlineStr">
        <is>
          <t>27.03.08</t>
        </is>
      </c>
      <c r="J373" s="20" t="n"/>
      <c r="K373" s="20" t="inlineStr">
        <is>
          <t>YES</t>
        </is>
      </c>
      <c r="L373" s="20" t="n"/>
    </row>
    <row r="374" ht="15" customHeight="1" s="17">
      <c r="A374" s="20" t="inlineStr">
        <is>
          <t>H0370</t>
        </is>
      </c>
      <c r="B374" s="20" t="inlineStr">
        <is>
          <t>NZ|LCM|F|14|200 IM</t>
        </is>
      </c>
      <c r="C374" s="20" t="inlineStr">
        <is>
          <t>LCM</t>
        </is>
      </c>
      <c r="D374" s="20" t="inlineStr">
        <is>
          <t>Female</t>
        </is>
      </c>
      <c r="E374" s="20" t="n">
        <v>14</v>
      </c>
      <c r="F374" s="20" t="inlineStr">
        <is>
          <t>200 IM</t>
        </is>
      </c>
      <c r="G374" s="20" t="inlineStr">
        <is>
          <t>Gina McCarthy</t>
        </is>
      </c>
      <c r="H374" s="20" t="inlineStr">
        <is>
          <t>2:20.30</t>
        </is>
      </c>
      <c r="I374" s="20" t="inlineStr">
        <is>
          <t>16.04.17</t>
        </is>
      </c>
      <c r="J374" s="20" t="n"/>
      <c r="K374" s="20" t="inlineStr">
        <is>
          <t>YES</t>
        </is>
      </c>
      <c r="L374" s="20" t="n"/>
    </row>
    <row r="375" ht="15" customHeight="1" s="17">
      <c r="A375" s="20" t="inlineStr">
        <is>
          <t>H0371</t>
        </is>
      </c>
      <c r="B375" s="20" t="inlineStr">
        <is>
          <t>NZ|LCM|F|14|400 IM</t>
        </is>
      </c>
      <c r="C375" s="20" t="inlineStr">
        <is>
          <t>LCM</t>
        </is>
      </c>
      <c r="D375" s="20" t="inlineStr">
        <is>
          <t>Female</t>
        </is>
      </c>
      <c r="E375" s="20" t="n">
        <v>14</v>
      </c>
      <c r="F375" s="20" t="inlineStr">
        <is>
          <t>400 IM</t>
        </is>
      </c>
      <c r="G375" s="20" t="inlineStr">
        <is>
          <t>Mya Rasmussen</t>
        </is>
      </c>
      <c r="H375" s="20" t="inlineStr">
        <is>
          <t>4:51.85</t>
        </is>
      </c>
      <c r="I375" s="20" t="inlineStr">
        <is>
          <t>08.02.15</t>
        </is>
      </c>
      <c r="J375" s="20" t="n"/>
      <c r="K375" s="20" t="inlineStr">
        <is>
          <t>YES</t>
        </is>
      </c>
      <c r="L375" s="20" t="n"/>
    </row>
    <row r="376" ht="15" customHeight="1" s="17">
      <c r="A376" s="20" t="inlineStr">
        <is>
          <t>H0372</t>
        </is>
      </c>
      <c r="B376" s="20" t="inlineStr">
        <is>
          <t>NZ|LCM|F|15|50 Free</t>
        </is>
      </c>
      <c r="C376" s="20" t="inlineStr">
        <is>
          <t>LCM</t>
        </is>
      </c>
      <c r="D376" s="20" t="inlineStr">
        <is>
          <t>Female</t>
        </is>
      </c>
      <c r="E376" s="20" t="n">
        <v>15</v>
      </c>
      <c r="F376" s="20" t="inlineStr">
        <is>
          <t>50 Free</t>
        </is>
      </c>
      <c r="G376" s="20" t="inlineStr">
        <is>
          <t>Zoe Pedersen</t>
        </is>
      </c>
      <c r="H376" s="20" t="inlineStr">
        <is>
          <t>25.63</t>
        </is>
      </c>
      <c r="I376" s="20" t="inlineStr">
        <is>
          <t>13.04.23</t>
        </is>
      </c>
      <c r="J376" s="20" t="n"/>
      <c r="K376" s="20" t="inlineStr">
        <is>
          <t>YES</t>
        </is>
      </c>
      <c r="L376" s="20" t="n"/>
    </row>
    <row r="377" ht="15" customHeight="1" s="17">
      <c r="A377" s="20" t="inlineStr">
        <is>
          <t>H0373</t>
        </is>
      </c>
      <c r="B377" s="20" t="inlineStr">
        <is>
          <t>NZ|LCM|F|15|100 Free</t>
        </is>
      </c>
      <c r="C377" s="20" t="inlineStr">
        <is>
          <t>LCM</t>
        </is>
      </c>
      <c r="D377" s="20" t="inlineStr">
        <is>
          <t>Female</t>
        </is>
      </c>
      <c r="E377" s="20" t="n">
        <v>15</v>
      </c>
      <c r="F377" s="20" t="inlineStr">
        <is>
          <t>100 Free</t>
        </is>
      </c>
      <c r="G377" s="20" t="inlineStr">
        <is>
          <t>Erika Fairweather</t>
        </is>
      </c>
      <c r="H377" s="20" t="inlineStr">
        <is>
          <t>55.60</t>
        </is>
      </c>
      <c r="I377" s="20" t="inlineStr">
        <is>
          <t>16.04.19</t>
        </is>
      </c>
      <c r="J377" s="20" t="n"/>
      <c r="K377" s="20" t="inlineStr">
        <is>
          <t>YES</t>
        </is>
      </c>
      <c r="L377" s="20" t="n"/>
    </row>
    <row r="378" ht="15" customHeight="1" s="17">
      <c r="A378" s="20" t="inlineStr">
        <is>
          <t>H0374</t>
        </is>
      </c>
      <c r="B378" s="20" t="inlineStr">
        <is>
          <t>NZ|LCM|F|15|200 Free</t>
        </is>
      </c>
      <c r="C378" s="20" t="inlineStr">
        <is>
          <t>LCM</t>
        </is>
      </c>
      <c r="D378" s="20" t="inlineStr">
        <is>
          <t>Female</t>
        </is>
      </c>
      <c r="E378" s="20" t="n">
        <v>15</v>
      </c>
      <c r="F378" s="20" t="inlineStr">
        <is>
          <t>200 Free</t>
        </is>
      </c>
      <c r="G378" s="20" t="inlineStr">
        <is>
          <t>Erika Fairweather</t>
        </is>
      </c>
      <c r="H378" s="20" t="inlineStr">
        <is>
          <t>1:57.96</t>
        </is>
      </c>
      <c r="I378" s="20" t="inlineStr">
        <is>
          <t>25.08.19</t>
        </is>
      </c>
      <c r="J378" s="20" t="n"/>
      <c r="K378" s="20" t="inlineStr">
        <is>
          <t>YES</t>
        </is>
      </c>
      <c r="L378" s="20" t="n"/>
    </row>
    <row r="379" ht="15" customHeight="1" s="17">
      <c r="A379" s="20" t="inlineStr">
        <is>
          <t>H0375</t>
        </is>
      </c>
      <c r="B379" s="20" t="inlineStr">
        <is>
          <t>NZ|LCM|F|15|400 Free</t>
        </is>
      </c>
      <c r="C379" s="20" t="inlineStr">
        <is>
          <t>LCM</t>
        </is>
      </c>
      <c r="D379" s="20" t="inlineStr">
        <is>
          <t>Female</t>
        </is>
      </c>
      <c r="E379" s="20" t="n">
        <v>15</v>
      </c>
      <c r="F379" s="20" t="inlineStr">
        <is>
          <t>400 Free</t>
        </is>
      </c>
      <c r="G379" s="20" t="inlineStr">
        <is>
          <t>Erika Fairweather</t>
        </is>
      </c>
      <c r="H379" s="20" t="inlineStr">
        <is>
          <t>4:08.78</t>
        </is>
      </c>
      <c r="I379" s="20" t="inlineStr">
        <is>
          <t>23.08.19</t>
        </is>
      </c>
      <c r="J379" s="20" t="n"/>
      <c r="K379" s="20" t="inlineStr">
        <is>
          <t>YES</t>
        </is>
      </c>
      <c r="L379" s="20" t="n"/>
    </row>
    <row r="380" ht="15" customHeight="1" s="17">
      <c r="A380" s="20" t="inlineStr">
        <is>
          <t>H0376</t>
        </is>
      </c>
      <c r="B380" s="20" t="inlineStr">
        <is>
          <t>NZ|LCM|F|15|800 Free</t>
        </is>
      </c>
      <c r="C380" s="20" t="inlineStr">
        <is>
          <t>LCM</t>
        </is>
      </c>
      <c r="D380" s="20" t="inlineStr">
        <is>
          <t>Female</t>
        </is>
      </c>
      <c r="E380" s="20" t="n">
        <v>15</v>
      </c>
      <c r="F380" s="20" t="inlineStr">
        <is>
          <t>800 Free</t>
        </is>
      </c>
      <c r="G380" s="20" t="inlineStr">
        <is>
          <t>Erika Fairweather</t>
        </is>
      </c>
      <c r="H380" s="20" t="inlineStr">
        <is>
          <t>8:45.91</t>
        </is>
      </c>
      <c r="I380" s="20" t="inlineStr">
        <is>
          <t>17.04.19</t>
        </is>
      </c>
      <c r="J380" s="20" t="n"/>
      <c r="K380" s="20" t="inlineStr">
        <is>
          <t>YES</t>
        </is>
      </c>
      <c r="L380" s="20" t="n"/>
    </row>
    <row r="381" ht="15" customHeight="1" s="17">
      <c r="A381" s="20" t="inlineStr">
        <is>
          <t>H0377</t>
        </is>
      </c>
      <c r="B381" s="20" t="inlineStr">
        <is>
          <t>NZ|LCM|F|15|1500 Free</t>
        </is>
      </c>
      <c r="C381" s="20" t="inlineStr">
        <is>
          <t>LCM</t>
        </is>
      </c>
      <c r="D381" s="20" t="inlineStr">
        <is>
          <t>Female</t>
        </is>
      </c>
      <c r="E381" s="20" t="n">
        <v>15</v>
      </c>
      <c r="F381" s="20" t="inlineStr">
        <is>
          <t>1500 Free</t>
        </is>
      </c>
      <c r="G381" s="20" t="inlineStr">
        <is>
          <t>Anna Wilson</t>
        </is>
      </c>
      <c r="H381" s="20" t="inlineStr">
        <is>
          <t>17:03.95</t>
        </is>
      </c>
      <c r="I381" s="20" t="inlineStr">
        <is>
          <t>28.01.93</t>
        </is>
      </c>
      <c r="J381" s="20" t="n"/>
      <c r="K381" s="20" t="inlineStr">
        <is>
          <t>YES</t>
        </is>
      </c>
      <c r="L381" s="20" t="n"/>
    </row>
    <row r="382" ht="15" customHeight="1" s="17">
      <c r="A382" s="20" t="inlineStr">
        <is>
          <t>H0378</t>
        </is>
      </c>
      <c r="B382" s="20" t="inlineStr">
        <is>
          <t>NZ|LCM|F|15|50 Back</t>
        </is>
      </c>
      <c r="C382" s="20" t="inlineStr">
        <is>
          <t>LCM</t>
        </is>
      </c>
      <c r="D382" s="20" t="inlineStr">
        <is>
          <t>Female</t>
        </is>
      </c>
      <c r="E382" s="20" t="n">
        <v>15</v>
      </c>
      <c r="F382" s="20" t="inlineStr">
        <is>
          <t>50 Back</t>
        </is>
      </c>
      <c r="G382" s="20" t="inlineStr">
        <is>
          <t>Gabrielle Fa'amausili</t>
        </is>
      </c>
      <c r="H382" s="20" t="inlineStr">
        <is>
          <t>27.81</t>
        </is>
      </c>
      <c r="I382" s="20" t="inlineStr">
        <is>
          <t>29.08.15</t>
        </is>
      </c>
      <c r="J382" s="20" t="n"/>
      <c r="K382" s="20" t="inlineStr">
        <is>
          <t>YES</t>
        </is>
      </c>
      <c r="L382" s="20" t="n"/>
    </row>
    <row r="383" ht="15" customHeight="1" s="17">
      <c r="A383" s="20" t="inlineStr">
        <is>
          <t>H0379</t>
        </is>
      </c>
      <c r="B383" s="20" t="inlineStr">
        <is>
          <t>NZ|LCM|F|15|100 Back</t>
        </is>
      </c>
      <c r="C383" s="20" t="inlineStr">
        <is>
          <t>LCM</t>
        </is>
      </c>
      <c r="D383" s="20" t="inlineStr">
        <is>
          <t>Female</t>
        </is>
      </c>
      <c r="E383" s="20" t="n">
        <v>15</v>
      </c>
      <c r="F383" s="20" t="inlineStr">
        <is>
          <t>100 Back</t>
        </is>
      </c>
      <c r="G383" s="20" t="inlineStr">
        <is>
          <t>Bobbi Gichard</t>
        </is>
      </c>
      <c r="H383" s="20" t="inlineStr">
        <is>
          <t>1:00.42</t>
        </is>
      </c>
      <c r="I383" s="20" t="inlineStr">
        <is>
          <t>26.08.15</t>
        </is>
      </c>
      <c r="J383" s="20" t="n"/>
      <c r="K383" s="20" t="inlineStr">
        <is>
          <t>YES</t>
        </is>
      </c>
      <c r="L383" s="20" t="n"/>
    </row>
    <row r="384" ht="15" customHeight="1" s="17">
      <c r="A384" s="20" t="inlineStr">
        <is>
          <t>H0380</t>
        </is>
      </c>
      <c r="B384" s="20" t="inlineStr">
        <is>
          <t>NZ|LCM|F|15|200 Back</t>
        </is>
      </c>
      <c r="C384" s="20" t="inlineStr">
        <is>
          <t>LCM</t>
        </is>
      </c>
      <c r="D384" s="20" t="inlineStr">
        <is>
          <t>Female</t>
        </is>
      </c>
      <c r="E384" s="20" t="n">
        <v>15</v>
      </c>
      <c r="F384" s="20" t="inlineStr">
        <is>
          <t>200 Back</t>
        </is>
      </c>
      <c r="G384" s="20" t="inlineStr">
        <is>
          <t>Bobbi Gichard</t>
        </is>
      </c>
      <c r="H384" s="20" t="inlineStr">
        <is>
          <t>2:10.87</t>
        </is>
      </c>
      <c r="I384" s="20" t="inlineStr">
        <is>
          <t>09.09.15</t>
        </is>
      </c>
      <c r="J384" s="20" t="n"/>
      <c r="K384" s="20" t="inlineStr">
        <is>
          <t>YES</t>
        </is>
      </c>
      <c r="L384" s="20" t="n"/>
    </row>
    <row r="385" ht="15" customHeight="1" s="17">
      <c r="A385" s="20" t="inlineStr">
        <is>
          <t>H0381</t>
        </is>
      </c>
      <c r="B385" s="20" t="inlineStr">
        <is>
          <t>NZ|LCM|F|15|50 Breast</t>
        </is>
      </c>
      <c r="C385" s="20" t="inlineStr">
        <is>
          <t>LCM</t>
        </is>
      </c>
      <c r="D385" s="20" t="inlineStr">
        <is>
          <t>Female</t>
        </is>
      </c>
      <c r="E385" s="20" t="n">
        <v>15</v>
      </c>
      <c r="F385" s="20" t="inlineStr">
        <is>
          <t>50 Breast</t>
        </is>
      </c>
      <c r="G385" s="20" t="inlineStr">
        <is>
          <t>Monique Wieruszowski</t>
        </is>
      </c>
      <c r="H385" s="20" t="inlineStr">
        <is>
          <t>30.67</t>
        </is>
      </c>
      <c r="I385" s="20" t="inlineStr">
        <is>
          <t>16.04.23</t>
        </is>
      </c>
      <c r="J385" s="20" t="n"/>
      <c r="K385" s="20" t="inlineStr">
        <is>
          <t>YES</t>
        </is>
      </c>
      <c r="L385" s="20" t="n"/>
    </row>
    <row r="386" ht="15" customHeight="1" s="17">
      <c r="A386" s="20" t="inlineStr">
        <is>
          <t>H0382</t>
        </is>
      </c>
      <c r="B386" s="20" t="inlineStr">
        <is>
          <t>NZ|LCM|F|15|100 Breast</t>
        </is>
      </c>
      <c r="C386" s="20" t="inlineStr">
        <is>
          <t>LCM</t>
        </is>
      </c>
      <c r="D386" s="20" t="inlineStr">
        <is>
          <t>Female</t>
        </is>
      </c>
      <c r="E386" s="20" t="n">
        <v>15</v>
      </c>
      <c r="F386" s="20" t="inlineStr">
        <is>
          <t>100 Breast</t>
        </is>
      </c>
      <c r="G386" s="20" t="inlineStr">
        <is>
          <t>Monique Wieruszowski</t>
        </is>
      </c>
      <c r="H386" s="20" t="inlineStr">
        <is>
          <t>1:09.06</t>
        </is>
      </c>
      <c r="I386" s="20" t="inlineStr">
        <is>
          <t>02.04.23</t>
        </is>
      </c>
      <c r="J386" s="20" t="n"/>
      <c r="K386" s="20" t="inlineStr">
        <is>
          <t>YES</t>
        </is>
      </c>
      <c r="L386" s="20" t="n"/>
    </row>
    <row r="387" ht="15" customHeight="1" s="17">
      <c r="A387" s="20" t="inlineStr">
        <is>
          <t>H0383</t>
        </is>
      </c>
      <c r="B387" s="20" t="inlineStr">
        <is>
          <t>NZ|LCM|F|15|200 Breast</t>
        </is>
      </c>
      <c r="C387" s="20" t="inlineStr">
        <is>
          <t>LCM</t>
        </is>
      </c>
      <c r="D387" s="20" t="inlineStr">
        <is>
          <t>Female</t>
        </is>
      </c>
      <c r="E387" s="20" t="n">
        <v>15</v>
      </c>
      <c r="F387" s="20" t="inlineStr">
        <is>
          <t>200 Breast</t>
        </is>
      </c>
      <c r="G387" s="20" t="inlineStr">
        <is>
          <t>Natasha Lloyd</t>
        </is>
      </c>
      <c r="H387" s="20" t="inlineStr">
        <is>
          <t>2:31.57</t>
        </is>
      </c>
      <c r="I387" s="20" t="inlineStr">
        <is>
          <t>22.04.11</t>
        </is>
      </c>
      <c r="J387" s="20" t="n"/>
      <c r="K387" s="20" t="inlineStr">
        <is>
          <t>YES</t>
        </is>
      </c>
      <c r="L387" s="20" t="n"/>
    </row>
    <row r="388" ht="15" customHeight="1" s="17">
      <c r="A388" s="20" t="inlineStr">
        <is>
          <t>H0384</t>
        </is>
      </c>
      <c r="B388" s="20" t="inlineStr">
        <is>
          <t>NZ|LCM|F|15|50 Fly</t>
        </is>
      </c>
      <c r="C388" s="20" t="inlineStr">
        <is>
          <t>LCM</t>
        </is>
      </c>
      <c r="D388" s="20" t="inlineStr">
        <is>
          <t>Female</t>
        </is>
      </c>
      <c r="E388" s="20" t="n">
        <v>15</v>
      </c>
      <c r="F388" s="20" t="inlineStr">
        <is>
          <t>50 Fly</t>
        </is>
      </c>
      <c r="G388" s="20" t="inlineStr">
        <is>
          <t>Zoe Pedersen</t>
        </is>
      </c>
      <c r="H388" s="20" t="inlineStr">
        <is>
          <t>27.22</t>
        </is>
      </c>
      <c r="I388" s="20" t="inlineStr">
        <is>
          <t>02.04.23</t>
        </is>
      </c>
      <c r="J388" s="20" t="n"/>
      <c r="K388" s="20" t="inlineStr">
        <is>
          <t>YES</t>
        </is>
      </c>
      <c r="L388" s="20" t="n"/>
    </row>
    <row r="389" ht="15" customHeight="1" s="17">
      <c r="A389" s="20" t="inlineStr">
        <is>
          <t>H0385</t>
        </is>
      </c>
      <c r="B389" s="20" t="inlineStr">
        <is>
          <t>NZ|LCM|F|15|100 Fly</t>
        </is>
      </c>
      <c r="C389" s="20" t="inlineStr">
        <is>
          <t>LCM</t>
        </is>
      </c>
      <c r="D389" s="20" t="inlineStr">
        <is>
          <t>Female</t>
        </is>
      </c>
      <c r="E389" s="20" t="n">
        <v>15</v>
      </c>
      <c r="F389" s="20" t="inlineStr">
        <is>
          <t>100 Fly</t>
        </is>
      </c>
      <c r="G389" s="20" t="inlineStr">
        <is>
          <t>Sophia Batchelor</t>
        </is>
      </c>
      <c r="H389" s="20" t="inlineStr">
        <is>
          <t>59.54</t>
        </is>
      </c>
      <c r="I389" s="20" t="inlineStr">
        <is>
          <t>03.04.11</t>
        </is>
      </c>
      <c r="J389" s="20" t="n"/>
      <c r="K389" s="20" t="inlineStr">
        <is>
          <t>YES</t>
        </is>
      </c>
      <c r="L389" s="20" t="n"/>
    </row>
    <row r="390" ht="15" customHeight="1" s="17">
      <c r="A390" s="20" t="inlineStr">
        <is>
          <t>H0386</t>
        </is>
      </c>
      <c r="B390" s="20" t="inlineStr">
        <is>
          <t>NZ|LCM|F|15|200 Fly</t>
        </is>
      </c>
      <c r="C390" s="20" t="inlineStr">
        <is>
          <t>LCM</t>
        </is>
      </c>
      <c r="D390" s="20" t="inlineStr">
        <is>
          <t>Female</t>
        </is>
      </c>
      <c r="E390" s="20" t="n">
        <v>15</v>
      </c>
      <c r="F390" s="20" t="inlineStr">
        <is>
          <t>200 Fly</t>
        </is>
      </c>
      <c r="G390" s="20" t="inlineStr">
        <is>
          <t>Yeonsu Lee</t>
        </is>
      </c>
      <c r="H390" s="20" t="inlineStr">
        <is>
          <t>2:15.13</t>
        </is>
      </c>
      <c r="I390" s="20" t="inlineStr">
        <is>
          <t>08.02.15</t>
        </is>
      </c>
      <c r="J390" s="20" t="n"/>
      <c r="K390" s="20" t="inlineStr">
        <is>
          <t>YES</t>
        </is>
      </c>
      <c r="L390" s="20" t="n"/>
    </row>
    <row r="391" ht="15" customHeight="1" s="17">
      <c r="A391" s="20" t="inlineStr">
        <is>
          <t>H0387</t>
        </is>
      </c>
      <c r="B391" s="20" t="inlineStr">
        <is>
          <t>NZ|LCM|F|15|200 IM</t>
        </is>
      </c>
      <c r="C391" s="20" t="inlineStr">
        <is>
          <t>LCM</t>
        </is>
      </c>
      <c r="D391" s="20" t="inlineStr">
        <is>
          <t>Female</t>
        </is>
      </c>
      <c r="E391" s="20" t="n">
        <v>15</v>
      </c>
      <c r="F391" s="20" t="inlineStr">
        <is>
          <t>200 IM</t>
        </is>
      </c>
      <c r="G391" s="20" t="inlineStr">
        <is>
          <t>Mya Rasmussen</t>
        </is>
      </c>
      <c r="H391" s="20" t="inlineStr">
        <is>
          <t>2:18.61</t>
        </is>
      </c>
      <c r="I391" s="20" t="inlineStr">
        <is>
          <t>02.04.16</t>
        </is>
      </c>
      <c r="J391" s="20" t="n"/>
      <c r="K391" s="20" t="inlineStr">
        <is>
          <t>YES</t>
        </is>
      </c>
      <c r="L391" s="20" t="n"/>
    </row>
    <row r="392" ht="15" customHeight="1" s="17">
      <c r="A392" s="20" t="inlineStr">
        <is>
          <t>H0388</t>
        </is>
      </c>
      <c r="B392" s="20" t="inlineStr">
        <is>
          <t>NZ|LCM|F|15|400 IM</t>
        </is>
      </c>
      <c r="C392" s="20" t="inlineStr">
        <is>
          <t>LCM</t>
        </is>
      </c>
      <c r="D392" s="20" t="inlineStr">
        <is>
          <t>Female</t>
        </is>
      </c>
      <c r="E392" s="20" t="n">
        <v>15</v>
      </c>
      <c r="F392" s="20" t="inlineStr">
        <is>
          <t>400 IM</t>
        </is>
      </c>
      <c r="G392" s="20" t="inlineStr">
        <is>
          <t>Mya Rasmussen</t>
        </is>
      </c>
      <c r="H392" s="20" t="inlineStr">
        <is>
          <t>4:46.87</t>
        </is>
      </c>
      <c r="I392" s="20" t="inlineStr">
        <is>
          <t>31.03.16</t>
        </is>
      </c>
      <c r="J392" s="20" t="n"/>
      <c r="K392" s="20" t="inlineStr">
        <is>
          <t>YES</t>
        </is>
      </c>
      <c r="L392" s="20" t="n"/>
    </row>
    <row r="393" ht="15" customHeight="1" s="17">
      <c r="A393" s="20" t="inlineStr">
        <is>
          <t>H0389</t>
        </is>
      </c>
      <c r="B393" s="20" t="inlineStr">
        <is>
          <t>NZ|LCM|F|16|50 Free</t>
        </is>
      </c>
      <c r="C393" s="20" t="inlineStr">
        <is>
          <t>LCM</t>
        </is>
      </c>
      <c r="D393" s="20" t="inlineStr">
        <is>
          <t>Female</t>
        </is>
      </c>
      <c r="E393" s="20" t="n">
        <v>16</v>
      </c>
      <c r="F393" s="20" t="inlineStr">
        <is>
          <t>50 Free</t>
        </is>
      </c>
      <c r="G393" s="20" t="inlineStr">
        <is>
          <t>Gabrielle Fa'amausili</t>
        </is>
      </c>
      <c r="H393" s="20" t="inlineStr">
        <is>
          <t>25.26</t>
        </is>
      </c>
      <c r="I393" s="20" t="inlineStr">
        <is>
          <t>24.08.16</t>
        </is>
      </c>
      <c r="J393" s="20" t="n"/>
      <c r="K393" s="20" t="inlineStr">
        <is>
          <t>YES</t>
        </is>
      </c>
      <c r="L393" s="20" t="n"/>
    </row>
    <row r="394" ht="15" customHeight="1" s="17">
      <c r="A394" s="20" t="inlineStr">
        <is>
          <t>H0390</t>
        </is>
      </c>
      <c r="B394" s="20" t="inlineStr">
        <is>
          <t>NZ|LCM|F|16|100 Free</t>
        </is>
      </c>
      <c r="C394" s="20" t="inlineStr">
        <is>
          <t>LCM</t>
        </is>
      </c>
      <c r="D394" s="20" t="inlineStr">
        <is>
          <t>Female</t>
        </is>
      </c>
      <c r="E394" s="20" t="n">
        <v>16</v>
      </c>
      <c r="F394" s="20" t="inlineStr">
        <is>
          <t>100 Free</t>
        </is>
      </c>
      <c r="G394" s="20" t="inlineStr">
        <is>
          <t>Zoe Pedersen</t>
        </is>
      </c>
      <c r="H394" s="20" t="inlineStr">
        <is>
          <t>55.69</t>
        </is>
      </c>
      <c r="I394" s="20" t="inlineStr">
        <is>
          <t>05.09.23</t>
        </is>
      </c>
      <c r="J394" s="20" t="n"/>
      <c r="K394" s="20" t="inlineStr">
        <is>
          <t>YES</t>
        </is>
      </c>
      <c r="L394" s="20" t="n"/>
    </row>
    <row r="395" ht="15" customHeight="1" s="17">
      <c r="A395" s="20" t="inlineStr">
        <is>
          <t>H0391</t>
        </is>
      </c>
      <c r="B395" s="20" t="inlineStr">
        <is>
          <t>NZ|LCM|F|16|200 Free</t>
        </is>
      </c>
      <c r="C395" s="20" t="inlineStr">
        <is>
          <t>LCM</t>
        </is>
      </c>
      <c r="D395" s="20" t="inlineStr">
        <is>
          <t>Female</t>
        </is>
      </c>
      <c r="E395" s="20" t="n">
        <v>16</v>
      </c>
      <c r="F395" s="20" t="inlineStr">
        <is>
          <t>200 Free</t>
        </is>
      </c>
      <c r="G395" s="20" t="inlineStr">
        <is>
          <t>Erika Fairweather</t>
        </is>
      </c>
      <c r="H395" s="20" t="inlineStr">
        <is>
          <t>1:57.38</t>
        </is>
      </c>
      <c r="I395" s="20" t="inlineStr">
        <is>
          <t>11.12.20</t>
        </is>
      </c>
      <c r="J395" s="20" t="n"/>
      <c r="K395" s="20" t="inlineStr">
        <is>
          <t>YES</t>
        </is>
      </c>
      <c r="L395" s="20" t="n"/>
    </row>
    <row r="396" ht="15" customHeight="1" s="17">
      <c r="A396" s="20" t="inlineStr">
        <is>
          <t>H0392</t>
        </is>
      </c>
      <c r="B396" s="20" t="inlineStr">
        <is>
          <t>NZ|LCM|F|16|400 Free</t>
        </is>
      </c>
      <c r="C396" s="20" t="inlineStr">
        <is>
          <t>LCM</t>
        </is>
      </c>
      <c r="D396" s="20" t="inlineStr">
        <is>
          <t>Female</t>
        </is>
      </c>
      <c r="E396" s="20" t="n">
        <v>16</v>
      </c>
      <c r="F396" s="20" t="inlineStr">
        <is>
          <t>400 Free</t>
        </is>
      </c>
      <c r="G396" s="20" t="inlineStr">
        <is>
          <t>Erika Fairweather</t>
        </is>
      </c>
      <c r="H396" s="20" t="inlineStr">
        <is>
          <t>4:07.23</t>
        </is>
      </c>
      <c r="I396" s="20" t="inlineStr">
        <is>
          <t>15.02.20</t>
        </is>
      </c>
      <c r="J396" s="20" t="n"/>
      <c r="K396" s="20" t="inlineStr">
        <is>
          <t>YES</t>
        </is>
      </c>
      <c r="L396" s="20" t="n"/>
    </row>
    <row r="397" ht="15" customHeight="1" s="17">
      <c r="A397" s="20" t="inlineStr">
        <is>
          <t>H0393</t>
        </is>
      </c>
      <c r="B397" s="20" t="inlineStr">
        <is>
          <t>NZ|LCM|F|16|800 Free</t>
        </is>
      </c>
      <c r="C397" s="20" t="inlineStr">
        <is>
          <t>LCM</t>
        </is>
      </c>
      <c r="D397" s="20" t="inlineStr">
        <is>
          <t>Female</t>
        </is>
      </c>
      <c r="E397" s="20" t="n">
        <v>16</v>
      </c>
      <c r="F397" s="20" t="inlineStr">
        <is>
          <t>800 Free</t>
        </is>
      </c>
      <c r="G397" s="20" t="inlineStr">
        <is>
          <t>Cara Baker</t>
        </is>
      </c>
      <c r="H397" s="20" t="inlineStr">
        <is>
          <t>8:48.07</t>
        </is>
      </c>
      <c r="I397" s="20" t="inlineStr">
        <is>
          <t>03.04.07</t>
        </is>
      </c>
      <c r="J397" s="20" t="n"/>
      <c r="K397" s="20" t="inlineStr">
        <is>
          <t>YES</t>
        </is>
      </c>
      <c r="L397" s="20" t="n"/>
    </row>
    <row r="398" ht="15" customHeight="1" s="17">
      <c r="A398" s="20" t="inlineStr">
        <is>
          <t>H0394</t>
        </is>
      </c>
      <c r="B398" s="20" t="inlineStr">
        <is>
          <t>NZ|LCM|F|16|1500 Free</t>
        </is>
      </c>
      <c r="C398" s="20" t="inlineStr">
        <is>
          <t>LCM</t>
        </is>
      </c>
      <c r="D398" s="20" t="inlineStr">
        <is>
          <t>Female</t>
        </is>
      </c>
      <c r="E398" s="20" t="n">
        <v>16</v>
      </c>
      <c r="F398" s="20" t="inlineStr">
        <is>
          <t>1500 Free</t>
        </is>
      </c>
      <c r="G398" s="20" t="inlineStr">
        <is>
          <t>Phoebe Williams</t>
        </is>
      </c>
      <c r="H398" s="20" t="inlineStr">
        <is>
          <t>17:03.12</t>
        </is>
      </c>
      <c r="I398" s="20" t="inlineStr">
        <is>
          <t>13.08.09</t>
        </is>
      </c>
      <c r="J398" s="20" t="n"/>
      <c r="K398" s="20" t="inlineStr">
        <is>
          <t>YES</t>
        </is>
      </c>
      <c r="L398" s="20" t="n"/>
    </row>
    <row r="399" ht="15" customHeight="1" s="17">
      <c r="A399" s="20" t="inlineStr">
        <is>
          <t>H0395</t>
        </is>
      </c>
      <c r="B399" s="20" t="inlineStr">
        <is>
          <t>NZ|LCM|F|16|50 Back</t>
        </is>
      </c>
      <c r="C399" s="20" t="inlineStr">
        <is>
          <t>LCM</t>
        </is>
      </c>
      <c r="D399" s="20" t="inlineStr">
        <is>
          <t>Female</t>
        </is>
      </c>
      <c r="E399" s="20" t="n">
        <v>16</v>
      </c>
      <c r="F399" s="20" t="inlineStr">
        <is>
          <t>50 Back</t>
        </is>
      </c>
      <c r="G399" s="20" t="inlineStr">
        <is>
          <t>Gabrielle Fa'amausili</t>
        </is>
      </c>
      <c r="H399" s="20" t="inlineStr">
        <is>
          <t>27.97</t>
        </is>
      </c>
      <c r="I399" s="20" t="inlineStr">
        <is>
          <t>29.03.16</t>
        </is>
      </c>
      <c r="J399" s="20" t="n"/>
      <c r="K399" s="20" t="inlineStr">
        <is>
          <t>YES</t>
        </is>
      </c>
      <c r="L399" s="20" t="n"/>
    </row>
    <row r="400" ht="15" customHeight="1" s="17">
      <c r="A400" s="20" t="inlineStr">
        <is>
          <t>H0396</t>
        </is>
      </c>
      <c r="B400" s="20" t="inlineStr">
        <is>
          <t>NZ|LCM|F|16|100 Back</t>
        </is>
      </c>
      <c r="C400" s="20" t="inlineStr">
        <is>
          <t>LCM</t>
        </is>
      </c>
      <c r="D400" s="20" t="inlineStr">
        <is>
          <t>Female</t>
        </is>
      </c>
      <c r="E400" s="20" t="n">
        <v>16</v>
      </c>
      <c r="F400" s="20" t="inlineStr">
        <is>
          <t>100 Back</t>
        </is>
      </c>
      <c r="G400" s="20" t="inlineStr">
        <is>
          <t>Gabrielle Fa'amausili</t>
        </is>
      </c>
      <c r="H400" s="20" t="inlineStr">
        <is>
          <t>1:00.76</t>
        </is>
      </c>
      <c r="I400" s="20" t="inlineStr">
        <is>
          <t>19.04.16</t>
        </is>
      </c>
      <c r="J400" s="20" t="n"/>
      <c r="K400" s="20" t="inlineStr">
        <is>
          <t>YES</t>
        </is>
      </c>
      <c r="L400" s="20" t="n"/>
    </row>
    <row r="401" ht="15" customHeight="1" s="17">
      <c r="A401" s="20" t="inlineStr">
        <is>
          <t>H0397</t>
        </is>
      </c>
      <c r="B401" s="20" t="inlineStr">
        <is>
          <t>NZ|LCM|F|16|200 Back</t>
        </is>
      </c>
      <c r="C401" s="20" t="inlineStr">
        <is>
          <t>LCM</t>
        </is>
      </c>
      <c r="D401" s="20" t="inlineStr">
        <is>
          <t>Female</t>
        </is>
      </c>
      <c r="E401" s="20" t="n">
        <v>16</v>
      </c>
      <c r="F401" s="20" t="inlineStr">
        <is>
          <t>200 Back</t>
        </is>
      </c>
      <c r="G401" s="20" t="inlineStr">
        <is>
          <t>Bobbi Gichard</t>
        </is>
      </c>
      <c r="H401" s="20" t="inlineStr">
        <is>
          <t>2:11.93</t>
        </is>
      </c>
      <c r="I401" s="20" t="inlineStr">
        <is>
          <t>01.04.16</t>
        </is>
      </c>
      <c r="J401" s="20" t="n"/>
      <c r="K401" s="20" t="inlineStr">
        <is>
          <t>YES</t>
        </is>
      </c>
      <c r="L401" s="20" t="n"/>
    </row>
    <row r="402" ht="15" customHeight="1" s="17">
      <c r="A402" s="20" t="inlineStr">
        <is>
          <t>H0398</t>
        </is>
      </c>
      <c r="B402" s="20" t="inlineStr">
        <is>
          <t>NZ|LCM|F|16|50 Breast</t>
        </is>
      </c>
      <c r="C402" s="20" t="inlineStr">
        <is>
          <t>LCM</t>
        </is>
      </c>
      <c r="D402" s="20" t="inlineStr">
        <is>
          <t>Female</t>
        </is>
      </c>
      <c r="E402" s="20" t="n">
        <v>16</v>
      </c>
      <c r="F402" s="20" t="inlineStr">
        <is>
          <t>50 Breast</t>
        </is>
      </c>
      <c r="G402" s="20" t="inlineStr">
        <is>
          <t>Monique Wieruszowski</t>
        </is>
      </c>
      <c r="H402" s="20" t="inlineStr">
        <is>
          <t>30.38</t>
        </is>
      </c>
      <c r="I402" s="20" t="inlineStr">
        <is>
          <t>13.04.24</t>
        </is>
      </c>
      <c r="J402" s="20" t="n"/>
      <c r="K402" s="20" t="inlineStr">
        <is>
          <t>YES</t>
        </is>
      </c>
      <c r="L402" s="20" t="n"/>
    </row>
    <row r="403" ht="15" customHeight="1" s="17">
      <c r="A403" s="20" t="inlineStr">
        <is>
          <t>H0399</t>
        </is>
      </c>
      <c r="B403" s="20" t="inlineStr">
        <is>
          <t>NZ|LCM|F|16|100 Breast</t>
        </is>
      </c>
      <c r="C403" s="20" t="inlineStr">
        <is>
          <t>LCM</t>
        </is>
      </c>
      <c r="D403" s="20" t="inlineStr">
        <is>
          <t>Female</t>
        </is>
      </c>
      <c r="E403" s="20" t="n">
        <v>16</v>
      </c>
      <c r="F403" s="20" t="inlineStr">
        <is>
          <t>100 Breast</t>
        </is>
      </c>
      <c r="G403" s="20" t="inlineStr">
        <is>
          <t>Monique Wieruszowski</t>
        </is>
      </c>
      <c r="H403" s="20" t="inlineStr">
        <is>
          <t>1:07.67</t>
        </is>
      </c>
      <c r="I403" s="20" t="inlineStr">
        <is>
          <t>15.03.24</t>
        </is>
      </c>
      <c r="J403" s="20" t="n"/>
      <c r="K403" s="20" t="inlineStr">
        <is>
          <t>YES</t>
        </is>
      </c>
      <c r="L403" s="20" t="n"/>
    </row>
    <row r="404" ht="15" customHeight="1" s="17">
      <c r="A404" s="20" t="inlineStr">
        <is>
          <t>H0400</t>
        </is>
      </c>
      <c r="B404" s="20" t="inlineStr">
        <is>
          <t>NZ|LCM|F|16|200 Breast</t>
        </is>
      </c>
      <c r="C404" s="20" t="inlineStr">
        <is>
          <t>LCM</t>
        </is>
      </c>
      <c r="D404" s="20" t="inlineStr">
        <is>
          <t>Female</t>
        </is>
      </c>
      <c r="E404" s="20" t="n">
        <v>16</v>
      </c>
      <c r="F404" s="20" t="inlineStr">
        <is>
          <t>200 Breast</t>
        </is>
      </c>
      <c r="G404" s="20" t="inlineStr">
        <is>
          <t>Brearna Crawford</t>
        </is>
      </c>
      <c r="H404" s="20" t="inlineStr">
        <is>
          <t>2:30.05</t>
        </is>
      </c>
      <c r="I404" s="20" t="inlineStr">
        <is>
          <t>17.04.19</t>
        </is>
      </c>
      <c r="J404" s="20" t="n"/>
      <c r="K404" s="20" t="inlineStr">
        <is>
          <t>YES</t>
        </is>
      </c>
      <c r="L404" s="20" t="n"/>
    </row>
    <row r="405" ht="15" customHeight="1" s="17">
      <c r="A405" s="20" t="inlineStr">
        <is>
          <t>H0401</t>
        </is>
      </c>
      <c r="B405" s="20" t="inlineStr">
        <is>
          <t>NZ|LCM|F|16|50 Fly</t>
        </is>
      </c>
      <c r="C405" s="20" t="inlineStr">
        <is>
          <t>LCM</t>
        </is>
      </c>
      <c r="D405" s="20" t="inlineStr">
        <is>
          <t>Female</t>
        </is>
      </c>
      <c r="E405" s="20" t="n">
        <v>16</v>
      </c>
      <c r="F405" s="20" t="inlineStr">
        <is>
          <t>50 Fly</t>
        </is>
      </c>
      <c r="G405" s="20" t="inlineStr">
        <is>
          <t>Zoe Pedersen</t>
        </is>
      </c>
      <c r="H405" s="20" t="inlineStr">
        <is>
          <t>26.61</t>
        </is>
      </c>
      <c r="I405" s="20" t="inlineStr">
        <is>
          <t>10.04.24</t>
        </is>
      </c>
      <c r="J405" s="20" t="n"/>
      <c r="K405" s="20" t="inlineStr">
        <is>
          <t>YES</t>
        </is>
      </c>
      <c r="L405" s="20" t="n"/>
    </row>
    <row r="406" ht="15" customHeight="1" s="17">
      <c r="A406" s="20" t="inlineStr">
        <is>
          <t>H0402</t>
        </is>
      </c>
      <c r="B406" s="20" t="inlineStr">
        <is>
          <t>NZ|LCM|F|16|100 Fly</t>
        </is>
      </c>
      <c r="C406" s="20" t="inlineStr">
        <is>
          <t>LCM</t>
        </is>
      </c>
      <c r="D406" s="20" t="inlineStr">
        <is>
          <t>Female</t>
        </is>
      </c>
      <c r="E406" s="20" t="n">
        <v>16</v>
      </c>
      <c r="F406" s="20" t="inlineStr">
        <is>
          <t>100 Fly</t>
        </is>
      </c>
      <c r="G406" s="20" t="inlineStr">
        <is>
          <t>Sophia Batchelor</t>
        </is>
      </c>
      <c r="H406" s="20" t="inlineStr">
        <is>
          <t>58.71</t>
        </is>
      </c>
      <c r="I406" s="20" t="inlineStr">
        <is>
          <t>25.03.12</t>
        </is>
      </c>
      <c r="J406" s="20" t="n"/>
      <c r="K406" s="20" t="inlineStr">
        <is>
          <t>YES</t>
        </is>
      </c>
      <c r="L406" s="20" t="n"/>
    </row>
    <row r="407" ht="15" customHeight="1" s="17">
      <c r="A407" s="20" t="inlineStr">
        <is>
          <t>H0403</t>
        </is>
      </c>
      <c r="B407" s="20" t="inlineStr">
        <is>
          <t>NZ|LCM|F|16|200 Fly</t>
        </is>
      </c>
      <c r="C407" s="20" t="inlineStr">
        <is>
          <t>LCM</t>
        </is>
      </c>
      <c r="D407" s="20" t="inlineStr">
        <is>
          <t>Female</t>
        </is>
      </c>
      <c r="E407" s="20" t="n">
        <v>16</v>
      </c>
      <c r="F407" s="20" t="inlineStr">
        <is>
          <t>200 Fly</t>
        </is>
      </c>
      <c r="G407" s="20" t="inlineStr">
        <is>
          <t>Sophia Batchelor</t>
        </is>
      </c>
      <c r="H407" s="20" t="inlineStr">
        <is>
          <t>2:14.03</t>
        </is>
      </c>
      <c r="I407" s="20" t="inlineStr">
        <is>
          <t>10.03.12</t>
        </is>
      </c>
      <c r="J407" s="20" t="n"/>
      <c r="K407" s="20" t="inlineStr">
        <is>
          <t>YES</t>
        </is>
      </c>
      <c r="L407" s="20" t="n"/>
    </row>
    <row r="408" ht="15" customHeight="1" s="17">
      <c r="A408" s="20" t="inlineStr">
        <is>
          <t>H0404</t>
        </is>
      </c>
      <c r="B408" s="20" t="inlineStr">
        <is>
          <t>NZ|LCM|F|16|200 IM</t>
        </is>
      </c>
      <c r="C408" s="20" t="inlineStr">
        <is>
          <t>LCM</t>
        </is>
      </c>
      <c r="D408" s="20" t="inlineStr">
        <is>
          <t>Female</t>
        </is>
      </c>
      <c r="E408" s="20" t="n">
        <v>16</v>
      </c>
      <c r="F408" s="20" t="inlineStr">
        <is>
          <t>200 IM</t>
        </is>
      </c>
      <c r="G408" s="20" t="inlineStr">
        <is>
          <t>Chloe Francis</t>
        </is>
      </c>
      <c r="H408" s="20" t="inlineStr">
        <is>
          <t>2:16.99</t>
        </is>
      </c>
      <c r="I408" s="20" t="inlineStr">
        <is>
          <t>06.03.10</t>
        </is>
      </c>
      <c r="J408" s="20" t="n"/>
      <c r="K408" s="20" t="inlineStr">
        <is>
          <t>YES</t>
        </is>
      </c>
      <c r="L408" s="20" t="n"/>
    </row>
    <row r="409" ht="15" customHeight="1" s="17">
      <c r="A409" s="20" t="inlineStr">
        <is>
          <t>H0405</t>
        </is>
      </c>
      <c r="B409" s="20" t="inlineStr">
        <is>
          <t>NZ|LCM|F|16|400 IM</t>
        </is>
      </c>
      <c r="C409" s="20" t="inlineStr">
        <is>
          <t>LCM</t>
        </is>
      </c>
      <c r="D409" s="20" t="inlineStr">
        <is>
          <t>Female</t>
        </is>
      </c>
      <c r="E409" s="20" t="n">
        <v>16</v>
      </c>
      <c r="F409" s="20" t="inlineStr">
        <is>
          <t>400 IM</t>
        </is>
      </c>
      <c r="G409" s="20" t="inlineStr">
        <is>
          <t>Mya Rasmussen</t>
        </is>
      </c>
      <c r="H409" s="20" t="inlineStr">
        <is>
          <t>4:44.89</t>
        </is>
      </c>
      <c r="I409" s="20" t="inlineStr">
        <is>
          <t>24.03.17</t>
        </is>
      </c>
      <c r="J409" s="20" t="n"/>
      <c r="K409" s="20" t="inlineStr">
        <is>
          <t>YES</t>
        </is>
      </c>
      <c r="L409" s="20" t="n"/>
    </row>
    <row r="410" ht="15" customHeight="1" s="17">
      <c r="A410" s="20" t="inlineStr">
        <is>
          <t>H0406</t>
        </is>
      </c>
      <c r="B410" s="20" t="inlineStr">
        <is>
          <t>NZ|LCM|F|17|50 Free</t>
        </is>
      </c>
      <c r="C410" s="20" t="inlineStr">
        <is>
          <t>LCM</t>
        </is>
      </c>
      <c r="D410" s="20" t="inlineStr">
        <is>
          <t>Female</t>
        </is>
      </c>
      <c r="E410" s="20" t="n">
        <v>17</v>
      </c>
      <c r="F410" s="20" t="inlineStr">
        <is>
          <t>50 Free</t>
        </is>
      </c>
      <c r="G410" s="20" t="inlineStr">
        <is>
          <t>Gabrielle Fa'amausili</t>
        </is>
      </c>
      <c r="H410" s="20" t="inlineStr">
        <is>
          <t>25.02</t>
        </is>
      </c>
      <c r="I410" s="20" t="inlineStr">
        <is>
          <t>05.04.17</t>
        </is>
      </c>
      <c r="J410" s="20" t="n"/>
      <c r="K410" s="20" t="inlineStr">
        <is>
          <t>YES</t>
        </is>
      </c>
      <c r="L410" s="20" t="n"/>
    </row>
    <row r="411" ht="15" customHeight="1" s="17">
      <c r="A411" s="20" t="inlineStr">
        <is>
          <t>H0407</t>
        </is>
      </c>
      <c r="B411" s="20" t="inlineStr">
        <is>
          <t>NZ|LCM|F|17|100 Free</t>
        </is>
      </c>
      <c r="C411" s="20" t="inlineStr">
        <is>
          <t>LCM</t>
        </is>
      </c>
      <c r="D411" s="20" t="inlineStr">
        <is>
          <t>Female</t>
        </is>
      </c>
      <c r="E411" s="20" t="n">
        <v>17</v>
      </c>
      <c r="F411" s="20" t="inlineStr">
        <is>
          <t>100 Free</t>
        </is>
      </c>
      <c r="G411" s="20" t="inlineStr">
        <is>
          <t>Laura Littlejohn / Zoe Pedersen</t>
        </is>
      </c>
      <c r="H411" s="20" t="inlineStr">
        <is>
          <t>55.43</t>
        </is>
      </c>
      <c r="I411" s="20" t="inlineStr">
        <is>
          <t>08.04.22</t>
        </is>
      </c>
      <c r="J411" s="20" t="n"/>
      <c r="K411" s="20" t="inlineStr">
        <is>
          <t>YES</t>
        </is>
      </c>
      <c r="L411" s="20" t="n"/>
    </row>
    <row r="412" ht="15" customHeight="1" s="17">
      <c r="A412" s="20" t="inlineStr">
        <is>
          <t>H0408</t>
        </is>
      </c>
      <c r="B412" s="20" t="inlineStr">
        <is>
          <t>NZ|LCM|F|17|200 Free</t>
        </is>
      </c>
      <c r="C412" s="20" t="inlineStr">
        <is>
          <t>LCM</t>
        </is>
      </c>
      <c r="D412" s="20" t="inlineStr">
        <is>
          <t>Female</t>
        </is>
      </c>
      <c r="E412" s="20" t="n">
        <v>17</v>
      </c>
      <c r="F412" s="20" t="inlineStr">
        <is>
          <t>200 Free</t>
        </is>
      </c>
      <c r="G412" s="20" t="inlineStr">
        <is>
          <t>Erika Fairweather</t>
        </is>
      </c>
      <c r="H412" s="20" t="inlineStr">
        <is>
          <t>1:57.26</t>
        </is>
      </c>
      <c r="I412" s="20" t="inlineStr">
        <is>
          <t>26.07.21</t>
        </is>
      </c>
      <c r="J412" s="20" t="n"/>
      <c r="K412" s="20" t="inlineStr">
        <is>
          <t>YES</t>
        </is>
      </c>
      <c r="L412" s="20" t="n"/>
    </row>
    <row r="413" ht="15" customHeight="1" s="17">
      <c r="A413" s="20" t="inlineStr">
        <is>
          <t>H0409</t>
        </is>
      </c>
      <c r="B413" s="20" t="inlineStr">
        <is>
          <t>NZ|LCM|F|17|400 Free</t>
        </is>
      </c>
      <c r="C413" s="20" t="inlineStr">
        <is>
          <t>LCM</t>
        </is>
      </c>
      <c r="D413" s="20" t="inlineStr">
        <is>
          <t>Female</t>
        </is>
      </c>
      <c r="E413" s="20" t="n">
        <v>17</v>
      </c>
      <c r="F413" s="20" t="inlineStr">
        <is>
          <t>400 Free</t>
        </is>
      </c>
      <c r="G413" s="20" t="inlineStr">
        <is>
          <t>Erika Fairweather</t>
        </is>
      </c>
      <c r="H413" s="20" t="inlineStr">
        <is>
          <t>4:02.28</t>
        </is>
      </c>
      <c r="I413" s="20" t="inlineStr">
        <is>
          <t>25.07.21</t>
        </is>
      </c>
      <c r="J413" s="20" t="n"/>
      <c r="K413" s="20" t="inlineStr">
        <is>
          <t>YES</t>
        </is>
      </c>
      <c r="L413" s="20" t="n"/>
    </row>
    <row r="414" ht="15" customHeight="1" s="17">
      <c r="A414" s="20" t="inlineStr">
        <is>
          <t>H0410</t>
        </is>
      </c>
      <c r="B414" s="20" t="inlineStr">
        <is>
          <t>NZ|LCM|F|17|800 Free</t>
        </is>
      </c>
      <c r="C414" s="20" t="inlineStr">
        <is>
          <t>LCM</t>
        </is>
      </c>
      <c r="D414" s="20" t="inlineStr">
        <is>
          <t>Female</t>
        </is>
      </c>
      <c r="E414" s="20" t="n">
        <v>17</v>
      </c>
      <c r="F414" s="20" t="inlineStr">
        <is>
          <t>800 Free</t>
        </is>
      </c>
      <c r="G414" s="20" t="inlineStr">
        <is>
          <t>Hayley McIntosh</t>
        </is>
      </c>
      <c r="H414" s="20" t="inlineStr">
        <is>
          <t>8:41.87</t>
        </is>
      </c>
      <c r="I414" s="20" t="inlineStr">
        <is>
          <t>03.04.17</t>
        </is>
      </c>
      <c r="J414" s="20" t="n"/>
      <c r="K414" s="20" t="inlineStr">
        <is>
          <t>YES</t>
        </is>
      </c>
      <c r="L414" s="20" t="n"/>
    </row>
    <row r="415" ht="15" customHeight="1" s="17">
      <c r="A415" s="20" t="inlineStr">
        <is>
          <t>H0411</t>
        </is>
      </c>
      <c r="B415" s="20" t="inlineStr">
        <is>
          <t>NZ|LCM|F|17|1500 Free</t>
        </is>
      </c>
      <c r="C415" s="20" t="inlineStr">
        <is>
          <t>LCM</t>
        </is>
      </c>
      <c r="D415" s="20" t="inlineStr">
        <is>
          <t>Female</t>
        </is>
      </c>
      <c r="E415" s="20" t="n">
        <v>17</v>
      </c>
      <c r="F415" s="20" t="inlineStr">
        <is>
          <t>1500 Free</t>
        </is>
      </c>
      <c r="G415" s="20" t="inlineStr">
        <is>
          <t>Tabitha Baumann</t>
        </is>
      </c>
      <c r="H415" s="20" t="inlineStr">
        <is>
          <t>16:46.83</t>
        </is>
      </c>
      <c r="I415" s="20" t="inlineStr">
        <is>
          <t>18.03.13</t>
        </is>
      </c>
      <c r="J415" s="20" t="n"/>
      <c r="K415" s="20" t="inlineStr">
        <is>
          <t>YES</t>
        </is>
      </c>
      <c r="L415" s="20" t="n"/>
    </row>
    <row r="416" ht="15" customHeight="1" s="17">
      <c r="A416" s="20" t="inlineStr">
        <is>
          <t>H0412</t>
        </is>
      </c>
      <c r="B416" s="20" t="inlineStr">
        <is>
          <t>NZ|LCM|F|17|50 Back</t>
        </is>
      </c>
      <c r="C416" s="20" t="inlineStr">
        <is>
          <t>LCM</t>
        </is>
      </c>
      <c r="D416" s="20" t="inlineStr">
        <is>
          <t>Female</t>
        </is>
      </c>
      <c r="E416" s="20" t="n">
        <v>17</v>
      </c>
      <c r="F416" s="20" t="inlineStr">
        <is>
          <t>50 Back</t>
        </is>
      </c>
      <c r="G416" s="20" t="inlineStr">
        <is>
          <t>Milan Glintmeyer</t>
        </is>
      </c>
      <c r="H416" s="20" t="inlineStr">
        <is>
          <t>28.06</t>
        </is>
      </c>
      <c r="I416" s="20" t="inlineStr">
        <is>
          <t>17.07.26</t>
        </is>
      </c>
      <c r="J416" s="20" t="n"/>
      <c r="K416" s="20" t="inlineStr">
        <is>
          <t>YES</t>
        </is>
      </c>
      <c r="L416" s="20" t="n"/>
    </row>
    <row r="417" ht="15" customHeight="1" s="17">
      <c r="A417" s="20" t="inlineStr">
        <is>
          <t>H0413</t>
        </is>
      </c>
      <c r="B417" s="20" t="inlineStr">
        <is>
          <t>NZ|LCM|F|17|100 Back</t>
        </is>
      </c>
      <c r="C417" s="20" t="inlineStr">
        <is>
          <t>LCM</t>
        </is>
      </c>
      <c r="D417" s="20" t="inlineStr">
        <is>
          <t>Female</t>
        </is>
      </c>
      <c r="E417" s="20" t="n">
        <v>17</v>
      </c>
      <c r="F417" s="20" t="inlineStr">
        <is>
          <t>100 Back</t>
        </is>
      </c>
      <c r="G417" s="20" t="inlineStr">
        <is>
          <t>Milan Glintmeyer</t>
        </is>
      </c>
      <c r="H417" s="20" t="inlineStr">
        <is>
          <t>1:00.22</t>
        </is>
      </c>
      <c r="I417" s="20" t="inlineStr">
        <is>
          <t>14.05.26</t>
        </is>
      </c>
      <c r="J417" s="20" t="n"/>
      <c r="K417" s="20" t="inlineStr">
        <is>
          <t>YES</t>
        </is>
      </c>
      <c r="L417" s="20" t="n"/>
    </row>
    <row r="418" ht="15" customHeight="1" s="17">
      <c r="A418" s="20" t="inlineStr">
        <is>
          <t>H0414</t>
        </is>
      </c>
      <c r="B418" s="20" t="inlineStr">
        <is>
          <t>NZ|LCM|F|17|200 Back</t>
        </is>
      </c>
      <c r="C418" s="20" t="inlineStr">
        <is>
          <t>LCM</t>
        </is>
      </c>
      <c r="D418" s="20" t="inlineStr">
        <is>
          <t>Female</t>
        </is>
      </c>
      <c r="E418" s="20" t="n">
        <v>17</v>
      </c>
      <c r="F418" s="20" t="inlineStr">
        <is>
          <t>200 Back</t>
        </is>
      </c>
      <c r="G418" s="20" t="inlineStr">
        <is>
          <t>Milan Glintmeyer</t>
        </is>
      </c>
      <c r="H418" s="20" t="inlineStr">
        <is>
          <t>2:12.17</t>
        </is>
      </c>
      <c r="I418" s="20" t="inlineStr">
        <is>
          <t>13.05.26</t>
        </is>
      </c>
      <c r="J418" s="20" t="n"/>
      <c r="K418" s="20" t="inlineStr">
        <is>
          <t>YES</t>
        </is>
      </c>
      <c r="L418" s="20" t="n"/>
    </row>
    <row r="419" ht="15" customHeight="1" s="17">
      <c r="A419" s="20" t="inlineStr">
        <is>
          <t>H0415</t>
        </is>
      </c>
      <c r="B419" s="20" t="inlineStr">
        <is>
          <t>NZ|LCM|F|17|50 Breast</t>
        </is>
      </c>
      <c r="C419" s="20" t="inlineStr">
        <is>
          <t>LCM</t>
        </is>
      </c>
      <c r="D419" s="20" t="inlineStr">
        <is>
          <t>Female</t>
        </is>
      </c>
      <c r="E419" s="20" t="n">
        <v>17</v>
      </c>
      <c r="F419" s="20" t="inlineStr">
        <is>
          <t>50 Breast</t>
        </is>
      </c>
      <c r="G419" s="20" t="inlineStr">
        <is>
          <t>Monique Wieruszowski</t>
        </is>
      </c>
      <c r="H419" s="20" t="inlineStr">
        <is>
          <t>31.24</t>
        </is>
      </c>
      <c r="I419" s="20" t="inlineStr">
        <is>
          <t>22.05.25</t>
        </is>
      </c>
      <c r="J419" s="20" t="n"/>
      <c r="K419" s="20" t="inlineStr">
        <is>
          <t>YES</t>
        </is>
      </c>
      <c r="L419" s="20" t="n"/>
    </row>
    <row r="420" ht="15" customHeight="1" s="17">
      <c r="A420" s="20" t="inlineStr">
        <is>
          <t>H0416</t>
        </is>
      </c>
      <c r="B420" s="20" t="inlineStr">
        <is>
          <t>NZ|LCM|F|17|100 Breast</t>
        </is>
      </c>
      <c r="C420" s="20" t="inlineStr">
        <is>
          <t>LCM</t>
        </is>
      </c>
      <c r="D420" s="20" t="inlineStr">
        <is>
          <t>Female</t>
        </is>
      </c>
      <c r="E420" s="20" t="n">
        <v>17</v>
      </c>
      <c r="F420" s="20" t="inlineStr">
        <is>
          <t>100 Breast</t>
        </is>
      </c>
      <c r="G420" s="20" t="inlineStr">
        <is>
          <t>Annabelle Carey</t>
        </is>
      </c>
      <c r="H420" s="20" t="inlineStr">
        <is>
          <t>1:09.26</t>
        </is>
      </c>
      <c r="I420" s="20" t="inlineStr">
        <is>
          <t>15.12.06</t>
        </is>
      </c>
      <c r="J420" s="20" t="n"/>
      <c r="K420" s="20" t="inlineStr">
        <is>
          <t>YES</t>
        </is>
      </c>
      <c r="L420" s="20" t="n"/>
    </row>
    <row r="421" ht="15" customHeight="1" s="17">
      <c r="A421" s="20" t="inlineStr">
        <is>
          <t>H0417</t>
        </is>
      </c>
      <c r="B421" s="20" t="inlineStr">
        <is>
          <t>NZ|LCM|F|17|200 Breast</t>
        </is>
      </c>
      <c r="C421" s="20" t="inlineStr">
        <is>
          <t>LCM</t>
        </is>
      </c>
      <c r="D421" s="20" t="inlineStr">
        <is>
          <t>Female</t>
        </is>
      </c>
      <c r="E421" s="20" t="n">
        <v>17</v>
      </c>
      <c r="F421" s="20" t="inlineStr">
        <is>
          <t>200 Breast</t>
        </is>
      </c>
      <c r="G421" s="20" t="inlineStr">
        <is>
          <t>Natasha Lloyd</t>
        </is>
      </c>
      <c r="H421" s="20" t="inlineStr">
        <is>
          <t>2:31.36</t>
        </is>
      </c>
      <c r="I421" s="20" t="inlineStr">
        <is>
          <t>20.01.13</t>
        </is>
      </c>
      <c r="J421" s="20" t="n"/>
      <c r="K421" s="20" t="inlineStr">
        <is>
          <t>YES</t>
        </is>
      </c>
      <c r="L421" s="20" t="n"/>
    </row>
    <row r="422" ht="15" customHeight="1" s="17">
      <c r="A422" s="20" t="inlineStr">
        <is>
          <t>H0418</t>
        </is>
      </c>
      <c r="B422" s="20" t="inlineStr">
        <is>
          <t>NZ|LCM|F|17|50 Fly</t>
        </is>
      </c>
      <c r="C422" s="20" t="inlineStr">
        <is>
          <t>LCM</t>
        </is>
      </c>
      <c r="D422" s="20" t="inlineStr">
        <is>
          <t>Female</t>
        </is>
      </c>
      <c r="E422" s="20" t="n">
        <v>17</v>
      </c>
      <c r="F422" s="20" t="inlineStr">
        <is>
          <t>50 Fly</t>
        </is>
      </c>
      <c r="G422" s="20" t="inlineStr">
        <is>
          <t>Sophia Batchelor</t>
        </is>
      </c>
      <c r="H422" s="20" t="inlineStr">
        <is>
          <t>26.30</t>
        </is>
      </c>
      <c r="I422" s="20" t="inlineStr">
        <is>
          <t>22.03.13</t>
        </is>
      </c>
      <c r="J422" s="20" t="n"/>
      <c r="K422" s="20" t="inlineStr">
        <is>
          <t>YES</t>
        </is>
      </c>
      <c r="L422" s="20" t="n"/>
    </row>
    <row r="423" ht="15" customHeight="1" s="17">
      <c r="A423" s="20" t="inlineStr">
        <is>
          <t>H0419</t>
        </is>
      </c>
      <c r="B423" s="20" t="inlineStr">
        <is>
          <t>NZ|LCM|F|17|100 Fly</t>
        </is>
      </c>
      <c r="C423" s="20" t="inlineStr">
        <is>
          <t>LCM</t>
        </is>
      </c>
      <c r="D423" s="20" t="inlineStr">
        <is>
          <t>Female</t>
        </is>
      </c>
      <c r="E423" s="20" t="n">
        <v>17</v>
      </c>
      <c r="F423" s="20" t="inlineStr">
        <is>
          <t>100 Fly</t>
        </is>
      </c>
      <c r="G423" s="20" t="inlineStr">
        <is>
          <t>Sophia Batchelor</t>
        </is>
      </c>
      <c r="H423" s="20" t="inlineStr">
        <is>
          <t>58.84</t>
        </is>
      </c>
      <c r="I423" s="20" t="inlineStr">
        <is>
          <t>17.03.13</t>
        </is>
      </c>
      <c r="J423" s="20" t="n"/>
      <c r="K423" s="20" t="inlineStr">
        <is>
          <t>YES</t>
        </is>
      </c>
      <c r="L423" s="20" t="n"/>
    </row>
    <row r="424" ht="15" customHeight="1" s="17">
      <c r="A424" s="20" t="inlineStr">
        <is>
          <t>H0420</t>
        </is>
      </c>
      <c r="B424" s="20" t="inlineStr">
        <is>
          <t>NZ|LCM|F|17|200 Fly</t>
        </is>
      </c>
      <c r="C424" s="20" t="inlineStr">
        <is>
          <t>LCM</t>
        </is>
      </c>
      <c r="D424" s="20" t="inlineStr">
        <is>
          <t>Female</t>
        </is>
      </c>
      <c r="E424" s="20" t="n">
        <v>17</v>
      </c>
      <c r="F424" s="20" t="inlineStr">
        <is>
          <t>200 Fly</t>
        </is>
      </c>
      <c r="G424" s="20" t="inlineStr">
        <is>
          <t>Yeonsu Lee</t>
        </is>
      </c>
      <c r="H424" s="20" t="inlineStr">
        <is>
          <t>2:14.39</t>
        </is>
      </c>
      <c r="I424" s="20" t="inlineStr">
        <is>
          <t>21.03.17</t>
        </is>
      </c>
      <c r="J424" s="20" t="n"/>
      <c r="K424" s="20" t="inlineStr">
        <is>
          <t>YES</t>
        </is>
      </c>
      <c r="L424" s="20" t="n"/>
    </row>
    <row r="425" ht="15" customHeight="1" s="17">
      <c r="A425" s="20" t="inlineStr">
        <is>
          <t>H0421</t>
        </is>
      </c>
      <c r="B425" s="20" t="inlineStr">
        <is>
          <t>NZ|LCM|F|17|200 IM</t>
        </is>
      </c>
      <c r="C425" s="20" t="inlineStr">
        <is>
          <t>LCM</t>
        </is>
      </c>
      <c r="D425" s="20" t="inlineStr">
        <is>
          <t>Female</t>
        </is>
      </c>
      <c r="E425" s="20" t="n">
        <v>17</v>
      </c>
      <c r="F425" s="20" t="inlineStr">
        <is>
          <t>200 IM</t>
        </is>
      </c>
      <c r="G425" s="20" t="inlineStr">
        <is>
          <t>Natalie Wiegersma</t>
        </is>
      </c>
      <c r="H425" s="20" t="inlineStr">
        <is>
          <t>2:15.10</t>
        </is>
      </c>
      <c r="I425" s="20" t="inlineStr">
        <is>
          <t>01.07.07</t>
        </is>
      </c>
      <c r="J425" s="20" t="n"/>
      <c r="K425" s="20" t="inlineStr">
        <is>
          <t>YES</t>
        </is>
      </c>
      <c r="L425" s="20" t="n"/>
    </row>
    <row r="426" ht="15" customHeight="1" s="17">
      <c r="A426" s="20" t="inlineStr">
        <is>
          <t>H0422</t>
        </is>
      </c>
      <c r="B426" s="20" t="inlineStr">
        <is>
          <t>NZ|LCM|F|17|400 IM</t>
        </is>
      </c>
      <c r="C426" s="20" t="inlineStr">
        <is>
          <t>LCM</t>
        </is>
      </c>
      <c r="D426" s="20" t="inlineStr">
        <is>
          <t>Female</t>
        </is>
      </c>
      <c r="E426" s="20" t="n">
        <v>17</v>
      </c>
      <c r="F426" s="20" t="inlineStr">
        <is>
          <t>400 IM</t>
        </is>
      </c>
      <c r="G426" s="20" t="inlineStr">
        <is>
          <t>Mya Rasmussen</t>
        </is>
      </c>
      <c r="H426" s="20" t="inlineStr">
        <is>
          <t>4:42.19</t>
        </is>
      </c>
      <c r="I426" s="20" t="inlineStr">
        <is>
          <t>20.07.17</t>
        </is>
      </c>
      <c r="J426" s="20" t="n"/>
      <c r="K426" s="20" t="inlineStr">
        <is>
          <t>YES</t>
        </is>
      </c>
      <c r="L426" s="20" t="n"/>
    </row>
    <row r="427" ht="15" customHeight="1" s="17">
      <c r="A427" s="20" t="inlineStr">
        <is>
          <t>H0423</t>
        </is>
      </c>
      <c r="B427" s="20" t="inlineStr">
        <is>
          <t>NZ|LCM|F|18|50 Free</t>
        </is>
      </c>
      <c r="C427" s="20" t="inlineStr">
        <is>
          <t>LCM</t>
        </is>
      </c>
      <c r="D427" s="20" t="inlineStr">
        <is>
          <t>Female</t>
        </is>
      </c>
      <c r="E427" s="20" t="n">
        <v>18</v>
      </c>
      <c r="F427" s="20" t="inlineStr">
        <is>
          <t>50 Free</t>
        </is>
      </c>
      <c r="G427" s="20" t="inlineStr">
        <is>
          <t>Zoe Pedersen</t>
        </is>
      </c>
      <c r="H427" s="20" t="inlineStr">
        <is>
          <t>25.43</t>
        </is>
      </c>
      <c r="I427" s="20" t="inlineStr">
        <is>
          <t>23.08.25</t>
        </is>
      </c>
      <c r="J427" s="20" t="n"/>
      <c r="K427" s="20" t="inlineStr">
        <is>
          <t>YES</t>
        </is>
      </c>
      <c r="L427" s="20" t="n"/>
    </row>
    <row r="428" ht="15" customHeight="1" s="17">
      <c r="A428" s="20" t="inlineStr">
        <is>
          <t>H0424</t>
        </is>
      </c>
      <c r="B428" s="20" t="inlineStr">
        <is>
          <t>NZ|LCM|F|18|100 Free</t>
        </is>
      </c>
      <c r="C428" s="20" t="inlineStr">
        <is>
          <t>LCM</t>
        </is>
      </c>
      <c r="D428" s="20" t="inlineStr">
        <is>
          <t>Female</t>
        </is>
      </c>
      <c r="E428" s="20" t="n">
        <v>18</v>
      </c>
      <c r="F428" s="20" t="inlineStr">
        <is>
          <t>100 Free</t>
        </is>
      </c>
      <c r="G428" s="20" t="inlineStr">
        <is>
          <t>Zoe Pedersen</t>
        </is>
      </c>
      <c r="H428" s="20" t="inlineStr">
        <is>
          <t>55.03</t>
        </is>
      </c>
      <c r="I428" s="20" t="inlineStr">
        <is>
          <t>20.08.25</t>
        </is>
      </c>
      <c r="J428" s="20" t="n"/>
      <c r="K428" s="20" t="inlineStr">
        <is>
          <t>YES</t>
        </is>
      </c>
      <c r="L428" s="20" t="n"/>
    </row>
    <row r="429" ht="15" customHeight="1" s="17">
      <c r="A429" s="20" t="inlineStr">
        <is>
          <t>H0425</t>
        </is>
      </c>
      <c r="B429" s="20" t="inlineStr">
        <is>
          <t>NZ|LCM|F|18|200 Free</t>
        </is>
      </c>
      <c r="C429" s="20" t="inlineStr">
        <is>
          <t>LCM</t>
        </is>
      </c>
      <c r="D429" s="20" t="inlineStr">
        <is>
          <t>Female</t>
        </is>
      </c>
      <c r="E429" s="20" t="n">
        <v>18</v>
      </c>
      <c r="F429" s="20" t="inlineStr">
        <is>
          <t>200 Free</t>
        </is>
      </c>
      <c r="G429" s="20" t="inlineStr">
        <is>
          <t>Erika Fairweather</t>
        </is>
      </c>
      <c r="H429" s="20" t="inlineStr">
        <is>
          <t>1:57.08</t>
        </is>
      </c>
      <c r="I429" s="20" t="inlineStr">
        <is>
          <t>29.07.22</t>
        </is>
      </c>
      <c r="J429" s="20" t="n"/>
      <c r="K429" s="20" t="inlineStr">
        <is>
          <t>YES</t>
        </is>
      </c>
      <c r="L429" s="20" t="n"/>
    </row>
    <row r="430" ht="15" customHeight="1" s="17">
      <c r="A430" s="20" t="inlineStr">
        <is>
          <t>H0426</t>
        </is>
      </c>
      <c r="B430" s="20" t="inlineStr">
        <is>
          <t>NZ|LCM|F|18|400 Free</t>
        </is>
      </c>
      <c r="C430" s="20" t="inlineStr">
        <is>
          <t>LCM</t>
        </is>
      </c>
      <c r="D430" s="20" t="inlineStr">
        <is>
          <t>Female</t>
        </is>
      </c>
      <c r="E430" s="20" t="n">
        <v>18</v>
      </c>
      <c r="F430" s="20" t="inlineStr">
        <is>
          <t>400 Free</t>
        </is>
      </c>
      <c r="G430" s="20" t="inlineStr">
        <is>
          <t>Erika Fairweather</t>
        </is>
      </c>
      <c r="H430" s="20" t="inlineStr">
        <is>
          <t>4:03.84</t>
        </is>
      </c>
      <c r="I430" s="20" t="inlineStr">
        <is>
          <t>03.08.22</t>
        </is>
      </c>
      <c r="J430" s="20" t="n"/>
      <c r="K430" s="20" t="inlineStr">
        <is>
          <t>YES</t>
        </is>
      </c>
      <c r="L430" s="20" t="n"/>
    </row>
    <row r="431" ht="15" customHeight="1" s="17">
      <c r="A431" s="20" t="inlineStr">
        <is>
          <t>H0427</t>
        </is>
      </c>
      <c r="B431" s="20" t="inlineStr">
        <is>
          <t>NZ|LCM|F|18|800 Free</t>
        </is>
      </c>
      <c r="C431" s="20" t="inlineStr">
        <is>
          <t>LCM</t>
        </is>
      </c>
      <c r="D431" s="20" t="inlineStr">
        <is>
          <t>Female</t>
        </is>
      </c>
      <c r="E431" s="20" t="n">
        <v>18</v>
      </c>
      <c r="F431" s="20" t="inlineStr">
        <is>
          <t>800 Free</t>
        </is>
      </c>
      <c r="G431" s="20" t="inlineStr">
        <is>
          <t>Eve Thomas</t>
        </is>
      </c>
      <c r="H431" s="20" t="inlineStr">
        <is>
          <t>8:37.75</t>
        </is>
      </c>
      <c r="I431" s="20" t="inlineStr">
        <is>
          <t>17.12.19</t>
        </is>
      </c>
      <c r="J431" s="20" t="n"/>
      <c r="K431" s="20" t="inlineStr">
        <is>
          <t>YES</t>
        </is>
      </c>
      <c r="L431" s="20" t="n"/>
    </row>
    <row r="432" ht="15" customHeight="1" s="17">
      <c r="A432" s="20" t="inlineStr">
        <is>
          <t>H0428</t>
        </is>
      </c>
      <c r="B432" s="20" t="inlineStr">
        <is>
          <t>NZ|LCM|F|18|1500 Free</t>
        </is>
      </c>
      <c r="C432" s="20" t="inlineStr">
        <is>
          <t>LCM</t>
        </is>
      </c>
      <c r="D432" s="20" t="inlineStr">
        <is>
          <t>Female</t>
        </is>
      </c>
      <c r="E432" s="20" t="n">
        <v>18</v>
      </c>
      <c r="F432" s="20" t="inlineStr">
        <is>
          <t>1500 Free</t>
        </is>
      </c>
      <c r="G432" s="20" t="inlineStr">
        <is>
          <t>Eve Thomas</t>
        </is>
      </c>
      <c r="H432" s="20" t="inlineStr">
        <is>
          <t>16:28.57</t>
        </is>
      </c>
      <c r="I432" s="20" t="inlineStr">
        <is>
          <t>18.12.19</t>
        </is>
      </c>
      <c r="J432" s="20" t="n"/>
      <c r="K432" s="20" t="inlineStr">
        <is>
          <t>YES</t>
        </is>
      </c>
      <c r="L432" s="20" t="n"/>
    </row>
    <row r="433" ht="15" customHeight="1" s="17">
      <c r="A433" s="20" t="inlineStr">
        <is>
          <t>H0429</t>
        </is>
      </c>
      <c r="B433" s="20" t="inlineStr">
        <is>
          <t>NZ|LCM|F|18|50 Back</t>
        </is>
      </c>
      <c r="C433" s="20" t="inlineStr">
        <is>
          <t>LCM</t>
        </is>
      </c>
      <c r="D433" s="20" t="inlineStr">
        <is>
          <t>Female</t>
        </is>
      </c>
      <c r="E433" s="20" t="n">
        <v>18</v>
      </c>
      <c r="F433" s="20" t="inlineStr">
        <is>
          <t>50 Back</t>
        </is>
      </c>
      <c r="G433" s="20" t="inlineStr">
        <is>
          <t>Milan Glintmeyer</t>
        </is>
      </c>
      <c r="H433" s="20" t="inlineStr">
        <is>
          <t>28.25</t>
        </is>
      </c>
      <c r="I433" s="20" t="inlineStr">
        <is>
          <t>13.08.26</t>
        </is>
      </c>
      <c r="J433" s="20" t="n"/>
      <c r="K433" s="20" t="inlineStr">
        <is>
          <t>YES</t>
        </is>
      </c>
      <c r="L433" s="20" t="n"/>
    </row>
    <row r="434" ht="15" customHeight="1" s="17">
      <c r="A434" s="20" t="inlineStr">
        <is>
          <t>H0430</t>
        </is>
      </c>
      <c r="B434" s="20" t="inlineStr">
        <is>
          <t>NZ|LCM|F|18|100 Back</t>
        </is>
      </c>
      <c r="C434" s="20" t="inlineStr">
        <is>
          <t>LCM</t>
        </is>
      </c>
      <c r="D434" s="20" t="inlineStr">
        <is>
          <t>Female</t>
        </is>
      </c>
      <c r="E434" s="20" t="n">
        <v>18</v>
      </c>
      <c r="F434" s="20" t="inlineStr">
        <is>
          <t>100 Back</t>
        </is>
      </c>
      <c r="G434" s="20" t="inlineStr">
        <is>
          <t>Milan Glintmeyer</t>
        </is>
      </c>
      <c r="H434" s="20" t="inlineStr">
        <is>
          <t>1:00.34</t>
        </is>
      </c>
      <c r="I434" s="20" t="inlineStr">
        <is>
          <t>12.08.26</t>
        </is>
      </c>
      <c r="J434" s="20" t="n"/>
      <c r="K434" s="20" t="inlineStr">
        <is>
          <t>YES</t>
        </is>
      </c>
      <c r="L434" s="20" t="n"/>
    </row>
    <row r="435" ht="15" customHeight="1" s="17">
      <c r="A435" s="20" t="inlineStr">
        <is>
          <t>H0431</t>
        </is>
      </c>
      <c r="B435" s="20" t="inlineStr">
        <is>
          <t>NZ|LCM|F|18|200 Back</t>
        </is>
      </c>
      <c r="C435" s="20" t="inlineStr">
        <is>
          <t>LCM</t>
        </is>
      </c>
      <c r="D435" s="20" t="inlineStr">
        <is>
          <t>Female</t>
        </is>
      </c>
      <c r="E435" s="20" t="n">
        <v>18</v>
      </c>
      <c r="F435" s="20" t="inlineStr">
        <is>
          <t>200 Back</t>
        </is>
      </c>
      <c r="G435" s="20" t="inlineStr">
        <is>
          <t>Penelope Marshall</t>
        </is>
      </c>
      <c r="H435" s="20" t="inlineStr">
        <is>
          <t>2:12.65</t>
        </is>
      </c>
      <c r="I435" s="20" t="inlineStr">
        <is>
          <t>04.07.08</t>
        </is>
      </c>
      <c r="J435" s="20" t="n"/>
      <c r="K435" s="20" t="inlineStr">
        <is>
          <t>YES</t>
        </is>
      </c>
      <c r="L435" s="20" t="n"/>
    </row>
    <row r="436" ht="15" customHeight="1" s="17">
      <c r="A436" s="20" t="inlineStr">
        <is>
          <t>H0432</t>
        </is>
      </c>
      <c r="B436" s="20" t="inlineStr">
        <is>
          <t>NZ|LCM|F|18|50 Breast</t>
        </is>
      </c>
      <c r="C436" s="20" t="inlineStr">
        <is>
          <t>LCM</t>
        </is>
      </c>
      <c r="D436" s="20" t="inlineStr">
        <is>
          <t>Female</t>
        </is>
      </c>
      <c r="E436" s="20" t="n">
        <v>18</v>
      </c>
      <c r="F436" s="20" t="inlineStr">
        <is>
          <t>50 Breast</t>
        </is>
      </c>
      <c r="G436" s="20" t="inlineStr">
        <is>
          <t>Monique Wieruszowski</t>
        </is>
      </c>
      <c r="H436" s="20" t="inlineStr">
        <is>
          <t>31.80</t>
        </is>
      </c>
      <c r="I436" s="20" t="inlineStr">
        <is>
          <t>21.08.25</t>
        </is>
      </c>
      <c r="J436" s="20" t="n"/>
      <c r="K436" s="20" t="inlineStr">
        <is>
          <t>YES</t>
        </is>
      </c>
      <c r="L436" s="20" t="n"/>
    </row>
    <row r="437" ht="15" customHeight="1" s="17">
      <c r="A437" s="20" t="inlineStr">
        <is>
          <t>H0433</t>
        </is>
      </c>
      <c r="B437" s="20" t="inlineStr">
        <is>
          <t>NZ|LCM|F|18|100 Breast</t>
        </is>
      </c>
      <c r="C437" s="20" t="inlineStr">
        <is>
          <t>LCM</t>
        </is>
      </c>
      <c r="D437" s="20" t="inlineStr">
        <is>
          <t>Female</t>
        </is>
      </c>
      <c r="E437" s="20" t="n">
        <v>18</v>
      </c>
      <c r="F437" s="20" t="inlineStr">
        <is>
          <t>100 Breast</t>
        </is>
      </c>
      <c r="G437" s="20" t="inlineStr">
        <is>
          <t>Monique Wieruszowski</t>
        </is>
      </c>
      <c r="H437" s="20" t="inlineStr">
        <is>
          <t>1:08.65</t>
        </is>
      </c>
      <c r="I437" s="20" t="inlineStr">
        <is>
          <t>22.08.25</t>
        </is>
      </c>
      <c r="J437" s="20" t="n"/>
      <c r="K437" s="20" t="inlineStr">
        <is>
          <t>YES</t>
        </is>
      </c>
      <c r="L437" s="20" t="n"/>
    </row>
    <row r="438" ht="15" customHeight="1" s="17">
      <c r="A438" s="20" t="inlineStr">
        <is>
          <t>H0434</t>
        </is>
      </c>
      <c r="B438" s="20" t="inlineStr">
        <is>
          <t>NZ|LCM|F|18|200 Breast</t>
        </is>
      </c>
      <c r="C438" s="20" t="inlineStr">
        <is>
          <t>LCM</t>
        </is>
      </c>
      <c r="D438" s="20" t="inlineStr">
        <is>
          <t>Female</t>
        </is>
      </c>
      <c r="E438" s="20" t="n">
        <v>18</v>
      </c>
      <c r="F438" s="20" t="inlineStr">
        <is>
          <t>200 Breast</t>
        </is>
      </c>
      <c r="G438" s="20" t="inlineStr">
        <is>
          <t>Melissa Cowen</t>
        </is>
      </c>
      <c r="H438" s="20" t="inlineStr">
        <is>
          <t>2:31.16</t>
        </is>
      </c>
      <c r="I438" s="20" t="inlineStr">
        <is>
          <t>03.04.23</t>
        </is>
      </c>
      <c r="J438" s="20" t="n"/>
      <c r="K438" s="20" t="inlineStr">
        <is>
          <t>YES</t>
        </is>
      </c>
      <c r="L438" s="20" t="n"/>
    </row>
    <row r="439" ht="15" customHeight="1" s="17">
      <c r="A439" s="20" t="inlineStr">
        <is>
          <t>H0435</t>
        </is>
      </c>
      <c r="B439" s="20" t="inlineStr">
        <is>
          <t>NZ|LCM|F|18|50 Fly</t>
        </is>
      </c>
      <c r="C439" s="20" t="inlineStr">
        <is>
          <t>LCM</t>
        </is>
      </c>
      <c r="D439" s="20" t="inlineStr">
        <is>
          <t>Female</t>
        </is>
      </c>
      <c r="E439" s="20" t="n">
        <v>18</v>
      </c>
      <c r="F439" s="20" t="inlineStr">
        <is>
          <t>50 Fly</t>
        </is>
      </c>
      <c r="G439" s="20" t="inlineStr">
        <is>
          <t>Zoe Pedersen</t>
        </is>
      </c>
      <c r="H439" s="20" t="inlineStr">
        <is>
          <t>25.63</t>
        </is>
      </c>
      <c r="I439" s="20" t="inlineStr">
        <is>
          <t>22.08.25</t>
        </is>
      </c>
      <c r="J439" s="20" t="n"/>
      <c r="K439" s="20" t="inlineStr">
        <is>
          <t>YES</t>
        </is>
      </c>
      <c r="L439" s="20" t="n"/>
    </row>
    <row r="440" ht="15" customHeight="1" s="17">
      <c r="A440" s="20" t="inlineStr">
        <is>
          <t>H0436</t>
        </is>
      </c>
      <c r="B440" s="20" t="inlineStr">
        <is>
          <t>NZ|LCM|F|18|100 Fly</t>
        </is>
      </c>
      <c r="C440" s="20" t="inlineStr">
        <is>
          <t>LCM</t>
        </is>
      </c>
      <c r="D440" s="20" t="inlineStr">
        <is>
          <t>Female</t>
        </is>
      </c>
      <c r="E440" s="20" t="n">
        <v>18</v>
      </c>
      <c r="F440" s="20" t="inlineStr">
        <is>
          <t>100 Fly</t>
        </is>
      </c>
      <c r="G440" s="20" t="inlineStr">
        <is>
          <t>Sophia Batchelor</t>
        </is>
      </c>
      <c r="H440" s="20" t="inlineStr">
        <is>
          <t>59.46</t>
        </is>
      </c>
      <c r="I440" s="20" t="inlineStr">
        <is>
          <t>28.07.13</t>
        </is>
      </c>
      <c r="J440" s="20" t="n"/>
      <c r="K440" s="20" t="inlineStr">
        <is>
          <t>YES</t>
        </is>
      </c>
      <c r="L440" s="20" t="n"/>
    </row>
    <row r="441" ht="15" customHeight="1" s="17">
      <c r="A441" s="20" t="inlineStr">
        <is>
          <t>H0437</t>
        </is>
      </c>
      <c r="B441" s="20" t="inlineStr">
        <is>
          <t>NZ|LCM|F|18|200 Fly</t>
        </is>
      </c>
      <c r="C441" s="20" t="inlineStr">
        <is>
          <t>LCM</t>
        </is>
      </c>
      <c r="D441" s="20" t="inlineStr">
        <is>
          <t>Female</t>
        </is>
      </c>
      <c r="E441" s="20" t="n">
        <v>18</v>
      </c>
      <c r="F441" s="20" t="inlineStr">
        <is>
          <t>200 Fly</t>
        </is>
      </c>
      <c r="G441" s="20" t="inlineStr">
        <is>
          <t>Megan Allan</t>
        </is>
      </c>
      <c r="H441" s="20" t="inlineStr">
        <is>
          <t>2:15.67</t>
        </is>
      </c>
      <c r="I441" s="20" t="inlineStr">
        <is>
          <t>23.04.01</t>
        </is>
      </c>
      <c r="J441" s="20" t="n"/>
      <c r="K441" s="20" t="inlineStr">
        <is>
          <t>YES</t>
        </is>
      </c>
      <c r="L441" s="20" t="n"/>
    </row>
    <row r="442" ht="15" customHeight="1" s="17">
      <c r="A442" s="20" t="inlineStr">
        <is>
          <t>H0438</t>
        </is>
      </c>
      <c r="B442" s="20" t="inlineStr">
        <is>
          <t>NZ|LCM|F|18|200 IM</t>
        </is>
      </c>
      <c r="C442" s="20" t="inlineStr">
        <is>
          <t>LCM</t>
        </is>
      </c>
      <c r="D442" s="20" t="inlineStr">
        <is>
          <t>Female</t>
        </is>
      </c>
      <c r="E442" s="20" t="n">
        <v>18</v>
      </c>
      <c r="F442" s="20" t="inlineStr">
        <is>
          <t>200 IM</t>
        </is>
      </c>
      <c r="G442" s="20" t="inlineStr">
        <is>
          <t>Gina McCarthy</t>
        </is>
      </c>
      <c r="H442" s="20" t="inlineStr">
        <is>
          <t>2:15.68</t>
        </is>
      </c>
      <c r="I442" s="20" t="inlineStr">
        <is>
          <t>10.04.21</t>
        </is>
      </c>
      <c r="J442" s="20" t="n"/>
      <c r="K442" s="20" t="inlineStr">
        <is>
          <t>YES</t>
        </is>
      </c>
      <c r="L442" s="20" t="n"/>
    </row>
    <row r="443" ht="15" customHeight="1" s="17">
      <c r="A443" s="20" t="inlineStr">
        <is>
          <t>H0439</t>
        </is>
      </c>
      <c r="B443" s="20" t="inlineStr">
        <is>
          <t>NZ|LCM|F|18|400 IM</t>
        </is>
      </c>
      <c r="C443" s="20" t="inlineStr">
        <is>
          <t>LCM</t>
        </is>
      </c>
      <c r="D443" s="20" t="inlineStr">
        <is>
          <t>Female</t>
        </is>
      </c>
      <c r="E443" s="20" t="n">
        <v>18</v>
      </c>
      <c r="F443" s="20" t="inlineStr">
        <is>
          <t>400 IM</t>
        </is>
      </c>
      <c r="G443" s="20" t="inlineStr">
        <is>
          <t>Gina McCarthy</t>
        </is>
      </c>
      <c r="H443" s="20" t="inlineStr">
        <is>
          <t>4:47.19</t>
        </is>
      </c>
      <c r="I443" s="20" t="inlineStr">
        <is>
          <t>06.04.21</t>
        </is>
      </c>
      <c r="J443" s="20" t="n"/>
      <c r="K443" s="20" t="inlineStr">
        <is>
          <t>YES</t>
        </is>
      </c>
      <c r="L443" s="20" t="n"/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4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0" customWidth="1" style="16" min="1" max="1"/>
    <col width="14" customWidth="1" style="16" min="2" max="2"/>
    <col width="9" customWidth="1" style="16" min="3" max="3"/>
    <col width="10" customWidth="1" style="16" min="4" max="4"/>
    <col width="7" customWidth="1" style="16" min="5" max="5"/>
    <col width="18" customWidth="1" style="16" min="6" max="6"/>
    <col width="28" customWidth="1" style="16" min="7" max="7"/>
    <col width="16" customWidth="1" style="16" min="8" max="9"/>
    <col width="12" customWidth="1" style="16" min="10" max="10"/>
    <col width="55" customWidth="1" style="16" min="11" max="11"/>
    <col width="16" customWidth="1" style="16" min="12" max="12"/>
  </cols>
  <sheetData>
    <row r="1" ht="25.5" customHeight="1" s="17">
      <c r="A1" s="18" t="inlineStr">
        <is>
          <t>Next-fastest all-time candidates</t>
        </is>
      </c>
    </row>
    <row r="2" ht="31.5" customHeight="1" s="17">
      <c r="A2" s="19" t="inlineStr">
        <is>
          <t>Rank 2 comparator for each current record. Comparator swimmer names are populated where verified or automatically established by a displaced record.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 ht="30" customHeight="1" s="17">
      <c r="A4" s="21" t="inlineStr">
        <is>
          <t>Record Key</t>
        </is>
      </c>
      <c r="B4" s="21" t="inlineStr">
        <is>
          <t>Candidate Rank</t>
        </is>
      </c>
      <c r="C4" s="21" t="inlineStr">
        <is>
          <t>Course</t>
        </is>
      </c>
      <c r="D4" s="21" t="inlineStr">
        <is>
          <t>Sex</t>
        </is>
      </c>
      <c r="E4" s="21" t="inlineStr">
        <is>
          <t>Age</t>
        </is>
      </c>
      <c r="F4" s="21" t="inlineStr">
        <is>
          <t>Event</t>
        </is>
      </c>
      <c r="G4" s="21" t="inlineStr">
        <is>
          <t>Swimmer</t>
        </is>
      </c>
      <c r="H4" s="21" t="inlineStr">
        <is>
          <t>Time</t>
        </is>
      </c>
      <c r="I4" s="21" t="inlineStr">
        <is>
          <t>Time Seconds</t>
        </is>
      </c>
      <c r="J4" s="21" t="inlineStr">
        <is>
          <t>Verified?</t>
        </is>
      </c>
      <c r="K4" s="21" t="inlineStr">
        <is>
          <t>Source / Notes</t>
        </is>
      </c>
      <c r="L4" s="21" t="inlineStr">
        <is>
          <t>Last Checked</t>
        </is>
      </c>
    </row>
    <row r="5" ht="15" customHeight="1" s="17">
      <c r="A5" s="20" t="inlineStr">
        <is>
          <t>NZ|SCM|M|13|50 Free</t>
        </is>
      </c>
      <c r="B5" s="20" t="n">
        <v>2</v>
      </c>
      <c r="C5" s="20" t="inlineStr">
        <is>
          <t>SCM</t>
        </is>
      </c>
      <c r="D5" s="20" t="inlineStr">
        <is>
          <t>Male</t>
        </is>
      </c>
      <c r="E5" s="20" t="n">
        <v>13</v>
      </c>
      <c r="F5" s="20" t="inlineStr">
        <is>
          <t>50 Free</t>
        </is>
      </c>
      <c r="G5" s="20" t="n"/>
      <c r="H5" s="20" t="inlineStr">
        <is>
          <t>24.21</t>
        </is>
      </c>
      <c r="I5" s="20">
        <f>IF(H5="","",IF(ISNUMBER(SEARCH(":",H5)),VALUE(LEFT(H5,SEARCH(":",H5)-1))*60+VALUE(MID(H5,SEARCH(":",H5)+1,99)),VALUE(H5)))</f>
        <v/>
      </c>
      <c r="J5" s="20">
        <f>IF(OR(G5&lt;&gt;"",AND(H5&lt;&gt;"",INDEX(05_Record_Benchmarks!$N:$N,MATCH(A5,05_Record_Benchmarks!$A:$A,0))="YES")),"YES","NO")</f>
        <v/>
      </c>
      <c r="K5" s="20" t="inlineStr">
        <is>
          <t>Next-fastest time supplied in user workbook; swimmer name not yet supplied.</t>
        </is>
      </c>
      <c r="L5" s="40" t="n"/>
    </row>
    <row r="6" ht="15" customHeight="1" s="17">
      <c r="A6" s="20" t="inlineStr">
        <is>
          <t>NZ|SCM|M|13|100 Free</t>
        </is>
      </c>
      <c r="B6" s="20" t="n">
        <v>2</v>
      </c>
      <c r="C6" s="20" t="inlineStr">
        <is>
          <t>SCM</t>
        </is>
      </c>
      <c r="D6" s="20" t="inlineStr">
        <is>
          <t>Male</t>
        </is>
      </c>
      <c r="E6" s="20" t="n">
        <v>13</v>
      </c>
      <c r="F6" s="20" t="inlineStr">
        <is>
          <t>100 Free</t>
        </is>
      </c>
      <c r="G6" s="20" t="inlineStr">
        <is>
          <t>Hayden Church</t>
        </is>
      </c>
      <c r="H6" s="20" t="inlineStr">
        <is>
          <t>53.40</t>
        </is>
      </c>
      <c r="I6" s="20">
        <f>IF(H6="","",IF(ISNUMBER(SEARCH(":",H6)),VALUE(LEFT(H6,SEARCH(":",H6)-1))*60+VALUE(MID(H6,SEARCH(":",H6)+1,99)),VALUE(H6)))</f>
        <v/>
      </c>
      <c r="J6" s="20">
        <f>IF(OR(G6&lt;&gt;"",AND(H6&lt;&gt;"",INDEX(05_Record_Benchmarks!$N:$N,MATCH(A6,05_Record_Benchmarks!$A:$A,0))="YES")),"YES","NO")</f>
        <v/>
      </c>
      <c r="K6" s="20" t="inlineStr">
        <is>
          <t>Next-fastest time supplied in user workbook; swimmer name not yet supplied.</t>
        </is>
      </c>
      <c r="L6" s="40" t="n">
        <v>46303</v>
      </c>
    </row>
    <row r="7" ht="15" customHeight="1" s="17">
      <c r="A7" s="20" t="inlineStr">
        <is>
          <t>NZ|SCM|M|13|200 Free</t>
        </is>
      </c>
      <c r="B7" s="20" t="n">
        <v>2</v>
      </c>
      <c r="C7" s="20" t="inlineStr">
        <is>
          <t>SCM</t>
        </is>
      </c>
      <c r="D7" s="20" t="inlineStr">
        <is>
          <t>Male</t>
        </is>
      </c>
      <c r="E7" s="20" t="n">
        <v>13</v>
      </c>
      <c r="F7" s="20" t="inlineStr">
        <is>
          <t>200 Free</t>
        </is>
      </c>
      <c r="G7" s="20" t="inlineStr">
        <is>
          <t>Hayden Church</t>
        </is>
      </c>
      <c r="H7" s="20" t="inlineStr">
        <is>
          <t>1:57.71</t>
        </is>
      </c>
      <c r="I7" s="20">
        <f>IF(H7="","",IF(ISNUMBER(SEARCH(":",H7)),VALUE(LEFT(H7,SEARCH(":",H7)-1))*60+VALUE(MID(H7,SEARCH(":",H7)+1,99)),VALUE(H7)))</f>
        <v/>
      </c>
      <c r="J7" s="20">
        <f>IF(OR(G7&lt;&gt;"",AND(H7&lt;&gt;"",INDEX(05_Record_Benchmarks!$N:$N,MATCH(A7,05_Record_Benchmarks!$A:$A,0))="YES")),"YES","NO")</f>
        <v/>
      </c>
      <c r="K7" s="20" t="inlineStr">
        <is>
          <t>Next-fastest time supplied in user workbook; swimmer name not yet supplied.</t>
        </is>
      </c>
      <c r="L7" s="40" t="n">
        <v>46303</v>
      </c>
    </row>
    <row r="8" ht="15" customHeight="1" s="17">
      <c r="A8" s="20" t="inlineStr">
        <is>
          <t>NZ|SCM|M|13|400 Free</t>
        </is>
      </c>
      <c r="B8" s="20" t="n">
        <v>2</v>
      </c>
      <c r="C8" s="20" t="inlineStr">
        <is>
          <t>SCM</t>
        </is>
      </c>
      <c r="D8" s="20" t="inlineStr">
        <is>
          <t>Male</t>
        </is>
      </c>
      <c r="E8" s="20" t="n">
        <v>13</v>
      </c>
      <c r="F8" s="20" t="inlineStr">
        <is>
          <t>400 Free</t>
        </is>
      </c>
      <c r="G8" s="20" t="inlineStr">
        <is>
          <t>Michael Mincham</t>
        </is>
      </c>
      <c r="H8" s="20" t="inlineStr">
        <is>
          <t>4:09.27</t>
        </is>
      </c>
      <c r="I8" s="20">
        <f>IF(H8="","",IF(ISNUMBER(SEARCH(":",H8)),VALUE(LEFT(H8,SEARCH(":",H8)-1))*60+VALUE(MID(H8,SEARCH(":",H8)+1,99)),VALUE(H8)))</f>
        <v/>
      </c>
      <c r="J8" s="20">
        <f>IF(OR(G8&lt;&gt;"",AND(H8&lt;&gt;"",INDEX(05_Record_Benchmarks!$N:$N,MATCH(A8,05_Record_Benchmarks!$A:$A,0))="YES")),"YES","NO")</f>
        <v/>
      </c>
      <c r="K8" s="20" t="inlineStr">
        <is>
          <t>Next-fastest time supplied in user workbook; swimmer name not yet supplied.</t>
        </is>
      </c>
      <c r="L8" s="40" t="n">
        <v>46303</v>
      </c>
    </row>
    <row r="9" ht="15" customHeight="1" s="17">
      <c r="A9" s="20" t="inlineStr">
        <is>
          <t>NZ|SCM|M|13|800 Free</t>
        </is>
      </c>
      <c r="B9" s="20" t="n">
        <v>2</v>
      </c>
      <c r="C9" s="20" t="inlineStr">
        <is>
          <t>SCM</t>
        </is>
      </c>
      <c r="D9" s="20" t="inlineStr">
        <is>
          <t>Male</t>
        </is>
      </c>
      <c r="E9" s="20" t="n">
        <v>13</v>
      </c>
      <c r="F9" s="20" t="inlineStr">
        <is>
          <t>800 Free</t>
        </is>
      </c>
      <c r="G9" s="20" t="n"/>
      <c r="H9" s="20" t="inlineStr">
        <is>
          <t>8:41.93</t>
        </is>
      </c>
      <c r="I9" s="20">
        <f>IF(H9="","",IF(ISNUMBER(SEARCH(":",H9)),VALUE(LEFT(H9,SEARCH(":",H9)-1))*60+VALUE(MID(H9,SEARCH(":",H9)+1,99)),VALUE(H9)))</f>
        <v/>
      </c>
      <c r="J9" s="20">
        <f>IF(OR(G9&lt;&gt;"",AND(H9&lt;&gt;"",INDEX(05_Record_Benchmarks!$N:$N,MATCH(A9,05_Record_Benchmarks!$A:$A,0))="YES")),"YES","NO")</f>
        <v/>
      </c>
      <c r="K9" s="20" t="inlineStr">
        <is>
          <t>Next-fastest time supplied in user workbook; swimmer name not yet supplied.</t>
        </is>
      </c>
      <c r="L9" s="40" t="n"/>
    </row>
    <row r="10" ht="15" customHeight="1" s="17">
      <c r="A10" s="20" t="inlineStr">
        <is>
          <t>NZ|SCM|M|13|1500 Free</t>
        </is>
      </c>
      <c r="B10" s="20" t="n">
        <v>2</v>
      </c>
      <c r="C10" s="20" t="inlineStr">
        <is>
          <t>SCM</t>
        </is>
      </c>
      <c r="D10" s="20" t="inlineStr">
        <is>
          <t>Male</t>
        </is>
      </c>
      <c r="E10" s="20" t="n">
        <v>13</v>
      </c>
      <c r="F10" s="20" t="inlineStr">
        <is>
          <t>1500 Free</t>
        </is>
      </c>
      <c r="G10" s="20" t="n"/>
      <c r="H10" s="20" t="inlineStr">
        <is>
          <t>16:33.56</t>
        </is>
      </c>
      <c r="I10" s="20">
        <f>IF(H10="","",IF(ISNUMBER(SEARCH(":",H10)),VALUE(LEFT(H10,SEARCH(":",H10)-1))*60+VALUE(MID(H10,SEARCH(":",H10)+1,99)),VALUE(H10)))</f>
        <v/>
      </c>
      <c r="J10" s="20">
        <f>IF(OR(G10&lt;&gt;"",AND(H10&lt;&gt;"",INDEX(05_Record_Benchmarks!$N:$N,MATCH(A10,05_Record_Benchmarks!$A:$A,0))="YES")),"YES","NO")</f>
        <v/>
      </c>
      <c r="K10" s="20" t="inlineStr">
        <is>
          <t>Next-fastest time supplied in user workbook; swimmer name not yet supplied.</t>
        </is>
      </c>
      <c r="L10" s="40" t="n"/>
    </row>
    <row r="11" ht="15" customHeight="1" s="17">
      <c r="A11" s="20" t="inlineStr">
        <is>
          <t>NZ|SCM|M|13|50 Back</t>
        </is>
      </c>
      <c r="B11" s="20" t="n">
        <v>2</v>
      </c>
      <c r="C11" s="20" t="inlineStr">
        <is>
          <t>SCM</t>
        </is>
      </c>
      <c r="D11" s="20" t="inlineStr">
        <is>
          <t>Male</t>
        </is>
      </c>
      <c r="E11" s="20" t="n">
        <v>13</v>
      </c>
      <c r="F11" s="20" t="inlineStr">
        <is>
          <t>50 Back</t>
        </is>
      </c>
      <c r="G11" s="20" t="n"/>
      <c r="H11" s="20" t="inlineStr">
        <is>
          <t>27.85</t>
        </is>
      </c>
      <c r="I11" s="20">
        <f>IF(H11="","",IF(ISNUMBER(SEARCH(":",H11)),VALUE(LEFT(H11,SEARCH(":",H11)-1))*60+VALUE(MID(H11,SEARCH(":",H11)+1,99)),VALUE(H11)))</f>
        <v/>
      </c>
      <c r="J11" s="20">
        <f>IF(OR(G11&lt;&gt;"",AND(H11&lt;&gt;"",INDEX(05_Record_Benchmarks!$N:$N,MATCH(A11,05_Record_Benchmarks!$A:$A,0))="YES")),"YES","NO")</f>
        <v/>
      </c>
      <c r="K11" s="20" t="inlineStr">
        <is>
          <t>Next-fastest time supplied in user workbook; swimmer name not yet supplied.</t>
        </is>
      </c>
      <c r="L11" s="40" t="n"/>
    </row>
    <row r="12" ht="15" customHeight="1" s="17">
      <c r="A12" s="20" t="inlineStr">
        <is>
          <t>NZ|SCM|M|13|100 Back</t>
        </is>
      </c>
      <c r="B12" s="20" t="n">
        <v>2</v>
      </c>
      <c r="C12" s="20" t="inlineStr">
        <is>
          <t>SCM</t>
        </is>
      </c>
      <c r="D12" s="20" t="inlineStr">
        <is>
          <t>Male</t>
        </is>
      </c>
      <c r="E12" s="20" t="n">
        <v>13</v>
      </c>
      <c r="F12" s="20" t="inlineStr">
        <is>
          <t>100 Back</t>
        </is>
      </c>
      <c r="G12" s="20" t="n"/>
      <c r="H12" s="20" t="inlineStr">
        <is>
          <t>59.33</t>
        </is>
      </c>
      <c r="I12" s="20">
        <f>IF(H12="","",IF(ISNUMBER(SEARCH(":",H12)),VALUE(LEFT(H12,SEARCH(":",H12)-1))*60+VALUE(MID(H12,SEARCH(":",H12)+1,99)),VALUE(H12)))</f>
        <v/>
      </c>
      <c r="J12" s="20">
        <f>IF(OR(G12&lt;&gt;"",AND(H12&lt;&gt;"",INDEX(05_Record_Benchmarks!$N:$N,MATCH(A12,05_Record_Benchmarks!$A:$A,0))="YES")),"YES","NO")</f>
        <v/>
      </c>
      <c r="K12" s="20" t="inlineStr">
        <is>
          <t>Next-fastest time supplied in user workbook; swimmer name not yet supplied.</t>
        </is>
      </c>
      <c r="L12" s="40" t="n"/>
    </row>
    <row r="13" ht="15" customHeight="1" s="17">
      <c r="A13" s="20" t="inlineStr">
        <is>
          <t>NZ|SCM|M|13|200 Back</t>
        </is>
      </c>
      <c r="B13" s="20" t="n">
        <v>2</v>
      </c>
      <c r="C13" s="20" t="inlineStr">
        <is>
          <t>SCM</t>
        </is>
      </c>
      <c r="D13" s="20" t="inlineStr">
        <is>
          <t>Male</t>
        </is>
      </c>
      <c r="E13" s="20" t="n">
        <v>13</v>
      </c>
      <c r="F13" s="20" t="inlineStr">
        <is>
          <t>200 Back</t>
        </is>
      </c>
      <c r="G13" s="20" t="n"/>
      <c r="H13" s="20" t="inlineStr">
        <is>
          <t>2:08.16</t>
        </is>
      </c>
      <c r="I13" s="20">
        <f>IF(H13="","",IF(ISNUMBER(SEARCH(":",H13)),VALUE(LEFT(H13,SEARCH(":",H13)-1))*60+VALUE(MID(H13,SEARCH(":",H13)+1,99)),VALUE(H13)))</f>
        <v/>
      </c>
      <c r="J13" s="20">
        <f>IF(OR(G13&lt;&gt;"",AND(H13&lt;&gt;"",INDEX(05_Record_Benchmarks!$N:$N,MATCH(A13,05_Record_Benchmarks!$A:$A,0))="YES")),"YES","NO")</f>
        <v/>
      </c>
      <c r="K13" s="20" t="inlineStr">
        <is>
          <t>Next-fastest time supplied in user workbook; swimmer name not yet supplied.</t>
        </is>
      </c>
      <c r="L13" s="40" t="n"/>
    </row>
    <row r="14" ht="15" customHeight="1" s="17">
      <c r="A14" s="20" t="inlineStr">
        <is>
          <t>NZ|SCM|M|13|50 Breast</t>
        </is>
      </c>
      <c r="B14" s="20" t="n">
        <v>2</v>
      </c>
      <c r="C14" s="20" t="inlineStr">
        <is>
          <t>SCM</t>
        </is>
      </c>
      <c r="D14" s="20" t="inlineStr">
        <is>
          <t>Male</t>
        </is>
      </c>
      <c r="E14" s="20" t="n">
        <v>13</v>
      </c>
      <c r="F14" s="20" t="inlineStr">
        <is>
          <t>50 Breast</t>
        </is>
      </c>
      <c r="G14" s="20" t="n"/>
      <c r="H14" s="20" t="inlineStr">
        <is>
          <t>30.68</t>
        </is>
      </c>
      <c r="I14" s="20">
        <f>IF(H14="","",IF(ISNUMBER(SEARCH(":",H14)),VALUE(LEFT(H14,SEARCH(":",H14)-1))*60+VALUE(MID(H14,SEARCH(":",H14)+1,99)),VALUE(H14)))</f>
        <v/>
      </c>
      <c r="J14" s="20">
        <f>IF(OR(G14&lt;&gt;"",AND(H14&lt;&gt;"",INDEX(05_Record_Benchmarks!$N:$N,MATCH(A14,05_Record_Benchmarks!$A:$A,0))="YES")),"YES","NO")</f>
        <v/>
      </c>
      <c r="K14" s="20" t="inlineStr">
        <is>
          <t>Next-fastest time supplied in user workbook; swimmer name not yet supplied.</t>
        </is>
      </c>
      <c r="L14" s="40" t="n"/>
    </row>
    <row r="15" ht="15" customHeight="1" s="17">
      <c r="A15" s="20" t="inlineStr">
        <is>
          <t>NZ|SCM|M|13|100 Breast</t>
        </is>
      </c>
      <c r="B15" s="20" t="n">
        <v>2</v>
      </c>
      <c r="C15" s="20" t="inlineStr">
        <is>
          <t>SCM</t>
        </is>
      </c>
      <c r="D15" s="20" t="inlineStr">
        <is>
          <t>Male</t>
        </is>
      </c>
      <c r="E15" s="20" t="n">
        <v>13</v>
      </c>
      <c r="F15" s="20" t="inlineStr">
        <is>
          <t>100 Breast</t>
        </is>
      </c>
      <c r="G15" s="20" t="n"/>
      <c r="H15" s="20" t="inlineStr">
        <is>
          <t>1:06.77</t>
        </is>
      </c>
      <c r="I15" s="20">
        <f>IF(H15="","",IF(ISNUMBER(SEARCH(":",H15)),VALUE(LEFT(H15,SEARCH(":",H15)-1))*60+VALUE(MID(H15,SEARCH(":",H15)+1,99)),VALUE(H15)))</f>
        <v/>
      </c>
      <c r="J15" s="20">
        <f>IF(OR(G15&lt;&gt;"",AND(H15&lt;&gt;"",INDEX(05_Record_Benchmarks!$N:$N,MATCH(A15,05_Record_Benchmarks!$A:$A,0))="YES")),"YES","NO")</f>
        <v/>
      </c>
      <c r="K15" s="20" t="inlineStr">
        <is>
          <t>Next-fastest time supplied in user workbook; swimmer name not yet supplied.</t>
        </is>
      </c>
      <c r="L15" s="40" t="n"/>
    </row>
    <row r="16" ht="15" customHeight="1" s="17">
      <c r="A16" s="20" t="inlineStr">
        <is>
          <t>NZ|SCM|M|13|200 Breast</t>
        </is>
      </c>
      <c r="B16" s="20" t="n">
        <v>2</v>
      </c>
      <c r="C16" s="20" t="inlineStr">
        <is>
          <t>SCM</t>
        </is>
      </c>
      <c r="D16" s="20" t="inlineStr">
        <is>
          <t>Male</t>
        </is>
      </c>
      <c r="E16" s="20" t="n">
        <v>13</v>
      </c>
      <c r="F16" s="20" t="inlineStr">
        <is>
          <t>200 Breast</t>
        </is>
      </c>
      <c r="G16" s="20" t="n"/>
      <c r="H16" s="20" t="inlineStr">
        <is>
          <t>2:24.15</t>
        </is>
      </c>
      <c r="I16" s="20">
        <f>IF(H16="","",IF(ISNUMBER(SEARCH(":",H16)),VALUE(LEFT(H16,SEARCH(":",H16)-1))*60+VALUE(MID(H16,SEARCH(":",H16)+1,99)),VALUE(H16)))</f>
        <v/>
      </c>
      <c r="J16" s="20">
        <f>IF(OR(G16&lt;&gt;"",AND(H16&lt;&gt;"",INDEX(05_Record_Benchmarks!$N:$N,MATCH(A16,05_Record_Benchmarks!$A:$A,0))="YES")),"YES","NO")</f>
        <v/>
      </c>
      <c r="K16" s="20" t="inlineStr">
        <is>
          <t>Next-fastest time supplied in user workbook; swimmer name not yet supplied.</t>
        </is>
      </c>
      <c r="L16" s="40" t="n"/>
    </row>
    <row r="17" ht="15" customHeight="1" s="17">
      <c r="A17" s="20" t="inlineStr">
        <is>
          <t>NZ|SCM|M|13|50 Fly</t>
        </is>
      </c>
      <c r="B17" s="20" t="n">
        <v>2</v>
      </c>
      <c r="C17" s="20" t="inlineStr">
        <is>
          <t>SCM</t>
        </is>
      </c>
      <c r="D17" s="20" t="inlineStr">
        <is>
          <t>Male</t>
        </is>
      </c>
      <c r="E17" s="20" t="n">
        <v>13</v>
      </c>
      <c r="F17" s="20" t="inlineStr">
        <is>
          <t>50 Fly</t>
        </is>
      </c>
      <c r="G17" s="20" t="inlineStr">
        <is>
          <t>Taiko Torepe-Ormsby</t>
        </is>
      </c>
      <c r="H17" s="20" t="inlineStr">
        <is>
          <t>26.42</t>
        </is>
      </c>
      <c r="I17" s="20">
        <f>IF(H17="","",IF(ISNUMBER(SEARCH(":",H17)),VALUE(LEFT(H17,SEARCH(":",H17)-1))*60+VALUE(MID(H17,SEARCH(":",H17)+1,99)),VALUE(H17)))</f>
        <v/>
      </c>
      <c r="J17" s="20">
        <f>IF(OR(G17&lt;&gt;"",AND(H17&lt;&gt;"",INDEX(05_Record_Benchmarks!$N:$N,MATCH(A17,05_Record_Benchmarks!$A:$A,0))="YES")),"YES","NO")</f>
        <v/>
      </c>
      <c r="K17" s="20" t="inlineStr">
        <is>
          <t>Next-fastest time supplied in user workbook; swimmer name not yet supplied.</t>
        </is>
      </c>
      <c r="L17" s="40" t="n">
        <v>46303</v>
      </c>
    </row>
    <row r="18" ht="15" customHeight="1" s="17">
      <c r="A18" s="20" t="inlineStr">
        <is>
          <t>NZ|SCM|M|13|100 Fly</t>
        </is>
      </c>
      <c r="B18" s="20" t="n">
        <v>2</v>
      </c>
      <c r="C18" s="20" t="inlineStr">
        <is>
          <t>SCM</t>
        </is>
      </c>
      <c r="D18" s="20" t="inlineStr">
        <is>
          <t>Male</t>
        </is>
      </c>
      <c r="E18" s="20" t="n">
        <v>13</v>
      </c>
      <c r="F18" s="20" t="inlineStr">
        <is>
          <t>100 Fly</t>
        </is>
      </c>
      <c r="G18" s="20" t="inlineStr">
        <is>
          <t>Mason Wang</t>
        </is>
      </c>
      <c r="H18" s="20" t="inlineStr">
        <is>
          <t>58.99</t>
        </is>
      </c>
      <c r="I18" s="20">
        <f>IF(H18="","",IF(ISNUMBER(SEARCH(":",H18)),VALUE(LEFT(H18,SEARCH(":",H18)-1))*60+VALUE(MID(H18,SEARCH(":",H18)+1,99)),VALUE(H18)))</f>
        <v/>
      </c>
      <c r="J18" s="20">
        <f>IF(OR(G18&lt;&gt;"",AND(H18&lt;&gt;"",INDEX(05_Record_Benchmarks!$N:$N,MATCH(A18,05_Record_Benchmarks!$A:$A,0))="YES")),"YES","NO")</f>
        <v/>
      </c>
      <c r="K18" s="20" t="inlineStr">
        <is>
          <t>Next-fastest time supplied in user workbook; swimmer name not yet supplied.</t>
        </is>
      </c>
      <c r="L18" s="40" t="n">
        <v>46303</v>
      </c>
    </row>
    <row r="19" ht="15" customHeight="1" s="17">
      <c r="A19" s="20" t="inlineStr">
        <is>
          <t>NZ|SCM|M|13|200 Fly</t>
        </is>
      </c>
      <c r="B19" s="20" t="n">
        <v>2</v>
      </c>
      <c r="C19" s="20" t="inlineStr">
        <is>
          <t>SCM</t>
        </is>
      </c>
      <c r="D19" s="20" t="inlineStr">
        <is>
          <t>Male</t>
        </is>
      </c>
      <c r="E19" s="20" t="n">
        <v>13</v>
      </c>
      <c r="F19" s="20" t="inlineStr">
        <is>
          <t>200 Fly</t>
        </is>
      </c>
      <c r="G19" s="20" t="n"/>
      <c r="H19" s="20" t="inlineStr">
        <is>
          <t>2:11.88</t>
        </is>
      </c>
      <c r="I19" s="20">
        <f>IF(H19="","",IF(ISNUMBER(SEARCH(":",H19)),VALUE(LEFT(H19,SEARCH(":",H19)-1))*60+VALUE(MID(H19,SEARCH(":",H19)+1,99)),VALUE(H19)))</f>
        <v/>
      </c>
      <c r="J19" s="20">
        <f>IF(OR(G19&lt;&gt;"",AND(H19&lt;&gt;"",INDEX(05_Record_Benchmarks!$N:$N,MATCH(A19,05_Record_Benchmarks!$A:$A,0))="YES")),"YES","NO")</f>
        <v/>
      </c>
      <c r="K19" s="20" t="inlineStr">
        <is>
          <t>Next-fastest time supplied in user workbook; swimmer name not yet supplied.</t>
        </is>
      </c>
      <c r="L19" s="40" t="n"/>
    </row>
    <row r="20" ht="15" customHeight="1" s="17">
      <c r="A20" s="20" t="inlineStr">
        <is>
          <t>NZ|SCM|M|13|100 IM</t>
        </is>
      </c>
      <c r="B20" s="20" t="n">
        <v>2</v>
      </c>
      <c r="C20" s="20" t="inlineStr">
        <is>
          <t>SCM</t>
        </is>
      </c>
      <c r="D20" s="20" t="inlineStr">
        <is>
          <t>Male</t>
        </is>
      </c>
      <c r="E20" s="20" t="n">
        <v>13</v>
      </c>
      <c r="F20" s="20" t="inlineStr">
        <is>
          <t>100 IM</t>
        </is>
      </c>
      <c r="G20" s="20" t="inlineStr">
        <is>
          <t>Mitchell Donaldson</t>
        </is>
      </c>
      <c r="H20" s="20" t="inlineStr">
        <is>
          <t>1:01.46</t>
        </is>
      </c>
      <c r="I20" s="20">
        <f>IF(H20="","",IF(ISNUMBER(SEARCH(":",H20)),VALUE(LEFT(H20,SEARCH(":",H20)-1))*60+VALUE(MID(H20,SEARCH(":",H20)+1,99)),VALUE(H20)))</f>
        <v/>
      </c>
      <c r="J20" s="20">
        <f>IF(OR(G20&lt;&gt;"",AND(H20&lt;&gt;"",INDEX(05_Record_Benchmarks!$N:$N,MATCH(A20,05_Record_Benchmarks!$A:$A,0))="YES")),"YES","NO")</f>
        <v/>
      </c>
      <c r="K20" s="20" t="inlineStr">
        <is>
          <t>Next-fastest time supplied in user workbook; swimmer name not yet supplied.</t>
        </is>
      </c>
      <c r="L20" s="40" t="n">
        <v>46303</v>
      </c>
    </row>
    <row r="21" ht="15" customHeight="1" s="17">
      <c r="A21" s="20" t="inlineStr">
        <is>
          <t>NZ|SCM|M|13|200 IM</t>
        </is>
      </c>
      <c r="B21" s="20" t="n">
        <v>2</v>
      </c>
      <c r="C21" s="20" t="inlineStr">
        <is>
          <t>SCM</t>
        </is>
      </c>
      <c r="D21" s="20" t="inlineStr">
        <is>
          <t>Male</t>
        </is>
      </c>
      <c r="E21" s="20" t="n">
        <v>13</v>
      </c>
      <c r="F21" s="20" t="inlineStr">
        <is>
          <t>200 IM</t>
        </is>
      </c>
      <c r="G21" s="20" t="inlineStr">
        <is>
          <t>Ariel Muchirahondo</t>
        </is>
      </c>
      <c r="H21" s="20" t="inlineStr">
        <is>
          <t>2:12.85</t>
        </is>
      </c>
      <c r="I21" s="20">
        <f>IF(H21="","",IF(ISNUMBER(SEARCH(":",H21)),VALUE(LEFT(H21,SEARCH(":",H21)-1))*60+VALUE(MID(H21,SEARCH(":",H21)+1,99)),VALUE(H21)))</f>
        <v/>
      </c>
      <c r="J21" s="20">
        <f>IF(OR(G21&lt;&gt;"",AND(H21&lt;&gt;"",INDEX(05_Record_Benchmarks!$N:$N,MATCH(A21,05_Record_Benchmarks!$A:$A,0))="YES")),"YES","NO")</f>
        <v/>
      </c>
      <c r="K21" s="20" t="inlineStr">
        <is>
          <t>Next-fastest time supplied in user workbook; swimmer name not yet supplied.</t>
        </is>
      </c>
      <c r="L21" s="40" t="n">
        <v>46303</v>
      </c>
    </row>
    <row r="22" ht="15" customHeight="1" s="17">
      <c r="A22" s="20" t="inlineStr">
        <is>
          <t>NZ|SCM|M|13|400 IM</t>
        </is>
      </c>
      <c r="B22" s="20" t="n">
        <v>2</v>
      </c>
      <c r="C22" s="20" t="inlineStr">
        <is>
          <t>SCM</t>
        </is>
      </c>
      <c r="D22" s="20" t="inlineStr">
        <is>
          <t>Male</t>
        </is>
      </c>
      <c r="E22" s="20" t="n">
        <v>13</v>
      </c>
      <c r="F22" s="20" t="inlineStr">
        <is>
          <t>400 IM</t>
        </is>
      </c>
      <c r="G22" s="20" t="n"/>
      <c r="H22" s="20" t="inlineStr">
        <is>
          <t>4:40.81</t>
        </is>
      </c>
      <c r="I22" s="20">
        <f>IF(H22="","",IF(ISNUMBER(SEARCH(":",H22)),VALUE(LEFT(H22,SEARCH(":",H22)-1))*60+VALUE(MID(H22,SEARCH(":",H22)+1,99)),VALUE(H22)))</f>
        <v/>
      </c>
      <c r="J22" s="20">
        <f>IF(OR(G22&lt;&gt;"",AND(H22&lt;&gt;"",INDEX(05_Record_Benchmarks!$N:$N,MATCH(A22,05_Record_Benchmarks!$A:$A,0))="YES")),"YES","NO")</f>
        <v/>
      </c>
      <c r="K22" s="20" t="inlineStr">
        <is>
          <t>Next-fastest time supplied in user workbook; swimmer name not yet supplied.</t>
        </is>
      </c>
      <c r="L22" s="40" t="n"/>
    </row>
    <row r="23" ht="15" customHeight="1" s="17">
      <c r="A23" s="20" t="inlineStr">
        <is>
          <t>NZ|SCM|M|14|50 Free</t>
        </is>
      </c>
      <c r="B23" s="20" t="n">
        <v>2</v>
      </c>
      <c r="C23" s="20" t="inlineStr">
        <is>
          <t>SCM</t>
        </is>
      </c>
      <c r="D23" s="20" t="inlineStr">
        <is>
          <t>Male</t>
        </is>
      </c>
      <c r="E23" s="20" t="n">
        <v>14</v>
      </c>
      <c r="F23" s="20" t="inlineStr">
        <is>
          <t>50 Free</t>
        </is>
      </c>
      <c r="G23" s="20" t="n"/>
      <c r="H23" s="20" t="inlineStr">
        <is>
          <t>23.55</t>
        </is>
      </c>
      <c r="I23" s="20">
        <f>IF(H23="","",IF(ISNUMBER(SEARCH(":",H23)),VALUE(LEFT(H23,SEARCH(":",H23)-1))*60+VALUE(MID(H23,SEARCH(":",H23)+1,99)),VALUE(H23)))</f>
        <v/>
      </c>
      <c r="J23" s="20">
        <f>IF(OR(G23&lt;&gt;"",AND(H23&lt;&gt;"",INDEX(05_Record_Benchmarks!$N:$N,MATCH(A23,05_Record_Benchmarks!$A:$A,0))="YES")),"YES","NO")</f>
        <v/>
      </c>
      <c r="K23" s="20" t="inlineStr">
        <is>
          <t>Next-fastest time supplied in user workbook; swimmer name not yet supplied.</t>
        </is>
      </c>
      <c r="L23" s="40" t="n"/>
    </row>
    <row r="24" ht="15" customHeight="1" s="17">
      <c r="A24" s="20" t="inlineStr">
        <is>
          <t>NZ|SCM|M|14|100 Free</t>
        </is>
      </c>
      <c r="B24" s="20" t="n">
        <v>2</v>
      </c>
      <c r="C24" s="20" t="inlineStr">
        <is>
          <t>SCM</t>
        </is>
      </c>
      <c r="D24" s="20" t="inlineStr">
        <is>
          <t>Male</t>
        </is>
      </c>
      <c r="E24" s="20" t="n">
        <v>14</v>
      </c>
      <c r="F24" s="20" t="inlineStr">
        <is>
          <t>100 Free</t>
        </is>
      </c>
      <c r="G24" s="20" t="n"/>
      <c r="H24" s="20" t="inlineStr">
        <is>
          <t>51.42</t>
        </is>
      </c>
      <c r="I24" s="20">
        <f>IF(H24="","",IF(ISNUMBER(SEARCH(":",H24)),VALUE(LEFT(H24,SEARCH(":",H24)-1))*60+VALUE(MID(H24,SEARCH(":",H24)+1,99)),VALUE(H24)))</f>
        <v/>
      </c>
      <c r="J24" s="20">
        <f>IF(OR(G24&lt;&gt;"",AND(H24&lt;&gt;"",INDEX(05_Record_Benchmarks!$N:$N,MATCH(A24,05_Record_Benchmarks!$A:$A,0))="YES")),"YES","NO")</f>
        <v/>
      </c>
      <c r="K24" s="20" t="inlineStr">
        <is>
          <t>Next-fastest time supplied in user workbook; swimmer name not yet supplied.</t>
        </is>
      </c>
      <c r="L24" s="40" t="n"/>
    </row>
    <row r="25" ht="15" customHeight="1" s="17">
      <c r="A25" s="20" t="inlineStr">
        <is>
          <t>NZ|SCM|M|14|200 Free</t>
        </is>
      </c>
      <c r="B25" s="20" t="n">
        <v>2</v>
      </c>
      <c r="C25" s="20" t="inlineStr">
        <is>
          <t>SCM</t>
        </is>
      </c>
      <c r="D25" s="20" t="inlineStr">
        <is>
          <t>Male</t>
        </is>
      </c>
      <c r="E25" s="20" t="n">
        <v>14</v>
      </c>
      <c r="F25" s="20" t="inlineStr">
        <is>
          <t>200 Free</t>
        </is>
      </c>
      <c r="G25" s="20" t="inlineStr">
        <is>
          <t>Leo English</t>
        </is>
      </c>
      <c r="H25" s="20" t="inlineStr">
        <is>
          <t>1:52.58</t>
        </is>
      </c>
      <c r="I25" s="20">
        <f>IF(H25="","",IF(ISNUMBER(SEARCH(":",H25)),VALUE(LEFT(H25,SEARCH(":",H25)-1))*60+VALUE(MID(H25,SEARCH(":",H25)+1,99)),VALUE(H25)))</f>
        <v/>
      </c>
      <c r="J25" s="20">
        <f>IF(OR(G25&lt;&gt;"",AND(H25&lt;&gt;"",INDEX(05_Record_Benchmarks!$N:$N,MATCH(A25,05_Record_Benchmarks!$A:$A,0))="YES")),"YES","NO")</f>
        <v/>
      </c>
      <c r="K25" s="20" t="inlineStr">
        <is>
          <t>Next-fastest time supplied in user workbook; swimmer name not yet supplied.</t>
        </is>
      </c>
      <c r="L25" s="40" t="n">
        <v>46303</v>
      </c>
    </row>
    <row r="26" ht="15" customHeight="1" s="17">
      <c r="A26" s="20" t="inlineStr">
        <is>
          <t>NZ|SCM|M|14|400 Free</t>
        </is>
      </c>
      <c r="B26" s="20" t="n">
        <v>2</v>
      </c>
      <c r="C26" s="20" t="inlineStr">
        <is>
          <t>SCM</t>
        </is>
      </c>
      <c r="D26" s="20" t="inlineStr">
        <is>
          <t>Male</t>
        </is>
      </c>
      <c r="E26" s="20" t="n">
        <v>14</v>
      </c>
      <c r="F26" s="20" t="inlineStr">
        <is>
          <t>400 Free</t>
        </is>
      </c>
      <c r="G26" s="20" t="n"/>
      <c r="H26" s="20" t="inlineStr">
        <is>
          <t>3:59.92</t>
        </is>
      </c>
      <c r="I26" s="20">
        <f>IF(H26="","",IF(ISNUMBER(SEARCH(":",H26)),VALUE(LEFT(H26,SEARCH(":",H26)-1))*60+VALUE(MID(H26,SEARCH(":",H26)+1,99)),VALUE(H26)))</f>
        <v/>
      </c>
      <c r="J26" s="20">
        <f>IF(OR(G26&lt;&gt;"",AND(H26&lt;&gt;"",INDEX(05_Record_Benchmarks!$N:$N,MATCH(A26,05_Record_Benchmarks!$A:$A,0))="YES")),"YES","NO")</f>
        <v/>
      </c>
      <c r="K26" s="20" t="inlineStr">
        <is>
          <t>Next-fastest time supplied in user workbook; swimmer name not yet supplied.</t>
        </is>
      </c>
      <c r="L26" s="40" t="n"/>
    </row>
    <row r="27" ht="15" customHeight="1" s="17">
      <c r="A27" s="20" t="inlineStr">
        <is>
          <t>NZ|SCM|M|14|800 Free</t>
        </is>
      </c>
      <c r="B27" s="20" t="n">
        <v>2</v>
      </c>
      <c r="C27" s="20" t="inlineStr">
        <is>
          <t>SCM</t>
        </is>
      </c>
      <c r="D27" s="20" t="inlineStr">
        <is>
          <t>Male</t>
        </is>
      </c>
      <c r="E27" s="20" t="n">
        <v>14</v>
      </c>
      <c r="F27" s="20" t="inlineStr">
        <is>
          <t>800 Free</t>
        </is>
      </c>
      <c r="G27" s="20" t="n"/>
      <c r="H27" s="20" t="inlineStr">
        <is>
          <t>8:21.35</t>
        </is>
      </c>
      <c r="I27" s="20">
        <f>IF(H27="","",IF(ISNUMBER(SEARCH(":",H27)),VALUE(LEFT(H27,SEARCH(":",H27)-1))*60+VALUE(MID(H27,SEARCH(":",H27)+1,99)),VALUE(H27)))</f>
        <v/>
      </c>
      <c r="J27" s="20">
        <f>IF(OR(G27&lt;&gt;"",AND(H27&lt;&gt;"",INDEX(05_Record_Benchmarks!$N:$N,MATCH(A27,05_Record_Benchmarks!$A:$A,0))="YES")),"YES","NO")</f>
        <v/>
      </c>
      <c r="K27" s="20" t="inlineStr">
        <is>
          <t>Next-fastest time supplied in user workbook; swimmer name not yet supplied.</t>
        </is>
      </c>
      <c r="L27" s="40" t="n"/>
    </row>
    <row r="28" ht="15" customHeight="1" s="17">
      <c r="A28" s="20" t="inlineStr">
        <is>
          <t>NZ|SCM|M|14|1500 Free</t>
        </is>
      </c>
      <c r="B28" s="20" t="n">
        <v>2</v>
      </c>
      <c r="C28" s="20" t="inlineStr">
        <is>
          <t>SCM</t>
        </is>
      </c>
      <c r="D28" s="20" t="inlineStr">
        <is>
          <t>Male</t>
        </is>
      </c>
      <c r="E28" s="20" t="n">
        <v>14</v>
      </c>
      <c r="F28" s="20" t="inlineStr">
        <is>
          <t>1500 Free</t>
        </is>
      </c>
      <c r="G28" s="20" t="n"/>
      <c r="H28" s="20" t="inlineStr">
        <is>
          <t>15:47.26</t>
        </is>
      </c>
      <c r="I28" s="20">
        <f>IF(H28="","",IF(ISNUMBER(SEARCH(":",H28)),VALUE(LEFT(H28,SEARCH(":",H28)-1))*60+VALUE(MID(H28,SEARCH(":",H28)+1,99)),VALUE(H28)))</f>
        <v/>
      </c>
      <c r="J28" s="20">
        <f>IF(OR(G28&lt;&gt;"",AND(H28&lt;&gt;"",INDEX(05_Record_Benchmarks!$N:$N,MATCH(A28,05_Record_Benchmarks!$A:$A,0))="YES")),"YES","NO")</f>
        <v/>
      </c>
      <c r="K28" s="20" t="inlineStr">
        <is>
          <t>Next-fastest time supplied in user workbook; swimmer name not yet supplied.</t>
        </is>
      </c>
      <c r="L28" s="40" t="n"/>
    </row>
    <row r="29" ht="15" customHeight="1" s="17">
      <c r="A29" s="20" t="inlineStr">
        <is>
          <t>NZ|SCM|M|14|50 Back</t>
        </is>
      </c>
      <c r="B29" s="20" t="n">
        <v>2</v>
      </c>
      <c r="C29" s="20" t="inlineStr">
        <is>
          <t>SCM</t>
        </is>
      </c>
      <c r="D29" s="20" t="inlineStr">
        <is>
          <t>Male</t>
        </is>
      </c>
      <c r="E29" s="20" t="n">
        <v>14</v>
      </c>
      <c r="F29" s="20" t="inlineStr">
        <is>
          <t>50 Back</t>
        </is>
      </c>
      <c r="G29" s="20" t="n"/>
      <c r="H29" s="20" t="inlineStr">
        <is>
          <t>26.44</t>
        </is>
      </c>
      <c r="I29" s="20">
        <f>IF(H29="","",IF(ISNUMBER(SEARCH(":",H29)),VALUE(LEFT(H29,SEARCH(":",H29)-1))*60+VALUE(MID(H29,SEARCH(":",H29)+1,99)),VALUE(H29)))</f>
        <v/>
      </c>
      <c r="J29" s="20">
        <f>IF(OR(G29&lt;&gt;"",AND(H29&lt;&gt;"",INDEX(05_Record_Benchmarks!$N:$N,MATCH(A29,05_Record_Benchmarks!$A:$A,0))="YES")),"YES","NO")</f>
        <v/>
      </c>
      <c r="K29" s="20" t="inlineStr">
        <is>
          <t>Next-fastest time supplied in user workbook; swimmer name not yet supplied.</t>
        </is>
      </c>
      <c r="L29" s="40" t="n"/>
    </row>
    <row r="30" ht="15" customHeight="1" s="17">
      <c r="A30" s="20" t="inlineStr">
        <is>
          <t>NZ|SCM|M|14|100 Back</t>
        </is>
      </c>
      <c r="B30" s="20" t="n">
        <v>2</v>
      </c>
      <c r="C30" s="20" t="inlineStr">
        <is>
          <t>SCM</t>
        </is>
      </c>
      <c r="D30" s="20" t="inlineStr">
        <is>
          <t>Male</t>
        </is>
      </c>
      <c r="E30" s="20" t="n">
        <v>14</v>
      </c>
      <c r="F30" s="20" t="inlineStr">
        <is>
          <t>100 Back</t>
        </is>
      </c>
      <c r="G30" s="20" t="n"/>
      <c r="H30" s="20" t="inlineStr">
        <is>
          <t>56.57</t>
        </is>
      </c>
      <c r="I30" s="20">
        <f>IF(H30="","",IF(ISNUMBER(SEARCH(":",H30)),VALUE(LEFT(H30,SEARCH(":",H30)-1))*60+VALUE(MID(H30,SEARCH(":",H30)+1,99)),VALUE(H30)))</f>
        <v/>
      </c>
      <c r="J30" s="20">
        <f>IF(OR(G30&lt;&gt;"",AND(H30&lt;&gt;"",INDEX(05_Record_Benchmarks!$N:$N,MATCH(A30,05_Record_Benchmarks!$A:$A,0))="YES")),"YES","NO")</f>
        <v/>
      </c>
      <c r="K30" s="20" t="inlineStr">
        <is>
          <t>Next-fastest time supplied in user workbook; swimmer name not yet supplied.</t>
        </is>
      </c>
      <c r="L30" s="40" t="n"/>
    </row>
    <row r="31" ht="15" customHeight="1" s="17">
      <c r="A31" s="20" t="inlineStr">
        <is>
          <t>NZ|SCM|M|14|200 Back</t>
        </is>
      </c>
      <c r="B31" s="20" t="n">
        <v>2</v>
      </c>
      <c r="C31" s="20" t="inlineStr">
        <is>
          <t>SCM</t>
        </is>
      </c>
      <c r="D31" s="20" t="inlineStr">
        <is>
          <t>Male</t>
        </is>
      </c>
      <c r="E31" s="20" t="n">
        <v>14</v>
      </c>
      <c r="F31" s="20" t="inlineStr">
        <is>
          <t>200 Back</t>
        </is>
      </c>
      <c r="G31" s="20" t="n"/>
      <c r="H31" s="20" t="inlineStr">
        <is>
          <t>2:03.18</t>
        </is>
      </c>
      <c r="I31" s="20">
        <f>IF(H31="","",IF(ISNUMBER(SEARCH(":",H31)),VALUE(LEFT(H31,SEARCH(":",H31)-1))*60+VALUE(MID(H31,SEARCH(":",H31)+1,99)),VALUE(H31)))</f>
        <v/>
      </c>
      <c r="J31" s="20">
        <f>IF(OR(G31&lt;&gt;"",AND(H31&lt;&gt;"",INDEX(05_Record_Benchmarks!$N:$N,MATCH(A31,05_Record_Benchmarks!$A:$A,0))="YES")),"YES","NO")</f>
        <v/>
      </c>
      <c r="K31" s="20" t="inlineStr">
        <is>
          <t>Next-fastest time supplied in user workbook; swimmer name not yet supplied.</t>
        </is>
      </c>
      <c r="L31" s="40" t="n"/>
    </row>
    <row r="32" ht="15" customHeight="1" s="17">
      <c r="A32" s="20" t="inlineStr">
        <is>
          <t>NZ|SCM|M|14|50 Breast</t>
        </is>
      </c>
      <c r="B32" s="20" t="n">
        <v>2</v>
      </c>
      <c r="C32" s="20" t="inlineStr">
        <is>
          <t>SCM</t>
        </is>
      </c>
      <c r="D32" s="20" t="inlineStr">
        <is>
          <t>Male</t>
        </is>
      </c>
      <c r="E32" s="20" t="n">
        <v>14</v>
      </c>
      <c r="F32" s="20" t="inlineStr">
        <is>
          <t>50 Breast</t>
        </is>
      </c>
      <c r="G32" s="20" t="n"/>
      <c r="H32" s="20" t="inlineStr">
        <is>
          <t>29.60</t>
        </is>
      </c>
      <c r="I32" s="20">
        <f>IF(H32="","",IF(ISNUMBER(SEARCH(":",H32)),VALUE(LEFT(H32,SEARCH(":",H32)-1))*60+VALUE(MID(H32,SEARCH(":",H32)+1,99)),VALUE(H32)))</f>
        <v/>
      </c>
      <c r="J32" s="20">
        <f>IF(OR(G32&lt;&gt;"",AND(H32&lt;&gt;"",INDEX(05_Record_Benchmarks!$N:$N,MATCH(A32,05_Record_Benchmarks!$A:$A,0))="YES")),"YES","NO")</f>
        <v/>
      </c>
      <c r="K32" s="20" t="inlineStr">
        <is>
          <t>Next-fastest time supplied in user workbook; swimmer name not yet supplied.</t>
        </is>
      </c>
      <c r="L32" s="40" t="n"/>
    </row>
    <row r="33" ht="15" customHeight="1" s="17">
      <c r="A33" s="20" t="inlineStr">
        <is>
          <t>NZ|SCM|M|14|100 Breast</t>
        </is>
      </c>
      <c r="B33" s="20" t="n">
        <v>2</v>
      </c>
      <c r="C33" s="20" t="inlineStr">
        <is>
          <t>SCM</t>
        </is>
      </c>
      <c r="D33" s="20" t="inlineStr">
        <is>
          <t>Male</t>
        </is>
      </c>
      <c r="E33" s="20" t="n">
        <v>14</v>
      </c>
      <c r="F33" s="20" t="inlineStr">
        <is>
          <t>100 Breast</t>
        </is>
      </c>
      <c r="G33" s="20" t="n"/>
      <c r="H33" s="20" t="inlineStr">
        <is>
          <t>1:04.92</t>
        </is>
      </c>
      <c r="I33" s="20">
        <f>IF(H33="","",IF(ISNUMBER(SEARCH(":",H33)),VALUE(LEFT(H33,SEARCH(":",H33)-1))*60+VALUE(MID(H33,SEARCH(":",H33)+1,99)),VALUE(H33)))</f>
        <v/>
      </c>
      <c r="J33" s="20">
        <f>IF(OR(G33&lt;&gt;"",AND(H33&lt;&gt;"",INDEX(05_Record_Benchmarks!$N:$N,MATCH(A33,05_Record_Benchmarks!$A:$A,0))="YES")),"YES","NO")</f>
        <v/>
      </c>
      <c r="K33" s="20" t="inlineStr">
        <is>
          <t>Next-fastest time supplied in user workbook; swimmer name not yet supplied.</t>
        </is>
      </c>
      <c r="L33" s="40" t="n"/>
    </row>
    <row r="34" ht="15" customHeight="1" s="17">
      <c r="A34" s="20" t="inlineStr">
        <is>
          <t>NZ|SCM|M|14|200 Breast</t>
        </is>
      </c>
      <c r="B34" s="20" t="n">
        <v>2</v>
      </c>
      <c r="C34" s="20" t="inlineStr">
        <is>
          <t>SCM</t>
        </is>
      </c>
      <c r="D34" s="20" t="inlineStr">
        <is>
          <t>Male</t>
        </is>
      </c>
      <c r="E34" s="20" t="n">
        <v>14</v>
      </c>
      <c r="F34" s="20" t="inlineStr">
        <is>
          <t>200 Breast</t>
        </is>
      </c>
      <c r="G34" s="20" t="n"/>
      <c r="H34" s="20" t="inlineStr">
        <is>
          <t>2:20.67</t>
        </is>
      </c>
      <c r="I34" s="20">
        <f>IF(H34="","",IF(ISNUMBER(SEARCH(":",H34)),VALUE(LEFT(H34,SEARCH(":",H34)-1))*60+VALUE(MID(H34,SEARCH(":",H34)+1,99)),VALUE(H34)))</f>
        <v/>
      </c>
      <c r="J34" s="20">
        <f>IF(OR(G34&lt;&gt;"",AND(H34&lt;&gt;"",INDEX(05_Record_Benchmarks!$N:$N,MATCH(A34,05_Record_Benchmarks!$A:$A,0))="YES")),"YES","NO")</f>
        <v/>
      </c>
      <c r="K34" s="20" t="inlineStr">
        <is>
          <t>Next-fastest time supplied in user workbook; swimmer name not yet supplied.</t>
        </is>
      </c>
      <c r="L34" s="40" t="n"/>
    </row>
    <row r="35" ht="15" customHeight="1" s="17">
      <c r="A35" s="20" t="inlineStr">
        <is>
          <t>NZ|SCM|M|14|50 Fly</t>
        </is>
      </c>
      <c r="B35" s="20" t="n">
        <v>2</v>
      </c>
      <c r="C35" s="20" t="inlineStr">
        <is>
          <t>SCM</t>
        </is>
      </c>
      <c r="D35" s="20" t="inlineStr">
        <is>
          <t>Male</t>
        </is>
      </c>
      <c r="E35" s="20" t="n">
        <v>14</v>
      </c>
      <c r="F35" s="20" t="inlineStr">
        <is>
          <t>50 Fly</t>
        </is>
      </c>
      <c r="G35" s="20" t="inlineStr">
        <is>
          <t>Kento Wangford</t>
        </is>
      </c>
      <c r="H35" s="20" t="inlineStr">
        <is>
          <t>25.60</t>
        </is>
      </c>
      <c r="I35" s="20">
        <f>IF(H35="","",IF(ISNUMBER(SEARCH(":",H35)),VALUE(LEFT(H35,SEARCH(":",H35)-1))*60+VALUE(MID(H35,SEARCH(":",H35)+1,99)),VALUE(H35)))</f>
        <v/>
      </c>
      <c r="J35" s="20">
        <f>IF(OR(G35&lt;&gt;"",AND(H35&lt;&gt;"",INDEX(05_Record_Benchmarks!$N:$N,MATCH(A35,05_Record_Benchmarks!$A:$A,0))="YES")),"YES","NO")</f>
        <v/>
      </c>
      <c r="K35" s="20" t="inlineStr">
        <is>
          <t>Auto-set from displaced NZ record after NZSC 2026.</t>
        </is>
      </c>
      <c r="L35" s="40" t="n">
        <v>46303</v>
      </c>
    </row>
    <row r="36" ht="15" customHeight="1" s="17">
      <c r="A36" s="20" t="inlineStr">
        <is>
          <t>NZ|SCM|M|14|100 Fly</t>
        </is>
      </c>
      <c r="B36" s="20" t="n">
        <v>2</v>
      </c>
      <c r="C36" s="20" t="inlineStr">
        <is>
          <t>SCM</t>
        </is>
      </c>
      <c r="D36" s="20" t="inlineStr">
        <is>
          <t>Male</t>
        </is>
      </c>
      <c r="E36" s="20" t="n">
        <v>14</v>
      </c>
      <c r="F36" s="20" t="inlineStr">
        <is>
          <t>100 Fly</t>
        </is>
      </c>
      <c r="G36" s="20" t="inlineStr">
        <is>
          <t>Jacob Humphries</t>
        </is>
      </c>
      <c r="H36" s="20" t="inlineStr">
        <is>
          <t>57.22</t>
        </is>
      </c>
      <c r="I36" s="20">
        <f>IF(H36="","",IF(ISNUMBER(SEARCH(":",H36)),VALUE(LEFT(H36,SEARCH(":",H36)-1))*60+VALUE(MID(H36,SEARCH(":",H36)+1,99)),VALUE(H36)))</f>
        <v/>
      </c>
      <c r="J36" s="20">
        <f>IF(OR(G36&lt;&gt;"",AND(H36&lt;&gt;"",INDEX(05_Record_Benchmarks!$N:$N,MATCH(A36,05_Record_Benchmarks!$A:$A,0))="YES")),"YES","NO")</f>
        <v/>
      </c>
      <c r="K36" s="20" t="inlineStr">
        <is>
          <t>Auto-set from displaced NZ record after NZSC 2026.</t>
        </is>
      </c>
      <c r="L36" s="40" t="n">
        <v>46303</v>
      </c>
    </row>
    <row r="37" ht="15" customHeight="1" s="17">
      <c r="A37" s="20" t="inlineStr">
        <is>
          <t>NZ|SCM|M|14|200 Fly</t>
        </is>
      </c>
      <c r="B37" s="20" t="n">
        <v>2</v>
      </c>
      <c r="C37" s="20" t="inlineStr">
        <is>
          <t>SCM</t>
        </is>
      </c>
      <c r="D37" s="20" t="inlineStr">
        <is>
          <t>Male</t>
        </is>
      </c>
      <c r="E37" s="20" t="n">
        <v>14</v>
      </c>
      <c r="F37" s="20" t="inlineStr">
        <is>
          <t>200 Fly</t>
        </is>
      </c>
      <c r="G37" s="20" t="n"/>
      <c r="H37" s="20" t="inlineStr">
        <is>
          <t>2:05.29</t>
        </is>
      </c>
      <c r="I37" s="20">
        <f>IF(H37="","",IF(ISNUMBER(SEARCH(":",H37)),VALUE(LEFT(H37,SEARCH(":",H37)-1))*60+VALUE(MID(H37,SEARCH(":",H37)+1,99)),VALUE(H37)))</f>
        <v/>
      </c>
      <c r="J37" s="20">
        <f>IF(OR(G37&lt;&gt;"",AND(H37&lt;&gt;"",INDEX(05_Record_Benchmarks!$N:$N,MATCH(A37,05_Record_Benchmarks!$A:$A,0))="YES")),"YES","NO")</f>
        <v/>
      </c>
      <c r="K37" s="20" t="inlineStr">
        <is>
          <t>Next-fastest time supplied in user workbook; swimmer name not yet supplied.</t>
        </is>
      </c>
      <c r="L37" s="40" t="n"/>
    </row>
    <row r="38" ht="15" customHeight="1" s="17">
      <c r="A38" s="20" t="inlineStr">
        <is>
          <t>NZ|SCM|M|14|100 IM</t>
        </is>
      </c>
      <c r="B38" s="20" t="n">
        <v>2</v>
      </c>
      <c r="C38" s="20" t="inlineStr">
        <is>
          <t>SCM</t>
        </is>
      </c>
      <c r="D38" s="20" t="inlineStr">
        <is>
          <t>Male</t>
        </is>
      </c>
      <c r="E38" s="20" t="n">
        <v>14</v>
      </c>
      <c r="F38" s="20" t="inlineStr">
        <is>
          <t>100 IM</t>
        </is>
      </c>
      <c r="G38" s="20" t="inlineStr">
        <is>
          <t>Kevin Zhang</t>
        </is>
      </c>
      <c r="H38" s="20" t="inlineStr">
        <is>
          <t>58.70</t>
        </is>
      </c>
      <c r="I38" s="20">
        <f>IF(H38="","",IF(ISNUMBER(SEARCH(":",H38)),VALUE(LEFT(H38,SEARCH(":",H38)-1))*60+VALUE(MID(H38,SEARCH(":",H38)+1,99)),VALUE(H38)))</f>
        <v/>
      </c>
      <c r="J38" s="20">
        <f>IF(OR(G38&lt;&gt;"",AND(H38&lt;&gt;"",INDEX(05_Record_Benchmarks!$N:$N,MATCH(A38,05_Record_Benchmarks!$A:$A,0))="YES")),"YES","NO")</f>
        <v/>
      </c>
      <c r="K38" s="20" t="inlineStr">
        <is>
          <t>Auto-set from displaced NZ record after NZSC 2026.</t>
        </is>
      </c>
      <c r="L38" s="40" t="n">
        <v>46303</v>
      </c>
    </row>
    <row r="39" ht="15" customHeight="1" s="17">
      <c r="A39" s="20" t="inlineStr">
        <is>
          <t>NZ|SCM|M|14|200 IM</t>
        </is>
      </c>
      <c r="B39" s="20" t="n">
        <v>2</v>
      </c>
      <c r="C39" s="20" t="inlineStr">
        <is>
          <t>SCM</t>
        </is>
      </c>
      <c r="D39" s="20" t="inlineStr">
        <is>
          <t>Male</t>
        </is>
      </c>
      <c r="E39" s="20" t="n">
        <v>14</v>
      </c>
      <c r="F39" s="20" t="inlineStr">
        <is>
          <t>200 IM</t>
        </is>
      </c>
      <c r="G39" s="20" t="n"/>
      <c r="H39" s="20" t="inlineStr">
        <is>
          <t>2:08.37</t>
        </is>
      </c>
      <c r="I39" s="20">
        <f>IF(H39="","",IF(ISNUMBER(SEARCH(":",H39)),VALUE(LEFT(H39,SEARCH(":",H39)-1))*60+VALUE(MID(H39,SEARCH(":",H39)+1,99)),VALUE(H39)))</f>
        <v/>
      </c>
      <c r="J39" s="20">
        <f>IF(OR(G39&lt;&gt;"",AND(H39&lt;&gt;"",INDEX(05_Record_Benchmarks!$N:$N,MATCH(A39,05_Record_Benchmarks!$A:$A,0))="YES")),"YES","NO")</f>
        <v/>
      </c>
      <c r="K39" s="20" t="inlineStr">
        <is>
          <t>Next-fastest time supplied in user workbook; swimmer name not yet supplied.</t>
        </is>
      </c>
      <c r="L39" s="40" t="n"/>
    </row>
    <row r="40" ht="15" customHeight="1" s="17">
      <c r="A40" s="20" t="inlineStr">
        <is>
          <t>NZ|SCM|M|14|400 IM</t>
        </is>
      </c>
      <c r="B40" s="20" t="n">
        <v>2</v>
      </c>
      <c r="C40" s="20" t="inlineStr">
        <is>
          <t>SCM</t>
        </is>
      </c>
      <c r="D40" s="20" t="inlineStr">
        <is>
          <t>Male</t>
        </is>
      </c>
      <c r="E40" s="20" t="n">
        <v>14</v>
      </c>
      <c r="F40" s="20" t="inlineStr">
        <is>
          <t>400 IM</t>
        </is>
      </c>
      <c r="G40" s="20" t="n"/>
      <c r="H40" s="20" t="inlineStr">
        <is>
          <t>4:30.48</t>
        </is>
      </c>
      <c r="I40" s="20">
        <f>IF(H40="","",IF(ISNUMBER(SEARCH(":",H40)),VALUE(LEFT(H40,SEARCH(":",H40)-1))*60+VALUE(MID(H40,SEARCH(":",H40)+1,99)),VALUE(H40)))</f>
        <v/>
      </c>
      <c r="J40" s="20">
        <f>IF(OR(G40&lt;&gt;"",AND(H40&lt;&gt;"",INDEX(05_Record_Benchmarks!$N:$N,MATCH(A40,05_Record_Benchmarks!$A:$A,0))="YES")),"YES","NO")</f>
        <v/>
      </c>
      <c r="K40" s="20" t="inlineStr">
        <is>
          <t>Next-fastest time supplied in user workbook; swimmer name not yet supplied.</t>
        </is>
      </c>
      <c r="L40" s="40" t="n"/>
    </row>
    <row r="41" ht="15" customHeight="1" s="17">
      <c r="A41" s="20" t="inlineStr">
        <is>
          <t>NZ|SCM|M|15|50 Free</t>
        </is>
      </c>
      <c r="B41" s="20" t="n">
        <v>2</v>
      </c>
      <c r="C41" s="20" t="inlineStr">
        <is>
          <t>SCM</t>
        </is>
      </c>
      <c r="D41" s="20" t="inlineStr">
        <is>
          <t>Male</t>
        </is>
      </c>
      <c r="E41" s="20" t="n">
        <v>15</v>
      </c>
      <c r="F41" s="20" t="inlineStr">
        <is>
          <t>50 Free</t>
        </is>
      </c>
      <c r="G41" s="20" t="n"/>
      <c r="H41" s="20" t="inlineStr">
        <is>
          <t>23.15</t>
        </is>
      </c>
      <c r="I41" s="20">
        <f>IF(H41="","",IF(ISNUMBER(SEARCH(":",H41)),VALUE(LEFT(H41,SEARCH(":",H41)-1))*60+VALUE(MID(H41,SEARCH(":",H41)+1,99)),VALUE(H41)))</f>
        <v/>
      </c>
      <c r="J41" s="20">
        <f>IF(OR(G41&lt;&gt;"",AND(H41&lt;&gt;"",INDEX(05_Record_Benchmarks!$N:$N,MATCH(A41,05_Record_Benchmarks!$A:$A,0))="YES")),"YES","NO")</f>
        <v/>
      </c>
      <c r="K41" s="20" t="inlineStr">
        <is>
          <t>Next-fastest time supplied in user workbook; swimmer name not yet supplied.</t>
        </is>
      </c>
      <c r="L41" s="40" t="n"/>
    </row>
    <row r="42" ht="15" customHeight="1" s="17">
      <c r="A42" s="20" t="inlineStr">
        <is>
          <t>NZ|SCM|M|15|100 Free</t>
        </is>
      </c>
      <c r="B42" s="20" t="n">
        <v>2</v>
      </c>
      <c r="C42" s="20" t="inlineStr">
        <is>
          <t>SCM</t>
        </is>
      </c>
      <c r="D42" s="20" t="inlineStr">
        <is>
          <t>Male</t>
        </is>
      </c>
      <c r="E42" s="20" t="n">
        <v>15</v>
      </c>
      <c r="F42" s="20" t="inlineStr">
        <is>
          <t>100 Free</t>
        </is>
      </c>
      <c r="G42" s="20" t="n"/>
      <c r="H42" s="20" t="inlineStr">
        <is>
          <t>50.29</t>
        </is>
      </c>
      <c r="I42" s="20">
        <f>IF(H42="","",IF(ISNUMBER(SEARCH(":",H42)),VALUE(LEFT(H42,SEARCH(":",H42)-1))*60+VALUE(MID(H42,SEARCH(":",H42)+1,99)),VALUE(H42)))</f>
        <v/>
      </c>
      <c r="J42" s="20">
        <f>IF(OR(G42&lt;&gt;"",AND(H42&lt;&gt;"",INDEX(05_Record_Benchmarks!$N:$N,MATCH(A42,05_Record_Benchmarks!$A:$A,0))="YES")),"YES","NO")</f>
        <v/>
      </c>
      <c r="K42" s="20" t="inlineStr">
        <is>
          <t>Next-fastest time supplied in user workbook; swimmer name not yet supplied.</t>
        </is>
      </c>
      <c r="L42" s="40" t="n"/>
    </row>
    <row r="43" ht="15" customHeight="1" s="17">
      <c r="A43" s="20" t="inlineStr">
        <is>
          <t>NZ|SCM|M|15|200 Free</t>
        </is>
      </c>
      <c r="B43" s="20" t="n">
        <v>2</v>
      </c>
      <c r="C43" s="20" t="inlineStr">
        <is>
          <t>SCM</t>
        </is>
      </c>
      <c r="D43" s="20" t="inlineStr">
        <is>
          <t>Male</t>
        </is>
      </c>
      <c r="E43" s="20" t="n">
        <v>15</v>
      </c>
      <c r="F43" s="20" t="inlineStr">
        <is>
          <t>200 Free</t>
        </is>
      </c>
      <c r="G43" s="20" t="n"/>
      <c r="H43" s="20" t="inlineStr">
        <is>
          <t>1:50.39</t>
        </is>
      </c>
      <c r="I43" s="20">
        <f>IF(H43="","",IF(ISNUMBER(SEARCH(":",H43)),VALUE(LEFT(H43,SEARCH(":",H43)-1))*60+VALUE(MID(H43,SEARCH(":",H43)+1,99)),VALUE(H43)))</f>
        <v/>
      </c>
      <c r="J43" s="20">
        <f>IF(OR(G43&lt;&gt;"",AND(H43&lt;&gt;"",INDEX(05_Record_Benchmarks!$N:$N,MATCH(A43,05_Record_Benchmarks!$A:$A,0))="YES")),"YES","NO")</f>
        <v/>
      </c>
      <c r="K43" s="20" t="inlineStr">
        <is>
          <t>Next-fastest time supplied in user workbook; swimmer name not yet supplied.</t>
        </is>
      </c>
      <c r="L43" s="40" t="n"/>
    </row>
    <row r="44" ht="15" customHeight="1" s="17">
      <c r="A44" s="20" t="inlineStr">
        <is>
          <t>NZ|SCM|M|15|400 Free</t>
        </is>
      </c>
      <c r="B44" s="20" t="n">
        <v>2</v>
      </c>
      <c r="C44" s="20" t="inlineStr">
        <is>
          <t>SCM</t>
        </is>
      </c>
      <c r="D44" s="20" t="inlineStr">
        <is>
          <t>Male</t>
        </is>
      </c>
      <c r="E44" s="20" t="n">
        <v>15</v>
      </c>
      <c r="F44" s="20" t="inlineStr">
        <is>
          <t>400 Free</t>
        </is>
      </c>
      <c r="G44" s="20" t="n"/>
      <c r="H44" s="20" t="inlineStr">
        <is>
          <t>3:55.42</t>
        </is>
      </c>
      <c r="I44" s="20">
        <f>IF(H44="","",IF(ISNUMBER(SEARCH(":",H44)),VALUE(LEFT(H44,SEARCH(":",H44)-1))*60+VALUE(MID(H44,SEARCH(":",H44)+1,99)),VALUE(H44)))</f>
        <v/>
      </c>
      <c r="J44" s="20">
        <f>IF(OR(G44&lt;&gt;"",AND(H44&lt;&gt;"",INDEX(05_Record_Benchmarks!$N:$N,MATCH(A44,05_Record_Benchmarks!$A:$A,0))="YES")),"YES","NO")</f>
        <v/>
      </c>
      <c r="K44" s="20" t="inlineStr">
        <is>
          <t>Next-fastest time supplied in user workbook; swimmer name not yet supplied.</t>
        </is>
      </c>
      <c r="L44" s="40" t="n"/>
    </row>
    <row r="45" ht="15" customHeight="1" s="17">
      <c r="A45" s="20" t="inlineStr">
        <is>
          <t>NZ|SCM|M|15|800 Free</t>
        </is>
      </c>
      <c r="B45" s="20" t="n">
        <v>2</v>
      </c>
      <c r="C45" s="20" t="inlineStr">
        <is>
          <t>SCM</t>
        </is>
      </c>
      <c r="D45" s="20" t="inlineStr">
        <is>
          <t>Male</t>
        </is>
      </c>
      <c r="E45" s="20" t="n">
        <v>15</v>
      </c>
      <c r="F45" s="20" t="inlineStr">
        <is>
          <t>800 Free</t>
        </is>
      </c>
      <c r="G45" s="20" t="inlineStr">
        <is>
          <t>Cameron Burrows</t>
        </is>
      </c>
      <c r="H45" s="20" t="inlineStr">
        <is>
          <t>8:10.40</t>
        </is>
      </c>
      <c r="I45" s="20">
        <f>IF(H45="","",IF(ISNUMBER(SEARCH(":",H45)),VALUE(LEFT(H45,SEARCH(":",H45)-1))*60+VALUE(MID(H45,SEARCH(":",H45)+1,99)),VALUE(H45)))</f>
        <v/>
      </c>
      <c r="J45" s="20">
        <f>IF(OR(G45&lt;&gt;"",AND(H45&lt;&gt;"",INDEX(05_Record_Benchmarks!$N:$N,MATCH(A45,05_Record_Benchmarks!$A:$A,0))="YES")),"YES","NO")</f>
        <v/>
      </c>
      <c r="K45" s="20" t="inlineStr">
        <is>
          <t>Auto-set from displaced NZ record after NZSC 2026.</t>
        </is>
      </c>
      <c r="L45" s="40" t="n">
        <v>46303</v>
      </c>
    </row>
    <row r="46" ht="15" customHeight="1" s="17">
      <c r="A46" s="20" t="inlineStr">
        <is>
          <t>NZ|SCM|M|15|1500 Free</t>
        </is>
      </c>
      <c r="B46" s="20" t="n">
        <v>2</v>
      </c>
      <c r="C46" s="20" t="inlineStr">
        <is>
          <t>SCM</t>
        </is>
      </c>
      <c r="D46" s="20" t="inlineStr">
        <is>
          <t>Male</t>
        </is>
      </c>
      <c r="E46" s="20" t="n">
        <v>15</v>
      </c>
      <c r="F46" s="20" t="inlineStr">
        <is>
          <t>1500 Free</t>
        </is>
      </c>
      <c r="G46" s="20" t="inlineStr">
        <is>
          <t>Michael Mincham</t>
        </is>
      </c>
      <c r="H46" s="20" t="inlineStr">
        <is>
          <t>15:34.56</t>
        </is>
      </c>
      <c r="I46" s="20">
        <f>IF(H46="","",IF(ISNUMBER(SEARCH(":",H46)),VALUE(LEFT(H46,SEARCH(":",H46)-1))*60+VALUE(MID(H46,SEARCH(":",H46)+1,99)),VALUE(H46)))</f>
        <v/>
      </c>
      <c r="J46" s="20">
        <f>IF(OR(G46&lt;&gt;"",AND(H46&lt;&gt;"",INDEX(05_Record_Benchmarks!$N:$N,MATCH(A46,05_Record_Benchmarks!$A:$A,0))="YES")),"YES","NO")</f>
        <v/>
      </c>
      <c r="K46" s="20" t="inlineStr">
        <is>
          <t>Auto-set from displaced NZ record after NZSC 2026.</t>
        </is>
      </c>
      <c r="L46" s="40" t="n">
        <v>46303</v>
      </c>
    </row>
    <row r="47" ht="15" customHeight="1" s="17">
      <c r="A47" s="20" t="inlineStr">
        <is>
          <t>NZ|SCM|M|15|50 Back</t>
        </is>
      </c>
      <c r="B47" s="20" t="n">
        <v>2</v>
      </c>
      <c r="C47" s="20" t="inlineStr">
        <is>
          <t>SCM</t>
        </is>
      </c>
      <c r="D47" s="20" t="inlineStr">
        <is>
          <t>Male</t>
        </is>
      </c>
      <c r="E47" s="20" t="n">
        <v>15</v>
      </c>
      <c r="F47" s="20" t="inlineStr">
        <is>
          <t>50 Back</t>
        </is>
      </c>
      <c r="G47" s="20" t="n"/>
      <c r="H47" s="20" t="inlineStr">
        <is>
          <t>25.67</t>
        </is>
      </c>
      <c r="I47" s="20">
        <f>IF(H47="","",IF(ISNUMBER(SEARCH(":",H47)),VALUE(LEFT(H47,SEARCH(":",H47)-1))*60+VALUE(MID(H47,SEARCH(":",H47)+1,99)),VALUE(H47)))</f>
        <v/>
      </c>
      <c r="J47" s="20">
        <f>IF(OR(G47&lt;&gt;"",AND(H47&lt;&gt;"",INDEX(05_Record_Benchmarks!$N:$N,MATCH(A47,05_Record_Benchmarks!$A:$A,0))="YES")),"YES","NO")</f>
        <v/>
      </c>
      <c r="K47" s="20" t="inlineStr">
        <is>
          <t>Next-fastest time supplied in user workbook; swimmer name not yet supplied.</t>
        </is>
      </c>
      <c r="L47" s="40" t="n"/>
    </row>
    <row r="48" ht="15" customHeight="1" s="17">
      <c r="A48" s="20" t="inlineStr">
        <is>
          <t>NZ|SCM|M|15|100 Back</t>
        </is>
      </c>
      <c r="B48" s="20" t="n">
        <v>2</v>
      </c>
      <c r="C48" s="20" t="inlineStr">
        <is>
          <t>SCM</t>
        </is>
      </c>
      <c r="D48" s="20" t="inlineStr">
        <is>
          <t>Male</t>
        </is>
      </c>
      <c r="E48" s="20" t="n">
        <v>15</v>
      </c>
      <c r="F48" s="20" t="inlineStr">
        <is>
          <t>100 Back</t>
        </is>
      </c>
      <c r="G48" s="20" t="n"/>
      <c r="H48" s="20" t="inlineStr">
        <is>
          <t>54.91</t>
        </is>
      </c>
      <c r="I48" s="20">
        <f>IF(H48="","",IF(ISNUMBER(SEARCH(":",H48)),VALUE(LEFT(H48,SEARCH(":",H48)-1))*60+VALUE(MID(H48,SEARCH(":",H48)+1,99)),VALUE(H48)))</f>
        <v/>
      </c>
      <c r="J48" s="20">
        <f>IF(OR(G48&lt;&gt;"",AND(H48&lt;&gt;"",INDEX(05_Record_Benchmarks!$N:$N,MATCH(A48,05_Record_Benchmarks!$A:$A,0))="YES")),"YES","NO")</f>
        <v/>
      </c>
      <c r="K48" s="20" t="inlineStr">
        <is>
          <t>Next-fastest time supplied in user workbook; swimmer name not yet supplied.</t>
        </is>
      </c>
      <c r="L48" s="40" t="n"/>
    </row>
    <row r="49" ht="15" customHeight="1" s="17">
      <c r="A49" s="20" t="inlineStr">
        <is>
          <t>NZ|SCM|M|15|200 Back</t>
        </is>
      </c>
      <c r="B49" s="20" t="n">
        <v>2</v>
      </c>
      <c r="C49" s="20" t="inlineStr">
        <is>
          <t>SCM</t>
        </is>
      </c>
      <c r="D49" s="20" t="inlineStr">
        <is>
          <t>Male</t>
        </is>
      </c>
      <c r="E49" s="20" t="n">
        <v>15</v>
      </c>
      <c r="F49" s="20" t="inlineStr">
        <is>
          <t>200 Back</t>
        </is>
      </c>
      <c r="G49" s="20" t="n"/>
      <c r="H49" s="20" t="inlineStr">
        <is>
          <t>1:58.58</t>
        </is>
      </c>
      <c r="I49" s="20">
        <f>IF(H49="","",IF(ISNUMBER(SEARCH(":",H49)),VALUE(LEFT(H49,SEARCH(":",H49)-1))*60+VALUE(MID(H49,SEARCH(":",H49)+1,99)),VALUE(H49)))</f>
        <v/>
      </c>
      <c r="J49" s="20">
        <f>IF(OR(G49&lt;&gt;"",AND(H49&lt;&gt;"",INDEX(05_Record_Benchmarks!$N:$N,MATCH(A49,05_Record_Benchmarks!$A:$A,0))="YES")),"YES","NO")</f>
        <v/>
      </c>
      <c r="K49" s="20" t="inlineStr">
        <is>
          <t>Next-fastest time supplied in user workbook; swimmer name not yet supplied.</t>
        </is>
      </c>
      <c r="L49" s="40" t="n"/>
    </row>
    <row r="50" ht="15" customHeight="1" s="17">
      <c r="A50" s="20" t="inlineStr">
        <is>
          <t>NZ|SCM|M|15|50 Breast</t>
        </is>
      </c>
      <c r="B50" s="20" t="n">
        <v>2</v>
      </c>
      <c r="C50" s="20" t="inlineStr">
        <is>
          <t>SCM</t>
        </is>
      </c>
      <c r="D50" s="20" t="inlineStr">
        <is>
          <t>Male</t>
        </is>
      </c>
      <c r="E50" s="20" t="n">
        <v>15</v>
      </c>
      <c r="F50" s="20" t="inlineStr">
        <is>
          <t>50 Breast</t>
        </is>
      </c>
      <c r="G50" s="20" t="n"/>
      <c r="H50" s="20" t="inlineStr">
        <is>
          <t>28.94</t>
        </is>
      </c>
      <c r="I50" s="20">
        <f>IF(H50="","",IF(ISNUMBER(SEARCH(":",H50)),VALUE(LEFT(H50,SEARCH(":",H50)-1))*60+VALUE(MID(H50,SEARCH(":",H50)+1,99)),VALUE(H50)))</f>
        <v/>
      </c>
      <c r="J50" s="20">
        <f>IF(OR(G50&lt;&gt;"",AND(H50&lt;&gt;"",INDEX(05_Record_Benchmarks!$N:$N,MATCH(A50,05_Record_Benchmarks!$A:$A,0))="YES")),"YES","NO")</f>
        <v/>
      </c>
      <c r="K50" s="20" t="inlineStr">
        <is>
          <t>Next-fastest time supplied in user workbook; swimmer name not yet supplied.</t>
        </is>
      </c>
      <c r="L50" s="40" t="n"/>
    </row>
    <row r="51" ht="15" customHeight="1" s="17">
      <c r="A51" s="20" t="inlineStr">
        <is>
          <t>NZ|SCM|M|15|100 Breast</t>
        </is>
      </c>
      <c r="B51" s="20" t="n">
        <v>2</v>
      </c>
      <c r="C51" s="20" t="inlineStr">
        <is>
          <t>SCM</t>
        </is>
      </c>
      <c r="D51" s="20" t="inlineStr">
        <is>
          <t>Male</t>
        </is>
      </c>
      <c r="E51" s="20" t="n">
        <v>15</v>
      </c>
      <c r="F51" s="20" t="inlineStr">
        <is>
          <t>100 Breast</t>
        </is>
      </c>
      <c r="G51" s="20" t="n"/>
      <c r="H51" s="20" t="inlineStr">
        <is>
          <t>1:02.23</t>
        </is>
      </c>
      <c r="I51" s="20">
        <f>IF(H51="","",IF(ISNUMBER(SEARCH(":",H51)),VALUE(LEFT(H51,SEARCH(":",H51)-1))*60+VALUE(MID(H51,SEARCH(":",H51)+1,99)),VALUE(H51)))</f>
        <v/>
      </c>
      <c r="J51" s="20">
        <f>IF(OR(G51&lt;&gt;"",AND(H51&lt;&gt;"",INDEX(05_Record_Benchmarks!$N:$N,MATCH(A51,05_Record_Benchmarks!$A:$A,0))="YES")),"YES","NO")</f>
        <v/>
      </c>
      <c r="K51" s="20" t="inlineStr">
        <is>
          <t>Next-fastest time supplied in user workbook; swimmer name not yet supplied.</t>
        </is>
      </c>
      <c r="L51" s="40" t="n"/>
    </row>
    <row r="52" ht="15" customHeight="1" s="17">
      <c r="A52" s="20" t="inlineStr">
        <is>
          <t>NZ|SCM|M|15|200 Breast</t>
        </is>
      </c>
      <c r="B52" s="20" t="n">
        <v>2</v>
      </c>
      <c r="C52" s="20" t="inlineStr">
        <is>
          <t>SCM</t>
        </is>
      </c>
      <c r="D52" s="20" t="inlineStr">
        <is>
          <t>Male</t>
        </is>
      </c>
      <c r="E52" s="20" t="n">
        <v>15</v>
      </c>
      <c r="F52" s="20" t="inlineStr">
        <is>
          <t>200 Breast</t>
        </is>
      </c>
      <c r="G52" s="20" t="n"/>
      <c r="H52" s="20" t="inlineStr">
        <is>
          <t>2:14.60</t>
        </is>
      </c>
      <c r="I52" s="20">
        <f>IF(H52="","",IF(ISNUMBER(SEARCH(":",H52)),VALUE(LEFT(H52,SEARCH(":",H52)-1))*60+VALUE(MID(H52,SEARCH(":",H52)+1,99)),VALUE(H52)))</f>
        <v/>
      </c>
      <c r="J52" s="20">
        <f>IF(OR(G52&lt;&gt;"",AND(H52&lt;&gt;"",INDEX(05_Record_Benchmarks!$N:$N,MATCH(A52,05_Record_Benchmarks!$A:$A,0))="YES")),"YES","NO")</f>
        <v/>
      </c>
      <c r="K52" s="20" t="inlineStr">
        <is>
          <t>Next-fastest time supplied in user workbook; swimmer name not yet supplied.</t>
        </is>
      </c>
      <c r="L52" s="40" t="n"/>
    </row>
    <row r="53" ht="15" customHeight="1" s="17">
      <c r="A53" s="20" t="inlineStr">
        <is>
          <t>NZ|SCM|M|15|50 Fly</t>
        </is>
      </c>
      <c r="B53" s="20" t="n">
        <v>2</v>
      </c>
      <c r="C53" s="20" t="inlineStr">
        <is>
          <t>SCM</t>
        </is>
      </c>
      <c r="D53" s="20" t="inlineStr">
        <is>
          <t>Male</t>
        </is>
      </c>
      <c r="E53" s="20" t="n">
        <v>15</v>
      </c>
      <c r="F53" s="20" t="inlineStr">
        <is>
          <t>50 Fly</t>
        </is>
      </c>
      <c r="G53" s="20" t="n"/>
      <c r="H53" s="20" t="inlineStr">
        <is>
          <t>25.10</t>
        </is>
      </c>
      <c r="I53" s="20">
        <f>IF(H53="","",IF(ISNUMBER(SEARCH(":",H53)),VALUE(LEFT(H53,SEARCH(":",H53)-1))*60+VALUE(MID(H53,SEARCH(":",H53)+1,99)),VALUE(H53)))</f>
        <v/>
      </c>
      <c r="J53" s="20">
        <f>IF(OR(G53&lt;&gt;"",AND(H53&lt;&gt;"",INDEX(05_Record_Benchmarks!$N:$N,MATCH(A53,05_Record_Benchmarks!$A:$A,0))="YES")),"YES","NO")</f>
        <v/>
      </c>
      <c r="K53" s="20" t="inlineStr">
        <is>
          <t>Next-fastest time supplied in user workbook; swimmer name not yet supplied.</t>
        </is>
      </c>
      <c r="L53" s="40" t="n"/>
    </row>
    <row r="54" ht="15" customHeight="1" s="17">
      <c r="A54" s="20" t="inlineStr">
        <is>
          <t>NZ|SCM|M|15|100 Fly</t>
        </is>
      </c>
      <c r="B54" s="20" t="n">
        <v>2</v>
      </c>
      <c r="C54" s="20" t="inlineStr">
        <is>
          <t>SCM</t>
        </is>
      </c>
      <c r="D54" s="20" t="inlineStr">
        <is>
          <t>Male</t>
        </is>
      </c>
      <c r="E54" s="20" t="n">
        <v>15</v>
      </c>
      <c r="F54" s="20" t="inlineStr">
        <is>
          <t>100 Fly</t>
        </is>
      </c>
      <c r="G54" s="20" t="n"/>
      <c r="H54" s="20" t="inlineStr">
        <is>
          <t>55.75</t>
        </is>
      </c>
      <c r="I54" s="20">
        <f>IF(H54="","",IF(ISNUMBER(SEARCH(":",H54)),VALUE(LEFT(H54,SEARCH(":",H54)-1))*60+VALUE(MID(H54,SEARCH(":",H54)+1,99)),VALUE(H54)))</f>
        <v/>
      </c>
      <c r="J54" s="20">
        <f>IF(OR(G54&lt;&gt;"",AND(H54&lt;&gt;"",INDEX(05_Record_Benchmarks!$N:$N,MATCH(A54,05_Record_Benchmarks!$A:$A,0))="YES")),"YES","NO")</f>
        <v/>
      </c>
      <c r="K54" s="20" t="inlineStr">
        <is>
          <t>Next-fastest time supplied in user workbook; swimmer name not yet supplied.</t>
        </is>
      </c>
      <c r="L54" s="40" t="n"/>
    </row>
    <row r="55" ht="15" customHeight="1" s="17">
      <c r="A55" s="20" t="inlineStr">
        <is>
          <t>NZ|SCM|M|15|200 Fly</t>
        </is>
      </c>
      <c r="B55" s="20" t="n">
        <v>2</v>
      </c>
      <c r="C55" s="20" t="inlineStr">
        <is>
          <t>SCM</t>
        </is>
      </c>
      <c r="D55" s="20" t="inlineStr">
        <is>
          <t>Male</t>
        </is>
      </c>
      <c r="E55" s="20" t="n">
        <v>15</v>
      </c>
      <c r="F55" s="20" t="inlineStr">
        <is>
          <t>200 Fly</t>
        </is>
      </c>
      <c r="G55" s="20" t="inlineStr">
        <is>
          <t>Cameron Burrows</t>
        </is>
      </c>
      <c r="H55" s="20" t="inlineStr">
        <is>
          <t>2:03.08</t>
        </is>
      </c>
      <c r="I55" s="20">
        <f>IF(H55="","",IF(ISNUMBER(SEARCH(":",H55)),VALUE(LEFT(H55,SEARCH(":",H55)-1))*60+VALUE(MID(H55,SEARCH(":",H55)+1,99)),VALUE(H55)))</f>
        <v/>
      </c>
      <c r="J55" s="20">
        <f>IF(OR(G55&lt;&gt;"",AND(H55&lt;&gt;"",INDEX(05_Record_Benchmarks!$N:$N,MATCH(A55,05_Record_Benchmarks!$A:$A,0))="YES")),"YES","NO")</f>
        <v/>
      </c>
      <c r="K55" s="20" t="inlineStr">
        <is>
          <t>Next-fastest time supplied in user workbook; swimmer name not yet supplied.</t>
        </is>
      </c>
      <c r="L55" s="40" t="n">
        <v>46303</v>
      </c>
    </row>
    <row r="56" ht="15" customHeight="1" s="17">
      <c r="A56" s="20" t="inlineStr">
        <is>
          <t>NZ|SCM|M|15|100 IM</t>
        </is>
      </c>
      <c r="B56" s="20" t="n">
        <v>2</v>
      </c>
      <c r="C56" s="20" t="inlineStr">
        <is>
          <t>SCM</t>
        </is>
      </c>
      <c r="D56" s="20" t="inlineStr">
        <is>
          <t>Male</t>
        </is>
      </c>
      <c r="E56" s="20" t="n">
        <v>15</v>
      </c>
      <c r="F56" s="20" t="inlineStr">
        <is>
          <t>100 IM</t>
        </is>
      </c>
      <c r="G56" s="20" t="n"/>
      <c r="H56" s="20" t="inlineStr">
        <is>
          <t>57.34</t>
        </is>
      </c>
      <c r="I56" s="20">
        <f>IF(H56="","",IF(ISNUMBER(SEARCH(":",H56)),VALUE(LEFT(H56,SEARCH(":",H56)-1))*60+VALUE(MID(H56,SEARCH(":",H56)+1,99)),VALUE(H56)))</f>
        <v/>
      </c>
      <c r="J56" s="20">
        <f>IF(OR(G56&lt;&gt;"",AND(H56&lt;&gt;"",INDEX(05_Record_Benchmarks!$N:$N,MATCH(A56,05_Record_Benchmarks!$A:$A,0))="YES")),"YES","NO")</f>
        <v/>
      </c>
      <c r="K56" s="20" t="inlineStr">
        <is>
          <t>Next-fastest time supplied in user workbook; swimmer name not yet supplied.</t>
        </is>
      </c>
      <c r="L56" s="40" t="n"/>
    </row>
    <row r="57" ht="15" customHeight="1" s="17">
      <c r="A57" s="20" t="inlineStr">
        <is>
          <t>NZ|SCM|M|15|200 IM</t>
        </is>
      </c>
      <c r="B57" s="20" t="n">
        <v>2</v>
      </c>
      <c r="C57" s="20" t="inlineStr">
        <is>
          <t>SCM</t>
        </is>
      </c>
      <c r="D57" s="20" t="inlineStr">
        <is>
          <t>Male</t>
        </is>
      </c>
      <c r="E57" s="20" t="n">
        <v>15</v>
      </c>
      <c r="F57" s="20" t="inlineStr">
        <is>
          <t>200 IM</t>
        </is>
      </c>
      <c r="G57" s="20" t="n"/>
      <c r="H57" s="20" t="inlineStr">
        <is>
          <t>2:03.83</t>
        </is>
      </c>
      <c r="I57" s="20">
        <f>IF(H57="","",IF(ISNUMBER(SEARCH(":",H57)),VALUE(LEFT(H57,SEARCH(":",H57)-1))*60+VALUE(MID(H57,SEARCH(":",H57)+1,99)),VALUE(H57)))</f>
        <v/>
      </c>
      <c r="J57" s="20">
        <f>IF(OR(G57&lt;&gt;"",AND(H57&lt;&gt;"",INDEX(05_Record_Benchmarks!$N:$N,MATCH(A57,05_Record_Benchmarks!$A:$A,0))="YES")),"YES","NO")</f>
        <v/>
      </c>
      <c r="K57" s="20" t="inlineStr">
        <is>
          <t>Next-fastest time supplied in user workbook; swimmer name not yet supplied.</t>
        </is>
      </c>
      <c r="L57" s="40" t="n"/>
    </row>
    <row r="58" ht="15" customHeight="1" s="17">
      <c r="A58" s="20" t="inlineStr">
        <is>
          <t>NZ|SCM|M|15|400 IM</t>
        </is>
      </c>
      <c r="B58" s="20" t="n">
        <v>2</v>
      </c>
      <c r="C58" s="20" t="inlineStr">
        <is>
          <t>SCM</t>
        </is>
      </c>
      <c r="D58" s="20" t="inlineStr">
        <is>
          <t>Male</t>
        </is>
      </c>
      <c r="E58" s="20" t="n">
        <v>15</v>
      </c>
      <c r="F58" s="20" t="inlineStr">
        <is>
          <t>400 IM</t>
        </is>
      </c>
      <c r="G58" s="20" t="n"/>
      <c r="H58" s="20" t="inlineStr">
        <is>
          <t>4:20.24</t>
        </is>
      </c>
      <c r="I58" s="20">
        <f>IF(H58="","",IF(ISNUMBER(SEARCH(":",H58)),VALUE(LEFT(H58,SEARCH(":",H58)-1))*60+VALUE(MID(H58,SEARCH(":",H58)+1,99)),VALUE(H58)))</f>
        <v/>
      </c>
      <c r="J58" s="20">
        <f>IF(OR(G58&lt;&gt;"",AND(H58&lt;&gt;"",INDEX(05_Record_Benchmarks!$N:$N,MATCH(A58,05_Record_Benchmarks!$A:$A,0))="YES")),"YES","NO")</f>
        <v/>
      </c>
      <c r="K58" s="20" t="inlineStr">
        <is>
          <t>Next-fastest time supplied in user workbook; swimmer name not yet supplied.</t>
        </is>
      </c>
      <c r="L58" s="40" t="n"/>
    </row>
    <row r="59" ht="15" customHeight="1" s="17">
      <c r="A59" s="20" t="inlineStr">
        <is>
          <t>NZ|SCM|M|16|50 Free</t>
        </is>
      </c>
      <c r="B59" s="20" t="n">
        <v>2</v>
      </c>
      <c r="C59" s="20" t="inlineStr">
        <is>
          <t>SCM</t>
        </is>
      </c>
      <c r="D59" s="20" t="inlineStr">
        <is>
          <t>Male</t>
        </is>
      </c>
      <c r="E59" s="20" t="n">
        <v>16</v>
      </c>
      <c r="F59" s="20" t="inlineStr">
        <is>
          <t>50 Free</t>
        </is>
      </c>
      <c r="G59" s="20" t="n"/>
      <c r="H59" s="20" t="inlineStr">
        <is>
          <t>22.53</t>
        </is>
      </c>
      <c r="I59" s="20">
        <f>IF(H59="","",IF(ISNUMBER(SEARCH(":",H59)),VALUE(LEFT(H59,SEARCH(":",H59)-1))*60+VALUE(MID(H59,SEARCH(":",H59)+1,99)),VALUE(H59)))</f>
        <v/>
      </c>
      <c r="J59" s="20">
        <f>IF(OR(G59&lt;&gt;"",AND(H59&lt;&gt;"",INDEX(05_Record_Benchmarks!$N:$N,MATCH(A59,05_Record_Benchmarks!$A:$A,0))="YES")),"YES","NO")</f>
        <v/>
      </c>
      <c r="K59" s="20" t="inlineStr">
        <is>
          <t>Next-fastest time supplied in user workbook; swimmer name not yet supplied.</t>
        </is>
      </c>
      <c r="L59" s="40" t="n"/>
    </row>
    <row r="60" ht="15" customHeight="1" s="17">
      <c r="A60" s="20" t="inlineStr">
        <is>
          <t>NZ|SCM|M|16|100 Free</t>
        </is>
      </c>
      <c r="B60" s="20" t="n">
        <v>2</v>
      </c>
      <c r="C60" s="20" t="inlineStr">
        <is>
          <t>SCM</t>
        </is>
      </c>
      <c r="D60" s="20" t="inlineStr">
        <is>
          <t>Male</t>
        </is>
      </c>
      <c r="E60" s="20" t="n">
        <v>16</v>
      </c>
      <c r="F60" s="20" t="inlineStr">
        <is>
          <t>100 Free</t>
        </is>
      </c>
      <c r="G60" s="20" t="n"/>
      <c r="H60" s="20" t="inlineStr">
        <is>
          <t>49.71</t>
        </is>
      </c>
      <c r="I60" s="20">
        <f>IF(H60="","",IF(ISNUMBER(SEARCH(":",H60)),VALUE(LEFT(H60,SEARCH(":",H60)-1))*60+VALUE(MID(H60,SEARCH(":",H60)+1,99)),VALUE(H60)))</f>
        <v/>
      </c>
      <c r="J60" s="20">
        <f>IF(OR(G60&lt;&gt;"",AND(H60&lt;&gt;"",INDEX(05_Record_Benchmarks!$N:$N,MATCH(A60,05_Record_Benchmarks!$A:$A,0))="YES")),"YES","NO")</f>
        <v/>
      </c>
      <c r="K60" s="20" t="inlineStr">
        <is>
          <t>Next-fastest time supplied in user workbook; swimmer name not yet supplied.</t>
        </is>
      </c>
      <c r="L60" s="40" t="n"/>
    </row>
    <row r="61" ht="15" customHeight="1" s="17">
      <c r="A61" s="20" t="inlineStr">
        <is>
          <t>NZ|SCM|M|16|200 Free</t>
        </is>
      </c>
      <c r="B61" s="20" t="n">
        <v>2</v>
      </c>
      <c r="C61" s="20" t="inlineStr">
        <is>
          <t>SCM</t>
        </is>
      </c>
      <c r="D61" s="20" t="inlineStr">
        <is>
          <t>Male</t>
        </is>
      </c>
      <c r="E61" s="20" t="n">
        <v>16</v>
      </c>
      <c r="F61" s="20" t="inlineStr">
        <is>
          <t>200 Free</t>
        </is>
      </c>
      <c r="G61" s="20" t="n"/>
      <c r="H61" s="20" t="inlineStr">
        <is>
          <t>1:48.53</t>
        </is>
      </c>
      <c r="I61" s="20">
        <f>IF(H61="","",IF(ISNUMBER(SEARCH(":",H61)),VALUE(LEFT(H61,SEARCH(":",H61)-1))*60+VALUE(MID(H61,SEARCH(":",H61)+1,99)),VALUE(H61)))</f>
        <v/>
      </c>
      <c r="J61" s="20">
        <f>IF(OR(G61&lt;&gt;"",AND(H61&lt;&gt;"",INDEX(05_Record_Benchmarks!$N:$N,MATCH(A61,05_Record_Benchmarks!$A:$A,0))="YES")),"YES","NO")</f>
        <v/>
      </c>
      <c r="K61" s="20" t="inlineStr">
        <is>
          <t>Next-fastest time supplied in user workbook; swimmer name not yet supplied.</t>
        </is>
      </c>
      <c r="L61" s="40" t="n"/>
    </row>
    <row r="62" ht="15" customHeight="1" s="17">
      <c r="A62" s="20" t="inlineStr">
        <is>
          <t>NZ|SCM|M|16|400 Free</t>
        </is>
      </c>
      <c r="B62" s="20" t="n">
        <v>2</v>
      </c>
      <c r="C62" s="20" t="inlineStr">
        <is>
          <t>SCM</t>
        </is>
      </c>
      <c r="D62" s="20" t="inlineStr">
        <is>
          <t>Male</t>
        </is>
      </c>
      <c r="E62" s="20" t="n">
        <v>16</v>
      </c>
      <c r="F62" s="20" t="inlineStr">
        <is>
          <t>400 Free</t>
        </is>
      </c>
      <c r="G62" s="20" t="n"/>
      <c r="H62" s="20" t="inlineStr">
        <is>
          <t>3:48.92</t>
        </is>
      </c>
      <c r="I62" s="20">
        <f>IF(H62="","",IF(ISNUMBER(SEARCH(":",H62)),VALUE(LEFT(H62,SEARCH(":",H62)-1))*60+VALUE(MID(H62,SEARCH(":",H62)+1,99)),VALUE(H62)))</f>
        <v/>
      </c>
      <c r="J62" s="20">
        <f>IF(OR(G62&lt;&gt;"",AND(H62&lt;&gt;"",INDEX(05_Record_Benchmarks!$N:$N,MATCH(A62,05_Record_Benchmarks!$A:$A,0))="YES")),"YES","NO")</f>
        <v/>
      </c>
      <c r="K62" s="20" t="inlineStr">
        <is>
          <t>Next-fastest time supplied in user workbook; swimmer name not yet supplied.</t>
        </is>
      </c>
      <c r="L62" s="40" t="n"/>
    </row>
    <row r="63" ht="15" customHeight="1" s="17">
      <c r="A63" s="20" t="inlineStr">
        <is>
          <t>NZ|SCM|M|16|800 Free</t>
        </is>
      </c>
      <c r="B63" s="20" t="n">
        <v>2</v>
      </c>
      <c r="C63" s="20" t="inlineStr">
        <is>
          <t>SCM</t>
        </is>
      </c>
      <c r="D63" s="20" t="inlineStr">
        <is>
          <t>Male</t>
        </is>
      </c>
      <c r="E63" s="20" t="n">
        <v>16</v>
      </c>
      <c r="F63" s="20" t="inlineStr">
        <is>
          <t>800 Free</t>
        </is>
      </c>
      <c r="G63" s="20" t="n"/>
      <c r="H63" s="20" t="inlineStr">
        <is>
          <t>8:06.80</t>
        </is>
      </c>
      <c r="I63" s="20">
        <f>IF(H63="","",IF(ISNUMBER(SEARCH(":",H63)),VALUE(LEFT(H63,SEARCH(":",H63)-1))*60+VALUE(MID(H63,SEARCH(":",H63)+1,99)),VALUE(H63)))</f>
        <v/>
      </c>
      <c r="J63" s="20">
        <f>IF(OR(G63&lt;&gt;"",AND(H63&lt;&gt;"",INDEX(05_Record_Benchmarks!$N:$N,MATCH(A63,05_Record_Benchmarks!$A:$A,0))="YES")),"YES","NO")</f>
        <v/>
      </c>
      <c r="K63" s="20" t="inlineStr">
        <is>
          <t>Next-fastest time supplied in user workbook; swimmer name not yet supplied.</t>
        </is>
      </c>
      <c r="L63" s="40" t="n"/>
    </row>
    <row r="64" ht="15" customHeight="1" s="17">
      <c r="A64" s="20" t="inlineStr">
        <is>
          <t>NZ|SCM|M|16|1500 Free</t>
        </is>
      </c>
      <c r="B64" s="20" t="n">
        <v>2</v>
      </c>
      <c r="C64" s="20" t="inlineStr">
        <is>
          <t>SCM</t>
        </is>
      </c>
      <c r="D64" s="20" t="inlineStr">
        <is>
          <t>Male</t>
        </is>
      </c>
      <c r="E64" s="20" t="n">
        <v>16</v>
      </c>
      <c r="F64" s="20" t="inlineStr">
        <is>
          <t>1500 Free</t>
        </is>
      </c>
      <c r="G64" s="20" t="n"/>
      <c r="H64" s="20" t="inlineStr">
        <is>
          <t>15:17.91</t>
        </is>
      </c>
      <c r="I64" s="20">
        <f>IF(H64="","",IF(ISNUMBER(SEARCH(":",H64)),VALUE(LEFT(H64,SEARCH(":",H64)-1))*60+VALUE(MID(H64,SEARCH(":",H64)+1,99)),VALUE(H64)))</f>
        <v/>
      </c>
      <c r="J64" s="20">
        <f>IF(OR(G64&lt;&gt;"",AND(H64&lt;&gt;"",INDEX(05_Record_Benchmarks!$N:$N,MATCH(A64,05_Record_Benchmarks!$A:$A,0))="YES")),"YES","NO")</f>
        <v/>
      </c>
      <c r="K64" s="20" t="inlineStr">
        <is>
          <t>Next-fastest time supplied in user workbook; swimmer name not yet supplied.</t>
        </is>
      </c>
      <c r="L64" s="40" t="n"/>
    </row>
    <row r="65" ht="15" customHeight="1" s="17">
      <c r="A65" s="20" t="inlineStr">
        <is>
          <t>NZ|SCM|M|16|50 Back</t>
        </is>
      </c>
      <c r="B65" s="20" t="n">
        <v>2</v>
      </c>
      <c r="C65" s="20" t="inlineStr">
        <is>
          <t>SCM</t>
        </is>
      </c>
      <c r="D65" s="20" t="inlineStr">
        <is>
          <t>Male</t>
        </is>
      </c>
      <c r="E65" s="20" t="n">
        <v>16</v>
      </c>
      <c r="F65" s="20" t="inlineStr">
        <is>
          <t>50 Back</t>
        </is>
      </c>
      <c r="G65" s="20" t="n"/>
      <c r="H65" s="20" t="inlineStr">
        <is>
          <t>25.05</t>
        </is>
      </c>
      <c r="I65" s="20">
        <f>IF(H65="","",IF(ISNUMBER(SEARCH(":",H65)),VALUE(LEFT(H65,SEARCH(":",H65)-1))*60+VALUE(MID(H65,SEARCH(":",H65)+1,99)),VALUE(H65)))</f>
        <v/>
      </c>
      <c r="J65" s="20">
        <f>IF(OR(G65&lt;&gt;"",AND(H65&lt;&gt;"",INDEX(05_Record_Benchmarks!$N:$N,MATCH(A65,05_Record_Benchmarks!$A:$A,0))="YES")),"YES","NO")</f>
        <v/>
      </c>
      <c r="K65" s="20" t="inlineStr">
        <is>
          <t>Next-fastest time supplied in user workbook; swimmer name not yet supplied.</t>
        </is>
      </c>
      <c r="L65" s="40" t="n"/>
    </row>
    <row r="66" ht="15" customHeight="1" s="17">
      <c r="A66" s="20" t="inlineStr">
        <is>
          <t>NZ|SCM|M|16|100 Back</t>
        </is>
      </c>
      <c r="B66" s="20" t="n">
        <v>2</v>
      </c>
      <c r="C66" s="20" t="inlineStr">
        <is>
          <t>SCM</t>
        </is>
      </c>
      <c r="D66" s="20" t="inlineStr">
        <is>
          <t>Male</t>
        </is>
      </c>
      <c r="E66" s="20" t="n">
        <v>16</v>
      </c>
      <c r="F66" s="20" t="inlineStr">
        <is>
          <t>100 Back</t>
        </is>
      </c>
      <c r="G66" s="20" t="n"/>
      <c r="H66" s="20" t="inlineStr">
        <is>
          <t>53.93</t>
        </is>
      </c>
      <c r="I66" s="20">
        <f>IF(H66="","",IF(ISNUMBER(SEARCH(":",H66)),VALUE(LEFT(H66,SEARCH(":",H66)-1))*60+VALUE(MID(H66,SEARCH(":",H66)+1,99)),VALUE(H66)))</f>
        <v/>
      </c>
      <c r="J66" s="20">
        <f>IF(OR(G66&lt;&gt;"",AND(H66&lt;&gt;"",INDEX(05_Record_Benchmarks!$N:$N,MATCH(A66,05_Record_Benchmarks!$A:$A,0))="YES")),"YES","NO")</f>
        <v/>
      </c>
      <c r="K66" s="20" t="inlineStr">
        <is>
          <t>Next-fastest time supplied in user workbook; swimmer name not yet supplied.</t>
        </is>
      </c>
      <c r="L66" s="40" t="n"/>
    </row>
    <row r="67" ht="15" customHeight="1" s="17">
      <c r="A67" s="20" t="inlineStr">
        <is>
          <t>NZ|SCM|M|16|200 Back</t>
        </is>
      </c>
      <c r="B67" s="20" t="n">
        <v>2</v>
      </c>
      <c r="C67" s="20" t="inlineStr">
        <is>
          <t>SCM</t>
        </is>
      </c>
      <c r="D67" s="20" t="inlineStr">
        <is>
          <t>Male</t>
        </is>
      </c>
      <c r="E67" s="20" t="n">
        <v>16</v>
      </c>
      <c r="F67" s="20" t="inlineStr">
        <is>
          <t>200 Back</t>
        </is>
      </c>
      <c r="G67" s="20" t="n"/>
      <c r="H67" s="20" t="inlineStr">
        <is>
          <t>1:55.44</t>
        </is>
      </c>
      <c r="I67" s="20">
        <f>IF(H67="","",IF(ISNUMBER(SEARCH(":",H67)),VALUE(LEFT(H67,SEARCH(":",H67)-1))*60+VALUE(MID(H67,SEARCH(":",H67)+1,99)),VALUE(H67)))</f>
        <v/>
      </c>
      <c r="J67" s="20">
        <f>IF(OR(G67&lt;&gt;"",AND(H67&lt;&gt;"",INDEX(05_Record_Benchmarks!$N:$N,MATCH(A67,05_Record_Benchmarks!$A:$A,0))="YES")),"YES","NO")</f>
        <v/>
      </c>
      <c r="K67" s="20" t="inlineStr">
        <is>
          <t>Next-fastest time supplied in user workbook; swimmer name not yet supplied.</t>
        </is>
      </c>
      <c r="L67" s="40" t="n"/>
    </row>
    <row r="68" ht="15" customHeight="1" s="17">
      <c r="A68" s="20" t="inlineStr">
        <is>
          <t>NZ|SCM|M|16|50 Breast</t>
        </is>
      </c>
      <c r="B68" s="20" t="n">
        <v>2</v>
      </c>
      <c r="C68" s="20" t="inlineStr">
        <is>
          <t>SCM</t>
        </is>
      </c>
      <c r="D68" s="20" t="inlineStr">
        <is>
          <t>Male</t>
        </is>
      </c>
      <c r="E68" s="20" t="n">
        <v>16</v>
      </c>
      <c r="F68" s="20" t="inlineStr">
        <is>
          <t>50 Breast</t>
        </is>
      </c>
      <c r="G68" s="20" t="n"/>
      <c r="H68" s="20" t="inlineStr">
        <is>
          <t>28.64</t>
        </is>
      </c>
      <c r="I68" s="20">
        <f>IF(H68="","",IF(ISNUMBER(SEARCH(":",H68)),VALUE(LEFT(H68,SEARCH(":",H68)-1))*60+VALUE(MID(H68,SEARCH(":",H68)+1,99)),VALUE(H68)))</f>
        <v/>
      </c>
      <c r="J68" s="20">
        <f>IF(OR(G68&lt;&gt;"",AND(H68&lt;&gt;"",INDEX(05_Record_Benchmarks!$N:$N,MATCH(A68,05_Record_Benchmarks!$A:$A,0))="YES")),"YES","NO")</f>
        <v/>
      </c>
      <c r="K68" s="20" t="inlineStr">
        <is>
          <t>Next-fastest time supplied in user workbook; swimmer name not yet supplied.</t>
        </is>
      </c>
      <c r="L68" s="40" t="n"/>
    </row>
    <row r="69" ht="15" customHeight="1" s="17">
      <c r="A69" s="20" t="inlineStr">
        <is>
          <t>NZ|SCM|M|16|100 Breast</t>
        </is>
      </c>
      <c r="B69" s="20" t="n">
        <v>2</v>
      </c>
      <c r="C69" s="20" t="inlineStr">
        <is>
          <t>SCM</t>
        </is>
      </c>
      <c r="D69" s="20" t="inlineStr">
        <is>
          <t>Male</t>
        </is>
      </c>
      <c r="E69" s="20" t="n">
        <v>16</v>
      </c>
      <c r="F69" s="20" t="inlineStr">
        <is>
          <t>100 Breast</t>
        </is>
      </c>
      <c r="G69" s="20" t="n"/>
      <c r="H69" s="20" t="inlineStr">
        <is>
          <t>1:02.22</t>
        </is>
      </c>
      <c r="I69" s="20">
        <f>IF(H69="","",IF(ISNUMBER(SEARCH(":",H69)),VALUE(LEFT(H69,SEARCH(":",H69)-1))*60+VALUE(MID(H69,SEARCH(":",H69)+1,99)),VALUE(H69)))</f>
        <v/>
      </c>
      <c r="J69" s="20">
        <f>IF(OR(G69&lt;&gt;"",AND(H69&lt;&gt;"",INDEX(05_Record_Benchmarks!$N:$N,MATCH(A69,05_Record_Benchmarks!$A:$A,0))="YES")),"YES","NO")</f>
        <v/>
      </c>
      <c r="K69" s="20" t="inlineStr">
        <is>
          <t>Next-fastest time supplied in user workbook; swimmer name not yet supplied.</t>
        </is>
      </c>
      <c r="L69" s="40" t="n"/>
    </row>
    <row r="70" ht="15" customHeight="1" s="17">
      <c r="A70" s="20" t="inlineStr">
        <is>
          <t>NZ|SCM|M|16|200 Breast</t>
        </is>
      </c>
      <c r="B70" s="20" t="n">
        <v>2</v>
      </c>
      <c r="C70" s="20" t="inlineStr">
        <is>
          <t>SCM</t>
        </is>
      </c>
      <c r="D70" s="20" t="inlineStr">
        <is>
          <t>Male</t>
        </is>
      </c>
      <c r="E70" s="20" t="n">
        <v>16</v>
      </c>
      <c r="F70" s="20" t="inlineStr">
        <is>
          <t>200 Breast</t>
        </is>
      </c>
      <c r="G70" s="20" t="n"/>
      <c r="H70" s="20" t="inlineStr">
        <is>
          <t>2:12.88</t>
        </is>
      </c>
      <c r="I70" s="20">
        <f>IF(H70="","",IF(ISNUMBER(SEARCH(":",H70)),VALUE(LEFT(H70,SEARCH(":",H70)-1))*60+VALUE(MID(H70,SEARCH(":",H70)+1,99)),VALUE(H70)))</f>
        <v/>
      </c>
      <c r="J70" s="20">
        <f>IF(OR(G70&lt;&gt;"",AND(H70&lt;&gt;"",INDEX(05_Record_Benchmarks!$N:$N,MATCH(A70,05_Record_Benchmarks!$A:$A,0))="YES")),"YES","NO")</f>
        <v/>
      </c>
      <c r="K70" s="20" t="inlineStr">
        <is>
          <t>Next-fastest time supplied in user workbook; swimmer name not yet supplied.</t>
        </is>
      </c>
      <c r="L70" s="40" t="n"/>
    </row>
    <row r="71" ht="15" customHeight="1" s="17">
      <c r="A71" s="20" t="inlineStr">
        <is>
          <t>NZ|SCM|M|16|50 Fly</t>
        </is>
      </c>
      <c r="B71" s="20" t="n">
        <v>2</v>
      </c>
      <c r="C71" s="20" t="inlineStr">
        <is>
          <t>SCM</t>
        </is>
      </c>
      <c r="D71" s="20" t="inlineStr">
        <is>
          <t>Male</t>
        </is>
      </c>
      <c r="E71" s="20" t="n">
        <v>16</v>
      </c>
      <c r="F71" s="20" t="inlineStr">
        <is>
          <t>50 Fly</t>
        </is>
      </c>
      <c r="G71" s="20" t="n"/>
      <c r="H71" s="20" t="inlineStr">
        <is>
          <t>24.70</t>
        </is>
      </c>
      <c r="I71" s="20">
        <f>IF(H71="","",IF(ISNUMBER(SEARCH(":",H71)),VALUE(LEFT(H71,SEARCH(":",H71)-1))*60+VALUE(MID(H71,SEARCH(":",H71)+1,99)),VALUE(H71)))</f>
        <v/>
      </c>
      <c r="J71" s="20">
        <f>IF(OR(G71&lt;&gt;"",AND(H71&lt;&gt;"",INDEX(05_Record_Benchmarks!$N:$N,MATCH(A71,05_Record_Benchmarks!$A:$A,0))="YES")),"YES","NO")</f>
        <v/>
      </c>
      <c r="K71" s="20" t="inlineStr">
        <is>
          <t>Next-fastest time supplied in user workbook; swimmer name not yet supplied.</t>
        </is>
      </c>
      <c r="L71" s="40" t="n"/>
    </row>
    <row r="72" ht="15" customHeight="1" s="17">
      <c r="A72" s="20" t="inlineStr">
        <is>
          <t>NZ|SCM|M|16|100 Fly</t>
        </is>
      </c>
      <c r="B72" s="20" t="n">
        <v>2</v>
      </c>
      <c r="C72" s="20" t="inlineStr">
        <is>
          <t>SCM</t>
        </is>
      </c>
      <c r="D72" s="20" t="inlineStr">
        <is>
          <t>Male</t>
        </is>
      </c>
      <c r="E72" s="20" t="n">
        <v>16</v>
      </c>
      <c r="F72" s="20" t="inlineStr">
        <is>
          <t>100 Fly</t>
        </is>
      </c>
      <c r="G72" s="20" t="n"/>
      <c r="H72" s="20" t="inlineStr">
        <is>
          <t>53.96</t>
        </is>
      </c>
      <c r="I72" s="20">
        <f>IF(H72="","",IF(ISNUMBER(SEARCH(":",H72)),VALUE(LEFT(H72,SEARCH(":",H72)-1))*60+VALUE(MID(H72,SEARCH(":",H72)+1,99)),VALUE(H72)))</f>
        <v/>
      </c>
      <c r="J72" s="20">
        <f>IF(OR(G72&lt;&gt;"",AND(H72&lt;&gt;"",INDEX(05_Record_Benchmarks!$N:$N,MATCH(A72,05_Record_Benchmarks!$A:$A,0))="YES")),"YES","NO")</f>
        <v/>
      </c>
      <c r="K72" s="20" t="inlineStr">
        <is>
          <t>Next-fastest time supplied in user workbook; swimmer name not yet supplied.</t>
        </is>
      </c>
      <c r="L72" s="40" t="n"/>
    </row>
    <row r="73" ht="15" customHeight="1" s="17">
      <c r="A73" s="20" t="inlineStr">
        <is>
          <t>NZ|SCM|M|16|200 Fly</t>
        </is>
      </c>
      <c r="B73" s="20" t="n">
        <v>2</v>
      </c>
      <c r="C73" s="20" t="inlineStr">
        <is>
          <t>SCM</t>
        </is>
      </c>
      <c r="D73" s="20" t="inlineStr">
        <is>
          <t>Male</t>
        </is>
      </c>
      <c r="E73" s="20" t="n">
        <v>16</v>
      </c>
      <c r="F73" s="20" t="inlineStr">
        <is>
          <t>200 Fly</t>
        </is>
      </c>
      <c r="G73" s="20" t="n"/>
      <c r="H73" s="20" t="inlineStr">
        <is>
          <t>1:59.19</t>
        </is>
      </c>
      <c r="I73" s="20">
        <f>IF(H73="","",IF(ISNUMBER(SEARCH(":",H73)),VALUE(LEFT(H73,SEARCH(":",H73)-1))*60+VALUE(MID(H73,SEARCH(":",H73)+1,99)),VALUE(H73)))</f>
        <v/>
      </c>
      <c r="J73" s="20">
        <f>IF(OR(G73&lt;&gt;"",AND(H73&lt;&gt;"",INDEX(05_Record_Benchmarks!$N:$N,MATCH(A73,05_Record_Benchmarks!$A:$A,0))="YES")),"YES","NO")</f>
        <v/>
      </c>
      <c r="K73" s="20" t="inlineStr">
        <is>
          <t>Next-fastest time supplied in user workbook; swimmer name not yet supplied.</t>
        </is>
      </c>
      <c r="L73" s="40" t="n"/>
    </row>
    <row r="74" ht="15" customHeight="1" s="17">
      <c r="A74" s="20" t="inlineStr">
        <is>
          <t>NZ|SCM|M|16|100 IM</t>
        </is>
      </c>
      <c r="B74" s="20" t="n">
        <v>2</v>
      </c>
      <c r="C74" s="20" t="inlineStr">
        <is>
          <t>SCM</t>
        </is>
      </c>
      <c r="D74" s="20" t="inlineStr">
        <is>
          <t>Male</t>
        </is>
      </c>
      <c r="E74" s="20" t="n">
        <v>16</v>
      </c>
      <c r="F74" s="20" t="inlineStr">
        <is>
          <t>100 IM</t>
        </is>
      </c>
      <c r="G74" s="20" t="n"/>
      <c r="H74" s="20" t="inlineStr">
        <is>
          <t>56.31</t>
        </is>
      </c>
      <c r="I74" s="20">
        <f>IF(H74="","",IF(ISNUMBER(SEARCH(":",H74)),VALUE(LEFT(H74,SEARCH(":",H74)-1))*60+VALUE(MID(H74,SEARCH(":",H74)+1,99)),VALUE(H74)))</f>
        <v/>
      </c>
      <c r="J74" s="20">
        <f>IF(OR(G74&lt;&gt;"",AND(H74&lt;&gt;"",INDEX(05_Record_Benchmarks!$N:$N,MATCH(A74,05_Record_Benchmarks!$A:$A,0))="YES")),"YES","NO")</f>
        <v/>
      </c>
      <c r="K74" s="20" t="inlineStr">
        <is>
          <t>Next-fastest time supplied in user workbook; swimmer name not yet supplied.</t>
        </is>
      </c>
      <c r="L74" s="40" t="n"/>
    </row>
    <row r="75" ht="15" customHeight="1" s="17">
      <c r="A75" s="20" t="inlineStr">
        <is>
          <t>NZ|SCM|M|16|200 IM</t>
        </is>
      </c>
      <c r="B75" s="20" t="n">
        <v>2</v>
      </c>
      <c r="C75" s="20" t="inlineStr">
        <is>
          <t>SCM</t>
        </is>
      </c>
      <c r="D75" s="20" t="inlineStr">
        <is>
          <t>Male</t>
        </is>
      </c>
      <c r="E75" s="20" t="n">
        <v>16</v>
      </c>
      <c r="F75" s="20" t="inlineStr">
        <is>
          <t>200 IM</t>
        </is>
      </c>
      <c r="G75" s="20" t="n"/>
      <c r="H75" s="20" t="inlineStr">
        <is>
          <t>2:00.66</t>
        </is>
      </c>
      <c r="I75" s="20">
        <f>IF(H75="","",IF(ISNUMBER(SEARCH(":",H75)),VALUE(LEFT(H75,SEARCH(":",H75)-1))*60+VALUE(MID(H75,SEARCH(":",H75)+1,99)),VALUE(H75)))</f>
        <v/>
      </c>
      <c r="J75" s="20">
        <f>IF(OR(G75&lt;&gt;"",AND(H75&lt;&gt;"",INDEX(05_Record_Benchmarks!$N:$N,MATCH(A75,05_Record_Benchmarks!$A:$A,0))="YES")),"YES","NO")</f>
        <v/>
      </c>
      <c r="K75" s="20" t="inlineStr">
        <is>
          <t>Next-fastest time supplied in user workbook; swimmer name not yet supplied.</t>
        </is>
      </c>
      <c r="L75" s="40" t="n"/>
    </row>
    <row r="76" ht="15" customHeight="1" s="17">
      <c r="A76" s="20" t="inlineStr">
        <is>
          <t>NZ|SCM|M|16|400 IM</t>
        </is>
      </c>
      <c r="B76" s="20" t="n">
        <v>2</v>
      </c>
      <c r="C76" s="20" t="inlineStr">
        <is>
          <t>SCM</t>
        </is>
      </c>
      <c r="D76" s="20" t="inlineStr">
        <is>
          <t>Male</t>
        </is>
      </c>
      <c r="E76" s="20" t="n">
        <v>16</v>
      </c>
      <c r="F76" s="20" t="inlineStr">
        <is>
          <t>400 IM</t>
        </is>
      </c>
      <c r="G76" s="20" t="n"/>
      <c r="H76" s="20" t="inlineStr">
        <is>
          <t>4:17.94</t>
        </is>
      </c>
      <c r="I76" s="20">
        <f>IF(H76="","",IF(ISNUMBER(SEARCH(":",H76)),VALUE(LEFT(H76,SEARCH(":",H76)-1))*60+VALUE(MID(H76,SEARCH(":",H76)+1,99)),VALUE(H76)))</f>
        <v/>
      </c>
      <c r="J76" s="20">
        <f>IF(OR(G76&lt;&gt;"",AND(H76&lt;&gt;"",INDEX(05_Record_Benchmarks!$N:$N,MATCH(A76,05_Record_Benchmarks!$A:$A,0))="YES")),"YES","NO")</f>
        <v/>
      </c>
      <c r="K76" s="20" t="inlineStr">
        <is>
          <t>Next-fastest time supplied in user workbook; swimmer name not yet supplied.</t>
        </is>
      </c>
      <c r="L76" s="40" t="n"/>
    </row>
    <row r="77" ht="15" customHeight="1" s="17">
      <c r="A77" s="20" t="inlineStr">
        <is>
          <t>NZ|SCM|M|17|50 Free</t>
        </is>
      </c>
      <c r="B77" s="20" t="n">
        <v>2</v>
      </c>
      <c r="C77" s="20" t="inlineStr">
        <is>
          <t>SCM</t>
        </is>
      </c>
      <c r="D77" s="20" t="inlineStr">
        <is>
          <t>Male</t>
        </is>
      </c>
      <c r="E77" s="20" t="n">
        <v>17</v>
      </c>
      <c r="F77" s="20" t="inlineStr">
        <is>
          <t>50 Free</t>
        </is>
      </c>
      <c r="G77" s="20" t="n"/>
      <c r="H77" s="20" t="inlineStr">
        <is>
          <t>22.33</t>
        </is>
      </c>
      <c r="I77" s="20">
        <f>IF(H77="","",IF(ISNUMBER(SEARCH(":",H77)),VALUE(LEFT(H77,SEARCH(":",H77)-1))*60+VALUE(MID(H77,SEARCH(":",H77)+1,99)),VALUE(H77)))</f>
        <v/>
      </c>
      <c r="J77" s="20">
        <f>IF(OR(G77&lt;&gt;"",AND(H77&lt;&gt;"",INDEX(05_Record_Benchmarks!$N:$N,MATCH(A77,05_Record_Benchmarks!$A:$A,0))="YES")),"YES","NO")</f>
        <v/>
      </c>
      <c r="K77" s="20" t="inlineStr">
        <is>
          <t>Next-fastest time supplied in user workbook; swimmer name not yet supplied.</t>
        </is>
      </c>
      <c r="L77" s="40" t="n"/>
    </row>
    <row r="78" ht="15" customHeight="1" s="17">
      <c r="A78" s="20" t="inlineStr">
        <is>
          <t>NZ|SCM|M|17|100 Free</t>
        </is>
      </c>
      <c r="B78" s="20" t="n">
        <v>2</v>
      </c>
      <c r="C78" s="20" t="inlineStr">
        <is>
          <t>SCM</t>
        </is>
      </c>
      <c r="D78" s="20" t="inlineStr">
        <is>
          <t>Male</t>
        </is>
      </c>
      <c r="E78" s="20" t="n">
        <v>17</v>
      </c>
      <c r="F78" s="20" t="inlineStr">
        <is>
          <t>100 Free</t>
        </is>
      </c>
      <c r="G78" s="20" t="n"/>
      <c r="H78" s="20" t="inlineStr">
        <is>
          <t>48.97</t>
        </is>
      </c>
      <c r="I78" s="20">
        <f>IF(H78="","",IF(ISNUMBER(SEARCH(":",H78)),VALUE(LEFT(H78,SEARCH(":",H78)-1))*60+VALUE(MID(H78,SEARCH(":",H78)+1,99)),VALUE(H78)))</f>
        <v/>
      </c>
      <c r="J78" s="20">
        <f>IF(OR(G78&lt;&gt;"",AND(H78&lt;&gt;"",INDEX(05_Record_Benchmarks!$N:$N,MATCH(A78,05_Record_Benchmarks!$A:$A,0))="YES")),"YES","NO")</f>
        <v/>
      </c>
      <c r="K78" s="20" t="inlineStr">
        <is>
          <t>Next-fastest time supplied in user workbook; swimmer name not yet supplied.</t>
        </is>
      </c>
      <c r="L78" s="40" t="n"/>
    </row>
    <row r="79" ht="15" customHeight="1" s="17">
      <c r="A79" s="20" t="inlineStr">
        <is>
          <t>NZ|SCM|M|17|200 Free</t>
        </is>
      </c>
      <c r="B79" s="20" t="n">
        <v>2</v>
      </c>
      <c r="C79" s="20" t="inlineStr">
        <is>
          <t>SCM</t>
        </is>
      </c>
      <c r="D79" s="20" t="inlineStr">
        <is>
          <t>Male</t>
        </is>
      </c>
      <c r="E79" s="20" t="n">
        <v>17</v>
      </c>
      <c r="F79" s="20" t="inlineStr">
        <is>
          <t>200 Free</t>
        </is>
      </c>
      <c r="G79" s="20" t="n"/>
      <c r="H79" s="20" t="inlineStr">
        <is>
          <t>1:47.40</t>
        </is>
      </c>
      <c r="I79" s="20">
        <f>IF(H79="","",IF(ISNUMBER(SEARCH(":",H79)),VALUE(LEFT(H79,SEARCH(":",H79)-1))*60+VALUE(MID(H79,SEARCH(":",H79)+1,99)),VALUE(H79)))</f>
        <v/>
      </c>
      <c r="J79" s="20">
        <f>IF(OR(G79&lt;&gt;"",AND(H79&lt;&gt;"",INDEX(05_Record_Benchmarks!$N:$N,MATCH(A79,05_Record_Benchmarks!$A:$A,0))="YES")),"YES","NO")</f>
        <v/>
      </c>
      <c r="K79" s="20" t="inlineStr">
        <is>
          <t>Next-fastest time supplied in user workbook; swimmer name not yet supplied.</t>
        </is>
      </c>
      <c r="L79" s="40" t="n"/>
    </row>
    <row r="80" ht="15" customHeight="1" s="17">
      <c r="A80" s="20" t="inlineStr">
        <is>
          <t>NZ|SCM|M|17|400 Free</t>
        </is>
      </c>
      <c r="B80" s="20" t="n">
        <v>2</v>
      </c>
      <c r="C80" s="20" t="inlineStr">
        <is>
          <t>SCM</t>
        </is>
      </c>
      <c r="D80" s="20" t="inlineStr">
        <is>
          <t>Male</t>
        </is>
      </c>
      <c r="E80" s="20" t="n">
        <v>17</v>
      </c>
      <c r="F80" s="20" t="inlineStr">
        <is>
          <t>400 Free</t>
        </is>
      </c>
      <c r="G80" s="20" t="n"/>
      <c r="H80" s="20" t="inlineStr">
        <is>
          <t>3:48.44</t>
        </is>
      </c>
      <c r="I80" s="20">
        <f>IF(H80="","",IF(ISNUMBER(SEARCH(":",H80)),VALUE(LEFT(H80,SEARCH(":",H80)-1))*60+VALUE(MID(H80,SEARCH(":",H80)+1,99)),VALUE(H80)))</f>
        <v/>
      </c>
      <c r="J80" s="20">
        <f>IF(OR(G80&lt;&gt;"",AND(H80&lt;&gt;"",INDEX(05_Record_Benchmarks!$N:$N,MATCH(A80,05_Record_Benchmarks!$A:$A,0))="YES")),"YES","NO")</f>
        <v/>
      </c>
      <c r="K80" s="20" t="inlineStr">
        <is>
          <t>Next-fastest time supplied in user workbook; swimmer name not yet supplied.</t>
        </is>
      </c>
      <c r="L80" s="40" t="n"/>
    </row>
    <row r="81" ht="15" customHeight="1" s="17">
      <c r="A81" s="20" t="inlineStr">
        <is>
          <t>NZ|SCM|M|17|800 Free</t>
        </is>
      </c>
      <c r="B81" s="20" t="n">
        <v>2</v>
      </c>
      <c r="C81" s="20" t="inlineStr">
        <is>
          <t>SCM</t>
        </is>
      </c>
      <c r="D81" s="20" t="inlineStr">
        <is>
          <t>Male</t>
        </is>
      </c>
      <c r="E81" s="20" t="n">
        <v>17</v>
      </c>
      <c r="F81" s="20" t="inlineStr">
        <is>
          <t>800 Free</t>
        </is>
      </c>
      <c r="G81" s="20" t="n"/>
      <c r="H81" s="20" t="inlineStr">
        <is>
          <t>7:55.74</t>
        </is>
      </c>
      <c r="I81" s="20">
        <f>IF(H81="","",IF(ISNUMBER(SEARCH(":",H81)),VALUE(LEFT(H81,SEARCH(":",H81)-1))*60+VALUE(MID(H81,SEARCH(":",H81)+1,99)),VALUE(H81)))</f>
        <v/>
      </c>
      <c r="J81" s="20">
        <f>IF(OR(G81&lt;&gt;"",AND(H81&lt;&gt;"",INDEX(05_Record_Benchmarks!$N:$N,MATCH(A81,05_Record_Benchmarks!$A:$A,0))="YES")),"YES","NO")</f>
        <v/>
      </c>
      <c r="K81" s="20" t="inlineStr">
        <is>
          <t>Next-fastest time supplied in user workbook; swimmer name not yet supplied.</t>
        </is>
      </c>
      <c r="L81" s="40" t="n"/>
    </row>
    <row r="82" ht="15" customHeight="1" s="17">
      <c r="A82" s="20" t="inlineStr">
        <is>
          <t>NZ|SCM|M|17|1500 Free</t>
        </is>
      </c>
      <c r="B82" s="20" t="n">
        <v>2</v>
      </c>
      <c r="C82" s="20" t="inlineStr">
        <is>
          <t>SCM</t>
        </is>
      </c>
      <c r="D82" s="20" t="inlineStr">
        <is>
          <t>Male</t>
        </is>
      </c>
      <c r="E82" s="20" t="n">
        <v>17</v>
      </c>
      <c r="F82" s="20" t="inlineStr">
        <is>
          <t>1500 Free</t>
        </is>
      </c>
      <c r="G82" s="20" t="n"/>
      <c r="H82" s="20" t="inlineStr">
        <is>
          <t>15:10.72</t>
        </is>
      </c>
      <c r="I82" s="20">
        <f>IF(H82="","",IF(ISNUMBER(SEARCH(":",H82)),VALUE(LEFT(H82,SEARCH(":",H82)-1))*60+VALUE(MID(H82,SEARCH(":",H82)+1,99)),VALUE(H82)))</f>
        <v/>
      </c>
      <c r="J82" s="20">
        <f>IF(OR(G82&lt;&gt;"",AND(H82&lt;&gt;"",INDEX(05_Record_Benchmarks!$N:$N,MATCH(A82,05_Record_Benchmarks!$A:$A,0))="YES")),"YES","NO")</f>
        <v/>
      </c>
      <c r="K82" s="20" t="inlineStr">
        <is>
          <t>Next-fastest time supplied in user workbook; swimmer name not yet supplied.</t>
        </is>
      </c>
      <c r="L82" s="40" t="n"/>
    </row>
    <row r="83" ht="15" customHeight="1" s="17">
      <c r="A83" s="20" t="inlineStr">
        <is>
          <t>NZ|SCM|M|17|50 Back</t>
        </is>
      </c>
      <c r="B83" s="20" t="n">
        <v>2</v>
      </c>
      <c r="C83" s="20" t="inlineStr">
        <is>
          <t>SCM</t>
        </is>
      </c>
      <c r="D83" s="20" t="inlineStr">
        <is>
          <t>Male</t>
        </is>
      </c>
      <c r="E83" s="20" t="n">
        <v>17</v>
      </c>
      <c r="F83" s="20" t="inlineStr">
        <is>
          <t>50 Back</t>
        </is>
      </c>
      <c r="G83" s="20" t="n"/>
      <c r="H83" s="20" t="inlineStr">
        <is>
          <t>24.61</t>
        </is>
      </c>
      <c r="I83" s="20">
        <f>IF(H83="","",IF(ISNUMBER(SEARCH(":",H83)),VALUE(LEFT(H83,SEARCH(":",H83)-1))*60+VALUE(MID(H83,SEARCH(":",H83)+1,99)),VALUE(H83)))</f>
        <v/>
      </c>
      <c r="J83" s="20">
        <f>IF(OR(G83&lt;&gt;"",AND(H83&lt;&gt;"",INDEX(05_Record_Benchmarks!$N:$N,MATCH(A83,05_Record_Benchmarks!$A:$A,0))="YES")),"YES","NO")</f>
        <v/>
      </c>
      <c r="K83" s="20" t="inlineStr">
        <is>
          <t>Next-fastest time supplied in user workbook; swimmer name not yet supplied.</t>
        </is>
      </c>
      <c r="L83" s="40" t="n"/>
    </row>
    <row r="84" ht="15" customHeight="1" s="17">
      <c r="A84" s="20" t="inlineStr">
        <is>
          <t>NZ|SCM|M|17|100 Back</t>
        </is>
      </c>
      <c r="B84" s="20" t="n">
        <v>2</v>
      </c>
      <c r="C84" s="20" t="inlineStr">
        <is>
          <t>SCM</t>
        </is>
      </c>
      <c r="D84" s="20" t="inlineStr">
        <is>
          <t>Male</t>
        </is>
      </c>
      <c r="E84" s="20" t="n">
        <v>17</v>
      </c>
      <c r="F84" s="20" t="inlineStr">
        <is>
          <t>100 Back</t>
        </is>
      </c>
      <c r="G84" s="20" t="n"/>
      <c r="H84" s="20" t="inlineStr">
        <is>
          <t>52.45</t>
        </is>
      </c>
      <c r="I84" s="20">
        <f>IF(H84="","",IF(ISNUMBER(SEARCH(":",H84)),VALUE(LEFT(H84,SEARCH(":",H84)-1))*60+VALUE(MID(H84,SEARCH(":",H84)+1,99)),VALUE(H84)))</f>
        <v/>
      </c>
      <c r="J84" s="20">
        <f>IF(OR(G84&lt;&gt;"",AND(H84&lt;&gt;"",INDEX(05_Record_Benchmarks!$N:$N,MATCH(A84,05_Record_Benchmarks!$A:$A,0))="YES")),"YES","NO")</f>
        <v/>
      </c>
      <c r="K84" s="20" t="inlineStr">
        <is>
          <t>Next-fastest time supplied in user workbook; swimmer name not yet supplied.</t>
        </is>
      </c>
      <c r="L84" s="40" t="n"/>
    </row>
    <row r="85" ht="15" customHeight="1" s="17">
      <c r="A85" s="20" t="inlineStr">
        <is>
          <t>NZ|SCM|M|17|200 Back</t>
        </is>
      </c>
      <c r="B85" s="20" t="n">
        <v>2</v>
      </c>
      <c r="C85" s="20" t="inlineStr">
        <is>
          <t>SCM</t>
        </is>
      </c>
      <c r="D85" s="20" t="inlineStr">
        <is>
          <t>Male</t>
        </is>
      </c>
      <c r="E85" s="20" t="n">
        <v>17</v>
      </c>
      <c r="F85" s="20" t="inlineStr">
        <is>
          <t>200 Back</t>
        </is>
      </c>
      <c r="G85" s="20" t="n"/>
      <c r="H85" s="20" t="inlineStr">
        <is>
          <t>1:55.95</t>
        </is>
      </c>
      <c r="I85" s="20">
        <f>IF(H85="","",IF(ISNUMBER(SEARCH(":",H85)),VALUE(LEFT(H85,SEARCH(":",H85)-1))*60+VALUE(MID(H85,SEARCH(":",H85)+1,99)),VALUE(H85)))</f>
        <v/>
      </c>
      <c r="J85" s="20">
        <f>IF(OR(G85&lt;&gt;"",AND(H85&lt;&gt;"",INDEX(05_Record_Benchmarks!$N:$N,MATCH(A85,05_Record_Benchmarks!$A:$A,0))="YES")),"YES","NO")</f>
        <v/>
      </c>
      <c r="K85" s="20" t="inlineStr">
        <is>
          <t>Next-fastest time supplied in user workbook; swimmer name not yet supplied.</t>
        </is>
      </c>
      <c r="L85" s="40" t="n"/>
    </row>
    <row r="86" ht="15" customHeight="1" s="17">
      <c r="A86" s="20" t="inlineStr">
        <is>
          <t>NZ|SCM|M|17|50 Breast</t>
        </is>
      </c>
      <c r="B86" s="20" t="n">
        <v>2</v>
      </c>
      <c r="C86" s="20" t="inlineStr">
        <is>
          <t>SCM</t>
        </is>
      </c>
      <c r="D86" s="20" t="inlineStr">
        <is>
          <t>Male</t>
        </is>
      </c>
      <c r="E86" s="20" t="n">
        <v>17</v>
      </c>
      <c r="F86" s="20" t="inlineStr">
        <is>
          <t>50 Breast</t>
        </is>
      </c>
      <c r="G86" s="20" t="n"/>
      <c r="H86" s="20" t="inlineStr">
        <is>
          <t>27.90</t>
        </is>
      </c>
      <c r="I86" s="20">
        <f>IF(H86="","",IF(ISNUMBER(SEARCH(":",H86)),VALUE(LEFT(H86,SEARCH(":",H86)-1))*60+VALUE(MID(H86,SEARCH(":",H86)+1,99)),VALUE(H86)))</f>
        <v/>
      </c>
      <c r="J86" s="20">
        <f>IF(OR(G86&lt;&gt;"",AND(H86&lt;&gt;"",INDEX(05_Record_Benchmarks!$N:$N,MATCH(A86,05_Record_Benchmarks!$A:$A,0))="YES")),"YES","NO")</f>
        <v/>
      </c>
      <c r="K86" s="20" t="inlineStr">
        <is>
          <t>Next-fastest time supplied in user workbook; swimmer name not yet supplied.</t>
        </is>
      </c>
      <c r="L86" s="40" t="n"/>
    </row>
    <row r="87" ht="15" customHeight="1" s="17">
      <c r="A87" s="20" t="inlineStr">
        <is>
          <t>NZ|SCM|M|17|100 Breast</t>
        </is>
      </c>
      <c r="B87" s="20" t="n">
        <v>2</v>
      </c>
      <c r="C87" s="20" t="inlineStr">
        <is>
          <t>SCM</t>
        </is>
      </c>
      <c r="D87" s="20" t="inlineStr">
        <is>
          <t>Male</t>
        </is>
      </c>
      <c r="E87" s="20" t="n">
        <v>17</v>
      </c>
      <c r="F87" s="20" t="inlineStr">
        <is>
          <t>100 Breast</t>
        </is>
      </c>
      <c r="G87" s="20" t="inlineStr">
        <is>
          <t>Erik Kahr</t>
        </is>
      </c>
      <c r="H87" s="20" t="inlineStr">
        <is>
          <t>1:00.77</t>
        </is>
      </c>
      <c r="I87" s="20">
        <f>IF(H87="","",IF(ISNUMBER(SEARCH(":",H87)),VALUE(LEFT(H87,SEARCH(":",H87)-1))*60+VALUE(MID(H87,SEARCH(":",H87)+1,99)),VALUE(H87)))</f>
        <v/>
      </c>
      <c r="J87" s="20">
        <f>IF(OR(G87&lt;&gt;"",AND(H87&lt;&gt;"",INDEX(05_Record_Benchmarks!$N:$N,MATCH(A87,05_Record_Benchmarks!$A:$A,0))="YES")),"YES","NO")</f>
        <v/>
      </c>
      <c r="K87" s="20" t="inlineStr">
        <is>
          <t>Auto-set from displaced NZ record after NZSC 2026.</t>
        </is>
      </c>
      <c r="L87" s="40" t="n">
        <v>46303</v>
      </c>
    </row>
    <row r="88" ht="15" customHeight="1" s="17">
      <c r="A88" s="20" t="inlineStr">
        <is>
          <t>NZ|SCM|M|17|200 Breast</t>
        </is>
      </c>
      <c r="B88" s="20" t="n">
        <v>2</v>
      </c>
      <c r="C88" s="20" t="inlineStr">
        <is>
          <t>SCM</t>
        </is>
      </c>
      <c r="D88" s="20" t="inlineStr">
        <is>
          <t>Male</t>
        </is>
      </c>
      <c r="E88" s="20" t="n">
        <v>17</v>
      </c>
      <c r="F88" s="20" t="inlineStr">
        <is>
          <t>200 Breast</t>
        </is>
      </c>
      <c r="G88" s="20" t="n"/>
      <c r="H88" s="20" t="inlineStr">
        <is>
          <t>2:13.09</t>
        </is>
      </c>
      <c r="I88" s="20">
        <f>IF(H88="","",IF(ISNUMBER(SEARCH(":",H88)),VALUE(LEFT(H88,SEARCH(":",H88)-1))*60+VALUE(MID(H88,SEARCH(":",H88)+1,99)),VALUE(H88)))</f>
        <v/>
      </c>
      <c r="J88" s="20">
        <f>IF(OR(G88&lt;&gt;"",AND(H88&lt;&gt;"",INDEX(05_Record_Benchmarks!$N:$N,MATCH(A88,05_Record_Benchmarks!$A:$A,0))="YES")),"YES","NO")</f>
        <v/>
      </c>
      <c r="K88" s="20" t="inlineStr">
        <is>
          <t>Next-fastest time supplied in user workbook; swimmer name not yet supplied.</t>
        </is>
      </c>
      <c r="L88" s="40" t="n"/>
    </row>
    <row r="89" ht="15" customHeight="1" s="17">
      <c r="A89" s="20" t="inlineStr">
        <is>
          <t>NZ|SCM|M|17|50 Fly</t>
        </is>
      </c>
      <c r="B89" s="20" t="n">
        <v>2</v>
      </c>
      <c r="C89" s="20" t="inlineStr">
        <is>
          <t>SCM</t>
        </is>
      </c>
      <c r="D89" s="20" t="inlineStr">
        <is>
          <t>Male</t>
        </is>
      </c>
      <c r="E89" s="20" t="n">
        <v>17</v>
      </c>
      <c r="F89" s="20" t="inlineStr">
        <is>
          <t>50 Fly</t>
        </is>
      </c>
      <c r="G89" s="20" t="n"/>
      <c r="H89" s="20" t="inlineStr">
        <is>
          <t>24.08</t>
        </is>
      </c>
      <c r="I89" s="20">
        <f>IF(H89="","",IF(ISNUMBER(SEARCH(":",H89)),VALUE(LEFT(H89,SEARCH(":",H89)-1))*60+VALUE(MID(H89,SEARCH(":",H89)+1,99)),VALUE(H89)))</f>
        <v/>
      </c>
      <c r="J89" s="20">
        <f>IF(OR(G89&lt;&gt;"",AND(H89&lt;&gt;"",INDEX(05_Record_Benchmarks!$N:$N,MATCH(A89,05_Record_Benchmarks!$A:$A,0))="YES")),"YES","NO")</f>
        <v/>
      </c>
      <c r="K89" s="20" t="inlineStr">
        <is>
          <t>Next-fastest time supplied in user workbook; swimmer name not yet supplied.</t>
        </is>
      </c>
      <c r="L89" s="40" t="n"/>
    </row>
    <row r="90" ht="15" customHeight="1" s="17">
      <c r="A90" s="20" t="inlineStr">
        <is>
          <t>NZ|SCM|M|17|100 Fly</t>
        </is>
      </c>
      <c r="B90" s="20" t="n">
        <v>2</v>
      </c>
      <c r="C90" s="20" t="inlineStr">
        <is>
          <t>SCM</t>
        </is>
      </c>
      <c r="D90" s="20" t="inlineStr">
        <is>
          <t>Male</t>
        </is>
      </c>
      <c r="E90" s="20" t="n">
        <v>17</v>
      </c>
      <c r="F90" s="20" t="inlineStr">
        <is>
          <t>100 Fly</t>
        </is>
      </c>
      <c r="G90" s="20" t="n"/>
      <c r="H90" s="20" t="inlineStr">
        <is>
          <t>53.13</t>
        </is>
      </c>
      <c r="I90" s="20">
        <f>IF(H90="","",IF(ISNUMBER(SEARCH(":",H90)),VALUE(LEFT(H90,SEARCH(":",H90)-1))*60+VALUE(MID(H90,SEARCH(":",H90)+1,99)),VALUE(H90)))</f>
        <v/>
      </c>
      <c r="J90" s="20">
        <f>IF(OR(G90&lt;&gt;"",AND(H90&lt;&gt;"",INDEX(05_Record_Benchmarks!$N:$N,MATCH(A90,05_Record_Benchmarks!$A:$A,0))="YES")),"YES","NO")</f>
        <v/>
      </c>
      <c r="K90" s="20" t="inlineStr">
        <is>
          <t>Next-fastest time supplied in user workbook; swimmer name not yet supplied.</t>
        </is>
      </c>
      <c r="L90" s="40" t="n"/>
    </row>
    <row r="91" ht="15" customHeight="1" s="17">
      <c r="A91" s="20" t="inlineStr">
        <is>
          <t>NZ|SCM|M|17|200 Fly</t>
        </is>
      </c>
      <c r="B91" s="20" t="n">
        <v>2</v>
      </c>
      <c r="C91" s="20" t="inlineStr">
        <is>
          <t>SCM</t>
        </is>
      </c>
      <c r="D91" s="20" t="inlineStr">
        <is>
          <t>Male</t>
        </is>
      </c>
      <c r="E91" s="20" t="n">
        <v>17</v>
      </c>
      <c r="F91" s="20" t="inlineStr">
        <is>
          <t>200 Fly</t>
        </is>
      </c>
      <c r="G91" s="20" t="inlineStr">
        <is>
          <t>Wilrich Coetzee</t>
        </is>
      </c>
      <c r="H91" s="20" t="inlineStr">
        <is>
          <t>1:58.50</t>
        </is>
      </c>
      <c r="I91" s="20">
        <f>IF(H91="","",IF(ISNUMBER(SEARCH(":",H91)),VALUE(LEFT(H91,SEARCH(":",H91)-1))*60+VALUE(MID(H91,SEARCH(":",H91)+1,99)),VALUE(H91)))</f>
        <v/>
      </c>
      <c r="J91" s="20">
        <f>IF(OR(G91&lt;&gt;"",AND(H91&lt;&gt;"",INDEX(05_Record_Benchmarks!$N:$N,MATCH(A91,05_Record_Benchmarks!$A:$A,0))="YES")),"YES","NO")</f>
        <v/>
      </c>
      <c r="K91" s="20" t="inlineStr">
        <is>
          <t>Next-fastest time supplied in user workbook; swimmer name not yet supplied.</t>
        </is>
      </c>
      <c r="L91" s="40" t="n">
        <v>46303</v>
      </c>
    </row>
    <row r="92" ht="15" customHeight="1" s="17">
      <c r="A92" s="20" t="inlineStr">
        <is>
          <t>NZ|SCM|M|17|100 IM</t>
        </is>
      </c>
      <c r="B92" s="20" t="n">
        <v>2</v>
      </c>
      <c r="C92" s="20" t="inlineStr">
        <is>
          <t>SCM</t>
        </is>
      </c>
      <c r="D92" s="20" t="inlineStr">
        <is>
          <t>Male</t>
        </is>
      </c>
      <c r="E92" s="20" t="n">
        <v>17</v>
      </c>
      <c r="F92" s="20" t="inlineStr">
        <is>
          <t>100 IM</t>
        </is>
      </c>
      <c r="G92" s="20" t="n"/>
      <c r="H92" s="20" t="inlineStr">
        <is>
          <t>55.37</t>
        </is>
      </c>
      <c r="I92" s="20">
        <f>IF(H92="","",IF(ISNUMBER(SEARCH(":",H92)),VALUE(LEFT(H92,SEARCH(":",H92)-1))*60+VALUE(MID(H92,SEARCH(":",H92)+1,99)),VALUE(H92)))</f>
        <v/>
      </c>
      <c r="J92" s="20">
        <f>IF(OR(G92&lt;&gt;"",AND(H92&lt;&gt;"",INDEX(05_Record_Benchmarks!$N:$N,MATCH(A92,05_Record_Benchmarks!$A:$A,0))="YES")),"YES","NO")</f>
        <v/>
      </c>
      <c r="K92" s="20" t="inlineStr">
        <is>
          <t>Next-fastest time supplied in user workbook; swimmer name not yet supplied.</t>
        </is>
      </c>
      <c r="L92" s="40" t="n"/>
    </row>
    <row r="93" ht="15" customHeight="1" s="17">
      <c r="A93" s="20" t="inlineStr">
        <is>
          <t>NZ|SCM|M|17|200 IM</t>
        </is>
      </c>
      <c r="B93" s="20" t="n">
        <v>2</v>
      </c>
      <c r="C93" s="20" t="inlineStr">
        <is>
          <t>SCM</t>
        </is>
      </c>
      <c r="D93" s="20" t="inlineStr">
        <is>
          <t>Male</t>
        </is>
      </c>
      <c r="E93" s="20" t="n">
        <v>17</v>
      </c>
      <c r="F93" s="20" t="inlineStr">
        <is>
          <t>200 IM</t>
        </is>
      </c>
      <c r="G93" s="20" t="n"/>
      <c r="H93" s="20" t="inlineStr">
        <is>
          <t>1:58.70</t>
        </is>
      </c>
      <c r="I93" s="20">
        <f>IF(H93="","",IF(ISNUMBER(SEARCH(":",H93)),VALUE(LEFT(H93,SEARCH(":",H93)-1))*60+VALUE(MID(H93,SEARCH(":",H93)+1,99)),VALUE(H93)))</f>
        <v/>
      </c>
      <c r="J93" s="20">
        <f>IF(OR(G93&lt;&gt;"",AND(H93&lt;&gt;"",INDEX(05_Record_Benchmarks!$N:$N,MATCH(A93,05_Record_Benchmarks!$A:$A,0))="YES")),"YES","NO")</f>
        <v/>
      </c>
      <c r="K93" s="20" t="inlineStr">
        <is>
          <t>Next-fastest time supplied in user workbook; swimmer name not yet supplied.</t>
        </is>
      </c>
      <c r="L93" s="40" t="n"/>
    </row>
    <row r="94" ht="15" customHeight="1" s="17">
      <c r="A94" s="20" t="inlineStr">
        <is>
          <t>NZ|SCM|M|17|400 IM</t>
        </is>
      </c>
      <c r="B94" s="20" t="n">
        <v>2</v>
      </c>
      <c r="C94" s="20" t="inlineStr">
        <is>
          <t>SCM</t>
        </is>
      </c>
      <c r="D94" s="20" t="inlineStr">
        <is>
          <t>Male</t>
        </is>
      </c>
      <c r="E94" s="20" t="n">
        <v>17</v>
      </c>
      <c r="F94" s="20" t="inlineStr">
        <is>
          <t>400 IM</t>
        </is>
      </c>
      <c r="G94" s="20" t="n"/>
      <c r="H94" s="20" t="inlineStr">
        <is>
          <t>4:17.65</t>
        </is>
      </c>
      <c r="I94" s="20">
        <f>IF(H94="","",IF(ISNUMBER(SEARCH(":",H94)),VALUE(LEFT(H94,SEARCH(":",H94)-1))*60+VALUE(MID(H94,SEARCH(":",H94)+1,99)),VALUE(H94)))</f>
        <v/>
      </c>
      <c r="J94" s="20">
        <f>IF(OR(G94&lt;&gt;"",AND(H94&lt;&gt;"",INDEX(05_Record_Benchmarks!$N:$N,MATCH(A94,05_Record_Benchmarks!$A:$A,0))="YES")),"YES","NO")</f>
        <v/>
      </c>
      <c r="K94" s="20" t="inlineStr">
        <is>
          <t>Next-fastest time supplied in user workbook; swimmer name not yet supplied.</t>
        </is>
      </c>
      <c r="L94" s="40" t="n"/>
    </row>
    <row r="95" ht="15" customHeight="1" s="17">
      <c r="A95" s="20" t="inlineStr">
        <is>
          <t>NZ|SCM|M|18|50 Free</t>
        </is>
      </c>
      <c r="B95" s="20" t="n">
        <v>2</v>
      </c>
      <c r="C95" s="20" t="inlineStr">
        <is>
          <t>SCM</t>
        </is>
      </c>
      <c r="D95" s="20" t="inlineStr">
        <is>
          <t>Male</t>
        </is>
      </c>
      <c r="E95" s="20" t="n">
        <v>18</v>
      </c>
      <c r="F95" s="20" t="inlineStr">
        <is>
          <t>50 Free</t>
        </is>
      </c>
      <c r="G95" s="20" t="n"/>
      <c r="H95" s="20" t="inlineStr">
        <is>
          <t>22.24</t>
        </is>
      </c>
      <c r="I95" s="20">
        <f>IF(H95="","",IF(ISNUMBER(SEARCH(":",H95)),VALUE(LEFT(H95,SEARCH(":",H95)-1))*60+VALUE(MID(H95,SEARCH(":",H95)+1,99)),VALUE(H95)))</f>
        <v/>
      </c>
      <c r="J95" s="20">
        <f>IF(OR(G95&lt;&gt;"",AND(H95&lt;&gt;"",INDEX(05_Record_Benchmarks!$N:$N,MATCH(A95,05_Record_Benchmarks!$A:$A,0))="YES")),"YES","NO")</f>
        <v/>
      </c>
      <c r="K95" s="20" t="inlineStr">
        <is>
          <t>Next-fastest time supplied in user workbook; swimmer name not yet supplied.</t>
        </is>
      </c>
      <c r="L95" s="40" t="n"/>
    </row>
    <row r="96" ht="15" customHeight="1" s="17">
      <c r="A96" s="20" t="inlineStr">
        <is>
          <t>NZ|SCM|M|18|100 Free</t>
        </is>
      </c>
      <c r="B96" s="20" t="n">
        <v>2</v>
      </c>
      <c r="C96" s="20" t="inlineStr">
        <is>
          <t>SCM</t>
        </is>
      </c>
      <c r="D96" s="20" t="inlineStr">
        <is>
          <t>Male</t>
        </is>
      </c>
      <c r="E96" s="20" t="n">
        <v>18</v>
      </c>
      <c r="F96" s="20" t="inlineStr">
        <is>
          <t>100 Free</t>
        </is>
      </c>
      <c r="G96" s="20" t="inlineStr">
        <is>
          <t>Michael Pickett</t>
        </is>
      </c>
      <c r="H96" s="20" t="inlineStr">
        <is>
          <t>48.61</t>
        </is>
      </c>
      <c r="I96" s="20">
        <f>IF(H96="","",IF(ISNUMBER(SEARCH(":",H96)),VALUE(LEFT(H96,SEARCH(":",H96)-1))*60+VALUE(MID(H96,SEARCH(":",H96)+1,99)),VALUE(H96)))</f>
        <v/>
      </c>
      <c r="J96" s="20">
        <f>IF(OR(G96&lt;&gt;"",AND(H96&lt;&gt;"",INDEX(05_Record_Benchmarks!$N:$N,MATCH(A96,05_Record_Benchmarks!$A:$A,0))="YES")),"YES","NO")</f>
        <v/>
      </c>
      <c r="K96" s="20" t="inlineStr">
        <is>
          <t>Auto-set from displaced NZ record after NZSC 2026.</t>
        </is>
      </c>
      <c r="L96" s="40" t="n">
        <v>46303</v>
      </c>
    </row>
    <row r="97" ht="15" customHeight="1" s="17">
      <c r="A97" s="20" t="inlineStr">
        <is>
          <t>NZ|SCM|M|18|200 Free</t>
        </is>
      </c>
      <c r="B97" s="20" t="n">
        <v>2</v>
      </c>
      <c r="C97" s="20" t="inlineStr">
        <is>
          <t>SCM</t>
        </is>
      </c>
      <c r="D97" s="20" t="inlineStr">
        <is>
          <t>Male</t>
        </is>
      </c>
      <c r="E97" s="20" t="n">
        <v>18</v>
      </c>
      <c r="F97" s="20" t="inlineStr">
        <is>
          <t>200 Free</t>
        </is>
      </c>
      <c r="G97" s="20" t="inlineStr">
        <is>
          <t>Matthew Huchins</t>
        </is>
      </c>
      <c r="H97" s="20" t="inlineStr">
        <is>
          <t>1:46.47</t>
        </is>
      </c>
      <c r="I97" s="20">
        <f>IF(H97="","",IF(ISNUMBER(SEARCH(":",H97)),VALUE(LEFT(H97,SEARCH(":",H97)-1))*60+VALUE(MID(H97,SEARCH(":",H97)+1,99)),VALUE(H97)))</f>
        <v/>
      </c>
      <c r="J97" s="20">
        <f>IF(OR(G97&lt;&gt;"",AND(H97&lt;&gt;"",INDEX(05_Record_Benchmarks!$N:$N,MATCH(A97,05_Record_Benchmarks!$A:$A,0))="YES")),"YES","NO")</f>
        <v/>
      </c>
      <c r="K97" s="20" t="inlineStr">
        <is>
          <t>Auto-set from displaced NZ record after NZSC 2026.</t>
        </is>
      </c>
      <c r="L97" s="40" t="n">
        <v>46303</v>
      </c>
    </row>
    <row r="98" ht="15" customHeight="1" s="17">
      <c r="A98" s="20" t="inlineStr">
        <is>
          <t>NZ|SCM|M|18|400 Free</t>
        </is>
      </c>
      <c r="B98" s="20" t="n">
        <v>2</v>
      </c>
      <c r="C98" s="20" t="inlineStr">
        <is>
          <t>SCM</t>
        </is>
      </c>
      <c r="D98" s="20" t="inlineStr">
        <is>
          <t>Male</t>
        </is>
      </c>
      <c r="E98" s="20" t="n">
        <v>18</v>
      </c>
      <c r="F98" s="20" t="inlineStr">
        <is>
          <t>400 Free</t>
        </is>
      </c>
      <c r="G98" s="20" t="n"/>
      <c r="H98" s="20" t="inlineStr">
        <is>
          <t>3:45.65</t>
        </is>
      </c>
      <c r="I98" s="20">
        <f>IF(H98="","",IF(ISNUMBER(SEARCH(":",H98)),VALUE(LEFT(H98,SEARCH(":",H98)-1))*60+VALUE(MID(H98,SEARCH(":",H98)+1,99)),VALUE(H98)))</f>
        <v/>
      </c>
      <c r="J98" s="20">
        <f>IF(OR(G98&lt;&gt;"",AND(H98&lt;&gt;"",INDEX(05_Record_Benchmarks!$N:$N,MATCH(A98,05_Record_Benchmarks!$A:$A,0))="YES")),"YES","NO")</f>
        <v/>
      </c>
      <c r="K98" s="20" t="inlineStr">
        <is>
          <t>User-supplied next-fastest time; Standard has no swimmer record holder.</t>
        </is>
      </c>
      <c r="L98" s="40" t="n"/>
    </row>
    <row r="99" ht="15" customHeight="1" s="17">
      <c r="A99" s="20" t="inlineStr">
        <is>
          <t>NZ|SCM|M|18|800 Free</t>
        </is>
      </c>
      <c r="B99" s="20" t="n">
        <v>2</v>
      </c>
      <c r="C99" s="20" t="inlineStr">
        <is>
          <t>SCM</t>
        </is>
      </c>
      <c r="D99" s="20" t="inlineStr">
        <is>
          <t>Male</t>
        </is>
      </c>
      <c r="E99" s="20" t="n">
        <v>18</v>
      </c>
      <c r="F99" s="20" t="inlineStr">
        <is>
          <t>800 Free</t>
        </is>
      </c>
      <c r="G99" s="20" t="n"/>
      <c r="H99" s="20" t="inlineStr">
        <is>
          <t>7:57.76</t>
        </is>
      </c>
      <c r="I99" s="20">
        <f>IF(H99="","",IF(ISNUMBER(SEARCH(":",H99)),VALUE(LEFT(H99,SEARCH(":",H99)-1))*60+VALUE(MID(H99,SEARCH(":",H99)+1,99)),VALUE(H99)))</f>
        <v/>
      </c>
      <c r="J99" s="20">
        <f>IF(OR(G99&lt;&gt;"",AND(H99&lt;&gt;"",INDEX(05_Record_Benchmarks!$N:$N,MATCH(A99,05_Record_Benchmarks!$A:$A,0))="YES")),"YES","NO")</f>
        <v/>
      </c>
      <c r="K99" s="20" t="inlineStr">
        <is>
          <t>Next-fastest time supplied in user workbook; swimmer name not yet supplied.</t>
        </is>
      </c>
      <c r="L99" s="40" t="n"/>
    </row>
    <row r="100" ht="15" customHeight="1" s="17">
      <c r="A100" s="20" t="inlineStr">
        <is>
          <t>NZ|SCM|M|18|1500 Free</t>
        </is>
      </c>
      <c r="B100" s="20" t="n">
        <v>2</v>
      </c>
      <c r="C100" s="20" t="inlineStr">
        <is>
          <t>SCM</t>
        </is>
      </c>
      <c r="D100" s="20" t="inlineStr">
        <is>
          <t>Male</t>
        </is>
      </c>
      <c r="E100" s="20" t="n">
        <v>18</v>
      </c>
      <c r="F100" s="20" t="inlineStr">
        <is>
          <t>1500 Free</t>
        </is>
      </c>
      <c r="G100" s="20" t="n"/>
      <c r="H100" s="20" t="inlineStr">
        <is>
          <t>15:02.32</t>
        </is>
      </c>
      <c r="I100" s="20">
        <f>IF(H100="","",IF(ISNUMBER(SEARCH(":",H100)),VALUE(LEFT(H100,SEARCH(":",H100)-1))*60+VALUE(MID(H100,SEARCH(":",H100)+1,99)),VALUE(H100)))</f>
        <v/>
      </c>
      <c r="J100" s="20">
        <f>IF(OR(G100&lt;&gt;"",AND(H100&lt;&gt;"",INDEX(05_Record_Benchmarks!$N:$N,MATCH(A100,05_Record_Benchmarks!$A:$A,0))="YES")),"YES","NO")</f>
        <v/>
      </c>
      <c r="K100" s="20" t="inlineStr">
        <is>
          <t>User-supplied next-fastest time; Standard has no swimmer record holder.</t>
        </is>
      </c>
      <c r="L100" s="40" t="n"/>
    </row>
    <row r="101" ht="15" customHeight="1" s="17">
      <c r="A101" s="20" t="inlineStr">
        <is>
          <t>NZ|SCM|M|18|50 Back</t>
        </is>
      </c>
      <c r="B101" s="20" t="n">
        <v>2</v>
      </c>
      <c r="C101" s="20" t="inlineStr">
        <is>
          <t>SCM</t>
        </is>
      </c>
      <c r="D101" s="20" t="inlineStr">
        <is>
          <t>Male</t>
        </is>
      </c>
      <c r="E101" s="20" t="n">
        <v>18</v>
      </c>
      <c r="F101" s="20" t="inlineStr">
        <is>
          <t>50 Back</t>
        </is>
      </c>
      <c r="G101" s="20" t="n"/>
      <c r="H101" s="20" t="inlineStr">
        <is>
          <t>24.62</t>
        </is>
      </c>
      <c r="I101" s="20">
        <f>IF(H101="","",IF(ISNUMBER(SEARCH(":",H101)),VALUE(LEFT(H101,SEARCH(":",H101)-1))*60+VALUE(MID(H101,SEARCH(":",H101)+1,99)),VALUE(H101)))</f>
        <v/>
      </c>
      <c r="J101" s="20">
        <f>IF(OR(G101&lt;&gt;"",AND(H101&lt;&gt;"",INDEX(05_Record_Benchmarks!$N:$N,MATCH(A101,05_Record_Benchmarks!$A:$A,0))="YES")),"YES","NO")</f>
        <v/>
      </c>
      <c r="K101" s="20" t="inlineStr">
        <is>
          <t>Next-fastest time supplied in user workbook; swimmer name not yet supplied.</t>
        </is>
      </c>
      <c r="L101" s="40" t="n"/>
    </row>
    <row r="102" ht="15" customHeight="1" s="17">
      <c r="A102" s="20" t="inlineStr">
        <is>
          <t>NZ|SCM|M|18|100 Back</t>
        </is>
      </c>
      <c r="B102" s="20" t="n">
        <v>2</v>
      </c>
      <c r="C102" s="20" t="inlineStr">
        <is>
          <t>SCM</t>
        </is>
      </c>
      <c r="D102" s="20" t="inlineStr">
        <is>
          <t>Male</t>
        </is>
      </c>
      <c r="E102" s="20" t="n">
        <v>18</v>
      </c>
      <c r="F102" s="20" t="inlineStr">
        <is>
          <t>100 Back</t>
        </is>
      </c>
      <c r="G102" s="20" t="n"/>
      <c r="H102" s="20" t="inlineStr">
        <is>
          <t>52.30</t>
        </is>
      </c>
      <c r="I102" s="20">
        <f>IF(H102="","",IF(ISNUMBER(SEARCH(":",H102)),VALUE(LEFT(H102,SEARCH(":",H102)-1))*60+VALUE(MID(H102,SEARCH(":",H102)+1,99)),VALUE(H102)))</f>
        <v/>
      </c>
      <c r="J102" s="20">
        <f>IF(OR(G102&lt;&gt;"",AND(H102&lt;&gt;"",INDEX(05_Record_Benchmarks!$N:$N,MATCH(A102,05_Record_Benchmarks!$A:$A,0))="YES")),"YES","NO")</f>
        <v/>
      </c>
      <c r="K102" s="20" t="inlineStr">
        <is>
          <t>Next-fastest time supplied in user workbook; swimmer name not yet supplied.</t>
        </is>
      </c>
      <c r="L102" s="40" t="n"/>
    </row>
    <row r="103" ht="15" customHeight="1" s="17">
      <c r="A103" s="20" t="inlineStr">
        <is>
          <t>NZ|SCM|M|18|200 Back</t>
        </is>
      </c>
      <c r="B103" s="20" t="n">
        <v>2</v>
      </c>
      <c r="C103" s="20" t="inlineStr">
        <is>
          <t>SCM</t>
        </is>
      </c>
      <c r="D103" s="20" t="inlineStr">
        <is>
          <t>Male</t>
        </is>
      </c>
      <c r="E103" s="20" t="n">
        <v>18</v>
      </c>
      <c r="F103" s="20" t="inlineStr">
        <is>
          <t>200 Back</t>
        </is>
      </c>
      <c r="G103" s="20" t="n"/>
      <c r="H103" s="20" t="inlineStr">
        <is>
          <t>1:55.05</t>
        </is>
      </c>
      <c r="I103" s="20">
        <f>IF(H103="","",IF(ISNUMBER(SEARCH(":",H103)),VALUE(LEFT(H103,SEARCH(":",H103)-1))*60+VALUE(MID(H103,SEARCH(":",H103)+1,99)),VALUE(H103)))</f>
        <v/>
      </c>
      <c r="J103" s="20">
        <f>IF(OR(G103&lt;&gt;"",AND(H103&lt;&gt;"",INDEX(05_Record_Benchmarks!$N:$N,MATCH(A103,05_Record_Benchmarks!$A:$A,0))="YES")),"YES","NO")</f>
        <v/>
      </c>
      <c r="K103" s="20" t="inlineStr">
        <is>
          <t>Next-fastest time supplied in user workbook; swimmer name not yet supplied.</t>
        </is>
      </c>
      <c r="L103" s="40" t="n"/>
    </row>
    <row r="104" ht="15" customHeight="1" s="17">
      <c r="A104" s="20" t="inlineStr">
        <is>
          <t>NZ|SCM|M|18|50 Breast</t>
        </is>
      </c>
      <c r="B104" s="20" t="n">
        <v>2</v>
      </c>
      <c r="C104" s="20" t="inlineStr">
        <is>
          <t>SCM</t>
        </is>
      </c>
      <c r="D104" s="20" t="inlineStr">
        <is>
          <t>Male</t>
        </is>
      </c>
      <c r="E104" s="20" t="n">
        <v>18</v>
      </c>
      <c r="F104" s="20" t="inlineStr">
        <is>
          <t>50 Breast</t>
        </is>
      </c>
      <c r="G104" s="20" t="n"/>
      <c r="H104" s="20" t="inlineStr">
        <is>
          <t>28.12</t>
        </is>
      </c>
      <c r="I104" s="20">
        <f>IF(H104="","",IF(ISNUMBER(SEARCH(":",H104)),VALUE(LEFT(H104,SEARCH(":",H104)-1))*60+VALUE(MID(H104,SEARCH(":",H104)+1,99)),VALUE(H104)))</f>
        <v/>
      </c>
      <c r="J104" s="20">
        <f>IF(OR(G104&lt;&gt;"",AND(H104&lt;&gt;"",INDEX(05_Record_Benchmarks!$N:$N,MATCH(A104,05_Record_Benchmarks!$A:$A,0))="YES")),"YES","NO")</f>
        <v/>
      </c>
      <c r="K104" s="20" t="inlineStr">
        <is>
          <t>Next-fastest time supplied in user workbook; swimmer name not yet supplied.</t>
        </is>
      </c>
      <c r="L104" s="40" t="n"/>
    </row>
    <row r="105" ht="15" customHeight="1" s="17">
      <c r="A105" s="20" t="inlineStr">
        <is>
          <t>NZ|SCM|M|18|100 Breast</t>
        </is>
      </c>
      <c r="B105" s="20" t="n">
        <v>2</v>
      </c>
      <c r="C105" s="20" t="inlineStr">
        <is>
          <t>SCM</t>
        </is>
      </c>
      <c r="D105" s="20" t="inlineStr">
        <is>
          <t>Male</t>
        </is>
      </c>
      <c r="E105" s="20" t="n">
        <v>18</v>
      </c>
      <c r="F105" s="20" t="inlineStr">
        <is>
          <t>100 Breast</t>
        </is>
      </c>
      <c r="G105" s="20" t="n"/>
      <c r="H105" s="20" t="inlineStr">
        <is>
          <t>1:00.99</t>
        </is>
      </c>
      <c r="I105" s="20">
        <f>IF(H105="","",IF(ISNUMBER(SEARCH(":",H105)),VALUE(LEFT(H105,SEARCH(":",H105)-1))*60+VALUE(MID(H105,SEARCH(":",H105)+1,99)),VALUE(H105)))</f>
        <v/>
      </c>
      <c r="J105" s="20">
        <f>IF(OR(G105&lt;&gt;"",AND(H105&lt;&gt;"",INDEX(05_Record_Benchmarks!$N:$N,MATCH(A105,05_Record_Benchmarks!$A:$A,0))="YES")),"YES","NO")</f>
        <v/>
      </c>
      <c r="K105" s="20" t="inlineStr">
        <is>
          <t>Next-fastest time supplied in user workbook; swimmer name not yet supplied.</t>
        </is>
      </c>
      <c r="L105" s="40" t="n"/>
    </row>
    <row r="106" ht="15" customHeight="1" s="17">
      <c r="A106" s="20" t="inlineStr">
        <is>
          <t>NZ|SCM|M|18|200 Breast</t>
        </is>
      </c>
      <c r="B106" s="20" t="n">
        <v>2</v>
      </c>
      <c r="C106" s="20" t="inlineStr">
        <is>
          <t>SCM</t>
        </is>
      </c>
      <c r="D106" s="20" t="inlineStr">
        <is>
          <t>Male</t>
        </is>
      </c>
      <c r="E106" s="20" t="n">
        <v>18</v>
      </c>
      <c r="F106" s="20" t="inlineStr">
        <is>
          <t>200 Breast</t>
        </is>
      </c>
      <c r="G106" s="20" t="n"/>
      <c r="H106" s="20" t="inlineStr">
        <is>
          <t>2:11.19</t>
        </is>
      </c>
      <c r="I106" s="20">
        <f>IF(H106="","",IF(ISNUMBER(SEARCH(":",H106)),VALUE(LEFT(H106,SEARCH(":",H106)-1))*60+VALUE(MID(H106,SEARCH(":",H106)+1,99)),VALUE(H106)))</f>
        <v/>
      </c>
      <c r="J106" s="20">
        <f>IF(OR(G106&lt;&gt;"",AND(H106&lt;&gt;"",INDEX(05_Record_Benchmarks!$N:$N,MATCH(A106,05_Record_Benchmarks!$A:$A,0))="YES")),"YES","NO")</f>
        <v/>
      </c>
      <c r="K106" s="20" t="inlineStr">
        <is>
          <t>Next-fastest time supplied in user workbook; swimmer name not yet supplied.</t>
        </is>
      </c>
      <c r="L106" s="40" t="n"/>
    </row>
    <row r="107" ht="15" customHeight="1" s="17">
      <c r="A107" s="20" t="inlineStr">
        <is>
          <t>NZ|SCM|M|18|50 Fly</t>
        </is>
      </c>
      <c r="B107" s="20" t="n">
        <v>2</v>
      </c>
      <c r="C107" s="20" t="inlineStr">
        <is>
          <t>SCM</t>
        </is>
      </c>
      <c r="D107" s="20" t="inlineStr">
        <is>
          <t>Male</t>
        </is>
      </c>
      <c r="E107" s="20" t="n">
        <v>18</v>
      </c>
      <c r="F107" s="20" t="inlineStr">
        <is>
          <t>50 Fly</t>
        </is>
      </c>
      <c r="G107" s="20" t="n"/>
      <c r="H107" s="20" t="inlineStr">
        <is>
          <t>23.81</t>
        </is>
      </c>
      <c r="I107" s="20">
        <f>IF(H107="","",IF(ISNUMBER(SEARCH(":",H107)),VALUE(LEFT(H107,SEARCH(":",H107)-1))*60+VALUE(MID(H107,SEARCH(":",H107)+1,99)),VALUE(H107)))</f>
        <v/>
      </c>
      <c r="J107" s="20">
        <f>IF(OR(G107&lt;&gt;"",AND(H107&lt;&gt;"",INDEX(05_Record_Benchmarks!$N:$N,MATCH(A107,05_Record_Benchmarks!$A:$A,0))="YES")),"YES","NO")</f>
        <v/>
      </c>
      <c r="K107" s="20" t="inlineStr">
        <is>
          <t>Next-fastest time supplied in user workbook; swimmer name not yet supplied.</t>
        </is>
      </c>
      <c r="L107" s="40" t="n"/>
    </row>
    <row r="108" ht="15" customHeight="1" s="17">
      <c r="A108" s="20" t="inlineStr">
        <is>
          <t>NZ|SCM|M|18|100 Fly</t>
        </is>
      </c>
      <c r="B108" s="20" t="n">
        <v>2</v>
      </c>
      <c r="C108" s="20" t="inlineStr">
        <is>
          <t>SCM</t>
        </is>
      </c>
      <c r="D108" s="20" t="inlineStr">
        <is>
          <t>Male</t>
        </is>
      </c>
      <c r="E108" s="20" t="n">
        <v>18</v>
      </c>
      <c r="F108" s="20" t="inlineStr">
        <is>
          <t>100 Fly</t>
        </is>
      </c>
      <c r="G108" s="20" t="n"/>
      <c r="H108" s="20" t="inlineStr">
        <is>
          <t>51.75</t>
        </is>
      </c>
      <c r="I108" s="20">
        <f>IF(H108="","",IF(ISNUMBER(SEARCH(":",H108)),VALUE(LEFT(H108,SEARCH(":",H108)-1))*60+VALUE(MID(H108,SEARCH(":",H108)+1,99)),VALUE(H108)))</f>
        <v/>
      </c>
      <c r="J108" s="20">
        <f>IF(OR(G108&lt;&gt;"",AND(H108&lt;&gt;"",INDEX(05_Record_Benchmarks!$N:$N,MATCH(A108,05_Record_Benchmarks!$A:$A,0))="YES")),"YES","NO")</f>
        <v/>
      </c>
      <c r="K108" s="20" t="inlineStr">
        <is>
          <t>Next-fastest time supplied in user workbook; swimmer name not yet supplied.</t>
        </is>
      </c>
      <c r="L108" s="40" t="n"/>
    </row>
    <row r="109" ht="15" customHeight="1" s="17">
      <c r="A109" s="20" t="inlineStr">
        <is>
          <t>NZ|SCM|M|18|200 Fly</t>
        </is>
      </c>
      <c r="B109" s="20" t="n">
        <v>2</v>
      </c>
      <c r="C109" s="20" t="inlineStr">
        <is>
          <t>SCM</t>
        </is>
      </c>
      <c r="D109" s="20" t="inlineStr">
        <is>
          <t>Male</t>
        </is>
      </c>
      <c r="E109" s="20" t="n">
        <v>18</v>
      </c>
      <c r="F109" s="20" t="inlineStr">
        <is>
          <t>200 Fly</t>
        </is>
      </c>
      <c r="G109" s="20" t="n"/>
      <c r="H109" s="20" t="inlineStr">
        <is>
          <t>1:56.73</t>
        </is>
      </c>
      <c r="I109" s="20">
        <f>IF(H109="","",IF(ISNUMBER(SEARCH(":",H109)),VALUE(LEFT(H109,SEARCH(":",H109)-1))*60+VALUE(MID(H109,SEARCH(":",H109)+1,99)),VALUE(H109)))</f>
        <v/>
      </c>
      <c r="J109" s="20">
        <f>IF(OR(G109&lt;&gt;"",AND(H109&lt;&gt;"",INDEX(05_Record_Benchmarks!$N:$N,MATCH(A109,05_Record_Benchmarks!$A:$A,0))="YES")),"YES","NO")</f>
        <v/>
      </c>
      <c r="K109" s="20" t="inlineStr">
        <is>
          <t>User-supplied next-fastest time; Standard has no swimmer record holder.</t>
        </is>
      </c>
      <c r="L109" s="40" t="n"/>
    </row>
    <row r="110" ht="15" customHeight="1" s="17">
      <c r="A110" s="20" t="inlineStr">
        <is>
          <t>NZ|SCM|M|18|100 IM</t>
        </is>
      </c>
      <c r="B110" s="20" t="n">
        <v>2</v>
      </c>
      <c r="C110" s="20" t="inlineStr">
        <is>
          <t>SCM</t>
        </is>
      </c>
      <c r="D110" s="20" t="inlineStr">
        <is>
          <t>Male</t>
        </is>
      </c>
      <c r="E110" s="20" t="n">
        <v>18</v>
      </c>
      <c r="F110" s="20" t="inlineStr">
        <is>
          <t>100 IM</t>
        </is>
      </c>
      <c r="G110" s="20" t="n"/>
      <c r="H110" s="20" t="inlineStr">
        <is>
          <t>55.05</t>
        </is>
      </c>
      <c r="I110" s="20">
        <f>IF(H110="","",IF(ISNUMBER(SEARCH(":",H110)),VALUE(LEFT(H110,SEARCH(":",H110)-1))*60+VALUE(MID(H110,SEARCH(":",H110)+1,99)),VALUE(H110)))</f>
        <v/>
      </c>
      <c r="J110" s="20">
        <f>IF(OR(G110&lt;&gt;"",AND(H110&lt;&gt;"",INDEX(05_Record_Benchmarks!$N:$N,MATCH(A110,05_Record_Benchmarks!$A:$A,0))="YES")),"YES","NO")</f>
        <v/>
      </c>
      <c r="K110" s="20" t="inlineStr">
        <is>
          <t>Next-fastest time supplied in user workbook; swimmer name not yet supplied.</t>
        </is>
      </c>
      <c r="L110" s="40" t="n"/>
    </row>
    <row r="111" ht="15" customHeight="1" s="17">
      <c r="A111" s="20" t="inlineStr">
        <is>
          <t>NZ|SCM|M|18|200 IM</t>
        </is>
      </c>
      <c r="B111" s="20" t="n">
        <v>2</v>
      </c>
      <c r="C111" s="20" t="inlineStr">
        <is>
          <t>SCM</t>
        </is>
      </c>
      <c r="D111" s="20" t="inlineStr">
        <is>
          <t>Male</t>
        </is>
      </c>
      <c r="E111" s="20" t="n">
        <v>18</v>
      </c>
      <c r="F111" s="20" t="inlineStr">
        <is>
          <t>200 IM</t>
        </is>
      </c>
      <c r="G111" s="20" t="n"/>
      <c r="H111" s="20" t="inlineStr">
        <is>
          <t>1:57.91</t>
        </is>
      </c>
      <c r="I111" s="20">
        <f>IF(H111="","",IF(ISNUMBER(SEARCH(":",H111)),VALUE(LEFT(H111,SEARCH(":",H111)-1))*60+VALUE(MID(H111,SEARCH(":",H111)+1,99)),VALUE(H111)))</f>
        <v/>
      </c>
      <c r="J111" s="20">
        <f>IF(OR(G111&lt;&gt;"",AND(H111&lt;&gt;"",INDEX(05_Record_Benchmarks!$N:$N,MATCH(A111,05_Record_Benchmarks!$A:$A,0))="YES")),"YES","NO")</f>
        <v/>
      </c>
      <c r="K111" s="20" t="inlineStr">
        <is>
          <t>Next-fastest time supplied in user workbook; swimmer name not yet supplied.</t>
        </is>
      </c>
      <c r="L111" s="40" t="n"/>
    </row>
    <row r="112" ht="15" customHeight="1" s="17">
      <c r="A112" s="20" t="inlineStr">
        <is>
          <t>NZ|SCM|M|18|400 IM</t>
        </is>
      </c>
      <c r="B112" s="20" t="n">
        <v>2</v>
      </c>
      <c r="C112" s="20" t="inlineStr">
        <is>
          <t>SCM</t>
        </is>
      </c>
      <c r="D112" s="20" t="inlineStr">
        <is>
          <t>Male</t>
        </is>
      </c>
      <c r="E112" s="20" t="n">
        <v>18</v>
      </c>
      <c r="F112" s="20" t="inlineStr">
        <is>
          <t>400 IM</t>
        </is>
      </c>
      <c r="G112" s="20" t="n"/>
      <c r="H112" s="20" t="inlineStr">
        <is>
          <t>4:16.12</t>
        </is>
      </c>
      <c r="I112" s="20">
        <f>IF(H112="","",IF(ISNUMBER(SEARCH(":",H112)),VALUE(LEFT(H112,SEARCH(":",H112)-1))*60+VALUE(MID(H112,SEARCH(":",H112)+1,99)),VALUE(H112)))</f>
        <v/>
      </c>
      <c r="J112" s="20">
        <f>IF(OR(G112&lt;&gt;"",AND(H112&lt;&gt;"",INDEX(05_Record_Benchmarks!$N:$N,MATCH(A112,05_Record_Benchmarks!$A:$A,0))="YES")),"YES","NO")</f>
        <v/>
      </c>
      <c r="K112" s="20" t="inlineStr">
        <is>
          <t>Next-fastest time supplied in user workbook; swimmer name not yet supplied.</t>
        </is>
      </c>
      <c r="L112" s="40" t="n"/>
    </row>
    <row r="113" ht="15" customHeight="1" s="17">
      <c r="A113" s="20" t="inlineStr">
        <is>
          <t>NZ|SCM|F|13|50 Free</t>
        </is>
      </c>
      <c r="B113" s="20" t="n">
        <v>2</v>
      </c>
      <c r="C113" s="20" t="inlineStr">
        <is>
          <t>SCM</t>
        </is>
      </c>
      <c r="D113" s="20" t="inlineStr">
        <is>
          <t>Female</t>
        </is>
      </c>
      <c r="E113" s="20" t="n">
        <v>13</v>
      </c>
      <c r="F113" s="20" t="inlineStr">
        <is>
          <t>50 Free</t>
        </is>
      </c>
      <c r="G113" s="20" t="inlineStr">
        <is>
          <t>Alyssa Lawson</t>
        </is>
      </c>
      <c r="H113" s="20" t="inlineStr">
        <is>
          <t>26.16</t>
        </is>
      </c>
      <c r="I113" s="20">
        <f>IF(H113="","",IF(ISNUMBER(SEARCH(":",H113)),VALUE(LEFT(H113,SEARCH(":",H113)-1))*60+VALUE(MID(H113,SEARCH(":",H113)+1,99)),VALUE(H113)))</f>
        <v/>
      </c>
      <c r="J113" s="20">
        <f>IF(OR(G113&lt;&gt;"",AND(H113&lt;&gt;"",INDEX(05_Record_Benchmarks!$N:$N,MATCH(A113,05_Record_Benchmarks!$A:$A,0))="YES")),"YES","NO")</f>
        <v/>
      </c>
      <c r="K113" s="20" t="inlineStr">
        <is>
          <t>Next-fastest time supplied in user workbook; swimmer name not yet supplied.</t>
        </is>
      </c>
      <c r="L113" s="40" t="n">
        <v>46303</v>
      </c>
    </row>
    <row r="114" ht="15" customHeight="1" s="17">
      <c r="A114" s="20" t="inlineStr">
        <is>
          <t>NZ|SCM|F|13|100 Free</t>
        </is>
      </c>
      <c r="B114" s="20" t="n">
        <v>2</v>
      </c>
      <c r="C114" s="20" t="inlineStr">
        <is>
          <t>SCM</t>
        </is>
      </c>
      <c r="D114" s="20" t="inlineStr">
        <is>
          <t>Female</t>
        </is>
      </c>
      <c r="E114" s="20" t="n">
        <v>13</v>
      </c>
      <c r="F114" s="20" t="inlineStr">
        <is>
          <t>100 Free</t>
        </is>
      </c>
      <c r="G114" s="20" t="n"/>
      <c r="H114" s="20" t="inlineStr">
        <is>
          <t>57.36</t>
        </is>
      </c>
      <c r="I114" s="20">
        <f>IF(H114="","",IF(ISNUMBER(SEARCH(":",H114)),VALUE(LEFT(H114,SEARCH(":",H114)-1))*60+VALUE(MID(H114,SEARCH(":",H114)+1,99)),VALUE(H114)))</f>
        <v/>
      </c>
      <c r="J114" s="20">
        <f>IF(OR(G114&lt;&gt;"",AND(H114&lt;&gt;"",INDEX(05_Record_Benchmarks!$N:$N,MATCH(A114,05_Record_Benchmarks!$A:$A,0))="YES")),"YES","NO")</f>
        <v/>
      </c>
      <c r="K114" s="20" t="inlineStr">
        <is>
          <t>Next-fastest time supplied in user workbook; swimmer name not yet supplied.</t>
        </is>
      </c>
      <c r="L114" s="40" t="n"/>
    </row>
    <row r="115" ht="15" customHeight="1" s="17">
      <c r="A115" s="20" t="inlineStr">
        <is>
          <t>NZ|SCM|F|13|200 Free</t>
        </is>
      </c>
      <c r="B115" s="20" t="n">
        <v>2</v>
      </c>
      <c r="C115" s="20" t="inlineStr">
        <is>
          <t>SCM</t>
        </is>
      </c>
      <c r="D115" s="20" t="inlineStr">
        <is>
          <t>Female</t>
        </is>
      </c>
      <c r="E115" s="20" t="n">
        <v>13</v>
      </c>
      <c r="F115" s="20" t="inlineStr">
        <is>
          <t>200 Free</t>
        </is>
      </c>
      <c r="G115" s="20" t="n"/>
      <c r="H115" s="20" t="inlineStr">
        <is>
          <t>2:05.60</t>
        </is>
      </c>
      <c r="I115" s="20">
        <f>IF(H115="","",IF(ISNUMBER(SEARCH(":",H115)),VALUE(LEFT(H115,SEARCH(":",H115)-1))*60+VALUE(MID(H115,SEARCH(":",H115)+1,99)),VALUE(H115)))</f>
        <v/>
      </c>
      <c r="J115" s="20">
        <f>IF(OR(G115&lt;&gt;"",AND(H115&lt;&gt;"",INDEX(05_Record_Benchmarks!$N:$N,MATCH(A115,05_Record_Benchmarks!$A:$A,0))="YES")),"YES","NO")</f>
        <v/>
      </c>
      <c r="K115" s="20" t="inlineStr">
        <is>
          <t>Next-fastest time supplied in user workbook; swimmer name not yet supplied.</t>
        </is>
      </c>
      <c r="L115" s="40" t="n"/>
    </row>
    <row r="116" ht="15" customHeight="1" s="17">
      <c r="A116" s="20" t="inlineStr">
        <is>
          <t>NZ|SCM|F|13|400 Free</t>
        </is>
      </c>
      <c r="B116" s="20" t="n">
        <v>2</v>
      </c>
      <c r="C116" s="20" t="inlineStr">
        <is>
          <t>SCM</t>
        </is>
      </c>
      <c r="D116" s="20" t="inlineStr">
        <is>
          <t>Female</t>
        </is>
      </c>
      <c r="E116" s="20" t="n">
        <v>13</v>
      </c>
      <c r="F116" s="20" t="inlineStr">
        <is>
          <t>400 Free</t>
        </is>
      </c>
      <c r="G116" s="20" t="n"/>
      <c r="H116" s="20" t="inlineStr">
        <is>
          <t>4:23.40</t>
        </is>
      </c>
      <c r="I116" s="20">
        <f>IF(H116="","",IF(ISNUMBER(SEARCH(":",H116)),VALUE(LEFT(H116,SEARCH(":",H116)-1))*60+VALUE(MID(H116,SEARCH(":",H116)+1,99)),VALUE(H116)))</f>
        <v/>
      </c>
      <c r="J116" s="20">
        <f>IF(OR(G116&lt;&gt;"",AND(H116&lt;&gt;"",INDEX(05_Record_Benchmarks!$N:$N,MATCH(A116,05_Record_Benchmarks!$A:$A,0))="YES")),"YES","NO")</f>
        <v/>
      </c>
      <c r="K116" s="20" t="inlineStr">
        <is>
          <t>Next-fastest time supplied in user workbook; swimmer name not yet supplied.</t>
        </is>
      </c>
      <c r="L116" s="40" t="n"/>
    </row>
    <row r="117" ht="15" customHeight="1" s="17">
      <c r="A117" s="20" t="inlineStr">
        <is>
          <t>NZ|SCM|F|13|800 Free</t>
        </is>
      </c>
      <c r="B117" s="20" t="n">
        <v>2</v>
      </c>
      <c r="C117" s="20" t="inlineStr">
        <is>
          <t>SCM</t>
        </is>
      </c>
      <c r="D117" s="20" t="inlineStr">
        <is>
          <t>Female</t>
        </is>
      </c>
      <c r="E117" s="20" t="n">
        <v>13</v>
      </c>
      <c r="F117" s="20" t="inlineStr">
        <is>
          <t>800 Free</t>
        </is>
      </c>
      <c r="G117" s="20" t="n"/>
      <c r="H117" s="20" t="inlineStr">
        <is>
          <t>9:03.54</t>
        </is>
      </c>
      <c r="I117" s="20">
        <f>IF(H117="","",IF(ISNUMBER(SEARCH(":",H117)),VALUE(LEFT(H117,SEARCH(":",H117)-1))*60+VALUE(MID(H117,SEARCH(":",H117)+1,99)),VALUE(H117)))</f>
        <v/>
      </c>
      <c r="J117" s="20">
        <f>IF(OR(G117&lt;&gt;"",AND(H117&lt;&gt;"",INDEX(05_Record_Benchmarks!$N:$N,MATCH(A117,05_Record_Benchmarks!$A:$A,0))="YES")),"YES","NO")</f>
        <v/>
      </c>
      <c r="K117" s="20" t="inlineStr">
        <is>
          <t>Next-fastest time supplied in user workbook; swimmer name not yet supplied.</t>
        </is>
      </c>
      <c r="L117" s="40" t="n"/>
    </row>
    <row r="118" ht="15" customHeight="1" s="17">
      <c r="A118" s="20" t="inlineStr">
        <is>
          <t>NZ|SCM|F|13|1500 Free</t>
        </is>
      </c>
      <c r="B118" s="20" t="n">
        <v>2</v>
      </c>
      <c r="C118" s="20" t="inlineStr">
        <is>
          <t>SCM</t>
        </is>
      </c>
      <c r="D118" s="20" t="inlineStr">
        <is>
          <t>Female</t>
        </is>
      </c>
      <c r="E118" s="20" t="n">
        <v>13</v>
      </c>
      <c r="F118" s="20" t="inlineStr">
        <is>
          <t>1500 Free</t>
        </is>
      </c>
      <c r="G118" s="20" t="n"/>
      <c r="H118" s="20" t="inlineStr">
        <is>
          <t>17:21.79</t>
        </is>
      </c>
      <c r="I118" s="20">
        <f>IF(H118="","",IF(ISNUMBER(SEARCH(":",H118)),VALUE(LEFT(H118,SEARCH(":",H118)-1))*60+VALUE(MID(H118,SEARCH(":",H118)+1,99)),VALUE(H118)))</f>
        <v/>
      </c>
      <c r="J118" s="20">
        <f>IF(OR(G118&lt;&gt;"",AND(H118&lt;&gt;"",INDEX(05_Record_Benchmarks!$N:$N,MATCH(A118,05_Record_Benchmarks!$A:$A,0))="YES")),"YES","NO")</f>
        <v/>
      </c>
      <c r="K118" s="20" t="inlineStr">
        <is>
          <t>Next-fastest time supplied in user workbook; swimmer name not yet supplied.</t>
        </is>
      </c>
      <c r="L118" s="40" t="n"/>
    </row>
    <row r="119" ht="15" customHeight="1" s="17">
      <c r="A119" s="20" t="inlineStr">
        <is>
          <t>NZ|SCM|F|13|50 Back</t>
        </is>
      </c>
      <c r="B119" s="20" t="n">
        <v>2</v>
      </c>
      <c r="C119" s="20" t="inlineStr">
        <is>
          <t>SCM</t>
        </is>
      </c>
      <c r="D119" s="20" t="inlineStr">
        <is>
          <t>Female</t>
        </is>
      </c>
      <c r="E119" s="20" t="n">
        <v>13</v>
      </c>
      <c r="F119" s="20" t="inlineStr">
        <is>
          <t>50 Back</t>
        </is>
      </c>
      <c r="G119" s="20" t="n"/>
      <c r="H119" s="20" t="inlineStr">
        <is>
          <t>28.48</t>
        </is>
      </c>
      <c r="I119" s="20">
        <f>IF(H119="","",IF(ISNUMBER(SEARCH(":",H119)),VALUE(LEFT(H119,SEARCH(":",H119)-1))*60+VALUE(MID(H119,SEARCH(":",H119)+1,99)),VALUE(H119)))</f>
        <v/>
      </c>
      <c r="J119" s="20">
        <f>IF(OR(G119&lt;&gt;"",AND(H119&lt;&gt;"",INDEX(05_Record_Benchmarks!$N:$N,MATCH(A119,05_Record_Benchmarks!$A:$A,0))="YES")),"YES","NO")</f>
        <v/>
      </c>
      <c r="K119" s="20" t="inlineStr">
        <is>
          <t>Next-fastest time supplied in user workbook; swimmer name not yet supplied.</t>
        </is>
      </c>
      <c r="L119" s="40" t="n"/>
    </row>
    <row r="120" ht="15" customHeight="1" s="17">
      <c r="A120" s="20" t="inlineStr">
        <is>
          <t>NZ|SCM|F|13|100 Back</t>
        </is>
      </c>
      <c r="B120" s="20" t="n">
        <v>2</v>
      </c>
      <c r="C120" s="20" t="inlineStr">
        <is>
          <t>SCM</t>
        </is>
      </c>
      <c r="D120" s="20" t="inlineStr">
        <is>
          <t>Female</t>
        </is>
      </c>
      <c r="E120" s="20" t="n">
        <v>13</v>
      </c>
      <c r="F120" s="20" t="inlineStr">
        <is>
          <t>100 Back</t>
        </is>
      </c>
      <c r="G120" s="20" t="inlineStr">
        <is>
          <t>Milan Glintmeyer</t>
        </is>
      </c>
      <c r="H120" s="20" t="inlineStr">
        <is>
          <t>1:02.17</t>
        </is>
      </c>
      <c r="I120" s="20">
        <f>IF(H120="","",IF(ISNUMBER(SEARCH(":",H120)),VALUE(LEFT(H120,SEARCH(":",H120)-1))*60+VALUE(MID(H120,SEARCH(":",H120)+1,99)),VALUE(H120)))</f>
        <v/>
      </c>
      <c r="J120" s="20">
        <f>IF(OR(G120&lt;&gt;"",AND(H120&lt;&gt;"",INDEX(05_Record_Benchmarks!$N:$N,MATCH(A120,05_Record_Benchmarks!$A:$A,0))="YES")),"YES","NO")</f>
        <v/>
      </c>
      <c r="K120" s="20" t="inlineStr">
        <is>
          <t>Next-fastest time supplied in user workbook; swimmer name not yet supplied.</t>
        </is>
      </c>
      <c r="L120" s="40" t="n">
        <v>46303</v>
      </c>
    </row>
    <row r="121" ht="15" customHeight="1" s="17">
      <c r="A121" s="20" t="inlineStr">
        <is>
          <t>NZ|SCM|F|13|200 Back</t>
        </is>
      </c>
      <c r="B121" s="20" t="n">
        <v>2</v>
      </c>
      <c r="C121" s="20" t="inlineStr">
        <is>
          <t>SCM</t>
        </is>
      </c>
      <c r="D121" s="20" t="inlineStr">
        <is>
          <t>Female</t>
        </is>
      </c>
      <c r="E121" s="20" t="n">
        <v>13</v>
      </c>
      <c r="F121" s="20" t="inlineStr">
        <is>
          <t>200 Back</t>
        </is>
      </c>
      <c r="G121" s="20" t="n"/>
      <c r="H121" s="20" t="inlineStr">
        <is>
          <t>2:15.48</t>
        </is>
      </c>
      <c r="I121" s="20">
        <f>IF(H121="","",IF(ISNUMBER(SEARCH(":",H121)),VALUE(LEFT(H121,SEARCH(":",H121)-1))*60+VALUE(MID(H121,SEARCH(":",H121)+1,99)),VALUE(H121)))</f>
        <v/>
      </c>
      <c r="J121" s="20">
        <f>IF(OR(G121&lt;&gt;"",AND(H121&lt;&gt;"",INDEX(05_Record_Benchmarks!$N:$N,MATCH(A121,05_Record_Benchmarks!$A:$A,0))="YES")),"YES","NO")</f>
        <v/>
      </c>
      <c r="K121" s="20" t="inlineStr">
        <is>
          <t>Next-fastest time supplied in user workbook; swimmer name not yet supplied.</t>
        </is>
      </c>
      <c r="L121" s="40" t="n"/>
    </row>
    <row r="122" ht="15" customHeight="1" s="17">
      <c r="A122" s="20" t="inlineStr">
        <is>
          <t>NZ|SCM|F|13|50 Breast</t>
        </is>
      </c>
      <c r="B122" s="20" t="n">
        <v>2</v>
      </c>
      <c r="C122" s="20" t="inlineStr">
        <is>
          <t>SCM</t>
        </is>
      </c>
      <c r="D122" s="20" t="inlineStr">
        <is>
          <t>Female</t>
        </is>
      </c>
      <c r="E122" s="20" t="n">
        <v>13</v>
      </c>
      <c r="F122" s="20" t="inlineStr">
        <is>
          <t>50 Breast</t>
        </is>
      </c>
      <c r="G122" s="20" t="n"/>
      <c r="H122" s="20" t="inlineStr">
        <is>
          <t>32.93</t>
        </is>
      </c>
      <c r="I122" s="20">
        <f>IF(H122="","",IF(ISNUMBER(SEARCH(":",H122)),VALUE(LEFT(H122,SEARCH(":",H122)-1))*60+VALUE(MID(H122,SEARCH(":",H122)+1,99)),VALUE(H122)))</f>
        <v/>
      </c>
      <c r="J122" s="20">
        <f>IF(OR(G122&lt;&gt;"",AND(H122&lt;&gt;"",INDEX(05_Record_Benchmarks!$N:$N,MATCH(A122,05_Record_Benchmarks!$A:$A,0))="YES")),"YES","NO")</f>
        <v/>
      </c>
      <c r="K122" s="20" t="inlineStr">
        <is>
          <t>Next-fastest time supplied in user workbook; swimmer name not yet supplied.</t>
        </is>
      </c>
      <c r="L122" s="40" t="n"/>
    </row>
    <row r="123" ht="15" customHeight="1" s="17">
      <c r="A123" s="20" t="inlineStr">
        <is>
          <t>NZ|SCM|F|13|100 Breast</t>
        </is>
      </c>
      <c r="B123" s="20" t="n">
        <v>2</v>
      </c>
      <c r="C123" s="20" t="inlineStr">
        <is>
          <t>SCM</t>
        </is>
      </c>
      <c r="D123" s="20" t="inlineStr">
        <is>
          <t>Female</t>
        </is>
      </c>
      <c r="E123" s="20" t="n">
        <v>13</v>
      </c>
      <c r="F123" s="20" t="inlineStr">
        <is>
          <t>100 Breast</t>
        </is>
      </c>
      <c r="G123" s="20" t="inlineStr">
        <is>
          <t>Natasha Lloyd</t>
        </is>
      </c>
      <c r="H123" s="20" t="inlineStr">
        <is>
          <t>1:11.52</t>
        </is>
      </c>
      <c r="I123" s="20">
        <f>IF(H123="","",IF(ISNUMBER(SEARCH(":",H123)),VALUE(LEFT(H123,SEARCH(":",H123)-1))*60+VALUE(MID(H123,SEARCH(":",H123)+1,99)),VALUE(H123)))</f>
        <v/>
      </c>
      <c r="J123" s="20">
        <f>IF(OR(G123&lt;&gt;"",AND(H123&lt;&gt;"",INDEX(05_Record_Benchmarks!$N:$N,MATCH(A123,05_Record_Benchmarks!$A:$A,0))="YES")),"YES","NO")</f>
        <v/>
      </c>
      <c r="K123" s="20" t="inlineStr">
        <is>
          <t>Auto-set from displaced NZ record after NZSC 2026.</t>
        </is>
      </c>
      <c r="L123" s="40" t="n">
        <v>46303</v>
      </c>
    </row>
    <row r="124" ht="15" customHeight="1" s="17">
      <c r="A124" s="20" t="inlineStr">
        <is>
          <t>NZ|SCM|F|13|200 Breast</t>
        </is>
      </c>
      <c r="B124" s="20" t="n">
        <v>2</v>
      </c>
      <c r="C124" s="20" t="inlineStr">
        <is>
          <t>SCM</t>
        </is>
      </c>
      <c r="D124" s="20" t="inlineStr">
        <is>
          <t>Female</t>
        </is>
      </c>
      <c r="E124" s="20" t="n">
        <v>13</v>
      </c>
      <c r="F124" s="20" t="inlineStr">
        <is>
          <t>200 Breast</t>
        </is>
      </c>
      <c r="G124" s="20" t="inlineStr">
        <is>
          <t>Brearna Crawford</t>
        </is>
      </c>
      <c r="H124" s="20" t="inlineStr">
        <is>
          <t>2:32.93</t>
        </is>
      </c>
      <c r="I124" s="20">
        <f>IF(H124="","",IF(ISNUMBER(SEARCH(":",H124)),VALUE(LEFT(H124,SEARCH(":",H124)-1))*60+VALUE(MID(H124,SEARCH(":",H124)+1,99)),VALUE(H124)))</f>
        <v/>
      </c>
      <c r="J124" s="20">
        <f>IF(OR(G124&lt;&gt;"",AND(H124&lt;&gt;"",INDEX(05_Record_Benchmarks!$N:$N,MATCH(A124,05_Record_Benchmarks!$A:$A,0))="YES")),"YES","NO")</f>
        <v/>
      </c>
      <c r="K124" s="20" t="inlineStr">
        <is>
          <t>Auto-set from displaced NZ record after NZSC 2026.</t>
        </is>
      </c>
      <c r="L124" s="40" t="n">
        <v>46303</v>
      </c>
    </row>
    <row r="125" ht="15" customHeight="1" s="17">
      <c r="A125" s="20" t="inlineStr">
        <is>
          <t>NZ|SCM|F|13|50 Fly</t>
        </is>
      </c>
      <c r="B125" s="20" t="n">
        <v>2</v>
      </c>
      <c r="C125" s="20" t="inlineStr">
        <is>
          <t>SCM</t>
        </is>
      </c>
      <c r="D125" s="20" t="inlineStr">
        <is>
          <t>Female</t>
        </is>
      </c>
      <c r="E125" s="20" t="n">
        <v>13</v>
      </c>
      <c r="F125" s="20" t="inlineStr">
        <is>
          <t>50 Fly</t>
        </is>
      </c>
      <c r="G125" s="20" t="n"/>
      <c r="H125" s="20" t="inlineStr">
        <is>
          <t>28.37</t>
        </is>
      </c>
      <c r="I125" s="20">
        <f>IF(H125="","",IF(ISNUMBER(SEARCH(":",H125)),VALUE(LEFT(H125,SEARCH(":",H125)-1))*60+VALUE(MID(H125,SEARCH(":",H125)+1,99)),VALUE(H125)))</f>
        <v/>
      </c>
      <c r="J125" s="20">
        <f>IF(OR(G125&lt;&gt;"",AND(H125&lt;&gt;"",INDEX(05_Record_Benchmarks!$N:$N,MATCH(A125,05_Record_Benchmarks!$A:$A,0))="YES")),"YES","NO")</f>
        <v/>
      </c>
      <c r="K125" s="20" t="inlineStr">
        <is>
          <t>Next-fastest time supplied in user workbook; swimmer name not yet supplied.</t>
        </is>
      </c>
      <c r="L125" s="40" t="n"/>
    </row>
    <row r="126" ht="15" customHeight="1" s="17">
      <c r="A126" s="20" t="inlineStr">
        <is>
          <t>NZ|SCM|F|13|100 Fly</t>
        </is>
      </c>
      <c r="B126" s="20" t="n">
        <v>2</v>
      </c>
      <c r="C126" s="20" t="inlineStr">
        <is>
          <t>SCM</t>
        </is>
      </c>
      <c r="D126" s="20" t="inlineStr">
        <is>
          <t>Female</t>
        </is>
      </c>
      <c r="E126" s="20" t="n">
        <v>13</v>
      </c>
      <c r="F126" s="20" t="inlineStr">
        <is>
          <t>100 Fly</t>
        </is>
      </c>
      <c r="G126" s="20" t="n"/>
      <c r="H126" s="20" t="inlineStr">
        <is>
          <t>1:02.96</t>
        </is>
      </c>
      <c r="I126" s="20">
        <f>IF(H126="","",IF(ISNUMBER(SEARCH(":",H126)),VALUE(LEFT(H126,SEARCH(":",H126)-1))*60+VALUE(MID(H126,SEARCH(":",H126)+1,99)),VALUE(H126)))</f>
        <v/>
      </c>
      <c r="J126" s="20">
        <f>IF(OR(G126&lt;&gt;"",AND(H126&lt;&gt;"",INDEX(05_Record_Benchmarks!$N:$N,MATCH(A126,05_Record_Benchmarks!$A:$A,0))="YES")),"YES","NO")</f>
        <v/>
      </c>
      <c r="K126" s="20" t="inlineStr">
        <is>
          <t>Next-fastest time supplied in user workbook; swimmer name not yet supplied.</t>
        </is>
      </c>
      <c r="L126" s="40" t="n"/>
    </row>
    <row r="127" ht="15" customHeight="1" s="17">
      <c r="A127" s="20" t="inlineStr">
        <is>
          <t>NZ|SCM|F|13|200 Fly</t>
        </is>
      </c>
      <c r="B127" s="20" t="n">
        <v>2</v>
      </c>
      <c r="C127" s="20" t="inlineStr">
        <is>
          <t>SCM</t>
        </is>
      </c>
      <c r="D127" s="20" t="inlineStr">
        <is>
          <t>Female</t>
        </is>
      </c>
      <c r="E127" s="20" t="n">
        <v>13</v>
      </c>
      <c r="F127" s="20" t="inlineStr">
        <is>
          <t>200 Fly</t>
        </is>
      </c>
      <c r="G127" s="20" t="n"/>
      <c r="H127" s="20" t="inlineStr">
        <is>
          <t>2:18.28</t>
        </is>
      </c>
      <c r="I127" s="20">
        <f>IF(H127="","",IF(ISNUMBER(SEARCH(":",H127)),VALUE(LEFT(H127,SEARCH(":",H127)-1))*60+VALUE(MID(H127,SEARCH(":",H127)+1,99)),VALUE(H127)))</f>
        <v/>
      </c>
      <c r="J127" s="20">
        <f>IF(OR(G127&lt;&gt;"",AND(H127&lt;&gt;"",INDEX(05_Record_Benchmarks!$N:$N,MATCH(A127,05_Record_Benchmarks!$A:$A,0))="YES")),"YES","NO")</f>
        <v/>
      </c>
      <c r="K127" s="20" t="inlineStr">
        <is>
          <t>Next-fastest time supplied in user workbook; swimmer name not yet supplied.</t>
        </is>
      </c>
      <c r="L127" s="40" t="n"/>
    </row>
    <row r="128" ht="15" customHeight="1" s="17">
      <c r="A128" s="20" t="inlineStr">
        <is>
          <t>NZ|SCM|F|13|100 IM</t>
        </is>
      </c>
      <c r="B128" s="20" t="n">
        <v>2</v>
      </c>
      <c r="C128" s="20" t="inlineStr">
        <is>
          <t>SCM</t>
        </is>
      </c>
      <c r="D128" s="20" t="inlineStr">
        <is>
          <t>Female</t>
        </is>
      </c>
      <c r="E128" s="20" t="n">
        <v>13</v>
      </c>
      <c r="F128" s="20" t="inlineStr">
        <is>
          <t>100 IM</t>
        </is>
      </c>
      <c r="G128" s="20" t="inlineStr">
        <is>
          <t>Milan Glintmeyer</t>
        </is>
      </c>
      <c r="H128" s="20" t="inlineStr">
        <is>
          <t>1:05.08</t>
        </is>
      </c>
      <c r="I128" s="20">
        <f>IF(H128="","",IF(ISNUMBER(SEARCH(":",H128)),VALUE(LEFT(H128,SEARCH(":",H128)-1))*60+VALUE(MID(H128,SEARCH(":",H128)+1,99)),VALUE(H128)))</f>
        <v/>
      </c>
      <c r="J128" s="20">
        <f>IF(OR(G128&lt;&gt;"",AND(H128&lt;&gt;"",INDEX(05_Record_Benchmarks!$N:$N,MATCH(A128,05_Record_Benchmarks!$A:$A,0))="YES")),"YES","NO")</f>
        <v/>
      </c>
      <c r="K128" s="20" t="inlineStr">
        <is>
          <t>Auto-set from displaced NZ record after NZSC 2026.</t>
        </is>
      </c>
      <c r="L128" s="40" t="n">
        <v>46303</v>
      </c>
    </row>
    <row r="129" ht="15" customHeight="1" s="17">
      <c r="A129" s="20" t="inlineStr">
        <is>
          <t>NZ|SCM|F|13|200 IM</t>
        </is>
      </c>
      <c r="B129" s="20" t="n">
        <v>2</v>
      </c>
      <c r="C129" s="20" t="inlineStr">
        <is>
          <t>SCM</t>
        </is>
      </c>
      <c r="D129" s="20" t="inlineStr">
        <is>
          <t>Female</t>
        </is>
      </c>
      <c r="E129" s="20" t="n">
        <v>13</v>
      </c>
      <c r="F129" s="20" t="inlineStr">
        <is>
          <t>200 IM</t>
        </is>
      </c>
      <c r="G129" s="20" t="n"/>
      <c r="H129" s="20" t="inlineStr">
        <is>
          <t>2:21.09</t>
        </is>
      </c>
      <c r="I129" s="20">
        <f>IF(H129="","",IF(ISNUMBER(SEARCH(":",H129)),VALUE(LEFT(H129,SEARCH(":",H129)-1))*60+VALUE(MID(H129,SEARCH(":",H129)+1,99)),VALUE(H129)))</f>
        <v/>
      </c>
      <c r="J129" s="20">
        <f>IF(OR(G129&lt;&gt;"",AND(H129&lt;&gt;"",INDEX(05_Record_Benchmarks!$N:$N,MATCH(A129,05_Record_Benchmarks!$A:$A,0))="YES")),"YES","NO")</f>
        <v/>
      </c>
      <c r="K129" s="20" t="inlineStr">
        <is>
          <t>Next-fastest time supplied in user workbook; swimmer name not yet supplied.</t>
        </is>
      </c>
      <c r="L129" s="40" t="n"/>
    </row>
    <row r="130" ht="15" customHeight="1" s="17">
      <c r="A130" s="20" t="inlineStr">
        <is>
          <t>NZ|SCM|F|13|400 IM</t>
        </is>
      </c>
      <c r="B130" s="20" t="n">
        <v>2</v>
      </c>
      <c r="C130" s="20" t="inlineStr">
        <is>
          <t>SCM</t>
        </is>
      </c>
      <c r="D130" s="20" t="inlineStr">
        <is>
          <t>Female</t>
        </is>
      </c>
      <c r="E130" s="20" t="n">
        <v>13</v>
      </c>
      <c r="F130" s="20" t="inlineStr">
        <is>
          <t>400 IM</t>
        </is>
      </c>
      <c r="G130" s="20" t="n"/>
      <c r="H130" s="20" t="inlineStr">
        <is>
          <t>4:58.09</t>
        </is>
      </c>
      <c r="I130" s="20">
        <f>IF(H130="","",IF(ISNUMBER(SEARCH(":",H130)),VALUE(LEFT(H130,SEARCH(":",H130)-1))*60+VALUE(MID(H130,SEARCH(":",H130)+1,99)),VALUE(H130)))</f>
        <v/>
      </c>
      <c r="J130" s="20">
        <f>IF(OR(G130&lt;&gt;"",AND(H130&lt;&gt;"",INDEX(05_Record_Benchmarks!$N:$N,MATCH(A130,05_Record_Benchmarks!$A:$A,0))="YES")),"YES","NO")</f>
        <v/>
      </c>
      <c r="K130" s="20" t="inlineStr">
        <is>
          <t>Next-fastest time supplied in user workbook; swimmer name not yet supplied.</t>
        </is>
      </c>
      <c r="L130" s="40" t="n"/>
    </row>
    <row r="131" ht="15" customHeight="1" s="17">
      <c r="A131" s="20" t="inlineStr">
        <is>
          <t>NZ|SCM|F|14|50 Free</t>
        </is>
      </c>
      <c r="B131" s="20" t="n">
        <v>2</v>
      </c>
      <c r="C131" s="20" t="inlineStr">
        <is>
          <t>SCM</t>
        </is>
      </c>
      <c r="D131" s="20" t="inlineStr">
        <is>
          <t>Female</t>
        </is>
      </c>
      <c r="E131" s="20" t="n">
        <v>14</v>
      </c>
      <c r="F131" s="20" t="inlineStr">
        <is>
          <t>50 Free</t>
        </is>
      </c>
      <c r="G131" s="20" t="n"/>
      <c r="H131" s="20" t="inlineStr">
        <is>
          <t>25.78</t>
        </is>
      </c>
      <c r="I131" s="20">
        <f>IF(H131="","",IF(ISNUMBER(SEARCH(":",H131)),VALUE(LEFT(H131,SEARCH(":",H131)-1))*60+VALUE(MID(H131,SEARCH(":",H131)+1,99)),VALUE(H131)))</f>
        <v/>
      </c>
      <c r="J131" s="20">
        <f>IF(OR(G131&lt;&gt;"",AND(H131&lt;&gt;"",INDEX(05_Record_Benchmarks!$N:$N,MATCH(A131,05_Record_Benchmarks!$A:$A,0))="YES")),"YES","NO")</f>
        <v/>
      </c>
      <c r="K131" s="20" t="inlineStr">
        <is>
          <t>Next-fastest time supplied in user workbook; swimmer name not yet supplied.</t>
        </is>
      </c>
      <c r="L131" s="40" t="n"/>
    </row>
    <row r="132" ht="15" customHeight="1" s="17">
      <c r="A132" s="20" t="inlineStr">
        <is>
          <t>NZ|SCM|F|14|100 Free</t>
        </is>
      </c>
      <c r="B132" s="20" t="n">
        <v>2</v>
      </c>
      <c r="C132" s="20" t="inlineStr">
        <is>
          <t>SCM</t>
        </is>
      </c>
      <c r="D132" s="20" t="inlineStr">
        <is>
          <t>Female</t>
        </is>
      </c>
      <c r="E132" s="20" t="n">
        <v>14</v>
      </c>
      <c r="F132" s="20" t="inlineStr">
        <is>
          <t>100 Free</t>
        </is>
      </c>
      <c r="G132" s="20" t="n"/>
      <c r="H132" s="20" t="inlineStr">
        <is>
          <t>56.05</t>
        </is>
      </c>
      <c r="I132" s="20">
        <f>IF(H132="","",IF(ISNUMBER(SEARCH(":",H132)),VALUE(LEFT(H132,SEARCH(":",H132)-1))*60+VALUE(MID(H132,SEARCH(":",H132)+1,99)),VALUE(H132)))</f>
        <v/>
      </c>
      <c r="J132" s="20">
        <f>IF(OR(G132&lt;&gt;"",AND(H132&lt;&gt;"",INDEX(05_Record_Benchmarks!$N:$N,MATCH(A132,05_Record_Benchmarks!$A:$A,0))="YES")),"YES","NO")</f>
        <v/>
      </c>
      <c r="K132" s="20" t="inlineStr">
        <is>
          <t>Next-fastest time supplied in user workbook; swimmer name not yet supplied.</t>
        </is>
      </c>
      <c r="L132" s="40" t="n"/>
    </row>
    <row r="133" ht="15" customHeight="1" s="17">
      <c r="A133" s="20" t="inlineStr">
        <is>
          <t>NZ|SCM|F|14|200 Free</t>
        </is>
      </c>
      <c r="B133" s="20" t="n">
        <v>2</v>
      </c>
      <c r="C133" s="20" t="inlineStr">
        <is>
          <t>SCM</t>
        </is>
      </c>
      <c r="D133" s="20" t="inlineStr">
        <is>
          <t>Female</t>
        </is>
      </c>
      <c r="E133" s="20" t="n">
        <v>14</v>
      </c>
      <c r="F133" s="20" t="inlineStr">
        <is>
          <t>200 Free</t>
        </is>
      </c>
      <c r="G133" s="20" t="n"/>
      <c r="H133" s="20" t="inlineStr">
        <is>
          <t>2:02.00</t>
        </is>
      </c>
      <c r="I133" s="20">
        <f>IF(H133="","",IF(ISNUMBER(SEARCH(":",H133)),VALUE(LEFT(H133,SEARCH(":",H133)-1))*60+VALUE(MID(H133,SEARCH(":",H133)+1,99)),VALUE(H133)))</f>
        <v/>
      </c>
      <c r="J133" s="20">
        <f>IF(OR(G133&lt;&gt;"",AND(H133&lt;&gt;"",INDEX(05_Record_Benchmarks!$N:$N,MATCH(A133,05_Record_Benchmarks!$A:$A,0))="YES")),"YES","NO")</f>
        <v/>
      </c>
      <c r="K133" s="20" t="inlineStr">
        <is>
          <t>Next-fastest time supplied in user workbook; swimmer name not yet supplied.</t>
        </is>
      </c>
      <c r="L133" s="40" t="n"/>
    </row>
    <row r="134" ht="15" customHeight="1" s="17">
      <c r="A134" s="20" t="inlineStr">
        <is>
          <t>NZ|SCM|F|14|400 Free</t>
        </is>
      </c>
      <c r="B134" s="20" t="n">
        <v>2</v>
      </c>
      <c r="C134" s="20" t="inlineStr">
        <is>
          <t>SCM</t>
        </is>
      </c>
      <c r="D134" s="20" t="inlineStr">
        <is>
          <t>Female</t>
        </is>
      </c>
      <c r="E134" s="20" t="n">
        <v>14</v>
      </c>
      <c r="F134" s="20" t="inlineStr">
        <is>
          <t>400 Free</t>
        </is>
      </c>
      <c r="G134" s="20" t="n"/>
      <c r="H134" s="20" t="inlineStr">
        <is>
          <t>4:15.38</t>
        </is>
      </c>
      <c r="I134" s="20">
        <f>IF(H134="","",IF(ISNUMBER(SEARCH(":",H134)),VALUE(LEFT(H134,SEARCH(":",H134)-1))*60+VALUE(MID(H134,SEARCH(":",H134)+1,99)),VALUE(H134)))</f>
        <v/>
      </c>
      <c r="J134" s="20">
        <f>IF(OR(G134&lt;&gt;"",AND(H134&lt;&gt;"",INDEX(05_Record_Benchmarks!$N:$N,MATCH(A134,05_Record_Benchmarks!$A:$A,0))="YES")),"YES","NO")</f>
        <v/>
      </c>
      <c r="K134" s="20" t="inlineStr">
        <is>
          <t>Next-fastest time supplied in user workbook; swimmer name not yet supplied.</t>
        </is>
      </c>
      <c r="L134" s="40" t="n"/>
    </row>
    <row r="135" ht="15" customHeight="1" s="17">
      <c r="A135" s="20" t="inlineStr">
        <is>
          <t>NZ|SCM|F|14|800 Free</t>
        </is>
      </c>
      <c r="B135" s="20" t="n">
        <v>2</v>
      </c>
      <c r="C135" s="20" t="inlineStr">
        <is>
          <t>SCM</t>
        </is>
      </c>
      <c r="D135" s="20" t="inlineStr">
        <is>
          <t>Female</t>
        </is>
      </c>
      <c r="E135" s="20" t="n">
        <v>14</v>
      </c>
      <c r="F135" s="20" t="inlineStr">
        <is>
          <t>800 Free</t>
        </is>
      </c>
      <c r="G135" s="20" t="n"/>
      <c r="H135" s="20" t="inlineStr">
        <is>
          <t>8:54.70</t>
        </is>
      </c>
      <c r="I135" s="20">
        <f>IF(H135="","",IF(ISNUMBER(SEARCH(":",H135)),VALUE(LEFT(H135,SEARCH(":",H135)-1))*60+VALUE(MID(H135,SEARCH(":",H135)+1,99)),VALUE(H135)))</f>
        <v/>
      </c>
      <c r="J135" s="20">
        <f>IF(OR(G135&lt;&gt;"",AND(H135&lt;&gt;"",INDEX(05_Record_Benchmarks!$N:$N,MATCH(A135,05_Record_Benchmarks!$A:$A,0))="YES")),"YES","NO")</f>
        <v/>
      </c>
      <c r="K135" s="20" t="inlineStr">
        <is>
          <t>Next-fastest time supplied in user workbook; swimmer name not yet supplied.</t>
        </is>
      </c>
      <c r="L135" s="40" t="n"/>
    </row>
    <row r="136" ht="15" customHeight="1" s="17">
      <c r="A136" s="20" t="inlineStr">
        <is>
          <t>NZ|SCM|F|14|1500 Free</t>
        </is>
      </c>
      <c r="B136" s="20" t="n">
        <v>2</v>
      </c>
      <c r="C136" s="20" t="inlineStr">
        <is>
          <t>SCM</t>
        </is>
      </c>
      <c r="D136" s="20" t="inlineStr">
        <is>
          <t>Female</t>
        </is>
      </c>
      <c r="E136" s="20" t="n">
        <v>14</v>
      </c>
      <c r="F136" s="20" t="inlineStr">
        <is>
          <t>1500 Free</t>
        </is>
      </c>
      <c r="G136" s="20" t="n"/>
      <c r="H136" s="20" t="inlineStr">
        <is>
          <t>17:08.01</t>
        </is>
      </c>
      <c r="I136" s="20">
        <f>IF(H136="","",IF(ISNUMBER(SEARCH(":",H136)),VALUE(LEFT(H136,SEARCH(":",H136)-1))*60+VALUE(MID(H136,SEARCH(":",H136)+1,99)),VALUE(H136)))</f>
        <v/>
      </c>
      <c r="J136" s="20">
        <f>IF(OR(G136&lt;&gt;"",AND(H136&lt;&gt;"",INDEX(05_Record_Benchmarks!$N:$N,MATCH(A136,05_Record_Benchmarks!$A:$A,0))="YES")),"YES","NO")</f>
        <v/>
      </c>
      <c r="K136" s="20" t="inlineStr">
        <is>
          <t>Next-fastest time supplied in user workbook; swimmer name not yet supplied.</t>
        </is>
      </c>
      <c r="L136" s="40" t="n"/>
    </row>
    <row r="137" ht="15" customHeight="1" s="17">
      <c r="A137" s="20" t="inlineStr">
        <is>
          <t>NZ|SCM|F|14|50 Back</t>
        </is>
      </c>
      <c r="B137" s="20" t="n">
        <v>2</v>
      </c>
      <c r="C137" s="20" t="inlineStr">
        <is>
          <t>SCM</t>
        </is>
      </c>
      <c r="D137" s="20" t="inlineStr">
        <is>
          <t>Female</t>
        </is>
      </c>
      <c r="E137" s="20" t="n">
        <v>14</v>
      </c>
      <c r="F137" s="20" t="inlineStr">
        <is>
          <t>50 Back</t>
        </is>
      </c>
      <c r="G137" s="20" t="n"/>
      <c r="H137" s="20" t="inlineStr">
        <is>
          <t>28.10</t>
        </is>
      </c>
      <c r="I137" s="20">
        <f>IF(H137="","",IF(ISNUMBER(SEARCH(":",H137)),VALUE(LEFT(H137,SEARCH(":",H137)-1))*60+VALUE(MID(H137,SEARCH(":",H137)+1,99)),VALUE(H137)))</f>
        <v/>
      </c>
      <c r="J137" s="20">
        <f>IF(OR(G137&lt;&gt;"",AND(H137&lt;&gt;"",INDEX(05_Record_Benchmarks!$N:$N,MATCH(A137,05_Record_Benchmarks!$A:$A,0))="YES")),"YES","NO")</f>
        <v/>
      </c>
      <c r="K137" s="20" t="inlineStr">
        <is>
          <t>Next-fastest time supplied in user workbook; swimmer name not yet supplied.</t>
        </is>
      </c>
      <c r="L137" s="40" t="n"/>
    </row>
    <row r="138" ht="15" customHeight="1" s="17">
      <c r="A138" s="20" t="inlineStr">
        <is>
          <t>NZ|SCM|F|14|100 Back</t>
        </is>
      </c>
      <c r="B138" s="20" t="n">
        <v>2</v>
      </c>
      <c r="C138" s="20" t="inlineStr">
        <is>
          <t>SCM</t>
        </is>
      </c>
      <c r="D138" s="20" t="inlineStr">
        <is>
          <t>Female</t>
        </is>
      </c>
      <c r="E138" s="20" t="n">
        <v>14</v>
      </c>
      <c r="F138" s="20" t="inlineStr">
        <is>
          <t>100 Back</t>
        </is>
      </c>
      <c r="G138" s="20" t="n"/>
      <c r="H138" s="20" t="inlineStr">
        <is>
          <t>1:00.32</t>
        </is>
      </c>
      <c r="I138" s="20">
        <f>IF(H138="","",IF(ISNUMBER(SEARCH(":",H138)),VALUE(LEFT(H138,SEARCH(":",H138)-1))*60+VALUE(MID(H138,SEARCH(":",H138)+1,99)),VALUE(H138)))</f>
        <v/>
      </c>
      <c r="J138" s="20">
        <f>IF(OR(G138&lt;&gt;"",AND(H138&lt;&gt;"",INDEX(05_Record_Benchmarks!$N:$N,MATCH(A138,05_Record_Benchmarks!$A:$A,0))="YES")),"YES","NO")</f>
        <v/>
      </c>
      <c r="K138" s="20" t="inlineStr">
        <is>
          <t>Next-fastest time supplied in user workbook; swimmer name not yet supplied.</t>
        </is>
      </c>
      <c r="L138" s="40" t="n"/>
    </row>
    <row r="139" ht="15" customHeight="1" s="17">
      <c r="A139" s="20" t="inlineStr">
        <is>
          <t>NZ|SCM|F|14|200 Back</t>
        </is>
      </c>
      <c r="B139" s="20" t="n">
        <v>2</v>
      </c>
      <c r="C139" s="20" t="inlineStr">
        <is>
          <t>SCM</t>
        </is>
      </c>
      <c r="D139" s="20" t="inlineStr">
        <is>
          <t>Female</t>
        </is>
      </c>
      <c r="E139" s="20" t="n">
        <v>14</v>
      </c>
      <c r="F139" s="20" t="inlineStr">
        <is>
          <t>200 Back</t>
        </is>
      </c>
      <c r="G139" s="20" t="n"/>
      <c r="H139" s="20" t="inlineStr">
        <is>
          <t>2:10.68</t>
        </is>
      </c>
      <c r="I139" s="20">
        <f>IF(H139="","",IF(ISNUMBER(SEARCH(":",H139)),VALUE(LEFT(H139,SEARCH(":",H139)-1))*60+VALUE(MID(H139,SEARCH(":",H139)+1,99)),VALUE(H139)))</f>
        <v/>
      </c>
      <c r="J139" s="20">
        <f>IF(OR(G139&lt;&gt;"",AND(H139&lt;&gt;"",INDEX(05_Record_Benchmarks!$N:$N,MATCH(A139,05_Record_Benchmarks!$A:$A,0))="YES")),"YES","NO")</f>
        <v/>
      </c>
      <c r="K139" s="20" t="inlineStr">
        <is>
          <t>Next-fastest time supplied in user workbook; swimmer name not yet supplied.</t>
        </is>
      </c>
      <c r="L139" s="40" t="n"/>
    </row>
    <row r="140" ht="15" customHeight="1" s="17">
      <c r="A140" s="20" t="inlineStr">
        <is>
          <t>NZ|SCM|F|14|50 Breast</t>
        </is>
      </c>
      <c r="B140" s="20" t="n">
        <v>2</v>
      </c>
      <c r="C140" s="20" t="inlineStr">
        <is>
          <t>SCM</t>
        </is>
      </c>
      <c r="D140" s="20" t="inlineStr">
        <is>
          <t>Female</t>
        </is>
      </c>
      <c r="E140" s="20" t="n">
        <v>14</v>
      </c>
      <c r="F140" s="20" t="inlineStr">
        <is>
          <t>50 Breast</t>
        </is>
      </c>
      <c r="G140" s="20" t="n"/>
      <c r="H140" s="20" t="inlineStr">
        <is>
          <t>32.28</t>
        </is>
      </c>
      <c r="I140" s="20">
        <f>IF(H140="","",IF(ISNUMBER(SEARCH(":",H140)),VALUE(LEFT(H140,SEARCH(":",H140)-1))*60+VALUE(MID(H140,SEARCH(":",H140)+1,99)),VALUE(H140)))</f>
        <v/>
      </c>
      <c r="J140" s="20">
        <f>IF(OR(G140&lt;&gt;"",AND(H140&lt;&gt;"",INDEX(05_Record_Benchmarks!$N:$N,MATCH(A140,05_Record_Benchmarks!$A:$A,0))="YES")),"YES","NO")</f>
        <v/>
      </c>
      <c r="K140" s="20" t="inlineStr">
        <is>
          <t>Next-fastest time supplied in user workbook; swimmer name not yet supplied.</t>
        </is>
      </c>
      <c r="L140" s="40" t="n"/>
    </row>
    <row r="141" ht="15" customHeight="1" s="17">
      <c r="A141" s="20" t="inlineStr">
        <is>
          <t>NZ|SCM|F|14|100 Breast</t>
        </is>
      </c>
      <c r="B141" s="20" t="n">
        <v>2</v>
      </c>
      <c r="C141" s="20" t="inlineStr">
        <is>
          <t>SCM</t>
        </is>
      </c>
      <c r="D141" s="20" t="inlineStr">
        <is>
          <t>Female</t>
        </is>
      </c>
      <c r="E141" s="20" t="n">
        <v>14</v>
      </c>
      <c r="F141" s="20" t="inlineStr">
        <is>
          <t>100 Breast</t>
        </is>
      </c>
      <c r="G141" s="20" t="n"/>
      <c r="H141" s="20" t="inlineStr">
        <is>
          <t>1:10.27</t>
        </is>
      </c>
      <c r="I141" s="20">
        <f>IF(H141="","",IF(ISNUMBER(SEARCH(":",H141)),VALUE(LEFT(H141,SEARCH(":",H141)-1))*60+VALUE(MID(H141,SEARCH(":",H141)+1,99)),VALUE(H141)))</f>
        <v/>
      </c>
      <c r="J141" s="20">
        <f>IF(OR(G141&lt;&gt;"",AND(H141&lt;&gt;"",INDEX(05_Record_Benchmarks!$N:$N,MATCH(A141,05_Record_Benchmarks!$A:$A,0))="YES")),"YES","NO")</f>
        <v/>
      </c>
      <c r="K141" s="20" t="inlineStr">
        <is>
          <t>Next-fastest time supplied in user workbook; swimmer name not yet supplied.</t>
        </is>
      </c>
      <c r="L141" s="40" t="n"/>
    </row>
    <row r="142" ht="15" customHeight="1" s="17">
      <c r="A142" s="20" t="inlineStr">
        <is>
          <t>NZ|SCM|F|14|200 Breast</t>
        </is>
      </c>
      <c r="B142" s="20" t="n">
        <v>2</v>
      </c>
      <c r="C142" s="20" t="inlineStr">
        <is>
          <t>SCM</t>
        </is>
      </c>
      <c r="D142" s="20" t="inlineStr">
        <is>
          <t>Female</t>
        </is>
      </c>
      <c r="E142" s="20" t="n">
        <v>14</v>
      </c>
      <c r="F142" s="20" t="inlineStr">
        <is>
          <t>200 Breast</t>
        </is>
      </c>
      <c r="G142" s="20" t="inlineStr">
        <is>
          <t>Melissa Cowen</t>
        </is>
      </c>
      <c r="H142" s="20" t="inlineStr">
        <is>
          <t>2:29.95</t>
        </is>
      </c>
      <c r="I142" s="20">
        <f>IF(H142="","",IF(ISNUMBER(SEARCH(":",H142)),VALUE(LEFT(H142,SEARCH(":",H142)-1))*60+VALUE(MID(H142,SEARCH(":",H142)+1,99)),VALUE(H142)))</f>
        <v/>
      </c>
      <c r="J142" s="20">
        <f>IF(OR(G142&lt;&gt;"",AND(H142&lt;&gt;"",INDEX(05_Record_Benchmarks!$N:$N,MATCH(A142,05_Record_Benchmarks!$A:$A,0))="YES")),"YES","NO")</f>
        <v/>
      </c>
      <c r="K142" s="20" t="inlineStr">
        <is>
          <t>Auto-set from displaced NZ record after NZSC 2026.</t>
        </is>
      </c>
      <c r="L142" s="40" t="n">
        <v>46303</v>
      </c>
    </row>
    <row r="143" ht="15" customHeight="1" s="17">
      <c r="A143" s="20" t="inlineStr">
        <is>
          <t>NZ|SCM|F|14|50 Fly</t>
        </is>
      </c>
      <c r="B143" s="20" t="n">
        <v>2</v>
      </c>
      <c r="C143" s="20" t="inlineStr">
        <is>
          <t>SCM</t>
        </is>
      </c>
      <c r="D143" s="20" t="inlineStr">
        <is>
          <t>Female</t>
        </is>
      </c>
      <c r="E143" s="20" t="n">
        <v>14</v>
      </c>
      <c r="F143" s="20" t="inlineStr">
        <is>
          <t>50 Fly</t>
        </is>
      </c>
      <c r="G143" s="20" t="n"/>
      <c r="H143" s="20" t="inlineStr">
        <is>
          <t>27.61</t>
        </is>
      </c>
      <c r="I143" s="20">
        <f>IF(H143="","",IF(ISNUMBER(SEARCH(":",H143)),VALUE(LEFT(H143,SEARCH(":",H143)-1))*60+VALUE(MID(H143,SEARCH(":",H143)+1,99)),VALUE(H143)))</f>
        <v/>
      </c>
      <c r="J143" s="20">
        <f>IF(OR(G143&lt;&gt;"",AND(H143&lt;&gt;"",INDEX(05_Record_Benchmarks!$N:$N,MATCH(A143,05_Record_Benchmarks!$A:$A,0))="YES")),"YES","NO")</f>
        <v/>
      </c>
      <c r="K143" s="20" t="inlineStr">
        <is>
          <t>Next-fastest time supplied in user workbook; swimmer name not yet supplied.</t>
        </is>
      </c>
      <c r="L143" s="40" t="n"/>
    </row>
    <row r="144" ht="15" customHeight="1" s="17">
      <c r="A144" s="20" t="inlineStr">
        <is>
          <t>NZ|SCM|F|14|100 Fly</t>
        </is>
      </c>
      <c r="B144" s="20" t="n">
        <v>2</v>
      </c>
      <c r="C144" s="20" t="inlineStr">
        <is>
          <t>SCM</t>
        </is>
      </c>
      <c r="D144" s="20" t="inlineStr">
        <is>
          <t>Female</t>
        </is>
      </c>
      <c r="E144" s="20" t="n">
        <v>14</v>
      </c>
      <c r="F144" s="20" t="inlineStr">
        <is>
          <t>100 Fly</t>
        </is>
      </c>
      <c r="G144" s="20" t="n"/>
      <c r="H144" s="20" t="inlineStr">
        <is>
          <t>1:01.14</t>
        </is>
      </c>
      <c r="I144" s="20">
        <f>IF(H144="","",IF(ISNUMBER(SEARCH(":",H144)),VALUE(LEFT(H144,SEARCH(":",H144)-1))*60+VALUE(MID(H144,SEARCH(":",H144)+1,99)),VALUE(H144)))</f>
        <v/>
      </c>
      <c r="J144" s="20">
        <f>IF(OR(G144&lt;&gt;"",AND(H144&lt;&gt;"",INDEX(05_Record_Benchmarks!$N:$N,MATCH(A144,05_Record_Benchmarks!$A:$A,0))="YES")),"YES","NO")</f>
        <v/>
      </c>
      <c r="K144" s="20" t="inlineStr">
        <is>
          <t>Next-fastest time supplied in user workbook; swimmer name not yet supplied.</t>
        </is>
      </c>
      <c r="L144" s="40" t="n"/>
    </row>
    <row r="145" ht="15" customHeight="1" s="17">
      <c r="A145" s="20" t="inlineStr">
        <is>
          <t>NZ|SCM|F|14|200 Fly</t>
        </is>
      </c>
      <c r="B145" s="20" t="n">
        <v>2</v>
      </c>
      <c r="C145" s="20" t="inlineStr">
        <is>
          <t>SCM</t>
        </is>
      </c>
      <c r="D145" s="20" t="inlineStr">
        <is>
          <t>Female</t>
        </is>
      </c>
      <c r="E145" s="20" t="n">
        <v>14</v>
      </c>
      <c r="F145" s="20" t="inlineStr">
        <is>
          <t>200 Fly</t>
        </is>
      </c>
      <c r="G145" s="20" t="n"/>
      <c r="H145" s="20" t="inlineStr">
        <is>
          <t>2:16.52</t>
        </is>
      </c>
      <c r="I145" s="20">
        <f>IF(H145="","",IF(ISNUMBER(SEARCH(":",H145)),VALUE(LEFT(H145,SEARCH(":",H145)-1))*60+VALUE(MID(H145,SEARCH(":",H145)+1,99)),VALUE(H145)))</f>
        <v/>
      </c>
      <c r="J145" s="20">
        <f>IF(OR(G145&lt;&gt;"",AND(H145&lt;&gt;"",INDEX(05_Record_Benchmarks!$N:$N,MATCH(A145,05_Record_Benchmarks!$A:$A,0))="YES")),"YES","NO")</f>
        <v/>
      </c>
      <c r="K145" s="20" t="inlineStr">
        <is>
          <t>Next-fastest time supplied in user workbook; swimmer name not yet supplied.</t>
        </is>
      </c>
      <c r="L145" s="40" t="n"/>
    </row>
    <row r="146" ht="15" customHeight="1" s="17">
      <c r="A146" s="20" t="inlineStr">
        <is>
          <t>NZ|SCM|F|14|100 IM</t>
        </is>
      </c>
      <c r="B146" s="20" t="n">
        <v>2</v>
      </c>
      <c r="C146" s="20" t="inlineStr">
        <is>
          <t>SCM</t>
        </is>
      </c>
      <c r="D146" s="20" t="inlineStr">
        <is>
          <t>Female</t>
        </is>
      </c>
      <c r="E146" s="20" t="n">
        <v>14</v>
      </c>
      <c r="F146" s="20" t="inlineStr">
        <is>
          <t>100 IM</t>
        </is>
      </c>
      <c r="G146" s="20" t="n"/>
      <c r="H146" s="20" t="inlineStr">
        <is>
          <t>1:03.81</t>
        </is>
      </c>
      <c r="I146" s="20">
        <f>IF(H146="","",IF(ISNUMBER(SEARCH(":",H146)),VALUE(LEFT(H146,SEARCH(":",H146)-1))*60+VALUE(MID(H146,SEARCH(":",H146)+1,99)),VALUE(H146)))</f>
        <v/>
      </c>
      <c r="J146" s="20">
        <f>IF(OR(G146&lt;&gt;"",AND(H146&lt;&gt;"",INDEX(05_Record_Benchmarks!$N:$N,MATCH(A146,05_Record_Benchmarks!$A:$A,0))="YES")),"YES","NO")</f>
        <v/>
      </c>
      <c r="K146" s="20" t="inlineStr">
        <is>
          <t>Next-fastest time supplied in user workbook; swimmer name not yet supplied.</t>
        </is>
      </c>
      <c r="L146" s="40" t="n"/>
    </row>
    <row r="147" ht="15" customHeight="1" s="17">
      <c r="A147" s="20" t="inlineStr">
        <is>
          <t>NZ|SCM|F|14|200 IM</t>
        </is>
      </c>
      <c r="B147" s="20" t="n">
        <v>2</v>
      </c>
      <c r="C147" s="20" t="inlineStr">
        <is>
          <t>SCM</t>
        </is>
      </c>
      <c r="D147" s="20" t="inlineStr">
        <is>
          <t>Female</t>
        </is>
      </c>
      <c r="E147" s="20" t="n">
        <v>14</v>
      </c>
      <c r="F147" s="20" t="inlineStr">
        <is>
          <t>200 IM</t>
        </is>
      </c>
      <c r="G147" s="20" t="n"/>
      <c r="H147" s="20" t="inlineStr">
        <is>
          <t>2:17.58</t>
        </is>
      </c>
      <c r="I147" s="20">
        <f>IF(H147="","",IF(ISNUMBER(SEARCH(":",H147)),VALUE(LEFT(H147,SEARCH(":",H147)-1))*60+VALUE(MID(H147,SEARCH(":",H147)+1,99)),VALUE(H147)))</f>
        <v/>
      </c>
      <c r="J147" s="20">
        <f>IF(OR(G147&lt;&gt;"",AND(H147&lt;&gt;"",INDEX(05_Record_Benchmarks!$N:$N,MATCH(A147,05_Record_Benchmarks!$A:$A,0))="YES")),"YES","NO")</f>
        <v/>
      </c>
      <c r="K147" s="20" t="inlineStr">
        <is>
          <t>Next-fastest time supplied in user workbook; swimmer name not yet supplied.</t>
        </is>
      </c>
      <c r="L147" s="40" t="n"/>
    </row>
    <row r="148" ht="15" customHeight="1" s="17">
      <c r="A148" s="20" t="inlineStr">
        <is>
          <t>NZ|SCM|F|14|400 IM</t>
        </is>
      </c>
      <c r="B148" s="20" t="n">
        <v>2</v>
      </c>
      <c r="C148" s="20" t="inlineStr">
        <is>
          <t>SCM</t>
        </is>
      </c>
      <c r="D148" s="20" t="inlineStr">
        <is>
          <t>Female</t>
        </is>
      </c>
      <c r="E148" s="20" t="n">
        <v>14</v>
      </c>
      <c r="F148" s="20" t="inlineStr">
        <is>
          <t>400 IM</t>
        </is>
      </c>
      <c r="G148" s="20" t="n"/>
      <c r="H148" s="20" t="inlineStr">
        <is>
          <t>4:49.80</t>
        </is>
      </c>
      <c r="I148" s="20">
        <f>IF(H148="","",IF(ISNUMBER(SEARCH(":",H148)),VALUE(LEFT(H148,SEARCH(":",H148)-1))*60+VALUE(MID(H148,SEARCH(":",H148)+1,99)),VALUE(H148)))</f>
        <v/>
      </c>
      <c r="J148" s="20">
        <f>IF(OR(G148&lt;&gt;"",AND(H148&lt;&gt;"",INDEX(05_Record_Benchmarks!$N:$N,MATCH(A148,05_Record_Benchmarks!$A:$A,0))="YES")),"YES","NO")</f>
        <v/>
      </c>
      <c r="K148" s="20" t="inlineStr">
        <is>
          <t>Next-fastest time supplied in user workbook; swimmer name not yet supplied.</t>
        </is>
      </c>
      <c r="L148" s="40" t="n"/>
    </row>
    <row r="149" ht="15" customHeight="1" s="17">
      <c r="A149" s="20" t="inlineStr">
        <is>
          <t>NZ|SCM|F|15|50 Free</t>
        </is>
      </c>
      <c r="B149" s="20" t="n">
        <v>2</v>
      </c>
      <c r="C149" s="20" t="inlineStr">
        <is>
          <t>SCM</t>
        </is>
      </c>
      <c r="D149" s="20" t="inlineStr">
        <is>
          <t>Female</t>
        </is>
      </c>
      <c r="E149" s="20" t="n">
        <v>15</v>
      </c>
      <c r="F149" s="20" t="inlineStr">
        <is>
          <t>50 Free</t>
        </is>
      </c>
      <c r="G149" s="20" t="inlineStr">
        <is>
          <t>Madeleine Wilson</t>
        </is>
      </c>
      <c r="H149" s="20" t="inlineStr">
        <is>
          <t>25.42</t>
        </is>
      </c>
      <c r="I149" s="20">
        <f>IF(H149="","",IF(ISNUMBER(SEARCH(":",H149)),VALUE(LEFT(H149,SEARCH(":",H149)-1))*60+VALUE(MID(H149,SEARCH(":",H149)+1,99)),VALUE(H149)))</f>
        <v/>
      </c>
      <c r="J149" s="20">
        <f>IF(OR(G149&lt;&gt;"",AND(H149&lt;&gt;"",INDEX(05_Record_Benchmarks!$N:$N,MATCH(A149,05_Record_Benchmarks!$A:$A,0))="YES")),"YES","NO")</f>
        <v/>
      </c>
      <c r="K149" s="20" t="inlineStr">
        <is>
          <t>Next-fastest time supplied in user workbook; swimmer name not yet supplied.</t>
        </is>
      </c>
      <c r="L149" s="40" t="n">
        <v>46303</v>
      </c>
    </row>
    <row r="150" ht="15" customHeight="1" s="17">
      <c r="A150" s="20" t="inlineStr">
        <is>
          <t>NZ|SCM|F|15|100 Free</t>
        </is>
      </c>
      <c r="B150" s="20" t="n">
        <v>2</v>
      </c>
      <c r="C150" s="20" t="inlineStr">
        <is>
          <t>SCM</t>
        </is>
      </c>
      <c r="D150" s="20" t="inlineStr">
        <is>
          <t>Female</t>
        </is>
      </c>
      <c r="E150" s="20" t="n">
        <v>15</v>
      </c>
      <c r="F150" s="20" t="inlineStr">
        <is>
          <t>100 Free</t>
        </is>
      </c>
      <c r="G150" s="20" t="n"/>
      <c r="H150" s="20" t="inlineStr">
        <is>
          <t>55.35</t>
        </is>
      </c>
      <c r="I150" s="20">
        <f>IF(H150="","",IF(ISNUMBER(SEARCH(":",H150)),VALUE(LEFT(H150,SEARCH(":",H150)-1))*60+VALUE(MID(H150,SEARCH(":",H150)+1,99)),VALUE(H150)))</f>
        <v/>
      </c>
      <c r="J150" s="20">
        <f>IF(OR(G150&lt;&gt;"",AND(H150&lt;&gt;"",INDEX(05_Record_Benchmarks!$N:$N,MATCH(A150,05_Record_Benchmarks!$A:$A,0))="YES")),"YES","NO")</f>
        <v/>
      </c>
      <c r="K150" s="20" t="inlineStr">
        <is>
          <t>Next-fastest time supplied in user workbook; swimmer name not yet supplied.</t>
        </is>
      </c>
      <c r="L150" s="40" t="n"/>
    </row>
    <row r="151" ht="15" customHeight="1" s="17">
      <c r="A151" s="20" t="inlineStr">
        <is>
          <t>NZ|SCM|F|15|200 Free</t>
        </is>
      </c>
      <c r="B151" s="20" t="n">
        <v>2</v>
      </c>
      <c r="C151" s="20" t="inlineStr">
        <is>
          <t>SCM</t>
        </is>
      </c>
      <c r="D151" s="20" t="inlineStr">
        <is>
          <t>Female</t>
        </is>
      </c>
      <c r="E151" s="20" t="n">
        <v>15</v>
      </c>
      <c r="F151" s="20" t="inlineStr">
        <is>
          <t>200 Free</t>
        </is>
      </c>
      <c r="G151" s="20" t="n"/>
      <c r="H151" s="20" t="inlineStr">
        <is>
          <t>1:58.25</t>
        </is>
      </c>
      <c r="I151" s="20">
        <f>IF(H151="","",IF(ISNUMBER(SEARCH(":",H151)),VALUE(LEFT(H151,SEARCH(":",H151)-1))*60+VALUE(MID(H151,SEARCH(":",H151)+1,99)),VALUE(H151)))</f>
        <v/>
      </c>
      <c r="J151" s="20">
        <f>IF(OR(G151&lt;&gt;"",AND(H151&lt;&gt;"",INDEX(05_Record_Benchmarks!$N:$N,MATCH(A151,05_Record_Benchmarks!$A:$A,0))="YES")),"YES","NO")</f>
        <v/>
      </c>
      <c r="K151" s="20" t="inlineStr">
        <is>
          <t>Next-fastest time supplied in user workbook; swimmer name not yet supplied.</t>
        </is>
      </c>
      <c r="L151" s="40" t="n"/>
    </row>
    <row r="152" ht="15" customHeight="1" s="17">
      <c r="A152" s="20" t="inlineStr">
        <is>
          <t>NZ|SCM|F|15|400 Free</t>
        </is>
      </c>
      <c r="B152" s="20" t="n">
        <v>2</v>
      </c>
      <c r="C152" s="20" t="inlineStr">
        <is>
          <t>SCM</t>
        </is>
      </c>
      <c r="D152" s="20" t="inlineStr">
        <is>
          <t>Female</t>
        </is>
      </c>
      <c r="E152" s="20" t="n">
        <v>15</v>
      </c>
      <c r="F152" s="20" t="inlineStr">
        <is>
          <t>400 Free</t>
        </is>
      </c>
      <c r="G152" s="20" t="n"/>
      <c r="H152" s="20" t="inlineStr">
        <is>
          <t>4:14.24</t>
        </is>
      </c>
      <c r="I152" s="20">
        <f>IF(H152="","",IF(ISNUMBER(SEARCH(":",H152)),VALUE(LEFT(H152,SEARCH(":",H152)-1))*60+VALUE(MID(H152,SEARCH(":",H152)+1,99)),VALUE(H152)))</f>
        <v/>
      </c>
      <c r="J152" s="20">
        <f>IF(OR(G152&lt;&gt;"",AND(H152&lt;&gt;"",INDEX(05_Record_Benchmarks!$N:$N,MATCH(A152,05_Record_Benchmarks!$A:$A,0))="YES")),"YES","NO")</f>
        <v/>
      </c>
      <c r="K152" s="20" t="inlineStr">
        <is>
          <t>Next-fastest time supplied in user workbook; swimmer name not yet supplied.</t>
        </is>
      </c>
      <c r="L152" s="40" t="n"/>
    </row>
    <row r="153" ht="15" customHeight="1" s="17">
      <c r="A153" s="20" t="inlineStr">
        <is>
          <t>NZ|SCM|F|15|800 Free</t>
        </is>
      </c>
      <c r="B153" s="20" t="n">
        <v>2</v>
      </c>
      <c r="C153" s="20" t="inlineStr">
        <is>
          <t>SCM</t>
        </is>
      </c>
      <c r="D153" s="20" t="inlineStr">
        <is>
          <t>Female</t>
        </is>
      </c>
      <c r="E153" s="20" t="n">
        <v>15</v>
      </c>
      <c r="F153" s="20" t="inlineStr">
        <is>
          <t>800 Free</t>
        </is>
      </c>
      <c r="G153" s="20" t="n"/>
      <c r="H153" s="20" t="inlineStr">
        <is>
          <t>8:37.54</t>
        </is>
      </c>
      <c r="I153" s="20">
        <f>IF(H153="","",IF(ISNUMBER(SEARCH(":",H153)),VALUE(LEFT(H153,SEARCH(":",H153)-1))*60+VALUE(MID(H153,SEARCH(":",H153)+1,99)),VALUE(H153)))</f>
        <v/>
      </c>
      <c r="J153" s="20">
        <f>IF(OR(G153&lt;&gt;"",AND(H153&lt;&gt;"",INDEX(05_Record_Benchmarks!$N:$N,MATCH(A153,05_Record_Benchmarks!$A:$A,0))="YES")),"YES","NO")</f>
        <v/>
      </c>
      <c r="K153" s="20" t="inlineStr">
        <is>
          <t>Next-fastest time supplied in user workbook; swimmer name not yet supplied.</t>
        </is>
      </c>
      <c r="L153" s="40" t="n"/>
    </row>
    <row r="154" ht="15" customHeight="1" s="17">
      <c r="A154" s="20" t="inlineStr">
        <is>
          <t>NZ|SCM|F|15|1500 Free</t>
        </is>
      </c>
      <c r="B154" s="20" t="n">
        <v>2</v>
      </c>
      <c r="C154" s="20" t="inlineStr">
        <is>
          <t>SCM</t>
        </is>
      </c>
      <c r="D154" s="20" t="inlineStr">
        <is>
          <t>Female</t>
        </is>
      </c>
      <c r="E154" s="20" t="n">
        <v>15</v>
      </c>
      <c r="F154" s="20" t="inlineStr">
        <is>
          <t>1500 Free</t>
        </is>
      </c>
      <c r="G154" s="20" t="n"/>
      <c r="H154" s="20" t="inlineStr">
        <is>
          <t>16:58.01</t>
        </is>
      </c>
      <c r="I154" s="20">
        <f>IF(H154="","",IF(ISNUMBER(SEARCH(":",H154)),VALUE(LEFT(H154,SEARCH(":",H154)-1))*60+VALUE(MID(H154,SEARCH(":",H154)+1,99)),VALUE(H154)))</f>
        <v/>
      </c>
      <c r="J154" s="20">
        <f>IF(OR(G154&lt;&gt;"",AND(H154&lt;&gt;"",INDEX(05_Record_Benchmarks!$N:$N,MATCH(A154,05_Record_Benchmarks!$A:$A,0))="YES")),"YES","NO")</f>
        <v/>
      </c>
      <c r="K154" s="20" t="inlineStr">
        <is>
          <t>Next-fastest time supplied in user workbook; swimmer name not yet supplied.</t>
        </is>
      </c>
      <c r="L154" s="40" t="n"/>
    </row>
    <row r="155" ht="15" customHeight="1" s="17">
      <c r="A155" s="20" t="inlineStr">
        <is>
          <t>NZ|SCM|F|15|50 Back</t>
        </is>
      </c>
      <c r="B155" s="20" t="n">
        <v>2</v>
      </c>
      <c r="C155" s="20" t="inlineStr">
        <is>
          <t>SCM</t>
        </is>
      </c>
      <c r="D155" s="20" t="inlineStr">
        <is>
          <t>Female</t>
        </is>
      </c>
      <c r="E155" s="20" t="n">
        <v>15</v>
      </c>
      <c r="F155" s="20" t="inlineStr">
        <is>
          <t>50 Back</t>
        </is>
      </c>
      <c r="G155" s="20" t="inlineStr">
        <is>
          <t>Sophia Batchelor</t>
        </is>
      </c>
      <c r="H155" s="20" t="inlineStr">
        <is>
          <t>27.89</t>
        </is>
      </c>
      <c r="I155" s="20">
        <f>IF(H155="","",IF(ISNUMBER(SEARCH(":",H155)),VALUE(LEFT(H155,SEARCH(":",H155)-1))*60+VALUE(MID(H155,SEARCH(":",H155)+1,99)),VALUE(H155)))</f>
        <v/>
      </c>
      <c r="J155" s="20">
        <f>IF(OR(G155&lt;&gt;"",AND(H155&lt;&gt;"",INDEX(05_Record_Benchmarks!$N:$N,MATCH(A155,05_Record_Benchmarks!$A:$A,0))="YES")),"YES","NO")</f>
        <v/>
      </c>
      <c r="K155" s="20" t="inlineStr">
        <is>
          <t>Next-fastest time supplied in user workbook; swimmer name not yet supplied.</t>
        </is>
      </c>
      <c r="L155" s="40" t="n">
        <v>46303</v>
      </c>
    </row>
    <row r="156" ht="15" customHeight="1" s="17">
      <c r="A156" s="20" t="inlineStr">
        <is>
          <t>NZ|SCM|F|15|100 Back</t>
        </is>
      </c>
      <c r="B156" s="20" t="n">
        <v>2</v>
      </c>
      <c r="C156" s="20" t="inlineStr">
        <is>
          <t>SCM</t>
        </is>
      </c>
      <c r="D156" s="20" t="inlineStr">
        <is>
          <t>Female</t>
        </is>
      </c>
      <c r="E156" s="20" t="n">
        <v>15</v>
      </c>
      <c r="F156" s="20" t="inlineStr">
        <is>
          <t>100 Back</t>
        </is>
      </c>
      <c r="G156" s="20" t="n"/>
      <c r="H156" s="20" t="inlineStr">
        <is>
          <t>59.05</t>
        </is>
      </c>
      <c r="I156" s="20">
        <f>IF(H156="","",IF(ISNUMBER(SEARCH(":",H156)),VALUE(LEFT(H156,SEARCH(":",H156)-1))*60+VALUE(MID(H156,SEARCH(":",H156)+1,99)),VALUE(H156)))</f>
        <v/>
      </c>
      <c r="J156" s="20">
        <f>IF(OR(G156&lt;&gt;"",AND(H156&lt;&gt;"",INDEX(05_Record_Benchmarks!$N:$N,MATCH(A156,05_Record_Benchmarks!$A:$A,0))="YES")),"YES","NO")</f>
        <v/>
      </c>
      <c r="K156" s="20" t="inlineStr">
        <is>
          <t>Next-fastest time supplied in user workbook; swimmer name not yet supplied.</t>
        </is>
      </c>
      <c r="L156" s="40" t="n"/>
    </row>
    <row r="157" ht="15" customHeight="1" s="17">
      <c r="A157" s="20" t="inlineStr">
        <is>
          <t>NZ|SCM|F|15|200 Back</t>
        </is>
      </c>
      <c r="B157" s="20" t="n">
        <v>2</v>
      </c>
      <c r="C157" s="20" t="inlineStr">
        <is>
          <t>SCM</t>
        </is>
      </c>
      <c r="D157" s="20" t="inlineStr">
        <is>
          <t>Female</t>
        </is>
      </c>
      <c r="E157" s="20" t="n">
        <v>15</v>
      </c>
      <c r="F157" s="20" t="inlineStr">
        <is>
          <t>200 Back</t>
        </is>
      </c>
      <c r="G157" s="20" t="inlineStr">
        <is>
          <t>Brydie Whitehead</t>
        </is>
      </c>
      <c r="H157" s="20" t="inlineStr">
        <is>
          <t>2:12.04</t>
        </is>
      </c>
      <c r="I157" s="20">
        <f>IF(H157="","",IF(ISNUMBER(SEARCH(":",H157)),VALUE(LEFT(H157,SEARCH(":",H157)-1))*60+VALUE(MID(H157,SEARCH(":",H157)+1,99)),VALUE(H157)))</f>
        <v/>
      </c>
      <c r="J157" s="20">
        <f>IF(OR(G157&lt;&gt;"",AND(H157&lt;&gt;"",INDEX(05_Record_Benchmarks!$N:$N,MATCH(A157,05_Record_Benchmarks!$A:$A,0))="YES")),"YES","NO")</f>
        <v/>
      </c>
      <c r="K157" s="20" t="inlineStr">
        <is>
          <t>Next-fastest time supplied in user workbook; swimmer name not yet supplied.</t>
        </is>
      </c>
      <c r="L157" s="40" t="n">
        <v>46303</v>
      </c>
    </row>
    <row r="158" ht="15" customHeight="1" s="17">
      <c r="A158" s="20" t="inlineStr">
        <is>
          <t>NZ|SCM|F|15|50 Breast</t>
        </is>
      </c>
      <c r="B158" s="20" t="n">
        <v>2</v>
      </c>
      <c r="C158" s="20" t="inlineStr">
        <is>
          <t>SCM</t>
        </is>
      </c>
      <c r="D158" s="20" t="inlineStr">
        <is>
          <t>Female</t>
        </is>
      </c>
      <c r="E158" s="20" t="n">
        <v>15</v>
      </c>
      <c r="F158" s="20" t="inlineStr">
        <is>
          <t>50 Breast</t>
        </is>
      </c>
      <c r="G158" s="20" t="n"/>
      <c r="H158" s="20" t="inlineStr">
        <is>
          <t>31.37</t>
        </is>
      </c>
      <c r="I158" s="20">
        <f>IF(H158="","",IF(ISNUMBER(SEARCH(":",H158)),VALUE(LEFT(H158,SEARCH(":",H158)-1))*60+VALUE(MID(H158,SEARCH(":",H158)+1,99)),VALUE(H158)))</f>
        <v/>
      </c>
      <c r="J158" s="20">
        <f>IF(OR(G158&lt;&gt;"",AND(H158&lt;&gt;"",INDEX(05_Record_Benchmarks!$N:$N,MATCH(A158,05_Record_Benchmarks!$A:$A,0))="YES")),"YES","NO")</f>
        <v/>
      </c>
      <c r="K158" s="20" t="inlineStr">
        <is>
          <t>Next-fastest time supplied in user workbook; swimmer name not yet supplied.</t>
        </is>
      </c>
      <c r="L158" s="40" t="n"/>
    </row>
    <row r="159" ht="15" customHeight="1" s="17">
      <c r="A159" s="20" t="inlineStr">
        <is>
          <t>NZ|SCM|F|15|100 Breast</t>
        </is>
      </c>
      <c r="B159" s="20" t="n">
        <v>2</v>
      </c>
      <c r="C159" s="20" t="inlineStr">
        <is>
          <t>SCM</t>
        </is>
      </c>
      <c r="D159" s="20" t="inlineStr">
        <is>
          <t>Female</t>
        </is>
      </c>
      <c r="E159" s="20" t="n">
        <v>15</v>
      </c>
      <c r="F159" s="20" t="inlineStr">
        <is>
          <t>100 Breast</t>
        </is>
      </c>
      <c r="G159" s="20" t="inlineStr">
        <is>
          <t>Chloe Francis</t>
        </is>
      </c>
      <c r="H159" s="20" t="inlineStr">
        <is>
          <t>1:08.76</t>
        </is>
      </c>
      <c r="I159" s="20">
        <f>IF(H159="","",IF(ISNUMBER(SEARCH(":",H159)),VALUE(LEFT(H159,SEARCH(":",H159)-1))*60+VALUE(MID(H159,SEARCH(":",H159)+1,99)),VALUE(H159)))</f>
        <v/>
      </c>
      <c r="J159" s="20">
        <f>IF(OR(G159&lt;&gt;"",AND(H159&lt;&gt;"",INDEX(05_Record_Benchmarks!$N:$N,MATCH(A159,05_Record_Benchmarks!$A:$A,0))="YES")),"YES","NO")</f>
        <v/>
      </c>
      <c r="K159" s="20" t="inlineStr">
        <is>
          <t>Next-fastest time supplied in user workbook; swimmer name not yet supplied.</t>
        </is>
      </c>
      <c r="L159" s="40" t="n">
        <v>46303</v>
      </c>
    </row>
    <row r="160" ht="15" customHeight="1" s="17">
      <c r="A160" s="20" t="inlineStr">
        <is>
          <t>NZ|SCM|F|15|200 Breast</t>
        </is>
      </c>
      <c r="B160" s="20" t="n">
        <v>2</v>
      </c>
      <c r="C160" s="20" t="inlineStr">
        <is>
          <t>SCM</t>
        </is>
      </c>
      <c r="D160" s="20" t="inlineStr">
        <is>
          <t>Female</t>
        </is>
      </c>
      <c r="E160" s="20" t="n">
        <v>15</v>
      </c>
      <c r="F160" s="20" t="inlineStr">
        <is>
          <t>200 Breast</t>
        </is>
      </c>
      <c r="G160" s="20" t="n"/>
      <c r="H160" s="20" t="inlineStr">
        <is>
          <t>2:27.37</t>
        </is>
      </c>
      <c r="I160" s="20">
        <f>IF(H160="","",IF(ISNUMBER(SEARCH(":",H160)),VALUE(LEFT(H160,SEARCH(":",H160)-1))*60+VALUE(MID(H160,SEARCH(":",H160)+1,99)),VALUE(H160)))</f>
        <v/>
      </c>
      <c r="J160" s="20">
        <f>IF(OR(G160&lt;&gt;"",AND(H160&lt;&gt;"",INDEX(05_Record_Benchmarks!$N:$N,MATCH(A160,05_Record_Benchmarks!$A:$A,0))="YES")),"YES","NO")</f>
        <v/>
      </c>
      <c r="K160" s="20" t="inlineStr">
        <is>
          <t>Next-fastest time supplied in user workbook; swimmer name not yet supplied.</t>
        </is>
      </c>
      <c r="L160" s="40" t="n"/>
    </row>
    <row r="161" ht="15" customHeight="1" s="17">
      <c r="A161" s="20" t="inlineStr">
        <is>
          <t>NZ|SCM|F|15|50 Fly</t>
        </is>
      </c>
      <c r="B161" s="20" t="n">
        <v>2</v>
      </c>
      <c r="C161" s="20" t="inlineStr">
        <is>
          <t>SCM</t>
        </is>
      </c>
      <c r="D161" s="20" t="inlineStr">
        <is>
          <t>Female</t>
        </is>
      </c>
      <c r="E161" s="20" t="n">
        <v>15</v>
      </c>
      <c r="F161" s="20" t="inlineStr">
        <is>
          <t>50 Fly</t>
        </is>
      </c>
      <c r="G161" s="20" t="n"/>
      <c r="H161" s="20" t="inlineStr">
        <is>
          <t>27.09</t>
        </is>
      </c>
      <c r="I161" s="20">
        <f>IF(H161="","",IF(ISNUMBER(SEARCH(":",H161)),VALUE(LEFT(H161,SEARCH(":",H161)-1))*60+VALUE(MID(H161,SEARCH(":",H161)+1,99)),VALUE(H161)))</f>
        <v/>
      </c>
      <c r="J161" s="20">
        <f>IF(OR(G161&lt;&gt;"",AND(H161&lt;&gt;"",INDEX(05_Record_Benchmarks!$N:$N,MATCH(A161,05_Record_Benchmarks!$A:$A,0))="YES")),"YES","NO")</f>
        <v/>
      </c>
      <c r="K161" s="20" t="inlineStr">
        <is>
          <t>Next-fastest time supplied in user workbook; swimmer name not yet supplied.</t>
        </is>
      </c>
      <c r="L161" s="40" t="n"/>
    </row>
    <row r="162" ht="15" customHeight="1" s="17">
      <c r="A162" s="20" t="inlineStr">
        <is>
          <t>NZ|SCM|F|15|100 Fly</t>
        </is>
      </c>
      <c r="B162" s="20" t="n">
        <v>2</v>
      </c>
      <c r="C162" s="20" t="inlineStr">
        <is>
          <t>SCM</t>
        </is>
      </c>
      <c r="D162" s="20" t="inlineStr">
        <is>
          <t>Female</t>
        </is>
      </c>
      <c r="E162" s="20" t="n">
        <v>15</v>
      </c>
      <c r="F162" s="20" t="inlineStr">
        <is>
          <t>100 Fly</t>
        </is>
      </c>
      <c r="G162" s="20" t="n"/>
      <c r="H162" s="20" t="inlineStr">
        <is>
          <t>1:00.41</t>
        </is>
      </c>
      <c r="I162" s="20">
        <f>IF(H162="","",IF(ISNUMBER(SEARCH(":",H162)),VALUE(LEFT(H162,SEARCH(":",H162)-1))*60+VALUE(MID(H162,SEARCH(":",H162)+1,99)),VALUE(H162)))</f>
        <v/>
      </c>
      <c r="J162" s="20">
        <f>IF(OR(G162&lt;&gt;"",AND(H162&lt;&gt;"",INDEX(05_Record_Benchmarks!$N:$N,MATCH(A162,05_Record_Benchmarks!$A:$A,0))="YES")),"YES","NO")</f>
        <v/>
      </c>
      <c r="K162" s="20" t="inlineStr">
        <is>
          <t>Next-fastest time supplied in user workbook; swimmer name not yet supplied.</t>
        </is>
      </c>
      <c r="L162" s="40" t="n"/>
    </row>
    <row r="163" ht="15" customHeight="1" s="17">
      <c r="A163" s="20" t="inlineStr">
        <is>
          <t>NZ|SCM|F|15|200 Fly</t>
        </is>
      </c>
      <c r="B163" s="20" t="n">
        <v>2</v>
      </c>
      <c r="C163" s="20" t="inlineStr">
        <is>
          <t>SCM</t>
        </is>
      </c>
      <c r="D163" s="20" t="inlineStr">
        <is>
          <t>Female</t>
        </is>
      </c>
      <c r="E163" s="20" t="n">
        <v>15</v>
      </c>
      <c r="F163" s="20" t="inlineStr">
        <is>
          <t>200 Fly</t>
        </is>
      </c>
      <c r="G163" s="20" t="n"/>
      <c r="H163" s="20" t="inlineStr">
        <is>
          <t>2:15.16</t>
        </is>
      </c>
      <c r="I163" s="20">
        <f>IF(H163="","",IF(ISNUMBER(SEARCH(":",H163)),VALUE(LEFT(H163,SEARCH(":",H163)-1))*60+VALUE(MID(H163,SEARCH(":",H163)+1,99)),VALUE(H163)))</f>
        <v/>
      </c>
      <c r="J163" s="20">
        <f>IF(OR(G163&lt;&gt;"",AND(H163&lt;&gt;"",INDEX(05_Record_Benchmarks!$N:$N,MATCH(A163,05_Record_Benchmarks!$A:$A,0))="YES")),"YES","NO")</f>
        <v/>
      </c>
      <c r="K163" s="20" t="inlineStr">
        <is>
          <t>Next-fastest time supplied in user workbook; swimmer name not yet supplied.</t>
        </is>
      </c>
      <c r="L163" s="40" t="n"/>
    </row>
    <row r="164" ht="15" customHeight="1" s="17">
      <c r="A164" s="20" t="inlineStr">
        <is>
          <t>NZ|SCM|F|15|100 IM</t>
        </is>
      </c>
      <c r="B164" s="20" t="n">
        <v>2</v>
      </c>
      <c r="C164" s="20" t="inlineStr">
        <is>
          <t>SCM</t>
        </is>
      </c>
      <c r="D164" s="20" t="inlineStr">
        <is>
          <t>Female</t>
        </is>
      </c>
      <c r="E164" s="20" t="n">
        <v>15</v>
      </c>
      <c r="F164" s="20" t="inlineStr">
        <is>
          <t>100 IM</t>
        </is>
      </c>
      <c r="G164" s="20" t="n"/>
      <c r="H164" s="20" t="inlineStr">
        <is>
          <t>1:02.89</t>
        </is>
      </c>
      <c r="I164" s="20">
        <f>IF(H164="","",IF(ISNUMBER(SEARCH(":",H164)),VALUE(LEFT(H164,SEARCH(":",H164)-1))*60+VALUE(MID(H164,SEARCH(":",H164)+1,99)),VALUE(H164)))</f>
        <v/>
      </c>
      <c r="J164" s="20">
        <f>IF(OR(G164&lt;&gt;"",AND(H164&lt;&gt;"",INDEX(05_Record_Benchmarks!$N:$N,MATCH(A164,05_Record_Benchmarks!$A:$A,0))="YES")),"YES","NO")</f>
        <v/>
      </c>
      <c r="K164" s="20" t="inlineStr">
        <is>
          <t>Next-fastest time supplied in user workbook; swimmer name not yet supplied.</t>
        </is>
      </c>
      <c r="L164" s="40" t="n"/>
    </row>
    <row r="165" ht="15" customHeight="1" s="17">
      <c r="A165" s="20" t="inlineStr">
        <is>
          <t>NZ|SCM|F|15|200 IM</t>
        </is>
      </c>
      <c r="B165" s="20" t="n">
        <v>2</v>
      </c>
      <c r="C165" s="20" t="inlineStr">
        <is>
          <t>SCM</t>
        </is>
      </c>
      <c r="D165" s="20" t="inlineStr">
        <is>
          <t>Female</t>
        </is>
      </c>
      <c r="E165" s="20" t="n">
        <v>15</v>
      </c>
      <c r="F165" s="20" t="inlineStr">
        <is>
          <t>200 IM</t>
        </is>
      </c>
      <c r="G165" s="20" t="n"/>
      <c r="H165" s="20" t="inlineStr">
        <is>
          <t>2:15.00</t>
        </is>
      </c>
      <c r="I165" s="20">
        <f>IF(H165="","",IF(ISNUMBER(SEARCH(":",H165)),VALUE(LEFT(H165,SEARCH(":",H165)-1))*60+VALUE(MID(H165,SEARCH(":",H165)+1,99)),VALUE(H165)))</f>
        <v/>
      </c>
      <c r="J165" s="20">
        <f>IF(OR(G165&lt;&gt;"",AND(H165&lt;&gt;"",INDEX(05_Record_Benchmarks!$N:$N,MATCH(A165,05_Record_Benchmarks!$A:$A,0))="YES")),"YES","NO")</f>
        <v/>
      </c>
      <c r="K165" s="20" t="inlineStr">
        <is>
          <t>Next-fastest time supplied in user workbook; swimmer name not yet supplied.</t>
        </is>
      </c>
      <c r="L165" s="40" t="n"/>
    </row>
    <row r="166" ht="15" customHeight="1" s="17">
      <c r="A166" s="20" t="inlineStr">
        <is>
          <t>NZ|SCM|F|15|400 IM</t>
        </is>
      </c>
      <c r="B166" s="20" t="n">
        <v>2</v>
      </c>
      <c r="C166" s="20" t="inlineStr">
        <is>
          <t>SCM</t>
        </is>
      </c>
      <c r="D166" s="20" t="inlineStr">
        <is>
          <t>Female</t>
        </is>
      </c>
      <c r="E166" s="20" t="n">
        <v>15</v>
      </c>
      <c r="F166" s="20" t="inlineStr">
        <is>
          <t>400 IM</t>
        </is>
      </c>
      <c r="G166" s="20" t="n"/>
      <c r="H166" s="20" t="inlineStr">
        <is>
          <t>4:48.47</t>
        </is>
      </c>
      <c r="I166" s="20">
        <f>IF(H166="","",IF(ISNUMBER(SEARCH(":",H166)),VALUE(LEFT(H166,SEARCH(":",H166)-1))*60+VALUE(MID(H166,SEARCH(":",H166)+1,99)),VALUE(H166)))</f>
        <v/>
      </c>
      <c r="J166" s="20">
        <f>IF(OR(G166&lt;&gt;"",AND(H166&lt;&gt;"",INDEX(05_Record_Benchmarks!$N:$N,MATCH(A166,05_Record_Benchmarks!$A:$A,0))="YES")),"YES","NO")</f>
        <v/>
      </c>
      <c r="K166" s="20" t="inlineStr">
        <is>
          <t>Next-fastest time supplied in user workbook; swimmer name not yet supplied.</t>
        </is>
      </c>
      <c r="L166" s="40" t="n"/>
    </row>
    <row r="167" ht="15" customHeight="1" s="17">
      <c r="A167" s="20" t="inlineStr">
        <is>
          <t>NZ|SCM|F|16|50 Free</t>
        </is>
      </c>
      <c r="B167" s="20" t="n">
        <v>2</v>
      </c>
      <c r="C167" s="20" t="inlineStr">
        <is>
          <t>SCM</t>
        </is>
      </c>
      <c r="D167" s="20" t="inlineStr">
        <is>
          <t>Female</t>
        </is>
      </c>
      <c r="E167" s="20" t="n">
        <v>16</v>
      </c>
      <c r="F167" s="20" t="inlineStr">
        <is>
          <t>50 Free</t>
        </is>
      </c>
      <c r="G167" s="20" t="n"/>
      <c r="H167" s="20" t="inlineStr">
        <is>
          <t>24.85</t>
        </is>
      </c>
      <c r="I167" s="20">
        <f>IF(H167="","",IF(ISNUMBER(SEARCH(":",H167)),VALUE(LEFT(H167,SEARCH(":",H167)-1))*60+VALUE(MID(H167,SEARCH(":",H167)+1,99)),VALUE(H167)))</f>
        <v/>
      </c>
      <c r="J167" s="20">
        <f>IF(OR(G167&lt;&gt;"",AND(H167&lt;&gt;"",INDEX(05_Record_Benchmarks!$N:$N,MATCH(A167,05_Record_Benchmarks!$A:$A,0))="YES")),"YES","NO")</f>
        <v/>
      </c>
      <c r="K167" s="20" t="inlineStr">
        <is>
          <t>Comparator is the other joint record holder at the same time.</t>
        </is>
      </c>
      <c r="L167" s="40" t="n"/>
    </row>
    <row r="168" ht="15" customHeight="1" s="17">
      <c r="A168" s="20" t="inlineStr">
        <is>
          <t>NZ|SCM|F|16|100 Free</t>
        </is>
      </c>
      <c r="B168" s="20" t="n">
        <v>2</v>
      </c>
      <c r="C168" s="20" t="inlineStr">
        <is>
          <t>SCM</t>
        </is>
      </c>
      <c r="D168" s="20" t="inlineStr">
        <is>
          <t>Female</t>
        </is>
      </c>
      <c r="E168" s="20" t="n">
        <v>16</v>
      </c>
      <c r="F168" s="20" t="inlineStr">
        <is>
          <t>100 Free</t>
        </is>
      </c>
      <c r="G168" s="20" t="n"/>
      <c r="H168" s="20" t="inlineStr">
        <is>
          <t>54.28</t>
        </is>
      </c>
      <c r="I168" s="20">
        <f>IF(H168="","",IF(ISNUMBER(SEARCH(":",H168)),VALUE(LEFT(H168,SEARCH(":",H168)-1))*60+VALUE(MID(H168,SEARCH(":",H168)+1,99)),VALUE(H168)))</f>
        <v/>
      </c>
      <c r="J168" s="20">
        <f>IF(OR(G168&lt;&gt;"",AND(H168&lt;&gt;"",INDEX(05_Record_Benchmarks!$N:$N,MATCH(A168,05_Record_Benchmarks!$A:$A,0))="YES")),"YES","NO")</f>
        <v/>
      </c>
      <c r="K168" s="20" t="inlineStr">
        <is>
          <t>Next-fastest time supplied in user workbook; swimmer name not yet supplied.</t>
        </is>
      </c>
      <c r="L168" s="40" t="n"/>
    </row>
    <row r="169" ht="15" customHeight="1" s="17">
      <c r="A169" s="20" t="inlineStr">
        <is>
          <t>NZ|SCM|F|16|200 Free</t>
        </is>
      </c>
      <c r="B169" s="20" t="n">
        <v>2</v>
      </c>
      <c r="C169" s="20" t="inlineStr">
        <is>
          <t>SCM</t>
        </is>
      </c>
      <c r="D169" s="20" t="inlineStr">
        <is>
          <t>Female</t>
        </is>
      </c>
      <c r="E169" s="20" t="n">
        <v>16</v>
      </c>
      <c r="F169" s="20" t="inlineStr">
        <is>
          <t>200 Free</t>
        </is>
      </c>
      <c r="G169" s="20" t="inlineStr">
        <is>
          <t>Laura Littlejohn</t>
        </is>
      </c>
      <c r="H169" s="20" t="inlineStr">
        <is>
          <t>1:58.90</t>
        </is>
      </c>
      <c r="I169" s="20">
        <f>IF(H169="","",IF(ISNUMBER(SEARCH(":",H169)),VALUE(LEFT(H169,SEARCH(":",H169)-1))*60+VALUE(MID(H169,SEARCH(":",H169)+1,99)),VALUE(H169)))</f>
        <v/>
      </c>
      <c r="J169" s="20">
        <f>IF(OR(G169&lt;&gt;"",AND(H169&lt;&gt;"",INDEX(05_Record_Benchmarks!$N:$N,MATCH(A169,05_Record_Benchmarks!$A:$A,0))="YES")),"YES","NO")</f>
        <v/>
      </c>
      <c r="K169" s="20" t="inlineStr">
        <is>
          <t>Next-fastest time supplied in user workbook; swimmer name not yet supplied.</t>
        </is>
      </c>
      <c r="L169" s="40" t="n">
        <v>46303</v>
      </c>
    </row>
    <row r="170" ht="15" customHeight="1" s="17">
      <c r="A170" s="20" t="inlineStr">
        <is>
          <t>NZ|SCM|F|16|400 Free</t>
        </is>
      </c>
      <c r="B170" s="20" t="n">
        <v>2</v>
      </c>
      <c r="C170" s="20" t="inlineStr">
        <is>
          <t>SCM</t>
        </is>
      </c>
      <c r="D170" s="20" t="inlineStr">
        <is>
          <t>Female</t>
        </is>
      </c>
      <c r="E170" s="20" t="n">
        <v>16</v>
      </c>
      <c r="F170" s="20" t="inlineStr">
        <is>
          <t>400 Free</t>
        </is>
      </c>
      <c r="G170" s="20" t="inlineStr">
        <is>
          <t>Samantha Lucie-Smith</t>
        </is>
      </c>
      <c r="H170" s="20" t="inlineStr">
        <is>
          <t>4:11.24</t>
        </is>
      </c>
      <c r="I170" s="20">
        <f>IF(H170="","",IF(ISNUMBER(SEARCH(":",H170)),VALUE(LEFT(H170,SEARCH(":",H170)-1))*60+VALUE(MID(H170,SEARCH(":",H170)+1,99)),VALUE(H170)))</f>
        <v/>
      </c>
      <c r="J170" s="20">
        <f>IF(OR(G170&lt;&gt;"",AND(H170&lt;&gt;"",INDEX(05_Record_Benchmarks!$N:$N,MATCH(A170,05_Record_Benchmarks!$A:$A,0))="YES")),"YES","NO")</f>
        <v/>
      </c>
      <c r="K170" s="20" t="inlineStr">
        <is>
          <t>Next-fastest time supplied in user workbook; swimmer name not yet supplied.</t>
        </is>
      </c>
      <c r="L170" s="40" t="n">
        <v>46303</v>
      </c>
    </row>
    <row r="171" ht="15" customHeight="1" s="17">
      <c r="A171" s="20" t="inlineStr">
        <is>
          <t>NZ|SCM|F|16|800 Free</t>
        </is>
      </c>
      <c r="B171" s="20" t="n">
        <v>2</v>
      </c>
      <c r="C171" s="20" t="inlineStr">
        <is>
          <t>SCM</t>
        </is>
      </c>
      <c r="D171" s="20" t="inlineStr">
        <is>
          <t>Female</t>
        </is>
      </c>
      <c r="E171" s="20" t="n">
        <v>16</v>
      </c>
      <c r="F171" s="20" t="inlineStr">
        <is>
          <t>800 Free</t>
        </is>
      </c>
      <c r="G171" s="20" t="n"/>
      <c r="H171" s="20" t="inlineStr">
        <is>
          <t>8:39.77</t>
        </is>
      </c>
      <c r="I171" s="20">
        <f>IF(H171="","",IF(ISNUMBER(SEARCH(":",H171)),VALUE(LEFT(H171,SEARCH(":",H171)-1))*60+VALUE(MID(H171,SEARCH(":",H171)+1,99)),VALUE(H171)))</f>
        <v/>
      </c>
      <c r="J171" s="20">
        <f>IF(OR(G171&lt;&gt;"",AND(H171&lt;&gt;"",INDEX(05_Record_Benchmarks!$N:$N,MATCH(A171,05_Record_Benchmarks!$A:$A,0))="YES")),"YES","NO")</f>
        <v/>
      </c>
      <c r="K171" s="20" t="inlineStr">
        <is>
          <t>Next-fastest time supplied in user workbook; swimmer name not yet supplied.</t>
        </is>
      </c>
      <c r="L171" s="40" t="n"/>
    </row>
    <row r="172" ht="15" customHeight="1" s="17">
      <c r="A172" s="20" t="inlineStr">
        <is>
          <t>NZ|SCM|F|16|1500 Free</t>
        </is>
      </c>
      <c r="B172" s="20" t="n">
        <v>2</v>
      </c>
      <c r="C172" s="20" t="inlineStr">
        <is>
          <t>SCM</t>
        </is>
      </c>
      <c r="D172" s="20" t="inlineStr">
        <is>
          <t>Female</t>
        </is>
      </c>
      <c r="E172" s="20" t="n">
        <v>16</v>
      </c>
      <c r="F172" s="20" t="inlineStr">
        <is>
          <t>1500 Free</t>
        </is>
      </c>
      <c r="G172" s="20" t="n"/>
      <c r="H172" s="20" t="inlineStr">
        <is>
          <t>16:48.46</t>
        </is>
      </c>
      <c r="I172" s="20">
        <f>IF(H172="","",IF(ISNUMBER(SEARCH(":",H172)),VALUE(LEFT(H172,SEARCH(":",H172)-1))*60+VALUE(MID(H172,SEARCH(":",H172)+1,99)),VALUE(H172)))</f>
        <v/>
      </c>
      <c r="J172" s="20">
        <f>IF(OR(G172&lt;&gt;"",AND(H172&lt;&gt;"",INDEX(05_Record_Benchmarks!$N:$N,MATCH(A172,05_Record_Benchmarks!$A:$A,0))="YES")),"YES","NO")</f>
        <v/>
      </c>
      <c r="K172" s="20" t="inlineStr">
        <is>
          <t>Next-fastest time supplied in user workbook; swimmer name not yet supplied.</t>
        </is>
      </c>
      <c r="L172" s="40" t="n"/>
    </row>
    <row r="173" ht="15" customHeight="1" s="17">
      <c r="A173" s="20" t="inlineStr">
        <is>
          <t>NZ|SCM|F|16|50 Back</t>
        </is>
      </c>
      <c r="B173" s="20" t="n">
        <v>2</v>
      </c>
      <c r="C173" s="20" t="inlineStr">
        <is>
          <t>SCM</t>
        </is>
      </c>
      <c r="D173" s="20" t="inlineStr">
        <is>
          <t>Female</t>
        </is>
      </c>
      <c r="E173" s="20" t="n">
        <v>16</v>
      </c>
      <c r="F173" s="20" t="inlineStr">
        <is>
          <t>50 Back</t>
        </is>
      </c>
      <c r="G173" s="20" t="n"/>
      <c r="H173" s="20" t="inlineStr">
        <is>
          <t>27.71</t>
        </is>
      </c>
      <c r="I173" s="20">
        <f>IF(H173="","",IF(ISNUMBER(SEARCH(":",H173)),VALUE(LEFT(H173,SEARCH(":",H173)-1))*60+VALUE(MID(H173,SEARCH(":",H173)+1,99)),VALUE(H173)))</f>
        <v/>
      </c>
      <c r="J173" s="20">
        <f>IF(OR(G173&lt;&gt;"",AND(H173&lt;&gt;"",INDEX(05_Record_Benchmarks!$N:$N,MATCH(A173,05_Record_Benchmarks!$A:$A,0))="YES")),"YES","NO")</f>
        <v/>
      </c>
      <c r="K173" s="20" t="inlineStr">
        <is>
          <t>Next-fastest time supplied in user workbook; swimmer name not yet supplied.</t>
        </is>
      </c>
      <c r="L173" s="40" t="n"/>
    </row>
    <row r="174" ht="15" customHeight="1" s="17">
      <c r="A174" s="20" t="inlineStr">
        <is>
          <t>NZ|SCM|F|16|100 Back</t>
        </is>
      </c>
      <c r="B174" s="20" t="n">
        <v>2</v>
      </c>
      <c r="C174" s="20" t="inlineStr">
        <is>
          <t>SCM</t>
        </is>
      </c>
      <c r="D174" s="20" t="inlineStr">
        <is>
          <t>Female</t>
        </is>
      </c>
      <c r="E174" s="20" t="n">
        <v>16</v>
      </c>
      <c r="F174" s="20" t="inlineStr">
        <is>
          <t>100 Back</t>
        </is>
      </c>
      <c r="G174" s="20" t="n"/>
      <c r="H174" s="20" t="inlineStr">
        <is>
          <t>59.54</t>
        </is>
      </c>
      <c r="I174" s="20">
        <f>IF(H174="","",IF(ISNUMBER(SEARCH(":",H174)),VALUE(LEFT(H174,SEARCH(":",H174)-1))*60+VALUE(MID(H174,SEARCH(":",H174)+1,99)),VALUE(H174)))</f>
        <v/>
      </c>
      <c r="J174" s="20">
        <f>IF(OR(G174&lt;&gt;"",AND(H174&lt;&gt;"",INDEX(05_Record_Benchmarks!$N:$N,MATCH(A174,05_Record_Benchmarks!$A:$A,0))="YES")),"YES","NO")</f>
        <v/>
      </c>
      <c r="K174" s="20" t="inlineStr">
        <is>
          <t>Next-fastest time supplied in user workbook; swimmer name not yet supplied.</t>
        </is>
      </c>
      <c r="L174" s="40" t="n"/>
    </row>
    <row r="175" ht="15" customHeight="1" s="17">
      <c r="A175" s="20" t="inlineStr">
        <is>
          <t>NZ|SCM|F|16|200 Back</t>
        </is>
      </c>
      <c r="B175" s="20" t="n">
        <v>2</v>
      </c>
      <c r="C175" s="20" t="inlineStr">
        <is>
          <t>SCM</t>
        </is>
      </c>
      <c r="D175" s="20" t="inlineStr">
        <is>
          <t>Female</t>
        </is>
      </c>
      <c r="E175" s="20" t="n">
        <v>16</v>
      </c>
      <c r="F175" s="20" t="inlineStr">
        <is>
          <t>200 Back</t>
        </is>
      </c>
      <c r="G175" s="20" t="n"/>
      <c r="H175" s="20" t="inlineStr">
        <is>
          <t>2:09.70</t>
        </is>
      </c>
      <c r="I175" s="20">
        <f>IF(H175="","",IF(ISNUMBER(SEARCH(":",H175)),VALUE(LEFT(H175,SEARCH(":",H175)-1))*60+VALUE(MID(H175,SEARCH(":",H175)+1,99)),VALUE(H175)))</f>
        <v/>
      </c>
      <c r="J175" s="20">
        <f>IF(OR(G175&lt;&gt;"",AND(H175&lt;&gt;"",INDEX(05_Record_Benchmarks!$N:$N,MATCH(A175,05_Record_Benchmarks!$A:$A,0))="YES")),"YES","NO")</f>
        <v/>
      </c>
      <c r="K175" s="20" t="inlineStr">
        <is>
          <t>Next-fastest time supplied in user workbook; swimmer name not yet supplied.</t>
        </is>
      </c>
      <c r="L175" s="40" t="n"/>
    </row>
    <row r="176" ht="15" customHeight="1" s="17">
      <c r="A176" s="20" t="inlineStr">
        <is>
          <t>NZ|SCM|F|16|50 Breast</t>
        </is>
      </c>
      <c r="B176" s="20" t="n">
        <v>2</v>
      </c>
      <c r="C176" s="20" t="inlineStr">
        <is>
          <t>SCM</t>
        </is>
      </c>
      <c r="D176" s="20" t="inlineStr">
        <is>
          <t>Female</t>
        </is>
      </c>
      <c r="E176" s="20" t="n">
        <v>16</v>
      </c>
      <c r="F176" s="20" t="inlineStr">
        <is>
          <t>50 Breast</t>
        </is>
      </c>
      <c r="G176" s="20" t="n"/>
      <c r="H176" s="20" t="inlineStr">
        <is>
          <t>30.90</t>
        </is>
      </c>
      <c r="I176" s="20">
        <f>IF(H176="","",IF(ISNUMBER(SEARCH(":",H176)),VALUE(LEFT(H176,SEARCH(":",H176)-1))*60+VALUE(MID(H176,SEARCH(":",H176)+1,99)),VALUE(H176)))</f>
        <v/>
      </c>
      <c r="J176" s="20">
        <f>IF(OR(G176&lt;&gt;"",AND(H176&lt;&gt;"",INDEX(05_Record_Benchmarks!$N:$N,MATCH(A176,05_Record_Benchmarks!$A:$A,0))="YES")),"YES","NO")</f>
        <v/>
      </c>
      <c r="K176" s="20" t="inlineStr">
        <is>
          <t>Next-fastest time supplied in user workbook; swimmer name not yet supplied.</t>
        </is>
      </c>
      <c r="L176" s="40" t="n"/>
    </row>
    <row r="177" ht="15" customHeight="1" s="17">
      <c r="A177" s="20" t="inlineStr">
        <is>
          <t>NZ|SCM|F|16|100 Breast</t>
        </is>
      </c>
      <c r="B177" s="20" t="n">
        <v>2</v>
      </c>
      <c r="C177" s="20" t="inlineStr">
        <is>
          <t>SCM</t>
        </is>
      </c>
      <c r="D177" s="20" t="inlineStr">
        <is>
          <t>Female</t>
        </is>
      </c>
      <c r="E177" s="20" t="n">
        <v>16</v>
      </c>
      <c r="F177" s="20" t="inlineStr">
        <is>
          <t>100 Breast</t>
        </is>
      </c>
      <c r="G177" s="20" t="n"/>
      <c r="H177" s="20" t="inlineStr">
        <is>
          <t>1:07.92</t>
        </is>
      </c>
      <c r="I177" s="20">
        <f>IF(H177="","",IF(ISNUMBER(SEARCH(":",H177)),VALUE(LEFT(H177,SEARCH(":",H177)-1))*60+VALUE(MID(H177,SEARCH(":",H177)+1,99)),VALUE(H177)))</f>
        <v/>
      </c>
      <c r="J177" s="20">
        <f>IF(OR(G177&lt;&gt;"",AND(H177&lt;&gt;"",INDEX(05_Record_Benchmarks!$N:$N,MATCH(A177,05_Record_Benchmarks!$A:$A,0))="YES")),"YES","NO")</f>
        <v/>
      </c>
      <c r="K177" s="20" t="inlineStr">
        <is>
          <t>Next-fastest time supplied in user workbook; swimmer name not yet supplied.</t>
        </is>
      </c>
      <c r="L177" s="40" t="n"/>
    </row>
    <row r="178" ht="15" customHeight="1" s="17">
      <c r="A178" s="20" t="inlineStr">
        <is>
          <t>NZ|SCM|F|16|200 Breast</t>
        </is>
      </c>
      <c r="B178" s="20" t="n">
        <v>2</v>
      </c>
      <c r="C178" s="20" t="inlineStr">
        <is>
          <t>SCM</t>
        </is>
      </c>
      <c r="D178" s="20" t="inlineStr">
        <is>
          <t>Female</t>
        </is>
      </c>
      <c r="E178" s="20" t="n">
        <v>16</v>
      </c>
      <c r="F178" s="20" t="inlineStr">
        <is>
          <t>200 Breast</t>
        </is>
      </c>
      <c r="G178" s="20" t="n"/>
      <c r="H178" s="20" t="inlineStr">
        <is>
          <t>2:26.60</t>
        </is>
      </c>
      <c r="I178" s="20">
        <f>IF(H178="","",IF(ISNUMBER(SEARCH(":",H178)),VALUE(LEFT(H178,SEARCH(":",H178)-1))*60+VALUE(MID(H178,SEARCH(":",H178)+1,99)),VALUE(H178)))</f>
        <v/>
      </c>
      <c r="J178" s="20">
        <f>IF(OR(G178&lt;&gt;"",AND(H178&lt;&gt;"",INDEX(05_Record_Benchmarks!$N:$N,MATCH(A178,05_Record_Benchmarks!$A:$A,0))="YES")),"YES","NO")</f>
        <v/>
      </c>
      <c r="K178" s="20" t="inlineStr">
        <is>
          <t>Next-fastest time supplied in user workbook; swimmer name not yet supplied.</t>
        </is>
      </c>
      <c r="L178" s="40" t="n"/>
    </row>
    <row r="179" ht="15" customHeight="1" s="17">
      <c r="A179" s="20" t="inlineStr">
        <is>
          <t>NZ|SCM|F|16|50 Fly</t>
        </is>
      </c>
      <c r="B179" s="20" t="n">
        <v>2</v>
      </c>
      <c r="C179" s="20" t="inlineStr">
        <is>
          <t>SCM</t>
        </is>
      </c>
      <c r="D179" s="20" t="inlineStr">
        <is>
          <t>Female</t>
        </is>
      </c>
      <c r="E179" s="20" t="n">
        <v>16</v>
      </c>
      <c r="F179" s="20" t="inlineStr">
        <is>
          <t>50 Fly</t>
        </is>
      </c>
      <c r="G179" s="20" t="n"/>
      <c r="H179" s="20" t="inlineStr">
        <is>
          <t>26.82</t>
        </is>
      </c>
      <c r="I179" s="20">
        <f>IF(H179="","",IF(ISNUMBER(SEARCH(":",H179)),VALUE(LEFT(H179,SEARCH(":",H179)-1))*60+VALUE(MID(H179,SEARCH(":",H179)+1,99)),VALUE(H179)))</f>
        <v/>
      </c>
      <c r="J179" s="20">
        <f>IF(OR(G179&lt;&gt;"",AND(H179&lt;&gt;"",INDEX(05_Record_Benchmarks!$N:$N,MATCH(A179,05_Record_Benchmarks!$A:$A,0))="YES")),"YES","NO")</f>
        <v/>
      </c>
      <c r="K179" s="20" t="inlineStr">
        <is>
          <t>Next-fastest time supplied in user workbook; swimmer name not yet supplied.</t>
        </is>
      </c>
      <c r="L179" s="40" t="n"/>
    </row>
    <row r="180" ht="15" customHeight="1" s="17">
      <c r="A180" s="20" t="inlineStr">
        <is>
          <t>NZ|SCM|F|16|100 Fly</t>
        </is>
      </c>
      <c r="B180" s="20" t="n">
        <v>2</v>
      </c>
      <c r="C180" s="20" t="inlineStr">
        <is>
          <t>SCM</t>
        </is>
      </c>
      <c r="D180" s="20" t="inlineStr">
        <is>
          <t>Female</t>
        </is>
      </c>
      <c r="E180" s="20" t="n">
        <v>16</v>
      </c>
      <c r="F180" s="20" t="inlineStr">
        <is>
          <t>100 Fly</t>
        </is>
      </c>
      <c r="G180" s="20" t="n"/>
      <c r="H180" s="20" t="inlineStr">
        <is>
          <t>59.46</t>
        </is>
      </c>
      <c r="I180" s="20">
        <f>IF(H180="","",IF(ISNUMBER(SEARCH(":",H180)),VALUE(LEFT(H180,SEARCH(":",H180)-1))*60+VALUE(MID(H180,SEARCH(":",H180)+1,99)),VALUE(H180)))</f>
        <v/>
      </c>
      <c r="J180" s="20">
        <f>IF(OR(G180&lt;&gt;"",AND(H180&lt;&gt;"",INDEX(05_Record_Benchmarks!$N:$N,MATCH(A180,05_Record_Benchmarks!$A:$A,0))="YES")),"YES","NO")</f>
        <v/>
      </c>
      <c r="K180" s="20" t="inlineStr">
        <is>
          <t>Next-fastest time supplied in user workbook; swimmer name not yet supplied.</t>
        </is>
      </c>
      <c r="L180" s="40" t="n"/>
    </row>
    <row r="181" ht="15" customHeight="1" s="17">
      <c r="A181" s="20" t="inlineStr">
        <is>
          <t>NZ|SCM|F|16|200 Fly</t>
        </is>
      </c>
      <c r="B181" s="20" t="n">
        <v>2</v>
      </c>
      <c r="C181" s="20" t="inlineStr">
        <is>
          <t>SCM</t>
        </is>
      </c>
      <c r="D181" s="20" t="inlineStr">
        <is>
          <t>Female</t>
        </is>
      </c>
      <c r="E181" s="20" t="n">
        <v>16</v>
      </c>
      <c r="F181" s="20" t="inlineStr">
        <is>
          <t>200 Fly</t>
        </is>
      </c>
      <c r="G181" s="20" t="n"/>
      <c r="H181" s="20" t="inlineStr">
        <is>
          <t>2:13.51</t>
        </is>
      </c>
      <c r="I181" s="20">
        <f>IF(H181="","",IF(ISNUMBER(SEARCH(":",H181)),VALUE(LEFT(H181,SEARCH(":",H181)-1))*60+VALUE(MID(H181,SEARCH(":",H181)+1,99)),VALUE(H181)))</f>
        <v/>
      </c>
      <c r="J181" s="20">
        <f>IF(OR(G181&lt;&gt;"",AND(H181&lt;&gt;"",INDEX(05_Record_Benchmarks!$N:$N,MATCH(A181,05_Record_Benchmarks!$A:$A,0))="YES")),"YES","NO")</f>
        <v/>
      </c>
      <c r="K181" s="20" t="inlineStr">
        <is>
          <t>Next-fastest time supplied in user workbook; swimmer name not yet supplied.</t>
        </is>
      </c>
      <c r="L181" s="40" t="n"/>
    </row>
    <row r="182" ht="15" customHeight="1" s="17">
      <c r="A182" s="20" t="inlineStr">
        <is>
          <t>NZ|SCM|F|16|100 IM</t>
        </is>
      </c>
      <c r="B182" s="20" t="n">
        <v>2</v>
      </c>
      <c r="C182" s="20" t="inlineStr">
        <is>
          <t>SCM</t>
        </is>
      </c>
      <c r="D182" s="20" t="inlineStr">
        <is>
          <t>Female</t>
        </is>
      </c>
      <c r="E182" s="20" t="n">
        <v>16</v>
      </c>
      <c r="F182" s="20" t="inlineStr">
        <is>
          <t>100 IM</t>
        </is>
      </c>
      <c r="G182" s="20" t="n"/>
      <c r="H182" s="20" t="inlineStr">
        <is>
          <t>1:01.34</t>
        </is>
      </c>
      <c r="I182" s="20">
        <f>IF(H182="","",IF(ISNUMBER(SEARCH(":",H182)),VALUE(LEFT(H182,SEARCH(":",H182)-1))*60+VALUE(MID(H182,SEARCH(":",H182)+1,99)),VALUE(H182)))</f>
        <v/>
      </c>
      <c r="J182" s="20">
        <f>IF(OR(G182&lt;&gt;"",AND(H182&lt;&gt;"",INDEX(05_Record_Benchmarks!$N:$N,MATCH(A182,05_Record_Benchmarks!$A:$A,0))="YES")),"YES","NO")</f>
        <v/>
      </c>
      <c r="K182" s="20" t="inlineStr">
        <is>
          <t>Next-fastest time supplied in user workbook; swimmer name not yet supplied.</t>
        </is>
      </c>
      <c r="L182" s="40" t="n"/>
    </row>
    <row r="183" ht="15" customHeight="1" s="17">
      <c r="A183" s="20" t="inlineStr">
        <is>
          <t>NZ|SCM|F|16|200 IM</t>
        </is>
      </c>
      <c r="B183" s="20" t="n">
        <v>2</v>
      </c>
      <c r="C183" s="20" t="inlineStr">
        <is>
          <t>SCM</t>
        </is>
      </c>
      <c r="D183" s="20" t="inlineStr">
        <is>
          <t>Female</t>
        </is>
      </c>
      <c r="E183" s="20" t="n">
        <v>16</v>
      </c>
      <c r="F183" s="20" t="inlineStr">
        <is>
          <t>200 IM</t>
        </is>
      </c>
      <c r="G183" s="20" t="n"/>
      <c r="H183" s="20" t="inlineStr">
        <is>
          <t>2:13.40</t>
        </is>
      </c>
      <c r="I183" s="20">
        <f>IF(H183="","",IF(ISNUMBER(SEARCH(":",H183)),VALUE(LEFT(H183,SEARCH(":",H183)-1))*60+VALUE(MID(H183,SEARCH(":",H183)+1,99)),VALUE(H183)))</f>
        <v/>
      </c>
      <c r="J183" s="20">
        <f>IF(OR(G183&lt;&gt;"",AND(H183&lt;&gt;"",INDEX(05_Record_Benchmarks!$N:$N,MATCH(A183,05_Record_Benchmarks!$A:$A,0))="YES")),"YES","NO")</f>
        <v/>
      </c>
      <c r="K183" s="20" t="inlineStr">
        <is>
          <t>Next-fastest time supplied in user workbook; swimmer name not yet supplied.</t>
        </is>
      </c>
      <c r="L183" s="40" t="n"/>
    </row>
    <row r="184" ht="15" customHeight="1" s="17">
      <c r="A184" s="20" t="inlineStr">
        <is>
          <t>NZ|SCM|F|16|400 IM</t>
        </is>
      </c>
      <c r="B184" s="20" t="n">
        <v>2</v>
      </c>
      <c r="C184" s="20" t="inlineStr">
        <is>
          <t>SCM</t>
        </is>
      </c>
      <c r="D184" s="20" t="inlineStr">
        <is>
          <t>Female</t>
        </is>
      </c>
      <c r="E184" s="20" t="n">
        <v>16</v>
      </c>
      <c r="F184" s="20" t="inlineStr">
        <is>
          <t>400 IM</t>
        </is>
      </c>
      <c r="G184" s="20" t="n"/>
      <c r="H184" s="20" t="inlineStr">
        <is>
          <t>4:47.62</t>
        </is>
      </c>
      <c r="I184" s="20">
        <f>IF(H184="","",IF(ISNUMBER(SEARCH(":",H184)),VALUE(LEFT(H184,SEARCH(":",H184)-1))*60+VALUE(MID(H184,SEARCH(":",H184)+1,99)),VALUE(H184)))</f>
        <v/>
      </c>
      <c r="J184" s="20">
        <f>IF(OR(G184&lt;&gt;"",AND(H184&lt;&gt;"",INDEX(05_Record_Benchmarks!$N:$N,MATCH(A184,05_Record_Benchmarks!$A:$A,0))="YES")),"YES","NO")</f>
        <v/>
      </c>
      <c r="K184" s="20" t="inlineStr">
        <is>
          <t>Next-fastest time supplied in user workbook; swimmer name not yet supplied.</t>
        </is>
      </c>
      <c r="L184" s="40" t="n"/>
    </row>
    <row r="185" ht="15" customHeight="1" s="17">
      <c r="A185" s="20" t="inlineStr">
        <is>
          <t>NZ|SCM|F|17|50 Free</t>
        </is>
      </c>
      <c r="B185" s="20" t="n">
        <v>2</v>
      </c>
      <c r="C185" s="20" t="inlineStr">
        <is>
          <t>SCM</t>
        </is>
      </c>
      <c r="D185" s="20" t="inlineStr">
        <is>
          <t>Female</t>
        </is>
      </c>
      <c r="E185" s="20" t="n">
        <v>17</v>
      </c>
      <c r="F185" s="20" t="inlineStr">
        <is>
          <t>50 Free</t>
        </is>
      </c>
      <c r="G185" s="20" t="n"/>
      <c r="H185" s="20" t="inlineStr">
        <is>
          <t>24.87</t>
        </is>
      </c>
      <c r="I185" s="20">
        <f>IF(H185="","",IF(ISNUMBER(SEARCH(":",H185)),VALUE(LEFT(H185,SEARCH(":",H185)-1))*60+VALUE(MID(H185,SEARCH(":",H185)+1,99)),VALUE(H185)))</f>
        <v/>
      </c>
      <c r="J185" s="20">
        <f>IF(OR(G185&lt;&gt;"",AND(H185&lt;&gt;"",INDEX(05_Record_Benchmarks!$N:$N,MATCH(A185,05_Record_Benchmarks!$A:$A,0))="YES")),"YES","NO")</f>
        <v/>
      </c>
      <c r="K185" s="20" t="inlineStr">
        <is>
          <t>Next-fastest time supplied in user workbook; swimmer name not yet supplied.</t>
        </is>
      </c>
      <c r="L185" s="40" t="n"/>
    </row>
    <row r="186" ht="15" customHeight="1" s="17">
      <c r="A186" s="20" t="inlineStr">
        <is>
          <t>NZ|SCM|F|17|100 Free</t>
        </is>
      </c>
      <c r="B186" s="20" t="n">
        <v>2</v>
      </c>
      <c r="C186" s="20" t="inlineStr">
        <is>
          <t>SCM</t>
        </is>
      </c>
      <c r="D186" s="20" t="inlineStr">
        <is>
          <t>Female</t>
        </is>
      </c>
      <c r="E186" s="20" t="n">
        <v>17</v>
      </c>
      <c r="F186" s="20" t="inlineStr">
        <is>
          <t>100 Free</t>
        </is>
      </c>
      <c r="G186" s="20" t="n"/>
      <c r="H186" s="20" t="inlineStr">
        <is>
          <t>53.96</t>
        </is>
      </c>
      <c r="I186" s="20">
        <f>IF(H186="","",IF(ISNUMBER(SEARCH(":",H186)),VALUE(LEFT(H186,SEARCH(":",H186)-1))*60+VALUE(MID(H186,SEARCH(":",H186)+1,99)),VALUE(H186)))</f>
        <v/>
      </c>
      <c r="J186" s="20">
        <f>IF(OR(G186&lt;&gt;"",AND(H186&lt;&gt;"",INDEX(05_Record_Benchmarks!$N:$N,MATCH(A186,05_Record_Benchmarks!$A:$A,0))="YES")),"YES","NO")</f>
        <v/>
      </c>
      <c r="K186" s="20" t="inlineStr">
        <is>
          <t>Next-fastest time supplied in user workbook; swimmer name not yet supplied.</t>
        </is>
      </c>
      <c r="L186" s="40" t="n"/>
    </row>
    <row r="187" ht="15" customHeight="1" s="17">
      <c r="A187" s="20" t="inlineStr">
        <is>
          <t>NZ|SCM|F|17|200 Free</t>
        </is>
      </c>
      <c r="B187" s="20" t="n">
        <v>2</v>
      </c>
      <c r="C187" s="20" t="inlineStr">
        <is>
          <t>SCM</t>
        </is>
      </c>
      <c r="D187" s="20" t="inlineStr">
        <is>
          <t>Female</t>
        </is>
      </c>
      <c r="E187" s="20" t="n">
        <v>17</v>
      </c>
      <c r="F187" s="20" t="inlineStr">
        <is>
          <t>200 Free</t>
        </is>
      </c>
      <c r="G187" s="20" t="n"/>
      <c r="H187" s="20" t="inlineStr">
        <is>
          <t>1:57.63</t>
        </is>
      </c>
      <c r="I187" s="20">
        <f>IF(H187="","",IF(ISNUMBER(SEARCH(":",H187)),VALUE(LEFT(H187,SEARCH(":",H187)-1))*60+VALUE(MID(H187,SEARCH(":",H187)+1,99)),VALUE(H187)))</f>
        <v/>
      </c>
      <c r="J187" s="20">
        <f>IF(OR(G187&lt;&gt;"",AND(H187&lt;&gt;"",INDEX(05_Record_Benchmarks!$N:$N,MATCH(A187,05_Record_Benchmarks!$A:$A,0))="YES")),"YES","NO")</f>
        <v/>
      </c>
      <c r="K187" s="20" t="inlineStr">
        <is>
          <t>Next-fastest time supplied in user workbook; swimmer name not yet supplied.</t>
        </is>
      </c>
      <c r="L187" s="40" t="n"/>
    </row>
    <row r="188" ht="15" customHeight="1" s="17">
      <c r="A188" s="20" t="inlineStr">
        <is>
          <t>NZ|SCM|F|17|400 Free</t>
        </is>
      </c>
      <c r="B188" s="20" t="n">
        <v>2</v>
      </c>
      <c r="C188" s="20" t="inlineStr">
        <is>
          <t>SCM</t>
        </is>
      </c>
      <c r="D188" s="20" t="inlineStr">
        <is>
          <t>Female</t>
        </is>
      </c>
      <c r="E188" s="20" t="n">
        <v>17</v>
      </c>
      <c r="F188" s="20" t="inlineStr">
        <is>
          <t>400 Free</t>
        </is>
      </c>
      <c r="G188" s="20" t="n"/>
      <c r="H188" s="20" t="inlineStr">
        <is>
          <t>4:07.03</t>
        </is>
      </c>
      <c r="I188" s="20">
        <f>IF(H188="","",IF(ISNUMBER(SEARCH(":",H188)),VALUE(LEFT(H188,SEARCH(":",H188)-1))*60+VALUE(MID(H188,SEARCH(":",H188)+1,99)),VALUE(H188)))</f>
        <v/>
      </c>
      <c r="J188" s="20">
        <f>IF(OR(G188&lt;&gt;"",AND(H188&lt;&gt;"",INDEX(05_Record_Benchmarks!$N:$N,MATCH(A188,05_Record_Benchmarks!$A:$A,0))="YES")),"YES","NO")</f>
        <v/>
      </c>
      <c r="K188" s="20" t="inlineStr">
        <is>
          <t>Next-fastest time supplied in user workbook; swimmer name not yet supplied.</t>
        </is>
      </c>
      <c r="L188" s="40" t="n"/>
    </row>
    <row r="189" ht="15" customHeight="1" s="17">
      <c r="A189" s="20" t="inlineStr">
        <is>
          <t>NZ|SCM|F|17|800 Free</t>
        </is>
      </c>
      <c r="B189" s="20" t="n">
        <v>2</v>
      </c>
      <c r="C189" s="20" t="inlineStr">
        <is>
          <t>SCM</t>
        </is>
      </c>
      <c r="D189" s="20" t="inlineStr">
        <is>
          <t>Female</t>
        </is>
      </c>
      <c r="E189" s="20" t="n">
        <v>17</v>
      </c>
      <c r="F189" s="20" t="inlineStr">
        <is>
          <t>800 Free</t>
        </is>
      </c>
      <c r="G189" s="20" t="n"/>
      <c r="H189" s="20" t="inlineStr">
        <is>
          <t>8:36.24</t>
        </is>
      </c>
      <c r="I189" s="20">
        <f>IF(H189="","",IF(ISNUMBER(SEARCH(":",H189)),VALUE(LEFT(H189,SEARCH(":",H189)-1))*60+VALUE(MID(H189,SEARCH(":",H189)+1,99)),VALUE(H189)))</f>
        <v/>
      </c>
      <c r="J189" s="20">
        <f>IF(OR(G189&lt;&gt;"",AND(H189&lt;&gt;"",INDEX(05_Record_Benchmarks!$N:$N,MATCH(A189,05_Record_Benchmarks!$A:$A,0))="YES")),"YES","NO")</f>
        <v/>
      </c>
      <c r="K189" s="20" t="inlineStr">
        <is>
          <t>Next-fastest time supplied in user workbook; swimmer name not yet supplied.</t>
        </is>
      </c>
      <c r="L189" s="40" t="n"/>
    </row>
    <row r="190" ht="15" customHeight="1" s="17">
      <c r="A190" s="20" t="inlineStr">
        <is>
          <t>NZ|SCM|F|17|1500 Free</t>
        </is>
      </c>
      <c r="B190" s="20" t="n">
        <v>2</v>
      </c>
      <c r="C190" s="20" t="inlineStr">
        <is>
          <t>SCM</t>
        </is>
      </c>
      <c r="D190" s="20" t="inlineStr">
        <is>
          <t>Female</t>
        </is>
      </c>
      <c r="E190" s="20" t="n">
        <v>17</v>
      </c>
      <c r="F190" s="20" t="inlineStr">
        <is>
          <t>1500 Free</t>
        </is>
      </c>
      <c r="G190" s="20" t="n"/>
      <c r="H190" s="20" t="inlineStr">
        <is>
          <t>16:34.32</t>
        </is>
      </c>
      <c r="I190" s="20">
        <f>IF(H190="","",IF(ISNUMBER(SEARCH(":",H190)),VALUE(LEFT(H190,SEARCH(":",H190)-1))*60+VALUE(MID(H190,SEARCH(":",H190)+1,99)),VALUE(H190)))</f>
        <v/>
      </c>
      <c r="J190" s="20">
        <f>IF(OR(G190&lt;&gt;"",AND(H190&lt;&gt;"",INDEX(05_Record_Benchmarks!$N:$N,MATCH(A190,05_Record_Benchmarks!$A:$A,0))="YES")),"YES","NO")</f>
        <v/>
      </c>
      <c r="K190" s="20" t="inlineStr">
        <is>
          <t>Next-fastest time supplied in user workbook; swimmer name not yet supplied.</t>
        </is>
      </c>
      <c r="L190" s="40" t="n"/>
    </row>
    <row r="191" ht="15" customHeight="1" s="17">
      <c r="A191" s="20" t="inlineStr">
        <is>
          <t>NZ|SCM|F|17|50 Back</t>
        </is>
      </c>
      <c r="B191" s="20" t="n">
        <v>2</v>
      </c>
      <c r="C191" s="20" t="inlineStr">
        <is>
          <t>SCM</t>
        </is>
      </c>
      <c r="D191" s="20" t="inlineStr">
        <is>
          <t>Female</t>
        </is>
      </c>
      <c r="E191" s="20" t="n">
        <v>17</v>
      </c>
      <c r="F191" s="20" t="inlineStr">
        <is>
          <t>50 Back</t>
        </is>
      </c>
      <c r="G191" s="20" t="n"/>
      <c r="H191" s="20" t="inlineStr">
        <is>
          <t>27.60</t>
        </is>
      </c>
      <c r="I191" s="20">
        <f>IF(H191="","",IF(ISNUMBER(SEARCH(":",H191)),VALUE(LEFT(H191,SEARCH(":",H191)-1))*60+VALUE(MID(H191,SEARCH(":",H191)+1,99)),VALUE(H191)))</f>
        <v/>
      </c>
      <c r="J191" s="20">
        <f>IF(OR(G191&lt;&gt;"",AND(H191&lt;&gt;"",INDEX(05_Record_Benchmarks!$N:$N,MATCH(A191,05_Record_Benchmarks!$A:$A,0))="YES")),"YES","NO")</f>
        <v/>
      </c>
      <c r="K191" s="20" t="inlineStr">
        <is>
          <t>Next-fastest time supplied in user workbook; swimmer name not yet supplied.</t>
        </is>
      </c>
      <c r="L191" s="40" t="n"/>
    </row>
    <row r="192" ht="15" customHeight="1" s="17">
      <c r="A192" s="20" t="inlineStr">
        <is>
          <t>NZ|SCM|F|17|100 Back</t>
        </is>
      </c>
      <c r="B192" s="20" t="n">
        <v>2</v>
      </c>
      <c r="C192" s="20" t="inlineStr">
        <is>
          <t>SCM</t>
        </is>
      </c>
      <c r="D192" s="20" t="inlineStr">
        <is>
          <t>Female</t>
        </is>
      </c>
      <c r="E192" s="20" t="n">
        <v>17</v>
      </c>
      <c r="F192" s="20" t="inlineStr">
        <is>
          <t>100 Back</t>
        </is>
      </c>
      <c r="G192" s="20" t="inlineStr">
        <is>
          <t>Hanna Abdou</t>
        </is>
      </c>
      <c r="H192" s="20" t="inlineStr">
        <is>
          <t>58.16</t>
        </is>
      </c>
      <c r="I192" s="20">
        <f>IF(H192="","",IF(ISNUMBER(SEARCH(":",H192)),VALUE(LEFT(H192,SEARCH(":",H192)-1))*60+VALUE(MID(H192,SEARCH(":",H192)+1,99)),VALUE(H192)))</f>
        <v/>
      </c>
      <c r="J192" s="20">
        <f>IF(OR(G192&lt;&gt;"",AND(H192&lt;&gt;"",INDEX(05_Record_Benchmarks!$N:$N,MATCH(A192,05_Record_Benchmarks!$A:$A,0))="YES")),"YES","NO")</f>
        <v/>
      </c>
      <c r="K192" s="20" t="inlineStr">
        <is>
          <t>Next-fastest time supplied in user workbook; swimmer name not yet supplied.</t>
        </is>
      </c>
      <c r="L192" s="40" t="n">
        <v>46303</v>
      </c>
    </row>
    <row r="193" ht="15" customHeight="1" s="17">
      <c r="A193" s="20" t="inlineStr">
        <is>
          <t>NZ|SCM|F|17|200 Back</t>
        </is>
      </c>
      <c r="B193" s="20" t="n">
        <v>2</v>
      </c>
      <c r="C193" s="20" t="inlineStr">
        <is>
          <t>SCM</t>
        </is>
      </c>
      <c r="D193" s="20" t="inlineStr">
        <is>
          <t>Female</t>
        </is>
      </c>
      <c r="E193" s="20" t="n">
        <v>17</v>
      </c>
      <c r="F193" s="20" t="inlineStr">
        <is>
          <t>200 Back</t>
        </is>
      </c>
      <c r="G193" s="20" t="inlineStr">
        <is>
          <t>Milan Glintmeyer</t>
        </is>
      </c>
      <c r="H193" s="20" t="inlineStr">
        <is>
          <t>2:06.82</t>
        </is>
      </c>
      <c r="I193" s="20">
        <f>IF(H193="","",IF(ISNUMBER(SEARCH(":",H193)),VALUE(LEFT(H193,SEARCH(":",H193)-1))*60+VALUE(MID(H193,SEARCH(":",H193)+1,99)),VALUE(H193)))</f>
        <v/>
      </c>
      <c r="J193" s="20">
        <f>IF(OR(G193&lt;&gt;"",AND(H193&lt;&gt;"",INDEX(05_Record_Benchmarks!$N:$N,MATCH(A193,05_Record_Benchmarks!$A:$A,0))="YES")),"YES","NO")</f>
        <v/>
      </c>
      <c r="K193" s="20" t="inlineStr">
        <is>
          <t>Next-fastest time supplied in user workbook; swimmer name not yet supplied.</t>
        </is>
      </c>
      <c r="L193" s="40" t="n">
        <v>46303</v>
      </c>
    </row>
    <row r="194" ht="15" customHeight="1" s="17">
      <c r="A194" s="20" t="inlineStr">
        <is>
          <t>NZ|SCM|F|17|50 Breast</t>
        </is>
      </c>
      <c r="B194" s="20" t="n">
        <v>2</v>
      </c>
      <c r="C194" s="20" t="inlineStr">
        <is>
          <t>SCM</t>
        </is>
      </c>
      <c r="D194" s="20" t="inlineStr">
        <is>
          <t>Female</t>
        </is>
      </c>
      <c r="E194" s="20" t="n">
        <v>17</v>
      </c>
      <c r="F194" s="20" t="inlineStr">
        <is>
          <t>50 Breast</t>
        </is>
      </c>
      <c r="G194" s="20" t="n"/>
      <c r="H194" s="20" t="inlineStr">
        <is>
          <t>31.31</t>
        </is>
      </c>
      <c r="I194" s="20">
        <f>IF(H194="","",IF(ISNUMBER(SEARCH(":",H194)),VALUE(LEFT(H194,SEARCH(":",H194)-1))*60+VALUE(MID(H194,SEARCH(":",H194)+1,99)),VALUE(H194)))</f>
        <v/>
      </c>
      <c r="J194" s="20">
        <f>IF(OR(G194&lt;&gt;"",AND(H194&lt;&gt;"",INDEX(05_Record_Benchmarks!$N:$N,MATCH(A194,05_Record_Benchmarks!$A:$A,0))="YES")),"YES","NO")</f>
        <v/>
      </c>
      <c r="K194" s="20" t="inlineStr">
        <is>
          <t>Next-fastest time supplied in user workbook; swimmer name not yet supplied.</t>
        </is>
      </c>
      <c r="L194" s="40" t="n"/>
    </row>
    <row r="195" ht="15" customHeight="1" s="17">
      <c r="A195" s="20" t="inlineStr">
        <is>
          <t>NZ|SCM|F|17|100 Breast</t>
        </is>
      </c>
      <c r="B195" s="20" t="n">
        <v>2</v>
      </c>
      <c r="C195" s="20" t="inlineStr">
        <is>
          <t>SCM</t>
        </is>
      </c>
      <c r="D195" s="20" t="inlineStr">
        <is>
          <t>Female</t>
        </is>
      </c>
      <c r="E195" s="20" t="n">
        <v>17</v>
      </c>
      <c r="F195" s="20" t="inlineStr">
        <is>
          <t>100 Breast</t>
        </is>
      </c>
      <c r="G195" s="20" t="n"/>
      <c r="H195" s="20" t="inlineStr">
        <is>
          <t>1:06.72</t>
        </is>
      </c>
      <c r="I195" s="20">
        <f>IF(H195="","",IF(ISNUMBER(SEARCH(":",H195)),VALUE(LEFT(H195,SEARCH(":",H195)-1))*60+VALUE(MID(H195,SEARCH(":",H195)+1,99)),VALUE(H195)))</f>
        <v/>
      </c>
      <c r="J195" s="20">
        <f>IF(OR(G195&lt;&gt;"",AND(H195&lt;&gt;"",INDEX(05_Record_Benchmarks!$N:$N,MATCH(A195,05_Record_Benchmarks!$A:$A,0))="YES")),"YES","NO")</f>
        <v/>
      </c>
      <c r="K195" s="20" t="inlineStr">
        <is>
          <t>Next-fastest time supplied in user workbook; swimmer name not yet supplied.</t>
        </is>
      </c>
      <c r="L195" s="40" t="n"/>
    </row>
    <row r="196" ht="15" customHeight="1" s="17">
      <c r="A196" s="20" t="inlineStr">
        <is>
          <t>NZ|SCM|F|17|200 Breast</t>
        </is>
      </c>
      <c r="B196" s="20" t="n">
        <v>2</v>
      </c>
      <c r="C196" s="20" t="inlineStr">
        <is>
          <t>SCM</t>
        </is>
      </c>
      <c r="D196" s="20" t="inlineStr">
        <is>
          <t>Female</t>
        </is>
      </c>
      <c r="E196" s="20" t="n">
        <v>17</v>
      </c>
      <c r="F196" s="20" t="inlineStr">
        <is>
          <t>200 Breast</t>
        </is>
      </c>
      <c r="G196" s="20" t="n"/>
      <c r="H196" s="20" t="inlineStr">
        <is>
          <t>2:25.29</t>
        </is>
      </c>
      <c r="I196" s="20">
        <f>IF(H196="","",IF(ISNUMBER(SEARCH(":",H196)),VALUE(LEFT(H196,SEARCH(":",H196)-1))*60+VALUE(MID(H196,SEARCH(":",H196)+1,99)),VALUE(H196)))</f>
        <v/>
      </c>
      <c r="J196" s="20">
        <f>IF(OR(G196&lt;&gt;"",AND(H196&lt;&gt;"",INDEX(05_Record_Benchmarks!$N:$N,MATCH(A196,05_Record_Benchmarks!$A:$A,0))="YES")),"YES","NO")</f>
        <v/>
      </c>
      <c r="K196" s="20" t="inlineStr">
        <is>
          <t>Next-fastest time supplied in user workbook; swimmer name not yet supplied.</t>
        </is>
      </c>
      <c r="L196" s="40" t="n"/>
    </row>
    <row r="197" ht="15" customHeight="1" s="17">
      <c r="A197" s="20" t="inlineStr">
        <is>
          <t>NZ|SCM|F|17|50 Fly</t>
        </is>
      </c>
      <c r="B197" s="20" t="n">
        <v>2</v>
      </c>
      <c r="C197" s="20" t="inlineStr">
        <is>
          <t>SCM</t>
        </is>
      </c>
      <c r="D197" s="20" t="inlineStr">
        <is>
          <t>Female</t>
        </is>
      </c>
      <c r="E197" s="20" t="n">
        <v>17</v>
      </c>
      <c r="F197" s="20" t="inlineStr">
        <is>
          <t>50 Fly</t>
        </is>
      </c>
      <c r="G197" s="20" t="n"/>
      <c r="H197" s="20" t="inlineStr">
        <is>
          <t>26.82</t>
        </is>
      </c>
      <c r="I197" s="20">
        <f>IF(H197="","",IF(ISNUMBER(SEARCH(":",H197)),VALUE(LEFT(H197,SEARCH(":",H197)-1))*60+VALUE(MID(H197,SEARCH(":",H197)+1,99)),VALUE(H197)))</f>
        <v/>
      </c>
      <c r="J197" s="20">
        <f>IF(OR(G197&lt;&gt;"",AND(H197&lt;&gt;"",INDEX(05_Record_Benchmarks!$N:$N,MATCH(A197,05_Record_Benchmarks!$A:$A,0))="YES")),"YES","NO")</f>
        <v/>
      </c>
      <c r="K197" s="20" t="inlineStr">
        <is>
          <t>Next-fastest time supplied in user workbook; swimmer name not yet supplied.</t>
        </is>
      </c>
      <c r="L197" s="40" t="n"/>
    </row>
    <row r="198" ht="15" customHeight="1" s="17">
      <c r="A198" s="20" t="inlineStr">
        <is>
          <t>NZ|SCM|F|17|100 Fly</t>
        </is>
      </c>
      <c r="B198" s="20" t="n">
        <v>2</v>
      </c>
      <c r="C198" s="20" t="inlineStr">
        <is>
          <t>SCM</t>
        </is>
      </c>
      <c r="D198" s="20" t="inlineStr">
        <is>
          <t>Female</t>
        </is>
      </c>
      <c r="E198" s="20" t="n">
        <v>17</v>
      </c>
      <c r="F198" s="20" t="inlineStr">
        <is>
          <t>100 Fly</t>
        </is>
      </c>
      <c r="G198" s="20" t="n"/>
      <c r="H198" s="20" t="inlineStr">
        <is>
          <t>59.02</t>
        </is>
      </c>
      <c r="I198" s="20">
        <f>IF(H198="","",IF(ISNUMBER(SEARCH(":",H198)),VALUE(LEFT(H198,SEARCH(":",H198)-1))*60+VALUE(MID(H198,SEARCH(":",H198)+1,99)),VALUE(H198)))</f>
        <v/>
      </c>
      <c r="J198" s="20">
        <f>IF(OR(G198&lt;&gt;"",AND(H198&lt;&gt;"",INDEX(05_Record_Benchmarks!$N:$N,MATCH(A198,05_Record_Benchmarks!$A:$A,0))="YES")),"YES","NO")</f>
        <v/>
      </c>
      <c r="K198" s="20" t="inlineStr">
        <is>
          <t>Next-fastest time supplied in user workbook; swimmer name not yet supplied.</t>
        </is>
      </c>
      <c r="L198" s="40" t="n"/>
    </row>
    <row r="199" ht="15" customHeight="1" s="17">
      <c r="A199" s="20" t="inlineStr">
        <is>
          <t>NZ|SCM|F|17|200 Fly</t>
        </is>
      </c>
      <c r="B199" s="20" t="n">
        <v>2</v>
      </c>
      <c r="C199" s="20" t="inlineStr">
        <is>
          <t>SCM</t>
        </is>
      </c>
      <c r="D199" s="20" t="inlineStr">
        <is>
          <t>Female</t>
        </is>
      </c>
      <c r="E199" s="20" t="n">
        <v>17</v>
      </c>
      <c r="F199" s="20" t="inlineStr">
        <is>
          <t>200 Fly</t>
        </is>
      </c>
      <c r="G199" s="20" t="n"/>
      <c r="H199" s="20" t="inlineStr">
        <is>
          <t>2:11.81</t>
        </is>
      </c>
      <c r="I199" s="20">
        <f>IF(H199="","",IF(ISNUMBER(SEARCH(":",H199)),VALUE(LEFT(H199,SEARCH(":",H199)-1))*60+VALUE(MID(H199,SEARCH(":",H199)+1,99)),VALUE(H199)))</f>
        <v/>
      </c>
      <c r="J199" s="20">
        <f>IF(OR(G199&lt;&gt;"",AND(H199&lt;&gt;"",INDEX(05_Record_Benchmarks!$N:$N,MATCH(A199,05_Record_Benchmarks!$A:$A,0))="YES")),"YES","NO")</f>
        <v/>
      </c>
      <c r="K199" s="20" t="inlineStr">
        <is>
          <t>Next-fastest time supplied in user workbook; swimmer name not yet supplied.</t>
        </is>
      </c>
      <c r="L199" s="40" t="n"/>
    </row>
    <row r="200" ht="15" customHeight="1" s="17">
      <c r="A200" s="20" t="inlineStr">
        <is>
          <t>NZ|SCM|F|17|100 IM</t>
        </is>
      </c>
      <c r="B200" s="20" t="n">
        <v>2</v>
      </c>
      <c r="C200" s="20" t="inlineStr">
        <is>
          <t>SCM</t>
        </is>
      </c>
      <c r="D200" s="20" t="inlineStr">
        <is>
          <t>Female</t>
        </is>
      </c>
      <c r="E200" s="20" t="n">
        <v>17</v>
      </c>
      <c r="F200" s="20" t="inlineStr">
        <is>
          <t>100 IM</t>
        </is>
      </c>
      <c r="G200" s="20" t="n"/>
      <c r="H200" s="20" t="inlineStr">
        <is>
          <t>1:02.04</t>
        </is>
      </c>
      <c r="I200" s="20">
        <f>IF(H200="","",IF(ISNUMBER(SEARCH(":",H200)),VALUE(LEFT(H200,SEARCH(":",H200)-1))*60+VALUE(MID(H200,SEARCH(":",H200)+1,99)),VALUE(H200)))</f>
        <v/>
      </c>
      <c r="J200" s="20">
        <f>IF(OR(G200&lt;&gt;"",AND(H200&lt;&gt;"",INDEX(05_Record_Benchmarks!$N:$N,MATCH(A200,05_Record_Benchmarks!$A:$A,0))="YES")),"YES","NO")</f>
        <v/>
      </c>
      <c r="K200" s="20" t="inlineStr">
        <is>
          <t>Next-fastest time supplied in user workbook; swimmer name not yet supplied.</t>
        </is>
      </c>
      <c r="L200" s="40" t="n"/>
    </row>
    <row r="201" ht="15" customHeight="1" s="17">
      <c r="A201" s="20" t="inlineStr">
        <is>
          <t>NZ|SCM|F|17|200 IM</t>
        </is>
      </c>
      <c r="B201" s="20" t="n">
        <v>2</v>
      </c>
      <c r="C201" s="20" t="inlineStr">
        <is>
          <t>SCM</t>
        </is>
      </c>
      <c r="D201" s="20" t="inlineStr">
        <is>
          <t>Female</t>
        </is>
      </c>
      <c r="E201" s="20" t="n">
        <v>17</v>
      </c>
      <c r="F201" s="20" t="inlineStr">
        <is>
          <t>200 IM</t>
        </is>
      </c>
      <c r="G201" s="20" t="n"/>
      <c r="H201" s="20" t="inlineStr">
        <is>
          <t>2:12.77</t>
        </is>
      </c>
      <c r="I201" s="20">
        <f>IF(H201="","",IF(ISNUMBER(SEARCH(":",H201)),VALUE(LEFT(H201,SEARCH(":",H201)-1))*60+VALUE(MID(H201,SEARCH(":",H201)+1,99)),VALUE(H201)))</f>
        <v/>
      </c>
      <c r="J201" s="20">
        <f>IF(OR(G201&lt;&gt;"",AND(H201&lt;&gt;"",INDEX(05_Record_Benchmarks!$N:$N,MATCH(A201,05_Record_Benchmarks!$A:$A,0))="YES")),"YES","NO")</f>
        <v/>
      </c>
      <c r="K201" s="20" t="inlineStr">
        <is>
          <t>Next-fastest time supplied in user workbook; swimmer name not yet supplied.</t>
        </is>
      </c>
      <c r="L201" s="40" t="n"/>
    </row>
    <row r="202" ht="15" customHeight="1" s="17">
      <c r="A202" s="20" t="inlineStr">
        <is>
          <t>NZ|SCM|F|17|400 IM</t>
        </is>
      </c>
      <c r="B202" s="20" t="n">
        <v>2</v>
      </c>
      <c r="C202" s="20" t="inlineStr">
        <is>
          <t>SCM</t>
        </is>
      </c>
      <c r="D202" s="20" t="inlineStr">
        <is>
          <t>Female</t>
        </is>
      </c>
      <c r="E202" s="20" t="n">
        <v>17</v>
      </c>
      <c r="F202" s="20" t="inlineStr">
        <is>
          <t>400 IM</t>
        </is>
      </c>
      <c r="G202" s="20" t="n"/>
      <c r="H202" s="20" t="inlineStr">
        <is>
          <t>4:40.76</t>
        </is>
      </c>
      <c r="I202" s="20">
        <f>IF(H202="","",IF(ISNUMBER(SEARCH(":",H202)),VALUE(LEFT(H202,SEARCH(":",H202)-1))*60+VALUE(MID(H202,SEARCH(":",H202)+1,99)),VALUE(H202)))</f>
        <v/>
      </c>
      <c r="J202" s="20">
        <f>IF(OR(G202&lt;&gt;"",AND(H202&lt;&gt;"",INDEX(05_Record_Benchmarks!$N:$N,MATCH(A202,05_Record_Benchmarks!$A:$A,0))="YES")),"YES","NO")</f>
        <v/>
      </c>
      <c r="K202" s="20" t="inlineStr">
        <is>
          <t>Next-fastest time supplied in user workbook; swimmer name not yet supplied.</t>
        </is>
      </c>
      <c r="L202" s="40" t="n"/>
    </row>
    <row r="203" ht="15" customHeight="1" s="17">
      <c r="A203" s="20" t="inlineStr">
        <is>
          <t>NZ|SCM|F|18|50 Free</t>
        </is>
      </c>
      <c r="B203" s="20" t="n">
        <v>2</v>
      </c>
      <c r="C203" s="20" t="inlineStr">
        <is>
          <t>SCM</t>
        </is>
      </c>
      <c r="D203" s="20" t="inlineStr">
        <is>
          <t>Female</t>
        </is>
      </c>
      <c r="E203" s="20" t="n">
        <v>18</v>
      </c>
      <c r="F203" s="20" t="inlineStr">
        <is>
          <t>50 Free</t>
        </is>
      </c>
      <c r="G203" s="20" t="n"/>
      <c r="H203" s="20" t="inlineStr">
        <is>
          <t>25.05</t>
        </is>
      </c>
      <c r="I203" s="20">
        <f>IF(H203="","",IF(ISNUMBER(SEARCH(":",H203)),VALUE(LEFT(H203,SEARCH(":",H203)-1))*60+VALUE(MID(H203,SEARCH(":",H203)+1,99)),VALUE(H203)))</f>
        <v/>
      </c>
      <c r="J203" s="20">
        <f>IF(OR(G203&lt;&gt;"",AND(H203&lt;&gt;"",INDEX(05_Record_Benchmarks!$N:$N,MATCH(A203,05_Record_Benchmarks!$A:$A,0))="YES")),"YES","NO")</f>
        <v/>
      </c>
      <c r="K203" s="20" t="inlineStr">
        <is>
          <t>Next-fastest time supplied in user workbook; swimmer name not yet supplied.</t>
        </is>
      </c>
      <c r="L203" s="40" t="n"/>
    </row>
    <row r="204" ht="15" customHeight="1" s="17">
      <c r="A204" s="20" t="inlineStr">
        <is>
          <t>NZ|SCM|F|18|100 Free</t>
        </is>
      </c>
      <c r="B204" s="20" t="n">
        <v>2</v>
      </c>
      <c r="C204" s="20" t="inlineStr">
        <is>
          <t>SCM</t>
        </is>
      </c>
      <c r="D204" s="20" t="inlineStr">
        <is>
          <t>Female</t>
        </is>
      </c>
      <c r="E204" s="20" t="n">
        <v>18</v>
      </c>
      <c r="F204" s="20" t="inlineStr">
        <is>
          <t>100 Free</t>
        </is>
      </c>
      <c r="G204" s="20" t="n"/>
      <c r="H204" s="20" t="inlineStr">
        <is>
          <t>53.85</t>
        </is>
      </c>
      <c r="I204" s="20">
        <f>IF(H204="","",IF(ISNUMBER(SEARCH(":",H204)),VALUE(LEFT(H204,SEARCH(":",H204)-1))*60+VALUE(MID(H204,SEARCH(":",H204)+1,99)),VALUE(H204)))</f>
        <v/>
      </c>
      <c r="J204" s="20">
        <f>IF(OR(G204&lt;&gt;"",AND(H204&lt;&gt;"",INDEX(05_Record_Benchmarks!$N:$N,MATCH(A204,05_Record_Benchmarks!$A:$A,0))="YES")),"YES","NO")</f>
        <v/>
      </c>
      <c r="K204" s="20" t="inlineStr">
        <is>
          <t>Next-fastest time supplied in user workbook; swimmer name not yet supplied.</t>
        </is>
      </c>
      <c r="L204" s="40" t="n"/>
    </row>
    <row r="205" ht="15" customHeight="1" s="17">
      <c r="A205" s="20" t="inlineStr">
        <is>
          <t>NZ|SCM|F|18|200 Free</t>
        </is>
      </c>
      <c r="B205" s="20" t="n">
        <v>2</v>
      </c>
      <c r="C205" s="20" t="inlineStr">
        <is>
          <t>SCM</t>
        </is>
      </c>
      <c r="D205" s="20" t="inlineStr">
        <is>
          <t>Female</t>
        </is>
      </c>
      <c r="E205" s="20" t="n">
        <v>18</v>
      </c>
      <c r="F205" s="20" t="inlineStr">
        <is>
          <t>200 Free</t>
        </is>
      </c>
      <c r="G205" s="20" t="n"/>
      <c r="H205" s="20" t="inlineStr">
        <is>
          <t>1:57.05</t>
        </is>
      </c>
      <c r="I205" s="20">
        <f>IF(H205="","",IF(ISNUMBER(SEARCH(":",H205)),VALUE(LEFT(H205,SEARCH(":",H205)-1))*60+VALUE(MID(H205,SEARCH(":",H205)+1,99)),VALUE(H205)))</f>
        <v/>
      </c>
      <c r="J205" s="20">
        <f>IF(OR(G205&lt;&gt;"",AND(H205&lt;&gt;"",INDEX(05_Record_Benchmarks!$N:$N,MATCH(A205,05_Record_Benchmarks!$A:$A,0))="YES")),"YES","NO")</f>
        <v/>
      </c>
      <c r="K205" s="20" t="inlineStr">
        <is>
          <t>Next-fastest time supplied in user workbook; swimmer name not yet supplied.</t>
        </is>
      </c>
      <c r="L205" s="40" t="n"/>
    </row>
    <row r="206" ht="15" customHeight="1" s="17">
      <c r="A206" s="20" t="inlineStr">
        <is>
          <t>NZ|SCM|F|18|400 Free</t>
        </is>
      </c>
      <c r="B206" s="20" t="n">
        <v>2</v>
      </c>
      <c r="C206" s="20" t="inlineStr">
        <is>
          <t>SCM</t>
        </is>
      </c>
      <c r="D206" s="20" t="inlineStr">
        <is>
          <t>Female</t>
        </is>
      </c>
      <c r="E206" s="20" t="n">
        <v>18</v>
      </c>
      <c r="F206" s="20" t="inlineStr">
        <is>
          <t>400 Free</t>
        </is>
      </c>
      <c r="G206" s="20" t="inlineStr">
        <is>
          <t>Tabitha Baumann</t>
        </is>
      </c>
      <c r="H206" s="20" t="inlineStr">
        <is>
          <t>4:07.51</t>
        </is>
      </c>
      <c r="I206" s="20">
        <f>IF(H206="","",IF(ISNUMBER(SEARCH(":",H206)),VALUE(LEFT(H206,SEARCH(":",H206)-1))*60+VALUE(MID(H206,SEARCH(":",H206)+1,99)),VALUE(H206)))</f>
        <v/>
      </c>
      <c r="J206" s="20">
        <f>IF(OR(G206&lt;&gt;"",AND(H206&lt;&gt;"",INDEX(05_Record_Benchmarks!$N:$N,MATCH(A206,05_Record_Benchmarks!$A:$A,0))="YES")),"YES","NO")</f>
        <v/>
      </c>
      <c r="K206" s="20" t="inlineStr">
        <is>
          <t>Next-fastest time supplied in user workbook; swimmer name not yet supplied.</t>
        </is>
      </c>
      <c r="L206" s="40" t="n">
        <v>46303</v>
      </c>
    </row>
    <row r="207" ht="15" customHeight="1" s="17">
      <c r="A207" s="20" t="inlineStr">
        <is>
          <t>NZ|SCM|F|18|800 Free</t>
        </is>
      </c>
      <c r="B207" s="20" t="n">
        <v>2</v>
      </c>
      <c r="C207" s="20" t="inlineStr">
        <is>
          <t>SCM</t>
        </is>
      </c>
      <c r="D207" s="20" t="inlineStr">
        <is>
          <t>Female</t>
        </is>
      </c>
      <c r="E207" s="20" t="n">
        <v>18</v>
      </c>
      <c r="F207" s="20" t="inlineStr">
        <is>
          <t>800 Free</t>
        </is>
      </c>
      <c r="G207" s="20" t="n"/>
      <c r="H207" s="20" t="inlineStr">
        <is>
          <t>8:26.20</t>
        </is>
      </c>
      <c r="I207" s="20">
        <f>IF(H207="","",IF(ISNUMBER(SEARCH(":",H207)),VALUE(LEFT(H207,SEARCH(":",H207)-1))*60+VALUE(MID(H207,SEARCH(":",H207)+1,99)),VALUE(H207)))</f>
        <v/>
      </c>
      <c r="J207" s="20">
        <f>IF(OR(G207&lt;&gt;"",AND(H207&lt;&gt;"",INDEX(05_Record_Benchmarks!$N:$N,MATCH(A207,05_Record_Benchmarks!$A:$A,0))="YES")),"YES","NO")</f>
        <v/>
      </c>
      <c r="K207" s="20" t="inlineStr">
        <is>
          <t>Next-fastest time supplied in user workbook; swimmer name not yet supplied.</t>
        </is>
      </c>
      <c r="L207" s="40" t="n"/>
    </row>
    <row r="208" ht="15" customHeight="1" s="17">
      <c r="A208" s="20" t="inlineStr">
        <is>
          <t>NZ|SCM|F|18|1500 Free</t>
        </is>
      </c>
      <c r="B208" s="20" t="n">
        <v>2</v>
      </c>
      <c r="C208" s="20" t="inlineStr">
        <is>
          <t>SCM</t>
        </is>
      </c>
      <c r="D208" s="20" t="inlineStr">
        <is>
          <t>Female</t>
        </is>
      </c>
      <c r="E208" s="20" t="n">
        <v>18</v>
      </c>
      <c r="F208" s="20" t="inlineStr">
        <is>
          <t>1500 Free</t>
        </is>
      </c>
      <c r="G208" s="20" t="n"/>
      <c r="H208" s="20" t="inlineStr">
        <is>
          <t>16:31.23</t>
        </is>
      </c>
      <c r="I208" s="20">
        <f>IF(H208="","",IF(ISNUMBER(SEARCH(":",H208)),VALUE(LEFT(H208,SEARCH(":",H208)-1))*60+VALUE(MID(H208,SEARCH(":",H208)+1,99)),VALUE(H208)))</f>
        <v/>
      </c>
      <c r="J208" s="20">
        <f>IF(OR(G208&lt;&gt;"",AND(H208&lt;&gt;"",INDEX(05_Record_Benchmarks!$N:$N,MATCH(A208,05_Record_Benchmarks!$A:$A,0))="YES")),"YES","NO")</f>
        <v/>
      </c>
      <c r="K208" s="20" t="inlineStr">
        <is>
          <t>Next-fastest time supplied in user workbook; swimmer name not yet supplied.</t>
        </is>
      </c>
      <c r="L208" s="40" t="n"/>
    </row>
    <row r="209" ht="15" customHeight="1" s="17">
      <c r="A209" s="20" t="inlineStr">
        <is>
          <t>NZ|SCM|F|18|50 Back</t>
        </is>
      </c>
      <c r="B209" s="20" t="n">
        <v>2</v>
      </c>
      <c r="C209" s="20" t="inlineStr">
        <is>
          <t>SCM</t>
        </is>
      </c>
      <c r="D209" s="20" t="inlineStr">
        <is>
          <t>Female</t>
        </is>
      </c>
      <c r="E209" s="20" t="n">
        <v>18</v>
      </c>
      <c r="F209" s="20" t="inlineStr">
        <is>
          <t>50 Back</t>
        </is>
      </c>
      <c r="G209" s="20" t="n"/>
      <c r="H209" s="20" t="inlineStr">
        <is>
          <t>27.37</t>
        </is>
      </c>
      <c r="I209" s="20">
        <f>IF(H209="","",IF(ISNUMBER(SEARCH(":",H209)),VALUE(LEFT(H209,SEARCH(":",H209)-1))*60+VALUE(MID(H209,SEARCH(":",H209)+1,99)),VALUE(H209)))</f>
        <v/>
      </c>
      <c r="J209" s="20">
        <f>IF(OR(G209&lt;&gt;"",AND(H209&lt;&gt;"",INDEX(05_Record_Benchmarks!$N:$N,MATCH(A209,05_Record_Benchmarks!$A:$A,0))="YES")),"YES","NO")</f>
        <v/>
      </c>
      <c r="K209" s="20" t="inlineStr">
        <is>
          <t>Next-fastest time supplied in user workbook; swimmer name not yet supplied.</t>
        </is>
      </c>
      <c r="L209" s="40" t="n"/>
    </row>
    <row r="210" ht="15" customHeight="1" s="17">
      <c r="A210" s="20" t="inlineStr">
        <is>
          <t>NZ|SCM|F|18|100 Back</t>
        </is>
      </c>
      <c r="B210" s="20" t="n">
        <v>2</v>
      </c>
      <c r="C210" s="20" t="inlineStr">
        <is>
          <t>SCM</t>
        </is>
      </c>
      <c r="D210" s="20" t="inlineStr">
        <is>
          <t>Female</t>
        </is>
      </c>
      <c r="E210" s="20" t="n">
        <v>18</v>
      </c>
      <c r="F210" s="20" t="inlineStr">
        <is>
          <t>100 Back</t>
        </is>
      </c>
      <c r="G210" s="20" t="inlineStr">
        <is>
          <t>Emily Thomas</t>
        </is>
      </c>
      <c r="H210" s="20" t="inlineStr">
        <is>
          <t>58.02</t>
        </is>
      </c>
      <c r="I210" s="20">
        <f>IF(H210="","",IF(ISNUMBER(SEARCH(":",H210)),VALUE(LEFT(H210,SEARCH(":",H210)-1))*60+VALUE(MID(H210,SEARCH(":",H210)+1,99)),VALUE(H210)))</f>
        <v/>
      </c>
      <c r="J210" s="20">
        <f>IF(OR(G210&lt;&gt;"",AND(H210&lt;&gt;"",INDEX(05_Record_Benchmarks!$N:$N,MATCH(A210,05_Record_Benchmarks!$A:$A,0))="YES")),"YES","NO")</f>
        <v/>
      </c>
      <c r="K210" s="20" t="inlineStr">
        <is>
          <t>Auto-set from displaced NZ record after NZSC 2026.</t>
        </is>
      </c>
      <c r="L210" s="40" t="n">
        <v>46303</v>
      </c>
    </row>
    <row r="211" ht="15" customHeight="1" s="17">
      <c r="A211" s="20" t="inlineStr">
        <is>
          <t>NZ|SCM|F|18|200 Back</t>
        </is>
      </c>
      <c r="B211" s="20" t="n">
        <v>2</v>
      </c>
      <c r="C211" s="20" t="inlineStr">
        <is>
          <t>SCM</t>
        </is>
      </c>
      <c r="D211" s="20" t="inlineStr">
        <is>
          <t>Female</t>
        </is>
      </c>
      <c r="E211" s="20" t="n">
        <v>18</v>
      </c>
      <c r="F211" s="20" t="inlineStr">
        <is>
          <t>200 Back</t>
        </is>
      </c>
      <c r="G211" s="20" t="inlineStr">
        <is>
          <t>Caroline Baddock</t>
        </is>
      </c>
      <c r="H211" s="20" t="inlineStr">
        <is>
          <t>2:06.76</t>
        </is>
      </c>
      <c r="I211" s="20">
        <f>IF(H211="","",IF(ISNUMBER(SEARCH(":",H211)),VALUE(LEFT(H211,SEARCH(":",H211)-1))*60+VALUE(MID(H211,SEARCH(":",H211)+1,99)),VALUE(H211)))</f>
        <v/>
      </c>
      <c r="J211" s="20">
        <f>IF(OR(G211&lt;&gt;"",AND(H211&lt;&gt;"",INDEX(05_Record_Benchmarks!$N:$N,MATCH(A211,05_Record_Benchmarks!$A:$A,0))="YES")),"YES","NO")</f>
        <v/>
      </c>
      <c r="K211" s="20" t="inlineStr">
        <is>
          <t>Auto-set from displaced NZ record after NZSC 2026.</t>
        </is>
      </c>
      <c r="L211" s="40" t="n">
        <v>46303</v>
      </c>
    </row>
    <row r="212" ht="15" customHeight="1" s="17">
      <c r="A212" s="20" t="inlineStr">
        <is>
          <t>NZ|SCM|F|18|50 Breast</t>
        </is>
      </c>
      <c r="B212" s="20" t="n">
        <v>2</v>
      </c>
      <c r="C212" s="20" t="inlineStr">
        <is>
          <t>SCM</t>
        </is>
      </c>
      <c r="D212" s="20" t="inlineStr">
        <is>
          <t>Female</t>
        </is>
      </c>
      <c r="E212" s="20" t="n">
        <v>18</v>
      </c>
      <c r="F212" s="20" t="inlineStr">
        <is>
          <t>50 Breast</t>
        </is>
      </c>
      <c r="G212" s="20" t="n"/>
      <c r="H212" s="20" t="inlineStr">
        <is>
          <t>31.41</t>
        </is>
      </c>
      <c r="I212" s="20">
        <f>IF(H212="","",IF(ISNUMBER(SEARCH(":",H212)),VALUE(LEFT(H212,SEARCH(":",H212)-1))*60+VALUE(MID(H212,SEARCH(":",H212)+1,99)),VALUE(H212)))</f>
        <v/>
      </c>
      <c r="J212" s="20">
        <f>IF(OR(G212&lt;&gt;"",AND(H212&lt;&gt;"",INDEX(05_Record_Benchmarks!$N:$N,MATCH(A212,05_Record_Benchmarks!$A:$A,0))="YES")),"YES","NO")</f>
        <v/>
      </c>
      <c r="K212" s="20" t="inlineStr">
        <is>
          <t>Next-fastest time supplied in user workbook; swimmer name not yet supplied.</t>
        </is>
      </c>
      <c r="L212" s="40" t="n"/>
    </row>
    <row r="213" ht="15" customHeight="1" s="17">
      <c r="A213" s="20" t="inlineStr">
        <is>
          <t>NZ|SCM|F|18|100 Breast</t>
        </is>
      </c>
      <c r="B213" s="20" t="n">
        <v>2</v>
      </c>
      <c r="C213" s="20" t="inlineStr">
        <is>
          <t>SCM</t>
        </is>
      </c>
      <c r="D213" s="20" t="inlineStr">
        <is>
          <t>Female</t>
        </is>
      </c>
      <c r="E213" s="20" t="n">
        <v>18</v>
      </c>
      <c r="F213" s="20" t="inlineStr">
        <is>
          <t>100 Breast</t>
        </is>
      </c>
      <c r="G213" s="20" t="inlineStr">
        <is>
          <t>Lanihei Connolly</t>
        </is>
      </c>
      <c r="H213" s="20" t="inlineStr">
        <is>
          <t>1:07.36</t>
        </is>
      </c>
      <c r="I213" s="20">
        <f>IF(H213="","",IF(ISNUMBER(SEARCH(":",H213)),VALUE(LEFT(H213,SEARCH(":",H213)-1))*60+VALUE(MID(H213,SEARCH(":",H213)+1,99)),VALUE(H213)))</f>
        <v/>
      </c>
      <c r="J213" s="20">
        <f>IF(OR(G213&lt;&gt;"",AND(H213&lt;&gt;"",INDEX(05_Record_Benchmarks!$N:$N,MATCH(A213,05_Record_Benchmarks!$A:$A,0))="YES")),"YES","NO")</f>
        <v/>
      </c>
      <c r="K213" s="20" t="inlineStr">
        <is>
          <t>Next-fastest time supplied in user workbook; swimmer name not yet supplied.</t>
        </is>
      </c>
      <c r="L213" s="40" t="n">
        <v>46303</v>
      </c>
    </row>
    <row r="214" ht="15" customHeight="1" s="17">
      <c r="A214" s="20" t="inlineStr">
        <is>
          <t>NZ|SCM|F|18|200 Breast</t>
        </is>
      </c>
      <c r="B214" s="20" t="n">
        <v>2</v>
      </c>
      <c r="C214" s="20" t="inlineStr">
        <is>
          <t>SCM</t>
        </is>
      </c>
      <c r="D214" s="20" t="inlineStr">
        <is>
          <t>Female</t>
        </is>
      </c>
      <c r="E214" s="20" t="n">
        <v>18</v>
      </c>
      <c r="F214" s="20" t="inlineStr">
        <is>
          <t>200 Breast</t>
        </is>
      </c>
      <c r="G214" s="20" t="n"/>
      <c r="H214" s="20" t="inlineStr">
        <is>
          <t>2:28.12</t>
        </is>
      </c>
      <c r="I214" s="20">
        <f>IF(H214="","",IF(ISNUMBER(SEARCH(":",H214)),VALUE(LEFT(H214,SEARCH(":",H214)-1))*60+VALUE(MID(H214,SEARCH(":",H214)+1,99)),VALUE(H214)))</f>
        <v/>
      </c>
      <c r="J214" s="20">
        <f>IF(OR(G214&lt;&gt;"",AND(H214&lt;&gt;"",INDEX(05_Record_Benchmarks!$N:$N,MATCH(A214,05_Record_Benchmarks!$A:$A,0))="YES")),"YES","NO")</f>
        <v/>
      </c>
      <c r="K214" s="20" t="inlineStr">
        <is>
          <t>Next-fastest time supplied in user workbook; swimmer name not yet supplied.</t>
        </is>
      </c>
      <c r="L214" s="40" t="n"/>
    </row>
    <row r="215" ht="15" customHeight="1" s="17">
      <c r="A215" s="20" t="inlineStr">
        <is>
          <t>NZ|SCM|F|18|50 Fly</t>
        </is>
      </c>
      <c r="B215" s="20" t="n">
        <v>2</v>
      </c>
      <c r="C215" s="20" t="inlineStr">
        <is>
          <t>SCM</t>
        </is>
      </c>
      <c r="D215" s="20" t="inlineStr">
        <is>
          <t>Female</t>
        </is>
      </c>
      <c r="E215" s="20" t="n">
        <v>18</v>
      </c>
      <c r="F215" s="20" t="inlineStr">
        <is>
          <t>50 Fly</t>
        </is>
      </c>
      <c r="G215" s="20" t="n"/>
      <c r="H215" s="20" t="inlineStr">
        <is>
          <t>26.53</t>
        </is>
      </c>
      <c r="I215" s="20">
        <f>IF(H215="","",IF(ISNUMBER(SEARCH(":",H215)),VALUE(LEFT(H215,SEARCH(":",H215)-1))*60+VALUE(MID(H215,SEARCH(":",H215)+1,99)),VALUE(H215)))</f>
        <v/>
      </c>
      <c r="J215" s="20">
        <f>IF(OR(G215&lt;&gt;"",AND(H215&lt;&gt;"",INDEX(05_Record_Benchmarks!$N:$N,MATCH(A215,05_Record_Benchmarks!$A:$A,0))="YES")),"YES","NO")</f>
        <v/>
      </c>
      <c r="K215" s="20" t="inlineStr">
        <is>
          <t>Next-fastest time supplied in user workbook; swimmer name not yet supplied.</t>
        </is>
      </c>
      <c r="L215" s="40" t="n"/>
    </row>
    <row r="216" ht="15" customHeight="1" s="17">
      <c r="A216" s="20" t="inlineStr">
        <is>
          <t>NZ|SCM|F|18|100 Fly</t>
        </is>
      </c>
      <c r="B216" s="20" t="n">
        <v>2</v>
      </c>
      <c r="C216" s="20" t="inlineStr">
        <is>
          <t>SCM</t>
        </is>
      </c>
      <c r="D216" s="20" t="inlineStr">
        <is>
          <t>Female</t>
        </is>
      </c>
      <c r="E216" s="20" t="n">
        <v>18</v>
      </c>
      <c r="F216" s="20" t="inlineStr">
        <is>
          <t>100 Fly</t>
        </is>
      </c>
      <c r="G216" s="20" t="n"/>
      <c r="H216" s="20" t="inlineStr">
        <is>
          <t>59.74</t>
        </is>
      </c>
      <c r="I216" s="20">
        <f>IF(H216="","",IF(ISNUMBER(SEARCH(":",H216)),VALUE(LEFT(H216,SEARCH(":",H216)-1))*60+VALUE(MID(H216,SEARCH(":",H216)+1,99)),VALUE(H216)))</f>
        <v/>
      </c>
      <c r="J216" s="20">
        <f>IF(OR(G216&lt;&gt;"",AND(H216&lt;&gt;"",INDEX(05_Record_Benchmarks!$N:$N,MATCH(A216,05_Record_Benchmarks!$A:$A,0))="YES")),"YES","NO")</f>
        <v/>
      </c>
      <c r="K216" s="20" t="inlineStr">
        <is>
          <t>Next-fastest time supplied in user workbook; swimmer name not yet supplied.</t>
        </is>
      </c>
      <c r="L216" s="40" t="n"/>
    </row>
    <row r="217" ht="15" customHeight="1" s="17">
      <c r="A217" s="20" t="inlineStr">
        <is>
          <t>NZ|SCM|F|18|200 Fly</t>
        </is>
      </c>
      <c r="B217" s="20" t="n">
        <v>2</v>
      </c>
      <c r="C217" s="20" t="inlineStr">
        <is>
          <t>SCM</t>
        </is>
      </c>
      <c r="D217" s="20" t="inlineStr">
        <is>
          <t>Female</t>
        </is>
      </c>
      <c r="E217" s="20" t="n">
        <v>18</v>
      </c>
      <c r="F217" s="20" t="inlineStr">
        <is>
          <t>200 Fly</t>
        </is>
      </c>
      <c r="G217" s="20" t="n"/>
      <c r="H217" s="20" t="inlineStr">
        <is>
          <t>2:13.01</t>
        </is>
      </c>
      <c r="I217" s="20">
        <f>IF(H217="","",IF(ISNUMBER(SEARCH(":",H217)),VALUE(LEFT(H217,SEARCH(":",H217)-1))*60+VALUE(MID(H217,SEARCH(":",H217)+1,99)),VALUE(H217)))</f>
        <v/>
      </c>
      <c r="J217" s="20">
        <f>IF(OR(G217&lt;&gt;"",AND(H217&lt;&gt;"",INDEX(05_Record_Benchmarks!$N:$N,MATCH(A217,05_Record_Benchmarks!$A:$A,0))="YES")),"YES","NO")</f>
        <v/>
      </c>
      <c r="K217" s="20" t="inlineStr">
        <is>
          <t>Next-fastest time supplied in user workbook; swimmer name not yet supplied.</t>
        </is>
      </c>
      <c r="L217" s="40" t="n"/>
    </row>
    <row r="218" ht="15" customHeight="1" s="17">
      <c r="A218" s="20" t="inlineStr">
        <is>
          <t>NZ|SCM|F|18|100 IM</t>
        </is>
      </c>
      <c r="B218" s="20" t="n">
        <v>2</v>
      </c>
      <c r="C218" s="20" t="inlineStr">
        <is>
          <t>SCM</t>
        </is>
      </c>
      <c r="D218" s="20" t="inlineStr">
        <is>
          <t>Female</t>
        </is>
      </c>
      <c r="E218" s="20" t="n">
        <v>18</v>
      </c>
      <c r="F218" s="20" t="inlineStr">
        <is>
          <t>100 IM</t>
        </is>
      </c>
      <c r="G218" s="20" t="inlineStr">
        <is>
          <t>Caroline Baddock</t>
        </is>
      </c>
      <c r="H218" s="20" t="inlineStr">
        <is>
          <t>1:01.39</t>
        </is>
      </c>
      <c r="I218" s="20">
        <f>IF(H218="","",IF(ISNUMBER(SEARCH(":",H218)),VALUE(LEFT(H218,SEARCH(":",H218)-1))*60+VALUE(MID(H218,SEARCH(":",H218)+1,99)),VALUE(H218)))</f>
        <v/>
      </c>
      <c r="J218" s="20">
        <f>IF(OR(G218&lt;&gt;"",AND(H218&lt;&gt;"",INDEX(05_Record_Benchmarks!$N:$N,MATCH(A218,05_Record_Benchmarks!$A:$A,0))="YES")),"YES","NO")</f>
        <v/>
      </c>
      <c r="K218" s="20" t="inlineStr">
        <is>
          <t>Auto-set from displaced NZ record after NZSC 2026.</t>
        </is>
      </c>
      <c r="L218" s="40" t="n">
        <v>46303</v>
      </c>
    </row>
    <row r="219" ht="15" customHeight="1" s="17">
      <c r="A219" s="20" t="inlineStr">
        <is>
          <t>NZ|SCM|F|18|200 IM</t>
        </is>
      </c>
      <c r="B219" s="20" t="n">
        <v>2</v>
      </c>
      <c r="C219" s="20" t="inlineStr">
        <is>
          <t>SCM</t>
        </is>
      </c>
      <c r="D219" s="20" t="inlineStr">
        <is>
          <t>Female</t>
        </is>
      </c>
      <c r="E219" s="20" t="n">
        <v>18</v>
      </c>
      <c r="F219" s="20" t="inlineStr">
        <is>
          <t>200 IM</t>
        </is>
      </c>
      <c r="G219" s="20" t="n"/>
      <c r="H219" s="20" t="inlineStr">
        <is>
          <t>2:13.61</t>
        </is>
      </c>
      <c r="I219" s="20">
        <f>IF(H219="","",IF(ISNUMBER(SEARCH(":",H219)),VALUE(LEFT(H219,SEARCH(":",H219)-1))*60+VALUE(MID(H219,SEARCH(":",H219)+1,99)),VALUE(H219)))</f>
        <v/>
      </c>
      <c r="J219" s="20">
        <f>IF(OR(G219&lt;&gt;"",AND(H219&lt;&gt;"",INDEX(05_Record_Benchmarks!$N:$N,MATCH(A219,05_Record_Benchmarks!$A:$A,0))="YES")),"YES","NO")</f>
        <v/>
      </c>
      <c r="K219" s="20" t="inlineStr">
        <is>
          <t>Next-fastest time supplied in user workbook; swimmer name not yet supplied.</t>
        </is>
      </c>
      <c r="L219" s="40" t="n"/>
    </row>
    <row r="220" ht="15" customHeight="1" s="17">
      <c r="A220" s="20" t="inlineStr">
        <is>
          <t>NZ|SCM|F|18|400 IM</t>
        </is>
      </c>
      <c r="B220" s="20" t="n">
        <v>2</v>
      </c>
      <c r="C220" s="20" t="inlineStr">
        <is>
          <t>SCM</t>
        </is>
      </c>
      <c r="D220" s="20" t="inlineStr">
        <is>
          <t>Female</t>
        </is>
      </c>
      <c r="E220" s="20" t="n">
        <v>18</v>
      </c>
      <c r="F220" s="20" t="inlineStr">
        <is>
          <t>400 IM</t>
        </is>
      </c>
      <c r="G220" s="20" t="n"/>
      <c r="H220" s="20" t="inlineStr">
        <is>
          <t>4:37.61</t>
        </is>
      </c>
      <c r="I220" s="20">
        <f>IF(H220="","",IF(ISNUMBER(SEARCH(":",H220)),VALUE(LEFT(H220,SEARCH(":",H220)-1))*60+VALUE(MID(H220,SEARCH(":",H220)+1,99)),VALUE(H220)))</f>
        <v/>
      </c>
      <c r="J220" s="20">
        <f>IF(OR(G220&lt;&gt;"",AND(H220&lt;&gt;"",INDEX(05_Record_Benchmarks!$N:$N,MATCH(A220,05_Record_Benchmarks!$A:$A,0))="YES")),"YES","NO")</f>
        <v/>
      </c>
      <c r="K220" s="20" t="inlineStr">
        <is>
          <t>User-supplied next-fastest time; Standard has no swimmer record holder.</t>
        </is>
      </c>
      <c r="L220" s="40" t="n"/>
    </row>
    <row r="221" ht="15" customHeight="1" s="17">
      <c r="A221" s="20" t="inlineStr">
        <is>
          <t>NZ|LCM|M|13|50 Free</t>
        </is>
      </c>
      <c r="B221" s="20" t="n">
        <v>2</v>
      </c>
      <c r="C221" s="20" t="inlineStr">
        <is>
          <t>LCM</t>
        </is>
      </c>
      <c r="D221" s="20" t="inlineStr">
        <is>
          <t>Male</t>
        </is>
      </c>
      <c r="E221" s="20" t="n">
        <v>13</v>
      </c>
      <c r="F221" s="20" t="inlineStr">
        <is>
          <t>50 Free</t>
        </is>
      </c>
      <c r="G221" s="20" t="inlineStr">
        <is>
          <t>Michael Pickett</t>
        </is>
      </c>
      <c r="H221" s="20" t="inlineStr">
        <is>
          <t>25.00</t>
        </is>
      </c>
      <c r="I221" s="20">
        <f>IF(H221="","",IF(ISNUMBER(SEARCH(":",H221)),VALUE(LEFT(H221,SEARCH(":",H221)-1))*60+VALUE(MID(H221,SEARCH(":",H221)+1,99)),VALUE(H221)))</f>
        <v/>
      </c>
      <c r="J221" s="20">
        <f>IF(OR(G221&lt;&gt;"",AND(H221&lt;&gt;"",INDEX(05_Record_Benchmarks!$N:$N,MATCH(A221,05_Record_Benchmarks!$A:$A,0))="YES")),"YES","NO")</f>
        <v/>
      </c>
      <c r="K221" s="20" t="inlineStr">
        <is>
          <t>Next-fastest time supplied in user workbook; swimmer name not yet supplied.</t>
        </is>
      </c>
      <c r="L221" s="40" t="n">
        <v>46303</v>
      </c>
    </row>
    <row r="222" ht="15" customHeight="1" s="17">
      <c r="A222" s="20" t="inlineStr">
        <is>
          <t>NZ|LCM|M|13|100 Free</t>
        </is>
      </c>
      <c r="B222" s="20" t="n">
        <v>2</v>
      </c>
      <c r="C222" s="20" t="inlineStr">
        <is>
          <t>LCM</t>
        </is>
      </c>
      <c r="D222" s="20" t="inlineStr">
        <is>
          <t>Male</t>
        </is>
      </c>
      <c r="E222" s="20" t="n">
        <v>13</v>
      </c>
      <c r="F222" s="20" t="inlineStr">
        <is>
          <t>100 Free</t>
        </is>
      </c>
      <c r="G222" s="20" t="inlineStr">
        <is>
          <t>Donald Tian</t>
        </is>
      </c>
      <c r="H222" s="20" t="inlineStr">
        <is>
          <t>55.33</t>
        </is>
      </c>
      <c r="I222" s="20">
        <f>IF(H222="","",IF(ISNUMBER(SEARCH(":",H222)),VALUE(LEFT(H222,SEARCH(":",H222)-1))*60+VALUE(MID(H222,SEARCH(":",H222)+1,99)),VALUE(H222)))</f>
        <v/>
      </c>
      <c r="J222" s="20">
        <f>IF(OR(G222&lt;&gt;"",AND(H222&lt;&gt;"",INDEX(05_Record_Benchmarks!$N:$N,MATCH(A222,05_Record_Benchmarks!$A:$A,0))="YES")),"YES","NO")</f>
        <v/>
      </c>
      <c r="K222" s="20" t="inlineStr">
        <is>
          <t>Next-fastest time supplied in user workbook; swimmer name not yet supplied.</t>
        </is>
      </c>
      <c r="L222" s="40" t="n">
        <v>46303</v>
      </c>
    </row>
    <row r="223" ht="15" customHeight="1" s="17">
      <c r="A223" s="20" t="inlineStr">
        <is>
          <t>NZ|LCM|M|13|200 Free</t>
        </is>
      </c>
      <c r="B223" s="20" t="n">
        <v>2</v>
      </c>
      <c r="C223" s="20" t="inlineStr">
        <is>
          <t>LCM</t>
        </is>
      </c>
      <c r="D223" s="20" t="inlineStr">
        <is>
          <t>Male</t>
        </is>
      </c>
      <c r="E223" s="20" t="n">
        <v>13</v>
      </c>
      <c r="F223" s="20" t="inlineStr">
        <is>
          <t>200 Free</t>
        </is>
      </c>
      <c r="G223" s="20" t="inlineStr">
        <is>
          <t>Michael Mincham</t>
        </is>
      </c>
      <c r="H223" s="20" t="inlineStr">
        <is>
          <t>2:00.40</t>
        </is>
      </c>
      <c r="I223" s="20">
        <f>IF(H223="","",IF(ISNUMBER(SEARCH(":",H223)),VALUE(LEFT(H223,SEARCH(":",H223)-1))*60+VALUE(MID(H223,SEARCH(":",H223)+1,99)),VALUE(H223)))</f>
        <v/>
      </c>
      <c r="J223" s="20">
        <f>IF(OR(G223&lt;&gt;"",AND(H223&lt;&gt;"",INDEX(05_Record_Benchmarks!$N:$N,MATCH(A223,05_Record_Benchmarks!$A:$A,0))="YES")),"YES","NO")</f>
        <v/>
      </c>
      <c r="K223" s="20" t="inlineStr">
        <is>
          <t>Next-fastest time supplied in user workbook; swimmer name not yet supplied.</t>
        </is>
      </c>
      <c r="L223" s="40" t="n">
        <v>46303</v>
      </c>
    </row>
    <row r="224" ht="15" customHeight="1" s="17">
      <c r="A224" s="20" t="inlineStr">
        <is>
          <t>NZ|LCM|M|13|400 Free</t>
        </is>
      </c>
      <c r="B224" s="20" t="n">
        <v>2</v>
      </c>
      <c r="C224" s="20" t="inlineStr">
        <is>
          <t>LCM</t>
        </is>
      </c>
      <c r="D224" s="20" t="inlineStr">
        <is>
          <t>Male</t>
        </is>
      </c>
      <c r="E224" s="20" t="n">
        <v>13</v>
      </c>
      <c r="F224" s="20" t="inlineStr">
        <is>
          <t>400 Free</t>
        </is>
      </c>
      <c r="G224" s="20" t="inlineStr">
        <is>
          <t>Michael Mincham</t>
        </is>
      </c>
      <c r="H224" s="20" t="inlineStr">
        <is>
          <t>4:12.69</t>
        </is>
      </c>
      <c r="I224" s="20">
        <f>IF(H224="","",IF(ISNUMBER(SEARCH(":",H224)),VALUE(LEFT(H224,SEARCH(":",H224)-1))*60+VALUE(MID(H224,SEARCH(":",H224)+1,99)),VALUE(H224)))</f>
        <v/>
      </c>
      <c r="J224" s="20">
        <f>IF(OR(G224&lt;&gt;"",AND(H224&lt;&gt;"",INDEX(05_Record_Benchmarks!$N:$N,MATCH(A224,05_Record_Benchmarks!$A:$A,0))="YES")),"YES","NO")</f>
        <v/>
      </c>
      <c r="K224" s="20" t="inlineStr">
        <is>
          <t>Next-fastest time supplied in user workbook; swimmer name not yet supplied.</t>
        </is>
      </c>
      <c r="L224" s="40" t="n">
        <v>46303</v>
      </c>
    </row>
    <row r="225" ht="15" customHeight="1" s="17">
      <c r="A225" s="20" t="inlineStr">
        <is>
          <t>NZ|LCM|M|13|800 Free</t>
        </is>
      </c>
      <c r="B225" s="20" t="n">
        <v>2</v>
      </c>
      <c r="C225" s="20" t="inlineStr">
        <is>
          <t>LCM</t>
        </is>
      </c>
      <c r="D225" s="20" t="inlineStr">
        <is>
          <t>Male</t>
        </is>
      </c>
      <c r="E225" s="20" t="n">
        <v>13</v>
      </c>
      <c r="F225" s="20" t="inlineStr">
        <is>
          <t>800 Free</t>
        </is>
      </c>
      <c r="G225" s="20" t="n"/>
      <c r="H225" s="20" t="inlineStr">
        <is>
          <t>8:54.94</t>
        </is>
      </c>
      <c r="I225" s="20">
        <f>IF(H225="","",IF(ISNUMBER(SEARCH(":",H225)),VALUE(LEFT(H225,SEARCH(":",H225)-1))*60+VALUE(MID(H225,SEARCH(":",H225)+1,99)),VALUE(H225)))</f>
        <v/>
      </c>
      <c r="J225" s="20">
        <f>IF(OR(G225&lt;&gt;"",AND(H225&lt;&gt;"",INDEX(05_Record_Benchmarks!$N:$N,MATCH(A225,05_Record_Benchmarks!$A:$A,0))="YES")),"YES","NO")</f>
        <v/>
      </c>
      <c r="K225" s="20" t="inlineStr">
        <is>
          <t>Next-fastest time supplied in user workbook; swimmer name not yet supplied.</t>
        </is>
      </c>
      <c r="L225" s="40" t="n"/>
    </row>
    <row r="226" ht="15" customHeight="1" s="17">
      <c r="A226" s="20" t="inlineStr">
        <is>
          <t>NZ|LCM|M|13|1500 Free</t>
        </is>
      </c>
      <c r="B226" s="20" t="n">
        <v>2</v>
      </c>
      <c r="C226" s="20" t="inlineStr">
        <is>
          <t>LCM</t>
        </is>
      </c>
      <c r="D226" s="20" t="inlineStr">
        <is>
          <t>Male</t>
        </is>
      </c>
      <c r="E226" s="20" t="n">
        <v>13</v>
      </c>
      <c r="F226" s="20" t="inlineStr">
        <is>
          <t>1500 Free</t>
        </is>
      </c>
      <c r="G226" s="20" t="n"/>
      <c r="H226" s="20" t="inlineStr">
        <is>
          <t>17:01.85</t>
        </is>
      </c>
      <c r="I226" s="20">
        <f>IF(H226="","",IF(ISNUMBER(SEARCH(":",H226)),VALUE(LEFT(H226,SEARCH(":",H226)-1))*60+VALUE(MID(H226,SEARCH(":",H226)+1,99)),VALUE(H226)))</f>
        <v/>
      </c>
      <c r="J226" s="20">
        <f>IF(OR(G226&lt;&gt;"",AND(H226&lt;&gt;"",INDEX(05_Record_Benchmarks!$N:$N,MATCH(A226,05_Record_Benchmarks!$A:$A,0))="YES")),"YES","NO")</f>
        <v/>
      </c>
      <c r="K226" s="20" t="inlineStr">
        <is>
          <t>Next-fastest time supplied in user workbook; swimmer name not yet supplied.</t>
        </is>
      </c>
      <c r="L226" s="40" t="n"/>
    </row>
    <row r="227" ht="15" customHeight="1" s="17">
      <c r="A227" s="20" t="inlineStr">
        <is>
          <t>NZ|LCM|M|13|50 Back</t>
        </is>
      </c>
      <c r="B227" s="20" t="n">
        <v>2</v>
      </c>
      <c r="C227" s="20" t="inlineStr">
        <is>
          <t>LCM</t>
        </is>
      </c>
      <c r="D227" s="20" t="inlineStr">
        <is>
          <t>Male</t>
        </is>
      </c>
      <c r="E227" s="20" t="n">
        <v>13</v>
      </c>
      <c r="F227" s="20" t="inlineStr">
        <is>
          <t>50 Back</t>
        </is>
      </c>
      <c r="G227" s="20" t="n"/>
      <c r="H227" s="20" t="inlineStr">
        <is>
          <t>28.08</t>
        </is>
      </c>
      <c r="I227" s="20">
        <f>IF(H227="","",IF(ISNUMBER(SEARCH(":",H227)),VALUE(LEFT(H227,SEARCH(":",H227)-1))*60+VALUE(MID(H227,SEARCH(":",H227)+1,99)),VALUE(H227)))</f>
        <v/>
      </c>
      <c r="J227" s="20">
        <f>IF(OR(G227&lt;&gt;"",AND(H227&lt;&gt;"",INDEX(05_Record_Benchmarks!$N:$N,MATCH(A227,05_Record_Benchmarks!$A:$A,0))="YES")),"YES","NO")</f>
        <v/>
      </c>
      <c r="K227" s="20" t="inlineStr">
        <is>
          <t>Next-fastest time supplied in user workbook; swimmer name not yet supplied.</t>
        </is>
      </c>
      <c r="L227" s="40" t="n"/>
    </row>
    <row r="228" ht="15" customHeight="1" s="17">
      <c r="A228" s="20" t="inlineStr">
        <is>
          <t>NZ|LCM|M|13|100 Back</t>
        </is>
      </c>
      <c r="B228" s="20" t="n">
        <v>2</v>
      </c>
      <c r="C228" s="20" t="inlineStr">
        <is>
          <t>LCM</t>
        </is>
      </c>
      <c r="D228" s="20" t="inlineStr">
        <is>
          <t>Male</t>
        </is>
      </c>
      <c r="E228" s="20" t="n">
        <v>13</v>
      </c>
      <c r="F228" s="20" t="inlineStr">
        <is>
          <t>100 Back</t>
        </is>
      </c>
      <c r="G228" s="20" t="n"/>
      <c r="H228" s="20" t="inlineStr">
        <is>
          <t>1:00.80</t>
        </is>
      </c>
      <c r="I228" s="20">
        <f>IF(H228="","",IF(ISNUMBER(SEARCH(":",H228)),VALUE(LEFT(H228,SEARCH(":",H228)-1))*60+VALUE(MID(H228,SEARCH(":",H228)+1,99)),VALUE(H228)))</f>
        <v/>
      </c>
      <c r="J228" s="20">
        <f>IF(OR(G228&lt;&gt;"",AND(H228&lt;&gt;"",INDEX(05_Record_Benchmarks!$N:$N,MATCH(A228,05_Record_Benchmarks!$A:$A,0))="YES")),"YES","NO")</f>
        <v/>
      </c>
      <c r="K228" s="20" t="inlineStr">
        <is>
          <t>Next-fastest time supplied in user workbook; swimmer name not yet supplied.</t>
        </is>
      </c>
      <c r="L228" s="40" t="n"/>
    </row>
    <row r="229" ht="15" customHeight="1" s="17">
      <c r="A229" s="20" t="inlineStr">
        <is>
          <t>NZ|LCM|M|13|200 Back</t>
        </is>
      </c>
      <c r="B229" s="20" t="n">
        <v>2</v>
      </c>
      <c r="C229" s="20" t="inlineStr">
        <is>
          <t>LCM</t>
        </is>
      </c>
      <c r="D229" s="20" t="inlineStr">
        <is>
          <t>Male</t>
        </is>
      </c>
      <c r="E229" s="20" t="n">
        <v>13</v>
      </c>
      <c r="F229" s="20" t="inlineStr">
        <is>
          <t>200 Back</t>
        </is>
      </c>
      <c r="G229" s="20" t="n"/>
      <c r="H229" s="20" t="inlineStr">
        <is>
          <t>2:12.68</t>
        </is>
      </c>
      <c r="I229" s="20">
        <f>IF(H229="","",IF(ISNUMBER(SEARCH(":",H229)),VALUE(LEFT(H229,SEARCH(":",H229)-1))*60+VALUE(MID(H229,SEARCH(":",H229)+1,99)),VALUE(H229)))</f>
        <v/>
      </c>
      <c r="J229" s="20">
        <f>IF(OR(G229&lt;&gt;"",AND(H229&lt;&gt;"",INDEX(05_Record_Benchmarks!$N:$N,MATCH(A229,05_Record_Benchmarks!$A:$A,0))="YES")),"YES","NO")</f>
        <v/>
      </c>
      <c r="K229" s="20" t="inlineStr">
        <is>
          <t>Next-fastest time supplied in user workbook; swimmer name not yet supplied.</t>
        </is>
      </c>
      <c r="L229" s="40" t="n"/>
    </row>
    <row r="230" ht="15" customHeight="1" s="17">
      <c r="A230" s="20" t="inlineStr">
        <is>
          <t>NZ|LCM|M|13|50 Breast</t>
        </is>
      </c>
      <c r="B230" s="20" t="n">
        <v>2</v>
      </c>
      <c r="C230" s="20" t="inlineStr">
        <is>
          <t>LCM</t>
        </is>
      </c>
      <c r="D230" s="20" t="inlineStr">
        <is>
          <t>Male</t>
        </is>
      </c>
      <c r="E230" s="20" t="n">
        <v>13</v>
      </c>
      <c r="F230" s="20" t="inlineStr">
        <is>
          <t>50 Breast</t>
        </is>
      </c>
      <c r="G230" s="20" t="n"/>
      <c r="H230" s="20" t="inlineStr">
        <is>
          <t>31.38</t>
        </is>
      </c>
      <c r="I230" s="20">
        <f>IF(H230="","",IF(ISNUMBER(SEARCH(":",H230)),VALUE(LEFT(H230,SEARCH(":",H230)-1))*60+VALUE(MID(H230,SEARCH(":",H230)+1,99)),VALUE(H230)))</f>
        <v/>
      </c>
      <c r="J230" s="20">
        <f>IF(OR(G230&lt;&gt;"",AND(H230&lt;&gt;"",INDEX(05_Record_Benchmarks!$N:$N,MATCH(A230,05_Record_Benchmarks!$A:$A,0))="YES")),"YES","NO")</f>
        <v/>
      </c>
      <c r="K230" s="20" t="inlineStr">
        <is>
          <t>Next-fastest time supplied in user workbook; swimmer name not yet supplied.</t>
        </is>
      </c>
      <c r="L230" s="40" t="n"/>
    </row>
    <row r="231" ht="15" customHeight="1" s="17">
      <c r="A231" s="20" t="inlineStr">
        <is>
          <t>NZ|LCM|M|13|100 Breast</t>
        </is>
      </c>
      <c r="B231" s="20" t="n">
        <v>2</v>
      </c>
      <c r="C231" s="20" t="inlineStr">
        <is>
          <t>LCM</t>
        </is>
      </c>
      <c r="D231" s="20" t="inlineStr">
        <is>
          <t>Male</t>
        </is>
      </c>
      <c r="E231" s="20" t="n">
        <v>13</v>
      </c>
      <c r="F231" s="20" t="inlineStr">
        <is>
          <t>100 Breast</t>
        </is>
      </c>
      <c r="G231" s="20" t="inlineStr">
        <is>
          <t>Joshua Gilbert</t>
        </is>
      </c>
      <c r="H231" s="20" t="inlineStr">
        <is>
          <t>1:08.71</t>
        </is>
      </c>
      <c r="I231" s="20">
        <f>IF(H231="","",IF(ISNUMBER(SEARCH(":",H231)),VALUE(LEFT(H231,SEARCH(":",H231)-1))*60+VALUE(MID(H231,SEARCH(":",H231)+1,99)),VALUE(H231)))</f>
        <v/>
      </c>
      <c r="J231" s="20">
        <f>IF(OR(G231&lt;&gt;"",AND(H231&lt;&gt;"",INDEX(05_Record_Benchmarks!$N:$N,MATCH(A231,05_Record_Benchmarks!$A:$A,0))="YES")),"YES","NO")</f>
        <v/>
      </c>
      <c r="K231" s="20" t="inlineStr">
        <is>
          <t>Next-fastest time supplied in user workbook; swimmer name not yet supplied.</t>
        </is>
      </c>
      <c r="L231" s="40" t="n">
        <v>46303</v>
      </c>
    </row>
    <row r="232" ht="15" customHeight="1" s="17">
      <c r="A232" s="20" t="inlineStr">
        <is>
          <t>NZ|LCM|M|13|200 Breast</t>
        </is>
      </c>
      <c r="B232" s="20" t="n">
        <v>2</v>
      </c>
      <c r="C232" s="20" t="inlineStr">
        <is>
          <t>LCM</t>
        </is>
      </c>
      <c r="D232" s="20" t="inlineStr">
        <is>
          <t>Male</t>
        </is>
      </c>
      <c r="E232" s="20" t="n">
        <v>13</v>
      </c>
      <c r="F232" s="20" t="inlineStr">
        <is>
          <t>200 Breast</t>
        </is>
      </c>
      <c r="G232" s="20" t="n"/>
      <c r="H232" s="20" t="inlineStr">
        <is>
          <t>2:28.54</t>
        </is>
      </c>
      <c r="I232" s="20">
        <f>IF(H232="","",IF(ISNUMBER(SEARCH(":",H232)),VALUE(LEFT(H232,SEARCH(":",H232)-1))*60+VALUE(MID(H232,SEARCH(":",H232)+1,99)),VALUE(H232)))</f>
        <v/>
      </c>
      <c r="J232" s="20">
        <f>IF(OR(G232&lt;&gt;"",AND(H232&lt;&gt;"",INDEX(05_Record_Benchmarks!$N:$N,MATCH(A232,05_Record_Benchmarks!$A:$A,0))="YES")),"YES","NO")</f>
        <v/>
      </c>
      <c r="K232" s="20" t="inlineStr">
        <is>
          <t>Next-fastest time supplied in user workbook; swimmer name not yet supplied.</t>
        </is>
      </c>
      <c r="L232" s="40" t="n"/>
    </row>
    <row r="233" ht="15" customHeight="1" s="17">
      <c r="A233" s="20" t="inlineStr">
        <is>
          <t>NZ|LCM|M|13|50 Fly</t>
        </is>
      </c>
      <c r="B233" s="20" t="n">
        <v>2</v>
      </c>
      <c r="C233" s="20" t="inlineStr">
        <is>
          <t>LCM</t>
        </is>
      </c>
      <c r="D233" s="20" t="inlineStr">
        <is>
          <t>Male</t>
        </is>
      </c>
      <c r="E233" s="20" t="n">
        <v>13</v>
      </c>
      <c r="F233" s="20" t="inlineStr">
        <is>
          <t>50 Fly</t>
        </is>
      </c>
      <c r="G233" s="20" t="inlineStr">
        <is>
          <t>Mason Wang</t>
        </is>
      </c>
      <c r="H233" s="20" t="inlineStr">
        <is>
          <t>27.23</t>
        </is>
      </c>
      <c r="I233" s="20">
        <f>IF(H233="","",IF(ISNUMBER(SEARCH(":",H233)),VALUE(LEFT(H233,SEARCH(":",H233)-1))*60+VALUE(MID(H233,SEARCH(":",H233)+1,99)),VALUE(H233)))</f>
        <v/>
      </c>
      <c r="J233" s="20">
        <f>IF(OR(G233&lt;&gt;"",AND(H233&lt;&gt;"",INDEX(05_Record_Benchmarks!$N:$N,MATCH(A233,05_Record_Benchmarks!$A:$A,0))="YES")),"YES","NO")</f>
        <v/>
      </c>
      <c r="K233" s="20" t="inlineStr">
        <is>
          <t>Next-fastest time supplied in user workbook; swimmer name not yet supplied.</t>
        </is>
      </c>
      <c r="L233" s="40" t="n">
        <v>46303</v>
      </c>
    </row>
    <row r="234" ht="15" customHeight="1" s="17">
      <c r="A234" s="20" t="inlineStr">
        <is>
          <t>NZ|LCM|M|13|100 Fly</t>
        </is>
      </c>
      <c r="B234" s="20" t="n">
        <v>2</v>
      </c>
      <c r="C234" s="20" t="inlineStr">
        <is>
          <t>LCM</t>
        </is>
      </c>
      <c r="D234" s="20" t="inlineStr">
        <is>
          <t>Male</t>
        </is>
      </c>
      <c r="E234" s="20" t="n">
        <v>13</v>
      </c>
      <c r="F234" s="20" t="inlineStr">
        <is>
          <t>100 Fly</t>
        </is>
      </c>
      <c r="G234" s="20" t="inlineStr">
        <is>
          <t>Kase Glintmeyer</t>
        </is>
      </c>
      <c r="H234" s="20" t="inlineStr">
        <is>
          <t>1:00.04</t>
        </is>
      </c>
      <c r="I234" s="20">
        <f>IF(H234="","",IF(ISNUMBER(SEARCH(":",H234)),VALUE(LEFT(H234,SEARCH(":",H234)-1))*60+VALUE(MID(H234,SEARCH(":",H234)+1,99)),VALUE(H234)))</f>
        <v/>
      </c>
      <c r="J234" s="20">
        <f>IF(OR(G234&lt;&gt;"",AND(H234&lt;&gt;"",INDEX(05_Record_Benchmarks!$N:$N,MATCH(A234,05_Record_Benchmarks!$A:$A,0))="YES")),"YES","NO")</f>
        <v/>
      </c>
      <c r="K234" s="20" t="inlineStr">
        <is>
          <t>Next-fastest time supplied in user workbook; swimmer name not yet supplied.</t>
        </is>
      </c>
      <c r="L234" s="40" t="n">
        <v>46303</v>
      </c>
    </row>
    <row r="235" ht="15" customHeight="1" s="17">
      <c r="A235" s="20" t="inlineStr">
        <is>
          <t>NZ|LCM|M|13|200 Fly</t>
        </is>
      </c>
      <c r="B235" s="20" t="n">
        <v>2</v>
      </c>
      <c r="C235" s="20" t="inlineStr">
        <is>
          <t>LCM</t>
        </is>
      </c>
      <c r="D235" s="20" t="inlineStr">
        <is>
          <t>Male</t>
        </is>
      </c>
      <c r="E235" s="20" t="n">
        <v>13</v>
      </c>
      <c r="F235" s="20" t="inlineStr">
        <is>
          <t>200 Fly</t>
        </is>
      </c>
      <c r="G235" s="20" t="n"/>
      <c r="H235" s="20" t="inlineStr">
        <is>
          <t>2:14.85</t>
        </is>
      </c>
      <c r="I235" s="20">
        <f>IF(H235="","",IF(ISNUMBER(SEARCH(":",H235)),VALUE(LEFT(H235,SEARCH(":",H235)-1))*60+VALUE(MID(H235,SEARCH(":",H235)+1,99)),VALUE(H235)))</f>
        <v/>
      </c>
      <c r="J235" s="20">
        <f>IF(OR(G235&lt;&gt;"",AND(H235&lt;&gt;"",INDEX(05_Record_Benchmarks!$N:$N,MATCH(A235,05_Record_Benchmarks!$A:$A,0))="YES")),"YES","NO")</f>
        <v/>
      </c>
      <c r="K235" s="20" t="inlineStr">
        <is>
          <t>Next-fastest time supplied in user workbook; swimmer name not yet supplied.</t>
        </is>
      </c>
      <c r="L235" s="40" t="n"/>
    </row>
    <row r="236" ht="15" customHeight="1" s="17">
      <c r="A236" s="20" t="inlineStr">
        <is>
          <t>NZ|LCM|M|13|200 IM</t>
        </is>
      </c>
      <c r="B236" s="20" t="n">
        <v>2</v>
      </c>
      <c r="C236" s="20" t="inlineStr">
        <is>
          <t>LCM</t>
        </is>
      </c>
      <c r="D236" s="20" t="inlineStr">
        <is>
          <t>Male</t>
        </is>
      </c>
      <c r="E236" s="20" t="n">
        <v>13</v>
      </c>
      <c r="F236" s="20" t="inlineStr">
        <is>
          <t>200 IM</t>
        </is>
      </c>
      <c r="G236" s="20" t="inlineStr">
        <is>
          <t>Joshua Gilbert</t>
        </is>
      </c>
      <c r="H236" s="20" t="inlineStr">
        <is>
          <t>2:16.41</t>
        </is>
      </c>
      <c r="I236" s="20">
        <f>IF(H236="","",IF(ISNUMBER(SEARCH(":",H236)),VALUE(LEFT(H236,SEARCH(":",H236)-1))*60+VALUE(MID(H236,SEARCH(":",H236)+1,99)),VALUE(H236)))</f>
        <v/>
      </c>
      <c r="J236" s="20">
        <f>IF(OR(G236&lt;&gt;"",AND(H236&lt;&gt;"",INDEX(05_Record_Benchmarks!$N:$N,MATCH(A236,05_Record_Benchmarks!$A:$A,0))="YES")),"YES","NO")</f>
        <v/>
      </c>
      <c r="K236" s="20" t="inlineStr">
        <is>
          <t>Next-fastest time supplied in user workbook; swimmer name not yet supplied.</t>
        </is>
      </c>
      <c r="L236" s="40" t="n">
        <v>46303</v>
      </c>
    </row>
    <row r="237" ht="15" customHeight="1" s="17">
      <c r="A237" s="20" t="inlineStr">
        <is>
          <t>NZ|LCM|M|13|400 IM</t>
        </is>
      </c>
      <c r="B237" s="20" t="n">
        <v>2</v>
      </c>
      <c r="C237" s="20" t="inlineStr">
        <is>
          <t>LCM</t>
        </is>
      </c>
      <c r="D237" s="20" t="inlineStr">
        <is>
          <t>Male</t>
        </is>
      </c>
      <c r="E237" s="20" t="n">
        <v>13</v>
      </c>
      <c r="F237" s="20" t="inlineStr">
        <is>
          <t>400 IM</t>
        </is>
      </c>
      <c r="G237" s="20" t="n"/>
      <c r="H237" s="20" t="inlineStr">
        <is>
          <t>4:47.83</t>
        </is>
      </c>
      <c r="I237" s="20">
        <f>IF(H237="","",IF(ISNUMBER(SEARCH(":",H237)),VALUE(LEFT(H237,SEARCH(":",H237)-1))*60+VALUE(MID(H237,SEARCH(":",H237)+1,99)),VALUE(H237)))</f>
        <v/>
      </c>
      <c r="J237" s="20">
        <f>IF(OR(G237&lt;&gt;"",AND(H237&lt;&gt;"",INDEX(05_Record_Benchmarks!$N:$N,MATCH(A237,05_Record_Benchmarks!$A:$A,0))="YES")),"YES","NO")</f>
        <v/>
      </c>
      <c r="K237" s="20" t="inlineStr">
        <is>
          <t>Next-fastest time supplied in user workbook; swimmer name not yet supplied.</t>
        </is>
      </c>
      <c r="L237" s="40" t="n"/>
    </row>
    <row r="238" ht="15" customHeight="1" s="17">
      <c r="A238" s="20" t="inlineStr">
        <is>
          <t>NZ|LCM|M|14|50 Free</t>
        </is>
      </c>
      <c r="B238" s="20" t="n">
        <v>2</v>
      </c>
      <c r="C238" s="20" t="inlineStr">
        <is>
          <t>LCM</t>
        </is>
      </c>
      <c r="D238" s="20" t="inlineStr">
        <is>
          <t>Male</t>
        </is>
      </c>
      <c r="E238" s="20" t="n">
        <v>14</v>
      </c>
      <c r="F238" s="20" t="inlineStr">
        <is>
          <t>50 Free</t>
        </is>
      </c>
      <c r="G238" s="20" t="n"/>
      <c r="H238" s="20" t="inlineStr">
        <is>
          <t>23.96</t>
        </is>
      </c>
      <c r="I238" s="20">
        <f>IF(H238="","",IF(ISNUMBER(SEARCH(":",H238)),VALUE(LEFT(H238,SEARCH(":",H238)-1))*60+VALUE(MID(H238,SEARCH(":",H238)+1,99)),VALUE(H238)))</f>
        <v/>
      </c>
      <c r="J238" s="20">
        <f>IF(OR(G238&lt;&gt;"",AND(H238&lt;&gt;"",INDEX(05_Record_Benchmarks!$N:$N,MATCH(A238,05_Record_Benchmarks!$A:$A,0))="YES")),"YES","NO")</f>
        <v/>
      </c>
      <c r="K238" s="20" t="inlineStr">
        <is>
          <t>Next-fastest time supplied in user workbook; swimmer name not yet supplied.</t>
        </is>
      </c>
      <c r="L238" s="40" t="n"/>
    </row>
    <row r="239" ht="15" customHeight="1" s="17">
      <c r="A239" s="20" t="inlineStr">
        <is>
          <t>NZ|LCM|M|14|100 Free</t>
        </is>
      </c>
      <c r="B239" s="20" t="n">
        <v>2</v>
      </c>
      <c r="C239" s="20" t="inlineStr">
        <is>
          <t>LCM</t>
        </is>
      </c>
      <c r="D239" s="20" t="inlineStr">
        <is>
          <t>Male</t>
        </is>
      </c>
      <c r="E239" s="20" t="n">
        <v>14</v>
      </c>
      <c r="F239" s="20" t="inlineStr">
        <is>
          <t>100 Free</t>
        </is>
      </c>
      <c r="G239" s="20" t="n"/>
      <c r="H239" s="20" t="inlineStr">
        <is>
          <t>52.42</t>
        </is>
      </c>
      <c r="I239" s="20">
        <f>IF(H239="","",IF(ISNUMBER(SEARCH(":",H239)),VALUE(LEFT(H239,SEARCH(":",H239)-1))*60+VALUE(MID(H239,SEARCH(":",H239)+1,99)),VALUE(H239)))</f>
        <v/>
      </c>
      <c r="J239" s="20">
        <f>IF(OR(G239&lt;&gt;"",AND(H239&lt;&gt;"",INDEX(05_Record_Benchmarks!$N:$N,MATCH(A239,05_Record_Benchmarks!$A:$A,0))="YES")),"YES","NO")</f>
        <v/>
      </c>
      <c r="K239" s="20" t="inlineStr">
        <is>
          <t>Next-fastest time supplied in user workbook; swimmer name not yet supplied.</t>
        </is>
      </c>
      <c r="L239" s="40" t="n"/>
    </row>
    <row r="240" ht="15" customHeight="1" s="17">
      <c r="A240" s="20" t="inlineStr">
        <is>
          <t>NZ|LCM|M|14|200 Free</t>
        </is>
      </c>
      <c r="B240" s="20" t="n">
        <v>2</v>
      </c>
      <c r="C240" s="20" t="inlineStr">
        <is>
          <t>LCM</t>
        </is>
      </c>
      <c r="D240" s="20" t="inlineStr">
        <is>
          <t>Male</t>
        </is>
      </c>
      <c r="E240" s="20" t="n">
        <v>14</v>
      </c>
      <c r="F240" s="20" t="inlineStr">
        <is>
          <t>200 Free</t>
        </is>
      </c>
      <c r="G240" s="20" t="inlineStr">
        <is>
          <t>Michael Mincham</t>
        </is>
      </c>
      <c r="H240" s="20" t="inlineStr">
        <is>
          <t>1:55.78</t>
        </is>
      </c>
      <c r="I240" s="20">
        <f>IF(H240="","",IF(ISNUMBER(SEARCH(":",H240)),VALUE(LEFT(H240,SEARCH(":",H240)-1))*60+VALUE(MID(H240,SEARCH(":",H240)+1,99)),VALUE(H240)))</f>
        <v/>
      </c>
      <c r="J240" s="20">
        <f>IF(OR(G240&lt;&gt;"",AND(H240&lt;&gt;"",INDEX(05_Record_Benchmarks!$N:$N,MATCH(A240,05_Record_Benchmarks!$A:$A,0))="YES")),"YES","NO")</f>
        <v/>
      </c>
      <c r="K240" s="20" t="inlineStr">
        <is>
          <t>Next-fastest time supplied in user workbook; swimmer name not yet supplied.</t>
        </is>
      </c>
      <c r="L240" s="40" t="n">
        <v>46303</v>
      </c>
    </row>
    <row r="241" ht="15" customHeight="1" s="17">
      <c r="A241" s="20" t="inlineStr">
        <is>
          <t>NZ|LCM|M|14|400 Free</t>
        </is>
      </c>
      <c r="B241" s="20" t="n">
        <v>2</v>
      </c>
      <c r="C241" s="20" t="inlineStr">
        <is>
          <t>LCM</t>
        </is>
      </c>
      <c r="D241" s="20" t="inlineStr">
        <is>
          <t>Male</t>
        </is>
      </c>
      <c r="E241" s="20" t="n">
        <v>14</v>
      </c>
      <c r="F241" s="20" t="inlineStr">
        <is>
          <t>400 Free</t>
        </is>
      </c>
      <c r="G241" s="20" t="n"/>
      <c r="H241" s="20" t="inlineStr">
        <is>
          <t>4:03.94</t>
        </is>
      </c>
      <c r="I241" s="20">
        <f>IF(H241="","",IF(ISNUMBER(SEARCH(":",H241)),VALUE(LEFT(H241,SEARCH(":",H241)-1))*60+VALUE(MID(H241,SEARCH(":",H241)+1,99)),VALUE(H241)))</f>
        <v/>
      </c>
      <c r="J241" s="20">
        <f>IF(OR(G241&lt;&gt;"",AND(H241&lt;&gt;"",INDEX(05_Record_Benchmarks!$N:$N,MATCH(A241,05_Record_Benchmarks!$A:$A,0))="YES")),"YES","NO")</f>
        <v/>
      </c>
      <c r="K241" s="20" t="inlineStr">
        <is>
          <t>Next-fastest time supplied in user workbook; swimmer name not yet supplied.</t>
        </is>
      </c>
      <c r="L241" s="40" t="n"/>
    </row>
    <row r="242" ht="15" customHeight="1" s="17">
      <c r="A242" s="20" t="inlineStr">
        <is>
          <t>NZ|LCM|M|14|800 Free</t>
        </is>
      </c>
      <c r="B242" s="20" t="n">
        <v>2</v>
      </c>
      <c r="C242" s="20" t="inlineStr">
        <is>
          <t>LCM</t>
        </is>
      </c>
      <c r="D242" s="20" t="inlineStr">
        <is>
          <t>Male</t>
        </is>
      </c>
      <c r="E242" s="20" t="n">
        <v>14</v>
      </c>
      <c r="F242" s="20" t="inlineStr">
        <is>
          <t>800 Free</t>
        </is>
      </c>
      <c r="G242" s="20" t="n"/>
      <c r="H242" s="20" t="inlineStr">
        <is>
          <t>8:38.31</t>
        </is>
      </c>
      <c r="I242" s="20">
        <f>IF(H242="","",IF(ISNUMBER(SEARCH(":",H242)),VALUE(LEFT(H242,SEARCH(":",H242)-1))*60+VALUE(MID(H242,SEARCH(":",H242)+1,99)),VALUE(H242)))</f>
        <v/>
      </c>
      <c r="J242" s="20">
        <f>IF(OR(G242&lt;&gt;"",AND(H242&lt;&gt;"",INDEX(05_Record_Benchmarks!$N:$N,MATCH(A242,05_Record_Benchmarks!$A:$A,0))="YES")),"YES","NO")</f>
        <v/>
      </c>
      <c r="K242" s="20" t="inlineStr">
        <is>
          <t>Next-fastest time supplied in user workbook; swimmer name not yet supplied.</t>
        </is>
      </c>
      <c r="L242" s="40" t="n"/>
    </row>
    <row r="243" ht="15" customHeight="1" s="17">
      <c r="A243" s="20" t="inlineStr">
        <is>
          <t>NZ|LCM|M|14|1500 Free</t>
        </is>
      </c>
      <c r="B243" s="20" t="n">
        <v>2</v>
      </c>
      <c r="C243" s="20" t="inlineStr">
        <is>
          <t>LCM</t>
        </is>
      </c>
      <c r="D243" s="20" t="inlineStr">
        <is>
          <t>Male</t>
        </is>
      </c>
      <c r="E243" s="20" t="n">
        <v>14</v>
      </c>
      <c r="F243" s="20" t="inlineStr">
        <is>
          <t>1500 Free</t>
        </is>
      </c>
      <c r="G243" s="20" t="inlineStr">
        <is>
          <t>Jonathan Duncan</t>
        </is>
      </c>
      <c r="H243" s="20" t="inlineStr">
        <is>
          <t>16:20.19</t>
        </is>
      </c>
      <c r="I243" s="20">
        <f>IF(H243="","",IF(ISNUMBER(SEARCH(":",H243)),VALUE(LEFT(H243,SEARCH(":",H243)-1))*60+VALUE(MID(H243,SEARCH(":",H243)+1,99)),VALUE(H243)))</f>
        <v/>
      </c>
      <c r="J243" s="20">
        <f>IF(OR(G243&lt;&gt;"",AND(H243&lt;&gt;"",INDEX(05_Record_Benchmarks!$N:$N,MATCH(A243,05_Record_Benchmarks!$A:$A,0))="YES")),"YES","NO")</f>
        <v/>
      </c>
      <c r="K243" s="20" t="inlineStr">
        <is>
          <t>Next-fastest time supplied in user workbook; swimmer name not yet supplied.</t>
        </is>
      </c>
      <c r="L243" s="40" t="n">
        <v>46303</v>
      </c>
    </row>
    <row r="244" ht="15" customHeight="1" s="17">
      <c r="A244" s="20" t="inlineStr">
        <is>
          <t>NZ|LCM|M|14|50 Back</t>
        </is>
      </c>
      <c r="B244" s="20" t="n">
        <v>2</v>
      </c>
      <c r="C244" s="20" t="inlineStr">
        <is>
          <t>LCM</t>
        </is>
      </c>
      <c r="D244" s="20" t="inlineStr">
        <is>
          <t>Male</t>
        </is>
      </c>
      <c r="E244" s="20" t="n">
        <v>14</v>
      </c>
      <c r="F244" s="20" t="inlineStr">
        <is>
          <t>50 Back</t>
        </is>
      </c>
      <c r="G244" s="20" t="n"/>
      <c r="H244" s="20" t="inlineStr">
        <is>
          <t>27.11</t>
        </is>
      </c>
      <c r="I244" s="20">
        <f>IF(H244="","",IF(ISNUMBER(SEARCH(":",H244)),VALUE(LEFT(H244,SEARCH(":",H244)-1))*60+VALUE(MID(H244,SEARCH(":",H244)+1,99)),VALUE(H244)))</f>
        <v/>
      </c>
      <c r="J244" s="20">
        <f>IF(OR(G244&lt;&gt;"",AND(H244&lt;&gt;"",INDEX(05_Record_Benchmarks!$N:$N,MATCH(A244,05_Record_Benchmarks!$A:$A,0))="YES")),"YES","NO")</f>
        <v/>
      </c>
      <c r="K244" s="20" t="inlineStr">
        <is>
          <t>Next-fastest time supplied in user workbook; swimmer name not yet supplied.</t>
        </is>
      </c>
      <c r="L244" s="40" t="n"/>
    </row>
    <row r="245" ht="15" customHeight="1" s="17">
      <c r="A245" s="20" t="inlineStr">
        <is>
          <t>NZ|LCM|M|14|100 Back</t>
        </is>
      </c>
      <c r="B245" s="20" t="n">
        <v>2</v>
      </c>
      <c r="C245" s="20" t="inlineStr">
        <is>
          <t>LCM</t>
        </is>
      </c>
      <c r="D245" s="20" t="inlineStr">
        <is>
          <t>Male</t>
        </is>
      </c>
      <c r="E245" s="20" t="n">
        <v>14</v>
      </c>
      <c r="F245" s="20" t="inlineStr">
        <is>
          <t>100 Back</t>
        </is>
      </c>
      <c r="G245" s="20" t="inlineStr">
        <is>
          <t>Matthew Holder</t>
        </is>
      </c>
      <c r="H245" s="20" t="inlineStr">
        <is>
          <t>59.26</t>
        </is>
      </c>
      <c r="I245" s="20">
        <f>IF(H245="","",IF(ISNUMBER(SEARCH(":",H245)),VALUE(LEFT(H245,SEARCH(":",H245)-1))*60+VALUE(MID(H245,SEARCH(":",H245)+1,99)),VALUE(H245)))</f>
        <v/>
      </c>
      <c r="J245" s="20">
        <f>IF(OR(G245&lt;&gt;"",AND(H245&lt;&gt;"",INDEX(05_Record_Benchmarks!$N:$N,MATCH(A245,05_Record_Benchmarks!$A:$A,0))="YES")),"YES","NO")</f>
        <v/>
      </c>
      <c r="K245" s="20" t="inlineStr">
        <is>
          <t>Next-fastest time supplied in user workbook; swimmer name not yet supplied.</t>
        </is>
      </c>
      <c r="L245" s="40" t="n">
        <v>46303</v>
      </c>
    </row>
    <row r="246" ht="15" customHeight="1" s="17">
      <c r="A246" s="20" t="inlineStr">
        <is>
          <t>NZ|LCM|M|14|200 Back</t>
        </is>
      </c>
      <c r="B246" s="20" t="n">
        <v>2</v>
      </c>
      <c r="C246" s="20" t="inlineStr">
        <is>
          <t>LCM</t>
        </is>
      </c>
      <c r="D246" s="20" t="inlineStr">
        <is>
          <t>Male</t>
        </is>
      </c>
      <c r="E246" s="20" t="n">
        <v>14</v>
      </c>
      <c r="F246" s="20" t="inlineStr">
        <is>
          <t>200 Back</t>
        </is>
      </c>
      <c r="G246" s="20" t="n"/>
      <c r="H246" s="20" t="inlineStr">
        <is>
          <t>2:07.54</t>
        </is>
      </c>
      <c r="I246" s="20">
        <f>IF(H246="","",IF(ISNUMBER(SEARCH(":",H246)),VALUE(LEFT(H246,SEARCH(":",H246)-1))*60+VALUE(MID(H246,SEARCH(":",H246)+1,99)),VALUE(H246)))</f>
        <v/>
      </c>
      <c r="J246" s="20">
        <f>IF(OR(G246&lt;&gt;"",AND(H246&lt;&gt;"",INDEX(05_Record_Benchmarks!$N:$N,MATCH(A246,05_Record_Benchmarks!$A:$A,0))="YES")),"YES","NO")</f>
        <v/>
      </c>
      <c r="K246" s="20" t="inlineStr">
        <is>
          <t>Next-fastest time supplied in user workbook; swimmer name not yet supplied.</t>
        </is>
      </c>
      <c r="L246" s="40" t="n"/>
    </row>
    <row r="247" ht="15" customHeight="1" s="17">
      <c r="A247" s="20" t="inlineStr">
        <is>
          <t>NZ|LCM|M|14|50 Breast</t>
        </is>
      </c>
      <c r="B247" s="20" t="n">
        <v>2</v>
      </c>
      <c r="C247" s="20" t="inlineStr">
        <is>
          <t>LCM</t>
        </is>
      </c>
      <c r="D247" s="20" t="inlineStr">
        <is>
          <t>Male</t>
        </is>
      </c>
      <c r="E247" s="20" t="n">
        <v>14</v>
      </c>
      <c r="F247" s="20" t="inlineStr">
        <is>
          <t>50 Breast</t>
        </is>
      </c>
      <c r="G247" s="20" t="n"/>
      <c r="H247" s="20" t="inlineStr">
        <is>
          <t>30.38</t>
        </is>
      </c>
      <c r="I247" s="20">
        <f>IF(H247="","",IF(ISNUMBER(SEARCH(":",H247)),VALUE(LEFT(H247,SEARCH(":",H247)-1))*60+VALUE(MID(H247,SEARCH(":",H247)+1,99)),VALUE(H247)))</f>
        <v/>
      </c>
      <c r="J247" s="20">
        <f>IF(OR(G247&lt;&gt;"",AND(H247&lt;&gt;"",INDEX(05_Record_Benchmarks!$N:$N,MATCH(A247,05_Record_Benchmarks!$A:$A,0))="YES")),"YES","NO")</f>
        <v/>
      </c>
      <c r="K247" s="20" t="inlineStr">
        <is>
          <t>Next-fastest time supplied in user workbook; swimmer name not yet supplied.</t>
        </is>
      </c>
      <c r="L247" s="40" t="n"/>
    </row>
    <row r="248" ht="15" customHeight="1" s="17">
      <c r="A248" s="20" t="inlineStr">
        <is>
          <t>NZ|LCM|M|14|100 Breast</t>
        </is>
      </c>
      <c r="B248" s="20" t="n">
        <v>2</v>
      </c>
      <c r="C248" s="20" t="inlineStr">
        <is>
          <t>LCM</t>
        </is>
      </c>
      <c r="D248" s="20" t="inlineStr">
        <is>
          <t>Male</t>
        </is>
      </c>
      <c r="E248" s="20" t="n">
        <v>14</v>
      </c>
      <c r="F248" s="20" t="inlineStr">
        <is>
          <t>100 Breast</t>
        </is>
      </c>
      <c r="G248" s="20" t="n"/>
      <c r="H248" s="20" t="inlineStr">
        <is>
          <t>1:06.16</t>
        </is>
      </c>
      <c r="I248" s="20">
        <f>IF(H248="","",IF(ISNUMBER(SEARCH(":",H248)),VALUE(LEFT(H248,SEARCH(":",H248)-1))*60+VALUE(MID(H248,SEARCH(":",H248)+1,99)),VALUE(H248)))</f>
        <v/>
      </c>
      <c r="J248" s="20">
        <f>IF(OR(G248&lt;&gt;"",AND(H248&lt;&gt;"",INDEX(05_Record_Benchmarks!$N:$N,MATCH(A248,05_Record_Benchmarks!$A:$A,0))="YES")),"YES","NO")</f>
        <v/>
      </c>
      <c r="K248" s="20" t="inlineStr">
        <is>
          <t>Next-fastest time supplied in user workbook; swimmer name not yet supplied.</t>
        </is>
      </c>
      <c r="L248" s="40" t="n"/>
    </row>
    <row r="249" ht="15" customHeight="1" s="17">
      <c r="A249" s="20" t="inlineStr">
        <is>
          <t>NZ|LCM|M|14|200 Breast</t>
        </is>
      </c>
      <c r="B249" s="20" t="n">
        <v>2</v>
      </c>
      <c r="C249" s="20" t="inlineStr">
        <is>
          <t>LCM</t>
        </is>
      </c>
      <c r="D249" s="20" t="inlineStr">
        <is>
          <t>Male</t>
        </is>
      </c>
      <c r="E249" s="20" t="n">
        <v>14</v>
      </c>
      <c r="F249" s="20" t="inlineStr">
        <is>
          <t>200 Breast</t>
        </is>
      </c>
      <c r="G249" s="20" t="n"/>
      <c r="H249" s="20" t="inlineStr">
        <is>
          <t>2:25.11</t>
        </is>
      </c>
      <c r="I249" s="20">
        <f>IF(H249="","",IF(ISNUMBER(SEARCH(":",H249)),VALUE(LEFT(H249,SEARCH(":",H249)-1))*60+VALUE(MID(H249,SEARCH(":",H249)+1,99)),VALUE(H249)))</f>
        <v/>
      </c>
      <c r="J249" s="20">
        <f>IF(OR(G249&lt;&gt;"",AND(H249&lt;&gt;"",INDEX(05_Record_Benchmarks!$N:$N,MATCH(A249,05_Record_Benchmarks!$A:$A,0))="YES")),"YES","NO")</f>
        <v/>
      </c>
      <c r="K249" s="20" t="inlineStr">
        <is>
          <t>Next-fastest time supplied in user workbook; swimmer name not yet supplied.</t>
        </is>
      </c>
      <c r="L249" s="40" t="n"/>
    </row>
    <row r="250" ht="15" customHeight="1" s="17">
      <c r="A250" s="20" t="inlineStr">
        <is>
          <t>NZ|LCM|M|14|50 Fly</t>
        </is>
      </c>
      <c r="B250" s="20" t="n">
        <v>2</v>
      </c>
      <c r="C250" s="20" t="inlineStr">
        <is>
          <t>LCM</t>
        </is>
      </c>
      <c r="D250" s="20" t="inlineStr">
        <is>
          <t>Male</t>
        </is>
      </c>
      <c r="E250" s="20" t="n">
        <v>14</v>
      </c>
      <c r="F250" s="20" t="inlineStr">
        <is>
          <t>50 Fly</t>
        </is>
      </c>
      <c r="G250" s="20" t="n"/>
      <c r="H250" s="20" t="inlineStr">
        <is>
          <t>26.06</t>
        </is>
      </c>
      <c r="I250" s="20">
        <f>IF(H250="","",IF(ISNUMBER(SEARCH(":",H250)),VALUE(LEFT(H250,SEARCH(":",H250)-1))*60+VALUE(MID(H250,SEARCH(":",H250)+1,99)),VALUE(H250)))</f>
        <v/>
      </c>
      <c r="J250" s="20">
        <f>IF(OR(G250&lt;&gt;"",AND(H250&lt;&gt;"",INDEX(05_Record_Benchmarks!$N:$N,MATCH(A250,05_Record_Benchmarks!$A:$A,0))="YES")),"YES","NO")</f>
        <v/>
      </c>
      <c r="K250" s="20" t="inlineStr">
        <is>
          <t>Next-fastest time supplied in user workbook; swimmer name not yet supplied.</t>
        </is>
      </c>
      <c r="L250" s="40" t="n"/>
    </row>
    <row r="251" ht="15" customHeight="1" s="17">
      <c r="A251" s="20" t="inlineStr">
        <is>
          <t>NZ|LCM|M|14|100 Fly</t>
        </is>
      </c>
      <c r="B251" s="20" t="n">
        <v>2</v>
      </c>
      <c r="C251" s="20" t="inlineStr">
        <is>
          <t>LCM</t>
        </is>
      </c>
      <c r="D251" s="20" t="inlineStr">
        <is>
          <t>Male</t>
        </is>
      </c>
      <c r="E251" s="20" t="n">
        <v>14</v>
      </c>
      <c r="F251" s="20" t="inlineStr">
        <is>
          <t>100 Fly</t>
        </is>
      </c>
      <c r="G251" s="20" t="n"/>
      <c r="H251" s="20" t="inlineStr">
        <is>
          <t>57.50</t>
        </is>
      </c>
      <c r="I251" s="20">
        <f>IF(H251="","",IF(ISNUMBER(SEARCH(":",H251)),VALUE(LEFT(H251,SEARCH(":",H251)-1))*60+VALUE(MID(H251,SEARCH(":",H251)+1,99)),VALUE(H251)))</f>
        <v/>
      </c>
      <c r="J251" s="20">
        <f>IF(OR(G251&lt;&gt;"",AND(H251&lt;&gt;"",INDEX(05_Record_Benchmarks!$N:$N,MATCH(A251,05_Record_Benchmarks!$A:$A,0))="YES")),"YES","NO")</f>
        <v/>
      </c>
      <c r="K251" s="20" t="inlineStr">
        <is>
          <t>Next-fastest time supplied in user workbook; swimmer name not yet supplied.</t>
        </is>
      </c>
      <c r="L251" s="40" t="n"/>
    </row>
    <row r="252" ht="15" customHeight="1" s="17">
      <c r="A252" s="20" t="inlineStr">
        <is>
          <t>NZ|LCM|M|14|200 Fly</t>
        </is>
      </c>
      <c r="B252" s="20" t="n">
        <v>2</v>
      </c>
      <c r="C252" s="20" t="inlineStr">
        <is>
          <t>LCM</t>
        </is>
      </c>
      <c r="D252" s="20" t="inlineStr">
        <is>
          <t>Male</t>
        </is>
      </c>
      <c r="E252" s="20" t="n">
        <v>14</v>
      </c>
      <c r="F252" s="20" t="inlineStr">
        <is>
          <t>200 Fly</t>
        </is>
      </c>
      <c r="G252" s="20" t="n"/>
      <c r="H252" s="20" t="inlineStr">
        <is>
          <t>2:08.51</t>
        </is>
      </c>
      <c r="I252" s="20">
        <f>IF(H252="","",IF(ISNUMBER(SEARCH(":",H252)),VALUE(LEFT(H252,SEARCH(":",H252)-1))*60+VALUE(MID(H252,SEARCH(":",H252)+1,99)),VALUE(H252)))</f>
        <v/>
      </c>
      <c r="J252" s="20">
        <f>IF(OR(G252&lt;&gt;"",AND(H252&lt;&gt;"",INDEX(05_Record_Benchmarks!$N:$N,MATCH(A252,05_Record_Benchmarks!$A:$A,0))="YES")),"YES","NO")</f>
        <v/>
      </c>
      <c r="K252" s="20" t="inlineStr">
        <is>
          <t>Next-fastest time supplied in user workbook; swimmer name not yet supplied.</t>
        </is>
      </c>
      <c r="L252" s="40" t="n"/>
    </row>
    <row r="253" ht="15" customHeight="1" s="17">
      <c r="A253" s="20" t="inlineStr">
        <is>
          <t>NZ|LCM|M|14|200 IM</t>
        </is>
      </c>
      <c r="B253" s="20" t="n">
        <v>2</v>
      </c>
      <c r="C253" s="20" t="inlineStr">
        <is>
          <t>LCM</t>
        </is>
      </c>
      <c r="D253" s="20" t="inlineStr">
        <is>
          <t>Male</t>
        </is>
      </c>
      <c r="E253" s="20" t="n">
        <v>14</v>
      </c>
      <c r="F253" s="20" t="inlineStr">
        <is>
          <t>200 IM</t>
        </is>
      </c>
      <c r="G253" s="20" t="n"/>
      <c r="H253" s="20" t="inlineStr">
        <is>
          <t>2:10.97</t>
        </is>
      </c>
      <c r="I253" s="20">
        <f>IF(H253="","",IF(ISNUMBER(SEARCH(":",H253)),VALUE(LEFT(H253,SEARCH(":",H253)-1))*60+VALUE(MID(H253,SEARCH(":",H253)+1,99)),VALUE(H253)))</f>
        <v/>
      </c>
      <c r="J253" s="20">
        <f>IF(OR(G253&lt;&gt;"",AND(H253&lt;&gt;"",INDEX(05_Record_Benchmarks!$N:$N,MATCH(A253,05_Record_Benchmarks!$A:$A,0))="YES")),"YES","NO")</f>
        <v/>
      </c>
      <c r="K253" s="20" t="inlineStr">
        <is>
          <t>Next-fastest time supplied in user workbook; swimmer name not yet supplied.</t>
        </is>
      </c>
      <c r="L253" s="40" t="n"/>
    </row>
    <row r="254" ht="15" customHeight="1" s="17">
      <c r="A254" s="20" t="inlineStr">
        <is>
          <t>NZ|LCM|M|14|400 IM</t>
        </is>
      </c>
      <c r="B254" s="20" t="n">
        <v>2</v>
      </c>
      <c r="C254" s="20" t="inlineStr">
        <is>
          <t>LCM</t>
        </is>
      </c>
      <c r="D254" s="20" t="inlineStr">
        <is>
          <t>Male</t>
        </is>
      </c>
      <c r="E254" s="20" t="n">
        <v>14</v>
      </c>
      <c r="F254" s="20" t="inlineStr">
        <is>
          <t>400 IM</t>
        </is>
      </c>
      <c r="G254" s="20" t="n"/>
      <c r="H254" s="20" t="inlineStr">
        <is>
          <t>4:39.99</t>
        </is>
      </c>
      <c r="I254" s="20">
        <f>IF(H254="","",IF(ISNUMBER(SEARCH(":",H254)),VALUE(LEFT(H254,SEARCH(":",H254)-1))*60+VALUE(MID(H254,SEARCH(":",H254)+1,99)),VALUE(H254)))</f>
        <v/>
      </c>
      <c r="J254" s="20">
        <f>IF(OR(G254&lt;&gt;"",AND(H254&lt;&gt;"",INDEX(05_Record_Benchmarks!$N:$N,MATCH(A254,05_Record_Benchmarks!$A:$A,0))="YES")),"YES","NO")</f>
        <v/>
      </c>
      <c r="K254" s="20" t="inlineStr">
        <is>
          <t>Next-fastest time supplied in user workbook; swimmer name not yet supplied.</t>
        </is>
      </c>
      <c r="L254" s="40" t="n"/>
    </row>
    <row r="255" ht="15" customHeight="1" s="17">
      <c r="A255" s="20" t="inlineStr">
        <is>
          <t>NZ|LCM|M|15|50 Free</t>
        </is>
      </c>
      <c r="B255" s="20" t="n">
        <v>2</v>
      </c>
      <c r="C255" s="20" t="inlineStr">
        <is>
          <t>LCM</t>
        </is>
      </c>
      <c r="D255" s="20" t="inlineStr">
        <is>
          <t>Male</t>
        </is>
      </c>
      <c r="E255" s="20" t="n">
        <v>15</v>
      </c>
      <c r="F255" s="20" t="inlineStr">
        <is>
          <t>50 Free</t>
        </is>
      </c>
      <c r="G255" s="20" t="n"/>
      <c r="H255" s="20" t="inlineStr">
        <is>
          <t>23.60</t>
        </is>
      </c>
      <c r="I255" s="20">
        <f>IF(H255="","",IF(ISNUMBER(SEARCH(":",H255)),VALUE(LEFT(H255,SEARCH(":",H255)-1))*60+VALUE(MID(H255,SEARCH(":",H255)+1,99)),VALUE(H255)))</f>
        <v/>
      </c>
      <c r="J255" s="20">
        <f>IF(OR(G255&lt;&gt;"",AND(H255&lt;&gt;"",INDEX(05_Record_Benchmarks!$N:$N,MATCH(A255,05_Record_Benchmarks!$A:$A,0))="YES")),"YES","NO")</f>
        <v/>
      </c>
      <c r="K255" s="20" t="inlineStr">
        <is>
          <t>Next-fastest time supplied in user workbook; swimmer name not yet supplied.</t>
        </is>
      </c>
      <c r="L255" s="40" t="n"/>
    </row>
    <row r="256" ht="15" customHeight="1" s="17">
      <c r="A256" s="20" t="inlineStr">
        <is>
          <t>NZ|LCM|M|15|100 Free</t>
        </is>
      </c>
      <c r="B256" s="20" t="n">
        <v>2</v>
      </c>
      <c r="C256" s="20" t="inlineStr">
        <is>
          <t>LCM</t>
        </is>
      </c>
      <c r="D256" s="20" t="inlineStr">
        <is>
          <t>Male</t>
        </is>
      </c>
      <c r="E256" s="20" t="n">
        <v>15</v>
      </c>
      <c r="F256" s="20" t="inlineStr">
        <is>
          <t>100 Free</t>
        </is>
      </c>
      <c r="G256" s="20" t="n"/>
      <c r="H256" s="20" t="inlineStr">
        <is>
          <t>51.93</t>
        </is>
      </c>
      <c r="I256" s="20">
        <f>IF(H256="","",IF(ISNUMBER(SEARCH(":",H256)),VALUE(LEFT(H256,SEARCH(":",H256)-1))*60+VALUE(MID(H256,SEARCH(":",H256)+1,99)),VALUE(H256)))</f>
        <v/>
      </c>
      <c r="J256" s="20">
        <f>IF(OR(G256&lt;&gt;"",AND(H256&lt;&gt;"",INDEX(05_Record_Benchmarks!$N:$N,MATCH(A256,05_Record_Benchmarks!$A:$A,0))="YES")),"YES","NO")</f>
        <v/>
      </c>
      <c r="K256" s="20" t="inlineStr">
        <is>
          <t>Next-fastest time supplied in user workbook; swimmer name not yet supplied.</t>
        </is>
      </c>
      <c r="L256" s="40" t="n"/>
    </row>
    <row r="257" ht="15" customHeight="1" s="17">
      <c r="A257" s="20" t="inlineStr">
        <is>
          <t>NZ|LCM|M|15|200 Free</t>
        </is>
      </c>
      <c r="B257" s="20" t="n">
        <v>2</v>
      </c>
      <c r="C257" s="20" t="inlineStr">
        <is>
          <t>LCM</t>
        </is>
      </c>
      <c r="D257" s="20" t="inlineStr">
        <is>
          <t>Male</t>
        </is>
      </c>
      <c r="E257" s="20" t="n">
        <v>15</v>
      </c>
      <c r="F257" s="20" t="inlineStr">
        <is>
          <t>200 Free</t>
        </is>
      </c>
      <c r="G257" s="20" t="n"/>
      <c r="H257" s="20" t="inlineStr">
        <is>
          <t>1:53.90</t>
        </is>
      </c>
      <c r="I257" s="20">
        <f>IF(H257="","",IF(ISNUMBER(SEARCH(":",H257)),VALUE(LEFT(H257,SEARCH(":",H257)-1))*60+VALUE(MID(H257,SEARCH(":",H257)+1,99)),VALUE(H257)))</f>
        <v/>
      </c>
      <c r="J257" s="20">
        <f>IF(OR(G257&lt;&gt;"",AND(H257&lt;&gt;"",INDEX(05_Record_Benchmarks!$N:$N,MATCH(A257,05_Record_Benchmarks!$A:$A,0))="YES")),"YES","NO")</f>
        <v/>
      </c>
      <c r="K257" s="20" t="inlineStr">
        <is>
          <t>Next-fastest time supplied in user workbook; swimmer name not yet supplied.</t>
        </is>
      </c>
      <c r="L257" s="40" t="n"/>
    </row>
    <row r="258" ht="15" customHeight="1" s="17">
      <c r="A258" s="20" t="inlineStr">
        <is>
          <t>NZ|LCM|M|15|400 Free</t>
        </is>
      </c>
      <c r="B258" s="20" t="n">
        <v>2</v>
      </c>
      <c r="C258" s="20" t="inlineStr">
        <is>
          <t>LCM</t>
        </is>
      </c>
      <c r="D258" s="20" t="inlineStr">
        <is>
          <t>Male</t>
        </is>
      </c>
      <c r="E258" s="20" t="n">
        <v>15</v>
      </c>
      <c r="F258" s="20" t="inlineStr">
        <is>
          <t>400 Free</t>
        </is>
      </c>
      <c r="G258" s="20" t="n"/>
      <c r="H258" s="20" t="inlineStr">
        <is>
          <t>3:58.07</t>
        </is>
      </c>
      <c r="I258" s="20">
        <f>IF(H258="","",IF(ISNUMBER(SEARCH(":",H258)),VALUE(LEFT(H258,SEARCH(":",H258)-1))*60+VALUE(MID(H258,SEARCH(":",H258)+1,99)),VALUE(H258)))</f>
        <v/>
      </c>
      <c r="J258" s="20">
        <f>IF(OR(G258&lt;&gt;"",AND(H258&lt;&gt;"",INDEX(05_Record_Benchmarks!$N:$N,MATCH(A258,05_Record_Benchmarks!$A:$A,0))="YES")),"YES","NO")</f>
        <v/>
      </c>
      <c r="K258" s="20" t="inlineStr">
        <is>
          <t>Next-fastest time supplied in user workbook; swimmer name not yet supplied.</t>
        </is>
      </c>
      <c r="L258" s="40" t="n"/>
    </row>
    <row r="259" ht="15" customHeight="1" s="17">
      <c r="A259" s="20" t="inlineStr">
        <is>
          <t>NZ|LCM|M|15|800 Free</t>
        </is>
      </c>
      <c r="B259" s="20" t="n">
        <v>2</v>
      </c>
      <c r="C259" s="20" t="inlineStr">
        <is>
          <t>LCM</t>
        </is>
      </c>
      <c r="D259" s="20" t="inlineStr">
        <is>
          <t>Male</t>
        </is>
      </c>
      <c r="E259" s="20" t="n">
        <v>15</v>
      </c>
      <c r="F259" s="20" t="inlineStr">
        <is>
          <t>800 Free</t>
        </is>
      </c>
      <c r="G259" s="20" t="inlineStr">
        <is>
          <t>Jonathan Duncan</t>
        </is>
      </c>
      <c r="H259" s="20" t="inlineStr">
        <is>
          <t>8:32.41</t>
        </is>
      </c>
      <c r="I259" s="20">
        <f>IF(H259="","",IF(ISNUMBER(SEARCH(":",H259)),VALUE(LEFT(H259,SEARCH(":",H259)-1))*60+VALUE(MID(H259,SEARCH(":",H259)+1,99)),VALUE(H259)))</f>
        <v/>
      </c>
      <c r="J259" s="20">
        <f>IF(OR(G259&lt;&gt;"",AND(H259&lt;&gt;"",INDEX(05_Record_Benchmarks!$N:$N,MATCH(A259,05_Record_Benchmarks!$A:$A,0))="YES")),"YES","NO")</f>
        <v/>
      </c>
      <c r="K259" s="20" t="inlineStr">
        <is>
          <t>Next-fastest time supplied in user workbook; swimmer name not yet supplied.</t>
        </is>
      </c>
      <c r="L259" s="40" t="n">
        <v>46303</v>
      </c>
    </row>
    <row r="260" ht="15" customHeight="1" s="17">
      <c r="A260" s="20" t="inlineStr">
        <is>
          <t>NZ|LCM|M|15|1500 Free</t>
        </is>
      </c>
      <c r="B260" s="20" t="n">
        <v>2</v>
      </c>
      <c r="C260" s="20" t="inlineStr">
        <is>
          <t>LCM</t>
        </is>
      </c>
      <c r="D260" s="20" t="inlineStr">
        <is>
          <t>Male</t>
        </is>
      </c>
      <c r="E260" s="20" t="n">
        <v>15</v>
      </c>
      <c r="F260" s="20" t="inlineStr">
        <is>
          <t>1500 Free</t>
        </is>
      </c>
      <c r="G260" s="20" t="n"/>
      <c r="H260" s="20" t="inlineStr">
        <is>
          <t>15:44.65</t>
        </is>
      </c>
      <c r="I260" s="20">
        <f>IF(H260="","",IF(ISNUMBER(SEARCH(":",H260)),VALUE(LEFT(H260,SEARCH(":",H260)-1))*60+VALUE(MID(H260,SEARCH(":",H260)+1,99)),VALUE(H260)))</f>
        <v/>
      </c>
      <c r="J260" s="20">
        <f>IF(OR(G260&lt;&gt;"",AND(H260&lt;&gt;"",INDEX(05_Record_Benchmarks!$N:$N,MATCH(A260,05_Record_Benchmarks!$A:$A,0))="YES")),"YES","NO")</f>
        <v/>
      </c>
      <c r="K260" s="20" t="inlineStr">
        <is>
          <t>Next-fastest time supplied in user workbook; swimmer name not yet supplied.</t>
        </is>
      </c>
      <c r="L260" s="40" t="n"/>
    </row>
    <row r="261" ht="15" customHeight="1" s="17">
      <c r="A261" s="20" t="inlineStr">
        <is>
          <t>NZ|LCM|M|15|50 Back</t>
        </is>
      </c>
      <c r="B261" s="20" t="n">
        <v>2</v>
      </c>
      <c r="C261" s="20" t="inlineStr">
        <is>
          <t>LCM</t>
        </is>
      </c>
      <c r="D261" s="20" t="inlineStr">
        <is>
          <t>Male</t>
        </is>
      </c>
      <c r="E261" s="20" t="n">
        <v>15</v>
      </c>
      <c r="F261" s="20" t="inlineStr">
        <is>
          <t>50 Back</t>
        </is>
      </c>
      <c r="G261" s="20" t="n"/>
      <c r="H261" s="20" t="inlineStr">
        <is>
          <t>26.57</t>
        </is>
      </c>
      <c r="I261" s="20">
        <f>IF(H261="","",IF(ISNUMBER(SEARCH(":",H261)),VALUE(LEFT(H261,SEARCH(":",H261)-1))*60+VALUE(MID(H261,SEARCH(":",H261)+1,99)),VALUE(H261)))</f>
        <v/>
      </c>
      <c r="J261" s="20">
        <f>IF(OR(G261&lt;&gt;"",AND(H261&lt;&gt;"",INDEX(05_Record_Benchmarks!$N:$N,MATCH(A261,05_Record_Benchmarks!$A:$A,0))="YES")),"YES","NO")</f>
        <v/>
      </c>
      <c r="K261" s="20" t="inlineStr">
        <is>
          <t>Next-fastest time supplied in user workbook; swimmer name not yet supplied.</t>
        </is>
      </c>
      <c r="L261" s="40" t="n"/>
    </row>
    <row r="262" ht="15" customHeight="1" s="17">
      <c r="A262" s="20" t="inlineStr">
        <is>
          <t>NZ|LCM|M|15|100 Back</t>
        </is>
      </c>
      <c r="B262" s="20" t="n">
        <v>2</v>
      </c>
      <c r="C262" s="20" t="inlineStr">
        <is>
          <t>LCM</t>
        </is>
      </c>
      <c r="D262" s="20" t="inlineStr">
        <is>
          <t>Male</t>
        </is>
      </c>
      <c r="E262" s="20" t="n">
        <v>15</v>
      </c>
      <c r="F262" s="20" t="inlineStr">
        <is>
          <t>100 Back</t>
        </is>
      </c>
      <c r="G262" s="20" t="n"/>
      <c r="H262" s="20" t="inlineStr">
        <is>
          <t>57.30</t>
        </is>
      </c>
      <c r="I262" s="20">
        <f>IF(H262="","",IF(ISNUMBER(SEARCH(":",H262)),VALUE(LEFT(H262,SEARCH(":",H262)-1))*60+VALUE(MID(H262,SEARCH(":",H262)+1,99)),VALUE(H262)))</f>
        <v/>
      </c>
      <c r="J262" s="20">
        <f>IF(OR(G262&lt;&gt;"",AND(H262&lt;&gt;"",INDEX(05_Record_Benchmarks!$N:$N,MATCH(A262,05_Record_Benchmarks!$A:$A,0))="YES")),"YES","NO")</f>
        <v/>
      </c>
      <c r="K262" s="20" t="inlineStr">
        <is>
          <t>Next-fastest time supplied in user workbook; swimmer name not yet supplied.</t>
        </is>
      </c>
      <c r="L262" s="40" t="n"/>
    </row>
    <row r="263" ht="15" customHeight="1" s="17">
      <c r="A263" s="20" t="inlineStr">
        <is>
          <t>NZ|LCM|M|15|200 Back</t>
        </is>
      </c>
      <c r="B263" s="20" t="n">
        <v>2</v>
      </c>
      <c r="C263" s="20" t="inlineStr">
        <is>
          <t>LCM</t>
        </is>
      </c>
      <c r="D263" s="20" t="inlineStr">
        <is>
          <t>Male</t>
        </is>
      </c>
      <c r="E263" s="20" t="n">
        <v>15</v>
      </c>
      <c r="F263" s="20" t="inlineStr">
        <is>
          <t>200 Back</t>
        </is>
      </c>
      <c r="G263" s="20" t="n"/>
      <c r="H263" s="20" t="inlineStr">
        <is>
          <t>2:03.39</t>
        </is>
      </c>
      <c r="I263" s="20">
        <f>IF(H263="","",IF(ISNUMBER(SEARCH(":",H263)),VALUE(LEFT(H263,SEARCH(":",H263)-1))*60+VALUE(MID(H263,SEARCH(":",H263)+1,99)),VALUE(H263)))</f>
        <v/>
      </c>
      <c r="J263" s="20">
        <f>IF(OR(G263&lt;&gt;"",AND(H263&lt;&gt;"",INDEX(05_Record_Benchmarks!$N:$N,MATCH(A263,05_Record_Benchmarks!$A:$A,0))="YES")),"YES","NO")</f>
        <v/>
      </c>
      <c r="K263" s="20" t="inlineStr">
        <is>
          <t>Next-fastest time supplied in user workbook; swimmer name not yet supplied.</t>
        </is>
      </c>
      <c r="L263" s="40" t="n"/>
    </row>
    <row r="264" ht="15" customHeight="1" s="17">
      <c r="A264" s="20" t="inlineStr">
        <is>
          <t>NZ|LCM|M|15|50 Breast</t>
        </is>
      </c>
      <c r="B264" s="20" t="n">
        <v>2</v>
      </c>
      <c r="C264" s="20" t="inlineStr">
        <is>
          <t>LCM</t>
        </is>
      </c>
      <c r="D264" s="20" t="inlineStr">
        <is>
          <t>Male</t>
        </is>
      </c>
      <c r="E264" s="20" t="n">
        <v>15</v>
      </c>
      <c r="F264" s="20" t="inlineStr">
        <is>
          <t>50 Breast</t>
        </is>
      </c>
      <c r="G264" s="20" t="n"/>
      <c r="H264" s="20" t="inlineStr">
        <is>
          <t>29.59</t>
        </is>
      </c>
      <c r="I264" s="20">
        <f>IF(H264="","",IF(ISNUMBER(SEARCH(":",H264)),VALUE(LEFT(H264,SEARCH(":",H264)-1))*60+VALUE(MID(H264,SEARCH(":",H264)+1,99)),VALUE(H264)))</f>
        <v/>
      </c>
      <c r="J264" s="20">
        <f>IF(OR(G264&lt;&gt;"",AND(H264&lt;&gt;"",INDEX(05_Record_Benchmarks!$N:$N,MATCH(A264,05_Record_Benchmarks!$A:$A,0))="YES")),"YES","NO")</f>
        <v/>
      </c>
      <c r="K264" s="20" t="inlineStr">
        <is>
          <t>Next-fastest time supplied in user workbook; swimmer name not yet supplied.</t>
        </is>
      </c>
      <c r="L264" s="40" t="n"/>
    </row>
    <row r="265" ht="15" customHeight="1" s="17">
      <c r="A265" s="20" t="inlineStr">
        <is>
          <t>NZ|LCM|M|15|100 Breast</t>
        </is>
      </c>
      <c r="B265" s="20" t="n">
        <v>2</v>
      </c>
      <c r="C265" s="20" t="inlineStr">
        <is>
          <t>LCM</t>
        </is>
      </c>
      <c r="D265" s="20" t="inlineStr">
        <is>
          <t>Male</t>
        </is>
      </c>
      <c r="E265" s="20" t="n">
        <v>15</v>
      </c>
      <c r="F265" s="20" t="inlineStr">
        <is>
          <t>100 Breast</t>
        </is>
      </c>
      <c r="G265" s="20" t="n"/>
      <c r="H265" s="20" t="inlineStr">
        <is>
          <t>1:04.62</t>
        </is>
      </c>
      <c r="I265" s="20">
        <f>IF(H265="","",IF(ISNUMBER(SEARCH(":",H265)),VALUE(LEFT(H265,SEARCH(":",H265)-1))*60+VALUE(MID(H265,SEARCH(":",H265)+1,99)),VALUE(H265)))</f>
        <v/>
      </c>
      <c r="J265" s="20">
        <f>IF(OR(G265&lt;&gt;"",AND(H265&lt;&gt;"",INDEX(05_Record_Benchmarks!$N:$N,MATCH(A265,05_Record_Benchmarks!$A:$A,0))="YES")),"YES","NO")</f>
        <v/>
      </c>
      <c r="K265" s="20" t="inlineStr">
        <is>
          <t>Next-fastest time supplied in user workbook; swimmer name not yet supplied.</t>
        </is>
      </c>
      <c r="L265" s="40" t="n"/>
    </row>
    <row r="266" ht="15" customHeight="1" s="17">
      <c r="A266" s="20" t="inlineStr">
        <is>
          <t>NZ|LCM|M|15|200 Breast</t>
        </is>
      </c>
      <c r="B266" s="20" t="n">
        <v>2</v>
      </c>
      <c r="C266" s="20" t="inlineStr">
        <is>
          <t>LCM</t>
        </is>
      </c>
      <c r="D266" s="20" t="inlineStr">
        <is>
          <t>Male</t>
        </is>
      </c>
      <c r="E266" s="20" t="n">
        <v>15</v>
      </c>
      <c r="F266" s="20" t="inlineStr">
        <is>
          <t>200 Breast</t>
        </is>
      </c>
      <c r="G266" s="20" t="n"/>
      <c r="H266" s="20" t="inlineStr">
        <is>
          <t>2:21.79</t>
        </is>
      </c>
      <c r="I266" s="20">
        <f>IF(H266="","",IF(ISNUMBER(SEARCH(":",H266)),VALUE(LEFT(H266,SEARCH(":",H266)-1))*60+VALUE(MID(H266,SEARCH(":",H266)+1,99)),VALUE(H266)))</f>
        <v/>
      </c>
      <c r="J266" s="20">
        <f>IF(OR(G266&lt;&gt;"",AND(H266&lt;&gt;"",INDEX(05_Record_Benchmarks!$N:$N,MATCH(A266,05_Record_Benchmarks!$A:$A,0))="YES")),"YES","NO")</f>
        <v/>
      </c>
      <c r="K266" s="20" t="inlineStr">
        <is>
          <t>Next-fastest time supplied in user workbook; swimmer name not yet supplied.</t>
        </is>
      </c>
      <c r="L266" s="40" t="n"/>
    </row>
    <row r="267" ht="15" customHeight="1" s="17">
      <c r="A267" s="20" t="inlineStr">
        <is>
          <t>NZ|LCM|M|15|50 Fly</t>
        </is>
      </c>
      <c r="B267" s="20" t="n">
        <v>2</v>
      </c>
      <c r="C267" s="20" t="inlineStr">
        <is>
          <t>LCM</t>
        </is>
      </c>
      <c r="D267" s="20" t="inlineStr">
        <is>
          <t>Male</t>
        </is>
      </c>
      <c r="E267" s="20" t="n">
        <v>15</v>
      </c>
      <c r="F267" s="20" t="inlineStr">
        <is>
          <t>50 Fly</t>
        </is>
      </c>
      <c r="G267" s="20" t="n"/>
      <c r="H267" s="20" t="inlineStr">
        <is>
          <t>25.21</t>
        </is>
      </c>
      <c r="I267" s="20">
        <f>IF(H267="","",IF(ISNUMBER(SEARCH(":",H267)),VALUE(LEFT(H267,SEARCH(":",H267)-1))*60+VALUE(MID(H267,SEARCH(":",H267)+1,99)),VALUE(H267)))</f>
        <v/>
      </c>
      <c r="J267" s="20">
        <f>IF(OR(G267&lt;&gt;"",AND(H267&lt;&gt;"",INDEX(05_Record_Benchmarks!$N:$N,MATCH(A267,05_Record_Benchmarks!$A:$A,0))="YES")),"YES","NO")</f>
        <v/>
      </c>
      <c r="K267" s="20" t="inlineStr">
        <is>
          <t>Next-fastest time supplied in user workbook; swimmer name not yet supplied.</t>
        </is>
      </c>
      <c r="L267" s="40" t="n"/>
    </row>
    <row r="268" ht="15" customHeight="1" s="17">
      <c r="A268" s="20" t="inlineStr">
        <is>
          <t>NZ|LCM|M|15|100 Fly</t>
        </is>
      </c>
      <c r="B268" s="20" t="n">
        <v>2</v>
      </c>
      <c r="C268" s="20" t="inlineStr">
        <is>
          <t>LCM</t>
        </is>
      </c>
      <c r="D268" s="20" t="inlineStr">
        <is>
          <t>Male</t>
        </is>
      </c>
      <c r="E268" s="20" t="n">
        <v>15</v>
      </c>
      <c r="F268" s="20" t="inlineStr">
        <is>
          <t>100 Fly</t>
        </is>
      </c>
      <c r="G268" s="20" t="n"/>
      <c r="H268" s="20" t="inlineStr">
        <is>
          <t>56.68</t>
        </is>
      </c>
      <c r="I268" s="20">
        <f>IF(H268="","",IF(ISNUMBER(SEARCH(":",H268)),VALUE(LEFT(H268,SEARCH(":",H268)-1))*60+VALUE(MID(H268,SEARCH(":",H268)+1,99)),VALUE(H268)))</f>
        <v/>
      </c>
      <c r="J268" s="20">
        <f>IF(OR(G268&lt;&gt;"",AND(H268&lt;&gt;"",INDEX(05_Record_Benchmarks!$N:$N,MATCH(A268,05_Record_Benchmarks!$A:$A,0))="YES")),"YES","NO")</f>
        <v/>
      </c>
      <c r="K268" s="20" t="inlineStr">
        <is>
          <t>Next-fastest time supplied in user workbook; swimmer name not yet supplied.</t>
        </is>
      </c>
      <c r="L268" s="40" t="n"/>
    </row>
    <row r="269" ht="15" customHeight="1" s="17">
      <c r="A269" s="20" t="inlineStr">
        <is>
          <t>NZ|LCM|M|15|200 Fly</t>
        </is>
      </c>
      <c r="B269" s="20" t="n">
        <v>2</v>
      </c>
      <c r="C269" s="20" t="inlineStr">
        <is>
          <t>LCM</t>
        </is>
      </c>
      <c r="D269" s="20" t="inlineStr">
        <is>
          <t>Male</t>
        </is>
      </c>
      <c r="E269" s="20" t="n">
        <v>15</v>
      </c>
      <c r="F269" s="20" t="inlineStr">
        <is>
          <t>200 Fly</t>
        </is>
      </c>
      <c r="G269" s="20" t="n"/>
      <c r="H269" s="20" t="inlineStr">
        <is>
          <t>2:05.55</t>
        </is>
      </c>
      <c r="I269" s="20">
        <f>IF(H269="","",IF(ISNUMBER(SEARCH(":",H269)),VALUE(LEFT(H269,SEARCH(":",H269)-1))*60+VALUE(MID(H269,SEARCH(":",H269)+1,99)),VALUE(H269)))</f>
        <v/>
      </c>
      <c r="J269" s="20">
        <f>IF(OR(G269&lt;&gt;"",AND(H269&lt;&gt;"",INDEX(05_Record_Benchmarks!$N:$N,MATCH(A269,05_Record_Benchmarks!$A:$A,0))="YES")),"YES","NO")</f>
        <v/>
      </c>
      <c r="K269" s="20" t="inlineStr">
        <is>
          <t>Next-fastest time supplied in user workbook; swimmer name not yet supplied.</t>
        </is>
      </c>
      <c r="L269" s="40" t="n"/>
    </row>
    <row r="270" ht="15" customHeight="1" s="17">
      <c r="A270" s="20" t="inlineStr">
        <is>
          <t>NZ|LCM|M|15|200 IM</t>
        </is>
      </c>
      <c r="B270" s="20" t="n">
        <v>2</v>
      </c>
      <c r="C270" s="20" t="inlineStr">
        <is>
          <t>LCM</t>
        </is>
      </c>
      <c r="D270" s="20" t="inlineStr">
        <is>
          <t>Male</t>
        </is>
      </c>
      <c r="E270" s="20" t="n">
        <v>15</v>
      </c>
      <c r="F270" s="20" t="inlineStr">
        <is>
          <t>200 IM</t>
        </is>
      </c>
      <c r="G270" s="20" t="n"/>
      <c r="H270" s="20" t="inlineStr">
        <is>
          <t>2:08.07</t>
        </is>
      </c>
      <c r="I270" s="20">
        <f>IF(H270="","",IF(ISNUMBER(SEARCH(":",H270)),VALUE(LEFT(H270,SEARCH(":",H270)-1))*60+VALUE(MID(H270,SEARCH(":",H270)+1,99)),VALUE(H270)))</f>
        <v/>
      </c>
      <c r="J270" s="20">
        <f>IF(OR(G270&lt;&gt;"",AND(H270&lt;&gt;"",INDEX(05_Record_Benchmarks!$N:$N,MATCH(A270,05_Record_Benchmarks!$A:$A,0))="YES")),"YES","NO")</f>
        <v/>
      </c>
      <c r="K270" s="20" t="inlineStr">
        <is>
          <t>Next-fastest time supplied in user workbook; swimmer name not yet supplied.</t>
        </is>
      </c>
      <c r="L270" s="40" t="n"/>
    </row>
    <row r="271" ht="15" customHeight="1" s="17">
      <c r="A271" s="20" t="inlineStr">
        <is>
          <t>NZ|LCM|M|15|400 IM</t>
        </is>
      </c>
      <c r="B271" s="20" t="n">
        <v>2</v>
      </c>
      <c r="C271" s="20" t="inlineStr">
        <is>
          <t>LCM</t>
        </is>
      </c>
      <c r="D271" s="20" t="inlineStr">
        <is>
          <t>Male</t>
        </is>
      </c>
      <c r="E271" s="20" t="n">
        <v>15</v>
      </c>
      <c r="F271" s="20" t="inlineStr">
        <is>
          <t>400 IM</t>
        </is>
      </c>
      <c r="G271" s="20" t="n"/>
      <c r="H271" s="20" t="inlineStr">
        <is>
          <t>4:33.10</t>
        </is>
      </c>
      <c r="I271" s="20">
        <f>IF(H271="","",IF(ISNUMBER(SEARCH(":",H271)),VALUE(LEFT(H271,SEARCH(":",H271)-1))*60+VALUE(MID(H271,SEARCH(":",H271)+1,99)),VALUE(H271)))</f>
        <v/>
      </c>
      <c r="J271" s="20">
        <f>IF(OR(G271&lt;&gt;"",AND(H271&lt;&gt;"",INDEX(05_Record_Benchmarks!$N:$N,MATCH(A271,05_Record_Benchmarks!$A:$A,0))="YES")),"YES","NO")</f>
        <v/>
      </c>
      <c r="K271" s="20" t="inlineStr">
        <is>
          <t>Next-fastest time supplied in user workbook; swimmer name not yet supplied.</t>
        </is>
      </c>
      <c r="L271" s="40" t="n"/>
    </row>
    <row r="272" ht="15" customHeight="1" s="17">
      <c r="A272" s="20" t="inlineStr">
        <is>
          <t>NZ|LCM|M|16|50 Free</t>
        </is>
      </c>
      <c r="B272" s="20" t="n">
        <v>2</v>
      </c>
      <c r="C272" s="20" t="inlineStr">
        <is>
          <t>LCM</t>
        </is>
      </c>
      <c r="D272" s="20" t="inlineStr">
        <is>
          <t>Male</t>
        </is>
      </c>
      <c r="E272" s="20" t="n">
        <v>16</v>
      </c>
      <c r="F272" s="20" t="inlineStr">
        <is>
          <t>50 Free</t>
        </is>
      </c>
      <c r="G272" s="20" t="n"/>
      <c r="H272" s="20" t="inlineStr">
        <is>
          <t>22.98</t>
        </is>
      </c>
      <c r="I272" s="20">
        <f>IF(H272="","",IF(ISNUMBER(SEARCH(":",H272)),VALUE(LEFT(H272,SEARCH(":",H272)-1))*60+VALUE(MID(H272,SEARCH(":",H272)+1,99)),VALUE(H272)))</f>
        <v/>
      </c>
      <c r="J272" s="20">
        <f>IF(OR(G272&lt;&gt;"",AND(H272&lt;&gt;"",INDEX(05_Record_Benchmarks!$N:$N,MATCH(A272,05_Record_Benchmarks!$A:$A,0))="YES")),"YES","NO")</f>
        <v/>
      </c>
      <c r="K272" s="20" t="inlineStr">
        <is>
          <t>Next-fastest time supplied in user workbook; swimmer name not yet supplied.</t>
        </is>
      </c>
      <c r="L272" s="40" t="n"/>
    </row>
    <row r="273" ht="15" customHeight="1" s="17">
      <c r="A273" s="20" t="inlineStr">
        <is>
          <t>NZ|LCM|M|16|100 Free</t>
        </is>
      </c>
      <c r="B273" s="20" t="n">
        <v>2</v>
      </c>
      <c r="C273" s="20" t="inlineStr">
        <is>
          <t>LCM</t>
        </is>
      </c>
      <c r="D273" s="20" t="inlineStr">
        <is>
          <t>Male</t>
        </is>
      </c>
      <c r="E273" s="20" t="n">
        <v>16</v>
      </c>
      <c r="F273" s="20" t="inlineStr">
        <is>
          <t>100 Free</t>
        </is>
      </c>
      <c r="G273" s="20" t="n"/>
      <c r="H273" s="20" t="inlineStr">
        <is>
          <t>50.69</t>
        </is>
      </c>
      <c r="I273" s="20">
        <f>IF(H273="","",IF(ISNUMBER(SEARCH(":",H273)),VALUE(LEFT(H273,SEARCH(":",H273)-1))*60+VALUE(MID(H273,SEARCH(":",H273)+1,99)),VALUE(H273)))</f>
        <v/>
      </c>
      <c r="J273" s="20">
        <f>IF(OR(G273&lt;&gt;"",AND(H273&lt;&gt;"",INDEX(05_Record_Benchmarks!$N:$N,MATCH(A273,05_Record_Benchmarks!$A:$A,0))="YES")),"YES","NO")</f>
        <v/>
      </c>
      <c r="K273" s="20" t="inlineStr">
        <is>
          <t>Next-fastest time supplied in user workbook; swimmer name not yet supplied.</t>
        </is>
      </c>
      <c r="L273" s="40" t="n"/>
    </row>
    <row r="274" ht="15" customHeight="1" s="17">
      <c r="A274" s="20" t="inlineStr">
        <is>
          <t>NZ|LCM|M|16|200 Free</t>
        </is>
      </c>
      <c r="B274" s="20" t="n">
        <v>2</v>
      </c>
      <c r="C274" s="20" t="inlineStr">
        <is>
          <t>LCM</t>
        </is>
      </c>
      <c r="D274" s="20" t="inlineStr">
        <is>
          <t>Male</t>
        </is>
      </c>
      <c r="E274" s="20" t="n">
        <v>16</v>
      </c>
      <c r="F274" s="20" t="inlineStr">
        <is>
          <t>200 Free</t>
        </is>
      </c>
      <c r="G274" s="20" t="n"/>
      <c r="H274" s="20" t="inlineStr">
        <is>
          <t>1:52.25</t>
        </is>
      </c>
      <c r="I274" s="20">
        <f>IF(H274="","",IF(ISNUMBER(SEARCH(":",H274)),VALUE(LEFT(H274,SEARCH(":",H274)-1))*60+VALUE(MID(H274,SEARCH(":",H274)+1,99)),VALUE(H274)))</f>
        <v/>
      </c>
      <c r="J274" s="20">
        <f>IF(OR(G274&lt;&gt;"",AND(H274&lt;&gt;"",INDEX(05_Record_Benchmarks!$N:$N,MATCH(A274,05_Record_Benchmarks!$A:$A,0))="YES")),"YES","NO")</f>
        <v/>
      </c>
      <c r="K274" s="20" t="inlineStr">
        <is>
          <t>Next-fastest time supplied in user workbook; swimmer name not yet supplied.</t>
        </is>
      </c>
      <c r="L274" s="40" t="n"/>
    </row>
    <row r="275" ht="15" customHeight="1" s="17">
      <c r="A275" s="20" t="inlineStr">
        <is>
          <t>NZ|LCM|M|16|400 Free</t>
        </is>
      </c>
      <c r="B275" s="20" t="n">
        <v>2</v>
      </c>
      <c r="C275" s="20" t="inlineStr">
        <is>
          <t>LCM</t>
        </is>
      </c>
      <c r="D275" s="20" t="inlineStr">
        <is>
          <t>Male</t>
        </is>
      </c>
      <c r="E275" s="20" t="n">
        <v>16</v>
      </c>
      <c r="F275" s="20" t="inlineStr">
        <is>
          <t>400 Free</t>
        </is>
      </c>
      <c r="G275" s="20" t="n"/>
      <c r="H275" s="20" t="inlineStr">
        <is>
          <t>3:58.60</t>
        </is>
      </c>
      <c r="I275" s="20">
        <f>IF(H275="","",IF(ISNUMBER(SEARCH(":",H275)),VALUE(LEFT(H275,SEARCH(":",H275)-1))*60+VALUE(MID(H275,SEARCH(":",H275)+1,99)),VALUE(H275)))</f>
        <v/>
      </c>
      <c r="J275" s="20">
        <f>IF(OR(G275&lt;&gt;"",AND(H275&lt;&gt;"",INDEX(05_Record_Benchmarks!$N:$N,MATCH(A275,05_Record_Benchmarks!$A:$A,0))="YES")),"YES","NO")</f>
        <v/>
      </c>
      <c r="K275" s="20" t="inlineStr">
        <is>
          <t>Next-fastest time supplied in user workbook; swimmer name not yet supplied.</t>
        </is>
      </c>
      <c r="L275" s="40" t="n"/>
    </row>
    <row r="276" ht="15" customHeight="1" s="17">
      <c r="A276" s="20" t="inlineStr">
        <is>
          <t>NZ|LCM|M|16|800 Free</t>
        </is>
      </c>
      <c r="B276" s="20" t="n">
        <v>2</v>
      </c>
      <c r="C276" s="20" t="inlineStr">
        <is>
          <t>LCM</t>
        </is>
      </c>
      <c r="D276" s="20" t="inlineStr">
        <is>
          <t>Male</t>
        </is>
      </c>
      <c r="E276" s="20" t="n">
        <v>16</v>
      </c>
      <c r="F276" s="20" t="inlineStr">
        <is>
          <t>800 Free</t>
        </is>
      </c>
      <c r="G276" s="20" t="n"/>
      <c r="H276" s="20" t="inlineStr">
        <is>
          <t>8:11.25</t>
        </is>
      </c>
      <c r="I276" s="20">
        <f>IF(H276="","",IF(ISNUMBER(SEARCH(":",H276)),VALUE(LEFT(H276,SEARCH(":",H276)-1))*60+VALUE(MID(H276,SEARCH(":",H276)+1,99)),VALUE(H276)))</f>
        <v/>
      </c>
      <c r="J276" s="20">
        <f>IF(OR(G276&lt;&gt;"",AND(H276&lt;&gt;"",INDEX(05_Record_Benchmarks!$N:$N,MATCH(A276,05_Record_Benchmarks!$A:$A,0))="YES")),"YES","NO")</f>
        <v/>
      </c>
      <c r="K276" s="20" t="inlineStr">
        <is>
          <t>User-supplied next-fastest time; Standard has no swimmer record holder.</t>
        </is>
      </c>
      <c r="L276" s="40" t="n"/>
    </row>
    <row r="277" ht="15" customHeight="1" s="17">
      <c r="A277" s="20" t="inlineStr">
        <is>
          <t>NZ|LCM|M|16|1500 Free</t>
        </is>
      </c>
      <c r="B277" s="20" t="n">
        <v>2</v>
      </c>
      <c r="C277" s="20" t="inlineStr">
        <is>
          <t>LCM</t>
        </is>
      </c>
      <c r="D277" s="20" t="inlineStr">
        <is>
          <t>Male</t>
        </is>
      </c>
      <c r="E277" s="20" t="n">
        <v>16</v>
      </c>
      <c r="F277" s="20" t="inlineStr">
        <is>
          <t>1500 Free</t>
        </is>
      </c>
      <c r="G277" s="20" t="n"/>
      <c r="H277" s="20" t="inlineStr">
        <is>
          <t>15:38.39</t>
        </is>
      </c>
      <c r="I277" s="20">
        <f>IF(H277="","",IF(ISNUMBER(SEARCH(":",H277)),VALUE(LEFT(H277,SEARCH(":",H277)-1))*60+VALUE(MID(H277,SEARCH(":",H277)+1,99)),VALUE(H277)))</f>
        <v/>
      </c>
      <c r="J277" s="20">
        <f>IF(OR(G277&lt;&gt;"",AND(H277&lt;&gt;"",INDEX(05_Record_Benchmarks!$N:$N,MATCH(A277,05_Record_Benchmarks!$A:$A,0))="YES")),"YES","NO")</f>
        <v/>
      </c>
      <c r="K277" s="20" t="inlineStr">
        <is>
          <t>Next-fastest time supplied in user workbook; swimmer name not yet supplied.</t>
        </is>
      </c>
      <c r="L277" s="40" t="n"/>
    </row>
    <row r="278" ht="15" customHeight="1" s="17">
      <c r="A278" s="20" t="inlineStr">
        <is>
          <t>NZ|LCM|M|16|50 Back</t>
        </is>
      </c>
      <c r="B278" s="20" t="n">
        <v>2</v>
      </c>
      <c r="C278" s="20" t="inlineStr">
        <is>
          <t>LCM</t>
        </is>
      </c>
      <c r="D278" s="20" t="inlineStr">
        <is>
          <t>Male</t>
        </is>
      </c>
      <c r="E278" s="20" t="n">
        <v>16</v>
      </c>
      <c r="F278" s="20" t="inlineStr">
        <is>
          <t>50 Back</t>
        </is>
      </c>
      <c r="G278" s="20" t="n"/>
      <c r="H278" s="20" t="inlineStr">
        <is>
          <t>26.33</t>
        </is>
      </c>
      <c r="I278" s="20">
        <f>IF(H278="","",IF(ISNUMBER(SEARCH(":",H278)),VALUE(LEFT(H278,SEARCH(":",H278)-1))*60+VALUE(MID(H278,SEARCH(":",H278)+1,99)),VALUE(H278)))</f>
        <v/>
      </c>
      <c r="J278" s="20">
        <f>IF(OR(G278&lt;&gt;"",AND(H278&lt;&gt;"",INDEX(05_Record_Benchmarks!$N:$N,MATCH(A278,05_Record_Benchmarks!$A:$A,0))="YES")),"YES","NO")</f>
        <v/>
      </c>
      <c r="K278" s="20" t="inlineStr">
        <is>
          <t>Next-fastest time supplied in user workbook; swimmer name not yet supplied.</t>
        </is>
      </c>
      <c r="L278" s="40" t="n"/>
    </row>
    <row r="279" ht="15" customHeight="1" s="17">
      <c r="A279" s="20" t="inlineStr">
        <is>
          <t>NZ|LCM|M|16|100 Back</t>
        </is>
      </c>
      <c r="B279" s="20" t="n">
        <v>2</v>
      </c>
      <c r="C279" s="20" t="inlineStr">
        <is>
          <t>LCM</t>
        </is>
      </c>
      <c r="D279" s="20" t="inlineStr">
        <is>
          <t>Male</t>
        </is>
      </c>
      <c r="E279" s="20" t="n">
        <v>16</v>
      </c>
      <c r="F279" s="20" t="inlineStr">
        <is>
          <t>100 Back</t>
        </is>
      </c>
      <c r="G279" s="20" t="n"/>
      <c r="H279" s="20" t="inlineStr">
        <is>
          <t>56.51</t>
        </is>
      </c>
      <c r="I279" s="20">
        <f>IF(H279="","",IF(ISNUMBER(SEARCH(":",H279)),VALUE(LEFT(H279,SEARCH(":",H279)-1))*60+VALUE(MID(H279,SEARCH(":",H279)+1,99)),VALUE(H279)))</f>
        <v/>
      </c>
      <c r="J279" s="20">
        <f>IF(OR(G279&lt;&gt;"",AND(H279&lt;&gt;"",INDEX(05_Record_Benchmarks!$N:$N,MATCH(A279,05_Record_Benchmarks!$A:$A,0))="YES")),"YES","NO")</f>
        <v/>
      </c>
      <c r="K279" s="20" t="inlineStr">
        <is>
          <t>Next-fastest time supplied in user workbook; swimmer name not yet supplied.</t>
        </is>
      </c>
      <c r="L279" s="40" t="n"/>
    </row>
    <row r="280" ht="15" customHeight="1" s="17">
      <c r="A280" s="20" t="inlineStr">
        <is>
          <t>NZ|LCM|M|16|200 Back</t>
        </is>
      </c>
      <c r="B280" s="20" t="n">
        <v>2</v>
      </c>
      <c r="C280" s="20" t="inlineStr">
        <is>
          <t>LCM</t>
        </is>
      </c>
      <c r="D280" s="20" t="inlineStr">
        <is>
          <t>Male</t>
        </is>
      </c>
      <c r="E280" s="20" t="n">
        <v>16</v>
      </c>
      <c r="F280" s="20" t="inlineStr">
        <is>
          <t>200 Back</t>
        </is>
      </c>
      <c r="G280" s="20" t="n"/>
      <c r="H280" s="20" t="inlineStr">
        <is>
          <t>2:02.93</t>
        </is>
      </c>
      <c r="I280" s="20">
        <f>IF(H280="","",IF(ISNUMBER(SEARCH(":",H280)),VALUE(LEFT(H280,SEARCH(":",H280)-1))*60+VALUE(MID(H280,SEARCH(":",H280)+1,99)),VALUE(H280)))</f>
        <v/>
      </c>
      <c r="J280" s="20">
        <f>IF(OR(G280&lt;&gt;"",AND(H280&lt;&gt;"",INDEX(05_Record_Benchmarks!$N:$N,MATCH(A280,05_Record_Benchmarks!$A:$A,0))="YES")),"YES","NO")</f>
        <v/>
      </c>
      <c r="K280" s="20" t="inlineStr">
        <is>
          <t>Next-fastest time supplied in user workbook; swimmer name not yet supplied.</t>
        </is>
      </c>
      <c r="L280" s="40" t="n"/>
    </row>
    <row r="281" ht="15" customHeight="1" s="17">
      <c r="A281" s="20" t="inlineStr">
        <is>
          <t>NZ|LCM|M|16|50 Breast</t>
        </is>
      </c>
      <c r="B281" s="20" t="n">
        <v>2</v>
      </c>
      <c r="C281" s="20" t="inlineStr">
        <is>
          <t>LCM</t>
        </is>
      </c>
      <c r="D281" s="20" t="inlineStr">
        <is>
          <t>Male</t>
        </is>
      </c>
      <c r="E281" s="20" t="n">
        <v>16</v>
      </c>
      <c r="F281" s="20" t="inlineStr">
        <is>
          <t>50 Breast</t>
        </is>
      </c>
      <c r="G281" s="20" t="n"/>
      <c r="H281" s="20" t="inlineStr">
        <is>
          <t>28.74</t>
        </is>
      </c>
      <c r="I281" s="20">
        <f>IF(H281="","",IF(ISNUMBER(SEARCH(":",H281)),VALUE(LEFT(H281,SEARCH(":",H281)-1))*60+VALUE(MID(H281,SEARCH(":",H281)+1,99)),VALUE(H281)))</f>
        <v/>
      </c>
      <c r="J281" s="20">
        <f>IF(OR(G281&lt;&gt;"",AND(H281&lt;&gt;"",INDEX(05_Record_Benchmarks!$N:$N,MATCH(A281,05_Record_Benchmarks!$A:$A,0))="YES")),"YES","NO")</f>
        <v/>
      </c>
      <c r="K281" s="20" t="inlineStr">
        <is>
          <t>Next-fastest time supplied in user workbook; swimmer name not yet supplied.</t>
        </is>
      </c>
      <c r="L281" s="40" t="n"/>
    </row>
    <row r="282" ht="15" customHeight="1" s="17">
      <c r="A282" s="20" t="inlineStr">
        <is>
          <t>NZ|LCM|M|16|100 Breast</t>
        </is>
      </c>
      <c r="B282" s="20" t="n">
        <v>2</v>
      </c>
      <c r="C282" s="20" t="inlineStr">
        <is>
          <t>LCM</t>
        </is>
      </c>
      <c r="D282" s="20" t="inlineStr">
        <is>
          <t>Male</t>
        </is>
      </c>
      <c r="E282" s="20" t="n">
        <v>16</v>
      </c>
      <c r="F282" s="20" t="inlineStr">
        <is>
          <t>100 Breast</t>
        </is>
      </c>
      <c r="G282" s="20" t="n"/>
      <c r="H282" s="20" t="inlineStr">
        <is>
          <t>1:04.04</t>
        </is>
      </c>
      <c r="I282" s="20">
        <f>IF(H282="","",IF(ISNUMBER(SEARCH(":",H282)),VALUE(LEFT(H282,SEARCH(":",H282)-1))*60+VALUE(MID(H282,SEARCH(":",H282)+1,99)),VALUE(H282)))</f>
        <v/>
      </c>
      <c r="J282" s="20">
        <f>IF(OR(G282&lt;&gt;"",AND(H282&lt;&gt;"",INDEX(05_Record_Benchmarks!$N:$N,MATCH(A282,05_Record_Benchmarks!$A:$A,0))="YES")),"YES","NO")</f>
        <v/>
      </c>
      <c r="K282" s="20" t="inlineStr">
        <is>
          <t>Next-fastest time supplied in user workbook; swimmer name not yet supplied.</t>
        </is>
      </c>
      <c r="L282" s="40" t="n"/>
    </row>
    <row r="283" ht="15" customHeight="1" s="17">
      <c r="A283" s="20" t="inlineStr">
        <is>
          <t>NZ|LCM|M|16|200 Breast</t>
        </is>
      </c>
      <c r="B283" s="20" t="n">
        <v>2</v>
      </c>
      <c r="C283" s="20" t="inlineStr">
        <is>
          <t>LCM</t>
        </is>
      </c>
      <c r="D283" s="20" t="inlineStr">
        <is>
          <t>Male</t>
        </is>
      </c>
      <c r="E283" s="20" t="n">
        <v>16</v>
      </c>
      <c r="F283" s="20" t="inlineStr">
        <is>
          <t>200 Breast</t>
        </is>
      </c>
      <c r="G283" s="20" t="n"/>
      <c r="H283" s="20" t="inlineStr">
        <is>
          <t>2:19.87</t>
        </is>
      </c>
      <c r="I283" s="20">
        <f>IF(H283="","",IF(ISNUMBER(SEARCH(":",H283)),VALUE(LEFT(H283,SEARCH(":",H283)-1))*60+VALUE(MID(H283,SEARCH(":",H283)+1,99)),VALUE(H283)))</f>
        <v/>
      </c>
      <c r="J283" s="20">
        <f>IF(OR(G283&lt;&gt;"",AND(H283&lt;&gt;"",INDEX(05_Record_Benchmarks!$N:$N,MATCH(A283,05_Record_Benchmarks!$A:$A,0))="YES")),"YES","NO")</f>
        <v/>
      </c>
      <c r="K283" s="20" t="inlineStr">
        <is>
          <t>Next-fastest time supplied in user workbook; swimmer name not yet supplied.</t>
        </is>
      </c>
      <c r="L283" s="40" t="n"/>
    </row>
    <row r="284" ht="15" customHeight="1" s="17">
      <c r="A284" s="20" t="inlineStr">
        <is>
          <t>NZ|LCM|M|16|50 Fly</t>
        </is>
      </c>
      <c r="B284" s="20" t="n">
        <v>2</v>
      </c>
      <c r="C284" s="20" t="inlineStr">
        <is>
          <t>LCM</t>
        </is>
      </c>
      <c r="D284" s="20" t="inlineStr">
        <is>
          <t>Male</t>
        </is>
      </c>
      <c r="E284" s="20" t="n">
        <v>16</v>
      </c>
      <c r="F284" s="20" t="inlineStr">
        <is>
          <t>50 Fly</t>
        </is>
      </c>
      <c r="G284" s="20" t="inlineStr">
        <is>
          <t>Kayne Howat</t>
        </is>
      </c>
      <c r="H284" s="20" t="inlineStr">
        <is>
          <t>24.95</t>
        </is>
      </c>
      <c r="I284" s="20">
        <f>IF(H284="","",IF(ISNUMBER(SEARCH(":",H284)),VALUE(LEFT(H284,SEARCH(":",H284)-1))*60+VALUE(MID(H284,SEARCH(":",H284)+1,99)),VALUE(H284)))</f>
        <v/>
      </c>
      <c r="J284" s="20">
        <f>IF(OR(G284&lt;&gt;"",AND(H284&lt;&gt;"",INDEX(05_Record_Benchmarks!$N:$N,MATCH(A284,05_Record_Benchmarks!$A:$A,0))="YES")),"YES","NO")</f>
        <v/>
      </c>
      <c r="K284" s="20" t="inlineStr">
        <is>
          <t>Next-fastest time supplied in user workbook; swimmer name not yet supplied.</t>
        </is>
      </c>
      <c r="L284" s="40" t="n">
        <v>46303</v>
      </c>
    </row>
    <row r="285" ht="15" customHeight="1" s="17">
      <c r="A285" s="20" t="inlineStr">
        <is>
          <t>NZ|LCM|M|16|100 Fly</t>
        </is>
      </c>
      <c r="B285" s="20" t="n">
        <v>2</v>
      </c>
      <c r="C285" s="20" t="inlineStr">
        <is>
          <t>LCM</t>
        </is>
      </c>
      <c r="D285" s="20" t="inlineStr">
        <is>
          <t>Male</t>
        </is>
      </c>
      <c r="E285" s="20" t="n">
        <v>16</v>
      </c>
      <c r="F285" s="20" t="inlineStr">
        <is>
          <t>100 Fly</t>
        </is>
      </c>
      <c r="G285" s="20" t="n"/>
      <c r="H285" s="20" t="inlineStr">
        <is>
          <t>55.04</t>
        </is>
      </c>
      <c r="I285" s="20">
        <f>IF(H285="","",IF(ISNUMBER(SEARCH(":",H285)),VALUE(LEFT(H285,SEARCH(":",H285)-1))*60+VALUE(MID(H285,SEARCH(":",H285)+1,99)),VALUE(H285)))</f>
        <v/>
      </c>
      <c r="J285" s="20">
        <f>IF(OR(G285&lt;&gt;"",AND(H285&lt;&gt;"",INDEX(05_Record_Benchmarks!$N:$N,MATCH(A285,05_Record_Benchmarks!$A:$A,0))="YES")),"YES","NO")</f>
        <v/>
      </c>
      <c r="K285" s="20" t="inlineStr">
        <is>
          <t>Next-fastest time supplied in user workbook; swimmer name not yet supplied.</t>
        </is>
      </c>
      <c r="L285" s="40" t="n"/>
    </row>
    <row r="286" ht="15" customHeight="1" s="17">
      <c r="A286" s="20" t="inlineStr">
        <is>
          <t>NZ|LCM|M|16|200 Fly</t>
        </is>
      </c>
      <c r="B286" s="20" t="n">
        <v>2</v>
      </c>
      <c r="C286" s="20" t="inlineStr">
        <is>
          <t>LCM</t>
        </is>
      </c>
      <c r="D286" s="20" t="inlineStr">
        <is>
          <t>Male</t>
        </is>
      </c>
      <c r="E286" s="20" t="n">
        <v>16</v>
      </c>
      <c r="F286" s="20" t="inlineStr">
        <is>
          <t>200 Fly</t>
        </is>
      </c>
      <c r="G286" s="20" t="n"/>
      <c r="H286" s="20" t="inlineStr">
        <is>
          <t>2:01.33</t>
        </is>
      </c>
      <c r="I286" s="20">
        <f>IF(H286="","",IF(ISNUMBER(SEARCH(":",H286)),VALUE(LEFT(H286,SEARCH(":",H286)-1))*60+VALUE(MID(H286,SEARCH(":",H286)+1,99)),VALUE(H286)))</f>
        <v/>
      </c>
      <c r="J286" s="20">
        <f>IF(OR(G286&lt;&gt;"",AND(H286&lt;&gt;"",INDEX(05_Record_Benchmarks!$N:$N,MATCH(A286,05_Record_Benchmarks!$A:$A,0))="YES")),"YES","NO")</f>
        <v/>
      </c>
      <c r="K286" s="20" t="inlineStr">
        <is>
          <t>Next-fastest time supplied in user workbook; swimmer name not yet supplied.</t>
        </is>
      </c>
      <c r="L286" s="40" t="n"/>
    </row>
    <row r="287" ht="15" customHeight="1" s="17">
      <c r="A287" s="20" t="inlineStr">
        <is>
          <t>NZ|LCM|M|16|200 IM</t>
        </is>
      </c>
      <c r="B287" s="20" t="n">
        <v>2</v>
      </c>
      <c r="C287" s="20" t="inlineStr">
        <is>
          <t>LCM</t>
        </is>
      </c>
      <c r="D287" s="20" t="inlineStr">
        <is>
          <t>Male</t>
        </is>
      </c>
      <c r="E287" s="20" t="n">
        <v>16</v>
      </c>
      <c r="F287" s="20" t="inlineStr">
        <is>
          <t>200 IM</t>
        </is>
      </c>
      <c r="G287" s="20" t="n"/>
      <c r="H287" s="20" t="inlineStr">
        <is>
          <t>2:04.35</t>
        </is>
      </c>
      <c r="I287" s="20">
        <f>IF(H287="","",IF(ISNUMBER(SEARCH(":",H287)),VALUE(LEFT(H287,SEARCH(":",H287)-1))*60+VALUE(MID(H287,SEARCH(":",H287)+1,99)),VALUE(H287)))</f>
        <v/>
      </c>
      <c r="J287" s="20">
        <f>IF(OR(G287&lt;&gt;"",AND(H287&lt;&gt;"",INDEX(05_Record_Benchmarks!$N:$N,MATCH(A287,05_Record_Benchmarks!$A:$A,0))="YES")),"YES","NO")</f>
        <v/>
      </c>
      <c r="K287" s="20" t="inlineStr">
        <is>
          <t>Next-fastest time supplied in user workbook; swimmer name not yet supplied.</t>
        </is>
      </c>
      <c r="L287" s="40" t="n"/>
    </row>
    <row r="288" ht="15" customHeight="1" s="17">
      <c r="A288" s="20" t="inlineStr">
        <is>
          <t>NZ|LCM|M|16|400 IM</t>
        </is>
      </c>
      <c r="B288" s="20" t="n">
        <v>2</v>
      </c>
      <c r="C288" s="20" t="inlineStr">
        <is>
          <t>LCM</t>
        </is>
      </c>
      <c r="D288" s="20" t="inlineStr">
        <is>
          <t>Male</t>
        </is>
      </c>
      <c r="E288" s="20" t="n">
        <v>16</v>
      </c>
      <c r="F288" s="20" t="inlineStr">
        <is>
          <t>400 IM</t>
        </is>
      </c>
      <c r="G288" s="20" t="n"/>
      <c r="H288" s="20" t="inlineStr">
        <is>
          <t>4:23.95</t>
        </is>
      </c>
      <c r="I288" s="20">
        <f>IF(H288="","",IF(ISNUMBER(SEARCH(":",H288)),VALUE(LEFT(H288,SEARCH(":",H288)-1))*60+VALUE(MID(H288,SEARCH(":",H288)+1,99)),VALUE(H288)))</f>
        <v/>
      </c>
      <c r="J288" s="20">
        <f>IF(OR(G288&lt;&gt;"",AND(H288&lt;&gt;"",INDEX(05_Record_Benchmarks!$N:$N,MATCH(A288,05_Record_Benchmarks!$A:$A,0))="YES")),"YES","NO")</f>
        <v/>
      </c>
      <c r="K288" s="20" t="inlineStr">
        <is>
          <t>Next-fastest time supplied in user workbook; swimmer name not yet supplied.</t>
        </is>
      </c>
      <c r="L288" s="40" t="n"/>
    </row>
    <row r="289" ht="15" customHeight="1" s="17">
      <c r="A289" s="20" t="inlineStr">
        <is>
          <t>NZ|LCM|M|17|50 Free</t>
        </is>
      </c>
      <c r="B289" s="20" t="n">
        <v>2</v>
      </c>
      <c r="C289" s="20" t="inlineStr">
        <is>
          <t>LCM</t>
        </is>
      </c>
      <c r="D289" s="20" t="inlineStr">
        <is>
          <t>Male</t>
        </is>
      </c>
      <c r="E289" s="20" t="n">
        <v>17</v>
      </c>
      <c r="F289" s="20" t="inlineStr">
        <is>
          <t>50 Free</t>
        </is>
      </c>
      <c r="G289" s="20" t="n"/>
      <c r="H289" s="20" t="inlineStr">
        <is>
          <t>22.46</t>
        </is>
      </c>
      <c r="I289" s="20">
        <f>IF(H289="","",IF(ISNUMBER(SEARCH(":",H289)),VALUE(LEFT(H289,SEARCH(":",H289)-1))*60+VALUE(MID(H289,SEARCH(":",H289)+1,99)),VALUE(H289)))</f>
        <v/>
      </c>
      <c r="J289" s="20">
        <f>IF(OR(G289&lt;&gt;"",AND(H289&lt;&gt;"",INDEX(05_Record_Benchmarks!$N:$N,MATCH(A289,05_Record_Benchmarks!$A:$A,0))="YES")),"YES","NO")</f>
        <v/>
      </c>
      <c r="K289" s="20" t="inlineStr">
        <is>
          <t>Next-fastest time supplied in user workbook; swimmer name not yet supplied.</t>
        </is>
      </c>
      <c r="L289" s="40" t="n"/>
    </row>
    <row r="290" ht="15" customHeight="1" s="17">
      <c r="A290" s="20" t="inlineStr">
        <is>
          <t>NZ|LCM|M|17|100 Free</t>
        </is>
      </c>
      <c r="B290" s="20" t="n">
        <v>2</v>
      </c>
      <c r="C290" s="20" t="inlineStr">
        <is>
          <t>LCM</t>
        </is>
      </c>
      <c r="D290" s="20" t="inlineStr">
        <is>
          <t>Male</t>
        </is>
      </c>
      <c r="E290" s="20" t="n">
        <v>17</v>
      </c>
      <c r="F290" s="20" t="inlineStr">
        <is>
          <t>100 Free</t>
        </is>
      </c>
      <c r="G290" s="20" t="n"/>
      <c r="H290" s="20" t="inlineStr">
        <is>
          <t>50.29</t>
        </is>
      </c>
      <c r="I290" s="20">
        <f>IF(H290="","",IF(ISNUMBER(SEARCH(":",H290)),VALUE(LEFT(H290,SEARCH(":",H290)-1))*60+VALUE(MID(H290,SEARCH(":",H290)+1,99)),VALUE(H290)))</f>
        <v/>
      </c>
      <c r="J290" s="20">
        <f>IF(OR(G290&lt;&gt;"",AND(H290&lt;&gt;"",INDEX(05_Record_Benchmarks!$N:$N,MATCH(A290,05_Record_Benchmarks!$A:$A,0))="YES")),"YES","NO")</f>
        <v/>
      </c>
      <c r="K290" s="20" t="inlineStr">
        <is>
          <t>Next-fastest time supplied in user workbook; swimmer name not yet supplied.</t>
        </is>
      </c>
      <c r="L290" s="40" t="n"/>
    </row>
    <row r="291" ht="15" customHeight="1" s="17">
      <c r="A291" s="20" t="inlineStr">
        <is>
          <t>NZ|LCM|M|17|200 Free</t>
        </is>
      </c>
      <c r="B291" s="20" t="n">
        <v>2</v>
      </c>
      <c r="C291" s="20" t="inlineStr">
        <is>
          <t>LCM</t>
        </is>
      </c>
      <c r="D291" s="20" t="inlineStr">
        <is>
          <t>Male</t>
        </is>
      </c>
      <c r="E291" s="20" t="n">
        <v>17</v>
      </c>
      <c r="F291" s="20" t="inlineStr">
        <is>
          <t>200 Free</t>
        </is>
      </c>
      <c r="G291" s="20" t="n"/>
      <c r="H291" s="20" t="inlineStr">
        <is>
          <t>1:51.20</t>
        </is>
      </c>
      <c r="I291" s="20">
        <f>IF(H291="","",IF(ISNUMBER(SEARCH(":",H291)),VALUE(LEFT(H291,SEARCH(":",H291)-1))*60+VALUE(MID(H291,SEARCH(":",H291)+1,99)),VALUE(H291)))</f>
        <v/>
      </c>
      <c r="J291" s="20">
        <f>IF(OR(G291&lt;&gt;"",AND(H291&lt;&gt;"",INDEX(05_Record_Benchmarks!$N:$N,MATCH(A291,05_Record_Benchmarks!$A:$A,0))="YES")),"YES","NO")</f>
        <v/>
      </c>
      <c r="K291" s="20" t="inlineStr">
        <is>
          <t>Next-fastest time supplied in user workbook; swimmer name not yet supplied.</t>
        </is>
      </c>
      <c r="L291" s="40" t="n"/>
    </row>
    <row r="292" ht="15" customHeight="1" s="17">
      <c r="A292" s="20" t="inlineStr">
        <is>
          <t>NZ|LCM|M|17|400 Free</t>
        </is>
      </c>
      <c r="B292" s="20" t="n">
        <v>2</v>
      </c>
      <c r="C292" s="20" t="inlineStr">
        <is>
          <t>LCM</t>
        </is>
      </c>
      <c r="D292" s="20" t="inlineStr">
        <is>
          <t>Male</t>
        </is>
      </c>
      <c r="E292" s="20" t="n">
        <v>17</v>
      </c>
      <c r="F292" s="20" t="inlineStr">
        <is>
          <t>400 Free</t>
        </is>
      </c>
      <c r="G292" s="20" t="n"/>
      <c r="H292" s="20" t="inlineStr">
        <is>
          <t>3:52.15</t>
        </is>
      </c>
      <c r="I292" s="20">
        <f>IF(H292="","",IF(ISNUMBER(SEARCH(":",H292)),VALUE(LEFT(H292,SEARCH(":",H292)-1))*60+VALUE(MID(H292,SEARCH(":",H292)+1,99)),VALUE(H292)))</f>
        <v/>
      </c>
      <c r="J292" s="20">
        <f>IF(OR(G292&lt;&gt;"",AND(H292&lt;&gt;"",INDEX(05_Record_Benchmarks!$N:$N,MATCH(A292,05_Record_Benchmarks!$A:$A,0))="YES")),"YES","NO")</f>
        <v/>
      </c>
      <c r="K292" s="20" t="inlineStr">
        <is>
          <t>Next-fastest time supplied in user workbook; swimmer name not yet supplied.</t>
        </is>
      </c>
      <c r="L292" s="40" t="n"/>
    </row>
    <row r="293" ht="15" customHeight="1" s="17">
      <c r="A293" s="20" t="inlineStr">
        <is>
          <t>NZ|LCM|M|17|800 Free</t>
        </is>
      </c>
      <c r="B293" s="20" t="n">
        <v>2</v>
      </c>
      <c r="C293" s="20" t="inlineStr">
        <is>
          <t>LCM</t>
        </is>
      </c>
      <c r="D293" s="20" t="inlineStr">
        <is>
          <t>Male</t>
        </is>
      </c>
      <c r="E293" s="20" t="n">
        <v>17</v>
      </c>
      <c r="F293" s="20" t="inlineStr">
        <is>
          <t>800 Free</t>
        </is>
      </c>
      <c r="G293" s="20" t="n"/>
      <c r="H293" s="20" t="inlineStr">
        <is>
          <t>8:07.37</t>
        </is>
      </c>
      <c r="I293" s="20">
        <f>IF(H293="","",IF(ISNUMBER(SEARCH(":",H293)),VALUE(LEFT(H293,SEARCH(":",H293)-1))*60+VALUE(MID(H293,SEARCH(":",H293)+1,99)),VALUE(H293)))</f>
        <v/>
      </c>
      <c r="J293" s="20">
        <f>IF(OR(G293&lt;&gt;"",AND(H293&lt;&gt;"",INDEX(05_Record_Benchmarks!$N:$N,MATCH(A293,05_Record_Benchmarks!$A:$A,0))="YES")),"YES","NO")</f>
        <v/>
      </c>
      <c r="K293" s="20" t="inlineStr">
        <is>
          <t>User-supplied next-fastest time; Standard has no swimmer record holder.</t>
        </is>
      </c>
      <c r="L293" s="40" t="n"/>
    </row>
    <row r="294" ht="15" customHeight="1" s="17">
      <c r="A294" s="20" t="inlineStr">
        <is>
          <t>NZ|LCM|M|17|1500 Free</t>
        </is>
      </c>
      <c r="B294" s="20" t="n">
        <v>2</v>
      </c>
      <c r="C294" s="20" t="inlineStr">
        <is>
          <t>LCM</t>
        </is>
      </c>
      <c r="D294" s="20" t="inlineStr">
        <is>
          <t>Male</t>
        </is>
      </c>
      <c r="E294" s="20" t="n">
        <v>17</v>
      </c>
      <c r="F294" s="20" t="inlineStr">
        <is>
          <t>1500 Free</t>
        </is>
      </c>
      <c r="G294" s="20" t="n"/>
      <c r="H294" s="20" t="inlineStr">
        <is>
          <t>15:36.82</t>
        </is>
      </c>
      <c r="I294" s="20">
        <f>IF(H294="","",IF(ISNUMBER(SEARCH(":",H294)),VALUE(LEFT(H294,SEARCH(":",H294)-1))*60+VALUE(MID(H294,SEARCH(":",H294)+1,99)),VALUE(H294)))</f>
        <v/>
      </c>
      <c r="J294" s="20">
        <f>IF(OR(G294&lt;&gt;"",AND(H294&lt;&gt;"",INDEX(05_Record_Benchmarks!$N:$N,MATCH(A294,05_Record_Benchmarks!$A:$A,0))="YES")),"YES","NO")</f>
        <v/>
      </c>
      <c r="K294" s="20" t="inlineStr">
        <is>
          <t>Next-fastest time supplied in user workbook; swimmer name not yet supplied.</t>
        </is>
      </c>
      <c r="L294" s="40" t="n"/>
    </row>
    <row r="295" ht="15" customHeight="1" s="17">
      <c r="A295" s="20" t="inlineStr">
        <is>
          <t>NZ|LCM|M|17|50 Back</t>
        </is>
      </c>
      <c r="B295" s="20" t="n">
        <v>2</v>
      </c>
      <c r="C295" s="20" t="inlineStr">
        <is>
          <t>LCM</t>
        </is>
      </c>
      <c r="D295" s="20" t="inlineStr">
        <is>
          <t>Male</t>
        </is>
      </c>
      <c r="E295" s="20" t="n">
        <v>17</v>
      </c>
      <c r="F295" s="20" t="inlineStr">
        <is>
          <t>50 Back</t>
        </is>
      </c>
      <c r="G295" s="20" t="n"/>
      <c r="H295" s="20" t="inlineStr">
        <is>
          <t>25.66</t>
        </is>
      </c>
      <c r="I295" s="20">
        <f>IF(H295="","",IF(ISNUMBER(SEARCH(":",H295)),VALUE(LEFT(H295,SEARCH(":",H295)-1))*60+VALUE(MID(H295,SEARCH(":",H295)+1,99)),VALUE(H295)))</f>
        <v/>
      </c>
      <c r="J295" s="20">
        <f>IF(OR(G295&lt;&gt;"",AND(H295&lt;&gt;"",INDEX(05_Record_Benchmarks!$N:$N,MATCH(A295,05_Record_Benchmarks!$A:$A,0))="YES")),"YES","NO")</f>
        <v/>
      </c>
      <c r="K295" s="20" t="inlineStr">
        <is>
          <t>Next-fastest time supplied in user workbook; swimmer name not yet supplied.</t>
        </is>
      </c>
      <c r="L295" s="40" t="n"/>
    </row>
    <row r="296" ht="15" customHeight="1" s="17">
      <c r="A296" s="20" t="inlineStr">
        <is>
          <t>NZ|LCM|M|17|100 Back</t>
        </is>
      </c>
      <c r="B296" s="20" t="n">
        <v>2</v>
      </c>
      <c r="C296" s="20" t="inlineStr">
        <is>
          <t>LCM</t>
        </is>
      </c>
      <c r="D296" s="20" t="inlineStr">
        <is>
          <t>Male</t>
        </is>
      </c>
      <c r="E296" s="20" t="n">
        <v>17</v>
      </c>
      <c r="F296" s="20" t="inlineStr">
        <is>
          <t>100 Back</t>
        </is>
      </c>
      <c r="G296" s="20" t="n"/>
      <c r="H296" s="20" t="inlineStr">
        <is>
          <t>54.96</t>
        </is>
      </c>
      <c r="I296" s="20">
        <f>IF(H296="","",IF(ISNUMBER(SEARCH(":",H296)),VALUE(LEFT(H296,SEARCH(":",H296)-1))*60+VALUE(MID(H296,SEARCH(":",H296)+1,99)),VALUE(H296)))</f>
        <v/>
      </c>
      <c r="J296" s="20">
        <f>IF(OR(G296&lt;&gt;"",AND(H296&lt;&gt;"",INDEX(05_Record_Benchmarks!$N:$N,MATCH(A296,05_Record_Benchmarks!$A:$A,0))="YES")),"YES","NO")</f>
        <v/>
      </c>
      <c r="K296" s="20" t="inlineStr">
        <is>
          <t>Next-fastest time supplied in user workbook; swimmer name not yet supplied.</t>
        </is>
      </c>
      <c r="L296" s="40" t="n"/>
    </row>
    <row r="297" ht="15" customHeight="1" s="17">
      <c r="A297" s="20" t="inlineStr">
        <is>
          <t>NZ|LCM|M|17|200 Back</t>
        </is>
      </c>
      <c r="B297" s="20" t="n">
        <v>2</v>
      </c>
      <c r="C297" s="20" t="inlineStr">
        <is>
          <t>LCM</t>
        </is>
      </c>
      <c r="D297" s="20" t="inlineStr">
        <is>
          <t>Male</t>
        </is>
      </c>
      <c r="E297" s="20" t="n">
        <v>17</v>
      </c>
      <c r="F297" s="20" t="inlineStr">
        <is>
          <t>200 Back</t>
        </is>
      </c>
      <c r="G297" s="20" t="n"/>
      <c r="H297" s="20" t="inlineStr">
        <is>
          <t>1:59.52</t>
        </is>
      </c>
      <c r="I297" s="20">
        <f>IF(H297="","",IF(ISNUMBER(SEARCH(":",H297)),VALUE(LEFT(H297,SEARCH(":",H297)-1))*60+VALUE(MID(H297,SEARCH(":",H297)+1,99)),VALUE(H297)))</f>
        <v/>
      </c>
      <c r="J297" s="20">
        <f>IF(OR(G297&lt;&gt;"",AND(H297&lt;&gt;"",INDEX(05_Record_Benchmarks!$N:$N,MATCH(A297,05_Record_Benchmarks!$A:$A,0))="YES")),"YES","NO")</f>
        <v/>
      </c>
      <c r="K297" s="20" t="inlineStr">
        <is>
          <t>Next-fastest time supplied in user workbook; swimmer name not yet supplied.</t>
        </is>
      </c>
      <c r="L297" s="40" t="n"/>
    </row>
    <row r="298" ht="15" customHeight="1" s="17">
      <c r="A298" s="20" t="inlineStr">
        <is>
          <t>NZ|LCM|M|17|50 Breast</t>
        </is>
      </c>
      <c r="B298" s="20" t="n">
        <v>2</v>
      </c>
      <c r="C298" s="20" t="inlineStr">
        <is>
          <t>LCM</t>
        </is>
      </c>
      <c r="D298" s="20" t="inlineStr">
        <is>
          <t>Male</t>
        </is>
      </c>
      <c r="E298" s="20" t="n">
        <v>17</v>
      </c>
      <c r="F298" s="20" t="inlineStr">
        <is>
          <t>50 Breast</t>
        </is>
      </c>
      <c r="G298" s="20" t="n"/>
      <c r="H298" s="20" t="inlineStr">
        <is>
          <t>29.00</t>
        </is>
      </c>
      <c r="I298" s="20">
        <f>IF(H298="","",IF(ISNUMBER(SEARCH(":",H298)),VALUE(LEFT(H298,SEARCH(":",H298)-1))*60+VALUE(MID(H298,SEARCH(":",H298)+1,99)),VALUE(H298)))</f>
        <v/>
      </c>
      <c r="J298" s="20">
        <f>IF(OR(G298&lt;&gt;"",AND(H298&lt;&gt;"",INDEX(05_Record_Benchmarks!$N:$N,MATCH(A298,05_Record_Benchmarks!$A:$A,0))="YES")),"YES","NO")</f>
        <v/>
      </c>
      <c r="K298" s="20" t="inlineStr">
        <is>
          <t>Next-fastest time supplied in user workbook; swimmer name not yet supplied.</t>
        </is>
      </c>
      <c r="L298" s="40" t="n"/>
    </row>
    <row r="299" ht="15" customHeight="1" s="17">
      <c r="A299" s="20" t="inlineStr">
        <is>
          <t>NZ|LCM|M|17|100 Breast</t>
        </is>
      </c>
      <c r="B299" s="20" t="n">
        <v>2</v>
      </c>
      <c r="C299" s="20" t="inlineStr">
        <is>
          <t>LCM</t>
        </is>
      </c>
      <c r="D299" s="20" t="inlineStr">
        <is>
          <t>Male</t>
        </is>
      </c>
      <c r="E299" s="20" t="n">
        <v>17</v>
      </c>
      <c r="F299" s="20" t="inlineStr">
        <is>
          <t>100 Breast</t>
        </is>
      </c>
      <c r="G299" s="20" t="n"/>
      <c r="H299" s="20" t="inlineStr">
        <is>
          <t>1:03.11</t>
        </is>
      </c>
      <c r="I299" s="20">
        <f>IF(H299="","",IF(ISNUMBER(SEARCH(":",H299)),VALUE(LEFT(H299,SEARCH(":",H299)-1))*60+VALUE(MID(H299,SEARCH(":",H299)+1,99)),VALUE(H299)))</f>
        <v/>
      </c>
      <c r="J299" s="20">
        <f>IF(OR(G299&lt;&gt;"",AND(H299&lt;&gt;"",INDEX(05_Record_Benchmarks!$N:$N,MATCH(A299,05_Record_Benchmarks!$A:$A,0))="YES")),"YES","NO")</f>
        <v/>
      </c>
      <c r="K299" s="20" t="inlineStr">
        <is>
          <t>Next-fastest time supplied in user workbook; swimmer name not yet supplied.</t>
        </is>
      </c>
      <c r="L299" s="40" t="n"/>
    </row>
    <row r="300" ht="15" customHeight="1" s="17">
      <c r="A300" s="20" t="inlineStr">
        <is>
          <t>NZ|LCM|M|17|200 Breast</t>
        </is>
      </c>
      <c r="B300" s="20" t="n">
        <v>2</v>
      </c>
      <c r="C300" s="20" t="inlineStr">
        <is>
          <t>LCM</t>
        </is>
      </c>
      <c r="D300" s="20" t="inlineStr">
        <is>
          <t>Male</t>
        </is>
      </c>
      <c r="E300" s="20" t="n">
        <v>17</v>
      </c>
      <c r="F300" s="20" t="inlineStr">
        <is>
          <t>200 Breast</t>
        </is>
      </c>
      <c r="G300" s="20" t="n"/>
      <c r="H300" s="20" t="inlineStr">
        <is>
          <t>2:17.02</t>
        </is>
      </c>
      <c r="I300" s="20">
        <f>IF(H300="","",IF(ISNUMBER(SEARCH(":",H300)),VALUE(LEFT(H300,SEARCH(":",H300)-1))*60+VALUE(MID(H300,SEARCH(":",H300)+1,99)),VALUE(H300)))</f>
        <v/>
      </c>
      <c r="J300" s="20">
        <f>IF(OR(G300&lt;&gt;"",AND(H300&lt;&gt;"",INDEX(05_Record_Benchmarks!$N:$N,MATCH(A300,05_Record_Benchmarks!$A:$A,0))="YES")),"YES","NO")</f>
        <v/>
      </c>
      <c r="K300" s="20" t="inlineStr">
        <is>
          <t>Next-fastest time supplied in user workbook; swimmer name not yet supplied.</t>
        </is>
      </c>
      <c r="L300" s="40" t="n"/>
    </row>
    <row r="301" ht="15" customHeight="1" s="17">
      <c r="A301" s="20" t="inlineStr">
        <is>
          <t>NZ|LCM|M|17|50 Fly</t>
        </is>
      </c>
      <c r="B301" s="20" t="n">
        <v>2</v>
      </c>
      <c r="C301" s="20" t="inlineStr">
        <is>
          <t>LCM</t>
        </is>
      </c>
      <c r="D301" s="20" t="inlineStr">
        <is>
          <t>Male</t>
        </is>
      </c>
      <c r="E301" s="20" t="n">
        <v>17</v>
      </c>
      <c r="F301" s="20" t="inlineStr">
        <is>
          <t>50 Fly</t>
        </is>
      </c>
      <c r="G301" s="20" t="n"/>
      <c r="H301" s="20" t="inlineStr">
        <is>
          <t>24.62</t>
        </is>
      </c>
      <c r="I301" s="20">
        <f>IF(H301="","",IF(ISNUMBER(SEARCH(":",H301)),VALUE(LEFT(H301,SEARCH(":",H301)-1))*60+VALUE(MID(H301,SEARCH(":",H301)+1,99)),VALUE(H301)))</f>
        <v/>
      </c>
      <c r="J301" s="20">
        <f>IF(OR(G301&lt;&gt;"",AND(H301&lt;&gt;"",INDEX(05_Record_Benchmarks!$N:$N,MATCH(A301,05_Record_Benchmarks!$A:$A,0))="YES")),"YES","NO")</f>
        <v/>
      </c>
      <c r="K301" s="20" t="inlineStr">
        <is>
          <t>Next-fastest time supplied in user workbook; swimmer name not yet supplied.</t>
        </is>
      </c>
      <c r="L301" s="40" t="n"/>
    </row>
    <row r="302" ht="15" customHeight="1" s="17">
      <c r="A302" s="20" t="inlineStr">
        <is>
          <t>NZ|LCM|M|17|100 Fly</t>
        </is>
      </c>
      <c r="B302" s="20" t="n">
        <v>2</v>
      </c>
      <c r="C302" s="20" t="inlineStr">
        <is>
          <t>LCM</t>
        </is>
      </c>
      <c r="D302" s="20" t="inlineStr">
        <is>
          <t>Male</t>
        </is>
      </c>
      <c r="E302" s="20" t="n">
        <v>17</v>
      </c>
      <c r="F302" s="20" t="inlineStr">
        <is>
          <t>100 Fly</t>
        </is>
      </c>
      <c r="G302" s="20" t="n"/>
      <c r="H302" s="20" t="inlineStr">
        <is>
          <t>54.58</t>
        </is>
      </c>
      <c r="I302" s="20">
        <f>IF(H302="","",IF(ISNUMBER(SEARCH(":",H302)),VALUE(LEFT(H302,SEARCH(":",H302)-1))*60+VALUE(MID(H302,SEARCH(":",H302)+1,99)),VALUE(H302)))</f>
        <v/>
      </c>
      <c r="J302" s="20">
        <f>IF(OR(G302&lt;&gt;"",AND(H302&lt;&gt;"",INDEX(05_Record_Benchmarks!$N:$N,MATCH(A302,05_Record_Benchmarks!$A:$A,0))="YES")),"YES","NO")</f>
        <v/>
      </c>
      <c r="K302" s="20" t="inlineStr">
        <is>
          <t>Next-fastest time supplied in user workbook; swimmer name not yet supplied.</t>
        </is>
      </c>
      <c r="L302" s="40" t="n"/>
    </row>
    <row r="303" ht="15" customHeight="1" s="17">
      <c r="A303" s="20" t="inlineStr">
        <is>
          <t>NZ|LCM|M|17|200 Fly</t>
        </is>
      </c>
      <c r="B303" s="20" t="n">
        <v>2</v>
      </c>
      <c r="C303" s="20" t="inlineStr">
        <is>
          <t>LCM</t>
        </is>
      </c>
      <c r="D303" s="20" t="inlineStr">
        <is>
          <t>Male</t>
        </is>
      </c>
      <c r="E303" s="20" t="n">
        <v>17</v>
      </c>
      <c r="F303" s="20" t="inlineStr">
        <is>
          <t>200 Fly</t>
        </is>
      </c>
      <c r="G303" s="20" t="n"/>
      <c r="H303" s="20" t="inlineStr">
        <is>
          <t>1:59.27</t>
        </is>
      </c>
      <c r="I303" s="20">
        <f>IF(H303="","",IF(ISNUMBER(SEARCH(":",H303)),VALUE(LEFT(H303,SEARCH(":",H303)-1))*60+VALUE(MID(H303,SEARCH(":",H303)+1,99)),VALUE(H303)))</f>
        <v/>
      </c>
      <c r="J303" s="20">
        <f>IF(OR(G303&lt;&gt;"",AND(H303&lt;&gt;"",INDEX(05_Record_Benchmarks!$N:$N,MATCH(A303,05_Record_Benchmarks!$A:$A,0))="YES")),"YES","NO")</f>
        <v/>
      </c>
      <c r="K303" s="20" t="inlineStr">
        <is>
          <t>Next-fastest time supplied in user workbook; swimmer name not yet supplied.</t>
        </is>
      </c>
      <c r="L303" s="40" t="n"/>
    </row>
    <row r="304" ht="15" customHeight="1" s="17">
      <c r="A304" s="20" t="inlineStr">
        <is>
          <t>NZ|LCM|M|17|200 IM</t>
        </is>
      </c>
      <c r="B304" s="20" t="n">
        <v>2</v>
      </c>
      <c r="C304" s="20" t="inlineStr">
        <is>
          <t>LCM</t>
        </is>
      </c>
      <c r="D304" s="20" t="inlineStr">
        <is>
          <t>Male</t>
        </is>
      </c>
      <c r="E304" s="20" t="n">
        <v>17</v>
      </c>
      <c r="F304" s="20" t="inlineStr">
        <is>
          <t>200 IM</t>
        </is>
      </c>
      <c r="G304" s="20" t="n"/>
      <c r="H304" s="20" t="inlineStr">
        <is>
          <t>2:02.44</t>
        </is>
      </c>
      <c r="I304" s="20">
        <f>IF(H304="","",IF(ISNUMBER(SEARCH(":",H304)),VALUE(LEFT(H304,SEARCH(":",H304)-1))*60+VALUE(MID(H304,SEARCH(":",H304)+1,99)),VALUE(H304)))</f>
        <v/>
      </c>
      <c r="J304" s="20">
        <f>IF(OR(G304&lt;&gt;"",AND(H304&lt;&gt;"",INDEX(05_Record_Benchmarks!$N:$N,MATCH(A304,05_Record_Benchmarks!$A:$A,0))="YES")),"YES","NO")</f>
        <v/>
      </c>
      <c r="K304" s="20" t="inlineStr">
        <is>
          <t>Next-fastest time supplied in user workbook; swimmer name not yet supplied.</t>
        </is>
      </c>
      <c r="L304" s="40" t="n"/>
    </row>
    <row r="305" ht="15" customHeight="1" s="17">
      <c r="A305" s="20" t="inlineStr">
        <is>
          <t>NZ|LCM|M|17|400 IM</t>
        </is>
      </c>
      <c r="B305" s="20" t="n">
        <v>2</v>
      </c>
      <c r="C305" s="20" t="inlineStr">
        <is>
          <t>LCM</t>
        </is>
      </c>
      <c r="D305" s="20" t="inlineStr">
        <is>
          <t>Male</t>
        </is>
      </c>
      <c r="E305" s="20" t="n">
        <v>17</v>
      </c>
      <c r="F305" s="20" t="inlineStr">
        <is>
          <t>400 IM</t>
        </is>
      </c>
      <c r="G305" s="20" t="n"/>
      <c r="H305" s="20" t="inlineStr">
        <is>
          <t>4:21.05</t>
        </is>
      </c>
      <c r="I305" s="20">
        <f>IF(H305="","",IF(ISNUMBER(SEARCH(":",H305)),VALUE(LEFT(H305,SEARCH(":",H305)-1))*60+VALUE(MID(H305,SEARCH(":",H305)+1,99)),VALUE(H305)))</f>
        <v/>
      </c>
      <c r="J305" s="20">
        <f>IF(OR(G305&lt;&gt;"",AND(H305&lt;&gt;"",INDEX(05_Record_Benchmarks!$N:$N,MATCH(A305,05_Record_Benchmarks!$A:$A,0))="YES")),"YES","NO")</f>
        <v/>
      </c>
      <c r="K305" s="20" t="inlineStr">
        <is>
          <t>Next-fastest time supplied in user workbook; swimmer name not yet supplied.</t>
        </is>
      </c>
      <c r="L305" s="40" t="n"/>
    </row>
    <row r="306" ht="15" customHeight="1" s="17">
      <c r="A306" s="20" t="inlineStr">
        <is>
          <t>NZ|LCM|M|18|50 Free</t>
        </is>
      </c>
      <c r="B306" s="20" t="n">
        <v>2</v>
      </c>
      <c r="C306" s="20" t="inlineStr">
        <is>
          <t>LCM</t>
        </is>
      </c>
      <c r="D306" s="20" t="inlineStr">
        <is>
          <t>Male</t>
        </is>
      </c>
      <c r="E306" s="20" t="n">
        <v>18</v>
      </c>
      <c r="F306" s="20" t="inlineStr">
        <is>
          <t>50 Free</t>
        </is>
      </c>
      <c r="G306" s="20" t="n"/>
      <c r="H306" s="20" t="inlineStr">
        <is>
          <t>22.42</t>
        </is>
      </c>
      <c r="I306" s="20">
        <f>IF(H306="","",IF(ISNUMBER(SEARCH(":",H306)),VALUE(LEFT(H306,SEARCH(":",H306)-1))*60+VALUE(MID(H306,SEARCH(":",H306)+1,99)),VALUE(H306)))</f>
        <v/>
      </c>
      <c r="J306" s="20">
        <f>IF(OR(G306&lt;&gt;"",AND(H306&lt;&gt;"",INDEX(05_Record_Benchmarks!$N:$N,MATCH(A306,05_Record_Benchmarks!$A:$A,0))="YES")),"YES","NO")</f>
        <v/>
      </c>
      <c r="K306" s="20" t="inlineStr">
        <is>
          <t>Next-fastest time supplied in user workbook; swimmer name not yet supplied.</t>
        </is>
      </c>
      <c r="L306" s="40" t="n"/>
    </row>
    <row r="307" ht="15" customHeight="1" s="17">
      <c r="A307" s="20" t="inlineStr">
        <is>
          <t>NZ|LCM|M|18|100 Free</t>
        </is>
      </c>
      <c r="B307" s="20" t="n">
        <v>2</v>
      </c>
      <c r="C307" s="20" t="inlineStr">
        <is>
          <t>LCM</t>
        </is>
      </c>
      <c r="D307" s="20" t="inlineStr">
        <is>
          <t>Male</t>
        </is>
      </c>
      <c r="E307" s="20" t="n">
        <v>18</v>
      </c>
      <c r="F307" s="20" t="inlineStr">
        <is>
          <t>100 Free</t>
        </is>
      </c>
      <c r="G307" s="20" t="n"/>
      <c r="H307" s="20" t="inlineStr">
        <is>
          <t>49.77</t>
        </is>
      </c>
      <c r="I307" s="20">
        <f>IF(H307="","",IF(ISNUMBER(SEARCH(":",H307)),VALUE(LEFT(H307,SEARCH(":",H307)-1))*60+VALUE(MID(H307,SEARCH(":",H307)+1,99)),VALUE(H307)))</f>
        <v/>
      </c>
      <c r="J307" s="20">
        <f>IF(OR(G307&lt;&gt;"",AND(H307&lt;&gt;"",INDEX(05_Record_Benchmarks!$N:$N,MATCH(A307,05_Record_Benchmarks!$A:$A,0))="YES")),"YES","NO")</f>
        <v/>
      </c>
      <c r="K307" s="20" t="inlineStr">
        <is>
          <t>Comparator is the other joint record holder at the same time.</t>
        </is>
      </c>
      <c r="L307" s="40" t="n"/>
    </row>
    <row r="308" ht="15" customHeight="1" s="17">
      <c r="A308" s="20" t="inlineStr">
        <is>
          <t>NZ|LCM|M|18|200 Free</t>
        </is>
      </c>
      <c r="B308" s="20" t="n">
        <v>2</v>
      </c>
      <c r="C308" s="20" t="inlineStr">
        <is>
          <t>LCM</t>
        </is>
      </c>
      <c r="D308" s="20" t="inlineStr">
        <is>
          <t>Male</t>
        </is>
      </c>
      <c r="E308" s="20" t="n">
        <v>18</v>
      </c>
      <c r="F308" s="20" t="inlineStr">
        <is>
          <t>200 Free</t>
        </is>
      </c>
      <c r="G308" s="20" t="n"/>
      <c r="H308" s="20" t="inlineStr">
        <is>
          <t>1:48.94</t>
        </is>
      </c>
      <c r="I308" s="20">
        <f>IF(H308="","",IF(ISNUMBER(SEARCH(":",H308)),VALUE(LEFT(H308,SEARCH(":",H308)-1))*60+VALUE(MID(H308,SEARCH(":",H308)+1,99)),VALUE(H308)))</f>
        <v/>
      </c>
      <c r="J308" s="20">
        <f>IF(OR(G308&lt;&gt;"",AND(H308&lt;&gt;"",INDEX(05_Record_Benchmarks!$N:$N,MATCH(A308,05_Record_Benchmarks!$A:$A,0))="YES")),"YES","NO")</f>
        <v/>
      </c>
      <c r="K308" s="20" t="inlineStr">
        <is>
          <t>Next-fastest time supplied in user workbook; swimmer name not yet supplied.</t>
        </is>
      </c>
      <c r="L308" s="40" t="n"/>
    </row>
    <row r="309" ht="15" customHeight="1" s="17">
      <c r="A309" s="20" t="inlineStr">
        <is>
          <t>NZ|LCM|M|18|400 Free</t>
        </is>
      </c>
      <c r="B309" s="20" t="n">
        <v>2</v>
      </c>
      <c r="C309" s="20" t="inlineStr">
        <is>
          <t>LCM</t>
        </is>
      </c>
      <c r="D309" s="20" t="inlineStr">
        <is>
          <t>Male</t>
        </is>
      </c>
      <c r="E309" s="20" t="n">
        <v>18</v>
      </c>
      <c r="F309" s="20" t="inlineStr">
        <is>
          <t>400 Free</t>
        </is>
      </c>
      <c r="G309" s="20" t="n"/>
      <c r="H309" s="20" t="inlineStr">
        <is>
          <t>3:51.10</t>
        </is>
      </c>
      <c r="I309" s="20">
        <f>IF(H309="","",IF(ISNUMBER(SEARCH(":",H309)),VALUE(LEFT(H309,SEARCH(":",H309)-1))*60+VALUE(MID(H309,SEARCH(":",H309)+1,99)),VALUE(H309)))</f>
        <v/>
      </c>
      <c r="J309" s="20">
        <f>IF(OR(G309&lt;&gt;"",AND(H309&lt;&gt;"",INDEX(05_Record_Benchmarks!$N:$N,MATCH(A309,05_Record_Benchmarks!$A:$A,0))="YES")),"YES","NO")</f>
        <v/>
      </c>
      <c r="K309" s="20" t="inlineStr">
        <is>
          <t>User-supplied next-fastest time; Standard has no swimmer record holder.</t>
        </is>
      </c>
      <c r="L309" s="40" t="n"/>
    </row>
    <row r="310" ht="15" customHeight="1" s="17">
      <c r="A310" s="20" t="inlineStr">
        <is>
          <t>NZ|LCM|M|18|800 Free</t>
        </is>
      </c>
      <c r="B310" s="20" t="n">
        <v>2</v>
      </c>
      <c r="C310" s="20" t="inlineStr">
        <is>
          <t>LCM</t>
        </is>
      </c>
      <c r="D310" s="20" t="inlineStr">
        <is>
          <t>Male</t>
        </is>
      </c>
      <c r="E310" s="20" t="n">
        <v>18</v>
      </c>
      <c r="F310" s="20" t="inlineStr">
        <is>
          <t>800 Free</t>
        </is>
      </c>
      <c r="G310" s="20" t="n"/>
      <c r="H310" s="20" t="inlineStr">
        <is>
          <t>8:06.39</t>
        </is>
      </c>
      <c r="I310" s="20">
        <f>IF(H310="","",IF(ISNUMBER(SEARCH(":",H310)),VALUE(LEFT(H310,SEARCH(":",H310)-1))*60+VALUE(MID(H310,SEARCH(":",H310)+1,99)),VALUE(H310)))</f>
        <v/>
      </c>
      <c r="J310" s="20">
        <f>IF(OR(G310&lt;&gt;"",AND(H310&lt;&gt;"",INDEX(05_Record_Benchmarks!$N:$N,MATCH(A310,05_Record_Benchmarks!$A:$A,0))="YES")),"YES","NO")</f>
        <v/>
      </c>
      <c r="K310" s="20" t="inlineStr">
        <is>
          <t>Next-fastest time supplied in user workbook; swimmer name not yet supplied.</t>
        </is>
      </c>
      <c r="L310" s="40" t="n"/>
    </row>
    <row r="311" ht="15" customHeight="1" s="17">
      <c r="A311" s="20" t="inlineStr">
        <is>
          <t>NZ|LCM|M|18|1500 Free</t>
        </is>
      </c>
      <c r="B311" s="20" t="n">
        <v>2</v>
      </c>
      <c r="C311" s="20" t="inlineStr">
        <is>
          <t>LCM</t>
        </is>
      </c>
      <c r="D311" s="20" t="inlineStr">
        <is>
          <t>Male</t>
        </is>
      </c>
      <c r="E311" s="20" t="n">
        <v>18</v>
      </c>
      <c r="F311" s="20" t="inlineStr">
        <is>
          <t>1500 Free</t>
        </is>
      </c>
      <c r="G311" s="20" t="n"/>
      <c r="H311" s="20" t="inlineStr">
        <is>
          <t>15:30.74</t>
        </is>
      </c>
      <c r="I311" s="20">
        <f>IF(H311="","",IF(ISNUMBER(SEARCH(":",H311)),VALUE(LEFT(H311,SEARCH(":",H311)-1))*60+VALUE(MID(H311,SEARCH(":",H311)+1,99)),VALUE(H311)))</f>
        <v/>
      </c>
      <c r="J311" s="20">
        <f>IF(OR(G311&lt;&gt;"",AND(H311&lt;&gt;"",INDEX(05_Record_Benchmarks!$N:$N,MATCH(A311,05_Record_Benchmarks!$A:$A,0))="YES")),"YES","NO")</f>
        <v/>
      </c>
      <c r="K311" s="20" t="inlineStr">
        <is>
          <t>Next-fastest time supplied in user workbook; swimmer name not yet supplied.</t>
        </is>
      </c>
      <c r="L311" s="40" t="n"/>
    </row>
    <row r="312" ht="15" customHeight="1" s="17">
      <c r="A312" s="20" t="inlineStr">
        <is>
          <t>NZ|LCM|M|18|50 Back</t>
        </is>
      </c>
      <c r="B312" s="20" t="n">
        <v>2</v>
      </c>
      <c r="C312" s="20" t="inlineStr">
        <is>
          <t>LCM</t>
        </is>
      </c>
      <c r="D312" s="20" t="inlineStr">
        <is>
          <t>Male</t>
        </is>
      </c>
      <c r="E312" s="20" t="n">
        <v>18</v>
      </c>
      <c r="F312" s="20" t="inlineStr">
        <is>
          <t>50 Back</t>
        </is>
      </c>
      <c r="G312" s="20" t="n"/>
      <c r="H312" s="20" t="inlineStr">
        <is>
          <t>25.27</t>
        </is>
      </c>
      <c r="I312" s="20">
        <f>IF(H312="","",IF(ISNUMBER(SEARCH(":",H312)),VALUE(LEFT(H312,SEARCH(":",H312)-1))*60+VALUE(MID(H312,SEARCH(":",H312)+1,99)),VALUE(H312)))</f>
        <v/>
      </c>
      <c r="J312" s="20">
        <f>IF(OR(G312&lt;&gt;"",AND(H312&lt;&gt;"",INDEX(05_Record_Benchmarks!$N:$N,MATCH(A312,05_Record_Benchmarks!$A:$A,0))="YES")),"YES","NO")</f>
        <v/>
      </c>
      <c r="K312" s="20" t="inlineStr">
        <is>
          <t>Next-fastest time supplied in user workbook; swimmer name not yet supplied.</t>
        </is>
      </c>
      <c r="L312" s="40" t="n"/>
    </row>
    <row r="313" ht="15" customHeight="1" s="17">
      <c r="A313" s="20" t="inlineStr">
        <is>
          <t>NZ|LCM|M|18|100 Back</t>
        </is>
      </c>
      <c r="B313" s="20" t="n">
        <v>2</v>
      </c>
      <c r="C313" s="20" t="inlineStr">
        <is>
          <t>LCM</t>
        </is>
      </c>
      <c r="D313" s="20" t="inlineStr">
        <is>
          <t>Male</t>
        </is>
      </c>
      <c r="E313" s="20" t="n">
        <v>18</v>
      </c>
      <c r="F313" s="20" t="inlineStr">
        <is>
          <t>100 Back</t>
        </is>
      </c>
      <c r="G313" s="20" t="n"/>
      <c r="H313" s="20" t="inlineStr">
        <is>
          <t>54.57</t>
        </is>
      </c>
      <c r="I313" s="20">
        <f>IF(H313="","",IF(ISNUMBER(SEARCH(":",H313)),VALUE(LEFT(H313,SEARCH(":",H313)-1))*60+VALUE(MID(H313,SEARCH(":",H313)+1,99)),VALUE(H313)))</f>
        <v/>
      </c>
      <c r="J313" s="20">
        <f>IF(OR(G313&lt;&gt;"",AND(H313&lt;&gt;"",INDEX(05_Record_Benchmarks!$N:$N,MATCH(A313,05_Record_Benchmarks!$A:$A,0))="YES")),"YES","NO")</f>
        <v/>
      </c>
      <c r="K313" s="20" t="inlineStr">
        <is>
          <t>Next-fastest time supplied in user workbook; swimmer name not yet supplied.</t>
        </is>
      </c>
      <c r="L313" s="40" t="n"/>
    </row>
    <row r="314" ht="15" customHeight="1" s="17">
      <c r="A314" s="20" t="inlineStr">
        <is>
          <t>NZ|LCM|M|18|200 Back</t>
        </is>
      </c>
      <c r="B314" s="20" t="n">
        <v>2</v>
      </c>
      <c r="C314" s="20" t="inlineStr">
        <is>
          <t>LCM</t>
        </is>
      </c>
      <c r="D314" s="20" t="inlineStr">
        <is>
          <t>Male</t>
        </is>
      </c>
      <c r="E314" s="20" t="n">
        <v>18</v>
      </c>
      <c r="F314" s="20" t="inlineStr">
        <is>
          <t>200 Back</t>
        </is>
      </c>
      <c r="G314" s="20" t="n"/>
      <c r="H314" s="20" t="inlineStr">
        <is>
          <t>1:59.67</t>
        </is>
      </c>
      <c r="I314" s="20">
        <f>IF(H314="","",IF(ISNUMBER(SEARCH(":",H314)),VALUE(LEFT(H314,SEARCH(":",H314)-1))*60+VALUE(MID(H314,SEARCH(":",H314)+1,99)),VALUE(H314)))</f>
        <v/>
      </c>
      <c r="J314" s="20">
        <f>IF(OR(G314&lt;&gt;"",AND(H314&lt;&gt;"",INDEX(05_Record_Benchmarks!$N:$N,MATCH(A314,05_Record_Benchmarks!$A:$A,0))="YES")),"YES","NO")</f>
        <v/>
      </c>
      <c r="K314" s="20" t="inlineStr">
        <is>
          <t>Next-fastest time supplied in user workbook; swimmer name not yet supplied.</t>
        </is>
      </c>
      <c r="L314" s="40" t="n"/>
    </row>
    <row r="315" ht="15" customHeight="1" s="17">
      <c r="A315" s="20" t="inlineStr">
        <is>
          <t>NZ|LCM|M|18|50 Breast</t>
        </is>
      </c>
      <c r="B315" s="20" t="n">
        <v>2</v>
      </c>
      <c r="C315" s="20" t="inlineStr">
        <is>
          <t>LCM</t>
        </is>
      </c>
      <c r="D315" s="20" t="inlineStr">
        <is>
          <t>Male</t>
        </is>
      </c>
      <c r="E315" s="20" t="n">
        <v>18</v>
      </c>
      <c r="F315" s="20" t="inlineStr">
        <is>
          <t>50 Breast</t>
        </is>
      </c>
      <c r="G315" s="20" t="n"/>
      <c r="H315" s="20" t="inlineStr">
        <is>
          <t>28.68</t>
        </is>
      </c>
      <c r="I315" s="20">
        <f>IF(H315="","",IF(ISNUMBER(SEARCH(":",H315)),VALUE(LEFT(H315,SEARCH(":",H315)-1))*60+VALUE(MID(H315,SEARCH(":",H315)+1,99)),VALUE(H315)))</f>
        <v/>
      </c>
      <c r="J315" s="20">
        <f>IF(OR(G315&lt;&gt;"",AND(H315&lt;&gt;"",INDEX(05_Record_Benchmarks!$N:$N,MATCH(A315,05_Record_Benchmarks!$A:$A,0))="YES")),"YES","NO")</f>
        <v/>
      </c>
      <c r="K315" s="20" t="inlineStr">
        <is>
          <t>Next-fastest time supplied in user workbook; swimmer name not yet supplied.</t>
        </is>
      </c>
      <c r="L315" s="40" t="n"/>
    </row>
    <row r="316" ht="15" customHeight="1" s="17">
      <c r="A316" s="20" t="inlineStr">
        <is>
          <t>NZ|LCM|M|18|100 Breast</t>
        </is>
      </c>
      <c r="B316" s="20" t="n">
        <v>2</v>
      </c>
      <c r="C316" s="20" t="inlineStr">
        <is>
          <t>LCM</t>
        </is>
      </c>
      <c r="D316" s="20" t="inlineStr">
        <is>
          <t>Male</t>
        </is>
      </c>
      <c r="E316" s="20" t="n">
        <v>18</v>
      </c>
      <c r="F316" s="20" t="inlineStr">
        <is>
          <t>100 Breast</t>
        </is>
      </c>
      <c r="G316" s="20" t="n"/>
      <c r="H316" s="20" t="inlineStr">
        <is>
          <t>1:02.90</t>
        </is>
      </c>
      <c r="I316" s="20">
        <f>IF(H316="","",IF(ISNUMBER(SEARCH(":",H316)),VALUE(LEFT(H316,SEARCH(":",H316)-1))*60+VALUE(MID(H316,SEARCH(":",H316)+1,99)),VALUE(H316)))</f>
        <v/>
      </c>
      <c r="J316" s="20">
        <f>IF(OR(G316&lt;&gt;"",AND(H316&lt;&gt;"",INDEX(05_Record_Benchmarks!$N:$N,MATCH(A316,05_Record_Benchmarks!$A:$A,0))="YES")),"YES","NO")</f>
        <v/>
      </c>
      <c r="K316" s="20" t="inlineStr">
        <is>
          <t>Next-fastest time supplied in user workbook; swimmer name not yet supplied.</t>
        </is>
      </c>
      <c r="L316" s="40" t="n"/>
    </row>
    <row r="317" ht="15" customHeight="1" s="17">
      <c r="A317" s="20" t="inlineStr">
        <is>
          <t>NZ|LCM|M|18|200 Breast</t>
        </is>
      </c>
      <c r="B317" s="20" t="n">
        <v>2</v>
      </c>
      <c r="C317" s="20" t="inlineStr">
        <is>
          <t>LCM</t>
        </is>
      </c>
      <c r="D317" s="20" t="inlineStr">
        <is>
          <t>Male</t>
        </is>
      </c>
      <c r="E317" s="20" t="n">
        <v>18</v>
      </c>
      <c r="F317" s="20" t="inlineStr">
        <is>
          <t>200 Breast</t>
        </is>
      </c>
      <c r="G317" s="20" t="n"/>
      <c r="H317" s="20" t="inlineStr">
        <is>
          <t>2:16.37</t>
        </is>
      </c>
      <c r="I317" s="20">
        <f>IF(H317="","",IF(ISNUMBER(SEARCH(":",H317)),VALUE(LEFT(H317,SEARCH(":",H317)-1))*60+VALUE(MID(H317,SEARCH(":",H317)+1,99)),VALUE(H317)))</f>
        <v/>
      </c>
      <c r="J317" s="20">
        <f>IF(OR(G317&lt;&gt;"",AND(H317&lt;&gt;"",INDEX(05_Record_Benchmarks!$N:$N,MATCH(A317,05_Record_Benchmarks!$A:$A,0))="YES")),"YES","NO")</f>
        <v/>
      </c>
      <c r="K317" s="20" t="inlineStr">
        <is>
          <t>Next-fastest time supplied in user workbook; swimmer name not yet supplied.</t>
        </is>
      </c>
      <c r="L317" s="40" t="n"/>
    </row>
    <row r="318" ht="15" customHeight="1" s="17">
      <c r="A318" s="20" t="inlineStr">
        <is>
          <t>NZ|LCM|M|18|50 Fly</t>
        </is>
      </c>
      <c r="B318" s="20" t="n">
        <v>2</v>
      </c>
      <c r="C318" s="20" t="inlineStr">
        <is>
          <t>LCM</t>
        </is>
      </c>
      <c r="D318" s="20" t="inlineStr">
        <is>
          <t>Male</t>
        </is>
      </c>
      <c r="E318" s="20" t="n">
        <v>18</v>
      </c>
      <c r="F318" s="20" t="inlineStr">
        <is>
          <t>50 Fly</t>
        </is>
      </c>
      <c r="G318" s="20" t="n"/>
      <c r="H318" s="20" t="inlineStr">
        <is>
          <t>23.51</t>
        </is>
      </c>
      <c r="I318" s="20">
        <f>IF(H318="","",IF(ISNUMBER(SEARCH(":",H318)),VALUE(LEFT(H318,SEARCH(":",H318)-1))*60+VALUE(MID(H318,SEARCH(":",H318)+1,99)),VALUE(H318)))</f>
        <v/>
      </c>
      <c r="J318" s="20">
        <f>IF(OR(G318&lt;&gt;"",AND(H318&lt;&gt;"",INDEX(05_Record_Benchmarks!$N:$N,MATCH(A318,05_Record_Benchmarks!$A:$A,0))="YES")),"YES","NO")</f>
        <v/>
      </c>
      <c r="K318" s="20" t="inlineStr">
        <is>
          <t>Next-fastest time supplied in user workbook; swimmer name not yet supplied.</t>
        </is>
      </c>
      <c r="L318" s="40" t="n"/>
    </row>
    <row r="319" ht="15" customHeight="1" s="17">
      <c r="A319" s="20" t="inlineStr">
        <is>
          <t>NZ|LCM|M|18|100 Fly</t>
        </is>
      </c>
      <c r="B319" s="20" t="n">
        <v>2</v>
      </c>
      <c r="C319" s="20" t="inlineStr">
        <is>
          <t>LCM</t>
        </is>
      </c>
      <c r="D319" s="20" t="inlineStr">
        <is>
          <t>Male</t>
        </is>
      </c>
      <c r="E319" s="20" t="n">
        <v>18</v>
      </c>
      <c r="F319" s="20" t="inlineStr">
        <is>
          <t>100 Fly</t>
        </is>
      </c>
      <c r="G319" s="20" t="n"/>
      <c r="H319" s="20" t="inlineStr">
        <is>
          <t>52.50</t>
        </is>
      </c>
      <c r="I319" s="20">
        <f>IF(H319="","",IF(ISNUMBER(SEARCH(":",H319)),VALUE(LEFT(H319,SEARCH(":",H319)-1))*60+VALUE(MID(H319,SEARCH(":",H319)+1,99)),VALUE(H319)))</f>
        <v/>
      </c>
      <c r="J319" s="20">
        <f>IF(OR(G319&lt;&gt;"",AND(H319&lt;&gt;"",INDEX(05_Record_Benchmarks!$N:$N,MATCH(A319,05_Record_Benchmarks!$A:$A,0))="YES")),"YES","NO")</f>
        <v/>
      </c>
      <c r="K319" s="20" t="inlineStr">
        <is>
          <t>Next-fastest time supplied in user workbook; swimmer name not yet supplied.</t>
        </is>
      </c>
      <c r="L319" s="40" t="n"/>
    </row>
    <row r="320" ht="15" customHeight="1" s="17">
      <c r="A320" s="20" t="inlineStr">
        <is>
          <t>NZ|LCM|M|18|200 Fly</t>
        </is>
      </c>
      <c r="B320" s="20" t="n">
        <v>2</v>
      </c>
      <c r="C320" s="20" t="inlineStr">
        <is>
          <t>LCM</t>
        </is>
      </c>
      <c r="D320" s="20" t="inlineStr">
        <is>
          <t>Male</t>
        </is>
      </c>
      <c r="E320" s="20" t="n">
        <v>18</v>
      </c>
      <c r="F320" s="20" t="inlineStr">
        <is>
          <t>200 Fly</t>
        </is>
      </c>
      <c r="G320" s="20" t="n"/>
      <c r="H320" s="20" t="inlineStr">
        <is>
          <t>1:59.42</t>
        </is>
      </c>
      <c r="I320" s="20">
        <f>IF(H320="","",IF(ISNUMBER(SEARCH(":",H320)),VALUE(LEFT(H320,SEARCH(":",H320)-1))*60+VALUE(MID(H320,SEARCH(":",H320)+1,99)),VALUE(H320)))</f>
        <v/>
      </c>
      <c r="J320" s="20">
        <f>IF(OR(G320&lt;&gt;"",AND(H320&lt;&gt;"",INDEX(05_Record_Benchmarks!$N:$N,MATCH(A320,05_Record_Benchmarks!$A:$A,0))="YES")),"YES","NO")</f>
        <v/>
      </c>
      <c r="K320" s="20" t="inlineStr">
        <is>
          <t>User-supplied next-fastest time; Standard has no swimmer record holder.</t>
        </is>
      </c>
      <c r="L320" s="40" t="n"/>
    </row>
    <row r="321" ht="15" customHeight="1" s="17">
      <c r="A321" s="20" t="inlineStr">
        <is>
          <t>NZ|LCM|M|18|200 IM</t>
        </is>
      </c>
      <c r="B321" s="20" t="n">
        <v>2</v>
      </c>
      <c r="C321" s="20" t="inlineStr">
        <is>
          <t>LCM</t>
        </is>
      </c>
      <c r="D321" s="20" t="inlineStr">
        <is>
          <t>Male</t>
        </is>
      </c>
      <c r="E321" s="20" t="n">
        <v>18</v>
      </c>
      <c r="F321" s="20" t="inlineStr">
        <is>
          <t>200 IM</t>
        </is>
      </c>
      <c r="G321" s="20" t="n"/>
      <c r="H321" s="20" t="inlineStr">
        <is>
          <t>2:02.86</t>
        </is>
      </c>
      <c r="I321" s="20">
        <f>IF(H321="","",IF(ISNUMBER(SEARCH(":",H321)),VALUE(LEFT(H321,SEARCH(":",H321)-1))*60+VALUE(MID(H321,SEARCH(":",H321)+1,99)),VALUE(H321)))</f>
        <v/>
      </c>
      <c r="J321" s="20">
        <f>IF(OR(G321&lt;&gt;"",AND(H321&lt;&gt;"",INDEX(05_Record_Benchmarks!$N:$N,MATCH(A321,05_Record_Benchmarks!$A:$A,0))="YES")),"YES","NO")</f>
        <v/>
      </c>
      <c r="K321" s="20" t="inlineStr">
        <is>
          <t>Next-fastest time supplied in user workbook; swimmer name not yet supplied.</t>
        </is>
      </c>
      <c r="L321" s="40" t="n"/>
    </row>
    <row r="322" ht="15" customHeight="1" s="17">
      <c r="A322" s="20" t="inlineStr">
        <is>
          <t>NZ|LCM|M|18|400 IM</t>
        </is>
      </c>
      <c r="B322" s="20" t="n">
        <v>2</v>
      </c>
      <c r="C322" s="20" t="inlineStr">
        <is>
          <t>LCM</t>
        </is>
      </c>
      <c r="D322" s="20" t="inlineStr">
        <is>
          <t>Male</t>
        </is>
      </c>
      <c r="E322" s="20" t="n">
        <v>18</v>
      </c>
      <c r="F322" s="20" t="inlineStr">
        <is>
          <t>400 IM</t>
        </is>
      </c>
      <c r="G322" s="20" t="inlineStr">
        <is>
          <t>Kevin Litherland</t>
        </is>
      </c>
      <c r="H322" s="20" t="inlineStr">
        <is>
          <t>4:23.06</t>
        </is>
      </c>
      <c r="I322" s="20">
        <f>IF(H322="","",IF(ISNUMBER(SEARCH(":",H322)),VALUE(LEFT(H322,SEARCH(":",H322)-1))*60+VALUE(MID(H322,SEARCH(":",H322)+1,99)),VALUE(H322)))</f>
        <v/>
      </c>
      <c r="J322" s="20">
        <f>IF(OR(G322&lt;&gt;"",AND(H322&lt;&gt;"",INDEX(05_Record_Benchmarks!$N:$N,MATCH(A322,05_Record_Benchmarks!$A:$A,0))="YES")),"YES","NO")</f>
        <v/>
      </c>
      <c r="K322" s="20" t="inlineStr">
        <is>
          <t>Next-fastest time supplied in user workbook; swimmer name not yet supplied.</t>
        </is>
      </c>
      <c r="L322" s="40" t="n">
        <v>46303</v>
      </c>
    </row>
    <row r="323" ht="15" customHeight="1" s="17">
      <c r="A323" s="20" t="inlineStr">
        <is>
          <t>NZ|LCM|F|13|50 Free</t>
        </is>
      </c>
      <c r="B323" s="20" t="n">
        <v>2</v>
      </c>
      <c r="C323" s="20" t="inlineStr">
        <is>
          <t>LCM</t>
        </is>
      </c>
      <c r="D323" s="20" t="inlineStr">
        <is>
          <t>Female</t>
        </is>
      </c>
      <c r="E323" s="20" t="n">
        <v>13</v>
      </c>
      <c r="F323" s="20" t="inlineStr">
        <is>
          <t>50 Free</t>
        </is>
      </c>
      <c r="G323" s="20" t="n"/>
      <c r="H323" s="20" t="inlineStr">
        <is>
          <t>26.40</t>
        </is>
      </c>
      <c r="I323" s="20">
        <f>IF(H323="","",IF(ISNUMBER(SEARCH(":",H323)),VALUE(LEFT(H323,SEARCH(":",H323)-1))*60+VALUE(MID(H323,SEARCH(":",H323)+1,99)),VALUE(H323)))</f>
        <v/>
      </c>
      <c r="J323" s="20">
        <f>IF(OR(G323&lt;&gt;"",AND(H323&lt;&gt;"",INDEX(05_Record_Benchmarks!$N:$N,MATCH(A323,05_Record_Benchmarks!$A:$A,0))="YES")),"YES","NO")</f>
        <v/>
      </c>
      <c r="K323" s="20" t="inlineStr">
        <is>
          <t>Next-fastest time supplied in user workbook; swimmer name not yet supplied.</t>
        </is>
      </c>
      <c r="L323" s="40" t="n"/>
    </row>
    <row r="324" ht="15" customHeight="1" s="17">
      <c r="A324" s="20" t="inlineStr">
        <is>
          <t>NZ|LCM|F|13|100 Free</t>
        </is>
      </c>
      <c r="B324" s="20" t="n">
        <v>2</v>
      </c>
      <c r="C324" s="20" t="inlineStr">
        <is>
          <t>LCM</t>
        </is>
      </c>
      <c r="D324" s="20" t="inlineStr">
        <is>
          <t>Female</t>
        </is>
      </c>
      <c r="E324" s="20" t="n">
        <v>13</v>
      </c>
      <c r="F324" s="20" t="inlineStr">
        <is>
          <t>100 Free</t>
        </is>
      </c>
      <c r="G324" s="20" t="n"/>
      <c r="H324" s="20" t="inlineStr">
        <is>
          <t>58.94</t>
        </is>
      </c>
      <c r="I324" s="20">
        <f>IF(H324="","",IF(ISNUMBER(SEARCH(":",H324)),VALUE(LEFT(H324,SEARCH(":",H324)-1))*60+VALUE(MID(H324,SEARCH(":",H324)+1,99)),VALUE(H324)))</f>
        <v/>
      </c>
      <c r="J324" s="20">
        <f>IF(OR(G324&lt;&gt;"",AND(H324&lt;&gt;"",INDEX(05_Record_Benchmarks!$N:$N,MATCH(A324,05_Record_Benchmarks!$A:$A,0))="YES")),"YES","NO")</f>
        <v/>
      </c>
      <c r="K324" s="20" t="inlineStr">
        <is>
          <t>Next-fastest time supplied in user workbook; swimmer name not yet supplied.</t>
        </is>
      </c>
      <c r="L324" s="40" t="n"/>
    </row>
    <row r="325" ht="15" customHeight="1" s="17">
      <c r="A325" s="20" t="inlineStr">
        <is>
          <t>NZ|LCM|F|13|200 Free</t>
        </is>
      </c>
      <c r="B325" s="20" t="n">
        <v>2</v>
      </c>
      <c r="C325" s="20" t="inlineStr">
        <is>
          <t>LCM</t>
        </is>
      </c>
      <c r="D325" s="20" t="inlineStr">
        <is>
          <t>Female</t>
        </is>
      </c>
      <c r="E325" s="20" t="n">
        <v>13</v>
      </c>
      <c r="F325" s="20" t="inlineStr">
        <is>
          <t>200 Free</t>
        </is>
      </c>
      <c r="G325" s="20" t="n"/>
      <c r="H325" s="20" t="inlineStr">
        <is>
          <t>2:07.11</t>
        </is>
      </c>
      <c r="I325" s="20">
        <f>IF(H325="","",IF(ISNUMBER(SEARCH(":",H325)),VALUE(LEFT(H325,SEARCH(":",H325)-1))*60+VALUE(MID(H325,SEARCH(":",H325)+1,99)),VALUE(H325)))</f>
        <v/>
      </c>
      <c r="J325" s="20">
        <f>IF(OR(G325&lt;&gt;"",AND(H325&lt;&gt;"",INDEX(05_Record_Benchmarks!$N:$N,MATCH(A325,05_Record_Benchmarks!$A:$A,0))="YES")),"YES","NO")</f>
        <v/>
      </c>
      <c r="K325" s="20" t="inlineStr">
        <is>
          <t>Next-fastest time supplied in user workbook; swimmer name not yet supplied.</t>
        </is>
      </c>
      <c r="L325" s="40" t="n"/>
    </row>
    <row r="326" ht="15" customHeight="1" s="17">
      <c r="A326" s="20" t="inlineStr">
        <is>
          <t>NZ|LCM|F|13|400 Free</t>
        </is>
      </c>
      <c r="B326" s="20" t="n">
        <v>2</v>
      </c>
      <c r="C326" s="20" t="inlineStr">
        <is>
          <t>LCM</t>
        </is>
      </c>
      <c r="D326" s="20" t="inlineStr">
        <is>
          <t>Female</t>
        </is>
      </c>
      <c r="E326" s="20" t="n">
        <v>13</v>
      </c>
      <c r="F326" s="20" t="inlineStr">
        <is>
          <t>400 Free</t>
        </is>
      </c>
      <c r="G326" s="20" t="n"/>
      <c r="H326" s="20" t="inlineStr">
        <is>
          <t>4:28.57</t>
        </is>
      </c>
      <c r="I326" s="20">
        <f>IF(H326="","",IF(ISNUMBER(SEARCH(":",H326)),VALUE(LEFT(H326,SEARCH(":",H326)-1))*60+VALUE(MID(H326,SEARCH(":",H326)+1,99)),VALUE(H326)))</f>
        <v/>
      </c>
      <c r="J326" s="20">
        <f>IF(OR(G326&lt;&gt;"",AND(H326&lt;&gt;"",INDEX(05_Record_Benchmarks!$N:$N,MATCH(A326,05_Record_Benchmarks!$A:$A,0))="YES")),"YES","NO")</f>
        <v/>
      </c>
      <c r="K326" s="20" t="inlineStr">
        <is>
          <t>Next-fastest time supplied in user workbook; swimmer name not yet supplied.</t>
        </is>
      </c>
      <c r="L326" s="40" t="n"/>
    </row>
    <row r="327" ht="15" customHeight="1" s="17">
      <c r="A327" s="20" t="inlineStr">
        <is>
          <t>NZ|LCM|F|13|800 Free</t>
        </is>
      </c>
      <c r="B327" s="20" t="n">
        <v>2</v>
      </c>
      <c r="C327" s="20" t="inlineStr">
        <is>
          <t>LCM</t>
        </is>
      </c>
      <c r="D327" s="20" t="inlineStr">
        <is>
          <t>Female</t>
        </is>
      </c>
      <c r="E327" s="20" t="n">
        <v>13</v>
      </c>
      <c r="F327" s="20" t="inlineStr">
        <is>
          <t>800 Free</t>
        </is>
      </c>
      <c r="G327" s="20" t="n"/>
      <c r="H327" s="20" t="inlineStr">
        <is>
          <t>9:12.80</t>
        </is>
      </c>
      <c r="I327" s="20">
        <f>IF(H327="","",IF(ISNUMBER(SEARCH(":",H327)),VALUE(LEFT(H327,SEARCH(":",H327)-1))*60+VALUE(MID(H327,SEARCH(":",H327)+1,99)),VALUE(H327)))</f>
        <v/>
      </c>
      <c r="J327" s="20">
        <f>IF(OR(G327&lt;&gt;"",AND(H327&lt;&gt;"",INDEX(05_Record_Benchmarks!$N:$N,MATCH(A327,05_Record_Benchmarks!$A:$A,0))="YES")),"YES","NO")</f>
        <v/>
      </c>
      <c r="K327" s="20" t="inlineStr">
        <is>
          <t>Next-fastest time supplied in user workbook; swimmer name not yet supplied.</t>
        </is>
      </c>
      <c r="L327" s="40" t="n"/>
    </row>
    <row r="328" ht="15" customHeight="1" s="17">
      <c r="A328" s="20" t="inlineStr">
        <is>
          <t>NZ|LCM|F|13|1500 Free</t>
        </is>
      </c>
      <c r="B328" s="20" t="n">
        <v>2</v>
      </c>
      <c r="C328" s="20" t="inlineStr">
        <is>
          <t>LCM</t>
        </is>
      </c>
      <c r="D328" s="20" t="inlineStr">
        <is>
          <t>Female</t>
        </is>
      </c>
      <c r="E328" s="20" t="n">
        <v>13</v>
      </c>
      <c r="F328" s="20" t="inlineStr">
        <is>
          <t>1500 Free</t>
        </is>
      </c>
      <c r="G328" s="20" t="n"/>
      <c r="H328" s="20" t="inlineStr">
        <is>
          <t>17:48.73</t>
        </is>
      </c>
      <c r="I328" s="20">
        <f>IF(H328="","",IF(ISNUMBER(SEARCH(":",H328)),VALUE(LEFT(H328,SEARCH(":",H328)-1))*60+VALUE(MID(H328,SEARCH(":",H328)+1,99)),VALUE(H328)))</f>
        <v/>
      </c>
      <c r="J328" s="20">
        <f>IF(OR(G328&lt;&gt;"",AND(H328&lt;&gt;"",INDEX(05_Record_Benchmarks!$N:$N,MATCH(A328,05_Record_Benchmarks!$A:$A,0))="YES")),"YES","NO")</f>
        <v/>
      </c>
      <c r="K328" s="20" t="inlineStr">
        <is>
          <t>Next-fastest time supplied in user workbook; swimmer name not yet supplied.</t>
        </is>
      </c>
      <c r="L328" s="40" t="n"/>
    </row>
    <row r="329" ht="15" customHeight="1" s="17">
      <c r="A329" s="20" t="inlineStr">
        <is>
          <t>NZ|LCM|F|13|50 Back</t>
        </is>
      </c>
      <c r="B329" s="20" t="n">
        <v>2</v>
      </c>
      <c r="C329" s="20" t="inlineStr">
        <is>
          <t>LCM</t>
        </is>
      </c>
      <c r="D329" s="20" t="inlineStr">
        <is>
          <t>Female</t>
        </is>
      </c>
      <c r="E329" s="20" t="n">
        <v>13</v>
      </c>
      <c r="F329" s="20" t="inlineStr">
        <is>
          <t>50 Back</t>
        </is>
      </c>
      <c r="G329" s="20" t="inlineStr">
        <is>
          <t>Bobbi Gichard</t>
        </is>
      </c>
      <c r="H329" s="20" t="inlineStr">
        <is>
          <t>29.14</t>
        </is>
      </c>
      <c r="I329" s="20">
        <f>IF(H329="","",IF(ISNUMBER(SEARCH(":",H329)),VALUE(LEFT(H329,SEARCH(":",H329)-1))*60+VALUE(MID(H329,SEARCH(":",H329)+1,99)),VALUE(H329)))</f>
        <v/>
      </c>
      <c r="J329" s="20">
        <f>IF(OR(G329&lt;&gt;"",AND(H329&lt;&gt;"",INDEX(05_Record_Benchmarks!$N:$N,MATCH(A329,05_Record_Benchmarks!$A:$A,0))="YES")),"YES","NO")</f>
        <v/>
      </c>
      <c r="K329" s="20" t="inlineStr">
        <is>
          <t>Next-fastest time supplied in user workbook; swimmer name not yet supplied.</t>
        </is>
      </c>
      <c r="L329" s="40" t="n">
        <v>46303</v>
      </c>
    </row>
    <row r="330" ht="15" customHeight="1" s="17">
      <c r="A330" s="20" t="inlineStr">
        <is>
          <t>NZ|LCM|F|13|100 Back</t>
        </is>
      </c>
      <c r="B330" s="20" t="n">
        <v>2</v>
      </c>
      <c r="C330" s="20" t="inlineStr">
        <is>
          <t>LCM</t>
        </is>
      </c>
      <c r="D330" s="20" t="inlineStr">
        <is>
          <t>Female</t>
        </is>
      </c>
      <c r="E330" s="20" t="n">
        <v>13</v>
      </c>
      <c r="F330" s="20" t="inlineStr">
        <is>
          <t>100 Back</t>
        </is>
      </c>
      <c r="G330" s="20" t="n"/>
      <c r="H330" s="20" t="inlineStr">
        <is>
          <t>1:03.01</t>
        </is>
      </c>
      <c r="I330" s="20">
        <f>IF(H330="","",IF(ISNUMBER(SEARCH(":",H330)),VALUE(LEFT(H330,SEARCH(":",H330)-1))*60+VALUE(MID(H330,SEARCH(":",H330)+1,99)),VALUE(H330)))</f>
        <v/>
      </c>
      <c r="J330" s="20">
        <f>IF(OR(G330&lt;&gt;"",AND(H330&lt;&gt;"",INDEX(05_Record_Benchmarks!$N:$N,MATCH(A330,05_Record_Benchmarks!$A:$A,0))="YES")),"YES","NO")</f>
        <v/>
      </c>
      <c r="K330" s="20" t="inlineStr">
        <is>
          <t>Next-fastest time supplied in user workbook; swimmer name not yet supplied.</t>
        </is>
      </c>
      <c r="L330" s="40" t="n"/>
    </row>
    <row r="331" ht="15" customHeight="1" s="17">
      <c r="A331" s="20" t="inlineStr">
        <is>
          <t>NZ|LCM|F|13|200 Back</t>
        </is>
      </c>
      <c r="B331" s="20" t="n">
        <v>2</v>
      </c>
      <c r="C331" s="20" t="inlineStr">
        <is>
          <t>LCM</t>
        </is>
      </c>
      <c r="D331" s="20" t="inlineStr">
        <is>
          <t>Female</t>
        </is>
      </c>
      <c r="E331" s="20" t="n">
        <v>13</v>
      </c>
      <c r="F331" s="20" t="inlineStr">
        <is>
          <t>200 Back</t>
        </is>
      </c>
      <c r="G331" s="20" t="n"/>
      <c r="H331" s="20" t="inlineStr">
        <is>
          <t>2:19.18</t>
        </is>
      </c>
      <c r="I331" s="20">
        <f>IF(H331="","",IF(ISNUMBER(SEARCH(":",H331)),VALUE(LEFT(H331,SEARCH(":",H331)-1))*60+VALUE(MID(H331,SEARCH(":",H331)+1,99)),VALUE(H331)))</f>
        <v/>
      </c>
      <c r="J331" s="20">
        <f>IF(OR(G331&lt;&gt;"",AND(H331&lt;&gt;"",INDEX(05_Record_Benchmarks!$N:$N,MATCH(A331,05_Record_Benchmarks!$A:$A,0))="YES")),"YES","NO")</f>
        <v/>
      </c>
      <c r="K331" s="20" t="inlineStr">
        <is>
          <t>Next-fastest time supplied in user workbook; swimmer name not yet supplied.</t>
        </is>
      </c>
      <c r="L331" s="40" t="n"/>
    </row>
    <row r="332" ht="15" customHeight="1" s="17">
      <c r="A332" s="20" t="inlineStr">
        <is>
          <t>NZ|LCM|F|13|50 Breast</t>
        </is>
      </c>
      <c r="B332" s="20" t="n">
        <v>2</v>
      </c>
      <c r="C332" s="20" t="inlineStr">
        <is>
          <t>LCM</t>
        </is>
      </c>
      <c r="D332" s="20" t="inlineStr">
        <is>
          <t>Female</t>
        </is>
      </c>
      <c r="E332" s="20" t="n">
        <v>13</v>
      </c>
      <c r="F332" s="20" t="inlineStr">
        <is>
          <t>50 Breast</t>
        </is>
      </c>
      <c r="G332" s="20" t="n"/>
      <c r="H332" s="20" t="inlineStr">
        <is>
          <t>33.69</t>
        </is>
      </c>
      <c r="I332" s="20">
        <f>IF(H332="","",IF(ISNUMBER(SEARCH(":",H332)),VALUE(LEFT(H332,SEARCH(":",H332)-1))*60+VALUE(MID(H332,SEARCH(":",H332)+1,99)),VALUE(H332)))</f>
        <v/>
      </c>
      <c r="J332" s="20">
        <f>IF(OR(G332&lt;&gt;"",AND(H332&lt;&gt;"",INDEX(05_Record_Benchmarks!$N:$N,MATCH(A332,05_Record_Benchmarks!$A:$A,0))="YES")),"YES","NO")</f>
        <v/>
      </c>
      <c r="K332" s="20" t="inlineStr">
        <is>
          <t>Next-fastest time supplied in user workbook; swimmer name not yet supplied.</t>
        </is>
      </c>
      <c r="L332" s="40" t="n"/>
    </row>
    <row r="333" ht="15" customHeight="1" s="17">
      <c r="A333" s="20" t="inlineStr">
        <is>
          <t>NZ|LCM|F|13|100 Breast</t>
        </is>
      </c>
      <c r="B333" s="20" t="n">
        <v>2</v>
      </c>
      <c r="C333" s="20" t="inlineStr">
        <is>
          <t>LCM</t>
        </is>
      </c>
      <c r="D333" s="20" t="inlineStr">
        <is>
          <t>Female</t>
        </is>
      </c>
      <c r="E333" s="20" t="n">
        <v>13</v>
      </c>
      <c r="F333" s="20" t="inlineStr">
        <is>
          <t>100 Breast</t>
        </is>
      </c>
      <c r="G333" s="20" t="n"/>
      <c r="H333" s="20" t="inlineStr">
        <is>
          <t>1:13.91</t>
        </is>
      </c>
      <c r="I333" s="20">
        <f>IF(H333="","",IF(ISNUMBER(SEARCH(":",H333)),VALUE(LEFT(H333,SEARCH(":",H333)-1))*60+VALUE(MID(H333,SEARCH(":",H333)+1,99)),VALUE(H333)))</f>
        <v/>
      </c>
      <c r="J333" s="20">
        <f>IF(OR(G333&lt;&gt;"",AND(H333&lt;&gt;"",INDEX(05_Record_Benchmarks!$N:$N,MATCH(A333,05_Record_Benchmarks!$A:$A,0))="YES")),"YES","NO")</f>
        <v/>
      </c>
      <c r="K333" s="20" t="inlineStr">
        <is>
          <t>Next-fastest time supplied in user workbook; swimmer name not yet supplied.</t>
        </is>
      </c>
      <c r="L333" s="40" t="n"/>
    </row>
    <row r="334" ht="15" customHeight="1" s="17">
      <c r="A334" s="20" t="inlineStr">
        <is>
          <t>NZ|LCM|F|13|200 Breast</t>
        </is>
      </c>
      <c r="B334" s="20" t="n">
        <v>2</v>
      </c>
      <c r="C334" s="20" t="inlineStr">
        <is>
          <t>LCM</t>
        </is>
      </c>
      <c r="D334" s="20" t="inlineStr">
        <is>
          <t>Female</t>
        </is>
      </c>
      <c r="E334" s="20" t="n">
        <v>13</v>
      </c>
      <c r="F334" s="20" t="inlineStr">
        <is>
          <t>200 Breast</t>
        </is>
      </c>
      <c r="G334" s="20" t="n"/>
      <c r="H334" s="20" t="inlineStr">
        <is>
          <t>2:39.14</t>
        </is>
      </c>
      <c r="I334" s="20">
        <f>IF(H334="","",IF(ISNUMBER(SEARCH(":",H334)),VALUE(LEFT(H334,SEARCH(":",H334)-1))*60+VALUE(MID(H334,SEARCH(":",H334)+1,99)),VALUE(H334)))</f>
        <v/>
      </c>
      <c r="J334" s="20">
        <f>IF(OR(G334&lt;&gt;"",AND(H334&lt;&gt;"",INDEX(05_Record_Benchmarks!$N:$N,MATCH(A334,05_Record_Benchmarks!$A:$A,0))="YES")),"YES","NO")</f>
        <v/>
      </c>
      <c r="K334" s="20" t="inlineStr">
        <is>
          <t>Next-fastest time supplied in user workbook; swimmer name not yet supplied.</t>
        </is>
      </c>
      <c r="L334" s="40" t="n"/>
    </row>
    <row r="335" ht="15" customHeight="1" s="17">
      <c r="A335" s="20" t="inlineStr">
        <is>
          <t>NZ|LCM|F|13|50 Fly</t>
        </is>
      </c>
      <c r="B335" s="20" t="n">
        <v>2</v>
      </c>
      <c r="C335" s="20" t="inlineStr">
        <is>
          <t>LCM</t>
        </is>
      </c>
      <c r="D335" s="20" t="inlineStr">
        <is>
          <t>Female</t>
        </is>
      </c>
      <c r="E335" s="20" t="n">
        <v>13</v>
      </c>
      <c r="F335" s="20" t="inlineStr">
        <is>
          <t>50 Fly</t>
        </is>
      </c>
      <c r="G335" s="20" t="n"/>
      <c r="H335" s="20" t="inlineStr">
        <is>
          <t>28.40</t>
        </is>
      </c>
      <c r="I335" s="20">
        <f>IF(H335="","",IF(ISNUMBER(SEARCH(":",H335)),VALUE(LEFT(H335,SEARCH(":",H335)-1))*60+VALUE(MID(H335,SEARCH(":",H335)+1,99)),VALUE(H335)))</f>
        <v/>
      </c>
      <c r="J335" s="20">
        <f>IF(OR(G335&lt;&gt;"",AND(H335&lt;&gt;"",INDEX(05_Record_Benchmarks!$N:$N,MATCH(A335,05_Record_Benchmarks!$A:$A,0))="YES")),"YES","NO")</f>
        <v/>
      </c>
      <c r="K335" s="20" t="inlineStr">
        <is>
          <t>Next-fastest time supplied in user workbook; swimmer name not yet supplied.</t>
        </is>
      </c>
      <c r="L335" s="40" t="n"/>
    </row>
    <row r="336" ht="15" customHeight="1" s="17">
      <c r="A336" s="20" t="inlineStr">
        <is>
          <t>NZ|LCM|F|13|100 Fly</t>
        </is>
      </c>
      <c r="B336" s="20" t="n">
        <v>2</v>
      </c>
      <c r="C336" s="20" t="inlineStr">
        <is>
          <t>LCM</t>
        </is>
      </c>
      <c r="D336" s="20" t="inlineStr">
        <is>
          <t>Female</t>
        </is>
      </c>
      <c r="E336" s="20" t="n">
        <v>13</v>
      </c>
      <c r="F336" s="20" t="inlineStr">
        <is>
          <t>100 Fly</t>
        </is>
      </c>
      <c r="G336" s="20" t="n"/>
      <c r="H336" s="20" t="inlineStr">
        <is>
          <t>1:02.68</t>
        </is>
      </c>
      <c r="I336" s="20">
        <f>IF(H336="","",IF(ISNUMBER(SEARCH(":",H336)),VALUE(LEFT(H336,SEARCH(":",H336)-1))*60+VALUE(MID(H336,SEARCH(":",H336)+1,99)),VALUE(H336)))</f>
        <v/>
      </c>
      <c r="J336" s="20">
        <f>IF(OR(G336&lt;&gt;"",AND(H336&lt;&gt;"",INDEX(05_Record_Benchmarks!$N:$N,MATCH(A336,05_Record_Benchmarks!$A:$A,0))="YES")),"YES","NO")</f>
        <v/>
      </c>
      <c r="K336" s="20" t="inlineStr">
        <is>
          <t>Next-fastest time supplied in user workbook; swimmer name not yet supplied.</t>
        </is>
      </c>
      <c r="L336" s="40" t="n"/>
    </row>
    <row r="337" ht="15" customHeight="1" s="17">
      <c r="A337" s="20" t="inlineStr">
        <is>
          <t>NZ|LCM|F|13|200 Fly</t>
        </is>
      </c>
      <c r="B337" s="20" t="n">
        <v>2</v>
      </c>
      <c r="C337" s="20" t="inlineStr">
        <is>
          <t>LCM</t>
        </is>
      </c>
      <c r="D337" s="20" t="inlineStr">
        <is>
          <t>Female</t>
        </is>
      </c>
      <c r="E337" s="20" t="n">
        <v>13</v>
      </c>
      <c r="F337" s="20" t="inlineStr">
        <is>
          <t>200 Fly</t>
        </is>
      </c>
      <c r="G337" s="20" t="n"/>
      <c r="H337" s="20" t="inlineStr">
        <is>
          <t>2:23.22</t>
        </is>
      </c>
      <c r="I337" s="20">
        <f>IF(H337="","",IF(ISNUMBER(SEARCH(":",H337)),VALUE(LEFT(H337,SEARCH(":",H337)-1))*60+VALUE(MID(H337,SEARCH(":",H337)+1,99)),VALUE(H337)))</f>
        <v/>
      </c>
      <c r="J337" s="20">
        <f>IF(OR(G337&lt;&gt;"",AND(H337&lt;&gt;"",INDEX(05_Record_Benchmarks!$N:$N,MATCH(A337,05_Record_Benchmarks!$A:$A,0))="YES")),"YES","NO")</f>
        <v/>
      </c>
      <c r="K337" s="20" t="inlineStr">
        <is>
          <t>Next-fastest time supplied in user workbook; swimmer name not yet supplied.</t>
        </is>
      </c>
      <c r="L337" s="40" t="n"/>
    </row>
    <row r="338" ht="15" customHeight="1" s="17">
      <c r="A338" s="20" t="inlineStr">
        <is>
          <t>NZ|LCM|F|13|200 IM</t>
        </is>
      </c>
      <c r="B338" s="20" t="n">
        <v>2</v>
      </c>
      <c r="C338" s="20" t="inlineStr">
        <is>
          <t>LCM</t>
        </is>
      </c>
      <c r="D338" s="20" t="inlineStr">
        <is>
          <t>Female</t>
        </is>
      </c>
      <c r="E338" s="20" t="n">
        <v>13</v>
      </c>
      <c r="F338" s="20" t="inlineStr">
        <is>
          <t>200 IM</t>
        </is>
      </c>
      <c r="G338" s="20" t="n"/>
      <c r="H338" s="20" t="inlineStr">
        <is>
          <t>2:22.50</t>
        </is>
      </c>
      <c r="I338" s="20">
        <f>IF(H338="","",IF(ISNUMBER(SEARCH(":",H338)),VALUE(LEFT(H338,SEARCH(":",H338)-1))*60+VALUE(MID(H338,SEARCH(":",H338)+1,99)),VALUE(H338)))</f>
        <v/>
      </c>
      <c r="J338" s="20">
        <f>IF(OR(G338&lt;&gt;"",AND(H338&lt;&gt;"",INDEX(05_Record_Benchmarks!$N:$N,MATCH(A338,05_Record_Benchmarks!$A:$A,0))="YES")),"YES","NO")</f>
        <v/>
      </c>
      <c r="K338" s="20" t="inlineStr">
        <is>
          <t>Next-fastest time supplied in user workbook; swimmer name not yet supplied.</t>
        </is>
      </c>
      <c r="L338" s="40" t="n"/>
    </row>
    <row r="339" ht="15" customHeight="1" s="17">
      <c r="A339" s="20" t="inlineStr">
        <is>
          <t>NZ|LCM|F|13|400 IM</t>
        </is>
      </c>
      <c r="B339" s="20" t="n">
        <v>2</v>
      </c>
      <c r="C339" s="20" t="inlineStr">
        <is>
          <t>LCM</t>
        </is>
      </c>
      <c r="D339" s="20" t="inlineStr">
        <is>
          <t>Female</t>
        </is>
      </c>
      <c r="E339" s="20" t="n">
        <v>13</v>
      </c>
      <c r="F339" s="20" t="inlineStr">
        <is>
          <t>400 IM</t>
        </is>
      </c>
      <c r="G339" s="20" t="n"/>
      <c r="H339" s="20" t="inlineStr">
        <is>
          <t>5:01.07</t>
        </is>
      </c>
      <c r="I339" s="20">
        <f>IF(H339="","",IF(ISNUMBER(SEARCH(":",H339)),VALUE(LEFT(H339,SEARCH(":",H339)-1))*60+VALUE(MID(H339,SEARCH(":",H339)+1,99)),VALUE(H339)))</f>
        <v/>
      </c>
      <c r="J339" s="20">
        <f>IF(OR(G339&lt;&gt;"",AND(H339&lt;&gt;"",INDEX(05_Record_Benchmarks!$N:$N,MATCH(A339,05_Record_Benchmarks!$A:$A,0))="YES")),"YES","NO")</f>
        <v/>
      </c>
      <c r="K339" s="20" t="inlineStr">
        <is>
          <t>Next-fastest time supplied in user workbook; swimmer name not yet supplied.</t>
        </is>
      </c>
      <c r="L339" s="40" t="n"/>
    </row>
    <row r="340" ht="15" customHeight="1" s="17">
      <c r="A340" s="20" t="inlineStr">
        <is>
          <t>NZ|LCM|F|14|50 Free</t>
        </is>
      </c>
      <c r="B340" s="20" t="n">
        <v>2</v>
      </c>
      <c r="C340" s="20" t="inlineStr">
        <is>
          <t>LCM</t>
        </is>
      </c>
      <c r="D340" s="20" t="inlineStr">
        <is>
          <t>Female</t>
        </is>
      </c>
      <c r="E340" s="20" t="n">
        <v>14</v>
      </c>
      <c r="F340" s="20" t="inlineStr">
        <is>
          <t>50 Free</t>
        </is>
      </c>
      <c r="G340" s="20" t="n"/>
      <c r="H340" s="20" t="inlineStr">
        <is>
          <t>26.15</t>
        </is>
      </c>
      <c r="I340" s="20">
        <f>IF(H340="","",IF(ISNUMBER(SEARCH(":",H340)),VALUE(LEFT(H340,SEARCH(":",H340)-1))*60+VALUE(MID(H340,SEARCH(":",H340)+1,99)),VALUE(H340)))</f>
        <v/>
      </c>
      <c r="J340" s="20">
        <f>IF(OR(G340&lt;&gt;"",AND(H340&lt;&gt;"",INDEX(05_Record_Benchmarks!$N:$N,MATCH(A340,05_Record_Benchmarks!$A:$A,0))="YES")),"YES","NO")</f>
        <v/>
      </c>
      <c r="K340" s="20" t="inlineStr">
        <is>
          <t>Next-fastest time supplied in user workbook; swimmer name not yet supplied.</t>
        </is>
      </c>
      <c r="L340" s="40" t="n"/>
    </row>
    <row r="341" ht="15" customHeight="1" s="17">
      <c r="A341" s="20" t="inlineStr">
        <is>
          <t>NZ|LCM|F|14|100 Free</t>
        </is>
      </c>
      <c r="B341" s="20" t="n">
        <v>2</v>
      </c>
      <c r="C341" s="20" t="inlineStr">
        <is>
          <t>LCM</t>
        </is>
      </c>
      <c r="D341" s="20" t="inlineStr">
        <is>
          <t>Female</t>
        </is>
      </c>
      <c r="E341" s="20" t="n">
        <v>14</v>
      </c>
      <c r="F341" s="20" t="inlineStr">
        <is>
          <t>100 Free</t>
        </is>
      </c>
      <c r="G341" s="20" t="n"/>
      <c r="H341" s="20" t="inlineStr">
        <is>
          <t>57.25</t>
        </is>
      </c>
      <c r="I341" s="20">
        <f>IF(H341="","",IF(ISNUMBER(SEARCH(":",H341)),VALUE(LEFT(H341,SEARCH(":",H341)-1))*60+VALUE(MID(H341,SEARCH(":",H341)+1,99)),VALUE(H341)))</f>
        <v/>
      </c>
      <c r="J341" s="20">
        <f>IF(OR(G341&lt;&gt;"",AND(H341&lt;&gt;"",INDEX(05_Record_Benchmarks!$N:$N,MATCH(A341,05_Record_Benchmarks!$A:$A,0))="YES")),"YES","NO")</f>
        <v/>
      </c>
      <c r="K341" s="20" t="inlineStr">
        <is>
          <t>Next-fastest time supplied in user workbook; swimmer name not yet supplied.</t>
        </is>
      </c>
      <c r="L341" s="40" t="n"/>
    </row>
    <row r="342" ht="15" customHeight="1" s="17">
      <c r="A342" s="20" t="inlineStr">
        <is>
          <t>NZ|LCM|F|14|200 Free</t>
        </is>
      </c>
      <c r="B342" s="20" t="n">
        <v>2</v>
      </c>
      <c r="C342" s="20" t="inlineStr">
        <is>
          <t>LCM</t>
        </is>
      </c>
      <c r="D342" s="20" t="inlineStr">
        <is>
          <t>Female</t>
        </is>
      </c>
      <c r="E342" s="20" t="n">
        <v>14</v>
      </c>
      <c r="F342" s="20" t="inlineStr">
        <is>
          <t>200 Free</t>
        </is>
      </c>
      <c r="G342" s="20" t="n"/>
      <c r="H342" s="20" t="inlineStr">
        <is>
          <t>2:02.91</t>
        </is>
      </c>
      <c r="I342" s="20">
        <f>IF(H342="","",IF(ISNUMBER(SEARCH(":",H342)),VALUE(LEFT(H342,SEARCH(":",H342)-1))*60+VALUE(MID(H342,SEARCH(":",H342)+1,99)),VALUE(H342)))</f>
        <v/>
      </c>
      <c r="J342" s="20">
        <f>IF(OR(G342&lt;&gt;"",AND(H342&lt;&gt;"",INDEX(05_Record_Benchmarks!$N:$N,MATCH(A342,05_Record_Benchmarks!$A:$A,0))="YES")),"YES","NO")</f>
        <v/>
      </c>
      <c r="K342" s="20" t="inlineStr">
        <is>
          <t>Next-fastest time supplied in user workbook; swimmer name not yet supplied.</t>
        </is>
      </c>
      <c r="L342" s="40" t="n"/>
    </row>
    <row r="343" ht="15" customHeight="1" s="17">
      <c r="A343" s="20" t="inlineStr">
        <is>
          <t>NZ|LCM|F|14|400 Free</t>
        </is>
      </c>
      <c r="B343" s="20" t="n">
        <v>2</v>
      </c>
      <c r="C343" s="20" t="inlineStr">
        <is>
          <t>LCM</t>
        </is>
      </c>
      <c r="D343" s="20" t="inlineStr">
        <is>
          <t>Female</t>
        </is>
      </c>
      <c r="E343" s="20" t="n">
        <v>14</v>
      </c>
      <c r="F343" s="20" t="inlineStr">
        <is>
          <t>400 Free</t>
        </is>
      </c>
      <c r="G343" s="20" t="inlineStr">
        <is>
          <t>Laticia-Leigh Transom</t>
        </is>
      </c>
      <c r="H343" s="20" t="inlineStr">
        <is>
          <t>4:21.35</t>
        </is>
      </c>
      <c r="I343" s="20">
        <f>IF(H343="","",IF(ISNUMBER(SEARCH(":",H343)),VALUE(LEFT(H343,SEARCH(":",H343)-1))*60+VALUE(MID(H343,SEARCH(":",H343)+1,99)),VALUE(H343)))</f>
        <v/>
      </c>
      <c r="J343" s="20">
        <f>IF(OR(G343&lt;&gt;"",AND(H343&lt;&gt;"",INDEX(05_Record_Benchmarks!$N:$N,MATCH(A343,05_Record_Benchmarks!$A:$A,0))="YES")),"YES","NO")</f>
        <v/>
      </c>
      <c r="K343" s="20" t="inlineStr">
        <is>
          <t>Next-fastest time supplied in user workbook; swimmer name not yet supplied.</t>
        </is>
      </c>
      <c r="L343" s="40" t="n">
        <v>46303</v>
      </c>
    </row>
    <row r="344" ht="15" customHeight="1" s="17">
      <c r="A344" s="20" t="inlineStr">
        <is>
          <t>NZ|LCM|F|14|800 Free</t>
        </is>
      </c>
      <c r="B344" s="20" t="n">
        <v>2</v>
      </c>
      <c r="C344" s="20" t="inlineStr">
        <is>
          <t>LCM</t>
        </is>
      </c>
      <c r="D344" s="20" t="inlineStr">
        <is>
          <t>Female</t>
        </is>
      </c>
      <c r="E344" s="20" t="n">
        <v>14</v>
      </c>
      <c r="F344" s="20" t="inlineStr">
        <is>
          <t>800 Free</t>
        </is>
      </c>
      <c r="G344" s="20" t="n"/>
      <c r="H344" s="20" t="inlineStr">
        <is>
          <t>8:56.96</t>
        </is>
      </c>
      <c r="I344" s="20">
        <f>IF(H344="","",IF(ISNUMBER(SEARCH(":",H344)),VALUE(LEFT(H344,SEARCH(":",H344)-1))*60+VALUE(MID(H344,SEARCH(":",H344)+1,99)),VALUE(H344)))</f>
        <v/>
      </c>
      <c r="J344" s="20">
        <f>IF(OR(G344&lt;&gt;"",AND(H344&lt;&gt;"",INDEX(05_Record_Benchmarks!$N:$N,MATCH(A344,05_Record_Benchmarks!$A:$A,0))="YES")),"YES","NO")</f>
        <v/>
      </c>
      <c r="K344" s="20" t="inlineStr">
        <is>
          <t>Next-fastest time supplied in user workbook; swimmer name not yet supplied.</t>
        </is>
      </c>
      <c r="L344" s="40" t="n"/>
    </row>
    <row r="345" ht="15" customHeight="1" s="17">
      <c r="A345" s="20" t="inlineStr">
        <is>
          <t>NZ|LCM|F|14|1500 Free</t>
        </is>
      </c>
      <c r="B345" s="20" t="n">
        <v>2</v>
      </c>
      <c r="C345" s="20" t="inlineStr">
        <is>
          <t>LCM</t>
        </is>
      </c>
      <c r="D345" s="20" t="inlineStr">
        <is>
          <t>Female</t>
        </is>
      </c>
      <c r="E345" s="20" t="n">
        <v>14</v>
      </c>
      <c r="F345" s="20" t="inlineStr">
        <is>
          <t>1500 Free</t>
        </is>
      </c>
      <c r="G345" s="20" t="n"/>
      <c r="H345" s="20" t="inlineStr">
        <is>
          <t>17:29.74</t>
        </is>
      </c>
      <c r="I345" s="20">
        <f>IF(H345="","",IF(ISNUMBER(SEARCH(":",H345)),VALUE(LEFT(H345,SEARCH(":",H345)-1))*60+VALUE(MID(H345,SEARCH(":",H345)+1,99)),VALUE(H345)))</f>
        <v/>
      </c>
      <c r="J345" s="20">
        <f>IF(OR(G345&lt;&gt;"",AND(H345&lt;&gt;"",INDEX(05_Record_Benchmarks!$N:$N,MATCH(A345,05_Record_Benchmarks!$A:$A,0))="YES")),"YES","NO")</f>
        <v/>
      </c>
      <c r="K345" s="20" t="inlineStr">
        <is>
          <t>Next-fastest time supplied in user workbook; swimmer name not yet supplied.</t>
        </is>
      </c>
      <c r="L345" s="40" t="n"/>
    </row>
    <row r="346" ht="15" customHeight="1" s="17">
      <c r="A346" s="20" t="inlineStr">
        <is>
          <t>NZ|LCM|F|14|50 Back</t>
        </is>
      </c>
      <c r="B346" s="20" t="n">
        <v>2</v>
      </c>
      <c r="C346" s="20" t="inlineStr">
        <is>
          <t>LCM</t>
        </is>
      </c>
      <c r="D346" s="20" t="inlineStr">
        <is>
          <t>Female</t>
        </is>
      </c>
      <c r="E346" s="20" t="n">
        <v>14</v>
      </c>
      <c r="F346" s="20" t="inlineStr">
        <is>
          <t>50 Back</t>
        </is>
      </c>
      <c r="G346" s="20" t="n"/>
      <c r="H346" s="20" t="inlineStr">
        <is>
          <t>28.98</t>
        </is>
      </c>
      <c r="I346" s="20">
        <f>IF(H346="","",IF(ISNUMBER(SEARCH(":",H346)),VALUE(LEFT(H346,SEARCH(":",H346)-1))*60+VALUE(MID(H346,SEARCH(":",H346)+1,99)),VALUE(H346)))</f>
        <v/>
      </c>
      <c r="J346" s="20">
        <f>IF(OR(G346&lt;&gt;"",AND(H346&lt;&gt;"",INDEX(05_Record_Benchmarks!$N:$N,MATCH(A346,05_Record_Benchmarks!$A:$A,0))="YES")),"YES","NO")</f>
        <v/>
      </c>
      <c r="K346" s="20" t="inlineStr">
        <is>
          <t>Next-fastest time supplied in user workbook; swimmer name not yet supplied.</t>
        </is>
      </c>
      <c r="L346" s="40" t="n"/>
    </row>
    <row r="347" ht="15" customHeight="1" s="17">
      <c r="A347" s="20" t="inlineStr">
        <is>
          <t>NZ|LCM|F|14|100 Back</t>
        </is>
      </c>
      <c r="B347" s="20" t="n">
        <v>2</v>
      </c>
      <c r="C347" s="20" t="inlineStr">
        <is>
          <t>LCM</t>
        </is>
      </c>
      <c r="D347" s="20" t="inlineStr">
        <is>
          <t>Female</t>
        </is>
      </c>
      <c r="E347" s="20" t="n">
        <v>14</v>
      </c>
      <c r="F347" s="20" t="inlineStr">
        <is>
          <t>100 Back</t>
        </is>
      </c>
      <c r="G347" s="20" t="n"/>
      <c r="H347" s="20" t="inlineStr">
        <is>
          <t>1:01.32</t>
        </is>
      </c>
      <c r="I347" s="20">
        <f>IF(H347="","",IF(ISNUMBER(SEARCH(":",H347)),VALUE(LEFT(H347,SEARCH(":",H347)-1))*60+VALUE(MID(H347,SEARCH(":",H347)+1,99)),VALUE(H347)))</f>
        <v/>
      </c>
      <c r="J347" s="20">
        <f>IF(OR(G347&lt;&gt;"",AND(H347&lt;&gt;"",INDEX(05_Record_Benchmarks!$N:$N,MATCH(A347,05_Record_Benchmarks!$A:$A,0))="YES")),"YES","NO")</f>
        <v/>
      </c>
      <c r="K347" s="20" t="inlineStr">
        <is>
          <t>Next-fastest time supplied in user workbook; swimmer name not yet supplied.</t>
        </is>
      </c>
      <c r="L347" s="40" t="n"/>
    </row>
    <row r="348" ht="15" customHeight="1" s="17">
      <c r="A348" s="20" t="inlineStr">
        <is>
          <t>NZ|LCM|F|14|200 Back</t>
        </is>
      </c>
      <c r="B348" s="20" t="n">
        <v>2</v>
      </c>
      <c r="C348" s="20" t="inlineStr">
        <is>
          <t>LCM</t>
        </is>
      </c>
      <c r="D348" s="20" t="inlineStr">
        <is>
          <t>Female</t>
        </is>
      </c>
      <c r="E348" s="20" t="n">
        <v>14</v>
      </c>
      <c r="F348" s="20" t="inlineStr">
        <is>
          <t>200 Back</t>
        </is>
      </c>
      <c r="G348" s="20" t="n"/>
      <c r="H348" s="20" t="inlineStr">
        <is>
          <t>2:15.52</t>
        </is>
      </c>
      <c r="I348" s="20">
        <f>IF(H348="","",IF(ISNUMBER(SEARCH(":",H348)),VALUE(LEFT(H348,SEARCH(":",H348)-1))*60+VALUE(MID(H348,SEARCH(":",H348)+1,99)),VALUE(H348)))</f>
        <v/>
      </c>
      <c r="J348" s="20">
        <f>IF(OR(G348&lt;&gt;"",AND(H348&lt;&gt;"",INDEX(05_Record_Benchmarks!$N:$N,MATCH(A348,05_Record_Benchmarks!$A:$A,0))="YES")),"YES","NO")</f>
        <v/>
      </c>
      <c r="K348" s="20" t="inlineStr">
        <is>
          <t>Next-fastest time supplied in user workbook; swimmer name not yet supplied.</t>
        </is>
      </c>
      <c r="L348" s="40" t="n"/>
    </row>
    <row r="349" ht="15" customHeight="1" s="17">
      <c r="A349" s="20" t="inlineStr">
        <is>
          <t>NZ|LCM|F|14|50 Breast</t>
        </is>
      </c>
      <c r="B349" s="20" t="n">
        <v>2</v>
      </c>
      <c r="C349" s="20" t="inlineStr">
        <is>
          <t>LCM</t>
        </is>
      </c>
      <c r="D349" s="20" t="inlineStr">
        <is>
          <t>Female</t>
        </is>
      </c>
      <c r="E349" s="20" t="n">
        <v>14</v>
      </c>
      <c r="F349" s="20" t="inlineStr">
        <is>
          <t>50 Breast</t>
        </is>
      </c>
      <c r="G349" s="20" t="n"/>
      <c r="H349" s="20" t="inlineStr">
        <is>
          <t>32.83</t>
        </is>
      </c>
      <c r="I349" s="20">
        <f>IF(H349="","",IF(ISNUMBER(SEARCH(":",H349)),VALUE(LEFT(H349,SEARCH(":",H349)-1))*60+VALUE(MID(H349,SEARCH(":",H349)+1,99)),VALUE(H349)))</f>
        <v/>
      </c>
      <c r="J349" s="20">
        <f>IF(OR(G349&lt;&gt;"",AND(H349&lt;&gt;"",INDEX(05_Record_Benchmarks!$N:$N,MATCH(A349,05_Record_Benchmarks!$A:$A,0))="YES")),"YES","NO")</f>
        <v/>
      </c>
      <c r="K349" s="20" t="inlineStr">
        <is>
          <t>Next-fastest time supplied in user workbook; swimmer name not yet supplied.</t>
        </is>
      </c>
      <c r="L349" s="40" t="n"/>
    </row>
    <row r="350" ht="15" customHeight="1" s="17">
      <c r="A350" s="20" t="inlineStr">
        <is>
          <t>NZ|LCM|F|14|100 Breast</t>
        </is>
      </c>
      <c r="B350" s="20" t="n">
        <v>2</v>
      </c>
      <c r="C350" s="20" t="inlineStr">
        <is>
          <t>LCM</t>
        </is>
      </c>
      <c r="D350" s="20" t="inlineStr">
        <is>
          <t>Female</t>
        </is>
      </c>
      <c r="E350" s="20" t="n">
        <v>14</v>
      </c>
      <c r="F350" s="20" t="inlineStr">
        <is>
          <t>100 Breast</t>
        </is>
      </c>
      <c r="G350" s="20" t="n"/>
      <c r="H350" s="20" t="inlineStr">
        <is>
          <t>1:12.17</t>
        </is>
      </c>
      <c r="I350" s="20">
        <f>IF(H350="","",IF(ISNUMBER(SEARCH(":",H350)),VALUE(LEFT(H350,SEARCH(":",H350)-1))*60+VALUE(MID(H350,SEARCH(":",H350)+1,99)),VALUE(H350)))</f>
        <v/>
      </c>
      <c r="J350" s="20">
        <f>IF(OR(G350&lt;&gt;"",AND(H350&lt;&gt;"",INDEX(05_Record_Benchmarks!$N:$N,MATCH(A350,05_Record_Benchmarks!$A:$A,0))="YES")),"YES","NO")</f>
        <v/>
      </c>
      <c r="K350" s="20" t="inlineStr">
        <is>
          <t>Next-fastest time supplied in user workbook; swimmer name not yet supplied.</t>
        </is>
      </c>
      <c r="L350" s="40" t="n"/>
    </row>
    <row r="351" ht="15" customHeight="1" s="17">
      <c r="A351" s="20" t="inlineStr">
        <is>
          <t>NZ|LCM|F|14|200 Breast</t>
        </is>
      </c>
      <c r="B351" s="20" t="n">
        <v>2</v>
      </c>
      <c r="C351" s="20" t="inlineStr">
        <is>
          <t>LCM</t>
        </is>
      </c>
      <c r="D351" s="20" t="inlineStr">
        <is>
          <t>Female</t>
        </is>
      </c>
      <c r="E351" s="20" t="n">
        <v>14</v>
      </c>
      <c r="F351" s="20" t="inlineStr">
        <is>
          <t>200 Breast</t>
        </is>
      </c>
      <c r="G351" s="20" t="n"/>
      <c r="H351" s="20" t="inlineStr">
        <is>
          <t>2:34.54</t>
        </is>
      </c>
      <c r="I351" s="20">
        <f>IF(H351="","",IF(ISNUMBER(SEARCH(":",H351)),VALUE(LEFT(H351,SEARCH(":",H351)-1))*60+VALUE(MID(H351,SEARCH(":",H351)+1,99)),VALUE(H351)))</f>
        <v/>
      </c>
      <c r="J351" s="20">
        <f>IF(OR(G351&lt;&gt;"",AND(H351&lt;&gt;"",INDEX(05_Record_Benchmarks!$N:$N,MATCH(A351,05_Record_Benchmarks!$A:$A,0))="YES")),"YES","NO")</f>
        <v/>
      </c>
      <c r="K351" s="20" t="inlineStr">
        <is>
          <t>Next-fastest time supplied in user workbook; swimmer name not yet supplied.</t>
        </is>
      </c>
      <c r="L351" s="40" t="n"/>
    </row>
    <row r="352" ht="15" customHeight="1" s="17">
      <c r="A352" s="20" t="inlineStr">
        <is>
          <t>NZ|LCM|F|14|50 Fly</t>
        </is>
      </c>
      <c r="B352" s="20" t="n">
        <v>2</v>
      </c>
      <c r="C352" s="20" t="inlineStr">
        <is>
          <t>LCM</t>
        </is>
      </c>
      <c r="D352" s="20" t="inlineStr">
        <is>
          <t>Female</t>
        </is>
      </c>
      <c r="E352" s="20" t="n">
        <v>14</v>
      </c>
      <c r="F352" s="20" t="inlineStr">
        <is>
          <t>50 Fly</t>
        </is>
      </c>
      <c r="G352" s="20" t="n"/>
      <c r="H352" s="20" t="inlineStr">
        <is>
          <t>27.99</t>
        </is>
      </c>
      <c r="I352" s="20">
        <f>IF(H352="","",IF(ISNUMBER(SEARCH(":",H352)),VALUE(LEFT(H352,SEARCH(":",H352)-1))*60+VALUE(MID(H352,SEARCH(":",H352)+1,99)),VALUE(H352)))</f>
        <v/>
      </c>
      <c r="J352" s="20">
        <f>IF(OR(G352&lt;&gt;"",AND(H352&lt;&gt;"",INDEX(05_Record_Benchmarks!$N:$N,MATCH(A352,05_Record_Benchmarks!$A:$A,0))="YES")),"YES","NO")</f>
        <v/>
      </c>
      <c r="K352" s="20" t="inlineStr">
        <is>
          <t>Next-fastest time supplied in user workbook; swimmer name not yet supplied.</t>
        </is>
      </c>
      <c r="L352" s="40" t="n"/>
    </row>
    <row r="353" ht="15" customHeight="1" s="17">
      <c r="A353" s="20" t="inlineStr">
        <is>
          <t>NZ|LCM|F|14|100 Fly</t>
        </is>
      </c>
      <c r="B353" s="20" t="n">
        <v>2</v>
      </c>
      <c r="C353" s="20" t="inlineStr">
        <is>
          <t>LCM</t>
        </is>
      </c>
      <c r="D353" s="20" t="inlineStr">
        <is>
          <t>Female</t>
        </is>
      </c>
      <c r="E353" s="20" t="n">
        <v>14</v>
      </c>
      <c r="F353" s="20" t="inlineStr">
        <is>
          <t>100 Fly</t>
        </is>
      </c>
      <c r="G353" s="20" t="n"/>
      <c r="H353" s="20" t="inlineStr">
        <is>
          <t>1:02.60</t>
        </is>
      </c>
      <c r="I353" s="20">
        <f>IF(H353="","",IF(ISNUMBER(SEARCH(":",H353)),VALUE(LEFT(H353,SEARCH(":",H353)-1))*60+VALUE(MID(H353,SEARCH(":",H353)+1,99)),VALUE(H353)))</f>
        <v/>
      </c>
      <c r="J353" s="20">
        <f>IF(OR(G353&lt;&gt;"",AND(H353&lt;&gt;"",INDEX(05_Record_Benchmarks!$N:$N,MATCH(A353,05_Record_Benchmarks!$A:$A,0))="YES")),"YES","NO")</f>
        <v/>
      </c>
      <c r="K353" s="20" t="inlineStr">
        <is>
          <t>Next-fastest time supplied in user workbook; swimmer name not yet supplied.</t>
        </is>
      </c>
      <c r="L353" s="40" t="n"/>
    </row>
    <row r="354" ht="15" customHeight="1" s="17">
      <c r="A354" s="20" t="inlineStr">
        <is>
          <t>NZ|LCM|F|14|200 Fly</t>
        </is>
      </c>
      <c r="B354" s="20" t="n">
        <v>2</v>
      </c>
      <c r="C354" s="20" t="inlineStr">
        <is>
          <t>LCM</t>
        </is>
      </c>
      <c r="D354" s="20" t="inlineStr">
        <is>
          <t>Female</t>
        </is>
      </c>
      <c r="E354" s="20" t="n">
        <v>14</v>
      </c>
      <c r="F354" s="20" t="inlineStr">
        <is>
          <t>200 Fly</t>
        </is>
      </c>
      <c r="G354" s="20" t="n"/>
      <c r="H354" s="20" t="inlineStr">
        <is>
          <t>2:19.12</t>
        </is>
      </c>
      <c r="I354" s="20">
        <f>IF(H354="","",IF(ISNUMBER(SEARCH(":",H354)),VALUE(LEFT(H354,SEARCH(":",H354)-1))*60+VALUE(MID(H354,SEARCH(":",H354)+1,99)),VALUE(H354)))</f>
        <v/>
      </c>
      <c r="J354" s="20">
        <f>IF(OR(G354&lt;&gt;"",AND(H354&lt;&gt;"",INDEX(05_Record_Benchmarks!$N:$N,MATCH(A354,05_Record_Benchmarks!$A:$A,0))="YES")),"YES","NO")</f>
        <v/>
      </c>
      <c r="K354" s="20" t="inlineStr">
        <is>
          <t>Next-fastest time supplied in user workbook; swimmer name not yet supplied.</t>
        </is>
      </c>
      <c r="L354" s="40" t="n"/>
    </row>
    <row r="355" ht="15" customHeight="1" s="17">
      <c r="A355" s="20" t="inlineStr">
        <is>
          <t>NZ|LCM|F|14|200 IM</t>
        </is>
      </c>
      <c r="B355" s="20" t="n">
        <v>2</v>
      </c>
      <c r="C355" s="20" t="inlineStr">
        <is>
          <t>LCM</t>
        </is>
      </c>
      <c r="D355" s="20" t="inlineStr">
        <is>
          <t>Female</t>
        </is>
      </c>
      <c r="E355" s="20" t="n">
        <v>14</v>
      </c>
      <c r="F355" s="20" t="inlineStr">
        <is>
          <t>200 IM</t>
        </is>
      </c>
      <c r="G355" s="20" t="n"/>
      <c r="H355" s="20" t="inlineStr">
        <is>
          <t>2:21.70</t>
        </is>
      </c>
      <c r="I355" s="20">
        <f>IF(H355="","",IF(ISNUMBER(SEARCH(":",H355)),VALUE(LEFT(H355,SEARCH(":",H355)-1))*60+VALUE(MID(H355,SEARCH(":",H355)+1,99)),VALUE(H355)))</f>
        <v/>
      </c>
      <c r="J355" s="20">
        <f>IF(OR(G355&lt;&gt;"",AND(H355&lt;&gt;"",INDEX(05_Record_Benchmarks!$N:$N,MATCH(A355,05_Record_Benchmarks!$A:$A,0))="YES")),"YES","NO")</f>
        <v/>
      </c>
      <c r="K355" s="20" t="inlineStr">
        <is>
          <t>Next-fastest time supplied in user workbook; swimmer name not yet supplied.</t>
        </is>
      </c>
      <c r="L355" s="40" t="n"/>
    </row>
    <row r="356" ht="15" customHeight="1" s="17">
      <c r="A356" s="20" t="inlineStr">
        <is>
          <t>NZ|LCM|F|14|400 IM</t>
        </is>
      </c>
      <c r="B356" s="20" t="n">
        <v>2</v>
      </c>
      <c r="C356" s="20" t="inlineStr">
        <is>
          <t>LCM</t>
        </is>
      </c>
      <c r="D356" s="20" t="inlineStr">
        <is>
          <t>Female</t>
        </is>
      </c>
      <c r="E356" s="20" t="n">
        <v>14</v>
      </c>
      <c r="F356" s="20" t="inlineStr">
        <is>
          <t>400 IM</t>
        </is>
      </c>
      <c r="G356" s="20" t="n"/>
      <c r="H356" s="20" t="inlineStr">
        <is>
          <t>4:55.68</t>
        </is>
      </c>
      <c r="I356" s="20">
        <f>IF(H356="","",IF(ISNUMBER(SEARCH(":",H356)),VALUE(LEFT(H356,SEARCH(":",H356)-1))*60+VALUE(MID(H356,SEARCH(":",H356)+1,99)),VALUE(H356)))</f>
        <v/>
      </c>
      <c r="J356" s="20">
        <f>IF(OR(G356&lt;&gt;"",AND(H356&lt;&gt;"",INDEX(05_Record_Benchmarks!$N:$N,MATCH(A356,05_Record_Benchmarks!$A:$A,0))="YES")),"YES","NO")</f>
        <v/>
      </c>
      <c r="K356" s="20" t="inlineStr">
        <is>
          <t>Next-fastest time supplied in user workbook; swimmer name not yet supplied.</t>
        </is>
      </c>
      <c r="L356" s="40" t="n"/>
    </row>
    <row r="357" ht="15" customHeight="1" s="17">
      <c r="A357" s="20" t="inlineStr">
        <is>
          <t>NZ|LCM|F|15|50 Free</t>
        </is>
      </c>
      <c r="B357" s="20" t="n">
        <v>2</v>
      </c>
      <c r="C357" s="20" t="inlineStr">
        <is>
          <t>LCM</t>
        </is>
      </c>
      <c r="D357" s="20" t="inlineStr">
        <is>
          <t>Female</t>
        </is>
      </c>
      <c r="E357" s="20" t="n">
        <v>15</v>
      </c>
      <c r="F357" s="20" t="inlineStr">
        <is>
          <t>50 Free</t>
        </is>
      </c>
      <c r="G357" s="20" t="n"/>
      <c r="H357" s="20" t="inlineStr">
        <is>
          <t>25.65</t>
        </is>
      </c>
      <c r="I357" s="20">
        <f>IF(H357="","",IF(ISNUMBER(SEARCH(":",H357)),VALUE(LEFT(H357,SEARCH(":",H357)-1))*60+VALUE(MID(H357,SEARCH(":",H357)+1,99)),VALUE(H357)))</f>
        <v/>
      </c>
      <c r="J357" s="20">
        <f>IF(OR(G357&lt;&gt;"",AND(H357&lt;&gt;"",INDEX(05_Record_Benchmarks!$N:$N,MATCH(A357,05_Record_Benchmarks!$A:$A,0))="YES")),"YES","NO")</f>
        <v/>
      </c>
      <c r="K357" s="20" t="inlineStr">
        <is>
          <t>Next-fastest time supplied in user workbook; swimmer name not yet supplied.</t>
        </is>
      </c>
      <c r="L357" s="40" t="n"/>
    </row>
    <row r="358" ht="15" customHeight="1" s="17">
      <c r="A358" s="20" t="inlineStr">
        <is>
          <t>NZ|LCM|F|15|100 Free</t>
        </is>
      </c>
      <c r="B358" s="20" t="n">
        <v>2</v>
      </c>
      <c r="C358" s="20" t="inlineStr">
        <is>
          <t>LCM</t>
        </is>
      </c>
      <c r="D358" s="20" t="inlineStr">
        <is>
          <t>Female</t>
        </is>
      </c>
      <c r="E358" s="20" t="n">
        <v>15</v>
      </c>
      <c r="F358" s="20" t="inlineStr">
        <is>
          <t>100 Free</t>
        </is>
      </c>
      <c r="G358" s="20" t="n"/>
      <c r="H358" s="20" t="inlineStr">
        <is>
          <t>55.98</t>
        </is>
      </c>
      <c r="I358" s="20">
        <f>IF(H358="","",IF(ISNUMBER(SEARCH(":",H358)),VALUE(LEFT(H358,SEARCH(":",H358)-1))*60+VALUE(MID(H358,SEARCH(":",H358)+1,99)),VALUE(H358)))</f>
        <v/>
      </c>
      <c r="J358" s="20">
        <f>IF(OR(G358&lt;&gt;"",AND(H358&lt;&gt;"",INDEX(05_Record_Benchmarks!$N:$N,MATCH(A358,05_Record_Benchmarks!$A:$A,0))="YES")),"YES","NO")</f>
        <v/>
      </c>
      <c r="K358" s="20" t="inlineStr">
        <is>
          <t>Next-fastest time supplied in user workbook; swimmer name not yet supplied.</t>
        </is>
      </c>
      <c r="L358" s="40" t="n"/>
    </row>
    <row r="359" ht="15" customHeight="1" s="17">
      <c r="A359" s="20" t="inlineStr">
        <is>
          <t>NZ|LCM|F|15|200 Free</t>
        </is>
      </c>
      <c r="B359" s="20" t="n">
        <v>2</v>
      </c>
      <c r="C359" s="20" t="inlineStr">
        <is>
          <t>LCM</t>
        </is>
      </c>
      <c r="D359" s="20" t="inlineStr">
        <is>
          <t>Female</t>
        </is>
      </c>
      <c r="E359" s="20" t="n">
        <v>15</v>
      </c>
      <c r="F359" s="20" t="inlineStr">
        <is>
          <t>200 Free</t>
        </is>
      </c>
      <c r="G359" s="20" t="inlineStr">
        <is>
          <t>Amadika Atkinson</t>
        </is>
      </c>
      <c r="H359" s="20" t="inlineStr">
        <is>
          <t>2:02.20</t>
        </is>
      </c>
      <c r="I359" s="20">
        <f>IF(H359="","",IF(ISNUMBER(SEARCH(":",H359)),VALUE(LEFT(H359,SEARCH(":",H359)-1))*60+VALUE(MID(H359,SEARCH(":",H359)+1,99)),VALUE(H359)))</f>
        <v/>
      </c>
      <c r="J359" s="20">
        <f>IF(OR(G359&lt;&gt;"",AND(H359&lt;&gt;"",INDEX(05_Record_Benchmarks!$N:$N,MATCH(A359,05_Record_Benchmarks!$A:$A,0))="YES")),"YES","NO")</f>
        <v/>
      </c>
      <c r="K359" s="20" t="inlineStr">
        <is>
          <t>Next-fastest time supplied in user workbook; swimmer name not yet supplied.</t>
        </is>
      </c>
      <c r="L359" s="40" t="n">
        <v>46303</v>
      </c>
    </row>
    <row r="360" ht="15" customHeight="1" s="17">
      <c r="A360" s="20" t="inlineStr">
        <is>
          <t>NZ|LCM|F|15|400 Free</t>
        </is>
      </c>
      <c r="B360" s="20" t="n">
        <v>2</v>
      </c>
      <c r="C360" s="20" t="inlineStr">
        <is>
          <t>LCM</t>
        </is>
      </c>
      <c r="D360" s="20" t="inlineStr">
        <is>
          <t>Female</t>
        </is>
      </c>
      <c r="E360" s="20" t="n">
        <v>15</v>
      </c>
      <c r="F360" s="20" t="inlineStr">
        <is>
          <t>400 Free</t>
        </is>
      </c>
      <c r="G360" s="20" t="n"/>
      <c r="H360" s="20" t="inlineStr">
        <is>
          <t>4:14.76</t>
        </is>
      </c>
      <c r="I360" s="20">
        <f>IF(H360="","",IF(ISNUMBER(SEARCH(":",H360)),VALUE(LEFT(H360,SEARCH(":",H360)-1))*60+VALUE(MID(H360,SEARCH(":",H360)+1,99)),VALUE(H360)))</f>
        <v/>
      </c>
      <c r="J360" s="20">
        <f>IF(OR(G360&lt;&gt;"",AND(H360&lt;&gt;"",INDEX(05_Record_Benchmarks!$N:$N,MATCH(A360,05_Record_Benchmarks!$A:$A,0))="YES")),"YES","NO")</f>
        <v/>
      </c>
      <c r="K360" s="20" t="inlineStr">
        <is>
          <t>Next-fastest time supplied in user workbook; swimmer name not yet supplied.</t>
        </is>
      </c>
      <c r="L360" s="40" t="n"/>
    </row>
    <row r="361" ht="15" customHeight="1" s="17">
      <c r="A361" s="20" t="inlineStr">
        <is>
          <t>NZ|LCM|F|15|800 Free</t>
        </is>
      </c>
      <c r="B361" s="20" t="n">
        <v>2</v>
      </c>
      <c r="C361" s="20" t="inlineStr">
        <is>
          <t>LCM</t>
        </is>
      </c>
      <c r="D361" s="20" t="inlineStr">
        <is>
          <t>Female</t>
        </is>
      </c>
      <c r="E361" s="20" t="n">
        <v>15</v>
      </c>
      <c r="F361" s="20" t="inlineStr">
        <is>
          <t>800 Free</t>
        </is>
      </c>
      <c r="G361" s="20" t="n"/>
      <c r="H361" s="20" t="inlineStr">
        <is>
          <t>8:54.83</t>
        </is>
      </c>
      <c r="I361" s="20">
        <f>IF(H361="","",IF(ISNUMBER(SEARCH(":",H361)),VALUE(LEFT(H361,SEARCH(":",H361)-1))*60+VALUE(MID(H361,SEARCH(":",H361)+1,99)),VALUE(H361)))</f>
        <v/>
      </c>
      <c r="J361" s="20">
        <f>IF(OR(G361&lt;&gt;"",AND(H361&lt;&gt;"",INDEX(05_Record_Benchmarks!$N:$N,MATCH(A361,05_Record_Benchmarks!$A:$A,0))="YES")),"YES","NO")</f>
        <v/>
      </c>
      <c r="K361" s="20" t="inlineStr">
        <is>
          <t>Next-fastest time supplied in user workbook; swimmer name not yet supplied.</t>
        </is>
      </c>
      <c r="L361" s="40" t="n"/>
    </row>
    <row r="362" ht="15" customHeight="1" s="17">
      <c r="A362" s="20" t="inlineStr">
        <is>
          <t>NZ|LCM|F|15|1500 Free</t>
        </is>
      </c>
      <c r="B362" s="20" t="n">
        <v>2</v>
      </c>
      <c r="C362" s="20" t="inlineStr">
        <is>
          <t>LCM</t>
        </is>
      </c>
      <c r="D362" s="20" t="inlineStr">
        <is>
          <t>Female</t>
        </is>
      </c>
      <c r="E362" s="20" t="n">
        <v>15</v>
      </c>
      <c r="F362" s="20" t="inlineStr">
        <is>
          <t>1500 Free</t>
        </is>
      </c>
      <c r="G362" s="20" t="n"/>
      <c r="H362" s="20" t="inlineStr">
        <is>
          <t>17:19.22</t>
        </is>
      </c>
      <c r="I362" s="20">
        <f>IF(H362="","",IF(ISNUMBER(SEARCH(":",H362)),VALUE(LEFT(H362,SEARCH(":",H362)-1))*60+VALUE(MID(H362,SEARCH(":",H362)+1,99)),VALUE(H362)))</f>
        <v/>
      </c>
      <c r="J362" s="20">
        <f>IF(OR(G362&lt;&gt;"",AND(H362&lt;&gt;"",INDEX(05_Record_Benchmarks!$N:$N,MATCH(A362,05_Record_Benchmarks!$A:$A,0))="YES")),"YES","NO")</f>
        <v/>
      </c>
      <c r="K362" s="20" t="inlineStr">
        <is>
          <t>Next-fastest time supplied in user workbook; swimmer name not yet supplied.</t>
        </is>
      </c>
      <c r="L362" s="40" t="n"/>
    </row>
    <row r="363" ht="15" customHeight="1" s="17">
      <c r="A363" s="20" t="inlineStr">
        <is>
          <t>NZ|LCM|F|15|50 Back</t>
        </is>
      </c>
      <c r="B363" s="20" t="n">
        <v>2</v>
      </c>
      <c r="C363" s="20" t="inlineStr">
        <is>
          <t>LCM</t>
        </is>
      </c>
      <c r="D363" s="20" t="inlineStr">
        <is>
          <t>Female</t>
        </is>
      </c>
      <c r="E363" s="20" t="n">
        <v>15</v>
      </c>
      <c r="F363" s="20" t="inlineStr">
        <is>
          <t>50 Back</t>
        </is>
      </c>
      <c r="G363" s="20" t="n"/>
      <c r="H363" s="20" t="inlineStr">
        <is>
          <t>28.40</t>
        </is>
      </c>
      <c r="I363" s="20">
        <f>IF(H363="","",IF(ISNUMBER(SEARCH(":",H363)),VALUE(LEFT(H363,SEARCH(":",H363)-1))*60+VALUE(MID(H363,SEARCH(":",H363)+1,99)),VALUE(H363)))</f>
        <v/>
      </c>
      <c r="J363" s="20">
        <f>IF(OR(G363&lt;&gt;"",AND(H363&lt;&gt;"",INDEX(05_Record_Benchmarks!$N:$N,MATCH(A363,05_Record_Benchmarks!$A:$A,0))="YES")),"YES","NO")</f>
        <v/>
      </c>
      <c r="K363" s="20" t="inlineStr">
        <is>
          <t>Next-fastest time supplied in user workbook; swimmer name not yet supplied.</t>
        </is>
      </c>
      <c r="L363" s="40" t="n"/>
    </row>
    <row r="364" ht="15" customHeight="1" s="17">
      <c r="A364" s="20" t="inlineStr">
        <is>
          <t>NZ|LCM|F|15|100 Back</t>
        </is>
      </c>
      <c r="B364" s="20" t="n">
        <v>2</v>
      </c>
      <c r="C364" s="20" t="inlineStr">
        <is>
          <t>LCM</t>
        </is>
      </c>
      <c r="D364" s="20" t="inlineStr">
        <is>
          <t>Female</t>
        </is>
      </c>
      <c r="E364" s="20" t="n">
        <v>15</v>
      </c>
      <c r="F364" s="20" t="inlineStr">
        <is>
          <t>100 Back</t>
        </is>
      </c>
      <c r="G364" s="20" t="n"/>
      <c r="H364" s="20" t="inlineStr">
        <is>
          <t>1:00.74</t>
        </is>
      </c>
      <c r="I364" s="20">
        <f>IF(H364="","",IF(ISNUMBER(SEARCH(":",H364)),VALUE(LEFT(H364,SEARCH(":",H364)-1))*60+VALUE(MID(H364,SEARCH(":",H364)+1,99)),VALUE(H364)))</f>
        <v/>
      </c>
      <c r="J364" s="20">
        <f>IF(OR(G364&lt;&gt;"",AND(H364&lt;&gt;"",INDEX(05_Record_Benchmarks!$N:$N,MATCH(A364,05_Record_Benchmarks!$A:$A,0))="YES")),"YES","NO")</f>
        <v/>
      </c>
      <c r="K364" s="20" t="inlineStr">
        <is>
          <t>Next-fastest time supplied in user workbook; swimmer name not yet supplied.</t>
        </is>
      </c>
      <c r="L364" s="40" t="n"/>
    </row>
    <row r="365" ht="15" customHeight="1" s="17">
      <c r="A365" s="20" t="inlineStr">
        <is>
          <t>NZ|LCM|F|15|200 Back</t>
        </is>
      </c>
      <c r="B365" s="20" t="n">
        <v>2</v>
      </c>
      <c r="C365" s="20" t="inlineStr">
        <is>
          <t>LCM</t>
        </is>
      </c>
      <c r="D365" s="20" t="inlineStr">
        <is>
          <t>Female</t>
        </is>
      </c>
      <c r="E365" s="20" t="n">
        <v>15</v>
      </c>
      <c r="F365" s="20" t="inlineStr">
        <is>
          <t>200 Back</t>
        </is>
      </c>
      <c r="G365" s="20" t="n"/>
      <c r="H365" s="20" t="inlineStr">
        <is>
          <t>2:11.72</t>
        </is>
      </c>
      <c r="I365" s="20">
        <f>IF(H365="","",IF(ISNUMBER(SEARCH(":",H365)),VALUE(LEFT(H365,SEARCH(":",H365)-1))*60+VALUE(MID(H365,SEARCH(":",H365)+1,99)),VALUE(H365)))</f>
        <v/>
      </c>
      <c r="J365" s="20">
        <f>IF(OR(G365&lt;&gt;"",AND(H365&lt;&gt;"",INDEX(05_Record_Benchmarks!$N:$N,MATCH(A365,05_Record_Benchmarks!$A:$A,0))="YES")),"YES","NO")</f>
        <v/>
      </c>
      <c r="K365" s="20" t="inlineStr">
        <is>
          <t>Next-fastest time supplied in user workbook; swimmer name not yet supplied.</t>
        </is>
      </c>
      <c r="L365" s="40" t="n"/>
    </row>
    <row r="366" ht="15" customHeight="1" s="17">
      <c r="A366" s="20" t="inlineStr">
        <is>
          <t>NZ|LCM|F|15|50 Breast</t>
        </is>
      </c>
      <c r="B366" s="20" t="n">
        <v>2</v>
      </c>
      <c r="C366" s="20" t="inlineStr">
        <is>
          <t>LCM</t>
        </is>
      </c>
      <c r="D366" s="20" t="inlineStr">
        <is>
          <t>Female</t>
        </is>
      </c>
      <c r="E366" s="20" t="n">
        <v>15</v>
      </c>
      <c r="F366" s="20" t="inlineStr">
        <is>
          <t>50 Breast</t>
        </is>
      </c>
      <c r="G366" s="20" t="inlineStr">
        <is>
          <t>Chloe Francis</t>
        </is>
      </c>
      <c r="H366" s="20" t="inlineStr">
        <is>
          <t>32.23</t>
        </is>
      </c>
      <c r="I366" s="20">
        <f>IF(H366="","",IF(ISNUMBER(SEARCH(":",H366)),VALUE(LEFT(H366,SEARCH(":",H366)-1))*60+VALUE(MID(H366,SEARCH(":",H366)+1,99)),VALUE(H366)))</f>
        <v/>
      </c>
      <c r="J366" s="20">
        <f>IF(OR(G366&lt;&gt;"",AND(H366&lt;&gt;"",INDEX(05_Record_Benchmarks!$N:$N,MATCH(A366,05_Record_Benchmarks!$A:$A,0))="YES")),"YES","NO")</f>
        <v/>
      </c>
      <c r="K366" s="20" t="inlineStr">
        <is>
          <t>Next-fastest time supplied in user workbook; swimmer name not yet supplied.</t>
        </is>
      </c>
      <c r="L366" s="40" t="n">
        <v>46303</v>
      </c>
    </row>
    <row r="367" ht="15" customHeight="1" s="17">
      <c r="A367" s="20" t="inlineStr">
        <is>
          <t>NZ|LCM|F|15|100 Breast</t>
        </is>
      </c>
      <c r="B367" s="20" t="n">
        <v>2</v>
      </c>
      <c r="C367" s="20" t="inlineStr">
        <is>
          <t>LCM</t>
        </is>
      </c>
      <c r="D367" s="20" t="inlineStr">
        <is>
          <t>Female</t>
        </is>
      </c>
      <c r="E367" s="20" t="n">
        <v>15</v>
      </c>
      <c r="F367" s="20" t="inlineStr">
        <is>
          <t>100 Breast</t>
        </is>
      </c>
      <c r="G367" s="20" t="n"/>
      <c r="H367" s="20" t="inlineStr">
        <is>
          <t>1:10.81</t>
        </is>
      </c>
      <c r="I367" s="20">
        <f>IF(H367="","",IF(ISNUMBER(SEARCH(":",H367)),VALUE(LEFT(H367,SEARCH(":",H367)-1))*60+VALUE(MID(H367,SEARCH(":",H367)+1,99)),VALUE(H367)))</f>
        <v/>
      </c>
      <c r="J367" s="20">
        <f>IF(OR(G367&lt;&gt;"",AND(H367&lt;&gt;"",INDEX(05_Record_Benchmarks!$N:$N,MATCH(A367,05_Record_Benchmarks!$A:$A,0))="YES")),"YES","NO")</f>
        <v/>
      </c>
      <c r="K367" s="20" t="inlineStr">
        <is>
          <t>Next-fastest time supplied in user workbook; swimmer name not yet supplied.</t>
        </is>
      </c>
      <c r="L367" s="40" t="n"/>
    </row>
    <row r="368" ht="15" customHeight="1" s="17">
      <c r="A368" s="20" t="inlineStr">
        <is>
          <t>NZ|LCM|F|15|200 Breast</t>
        </is>
      </c>
      <c r="B368" s="20" t="n">
        <v>2</v>
      </c>
      <c r="C368" s="20" t="inlineStr">
        <is>
          <t>LCM</t>
        </is>
      </c>
      <c r="D368" s="20" t="inlineStr">
        <is>
          <t>Female</t>
        </is>
      </c>
      <c r="E368" s="20" t="n">
        <v>15</v>
      </c>
      <c r="F368" s="20" t="inlineStr">
        <is>
          <t>200 Breast</t>
        </is>
      </c>
      <c r="G368" s="20" t="n"/>
      <c r="H368" s="20" t="inlineStr">
        <is>
          <t>2:31.83</t>
        </is>
      </c>
      <c r="I368" s="20">
        <f>IF(H368="","",IF(ISNUMBER(SEARCH(":",H368)),VALUE(LEFT(H368,SEARCH(":",H368)-1))*60+VALUE(MID(H368,SEARCH(":",H368)+1,99)),VALUE(H368)))</f>
        <v/>
      </c>
      <c r="J368" s="20">
        <f>IF(OR(G368&lt;&gt;"",AND(H368&lt;&gt;"",INDEX(05_Record_Benchmarks!$N:$N,MATCH(A368,05_Record_Benchmarks!$A:$A,0))="YES")),"YES","NO")</f>
        <v/>
      </c>
      <c r="K368" s="20" t="inlineStr">
        <is>
          <t>Next-fastest time supplied in user workbook; swimmer name not yet supplied.</t>
        </is>
      </c>
      <c r="L368" s="40" t="n"/>
    </row>
    <row r="369" ht="15" customHeight="1" s="17">
      <c r="A369" s="20" t="inlineStr">
        <is>
          <t>NZ|LCM|F|15|50 Fly</t>
        </is>
      </c>
      <c r="B369" s="20" t="n">
        <v>2</v>
      </c>
      <c r="C369" s="20" t="inlineStr">
        <is>
          <t>LCM</t>
        </is>
      </c>
      <c r="D369" s="20" t="inlineStr">
        <is>
          <t>Female</t>
        </is>
      </c>
      <c r="E369" s="20" t="n">
        <v>15</v>
      </c>
      <c r="F369" s="20" t="inlineStr">
        <is>
          <t>50 Fly</t>
        </is>
      </c>
      <c r="G369" s="20" t="n"/>
      <c r="H369" s="20" t="inlineStr">
        <is>
          <t>27.37</t>
        </is>
      </c>
      <c r="I369" s="20">
        <f>IF(H369="","",IF(ISNUMBER(SEARCH(":",H369)),VALUE(LEFT(H369,SEARCH(":",H369)-1))*60+VALUE(MID(H369,SEARCH(":",H369)+1,99)),VALUE(H369)))</f>
        <v/>
      </c>
      <c r="J369" s="20">
        <f>IF(OR(G369&lt;&gt;"",AND(H369&lt;&gt;"",INDEX(05_Record_Benchmarks!$N:$N,MATCH(A369,05_Record_Benchmarks!$A:$A,0))="YES")),"YES","NO")</f>
        <v/>
      </c>
      <c r="K369" s="20" t="inlineStr">
        <is>
          <t>Next-fastest time supplied in user workbook; swimmer name not yet supplied.</t>
        </is>
      </c>
      <c r="L369" s="40" t="n"/>
    </row>
    <row r="370" ht="15" customHeight="1" s="17">
      <c r="A370" s="20" t="inlineStr">
        <is>
          <t>NZ|LCM|F|15|100 Fly</t>
        </is>
      </c>
      <c r="B370" s="20" t="n">
        <v>2</v>
      </c>
      <c r="C370" s="20" t="inlineStr">
        <is>
          <t>LCM</t>
        </is>
      </c>
      <c r="D370" s="20" t="inlineStr">
        <is>
          <t>Female</t>
        </is>
      </c>
      <c r="E370" s="20" t="n">
        <v>15</v>
      </c>
      <c r="F370" s="20" t="inlineStr">
        <is>
          <t>100 Fly</t>
        </is>
      </c>
      <c r="G370" s="20" t="n"/>
      <c r="H370" s="20" t="inlineStr">
        <is>
          <t>1:01.21</t>
        </is>
      </c>
      <c r="I370" s="20">
        <f>IF(H370="","",IF(ISNUMBER(SEARCH(":",H370)),VALUE(LEFT(H370,SEARCH(":",H370)-1))*60+VALUE(MID(H370,SEARCH(":",H370)+1,99)),VALUE(H370)))</f>
        <v/>
      </c>
      <c r="J370" s="20">
        <f>IF(OR(G370&lt;&gt;"",AND(H370&lt;&gt;"",INDEX(05_Record_Benchmarks!$N:$N,MATCH(A370,05_Record_Benchmarks!$A:$A,0))="YES")),"YES","NO")</f>
        <v/>
      </c>
      <c r="K370" s="20" t="inlineStr">
        <is>
          <t>Next-fastest time supplied in user workbook; swimmer name not yet supplied.</t>
        </is>
      </c>
      <c r="L370" s="40" t="n"/>
    </row>
    <row r="371" ht="15" customHeight="1" s="17">
      <c r="A371" s="20" t="inlineStr">
        <is>
          <t>NZ|LCM|F|15|200 Fly</t>
        </is>
      </c>
      <c r="B371" s="20" t="n">
        <v>2</v>
      </c>
      <c r="C371" s="20" t="inlineStr">
        <is>
          <t>LCM</t>
        </is>
      </c>
      <c r="D371" s="20" t="inlineStr">
        <is>
          <t>Female</t>
        </is>
      </c>
      <c r="E371" s="20" t="n">
        <v>15</v>
      </c>
      <c r="F371" s="20" t="inlineStr">
        <is>
          <t>200 Fly</t>
        </is>
      </c>
      <c r="G371" s="20" t="n"/>
      <c r="H371" s="20" t="inlineStr">
        <is>
          <t>2:15.40</t>
        </is>
      </c>
      <c r="I371" s="20">
        <f>IF(H371="","",IF(ISNUMBER(SEARCH(":",H371)),VALUE(LEFT(H371,SEARCH(":",H371)-1))*60+VALUE(MID(H371,SEARCH(":",H371)+1,99)),VALUE(H371)))</f>
        <v/>
      </c>
      <c r="J371" s="20">
        <f>IF(OR(G371&lt;&gt;"",AND(H371&lt;&gt;"",INDEX(05_Record_Benchmarks!$N:$N,MATCH(A371,05_Record_Benchmarks!$A:$A,0))="YES")),"YES","NO")</f>
        <v/>
      </c>
      <c r="K371" s="20" t="inlineStr">
        <is>
          <t>Next-fastest time supplied in user workbook; swimmer name not yet supplied.</t>
        </is>
      </c>
      <c r="L371" s="40" t="n"/>
    </row>
    <row r="372" ht="15" customHeight="1" s="17">
      <c r="A372" s="20" t="inlineStr">
        <is>
          <t>NZ|LCM|F|15|200 IM</t>
        </is>
      </c>
      <c r="B372" s="20" t="n">
        <v>2</v>
      </c>
      <c r="C372" s="20" t="inlineStr">
        <is>
          <t>LCM</t>
        </is>
      </c>
      <c r="D372" s="20" t="inlineStr">
        <is>
          <t>Female</t>
        </is>
      </c>
      <c r="E372" s="20" t="n">
        <v>15</v>
      </c>
      <c r="F372" s="20" t="inlineStr">
        <is>
          <t>200 IM</t>
        </is>
      </c>
      <c r="G372" s="20" t="n"/>
      <c r="H372" s="20" t="inlineStr">
        <is>
          <t>2:19.38</t>
        </is>
      </c>
      <c r="I372" s="20">
        <f>IF(H372="","",IF(ISNUMBER(SEARCH(":",H372)),VALUE(LEFT(H372,SEARCH(":",H372)-1))*60+VALUE(MID(H372,SEARCH(":",H372)+1,99)),VALUE(H372)))</f>
        <v/>
      </c>
      <c r="J372" s="20">
        <f>IF(OR(G372&lt;&gt;"",AND(H372&lt;&gt;"",INDEX(05_Record_Benchmarks!$N:$N,MATCH(A372,05_Record_Benchmarks!$A:$A,0))="YES")),"YES","NO")</f>
        <v/>
      </c>
      <c r="K372" s="20" t="inlineStr">
        <is>
          <t>Next-fastest time supplied in user workbook; swimmer name not yet supplied.</t>
        </is>
      </c>
      <c r="L372" s="40" t="n"/>
    </row>
    <row r="373" ht="15" customHeight="1" s="17">
      <c r="A373" s="20" t="inlineStr">
        <is>
          <t>NZ|LCM|F|15|400 IM</t>
        </is>
      </c>
      <c r="B373" s="20" t="n">
        <v>2</v>
      </c>
      <c r="C373" s="20" t="inlineStr">
        <is>
          <t>LCM</t>
        </is>
      </c>
      <c r="D373" s="20" t="inlineStr">
        <is>
          <t>Female</t>
        </is>
      </c>
      <c r="E373" s="20" t="n">
        <v>15</v>
      </c>
      <c r="F373" s="20" t="inlineStr">
        <is>
          <t>400 IM</t>
        </is>
      </c>
      <c r="G373" s="20" t="n"/>
      <c r="H373" s="20" t="inlineStr">
        <is>
          <t>4:54.67</t>
        </is>
      </c>
      <c r="I373" s="20">
        <f>IF(H373="","",IF(ISNUMBER(SEARCH(":",H373)),VALUE(LEFT(H373,SEARCH(":",H373)-1))*60+VALUE(MID(H373,SEARCH(":",H373)+1,99)),VALUE(H373)))</f>
        <v/>
      </c>
      <c r="J373" s="20">
        <f>IF(OR(G373&lt;&gt;"",AND(H373&lt;&gt;"",INDEX(05_Record_Benchmarks!$N:$N,MATCH(A373,05_Record_Benchmarks!$A:$A,0))="YES")),"YES","NO")</f>
        <v/>
      </c>
      <c r="K373" s="20" t="inlineStr">
        <is>
          <t>Next-fastest time supplied in user workbook; swimmer name not yet supplied.</t>
        </is>
      </c>
      <c r="L373" s="40" t="n"/>
    </row>
    <row r="374" ht="15" customHeight="1" s="17">
      <c r="A374" s="20" t="inlineStr">
        <is>
          <t>NZ|LCM|F|16|50 Free</t>
        </is>
      </c>
      <c r="B374" s="20" t="n">
        <v>2</v>
      </c>
      <c r="C374" s="20" t="inlineStr">
        <is>
          <t>LCM</t>
        </is>
      </c>
      <c r="D374" s="20" t="inlineStr">
        <is>
          <t>Female</t>
        </is>
      </c>
      <c r="E374" s="20" t="n">
        <v>16</v>
      </c>
      <c r="F374" s="20" t="inlineStr">
        <is>
          <t>50 Free</t>
        </is>
      </c>
      <c r="G374" s="20" t="n"/>
      <c r="H374" s="20" t="inlineStr">
        <is>
          <t>25.59</t>
        </is>
      </c>
      <c r="I374" s="20">
        <f>IF(H374="","",IF(ISNUMBER(SEARCH(":",H374)),VALUE(LEFT(H374,SEARCH(":",H374)-1))*60+VALUE(MID(H374,SEARCH(":",H374)+1,99)),VALUE(H374)))</f>
        <v/>
      </c>
      <c r="J374" s="20">
        <f>IF(OR(G374&lt;&gt;"",AND(H374&lt;&gt;"",INDEX(05_Record_Benchmarks!$N:$N,MATCH(A374,05_Record_Benchmarks!$A:$A,0))="YES")),"YES","NO")</f>
        <v/>
      </c>
      <c r="K374" s="20" t="inlineStr">
        <is>
          <t>Next-fastest time supplied in user workbook; swimmer name not yet supplied.</t>
        </is>
      </c>
      <c r="L374" s="40" t="n"/>
    </row>
    <row r="375" ht="15" customHeight="1" s="17">
      <c r="A375" s="20" t="inlineStr">
        <is>
          <t>NZ|LCM|F|16|100 Free</t>
        </is>
      </c>
      <c r="B375" s="20" t="n">
        <v>2</v>
      </c>
      <c r="C375" s="20" t="inlineStr">
        <is>
          <t>LCM</t>
        </is>
      </c>
      <c r="D375" s="20" t="inlineStr">
        <is>
          <t>Female</t>
        </is>
      </c>
      <c r="E375" s="20" t="n">
        <v>16</v>
      </c>
      <c r="F375" s="20" t="inlineStr">
        <is>
          <t>100 Free</t>
        </is>
      </c>
      <c r="G375" s="20" t="n"/>
      <c r="H375" s="20" t="inlineStr">
        <is>
          <t>55.84</t>
        </is>
      </c>
      <c r="I375" s="20">
        <f>IF(H375="","",IF(ISNUMBER(SEARCH(":",H375)),VALUE(LEFT(H375,SEARCH(":",H375)-1))*60+VALUE(MID(H375,SEARCH(":",H375)+1,99)),VALUE(H375)))</f>
        <v/>
      </c>
      <c r="J375" s="20">
        <f>IF(OR(G375&lt;&gt;"",AND(H375&lt;&gt;"",INDEX(05_Record_Benchmarks!$N:$N,MATCH(A375,05_Record_Benchmarks!$A:$A,0))="YES")),"YES","NO")</f>
        <v/>
      </c>
      <c r="K375" s="20" t="inlineStr">
        <is>
          <t>Next-fastest time supplied in user workbook; swimmer name not yet supplied.</t>
        </is>
      </c>
      <c r="L375" s="40" t="n"/>
    </row>
    <row r="376" ht="15" customHeight="1" s="17">
      <c r="A376" s="20" t="inlineStr">
        <is>
          <t>NZ|LCM|F|16|200 Free</t>
        </is>
      </c>
      <c r="B376" s="20" t="n">
        <v>2</v>
      </c>
      <c r="C376" s="20" t="inlineStr">
        <is>
          <t>LCM</t>
        </is>
      </c>
      <c r="D376" s="20" t="inlineStr">
        <is>
          <t>Female</t>
        </is>
      </c>
      <c r="E376" s="20" t="n">
        <v>16</v>
      </c>
      <c r="F376" s="20" t="inlineStr">
        <is>
          <t>200 Free</t>
        </is>
      </c>
      <c r="G376" s="20" t="inlineStr">
        <is>
          <t>Chloe Francis</t>
        </is>
      </c>
      <c r="H376" s="20" t="inlineStr">
        <is>
          <t>2:01.26</t>
        </is>
      </c>
      <c r="I376" s="20">
        <f>IF(H376="","",IF(ISNUMBER(SEARCH(":",H376)),VALUE(LEFT(H376,SEARCH(":",H376)-1))*60+VALUE(MID(H376,SEARCH(":",H376)+1,99)),VALUE(H376)))</f>
        <v/>
      </c>
      <c r="J376" s="20">
        <f>IF(OR(G376&lt;&gt;"",AND(H376&lt;&gt;"",INDEX(05_Record_Benchmarks!$N:$N,MATCH(A376,05_Record_Benchmarks!$A:$A,0))="YES")),"YES","NO")</f>
        <v/>
      </c>
      <c r="K376" s="20" t="inlineStr">
        <is>
          <t>Next-fastest time supplied in user workbook; swimmer name not yet supplied.</t>
        </is>
      </c>
      <c r="L376" s="40" t="n">
        <v>46303</v>
      </c>
    </row>
    <row r="377" ht="15" customHeight="1" s="17">
      <c r="A377" s="20" t="inlineStr">
        <is>
          <t>NZ|LCM|F|16|400 Free</t>
        </is>
      </c>
      <c r="B377" s="20" t="n">
        <v>2</v>
      </c>
      <c r="C377" s="20" t="inlineStr">
        <is>
          <t>LCM</t>
        </is>
      </c>
      <c r="D377" s="20" t="inlineStr">
        <is>
          <t>Female</t>
        </is>
      </c>
      <c r="E377" s="20" t="n">
        <v>16</v>
      </c>
      <c r="F377" s="20" t="inlineStr">
        <is>
          <t>400 Free</t>
        </is>
      </c>
      <c r="G377" s="20" t="inlineStr">
        <is>
          <t>Chloe Francis</t>
        </is>
      </c>
      <c r="H377" s="20" t="inlineStr">
        <is>
          <t>4:14.45</t>
        </is>
      </c>
      <c r="I377" s="20">
        <f>IF(H377="","",IF(ISNUMBER(SEARCH(":",H377)),VALUE(LEFT(H377,SEARCH(":",H377)-1))*60+VALUE(MID(H377,SEARCH(":",H377)+1,99)),VALUE(H377)))</f>
        <v/>
      </c>
      <c r="J377" s="20">
        <f>IF(OR(G377&lt;&gt;"",AND(H377&lt;&gt;"",INDEX(05_Record_Benchmarks!$N:$N,MATCH(A377,05_Record_Benchmarks!$A:$A,0))="YES")),"YES","NO")</f>
        <v/>
      </c>
      <c r="K377" s="20" t="inlineStr">
        <is>
          <t>Next-fastest time supplied in user workbook; swimmer name not yet supplied.</t>
        </is>
      </c>
      <c r="L377" s="40" t="n">
        <v>46303</v>
      </c>
    </row>
    <row r="378" ht="15" customHeight="1" s="17">
      <c r="A378" s="20" t="inlineStr">
        <is>
          <t>NZ|LCM|F|16|800 Free</t>
        </is>
      </c>
      <c r="B378" s="20" t="n">
        <v>2</v>
      </c>
      <c r="C378" s="20" t="inlineStr">
        <is>
          <t>LCM</t>
        </is>
      </c>
      <c r="D378" s="20" t="inlineStr">
        <is>
          <t>Female</t>
        </is>
      </c>
      <c r="E378" s="20" t="n">
        <v>16</v>
      </c>
      <c r="F378" s="20" t="inlineStr">
        <is>
          <t>800 Free</t>
        </is>
      </c>
      <c r="G378" s="20" t="n"/>
      <c r="H378" s="20" t="inlineStr">
        <is>
          <t>8:50.12</t>
        </is>
      </c>
      <c r="I378" s="20">
        <f>IF(H378="","",IF(ISNUMBER(SEARCH(":",H378)),VALUE(LEFT(H378,SEARCH(":",H378)-1))*60+VALUE(MID(H378,SEARCH(":",H378)+1,99)),VALUE(H378)))</f>
        <v/>
      </c>
      <c r="J378" s="20">
        <f>IF(OR(G378&lt;&gt;"",AND(H378&lt;&gt;"",INDEX(05_Record_Benchmarks!$N:$N,MATCH(A378,05_Record_Benchmarks!$A:$A,0))="YES")),"YES","NO")</f>
        <v/>
      </c>
      <c r="K378" s="20" t="inlineStr">
        <is>
          <t>Next-fastest time supplied in user workbook; swimmer name not yet supplied.</t>
        </is>
      </c>
      <c r="L378" s="40" t="n"/>
    </row>
    <row r="379" ht="15" customHeight="1" s="17">
      <c r="A379" s="20" t="inlineStr">
        <is>
          <t>NZ|LCM|F|16|1500 Free</t>
        </is>
      </c>
      <c r="B379" s="20" t="n">
        <v>2</v>
      </c>
      <c r="C379" s="20" t="inlineStr">
        <is>
          <t>LCM</t>
        </is>
      </c>
      <c r="D379" s="20" t="inlineStr">
        <is>
          <t>Female</t>
        </is>
      </c>
      <c r="E379" s="20" t="n">
        <v>16</v>
      </c>
      <c r="F379" s="20" t="inlineStr">
        <is>
          <t>1500 Free</t>
        </is>
      </c>
      <c r="G379" s="20" t="n"/>
      <c r="H379" s="20" t="inlineStr">
        <is>
          <t>17:07.21</t>
        </is>
      </c>
      <c r="I379" s="20">
        <f>IF(H379="","",IF(ISNUMBER(SEARCH(":",H379)),VALUE(LEFT(H379,SEARCH(":",H379)-1))*60+VALUE(MID(H379,SEARCH(":",H379)+1,99)),VALUE(H379)))</f>
        <v/>
      </c>
      <c r="J379" s="20">
        <f>IF(OR(G379&lt;&gt;"",AND(H379&lt;&gt;"",INDEX(05_Record_Benchmarks!$N:$N,MATCH(A379,05_Record_Benchmarks!$A:$A,0))="YES")),"YES","NO")</f>
        <v/>
      </c>
      <c r="K379" s="20" t="inlineStr">
        <is>
          <t>Next-fastest time supplied in user workbook; swimmer name not yet supplied.</t>
        </is>
      </c>
      <c r="L379" s="40" t="n"/>
    </row>
    <row r="380" ht="15" customHeight="1" s="17">
      <c r="A380" s="20" t="inlineStr">
        <is>
          <t>NZ|LCM|F|16|50 Back</t>
        </is>
      </c>
      <c r="B380" s="20" t="n">
        <v>2</v>
      </c>
      <c r="C380" s="20" t="inlineStr">
        <is>
          <t>LCM</t>
        </is>
      </c>
      <c r="D380" s="20" t="inlineStr">
        <is>
          <t>Female</t>
        </is>
      </c>
      <c r="E380" s="20" t="n">
        <v>16</v>
      </c>
      <c r="F380" s="20" t="inlineStr">
        <is>
          <t>50 Back</t>
        </is>
      </c>
      <c r="G380" s="20" t="inlineStr">
        <is>
          <t>Milan Glintmeyer</t>
        </is>
      </c>
      <c r="H380" s="20" t="inlineStr">
        <is>
          <t>28.56</t>
        </is>
      </c>
      <c r="I380" s="20">
        <f>IF(H380="","",IF(ISNUMBER(SEARCH(":",H380)),VALUE(LEFT(H380,SEARCH(":",H380)-1))*60+VALUE(MID(H380,SEARCH(":",H380)+1,99)),VALUE(H380)))</f>
        <v/>
      </c>
      <c r="J380" s="20">
        <f>IF(OR(G380&lt;&gt;"",AND(H380&lt;&gt;"",INDEX(05_Record_Benchmarks!$N:$N,MATCH(A380,05_Record_Benchmarks!$A:$A,0))="YES")),"YES","NO")</f>
        <v/>
      </c>
      <c r="K380" s="20" t="inlineStr">
        <is>
          <t>Next-fastest time supplied in user workbook; swimmer name not yet supplied.</t>
        </is>
      </c>
      <c r="L380" s="40" t="n">
        <v>46303</v>
      </c>
    </row>
    <row r="381" ht="15" customHeight="1" s="17">
      <c r="A381" s="20" t="inlineStr">
        <is>
          <t>NZ|LCM|F|16|100 Back</t>
        </is>
      </c>
      <c r="B381" s="20" t="n">
        <v>2</v>
      </c>
      <c r="C381" s="20" t="inlineStr">
        <is>
          <t>LCM</t>
        </is>
      </c>
      <c r="D381" s="20" t="inlineStr">
        <is>
          <t>Female</t>
        </is>
      </c>
      <c r="E381" s="20" t="n">
        <v>16</v>
      </c>
      <c r="F381" s="20" t="inlineStr">
        <is>
          <t>100 Back</t>
        </is>
      </c>
      <c r="G381" s="20" t="n"/>
      <c r="H381" s="20" t="inlineStr">
        <is>
          <t>1:00.82</t>
        </is>
      </c>
      <c r="I381" s="20">
        <f>IF(H381="","",IF(ISNUMBER(SEARCH(":",H381)),VALUE(LEFT(H381,SEARCH(":",H381)-1))*60+VALUE(MID(H381,SEARCH(":",H381)+1,99)),VALUE(H381)))</f>
        <v/>
      </c>
      <c r="J381" s="20">
        <f>IF(OR(G381&lt;&gt;"",AND(H381&lt;&gt;"",INDEX(05_Record_Benchmarks!$N:$N,MATCH(A381,05_Record_Benchmarks!$A:$A,0))="YES")),"YES","NO")</f>
        <v/>
      </c>
      <c r="K381" s="20" t="inlineStr">
        <is>
          <t>Next-fastest time supplied in user workbook; swimmer name not yet supplied.</t>
        </is>
      </c>
      <c r="L381" s="40" t="n"/>
    </row>
    <row r="382" ht="15" customHeight="1" s="17">
      <c r="A382" s="20" t="inlineStr">
        <is>
          <t>NZ|LCM|F|16|200 Back</t>
        </is>
      </c>
      <c r="B382" s="20" t="n">
        <v>2</v>
      </c>
      <c r="C382" s="20" t="inlineStr">
        <is>
          <t>LCM</t>
        </is>
      </c>
      <c r="D382" s="20" t="inlineStr">
        <is>
          <t>Female</t>
        </is>
      </c>
      <c r="E382" s="20" t="n">
        <v>16</v>
      </c>
      <c r="F382" s="20" t="inlineStr">
        <is>
          <t>200 Back</t>
        </is>
      </c>
      <c r="G382" s="20" t="n"/>
      <c r="H382" s="20" t="inlineStr">
        <is>
          <t>2:12.31</t>
        </is>
      </c>
      <c r="I382" s="20">
        <f>IF(H382="","",IF(ISNUMBER(SEARCH(":",H382)),VALUE(LEFT(H382,SEARCH(":",H382)-1))*60+VALUE(MID(H382,SEARCH(":",H382)+1,99)),VALUE(H382)))</f>
        <v/>
      </c>
      <c r="J382" s="20">
        <f>IF(OR(G382&lt;&gt;"",AND(H382&lt;&gt;"",INDEX(05_Record_Benchmarks!$N:$N,MATCH(A382,05_Record_Benchmarks!$A:$A,0))="YES")),"YES","NO")</f>
        <v/>
      </c>
      <c r="K382" s="20" t="inlineStr">
        <is>
          <t>Next-fastest time supplied in user workbook; swimmer name not yet supplied.</t>
        </is>
      </c>
      <c r="L382" s="40" t="n"/>
    </row>
    <row r="383" ht="15" customHeight="1" s="17">
      <c r="A383" s="20" t="inlineStr">
        <is>
          <t>NZ|LCM|F|16|50 Breast</t>
        </is>
      </c>
      <c r="B383" s="20" t="n">
        <v>2</v>
      </c>
      <c r="C383" s="20" t="inlineStr">
        <is>
          <t>LCM</t>
        </is>
      </c>
      <c r="D383" s="20" t="inlineStr">
        <is>
          <t>Female</t>
        </is>
      </c>
      <c r="E383" s="20" t="n">
        <v>16</v>
      </c>
      <c r="F383" s="20" t="inlineStr">
        <is>
          <t>50 Breast</t>
        </is>
      </c>
      <c r="G383" s="20" t="inlineStr">
        <is>
          <t>Brearna Crawford</t>
        </is>
      </c>
      <c r="H383" s="20" t="inlineStr">
        <is>
          <t>32.23</t>
        </is>
      </c>
      <c r="I383" s="20">
        <f>IF(H383="","",IF(ISNUMBER(SEARCH(":",H383)),VALUE(LEFT(H383,SEARCH(":",H383)-1))*60+VALUE(MID(H383,SEARCH(":",H383)+1,99)),VALUE(H383)))</f>
        <v/>
      </c>
      <c r="J383" s="20">
        <f>IF(OR(G383&lt;&gt;"",AND(H383&lt;&gt;"",INDEX(05_Record_Benchmarks!$N:$N,MATCH(A383,05_Record_Benchmarks!$A:$A,0))="YES")),"YES","NO")</f>
        <v/>
      </c>
      <c r="K383" s="20" t="inlineStr">
        <is>
          <t>Next-fastest time supplied in user workbook; swimmer name not yet supplied.</t>
        </is>
      </c>
      <c r="L383" s="40" t="n">
        <v>46303</v>
      </c>
    </row>
    <row r="384" ht="15" customHeight="1" s="17">
      <c r="A384" s="20" t="inlineStr">
        <is>
          <t>NZ|LCM|F|16|100 Breast</t>
        </is>
      </c>
      <c r="B384" s="20" t="n">
        <v>2</v>
      </c>
      <c r="C384" s="20" t="inlineStr">
        <is>
          <t>LCM</t>
        </is>
      </c>
      <c r="D384" s="20" t="inlineStr">
        <is>
          <t>Female</t>
        </is>
      </c>
      <c r="E384" s="20" t="n">
        <v>16</v>
      </c>
      <c r="F384" s="20" t="inlineStr">
        <is>
          <t>100 Breast</t>
        </is>
      </c>
      <c r="G384" s="20" t="inlineStr">
        <is>
          <t>Brearna Crawford</t>
        </is>
      </c>
      <c r="H384" s="20" t="inlineStr">
        <is>
          <t>1:09.98</t>
        </is>
      </c>
      <c r="I384" s="20">
        <f>IF(H384="","",IF(ISNUMBER(SEARCH(":",H384)),VALUE(LEFT(H384,SEARCH(":",H384)-1))*60+VALUE(MID(H384,SEARCH(":",H384)+1,99)),VALUE(H384)))</f>
        <v/>
      </c>
      <c r="J384" s="20">
        <f>IF(OR(G384&lt;&gt;"",AND(H384&lt;&gt;"",INDEX(05_Record_Benchmarks!$N:$N,MATCH(A384,05_Record_Benchmarks!$A:$A,0))="YES")),"YES","NO")</f>
        <v/>
      </c>
      <c r="K384" s="20" t="inlineStr">
        <is>
          <t>Next-fastest time supplied in user workbook; swimmer name not yet supplied.</t>
        </is>
      </c>
      <c r="L384" s="40" t="n">
        <v>46303</v>
      </c>
    </row>
    <row r="385" ht="15" customHeight="1" s="17">
      <c r="A385" s="20" t="inlineStr">
        <is>
          <t>NZ|LCM|F|16|200 Breast</t>
        </is>
      </c>
      <c r="B385" s="20" t="n">
        <v>2</v>
      </c>
      <c r="C385" s="20" t="inlineStr">
        <is>
          <t>LCM</t>
        </is>
      </c>
      <c r="D385" s="20" t="inlineStr">
        <is>
          <t>Female</t>
        </is>
      </c>
      <c r="E385" s="20" t="n">
        <v>16</v>
      </c>
      <c r="F385" s="20" t="inlineStr">
        <is>
          <t>200 Breast</t>
        </is>
      </c>
      <c r="G385" s="20" t="n"/>
      <c r="H385" s="20" t="inlineStr">
        <is>
          <t>2:30.54</t>
        </is>
      </c>
      <c r="I385" s="20">
        <f>IF(H385="","",IF(ISNUMBER(SEARCH(":",H385)),VALUE(LEFT(H385,SEARCH(":",H385)-1))*60+VALUE(MID(H385,SEARCH(":",H385)+1,99)),VALUE(H385)))</f>
        <v/>
      </c>
      <c r="J385" s="20">
        <f>IF(OR(G385&lt;&gt;"",AND(H385&lt;&gt;"",INDEX(05_Record_Benchmarks!$N:$N,MATCH(A385,05_Record_Benchmarks!$A:$A,0))="YES")),"YES","NO")</f>
        <v/>
      </c>
      <c r="K385" s="20" t="inlineStr">
        <is>
          <t>Next-fastest time supplied in user workbook; swimmer name not yet supplied.</t>
        </is>
      </c>
      <c r="L385" s="40" t="n"/>
    </row>
    <row r="386" ht="15" customHeight="1" s="17">
      <c r="A386" s="20" t="inlineStr">
        <is>
          <t>NZ|LCM|F|16|50 Fly</t>
        </is>
      </c>
      <c r="B386" s="20" t="n">
        <v>2</v>
      </c>
      <c r="C386" s="20" t="inlineStr">
        <is>
          <t>LCM</t>
        </is>
      </c>
      <c r="D386" s="20" t="inlineStr">
        <is>
          <t>Female</t>
        </is>
      </c>
      <c r="E386" s="20" t="n">
        <v>16</v>
      </c>
      <c r="F386" s="20" t="inlineStr">
        <is>
          <t>50 Fly</t>
        </is>
      </c>
      <c r="G386" s="20" t="n"/>
      <c r="H386" s="20" t="inlineStr">
        <is>
          <t>26.92</t>
        </is>
      </c>
      <c r="I386" s="20">
        <f>IF(H386="","",IF(ISNUMBER(SEARCH(":",H386)),VALUE(LEFT(H386,SEARCH(":",H386)-1))*60+VALUE(MID(H386,SEARCH(":",H386)+1,99)),VALUE(H386)))</f>
        <v/>
      </c>
      <c r="J386" s="20">
        <f>IF(OR(G386&lt;&gt;"",AND(H386&lt;&gt;"",INDEX(05_Record_Benchmarks!$N:$N,MATCH(A386,05_Record_Benchmarks!$A:$A,0))="YES")),"YES","NO")</f>
        <v/>
      </c>
      <c r="K386" s="20" t="inlineStr">
        <is>
          <t>Next-fastest time supplied in user workbook; swimmer name not yet supplied.</t>
        </is>
      </c>
      <c r="L386" s="40" t="n"/>
    </row>
    <row r="387" ht="15" customHeight="1" s="17">
      <c r="A387" s="20" t="inlineStr">
        <is>
          <t>NZ|LCM|F|16|100 Fly</t>
        </is>
      </c>
      <c r="B387" s="20" t="n">
        <v>2</v>
      </c>
      <c r="C387" s="20" t="inlineStr">
        <is>
          <t>LCM</t>
        </is>
      </c>
      <c r="D387" s="20" t="inlineStr">
        <is>
          <t>Female</t>
        </is>
      </c>
      <c r="E387" s="20" t="n">
        <v>16</v>
      </c>
      <c r="F387" s="20" t="inlineStr">
        <is>
          <t>100 Fly</t>
        </is>
      </c>
      <c r="G387" s="20" t="inlineStr">
        <is>
          <t>Milan Glintmeyer</t>
        </is>
      </c>
      <c r="H387" s="20" t="inlineStr">
        <is>
          <t>59.99</t>
        </is>
      </c>
      <c r="I387" s="20">
        <f>IF(H387="","",IF(ISNUMBER(SEARCH(":",H387)),VALUE(LEFT(H387,SEARCH(":",H387)-1))*60+VALUE(MID(H387,SEARCH(":",H387)+1,99)),VALUE(H387)))</f>
        <v/>
      </c>
      <c r="J387" s="20">
        <f>IF(OR(G387&lt;&gt;"",AND(H387&lt;&gt;"",INDEX(05_Record_Benchmarks!$N:$N,MATCH(A387,05_Record_Benchmarks!$A:$A,0))="YES")),"YES","NO")</f>
        <v/>
      </c>
      <c r="K387" s="20" t="inlineStr">
        <is>
          <t>Next-fastest time supplied in user workbook; swimmer name not yet supplied.</t>
        </is>
      </c>
      <c r="L387" s="40" t="n">
        <v>46303</v>
      </c>
    </row>
    <row r="388" ht="15" customHeight="1" s="17">
      <c r="A388" s="20" t="inlineStr">
        <is>
          <t>NZ|LCM|F|16|200 Fly</t>
        </is>
      </c>
      <c r="B388" s="20" t="n">
        <v>2</v>
      </c>
      <c r="C388" s="20" t="inlineStr">
        <is>
          <t>LCM</t>
        </is>
      </c>
      <c r="D388" s="20" t="inlineStr">
        <is>
          <t>Female</t>
        </is>
      </c>
      <c r="E388" s="20" t="n">
        <v>16</v>
      </c>
      <c r="F388" s="20" t="inlineStr">
        <is>
          <t>200 Fly</t>
        </is>
      </c>
      <c r="G388" s="20" t="n"/>
      <c r="H388" s="20" t="inlineStr">
        <is>
          <t>2:16.41</t>
        </is>
      </c>
      <c r="I388" s="20">
        <f>IF(H388="","",IF(ISNUMBER(SEARCH(":",H388)),VALUE(LEFT(H388,SEARCH(":",H388)-1))*60+VALUE(MID(H388,SEARCH(":",H388)+1,99)),VALUE(H388)))</f>
        <v/>
      </c>
      <c r="J388" s="20">
        <f>IF(OR(G388&lt;&gt;"",AND(H388&lt;&gt;"",INDEX(05_Record_Benchmarks!$N:$N,MATCH(A388,05_Record_Benchmarks!$A:$A,0))="YES")),"YES","NO")</f>
        <v/>
      </c>
      <c r="K388" s="20" t="inlineStr">
        <is>
          <t>Next-fastest time supplied in user workbook; swimmer name not yet supplied.</t>
        </is>
      </c>
      <c r="L388" s="40" t="n"/>
    </row>
    <row r="389" ht="15" customHeight="1" s="17">
      <c r="A389" s="20" t="inlineStr">
        <is>
          <t>NZ|LCM|F|16|200 IM</t>
        </is>
      </c>
      <c r="B389" s="20" t="n">
        <v>2</v>
      </c>
      <c r="C389" s="20" t="inlineStr">
        <is>
          <t>LCM</t>
        </is>
      </c>
      <c r="D389" s="20" t="inlineStr">
        <is>
          <t>Female</t>
        </is>
      </c>
      <c r="E389" s="20" t="n">
        <v>16</v>
      </c>
      <c r="F389" s="20" t="inlineStr">
        <is>
          <t>200 IM</t>
        </is>
      </c>
      <c r="G389" s="20" t="n"/>
      <c r="H389" s="20" t="inlineStr">
        <is>
          <t>2:18.46</t>
        </is>
      </c>
      <c r="I389" s="20">
        <f>IF(H389="","",IF(ISNUMBER(SEARCH(":",H389)),VALUE(LEFT(H389,SEARCH(":",H389)-1))*60+VALUE(MID(H389,SEARCH(":",H389)+1,99)),VALUE(H389)))</f>
        <v/>
      </c>
      <c r="J389" s="20">
        <f>IF(OR(G389&lt;&gt;"",AND(H389&lt;&gt;"",INDEX(05_Record_Benchmarks!$N:$N,MATCH(A389,05_Record_Benchmarks!$A:$A,0))="YES")),"YES","NO")</f>
        <v/>
      </c>
      <c r="K389" s="20" t="inlineStr">
        <is>
          <t>Next-fastest time supplied in user workbook; swimmer name not yet supplied.</t>
        </is>
      </c>
      <c r="L389" s="40" t="n"/>
    </row>
    <row r="390" ht="15" customHeight="1" s="17">
      <c r="A390" s="20" t="inlineStr">
        <is>
          <t>NZ|LCM|F|16|400 IM</t>
        </is>
      </c>
      <c r="B390" s="20" t="n">
        <v>2</v>
      </c>
      <c r="C390" s="20" t="inlineStr">
        <is>
          <t>LCM</t>
        </is>
      </c>
      <c r="D390" s="20" t="inlineStr">
        <is>
          <t>Female</t>
        </is>
      </c>
      <c r="E390" s="20" t="n">
        <v>16</v>
      </c>
      <c r="F390" s="20" t="inlineStr">
        <is>
          <t>400 IM</t>
        </is>
      </c>
      <c r="G390" s="20" t="n"/>
      <c r="H390" s="20" t="inlineStr">
        <is>
          <t>4:50.59</t>
        </is>
      </c>
      <c r="I390" s="20">
        <f>IF(H390="","",IF(ISNUMBER(SEARCH(":",H390)),VALUE(LEFT(H390,SEARCH(":",H390)-1))*60+VALUE(MID(H390,SEARCH(":",H390)+1,99)),VALUE(H390)))</f>
        <v/>
      </c>
      <c r="J390" s="20">
        <f>IF(OR(G390&lt;&gt;"",AND(H390&lt;&gt;"",INDEX(05_Record_Benchmarks!$N:$N,MATCH(A390,05_Record_Benchmarks!$A:$A,0))="YES")),"YES","NO")</f>
        <v/>
      </c>
      <c r="K390" s="20" t="inlineStr">
        <is>
          <t>Next-fastest time supplied in user workbook; swimmer name not yet supplied.</t>
        </is>
      </c>
      <c r="L390" s="40" t="n"/>
    </row>
    <row r="391" ht="15" customHeight="1" s="17">
      <c r="A391" s="20" t="inlineStr">
        <is>
          <t>NZ|LCM|F|17|50 Free</t>
        </is>
      </c>
      <c r="B391" s="20" t="n">
        <v>2</v>
      </c>
      <c r="C391" s="20" t="inlineStr">
        <is>
          <t>LCM</t>
        </is>
      </c>
      <c r="D391" s="20" t="inlineStr">
        <is>
          <t>Female</t>
        </is>
      </c>
      <c r="E391" s="20" t="n">
        <v>17</v>
      </c>
      <c r="F391" s="20" t="inlineStr">
        <is>
          <t>50 Free</t>
        </is>
      </c>
      <c r="G391" s="20" t="n"/>
      <c r="H391" s="20" t="inlineStr">
        <is>
          <t>25.43</t>
        </is>
      </c>
      <c r="I391" s="20">
        <f>IF(H391="","",IF(ISNUMBER(SEARCH(":",H391)),VALUE(LEFT(H391,SEARCH(":",H391)-1))*60+VALUE(MID(H391,SEARCH(":",H391)+1,99)),VALUE(H391)))</f>
        <v/>
      </c>
      <c r="J391" s="20">
        <f>IF(OR(G391&lt;&gt;"",AND(H391&lt;&gt;"",INDEX(05_Record_Benchmarks!$N:$N,MATCH(A391,05_Record_Benchmarks!$A:$A,0))="YES")),"YES","NO")</f>
        <v/>
      </c>
      <c r="K391" s="20" t="inlineStr">
        <is>
          <t>Next-fastest time supplied in user workbook; swimmer name not yet supplied.</t>
        </is>
      </c>
      <c r="L391" s="40" t="n"/>
    </row>
    <row r="392" ht="15" customHeight="1" s="17">
      <c r="A392" s="20" t="inlineStr">
        <is>
          <t>NZ|LCM|F|17|100 Free</t>
        </is>
      </c>
      <c r="B392" s="20" t="n">
        <v>2</v>
      </c>
      <c r="C392" s="20" t="inlineStr">
        <is>
          <t>LCM</t>
        </is>
      </c>
      <c r="D392" s="20" t="inlineStr">
        <is>
          <t>Female</t>
        </is>
      </c>
      <c r="E392" s="20" t="n">
        <v>17</v>
      </c>
      <c r="F392" s="20" t="inlineStr">
        <is>
          <t>100 Free</t>
        </is>
      </c>
      <c r="G392" s="20" t="n"/>
      <c r="H392" s="20" t="inlineStr">
        <is>
          <t>55.43</t>
        </is>
      </c>
      <c r="I392" s="20">
        <f>IF(H392="","",IF(ISNUMBER(SEARCH(":",H392)),VALUE(LEFT(H392,SEARCH(":",H392)-1))*60+VALUE(MID(H392,SEARCH(":",H392)+1,99)),VALUE(H392)))</f>
        <v/>
      </c>
      <c r="J392" s="20">
        <f>IF(OR(G392&lt;&gt;"",AND(H392&lt;&gt;"",INDEX(05_Record_Benchmarks!$N:$N,MATCH(A392,05_Record_Benchmarks!$A:$A,0))="YES")),"YES","NO")</f>
        <v/>
      </c>
      <c r="K392" s="20" t="inlineStr">
        <is>
          <t>Comparator is the other joint record holder at the same time.</t>
        </is>
      </c>
      <c r="L392" s="40" t="n"/>
    </row>
    <row r="393" ht="15" customHeight="1" s="17">
      <c r="A393" s="20" t="inlineStr">
        <is>
          <t>NZ|LCM|F|17|200 Free</t>
        </is>
      </c>
      <c r="B393" s="20" t="n">
        <v>2</v>
      </c>
      <c r="C393" s="20" t="inlineStr">
        <is>
          <t>LCM</t>
        </is>
      </c>
      <c r="D393" s="20" t="inlineStr">
        <is>
          <t>Female</t>
        </is>
      </c>
      <c r="E393" s="20" t="n">
        <v>17</v>
      </c>
      <c r="F393" s="20" t="inlineStr">
        <is>
          <t>200 Free</t>
        </is>
      </c>
      <c r="G393" s="20" t="inlineStr">
        <is>
          <t>Laura Littlejohn</t>
        </is>
      </c>
      <c r="H393" s="20" t="inlineStr">
        <is>
          <t>2:01.68</t>
        </is>
      </c>
      <c r="I393" s="20">
        <f>IF(H393="","",IF(ISNUMBER(SEARCH(":",H393)),VALUE(LEFT(H393,SEARCH(":",H393)-1))*60+VALUE(MID(H393,SEARCH(":",H393)+1,99)),VALUE(H393)))</f>
        <v/>
      </c>
      <c r="J393" s="20">
        <f>IF(OR(G393&lt;&gt;"",AND(H393&lt;&gt;"",INDEX(05_Record_Benchmarks!$N:$N,MATCH(A393,05_Record_Benchmarks!$A:$A,0))="YES")),"YES","NO")</f>
        <v/>
      </c>
      <c r="K393" s="20" t="inlineStr">
        <is>
          <t>Next-fastest time supplied in user workbook; swimmer name not yet supplied.</t>
        </is>
      </c>
      <c r="L393" s="40" t="n">
        <v>46303</v>
      </c>
    </row>
    <row r="394" ht="15" customHeight="1" s="17">
      <c r="A394" s="20" t="inlineStr">
        <is>
          <t>NZ|LCM|F|17|400 Free</t>
        </is>
      </c>
      <c r="B394" s="20" t="n">
        <v>2</v>
      </c>
      <c r="C394" s="20" t="inlineStr">
        <is>
          <t>LCM</t>
        </is>
      </c>
      <c r="D394" s="20" t="inlineStr">
        <is>
          <t>Female</t>
        </is>
      </c>
      <c r="E394" s="20" t="n">
        <v>17</v>
      </c>
      <c r="F394" s="20" t="inlineStr">
        <is>
          <t>400 Free</t>
        </is>
      </c>
      <c r="G394" s="20" t="inlineStr">
        <is>
          <t>Tabitha Baumann</t>
        </is>
      </c>
      <c r="H394" s="20" t="inlineStr">
        <is>
          <t>4:12.99</t>
        </is>
      </c>
      <c r="I394" s="20">
        <f>IF(H394="","",IF(ISNUMBER(SEARCH(":",H394)),VALUE(LEFT(H394,SEARCH(":",H394)-1))*60+VALUE(MID(H394,SEARCH(":",H394)+1,99)),VALUE(H394)))</f>
        <v/>
      </c>
      <c r="J394" s="20">
        <f>IF(OR(G394&lt;&gt;"",AND(H394&lt;&gt;"",INDEX(05_Record_Benchmarks!$N:$N,MATCH(A394,05_Record_Benchmarks!$A:$A,0))="YES")),"YES","NO")</f>
        <v/>
      </c>
      <c r="K394" s="20" t="inlineStr">
        <is>
          <t>Next-fastest time supplied in user workbook; swimmer name not yet supplied.</t>
        </is>
      </c>
      <c r="L394" s="40" t="n">
        <v>46303</v>
      </c>
    </row>
    <row r="395" ht="15" customHeight="1" s="17">
      <c r="A395" s="20" t="inlineStr">
        <is>
          <t>NZ|LCM|F|17|800 Free</t>
        </is>
      </c>
      <c r="B395" s="20" t="n">
        <v>2</v>
      </c>
      <c r="C395" s="20" t="inlineStr">
        <is>
          <t>LCM</t>
        </is>
      </c>
      <c r="D395" s="20" t="inlineStr">
        <is>
          <t>Female</t>
        </is>
      </c>
      <c r="E395" s="20" t="n">
        <v>17</v>
      </c>
      <c r="F395" s="20" t="inlineStr">
        <is>
          <t>800 Free</t>
        </is>
      </c>
      <c r="G395" s="20" t="n"/>
      <c r="H395" s="20" t="inlineStr">
        <is>
          <t>8:44.92</t>
        </is>
      </c>
      <c r="I395" s="20">
        <f>IF(H395="","",IF(ISNUMBER(SEARCH(":",H395)),VALUE(LEFT(H395,SEARCH(":",H395)-1))*60+VALUE(MID(H395,SEARCH(":",H395)+1,99)),VALUE(H395)))</f>
        <v/>
      </c>
      <c r="J395" s="20">
        <f>IF(OR(G395&lt;&gt;"",AND(H395&lt;&gt;"",INDEX(05_Record_Benchmarks!$N:$N,MATCH(A395,05_Record_Benchmarks!$A:$A,0))="YES")),"YES","NO")</f>
        <v/>
      </c>
      <c r="K395" s="20" t="inlineStr">
        <is>
          <t>Next-fastest time supplied in user workbook; swimmer name not yet supplied.</t>
        </is>
      </c>
      <c r="L395" s="40" t="n"/>
    </row>
    <row r="396" ht="15" customHeight="1" s="17">
      <c r="A396" s="20" t="inlineStr">
        <is>
          <t>NZ|LCM|F|17|1500 Free</t>
        </is>
      </c>
      <c r="B396" s="20" t="n">
        <v>2</v>
      </c>
      <c r="C396" s="20" t="inlineStr">
        <is>
          <t>LCM</t>
        </is>
      </c>
      <c r="D396" s="20" t="inlineStr">
        <is>
          <t>Female</t>
        </is>
      </c>
      <c r="E396" s="20" t="n">
        <v>17</v>
      </c>
      <c r="F396" s="20" t="inlineStr">
        <is>
          <t>1500 Free</t>
        </is>
      </c>
      <c r="G396" s="20" t="n"/>
      <c r="H396" s="20" t="inlineStr">
        <is>
          <t>16:51.72</t>
        </is>
      </c>
      <c r="I396" s="20">
        <f>IF(H396="","",IF(ISNUMBER(SEARCH(":",H396)),VALUE(LEFT(H396,SEARCH(":",H396)-1))*60+VALUE(MID(H396,SEARCH(":",H396)+1,99)),VALUE(H396)))</f>
        <v/>
      </c>
      <c r="J396" s="20">
        <f>IF(OR(G396&lt;&gt;"",AND(H396&lt;&gt;"",INDEX(05_Record_Benchmarks!$N:$N,MATCH(A396,05_Record_Benchmarks!$A:$A,0))="YES")),"YES","NO")</f>
        <v/>
      </c>
      <c r="K396" s="20" t="inlineStr">
        <is>
          <t>Next-fastest time supplied in user workbook; swimmer name not yet supplied.</t>
        </is>
      </c>
      <c r="L396" s="40" t="n"/>
    </row>
    <row r="397" ht="15" customHeight="1" s="17">
      <c r="A397" s="20" t="inlineStr">
        <is>
          <t>NZ|LCM|F|17|50 Back</t>
        </is>
      </c>
      <c r="B397" s="20" t="n">
        <v>2</v>
      </c>
      <c r="C397" s="20" t="inlineStr">
        <is>
          <t>LCM</t>
        </is>
      </c>
      <c r="D397" s="20" t="inlineStr">
        <is>
          <t>Female</t>
        </is>
      </c>
      <c r="E397" s="20" t="n">
        <v>17</v>
      </c>
      <c r="F397" s="20" t="inlineStr">
        <is>
          <t>50 Back</t>
        </is>
      </c>
      <c r="G397" s="20" t="n"/>
      <c r="H397" s="20" t="inlineStr">
        <is>
          <t>28.60</t>
        </is>
      </c>
      <c r="I397" s="20">
        <f>IF(H397="","",IF(ISNUMBER(SEARCH(":",H397)),VALUE(LEFT(H397,SEARCH(":",H397)-1))*60+VALUE(MID(H397,SEARCH(":",H397)+1,99)),VALUE(H397)))</f>
        <v/>
      </c>
      <c r="J397" s="20">
        <f>IF(OR(G397&lt;&gt;"",AND(H397&lt;&gt;"",INDEX(05_Record_Benchmarks!$N:$N,MATCH(A397,05_Record_Benchmarks!$A:$A,0))="YES")),"YES","NO")</f>
        <v/>
      </c>
      <c r="K397" s="20" t="inlineStr">
        <is>
          <t>Next-fastest time supplied in user workbook; swimmer name not yet supplied.</t>
        </is>
      </c>
      <c r="L397" s="40" t="n"/>
    </row>
    <row r="398" ht="15" customHeight="1" s="17">
      <c r="A398" s="20" t="inlineStr">
        <is>
          <t>NZ|LCM|F|17|100 Back</t>
        </is>
      </c>
      <c r="B398" s="20" t="n">
        <v>2</v>
      </c>
      <c r="C398" s="20" t="inlineStr">
        <is>
          <t>LCM</t>
        </is>
      </c>
      <c r="D398" s="20" t="inlineStr">
        <is>
          <t>Female</t>
        </is>
      </c>
      <c r="E398" s="20" t="n">
        <v>17</v>
      </c>
      <c r="F398" s="20" t="inlineStr">
        <is>
          <t>100 Back</t>
        </is>
      </c>
      <c r="G398" s="20" t="n"/>
      <c r="H398" s="20" t="inlineStr">
        <is>
          <t>1:01.21</t>
        </is>
      </c>
      <c r="I398" s="20">
        <f>IF(H398="","",IF(ISNUMBER(SEARCH(":",H398)),VALUE(LEFT(H398,SEARCH(":",H398)-1))*60+VALUE(MID(H398,SEARCH(":",H398)+1,99)),VALUE(H398)))</f>
        <v/>
      </c>
      <c r="J398" s="20">
        <f>IF(OR(G398&lt;&gt;"",AND(H398&lt;&gt;"",INDEX(05_Record_Benchmarks!$N:$N,MATCH(A398,05_Record_Benchmarks!$A:$A,0))="YES")),"YES","NO")</f>
        <v/>
      </c>
      <c r="K398" s="20" t="inlineStr">
        <is>
          <t>Next-fastest time supplied in user workbook; swimmer name not yet supplied.</t>
        </is>
      </c>
      <c r="L398" s="40" t="n"/>
    </row>
    <row r="399" ht="15" customHeight="1" s="17">
      <c r="A399" s="20" t="inlineStr">
        <is>
          <t>NZ|LCM|F|17|200 Back</t>
        </is>
      </c>
      <c r="B399" s="20" t="n">
        <v>2</v>
      </c>
      <c r="C399" s="20" t="inlineStr">
        <is>
          <t>LCM</t>
        </is>
      </c>
      <c r="D399" s="20" t="inlineStr">
        <is>
          <t>Female</t>
        </is>
      </c>
      <c r="E399" s="20" t="n">
        <v>17</v>
      </c>
      <c r="F399" s="20" t="inlineStr">
        <is>
          <t>200 Back</t>
        </is>
      </c>
      <c r="G399" s="20" t="n"/>
      <c r="H399" s="20" t="inlineStr">
        <is>
          <t>2:12.31</t>
        </is>
      </c>
      <c r="I399" s="20">
        <f>IF(H399="","",IF(ISNUMBER(SEARCH(":",H399)),VALUE(LEFT(H399,SEARCH(":",H399)-1))*60+VALUE(MID(H399,SEARCH(":",H399)+1,99)),VALUE(H399)))</f>
        <v/>
      </c>
      <c r="J399" s="20">
        <f>IF(OR(G399&lt;&gt;"",AND(H399&lt;&gt;"",INDEX(05_Record_Benchmarks!$N:$N,MATCH(A399,05_Record_Benchmarks!$A:$A,0))="YES")),"YES","NO")</f>
        <v/>
      </c>
      <c r="K399" s="20" t="inlineStr">
        <is>
          <t>Next-fastest time supplied in user workbook; swimmer name not yet supplied.</t>
        </is>
      </c>
      <c r="L399" s="40" t="n"/>
    </row>
    <row r="400" ht="15" customHeight="1" s="17">
      <c r="A400" s="20" t="inlineStr">
        <is>
          <t>NZ|LCM|F|17|50 Breast</t>
        </is>
      </c>
      <c r="B400" s="20" t="n">
        <v>2</v>
      </c>
      <c r="C400" s="20" t="inlineStr">
        <is>
          <t>LCM</t>
        </is>
      </c>
      <c r="D400" s="20" t="inlineStr">
        <is>
          <t>Female</t>
        </is>
      </c>
      <c r="E400" s="20" t="n">
        <v>17</v>
      </c>
      <c r="F400" s="20" t="inlineStr">
        <is>
          <t>50 Breast</t>
        </is>
      </c>
      <c r="G400" s="20" t="inlineStr">
        <is>
          <t>Ciara Smith</t>
        </is>
      </c>
      <c r="H400" s="20" t="inlineStr">
        <is>
          <t>32.21</t>
        </is>
      </c>
      <c r="I400" s="20">
        <f>IF(H400="","",IF(ISNUMBER(SEARCH(":",H400)),VALUE(LEFT(H400,SEARCH(":",H400)-1))*60+VALUE(MID(H400,SEARCH(":",H400)+1,99)),VALUE(H400)))</f>
        <v/>
      </c>
      <c r="J400" s="20">
        <f>IF(OR(G400&lt;&gt;"",AND(H400&lt;&gt;"",INDEX(05_Record_Benchmarks!$N:$N,MATCH(A400,05_Record_Benchmarks!$A:$A,0))="YES")),"YES","NO")</f>
        <v/>
      </c>
      <c r="K400" s="20" t="inlineStr">
        <is>
          <t>Next-fastest time supplied in user workbook; swimmer name not yet supplied.</t>
        </is>
      </c>
      <c r="L400" s="40" t="n">
        <v>46303</v>
      </c>
    </row>
    <row r="401" ht="15" customHeight="1" s="17">
      <c r="A401" s="20" t="inlineStr">
        <is>
          <t>NZ|LCM|F|17|100 Breast</t>
        </is>
      </c>
      <c r="B401" s="20" t="n">
        <v>2</v>
      </c>
      <c r="C401" s="20" t="inlineStr">
        <is>
          <t>LCM</t>
        </is>
      </c>
      <c r="D401" s="20" t="inlineStr">
        <is>
          <t>Female</t>
        </is>
      </c>
      <c r="E401" s="20" t="n">
        <v>17</v>
      </c>
      <c r="F401" s="20" t="inlineStr">
        <is>
          <t>100 Breast</t>
        </is>
      </c>
      <c r="G401" s="20" t="n"/>
      <c r="H401" s="20" t="inlineStr">
        <is>
          <t>1:09.49</t>
        </is>
      </c>
      <c r="I401" s="20">
        <f>IF(H401="","",IF(ISNUMBER(SEARCH(":",H401)),VALUE(LEFT(H401,SEARCH(":",H401)-1))*60+VALUE(MID(H401,SEARCH(":",H401)+1,99)),VALUE(H401)))</f>
        <v/>
      </c>
      <c r="J401" s="20">
        <f>IF(OR(G401&lt;&gt;"",AND(H401&lt;&gt;"",INDEX(05_Record_Benchmarks!$N:$N,MATCH(A401,05_Record_Benchmarks!$A:$A,0))="YES")),"YES","NO")</f>
        <v/>
      </c>
      <c r="K401" s="20" t="inlineStr">
        <is>
          <t>Next-fastest time supplied in user workbook; swimmer name not yet supplied.</t>
        </is>
      </c>
      <c r="L401" s="40" t="n"/>
    </row>
    <row r="402" ht="15" customHeight="1" s="17">
      <c r="A402" s="20" t="inlineStr">
        <is>
          <t>NZ|LCM|F|17|200 Breast</t>
        </is>
      </c>
      <c r="B402" s="20" t="n">
        <v>2</v>
      </c>
      <c r="C402" s="20" t="inlineStr">
        <is>
          <t>LCM</t>
        </is>
      </c>
      <c r="D402" s="20" t="inlineStr">
        <is>
          <t>Female</t>
        </is>
      </c>
      <c r="E402" s="20" t="n">
        <v>17</v>
      </c>
      <c r="F402" s="20" t="inlineStr">
        <is>
          <t>200 Breast</t>
        </is>
      </c>
      <c r="G402" s="20" t="n"/>
      <c r="H402" s="20" t="inlineStr">
        <is>
          <t>2:31.49</t>
        </is>
      </c>
      <c r="I402" s="20">
        <f>IF(H402="","",IF(ISNUMBER(SEARCH(":",H402)),VALUE(LEFT(H402,SEARCH(":",H402)-1))*60+VALUE(MID(H402,SEARCH(":",H402)+1,99)),VALUE(H402)))</f>
        <v/>
      </c>
      <c r="J402" s="20">
        <f>IF(OR(G402&lt;&gt;"",AND(H402&lt;&gt;"",INDEX(05_Record_Benchmarks!$N:$N,MATCH(A402,05_Record_Benchmarks!$A:$A,0))="YES")),"YES","NO")</f>
        <v/>
      </c>
      <c r="K402" s="20" t="inlineStr">
        <is>
          <t>Next-fastest time supplied in user workbook; swimmer name not yet supplied.</t>
        </is>
      </c>
      <c r="L402" s="40" t="n"/>
    </row>
    <row r="403" ht="15" customHeight="1" s="17">
      <c r="A403" s="20" t="inlineStr">
        <is>
          <t>NZ|LCM|F|17|50 Fly</t>
        </is>
      </c>
      <c r="B403" s="20" t="n">
        <v>2</v>
      </c>
      <c r="C403" s="20" t="inlineStr">
        <is>
          <t>LCM</t>
        </is>
      </c>
      <c r="D403" s="20" t="inlineStr">
        <is>
          <t>Female</t>
        </is>
      </c>
      <c r="E403" s="20" t="n">
        <v>17</v>
      </c>
      <c r="F403" s="20" t="inlineStr">
        <is>
          <t>50 Fly</t>
        </is>
      </c>
      <c r="G403" s="20" t="n"/>
      <c r="H403" s="20" t="inlineStr">
        <is>
          <t>26.61</t>
        </is>
      </c>
      <c r="I403" s="20">
        <f>IF(H403="","",IF(ISNUMBER(SEARCH(":",H403)),VALUE(LEFT(H403,SEARCH(":",H403)-1))*60+VALUE(MID(H403,SEARCH(":",H403)+1,99)),VALUE(H403)))</f>
        <v/>
      </c>
      <c r="J403" s="20">
        <f>IF(OR(G403&lt;&gt;"",AND(H403&lt;&gt;"",INDEX(05_Record_Benchmarks!$N:$N,MATCH(A403,05_Record_Benchmarks!$A:$A,0))="YES")),"YES","NO")</f>
        <v/>
      </c>
      <c r="K403" s="20" t="inlineStr">
        <is>
          <t>Next-fastest time supplied in user workbook; swimmer name not yet supplied.</t>
        </is>
      </c>
      <c r="L403" s="40" t="n"/>
    </row>
    <row r="404" ht="15" customHeight="1" s="17">
      <c r="A404" s="20" t="inlineStr">
        <is>
          <t>NZ|LCM|F|17|100 Fly</t>
        </is>
      </c>
      <c r="B404" s="20" t="n">
        <v>2</v>
      </c>
      <c r="C404" s="20" t="inlineStr">
        <is>
          <t>LCM</t>
        </is>
      </c>
      <c r="D404" s="20" t="inlineStr">
        <is>
          <t>Female</t>
        </is>
      </c>
      <c r="E404" s="20" t="n">
        <v>17</v>
      </c>
      <c r="F404" s="20" t="inlineStr">
        <is>
          <t>100 Fly</t>
        </is>
      </c>
      <c r="G404" s="20" t="inlineStr">
        <is>
          <t>Milan Glintmeyer</t>
        </is>
      </c>
      <c r="H404" s="20" t="inlineStr">
        <is>
          <t>1:00.27</t>
        </is>
      </c>
      <c r="I404" s="20">
        <f>IF(H404="","",IF(ISNUMBER(SEARCH(":",H404)),VALUE(LEFT(H404,SEARCH(":",H404)-1))*60+VALUE(MID(H404,SEARCH(":",H404)+1,99)),VALUE(H404)))</f>
        <v/>
      </c>
      <c r="J404" s="20">
        <f>IF(OR(G404&lt;&gt;"",AND(H404&lt;&gt;"",INDEX(05_Record_Benchmarks!$N:$N,MATCH(A404,05_Record_Benchmarks!$A:$A,0))="YES")),"YES","NO")</f>
        <v/>
      </c>
      <c r="K404" s="20" t="inlineStr">
        <is>
          <t>Next-fastest time supplied in user workbook; swimmer name not yet supplied.</t>
        </is>
      </c>
      <c r="L404" s="40" t="n">
        <v>46303</v>
      </c>
    </row>
    <row r="405" ht="15" customHeight="1" s="17">
      <c r="A405" s="20" t="inlineStr">
        <is>
          <t>NZ|LCM|F|17|200 Fly</t>
        </is>
      </c>
      <c r="B405" s="20" t="n">
        <v>2</v>
      </c>
      <c r="C405" s="20" t="inlineStr">
        <is>
          <t>LCM</t>
        </is>
      </c>
      <c r="D405" s="20" t="inlineStr">
        <is>
          <t>Female</t>
        </is>
      </c>
      <c r="E405" s="20" t="n">
        <v>17</v>
      </c>
      <c r="F405" s="20" t="inlineStr">
        <is>
          <t>200 Fly</t>
        </is>
      </c>
      <c r="G405" s="20" t="n"/>
      <c r="H405" s="20" t="inlineStr">
        <is>
          <t>2:15.70</t>
        </is>
      </c>
      <c r="I405" s="20">
        <f>IF(H405="","",IF(ISNUMBER(SEARCH(":",H405)),VALUE(LEFT(H405,SEARCH(":",H405)-1))*60+VALUE(MID(H405,SEARCH(":",H405)+1,99)),VALUE(H405)))</f>
        <v/>
      </c>
      <c r="J405" s="20">
        <f>IF(OR(G405&lt;&gt;"",AND(H405&lt;&gt;"",INDEX(05_Record_Benchmarks!$N:$N,MATCH(A405,05_Record_Benchmarks!$A:$A,0))="YES")),"YES","NO")</f>
        <v/>
      </c>
      <c r="K405" s="20" t="inlineStr">
        <is>
          <t>Next-fastest time supplied in user workbook; swimmer name not yet supplied.</t>
        </is>
      </c>
      <c r="L405" s="40" t="n"/>
    </row>
    <row r="406" ht="15" customHeight="1" s="17">
      <c r="A406" s="20" t="inlineStr">
        <is>
          <t>NZ|LCM|F|17|200 IM</t>
        </is>
      </c>
      <c r="B406" s="20" t="n">
        <v>2</v>
      </c>
      <c r="C406" s="20" t="inlineStr">
        <is>
          <t>LCM</t>
        </is>
      </c>
      <c r="D406" s="20" t="inlineStr">
        <is>
          <t>Female</t>
        </is>
      </c>
      <c r="E406" s="20" t="n">
        <v>17</v>
      </c>
      <c r="F406" s="20" t="inlineStr">
        <is>
          <t>200 IM</t>
        </is>
      </c>
      <c r="G406" s="20" t="n"/>
      <c r="H406" s="20" t="inlineStr">
        <is>
          <t>2:16.55</t>
        </is>
      </c>
      <c r="I406" s="20">
        <f>IF(H406="","",IF(ISNUMBER(SEARCH(":",H406)),VALUE(LEFT(H406,SEARCH(":",H406)-1))*60+VALUE(MID(H406,SEARCH(":",H406)+1,99)),VALUE(H406)))</f>
        <v/>
      </c>
      <c r="J406" s="20">
        <f>IF(OR(G406&lt;&gt;"",AND(H406&lt;&gt;"",INDEX(05_Record_Benchmarks!$N:$N,MATCH(A406,05_Record_Benchmarks!$A:$A,0))="YES")),"YES","NO")</f>
        <v/>
      </c>
      <c r="K406" s="20" t="inlineStr">
        <is>
          <t>Next-fastest time supplied in user workbook; swimmer name not yet supplied.</t>
        </is>
      </c>
      <c r="L406" s="40" t="n"/>
    </row>
    <row r="407" ht="15" customHeight="1" s="17">
      <c r="A407" s="20" t="inlineStr">
        <is>
          <t>NZ|LCM|F|17|400 IM</t>
        </is>
      </c>
      <c r="B407" s="20" t="n">
        <v>2</v>
      </c>
      <c r="C407" s="20" t="inlineStr">
        <is>
          <t>LCM</t>
        </is>
      </c>
      <c r="D407" s="20" t="inlineStr">
        <is>
          <t>Female</t>
        </is>
      </c>
      <c r="E407" s="20" t="n">
        <v>17</v>
      </c>
      <c r="F407" s="20" t="inlineStr">
        <is>
          <t>400 IM</t>
        </is>
      </c>
      <c r="G407" s="20" t="n"/>
      <c r="H407" s="20" t="inlineStr">
        <is>
          <t>4:45.19</t>
        </is>
      </c>
      <c r="I407" s="20">
        <f>IF(H407="","",IF(ISNUMBER(SEARCH(":",H407)),VALUE(LEFT(H407,SEARCH(":",H407)-1))*60+VALUE(MID(H407,SEARCH(":",H407)+1,99)),VALUE(H407)))</f>
        <v/>
      </c>
      <c r="J407" s="20">
        <f>IF(OR(G407&lt;&gt;"",AND(H407&lt;&gt;"",INDEX(05_Record_Benchmarks!$N:$N,MATCH(A407,05_Record_Benchmarks!$A:$A,0))="YES")),"YES","NO")</f>
        <v/>
      </c>
      <c r="K407" s="20" t="inlineStr">
        <is>
          <t>Next-fastest time supplied in user workbook; swimmer name not yet supplied.</t>
        </is>
      </c>
      <c r="L407" s="40" t="n"/>
    </row>
    <row r="408" ht="15" customHeight="1" s="17">
      <c r="A408" s="20" t="inlineStr">
        <is>
          <t>NZ|LCM|F|18|50 Free</t>
        </is>
      </c>
      <c r="B408" s="20" t="n">
        <v>2</v>
      </c>
      <c r="C408" s="20" t="inlineStr">
        <is>
          <t>LCM</t>
        </is>
      </c>
      <c r="D408" s="20" t="inlineStr">
        <is>
          <t>Female</t>
        </is>
      </c>
      <c r="E408" s="20" t="n">
        <v>18</v>
      </c>
      <c r="F408" s="20" t="inlineStr">
        <is>
          <t>50 Free</t>
        </is>
      </c>
      <c r="G408" s="20" t="n"/>
      <c r="H408" s="20" t="inlineStr">
        <is>
          <t>25.64</t>
        </is>
      </c>
      <c r="I408" s="20">
        <f>IF(H408="","",IF(ISNUMBER(SEARCH(":",H408)),VALUE(LEFT(H408,SEARCH(":",H408)-1))*60+VALUE(MID(H408,SEARCH(":",H408)+1,99)),VALUE(H408)))</f>
        <v/>
      </c>
      <c r="J408" s="20">
        <f>IF(OR(G408&lt;&gt;"",AND(H408&lt;&gt;"",INDEX(05_Record_Benchmarks!$N:$N,MATCH(A408,05_Record_Benchmarks!$A:$A,0))="YES")),"YES","NO")</f>
        <v/>
      </c>
      <c r="K408" s="20" t="inlineStr">
        <is>
          <t>Next-fastest time supplied in user workbook; swimmer name not yet supplied.</t>
        </is>
      </c>
      <c r="L408" s="40" t="n"/>
    </row>
    <row r="409" ht="15" customHeight="1" s="17">
      <c r="A409" s="20" t="inlineStr">
        <is>
          <t>NZ|LCM|F|18|100 Free</t>
        </is>
      </c>
      <c r="B409" s="20" t="n">
        <v>2</v>
      </c>
      <c r="C409" s="20" t="inlineStr">
        <is>
          <t>LCM</t>
        </is>
      </c>
      <c r="D409" s="20" t="inlineStr">
        <is>
          <t>Female</t>
        </is>
      </c>
      <c r="E409" s="20" t="n">
        <v>18</v>
      </c>
      <c r="F409" s="20" t="inlineStr">
        <is>
          <t>100 Free</t>
        </is>
      </c>
      <c r="G409" s="20" t="n"/>
      <c r="H409" s="20" t="inlineStr">
        <is>
          <t>55.30</t>
        </is>
      </c>
      <c r="I409" s="20">
        <f>IF(H409="","",IF(ISNUMBER(SEARCH(":",H409)),VALUE(LEFT(H409,SEARCH(":",H409)-1))*60+VALUE(MID(H409,SEARCH(":",H409)+1,99)),VALUE(H409)))</f>
        <v/>
      </c>
      <c r="J409" s="20">
        <f>IF(OR(G409&lt;&gt;"",AND(H409&lt;&gt;"",INDEX(05_Record_Benchmarks!$N:$N,MATCH(A409,05_Record_Benchmarks!$A:$A,0))="YES")),"YES","NO")</f>
        <v/>
      </c>
      <c r="K409" s="20" t="inlineStr">
        <is>
          <t>Next-fastest time supplied in user workbook; swimmer name not yet supplied.</t>
        </is>
      </c>
      <c r="L409" s="40" t="n"/>
    </row>
    <row r="410" ht="15" customHeight="1" s="17">
      <c r="A410" s="20" t="inlineStr">
        <is>
          <t>NZ|LCM|F|18|200 Free</t>
        </is>
      </c>
      <c r="B410" s="20" t="n">
        <v>2</v>
      </c>
      <c r="C410" s="20" t="inlineStr">
        <is>
          <t>LCM</t>
        </is>
      </c>
      <c r="D410" s="20" t="inlineStr">
        <is>
          <t>Female</t>
        </is>
      </c>
      <c r="E410" s="20" t="n">
        <v>18</v>
      </c>
      <c r="F410" s="20" t="inlineStr">
        <is>
          <t>200 Free</t>
        </is>
      </c>
      <c r="G410" s="20" t="n"/>
      <c r="H410" s="20" t="inlineStr">
        <is>
          <t>2:00.06</t>
        </is>
      </c>
      <c r="I410" s="20">
        <f>IF(H410="","",IF(ISNUMBER(SEARCH(":",H410)),VALUE(LEFT(H410,SEARCH(":",H410)-1))*60+VALUE(MID(H410,SEARCH(":",H410)+1,99)),VALUE(H410)))</f>
        <v/>
      </c>
      <c r="J410" s="20">
        <f>IF(OR(G410&lt;&gt;"",AND(H410&lt;&gt;"",INDEX(05_Record_Benchmarks!$N:$N,MATCH(A410,05_Record_Benchmarks!$A:$A,0))="YES")),"YES","NO")</f>
        <v/>
      </c>
      <c r="K410" s="20" t="inlineStr">
        <is>
          <t>Next-fastest time supplied in user workbook; swimmer name not yet supplied.</t>
        </is>
      </c>
      <c r="L410" s="40" t="n"/>
    </row>
    <row r="411" ht="15" customHeight="1" s="17">
      <c r="A411" s="20" t="inlineStr">
        <is>
          <t>NZ|LCM|F|18|400 Free</t>
        </is>
      </c>
      <c r="B411" s="20" t="n">
        <v>2</v>
      </c>
      <c r="C411" s="20" t="inlineStr">
        <is>
          <t>LCM</t>
        </is>
      </c>
      <c r="D411" s="20" t="inlineStr">
        <is>
          <t>Female</t>
        </is>
      </c>
      <c r="E411" s="20" t="n">
        <v>18</v>
      </c>
      <c r="F411" s="20" t="inlineStr">
        <is>
          <t>400 Free</t>
        </is>
      </c>
      <c r="G411" s="20" t="inlineStr">
        <is>
          <t>Eve Thomas</t>
        </is>
      </c>
      <c r="H411" s="20" t="inlineStr">
        <is>
          <t>4:11.74</t>
        </is>
      </c>
      <c r="I411" s="20">
        <f>IF(H411="","",IF(ISNUMBER(SEARCH(":",H411)),VALUE(LEFT(H411,SEARCH(":",H411)-1))*60+VALUE(MID(H411,SEARCH(":",H411)+1,99)),VALUE(H411)))</f>
        <v/>
      </c>
      <c r="J411" s="20">
        <f>IF(OR(G411&lt;&gt;"",AND(H411&lt;&gt;"",INDEX(05_Record_Benchmarks!$N:$N,MATCH(A411,05_Record_Benchmarks!$A:$A,0))="YES")),"YES","NO")</f>
        <v/>
      </c>
      <c r="K411" s="20" t="inlineStr">
        <is>
          <t>Next-fastest time supplied in user workbook; swimmer name not yet supplied.</t>
        </is>
      </c>
      <c r="L411" s="40" t="n">
        <v>46303</v>
      </c>
    </row>
    <row r="412" ht="15" customHeight="1" s="17">
      <c r="A412" s="20" t="inlineStr">
        <is>
          <t>NZ|LCM|F|18|800 Free</t>
        </is>
      </c>
      <c r="B412" s="20" t="n">
        <v>2</v>
      </c>
      <c r="C412" s="20" t="inlineStr">
        <is>
          <t>LCM</t>
        </is>
      </c>
      <c r="D412" s="20" t="inlineStr">
        <is>
          <t>Female</t>
        </is>
      </c>
      <c r="E412" s="20" t="n">
        <v>18</v>
      </c>
      <c r="F412" s="20" t="inlineStr">
        <is>
          <t>800 Free</t>
        </is>
      </c>
      <c r="G412" s="20" t="n"/>
      <c r="H412" s="20" t="inlineStr">
        <is>
          <t>8:42.01</t>
        </is>
      </c>
      <c r="I412" s="20">
        <f>IF(H412="","",IF(ISNUMBER(SEARCH(":",H412)),VALUE(LEFT(H412,SEARCH(":",H412)-1))*60+VALUE(MID(H412,SEARCH(":",H412)+1,99)),VALUE(H412)))</f>
        <v/>
      </c>
      <c r="J412" s="20">
        <f>IF(OR(G412&lt;&gt;"",AND(H412&lt;&gt;"",INDEX(05_Record_Benchmarks!$N:$N,MATCH(A412,05_Record_Benchmarks!$A:$A,0))="YES")),"YES","NO")</f>
        <v/>
      </c>
      <c r="K412" s="20" t="inlineStr">
        <is>
          <t>Next-fastest time supplied in user workbook; swimmer name not yet supplied.</t>
        </is>
      </c>
      <c r="L412" s="40" t="n"/>
    </row>
    <row r="413" ht="15" customHeight="1" s="17">
      <c r="A413" s="20" t="inlineStr">
        <is>
          <t>NZ|LCM|F|18|1500 Free</t>
        </is>
      </c>
      <c r="B413" s="20" t="n">
        <v>2</v>
      </c>
      <c r="C413" s="20" t="inlineStr">
        <is>
          <t>LCM</t>
        </is>
      </c>
      <c r="D413" s="20" t="inlineStr">
        <is>
          <t>Female</t>
        </is>
      </c>
      <c r="E413" s="20" t="n">
        <v>18</v>
      </c>
      <c r="F413" s="20" t="inlineStr">
        <is>
          <t>1500 Free</t>
        </is>
      </c>
      <c r="G413" s="20" t="n"/>
      <c r="H413" s="20" t="inlineStr">
        <is>
          <t>16:37.30</t>
        </is>
      </c>
      <c r="I413" s="20">
        <f>IF(H413="","",IF(ISNUMBER(SEARCH(":",H413)),VALUE(LEFT(H413,SEARCH(":",H413)-1))*60+VALUE(MID(H413,SEARCH(":",H413)+1,99)),VALUE(H413)))</f>
        <v/>
      </c>
      <c r="J413" s="20">
        <f>IF(OR(G413&lt;&gt;"",AND(H413&lt;&gt;"",INDEX(05_Record_Benchmarks!$N:$N,MATCH(A413,05_Record_Benchmarks!$A:$A,0))="YES")),"YES","NO")</f>
        <v/>
      </c>
      <c r="K413" s="20" t="inlineStr">
        <is>
          <t>Next-fastest time supplied in user workbook; swimmer name not yet supplied.</t>
        </is>
      </c>
      <c r="L413" s="40" t="n"/>
    </row>
    <row r="414" ht="15" customHeight="1" s="17">
      <c r="A414" s="20" t="inlineStr">
        <is>
          <t>NZ|LCM|F|18|50 Back</t>
        </is>
      </c>
      <c r="B414" s="20" t="n">
        <v>2</v>
      </c>
      <c r="C414" s="20" t="inlineStr">
        <is>
          <t>LCM</t>
        </is>
      </c>
      <c r="D414" s="20" t="inlineStr">
        <is>
          <t>Female</t>
        </is>
      </c>
      <c r="E414" s="20" t="n">
        <v>18</v>
      </c>
      <c r="F414" s="20" t="inlineStr">
        <is>
          <t>50 Back</t>
        </is>
      </c>
      <c r="G414" s="20" t="n"/>
      <c r="H414" s="20" t="inlineStr">
        <is>
          <t>28.47</t>
        </is>
      </c>
      <c r="I414" s="20">
        <f>IF(H414="","",IF(ISNUMBER(SEARCH(":",H414)),VALUE(LEFT(H414,SEARCH(":",H414)-1))*60+VALUE(MID(H414,SEARCH(":",H414)+1,99)),VALUE(H414)))</f>
        <v/>
      </c>
      <c r="J414" s="20">
        <f>IF(OR(G414&lt;&gt;"",AND(H414&lt;&gt;"",INDEX(05_Record_Benchmarks!$N:$N,MATCH(A414,05_Record_Benchmarks!$A:$A,0))="YES")),"YES","NO")</f>
        <v/>
      </c>
      <c r="K414" s="20" t="inlineStr">
        <is>
          <t>Next-fastest time supplied in user workbook; swimmer name not yet supplied.</t>
        </is>
      </c>
      <c r="L414" s="40" t="n"/>
    </row>
    <row r="415" ht="15" customHeight="1" s="17">
      <c r="A415" s="20" t="inlineStr">
        <is>
          <t>NZ|LCM|F|18|100 Back</t>
        </is>
      </c>
      <c r="B415" s="20" t="n">
        <v>2</v>
      </c>
      <c r="C415" s="20" t="inlineStr">
        <is>
          <t>LCM</t>
        </is>
      </c>
      <c r="D415" s="20" t="inlineStr">
        <is>
          <t>Female</t>
        </is>
      </c>
      <c r="E415" s="20" t="n">
        <v>18</v>
      </c>
      <c r="F415" s="20" t="inlineStr">
        <is>
          <t>100 Back</t>
        </is>
      </c>
      <c r="G415" s="20" t="n"/>
      <c r="H415" s="20" t="inlineStr">
        <is>
          <t>1:01.64</t>
        </is>
      </c>
      <c r="I415" s="20">
        <f>IF(H415="","",IF(ISNUMBER(SEARCH(":",H415)),VALUE(LEFT(H415,SEARCH(":",H415)-1))*60+VALUE(MID(H415,SEARCH(":",H415)+1,99)),VALUE(H415)))</f>
        <v/>
      </c>
      <c r="J415" s="20">
        <f>IF(OR(G415&lt;&gt;"",AND(H415&lt;&gt;"",INDEX(05_Record_Benchmarks!$N:$N,MATCH(A415,05_Record_Benchmarks!$A:$A,0))="YES")),"YES","NO")</f>
        <v/>
      </c>
      <c r="K415" s="20" t="inlineStr">
        <is>
          <t>Next-fastest time supplied in user workbook; swimmer name not yet supplied.</t>
        </is>
      </c>
      <c r="L415" s="40" t="n"/>
    </row>
    <row r="416" ht="15" customHeight="1" s="17">
      <c r="A416" s="20" t="inlineStr">
        <is>
          <t>NZ|LCM|F|18|200 Back</t>
        </is>
      </c>
      <c r="B416" s="20" t="n">
        <v>2</v>
      </c>
      <c r="C416" s="20" t="inlineStr">
        <is>
          <t>LCM</t>
        </is>
      </c>
      <c r="D416" s="20" t="inlineStr">
        <is>
          <t>Female</t>
        </is>
      </c>
      <c r="E416" s="20" t="n">
        <v>18</v>
      </c>
      <c r="F416" s="20" t="inlineStr">
        <is>
          <t>200 Back</t>
        </is>
      </c>
      <c r="G416" s="20" t="n"/>
      <c r="H416" s="20" t="inlineStr">
        <is>
          <t>2:12.69</t>
        </is>
      </c>
      <c r="I416" s="20">
        <f>IF(H416="","",IF(ISNUMBER(SEARCH(":",H416)),VALUE(LEFT(H416,SEARCH(":",H416)-1))*60+VALUE(MID(H416,SEARCH(":",H416)+1,99)),VALUE(H416)))</f>
        <v/>
      </c>
      <c r="J416" s="20">
        <f>IF(OR(G416&lt;&gt;"",AND(H416&lt;&gt;"",INDEX(05_Record_Benchmarks!$N:$N,MATCH(A416,05_Record_Benchmarks!$A:$A,0))="YES")),"YES","NO")</f>
        <v/>
      </c>
      <c r="K416" s="20" t="inlineStr">
        <is>
          <t>Next-fastest time supplied in user workbook; swimmer name not yet supplied.</t>
        </is>
      </c>
      <c r="L416" s="40" t="n"/>
    </row>
    <row r="417" ht="15" customHeight="1" s="17">
      <c r="A417" s="20" t="inlineStr">
        <is>
          <t>NZ|LCM|F|18|50 Breast</t>
        </is>
      </c>
      <c r="B417" s="20" t="n">
        <v>2</v>
      </c>
      <c r="C417" s="20" t="inlineStr">
        <is>
          <t>LCM</t>
        </is>
      </c>
      <c r="D417" s="20" t="inlineStr">
        <is>
          <t>Female</t>
        </is>
      </c>
      <c r="E417" s="20" t="n">
        <v>18</v>
      </c>
      <c r="F417" s="20" t="inlineStr">
        <is>
          <t>50 Breast</t>
        </is>
      </c>
      <c r="G417" s="20" t="n"/>
      <c r="H417" s="20" t="inlineStr">
        <is>
          <t>32.33</t>
        </is>
      </c>
      <c r="I417" s="20">
        <f>IF(H417="","",IF(ISNUMBER(SEARCH(":",H417)),VALUE(LEFT(H417,SEARCH(":",H417)-1))*60+VALUE(MID(H417,SEARCH(":",H417)+1,99)),VALUE(H417)))</f>
        <v/>
      </c>
      <c r="J417" s="20">
        <f>IF(OR(G417&lt;&gt;"",AND(H417&lt;&gt;"",INDEX(05_Record_Benchmarks!$N:$N,MATCH(A417,05_Record_Benchmarks!$A:$A,0))="YES")),"YES","NO")</f>
        <v/>
      </c>
      <c r="K417" s="20" t="inlineStr">
        <is>
          <t>Next-fastest time supplied in user workbook; swimmer name not yet supplied.</t>
        </is>
      </c>
      <c r="L417" s="40" t="n"/>
    </row>
    <row r="418" ht="15" customHeight="1" s="17">
      <c r="A418" s="20" t="inlineStr">
        <is>
          <t>NZ|LCM|F|18|100 Breast</t>
        </is>
      </c>
      <c r="B418" s="20" t="n">
        <v>2</v>
      </c>
      <c r="C418" s="20" t="inlineStr">
        <is>
          <t>LCM</t>
        </is>
      </c>
      <c r="D418" s="20" t="inlineStr">
        <is>
          <t>Female</t>
        </is>
      </c>
      <c r="E418" s="20" t="n">
        <v>18</v>
      </c>
      <c r="F418" s="20" t="inlineStr">
        <is>
          <t>100 Breast</t>
        </is>
      </c>
      <c r="G418" s="20" t="n"/>
      <c r="H418" s="20" t="inlineStr">
        <is>
          <t>1:09.06</t>
        </is>
      </c>
      <c r="I418" s="20">
        <f>IF(H418="","",IF(ISNUMBER(SEARCH(":",H418)),VALUE(LEFT(H418,SEARCH(":",H418)-1))*60+VALUE(MID(H418,SEARCH(":",H418)+1,99)),VALUE(H418)))</f>
        <v/>
      </c>
      <c r="J418" s="20">
        <f>IF(OR(G418&lt;&gt;"",AND(H418&lt;&gt;"",INDEX(05_Record_Benchmarks!$N:$N,MATCH(A418,05_Record_Benchmarks!$A:$A,0))="YES")),"YES","NO")</f>
        <v/>
      </c>
      <c r="K418" s="20" t="inlineStr">
        <is>
          <t>Next-fastest time supplied in user workbook; swimmer name not yet supplied.</t>
        </is>
      </c>
      <c r="L418" s="40" t="n"/>
    </row>
    <row r="419" ht="15" customHeight="1" s="17">
      <c r="A419" s="20" t="inlineStr">
        <is>
          <t>NZ|LCM|F|18|200 Breast</t>
        </is>
      </c>
      <c r="B419" s="20" t="n">
        <v>2</v>
      </c>
      <c r="C419" s="20" t="inlineStr">
        <is>
          <t>LCM</t>
        </is>
      </c>
      <c r="D419" s="20" t="inlineStr">
        <is>
          <t>Female</t>
        </is>
      </c>
      <c r="E419" s="20" t="n">
        <v>18</v>
      </c>
      <c r="F419" s="20" t="inlineStr">
        <is>
          <t>200 Breast</t>
        </is>
      </c>
      <c r="G419" s="20" t="n"/>
      <c r="H419" s="20" t="inlineStr">
        <is>
          <t>2:32.03</t>
        </is>
      </c>
      <c r="I419" s="20">
        <f>IF(H419="","",IF(ISNUMBER(SEARCH(":",H419)),VALUE(LEFT(H419,SEARCH(":",H419)-1))*60+VALUE(MID(H419,SEARCH(":",H419)+1,99)),VALUE(H419)))</f>
        <v/>
      </c>
      <c r="J419" s="20">
        <f>IF(OR(G419&lt;&gt;"",AND(H419&lt;&gt;"",INDEX(05_Record_Benchmarks!$N:$N,MATCH(A419,05_Record_Benchmarks!$A:$A,0))="YES")),"YES","NO")</f>
        <v/>
      </c>
      <c r="K419" s="20" t="inlineStr">
        <is>
          <t>Next-fastest time supplied in user workbook; swimmer name not yet supplied.</t>
        </is>
      </c>
      <c r="L419" s="40" t="n"/>
    </row>
    <row r="420" ht="15" customHeight="1" s="17">
      <c r="A420" s="20" t="inlineStr">
        <is>
          <t>NZ|LCM|F|18|50 Fly</t>
        </is>
      </c>
      <c r="B420" s="20" t="n">
        <v>2</v>
      </c>
      <c r="C420" s="20" t="inlineStr">
        <is>
          <t>LCM</t>
        </is>
      </c>
      <c r="D420" s="20" t="inlineStr">
        <is>
          <t>Female</t>
        </is>
      </c>
      <c r="E420" s="20" t="n">
        <v>18</v>
      </c>
      <c r="F420" s="20" t="inlineStr">
        <is>
          <t>50 Fly</t>
        </is>
      </c>
      <c r="G420" s="20" t="n"/>
      <c r="H420" s="20" t="inlineStr">
        <is>
          <t>26.34</t>
        </is>
      </c>
      <c r="I420" s="20">
        <f>IF(H420="","",IF(ISNUMBER(SEARCH(":",H420)),VALUE(LEFT(H420,SEARCH(":",H420)-1))*60+VALUE(MID(H420,SEARCH(":",H420)+1,99)),VALUE(H420)))</f>
        <v/>
      </c>
      <c r="J420" s="20">
        <f>IF(OR(G420&lt;&gt;"",AND(H420&lt;&gt;"",INDEX(05_Record_Benchmarks!$N:$N,MATCH(A420,05_Record_Benchmarks!$A:$A,0))="YES")),"YES","NO")</f>
        <v/>
      </c>
      <c r="K420" s="20" t="inlineStr">
        <is>
          <t>Next-fastest time supplied in user workbook; swimmer name not yet supplied.</t>
        </is>
      </c>
      <c r="L420" s="40" t="n"/>
    </row>
    <row r="421" ht="15" customHeight="1" s="17">
      <c r="A421" s="20" t="inlineStr">
        <is>
          <t>NZ|LCM|F|18|100 Fly</t>
        </is>
      </c>
      <c r="B421" s="20" t="n">
        <v>2</v>
      </c>
      <c r="C421" s="20" t="inlineStr">
        <is>
          <t>LCM</t>
        </is>
      </c>
      <c r="D421" s="20" t="inlineStr">
        <is>
          <t>Female</t>
        </is>
      </c>
      <c r="E421" s="20" t="n">
        <v>18</v>
      </c>
      <c r="F421" s="20" t="inlineStr">
        <is>
          <t>100 Fly</t>
        </is>
      </c>
      <c r="G421" s="20" t="n"/>
      <c r="H421" s="20" t="inlineStr">
        <is>
          <t>1:00.98</t>
        </is>
      </c>
      <c r="I421" s="20">
        <f>IF(H421="","",IF(ISNUMBER(SEARCH(":",H421)),VALUE(LEFT(H421,SEARCH(":",H421)-1))*60+VALUE(MID(H421,SEARCH(":",H421)+1,99)),VALUE(H421)))</f>
        <v/>
      </c>
      <c r="J421" s="20">
        <f>IF(OR(G421&lt;&gt;"",AND(H421&lt;&gt;"",INDEX(05_Record_Benchmarks!$N:$N,MATCH(A421,05_Record_Benchmarks!$A:$A,0))="YES")),"YES","NO")</f>
        <v/>
      </c>
      <c r="K421" s="20" t="inlineStr">
        <is>
          <t>Next-fastest time supplied in user workbook; swimmer name not yet supplied.</t>
        </is>
      </c>
      <c r="L421" s="40" t="n"/>
    </row>
    <row r="422" ht="15" customHeight="1" s="17">
      <c r="A422" s="20" t="inlineStr">
        <is>
          <t>NZ|LCM|F|18|200 Fly</t>
        </is>
      </c>
      <c r="B422" s="20" t="n">
        <v>2</v>
      </c>
      <c r="C422" s="20" t="inlineStr">
        <is>
          <t>LCM</t>
        </is>
      </c>
      <c r="D422" s="20" t="inlineStr">
        <is>
          <t>Female</t>
        </is>
      </c>
      <c r="E422" s="20" t="n">
        <v>18</v>
      </c>
      <c r="F422" s="20" t="inlineStr">
        <is>
          <t>200 Fly</t>
        </is>
      </c>
      <c r="G422" s="20" t="n"/>
      <c r="H422" s="20" t="inlineStr">
        <is>
          <t>2:16.18</t>
        </is>
      </c>
      <c r="I422" s="20">
        <f>IF(H422="","",IF(ISNUMBER(SEARCH(":",H422)),VALUE(LEFT(H422,SEARCH(":",H422)-1))*60+VALUE(MID(H422,SEARCH(":",H422)+1,99)),VALUE(H422)))</f>
        <v/>
      </c>
      <c r="J422" s="20">
        <f>IF(OR(G422&lt;&gt;"",AND(H422&lt;&gt;"",INDEX(05_Record_Benchmarks!$N:$N,MATCH(A422,05_Record_Benchmarks!$A:$A,0))="YES")),"YES","NO")</f>
        <v/>
      </c>
      <c r="K422" s="20" t="inlineStr">
        <is>
          <t>Next-fastest time supplied in user workbook; swimmer name not yet supplied.</t>
        </is>
      </c>
      <c r="L422" s="40" t="n"/>
    </row>
    <row r="423" ht="15" customHeight="1" s="17">
      <c r="A423" s="20" t="inlineStr">
        <is>
          <t>NZ|LCM|F|18|200 IM</t>
        </is>
      </c>
      <c r="B423" s="20" t="n">
        <v>2</v>
      </c>
      <c r="C423" s="20" t="inlineStr">
        <is>
          <t>LCM</t>
        </is>
      </c>
      <c r="D423" s="20" t="inlineStr">
        <is>
          <t>Female</t>
        </is>
      </c>
      <c r="E423" s="20" t="n">
        <v>18</v>
      </c>
      <c r="F423" s="20" t="inlineStr">
        <is>
          <t>200 IM</t>
        </is>
      </c>
      <c r="G423" s="20" t="n"/>
      <c r="H423" s="20" t="inlineStr">
        <is>
          <t>2:17.00</t>
        </is>
      </c>
      <c r="I423" s="20">
        <f>IF(H423="","",IF(ISNUMBER(SEARCH(":",H423)),VALUE(LEFT(H423,SEARCH(":",H423)-1))*60+VALUE(MID(H423,SEARCH(":",H423)+1,99)),VALUE(H423)))</f>
        <v/>
      </c>
      <c r="J423" s="20">
        <f>IF(OR(G423&lt;&gt;"",AND(H423&lt;&gt;"",INDEX(05_Record_Benchmarks!$N:$N,MATCH(A423,05_Record_Benchmarks!$A:$A,0))="YES")),"YES","NO")</f>
        <v/>
      </c>
      <c r="K423" s="20" t="inlineStr">
        <is>
          <t>Next-fastest time supplied in user workbook; swimmer name not yet supplied.</t>
        </is>
      </c>
      <c r="L423" s="40" t="n"/>
    </row>
    <row r="424" ht="15" customHeight="1" s="17">
      <c r="A424" s="20" t="inlineStr">
        <is>
          <t>NZ|LCM|F|18|400 IM</t>
        </is>
      </c>
      <c r="B424" s="20" t="n">
        <v>2</v>
      </c>
      <c r="C424" s="20" t="inlineStr">
        <is>
          <t>LCM</t>
        </is>
      </c>
      <c r="D424" s="20" t="inlineStr">
        <is>
          <t>Female</t>
        </is>
      </c>
      <c r="E424" s="20" t="n">
        <v>18</v>
      </c>
      <c r="F424" s="20" t="inlineStr">
        <is>
          <t>400 IM</t>
        </is>
      </c>
      <c r="G424" s="20" t="n"/>
      <c r="H424" s="20" t="inlineStr">
        <is>
          <t>4:47.53</t>
        </is>
      </c>
      <c r="I424" s="20">
        <f>IF(H424="","",IF(ISNUMBER(SEARCH(":",H424)),VALUE(LEFT(H424,SEARCH(":",H424)-1))*60+VALUE(MID(H424,SEARCH(":",H424)+1,99)),VALUE(H424)))</f>
        <v/>
      </c>
      <c r="J424" s="20">
        <f>IF(OR(G424&lt;&gt;"",AND(H424&lt;&gt;"",INDEX(05_Record_Benchmarks!$N:$N,MATCH(A424,05_Record_Benchmarks!$A:$A,0))="YES")),"YES","NO")</f>
        <v/>
      </c>
      <c r="K424" s="20" t="inlineStr">
        <is>
          <t>Next-fastest time supplied in user workbook; swimmer name not yet supplied.</t>
        </is>
      </c>
      <c r="L424" s="40" t="n"/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6" min="1" max="2"/>
    <col width="55" customWidth="1" style="16" min="3" max="3"/>
    <col width="45" customWidth="1" style="16" min="4" max="5"/>
    <col width="15" customWidth="1" style="16" min="6" max="6"/>
    <col width="12" customWidth="1" style="16" min="7" max="8"/>
    <col width="35" customWidth="1" style="16" min="9" max="9"/>
  </cols>
  <sheetData>
    <row r="1" ht="25.5" customHeight="1" s="17">
      <c r="A1" s="18" t="inlineStr">
        <is>
          <t>Media</t>
        </is>
      </c>
    </row>
    <row r="2" ht="31.5" customHeight="1" s="17">
      <c r="A2" s="19" t="inlineStr">
        <is>
          <t>Landing-page photos and video metadata. No media has been supplied yet.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 s="17">
      <c r="A4" s="21" t="inlineStr">
        <is>
          <t>MediaID</t>
        </is>
      </c>
      <c r="B4" s="21" t="inlineStr">
        <is>
          <t>Type</t>
        </is>
      </c>
      <c r="C4" s="21" t="inlineStr">
        <is>
          <t>File / URL</t>
        </is>
      </c>
      <c r="D4" s="21" t="inlineStr">
        <is>
          <t>Caption</t>
        </is>
      </c>
      <c r="E4" s="21" t="inlineStr">
        <is>
          <t>Alt Text</t>
        </is>
      </c>
      <c r="F4" s="21" t="inlineStr">
        <is>
          <t>Date</t>
        </is>
      </c>
      <c r="G4" s="21" t="inlineStr">
        <is>
          <t>Sort Order</t>
        </is>
      </c>
      <c r="H4" s="21" t="inlineStr">
        <is>
          <t>Public Flag</t>
        </is>
      </c>
      <c r="I4" s="21" t="inlineStr">
        <is>
          <t>Notes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6" min="1" max="1"/>
    <col width="26" customWidth="1" style="16" min="2" max="2"/>
    <col width="58" customWidth="1" style="16" min="3" max="3"/>
    <col width="18" customWidth="1" style="16" min="4" max="4"/>
    <col width="22" customWidth="1" style="16" min="5" max="5"/>
    <col width="14" customWidth="1" style="16" min="6" max="7"/>
    <col width="55" customWidth="1" style="16" min="8" max="8"/>
    <col width="22" customWidth="1" style="16" min="9" max="9"/>
  </cols>
  <sheetData>
    <row r="1" ht="25.5" customHeight="1" s="17">
      <c r="A1" s="18" t="inlineStr">
        <is>
          <t>Import log</t>
        </is>
      </c>
    </row>
    <row r="2" ht="31.5" customHeight="1" s="17">
      <c r="A2" s="19" t="inlineStr">
        <is>
          <t>Audit trail of source files and website acquisitions.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 s="17">
      <c r="A4" s="21" t="inlineStr">
        <is>
          <t>BatchID</t>
        </is>
      </c>
      <c r="B4" s="21" t="inlineStr">
        <is>
          <t>Source</t>
        </is>
      </c>
      <c r="C4" s="21" t="inlineStr">
        <is>
          <t>File / URL</t>
        </is>
      </c>
      <c r="D4" s="21" t="inlineStr">
        <is>
          <t>Source As At</t>
        </is>
      </c>
      <c r="E4" s="21" t="inlineStr">
        <is>
          <t>Imported At</t>
        </is>
      </c>
      <c r="F4" s="21" t="inlineStr">
        <is>
          <t>Rows Loaded</t>
        </is>
      </c>
      <c r="G4" s="21" t="inlineStr">
        <is>
          <t>Status</t>
        </is>
      </c>
      <c r="H4" s="21" t="inlineStr">
        <is>
          <t>Notes</t>
        </is>
      </c>
      <c r="I4" s="21" t="inlineStr">
        <is>
          <t>Private/Public</t>
        </is>
      </c>
    </row>
    <row r="5" ht="15" customHeight="1" s="17">
      <c r="A5" s="20" t="inlineStr">
        <is>
          <t>B001</t>
        </is>
      </c>
      <c r="B5" s="20" t="inlineStr">
        <is>
          <t>NZ record margin workbook</t>
        </is>
      </c>
      <c r="C5" s="20" t="inlineStr">
        <is>
          <t>NZ_age_group_margins_review.xlsx</t>
        </is>
      </c>
      <c r="D5" s="20" t="inlineStr">
        <is>
          <t>2026-10-08</t>
        </is>
      </c>
      <c r="E5" s="41" t="n">
        <v>46303.31683015046</v>
      </c>
      <c r="F5" s="20" t="n">
        <v>420</v>
      </c>
      <c r="G5" s="20" t="inlineStr">
        <is>
          <t>Loaded</t>
        </is>
      </c>
      <c r="H5" s="20" t="inlineStr">
        <is>
          <t>Includes user-verified next-fastest names for high-margin records</t>
        </is>
      </c>
      <c r="I5" s="20" t="inlineStr">
        <is>
          <t>Private</t>
        </is>
      </c>
    </row>
    <row r="6" ht="15" customHeight="1" s="17">
      <c r="A6" s="20" t="inlineStr">
        <is>
          <t>B002</t>
        </is>
      </c>
      <c r="B6" s="20" t="inlineStr">
        <is>
          <t>Progression swimmer list</t>
        </is>
      </c>
      <c r="C6" s="20" t="inlineStr">
        <is>
          <t>Progression_comparison_swimmers.xlsx</t>
        </is>
      </c>
      <c r="D6" s="20" t="inlineStr">
        <is>
          <t>2026-10-08</t>
        </is>
      </c>
      <c r="E6" s="41" t="n">
        <v>46303.31683015046</v>
      </c>
      <c r="F6" s="20" t="n">
        <v>19</v>
      </c>
      <c r="G6" s="20" t="inlineStr">
        <is>
          <t>Loaded</t>
        </is>
      </c>
      <c r="H6" s="20" t="inlineStr">
        <is>
          <t>19 source profiles / 18 canonical swimmers</t>
        </is>
      </c>
      <c r="I6" s="20" t="inlineStr">
        <is>
          <t>Private</t>
        </is>
      </c>
    </row>
    <row r="7" ht="15" customHeight="1" s="17">
      <c r="A7" s="20" t="inlineStr">
        <is>
          <t>B003</t>
        </is>
      </c>
      <c r="B7" s="20" t="inlineStr">
        <is>
          <t>Swimming NZ SCM records</t>
        </is>
      </c>
      <c r="C7" s="20" t="inlineStr">
        <is>
          <t>User-supplied PDF</t>
        </is>
      </c>
      <c r="D7" s="20" t="inlineStr">
        <is>
          <t>23 Sep 2026</t>
        </is>
      </c>
      <c r="E7" s="41" t="n">
        <v>46303.31683015046</v>
      </c>
      <c r="F7" s="20" t="n"/>
      <c r="G7" s="20" t="inlineStr">
        <is>
          <t>Referenced</t>
        </is>
      </c>
      <c r="H7" s="20" t="inlineStr">
        <is>
          <t>Base record book before NZSC 2026 updates</t>
        </is>
      </c>
      <c r="I7" s="20" t="inlineStr">
        <is>
          <t>Private source / public derived</t>
        </is>
      </c>
    </row>
    <row r="8" ht="15" customHeight="1" s="17">
      <c r="A8" s="20" t="inlineStr">
        <is>
          <t>B004</t>
        </is>
      </c>
      <c r="B8" s="20" t="inlineStr">
        <is>
          <t>Swimming NZ LCM records</t>
        </is>
      </c>
      <c r="C8" s="20" t="inlineStr">
        <is>
          <t>User-supplied PDF</t>
        </is>
      </c>
      <c r="D8" s="20" t="inlineStr">
        <is>
          <t>31 Aug 2026</t>
        </is>
      </c>
      <c r="E8" s="41" t="n">
        <v>46303.31683015046</v>
      </c>
      <c r="F8" s="20" t="n"/>
      <c r="G8" s="20" t="inlineStr">
        <is>
          <t>Referenced</t>
        </is>
      </c>
      <c r="H8" s="20" t="inlineStr">
        <is>
          <t>Current supplied LCM record book</t>
        </is>
      </c>
      <c r="I8" s="20" t="inlineStr">
        <is>
          <t>Private source / public derived</t>
        </is>
      </c>
    </row>
    <row r="9" ht="15" customHeight="1" s="17">
      <c r="A9" s="20" t="inlineStr">
        <is>
          <t>B005</t>
        </is>
      </c>
      <c r="B9" s="20" t="inlineStr">
        <is>
          <t>NZSC 2026 editorial record updates</t>
        </is>
      </c>
      <c r="C9" s="20" t="inlineStr">
        <is>
          <t>https://swimdadnz.github.io/NZSC_2026/</t>
        </is>
      </c>
      <c r="D9" s="20" t="inlineStr">
        <is>
          <t>1 Oct 2026</t>
        </is>
      </c>
      <c r="E9" s="41" t="n">
        <v>46303.31683015046</v>
      </c>
      <c r="F9" s="20" t="n">
        <v>19</v>
      </c>
      <c r="G9" s="20" t="inlineStr">
        <is>
          <t>Loaded</t>
        </is>
      </c>
      <c r="H9" s="20" t="inlineStr">
        <is>
          <t>Used to update SCM age-group records</t>
        </is>
      </c>
      <c r="I9" s="20" t="inlineStr">
        <is>
          <t>Public</t>
        </is>
      </c>
    </row>
    <row r="10">
      <c r="A10" s="16" t="inlineStr">
        <is>
          <t>B006</t>
        </is>
      </c>
      <c r="B10" s="16" t="inlineStr">
        <is>
          <t>SwimCloud API v6</t>
        </is>
      </c>
      <c r="C10" s="16" t="inlineStr">
        <is>
          <t>SwimCloud_API_Output_v6_20261008_223146.zip</t>
        </is>
      </c>
      <c r="D10" s="16" t="inlineStr">
        <is>
          <t>2026-10-08</t>
        </is>
      </c>
      <c r="E10" s="54" t="n">
        <v>46303.41355515047</v>
      </c>
      <c r="F10" s="16" t="n">
        <v>2834</v>
      </c>
      <c r="G10" s="16" t="inlineStr">
        <is>
          <t>Loaded</t>
        </is>
      </c>
      <c r="H10" s="16" t="inlineStr">
        <is>
          <t>152/152 calls HTTP 200; 126 non-empty event histories; 26 empty arrays</t>
        </is>
      </c>
      <c r="I10" s="16" t="inlineStr">
        <is>
          <t>Private</t>
        </is>
      </c>
    </row>
    <row r="11">
      <c r="A11" s="16" t="inlineStr">
        <is>
          <t>B007</t>
        </is>
      </c>
      <c r="B11" s="16" t="inlineStr">
        <is>
          <t>NZSC 2026 supplement</t>
        </is>
      </c>
      <c r="C11" s="16" t="inlineStr">
        <is>
          <t>Public editorial meet reports</t>
        </is>
      </c>
      <c r="D11" s="16" t="inlineStr">
        <is>
          <t>2026-10-01</t>
        </is>
      </c>
      <c r="E11" s="54" t="n">
        <v>46303.41355515047</v>
      </c>
      <c r="F11" s="16" t="n">
        <v>7</v>
      </c>
      <c r="G11" s="16" t="inlineStr">
        <is>
          <t>Loaded</t>
        </is>
      </c>
      <c r="H11" s="16" t="inlineStr">
        <is>
          <t>Selected-event heat/final and relay lead-off swims not yet present in captured SwimCloud profiles</t>
        </is>
      </c>
      <c r="I11" s="16" t="inlineStr">
        <is>
          <t>Public source / private master</t>
        </is>
      </c>
    </row>
    <row r="12" ht="15" customHeight="1" s="17">
      <c r="A12" s="20" t="inlineStr">
        <is>
          <t>IMP003</t>
        </is>
      </c>
      <c r="B12" s="20" t="inlineStr">
        <is>
          <t>SwimCloud all-event acquisition v8</t>
        </is>
      </c>
      <c r="C12" s="20" t="inlineStr">
        <is>
          <t>SwimCloud API via browser session</t>
        </is>
      </c>
      <c r="D12" s="20" t="inlineStr">
        <is>
          <t>SwimCloud_Grayson_AllEvents_Output_v8_20261009_064318.zip</t>
        </is>
      </c>
      <c r="E12" s="41" t="n">
        <v>46304.28125</v>
      </c>
      <c r="F12" s="20" t="n">
        <v>141</v>
      </c>
      <c r="G12" s="20" t="inlineStr">
        <is>
          <t>PASS</t>
        </is>
      </c>
      <c r="H12" s="20" t="inlineStr">
        <is>
          <t>Added 141 previously-unloaded Grayson SwimCloud rows across dynamically discovered events; 5 NZSC non-selected-event rows added separately.</t>
        </is>
      </c>
      <c r="I12" s="20" t="n"/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16" min="1" max="1"/>
    <col width="30" customWidth="1" style="16" min="2" max="2"/>
    <col width="10" customWidth="1" style="16" min="3" max="6"/>
    <col width="38" customWidth="1" style="16" min="7" max="7"/>
  </cols>
  <sheetData>
    <row r="1" ht="25.5" customHeight="1" s="17">
      <c r="A1" s="18" t="inlineStr">
        <is>
          <t>Current NZ age-group record-holder counts</t>
        </is>
      </c>
    </row>
    <row r="2" ht="31.5" customHeight="1" s="17">
      <c r="A2" s="19" t="inlineStr">
        <is>
          <t>Individual age-group records only, ages 13-18. Joint holders each receive one record.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</row>
    <row r="4" ht="30" customHeight="1" s="17">
      <c r="A4" s="21" t="inlineStr">
        <is>
          <t>Sex</t>
        </is>
      </c>
      <c r="B4" s="21" t="inlineStr">
        <is>
          <t>Swimmer</t>
        </is>
      </c>
      <c r="C4" s="21" t="inlineStr">
        <is>
          <t>SCM</t>
        </is>
      </c>
      <c r="D4" s="21" t="inlineStr">
        <is>
          <t>LCM</t>
        </is>
      </c>
      <c r="E4" s="21" t="inlineStr">
        <is>
          <t>Total</t>
        </is>
      </c>
      <c r="F4" s="21" t="inlineStr">
        <is>
          <t>Rank</t>
        </is>
      </c>
      <c r="G4" s="21" t="inlineStr">
        <is>
          <t>Sort Key</t>
        </is>
      </c>
    </row>
    <row r="5" ht="15" customHeight="1" s="17">
      <c r="A5" s="20" t="inlineStr">
        <is>
          <t>Male</t>
        </is>
      </c>
      <c r="B5" s="20" t="inlineStr">
        <is>
          <t>Grayson Coulter</t>
        </is>
      </c>
      <c r="C5" s="20">
        <f>COUNTIFS(05_Record_Benchmarks!$B:$B,"SCM",05_Record_Benchmarks!$C:$C,A5,05_Record_Benchmarks!$G:$G,B5)+COUNTIFS(05_Record_Benchmarks!$B:$B,"SCM",05_Record_Benchmarks!$C:$C,A5,05_Record_Benchmarks!$H:$H,B5)</f>
        <v/>
      </c>
      <c r="D5" s="20">
        <f>COUNTIFS(05_Record_Benchmarks!$B:$B,"LCM",05_Record_Benchmarks!$C:$C,A5,05_Record_Benchmarks!$G:$G,B5)+COUNTIFS(05_Record_Benchmarks!$B:$B,"LCM",05_Record_Benchmarks!$C:$C,A5,05_Record_Benchmarks!$H:$H,B5)</f>
        <v/>
      </c>
      <c r="E5" s="20">
        <f>C5+D5</f>
        <v/>
      </c>
      <c r="F5" s="20">
        <f>1+COUNTIFS($A$5:$A$110,A5,$E$5:$E$110,"&gt;"&amp;E5)</f>
        <v/>
      </c>
      <c r="G5" s="20">
        <f>A5&amp;"|"&amp;TEXT(F5,"000")&amp;"|"&amp;B5</f>
        <v/>
      </c>
    </row>
    <row r="6" ht="15" customHeight="1" s="17">
      <c r="A6" s="20" t="inlineStr">
        <is>
          <t>Male</t>
        </is>
      </c>
      <c r="B6" s="20" t="inlineStr">
        <is>
          <t>Ariel Muchirahondo</t>
        </is>
      </c>
      <c r="C6" s="20">
        <f>COUNTIFS(05_Record_Benchmarks!$B:$B,"SCM",05_Record_Benchmarks!$C:$C,A6,05_Record_Benchmarks!$G:$G,B6)+COUNTIFS(05_Record_Benchmarks!$B:$B,"SCM",05_Record_Benchmarks!$C:$C,A6,05_Record_Benchmarks!$H:$H,B6)</f>
        <v/>
      </c>
      <c r="D6" s="20">
        <f>COUNTIFS(05_Record_Benchmarks!$B:$B,"LCM",05_Record_Benchmarks!$C:$C,A6,05_Record_Benchmarks!$G:$G,B6)+COUNTIFS(05_Record_Benchmarks!$B:$B,"LCM",05_Record_Benchmarks!$C:$C,A6,05_Record_Benchmarks!$H:$H,B6)</f>
        <v/>
      </c>
      <c r="E6" s="20">
        <f>C6+D6</f>
        <v/>
      </c>
      <c r="F6" s="20">
        <f>1+COUNTIFS($A$5:$A$110,A6,$E$5:$E$110,"&gt;"&amp;E6)</f>
        <v/>
      </c>
      <c r="G6" s="20">
        <f>A6&amp;"|"&amp;TEXT(F6,"000")&amp;"|"&amp;B6</f>
        <v/>
      </c>
    </row>
    <row r="7" ht="15" customHeight="1" s="17">
      <c r="A7" s="20" t="inlineStr">
        <is>
          <t>Male</t>
        </is>
      </c>
      <c r="B7" s="20" t="inlineStr">
        <is>
          <t>Danyon Loader</t>
        </is>
      </c>
      <c r="C7" s="20">
        <f>COUNTIFS(05_Record_Benchmarks!$B:$B,"SCM",05_Record_Benchmarks!$C:$C,A7,05_Record_Benchmarks!$G:$G,B7)+COUNTIFS(05_Record_Benchmarks!$B:$B,"SCM",05_Record_Benchmarks!$C:$C,A7,05_Record_Benchmarks!$H:$H,B7)</f>
        <v/>
      </c>
      <c r="D7" s="20">
        <f>COUNTIFS(05_Record_Benchmarks!$B:$B,"LCM",05_Record_Benchmarks!$C:$C,A7,05_Record_Benchmarks!$G:$G,B7)+COUNTIFS(05_Record_Benchmarks!$B:$B,"LCM",05_Record_Benchmarks!$C:$C,A7,05_Record_Benchmarks!$H:$H,B7)</f>
        <v/>
      </c>
      <c r="E7" s="20">
        <f>C7+D7</f>
        <v/>
      </c>
      <c r="F7" s="20">
        <f>1+COUNTIFS($A$5:$A$110,A7,$E$5:$E$110,"&gt;"&amp;E7)</f>
        <v/>
      </c>
      <c r="G7" s="20">
        <f>A7&amp;"|"&amp;TEXT(F7,"000")&amp;"|"&amp;B7</f>
        <v/>
      </c>
    </row>
    <row r="8" ht="15" customHeight="1" s="17">
      <c r="A8" s="20" t="inlineStr">
        <is>
          <t>Male</t>
        </is>
      </c>
      <c r="B8" s="20" t="inlineStr">
        <is>
          <t>Michael Mincham</t>
        </is>
      </c>
      <c r="C8" s="20">
        <f>COUNTIFS(05_Record_Benchmarks!$B:$B,"SCM",05_Record_Benchmarks!$C:$C,A8,05_Record_Benchmarks!$G:$G,B8)+COUNTIFS(05_Record_Benchmarks!$B:$B,"SCM",05_Record_Benchmarks!$C:$C,A8,05_Record_Benchmarks!$H:$H,B8)</f>
        <v/>
      </c>
      <c r="D8" s="20">
        <f>COUNTIFS(05_Record_Benchmarks!$B:$B,"LCM",05_Record_Benchmarks!$C:$C,A8,05_Record_Benchmarks!$G:$G,B8)+COUNTIFS(05_Record_Benchmarks!$B:$B,"LCM",05_Record_Benchmarks!$C:$C,A8,05_Record_Benchmarks!$H:$H,B8)</f>
        <v/>
      </c>
      <c r="E8" s="20">
        <f>C8+D8</f>
        <v/>
      </c>
      <c r="F8" s="20">
        <f>1+COUNTIFS($A$5:$A$110,A8,$E$5:$E$110,"&gt;"&amp;E8)</f>
        <v/>
      </c>
      <c r="G8" s="20">
        <f>A8&amp;"|"&amp;TEXT(F8,"000")&amp;"|"&amp;B8</f>
        <v/>
      </c>
    </row>
    <row r="9" ht="15" customHeight="1" s="17">
      <c r="A9" s="20" t="inlineStr">
        <is>
          <t>Male</t>
        </is>
      </c>
      <c r="B9" s="20" t="inlineStr">
        <is>
          <t>Jeffrey Arona-Tuifana'e</t>
        </is>
      </c>
      <c r="C9" s="20">
        <f>COUNTIFS(05_Record_Benchmarks!$B:$B,"SCM",05_Record_Benchmarks!$C:$C,A9,05_Record_Benchmarks!$G:$G,B9)+COUNTIFS(05_Record_Benchmarks!$B:$B,"SCM",05_Record_Benchmarks!$C:$C,A9,05_Record_Benchmarks!$H:$H,B9)</f>
        <v/>
      </c>
      <c r="D9" s="20">
        <f>COUNTIFS(05_Record_Benchmarks!$B:$B,"LCM",05_Record_Benchmarks!$C:$C,A9,05_Record_Benchmarks!$G:$G,B9)+COUNTIFS(05_Record_Benchmarks!$B:$B,"LCM",05_Record_Benchmarks!$C:$C,A9,05_Record_Benchmarks!$H:$H,B9)</f>
        <v/>
      </c>
      <c r="E9" s="20">
        <f>C9+D9</f>
        <v/>
      </c>
      <c r="F9" s="20">
        <f>1+COUNTIFS($A$5:$A$110,A9,$E$5:$E$110,"&gt;"&amp;E9)</f>
        <v/>
      </c>
      <c r="G9" s="20">
        <f>A9&amp;"|"&amp;TEXT(F9,"000")&amp;"|"&amp;B9</f>
        <v/>
      </c>
    </row>
    <row r="10" ht="15" customHeight="1" s="17">
      <c r="A10" s="20" t="inlineStr">
        <is>
          <t>Male</t>
        </is>
      </c>
      <c r="B10" s="20" t="inlineStr">
        <is>
          <t>Daniel Bell</t>
        </is>
      </c>
      <c r="C10" s="20">
        <f>COUNTIFS(05_Record_Benchmarks!$B:$B,"SCM",05_Record_Benchmarks!$C:$C,A10,05_Record_Benchmarks!$G:$G,B10)+COUNTIFS(05_Record_Benchmarks!$B:$B,"SCM",05_Record_Benchmarks!$C:$C,A10,05_Record_Benchmarks!$H:$H,B10)</f>
        <v/>
      </c>
      <c r="D10" s="20">
        <f>COUNTIFS(05_Record_Benchmarks!$B:$B,"LCM",05_Record_Benchmarks!$C:$C,A10,05_Record_Benchmarks!$G:$G,B10)+COUNTIFS(05_Record_Benchmarks!$B:$B,"LCM",05_Record_Benchmarks!$C:$C,A10,05_Record_Benchmarks!$H:$H,B10)</f>
        <v/>
      </c>
      <c r="E10" s="20">
        <f>C10+D10</f>
        <v/>
      </c>
      <c r="F10" s="20">
        <f>1+COUNTIFS($A$5:$A$110,A10,$E$5:$E$110,"&gt;"&amp;E10)</f>
        <v/>
      </c>
      <c r="G10" s="20">
        <f>A10&amp;"|"&amp;TEXT(F10,"000")&amp;"|"&amp;B10</f>
        <v/>
      </c>
    </row>
    <row r="11" ht="15" customHeight="1" s="17">
      <c r="A11" s="20" t="inlineStr">
        <is>
          <t>Male</t>
        </is>
      </c>
      <c r="B11" s="20" t="inlineStr">
        <is>
          <t>Michael Pickett</t>
        </is>
      </c>
      <c r="C11" s="20">
        <f>COUNTIFS(05_Record_Benchmarks!$B:$B,"SCM",05_Record_Benchmarks!$C:$C,A11,05_Record_Benchmarks!$G:$G,B11)+COUNTIFS(05_Record_Benchmarks!$B:$B,"SCM",05_Record_Benchmarks!$C:$C,A11,05_Record_Benchmarks!$H:$H,B11)</f>
        <v/>
      </c>
      <c r="D11" s="20">
        <f>COUNTIFS(05_Record_Benchmarks!$B:$B,"LCM",05_Record_Benchmarks!$C:$C,A11,05_Record_Benchmarks!$G:$G,B11)+COUNTIFS(05_Record_Benchmarks!$B:$B,"LCM",05_Record_Benchmarks!$C:$C,A11,05_Record_Benchmarks!$H:$H,B11)</f>
        <v/>
      </c>
      <c r="E11" s="20">
        <f>C11+D11</f>
        <v/>
      </c>
      <c r="F11" s="20">
        <f>1+COUNTIFS($A$5:$A$110,A11,$E$5:$E$110,"&gt;"&amp;E11)</f>
        <v/>
      </c>
      <c r="G11" s="20">
        <f>A11&amp;"|"&amp;TEXT(F11,"000")&amp;"|"&amp;B11</f>
        <v/>
      </c>
    </row>
    <row r="12" ht="15" customHeight="1" s="17">
      <c r="A12" s="20" t="inlineStr">
        <is>
          <t>Male</t>
        </is>
      </c>
      <c r="B12" s="20" t="inlineStr">
        <is>
          <t>Cameron Gray</t>
        </is>
      </c>
      <c r="C12" s="20">
        <f>COUNTIFS(05_Record_Benchmarks!$B:$B,"SCM",05_Record_Benchmarks!$C:$C,A12,05_Record_Benchmarks!$G:$G,B12)+COUNTIFS(05_Record_Benchmarks!$B:$B,"SCM",05_Record_Benchmarks!$C:$C,A12,05_Record_Benchmarks!$H:$H,B12)</f>
        <v/>
      </c>
      <c r="D12" s="20">
        <f>COUNTIFS(05_Record_Benchmarks!$B:$B,"LCM",05_Record_Benchmarks!$C:$C,A12,05_Record_Benchmarks!$G:$G,B12)+COUNTIFS(05_Record_Benchmarks!$B:$B,"LCM",05_Record_Benchmarks!$C:$C,A12,05_Record_Benchmarks!$H:$H,B12)</f>
        <v/>
      </c>
      <c r="E12" s="20">
        <f>C12+D12</f>
        <v/>
      </c>
      <c r="F12" s="20">
        <f>1+COUNTIFS($A$5:$A$110,A12,$E$5:$E$110,"&gt;"&amp;E12)</f>
        <v/>
      </c>
      <c r="G12" s="20">
        <f>A12&amp;"|"&amp;TEXT(F12,"000")&amp;"|"&amp;B12</f>
        <v/>
      </c>
    </row>
    <row r="13" ht="15" customHeight="1" s="17">
      <c r="A13" s="20" t="inlineStr">
        <is>
          <t>Male</t>
        </is>
      </c>
      <c r="B13" s="20" t="inlineStr">
        <is>
          <t>Te Rauroha Paki</t>
        </is>
      </c>
      <c r="C13" s="20">
        <f>COUNTIFS(05_Record_Benchmarks!$B:$B,"SCM",05_Record_Benchmarks!$C:$C,A13,05_Record_Benchmarks!$G:$G,B13)+COUNTIFS(05_Record_Benchmarks!$B:$B,"SCM",05_Record_Benchmarks!$C:$C,A13,05_Record_Benchmarks!$H:$H,B13)</f>
        <v/>
      </c>
      <c r="D13" s="20">
        <f>COUNTIFS(05_Record_Benchmarks!$B:$B,"LCM",05_Record_Benchmarks!$C:$C,A13,05_Record_Benchmarks!$G:$G,B13)+COUNTIFS(05_Record_Benchmarks!$B:$B,"LCM",05_Record_Benchmarks!$C:$C,A13,05_Record_Benchmarks!$H:$H,B13)</f>
        <v/>
      </c>
      <c r="E13" s="20">
        <f>C13+D13</f>
        <v/>
      </c>
      <c r="F13" s="20">
        <f>1+COUNTIFS($A$5:$A$110,A13,$E$5:$E$110,"&gt;"&amp;E13)</f>
        <v/>
      </c>
      <c r="G13" s="20">
        <f>A13&amp;"|"&amp;TEXT(F13,"000")&amp;"|"&amp;B13</f>
        <v/>
      </c>
    </row>
    <row r="14" ht="15" customHeight="1" s="17">
      <c r="A14" s="20" t="inlineStr">
        <is>
          <t>Male</t>
        </is>
      </c>
      <c r="B14" s="20" t="inlineStr">
        <is>
          <t>Corey Main</t>
        </is>
      </c>
      <c r="C14" s="20">
        <f>COUNTIFS(05_Record_Benchmarks!$B:$B,"SCM",05_Record_Benchmarks!$C:$C,A14,05_Record_Benchmarks!$G:$G,B14)+COUNTIFS(05_Record_Benchmarks!$B:$B,"SCM",05_Record_Benchmarks!$C:$C,A14,05_Record_Benchmarks!$H:$H,B14)</f>
        <v/>
      </c>
      <c r="D14" s="20">
        <f>COUNTIFS(05_Record_Benchmarks!$B:$B,"LCM",05_Record_Benchmarks!$C:$C,A14,05_Record_Benchmarks!$G:$G,B14)+COUNTIFS(05_Record_Benchmarks!$B:$B,"LCM",05_Record_Benchmarks!$C:$C,A14,05_Record_Benchmarks!$H:$H,B14)</f>
        <v/>
      </c>
      <c r="E14" s="20">
        <f>C14+D14</f>
        <v/>
      </c>
      <c r="F14" s="20">
        <f>1+COUNTIFS($A$5:$A$110,A14,$E$5:$E$110,"&gt;"&amp;E14)</f>
        <v/>
      </c>
      <c r="G14" s="20">
        <f>A14&amp;"|"&amp;TEXT(F14,"000")&amp;"|"&amp;B14</f>
        <v/>
      </c>
    </row>
    <row r="15" ht="15" customHeight="1" s="17">
      <c r="A15" s="20" t="inlineStr">
        <is>
          <t>Male</t>
        </is>
      </c>
      <c r="B15" s="20" t="inlineStr">
        <is>
          <t>Zac Reid</t>
        </is>
      </c>
      <c r="C15" s="20">
        <f>COUNTIFS(05_Record_Benchmarks!$B:$B,"SCM",05_Record_Benchmarks!$C:$C,A15,05_Record_Benchmarks!$G:$G,B15)+COUNTIFS(05_Record_Benchmarks!$B:$B,"SCM",05_Record_Benchmarks!$C:$C,A15,05_Record_Benchmarks!$H:$H,B15)</f>
        <v/>
      </c>
      <c r="D15" s="20">
        <f>COUNTIFS(05_Record_Benchmarks!$B:$B,"LCM",05_Record_Benchmarks!$C:$C,A15,05_Record_Benchmarks!$G:$G,B15)+COUNTIFS(05_Record_Benchmarks!$B:$B,"LCM",05_Record_Benchmarks!$C:$C,A15,05_Record_Benchmarks!$H:$H,B15)</f>
        <v/>
      </c>
      <c r="E15" s="20">
        <f>C15+D15</f>
        <v/>
      </c>
      <c r="F15" s="20">
        <f>1+COUNTIFS($A$5:$A$110,A15,$E$5:$E$110,"&gt;"&amp;E15)</f>
        <v/>
      </c>
      <c r="G15" s="20">
        <f>A15&amp;"|"&amp;TEXT(F15,"000")&amp;"|"&amp;B15</f>
        <v/>
      </c>
    </row>
    <row r="16" ht="15" customHeight="1" s="17">
      <c r="A16" s="20" t="inlineStr">
        <is>
          <t>Male</t>
        </is>
      </c>
      <c r="B16" s="20" t="inlineStr">
        <is>
          <t>Corney Swanepoel</t>
        </is>
      </c>
      <c r="C16" s="20">
        <f>COUNTIFS(05_Record_Benchmarks!$B:$B,"SCM",05_Record_Benchmarks!$C:$C,A16,05_Record_Benchmarks!$G:$G,B16)+COUNTIFS(05_Record_Benchmarks!$B:$B,"SCM",05_Record_Benchmarks!$C:$C,A16,05_Record_Benchmarks!$H:$H,B16)</f>
        <v/>
      </c>
      <c r="D16" s="20">
        <f>COUNTIFS(05_Record_Benchmarks!$B:$B,"LCM",05_Record_Benchmarks!$C:$C,A16,05_Record_Benchmarks!$G:$G,B16)+COUNTIFS(05_Record_Benchmarks!$B:$B,"LCM",05_Record_Benchmarks!$C:$C,A16,05_Record_Benchmarks!$H:$H,B16)</f>
        <v/>
      </c>
      <c r="E16" s="20">
        <f>C16+D16</f>
        <v/>
      </c>
      <c r="F16" s="20">
        <f>1+COUNTIFS($A$5:$A$110,A16,$E$5:$E$110,"&gt;"&amp;E16)</f>
        <v/>
      </c>
      <c r="G16" s="20">
        <f>A16&amp;"|"&amp;TEXT(F16,"000")&amp;"|"&amp;B16</f>
        <v/>
      </c>
    </row>
    <row r="17" ht="15" customHeight="1" s="17">
      <c r="A17" s="20" t="inlineStr">
        <is>
          <t>Male</t>
        </is>
      </c>
      <c r="B17" s="20" t="inlineStr">
        <is>
          <t>Michael Yang</t>
        </is>
      </c>
      <c r="C17" s="20">
        <f>COUNTIFS(05_Record_Benchmarks!$B:$B,"SCM",05_Record_Benchmarks!$C:$C,A17,05_Record_Benchmarks!$G:$G,B17)+COUNTIFS(05_Record_Benchmarks!$B:$B,"SCM",05_Record_Benchmarks!$C:$C,A17,05_Record_Benchmarks!$H:$H,B17)</f>
        <v/>
      </c>
      <c r="D17" s="20">
        <f>COUNTIFS(05_Record_Benchmarks!$B:$B,"LCM",05_Record_Benchmarks!$C:$C,A17,05_Record_Benchmarks!$G:$G,B17)+COUNTIFS(05_Record_Benchmarks!$B:$B,"LCM",05_Record_Benchmarks!$C:$C,A17,05_Record_Benchmarks!$H:$H,B17)</f>
        <v/>
      </c>
      <c r="E17" s="20">
        <f>C17+D17</f>
        <v/>
      </c>
      <c r="F17" s="20">
        <f>1+COUNTIFS($A$5:$A$110,A17,$E$5:$E$110,"&gt;"&amp;E17)</f>
        <v/>
      </c>
      <c r="G17" s="20">
        <f>A17&amp;"|"&amp;TEXT(F17,"000")&amp;"|"&amp;B17</f>
        <v/>
      </c>
    </row>
    <row r="18" ht="15" customHeight="1" s="17">
      <c r="A18" s="20" t="inlineStr">
        <is>
          <t>Male</t>
        </is>
      </c>
      <c r="B18" s="20" t="inlineStr">
        <is>
          <t>Cameron Karpik</t>
        </is>
      </c>
      <c r="C18" s="20">
        <f>COUNTIFS(05_Record_Benchmarks!$B:$B,"SCM",05_Record_Benchmarks!$C:$C,A18,05_Record_Benchmarks!$G:$G,B18)+COUNTIFS(05_Record_Benchmarks!$B:$B,"SCM",05_Record_Benchmarks!$C:$C,A18,05_Record_Benchmarks!$H:$H,B18)</f>
        <v/>
      </c>
      <c r="D18" s="20">
        <f>COUNTIFS(05_Record_Benchmarks!$B:$B,"LCM",05_Record_Benchmarks!$C:$C,A18,05_Record_Benchmarks!$G:$G,B18)+COUNTIFS(05_Record_Benchmarks!$B:$B,"LCM",05_Record_Benchmarks!$C:$C,A18,05_Record_Benchmarks!$H:$H,B18)</f>
        <v/>
      </c>
      <c r="E18" s="20">
        <f>C18+D18</f>
        <v/>
      </c>
      <c r="F18" s="20">
        <f>1+COUNTIFS($A$5:$A$110,A18,$E$5:$E$110,"&gt;"&amp;E18)</f>
        <v/>
      </c>
      <c r="G18" s="20">
        <f>A18&amp;"|"&amp;TEXT(F18,"000")&amp;"|"&amp;B18</f>
        <v/>
      </c>
    </row>
    <row r="19" ht="15" customHeight="1" s="17">
      <c r="A19" s="20" t="inlineStr">
        <is>
          <t>Male</t>
        </is>
      </c>
      <c r="B19" s="20" t="inlineStr">
        <is>
          <t>Jacob Story</t>
        </is>
      </c>
      <c r="C19" s="20">
        <f>COUNTIFS(05_Record_Benchmarks!$B:$B,"SCM",05_Record_Benchmarks!$C:$C,A19,05_Record_Benchmarks!$G:$G,B19)+COUNTIFS(05_Record_Benchmarks!$B:$B,"SCM",05_Record_Benchmarks!$C:$C,A19,05_Record_Benchmarks!$H:$H,B19)</f>
        <v/>
      </c>
      <c r="D19" s="20">
        <f>COUNTIFS(05_Record_Benchmarks!$B:$B,"LCM",05_Record_Benchmarks!$C:$C,A19,05_Record_Benchmarks!$G:$G,B19)+COUNTIFS(05_Record_Benchmarks!$B:$B,"LCM",05_Record_Benchmarks!$C:$C,A19,05_Record_Benchmarks!$H:$H,B19)</f>
        <v/>
      </c>
      <c r="E19" s="20">
        <f>C19+D19</f>
        <v/>
      </c>
      <c r="F19" s="20">
        <f>1+COUNTIFS($A$5:$A$110,A19,$E$5:$E$110,"&gt;"&amp;E19)</f>
        <v/>
      </c>
      <c r="G19" s="20">
        <f>A19&amp;"|"&amp;TEXT(F19,"000")&amp;"|"&amp;B19</f>
        <v/>
      </c>
    </row>
    <row r="20" ht="15" customHeight="1" s="17">
      <c r="A20" s="20" t="inlineStr">
        <is>
          <t>Male</t>
        </is>
      </c>
      <c r="B20" s="20" t="inlineStr">
        <is>
          <t>Mitchell Donaldson</t>
        </is>
      </c>
      <c r="C20" s="20">
        <f>COUNTIFS(05_Record_Benchmarks!$B:$B,"SCM",05_Record_Benchmarks!$C:$C,A20,05_Record_Benchmarks!$G:$G,B20)+COUNTIFS(05_Record_Benchmarks!$B:$B,"SCM",05_Record_Benchmarks!$C:$C,A20,05_Record_Benchmarks!$H:$H,B20)</f>
        <v/>
      </c>
      <c r="D20" s="20">
        <f>COUNTIFS(05_Record_Benchmarks!$B:$B,"LCM",05_Record_Benchmarks!$C:$C,A20,05_Record_Benchmarks!$G:$G,B20)+COUNTIFS(05_Record_Benchmarks!$B:$B,"LCM",05_Record_Benchmarks!$C:$C,A20,05_Record_Benchmarks!$H:$H,B20)</f>
        <v/>
      </c>
      <c r="E20" s="20">
        <f>C20+D20</f>
        <v/>
      </c>
      <c r="F20" s="20">
        <f>1+COUNTIFS($A$5:$A$110,A20,$E$5:$E$110,"&gt;"&amp;E20)</f>
        <v/>
      </c>
      <c r="G20" s="20">
        <f>A20&amp;"|"&amp;TEXT(F20,"000")&amp;"|"&amp;B20</f>
        <v/>
      </c>
    </row>
    <row r="21" ht="15" customHeight="1" s="17">
      <c r="A21" s="20" t="inlineStr">
        <is>
          <t>Male</t>
        </is>
      </c>
      <c r="B21" s="20" t="inlineStr">
        <is>
          <t>Charlie Dickison</t>
        </is>
      </c>
      <c r="C21" s="20">
        <f>COUNTIFS(05_Record_Benchmarks!$B:$B,"SCM",05_Record_Benchmarks!$C:$C,A21,05_Record_Benchmarks!$G:$G,B21)+COUNTIFS(05_Record_Benchmarks!$B:$B,"SCM",05_Record_Benchmarks!$C:$C,A21,05_Record_Benchmarks!$H:$H,B21)</f>
        <v/>
      </c>
      <c r="D21" s="20">
        <f>COUNTIFS(05_Record_Benchmarks!$B:$B,"LCM",05_Record_Benchmarks!$C:$C,A21,05_Record_Benchmarks!$G:$G,B21)+COUNTIFS(05_Record_Benchmarks!$B:$B,"LCM",05_Record_Benchmarks!$C:$C,A21,05_Record_Benchmarks!$H:$H,B21)</f>
        <v/>
      </c>
      <c r="E21" s="20">
        <f>C21+D21</f>
        <v/>
      </c>
      <c r="F21" s="20">
        <f>1+COUNTIFS($A$5:$A$110,A21,$E$5:$E$110,"&gt;"&amp;E21)</f>
        <v/>
      </c>
      <c r="G21" s="20">
        <f>A21&amp;"|"&amp;TEXT(F21,"000")&amp;"|"&amp;B21</f>
        <v/>
      </c>
    </row>
    <row r="22" ht="15" customHeight="1" s="17">
      <c r="A22" s="20" t="inlineStr">
        <is>
          <t>Male</t>
        </is>
      </c>
      <c r="B22" s="20" t="inlineStr">
        <is>
          <t>Sam Brown</t>
        </is>
      </c>
      <c r="C22" s="20">
        <f>COUNTIFS(05_Record_Benchmarks!$B:$B,"SCM",05_Record_Benchmarks!$C:$C,A22,05_Record_Benchmarks!$G:$G,B22)+COUNTIFS(05_Record_Benchmarks!$B:$B,"SCM",05_Record_Benchmarks!$C:$C,A22,05_Record_Benchmarks!$H:$H,B22)</f>
        <v/>
      </c>
      <c r="D22" s="20">
        <f>COUNTIFS(05_Record_Benchmarks!$B:$B,"LCM",05_Record_Benchmarks!$C:$C,A22,05_Record_Benchmarks!$G:$G,B22)+COUNTIFS(05_Record_Benchmarks!$B:$B,"LCM",05_Record_Benchmarks!$C:$C,A22,05_Record_Benchmarks!$H:$H,B22)</f>
        <v/>
      </c>
      <c r="E22" s="20">
        <f>C22+D22</f>
        <v/>
      </c>
      <c r="F22" s="20">
        <f>1+COUNTIFS($A$5:$A$110,A22,$E$5:$E$110,"&gt;"&amp;E22)</f>
        <v/>
      </c>
      <c r="G22" s="20">
        <f>A22&amp;"|"&amp;TEXT(F22,"000")&amp;"|"&amp;B22</f>
        <v/>
      </c>
    </row>
    <row r="23" ht="15" customHeight="1" s="17">
      <c r="A23" s="20" t="inlineStr">
        <is>
          <t>Male</t>
        </is>
      </c>
      <c r="B23" s="20" t="inlineStr">
        <is>
          <t>Ben Walsh</t>
        </is>
      </c>
      <c r="C23" s="20">
        <f>COUNTIFS(05_Record_Benchmarks!$B:$B,"SCM",05_Record_Benchmarks!$C:$C,A23,05_Record_Benchmarks!$G:$G,B23)+COUNTIFS(05_Record_Benchmarks!$B:$B,"SCM",05_Record_Benchmarks!$C:$C,A23,05_Record_Benchmarks!$H:$H,B23)</f>
        <v/>
      </c>
      <c r="D23" s="20">
        <f>COUNTIFS(05_Record_Benchmarks!$B:$B,"LCM",05_Record_Benchmarks!$C:$C,A23,05_Record_Benchmarks!$G:$G,B23)+COUNTIFS(05_Record_Benchmarks!$B:$B,"LCM",05_Record_Benchmarks!$C:$C,A23,05_Record_Benchmarks!$H:$H,B23)</f>
        <v/>
      </c>
      <c r="E23" s="20">
        <f>C23+D23</f>
        <v/>
      </c>
      <c r="F23" s="20">
        <f>1+COUNTIFS($A$5:$A$110,A23,$E$5:$E$110,"&gt;"&amp;E23)</f>
        <v/>
      </c>
      <c r="G23" s="20">
        <f>A23&amp;"|"&amp;TEXT(F23,"000")&amp;"|"&amp;B23</f>
        <v/>
      </c>
    </row>
    <row r="24" ht="15" customHeight="1" s="17">
      <c r="A24" s="20" t="inlineStr">
        <is>
          <t>Male</t>
        </is>
      </c>
      <c r="B24" s="20" t="inlineStr">
        <is>
          <t>Luan Grobbelaar</t>
        </is>
      </c>
      <c r="C24" s="20">
        <f>COUNTIFS(05_Record_Benchmarks!$B:$B,"SCM",05_Record_Benchmarks!$C:$C,A24,05_Record_Benchmarks!$G:$G,B24)+COUNTIFS(05_Record_Benchmarks!$B:$B,"SCM",05_Record_Benchmarks!$C:$C,A24,05_Record_Benchmarks!$H:$H,B24)</f>
        <v/>
      </c>
      <c r="D24" s="20">
        <f>COUNTIFS(05_Record_Benchmarks!$B:$B,"LCM",05_Record_Benchmarks!$C:$C,A24,05_Record_Benchmarks!$G:$G,B24)+COUNTIFS(05_Record_Benchmarks!$B:$B,"LCM",05_Record_Benchmarks!$C:$C,A24,05_Record_Benchmarks!$H:$H,B24)</f>
        <v/>
      </c>
      <c r="E24" s="20">
        <f>C24+D24</f>
        <v/>
      </c>
      <c r="F24" s="20">
        <f>1+COUNTIFS($A$5:$A$110,A24,$E$5:$E$110,"&gt;"&amp;E24)</f>
        <v/>
      </c>
      <c r="G24" s="20">
        <f>A24&amp;"|"&amp;TEXT(F24,"000")&amp;"|"&amp;B24</f>
        <v/>
      </c>
    </row>
    <row r="25" ht="15" customHeight="1" s="17">
      <c r="A25" s="20" t="inlineStr">
        <is>
          <t>Male</t>
        </is>
      </c>
      <c r="B25" s="20" t="inlineStr">
        <is>
          <t>Lewis Clareburt</t>
        </is>
      </c>
      <c r="C25" s="20">
        <f>COUNTIFS(05_Record_Benchmarks!$B:$B,"SCM",05_Record_Benchmarks!$C:$C,A25,05_Record_Benchmarks!$G:$G,B25)+COUNTIFS(05_Record_Benchmarks!$B:$B,"SCM",05_Record_Benchmarks!$C:$C,A25,05_Record_Benchmarks!$H:$H,B25)</f>
        <v/>
      </c>
      <c r="D25" s="20">
        <f>COUNTIFS(05_Record_Benchmarks!$B:$B,"LCM",05_Record_Benchmarks!$C:$C,A25,05_Record_Benchmarks!$G:$G,B25)+COUNTIFS(05_Record_Benchmarks!$B:$B,"LCM",05_Record_Benchmarks!$C:$C,A25,05_Record_Benchmarks!$H:$H,B25)</f>
        <v/>
      </c>
      <c r="E25" s="20">
        <f>C25+D25</f>
        <v/>
      </c>
      <c r="F25" s="20">
        <f>1+COUNTIFS($A$5:$A$110,A25,$E$5:$E$110,"&gt;"&amp;E25)</f>
        <v/>
      </c>
      <c r="G25" s="20">
        <f>A25&amp;"|"&amp;TEXT(F25,"000")&amp;"|"&amp;B25</f>
        <v/>
      </c>
    </row>
    <row r="26" ht="15" customHeight="1" s="17">
      <c r="A26" s="20" t="inlineStr">
        <is>
          <t>Male</t>
        </is>
      </c>
      <c r="B26" s="20" t="inlineStr">
        <is>
          <t>Ben Littlejohn</t>
        </is>
      </c>
      <c r="C26" s="20">
        <f>COUNTIFS(05_Record_Benchmarks!$B:$B,"SCM",05_Record_Benchmarks!$C:$C,A26,05_Record_Benchmarks!$G:$G,B26)+COUNTIFS(05_Record_Benchmarks!$B:$B,"SCM",05_Record_Benchmarks!$C:$C,A26,05_Record_Benchmarks!$H:$H,B26)</f>
        <v/>
      </c>
      <c r="D26" s="20">
        <f>COUNTIFS(05_Record_Benchmarks!$B:$B,"LCM",05_Record_Benchmarks!$C:$C,A26,05_Record_Benchmarks!$G:$G,B26)+COUNTIFS(05_Record_Benchmarks!$B:$B,"LCM",05_Record_Benchmarks!$C:$C,A26,05_Record_Benchmarks!$H:$H,B26)</f>
        <v/>
      </c>
      <c r="E26" s="20">
        <f>C26+D26</f>
        <v/>
      </c>
      <c r="F26" s="20">
        <f>1+COUNTIFS($A$5:$A$110,A26,$E$5:$E$110,"&gt;"&amp;E26)</f>
        <v/>
      </c>
      <c r="G26" s="20">
        <f>A26&amp;"|"&amp;TEXT(F26,"000")&amp;"|"&amp;B26</f>
        <v/>
      </c>
    </row>
    <row r="27" ht="15" customHeight="1" s="17">
      <c r="A27" s="20" t="inlineStr">
        <is>
          <t>Male</t>
        </is>
      </c>
      <c r="B27" s="20" t="inlineStr">
        <is>
          <t>Cooper Morley</t>
        </is>
      </c>
      <c r="C27" s="20">
        <f>COUNTIFS(05_Record_Benchmarks!$B:$B,"SCM",05_Record_Benchmarks!$C:$C,A27,05_Record_Benchmarks!$G:$G,B27)+COUNTIFS(05_Record_Benchmarks!$B:$B,"SCM",05_Record_Benchmarks!$C:$C,A27,05_Record_Benchmarks!$H:$H,B27)</f>
        <v/>
      </c>
      <c r="D27" s="20">
        <f>COUNTIFS(05_Record_Benchmarks!$B:$B,"LCM",05_Record_Benchmarks!$C:$C,A27,05_Record_Benchmarks!$G:$G,B27)+COUNTIFS(05_Record_Benchmarks!$B:$B,"LCM",05_Record_Benchmarks!$C:$C,A27,05_Record_Benchmarks!$H:$H,B27)</f>
        <v/>
      </c>
      <c r="E27" s="20">
        <f>C27+D27</f>
        <v/>
      </c>
      <c r="F27" s="20">
        <f>1+COUNTIFS($A$5:$A$110,A27,$E$5:$E$110,"&gt;"&amp;E27)</f>
        <v/>
      </c>
      <c r="G27" s="20">
        <f>A27&amp;"|"&amp;TEXT(F27,"000")&amp;"|"&amp;B27</f>
        <v/>
      </c>
    </row>
    <row r="28" ht="15" customHeight="1" s="17">
      <c r="A28" s="20" t="inlineStr">
        <is>
          <t>Male</t>
        </is>
      </c>
      <c r="B28" s="20" t="inlineStr">
        <is>
          <t>Erik Kahr</t>
        </is>
      </c>
      <c r="C28" s="20">
        <f>COUNTIFS(05_Record_Benchmarks!$B:$B,"SCM",05_Record_Benchmarks!$C:$C,A28,05_Record_Benchmarks!$G:$G,B28)+COUNTIFS(05_Record_Benchmarks!$B:$B,"SCM",05_Record_Benchmarks!$C:$C,A28,05_Record_Benchmarks!$H:$H,B28)</f>
        <v/>
      </c>
      <c r="D28" s="20">
        <f>COUNTIFS(05_Record_Benchmarks!$B:$B,"LCM",05_Record_Benchmarks!$C:$C,A28,05_Record_Benchmarks!$G:$G,B28)+COUNTIFS(05_Record_Benchmarks!$B:$B,"LCM",05_Record_Benchmarks!$C:$C,A28,05_Record_Benchmarks!$H:$H,B28)</f>
        <v/>
      </c>
      <c r="E28" s="20">
        <f>C28+D28</f>
        <v/>
      </c>
      <c r="F28" s="20">
        <f>1+COUNTIFS($A$5:$A$110,A28,$E$5:$E$110,"&gt;"&amp;E28)</f>
        <v/>
      </c>
      <c r="G28" s="20">
        <f>A28&amp;"|"&amp;TEXT(F28,"000")&amp;"|"&amp;B28</f>
        <v/>
      </c>
    </row>
    <row r="29" ht="15" customHeight="1" s="17">
      <c r="A29" s="20" t="inlineStr">
        <is>
          <t>Male</t>
        </is>
      </c>
      <c r="B29" s="20" t="inlineStr">
        <is>
          <t>Fraser Walker</t>
        </is>
      </c>
      <c r="C29" s="20">
        <f>COUNTIFS(05_Record_Benchmarks!$B:$B,"SCM",05_Record_Benchmarks!$C:$C,A29,05_Record_Benchmarks!$G:$G,B29)+COUNTIFS(05_Record_Benchmarks!$B:$B,"SCM",05_Record_Benchmarks!$C:$C,A29,05_Record_Benchmarks!$H:$H,B29)</f>
        <v/>
      </c>
      <c r="D29" s="20">
        <f>COUNTIFS(05_Record_Benchmarks!$B:$B,"LCM",05_Record_Benchmarks!$C:$C,A29,05_Record_Benchmarks!$G:$G,B29)+COUNTIFS(05_Record_Benchmarks!$B:$B,"LCM",05_Record_Benchmarks!$C:$C,A29,05_Record_Benchmarks!$H:$H,B29)</f>
        <v/>
      </c>
      <c r="E29" s="20">
        <f>C29+D29</f>
        <v/>
      </c>
      <c r="F29" s="20">
        <f>1+COUNTIFS($A$5:$A$110,A29,$E$5:$E$110,"&gt;"&amp;E29)</f>
        <v/>
      </c>
      <c r="G29" s="20">
        <f>A29&amp;"|"&amp;TEXT(F29,"000")&amp;"|"&amp;B29</f>
        <v/>
      </c>
    </row>
    <row r="30" ht="15" customHeight="1" s="17">
      <c r="A30" s="20" t="inlineStr">
        <is>
          <t>Male</t>
        </is>
      </c>
      <c r="B30" s="20" t="inlineStr">
        <is>
          <t>Kevin Zhang</t>
        </is>
      </c>
      <c r="C30" s="20">
        <f>COUNTIFS(05_Record_Benchmarks!$B:$B,"SCM",05_Record_Benchmarks!$C:$C,A30,05_Record_Benchmarks!$G:$G,B30)+COUNTIFS(05_Record_Benchmarks!$B:$B,"SCM",05_Record_Benchmarks!$C:$C,A30,05_Record_Benchmarks!$H:$H,B30)</f>
        <v/>
      </c>
      <c r="D30" s="20">
        <f>COUNTIFS(05_Record_Benchmarks!$B:$B,"LCM",05_Record_Benchmarks!$C:$C,A30,05_Record_Benchmarks!$G:$G,B30)+COUNTIFS(05_Record_Benchmarks!$B:$B,"LCM",05_Record_Benchmarks!$C:$C,A30,05_Record_Benchmarks!$H:$H,B30)</f>
        <v/>
      </c>
      <c r="E30" s="20">
        <f>C30+D30</f>
        <v/>
      </c>
      <c r="F30" s="20">
        <f>1+COUNTIFS($A$5:$A$110,A30,$E$5:$E$110,"&gt;"&amp;E30)</f>
        <v/>
      </c>
      <c r="G30" s="20">
        <f>A30&amp;"|"&amp;TEXT(F30,"000")&amp;"|"&amp;B30</f>
        <v/>
      </c>
    </row>
    <row r="31" ht="15" customHeight="1" s="17">
      <c r="A31" s="20" t="inlineStr">
        <is>
          <t>Male</t>
        </is>
      </c>
      <c r="B31" s="20" t="inlineStr">
        <is>
          <t>Roman Anderson</t>
        </is>
      </c>
      <c r="C31" s="20">
        <f>COUNTIFS(05_Record_Benchmarks!$B:$B,"SCM",05_Record_Benchmarks!$C:$C,A31,05_Record_Benchmarks!$G:$G,B31)+COUNTIFS(05_Record_Benchmarks!$B:$B,"SCM",05_Record_Benchmarks!$C:$C,A31,05_Record_Benchmarks!$H:$H,B31)</f>
        <v/>
      </c>
      <c r="D31" s="20">
        <f>COUNTIFS(05_Record_Benchmarks!$B:$B,"LCM",05_Record_Benchmarks!$C:$C,A31,05_Record_Benchmarks!$G:$G,B31)+COUNTIFS(05_Record_Benchmarks!$B:$B,"LCM",05_Record_Benchmarks!$C:$C,A31,05_Record_Benchmarks!$H:$H,B31)</f>
        <v/>
      </c>
      <c r="E31" s="20">
        <f>C31+D31</f>
        <v/>
      </c>
      <c r="F31" s="20">
        <f>1+COUNTIFS($A$5:$A$110,A31,$E$5:$E$110,"&gt;"&amp;E31)</f>
        <v/>
      </c>
      <c r="G31" s="20">
        <f>A31&amp;"|"&amp;TEXT(F31,"000")&amp;"|"&amp;B31</f>
        <v/>
      </c>
    </row>
    <row r="32" ht="15" customHeight="1" s="17">
      <c r="A32" s="20" t="inlineStr">
        <is>
          <t>Male</t>
        </is>
      </c>
      <c r="B32" s="20" t="inlineStr">
        <is>
          <t>Rui Hou</t>
        </is>
      </c>
      <c r="C32" s="20">
        <f>COUNTIFS(05_Record_Benchmarks!$B:$B,"SCM",05_Record_Benchmarks!$C:$C,A32,05_Record_Benchmarks!$G:$G,B32)+COUNTIFS(05_Record_Benchmarks!$B:$B,"SCM",05_Record_Benchmarks!$C:$C,A32,05_Record_Benchmarks!$H:$H,B32)</f>
        <v/>
      </c>
      <c r="D32" s="20">
        <f>COUNTIFS(05_Record_Benchmarks!$B:$B,"LCM",05_Record_Benchmarks!$C:$C,A32,05_Record_Benchmarks!$G:$G,B32)+COUNTIFS(05_Record_Benchmarks!$B:$B,"LCM",05_Record_Benchmarks!$C:$C,A32,05_Record_Benchmarks!$H:$H,B32)</f>
        <v/>
      </c>
      <c r="E32" s="20">
        <f>C32+D32</f>
        <v/>
      </c>
      <c r="F32" s="20">
        <f>1+COUNTIFS($A$5:$A$110,A32,$E$5:$E$110,"&gt;"&amp;E32)</f>
        <v/>
      </c>
      <c r="G32" s="20">
        <f>A32&amp;"|"&amp;TEXT(F32,"000")&amp;"|"&amp;B32</f>
        <v/>
      </c>
    </row>
    <row r="33" ht="15" customHeight="1" s="17">
      <c r="A33" s="20" t="inlineStr">
        <is>
          <t>Male</t>
        </is>
      </c>
      <c r="B33" s="20" t="inlineStr">
        <is>
          <t>William Tye</t>
        </is>
      </c>
      <c r="C33" s="20">
        <f>COUNTIFS(05_Record_Benchmarks!$B:$B,"SCM",05_Record_Benchmarks!$C:$C,A33,05_Record_Benchmarks!$G:$G,B33)+COUNTIFS(05_Record_Benchmarks!$B:$B,"SCM",05_Record_Benchmarks!$C:$C,A33,05_Record_Benchmarks!$H:$H,B33)</f>
        <v/>
      </c>
      <c r="D33" s="20">
        <f>COUNTIFS(05_Record_Benchmarks!$B:$B,"LCM",05_Record_Benchmarks!$C:$C,A33,05_Record_Benchmarks!$G:$G,B33)+COUNTIFS(05_Record_Benchmarks!$B:$B,"LCM",05_Record_Benchmarks!$C:$C,A33,05_Record_Benchmarks!$H:$H,B33)</f>
        <v/>
      </c>
      <c r="E33" s="20">
        <f>C33+D33</f>
        <v/>
      </c>
      <c r="F33" s="20">
        <f>1+COUNTIFS($A$5:$A$110,A33,$E$5:$E$110,"&gt;"&amp;E33)</f>
        <v/>
      </c>
      <c r="G33" s="20">
        <f>A33&amp;"|"&amp;TEXT(F33,"000")&amp;"|"&amp;B33</f>
        <v/>
      </c>
    </row>
    <row r="34" ht="15" customHeight="1" s="17">
      <c r="A34" s="20" t="inlineStr">
        <is>
          <t>Male</t>
        </is>
      </c>
      <c r="B34" s="20" t="inlineStr">
        <is>
          <t>Bruce Shen</t>
        </is>
      </c>
      <c r="C34" s="20">
        <f>COUNTIFS(05_Record_Benchmarks!$B:$B,"SCM",05_Record_Benchmarks!$C:$C,A34,05_Record_Benchmarks!$G:$G,B34)+COUNTIFS(05_Record_Benchmarks!$B:$B,"SCM",05_Record_Benchmarks!$C:$C,A34,05_Record_Benchmarks!$H:$H,B34)</f>
        <v/>
      </c>
      <c r="D34" s="20">
        <f>COUNTIFS(05_Record_Benchmarks!$B:$B,"LCM",05_Record_Benchmarks!$C:$C,A34,05_Record_Benchmarks!$G:$G,B34)+COUNTIFS(05_Record_Benchmarks!$B:$B,"LCM",05_Record_Benchmarks!$C:$C,A34,05_Record_Benchmarks!$H:$H,B34)</f>
        <v/>
      </c>
      <c r="E34" s="20">
        <f>C34+D34</f>
        <v/>
      </c>
      <c r="F34" s="20">
        <f>1+COUNTIFS($A$5:$A$110,A34,$E$5:$E$110,"&gt;"&amp;E34)</f>
        <v/>
      </c>
      <c r="G34" s="20">
        <f>A34&amp;"|"&amp;TEXT(F34,"000")&amp;"|"&amp;B34</f>
        <v/>
      </c>
    </row>
    <row r="35" ht="15" customHeight="1" s="17">
      <c r="A35" s="20" t="inlineStr">
        <is>
          <t>Male</t>
        </is>
      </c>
      <c r="B35" s="20" t="inlineStr">
        <is>
          <t>Cameron Burrows</t>
        </is>
      </c>
      <c r="C35" s="20">
        <f>COUNTIFS(05_Record_Benchmarks!$B:$B,"SCM",05_Record_Benchmarks!$C:$C,A35,05_Record_Benchmarks!$G:$G,B35)+COUNTIFS(05_Record_Benchmarks!$B:$B,"SCM",05_Record_Benchmarks!$C:$C,A35,05_Record_Benchmarks!$H:$H,B35)</f>
        <v/>
      </c>
      <c r="D35" s="20">
        <f>COUNTIFS(05_Record_Benchmarks!$B:$B,"LCM",05_Record_Benchmarks!$C:$C,A35,05_Record_Benchmarks!$G:$G,B35)+COUNTIFS(05_Record_Benchmarks!$B:$B,"LCM",05_Record_Benchmarks!$C:$C,A35,05_Record_Benchmarks!$H:$H,B35)</f>
        <v/>
      </c>
      <c r="E35" s="20">
        <f>C35+D35</f>
        <v/>
      </c>
      <c r="F35" s="20">
        <f>1+COUNTIFS($A$5:$A$110,A35,$E$5:$E$110,"&gt;"&amp;E35)</f>
        <v/>
      </c>
      <c r="G35" s="20">
        <f>A35&amp;"|"&amp;TEXT(F35,"000")&amp;"|"&amp;B35</f>
        <v/>
      </c>
    </row>
    <row r="36" ht="15" customHeight="1" s="17">
      <c r="A36" s="20" t="inlineStr">
        <is>
          <t>Male</t>
        </is>
      </c>
      <c r="B36" s="20" t="inlineStr">
        <is>
          <t>Finn Harland</t>
        </is>
      </c>
      <c r="C36" s="20">
        <f>COUNTIFS(05_Record_Benchmarks!$B:$B,"SCM",05_Record_Benchmarks!$C:$C,A36,05_Record_Benchmarks!$G:$G,B36)+COUNTIFS(05_Record_Benchmarks!$B:$B,"SCM",05_Record_Benchmarks!$C:$C,A36,05_Record_Benchmarks!$H:$H,B36)</f>
        <v/>
      </c>
      <c r="D36" s="20">
        <f>COUNTIFS(05_Record_Benchmarks!$B:$B,"LCM",05_Record_Benchmarks!$C:$C,A36,05_Record_Benchmarks!$G:$G,B36)+COUNTIFS(05_Record_Benchmarks!$B:$B,"LCM",05_Record_Benchmarks!$C:$C,A36,05_Record_Benchmarks!$H:$H,B36)</f>
        <v/>
      </c>
      <c r="E36" s="20">
        <f>C36+D36</f>
        <v/>
      </c>
      <c r="F36" s="20">
        <f>1+COUNTIFS($A$5:$A$110,A36,$E$5:$E$110,"&gt;"&amp;E36)</f>
        <v/>
      </c>
      <c r="G36" s="20">
        <f>A36&amp;"|"&amp;TEXT(F36,"000")&amp;"|"&amp;B36</f>
        <v/>
      </c>
    </row>
    <row r="37" ht="15" customHeight="1" s="17">
      <c r="A37" s="20" t="inlineStr">
        <is>
          <t>Male</t>
        </is>
      </c>
      <c r="B37" s="20" t="inlineStr">
        <is>
          <t>Anthony van der Kraay</t>
        </is>
      </c>
      <c r="C37" s="20">
        <f>COUNTIFS(05_Record_Benchmarks!$B:$B,"SCM",05_Record_Benchmarks!$C:$C,A37,05_Record_Benchmarks!$G:$G,B37)+COUNTIFS(05_Record_Benchmarks!$B:$B,"SCM",05_Record_Benchmarks!$C:$C,A37,05_Record_Benchmarks!$H:$H,B37)</f>
        <v/>
      </c>
      <c r="D37" s="20">
        <f>COUNTIFS(05_Record_Benchmarks!$B:$B,"LCM",05_Record_Benchmarks!$C:$C,A37,05_Record_Benchmarks!$G:$G,B37)+COUNTIFS(05_Record_Benchmarks!$B:$B,"LCM",05_Record_Benchmarks!$C:$C,A37,05_Record_Benchmarks!$H:$H,B37)</f>
        <v/>
      </c>
      <c r="E37" s="20">
        <f>C37+D37</f>
        <v/>
      </c>
      <c r="F37" s="20">
        <f>1+COUNTIFS($A$5:$A$110,A37,$E$5:$E$110,"&gt;"&amp;E37)</f>
        <v/>
      </c>
      <c r="G37" s="20">
        <f>A37&amp;"|"&amp;TEXT(F37,"000")&amp;"|"&amp;B37</f>
        <v/>
      </c>
    </row>
    <row r="38" ht="15" customHeight="1" s="17">
      <c r="A38" s="20" t="inlineStr">
        <is>
          <t>Male</t>
        </is>
      </c>
      <c r="B38" s="20" t="inlineStr">
        <is>
          <t>Bradlee Ashby</t>
        </is>
      </c>
      <c r="C38" s="20">
        <f>COUNTIFS(05_Record_Benchmarks!$B:$B,"SCM",05_Record_Benchmarks!$C:$C,A38,05_Record_Benchmarks!$G:$G,B38)+COUNTIFS(05_Record_Benchmarks!$B:$B,"SCM",05_Record_Benchmarks!$C:$C,A38,05_Record_Benchmarks!$H:$H,B38)</f>
        <v/>
      </c>
      <c r="D38" s="20">
        <f>COUNTIFS(05_Record_Benchmarks!$B:$B,"LCM",05_Record_Benchmarks!$C:$C,A38,05_Record_Benchmarks!$G:$G,B38)+COUNTIFS(05_Record_Benchmarks!$B:$B,"LCM",05_Record_Benchmarks!$C:$C,A38,05_Record_Benchmarks!$H:$H,B38)</f>
        <v/>
      </c>
      <c r="E38" s="20">
        <f>C38+D38</f>
        <v/>
      </c>
      <c r="F38" s="20">
        <f>1+COUNTIFS($A$5:$A$110,A38,$E$5:$E$110,"&gt;"&amp;E38)</f>
        <v/>
      </c>
      <c r="G38" s="20">
        <f>A38&amp;"|"&amp;TEXT(F38,"000")&amp;"|"&amp;B38</f>
        <v/>
      </c>
    </row>
    <row r="39" ht="15" customHeight="1" s="17">
      <c r="A39" s="20" t="inlineStr">
        <is>
          <t>Male</t>
        </is>
      </c>
      <c r="B39" s="20" t="inlineStr">
        <is>
          <t>Connor Jenkins</t>
        </is>
      </c>
      <c r="C39" s="20">
        <f>COUNTIFS(05_Record_Benchmarks!$B:$B,"SCM",05_Record_Benchmarks!$C:$C,A39,05_Record_Benchmarks!$G:$G,B39)+COUNTIFS(05_Record_Benchmarks!$B:$B,"SCM",05_Record_Benchmarks!$C:$C,A39,05_Record_Benchmarks!$H:$H,B39)</f>
        <v/>
      </c>
      <c r="D39" s="20">
        <f>COUNTIFS(05_Record_Benchmarks!$B:$B,"LCM",05_Record_Benchmarks!$C:$C,A39,05_Record_Benchmarks!$G:$G,B39)+COUNTIFS(05_Record_Benchmarks!$B:$B,"LCM",05_Record_Benchmarks!$C:$C,A39,05_Record_Benchmarks!$H:$H,B39)</f>
        <v/>
      </c>
      <c r="E39" s="20">
        <f>C39+D39</f>
        <v/>
      </c>
      <c r="F39" s="20">
        <f>1+COUNTIFS($A$5:$A$110,A39,$E$5:$E$110,"&gt;"&amp;E39)</f>
        <v/>
      </c>
      <c r="G39" s="20">
        <f>A39&amp;"|"&amp;TEXT(F39,"000")&amp;"|"&amp;B39</f>
        <v/>
      </c>
    </row>
    <row r="40" ht="15" customHeight="1" s="17">
      <c r="A40" s="20" t="inlineStr">
        <is>
          <t>Male</t>
        </is>
      </c>
      <c r="B40" s="20" t="inlineStr">
        <is>
          <t>Donald Tian</t>
        </is>
      </c>
      <c r="C40" s="20">
        <f>COUNTIFS(05_Record_Benchmarks!$B:$B,"SCM",05_Record_Benchmarks!$C:$C,A40,05_Record_Benchmarks!$G:$G,B40)+COUNTIFS(05_Record_Benchmarks!$B:$B,"SCM",05_Record_Benchmarks!$C:$C,A40,05_Record_Benchmarks!$H:$H,B40)</f>
        <v/>
      </c>
      <c r="D40" s="20">
        <f>COUNTIFS(05_Record_Benchmarks!$B:$B,"LCM",05_Record_Benchmarks!$C:$C,A40,05_Record_Benchmarks!$G:$G,B40)+COUNTIFS(05_Record_Benchmarks!$B:$B,"LCM",05_Record_Benchmarks!$C:$C,A40,05_Record_Benchmarks!$H:$H,B40)</f>
        <v/>
      </c>
      <c r="E40" s="20">
        <f>C40+D40</f>
        <v/>
      </c>
      <c r="F40" s="20">
        <f>1+COUNTIFS($A$5:$A$110,A40,$E$5:$E$110,"&gt;"&amp;E40)</f>
        <v/>
      </c>
      <c r="G40" s="20">
        <f>A40&amp;"|"&amp;TEXT(F40,"000")&amp;"|"&amp;B40</f>
        <v/>
      </c>
    </row>
    <row r="41" ht="15" customHeight="1" s="17">
      <c r="A41" s="20" t="inlineStr">
        <is>
          <t>Male</t>
        </is>
      </c>
      <c r="B41" s="20" t="inlineStr">
        <is>
          <t>Dylan Dunlop-Barrett</t>
        </is>
      </c>
      <c r="C41" s="20">
        <f>COUNTIFS(05_Record_Benchmarks!$B:$B,"SCM",05_Record_Benchmarks!$C:$C,A41,05_Record_Benchmarks!$G:$G,B41)+COUNTIFS(05_Record_Benchmarks!$B:$B,"SCM",05_Record_Benchmarks!$C:$C,A41,05_Record_Benchmarks!$H:$H,B41)</f>
        <v/>
      </c>
      <c r="D41" s="20">
        <f>COUNTIFS(05_Record_Benchmarks!$B:$B,"LCM",05_Record_Benchmarks!$C:$C,A41,05_Record_Benchmarks!$G:$G,B41)+COUNTIFS(05_Record_Benchmarks!$B:$B,"LCM",05_Record_Benchmarks!$C:$C,A41,05_Record_Benchmarks!$H:$H,B41)</f>
        <v/>
      </c>
      <c r="E41" s="20">
        <f>C41+D41</f>
        <v/>
      </c>
      <c r="F41" s="20">
        <f>1+COUNTIFS($A$5:$A$110,A41,$E$5:$E$110,"&gt;"&amp;E41)</f>
        <v/>
      </c>
      <c r="G41" s="20">
        <f>A41&amp;"|"&amp;TEXT(F41,"000")&amp;"|"&amp;B41</f>
        <v/>
      </c>
    </row>
    <row r="42" ht="15" customHeight="1" s="17">
      <c r="A42" s="20" t="inlineStr">
        <is>
          <t>Male</t>
        </is>
      </c>
      <c r="B42" s="20" t="inlineStr">
        <is>
          <t>Igor Russanov</t>
        </is>
      </c>
      <c r="C42" s="20">
        <f>COUNTIFS(05_Record_Benchmarks!$B:$B,"SCM",05_Record_Benchmarks!$C:$C,A42,05_Record_Benchmarks!$G:$G,B42)+COUNTIFS(05_Record_Benchmarks!$B:$B,"SCM",05_Record_Benchmarks!$C:$C,A42,05_Record_Benchmarks!$H:$H,B42)</f>
        <v/>
      </c>
      <c r="D42" s="20">
        <f>COUNTIFS(05_Record_Benchmarks!$B:$B,"LCM",05_Record_Benchmarks!$C:$C,A42,05_Record_Benchmarks!$G:$G,B42)+COUNTIFS(05_Record_Benchmarks!$B:$B,"LCM",05_Record_Benchmarks!$C:$C,A42,05_Record_Benchmarks!$H:$H,B42)</f>
        <v/>
      </c>
      <c r="E42" s="20">
        <f>C42+D42</f>
        <v/>
      </c>
      <c r="F42" s="20">
        <f>1+COUNTIFS($A$5:$A$110,A42,$E$5:$E$110,"&gt;"&amp;E42)</f>
        <v/>
      </c>
      <c r="G42" s="20">
        <f>A42&amp;"|"&amp;TEXT(F42,"000")&amp;"|"&amp;B42</f>
        <v/>
      </c>
    </row>
    <row r="43" ht="15" customHeight="1" s="17">
      <c r="A43" s="20" t="inlineStr">
        <is>
          <t>Male</t>
        </is>
      </c>
      <c r="B43" s="20" t="inlineStr">
        <is>
          <t>Jackson Kennard</t>
        </is>
      </c>
      <c r="C43" s="20">
        <f>COUNTIFS(05_Record_Benchmarks!$B:$B,"SCM",05_Record_Benchmarks!$C:$C,A43,05_Record_Benchmarks!$G:$G,B43)+COUNTIFS(05_Record_Benchmarks!$B:$B,"SCM",05_Record_Benchmarks!$C:$C,A43,05_Record_Benchmarks!$H:$H,B43)</f>
        <v/>
      </c>
      <c r="D43" s="20">
        <f>COUNTIFS(05_Record_Benchmarks!$B:$B,"LCM",05_Record_Benchmarks!$C:$C,A43,05_Record_Benchmarks!$G:$G,B43)+COUNTIFS(05_Record_Benchmarks!$B:$B,"LCM",05_Record_Benchmarks!$C:$C,A43,05_Record_Benchmarks!$H:$H,B43)</f>
        <v/>
      </c>
      <c r="E43" s="20">
        <f>C43+D43</f>
        <v/>
      </c>
      <c r="F43" s="20">
        <f>1+COUNTIFS($A$5:$A$110,A43,$E$5:$E$110,"&gt;"&amp;E43)</f>
        <v/>
      </c>
      <c r="G43" s="20">
        <f>A43&amp;"|"&amp;TEXT(F43,"000")&amp;"|"&amp;B43</f>
        <v/>
      </c>
    </row>
    <row r="44" ht="15" customHeight="1" s="17">
      <c r="A44" s="20" t="inlineStr">
        <is>
          <t>Male</t>
        </is>
      </c>
      <c r="B44" s="20" t="inlineStr">
        <is>
          <t>Kase Glintmeyer</t>
        </is>
      </c>
      <c r="C44" s="20">
        <f>COUNTIFS(05_Record_Benchmarks!$B:$B,"SCM",05_Record_Benchmarks!$C:$C,A44,05_Record_Benchmarks!$G:$G,B44)+COUNTIFS(05_Record_Benchmarks!$B:$B,"SCM",05_Record_Benchmarks!$C:$C,A44,05_Record_Benchmarks!$H:$H,B44)</f>
        <v/>
      </c>
      <c r="D44" s="20">
        <f>COUNTIFS(05_Record_Benchmarks!$B:$B,"LCM",05_Record_Benchmarks!$C:$C,A44,05_Record_Benchmarks!$G:$G,B44)+COUNTIFS(05_Record_Benchmarks!$B:$B,"LCM",05_Record_Benchmarks!$C:$C,A44,05_Record_Benchmarks!$H:$H,B44)</f>
        <v/>
      </c>
      <c r="E44" s="20">
        <f>C44+D44</f>
        <v/>
      </c>
      <c r="F44" s="20">
        <f>1+COUNTIFS($A$5:$A$110,A44,$E$5:$E$110,"&gt;"&amp;E44)</f>
        <v/>
      </c>
      <c r="G44" s="20">
        <f>A44&amp;"|"&amp;TEXT(F44,"000")&amp;"|"&amp;B44</f>
        <v/>
      </c>
    </row>
    <row r="45" ht="15" customHeight="1" s="17">
      <c r="A45" s="20" t="inlineStr">
        <is>
          <t>Male</t>
        </is>
      </c>
      <c r="B45" s="20" t="inlineStr">
        <is>
          <t>Kento Wangford</t>
        </is>
      </c>
      <c r="C45" s="20">
        <f>COUNTIFS(05_Record_Benchmarks!$B:$B,"SCM",05_Record_Benchmarks!$C:$C,A45,05_Record_Benchmarks!$G:$G,B45)+COUNTIFS(05_Record_Benchmarks!$B:$B,"SCM",05_Record_Benchmarks!$C:$C,A45,05_Record_Benchmarks!$H:$H,B45)</f>
        <v/>
      </c>
      <c r="D45" s="20">
        <f>COUNTIFS(05_Record_Benchmarks!$B:$B,"LCM",05_Record_Benchmarks!$C:$C,A45,05_Record_Benchmarks!$G:$G,B45)+COUNTIFS(05_Record_Benchmarks!$B:$B,"LCM",05_Record_Benchmarks!$C:$C,A45,05_Record_Benchmarks!$H:$H,B45)</f>
        <v/>
      </c>
      <c r="E45" s="20">
        <f>C45+D45</f>
        <v/>
      </c>
      <c r="F45" s="20">
        <f>1+COUNTIFS($A$5:$A$110,A45,$E$5:$E$110,"&gt;"&amp;E45)</f>
        <v/>
      </c>
      <c r="G45" s="20">
        <f>A45&amp;"|"&amp;TEXT(F45,"000")&amp;"|"&amp;B45</f>
        <v/>
      </c>
    </row>
    <row r="46" ht="15" customHeight="1" s="17">
      <c r="A46" s="20" t="inlineStr">
        <is>
          <t>Male</t>
        </is>
      </c>
      <c r="B46" s="20" t="inlineStr">
        <is>
          <t>Leo English</t>
        </is>
      </c>
      <c r="C46" s="20">
        <f>COUNTIFS(05_Record_Benchmarks!$B:$B,"SCM",05_Record_Benchmarks!$C:$C,A46,05_Record_Benchmarks!$G:$G,B46)+COUNTIFS(05_Record_Benchmarks!$B:$B,"SCM",05_Record_Benchmarks!$C:$C,A46,05_Record_Benchmarks!$H:$H,B46)</f>
        <v/>
      </c>
      <c r="D46" s="20">
        <f>COUNTIFS(05_Record_Benchmarks!$B:$B,"LCM",05_Record_Benchmarks!$C:$C,A46,05_Record_Benchmarks!$G:$G,B46)+COUNTIFS(05_Record_Benchmarks!$B:$B,"LCM",05_Record_Benchmarks!$C:$C,A46,05_Record_Benchmarks!$H:$H,B46)</f>
        <v/>
      </c>
      <c r="E46" s="20">
        <f>C46+D46</f>
        <v/>
      </c>
      <c r="F46" s="20">
        <f>1+COUNTIFS($A$5:$A$110,A46,$E$5:$E$110,"&gt;"&amp;E46)</f>
        <v/>
      </c>
      <c r="G46" s="20">
        <f>A46&amp;"|"&amp;TEXT(F46,"000")&amp;"|"&amp;B46</f>
        <v/>
      </c>
    </row>
    <row r="47" ht="15" customHeight="1" s="17">
      <c r="A47" s="20" t="inlineStr">
        <is>
          <t>Male</t>
        </is>
      </c>
      <c r="B47" s="20" t="inlineStr">
        <is>
          <t>Matthew Hutchins</t>
        </is>
      </c>
      <c r="C47" s="20">
        <f>COUNTIFS(05_Record_Benchmarks!$B:$B,"SCM",05_Record_Benchmarks!$C:$C,A47,05_Record_Benchmarks!$G:$G,B47)+COUNTIFS(05_Record_Benchmarks!$B:$B,"SCM",05_Record_Benchmarks!$C:$C,A47,05_Record_Benchmarks!$H:$H,B47)</f>
        <v/>
      </c>
      <c r="D47" s="20">
        <f>COUNTIFS(05_Record_Benchmarks!$B:$B,"LCM",05_Record_Benchmarks!$C:$C,A47,05_Record_Benchmarks!$G:$G,B47)+COUNTIFS(05_Record_Benchmarks!$B:$B,"LCM",05_Record_Benchmarks!$C:$C,A47,05_Record_Benchmarks!$H:$H,B47)</f>
        <v/>
      </c>
      <c r="E47" s="20">
        <f>C47+D47</f>
        <v/>
      </c>
      <c r="F47" s="20">
        <f>1+COUNTIFS($A$5:$A$110,A47,$E$5:$E$110,"&gt;"&amp;E47)</f>
        <v/>
      </c>
      <c r="G47" s="20">
        <f>A47&amp;"|"&amp;TEXT(F47,"000")&amp;"|"&amp;B47</f>
        <v/>
      </c>
    </row>
    <row r="48" ht="15" customHeight="1" s="17">
      <c r="A48" s="20" t="inlineStr">
        <is>
          <t>Male</t>
        </is>
      </c>
      <c r="B48" s="20" t="inlineStr">
        <is>
          <t>Michael Chen</t>
        </is>
      </c>
      <c r="C48" s="20">
        <f>COUNTIFS(05_Record_Benchmarks!$B:$B,"SCM",05_Record_Benchmarks!$C:$C,A48,05_Record_Benchmarks!$G:$G,B48)+COUNTIFS(05_Record_Benchmarks!$B:$B,"SCM",05_Record_Benchmarks!$C:$C,A48,05_Record_Benchmarks!$H:$H,B48)</f>
        <v/>
      </c>
      <c r="D48" s="20">
        <f>COUNTIFS(05_Record_Benchmarks!$B:$B,"LCM",05_Record_Benchmarks!$C:$C,A48,05_Record_Benchmarks!$G:$G,B48)+COUNTIFS(05_Record_Benchmarks!$B:$B,"LCM",05_Record_Benchmarks!$C:$C,A48,05_Record_Benchmarks!$H:$H,B48)</f>
        <v/>
      </c>
      <c r="E48" s="20">
        <f>C48+D48</f>
        <v/>
      </c>
      <c r="F48" s="20">
        <f>1+COUNTIFS($A$5:$A$110,A48,$E$5:$E$110,"&gt;"&amp;E48)</f>
        <v/>
      </c>
      <c r="G48" s="20">
        <f>A48&amp;"|"&amp;TEXT(F48,"000")&amp;"|"&amp;B48</f>
        <v/>
      </c>
    </row>
    <row r="49" ht="15" customHeight="1" s="17">
      <c r="A49" s="20" t="inlineStr">
        <is>
          <t>Male</t>
        </is>
      </c>
      <c r="B49" s="20" t="inlineStr">
        <is>
          <t>Sam McKenzie</t>
        </is>
      </c>
      <c r="C49" s="20">
        <f>COUNTIFS(05_Record_Benchmarks!$B:$B,"SCM",05_Record_Benchmarks!$C:$C,A49,05_Record_Benchmarks!$G:$G,B49)+COUNTIFS(05_Record_Benchmarks!$B:$B,"SCM",05_Record_Benchmarks!$C:$C,A49,05_Record_Benchmarks!$H:$H,B49)</f>
        <v/>
      </c>
      <c r="D49" s="20">
        <f>COUNTIFS(05_Record_Benchmarks!$B:$B,"LCM",05_Record_Benchmarks!$C:$C,A49,05_Record_Benchmarks!$G:$G,B49)+COUNTIFS(05_Record_Benchmarks!$B:$B,"LCM",05_Record_Benchmarks!$C:$C,A49,05_Record_Benchmarks!$H:$H,B49)</f>
        <v/>
      </c>
      <c r="E49" s="20">
        <f>C49+D49</f>
        <v/>
      </c>
      <c r="F49" s="20">
        <f>1+COUNTIFS($A$5:$A$110,A49,$E$5:$E$110,"&gt;"&amp;E49)</f>
        <v/>
      </c>
      <c r="G49" s="20">
        <f>A49&amp;"|"&amp;TEXT(F49,"000")&amp;"|"&amp;B49</f>
        <v/>
      </c>
    </row>
    <row r="50" ht="15" customHeight="1" s="17">
      <c r="A50" s="20" t="inlineStr">
        <is>
          <t>Male</t>
        </is>
      </c>
      <c r="B50" s="20" t="inlineStr">
        <is>
          <t>Thomas Heaton</t>
        </is>
      </c>
      <c r="C50" s="20">
        <f>COUNTIFS(05_Record_Benchmarks!$B:$B,"SCM",05_Record_Benchmarks!$C:$C,A50,05_Record_Benchmarks!$G:$G,B50)+COUNTIFS(05_Record_Benchmarks!$B:$B,"SCM",05_Record_Benchmarks!$C:$C,A50,05_Record_Benchmarks!$H:$H,B50)</f>
        <v/>
      </c>
      <c r="D50" s="20">
        <f>COUNTIFS(05_Record_Benchmarks!$B:$B,"LCM",05_Record_Benchmarks!$C:$C,A50,05_Record_Benchmarks!$G:$G,B50)+COUNTIFS(05_Record_Benchmarks!$B:$B,"LCM",05_Record_Benchmarks!$C:$C,A50,05_Record_Benchmarks!$H:$H,B50)</f>
        <v/>
      </c>
      <c r="E50" s="20">
        <f>C50+D50</f>
        <v/>
      </c>
      <c r="F50" s="20">
        <f>1+COUNTIFS($A$5:$A$110,A50,$E$5:$E$110,"&gt;"&amp;E50)</f>
        <v/>
      </c>
      <c r="G50" s="20">
        <f>A50&amp;"|"&amp;TEXT(F50,"000")&amp;"|"&amp;B50</f>
        <v/>
      </c>
    </row>
    <row r="51" ht="15" customHeight="1" s="17">
      <c r="A51" s="20" t="inlineStr">
        <is>
          <t>Male</t>
        </is>
      </c>
      <c r="B51" s="20" t="inlineStr">
        <is>
          <t>Charles Hames</t>
        </is>
      </c>
      <c r="C51" s="20">
        <f>COUNTIFS(05_Record_Benchmarks!$B:$B,"SCM",05_Record_Benchmarks!$C:$C,A51,05_Record_Benchmarks!$G:$G,B51)+COUNTIFS(05_Record_Benchmarks!$B:$B,"SCM",05_Record_Benchmarks!$C:$C,A51,05_Record_Benchmarks!$H:$H,B51)</f>
        <v/>
      </c>
      <c r="D51" s="20">
        <f>COUNTIFS(05_Record_Benchmarks!$B:$B,"LCM",05_Record_Benchmarks!$C:$C,A51,05_Record_Benchmarks!$G:$G,B51)+COUNTIFS(05_Record_Benchmarks!$B:$B,"LCM",05_Record_Benchmarks!$C:$C,A51,05_Record_Benchmarks!$H:$H,B51)</f>
        <v/>
      </c>
      <c r="E51" s="20">
        <f>C51+D51</f>
        <v/>
      </c>
      <c r="F51" s="20">
        <f>1+COUNTIFS($A$5:$A$110,A51,$E$5:$E$110,"&gt;"&amp;E51)</f>
        <v/>
      </c>
      <c r="G51" s="20">
        <f>A51&amp;"|"&amp;TEXT(F51,"000")&amp;"|"&amp;B51</f>
        <v/>
      </c>
    </row>
    <row r="52" ht="15" customHeight="1" s="17">
      <c r="A52" s="20" t="inlineStr">
        <is>
          <t>Male</t>
        </is>
      </c>
      <c r="B52" s="20" t="inlineStr">
        <is>
          <t>Gareth Kean</t>
        </is>
      </c>
      <c r="C52" s="20">
        <f>COUNTIFS(05_Record_Benchmarks!$B:$B,"SCM",05_Record_Benchmarks!$C:$C,A52,05_Record_Benchmarks!$G:$G,B52)+COUNTIFS(05_Record_Benchmarks!$B:$B,"SCM",05_Record_Benchmarks!$C:$C,A52,05_Record_Benchmarks!$H:$H,B52)</f>
        <v/>
      </c>
      <c r="D52" s="20">
        <f>COUNTIFS(05_Record_Benchmarks!$B:$B,"LCM",05_Record_Benchmarks!$C:$C,A52,05_Record_Benchmarks!$G:$G,B52)+COUNTIFS(05_Record_Benchmarks!$B:$B,"LCM",05_Record_Benchmarks!$C:$C,A52,05_Record_Benchmarks!$H:$H,B52)</f>
        <v/>
      </c>
      <c r="E52" s="20">
        <f>C52+D52</f>
        <v/>
      </c>
      <c r="F52" s="20">
        <f>1+COUNTIFS($A$5:$A$110,A52,$E$5:$E$110,"&gt;"&amp;E52)</f>
        <v/>
      </c>
      <c r="G52" s="20">
        <f>A52&amp;"|"&amp;TEXT(F52,"000")&amp;"|"&amp;B52</f>
        <v/>
      </c>
    </row>
    <row r="53" ht="15" customHeight="1" s="17">
      <c r="A53" s="20" t="inlineStr">
        <is>
          <t>Male</t>
        </is>
      </c>
      <c r="B53" s="20" t="inlineStr">
        <is>
          <t>George Schroder</t>
        </is>
      </c>
      <c r="C53" s="20">
        <f>COUNTIFS(05_Record_Benchmarks!$B:$B,"SCM",05_Record_Benchmarks!$C:$C,A53,05_Record_Benchmarks!$G:$G,B53)+COUNTIFS(05_Record_Benchmarks!$B:$B,"SCM",05_Record_Benchmarks!$C:$C,A53,05_Record_Benchmarks!$H:$H,B53)</f>
        <v/>
      </c>
      <c r="D53" s="20">
        <f>COUNTIFS(05_Record_Benchmarks!$B:$B,"LCM",05_Record_Benchmarks!$C:$C,A53,05_Record_Benchmarks!$G:$G,B53)+COUNTIFS(05_Record_Benchmarks!$B:$B,"LCM",05_Record_Benchmarks!$C:$C,A53,05_Record_Benchmarks!$H:$H,B53)</f>
        <v/>
      </c>
      <c r="E53" s="20">
        <f>C53+D53</f>
        <v/>
      </c>
      <c r="F53" s="20">
        <f>1+COUNTIFS($A$5:$A$110,A53,$E$5:$E$110,"&gt;"&amp;E53)</f>
        <v/>
      </c>
      <c r="G53" s="20">
        <f>A53&amp;"|"&amp;TEXT(F53,"000")&amp;"|"&amp;B53</f>
        <v/>
      </c>
    </row>
    <row r="54" ht="15" customHeight="1" s="17">
      <c r="A54" s="20" t="inlineStr">
        <is>
          <t>Male</t>
        </is>
      </c>
      <c r="B54" s="20" t="inlineStr">
        <is>
          <t>Joshua Gilbert</t>
        </is>
      </c>
      <c r="C54" s="20">
        <f>COUNTIFS(05_Record_Benchmarks!$B:$B,"SCM",05_Record_Benchmarks!$C:$C,A54,05_Record_Benchmarks!$G:$G,B54)+COUNTIFS(05_Record_Benchmarks!$B:$B,"SCM",05_Record_Benchmarks!$C:$C,A54,05_Record_Benchmarks!$H:$H,B54)</f>
        <v/>
      </c>
      <c r="D54" s="20">
        <f>COUNTIFS(05_Record_Benchmarks!$B:$B,"LCM",05_Record_Benchmarks!$C:$C,A54,05_Record_Benchmarks!$G:$G,B54)+COUNTIFS(05_Record_Benchmarks!$B:$B,"LCM",05_Record_Benchmarks!$C:$C,A54,05_Record_Benchmarks!$H:$H,B54)</f>
        <v/>
      </c>
      <c r="E54" s="20">
        <f>C54+D54</f>
        <v/>
      </c>
      <c r="F54" s="20">
        <f>1+COUNTIFS($A$5:$A$110,A54,$E$5:$E$110,"&gt;"&amp;E54)</f>
        <v/>
      </c>
      <c r="G54" s="20">
        <f>A54&amp;"|"&amp;TEXT(F54,"000")&amp;"|"&amp;B54</f>
        <v/>
      </c>
    </row>
    <row r="55" ht="15" customHeight="1" s="17">
      <c r="A55" s="20" t="inlineStr">
        <is>
          <t>Male</t>
        </is>
      </c>
      <c r="B55" s="20" t="inlineStr">
        <is>
          <t>Joshua Taylor-Martin</t>
        </is>
      </c>
      <c r="C55" s="20">
        <f>COUNTIFS(05_Record_Benchmarks!$B:$B,"SCM",05_Record_Benchmarks!$C:$C,A55,05_Record_Benchmarks!$G:$G,B55)+COUNTIFS(05_Record_Benchmarks!$B:$B,"SCM",05_Record_Benchmarks!$C:$C,A55,05_Record_Benchmarks!$H:$H,B55)</f>
        <v/>
      </c>
      <c r="D55" s="20">
        <f>COUNTIFS(05_Record_Benchmarks!$B:$B,"LCM",05_Record_Benchmarks!$C:$C,A55,05_Record_Benchmarks!$G:$G,B55)+COUNTIFS(05_Record_Benchmarks!$B:$B,"LCM",05_Record_Benchmarks!$C:$C,A55,05_Record_Benchmarks!$H:$H,B55)</f>
        <v/>
      </c>
      <c r="E55" s="20">
        <f>C55+D55</f>
        <v/>
      </c>
      <c r="F55" s="20">
        <f>1+COUNTIFS($A$5:$A$110,A55,$E$5:$E$110,"&gt;"&amp;E55)</f>
        <v/>
      </c>
      <c r="G55" s="20">
        <f>A55&amp;"|"&amp;TEXT(F55,"000")&amp;"|"&amp;B55</f>
        <v/>
      </c>
    </row>
    <row r="56" ht="15" customHeight="1" s="17">
      <c r="A56" s="20" t="inlineStr">
        <is>
          <t>Male</t>
        </is>
      </c>
      <c r="B56" s="20" t="inlineStr">
        <is>
          <t>Lucas Bell</t>
        </is>
      </c>
      <c r="C56" s="20">
        <f>COUNTIFS(05_Record_Benchmarks!$B:$B,"SCM",05_Record_Benchmarks!$C:$C,A56,05_Record_Benchmarks!$G:$G,B56)+COUNTIFS(05_Record_Benchmarks!$B:$B,"SCM",05_Record_Benchmarks!$C:$C,A56,05_Record_Benchmarks!$H:$H,B56)</f>
        <v/>
      </c>
      <c r="D56" s="20">
        <f>COUNTIFS(05_Record_Benchmarks!$B:$B,"LCM",05_Record_Benchmarks!$C:$C,A56,05_Record_Benchmarks!$G:$G,B56)+COUNTIFS(05_Record_Benchmarks!$B:$B,"LCM",05_Record_Benchmarks!$C:$C,A56,05_Record_Benchmarks!$H:$H,B56)</f>
        <v/>
      </c>
      <c r="E56" s="20">
        <f>C56+D56</f>
        <v/>
      </c>
      <c r="F56" s="20">
        <f>1+COUNTIFS($A$5:$A$110,A56,$E$5:$E$110,"&gt;"&amp;E56)</f>
        <v/>
      </c>
      <c r="G56" s="20">
        <f>A56&amp;"|"&amp;TEXT(F56,"000")&amp;"|"&amp;B56</f>
        <v/>
      </c>
    </row>
    <row r="57" ht="15" customHeight="1" s="17">
      <c r="A57" s="20" t="inlineStr">
        <is>
          <t>Male</t>
        </is>
      </c>
      <c r="B57" s="20" t="inlineStr">
        <is>
          <t>Mario Koenigsperger</t>
        </is>
      </c>
      <c r="C57" s="20">
        <f>COUNTIFS(05_Record_Benchmarks!$B:$B,"SCM",05_Record_Benchmarks!$C:$C,A57,05_Record_Benchmarks!$G:$G,B57)+COUNTIFS(05_Record_Benchmarks!$B:$B,"SCM",05_Record_Benchmarks!$C:$C,A57,05_Record_Benchmarks!$H:$H,B57)</f>
        <v/>
      </c>
      <c r="D57" s="20">
        <f>COUNTIFS(05_Record_Benchmarks!$B:$B,"LCM",05_Record_Benchmarks!$C:$C,A57,05_Record_Benchmarks!$G:$G,B57)+COUNTIFS(05_Record_Benchmarks!$B:$B,"LCM",05_Record_Benchmarks!$C:$C,A57,05_Record_Benchmarks!$H:$H,B57)</f>
        <v/>
      </c>
      <c r="E57" s="20">
        <f>C57+D57</f>
        <v/>
      </c>
      <c r="F57" s="20">
        <f>1+COUNTIFS($A$5:$A$110,A57,$E$5:$E$110,"&gt;"&amp;E57)</f>
        <v/>
      </c>
      <c r="G57" s="20">
        <f>A57&amp;"|"&amp;TEXT(F57,"000")&amp;"|"&amp;B57</f>
        <v/>
      </c>
    </row>
    <row r="58" ht="15" customHeight="1" s="17">
      <c r="A58" s="20" t="inlineStr">
        <is>
          <t>Male</t>
        </is>
      </c>
      <c r="B58" s="20" t="inlineStr">
        <is>
          <t>Matthew Holder</t>
        </is>
      </c>
      <c r="C58" s="20">
        <f>COUNTIFS(05_Record_Benchmarks!$B:$B,"SCM",05_Record_Benchmarks!$C:$C,A58,05_Record_Benchmarks!$G:$G,B58)+COUNTIFS(05_Record_Benchmarks!$B:$B,"SCM",05_Record_Benchmarks!$C:$C,A58,05_Record_Benchmarks!$H:$H,B58)</f>
        <v/>
      </c>
      <c r="D58" s="20">
        <f>COUNTIFS(05_Record_Benchmarks!$B:$B,"LCM",05_Record_Benchmarks!$C:$C,A58,05_Record_Benchmarks!$G:$G,B58)+COUNTIFS(05_Record_Benchmarks!$B:$B,"LCM",05_Record_Benchmarks!$C:$C,A58,05_Record_Benchmarks!$H:$H,B58)</f>
        <v/>
      </c>
      <c r="E58" s="20">
        <f>C58+D58</f>
        <v/>
      </c>
      <c r="F58" s="20">
        <f>1+COUNTIFS($A$5:$A$110,A58,$E$5:$E$110,"&gt;"&amp;E58)</f>
        <v/>
      </c>
      <c r="G58" s="20">
        <f>A58&amp;"|"&amp;TEXT(F58,"000")&amp;"|"&amp;B58</f>
        <v/>
      </c>
    </row>
    <row r="59" ht="15" customHeight="1" s="17">
      <c r="A59" s="20" t="inlineStr">
        <is>
          <t>Male</t>
        </is>
      </c>
      <c r="B59" s="20" t="inlineStr">
        <is>
          <t>Orinoco Faamausili-Banse-Prince</t>
        </is>
      </c>
      <c r="C59" s="20">
        <f>COUNTIFS(05_Record_Benchmarks!$B:$B,"SCM",05_Record_Benchmarks!$C:$C,A59,05_Record_Benchmarks!$G:$G,B59)+COUNTIFS(05_Record_Benchmarks!$B:$B,"SCM",05_Record_Benchmarks!$C:$C,A59,05_Record_Benchmarks!$H:$H,B59)</f>
        <v/>
      </c>
      <c r="D59" s="20">
        <f>COUNTIFS(05_Record_Benchmarks!$B:$B,"LCM",05_Record_Benchmarks!$C:$C,A59,05_Record_Benchmarks!$G:$G,B59)+COUNTIFS(05_Record_Benchmarks!$B:$B,"LCM",05_Record_Benchmarks!$C:$C,A59,05_Record_Benchmarks!$H:$H,B59)</f>
        <v/>
      </c>
      <c r="E59" s="20">
        <f>C59+D59</f>
        <v/>
      </c>
      <c r="F59" s="20">
        <f>1+COUNTIFS($A$5:$A$110,A59,$E$5:$E$110,"&gt;"&amp;E59)</f>
        <v/>
      </c>
      <c r="G59" s="20">
        <f>A59&amp;"|"&amp;TEXT(F59,"000")&amp;"|"&amp;B59</f>
        <v/>
      </c>
    </row>
    <row r="60" ht="15" customHeight="1" s="17">
      <c r="A60" s="20" t="inlineStr">
        <is>
          <t>Male</t>
        </is>
      </c>
      <c r="B60" s="20" t="inlineStr">
        <is>
          <t>Pierce Collins</t>
        </is>
      </c>
      <c r="C60" s="20">
        <f>COUNTIFS(05_Record_Benchmarks!$B:$B,"SCM",05_Record_Benchmarks!$C:$C,A60,05_Record_Benchmarks!$G:$G,B60)+COUNTIFS(05_Record_Benchmarks!$B:$B,"SCM",05_Record_Benchmarks!$C:$C,A60,05_Record_Benchmarks!$H:$H,B60)</f>
        <v/>
      </c>
      <c r="D60" s="20">
        <f>COUNTIFS(05_Record_Benchmarks!$B:$B,"LCM",05_Record_Benchmarks!$C:$C,A60,05_Record_Benchmarks!$G:$G,B60)+COUNTIFS(05_Record_Benchmarks!$B:$B,"LCM",05_Record_Benchmarks!$C:$C,A60,05_Record_Benchmarks!$H:$H,B60)</f>
        <v/>
      </c>
      <c r="E60" s="20">
        <f>C60+D60</f>
        <v/>
      </c>
      <c r="F60" s="20">
        <f>1+COUNTIFS($A$5:$A$110,A60,$E$5:$E$110,"&gt;"&amp;E60)</f>
        <v/>
      </c>
      <c r="G60" s="20">
        <f>A60&amp;"|"&amp;TEXT(F60,"000")&amp;"|"&amp;B60</f>
        <v/>
      </c>
    </row>
    <row r="61" ht="15" customHeight="1" s="17">
      <c r="A61" s="20" t="inlineStr">
        <is>
          <t>Male</t>
        </is>
      </c>
      <c r="B61" s="20" t="inlineStr">
        <is>
          <t>Ross Dunwoody</t>
        </is>
      </c>
      <c r="C61" s="20">
        <f>COUNTIFS(05_Record_Benchmarks!$B:$B,"SCM",05_Record_Benchmarks!$C:$C,A61,05_Record_Benchmarks!$G:$G,B61)+COUNTIFS(05_Record_Benchmarks!$B:$B,"SCM",05_Record_Benchmarks!$C:$C,A61,05_Record_Benchmarks!$H:$H,B61)</f>
        <v/>
      </c>
      <c r="D61" s="20">
        <f>COUNTIFS(05_Record_Benchmarks!$B:$B,"LCM",05_Record_Benchmarks!$C:$C,A61,05_Record_Benchmarks!$G:$G,B61)+COUNTIFS(05_Record_Benchmarks!$B:$B,"LCM",05_Record_Benchmarks!$C:$C,A61,05_Record_Benchmarks!$H:$H,B61)</f>
        <v/>
      </c>
      <c r="E61" s="20">
        <f>C61+D61</f>
        <v/>
      </c>
      <c r="F61" s="20">
        <f>1+COUNTIFS($A$5:$A$110,A61,$E$5:$E$110,"&gt;"&amp;E61)</f>
        <v/>
      </c>
      <c r="G61" s="20">
        <f>A61&amp;"|"&amp;TEXT(F61,"000")&amp;"|"&amp;B61</f>
        <v/>
      </c>
    </row>
    <row r="62" ht="15" customHeight="1" s="17">
      <c r="A62" s="20" t="inlineStr">
        <is>
          <t>Male</t>
        </is>
      </c>
      <c r="B62" s="20" t="inlineStr">
        <is>
          <t>Taiko Torepe-Ormsby</t>
        </is>
      </c>
      <c r="C62" s="20">
        <f>COUNTIFS(05_Record_Benchmarks!$B:$B,"SCM",05_Record_Benchmarks!$C:$C,A62,05_Record_Benchmarks!$G:$G,B62)+COUNTIFS(05_Record_Benchmarks!$B:$B,"SCM",05_Record_Benchmarks!$C:$C,A62,05_Record_Benchmarks!$H:$H,B62)</f>
        <v/>
      </c>
      <c r="D62" s="20">
        <f>COUNTIFS(05_Record_Benchmarks!$B:$B,"LCM",05_Record_Benchmarks!$C:$C,A62,05_Record_Benchmarks!$G:$G,B62)+COUNTIFS(05_Record_Benchmarks!$B:$B,"LCM",05_Record_Benchmarks!$C:$C,A62,05_Record_Benchmarks!$H:$H,B62)</f>
        <v/>
      </c>
      <c r="E62" s="20">
        <f>C62+D62</f>
        <v/>
      </c>
      <c r="F62" s="20">
        <f>1+COUNTIFS($A$5:$A$110,A62,$E$5:$E$110,"&gt;"&amp;E62)</f>
        <v/>
      </c>
      <c r="G62" s="20">
        <f>A62&amp;"|"&amp;TEXT(F62,"000")&amp;"|"&amp;B62</f>
        <v/>
      </c>
    </row>
    <row r="63" ht="15" customHeight="1" s="17">
      <c r="A63" s="20" t="inlineStr">
        <is>
          <t>Male</t>
        </is>
      </c>
      <c r="B63" s="20" t="inlineStr">
        <is>
          <t>Tyron Henry</t>
        </is>
      </c>
      <c r="C63" s="20">
        <f>COUNTIFS(05_Record_Benchmarks!$B:$B,"SCM",05_Record_Benchmarks!$C:$C,A63,05_Record_Benchmarks!$G:$G,B63)+COUNTIFS(05_Record_Benchmarks!$B:$B,"SCM",05_Record_Benchmarks!$C:$C,A63,05_Record_Benchmarks!$H:$H,B63)</f>
        <v/>
      </c>
      <c r="D63" s="20">
        <f>COUNTIFS(05_Record_Benchmarks!$B:$B,"LCM",05_Record_Benchmarks!$C:$C,A63,05_Record_Benchmarks!$G:$G,B63)+COUNTIFS(05_Record_Benchmarks!$B:$B,"LCM",05_Record_Benchmarks!$C:$C,A63,05_Record_Benchmarks!$H:$H,B63)</f>
        <v/>
      </c>
      <c r="E63" s="20">
        <f>C63+D63</f>
        <v/>
      </c>
      <c r="F63" s="20">
        <f>1+COUNTIFS($A$5:$A$110,A63,$E$5:$E$110,"&gt;"&amp;E63)</f>
        <v/>
      </c>
      <c r="G63" s="20">
        <f>A63&amp;"|"&amp;TEXT(F63,"000")&amp;"|"&amp;B63</f>
        <v/>
      </c>
    </row>
    <row r="64" ht="15" customHeight="1" s="17">
      <c r="A64" s="20" t="inlineStr">
        <is>
          <t>Female</t>
        </is>
      </c>
      <c r="B64" s="20" t="inlineStr">
        <is>
          <t>Erika Fairweather</t>
        </is>
      </c>
      <c r="C64" s="20">
        <f>COUNTIFS(05_Record_Benchmarks!$B:$B,"SCM",05_Record_Benchmarks!$C:$C,A64,05_Record_Benchmarks!$G:$G,B64)+COUNTIFS(05_Record_Benchmarks!$B:$B,"SCM",05_Record_Benchmarks!$C:$C,A64,05_Record_Benchmarks!$H:$H,B64)</f>
        <v/>
      </c>
      <c r="D64" s="20">
        <f>COUNTIFS(05_Record_Benchmarks!$B:$B,"LCM",05_Record_Benchmarks!$C:$C,A64,05_Record_Benchmarks!$G:$G,B64)+COUNTIFS(05_Record_Benchmarks!$B:$B,"LCM",05_Record_Benchmarks!$C:$C,A64,05_Record_Benchmarks!$H:$H,B64)</f>
        <v/>
      </c>
      <c r="E64" s="20">
        <f>C64+D64</f>
        <v/>
      </c>
      <c r="F64" s="20">
        <f>1+COUNTIFS($A$5:$A$110,A64,$E$5:$E$110,"&gt;"&amp;E64)</f>
        <v/>
      </c>
      <c r="G64" s="20">
        <f>A64&amp;"|"&amp;TEXT(F64,"000")&amp;"|"&amp;B64</f>
        <v/>
      </c>
    </row>
    <row r="65" ht="15" customHeight="1" s="17">
      <c r="A65" s="20" t="inlineStr">
        <is>
          <t>Female</t>
        </is>
      </c>
      <c r="B65" s="20" t="inlineStr">
        <is>
          <t>Gabrielle Fa'amausili</t>
        </is>
      </c>
      <c r="C65" s="20">
        <f>COUNTIFS(05_Record_Benchmarks!$B:$B,"SCM",05_Record_Benchmarks!$C:$C,A65,05_Record_Benchmarks!$G:$G,B65)+COUNTIFS(05_Record_Benchmarks!$B:$B,"SCM",05_Record_Benchmarks!$C:$C,A65,05_Record_Benchmarks!$H:$H,B65)</f>
        <v/>
      </c>
      <c r="D65" s="20">
        <f>COUNTIFS(05_Record_Benchmarks!$B:$B,"LCM",05_Record_Benchmarks!$C:$C,A65,05_Record_Benchmarks!$G:$G,B65)+COUNTIFS(05_Record_Benchmarks!$B:$B,"LCM",05_Record_Benchmarks!$C:$C,A65,05_Record_Benchmarks!$H:$H,B65)</f>
        <v/>
      </c>
      <c r="E65" s="20">
        <f>C65+D65</f>
        <v/>
      </c>
      <c r="F65" s="20">
        <f>1+COUNTIFS($A$5:$A$110,A65,$E$5:$E$110,"&gt;"&amp;E65)</f>
        <v/>
      </c>
      <c r="G65" s="20">
        <f>A65&amp;"|"&amp;TEXT(F65,"000")&amp;"|"&amp;B65</f>
        <v/>
      </c>
    </row>
    <row r="66" ht="15" customHeight="1" s="17">
      <c r="A66" s="20" t="inlineStr">
        <is>
          <t>Female</t>
        </is>
      </c>
      <c r="B66" s="20" t="inlineStr">
        <is>
          <t>Milan Glintmeyer</t>
        </is>
      </c>
      <c r="C66" s="20">
        <f>COUNTIFS(05_Record_Benchmarks!$B:$B,"SCM",05_Record_Benchmarks!$C:$C,A66,05_Record_Benchmarks!$G:$G,B66)+COUNTIFS(05_Record_Benchmarks!$B:$B,"SCM",05_Record_Benchmarks!$C:$C,A66,05_Record_Benchmarks!$H:$H,B66)</f>
        <v/>
      </c>
      <c r="D66" s="20">
        <f>COUNTIFS(05_Record_Benchmarks!$B:$B,"LCM",05_Record_Benchmarks!$C:$C,A66,05_Record_Benchmarks!$G:$G,B66)+COUNTIFS(05_Record_Benchmarks!$B:$B,"LCM",05_Record_Benchmarks!$C:$C,A66,05_Record_Benchmarks!$H:$H,B66)</f>
        <v/>
      </c>
      <c r="E66" s="20">
        <f>C66+D66</f>
        <v/>
      </c>
      <c r="F66" s="20">
        <f>1+COUNTIFS($A$5:$A$110,A66,$E$5:$E$110,"&gt;"&amp;E66)</f>
        <v/>
      </c>
      <c r="G66" s="20">
        <f>A66&amp;"|"&amp;TEXT(F66,"000")&amp;"|"&amp;B66</f>
        <v/>
      </c>
    </row>
    <row r="67" ht="15" customHeight="1" s="17">
      <c r="A67" s="20" t="inlineStr">
        <is>
          <t>Female</t>
        </is>
      </c>
      <c r="B67" s="20" t="inlineStr">
        <is>
          <t>Sophia Batchelor</t>
        </is>
      </c>
      <c r="C67" s="20">
        <f>COUNTIFS(05_Record_Benchmarks!$B:$B,"SCM",05_Record_Benchmarks!$C:$C,A67,05_Record_Benchmarks!$G:$G,B67)+COUNTIFS(05_Record_Benchmarks!$B:$B,"SCM",05_Record_Benchmarks!$C:$C,A67,05_Record_Benchmarks!$H:$H,B67)</f>
        <v/>
      </c>
      <c r="D67" s="20">
        <f>COUNTIFS(05_Record_Benchmarks!$B:$B,"LCM",05_Record_Benchmarks!$C:$C,A67,05_Record_Benchmarks!$G:$G,B67)+COUNTIFS(05_Record_Benchmarks!$B:$B,"LCM",05_Record_Benchmarks!$C:$C,A67,05_Record_Benchmarks!$H:$H,B67)</f>
        <v/>
      </c>
      <c r="E67" s="20">
        <f>C67+D67</f>
        <v/>
      </c>
      <c r="F67" s="20">
        <f>1+COUNTIFS($A$5:$A$110,A67,$E$5:$E$110,"&gt;"&amp;E67)</f>
        <v/>
      </c>
      <c r="G67" s="20">
        <f>A67&amp;"|"&amp;TEXT(F67,"000")&amp;"|"&amp;B67</f>
        <v/>
      </c>
    </row>
    <row r="68" ht="15" customHeight="1" s="17">
      <c r="A68" s="20" t="inlineStr">
        <is>
          <t>Female</t>
        </is>
      </c>
      <c r="B68" s="20" t="inlineStr">
        <is>
          <t>Zoe Pedersen</t>
        </is>
      </c>
      <c r="C68" s="20">
        <f>COUNTIFS(05_Record_Benchmarks!$B:$B,"SCM",05_Record_Benchmarks!$C:$C,A68,05_Record_Benchmarks!$G:$G,B68)+COUNTIFS(05_Record_Benchmarks!$B:$B,"SCM",05_Record_Benchmarks!$C:$C,A68,05_Record_Benchmarks!$H:$H,B68)</f>
        <v/>
      </c>
      <c r="D68" s="20">
        <f>COUNTIFS(05_Record_Benchmarks!$B:$B,"LCM",05_Record_Benchmarks!$C:$C,A68,05_Record_Benchmarks!$G:$G,B68)+COUNTIFS(05_Record_Benchmarks!$B:$B,"LCM",05_Record_Benchmarks!$C:$C,A68,05_Record_Benchmarks!$H:$H,B68)</f>
        <v/>
      </c>
      <c r="E68" s="20">
        <f>C68+D68</f>
        <v/>
      </c>
      <c r="F68" s="20">
        <f>1+COUNTIFS($A$5:$A$110,A68,$E$5:$E$110,"&gt;"&amp;E68)</f>
        <v/>
      </c>
      <c r="G68" s="20">
        <f>A68&amp;"|"&amp;TEXT(F68,"000")&amp;"|"&amp;B68</f>
        <v/>
      </c>
    </row>
    <row r="69" ht="15" customHeight="1" s="17">
      <c r="A69" s="20" t="inlineStr">
        <is>
          <t>Female</t>
        </is>
      </c>
      <c r="B69" s="20" t="inlineStr">
        <is>
          <t>Monique Wieruszowski</t>
        </is>
      </c>
      <c r="C69" s="20">
        <f>COUNTIFS(05_Record_Benchmarks!$B:$B,"SCM",05_Record_Benchmarks!$C:$C,A69,05_Record_Benchmarks!$G:$G,B69)+COUNTIFS(05_Record_Benchmarks!$B:$B,"SCM",05_Record_Benchmarks!$C:$C,A69,05_Record_Benchmarks!$H:$H,B69)</f>
        <v/>
      </c>
      <c r="D69" s="20">
        <f>COUNTIFS(05_Record_Benchmarks!$B:$B,"LCM",05_Record_Benchmarks!$C:$C,A69,05_Record_Benchmarks!$G:$G,B69)+COUNTIFS(05_Record_Benchmarks!$B:$B,"LCM",05_Record_Benchmarks!$C:$C,A69,05_Record_Benchmarks!$H:$H,B69)</f>
        <v/>
      </c>
      <c r="E69" s="20">
        <f>C69+D69</f>
        <v/>
      </c>
      <c r="F69" s="20">
        <f>1+COUNTIFS($A$5:$A$110,A69,$E$5:$E$110,"&gt;"&amp;E69)</f>
        <v/>
      </c>
      <c r="G69" s="20">
        <f>A69&amp;"|"&amp;TEXT(F69,"000")&amp;"|"&amp;B69</f>
        <v/>
      </c>
    </row>
    <row r="70" ht="15" customHeight="1" s="17">
      <c r="A70" s="20" t="inlineStr">
        <is>
          <t>Female</t>
        </is>
      </c>
      <c r="B70" s="20" t="inlineStr">
        <is>
          <t>Laura Littlejohn</t>
        </is>
      </c>
      <c r="C70" s="20">
        <f>COUNTIFS(05_Record_Benchmarks!$B:$B,"SCM",05_Record_Benchmarks!$C:$C,A70,05_Record_Benchmarks!$G:$G,B70)+COUNTIFS(05_Record_Benchmarks!$B:$B,"SCM",05_Record_Benchmarks!$C:$C,A70,05_Record_Benchmarks!$H:$H,B70)</f>
        <v/>
      </c>
      <c r="D70" s="20">
        <f>COUNTIFS(05_Record_Benchmarks!$B:$B,"LCM",05_Record_Benchmarks!$C:$C,A70,05_Record_Benchmarks!$G:$G,B70)+COUNTIFS(05_Record_Benchmarks!$B:$B,"LCM",05_Record_Benchmarks!$C:$C,A70,05_Record_Benchmarks!$H:$H,B70)</f>
        <v/>
      </c>
      <c r="E70" s="20">
        <f>C70+D70</f>
        <v/>
      </c>
      <c r="F70" s="20">
        <f>1+COUNTIFS($A$5:$A$110,A70,$E$5:$E$110,"&gt;"&amp;E70)</f>
        <v/>
      </c>
      <c r="G70" s="20">
        <f>A70&amp;"|"&amp;TEXT(F70,"000")&amp;"|"&amp;B70</f>
        <v/>
      </c>
    </row>
    <row r="71" ht="15" customHeight="1" s="17">
      <c r="A71" s="20" t="inlineStr">
        <is>
          <t>Female</t>
        </is>
      </c>
      <c r="B71" s="20" t="inlineStr">
        <is>
          <t>Brearna Crawford</t>
        </is>
      </c>
      <c r="C71" s="20">
        <f>COUNTIFS(05_Record_Benchmarks!$B:$B,"SCM",05_Record_Benchmarks!$C:$C,A71,05_Record_Benchmarks!$G:$G,B71)+COUNTIFS(05_Record_Benchmarks!$B:$B,"SCM",05_Record_Benchmarks!$C:$C,A71,05_Record_Benchmarks!$H:$H,B71)</f>
        <v/>
      </c>
      <c r="D71" s="20">
        <f>COUNTIFS(05_Record_Benchmarks!$B:$B,"LCM",05_Record_Benchmarks!$C:$C,A71,05_Record_Benchmarks!$G:$G,B71)+COUNTIFS(05_Record_Benchmarks!$B:$B,"LCM",05_Record_Benchmarks!$C:$C,A71,05_Record_Benchmarks!$H:$H,B71)</f>
        <v/>
      </c>
      <c r="E71" s="20">
        <f>C71+D71</f>
        <v/>
      </c>
      <c r="F71" s="20">
        <f>1+COUNTIFS($A$5:$A$110,A71,$E$5:$E$110,"&gt;"&amp;E71)</f>
        <v/>
      </c>
      <c r="G71" s="20">
        <f>A71&amp;"|"&amp;TEXT(F71,"000")&amp;"|"&amp;B71</f>
        <v/>
      </c>
    </row>
    <row r="72" ht="15" customHeight="1" s="17">
      <c r="A72" s="20" t="inlineStr">
        <is>
          <t>Female</t>
        </is>
      </c>
      <c r="B72" s="20" t="inlineStr">
        <is>
          <t>Mya Rasmussen</t>
        </is>
      </c>
      <c r="C72" s="20">
        <f>COUNTIFS(05_Record_Benchmarks!$B:$B,"SCM",05_Record_Benchmarks!$C:$C,A72,05_Record_Benchmarks!$G:$G,B72)+COUNTIFS(05_Record_Benchmarks!$B:$B,"SCM",05_Record_Benchmarks!$C:$C,A72,05_Record_Benchmarks!$H:$H,B72)</f>
        <v/>
      </c>
      <c r="D72" s="20">
        <f>COUNTIFS(05_Record_Benchmarks!$B:$B,"LCM",05_Record_Benchmarks!$C:$C,A72,05_Record_Benchmarks!$G:$G,B72)+COUNTIFS(05_Record_Benchmarks!$B:$B,"LCM",05_Record_Benchmarks!$C:$C,A72,05_Record_Benchmarks!$H:$H,B72)</f>
        <v/>
      </c>
      <c r="E72" s="20">
        <f>C72+D72</f>
        <v/>
      </c>
      <c r="F72" s="20">
        <f>1+COUNTIFS($A$5:$A$110,A72,$E$5:$E$110,"&gt;"&amp;E72)</f>
        <v/>
      </c>
      <c r="G72" s="20">
        <f>A72&amp;"|"&amp;TEXT(F72,"000")&amp;"|"&amp;B72</f>
        <v/>
      </c>
    </row>
    <row r="73" ht="15" customHeight="1" s="17">
      <c r="A73" s="20" t="inlineStr">
        <is>
          <t>Female</t>
        </is>
      </c>
      <c r="B73" s="20" t="inlineStr">
        <is>
          <t>Bobbi Gichard</t>
        </is>
      </c>
      <c r="C73" s="20">
        <f>COUNTIFS(05_Record_Benchmarks!$B:$B,"SCM",05_Record_Benchmarks!$C:$C,A73,05_Record_Benchmarks!$G:$G,B73)+COUNTIFS(05_Record_Benchmarks!$B:$B,"SCM",05_Record_Benchmarks!$C:$C,A73,05_Record_Benchmarks!$H:$H,B73)</f>
        <v/>
      </c>
      <c r="D73" s="20">
        <f>COUNTIFS(05_Record_Benchmarks!$B:$B,"LCM",05_Record_Benchmarks!$C:$C,A73,05_Record_Benchmarks!$G:$G,B73)+COUNTIFS(05_Record_Benchmarks!$B:$B,"LCM",05_Record_Benchmarks!$C:$C,A73,05_Record_Benchmarks!$H:$H,B73)</f>
        <v/>
      </c>
      <c r="E73" s="20">
        <f>C73+D73</f>
        <v/>
      </c>
      <c r="F73" s="20">
        <f>1+COUNTIFS($A$5:$A$110,A73,$E$5:$E$110,"&gt;"&amp;E73)</f>
        <v/>
      </c>
      <c r="G73" s="20">
        <f>A73&amp;"|"&amp;TEXT(F73,"000")&amp;"|"&amp;B73</f>
        <v/>
      </c>
    </row>
    <row r="74" ht="15" customHeight="1" s="17">
      <c r="A74" s="20" t="inlineStr">
        <is>
          <t>Female</t>
        </is>
      </c>
      <c r="B74" s="20" t="inlineStr">
        <is>
          <t>April Lin</t>
        </is>
      </c>
      <c r="C74" s="20">
        <f>COUNTIFS(05_Record_Benchmarks!$B:$B,"SCM",05_Record_Benchmarks!$C:$C,A74,05_Record_Benchmarks!$G:$G,B74)+COUNTIFS(05_Record_Benchmarks!$B:$B,"SCM",05_Record_Benchmarks!$C:$C,A74,05_Record_Benchmarks!$H:$H,B74)</f>
        <v/>
      </c>
      <c r="D74" s="20">
        <f>COUNTIFS(05_Record_Benchmarks!$B:$B,"LCM",05_Record_Benchmarks!$C:$C,A74,05_Record_Benchmarks!$G:$G,B74)+COUNTIFS(05_Record_Benchmarks!$B:$B,"LCM",05_Record_Benchmarks!$C:$C,A74,05_Record_Benchmarks!$H:$H,B74)</f>
        <v/>
      </c>
      <c r="E74" s="20">
        <f>C74+D74</f>
        <v/>
      </c>
      <c r="F74" s="20">
        <f>1+COUNTIFS($A$5:$A$110,A74,$E$5:$E$110,"&gt;"&amp;E74)</f>
        <v/>
      </c>
      <c r="G74" s="20">
        <f>A74&amp;"|"&amp;TEXT(F74,"000")&amp;"|"&amp;B74</f>
        <v/>
      </c>
    </row>
    <row r="75" ht="15" customHeight="1" s="17">
      <c r="A75" s="20" t="inlineStr">
        <is>
          <t>Female</t>
        </is>
      </c>
      <c r="B75" s="20" t="inlineStr">
        <is>
          <t>Melissa Cowen</t>
        </is>
      </c>
      <c r="C75" s="20">
        <f>COUNTIFS(05_Record_Benchmarks!$B:$B,"SCM",05_Record_Benchmarks!$C:$C,A75,05_Record_Benchmarks!$G:$G,B75)+COUNTIFS(05_Record_Benchmarks!$B:$B,"SCM",05_Record_Benchmarks!$C:$C,A75,05_Record_Benchmarks!$H:$H,B75)</f>
        <v/>
      </c>
      <c r="D75" s="20">
        <f>COUNTIFS(05_Record_Benchmarks!$B:$B,"LCM",05_Record_Benchmarks!$C:$C,A75,05_Record_Benchmarks!$G:$G,B75)+COUNTIFS(05_Record_Benchmarks!$B:$B,"LCM",05_Record_Benchmarks!$C:$C,A75,05_Record_Benchmarks!$H:$H,B75)</f>
        <v/>
      </c>
      <c r="E75" s="20">
        <f>C75+D75</f>
        <v/>
      </c>
      <c r="F75" s="20">
        <f>1+COUNTIFS($A$5:$A$110,A75,$E$5:$E$110,"&gt;"&amp;E75)</f>
        <v/>
      </c>
      <c r="G75" s="20">
        <f>A75&amp;"|"&amp;TEXT(F75,"000")&amp;"|"&amp;B75</f>
        <v/>
      </c>
    </row>
    <row r="76" ht="15" customHeight="1" s="17">
      <c r="A76" s="20" t="inlineStr">
        <is>
          <t>Female</t>
        </is>
      </c>
      <c r="B76" s="20" t="inlineStr">
        <is>
          <t>Natasha Lloyd</t>
        </is>
      </c>
      <c r="C76" s="20">
        <f>COUNTIFS(05_Record_Benchmarks!$B:$B,"SCM",05_Record_Benchmarks!$C:$C,A76,05_Record_Benchmarks!$G:$G,B76)+COUNTIFS(05_Record_Benchmarks!$B:$B,"SCM",05_Record_Benchmarks!$C:$C,A76,05_Record_Benchmarks!$H:$H,B76)</f>
        <v/>
      </c>
      <c r="D76" s="20">
        <f>COUNTIFS(05_Record_Benchmarks!$B:$B,"LCM",05_Record_Benchmarks!$C:$C,A76,05_Record_Benchmarks!$G:$G,B76)+COUNTIFS(05_Record_Benchmarks!$B:$B,"LCM",05_Record_Benchmarks!$C:$C,A76,05_Record_Benchmarks!$H:$H,B76)</f>
        <v/>
      </c>
      <c r="E76" s="20">
        <f>C76+D76</f>
        <v/>
      </c>
      <c r="F76" s="20">
        <f>1+COUNTIFS($A$5:$A$110,A76,$E$5:$E$110,"&gt;"&amp;E76)</f>
        <v/>
      </c>
      <c r="G76" s="20">
        <f>A76&amp;"|"&amp;TEXT(F76,"000")&amp;"|"&amp;B76</f>
        <v/>
      </c>
    </row>
    <row r="77" ht="15" customHeight="1" s="17">
      <c r="A77" s="20" t="inlineStr">
        <is>
          <t>Female</t>
        </is>
      </c>
      <c r="B77" s="20" t="inlineStr">
        <is>
          <t>Chloe Francis</t>
        </is>
      </c>
      <c r="C77" s="20">
        <f>COUNTIFS(05_Record_Benchmarks!$B:$B,"SCM",05_Record_Benchmarks!$C:$C,A77,05_Record_Benchmarks!$G:$G,B77)+COUNTIFS(05_Record_Benchmarks!$B:$B,"SCM",05_Record_Benchmarks!$C:$C,A77,05_Record_Benchmarks!$H:$H,B77)</f>
        <v/>
      </c>
      <c r="D77" s="20">
        <f>COUNTIFS(05_Record_Benchmarks!$B:$B,"LCM",05_Record_Benchmarks!$C:$C,A77,05_Record_Benchmarks!$G:$G,B77)+COUNTIFS(05_Record_Benchmarks!$B:$B,"LCM",05_Record_Benchmarks!$C:$C,A77,05_Record_Benchmarks!$H:$H,B77)</f>
        <v/>
      </c>
      <c r="E77" s="20">
        <f>C77+D77</f>
        <v/>
      </c>
      <c r="F77" s="20">
        <f>1+COUNTIFS($A$5:$A$110,A77,$E$5:$E$110,"&gt;"&amp;E77)</f>
        <v/>
      </c>
      <c r="G77" s="20">
        <f>A77&amp;"|"&amp;TEXT(F77,"000")&amp;"|"&amp;B77</f>
        <v/>
      </c>
    </row>
    <row r="78" ht="15" customHeight="1" s="17">
      <c r="A78" s="20" t="inlineStr">
        <is>
          <t>Female</t>
        </is>
      </c>
      <c r="B78" s="20" t="inlineStr">
        <is>
          <t>Laura Baker</t>
        </is>
      </c>
      <c r="C78" s="20">
        <f>COUNTIFS(05_Record_Benchmarks!$B:$B,"SCM",05_Record_Benchmarks!$C:$C,A78,05_Record_Benchmarks!$G:$G,B78)+COUNTIFS(05_Record_Benchmarks!$B:$B,"SCM",05_Record_Benchmarks!$C:$C,A78,05_Record_Benchmarks!$H:$H,B78)</f>
        <v/>
      </c>
      <c r="D78" s="20">
        <f>COUNTIFS(05_Record_Benchmarks!$B:$B,"LCM",05_Record_Benchmarks!$C:$C,A78,05_Record_Benchmarks!$G:$G,B78)+COUNTIFS(05_Record_Benchmarks!$B:$B,"LCM",05_Record_Benchmarks!$C:$C,A78,05_Record_Benchmarks!$H:$H,B78)</f>
        <v/>
      </c>
      <c r="E78" s="20">
        <f>C78+D78</f>
        <v/>
      </c>
      <c r="F78" s="20">
        <f>1+COUNTIFS($A$5:$A$110,A78,$E$5:$E$110,"&gt;"&amp;E78)</f>
        <v/>
      </c>
      <c r="G78" s="20">
        <f>A78&amp;"|"&amp;TEXT(F78,"000")&amp;"|"&amp;B78</f>
        <v/>
      </c>
    </row>
    <row r="79" ht="15" customHeight="1" s="17">
      <c r="A79" s="20" t="inlineStr">
        <is>
          <t>Female</t>
        </is>
      </c>
      <c r="B79" s="20" t="inlineStr">
        <is>
          <t>Tabitha Baumann</t>
        </is>
      </c>
      <c r="C79" s="20">
        <f>COUNTIFS(05_Record_Benchmarks!$B:$B,"SCM",05_Record_Benchmarks!$C:$C,A79,05_Record_Benchmarks!$G:$G,B79)+COUNTIFS(05_Record_Benchmarks!$B:$B,"SCM",05_Record_Benchmarks!$C:$C,A79,05_Record_Benchmarks!$H:$H,B79)</f>
        <v/>
      </c>
      <c r="D79" s="20">
        <f>COUNTIFS(05_Record_Benchmarks!$B:$B,"LCM",05_Record_Benchmarks!$C:$C,A79,05_Record_Benchmarks!$G:$G,B79)+COUNTIFS(05_Record_Benchmarks!$B:$B,"LCM",05_Record_Benchmarks!$C:$C,A79,05_Record_Benchmarks!$H:$H,B79)</f>
        <v/>
      </c>
      <c r="E79" s="20">
        <f>C79+D79</f>
        <v/>
      </c>
      <c r="F79" s="20">
        <f>1+COUNTIFS($A$5:$A$110,A79,$E$5:$E$110,"&gt;"&amp;E79)</f>
        <v/>
      </c>
      <c r="G79" s="20">
        <f>A79&amp;"|"&amp;TEXT(F79,"000")&amp;"|"&amp;B79</f>
        <v/>
      </c>
    </row>
    <row r="80" ht="15" customHeight="1" s="17">
      <c r="A80" s="20" t="inlineStr">
        <is>
          <t>Female</t>
        </is>
      </c>
      <c r="B80" s="20" t="inlineStr">
        <is>
          <t>Yeonsu Lee</t>
        </is>
      </c>
      <c r="C80" s="20">
        <f>COUNTIFS(05_Record_Benchmarks!$B:$B,"SCM",05_Record_Benchmarks!$C:$C,A80,05_Record_Benchmarks!$G:$G,B80)+COUNTIFS(05_Record_Benchmarks!$B:$B,"SCM",05_Record_Benchmarks!$C:$C,A80,05_Record_Benchmarks!$H:$H,B80)</f>
        <v/>
      </c>
      <c r="D80" s="20">
        <f>COUNTIFS(05_Record_Benchmarks!$B:$B,"LCM",05_Record_Benchmarks!$C:$C,A80,05_Record_Benchmarks!$G:$G,B80)+COUNTIFS(05_Record_Benchmarks!$B:$B,"LCM",05_Record_Benchmarks!$C:$C,A80,05_Record_Benchmarks!$H:$H,B80)</f>
        <v/>
      </c>
      <c r="E80" s="20">
        <f>C80+D80</f>
        <v/>
      </c>
      <c r="F80" s="20">
        <f>1+COUNTIFS($A$5:$A$110,A80,$E$5:$E$110,"&gt;"&amp;E80)</f>
        <v/>
      </c>
      <c r="G80" s="20">
        <f>A80&amp;"|"&amp;TEXT(F80,"000")&amp;"|"&amp;B80</f>
        <v/>
      </c>
    </row>
    <row r="81" ht="15" customHeight="1" s="17">
      <c r="A81" s="20" t="inlineStr">
        <is>
          <t>Female</t>
        </is>
      </c>
      <c r="B81" s="20" t="inlineStr">
        <is>
          <t>Gina McCarthy</t>
        </is>
      </c>
      <c r="C81" s="20">
        <f>COUNTIFS(05_Record_Benchmarks!$B:$B,"SCM",05_Record_Benchmarks!$C:$C,A81,05_Record_Benchmarks!$G:$G,B81)+COUNTIFS(05_Record_Benchmarks!$B:$B,"SCM",05_Record_Benchmarks!$C:$C,A81,05_Record_Benchmarks!$H:$H,B81)</f>
        <v/>
      </c>
      <c r="D81" s="20">
        <f>COUNTIFS(05_Record_Benchmarks!$B:$B,"LCM",05_Record_Benchmarks!$C:$C,A81,05_Record_Benchmarks!$G:$G,B81)+COUNTIFS(05_Record_Benchmarks!$B:$B,"LCM",05_Record_Benchmarks!$C:$C,A81,05_Record_Benchmarks!$H:$H,B81)</f>
        <v/>
      </c>
      <c r="E81" s="20">
        <f>C81+D81</f>
        <v/>
      </c>
      <c r="F81" s="20">
        <f>1+COUNTIFS($A$5:$A$110,A81,$E$5:$E$110,"&gt;"&amp;E81)</f>
        <v/>
      </c>
      <c r="G81" s="20">
        <f>A81&amp;"|"&amp;TEXT(F81,"000")&amp;"|"&amp;B81</f>
        <v/>
      </c>
    </row>
    <row r="82" ht="15" customHeight="1" s="17">
      <c r="A82" s="20" t="inlineStr">
        <is>
          <t>Female</t>
        </is>
      </c>
      <c r="B82" s="20" t="inlineStr">
        <is>
          <t>Ciara Smith</t>
        </is>
      </c>
      <c r="C82" s="20">
        <f>COUNTIFS(05_Record_Benchmarks!$B:$B,"SCM",05_Record_Benchmarks!$C:$C,A82,05_Record_Benchmarks!$G:$G,B82)+COUNTIFS(05_Record_Benchmarks!$B:$B,"SCM",05_Record_Benchmarks!$C:$C,A82,05_Record_Benchmarks!$H:$H,B82)</f>
        <v/>
      </c>
      <c r="D82" s="20">
        <f>COUNTIFS(05_Record_Benchmarks!$B:$B,"LCM",05_Record_Benchmarks!$C:$C,A82,05_Record_Benchmarks!$G:$G,B82)+COUNTIFS(05_Record_Benchmarks!$B:$B,"LCM",05_Record_Benchmarks!$C:$C,A82,05_Record_Benchmarks!$H:$H,B82)</f>
        <v/>
      </c>
      <c r="E82" s="20">
        <f>C82+D82</f>
        <v/>
      </c>
      <c r="F82" s="20">
        <f>1+COUNTIFS($A$5:$A$110,A82,$E$5:$E$110,"&gt;"&amp;E82)</f>
        <v/>
      </c>
      <c r="G82" s="20">
        <f>A82&amp;"|"&amp;TEXT(F82,"000")&amp;"|"&amp;B82</f>
        <v/>
      </c>
    </row>
    <row r="83" ht="15" customHeight="1" s="17">
      <c r="A83" s="20" t="inlineStr">
        <is>
          <t>Female</t>
        </is>
      </c>
      <c r="B83" s="20" t="inlineStr">
        <is>
          <t>Samantha Lee</t>
        </is>
      </c>
      <c r="C83" s="20">
        <f>COUNTIFS(05_Record_Benchmarks!$B:$B,"SCM",05_Record_Benchmarks!$C:$C,A83,05_Record_Benchmarks!$G:$G,B83)+COUNTIFS(05_Record_Benchmarks!$B:$B,"SCM",05_Record_Benchmarks!$C:$C,A83,05_Record_Benchmarks!$H:$H,B83)</f>
        <v/>
      </c>
      <c r="D83" s="20">
        <f>COUNTIFS(05_Record_Benchmarks!$B:$B,"LCM",05_Record_Benchmarks!$C:$C,A83,05_Record_Benchmarks!$G:$G,B83)+COUNTIFS(05_Record_Benchmarks!$B:$B,"LCM",05_Record_Benchmarks!$C:$C,A83,05_Record_Benchmarks!$H:$H,B83)</f>
        <v/>
      </c>
      <c r="E83" s="20">
        <f>C83+D83</f>
        <v/>
      </c>
      <c r="F83" s="20">
        <f>1+COUNTIFS($A$5:$A$110,A83,$E$5:$E$110,"&gt;"&amp;E83)</f>
        <v/>
      </c>
      <c r="G83" s="20">
        <f>A83&amp;"|"&amp;TEXT(F83,"000")&amp;"|"&amp;B83</f>
        <v/>
      </c>
    </row>
    <row r="84" ht="15" customHeight="1" s="17">
      <c r="A84" s="20" t="inlineStr">
        <is>
          <t>Female</t>
        </is>
      </c>
      <c r="B84" s="20" t="inlineStr">
        <is>
          <t>Anna Wilson</t>
        </is>
      </c>
      <c r="C84" s="20">
        <f>COUNTIFS(05_Record_Benchmarks!$B:$B,"SCM",05_Record_Benchmarks!$C:$C,A84,05_Record_Benchmarks!$G:$G,B84)+COUNTIFS(05_Record_Benchmarks!$B:$B,"SCM",05_Record_Benchmarks!$C:$C,A84,05_Record_Benchmarks!$H:$H,B84)</f>
        <v/>
      </c>
      <c r="D84" s="20">
        <f>COUNTIFS(05_Record_Benchmarks!$B:$B,"LCM",05_Record_Benchmarks!$C:$C,A84,05_Record_Benchmarks!$G:$G,B84)+COUNTIFS(05_Record_Benchmarks!$B:$B,"LCM",05_Record_Benchmarks!$C:$C,A84,05_Record_Benchmarks!$H:$H,B84)</f>
        <v/>
      </c>
      <c r="E84" s="20">
        <f>C84+D84</f>
        <v/>
      </c>
      <c r="F84" s="20">
        <f>1+COUNTIFS($A$5:$A$110,A84,$E$5:$E$110,"&gt;"&amp;E84)</f>
        <v/>
      </c>
      <c r="G84" s="20">
        <f>A84&amp;"|"&amp;TEXT(F84,"000")&amp;"|"&amp;B84</f>
        <v/>
      </c>
    </row>
    <row r="85" ht="15" customHeight="1" s="17">
      <c r="A85" s="20" t="inlineStr">
        <is>
          <t>Female</t>
        </is>
      </c>
      <c r="B85" s="20" t="inlineStr">
        <is>
          <t>Elizabeth Brown</t>
        </is>
      </c>
      <c r="C85" s="20">
        <f>COUNTIFS(05_Record_Benchmarks!$B:$B,"SCM",05_Record_Benchmarks!$C:$C,A85,05_Record_Benchmarks!$G:$G,B85)+COUNTIFS(05_Record_Benchmarks!$B:$B,"SCM",05_Record_Benchmarks!$C:$C,A85,05_Record_Benchmarks!$H:$H,B85)</f>
        <v/>
      </c>
      <c r="D85" s="20">
        <f>COUNTIFS(05_Record_Benchmarks!$B:$B,"LCM",05_Record_Benchmarks!$C:$C,A85,05_Record_Benchmarks!$G:$G,B85)+COUNTIFS(05_Record_Benchmarks!$B:$B,"LCM",05_Record_Benchmarks!$C:$C,A85,05_Record_Benchmarks!$H:$H,B85)</f>
        <v/>
      </c>
      <c r="E85" s="20">
        <f>C85+D85</f>
        <v/>
      </c>
      <c r="F85" s="20">
        <f>1+COUNTIFS($A$5:$A$110,A85,$E$5:$E$110,"&gt;"&amp;E85)</f>
        <v/>
      </c>
      <c r="G85" s="20">
        <f>A85&amp;"|"&amp;TEXT(F85,"000")&amp;"|"&amp;B85</f>
        <v/>
      </c>
    </row>
    <row r="86" ht="15" customHeight="1" s="17">
      <c r="A86" s="20" t="inlineStr">
        <is>
          <t>Female</t>
        </is>
      </c>
      <c r="B86" s="20" t="inlineStr">
        <is>
          <t>Natalie Wiegersma</t>
        </is>
      </c>
      <c r="C86" s="20">
        <f>COUNTIFS(05_Record_Benchmarks!$B:$B,"SCM",05_Record_Benchmarks!$C:$C,A86,05_Record_Benchmarks!$G:$G,B86)+COUNTIFS(05_Record_Benchmarks!$B:$B,"SCM",05_Record_Benchmarks!$C:$C,A86,05_Record_Benchmarks!$H:$H,B86)</f>
        <v/>
      </c>
      <c r="D86" s="20">
        <f>COUNTIFS(05_Record_Benchmarks!$B:$B,"LCM",05_Record_Benchmarks!$C:$C,A86,05_Record_Benchmarks!$G:$G,B86)+COUNTIFS(05_Record_Benchmarks!$B:$B,"LCM",05_Record_Benchmarks!$C:$C,A86,05_Record_Benchmarks!$H:$H,B86)</f>
        <v/>
      </c>
      <c r="E86" s="20">
        <f>C86+D86</f>
        <v/>
      </c>
      <c r="F86" s="20">
        <f>1+COUNTIFS($A$5:$A$110,A86,$E$5:$E$110,"&gt;"&amp;E86)</f>
        <v/>
      </c>
      <c r="G86" s="20">
        <f>A86&amp;"|"&amp;TEXT(F86,"000")&amp;"|"&amp;B86</f>
        <v/>
      </c>
    </row>
    <row r="87" ht="15" customHeight="1" s="17">
      <c r="A87" s="20" t="inlineStr">
        <is>
          <t>Female</t>
        </is>
      </c>
      <c r="B87" s="20" t="inlineStr">
        <is>
          <t>Annabelle Carey</t>
        </is>
      </c>
      <c r="C87" s="20">
        <f>COUNTIFS(05_Record_Benchmarks!$B:$B,"SCM",05_Record_Benchmarks!$C:$C,A87,05_Record_Benchmarks!$G:$G,B87)+COUNTIFS(05_Record_Benchmarks!$B:$B,"SCM",05_Record_Benchmarks!$C:$C,A87,05_Record_Benchmarks!$H:$H,B87)</f>
        <v/>
      </c>
      <c r="D87" s="20">
        <f>COUNTIFS(05_Record_Benchmarks!$B:$B,"LCM",05_Record_Benchmarks!$C:$C,A87,05_Record_Benchmarks!$G:$G,B87)+COUNTIFS(05_Record_Benchmarks!$B:$B,"LCM",05_Record_Benchmarks!$C:$C,A87,05_Record_Benchmarks!$H:$H,B87)</f>
        <v/>
      </c>
      <c r="E87" s="20">
        <f>C87+D87</f>
        <v/>
      </c>
      <c r="F87" s="20">
        <f>1+COUNTIFS($A$5:$A$110,A87,$E$5:$E$110,"&gt;"&amp;E87)</f>
        <v/>
      </c>
      <c r="G87" s="20">
        <f>A87&amp;"|"&amp;TEXT(F87,"000")&amp;"|"&amp;B87</f>
        <v/>
      </c>
    </row>
    <row r="88" ht="15" customHeight="1" s="17">
      <c r="A88" s="20" t="inlineStr">
        <is>
          <t>Female</t>
        </is>
      </c>
      <c r="B88" s="20" t="inlineStr">
        <is>
          <t>Eve Thomas</t>
        </is>
      </c>
      <c r="C88" s="20">
        <f>COUNTIFS(05_Record_Benchmarks!$B:$B,"SCM",05_Record_Benchmarks!$C:$C,A88,05_Record_Benchmarks!$G:$G,B88)+COUNTIFS(05_Record_Benchmarks!$B:$B,"SCM",05_Record_Benchmarks!$C:$C,A88,05_Record_Benchmarks!$H:$H,B88)</f>
        <v/>
      </c>
      <c r="D88" s="20">
        <f>COUNTIFS(05_Record_Benchmarks!$B:$B,"LCM",05_Record_Benchmarks!$C:$C,A88,05_Record_Benchmarks!$G:$G,B88)+COUNTIFS(05_Record_Benchmarks!$B:$B,"LCM",05_Record_Benchmarks!$C:$C,A88,05_Record_Benchmarks!$H:$H,B88)</f>
        <v/>
      </c>
      <c r="E88" s="20">
        <f>C88+D88</f>
        <v/>
      </c>
      <c r="F88" s="20">
        <f>1+COUNTIFS($A$5:$A$110,A88,$E$5:$E$110,"&gt;"&amp;E88)</f>
        <v/>
      </c>
      <c r="G88" s="20">
        <f>A88&amp;"|"&amp;TEXT(F88,"000")&amp;"|"&amp;B88</f>
        <v/>
      </c>
    </row>
    <row r="89" ht="15" customHeight="1" s="17">
      <c r="A89" s="20" t="inlineStr">
        <is>
          <t>Female</t>
        </is>
      </c>
      <c r="B89" s="20" t="inlineStr">
        <is>
          <t>Verity Hicks</t>
        </is>
      </c>
      <c r="C89" s="20">
        <f>COUNTIFS(05_Record_Benchmarks!$B:$B,"SCM",05_Record_Benchmarks!$C:$C,A89,05_Record_Benchmarks!$G:$G,B89)+COUNTIFS(05_Record_Benchmarks!$B:$B,"SCM",05_Record_Benchmarks!$C:$C,A89,05_Record_Benchmarks!$H:$H,B89)</f>
        <v/>
      </c>
      <c r="D89" s="20">
        <f>COUNTIFS(05_Record_Benchmarks!$B:$B,"LCM",05_Record_Benchmarks!$C:$C,A89,05_Record_Benchmarks!$G:$G,B89)+COUNTIFS(05_Record_Benchmarks!$B:$B,"LCM",05_Record_Benchmarks!$C:$C,A89,05_Record_Benchmarks!$H:$H,B89)</f>
        <v/>
      </c>
      <c r="E89" s="20">
        <f>C89+D89</f>
        <v/>
      </c>
      <c r="F89" s="20">
        <f>1+COUNTIFS($A$5:$A$110,A89,$E$5:$E$110,"&gt;"&amp;E89)</f>
        <v/>
      </c>
      <c r="G89" s="20">
        <f>A89&amp;"|"&amp;TEXT(F89,"000")&amp;"|"&amp;B89</f>
        <v/>
      </c>
    </row>
    <row r="90" ht="15" customHeight="1" s="17">
      <c r="A90" s="20" t="inlineStr">
        <is>
          <t>Female</t>
        </is>
      </c>
      <c r="B90" s="20" t="inlineStr">
        <is>
          <t>Caitlin Deans</t>
        </is>
      </c>
      <c r="C90" s="20">
        <f>COUNTIFS(05_Record_Benchmarks!$B:$B,"SCM",05_Record_Benchmarks!$C:$C,A90,05_Record_Benchmarks!$G:$G,B90)+COUNTIFS(05_Record_Benchmarks!$B:$B,"SCM",05_Record_Benchmarks!$C:$C,A90,05_Record_Benchmarks!$H:$H,B90)</f>
        <v/>
      </c>
      <c r="D90" s="20">
        <f>COUNTIFS(05_Record_Benchmarks!$B:$B,"LCM",05_Record_Benchmarks!$C:$C,A90,05_Record_Benchmarks!$G:$G,B90)+COUNTIFS(05_Record_Benchmarks!$B:$B,"LCM",05_Record_Benchmarks!$C:$C,A90,05_Record_Benchmarks!$H:$H,B90)</f>
        <v/>
      </c>
      <c r="E90" s="20">
        <f>C90+D90</f>
        <v/>
      </c>
      <c r="F90" s="20">
        <f>1+COUNTIFS($A$5:$A$110,A90,$E$5:$E$110,"&gt;"&amp;E90)</f>
        <v/>
      </c>
      <c r="G90" s="20">
        <f>A90&amp;"|"&amp;TEXT(F90,"000")&amp;"|"&amp;B90</f>
        <v/>
      </c>
    </row>
    <row r="91" ht="15" customHeight="1" s="17">
      <c r="A91" s="20" t="inlineStr">
        <is>
          <t>Female</t>
        </is>
      </c>
      <c r="B91" s="20" t="inlineStr">
        <is>
          <t>Caroline Baddock</t>
        </is>
      </c>
      <c r="C91" s="20">
        <f>COUNTIFS(05_Record_Benchmarks!$B:$B,"SCM",05_Record_Benchmarks!$C:$C,A91,05_Record_Benchmarks!$G:$G,B91)+COUNTIFS(05_Record_Benchmarks!$B:$B,"SCM",05_Record_Benchmarks!$C:$C,A91,05_Record_Benchmarks!$H:$H,B91)</f>
        <v/>
      </c>
      <c r="D91" s="20">
        <f>COUNTIFS(05_Record_Benchmarks!$B:$B,"LCM",05_Record_Benchmarks!$C:$C,A91,05_Record_Benchmarks!$G:$G,B91)+COUNTIFS(05_Record_Benchmarks!$B:$B,"LCM",05_Record_Benchmarks!$C:$C,A91,05_Record_Benchmarks!$H:$H,B91)</f>
        <v/>
      </c>
      <c r="E91" s="20">
        <f>C91+D91</f>
        <v/>
      </c>
      <c r="F91" s="20">
        <f>1+COUNTIFS($A$5:$A$110,A91,$E$5:$E$110,"&gt;"&amp;E91)</f>
        <v/>
      </c>
      <c r="G91" s="20">
        <f>A91&amp;"|"&amp;TEXT(F91,"000")&amp;"|"&amp;B91</f>
        <v/>
      </c>
    </row>
    <row r="92" ht="15" customHeight="1" s="17">
      <c r="A92" s="20" t="inlineStr">
        <is>
          <t>Female</t>
        </is>
      </c>
      <c r="B92" s="20" t="inlineStr">
        <is>
          <t>Jenna Borea</t>
        </is>
      </c>
      <c r="C92" s="20">
        <f>COUNTIFS(05_Record_Benchmarks!$B:$B,"SCM",05_Record_Benchmarks!$C:$C,A92,05_Record_Benchmarks!$G:$G,B92)+COUNTIFS(05_Record_Benchmarks!$B:$B,"SCM",05_Record_Benchmarks!$C:$C,A92,05_Record_Benchmarks!$H:$H,B92)</f>
        <v/>
      </c>
      <c r="D92" s="20">
        <f>COUNTIFS(05_Record_Benchmarks!$B:$B,"LCM",05_Record_Benchmarks!$C:$C,A92,05_Record_Benchmarks!$G:$G,B92)+COUNTIFS(05_Record_Benchmarks!$B:$B,"LCM",05_Record_Benchmarks!$C:$C,A92,05_Record_Benchmarks!$H:$H,B92)</f>
        <v/>
      </c>
      <c r="E92" s="20">
        <f>C92+D92</f>
        <v/>
      </c>
      <c r="F92" s="20">
        <f>1+COUNTIFS($A$5:$A$110,A92,$E$5:$E$110,"&gt;"&amp;E92)</f>
        <v/>
      </c>
      <c r="G92" s="20">
        <f>A92&amp;"|"&amp;TEXT(F92,"000")&amp;"|"&amp;B92</f>
        <v/>
      </c>
    </row>
    <row r="93" ht="15" customHeight="1" s="17">
      <c r="A93" s="20" t="inlineStr">
        <is>
          <t>Female</t>
        </is>
      </c>
      <c r="B93" s="20" t="inlineStr">
        <is>
          <t>Keira-Lee Allott</t>
        </is>
      </c>
      <c r="C93" s="20">
        <f>COUNTIFS(05_Record_Benchmarks!$B:$B,"SCM",05_Record_Benchmarks!$C:$C,A93,05_Record_Benchmarks!$G:$G,B93)+COUNTIFS(05_Record_Benchmarks!$B:$B,"SCM",05_Record_Benchmarks!$C:$C,A93,05_Record_Benchmarks!$H:$H,B93)</f>
        <v/>
      </c>
      <c r="D93" s="20">
        <f>COUNTIFS(05_Record_Benchmarks!$B:$B,"LCM",05_Record_Benchmarks!$C:$C,A93,05_Record_Benchmarks!$G:$G,B93)+COUNTIFS(05_Record_Benchmarks!$B:$B,"LCM",05_Record_Benchmarks!$C:$C,A93,05_Record_Benchmarks!$H:$H,B93)</f>
        <v/>
      </c>
      <c r="E93" s="20">
        <f>C93+D93</f>
        <v/>
      </c>
      <c r="F93" s="20">
        <f>1+COUNTIFS($A$5:$A$110,A93,$E$5:$E$110,"&gt;"&amp;E93)</f>
        <v/>
      </c>
      <c r="G93" s="20">
        <f>A93&amp;"|"&amp;TEXT(F93,"000")&amp;"|"&amp;B93</f>
        <v/>
      </c>
    </row>
    <row r="94" ht="15" customHeight="1" s="17">
      <c r="A94" s="20" t="inlineStr">
        <is>
          <t>Female</t>
        </is>
      </c>
      <c r="B94" s="20" t="inlineStr">
        <is>
          <t>Mulan Chan See</t>
        </is>
      </c>
      <c r="C94" s="20">
        <f>COUNTIFS(05_Record_Benchmarks!$B:$B,"SCM",05_Record_Benchmarks!$C:$C,A94,05_Record_Benchmarks!$G:$G,B94)+COUNTIFS(05_Record_Benchmarks!$B:$B,"SCM",05_Record_Benchmarks!$C:$C,A94,05_Record_Benchmarks!$H:$H,B94)</f>
        <v/>
      </c>
      <c r="D94" s="20">
        <f>COUNTIFS(05_Record_Benchmarks!$B:$B,"LCM",05_Record_Benchmarks!$C:$C,A94,05_Record_Benchmarks!$G:$G,B94)+COUNTIFS(05_Record_Benchmarks!$B:$B,"LCM",05_Record_Benchmarks!$C:$C,A94,05_Record_Benchmarks!$H:$H,B94)</f>
        <v/>
      </c>
      <c r="E94" s="20">
        <f>C94+D94</f>
        <v/>
      </c>
      <c r="F94" s="20">
        <f>1+COUNTIFS($A$5:$A$110,A94,$E$5:$E$110,"&gt;"&amp;E94)</f>
        <v/>
      </c>
      <c r="G94" s="20">
        <f>A94&amp;"|"&amp;TEXT(F94,"000")&amp;"|"&amp;B94</f>
        <v/>
      </c>
    </row>
    <row r="95" ht="15" customHeight="1" s="17">
      <c r="A95" s="20" t="inlineStr">
        <is>
          <t>Female</t>
        </is>
      </c>
      <c r="B95" s="20" t="inlineStr">
        <is>
          <t>Neve Tassicker</t>
        </is>
      </c>
      <c r="C95" s="20">
        <f>COUNTIFS(05_Record_Benchmarks!$B:$B,"SCM",05_Record_Benchmarks!$C:$C,A95,05_Record_Benchmarks!$G:$G,B95)+COUNTIFS(05_Record_Benchmarks!$B:$B,"SCM",05_Record_Benchmarks!$C:$C,A95,05_Record_Benchmarks!$H:$H,B95)</f>
        <v/>
      </c>
      <c r="D95" s="20">
        <f>COUNTIFS(05_Record_Benchmarks!$B:$B,"LCM",05_Record_Benchmarks!$C:$C,A95,05_Record_Benchmarks!$G:$G,B95)+COUNTIFS(05_Record_Benchmarks!$B:$B,"LCM",05_Record_Benchmarks!$C:$C,A95,05_Record_Benchmarks!$H:$H,B95)</f>
        <v/>
      </c>
      <c r="E95" s="20">
        <f>C95+D95</f>
        <v/>
      </c>
      <c r="F95" s="20">
        <f>1+COUNTIFS($A$5:$A$110,A95,$E$5:$E$110,"&gt;"&amp;E95)</f>
        <v/>
      </c>
      <c r="G95" s="20">
        <f>A95&amp;"|"&amp;TEXT(F95,"000")&amp;"|"&amp;B95</f>
        <v/>
      </c>
    </row>
    <row r="96" ht="15" customHeight="1" s="17">
      <c r="A96" s="20" t="inlineStr">
        <is>
          <t>Female</t>
        </is>
      </c>
      <c r="B96" s="20" t="inlineStr">
        <is>
          <t>Nicole Goldsmid</t>
        </is>
      </c>
      <c r="C96" s="20">
        <f>COUNTIFS(05_Record_Benchmarks!$B:$B,"SCM",05_Record_Benchmarks!$C:$C,A96,05_Record_Benchmarks!$G:$G,B96)+COUNTIFS(05_Record_Benchmarks!$B:$B,"SCM",05_Record_Benchmarks!$C:$C,A96,05_Record_Benchmarks!$H:$H,B96)</f>
        <v/>
      </c>
      <c r="D96" s="20">
        <f>COUNTIFS(05_Record_Benchmarks!$B:$B,"LCM",05_Record_Benchmarks!$C:$C,A96,05_Record_Benchmarks!$G:$G,B96)+COUNTIFS(05_Record_Benchmarks!$B:$B,"LCM",05_Record_Benchmarks!$C:$C,A96,05_Record_Benchmarks!$H:$H,B96)</f>
        <v/>
      </c>
      <c r="E96" s="20">
        <f>C96+D96</f>
        <v/>
      </c>
      <c r="F96" s="20">
        <f>1+COUNTIFS($A$5:$A$110,A96,$E$5:$E$110,"&gt;"&amp;E96)</f>
        <v/>
      </c>
      <c r="G96" s="20">
        <f>A96&amp;"|"&amp;TEXT(F96,"000")&amp;"|"&amp;B96</f>
        <v/>
      </c>
    </row>
    <row r="97" ht="15" customHeight="1" s="17">
      <c r="A97" s="20" t="inlineStr">
        <is>
          <t>Female</t>
        </is>
      </c>
      <c r="B97" s="20" t="inlineStr">
        <is>
          <t>Olivia Emmett</t>
        </is>
      </c>
      <c r="C97" s="20">
        <f>COUNTIFS(05_Record_Benchmarks!$B:$B,"SCM",05_Record_Benchmarks!$C:$C,A97,05_Record_Benchmarks!$G:$G,B97)+COUNTIFS(05_Record_Benchmarks!$B:$B,"SCM",05_Record_Benchmarks!$C:$C,A97,05_Record_Benchmarks!$H:$H,B97)</f>
        <v/>
      </c>
      <c r="D97" s="20">
        <f>COUNTIFS(05_Record_Benchmarks!$B:$B,"LCM",05_Record_Benchmarks!$C:$C,A97,05_Record_Benchmarks!$G:$G,B97)+COUNTIFS(05_Record_Benchmarks!$B:$B,"LCM",05_Record_Benchmarks!$C:$C,A97,05_Record_Benchmarks!$H:$H,B97)</f>
        <v/>
      </c>
      <c r="E97" s="20">
        <f>C97+D97</f>
        <v/>
      </c>
      <c r="F97" s="20">
        <f>1+COUNTIFS($A$5:$A$110,A97,$E$5:$E$110,"&gt;"&amp;E97)</f>
        <v/>
      </c>
      <c r="G97" s="20">
        <f>A97&amp;"|"&amp;TEXT(F97,"000")&amp;"|"&amp;B97</f>
        <v/>
      </c>
    </row>
    <row r="98" ht="15" customHeight="1" s="17">
      <c r="A98" s="20" t="inlineStr">
        <is>
          <t>Female</t>
        </is>
      </c>
      <c r="B98" s="20" t="inlineStr">
        <is>
          <t>Paige Schendelaar-Kemp</t>
        </is>
      </c>
      <c r="C98" s="20">
        <f>COUNTIFS(05_Record_Benchmarks!$B:$B,"SCM",05_Record_Benchmarks!$C:$C,A98,05_Record_Benchmarks!$G:$G,B98)+COUNTIFS(05_Record_Benchmarks!$B:$B,"SCM",05_Record_Benchmarks!$C:$C,A98,05_Record_Benchmarks!$H:$H,B98)</f>
        <v/>
      </c>
      <c r="D98" s="20">
        <f>COUNTIFS(05_Record_Benchmarks!$B:$B,"LCM",05_Record_Benchmarks!$C:$C,A98,05_Record_Benchmarks!$G:$G,B98)+COUNTIFS(05_Record_Benchmarks!$B:$B,"LCM",05_Record_Benchmarks!$C:$C,A98,05_Record_Benchmarks!$H:$H,B98)</f>
        <v/>
      </c>
      <c r="E98" s="20">
        <f>C98+D98</f>
        <v/>
      </c>
      <c r="F98" s="20">
        <f>1+COUNTIFS($A$5:$A$110,A98,$E$5:$E$110,"&gt;"&amp;E98)</f>
        <v/>
      </c>
      <c r="G98" s="20">
        <f>A98&amp;"|"&amp;TEXT(F98,"000")&amp;"|"&amp;B98</f>
        <v/>
      </c>
    </row>
    <row r="99" ht="15" customHeight="1" s="17">
      <c r="A99" s="20" t="inlineStr">
        <is>
          <t>Female</t>
        </is>
      </c>
      <c r="B99" s="20" t="inlineStr">
        <is>
          <t>Savannah-Eve Martin</t>
        </is>
      </c>
      <c r="C99" s="20">
        <f>COUNTIFS(05_Record_Benchmarks!$B:$B,"SCM",05_Record_Benchmarks!$C:$C,A99,05_Record_Benchmarks!$G:$G,B99)+COUNTIFS(05_Record_Benchmarks!$B:$B,"SCM",05_Record_Benchmarks!$C:$C,A99,05_Record_Benchmarks!$H:$H,B99)</f>
        <v/>
      </c>
      <c r="D99" s="20">
        <f>COUNTIFS(05_Record_Benchmarks!$B:$B,"LCM",05_Record_Benchmarks!$C:$C,A99,05_Record_Benchmarks!$G:$G,B99)+COUNTIFS(05_Record_Benchmarks!$B:$B,"LCM",05_Record_Benchmarks!$C:$C,A99,05_Record_Benchmarks!$H:$H,B99)</f>
        <v/>
      </c>
      <c r="E99" s="20">
        <f>C99+D99</f>
        <v/>
      </c>
      <c r="F99" s="20">
        <f>1+COUNTIFS($A$5:$A$110,A99,$E$5:$E$110,"&gt;"&amp;E99)</f>
        <v/>
      </c>
      <c r="G99" s="20">
        <f>A99&amp;"|"&amp;TEXT(F99,"000")&amp;"|"&amp;B99</f>
        <v/>
      </c>
    </row>
    <row r="100" ht="15" customHeight="1" s="17">
      <c r="A100" s="20" t="inlineStr">
        <is>
          <t>Female</t>
        </is>
      </c>
      <c r="B100" s="20" t="inlineStr">
        <is>
          <t>Abbie Johnston</t>
        </is>
      </c>
      <c r="C100" s="20">
        <f>COUNTIFS(05_Record_Benchmarks!$B:$B,"SCM",05_Record_Benchmarks!$C:$C,A100,05_Record_Benchmarks!$G:$G,B100)+COUNTIFS(05_Record_Benchmarks!$B:$B,"SCM",05_Record_Benchmarks!$C:$C,A100,05_Record_Benchmarks!$H:$H,B100)</f>
        <v/>
      </c>
      <c r="D100" s="20">
        <f>COUNTIFS(05_Record_Benchmarks!$B:$B,"LCM",05_Record_Benchmarks!$C:$C,A100,05_Record_Benchmarks!$G:$G,B100)+COUNTIFS(05_Record_Benchmarks!$B:$B,"LCM",05_Record_Benchmarks!$C:$C,A100,05_Record_Benchmarks!$H:$H,B100)</f>
        <v/>
      </c>
      <c r="E100" s="20">
        <f>C100+D100</f>
        <v/>
      </c>
      <c r="F100" s="20">
        <f>1+COUNTIFS($A$5:$A$110,A100,$E$5:$E$110,"&gt;"&amp;E100)</f>
        <v/>
      </c>
      <c r="G100" s="20">
        <f>A100&amp;"|"&amp;TEXT(F100,"000")&amp;"|"&amp;B100</f>
        <v/>
      </c>
    </row>
    <row r="101" ht="15" customHeight="1" s="17">
      <c r="A101" s="20" t="inlineStr">
        <is>
          <t>Female</t>
        </is>
      </c>
      <c r="B101" s="20" t="inlineStr">
        <is>
          <t>Cara Baker</t>
        </is>
      </c>
      <c r="C101" s="20">
        <f>COUNTIFS(05_Record_Benchmarks!$B:$B,"SCM",05_Record_Benchmarks!$C:$C,A101,05_Record_Benchmarks!$G:$G,B101)+COUNTIFS(05_Record_Benchmarks!$B:$B,"SCM",05_Record_Benchmarks!$C:$C,A101,05_Record_Benchmarks!$H:$H,B101)</f>
        <v/>
      </c>
      <c r="D101" s="20">
        <f>COUNTIFS(05_Record_Benchmarks!$B:$B,"LCM",05_Record_Benchmarks!$C:$C,A101,05_Record_Benchmarks!$G:$G,B101)+COUNTIFS(05_Record_Benchmarks!$B:$B,"LCM",05_Record_Benchmarks!$C:$C,A101,05_Record_Benchmarks!$H:$H,B101)</f>
        <v/>
      </c>
      <c r="E101" s="20">
        <f>C101+D101</f>
        <v/>
      </c>
      <c r="F101" s="20">
        <f>1+COUNTIFS($A$5:$A$110,A101,$E$5:$E$110,"&gt;"&amp;E101)</f>
        <v/>
      </c>
      <c r="G101" s="20">
        <f>A101&amp;"|"&amp;TEXT(F101,"000")&amp;"|"&amp;B101</f>
        <v/>
      </c>
    </row>
    <row r="102" ht="15" customHeight="1" s="17">
      <c r="A102" s="20" t="inlineStr">
        <is>
          <t>Female</t>
        </is>
      </c>
      <c r="B102" s="20" t="inlineStr">
        <is>
          <t>Carissa Thompson</t>
        </is>
      </c>
      <c r="C102" s="20">
        <f>COUNTIFS(05_Record_Benchmarks!$B:$B,"SCM",05_Record_Benchmarks!$C:$C,A102,05_Record_Benchmarks!$G:$G,B102)+COUNTIFS(05_Record_Benchmarks!$B:$B,"SCM",05_Record_Benchmarks!$C:$C,A102,05_Record_Benchmarks!$H:$H,B102)</f>
        <v/>
      </c>
      <c r="D102" s="20">
        <f>COUNTIFS(05_Record_Benchmarks!$B:$B,"LCM",05_Record_Benchmarks!$C:$C,A102,05_Record_Benchmarks!$G:$G,B102)+COUNTIFS(05_Record_Benchmarks!$B:$B,"LCM",05_Record_Benchmarks!$C:$C,A102,05_Record_Benchmarks!$H:$H,B102)</f>
        <v/>
      </c>
      <c r="E102" s="20">
        <f>C102+D102</f>
        <v/>
      </c>
      <c r="F102" s="20">
        <f>1+COUNTIFS($A$5:$A$110,A102,$E$5:$E$110,"&gt;"&amp;E102)</f>
        <v/>
      </c>
      <c r="G102" s="20">
        <f>A102&amp;"|"&amp;TEXT(F102,"000")&amp;"|"&amp;B102</f>
        <v/>
      </c>
    </row>
    <row r="103" ht="15" customHeight="1" s="17">
      <c r="A103" s="20" t="inlineStr">
        <is>
          <t>Female</t>
        </is>
      </c>
      <c r="B103" s="20" t="inlineStr">
        <is>
          <t>Carmen Ooi</t>
        </is>
      </c>
      <c r="C103" s="20">
        <f>COUNTIFS(05_Record_Benchmarks!$B:$B,"SCM",05_Record_Benchmarks!$C:$C,A103,05_Record_Benchmarks!$G:$G,B103)+COUNTIFS(05_Record_Benchmarks!$B:$B,"SCM",05_Record_Benchmarks!$C:$C,A103,05_Record_Benchmarks!$H:$H,B103)</f>
        <v/>
      </c>
      <c r="D103" s="20">
        <f>COUNTIFS(05_Record_Benchmarks!$B:$B,"LCM",05_Record_Benchmarks!$C:$C,A103,05_Record_Benchmarks!$G:$G,B103)+COUNTIFS(05_Record_Benchmarks!$B:$B,"LCM",05_Record_Benchmarks!$C:$C,A103,05_Record_Benchmarks!$H:$H,B103)</f>
        <v/>
      </c>
      <c r="E103" s="20">
        <f>C103+D103</f>
        <v/>
      </c>
      <c r="F103" s="20">
        <f>1+COUNTIFS($A$5:$A$110,A103,$E$5:$E$110,"&gt;"&amp;E103)</f>
        <v/>
      </c>
      <c r="G103" s="20">
        <f>A103&amp;"|"&amp;TEXT(F103,"000")&amp;"|"&amp;B103</f>
        <v/>
      </c>
    </row>
    <row r="104" ht="15" customHeight="1" s="17">
      <c r="A104" s="20" t="inlineStr">
        <is>
          <t>Female</t>
        </is>
      </c>
      <c r="B104" s="20" t="inlineStr">
        <is>
          <t>Hayley McIntosh</t>
        </is>
      </c>
      <c r="C104" s="20">
        <f>COUNTIFS(05_Record_Benchmarks!$B:$B,"SCM",05_Record_Benchmarks!$C:$C,A104,05_Record_Benchmarks!$G:$G,B104)+COUNTIFS(05_Record_Benchmarks!$B:$B,"SCM",05_Record_Benchmarks!$C:$C,A104,05_Record_Benchmarks!$H:$H,B104)</f>
        <v/>
      </c>
      <c r="D104" s="20">
        <f>COUNTIFS(05_Record_Benchmarks!$B:$B,"LCM",05_Record_Benchmarks!$C:$C,A104,05_Record_Benchmarks!$G:$G,B104)+COUNTIFS(05_Record_Benchmarks!$B:$B,"LCM",05_Record_Benchmarks!$C:$C,A104,05_Record_Benchmarks!$H:$H,B104)</f>
        <v/>
      </c>
      <c r="E104" s="20">
        <f>C104+D104</f>
        <v/>
      </c>
      <c r="F104" s="20">
        <f>1+COUNTIFS($A$5:$A$110,A104,$E$5:$E$110,"&gt;"&amp;E104)</f>
        <v/>
      </c>
      <c r="G104" s="20">
        <f>A104&amp;"|"&amp;TEXT(F104,"000")&amp;"|"&amp;B104</f>
        <v/>
      </c>
    </row>
    <row r="105" ht="15" customHeight="1" s="17">
      <c r="A105" s="20" t="inlineStr">
        <is>
          <t>Female</t>
        </is>
      </c>
      <c r="B105" s="20" t="inlineStr">
        <is>
          <t>Indie Herbert</t>
        </is>
      </c>
      <c r="C105" s="20">
        <f>COUNTIFS(05_Record_Benchmarks!$B:$B,"SCM",05_Record_Benchmarks!$C:$C,A105,05_Record_Benchmarks!$G:$G,B105)+COUNTIFS(05_Record_Benchmarks!$B:$B,"SCM",05_Record_Benchmarks!$C:$C,A105,05_Record_Benchmarks!$H:$H,B105)</f>
        <v/>
      </c>
      <c r="D105" s="20">
        <f>COUNTIFS(05_Record_Benchmarks!$B:$B,"LCM",05_Record_Benchmarks!$C:$C,A105,05_Record_Benchmarks!$G:$G,B105)+COUNTIFS(05_Record_Benchmarks!$B:$B,"LCM",05_Record_Benchmarks!$C:$C,A105,05_Record_Benchmarks!$H:$H,B105)</f>
        <v/>
      </c>
      <c r="E105" s="20">
        <f>C105+D105</f>
        <v/>
      </c>
      <c r="F105" s="20">
        <f>1+COUNTIFS($A$5:$A$110,A105,$E$5:$E$110,"&gt;"&amp;E105)</f>
        <v/>
      </c>
      <c r="G105" s="20">
        <f>A105&amp;"|"&amp;TEXT(F105,"000")&amp;"|"&amp;B105</f>
        <v/>
      </c>
    </row>
    <row r="106" ht="15" customHeight="1" s="17">
      <c r="A106" s="20" t="inlineStr">
        <is>
          <t>Female</t>
        </is>
      </c>
      <c r="B106" s="20" t="inlineStr">
        <is>
          <t>Kendall Cochrane</t>
        </is>
      </c>
      <c r="C106" s="20">
        <f>COUNTIFS(05_Record_Benchmarks!$B:$B,"SCM",05_Record_Benchmarks!$C:$C,A106,05_Record_Benchmarks!$G:$G,B106)+COUNTIFS(05_Record_Benchmarks!$B:$B,"SCM",05_Record_Benchmarks!$C:$C,A106,05_Record_Benchmarks!$H:$H,B106)</f>
        <v/>
      </c>
      <c r="D106" s="20">
        <f>COUNTIFS(05_Record_Benchmarks!$B:$B,"LCM",05_Record_Benchmarks!$C:$C,A106,05_Record_Benchmarks!$G:$G,B106)+COUNTIFS(05_Record_Benchmarks!$B:$B,"LCM",05_Record_Benchmarks!$C:$C,A106,05_Record_Benchmarks!$H:$H,B106)</f>
        <v/>
      </c>
      <c r="E106" s="20">
        <f>C106+D106</f>
        <v/>
      </c>
      <c r="F106" s="20">
        <f>1+COUNTIFS($A$5:$A$110,A106,$E$5:$E$110,"&gt;"&amp;E106)</f>
        <v/>
      </c>
      <c r="G106" s="20">
        <f>A106&amp;"|"&amp;TEXT(F106,"000")&amp;"|"&amp;B106</f>
        <v/>
      </c>
    </row>
    <row r="107" ht="15" customHeight="1" s="17">
      <c r="A107" s="20" t="inlineStr">
        <is>
          <t>Female</t>
        </is>
      </c>
      <c r="B107" s="20" t="inlineStr">
        <is>
          <t>Megan Allan</t>
        </is>
      </c>
      <c r="C107" s="20">
        <f>COUNTIFS(05_Record_Benchmarks!$B:$B,"SCM",05_Record_Benchmarks!$C:$C,A107,05_Record_Benchmarks!$G:$G,B107)+COUNTIFS(05_Record_Benchmarks!$B:$B,"SCM",05_Record_Benchmarks!$C:$C,A107,05_Record_Benchmarks!$H:$H,B107)</f>
        <v/>
      </c>
      <c r="D107" s="20">
        <f>COUNTIFS(05_Record_Benchmarks!$B:$B,"LCM",05_Record_Benchmarks!$C:$C,A107,05_Record_Benchmarks!$G:$G,B107)+COUNTIFS(05_Record_Benchmarks!$B:$B,"LCM",05_Record_Benchmarks!$C:$C,A107,05_Record_Benchmarks!$H:$H,B107)</f>
        <v/>
      </c>
      <c r="E107" s="20">
        <f>C107+D107</f>
        <v/>
      </c>
      <c r="F107" s="20">
        <f>1+COUNTIFS($A$5:$A$110,A107,$E$5:$E$110,"&gt;"&amp;E107)</f>
        <v/>
      </c>
      <c r="G107" s="20">
        <f>A107&amp;"|"&amp;TEXT(F107,"000")&amp;"|"&amp;B107</f>
        <v/>
      </c>
    </row>
    <row r="108" ht="15" customHeight="1" s="17">
      <c r="A108" s="20" t="inlineStr">
        <is>
          <t>Female</t>
        </is>
      </c>
      <c r="B108" s="20" t="inlineStr">
        <is>
          <t>Nichola West</t>
        </is>
      </c>
      <c r="C108" s="20">
        <f>COUNTIFS(05_Record_Benchmarks!$B:$B,"SCM",05_Record_Benchmarks!$C:$C,A108,05_Record_Benchmarks!$G:$G,B108)+COUNTIFS(05_Record_Benchmarks!$B:$B,"SCM",05_Record_Benchmarks!$C:$C,A108,05_Record_Benchmarks!$H:$H,B108)</f>
        <v/>
      </c>
      <c r="D108" s="20">
        <f>COUNTIFS(05_Record_Benchmarks!$B:$B,"LCM",05_Record_Benchmarks!$C:$C,A108,05_Record_Benchmarks!$G:$G,B108)+COUNTIFS(05_Record_Benchmarks!$B:$B,"LCM",05_Record_Benchmarks!$C:$C,A108,05_Record_Benchmarks!$H:$H,B108)</f>
        <v/>
      </c>
      <c r="E108" s="20">
        <f>C108+D108</f>
        <v/>
      </c>
      <c r="F108" s="20">
        <f>1+COUNTIFS($A$5:$A$110,A108,$E$5:$E$110,"&gt;"&amp;E108)</f>
        <v/>
      </c>
      <c r="G108" s="20">
        <f>A108&amp;"|"&amp;TEXT(F108,"000")&amp;"|"&amp;B108</f>
        <v/>
      </c>
    </row>
    <row r="109" ht="15" customHeight="1" s="17">
      <c r="A109" s="20" t="inlineStr">
        <is>
          <t>Female</t>
        </is>
      </c>
      <c r="B109" s="20" t="inlineStr">
        <is>
          <t>Penelope Marshall</t>
        </is>
      </c>
      <c r="C109" s="20">
        <f>COUNTIFS(05_Record_Benchmarks!$B:$B,"SCM",05_Record_Benchmarks!$C:$C,A109,05_Record_Benchmarks!$G:$G,B109)+COUNTIFS(05_Record_Benchmarks!$B:$B,"SCM",05_Record_Benchmarks!$C:$C,A109,05_Record_Benchmarks!$H:$H,B109)</f>
        <v/>
      </c>
      <c r="D109" s="20">
        <f>COUNTIFS(05_Record_Benchmarks!$B:$B,"LCM",05_Record_Benchmarks!$C:$C,A109,05_Record_Benchmarks!$G:$G,B109)+COUNTIFS(05_Record_Benchmarks!$B:$B,"LCM",05_Record_Benchmarks!$C:$C,A109,05_Record_Benchmarks!$H:$H,B109)</f>
        <v/>
      </c>
      <c r="E109" s="20">
        <f>C109+D109</f>
        <v/>
      </c>
      <c r="F109" s="20">
        <f>1+COUNTIFS($A$5:$A$110,A109,$E$5:$E$110,"&gt;"&amp;E109)</f>
        <v/>
      </c>
      <c r="G109" s="20">
        <f>A109&amp;"|"&amp;TEXT(F109,"000")&amp;"|"&amp;B109</f>
        <v/>
      </c>
    </row>
    <row r="110" ht="15" customHeight="1" s="17">
      <c r="A110" s="20" t="inlineStr">
        <is>
          <t>Female</t>
        </is>
      </c>
      <c r="B110" s="20" t="inlineStr">
        <is>
          <t>Phoebe Williams</t>
        </is>
      </c>
      <c r="C110" s="20">
        <f>COUNTIFS(05_Record_Benchmarks!$B:$B,"SCM",05_Record_Benchmarks!$C:$C,A110,05_Record_Benchmarks!$G:$G,B110)+COUNTIFS(05_Record_Benchmarks!$B:$B,"SCM",05_Record_Benchmarks!$C:$C,A110,05_Record_Benchmarks!$H:$H,B110)</f>
        <v/>
      </c>
      <c r="D110" s="20">
        <f>COUNTIFS(05_Record_Benchmarks!$B:$B,"LCM",05_Record_Benchmarks!$C:$C,A110,05_Record_Benchmarks!$G:$G,B110)+COUNTIFS(05_Record_Benchmarks!$B:$B,"LCM",05_Record_Benchmarks!$C:$C,A110,05_Record_Benchmarks!$H:$H,B110)</f>
        <v/>
      </c>
      <c r="E110" s="20">
        <f>C110+D110</f>
        <v/>
      </c>
      <c r="F110" s="20">
        <f>1+COUNTIFS($A$5:$A$110,A110,$E$5:$E$110,"&gt;"&amp;E110)</f>
        <v/>
      </c>
      <c r="G110" s="20">
        <f>A110&amp;"|"&amp;TEXT(F110,"000")&amp;"|"&amp;B110</f>
        <v/>
      </c>
    </row>
    <row r="111" ht="15" customHeight="1" s="17">
      <c r="A111" s="20" t="n"/>
      <c r="B111" s="20" t="n"/>
      <c r="C111" s="20" t="n"/>
      <c r="D111" s="20" t="n"/>
      <c r="E111" s="20" t="n"/>
      <c r="F111" s="20" t="n"/>
      <c r="G111" s="20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16" min="1" max="1"/>
    <col width="8" customWidth="1" style="16" min="2" max="2"/>
    <col width="30" customWidth="1" style="16" min="3" max="3"/>
    <col width="18" customWidth="1" style="16" min="4" max="4"/>
    <col width="9" customWidth="1" style="16" min="5" max="5"/>
    <col width="7" customWidth="1" style="16" min="6" max="6"/>
    <col width="14" customWidth="1" style="16" min="7" max="7"/>
    <col width="30" customWidth="1" style="16" min="8" max="8"/>
    <col width="16" customWidth="1" style="16" min="9" max="9"/>
    <col width="12" customWidth="1" style="16" min="10" max="10"/>
    <col width="30" customWidth="1" style="16" min="11" max="11"/>
  </cols>
  <sheetData>
    <row r="1" ht="25.5" customHeight="1" s="17">
      <c r="A1" s="18" t="inlineStr">
        <is>
          <t>Most outstanding NZ age-group records</t>
        </is>
      </c>
    </row>
    <row r="2" ht="31.5" customHeight="1" s="17">
      <c r="A2" s="19" t="inlineStr">
        <is>
          <t>Top 20 per gender ranked by percentage margin to the next-fastest different swimmer. Public table uses named/verified comparator rows.</t>
        </is>
      </c>
    </row>
    <row r="3" ht="15" customHeight="1" s="1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 ht="30" customHeight="1" s="17">
      <c r="A4" s="21" t="inlineStr">
        <is>
          <t>Sex</t>
        </is>
      </c>
      <c r="B4" s="21" t="inlineStr">
        <is>
          <t>Rank</t>
        </is>
      </c>
      <c r="C4" s="21" t="inlineStr">
        <is>
          <t>Swimmer</t>
        </is>
      </c>
      <c r="D4" s="21" t="inlineStr">
        <is>
          <t>Event</t>
        </is>
      </c>
      <c r="E4" s="21" t="inlineStr">
        <is>
          <t>Course</t>
        </is>
      </c>
      <c r="F4" s="21" t="inlineStr">
        <is>
          <t>Age</t>
        </is>
      </c>
      <c r="G4" s="21" t="inlineStr">
        <is>
          <t>Record Time</t>
        </is>
      </c>
      <c r="H4" s="21" t="inlineStr">
        <is>
          <t>Next Fastest Swimmer</t>
        </is>
      </c>
      <c r="I4" s="21" t="inlineStr">
        <is>
          <t>Next Fastest Time</t>
        </is>
      </c>
      <c r="J4" s="21" t="inlineStr">
        <is>
          <t>Margin %</t>
        </is>
      </c>
      <c r="K4" s="21" t="inlineStr">
        <is>
          <t>Record Key</t>
        </is>
      </c>
    </row>
    <row r="5" ht="15" customHeight="1" s="17">
      <c r="A5" s="20" t="inlineStr">
        <is>
          <t>Male</t>
        </is>
      </c>
      <c r="B5" s="20" t="n">
        <v>1</v>
      </c>
      <c r="C5" s="20">
        <f>IFERROR(INDEX(05_Record_Benchmarks!$F:$F,MATCH(A5&amp;"|"&amp;B5,05_Record_Benchmarks!$V:$V,0)),"")</f>
        <v/>
      </c>
      <c r="D5" s="20">
        <f>IFERROR(INDEX(05_Record_Benchmarks!$E:$E,MATCH(A5&amp;"|"&amp;B5,05_Record_Benchmarks!$V:$V,0)),"")</f>
        <v/>
      </c>
      <c r="E5" s="20">
        <f>IFERROR(INDEX(05_Record_Benchmarks!$B:$B,MATCH(A5&amp;"|"&amp;B5,05_Record_Benchmarks!$V:$V,0)),"")</f>
        <v/>
      </c>
      <c r="F5" s="20">
        <f>IFERROR(INDEX(05_Record_Benchmarks!$D:$D,MATCH(A5&amp;"|"&amp;B5,05_Record_Benchmarks!$V:$V,0)),"")</f>
        <v/>
      </c>
      <c r="G5" s="20">
        <f>IFERROR(INDEX(05_Record_Benchmarks!$I:$I,MATCH(A5&amp;"|"&amp;B5,05_Record_Benchmarks!$V:$V,0)),"")</f>
        <v/>
      </c>
      <c r="H5" s="20">
        <f>IFERROR(INDEX(05_Record_Benchmarks!$P:$P,MATCH(A5&amp;"|"&amp;B5,05_Record_Benchmarks!$V:$V,0)),"")</f>
        <v/>
      </c>
      <c r="I5" s="20">
        <f>IFERROR(INDEX(05_Record_Benchmarks!$Q:$Q,MATCH(A5&amp;"|"&amp;B5,05_Record_Benchmarks!$V:$V,0)),"")</f>
        <v/>
      </c>
      <c r="J5" s="43">
        <f>IFERROR(INDEX(05_Record_Benchmarks!$S:$S,MATCH(A5&amp;"|"&amp;B5,05_Record_Benchmarks!$V:$V,0)),"")</f>
        <v/>
      </c>
      <c r="K5" s="20">
        <f>IFERROR(INDEX(05_Record_Benchmarks!$A:$A,MATCH(A5&amp;"|"&amp;B5,05_Record_Benchmarks!$V:$V,0)),"")</f>
        <v/>
      </c>
    </row>
    <row r="6" ht="15" customHeight="1" s="17">
      <c r="A6" s="20" t="inlineStr">
        <is>
          <t>Male</t>
        </is>
      </c>
      <c r="B6" s="20" t="n">
        <v>2</v>
      </c>
      <c r="C6" s="20">
        <f>IFERROR(INDEX(05_Record_Benchmarks!$F:$F,MATCH(A6&amp;"|"&amp;B6,05_Record_Benchmarks!$V:$V,0)),"")</f>
        <v/>
      </c>
      <c r="D6" s="20">
        <f>IFERROR(INDEX(05_Record_Benchmarks!$E:$E,MATCH(A6&amp;"|"&amp;B6,05_Record_Benchmarks!$V:$V,0)),"")</f>
        <v/>
      </c>
      <c r="E6" s="20">
        <f>IFERROR(INDEX(05_Record_Benchmarks!$B:$B,MATCH(A6&amp;"|"&amp;B6,05_Record_Benchmarks!$V:$V,0)),"")</f>
        <v/>
      </c>
      <c r="F6" s="20">
        <f>IFERROR(INDEX(05_Record_Benchmarks!$D:$D,MATCH(A6&amp;"|"&amp;B6,05_Record_Benchmarks!$V:$V,0)),"")</f>
        <v/>
      </c>
      <c r="G6" s="20">
        <f>IFERROR(INDEX(05_Record_Benchmarks!$I:$I,MATCH(A6&amp;"|"&amp;B6,05_Record_Benchmarks!$V:$V,0)),"")</f>
        <v/>
      </c>
      <c r="H6" s="20">
        <f>IFERROR(INDEX(05_Record_Benchmarks!$P:$P,MATCH(A6&amp;"|"&amp;B6,05_Record_Benchmarks!$V:$V,0)),"")</f>
        <v/>
      </c>
      <c r="I6" s="20">
        <f>IFERROR(INDEX(05_Record_Benchmarks!$Q:$Q,MATCH(A6&amp;"|"&amp;B6,05_Record_Benchmarks!$V:$V,0)),"")</f>
        <v/>
      </c>
      <c r="J6" s="43">
        <f>IFERROR(INDEX(05_Record_Benchmarks!$S:$S,MATCH(A6&amp;"|"&amp;B6,05_Record_Benchmarks!$V:$V,0)),"")</f>
        <v/>
      </c>
      <c r="K6" s="20">
        <f>IFERROR(INDEX(05_Record_Benchmarks!$A:$A,MATCH(A6&amp;"|"&amp;B6,05_Record_Benchmarks!$V:$V,0)),"")</f>
        <v/>
      </c>
    </row>
    <row r="7" ht="15" customHeight="1" s="17">
      <c r="A7" s="20" t="inlineStr">
        <is>
          <t>Male</t>
        </is>
      </c>
      <c r="B7" s="20" t="n">
        <v>3</v>
      </c>
      <c r="C7" s="20">
        <f>IFERROR(INDEX(05_Record_Benchmarks!$F:$F,MATCH(A7&amp;"|"&amp;B7,05_Record_Benchmarks!$V:$V,0)),"")</f>
        <v/>
      </c>
      <c r="D7" s="20">
        <f>IFERROR(INDEX(05_Record_Benchmarks!$E:$E,MATCH(A7&amp;"|"&amp;B7,05_Record_Benchmarks!$V:$V,0)),"")</f>
        <v/>
      </c>
      <c r="E7" s="20">
        <f>IFERROR(INDEX(05_Record_Benchmarks!$B:$B,MATCH(A7&amp;"|"&amp;B7,05_Record_Benchmarks!$V:$V,0)),"")</f>
        <v/>
      </c>
      <c r="F7" s="20">
        <f>IFERROR(INDEX(05_Record_Benchmarks!$D:$D,MATCH(A7&amp;"|"&amp;B7,05_Record_Benchmarks!$V:$V,0)),"")</f>
        <v/>
      </c>
      <c r="G7" s="20">
        <f>IFERROR(INDEX(05_Record_Benchmarks!$I:$I,MATCH(A7&amp;"|"&amp;B7,05_Record_Benchmarks!$V:$V,0)),"")</f>
        <v/>
      </c>
      <c r="H7" s="20">
        <f>IFERROR(INDEX(05_Record_Benchmarks!$P:$P,MATCH(A7&amp;"|"&amp;B7,05_Record_Benchmarks!$V:$V,0)),"")</f>
        <v/>
      </c>
      <c r="I7" s="20">
        <f>IFERROR(INDEX(05_Record_Benchmarks!$Q:$Q,MATCH(A7&amp;"|"&amp;B7,05_Record_Benchmarks!$V:$V,0)),"")</f>
        <v/>
      </c>
      <c r="J7" s="43">
        <f>IFERROR(INDEX(05_Record_Benchmarks!$S:$S,MATCH(A7&amp;"|"&amp;B7,05_Record_Benchmarks!$V:$V,0)),"")</f>
        <v/>
      </c>
      <c r="K7" s="20">
        <f>IFERROR(INDEX(05_Record_Benchmarks!$A:$A,MATCH(A7&amp;"|"&amp;B7,05_Record_Benchmarks!$V:$V,0)),"")</f>
        <v/>
      </c>
    </row>
    <row r="8" ht="15" customHeight="1" s="17">
      <c r="A8" s="20" t="inlineStr">
        <is>
          <t>Male</t>
        </is>
      </c>
      <c r="B8" s="20" t="n">
        <v>4</v>
      </c>
      <c r="C8" s="20">
        <f>IFERROR(INDEX(05_Record_Benchmarks!$F:$F,MATCH(A8&amp;"|"&amp;B8,05_Record_Benchmarks!$V:$V,0)),"")</f>
        <v/>
      </c>
      <c r="D8" s="20">
        <f>IFERROR(INDEX(05_Record_Benchmarks!$E:$E,MATCH(A8&amp;"|"&amp;B8,05_Record_Benchmarks!$V:$V,0)),"")</f>
        <v/>
      </c>
      <c r="E8" s="20">
        <f>IFERROR(INDEX(05_Record_Benchmarks!$B:$B,MATCH(A8&amp;"|"&amp;B8,05_Record_Benchmarks!$V:$V,0)),"")</f>
        <v/>
      </c>
      <c r="F8" s="20">
        <f>IFERROR(INDEX(05_Record_Benchmarks!$D:$D,MATCH(A8&amp;"|"&amp;B8,05_Record_Benchmarks!$V:$V,0)),"")</f>
        <v/>
      </c>
      <c r="G8" s="20">
        <f>IFERROR(INDEX(05_Record_Benchmarks!$I:$I,MATCH(A8&amp;"|"&amp;B8,05_Record_Benchmarks!$V:$V,0)),"")</f>
        <v/>
      </c>
      <c r="H8" s="20">
        <f>IFERROR(INDEX(05_Record_Benchmarks!$P:$P,MATCH(A8&amp;"|"&amp;B8,05_Record_Benchmarks!$V:$V,0)),"")</f>
        <v/>
      </c>
      <c r="I8" s="20">
        <f>IFERROR(INDEX(05_Record_Benchmarks!$Q:$Q,MATCH(A8&amp;"|"&amp;B8,05_Record_Benchmarks!$V:$V,0)),"")</f>
        <v/>
      </c>
      <c r="J8" s="43">
        <f>IFERROR(INDEX(05_Record_Benchmarks!$S:$S,MATCH(A8&amp;"|"&amp;B8,05_Record_Benchmarks!$V:$V,0)),"")</f>
        <v/>
      </c>
      <c r="K8" s="20">
        <f>IFERROR(INDEX(05_Record_Benchmarks!$A:$A,MATCH(A8&amp;"|"&amp;B8,05_Record_Benchmarks!$V:$V,0)),"")</f>
        <v/>
      </c>
    </row>
    <row r="9" ht="15" customHeight="1" s="17">
      <c r="A9" s="20" t="inlineStr">
        <is>
          <t>Male</t>
        </is>
      </c>
      <c r="B9" s="20" t="n">
        <v>5</v>
      </c>
      <c r="C9" s="20">
        <f>IFERROR(INDEX(05_Record_Benchmarks!$F:$F,MATCH(A9&amp;"|"&amp;B9,05_Record_Benchmarks!$V:$V,0)),"")</f>
        <v/>
      </c>
      <c r="D9" s="20">
        <f>IFERROR(INDEX(05_Record_Benchmarks!$E:$E,MATCH(A9&amp;"|"&amp;B9,05_Record_Benchmarks!$V:$V,0)),"")</f>
        <v/>
      </c>
      <c r="E9" s="20">
        <f>IFERROR(INDEX(05_Record_Benchmarks!$B:$B,MATCH(A9&amp;"|"&amp;B9,05_Record_Benchmarks!$V:$V,0)),"")</f>
        <v/>
      </c>
      <c r="F9" s="20">
        <f>IFERROR(INDEX(05_Record_Benchmarks!$D:$D,MATCH(A9&amp;"|"&amp;B9,05_Record_Benchmarks!$V:$V,0)),"")</f>
        <v/>
      </c>
      <c r="G9" s="20">
        <f>IFERROR(INDEX(05_Record_Benchmarks!$I:$I,MATCH(A9&amp;"|"&amp;B9,05_Record_Benchmarks!$V:$V,0)),"")</f>
        <v/>
      </c>
      <c r="H9" s="20">
        <f>IFERROR(INDEX(05_Record_Benchmarks!$P:$P,MATCH(A9&amp;"|"&amp;B9,05_Record_Benchmarks!$V:$V,0)),"")</f>
        <v/>
      </c>
      <c r="I9" s="20">
        <f>IFERROR(INDEX(05_Record_Benchmarks!$Q:$Q,MATCH(A9&amp;"|"&amp;B9,05_Record_Benchmarks!$V:$V,0)),"")</f>
        <v/>
      </c>
      <c r="J9" s="43">
        <f>IFERROR(INDEX(05_Record_Benchmarks!$S:$S,MATCH(A9&amp;"|"&amp;B9,05_Record_Benchmarks!$V:$V,0)),"")</f>
        <v/>
      </c>
      <c r="K9" s="20">
        <f>IFERROR(INDEX(05_Record_Benchmarks!$A:$A,MATCH(A9&amp;"|"&amp;B9,05_Record_Benchmarks!$V:$V,0)),"")</f>
        <v/>
      </c>
    </row>
    <row r="10" ht="15" customHeight="1" s="17">
      <c r="A10" s="20" t="inlineStr">
        <is>
          <t>Male</t>
        </is>
      </c>
      <c r="B10" s="20" t="n">
        <v>6</v>
      </c>
      <c r="C10" s="20">
        <f>IFERROR(INDEX(05_Record_Benchmarks!$F:$F,MATCH(A10&amp;"|"&amp;B10,05_Record_Benchmarks!$V:$V,0)),"")</f>
        <v/>
      </c>
      <c r="D10" s="20">
        <f>IFERROR(INDEX(05_Record_Benchmarks!$E:$E,MATCH(A10&amp;"|"&amp;B10,05_Record_Benchmarks!$V:$V,0)),"")</f>
        <v/>
      </c>
      <c r="E10" s="20">
        <f>IFERROR(INDEX(05_Record_Benchmarks!$B:$B,MATCH(A10&amp;"|"&amp;B10,05_Record_Benchmarks!$V:$V,0)),"")</f>
        <v/>
      </c>
      <c r="F10" s="20">
        <f>IFERROR(INDEX(05_Record_Benchmarks!$D:$D,MATCH(A10&amp;"|"&amp;B10,05_Record_Benchmarks!$V:$V,0)),"")</f>
        <v/>
      </c>
      <c r="G10" s="20">
        <f>IFERROR(INDEX(05_Record_Benchmarks!$I:$I,MATCH(A10&amp;"|"&amp;B10,05_Record_Benchmarks!$V:$V,0)),"")</f>
        <v/>
      </c>
      <c r="H10" s="20">
        <f>IFERROR(INDEX(05_Record_Benchmarks!$P:$P,MATCH(A10&amp;"|"&amp;B10,05_Record_Benchmarks!$V:$V,0)),"")</f>
        <v/>
      </c>
      <c r="I10" s="20">
        <f>IFERROR(INDEX(05_Record_Benchmarks!$Q:$Q,MATCH(A10&amp;"|"&amp;B10,05_Record_Benchmarks!$V:$V,0)),"")</f>
        <v/>
      </c>
      <c r="J10" s="43">
        <f>IFERROR(INDEX(05_Record_Benchmarks!$S:$S,MATCH(A10&amp;"|"&amp;B10,05_Record_Benchmarks!$V:$V,0)),"")</f>
        <v/>
      </c>
      <c r="K10" s="20">
        <f>IFERROR(INDEX(05_Record_Benchmarks!$A:$A,MATCH(A10&amp;"|"&amp;B10,05_Record_Benchmarks!$V:$V,0)),"")</f>
        <v/>
      </c>
    </row>
    <row r="11" ht="15" customHeight="1" s="17">
      <c r="A11" s="20" t="inlineStr">
        <is>
          <t>Male</t>
        </is>
      </c>
      <c r="B11" s="20" t="n">
        <v>7</v>
      </c>
      <c r="C11" s="20">
        <f>IFERROR(INDEX(05_Record_Benchmarks!$F:$F,MATCH(A11&amp;"|"&amp;B11,05_Record_Benchmarks!$V:$V,0)),"")</f>
        <v/>
      </c>
      <c r="D11" s="20">
        <f>IFERROR(INDEX(05_Record_Benchmarks!$E:$E,MATCH(A11&amp;"|"&amp;B11,05_Record_Benchmarks!$V:$V,0)),"")</f>
        <v/>
      </c>
      <c r="E11" s="20">
        <f>IFERROR(INDEX(05_Record_Benchmarks!$B:$B,MATCH(A11&amp;"|"&amp;B11,05_Record_Benchmarks!$V:$V,0)),"")</f>
        <v/>
      </c>
      <c r="F11" s="20">
        <f>IFERROR(INDEX(05_Record_Benchmarks!$D:$D,MATCH(A11&amp;"|"&amp;B11,05_Record_Benchmarks!$V:$V,0)),"")</f>
        <v/>
      </c>
      <c r="G11" s="20">
        <f>IFERROR(INDEX(05_Record_Benchmarks!$I:$I,MATCH(A11&amp;"|"&amp;B11,05_Record_Benchmarks!$V:$V,0)),"")</f>
        <v/>
      </c>
      <c r="H11" s="20">
        <f>IFERROR(INDEX(05_Record_Benchmarks!$P:$P,MATCH(A11&amp;"|"&amp;B11,05_Record_Benchmarks!$V:$V,0)),"")</f>
        <v/>
      </c>
      <c r="I11" s="20">
        <f>IFERROR(INDEX(05_Record_Benchmarks!$Q:$Q,MATCH(A11&amp;"|"&amp;B11,05_Record_Benchmarks!$V:$V,0)),"")</f>
        <v/>
      </c>
      <c r="J11" s="43">
        <f>IFERROR(INDEX(05_Record_Benchmarks!$S:$S,MATCH(A11&amp;"|"&amp;B11,05_Record_Benchmarks!$V:$V,0)),"")</f>
        <v/>
      </c>
      <c r="K11" s="20">
        <f>IFERROR(INDEX(05_Record_Benchmarks!$A:$A,MATCH(A11&amp;"|"&amp;B11,05_Record_Benchmarks!$V:$V,0)),"")</f>
        <v/>
      </c>
    </row>
    <row r="12" ht="15" customHeight="1" s="17">
      <c r="A12" s="20" t="inlineStr">
        <is>
          <t>Male</t>
        </is>
      </c>
      <c r="B12" s="20" t="n">
        <v>8</v>
      </c>
      <c r="C12" s="20">
        <f>IFERROR(INDEX(05_Record_Benchmarks!$F:$F,MATCH(A12&amp;"|"&amp;B12,05_Record_Benchmarks!$V:$V,0)),"")</f>
        <v/>
      </c>
      <c r="D12" s="20">
        <f>IFERROR(INDEX(05_Record_Benchmarks!$E:$E,MATCH(A12&amp;"|"&amp;B12,05_Record_Benchmarks!$V:$V,0)),"")</f>
        <v/>
      </c>
      <c r="E12" s="20">
        <f>IFERROR(INDEX(05_Record_Benchmarks!$B:$B,MATCH(A12&amp;"|"&amp;B12,05_Record_Benchmarks!$V:$V,0)),"")</f>
        <v/>
      </c>
      <c r="F12" s="20">
        <f>IFERROR(INDEX(05_Record_Benchmarks!$D:$D,MATCH(A12&amp;"|"&amp;B12,05_Record_Benchmarks!$V:$V,0)),"")</f>
        <v/>
      </c>
      <c r="G12" s="20">
        <f>IFERROR(INDEX(05_Record_Benchmarks!$I:$I,MATCH(A12&amp;"|"&amp;B12,05_Record_Benchmarks!$V:$V,0)),"")</f>
        <v/>
      </c>
      <c r="H12" s="20">
        <f>IFERROR(INDEX(05_Record_Benchmarks!$P:$P,MATCH(A12&amp;"|"&amp;B12,05_Record_Benchmarks!$V:$V,0)),"")</f>
        <v/>
      </c>
      <c r="I12" s="20">
        <f>IFERROR(INDEX(05_Record_Benchmarks!$Q:$Q,MATCH(A12&amp;"|"&amp;B12,05_Record_Benchmarks!$V:$V,0)),"")</f>
        <v/>
      </c>
      <c r="J12" s="43">
        <f>IFERROR(INDEX(05_Record_Benchmarks!$S:$S,MATCH(A12&amp;"|"&amp;B12,05_Record_Benchmarks!$V:$V,0)),"")</f>
        <v/>
      </c>
      <c r="K12" s="20">
        <f>IFERROR(INDEX(05_Record_Benchmarks!$A:$A,MATCH(A12&amp;"|"&amp;B12,05_Record_Benchmarks!$V:$V,0)),"")</f>
        <v/>
      </c>
    </row>
    <row r="13" ht="15" customHeight="1" s="17">
      <c r="A13" s="20" t="inlineStr">
        <is>
          <t>Male</t>
        </is>
      </c>
      <c r="B13" s="20" t="n">
        <v>9</v>
      </c>
      <c r="C13" s="20">
        <f>IFERROR(INDEX(05_Record_Benchmarks!$F:$F,MATCH(A13&amp;"|"&amp;B13,05_Record_Benchmarks!$V:$V,0)),"")</f>
        <v/>
      </c>
      <c r="D13" s="20">
        <f>IFERROR(INDEX(05_Record_Benchmarks!$E:$E,MATCH(A13&amp;"|"&amp;B13,05_Record_Benchmarks!$V:$V,0)),"")</f>
        <v/>
      </c>
      <c r="E13" s="20">
        <f>IFERROR(INDEX(05_Record_Benchmarks!$B:$B,MATCH(A13&amp;"|"&amp;B13,05_Record_Benchmarks!$V:$V,0)),"")</f>
        <v/>
      </c>
      <c r="F13" s="20">
        <f>IFERROR(INDEX(05_Record_Benchmarks!$D:$D,MATCH(A13&amp;"|"&amp;B13,05_Record_Benchmarks!$V:$V,0)),"")</f>
        <v/>
      </c>
      <c r="G13" s="20">
        <f>IFERROR(INDEX(05_Record_Benchmarks!$I:$I,MATCH(A13&amp;"|"&amp;B13,05_Record_Benchmarks!$V:$V,0)),"")</f>
        <v/>
      </c>
      <c r="H13" s="20">
        <f>IFERROR(INDEX(05_Record_Benchmarks!$P:$P,MATCH(A13&amp;"|"&amp;B13,05_Record_Benchmarks!$V:$V,0)),"")</f>
        <v/>
      </c>
      <c r="I13" s="20">
        <f>IFERROR(INDEX(05_Record_Benchmarks!$Q:$Q,MATCH(A13&amp;"|"&amp;B13,05_Record_Benchmarks!$V:$V,0)),"")</f>
        <v/>
      </c>
      <c r="J13" s="43">
        <f>IFERROR(INDEX(05_Record_Benchmarks!$S:$S,MATCH(A13&amp;"|"&amp;B13,05_Record_Benchmarks!$V:$V,0)),"")</f>
        <v/>
      </c>
      <c r="K13" s="20">
        <f>IFERROR(INDEX(05_Record_Benchmarks!$A:$A,MATCH(A13&amp;"|"&amp;B13,05_Record_Benchmarks!$V:$V,0)),"")</f>
        <v/>
      </c>
    </row>
    <row r="14" ht="15" customHeight="1" s="17">
      <c r="A14" s="20" t="inlineStr">
        <is>
          <t>Male</t>
        </is>
      </c>
      <c r="B14" s="20" t="n">
        <v>10</v>
      </c>
      <c r="C14" s="20">
        <f>IFERROR(INDEX(05_Record_Benchmarks!$F:$F,MATCH(A14&amp;"|"&amp;B14,05_Record_Benchmarks!$V:$V,0)),"")</f>
        <v/>
      </c>
      <c r="D14" s="20">
        <f>IFERROR(INDEX(05_Record_Benchmarks!$E:$E,MATCH(A14&amp;"|"&amp;B14,05_Record_Benchmarks!$V:$V,0)),"")</f>
        <v/>
      </c>
      <c r="E14" s="20">
        <f>IFERROR(INDEX(05_Record_Benchmarks!$B:$B,MATCH(A14&amp;"|"&amp;B14,05_Record_Benchmarks!$V:$V,0)),"")</f>
        <v/>
      </c>
      <c r="F14" s="20">
        <f>IFERROR(INDEX(05_Record_Benchmarks!$D:$D,MATCH(A14&amp;"|"&amp;B14,05_Record_Benchmarks!$V:$V,0)),"")</f>
        <v/>
      </c>
      <c r="G14" s="20">
        <f>IFERROR(INDEX(05_Record_Benchmarks!$I:$I,MATCH(A14&amp;"|"&amp;B14,05_Record_Benchmarks!$V:$V,0)),"")</f>
        <v/>
      </c>
      <c r="H14" s="20">
        <f>IFERROR(INDEX(05_Record_Benchmarks!$P:$P,MATCH(A14&amp;"|"&amp;B14,05_Record_Benchmarks!$V:$V,0)),"")</f>
        <v/>
      </c>
      <c r="I14" s="20">
        <f>IFERROR(INDEX(05_Record_Benchmarks!$Q:$Q,MATCH(A14&amp;"|"&amp;B14,05_Record_Benchmarks!$V:$V,0)),"")</f>
        <v/>
      </c>
      <c r="J14" s="43">
        <f>IFERROR(INDEX(05_Record_Benchmarks!$S:$S,MATCH(A14&amp;"|"&amp;B14,05_Record_Benchmarks!$V:$V,0)),"")</f>
        <v/>
      </c>
      <c r="K14" s="20">
        <f>IFERROR(INDEX(05_Record_Benchmarks!$A:$A,MATCH(A14&amp;"|"&amp;B14,05_Record_Benchmarks!$V:$V,0)),"")</f>
        <v/>
      </c>
    </row>
    <row r="15" ht="15" customHeight="1" s="17">
      <c r="A15" s="20" t="inlineStr">
        <is>
          <t>Male</t>
        </is>
      </c>
      <c r="B15" s="20" t="n">
        <v>11</v>
      </c>
      <c r="C15" s="20">
        <f>IFERROR(INDEX(05_Record_Benchmarks!$F:$F,MATCH(A15&amp;"|"&amp;B15,05_Record_Benchmarks!$V:$V,0)),"")</f>
        <v/>
      </c>
      <c r="D15" s="20">
        <f>IFERROR(INDEX(05_Record_Benchmarks!$E:$E,MATCH(A15&amp;"|"&amp;B15,05_Record_Benchmarks!$V:$V,0)),"")</f>
        <v/>
      </c>
      <c r="E15" s="20">
        <f>IFERROR(INDEX(05_Record_Benchmarks!$B:$B,MATCH(A15&amp;"|"&amp;B15,05_Record_Benchmarks!$V:$V,0)),"")</f>
        <v/>
      </c>
      <c r="F15" s="20">
        <f>IFERROR(INDEX(05_Record_Benchmarks!$D:$D,MATCH(A15&amp;"|"&amp;B15,05_Record_Benchmarks!$V:$V,0)),"")</f>
        <v/>
      </c>
      <c r="G15" s="20">
        <f>IFERROR(INDEX(05_Record_Benchmarks!$I:$I,MATCH(A15&amp;"|"&amp;B15,05_Record_Benchmarks!$V:$V,0)),"")</f>
        <v/>
      </c>
      <c r="H15" s="20">
        <f>IFERROR(INDEX(05_Record_Benchmarks!$P:$P,MATCH(A15&amp;"|"&amp;B15,05_Record_Benchmarks!$V:$V,0)),"")</f>
        <v/>
      </c>
      <c r="I15" s="20">
        <f>IFERROR(INDEX(05_Record_Benchmarks!$Q:$Q,MATCH(A15&amp;"|"&amp;B15,05_Record_Benchmarks!$V:$V,0)),"")</f>
        <v/>
      </c>
      <c r="J15" s="43">
        <f>IFERROR(INDEX(05_Record_Benchmarks!$S:$S,MATCH(A15&amp;"|"&amp;B15,05_Record_Benchmarks!$V:$V,0)),"")</f>
        <v/>
      </c>
      <c r="K15" s="20">
        <f>IFERROR(INDEX(05_Record_Benchmarks!$A:$A,MATCH(A15&amp;"|"&amp;B15,05_Record_Benchmarks!$V:$V,0)),"")</f>
        <v/>
      </c>
    </row>
    <row r="16" ht="15" customHeight="1" s="17">
      <c r="A16" s="20" t="inlineStr">
        <is>
          <t>Male</t>
        </is>
      </c>
      <c r="B16" s="20" t="n">
        <v>12</v>
      </c>
      <c r="C16" s="20">
        <f>IFERROR(INDEX(05_Record_Benchmarks!$F:$F,MATCH(A16&amp;"|"&amp;B16,05_Record_Benchmarks!$V:$V,0)),"")</f>
        <v/>
      </c>
      <c r="D16" s="20">
        <f>IFERROR(INDEX(05_Record_Benchmarks!$E:$E,MATCH(A16&amp;"|"&amp;B16,05_Record_Benchmarks!$V:$V,0)),"")</f>
        <v/>
      </c>
      <c r="E16" s="20">
        <f>IFERROR(INDEX(05_Record_Benchmarks!$B:$B,MATCH(A16&amp;"|"&amp;B16,05_Record_Benchmarks!$V:$V,0)),"")</f>
        <v/>
      </c>
      <c r="F16" s="20">
        <f>IFERROR(INDEX(05_Record_Benchmarks!$D:$D,MATCH(A16&amp;"|"&amp;B16,05_Record_Benchmarks!$V:$V,0)),"")</f>
        <v/>
      </c>
      <c r="G16" s="20">
        <f>IFERROR(INDEX(05_Record_Benchmarks!$I:$I,MATCH(A16&amp;"|"&amp;B16,05_Record_Benchmarks!$V:$V,0)),"")</f>
        <v/>
      </c>
      <c r="H16" s="20">
        <f>IFERROR(INDEX(05_Record_Benchmarks!$P:$P,MATCH(A16&amp;"|"&amp;B16,05_Record_Benchmarks!$V:$V,0)),"")</f>
        <v/>
      </c>
      <c r="I16" s="20">
        <f>IFERROR(INDEX(05_Record_Benchmarks!$Q:$Q,MATCH(A16&amp;"|"&amp;B16,05_Record_Benchmarks!$V:$V,0)),"")</f>
        <v/>
      </c>
      <c r="J16" s="43">
        <f>IFERROR(INDEX(05_Record_Benchmarks!$S:$S,MATCH(A16&amp;"|"&amp;B16,05_Record_Benchmarks!$V:$V,0)),"")</f>
        <v/>
      </c>
      <c r="K16" s="20">
        <f>IFERROR(INDEX(05_Record_Benchmarks!$A:$A,MATCH(A16&amp;"|"&amp;B16,05_Record_Benchmarks!$V:$V,0)),"")</f>
        <v/>
      </c>
    </row>
    <row r="17" ht="15" customHeight="1" s="17">
      <c r="A17" s="20" t="inlineStr">
        <is>
          <t>Male</t>
        </is>
      </c>
      <c r="B17" s="20" t="n">
        <v>13</v>
      </c>
      <c r="C17" s="20">
        <f>IFERROR(INDEX(05_Record_Benchmarks!$F:$F,MATCH(A17&amp;"|"&amp;B17,05_Record_Benchmarks!$V:$V,0)),"")</f>
        <v/>
      </c>
      <c r="D17" s="20">
        <f>IFERROR(INDEX(05_Record_Benchmarks!$E:$E,MATCH(A17&amp;"|"&amp;B17,05_Record_Benchmarks!$V:$V,0)),"")</f>
        <v/>
      </c>
      <c r="E17" s="20">
        <f>IFERROR(INDEX(05_Record_Benchmarks!$B:$B,MATCH(A17&amp;"|"&amp;B17,05_Record_Benchmarks!$V:$V,0)),"")</f>
        <v/>
      </c>
      <c r="F17" s="20">
        <f>IFERROR(INDEX(05_Record_Benchmarks!$D:$D,MATCH(A17&amp;"|"&amp;B17,05_Record_Benchmarks!$V:$V,0)),"")</f>
        <v/>
      </c>
      <c r="G17" s="20">
        <f>IFERROR(INDEX(05_Record_Benchmarks!$I:$I,MATCH(A17&amp;"|"&amp;B17,05_Record_Benchmarks!$V:$V,0)),"")</f>
        <v/>
      </c>
      <c r="H17" s="20">
        <f>IFERROR(INDEX(05_Record_Benchmarks!$P:$P,MATCH(A17&amp;"|"&amp;B17,05_Record_Benchmarks!$V:$V,0)),"")</f>
        <v/>
      </c>
      <c r="I17" s="20">
        <f>IFERROR(INDEX(05_Record_Benchmarks!$Q:$Q,MATCH(A17&amp;"|"&amp;B17,05_Record_Benchmarks!$V:$V,0)),"")</f>
        <v/>
      </c>
      <c r="J17" s="43">
        <f>IFERROR(INDEX(05_Record_Benchmarks!$S:$S,MATCH(A17&amp;"|"&amp;B17,05_Record_Benchmarks!$V:$V,0)),"")</f>
        <v/>
      </c>
      <c r="K17" s="20">
        <f>IFERROR(INDEX(05_Record_Benchmarks!$A:$A,MATCH(A17&amp;"|"&amp;B17,05_Record_Benchmarks!$V:$V,0)),"")</f>
        <v/>
      </c>
    </row>
    <row r="18" ht="15" customHeight="1" s="17">
      <c r="A18" s="20" t="inlineStr">
        <is>
          <t>Male</t>
        </is>
      </c>
      <c r="B18" s="20" t="n">
        <v>14</v>
      </c>
      <c r="C18" s="20">
        <f>IFERROR(INDEX(05_Record_Benchmarks!$F:$F,MATCH(A18&amp;"|"&amp;B18,05_Record_Benchmarks!$V:$V,0)),"")</f>
        <v/>
      </c>
      <c r="D18" s="20">
        <f>IFERROR(INDEX(05_Record_Benchmarks!$E:$E,MATCH(A18&amp;"|"&amp;B18,05_Record_Benchmarks!$V:$V,0)),"")</f>
        <v/>
      </c>
      <c r="E18" s="20">
        <f>IFERROR(INDEX(05_Record_Benchmarks!$B:$B,MATCH(A18&amp;"|"&amp;B18,05_Record_Benchmarks!$V:$V,0)),"")</f>
        <v/>
      </c>
      <c r="F18" s="20">
        <f>IFERROR(INDEX(05_Record_Benchmarks!$D:$D,MATCH(A18&amp;"|"&amp;B18,05_Record_Benchmarks!$V:$V,0)),"")</f>
        <v/>
      </c>
      <c r="G18" s="20">
        <f>IFERROR(INDEX(05_Record_Benchmarks!$I:$I,MATCH(A18&amp;"|"&amp;B18,05_Record_Benchmarks!$V:$V,0)),"")</f>
        <v/>
      </c>
      <c r="H18" s="20">
        <f>IFERROR(INDEX(05_Record_Benchmarks!$P:$P,MATCH(A18&amp;"|"&amp;B18,05_Record_Benchmarks!$V:$V,0)),"")</f>
        <v/>
      </c>
      <c r="I18" s="20">
        <f>IFERROR(INDEX(05_Record_Benchmarks!$Q:$Q,MATCH(A18&amp;"|"&amp;B18,05_Record_Benchmarks!$V:$V,0)),"")</f>
        <v/>
      </c>
      <c r="J18" s="43">
        <f>IFERROR(INDEX(05_Record_Benchmarks!$S:$S,MATCH(A18&amp;"|"&amp;B18,05_Record_Benchmarks!$V:$V,0)),"")</f>
        <v/>
      </c>
      <c r="K18" s="20">
        <f>IFERROR(INDEX(05_Record_Benchmarks!$A:$A,MATCH(A18&amp;"|"&amp;B18,05_Record_Benchmarks!$V:$V,0)),"")</f>
        <v/>
      </c>
    </row>
    <row r="19" ht="15" customHeight="1" s="17">
      <c r="A19" s="20" t="inlineStr">
        <is>
          <t>Male</t>
        </is>
      </c>
      <c r="B19" s="20" t="n">
        <v>15</v>
      </c>
      <c r="C19" s="20">
        <f>IFERROR(INDEX(05_Record_Benchmarks!$F:$F,MATCH(A19&amp;"|"&amp;B19,05_Record_Benchmarks!$V:$V,0)),"")</f>
        <v/>
      </c>
      <c r="D19" s="20">
        <f>IFERROR(INDEX(05_Record_Benchmarks!$E:$E,MATCH(A19&amp;"|"&amp;B19,05_Record_Benchmarks!$V:$V,0)),"")</f>
        <v/>
      </c>
      <c r="E19" s="20">
        <f>IFERROR(INDEX(05_Record_Benchmarks!$B:$B,MATCH(A19&amp;"|"&amp;B19,05_Record_Benchmarks!$V:$V,0)),"")</f>
        <v/>
      </c>
      <c r="F19" s="20">
        <f>IFERROR(INDEX(05_Record_Benchmarks!$D:$D,MATCH(A19&amp;"|"&amp;B19,05_Record_Benchmarks!$V:$V,0)),"")</f>
        <v/>
      </c>
      <c r="G19" s="20">
        <f>IFERROR(INDEX(05_Record_Benchmarks!$I:$I,MATCH(A19&amp;"|"&amp;B19,05_Record_Benchmarks!$V:$V,0)),"")</f>
        <v/>
      </c>
      <c r="H19" s="20">
        <f>IFERROR(INDEX(05_Record_Benchmarks!$P:$P,MATCH(A19&amp;"|"&amp;B19,05_Record_Benchmarks!$V:$V,0)),"")</f>
        <v/>
      </c>
      <c r="I19" s="20">
        <f>IFERROR(INDEX(05_Record_Benchmarks!$Q:$Q,MATCH(A19&amp;"|"&amp;B19,05_Record_Benchmarks!$V:$V,0)),"")</f>
        <v/>
      </c>
      <c r="J19" s="43">
        <f>IFERROR(INDEX(05_Record_Benchmarks!$S:$S,MATCH(A19&amp;"|"&amp;B19,05_Record_Benchmarks!$V:$V,0)),"")</f>
        <v/>
      </c>
      <c r="K19" s="20">
        <f>IFERROR(INDEX(05_Record_Benchmarks!$A:$A,MATCH(A19&amp;"|"&amp;B19,05_Record_Benchmarks!$V:$V,0)),"")</f>
        <v/>
      </c>
    </row>
    <row r="20" ht="15" customHeight="1" s="17">
      <c r="A20" s="20" t="inlineStr">
        <is>
          <t>Male</t>
        </is>
      </c>
      <c r="B20" s="20" t="n">
        <v>16</v>
      </c>
      <c r="C20" s="20">
        <f>IFERROR(INDEX(05_Record_Benchmarks!$F:$F,MATCH(A20&amp;"|"&amp;B20,05_Record_Benchmarks!$V:$V,0)),"")</f>
        <v/>
      </c>
      <c r="D20" s="20">
        <f>IFERROR(INDEX(05_Record_Benchmarks!$E:$E,MATCH(A20&amp;"|"&amp;B20,05_Record_Benchmarks!$V:$V,0)),"")</f>
        <v/>
      </c>
      <c r="E20" s="20">
        <f>IFERROR(INDEX(05_Record_Benchmarks!$B:$B,MATCH(A20&amp;"|"&amp;B20,05_Record_Benchmarks!$V:$V,0)),"")</f>
        <v/>
      </c>
      <c r="F20" s="20">
        <f>IFERROR(INDEX(05_Record_Benchmarks!$D:$D,MATCH(A20&amp;"|"&amp;B20,05_Record_Benchmarks!$V:$V,0)),"")</f>
        <v/>
      </c>
      <c r="G20" s="20">
        <f>IFERROR(INDEX(05_Record_Benchmarks!$I:$I,MATCH(A20&amp;"|"&amp;B20,05_Record_Benchmarks!$V:$V,0)),"")</f>
        <v/>
      </c>
      <c r="H20" s="20">
        <f>IFERROR(INDEX(05_Record_Benchmarks!$P:$P,MATCH(A20&amp;"|"&amp;B20,05_Record_Benchmarks!$V:$V,0)),"")</f>
        <v/>
      </c>
      <c r="I20" s="20">
        <f>IFERROR(INDEX(05_Record_Benchmarks!$Q:$Q,MATCH(A20&amp;"|"&amp;B20,05_Record_Benchmarks!$V:$V,0)),"")</f>
        <v/>
      </c>
      <c r="J20" s="43">
        <f>IFERROR(INDEX(05_Record_Benchmarks!$S:$S,MATCH(A20&amp;"|"&amp;B20,05_Record_Benchmarks!$V:$V,0)),"")</f>
        <v/>
      </c>
      <c r="K20" s="20">
        <f>IFERROR(INDEX(05_Record_Benchmarks!$A:$A,MATCH(A20&amp;"|"&amp;B20,05_Record_Benchmarks!$V:$V,0)),"")</f>
        <v/>
      </c>
    </row>
    <row r="21" ht="15" customHeight="1" s="17">
      <c r="A21" s="20" t="inlineStr">
        <is>
          <t>Male</t>
        </is>
      </c>
      <c r="B21" s="20" t="n">
        <v>17</v>
      </c>
      <c r="C21" s="20">
        <f>IFERROR(INDEX(05_Record_Benchmarks!$F:$F,MATCH(A21&amp;"|"&amp;B21,05_Record_Benchmarks!$V:$V,0)),"")</f>
        <v/>
      </c>
      <c r="D21" s="20">
        <f>IFERROR(INDEX(05_Record_Benchmarks!$E:$E,MATCH(A21&amp;"|"&amp;B21,05_Record_Benchmarks!$V:$V,0)),"")</f>
        <v/>
      </c>
      <c r="E21" s="20">
        <f>IFERROR(INDEX(05_Record_Benchmarks!$B:$B,MATCH(A21&amp;"|"&amp;B21,05_Record_Benchmarks!$V:$V,0)),"")</f>
        <v/>
      </c>
      <c r="F21" s="20">
        <f>IFERROR(INDEX(05_Record_Benchmarks!$D:$D,MATCH(A21&amp;"|"&amp;B21,05_Record_Benchmarks!$V:$V,0)),"")</f>
        <v/>
      </c>
      <c r="G21" s="20">
        <f>IFERROR(INDEX(05_Record_Benchmarks!$I:$I,MATCH(A21&amp;"|"&amp;B21,05_Record_Benchmarks!$V:$V,0)),"")</f>
        <v/>
      </c>
      <c r="H21" s="20">
        <f>IFERROR(INDEX(05_Record_Benchmarks!$P:$P,MATCH(A21&amp;"|"&amp;B21,05_Record_Benchmarks!$V:$V,0)),"")</f>
        <v/>
      </c>
      <c r="I21" s="20">
        <f>IFERROR(INDEX(05_Record_Benchmarks!$Q:$Q,MATCH(A21&amp;"|"&amp;B21,05_Record_Benchmarks!$V:$V,0)),"")</f>
        <v/>
      </c>
      <c r="J21" s="43">
        <f>IFERROR(INDEX(05_Record_Benchmarks!$S:$S,MATCH(A21&amp;"|"&amp;B21,05_Record_Benchmarks!$V:$V,0)),"")</f>
        <v/>
      </c>
      <c r="K21" s="20">
        <f>IFERROR(INDEX(05_Record_Benchmarks!$A:$A,MATCH(A21&amp;"|"&amp;B21,05_Record_Benchmarks!$V:$V,0)),"")</f>
        <v/>
      </c>
    </row>
    <row r="22" ht="15" customHeight="1" s="17">
      <c r="A22" s="20" t="inlineStr">
        <is>
          <t>Male</t>
        </is>
      </c>
      <c r="B22" s="20" t="n">
        <v>18</v>
      </c>
      <c r="C22" s="20">
        <f>IFERROR(INDEX(05_Record_Benchmarks!$F:$F,MATCH(A22&amp;"|"&amp;B22,05_Record_Benchmarks!$V:$V,0)),"")</f>
        <v/>
      </c>
      <c r="D22" s="20">
        <f>IFERROR(INDEX(05_Record_Benchmarks!$E:$E,MATCH(A22&amp;"|"&amp;B22,05_Record_Benchmarks!$V:$V,0)),"")</f>
        <v/>
      </c>
      <c r="E22" s="20">
        <f>IFERROR(INDEX(05_Record_Benchmarks!$B:$B,MATCH(A22&amp;"|"&amp;B22,05_Record_Benchmarks!$V:$V,0)),"")</f>
        <v/>
      </c>
      <c r="F22" s="20">
        <f>IFERROR(INDEX(05_Record_Benchmarks!$D:$D,MATCH(A22&amp;"|"&amp;B22,05_Record_Benchmarks!$V:$V,0)),"")</f>
        <v/>
      </c>
      <c r="G22" s="20">
        <f>IFERROR(INDEX(05_Record_Benchmarks!$I:$I,MATCH(A22&amp;"|"&amp;B22,05_Record_Benchmarks!$V:$V,0)),"")</f>
        <v/>
      </c>
      <c r="H22" s="20">
        <f>IFERROR(INDEX(05_Record_Benchmarks!$P:$P,MATCH(A22&amp;"|"&amp;B22,05_Record_Benchmarks!$V:$V,0)),"")</f>
        <v/>
      </c>
      <c r="I22" s="20">
        <f>IFERROR(INDEX(05_Record_Benchmarks!$Q:$Q,MATCH(A22&amp;"|"&amp;B22,05_Record_Benchmarks!$V:$V,0)),"")</f>
        <v/>
      </c>
      <c r="J22" s="43">
        <f>IFERROR(INDEX(05_Record_Benchmarks!$S:$S,MATCH(A22&amp;"|"&amp;B22,05_Record_Benchmarks!$V:$V,0)),"")</f>
        <v/>
      </c>
      <c r="K22" s="20">
        <f>IFERROR(INDEX(05_Record_Benchmarks!$A:$A,MATCH(A22&amp;"|"&amp;B22,05_Record_Benchmarks!$V:$V,0)),"")</f>
        <v/>
      </c>
    </row>
    <row r="23" ht="15" customHeight="1" s="17">
      <c r="A23" s="20" t="inlineStr">
        <is>
          <t>Male</t>
        </is>
      </c>
      <c r="B23" s="20" t="n">
        <v>19</v>
      </c>
      <c r="C23" s="20">
        <f>IFERROR(INDEX(05_Record_Benchmarks!$F:$F,MATCH(A23&amp;"|"&amp;B23,05_Record_Benchmarks!$V:$V,0)),"")</f>
        <v/>
      </c>
      <c r="D23" s="20">
        <f>IFERROR(INDEX(05_Record_Benchmarks!$E:$E,MATCH(A23&amp;"|"&amp;B23,05_Record_Benchmarks!$V:$V,0)),"")</f>
        <v/>
      </c>
      <c r="E23" s="20">
        <f>IFERROR(INDEX(05_Record_Benchmarks!$B:$B,MATCH(A23&amp;"|"&amp;B23,05_Record_Benchmarks!$V:$V,0)),"")</f>
        <v/>
      </c>
      <c r="F23" s="20">
        <f>IFERROR(INDEX(05_Record_Benchmarks!$D:$D,MATCH(A23&amp;"|"&amp;B23,05_Record_Benchmarks!$V:$V,0)),"")</f>
        <v/>
      </c>
      <c r="G23" s="20">
        <f>IFERROR(INDEX(05_Record_Benchmarks!$I:$I,MATCH(A23&amp;"|"&amp;B23,05_Record_Benchmarks!$V:$V,0)),"")</f>
        <v/>
      </c>
      <c r="H23" s="20">
        <f>IFERROR(INDEX(05_Record_Benchmarks!$P:$P,MATCH(A23&amp;"|"&amp;B23,05_Record_Benchmarks!$V:$V,0)),"")</f>
        <v/>
      </c>
      <c r="I23" s="20">
        <f>IFERROR(INDEX(05_Record_Benchmarks!$Q:$Q,MATCH(A23&amp;"|"&amp;B23,05_Record_Benchmarks!$V:$V,0)),"")</f>
        <v/>
      </c>
      <c r="J23" s="43">
        <f>IFERROR(INDEX(05_Record_Benchmarks!$S:$S,MATCH(A23&amp;"|"&amp;B23,05_Record_Benchmarks!$V:$V,0)),"")</f>
        <v/>
      </c>
      <c r="K23" s="20">
        <f>IFERROR(INDEX(05_Record_Benchmarks!$A:$A,MATCH(A23&amp;"|"&amp;B23,05_Record_Benchmarks!$V:$V,0)),"")</f>
        <v/>
      </c>
    </row>
    <row r="24" ht="15" customHeight="1" s="17">
      <c r="A24" s="20" t="inlineStr">
        <is>
          <t>Male</t>
        </is>
      </c>
      <c r="B24" s="20" t="n">
        <v>20</v>
      </c>
      <c r="C24" s="20">
        <f>IFERROR(INDEX(05_Record_Benchmarks!$F:$F,MATCH(A24&amp;"|"&amp;B24,05_Record_Benchmarks!$V:$V,0)),"")</f>
        <v/>
      </c>
      <c r="D24" s="20">
        <f>IFERROR(INDEX(05_Record_Benchmarks!$E:$E,MATCH(A24&amp;"|"&amp;B24,05_Record_Benchmarks!$V:$V,0)),"")</f>
        <v/>
      </c>
      <c r="E24" s="20">
        <f>IFERROR(INDEX(05_Record_Benchmarks!$B:$B,MATCH(A24&amp;"|"&amp;B24,05_Record_Benchmarks!$V:$V,0)),"")</f>
        <v/>
      </c>
      <c r="F24" s="20">
        <f>IFERROR(INDEX(05_Record_Benchmarks!$D:$D,MATCH(A24&amp;"|"&amp;B24,05_Record_Benchmarks!$V:$V,0)),"")</f>
        <v/>
      </c>
      <c r="G24" s="20">
        <f>IFERROR(INDEX(05_Record_Benchmarks!$I:$I,MATCH(A24&amp;"|"&amp;B24,05_Record_Benchmarks!$V:$V,0)),"")</f>
        <v/>
      </c>
      <c r="H24" s="20">
        <f>IFERROR(INDEX(05_Record_Benchmarks!$P:$P,MATCH(A24&amp;"|"&amp;B24,05_Record_Benchmarks!$V:$V,0)),"")</f>
        <v/>
      </c>
      <c r="I24" s="20">
        <f>IFERROR(INDEX(05_Record_Benchmarks!$Q:$Q,MATCH(A24&amp;"|"&amp;B24,05_Record_Benchmarks!$V:$V,0)),"")</f>
        <v/>
      </c>
      <c r="J24" s="43">
        <f>IFERROR(INDEX(05_Record_Benchmarks!$S:$S,MATCH(A24&amp;"|"&amp;B24,05_Record_Benchmarks!$V:$V,0)),"")</f>
        <v/>
      </c>
      <c r="K24" s="20">
        <f>IFERROR(INDEX(05_Record_Benchmarks!$A:$A,MATCH(A24&amp;"|"&amp;B24,05_Record_Benchmarks!$V:$V,0)),"")</f>
        <v/>
      </c>
    </row>
    <row r="25" ht="15" customHeight="1" s="17">
      <c r="A25" s="20" t="inlineStr">
        <is>
          <t>Female</t>
        </is>
      </c>
      <c r="B25" s="20" t="n">
        <v>1</v>
      </c>
      <c r="C25" s="20">
        <f>IFERROR(INDEX(05_Record_Benchmarks!$F:$F,MATCH(A25&amp;"|"&amp;B25,05_Record_Benchmarks!$V:$V,0)),"")</f>
        <v/>
      </c>
      <c r="D25" s="20">
        <f>IFERROR(INDEX(05_Record_Benchmarks!$E:$E,MATCH(A25&amp;"|"&amp;B25,05_Record_Benchmarks!$V:$V,0)),"")</f>
        <v/>
      </c>
      <c r="E25" s="20">
        <f>IFERROR(INDEX(05_Record_Benchmarks!$B:$B,MATCH(A25&amp;"|"&amp;B25,05_Record_Benchmarks!$V:$V,0)),"")</f>
        <v/>
      </c>
      <c r="F25" s="20">
        <f>IFERROR(INDEX(05_Record_Benchmarks!$D:$D,MATCH(A25&amp;"|"&amp;B25,05_Record_Benchmarks!$V:$V,0)),"")</f>
        <v/>
      </c>
      <c r="G25" s="20">
        <f>IFERROR(INDEX(05_Record_Benchmarks!$I:$I,MATCH(A25&amp;"|"&amp;B25,05_Record_Benchmarks!$V:$V,0)),"")</f>
        <v/>
      </c>
      <c r="H25" s="20">
        <f>IFERROR(INDEX(05_Record_Benchmarks!$P:$P,MATCH(A25&amp;"|"&amp;B25,05_Record_Benchmarks!$V:$V,0)),"")</f>
        <v/>
      </c>
      <c r="I25" s="20">
        <f>IFERROR(INDEX(05_Record_Benchmarks!$Q:$Q,MATCH(A25&amp;"|"&amp;B25,05_Record_Benchmarks!$V:$V,0)),"")</f>
        <v/>
      </c>
      <c r="J25" s="43">
        <f>IFERROR(INDEX(05_Record_Benchmarks!$S:$S,MATCH(A25&amp;"|"&amp;B25,05_Record_Benchmarks!$V:$V,0)),"")</f>
        <v/>
      </c>
      <c r="K25" s="20">
        <f>IFERROR(INDEX(05_Record_Benchmarks!$A:$A,MATCH(A25&amp;"|"&amp;B25,05_Record_Benchmarks!$V:$V,0)),"")</f>
        <v/>
      </c>
    </row>
    <row r="26" ht="15" customHeight="1" s="17">
      <c r="A26" s="20" t="inlineStr">
        <is>
          <t>Female</t>
        </is>
      </c>
      <c r="B26" s="20" t="n">
        <v>2</v>
      </c>
      <c r="C26" s="20">
        <f>IFERROR(INDEX(05_Record_Benchmarks!$F:$F,MATCH(A26&amp;"|"&amp;B26,05_Record_Benchmarks!$V:$V,0)),"")</f>
        <v/>
      </c>
      <c r="D26" s="20">
        <f>IFERROR(INDEX(05_Record_Benchmarks!$E:$E,MATCH(A26&amp;"|"&amp;B26,05_Record_Benchmarks!$V:$V,0)),"")</f>
        <v/>
      </c>
      <c r="E26" s="20">
        <f>IFERROR(INDEX(05_Record_Benchmarks!$B:$B,MATCH(A26&amp;"|"&amp;B26,05_Record_Benchmarks!$V:$V,0)),"")</f>
        <v/>
      </c>
      <c r="F26" s="20">
        <f>IFERROR(INDEX(05_Record_Benchmarks!$D:$D,MATCH(A26&amp;"|"&amp;B26,05_Record_Benchmarks!$V:$V,0)),"")</f>
        <v/>
      </c>
      <c r="G26" s="20">
        <f>IFERROR(INDEX(05_Record_Benchmarks!$I:$I,MATCH(A26&amp;"|"&amp;B26,05_Record_Benchmarks!$V:$V,0)),"")</f>
        <v/>
      </c>
      <c r="H26" s="20">
        <f>IFERROR(INDEX(05_Record_Benchmarks!$P:$P,MATCH(A26&amp;"|"&amp;B26,05_Record_Benchmarks!$V:$V,0)),"")</f>
        <v/>
      </c>
      <c r="I26" s="20">
        <f>IFERROR(INDEX(05_Record_Benchmarks!$Q:$Q,MATCH(A26&amp;"|"&amp;B26,05_Record_Benchmarks!$V:$V,0)),"")</f>
        <v/>
      </c>
      <c r="J26" s="43">
        <f>IFERROR(INDEX(05_Record_Benchmarks!$S:$S,MATCH(A26&amp;"|"&amp;B26,05_Record_Benchmarks!$V:$V,0)),"")</f>
        <v/>
      </c>
      <c r="K26" s="20">
        <f>IFERROR(INDEX(05_Record_Benchmarks!$A:$A,MATCH(A26&amp;"|"&amp;B26,05_Record_Benchmarks!$V:$V,0)),"")</f>
        <v/>
      </c>
    </row>
    <row r="27" ht="15" customHeight="1" s="17">
      <c r="A27" s="20" t="inlineStr">
        <is>
          <t>Female</t>
        </is>
      </c>
      <c r="B27" s="20" t="n">
        <v>3</v>
      </c>
      <c r="C27" s="20">
        <f>IFERROR(INDEX(05_Record_Benchmarks!$F:$F,MATCH(A27&amp;"|"&amp;B27,05_Record_Benchmarks!$V:$V,0)),"")</f>
        <v/>
      </c>
      <c r="D27" s="20">
        <f>IFERROR(INDEX(05_Record_Benchmarks!$E:$E,MATCH(A27&amp;"|"&amp;B27,05_Record_Benchmarks!$V:$V,0)),"")</f>
        <v/>
      </c>
      <c r="E27" s="20">
        <f>IFERROR(INDEX(05_Record_Benchmarks!$B:$B,MATCH(A27&amp;"|"&amp;B27,05_Record_Benchmarks!$V:$V,0)),"")</f>
        <v/>
      </c>
      <c r="F27" s="20">
        <f>IFERROR(INDEX(05_Record_Benchmarks!$D:$D,MATCH(A27&amp;"|"&amp;B27,05_Record_Benchmarks!$V:$V,0)),"")</f>
        <v/>
      </c>
      <c r="G27" s="20">
        <f>IFERROR(INDEX(05_Record_Benchmarks!$I:$I,MATCH(A27&amp;"|"&amp;B27,05_Record_Benchmarks!$V:$V,0)),"")</f>
        <v/>
      </c>
      <c r="H27" s="20">
        <f>IFERROR(INDEX(05_Record_Benchmarks!$P:$P,MATCH(A27&amp;"|"&amp;B27,05_Record_Benchmarks!$V:$V,0)),"")</f>
        <v/>
      </c>
      <c r="I27" s="20">
        <f>IFERROR(INDEX(05_Record_Benchmarks!$Q:$Q,MATCH(A27&amp;"|"&amp;B27,05_Record_Benchmarks!$V:$V,0)),"")</f>
        <v/>
      </c>
      <c r="J27" s="43">
        <f>IFERROR(INDEX(05_Record_Benchmarks!$S:$S,MATCH(A27&amp;"|"&amp;B27,05_Record_Benchmarks!$V:$V,0)),"")</f>
        <v/>
      </c>
      <c r="K27" s="20">
        <f>IFERROR(INDEX(05_Record_Benchmarks!$A:$A,MATCH(A27&amp;"|"&amp;B27,05_Record_Benchmarks!$V:$V,0)),"")</f>
        <v/>
      </c>
    </row>
    <row r="28" ht="15" customHeight="1" s="17">
      <c r="A28" s="20" t="inlineStr">
        <is>
          <t>Female</t>
        </is>
      </c>
      <c r="B28" s="20" t="n">
        <v>4</v>
      </c>
      <c r="C28" s="20">
        <f>IFERROR(INDEX(05_Record_Benchmarks!$F:$F,MATCH(A28&amp;"|"&amp;B28,05_Record_Benchmarks!$V:$V,0)),"")</f>
        <v/>
      </c>
      <c r="D28" s="20">
        <f>IFERROR(INDEX(05_Record_Benchmarks!$E:$E,MATCH(A28&amp;"|"&amp;B28,05_Record_Benchmarks!$V:$V,0)),"")</f>
        <v/>
      </c>
      <c r="E28" s="20">
        <f>IFERROR(INDEX(05_Record_Benchmarks!$B:$B,MATCH(A28&amp;"|"&amp;B28,05_Record_Benchmarks!$V:$V,0)),"")</f>
        <v/>
      </c>
      <c r="F28" s="20">
        <f>IFERROR(INDEX(05_Record_Benchmarks!$D:$D,MATCH(A28&amp;"|"&amp;B28,05_Record_Benchmarks!$V:$V,0)),"")</f>
        <v/>
      </c>
      <c r="G28" s="20">
        <f>IFERROR(INDEX(05_Record_Benchmarks!$I:$I,MATCH(A28&amp;"|"&amp;B28,05_Record_Benchmarks!$V:$V,0)),"")</f>
        <v/>
      </c>
      <c r="H28" s="20">
        <f>IFERROR(INDEX(05_Record_Benchmarks!$P:$P,MATCH(A28&amp;"|"&amp;B28,05_Record_Benchmarks!$V:$V,0)),"")</f>
        <v/>
      </c>
      <c r="I28" s="20">
        <f>IFERROR(INDEX(05_Record_Benchmarks!$Q:$Q,MATCH(A28&amp;"|"&amp;B28,05_Record_Benchmarks!$V:$V,0)),"")</f>
        <v/>
      </c>
      <c r="J28" s="43">
        <f>IFERROR(INDEX(05_Record_Benchmarks!$S:$S,MATCH(A28&amp;"|"&amp;B28,05_Record_Benchmarks!$V:$V,0)),"")</f>
        <v/>
      </c>
      <c r="K28" s="20">
        <f>IFERROR(INDEX(05_Record_Benchmarks!$A:$A,MATCH(A28&amp;"|"&amp;B28,05_Record_Benchmarks!$V:$V,0)),"")</f>
        <v/>
      </c>
    </row>
    <row r="29" ht="15" customHeight="1" s="17">
      <c r="A29" s="20" t="inlineStr">
        <is>
          <t>Female</t>
        </is>
      </c>
      <c r="B29" s="20" t="n">
        <v>5</v>
      </c>
      <c r="C29" s="20">
        <f>IFERROR(INDEX(05_Record_Benchmarks!$F:$F,MATCH(A29&amp;"|"&amp;B29,05_Record_Benchmarks!$V:$V,0)),"")</f>
        <v/>
      </c>
      <c r="D29" s="20">
        <f>IFERROR(INDEX(05_Record_Benchmarks!$E:$E,MATCH(A29&amp;"|"&amp;B29,05_Record_Benchmarks!$V:$V,0)),"")</f>
        <v/>
      </c>
      <c r="E29" s="20">
        <f>IFERROR(INDEX(05_Record_Benchmarks!$B:$B,MATCH(A29&amp;"|"&amp;B29,05_Record_Benchmarks!$V:$V,0)),"")</f>
        <v/>
      </c>
      <c r="F29" s="20">
        <f>IFERROR(INDEX(05_Record_Benchmarks!$D:$D,MATCH(A29&amp;"|"&amp;B29,05_Record_Benchmarks!$V:$V,0)),"")</f>
        <v/>
      </c>
      <c r="G29" s="20">
        <f>IFERROR(INDEX(05_Record_Benchmarks!$I:$I,MATCH(A29&amp;"|"&amp;B29,05_Record_Benchmarks!$V:$V,0)),"")</f>
        <v/>
      </c>
      <c r="H29" s="20">
        <f>IFERROR(INDEX(05_Record_Benchmarks!$P:$P,MATCH(A29&amp;"|"&amp;B29,05_Record_Benchmarks!$V:$V,0)),"")</f>
        <v/>
      </c>
      <c r="I29" s="20">
        <f>IFERROR(INDEX(05_Record_Benchmarks!$Q:$Q,MATCH(A29&amp;"|"&amp;B29,05_Record_Benchmarks!$V:$V,0)),"")</f>
        <v/>
      </c>
      <c r="J29" s="43">
        <f>IFERROR(INDEX(05_Record_Benchmarks!$S:$S,MATCH(A29&amp;"|"&amp;B29,05_Record_Benchmarks!$V:$V,0)),"")</f>
        <v/>
      </c>
      <c r="K29" s="20">
        <f>IFERROR(INDEX(05_Record_Benchmarks!$A:$A,MATCH(A29&amp;"|"&amp;B29,05_Record_Benchmarks!$V:$V,0)),"")</f>
        <v/>
      </c>
    </row>
    <row r="30" ht="15" customHeight="1" s="17">
      <c r="A30" s="20" t="inlineStr">
        <is>
          <t>Female</t>
        </is>
      </c>
      <c r="B30" s="20" t="n">
        <v>6</v>
      </c>
      <c r="C30" s="20">
        <f>IFERROR(INDEX(05_Record_Benchmarks!$F:$F,MATCH(A30&amp;"|"&amp;B30,05_Record_Benchmarks!$V:$V,0)),"")</f>
        <v/>
      </c>
      <c r="D30" s="20">
        <f>IFERROR(INDEX(05_Record_Benchmarks!$E:$E,MATCH(A30&amp;"|"&amp;B30,05_Record_Benchmarks!$V:$V,0)),"")</f>
        <v/>
      </c>
      <c r="E30" s="20">
        <f>IFERROR(INDEX(05_Record_Benchmarks!$B:$B,MATCH(A30&amp;"|"&amp;B30,05_Record_Benchmarks!$V:$V,0)),"")</f>
        <v/>
      </c>
      <c r="F30" s="20">
        <f>IFERROR(INDEX(05_Record_Benchmarks!$D:$D,MATCH(A30&amp;"|"&amp;B30,05_Record_Benchmarks!$V:$V,0)),"")</f>
        <v/>
      </c>
      <c r="G30" s="20">
        <f>IFERROR(INDEX(05_Record_Benchmarks!$I:$I,MATCH(A30&amp;"|"&amp;B30,05_Record_Benchmarks!$V:$V,0)),"")</f>
        <v/>
      </c>
      <c r="H30" s="20">
        <f>IFERROR(INDEX(05_Record_Benchmarks!$P:$P,MATCH(A30&amp;"|"&amp;B30,05_Record_Benchmarks!$V:$V,0)),"")</f>
        <v/>
      </c>
      <c r="I30" s="20">
        <f>IFERROR(INDEX(05_Record_Benchmarks!$Q:$Q,MATCH(A30&amp;"|"&amp;B30,05_Record_Benchmarks!$V:$V,0)),"")</f>
        <v/>
      </c>
      <c r="J30" s="43">
        <f>IFERROR(INDEX(05_Record_Benchmarks!$S:$S,MATCH(A30&amp;"|"&amp;B30,05_Record_Benchmarks!$V:$V,0)),"")</f>
        <v/>
      </c>
      <c r="K30" s="20">
        <f>IFERROR(INDEX(05_Record_Benchmarks!$A:$A,MATCH(A30&amp;"|"&amp;B30,05_Record_Benchmarks!$V:$V,0)),"")</f>
        <v/>
      </c>
    </row>
    <row r="31" ht="15" customHeight="1" s="17">
      <c r="A31" s="20" t="inlineStr">
        <is>
          <t>Female</t>
        </is>
      </c>
      <c r="B31" s="20" t="n">
        <v>7</v>
      </c>
      <c r="C31" s="20">
        <f>IFERROR(INDEX(05_Record_Benchmarks!$F:$F,MATCH(A31&amp;"|"&amp;B31,05_Record_Benchmarks!$V:$V,0)),"")</f>
        <v/>
      </c>
      <c r="D31" s="20">
        <f>IFERROR(INDEX(05_Record_Benchmarks!$E:$E,MATCH(A31&amp;"|"&amp;B31,05_Record_Benchmarks!$V:$V,0)),"")</f>
        <v/>
      </c>
      <c r="E31" s="20">
        <f>IFERROR(INDEX(05_Record_Benchmarks!$B:$B,MATCH(A31&amp;"|"&amp;B31,05_Record_Benchmarks!$V:$V,0)),"")</f>
        <v/>
      </c>
      <c r="F31" s="20">
        <f>IFERROR(INDEX(05_Record_Benchmarks!$D:$D,MATCH(A31&amp;"|"&amp;B31,05_Record_Benchmarks!$V:$V,0)),"")</f>
        <v/>
      </c>
      <c r="G31" s="20">
        <f>IFERROR(INDEX(05_Record_Benchmarks!$I:$I,MATCH(A31&amp;"|"&amp;B31,05_Record_Benchmarks!$V:$V,0)),"")</f>
        <v/>
      </c>
      <c r="H31" s="20">
        <f>IFERROR(INDEX(05_Record_Benchmarks!$P:$P,MATCH(A31&amp;"|"&amp;B31,05_Record_Benchmarks!$V:$V,0)),"")</f>
        <v/>
      </c>
      <c r="I31" s="20">
        <f>IFERROR(INDEX(05_Record_Benchmarks!$Q:$Q,MATCH(A31&amp;"|"&amp;B31,05_Record_Benchmarks!$V:$V,0)),"")</f>
        <v/>
      </c>
      <c r="J31" s="43">
        <f>IFERROR(INDEX(05_Record_Benchmarks!$S:$S,MATCH(A31&amp;"|"&amp;B31,05_Record_Benchmarks!$V:$V,0)),"")</f>
        <v/>
      </c>
      <c r="K31" s="20">
        <f>IFERROR(INDEX(05_Record_Benchmarks!$A:$A,MATCH(A31&amp;"|"&amp;B31,05_Record_Benchmarks!$V:$V,0)),"")</f>
        <v/>
      </c>
    </row>
    <row r="32" ht="15" customHeight="1" s="17">
      <c r="A32" s="20" t="inlineStr">
        <is>
          <t>Female</t>
        </is>
      </c>
      <c r="B32" s="20" t="n">
        <v>8</v>
      </c>
      <c r="C32" s="20">
        <f>IFERROR(INDEX(05_Record_Benchmarks!$F:$F,MATCH(A32&amp;"|"&amp;B32,05_Record_Benchmarks!$V:$V,0)),"")</f>
        <v/>
      </c>
      <c r="D32" s="20">
        <f>IFERROR(INDEX(05_Record_Benchmarks!$E:$E,MATCH(A32&amp;"|"&amp;B32,05_Record_Benchmarks!$V:$V,0)),"")</f>
        <v/>
      </c>
      <c r="E32" s="20">
        <f>IFERROR(INDEX(05_Record_Benchmarks!$B:$B,MATCH(A32&amp;"|"&amp;B32,05_Record_Benchmarks!$V:$V,0)),"")</f>
        <v/>
      </c>
      <c r="F32" s="20">
        <f>IFERROR(INDEX(05_Record_Benchmarks!$D:$D,MATCH(A32&amp;"|"&amp;B32,05_Record_Benchmarks!$V:$V,0)),"")</f>
        <v/>
      </c>
      <c r="G32" s="20">
        <f>IFERROR(INDEX(05_Record_Benchmarks!$I:$I,MATCH(A32&amp;"|"&amp;B32,05_Record_Benchmarks!$V:$V,0)),"")</f>
        <v/>
      </c>
      <c r="H32" s="20">
        <f>IFERROR(INDEX(05_Record_Benchmarks!$P:$P,MATCH(A32&amp;"|"&amp;B32,05_Record_Benchmarks!$V:$V,0)),"")</f>
        <v/>
      </c>
      <c r="I32" s="20">
        <f>IFERROR(INDEX(05_Record_Benchmarks!$Q:$Q,MATCH(A32&amp;"|"&amp;B32,05_Record_Benchmarks!$V:$V,0)),"")</f>
        <v/>
      </c>
      <c r="J32" s="43">
        <f>IFERROR(INDEX(05_Record_Benchmarks!$S:$S,MATCH(A32&amp;"|"&amp;B32,05_Record_Benchmarks!$V:$V,0)),"")</f>
        <v/>
      </c>
      <c r="K32" s="20">
        <f>IFERROR(INDEX(05_Record_Benchmarks!$A:$A,MATCH(A32&amp;"|"&amp;B32,05_Record_Benchmarks!$V:$V,0)),"")</f>
        <v/>
      </c>
    </row>
    <row r="33" ht="15" customHeight="1" s="17">
      <c r="A33" s="20" t="inlineStr">
        <is>
          <t>Female</t>
        </is>
      </c>
      <c r="B33" s="20" t="n">
        <v>9</v>
      </c>
      <c r="C33" s="20">
        <f>IFERROR(INDEX(05_Record_Benchmarks!$F:$F,MATCH(A33&amp;"|"&amp;B33,05_Record_Benchmarks!$V:$V,0)),"")</f>
        <v/>
      </c>
      <c r="D33" s="20">
        <f>IFERROR(INDEX(05_Record_Benchmarks!$E:$E,MATCH(A33&amp;"|"&amp;B33,05_Record_Benchmarks!$V:$V,0)),"")</f>
        <v/>
      </c>
      <c r="E33" s="20">
        <f>IFERROR(INDEX(05_Record_Benchmarks!$B:$B,MATCH(A33&amp;"|"&amp;B33,05_Record_Benchmarks!$V:$V,0)),"")</f>
        <v/>
      </c>
      <c r="F33" s="20">
        <f>IFERROR(INDEX(05_Record_Benchmarks!$D:$D,MATCH(A33&amp;"|"&amp;B33,05_Record_Benchmarks!$V:$V,0)),"")</f>
        <v/>
      </c>
      <c r="G33" s="20">
        <f>IFERROR(INDEX(05_Record_Benchmarks!$I:$I,MATCH(A33&amp;"|"&amp;B33,05_Record_Benchmarks!$V:$V,0)),"")</f>
        <v/>
      </c>
      <c r="H33" s="20">
        <f>IFERROR(INDEX(05_Record_Benchmarks!$P:$P,MATCH(A33&amp;"|"&amp;B33,05_Record_Benchmarks!$V:$V,0)),"")</f>
        <v/>
      </c>
      <c r="I33" s="20">
        <f>IFERROR(INDEX(05_Record_Benchmarks!$Q:$Q,MATCH(A33&amp;"|"&amp;B33,05_Record_Benchmarks!$V:$V,0)),"")</f>
        <v/>
      </c>
      <c r="J33" s="43">
        <f>IFERROR(INDEX(05_Record_Benchmarks!$S:$S,MATCH(A33&amp;"|"&amp;B33,05_Record_Benchmarks!$V:$V,0)),"")</f>
        <v/>
      </c>
      <c r="K33" s="20">
        <f>IFERROR(INDEX(05_Record_Benchmarks!$A:$A,MATCH(A33&amp;"|"&amp;B33,05_Record_Benchmarks!$V:$V,0)),"")</f>
        <v/>
      </c>
    </row>
    <row r="34" ht="15" customHeight="1" s="17">
      <c r="A34" s="20" t="inlineStr">
        <is>
          <t>Female</t>
        </is>
      </c>
      <c r="B34" s="20" t="n">
        <v>10</v>
      </c>
      <c r="C34" s="20">
        <f>IFERROR(INDEX(05_Record_Benchmarks!$F:$F,MATCH(A34&amp;"|"&amp;B34,05_Record_Benchmarks!$V:$V,0)),"")</f>
        <v/>
      </c>
      <c r="D34" s="20">
        <f>IFERROR(INDEX(05_Record_Benchmarks!$E:$E,MATCH(A34&amp;"|"&amp;B34,05_Record_Benchmarks!$V:$V,0)),"")</f>
        <v/>
      </c>
      <c r="E34" s="20">
        <f>IFERROR(INDEX(05_Record_Benchmarks!$B:$B,MATCH(A34&amp;"|"&amp;B34,05_Record_Benchmarks!$V:$V,0)),"")</f>
        <v/>
      </c>
      <c r="F34" s="20">
        <f>IFERROR(INDEX(05_Record_Benchmarks!$D:$D,MATCH(A34&amp;"|"&amp;B34,05_Record_Benchmarks!$V:$V,0)),"")</f>
        <v/>
      </c>
      <c r="G34" s="20">
        <f>IFERROR(INDEX(05_Record_Benchmarks!$I:$I,MATCH(A34&amp;"|"&amp;B34,05_Record_Benchmarks!$V:$V,0)),"")</f>
        <v/>
      </c>
      <c r="H34" s="20">
        <f>IFERROR(INDEX(05_Record_Benchmarks!$P:$P,MATCH(A34&amp;"|"&amp;B34,05_Record_Benchmarks!$V:$V,0)),"")</f>
        <v/>
      </c>
      <c r="I34" s="20">
        <f>IFERROR(INDEX(05_Record_Benchmarks!$Q:$Q,MATCH(A34&amp;"|"&amp;B34,05_Record_Benchmarks!$V:$V,0)),"")</f>
        <v/>
      </c>
      <c r="J34" s="43">
        <f>IFERROR(INDEX(05_Record_Benchmarks!$S:$S,MATCH(A34&amp;"|"&amp;B34,05_Record_Benchmarks!$V:$V,0)),"")</f>
        <v/>
      </c>
      <c r="K34" s="20">
        <f>IFERROR(INDEX(05_Record_Benchmarks!$A:$A,MATCH(A34&amp;"|"&amp;B34,05_Record_Benchmarks!$V:$V,0)),"")</f>
        <v/>
      </c>
    </row>
    <row r="35" ht="15" customHeight="1" s="17">
      <c r="A35" s="20" t="inlineStr">
        <is>
          <t>Female</t>
        </is>
      </c>
      <c r="B35" s="20" t="n">
        <v>11</v>
      </c>
      <c r="C35" s="20">
        <f>IFERROR(INDEX(05_Record_Benchmarks!$F:$F,MATCH(A35&amp;"|"&amp;B35,05_Record_Benchmarks!$V:$V,0)),"")</f>
        <v/>
      </c>
      <c r="D35" s="20">
        <f>IFERROR(INDEX(05_Record_Benchmarks!$E:$E,MATCH(A35&amp;"|"&amp;B35,05_Record_Benchmarks!$V:$V,0)),"")</f>
        <v/>
      </c>
      <c r="E35" s="20">
        <f>IFERROR(INDEX(05_Record_Benchmarks!$B:$B,MATCH(A35&amp;"|"&amp;B35,05_Record_Benchmarks!$V:$V,0)),"")</f>
        <v/>
      </c>
      <c r="F35" s="20">
        <f>IFERROR(INDEX(05_Record_Benchmarks!$D:$D,MATCH(A35&amp;"|"&amp;B35,05_Record_Benchmarks!$V:$V,0)),"")</f>
        <v/>
      </c>
      <c r="G35" s="20">
        <f>IFERROR(INDEX(05_Record_Benchmarks!$I:$I,MATCH(A35&amp;"|"&amp;B35,05_Record_Benchmarks!$V:$V,0)),"")</f>
        <v/>
      </c>
      <c r="H35" s="20">
        <f>IFERROR(INDEX(05_Record_Benchmarks!$P:$P,MATCH(A35&amp;"|"&amp;B35,05_Record_Benchmarks!$V:$V,0)),"")</f>
        <v/>
      </c>
      <c r="I35" s="20">
        <f>IFERROR(INDEX(05_Record_Benchmarks!$Q:$Q,MATCH(A35&amp;"|"&amp;B35,05_Record_Benchmarks!$V:$V,0)),"")</f>
        <v/>
      </c>
      <c r="J35" s="43">
        <f>IFERROR(INDEX(05_Record_Benchmarks!$S:$S,MATCH(A35&amp;"|"&amp;B35,05_Record_Benchmarks!$V:$V,0)),"")</f>
        <v/>
      </c>
      <c r="K35" s="20">
        <f>IFERROR(INDEX(05_Record_Benchmarks!$A:$A,MATCH(A35&amp;"|"&amp;B35,05_Record_Benchmarks!$V:$V,0)),"")</f>
        <v/>
      </c>
    </row>
    <row r="36" ht="15" customHeight="1" s="17">
      <c r="A36" s="20" t="inlineStr">
        <is>
          <t>Female</t>
        </is>
      </c>
      <c r="B36" s="20" t="n">
        <v>12</v>
      </c>
      <c r="C36" s="20">
        <f>IFERROR(INDEX(05_Record_Benchmarks!$F:$F,MATCH(A36&amp;"|"&amp;B36,05_Record_Benchmarks!$V:$V,0)),"")</f>
        <v/>
      </c>
      <c r="D36" s="20">
        <f>IFERROR(INDEX(05_Record_Benchmarks!$E:$E,MATCH(A36&amp;"|"&amp;B36,05_Record_Benchmarks!$V:$V,0)),"")</f>
        <v/>
      </c>
      <c r="E36" s="20">
        <f>IFERROR(INDEX(05_Record_Benchmarks!$B:$B,MATCH(A36&amp;"|"&amp;B36,05_Record_Benchmarks!$V:$V,0)),"")</f>
        <v/>
      </c>
      <c r="F36" s="20">
        <f>IFERROR(INDEX(05_Record_Benchmarks!$D:$D,MATCH(A36&amp;"|"&amp;B36,05_Record_Benchmarks!$V:$V,0)),"")</f>
        <v/>
      </c>
      <c r="G36" s="20">
        <f>IFERROR(INDEX(05_Record_Benchmarks!$I:$I,MATCH(A36&amp;"|"&amp;B36,05_Record_Benchmarks!$V:$V,0)),"")</f>
        <v/>
      </c>
      <c r="H36" s="20">
        <f>IFERROR(INDEX(05_Record_Benchmarks!$P:$P,MATCH(A36&amp;"|"&amp;B36,05_Record_Benchmarks!$V:$V,0)),"")</f>
        <v/>
      </c>
      <c r="I36" s="20">
        <f>IFERROR(INDEX(05_Record_Benchmarks!$Q:$Q,MATCH(A36&amp;"|"&amp;B36,05_Record_Benchmarks!$V:$V,0)),"")</f>
        <v/>
      </c>
      <c r="J36" s="43">
        <f>IFERROR(INDEX(05_Record_Benchmarks!$S:$S,MATCH(A36&amp;"|"&amp;B36,05_Record_Benchmarks!$V:$V,0)),"")</f>
        <v/>
      </c>
      <c r="K36" s="20">
        <f>IFERROR(INDEX(05_Record_Benchmarks!$A:$A,MATCH(A36&amp;"|"&amp;B36,05_Record_Benchmarks!$V:$V,0)),"")</f>
        <v/>
      </c>
    </row>
    <row r="37" ht="15" customHeight="1" s="17">
      <c r="A37" s="20" t="inlineStr">
        <is>
          <t>Female</t>
        </is>
      </c>
      <c r="B37" s="20" t="n">
        <v>13</v>
      </c>
      <c r="C37" s="20">
        <f>IFERROR(INDEX(05_Record_Benchmarks!$F:$F,MATCH(A37&amp;"|"&amp;B37,05_Record_Benchmarks!$V:$V,0)),"")</f>
        <v/>
      </c>
      <c r="D37" s="20">
        <f>IFERROR(INDEX(05_Record_Benchmarks!$E:$E,MATCH(A37&amp;"|"&amp;B37,05_Record_Benchmarks!$V:$V,0)),"")</f>
        <v/>
      </c>
      <c r="E37" s="20">
        <f>IFERROR(INDEX(05_Record_Benchmarks!$B:$B,MATCH(A37&amp;"|"&amp;B37,05_Record_Benchmarks!$V:$V,0)),"")</f>
        <v/>
      </c>
      <c r="F37" s="20">
        <f>IFERROR(INDEX(05_Record_Benchmarks!$D:$D,MATCH(A37&amp;"|"&amp;B37,05_Record_Benchmarks!$V:$V,0)),"")</f>
        <v/>
      </c>
      <c r="G37" s="20">
        <f>IFERROR(INDEX(05_Record_Benchmarks!$I:$I,MATCH(A37&amp;"|"&amp;B37,05_Record_Benchmarks!$V:$V,0)),"")</f>
        <v/>
      </c>
      <c r="H37" s="20">
        <f>IFERROR(INDEX(05_Record_Benchmarks!$P:$P,MATCH(A37&amp;"|"&amp;B37,05_Record_Benchmarks!$V:$V,0)),"")</f>
        <v/>
      </c>
      <c r="I37" s="20">
        <f>IFERROR(INDEX(05_Record_Benchmarks!$Q:$Q,MATCH(A37&amp;"|"&amp;B37,05_Record_Benchmarks!$V:$V,0)),"")</f>
        <v/>
      </c>
      <c r="J37" s="43">
        <f>IFERROR(INDEX(05_Record_Benchmarks!$S:$S,MATCH(A37&amp;"|"&amp;B37,05_Record_Benchmarks!$V:$V,0)),"")</f>
        <v/>
      </c>
      <c r="K37" s="20">
        <f>IFERROR(INDEX(05_Record_Benchmarks!$A:$A,MATCH(A37&amp;"|"&amp;B37,05_Record_Benchmarks!$V:$V,0)),"")</f>
        <v/>
      </c>
    </row>
    <row r="38" ht="15" customHeight="1" s="17">
      <c r="A38" s="20" t="inlineStr">
        <is>
          <t>Female</t>
        </is>
      </c>
      <c r="B38" s="20" t="n">
        <v>14</v>
      </c>
      <c r="C38" s="20">
        <f>IFERROR(INDEX(05_Record_Benchmarks!$F:$F,MATCH(A38&amp;"|"&amp;B38,05_Record_Benchmarks!$V:$V,0)),"")</f>
        <v/>
      </c>
      <c r="D38" s="20">
        <f>IFERROR(INDEX(05_Record_Benchmarks!$E:$E,MATCH(A38&amp;"|"&amp;B38,05_Record_Benchmarks!$V:$V,0)),"")</f>
        <v/>
      </c>
      <c r="E38" s="20">
        <f>IFERROR(INDEX(05_Record_Benchmarks!$B:$B,MATCH(A38&amp;"|"&amp;B38,05_Record_Benchmarks!$V:$V,0)),"")</f>
        <v/>
      </c>
      <c r="F38" s="20">
        <f>IFERROR(INDEX(05_Record_Benchmarks!$D:$D,MATCH(A38&amp;"|"&amp;B38,05_Record_Benchmarks!$V:$V,0)),"")</f>
        <v/>
      </c>
      <c r="G38" s="20">
        <f>IFERROR(INDEX(05_Record_Benchmarks!$I:$I,MATCH(A38&amp;"|"&amp;B38,05_Record_Benchmarks!$V:$V,0)),"")</f>
        <v/>
      </c>
      <c r="H38" s="20">
        <f>IFERROR(INDEX(05_Record_Benchmarks!$P:$P,MATCH(A38&amp;"|"&amp;B38,05_Record_Benchmarks!$V:$V,0)),"")</f>
        <v/>
      </c>
      <c r="I38" s="20">
        <f>IFERROR(INDEX(05_Record_Benchmarks!$Q:$Q,MATCH(A38&amp;"|"&amp;B38,05_Record_Benchmarks!$V:$V,0)),"")</f>
        <v/>
      </c>
      <c r="J38" s="43">
        <f>IFERROR(INDEX(05_Record_Benchmarks!$S:$S,MATCH(A38&amp;"|"&amp;B38,05_Record_Benchmarks!$V:$V,0)),"")</f>
        <v/>
      </c>
      <c r="K38" s="20">
        <f>IFERROR(INDEX(05_Record_Benchmarks!$A:$A,MATCH(A38&amp;"|"&amp;B38,05_Record_Benchmarks!$V:$V,0)),"")</f>
        <v/>
      </c>
    </row>
    <row r="39" ht="15" customHeight="1" s="17">
      <c r="A39" s="20" t="inlineStr">
        <is>
          <t>Female</t>
        </is>
      </c>
      <c r="B39" s="20" t="n">
        <v>15</v>
      </c>
      <c r="C39" s="20">
        <f>IFERROR(INDEX(05_Record_Benchmarks!$F:$F,MATCH(A39&amp;"|"&amp;B39,05_Record_Benchmarks!$V:$V,0)),"")</f>
        <v/>
      </c>
      <c r="D39" s="20">
        <f>IFERROR(INDEX(05_Record_Benchmarks!$E:$E,MATCH(A39&amp;"|"&amp;B39,05_Record_Benchmarks!$V:$V,0)),"")</f>
        <v/>
      </c>
      <c r="E39" s="20">
        <f>IFERROR(INDEX(05_Record_Benchmarks!$B:$B,MATCH(A39&amp;"|"&amp;B39,05_Record_Benchmarks!$V:$V,0)),"")</f>
        <v/>
      </c>
      <c r="F39" s="20">
        <f>IFERROR(INDEX(05_Record_Benchmarks!$D:$D,MATCH(A39&amp;"|"&amp;B39,05_Record_Benchmarks!$V:$V,0)),"")</f>
        <v/>
      </c>
      <c r="G39" s="20">
        <f>IFERROR(INDEX(05_Record_Benchmarks!$I:$I,MATCH(A39&amp;"|"&amp;B39,05_Record_Benchmarks!$V:$V,0)),"")</f>
        <v/>
      </c>
      <c r="H39" s="20">
        <f>IFERROR(INDEX(05_Record_Benchmarks!$P:$P,MATCH(A39&amp;"|"&amp;B39,05_Record_Benchmarks!$V:$V,0)),"")</f>
        <v/>
      </c>
      <c r="I39" s="20">
        <f>IFERROR(INDEX(05_Record_Benchmarks!$Q:$Q,MATCH(A39&amp;"|"&amp;B39,05_Record_Benchmarks!$V:$V,0)),"")</f>
        <v/>
      </c>
      <c r="J39" s="43">
        <f>IFERROR(INDEX(05_Record_Benchmarks!$S:$S,MATCH(A39&amp;"|"&amp;B39,05_Record_Benchmarks!$V:$V,0)),"")</f>
        <v/>
      </c>
      <c r="K39" s="20">
        <f>IFERROR(INDEX(05_Record_Benchmarks!$A:$A,MATCH(A39&amp;"|"&amp;B39,05_Record_Benchmarks!$V:$V,0)),"")</f>
        <v/>
      </c>
    </row>
    <row r="40" ht="15" customHeight="1" s="17">
      <c r="A40" s="20" t="inlineStr">
        <is>
          <t>Female</t>
        </is>
      </c>
      <c r="B40" s="20" t="n">
        <v>16</v>
      </c>
      <c r="C40" s="20">
        <f>IFERROR(INDEX(05_Record_Benchmarks!$F:$F,MATCH(A40&amp;"|"&amp;B40,05_Record_Benchmarks!$V:$V,0)),"")</f>
        <v/>
      </c>
      <c r="D40" s="20">
        <f>IFERROR(INDEX(05_Record_Benchmarks!$E:$E,MATCH(A40&amp;"|"&amp;B40,05_Record_Benchmarks!$V:$V,0)),"")</f>
        <v/>
      </c>
      <c r="E40" s="20">
        <f>IFERROR(INDEX(05_Record_Benchmarks!$B:$B,MATCH(A40&amp;"|"&amp;B40,05_Record_Benchmarks!$V:$V,0)),"")</f>
        <v/>
      </c>
      <c r="F40" s="20">
        <f>IFERROR(INDEX(05_Record_Benchmarks!$D:$D,MATCH(A40&amp;"|"&amp;B40,05_Record_Benchmarks!$V:$V,0)),"")</f>
        <v/>
      </c>
      <c r="G40" s="20">
        <f>IFERROR(INDEX(05_Record_Benchmarks!$I:$I,MATCH(A40&amp;"|"&amp;B40,05_Record_Benchmarks!$V:$V,0)),"")</f>
        <v/>
      </c>
      <c r="H40" s="20">
        <f>IFERROR(INDEX(05_Record_Benchmarks!$P:$P,MATCH(A40&amp;"|"&amp;B40,05_Record_Benchmarks!$V:$V,0)),"")</f>
        <v/>
      </c>
      <c r="I40" s="20">
        <f>IFERROR(INDEX(05_Record_Benchmarks!$Q:$Q,MATCH(A40&amp;"|"&amp;B40,05_Record_Benchmarks!$V:$V,0)),"")</f>
        <v/>
      </c>
      <c r="J40" s="43">
        <f>IFERROR(INDEX(05_Record_Benchmarks!$S:$S,MATCH(A40&amp;"|"&amp;B40,05_Record_Benchmarks!$V:$V,0)),"")</f>
        <v/>
      </c>
      <c r="K40" s="20">
        <f>IFERROR(INDEX(05_Record_Benchmarks!$A:$A,MATCH(A40&amp;"|"&amp;B40,05_Record_Benchmarks!$V:$V,0)),"")</f>
        <v/>
      </c>
    </row>
    <row r="41" ht="15" customHeight="1" s="17">
      <c r="A41" s="20" t="inlineStr">
        <is>
          <t>Female</t>
        </is>
      </c>
      <c r="B41" s="20" t="n">
        <v>17</v>
      </c>
      <c r="C41" s="20">
        <f>IFERROR(INDEX(05_Record_Benchmarks!$F:$F,MATCH(A41&amp;"|"&amp;B41,05_Record_Benchmarks!$V:$V,0)),"")</f>
        <v/>
      </c>
      <c r="D41" s="20">
        <f>IFERROR(INDEX(05_Record_Benchmarks!$E:$E,MATCH(A41&amp;"|"&amp;B41,05_Record_Benchmarks!$V:$V,0)),"")</f>
        <v/>
      </c>
      <c r="E41" s="20">
        <f>IFERROR(INDEX(05_Record_Benchmarks!$B:$B,MATCH(A41&amp;"|"&amp;B41,05_Record_Benchmarks!$V:$V,0)),"")</f>
        <v/>
      </c>
      <c r="F41" s="20">
        <f>IFERROR(INDEX(05_Record_Benchmarks!$D:$D,MATCH(A41&amp;"|"&amp;B41,05_Record_Benchmarks!$V:$V,0)),"")</f>
        <v/>
      </c>
      <c r="G41" s="20">
        <f>IFERROR(INDEX(05_Record_Benchmarks!$I:$I,MATCH(A41&amp;"|"&amp;B41,05_Record_Benchmarks!$V:$V,0)),"")</f>
        <v/>
      </c>
      <c r="H41" s="20">
        <f>IFERROR(INDEX(05_Record_Benchmarks!$P:$P,MATCH(A41&amp;"|"&amp;B41,05_Record_Benchmarks!$V:$V,0)),"")</f>
        <v/>
      </c>
      <c r="I41" s="20">
        <f>IFERROR(INDEX(05_Record_Benchmarks!$Q:$Q,MATCH(A41&amp;"|"&amp;B41,05_Record_Benchmarks!$V:$V,0)),"")</f>
        <v/>
      </c>
      <c r="J41" s="43">
        <f>IFERROR(INDEX(05_Record_Benchmarks!$S:$S,MATCH(A41&amp;"|"&amp;B41,05_Record_Benchmarks!$V:$V,0)),"")</f>
        <v/>
      </c>
      <c r="K41" s="20">
        <f>IFERROR(INDEX(05_Record_Benchmarks!$A:$A,MATCH(A41&amp;"|"&amp;B41,05_Record_Benchmarks!$V:$V,0)),"")</f>
        <v/>
      </c>
    </row>
    <row r="42" ht="15" customHeight="1" s="17">
      <c r="A42" s="20" t="inlineStr">
        <is>
          <t>Female</t>
        </is>
      </c>
      <c r="B42" s="20" t="n">
        <v>18</v>
      </c>
      <c r="C42" s="20">
        <f>IFERROR(INDEX(05_Record_Benchmarks!$F:$F,MATCH(A42&amp;"|"&amp;B42,05_Record_Benchmarks!$V:$V,0)),"")</f>
        <v/>
      </c>
      <c r="D42" s="20">
        <f>IFERROR(INDEX(05_Record_Benchmarks!$E:$E,MATCH(A42&amp;"|"&amp;B42,05_Record_Benchmarks!$V:$V,0)),"")</f>
        <v/>
      </c>
      <c r="E42" s="20">
        <f>IFERROR(INDEX(05_Record_Benchmarks!$B:$B,MATCH(A42&amp;"|"&amp;B42,05_Record_Benchmarks!$V:$V,0)),"")</f>
        <v/>
      </c>
      <c r="F42" s="20">
        <f>IFERROR(INDEX(05_Record_Benchmarks!$D:$D,MATCH(A42&amp;"|"&amp;B42,05_Record_Benchmarks!$V:$V,0)),"")</f>
        <v/>
      </c>
      <c r="G42" s="20">
        <f>IFERROR(INDEX(05_Record_Benchmarks!$I:$I,MATCH(A42&amp;"|"&amp;B42,05_Record_Benchmarks!$V:$V,0)),"")</f>
        <v/>
      </c>
      <c r="H42" s="20">
        <f>IFERROR(INDEX(05_Record_Benchmarks!$P:$P,MATCH(A42&amp;"|"&amp;B42,05_Record_Benchmarks!$V:$V,0)),"")</f>
        <v/>
      </c>
      <c r="I42" s="20">
        <f>IFERROR(INDEX(05_Record_Benchmarks!$Q:$Q,MATCH(A42&amp;"|"&amp;B42,05_Record_Benchmarks!$V:$V,0)),"")</f>
        <v/>
      </c>
      <c r="J42" s="43">
        <f>IFERROR(INDEX(05_Record_Benchmarks!$S:$S,MATCH(A42&amp;"|"&amp;B42,05_Record_Benchmarks!$V:$V,0)),"")</f>
        <v/>
      </c>
      <c r="K42" s="20">
        <f>IFERROR(INDEX(05_Record_Benchmarks!$A:$A,MATCH(A42&amp;"|"&amp;B42,05_Record_Benchmarks!$V:$V,0)),"")</f>
        <v/>
      </c>
    </row>
    <row r="43" ht="15" customHeight="1" s="17">
      <c r="A43" s="20" t="inlineStr">
        <is>
          <t>Female</t>
        </is>
      </c>
      <c r="B43" s="20" t="n">
        <v>19</v>
      </c>
      <c r="C43" s="20">
        <f>IFERROR(INDEX(05_Record_Benchmarks!$F:$F,MATCH(A43&amp;"|"&amp;B43,05_Record_Benchmarks!$V:$V,0)),"")</f>
        <v/>
      </c>
      <c r="D43" s="20">
        <f>IFERROR(INDEX(05_Record_Benchmarks!$E:$E,MATCH(A43&amp;"|"&amp;B43,05_Record_Benchmarks!$V:$V,0)),"")</f>
        <v/>
      </c>
      <c r="E43" s="20">
        <f>IFERROR(INDEX(05_Record_Benchmarks!$B:$B,MATCH(A43&amp;"|"&amp;B43,05_Record_Benchmarks!$V:$V,0)),"")</f>
        <v/>
      </c>
      <c r="F43" s="20">
        <f>IFERROR(INDEX(05_Record_Benchmarks!$D:$D,MATCH(A43&amp;"|"&amp;B43,05_Record_Benchmarks!$V:$V,0)),"")</f>
        <v/>
      </c>
      <c r="G43" s="20">
        <f>IFERROR(INDEX(05_Record_Benchmarks!$I:$I,MATCH(A43&amp;"|"&amp;B43,05_Record_Benchmarks!$V:$V,0)),"")</f>
        <v/>
      </c>
      <c r="H43" s="20">
        <f>IFERROR(INDEX(05_Record_Benchmarks!$P:$P,MATCH(A43&amp;"|"&amp;B43,05_Record_Benchmarks!$V:$V,0)),"")</f>
        <v/>
      </c>
      <c r="I43" s="20">
        <f>IFERROR(INDEX(05_Record_Benchmarks!$Q:$Q,MATCH(A43&amp;"|"&amp;B43,05_Record_Benchmarks!$V:$V,0)),"")</f>
        <v/>
      </c>
      <c r="J43" s="43">
        <f>IFERROR(INDEX(05_Record_Benchmarks!$S:$S,MATCH(A43&amp;"|"&amp;B43,05_Record_Benchmarks!$V:$V,0)),"")</f>
        <v/>
      </c>
      <c r="K43" s="20">
        <f>IFERROR(INDEX(05_Record_Benchmarks!$A:$A,MATCH(A43&amp;"|"&amp;B43,05_Record_Benchmarks!$V:$V,0)),"")</f>
        <v/>
      </c>
    </row>
    <row r="44" ht="15" customHeight="1" s="17">
      <c r="A44" s="20" t="inlineStr">
        <is>
          <t>Female</t>
        </is>
      </c>
      <c r="B44" s="20" t="n">
        <v>20</v>
      </c>
      <c r="C44" s="20">
        <f>IFERROR(INDEX(05_Record_Benchmarks!$F:$F,MATCH(A44&amp;"|"&amp;B44,05_Record_Benchmarks!$V:$V,0)),"")</f>
        <v/>
      </c>
      <c r="D44" s="20">
        <f>IFERROR(INDEX(05_Record_Benchmarks!$E:$E,MATCH(A44&amp;"|"&amp;B44,05_Record_Benchmarks!$V:$V,0)),"")</f>
        <v/>
      </c>
      <c r="E44" s="20">
        <f>IFERROR(INDEX(05_Record_Benchmarks!$B:$B,MATCH(A44&amp;"|"&amp;B44,05_Record_Benchmarks!$V:$V,0)),"")</f>
        <v/>
      </c>
      <c r="F44" s="20">
        <f>IFERROR(INDEX(05_Record_Benchmarks!$D:$D,MATCH(A44&amp;"|"&amp;B44,05_Record_Benchmarks!$V:$V,0)),"")</f>
        <v/>
      </c>
      <c r="G44" s="20">
        <f>IFERROR(INDEX(05_Record_Benchmarks!$I:$I,MATCH(A44&amp;"|"&amp;B44,05_Record_Benchmarks!$V:$V,0)),"")</f>
        <v/>
      </c>
      <c r="H44" s="20">
        <f>IFERROR(INDEX(05_Record_Benchmarks!$P:$P,MATCH(A44&amp;"|"&amp;B44,05_Record_Benchmarks!$V:$V,0)),"")</f>
        <v/>
      </c>
      <c r="I44" s="20">
        <f>IFERROR(INDEX(05_Record_Benchmarks!$Q:$Q,MATCH(A44&amp;"|"&amp;B44,05_Record_Benchmarks!$V:$V,0)),"")</f>
        <v/>
      </c>
      <c r="J44" s="43">
        <f>IFERROR(INDEX(05_Record_Benchmarks!$S:$S,MATCH(A44&amp;"|"&amp;B44,05_Record_Benchmarks!$V:$V,0)),"")</f>
        <v/>
      </c>
      <c r="K44" s="20">
        <f>IFERROR(INDEX(05_Record_Benchmarks!$A:$A,MATCH(A44&amp;"|"&amp;B44,05_Record_Benchmarks!$V:$V,0)),"")</f>
        <v/>
      </c>
    </row>
  </sheetData>
  <mergeCells count="2">
    <mergeCell ref="A2:K2"/>
    <mergeCell ref="A1:K1"/>
  </mergeCells>
  <conditionalFormatting sqref="J5:J44">
    <cfRule type="colorScale" priority="2">
      <colorScale>
        <cfvo type="min" val="0"/>
        <cfvo type="percentile" val="50"/>
        <cfvo type="max" val="0"/>
        <color rgb="FFFFFFFF"/>
        <color rgb="FFFFF2CC"/>
        <color rgb="FFF3D52E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17" min="1" max="1"/>
    <col width="15" customWidth="1" style="17" min="2" max="2"/>
    <col width="16" customWidth="1" style="17" min="3" max="3"/>
    <col width="15" customWidth="1" style="17" min="4" max="4"/>
    <col width="12" customWidth="1" style="17" min="5" max="5"/>
    <col width="16" customWidth="1" style="17" min="6" max="6"/>
    <col width="12" customWidth="1" style="17" min="7" max="7"/>
    <col width="25" customWidth="1" style="17" min="8" max="8"/>
    <col width="16" customWidth="1" style="17" min="9" max="9"/>
    <col width="16" customWidth="1" style="17" min="10" max="10"/>
    <col width="12" customWidth="1" style="17" min="11" max="11"/>
    <col width="12" customWidth="1" style="17" min="12" max="12"/>
    <col width="13" customWidth="1" style="17" min="13" max="13"/>
    <col width="60" customWidth="1" style="17" min="14" max="14"/>
  </cols>
  <sheetData>
    <row r="1" ht="26" customHeight="1" s="17">
      <c r="A1" s="31" t="inlineStr">
        <is>
          <t>Consistency analysis</t>
        </is>
      </c>
    </row>
    <row r="2" ht="32" customHeight="1" s="17">
      <c r="A2" s="32" t="inlineStr">
        <is>
          <t>Analysis starts 1 January 2024. The table covers every Grayson event/course captured in the all-event history; Top-10 status is historical at the time of each race (Top-5 internal audit columns retained). Trend metrics are shown only for the eight requested chart events.</t>
        </is>
      </c>
    </row>
    <row r="4" ht="30" customHeight="1" s="17">
      <c r="A4" s="28" t="inlineStr">
        <is>
          <t>Course</t>
        </is>
      </c>
      <c r="B4" s="28" t="inlineStr">
        <is>
          <t>Event</t>
        </is>
      </c>
      <c r="C4" s="28" t="inlineStr">
        <is>
          <t>Swims Since 2024</t>
        </is>
      </c>
      <c r="D4" s="28" t="inlineStr">
        <is>
          <t>Top 5 At Time</t>
        </is>
      </c>
      <c r="E4" s="28" t="inlineStr">
        <is>
          <t>Top 5 %</t>
        </is>
      </c>
      <c r="F4" s="28" t="inlineStr">
        <is>
          <t>Top 10 At Time</t>
        </is>
      </c>
      <c r="G4" s="28" t="inlineStr">
        <is>
          <t>Top 10 %</t>
        </is>
      </c>
      <c r="H4" s="28" t="inlineStr">
        <is>
          <t>Selected Trend</t>
        </is>
      </c>
      <c r="I4" s="28" t="inlineStr">
        <is>
          <t>Residual SD (s)</t>
        </is>
      </c>
      <c r="J4" s="28" t="inlineStr">
        <is>
          <t>Residual SD (%)</t>
        </is>
      </c>
      <c r="K4" s="28" t="inlineStr">
        <is>
          <t>MAE (s)</t>
        </is>
      </c>
      <c r="L4" s="28" t="inlineStr">
        <is>
          <t>MAE (%)</t>
        </is>
      </c>
      <c r="M4" s="28" t="inlineStr">
        <is>
          <t>CV MAE (s)</t>
        </is>
      </c>
      <c r="N4" s="28" t="inlineStr">
        <is>
          <t>Model Note</t>
        </is>
      </c>
    </row>
    <row r="5" s="17">
      <c r="A5" s="16" t="inlineStr">
        <is>
          <t>LCM</t>
        </is>
      </c>
      <c r="B5" s="16" t="inlineStr">
        <is>
          <t>50 Free</t>
        </is>
      </c>
      <c r="C5" s="16">
        <f>COUNTIFS('04_Swims'!$C:$C,"Grayson Coulter",'04_Swims'!$M:$M,A5,'04_Swims'!$P:$P,B5,'04_Swims'!$G:$G,"&gt;="&amp;'00_Control'!$B$7)</f>
        <v/>
      </c>
      <c r="D5" s="16">
        <f>SUMIFS('04_Swims'!$AG:$AG,'04_Swims'!$C:$C,"Grayson Coulter",'04_Swims'!$M:$M,A5,'04_Swims'!$P:$P,B5,'04_Swims'!$G:$G,"&gt;="&amp;'00_Control'!$B$7)</f>
        <v/>
      </c>
      <c r="E5" s="55">
        <f>IF(C5=0,"",D5/C5)</f>
        <v/>
      </c>
      <c r="F5" s="16">
        <f>SUMIFS('04_Swims'!$AH:$AH,'04_Swims'!$C:$C,"Grayson Coulter",'04_Swims'!$M:$M,A5,'04_Swims'!$P:$P,B5,'04_Swims'!$G:$G,"&gt;="&amp;'00_Control'!$B$7)</f>
        <v/>
      </c>
      <c r="G5" s="55">
        <f>IF(C5=0,"",F5/C5)</f>
        <v/>
      </c>
      <c r="H5" s="33" t="n"/>
      <c r="I5" s="36" t="n"/>
      <c r="J5" s="58" t="n"/>
      <c r="K5" s="36" t="n"/>
      <c r="L5" s="58" t="n"/>
      <c r="M5" s="36" t="n"/>
      <c r="N5" s="33" t="n"/>
    </row>
    <row r="6">
      <c r="A6" s="16" t="inlineStr">
        <is>
          <t>LCM</t>
        </is>
      </c>
      <c r="B6" s="16" t="inlineStr">
        <is>
          <t>100 Free</t>
        </is>
      </c>
      <c r="C6" s="16">
        <f>COUNTIFS('04_Swims'!$C:$C,"Grayson Coulter",'04_Swims'!$M:$M,A6,'04_Swims'!$P:$P,B6,'04_Swims'!$G:$G,"&gt;="&amp;'00_Control'!$B$7)</f>
        <v/>
      </c>
      <c r="D6" s="16">
        <f>SUMIFS('04_Swims'!$AG:$AG,'04_Swims'!$C:$C,"Grayson Coulter",'04_Swims'!$M:$M,A6,'04_Swims'!$P:$P,B6,'04_Swims'!$G:$G,"&gt;="&amp;'00_Control'!$B$7)</f>
        <v/>
      </c>
      <c r="E6" s="55">
        <f>IF(C6=0,"",D6/C6)</f>
        <v/>
      </c>
      <c r="F6" s="16">
        <f>SUMIFS('04_Swims'!$AH:$AH,'04_Swims'!$C:$C,"Grayson Coulter",'04_Swims'!$M:$M,A6,'04_Swims'!$P:$P,B6,'04_Swims'!$G:$G,"&gt;="&amp;'00_Control'!$B$7)</f>
        <v/>
      </c>
      <c r="G6" s="55">
        <f>IF(C6=0,"",F6/C6)</f>
        <v/>
      </c>
      <c r="H6" s="33" t="inlineStr">
        <is>
          <t>Logarithmic</t>
        </is>
      </c>
      <c r="I6" s="36" t="n">
        <v>0.5820692413211458</v>
      </c>
      <c r="J6" s="58" t="n">
        <v>0.01102037454968768</v>
      </c>
      <c r="K6" s="36" t="n">
        <v>0.4722257243217508</v>
      </c>
      <c r="L6" s="58" t="n">
        <v>0.008903987119068497</v>
      </c>
      <c r="M6" s="36" t="n">
        <v>0.5375580349193644</v>
      </c>
      <c r="N6" s="33" t="n"/>
    </row>
    <row r="7">
      <c r="A7" s="16" t="inlineStr">
        <is>
          <t>LCM</t>
        </is>
      </c>
      <c r="B7" s="16" t="inlineStr">
        <is>
          <t>200 Free</t>
        </is>
      </c>
      <c r="C7" s="16">
        <f>COUNTIFS('04_Swims'!$C:$C,"Grayson Coulter",'04_Swims'!$M:$M,A7,'04_Swims'!$P:$P,B7,'04_Swims'!$G:$G,"&gt;="&amp;'00_Control'!$B$7)</f>
        <v/>
      </c>
      <c r="D7" s="16">
        <f>SUMIFS('04_Swims'!$AG:$AG,'04_Swims'!$C:$C,"Grayson Coulter",'04_Swims'!$M:$M,A7,'04_Swims'!$P:$P,B7,'04_Swims'!$G:$G,"&gt;="&amp;'00_Control'!$B$7)</f>
        <v/>
      </c>
      <c r="E7" s="55">
        <f>IF(C7=0,"",D7/C7)</f>
        <v/>
      </c>
      <c r="F7" s="16">
        <f>SUMIFS('04_Swims'!$AH:$AH,'04_Swims'!$C:$C,"Grayson Coulter",'04_Swims'!$M:$M,A7,'04_Swims'!$P:$P,B7,'04_Swims'!$G:$G,"&gt;="&amp;'00_Control'!$B$7)</f>
        <v/>
      </c>
      <c r="G7" s="55">
        <f>IF(C7=0,"",F7/C7)</f>
        <v/>
      </c>
      <c r="H7" s="33" t="inlineStr">
        <is>
          <t>Logarithmic</t>
        </is>
      </c>
      <c r="I7" s="36" t="n">
        <v>1.52145138000746</v>
      </c>
      <c r="J7" s="58" t="n">
        <v>0.01326696210622293</v>
      </c>
      <c r="K7" s="36" t="n">
        <v>1.101785340192852</v>
      </c>
      <c r="L7" s="58" t="n">
        <v>0.009565002692777592</v>
      </c>
      <c r="M7" s="36" t="n">
        <v>1.268447857280381</v>
      </c>
      <c r="N7" s="33" t="n"/>
    </row>
    <row r="8">
      <c r="A8" s="16" t="inlineStr">
        <is>
          <t>LCM</t>
        </is>
      </c>
      <c r="B8" s="16" t="inlineStr">
        <is>
          <t>400 Free</t>
        </is>
      </c>
      <c r="C8" s="16">
        <f>COUNTIFS('04_Swims'!$C:$C,"Grayson Coulter",'04_Swims'!$M:$M,A8,'04_Swims'!$P:$P,B8,'04_Swims'!$G:$G,"&gt;="&amp;'00_Control'!$B$7)</f>
        <v/>
      </c>
      <c r="D8" s="16">
        <f>SUMIFS('04_Swims'!$AG:$AG,'04_Swims'!$C:$C,"Grayson Coulter",'04_Swims'!$M:$M,A8,'04_Swims'!$P:$P,B8,'04_Swims'!$G:$G,"&gt;="&amp;'00_Control'!$B$7)</f>
        <v/>
      </c>
      <c r="E8" s="55">
        <f>IF(C8=0,"",D8/C8)</f>
        <v/>
      </c>
      <c r="F8" s="16">
        <f>SUMIFS('04_Swims'!$AH:$AH,'04_Swims'!$C:$C,"Grayson Coulter",'04_Swims'!$M:$M,A8,'04_Swims'!$P:$P,B8,'04_Swims'!$G:$G,"&gt;="&amp;'00_Control'!$B$7)</f>
        <v/>
      </c>
      <c r="G8" s="55">
        <f>IF(C8=0,"",F8/C8)</f>
        <v/>
      </c>
      <c r="H8" s="33" t="inlineStr">
        <is>
          <t>Quadratic</t>
        </is>
      </c>
      <c r="I8" s="36" t="n">
        <v>3.922915630923249</v>
      </c>
      <c r="J8" s="58" t="n">
        <v>0.01591382834300982</v>
      </c>
      <c r="K8" s="36" t="n">
        <v>2.988340556052432</v>
      </c>
      <c r="L8" s="58" t="n">
        <v>0.01210008067094967</v>
      </c>
      <c r="M8" s="36" t="n">
        <v>3.251796511886726</v>
      </c>
      <c r="N8" s="33" t="n"/>
    </row>
    <row r="9">
      <c r="A9" s="16" t="inlineStr">
        <is>
          <t>LCM</t>
        </is>
      </c>
      <c r="B9" s="16" t="inlineStr">
        <is>
          <t>50 Back</t>
        </is>
      </c>
      <c r="C9" s="16">
        <f>COUNTIFS('04_Swims'!$C:$C,"Grayson Coulter",'04_Swims'!$M:$M,A9,'04_Swims'!$P:$P,B9,'04_Swims'!$G:$G,"&gt;="&amp;'00_Control'!$B$7)</f>
        <v/>
      </c>
      <c r="D9" s="16">
        <f>SUMIFS('04_Swims'!$AG:$AG,'04_Swims'!$C:$C,"Grayson Coulter",'04_Swims'!$M:$M,A9,'04_Swims'!$P:$P,B9,'04_Swims'!$G:$G,"&gt;="&amp;'00_Control'!$B$7)</f>
        <v/>
      </c>
      <c r="E9" s="55">
        <f>IF(C9=0,"",D9/C9)</f>
        <v/>
      </c>
      <c r="F9" s="16">
        <f>SUMIFS('04_Swims'!$AH:$AH,'04_Swims'!$C:$C,"Grayson Coulter",'04_Swims'!$M:$M,A9,'04_Swims'!$P:$P,B9,'04_Swims'!$G:$G,"&gt;="&amp;'00_Control'!$B$7)</f>
        <v/>
      </c>
      <c r="G9" s="55">
        <f>IF(C9=0,"",F9/C9)</f>
        <v/>
      </c>
      <c r="H9" s="33" t="n"/>
      <c r="I9" s="36" t="n"/>
      <c r="J9" s="58" t="n"/>
      <c r="K9" s="36" t="n"/>
      <c r="L9" s="58" t="n"/>
      <c r="M9" s="36" t="n"/>
      <c r="N9" s="33" t="n"/>
    </row>
    <row r="10">
      <c r="A10" s="16" t="inlineStr">
        <is>
          <t>LCM</t>
        </is>
      </c>
      <c r="B10" s="16" t="inlineStr">
        <is>
          <t>100 Back</t>
        </is>
      </c>
      <c r="C10" s="16">
        <f>COUNTIFS('04_Swims'!$C:$C,"Grayson Coulter",'04_Swims'!$M:$M,A10,'04_Swims'!$P:$P,B10,'04_Swims'!$G:$G,"&gt;="&amp;'00_Control'!$B$7)</f>
        <v/>
      </c>
      <c r="D10" s="16">
        <f>SUMIFS('04_Swims'!$AG:$AG,'04_Swims'!$C:$C,"Grayson Coulter",'04_Swims'!$M:$M,A10,'04_Swims'!$P:$P,B10,'04_Swims'!$G:$G,"&gt;="&amp;'00_Control'!$B$7)</f>
        <v/>
      </c>
      <c r="E10" s="55">
        <f>IF(C10=0,"",D10/C10)</f>
        <v/>
      </c>
      <c r="F10" s="16">
        <f>SUMIFS('04_Swims'!$AH:$AH,'04_Swims'!$C:$C,"Grayson Coulter",'04_Swims'!$M:$M,A10,'04_Swims'!$P:$P,B10,'04_Swims'!$G:$G,"&gt;="&amp;'00_Control'!$B$7)</f>
        <v/>
      </c>
      <c r="G10" s="55">
        <f>IF(C10=0,"",F10/C10)</f>
        <v/>
      </c>
      <c r="H10" s="33" t="n"/>
      <c r="I10" s="36" t="n"/>
      <c r="J10" s="58" t="n"/>
      <c r="K10" s="36" t="n"/>
      <c r="L10" s="58" t="n"/>
      <c r="M10" s="36" t="n"/>
      <c r="N10" s="33" t="n"/>
    </row>
    <row r="11">
      <c r="A11" s="16" t="inlineStr">
        <is>
          <t>LCM</t>
        </is>
      </c>
      <c r="B11" s="16" t="inlineStr">
        <is>
          <t>50 Breast</t>
        </is>
      </c>
      <c r="C11" s="16">
        <f>COUNTIFS('04_Swims'!$C:$C,"Grayson Coulter",'04_Swims'!$M:$M,A11,'04_Swims'!$P:$P,B11,'04_Swims'!$G:$G,"&gt;="&amp;'00_Control'!$B$7)</f>
        <v/>
      </c>
      <c r="D11" s="16">
        <f>SUMIFS('04_Swims'!$AG:$AG,'04_Swims'!$C:$C,"Grayson Coulter",'04_Swims'!$M:$M,A11,'04_Swims'!$P:$P,B11,'04_Swims'!$G:$G,"&gt;="&amp;'00_Control'!$B$7)</f>
        <v/>
      </c>
      <c r="E11" s="55">
        <f>IF(C11=0,"",D11/C11)</f>
        <v/>
      </c>
      <c r="F11" s="16">
        <f>SUMIFS('04_Swims'!$AH:$AH,'04_Swims'!$C:$C,"Grayson Coulter",'04_Swims'!$M:$M,A11,'04_Swims'!$P:$P,B11,'04_Swims'!$G:$G,"&gt;="&amp;'00_Control'!$B$7)</f>
        <v/>
      </c>
      <c r="G11" s="55">
        <f>IF(C11=0,"",F11/C11)</f>
        <v/>
      </c>
      <c r="H11" s="33" t="n"/>
      <c r="I11" s="36" t="n"/>
      <c r="J11" s="58" t="n"/>
      <c r="K11" s="36" t="n"/>
      <c r="L11" s="58" t="n"/>
      <c r="M11" s="36" t="n"/>
      <c r="N11" s="33" t="n"/>
    </row>
    <row r="12">
      <c r="A12" s="16" t="inlineStr">
        <is>
          <t>LCM</t>
        </is>
      </c>
      <c r="B12" s="16" t="inlineStr">
        <is>
          <t>50 Fly</t>
        </is>
      </c>
      <c r="C12" s="16">
        <f>COUNTIFS('04_Swims'!$C:$C,"Grayson Coulter",'04_Swims'!$M:$M,A12,'04_Swims'!$P:$P,B12,'04_Swims'!$G:$G,"&gt;="&amp;'00_Control'!$B$7)</f>
        <v/>
      </c>
      <c r="D12" s="16">
        <f>SUMIFS('04_Swims'!$AG:$AG,'04_Swims'!$C:$C,"Grayson Coulter",'04_Swims'!$M:$M,A12,'04_Swims'!$P:$P,B12,'04_Swims'!$G:$G,"&gt;="&amp;'00_Control'!$B$7)</f>
        <v/>
      </c>
      <c r="E12" s="55">
        <f>IF(C12=0,"",D12/C12)</f>
        <v/>
      </c>
      <c r="F12" s="16">
        <f>SUMIFS('04_Swims'!$AH:$AH,'04_Swims'!$C:$C,"Grayson Coulter",'04_Swims'!$M:$M,A12,'04_Swims'!$P:$P,B12,'04_Swims'!$G:$G,"&gt;="&amp;'00_Control'!$B$7)</f>
        <v/>
      </c>
      <c r="G12" s="55">
        <f>IF(C12=0,"",F12/C12)</f>
        <v/>
      </c>
      <c r="H12" s="33" t="n"/>
      <c r="I12" s="36" t="n"/>
      <c r="J12" s="58" t="n"/>
      <c r="K12" s="36" t="n"/>
      <c r="L12" s="58" t="n"/>
      <c r="M12" s="36" t="n"/>
      <c r="N12" s="33" t="n"/>
    </row>
    <row r="13">
      <c r="A13" s="16" t="inlineStr">
        <is>
          <t>LCM</t>
        </is>
      </c>
      <c r="B13" s="16" t="inlineStr">
        <is>
          <t>100 Fly</t>
        </is>
      </c>
      <c r="C13" s="16">
        <f>COUNTIFS('04_Swims'!$C:$C,"Grayson Coulter",'04_Swims'!$M:$M,A13,'04_Swims'!$P:$P,B13,'04_Swims'!$G:$G,"&gt;="&amp;'00_Control'!$B$7)</f>
        <v/>
      </c>
      <c r="D13" s="16">
        <f>SUMIFS('04_Swims'!$AG:$AG,'04_Swims'!$C:$C,"Grayson Coulter",'04_Swims'!$M:$M,A13,'04_Swims'!$P:$P,B13,'04_Swims'!$G:$G,"&gt;="&amp;'00_Control'!$B$7)</f>
        <v/>
      </c>
      <c r="E13" s="55">
        <f>IF(C13=0,"",D13/C13)</f>
        <v/>
      </c>
      <c r="F13" s="16">
        <f>SUMIFS('04_Swims'!$AH:$AH,'04_Swims'!$C:$C,"Grayson Coulter",'04_Swims'!$M:$M,A13,'04_Swims'!$P:$P,B13,'04_Swims'!$G:$G,"&gt;="&amp;'00_Control'!$B$7)</f>
        <v/>
      </c>
      <c r="G13" s="55">
        <f>IF(C13=0,"",F13/C13)</f>
        <v/>
      </c>
      <c r="H13" s="33" t="inlineStr">
        <is>
          <t>Quadratic</t>
        </is>
      </c>
      <c r="I13" s="36" t="n">
        <v>0.9842975723809184</v>
      </c>
      <c r="J13" s="58" t="n">
        <v>0.01667380429606984</v>
      </c>
      <c r="K13" s="36" t="n">
        <v>0.7830646294227768</v>
      </c>
      <c r="L13" s="58" t="n">
        <v>0.0132087539731194</v>
      </c>
      <c r="M13" s="36" t="n">
        <v>1.024488140096192</v>
      </c>
      <c r="N13" s="33" t="n"/>
    </row>
    <row r="14">
      <c r="A14" s="16" t="inlineStr">
        <is>
          <t>LCM</t>
        </is>
      </c>
      <c r="B14" s="16" t="inlineStr">
        <is>
          <t>200 IM</t>
        </is>
      </c>
      <c r="C14" s="16">
        <f>COUNTIFS('04_Swims'!$C:$C,"Grayson Coulter",'04_Swims'!$M:$M,A14,'04_Swims'!$P:$P,B14,'04_Swims'!$G:$G,"&gt;="&amp;'00_Control'!$B$7)</f>
        <v/>
      </c>
      <c r="D14" s="16">
        <f>SUMIFS('04_Swims'!$AG:$AG,'04_Swims'!$C:$C,"Grayson Coulter",'04_Swims'!$M:$M,A14,'04_Swims'!$P:$P,B14,'04_Swims'!$G:$G,"&gt;="&amp;'00_Control'!$B$7)</f>
        <v/>
      </c>
      <c r="E14" s="55">
        <f>IF(C14=0,"",D14/C14)</f>
        <v/>
      </c>
      <c r="F14" s="16">
        <f>SUMIFS('04_Swims'!$AH:$AH,'04_Swims'!$C:$C,"Grayson Coulter",'04_Swims'!$M:$M,A14,'04_Swims'!$P:$P,B14,'04_Swims'!$G:$G,"&gt;="&amp;'00_Control'!$B$7)</f>
        <v/>
      </c>
      <c r="G14" s="55">
        <f>IF(C14=0,"",F14/C14)</f>
        <v/>
      </c>
      <c r="H14" s="33" t="n"/>
      <c r="I14" s="36" t="n"/>
      <c r="J14" s="58" t="n"/>
      <c r="K14" s="36" t="n"/>
      <c r="L14" s="58" t="n"/>
      <c r="M14" s="36" t="n"/>
      <c r="N14" s="33" t="n"/>
    </row>
    <row r="15">
      <c r="A15" s="16" t="inlineStr">
        <is>
          <t>SCM</t>
        </is>
      </c>
      <c r="B15" s="16" t="inlineStr">
        <is>
          <t>50 Free</t>
        </is>
      </c>
      <c r="C15" s="16">
        <f>COUNTIFS('04_Swims'!$C:$C,"Grayson Coulter",'04_Swims'!$M:$M,A15,'04_Swims'!$P:$P,B15,'04_Swims'!$G:$G,"&gt;="&amp;'00_Control'!$B$7)</f>
        <v/>
      </c>
      <c r="D15" s="16">
        <f>SUMIFS('04_Swims'!$AG:$AG,'04_Swims'!$C:$C,"Grayson Coulter",'04_Swims'!$M:$M,A15,'04_Swims'!$P:$P,B15,'04_Swims'!$G:$G,"&gt;="&amp;'00_Control'!$B$7)</f>
        <v/>
      </c>
      <c r="E15" s="55">
        <f>IF(C15=0,"",D15/C15)</f>
        <v/>
      </c>
      <c r="F15" s="16">
        <f>SUMIFS('04_Swims'!$AH:$AH,'04_Swims'!$C:$C,"Grayson Coulter",'04_Swims'!$M:$M,A15,'04_Swims'!$P:$P,B15,'04_Swims'!$G:$G,"&gt;="&amp;'00_Control'!$B$7)</f>
        <v/>
      </c>
      <c r="G15" s="55">
        <f>IF(C15=0,"",F15/C15)</f>
        <v/>
      </c>
      <c r="H15" s="33" t="n"/>
      <c r="I15" s="36" t="n"/>
      <c r="J15" s="58" t="n"/>
      <c r="K15" s="36" t="n"/>
      <c r="L15" s="58" t="n"/>
      <c r="M15" s="36" t="n"/>
      <c r="N15" s="33" t="n"/>
    </row>
    <row r="16">
      <c r="A16" s="16" t="inlineStr">
        <is>
          <t>SCM</t>
        </is>
      </c>
      <c r="B16" s="16" t="inlineStr">
        <is>
          <t>100 Free</t>
        </is>
      </c>
      <c r="C16" s="16">
        <f>COUNTIFS('04_Swims'!$C:$C,"Grayson Coulter",'04_Swims'!$M:$M,A16,'04_Swims'!$P:$P,B16,'04_Swims'!$G:$G,"&gt;="&amp;'00_Control'!$B$7)</f>
        <v/>
      </c>
      <c r="D16" s="16">
        <f>SUMIFS('04_Swims'!$AG:$AG,'04_Swims'!$C:$C,"Grayson Coulter",'04_Swims'!$M:$M,A16,'04_Swims'!$P:$P,B16,'04_Swims'!$G:$G,"&gt;="&amp;'00_Control'!$B$7)</f>
        <v/>
      </c>
      <c r="E16" s="55">
        <f>IF(C16=0,"",D16/C16)</f>
        <v/>
      </c>
      <c r="F16" s="16">
        <f>SUMIFS('04_Swims'!$AH:$AH,'04_Swims'!$C:$C,"Grayson Coulter",'04_Swims'!$M:$M,A16,'04_Swims'!$P:$P,B16,'04_Swims'!$G:$G,"&gt;="&amp;'00_Control'!$B$7)</f>
        <v/>
      </c>
      <c r="G16" s="55">
        <f>IF(C16=0,"",F16/C16)</f>
        <v/>
      </c>
      <c r="H16" s="33" t="inlineStr">
        <is>
          <t>Logarithmic</t>
        </is>
      </c>
      <c r="I16" s="36" t="n">
        <v>0.6197846527469972</v>
      </c>
      <c r="J16" s="58" t="n">
        <v>0.0120007244561263</v>
      </c>
      <c r="K16" s="36" t="n">
        <v>0.490507467319062</v>
      </c>
      <c r="L16" s="58" t="n">
        <v>0.0095468471330968</v>
      </c>
      <c r="M16" s="36" t="n">
        <v>0.7063408418568451</v>
      </c>
      <c r="N16" s="33" t="n"/>
    </row>
    <row r="17">
      <c r="A17" s="16" t="inlineStr">
        <is>
          <t>SCM</t>
        </is>
      </c>
      <c r="B17" s="16" t="inlineStr">
        <is>
          <t>200 Free</t>
        </is>
      </c>
      <c r="C17" s="16">
        <f>COUNTIFS('04_Swims'!$C:$C,"Grayson Coulter",'04_Swims'!$M:$M,A17,'04_Swims'!$P:$P,B17,'04_Swims'!$G:$G,"&gt;="&amp;'00_Control'!$B$7)</f>
        <v/>
      </c>
      <c r="D17" s="16">
        <f>SUMIFS('04_Swims'!$AG:$AG,'04_Swims'!$C:$C,"Grayson Coulter",'04_Swims'!$M:$M,A17,'04_Swims'!$P:$P,B17,'04_Swims'!$G:$G,"&gt;="&amp;'00_Control'!$B$7)</f>
        <v/>
      </c>
      <c r="E17" s="55">
        <f>IF(C17=0,"",D17/C17)</f>
        <v/>
      </c>
      <c r="F17" s="16">
        <f>SUMIFS('04_Swims'!$AH:$AH,'04_Swims'!$C:$C,"Grayson Coulter",'04_Swims'!$M:$M,A17,'04_Swims'!$P:$P,B17,'04_Swims'!$G:$G,"&gt;="&amp;'00_Control'!$B$7)</f>
        <v/>
      </c>
      <c r="G17" s="55">
        <f>IF(C17=0,"",F17/C17)</f>
        <v/>
      </c>
      <c r="H17" s="33" t="inlineStr">
        <is>
          <t>Asymptotic exponential</t>
        </is>
      </c>
      <c r="I17" s="36" t="n">
        <v>1.537160781978461</v>
      </c>
      <c r="J17" s="58" t="n">
        <v>0.01354148982343691</v>
      </c>
      <c r="K17" s="36" t="n">
        <v>1.219423283715889</v>
      </c>
      <c r="L17" s="58" t="n">
        <v>0.01083080066530722</v>
      </c>
      <c r="M17" s="36" t="n">
        <v>1.828219146299227</v>
      </c>
      <c r="N17" s="33" t="n"/>
    </row>
    <row r="18">
      <c r="A18" s="16" t="inlineStr">
        <is>
          <t>SCM</t>
        </is>
      </c>
      <c r="B18" s="16" t="inlineStr">
        <is>
          <t>400 Free</t>
        </is>
      </c>
      <c r="C18" s="16">
        <f>COUNTIFS('04_Swims'!$C:$C,"Grayson Coulter",'04_Swims'!$M:$M,A18,'04_Swims'!$P:$P,B18,'04_Swims'!$G:$G,"&gt;="&amp;'00_Control'!$B$7)</f>
        <v/>
      </c>
      <c r="D18" s="16">
        <f>SUMIFS('04_Swims'!$AG:$AG,'04_Swims'!$C:$C,"Grayson Coulter",'04_Swims'!$M:$M,A18,'04_Swims'!$P:$P,B18,'04_Swims'!$G:$G,"&gt;="&amp;'00_Control'!$B$7)</f>
        <v/>
      </c>
      <c r="E18" s="55">
        <f>IF(C18=0,"",D18/C18)</f>
        <v/>
      </c>
      <c r="F18" s="16">
        <f>SUMIFS('04_Swims'!$AH:$AH,'04_Swims'!$C:$C,"Grayson Coulter",'04_Swims'!$M:$M,A18,'04_Swims'!$P:$P,B18,'04_Swims'!$G:$G,"&gt;="&amp;'00_Control'!$B$7)</f>
        <v/>
      </c>
      <c r="G18" s="55">
        <f>IF(C18=0,"",F18/C18)</f>
        <v/>
      </c>
      <c r="H18" s="33" t="inlineStr">
        <is>
          <t>Linear</t>
        </is>
      </c>
      <c r="I18" s="36" t="n">
        <v>3.681139834229772</v>
      </c>
      <c r="J18" s="58" t="n">
        <v>0.01534261396753776</v>
      </c>
      <c r="K18" s="36" t="n">
        <v>2.595274948551899</v>
      </c>
      <c r="L18" s="58" t="n">
        <v>0.01078586789585123</v>
      </c>
      <c r="M18" s="36" t="n"/>
      <c r="N18" s="33" t="inlineStr">
        <is>
          <t>Sparse dataset: linear descriptive trend shown; cross-validation is not sufficiently supported.</t>
        </is>
      </c>
    </row>
    <row r="19">
      <c r="A19" s="16" t="inlineStr">
        <is>
          <t>SCM</t>
        </is>
      </c>
      <c r="B19" s="16" t="inlineStr">
        <is>
          <t>50 Back</t>
        </is>
      </c>
      <c r="C19" s="16">
        <f>COUNTIFS('04_Swims'!$C:$C,"Grayson Coulter",'04_Swims'!$M:$M,A19,'04_Swims'!$P:$P,B19,'04_Swims'!$G:$G,"&gt;="&amp;'00_Control'!$B$7)</f>
        <v/>
      </c>
      <c r="D19" s="16">
        <f>SUMIFS('04_Swims'!$AG:$AG,'04_Swims'!$C:$C,"Grayson Coulter",'04_Swims'!$M:$M,A19,'04_Swims'!$P:$P,B19,'04_Swims'!$G:$G,"&gt;="&amp;'00_Control'!$B$7)</f>
        <v/>
      </c>
      <c r="E19" s="55">
        <f>IF(C19=0,"",D19/C19)</f>
        <v/>
      </c>
      <c r="F19" s="16">
        <f>SUMIFS('04_Swims'!$AH:$AH,'04_Swims'!$C:$C,"Grayson Coulter",'04_Swims'!$M:$M,A19,'04_Swims'!$P:$P,B19,'04_Swims'!$G:$G,"&gt;="&amp;'00_Control'!$B$7)</f>
        <v/>
      </c>
      <c r="G19" s="55">
        <f>IF(C19=0,"",F19/C19)</f>
        <v/>
      </c>
      <c r="H19" s="33" t="n"/>
      <c r="I19" s="36" t="n"/>
      <c r="J19" s="58" t="n"/>
      <c r="K19" s="36" t="n"/>
      <c r="L19" s="58" t="n"/>
      <c r="M19" s="36" t="n"/>
      <c r="N19" s="33" t="n"/>
    </row>
    <row r="20">
      <c r="A20" s="16" t="inlineStr">
        <is>
          <t>SCM</t>
        </is>
      </c>
      <c r="B20" s="16" t="inlineStr">
        <is>
          <t>100 Back</t>
        </is>
      </c>
      <c r="C20" s="16">
        <f>COUNTIFS('04_Swims'!$C:$C,"Grayson Coulter",'04_Swims'!$M:$M,A20,'04_Swims'!$P:$P,B20,'04_Swims'!$G:$G,"&gt;="&amp;'00_Control'!$B$7)</f>
        <v/>
      </c>
      <c r="D20" s="16">
        <f>SUMIFS('04_Swims'!$AG:$AG,'04_Swims'!$C:$C,"Grayson Coulter",'04_Swims'!$M:$M,A20,'04_Swims'!$P:$P,B20,'04_Swims'!$G:$G,"&gt;="&amp;'00_Control'!$B$7)</f>
        <v/>
      </c>
      <c r="E20" s="55">
        <f>IF(C20=0,"",D20/C20)</f>
        <v/>
      </c>
      <c r="F20" s="16">
        <f>SUMIFS('04_Swims'!$AH:$AH,'04_Swims'!$C:$C,"Grayson Coulter",'04_Swims'!$M:$M,A20,'04_Swims'!$P:$P,B20,'04_Swims'!$G:$G,"&gt;="&amp;'00_Control'!$B$7)</f>
        <v/>
      </c>
      <c r="G20" s="55">
        <f>IF(C20=0,"",F20/C20)</f>
        <v/>
      </c>
      <c r="H20" s="33" t="n"/>
      <c r="I20" s="36" t="n"/>
      <c r="J20" s="58" t="n"/>
      <c r="K20" s="36" t="n"/>
      <c r="L20" s="58" t="n"/>
      <c r="M20" s="36" t="n"/>
      <c r="N20" s="33" t="n"/>
    </row>
    <row r="21">
      <c r="A21" s="16" t="inlineStr">
        <is>
          <t>SCM</t>
        </is>
      </c>
      <c r="B21" s="16" t="inlineStr">
        <is>
          <t>50 Fly</t>
        </is>
      </c>
      <c r="C21" s="16">
        <f>COUNTIFS('04_Swims'!$C:$C,"Grayson Coulter",'04_Swims'!$M:$M,A21,'04_Swims'!$P:$P,B21,'04_Swims'!$G:$G,"&gt;="&amp;'00_Control'!$B$7)</f>
        <v/>
      </c>
      <c r="D21" s="16">
        <f>SUMIFS('04_Swims'!$AG:$AG,'04_Swims'!$C:$C,"Grayson Coulter",'04_Swims'!$M:$M,A21,'04_Swims'!$P:$P,B21,'04_Swims'!$G:$G,"&gt;="&amp;'00_Control'!$B$7)</f>
        <v/>
      </c>
      <c r="E21" s="55">
        <f>IF(C21=0,"",D21/C21)</f>
        <v/>
      </c>
      <c r="F21" s="16">
        <f>SUMIFS('04_Swims'!$AH:$AH,'04_Swims'!$C:$C,"Grayson Coulter",'04_Swims'!$M:$M,A21,'04_Swims'!$P:$P,B21,'04_Swims'!$G:$G,"&gt;="&amp;'00_Control'!$B$7)</f>
        <v/>
      </c>
      <c r="G21" s="55">
        <f>IF(C21=0,"",F21/C21)</f>
        <v/>
      </c>
      <c r="H21" s="33" t="n"/>
      <c r="I21" s="36" t="n"/>
      <c r="J21" s="58" t="n"/>
      <c r="K21" s="36" t="n"/>
      <c r="L21" s="58" t="n"/>
      <c r="M21" s="36" t="n"/>
      <c r="N21" s="33" t="n"/>
    </row>
    <row r="22">
      <c r="A22" s="16" t="inlineStr">
        <is>
          <t>SCM</t>
        </is>
      </c>
      <c r="B22" s="16" t="inlineStr">
        <is>
          <t>100 Fly</t>
        </is>
      </c>
      <c r="C22" s="16">
        <f>COUNTIFS('04_Swims'!$C:$C,"Grayson Coulter",'04_Swims'!$M:$M,A22,'04_Swims'!$P:$P,B22,'04_Swims'!$G:$G,"&gt;="&amp;'00_Control'!$B$7)</f>
        <v/>
      </c>
      <c r="D22" s="16">
        <f>SUMIFS('04_Swims'!$AG:$AG,'04_Swims'!$C:$C,"Grayson Coulter",'04_Swims'!$M:$M,A22,'04_Swims'!$P:$P,B22,'04_Swims'!$G:$G,"&gt;="&amp;'00_Control'!$B$7)</f>
        <v/>
      </c>
      <c r="E22" s="55">
        <f>IF(C22=0,"",D22/C22)</f>
        <v/>
      </c>
      <c r="F22" s="16">
        <f>SUMIFS('04_Swims'!$AH:$AH,'04_Swims'!$C:$C,"Grayson Coulter",'04_Swims'!$M:$M,A22,'04_Swims'!$P:$P,B22,'04_Swims'!$G:$G,"&gt;="&amp;'00_Control'!$B$7)</f>
        <v/>
      </c>
      <c r="G22" s="55">
        <f>IF(C22=0,"",F22/C22)</f>
        <v/>
      </c>
      <c r="H22" s="33" t="inlineStr">
        <is>
          <t>Linear</t>
        </is>
      </c>
      <c r="I22" s="36" t="n">
        <v>0.4759487234408606</v>
      </c>
      <c r="J22" s="58" t="n">
        <v>0.008233103984397578</v>
      </c>
      <c r="K22" s="36" t="n">
        <v>0.3618052631810441</v>
      </c>
      <c r="L22" s="58" t="n">
        <v>0.006256544981057191</v>
      </c>
      <c r="M22" s="36" t="n">
        <v>0.6170050938532705</v>
      </c>
      <c r="N22" s="33" t="n"/>
    </row>
    <row r="23">
      <c r="A23" s="16" t="inlineStr">
        <is>
          <t>SCM</t>
        </is>
      </c>
      <c r="B23" s="16" t="inlineStr">
        <is>
          <t>100 IM</t>
        </is>
      </c>
      <c r="C23" s="16">
        <f>COUNTIFS('04_Swims'!$C:$C,"Grayson Coulter",'04_Swims'!$M:$M,A23,'04_Swims'!$P:$P,B23,'04_Swims'!$G:$G,"&gt;="&amp;'00_Control'!$B$7)</f>
        <v/>
      </c>
      <c r="D23" s="16">
        <f>SUMIFS('04_Swims'!$AG:$AG,'04_Swims'!$C:$C,"Grayson Coulter",'04_Swims'!$M:$M,A23,'04_Swims'!$P:$P,B23,'04_Swims'!$G:$G,"&gt;="&amp;'00_Control'!$B$7)</f>
        <v/>
      </c>
      <c r="E23" s="55">
        <f>IF(C23=0,"",D23/C23)</f>
        <v/>
      </c>
      <c r="F23" s="16">
        <f>SUMIFS('04_Swims'!$AH:$AH,'04_Swims'!$C:$C,"Grayson Coulter",'04_Swims'!$M:$M,A23,'04_Swims'!$P:$P,B23,'04_Swims'!$G:$G,"&gt;="&amp;'00_Control'!$B$7)</f>
        <v/>
      </c>
      <c r="G23" s="55">
        <f>IF(C23=0,"",F23/C23)</f>
        <v/>
      </c>
      <c r="H23" s="33" t="n"/>
      <c r="I23" s="36" t="n"/>
      <c r="J23" s="58" t="n"/>
      <c r="K23" s="36" t="n"/>
      <c r="L23" s="58" t="n"/>
      <c r="M23" s="36" t="n"/>
      <c r="N23" s="33" t="n"/>
    </row>
    <row r="24">
      <c r="A24" s="16" t="inlineStr">
        <is>
          <t>SCM</t>
        </is>
      </c>
      <c r="B24" s="16" t="inlineStr">
        <is>
          <t>200 IM</t>
        </is>
      </c>
      <c r="C24" s="16">
        <f>COUNTIFS('04_Swims'!$C:$C,"Grayson Coulter",'04_Swims'!$M:$M,A24,'04_Swims'!$P:$P,B24,'04_Swims'!$G:$G,"&gt;="&amp;'00_Control'!$B$7)</f>
        <v/>
      </c>
      <c r="D24" s="16">
        <f>SUMIFS('04_Swims'!$AG:$AG,'04_Swims'!$C:$C,"Grayson Coulter",'04_Swims'!$M:$M,A24,'04_Swims'!$P:$P,B24,'04_Swims'!$G:$G,"&gt;="&amp;'00_Control'!$B$7)</f>
        <v/>
      </c>
      <c r="E24" s="55">
        <f>IF(C24=0,"",D24/C24)</f>
        <v/>
      </c>
      <c r="F24" s="16">
        <f>SUMIFS('04_Swims'!$AH:$AH,'04_Swims'!$C:$C,"Grayson Coulter",'04_Swims'!$M:$M,A24,'04_Swims'!$P:$P,B24,'04_Swims'!$G:$G,"&gt;="&amp;'00_Control'!$B$7)</f>
        <v/>
      </c>
      <c r="G24" s="55">
        <f>IF(C24=0,"",F24/C24)</f>
        <v/>
      </c>
      <c r="H24" s="33" t="n"/>
      <c r="I24" s="36" t="n"/>
      <c r="J24" s="58" t="n"/>
      <c r="K24" s="36" t="n"/>
      <c r="L24" s="58" t="n"/>
      <c r="M24" s="36" t="n"/>
      <c r="N24" s="33" t="n"/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17" min="1" max="1"/>
    <col width="15" customWidth="1" style="17" min="2" max="2"/>
    <col width="28" customWidth="1" style="17" min="3" max="3"/>
    <col width="13" customWidth="1" style="17" min="4" max="4"/>
    <col width="11" customWidth="1" style="17" min="5" max="5"/>
    <col width="18" customWidth="1" style="17" min="6" max="6"/>
    <col width="70" customWidth="1" style="17" min="7" max="7"/>
  </cols>
  <sheetData>
    <row r="1" ht="26" customHeight="1" s="17">
      <c r="A1" s="31" t="inlineStr">
        <is>
          <t>Trend model comparison</t>
        </is>
      </c>
    </row>
    <row r="2" ht="32" customHeight="1" s="17">
      <c r="A2" s="32" t="inlineStr">
        <is>
          <t>Grouped cross-validation by meet. The simplest model within 5% of the best CV MAE is selected. Blank CV scores mean the model could not be supported by the available data.</t>
        </is>
      </c>
    </row>
    <row r="4" ht="30" customHeight="1" s="17">
      <c r="A4" s="28" t="inlineStr">
        <is>
          <t>Course</t>
        </is>
      </c>
      <c r="B4" s="28" t="inlineStr">
        <is>
          <t>Event</t>
        </is>
      </c>
      <c r="C4" s="28" t="inlineStr">
        <is>
          <t>Model</t>
        </is>
      </c>
      <c r="D4" s="28" t="inlineStr">
        <is>
          <t>CV MAE (s)</t>
        </is>
      </c>
      <c r="E4" s="28" t="inlineStr">
        <is>
          <t>Selected?</t>
        </is>
      </c>
      <c r="F4" s="28" t="inlineStr">
        <is>
          <t>Model Complexity</t>
        </is>
      </c>
      <c r="G4" s="28" t="inlineStr">
        <is>
          <t>Notes</t>
        </is>
      </c>
    </row>
    <row r="5" s="17">
      <c r="A5" s="16" t="inlineStr">
        <is>
          <t>LCM</t>
        </is>
      </c>
      <c r="B5" s="16" t="inlineStr">
        <is>
          <t>100 Free</t>
        </is>
      </c>
      <c r="C5" s="16" t="inlineStr">
        <is>
          <t>Linear</t>
        </is>
      </c>
      <c r="D5" s="56" t="n">
        <v>0.6042999999999999</v>
      </c>
      <c r="E5" s="16" t="inlineStr">
        <is>
          <t>NO</t>
        </is>
      </c>
      <c r="F5" s="16" t="n">
        <v>2</v>
      </c>
      <c r="G5" s="16" t="n"/>
    </row>
    <row r="6">
      <c r="A6" s="16" t="inlineStr">
        <is>
          <t>LCM</t>
        </is>
      </c>
      <c r="B6" s="16" t="inlineStr">
        <is>
          <t>100 Free</t>
        </is>
      </c>
      <c r="C6" s="16" t="inlineStr">
        <is>
          <t>Quadratic</t>
        </is>
      </c>
      <c r="D6" s="56" t="n">
        <v>0.6291</v>
      </c>
      <c r="E6" s="16" t="inlineStr">
        <is>
          <t>NO</t>
        </is>
      </c>
      <c r="F6" s="16" t="n">
        <v>3</v>
      </c>
      <c r="G6" s="16" t="n"/>
    </row>
    <row r="7">
      <c r="A7" s="16" t="inlineStr">
        <is>
          <t>LCM</t>
        </is>
      </c>
      <c r="B7" s="16" t="inlineStr">
        <is>
          <t>100 Free</t>
        </is>
      </c>
      <c r="C7" s="16" t="inlineStr">
        <is>
          <t>Logarithmic</t>
        </is>
      </c>
      <c r="D7" s="56" t="n">
        <v>0.5376</v>
      </c>
      <c r="E7" s="16" t="inlineStr">
        <is>
          <t>YES</t>
        </is>
      </c>
      <c r="F7" s="16" t="n">
        <v>2</v>
      </c>
      <c r="G7" s="16" t="n"/>
    </row>
    <row r="8">
      <c r="A8" s="16" t="inlineStr">
        <is>
          <t>LCM</t>
        </is>
      </c>
      <c r="B8" s="16" t="inlineStr">
        <is>
          <t>100 Free</t>
        </is>
      </c>
      <c r="C8" s="16" t="inlineStr">
        <is>
          <t>Asymptotic exponential</t>
        </is>
      </c>
      <c r="D8" s="56" t="n">
        <v>0.5732</v>
      </c>
      <c r="E8" s="16" t="inlineStr">
        <is>
          <t>NO</t>
        </is>
      </c>
      <c r="F8" s="16" t="n">
        <v>3</v>
      </c>
      <c r="G8" s="16" t="n"/>
    </row>
    <row r="9">
      <c r="A9" s="16" t="inlineStr">
        <is>
          <t>LCM</t>
        </is>
      </c>
      <c r="B9" s="16" t="inlineStr">
        <is>
          <t>100 Free</t>
        </is>
      </c>
      <c r="C9" s="16" t="inlineStr">
        <is>
          <t>Stretched exponential</t>
        </is>
      </c>
      <c r="D9" s="56" t="n">
        <v>0.5844</v>
      </c>
      <c r="E9" s="16" t="inlineStr">
        <is>
          <t>NO</t>
        </is>
      </c>
      <c r="F9" s="16" t="n">
        <v>4</v>
      </c>
      <c r="G9" s="16" t="n"/>
    </row>
    <row r="10">
      <c r="A10" s="16" t="inlineStr">
        <is>
          <t>LCM</t>
        </is>
      </c>
      <c r="B10" s="16" t="inlineStr">
        <is>
          <t>100 Free</t>
        </is>
      </c>
      <c r="C10" s="16" t="inlineStr">
        <is>
          <t>Smoothing spline</t>
        </is>
      </c>
      <c r="D10" s="56" t="n">
        <v>0.677</v>
      </c>
      <c r="E10" s="16" t="inlineStr">
        <is>
          <t>NO</t>
        </is>
      </c>
      <c r="F10" s="16" t="n">
        <v>5</v>
      </c>
      <c r="G10" s="16" t="n"/>
    </row>
    <row r="11">
      <c r="A11" s="16" t="inlineStr">
        <is>
          <t>LCM</t>
        </is>
      </c>
      <c r="B11" s="16" t="inlineStr">
        <is>
          <t>200 Free</t>
        </is>
      </c>
      <c r="C11" s="16" t="inlineStr">
        <is>
          <t>Linear</t>
        </is>
      </c>
      <c r="D11" s="56" t="n">
        <v>1.4933</v>
      </c>
      <c r="E11" s="16" t="inlineStr">
        <is>
          <t>NO</t>
        </is>
      </c>
      <c r="F11" s="16" t="n">
        <v>2</v>
      </c>
      <c r="G11" s="16" t="n"/>
    </row>
    <row r="12">
      <c r="A12" s="16" t="inlineStr">
        <is>
          <t>LCM</t>
        </is>
      </c>
      <c r="B12" s="16" t="inlineStr">
        <is>
          <t>200 Free</t>
        </is>
      </c>
      <c r="C12" s="16" t="inlineStr">
        <is>
          <t>Quadratic</t>
        </is>
      </c>
      <c r="D12" s="56" t="n">
        <v>1.5476</v>
      </c>
      <c r="E12" s="16" t="inlineStr">
        <is>
          <t>NO</t>
        </is>
      </c>
      <c r="F12" s="16" t="n">
        <v>3</v>
      </c>
      <c r="G12" s="16" t="n"/>
    </row>
    <row r="13">
      <c r="A13" s="16" t="inlineStr">
        <is>
          <t>LCM</t>
        </is>
      </c>
      <c r="B13" s="16" t="inlineStr">
        <is>
          <t>200 Free</t>
        </is>
      </c>
      <c r="C13" s="16" t="inlineStr">
        <is>
          <t>Logarithmic</t>
        </is>
      </c>
      <c r="D13" s="56" t="n">
        <v>1.2684</v>
      </c>
      <c r="E13" s="16" t="inlineStr">
        <is>
          <t>YES</t>
        </is>
      </c>
      <c r="F13" s="16" t="n">
        <v>2</v>
      </c>
      <c r="G13" s="16" t="n"/>
    </row>
    <row r="14">
      <c r="A14" s="16" t="inlineStr">
        <is>
          <t>LCM</t>
        </is>
      </c>
      <c r="B14" s="16" t="inlineStr">
        <is>
          <t>200 Free</t>
        </is>
      </c>
      <c r="C14" s="16" t="inlineStr">
        <is>
          <t>Asymptotic exponential</t>
        </is>
      </c>
      <c r="D14" s="56" t="n">
        <v>1.4477</v>
      </c>
      <c r="E14" s="16" t="inlineStr">
        <is>
          <t>NO</t>
        </is>
      </c>
      <c r="F14" s="16" t="n">
        <v>3</v>
      </c>
      <c r="G14" s="16" t="n"/>
    </row>
    <row r="15">
      <c r="A15" s="16" t="inlineStr">
        <is>
          <t>LCM</t>
        </is>
      </c>
      <c r="B15" s="16" t="inlineStr">
        <is>
          <t>200 Free</t>
        </is>
      </c>
      <c r="C15" s="16" t="inlineStr">
        <is>
          <t>Stretched exponential</t>
        </is>
      </c>
      <c r="D15" s="56" t="n">
        <v>1.4526</v>
      </c>
      <c r="E15" s="16" t="inlineStr">
        <is>
          <t>NO</t>
        </is>
      </c>
      <c r="F15" s="16" t="n">
        <v>4</v>
      </c>
      <c r="G15" s="16" t="n"/>
    </row>
    <row r="16">
      <c r="A16" s="16" t="inlineStr">
        <is>
          <t>LCM</t>
        </is>
      </c>
      <c r="B16" s="16" t="inlineStr">
        <is>
          <t>200 Free</t>
        </is>
      </c>
      <c r="C16" s="16" t="inlineStr">
        <is>
          <t>Smoothing spline</t>
        </is>
      </c>
      <c r="D16" s="56" t="n">
        <v>1.7218</v>
      </c>
      <c r="E16" s="16" t="inlineStr">
        <is>
          <t>NO</t>
        </is>
      </c>
      <c r="F16" s="16" t="n">
        <v>5</v>
      </c>
      <c r="G16" s="16" t="n"/>
    </row>
    <row r="17">
      <c r="A17" s="16" t="inlineStr">
        <is>
          <t>LCM</t>
        </is>
      </c>
      <c r="B17" s="16" t="inlineStr">
        <is>
          <t>400 Free</t>
        </is>
      </c>
      <c r="C17" s="16" t="inlineStr">
        <is>
          <t>Linear</t>
        </is>
      </c>
      <c r="D17" s="56" t="n">
        <v>6.198</v>
      </c>
      <c r="E17" s="16" t="inlineStr">
        <is>
          <t>NO</t>
        </is>
      </c>
      <c r="F17" s="16" t="n">
        <v>2</v>
      </c>
      <c r="G17" s="16" t="n"/>
    </row>
    <row r="18">
      <c r="A18" s="16" t="inlineStr">
        <is>
          <t>LCM</t>
        </is>
      </c>
      <c r="B18" s="16" t="inlineStr">
        <is>
          <t>400 Free</t>
        </is>
      </c>
      <c r="C18" s="16" t="inlineStr">
        <is>
          <t>Quadratic</t>
        </is>
      </c>
      <c r="D18" s="56" t="n">
        <v>3.2518</v>
      </c>
      <c r="E18" s="16" t="inlineStr">
        <is>
          <t>YES</t>
        </is>
      </c>
      <c r="F18" s="16" t="n">
        <v>3</v>
      </c>
      <c r="G18" s="16" t="n"/>
    </row>
    <row r="19">
      <c r="A19" s="16" t="inlineStr">
        <is>
          <t>LCM</t>
        </is>
      </c>
      <c r="B19" s="16" t="inlineStr">
        <is>
          <t>400 Free</t>
        </is>
      </c>
      <c r="C19" s="16" t="inlineStr">
        <is>
          <t>Logarithmic</t>
        </is>
      </c>
      <c r="D19" s="56" t="n">
        <v>5.3605</v>
      </c>
      <c r="E19" s="16" t="inlineStr">
        <is>
          <t>NO</t>
        </is>
      </c>
      <c r="F19" s="16" t="n">
        <v>2</v>
      </c>
      <c r="G19" s="16" t="n"/>
    </row>
    <row r="20">
      <c r="A20" s="16" t="inlineStr">
        <is>
          <t>LCM</t>
        </is>
      </c>
      <c r="B20" s="16" t="inlineStr">
        <is>
          <t>400 Free</t>
        </is>
      </c>
      <c r="C20" s="16" t="inlineStr">
        <is>
          <t>Asymptotic exponential</t>
        </is>
      </c>
      <c r="D20" s="56" t="n">
        <v>3.939</v>
      </c>
      <c r="E20" s="16" t="inlineStr">
        <is>
          <t>NO</t>
        </is>
      </c>
      <c r="F20" s="16" t="n">
        <v>3</v>
      </c>
      <c r="G20" s="16" t="n"/>
    </row>
    <row r="21">
      <c r="A21" s="16" t="inlineStr">
        <is>
          <t>LCM</t>
        </is>
      </c>
      <c r="B21" s="16" t="inlineStr">
        <is>
          <t>400 Free</t>
        </is>
      </c>
      <c r="C21" s="16" t="inlineStr">
        <is>
          <t>Stretched exponential</t>
        </is>
      </c>
      <c r="D21" s="56" t="n">
        <v>35.5084</v>
      </c>
      <c r="E21" s="16" t="inlineStr">
        <is>
          <t>NO</t>
        </is>
      </c>
      <c r="F21" s="16" t="n">
        <v>4</v>
      </c>
      <c r="G21" s="16" t="n"/>
    </row>
    <row r="22">
      <c r="A22" s="16" t="inlineStr">
        <is>
          <t>LCM</t>
        </is>
      </c>
      <c r="B22" s="16" t="inlineStr">
        <is>
          <t>400 Free</t>
        </is>
      </c>
      <c r="C22" s="16" t="inlineStr">
        <is>
          <t>Smoothing spline</t>
        </is>
      </c>
      <c r="D22" s="56" t="n">
        <v/>
      </c>
      <c r="E22" s="16" t="inlineStr">
        <is>
          <t>NO</t>
        </is>
      </c>
      <c r="F22" s="16" t="n">
        <v>5</v>
      </c>
      <c r="G22" s="16" t="n"/>
    </row>
    <row r="23">
      <c r="A23" s="16" t="inlineStr">
        <is>
          <t>LCM</t>
        </is>
      </c>
      <c r="B23" s="16" t="inlineStr">
        <is>
          <t>100 Fly</t>
        </is>
      </c>
      <c r="C23" s="16" t="inlineStr">
        <is>
          <t>Linear</t>
        </is>
      </c>
      <c r="D23" s="56" t="n">
        <v>1.7993</v>
      </c>
      <c r="E23" s="16" t="inlineStr">
        <is>
          <t>NO</t>
        </is>
      </c>
      <c r="F23" s="16" t="n">
        <v>2</v>
      </c>
      <c r="G23" s="16" t="n"/>
    </row>
    <row r="24">
      <c r="A24" s="16" t="inlineStr">
        <is>
          <t>LCM</t>
        </is>
      </c>
      <c r="B24" s="16" t="inlineStr">
        <is>
          <t>100 Fly</t>
        </is>
      </c>
      <c r="C24" s="16" t="inlineStr">
        <is>
          <t>Quadratic</t>
        </is>
      </c>
      <c r="D24" s="56" t="n">
        <v>1.0245</v>
      </c>
      <c r="E24" s="16" t="inlineStr">
        <is>
          <t>YES</t>
        </is>
      </c>
      <c r="F24" s="16" t="n">
        <v>3</v>
      </c>
      <c r="G24" s="16" t="n"/>
    </row>
    <row r="25">
      <c r="A25" s="16" t="inlineStr">
        <is>
          <t>LCM</t>
        </is>
      </c>
      <c r="B25" s="16" t="inlineStr">
        <is>
          <t>100 Fly</t>
        </is>
      </c>
      <c r="C25" s="16" t="inlineStr">
        <is>
          <t>Logarithmic</t>
        </is>
      </c>
      <c r="D25" s="56" t="n">
        <v>1.5257</v>
      </c>
      <c r="E25" s="16" t="inlineStr">
        <is>
          <t>NO</t>
        </is>
      </c>
      <c r="F25" s="16" t="n">
        <v>2</v>
      </c>
      <c r="G25" s="16" t="n"/>
    </row>
    <row r="26">
      <c r="A26" s="16" t="inlineStr">
        <is>
          <t>LCM</t>
        </is>
      </c>
      <c r="B26" s="16" t="inlineStr">
        <is>
          <t>100 Fly</t>
        </is>
      </c>
      <c r="C26" s="16" t="inlineStr">
        <is>
          <t>Asymptotic exponential</t>
        </is>
      </c>
      <c r="D26" s="56" t="n">
        <v>1.0403</v>
      </c>
      <c r="E26" s="16" t="inlineStr">
        <is>
          <t>NO</t>
        </is>
      </c>
      <c r="F26" s="16" t="n">
        <v>3</v>
      </c>
      <c r="G26" s="16" t="n"/>
    </row>
    <row r="27">
      <c r="A27" s="16" t="inlineStr">
        <is>
          <t>LCM</t>
        </is>
      </c>
      <c r="B27" s="16" t="inlineStr">
        <is>
          <t>100 Fly</t>
        </is>
      </c>
      <c r="C27" s="16" t="inlineStr">
        <is>
          <t>Stretched exponential</t>
        </is>
      </c>
      <c r="D27" s="56" t="n">
        <v>1.0469</v>
      </c>
      <c r="E27" s="16" t="inlineStr">
        <is>
          <t>NO</t>
        </is>
      </c>
      <c r="F27" s="16" t="n">
        <v>4</v>
      </c>
      <c r="G27" s="16" t="n"/>
    </row>
    <row r="28">
      <c r="A28" s="16" t="inlineStr">
        <is>
          <t>LCM</t>
        </is>
      </c>
      <c r="B28" s="16" t="inlineStr">
        <is>
          <t>100 Fly</t>
        </is>
      </c>
      <c r="C28" s="16" t="inlineStr">
        <is>
          <t>Smoothing spline</t>
        </is>
      </c>
      <c r="D28" s="56" t="n">
        <v>1.1431</v>
      </c>
      <c r="E28" s="16" t="inlineStr">
        <is>
          <t>NO</t>
        </is>
      </c>
      <c r="F28" s="16" t="n">
        <v>5</v>
      </c>
      <c r="G28" s="16" t="n"/>
    </row>
    <row r="29">
      <c r="A29" s="16" t="inlineStr">
        <is>
          <t>SCM</t>
        </is>
      </c>
      <c r="B29" s="16" t="inlineStr">
        <is>
          <t>100 Free</t>
        </is>
      </c>
      <c r="C29" s="16" t="inlineStr">
        <is>
          <t>Linear</t>
        </is>
      </c>
      <c r="D29" s="56" t="n">
        <v>0.7837</v>
      </c>
      <c r="E29" s="16" t="inlineStr">
        <is>
          <t>NO</t>
        </is>
      </c>
      <c r="F29" s="16" t="n">
        <v>2</v>
      </c>
      <c r="G29" s="16" t="n"/>
    </row>
    <row r="30">
      <c r="A30" s="16" t="inlineStr">
        <is>
          <t>SCM</t>
        </is>
      </c>
      <c r="B30" s="16" t="inlineStr">
        <is>
          <t>100 Free</t>
        </is>
      </c>
      <c r="C30" s="16" t="inlineStr">
        <is>
          <t>Quadratic</t>
        </is>
      </c>
      <c r="D30" s="56" t="n">
        <v>1.4543</v>
      </c>
      <c r="E30" s="16" t="inlineStr">
        <is>
          <t>NO</t>
        </is>
      </c>
      <c r="F30" s="16" t="n">
        <v>3</v>
      </c>
      <c r="G30" s="16" t="n"/>
    </row>
    <row r="31">
      <c r="A31" s="16" t="inlineStr">
        <is>
          <t>SCM</t>
        </is>
      </c>
      <c r="B31" s="16" t="inlineStr">
        <is>
          <t>100 Free</t>
        </is>
      </c>
      <c r="C31" s="16" t="inlineStr">
        <is>
          <t>Logarithmic</t>
        </is>
      </c>
      <c r="D31" s="56" t="n">
        <v>0.7063</v>
      </c>
      <c r="E31" s="16" t="inlineStr">
        <is>
          <t>YES</t>
        </is>
      </c>
      <c r="F31" s="16" t="n">
        <v>2</v>
      </c>
      <c r="G31" s="16" t="n"/>
    </row>
    <row r="32">
      <c r="A32" s="16" t="inlineStr">
        <is>
          <t>SCM</t>
        </is>
      </c>
      <c r="B32" s="16" t="inlineStr">
        <is>
          <t>100 Free</t>
        </is>
      </c>
      <c r="C32" s="16" t="inlineStr">
        <is>
          <t>Asymptotic exponential</t>
        </is>
      </c>
      <c r="D32" s="56" t="n">
        <v>0.6987</v>
      </c>
      <c r="E32" s="16" t="inlineStr">
        <is>
          <t>NO</t>
        </is>
      </c>
      <c r="F32" s="16" t="n">
        <v>3</v>
      </c>
      <c r="G32" s="16" t="n"/>
    </row>
    <row r="33">
      <c r="A33" s="16" t="inlineStr">
        <is>
          <t>SCM</t>
        </is>
      </c>
      <c r="B33" s="16" t="inlineStr">
        <is>
          <t>100 Free</t>
        </is>
      </c>
      <c r="C33" s="16" t="inlineStr">
        <is>
          <t>Stretched exponential</t>
        </is>
      </c>
      <c r="D33" s="56" t="n">
        <v>0.8196</v>
      </c>
      <c r="E33" s="16" t="inlineStr">
        <is>
          <t>NO</t>
        </is>
      </c>
      <c r="F33" s="16" t="n">
        <v>4</v>
      </c>
      <c r="G33" s="16" t="n"/>
    </row>
    <row r="34">
      <c r="A34" s="16" t="inlineStr">
        <is>
          <t>SCM</t>
        </is>
      </c>
      <c r="B34" s="16" t="inlineStr">
        <is>
          <t>100 Free</t>
        </is>
      </c>
      <c r="C34" s="16" t="inlineStr">
        <is>
          <t>Smoothing spline</t>
        </is>
      </c>
      <c r="D34" s="56" t="n">
        <v>6.3674</v>
      </c>
      <c r="E34" s="16" t="inlineStr">
        <is>
          <t>NO</t>
        </is>
      </c>
      <c r="F34" s="16" t="n">
        <v>5</v>
      </c>
      <c r="G34" s="16" t="n"/>
    </row>
    <row r="35">
      <c r="A35" s="16" t="inlineStr">
        <is>
          <t>SCM</t>
        </is>
      </c>
      <c r="B35" s="16" t="inlineStr">
        <is>
          <t>200 Free</t>
        </is>
      </c>
      <c r="C35" s="16" t="inlineStr">
        <is>
          <t>Linear</t>
        </is>
      </c>
      <c r="D35" s="56" t="n">
        <v>2.2238</v>
      </c>
      <c r="E35" s="16" t="inlineStr">
        <is>
          <t>NO</t>
        </is>
      </c>
      <c r="F35" s="16" t="n">
        <v>2</v>
      </c>
      <c r="G35" s="16" t="n"/>
    </row>
    <row r="36">
      <c r="A36" s="16" t="inlineStr">
        <is>
          <t>SCM</t>
        </is>
      </c>
      <c r="B36" s="16" t="inlineStr">
        <is>
          <t>200 Free</t>
        </is>
      </c>
      <c r="C36" s="16" t="inlineStr">
        <is>
          <t>Quadratic</t>
        </is>
      </c>
      <c r="D36" s="56" t="n">
        <v>3.438</v>
      </c>
      <c r="E36" s="16" t="inlineStr">
        <is>
          <t>NO</t>
        </is>
      </c>
      <c r="F36" s="16" t="n">
        <v>3</v>
      </c>
      <c r="G36" s="16" t="n"/>
    </row>
    <row r="37">
      <c r="A37" s="16" t="inlineStr">
        <is>
          <t>SCM</t>
        </is>
      </c>
      <c r="B37" s="16" t="inlineStr">
        <is>
          <t>200 Free</t>
        </is>
      </c>
      <c r="C37" s="16" t="inlineStr">
        <is>
          <t>Logarithmic</t>
        </is>
      </c>
      <c r="D37" s="56" t="n">
        <v>2.0498</v>
      </c>
      <c r="E37" s="16" t="inlineStr">
        <is>
          <t>NO</t>
        </is>
      </c>
      <c r="F37" s="16" t="n">
        <v>2</v>
      </c>
      <c r="G37" s="16" t="n"/>
    </row>
    <row r="38">
      <c r="A38" s="16" t="inlineStr">
        <is>
          <t>SCM</t>
        </is>
      </c>
      <c r="B38" s="16" t="inlineStr">
        <is>
          <t>200 Free</t>
        </is>
      </c>
      <c r="C38" s="16" t="inlineStr">
        <is>
          <t>Asymptotic exponential</t>
        </is>
      </c>
      <c r="D38" s="56" t="n">
        <v>1.8282</v>
      </c>
      <c r="E38" s="16" t="inlineStr">
        <is>
          <t>YES</t>
        </is>
      </c>
      <c r="F38" s="16" t="n">
        <v>3</v>
      </c>
      <c r="G38" s="16" t="n"/>
    </row>
    <row r="39">
      <c r="A39" s="16" t="inlineStr">
        <is>
          <t>SCM</t>
        </is>
      </c>
      <c r="B39" s="16" t="inlineStr">
        <is>
          <t>200 Free</t>
        </is>
      </c>
      <c r="C39" s="16" t="inlineStr">
        <is>
          <t>Stretched exponential</t>
        </is>
      </c>
      <c r="D39" s="56" t="n">
        <v>2.1757</v>
      </c>
      <c r="E39" s="16" t="inlineStr">
        <is>
          <t>NO</t>
        </is>
      </c>
      <c r="F39" s="16" t="n">
        <v>4</v>
      </c>
      <c r="G39" s="16" t="n"/>
    </row>
    <row r="40">
      <c r="A40" s="16" t="inlineStr">
        <is>
          <t>SCM</t>
        </is>
      </c>
      <c r="B40" s="16" t="inlineStr">
        <is>
          <t>200 Free</t>
        </is>
      </c>
      <c r="C40" s="16" t="inlineStr">
        <is>
          <t>Smoothing spline</t>
        </is>
      </c>
      <c r="D40" s="56" t="n">
        <v>17.7795</v>
      </c>
      <c r="E40" s="16" t="inlineStr">
        <is>
          <t>NO</t>
        </is>
      </c>
      <c r="F40" s="16" t="n">
        <v>5</v>
      </c>
      <c r="G40" s="16" t="n"/>
    </row>
    <row r="41">
      <c r="A41" s="16" t="inlineStr">
        <is>
          <t>SCM</t>
        </is>
      </c>
      <c r="B41" s="16" t="inlineStr">
        <is>
          <t>400 Free</t>
        </is>
      </c>
      <c r="C41" s="16" t="inlineStr">
        <is>
          <t>Linear</t>
        </is>
      </c>
      <c r="D41" s="56" t="n"/>
      <c r="E41" s="16" t="inlineStr">
        <is>
          <t>YES</t>
        </is>
      </c>
      <c r="F41" s="16" t="n">
        <v>2</v>
      </c>
      <c r="G41" s="16" t="n"/>
    </row>
    <row r="42">
      <c r="A42" s="16" t="inlineStr">
        <is>
          <t>SCM</t>
        </is>
      </c>
      <c r="B42" s="16" t="inlineStr">
        <is>
          <t>400 Free</t>
        </is>
      </c>
      <c r="C42" s="16" t="inlineStr">
        <is>
          <t>Quadratic</t>
        </is>
      </c>
      <c r="D42" s="56" t="n"/>
      <c r="E42" s="16" t="inlineStr">
        <is>
          <t>NO</t>
        </is>
      </c>
      <c r="F42" s="16" t="n">
        <v>3</v>
      </c>
      <c r="G42" s="16" t="n"/>
    </row>
    <row r="43">
      <c r="A43" s="16" t="inlineStr">
        <is>
          <t>SCM</t>
        </is>
      </c>
      <c r="B43" s="16" t="inlineStr">
        <is>
          <t>400 Free</t>
        </is>
      </c>
      <c r="C43" s="16" t="inlineStr">
        <is>
          <t>Logarithmic</t>
        </is>
      </c>
      <c r="D43" s="56" t="n"/>
      <c r="E43" s="16" t="inlineStr">
        <is>
          <t>NO</t>
        </is>
      </c>
      <c r="F43" s="16" t="n">
        <v>2</v>
      </c>
      <c r="G43" s="16" t="n"/>
    </row>
    <row r="44">
      <c r="A44" s="16" t="inlineStr">
        <is>
          <t>SCM</t>
        </is>
      </c>
      <c r="B44" s="16" t="inlineStr">
        <is>
          <t>400 Free</t>
        </is>
      </c>
      <c r="C44" s="16" t="inlineStr">
        <is>
          <t>Asymptotic exponential</t>
        </is>
      </c>
      <c r="D44" s="56" t="n"/>
      <c r="E44" s="16" t="inlineStr">
        <is>
          <t>NO</t>
        </is>
      </c>
      <c r="F44" s="16" t="n">
        <v>3</v>
      </c>
      <c r="G44" s="16" t="n"/>
    </row>
    <row r="45">
      <c r="A45" s="16" t="inlineStr">
        <is>
          <t>SCM</t>
        </is>
      </c>
      <c r="B45" s="16" t="inlineStr">
        <is>
          <t>400 Free</t>
        </is>
      </c>
      <c r="C45" s="16" t="inlineStr">
        <is>
          <t>Stretched exponential</t>
        </is>
      </c>
      <c r="D45" s="56" t="n"/>
      <c r="E45" s="16" t="inlineStr">
        <is>
          <t>NO</t>
        </is>
      </c>
      <c r="F45" s="16" t="n">
        <v>4</v>
      </c>
      <c r="G45" s="16" t="n"/>
    </row>
    <row r="46">
      <c r="A46" s="16" t="inlineStr">
        <is>
          <t>SCM</t>
        </is>
      </c>
      <c r="B46" s="16" t="inlineStr">
        <is>
          <t>400 Free</t>
        </is>
      </c>
      <c r="C46" s="16" t="inlineStr">
        <is>
          <t>Smoothing spline</t>
        </is>
      </c>
      <c r="D46" s="56" t="n"/>
      <c r="E46" s="16" t="inlineStr">
        <is>
          <t>NO</t>
        </is>
      </c>
      <c r="F46" s="16" t="n">
        <v>5</v>
      </c>
      <c r="G46" s="16" t="n"/>
    </row>
    <row r="47">
      <c r="A47" s="16" t="inlineStr">
        <is>
          <t>SCM</t>
        </is>
      </c>
      <c r="B47" s="16" t="inlineStr">
        <is>
          <t>100 Fly</t>
        </is>
      </c>
      <c r="C47" s="16" t="inlineStr">
        <is>
          <t>Linear</t>
        </is>
      </c>
      <c r="D47" s="56" t="n">
        <v>0.617</v>
      </c>
      <c r="E47" s="16" t="inlineStr">
        <is>
          <t>YES</t>
        </is>
      </c>
      <c r="F47" s="16" t="n">
        <v>2</v>
      </c>
      <c r="G47" s="16" t="n"/>
    </row>
    <row r="48">
      <c r="A48" s="16" t="inlineStr">
        <is>
          <t>SCM</t>
        </is>
      </c>
      <c r="B48" s="16" t="inlineStr">
        <is>
          <t>100 Fly</t>
        </is>
      </c>
      <c r="C48" s="16" t="inlineStr">
        <is>
          <t>Quadratic</t>
        </is>
      </c>
      <c r="D48" s="56" t="n">
        <v>8.177899999999999</v>
      </c>
      <c r="E48" s="16" t="inlineStr">
        <is>
          <t>NO</t>
        </is>
      </c>
      <c r="F48" s="16" t="n">
        <v>3</v>
      </c>
      <c r="G48" s="16" t="n"/>
    </row>
    <row r="49">
      <c r="A49" s="16" t="inlineStr">
        <is>
          <t>SCM</t>
        </is>
      </c>
      <c r="B49" s="16" t="inlineStr">
        <is>
          <t>100 Fly</t>
        </is>
      </c>
      <c r="C49" s="16" t="inlineStr">
        <is>
          <t>Logarithmic</t>
        </is>
      </c>
      <c r="D49" s="56" t="n">
        <v>0.8073</v>
      </c>
      <c r="E49" s="16" t="inlineStr">
        <is>
          <t>NO</t>
        </is>
      </c>
      <c r="F49" s="16" t="n">
        <v>2</v>
      </c>
      <c r="G49" s="16" t="n"/>
    </row>
    <row r="50">
      <c r="A50" s="16" t="inlineStr">
        <is>
          <t>SCM</t>
        </is>
      </c>
      <c r="B50" s="16" t="inlineStr">
        <is>
          <t>100 Fly</t>
        </is>
      </c>
      <c r="C50" s="16" t="inlineStr">
        <is>
          <t>Asymptotic exponential</t>
        </is>
      </c>
      <c r="D50" s="56" t="n">
        <v>1.2177</v>
      </c>
      <c r="E50" s="16" t="inlineStr">
        <is>
          <t>NO</t>
        </is>
      </c>
      <c r="F50" s="16" t="n">
        <v>3</v>
      </c>
      <c r="G50" s="16" t="n"/>
    </row>
    <row r="51">
      <c r="A51" s="16" t="inlineStr">
        <is>
          <t>SCM</t>
        </is>
      </c>
      <c r="B51" s="16" t="inlineStr">
        <is>
          <t>100 Fly</t>
        </is>
      </c>
      <c r="C51" s="16" t="inlineStr">
        <is>
          <t>Stretched exponential</t>
        </is>
      </c>
      <c r="D51" s="56" t="n">
        <v>1.4266</v>
      </c>
      <c r="E51" s="16" t="inlineStr">
        <is>
          <t>NO</t>
        </is>
      </c>
      <c r="F51" s="16" t="n">
        <v>4</v>
      </c>
      <c r="G51" s="16" t="n"/>
    </row>
    <row r="52">
      <c r="A52" s="16" t="inlineStr">
        <is>
          <t>SCM</t>
        </is>
      </c>
      <c r="B52" s="16" t="inlineStr">
        <is>
          <t>100 Fly</t>
        </is>
      </c>
      <c r="C52" s="16" t="inlineStr">
        <is>
          <t>Smoothing spline</t>
        </is>
      </c>
      <c r="D52" s="56" t="n">
        <v>1.7417</v>
      </c>
      <c r="E52" s="16" t="inlineStr">
        <is>
          <t>NO</t>
        </is>
      </c>
      <c r="F52" s="16" t="n">
        <v>5</v>
      </c>
      <c r="G52" s="16" t="n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17" min="1" max="1"/>
    <col width="25" customWidth="1" style="17" min="2" max="2"/>
    <col width="9" customWidth="1" style="17" min="3" max="3"/>
    <col width="15" customWidth="1" style="17" min="4" max="4"/>
    <col width="16" customWidth="1" style="17" min="5" max="5"/>
    <col width="18" customWidth="1" style="17" min="6" max="6"/>
    <col width="18" customWidth="1" style="17" min="7" max="7"/>
    <col width="17" customWidth="1" style="17" min="8" max="8"/>
    <col width="16" customWidth="1" style="17" min="9" max="9"/>
  </cols>
  <sheetData>
    <row r="1" ht="26" customHeight="1" s="17">
      <c r="A1" s="31" t="inlineStr">
        <is>
          <t>Progression coverage</t>
        </is>
      </c>
    </row>
    <row r="2" ht="32" customHeight="1" s="17">
      <c r="A2" s="32" t="inlineStr">
        <is>
          <t>Coverage of the eight requested progression events after canonical merge and age&lt;21 filtering. Zero-count combinations are retained to make gaps explicit.</t>
        </is>
      </c>
    </row>
    <row r="4" ht="30" customHeight="1" s="17">
      <c r="A4" s="28" t="inlineStr">
        <is>
          <t>Swimmer</t>
        </is>
      </c>
      <c r="B4" s="28" t="inlineStr">
        <is>
          <t>Group</t>
        </is>
      </c>
      <c r="C4" s="28" t="inlineStr">
        <is>
          <t>Course</t>
        </is>
      </c>
      <c r="D4" s="28" t="inlineStr">
        <is>
          <t>Event</t>
        </is>
      </c>
      <c r="E4" s="28" t="inlineStr">
        <is>
          <t>Swims &lt; age 21</t>
        </is>
      </c>
      <c r="F4" s="28" t="inlineStr">
        <is>
          <t>Minimum exact age</t>
        </is>
      </c>
      <c r="G4" s="28" t="inlineStr">
        <is>
          <t>Maximum exact age</t>
        </is>
      </c>
      <c r="H4" s="28" t="inlineStr">
        <is>
          <t>Earliest swim year</t>
        </is>
      </c>
      <c r="I4" s="28" t="inlineStr">
        <is>
          <t>Latest swim year</t>
        </is>
      </c>
    </row>
    <row r="5" s="17">
      <c r="A5" s="16" t="inlineStr">
        <is>
          <t>Grayson Coulter</t>
        </is>
      </c>
      <c r="B5" s="16" t="inlineStr">
        <is>
          <t>Grayson</t>
        </is>
      </c>
      <c r="C5" s="16" t="inlineStr">
        <is>
          <t>LCM</t>
        </is>
      </c>
      <c r="D5" s="16" t="inlineStr">
        <is>
          <t>100 Free</t>
        </is>
      </c>
      <c r="E5" s="16" t="n">
        <v>20</v>
      </c>
      <c r="F5" s="49" t="n">
        <v>10.38214337050042</v>
      </c>
      <c r="G5" s="49" t="n">
        <v>14.58209271922079</v>
      </c>
      <c r="H5" s="16" t="n">
        <v>2022</v>
      </c>
      <c r="I5" s="16" t="n">
        <v>2026</v>
      </c>
    </row>
    <row r="6">
      <c r="A6" s="16" t="inlineStr">
        <is>
          <t>Grayson Coulter</t>
        </is>
      </c>
      <c r="B6" s="16" t="inlineStr">
        <is>
          <t>Grayson</t>
        </is>
      </c>
      <c r="C6" s="16" t="inlineStr">
        <is>
          <t>LCM</t>
        </is>
      </c>
      <c r="D6" s="16" t="inlineStr">
        <is>
          <t>200 Free</t>
        </is>
      </c>
      <c r="E6" s="16" t="n">
        <v>18</v>
      </c>
      <c r="F6" s="49" t="n">
        <v>12.1261901339521</v>
      </c>
      <c r="G6" s="49" t="n">
        <v>14.58209271922079</v>
      </c>
      <c r="H6" s="16" t="n">
        <v>2024</v>
      </c>
      <c r="I6" s="16" t="n">
        <v>2026</v>
      </c>
    </row>
    <row r="7">
      <c r="A7" s="16" t="inlineStr">
        <is>
          <t>Grayson Coulter</t>
        </is>
      </c>
      <c r="B7" s="16" t="inlineStr">
        <is>
          <t>Grayson</t>
        </is>
      </c>
      <c r="C7" s="16" t="inlineStr">
        <is>
          <t>LCM</t>
        </is>
      </c>
      <c r="D7" s="16" t="inlineStr">
        <is>
          <t>400 Free</t>
        </is>
      </c>
      <c r="E7" s="16" t="n">
        <v>9</v>
      </c>
      <c r="F7" s="49" t="n">
        <v>12.12071431993812</v>
      </c>
      <c r="G7" s="49" t="n">
        <v>14.58209271922079</v>
      </c>
      <c r="H7" s="16" t="n">
        <v>2024</v>
      </c>
      <c r="I7" s="16" t="n">
        <v>2026</v>
      </c>
    </row>
    <row r="8">
      <c r="A8" s="16" t="inlineStr">
        <is>
          <t>Grayson Coulter</t>
        </is>
      </c>
      <c r="B8" s="16" t="inlineStr">
        <is>
          <t>Grayson</t>
        </is>
      </c>
      <c r="C8" s="16" t="inlineStr">
        <is>
          <t>LCM</t>
        </is>
      </c>
      <c r="D8" s="16" t="inlineStr">
        <is>
          <t>100 Fly</t>
        </is>
      </c>
      <c r="E8" s="16" t="n">
        <v>14</v>
      </c>
      <c r="F8" s="49" t="n">
        <v>12.12071431993812</v>
      </c>
      <c r="G8" s="49" t="n">
        <v>14.49995550901114</v>
      </c>
      <c r="H8" s="16" t="n">
        <v>2024</v>
      </c>
      <c r="I8" s="16" t="n">
        <v>2026</v>
      </c>
    </row>
    <row r="9">
      <c r="A9" s="16" t="inlineStr">
        <is>
          <t>Grayson Coulter</t>
        </is>
      </c>
      <c r="B9" s="16" t="inlineStr">
        <is>
          <t>Grayson</t>
        </is>
      </c>
      <c r="C9" s="16" t="inlineStr">
        <is>
          <t>SCM</t>
        </is>
      </c>
      <c r="D9" s="16" t="inlineStr">
        <is>
          <t>100 Free</t>
        </is>
      </c>
      <c r="E9" s="16" t="n">
        <v>17</v>
      </c>
      <c r="F9" s="49" t="n">
        <v>11.18708803055504</v>
      </c>
      <c r="G9" s="49" t="n">
        <v>14.70529853453527</v>
      </c>
      <c r="H9" s="16" t="n">
        <v>2023</v>
      </c>
      <c r="I9" s="16" t="n">
        <v>2026</v>
      </c>
    </row>
    <row r="10">
      <c r="A10" s="16" t="inlineStr">
        <is>
          <t>Grayson Coulter</t>
        </is>
      </c>
      <c r="B10" s="16" t="inlineStr">
        <is>
          <t>Grayson</t>
        </is>
      </c>
      <c r="C10" s="16" t="inlineStr">
        <is>
          <t>SCM</t>
        </is>
      </c>
      <c r="D10" s="16" t="inlineStr">
        <is>
          <t>200 Free</t>
        </is>
      </c>
      <c r="E10" s="16" t="n">
        <v>11</v>
      </c>
      <c r="F10" s="49" t="n">
        <v>11.18708803055504</v>
      </c>
      <c r="G10" s="49" t="n">
        <v>14.70256062752829</v>
      </c>
      <c r="H10" s="16" t="n">
        <v>2023</v>
      </c>
      <c r="I10" s="16" t="n">
        <v>2026</v>
      </c>
    </row>
    <row r="11">
      <c r="A11" s="16" t="inlineStr">
        <is>
          <t>Grayson Coulter</t>
        </is>
      </c>
      <c r="B11" s="16" t="inlineStr">
        <is>
          <t>Grayson</t>
        </is>
      </c>
      <c r="C11" s="16" t="inlineStr">
        <is>
          <t>SCM</t>
        </is>
      </c>
      <c r="D11" s="16" t="inlineStr">
        <is>
          <t>400 Free</t>
        </is>
      </c>
      <c r="E11" s="16" t="n">
        <v>3</v>
      </c>
      <c r="F11" s="49" t="n">
        <v>12.29594036838539</v>
      </c>
      <c r="G11" s="49" t="n">
        <v>13.68405922092856</v>
      </c>
      <c r="H11" s="16" t="n">
        <v>2024</v>
      </c>
      <c r="I11" s="16" t="n">
        <v>2025</v>
      </c>
    </row>
    <row r="12">
      <c r="A12" s="16" t="inlineStr">
        <is>
          <t>Grayson Coulter</t>
        </is>
      </c>
      <c r="B12" s="16" t="inlineStr">
        <is>
          <t>Grayson</t>
        </is>
      </c>
      <c r="C12" s="16" t="inlineStr">
        <is>
          <t>SCM</t>
        </is>
      </c>
      <c r="D12" s="16" t="inlineStr">
        <is>
          <t>100 Fly</t>
        </is>
      </c>
      <c r="E12" s="16" t="n">
        <v>9</v>
      </c>
      <c r="F12" s="49" t="n">
        <v>11.35957617199532</v>
      </c>
      <c r="G12" s="49" t="n">
        <v>14.6998227205213</v>
      </c>
      <c r="H12" s="16" t="n">
        <v>2023</v>
      </c>
      <c r="I12" s="16" t="n">
        <v>2026</v>
      </c>
    </row>
    <row r="13">
      <c r="A13" s="16" t="inlineStr">
        <is>
          <t>Miron Bunakov</t>
        </is>
      </c>
      <c r="B13" s="16" t="inlineStr">
        <is>
          <t>Current age group star</t>
        </is>
      </c>
      <c r="C13" s="16" t="inlineStr">
        <is>
          <t>LCM</t>
        </is>
      </c>
      <c r="D13" s="16" t="inlineStr">
        <is>
          <t>100 Free</t>
        </is>
      </c>
      <c r="E13" s="16" t="n">
        <v>17</v>
      </c>
      <c r="F13" s="49" t="n">
        <v>7.616857293442028</v>
      </c>
      <c r="G13" s="49" t="n">
        <v>14.50543132302511</v>
      </c>
      <c r="H13" s="16" t="n">
        <v>2019</v>
      </c>
      <c r="I13" s="16" t="n">
        <v>2026</v>
      </c>
    </row>
    <row r="14">
      <c r="A14" s="16" t="inlineStr">
        <is>
          <t>Miron Bunakov</t>
        </is>
      </c>
      <c r="B14" s="16" t="inlineStr">
        <is>
          <t>Current age group star</t>
        </is>
      </c>
      <c r="C14" s="16" t="inlineStr">
        <is>
          <t>LCM</t>
        </is>
      </c>
      <c r="D14" s="16" t="inlineStr">
        <is>
          <t>200 Free</t>
        </is>
      </c>
      <c r="E14" s="16" t="n">
        <v>17</v>
      </c>
      <c r="F14" s="49" t="n">
        <v>9.495061500236144</v>
      </c>
      <c r="G14" s="49" t="n">
        <v>14.51364504404608</v>
      </c>
      <c r="H14" s="16" t="n">
        <v>2021</v>
      </c>
      <c r="I14" s="16" t="n">
        <v>2026</v>
      </c>
    </row>
    <row r="15">
      <c r="A15" s="16" t="inlineStr">
        <is>
          <t>Miron Bunakov</t>
        </is>
      </c>
      <c r="B15" s="16" t="inlineStr">
        <is>
          <t>Current age group star</t>
        </is>
      </c>
      <c r="C15" s="16" t="inlineStr">
        <is>
          <t>LCM</t>
        </is>
      </c>
      <c r="D15" s="16" t="inlineStr">
        <is>
          <t>400 Free</t>
        </is>
      </c>
      <c r="E15" s="16" t="n">
        <v>9</v>
      </c>
      <c r="F15" s="49" t="n">
        <v>10.71890593236001</v>
      </c>
      <c r="G15" s="49" t="n">
        <v>14.60947178929068</v>
      </c>
      <c r="H15" s="16" t="n">
        <v>2022</v>
      </c>
      <c r="I15" s="16" t="n">
        <v>2026</v>
      </c>
    </row>
    <row r="16">
      <c r="A16" s="16" t="inlineStr">
        <is>
          <t>Miron Bunakov</t>
        </is>
      </c>
      <c r="B16" s="16" t="inlineStr">
        <is>
          <t>Current age group star</t>
        </is>
      </c>
      <c r="C16" s="16" t="inlineStr">
        <is>
          <t>LCM</t>
        </is>
      </c>
      <c r="D16" s="16" t="inlineStr">
        <is>
          <t>100 Fly</t>
        </is>
      </c>
      <c r="E16" s="16" t="n">
        <v>18</v>
      </c>
      <c r="F16" s="49" t="n">
        <v>9.500537314250121</v>
      </c>
      <c r="G16" s="49" t="n">
        <v>14.70529853453527</v>
      </c>
      <c r="H16" s="16" t="n">
        <v>2021</v>
      </c>
      <c r="I16" s="16" t="n">
        <v>2026</v>
      </c>
    </row>
    <row r="17">
      <c r="A17" s="16" t="inlineStr">
        <is>
          <t>Miron Bunakov</t>
        </is>
      </c>
      <c r="B17" s="16" t="inlineStr">
        <is>
          <t>Current age group star</t>
        </is>
      </c>
      <c r="C17" s="16" t="inlineStr">
        <is>
          <t>SCM</t>
        </is>
      </c>
      <c r="D17" s="16" t="inlineStr">
        <is>
          <t>100 Free</t>
        </is>
      </c>
      <c r="E17" s="16" t="n">
        <v>10</v>
      </c>
      <c r="F17" s="49" t="n">
        <v>11.00912407510079</v>
      </c>
      <c r="G17" s="49" t="n">
        <v>14.1522413191236</v>
      </c>
      <c r="H17" s="16" t="n">
        <v>2022</v>
      </c>
      <c r="I17" s="16" t="n">
        <v>2025</v>
      </c>
    </row>
    <row r="18">
      <c r="A18" s="16" t="inlineStr">
        <is>
          <t>Miron Bunakov</t>
        </is>
      </c>
      <c r="B18" s="16" t="inlineStr">
        <is>
          <t>Current age group star</t>
        </is>
      </c>
      <c r="C18" s="16" t="inlineStr">
        <is>
          <t>SCM</t>
        </is>
      </c>
      <c r="D18" s="16" t="inlineStr">
        <is>
          <t>200 Free</t>
        </is>
      </c>
      <c r="E18" s="16" t="n">
        <v>5</v>
      </c>
      <c r="F18" s="49" t="n">
        <v>12.1015489708892</v>
      </c>
      <c r="G18" s="49" t="n">
        <v>14.15497922613058</v>
      </c>
      <c r="H18" s="16" t="n">
        <v>2023</v>
      </c>
      <c r="I18" s="16" t="n">
        <v>2025</v>
      </c>
    </row>
    <row r="19">
      <c r="A19" s="16" t="inlineStr">
        <is>
          <t>Miron Bunakov</t>
        </is>
      </c>
      <c r="B19" s="16" t="inlineStr">
        <is>
          <t>Current age group star</t>
        </is>
      </c>
      <c r="C19" s="16" t="inlineStr">
        <is>
          <t>SCM</t>
        </is>
      </c>
      <c r="D19" s="16" t="inlineStr">
        <is>
          <t>400 Free</t>
        </is>
      </c>
      <c r="E19" s="16" t="n">
        <v>1</v>
      </c>
      <c r="F19" s="49" t="n">
        <v>12.10428687789619</v>
      </c>
      <c r="G19" s="49" t="n">
        <v>12.10428687789619</v>
      </c>
      <c r="H19" s="16" t="n">
        <v>2023</v>
      </c>
      <c r="I19" s="16" t="n">
        <v>2023</v>
      </c>
    </row>
    <row r="20">
      <c r="A20" s="16" t="inlineStr">
        <is>
          <t>Miron Bunakov</t>
        </is>
      </c>
      <c r="B20" s="16" t="inlineStr">
        <is>
          <t>Current age group star</t>
        </is>
      </c>
      <c r="C20" s="16" t="inlineStr">
        <is>
          <t>SCM</t>
        </is>
      </c>
      <c r="D20" s="16" t="inlineStr">
        <is>
          <t>100 Fly</t>
        </is>
      </c>
      <c r="E20" s="16" t="n">
        <v>5</v>
      </c>
      <c r="F20" s="49" t="n">
        <v>12.10428687789619</v>
      </c>
      <c r="G20" s="49" t="n">
        <v>14.99551667727606</v>
      </c>
      <c r="H20" s="16" t="n">
        <v>2023</v>
      </c>
      <c r="I20" s="16" t="n">
        <v>2026</v>
      </c>
    </row>
    <row r="21">
      <c r="A21" s="16" t="inlineStr">
        <is>
          <t>Luka Mijatovic</t>
        </is>
      </c>
      <c r="B21" s="16" t="inlineStr">
        <is>
          <t>Current age group star</t>
        </is>
      </c>
      <c r="C21" s="16" t="inlineStr">
        <is>
          <t>LCM</t>
        </is>
      </c>
      <c r="D21" s="16" t="inlineStr">
        <is>
          <t>100 Free</t>
        </is>
      </c>
      <c r="E21" s="16" t="n">
        <v>44</v>
      </c>
      <c r="F21" s="49" t="n">
        <v>6.045298671430625</v>
      </c>
      <c r="G21" s="49" t="n">
        <v>17.3199997262093</v>
      </c>
      <c r="H21" s="16" t="n">
        <v>2015</v>
      </c>
      <c r="I21" s="16" t="n">
        <v>2026</v>
      </c>
    </row>
    <row r="22">
      <c r="A22" s="16" t="inlineStr">
        <is>
          <t>Luka Mijatovic</t>
        </is>
      </c>
      <c r="B22" s="16" t="inlineStr">
        <is>
          <t>Current age group star</t>
        </is>
      </c>
      <c r="C22" s="16" t="inlineStr">
        <is>
          <t>LCM</t>
        </is>
      </c>
      <c r="D22" s="16" t="inlineStr">
        <is>
          <t>200 Free</t>
        </is>
      </c>
      <c r="E22" s="16" t="n">
        <v>63</v>
      </c>
      <c r="F22" s="49" t="n">
        <v>8.208245206951545</v>
      </c>
      <c r="G22" s="49" t="n">
        <v>17.3199997262093</v>
      </c>
      <c r="H22" s="16" t="n">
        <v>2017</v>
      </c>
      <c r="I22" s="16" t="n">
        <v>2026</v>
      </c>
    </row>
    <row r="23">
      <c r="A23" s="16" t="inlineStr">
        <is>
          <t>Luka Mijatovic</t>
        </is>
      </c>
      <c r="B23" s="16" t="inlineStr">
        <is>
          <t>Current age group star</t>
        </is>
      </c>
      <c r="C23" s="16" t="inlineStr">
        <is>
          <t>LCM</t>
        </is>
      </c>
      <c r="D23" s="16" t="inlineStr">
        <is>
          <t>400 Free</t>
        </is>
      </c>
      <c r="E23" s="16" t="n">
        <v>58</v>
      </c>
      <c r="F23" s="49" t="n">
        <v>9.147347310348604</v>
      </c>
      <c r="G23" s="49" t="n">
        <v>17.3199997262093</v>
      </c>
      <c r="H23" s="16" t="n">
        <v>2018</v>
      </c>
      <c r="I23" s="16" t="n">
        <v>2026</v>
      </c>
    </row>
    <row r="24">
      <c r="A24" s="16" t="inlineStr">
        <is>
          <t>Luka Mijatovic</t>
        </is>
      </c>
      <c r="B24" s="16" t="inlineStr">
        <is>
          <t>Current age group star</t>
        </is>
      </c>
      <c r="C24" s="16" t="inlineStr">
        <is>
          <t>LCM</t>
        </is>
      </c>
      <c r="D24" s="16" t="inlineStr">
        <is>
          <t>100 Fly</t>
        </is>
      </c>
      <c r="E24" s="16" t="n">
        <v>38</v>
      </c>
      <c r="F24" s="49" t="n">
        <v>8.260265440084327</v>
      </c>
      <c r="G24" s="49" t="n">
        <v>17.16393902681095</v>
      </c>
      <c r="H24" s="16" t="n">
        <v>2017</v>
      </c>
      <c r="I24" s="16" t="n">
        <v>2026</v>
      </c>
    </row>
    <row r="25">
      <c r="A25" s="16" t="inlineStr">
        <is>
          <t>Luka Mijatovic</t>
        </is>
      </c>
      <c r="B25" s="16" t="inlineStr">
        <is>
          <t>Current age group star</t>
        </is>
      </c>
      <c r="C25" s="16" t="inlineStr">
        <is>
          <t>SCM</t>
        </is>
      </c>
      <c r="D25" s="16" t="inlineStr">
        <is>
          <t>100 Free</t>
        </is>
      </c>
      <c r="E25" s="16" t="n">
        <v>1</v>
      </c>
      <c r="F25" s="49" t="n">
        <v>13.50061945146033</v>
      </c>
      <c r="G25" s="49" t="n">
        <v>13.50061945146033</v>
      </c>
      <c r="H25" s="16" t="n">
        <v>2022</v>
      </c>
      <c r="I25" s="16" t="n">
        <v>2022</v>
      </c>
    </row>
    <row r="26">
      <c r="A26" s="16" t="inlineStr">
        <is>
          <t>Luka Mijatovic</t>
        </is>
      </c>
      <c r="B26" s="16" t="inlineStr">
        <is>
          <t>Current age group star</t>
        </is>
      </c>
      <c r="C26" s="16" t="inlineStr">
        <is>
          <t>SCM</t>
        </is>
      </c>
      <c r="D26" s="16" t="inlineStr">
        <is>
          <t>200 Free</t>
        </is>
      </c>
      <c r="E26" s="16" t="n">
        <v>1</v>
      </c>
      <c r="F26" s="49" t="n">
        <v>13.50335735846732</v>
      </c>
      <c r="G26" s="49" t="n">
        <v>13.50335735846732</v>
      </c>
      <c r="H26" s="16" t="n">
        <v>2022</v>
      </c>
      <c r="I26" s="16" t="n">
        <v>2022</v>
      </c>
    </row>
    <row r="27">
      <c r="A27" s="16" t="inlineStr">
        <is>
          <t>Luka Mijatovic</t>
        </is>
      </c>
      <c r="B27" s="16" t="inlineStr">
        <is>
          <t>Current age group star</t>
        </is>
      </c>
      <c r="C27" s="16" t="inlineStr">
        <is>
          <t>SCM</t>
        </is>
      </c>
      <c r="D27" s="16" t="inlineStr">
        <is>
          <t>400 Free</t>
        </is>
      </c>
      <c r="E27" s="16" t="n">
        <v>1</v>
      </c>
      <c r="F27" s="49" t="n">
        <v>13.49788154445334</v>
      </c>
      <c r="G27" s="49" t="n">
        <v>13.49788154445334</v>
      </c>
      <c r="H27" s="16" t="n">
        <v>2022</v>
      </c>
      <c r="I27" s="16" t="n">
        <v>2022</v>
      </c>
    </row>
    <row r="28">
      <c r="A28" s="16" t="inlineStr">
        <is>
          <t>Luka Mijatovic</t>
        </is>
      </c>
      <c r="B28" s="16" t="inlineStr">
        <is>
          <t>Current age group star</t>
        </is>
      </c>
      <c r="C28" s="16" t="inlineStr">
        <is>
          <t>SCM</t>
        </is>
      </c>
      <c r="D28" s="16" t="inlineStr">
        <is>
          <t>100 Fly</t>
        </is>
      </c>
      <c r="E28" s="16" t="n">
        <v>0</v>
      </c>
      <c r="F28" s="49" t="n"/>
      <c r="G28" s="49" t="n"/>
      <c r="H28" s="16" t="n"/>
      <c r="I28" s="16" t="n"/>
    </row>
    <row r="29">
      <c r="A29" s="16" t="inlineStr">
        <is>
          <t>Lubo Liu-Tchorbadjiyski</t>
        </is>
      </c>
      <c r="B29" s="16" t="inlineStr">
        <is>
          <t>Current age group star</t>
        </is>
      </c>
      <c r="C29" s="16" t="inlineStr">
        <is>
          <t>LCM</t>
        </is>
      </c>
      <c r="D29" s="16" t="inlineStr">
        <is>
          <t>100 Free</t>
        </is>
      </c>
      <c r="E29" s="16" t="n">
        <v>36</v>
      </c>
      <c r="F29" s="49" t="n">
        <v>9.645646385620513</v>
      </c>
      <c r="G29" s="49" t="n">
        <v>14.89968993203146</v>
      </c>
      <c r="H29" s="16" t="n">
        <v>2021</v>
      </c>
      <c r="I29" s="16" t="n">
        <v>2026</v>
      </c>
    </row>
    <row r="30">
      <c r="A30" s="16" t="inlineStr">
        <is>
          <t>Lubo Liu-Tchorbadjiyski</t>
        </is>
      </c>
      <c r="B30" s="16" t="inlineStr">
        <is>
          <t>Current age group star</t>
        </is>
      </c>
      <c r="C30" s="16" t="inlineStr">
        <is>
          <t>LCM</t>
        </is>
      </c>
      <c r="D30" s="16" t="inlineStr">
        <is>
          <t>200 Free</t>
        </is>
      </c>
      <c r="E30" s="16" t="n">
        <v>22</v>
      </c>
      <c r="F30" s="49" t="n">
        <v>9.648384292627501</v>
      </c>
      <c r="G30" s="49" t="n">
        <v>14.76005667467505</v>
      </c>
      <c r="H30" s="16" t="n">
        <v>2021</v>
      </c>
      <c r="I30" s="16" t="n">
        <v>2026</v>
      </c>
    </row>
    <row r="31">
      <c r="A31" s="16" t="inlineStr">
        <is>
          <t>Lubo Liu-Tchorbadjiyski</t>
        </is>
      </c>
      <c r="B31" s="16" t="inlineStr">
        <is>
          <t>Current age group star</t>
        </is>
      </c>
      <c r="C31" s="16" t="inlineStr">
        <is>
          <t>LCM</t>
        </is>
      </c>
      <c r="D31" s="16" t="inlineStr">
        <is>
          <t>400 Free</t>
        </is>
      </c>
      <c r="E31" s="16" t="n">
        <v>7</v>
      </c>
      <c r="F31" s="49" t="n">
        <v>10.52725244187081</v>
      </c>
      <c r="G31" s="49" t="n">
        <v>14.55197574214392</v>
      </c>
      <c r="H31" s="16" t="n">
        <v>2022</v>
      </c>
      <c r="I31" s="16" t="n">
        <v>2026</v>
      </c>
    </row>
    <row r="32">
      <c r="A32" s="16" t="inlineStr">
        <is>
          <t>Lubo Liu-Tchorbadjiyski</t>
        </is>
      </c>
      <c r="B32" s="16" t="inlineStr">
        <is>
          <t>Current age group star</t>
        </is>
      </c>
      <c r="C32" s="16" t="inlineStr">
        <is>
          <t>LCM</t>
        </is>
      </c>
      <c r="D32" s="16" t="inlineStr">
        <is>
          <t>100 Fly</t>
        </is>
      </c>
      <c r="E32" s="16" t="n">
        <v>29</v>
      </c>
      <c r="F32" s="49" t="n">
        <v>10.5299903488778</v>
      </c>
      <c r="G32" s="49" t="n">
        <v>14.79291155875891</v>
      </c>
      <c r="H32" s="16" t="n">
        <v>2022</v>
      </c>
      <c r="I32" s="16" t="n">
        <v>2026</v>
      </c>
    </row>
    <row r="33">
      <c r="A33" s="16" t="inlineStr">
        <is>
          <t>Lubo Liu-Tchorbadjiyski</t>
        </is>
      </c>
      <c r="B33" s="16" t="inlineStr">
        <is>
          <t>Current age group star</t>
        </is>
      </c>
      <c r="C33" s="16" t="inlineStr">
        <is>
          <t>SCM</t>
        </is>
      </c>
      <c r="D33" s="16" t="inlineStr">
        <is>
          <t>100 Free</t>
        </is>
      </c>
      <c r="E33" s="16" t="n">
        <v>0</v>
      </c>
      <c r="F33" s="49" t="n"/>
      <c r="G33" s="49" t="n"/>
      <c r="H33" s="16" t="n"/>
      <c r="I33" s="16" t="n"/>
    </row>
    <row r="34">
      <c r="A34" s="16" t="inlineStr">
        <is>
          <t>Lubo Liu-Tchorbadjiyski</t>
        </is>
      </c>
      <c r="B34" s="16" t="inlineStr">
        <is>
          <t>Current age group star</t>
        </is>
      </c>
      <c r="C34" s="16" t="inlineStr">
        <is>
          <t>SCM</t>
        </is>
      </c>
      <c r="D34" s="16" t="inlineStr">
        <is>
          <t>200 Free</t>
        </is>
      </c>
      <c r="E34" s="16" t="n">
        <v>0</v>
      </c>
      <c r="F34" s="49" t="n"/>
      <c r="G34" s="49" t="n"/>
      <c r="H34" s="16" t="n"/>
      <c r="I34" s="16" t="n"/>
    </row>
    <row r="35">
      <c r="A35" s="16" t="inlineStr">
        <is>
          <t>Lubo Liu-Tchorbadjiyski</t>
        </is>
      </c>
      <c r="B35" s="16" t="inlineStr">
        <is>
          <t>Current age group star</t>
        </is>
      </c>
      <c r="C35" s="16" t="inlineStr">
        <is>
          <t>SCM</t>
        </is>
      </c>
      <c r="D35" s="16" t="inlineStr">
        <is>
          <t>400 Free</t>
        </is>
      </c>
      <c r="E35" s="16" t="n">
        <v>0</v>
      </c>
      <c r="F35" s="49" t="n"/>
      <c r="G35" s="49" t="n"/>
      <c r="H35" s="16" t="n"/>
      <c r="I35" s="16" t="n"/>
    </row>
    <row r="36">
      <c r="A36" s="16" t="inlineStr">
        <is>
          <t>Lubo Liu-Tchorbadjiyski</t>
        </is>
      </c>
      <c r="B36" s="16" t="inlineStr">
        <is>
          <t>Current age group star</t>
        </is>
      </c>
      <c r="C36" s="16" t="inlineStr">
        <is>
          <t>SCM</t>
        </is>
      </c>
      <c r="D36" s="16" t="inlineStr">
        <is>
          <t>100 Fly</t>
        </is>
      </c>
      <c r="E36" s="16" t="n">
        <v>0</v>
      </c>
      <c r="F36" s="49" t="n"/>
      <c r="G36" s="49" t="n"/>
      <c r="H36" s="16" t="n"/>
      <c r="I36" s="16" t="n"/>
    </row>
    <row r="37">
      <c r="A37" s="16" t="inlineStr">
        <is>
          <t>Thomas Heilman</t>
        </is>
      </c>
      <c r="B37" s="16" t="inlineStr">
        <is>
          <t>Current age group star</t>
        </is>
      </c>
      <c r="C37" s="16" t="inlineStr">
        <is>
          <t>LCM</t>
        </is>
      </c>
      <c r="D37" s="16" t="inlineStr">
        <is>
          <t>100 Free</t>
        </is>
      </c>
      <c r="E37" s="16" t="n">
        <v>43</v>
      </c>
      <c r="F37" s="49" t="n">
        <v>10.37940546349343</v>
      </c>
      <c r="G37" s="49" t="n">
        <v>19.51306323880709</v>
      </c>
      <c r="H37" s="16" t="n">
        <v>2017</v>
      </c>
      <c r="I37" s="16" t="n">
        <v>2026</v>
      </c>
    </row>
    <row r="38">
      <c r="A38" s="16" t="inlineStr">
        <is>
          <t>Thomas Heilman</t>
        </is>
      </c>
      <c r="B38" s="16" t="inlineStr">
        <is>
          <t>Current age group star</t>
        </is>
      </c>
      <c r="C38" s="16" t="inlineStr">
        <is>
          <t>LCM</t>
        </is>
      </c>
      <c r="D38" s="16" t="inlineStr">
        <is>
          <t>200 Free</t>
        </is>
      </c>
      <c r="E38" s="16" t="n">
        <v>38</v>
      </c>
      <c r="F38" s="49" t="n">
        <v>10.37666755648644</v>
      </c>
      <c r="G38" s="49" t="n">
        <v>19.35700253940875</v>
      </c>
      <c r="H38" s="16" t="n">
        <v>2017</v>
      </c>
      <c r="I38" s="16" t="n">
        <v>2026</v>
      </c>
    </row>
    <row r="39">
      <c r="A39" s="16" t="inlineStr">
        <is>
          <t>Thomas Heilman</t>
        </is>
      </c>
      <c r="B39" s="16" t="inlineStr">
        <is>
          <t>Current age group star</t>
        </is>
      </c>
      <c r="C39" s="16" t="inlineStr">
        <is>
          <t>LCM</t>
        </is>
      </c>
      <c r="D39" s="16" t="inlineStr">
        <is>
          <t>400 Free</t>
        </is>
      </c>
      <c r="E39" s="16" t="n">
        <v>9</v>
      </c>
      <c r="F39" s="49" t="n">
        <v>10.37392964947946</v>
      </c>
      <c r="G39" s="49" t="n">
        <v>15.35965830920553</v>
      </c>
      <c r="H39" s="16" t="n">
        <v>2017</v>
      </c>
      <c r="I39" s="16" t="n">
        <v>2022</v>
      </c>
    </row>
    <row r="40">
      <c r="A40" s="16" t="inlineStr">
        <is>
          <t>Thomas Heilman</t>
        </is>
      </c>
      <c r="B40" s="16" t="inlineStr">
        <is>
          <t>Current age group star</t>
        </is>
      </c>
      <c r="C40" s="16" t="inlineStr">
        <is>
          <t>LCM</t>
        </is>
      </c>
      <c r="D40" s="16" t="inlineStr">
        <is>
          <t>100 Fly</t>
        </is>
      </c>
      <c r="E40" s="16" t="n">
        <v>60</v>
      </c>
      <c r="F40" s="49" t="n">
        <v>10.37940546349343</v>
      </c>
      <c r="G40" s="49" t="n">
        <v>19.51580114581408</v>
      </c>
      <c r="H40" s="16" t="n">
        <v>2017</v>
      </c>
      <c r="I40" s="16" t="n">
        <v>2026</v>
      </c>
    </row>
    <row r="41">
      <c r="A41" s="16" t="inlineStr">
        <is>
          <t>Thomas Heilman</t>
        </is>
      </c>
      <c r="B41" s="16" t="inlineStr">
        <is>
          <t>Current age group star</t>
        </is>
      </c>
      <c r="C41" s="16" t="inlineStr">
        <is>
          <t>SCM</t>
        </is>
      </c>
      <c r="D41" s="16" t="inlineStr">
        <is>
          <t>100 Free</t>
        </is>
      </c>
      <c r="E41" s="16" t="n">
        <v>1</v>
      </c>
      <c r="F41" s="49" t="n">
        <v>15.74022738317693</v>
      </c>
      <c r="G41" s="49" t="n">
        <v>15.74022738317693</v>
      </c>
      <c r="H41" s="16" t="n">
        <v>2022</v>
      </c>
      <c r="I41" s="16" t="n">
        <v>2022</v>
      </c>
    </row>
    <row r="42">
      <c r="A42" s="16" t="inlineStr">
        <is>
          <t>Thomas Heilman</t>
        </is>
      </c>
      <c r="B42" s="16" t="inlineStr">
        <is>
          <t>Current age group star</t>
        </is>
      </c>
      <c r="C42" s="16" t="inlineStr">
        <is>
          <t>SCM</t>
        </is>
      </c>
      <c r="D42" s="16" t="inlineStr">
        <is>
          <t>200 Free</t>
        </is>
      </c>
      <c r="E42" s="16" t="n">
        <v>1</v>
      </c>
      <c r="F42" s="49" t="n">
        <v>15.74296529018392</v>
      </c>
      <c r="G42" s="49" t="n">
        <v>15.74296529018392</v>
      </c>
      <c r="H42" s="16" t="n">
        <v>2022</v>
      </c>
      <c r="I42" s="16" t="n">
        <v>2022</v>
      </c>
    </row>
    <row r="43">
      <c r="A43" s="16" t="inlineStr">
        <is>
          <t>Thomas Heilman</t>
        </is>
      </c>
      <c r="B43" s="16" t="inlineStr">
        <is>
          <t>Current age group star</t>
        </is>
      </c>
      <c r="C43" s="16" t="inlineStr">
        <is>
          <t>SCM</t>
        </is>
      </c>
      <c r="D43" s="16" t="inlineStr">
        <is>
          <t>400 Free</t>
        </is>
      </c>
      <c r="E43" s="16" t="n">
        <v>0</v>
      </c>
      <c r="F43" s="49" t="n"/>
      <c r="G43" s="49" t="n"/>
      <c r="H43" s="16" t="n"/>
      <c r="I43" s="16" t="n"/>
    </row>
    <row r="44">
      <c r="A44" s="16" t="inlineStr">
        <is>
          <t>Thomas Heilman</t>
        </is>
      </c>
      <c r="B44" s="16" t="inlineStr">
        <is>
          <t>Current age group star</t>
        </is>
      </c>
      <c r="C44" s="16" t="inlineStr">
        <is>
          <t>SCM</t>
        </is>
      </c>
      <c r="D44" s="16" t="inlineStr">
        <is>
          <t>100 Fly</t>
        </is>
      </c>
      <c r="E44" s="16" t="n">
        <v>1</v>
      </c>
      <c r="F44" s="49" t="n">
        <v>15.73748947616994</v>
      </c>
      <c r="G44" s="49" t="n">
        <v>15.73748947616994</v>
      </c>
      <c r="H44" s="16" t="n">
        <v>2022</v>
      </c>
      <c r="I44" s="16" t="n">
        <v>2022</v>
      </c>
    </row>
    <row r="45">
      <c r="A45" s="16" t="inlineStr">
        <is>
          <t>Tajus Juska</t>
        </is>
      </c>
      <c r="B45" s="16" t="inlineStr">
        <is>
          <t>Current age group star</t>
        </is>
      </c>
      <c r="C45" s="16" t="inlineStr">
        <is>
          <t>LCM</t>
        </is>
      </c>
      <c r="D45" s="16" t="inlineStr">
        <is>
          <t>100 Free</t>
        </is>
      </c>
      <c r="E45" s="16" t="n">
        <v>41</v>
      </c>
      <c r="F45" s="49" t="n">
        <v>11.88251641033012</v>
      </c>
      <c r="G45" s="49" t="n">
        <v>17.56367344983128</v>
      </c>
      <c r="H45" s="16" t="n">
        <v>2020</v>
      </c>
      <c r="I45" s="16" t="n">
        <v>2026</v>
      </c>
    </row>
    <row r="46">
      <c r="A46" s="16" t="inlineStr">
        <is>
          <t>Tajus Juska</t>
        </is>
      </c>
      <c r="B46" s="16" t="inlineStr">
        <is>
          <t>Current age group star</t>
        </is>
      </c>
      <c r="C46" s="16" t="inlineStr">
        <is>
          <t>LCM</t>
        </is>
      </c>
      <c r="D46" s="16" t="inlineStr">
        <is>
          <t>200 Free</t>
        </is>
      </c>
      <c r="E46" s="16" t="n">
        <v>30</v>
      </c>
      <c r="F46" s="49" t="n">
        <v>11.87977850332313</v>
      </c>
      <c r="G46" s="49" t="n">
        <v>17.56914926384525</v>
      </c>
      <c r="H46" s="16" t="n">
        <v>2020</v>
      </c>
      <c r="I46" s="16" t="n">
        <v>2026</v>
      </c>
    </row>
    <row r="47">
      <c r="A47" s="16" t="inlineStr">
        <is>
          <t>Tajus Juska</t>
        </is>
      </c>
      <c r="B47" s="16" t="inlineStr">
        <is>
          <t>Current age group star</t>
        </is>
      </c>
      <c r="C47" s="16" t="inlineStr">
        <is>
          <t>LCM</t>
        </is>
      </c>
      <c r="D47" s="16" t="inlineStr">
        <is>
          <t>400 Free</t>
        </is>
      </c>
      <c r="E47" s="16" t="n">
        <v>2</v>
      </c>
      <c r="F47" s="49" t="n">
        <v>14.39317713573858</v>
      </c>
      <c r="G47" s="49" t="n">
        <v>16.3425669247144</v>
      </c>
      <c r="H47" s="16" t="n">
        <v>2023</v>
      </c>
      <c r="I47" s="16" t="n">
        <v>2025</v>
      </c>
    </row>
    <row r="48">
      <c r="A48" s="16" t="inlineStr">
        <is>
          <t>Tajus Juska</t>
        </is>
      </c>
      <c r="B48" s="16" t="inlineStr">
        <is>
          <t>Current age group star</t>
        </is>
      </c>
      <c r="C48" s="16" t="inlineStr">
        <is>
          <t>LCM</t>
        </is>
      </c>
      <c r="D48" s="16" t="inlineStr">
        <is>
          <t>100 Fly</t>
        </is>
      </c>
      <c r="E48" s="16" t="n">
        <v>26</v>
      </c>
      <c r="F48" s="49" t="n">
        <v>13.18849805266364</v>
      </c>
      <c r="G48" s="49" t="n">
        <v>17.47332251860066</v>
      </c>
      <c r="H48" s="16" t="n">
        <v>2022</v>
      </c>
      <c r="I48" s="16" t="n">
        <v>2026</v>
      </c>
    </row>
    <row r="49">
      <c r="A49" s="16" t="inlineStr">
        <is>
          <t>Tajus Juska</t>
        </is>
      </c>
      <c r="B49" s="16" t="inlineStr">
        <is>
          <t>Current age group star</t>
        </is>
      </c>
      <c r="C49" s="16" t="inlineStr">
        <is>
          <t>SCM</t>
        </is>
      </c>
      <c r="D49" s="16" t="inlineStr">
        <is>
          <t>100 Free</t>
        </is>
      </c>
      <c r="E49" s="16" t="n">
        <v>6</v>
      </c>
      <c r="F49" s="49" t="n">
        <v>11.69086291984093</v>
      </c>
      <c r="G49" s="49" t="n">
        <v>16.92300321019597</v>
      </c>
      <c r="H49" s="16" t="n">
        <v>2020</v>
      </c>
      <c r="I49" s="16" t="n">
        <v>2025</v>
      </c>
    </row>
    <row r="50">
      <c r="A50" s="16" t="inlineStr">
        <is>
          <t>Tajus Juska</t>
        </is>
      </c>
      <c r="B50" s="16" t="inlineStr">
        <is>
          <t>Current age group star</t>
        </is>
      </c>
      <c r="C50" s="16" t="inlineStr">
        <is>
          <t>SCM</t>
        </is>
      </c>
      <c r="D50" s="16" t="inlineStr">
        <is>
          <t>200 Free</t>
        </is>
      </c>
      <c r="E50" s="16" t="n">
        <v>7</v>
      </c>
      <c r="F50" s="49" t="n">
        <v>13.90856759550162</v>
      </c>
      <c r="G50" s="49" t="n">
        <v>16.92026530318898</v>
      </c>
      <c r="H50" s="16" t="n">
        <v>2022</v>
      </c>
      <c r="I50" s="16" t="n">
        <v>2025</v>
      </c>
    </row>
    <row r="51">
      <c r="A51" s="16" t="inlineStr">
        <is>
          <t>Tajus Juska</t>
        </is>
      </c>
      <c r="B51" s="16" t="inlineStr">
        <is>
          <t>Current age group star</t>
        </is>
      </c>
      <c r="C51" s="16" t="inlineStr">
        <is>
          <t>SCM</t>
        </is>
      </c>
      <c r="D51" s="16" t="inlineStr">
        <is>
          <t>400 Free</t>
        </is>
      </c>
      <c r="E51" s="16" t="n">
        <v>2</v>
      </c>
      <c r="F51" s="49" t="n">
        <v>16.92574111720295</v>
      </c>
      <c r="G51" s="49" t="n">
        <v>16.92574111720295</v>
      </c>
      <c r="H51" s="16" t="n">
        <v>2025</v>
      </c>
      <c r="I51" s="16" t="n">
        <v>2025</v>
      </c>
    </row>
    <row r="52">
      <c r="A52" s="16" t="inlineStr">
        <is>
          <t>Tajus Juska</t>
        </is>
      </c>
      <c r="B52" s="16" t="inlineStr">
        <is>
          <t>Current age group star</t>
        </is>
      </c>
      <c r="C52" s="16" t="inlineStr">
        <is>
          <t>SCM</t>
        </is>
      </c>
      <c r="D52" s="16" t="inlineStr">
        <is>
          <t>100 Fly</t>
        </is>
      </c>
      <c r="E52" s="16" t="n">
        <v>4</v>
      </c>
      <c r="F52" s="49" t="n">
        <v>11.68812501283394</v>
      </c>
      <c r="G52" s="49" t="n">
        <v>16.87919669808415</v>
      </c>
      <c r="H52" s="16" t="n">
        <v>2020</v>
      </c>
      <c r="I52" s="16" t="n">
        <v>2025</v>
      </c>
    </row>
    <row r="53">
      <c r="A53" s="16" t="inlineStr">
        <is>
          <t>Laon Kim</t>
        </is>
      </c>
      <c r="B53" s="16" t="inlineStr">
        <is>
          <t>Current age group star</t>
        </is>
      </c>
      <c r="C53" s="16" t="inlineStr">
        <is>
          <t>LCM</t>
        </is>
      </c>
      <c r="D53" s="16" t="inlineStr">
        <is>
          <t>100 Free</t>
        </is>
      </c>
      <c r="E53" s="16" t="n">
        <v>34</v>
      </c>
      <c r="F53" s="49" t="n">
        <v>15.98116319979192</v>
      </c>
      <c r="G53" s="49" t="n">
        <v>18.22350903851551</v>
      </c>
      <c r="H53" s="16" t="n">
        <v>2024</v>
      </c>
      <c r="I53" s="16" t="n">
        <v>2026</v>
      </c>
    </row>
    <row r="54">
      <c r="A54" s="16" t="inlineStr">
        <is>
          <t>Laon Kim</t>
        </is>
      </c>
      <c r="B54" s="16" t="inlineStr">
        <is>
          <t>Current age group star</t>
        </is>
      </c>
      <c r="C54" s="16" t="inlineStr">
        <is>
          <t>LCM</t>
        </is>
      </c>
      <c r="D54" s="16" t="inlineStr">
        <is>
          <t>200 Free</t>
        </is>
      </c>
      <c r="E54" s="16" t="n">
        <v>35</v>
      </c>
      <c r="F54" s="49" t="n">
        <v>15.18990807477224</v>
      </c>
      <c r="G54" s="49" t="n">
        <v>18.22350903851551</v>
      </c>
      <c r="H54" s="16" t="n">
        <v>2023</v>
      </c>
      <c r="I54" s="16" t="n">
        <v>2026</v>
      </c>
    </row>
    <row r="55">
      <c r="A55" s="16" t="inlineStr">
        <is>
          <t>Laon Kim</t>
        </is>
      </c>
      <c r="B55" s="16" t="inlineStr">
        <is>
          <t>Current age group star</t>
        </is>
      </c>
      <c r="C55" s="16" t="inlineStr">
        <is>
          <t>LCM</t>
        </is>
      </c>
      <c r="D55" s="16" t="inlineStr">
        <is>
          <t>400 Free</t>
        </is>
      </c>
      <c r="E55" s="16" t="n">
        <v>14</v>
      </c>
      <c r="F55" s="49" t="n">
        <v>15.18990807477224</v>
      </c>
      <c r="G55" s="49" t="n">
        <v>18.16875089837574</v>
      </c>
      <c r="H55" s="16" t="n">
        <v>2023</v>
      </c>
      <c r="I55" s="16" t="n">
        <v>2026</v>
      </c>
    </row>
    <row r="56">
      <c r="A56" s="16" t="inlineStr">
        <is>
          <t>Laon Kim</t>
        </is>
      </c>
      <c r="B56" s="16" t="inlineStr">
        <is>
          <t>Current age group star</t>
        </is>
      </c>
      <c r="C56" s="16" t="inlineStr">
        <is>
          <t>LCM</t>
        </is>
      </c>
      <c r="D56" s="16" t="inlineStr">
        <is>
          <t>100 Fly</t>
        </is>
      </c>
      <c r="E56" s="16" t="n">
        <v>14</v>
      </c>
      <c r="F56" s="49" t="n">
        <v>15.98116319979192</v>
      </c>
      <c r="G56" s="49" t="n">
        <v>18.22624694552249</v>
      </c>
      <c r="H56" s="16" t="n">
        <v>2024</v>
      </c>
      <c r="I56" s="16" t="n">
        <v>2026</v>
      </c>
    </row>
    <row r="57">
      <c r="A57" s="16" t="inlineStr">
        <is>
          <t>Laon Kim</t>
        </is>
      </c>
      <c r="B57" s="16" t="inlineStr">
        <is>
          <t>Current age group star</t>
        </is>
      </c>
      <c r="C57" s="16" t="inlineStr">
        <is>
          <t>SCM</t>
        </is>
      </c>
      <c r="D57" s="16" t="inlineStr">
        <is>
          <t>100 Free</t>
        </is>
      </c>
      <c r="E57" s="16" t="n">
        <v>8</v>
      </c>
      <c r="F57" s="49" t="n">
        <v>15.5567876137087</v>
      </c>
      <c r="G57" s="49" t="n">
        <v>17.54177019377537</v>
      </c>
      <c r="H57" s="16" t="n">
        <v>2023</v>
      </c>
      <c r="I57" s="16" t="n">
        <v>2025</v>
      </c>
    </row>
    <row r="58">
      <c r="A58" s="16" t="inlineStr">
        <is>
          <t>Laon Kim</t>
        </is>
      </c>
      <c r="B58" s="16" t="inlineStr">
        <is>
          <t>Current age group star</t>
        </is>
      </c>
      <c r="C58" s="16" t="inlineStr">
        <is>
          <t>SCM</t>
        </is>
      </c>
      <c r="D58" s="16" t="inlineStr">
        <is>
          <t>200 Free</t>
        </is>
      </c>
      <c r="E58" s="16" t="n">
        <v>8</v>
      </c>
      <c r="F58" s="49" t="n">
        <v>15.5567876137087</v>
      </c>
      <c r="G58" s="49" t="n">
        <v>17.53629437976139</v>
      </c>
      <c r="H58" s="16" t="n">
        <v>2023</v>
      </c>
      <c r="I58" s="16" t="n">
        <v>2025</v>
      </c>
    </row>
    <row r="59">
      <c r="A59" s="16" t="inlineStr">
        <is>
          <t>Laon Kim</t>
        </is>
      </c>
      <c r="B59" s="16" t="inlineStr">
        <is>
          <t>Current age group star</t>
        </is>
      </c>
      <c r="C59" s="16" t="inlineStr">
        <is>
          <t>SCM</t>
        </is>
      </c>
      <c r="D59" s="16" t="inlineStr">
        <is>
          <t>400 Free</t>
        </is>
      </c>
      <c r="E59" s="16" t="n">
        <v>6</v>
      </c>
      <c r="F59" s="49" t="n">
        <v>15.5567876137087</v>
      </c>
      <c r="G59" s="49" t="n">
        <v>17.53903228676838</v>
      </c>
      <c r="H59" s="16" t="n">
        <v>2023</v>
      </c>
      <c r="I59" s="16" t="n">
        <v>2025</v>
      </c>
    </row>
    <row r="60">
      <c r="A60" s="16" t="inlineStr">
        <is>
          <t>Laon Kim</t>
        </is>
      </c>
      <c r="B60" s="16" t="inlineStr">
        <is>
          <t>Current age group star</t>
        </is>
      </c>
      <c r="C60" s="16" t="inlineStr">
        <is>
          <t>SCM</t>
        </is>
      </c>
      <c r="D60" s="16" t="inlineStr">
        <is>
          <t>100 Fly</t>
        </is>
      </c>
      <c r="E60" s="16" t="n">
        <v>6</v>
      </c>
      <c r="F60" s="49" t="n">
        <v>16.40827669288213</v>
      </c>
      <c r="G60" s="49" t="n">
        <v>17.53629437976139</v>
      </c>
      <c r="H60" s="16" t="n">
        <v>2024</v>
      </c>
      <c r="I60" s="16" t="n">
        <v>2025</v>
      </c>
    </row>
    <row r="61">
      <c r="A61" s="16" t="inlineStr">
        <is>
          <t>Jacob Whittle</t>
        </is>
      </c>
      <c r="B61" s="16" t="inlineStr">
        <is>
          <t>Historical champion</t>
        </is>
      </c>
      <c r="C61" s="16" t="inlineStr">
        <is>
          <t>LCM</t>
        </is>
      </c>
      <c r="D61" s="16" t="inlineStr">
        <is>
          <t>100 Free</t>
        </is>
      </c>
      <c r="E61" s="16" t="n">
        <v>60</v>
      </c>
      <c r="F61" s="49" t="n">
        <v>14.771008302703</v>
      </c>
      <c r="G61" s="49" t="n">
        <v>20.85189976522447</v>
      </c>
      <c r="H61" s="16" t="n">
        <v>2019</v>
      </c>
      <c r="I61" s="16" t="n">
        <v>2025</v>
      </c>
    </row>
    <row r="62">
      <c r="A62" s="16" t="inlineStr">
        <is>
          <t>Jacob Whittle</t>
        </is>
      </c>
      <c r="B62" s="16" t="inlineStr">
        <is>
          <t>Historical champion</t>
        </is>
      </c>
      <c r="C62" s="16" t="inlineStr">
        <is>
          <t>LCM</t>
        </is>
      </c>
      <c r="D62" s="16" t="inlineStr">
        <is>
          <t>200 Free</t>
        </is>
      </c>
      <c r="E62" s="16" t="n">
        <v>28</v>
      </c>
      <c r="F62" s="49" t="n">
        <v>14.77648411671698</v>
      </c>
      <c r="G62" s="49" t="n">
        <v>20.4658548772391</v>
      </c>
      <c r="H62" s="16" t="n">
        <v>2019</v>
      </c>
      <c r="I62" s="16" t="n">
        <v>2025</v>
      </c>
    </row>
    <row r="63">
      <c r="A63" s="16" t="inlineStr">
        <is>
          <t>Jacob Whittle</t>
        </is>
      </c>
      <c r="B63" s="16" t="inlineStr">
        <is>
          <t>Historical champion</t>
        </is>
      </c>
      <c r="C63" s="16" t="inlineStr">
        <is>
          <t>LCM</t>
        </is>
      </c>
      <c r="D63" s="16" t="inlineStr">
        <is>
          <t>400 Free</t>
        </is>
      </c>
      <c r="E63" s="16" t="n">
        <v>0</v>
      </c>
      <c r="F63" s="49" t="n"/>
      <c r="G63" s="49" t="n"/>
      <c r="H63" s="16" t="n"/>
      <c r="I63" s="16" t="n"/>
    </row>
    <row r="64">
      <c r="A64" s="16" t="inlineStr">
        <is>
          <t>Jacob Whittle</t>
        </is>
      </c>
      <c r="B64" s="16" t="inlineStr">
        <is>
          <t>Historical champion</t>
        </is>
      </c>
      <c r="C64" s="16" t="inlineStr">
        <is>
          <t>LCM</t>
        </is>
      </c>
      <c r="D64" s="16" t="inlineStr">
        <is>
          <t>100 Fly</t>
        </is>
      </c>
      <c r="E64" s="16" t="n">
        <v>0</v>
      </c>
      <c r="F64" s="49" t="n"/>
      <c r="G64" s="49" t="n"/>
      <c r="H64" s="16" t="n"/>
      <c r="I64" s="16" t="n"/>
    </row>
    <row r="65">
      <c r="A65" s="16" t="inlineStr">
        <is>
          <t>Jacob Whittle</t>
        </is>
      </c>
      <c r="B65" s="16" t="inlineStr">
        <is>
          <t>Historical champion</t>
        </is>
      </c>
      <c r="C65" s="16" t="inlineStr">
        <is>
          <t>SCM</t>
        </is>
      </c>
      <c r="D65" s="16" t="inlineStr">
        <is>
          <t>100 Free</t>
        </is>
      </c>
      <c r="E65" s="16" t="n">
        <v>14</v>
      </c>
      <c r="F65" s="49" t="n">
        <v>15.22002505184911</v>
      </c>
      <c r="G65" s="49" t="n">
        <v>19.20641765402438</v>
      </c>
      <c r="H65" s="16" t="n">
        <v>2019</v>
      </c>
      <c r="I65" s="16" t="n">
        <v>2023</v>
      </c>
    </row>
    <row r="66">
      <c r="A66" s="16" t="inlineStr">
        <is>
          <t>Jacob Whittle</t>
        </is>
      </c>
      <c r="B66" s="16" t="inlineStr">
        <is>
          <t>Historical champion</t>
        </is>
      </c>
      <c r="C66" s="16" t="inlineStr">
        <is>
          <t>SCM</t>
        </is>
      </c>
      <c r="D66" s="16" t="inlineStr">
        <is>
          <t>200 Free</t>
        </is>
      </c>
      <c r="E66" s="16" t="n">
        <v>3</v>
      </c>
      <c r="F66" s="49" t="n">
        <v>15.21454923783514</v>
      </c>
      <c r="G66" s="49" t="n">
        <v>16.9394306522379</v>
      </c>
      <c r="H66" s="16" t="n">
        <v>2019</v>
      </c>
      <c r="I66" s="16" t="n">
        <v>2021</v>
      </c>
    </row>
    <row r="67">
      <c r="A67" s="16" t="inlineStr">
        <is>
          <t>Jacob Whittle</t>
        </is>
      </c>
      <c r="B67" s="16" t="inlineStr">
        <is>
          <t>Historical champion</t>
        </is>
      </c>
      <c r="C67" s="16" t="inlineStr">
        <is>
          <t>SCM</t>
        </is>
      </c>
      <c r="D67" s="16" t="inlineStr">
        <is>
          <t>400 Free</t>
        </is>
      </c>
      <c r="E67" s="16" t="n">
        <v>0</v>
      </c>
      <c r="F67" s="49" t="n"/>
      <c r="G67" s="49" t="n"/>
      <c r="H67" s="16" t="n"/>
      <c r="I67" s="16" t="n"/>
    </row>
    <row r="68">
      <c r="A68" s="16" t="inlineStr">
        <is>
          <t>Jacob Whittle</t>
        </is>
      </c>
      <c r="B68" s="16" t="inlineStr">
        <is>
          <t>Historical champion</t>
        </is>
      </c>
      <c r="C68" s="16" t="inlineStr">
        <is>
          <t>SCM</t>
        </is>
      </c>
      <c r="D68" s="16" t="inlineStr">
        <is>
          <t>100 Fly</t>
        </is>
      </c>
      <c r="E68" s="16" t="n">
        <v>0</v>
      </c>
      <c r="F68" s="49" t="n"/>
      <c r="G68" s="49" t="n"/>
      <c r="H68" s="16" t="n"/>
      <c r="I68" s="16" t="n"/>
    </row>
    <row r="69">
      <c r="A69" s="16" t="inlineStr">
        <is>
          <t>David Popovici</t>
        </is>
      </c>
      <c r="B69" s="16" t="inlineStr">
        <is>
          <t>Historical champion</t>
        </is>
      </c>
      <c r="C69" s="16" t="inlineStr">
        <is>
          <t>LCM</t>
        </is>
      </c>
      <c r="D69" s="16" t="inlineStr">
        <is>
          <t>100 Free</t>
        </is>
      </c>
      <c r="E69" s="16" t="n">
        <v>68</v>
      </c>
      <c r="F69" s="49" t="n">
        <v>14.64506458038153</v>
      </c>
      <c r="G69" s="49" t="n">
        <v>20.87380302128038</v>
      </c>
      <c r="H69" s="16" t="n">
        <v>2019</v>
      </c>
      <c r="I69" s="16" t="n">
        <v>2025</v>
      </c>
    </row>
    <row r="70">
      <c r="A70" s="16" t="inlineStr">
        <is>
          <t>David Popovici</t>
        </is>
      </c>
      <c r="B70" s="16" t="inlineStr">
        <is>
          <t>Historical champion</t>
        </is>
      </c>
      <c r="C70" s="16" t="inlineStr">
        <is>
          <t>LCM</t>
        </is>
      </c>
      <c r="D70" s="16" t="inlineStr">
        <is>
          <t>200 Free</t>
        </is>
      </c>
      <c r="E70" s="16" t="n">
        <v>53</v>
      </c>
      <c r="F70" s="49" t="n">
        <v>14.64780248738852</v>
      </c>
      <c r="G70" s="49" t="n">
        <v>20.8683272072664</v>
      </c>
      <c r="H70" s="16" t="n">
        <v>2019</v>
      </c>
      <c r="I70" s="16" t="n">
        <v>2025</v>
      </c>
    </row>
    <row r="71">
      <c r="A71" s="16" t="inlineStr">
        <is>
          <t>David Popovici</t>
        </is>
      </c>
      <c r="B71" s="16" t="inlineStr">
        <is>
          <t>Historical champion</t>
        </is>
      </c>
      <c r="C71" s="16" t="inlineStr">
        <is>
          <t>LCM</t>
        </is>
      </c>
      <c r="D71" s="16" t="inlineStr">
        <is>
          <t>400 Free</t>
        </is>
      </c>
      <c r="E71" s="16" t="n">
        <v>6</v>
      </c>
      <c r="F71" s="49" t="n">
        <v>14.65327830140249</v>
      </c>
      <c r="G71" s="49" t="n">
        <v>18.55205787935413</v>
      </c>
      <c r="H71" s="16" t="n">
        <v>2019</v>
      </c>
      <c r="I71" s="16" t="n">
        <v>2023</v>
      </c>
    </row>
    <row r="72">
      <c r="A72" s="16" t="inlineStr">
        <is>
          <t>David Popovici</t>
        </is>
      </c>
      <c r="B72" s="16" t="inlineStr">
        <is>
          <t>Historical champion</t>
        </is>
      </c>
      <c r="C72" s="16" t="inlineStr">
        <is>
          <t>LCM</t>
        </is>
      </c>
      <c r="D72" s="16" t="inlineStr">
        <is>
          <t>100 Fly</t>
        </is>
      </c>
      <c r="E72" s="16" t="n">
        <v>1</v>
      </c>
      <c r="F72" s="49" t="n">
        <v>18.55205787935413</v>
      </c>
      <c r="G72" s="49" t="n">
        <v>18.55205787935413</v>
      </c>
      <c r="H72" s="16" t="n">
        <v>2023</v>
      </c>
      <c r="I72" s="16" t="n">
        <v>2023</v>
      </c>
    </row>
    <row r="73">
      <c r="A73" s="16" t="inlineStr">
        <is>
          <t>David Popovici</t>
        </is>
      </c>
      <c r="B73" s="16" t="inlineStr">
        <is>
          <t>Historical champion</t>
        </is>
      </c>
      <c r="C73" s="16" t="inlineStr">
        <is>
          <t>SCM</t>
        </is>
      </c>
      <c r="D73" s="16" t="inlineStr">
        <is>
          <t>100 Free</t>
        </is>
      </c>
      <c r="E73" s="16" t="n">
        <v>15</v>
      </c>
      <c r="F73" s="49" t="n">
        <v>14.09474527197684</v>
      </c>
      <c r="G73" s="49" t="n">
        <v>19.23379672409427</v>
      </c>
      <c r="H73" s="16" t="n">
        <v>2018</v>
      </c>
      <c r="I73" s="16" t="n">
        <v>2023</v>
      </c>
    </row>
    <row r="74">
      <c r="A74" s="16" t="inlineStr">
        <is>
          <t>David Popovici</t>
        </is>
      </c>
      <c r="B74" s="16" t="inlineStr">
        <is>
          <t>Historical champion</t>
        </is>
      </c>
      <c r="C74" s="16" t="inlineStr">
        <is>
          <t>SCM</t>
        </is>
      </c>
      <c r="D74" s="16" t="inlineStr">
        <is>
          <t>200 Free</t>
        </is>
      </c>
      <c r="E74" s="16" t="n">
        <v>17</v>
      </c>
      <c r="F74" s="49" t="n">
        <v>14.09748317898383</v>
      </c>
      <c r="G74" s="49" t="n">
        <v>19.23105881708728</v>
      </c>
      <c r="H74" s="16" t="n">
        <v>2018</v>
      </c>
      <c r="I74" s="16" t="n">
        <v>2023</v>
      </c>
    </row>
    <row r="75">
      <c r="A75" s="16" t="inlineStr">
        <is>
          <t>David Popovici</t>
        </is>
      </c>
      <c r="B75" s="16" t="inlineStr">
        <is>
          <t>Historical champion</t>
        </is>
      </c>
      <c r="C75" s="16" t="inlineStr">
        <is>
          <t>SCM</t>
        </is>
      </c>
      <c r="D75" s="16" t="inlineStr">
        <is>
          <t>400 Free</t>
        </is>
      </c>
      <c r="E75" s="16" t="n">
        <v>6</v>
      </c>
      <c r="F75" s="49" t="n">
        <v>17.13108414272709</v>
      </c>
      <c r="G75" s="49" t="n">
        <v>19.058570675647</v>
      </c>
      <c r="H75" s="16" t="n">
        <v>2021</v>
      </c>
      <c r="I75" s="16" t="n">
        <v>2023</v>
      </c>
    </row>
    <row r="76">
      <c r="A76" s="16" t="inlineStr">
        <is>
          <t>David Popovici</t>
        </is>
      </c>
      <c r="B76" s="16" t="inlineStr">
        <is>
          <t>Historical champion</t>
        </is>
      </c>
      <c r="C76" s="16" t="inlineStr">
        <is>
          <t>SCM</t>
        </is>
      </c>
      <c r="D76" s="16" t="inlineStr">
        <is>
          <t>100 Fly</t>
        </is>
      </c>
      <c r="E76" s="16" t="n">
        <v>1</v>
      </c>
      <c r="F76" s="49" t="n">
        <v>18.16053717735477</v>
      </c>
      <c r="G76" s="49" t="n">
        <v>18.16053717735477</v>
      </c>
      <c r="H76" s="16" t="n">
        <v>2022</v>
      </c>
      <c r="I76" s="16" t="n">
        <v>2022</v>
      </c>
    </row>
    <row r="77">
      <c r="A77" s="16" t="inlineStr">
        <is>
          <t>Caeleb Dressel</t>
        </is>
      </c>
      <c r="B77" s="16" t="inlineStr">
        <is>
          <t>Historical champion</t>
        </is>
      </c>
      <c r="C77" s="16" t="inlineStr">
        <is>
          <t>LCM</t>
        </is>
      </c>
      <c r="D77" s="16" t="inlineStr">
        <is>
          <t>100 Free</t>
        </is>
      </c>
      <c r="E77" s="16" t="n">
        <v>72</v>
      </c>
      <c r="F77" s="49" t="n">
        <v>6.746202865219683</v>
      </c>
      <c r="G77" s="49" t="n">
        <v>20.95046441747606</v>
      </c>
      <c r="H77" s="16" t="n">
        <v>2003</v>
      </c>
      <c r="I77" s="16" t="n">
        <v>2017</v>
      </c>
    </row>
    <row r="78">
      <c r="A78" s="16" t="inlineStr">
        <is>
          <t>Caeleb Dressel</t>
        </is>
      </c>
      <c r="B78" s="16" t="inlineStr">
        <is>
          <t>Historical champion</t>
        </is>
      </c>
      <c r="C78" s="16" t="inlineStr">
        <is>
          <t>LCM</t>
        </is>
      </c>
      <c r="D78" s="16" t="inlineStr">
        <is>
          <t>200 Free</t>
        </is>
      </c>
      <c r="E78" s="16" t="n">
        <v>46</v>
      </c>
      <c r="F78" s="49" t="n">
        <v>9.87015476019357</v>
      </c>
      <c r="G78" s="49" t="n">
        <v>20.86558930025942</v>
      </c>
      <c r="H78" s="16" t="n">
        <v>2006</v>
      </c>
      <c r="I78" s="16" t="n">
        <v>2017</v>
      </c>
    </row>
    <row r="79">
      <c r="A79" s="16" t="inlineStr">
        <is>
          <t>Caeleb Dressel</t>
        </is>
      </c>
      <c r="B79" s="16" t="inlineStr">
        <is>
          <t>Historical champion</t>
        </is>
      </c>
      <c r="C79" s="16" t="inlineStr">
        <is>
          <t>LCM</t>
        </is>
      </c>
      <c r="D79" s="16" t="inlineStr">
        <is>
          <t>400 Free</t>
        </is>
      </c>
      <c r="E79" s="16" t="n">
        <v>4</v>
      </c>
      <c r="F79" s="49" t="n">
        <v>9.867416853186581</v>
      </c>
      <c r="G79" s="49" t="n">
        <v>11.86608896828819</v>
      </c>
      <c r="H79" s="16" t="n">
        <v>2006</v>
      </c>
      <c r="I79" s="16" t="n">
        <v>2008</v>
      </c>
    </row>
    <row r="80">
      <c r="A80" s="16" t="inlineStr">
        <is>
          <t>Caeleb Dressel</t>
        </is>
      </c>
      <c r="B80" s="16" t="inlineStr">
        <is>
          <t>Historical champion</t>
        </is>
      </c>
      <c r="C80" s="16" t="inlineStr">
        <is>
          <t>LCM</t>
        </is>
      </c>
      <c r="D80" s="16" t="inlineStr">
        <is>
          <t>100 Fly</t>
        </is>
      </c>
      <c r="E80" s="16" t="n">
        <v>45</v>
      </c>
      <c r="F80" s="49" t="n">
        <v>9.8153966200538</v>
      </c>
      <c r="G80" s="49" t="n">
        <v>20.95046441747606</v>
      </c>
      <c r="H80" s="16" t="n">
        <v>2006</v>
      </c>
      <c r="I80" s="16" t="n">
        <v>2017</v>
      </c>
    </row>
    <row r="81">
      <c r="A81" s="16" t="inlineStr">
        <is>
          <t>Caeleb Dressel</t>
        </is>
      </c>
      <c r="B81" s="16" t="inlineStr">
        <is>
          <t>Historical champion</t>
        </is>
      </c>
      <c r="C81" s="16" t="inlineStr">
        <is>
          <t>SCM</t>
        </is>
      </c>
      <c r="D81" s="16" t="inlineStr">
        <is>
          <t>100 Free</t>
        </is>
      </c>
      <c r="E81" s="16" t="n">
        <v>0</v>
      </c>
      <c r="F81" s="49" t="n"/>
      <c r="G81" s="49" t="n"/>
      <c r="H81" s="16" t="n"/>
      <c r="I81" s="16" t="n"/>
    </row>
    <row r="82">
      <c r="A82" s="16" t="inlineStr">
        <is>
          <t>Caeleb Dressel</t>
        </is>
      </c>
      <c r="B82" s="16" t="inlineStr">
        <is>
          <t>Historical champion</t>
        </is>
      </c>
      <c r="C82" s="16" t="inlineStr">
        <is>
          <t>SCM</t>
        </is>
      </c>
      <c r="D82" s="16" t="inlineStr">
        <is>
          <t>200 Free</t>
        </is>
      </c>
      <c r="E82" s="16" t="n">
        <v>0</v>
      </c>
      <c r="F82" s="49" t="n"/>
      <c r="G82" s="49" t="n"/>
      <c r="H82" s="16" t="n"/>
      <c r="I82" s="16" t="n"/>
    </row>
    <row r="83">
      <c r="A83" s="16" t="inlineStr">
        <is>
          <t>Caeleb Dressel</t>
        </is>
      </c>
      <c r="B83" s="16" t="inlineStr">
        <is>
          <t>Historical champion</t>
        </is>
      </c>
      <c r="C83" s="16" t="inlineStr">
        <is>
          <t>SCM</t>
        </is>
      </c>
      <c r="D83" s="16" t="inlineStr">
        <is>
          <t>400 Free</t>
        </is>
      </c>
      <c r="E83" s="16" t="n">
        <v>0</v>
      </c>
      <c r="F83" s="49" t="n"/>
      <c r="G83" s="49" t="n"/>
      <c r="H83" s="16" t="n"/>
      <c r="I83" s="16" t="n"/>
    </row>
    <row r="84">
      <c r="A84" s="16" t="inlineStr">
        <is>
          <t>Caeleb Dressel</t>
        </is>
      </c>
      <c r="B84" s="16" t="inlineStr">
        <is>
          <t>Historical champion</t>
        </is>
      </c>
      <c r="C84" s="16" t="inlineStr">
        <is>
          <t>SCM</t>
        </is>
      </c>
      <c r="D84" s="16" t="inlineStr">
        <is>
          <t>100 Fly</t>
        </is>
      </c>
      <c r="E84" s="16" t="n">
        <v>0</v>
      </c>
      <c r="F84" s="49" t="n"/>
      <c r="G84" s="49" t="n"/>
      <c r="H84" s="16" t="n"/>
      <c r="I84" s="16" t="n"/>
    </row>
    <row r="85">
      <c r="A85" s="16" t="inlineStr">
        <is>
          <t>Kyle Chalmers</t>
        </is>
      </c>
      <c r="B85" s="16" t="inlineStr">
        <is>
          <t>Historical champion</t>
        </is>
      </c>
      <c r="C85" s="16" t="inlineStr">
        <is>
          <t>LCM</t>
        </is>
      </c>
      <c r="D85" s="16" t="inlineStr">
        <is>
          <t>100 Free</t>
        </is>
      </c>
      <c r="E85" s="16" t="n">
        <v>13</v>
      </c>
      <c r="F85" s="49" t="n">
        <v>17.1776285618459</v>
      </c>
      <c r="G85" s="49" t="n">
        <v>20.12635440837252</v>
      </c>
      <c r="H85" s="16" t="n">
        <v>2015</v>
      </c>
      <c r="I85" s="16" t="n">
        <v>2018</v>
      </c>
    </row>
    <row r="86">
      <c r="A86" s="16" t="inlineStr">
        <is>
          <t>Kyle Chalmers</t>
        </is>
      </c>
      <c r="B86" s="16" t="inlineStr">
        <is>
          <t>Historical champion</t>
        </is>
      </c>
      <c r="C86" s="16" t="inlineStr">
        <is>
          <t>LCM</t>
        </is>
      </c>
      <c r="D86" s="16" t="inlineStr">
        <is>
          <t>200 Free</t>
        </is>
      </c>
      <c r="E86" s="16" t="n">
        <v>5</v>
      </c>
      <c r="F86" s="49" t="n">
        <v>18.79299369596912</v>
      </c>
      <c r="G86" s="49" t="n">
        <v>20.12635440837252</v>
      </c>
      <c r="H86" s="16" t="n">
        <v>2017</v>
      </c>
      <c r="I86" s="16" t="n">
        <v>2018</v>
      </c>
    </row>
    <row r="87">
      <c r="A87" s="16" t="inlineStr">
        <is>
          <t>Kyle Chalmers</t>
        </is>
      </c>
      <c r="B87" s="16" t="inlineStr">
        <is>
          <t>Historical champion</t>
        </is>
      </c>
      <c r="C87" s="16" t="inlineStr">
        <is>
          <t>LCM</t>
        </is>
      </c>
      <c r="D87" s="16" t="inlineStr">
        <is>
          <t>400 Free</t>
        </is>
      </c>
      <c r="E87" s="16" t="n">
        <v>0</v>
      </c>
      <c r="F87" s="49" t="n"/>
      <c r="G87" s="49" t="n"/>
      <c r="H87" s="16" t="n"/>
      <c r="I87" s="16" t="n"/>
    </row>
    <row r="88">
      <c r="A88" s="16" t="inlineStr">
        <is>
          <t>Kyle Chalmers</t>
        </is>
      </c>
      <c r="B88" s="16" t="inlineStr">
        <is>
          <t>Historical champion</t>
        </is>
      </c>
      <c r="C88" s="16" t="inlineStr">
        <is>
          <t>LCM</t>
        </is>
      </c>
      <c r="D88" s="16" t="inlineStr">
        <is>
          <t>100 Fly</t>
        </is>
      </c>
      <c r="E88" s="16" t="n">
        <v>0</v>
      </c>
      <c r="F88" s="49" t="n"/>
      <c r="G88" s="49" t="n"/>
      <c r="H88" s="16" t="n"/>
      <c r="I88" s="16" t="n"/>
    </row>
    <row r="89">
      <c r="A89" s="16" t="inlineStr">
        <is>
          <t>Kyle Chalmers</t>
        </is>
      </c>
      <c r="B89" s="16" t="inlineStr">
        <is>
          <t>Historical champion</t>
        </is>
      </c>
      <c r="C89" s="16" t="inlineStr">
        <is>
          <t>SCM</t>
        </is>
      </c>
      <c r="D89" s="16" t="inlineStr">
        <is>
          <t>100 Free</t>
        </is>
      </c>
      <c r="E89" s="16" t="n">
        <v>9</v>
      </c>
      <c r="F89" s="49" t="n">
        <v>18.32481159777408</v>
      </c>
      <c r="G89" s="49" t="n">
        <v>20.37824185301546</v>
      </c>
      <c r="H89" s="16" t="n">
        <v>2016</v>
      </c>
      <c r="I89" s="16" t="n">
        <v>2018</v>
      </c>
    </row>
    <row r="90">
      <c r="A90" s="16" t="inlineStr">
        <is>
          <t>Kyle Chalmers</t>
        </is>
      </c>
      <c r="B90" s="16" t="inlineStr">
        <is>
          <t>Historical champion</t>
        </is>
      </c>
      <c r="C90" s="16" t="inlineStr">
        <is>
          <t>SCM</t>
        </is>
      </c>
      <c r="D90" s="16" t="inlineStr">
        <is>
          <t>200 Free</t>
        </is>
      </c>
      <c r="E90" s="16" t="n">
        <v>8</v>
      </c>
      <c r="F90" s="49" t="n">
        <v>18.32754950478107</v>
      </c>
      <c r="G90" s="49" t="n">
        <v>20.38097976002245</v>
      </c>
      <c r="H90" s="16" t="n">
        <v>2016</v>
      </c>
      <c r="I90" s="16" t="n">
        <v>2018</v>
      </c>
    </row>
    <row r="91">
      <c r="A91" s="16" t="inlineStr">
        <is>
          <t>Kyle Chalmers</t>
        </is>
      </c>
      <c r="B91" s="16" t="inlineStr">
        <is>
          <t>Historical champion</t>
        </is>
      </c>
      <c r="C91" s="16" t="inlineStr">
        <is>
          <t>SCM</t>
        </is>
      </c>
      <c r="D91" s="16" t="inlineStr">
        <is>
          <t>400 Free</t>
        </is>
      </c>
      <c r="E91" s="16" t="n">
        <v>0</v>
      </c>
      <c r="F91" s="49" t="n"/>
      <c r="G91" s="49" t="n"/>
      <c r="H91" s="16" t="n"/>
      <c r="I91" s="16" t="n"/>
    </row>
    <row r="92">
      <c r="A92" s="16" t="inlineStr">
        <is>
          <t>Kyle Chalmers</t>
        </is>
      </c>
      <c r="B92" s="16" t="inlineStr">
        <is>
          <t>Historical champion</t>
        </is>
      </c>
      <c r="C92" s="16" t="inlineStr">
        <is>
          <t>SCM</t>
        </is>
      </c>
      <c r="D92" s="16" t="inlineStr">
        <is>
          <t>100 Fly</t>
        </is>
      </c>
      <c r="E92" s="16" t="n">
        <v>2</v>
      </c>
      <c r="F92" s="49" t="n">
        <v>18.32754950478107</v>
      </c>
      <c r="G92" s="49" t="n">
        <v>18.32754950478107</v>
      </c>
      <c r="H92" s="16" t="n">
        <v>2016</v>
      </c>
      <c r="I92" s="16" t="n">
        <v>2016</v>
      </c>
    </row>
    <row r="93">
      <c r="A93" s="16" t="inlineStr">
        <is>
          <t>Flynn Southam</t>
        </is>
      </c>
      <c r="B93" s="16" t="inlineStr">
        <is>
          <t>Historical champion</t>
        </is>
      </c>
      <c r="C93" s="16" t="inlineStr">
        <is>
          <t>LCM</t>
        </is>
      </c>
      <c r="D93" s="16" t="inlineStr">
        <is>
          <t>100 Free</t>
        </is>
      </c>
      <c r="E93" s="16" t="n">
        <v>42</v>
      </c>
      <c r="F93" s="49" t="n">
        <v>13.29801433294318</v>
      </c>
      <c r="G93" s="49" t="n">
        <v>20.83547232318254</v>
      </c>
      <c r="H93" s="16" t="n">
        <v>2018</v>
      </c>
      <c r="I93" s="16" t="n">
        <v>2026</v>
      </c>
    </row>
    <row r="94">
      <c r="A94" s="16" t="inlineStr">
        <is>
          <t>Flynn Southam</t>
        </is>
      </c>
      <c r="B94" s="16" t="inlineStr">
        <is>
          <t>Historical champion</t>
        </is>
      </c>
      <c r="C94" s="16" t="inlineStr">
        <is>
          <t>LCM</t>
        </is>
      </c>
      <c r="D94" s="16" t="inlineStr">
        <is>
          <t>200 Free</t>
        </is>
      </c>
      <c r="E94" s="16" t="n">
        <v>34</v>
      </c>
      <c r="F94" s="49" t="n">
        <v>15.84974366345647</v>
      </c>
      <c r="G94" s="49" t="n">
        <v>20.83821023018953</v>
      </c>
      <c r="H94" s="16" t="n">
        <v>2021</v>
      </c>
      <c r="I94" s="16" t="n">
        <v>2026</v>
      </c>
    </row>
    <row r="95">
      <c r="A95" s="16" t="inlineStr">
        <is>
          <t>Flynn Southam</t>
        </is>
      </c>
      <c r="B95" s="16" t="inlineStr">
        <is>
          <t>Historical champion</t>
        </is>
      </c>
      <c r="C95" s="16" t="inlineStr">
        <is>
          <t>LCM</t>
        </is>
      </c>
      <c r="D95" s="16" t="inlineStr">
        <is>
          <t>400 Free</t>
        </is>
      </c>
      <c r="E95" s="16" t="n">
        <v>7</v>
      </c>
      <c r="F95" s="49" t="n">
        <v>17.8429399645441</v>
      </c>
      <c r="G95" s="49" t="n">
        <v>19.87720487073657</v>
      </c>
      <c r="H95" s="16" t="n">
        <v>2023</v>
      </c>
      <c r="I95" s="16" t="n">
        <v>2025</v>
      </c>
    </row>
    <row r="96">
      <c r="A96" s="16" t="inlineStr">
        <is>
          <t>Flynn Southam</t>
        </is>
      </c>
      <c r="B96" s="16" t="inlineStr">
        <is>
          <t>Historical champion</t>
        </is>
      </c>
      <c r="C96" s="16" t="inlineStr">
        <is>
          <t>LCM</t>
        </is>
      </c>
      <c r="D96" s="16" t="inlineStr">
        <is>
          <t>100 Fly</t>
        </is>
      </c>
      <c r="E96" s="16" t="n">
        <v>1</v>
      </c>
      <c r="F96" s="49" t="n">
        <v>13.68132131392157</v>
      </c>
      <c r="G96" s="49" t="n">
        <v>13.68132131392157</v>
      </c>
      <c r="H96" s="16" t="n">
        <v>2019</v>
      </c>
      <c r="I96" s="16" t="n">
        <v>2019</v>
      </c>
    </row>
    <row r="97">
      <c r="A97" s="16" t="inlineStr">
        <is>
          <t>Flynn Southam</t>
        </is>
      </c>
      <c r="B97" s="16" t="inlineStr">
        <is>
          <t>Historical champion</t>
        </is>
      </c>
      <c r="C97" s="16" t="inlineStr">
        <is>
          <t>SCM</t>
        </is>
      </c>
      <c r="D97" s="16" t="inlineStr">
        <is>
          <t>100 Free</t>
        </is>
      </c>
      <c r="E97" s="16" t="n">
        <v>2</v>
      </c>
      <c r="F97" s="49" t="n">
        <v>16.28780878457463</v>
      </c>
      <c r="G97" s="49" t="n">
        <v>17.52260484472645</v>
      </c>
      <c r="H97" s="16" t="n">
        <v>2021</v>
      </c>
      <c r="I97" s="16" t="n">
        <v>2022</v>
      </c>
    </row>
    <row r="98">
      <c r="A98" s="16" t="inlineStr">
        <is>
          <t>Flynn Southam</t>
        </is>
      </c>
      <c r="B98" s="16" t="inlineStr">
        <is>
          <t>Historical champion</t>
        </is>
      </c>
      <c r="C98" s="16" t="inlineStr">
        <is>
          <t>SCM</t>
        </is>
      </c>
      <c r="D98" s="16" t="inlineStr">
        <is>
          <t>200 Free</t>
        </is>
      </c>
      <c r="E98" s="16" t="n">
        <v>1</v>
      </c>
      <c r="F98" s="49" t="n">
        <v>14.04546294585104</v>
      </c>
      <c r="G98" s="49" t="n">
        <v>14.04546294585104</v>
      </c>
      <c r="H98" s="16" t="n">
        <v>2019</v>
      </c>
      <c r="I98" s="16" t="n">
        <v>2019</v>
      </c>
    </row>
    <row r="99">
      <c r="A99" s="16" t="inlineStr">
        <is>
          <t>Flynn Southam</t>
        </is>
      </c>
      <c r="B99" s="16" t="inlineStr">
        <is>
          <t>Historical champion</t>
        </is>
      </c>
      <c r="C99" s="16" t="inlineStr">
        <is>
          <t>SCM</t>
        </is>
      </c>
      <c r="D99" s="16" t="inlineStr">
        <is>
          <t>400 Free</t>
        </is>
      </c>
      <c r="E99" s="16" t="n">
        <v>0</v>
      </c>
      <c r="F99" s="49" t="n"/>
      <c r="G99" s="49" t="n"/>
      <c r="H99" s="16" t="n"/>
      <c r="I99" s="16" t="n"/>
    </row>
    <row r="100">
      <c r="A100" s="16" t="inlineStr">
        <is>
          <t>Flynn Southam</t>
        </is>
      </c>
      <c r="B100" s="16" t="inlineStr">
        <is>
          <t>Historical champion</t>
        </is>
      </c>
      <c r="C100" s="16" t="inlineStr">
        <is>
          <t>SCM</t>
        </is>
      </c>
      <c r="D100" s="16" t="inlineStr">
        <is>
          <t>100 Fly</t>
        </is>
      </c>
      <c r="E100" s="16" t="n">
        <v>0</v>
      </c>
      <c r="F100" s="49" t="n"/>
      <c r="G100" s="49" t="n"/>
      <c r="H100" s="16" t="n"/>
      <c r="I100" s="16" t="n"/>
    </row>
    <row r="101">
      <c r="A101" s="16" t="inlineStr">
        <is>
          <t>Lewis Clareburt</t>
        </is>
      </c>
      <c r="B101" s="16" t="inlineStr">
        <is>
          <t>Historical champion</t>
        </is>
      </c>
      <c r="C101" s="16" t="inlineStr">
        <is>
          <t>LCM</t>
        </is>
      </c>
      <c r="D101" s="16" t="inlineStr">
        <is>
          <t>100 Free</t>
        </is>
      </c>
      <c r="E101" s="16" t="n">
        <v>10</v>
      </c>
      <c r="F101" s="49" t="n">
        <v>17.7252099632436</v>
      </c>
      <c r="G101" s="49" t="n">
        <v>20.37002813199449</v>
      </c>
      <c r="H101" s="16" t="n">
        <v>2017</v>
      </c>
      <c r="I101" s="16" t="n">
        <v>2019</v>
      </c>
    </row>
    <row r="102">
      <c r="A102" s="16" t="inlineStr">
        <is>
          <t>Lewis Clareburt</t>
        </is>
      </c>
      <c r="B102" s="16" t="inlineStr">
        <is>
          <t>Historical champion</t>
        </is>
      </c>
      <c r="C102" s="16" t="inlineStr">
        <is>
          <t>LCM</t>
        </is>
      </c>
      <c r="D102" s="16" t="inlineStr">
        <is>
          <t>200 Free</t>
        </is>
      </c>
      <c r="E102" s="16" t="n">
        <v>18</v>
      </c>
      <c r="F102" s="49" t="n">
        <v>17.71973414922962</v>
      </c>
      <c r="G102" s="49" t="n">
        <v>20.54251627343477</v>
      </c>
      <c r="H102" s="16" t="n">
        <v>2017</v>
      </c>
      <c r="I102" s="16" t="n">
        <v>2020</v>
      </c>
    </row>
    <row r="103">
      <c r="A103" s="16" t="inlineStr">
        <is>
          <t>Lewis Clareburt</t>
        </is>
      </c>
      <c r="B103" s="16" t="inlineStr">
        <is>
          <t>Historical champion</t>
        </is>
      </c>
      <c r="C103" s="16" t="inlineStr">
        <is>
          <t>LCM</t>
        </is>
      </c>
      <c r="D103" s="16" t="inlineStr">
        <is>
          <t>400 Free</t>
        </is>
      </c>
      <c r="E103" s="16" t="n">
        <v>10</v>
      </c>
      <c r="F103" s="49" t="n">
        <v>17.61021786895008</v>
      </c>
      <c r="G103" s="49" t="n">
        <v>18.99559881448626</v>
      </c>
      <c r="H103" s="16" t="n">
        <v>2017</v>
      </c>
      <c r="I103" s="16" t="n">
        <v>2018</v>
      </c>
    </row>
    <row r="104">
      <c r="A104" s="16" t="inlineStr">
        <is>
          <t>Lewis Clareburt</t>
        </is>
      </c>
      <c r="B104" s="16" t="inlineStr">
        <is>
          <t>Historical champion</t>
        </is>
      </c>
      <c r="C104" s="16" t="inlineStr">
        <is>
          <t>LCM</t>
        </is>
      </c>
      <c r="D104" s="16" t="inlineStr">
        <is>
          <t>100 Fly</t>
        </is>
      </c>
      <c r="E104" s="16" t="n">
        <v>7</v>
      </c>
      <c r="F104" s="49" t="n">
        <v>17.72247205623661</v>
      </c>
      <c r="G104" s="49" t="n">
        <v>20.37002813199449</v>
      </c>
      <c r="H104" s="16" t="n">
        <v>2017</v>
      </c>
      <c r="I104" s="16" t="n">
        <v>2019</v>
      </c>
    </row>
    <row r="105">
      <c r="A105" s="16" t="inlineStr">
        <is>
          <t>Lewis Clareburt</t>
        </is>
      </c>
      <c r="B105" s="16" t="inlineStr">
        <is>
          <t>Historical champion</t>
        </is>
      </c>
      <c r="C105" s="16" t="inlineStr">
        <is>
          <t>SCM</t>
        </is>
      </c>
      <c r="D105" s="16" t="inlineStr">
        <is>
          <t>100 Free</t>
        </is>
      </c>
      <c r="E105" s="16" t="n">
        <v>1</v>
      </c>
      <c r="F105" s="49" t="n">
        <v>18.25088810858539</v>
      </c>
      <c r="G105" s="49" t="n">
        <v>18.25088810858539</v>
      </c>
      <c r="H105" s="16" t="n">
        <v>2017</v>
      </c>
      <c r="I105" s="16" t="n">
        <v>2017</v>
      </c>
    </row>
    <row r="106">
      <c r="A106" s="16" t="inlineStr">
        <is>
          <t>Lewis Clareburt</t>
        </is>
      </c>
      <c r="B106" s="16" t="inlineStr">
        <is>
          <t>Historical champion</t>
        </is>
      </c>
      <c r="C106" s="16" t="inlineStr">
        <is>
          <t>SCM</t>
        </is>
      </c>
      <c r="D106" s="16" t="inlineStr">
        <is>
          <t>200 Free</t>
        </is>
      </c>
      <c r="E106" s="16" t="n">
        <v>2</v>
      </c>
      <c r="F106" s="49" t="n">
        <v>18.25088810858539</v>
      </c>
      <c r="G106" s="49" t="n">
        <v>18.25088810858539</v>
      </c>
      <c r="H106" s="16" t="n">
        <v>2017</v>
      </c>
      <c r="I106" s="16" t="n">
        <v>2017</v>
      </c>
    </row>
    <row r="107">
      <c r="A107" s="16" t="inlineStr">
        <is>
          <t>Lewis Clareburt</t>
        </is>
      </c>
      <c r="B107" s="16" t="inlineStr">
        <is>
          <t>Historical champion</t>
        </is>
      </c>
      <c r="C107" s="16" t="inlineStr">
        <is>
          <t>SCM</t>
        </is>
      </c>
      <c r="D107" s="16" t="inlineStr">
        <is>
          <t>400 Free</t>
        </is>
      </c>
      <c r="E107" s="16" t="n">
        <v>2</v>
      </c>
      <c r="F107" s="49" t="n">
        <v>18.25636392259937</v>
      </c>
      <c r="G107" s="49" t="n">
        <v>18.25636392259937</v>
      </c>
      <c r="H107" s="16" t="n">
        <v>2017</v>
      </c>
      <c r="I107" s="16" t="n">
        <v>2017</v>
      </c>
    </row>
    <row r="108">
      <c r="A108" s="16" t="inlineStr">
        <is>
          <t>Lewis Clareburt</t>
        </is>
      </c>
      <c r="B108" s="16" t="inlineStr">
        <is>
          <t>Historical champion</t>
        </is>
      </c>
      <c r="C108" s="16" t="inlineStr">
        <is>
          <t>SCM</t>
        </is>
      </c>
      <c r="D108" s="16" t="inlineStr">
        <is>
          <t>100 Fly</t>
        </is>
      </c>
      <c r="E108" s="16" t="n">
        <v>2</v>
      </c>
      <c r="F108" s="49" t="n">
        <v>18.25910182960636</v>
      </c>
      <c r="G108" s="49" t="n">
        <v>18.25910182960636</v>
      </c>
      <c r="H108" s="16" t="n">
        <v>2017</v>
      </c>
      <c r="I108" s="16" t="n">
        <v>2017</v>
      </c>
    </row>
    <row r="109">
      <c r="A109" s="16" t="inlineStr">
        <is>
          <t>Luke Hobson</t>
        </is>
      </c>
      <c r="B109" s="16" t="inlineStr">
        <is>
          <t>Historical champion</t>
        </is>
      </c>
      <c r="C109" s="16" t="inlineStr">
        <is>
          <t>LCM</t>
        </is>
      </c>
      <c r="D109" s="16" t="inlineStr">
        <is>
          <t>100 Free</t>
        </is>
      </c>
      <c r="E109" s="16" t="n">
        <v>44</v>
      </c>
      <c r="F109" s="49" t="n">
        <v>9.916699179312374</v>
      </c>
      <c r="G109" s="49" t="n">
        <v>20.98331930155992</v>
      </c>
      <c r="H109" s="16" t="n">
        <v>2013</v>
      </c>
      <c r="I109" s="16" t="n">
        <v>2024</v>
      </c>
    </row>
    <row r="110">
      <c r="A110" s="16" t="inlineStr">
        <is>
          <t>Luke Hobson</t>
        </is>
      </c>
      <c r="B110" s="16" t="inlineStr">
        <is>
          <t>Historical champion</t>
        </is>
      </c>
      <c r="C110" s="16" t="inlineStr">
        <is>
          <t>LCM</t>
        </is>
      </c>
      <c r="D110" s="16" t="inlineStr">
        <is>
          <t>200 Free</t>
        </is>
      </c>
      <c r="E110" s="16" t="n">
        <v>57</v>
      </c>
      <c r="F110" s="49" t="n">
        <v>9.974195226459132</v>
      </c>
      <c r="G110" s="49" t="n">
        <v>20.98058139455294</v>
      </c>
      <c r="H110" s="16" t="n">
        <v>2013</v>
      </c>
      <c r="I110" s="16" t="n">
        <v>2024</v>
      </c>
    </row>
    <row r="111">
      <c r="A111" s="16" t="inlineStr">
        <is>
          <t>Luke Hobson</t>
        </is>
      </c>
      <c r="B111" s="16" t="inlineStr">
        <is>
          <t>Historical champion</t>
        </is>
      </c>
      <c r="C111" s="16" t="inlineStr">
        <is>
          <t>LCM</t>
        </is>
      </c>
      <c r="D111" s="16" t="inlineStr">
        <is>
          <t>400 Free</t>
        </is>
      </c>
      <c r="E111" s="16" t="n">
        <v>40</v>
      </c>
      <c r="F111" s="49" t="n">
        <v>11.90715757339302</v>
      </c>
      <c r="G111" s="49" t="n">
        <v>20.43299999315523</v>
      </c>
      <c r="H111" s="16" t="n">
        <v>2015</v>
      </c>
      <c r="I111" s="16" t="n">
        <v>2023</v>
      </c>
    </row>
    <row r="112">
      <c r="A112" s="16" t="inlineStr">
        <is>
          <t>Luke Hobson</t>
        </is>
      </c>
      <c r="B112" s="16" t="inlineStr">
        <is>
          <t>Historical champion</t>
        </is>
      </c>
      <c r="C112" s="16" t="inlineStr">
        <is>
          <t>LCM</t>
        </is>
      </c>
      <c r="D112" s="16" t="inlineStr">
        <is>
          <t>100 Fly</t>
        </is>
      </c>
      <c r="E112" s="16" t="n">
        <v>24</v>
      </c>
      <c r="F112" s="49" t="n">
        <v>9.916699179312374</v>
      </c>
      <c r="G112" s="49" t="n">
        <v>19.90184603379946</v>
      </c>
      <c r="H112" s="16" t="n">
        <v>2013</v>
      </c>
      <c r="I112" s="16" t="n">
        <v>2023</v>
      </c>
    </row>
    <row r="113">
      <c r="A113" s="16" t="inlineStr">
        <is>
          <t>Luke Hobson</t>
        </is>
      </c>
      <c r="B113" s="16" t="inlineStr">
        <is>
          <t>Historical champion</t>
        </is>
      </c>
      <c r="C113" s="16" t="inlineStr">
        <is>
          <t>SCM</t>
        </is>
      </c>
      <c r="D113" s="16" t="inlineStr">
        <is>
          <t>100 Free</t>
        </is>
      </c>
      <c r="E113" s="16" t="n">
        <v>0</v>
      </c>
      <c r="F113" s="49" t="n"/>
      <c r="G113" s="49" t="n"/>
      <c r="H113" s="16" t="n"/>
      <c r="I113" s="16" t="n"/>
    </row>
    <row r="114">
      <c r="A114" s="16" t="inlineStr">
        <is>
          <t>Luke Hobson</t>
        </is>
      </c>
      <c r="B114" s="16" t="inlineStr">
        <is>
          <t>Historical champion</t>
        </is>
      </c>
      <c r="C114" s="16" t="inlineStr">
        <is>
          <t>SCM</t>
        </is>
      </c>
      <c r="D114" s="16" t="inlineStr">
        <is>
          <t>200 Free</t>
        </is>
      </c>
      <c r="E114" s="16" t="n">
        <v>0</v>
      </c>
      <c r="F114" s="49" t="n"/>
      <c r="G114" s="49" t="n"/>
      <c r="H114" s="16" t="n"/>
      <c r="I114" s="16" t="n"/>
    </row>
    <row r="115">
      <c r="A115" s="16" t="inlineStr">
        <is>
          <t>Luke Hobson</t>
        </is>
      </c>
      <c r="B115" s="16" t="inlineStr">
        <is>
          <t>Historical champion</t>
        </is>
      </c>
      <c r="C115" s="16" t="inlineStr">
        <is>
          <t>SCM</t>
        </is>
      </c>
      <c r="D115" s="16" t="inlineStr">
        <is>
          <t>400 Free</t>
        </is>
      </c>
      <c r="E115" s="16" t="n">
        <v>0</v>
      </c>
      <c r="F115" s="49" t="n"/>
      <c r="G115" s="49" t="n"/>
      <c r="H115" s="16" t="n"/>
      <c r="I115" s="16" t="n"/>
    </row>
    <row r="116">
      <c r="A116" s="16" t="inlineStr">
        <is>
          <t>Luke Hobson</t>
        </is>
      </c>
      <c r="B116" s="16" t="inlineStr">
        <is>
          <t>Historical champion</t>
        </is>
      </c>
      <c r="C116" s="16" t="inlineStr">
        <is>
          <t>SCM</t>
        </is>
      </c>
      <c r="D116" s="16" t="inlineStr">
        <is>
          <t>100 Fly</t>
        </is>
      </c>
      <c r="E116" s="16" t="n">
        <v>0</v>
      </c>
      <c r="F116" s="49" t="n"/>
      <c r="G116" s="49" t="n"/>
      <c r="H116" s="16" t="n"/>
      <c r="I116" s="16" t="n"/>
    </row>
    <row r="117">
      <c r="A117" s="16" t="inlineStr">
        <is>
          <t>Jack Alexy</t>
        </is>
      </c>
      <c r="B117" s="16" t="inlineStr">
        <is>
          <t>Historical champion</t>
        </is>
      </c>
      <c r="C117" s="16" t="inlineStr">
        <is>
          <t>LCM</t>
        </is>
      </c>
      <c r="D117" s="16" t="inlineStr">
        <is>
          <t>100 Free</t>
        </is>
      </c>
      <c r="E117" s="16" t="n">
        <v>42</v>
      </c>
      <c r="F117" s="49" t="n">
        <v>10.54915569792672</v>
      </c>
      <c r="G117" s="49" t="n">
        <v>20.97784348754595</v>
      </c>
      <c r="H117" s="16" t="n">
        <v>2013</v>
      </c>
      <c r="I117" s="16" t="n">
        <v>2024</v>
      </c>
    </row>
    <row r="118">
      <c r="A118" s="16" t="inlineStr">
        <is>
          <t>Jack Alexy</t>
        </is>
      </c>
      <c r="B118" s="16" t="inlineStr">
        <is>
          <t>Historical champion</t>
        </is>
      </c>
      <c r="C118" s="16" t="inlineStr">
        <is>
          <t>LCM</t>
        </is>
      </c>
      <c r="D118" s="16" t="inlineStr">
        <is>
          <t>200 Free</t>
        </is>
      </c>
      <c r="E118" s="16" t="n">
        <v>12</v>
      </c>
      <c r="F118" s="49" t="n">
        <v>10.55189360493371</v>
      </c>
      <c r="G118" s="49" t="n">
        <v>20.98058139455294</v>
      </c>
      <c r="H118" s="16" t="n">
        <v>2013</v>
      </c>
      <c r="I118" s="16" t="n">
        <v>2024</v>
      </c>
    </row>
    <row r="119">
      <c r="A119" s="16" t="inlineStr">
        <is>
          <t>Jack Alexy</t>
        </is>
      </c>
      <c r="B119" s="16" t="inlineStr">
        <is>
          <t>Historical champion</t>
        </is>
      </c>
      <c r="C119" s="16" t="inlineStr">
        <is>
          <t>LCM</t>
        </is>
      </c>
      <c r="D119" s="16" t="inlineStr">
        <is>
          <t>400 Free</t>
        </is>
      </c>
      <c r="E119" s="16" t="n">
        <v>1</v>
      </c>
      <c r="F119" s="49" t="n">
        <v>10.5546315119407</v>
      </c>
      <c r="G119" s="49" t="n">
        <v>10.5546315119407</v>
      </c>
      <c r="H119" s="16" t="n">
        <v>2013</v>
      </c>
      <c r="I119" s="16" t="n">
        <v>2013</v>
      </c>
    </row>
    <row r="120">
      <c r="A120" s="16" t="inlineStr">
        <is>
          <t>Jack Alexy</t>
        </is>
      </c>
      <c r="B120" s="16" t="inlineStr">
        <is>
          <t>Historical champion</t>
        </is>
      </c>
      <c r="C120" s="16" t="inlineStr">
        <is>
          <t>LCM</t>
        </is>
      </c>
      <c r="D120" s="16" t="inlineStr">
        <is>
          <t>100 Fly</t>
        </is>
      </c>
      <c r="E120" s="16" t="n">
        <v>6</v>
      </c>
      <c r="F120" s="49" t="n">
        <v>11.54575384847054</v>
      </c>
      <c r="G120" s="49" t="n">
        <v>15.52940854363882</v>
      </c>
      <c r="H120" s="16" t="n">
        <v>2014</v>
      </c>
      <c r="I120" s="16" t="n">
        <v>2018</v>
      </c>
    </row>
    <row r="121">
      <c r="A121" s="16" t="inlineStr">
        <is>
          <t>Jack Alexy</t>
        </is>
      </c>
      <c r="B121" s="16" t="inlineStr">
        <is>
          <t>Historical champion</t>
        </is>
      </c>
      <c r="C121" s="16" t="inlineStr">
        <is>
          <t>SCM</t>
        </is>
      </c>
      <c r="D121" s="16" t="inlineStr">
        <is>
          <t>100 Free</t>
        </is>
      </c>
      <c r="E121" s="16" t="n">
        <v>0</v>
      </c>
      <c r="F121" s="49" t="n"/>
      <c r="G121" s="49" t="n"/>
      <c r="H121" s="16" t="n"/>
      <c r="I121" s="16" t="n"/>
    </row>
    <row r="122">
      <c r="A122" s="16" t="inlineStr">
        <is>
          <t>Jack Alexy</t>
        </is>
      </c>
      <c r="B122" s="16" t="inlineStr">
        <is>
          <t>Historical champion</t>
        </is>
      </c>
      <c r="C122" s="16" t="inlineStr">
        <is>
          <t>SCM</t>
        </is>
      </c>
      <c r="D122" s="16" t="inlineStr">
        <is>
          <t>200 Free</t>
        </is>
      </c>
      <c r="E122" s="16" t="n">
        <v>0</v>
      </c>
      <c r="F122" s="49" t="n"/>
      <c r="G122" s="49" t="n"/>
      <c r="H122" s="16" t="n"/>
      <c r="I122" s="16" t="n"/>
    </row>
    <row r="123">
      <c r="A123" s="16" t="inlineStr">
        <is>
          <t>Jack Alexy</t>
        </is>
      </c>
      <c r="B123" s="16" t="inlineStr">
        <is>
          <t>Historical champion</t>
        </is>
      </c>
      <c r="C123" s="16" t="inlineStr">
        <is>
          <t>SCM</t>
        </is>
      </c>
      <c r="D123" s="16" t="inlineStr">
        <is>
          <t>400 Free</t>
        </is>
      </c>
      <c r="E123" s="16" t="n">
        <v>0</v>
      </c>
      <c r="F123" s="49" t="n"/>
      <c r="G123" s="49" t="n"/>
      <c r="H123" s="16" t="n"/>
      <c r="I123" s="16" t="n"/>
    </row>
    <row r="124">
      <c r="A124" s="16" t="inlineStr">
        <is>
          <t>Jack Alexy</t>
        </is>
      </c>
      <c r="B124" s="16" t="inlineStr">
        <is>
          <t>Historical champion</t>
        </is>
      </c>
      <c r="C124" s="16" t="inlineStr">
        <is>
          <t>SCM</t>
        </is>
      </c>
      <c r="D124" s="16" t="inlineStr">
        <is>
          <t>100 Fly</t>
        </is>
      </c>
      <c r="E124" s="16" t="n">
        <v>0</v>
      </c>
      <c r="F124" s="49" t="n"/>
      <c r="G124" s="49" t="n"/>
      <c r="H124" s="16" t="n"/>
      <c r="I124" s="16" t="n"/>
    </row>
    <row r="125">
      <c r="A125" s="16" t="inlineStr">
        <is>
          <t>Duncan Scott</t>
        </is>
      </c>
      <c r="B125" s="16" t="inlineStr">
        <is>
          <t>Historical champion</t>
        </is>
      </c>
      <c r="C125" s="16" t="inlineStr">
        <is>
          <t>LCM</t>
        </is>
      </c>
      <c r="D125" s="16" t="inlineStr">
        <is>
          <t>100 Free</t>
        </is>
      </c>
      <c r="E125" s="16" t="n">
        <v>23</v>
      </c>
      <c r="F125" s="49" t="n">
        <v>13.91951922352957</v>
      </c>
      <c r="G125" s="49" t="n">
        <v>20.81904488114061</v>
      </c>
      <c r="H125" s="16" t="n">
        <v>2011</v>
      </c>
      <c r="I125" s="16" t="n">
        <v>2018</v>
      </c>
    </row>
    <row r="126">
      <c r="A126" s="16" t="inlineStr">
        <is>
          <t>Duncan Scott</t>
        </is>
      </c>
      <c r="B126" s="16" t="inlineStr">
        <is>
          <t>Historical champion</t>
        </is>
      </c>
      <c r="C126" s="16" t="inlineStr">
        <is>
          <t>LCM</t>
        </is>
      </c>
      <c r="D126" s="16" t="inlineStr">
        <is>
          <t>200 Free</t>
        </is>
      </c>
      <c r="E126" s="16" t="n">
        <v>15</v>
      </c>
      <c r="F126" s="49" t="n">
        <v>13.92225713053656</v>
      </c>
      <c r="G126" s="49" t="n">
        <v>20.21944324661013</v>
      </c>
      <c r="H126" s="16" t="n">
        <v>2011</v>
      </c>
      <c r="I126" s="16" t="n">
        <v>2017</v>
      </c>
    </row>
    <row r="127">
      <c r="A127" s="16" t="inlineStr">
        <is>
          <t>Duncan Scott</t>
        </is>
      </c>
      <c r="B127" s="16" t="inlineStr">
        <is>
          <t>Historical champion</t>
        </is>
      </c>
      <c r="C127" s="16" t="inlineStr">
        <is>
          <t>LCM</t>
        </is>
      </c>
      <c r="D127" s="16" t="inlineStr">
        <is>
          <t>400 Free</t>
        </is>
      </c>
      <c r="E127" s="16" t="n">
        <v>2</v>
      </c>
      <c r="F127" s="49" t="n">
        <v>14.91064156005941</v>
      </c>
      <c r="G127" s="49" t="n">
        <v>18.49182392520038</v>
      </c>
      <c r="H127" s="16" t="n">
        <v>2012</v>
      </c>
      <c r="I127" s="16" t="n">
        <v>2015</v>
      </c>
    </row>
    <row r="128">
      <c r="A128" s="16" t="inlineStr">
        <is>
          <t>Duncan Scott</t>
        </is>
      </c>
      <c r="B128" s="16" t="inlineStr">
        <is>
          <t>Historical champion</t>
        </is>
      </c>
      <c r="C128" s="16" t="inlineStr">
        <is>
          <t>LCM</t>
        </is>
      </c>
      <c r="D128" s="16" t="inlineStr">
        <is>
          <t>100 Fly</t>
        </is>
      </c>
      <c r="E128" s="16" t="n">
        <v>24</v>
      </c>
      <c r="F128" s="49" t="n">
        <v>13.92225713053656</v>
      </c>
      <c r="G128" s="49" t="n">
        <v>20.82725860216158</v>
      </c>
      <c r="H128" s="16" t="n">
        <v>2011</v>
      </c>
      <c r="I128" s="16" t="n">
        <v>2018</v>
      </c>
    </row>
    <row r="129">
      <c r="A129" s="16" t="inlineStr">
        <is>
          <t>Duncan Scott</t>
        </is>
      </c>
      <c r="B129" s="16" t="inlineStr">
        <is>
          <t>Historical champion</t>
        </is>
      </c>
      <c r="C129" s="16" t="inlineStr">
        <is>
          <t>SCM</t>
        </is>
      </c>
      <c r="D129" s="16" t="inlineStr">
        <is>
          <t>100 Free</t>
        </is>
      </c>
      <c r="E129" s="16" t="n">
        <v>8</v>
      </c>
      <c r="F129" s="49" t="n">
        <v>16.60814390439229</v>
      </c>
      <c r="G129" s="49" t="n">
        <v>20.61643976262346</v>
      </c>
      <c r="H129" s="16" t="n">
        <v>2013</v>
      </c>
      <c r="I129" s="16" t="n">
        <v>2017</v>
      </c>
    </row>
    <row r="130">
      <c r="A130" s="16" t="inlineStr">
        <is>
          <t>Duncan Scott</t>
        </is>
      </c>
      <c r="B130" s="16" t="inlineStr">
        <is>
          <t>Historical champion</t>
        </is>
      </c>
      <c r="C130" s="16" t="inlineStr">
        <is>
          <t>SCM</t>
        </is>
      </c>
      <c r="D130" s="16" t="inlineStr">
        <is>
          <t>200 Free</t>
        </is>
      </c>
      <c r="E130" s="16" t="n">
        <v>10</v>
      </c>
      <c r="F130" s="49" t="n">
        <v>15.61428366085546</v>
      </c>
      <c r="G130" s="49" t="n">
        <v>20.6082260416025</v>
      </c>
      <c r="H130" s="16" t="n">
        <v>2012</v>
      </c>
      <c r="I130" s="16" t="n">
        <v>2017</v>
      </c>
    </row>
    <row r="131">
      <c r="A131" s="16" t="inlineStr">
        <is>
          <t>Duncan Scott</t>
        </is>
      </c>
      <c r="B131" s="16" t="inlineStr">
        <is>
          <t>Historical champion</t>
        </is>
      </c>
      <c r="C131" s="16" t="inlineStr">
        <is>
          <t>SCM</t>
        </is>
      </c>
      <c r="D131" s="16" t="inlineStr">
        <is>
          <t>400 Free</t>
        </is>
      </c>
      <c r="E131" s="16" t="n">
        <v>9</v>
      </c>
      <c r="F131" s="49" t="n">
        <v>13.67310759290061</v>
      </c>
      <c r="G131" s="49" t="n">
        <v>20.59179859956057</v>
      </c>
      <c r="H131" s="16" t="n">
        <v>2011</v>
      </c>
      <c r="I131" s="16" t="n">
        <v>2017</v>
      </c>
    </row>
    <row r="132">
      <c r="A132" s="16" t="inlineStr">
        <is>
          <t>Duncan Scott</t>
        </is>
      </c>
      <c r="B132" s="16" t="inlineStr">
        <is>
          <t>Historical champion</t>
        </is>
      </c>
      <c r="C132" s="16" t="inlineStr">
        <is>
          <t>SCM</t>
        </is>
      </c>
      <c r="D132" s="16" t="inlineStr">
        <is>
          <t>100 Fly</t>
        </is>
      </c>
      <c r="E132" s="16" t="n">
        <v>5</v>
      </c>
      <c r="F132" s="49" t="n">
        <v>14.61220969629766</v>
      </c>
      <c r="G132" s="49" t="n">
        <v>20.59179859956057</v>
      </c>
      <c r="H132" s="16" t="n">
        <v>2011</v>
      </c>
      <c r="I132" s="16" t="n">
        <v>2017</v>
      </c>
    </row>
    <row r="133">
      <c r="A133" s="16" t="inlineStr">
        <is>
          <t>Egor Kornev</t>
        </is>
      </c>
      <c r="B133" s="16" t="inlineStr">
        <is>
          <t>Historical champion</t>
        </is>
      </c>
      <c r="C133" s="16" t="inlineStr">
        <is>
          <t>LCM</t>
        </is>
      </c>
      <c r="D133" s="16" t="inlineStr">
        <is>
          <t>100 Free</t>
        </is>
      </c>
      <c r="E133" s="16" t="n">
        <v>37</v>
      </c>
      <c r="F133" s="49" t="n">
        <v>15.24192830790502</v>
      </c>
      <c r="G133" s="49" t="n">
        <v>20.47406859826006</v>
      </c>
      <c r="H133" s="16" t="n">
        <v>2019</v>
      </c>
      <c r="I133" s="16" t="n">
        <v>2024</v>
      </c>
    </row>
    <row r="134">
      <c r="A134" s="16" t="inlineStr">
        <is>
          <t>Egor Kornev</t>
        </is>
      </c>
      <c r="B134" s="16" t="inlineStr">
        <is>
          <t>Historical champion</t>
        </is>
      </c>
      <c r="C134" s="16" t="inlineStr">
        <is>
          <t>LCM</t>
        </is>
      </c>
      <c r="D134" s="16" t="inlineStr">
        <is>
          <t>200 Free</t>
        </is>
      </c>
      <c r="E134" s="16" t="n">
        <v>7</v>
      </c>
      <c r="F134" s="49" t="n">
        <v>15.247404121919</v>
      </c>
      <c r="G134" s="49" t="n">
        <v>19.4637809126813</v>
      </c>
      <c r="H134" s="16" t="n">
        <v>2019</v>
      </c>
      <c r="I134" s="16" t="n">
        <v>2023</v>
      </c>
    </row>
    <row r="135">
      <c r="A135" s="16" t="inlineStr">
        <is>
          <t>Egor Kornev</t>
        </is>
      </c>
      <c r="B135" s="16" t="inlineStr">
        <is>
          <t>Historical champion</t>
        </is>
      </c>
      <c r="C135" s="16" t="inlineStr">
        <is>
          <t>LCM</t>
        </is>
      </c>
      <c r="D135" s="16" t="inlineStr">
        <is>
          <t>400 Free</t>
        </is>
      </c>
      <c r="E135" s="16" t="n">
        <v>0</v>
      </c>
      <c r="F135" s="49" t="n"/>
      <c r="G135" s="49" t="n"/>
      <c r="H135" s="16" t="n"/>
      <c r="I135" s="16" t="n"/>
    </row>
    <row r="136">
      <c r="A136" s="16" t="inlineStr">
        <is>
          <t>Egor Kornev</t>
        </is>
      </c>
      <c r="B136" s="16" t="inlineStr">
        <is>
          <t>Historical champion</t>
        </is>
      </c>
      <c r="C136" s="16" t="inlineStr">
        <is>
          <t>LCM</t>
        </is>
      </c>
      <c r="D136" s="16" t="inlineStr">
        <is>
          <t>100 Fly</t>
        </is>
      </c>
      <c r="E136" s="16" t="n">
        <v>1</v>
      </c>
      <c r="F136" s="49" t="n">
        <v>19.19272811898944</v>
      </c>
      <c r="G136" s="49" t="n">
        <v>19.19272811898944</v>
      </c>
      <c r="H136" s="16" t="n">
        <v>2023</v>
      </c>
      <c r="I136" s="16" t="n">
        <v>2023</v>
      </c>
    </row>
    <row r="137">
      <c r="A137" s="16" t="inlineStr">
        <is>
          <t>Egor Kornev</t>
        </is>
      </c>
      <c r="B137" s="16" t="inlineStr">
        <is>
          <t>Historical champion</t>
        </is>
      </c>
      <c r="C137" s="16" t="inlineStr">
        <is>
          <t>SCM</t>
        </is>
      </c>
      <c r="D137" s="16" t="inlineStr">
        <is>
          <t>100 Free</t>
        </is>
      </c>
      <c r="E137" s="16" t="n">
        <v>27</v>
      </c>
      <c r="F137" s="49" t="n">
        <v>17.80187135943928</v>
      </c>
      <c r="G137" s="49" t="n">
        <v>20.87106511427339</v>
      </c>
      <c r="H137" s="16" t="n">
        <v>2021</v>
      </c>
      <c r="I137" s="16" t="n">
        <v>2024</v>
      </c>
    </row>
    <row r="138">
      <c r="A138" s="16" t="inlineStr">
        <is>
          <t>Egor Kornev</t>
        </is>
      </c>
      <c r="B138" s="16" t="inlineStr">
        <is>
          <t>Historical champion</t>
        </is>
      </c>
      <c r="C138" s="16" t="inlineStr">
        <is>
          <t>SCM</t>
        </is>
      </c>
      <c r="D138" s="16" t="inlineStr">
        <is>
          <t>200 Free</t>
        </is>
      </c>
      <c r="E138" s="16" t="n">
        <v>3</v>
      </c>
      <c r="F138" s="49" t="n">
        <v>18.79025578896213</v>
      </c>
      <c r="G138" s="49" t="n">
        <v>18.86417927815082</v>
      </c>
      <c r="H138" s="16" t="n">
        <v>2022</v>
      </c>
      <c r="I138" s="16" t="n">
        <v>2022</v>
      </c>
    </row>
    <row r="139">
      <c r="A139" s="16" t="inlineStr">
        <is>
          <t>Egor Kornev</t>
        </is>
      </c>
      <c r="B139" s="16" t="inlineStr">
        <is>
          <t>Historical champion</t>
        </is>
      </c>
      <c r="C139" s="16" t="inlineStr">
        <is>
          <t>SCM</t>
        </is>
      </c>
      <c r="D139" s="16" t="inlineStr">
        <is>
          <t>400 Free</t>
        </is>
      </c>
      <c r="E139" s="16" t="n">
        <v>0</v>
      </c>
      <c r="F139" s="49" t="n"/>
      <c r="G139" s="49" t="n"/>
      <c r="H139" s="16" t="n"/>
      <c r="I139" s="16" t="n"/>
    </row>
    <row r="140">
      <c r="A140" s="16" t="inlineStr">
        <is>
          <t>Egor Kornev</t>
        </is>
      </c>
      <c r="B140" s="16" t="inlineStr">
        <is>
          <t>Historical champion</t>
        </is>
      </c>
      <c r="C140" s="16" t="inlineStr">
        <is>
          <t>SCM</t>
        </is>
      </c>
      <c r="D140" s="16" t="inlineStr">
        <is>
          <t>100 Fly</t>
        </is>
      </c>
      <c r="E140" s="16" t="n">
        <v>5</v>
      </c>
      <c r="F140" s="49" t="n">
        <v>17.80734717345325</v>
      </c>
      <c r="G140" s="49" t="n">
        <v>20.79440371807771</v>
      </c>
      <c r="H140" s="16" t="n">
        <v>2021</v>
      </c>
      <c r="I140" s="16" t="n">
        <v>2024</v>
      </c>
    </row>
    <row r="141">
      <c r="A141" s="16" t="inlineStr">
        <is>
          <t>Kristof Milak</t>
        </is>
      </c>
      <c r="B141" s="16" t="inlineStr">
        <is>
          <t>Historical champion</t>
        </is>
      </c>
      <c r="C141" s="16" t="inlineStr">
        <is>
          <t>LCM</t>
        </is>
      </c>
      <c r="D141" s="16" t="inlineStr">
        <is>
          <t>100 Free</t>
        </is>
      </c>
      <c r="E141" s="16" t="n">
        <v>12</v>
      </c>
      <c r="F141" s="49" t="n">
        <v>17.50617740268452</v>
      </c>
      <c r="G141" s="49" t="n">
        <v>20.964153952511</v>
      </c>
      <c r="H141" s="16" t="n">
        <v>2017</v>
      </c>
      <c r="I141" s="16" t="n">
        <v>2021</v>
      </c>
    </row>
    <row r="142">
      <c r="A142" s="16" t="inlineStr">
        <is>
          <t>Kristof Milak</t>
        </is>
      </c>
      <c r="B142" s="16" t="inlineStr">
        <is>
          <t>Historical champion</t>
        </is>
      </c>
      <c r="C142" s="16" t="inlineStr">
        <is>
          <t>LCM</t>
        </is>
      </c>
      <c r="D142" s="16" t="inlineStr">
        <is>
          <t>200 Free</t>
        </is>
      </c>
      <c r="E142" s="16" t="n">
        <v>13</v>
      </c>
      <c r="F142" s="49" t="n">
        <v>17.95519415183063</v>
      </c>
      <c r="G142" s="49" t="n">
        <v>20.96689185951799</v>
      </c>
      <c r="H142" s="16" t="n">
        <v>2018</v>
      </c>
      <c r="I142" s="16" t="n">
        <v>2021</v>
      </c>
    </row>
    <row r="143">
      <c r="A143" s="16" t="inlineStr">
        <is>
          <t>Kristof Milak</t>
        </is>
      </c>
      <c r="B143" s="16" t="inlineStr">
        <is>
          <t>Historical champion</t>
        </is>
      </c>
      <c r="C143" s="16" t="inlineStr">
        <is>
          <t>LCM</t>
        </is>
      </c>
      <c r="D143" s="16" t="inlineStr">
        <is>
          <t>400 Free</t>
        </is>
      </c>
      <c r="E143" s="16" t="n">
        <v>12</v>
      </c>
      <c r="F143" s="49" t="n">
        <v>17.95519415183063</v>
      </c>
      <c r="G143" s="49" t="n">
        <v>20.96141604550401</v>
      </c>
      <c r="H143" s="16" t="n">
        <v>2018</v>
      </c>
      <c r="I143" s="16" t="n">
        <v>2021</v>
      </c>
    </row>
    <row r="144">
      <c r="A144" s="16" t="inlineStr">
        <is>
          <t>Kristof Milak</t>
        </is>
      </c>
      <c r="B144" s="16" t="inlineStr">
        <is>
          <t>Historical champion</t>
        </is>
      </c>
      <c r="C144" s="16" t="inlineStr">
        <is>
          <t>LCM</t>
        </is>
      </c>
      <c r="D144" s="16" t="inlineStr">
        <is>
          <t>100 Fly</t>
        </is>
      </c>
      <c r="E144" s="16" t="n">
        <v>31</v>
      </c>
      <c r="F144" s="49" t="n">
        <v>16.38363552981923</v>
      </c>
      <c r="G144" s="49" t="n">
        <v>20.96689185951799</v>
      </c>
      <c r="H144" s="16" t="n">
        <v>2016</v>
      </c>
      <c r="I144" s="16" t="n">
        <v>2021</v>
      </c>
    </row>
    <row r="145">
      <c r="A145" s="16" t="inlineStr">
        <is>
          <t>Kristof Milak</t>
        </is>
      </c>
      <c r="B145" s="16" t="inlineStr">
        <is>
          <t>Historical champion</t>
        </is>
      </c>
      <c r="C145" s="16" t="inlineStr">
        <is>
          <t>SCM</t>
        </is>
      </c>
      <c r="D145" s="16" t="inlineStr">
        <is>
          <t>100 Free</t>
        </is>
      </c>
      <c r="E145" s="16" t="n">
        <v>0</v>
      </c>
      <c r="F145" s="49" t="n"/>
      <c r="G145" s="49" t="n"/>
      <c r="H145" s="16" t="n"/>
      <c r="I145" s="16" t="n"/>
    </row>
    <row r="146">
      <c r="A146" s="16" t="inlineStr">
        <is>
          <t>Kristof Milak</t>
        </is>
      </c>
      <c r="B146" s="16" t="inlineStr">
        <is>
          <t>Historical champion</t>
        </is>
      </c>
      <c r="C146" s="16" t="inlineStr">
        <is>
          <t>SCM</t>
        </is>
      </c>
      <c r="D146" s="16" t="inlineStr">
        <is>
          <t>200 Free</t>
        </is>
      </c>
      <c r="E146" s="16" t="n">
        <v>0</v>
      </c>
      <c r="F146" s="49" t="n"/>
      <c r="G146" s="49" t="n"/>
      <c r="H146" s="16" t="n"/>
      <c r="I146" s="16" t="n"/>
    </row>
    <row r="147">
      <c r="A147" s="16" t="inlineStr">
        <is>
          <t>Kristof Milak</t>
        </is>
      </c>
      <c r="B147" s="16" t="inlineStr">
        <is>
          <t>Historical champion</t>
        </is>
      </c>
      <c r="C147" s="16" t="inlineStr">
        <is>
          <t>SCM</t>
        </is>
      </c>
      <c r="D147" s="16" t="inlineStr">
        <is>
          <t>400 Free</t>
        </is>
      </c>
      <c r="E147" s="16" t="n">
        <v>2</v>
      </c>
      <c r="F147" s="49" t="n">
        <v>18.83132439406695</v>
      </c>
      <c r="G147" s="49" t="n">
        <v>18.83132439406695</v>
      </c>
      <c r="H147" s="16" t="n">
        <v>2018</v>
      </c>
      <c r="I147" s="16" t="n">
        <v>2018</v>
      </c>
    </row>
    <row r="148">
      <c r="A148" s="16" t="inlineStr">
        <is>
          <t>Kristof Milak</t>
        </is>
      </c>
      <c r="B148" s="16" t="inlineStr">
        <is>
          <t>Historical champion</t>
        </is>
      </c>
      <c r="C148" s="16" t="inlineStr">
        <is>
          <t>SCM</t>
        </is>
      </c>
      <c r="D148" s="16" t="inlineStr">
        <is>
          <t>100 Fly</t>
        </is>
      </c>
      <c r="E148" s="16" t="n">
        <v>4</v>
      </c>
      <c r="F148" s="49" t="n">
        <v>18.83406230107394</v>
      </c>
      <c r="G148" s="49" t="n">
        <v>18.83406230107394</v>
      </c>
      <c r="H148" s="16" t="n">
        <v>2018</v>
      </c>
      <c r="I148" s="16" t="n">
        <v>2018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0" customWidth="1" style="17" min="1" max="1"/>
    <col width="22" customWidth="1" style="17" min="2" max="2"/>
    <col width="22" customWidth="1" style="17" min="3" max="3"/>
    <col width="12" customWidth="1" style="17" min="4" max="4"/>
    <col width="70" customWidth="1" style="17" min="5" max="5"/>
  </cols>
  <sheetData>
    <row r="1" ht="26" customHeight="1" s="17">
      <c r="A1" s="31" t="inlineStr">
        <is>
          <t>QA checks</t>
        </is>
      </c>
    </row>
    <row r="2" ht="32" customHeight="1" s="17">
      <c r="A2" s="32" t="inlineStr">
        <is>
          <t>Automated checks over the current private master build.</t>
        </is>
      </c>
    </row>
    <row r="4" ht="30" customHeight="1" s="17">
      <c r="A4" s="28" t="inlineStr">
        <is>
          <t>Check</t>
        </is>
      </c>
      <c r="B4" s="28" t="inlineStr">
        <is>
          <t>Result</t>
        </is>
      </c>
      <c r="C4" s="28" t="inlineStr">
        <is>
          <t>Expected / Threshold</t>
        </is>
      </c>
      <c r="D4" s="28" t="inlineStr">
        <is>
          <t>Status</t>
        </is>
      </c>
      <c r="E4" s="28" t="inlineStr">
        <is>
          <t>Notes</t>
        </is>
      </c>
    </row>
    <row r="5" s="17">
      <c r="A5" s="16" t="inlineStr">
        <is>
          <t>Canonical swimmers</t>
        </is>
      </c>
      <c r="B5" s="16" t="n">
        <v>18</v>
      </c>
      <c r="C5" s="16" t="n">
        <v>18</v>
      </c>
      <c r="D5" s="50" t="inlineStr">
        <is>
          <t>PASS</t>
        </is>
      </c>
      <c r="E5" s="16" t="inlineStr">
        <is>
          <t>Grayson has two source profiles but one canonical swimmer.</t>
        </is>
      </c>
    </row>
    <row r="6">
      <c r="A6" s="16" t="inlineStr">
        <is>
          <t>Source profiles</t>
        </is>
      </c>
      <c r="B6" s="16" t="n">
        <v>19</v>
      </c>
      <c r="C6" s="16" t="n">
        <v>19</v>
      </c>
      <c r="D6" s="50" t="inlineStr">
        <is>
          <t>PASS</t>
        </is>
      </c>
      <c r="E6" s="16" t="n"/>
    </row>
    <row r="7">
      <c r="A7" s="16" t="inlineStr">
        <is>
          <t>Swimmer ID referential integrity</t>
        </is>
      </c>
      <c r="B7" s="16" t="n">
        <v>0</v>
      </c>
      <c r="C7" s="16" t="n">
        <v>0</v>
      </c>
      <c r="D7" s="50" t="inlineStr">
        <is>
          <t>PASS</t>
        </is>
      </c>
      <c r="E7" s="16" t="n"/>
    </row>
    <row r="8">
      <c r="A8" s="16" t="inlineStr">
        <is>
          <t>Normalized swims</t>
        </is>
      </c>
      <c r="B8" s="16" t="n">
        <v>2987</v>
      </c>
      <c r="C8" s="16" t="inlineStr">
        <is>
          <t>&gt;= 2,987</t>
        </is>
      </c>
      <c r="D8" s="50" t="inlineStr">
        <is>
          <t>PASS</t>
        </is>
      </c>
      <c r="E8" s="16" t="n"/>
    </row>
    <row r="9">
      <c r="A9" s="16" t="inlineStr">
        <is>
          <t>Grayson all-event rows</t>
        </is>
      </c>
      <c r="B9" s="16" t="n">
        <v>247</v>
      </c>
      <c r="C9" s="16" t="inlineStr">
        <is>
          <t>&gt;= 247</t>
        </is>
      </c>
      <c r="D9" s="50" t="inlineStr">
        <is>
          <t>PASS</t>
        </is>
      </c>
      <c r="E9" s="16" t="n"/>
    </row>
    <row r="10">
      <c r="A10" s="16" t="inlineStr">
        <is>
          <t>Grayson consistency-window swims</t>
        </is>
      </c>
      <c r="B10" s="16" t="n">
        <v>216</v>
      </c>
      <c r="C10" s="16" t="inlineStr">
        <is>
          <t>&gt;= 216</t>
        </is>
      </c>
      <c r="D10" s="50" t="inlineStr">
        <is>
          <t>PASS</t>
        </is>
      </c>
      <c r="E10" s="16" t="inlineStr">
        <is>
          <t>1 Jan 2024 through current dataset.</t>
        </is>
      </c>
    </row>
    <row r="11">
      <c r="A11" s="16" t="inlineStr">
        <is>
          <t>Grayson event/course combinations since 2024</t>
        </is>
      </c>
      <c r="B11" s="16" t="n">
        <v>20</v>
      </c>
      <c r="C11" s="16" t="inlineStr">
        <is>
          <t>&gt;= 20</t>
        </is>
      </c>
      <c r="D11" s="50" t="inlineStr">
        <is>
          <t>PASS</t>
        </is>
      </c>
      <c r="E11" s="16" t="n"/>
    </row>
    <row r="12">
      <c r="A12" s="16" t="inlineStr">
        <is>
          <t>Grayson current NZ age records - SCM</t>
        </is>
      </c>
      <c r="B12" s="16" t="n">
        <v>15</v>
      </c>
      <c r="C12" s="16" t="n">
        <v>15</v>
      </c>
      <c r="D12" s="50" t="inlineStr">
        <is>
          <t>PASS</t>
        </is>
      </c>
      <c r="E12" s="16" t="n"/>
    </row>
    <row r="13">
      <c r="A13" s="16" t="inlineStr">
        <is>
          <t>Grayson current NZ age records - LCM</t>
        </is>
      </c>
      <c r="B13" s="16" t="n">
        <v>14</v>
      </c>
      <c r="C13" s="16" t="n">
        <v>14</v>
      </c>
      <c r="D13" s="50" t="inlineStr">
        <is>
          <t>PASS</t>
        </is>
      </c>
      <c r="E13" s="16" t="n"/>
    </row>
    <row r="14">
      <c r="A14" s="16" t="n"/>
      <c r="B14" s="16" t="n"/>
      <c r="C14" s="16" t="n"/>
      <c r="D14" s="50" t="n"/>
      <c r="E14" s="16" t="n"/>
    </row>
    <row r="15">
      <c r="A15" s="16" t="n"/>
      <c r="B15" s="16" t="n"/>
      <c r="C15" s="16" t="n"/>
      <c r="D15" s="50" t="n"/>
      <c r="E15" s="16" t="n"/>
    </row>
    <row r="16">
      <c r="A16" s="16" t="n"/>
      <c r="B16" s="16" t="n"/>
      <c r="C16" s="16" t="n"/>
      <c r="D16" s="50" t="n"/>
      <c r="E16" s="16" t="n"/>
    </row>
    <row r="17">
      <c r="A17" s="16" t="n"/>
      <c r="B17" s="16" t="n"/>
      <c r="C17" s="16" t="n"/>
      <c r="D17" s="50" t="n"/>
      <c r="E17" s="16" t="n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2026-10-08T07:36:13Z</dcterms:created>
  <dcterms:modified xmlns:dcterms="http://purl.org/dc/terms/" xmlns:xsi="http://www.w3.org/2001/XMLSchema-instance" xsi:type="dcterms:W3CDTF">2026-10-10T00:40:32Z</dcterms:modified>
  <cp:revision>0</cp:revision>
</cp:coreProperties>
</file>